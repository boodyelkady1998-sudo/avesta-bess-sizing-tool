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3e1d1f04ce4ade" /></Relationships>
</file>

<file path=xl/workbook.xml><?xml version="1.0" encoding="utf-8"?>
<workbook xmlns="http://schemas.openxmlformats.org/spreadsheetml/2006/main" xmlns:r="http://schemas.openxmlformats.org/officeDocument/2006/relationships">
  <bookViews>
    <workbookView activeTab="5" firstSheet="0" showSheetTabs="1"/>
  </bookViews>
  <sheets>
    <sheet name="Inputs" sheetId="1" r:id="R84209f3a08ad4a26"/>
    <sheet name="Assumptions and Catalog" sheetId="2" r:id="R8f3c5ad7a5914843"/>
    <sheet name="Scenarios" sheetId="3" r:id="R3748c2eadc814689"/>
    <sheet name="Future Changes" sheetId="4" r:id="rIdAddedBlank4"/>
    <sheet name="Saved Scenarios" sheetId="5" r:id="rIdAddedBlank5"/>
    <sheet name="Solar Production" sheetId="6" r:id="rIdSolarTrial"/>
  </sheets>
  <definedNames>
    <definedName name="_xlnm.Print_Area" localSheetId="0">'Inputs'!$A$1:$Q$41</definedName>
    <definedName name="_xlnm.Print_Area" localSheetId="1">'Assumptions and Catalog'!$A$1:$I$168</definedName>
    <definedName name="_xlnm.Print_Area" localSheetId="2">'Scenarios'!$A$1:$L$70,'Scenarios'!$W$1:$AF$121,'Scenarios'!$AH$1:$AL$96,'Scenarios'!$A$920:$N$1032</definedName>
    <definedName name="_xlnm.Print_Titles" localSheetId="2">'Scenarios'!$4:$6</definedName>
  </definedNames>
</workbook>
</file>

<file path=xl/sharedStrings.xml><?xml version="1.0" encoding="utf-8"?>
<x:sst xmlns:x="http://schemas.openxmlformats.org/spreadsheetml/2006/main">
  <x:si>
    <x:t xml:space="preserve">AVESTA — Case Inputs</x:t>
  </x:si>
  <x:si>
    <x:t xml:space="preserve">Selected consumption and bill</x:t>
  </x:si>
  <x:si>
    <x:t xml:space="preserve">Edit the yellow cells. Location is fixed at Cairo. Initial values are the previous El Mo3alem example, not new measurements.</x:t>
  </x:si>
  <x:si>
    <x:t xml:space="preserve">Input status</x:t>
  </x:si>
  <x:si>
    <x:t xml:space="preserve">Selected monthly use (kWh)</x:t>
  </x:si>
  <x:si>
    <x:t xml:space="preserve">Case name</x:t>
  </x:si>
  <x:si>
    <x:t xml:space="preserve">El Mo3alem shop — example</x:t>
  </x:si>
  <x:si>
    <x:t xml:space="preserve">Average consumption (kWh/day)</x:t>
  </x:si>
  <x:si>
    <x:t xml:space="preserve">Input mode</x:t>
  </x:si>
  <x:si>
    <x:t xml:space="preserve">Bill and consumption</x:t>
  </x:si>
  <x:si>
    <x:t xml:space="preserve">Active daytime energy share</x:t>
  </x:si>
  <x:si>
    <x:t xml:space="preserve">Monthly consumption (kWh)</x:t>
  </x:si>
  <x:si>
    <x:t xml:space="preserve">Monthly use, not the cumulative meter reading</x:t>
  </x:si>
  <x:si>
    <x:t xml:space="preserve">Reference official bill (EGP)</x:t>
  </x:si>
  <x:si>
    <x:t xml:space="preserve">Monthly bill amount (EGP)</x:t>
  </x:si>
  <x:si>
    <x:t xml:space="preserve">Consumption bill, not a prepaid top-up</x:t>
  </x:si>
  <x:si>
    <x:t xml:space="preserve">Paid less official bill (EGP)</x:t>
  </x:si>
  <x:si>
    <x:t xml:space="preserve">Tariff category</x:t>
  </x:si>
  <x:si>
    <x:t xml:space="preserve">Commercial</x:t>
  </x:si>
  <x:si>
    <x:t xml:space="preserve">Active pricing basis</x:t>
  </x:si>
  <x:si>
    <x:t xml:space="preserve">Billing period days</x:t>
  </x:si>
  <x:si>
    <x:t xml:space="preserve">Actual average (EGP/kWh)</x:t>
  </x:si>
  <x:si>
    <x:t xml:space="preserve">Pricing basis</x:t>
  </x:si>
  <x:si>
    <x:t xml:space="preserve">Actual flat rate is available only with both bill amount and consumption</x:t>
  </x:si>
  <x:si>
    <x:t xml:space="preserve">Official average (EGP/kWh)</x:t>
  </x:si>
  <x:si>
    <x:t xml:space="preserve">Average rate difference (EGP/kWh)</x:t>
  </x:si>
  <x:si>
    <x:t xml:space="preserve">Selected baseline bill (EGP)</x:t>
  </x:si>
  <x:si>
    <x:t xml:space="preserve">Available installation area</x:t>
  </x:si>
  <x:si>
    <x:t xml:space="preserve">Unspecified</x:t>
  </x:si>
  <x:si>
    <x:t xml:space="preserve">Reference-data status</x:t>
  </x:si>
  <x:si>
    <x:t xml:space="preserve">Available area (m2)</x:t>
  </x:si>
  <x:si>
    <x:t xml:space="preserve">Usable installation area after obstacles; unspecified area sets no cap</x:t>
  </x:si>
  <x:si>
    <x:t xml:space="preserve">Energy distribution</x:t>
  </x:si>
  <x:si>
    <x:t xml:space="preserve">Constant load</x:t>
  </x:si>
  <x:si>
    <x:t xml:space="preserve">Daytime energy share</x:t>
  </x:si>
  <x:si>
    <x:t xml:space="preserve">Share of energy, not appliance count; night share is calculated</x:t>
  </x:si>
  <x:si>
    <x:t xml:space="preserve">Critical load</x:t>
  </x:si>
  <x:si>
    <x:t xml:space="preserve">Unknown</x:t>
  </x:si>
  <x:si>
    <x:t xml:space="preserve">Critical load (kW)</x:t>
  </x:si>
  <x:si>
    <x:t xml:space="preserve">When unknown, no customer-specific backup hours are calculated</x:t>
  </x:si>
  <x:si>
    <x:t xml:space="preserve">Enter the case inputs, review assumptions, then choose equipment and quantities on the Scenarios sheet.</x:t>
  </x:si>
  <x:si>
    <x:t xml:space="preserve">Actual flat rate spreads the paid bill over kWh; it may differ from the marginal cost of avoided electricity.</x:t>
  </x:si>
  <x:si>
    <x:t xml:space="preserve">One representative day/night cycle per month with constant daily load. This is not an hourly simulation.</x:t>
  </x:si>
  <x:si>
    <x:t xml:space="preserve">Inverse-bill calculations — audit detail</x:t>
  </x:si>
  <x:si>
    <x:t xml:space="preserve">Tariff</x:t>
  </x:si>
  <x:si>
    <x:t xml:space="preserve">Above</x:t>
  </x:si>
  <x:si>
    <x:t xml:space="preserve">Up to</x:t>
  </x:si>
  <x:si>
    <x:t xml:space="preserve">Candidate kWh</x:t>
  </x:si>
  <x:si>
    <x:t xml:space="preserve">Candidate bill</x:t>
  </x:si>
  <x:si>
    <x:t xml:space="preserve">Valid solution 1/0</x:t>
  </x:si>
  <x:si>
    <x:t xml:space="preserve">Accepted kWh</x:t>
  </x:si>
  <x:si>
    <x:t xml:space="preserve">Accepted solution count</x:t>
  </x:si>
  <x:si>
    <x:t xml:space="preserve">AVESTA — Assumptions and Catalog</x:t>
  </x:si>
  <x:si>
    <x:t xml:space="preserve">Yellow cells are editable. Equipment prices and limits are illustrative, not supplier quotes or manufacturer specifications.</x:t>
  </x:si>
  <x:si>
    <x:t xml:space="preserve">Study period</x:t>
  </x:si>
  <x:si>
    <x:t xml:space="preserve">years</x:t>
  </x:si>
  <x:si>
    <x:t xml:space="preserve">1 to 20</x:t>
  </x:si>
  <x:si>
    <x:t xml:space="preserve">Nominal discount rate</x:t>
  </x:si>
  <x:si>
    <x:t xml:space="preserve">%</x:t>
  </x:si>
  <x:si>
    <x:t xml:space="preserve">Illustrative assumption; approval needed</x:t>
  </x:si>
  <x:si>
    <x:t xml:space="preserve">Tariff and fee escalation</x:t>
  </x:si>
  <x:si>
    <x:t xml:space="preserve">% per year</x:t>
  </x:si>
  <x:si>
    <x:t xml:space="preserve">Flat by default; applies to all bill components</x:t>
  </x:si>
  <x:si>
    <x:t xml:space="preserve">Maintenance cost escalation</x:t>
  </x:si>
  <x:si>
    <x:t xml:space="preserve">Assumed cost escalation</x:t>
  </x:si>
  <x:si>
    <x:t xml:space="preserve">Annual PV degradation</x:t>
  </x:si>
  <x:si>
    <x:t xml:space="preserve">Assumption</x:t>
  </x:si>
  <x:si>
    <x:t xml:space="preserve">Charge efficiency</x:t>
  </x:si>
  <x:si>
    <x:t xml:space="preserve">AC input to stored energy</x:t>
  </x:si>
  <x:si>
    <x:t xml:space="preserve">Discharge efficiency</x:t>
  </x:si>
  <x:si>
    <x:t xml:space="preserve">Stored energy to AC load</x:t>
  </x:si>
  <x:si>
    <x:t xml:space="preserve">Daytime duration</x:t>
  </x:si>
  <x:si>
    <x:t xml:space="preserve">hours/day</x:t>
  </x:si>
  <x:si>
    <x:t xml:space="preserve">Not PSH; used only to split daily load</x:t>
  </x:si>
  <x:si>
    <x:t xml:space="preserve">PV charging window</x:t>
  </x:si>
  <x:si>
    <x:t xml:space="preserve">Approximate power window, not hourly simulation</x:t>
  </x:si>
  <x:si>
    <x:t xml:space="preserve">Grid charging window</x:t>
  </x:si>
  <x:si>
    <x:t xml:space="preserve">Battery-only scenario</x:t>
  </x:si>
  <x:si>
    <x:t xml:space="preserve">Installation area multiplier</x:t>
  </x:si>
  <x:si>
    <x:t xml:space="preserve">times panel area</x:t>
  </x:si>
  <x:si>
    <x:t xml:space="preserve">Includes assumed installation clearances</x:t>
  </x:si>
  <x:si>
    <x:t xml:space="preserve">Installation and BOS</x:t>
  </x:si>
  <x:si>
    <x:t xml:space="preserve">% of equipment</x:t>
  </x:si>
  <x:si>
    <x:t xml:space="preserve">Applied once to PV, battery and inverter</x:t>
  </x:si>
  <x:si>
    <x:t xml:space="preserve">Annual maintenance</x:t>
  </x:si>
  <x:si>
    <x:t xml:space="preserve">% of CAPEX</x:t>
  </x:si>
  <x:si>
    <x:t xml:space="preserve">Estimate pending service quotes</x:t>
  </x:si>
  <x:si>
    <x:t xml:space="preserve">Battery replacement year</x:t>
  </x:si>
  <x:si>
    <x:t xml:space="preserve">Assumption; use 0 to disable replacement</x:t>
  </x:si>
  <x:si>
    <x:t xml:space="preserve">Battery replacement cost</x:t>
  </x:si>
  <x:si>
    <x:t xml:space="preserve">% of battery cost</x:t>
  </x:si>
  <x:si>
    <x:t xml:space="preserve">Including cost escalation</x:t>
  </x:si>
  <x:si>
    <x:t xml:space="preserve">Inverter replacement year</x:t>
  </x:si>
  <x:si>
    <x:t xml:space="preserve">Inverter replacement cost</x:t>
  </x:si>
  <x:si>
    <x:t xml:space="preserve">% of inverter cost</x:t>
  </x:si>
  <x:si>
    <x:t xml:space="preserve">Annual battery degradation</x:t>
  </x:si>
  <x:si>
    <x:t xml:space="preserve">Age resets in the assumed replacement year</x:t>
  </x:si>
  <x:si>
    <x:t xml:space="preserve">First forecast calendar year</x:t>
  </x:si>
  <x:si>
    <x:t xml:space="preserve">Month lengths follow the calendar</x:t>
  </x:si>
  <x:si>
    <x:t xml:space="preserve">Inverse-bill tolerance</x:t>
  </x:si>
  <x:si>
    <x:t xml:space="preserve">EGP</x:t>
  </x:si>
  <x:si>
    <x:t xml:space="preserve">Check calculated bill against input</x:t>
  </x:si>
  <x:si>
    <x:t xml:space="preserve">Battery auxiliary consumption</x:t>
  </x:si>
  <x:si>
    <x:t xml:space="preserve">kWh/day</x:t>
  </x:si>
  <x:si>
    <x:t xml:space="preserve">Not estimated; enter standby consumption</x:t>
  </x:si>
  <x:si>
    <x:t xml:space="preserve">Cairo average solar yield</x:t>
  </x:si>
  <x:si>
    <x:t xml:space="preserve">Average daily PV yield</x:t>
  </x:si>
  <x:si>
    <x:t xml:space="preserve">kWh/kWp/day</x:t>
  </x:si>
  <x:si>
    <x:t xml:space="preserve">Monthly generation = PV kWp × daily yield × calendar days.</x:t>
  </x:si>
  <x:si>
    <x:t xml:space="preserve">4.98 kWh/kWp/day is the rounded Cairo annual daily average from the previous PVGIS reference.</x:t>
  </x:si>
  <x:si>
    <x:t xml:space="preserve">Cairo; south-facing, 30° tilt. PV losses are included. No monthly solar seasonality is modeled.</x:t>
  </x:si>
  <x:si>
    <x:t xml:space="preserve">Source: European Commission JRC PVGIS 5.3 / SARAH3, prior project extract dated 30 September 2026.</x:t>
  </x:si>
  <x:si>
    <x:t xml:space="preserve">https://re.jrc.ec.europa.eu/pvg_tools/en/</x:t>
  </x:si>
  <x:si>
    <x:t xml:space="preserve">Editable reference tariff bands</x:t>
  </x:si>
  <x:si>
    <x:t xml:space="preserve">Tariffs from prior project files; current applicability could not be confirmed from the regulator link. Verify before commercial use.</x:t>
  </x:si>
  <x:si>
    <x:t xml:space="preserve">Type</x:t>
  </x:si>
  <x:si>
    <x:t xml:space="preserve">Above kWh</x:t>
  </x:si>
  <x:si>
    <x:t xml:space="preserve">Up to kWh</x:t>
  </x:si>
  <x:si>
    <x:t xml:space="preserve">Energy rate</x:t>
  </x:si>
  <x:si>
    <x:t xml:space="preserve">Energy intercept</x:t>
  </x:si>
  <x:si>
    <x:t xml:space="preserve">Service fee (EGP)</x:t>
  </x:si>
  <x:si>
    <x:t xml:space="preserve">Stamp/kWh</x:t>
  </x:si>
  <x:si>
    <x:t xml:space="preserve">Marginal rate incl. stamp</x:t>
  </x:si>
  <x:si>
    <x:t xml:space="preserve">Residential</x:t>
  </x:si>
  <x:si>
    <x:t xml:space="preserve">Residential rates: prior project model; service fees require confirmation. Commercial: prior El Mo3alem presentation (April 2026).</x:t>
  </x:si>
  <x:si>
    <x:t xml:space="preserve">https://www.egyptera.org/ar/TarrifApril2026.aspx — verification on 19 October 2026 returned 404. Annual stamp excluded.</x:t>
  </x:si>
  <x:si>
    <x:t xml:space="preserve">Example panels — replace with supplier specifications</x:t>
  </x:si>
  <x:si>
    <x:t xml:space="preserve">ID</x:t>
  </x:si>
  <x:si>
    <x:t xml:space="preserve">Name</x:t>
  </x:si>
  <x:si>
    <x:t xml:space="preserve">Wp</x:t>
  </x:si>
  <x:si>
    <x:t xml:space="preserve">Panel area (m2)</x:t>
  </x:si>
  <x:si>
    <x:t xml:space="preserve">Panel price (EGP)</x:t>
  </x:si>
  <x:si>
    <x:t xml:space="preserve">PV550</x:t>
  </x:si>
  <x:si>
    <x:t xml:space="preserve">Example panel 550</x:t>
  </x:si>
  <x:si>
    <x:t xml:space="preserve">PV670</x:t>
  </x:si>
  <x:si>
    <x:t xml:space="preserve">Example panel 670</x:t>
  </x:si>
  <x:si>
    <x:t xml:space="preserve">Example batteries — confirm real compatibility</x:t>
  </x:si>
  <x:si>
    <x:t xml:space="preserve">Description</x:t>
  </x:si>
  <x:si>
    <x:t xml:space="preserve">Nominal kWh</x:t>
  </x:si>
  <x:si>
    <x:t xml:space="preserve">Usable fraction</x:t>
  </x:si>
  <x:si>
    <x:t xml:space="preserve">Charge kW</x:t>
  </x:si>
  <x:si>
    <x:t xml:space="preserve">Discharge kW</x:t>
  </x:si>
  <x:si>
    <x:t xml:space="preserve">Price (EGP)</x:t>
  </x:si>
  <x:si>
    <x:t xml:space="preserve">Compatibility group</x:t>
  </x:si>
  <x:si>
    <x:t xml:space="preserve">BAT10</x:t>
  </x:si>
  <x:si>
    <x:t xml:space="preserve">Example battery 10</x:t>
  </x:si>
  <x:si>
    <x:t xml:space="preserve">LV</x:t>
  </x:si>
  <x:si>
    <x:t xml:space="preserve">BAT16</x:t>
  </x:si>
  <x:si>
    <x:t xml:space="preserve">Example battery 16</x:t>
  </x:si>
  <x:si>
    <x:t xml:space="preserve">BAT32</x:t>
  </x:si>
  <x:si>
    <x:t xml:space="preserve">Example battery 32</x:t>
  </x:si>
  <x:si>
    <x:t xml:space="preserve">Example inverters — not product recommendations</x:t>
  </x:si>
  <x:si>
    <x:t xml:space="preserve">AC kW</x:t>
  </x:si>
  <x:si>
    <x:t xml:space="preserve">PV limit kWp</x:t>
  </x:si>
  <x:si>
    <x:t xml:space="preserve">Backup 1/0</x:t>
  </x:si>
  <x:si>
    <x:t xml:space="preserve">Phases</x:t>
  </x:si>
  <x:si>
    <x:t xml:space="preserve">GRID10</x:t>
  </x:si>
  <x:si>
    <x:t xml:space="preserve">Grid-tied solar 10</x:t>
  </x:si>
  <x:si>
    <x:t xml:space="preserve">NONE</x:t>
  </x:si>
  <x:si>
    <x:t xml:space="preserve">HYB5</x:t>
  </x:si>
  <x:si>
    <x:t xml:space="preserve">Hybrid 5</x:t>
  </x:si>
  <x:si>
    <x:t xml:space="preserve">HYB12</x:t>
  </x:si>
  <x:si>
    <x:t xml:space="preserve">Hybrid 12</x:t>
  </x:si>
  <x:si>
    <x:t xml:space="preserve">HYB20</x:t>
  </x:si>
  <x:si>
    <x:t xml:space="preserve">Hybrid 20</x:t>
  </x:si>
  <x:si>
    <x:t xml:space="preserve">Example prices from the prior presentation: PV 8,000 EGP/kWp, battery 13,640 EGP/kWh, inverter 6,000 EGP/kW.</x:t>
  </x:si>
  <x:si>
    <x:t xml:space="preserve">Power, area and compatibility limits are illustrative. They are not certified AVESTA specifications and exclude load starting currents.</x:t>
  </x:si>
  <x:si>
    <x:t xml:space="preserve">Formula reference</x:t>
  </x:si>
  <x:si>
    <x:t xml:space="preserve">Each distinct calculation is explained once. Repeated monthly and scenario formulas use the same rule. Cell references point to the working formulas.</x:t>
  </x:si>
  <x:si>
    <x:t xml:space="preserve">Calculation</x:t>
  </x:si>
  <x:si>
    <x:t xml:space="preserve">Equation / rule</x:t>
  </x:si>
  <x:si>
    <x:t xml:space="preserve">Parameters and units</x:t>
  </x:si>
  <x:si>
    <x:t xml:space="preserve">Purpose and workbook location</x:t>
  </x:si>
  <x:si>
    <x:t xml:space="preserve">1. Consumption and tariff</x:t>
  </x:si>
  <x:si>
    <x:t xml:space="preserve">Input validity</x:t>
  </x:si>
  <x:si>
    <x:t xml:space="preserve">Ready only when the selected inputs are numeric and within their permitted ranges.</x:t>
  </x:si>
  <x:si>
    <x:t xml:space="preserve">Days &gt; 0. Consumption and bill &gt;= 0 when required. Specified roof and known critical load &gt; 0. Day share is 0 to 1. Bill-only requires exactly one valid solution.</x:t>
  </x:si>
  <x:si>
    <x:t xml:space="preserve">Stops unavailable or ambiguous inputs from being treated as a valid case. Inputs!C25.</x:t>
  </x:si>
  <x:si>
    <x:t xml:space="preserve">Tariff marginal rate</x:t>
  </x:si>
  <x:si>
    <x:t xml:space="preserve">m = energy rate + stamp rate</x:t>
  </x:si>
  <x:si>
    <x:t xml:space="preserve">m: EGP/kWh. Energy rate: column D. Stamp rate: column G in the tariff table.</x:t>
  </x:si>
  <x:si>
    <x:t xml:space="preserve">Combines variable charges for the selected band. Assumptions and Catalog!H50:H65.</x:t>
  </x:si>
  <x:si>
    <x:t xml:space="preserve">Tariff band intercept</x:t>
  </x:si>
  <x:si>
    <x:t xml:space="preserve">b = previous upper limit × previous rate + previous intercept - previous upper limit × new rate</x:t>
  </x:si>
  <x:si>
    <x:t xml:space="preserve">b: fixed energy adjustment in EGP. Used only for the continuous bands. Other bands use their entered intercept, including full-consumption resets.</x:t>
  </x:si>
  <x:si>
    <x:t xml:space="preserve">Preserves the specific tariff's band rules. Assumptions and Catalog!E52, E54:E55 and E64.</x:t>
  </x:si>
  <x:si>
    <x:t xml:space="preserve">Official monthly bill</x:t>
  </x:si>
  <x:si>
    <x:t xml:space="preserve">T(E) = E × m + b + fee, using the first band whose upper limit contains E</x:t>
  </x:si>
  <x:si>
    <x:t xml:space="preserve">E: monthly kWh. m: marginal EGP/kWh. b: energy intercept, EGP. fee: service charge, EGP. Tariff type selects the residential or commercial table.</x:t>
  </x:si>
  <x:si>
    <x:t xml:space="preserve">Computes the actual piecewise bill instead of multiplying all consumption by an average price. Inputs!C29 and Scenarios!M:N monthly blocks.</x:t>
  </x:si>
  <x:si>
    <x:t xml:space="preserve">Inverse bill candidate</x:t>
  </x:si>
  <x:si>
    <x:t xml:space="preserve">E_candidate = (Paid - b - fee) / m; use 0 when m = 0</x:t>
  </x:si>
  <x:si>
    <x:t xml:space="preserve">Paid, b and fee: EGP. m: EGP/kWh. Each tariff band is tested separately. The zero-rate band's candidate still has to pass the bill check.</x:t>
  </x:si>
  <x:si>
    <x:t xml:space="preserve">Estimates monthly consumption when only the bill is known. Inputs!D50:D63.</x:t>
  </x:si>
  <x:si>
    <x:t xml:space="preserve">Inverse bill validation</x:t>
  </x:si>
  <x:si>
    <x:t xml:space="preserve">Valid = 1 if type matches, lower &lt; E_candidate &lt;= upper, E_candidate &gt;= 0 and ABS(candidate bill - Paid) &lt;= tolerance; otherwise 0</x:t>
  </x:si>
  <x:si>
    <x:t xml:space="preserve">Candidate bill = E_candidate × m + b + fee. Tolerance: Assumptions and Catalog!C25, EGP. Bounds and tariff type come from the selected band.</x:t>
  </x:si>
  <x:si>
    <x:t xml:space="preserve">Rejects candidates that do not belong to the band or do not reproduce the bill. Inputs!E50:F63.</x:t>
  </x:si>
  <x:si>
    <x:t xml:space="preserve">Accepted consumption</x:t>
  </x:si>
  <x:si>
    <x:t xml:space="preserve">Solution count = SUM(valid flags). E_month = SUM(valid candidates) only if count = 1; otherwise use entered kWh when that input mode applies</x:t>
  </x:si>
  <x:si>
    <x:t xml:space="preserve">Valid candidates: candidate kWh where flag = 1, else 0. Invalid inputs return an unavailable message.</x:t>
  </x:si>
  <x:si>
    <x:t xml:space="preserve">Avoids silently selecting a solution when bill inversion is ambiguous. Inputs!G50:G63, C66 and C26.</x:t>
  </x:si>
  <x:si>
    <x:t xml:space="preserve">Daily consumption</x:t>
  </x:si>
  <x:si>
    <x:t xml:space="preserve">E_day = E_month / period days</x:t>
  </x:si>
  <x:si>
    <x:t xml:space="preserve">E_month: accepted monthly kWh. Period days: Inputs!C10. E_day: kWh/day.</x:t>
  </x:si>
  <x:si>
    <x:t xml:space="preserve">Normalizes the entered billing period to a constant daily load used throughout the forecast. Inputs!C27.</x:t>
  </x:si>
  <x:si>
    <x:t xml:space="preserve">Day and night split</x:t>
  </x:si>
  <x:si>
    <x:t xml:space="preserve">Day share = entered share if known, else daylight hours / 24. Day load = E_day × day share. Night load = E_day - day load</x:t>
  </x:si>
  <x:si>
    <x:t xml:space="preserve">Day and night loads: kWh/day. Daylight hours: Assumptions and Catalog!C13. Share is a fraction of energy, not appliance count.</x:t>
  </x:si>
  <x:si>
    <x:t xml:space="preserve">Separates direct solar demand from demand that may use stored energy. Inputs!C28; Scenarios!D:E monthly blocks.</x:t>
  </x:si>
  <x:si>
    <x:t xml:space="preserve">Actual and official average prices</x:t>
  </x:si>
  <x:si>
    <x:t xml:space="preserve">p_actual = Paid / E_month; p_official = T(E_month) / E_month; price gap = p_actual - p_official</x:t>
  </x:si>
  <x:si>
    <x:t xml:space="preserve">Prices: EGP/kWh. Actual price requires both bill and positive consumption. Official average also requires positive consumption.</x:t>
  </x:si>
  <x:si>
    <x:t xml:space="preserve">Shows the difference between the paid average and the tariff-based average. Inputs!C32:C34.</x:t>
  </x:si>
  <x:si>
    <x:t xml:space="preserve">Bill difference</x:t>
  </x:si>
  <x:si>
    <x:t xml:space="preserve">Bill gap = Paid - T(E_month)</x:t>
  </x:si>
  <x:si>
    <x:t xml:space="preserve">Paid and official bill: EGP for the entered month. Available only when both bill and consumption were supplied.</x:t>
  </x:si>
  <x:si>
    <x:t xml:space="preserve">Shows how much more or less was paid than the reference tariff calculation. Inputs!C30.</x:t>
  </x:si>
  <x:si>
    <x:t xml:space="preserve">Selected pricing basis</x:t>
  </x:si>
  <x:si>
    <x:t xml:space="preserve">B(E) = E × p_actual in Actual flat mode; otherwise B(E) = T(E)</x:t>
  </x:si>
  <x:si>
    <x:t xml:space="preserve">Actual flat mode is accepted only with both bill and positive consumption. B(E): EGP for any monthly import E.</x:t>
  </x:si>
  <x:si>
    <x:t xml:space="preserve">Uses the chosen price basis consistently for baseline and post-installation bills. Inputs!C31, C35; Scenarios!M, N and Q monthly blocks. A paid average is not necessarily an avoidable marginal price.</x:t>
  </x:si>
  <x:si>
    <x:t xml:space="preserve">2. Equipment, area and initial investment</x:t>
  </x:si>
  <x:si>
    <x:t xml:space="preserve">Catalog lookup</x:t>
  </x:si>
  <x:si>
    <x:t xml:space="preserve">Specification = INDEX(catalog data, MATCH(selected model ID, catalog IDs, 0), specification column)</x:t>
  </x:si>
  <x:si>
    <x:t xml:space="preserve">Model IDs: Scenarios!C39:E43. Catalogs: Assumptions and Catalog rows 73:74, 79:81 and 86:89.</x:t>
  </x:si>
  <x:si>
    <x:t xml:space="preserve">Retrieves the chosen equipment's capacity, power, area, price and compatibility. Used throughout Scenarios!C51:E70.</x:t>
  </x:si>
  <x:si>
    <x:t xml:space="preserve">Installed PV capacity</x:t>
  </x:si>
  <x:si>
    <x:t xml:space="preserve">P_PV = panel count × panel Wp / 1000</x:t>
  </x:si>
  <x:si>
    <x:t xml:space="preserve">P_PV: kWp. Panel rating: Wp. Battery-only sets PV capacity to zero.</x:t>
  </x:si>
  <x:si>
    <x:t xml:space="preserve">Determines solar generation and checks the inverter PV limit. Scenarios!C51:E51; summary row 7.</x:t>
  </x:si>
  <x:si>
    <x:t xml:space="preserve">Battery nominal and usable capacity</x:t>
  </x:si>
  <x:si>
    <x:t xml:space="preserve">C_nom = battery count × unit kWh. C_usable = C_nom × usable fraction</x:t>
  </x:si>
  <x:si>
    <x:t xml:space="preserve">Capacities: kWh stored internally. Usable fraction: catalog value from 0 to 1. Solar-only sets nominal battery capacity to zero.</x:t>
  </x:si>
  <x:si>
    <x:t xml:space="preserve">Distinguishes purchased capacity from usable storage before reserve and losses. Scenarios!C52:E52 and C55:E55; summary row 8.</x:t>
  </x:si>
  <x:si>
    <x:t xml:space="preserve">Inverter ratings and support</x:t>
  </x:si>
  <x:si>
    <x:t xml:space="preserve">P_inv, PV_limit and backup flag = selected inverter catalog values</x:t>
  </x:si>
  <x:si>
    <x:t xml:space="preserve">P_inv: AC kW. PV_limit: allowed PV kWp. Backup flag: 1 supported, 0 unsupported; solar-only forces 0.</x:t>
  </x:si>
  <x:si>
    <x:t xml:space="preserve">Supplies the inverter limits and backup eligibility. Scenarios!C53:E54 and C58:E58; summary row 9.</x:t>
  </x:si>
  <x:si>
    <x:t xml:space="preserve">Charge and discharge power limits</x:t>
  </x:si>
  <x:si>
    <x:t xml:space="preserve">P_ch = MIN(count × battery charge kW, inverter charge kW). P_dis = MIN(count × battery discharge kW, inverter AC kW)</x:t>
  </x:si>
  <x:si>
    <x:t xml:space="preserve">P_ch and P_dis: kW at the model's AC boundary. Battery count and ratings come from the selected configuration.</x:t>
  </x:si>
  <x:si>
    <x:t xml:space="preserve">Limits charging, discharge and backup by both battery and inverter ratings. Scenarios!C56:E57.</x:t>
  </x:si>
  <x:si>
    <x:t xml:space="preserve">Installation area</x:t>
  </x:si>
  <x:si>
    <x:t xml:space="preserve">Area = (P_PV × 1000 / panel Wp) × panel area × spacing factor</x:t>
  </x:si>
  <x:si>
    <x:t xml:space="preserve">Area and panel area: m2. Spacing factor: Assumptions and Catalog!C16. Parenthesis recovers the active panel count.</x:t>
  </x:si>
  <x:si>
    <x:t xml:space="preserve">Checks whether the chosen array fits a specified roof. An unspecified roof does not constrain sizing. Scenarios!C59:E59; summary row 10.</x:t>
  </x:si>
  <x:si>
    <x:t xml:space="preserve">Equipment costs</x:t>
  </x:si>
  <x:si>
    <x:t xml:space="preserve">PV cost = active panel count × panel price. Battery cost = active battery count × battery price. Inverter cost = catalog inverter price</x:t>
  </x:si>
  <x:si>
    <x:t xml:space="preserve">Costs: EGP. Active counts are recovered from installed capacities, so inactive scenario equipment is excluded.</x:t>
  </x:si>
  <x:si>
    <x:t xml:space="preserve">Builds the equipment subtotal from the selected models and quantities. Scenarios!C60:E62.</x:t>
  </x:si>
  <x:si>
    <x:t xml:space="preserve">BOS and initial investment</x:t>
  </x:si>
  <x:si>
    <x:t xml:space="preserve">BOS = (PV cost + battery cost + inverter cost) × BOS rate. CAPEX = equipment subtotal + BOS</x:t>
  </x:si>
  <x:si>
    <x:t xml:space="preserve">BOS: installation and balance of system cost, EGP. BOS rate: Assumptions and Catalog!C17. CAPEX: upfront EGP.</x:t>
  </x:si>
  <x:si>
    <x:t xml:space="preserve">Calculates the year-zero investment without adding installation twice. Scenarios!C63:E64; summary row 11.</x:t>
  </x:si>
  <x:si>
    <x:t xml:space="preserve">Battery compatibility</x:t>
  </x:si>
  <x:si>
    <x:t xml:space="preserve">Compatible if nominal battery capacity = 0 OR battery group = inverter group</x:t>
  </x:si>
  <x:si>
    <x:t xml:space="preserve">Compatibility group: catalog text, such as LV. This is a catalog-group check, not a complete electrical design check.</x:t>
  </x:si>
  <x:si>
    <x:t xml:space="preserve">Flags incompatible selections before interpreting the results. Scenarios!C66:E66.</x:t>
  </x:si>
  <x:si>
    <x:t xml:space="preserve">Configuration validity</x:t>
  </x:si>
  <x:si>
    <x:t xml:space="preserve">Valid = 1 when inputs are ready, PV &lt;= inverter PV limit, specified roof fits, compatibility passes, counts are nonnegative integers, reserve is 0 to 1, efficiencies are &gt; 0 and &lt;= 1, and study years are 1 to 20</x:t>
  </x:si>
  <x:si>
    <x:t xml:space="preserve">Limits and flags come from the input, assumptions and sizing cells. All conditions must pass.</x:t>
  </x:si>
  <x:si>
    <x:t xml:space="preserve">Gates reported financial results and backup runtime. Scenarios!C65:E65 and C6:E6.</x:t>
  </x:si>
  <x:si>
    <x:t xml:space="preserve">Roof status</x:t>
  </x:si>
  <x:si>
    <x:t xml:space="preserve">Unspecified roof: fit not verified. Specified roof: compare required area &lt;= available area</x:t>
  </x:si>
  <x:si>
    <x:t xml:space="preserve">Both areas: m2. Available area: Inputs!C15, used only when Inputs!C14 is Specified.</x:t>
  </x:si>
  <x:si>
    <x:t xml:space="preserve">Separates an unconstrained estimate from a layout that fits the supplied area. Scenarios!C26:E26.</x:t>
  </x:si>
  <x:si>
    <x:t xml:space="preserve">Year-one maintenance</x:t>
  </x:si>
  <x:si>
    <x:t xml:space="preserve">OM_1 = CAPEX × annual maintenance rate</x:t>
  </x:si>
  <x:si>
    <x:t xml:space="preserve">OM_1: EGP/year. Maintenance rate: Assumptions and Catalog!C18.</x:t>
  </x:si>
  <x:si>
    <x:t xml:space="preserve">Provides the recurring operating-cost base used in annual net savings. Scenarios!C70:E70.</x:t>
  </x:si>
  <x:si>
    <x:t xml:space="preserve">3. Monthly solar and battery energy</x:t>
  </x:si>
  <x:si>
    <x:t xml:space="preserve">Monthly calculation scope</x:t>
  </x:si>
  <x:si>
    <x:t xml:space="preserve">Solar-only: rows 161:400. Battery-only: rows 411:650. Solar + battery: rows 661:900. Each block has 12 months × 20 years.</x:t>
  </x:si>
  <x:si>
    <x:t xml:space="preserve">Unless stated otherwise, references below are in Scenarios. y is study year starting at 1. n is calendar days in the month. Monthly energy is kWh.</x:t>
  </x:si>
  <x:si>
    <x:t xml:space="preserve">Explains repeated formulas once. The study horizon controls financial inclusion; monthly physical calculations remain available for all 20 years.</x:t>
  </x:si>
  <x:si>
    <x:t xml:space="preserve">Calendar month length</x:t>
  </x:si>
  <x:si>
    <x:t xml:space="preserve">n = DAY(DATE(first forecast year + y - 1, month + 1, 0))</x:t>
  </x:si>
  <x:si>
    <x:t xml:space="preserve">First forecast year: Assumptions and Catalog!C24. Month: 1 to 12. n includes leap years.</x:t>
  </x:si>
  <x:si>
    <x:t xml:space="preserve">Converts constant daily energy into the correct monthly quantity. Scenarios monthly column C.</x:t>
  </x:si>
  <x:si>
    <x:t xml:space="preserve">Solar generation</x:t>
  </x:si>
  <x:si>
    <x:t xml:space="preserve">E_PV = P_PV × Y_daily × n × (1 - d_PV)^(y - 1)</x:t>
  </x:si>
  <x:si>
    <x:t xml:space="preserve">P_PV: installed kWp. Y_daily: Assumptions and Catalog!C31, kWh/kWp/day. d_PV: annual PV degradation at C10.</x:t>
  </x:si>
  <x:si>
    <x:t xml:space="preserve">Uses the single Cairo average and annual degradation. The yield includes PV losses; no monthly seasonality or hourly clipping is modeled. Scenarios monthly column F.</x:t>
  </x:si>
  <x:si>
    <x:t xml:space="preserve">Direct solar use</x:t>
  </x:si>
  <x:si>
    <x:t xml:space="preserve">E_direct = MIN(E_PV, day load × n)</x:t>
  </x:si>
  <x:si>
    <x:t xml:space="preserve">E_PV: monthly solar generation. Day load: kWh/day from the consumption split.</x:t>
  </x:si>
  <x:si>
    <x:t xml:space="preserve">Limits directly consumed solar to estimated daytime energy demand. Scenarios monthly column G. This is an aggregate energy estimate.</x:t>
  </x:si>
  <x:si>
    <x:t xml:space="preserve">Battery age</x:t>
  </x:si>
  <x:si>
    <x:t xml:space="preserve">Age = y - replacement year if replacement year &gt; 0 and y &gt;= replacement year; otherwise Age = y - 1</x:t>
  </x:si>
  <x:si>
    <x:t xml:space="preserve">Age: years. Battery replacement year: Assumptions and Catalog!C19. A replacement resets age to zero once.</x:t>
  </x:si>
  <x:si>
    <x:t xml:space="preserve">Resets capacity degradation in the replacement year. Scenarios monthly column R. The annual model applies fresh capacity for that year and books replacement cost at year-end.</x:t>
  </x:si>
  <x:si>
    <x:t xml:space="preserve">Capacity available for cycling</x:t>
  </x:si>
  <x:si>
    <x:t xml:space="preserve">C_cycle = C_usable × (1 - reserve fraction) × (1 - d_batt)^Age</x:t>
  </x:si>
  <x:si>
    <x:t xml:space="preserve">C_cycle: stored kWh per modeled daily cycle. Reserve: Scenarios row 44. d_batt: Assumptions and Catalog!C23.</x:t>
  </x:si>
  <x:si>
    <x:t xml:space="preserve">Excludes reserved energy and accounts for battery capacity degradation. Scenarios monthly column P.</x:t>
  </x:si>
  <x:si>
    <x:t xml:space="preserve">Combined system battery delivery</x:t>
  </x:si>
  <x:si>
    <x:t xml:space="preserve">E_dis = MIN(night load × n, C_cycle × eta_dis × n, (E_PV - E_direct) × eta_ch × eta_dis, P_ch × h_PV × eta_ch × eta_dis × n, P_dis × (24 - h_day) × n)</x:t>
  </x:si>
  <x:si>
    <x:t xml:space="preserve">E_dis: AC kWh/month. eta_ch / eta_dis: C11 / C12. h_PV: PV charge window C14, hours/day. h_day: daylight hours C13. P_ch / P_dis: kW. C_cycle: stored kWh.</x:t>
  </x:si>
  <x:si>
    <x:t xml:space="preserve">Uses the smallest of night demand, usable storage, solar surplus, charging-power and discharging-power limits. Scenarios!I661:I900.</x:t>
  </x:si>
  <x:si>
    <x:t xml:space="preserve">Battery-only grid-cycle delivery</x:t>
  </x:si>
  <x:si>
    <x:t xml:space="preserve">E_dis = n × MIN(daily target, E_day, C_cycle × eta_dis, P_dis × (24 - h_grid), P_ch × h_grid × eta_ch × eta_dis) in Grid cycle mode; otherwise 0</x:t>
  </x:si>
  <x:si>
    <x:t xml:space="preserve">Daily target: Scenarios!D46, AC kWh/day. h_grid: Assumptions and Catalog!C15, hours/day. Other symbols are defined above.</x:t>
  </x:si>
  <x:si>
    <x:t xml:space="preserve">Limits grid-charged battery cycling. Backup mode does not perform a daily cycle. Solar-only delivery is always 0. Scenarios!I411:I650 and I161:I400.</x:t>
  </x:si>
  <x:si>
    <x:t xml:space="preserve">Charging energy</x:t>
  </x:si>
  <x:si>
    <x:t xml:space="preserve">E_charge = E_dis / (eta_ch × eta_dis)</x:t>
  </x:si>
  <x:si>
    <x:t xml:space="preserve">E_charge: AC kWh/month required to deliver E_dis. eta_ch and eta_dis: charging and discharging efficiencies.</x:t>
  </x:si>
  <x:si>
    <x:t xml:space="preserve">Includes both losses and charges only enough to support modeled discharge. Scenarios monthly column H.</x:t>
  </x:si>
  <x:si>
    <x:t xml:space="preserve">Unused solar</x:t>
  </x:si>
  <x:si>
    <x:t xml:space="preserve">E_surplus = MAX(E_PV - E_direct - E_charge, 0) for solar scenarios; battery-only excludes grid charging from this subtraction</x:t>
  </x:si>
  <x:si>
    <x:t xml:space="preserve">All energies: kWh/month. E_charge is solar charging only for the combined system.</x:t>
  </x:si>
  <x:si>
    <x:t xml:space="preserve">Identifies solar energy not used onsite. It earns no export income in this model. Scenarios monthly column J.</x:t>
  </x:si>
  <x:si>
    <x:t xml:space="preserve">Battery conversion losses</x:t>
  </x:si>
  <x:si>
    <x:t xml:space="preserve">E_loss = E_charge - E_dis</x:t>
  </x:si>
  <x:si>
    <x:t xml:space="preserve">E_loss: kWh/month. Charge and discharge are measured at the AC boundaries.</x:t>
  </x:si>
  <x:si>
    <x:t xml:space="preserve">Quantifies energy lost in storage conversion. Scenarios monthly column K.</x:t>
  </x:si>
  <x:si>
    <x:t xml:space="preserve">Auxiliary energy</x:t>
  </x:si>
  <x:si>
    <x:t xml:space="preserve">E_aux = auxiliary kWh/day × n when a battery is installed; otherwise 0</x:t>
  </x:si>
  <x:si>
    <x:t xml:space="preserve">Auxiliary consumption: Assumptions and Catalog!C26. Solar-only always uses 0.</x:t>
  </x:si>
  <x:si>
    <x:t xml:space="preserve">Adds battery standby/auxiliary energy to grid demand. Embedded in monthly columns L and S.</x:t>
  </x:si>
  <x:si>
    <x:t xml:space="preserve">Grid import</x:t>
  </x:si>
  <x:si>
    <x:t xml:space="preserve">E_grid = E_day × n - E_direct - E_dis + grid charging + E_aux</x:t>
  </x:si>
  <x:si>
    <x:t xml:space="preserve">Grid charging = E_charge for battery-only, otherwise 0. E_grid: kWh/month.</x:t>
  </x:si>
  <x:si>
    <x:t xml:space="preserve">Finds purchased electricity after onsite supply and storage losses. Scenarios monthly column L. Grid cycling under a flat tariff does not create cheap energy.</x:t>
  </x:si>
  <x:si>
    <x:t xml:space="preserve">Energy balance check</x:t>
  </x:si>
  <x:si>
    <x:t xml:space="preserve">Balance = E_PV + E_grid - E_day × n - E_surplus - E_loss - E_aux</x:t>
  </x:si>
  <x:si>
    <x:t xml:space="preserve">All quantities: kWh/month. A consistent energy balance is zero, apart from floating-point rounding.</x:t>
  </x:si>
  <x:si>
    <x:t xml:space="preserve">Checks that energy is neither created nor omitted. Scenarios monthly column S.</x:t>
  </x:si>
  <x:si>
    <x:t xml:space="preserve">Monthly baseline bill</x:t>
  </x:si>
  <x:si>
    <x:t xml:space="preserve">Bill_base = B(E_day × n) × (1 + g_tariff)^(y - 1)</x:t>
  </x:si>
  <x:si>
    <x:t xml:space="preserve">B(E): chosen price function defined in section 1. g_tariff: annual tariff and fee growth, Assumptions and Catalog!C8.</x:t>
  </x:si>
  <x:si>
    <x:t xml:space="preserve">Values the no-system monthly grid supply using the same pricing basis. Scenarios monthly column M.</x:t>
  </x:si>
  <x:si>
    <x:t xml:space="preserve">Monthly system bill and savings</x:t>
  </x:si>
  <x:si>
    <x:t xml:space="preserve">Bill_system = B(E_grid) × (1 + g_tariff)^(y - 1). Saving = Bill_base - Bill_system</x:t>
  </x:si>
  <x:si>
    <x:t xml:space="preserve">Bills and saving: EGP/month. Growth multiplies the entire calculated bill, including fees.</x:t>
  </x:si>
  <x:si>
    <x:t xml:space="preserve">Measures avoided electricity cost before maintenance and replacement. Scenarios monthly columns N and O.</x:t>
  </x:si>
  <x:si>
    <x:t xml:space="preserve">PV-only comparator bill</x:t>
  </x:si>
  <x:si>
    <x:t xml:space="preserve">Bill_PV_comparator = B(E_day × n - E_direct) × (1 + g_tariff)^(y - 1)</x:t>
  </x:si>
  <x:si>
    <x:t xml:space="preserve">Same PV size and direct-use estimate as the respective configuration, without battery cycling or battery auxiliaries.</x:t>
  </x:si>
  <x:si>
    <x:t xml:space="preserve">Separates the incremental value of adding storage to the combined system's PV. Scenarios monthly column Q.</x:t>
  </x:si>
  <x:si>
    <x:t xml:space="preserve">Year-one energy and bill summaries</x:t>
  </x:si>
  <x:si>
    <x:t xml:space="preserve">PV generation = SUM(first 12 monthly PV values). Baseline bill, system bill and bill savings = their respective first-year monthly sums</x:t>
  </x:si>
  <x:si>
    <x:t xml:space="preserve">Energy: kWh/year. Bills: EGP/year. Baseline is shared because all scenarios serve the same load.</x:t>
  </x:si>
  <x:si>
    <x:t xml:space="preserve">Presents comparable first-year totals. Scenarios!C12:E15. System bill and savings are gated by configuration validity.</x:t>
  </x:si>
  <x:si>
    <x:t xml:space="preserve">4. Backup capability</x:t>
  </x:si>
  <x:si>
    <x:t xml:space="preserve">Reserved stored energy</x:t>
  </x:si>
  <x:si>
    <x:t xml:space="preserve">C_reserve = C_usable × reserve fraction</x:t>
  </x:si>
  <x:si>
    <x:t xml:space="preserve">C_reserve: internal kWh. Reserve fraction: Scenarios!C44:E44. This is year-one usable capacity.</x:t>
  </x:si>
  <x:si>
    <x:t xml:space="preserve">Identifies storage withheld from normal cycling. Scenarios!C67:E67.</x:t>
  </x:si>
  <x:si>
    <x:t xml:space="preserve">Full-charge and reserved backup energy</x:t>
  </x:si>
  <x:si>
    <x:t xml:space="preserve">E_full = C_usable × eta_dis; E_reserved = C_reserve × eta_dis. Both are 0 when backup is unsupported.</x:t>
  </x:si>
  <x:si>
    <x:t xml:space="preserve">E_full and E_reserved: AC kWh. eta_dis: Assumptions and Catalog!C12.</x:t>
  </x:si>
  <x:si>
    <x:t xml:space="preserve">Shows year-one energy available from full charge and from the reserve. Scenarios!C68:E68 and C20:E20, C23:E23. Actual state of charge at an outage is not guaranteed.</x:t>
  </x:si>
  <x:si>
    <x:t xml:space="preserve">Backup power</x:t>
  </x:si>
  <x:si>
    <x:t xml:space="preserve">P_backup = P_dis when backup is supported; otherwise 0</x:t>
  </x:si>
  <x:si>
    <x:t xml:space="preserve">P_backup: kW. P_dis: combined inverter/battery discharge limit.</x:t>
  </x:si>
  <x:si>
    <x:t xml:space="preserve">Checks whether the critical load fits the system's modeled power capability. Scenarios!C69:E69 and C21:E21. Starting current and phase constraints are not modeled.</x:t>
  </x:si>
  <x:si>
    <x:t xml:space="preserve">Full-charge backup duration</x:t>
  </x:si>
  <x:si>
    <x:t xml:space="preserve">Hours = E_full / P_critical, only for a valid configuration with backup, known critical load and P_critical &lt;= P_backup</x:t>
  </x:si>
  <x:si>
    <x:t xml:space="preserve">E_full: AC kWh. P_critical: Inputs!C21, kW. Unknown load gives Load unknown; excess load gives a power-limit message.</x:t>
  </x:si>
  <x:si>
    <x:t xml:space="preserve">Estimates how long a constant critical load can run from full charge. Scenarios!C22:E22. It is not a guaranteed outage runtime.</x:t>
  </x:si>
  <x:si>
    <x:t xml:space="preserve">5. Annual cash flows, NPV and payback</x:t>
  </x:si>
  <x:si>
    <x:t xml:space="preserve">Initial cash flow</x:t>
  </x:si>
  <x:si>
    <x:t xml:space="preserve">CF_0 = -CAPEX</x:t>
  </x:si>
  <x:si>
    <x:t xml:space="preserve">CF_0: EGP at time zero. CAPEX: upfront system investment. It is not discounted.</x:t>
  </x:si>
  <x:si>
    <x:t xml:space="preserve">Recognizes the cash paid today before annual savings begin. Scenarios!C78:N78 initialize net, discounted and cumulative series.</x:t>
  </x:si>
  <x:si>
    <x:t xml:space="preserve">Annual gross savings</x:t>
  </x:si>
  <x:si>
    <x:t xml:space="preserve">Saving_y = SUM(monthly bill savings where study year = y)</x:t>
  </x:si>
  <x:si>
    <x:t xml:space="preserve">Saving_y: EGP/year. SUMIFS selects the 12 months for each scenario. Annual baseline uses the same grouping of baseline bills.</x:t>
  </x:si>
  <x:si>
    <x:t xml:space="preserve">Aggregates bill savings into annual cash flows. Embedded in Scenarios!C79:C98, G79:G98 and K79:K98. Baseline: B79:B98.</x:t>
  </x:si>
  <x:si>
    <x:t xml:space="preserve">Replacement cost</x:t>
  </x:si>
  <x:si>
    <x:t xml:space="preserve">R_y = battery cost × battery replacement factor if y = battery replacement year &gt; 0, plus inverter cost × inverter replacement factor if y = inverter replacement year &gt; 0</x:t>
  </x:si>
  <x:si>
    <x:t xml:space="preserve">Costs: original component EGP before BOS. Factors: Assumptions and Catalog!C20 and C22. Years: C19 and C21. Each component is replaced at most once.</x:t>
  </x:si>
  <x:si>
    <x:t xml:space="preserve">Books component replacement in its selected year. A year of 0 disables replacement. Embedded in annual net cash-flow formulas.</x:t>
  </x:si>
  <x:si>
    <x:t xml:space="preserve">Annual net cash flow</x:t>
  </x:si>
  <x:si>
    <x:t xml:space="preserve">CF_y = Saving_y - (OM_1 + R_y) × (1 + g_cost)^(y - 1), for y &lt;= N; otherwise 0</x:t>
  </x:si>
  <x:si>
    <x:t xml:space="preserve">OM_1: first-year maintenance, EGP. R_y: replacement at base prices. g_cost: C9. N: study horizon C6. Annual cash flows occur at year-end.</x:t>
  </x:si>
  <x:si>
    <x:t xml:space="preserve">Combines savings, maintenance and replacement into the investment cash flow. Scenarios annual columns C, G and K; year-one summary row 16.</x:t>
  </x:si>
  <x:si>
    <x:t xml:space="preserve">Discounted annual cash flow</x:t>
  </x:si>
  <x:si>
    <x:t xml:space="preserve">DCF_y = CF_y / (1 + r)^y</x:t>
  </x:si>
  <x:si>
    <x:t xml:space="preserve">DCF_y: present-value EGP. r: nominal annual discount rate, Assumptions and Catalog!C7. y: year-end timing.</x:t>
  </x:si>
  <x:si>
    <x:t xml:space="preserve">Converts future net cash flows to their equivalent value today. Scenarios annual columns D, H and L.</x:t>
  </x:si>
  <x:si>
    <x:t xml:space="preserve">Net present value (NPV)</x:t>
  </x:si>
  <x:si>
    <x:t xml:space="preserve">NPV = -CAPEX + SUM(CF_y / (1 + r)^y), y = 1 to N</x:t>
  </x:si>
  <x:si>
    <x:t xml:space="preserve">NPV: EGP today. N: study years. r: discount rate. CF_y: annual net cash flow. Excel implementation sums the discounted column including year zero.</x:t>
  </x:si>
  <x:si>
    <x:t xml:space="preserve">Compares the project with no investment, whose NPV is zero. Positive NPV exceeds the assumed required return. Scenarios!C17:E17.</x:t>
  </x:si>
  <x:si>
    <x:t xml:space="preserve">Cumulative cash flows</x:t>
  </x:si>
  <x:si>
    <x:t xml:space="preserve">Cum_y = Cum_(y-1) + CF_y. DCum_y = DCum_(y-1) + DCF_y. Both start at -CAPEX.</x:t>
  </x:si>
  <x:si>
    <x:t xml:space="preserve">Cum: undiscounted EGP. DCum: discounted EGP. Starting balance is year zero.</x:t>
  </x:si>
  <x:si>
    <x:t xml:space="preserve">Tracks unrecovered investment and identifies payback crossings. Scenarios annual columns E/F, I/J and M/N.</x:t>
  </x:si>
  <x:si>
    <x:t xml:space="preserve">Simple payback</x:t>
  </x:si>
  <x:si>
    <x:t xml:space="preserve">At first crossing: PB = (y - 1) - Cum_(y-1) / CF_y</x:t>
  </x:si>
  <x:si>
    <x:t xml:space="preserve">Crossing requires Cum_y &gt;= 0, Cum_(y-1) &lt; 0, CF_y &gt; 0 and y &lt;= N. Otherwise that year receives helper value 999. MIN selects the first crossing; all 999 means Not reached.</x:t>
  </x:si>
  <x:si>
    <x:t xml:space="preserve">Estimates years to recover investment without discounting. Uses varying annual cash flows, not simply CAPEX / year-one saving. Scenarios!P79:P98, R79:R98, T79:T98; summary row 18.</x:t>
  </x:si>
  <x:si>
    <x:t xml:space="preserve">Discounted payback</x:t>
  </x:si>
  <x:si>
    <x:t xml:space="preserve">At first crossing: DPB = (y - 1) - DCum_(y-1) / DCF_y</x:t>
  </x:si>
  <x:si>
    <x:t xml:space="preserve">Crossing and sentinel logic are the same as simple payback, using discounted balances and cash flows.</x:t>
  </x:si>
  <x:si>
    <x:t xml:space="preserve">Estimates recovery after allowing for the time value of money. Scenarios!Q79:Q98, S79:S98, U79:U98; summary row 19. Fractions interpolate within the crossing year. Later replacement can reduce the balance again.</x:t>
  </x:si>
  <x:si>
    <x:t xml:space="preserve">Incremental battery saving</x:t>
  </x:si>
  <x:si>
    <x:t xml:space="preserve">Delta saving = SUM(first-year PV comparator bills) - SUM(first-year combined-system bills)</x:t>
  </x:si>
  <x:si>
    <x:t xml:space="preserve">Both cases use the same PV and hybrid inverter. Delta saving: EGP/year before maintenance or replacement.</x:t>
  </x:si>
  <x:si>
    <x:t xml:space="preserve">Isolates the first-year bill effect of storage rather than comparing systems with different PV sizes. Scenarios!E31 = SUM(Q661:Q672) - SUM(N661:N672).</x:t>
  </x:si>
  <x:si>
    <x:t xml:space="preserve">Incremental battery cost</x:t>
  </x:si>
  <x:si>
    <x:t xml:space="preserve">Delta CAPEX = combined battery cost × (1 + BOS rate)</x:t>
  </x:si>
  <x:si>
    <x:t xml:space="preserve">Battery cost: Scenarios!E61. BOS rate: Assumptions and Catalog!C17. EGP upfront.</x:t>
  </x:si>
  <x:si>
    <x:t xml:space="preserve">The comparator already has the same hybrid inverter, so this formula includes no inverter upgrade difference, despite the existing broader row label. Scenarios!E32.</x:t>
  </x:si>
  <x:si>
    <x:t xml:space="preserve">System role classification</x:t>
  </x:si>
  <x:si>
    <x:t xml:space="preserve">If first-year bill saving &gt; 0: Bill savings, plus backup when P_backup &gt; 0. Otherwise: Backup without savings when P_backup &gt; 0, else No proven savings.</x:t>
  </x:si>
  <x:si>
    <x:t xml:space="preserve">Uses bill savings before maintenance and backup power, after configuration validity. It does not use NPV to assign the role.</x:t>
  </x:si>
  <x:si>
    <x:t xml:space="preserve">Distinguishes the system's energy/backup role from its investment attractiveness. Scenarios!C24:E24.</x:t>
  </x:si>
  <x:si>
    <x:t xml:space="preserve">Financial classification</x:t>
  </x:si>
  <x:si>
    <x:t xml:space="preserve">NPV &gt; 0: positive. NPV = 0: discounted break-even. NPV &lt; 0: negative. Invalid configuration: invalid result.</x:t>
  </x:si>
  <x:si>
    <x:t xml:space="preserve">NPV uses the selected horizon, discount rate, tariff, costs and replacement assumptions.</x:t>
  </x:si>
  <x:si>
    <x:t xml:space="preserve">Summarizes financial performance separately from bill savings and backup. Scenarios!C25:E25.</x:t>
  </x:si>
  <x:si>
    <x:t xml:space="preserve">Scope and exclusions</x:t>
  </x:si>
  <x:si>
    <x:t xml:space="preserve">Three manually selected configurations. No automatic sizing or optimization equation is used.</x:t>
  </x:si>
  <x:si>
    <x:t xml:space="preserve">No financing, tax, subsidy, salvage value, outage valuation or export revenue. Constant daily load and average solar yield. One representative daily battery cycle.</x:t>
  </x:si>
  <x:si>
    <x:t xml:space="preserve">Defines what the equations cover. The reference documents the existing model; it does not introduce additional economic benefits or a new optimization algorithm.</x:t>
  </x:si>
  <x:si>
    <x:t xml:space="preserve">AVESTA — Scenario Comparison</x:t>
  </x:si>
  <x:si>
    <x:t xml:space="preserve">Three manually selected configurations. Financial results are indicative; no automatic size optimization.</x:t>
  </x:si>
  <x:si>
    <x:t xml:space="preserve">Metric</x:t>
  </x:si>
  <x:si>
    <x:t xml:space="preserve">Unit</x:t>
  </x:si>
  <x:si>
    <x:t xml:space="preserve">Solar only</x:t>
  </x:si>
  <x:si>
    <x:t xml:space="preserve">Battery only</x:t>
  </x:si>
  <x:si>
    <x:t xml:space="preserve">Solar and battery</x:t>
  </x:si>
  <x:si>
    <x:t xml:space="preserve">Configuration status</x:t>
  </x:si>
  <x:si>
    <x:t xml:space="preserve">PV capacity</x:t>
  </x:si>
  <x:si>
    <x:t xml:space="preserve">kWp</x:t>
  </x:si>
  <x:si>
    <x:t xml:space="preserve">Equipment and quantities — edit yellow cells</x:t>
  </x:si>
  <x:si>
    <x:t xml:space="preserve">Nominal battery capacity</x:t>
  </x:si>
  <x:si>
    <x:t xml:space="preserve">kWh</x:t>
  </x:si>
  <x:si>
    <x:t xml:space="preserve">Setting</x:t>
  </x:si>
  <x:si>
    <x:t xml:space="preserve">Inverter capacity</x:t>
  </x:si>
  <x:si>
    <x:t xml:space="preserve">kW</x:t>
  </x:si>
  <x:si>
    <x:t xml:space="preserve">Panel model</x:t>
  </x:si>
  <x:si>
    <x:t xml:space="preserve">Required roof area</x:t>
  </x:si>
  <x:si>
    <x:t xml:space="preserve">m²</x:t>
  </x:si>
  <x:si>
    <x:t xml:space="preserve">Panel quantity</x:t>
  </x:si>
  <x:si>
    <x:t xml:space="preserve">Initial investment</x:t>
  </x:si>
  <x:si>
    <x:t xml:space="preserve">Battery model</x:t>
  </x:si>
  <x:si>
    <x:t xml:space="preserve">Year 1 solar generation</x:t>
  </x:si>
  <x:si>
    <x:t xml:space="preserve">Battery unit quantity</x:t>
  </x:si>
  <x:si>
    <x:t xml:space="preserve">Year 1 baseline bill</x:t>
  </x:si>
  <x:si>
    <x:t xml:space="preserve">Inverter model</x:t>
  </x:si>
  <x:si>
    <x:t xml:space="preserve">Year 1 bill after installation</x:t>
  </x:si>
  <x:si>
    <x:t xml:space="preserve">Reserved share of usable capacity</x:t>
  </x:si>
  <x:si>
    <x:t xml:space="preserve">Year 1 bill savings</x:t>
  </x:si>
  <x:si>
    <x:t xml:space="preserve">Battery-only operating mode</x:t>
  </x:si>
  <x:si>
    <x:t xml:space="preserve">Year 1 savings after maintenance</x:t>
  </x:si>
  <x:si>
    <x:t xml:space="preserve">Grid-charged delivery limit</x:t>
  </x:si>
  <x:si>
    <x:t xml:space="preserve">NPV over study period</x:t>
  </x:si>
  <x:si>
    <x:t xml:space="preserve">Unused fields: battery for solar-only and PV for battery-only. Grid-cycle mode applies only to the battery-only column.</x:t>
  </x:si>
  <x:si>
    <x:t xml:space="preserve">Full-charge backup energy</x:t>
  </x:si>
  <x:si>
    <x:t xml:space="preserve">kWh AC</x:t>
  </x:si>
  <x:si>
    <x:t xml:space="preserve">Maximum backup power</x:t>
  </x:si>
  <x:si>
    <x:t xml:space="preserve">Backup hours from full charge</x:t>
  </x:si>
  <x:si>
    <x:t xml:space="preserve">hours</x:t>
  </x:si>
  <x:si>
    <x:t xml:space="preserve">Reserved backup energy</x:t>
  </x:si>
  <x:si>
    <x:t xml:space="preserve">System role</x:t>
  </x:si>
  <x:si>
    <x:t xml:space="preserve">Financial outcome</x:t>
  </x:si>
  <x:si>
    <x:t xml:space="preserve">Roof area status</x:t>
  </x:si>
  <x:si>
    <x:t xml:space="preserve">Full-charge backup is not guaranteed at outage time. Motor surge, load phase balance and site checks are not modeled.</x:t>
  </x:si>
  <x:si>
    <x:t xml:space="preserve">NPV excludes financing, taxes and outage value. The no-investment baseline has NPV = 0.</x:t>
  </x:si>
  <x:si>
    <x:t xml:space="preserve">Battery savings vs matched PV</x:t>
  </x:si>
  <x:si>
    <x:t xml:space="preserve">EGP/year</x:t>
  </x:si>
  <x:si>
    <x:t xml:space="preserve">Incremental battery investment</x:t>
  </x:si>
  <x:si>
    <x:t xml:space="preserve">Incremental comparison uses the same PV and hybrid inverter without a battery; no cheaper inverter alternative is assumed.</x:t>
  </x:si>
  <x:si>
    <x:t xml:space="preserve">Sizing and cost details</x:t>
  </x:si>
  <x:si>
    <x:t xml:space="preserve">Installed PV (kWp)</x:t>
  </x:si>
  <x:si>
    <x:t xml:space="preserve">Nominal battery capacity (kWh)</x:t>
  </x:si>
  <x:si>
    <x:t xml:space="preserve">Inverter AC rating (kW)</x:t>
  </x:si>
  <x:si>
    <x:t xml:space="preserve">Inverter PV limit (kWp)</x:t>
  </x:si>
  <x:si>
    <x:t xml:space="preserve">Usable internal capacity (kWh)</x:t>
  </x:si>
  <x:si>
    <x:t xml:space="preserve">Battery charge limit (AC kW)</x:t>
  </x:si>
  <x:si>
    <x:t xml:space="preserve">Battery discharge limit (AC kW)</x:t>
  </x:si>
  <x:si>
    <x:t xml:space="preserve">Backup supported 1/0</x:t>
  </x:si>
  <x:si>
    <x:t xml:space="preserve">Required area (m2)</x:t>
  </x:si>
  <x:si>
    <x:t xml:space="preserve">PV panel cost (EGP)</x:t>
  </x:si>
  <x:si>
    <x:t xml:space="preserve">Battery cost (EGP)</x:t>
  </x:si>
  <x:si>
    <x:t xml:space="preserve">Inverter cost (EGP)</x:t>
  </x:si>
  <x:si>
    <x:t xml:space="preserve">Installation and BOS (EGP)</x:t>
  </x:si>
  <x:si>
    <x:t xml:space="preserve">Total investment (EGP)</x:t>
  </x:si>
  <x:si>
    <x:t xml:space="preserve">Model validity 1/0</x:t>
  </x:si>
  <x:si>
    <x:t xml:space="preserve">Compatibility status</x:t>
  </x:si>
  <x:si>
    <x:t xml:space="preserve">Reserved internal energy (kWh)</x:t>
  </x:si>
  <x:si>
    <x:t xml:space="preserve">Full-charge backup (kWh AC)</x:t>
  </x:si>
  <x:si>
    <x:t xml:space="preserve">Backup power (kW)</x:t>
  </x:si>
  <x:si>
    <x:t xml:space="preserve">Year 1 maintenance (EGP)</x:t>
  </x:si>
  <x:si>
    <x:t xml:space="preserve">Annual cash flows — year-end timing</x:t>
  </x:si>
  <x:si>
    <x:t xml:space="preserve">Year</x:t>
  </x:si>
  <x:si>
    <x:t xml:space="preserve">Baseline EGP</x:t>
  </x:si>
  <x:si>
    <x:t xml:space="preserve">Solar net cash flow</x:t>
  </x:si>
  <x:si>
    <x:t xml:space="preserve">Discounted solar cash flow</x:t>
  </x:si>
  <x:si>
    <x:t xml:space="preserve">Solar cumulative CF</x:t>
  </x:si>
  <x:si>
    <x:t xml:space="preserve">Cumulative discounted CF</x:t>
  </x:si>
  <x:si>
    <x:t xml:space="preserve">Battery net cash flow</x:t>
  </x:si>
  <x:si>
    <x:t xml:space="preserve">Discounted battery cash flow</x:t>
  </x:si>
  <x:si>
    <x:t xml:space="preserve">Battery cumulative CF</x:t>
  </x:si>
  <x:si>
    <x:t xml:space="preserve">Combined net cash flow</x:t>
  </x:si>
  <x:si>
    <x:t xml:space="preserve">Discounted combined cash flow</x:t>
  </x:si>
  <x:si>
    <x:t xml:space="preserve">Combined cumulative CF</x:t>
  </x:si>
  <x:si>
    <x:t xml:space="preserve">C Payback</x:t>
  </x:si>
  <x:si>
    <x:t xml:space="preserve">C Discounted</x:t>
  </x:si>
  <x:si>
    <x:t xml:space="preserve">D Payback</x:t>
  </x:si>
  <x:si>
    <x:t xml:space="preserve">D Discounted</x:t>
  </x:si>
  <x:si>
    <x:t xml:space="preserve">E Payback</x:t>
  </x:si>
  <x:si>
    <x:t xml:space="preserve">E Discounted</x:t>
  </x:si>
  <x:si>
    <x:t xml:space="preserve">Payback is the first cumulative cash-flow crossing of zero. Fractional years are interpolated. Later replacement can reduce the balance.</x:t>
  </x:si>
  <x:si>
    <x:t xml:space="preserve">Grants, financing, taxes, residual value and outage value are excluded. A battery does not generate energy.</x:t>
  </x:si>
  <x:si>
    <x:t xml:space="preserve">Annual degradation; one replacement in the selected year. Full-charge backup figures relate to year 1.</x:t>
  </x:si>
  <x:si>
    <x:t xml:space="preserve">Solar only — monthly calculations</x:t>
  </x:si>
  <x:si>
    <x:t xml:space="preserve">month</x:t>
  </x:si>
  <x:si>
    <x:t xml:space="preserve">Days</x:t>
  </x:si>
  <x:si>
    <x:t xml:space="preserve">Day load kWh/d</x:t>
  </x:si>
  <x:si>
    <x:t xml:space="preserve">Night load kWh/d</x:t>
  </x:si>
  <x:si>
    <x:t xml:space="preserve">PV kWh/mo</x:t>
  </x:si>
  <x:si>
    <x:t xml:space="preserve">Direct use kWh/mo</x:t>
  </x:si>
  <x:si>
    <x:t xml:space="preserve">Charge kWh/mo</x:t>
  </x:si>
  <x:si>
    <x:t xml:space="preserve">Discharge kWh/mo</x:t>
  </x:si>
  <x:si>
    <x:t xml:space="preserve">Unused PV kWh/mo</x:t>
  </x:si>
  <x:si>
    <x:t xml:space="preserve">Losses kWh/mo</x:t>
  </x:si>
  <x:si>
    <x:t xml:space="preserve">Grid imports kWh/mo</x:t>
  </x:si>
  <x:si>
    <x:t xml:space="preserve">New bill EGP</x:t>
  </x:si>
  <x:si>
    <x:t xml:space="preserve">Bill savings EGP</x:t>
  </x:si>
  <x:si>
    <x:t xml:space="preserve">Operating capacity kWh</x:t>
  </x:si>
  <x:si>
    <x:t xml:space="preserve">Matched PV-only bill (EGP)</x:t>
  </x:si>
  <x:si>
    <x:t xml:space="preserve">Balance check kWh</x:t>
  </x:si>
  <x:si>
    <x:t xml:space="preserve">Battery only — monthly calculations</x:t>
  </x:si>
  <x:si>
    <x:t xml:space="preserve">Solar and battery — monthly calculations</x:t>
  </x:si>
</x:sst>
</file>

<file path=xl/styles.xml><?xml version="1.0" encoding="utf-8"?>
<styleSheet xmlns="http://schemas.openxmlformats.org/spreadsheetml/2006/main">
  <numFmts count="27">
    <numFmt numFmtId="164" formatCode="#,##0.00;[Red]\(#,##0.00\);\—"/>
    <numFmt numFmtId="165" formatCode="0.0%"/>
    <numFmt numFmtId="166" formatCode="#,##0"/>
    <numFmt numFmtId="167" formatCode="0"/>
    <numFmt numFmtId="168" formatCode="0%"/>
    <numFmt numFmtId="169" formatCode="0.00"/>
    <numFmt numFmtId="170" formatCode="0.0"/>
    <numFmt numFmtId="171" formatCode="#,##0.00;(#,##0.00);&quot;-&quot;"/>
    <numFmt numFmtId="172" formatCode="0.0000%"/>
    <numFmt numFmtId="173" formatCode="#,##0.00"/>
    <numFmt numFmtId="174" formatCode="0.000000"/>
    <numFmt numFmtId="175" formatCode="0.0000000"/>
    <numFmt numFmtId="176" formatCode="0.00%"/>
    <numFmt numFmtId="177" formatCode="0.0000"/>
    <numFmt numFmtId="178" formatCode="&quot;Jan&quot;"/>
    <numFmt numFmtId="179" formatCode="&quot;Feb&quot;"/>
    <numFmt numFmtId="180" formatCode="&quot;Mar&quot;"/>
    <numFmt numFmtId="181" formatCode="&quot;Apr&quot;"/>
    <numFmt numFmtId="182" formatCode="&quot;May&quot;"/>
    <numFmt numFmtId="183" formatCode="&quot;Jun&quot;"/>
    <numFmt numFmtId="184" formatCode="&quot;Jul&quot;"/>
    <numFmt numFmtId="185" formatCode="&quot;Aug&quot;"/>
    <numFmt numFmtId="186" formatCode="&quot;Sep&quot;"/>
    <numFmt numFmtId="187" formatCode="&quot;Oct&quot;"/>
    <numFmt numFmtId="188" formatCode="&quot;Nov&quot;"/>
    <numFmt numFmtId="189" formatCode="&quot;Dec&quot;"/>
    <numFmt numFmtId="190" formatCode="#,##0.00;[Red](#,##0.00);0.00"/>
  </numFmts>
  <fonts count="52">
    <font>
      <sz val="10"/>
      <name val="Arial"/>
      <family val="2"/>
    </font>
    <font>
      <sz val="11"/>
      <name val="Calibri"/>
    </font>
    <font>
      <sz val="11"/>
      <color rgb="FF17283B"/>
      <name val="Arial"/>
    </font>
    <font>
      <b/>
      <sz val="16"/>
      <color rgb="FF16324F"/>
      <name val="Arial"/>
    </font>
    <font>
      <sz val="11"/>
      <color rgb="FF526475"/>
      <name val="Arial"/>
    </font>
    <font>
      <sz val="11"/>
      <color rgb="FF185ABD"/>
      <name val="Arial"/>
    </font>
    <font>
      <b/>
      <sz val="11"/>
      <color rgb="FFFFFFFF"/>
      <name val="Arial"/>
    </font>
    <font>
      <b/>
      <sz val="11"/>
      <color rgb="FF17283B"/>
      <name val="Arial"/>
    </font>
    <font>
      <sz val="11"/>
      <color rgb="FF17283B"/>
      <name val="Arial"/>
    </font>
    <font>
      <b/>
      <sz val="16"/>
      <color rgb="FF16324F"/>
      <name val="Arial"/>
    </font>
    <font>
      <b/>
      <sz val="11"/>
      <color rgb="FF17283B"/>
      <name val="Arial"/>
    </font>
    <font>
      <b/>
      <sz val="11"/>
      <color rgb="FFFFFFFF"/>
      <name val="Arial"/>
    </font>
    <font>
      <sz val="11"/>
      <name val="Carlito"/>
    </font>
    <font>
      <sz val="11"/>
      <color rgb="FF17283B"/>
      <name val="Arial"/>
    </font>
    <font>
      <b/>
      <sz val="16"/>
      <color rgb="FF16324F"/>
      <name val="Arial"/>
    </font>
    <font>
      <b/>
      <sz val="11"/>
      <color rgb="FFFFFFFF"/>
      <name val="Arial"/>
    </font>
    <font>
      <b/>
      <sz val="11"/>
      <color rgb="FF17283B"/>
      <name val="Arial"/>
    </font>
    <font>
      <sz val="11"/>
      <color rgb="FF9C0006"/>
      <name val="Arial"/>
    </font>
    <font>
      <b/>
      <sz val="14"/>
      <color rgb="FF16324F"/>
      <name val="Arial"/>
    </font>
    <font>
      <sz val="10"/>
      <name val="Arial"/>
      <family val="2"/>
    </font>
    <font>
      <sz val="11"/>
      <name val="Calibri"/>
    </font>
    <font>
      <sz val="11"/>
      <color rgb="FF17283B"/>
      <name val="Arial"/>
    </font>
    <font>
      <b/>
      <sz val="16"/>
      <color rgb="FF16324F"/>
      <name val="Arial"/>
    </font>
    <font>
      <sz val="11"/>
      <color rgb="FF526475"/>
      <name val="Arial"/>
    </font>
    <font>
      <sz val="11"/>
      <color rgb="FF185ABD"/>
      <name val="Arial"/>
    </font>
    <font>
      <b/>
      <sz val="11"/>
      <color rgb="FFFFFFFF"/>
      <name val="Arial"/>
    </font>
    <font>
      <b/>
      <sz val="11"/>
      <color rgb="FF17283B"/>
      <name val="Arial"/>
    </font>
    <font>
      <sz val="11"/>
      <color rgb="FF17283B"/>
      <name val="Arial"/>
    </font>
    <font>
      <b/>
      <sz val="16"/>
      <color rgb="FF16324F"/>
      <name val="Arial"/>
    </font>
    <font>
      <b/>
      <sz val="11"/>
      <color rgb="FF17283B"/>
      <name val="Arial"/>
    </font>
    <font>
      <b/>
      <sz val="11"/>
      <color rgb="FFFFFFFF"/>
      <name val="Arial"/>
    </font>
    <font>
      <sz val="11"/>
      <name val="Carlito"/>
    </font>
    <font>
      <sz val="11"/>
      <color rgb="FF17283B"/>
      <name val="Arial"/>
    </font>
    <font>
      <b/>
      <sz val="16"/>
      <color rgb="FF16324F"/>
      <name val="Arial"/>
    </font>
    <font>
      <b/>
      <sz val="11"/>
      <color rgb="FFFFFFFF"/>
      <name val="Arial"/>
    </font>
    <font>
      <b/>
      <sz val="11"/>
      <color rgb="FF17283B"/>
      <name val="Arial"/>
    </font>
    <font>
      <sz val="11"/>
      <color rgb="FF9C0006"/>
      <name val="Arial"/>
    </font>
    <font>
      <b/>
      <sz val="14"/>
      <color rgb="FF16324F"/>
      <name val="Arial"/>
    </font>
    <font>
      <sz val="11"/>
      <name val="Aptos"/>
      <family val="2"/>
    </font>
    <font>
      <sz val="11"/>
      <color rgb="FFFFFFFF"/>
      <name val="Aptos"/>
      <family val="2"/>
    </font>
    <font>
      <sz val="11"/>
      <color rgb="FF17283B"/>
      <name val="Aptos"/>
    </font>
    <font>
      <sz val="11"/>
      <color rgb="FFFFFFFF"/>
      <name val="Aptos"/>
    </font>
    <font>
      <sz val="10"/>
      <color rgb="FFFFFFFF"/>
      <name val="Arial"/>
      <family val="2"/>
    </font>
    <font>
      <u val="single"/>
      <sz val="11"/>
      <color rgb="FF0563C1"/>
      <name val="Aptos"/>
    </font>
    <font>
      <u val="single"/>
      <sz val="11"/>
      <color rgb="FF0563C1"/>
      <name val="Aptos"/>
    </font>
    <font>
      <u val="single"/>
      <sz val="11"/>
      <color rgb="FF0563C1"/>
      <name val="Aptos"/>
    </font>
    <font>
      <sz val="11"/>
      <name val="Carlito"/>
    </font>
    <font>
      <sz val="10"/>
      <color rgb="FF25384A"/>
      <name val="Arial"/>
    </font>
    <font>
      <b/>
      <sz val="10"/>
      <color rgb="FFFFFFFF"/>
      <name val="Arial"/>
    </font>
    <font>
      <sz val="10"/>
      <color rgb="FF0000FF"/>
      <name val="Arial"/>
    </font>
    <font>
      <b/>
      <sz val="10"/>
      <color rgb="FF25384A"/>
      <name val="Arial"/>
    </font>
    <font>
      <b/>
      <sz val="11"/>
      <color rgb="FFFFFFFF"/>
      <name val="Carlito"/>
    </font>
  </fonts>
  <fills count="44">
    <fill>
      <patternFill patternType="none"/>
    </fill>
    <fill>
      <patternFill patternType="gray125"/>
    </fill>
    <fill>
      <patternFill patternType="solid">
        <fgColor rgb="FFFFFFFF"/>
      </patternFill>
    </fill>
    <fill>
      <patternFill patternType="solid">
        <fgColor rgb="FFFFF2CC"/>
      </patternFill>
    </fill>
    <fill>
      <patternFill patternType="solid">
        <fgColor rgb="FF16324F"/>
      </patternFill>
    </fill>
    <fill>
      <patternFill patternType="solid">
        <fgColor rgb="FFDCE6EF"/>
      </patternFill>
    </fill>
    <fill>
      <patternFill patternType="none"/>
    </fill>
    <fill>
      <patternFill patternType="solid">
        <fgColor rgb="FFDCE6EF"/>
      </patternFill>
    </fill>
    <fill>
      <patternFill patternType="solid">
        <fgColor rgb="FF16324F"/>
      </patternFill>
    </fill>
    <fill>
      <patternFill patternType="solid">
        <fgColor rgb="FFF1F5F9"/>
      </patternFill>
    </fill>
    <fill>
      <patternFill patternType="solid">
        <fgColor theme="1"/>
      </patternFill>
    </fill>
    <fill>
      <patternFill patternType="none"/>
    </fill>
    <fill>
      <patternFill patternType="gray125"/>
    </fill>
    <fill>
      <patternFill patternType="solid">
        <fgColor rgb="FFF1F5F9"/>
      </patternFill>
    </fill>
    <fill>
      <patternFill patternType="solid">
        <fgColor rgb="FF16324F"/>
      </patternFill>
    </fill>
    <fill>
      <patternFill patternType="solid">
        <fgColor rgb="FFDCE6EF"/>
      </patternFill>
    </fill>
    <fill>
      <patternFill patternType="solid">
        <fgColor rgb="FFFFF2CC"/>
      </patternFill>
    </fill>
    <fill>
      <patternFill patternType="solid">
        <fgColor rgb="FFFCE4D6"/>
      </patternFill>
    </fill>
    <fill>
      <patternFill patternType="none"/>
    </fill>
    <fill>
      <patternFill patternType="gray125"/>
    </fill>
    <fill>
      <patternFill patternType="solid">
        <fgColor rgb="FFFFFFFF"/>
      </patternFill>
    </fill>
    <fill>
      <patternFill patternType="solid">
        <fgColor rgb="FFFFF2CC"/>
      </patternFill>
    </fill>
    <fill>
      <patternFill patternType="solid">
        <fgColor rgb="FF16324F"/>
      </patternFill>
    </fill>
    <fill>
      <patternFill patternType="solid">
        <fgColor rgb="FFDCE6EF"/>
      </patternFill>
    </fill>
    <fill>
      <patternFill patternType="none"/>
    </fill>
    <fill>
      <patternFill patternType="solid">
        <fgColor rgb="FFDCE6EF"/>
      </patternFill>
    </fill>
    <fill>
      <patternFill patternType="solid">
        <fgColor rgb="FF16324F"/>
      </patternFill>
    </fill>
    <fill>
      <patternFill patternType="solid">
        <fgColor rgb="FFF1F5F9"/>
      </patternFill>
    </fill>
    <fill>
      <patternFill patternType="solid">
        <fgColor theme="1"/>
      </patternFill>
    </fill>
    <fill>
      <patternFill patternType="none"/>
    </fill>
    <fill>
      <patternFill patternType="gray125"/>
    </fill>
    <fill>
      <patternFill patternType="solid">
        <fgColor rgb="FFF1F5F9"/>
      </patternFill>
    </fill>
    <fill>
      <patternFill patternType="solid">
        <fgColor rgb="FF16324F"/>
      </patternFill>
    </fill>
    <fill>
      <patternFill patternType="solid">
        <fgColor rgb="FFDCE6EF"/>
      </patternFill>
    </fill>
    <fill>
      <patternFill patternType="solid">
        <fgColor rgb="FFFFF2CC"/>
      </patternFill>
    </fill>
    <fill>
      <patternFill patternType="solid">
        <fgColor rgb="FFFCE4D6"/>
      </patternFill>
    </fill>
    <fill>
      <patternFill patternType="solid">
        <fgColor rgb="FF17365D"/>
      </patternFill>
    </fill>
    <fill>
      <patternFill patternType="solid">
        <fgColor rgb="FFFFFFFF"/>
      </patternFill>
    </fill>
    <fill>
      <patternFill patternType="solid">
        <fgColor rgb="FFF1F5F9"/>
      </patternFill>
    </fill>
    <fill>
      <patternFill patternType="none"/>
    </fill>
    <fill>
      <patternFill patternType="gray125"/>
    </fill>
    <fill>
      <patternFill patternType="solid">
        <fgColor rgb="FF19344C"/>
      </patternFill>
    </fill>
    <fill>
      <patternFill patternType="solid">
        <fgColor rgb="FFFFF2CC"/>
      </patternFill>
    </fill>
    <fill>
      <patternFill patternType="solid">
        <fgColor rgb="FFDCE6EF"/>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9">
    <xf numFmtId="0" fontId="0" fillId="0" borderId="0"/>
    <xf numFmtId="0" fontId="1" fillId="0" borderId="0"/>
    <xf numFmtId="164" fontId="2" fillId="0" borderId="0" xfId="1" applyNumberFormat="1" applyFont="1" applyAlignment="1">
      <alignment horizontal="left" vertical="center" wrapText="1"/>
    </xf>
    <xf numFmtId="0" fontId="12" fillId="11" borderId="2"/>
    <xf numFmtId="0" fontId="19" fillId="18" borderId="3"/>
    <xf numFmtId="0" fontId="20" fillId="18" borderId="3"/>
    <xf numFmtId="164" fontId="21" fillId="18" borderId="3" xfId="1" applyNumberFormat="1" applyFont="1" applyAlignment="1">
      <alignment horizontal="left" vertical="center" wrapText="1"/>
    </xf>
    <xf numFmtId="0" fontId="31" fillId="29" borderId="5"/>
    <xf numFmtId="0" fontId="46" fillId="39" borderId="6"/>
  </cellStyleXfs>
  <cellXfs count="219">
    <xf numFmtId="0" fontId="0" fillId="0" borderId="0" xfId="0"/>
    <xf numFmtId="0" fontId="10" fillId="7" borderId="1" xfId="2" applyNumberFormat="1" applyFont="1" applyFill="1" applyBorder="1" applyAlignment="1">
      <alignment horizontal="left" vertical="center" wrapText="1"/>
    </xf>
    <xf numFmtId="0" fontId="8" fillId="6" borderId="1" xfId="2" applyNumberFormat="1" applyFont="1" applyFill="1" applyBorder="1" applyAlignment="1">
      <alignment horizontal="left" vertical="center" wrapText="1"/>
    </xf>
    <xf numFmtId="164" fontId="2" fillId="0" borderId="0" xfId="1" applyNumberFormat="1" applyFont="1" applyAlignment="1">
      <alignment vertical="center" wrapText="1"/>
    </xf>
    <xf numFmtId="164" fontId="2" fillId="0" borderId="0" xfId="1" applyNumberFormat="1" applyFont="1" applyAlignment="1">
      <alignment horizontal="left" vertical="center" wrapText="1"/>
    </xf>
    <xf numFmtId="164" fontId="2" fillId="0" borderId="0" xfId="1" applyNumberFormat="1" applyFont="1" applyAlignment="1">
      <alignment vertical="center"/>
    </xf>
    <xf numFmtId="165" fontId="2" fillId="0" borderId="0" xfId="1" applyNumberFormat="1" applyFont="1" applyAlignment="1">
      <alignment vertical="center"/>
    </xf>
    <xf numFmtId="164" fontId="7" fillId="5" borderId="0" xfId="1" applyNumberFormat="1" applyFont="1" applyFill="1" applyAlignment="1">
      <alignment horizontal="center" vertical="center" wrapText="1"/>
    </xf>
    <xf numFmtId="0" fontId="1" fillId="0" borderId="0" xfId="1" applyAlignment="1">
      <alignment wrapText="1"/>
    </xf>
    <xf numFmtId="164" fontId="5" fillId="3" borderId="0" xfId="1" applyNumberFormat="1" applyFont="1" applyFill="1" applyAlignment="1" applyProtection="1">
      <alignment horizontal="left" vertical="center"/>
      <protection locked="0"/>
    </xf>
    <xf numFmtId="164" fontId="5" fillId="3" borderId="0" xfId="1" applyNumberFormat="1" applyFont="1" applyFill="1" applyAlignment="1" applyProtection="1">
      <alignment vertical="center"/>
      <protection locked="0"/>
    </xf>
    <xf numFmtId="1" fontId="5" fillId="3" borderId="0" xfId="1" applyNumberFormat="1" applyFont="1" applyFill="1" applyAlignment="1" applyProtection="1">
      <alignment vertical="center"/>
      <protection locked="0"/>
    </xf>
    <xf numFmtId="165" fontId="5" fillId="3" borderId="0" xfId="1" applyNumberFormat="1" applyFont="1" applyFill="1" applyAlignment="1" applyProtection="1">
      <alignment vertical="center"/>
      <protection locked="0"/>
    </xf>
    <xf numFmtId="164" fontId="2" fillId="0" borderId="0" xfId="1" applyNumberFormat="1" applyFont="1" applyAlignment="1">
      <alignment horizontal="left" vertical="center"/>
    </xf>
    <xf numFmtId="164" fontId="7" fillId="5" borderId="0" xfId="1" applyNumberFormat="1" applyFont="1" applyFill="1" applyAlignment="1">
      <alignment horizontal="left" vertical="center" wrapText="1"/>
    </xf>
    <xf numFmtId="164" fontId="2" fillId="0" borderId="0" xfId="1" applyNumberFormat="1" applyFont="1" applyAlignment="1" applyProtection="1">
      <alignment vertical="center"/>
      <protection locked="0"/>
    </xf>
    <xf numFmtId="0" fontId="10" fillId="6" borderId="1" xfId="2" applyNumberFormat="1" applyFont="1" applyFill="1" applyBorder="1" applyAlignment="1">
      <alignment horizontal="left" vertical="center" wrapText="1"/>
    </xf>
    <xf numFmtId="0" fontId="10" fillId="9" borderId="1" xfId="2" applyNumberFormat="1" applyFont="1" applyFill="1" applyBorder="1" applyAlignment="1">
      <alignment horizontal="left" vertical="center" wrapText="1"/>
    </xf>
    <xf numFmtId="164" fontId="2" fillId="0" borderId="0" xfId="1" applyNumberFormat="1" applyFont="1" applyAlignment="1">
      <alignment vertical="center" wrapText="1"/>
    </xf>
    <xf numFmtId="164" fontId="4" fillId="0" borderId="0" xfId="1" applyNumberFormat="1" applyFont="1" applyAlignment="1">
      <alignment horizontal="left" vertical="center" wrapText="1"/>
    </xf>
    <xf numFmtId="164" fontId="4" fillId="0" borderId="0" xfId="1" applyNumberFormat="1" applyFont="1" applyAlignment="1">
      <alignment vertical="center" wrapText="1"/>
    </xf>
    <xf numFmtId="164" fontId="6" fillId="4" borderId="0" xfId="1" applyNumberFormat="1" applyFont="1" applyFill="1" applyAlignment="1">
      <alignment horizontal="left" vertical="center" wrapText="1"/>
    </xf>
    <xf numFmtId="164" fontId="6" fillId="4" borderId="0" xfId="1" applyNumberFormat="1" applyFont="1" applyFill="1" applyAlignment="1">
      <alignment vertical="center" wrapText="1"/>
    </xf>
    <xf numFmtId="164" fontId="6" fillId="4" borderId="0" xfId="1" applyNumberFormat="1" applyFont="1" applyFill="1" applyAlignment="1">
      <alignment horizontal="left" vertical="center"/>
    </xf>
    <xf numFmtId="164" fontId="3" fillId="2" borderId="0" xfId="1" applyNumberFormat="1" applyFont="1" applyFill="1" applyAlignment="1">
      <alignment vertical="center"/>
    </xf>
    <xf numFmtId="0" fontId="8" fillId="9" borderId="1" xfId="2" applyNumberFormat="1" applyFont="1" applyFill="1" applyBorder="1" applyAlignment="1">
      <alignment horizontal="left" vertical="center" wrapText="1"/>
    </xf>
    <xf numFmtId="0" fontId="8" fillId="6" borderId="1" xfId="2" applyNumberFormat="1" applyFont="1" applyFill="1" applyBorder="1" applyAlignment="1">
      <alignment horizontal="left" vertical="center" wrapText="1"/>
    </xf>
    <xf numFmtId="0" fontId="11" fillId="8" borderId="1" xfId="2" applyNumberFormat="1" applyFont="1" applyFill="1" applyBorder="1" applyAlignment="1">
      <alignment horizontal="left" vertical="center" wrapText="1"/>
    </xf>
    <xf numFmtId="0" fontId="10" fillId="7" borderId="1" xfId="2" applyNumberFormat="1" applyFont="1" applyFill="1" applyBorder="1" applyAlignment="1">
      <alignment horizontal="left" vertical="center" wrapText="1"/>
    </xf>
    <xf numFmtId="0" fontId="9" fillId="6" borderId="1" xfId="2" applyNumberFormat="1" applyFont="1" applyFill="1" applyBorder="1" applyAlignment="1">
      <alignment horizontal="left" vertical="center" wrapText="1"/>
    </xf>
    <xf numFmtId="164" fontId="6" fillId="4" borderId="0" xfId="1" applyNumberFormat="1" applyFont="1" applyFill="1" applyAlignment="1">
      <alignment vertical="center"/>
    </xf>
    <xf numFmtId="0" fontId="0" fillId="10" borderId="0" xfId="0" applyFill="1"/>
    <xf numFmtId="164" fontId="7" fillId="5" borderId="0" xfId="0" applyNumberFormat="1" applyFont="1" applyFill="1" applyBorder="1" applyAlignment="1">
      <alignment horizontal="left" vertical="center" wrapText="1"/>
    </xf>
    <xf numFmtId="164" fontId="2" fillId="0" borderId="0" xfId="0" applyNumberFormat="1" applyFont="1" applyFill="1" applyBorder="1" applyAlignment="1">
      <alignment horizontal="left" vertical="center" wrapText="1"/>
    </xf>
    <xf numFmtId="164" fontId="2" fillId="0" borderId="0" xfId="0" applyNumberFormat="1" applyFont="1" applyFill="1" applyBorder="1" applyAlignment="1">
      <alignment vertical="center" wrapText="1"/>
    </xf>
    <xf numFmtId="164" fontId="5" fillId="3" borderId="0" xfId="0" applyNumberFormat="1" applyFont="1" applyFill="1" applyBorder="1" applyAlignment="1">
      <alignment horizontal="left" vertical="center" wrapText="1"/>
    </xf>
    <xf numFmtId="1" fontId="5" fillId="3" borderId="0" xfId="0" applyNumberFormat="1" applyFont="1" applyFill="1" applyBorder="1" applyAlignment="1">
      <alignment vertical="center" wrapText="1"/>
    </xf>
    <xf numFmtId="165" fontId="5" fillId="3" borderId="0" xfId="0" applyNumberFormat="1" applyFont="1" applyFill="1" applyBorder="1" applyAlignment="1">
      <alignment vertical="center" wrapText="1"/>
    </xf>
    <xf numFmtId="164" fontId="5" fillId="3" borderId="0" xfId="0" applyNumberFormat="1" applyFont="1" applyFill="1" applyBorder="1" applyAlignment="1">
      <alignment vertical="center" wrapText="1"/>
    </xf>
    <xf numFmtId="164" fontId="4" fillId="0" borderId="0" xfId="0" applyNumberFormat="1" applyFont="1" applyFill="1" applyBorder="1" applyAlignment="1">
      <alignment horizontal="left" vertical="center" wrapText="1"/>
    </xf>
    <xf numFmtId="164" fontId="4" fillId="0" borderId="0" xfId="0" applyNumberFormat="1" applyFont="1" applyFill="1" applyBorder="1" applyAlignment="1">
      <alignment vertical="center" wrapText="1"/>
    </xf>
    <xf numFmtId="0" fontId="12" fillId="11" borderId="2" xfId="3"/>
    <xf numFmtId="0" fontId="13" fillId="11" borderId="2" xfId="3" applyNumberFormat="1" applyFont="1" applyFill="1" applyBorder="1"/>
    <xf numFmtId="0" fontId="13" fillId="11" borderId="2" xfId="3" applyNumberFormat="1" applyFont="1" applyFill="1" applyBorder="1" applyAlignment="1">
      <alignment vertical="center"/>
    </xf>
    <xf numFmtId="0" fontId="13" fillId="11" borderId="2" xfId="3" applyNumberFormat="1" applyFont="1" applyFill="1" applyBorder="1" applyAlignment="1">
      <alignment vertical="center" wrapText="1"/>
    </xf>
    <xf numFmtId="0" fontId="14" fillId="11" borderId="2" xfId="3" applyNumberFormat="1" applyFont="1" applyFill="1" applyBorder="1" applyAlignment="1">
      <alignment vertical="center" wrapText="1"/>
    </xf>
    <xf numFmtId="0" fontId="13" fillId="13" borderId="2" xfId="3" applyNumberFormat="1" applyFont="1" applyFill="1" applyBorder="1" applyAlignment="1">
      <alignment vertical="center" wrapText="1"/>
    </xf>
    <xf numFmtId="166" fontId="13" fillId="11" borderId="2" xfId="3" applyNumberFormat="1" applyFont="1" applyFill="1" applyBorder="1" applyAlignment="1">
      <alignment vertical="center" wrapText="1"/>
    </xf>
    <xf numFmtId="166" fontId="13" fillId="13" borderId="2" xfId="3" applyNumberFormat="1" applyFont="1" applyFill="1" applyBorder="1" applyAlignment="1">
      <alignment vertical="center" wrapText="1"/>
    </xf>
    <xf numFmtId="167" fontId="13" fillId="11" borderId="2" xfId="3" applyNumberFormat="1" applyFont="1" applyFill="1" applyBorder="1" applyAlignment="1">
      <alignment vertical="center" wrapText="1"/>
    </xf>
    <xf numFmtId="167" fontId="13" fillId="13" borderId="2" xfId="3" applyNumberFormat="1" applyFont="1" applyFill="1" applyBorder="1" applyAlignment="1">
      <alignment vertical="center" wrapText="1"/>
    </xf>
    <xf numFmtId="168" fontId="13" fillId="11" borderId="2" xfId="3" applyNumberFormat="1" applyFont="1" applyFill="1" applyBorder="1" applyAlignment="1">
      <alignment vertical="center" wrapText="1"/>
    </xf>
    <xf numFmtId="168" fontId="13" fillId="13" borderId="2" xfId="3" applyNumberFormat="1" applyFont="1" applyFill="1" applyBorder="1" applyAlignment="1">
      <alignment vertical="center" wrapText="1"/>
    </xf>
    <xf numFmtId="169" fontId="13" fillId="11" borderId="2" xfId="3" applyNumberFormat="1" applyFont="1" applyFill="1" applyBorder="1" applyAlignment="1">
      <alignment vertical="center" wrapText="1"/>
    </xf>
    <xf numFmtId="169" fontId="13" fillId="13" borderId="2" xfId="3" applyNumberFormat="1" applyFont="1" applyFill="1" applyBorder="1" applyAlignment="1">
      <alignment vertical="center" wrapText="1"/>
    </xf>
    <xf numFmtId="170" fontId="13" fillId="11" borderId="2" xfId="3" applyNumberFormat="1" applyFont="1" applyFill="1" applyBorder="1" applyAlignment="1">
      <alignment vertical="center" wrapText="1"/>
    </xf>
    <xf numFmtId="170" fontId="13" fillId="13" borderId="2" xfId="3" applyNumberFormat="1" applyFont="1" applyFill="1" applyBorder="1" applyAlignment="1">
      <alignment vertical="center" wrapText="1"/>
    </xf>
    <xf numFmtId="171" fontId="13" fillId="11" borderId="2" xfId="3" applyNumberFormat="1" applyFont="1" applyFill="1" applyBorder="1" applyAlignment="1">
      <alignment vertical="center" wrapText="1"/>
    </xf>
    <xf numFmtId="171" fontId="13" fillId="13" borderId="2" xfId="3" applyNumberFormat="1" applyFont="1" applyFill="1" applyBorder="1" applyAlignment="1">
      <alignment vertical="center" wrapText="1"/>
    </xf>
    <xf numFmtId="172" fontId="13" fillId="11" borderId="2" xfId="3" applyNumberFormat="1" applyFont="1" applyFill="1" applyBorder="1" applyAlignment="1">
      <alignment vertical="center" wrapText="1"/>
    </xf>
    <xf numFmtId="172" fontId="13" fillId="13" borderId="2" xfId="3" applyNumberFormat="1" applyFont="1" applyFill="1" applyBorder="1" applyAlignment="1">
      <alignment vertical="center" wrapText="1"/>
    </xf>
    <xf numFmtId="164" fontId="13" fillId="11" borderId="2" xfId="3" applyNumberFormat="1" applyFont="1" applyFill="1" applyBorder="1" applyAlignment="1">
      <alignment vertical="center" wrapText="1"/>
    </xf>
    <xf numFmtId="164" fontId="13" fillId="13" borderId="2" xfId="3" applyNumberFormat="1" applyFont="1" applyFill="1" applyBorder="1" applyAlignment="1">
      <alignment vertical="center" wrapText="1"/>
    </xf>
    <xf numFmtId="173" fontId="13" fillId="11" borderId="2" xfId="3" applyNumberFormat="1" applyFont="1" applyFill="1" applyBorder="1" applyAlignment="1">
      <alignment vertical="center" wrapText="1"/>
    </xf>
    <xf numFmtId="173" fontId="13" fillId="13" borderId="2" xfId="3" applyNumberFormat="1" applyFont="1" applyFill="1" applyBorder="1" applyAlignment="1">
      <alignment vertical="center" wrapText="1"/>
    </xf>
    <xf numFmtId="174" fontId="13" fillId="11" borderId="2" xfId="3" applyNumberFormat="1" applyFont="1" applyFill="1" applyBorder="1" applyAlignment="1">
      <alignment vertical="center" wrapText="1"/>
    </xf>
    <xf numFmtId="174" fontId="13" fillId="13" borderId="2" xfId="3" applyNumberFormat="1" applyFont="1" applyFill="1" applyBorder="1" applyAlignment="1">
      <alignment vertical="center" wrapText="1"/>
    </xf>
    <xf numFmtId="175" fontId="13" fillId="11" borderId="2" xfId="3" applyNumberFormat="1" applyFont="1" applyFill="1" applyBorder="1" applyAlignment="1">
      <alignment vertical="center" wrapText="1"/>
    </xf>
    <xf numFmtId="175" fontId="13" fillId="13" borderId="2" xfId="3" applyNumberFormat="1" applyFont="1" applyFill="1" applyBorder="1" applyAlignment="1">
      <alignment vertical="center" wrapText="1"/>
    </xf>
    <xf numFmtId="0" fontId="13" fillId="14" borderId="2" xfId="3" applyNumberFormat="1" applyFont="1" applyFill="1" applyBorder="1" applyAlignment="1">
      <alignment vertical="center" wrapText="1"/>
    </xf>
    <xf numFmtId="0" fontId="15" fillId="14" borderId="2" xfId="3" applyNumberFormat="1" applyFont="1" applyFill="1" applyBorder="1" applyAlignment="1">
      <alignment vertical="center" wrapText="1"/>
    </xf>
    <xf numFmtId="0" fontId="15" fillId="14" borderId="2" xfId="3" applyNumberFormat="1" applyFont="1" applyFill="1" applyBorder="1" applyAlignment="1">
      <alignment horizontal="center" vertical="center" wrapText="1"/>
    </xf>
    <xf numFmtId="0" fontId="13" fillId="11" borderId="2" xfId="3" applyNumberFormat="1" applyFont="1" applyFill="1" applyBorder="1" applyAlignment="1">
      <alignment horizontal="center" vertical="center" wrapText="1"/>
    </xf>
    <xf numFmtId="0" fontId="13" fillId="13" borderId="2" xfId="3" applyNumberFormat="1" applyFont="1" applyFill="1" applyBorder="1" applyAlignment="1">
      <alignment horizontal="center" vertical="center" wrapText="1"/>
    </xf>
    <xf numFmtId="0" fontId="13" fillId="15" borderId="2" xfId="3" applyNumberFormat="1" applyFont="1" applyFill="1" applyBorder="1" applyAlignment="1">
      <alignment vertical="center" wrapText="1"/>
    </xf>
    <xf numFmtId="0" fontId="16" fillId="15" borderId="2" xfId="3" applyNumberFormat="1" applyFont="1" applyFill="1" applyBorder="1" applyAlignment="1">
      <alignment vertical="center" wrapText="1"/>
    </xf>
    <xf numFmtId="0" fontId="13" fillId="16" borderId="2" xfId="3" applyNumberFormat="1" applyFont="1" applyFill="1" applyBorder="1" applyAlignment="1">
      <alignment vertical="center" wrapText="1"/>
    </xf>
    <xf numFmtId="164" fontId="13" fillId="17" borderId="2" xfId="3" applyNumberFormat="1" applyFont="1" applyFill="1" applyBorder="1" applyAlignment="1">
      <alignment vertical="center" wrapText="1"/>
    </xf>
    <xf numFmtId="164" fontId="17" fillId="17" borderId="2" xfId="3" applyNumberFormat="1" applyFont="1" applyFill="1" applyBorder="1" applyAlignment="1">
      <alignment vertical="center" wrapText="1"/>
    </xf>
    <xf numFmtId="171" fontId="13" fillId="16" borderId="2" xfId="3" applyNumberFormat="1" applyFont="1" applyFill="1" applyBorder="1" applyAlignment="1">
      <alignment vertical="center" wrapText="1"/>
    </xf>
    <xf numFmtId="169" fontId="13" fillId="16" borderId="2" xfId="3" applyNumberFormat="1" applyFont="1" applyFill="1" applyBorder="1" applyAlignment="1">
      <alignment vertical="center" wrapText="1"/>
    </xf>
    <xf numFmtId="0" fontId="18" fillId="11" borderId="2" xfId="3" applyNumberFormat="1" applyFont="1" applyFill="1" applyBorder="1" applyAlignment="1">
      <alignment vertical="center" wrapText="1"/>
    </xf>
    <xf numFmtId="176" fontId="13" fillId="13" borderId="2" xfId="3" applyNumberFormat="1" applyFont="1" applyFill="1" applyBorder="1" applyAlignment="1">
      <alignment vertical="center" wrapText="1"/>
    </xf>
    <xf numFmtId="176" fontId="13" fillId="11" borderId="2" xfId="3" applyNumberFormat="1" applyFont="1" applyFill="1" applyBorder="1" applyAlignment="1">
      <alignment vertical="center" wrapText="1"/>
    </xf>
    <xf numFmtId="0" fontId="19" fillId="18" borderId="3" xfId="4"/>
    <xf numFmtId="0" fontId="29" fillId="25" borderId="4" xfId="6" applyNumberFormat="1" applyFont="1" applyFill="1" applyBorder="1" applyAlignment="1">
      <alignment horizontal="left" vertical="center" wrapText="1"/>
    </xf>
    <xf numFmtId="0" fontId="27" fillId="24" borderId="4" xfId="6" applyNumberFormat="1" applyFont="1" applyFill="1" applyBorder="1" applyAlignment="1">
      <alignment horizontal="left" vertical="center" wrapText="1"/>
    </xf>
    <xf numFmtId="164" fontId="21" fillId="18" borderId="3" xfId="5" applyNumberFormat="1" applyFont="1" applyAlignment="1">
      <alignment vertical="center" wrapText="1"/>
    </xf>
    <xf numFmtId="164" fontId="21" fillId="18" borderId="3" xfId="5" applyNumberFormat="1" applyFont="1" applyAlignment="1">
      <alignment horizontal="left" vertical="center" wrapText="1"/>
    </xf>
    <xf numFmtId="164" fontId="21" fillId="18" borderId="3" xfId="5" applyNumberFormat="1" applyFont="1" applyAlignment="1">
      <alignment vertical="center"/>
    </xf>
    <xf numFmtId="165" fontId="21" fillId="18" borderId="3" xfId="5" applyNumberFormat="1" applyFont="1" applyAlignment="1">
      <alignment vertical="center"/>
    </xf>
    <xf numFmtId="164" fontId="26" fillId="23" borderId="3" xfId="5" applyNumberFormat="1" applyFont="1" applyFill="1" applyAlignment="1">
      <alignment horizontal="center" vertical="center" wrapText="1"/>
    </xf>
    <xf numFmtId="0" fontId="20" fillId="18" borderId="3" xfId="5" applyAlignment="1">
      <alignment wrapText="1"/>
    </xf>
    <xf numFmtId="164" fontId="24" fillId="21" borderId="3" xfId="5" applyNumberFormat="1" applyFont="1" applyFill="1" applyAlignment="1" applyProtection="1">
      <alignment horizontal="left" vertical="center"/>
      <protection locked="0"/>
    </xf>
    <xf numFmtId="164" fontId="24" fillId="21" borderId="3" xfId="5" applyNumberFormat="1" applyFont="1" applyFill="1" applyAlignment="1" applyProtection="1">
      <alignment vertical="center"/>
      <protection locked="0"/>
    </xf>
    <xf numFmtId="1" fontId="24" fillId="21" borderId="3" xfId="5" applyNumberFormat="1" applyFont="1" applyFill="1" applyAlignment="1" applyProtection="1">
      <alignment vertical="center"/>
      <protection locked="0"/>
    </xf>
    <xf numFmtId="165" fontId="24" fillId="21" borderId="3" xfId="5" applyNumberFormat="1" applyFont="1" applyFill="1" applyAlignment="1" applyProtection="1">
      <alignment vertical="center"/>
      <protection locked="0"/>
    </xf>
    <xf numFmtId="164" fontId="21" fillId="18" borderId="3" xfId="5" applyNumberFormat="1" applyFont="1" applyAlignment="1">
      <alignment horizontal="left" vertical="center"/>
    </xf>
    <xf numFmtId="164" fontId="26" fillId="23" borderId="3" xfId="5" applyNumberFormat="1" applyFont="1" applyFill="1" applyAlignment="1">
      <alignment horizontal="left" vertical="center" wrapText="1"/>
    </xf>
    <xf numFmtId="164" fontId="21" fillId="18" borderId="3" xfId="5" applyNumberFormat="1" applyFont="1" applyAlignment="1" applyProtection="1">
      <alignment vertical="center"/>
      <protection locked="0"/>
    </xf>
    <xf numFmtId="0" fontId="29" fillId="24" borderId="4" xfId="6" applyNumberFormat="1" applyFont="1" applyFill="1" applyBorder="1" applyAlignment="1">
      <alignment horizontal="left" vertical="center" wrapText="1"/>
    </xf>
    <xf numFmtId="0" fontId="29" fillId="27" borderId="4" xfId="6" applyNumberFormat="1" applyFont="1" applyFill="1" applyBorder="1" applyAlignment="1">
      <alignment horizontal="left" vertical="center" wrapText="1"/>
    </xf>
    <xf numFmtId="164" fontId="21" fillId="18" borderId="3" xfId="5" applyNumberFormat="1" applyFont="1" applyAlignment="1">
      <alignment vertical="center" wrapText="1"/>
    </xf>
    <xf numFmtId="164" fontId="23" fillId="18" borderId="3" xfId="5" applyNumberFormat="1" applyFont="1" applyAlignment="1">
      <alignment horizontal="left" vertical="center" wrapText="1"/>
    </xf>
    <xf numFmtId="164" fontId="23" fillId="18" borderId="3" xfId="5" applyNumberFormat="1" applyFont="1" applyAlignment="1">
      <alignment vertical="center" wrapText="1"/>
    </xf>
    <xf numFmtId="164" fontId="25" fillId="22" borderId="3" xfId="5" applyNumberFormat="1" applyFont="1" applyFill="1" applyAlignment="1">
      <alignment horizontal="left" vertical="center" wrapText="1"/>
    </xf>
    <xf numFmtId="164" fontId="25" fillId="22" borderId="3" xfId="5" applyNumberFormat="1" applyFont="1" applyFill="1" applyAlignment="1">
      <alignment vertical="center" wrapText="1"/>
    </xf>
    <xf numFmtId="164" fontId="25" fillId="22" borderId="3" xfId="5" applyNumberFormat="1" applyFont="1" applyFill="1" applyAlignment="1">
      <alignment horizontal="left" vertical="center"/>
    </xf>
    <xf numFmtId="164" fontId="22" fillId="20" borderId="3" xfId="5" applyNumberFormat="1" applyFont="1" applyFill="1" applyAlignment="1">
      <alignment vertical="center"/>
    </xf>
    <xf numFmtId="0" fontId="27" fillId="27" borderId="4" xfId="6" applyNumberFormat="1" applyFont="1" applyFill="1" applyBorder="1" applyAlignment="1">
      <alignment horizontal="left" vertical="center" wrapText="1"/>
    </xf>
    <xf numFmtId="0" fontId="27" fillId="24" borderId="4" xfId="6" applyNumberFormat="1" applyFont="1" applyFill="1" applyBorder="1" applyAlignment="1">
      <alignment horizontal="left" vertical="center" wrapText="1"/>
    </xf>
    <xf numFmtId="0" fontId="30" fillId="26" borderId="4" xfId="6" applyNumberFormat="1" applyFont="1" applyFill="1" applyBorder="1" applyAlignment="1">
      <alignment horizontal="left" vertical="center" wrapText="1"/>
    </xf>
    <xf numFmtId="0" fontId="29" fillId="25" borderId="4" xfId="6" applyNumberFormat="1" applyFont="1" applyFill="1" applyBorder="1" applyAlignment="1">
      <alignment horizontal="left" vertical="center" wrapText="1"/>
    </xf>
    <xf numFmtId="0" fontId="28" fillId="24" borderId="4" xfId="6" applyNumberFormat="1" applyFont="1" applyFill="1" applyBorder="1" applyAlignment="1">
      <alignment horizontal="left" vertical="center" wrapText="1"/>
    </xf>
    <xf numFmtId="164" fontId="25" fillId="22" borderId="3" xfId="5" applyNumberFormat="1" applyFont="1" applyFill="1" applyAlignment="1">
      <alignment vertical="center"/>
    </xf>
    <xf numFmtId="0" fontId="19" fillId="28" borderId="3" xfId="4" applyFill="1"/>
    <xf numFmtId="164" fontId="26" fillId="23" borderId="3" xfId="4" applyNumberFormat="1" applyFont="1" applyFill="1" applyBorder="1" applyAlignment="1">
      <alignment horizontal="left" vertical="center" wrapText="1"/>
    </xf>
    <xf numFmtId="164" fontId="21" fillId="18" borderId="3" xfId="4" applyNumberFormat="1" applyFont="1" applyFill="1" applyBorder="1" applyAlignment="1">
      <alignment horizontal="left" vertical="center" wrapText="1"/>
    </xf>
    <xf numFmtId="164" fontId="21" fillId="18" borderId="3" xfId="4" applyNumberFormat="1" applyFont="1" applyFill="1" applyBorder="1" applyAlignment="1">
      <alignment vertical="center" wrapText="1"/>
    </xf>
    <xf numFmtId="164" fontId="24" fillId="21" borderId="3" xfId="4" applyNumberFormat="1" applyFont="1" applyFill="1" applyBorder="1" applyAlignment="1">
      <alignment horizontal="left" vertical="center" wrapText="1"/>
    </xf>
    <xf numFmtId="1" fontId="24" fillId="21" borderId="3" xfId="4" applyNumberFormat="1" applyFont="1" applyFill="1" applyBorder="1" applyAlignment="1">
      <alignment vertical="center" wrapText="1"/>
    </xf>
    <xf numFmtId="165" fontId="24" fillId="21" borderId="3" xfId="4" applyNumberFormat="1" applyFont="1" applyFill="1" applyBorder="1" applyAlignment="1">
      <alignment vertical="center" wrapText="1"/>
    </xf>
    <xf numFmtId="164" fontId="24" fillId="21" borderId="3" xfId="4" applyNumberFormat="1" applyFont="1" applyFill="1" applyBorder="1" applyAlignment="1">
      <alignment vertical="center" wrapText="1"/>
    </xf>
    <xf numFmtId="164" fontId="23" fillId="18" borderId="3" xfId="4" applyNumberFormat="1" applyFont="1" applyFill="1" applyBorder="1" applyAlignment="1">
      <alignment horizontal="left" vertical="center" wrapText="1"/>
    </xf>
    <xf numFmtId="164" fontId="23" fillId="18" borderId="3" xfId="4" applyNumberFormat="1" applyFont="1" applyFill="1" applyBorder="1" applyAlignment="1">
      <alignment vertical="center" wrapText="1"/>
    </xf>
    <xf numFmtId="0" fontId="31" fillId="29" borderId="5" xfId="7"/>
    <xf numFmtId="0" fontId="32" fillId="29" borderId="5" xfId="7" applyNumberFormat="1" applyFont="1" applyFill="1" applyBorder="1"/>
    <xf numFmtId="0" fontId="32" fillId="29" borderId="5" xfId="7" applyNumberFormat="1" applyFont="1" applyFill="1" applyBorder="1" applyAlignment="1">
      <alignment vertical="center"/>
    </xf>
    <xf numFmtId="0" fontId="32" fillId="29" borderId="5" xfId="7" applyNumberFormat="1" applyFont="1" applyFill="1" applyBorder="1" applyAlignment="1">
      <alignment vertical="center" wrapText="1"/>
    </xf>
    <xf numFmtId="0" fontId="33" fillId="29" borderId="5" xfId="7" applyNumberFormat="1" applyFont="1" applyFill="1" applyBorder="1" applyAlignment="1">
      <alignment vertical="center" wrapText="1"/>
    </xf>
    <xf numFmtId="0" fontId="32" fillId="31" borderId="5" xfId="7" applyNumberFormat="1" applyFont="1" applyFill="1" applyBorder="1" applyAlignment="1">
      <alignment vertical="center" wrapText="1"/>
    </xf>
    <xf numFmtId="166" fontId="32" fillId="29" borderId="5" xfId="7" applyNumberFormat="1" applyFont="1" applyFill="1" applyBorder="1" applyAlignment="1">
      <alignment vertical="center" wrapText="1"/>
    </xf>
    <xf numFmtId="166" fontId="32" fillId="31" borderId="5" xfId="7" applyNumberFormat="1" applyFont="1" applyFill="1" applyBorder="1" applyAlignment="1">
      <alignment vertical="center" wrapText="1"/>
    </xf>
    <xf numFmtId="167" fontId="32" fillId="29" borderId="5" xfId="7" applyNumberFormat="1" applyFont="1" applyFill="1" applyBorder="1" applyAlignment="1">
      <alignment vertical="center" wrapText="1"/>
    </xf>
    <xf numFmtId="167" fontId="32" fillId="31" borderId="5" xfId="7" applyNumberFormat="1" applyFont="1" applyFill="1" applyBorder="1" applyAlignment="1">
      <alignment vertical="center" wrapText="1"/>
    </xf>
    <xf numFmtId="168" fontId="32" fillId="29" borderId="5" xfId="7" applyNumberFormat="1" applyFont="1" applyFill="1" applyBorder="1" applyAlignment="1">
      <alignment vertical="center" wrapText="1"/>
    </xf>
    <xf numFmtId="168" fontId="32" fillId="31" borderId="5" xfId="7" applyNumberFormat="1" applyFont="1" applyFill="1" applyBorder="1" applyAlignment="1">
      <alignment vertical="center" wrapText="1"/>
    </xf>
    <xf numFmtId="169" fontId="32" fillId="29" borderId="5" xfId="7" applyNumberFormat="1" applyFont="1" applyFill="1" applyBorder="1" applyAlignment="1">
      <alignment vertical="center" wrapText="1"/>
    </xf>
    <xf numFmtId="169" fontId="32" fillId="31" borderId="5" xfId="7" applyNumberFormat="1" applyFont="1" applyFill="1" applyBorder="1" applyAlignment="1">
      <alignment vertical="center" wrapText="1"/>
    </xf>
    <xf numFmtId="170" fontId="32" fillId="29" borderId="5" xfId="7" applyNumberFormat="1" applyFont="1" applyFill="1" applyBorder="1" applyAlignment="1">
      <alignment vertical="center" wrapText="1"/>
    </xf>
    <xf numFmtId="170" fontId="32" fillId="31" borderId="5" xfId="7" applyNumberFormat="1" applyFont="1" applyFill="1" applyBorder="1" applyAlignment="1">
      <alignment vertical="center" wrapText="1"/>
    </xf>
    <xf numFmtId="171" fontId="32" fillId="29" borderId="5" xfId="7" applyNumberFormat="1" applyFont="1" applyFill="1" applyBorder="1" applyAlignment="1">
      <alignment vertical="center" wrapText="1"/>
    </xf>
    <xf numFmtId="171" fontId="32" fillId="31" borderId="5" xfId="7" applyNumberFormat="1" applyFont="1" applyFill="1" applyBorder="1" applyAlignment="1">
      <alignment vertical="center" wrapText="1"/>
    </xf>
    <xf numFmtId="172" fontId="32" fillId="29" borderId="5" xfId="7" applyNumberFormat="1" applyFont="1" applyFill="1" applyBorder="1" applyAlignment="1">
      <alignment vertical="center" wrapText="1"/>
    </xf>
    <xf numFmtId="172" fontId="32" fillId="31" borderId="5" xfId="7" applyNumberFormat="1" applyFont="1" applyFill="1" applyBorder="1" applyAlignment="1">
      <alignment vertical="center" wrapText="1"/>
    </xf>
    <xf numFmtId="164" fontId="32" fillId="29" borderId="5" xfId="7" applyNumberFormat="1" applyFont="1" applyFill="1" applyBorder="1" applyAlignment="1">
      <alignment vertical="center" wrapText="1"/>
    </xf>
    <xf numFmtId="164" fontId="32" fillId="31" borderId="5" xfId="7" applyNumberFormat="1" applyFont="1" applyFill="1" applyBorder="1" applyAlignment="1">
      <alignment vertical="center" wrapText="1"/>
    </xf>
    <xf numFmtId="173" fontId="32" fillId="29" borderId="5" xfId="7" applyNumberFormat="1" applyFont="1" applyFill="1" applyBorder="1" applyAlignment="1">
      <alignment vertical="center" wrapText="1"/>
    </xf>
    <xf numFmtId="173" fontId="32" fillId="31" borderId="5" xfId="7" applyNumberFormat="1" applyFont="1" applyFill="1" applyBorder="1" applyAlignment="1">
      <alignment vertical="center" wrapText="1"/>
    </xf>
    <xf numFmtId="174" fontId="32" fillId="29" borderId="5" xfId="7" applyNumberFormat="1" applyFont="1" applyFill="1" applyBorder="1" applyAlignment="1">
      <alignment vertical="center" wrapText="1"/>
    </xf>
    <xf numFmtId="174" fontId="32" fillId="31" borderId="5" xfId="7" applyNumberFormat="1" applyFont="1" applyFill="1" applyBorder="1" applyAlignment="1">
      <alignment vertical="center" wrapText="1"/>
    </xf>
    <xf numFmtId="175" fontId="32" fillId="29" borderId="5" xfId="7" applyNumberFormat="1" applyFont="1" applyFill="1" applyBorder="1" applyAlignment="1">
      <alignment vertical="center" wrapText="1"/>
    </xf>
    <xf numFmtId="175" fontId="32" fillId="31" borderId="5" xfId="7" applyNumberFormat="1" applyFont="1" applyFill="1" applyBorder="1" applyAlignment="1">
      <alignment vertical="center" wrapText="1"/>
    </xf>
    <xf numFmtId="0" fontId="32" fillId="32" borderId="5" xfId="7" applyNumberFormat="1" applyFont="1" applyFill="1" applyBorder="1" applyAlignment="1">
      <alignment vertical="center" wrapText="1"/>
    </xf>
    <xf numFmtId="0" fontId="34" fillId="32" borderId="5" xfId="7" applyNumberFormat="1" applyFont="1" applyFill="1" applyBorder="1" applyAlignment="1">
      <alignment vertical="center" wrapText="1"/>
    </xf>
    <xf numFmtId="0" fontId="34" fillId="32" borderId="5" xfId="7" applyNumberFormat="1" applyFont="1" applyFill="1" applyBorder="1" applyAlignment="1">
      <alignment horizontal="center" vertical="center" wrapText="1"/>
    </xf>
    <xf numFmtId="0" fontId="32" fillId="29" borderId="5" xfId="7" applyNumberFormat="1" applyFont="1" applyFill="1" applyBorder="1" applyAlignment="1">
      <alignment horizontal="center" vertical="center" wrapText="1"/>
    </xf>
    <xf numFmtId="0" fontId="32" fillId="31" borderId="5" xfId="7" applyNumberFormat="1" applyFont="1" applyFill="1" applyBorder="1" applyAlignment="1">
      <alignment horizontal="center" vertical="center" wrapText="1"/>
    </xf>
    <xf numFmtId="0" fontId="32" fillId="33" borderId="5" xfId="7" applyNumberFormat="1" applyFont="1" applyFill="1" applyBorder="1" applyAlignment="1">
      <alignment vertical="center" wrapText="1"/>
    </xf>
    <xf numFmtId="0" fontId="35" fillId="33" borderId="5" xfId="7" applyNumberFormat="1" applyFont="1" applyFill="1" applyBorder="1" applyAlignment="1">
      <alignment vertical="center" wrapText="1"/>
    </xf>
    <xf numFmtId="0" fontId="32" fillId="34" borderId="5" xfId="7" applyNumberFormat="1" applyFont="1" applyFill="1" applyBorder="1" applyAlignment="1">
      <alignment vertical="center" wrapText="1"/>
    </xf>
    <xf numFmtId="164" fontId="32" fillId="35" borderId="5" xfId="7" applyNumberFormat="1" applyFont="1" applyFill="1" applyBorder="1" applyAlignment="1">
      <alignment vertical="center" wrapText="1"/>
    </xf>
    <xf numFmtId="164" fontId="36" fillId="35" borderId="5" xfId="7" applyNumberFormat="1" applyFont="1" applyFill="1" applyBorder="1" applyAlignment="1">
      <alignment vertical="center" wrapText="1"/>
    </xf>
    <xf numFmtId="171" fontId="32" fillId="34" borderId="5" xfId="7" applyNumberFormat="1" applyFont="1" applyFill="1" applyBorder="1" applyAlignment="1">
      <alignment vertical="center" wrapText="1"/>
    </xf>
    <xf numFmtId="169" fontId="32" fillId="34" borderId="5" xfId="7" applyNumberFormat="1" applyFont="1" applyFill="1" applyBorder="1" applyAlignment="1">
      <alignment vertical="center" wrapText="1"/>
    </xf>
    <xf numFmtId="0" fontId="37" fillId="29" borderId="5" xfId="7" applyNumberFormat="1" applyFont="1" applyFill="1" applyBorder="1" applyAlignment="1">
      <alignment vertical="center" wrapText="1"/>
    </xf>
    <xf numFmtId="176" fontId="32" fillId="31" borderId="5" xfId="7" applyNumberFormat="1" applyFont="1" applyFill="1" applyBorder="1" applyAlignment="1">
      <alignment vertical="center" wrapText="1"/>
    </xf>
    <xf numFmtId="176" fontId="32" fillId="29" borderId="5" xfId="7" applyNumberFormat="1" applyFont="1" applyFill="1" applyBorder="1" applyAlignment="1">
      <alignment vertical="center" wrapText="1"/>
    </xf>
    <xf numFmtId="0" fontId="38" fillId="18" borderId="3" xfId="4" applyNumberFormat="1" applyFont="1" applyFill="1" applyBorder="1"/>
    <xf numFmtId="0" fontId="38" fillId="18" borderId="3" xfId="4" applyNumberFormat="1" applyFont="1" applyFill="1" applyBorder="1" applyAlignment="1">
      <alignment wrapText="1"/>
    </xf>
    <xf numFmtId="0" fontId="38" fillId="18" borderId="3" xfId="4" applyNumberFormat="1" applyFont="1" applyFill="1" applyBorder="1" applyAlignment="1">
      <alignment vertical="center" wrapText="1"/>
    </xf>
    <xf numFmtId="0" fontId="38" fillId="36" borderId="3" xfId="4" applyNumberFormat="1" applyFont="1" applyFill="1" applyBorder="1" applyAlignment="1">
      <alignment vertical="center" wrapText="1"/>
    </xf>
    <xf numFmtId="0" fontId="39" fillId="36" borderId="3" xfId="4" applyNumberFormat="1" applyFont="1" applyFill="1" applyBorder="1" applyAlignment="1">
      <alignment vertical="center" wrapText="1"/>
    </xf>
    <xf numFmtId="0" fontId="38" fillId="37" borderId="3" xfId="4" applyNumberFormat="1" applyFont="1" applyFill="1" applyBorder="1" applyAlignment="1">
      <alignment vertical="center" wrapText="1"/>
    </xf>
    <xf numFmtId="0" fontId="38" fillId="38" borderId="3" xfId="4" applyNumberFormat="1" applyFont="1" applyFill="1" applyBorder="1" applyAlignment="1">
      <alignment vertical="center" wrapText="1"/>
    </xf>
    <xf numFmtId="164" fontId="40" fillId="18" borderId="3" xfId="4" applyNumberFormat="1" applyFont="1" applyFill="1" applyBorder="1" applyAlignment="1">
      <alignment vertical="center"/>
    </xf>
    <xf numFmtId="164" fontId="40" fillId="36" borderId="3" xfId="4" applyNumberFormat="1" applyFont="1" applyFill="1" applyBorder="1" applyAlignment="1">
      <alignment vertical="center"/>
    </xf>
    <xf numFmtId="164" fontId="41" fillId="36" borderId="3" xfId="4" applyNumberFormat="1" applyFont="1" applyFill="1" applyBorder="1" applyAlignment="1">
      <alignment vertical="center"/>
    </xf>
    <xf numFmtId="0" fontId="19" fillId="36" borderId="3" xfId="4" applyNumberFormat="1" applyFont="1" applyFill="1" applyBorder="1"/>
    <xf numFmtId="0" fontId="42" fillId="36" borderId="3" xfId="4" applyNumberFormat="1" applyFont="1" applyFill="1" applyBorder="1"/>
    <xf numFmtId="1" fontId="40" fillId="18" borderId="3" xfId="4" applyNumberFormat="1" applyFont="1" applyFill="1" applyBorder="1" applyAlignment="1">
      <alignment vertical="center"/>
    </xf>
    <xf numFmtId="1" fontId="40" fillId="18" borderId="3" xfId="4" applyNumberFormat="1" applyFont="1" applyFill="1" applyBorder="1" applyAlignment="1">
      <alignment vertical="center"/>
    </xf>
    <xf numFmtId="1" fontId="40" fillId="18" borderId="3" xfId="4" applyNumberFormat="1" applyFont="1" applyFill="1" applyBorder="1" applyAlignment="1">
      <alignment vertical="center"/>
    </xf>
    <xf numFmtId="1" fontId="40" fillId="18" borderId="3" xfId="4" applyNumberFormat="1" applyFont="1" applyFill="1" applyBorder="1" applyAlignment="1">
      <alignment vertical="center"/>
    </xf>
    <xf numFmtId="1" fontId="40" fillId="18" borderId="3" xfId="4" applyNumberFormat="1" applyFont="1" applyFill="1" applyBorder="1" applyAlignment="1">
      <alignment vertical="center"/>
    </xf>
    <xf numFmtId="1" fontId="40" fillId="18" borderId="3" xfId="4" applyNumberFormat="1" applyFont="1" applyFill="1" applyBorder="1" applyAlignment="1">
      <alignment vertical="center"/>
    </xf>
    <xf numFmtId="164" fontId="43" fillId="18" borderId="3" xfId="4" applyNumberFormat="1" applyFont="1" applyFill="1" applyBorder="1" applyAlignment="1">
      <alignment vertical="center"/>
    </xf>
    <xf numFmtId="164" fontId="44" fillId="18" borderId="3" xfId="4" applyNumberFormat="1" applyFont="1" applyFill="1" applyBorder="1" applyAlignment="1">
      <alignment vertical="center"/>
    </xf>
    <xf numFmtId="164" fontId="45" fillId="18" borderId="3" xfId="4" applyNumberFormat="1" applyFont="1" applyFill="1" applyBorder="1" applyAlignment="1">
      <alignment vertical="center"/>
    </xf>
    <xf numFmtId="0" fontId="46" fillId="39" borderId="6" xfId="8"/>
    <xf numFmtId="0" fontId="47" fillId="39" borderId="6" xfId="8" applyNumberFormat="1" applyFont="1" applyFill="1" applyBorder="1"/>
    <xf numFmtId="0" fontId="47" fillId="41" borderId="6" xfId="8" applyNumberFormat="1" applyFont="1" applyFill="1" applyBorder="1"/>
    <xf numFmtId="0" fontId="48" fillId="41" borderId="6" xfId="8" applyNumberFormat="1" applyFont="1" applyFill="1" applyBorder="1"/>
    <xf numFmtId="0" fontId="47" fillId="42" borderId="6" xfId="8" applyNumberFormat="1" applyFont="1" applyFill="1" applyBorder="1"/>
    <xf numFmtId="0" fontId="49" fillId="42" borderId="6" xfId="8" applyNumberFormat="1" applyFont="1" applyFill="1" applyBorder="1"/>
    <xf numFmtId="177" fontId="47" fillId="39" borderId="6" xfId="8" applyNumberFormat="1" applyFont="1" applyFill="1" applyBorder="1"/>
    <xf numFmtId="168" fontId="47" fillId="39" borderId="6" xfId="8" applyNumberFormat="1" applyFont="1" applyFill="1" applyBorder="1"/>
    <xf numFmtId="0" fontId="47" fillId="43" borderId="6" xfId="8" applyNumberFormat="1" applyFont="1" applyFill="1" applyBorder="1"/>
    <xf numFmtId="0" fontId="50" fillId="43" borderId="6" xfId="8" applyNumberFormat="1" applyFont="1" applyFill="1" applyBorder="1"/>
    <xf numFmtId="0" fontId="50" fillId="43" borderId="6" xfId="8" applyNumberFormat="1" applyFont="1" applyFill="1" applyBorder="1" applyAlignment="1">
      <alignment wrapText="1"/>
    </xf>
    <xf numFmtId="178" fontId="47" fillId="39" borderId="6" xfId="8" applyNumberFormat="1" applyFont="1" applyFill="1" applyBorder="1"/>
    <xf numFmtId="179" fontId="47" fillId="39" borderId="6" xfId="8" applyNumberFormat="1" applyFont="1" applyFill="1" applyBorder="1"/>
    <xf numFmtId="180" fontId="47" fillId="39" borderId="6" xfId="8" applyNumberFormat="1" applyFont="1" applyFill="1" applyBorder="1"/>
    <xf numFmtId="181" fontId="47" fillId="39" borderId="6" xfId="8" applyNumberFormat="1" applyFont="1" applyFill="1" applyBorder="1"/>
    <xf numFmtId="182" fontId="47" fillId="39" borderId="6" xfId="8" applyNumberFormat="1" applyFont="1" applyFill="1" applyBorder="1"/>
    <xf numFmtId="183" fontId="47" fillId="39" borderId="6" xfId="8" applyNumberFormat="1" applyFont="1" applyFill="1" applyBorder="1"/>
    <xf numFmtId="184" fontId="47" fillId="39" borderId="6" xfId="8" applyNumberFormat="1" applyFont="1" applyFill="1" applyBorder="1"/>
    <xf numFmtId="185" fontId="47" fillId="39" borderId="6" xfId="8" applyNumberFormat="1" applyFont="1" applyFill="1" applyBorder="1"/>
    <xf numFmtId="186" fontId="47" fillId="39" borderId="6" xfId="8" applyNumberFormat="1" applyFont="1" applyFill="1" applyBorder="1"/>
    <xf numFmtId="187" fontId="47" fillId="39" borderId="6" xfId="8" applyNumberFormat="1" applyFont="1" applyFill="1" applyBorder="1"/>
    <xf numFmtId="188" fontId="47" fillId="39" borderId="6" xfId="8" applyNumberFormat="1" applyFont="1" applyFill="1" applyBorder="1"/>
    <xf numFmtId="189" fontId="47" fillId="39" borderId="6" xfId="8" applyNumberFormat="1" applyFont="1" applyFill="1" applyBorder="1"/>
    <xf numFmtId="190" fontId="47" fillId="39" borderId="6" xfId="8" applyNumberFormat="1" applyFont="1" applyFill="1" applyBorder="1"/>
    <xf numFmtId="190" fontId="47" fillId="43" borderId="6" xfId="8" applyNumberFormat="1" applyFont="1" applyFill="1" applyBorder="1"/>
    <xf numFmtId="190" fontId="50" fillId="43" borderId="6" xfId="8" applyNumberFormat="1" applyFont="1" applyFill="1" applyBorder="1"/>
    <xf numFmtId="0" fontId="46" fillId="41" borderId="6" xfId="8" applyNumberFormat="1" applyFont="1" applyFill="1" applyBorder="1"/>
    <xf numFmtId="0" fontId="51" fillId="41" borderId="6" xfId="8" applyNumberFormat="1" applyFont="1" applyFill="1" applyBorder="1"/>
    <xf numFmtId="0" fontId="51" fillId="41" borderId="6" xfId="8" applyNumberFormat="1" applyFont="1" applyFill="1" applyBorder="1" applyAlignment="1">
      <alignment wrapText="1"/>
    </xf>
    <xf numFmtId="169" fontId="46" fillId="39" borderId="6" xfId="8" applyNumberFormat="1" applyFont="1" applyFill="1" applyBorder="1"/>
  </cellXfs>
  <cellStyles count="2">
    <cellStyle name="Normal" xfId="0"/>
    <cellStyle name="Normal 2" xfId="1"/>
  </cellStyles>
  <dxfs count="9">
    <dxf>
      <font>
        <color rgb="FFA61C00"/>
      </font>
      <fill>
        <patternFill>
          <bgColor rgb="FFFCE8E6"/>
        </patternFill>
      </fill>
    </dxf>
    <dxf>
      <font>
        <color rgb="FFA61C00"/>
      </font>
      <fill>
        <patternFill>
          <bgColor rgb="FFFCE8E6"/>
        </patternFill>
      </fill>
    </dxf>
    <dxf>
      <font>
        <color rgb="FF777777"/>
      </font>
      <fill>
        <patternFill>
          <bgColor rgb="FFE7E6E6"/>
        </patternFill>
      </fill>
    </dxf>
    <dxf>
      <font>
        <color rgb="FF777777"/>
      </font>
      <fill>
        <patternFill>
          <bgColor rgb="FFE7E6E6"/>
        </patternFill>
      </fill>
    </dxf>
    <dxf>
      <font>
        <color rgb="FF777777"/>
      </font>
      <fill>
        <patternFill>
          <bgColor rgb="FFE7E6E6"/>
        </patternFill>
      </fill>
    </dxf>
    <dxf>
      <font>
        <color rgb="FF777777"/>
      </font>
      <fill>
        <patternFill>
          <bgColor rgb="FFE7E6E6"/>
        </patternFill>
      </fill>
    </dxf>
    <dxf>
      <font>
        <color rgb="FF777777"/>
      </font>
      <fill>
        <patternFill>
          <bgColor rgb="FFE7E6E6"/>
        </patternFill>
      </fill>
    </dxf>
    <dxf>
      <font>
        <b/>
        <color rgb="FF9C0006"/>
      </font>
      <fill>
        <patternFill patternType="solid">
          <fgColor rgb="FFFCE4D6"/>
          <bgColor indexed="64"/>
        </patternFill>
      </fill>
    </dxf>
    <dxf>
      <font>
        <b/>
        <color rgb="FF9C6500"/>
      </font>
      <fill>
        <patternFill patternType="solid">
          <fgColor rgb="FFFFF2CC"/>
          <bgColor indexed="6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37C78"/>
      <rgbColor rgb="FFC0C0C0"/>
      <rgbColor rgb="FF777777"/>
      <rgbColor rgb="FF9999FF"/>
      <rgbColor rgb="FF993366"/>
      <rgbColor rgb="FFFFF2CC"/>
      <rgbColor rgb="FFDCE6EF"/>
      <rgbColor rgb="FF660066"/>
      <rgbColor rgb="FFFF8080"/>
      <rgbColor rgb="FF185ABD"/>
      <rgbColor rgb="FFCCCCFF"/>
      <rgbColor rgb="FF000080"/>
      <rgbColor rgb="FFFF00FF"/>
      <rgbColor rgb="FFFFFF00"/>
      <rgbColor rgb="FF00FFFF"/>
      <rgbColor rgb="FF800080"/>
      <rgbColor rgb="FF800000"/>
      <rgbColor rgb="FF008080"/>
      <rgbColor rgb="FF0000FF"/>
      <rgbColor rgb="FF00CCFF"/>
      <rgbColor rgb="FFE7E6E6"/>
      <rgbColor rgb="FFCCFFCC"/>
      <rgbColor rgb="FFFCE8E6"/>
      <rgbColor rgb="FF99CCFF"/>
      <rgbColor rgb="FFFF99CC"/>
      <rgbColor rgb="FFCC99FF"/>
      <rgbColor rgb="FFFFCC99"/>
      <rgbColor rgb="FF3366FF"/>
      <rgbColor rgb="FF33CCCC"/>
      <rgbColor rgb="FF99CC00"/>
      <rgbColor rgb="FFFFCC00"/>
      <rgbColor rgb="FFFF9900"/>
      <rgbColor rgb="FFFF6600"/>
      <rgbColor rgb="FF52718D"/>
      <rgbColor rgb="FF969696"/>
      <rgbColor rgb="FF16324F"/>
      <rgbColor rgb="FF339966"/>
      <rgbColor rgb="FF003300"/>
      <rgbColor rgb="FF333300"/>
      <rgbColor rgb="FFA61C00"/>
      <rgbColor rgb="FF993366"/>
      <rgbColor rgb="FF526475"/>
      <rgbColor rgb="FF17283B"/>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Type="http://schemas.openxmlformats.org/officeDocument/2006/relationships/styles" Target="/xl/styles.xml" Id="R675d8de29970493d" /><Relationship Type="http://schemas.openxmlformats.org/officeDocument/2006/relationships/theme" Target="/xl/theme/theme1.xml" Id="Rad0dd9cb900e4b9d" /><Relationship Type="http://schemas.openxmlformats.org/officeDocument/2006/relationships/sharedStrings" Target="/xl/sharedStrings.xml" Id="Rfc9db6ac935b401d" /><Relationship Type="http://schemas.openxmlformats.org/officeDocument/2006/relationships/worksheet" Target="/xl/worksheets/sheet1.xml" Id="R84209f3a08ad4a26" /><Relationship Type="http://schemas.openxmlformats.org/officeDocument/2006/relationships/worksheet" Target="/xl/worksheets/sheet2.xml" Id="R8f3c5ad7a5914843" /><Relationship Type="http://schemas.openxmlformats.org/officeDocument/2006/relationships/worksheet" Target="/xl/worksheets/sheet3.xml" Id="R3748c2eadc814689" /><Relationship Id="rIdAddedBlank4" Type="http://schemas.openxmlformats.org/officeDocument/2006/relationships/worksheet" Target="worksheets/sheet4.xml" /><Relationship Id="rIdAddedBlank5" Type="http://schemas.openxmlformats.org/officeDocument/2006/relationships/worksheet" Target="worksheets/sheet5.xml" /><Relationship Id="rIdSolarTrial" Type="http://schemas.openxmlformats.org/officeDocument/2006/relationships/worksheet" Target="worksheets/sheet6.xml" /></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sheet1.xml><?xml version="1.0" encoding="utf-8"?>
<worksheet xmlns="http://schemas.openxmlformats.org/spreadsheetml/2006/main">
  <sheetPr>
    <tabColor rgb="FF237C78"/>
    <pageSetUpPr fitToPage="1"/>
  </sheetPr>
  <sheetViews>
    <sheetView showGridLines="0" tabSelected="0" zoomScale="80" zoomScaleNormal="80" workbookViewId="0">
      <selection activeCell="D9" sqref="D9"/>
    </sheetView>
  </sheetViews>
  <sheetFormatPr defaultColWidth="8.42578125" defaultRowHeight="12.75"/>
  <cols>
    <col min="1" max="1" width="43" customWidth="1"/>
    <col min="2" max="2" width="19" customWidth="1"/>
    <col min="3" max="3" width="27" customWidth="1"/>
    <col min="4" max="4" width="17" customWidth="1"/>
    <col min="5" max="8" width="18" customWidth="1"/>
    <col min="9" max="9" width="8.42578125" customWidth="0"/>
    <col min="10" max="10" width="43" hidden="0" customWidth="1"/>
    <col min="12" max="12" width="29" hidden="0" customWidth="1"/>
  </cols>
  <sheetData>
    <row r="1" ht="23.100000381469727" customHeight="1">
      <c r="A1" s="5"/>
      <c r="B1" s="5"/>
      <c r="C1" s="5"/>
      <c r="D1" s="5"/>
      <c r="E1" s="5"/>
      <c r="F1" s="5"/>
      <c r="G1" s="5"/>
      <c r="J1" s="3"/>
      <c r="K1" s="5"/>
      <c r="L1" s="5"/>
      <c r="M1" s="5"/>
      <c r="N1" s="5"/>
      <c r="O1" s="5"/>
      <c r="P1" s="5"/>
    </row>
    <row r="2" ht="30" customHeight="1">
      <c r="A2" s="23" t="inlineStr">
        <is>
          <t xml:space="preserve">AVESTA — Case Inputs</t>
        </is>
      </c>
      <c r="B2" s="24"/>
      <c r="C2" s="24"/>
      <c r="D2" s="24"/>
      <c r="E2" s="24"/>
      <c r="F2" s="24"/>
      <c r="G2" s="5"/>
      <c r="J2" s="21" t="inlineStr">
        <is>
          <t xml:space="preserve">Selected consumption and bill</t>
        </is>
      </c>
      <c r="K2" s="22"/>
      <c r="L2" s="22"/>
      <c r="M2" s="22"/>
      <c r="N2" s="22"/>
      <c r="O2" s="22"/>
      <c r="P2" s="5"/>
    </row>
    <row r="3" ht="44.099998474121094" customHeight="1">
      <c r="A3" s="19" t="inlineStr">
        <is>
          <t xml:space="preserve">Edit the yellow cells. Location is fixed at Cairo. Initial values are the previous El Mo3alem example, not new measurements.</t>
        </is>
      </c>
      <c r="B3" s="20"/>
      <c r="C3" s="20"/>
      <c r="D3" s="20"/>
      <c r="E3" s="20"/>
      <c r="F3" s="20"/>
      <c r="G3" s="20"/>
      <c r="H3" s="20"/>
      <c r="J3" s="4" t="inlineStr">
        <is>
          <t xml:space="preserve">Input status</t>
        </is>
      </c>
      <c r="K3" s="5"/>
      <c r="L3" s="2" t="str">
        <f>IF(OR(C10&lt;=0,COUNT(C10)=0),"Enter billing days",IF(AND(C6&lt;&gt;"Bill only",OR(C7&lt;0,COUNT(C7)=0)),"Enter consumption",IF(AND(C6&lt;&gt;"Consumption only",OR(C8&lt;0,COUNT(C8)=0)),"Enter bill amount",IF(AND(C6="Bill only",C66&lt;&gt;1),"Bill does not give a unique consumption",IF(AND(C14="Specified",OR(C15&lt;=0,COUNT(C15)=0)),"Enter a positive area",IF(AND(C17="Known",OR(C18&lt;0,C18&gt;1,COUNT(C18)=0)),"Check daytime share",IF(AND(C20="Known",OR(C21&lt;=0,COUNT(C21)=0)),"Enter a positive critical load","Ready for indicative calculation")))))))</f>
        <v>Ready for indicative calculation</v>
      </c>
      <c r="M3" s="18"/>
      <c r="N3" s="18"/>
      <c r="O3" s="18"/>
      <c r="P3" s="18"/>
      <c r="Q3" s="18"/>
    </row>
    <row r="4" ht="23.100000381469727" customHeight="1">
      <c r="A4" s="5"/>
      <c r="B4" s="5"/>
      <c r="C4" s="5"/>
      <c r="D4" s="5"/>
      <c r="E4" s="5"/>
      <c r="F4" s="5"/>
      <c r="G4" s="5"/>
      <c r="J4" s="4" t="inlineStr">
        <is>
          <t xml:space="preserve">Selected monthly use (kWh)</t>
        </is>
      </c>
      <c r="K4" s="5"/>
      <c r="L4" s="5" t="n">
        <f>IF(L3&lt;&gt;"Ready for indicative calculation","Not available",IF(C6="Bill only",SUM(G50:G63),C7))</f>
        <v>2421</v>
      </c>
      <c r="M4" s="5"/>
      <c r="N4" s="5"/>
      <c r="O4" s="5"/>
      <c r="P4" s="5"/>
    </row>
    <row r="5" ht="33.95000076293945" customHeight="1">
      <c r="A5" s="4" t="inlineStr">
        <is>
          <t xml:space="preserve">Case name</t>
        </is>
      </c>
      <c r="B5" s="5"/>
      <c r="C5" s="9" t="inlineStr">
        <is>
          <t xml:space="preserve">El Mo3alem shop — example</t>
        </is>
      </c>
      <c r="D5" s="5"/>
      <c r="E5" s="5"/>
      <c r="F5" s="5"/>
      <c r="G5" s="5"/>
      <c r="J5" s="4" t="inlineStr">
        <is>
          <t xml:space="preserve">Average consumption (kWh/day)</t>
        </is>
      </c>
      <c r="K5" s="5"/>
      <c r="L5" s="5" t="n">
        <f>IF(ISNUMBER(L4),L4/C10,"Not available")</f>
        <v>80.7</v>
      </c>
      <c r="M5" s="5"/>
      <c r="N5" s="5"/>
      <c r="O5" s="5"/>
      <c r="P5" s="5"/>
    </row>
    <row r="6" ht="33.95000076293945" customHeight="1">
      <c r="A6" s="4" t="inlineStr">
        <is>
          <t xml:space="preserve">Input mode</t>
        </is>
      </c>
      <c r="B6" s="5"/>
      <c r="C6" s="9" t="inlineStr">
        <is>
          <t xml:space="preserve">Bill and consumption</t>
        </is>
      </c>
      <c r="D6" s="5"/>
      <c r="E6" s="5"/>
      <c r="F6" s="5"/>
      <c r="G6" s="5"/>
      <c r="J6" s="4" t="inlineStr">
        <is>
          <t xml:space="preserve">Active daytime energy share</t>
        </is>
      </c>
      <c r="K6" s="5"/>
      <c r="L6" s="6" t="n">
        <f>IF(C17="Known",C18,'Assumptions and Catalog'!$C$13/24)</f>
        <v>0.5</v>
      </c>
      <c r="M6" s="5"/>
      <c r="N6" s="5"/>
      <c r="O6" s="5"/>
      <c r="P6" s="5"/>
    </row>
    <row r="7" ht="33.95000076293945" customHeight="1">
      <c r="A7" s="4" t="inlineStr">
        <is>
          <t xml:space="preserve">Monthly consumption (kWh)</t>
        </is>
      </c>
      <c r="B7" s="5"/>
      <c r="C7" s="10" t="n">
        <v>2421</v>
      </c>
      <c r="D7" s="5"/>
      <c r="E7" s="2" t="inlineStr">
        <is>
          <t xml:space="preserve">Monthly use, not the cumulative meter reading</t>
        </is>
      </c>
      <c r="F7" s="18"/>
      <c r="G7" s="18"/>
      <c r="H7" s="18"/>
      <c r="J7" s="4" t="inlineStr">
        <is>
          <t xml:space="preserve">Reference official bill (EGP)</t>
        </is>
      </c>
      <c r="K7" s="5"/>
      <c r="L7" s="5" t="n">
        <f>IF(ISNUMBER(L4),IF(Inputs!$C$9="Residential",IF(L4&lt;='Assumptions and Catalog'!$C$50,L4*'Assumptions and Catalog'!$H$50+'Assumptions and Catalog'!$E$50+'Assumptions and Catalog'!$F$50,IF(L4&lt;='Assumptions and Catalog'!$C$51,L4*'Assumptions and Catalog'!$H$51+'Assumptions and Catalog'!$E$51+'Assumptions and Catalog'!$F$51,IF(L4&lt;='Assumptions and Catalog'!$C$52,L4*'Assumptions and Catalog'!$H$52+'Assumptions and Catalog'!$E$52+'Assumptions and Catalog'!$F$52,IF(L4&lt;='Assumptions and Catalog'!$C$53,L4*'Assumptions and Catalog'!$H$53+'Assumptions and Catalog'!$E$53+'Assumptions and Catalog'!$F$53,IF(L4&lt;='Assumptions and Catalog'!$C$54,L4*'Assumptions and Catalog'!$H$54+'Assumptions and Catalog'!$E$54+'Assumptions and Catalog'!$F$54,IF(L4&lt;='Assumptions and Catalog'!$C$55,L4*'Assumptions and Catalog'!$H$55+'Assumptions and Catalog'!$E$55+'Assumptions and Catalog'!$F$55,IF(L4&lt;='Assumptions and Catalog'!$C$56,L4*'Assumptions and Catalog'!$H$56+'Assumptions and Catalog'!$E$56+'Assumptions and Catalog'!$F$56,IF(L4&lt;='Assumptions and Catalog'!$C$57,L4*'Assumptions and Catalog'!$H$57+'Assumptions and Catalog'!$E$57+'Assumptions and Catalog'!$F$57,"Out of range")))))))),IF(L4&lt;='Assumptions and Catalog'!$C$60,L4*'Assumptions and Catalog'!$H$60+'Assumptions and Catalog'!$E$60+'Assumptions and Catalog'!$F$60,IF(L4&lt;='Assumptions and Catalog'!$C$61,L4*'Assumptions and Catalog'!$H$61+'Assumptions and Catalog'!$E$61+'Assumptions and Catalog'!$F$61,IF(L4&lt;='Assumptions and Catalog'!$C$62,L4*'Assumptions and Catalog'!$H$62+'Assumptions and Catalog'!$E$62+'Assumptions and Catalog'!$F$62,IF(L4&lt;='Assumptions and Catalog'!$C$63,L4*'Assumptions and Catalog'!$H$63+'Assumptions and Catalog'!$E$63+'Assumptions and Catalog'!$F$63,IF(L4&lt;='Assumptions and Catalog'!$C$64,L4*'Assumptions and Catalog'!$H$64+'Assumptions and Catalog'!$E$64+'Assumptions and Catalog'!$F$64,IF(L4&lt;='Assumptions and Catalog'!$C$65,L4*'Assumptions and Catalog'!$H$65+'Assumptions and Catalog'!$E$65+'Assumptions and Catalog'!$F$65,"Out of range"))))))),"Not available")</f>
        <v>6867.22</v>
      </c>
      <c r="M7" s="5"/>
      <c r="N7" s="5"/>
      <c r="O7" s="5"/>
      <c r="P7" s="5"/>
    </row>
    <row r="8" ht="33.95000076293945" customHeight="1">
      <c r="A8" s="4" t="inlineStr">
        <is>
          <t xml:space="preserve">Monthly bill amount (EGP)</t>
        </is>
      </c>
      <c r="B8" s="5"/>
      <c r="C8" s="10" t="n">
        <v>8279</v>
      </c>
      <c r="D8" s="5"/>
      <c r="E8" s="2" t="inlineStr">
        <is>
          <t xml:space="preserve">Consumption bill, not a prepaid top-up</t>
        </is>
      </c>
      <c r="F8" s="18"/>
      <c r="G8" s="18"/>
      <c r="H8" s="18"/>
      <c r="J8" s="4" t="inlineStr">
        <is>
          <t xml:space="preserve">Paid less official bill (EGP)</t>
        </is>
      </c>
      <c r="K8" s="5"/>
      <c r="L8" s="5" t="n">
        <f>IF(AND(C6="Bill and consumption",ISNUMBER(L7)),C8-L7,"Not available")</f>
        <v>1411.78</v>
      </c>
      <c r="M8" s="5"/>
      <c r="N8" s="5"/>
      <c r="O8" s="5"/>
      <c r="P8" s="5"/>
    </row>
    <row r="9" ht="33.95000076293945" customHeight="1">
      <c r="A9" s="4" t="inlineStr">
        <is>
          <t xml:space="preserve">Tariff category</t>
        </is>
      </c>
      <c r="B9" s="5"/>
      <c r="C9" s="9" t="inlineStr">
        <is>
          <t xml:space="preserve">Commercial</t>
        </is>
      </c>
      <c r="D9" s="5"/>
      <c r="E9" s="5"/>
      <c r="F9" s="5"/>
      <c r="G9" s="5"/>
      <c r="J9" s="4" t="inlineStr">
        <is>
          <t xml:space="preserve">Active pricing basis</t>
        </is>
      </c>
      <c r="K9" s="5"/>
      <c r="L9" s="13" t="str">
        <f>IF(AND(C6="Bill and consumption",C7&gt;0,C11="Actual flat rate"),"Actual flat rate","Official")</f>
        <v>Official</v>
      </c>
      <c r="M9" s="5"/>
      <c r="N9" s="5"/>
      <c r="O9" s="5"/>
      <c r="P9" s="5"/>
    </row>
    <row r="10" ht="33.95000076293945" customHeight="1">
      <c r="A10" s="4" t="inlineStr">
        <is>
          <t xml:space="preserve">Billing period days</t>
        </is>
      </c>
      <c r="B10" s="5"/>
      <c r="C10" s="11" t="n">
        <v>30</v>
      </c>
      <c r="D10" s="5"/>
      <c r="E10" s="5"/>
      <c r="F10" s="5"/>
      <c r="G10" s="5"/>
      <c r="J10" s="4" t="inlineStr">
        <is>
          <t xml:space="preserve">Actual average (EGP/kWh)</t>
        </is>
      </c>
      <c r="K10" s="5"/>
      <c r="L10" s="5" t="n">
        <f>IF(AND(C6="Bill and consumption",C7&gt;0),C8/C7,"Not available")</f>
        <v>3.41966129698472</v>
      </c>
      <c r="M10" s="5"/>
      <c r="N10" s="5"/>
      <c r="O10" s="5"/>
      <c r="P10" s="5"/>
    </row>
    <row r="11" ht="33.95000076293945" customHeight="1">
      <c r="A11" s="4" t="inlineStr">
        <is>
          <t xml:space="preserve">Pricing basis</t>
        </is>
      </c>
      <c r="B11" s="5"/>
      <c r="C11" s="9" t="inlineStr">
        <is>
          <t xml:space="preserve">Official</t>
        </is>
      </c>
      <c r="D11" s="5"/>
      <c r="E11" s="2" t="inlineStr">
        <is>
          <t xml:space="preserve">Actual flat rate is available only with both bill amount and consumption</t>
        </is>
      </c>
      <c r="F11" s="18"/>
      <c r="G11" s="18"/>
      <c r="H11" s="18"/>
      <c r="J11" s="4" t="inlineStr">
        <is>
          <t xml:space="preserve">Official average (EGP/kWh)</t>
        </is>
      </c>
      <c r="K11" s="5"/>
      <c r="L11" s="5" t="n">
        <f>IF(AND(ISNUMBER(L4),L4&gt;0),L7/L4,"Not available")</f>
        <v>2.83652209830648</v>
      </c>
      <c r="M11" s="5"/>
      <c r="N11" s="5"/>
      <c r="O11" s="5"/>
      <c r="P11" s="5"/>
    </row>
    <row r="12" ht="33.95000076293945" customHeight="1">
      <c r="A12" s="3"/>
      <c r="B12" s="5"/>
      <c r="C12" s="5"/>
      <c r="D12" s="5"/>
      <c r="E12" s="5"/>
      <c r="F12" s="5"/>
      <c r="G12" s="5"/>
      <c r="J12" s="4" t="inlineStr">
        <is>
          <t xml:space="preserve">Average rate difference (EGP/kWh)</t>
        </is>
      </c>
      <c r="K12" s="5"/>
      <c r="L12" s="5" t="n">
        <f>IF(AND(ISNUMBER(L10),ISNUMBER(L11)),L10-L11,"Not available")</f>
        <v>0.583139198678232</v>
      </c>
      <c r="M12" s="5"/>
      <c r="N12" s="5"/>
      <c r="O12" s="5"/>
      <c r="P12" s="5"/>
    </row>
    <row r="13" ht="33.95000076293945" customHeight="1">
      <c r="A13" s="3"/>
      <c r="B13" s="5"/>
      <c r="C13" s="5"/>
      <c r="D13" s="5"/>
      <c r="E13" s="5"/>
      <c r="F13" s="5"/>
      <c r="G13" s="5"/>
      <c r="J13" s="4" t="inlineStr">
        <is>
          <t xml:space="preserve">Selected baseline bill (EGP)</t>
        </is>
      </c>
      <c r="K13" s="5"/>
      <c r="L13" s="5" t="n">
        <f>IF(ISNUMBER(L4),IF(L9="Actual flat rate",L4*L10,L7),"Not available")</f>
        <v>6867.22</v>
      </c>
      <c r="M13" s="5"/>
      <c r="N13" s="5"/>
      <c r="O13" s="5"/>
      <c r="P13" s="5"/>
    </row>
    <row r="14" ht="33.95000076293945" customHeight="1">
      <c r="A14" s="4" t="inlineStr">
        <is>
          <t xml:space="preserve">Available installation area</t>
        </is>
      </c>
      <c r="B14" s="5"/>
      <c r="C14" s="9" t="inlineStr">
        <is>
          <t xml:space="preserve">Unspecified</t>
        </is>
      </c>
      <c r="D14" s="5"/>
      <c r="E14" s="5"/>
      <c r="F14" s="5"/>
      <c r="G14" s="5"/>
      <c r="J14" s="4" t="inlineStr">
        <is>
          <t xml:space="preserve">Reference-data status</t>
        </is>
      </c>
      <c r="K14" s="5"/>
      <c r="L14" s="2" t="str">
        <f>"Reference tariffs and prices: verify before commercial use"</f>
        <v>Reference tariffs and prices: verify before commercial use</v>
      </c>
      <c r="M14" s="18"/>
      <c r="N14" s="18"/>
      <c r="O14" s="18"/>
      <c r="P14" s="18"/>
      <c r="Q14" s="18"/>
    </row>
    <row r="15" ht="33.95000076293945" customHeight="1">
      <c r="A15" s="4" t="inlineStr">
        <is>
          <t xml:space="preserve">Available area (m2)</t>
        </is>
      </c>
      <c r="B15" s="5"/>
      <c r="C15" s="10" t="n">
        <v>50</v>
      </c>
      <c r="D15" s="5"/>
      <c r="E15" s="2" t="inlineStr">
        <is>
          <t xml:space="preserve">Usable installation area after obstacles; unspecified area sets no cap</t>
        </is>
      </c>
      <c r="F15" s="18"/>
      <c r="G15" s="18"/>
      <c r="H15" s="18"/>
      <c r="J15" s="3"/>
      <c r="K15" s="5"/>
      <c r="L15" s="5"/>
      <c r="M15" s="5"/>
      <c r="N15" s="5"/>
      <c r="O15" s="5"/>
      <c r="P15" s="5"/>
    </row>
    <row r="16" ht="33.95000076293945" customHeight="1">
      <c r="A16" s="3"/>
      <c r="B16" s="5"/>
      <c r="C16" s="5"/>
      <c r="D16" s="5"/>
      <c r="E16" s="5"/>
      <c r="F16" s="5"/>
      <c r="G16" s="5"/>
    </row>
    <row r="17" ht="33.95000076293945" customHeight="1">
      <c r="A17" s="4" t="inlineStr">
        <is>
          <t xml:space="preserve">Energy distribution</t>
        </is>
      </c>
      <c r="B17" s="5"/>
      <c r="C17" s="9" t="inlineStr">
        <is>
          <t xml:space="preserve">Constant load</t>
        </is>
      </c>
      <c r="D17" s="5"/>
      <c r="E17" s="5"/>
      <c r="F17" s="5"/>
      <c r="G17" s="5"/>
    </row>
    <row r="18" ht="33.95000076293945" customHeight="1">
      <c r="A18" s="4" t="inlineStr">
        <is>
          <t xml:space="preserve">Daytime energy share</t>
        </is>
      </c>
      <c r="B18" s="5"/>
      <c r="C18" s="12" t="n">
        <v>0.5</v>
      </c>
      <c r="D18" s="5"/>
      <c r="E18" s="2" t="inlineStr">
        <is>
          <t xml:space="preserve">Share of energy, not appliance count; night share is calculated</t>
        </is>
      </c>
      <c r="F18" s="18"/>
      <c r="G18" s="18"/>
      <c r="H18" s="18"/>
    </row>
    <row r="19" ht="33.95000076293945" customHeight="1">
      <c r="A19" s="3"/>
      <c r="B19" s="5"/>
      <c r="C19" s="5"/>
      <c r="D19" s="5"/>
      <c r="E19" s="5"/>
      <c r="F19" s="5"/>
      <c r="G19" s="5"/>
    </row>
    <row r="20" ht="33.95000076293945" customHeight="1">
      <c r="A20" s="4" t="inlineStr">
        <is>
          <t xml:space="preserve">Critical load</t>
        </is>
      </c>
      <c r="B20" s="5"/>
      <c r="C20" s="9" t="inlineStr">
        <is>
          <t xml:space="preserve">Unknown</t>
        </is>
      </c>
      <c r="D20" s="5"/>
      <c r="E20" s="5"/>
      <c r="F20" s="5"/>
      <c r="G20" s="5"/>
    </row>
    <row r="21" ht="33.95000076293945" customHeight="1">
      <c r="A21" s="4" t="inlineStr">
        <is>
          <t xml:space="preserve">Critical load (kW)</t>
        </is>
      </c>
      <c r="B21" s="5"/>
      <c r="C21" s="10" t="n">
        <v>4</v>
      </c>
      <c r="D21" s="5"/>
      <c r="E21" s="2" t="inlineStr">
        <is>
          <t xml:space="preserve">When unknown, no customer-specific backup hours are calculated</t>
        </is>
      </c>
      <c r="F21" s="18"/>
      <c r="G21" s="18"/>
      <c r="H21" s="18"/>
    </row>
    <row r="22" ht="33.95000076293945" customHeight="1">
      <c r="A22" s="3"/>
      <c r="B22" s="5"/>
      <c r="C22" s="5"/>
      <c r="D22" s="5"/>
      <c r="E22" s="5"/>
      <c r="F22" s="5"/>
      <c r="G22" s="5"/>
    </row>
    <row r="23" ht="33.95000076293945" customHeight="1"/>
    <row r="24" ht="33.95000076293945" customHeight="1"/>
    <row r="25" ht="33.95000076293945" customHeight="1"/>
    <row r="26" ht="33.95000076293945" customHeight="1"/>
    <row r="27" ht="33.95000076293945" customHeight="1"/>
    <row r="28" ht="33.95000076293945" customHeight="1"/>
    <row r="29" ht="33.95000076293945" customHeight="1"/>
    <row r="30" ht="33.95000076293945" customHeight="1"/>
    <row r="31" ht="33.95000076293945" customHeight="1"/>
    <row r="32" ht="33.95000076293945" customHeight="1"/>
    <row r="33" ht="33.95000076293945" customHeight="1"/>
    <row r="34" ht="33.95000076293945" customHeight="1"/>
    <row r="35" ht="33.95000076293945" customHeight="1"/>
    <row r="36" ht="33.95000076293945" customHeight="1"/>
    <row r="37" ht="33.95000076293945" customHeight="1"/>
    <row r="38" ht="33.95000076293945" customHeight="1">
      <c r="A38" s="3"/>
      <c r="B38" s="5"/>
      <c r="C38" s="5"/>
      <c r="D38" s="5"/>
      <c r="E38" s="5"/>
      <c r="F38" s="5"/>
      <c r="G38" s="5"/>
    </row>
    <row r="39" ht="44.099998474121094" customHeight="1">
      <c r="A39" s="19" t="inlineStr">
        <is>
          <t xml:space="preserve">Enter the case inputs, review assumptions, then choose equipment and quantities on the Scenarios sheet.</t>
        </is>
      </c>
      <c r="B39" s="20"/>
      <c r="C39" s="20"/>
      <c r="D39" s="20"/>
      <c r="E39" s="20"/>
      <c r="F39" s="20"/>
      <c r="G39" s="20"/>
      <c r="H39" s="20"/>
    </row>
    <row r="40" ht="44.099998474121094" customHeight="1">
      <c r="A40" s="19" t="inlineStr">
        <is>
          <t xml:space="preserve">Actual flat rate spreads the paid bill over kWh; it may differ from the marginal cost of avoided electricity.</t>
        </is>
      </c>
      <c r="B40" s="20"/>
      <c r="C40" s="20"/>
      <c r="D40" s="20"/>
      <c r="E40" s="20"/>
      <c r="F40" s="20"/>
      <c r="G40" s="20"/>
      <c r="H40" s="20"/>
    </row>
    <row r="41" ht="44.099998474121094" customHeight="1">
      <c r="A41" s="19" t="inlineStr">
        <is>
          <t xml:space="preserve">One representative day/night cycle per month with constant daily load. This is not an hourly simulation.</t>
        </is>
      </c>
      <c r="B41" s="20"/>
      <c r="C41" s="20"/>
      <c r="D41" s="20"/>
      <c r="E41" s="20"/>
      <c r="F41" s="20"/>
      <c r="G41" s="20"/>
      <c r="H41" s="20"/>
    </row>
    <row r="42" ht="33.95000076293945" customHeight="1">
      <c r="A42" s="3"/>
      <c r="B42" s="5"/>
      <c r="C42" s="5"/>
      <c r="D42" s="5"/>
      <c r="E42" s="5"/>
      <c r="F42" s="5"/>
      <c r="G42" s="5"/>
    </row>
    <row r="43" ht="33.95000076293945" customHeight="1">
      <c r="A43" s="3"/>
      <c r="B43" s="5"/>
      <c r="C43" s="5"/>
      <c r="D43" s="5"/>
      <c r="E43" s="5"/>
      <c r="F43" s="5"/>
      <c r="G43" s="5"/>
    </row>
    <row r="44" ht="33.95000076293945" customHeight="1">
      <c r="A44" s="3"/>
      <c r="B44" s="5"/>
      <c r="C44" s="5"/>
      <c r="D44" s="5"/>
      <c r="E44" s="5"/>
      <c r="F44" s="5"/>
      <c r="G44" s="5"/>
    </row>
    <row r="45" ht="33.95000076293945" customHeight="1">
      <c r="A45" s="3"/>
      <c r="B45" s="5"/>
      <c r="C45" s="5"/>
      <c r="D45" s="5"/>
      <c r="E45" s="5"/>
      <c r="F45" s="5"/>
      <c r="G45" s="5"/>
    </row>
    <row r="46" ht="33.95000076293945" customHeight="1">
      <c r="A46" s="3"/>
      <c r="B46" s="5"/>
      <c r="C46" s="5"/>
      <c r="D46" s="5"/>
      <c r="E46" s="5"/>
      <c r="F46" s="5"/>
      <c r="G46" s="5"/>
    </row>
    <row r="47" ht="33.95000076293945" customHeight="1">
      <c r="A47" s="21" t="inlineStr">
        <is>
          <t xml:space="preserve">Inverse-bill calculations — audit detail</t>
        </is>
      </c>
      <c r="B47" s="22"/>
      <c r="C47" s="22"/>
      <c r="D47" s="22"/>
      <c r="E47" s="22"/>
      <c r="F47" s="22"/>
      <c r="G47" s="22"/>
      <c r="H47" s="22"/>
    </row>
    <row r="48" ht="33.95000076293945" customHeight="1">
      <c r="A48" s="3"/>
      <c r="B48" s="5"/>
      <c r="C48" s="5"/>
      <c r="D48" s="5"/>
      <c r="E48" s="5"/>
      <c r="F48" s="5"/>
      <c r="G48" s="5"/>
    </row>
    <row r="49" ht="33.95000076293945" customHeight="1">
      <c r="A49" s="14" t="inlineStr">
        <is>
          <t xml:space="preserve">Tariff</t>
        </is>
      </c>
      <c r="B49" s="14" t="inlineStr">
        <is>
          <t xml:space="preserve">Above</t>
        </is>
      </c>
      <c r="C49" s="14" t="inlineStr">
        <is>
          <t xml:space="preserve">Up to</t>
        </is>
      </c>
      <c r="D49" s="14" t="inlineStr">
        <is>
          <t xml:space="preserve">Candidate kWh</t>
        </is>
      </c>
      <c r="E49" s="14" t="inlineStr">
        <is>
          <t xml:space="preserve">Candidate bill</t>
        </is>
      </c>
      <c r="F49" s="14" t="inlineStr">
        <is>
          <t xml:space="preserve">Valid solution 1/0</t>
        </is>
      </c>
      <c r="G49" s="14" t="inlineStr">
        <is>
          <t xml:space="preserve">Accepted kWh</t>
        </is>
      </c>
    </row>
    <row r="50" ht="33.95000076293945" customHeight="1">
      <c r="A50" s="4" t="str">
        <f>'Assumptions and Catalog'!$A$50</f>
        <v>Residential</v>
      </c>
      <c r="B50" s="5" t="n">
        <f>'Assumptions and Catalog'!$B$50</f>
        <v>-1</v>
      </c>
      <c r="C50" s="5" t="n">
        <f>'Assumptions and Catalog'!$C$50</f>
        <v>0</v>
      </c>
      <c r="D50" s="5" t="n">
        <f>IF('Assumptions and Catalog'!$H$50=0,0,($C$8-'Assumptions and Catalog'!$E$50-'Assumptions and Catalog'!$F$50)/'Assumptions and Catalog'!$H$50)</f>
        <v>0</v>
      </c>
      <c r="E50" s="5" t="n">
        <f>D50*'Assumptions and Catalog'!$H$50+'Assumptions and Catalog'!$E$50+'Assumptions and Catalog'!$F$50</f>
        <v>9</v>
      </c>
      <c r="F50" s="5" t="n">
        <f>IF(AND(A50=$C$9,D50&gt;B50,D50&lt;=C50,D50&gt;=0,ABS(E50-$C$8)&lt;='Assumptions and Catalog'!$C$25),1,0)</f>
        <v>0</v>
      </c>
      <c r="G50" s="5" t="n">
        <f>IF(F50=1,D50,0)</f>
        <v>0</v>
      </c>
    </row>
    <row r="51" ht="33.95000076293945" customHeight="1">
      <c r="A51" s="4" t="str">
        <f>'Assumptions and Catalog'!$A$51</f>
        <v>Residential</v>
      </c>
      <c r="B51" s="5" t="n">
        <f>'Assumptions and Catalog'!$B$51</f>
        <v>0</v>
      </c>
      <c r="C51" s="5" t="n">
        <f>'Assumptions and Catalog'!$C$51</f>
        <v>50</v>
      </c>
      <c r="D51" s="5" t="n">
        <f>IF('Assumptions and Catalog'!$H$51=0,0,($C$8-'Assumptions and Catalog'!$E$51-'Assumptions and Catalog'!$F$51)/'Assumptions and Catalog'!$H$51)</f>
        <v>12173.5294117647</v>
      </c>
      <c r="E51" s="5" t="n">
        <f>D51*'Assumptions and Catalog'!$H$51+'Assumptions and Catalog'!$E$51+'Assumptions and Catalog'!$F$51</f>
        <v>8279</v>
      </c>
      <c r="F51" s="5" t="n">
        <f>IF(AND(A51=$C$9,D51&gt;B51,D51&lt;=C51,D51&gt;=0,ABS(E51-$C$8)&lt;='Assumptions and Catalog'!$C$25),1,0)</f>
        <v>0</v>
      </c>
      <c r="G51" s="5" t="n">
        <f>IF(F51=1,D51,0)</f>
        <v>0</v>
      </c>
    </row>
    <row r="52" ht="33.95000076293945" customHeight="1">
      <c r="A52" s="4" t="str">
        <f>'Assumptions and Catalog'!$A$52</f>
        <v>Residential</v>
      </c>
      <c r="B52" s="5" t="n">
        <f>'Assumptions and Catalog'!$B$52</f>
        <v>50</v>
      </c>
      <c r="C52" s="5" t="n">
        <f>'Assumptions and Catalog'!$C$52</f>
        <v>100</v>
      </c>
      <c r="D52" s="5" t="n">
        <f>IF('Assumptions and Catalog'!$H$52=0,0,($C$8-'Assumptions and Catalog'!$E$52-'Assumptions and Catalog'!$F$52)/'Assumptions and Catalog'!$H$52)</f>
        <v>9524.71264367816</v>
      </c>
      <c r="E52" s="5" t="n">
        <f>D52*'Assumptions and Catalog'!$H$52+'Assumptions and Catalog'!$E$52+'Assumptions and Catalog'!$F$52</f>
        <v>8279</v>
      </c>
      <c r="F52" s="5" t="n">
        <f>IF(AND(A52=$C$9,D52&gt;B52,D52&lt;=C52,D52&gt;=0,ABS(E52-$C$8)&lt;='Assumptions and Catalog'!$C$25),1,0)</f>
        <v>0</v>
      </c>
      <c r="G52" s="5" t="n">
        <f>IF(F52=1,D52,0)</f>
        <v>0</v>
      </c>
    </row>
    <row r="53" ht="33.95000076293945" customHeight="1">
      <c r="A53" s="4" t="str">
        <f>'Assumptions and Catalog'!$A$53</f>
        <v>Residential</v>
      </c>
      <c r="B53" s="5" t="n">
        <f>'Assumptions and Catalog'!$B$53</f>
        <v>100</v>
      </c>
      <c r="C53" s="5" t="n">
        <f>'Assumptions and Catalog'!$C$53</f>
        <v>200</v>
      </c>
      <c r="D53" s="5" t="n">
        <f>IF('Assumptions and Catalog'!$H$53=0,0,($C$8-'Assumptions and Catalog'!$E$53-'Assumptions and Catalog'!$F$53)/'Assumptions and Catalog'!$H$53)</f>
        <v>8273</v>
      </c>
      <c r="E53" s="5" t="n">
        <f>D53*'Assumptions and Catalog'!$H$53+'Assumptions and Catalog'!$E$53+'Assumptions and Catalog'!$F$53</f>
        <v>8279</v>
      </c>
      <c r="F53" s="5" t="n">
        <f>IF(AND(A53=$C$9,D53&gt;B53,D53&lt;=C53,D53&gt;=0,ABS(E53-$C$8)&lt;='Assumptions and Catalog'!$C$25),1,0)</f>
        <v>0</v>
      </c>
      <c r="G53" s="5" t="n">
        <f>IF(F53=1,D53,0)</f>
        <v>0</v>
      </c>
    </row>
    <row r="54" ht="33.95000076293945" customHeight="1">
      <c r="A54" s="4" t="str">
        <f>'Assumptions and Catalog'!$A$54</f>
        <v>Residential</v>
      </c>
      <c r="B54" s="5" t="n">
        <f>'Assumptions and Catalog'!$B$54</f>
        <v>200</v>
      </c>
      <c r="C54" s="5" t="n">
        <f>'Assumptions and Catalog'!$C$54</f>
        <v>350</v>
      </c>
      <c r="D54" s="5" t="n">
        <f>IF('Assumptions and Catalog'!$H$54=0,0,($C$8-'Assumptions and Catalog'!$E$54-'Assumptions and Catalog'!$F$54)/'Assumptions and Catalog'!$H$54)</f>
        <v>4863.5838150289</v>
      </c>
      <c r="E54" s="5" t="n">
        <f>D54*'Assumptions and Catalog'!$H$54+'Assumptions and Catalog'!$E$54+'Assumptions and Catalog'!$F$54</f>
        <v>8279</v>
      </c>
      <c r="F54" s="5" t="n">
        <f>IF(AND(A54=$C$9,D54&gt;B54,D54&lt;=C54,D54&gt;=0,ABS(E54-$C$8)&lt;='Assumptions and Catalog'!$C$25),1,0)</f>
        <v>0</v>
      </c>
      <c r="G54" s="5" t="n">
        <f>IF(F54=1,D54,0)</f>
        <v>0</v>
      </c>
    </row>
    <row r="55" ht="33.95000076293945" customHeight="1">
      <c r="A55" s="4" t="str">
        <f>'Assumptions and Catalog'!$A$55</f>
        <v>Residential</v>
      </c>
      <c r="B55" s="5" t="n">
        <f>'Assumptions and Catalog'!$B$55</f>
        <v>350</v>
      </c>
      <c r="C55" s="5" t="n">
        <f>'Assumptions and Catalog'!$C$55</f>
        <v>650</v>
      </c>
      <c r="D55" s="5" t="n">
        <f>IF('Assumptions and Catalog'!$H$55=0,0,($C$8-'Assumptions and Catalog'!$E$55-'Assumptions and Catalog'!$F$55)/'Assumptions and Catalog'!$H$55)</f>
        <v>3930.04587155963</v>
      </c>
      <c r="E55" s="5" t="n">
        <f>D55*'Assumptions and Catalog'!$H$55+'Assumptions and Catalog'!$E$55+'Assumptions and Catalog'!$F$55</f>
        <v>8279</v>
      </c>
      <c r="F55" s="5" t="n">
        <f>IF(AND(A55=$C$9,D55&gt;B55,D55&lt;=C55,D55&gt;=0,ABS(E55-$C$8)&lt;='Assumptions and Catalog'!$C$25),1,0)</f>
        <v>0</v>
      </c>
      <c r="G55" s="5" t="n">
        <f>IF(F55=1,D55,0)</f>
        <v>0</v>
      </c>
    </row>
    <row r="56" ht="33.95000076293945" customHeight="1">
      <c r="A56" s="4" t="str">
        <f>'Assumptions and Catalog'!$A$56</f>
        <v>Residential</v>
      </c>
      <c r="B56" s="5" t="n">
        <f>'Assumptions and Catalog'!$B$56</f>
        <v>650</v>
      </c>
      <c r="C56" s="5" t="n">
        <f>'Assumptions and Catalog'!$C$56</f>
        <v>1000</v>
      </c>
      <c r="D56" s="5" t="n">
        <f>IF('Assumptions and Catalog'!$H$56=0,0,($C$8-'Assumptions and Catalog'!$E$56-'Assumptions and Catalog'!$F$56)/'Assumptions and Catalog'!$H$56)</f>
        <v>3512.34042553191</v>
      </c>
      <c r="E56" s="5" t="n">
        <f>D56*'Assumptions and Catalog'!$H$56+'Assumptions and Catalog'!$E$56+'Assumptions and Catalog'!$F$56</f>
        <v>8279</v>
      </c>
      <c r="F56" s="5" t="n">
        <f>IF(AND(A56=$C$9,D56&gt;B56,D56&lt;=C56,D56&gt;=0,ABS(E56-$C$8)&lt;='Assumptions and Catalog'!$C$25),1,0)</f>
        <v>0</v>
      </c>
      <c r="G56" s="5" t="n">
        <f>IF(F56=1,D56,0)</f>
        <v>0</v>
      </c>
    </row>
    <row r="57" ht="33.95000076293945" customHeight="1">
      <c r="A57" s="4" t="str">
        <f>'Assumptions and Catalog'!$A$57</f>
        <v>Residential</v>
      </c>
      <c r="B57" s="5" t="n">
        <f>'Assumptions and Catalog'!$B$57</f>
        <v>1000</v>
      </c>
      <c r="C57" s="5" t="n">
        <f>'Assumptions and Catalog'!$C$57</f>
        <v>10000000</v>
      </c>
      <c r="D57" s="5" t="n">
        <f>IF('Assumptions and Catalog'!$H$57=0,0,($C$8-'Assumptions and Catalog'!$E$57-'Assumptions and Catalog'!$F$57)/'Assumptions and Catalog'!$H$57)</f>
        <v>2850.86505190311</v>
      </c>
      <c r="E57" s="5" t="n">
        <f>D57*'Assumptions and Catalog'!$H$57+'Assumptions and Catalog'!$E$57+'Assumptions and Catalog'!$F$57</f>
        <v>8279</v>
      </c>
      <c r="F57" s="5" t="n">
        <f>IF(AND(A57=$C$9,D57&gt;B57,D57&lt;=C57,D57&gt;=0,ABS(E57-$C$8)&lt;='Assumptions and Catalog'!$C$25),1,0)</f>
        <v>0</v>
      </c>
      <c r="G57" s="5" t="n">
        <f>IF(F57=1,D57,0)</f>
        <v>0</v>
      </c>
    </row>
    <row r="58" ht="33.95000076293945" customHeight="1">
      <c r="A58" s="4" t="str">
        <f>'Assumptions and Catalog'!$A$60</f>
        <v>Commercial</v>
      </c>
      <c r="B58" s="5" t="n">
        <f>'Assumptions and Catalog'!$B$60</f>
        <v>-1</v>
      </c>
      <c r="C58" s="5" t="n">
        <f>'Assumptions and Catalog'!$C$60</f>
        <v>0</v>
      </c>
      <c r="D58" s="5" t="n">
        <f>IF('Assumptions and Catalog'!$H$60=0,0,($C$8-'Assumptions and Catalog'!$E$60-'Assumptions and Catalog'!$F$60)/'Assumptions and Catalog'!$H$60)</f>
        <v>0</v>
      </c>
      <c r="E58" s="5" t="n">
        <f>D58*'Assumptions and Catalog'!$H$60+'Assumptions and Catalog'!$E$60+'Assumptions and Catalog'!$F$60</f>
        <v>9</v>
      </c>
      <c r="F58" s="5" t="n">
        <f>IF(AND(A58=$C$9,D58&gt;B58,D58&lt;=C58,D58&gt;=0,ABS(E58-$C$8)&lt;='Assumptions and Catalog'!$C$25),1,0)</f>
        <v>0</v>
      </c>
      <c r="G58" s="5" t="n">
        <f>IF(F58=1,D58,0)</f>
        <v>0</v>
      </c>
    </row>
    <row r="59" ht="33.95000076293945" customHeight="1">
      <c r="A59" s="4" t="str">
        <f>'Assumptions and Catalog'!$A$61</f>
        <v>Commercial</v>
      </c>
      <c r="B59" s="5" t="n">
        <f>'Assumptions and Catalog'!$B$61</f>
        <v>0</v>
      </c>
      <c r="C59" s="5" t="n">
        <f>'Assumptions and Catalog'!$C$61</f>
        <v>100</v>
      </c>
      <c r="D59" s="5" t="n">
        <f>IF('Assumptions and Catalog'!$H$61=0,0,($C$8-'Assumptions and Catalog'!$E$61-'Assumptions and Catalog'!$F$61)/'Assumptions and Catalog'!$H$61)</f>
        <v>5014.54545454545</v>
      </c>
      <c r="E59" s="5" t="n">
        <f>D59*'Assumptions and Catalog'!$H$61+'Assumptions and Catalog'!$E$61+'Assumptions and Catalog'!$F$61</f>
        <v>8279</v>
      </c>
      <c r="F59" s="5" t="n">
        <f>IF(AND(A59=$C$9,D59&gt;B59,D59&lt;=C59,D59&gt;=0,ABS(E59-$C$8)&lt;='Assumptions and Catalog'!$C$25),1,0)</f>
        <v>0</v>
      </c>
      <c r="G59" s="5" t="n">
        <f>IF(F59=1,D59,0)</f>
        <v>0</v>
      </c>
    </row>
    <row r="60" ht="33.95000076293945" customHeight="1">
      <c r="A60" s="4" t="str">
        <f>'Assumptions and Catalog'!$A$62</f>
        <v>Commercial</v>
      </c>
      <c r="B60" s="5" t="n">
        <f>'Assumptions and Catalog'!$B$62</f>
        <v>100</v>
      </c>
      <c r="C60" s="5" t="n">
        <f>'Assumptions and Catalog'!$C$62</f>
        <v>250</v>
      </c>
      <c r="D60" s="5" t="n">
        <f>IF('Assumptions and Catalog'!$H$62=0,0,($C$8-'Assumptions and Catalog'!$E$62-'Assumptions and Catalog'!$F$62)/'Assumptions and Catalog'!$H$62)</f>
        <v>3773.51598173516</v>
      </c>
      <c r="E60" s="5" t="n">
        <f>D60*'Assumptions and Catalog'!$H$62+'Assumptions and Catalog'!$E$62+'Assumptions and Catalog'!$F$62</f>
        <v>8279</v>
      </c>
      <c r="F60" s="5" t="n">
        <f>IF(AND(A60=$C$9,D60&gt;B60,D60&lt;=C60,D60&gt;=0,ABS(E60-$C$8)&lt;='Assumptions and Catalog'!$C$25),1,0)</f>
        <v>0</v>
      </c>
      <c r="G60" s="5" t="n">
        <f>IF(F60=1,D60,0)</f>
        <v>0</v>
      </c>
    </row>
    <row r="61" ht="33.95000076293945" customHeight="1">
      <c r="A61" s="4" t="str">
        <f>'Assumptions and Catalog'!$A$63</f>
        <v>Commercial</v>
      </c>
      <c r="B61" s="5" t="n">
        <f>'Assumptions and Catalog'!$B$63</f>
        <v>250</v>
      </c>
      <c r="C61" s="5" t="n">
        <f>'Assumptions and Catalog'!$C$63</f>
        <v>600</v>
      </c>
      <c r="D61" s="5" t="n">
        <f>IF('Assumptions and Catalog'!$H$63=0,0,($C$8-'Assumptions and Catalog'!$E$63-'Assumptions and Catalog'!$F$63)/'Assumptions and Catalog'!$H$63)</f>
        <v>3093.25842696629</v>
      </c>
      <c r="E61" s="5" t="n">
        <f>D61*'Assumptions and Catalog'!$H$63+'Assumptions and Catalog'!$E$63+'Assumptions and Catalog'!$F$63</f>
        <v>8279</v>
      </c>
      <c r="F61" s="5" t="n">
        <f>IF(AND(A61=$C$9,D61&gt;B61,D61&lt;=C61,D61&gt;=0,ABS(E61-$C$8)&lt;='Assumptions and Catalog'!$C$25),1,0)</f>
        <v>0</v>
      </c>
      <c r="G61" s="5" t="n">
        <f>IF(F61=1,D61,0)</f>
        <v>0</v>
      </c>
    </row>
    <row r="62" ht="33.95000076293945" customHeight="1">
      <c r="A62" s="4" t="str">
        <f>'Assumptions and Catalog'!$A$64</f>
        <v>Commercial</v>
      </c>
      <c r="B62" s="5" t="n">
        <f>'Assumptions and Catalog'!$B$64</f>
        <v>600</v>
      </c>
      <c r="C62" s="5" t="n">
        <f>'Assumptions and Catalog'!$C$64</f>
        <v>1000</v>
      </c>
      <c r="D62" s="5" t="n">
        <f>IF('Assumptions and Catalog'!$H$64=0,0,($C$8-'Assumptions and Catalog'!$E$64-'Assumptions and Catalog'!$F$64)/'Assumptions and Catalog'!$H$64)</f>
        <v>3001.4440433213</v>
      </c>
      <c r="E62" s="5" t="n">
        <f>D62*'Assumptions and Catalog'!$H$64+'Assumptions and Catalog'!$E$64+'Assumptions and Catalog'!$F$64</f>
        <v>8279</v>
      </c>
      <c r="F62" s="5" t="n">
        <f>IF(AND(A62=$C$9,D62&gt;B62,D62&lt;=C62,D62&gt;=0,ABS(E62-$C$8)&lt;='Assumptions and Catalog'!$C$25),1,0)</f>
        <v>0</v>
      </c>
      <c r="G62" s="5" t="n">
        <f>IF(F62=1,D62,0)</f>
        <v>0</v>
      </c>
    </row>
    <row r="63" ht="33.95000076293945" customHeight="1">
      <c r="A63" s="4" t="str">
        <f>'Assumptions and Catalog'!$A$65</f>
        <v>Commercial</v>
      </c>
      <c r="B63" s="5" t="n">
        <f>'Assumptions and Catalog'!$B$65</f>
        <v>1000</v>
      </c>
      <c r="C63" s="5" t="n">
        <f>'Assumptions and Catalog'!$C$65</f>
        <v>10000000</v>
      </c>
      <c r="D63" s="5" t="n">
        <f>IF('Assumptions and Catalog'!$H$65=0,0,($C$8-'Assumptions and Catalog'!$E$65-'Assumptions and Catalog'!$F$65)/'Assumptions and Catalog'!$H$65)</f>
        <v>2921.63120567376</v>
      </c>
      <c r="E63" s="5" t="n">
        <f>D63*'Assumptions and Catalog'!$H$65+'Assumptions and Catalog'!$E$65+'Assumptions and Catalog'!$F$65</f>
        <v>8279</v>
      </c>
      <c r="F63" s="5" t="n">
        <f>IF(AND(A63=$C$9,D63&gt;B63,D63&lt;=C63,D63&gt;=0,ABS(E63-$C$8)&lt;='Assumptions and Catalog'!$C$25),1,0)</f>
        <v>1</v>
      </c>
      <c r="G63" s="5" t="n">
        <f>IF(F63=1,D63,0)</f>
        <v>2921.63120567376</v>
      </c>
    </row>
    <row r="64" ht="33.95000076293945" customHeight="1">
      <c r="A64" s="3"/>
      <c r="B64" s="5"/>
      <c r="C64" s="5"/>
      <c r="D64" s="5"/>
      <c r="E64" s="5"/>
      <c r="F64" s="5"/>
      <c r="G64" s="5"/>
    </row>
    <row r="65" ht="33.95000076293945" customHeight="1">
      <c r="A65" s="3"/>
      <c r="B65" s="5"/>
      <c r="C65" s="5"/>
      <c r="D65" s="5"/>
      <c r="E65" s="5"/>
      <c r="F65" s="5"/>
      <c r="G65" s="5"/>
    </row>
    <row r="66" ht="33.95000076293945" customHeight="1">
      <c r="A66" s="4" t="inlineStr">
        <is>
          <t xml:space="preserve">Accepted solution count</t>
        </is>
      </c>
      <c r="B66" s="5"/>
      <c r="C66" s="5" t="n">
        <f>SUM(F50:F63)</f>
        <v>1</v>
      </c>
      <c r="D66" s="5"/>
      <c r="E66" s="5"/>
      <c r="F66" s="5"/>
      <c r="G66" s="5"/>
    </row>
    <row r="67" ht="33.95000076293945" customHeight="1">
      <c r="A67" s="8"/>
    </row>
    <row r="68" ht="33.95000076293945" customHeight="1">
      <c r="A68" s="8"/>
    </row>
    <row r="69" ht="33.95000076293945" customHeight="1">
      <c r="A69" s="8"/>
    </row>
    <row r="70" ht="33.95000076293945" customHeight="1">
      <c r="A70" s="8"/>
    </row>
    <row r="71" ht="33.95000076293945" customHeight="1">
      <c r="A71" s="8"/>
    </row>
    <row r="72" ht="33.95000076293945" customHeight="1">
      <c r="A72" s="8"/>
    </row>
    <row r="73" ht="33.95000076293945" customHeight="1">
      <c r="A73" s="8"/>
    </row>
    <row r="74" ht="33.95000076293945" customHeight="1">
      <c r="A74" s="8"/>
    </row>
    <row r="75" ht="33.95000076293945" customHeight="1">
      <c r="A75" s="8"/>
    </row>
    <row r="76" ht="33.95000076293945" customHeight="1">
      <c r="A76" s="8"/>
    </row>
    <row r="77" ht="33.95000076293945" customHeight="1">
      <c r="A77" s="8"/>
    </row>
    <row r="78" ht="33.95000076293945" customHeight="1">
      <c r="A78" s="8"/>
    </row>
    <row r="79" ht="33.95000076293945" customHeight="1">
      <c r="A79" s="8"/>
    </row>
    <row r="80" ht="33.95000076293945" customHeight="1">
      <c r="A80" s="8"/>
    </row>
    <row r="81" ht="33.95000076293945" customHeight="1">
      <c r="A81" s="8"/>
    </row>
    <row r="82" ht="33.95000076293945" customHeight="1">
      <c r="A82" s="8"/>
    </row>
    <row r="83" ht="33.95000076293945" customHeight="1">
      <c r="A83" s="8"/>
    </row>
    <row r="84" ht="33.95000076293945" customHeight="1">
      <c r="A84" s="8"/>
    </row>
    <row r="85" ht="33.95000076293945" customHeight="1">
      <c r="A85" s="8"/>
    </row>
    <row r="86" ht="33.95000076293945" customHeight="1">
      <c r="A86" s="8"/>
    </row>
    <row r="87" ht="33.95000076293945" customHeight="1">
      <c r="A87" s="8"/>
    </row>
    <row r="88" ht="33.95000076293945" customHeight="1">
      <c r="A88" s="8"/>
    </row>
    <row r="89" ht="33.95000076293945" customHeight="1">
      <c r="A89" s="8"/>
    </row>
    <row r="90" ht="33.95000076293945" customHeight="1">
      <c r="A90" s="8"/>
    </row>
    <row r="91" ht="33.95000076293945" customHeight="1">
      <c r="A91" s="8"/>
    </row>
    <row r="92" ht="33.95000076293945" customHeight="1">
      <c r="A92" s="8"/>
    </row>
    <row r="93" ht="33.95000076293945" customHeight="1">
      <c r="A93" s="8"/>
    </row>
    <row r="94" ht="33.95000076293945" customHeight="1">
      <c r="A94" s="8"/>
    </row>
    <row r="95" ht="33.95000076293945" customHeight="1">
      <c r="A95" s="8"/>
    </row>
    <row r="96" ht="33.95000076293945" customHeight="1">
      <c r="A96" s="8"/>
    </row>
    <row r="97" ht="33.95000076293945" customHeight="1">
      <c r="A97" s="8"/>
    </row>
    <row r="98" ht="33.95000076293945" customHeight="1">
      <c r="A98" s="8"/>
    </row>
    <row r="99" ht="33.95000076293945" customHeight="1">
      <c r="A99" s="8"/>
    </row>
    <row r="100" ht="33.95000076293945" customHeight="1">
      <c r="A100" s="8"/>
    </row>
    <row r="101" ht="33.95000076293945" customHeight="1">
      <c r="A101" s="8"/>
    </row>
    <row r="102" ht="33.95000076293945" customHeight="1">
      <c r="A102" s="8"/>
    </row>
    <row r="103" ht="33.95000076293945" customHeight="1">
      <c r="A103" s="8"/>
    </row>
    <row r="104" ht="33.95000076293945" customHeight="1">
      <c r="A104" s="8"/>
    </row>
  </sheetData>
  <sheetProtection formatColumns="0" formatRows="0"/>
  <mergeCells>
    <mergeCell ref="A2:F2"/>
    <mergeCell ref="A3:H3"/>
    <mergeCell ref="E7:H7"/>
    <mergeCell ref="E8:H8"/>
    <mergeCell ref="E11:H11"/>
    <mergeCell ref="E15:H15"/>
    <mergeCell ref="E18:H18"/>
    <mergeCell ref="E21:H21"/>
    <mergeCell ref="J2:O2"/>
    <mergeCell ref="L3:Q3"/>
    <mergeCell ref="L14:Q14"/>
    <mergeCell ref="A39:H39"/>
    <mergeCell ref="A40:H40"/>
    <mergeCell ref="A41:H41"/>
    <mergeCell ref="A47:H47"/>
  </mergeCells>
  <conditionalFormatting sqref="C6">
    <cfRule type="expression" dxfId="7" priority="1" stopIfTrue="1">
      <formula>OR(LEFT(INDIRECT("'Scenarios'!C926"),6)="ERROR:")</formula>
    </cfRule>
  </conditionalFormatting>
  <conditionalFormatting sqref="C7">
    <cfRule type="expression" dxfId="7" priority="2" stopIfTrue="1">
      <formula>OR(LEFT(INDIRECT("'Scenarios'!C927"),6)="ERROR:")</formula>
    </cfRule>
  </conditionalFormatting>
  <conditionalFormatting sqref="C8">
    <cfRule type="expression" dxfId="7" priority="3" stopIfTrue="1">
      <formula>OR(LEFT(INDIRECT("'Scenarios'!C928"),6)="ERROR:",LEFT(INDIRECT("'Scenarios'!C933"),6)="ERROR:")</formula>
    </cfRule>
  </conditionalFormatting>
  <conditionalFormatting sqref="C9">
    <cfRule type="expression" dxfId="7" priority="4" stopIfTrue="1">
      <formula>OR(LEFT(INDIRECT("'Scenarios'!C930"),6)="ERROR:")</formula>
    </cfRule>
  </conditionalFormatting>
  <conditionalFormatting sqref="C10">
    <cfRule type="expression" dxfId="7" priority="5" stopIfTrue="1">
      <formula>OR(LEFT(INDIRECT("'Scenarios'!C929"),6)="ERROR:")</formula>
    </cfRule>
  </conditionalFormatting>
  <conditionalFormatting sqref="C11">
    <cfRule type="expression" dxfId="7" priority="6" stopIfTrue="1">
      <formula>OR(LEFT(INDIRECT("'Scenarios'!C931"),6)="ERROR:")</formula>
    </cfRule>
  </conditionalFormatting>
  <conditionalFormatting sqref="C14">
    <cfRule type="expression" dxfId="7" priority="7" stopIfTrue="1">
      <formula>OR(LEFT(INDIRECT("'Scenarios'!C934"),6)="ERROR:")</formula>
    </cfRule>
  </conditionalFormatting>
  <conditionalFormatting sqref="C15">
    <cfRule type="expression" dxfId="7" priority="8" stopIfTrue="1">
      <formula>OR(LEFT(INDIRECT("'Scenarios'!C935"),6)="ERROR:")</formula>
    </cfRule>
  </conditionalFormatting>
  <conditionalFormatting sqref="C17">
    <cfRule type="expression" dxfId="7" priority="9" stopIfTrue="1">
      <formula>OR(LEFT(INDIRECT("'Scenarios'!C936"),6)="ERROR:")</formula>
    </cfRule>
  </conditionalFormatting>
  <conditionalFormatting sqref="C18">
    <cfRule type="expression" dxfId="7" priority="10" stopIfTrue="1">
      <formula>OR(LEFT(INDIRECT("'Scenarios'!C937"),6)="ERROR:")</formula>
    </cfRule>
  </conditionalFormatting>
  <conditionalFormatting sqref="C20">
    <cfRule type="expression" dxfId="7" priority="11" stopIfTrue="1">
      <formula>OR(LEFT(INDIRECT("'Scenarios'!C938"),6)="ERROR:")</formula>
    </cfRule>
  </conditionalFormatting>
  <conditionalFormatting sqref="C21">
    <cfRule type="expression" dxfId="7" priority="12" stopIfTrue="1">
      <formula>OR(LEFT(INDIRECT("'Scenarios'!C939"),6)="ERROR:")</formula>
    </cfRule>
  </conditionalFormatting>
  <conditionalFormatting sqref="C7:C7">
    <cfRule type="expression" dxfId="6" priority="14">
      <formula>$C$6="Bill only"</formula>
    </cfRule>
  </conditionalFormatting>
  <conditionalFormatting sqref="C8:C8">
    <cfRule type="expression" dxfId="5" priority="15">
      <formula>$C$6="Consumption only"</formula>
    </cfRule>
  </conditionalFormatting>
  <conditionalFormatting sqref="C15:C15">
    <cfRule type="expression" dxfId="4" priority="16">
      <formula>$C$14="Unspecified"</formula>
    </cfRule>
  </conditionalFormatting>
  <conditionalFormatting sqref="C18:C18">
    <cfRule type="expression" dxfId="3" priority="17">
      <formula>$C$17="Constant load"</formula>
    </cfRule>
  </conditionalFormatting>
  <conditionalFormatting sqref="C21:C21">
    <cfRule type="expression" dxfId="2" priority="18">
      <formula>$C$20="Unknown"</formula>
    </cfRule>
  </conditionalFormatting>
  <conditionalFormatting sqref="C11">
    <cfRule type="expression" dxfId="8" priority="19" stopIfTrue="1">
      <formula>LEFT(INDIRECT("'Scenarios'!C932"),8)="WARNING:"</formula>
    </cfRule>
  </conditionalFormatting>
  <conditionalFormatting sqref="C21">
    <cfRule type="expression" dxfId="8" priority="20" stopIfTrue="1">
      <formula>OR(LEFT(INDIRECT("'Scenarios'!G951"),8)="WARNING:",LEFT(INDIRECT("'Scenarios'!K951"),8)="WARNING:")</formula>
    </cfRule>
  </conditionalFormatting>
  <dataValidations count="9">
    <dataValidation type="list" sqref="C6">
      <formula1>"Bill and consumption,Consumption only,Bill only"</formula1>
      <formula2>0</formula2>
    </dataValidation>
    <dataValidation type="list" sqref="C9">
      <formula1>"Commercial,Residential"</formula1>
      <formula2>0</formula2>
    </dataValidation>
    <dataValidation type="list" sqref="C11">
      <formula1>"Official,Actual flat rate"</formula1>
      <formula2>0</formula2>
    </dataValidation>
    <dataValidation type="list" sqref="C14">
      <formula1>"Unspecified,Specified"</formula1>
      <formula2>0</formula2>
    </dataValidation>
    <dataValidation type="list" sqref="C17">
      <formula1>"Constant load,Known"</formula1>
      <formula2>0</formula2>
    </dataValidation>
    <dataValidation type="list" sqref="C20">
      <formula1>"Unknown,Known"</formula1>
      <formula2>0</formula2>
    </dataValidation>
    <dataValidation type="decimal" operator="greaterThanOrEqual" sqref="C21 C15 C7:C8">
      <formula1>0</formula1>
      <formula2>0</formula2>
    </dataValidation>
    <dataValidation type="whole" sqref="C10">
      <formula1>1</formula1>
      <formula2>62</formula2>
    </dataValidation>
    <dataValidation type="decimal" sqref="C18">
      <formula1>0</formula1>
      <formula2>1</formula2>
    </dataValidation>
  </dataValidations>
  <pageMargins left="0.7" right="0.7" top="0.75" bottom="0.75" header="0.3" footer="0.3"/>
  <pageSetup orientation="landscape" paperSize="8" fitToWidth="1" fitToHeight="0"/>
</worksheet>
</file>

<file path=xl/worksheets/sheet2.xml><?xml version="1.0" encoding="utf-8"?>
<worksheet xmlns="http://schemas.openxmlformats.org/spreadsheetml/2006/main">
  <sheetPr>
    <tabColor rgb="FF52718D"/>
    <pageSetUpPr fitToPage="1"/>
  </sheetPr>
  <sheetViews>
    <sheetView showGridLines="0" zoomScale="85" zoomScaleNormal="100" workbookViewId="0" tabSelected="0">
      <pane ySplit="4" topLeftCell="A12" activePane="bottomLeft" state="frozen"/>
      <selection pane="bottomLeft" activeCell="C13" sqref="C13"/>
    </sheetView>
  </sheetViews>
  <sheetFormatPr defaultColWidth="8.42578125" defaultRowHeight="12.75"/>
  <cols>
    <col min="1" max="1" width="43" customWidth="1"/>
    <col min="2" max="2" width="19" customWidth="1"/>
    <col min="3" max="3" width="27" customWidth="1"/>
    <col min="4" max="4" width="40" customWidth="1"/>
    <col min="5" max="9" width="17" customWidth="1"/>
  </cols>
  <sheetData>
    <row r="1" ht="23.100000381469727" customHeight="1">
      <c r="A1" s="5"/>
      <c r="B1" s="5"/>
      <c r="C1" s="5"/>
      <c r="D1" s="5"/>
      <c r="E1" s="5"/>
      <c r="F1" s="5"/>
      <c r="G1" s="5"/>
      <c r="H1" s="5"/>
      <c r="I1" s="5"/>
    </row>
    <row r="2" ht="30" customHeight="1">
      <c r="A2" s="23" t="inlineStr">
        <is>
          <t xml:space="preserve">AVESTA — Assumptions and Catalog</t>
        </is>
      </c>
      <c r="B2" s="24"/>
      <c r="C2" s="24"/>
      <c r="D2" s="24"/>
      <c r="E2" s="24"/>
      <c r="F2" s="24"/>
      <c r="G2" s="24"/>
      <c r="H2" s="24"/>
      <c r="I2" s="5"/>
    </row>
    <row r="3" ht="44.099998474121094" customHeight="1">
      <c r="A3" s="19" t="inlineStr">
        <is>
          <t xml:space="preserve">Yellow cells are editable. Equipment prices and limits are illustrative, not supplier quotes or manufacturer specifications.</t>
        </is>
      </c>
      <c r="B3" s="20"/>
      <c r="C3" s="20"/>
      <c r="D3" s="20"/>
      <c r="E3" s="20"/>
      <c r="F3" s="20"/>
      <c r="G3" s="20"/>
      <c r="H3" s="20"/>
      <c r="I3" s="5"/>
    </row>
    <row r="4" ht="23.100000381469727" customHeight="1">
      <c r="A4" s="5"/>
      <c r="B4" s="5"/>
      <c r="C4" s="5"/>
      <c r="D4" s="5"/>
      <c r="E4" s="5"/>
      <c r="F4" s="5"/>
      <c r="G4" s="5"/>
      <c r="H4" s="5"/>
      <c r="I4" s="5"/>
    </row>
    <row r="5" ht="33.95000076293945" customHeight="1">
      <c r="A5" s="3"/>
      <c r="B5" s="5"/>
      <c r="C5" s="5"/>
      <c r="D5" s="5"/>
      <c r="E5" s="5"/>
      <c r="F5" s="5"/>
      <c r="G5" s="5"/>
      <c r="H5" s="5"/>
      <c r="I5" s="5"/>
    </row>
    <row r="6" ht="33.95000076293945" customHeight="1">
      <c r="A6" s="4" t="inlineStr">
        <is>
          <t xml:space="preserve">Study period</t>
        </is>
      </c>
      <c r="B6" s="13" t="inlineStr">
        <is>
          <t xml:space="preserve">years</t>
        </is>
      </c>
      <c r="C6" s="11" t="n">
        <v>10</v>
      </c>
      <c r="D6" s="4" t="inlineStr">
        <is>
          <t xml:space="preserve">1 to 20</t>
        </is>
      </c>
      <c r="E6" s="5"/>
      <c r="F6" s="5"/>
      <c r="G6" s="5"/>
      <c r="H6" s="5"/>
      <c r="I6" s="5"/>
    </row>
    <row r="7" ht="33.95000076293945" customHeight="1">
      <c r="A7" s="4" t="inlineStr">
        <is>
          <t xml:space="preserve">Nominal discount rate</t>
        </is>
      </c>
      <c r="B7" s="13" t="inlineStr">
        <is>
          <t xml:space="preserve">%</t>
        </is>
      </c>
      <c r="C7" s="12" t="n">
        <v>0.1</v>
      </c>
      <c r="D7" s="4" t="inlineStr">
        <is>
          <t xml:space="preserve">Illustrative assumption; approval needed</t>
        </is>
      </c>
      <c r="E7" s="5"/>
      <c r="F7" s="5"/>
      <c r="G7" s="5"/>
      <c r="H7" s="5"/>
      <c r="I7" s="5"/>
    </row>
    <row r="8" ht="33.95000076293945" customHeight="1">
      <c r="A8" s="4" t="inlineStr">
        <is>
          <t xml:space="preserve">Tariff and fee escalation</t>
        </is>
      </c>
      <c r="B8" s="13" t="inlineStr">
        <is>
          <t xml:space="preserve">% per year</t>
        </is>
      </c>
      <c r="C8" s="12" t="n">
        <v>0</v>
      </c>
      <c r="D8" s="4" t="inlineStr">
        <is>
          <t xml:space="preserve">Flat by default; applies to all bill components</t>
        </is>
      </c>
      <c r="E8" s="5"/>
      <c r="F8" s="5"/>
      <c r="G8" s="5"/>
      <c r="H8" s="5"/>
      <c r="I8" s="5"/>
    </row>
    <row r="9" ht="33.95000076293945" customHeight="1">
      <c r="A9" s="4" t="inlineStr">
        <is>
          <t xml:space="preserve">Maintenance cost escalation</t>
        </is>
      </c>
      <c r="B9" s="13" t="inlineStr">
        <is>
          <t xml:space="preserve">% per year</t>
        </is>
      </c>
      <c r="C9" s="12" t="n">
        <v>0</v>
      </c>
      <c r="D9" s="4" t="inlineStr">
        <is>
          <t xml:space="preserve">Assumed cost escalation</t>
        </is>
      </c>
      <c r="E9" s="5"/>
      <c r="F9" s="5"/>
      <c r="G9" s="5"/>
      <c r="H9" s="5"/>
      <c r="I9" s="5"/>
    </row>
    <row r="10" ht="33.95000076293945" customHeight="1">
      <c r="A10" s="4" t="inlineStr">
        <is>
          <t xml:space="preserve">Annual PV degradation</t>
        </is>
      </c>
      <c r="B10" s="13" t="inlineStr">
        <is>
          <t xml:space="preserve">% per year</t>
        </is>
      </c>
      <c r="C10" s="12" t="n">
        <v>0.005</v>
      </c>
      <c r="D10" s="4" t="inlineStr">
        <is>
          <t xml:space="preserve">Assumption</t>
        </is>
      </c>
      <c r="E10" s="5"/>
      <c r="F10" s="5"/>
      <c r="G10" s="5"/>
      <c r="H10" s="5"/>
      <c r="I10" s="5"/>
    </row>
    <row r="11" ht="33.95000076293945" customHeight="1">
      <c r="A11" s="4" t="inlineStr">
        <is>
          <t xml:space="preserve">Charge efficiency</t>
        </is>
      </c>
      <c r="B11" s="13" t="inlineStr">
        <is>
          <t xml:space="preserve">%</t>
        </is>
      </c>
      <c r="C11" s="12" t="n">
        <v>0.975</v>
      </c>
      <c r="D11" s="4" t="inlineStr">
        <is>
          <t xml:space="preserve">AC input to stored energy</t>
        </is>
      </c>
      <c r="E11" s="5"/>
      <c r="F11" s="5"/>
      <c r="G11" s="5"/>
      <c r="H11" s="5"/>
      <c r="I11" s="5"/>
    </row>
    <row r="12" ht="33.95000076293945" customHeight="1">
      <c r="A12" s="4" t="inlineStr">
        <is>
          <t xml:space="preserve">Discharge efficiency</t>
        </is>
      </c>
      <c r="B12" s="13" t="inlineStr">
        <is>
          <t xml:space="preserve">%</t>
        </is>
      </c>
      <c r="C12" s="12" t="n">
        <v>0.975</v>
      </c>
      <c r="D12" s="4" t="inlineStr">
        <is>
          <t xml:space="preserve">Stored energy to AC load</t>
        </is>
      </c>
      <c r="E12" s="5"/>
      <c r="F12" s="5"/>
      <c r="G12" s="5"/>
      <c r="H12" s="5"/>
      <c r="I12" s="5"/>
    </row>
    <row r="13" ht="33.95000076293945" customHeight="1">
      <c r="A13" s="4" t="inlineStr">
        <is>
          <t xml:space="preserve">Daytime duration</t>
        </is>
      </c>
      <c r="B13" s="13" t="inlineStr">
        <is>
          <t xml:space="preserve">hours/day</t>
        </is>
      </c>
      <c r="C13" s="10" t="n">
        <v>12</v>
      </c>
      <c r="D13" s="4" t="inlineStr">
        <is>
          <t xml:space="preserve">Not PSH; used only to split daily load</t>
        </is>
      </c>
      <c r="E13" s="5"/>
      <c r="F13" s="5"/>
      <c r="G13" s="5"/>
      <c r="H13" s="5"/>
      <c r="I13" s="5"/>
    </row>
    <row r="14" ht="33.95000076293945" customHeight="1">
      <c r="A14" s="4" t="inlineStr">
        <is>
          <t xml:space="preserve">PV charging window</t>
        </is>
      </c>
      <c r="B14" s="13" t="inlineStr">
        <is>
          <t xml:space="preserve">hours/day</t>
        </is>
      </c>
      <c r="C14" s="10" t="n">
        <v>6</v>
      </c>
      <c r="D14" s="4" t="inlineStr">
        <is>
          <t xml:space="preserve">Approximate power window, not hourly simulation</t>
        </is>
      </c>
      <c r="E14" s="5"/>
      <c r="F14" s="5"/>
      <c r="G14" s="5"/>
      <c r="H14" s="5"/>
      <c r="I14" s="5"/>
    </row>
    <row r="15" ht="33.95000076293945" customHeight="1">
      <c r="A15" s="4" t="inlineStr">
        <is>
          <t xml:space="preserve">Grid charging window</t>
        </is>
      </c>
      <c r="B15" s="13" t="inlineStr">
        <is>
          <t xml:space="preserve">hours/day</t>
        </is>
      </c>
      <c r="C15" s="10" t="n">
        <v>8</v>
      </c>
      <c r="D15" s="4" t="inlineStr">
        <is>
          <t xml:space="preserve">Battery-only scenario</t>
        </is>
      </c>
      <c r="E15" s="5"/>
      <c r="F15" s="5"/>
      <c r="G15" s="5"/>
      <c r="H15" s="5"/>
      <c r="I15" s="5"/>
    </row>
    <row r="16" ht="33.95000076293945" customHeight="1">
      <c r="A16" s="4" t="inlineStr">
        <is>
          <t xml:space="preserve">Installation area multiplier</t>
        </is>
      </c>
      <c r="B16" s="13" t="inlineStr">
        <is>
          <t xml:space="preserve">times panel area</t>
        </is>
      </c>
      <c r="C16" s="10" t="n">
        <v>1.5</v>
      </c>
      <c r="D16" s="4" t="inlineStr">
        <is>
          <t xml:space="preserve">Includes assumed installation clearances</t>
        </is>
      </c>
      <c r="E16" s="5"/>
      <c r="F16" s="5"/>
      <c r="G16" s="5"/>
      <c r="H16" s="5"/>
      <c r="I16" s="5"/>
    </row>
    <row r="17" ht="33.95000076293945" customHeight="1">
      <c r="A17" s="4" t="inlineStr">
        <is>
          <t xml:space="preserve">Installation and BOS</t>
        </is>
      </c>
      <c r="B17" s="13" t="inlineStr">
        <is>
          <t xml:space="preserve">% of equipment</t>
        </is>
      </c>
      <c r="C17" s="12" t="n">
        <v>0.1</v>
      </c>
      <c r="D17" s="4" t="inlineStr">
        <is>
          <t xml:space="preserve">Applied once to PV, battery and inverter</t>
        </is>
      </c>
      <c r="E17" s="5"/>
      <c r="F17" s="5"/>
      <c r="G17" s="5"/>
      <c r="H17" s="5"/>
      <c r="I17" s="5"/>
    </row>
    <row r="18" ht="33.95000076293945" customHeight="1">
      <c r="A18" s="4" t="inlineStr">
        <is>
          <t xml:space="preserve">Annual maintenance</t>
        </is>
      </c>
      <c r="B18" s="13" t="inlineStr">
        <is>
          <t xml:space="preserve">% of CAPEX</t>
        </is>
      </c>
      <c r="C18" s="12" t="n">
        <v>0.01</v>
      </c>
      <c r="D18" s="4" t="inlineStr">
        <is>
          <t xml:space="preserve">Estimate pending service quotes</t>
        </is>
      </c>
      <c r="E18" s="5"/>
      <c r="F18" s="5"/>
      <c r="G18" s="5"/>
      <c r="H18" s="5"/>
      <c r="I18" s="5"/>
    </row>
    <row r="19" ht="33.95000076293945" customHeight="1">
      <c r="A19" s="4" t="inlineStr">
        <is>
          <t xml:space="preserve">Battery replacement year</t>
        </is>
      </c>
      <c r="B19" s="13" t="inlineStr">
        <is>
          <t xml:space="preserve">years</t>
        </is>
      </c>
      <c r="C19" s="11" t="n">
        <v>11</v>
      </c>
      <c r="D19" s="4" t="inlineStr">
        <is>
          <t xml:space="preserve">Assumption; use 0 to disable replacement</t>
        </is>
      </c>
      <c r="E19" s="5"/>
      <c r="F19" s="5"/>
      <c r="G19" s="5"/>
      <c r="H19" s="5"/>
      <c r="I19" s="5"/>
    </row>
    <row r="20" ht="33.95000076293945" customHeight="1">
      <c r="A20" s="4" t="inlineStr">
        <is>
          <t xml:space="preserve">Battery replacement cost</t>
        </is>
      </c>
      <c r="B20" s="13" t="inlineStr">
        <is>
          <t xml:space="preserve">% of battery cost</t>
        </is>
      </c>
      <c r="C20" s="12" t="n">
        <v>1</v>
      </c>
      <c r="D20" s="4" t="inlineStr">
        <is>
          <t xml:space="preserve">Including cost escalation</t>
        </is>
      </c>
      <c r="E20" s="5"/>
      <c r="F20" s="5"/>
      <c r="G20" s="5"/>
      <c r="H20" s="5"/>
      <c r="I20" s="5"/>
    </row>
    <row r="21" ht="33.95000076293945" customHeight="1">
      <c r="A21" s="4" t="inlineStr">
        <is>
          <t xml:space="preserve">Inverter replacement year</t>
        </is>
      </c>
      <c r="B21" s="13" t="inlineStr">
        <is>
          <t xml:space="preserve">years</t>
        </is>
      </c>
      <c r="C21" s="11" t="n">
        <v>12</v>
      </c>
      <c r="D21" s="4" t="inlineStr">
        <is>
          <t xml:space="preserve">Assumption; use 0 to disable replacement</t>
        </is>
      </c>
      <c r="E21" s="5"/>
      <c r="F21" s="5"/>
      <c r="G21" s="5"/>
      <c r="H21" s="5"/>
      <c r="I21" s="5"/>
    </row>
    <row r="22" ht="33.95000076293945" customHeight="1">
      <c r="A22" s="4" t="inlineStr">
        <is>
          <t xml:space="preserve">Inverter replacement cost</t>
        </is>
      </c>
      <c r="B22" s="13" t="inlineStr">
        <is>
          <t xml:space="preserve">% of inverter cost</t>
        </is>
      </c>
      <c r="C22" s="12" t="n">
        <v>1</v>
      </c>
      <c r="D22" s="4" t="inlineStr">
        <is>
          <t xml:space="preserve">Including cost escalation</t>
        </is>
      </c>
      <c r="E22" s="5"/>
      <c r="F22" s="5"/>
      <c r="G22" s="5"/>
      <c r="H22" s="5"/>
      <c r="I22" s="5"/>
    </row>
    <row r="23" ht="33.95000076293945" customHeight="1">
      <c r="A23" s="4" t="inlineStr">
        <is>
          <t xml:space="preserve">Annual battery degradation</t>
        </is>
      </c>
      <c r="B23" s="13" t="inlineStr">
        <is>
          <t xml:space="preserve">% per year</t>
        </is>
      </c>
      <c r="C23" s="12" t="n">
        <v>0.02</v>
      </c>
      <c r="D23" s="4" t="inlineStr">
        <is>
          <t xml:space="preserve">Age resets in the assumed replacement year</t>
        </is>
      </c>
      <c r="E23" s="5"/>
      <c r="F23" s="5"/>
      <c r="G23" s="5"/>
      <c r="H23" s="5"/>
      <c r="I23" s="5"/>
    </row>
    <row r="24" ht="33.95000076293945" customHeight="1">
      <c r="A24" s="4" t="inlineStr">
        <is>
          <t xml:space="preserve">First forecast calendar year</t>
        </is>
      </c>
      <c r="B24" s="13" t="inlineStr">
        <is>
          <t xml:space="preserve">years</t>
        </is>
      </c>
      <c r="C24" s="11" t="n">
        <v>2027</v>
      </c>
      <c r="D24" s="4" t="inlineStr">
        <is>
          <t xml:space="preserve">Month lengths follow the calendar</t>
        </is>
      </c>
      <c r="E24" s="5"/>
      <c r="F24" s="5"/>
      <c r="G24" s="5"/>
      <c r="H24" s="5"/>
      <c r="I24" s="5"/>
    </row>
    <row r="25" ht="33.95000076293945" customHeight="1">
      <c r="A25" s="4" t="inlineStr">
        <is>
          <t xml:space="preserve">Inverse-bill tolerance</t>
        </is>
      </c>
      <c r="B25" s="13" t="inlineStr">
        <is>
          <t xml:space="preserve">EGP</t>
        </is>
      </c>
      <c r="C25" s="10" t="n">
        <v>0.02</v>
      </c>
      <c r="D25" s="4" t="inlineStr">
        <is>
          <t xml:space="preserve">Check calculated bill against input</t>
        </is>
      </c>
      <c r="E25" s="5"/>
      <c r="F25" s="5"/>
      <c r="G25" s="5"/>
      <c r="H25" s="5"/>
      <c r="I25" s="5"/>
    </row>
    <row r="26" ht="33.95000076293945" customHeight="1">
      <c r="A26" s="4" t="inlineStr">
        <is>
          <t xml:space="preserve">Battery auxiliary consumption</t>
        </is>
      </c>
      <c r="B26" s="13" t="inlineStr">
        <is>
          <t xml:space="preserve">kWh/day</t>
        </is>
      </c>
      <c r="C26" s="10" t="n">
        <v>0</v>
      </c>
      <c r="D26" s="4" t="inlineStr">
        <is>
          <t xml:space="preserve">Not estimated; enter standby consumption</t>
        </is>
      </c>
      <c r="E26" s="5"/>
      <c r="F26" s="5"/>
      <c r="G26" s="5"/>
      <c r="H26" s="5"/>
      <c r="I26" s="5"/>
    </row>
    <row r="27" ht="33.95000076293945" customHeight="1">
      <c r="A27" s="3"/>
      <c r="B27" s="5"/>
      <c r="C27" s="5"/>
      <c r="D27" s="5"/>
      <c r="E27" s="5"/>
      <c r="F27" s="5"/>
      <c r="G27" s="5"/>
      <c r="H27" s="5"/>
      <c r="I27" s="5"/>
    </row>
    <row r="28" ht="33.95000076293945" customHeight="1">
      <c r="A28" s="3"/>
      <c r="B28" s="5"/>
      <c r="C28" s="5"/>
      <c r="D28" s="5"/>
      <c r="E28" s="5"/>
      <c r="F28" s="5"/>
      <c r="G28" s="5"/>
      <c r="H28" s="5"/>
      <c r="I28" s="5"/>
    </row>
    <row r="29" ht="33.95000076293945" customHeight="1">
      <c r="A29" t="str" s="21">
        <v>Cairo seasonal solar production - experimental</v>
      </c>
      <c r="B29" s="22"/>
      <c r="C29" s="22"/>
      <c r="D29" s="22"/>
      <c r="E29" s="22"/>
      <c r="F29" s="22"/>
      <c r="G29" s="22"/>
      <c r="H29" s="22"/>
      <c r="I29" s="5"/>
    </row>
    <row r="30" ht="33.95000076293945" customHeight="1">
      <c r="A30" s="3"/>
      <c r="B30" s="5"/>
      <c r="C30" s="5"/>
      <c r="D30" s="5"/>
      <c r="E30" s="5"/>
      <c r="F30" s="5"/>
      <c r="G30" s="5"/>
      <c r="H30" s="5"/>
      <c r="I30" s="5"/>
    </row>
    <row r="31" ht="33.95000076293945" customHeight="1">
      <c r="A31" t="str" s="4">
        <v>Annual-average PV yield (derived)</v>
      </c>
      <c r="B31" s="13" t="inlineStr">
        <is>
          <t xml:space="preserve">kWh/kWp/day</t>
        </is>
      </c>
      <c r="C31" s="10" t="n">
        <f>'Solar Production'!D32</f>
        <v>4.98183561643836</v>
      </c>
      <c r="D31" t="str" s="2">
        <v>Derived summary only. Monthly calculations use Solar Production.</v>
      </c>
      <c r="E31" s="18"/>
      <c r="F31" s="18"/>
      <c r="G31" s="18"/>
      <c r="H31" s="18"/>
      <c r="I31" s="5"/>
    </row>
    <row r="32" ht="33.95000076293945" customHeight="1">
      <c r="A32" s="3"/>
      <c r="B32" s="5"/>
      <c r="C32" s="5"/>
      <c r="D32" s="5"/>
      <c r="E32" s="5"/>
      <c r="F32" s="5"/>
      <c r="G32" s="5"/>
      <c r="H32" s="5"/>
      <c r="I32" s="5"/>
    </row>
    <row r="33" ht="44.099998474121094" customHeight="1">
      <c r="A33" t="str" s="19">
        <v>Monthly yield from Solar Production replaces the fixed daily average in this trial.</v>
      </c>
      <c r="B33" s="20"/>
      <c r="C33" s="20"/>
      <c r="D33" s="20"/>
      <c r="E33" s="20"/>
      <c r="F33" s="20"/>
      <c r="G33" s="20"/>
      <c r="H33" s="20"/>
      <c r="I33" s="5"/>
    </row>
    <row r="34" ht="44.099998474121094" customHeight="1">
      <c r="A34" t="str" s="19">
        <v>Edit tilt and compass azimuth on Solar Production. PVGIS losses are already included.</v>
      </c>
      <c r="B34" s="20"/>
      <c r="C34" s="20"/>
      <c r="D34" s="20"/>
      <c r="E34" s="20"/>
      <c r="F34" s="20"/>
      <c r="G34" s="20"/>
      <c r="H34" s="20"/>
      <c r="I34" s="5"/>
    </row>
    <row r="35" ht="44.099998474121094" customHeight="1">
      <c r="A35" t="str" s="19">
        <v>Source: JRC PVGIS 5.3 / SARAH3, 2005-2023; retrieved 26 October 2026.</v>
      </c>
      <c r="B35" s="20"/>
      <c r="C35" s="20"/>
      <c r="D35" s="20"/>
      <c r="E35" s="20"/>
      <c r="F35" s="20"/>
      <c r="G35" s="20"/>
      <c r="H35" s="20"/>
      <c r="I35" s="5"/>
    </row>
    <row r="36" ht="44.099998474121094" customHeight="1">
      <c r="A36" s="19" t="inlineStr">
        <is>
          <t xml:space="preserve">https://re.jrc.ec.europa.eu/pvg_tools/en/</t>
        </is>
      </c>
      <c r="B36" s="20"/>
      <c r="C36" s="20"/>
      <c r="D36" s="20"/>
      <c r="E36" s="20"/>
      <c r="F36" s="20"/>
      <c r="G36" s="20"/>
      <c r="H36" s="20"/>
      <c r="I36" s="5"/>
    </row>
    <row r="37" ht="33.95000076293945" customHeight="1">
      <c r="A37" s="3"/>
      <c r="B37" s="5"/>
      <c r="C37" s="5"/>
      <c r="D37" s="5"/>
      <c r="E37" s="5"/>
      <c r="F37" s="5"/>
      <c r="G37" s="5"/>
      <c r="H37" s="5"/>
      <c r="I37" s="5"/>
    </row>
    <row r="38" ht="33.95000076293945" customHeight="1">
      <c r="A38" s="3"/>
      <c r="B38" s="5"/>
      <c r="C38" s="5"/>
      <c r="D38" s="5"/>
      <c r="E38" s="5"/>
      <c r="F38" s="5"/>
      <c r="G38" s="5"/>
      <c r="H38" s="5"/>
      <c r="I38" s="5"/>
    </row>
    <row r="39" ht="33.95000076293945" customHeight="1">
      <c r="A39" s="3"/>
      <c r="B39" s="5"/>
      <c r="C39" s="5"/>
      <c r="D39" s="5"/>
      <c r="E39" s="5"/>
      <c r="F39" s="5"/>
      <c r="G39" s="5"/>
      <c r="H39" s="5"/>
      <c r="I39" s="5"/>
    </row>
    <row r="40" ht="33.95000076293945" customHeight="1">
      <c r="A40" s="3"/>
      <c r="B40" s="5"/>
      <c r="C40" s="5"/>
      <c r="D40" s="5"/>
      <c r="E40" s="5"/>
      <c r="F40" s="5"/>
      <c r="G40" s="5"/>
      <c r="H40" s="5"/>
      <c r="I40" s="5"/>
    </row>
    <row r="41" ht="33.95000076293945" customHeight="1">
      <c r="A41" s="3"/>
      <c r="B41" s="5"/>
      <c r="C41" s="5"/>
      <c r="D41" s="5"/>
      <c r="E41" s="5"/>
      <c r="F41" s="5"/>
      <c r="G41" s="5"/>
      <c r="H41" s="5"/>
      <c r="I41" s="5"/>
    </row>
    <row r="42" ht="33.95000076293945" customHeight="1">
      <c r="A42" s="3"/>
      <c r="B42" s="5"/>
      <c r="C42" s="5"/>
      <c r="D42" s="5"/>
      <c r="E42" s="5"/>
      <c r="F42" s="5"/>
      <c r="G42" s="5"/>
      <c r="H42" s="5"/>
      <c r="I42" s="5"/>
    </row>
    <row r="43" ht="33.95000076293945" customHeight="1">
      <c r="A43" s="3"/>
      <c r="B43" s="5"/>
      <c r="C43" s="5"/>
      <c r="D43" s="5"/>
      <c r="E43" s="5"/>
      <c r="F43" s="5"/>
      <c r="G43" s="5"/>
      <c r="H43" s="5"/>
      <c r="I43" s="5"/>
    </row>
    <row r="44" ht="33.95000076293945" customHeight="1">
      <c r="A44" s="3"/>
      <c r="B44" s="5"/>
      <c r="C44" s="5"/>
      <c r="D44" s="5"/>
      <c r="E44" s="5"/>
      <c r="F44" s="5"/>
      <c r="G44" s="5"/>
      <c r="H44" s="5"/>
      <c r="I44" s="5"/>
    </row>
    <row r="45" ht="33.95000076293945" customHeight="1">
      <c r="A45" s="3"/>
      <c r="B45" s="5"/>
      <c r="C45" s="5"/>
      <c r="D45" s="5"/>
      <c r="E45" s="5"/>
      <c r="F45" s="5"/>
      <c r="G45" s="5"/>
      <c r="H45" s="5"/>
      <c r="I45" s="5"/>
    </row>
    <row r="46" ht="33.95000076293945" customHeight="1">
      <c r="A46" s="21" t="inlineStr">
        <is>
          <t xml:space="preserve">Editable reference tariff bands</t>
        </is>
      </c>
      <c r="B46" s="22"/>
      <c r="C46" s="22"/>
      <c r="D46" s="22"/>
      <c r="E46" s="22"/>
      <c r="F46" s="22"/>
      <c r="G46" s="22"/>
      <c r="H46" s="22"/>
      <c r="I46" s="5"/>
    </row>
    <row r="47" ht="44.099998474121094" customHeight="1">
      <c r="A47" s="19" t="inlineStr">
        <is>
          <t xml:space="preserve">Tariffs from prior project files; current applicability could not be confirmed from the regulator link. Verify before commercial use.</t>
        </is>
      </c>
      <c r="B47" s="20"/>
      <c r="C47" s="20"/>
      <c r="D47" s="20"/>
      <c r="E47" s="20"/>
      <c r="F47" s="20"/>
      <c r="G47" s="20"/>
      <c r="H47" s="20"/>
      <c r="I47" s="5"/>
    </row>
    <row r="48" ht="33.95000076293945" customHeight="1">
      <c r="A48" s="3"/>
      <c r="B48" s="5"/>
      <c r="C48" s="5"/>
      <c r="D48" s="5"/>
      <c r="E48" s="5"/>
      <c r="F48" s="5"/>
      <c r="G48" s="5"/>
      <c r="H48" s="5"/>
      <c r="I48" s="5"/>
    </row>
    <row r="49" ht="33.95000076293945" customHeight="1">
      <c r="A49" s="14" t="inlineStr">
        <is>
          <t xml:space="preserve">Type</t>
        </is>
      </c>
      <c r="B49" s="14" t="inlineStr">
        <is>
          <t xml:space="preserve">Above kWh</t>
        </is>
      </c>
      <c r="C49" s="14" t="inlineStr">
        <is>
          <t xml:space="preserve">Up to kWh</t>
        </is>
      </c>
      <c r="D49" s="14" t="inlineStr">
        <is>
          <t xml:space="preserve">Energy rate</t>
        </is>
      </c>
      <c r="E49" s="14" t="inlineStr">
        <is>
          <t xml:space="preserve">Energy intercept</t>
        </is>
      </c>
      <c r="F49" s="14" t="inlineStr">
        <is>
          <t xml:space="preserve">Service fee (EGP)</t>
        </is>
      </c>
      <c r="G49" s="14" t="inlineStr">
        <is>
          <t xml:space="preserve">Stamp/kWh</t>
        </is>
      </c>
      <c r="H49" s="14" t="inlineStr">
        <is>
          <t xml:space="preserve">Marginal rate incl. stamp</t>
        </is>
      </c>
      <c r="I49" s="5"/>
    </row>
    <row r="50" ht="33.95000076293945" customHeight="1">
      <c r="A50" s="4" t="inlineStr">
        <is>
          <t xml:space="preserve">Residential</t>
        </is>
      </c>
      <c r="B50" s="5" t="n">
        <v>-1</v>
      </c>
      <c r="C50" s="5" t="n">
        <v>0</v>
      </c>
      <c r="D50" s="5" t="n">
        <v>0</v>
      </c>
      <c r="E50" s="5" t="n">
        <v>0</v>
      </c>
      <c r="F50" s="5" t="n">
        <v>9</v>
      </c>
      <c r="G50" s="5" t="n">
        <v>0</v>
      </c>
      <c r="H50" s="5" t="n">
        <f>D50+G50</f>
        <v>0</v>
      </c>
      <c r="I50" s="5"/>
    </row>
    <row r="51" ht="33.95000076293945" customHeight="1">
      <c r="A51" s="4" t="inlineStr">
        <is>
          <t xml:space="preserve">Residential</t>
        </is>
      </c>
      <c r="B51" s="15" t="n">
        <v>0</v>
      </c>
      <c r="C51" s="15" t="n">
        <v>50</v>
      </c>
      <c r="D51" s="10" t="n">
        <v>0.68</v>
      </c>
      <c r="E51" s="5" t="n">
        <v>0</v>
      </c>
      <c r="F51" s="10" t="n">
        <v>1</v>
      </c>
      <c r="G51" s="10" t="n">
        <v>0</v>
      </c>
      <c r="H51" s="5" t="n">
        <f>D51+G51</f>
        <v>0.68</v>
      </c>
      <c r="I51" s="5"/>
    </row>
    <row r="52" ht="33.95000076293945" customHeight="1">
      <c r="A52" s="4" t="inlineStr">
        <is>
          <t xml:space="preserve">Residential</t>
        </is>
      </c>
      <c r="B52" s="15" t="n">
        <v>50</v>
      </c>
      <c r="C52" s="15" t="n">
        <v>100</v>
      </c>
      <c r="D52" s="10" t="n">
        <v>0.87</v>
      </c>
      <c r="E52" s="5" t="n">
        <f>C51*D51-C51*D52</f>
        <v>-9.5</v>
      </c>
      <c r="F52" s="10" t="n">
        <v>2</v>
      </c>
      <c r="G52" s="10" t="n">
        <v>0</v>
      </c>
      <c r="H52" s="5" t="n">
        <f>D52+G52</f>
        <v>0.87</v>
      </c>
      <c r="I52" s="5"/>
    </row>
    <row r="53" ht="33.95000076293945" customHeight="1">
      <c r="A53" s="4" t="inlineStr">
        <is>
          <t xml:space="preserve">Residential</t>
        </is>
      </c>
      <c r="B53" s="15" t="n">
        <v>100</v>
      </c>
      <c r="C53" s="15" t="n">
        <v>200</v>
      </c>
      <c r="D53" s="10" t="n">
        <v>1</v>
      </c>
      <c r="E53" s="5" t="n">
        <v>0</v>
      </c>
      <c r="F53" s="10" t="n">
        <v>6</v>
      </c>
      <c r="G53" s="10" t="n">
        <v>0</v>
      </c>
      <c r="H53" s="5" t="n">
        <f>D53+G53</f>
        <v>1</v>
      </c>
      <c r="I53" s="5"/>
    </row>
    <row r="54" ht="33.95000076293945" customHeight="1">
      <c r="A54" s="4" t="inlineStr">
        <is>
          <t xml:space="preserve">Residential</t>
        </is>
      </c>
      <c r="B54" s="15" t="n">
        <v>200</v>
      </c>
      <c r="C54" s="15" t="n">
        <v>350</v>
      </c>
      <c r="D54" s="10" t="n">
        <v>1.73</v>
      </c>
      <c r="E54" s="5" t="n">
        <f>C53*D53-C53*D54</f>
        <v>-146</v>
      </c>
      <c r="F54" s="10" t="n">
        <v>11</v>
      </c>
      <c r="G54" s="10" t="n">
        <v>0</v>
      </c>
      <c r="H54" s="5" t="n">
        <f>D54+G54</f>
        <v>1.73</v>
      </c>
      <c r="I54" s="5"/>
    </row>
    <row r="55" ht="33.95000076293945" customHeight="1">
      <c r="A55" s="4" t="inlineStr">
        <is>
          <t xml:space="preserve">Residential</t>
        </is>
      </c>
      <c r="B55" s="15" t="n">
        <v>350</v>
      </c>
      <c r="C55" s="15" t="n">
        <v>650</v>
      </c>
      <c r="D55" s="10" t="n">
        <v>2.18</v>
      </c>
      <c r="E55" s="5" t="n">
        <f>C54*D54+E54-C54*D55</f>
        <v>-303.5</v>
      </c>
      <c r="F55" s="10" t="n">
        <v>15</v>
      </c>
      <c r="G55" s="10" t="n">
        <v>0</v>
      </c>
      <c r="H55" s="5" t="n">
        <f>D55+G55</f>
        <v>2.18</v>
      </c>
      <c r="I55" s="5"/>
    </row>
    <row r="56" ht="33.95000076293945" customHeight="1">
      <c r="A56" s="4" t="inlineStr">
        <is>
          <t xml:space="preserve">Residential</t>
        </is>
      </c>
      <c r="B56" s="15" t="n">
        <v>650</v>
      </c>
      <c r="C56" s="15" t="n">
        <v>1000</v>
      </c>
      <c r="D56" s="10" t="n">
        <v>2.35</v>
      </c>
      <c r="E56" s="5" t="n">
        <v>0</v>
      </c>
      <c r="F56" s="10" t="n">
        <v>25</v>
      </c>
      <c r="G56" s="10" t="n">
        <v>0</v>
      </c>
      <c r="H56" s="5" t="n">
        <f>D56+G56</f>
        <v>2.35</v>
      </c>
      <c r="I56" s="5"/>
    </row>
    <row r="57" ht="33.95000076293945" customHeight="1">
      <c r="A57" s="4" t="inlineStr">
        <is>
          <t xml:space="preserve">Residential</t>
        </is>
      </c>
      <c r="B57" s="15" t="n">
        <v>1000</v>
      </c>
      <c r="C57" s="15" t="n">
        <v>10000000</v>
      </c>
      <c r="D57" s="10" t="n">
        <v>2.89</v>
      </c>
      <c r="E57" s="5" t="n">
        <v>0</v>
      </c>
      <c r="F57" s="10" t="n">
        <v>40</v>
      </c>
      <c r="G57" s="10" t="n">
        <v>0</v>
      </c>
      <c r="H57" s="5" t="n">
        <f>D57+G57</f>
        <v>2.89</v>
      </c>
      <c r="I57" s="5"/>
    </row>
    <row r="58" ht="33.95000076293945" customHeight="1">
      <c r="A58" s="3"/>
      <c r="B58" s="5"/>
      <c r="C58" s="5"/>
      <c r="D58" s="5"/>
      <c r="E58" s="5"/>
      <c r="F58" s="5"/>
      <c r="G58" s="5"/>
      <c r="H58" s="5"/>
      <c r="I58" s="5"/>
    </row>
    <row r="59" ht="33.95000076293945" customHeight="1">
      <c r="A59" s="3"/>
      <c r="B59" s="5"/>
      <c r="C59" s="5"/>
      <c r="D59" s="5"/>
      <c r="E59" s="5"/>
      <c r="F59" s="5"/>
      <c r="G59" s="5"/>
      <c r="H59" s="5"/>
      <c r="I59" s="5"/>
    </row>
    <row r="60" ht="33.95000076293945" customHeight="1">
      <c r="A60" s="4" t="inlineStr">
        <is>
          <t xml:space="preserve">Commercial</t>
        </is>
      </c>
      <c r="B60" s="5" t="n">
        <v>-1</v>
      </c>
      <c r="C60" s="5" t="n">
        <v>0</v>
      </c>
      <c r="D60" s="5" t="n">
        <v>0</v>
      </c>
      <c r="E60" s="5" t="n">
        <v>0</v>
      </c>
      <c r="F60" s="5" t="n">
        <v>9</v>
      </c>
      <c r="G60" s="5" t="n">
        <v>0</v>
      </c>
      <c r="H60" s="5" t="n">
        <f>D60+G60</f>
        <v>0</v>
      </c>
      <c r="I60" s="5"/>
    </row>
    <row r="61" ht="33.95000076293945" customHeight="1">
      <c r="A61" s="4" t="inlineStr">
        <is>
          <t xml:space="preserve">Commercial</t>
        </is>
      </c>
      <c r="B61" s="15" t="n">
        <v>0</v>
      </c>
      <c r="C61" s="15" t="n">
        <v>100</v>
      </c>
      <c r="D61" s="10" t="n">
        <v>1.62</v>
      </c>
      <c r="E61" s="5" t="n">
        <v>0</v>
      </c>
      <c r="F61" s="10" t="n">
        <v>5</v>
      </c>
      <c r="G61" s="10" t="n">
        <v>0.03</v>
      </c>
      <c r="H61" s="5" t="n">
        <f>D61+G61</f>
        <v>1.65</v>
      </c>
      <c r="I61" s="5"/>
    </row>
    <row r="62" ht="33.95000076293945" customHeight="1">
      <c r="A62" s="4" t="inlineStr">
        <is>
          <t xml:space="preserve">Commercial</t>
        </is>
      </c>
      <c r="B62" s="15" t="n">
        <v>100</v>
      </c>
      <c r="C62" s="15" t="n">
        <v>250</v>
      </c>
      <c r="D62" s="10" t="n">
        <v>2.16</v>
      </c>
      <c r="E62" s="5" t="n">
        <v>0</v>
      </c>
      <c r="F62" s="10" t="n">
        <v>15</v>
      </c>
      <c r="G62" s="10" t="n">
        <v>0.03</v>
      </c>
      <c r="H62" s="5" t="n">
        <f>D62+G62</f>
        <v>2.19</v>
      </c>
      <c r="I62" s="5"/>
    </row>
    <row r="63" ht="33.95000076293945" customHeight="1">
      <c r="A63" s="4" t="inlineStr">
        <is>
          <t xml:space="preserve">Commercial</t>
        </is>
      </c>
      <c r="B63" s="15" t="n">
        <v>250</v>
      </c>
      <c r="C63" s="15" t="n">
        <v>600</v>
      </c>
      <c r="D63" s="10" t="n">
        <v>2.64</v>
      </c>
      <c r="E63" s="5" t="n">
        <v>0</v>
      </c>
      <c r="F63" s="10" t="n">
        <v>20</v>
      </c>
      <c r="G63" s="10" t="n">
        <v>0.03</v>
      </c>
      <c r="H63" s="5" t="n">
        <f>D63+G63</f>
        <v>2.67</v>
      </c>
      <c r="I63" s="5"/>
    </row>
    <row r="64" ht="33.95000076293945" customHeight="1">
      <c r="A64" s="4" t="inlineStr">
        <is>
          <t xml:space="preserve">Commercial</t>
        </is>
      </c>
      <c r="B64" s="15" t="n">
        <v>600</v>
      </c>
      <c r="C64" s="15" t="n">
        <v>1000</v>
      </c>
      <c r="D64" s="10" t="n">
        <v>2.74</v>
      </c>
      <c r="E64" s="5" t="n">
        <f>C63*D63-C63*D64</f>
        <v>-60.0000000000002</v>
      </c>
      <c r="F64" s="10" t="n">
        <v>25</v>
      </c>
      <c r="G64" s="10" t="n">
        <v>0.03</v>
      </c>
      <c r="H64" s="5" t="n">
        <f>D64+G64</f>
        <v>2.77</v>
      </c>
      <c r="I64" s="5"/>
    </row>
    <row r="65" ht="33.95000076293945" customHeight="1">
      <c r="A65" s="4" t="inlineStr">
        <is>
          <t xml:space="preserve">Commercial</t>
        </is>
      </c>
      <c r="B65" s="15" t="n">
        <v>1000</v>
      </c>
      <c r="C65" s="15" t="n">
        <v>10000000</v>
      </c>
      <c r="D65" s="10" t="n">
        <v>2.79</v>
      </c>
      <c r="E65" s="5" t="n">
        <v>0</v>
      </c>
      <c r="F65" s="10" t="n">
        <v>40</v>
      </c>
      <c r="G65" s="10" t="n">
        <v>0.03</v>
      </c>
      <c r="H65" s="5" t="n">
        <f>D65+G65</f>
        <v>2.82</v>
      </c>
      <c r="I65" s="5"/>
    </row>
    <row r="66" ht="33.95000076293945" customHeight="1">
      <c r="A66" s="3"/>
      <c r="B66" s="5"/>
      <c r="C66" s="5"/>
      <c r="D66" s="5"/>
      <c r="E66" s="5"/>
      <c r="F66" s="5"/>
      <c r="G66" s="5"/>
      <c r="H66" s="5"/>
      <c r="I66" s="5"/>
    </row>
    <row r="67" ht="44.099998474121094" customHeight="1">
      <c r="A67" s="19" t="inlineStr">
        <is>
          <t xml:space="preserve">Residential rates: prior project model; service fees require confirmation. Commercial: prior El Mo3alem presentation (April 2026).</t>
        </is>
      </c>
      <c r="B67" s="20"/>
      <c r="C67" s="20"/>
      <c r="D67" s="20"/>
      <c r="E67" s="20"/>
      <c r="F67" s="20"/>
      <c r="G67" s="20"/>
      <c r="H67" s="20"/>
      <c r="I67" s="5"/>
    </row>
    <row r="68" ht="44.099998474121094" customHeight="1">
      <c r="A68" s="19" t="inlineStr">
        <is>
          <t xml:space="preserve">https://www.egyptera.org/ar/TarrifApril2026.aspx — verification on 19 October 2026 returned 404. Annual stamp excluded.</t>
        </is>
      </c>
      <c r="B68" s="20"/>
      <c r="C68" s="20"/>
      <c r="D68" s="20"/>
      <c r="E68" s="20"/>
      <c r="F68" s="20"/>
      <c r="G68" s="20"/>
      <c r="H68" s="20"/>
      <c r="I68" s="5"/>
    </row>
    <row r="69" ht="33.95000076293945" customHeight="1">
      <c r="A69" s="3"/>
      <c r="B69" s="5"/>
      <c r="C69" s="5"/>
      <c r="D69" s="5"/>
      <c r="E69" s="5"/>
      <c r="F69" s="5"/>
      <c r="G69" s="5"/>
      <c r="H69" s="5"/>
      <c r="I69" s="5"/>
    </row>
    <row r="70" ht="33.95000076293945" customHeight="1">
      <c r="A70" s="3"/>
      <c r="B70" s="5"/>
      <c r="C70" s="5"/>
      <c r="D70" s="5"/>
      <c r="E70" s="5"/>
      <c r="F70" s="5"/>
      <c r="G70" s="5"/>
      <c r="H70" s="5"/>
      <c r="I70" s="5"/>
    </row>
    <row r="71" ht="33.95000076293945" customHeight="1">
      <c r="A71" s="21" t="inlineStr">
        <is>
          <t xml:space="preserve">Example panels — replace with supplier specifications</t>
        </is>
      </c>
      <c r="B71" s="22"/>
      <c r="C71" s="22"/>
      <c r="D71" s="22"/>
      <c r="E71" s="22"/>
      <c r="F71" s="22"/>
      <c r="G71" s="22"/>
      <c r="H71" s="22"/>
      <c r="I71" s="5"/>
    </row>
    <row r="72" ht="33.95000076293945" customHeight="1">
      <c r="A72" s="14" t="inlineStr">
        <is>
          <t xml:space="preserve">ID</t>
        </is>
      </c>
      <c r="B72" s="14" t="inlineStr">
        <is>
          <t xml:space="preserve">Name</t>
        </is>
      </c>
      <c r="C72" s="14" t="inlineStr">
        <is>
          <t xml:space="preserve">Wp</t>
        </is>
      </c>
      <c r="D72" s="14" t="inlineStr">
        <is>
          <t xml:space="preserve">Panel area (m2)</t>
        </is>
      </c>
      <c r="E72" s="14" t="inlineStr">
        <is>
          <t xml:space="preserve">Panel price (EGP)</t>
        </is>
      </c>
      <c r="F72" s="5"/>
      <c r="G72" s="5"/>
      <c r="H72" s="5"/>
      <c r="I72" s="5"/>
    </row>
    <row r="73" ht="33.95000076293945" customHeight="1">
      <c r="A73" s="4" t="inlineStr">
        <is>
          <t xml:space="preserve">PV550</t>
        </is>
      </c>
      <c r="B73" s="13" t="inlineStr">
        <is>
          <t xml:space="preserve">Example panel 550</t>
        </is>
      </c>
      <c r="C73" s="10" t="n">
        <v>550</v>
      </c>
      <c r="D73" s="10" t="n">
        <v>2.6</v>
      </c>
      <c r="E73" s="10" t="n">
        <v>4400</v>
      </c>
      <c r="F73" s="5"/>
      <c r="G73" s="5"/>
      <c r="H73" s="5"/>
      <c r="I73" s="5"/>
    </row>
    <row r="74" ht="33.95000076293945" customHeight="1">
      <c r="A74" s="4" t="inlineStr">
        <is>
          <t xml:space="preserve">PV670</t>
        </is>
      </c>
      <c r="B74" s="13" t="inlineStr">
        <is>
          <t xml:space="preserve">Example panel 670</t>
        </is>
      </c>
      <c r="C74" s="10" t="n">
        <v>670</v>
      </c>
      <c r="D74" s="10" t="n">
        <v>2.7</v>
      </c>
      <c r="E74" s="10" t="n">
        <v>5360</v>
      </c>
      <c r="F74" s="5"/>
      <c r="G74" s="5"/>
      <c r="H74" s="5"/>
      <c r="I74" s="5"/>
    </row>
    <row r="75" ht="33.95000076293945" customHeight="1">
      <c r="A75" s="3"/>
      <c r="B75" s="5"/>
      <c r="C75" s="5"/>
      <c r="D75" s="5"/>
      <c r="E75" s="5"/>
      <c r="F75" s="5"/>
      <c r="G75" s="5"/>
      <c r="H75" s="5"/>
      <c r="I75" s="5"/>
    </row>
    <row r="76" ht="33.95000076293945" customHeight="1">
      <c r="A76" s="3"/>
      <c r="B76" s="5"/>
      <c r="C76" s="5"/>
      <c r="D76" s="5"/>
      <c r="E76" s="5"/>
      <c r="F76" s="5"/>
      <c r="G76" s="5"/>
      <c r="H76" s="5"/>
      <c r="I76" s="5"/>
    </row>
    <row r="77" ht="33.95000076293945" customHeight="1">
      <c r="A77" s="21" t="inlineStr">
        <is>
          <t xml:space="preserve">Example batteries — confirm real compatibility</t>
        </is>
      </c>
      <c r="B77" s="22"/>
      <c r="C77" s="22"/>
      <c r="D77" s="22"/>
      <c r="E77" s="22"/>
      <c r="F77" s="22"/>
      <c r="G77" s="22"/>
      <c r="H77" s="22"/>
      <c r="I77" s="5"/>
    </row>
    <row r="78" ht="33.95000076293945" customHeight="1">
      <c r="A78" s="14" t="inlineStr">
        <is>
          <t xml:space="preserve">ID</t>
        </is>
      </c>
      <c r="B78" s="14" t="inlineStr">
        <is>
          <t xml:space="preserve">Description</t>
        </is>
      </c>
      <c r="C78" s="14" t="inlineStr">
        <is>
          <t xml:space="preserve">Nominal kWh</t>
        </is>
      </c>
      <c r="D78" s="14" t="inlineStr">
        <is>
          <t xml:space="preserve">Usable fraction</t>
        </is>
      </c>
      <c r="E78" s="14" t="inlineStr">
        <is>
          <t xml:space="preserve">Charge kW</t>
        </is>
      </c>
      <c r="F78" s="14" t="inlineStr">
        <is>
          <t xml:space="preserve">Discharge kW</t>
        </is>
      </c>
      <c r="G78" s="14" t="inlineStr">
        <is>
          <t xml:space="preserve">Price (EGP)</t>
        </is>
      </c>
      <c r="H78" s="14" t="inlineStr">
        <is>
          <t xml:space="preserve">Compatibility group</t>
        </is>
      </c>
      <c r="I78" s="5"/>
    </row>
    <row r="79" ht="33.95000076293945" customHeight="1">
      <c r="A79" s="4" t="inlineStr">
        <is>
          <t xml:space="preserve">BAT10</t>
        </is>
      </c>
      <c r="B79" s="13" t="inlineStr">
        <is>
          <t xml:space="preserve">Example battery 10</t>
        </is>
      </c>
      <c r="C79" s="10" t="n">
        <v>10</v>
      </c>
      <c r="D79" s="10" t="n">
        <v>0.8</v>
      </c>
      <c r="E79" s="10" t="n">
        <v>5</v>
      </c>
      <c r="F79" s="10" t="n">
        <v>5</v>
      </c>
      <c r="G79" s="10" t="n">
        <v>136400</v>
      </c>
      <c r="H79" s="9" t="inlineStr">
        <is>
          <t xml:space="preserve">LV</t>
        </is>
      </c>
      <c r="I79" s="5"/>
    </row>
    <row r="80" ht="33.95000076293945" customHeight="1">
      <c r="A80" s="4" t="inlineStr">
        <is>
          <t xml:space="preserve">BAT16</t>
        </is>
      </c>
      <c r="B80" s="13" t="inlineStr">
        <is>
          <t xml:space="preserve">Example battery 16</t>
        </is>
      </c>
      <c r="C80" s="10" t="n">
        <v>16</v>
      </c>
      <c r="D80" s="10" t="n">
        <v>0.8</v>
      </c>
      <c r="E80" s="10" t="n">
        <v>8</v>
      </c>
      <c r="F80" s="10" t="n">
        <v>8</v>
      </c>
      <c r="G80" s="10" t="n">
        <v>218240</v>
      </c>
      <c r="H80" s="9" t="inlineStr">
        <is>
          <t xml:space="preserve">LV</t>
        </is>
      </c>
      <c r="I80" s="5"/>
    </row>
    <row r="81" ht="33.95000076293945" customHeight="1">
      <c r="A81" s="4" t="inlineStr">
        <is>
          <t xml:space="preserve">BAT32</t>
        </is>
      </c>
      <c r="B81" s="13" t="inlineStr">
        <is>
          <t xml:space="preserve">Example battery 32</t>
        </is>
      </c>
      <c r="C81" s="10" t="n">
        <v>32</v>
      </c>
      <c r="D81" s="10" t="n">
        <v>0.8</v>
      </c>
      <c r="E81" s="10" t="n">
        <v>10</v>
      </c>
      <c r="F81" s="10" t="n">
        <v>10</v>
      </c>
      <c r="G81" s="10" t="n">
        <v>436480</v>
      </c>
      <c r="H81" s="9" t="inlineStr">
        <is>
          <t xml:space="preserve">LV</t>
        </is>
      </c>
      <c r="I81" s="5"/>
    </row>
    <row r="82" ht="33.95000076293945" customHeight="1">
      <c r="A82" s="3"/>
      <c r="B82" s="5"/>
      <c r="C82" s="5"/>
      <c r="D82" s="5"/>
      <c r="E82" s="5"/>
      <c r="F82" s="5"/>
      <c r="G82" s="5"/>
      <c r="H82" s="5"/>
      <c r="I82" s="5"/>
    </row>
    <row r="83" ht="33.95000076293945" customHeight="1">
      <c r="A83" s="3"/>
      <c r="B83" s="5"/>
      <c r="C83" s="5"/>
      <c r="D83" s="5"/>
      <c r="E83" s="5"/>
      <c r="F83" s="5"/>
      <c r="G83" s="5"/>
      <c r="H83" s="5"/>
      <c r="I83" s="5"/>
    </row>
    <row r="84" ht="33.95000076293945" customHeight="1">
      <c r="A84" s="21" t="inlineStr">
        <is>
          <t xml:space="preserve">Example inverters — not product recommendations</t>
        </is>
      </c>
      <c r="B84" s="22"/>
      <c r="C84" s="22"/>
      <c r="D84" s="22"/>
      <c r="E84" s="22"/>
      <c r="F84" s="22"/>
      <c r="G84" s="22"/>
      <c r="H84" s="22"/>
      <c r="I84" s="22"/>
    </row>
    <row r="85" ht="33.95000076293945" customHeight="1">
      <c r="A85" s="14" t="inlineStr">
        <is>
          <t xml:space="preserve">ID</t>
        </is>
      </c>
      <c r="B85" s="14" t="inlineStr">
        <is>
          <t xml:space="preserve">Description</t>
        </is>
      </c>
      <c r="C85" s="14" t="inlineStr">
        <is>
          <t xml:space="preserve">AC kW</t>
        </is>
      </c>
      <c r="D85" s="14" t="inlineStr">
        <is>
          <t xml:space="preserve">PV limit kWp</t>
        </is>
      </c>
      <c r="E85" s="14" t="inlineStr">
        <is>
          <t xml:space="preserve">Charge kW</t>
        </is>
      </c>
      <c r="F85" s="14" t="inlineStr">
        <is>
          <t xml:space="preserve">Backup 1/0</t>
        </is>
      </c>
      <c r="G85" s="14" t="inlineStr">
        <is>
          <t xml:space="preserve">Price (EGP)</t>
        </is>
      </c>
      <c r="H85" s="14" t="inlineStr">
        <is>
          <t xml:space="preserve">Compatibility group</t>
        </is>
      </c>
      <c r="I85" s="14" t="inlineStr">
        <is>
          <t xml:space="preserve">Phases</t>
        </is>
      </c>
    </row>
    <row r="86" ht="33.95000076293945" customHeight="1">
      <c r="A86" s="4" t="inlineStr">
        <is>
          <t xml:space="preserve">GRID10</t>
        </is>
      </c>
      <c r="B86" s="13" t="inlineStr">
        <is>
          <t xml:space="preserve">Grid-tied solar 10</t>
        </is>
      </c>
      <c r="C86" s="10" t="n">
        <v>10</v>
      </c>
      <c r="D86" s="10" t="n">
        <v>13</v>
      </c>
      <c r="E86" s="10" t="n">
        <v>0</v>
      </c>
      <c r="F86" s="10" t="n">
        <v>0</v>
      </c>
      <c r="G86" s="10" t="n">
        <v>60000</v>
      </c>
      <c r="H86" s="9" t="inlineStr">
        <is>
          <t xml:space="preserve">NONE</t>
        </is>
      </c>
      <c r="I86" s="10" t="n">
        <v>3</v>
      </c>
    </row>
    <row r="87" ht="33.95000076293945" customHeight="1">
      <c r="A87" s="4" t="inlineStr">
        <is>
          <t xml:space="preserve">HYB5</t>
        </is>
      </c>
      <c r="B87" s="13" t="inlineStr">
        <is>
          <t xml:space="preserve">Hybrid 5</t>
        </is>
      </c>
      <c r="C87" s="10" t="n">
        <v>5</v>
      </c>
      <c r="D87" s="10" t="n">
        <v>6.5</v>
      </c>
      <c r="E87" s="10" t="n">
        <v>5</v>
      </c>
      <c r="F87" s="10" t="n">
        <v>1</v>
      </c>
      <c r="G87" s="10" t="n">
        <v>30000</v>
      </c>
      <c r="H87" s="9" t="inlineStr">
        <is>
          <t xml:space="preserve">LV</t>
        </is>
      </c>
      <c r="I87" s="10" t="n">
        <v>1</v>
      </c>
    </row>
    <row r="88" ht="33.95000076293945" customHeight="1">
      <c r="A88" s="4" t="inlineStr">
        <is>
          <t xml:space="preserve">HYB12</t>
        </is>
      </c>
      <c r="B88" s="13" t="inlineStr">
        <is>
          <t xml:space="preserve">Hybrid 12</t>
        </is>
      </c>
      <c r="C88" s="10" t="n">
        <v>12</v>
      </c>
      <c r="D88" s="10" t="n">
        <v>15.6</v>
      </c>
      <c r="E88" s="10" t="n">
        <v>10</v>
      </c>
      <c r="F88" s="10" t="n">
        <v>1</v>
      </c>
      <c r="G88" s="10" t="n">
        <v>72000</v>
      </c>
      <c r="H88" s="9" t="inlineStr">
        <is>
          <t xml:space="preserve">LV</t>
        </is>
      </c>
      <c r="I88" s="10" t="n">
        <v>3</v>
      </c>
    </row>
    <row r="89" ht="33.95000076293945" customHeight="1">
      <c r="A89" s="4" t="inlineStr">
        <is>
          <t xml:space="preserve">HYB20</t>
        </is>
      </c>
      <c r="B89" s="13" t="inlineStr">
        <is>
          <t xml:space="preserve">Hybrid 20</t>
        </is>
      </c>
      <c r="C89" s="10" t="n">
        <v>20</v>
      </c>
      <c r="D89" s="10" t="n">
        <v>26</v>
      </c>
      <c r="E89" s="10" t="n">
        <v>15</v>
      </c>
      <c r="F89" s="10" t="n">
        <v>1</v>
      </c>
      <c r="G89" s="10" t="n">
        <v>120000</v>
      </c>
      <c r="H89" s="9" t="inlineStr">
        <is>
          <t xml:space="preserve">LV</t>
        </is>
      </c>
      <c r="I89" s="10" t="n">
        <v>3</v>
      </c>
    </row>
    <row r="90" ht="33.95000076293945" customHeight="1">
      <c r="A90" s="3"/>
      <c r="B90" s="5"/>
      <c r="C90" s="5"/>
      <c r="D90" s="5"/>
      <c r="E90" s="5"/>
      <c r="F90" s="5"/>
      <c r="G90" s="5"/>
      <c r="H90" s="5"/>
      <c r="I90" s="5"/>
    </row>
    <row r="91" ht="33.95000076293945" customHeight="1">
      <c r="A91" s="3"/>
      <c r="B91" s="5"/>
      <c r="C91" s="5"/>
      <c r="D91" s="5"/>
      <c r="E91" s="5"/>
      <c r="F91" s="5"/>
      <c r="G91" s="5"/>
      <c r="H91" s="5"/>
      <c r="I91" s="5"/>
    </row>
    <row r="92" ht="44.099998474121094" customHeight="1">
      <c r="A92" s="19" t="inlineStr">
        <is>
          <t xml:space="preserve">Example prices from the prior presentation: PV 8,000 EGP/kWp, battery 13,640 EGP/kWh, inverter 6,000 EGP/kW.</t>
        </is>
      </c>
      <c r="B92" s="20"/>
      <c r="C92" s="20"/>
      <c r="D92" s="20"/>
      <c r="E92" s="20"/>
      <c r="F92" s="20"/>
      <c r="G92" s="20"/>
      <c r="H92" s="20"/>
      <c r="I92" s="5"/>
    </row>
    <row r="93" ht="44.099998474121094" customHeight="1">
      <c r="A93" s="19" t="inlineStr">
        <is>
          <t xml:space="preserve">Power, area and compatibility limits are illustrative. They are not certified AVESTA specifications and exclude load starting currents.</t>
        </is>
      </c>
      <c r="B93" s="20"/>
      <c r="C93" s="20"/>
      <c r="D93" s="20"/>
      <c r="E93" s="20"/>
      <c r="F93" s="20"/>
      <c r="G93" s="20"/>
      <c r="H93" s="20"/>
      <c r="I93" s="5"/>
    </row>
    <row r="94" ht="33.95000076293945" customHeight="1">
      <c r="A94" s="8"/>
    </row>
    <row r="95" ht="33.95000076293945" customHeight="1">
      <c r="A95" s="8"/>
    </row>
    <row r="96" ht="33.95000076293945" customHeight="1">
      <c r="A96" s="8"/>
    </row>
    <row r="97" ht="33.95000076293945" customHeight="1">
      <c r="A97" s="8"/>
    </row>
    <row r="98" ht="33.95000076293945" customHeight="1">
      <c r="A98" s="8"/>
    </row>
    <row r="99" ht="33.95000076293945" customHeight="1">
      <c r="A99" s="8"/>
    </row>
    <row r="100" ht="32.099998474121094" customHeight="1">
      <c r="A100" s="29" t="str">
        <v>Formula reference</v>
      </c>
      <c r="B100" s="26"/>
      <c r="C100" s="26"/>
      <c r="D100" s="26"/>
      <c r="E100" s="26"/>
      <c r="F100" s="26"/>
      <c r="G100" s="26"/>
      <c r="H100" s="26"/>
      <c r="I100" s="26"/>
    </row>
    <row r="101" ht="36" customHeight="1">
      <c r="A101" s="26" t="str">
        <v>Each distinct calculation is explained once. Repeated monthly and scenario formulas use the same rule. Cell references point to the working formulas.</v>
      </c>
      <c r="B101" s="26"/>
      <c r="C101" s="26"/>
      <c r="D101" s="26"/>
      <c r="E101" s="26"/>
      <c r="F101" s="26"/>
      <c r="G101" s="26"/>
      <c r="H101" s="26"/>
      <c r="I101" s="26"/>
    </row>
    <row r="102" ht="14.25">
      <c r="A102" s="2"/>
      <c r="B102" s="2"/>
      <c r="C102" s="2"/>
      <c r="D102" s="2"/>
      <c r="E102" s="2"/>
      <c r="F102" s="2"/>
      <c r="G102" s="2"/>
      <c r="H102" s="2"/>
      <c r="I102" s="2"/>
    </row>
    <row r="103" ht="32.099998474121094" customHeight="1">
      <c r="A103" s="1" t="str">
        <v>Calculation</v>
      </c>
      <c r="B103" s="28" t="str">
        <v>Equation / rule</v>
      </c>
      <c r="C103" s="28"/>
      <c r="D103" s="28" t="str">
        <v>Parameters and units</v>
      </c>
      <c r="E103" s="28"/>
      <c r="F103" s="28"/>
      <c r="G103" s="28" t="str">
        <v>Purpose and workbook location</v>
      </c>
      <c r="H103" s="28"/>
      <c r="I103" s="28"/>
    </row>
    <row r="104" ht="32.099998474121094" customHeight="1">
      <c r="A104" s="27" t="str">
        <v>1. Consumption and tariff</v>
      </c>
      <c r="B104" s="27"/>
      <c r="C104" s="27"/>
      <c r="D104" s="27"/>
      <c r="E104" s="27"/>
      <c r="F104" s="27"/>
      <c r="G104" s="27"/>
      <c r="H104" s="27"/>
      <c r="I104" s="27"/>
    </row>
    <row r="105" ht="87.94999694824219" customHeight="1">
      <c r="A105" s="16" t="str">
        <v>Input validity</v>
      </c>
      <c r="B105" s="26" t="str">
        <v>Ready only when the selected inputs are numeric and within their permitted ranges.</v>
      </c>
      <c r="C105" s="26"/>
      <c r="D105" s="26" t="str">
        <v>Days &gt; 0. Consumption and bill &gt;= 0 when required. Specified roof and known critical load &gt; 0. Day share is 0 to 1. Bill-only requires exactly one valid solution.</v>
      </c>
      <c r="E105" s="26"/>
      <c r="F105" s="26"/>
      <c r="G105" s="26" t="str">
        <v>Stops unavailable or ambiguous inputs from being treated as a valid case. Inputs!C25.</v>
      </c>
      <c r="H105" s="26"/>
      <c r="I105" s="26"/>
    </row>
    <row r="106" ht="87.94999694824219" customHeight="1">
      <c r="A106" s="17" t="str">
        <v>Tariff marginal rate</v>
      </c>
      <c r="B106" s="25" t="str">
        <v>m = energy rate + stamp rate</v>
      </c>
      <c r="C106" s="25"/>
      <c r="D106" s="25" t="str">
        <v>m: EGP/kWh. Energy rate: column D. Stamp rate: column G in the tariff table.</v>
      </c>
      <c r="E106" s="25"/>
      <c r="F106" s="25"/>
      <c r="G106" s="25" t="str">
        <v>Combines variable charges for the selected band. Assumptions and Catalog!H50:H65.</v>
      </c>
      <c r="H106" s="25"/>
      <c r="I106" s="25"/>
    </row>
    <row r="107" ht="87.94999694824219" customHeight="1">
      <c r="A107" s="16" t="str">
        <v>Tariff band intercept</v>
      </c>
      <c r="B107" s="26" t="str">
        <v>b = previous upper limit × previous rate + previous intercept - previous upper limit × new rate</v>
      </c>
      <c r="C107" s="26"/>
      <c r="D107" s="26" t="str">
        <v>b: fixed energy adjustment in EGP. Used only for the continuous bands. Other bands use their entered intercept, including full-consumption resets.</v>
      </c>
      <c r="E107" s="26"/>
      <c r="F107" s="26"/>
      <c r="G107" s="26" t="str">
        <v>Preserves the specific tariff's band rules. Assumptions and Catalog!E52, E54:E55 and E64.</v>
      </c>
      <c r="H107" s="26"/>
      <c r="I107" s="26"/>
    </row>
    <row r="108" ht="87.94999694824219" customHeight="1">
      <c r="A108" s="17" t="str">
        <v>Official monthly bill</v>
      </c>
      <c r="B108" s="25" t="str">
        <v>T(E) = E × m + b + fee, using the first band whose upper limit contains E</v>
      </c>
      <c r="C108" s="25"/>
      <c r="D108" s="25" t="str">
        <v>E: monthly kWh. m: marginal EGP/kWh. b: energy intercept, EGP. fee: service charge, EGP. Tariff type selects the residential or commercial table.</v>
      </c>
      <c r="E108" s="25"/>
      <c r="F108" s="25"/>
      <c r="G108" s="25" t="str">
        <v>Computes the actual piecewise bill instead of multiplying all consumption by an average price. Inputs!C29 and Scenarios!M:N monthly blocks.</v>
      </c>
      <c r="H108" s="25"/>
      <c r="I108" s="25"/>
    </row>
    <row r="109" ht="87.94999694824219" customHeight="1">
      <c r="A109" s="16" t="str">
        <v>Inverse bill candidate</v>
      </c>
      <c r="B109" s="26" t="str">
        <v>E_candidate = (Paid - b - fee) / m; use 0 when m = 0</v>
      </c>
      <c r="C109" s="26"/>
      <c r="D109" s="26" t="str">
        <v>Paid, b and fee: EGP. m: EGP/kWh. Each tariff band is tested separately. The zero-rate band's candidate still has to pass the bill check.</v>
      </c>
      <c r="E109" s="26"/>
      <c r="F109" s="26"/>
      <c r="G109" s="26" t="str">
        <v>Estimates monthly consumption when only the bill is known. Inputs!D50:D63.</v>
      </c>
      <c r="H109" s="26"/>
      <c r="I109" s="26"/>
    </row>
    <row r="110" ht="87.94999694824219" customHeight="1">
      <c r="A110" s="17" t="str">
        <v>Inverse bill validation</v>
      </c>
      <c r="B110" s="25" t="str">
        <v>Valid = 1 if type matches, lower &lt; E_candidate &lt;= upper, E_candidate &gt;= 0 and ABS(candidate bill - Paid) &lt;= tolerance; otherwise 0</v>
      </c>
      <c r="C110" s="25"/>
      <c r="D110" s="25" t="str">
        <v>Candidate bill = E_candidate × m + b + fee. Tolerance: Assumptions and Catalog!C25, EGP. Bounds and tariff type come from the selected band.</v>
      </c>
      <c r="E110" s="25"/>
      <c r="F110" s="25"/>
      <c r="G110" s="25" t="str">
        <v>Rejects candidates that do not belong to the band or do not reproduce the bill. Inputs!E50:F63.</v>
      </c>
      <c r="H110" s="25"/>
      <c r="I110" s="25"/>
    </row>
    <row r="111" ht="87.94999694824219" customHeight="1">
      <c r="A111" s="16" t="str">
        <v>Accepted consumption</v>
      </c>
      <c r="B111" s="26" t="str">
        <v>Solution count = SUM(valid flags). E_month = SUM(valid candidates) only if count = 1; otherwise use entered kWh when that input mode applies</v>
      </c>
      <c r="C111" s="26"/>
      <c r="D111" s="26" t="str">
        <v>Valid candidates: candidate kWh where flag = 1, else 0. Invalid inputs return an unavailable message.</v>
      </c>
      <c r="E111" s="26"/>
      <c r="F111" s="26"/>
      <c r="G111" s="26" t="str">
        <v>Avoids silently selecting a solution when bill inversion is ambiguous. Inputs!G50:G63, C66 and C26.</v>
      </c>
      <c r="H111" s="26"/>
      <c r="I111" s="26"/>
    </row>
    <row r="112" ht="87.94999694824219" customHeight="1">
      <c r="A112" s="17" t="str">
        <v>Daily consumption</v>
      </c>
      <c r="B112" s="25" t="str">
        <v>E_day = E_month / period days</v>
      </c>
      <c r="C112" s="25"/>
      <c r="D112" s="25" t="str">
        <v>E_month: accepted monthly kWh. Period days: Inputs!C10. E_day: kWh/day.</v>
      </c>
      <c r="E112" s="25"/>
      <c r="F112" s="25"/>
      <c r="G112" s="25" t="str">
        <v>Normalizes the entered billing period to a constant daily load used throughout the forecast. Inputs!C27.</v>
      </c>
      <c r="H112" s="25"/>
      <c r="I112" s="25"/>
    </row>
    <row r="113" ht="87.94999694824219" customHeight="1">
      <c r="A113" s="16" t="str">
        <v>Day and night split</v>
      </c>
      <c r="B113" s="26" t="str">
        <v>Day share = entered share if known, else daylight hours / 24. Day load = E_day × day share. Night load = E_day - day load</v>
      </c>
      <c r="C113" s="26"/>
      <c r="D113" s="26" t="str">
        <v>Day and night loads: kWh/day. Daylight hours: Assumptions and Catalog!C13. Share is a fraction of energy, not appliance count.</v>
      </c>
      <c r="E113" s="26"/>
      <c r="F113" s="26"/>
      <c r="G113" s="26" t="str">
        <v>Separates direct solar demand from demand that may use stored energy. Inputs!C28; Scenarios!D:E monthly blocks.</v>
      </c>
      <c r="H113" s="26"/>
      <c r="I113" s="26"/>
    </row>
    <row r="114" ht="87.94999694824219" customHeight="1">
      <c r="A114" s="17" t="str">
        <v>Actual and official average prices</v>
      </c>
      <c r="B114" s="25" t="str">
        <v>p_actual = Paid / E_month; p_official = T(E_month) / E_month; price gap = p_actual - p_official</v>
      </c>
      <c r="C114" s="25"/>
      <c r="D114" s="25" t="str">
        <v>Prices: EGP/kWh. Actual price requires both bill and positive consumption. Official average also requires positive consumption.</v>
      </c>
      <c r="E114" s="25"/>
      <c r="F114" s="25"/>
      <c r="G114" s="25" t="str">
        <v>Shows the difference between the paid average and the tariff-based average. Inputs!C32:C34.</v>
      </c>
      <c r="H114" s="25"/>
      <c r="I114" s="25"/>
    </row>
    <row r="115" ht="87.94999694824219" customHeight="1">
      <c r="A115" s="16" t="str">
        <v>Bill difference</v>
      </c>
      <c r="B115" s="26" t="str">
        <v>Bill gap = Paid - T(E_month)</v>
      </c>
      <c r="C115" s="26"/>
      <c r="D115" s="26" t="str">
        <v>Paid and official bill: EGP for the entered month. Available only when both bill and consumption were supplied.</v>
      </c>
      <c r="E115" s="26"/>
      <c r="F115" s="26"/>
      <c r="G115" s="26" t="str">
        <v>Shows how much more or less was paid than the reference tariff calculation. Inputs!C30.</v>
      </c>
      <c r="H115" s="26"/>
      <c r="I115" s="26"/>
    </row>
    <row r="116" ht="87.94999694824219" customHeight="1">
      <c r="A116" s="17" t="str">
        <v>Selected pricing basis</v>
      </c>
      <c r="B116" s="25" t="str">
        <v>B(E) = E × p_actual in Actual flat mode; otherwise B(E) = T(E)</v>
      </c>
      <c r="C116" s="25"/>
      <c r="D116" s="25" t="str">
        <v>Actual flat mode is accepted only with both bill and positive consumption. B(E): EGP for any monthly import E.</v>
      </c>
      <c r="E116" s="25"/>
      <c r="F116" s="25"/>
      <c r="G116" s="25" t="str">
        <v>Uses the chosen price basis consistently for baseline and post-installation bills. Inputs!C31, C35; Scenarios!M, N and Q monthly blocks. A paid average is not necessarily an avoidable marginal price.</v>
      </c>
      <c r="H116" s="25"/>
      <c r="I116" s="25"/>
    </row>
    <row r="117" ht="32.099998474121094" customHeight="1">
      <c r="A117" s="27" t="str">
        <v>2. Equipment, area and initial investment</v>
      </c>
      <c r="B117" s="27"/>
      <c r="C117" s="27"/>
      <c r="D117" s="27"/>
      <c r="E117" s="27"/>
      <c r="F117" s="27"/>
      <c r="G117" s="27"/>
      <c r="H117" s="27"/>
      <c r="I117" s="27"/>
    </row>
    <row r="118" ht="87.94999694824219" customHeight="1">
      <c r="A118" s="17" t="str">
        <v>Catalog lookup</v>
      </c>
      <c r="B118" s="25" t="str">
        <v>Specification = INDEX(catalog data, MATCH(selected model ID, catalog IDs, 0), specification column)</v>
      </c>
      <c r="C118" s="25"/>
      <c r="D118" s="25" t="str">
        <v>Model IDs: Scenarios!C39:E43. Catalogs: Assumptions and Catalog rows 73:74, 79:81 and 86:89.</v>
      </c>
      <c r="E118" s="25"/>
      <c r="F118" s="25"/>
      <c r="G118" s="25" t="str">
        <v>Retrieves the chosen equipment's capacity, power, area, price and compatibility. Used throughout Scenarios!C51:E70.</v>
      </c>
      <c r="H118" s="25"/>
      <c r="I118" s="25"/>
    </row>
    <row r="119" ht="87.94999694824219" customHeight="1">
      <c r="A119" s="16" t="str">
        <v>Installed PV capacity</v>
      </c>
      <c r="B119" s="26" t="str">
        <v>P_PV = panel count × panel Wp / 1000</v>
      </c>
      <c r="C119" s="26"/>
      <c r="D119" s="26" t="str">
        <v>P_PV: kWp. Panel rating: Wp. Battery-only sets PV capacity to zero.</v>
      </c>
      <c r="E119" s="26"/>
      <c r="F119" s="26"/>
      <c r="G119" s="26" t="str">
        <v>Determines solar generation and checks the inverter PV limit. Scenarios!C51:E51; summary row 7.</v>
      </c>
      <c r="H119" s="26"/>
      <c r="I119" s="26"/>
    </row>
    <row r="120" ht="87.94999694824219" customHeight="1">
      <c r="A120" s="17" t="str">
        <v>Battery nominal and usable capacity</v>
      </c>
      <c r="B120" s="25" t="str">
        <v>C_nom = battery count × unit kWh. C_usable = C_nom × usable fraction</v>
      </c>
      <c r="C120" s="25"/>
      <c r="D120" s="25" t="str">
        <v>Capacities: kWh stored internally. Usable fraction: catalog value from 0 to 1. Solar-only sets nominal battery capacity to zero.</v>
      </c>
      <c r="E120" s="25"/>
      <c r="F120" s="25"/>
      <c r="G120" s="25" t="str">
        <v>Distinguishes purchased capacity from usable storage before reserve and losses. Scenarios!C52:E52 and C55:E55; summary row 8.</v>
      </c>
      <c r="H120" s="25"/>
      <c r="I120" s="25"/>
    </row>
    <row r="121" ht="87.94999694824219" customHeight="1">
      <c r="A121" s="16" t="str">
        <v>Inverter ratings and support</v>
      </c>
      <c r="B121" s="26" t="str">
        <v>P_inv, PV_limit and backup flag = selected inverter catalog values</v>
      </c>
      <c r="C121" s="26"/>
      <c r="D121" s="26" t="str">
        <v>P_inv: AC kW. PV_limit: allowed PV kWp. Backup flag: 1 supported, 0 unsupported; solar-only forces 0.</v>
      </c>
      <c r="E121" s="26"/>
      <c r="F121" s="26"/>
      <c r="G121" s="26" t="str">
        <v>Supplies the inverter limits and backup eligibility. Scenarios!C53:E54 and C58:E58; summary row 9.</v>
      </c>
      <c r="H121" s="26"/>
      <c r="I121" s="26"/>
    </row>
    <row r="122" ht="87.94999694824219" customHeight="1">
      <c r="A122" s="17" t="str">
        <v>Charge and discharge power limits</v>
      </c>
      <c r="B122" s="25" t="str">
        <v>P_ch = MIN(count × battery charge kW, inverter charge kW). P_dis = MIN(count × battery discharge kW, inverter AC kW)</v>
      </c>
      <c r="C122" s="25"/>
      <c r="D122" s="25" t="str">
        <v>P_ch and P_dis: kW at the model's AC boundary. Battery count and ratings come from the selected configuration.</v>
      </c>
      <c r="E122" s="25"/>
      <c r="F122" s="25"/>
      <c r="G122" s="25" t="str">
        <v>Limits charging, discharge and backup by both battery and inverter ratings. Scenarios!C56:E57.</v>
      </c>
      <c r="H122" s="25"/>
      <c r="I122" s="25"/>
    </row>
    <row r="123" ht="87.94999694824219" customHeight="1">
      <c r="A123" s="16" t="str">
        <v>Installation area</v>
      </c>
      <c r="B123" s="26" t="str">
        <v>Area = (P_PV × 1000 / panel Wp) × panel area × spacing factor</v>
      </c>
      <c r="C123" s="26"/>
      <c r="D123" s="26" t="str">
        <v>Area and panel area: m2. Spacing factor: Assumptions and Catalog!C16. Parenthesis recovers the active panel count.</v>
      </c>
      <c r="E123" s="26"/>
      <c r="F123" s="26"/>
      <c r="G123" s="26" t="str">
        <v>Checks whether the chosen array fits a specified roof. An unspecified roof does not constrain sizing. Scenarios!C59:E59; summary row 10.</v>
      </c>
      <c r="H123" s="26"/>
      <c r="I123" s="26"/>
    </row>
    <row r="124" ht="87.94999694824219" customHeight="1">
      <c r="A124" s="17" t="str">
        <v>Equipment costs</v>
      </c>
      <c r="B124" s="25" t="str">
        <v>PV cost = active panel count × panel price. Battery cost = active battery count × battery price. Inverter cost = catalog inverter price</v>
      </c>
      <c r="C124" s="25"/>
      <c r="D124" s="25" t="str">
        <v>Costs: EGP. Active counts are recovered from installed capacities, so inactive scenario equipment is excluded.</v>
      </c>
      <c r="E124" s="25"/>
      <c r="F124" s="25"/>
      <c r="G124" s="25" t="str">
        <v>Builds the equipment subtotal from the selected models and quantities. Scenarios!C60:E62.</v>
      </c>
      <c r="H124" s="25"/>
      <c r="I124" s="25"/>
    </row>
    <row r="125" ht="87.94999694824219" customHeight="1">
      <c r="A125" s="16" t="str">
        <v>BOS and initial investment</v>
      </c>
      <c r="B125" s="26" t="str">
        <v>BOS = (PV cost + battery cost + inverter cost) × BOS rate. CAPEX = equipment subtotal + BOS</v>
      </c>
      <c r="C125" s="26"/>
      <c r="D125" s="26" t="str">
        <v>BOS: installation and balance of system cost, EGP. BOS rate: Assumptions and Catalog!C17. CAPEX: upfront EGP.</v>
      </c>
      <c r="E125" s="26"/>
      <c r="F125" s="26"/>
      <c r="G125" s="26" t="str">
        <v>Calculates the year-zero investment without adding installation twice. Scenarios!C63:E64; summary row 11.</v>
      </c>
      <c r="H125" s="26"/>
      <c r="I125" s="26"/>
    </row>
    <row r="126" ht="87.94999694824219" customHeight="1">
      <c r="A126" s="17" t="str">
        <v>Battery compatibility</v>
      </c>
      <c r="B126" s="25" t="str">
        <v>Compatible if nominal battery capacity = 0 OR battery group = inverter group</v>
      </c>
      <c r="C126" s="25"/>
      <c r="D126" s="25" t="str">
        <v>Compatibility group: catalog text, such as LV. This is a catalog-group check, not a complete electrical design check.</v>
      </c>
      <c r="E126" s="25"/>
      <c r="F126" s="25"/>
      <c r="G126" s="25" t="str">
        <v>Flags incompatible selections before interpreting the results. Scenarios!C66:E66.</v>
      </c>
      <c r="H126" s="25"/>
      <c r="I126" s="25"/>
    </row>
    <row r="127" ht="87.94999694824219" customHeight="1">
      <c r="A127" s="16" t="str">
        <v>Configuration validity</v>
      </c>
      <c r="B127" s="26" t="str">
        <v>Valid = 1 when inputs are ready, PV &lt;= inverter PV limit, specified roof fits, compatibility passes, counts are nonnegative integers, reserve is 0 to 1, efficiencies are &gt; 0 and &lt;= 1, and study years are 1 to 20</v>
      </c>
      <c r="C127" s="26"/>
      <c r="D127" s="26" t="str">
        <v>Limits and flags come from the input, assumptions and sizing cells. All conditions must pass.</v>
      </c>
      <c r="E127" s="26"/>
      <c r="F127" s="26"/>
      <c r="G127" s="26" t="str">
        <v>Gates reported financial results and backup runtime. Scenarios!C65:E65 and C6:E6.</v>
      </c>
      <c r="H127" s="26"/>
      <c r="I127" s="26"/>
    </row>
    <row r="128" ht="87.94999694824219" customHeight="1">
      <c r="A128" s="17" t="str">
        <v>Roof status</v>
      </c>
      <c r="B128" s="25" t="str">
        <v>Unspecified roof: fit not verified. Specified roof: compare required area &lt;= available area</v>
      </c>
      <c r="C128" s="25"/>
      <c r="D128" s="25" t="str">
        <v>Both areas: m2. Available area: Inputs!C15, used only when Inputs!C14 is Specified.</v>
      </c>
      <c r="E128" s="25"/>
      <c r="F128" s="25"/>
      <c r="G128" s="25" t="str">
        <v>Separates an unconstrained estimate from a layout that fits the supplied area. Scenarios!C26:E26.</v>
      </c>
      <c r="H128" s="25"/>
      <c r="I128" s="25"/>
    </row>
    <row r="129" ht="87.94999694824219" customHeight="1">
      <c r="A129" s="16" t="str">
        <v>Year-one maintenance</v>
      </c>
      <c r="B129" s="26" t="str">
        <v>OM_1 = CAPEX × annual maintenance rate</v>
      </c>
      <c r="C129" s="26"/>
      <c r="D129" s="26" t="str">
        <v>OM_1: EGP/year. Maintenance rate: Assumptions and Catalog!C18.</v>
      </c>
      <c r="E129" s="26"/>
      <c r="F129" s="26"/>
      <c r="G129" s="26" t="str">
        <v>Provides the recurring operating-cost base used in annual net savings. Scenarios!C70:E70.</v>
      </c>
      <c r="H129" s="26"/>
      <c r="I129" s="26"/>
    </row>
    <row r="130" ht="32.099998474121094" customHeight="1">
      <c r="A130" s="27" t="str">
        <v>3. Monthly solar and battery energy</v>
      </c>
      <c r="B130" s="27"/>
      <c r="C130" s="27"/>
      <c r="D130" s="27"/>
      <c r="E130" s="27"/>
      <c r="F130" s="27"/>
      <c r="G130" s="27"/>
      <c r="H130" s="27"/>
      <c r="I130" s="27"/>
    </row>
    <row r="131" ht="87.94999694824219" customHeight="1">
      <c r="A131" s="16" t="str">
        <v>Monthly calculation scope</v>
      </c>
      <c r="B131" s="26" t="str">
        <v>Solar-only: rows 161:400. Battery-only: rows 411:650. Solar + battery: rows 661:900. Each block has 12 months × 20 years.</v>
      </c>
      <c r="C131" s="26"/>
      <c r="D131" s="26" t="str">
        <v>Unless stated otherwise, references below are in Scenarios. y is study year starting at 1. n is calendar days in the month. Monthly energy is kWh.</v>
      </c>
      <c r="E131" s="26"/>
      <c r="F131" s="26"/>
      <c r="G131" s="26" t="str">
        <v>Explains repeated formulas once. The study horizon controls financial inclusion; monthly physical calculations remain available for all 20 years.</v>
      </c>
      <c r="H131" s="26"/>
      <c r="I131" s="26"/>
    </row>
    <row r="132" ht="87.94999694824219" customHeight="1">
      <c r="A132" s="17" t="str">
        <v>Calendar month length</v>
      </c>
      <c r="B132" s="25" t="str">
        <v>n = DAY(DATE(first forecast year + y - 1, month + 1, 0))</v>
      </c>
      <c r="C132" s="25"/>
      <c r="D132" s="25" t="str">
        <v>First forecast year: Assumptions and Catalog!C24. Month: 1 to 12. n includes leap years.</v>
      </c>
      <c r="E132" s="25"/>
      <c r="F132" s="25"/>
      <c r="G132" s="25" t="str">
        <v>Converts constant daily energy into the correct monthly quantity. Scenarios monthly column C.</v>
      </c>
      <c r="H132" s="25"/>
      <c r="I132" s="25"/>
    </row>
    <row r="133" ht="87.94999694824219" customHeight="1">
      <c r="A133" s="16" t="str">
        <v>Solar generation</v>
      </c>
      <c r="B133" s="26" t="str">
        <v>E_PV = P_PV × Y_daily × n × (1 - d_PV)^(y - 1)</v>
      </c>
      <c r="C133" s="26"/>
      <c r="D133" s="26" t="str">
        <v>P_PV: installed kWp. Y_daily: Assumptions and Catalog!C31, kWh/kWp/day. d_PV: annual PV degradation at C10.</v>
      </c>
      <c r="E133" s="26"/>
      <c r="F133" s="26"/>
      <c r="G133" t="str" s="26">
        <v>Monthly Cairo yield uses Solar Production with annual degradation. PVGIS losses are included. Inverter-specific hourly clipping is not modeled.</v>
      </c>
      <c r="H133" s="26"/>
      <c r="I133" s="26"/>
    </row>
    <row r="134" ht="87.94999694824219" customHeight="1">
      <c r="A134" s="17" t="str">
        <v>Direct solar use</v>
      </c>
      <c r="B134" s="25" t="str">
        <v>E_direct = MIN(E_PV, day load × n)</v>
      </c>
      <c r="C134" s="25"/>
      <c r="D134" s="25" t="str">
        <v>E_PV: monthly solar generation. Day load: kWh/day from the consumption split.</v>
      </c>
      <c r="E134" s="25"/>
      <c r="F134" s="25"/>
      <c r="G134" s="25" t="str">
        <v>Limits directly consumed solar to estimated daytime energy demand. Scenarios monthly column G. This is an aggregate energy estimate.</v>
      </c>
      <c r="H134" s="25"/>
      <c r="I134" s="25"/>
    </row>
    <row r="135" ht="87.94999694824219" customHeight="1">
      <c r="A135" s="16" t="str">
        <v>Battery age</v>
      </c>
      <c r="B135" s="26" t="str">
        <v>Age = y - replacement year if replacement year &gt; 0 and y &gt;= replacement year; otherwise Age = y - 1</v>
      </c>
      <c r="C135" s="26"/>
      <c r="D135" s="26" t="str">
        <v>Age: years. Battery replacement year: Assumptions and Catalog!C19. A replacement resets age to zero once.</v>
      </c>
      <c r="E135" s="26"/>
      <c r="F135" s="26"/>
      <c r="G135" s="26" t="str">
        <v>Resets capacity degradation in the replacement year. Scenarios monthly column R. The annual model applies fresh capacity for that year and books replacement cost at year-end.</v>
      </c>
      <c r="H135" s="26"/>
      <c r="I135" s="26"/>
    </row>
    <row r="136" ht="87.94999694824219" customHeight="1">
      <c r="A136" s="17" t="str">
        <v>Capacity available for cycling</v>
      </c>
      <c r="B136" s="25" t="str">
        <v>C_cycle = C_usable × (1 - reserve fraction) × (1 - d_batt)^Age</v>
      </c>
      <c r="C136" s="25"/>
      <c r="D136" s="25" t="str">
        <v>C_cycle: stored kWh per modeled daily cycle. Reserve: Scenarios row 44. d_batt: Assumptions and Catalog!C23.</v>
      </c>
      <c r="E136" s="25"/>
      <c r="F136" s="25"/>
      <c r="G136" s="25" t="str">
        <v>Excludes reserved energy and accounts for battery capacity degradation. Scenarios monthly column P.</v>
      </c>
      <c r="H136" s="25"/>
      <c r="I136" s="25"/>
    </row>
    <row r="137" ht="120" customHeight="1">
      <c r="A137" s="16" t="str">
        <v>Combined system battery delivery</v>
      </c>
      <c r="B137" s="26" t="str">
        <v>E_dis = MIN(night load × n, C_cycle × eta_dis × n, (E_PV - E_direct) × eta_ch × eta_dis, P_ch × h_PV × eta_ch × eta_dis × n, P_dis × (24 - h_day) × n)</v>
      </c>
      <c r="C137" s="26"/>
      <c r="D137" s="26" t="str">
        <v>E_dis: AC kWh/month. eta_ch / eta_dis: C11 / C12. h_PV: PV charge window C14, hours/day. h_day: daylight hours C13. P_ch / P_dis: kW. C_cycle: stored kWh.</v>
      </c>
      <c r="E137" s="26"/>
      <c r="F137" s="26"/>
      <c r="G137" s="26" t="str">
        <v>Uses the smallest of night demand, usable storage, solar surplus, charging-power and discharging-power limits. Scenarios!I661:I900.</v>
      </c>
      <c r="H137" s="26"/>
      <c r="I137" s="26"/>
    </row>
    <row r="138" ht="120" customHeight="1">
      <c r="A138" s="17" t="str">
        <v>Battery-only grid-cycle delivery</v>
      </c>
      <c r="B138" s="25" t="str">
        <v>E_dis = n × MIN(daily target, E_day, C_cycle × eta_dis, P_dis × (24 - h_grid), P_ch × h_grid × eta_ch × eta_dis) in Grid cycle mode; otherwise 0</v>
      </c>
      <c r="C138" s="25"/>
      <c r="D138" s="25" t="str">
        <v>Daily target: Scenarios!D46, AC kWh/day. h_grid: Assumptions and Catalog!C15, hours/day. Other symbols are defined above.</v>
      </c>
      <c r="E138" s="25"/>
      <c r="F138" s="25"/>
      <c r="G138" s="25" t="str">
        <v>Limits grid-charged battery cycling. Backup mode does not perform a daily cycle. Solar-only delivery is always 0. Scenarios!I411:I650 and I161:I400.</v>
      </c>
      <c r="H138" s="25"/>
      <c r="I138" s="25"/>
    </row>
    <row r="139" ht="87.94999694824219" customHeight="1">
      <c r="A139" s="16" t="str">
        <v>Charging energy</v>
      </c>
      <c r="B139" s="26" t="str">
        <v>E_charge = E_dis / (eta_ch × eta_dis)</v>
      </c>
      <c r="C139" s="26"/>
      <c r="D139" s="26" t="str">
        <v>E_charge: AC kWh/month required to deliver E_dis. eta_ch and eta_dis: charging and discharging efficiencies.</v>
      </c>
      <c r="E139" s="26"/>
      <c r="F139" s="26"/>
      <c r="G139" s="26" t="str">
        <v>Includes both losses and charges only enough to support modeled discharge. Scenarios monthly column H.</v>
      </c>
      <c r="H139" s="26"/>
      <c r="I139" s="26"/>
    </row>
    <row r="140" ht="87.94999694824219" customHeight="1">
      <c r="A140" s="17" t="str">
        <v>Unused solar</v>
      </c>
      <c r="B140" s="25" t="str">
        <v>E_surplus = MAX(E_PV - E_direct - E_charge, 0) for solar scenarios; battery-only excludes grid charging from this subtraction</v>
      </c>
      <c r="C140" s="25"/>
      <c r="D140" s="25" t="str">
        <v>All energies: kWh/month. E_charge is solar charging only for the combined system.</v>
      </c>
      <c r="E140" s="25"/>
      <c r="F140" s="25"/>
      <c r="G140" s="25" t="str">
        <v>Identifies solar energy not used onsite. It earns no export income in this model. Scenarios monthly column J.</v>
      </c>
      <c r="H140" s="25"/>
      <c r="I140" s="25"/>
    </row>
    <row r="141" ht="87.94999694824219" customHeight="1">
      <c r="A141" s="16" t="str">
        <v>Battery conversion losses</v>
      </c>
      <c r="B141" s="26" t="str">
        <v>E_loss = E_charge - E_dis</v>
      </c>
      <c r="C141" s="26"/>
      <c r="D141" s="26" t="str">
        <v>E_loss: kWh/month. Charge and discharge are measured at the AC boundaries.</v>
      </c>
      <c r="E141" s="26"/>
      <c r="F141" s="26"/>
      <c r="G141" s="26" t="str">
        <v>Quantifies energy lost in storage conversion. Scenarios monthly column K.</v>
      </c>
      <c r="H141" s="26"/>
      <c r="I141" s="26"/>
    </row>
    <row r="142" ht="87.94999694824219" customHeight="1">
      <c r="A142" s="17" t="str">
        <v>Auxiliary energy</v>
      </c>
      <c r="B142" s="25" t="str">
        <v>E_aux = auxiliary kWh/day × n when a battery is installed; otherwise 0</v>
      </c>
      <c r="C142" s="25"/>
      <c r="D142" s="25" t="str">
        <v>Auxiliary consumption: Assumptions and Catalog!C26. Solar-only always uses 0.</v>
      </c>
      <c r="E142" s="25"/>
      <c r="F142" s="25"/>
      <c r="G142" s="25" t="str">
        <v>Adds battery standby/auxiliary energy to grid demand. Embedded in monthly columns L and S.</v>
      </c>
      <c r="H142" s="25"/>
      <c r="I142" s="25"/>
    </row>
    <row r="143" ht="87.94999694824219" customHeight="1">
      <c r="A143" s="16" t="str">
        <v>Grid import</v>
      </c>
      <c r="B143" s="26" t="str">
        <v>E_grid = E_day × n - E_direct - E_dis + grid charging + E_aux</v>
      </c>
      <c r="C143" s="26"/>
      <c r="D143" s="26" t="str">
        <v>Grid charging = E_charge for battery-only, otherwise 0. E_grid: kWh/month.</v>
      </c>
      <c r="E143" s="26"/>
      <c r="F143" s="26"/>
      <c r="G143" s="26" t="str">
        <v>Finds purchased electricity after onsite supply and storage losses. Scenarios monthly column L. Grid cycling under a flat tariff does not create cheap energy.</v>
      </c>
      <c r="H143" s="26"/>
      <c r="I143" s="26"/>
    </row>
    <row r="144" ht="87.94999694824219" customHeight="1">
      <c r="A144" s="17" t="str">
        <v>Energy balance check</v>
      </c>
      <c r="B144" s="25" t="str">
        <v>Balance = E_PV + E_grid - E_day × n - E_surplus - E_loss - E_aux</v>
      </c>
      <c r="C144" s="25"/>
      <c r="D144" s="25" t="str">
        <v>All quantities: kWh/month. A consistent energy balance is zero, apart from floating-point rounding.</v>
      </c>
      <c r="E144" s="25"/>
      <c r="F144" s="25"/>
      <c r="G144" s="25" t="str">
        <v>Checks that energy is neither created nor omitted. Scenarios monthly column S.</v>
      </c>
      <c r="H144" s="25"/>
      <c r="I144" s="25"/>
    </row>
    <row r="145" ht="87.94999694824219" customHeight="1">
      <c r="A145" s="16" t="str">
        <v>Monthly baseline bill</v>
      </c>
      <c r="B145" s="26" t="str">
        <v>Bill_base = B(E_day × n) × (1 + g_tariff)^(y - 1)</v>
      </c>
      <c r="C145" s="26"/>
      <c r="D145" s="26" t="str">
        <v>B(E): chosen price function defined in section 1. g_tariff: annual tariff and fee growth, Assumptions and Catalog!C8.</v>
      </c>
      <c r="E145" s="26"/>
      <c r="F145" s="26"/>
      <c r="G145" s="26" t="str">
        <v>Values the no-system monthly grid supply using the same pricing basis. Scenarios monthly column M.</v>
      </c>
      <c r="H145" s="26"/>
      <c r="I145" s="26"/>
    </row>
    <row r="146" ht="87.94999694824219" customHeight="1">
      <c r="A146" s="17" t="str">
        <v>Monthly system bill and savings</v>
      </c>
      <c r="B146" s="25" t="str">
        <v>Bill_system = B(E_grid) × (1 + g_tariff)^(y - 1). Saving = Bill_base - Bill_system</v>
      </c>
      <c r="C146" s="25"/>
      <c r="D146" s="25" t="str">
        <v>Bills and saving: EGP/month. Growth multiplies the entire calculated bill, including fees.</v>
      </c>
      <c r="E146" s="25"/>
      <c r="F146" s="25"/>
      <c r="G146" s="25" t="str">
        <v>Measures avoided electricity cost before maintenance and replacement. Scenarios monthly columns N and O.</v>
      </c>
      <c r="H146" s="25"/>
      <c r="I146" s="25"/>
    </row>
    <row r="147" ht="87.94999694824219" customHeight="1">
      <c r="A147" s="16" t="str">
        <v>PV-only comparator bill</v>
      </c>
      <c r="B147" s="26" t="str">
        <v>Bill_PV_comparator = B(E_day × n - E_direct) × (1 + g_tariff)^(y - 1)</v>
      </c>
      <c r="C147" s="26"/>
      <c r="D147" s="26" t="str">
        <v>Same PV size and direct-use estimate as the respective configuration, without battery cycling or battery auxiliaries.</v>
      </c>
      <c r="E147" s="26"/>
      <c r="F147" s="26"/>
      <c r="G147" s="26" t="str">
        <v>Separates the incremental value of adding storage to the combined system's PV. Scenarios monthly column Q.</v>
      </c>
      <c r="H147" s="26"/>
      <c r="I147" s="26"/>
    </row>
    <row r="148" ht="87.94999694824219" customHeight="1">
      <c r="A148" s="17" t="str">
        <v>Year-one energy and bill summaries</v>
      </c>
      <c r="B148" s="25" t="str">
        <v>PV generation = SUM(first 12 monthly PV values). Baseline bill, system bill and bill savings = their respective first-year monthly sums</v>
      </c>
      <c r="C148" s="25"/>
      <c r="D148" s="25" t="str">
        <v>Energy: kWh/year. Bills: EGP/year. Baseline is shared because all scenarios serve the same load.</v>
      </c>
      <c r="E148" s="25"/>
      <c r="F148" s="25"/>
      <c r="G148" s="25" t="str">
        <v>Presents comparable first-year totals. Scenarios!C12:E15. System bill and savings are gated by configuration validity.</v>
      </c>
      <c r="H148" s="25"/>
      <c r="I148" s="25"/>
    </row>
    <row r="149" ht="32.099998474121094" customHeight="1">
      <c r="A149" s="27" t="str">
        <v>4. Backup capability</v>
      </c>
      <c r="B149" s="27"/>
      <c r="C149" s="27"/>
      <c r="D149" s="27"/>
      <c r="E149" s="27"/>
      <c r="F149" s="27"/>
      <c r="G149" s="27"/>
      <c r="H149" s="27"/>
      <c r="I149" s="27"/>
    </row>
    <row r="150" ht="87.94999694824219" customHeight="1">
      <c r="A150" s="17" t="str">
        <v>Reserved stored energy</v>
      </c>
      <c r="B150" s="25" t="str">
        <v>C_reserve = C_usable × reserve fraction</v>
      </c>
      <c r="C150" s="25"/>
      <c r="D150" s="25" t="str">
        <v>C_reserve: internal kWh. Reserve fraction: Scenarios!C44:E44. This is year-one usable capacity.</v>
      </c>
      <c r="E150" s="25"/>
      <c r="F150" s="25"/>
      <c r="G150" s="25" t="str">
        <v>Identifies storage withheld from normal cycling. Scenarios!C67:E67.</v>
      </c>
      <c r="H150" s="25"/>
      <c r="I150" s="25"/>
    </row>
    <row r="151" ht="87.94999694824219" customHeight="1">
      <c r="A151" s="16" t="str">
        <v>Full-charge and reserved backup energy</v>
      </c>
      <c r="B151" s="26" t="str">
        <v>E_full = C_usable × eta_dis; E_reserved = C_reserve × eta_dis. Both are 0 when backup is unsupported.</v>
      </c>
      <c r="C151" s="26"/>
      <c r="D151" s="26" t="str">
        <v>E_full and E_reserved: AC kWh. eta_dis: Assumptions and Catalog!C12.</v>
      </c>
      <c r="E151" s="26"/>
      <c r="F151" s="26"/>
      <c r="G151" s="26" t="str">
        <v>Shows year-one energy available from full charge and from the reserve. Scenarios!C68:E68 and C20:E20, C23:E23. Actual state of charge at an outage is not guaranteed.</v>
      </c>
      <c r="H151" s="26"/>
      <c r="I151" s="26"/>
    </row>
    <row r="152" ht="87.94999694824219" customHeight="1">
      <c r="A152" s="17" t="str">
        <v>Backup power</v>
      </c>
      <c r="B152" s="25" t="str">
        <v>P_backup = P_dis when backup is supported; otherwise 0</v>
      </c>
      <c r="C152" s="25"/>
      <c r="D152" s="25" t="str">
        <v>P_backup: kW. P_dis: combined inverter/battery discharge limit.</v>
      </c>
      <c r="E152" s="25"/>
      <c r="F152" s="25"/>
      <c r="G152" s="25" t="str">
        <v>Checks whether the critical load fits the system's modeled power capability. Scenarios!C69:E69 and C21:E21. Starting current and phase constraints are not modeled.</v>
      </c>
      <c r="H152" s="25"/>
      <c r="I152" s="25"/>
    </row>
    <row r="153" ht="87.94999694824219" customHeight="1">
      <c r="A153" s="16" t="str">
        <v>Full-charge backup duration</v>
      </c>
      <c r="B153" s="26" t="str">
        <v>Hours = E_full / P_critical, only for a valid configuration with backup, known critical load and P_critical &lt;= P_backup</v>
      </c>
      <c r="C153" s="26"/>
      <c r="D153" s="26" t="str">
        <v>E_full: AC kWh. P_critical: Inputs!C21, kW. Unknown load gives Load unknown; excess load gives a power-limit message.</v>
      </c>
      <c r="E153" s="26"/>
      <c r="F153" s="26"/>
      <c r="G153" s="26" t="str">
        <v>Estimates how long a constant critical load can run from full charge. Scenarios!C22:E22. It is not a guaranteed outage runtime.</v>
      </c>
      <c r="H153" s="26"/>
      <c r="I153" s="26"/>
    </row>
    <row r="154" ht="32.099998474121094" customHeight="1">
      <c r="A154" s="27" t="str">
        <v>5. Annual cash flows, NPV and payback</v>
      </c>
      <c r="B154" s="27"/>
      <c r="C154" s="27"/>
      <c r="D154" s="27"/>
      <c r="E154" s="27"/>
      <c r="F154" s="27"/>
      <c r="G154" s="27"/>
      <c r="H154" s="27"/>
      <c r="I154" s="27"/>
    </row>
    <row r="155" ht="87.94999694824219" customHeight="1">
      <c r="A155" s="16" t="str">
        <v>Initial cash flow</v>
      </c>
      <c r="B155" s="26" t="str">
        <v>CF_0 = -CAPEX</v>
      </c>
      <c r="C155" s="26"/>
      <c r="D155" s="26" t="str">
        <v>CF_0: EGP at time zero. CAPEX: upfront system investment. It is not discounted.</v>
      </c>
      <c r="E155" s="26"/>
      <c r="F155" s="26"/>
      <c r="G155" s="26" t="str">
        <v>Recognizes the cash paid today before annual savings begin. Scenarios!C78:N78 initialize net, discounted and cumulative series.</v>
      </c>
      <c r="H155" s="26"/>
      <c r="I155" s="26"/>
    </row>
    <row r="156" ht="87.94999694824219" customHeight="1">
      <c r="A156" s="17" t="str">
        <v>Annual gross savings</v>
      </c>
      <c r="B156" s="25" t="str">
        <v>Saving_y = SUM(monthly bill savings where study year = y)</v>
      </c>
      <c r="C156" s="25"/>
      <c r="D156" s="25" t="str">
        <v>Saving_y: EGP/year. SUMIFS selects the 12 months for each scenario. Annual baseline uses the same grouping of baseline bills.</v>
      </c>
      <c r="E156" s="25"/>
      <c r="F156" s="25"/>
      <c r="G156" s="25" t="str">
        <v>Aggregates bill savings into annual cash flows. Embedded in Scenarios!C79:C98, G79:G98 and K79:K98. Baseline: B79:B98.</v>
      </c>
      <c r="H156" s="25"/>
      <c r="I156" s="25"/>
    </row>
    <row r="157" ht="87.94999694824219" customHeight="1">
      <c r="A157" s="16" t="str">
        <v>Replacement cost</v>
      </c>
      <c r="B157" s="26" t="str">
        <v>R_y = battery cost × battery replacement factor if y = battery replacement year &gt; 0, plus inverter cost × inverter replacement factor if y = inverter replacement year &gt; 0</v>
      </c>
      <c r="C157" s="26"/>
      <c r="D157" s="26" t="str">
        <v>Costs: original component EGP before BOS. Factors: Assumptions and Catalog!C20 and C22. Years: C19 and C21. Each component is replaced at most once.</v>
      </c>
      <c r="E157" s="26"/>
      <c r="F157" s="26"/>
      <c r="G157" s="26" t="str">
        <v>Books component replacement in its selected year. A year of 0 disables replacement. Embedded in annual net cash-flow formulas.</v>
      </c>
      <c r="H157" s="26"/>
      <c r="I157" s="26"/>
    </row>
    <row r="158" ht="87.94999694824219" customHeight="1">
      <c r="A158" s="17" t="str">
        <v>Annual net cash flow</v>
      </c>
      <c r="B158" s="25" t="str">
        <v>CF_y = Saving_y - (OM_1 + R_y) × (1 + g_cost)^(y - 1), for y &lt;= N; otherwise 0</v>
      </c>
      <c r="C158" s="25"/>
      <c r="D158" s="25" t="str">
        <v>OM_1: first-year maintenance, EGP. R_y: replacement at base prices. g_cost: C9. N: study horizon C6. Annual cash flows occur at year-end.</v>
      </c>
      <c r="E158" s="25"/>
      <c r="F158" s="25"/>
      <c r="G158" s="25" t="str">
        <v>Combines savings, maintenance and replacement into the investment cash flow. Scenarios annual columns C, G and K; year-one summary row 16.</v>
      </c>
      <c r="H158" s="25"/>
      <c r="I158" s="25"/>
    </row>
    <row r="159" ht="87.94999694824219" customHeight="1">
      <c r="A159" s="16" t="str">
        <v>Discounted annual cash flow</v>
      </c>
      <c r="B159" s="26" t="str">
        <v>DCF_y = CF_y / (1 + r)^y</v>
      </c>
      <c r="C159" s="26"/>
      <c r="D159" s="26" t="str">
        <v>DCF_y: present-value EGP. r: nominal annual discount rate, Assumptions and Catalog!C7. y: year-end timing.</v>
      </c>
      <c r="E159" s="26"/>
      <c r="F159" s="26"/>
      <c r="G159" s="26" t="str">
        <v>Converts future net cash flows to their equivalent value today. Scenarios annual columns D, H and L.</v>
      </c>
      <c r="H159" s="26"/>
      <c r="I159" s="26"/>
    </row>
    <row r="160" ht="87.94999694824219" customHeight="1">
      <c r="A160" s="17" t="str">
        <v>Net present value (NPV)</v>
      </c>
      <c r="B160" s="25" t="str">
        <v>NPV = -CAPEX + SUM(CF_y / (1 + r)^y), y = 1 to N</v>
      </c>
      <c r="C160" s="25"/>
      <c r="D160" s="25" t="str">
        <v>NPV: EGP today. N: study years. r: discount rate. CF_y: annual net cash flow. Excel implementation sums the discounted column including year zero.</v>
      </c>
      <c r="E160" s="25"/>
      <c r="F160" s="25"/>
      <c r="G160" s="25" t="str">
        <v>Compares the project with no investment, whose NPV is zero. Positive NPV exceeds the assumed required return. Scenarios!C17:E17.</v>
      </c>
      <c r="H160" s="25"/>
      <c r="I160" s="25"/>
    </row>
    <row r="161" ht="87.94999694824219" customHeight="1">
      <c r="A161" s="16" t="str">
        <v>Cumulative cash flows</v>
      </c>
      <c r="B161" s="26" t="str">
        <v>Cum_y = Cum_(y-1) + CF_y. DCum_y = DCum_(y-1) + DCF_y. Both start at -CAPEX.</v>
      </c>
      <c r="C161" s="26"/>
      <c r="D161" s="26" t="str">
        <v>Cum: undiscounted EGP. DCum: discounted EGP. Starting balance is year zero.</v>
      </c>
      <c r="E161" s="26"/>
      <c r="F161" s="26"/>
      <c r="G161" s="26" t="str">
        <v>Tracks unrecovered investment and identifies payback crossings. Scenarios annual columns E/F, I/J and M/N.</v>
      </c>
      <c r="H161" s="26"/>
      <c r="I161" s="26"/>
    </row>
    <row r="162" ht="87.94999694824219" customHeight="1">
      <c r="A162" s="17" t="str">
        <v>Simple payback</v>
      </c>
      <c r="B162" s="25" t="str">
        <v>At first crossing: PB = (y - 1) - Cum_(y-1) / CF_y</v>
      </c>
      <c r="C162" s="25"/>
      <c r="D162" s="25" t="str">
        <v>Crossing requires Cum_y &gt;= 0, Cum_(y-1) &lt; 0, CF_y &gt; 0 and y &lt;= N. Otherwise that year receives helper value 999. MIN selects the first crossing; all 999 means Not reached.</v>
      </c>
      <c r="E162" s="25"/>
      <c r="F162" s="25"/>
      <c r="G162" s="25" t="str">
        <v>Estimates years to recover investment without discounting. Uses varying annual cash flows, not simply CAPEX / year-one saving. Scenarios!P79:P98, R79:R98, T79:T98; summary row 18.</v>
      </c>
      <c r="H162" s="25"/>
      <c r="I162" s="25"/>
    </row>
    <row r="163" ht="87.94999694824219" customHeight="1">
      <c r="A163" s="16" t="str">
        <v>Discounted payback</v>
      </c>
      <c r="B163" s="26" t="str">
        <v>At first crossing: DPB = (y - 1) - DCum_(y-1) / DCF_y</v>
      </c>
      <c r="C163" s="26"/>
      <c r="D163" s="26" t="str">
        <v>Crossing and sentinel logic are the same as simple payback, using discounted balances and cash flows.</v>
      </c>
      <c r="E163" s="26"/>
      <c r="F163" s="26"/>
      <c r="G163" s="26" t="str">
        <v>Estimates recovery after allowing for the time value of money. Scenarios!Q79:Q98, S79:S98, U79:U98; summary row 19. Fractions interpolate within the crossing year. Later replacement can reduce the balance again.</v>
      </c>
      <c r="H163" s="26"/>
      <c r="I163" s="26"/>
    </row>
    <row r="164" ht="87.94999694824219" customHeight="1">
      <c r="A164" s="17" t="str">
        <v>Incremental battery saving</v>
      </c>
      <c r="B164" s="25" t="str">
        <v>Delta saving = SUM(first-year PV comparator bills) - SUM(first-year combined-system bills)</v>
      </c>
      <c r="C164" s="25"/>
      <c r="D164" s="25" t="str">
        <v>Both cases use the same PV and hybrid inverter. Delta saving: EGP/year before maintenance or replacement.</v>
      </c>
      <c r="E164" s="25"/>
      <c r="F164" s="25"/>
      <c r="G164" s="25" t="str">
        <v>Isolates the first-year bill effect of storage rather than comparing systems with different PV sizes. Scenarios!E31 = SUM(Q661:Q672) - SUM(N661:N672).</v>
      </c>
      <c r="H164" s="25"/>
      <c r="I164" s="25"/>
    </row>
    <row r="165" ht="87.94999694824219" customHeight="1">
      <c r="A165" s="16" t="str">
        <v>Incremental battery cost</v>
      </c>
      <c r="B165" s="26" t="str">
        <v>Delta CAPEX = combined battery cost × (1 + BOS rate)</v>
      </c>
      <c r="C165" s="26"/>
      <c r="D165" s="26" t="str">
        <v>Battery cost: Scenarios!E61. BOS rate: Assumptions and Catalog!C17. EGP upfront.</v>
      </c>
      <c r="E165" s="26"/>
      <c r="F165" s="26"/>
      <c r="G165" s="26" t="str">
        <v>The comparator already has the same hybrid inverter, so this formula includes no inverter upgrade difference, despite the existing broader row label. Scenarios!E32.</v>
      </c>
      <c r="H165" s="26"/>
      <c r="I165" s="26"/>
    </row>
    <row r="166" ht="87.94999694824219" customHeight="1">
      <c r="A166" s="17" t="str">
        <v>System role classification</v>
      </c>
      <c r="B166" s="25" t="str">
        <v>If first-year bill saving &gt; 0: Bill savings, plus backup when P_backup &gt; 0. Otherwise: Backup without savings when P_backup &gt; 0, else No proven savings.</v>
      </c>
      <c r="C166" s="25"/>
      <c r="D166" s="25" t="str">
        <v>Uses bill savings before maintenance and backup power, after configuration validity. It does not use NPV to assign the role.</v>
      </c>
      <c r="E166" s="25"/>
      <c r="F166" s="25"/>
      <c r="G166" s="25" t="str">
        <v>Distinguishes the system's energy/backup role from its investment attractiveness. Scenarios!C24:E24.</v>
      </c>
      <c r="H166" s="25"/>
      <c r="I166" s="25"/>
    </row>
    <row r="167" ht="87.94999694824219" customHeight="1">
      <c r="A167" s="16" t="str">
        <v>Financial classification</v>
      </c>
      <c r="B167" s="26" t="str">
        <v>NPV &gt; 0: positive. NPV = 0: discounted break-even. NPV &lt; 0: negative. Invalid configuration: invalid result.</v>
      </c>
      <c r="C167" s="26"/>
      <c r="D167" s="26" t="str">
        <v>NPV uses the selected horizon, discount rate, tariff, costs and replacement assumptions.</v>
      </c>
      <c r="E167" s="26"/>
      <c r="F167" s="26"/>
      <c r="G167" s="26" t="str">
        <v>Summarizes financial performance separately from bill savings and backup. Scenarios!C25:E25.</v>
      </c>
      <c r="H167" s="26"/>
      <c r="I167" s="26"/>
    </row>
    <row r="168" ht="87.94999694824219" customHeight="1">
      <c r="A168" s="17" t="str">
        <v>Scope and exclusions</v>
      </c>
      <c r="B168" s="25" t="str">
        <v>Three manually selected configurations. No automatic sizing or optimization equation is used.</v>
      </c>
      <c r="C168" s="25"/>
      <c r="D168" t="str" s="25">
        <v>No financing, tax, subsidy, salvage value, outage valuation or export revenue. Constant daily load and seasonal monthly PV. Battery dispatch remains approximate.</v>
      </c>
      <c r="E168" s="25"/>
      <c r="F168" s="25"/>
      <c r="G168" s="25" t="str">
        <v>Defines what the equations cover. The reference documents the existing model; it does not introduce additional economic benefits or a new optimization algorithm.</v>
      </c>
      <c r="H168" s="25"/>
      <c r="I168" s="25"/>
    </row>
  </sheetData>
  <sheetProtection sheet="1" formatColumns="0" formatRows="0"/>
  <mergeCells>
    <mergeCell ref="A2:H2"/>
    <mergeCell ref="A3:H3"/>
    <mergeCell ref="A29:H29"/>
    <mergeCell ref="D31:H31"/>
    <mergeCell ref="A33:H33"/>
    <mergeCell ref="A34:H34"/>
    <mergeCell ref="A35:H35"/>
    <mergeCell ref="A36:H36"/>
    <mergeCell ref="A46:H46"/>
    <mergeCell ref="A47:H47"/>
    <mergeCell ref="A67:H67"/>
    <mergeCell ref="A68:H68"/>
    <mergeCell ref="A71:H71"/>
    <mergeCell ref="A77:H77"/>
    <mergeCell ref="A84:I84"/>
    <mergeCell ref="A92:H92"/>
    <mergeCell ref="A93:H93"/>
    <mergeCell ref="A100:I100"/>
    <mergeCell ref="A101:I101"/>
    <mergeCell ref="B103:C103"/>
    <mergeCell ref="D103:F103"/>
    <mergeCell ref="G103:I103"/>
    <mergeCell ref="A104:I104"/>
    <mergeCell ref="B105:C105"/>
    <mergeCell ref="D105:F105"/>
    <mergeCell ref="G105:I105"/>
    <mergeCell ref="B106:C106"/>
    <mergeCell ref="D106:F106"/>
    <mergeCell ref="G106:I106"/>
    <mergeCell ref="B107:C107"/>
    <mergeCell ref="D107:F107"/>
    <mergeCell ref="G107:I107"/>
    <mergeCell ref="B108:C108"/>
    <mergeCell ref="D108:F108"/>
    <mergeCell ref="G108:I108"/>
    <mergeCell ref="B109:C109"/>
    <mergeCell ref="D109:F109"/>
    <mergeCell ref="G109:I109"/>
    <mergeCell ref="B110:C110"/>
    <mergeCell ref="D110:F110"/>
    <mergeCell ref="G110:I110"/>
    <mergeCell ref="B111:C111"/>
    <mergeCell ref="D111:F111"/>
    <mergeCell ref="G111:I111"/>
    <mergeCell ref="B112:C112"/>
    <mergeCell ref="D112:F112"/>
    <mergeCell ref="G112:I112"/>
    <mergeCell ref="B113:C113"/>
    <mergeCell ref="D113:F113"/>
    <mergeCell ref="G113:I113"/>
    <mergeCell ref="B114:C114"/>
    <mergeCell ref="D114:F114"/>
    <mergeCell ref="G114:I114"/>
    <mergeCell ref="B115:C115"/>
    <mergeCell ref="D115:F115"/>
    <mergeCell ref="G115:I115"/>
    <mergeCell ref="B116:C116"/>
    <mergeCell ref="D116:F116"/>
    <mergeCell ref="G116:I116"/>
    <mergeCell ref="A117:I117"/>
    <mergeCell ref="B118:C118"/>
    <mergeCell ref="D118:F118"/>
    <mergeCell ref="G118:I118"/>
    <mergeCell ref="B119:C119"/>
    <mergeCell ref="D119:F119"/>
    <mergeCell ref="G119:I119"/>
    <mergeCell ref="B120:C120"/>
    <mergeCell ref="D120:F120"/>
    <mergeCell ref="G120:I120"/>
    <mergeCell ref="B121:C121"/>
    <mergeCell ref="D121:F121"/>
    <mergeCell ref="G121:I121"/>
    <mergeCell ref="B122:C122"/>
    <mergeCell ref="D122:F122"/>
    <mergeCell ref="G122:I122"/>
    <mergeCell ref="B123:C123"/>
    <mergeCell ref="D123:F123"/>
    <mergeCell ref="G123:I123"/>
    <mergeCell ref="B124:C124"/>
    <mergeCell ref="D124:F124"/>
    <mergeCell ref="G124:I124"/>
    <mergeCell ref="B125:C125"/>
    <mergeCell ref="D125:F125"/>
    <mergeCell ref="G125:I125"/>
    <mergeCell ref="B126:C126"/>
    <mergeCell ref="D126:F126"/>
    <mergeCell ref="G126:I126"/>
    <mergeCell ref="B127:C127"/>
    <mergeCell ref="D127:F127"/>
    <mergeCell ref="G127:I127"/>
    <mergeCell ref="B128:C128"/>
    <mergeCell ref="D128:F128"/>
    <mergeCell ref="G128:I128"/>
    <mergeCell ref="B129:C129"/>
    <mergeCell ref="D129:F129"/>
    <mergeCell ref="G129:I129"/>
    <mergeCell ref="A130:I130"/>
    <mergeCell ref="B131:C131"/>
    <mergeCell ref="D131:F131"/>
    <mergeCell ref="G131:I131"/>
    <mergeCell ref="B132:C132"/>
    <mergeCell ref="D132:F132"/>
    <mergeCell ref="G132:I132"/>
    <mergeCell ref="B133:C133"/>
    <mergeCell ref="D133:F133"/>
    <mergeCell ref="G133:I133"/>
    <mergeCell ref="B134:C134"/>
    <mergeCell ref="D134:F134"/>
    <mergeCell ref="G134:I134"/>
    <mergeCell ref="B135:C135"/>
    <mergeCell ref="D135:F135"/>
    <mergeCell ref="G135:I135"/>
    <mergeCell ref="B136:C136"/>
    <mergeCell ref="D136:F136"/>
    <mergeCell ref="G136:I136"/>
    <mergeCell ref="B137:C137"/>
    <mergeCell ref="D137:F137"/>
    <mergeCell ref="G137:I137"/>
    <mergeCell ref="B138:C138"/>
    <mergeCell ref="D138:F138"/>
    <mergeCell ref="G138:I138"/>
    <mergeCell ref="B139:C139"/>
    <mergeCell ref="D139:F139"/>
    <mergeCell ref="G139:I139"/>
    <mergeCell ref="B140:C140"/>
    <mergeCell ref="D140:F140"/>
    <mergeCell ref="G140:I140"/>
    <mergeCell ref="B141:C141"/>
    <mergeCell ref="D141:F141"/>
    <mergeCell ref="G141:I141"/>
    <mergeCell ref="B142:C142"/>
    <mergeCell ref="D142:F142"/>
    <mergeCell ref="G142:I142"/>
    <mergeCell ref="B143:C143"/>
    <mergeCell ref="D143:F143"/>
    <mergeCell ref="G143:I143"/>
    <mergeCell ref="B144:C144"/>
    <mergeCell ref="D144:F144"/>
    <mergeCell ref="G144:I144"/>
    <mergeCell ref="B145:C145"/>
    <mergeCell ref="D145:F145"/>
    <mergeCell ref="G145:I145"/>
    <mergeCell ref="B146:C146"/>
    <mergeCell ref="D146:F146"/>
    <mergeCell ref="G146:I146"/>
    <mergeCell ref="B147:C147"/>
    <mergeCell ref="D147:F147"/>
    <mergeCell ref="G147:I147"/>
    <mergeCell ref="B148:C148"/>
    <mergeCell ref="D148:F148"/>
    <mergeCell ref="G148:I148"/>
    <mergeCell ref="A149:I149"/>
    <mergeCell ref="B150:C150"/>
    <mergeCell ref="D150:F150"/>
    <mergeCell ref="G150:I150"/>
    <mergeCell ref="B151:C151"/>
    <mergeCell ref="D151:F151"/>
    <mergeCell ref="G151:I151"/>
    <mergeCell ref="B152:C152"/>
    <mergeCell ref="D152:F152"/>
    <mergeCell ref="G152:I152"/>
    <mergeCell ref="B153:C153"/>
    <mergeCell ref="D153:F153"/>
    <mergeCell ref="G153:I153"/>
    <mergeCell ref="A154:I154"/>
    <mergeCell ref="B155:C155"/>
    <mergeCell ref="D155:F155"/>
    <mergeCell ref="G155:I155"/>
    <mergeCell ref="B156:C156"/>
    <mergeCell ref="D156:F156"/>
    <mergeCell ref="G156:I156"/>
    <mergeCell ref="B157:C157"/>
    <mergeCell ref="D157:F157"/>
    <mergeCell ref="G157:I157"/>
    <mergeCell ref="B158:C158"/>
    <mergeCell ref="D158:F158"/>
    <mergeCell ref="G158:I158"/>
    <mergeCell ref="B159:C159"/>
    <mergeCell ref="D159:F159"/>
    <mergeCell ref="G159:I159"/>
    <mergeCell ref="B160:C160"/>
    <mergeCell ref="D160:F160"/>
    <mergeCell ref="G160:I160"/>
    <mergeCell ref="B161:C161"/>
    <mergeCell ref="D161:F161"/>
    <mergeCell ref="G161:I161"/>
    <mergeCell ref="B162:C162"/>
    <mergeCell ref="D162:F162"/>
    <mergeCell ref="G162:I162"/>
    <mergeCell ref="B163:C163"/>
    <mergeCell ref="D163:F163"/>
    <mergeCell ref="G163:I163"/>
    <mergeCell ref="B164:C164"/>
    <mergeCell ref="D164:F164"/>
    <mergeCell ref="G164:I164"/>
    <mergeCell ref="B168:C168"/>
    <mergeCell ref="D168:F168"/>
    <mergeCell ref="G168:I168"/>
    <mergeCell ref="B165:C165"/>
    <mergeCell ref="D165:F165"/>
    <mergeCell ref="G165:I165"/>
    <mergeCell ref="B166:C166"/>
    <mergeCell ref="D166:F166"/>
    <mergeCell ref="G166:I166"/>
    <mergeCell ref="B167:C167"/>
    <mergeCell ref="D167:F167"/>
    <mergeCell ref="G167:I167"/>
  </mergeCells>
  <conditionalFormatting sqref="C6">
    <cfRule type="expression" dxfId="7" priority="1" stopIfTrue="1">
      <formula>LEFT(INDIRECT("'Scenarios'!C954"),6)="ERROR:"</formula>
    </cfRule>
  </conditionalFormatting>
  <conditionalFormatting sqref="C7">
    <cfRule type="expression" dxfId="7" priority="2" stopIfTrue="1">
      <formula>LEFT(INDIRECT("'Scenarios'!C955"),6)="ERROR:"</formula>
    </cfRule>
  </conditionalFormatting>
  <conditionalFormatting sqref="C8">
    <cfRule type="expression" dxfId="7" priority="3" stopIfTrue="1">
      <formula>LEFT(INDIRECT("'Scenarios'!C956"),6)="ERROR:"</formula>
    </cfRule>
  </conditionalFormatting>
  <conditionalFormatting sqref="C9">
    <cfRule type="expression" dxfId="7" priority="4" stopIfTrue="1">
      <formula>LEFT(INDIRECT("'Scenarios'!C957"),6)="ERROR:"</formula>
    </cfRule>
  </conditionalFormatting>
  <conditionalFormatting sqref="C10">
    <cfRule type="expression" dxfId="7" priority="5" stopIfTrue="1">
      <formula>LEFT(INDIRECT("'Scenarios'!C958"),6)="ERROR:"</formula>
    </cfRule>
  </conditionalFormatting>
  <conditionalFormatting sqref="C11">
    <cfRule type="expression" dxfId="7" priority="6" stopIfTrue="1">
      <formula>LEFT(INDIRECT("'Scenarios'!C959"),6)="ERROR:"</formula>
    </cfRule>
  </conditionalFormatting>
  <conditionalFormatting sqref="C12">
    <cfRule type="expression" dxfId="7" priority="7" stopIfTrue="1">
      <formula>LEFT(INDIRECT("'Scenarios'!C960"),6)="ERROR:"</formula>
    </cfRule>
  </conditionalFormatting>
  <conditionalFormatting sqref="C13">
    <cfRule type="expression" dxfId="7" priority="8" stopIfTrue="1">
      <formula>LEFT(INDIRECT("'Scenarios'!C961"),6)="ERROR:"</formula>
    </cfRule>
  </conditionalFormatting>
  <conditionalFormatting sqref="C14">
    <cfRule type="expression" dxfId="7" priority="9" stopIfTrue="1">
      <formula>LEFT(INDIRECT("'Scenarios'!C962"),6)="ERROR:"</formula>
    </cfRule>
  </conditionalFormatting>
  <conditionalFormatting sqref="C15">
    <cfRule type="expression" dxfId="7" priority="10" stopIfTrue="1">
      <formula>LEFT(INDIRECT("'Scenarios'!C963"),6)="ERROR:"</formula>
    </cfRule>
  </conditionalFormatting>
  <conditionalFormatting sqref="C16">
    <cfRule type="expression" dxfId="7" priority="11" stopIfTrue="1">
      <formula>LEFT(INDIRECT("'Scenarios'!C964"),6)="ERROR:"</formula>
    </cfRule>
  </conditionalFormatting>
  <conditionalFormatting sqref="C17">
    <cfRule type="expression" dxfId="7" priority="12" stopIfTrue="1">
      <formula>LEFT(INDIRECT("'Scenarios'!C965"),6)="ERROR:"</formula>
    </cfRule>
  </conditionalFormatting>
  <conditionalFormatting sqref="C18">
    <cfRule type="expression" dxfId="7" priority="13" stopIfTrue="1">
      <formula>LEFT(INDIRECT("'Scenarios'!C966"),6)="ERROR:"</formula>
    </cfRule>
  </conditionalFormatting>
  <conditionalFormatting sqref="C19">
    <cfRule type="expression" dxfId="7" priority="14" stopIfTrue="1">
      <formula>LEFT(INDIRECT("'Scenarios'!C967"),6)="ERROR:"</formula>
    </cfRule>
  </conditionalFormatting>
  <conditionalFormatting sqref="C20">
    <cfRule type="expression" dxfId="7" priority="15" stopIfTrue="1">
      <formula>LEFT(INDIRECT("'Scenarios'!C968"),6)="ERROR:"</formula>
    </cfRule>
  </conditionalFormatting>
  <conditionalFormatting sqref="C21">
    <cfRule type="expression" dxfId="7" priority="16" stopIfTrue="1">
      <formula>LEFT(INDIRECT("'Scenarios'!C969"),6)="ERROR:"</formula>
    </cfRule>
  </conditionalFormatting>
  <conditionalFormatting sqref="C22">
    <cfRule type="expression" dxfId="7" priority="17" stopIfTrue="1">
      <formula>LEFT(INDIRECT("'Scenarios'!C970"),6)="ERROR:"</formula>
    </cfRule>
  </conditionalFormatting>
  <conditionalFormatting sqref="C23">
    <cfRule type="expression" dxfId="7" priority="18" stopIfTrue="1">
      <formula>LEFT(INDIRECT("'Scenarios'!C971"),6)="ERROR:"</formula>
    </cfRule>
  </conditionalFormatting>
  <conditionalFormatting sqref="C24">
    <cfRule type="expression" dxfId="7" priority="19" stopIfTrue="1">
      <formula>LEFT(INDIRECT("'Scenarios'!C972"),6)="ERROR:"</formula>
    </cfRule>
  </conditionalFormatting>
  <conditionalFormatting sqref="C25">
    <cfRule type="expression" dxfId="7" priority="20" stopIfTrue="1">
      <formula>LEFT(INDIRECT("'Scenarios'!C973"),6)="ERROR:"</formula>
    </cfRule>
  </conditionalFormatting>
  <conditionalFormatting sqref="C26">
    <cfRule type="expression" dxfId="7" priority="21" stopIfTrue="1">
      <formula>LEFT(INDIRECT("'Scenarios'!C974"),6)="ERROR:"</formula>
    </cfRule>
  </conditionalFormatting>
  <conditionalFormatting sqref="C31">
    <cfRule type="expression" dxfId="7" priority="22" stopIfTrue="1">
      <formula>LEFT(INDIRECT("'Scenarios'!C975"),6)="ERROR:"</formula>
    </cfRule>
  </conditionalFormatting>
  <dataValidations count="12">
    <dataValidation type="decimal" sqref="C31">
      <formula1>0.1</formula1>
      <formula2>10</formula2>
    </dataValidation>
    <dataValidation type="whole" showErrorMessage="1" errorTitle="Invalid value" error="Enter a value within the permitted range" sqref="C6">
      <formula1>1</formula1>
      <formula2>20</formula2>
    </dataValidation>
    <dataValidation type="decimal" showErrorMessage="1" errorTitle="Invalid value" error="Enter a value within the permitted range" sqref="C7">
      <formula1>0</formula1>
      <formula2>1</formula2>
    </dataValidation>
    <dataValidation type="decimal" showErrorMessage="1" errorTitle="Invalid value" error="Enter a value within the permitted range" sqref="C10 C23">
      <formula1>0</formula1>
      <formula2>0.99</formula2>
    </dataValidation>
    <dataValidation type="decimal" showErrorMessage="1" errorTitle="Invalid value" error="Enter a value within the permitted range" sqref="C11 C12">
      <formula1>0.01</formula1>
      <formula2>1</formula2>
    </dataValidation>
    <dataValidation type="decimal" showErrorMessage="1" errorTitle="Invalid value" error="Enter a value within the permitted range" sqref="C13">
      <formula1>1</formula1>
      <formula2>23</formula2>
    </dataValidation>
    <dataValidation type="decimal" showErrorMessage="1" errorTitle="Invalid value" error="Enter a value within the permitted range" sqref="C14 C15">
      <formula1>0</formula1>
      <formula2>24</formula2>
    </dataValidation>
    <dataValidation type="decimal" showErrorMessage="1" errorTitle="Invalid value" error="Enter a value within the permitted range" sqref="C16">
      <formula1>1</formula1>
      <formula2>10</formula2>
    </dataValidation>
    <dataValidation type="decimal" showErrorMessage="1" errorTitle="Invalid value" error="Enter a value within the permitted range" sqref="C17 C18 C20 C22">
      <formula1>0</formula1>
      <formula2>10</formula2>
    </dataValidation>
    <dataValidation type="whole" showErrorMessage="1" errorTitle="Invalid value" error="Enter a value within the permitted range" sqref="C19 C21">
      <formula1>0</formula1>
      <formula2>40</formula2>
    </dataValidation>
    <dataValidation type="whole" showErrorMessage="1" errorTitle="Invalid value" error="Enter a value within the permitted range" sqref="C24">
      <formula1>2000</formula1>
      <formula2>2100</formula2>
    </dataValidation>
    <dataValidation type="decimal" showErrorMessage="1" errorTitle="Invalid value" error="Enter a value within the permitted range" sqref="C26">
      <formula1>0</formula1>
      <formula2>1000</formula2>
    </dataValidation>
  </dataValidations>
  <pageMargins left="0.7" right="0.7" top="0.75" bottom="0.75" header="0.3" footer="0.3"/>
  <pageSetup orientation="landscape" paperSize="8" fitToWidth="1" fitToHeight="0"/>
</worksheet>
</file>

<file path=xl/worksheets/sheet3.xml><?xml version="1.0" encoding="utf-8"?>
<worksheet xmlns="http://schemas.openxmlformats.org/spreadsheetml/2006/main">
  <sheetPr>
    <tabColor rgb="FF16324F"/>
    <pageSetUpPr fitToPage="1"/>
  </sheetPr>
  <dimension ref="A1:AL1090"/>
  <sheetViews>
    <sheetView showGridLines="0" zoomScale="85" zoomScaleNormal="100" workbookViewId="0" tabSelected="0">
      <pane ySplit="5" topLeftCell="A6" activePane="bottomLeft" state="frozen"/>
      <selection pane="bottomLeft" activeCell="E17" sqref="E17"/>
    </sheetView>
  </sheetViews>
  <sheetFormatPr defaultColWidth="8.42578125" defaultRowHeight="12.75"/>
  <cols>
    <col min="1" max="1" width="43" customWidth="1"/>
    <col min="2" max="2" width="13" customWidth="1"/>
    <col min="3" max="5" width="29" customWidth="1"/>
    <col min="6" max="21" width="17" customWidth="1"/>
    <col min="8" max="8" width="43" hidden="0" customWidth="1"/>
    <col min="9" max="9" width="13" hidden="0" customWidth="1"/>
    <col min="10" max="10" width="29" hidden="0" customWidth="1"/>
    <col min="11" max="11" width="29" hidden="0" customWidth="1"/>
    <col min="12" max="12" width="29" hidden="0" customWidth="1"/>
    <col min="23" max="23" width="43" hidden="0" customWidth="1"/>
    <col min="24" max="24" width="13" hidden="0" customWidth="1"/>
    <col min="25" max="25" width="27" hidden="0" customWidth="1"/>
    <col min="26" max="26" width="27" hidden="0" customWidth="1"/>
    <col min="27" max="27" width="27" hidden="0" customWidth="1"/>
    <col min="28" max="28" width="27" hidden="0" customWidth="1"/>
    <col min="29" max="29" width="27" hidden="0" customWidth="1"/>
    <col min="30" max="30" width="27" hidden="0" customWidth="1"/>
    <col min="31" max="31" width="27" hidden="0" customWidth="1"/>
    <col min="32" max="32" width="27" hidden="0" customWidth="1"/>
    <col min="33" max="33" width="4" hidden="0" customWidth="1"/>
    <col min="34" max="34" width="14" hidden="0" customWidth="1"/>
    <col min="35" max="35" width="14" hidden="0" customWidth="1"/>
    <col min="36" max="36" width="14" hidden="0" customWidth="1"/>
    <col min="37" max="37" width="25" hidden="0" customWidth="1"/>
    <col min="38" max="38" width="25" hidden="0" customWidth="1"/>
  </cols>
  <sheetData>
    <row r="1" ht="23.100000381469727" customHeight="1">
      <c r="A1" s="5"/>
      <c r="B1" s="5"/>
      <c r="C1" s="5"/>
      <c r="D1" s="5"/>
      <c r="E1" s="5"/>
      <c r="F1" s="5"/>
      <c r="G1" s="5"/>
      <c r="H1" s="5"/>
      <c r="I1" s="5"/>
      <c r="J1" s="5"/>
      <c r="K1" s="5"/>
      <c r="L1" s="5"/>
      <c r="M1" s="5"/>
      <c r="N1" s="5"/>
      <c r="O1" s="5"/>
      <c r="P1" s="5"/>
      <c r="Q1" s="5"/>
      <c r="R1" s="5"/>
      <c r="S1" s="5"/>
      <c r="T1" s="5"/>
      <c r="U1" s="5"/>
      <c r="W1" s="44"/>
      <c r="X1" s="44"/>
      <c r="Y1" s="44"/>
      <c r="Z1" s="44"/>
      <c r="AA1" s="44"/>
      <c r="AB1" s="44"/>
      <c r="AC1" s="44"/>
      <c r="AD1" s="44"/>
      <c r="AE1" s="44"/>
      <c r="AF1" s="44"/>
      <c r="AG1" s="44"/>
      <c r="AH1" s="44"/>
      <c r="AI1" s="44"/>
      <c r="AJ1" s="44"/>
      <c r="AK1" s="44"/>
      <c r="AL1" s="44"/>
    </row>
    <row r="2" ht="30" customHeight="1">
      <c r="A2" s="23" t="inlineStr">
        <is>
          <t xml:space="preserve">AVESTA — Scenario Comparison</t>
        </is>
      </c>
      <c r="B2" s="24"/>
      <c r="C2" s="24"/>
      <c r="D2" s="24"/>
      <c r="E2" s="24"/>
      <c r="F2" s="5"/>
      <c r="G2" s="5"/>
      <c r="H2" s="5"/>
      <c r="I2" s="5"/>
      <c r="J2" s="5"/>
      <c r="K2" s="5"/>
      <c r="L2" s="5"/>
      <c r="M2" s="5"/>
      <c r="N2" s="5"/>
      <c r="O2" s="5"/>
      <c r="P2" s="5"/>
      <c r="Q2" s="5"/>
      <c r="R2" s="5"/>
      <c r="S2" s="5"/>
      <c r="T2" s="5"/>
      <c r="U2" s="5"/>
      <c r="W2" s="45" t="str">
        <v>El Mo3alem - eight source scenarios</v>
      </c>
      <c r="X2" s="44"/>
      <c r="Y2" s="44"/>
      <c r="Z2" s="44"/>
      <c r="AA2" s="44"/>
      <c r="AB2" s="44"/>
      <c r="AC2" s="44"/>
      <c r="AD2" s="44"/>
      <c r="AE2" s="44"/>
      <c r="AF2" s="44"/>
      <c r="AG2" s="44"/>
      <c r="AH2" s="81" t="str">
        <v>Shared assumptions and reproduction notes</v>
      </c>
      <c r="AI2" s="44"/>
      <c r="AJ2" s="44"/>
      <c r="AK2" s="44"/>
      <c r="AL2" s="44"/>
    </row>
    <row r="3" ht="44.099998474121094" customHeight="1">
      <c r="A3" s="19" t="inlineStr">
        <is>
          <t xml:space="preserve">Three manually selected configurations. Financial results are indicative; no automatic size optimization.</t>
        </is>
      </c>
      <c r="B3" s="20"/>
      <c r="C3" s="20"/>
      <c r="D3" s="20"/>
      <c r="E3" s="20"/>
      <c r="F3" s="5"/>
      <c r="G3" s="5"/>
      <c r="H3" s="5"/>
      <c r="I3" s="5"/>
      <c r="J3" s="5"/>
      <c r="K3" s="5"/>
      <c r="L3" s="5"/>
      <c r="M3" s="5"/>
      <c r="N3" s="5"/>
      <c r="O3" s="5"/>
      <c r="P3" s="5"/>
      <c r="Q3" s="5"/>
      <c r="R3" s="5"/>
      <c r="S3" s="5"/>
      <c r="T3" s="5"/>
      <c r="U3" s="5"/>
      <c r="W3" s="44" t="str">
        <v>STATIC SNAPSHOTS - captured 22 Oct 2026. These results do not update automatically. Re-run and verify each scenario after changing any recorded input or assumption.</v>
      </c>
      <c r="X3" s="44"/>
      <c r="Y3" s="44"/>
      <c r="Z3" s="44"/>
      <c r="AA3" s="44"/>
      <c r="AB3" s="44"/>
      <c r="AC3" s="44"/>
      <c r="AD3" s="44"/>
      <c r="AE3" s="44"/>
      <c r="AF3" s="44"/>
      <c r="AG3" s="44"/>
      <c r="AH3" s="44"/>
      <c r="AI3" s="44"/>
      <c r="AJ3" s="44"/>
      <c r="AK3" s="44"/>
      <c r="AL3" s="44"/>
    </row>
    <row r="4" ht="23.100000381469727" customHeight="1">
      <c r="A4" s="5"/>
      <c r="B4" s="5"/>
      <c r="C4" s="5"/>
      <c r="D4" s="5"/>
      <c r="E4" s="5"/>
      <c r="F4" s="5"/>
      <c r="G4" s="5"/>
      <c r="H4" s="5"/>
      <c r="I4" s="5"/>
      <c r="J4" s="5"/>
      <c r="K4" s="5"/>
      <c r="L4" s="5"/>
      <c r="M4" s="5"/>
      <c r="N4" s="5"/>
      <c r="O4" s="5"/>
      <c r="P4" s="5"/>
      <c r="Q4" s="5"/>
      <c r="R4" s="5"/>
      <c r="S4" s="5"/>
      <c r="T4" s="5"/>
      <c r="U4" s="5"/>
      <c r="W4" s="70" t="str">
        <v>Scenario</v>
      </c>
      <c r="X4" s="70" t="str"/>
      <c r="Y4" s="71" t="str">
        <v>Scenario 1</v>
      </c>
      <c r="Z4" s="71" t="str">
        <v>Scenario 2</v>
      </c>
      <c r="AA4" s="71" t="str">
        <v>Scenario 3</v>
      </c>
      <c r="AB4" s="71" t="str">
        <v>Scenario 4</v>
      </c>
      <c r="AC4" s="71" t="str">
        <v>Scenario 5</v>
      </c>
      <c r="AD4" s="71" t="str">
        <v>Scenario 6</v>
      </c>
      <c r="AE4" s="71" t="str">
        <v>Scenario 7</v>
      </c>
      <c r="AF4" s="71" t="str">
        <v>Scenario 8</v>
      </c>
      <c r="AG4" s="44"/>
      <c r="AH4" s="46" t="str">
        <v>Capture date</v>
      </c>
      <c r="AI4" s="46"/>
      <c r="AJ4" s="46"/>
      <c r="AK4" s="46" t="str">
        <v>2026-10-22</v>
      </c>
      <c r="AL4" s="46"/>
    </row>
    <row r="5" ht="45.95000076293945" customHeight="1">
      <c r="A5" s="14" t="inlineStr">
        <is>
          <t xml:space="preserve">Metric</t>
        </is>
      </c>
      <c r="B5" s="14" t="inlineStr">
        <is>
          <t xml:space="preserve">Unit</t>
        </is>
      </c>
      <c r="C5" s="14" t="inlineStr">
        <is>
          <t xml:space="preserve">Solar only</t>
        </is>
      </c>
      <c r="D5" s="14" t="inlineStr">
        <is>
          <t xml:space="preserve">Battery only</t>
        </is>
      </c>
      <c r="E5" s="14" t="inlineStr">
        <is>
          <t xml:space="preserve">Solar and battery</t>
        </is>
      </c>
      <c r="F5" s="5"/>
      <c r="G5" s="5"/>
      <c r="H5" s="3"/>
      <c r="I5" s="5"/>
      <c r="J5" s="5"/>
      <c r="K5" s="5"/>
      <c r="L5" s="5"/>
      <c r="M5" s="5"/>
      <c r="N5" s="5"/>
      <c r="O5" s="5"/>
      <c r="P5" s="5"/>
      <c r="Q5" s="5"/>
      <c r="R5" s="5"/>
      <c r="S5" s="5"/>
      <c r="T5" s="5"/>
      <c r="U5" s="5"/>
      <c r="W5" s="44" t="str">
        <v>Source design</v>
      </c>
      <c r="X5" s="44" t="str"/>
      <c r="Y5" s="72" t="str">
        <v>25 kW solar only</v>
      </c>
      <c r="Z5" s="72" t="str">
        <v>10 kWh battery</v>
      </c>
      <c r="AA5" s="72" t="str">
        <v>10 m2 + 10 kWh</v>
      </c>
      <c r="AB5" s="72" t="str">
        <v>25 m2 + 10 kWh</v>
      </c>
      <c r="AC5" s="72" t="str">
        <v>50 m2 + 20 kWh</v>
      </c>
      <c r="AD5" s="72" t="str">
        <v>10 m2 + 30 kWh</v>
      </c>
      <c r="AE5" s="72" t="str">
        <v>50 m2 + 50 kWh</v>
      </c>
      <c r="AF5" s="72" t="str">
        <v>10 m2 + 50 kWh</v>
      </c>
      <c r="AG5" s="44"/>
      <c r="AH5" s="44" t="str">
        <v>Recalculation engine</v>
      </c>
      <c r="AI5" s="44"/>
      <c r="AJ5" s="44"/>
      <c r="AK5" s="44" t="str">
        <v>LibreOffice; every case recalculated before capture</v>
      </c>
      <c r="AL5" s="44"/>
    </row>
    <row r="6" ht="45.95000076293945" customHeight="1">
      <c r="A6" s="4" t="inlineStr">
        <is>
          <t xml:space="preserve">Configuration status</t>
        </is>
      </c>
      <c r="B6" s="5"/>
      <c r="C6" s="88" t="str">
        <f>IF(COUNTIFS(C926:C980,"ERROR:*")&gt;0,"ERROR - see C926:C980",IF(COUNTIFS(C926:C980,"WARNING:*")&gt;0,"Valid with warnings - see checks","Valid for indicative calculation"))</f>
        <v>Valid with warnings - see checks</v>
      </c>
      <c r="D6" s="88" t="str">
        <f>IF(COUNTIFS(G926:G980,"ERROR:*")&gt;0,"ERROR - see G926:G980",IF(COUNTIFS(G926:G980,"WARNING:*")&gt;0,"Valid with warnings - see checks","Valid for indicative calculation"))</f>
        <v>Valid with warnings - see checks</v>
      </c>
      <c r="E6" s="88" t="str">
        <f>IF(COUNTIFS(K926:K980,"ERROR:*")&gt;0,"ERROR - see K926:K980",IF(COUNTIFS(K926:K980,"WARNING:*")&gt;0,"Valid with warnings - see checks","Valid for indicative calculation"))</f>
        <v>Valid with warnings - see checks</v>
      </c>
      <c r="F6" s="5"/>
      <c r="G6" s="5"/>
      <c r="H6" s="3"/>
      <c r="I6" s="5"/>
      <c r="J6" s="5"/>
      <c r="K6" s="5"/>
      <c r="L6" s="5"/>
      <c r="M6" s="5"/>
      <c r="N6" s="5"/>
      <c r="O6" s="5"/>
      <c r="P6" s="5"/>
      <c r="Q6" s="5"/>
      <c r="R6" s="5"/>
      <c r="S6" s="5"/>
      <c r="T6" s="5"/>
      <c r="U6" s="5"/>
      <c r="W6" s="46" t="str">
        <v>Model column</v>
      </c>
      <c r="X6" s="46" t="str"/>
      <c r="Y6" s="73" t="str">
        <v>Solar only</v>
      </c>
      <c r="Z6" s="73" t="str">
        <v>Battery only</v>
      </c>
      <c r="AA6" s="73" t="str">
        <v>Solar and battery</v>
      </c>
      <c r="AB6" s="73" t="str">
        <v>Solar and battery</v>
      </c>
      <c r="AC6" s="73" t="str">
        <v>Solar and battery</v>
      </c>
      <c r="AD6" s="73" t="str">
        <v>Solar and battery</v>
      </c>
      <c r="AE6" s="73" t="str">
        <v>Solar and battery</v>
      </c>
      <c r="AF6" s="73" t="str">
        <v>Solar and battery</v>
      </c>
      <c r="AG6" s="44"/>
      <c r="AH6" s="46" t="str">
        <v>Consumption source</v>
      </c>
      <c r="AI6" s="46"/>
      <c r="AJ6" s="46"/>
      <c r="AK6" s="46" t="str">
        <v>Verified receipt: 2,421 kWh and EGP 8,279. August 2026.</v>
      </c>
      <c r="AL6" s="46"/>
    </row>
    <row r="7" ht="33.95000076293945" customHeight="1">
      <c r="A7" s="4" t="inlineStr">
        <is>
          <t xml:space="preserve">PV capacity</t>
        </is>
      </c>
      <c r="B7" s="13" t="inlineStr">
        <is>
          <t xml:space="preserve">kWp</t>
        </is>
      </c>
      <c r="C7" s="5" t="n">
        <f>C51</f>
        <v>8.8</v>
      </c>
      <c r="D7" s="5" t="n">
        <f>D51</f>
        <v>0</v>
      </c>
      <c r="E7" s="5" t="n">
        <f>E51</f>
        <v>11</v>
      </c>
      <c r="F7" s="5"/>
      <c r="G7" s="5"/>
      <c r="H7" s="21" t="inlineStr">
        <is>
          <t xml:space="preserve">Equipment and quantities — edit yellow cells</t>
        </is>
      </c>
      <c r="I7" s="22"/>
      <c r="J7" s="22"/>
      <c r="K7" s="22"/>
      <c r="L7" s="22"/>
      <c r="M7" s="5"/>
      <c r="N7" s="5"/>
      <c r="O7" s="5"/>
      <c r="P7" s="5"/>
      <c r="Q7" s="5"/>
      <c r="R7" s="5"/>
      <c r="S7" s="5"/>
      <c r="T7" s="5"/>
      <c r="U7" s="5"/>
      <c r="W7" s="44" t="str">
        <v>Implemented scope</v>
      </c>
      <c r="X7" s="44" t="str"/>
      <c r="Y7" s="44" t="str">
        <v>PV self-use; no export</v>
      </c>
      <c r="Z7" s="44" t="str">
        <v>Backup only</v>
      </c>
      <c r="AA7" s="44" t="str">
        <v>PV self-use + backup</v>
      </c>
      <c r="AB7" s="44" t="str">
        <v>PV self-use + backup</v>
      </c>
      <c r="AC7" s="44" t="str">
        <v>PV self-use + backup</v>
      </c>
      <c r="AD7" s="44" t="str">
        <v>Partial: PV + backup</v>
      </c>
      <c r="AE7" s="44" t="str">
        <v>Partial: PV + backup</v>
      </c>
      <c r="AF7" s="44" t="str">
        <v>Partial: PV + backup</v>
      </c>
      <c r="AG7" s="44"/>
      <c r="AH7" s="44" t="str">
        <v>Billing interval</v>
      </c>
      <c r="AI7" s="44"/>
      <c r="AJ7" s="44"/>
      <c r="AK7" s="44" t="str">
        <v>30-day planning assumption; actual interval unconfirmed</v>
      </c>
      <c r="AL7" s="44"/>
    </row>
    <row r="8" ht="33.95000076293945" customHeight="1">
      <c r="A8" s="4" t="inlineStr">
        <is>
          <t xml:space="preserve">Nominal battery capacity</t>
        </is>
      </c>
      <c r="B8" s="13" t="inlineStr">
        <is>
          <t xml:space="preserve">kWh</t>
        </is>
      </c>
      <c r="C8" s="5" t="n">
        <f>C52</f>
        <v>0</v>
      </c>
      <c r="D8" s="5" t="n">
        <f>D52</f>
        <v>16</v>
      </c>
      <c r="E8" s="5" t="n">
        <f>E52</f>
        <v>16</v>
      </c>
      <c r="F8" s="5"/>
      <c r="G8" s="5"/>
      <c r="H8" s="32" t="inlineStr">
        <is>
          <t xml:space="preserve">Setting</t>
        </is>
      </c>
      <c r="I8" s="32" t="inlineStr">
        <is>
          <t xml:space="preserve">Unit</t>
        </is>
      </c>
      <c r="J8" s="32" t="inlineStr">
        <is>
          <t xml:space="preserve">Solar only</t>
        </is>
      </c>
      <c r="K8" s="32" t="inlineStr">
        <is>
          <t xml:space="preserve">Battery only</t>
        </is>
      </c>
      <c r="L8" s="32" t="inlineStr">
        <is>
          <t xml:space="preserve">Solar and battery</t>
        </is>
      </c>
      <c r="M8" s="5"/>
      <c r="N8" s="5"/>
      <c r="O8" s="5"/>
      <c r="P8" s="5"/>
      <c r="Q8" s="5"/>
      <c r="R8" s="5"/>
      <c r="S8" s="5"/>
      <c r="T8" s="5"/>
      <c r="U8" s="5"/>
      <c r="W8" s="46" t="str">
        <v>Design status</v>
      </c>
      <c r="X8" s="46" t="str"/>
      <c r="Y8" s="76" t="str">
        <v>Roof / hardware unverified</v>
      </c>
      <c r="Z8" s="76" t="str">
        <v>Backup overload (3 &lt; 4 kW)</v>
      </c>
      <c r="AA8" s="76" t="str">
        <v>Roof conflict</v>
      </c>
      <c r="AB8" s="76" t="str">
        <v>Roof conflict</v>
      </c>
      <c r="AC8" s="76" t="str">
        <v>Roof conflict</v>
      </c>
      <c r="AD8" s="76" t="str">
        <v>Roof conflict; scope incomplete</v>
      </c>
      <c r="AE8" s="76" t="str">
        <v>Roof conflict; scope incomplete</v>
      </c>
      <c r="AF8" s="76" t="str">
        <v>Roof conflict; scope incomplete</v>
      </c>
      <c r="AG8" s="44"/>
      <c r="AH8" s="46" t="str">
        <v>Forecast calendar start</v>
      </c>
      <c r="AI8" s="46"/>
      <c r="AJ8" s="46"/>
      <c r="AK8" s="48" t="n">
        <v>2027</v>
      </c>
      <c r="AL8" s="46"/>
    </row>
    <row r="9" ht="33.95000076293945" customHeight="1">
      <c r="A9" s="4" t="inlineStr">
        <is>
          <t xml:space="preserve">Inverter capacity</t>
        </is>
      </c>
      <c r="B9" s="13" t="inlineStr">
        <is>
          <t xml:space="preserve">kW</t>
        </is>
      </c>
      <c r="C9" s="5" t="n">
        <f>C53</f>
        <v>10</v>
      </c>
      <c r="D9" s="5" t="n">
        <f>D53</f>
        <v>5</v>
      </c>
      <c r="E9" s="5" t="n">
        <f>E53</f>
        <v>12</v>
      </c>
      <c r="F9" s="5"/>
      <c r="G9" s="5"/>
      <c r="H9" s="33" t="inlineStr">
        <is>
          <t xml:space="preserve">Panel model</t>
        </is>
      </c>
      <c r="I9" s="34"/>
      <c r="J9" s="35" t="inlineStr">
        <is>
          <t xml:space="preserve">PV550</t>
        </is>
      </c>
      <c r="K9" s="35" t="inlineStr">
        <is>
          <t xml:space="preserve">PV550</t>
        </is>
      </c>
      <c r="L9" s="35" t="inlineStr">
        <is>
          <t xml:space="preserve">PV550</t>
        </is>
      </c>
      <c r="M9" s="5"/>
      <c r="N9" s="5"/>
      <c r="O9" s="5"/>
      <c r="P9" s="5"/>
      <c r="Q9" s="5"/>
      <c r="R9" s="5"/>
      <c r="S9" s="5"/>
      <c r="T9" s="5"/>
      <c r="U9" s="5"/>
      <c r="W9" s="44" t="str">
        <v>Manager document location</v>
      </c>
      <c r="X9" s="44" t="str"/>
      <c r="Y9" s="44" t="str">
        <v>PART 3 / SCENARIO 1</v>
      </c>
      <c r="Z9" s="44" t="str">
        <v>PART 3 / SCENARIO 2</v>
      </c>
      <c r="AA9" s="44" t="str">
        <v>PART 3 / SCENARIO 3</v>
      </c>
      <c r="AB9" s="44" t="str">
        <v>PART 3 / SCENARIO 4</v>
      </c>
      <c r="AC9" s="44" t="str">
        <v>PART 3 / SCENARIO 5</v>
      </c>
      <c r="AD9" s="44" t="str">
        <v>PART 3 / SCENARIO 6</v>
      </c>
      <c r="AE9" s="44" t="str">
        <v>PART 3 / SCENARIO 7</v>
      </c>
      <c r="AF9" s="44" t="str">
        <v>PART 3 / SCENARIO 8</v>
      </c>
      <c r="AG9" s="44"/>
      <c r="AH9" s="44" t="str">
        <v>Study period (years)</v>
      </c>
      <c r="AI9" s="44"/>
      <c r="AJ9" s="44"/>
      <c r="AK9" s="47" t="n">
        <v>10</v>
      </c>
      <c r="AL9" s="44"/>
    </row>
    <row r="10" ht="33.95000076293945" customHeight="1">
      <c r="A10" s="4" t="inlineStr">
        <is>
          <t xml:space="preserve">Required roof area</t>
        </is>
      </c>
      <c r="B10" s="13" t="inlineStr">
        <is>
          <t xml:space="preserve">m²</t>
        </is>
      </c>
      <c r="C10" s="5" t="n">
        <f>C59</f>
        <v>62.4</v>
      </c>
      <c r="D10" s="5" t="n">
        <f>D59</f>
        <v>0</v>
      </c>
      <c r="E10" s="5" t="n">
        <f>E59</f>
        <v>78</v>
      </c>
      <c r="F10" s="5"/>
      <c r="G10" s="5"/>
      <c r="H10" s="33" t="inlineStr">
        <is>
          <t xml:space="preserve">Panel quantity</t>
        </is>
      </c>
      <c r="I10" s="34"/>
      <c r="J10" s="36" t="n">
        <v>16</v>
      </c>
      <c r="K10" s="36" t="n">
        <v>0</v>
      </c>
      <c r="L10" s="36" t="n">
        <v>20</v>
      </c>
      <c r="M10" s="5"/>
      <c r="N10" s="5"/>
      <c r="O10" s="5"/>
      <c r="P10" s="5"/>
      <c r="Q10" s="5"/>
      <c r="R10" s="5"/>
      <c r="S10" s="5"/>
      <c r="T10" s="5"/>
      <c r="U10" s="5"/>
      <c r="W10" s="75" t="str">
        <v>Recorded inputs and equipment</v>
      </c>
      <c r="X10" s="74"/>
      <c r="Y10" s="74"/>
      <c r="Z10" s="74"/>
      <c r="AA10" s="74"/>
      <c r="AB10" s="74"/>
      <c r="AC10" s="74"/>
      <c r="AD10" s="74"/>
      <c r="AE10" s="74"/>
      <c r="AF10" s="74"/>
      <c r="AG10" s="44"/>
      <c r="AH10" s="46" t="str">
        <v>Discount rate</v>
      </c>
      <c r="AI10" s="46"/>
      <c r="AJ10" s="46"/>
      <c r="AK10" s="82" t="n">
        <v>0.1</v>
      </c>
      <c r="AL10" s="46"/>
    </row>
    <row r="11" ht="33.95000076293945" customHeight="1">
      <c r="A11" s="4" t="inlineStr">
        <is>
          <t xml:space="preserve">Initial investment</t>
        </is>
      </c>
      <c r="B11" s="13" t="inlineStr">
        <is>
          <t xml:space="preserve">EGP</t>
        </is>
      </c>
      <c r="C11" s="5" t="n">
        <f>C64</f>
        <v>143440</v>
      </c>
      <c r="D11" s="5" t="n">
        <f>D64</f>
        <v>273064</v>
      </c>
      <c r="E11" s="5" t="n">
        <f>E64</f>
        <v>416064</v>
      </c>
      <c r="F11" s="5"/>
      <c r="G11" s="5"/>
      <c r="H11" s="33" t="inlineStr">
        <is>
          <t xml:space="preserve">Battery model</t>
        </is>
      </c>
      <c r="I11" s="34"/>
      <c r="J11" s="35" t="inlineStr">
        <is>
          <t xml:space="preserve">BAT16</t>
        </is>
      </c>
      <c r="K11" s="35" t="inlineStr">
        <is>
          <t xml:space="preserve">BAT16</t>
        </is>
      </c>
      <c r="L11" s="35" t="inlineStr">
        <is>
          <t xml:space="preserve">BAT16</t>
        </is>
      </c>
      <c r="M11" s="5"/>
      <c r="N11" s="5"/>
      <c r="O11" s="5"/>
      <c r="P11" s="5"/>
      <c r="Q11" s="5"/>
      <c r="R11" s="5"/>
      <c r="S11" s="5"/>
      <c r="T11" s="5"/>
      <c r="U11" s="5"/>
      <c r="W11" s="44" t="str">
        <v>Input mode</v>
      </c>
      <c r="X11" s="44" t="str"/>
      <c r="Y11" s="44" t="str">
        <v>Bill and consumption</v>
      </c>
      <c r="Z11" s="44" t="str">
        <v>Bill and consumption</v>
      </c>
      <c r="AA11" s="44" t="str">
        <v>Bill and consumption</v>
      </c>
      <c r="AB11" s="44" t="str">
        <v>Bill and consumption</v>
      </c>
      <c r="AC11" s="44" t="str">
        <v>Bill and consumption</v>
      </c>
      <c r="AD11" s="44" t="str">
        <v>Bill and consumption</v>
      </c>
      <c r="AE11" s="44" t="str">
        <v>Bill and consumption</v>
      </c>
      <c r="AF11" s="44" t="str">
        <v>Bill and consumption</v>
      </c>
      <c r="AG11" s="44"/>
      <c r="AH11" s="44" t="str">
        <v>Tariff escalation</v>
      </c>
      <c r="AI11" s="44"/>
      <c r="AJ11" s="44"/>
      <c r="AK11" s="83" t="n">
        <v>0</v>
      </c>
      <c r="AL11" s="44"/>
    </row>
    <row r="12" ht="33.95000076293945" customHeight="1">
      <c r="A12" s="4" t="inlineStr">
        <is>
          <t xml:space="preserve">Year 1 solar generation</t>
        </is>
      </c>
      <c r="B12" s="13" t="inlineStr">
        <is>
          <t xml:space="preserve">kWh</t>
        </is>
      </c>
      <c r="C12" s="5" t="n">
        <f>SUM(F161:F172)</f>
        <v>16001.656</v>
      </c>
      <c r="D12" s="5" t="n">
        <f>SUM(F411:F422)</f>
        <v>0</v>
      </c>
      <c r="E12" s="5" t="n">
        <f>SUM(F661:F672)</f>
        <v>20002.07</v>
      </c>
      <c r="F12" s="5"/>
      <c r="G12" s="5"/>
      <c r="H12" s="33" t="inlineStr">
        <is>
          <t xml:space="preserve">Battery unit quantity</t>
        </is>
      </c>
      <c r="I12" s="34"/>
      <c r="J12" s="36" t="n">
        <v>0</v>
      </c>
      <c r="K12" s="36" t="n">
        <v>1</v>
      </c>
      <c r="L12" s="36" t="n">
        <v>1</v>
      </c>
      <c r="M12" s="5"/>
      <c r="N12" s="5"/>
      <c r="O12" s="5"/>
      <c r="P12" s="5"/>
      <c r="Q12" s="5"/>
      <c r="R12" s="5"/>
      <c r="S12" s="5"/>
      <c r="T12" s="5"/>
      <c r="U12" s="5"/>
      <c r="W12" s="46" t="str">
        <v>Measured monthly consumption</v>
      </c>
      <c r="X12" s="46" t="str">
        <v>kWh</v>
      </c>
      <c r="Y12" s="48" t="n">
        <v>2421</v>
      </c>
      <c r="Z12" s="48" t="n">
        <v>2421</v>
      </c>
      <c r="AA12" s="48" t="n">
        <v>2421</v>
      </c>
      <c r="AB12" s="48" t="n">
        <v>2421</v>
      </c>
      <c r="AC12" s="48" t="n">
        <v>2421</v>
      </c>
      <c r="AD12" s="48" t="n">
        <v>2421</v>
      </c>
      <c r="AE12" s="48" t="n">
        <v>2421</v>
      </c>
      <c r="AF12" s="48" t="n">
        <v>2421</v>
      </c>
      <c r="AG12" s="44"/>
      <c r="AH12" s="46" t="str">
        <v>Cost escalation</v>
      </c>
      <c r="AI12" s="46"/>
      <c r="AJ12" s="46"/>
      <c r="AK12" s="82" t="n">
        <v>0</v>
      </c>
      <c r="AL12" s="46"/>
    </row>
    <row r="13" ht="33.95000076293945" customHeight="1">
      <c r="A13" s="4" t="inlineStr">
        <is>
          <t xml:space="preserve">Year 1 baseline bill</t>
        </is>
      </c>
      <c r="B13" s="13" t="inlineStr">
        <is>
          <t xml:space="preserve">EGP</t>
        </is>
      </c>
      <c r="C13" s="5" t="n">
        <f>$B$79</f>
        <v>83544.51</v>
      </c>
      <c r="D13" s="5" t="n">
        <f>$B$79</f>
        <v>83544.51</v>
      </c>
      <c r="E13" s="5" t="n">
        <f>$B$79</f>
        <v>83544.51</v>
      </c>
      <c r="F13" s="5"/>
      <c r="G13" s="5"/>
      <c r="H13" s="33" t="inlineStr">
        <is>
          <t xml:space="preserve">Inverter model</t>
        </is>
      </c>
      <c r="I13" s="34"/>
      <c r="J13" s="35" t="inlineStr">
        <is>
          <t xml:space="preserve">GRID10</t>
        </is>
      </c>
      <c r="K13" s="35" t="inlineStr">
        <is>
          <t xml:space="preserve">HYB5</t>
        </is>
      </c>
      <c r="L13" s="35" t="inlineStr">
        <is>
          <t xml:space="preserve">HYB12</t>
        </is>
      </c>
      <c r="M13" s="5"/>
      <c r="N13" s="5"/>
      <c r="O13" s="5"/>
      <c r="P13" s="5"/>
      <c r="Q13" s="5"/>
      <c r="R13" s="5"/>
      <c r="S13" s="5"/>
      <c r="T13" s="5"/>
      <c r="U13" s="5"/>
      <c r="W13" s="44" t="str">
        <v>Recorded monthly payment</v>
      </c>
      <c r="X13" s="44" t="str">
        <v>EGP</v>
      </c>
      <c r="Y13" s="47" t="n">
        <v>8279</v>
      </c>
      <c r="Z13" s="47" t="n">
        <v>8279</v>
      </c>
      <c r="AA13" s="47" t="n">
        <v>8279</v>
      </c>
      <c r="AB13" s="47" t="n">
        <v>8279</v>
      </c>
      <c r="AC13" s="47" t="n">
        <v>8279</v>
      </c>
      <c r="AD13" s="47" t="n">
        <v>8279</v>
      </c>
      <c r="AE13" s="47" t="n">
        <v>8279</v>
      </c>
      <c r="AF13" s="47" t="n">
        <v>8279</v>
      </c>
      <c r="AG13" s="44"/>
      <c r="AH13" s="44" t="str">
        <v>PV degradation per year</v>
      </c>
      <c r="AI13" s="44"/>
      <c r="AJ13" s="44"/>
      <c r="AK13" s="83" t="n">
        <v>0.005</v>
      </c>
      <c r="AL13" s="44"/>
    </row>
    <row r="14" ht="34" customHeight="1">
      <c r="A14" s="4" t="inlineStr">
        <is>
          <t xml:space="preserve">Year 1 bill after installation</t>
        </is>
      </c>
      <c r="B14" s="13" t="inlineStr">
        <is>
          <t xml:space="preserve">EGP</t>
        </is>
      </c>
      <c r="C14" s="5" t="n">
        <f>IF(C65=1,SUM(N161:N172),"Invalid")</f>
        <v>42587.26428</v>
      </c>
      <c r="D14" s="5" t="n">
        <f>IF(D65=1,SUM(N411:N422),"Invalid")</f>
        <v>83544.51</v>
      </c>
      <c r="E14" s="5" t="n">
        <f>IF(E65=1,SUM(N661:N672),"Invalid")</f>
        <v>31310.4202981875</v>
      </c>
      <c r="F14" s="5"/>
      <c r="G14" s="5"/>
      <c r="H14" s="33" t="inlineStr">
        <is>
          <t xml:space="preserve">Reserved share of usable capacity</t>
        </is>
      </c>
      <c r="I14" s="33" t="inlineStr">
        <is>
          <t xml:space="preserve">%</t>
        </is>
      </c>
      <c r="J14" s="37" t="n">
        <v>0.2</v>
      </c>
      <c r="K14" s="37" t="n">
        <v>1</v>
      </c>
      <c r="L14" s="37" t="n">
        <v>0.2</v>
      </c>
      <c r="M14" s="5"/>
      <c r="N14" s="5"/>
      <c r="O14" s="5"/>
      <c r="P14" s="5"/>
      <c r="Q14" s="5"/>
      <c r="R14" s="5"/>
      <c r="S14" s="5"/>
      <c r="T14" s="5"/>
      <c r="U14" s="5"/>
      <c r="W14" s="46" t="str">
        <v>Billing period (planning assumption)</v>
      </c>
      <c r="X14" s="46" t="str">
        <v>days</v>
      </c>
      <c r="Y14" s="50" t="n">
        <v>30</v>
      </c>
      <c r="Z14" s="50" t="n">
        <v>30</v>
      </c>
      <c r="AA14" s="50" t="n">
        <v>30</v>
      </c>
      <c r="AB14" s="50" t="n">
        <v>30</v>
      </c>
      <c r="AC14" s="50" t="n">
        <v>30</v>
      </c>
      <c r="AD14" s="50" t="n">
        <v>30</v>
      </c>
      <c r="AE14" s="50" t="n">
        <v>30</v>
      </c>
      <c r="AF14" s="50" t="n">
        <v>30</v>
      </c>
      <c r="AG14" s="44"/>
      <c r="AH14" s="46" t="str">
        <v>Charge efficiency</v>
      </c>
      <c r="AI14" s="46"/>
      <c r="AJ14" s="46"/>
      <c r="AK14" s="82" t="n">
        <v>0.975</v>
      </c>
      <c r="AL14" s="46"/>
    </row>
    <row r="15" ht="34" customHeight="1">
      <c r="A15" s="4" t="inlineStr">
        <is>
          <t xml:space="preserve">Year 1 bill savings</t>
        </is>
      </c>
      <c r="B15" s="13" t="inlineStr">
        <is>
          <t xml:space="preserve">EGP</t>
        </is>
      </c>
      <c r="C15" s="5" t="n">
        <f>IF(C65=1,SUM(O161:O172),"Invalid")</f>
        <v>40957.24572</v>
      </c>
      <c r="D15" s="5" t="n">
        <f>IF(D65=1,SUM(O411:O422),"Invalid")</f>
        <v>0</v>
      </c>
      <c r="E15" s="5" t="n">
        <f>IF(E65=1,SUM(O661:O672),"Invalid")</f>
        <v>52234.0897018125</v>
      </c>
      <c r="F15" s="5"/>
      <c r="G15" s="5"/>
      <c r="H15" s="33" t="inlineStr">
        <is>
          <t xml:space="preserve">Battery-only operating mode</t>
        </is>
      </c>
      <c r="I15" s="34"/>
      <c r="J15" s="35" t="inlineStr">
        <is>
          <t xml:space="preserve">Backup</t>
        </is>
      </c>
      <c r="K15" s="35" t="inlineStr">
        <is>
          <t xml:space="preserve">Backup</t>
        </is>
      </c>
      <c r="L15" s="35" t="inlineStr">
        <is>
          <t xml:space="preserve">Backup</t>
        </is>
      </c>
      <c r="M15" s="5"/>
      <c r="N15" s="5"/>
      <c r="O15" s="5"/>
      <c r="P15" s="5"/>
      <c r="Q15" s="5"/>
      <c r="R15" s="5"/>
      <c r="S15" s="5"/>
      <c r="T15" s="5"/>
      <c r="U15" s="5"/>
      <c r="W15" s="44" t="str">
        <v>Tariff type</v>
      </c>
      <c r="X15" s="44" t="str"/>
      <c r="Y15" s="44" t="str">
        <v>Commercial</v>
      </c>
      <c r="Z15" s="44" t="str">
        <v>Commercial</v>
      </c>
      <c r="AA15" s="44" t="str">
        <v>Commercial</v>
      </c>
      <c r="AB15" s="44" t="str">
        <v>Commercial</v>
      </c>
      <c r="AC15" s="44" t="str">
        <v>Commercial</v>
      </c>
      <c r="AD15" s="44" t="str">
        <v>Commercial</v>
      </c>
      <c r="AE15" s="44" t="str">
        <v>Commercial</v>
      </c>
      <c r="AF15" s="44" t="str">
        <v>Commercial</v>
      </c>
      <c r="AG15" s="44"/>
      <c r="AH15" s="44" t="str">
        <v>Discharge efficiency</v>
      </c>
      <c r="AI15" s="44"/>
      <c r="AJ15" s="44"/>
      <c r="AK15" s="83" t="n">
        <v>0.975</v>
      </c>
      <c r="AL15" s="44"/>
    </row>
    <row r="16" ht="34" customHeight="1">
      <c r="A16" s="4" t="inlineStr">
        <is>
          <t xml:space="preserve">Year 1 savings after maintenance</t>
        </is>
      </c>
      <c r="B16" s="13" t="inlineStr">
        <is>
          <t xml:space="preserve">EGP</t>
        </is>
      </c>
      <c r="C16" s="5" t="n">
        <f>IF(C65=1,C79,"Invalid")</f>
        <v>39522.84572</v>
      </c>
      <c r="D16" s="5" t="n">
        <f>IF(D65=1,G79,"Invalid")</f>
        <v>-2730.64</v>
      </c>
      <c r="E16" s="5" t="n">
        <f>IF(E65=1,K79,"Invalid")</f>
        <v>48073.4497018125</v>
      </c>
      <c r="F16" s="5"/>
      <c r="G16" s="5"/>
      <c r="H16" s="33" t="inlineStr">
        <is>
          <t xml:space="preserve">Grid-charged delivery limit</t>
        </is>
      </c>
      <c r="I16" s="33" t="inlineStr">
        <is>
          <t xml:space="preserve">kWh/day</t>
        </is>
      </c>
      <c r="J16" s="38" t="n">
        <v>8</v>
      </c>
      <c r="K16" s="38" t="n">
        <v>8</v>
      </c>
      <c r="L16" s="38" t="n">
        <v>8</v>
      </c>
      <c r="M16" s="5"/>
      <c r="N16" s="5"/>
      <c r="O16" s="5"/>
      <c r="P16" s="5"/>
      <c r="Q16" s="5"/>
      <c r="R16" s="5"/>
      <c r="S16" s="5"/>
      <c r="T16" s="5"/>
      <c r="U16" s="5"/>
      <c r="W16" s="46" t="str">
        <v>Pricing basis</v>
      </c>
      <c r="X16" s="46" t="str"/>
      <c r="Y16" s="46" t="str">
        <v>Official reference tariff</v>
      </c>
      <c r="Z16" s="46" t="str">
        <v>Official reference tariff</v>
      </c>
      <c r="AA16" s="46" t="str">
        <v>Official reference tariff</v>
      </c>
      <c r="AB16" s="46" t="str">
        <v>Official reference tariff</v>
      </c>
      <c r="AC16" s="46" t="str">
        <v>Official reference tariff</v>
      </c>
      <c r="AD16" s="46" t="str">
        <v>Official reference tariff</v>
      </c>
      <c r="AE16" s="46" t="str">
        <v>Official reference tariff</v>
      </c>
      <c r="AF16" s="46" t="str">
        <v>Official reference tariff</v>
      </c>
      <c r="AG16" s="44"/>
      <c r="AH16" s="46" t="str">
        <v>Combined round-trip efficiency</v>
      </c>
      <c r="AI16" s="46"/>
      <c r="AJ16" s="46"/>
      <c r="AK16" s="82" t="n">
        <v>0.9506249999999999</v>
      </c>
      <c r="AL16" s="46"/>
    </row>
    <row r="17" ht="33.95000076293945" customHeight="1">
      <c r="A17" s="4" t="inlineStr">
        <is>
          <t xml:space="preserve">NPV over study period</t>
        </is>
      </c>
      <c r="B17" s="13" t="inlineStr">
        <is>
          <t xml:space="preserve">EGP</t>
        </is>
      </c>
      <c r="C17" s="5" t="n">
        <f>IF(C65=1,SUM(D78:D98),"Invalid")</f>
        <v>98257.8683585203</v>
      </c>
      <c r="D17" s="5" t="n">
        <f>IF(D65=1,SUM(H78:H98),"Invalid")</f>
        <v>-289842.600721521</v>
      </c>
      <c r="E17" s="5" t="n">
        <f>IF(E65=1,SUM(L78:L98),"Invalid")</f>
        <v>-125124.270735083</v>
      </c>
      <c r="F17" s="5"/>
      <c r="G17" s="5"/>
      <c r="H17" s="3"/>
      <c r="I17" s="5"/>
      <c r="J17" s="5"/>
      <c r="K17" s="5"/>
      <c r="L17" s="5"/>
      <c r="M17" s="5"/>
      <c r="N17" s="5"/>
      <c r="O17" s="5"/>
      <c r="P17" s="5"/>
      <c r="Q17" s="5"/>
      <c r="R17" s="5"/>
      <c r="S17" s="5"/>
      <c r="T17" s="5"/>
      <c r="U17" s="5"/>
      <c r="W17" s="44" t="str">
        <v>Load distribution mode</v>
      </c>
      <c r="X17" s="44" t="str"/>
      <c r="Y17" s="44" t="str">
        <v>Constant load</v>
      </c>
      <c r="Z17" s="44" t="str">
        <v>Constant load</v>
      </c>
      <c r="AA17" s="44" t="str">
        <v>Constant load</v>
      </c>
      <c r="AB17" s="44" t="str">
        <v>Constant load</v>
      </c>
      <c r="AC17" s="44" t="str">
        <v>Constant load</v>
      </c>
      <c r="AD17" s="44" t="str">
        <v>Constant load</v>
      </c>
      <c r="AE17" s="44" t="str">
        <v>Constant load</v>
      </c>
      <c r="AF17" s="44" t="str">
        <v>Constant load</v>
      </c>
      <c r="AG17" s="44"/>
      <c r="AH17" s="44" t="str">
        <v>Daylight hours</v>
      </c>
      <c r="AI17" s="44"/>
      <c r="AJ17" s="44"/>
      <c r="AK17" s="47" t="n">
        <v>12</v>
      </c>
      <c r="AL17" s="44"/>
    </row>
    <row r="18" ht="42" customHeight="1">
      <c r="A18" s="4" t="inlineStr">
        <is>
          <t xml:space="preserve">Simple payback</t>
        </is>
      </c>
      <c r="B18" s="13" t="inlineStr">
        <is>
          <t xml:space="preserve">years</t>
        </is>
      </c>
      <c r="C18" s="3" t="n">
        <f>IF(C65=0,"Invalid",IF(MIN(P79:P98)=999,"Not reached",MIN(P79:P98)))</f>
        <v>3.63301594210593</v>
      </c>
      <c r="D18" s="4" t="str">
        <f>IF(D65=0,"Invalid",IF(MIN(R79:R98)=999,"Not reached",MIN(R79:R98)))</f>
        <v>Not reached</v>
      </c>
      <c r="E18" s="3" t="n">
        <f>IF(E65=0,"Invalid",IF(MIN(T79:T98)=999,"Not reached",MIN(T79:T98)))</f>
        <v>8.79597428733464</v>
      </c>
      <c r="F18" s="5"/>
      <c r="G18" s="5"/>
      <c r="H18" s="39" t="inlineStr">
        <is>
          <t xml:space="preserve">Unused fields: battery for solar-only and PV for battery-only. Grid-cycle mode applies only to the battery-only column.</t>
        </is>
      </c>
      <c r="I18" s="40"/>
      <c r="J18" s="40"/>
      <c r="K18" s="40"/>
      <c r="L18" s="40"/>
      <c r="M18" s="5"/>
      <c r="N18" s="5"/>
      <c r="O18" s="5"/>
      <c r="P18" s="5"/>
      <c r="Q18" s="5"/>
      <c r="R18" s="5"/>
      <c r="S18" s="5"/>
      <c r="T18" s="5"/>
      <c r="U18" s="5"/>
      <c r="W18" s="46" t="str">
        <v>Daytime energy share</v>
      </c>
      <c r="X18" s="46" t="str">
        <v>%</v>
      </c>
      <c r="Y18" s="52" t="n">
        <v>0.5</v>
      </c>
      <c r="Z18" s="52" t="n">
        <v>0.5</v>
      </c>
      <c r="AA18" s="52" t="n">
        <v>0.5</v>
      </c>
      <c r="AB18" s="52" t="n">
        <v>0.5</v>
      </c>
      <c r="AC18" s="52" t="n">
        <v>0.5</v>
      </c>
      <c r="AD18" s="52" t="n">
        <v>0.5</v>
      </c>
      <c r="AE18" s="52" t="n">
        <v>0.5</v>
      </c>
      <c r="AF18" s="52" t="n">
        <v>0.5</v>
      </c>
      <c r="AG18" s="44"/>
      <c r="AH18" s="46" t="str">
        <v>Day / night energy split</v>
      </c>
      <c r="AI18" s="46"/>
      <c r="AJ18" s="46"/>
      <c r="AK18" s="46" t="str">
        <v>50% / 50%; constant-load assumption, not measured</v>
      </c>
      <c r="AL18" s="46"/>
    </row>
    <row r="19" ht="33.95000076293945" customHeight="1">
      <c r="A19" s="4" t="inlineStr">
        <is>
          <t xml:space="preserve">Discounted payback</t>
        </is>
      </c>
      <c r="B19" s="13" t="inlineStr">
        <is>
          <t xml:space="preserve">years</t>
        </is>
      </c>
      <c r="C19" s="3" t="n">
        <f>IF(C65=0,"Invalid",IF(MIN(Q79:Q98)=999,"Not reached",MIN(Q79:Q98)))</f>
        <v>4.7500872962864</v>
      </c>
      <c r="D19" s="4" t="str">
        <f>IF(D65=0,"Invalid",IF(MIN(S79:S98)=999,"Not reached",MIN(S79:S98)))</f>
        <v>Not reached</v>
      </c>
      <c r="E19" s="4" t="str">
        <f>IF(E65=0,"Invalid",IF(MIN(U79:U98)=999,"Not reached",MIN(U79:U98)))</f>
        <v>Not reached</v>
      </c>
      <c r="F19" s="5"/>
      <c r="G19" s="5"/>
      <c r="H19" s="5"/>
      <c r="I19" s="5"/>
      <c r="J19" s="5"/>
      <c r="K19" s="5"/>
      <c r="L19" s="5"/>
      <c r="M19" s="5"/>
      <c r="N19" s="5"/>
      <c r="O19" s="5"/>
      <c r="P19" s="5"/>
      <c r="Q19" s="5"/>
      <c r="R19" s="5"/>
      <c r="S19" s="5"/>
      <c r="T19" s="5"/>
      <c r="U19" s="5"/>
      <c r="W19" s="44" t="str">
        <v>Roof input mode</v>
      </c>
      <c r="X19" s="44" t="str"/>
      <c r="Y19" s="44" t="str">
        <v>Unspecified</v>
      </c>
      <c r="Z19" s="44" t="str">
        <v>Unspecified</v>
      </c>
      <c r="AA19" s="44" t="str">
        <v>Specified</v>
      </c>
      <c r="AB19" s="44" t="str">
        <v>Specified</v>
      </c>
      <c r="AC19" s="44" t="str">
        <v>Specified</v>
      </c>
      <c r="AD19" s="44" t="str">
        <v>Specified</v>
      </c>
      <c r="AE19" s="44" t="str">
        <v>Specified</v>
      </c>
      <c r="AF19" s="44" t="str">
        <v>Specified</v>
      </c>
      <c r="AG19" s="44"/>
      <c r="AH19" s="44" t="str">
        <v>PV charging window (hours)</v>
      </c>
      <c r="AI19" s="44"/>
      <c r="AJ19" s="44"/>
      <c r="AK19" s="47" t="n">
        <v>6</v>
      </c>
      <c r="AL19" s="44"/>
    </row>
    <row r="20" ht="33.95000076293945" customHeight="1">
      <c r="A20" s="4" t="inlineStr">
        <is>
          <t xml:space="preserve">Full-charge backup energy</t>
        </is>
      </c>
      <c r="B20" s="13" t="inlineStr">
        <is>
          <t xml:space="preserve">kWh AC</t>
        </is>
      </c>
      <c r="C20" s="5" t="n">
        <f>C68</f>
        <v>0</v>
      </c>
      <c r="D20" s="5" t="n">
        <f>D68</f>
        <v>12.48</v>
      </c>
      <c r="E20" s="5" t="n">
        <f>E68</f>
        <v>12.48</v>
      </c>
      <c r="F20" s="5"/>
      <c r="G20" s="5"/>
      <c r="H20" s="177" t="str">
        <v>Live checks</v>
      </c>
      <c r="I20" s="177"/>
      <c r="J20" s="177" t="str">
        <v>Solar only</v>
      </c>
      <c r="K20" s="177" t="str">
        <v>Battery only</v>
      </c>
      <c r="L20" s="177" t="str">
        <v>Solar and battery</v>
      </c>
      <c r="M20" s="5"/>
      <c r="N20" s="5"/>
      <c r="O20" s="5"/>
      <c r="P20" s="5"/>
      <c r="Q20" s="5"/>
      <c r="R20" s="5"/>
      <c r="S20" s="5"/>
      <c r="T20" s="5"/>
      <c r="U20" s="5"/>
      <c r="W20" s="46" t="str">
        <v>Available roof area</v>
      </c>
      <c r="X20" s="46" t="str">
        <v>m2</v>
      </c>
      <c r="Y20" s="54" t="str">
        <v>Unspecified</v>
      </c>
      <c r="Z20" s="54" t="str">
        <v>Unspecified</v>
      </c>
      <c r="AA20" s="54" t="n">
        <v>10</v>
      </c>
      <c r="AB20" s="54" t="n">
        <v>25</v>
      </c>
      <c r="AC20" s="54" t="n">
        <v>50</v>
      </c>
      <c r="AD20" s="54" t="n">
        <v>10</v>
      </c>
      <c r="AE20" s="54" t="n">
        <v>50</v>
      </c>
      <c r="AF20" s="54" t="n">
        <v>10</v>
      </c>
      <c r="AG20" s="44"/>
      <c r="AH20" s="46" t="str">
        <v>Grid charging window (hours)</v>
      </c>
      <c r="AI20" s="46"/>
      <c r="AJ20" s="46"/>
      <c r="AK20" s="48" t="n">
        <v>8</v>
      </c>
      <c r="AL20" s="46"/>
    </row>
    <row r="21" ht="33.95000076293945" customHeight="1">
      <c r="A21" s="4" t="inlineStr">
        <is>
          <t xml:space="preserve">Maximum backup power</t>
        </is>
      </c>
      <c r="B21" s="13" t="inlineStr">
        <is>
          <t xml:space="preserve">kW</t>
        </is>
      </c>
      <c r="C21" s="5" t="n">
        <f>C69</f>
        <v>0</v>
      </c>
      <c r="D21" s="5" t="n">
        <f>D69</f>
        <v>5</v>
      </c>
      <c r="E21" s="5" t="n">
        <f>E69</f>
        <v>8</v>
      </c>
      <c r="F21" s="5"/>
      <c r="G21" s="5"/>
      <c r="H21" s="175" t="str">
        <v>Errors</v>
      </c>
      <c r="I21" s="175"/>
      <c r="J21" s="180" t="n">
        <f>COUNTIFS(C926:C980,"ERROR:*")</f>
        <v>0</v>
      </c>
      <c r="K21" s="181" t="n">
        <f>COUNTIFS(G926:G980,"ERROR:*")</f>
        <v>0</v>
      </c>
      <c r="L21" s="182" t="n">
        <f>COUNTIFS(K926:K980,"ERROR:*")</f>
        <v>0</v>
      </c>
      <c r="M21" s="5"/>
      <c r="N21" s="5"/>
      <c r="O21" s="5"/>
      <c r="P21" s="5"/>
      <c r="Q21" s="5"/>
      <c r="R21" s="5"/>
      <c r="S21" s="5"/>
      <c r="T21" s="5"/>
      <c r="U21" s="5"/>
      <c r="W21" s="44" t="str">
        <v>Critical-load basis</v>
      </c>
      <c r="X21" s="44" t="str"/>
      <c r="Y21" s="44" t="str">
        <v>Manager estimate; not measured</v>
      </c>
      <c r="Z21" s="44" t="str">
        <v>Manager estimate; not measured</v>
      </c>
      <c r="AA21" s="44" t="str">
        <v>Manager estimate; not measured</v>
      </c>
      <c r="AB21" s="44" t="str">
        <v>Manager estimate; not measured</v>
      </c>
      <c r="AC21" s="44" t="str">
        <v>Manager estimate; not measured</v>
      </c>
      <c r="AD21" s="44" t="str">
        <v>Manager estimate; not measured</v>
      </c>
      <c r="AE21" s="44" t="str">
        <v>Manager estimate; not measured</v>
      </c>
      <c r="AF21" s="44" t="str">
        <v>Manager estimate; not measured</v>
      </c>
      <c r="AG21" s="44"/>
      <c r="AH21" s="44" t="str">
        <v>Installation area multiplier</v>
      </c>
      <c r="AI21" s="44"/>
      <c r="AJ21" s="44"/>
      <c r="AK21" s="53" t="n">
        <v>1.5</v>
      </c>
      <c r="AL21" s="44"/>
    </row>
    <row r="22" ht="33.95000076293945" customHeight="1">
      <c r="A22" s="4" t="inlineStr">
        <is>
          <t xml:space="preserve">Backup hours from full charge</t>
        </is>
      </c>
      <c r="B22" s="13" t="inlineStr">
        <is>
          <t xml:space="preserve">hours</t>
        </is>
      </c>
      <c r="C22" s="4" t="str">
        <f>IF(C65=0,"Invalid",IF(C69=0,"Not available",IF(Inputs!$C$20="Unknown","Load unknown",IF(Inputs!$C$21&gt;C69,"Load exceeds power limit",C68/Inputs!$C$21))))</f>
        <v>Not available</v>
      </c>
      <c r="D22" s="4" t="str">
        <f>IF(D65=0,"Invalid",IF(D69=0,"Not available",IF(Inputs!$C$20="Unknown","Load unknown",IF(Inputs!$C$21&gt;D69,"Load exceeds power limit",D68/Inputs!$C$21))))</f>
        <v>Load unknown</v>
      </c>
      <c r="E22" s="4" t="str">
        <f>IF(E65=0,"Invalid",IF(E69=0,"Not available",IF(Inputs!$C$20="Unknown","Load unknown",IF(Inputs!$C$21&gt;E69,"Load exceeds power limit",E68/Inputs!$C$21))))</f>
        <v>Load unknown</v>
      </c>
      <c r="F22" s="5"/>
      <c r="G22" s="5"/>
      <c r="H22" s="175" t="str">
        <v>Warnings</v>
      </c>
      <c r="I22" s="175"/>
      <c r="J22" s="183" t="n">
        <f>COUNTIFS(C926:C980,"WARNING:*")</f>
        <v>1</v>
      </c>
      <c r="K22" s="184" t="n">
        <f>COUNTIFS(G926:G980,"WARNING:*")</f>
        <v>1</v>
      </c>
      <c r="L22" s="185" t="n">
        <f>COUNTIFS(K926:K980,"WARNING:*")</f>
        <v>2</v>
      </c>
      <c r="M22" s="5"/>
      <c r="N22" s="5"/>
      <c r="O22" s="5"/>
      <c r="P22" s="5"/>
      <c r="Q22" s="5"/>
      <c r="R22" s="5"/>
      <c r="S22" s="5"/>
      <c r="T22" s="5"/>
      <c r="U22" s="5"/>
      <c r="W22" s="46" t="str">
        <v>Critical load used for backup check</v>
      </c>
      <c r="X22" s="46" t="str">
        <v>kW</v>
      </c>
      <c r="Y22" s="56" t="n">
        <v>4</v>
      </c>
      <c r="Z22" s="56" t="n">
        <v>4</v>
      </c>
      <c r="AA22" s="56" t="n">
        <v>4</v>
      </c>
      <c r="AB22" s="56" t="n">
        <v>4</v>
      </c>
      <c r="AC22" s="56" t="n">
        <v>4</v>
      </c>
      <c r="AD22" s="56" t="n">
        <v>4</v>
      </c>
      <c r="AE22" s="56" t="n">
        <v>4</v>
      </c>
      <c r="AF22" s="56" t="n">
        <v>4</v>
      </c>
      <c r="AG22" s="44"/>
      <c r="AH22" s="46" t="str">
        <v>Annual maintenance / initial investment</v>
      </c>
      <c r="AI22" s="46"/>
      <c r="AJ22" s="46"/>
      <c r="AK22" s="82" t="n">
        <v>0.01</v>
      </c>
      <c r="AL22" s="46"/>
    </row>
    <row r="23" ht="33.95000076293945" customHeight="1">
      <c r="A23" s="4" t="inlineStr">
        <is>
          <t xml:space="preserve">Reserved backup energy</t>
        </is>
      </c>
      <c r="B23" s="13" t="inlineStr">
        <is>
          <t xml:space="preserve">kWh AC</t>
        </is>
      </c>
      <c r="C23" s="5" t="n">
        <f>IF(C58=1,C67*'Assumptions and Catalog'!$C$12,0)</f>
        <v>0</v>
      </c>
      <c r="D23" s="5" t="n">
        <f>IF(D58=1,D67*'Assumptions and Catalog'!$C$12,0)</f>
        <v>12.48</v>
      </c>
      <c r="E23" s="5" t="n">
        <f>IF(E58=1,E67*'Assumptions and Catalog'!$C$12,0)</f>
        <v>2.496</v>
      </c>
      <c r="F23" s="5"/>
      <c r="G23" s="5"/>
      <c r="H23" s="175" t="str">
        <v>Details</v>
      </c>
      <c r="I23" s="175"/>
      <c r="J23" s="186" t="str">
        <f>HYPERLINK("#'Scenarios'!C924","Open checks")</f>
        <v>Open checks</v>
      </c>
      <c r="K23" s="187" t="str">
        <f>HYPERLINK("#'Scenarios'!G924","Open checks")</f>
        <v>Open checks</v>
      </c>
      <c r="L23" s="188" t="str">
        <f>HYPERLINK("#'Scenarios'!K924","Open checks")</f>
        <v>Open checks</v>
      </c>
      <c r="M23" s="5"/>
      <c r="N23" s="5"/>
      <c r="O23" s="5"/>
      <c r="P23" s="5"/>
      <c r="Q23" s="5"/>
      <c r="R23" s="5"/>
      <c r="S23" s="5"/>
      <c r="T23" s="5"/>
      <c r="U23" s="5"/>
      <c r="W23" s="44" t="str">
        <v>Panel model slot</v>
      </c>
      <c r="X23" s="44" t="str"/>
      <c r="Y23" s="44" t="str">
        <v>PV550</v>
      </c>
      <c r="Z23" s="44" t="str">
        <v>PV670</v>
      </c>
      <c r="AA23" s="44" t="str">
        <v>PV670</v>
      </c>
      <c r="AB23" s="44" t="str">
        <v>PV670</v>
      </c>
      <c r="AC23" s="44" t="str">
        <v>PV670</v>
      </c>
      <c r="AD23" s="44" t="str">
        <v>PV670</v>
      </c>
      <c r="AE23" s="44" t="str">
        <v>PV670</v>
      </c>
      <c r="AF23" s="44" t="str">
        <v>PV670</v>
      </c>
      <c r="AG23" s="44"/>
      <c r="AH23" s="44" t="str">
        <v>Battery replacement year</v>
      </c>
      <c r="AI23" s="44"/>
      <c r="AJ23" s="44"/>
      <c r="AK23" s="47" t="n">
        <v>11</v>
      </c>
      <c r="AL23" s="44"/>
    </row>
    <row r="24" ht="45.95000076293945" customHeight="1">
      <c r="A24" s="4" t="inlineStr">
        <is>
          <t xml:space="preserve">System role</t>
        </is>
      </c>
      <c r="B24" s="5"/>
      <c r="C24" s="4" t="str">
        <f>IF(C65=0,"Invalid",IF(C15&gt;0,IF(C69&gt;0,"Bill savings + backup capability","Bill savings"),IF(C69&gt;0,"Backup capability, no bill savings","No bill savings demonstrated")))</f>
        <v>Bill savings</v>
      </c>
      <c r="D24" s="4" t="str">
        <f>IF(D65=0,"Invalid",IF(D15&gt;0,IF(D69&gt;0,"Bill savings + backup capability","Bill savings"),IF(D69&gt;0,"Backup capability, no bill savings","No bill savings demonstrated")))</f>
        <v>Backup capability, no bill savings</v>
      </c>
      <c r="E24" s="4" t="str">
        <f>IF(E65=0,"Invalid",IF(E15&gt;0,IF(E69&gt;0,"Bill savings + backup capability","Bill savings"),IF(E69&gt;0,"Backup capability, no bill savings","No bill savings demonstrated")))</f>
        <v>Bill savings + backup capability</v>
      </c>
      <c r="F24" s="5"/>
      <c r="G24" s="5"/>
      <c r="H24" s="5"/>
      <c r="I24" s="5"/>
      <c r="J24" s="5"/>
      <c r="K24" s="5"/>
      <c r="L24" s="5"/>
      <c r="M24" s="5"/>
      <c r="N24" s="5"/>
      <c r="O24" s="5"/>
      <c r="P24" s="5"/>
      <c r="Q24" s="5"/>
      <c r="R24" s="5"/>
      <c r="S24" s="5"/>
      <c r="T24" s="5"/>
      <c r="U24" s="5"/>
      <c r="W24" s="46" t="str">
        <v>Panel rated power</v>
      </c>
      <c r="X24" s="46" t="str">
        <v>Wp</v>
      </c>
      <c r="Y24" s="50" t="n">
        <v>550</v>
      </c>
      <c r="Z24" s="50" t="n">
        <v>670</v>
      </c>
      <c r="AA24" s="50" t="n">
        <v>670</v>
      </c>
      <c r="AB24" s="50" t="n">
        <v>670</v>
      </c>
      <c r="AC24" s="50" t="n">
        <v>670</v>
      </c>
      <c r="AD24" s="50" t="n">
        <v>670</v>
      </c>
      <c r="AE24" s="50" t="n">
        <v>670</v>
      </c>
      <c r="AF24" s="50" t="n">
        <v>670</v>
      </c>
      <c r="AG24" s="44"/>
      <c r="AH24" s="46" t="str">
        <v>Battery replacement cost fraction</v>
      </c>
      <c r="AI24" s="46"/>
      <c r="AJ24" s="46"/>
      <c r="AK24" s="82" t="n">
        <v>1</v>
      </c>
      <c r="AL24" s="46"/>
    </row>
    <row r="25" ht="45.95000076293945" customHeight="1">
      <c r="A25" s="4" t="inlineStr">
        <is>
          <t xml:space="preserve">Financial outcome</t>
        </is>
      </c>
      <c r="B25" s="5"/>
      <c r="C25" s="4" t="str">
        <f>IF(C65=0,"Invalid",IF(C17&gt;0,"Positive NPV under assumptions",IF(C17=0,"Discounted breakeven","Negative NPV under assumptions")))</f>
        <v>Positive NPV under assumptions</v>
      </c>
      <c r="D25" s="4" t="str">
        <f>IF(D65=0,"Invalid",IF(D17&gt;0,"Positive NPV under assumptions",IF(D17=0,"Discounted breakeven","Negative NPV under assumptions")))</f>
        <v>Negative NPV under assumptions</v>
      </c>
      <c r="E25" s="4" t="str">
        <f>IF(E65=0,"Invalid",IF(E17&gt;0,"Positive NPV under assumptions",IF(E17=0,"Discounted breakeven","Negative NPV under assumptions")))</f>
        <v>Negative NPV under assumptions</v>
      </c>
      <c r="F25" s="5"/>
      <c r="G25" s="5"/>
      <c r="H25" s="5"/>
      <c r="I25" s="5"/>
      <c r="J25" s="5"/>
      <c r="K25" s="5"/>
      <c r="L25" s="5"/>
      <c r="M25" s="5"/>
      <c r="N25" s="5"/>
      <c r="O25" s="5"/>
      <c r="P25" s="5"/>
      <c r="Q25" s="5"/>
      <c r="R25" s="5"/>
      <c r="S25" s="5"/>
      <c r="T25" s="5"/>
      <c r="U25" s="5"/>
      <c r="W25" s="44" t="str">
        <v>Panel quantity</v>
      </c>
      <c r="X25" s="44" t="str">
        <v>units</v>
      </c>
      <c r="Y25" s="49" t="n">
        <v>46</v>
      </c>
      <c r="Z25" s="49" t="n">
        <v>0</v>
      </c>
      <c r="AA25" s="49" t="n">
        <v>3</v>
      </c>
      <c r="AB25" s="49" t="n">
        <v>7</v>
      </c>
      <c r="AC25" s="49" t="n">
        <v>15</v>
      </c>
      <c r="AD25" s="49" t="n">
        <v>3</v>
      </c>
      <c r="AE25" s="49" t="n">
        <v>15</v>
      </c>
      <c r="AF25" s="49" t="n">
        <v>3</v>
      </c>
      <c r="AG25" s="44"/>
      <c r="AH25" s="44" t="str">
        <v>Inverter replacement year</v>
      </c>
      <c r="AI25" s="44"/>
      <c r="AJ25" s="44"/>
      <c r="AK25" s="47" t="n">
        <v>12</v>
      </c>
      <c r="AL25" s="44"/>
    </row>
    <row r="26" ht="45.95000076293945" customHeight="1">
      <c r="A26" s="4" t="inlineStr">
        <is>
          <t xml:space="preserve">Roof area status</t>
        </is>
      </c>
      <c r="B26" s="5"/>
      <c r="C26" s="4" t="str">
        <f>IF(Inputs!$C$14="Unspecified","Roof fit not verified",IF(C59&lt;=Inputs!$C$15,"Within available area","Exceeds available area"))</f>
        <v>Roof fit not verified</v>
      </c>
      <c r="D26" s="4" t="str">
        <f>IF(Inputs!$C$14="Unspecified","Roof fit not verified",IF(D59&lt;=Inputs!$C$15,"Within available area","Exceeds available area"))</f>
        <v>Roof fit not verified</v>
      </c>
      <c r="E26" s="4" t="str">
        <f>IF(Inputs!$C$14="Unspecified","Roof fit not verified",IF(E59&lt;=Inputs!$C$15,"Within available area","Exceeds available area"))</f>
        <v>Roof fit not verified</v>
      </c>
      <c r="F26" s="5"/>
      <c r="G26" s="5"/>
      <c r="H26" s="5"/>
      <c r="I26" s="5"/>
      <c r="J26" s="5"/>
      <c r="K26" s="5"/>
      <c r="L26" s="5"/>
      <c r="M26" s="5"/>
      <c r="N26" s="5"/>
      <c r="O26" s="5"/>
      <c r="P26" s="5"/>
      <c r="Q26" s="5"/>
      <c r="R26" s="5"/>
      <c r="S26" s="5"/>
      <c r="T26" s="5"/>
      <c r="U26" s="5"/>
      <c r="W26" s="46" t="str">
        <v>Battery unit model / capacity</v>
      </c>
      <c r="X26" s="46" t="str"/>
      <c r="Y26" s="46" t="str">
        <v>BAT10 / 10 kWh</v>
      </c>
      <c r="Z26" s="46" t="str">
        <v>BAT10 / 10 kWh</v>
      </c>
      <c r="AA26" s="46" t="str">
        <v>BAT10 / 10 kWh</v>
      </c>
      <c r="AB26" s="46" t="str">
        <v>BAT10 / 10 kWh</v>
      </c>
      <c r="AC26" s="46" t="str">
        <v>BAT10 / 10 kWh</v>
      </c>
      <c r="AD26" s="46" t="str">
        <v>BAT10 / 10 kWh</v>
      </c>
      <c r="AE26" s="46" t="str">
        <v>BAT10 / 10 kWh</v>
      </c>
      <c r="AF26" s="46" t="str">
        <v>BAT10 / 10 kWh</v>
      </c>
      <c r="AG26" s="44"/>
      <c r="AH26" s="46" t="str">
        <v>Inverter replacement cost fraction</v>
      </c>
      <c r="AI26" s="46"/>
      <c r="AJ26" s="46"/>
      <c r="AK26" s="82" t="n">
        <v>1</v>
      </c>
      <c r="AL26" s="46"/>
    </row>
    <row r="27" ht="33.95000076293945" customHeight="1">
      <c r="A27" s="3"/>
      <c r="B27" s="5"/>
      <c r="C27" s="5"/>
      <c r="D27" s="5"/>
      <c r="E27" s="5"/>
      <c r="F27" s="5"/>
      <c r="G27" s="5"/>
      <c r="H27" s="5"/>
      <c r="I27" s="5"/>
      <c r="J27" s="5"/>
      <c r="K27" s="5"/>
      <c r="L27" s="5"/>
      <c r="M27" s="5"/>
      <c r="N27" s="5"/>
      <c r="O27" s="5"/>
      <c r="P27" s="5"/>
      <c r="Q27" s="5"/>
      <c r="R27" s="5"/>
      <c r="S27" s="5"/>
      <c r="T27" s="5"/>
      <c r="U27" s="5"/>
      <c r="W27" s="44" t="str">
        <v>Battery unit quantity</v>
      </c>
      <c r="X27" s="44" t="str">
        <v>units</v>
      </c>
      <c r="Y27" s="49" t="n">
        <v>0</v>
      </c>
      <c r="Z27" s="49" t="n">
        <v>1</v>
      </c>
      <c r="AA27" s="49" t="n">
        <v>1</v>
      </c>
      <c r="AB27" s="49" t="n">
        <v>1</v>
      </c>
      <c r="AC27" s="49" t="n">
        <v>2</v>
      </c>
      <c r="AD27" s="49" t="n">
        <v>3</v>
      </c>
      <c r="AE27" s="49" t="n">
        <v>5</v>
      </c>
      <c r="AF27" s="49" t="n">
        <v>5</v>
      </c>
      <c r="AG27" s="44"/>
      <c r="AH27" s="44" t="str">
        <v>Battery capacity degradation per year</v>
      </c>
      <c r="AI27" s="44"/>
      <c r="AJ27" s="44"/>
      <c r="AK27" s="83" t="n">
        <v>0.02</v>
      </c>
      <c r="AL27" s="44"/>
    </row>
    <row r="28" ht="44.099998474121094" customHeight="1">
      <c r="A28" s="19" t="inlineStr">
        <is>
          <t xml:space="preserve">Full-charge backup is not guaranteed at outage time. Motor surge, load phase balance and site checks are not modeled.</t>
        </is>
      </c>
      <c r="B28" s="20"/>
      <c r="C28" s="20"/>
      <c r="D28" s="20"/>
      <c r="E28" s="20"/>
      <c r="F28" s="5"/>
      <c r="G28" s="5"/>
      <c r="H28" s="5"/>
      <c r="I28" s="5"/>
      <c r="J28" s="5"/>
      <c r="K28" s="5"/>
      <c r="L28" s="5"/>
      <c r="M28" s="5"/>
      <c r="N28" s="5"/>
      <c r="O28" s="5"/>
      <c r="P28" s="5"/>
      <c r="Q28" s="5"/>
      <c r="R28" s="5"/>
      <c r="S28" s="5"/>
      <c r="T28" s="5"/>
      <c r="U28" s="5"/>
      <c r="W28" s="46" t="str">
        <v>Temporary inverter catalog slot</v>
      </c>
      <c r="X28" s="46" t="str"/>
      <c r="Y28" s="46" t="str">
        <v>GRID10 (25 kW test)</v>
      </c>
      <c r="Z28" s="46" t="str">
        <v>HYB5 (3 kW test)</v>
      </c>
      <c r="AA28" s="46" t="str">
        <v>HYB5 (3 kW test)</v>
      </c>
      <c r="AB28" s="46" t="str">
        <v>HYB5 (5 kW test)</v>
      </c>
      <c r="AC28" s="46" t="str">
        <v>HYB5 (10 kW test)</v>
      </c>
      <c r="AD28" s="46" t="str">
        <v>HYB5 (5 kW test)</v>
      </c>
      <c r="AE28" s="46" t="str">
        <v>HYB5 (10 kW test)</v>
      </c>
      <c r="AF28" s="46" t="str">
        <v>HYB5 (5 kW test)</v>
      </c>
      <c r="AG28" s="44"/>
      <c r="AH28" s="46" t="str">
        <v>Battery auxiliary use (kWh/day)</v>
      </c>
      <c r="AI28" s="46"/>
      <c r="AJ28" s="46"/>
      <c r="AK28" s="48" t="n">
        <v>0</v>
      </c>
      <c r="AL28" s="46"/>
    </row>
    <row r="29" ht="44.099998474121094" customHeight="1">
      <c r="A29" s="19" t="inlineStr">
        <is>
          <t xml:space="preserve">NPV excludes financing, taxes and outage value. The no-investment baseline has NPV = 0.</t>
        </is>
      </c>
      <c r="B29" s="20"/>
      <c r="C29" s="20"/>
      <c r="D29" s="20"/>
      <c r="E29" s="20"/>
      <c r="F29" s="5"/>
      <c r="G29" s="5"/>
      <c r="H29" s="5"/>
      <c r="I29" s="5"/>
      <c r="J29" s="5"/>
      <c r="K29" s="5"/>
      <c r="L29" s="5"/>
      <c r="M29" s="5"/>
      <c r="N29" s="5"/>
      <c r="O29" s="5"/>
      <c r="P29" s="5"/>
      <c r="Q29" s="5"/>
      <c r="R29" s="5"/>
      <c r="S29" s="5"/>
      <c r="T29" s="5"/>
      <c r="U29" s="5"/>
      <c r="W29" s="44" t="str">
        <v>Inverter AC rating</v>
      </c>
      <c r="X29" s="44" t="str">
        <v>kW</v>
      </c>
      <c r="Y29" s="55" t="n">
        <v>25</v>
      </c>
      <c r="Z29" s="55" t="n">
        <v>3</v>
      </c>
      <c r="AA29" s="55" t="n">
        <v>3</v>
      </c>
      <c r="AB29" s="55" t="n">
        <v>5</v>
      </c>
      <c r="AC29" s="55" t="n">
        <v>10</v>
      </c>
      <c r="AD29" s="55" t="n">
        <v>5</v>
      </c>
      <c r="AE29" s="55" t="n">
        <v>10</v>
      </c>
      <c r="AF29" s="55" t="n">
        <v>5</v>
      </c>
      <c r="AG29" s="44"/>
      <c r="AH29" s="44" t="str">
        <v>Cairo yield (kWh/kWp/day)</v>
      </c>
      <c r="AI29" s="44"/>
      <c r="AJ29" s="44"/>
      <c r="AK29" s="53" t="n">
        <v>4.98</v>
      </c>
      <c r="AL29" s="44"/>
    </row>
    <row r="30" ht="33.95000076293945" customHeight="1">
      <c r="A30" s="3"/>
      <c r="B30" s="5"/>
      <c r="C30" s="5"/>
      <c r="D30" s="5"/>
      <c r="E30" s="5"/>
      <c r="F30" s="5"/>
      <c r="G30" s="5"/>
      <c r="H30" s="5"/>
      <c r="I30" s="5"/>
      <c r="J30" s="5"/>
      <c r="K30" s="5"/>
      <c r="L30" s="5"/>
      <c r="M30" s="5"/>
      <c r="N30" s="5"/>
      <c r="O30" s="5"/>
      <c r="P30" s="5"/>
      <c r="Q30" s="5"/>
      <c r="R30" s="5"/>
      <c r="S30" s="5"/>
      <c r="T30" s="5"/>
      <c r="U30" s="5"/>
      <c r="W30" s="46" t="str">
        <v>Inverter PV limit (assumed 1.3 x AC)</v>
      </c>
      <c r="X30" s="46" t="str">
        <v>kWp</v>
      </c>
      <c r="Y30" s="54" t="n">
        <v>32.5</v>
      </c>
      <c r="Z30" s="54" t="n">
        <v>3.9000000000000004</v>
      </c>
      <c r="AA30" s="54" t="n">
        <v>3.9000000000000004</v>
      </c>
      <c r="AB30" s="54" t="n">
        <v>6.5</v>
      </c>
      <c r="AC30" s="54" t="n">
        <v>13</v>
      </c>
      <c r="AD30" s="54" t="n">
        <v>6.5</v>
      </c>
      <c r="AE30" s="54" t="n">
        <v>13</v>
      </c>
      <c r="AF30" s="54" t="n">
        <v>6.5</v>
      </c>
      <c r="AG30" s="44"/>
      <c r="AH30" s="46" t="str">
        <v>PV550 area (m2/panel)</v>
      </c>
      <c r="AI30" s="46"/>
      <c r="AJ30" s="46"/>
      <c r="AK30" s="54" t="n">
        <v>2.6</v>
      </c>
      <c r="AL30" s="46"/>
    </row>
    <row r="31" ht="33.95000076293945" customHeight="1">
      <c r="A31" s="4" t="inlineStr">
        <is>
          <t xml:space="preserve">Battery savings vs matched PV</t>
        </is>
      </c>
      <c r="B31" s="13" t="inlineStr">
        <is>
          <t xml:space="preserve">EGP/year</t>
        </is>
      </c>
      <c r="C31" s="5"/>
      <c r="D31" s="5"/>
      <c r="E31" s="5" t="n">
        <f>IF(E65=1,SUM(Q661:Q672)-SUM(N661:N672),"Invalid")</f>
        <v>10701.8347018125</v>
      </c>
      <c r="F31" s="5"/>
      <c r="G31" s="5"/>
      <c r="H31" s="5"/>
      <c r="I31" s="5"/>
      <c r="J31" s="5"/>
      <c r="K31" s="5"/>
      <c r="L31" s="5"/>
      <c r="M31" s="5"/>
      <c r="N31" s="5"/>
      <c r="O31" s="5"/>
      <c r="P31" s="5"/>
      <c r="Q31" s="5"/>
      <c r="R31" s="5"/>
      <c r="S31" s="5"/>
      <c r="T31" s="5"/>
      <c r="U31" s="5"/>
      <c r="W31" s="44" t="str">
        <v>Effective battery charge power</v>
      </c>
      <c r="X31" s="44" t="str">
        <v>kW</v>
      </c>
      <c r="Y31" s="55" t="n">
        <v>0</v>
      </c>
      <c r="Z31" s="55" t="n">
        <v>3</v>
      </c>
      <c r="AA31" s="55" t="n">
        <v>3</v>
      </c>
      <c r="AB31" s="55" t="n">
        <v>5</v>
      </c>
      <c r="AC31" s="55" t="n">
        <v>10</v>
      </c>
      <c r="AD31" s="55" t="n">
        <v>5</v>
      </c>
      <c r="AE31" s="55" t="n">
        <v>10</v>
      </c>
      <c r="AF31" s="55" t="n">
        <v>5</v>
      </c>
      <c r="AG31" s="44"/>
      <c r="AH31" s="44" t="str">
        <v>PV670 area (m2/panel)</v>
      </c>
      <c r="AI31" s="44"/>
      <c r="AJ31" s="44"/>
      <c r="AK31" s="53" t="n">
        <v>2.7</v>
      </c>
      <c r="AL31" s="44"/>
    </row>
    <row r="32" ht="33.95000076293945" customHeight="1">
      <c r="A32" s="4" t="inlineStr">
        <is>
          <t xml:space="preserve">Incremental battery investment</t>
        </is>
      </c>
      <c r="B32" s="13" t="inlineStr">
        <is>
          <t xml:space="preserve">EGP</t>
        </is>
      </c>
      <c r="C32" s="5"/>
      <c r="D32" s="5"/>
      <c r="E32" s="5" t="n">
        <f>E61*(1+'Assumptions and Catalog'!$C$17)</f>
        <v>240064</v>
      </c>
      <c r="F32" s="5"/>
      <c r="G32" s="5"/>
      <c r="H32" s="5"/>
      <c r="I32" s="5"/>
      <c r="J32" s="5"/>
      <c r="K32" s="5"/>
      <c r="L32" s="5"/>
      <c r="M32" s="5"/>
      <c r="N32" s="5"/>
      <c r="O32" s="5"/>
      <c r="P32" s="5"/>
      <c r="Q32" s="5"/>
      <c r="R32" s="5"/>
      <c r="S32" s="5"/>
      <c r="T32" s="5"/>
      <c r="U32" s="5"/>
      <c r="W32" s="46" t="str">
        <v>Effective battery discharge power</v>
      </c>
      <c r="X32" s="46" t="str">
        <v>kW</v>
      </c>
      <c r="Y32" s="56" t="n">
        <v>0</v>
      </c>
      <c r="Z32" s="56" t="n">
        <v>3</v>
      </c>
      <c r="AA32" s="56" t="n">
        <v>3</v>
      </c>
      <c r="AB32" s="56" t="n">
        <v>5</v>
      </c>
      <c r="AC32" s="56" t="n">
        <v>10</v>
      </c>
      <c r="AD32" s="56" t="n">
        <v>5</v>
      </c>
      <c r="AE32" s="56" t="n">
        <v>10</v>
      </c>
      <c r="AF32" s="56" t="n">
        <v>5</v>
      </c>
      <c r="AG32" s="44"/>
      <c r="AH32" s="46" t="str">
        <v>Battery usable fraction</v>
      </c>
      <c r="AI32" s="46"/>
      <c r="AJ32" s="46"/>
      <c r="AK32" s="82" t="n">
        <v>0.8</v>
      </c>
      <c r="AL32" s="46"/>
    </row>
    <row r="33" ht="44.099998474121094" customHeight="1">
      <c r="A33" s="19" t="inlineStr">
        <is>
          <t xml:space="preserve">Incremental comparison uses the same PV and hybrid inverter without a battery; no cheaper inverter alternative is assumed.</t>
        </is>
      </c>
      <c r="B33" s="20"/>
      <c r="C33" s="20"/>
      <c r="D33" s="20"/>
      <c r="E33" s="20"/>
      <c r="F33" s="5"/>
      <c r="G33" s="5"/>
      <c r="H33" s="5"/>
      <c r="I33" s="5"/>
      <c r="J33" s="5"/>
      <c r="K33" s="5"/>
      <c r="L33" s="5"/>
      <c r="M33" s="5"/>
      <c r="N33" s="5"/>
      <c r="O33" s="5"/>
      <c r="P33" s="5"/>
      <c r="Q33" s="5"/>
      <c r="R33" s="5"/>
      <c r="S33" s="5"/>
      <c r="T33" s="5"/>
      <c r="U33" s="5"/>
      <c r="W33" s="44" t="str">
        <v>Reserved share of usable capacity</v>
      </c>
      <c r="X33" s="44" t="str">
        <v>%</v>
      </c>
      <c r="Y33" s="51" t="n">
        <v>0.2</v>
      </c>
      <c r="Z33" s="51" t="n">
        <v>1</v>
      </c>
      <c r="AA33" s="51" t="n">
        <v>0.2</v>
      </c>
      <c r="AB33" s="51" t="n">
        <v>0.2</v>
      </c>
      <c r="AC33" s="51" t="n">
        <v>0.2</v>
      </c>
      <c r="AD33" s="51" t="n">
        <v>0.2</v>
      </c>
      <c r="AE33" s="51" t="n">
        <v>0.2</v>
      </c>
      <c r="AF33" s="51" t="n">
        <v>0.2</v>
      </c>
      <c r="AG33" s="44"/>
      <c r="AH33" s="44" t="str">
        <v>BAT10 charge/discharge limit (kW/unit)</v>
      </c>
      <c r="AI33" s="44"/>
      <c r="AJ33" s="44"/>
      <c r="AK33" s="47" t="n">
        <v>5</v>
      </c>
      <c r="AL33" s="44"/>
    </row>
    <row r="34" ht="33.95000076293945" customHeight="1">
      <c r="A34" s="3"/>
      <c r="B34" s="5"/>
      <c r="C34" s="5"/>
      <c r="D34" s="5"/>
      <c r="E34" s="5"/>
      <c r="F34" s="5"/>
      <c r="G34" s="5"/>
      <c r="H34" s="5"/>
      <c r="I34" s="5"/>
      <c r="J34" s="5"/>
      <c r="K34" s="5"/>
      <c r="L34" s="5"/>
      <c r="M34" s="5"/>
      <c r="N34" s="5"/>
      <c r="O34" s="5"/>
      <c r="P34" s="5"/>
      <c r="Q34" s="5"/>
      <c r="R34" s="5"/>
      <c r="S34" s="5"/>
      <c r="T34" s="5"/>
      <c r="U34" s="5"/>
      <c r="W34" s="46" t="str">
        <v>Battery-only operating mode</v>
      </c>
      <c r="X34" s="46" t="str"/>
      <c r="Y34" s="46" t="str">
        <v>Backup</v>
      </c>
      <c r="Z34" s="46" t="str">
        <v>Backup</v>
      </c>
      <c r="AA34" s="46" t="str">
        <v>Backup</v>
      </c>
      <c r="AB34" s="46" t="str">
        <v>Backup</v>
      </c>
      <c r="AC34" s="46" t="str">
        <v>Backup</v>
      </c>
      <c r="AD34" s="46" t="str">
        <v>Backup</v>
      </c>
      <c r="AE34" s="46" t="str">
        <v>Backup</v>
      </c>
      <c r="AF34" s="46" t="str">
        <v>Backup</v>
      </c>
      <c r="AG34" s="44"/>
      <c r="AH34" s="46" t="str">
        <v>Battery compatibility group</v>
      </c>
      <c r="AI34" s="46"/>
      <c r="AJ34" s="46"/>
      <c r="AK34" s="46" t="str">
        <v>LV; assumed, not manufacturer verified</v>
      </c>
      <c r="AL34" s="46"/>
    </row>
    <row r="35" ht="33.95000076293945" customHeight="1">
      <c r="A35" s="19" t="str">
        <f>HYPERLINK("#'Solar Production'!A19","Open monthly solar production and bill savings")</f>
        <v>Open monthly solar production and bill savings</v>
      </c>
      <c r="H35" s="5"/>
      <c r="I35" s="5"/>
      <c r="J35" s="5"/>
      <c r="K35" s="5"/>
      <c r="L35" s="5"/>
      <c r="M35" s="5"/>
      <c r="N35" s="5"/>
      <c r="O35" s="5"/>
      <c r="P35" s="5"/>
      <c r="Q35" s="5"/>
      <c r="R35" s="5"/>
      <c r="S35" s="5"/>
      <c r="T35" s="5"/>
      <c r="U35" s="5"/>
      <c r="W35" s="44" t="str">
        <v>Grid-cycle delivery setting (inactive)</v>
      </c>
      <c r="X35" s="44" t="str">
        <v>kWh/day</v>
      </c>
      <c r="Y35" s="55" t="n">
        <v>8</v>
      </c>
      <c r="Z35" s="55" t="n">
        <v>8</v>
      </c>
      <c r="AA35" s="55" t="n">
        <v>8</v>
      </c>
      <c r="AB35" s="55" t="n">
        <v>8</v>
      </c>
      <c r="AC35" s="55" t="n">
        <v>8</v>
      </c>
      <c r="AD35" s="55" t="n">
        <v>8</v>
      </c>
      <c r="AE35" s="55" t="n">
        <v>8</v>
      </c>
      <c r="AF35" s="55" t="n">
        <v>8</v>
      </c>
      <c r="AG35" s="44"/>
      <c r="AH35" s="44" t="str">
        <v>Inverter PV limit assumption</v>
      </c>
      <c r="AI35" s="44"/>
      <c r="AJ35" s="44"/>
      <c r="AK35" s="44" t="str">
        <v>1.3 x AC rating; same ratio as existing catalog</v>
      </c>
      <c r="AL35" s="44"/>
    </row>
    <row r="36" ht="33.95000076293945" customHeight="1">
      <c r="A36" t="str" s="19">
        <v>Experimental copy: monthly seasonality enabled. Battery dispatch is still a monthly approximation.</v>
      </c>
      <c r="H36" s="5"/>
      <c r="I36" s="5"/>
      <c r="J36" s="5"/>
      <c r="K36" s="5"/>
      <c r="L36" s="5"/>
      <c r="M36" s="5"/>
      <c r="N36" s="5"/>
      <c r="O36" s="5"/>
      <c r="P36" s="5"/>
      <c r="Q36" s="5"/>
      <c r="R36" s="5"/>
      <c r="S36" s="5"/>
      <c r="T36" s="5"/>
      <c r="U36" s="5"/>
      <c r="W36" s="46" t="str">
        <v>Panel unit cost from source</v>
      </c>
      <c r="X36" s="46" t="str">
        <v>EGP</v>
      </c>
      <c r="Y36" s="58" t="n">
        <v>4260.869565217391</v>
      </c>
      <c r="Z36" s="58" t="str">
        <v>Not used</v>
      </c>
      <c r="AA36" s="58" t="n">
        <v>5766.666666666667</v>
      </c>
      <c r="AB36" s="58" t="n">
        <v>4690</v>
      </c>
      <c r="AC36" s="58" t="n">
        <v>4690</v>
      </c>
      <c r="AD36" s="58" t="n">
        <v>10766.666666666666</v>
      </c>
      <c r="AE36" s="58" t="n">
        <v>4690</v>
      </c>
      <c r="AF36" s="58" t="n">
        <v>5833.333333333333</v>
      </c>
      <c r="AG36" s="44"/>
      <c r="AH36" s="46" t="str">
        <v>Inverter charge power assumption</v>
      </c>
      <c r="AI36" s="46"/>
      <c r="AJ36" s="46"/>
      <c r="AK36" s="46" t="str">
        <v>Equal to AC rating, capped by battery power</v>
      </c>
      <c r="AL36" s="46"/>
    </row>
    <row r="37" ht="33.95000076293945" customHeight="1">
      <c r="H37" s="5"/>
      <c r="I37" s="5"/>
      <c r="J37" s="5"/>
      <c r="K37" s="5"/>
      <c r="L37" s="5"/>
      <c r="M37" s="5"/>
      <c r="N37" s="5"/>
      <c r="O37" s="5"/>
      <c r="P37" s="5"/>
      <c r="Q37" s="5"/>
      <c r="R37" s="5"/>
      <c r="S37" s="5"/>
      <c r="T37" s="5"/>
      <c r="U37" s="5"/>
      <c r="W37" s="44" t="str">
        <v>Battery unit cost from source</v>
      </c>
      <c r="X37" s="44" t="str">
        <v>EGP</v>
      </c>
      <c r="Y37" s="47" t="n">
        <v>115000</v>
      </c>
      <c r="Z37" s="47" t="n">
        <v>115000</v>
      </c>
      <c r="AA37" s="47" t="n">
        <v>115000</v>
      </c>
      <c r="AB37" s="47" t="n">
        <v>115000</v>
      </c>
      <c r="AC37" s="47" t="n">
        <v>115000</v>
      </c>
      <c r="AD37" s="47" t="n">
        <v>115000</v>
      </c>
      <c r="AE37" s="47" t="n">
        <v>115000</v>
      </c>
      <c r="AF37" s="47" t="n">
        <v>115000</v>
      </c>
      <c r="AG37" s="44"/>
      <c r="AH37" s="44" t="str">
        <v>Critical load</v>
      </c>
      <c r="AI37" s="44"/>
      <c r="AJ37" s="44"/>
      <c r="AK37" s="44" t="str">
        <v>4 kW from manager estimate; not measured</v>
      </c>
      <c r="AL37" s="44"/>
    </row>
    <row r="38" ht="45.95000076293945" customHeight="1">
      <c r="H38" s="5"/>
      <c r="I38" s="5"/>
      <c r="J38" s="5"/>
      <c r="K38" s="5"/>
      <c r="L38" s="5"/>
      <c r="M38" s="5"/>
      <c r="N38" s="5"/>
      <c r="O38" s="5"/>
      <c r="P38" s="5"/>
      <c r="Q38" s="5"/>
      <c r="R38" s="5"/>
      <c r="S38" s="5"/>
      <c r="T38" s="5"/>
      <c r="U38" s="5"/>
      <c r="W38" s="46" t="str">
        <v>Inverter cost from source</v>
      </c>
      <c r="X38" s="46" t="str">
        <v>EGP</v>
      </c>
      <c r="Y38" s="48" t="n">
        <v>140000</v>
      </c>
      <c r="Z38" s="48" t="n">
        <v>30000</v>
      </c>
      <c r="AA38" s="48" t="n">
        <v>30000</v>
      </c>
      <c r="AB38" s="48" t="n">
        <v>50000</v>
      </c>
      <c r="AC38" s="48" t="n">
        <v>100000</v>
      </c>
      <c r="AD38" s="48" t="n">
        <v>50000</v>
      </c>
      <c r="AE38" s="48" t="n">
        <v>100000</v>
      </c>
      <c r="AF38" s="48" t="n">
        <v>50000</v>
      </c>
      <c r="AG38" s="44"/>
      <c r="AH38" s="46" t="str">
        <v>Backup interpretation</v>
      </c>
      <c r="AI38" s="46"/>
      <c r="AJ38" s="46"/>
      <c r="AK38" s="46" t="str">
        <v>Full charge is conditional, not guaranteed at outage time</v>
      </c>
      <c r="AL38" s="46"/>
    </row>
    <row r="39" ht="33.95000076293945" customHeight="1">
      <c r="H39" s="5"/>
      <c r="I39" s="5"/>
      <c r="J39" s="5"/>
      <c r="K39" s="5"/>
      <c r="L39" s="5"/>
      <c r="M39" s="5"/>
      <c r="N39" s="5"/>
      <c r="O39" s="5"/>
      <c r="P39" s="5"/>
      <c r="Q39" s="5"/>
      <c r="R39" s="5"/>
      <c r="S39" s="5"/>
      <c r="T39" s="5"/>
      <c r="U39" s="5"/>
      <c r="W39" s="44" t="str">
        <v>Declared source capital total</v>
      </c>
      <c r="X39" s="44" t="str">
        <v>EGP</v>
      </c>
      <c r="Y39" s="47" t="n">
        <v>413500</v>
      </c>
      <c r="Z39" s="47" t="n">
        <v>172500</v>
      </c>
      <c r="AA39" s="47" t="n">
        <v>197300</v>
      </c>
      <c r="AB39" s="47" t="n">
        <v>247000</v>
      </c>
      <c r="AC39" s="47" t="n">
        <v>467500</v>
      </c>
      <c r="AD39" s="47" t="n">
        <v>454800</v>
      </c>
      <c r="AE39" s="47" t="n">
        <v>812850</v>
      </c>
      <c r="AF39" s="47" t="n">
        <v>662500</v>
      </c>
      <c r="AG39" s="44"/>
      <c r="AH39" s="44" t="str">
        <v>Backup outage energy</v>
      </c>
      <c r="AI39" s="44"/>
      <c r="AJ39" s="44"/>
      <c r="AK39" s="44" t="str">
        <v>Outage events and recharge losses are not scheduled</v>
      </c>
      <c r="AL39" s="44"/>
    </row>
    <row r="40" ht="33.95000076293945" customHeight="1">
      <c r="H40" s="5"/>
      <c r="I40" s="5"/>
      <c r="J40" s="5"/>
      <c r="K40" s="5"/>
      <c r="L40" s="5"/>
      <c r="M40" s="5"/>
      <c r="N40" s="5"/>
      <c r="O40" s="5"/>
      <c r="P40" s="5"/>
      <c r="Q40" s="5"/>
      <c r="R40" s="5"/>
      <c r="S40" s="5"/>
      <c r="T40" s="5"/>
      <c r="U40" s="5"/>
      <c r="W40" s="46" t="str">
        <v>BOS fraction reconciling source total</v>
      </c>
      <c r="X40" s="46" t="str">
        <v>%</v>
      </c>
      <c r="Y40" s="60" t="n">
        <v>0.23065476190476192</v>
      </c>
      <c r="Z40" s="60" t="n">
        <v>0.1896551724137931</v>
      </c>
      <c r="AA40" s="60" t="n">
        <v>0.21565003080714726</v>
      </c>
      <c r="AB40" s="60" t="n">
        <v>0.2485467320426629</v>
      </c>
      <c r="AC40" s="60" t="n">
        <v>0.16772823779193205</v>
      </c>
      <c r="AD40" s="60" t="n">
        <v>0.06435759419611514</v>
      </c>
      <c r="AE40" s="60" t="n">
        <v>0.09056148118333669</v>
      </c>
      <c r="AF40" s="60" t="n">
        <v>0.0311284046692607</v>
      </c>
      <c r="AG40" s="44"/>
      <c r="AH40" s="46" t="str">
        <v>Source cost basis</v>
      </c>
      <c r="AI40" s="46"/>
      <c r="AJ40" s="46"/>
      <c r="AK40" s="46" t="str">
        <v>Declared scenario total retained. Component range midpoints used.</v>
      </c>
      <c r="AL40" s="46"/>
    </row>
    <row r="41" ht="33.95000076293945" customHeight="1">
      <c r="H41" s="5"/>
      <c r="I41" s="5"/>
      <c r="J41" s="5"/>
      <c r="K41" s="5"/>
      <c r="L41" s="5"/>
      <c r="M41" s="5"/>
      <c r="N41" s="5"/>
      <c r="O41" s="5"/>
      <c r="P41" s="5"/>
      <c r="Q41" s="5"/>
      <c r="R41" s="5"/>
      <c r="S41" s="5"/>
      <c r="T41" s="5"/>
      <c r="U41" s="5"/>
      <c r="W41" s="44" t="str">
        <v>Source installation midpoint</v>
      </c>
      <c r="X41" s="44" t="str">
        <v>EGP</v>
      </c>
      <c r="Y41" s="47" t="n">
        <v>77500</v>
      </c>
      <c r="Z41" s="47" t="n">
        <v>27500</v>
      </c>
      <c r="AA41" s="47" t="n">
        <v>35000</v>
      </c>
      <c r="AB41" s="47" t="n">
        <v>50000</v>
      </c>
      <c r="AC41" s="47" t="n">
        <v>67500</v>
      </c>
      <c r="AD41" s="47" t="n">
        <v>27500</v>
      </c>
      <c r="AE41" s="47" t="n">
        <v>67500</v>
      </c>
      <c r="AF41" s="47" t="n">
        <v>20000</v>
      </c>
      <c r="AG41" s="44"/>
      <c r="AH41" s="44" t="str">
        <v>BOS override</v>
      </c>
      <c r="AI41" s="44"/>
      <c r="AJ41" s="44"/>
      <c r="AK41" s="44" t="str">
        <v>(Declared capital total - equipment cost) / equipment cost</v>
      </c>
      <c r="AL41" s="44"/>
    </row>
    <row r="42" ht="33.95000076293945" customHeight="1">
      <c r="H42" s="5"/>
      <c r="I42" s="5"/>
      <c r="J42" s="5"/>
      <c r="K42" s="5"/>
      <c r="L42" s="5"/>
      <c r="M42" s="5"/>
      <c r="N42" s="5"/>
      <c r="O42" s="5"/>
      <c r="P42" s="5"/>
      <c r="Q42" s="5"/>
      <c r="R42" s="5"/>
      <c r="S42" s="5"/>
      <c r="T42" s="5"/>
      <c r="U42" s="5"/>
      <c r="W42" s="46" t="str">
        <v>Installation used (total less equipment)</v>
      </c>
      <c r="X42" s="46" t="str">
        <v>EGP</v>
      </c>
      <c r="Y42" s="48" t="n">
        <v>77500</v>
      </c>
      <c r="Z42" s="48" t="n">
        <v>27500</v>
      </c>
      <c r="AA42" s="48" t="n">
        <v>35000</v>
      </c>
      <c r="AB42" s="48" t="n">
        <v>49170</v>
      </c>
      <c r="AC42" s="48" t="n">
        <v>67150</v>
      </c>
      <c r="AD42" s="48" t="n">
        <v>27500</v>
      </c>
      <c r="AE42" s="48" t="n">
        <v>67500</v>
      </c>
      <c r="AF42" s="48" t="n">
        <v>20000</v>
      </c>
      <c r="AG42" s="44"/>
      <c r="AH42" s="46" t="str">
        <v>Capital reconciliation</v>
      </c>
      <c r="AI42" s="46"/>
      <c r="AJ42" s="46"/>
      <c r="AK42" s="46" t="str">
        <v>S4: -830 EGP; S5: -350 EGP vs component midpoints</v>
      </c>
      <c r="AL42" s="46"/>
    </row>
    <row r="43" ht="33.95000076293945" customHeight="1">
      <c r="H43" s="5"/>
      <c r="I43" s="5"/>
      <c r="J43" s="5"/>
      <c r="K43" s="5"/>
      <c r="L43" s="5"/>
      <c r="M43" s="5"/>
      <c r="N43" s="5"/>
      <c r="O43" s="5"/>
      <c r="P43" s="5"/>
      <c r="Q43" s="5"/>
      <c r="R43" s="5"/>
      <c r="S43" s="5"/>
      <c r="T43" s="5"/>
      <c r="U43" s="5"/>
      <c r="W43" s="44" t="str">
        <v>Sum of source component midpoints</v>
      </c>
      <c r="X43" s="44" t="str">
        <v>EGP</v>
      </c>
      <c r="Y43" s="47" t="n">
        <v>413500</v>
      </c>
      <c r="Z43" s="47" t="n">
        <v>172500</v>
      </c>
      <c r="AA43" s="47" t="n">
        <v>197300</v>
      </c>
      <c r="AB43" s="47" t="n">
        <v>247830</v>
      </c>
      <c r="AC43" s="47" t="n">
        <v>467850</v>
      </c>
      <c r="AD43" s="47" t="n">
        <v>454800</v>
      </c>
      <c r="AE43" s="47" t="n">
        <v>812850</v>
      </c>
      <c r="AF43" s="47" t="n">
        <v>662500</v>
      </c>
      <c r="AG43" s="44"/>
      <c r="AH43" s="44" t="str">
        <v>Temporary catalog slots</v>
      </c>
      <c r="AI43" s="44"/>
      <c r="AJ43" s="44"/>
      <c r="AK43" s="44" t="str">
        <v>Run-specific values restored after all snapshots</v>
      </c>
      <c r="AL43" s="44"/>
    </row>
    <row r="44" ht="33.95000076293945" customHeight="1">
      <c r="H44" s="5"/>
      <c r="I44" s="5"/>
      <c r="J44" s="5"/>
      <c r="K44" s="5"/>
      <c r="L44" s="5"/>
      <c r="M44" s="5"/>
      <c r="N44" s="5"/>
      <c r="O44" s="5"/>
      <c r="P44" s="5"/>
      <c r="Q44" s="5"/>
      <c r="R44" s="5"/>
      <c r="S44" s="5"/>
      <c r="T44" s="5"/>
      <c r="U44" s="5"/>
      <c r="W44" s="46" t="str">
        <v>Declared total less component sum</v>
      </c>
      <c r="X44" s="46" t="str">
        <v>EGP</v>
      </c>
      <c r="Y44" s="48" t="n">
        <v>0</v>
      </c>
      <c r="Z44" s="48" t="n">
        <v>0</v>
      </c>
      <c r="AA44" s="48" t="n">
        <v>0</v>
      </c>
      <c r="AB44" s="48" t="n">
        <v>-830</v>
      </c>
      <c r="AC44" s="48" t="n">
        <v>-350</v>
      </c>
      <c r="AD44" s="48" t="n">
        <v>0</v>
      </c>
      <c r="AE44" s="48" t="n">
        <v>0</v>
      </c>
      <c r="AF44" s="48" t="n">
        <v>0</v>
      </c>
      <c r="AG44" s="44"/>
      <c r="AH44" s="46" t="str">
        <v>Source solar assumption</v>
      </c>
      <c r="AI44" s="46"/>
      <c r="AJ44" s="46"/>
      <c r="AK44" s="46" t="str">
        <v>Manager uses 5.4 x 0.80 = 4.32. Workbook keeps 4.98.</v>
      </c>
      <c r="AL44" s="46"/>
    </row>
    <row r="45" ht="33.95000076293945" customHeight="1">
      <c r="H45" s="5"/>
      <c r="I45" s="5"/>
      <c r="J45" s="5"/>
      <c r="K45" s="5"/>
      <c r="L45" s="5"/>
      <c r="M45" s="5"/>
      <c r="N45" s="5"/>
      <c r="O45" s="5"/>
      <c r="P45" s="5"/>
      <c r="Q45" s="5"/>
      <c r="R45" s="5"/>
      <c r="S45" s="5"/>
      <c r="T45" s="5"/>
      <c r="U45" s="5"/>
      <c r="W45" s="44" t="str">
        <v>Costs use manager component midpoints and the declared capital total. Installation is the residual needed to reconcile that total; this is not a supplier quotation. Temporary catalog changes are recorded above and restored in the live model.</v>
      </c>
      <c r="X45" s="44"/>
      <c r="Y45" s="44"/>
      <c r="Z45" s="44"/>
      <c r="AA45" s="44"/>
      <c r="AB45" s="44"/>
      <c r="AC45" s="44"/>
      <c r="AD45" s="44"/>
      <c r="AE45" s="44"/>
      <c r="AF45" s="44"/>
      <c r="AG45" s="44"/>
      <c r="AH45" s="44" t="str">
        <v>Source financial assumption</v>
      </c>
      <c r="AI45" s="44"/>
      <c r="AJ45" s="44"/>
      <c r="AK45" s="44" t="str">
        <v>Manager cash flows escalate; workbook retains zero escalation and 1% maintenance.</v>
      </c>
      <c r="AL45" s="44"/>
    </row>
    <row r="46" ht="33.95000076293945" customHeight="1">
      <c r="H46" s="5"/>
      <c r="I46" s="5"/>
      <c r="J46" s="5"/>
      <c r="K46" s="5"/>
      <c r="L46" s="5"/>
      <c r="M46" s="5"/>
      <c r="N46" s="5"/>
      <c r="O46" s="5"/>
      <c r="P46" s="5"/>
      <c r="Q46" s="5"/>
      <c r="R46" s="5"/>
      <c r="S46" s="5"/>
      <c r="T46" s="5"/>
      <c r="U46" s="5"/>
      <c r="W46" s="75" t="str">
        <v>Copied scenario outputs - original row order</v>
      </c>
      <c r="X46" s="74"/>
      <c r="Y46" s="74"/>
      <c r="Z46" s="74"/>
      <c r="AA46" s="74"/>
      <c r="AB46" s="74"/>
      <c r="AC46" s="74"/>
      <c r="AD46" s="74"/>
      <c r="AE46" s="74"/>
      <c r="AF46" s="74"/>
      <c r="AG46" s="44"/>
      <c r="AH46" s="46" t="str">
        <v>Tariff status</v>
      </c>
      <c r="AI46" s="46"/>
      <c r="AJ46" s="46"/>
      <c r="AK46" s="46" t="str">
        <v>Workbook reference tariff; current applicability not verified</v>
      </c>
      <c r="AL46" s="46"/>
    </row>
    <row r="47" ht="33.95000076293945" customHeight="1">
      <c r="H47" s="5"/>
      <c r="I47" s="5"/>
      <c r="J47" s="5"/>
      <c r="K47" s="5"/>
      <c r="L47" s="5"/>
      <c r="M47" s="5"/>
      <c r="N47" s="5"/>
      <c r="O47" s="5"/>
      <c r="P47" s="5"/>
      <c r="Q47" s="5"/>
      <c r="R47" s="5"/>
      <c r="S47" s="5"/>
      <c r="T47" s="5"/>
      <c r="U47" s="5"/>
      <c r="W47" s="44" t="str">
        <v>PV capacity</v>
      </c>
      <c r="X47" s="44" t="str">
        <v>kWp</v>
      </c>
      <c r="Y47" s="61" t="n">
        <v>25.3</v>
      </c>
      <c r="Z47" s="61" t="n">
        <v>0</v>
      </c>
      <c r="AA47" s="61" t="n">
        <v>2.01</v>
      </c>
      <c r="AB47" s="61" t="n">
        <v>4.69</v>
      </c>
      <c r="AC47" s="61" t="n">
        <v>10.05</v>
      </c>
      <c r="AD47" s="61" t="n">
        <v>2.01</v>
      </c>
      <c r="AE47" s="61" t="n">
        <v>10.05</v>
      </c>
      <c r="AF47" s="61" t="n">
        <v>2.01</v>
      </c>
      <c r="AG47" s="44"/>
      <c r="AH47" s="44" t="str">
        <v>Paid average rate</v>
      </c>
      <c r="AI47" s="44"/>
      <c r="AJ47" s="44"/>
      <c r="AK47" s="44" t="str">
        <v>8279 / 2421 = 3.4196613 EGP/kWh; not used as the tariff</v>
      </c>
      <c r="AL47" s="44"/>
    </row>
    <row r="48" ht="44.099998474121094" customHeight="1">
      <c r="H48" s="5"/>
      <c r="I48" s="5"/>
      <c r="J48" s="5"/>
      <c r="K48" s="5"/>
      <c r="L48" s="5"/>
      <c r="M48" s="5"/>
      <c r="N48" s="5"/>
      <c r="O48" s="5"/>
      <c r="P48" s="5"/>
      <c r="Q48" s="5"/>
      <c r="R48" s="5"/>
      <c r="S48" s="5"/>
      <c r="T48" s="5"/>
      <c r="U48" s="5"/>
      <c r="W48" s="46" t="str">
        <v>Nominal battery capacity</v>
      </c>
      <c r="X48" s="46" t="str">
        <v>kWh</v>
      </c>
      <c r="Y48" s="62" t="n">
        <v>0</v>
      </c>
      <c r="Z48" s="62" t="n">
        <v>10</v>
      </c>
      <c r="AA48" s="62" t="n">
        <v>10</v>
      </c>
      <c r="AB48" s="62" t="n">
        <v>10</v>
      </c>
      <c r="AC48" s="62" t="n">
        <v>20</v>
      </c>
      <c r="AD48" s="62" t="n">
        <v>30</v>
      </c>
      <c r="AE48" s="62" t="n">
        <v>50</v>
      </c>
      <c r="AF48" s="62" t="n">
        <v>50</v>
      </c>
      <c r="AG48" s="44"/>
      <c r="AH48" s="46" t="str">
        <v>Annual baseline interpretation</v>
      </c>
      <c r="AI48" s="46"/>
      <c r="AJ48" s="46"/>
      <c r="AK48" s="46" t="str">
        <v>80.7 kWh/day x calendar days; not monthly bill x 12</v>
      </c>
      <c r="AL48" s="46"/>
    </row>
    <row r="49" ht="33.95000076293945" customHeight="1">
      <c r="A49" s="3"/>
      <c r="B49" s="5"/>
      <c r="C49" s="5"/>
      <c r="D49" s="5"/>
      <c r="E49" s="5"/>
      <c r="F49" s="5"/>
      <c r="G49" s="5"/>
      <c r="H49" s="5"/>
      <c r="I49" s="5"/>
      <c r="J49" s="5"/>
      <c r="K49" s="5"/>
      <c r="L49" s="5"/>
      <c r="M49" s="5"/>
      <c r="N49" s="5"/>
      <c r="O49" s="5"/>
      <c r="P49" s="5"/>
      <c r="Q49" s="5"/>
      <c r="R49" s="5"/>
      <c r="S49" s="5"/>
      <c r="T49" s="5"/>
      <c r="U49" s="5"/>
      <c r="W49" s="44" t="str">
        <v>Inverter capacity</v>
      </c>
      <c r="X49" s="44" t="str">
        <v>kW</v>
      </c>
      <c r="Y49" s="61" t="n">
        <v>25</v>
      </c>
      <c r="Z49" s="61" t="n">
        <v>3</v>
      </c>
      <c r="AA49" s="61" t="n">
        <v>3</v>
      </c>
      <c r="AB49" s="61" t="n">
        <v>5</v>
      </c>
      <c r="AC49" s="61" t="n">
        <v>10</v>
      </c>
      <c r="AD49" s="61" t="n">
        <v>5</v>
      </c>
      <c r="AE49" s="61" t="n">
        <v>10</v>
      </c>
      <c r="AF49" s="61" t="n">
        <v>5</v>
      </c>
      <c r="AG49" s="44"/>
      <c r="AH49" s="44" t="str">
        <v>Exports / peak / outage income</v>
      </c>
      <c r="AI49" s="44"/>
      <c r="AJ49" s="44"/>
      <c r="AK49" s="44" t="str">
        <v>No export revenue, TOU benefit, demand-charge saving or outage value</v>
      </c>
      <c r="AL49" s="44"/>
    </row>
    <row r="50" ht="33.95000076293945" customHeight="1">
      <c r="A50" s="21" t="inlineStr">
        <is>
          <t xml:space="preserve">Sizing and cost details</t>
        </is>
      </c>
      <c r="B50" s="22"/>
      <c r="C50" s="22"/>
      <c r="D50" s="22"/>
      <c r="E50" s="22"/>
      <c r="F50" s="5"/>
      <c r="G50" s="5"/>
      <c r="H50" s="5"/>
      <c r="I50" s="5"/>
      <c r="J50" s="5"/>
      <c r="K50" s="5"/>
      <c r="L50" s="5"/>
      <c r="M50" s="5"/>
      <c r="N50" s="5"/>
      <c r="O50" s="5"/>
      <c r="P50" s="5"/>
      <c r="Q50" s="5"/>
      <c r="R50" s="5"/>
      <c r="S50" s="5"/>
      <c r="T50" s="5"/>
      <c r="U50" s="5"/>
      <c r="W50" s="46" t="str">
        <v>Required roof area</v>
      </c>
      <c r="X50" s="46" t="str">
        <v>m²</v>
      </c>
      <c r="Y50" s="62" t="n">
        <v>179.4</v>
      </c>
      <c r="Z50" s="62" t="n">
        <v>0</v>
      </c>
      <c r="AA50" s="62" t="n">
        <v>12.15</v>
      </c>
      <c r="AB50" s="62" t="n">
        <v>28.35</v>
      </c>
      <c r="AC50" s="62" t="n">
        <v>60.75</v>
      </c>
      <c r="AD50" s="62" t="n">
        <v>12.15</v>
      </c>
      <c r="AE50" s="62" t="n">
        <v>60.75</v>
      </c>
      <c r="AF50" s="62" t="n">
        <v>12.15</v>
      </c>
      <c r="AG50" s="44"/>
      <c r="AH50" s="46" t="str">
        <v>Scenario 1 limitation</v>
      </c>
      <c r="AI50" s="46"/>
      <c r="AJ50" s="46"/>
      <c r="AK50" s="46" t="str">
        <v>46 x 550 W = 25.3 kWp. AC 25 kW assumed; hourly clipping not modeled.</v>
      </c>
      <c r="AL50" s="46"/>
    </row>
    <row r="51" ht="33.95000076293945" customHeight="1">
      <c r="A51" s="4" t="inlineStr">
        <is>
          <t xml:space="preserve">Installed PV (kWp)</t>
        </is>
      </c>
      <c r="B51" s="5"/>
      <c r="C51" s="5" t="n">
        <f>J10*INDEX('Assumptions and Catalog'!$C$73:$I$74,MATCH(J9,'Assumptions and Catalog'!$A$73:$A$74,0),1)/1000</f>
        <v>8.8</v>
      </c>
      <c r="D51" s="5" t="n">
        <f>0</f>
        <v>0</v>
      </c>
      <c r="E51" s="5" t="n">
        <f>L10*INDEX('Assumptions and Catalog'!$C$73:$I$74,MATCH(L9,'Assumptions and Catalog'!$A$73:$A$74,0),1)/1000</f>
        <v>11</v>
      </c>
      <c r="F51" s="5"/>
      <c r="G51" s="5"/>
      <c r="H51" s="5"/>
      <c r="I51" s="5"/>
      <c r="J51" s="5"/>
      <c r="K51" s="5"/>
      <c r="L51" s="5"/>
      <c r="M51" s="5"/>
      <c r="N51" s="5"/>
      <c r="O51" s="5"/>
      <c r="P51" s="5"/>
      <c r="Q51" s="5"/>
      <c r="R51" s="5"/>
      <c r="S51" s="5"/>
      <c r="T51" s="5"/>
      <c r="U51" s="5"/>
      <c r="W51" s="44" t="str">
        <v>Initial investment</v>
      </c>
      <c r="X51" s="44" t="str">
        <v>EGP</v>
      </c>
      <c r="Y51" s="61" t="n">
        <v>413500</v>
      </c>
      <c r="Z51" s="61" t="n">
        <v>172500</v>
      </c>
      <c r="AA51" s="61" t="n">
        <v>197300</v>
      </c>
      <c r="AB51" s="61" t="n">
        <v>247000</v>
      </c>
      <c r="AC51" s="61" t="n">
        <v>467500</v>
      </c>
      <c r="AD51" s="61" t="n">
        <v>454800</v>
      </c>
      <c r="AE51" s="61" t="n">
        <v>812850</v>
      </c>
      <c r="AF51" s="61" t="n">
        <v>662500</v>
      </c>
      <c r="AG51" s="44"/>
      <c r="AH51" s="44" t="str">
        <v>Source-result comparison</v>
      </c>
      <c r="AI51" s="44"/>
      <c r="AJ51" s="44"/>
      <c r="AK51" s="44" t="str">
        <v>Source figures are context, not expected test results. Assumptions differ.</v>
      </c>
      <c r="AL51" s="44"/>
    </row>
    <row r="52" ht="33.95000076293945" customHeight="1">
      <c r="A52" s="4" t="inlineStr">
        <is>
          <t xml:space="preserve">Nominal battery capacity (kWh)</t>
        </is>
      </c>
      <c r="B52" s="5"/>
      <c r="C52" s="5" t="n">
        <f>0</f>
        <v>0</v>
      </c>
      <c r="D52" s="5" t="n">
        <f>K12*INDEX('Assumptions and Catalog'!$C$79:$I$81,MATCH(K11,'Assumptions and Catalog'!$A$79:$A$81,0),1)</f>
        <v>16</v>
      </c>
      <c r="E52" s="5" t="n">
        <f>L12*INDEX('Assumptions and Catalog'!$C$79:$I$81,MATCH(L11,'Assumptions and Catalog'!$A$79:$A$81,0),1)</f>
        <v>16</v>
      </c>
      <c r="F52" s="5"/>
      <c r="G52" s="5"/>
      <c r="H52" s="5"/>
      <c r="I52" s="5"/>
      <c r="J52" s="5"/>
      <c r="K52" s="5"/>
      <c r="L52" s="5"/>
      <c r="M52" s="5"/>
      <c r="N52" s="5"/>
      <c r="O52" s="5"/>
      <c r="P52" s="5"/>
      <c r="Q52" s="5"/>
      <c r="R52" s="5"/>
      <c r="S52" s="5"/>
      <c r="T52" s="5"/>
      <c r="U52" s="5"/>
      <c r="W52" s="46" t="str">
        <v>Year 1 solar generation</v>
      </c>
      <c r="X52" s="46" t="str">
        <v>kWh</v>
      </c>
      <c r="Y52" s="62" t="n">
        <v>45987.81</v>
      </c>
      <c r="Z52" s="62" t="n">
        <v>0</v>
      </c>
      <c r="AA52" s="62" t="n">
        <v>3653.577</v>
      </c>
      <c r="AB52" s="62" t="n">
        <v>8525.013</v>
      </c>
      <c r="AC52" s="62" t="n">
        <v>18267.885</v>
      </c>
      <c r="AD52" s="62" t="n">
        <v>3653.577</v>
      </c>
      <c r="AE52" s="62" t="n">
        <v>18267.885</v>
      </c>
      <c r="AF52" s="62" t="n">
        <v>3653.577</v>
      </c>
      <c r="AG52" s="44"/>
      <c r="AH52" s="46" t="str">
        <v>Snapshot refresh</v>
      </c>
      <c r="AI52" s="46"/>
      <c r="AJ52" s="46"/>
      <c r="AK52" s="46" t="str">
        <v>Re-enter recorded values, recalculate, verify, then replace that column with values.</v>
      </c>
      <c r="AL52" s="46"/>
    </row>
    <row r="53" ht="33.95000076293945" customHeight="1">
      <c r="A53" s="4" t="inlineStr">
        <is>
          <t xml:space="preserve">Inverter AC rating (kW)</t>
        </is>
      </c>
      <c r="B53" s="5"/>
      <c r="C53" s="5" t="n">
        <f>INDEX('Assumptions and Catalog'!$C$86:$I$89,MATCH(J13,'Assumptions and Catalog'!$A$86:$A$89,0),1)</f>
        <v>10</v>
      </c>
      <c r="D53" s="5" t="n">
        <f>INDEX('Assumptions and Catalog'!$C$86:$I$89,MATCH(K13,'Assumptions and Catalog'!$A$86:$A$89,0),1)</f>
        <v>5</v>
      </c>
      <c r="E53" s="5" t="n">
        <f>INDEX('Assumptions and Catalog'!$C$86:$I$89,MATCH(L13,'Assumptions and Catalog'!$A$86:$A$89,0),1)</f>
        <v>12</v>
      </c>
      <c r="F53" s="5"/>
      <c r="G53" s="5"/>
      <c r="H53" s="5"/>
      <c r="I53" s="5"/>
      <c r="J53" s="5"/>
      <c r="K53" s="5"/>
      <c r="L53" s="5"/>
      <c r="M53" s="5"/>
      <c r="N53" s="5"/>
      <c r="O53" s="5"/>
      <c r="P53" s="5"/>
      <c r="Q53" s="5"/>
      <c r="R53" s="5"/>
      <c r="S53" s="5"/>
      <c r="T53" s="5"/>
      <c r="U53" s="5"/>
      <c r="W53" s="44" t="str">
        <v>Year 1 baseline bill</v>
      </c>
      <c r="X53" s="44" t="str">
        <v>EGP</v>
      </c>
      <c r="Y53" s="61" t="n">
        <v>83544.51</v>
      </c>
      <c r="Z53" s="61" t="n">
        <v>83544.51</v>
      </c>
      <c r="AA53" s="61" t="n">
        <v>83544.51</v>
      </c>
      <c r="AB53" s="61" t="n">
        <v>83544.51</v>
      </c>
      <c r="AC53" s="61" t="n">
        <v>83544.51</v>
      </c>
      <c r="AD53" s="61" t="n">
        <v>83544.51</v>
      </c>
      <c r="AE53" s="61" t="n">
        <v>83544.51</v>
      </c>
      <c r="AF53" s="61" t="n">
        <v>83544.51</v>
      </c>
      <c r="AG53" s="44"/>
      <c r="AH53" s="44" t="str">
        <v>Restore status</v>
      </c>
      <c r="AI53" s="44"/>
      <c r="AJ53" s="44"/>
      <c r="AK53" s="44" t="str">
        <v>Original live inputs, assumptions, catalogs and formulas restored.</v>
      </c>
      <c r="AL53" s="44"/>
    </row>
    <row r="54" ht="33.95000076293945" customHeight="1">
      <c r="A54" s="4" t="inlineStr">
        <is>
          <t xml:space="preserve">Inverter PV limit (kWp)</t>
        </is>
      </c>
      <c r="B54" s="5"/>
      <c r="C54" s="5" t="n">
        <f>INDEX('Assumptions and Catalog'!$C$86:$I$89,MATCH(J13,'Assumptions and Catalog'!$A$86:$A$89,0),2)</f>
        <v>13</v>
      </c>
      <c r="D54" s="5" t="n">
        <f>INDEX('Assumptions and Catalog'!$C$86:$I$89,MATCH(K13,'Assumptions and Catalog'!$A$86:$A$89,0),2)</f>
        <v>6.5</v>
      </c>
      <c r="E54" s="5" t="n">
        <f>INDEX('Assumptions and Catalog'!$C$86:$I$89,MATCH(L13,'Assumptions and Catalog'!$A$86:$A$89,0),2)</f>
        <v>15.6</v>
      </c>
      <c r="F54" s="5"/>
      <c r="G54" s="5"/>
      <c r="H54" s="5"/>
      <c r="I54" s="5"/>
      <c r="J54" s="5"/>
      <c r="K54" s="5"/>
      <c r="L54" s="5"/>
      <c r="M54" s="5"/>
      <c r="N54" s="5"/>
      <c r="O54" s="5"/>
      <c r="P54" s="5"/>
      <c r="Q54" s="5"/>
      <c r="R54" s="5"/>
      <c r="S54" s="5"/>
      <c r="T54" s="5"/>
      <c r="U54" s="5"/>
      <c r="W54" s="46" t="str">
        <v>Year 1 bill after installation</v>
      </c>
      <c r="X54" s="46" t="str">
        <v>EGP</v>
      </c>
      <c r="Y54" s="62" t="n">
        <v>42012.255</v>
      </c>
      <c r="Z54" s="62" t="n">
        <v>83544.51</v>
      </c>
      <c r="AA54" s="78" t="str">
        <v>Invalid</v>
      </c>
      <c r="AB54" s="78" t="str">
        <v>Invalid</v>
      </c>
      <c r="AC54" s="78" t="str">
        <v>Invalid</v>
      </c>
      <c r="AD54" s="78" t="str">
        <v>Invalid</v>
      </c>
      <c r="AE54" s="78" t="str">
        <v>Invalid</v>
      </c>
      <c r="AF54" s="78" t="str">
        <v>Invalid</v>
      </c>
      <c r="AG54" s="44"/>
      <c r="AH54" s="44"/>
      <c r="AI54" s="44"/>
      <c r="AJ54" s="44"/>
      <c r="AK54" s="44"/>
      <c r="AL54" s="44"/>
    </row>
    <row r="55" ht="33.95000076293945" customHeight="1">
      <c r="A55" s="4" t="inlineStr">
        <is>
          <t xml:space="preserve">Usable internal capacity (kWh)</t>
        </is>
      </c>
      <c r="B55" s="5"/>
      <c r="C55" s="5" t="n">
        <f>C52*INDEX('Assumptions and Catalog'!$C$79:$I$81,MATCH(J11,'Assumptions and Catalog'!$A$79:$A$81,0),2)</f>
        <v>0</v>
      </c>
      <c r="D55" s="5" t="n">
        <f>D52*INDEX('Assumptions and Catalog'!$C$79:$I$81,MATCH(K11,'Assumptions and Catalog'!$A$79:$A$81,0),2)</f>
        <v>12.8</v>
      </c>
      <c r="E55" s="5" t="n">
        <f>E52*INDEX('Assumptions and Catalog'!$C$79:$I$81,MATCH(L11,'Assumptions and Catalog'!$A$79:$A$81,0),2)</f>
        <v>12.8</v>
      </c>
      <c r="F55" s="5"/>
      <c r="G55" s="5"/>
      <c r="H55" s="5"/>
      <c r="I55" s="5"/>
      <c r="J55" s="5"/>
      <c r="K55" s="5"/>
      <c r="L55" s="5"/>
      <c r="M55" s="5"/>
      <c r="N55" s="5"/>
      <c r="O55" s="5"/>
      <c r="P55" s="5"/>
      <c r="Q55" s="5"/>
      <c r="R55" s="5"/>
      <c r="S55" s="5"/>
      <c r="T55" s="5"/>
      <c r="U55" s="5"/>
      <c r="W55" s="44" t="str">
        <v>Year 1 bill savings</v>
      </c>
      <c r="X55" s="44" t="str">
        <v>EGP</v>
      </c>
      <c r="Y55" s="61" t="n">
        <v>41532.255</v>
      </c>
      <c r="Z55" s="61" t="n">
        <v>0</v>
      </c>
      <c r="AA55" s="78" t="str">
        <v>Invalid</v>
      </c>
      <c r="AB55" s="78" t="str">
        <v>Invalid</v>
      </c>
      <c r="AC55" s="78" t="str">
        <v>Invalid</v>
      </c>
      <c r="AD55" s="78" t="str">
        <v>Invalid</v>
      </c>
      <c r="AE55" s="78" t="str">
        <v>Invalid</v>
      </c>
      <c r="AF55" s="78" t="str">
        <v>Invalid</v>
      </c>
      <c r="AG55" s="44"/>
      <c r="AH55" s="74" t="str">
        <v>Source documents</v>
      </c>
      <c r="AI55" s="74"/>
      <c r="AJ55" s="74"/>
      <c r="AK55" s="74"/>
      <c r="AL55" s="74"/>
    </row>
    <row r="56" ht="33.95000076293945" customHeight="1">
      <c r="A56" s="4" t="inlineStr">
        <is>
          <t xml:space="preserve">Battery charge limit (AC kW)</t>
        </is>
      </c>
      <c r="B56" s="5"/>
      <c r="C56" s="5" t="n">
        <f>MIN(J12*INDEX('Assumptions and Catalog'!$C$79:$I$81,MATCH(J11,'Assumptions and Catalog'!$A$79:$A$81,0),3),INDEX('Assumptions and Catalog'!$C$86:$I$89,MATCH(J13,'Assumptions and Catalog'!$A$86:$A$89,0),3))</f>
        <v>0</v>
      </c>
      <c r="D56" s="5" t="n">
        <f>MIN(K12*INDEX('Assumptions and Catalog'!$C$79:$I$81,MATCH(K11,'Assumptions and Catalog'!$A$79:$A$81,0),3),INDEX('Assumptions and Catalog'!$C$86:$I$89,MATCH(K13,'Assumptions and Catalog'!$A$86:$A$89,0),3))</f>
        <v>5</v>
      </c>
      <c r="E56" s="5" t="n">
        <f>MIN(L12*INDEX('Assumptions and Catalog'!$C$79:$I$81,MATCH(L11,'Assumptions and Catalog'!$A$79:$A$81,0),3),INDEX('Assumptions and Catalog'!$C$86:$I$89,MATCH(L13,'Assumptions and Catalog'!$A$86:$A$89,0),3))</f>
        <v>8</v>
      </c>
      <c r="F56" s="5"/>
      <c r="G56" s="5"/>
      <c r="H56" s="5"/>
      <c r="I56" s="5"/>
      <c r="J56" s="5"/>
      <c r="K56" s="5"/>
      <c r="L56" s="5"/>
      <c r="M56" s="5"/>
      <c r="N56" s="5"/>
      <c r="O56" s="5"/>
      <c r="P56" s="5"/>
      <c r="Q56" s="5"/>
      <c r="R56" s="5"/>
      <c r="S56" s="5"/>
      <c r="T56" s="5"/>
      <c r="U56" s="5"/>
      <c r="W56" s="46" t="str">
        <v>Year 1 savings after maintenance</v>
      </c>
      <c r="X56" s="46" t="str">
        <v>EGP</v>
      </c>
      <c r="Y56" s="62" t="n">
        <v>37397.255</v>
      </c>
      <c r="Z56" s="62" t="n">
        <v>-1725</v>
      </c>
      <c r="AA56" s="78" t="str">
        <v>Invalid</v>
      </c>
      <c r="AB56" s="78" t="str">
        <v>Invalid</v>
      </c>
      <c r="AC56" s="78" t="str">
        <v>Invalid</v>
      </c>
      <c r="AD56" s="78" t="str">
        <v>Invalid</v>
      </c>
      <c r="AE56" s="78" t="str">
        <v>Invalid</v>
      </c>
      <c r="AF56" s="78" t="str">
        <v>Invalid</v>
      </c>
      <c r="AG56" s="44"/>
      <c r="AH56" s="44" t="str">
        <v>Manager: PV + Battery Storage System for a Juice Shop in Egypt V1 -Mohamed Ismail.docx. Part 3, Scenarios 1-8; Part 4 comparison. User annotations are questions, not revised scenario specifications.</v>
      </c>
      <c r="AI56" s="44"/>
      <c r="AJ56" s="44"/>
      <c r="AK56" s="44"/>
      <c r="AL56" s="44"/>
    </row>
    <row r="57" ht="33.95000076293945" customHeight="1">
      <c r="A57" s="4" t="inlineStr">
        <is>
          <t xml:space="preserve">Battery discharge limit (AC kW)</t>
        </is>
      </c>
      <c r="B57" s="5"/>
      <c r="C57" s="5" t="n">
        <f>MIN(J12*INDEX('Assumptions and Catalog'!$C$79:$I$81,MATCH(J11,'Assumptions and Catalog'!$A$79:$A$81,0),4),C53)</f>
        <v>0</v>
      </c>
      <c r="D57" s="5" t="n">
        <f>MIN(K12*INDEX('Assumptions and Catalog'!$C$79:$I$81,MATCH(K11,'Assumptions and Catalog'!$A$79:$A$81,0),4),D53)</f>
        <v>5</v>
      </c>
      <c r="E57" s="5" t="n">
        <f>MIN(L12*INDEX('Assumptions and Catalog'!$C$79:$I$81,MATCH(L11,'Assumptions and Catalog'!$A$79:$A$81,0),4),E53)</f>
        <v>8</v>
      </c>
      <c r="F57" s="5"/>
      <c r="G57" s="5"/>
      <c r="H57" s="5"/>
      <c r="I57" s="5"/>
      <c r="J57" s="5"/>
      <c r="K57" s="5"/>
      <c r="L57" s="5"/>
      <c r="M57" s="5"/>
      <c r="N57" s="5"/>
      <c r="O57" s="5"/>
      <c r="P57" s="5"/>
      <c r="Q57" s="5"/>
      <c r="R57" s="5"/>
      <c r="S57" s="5"/>
      <c r="T57" s="5"/>
      <c r="U57" s="5"/>
      <c r="W57" s="44" t="str">
        <v>NPV over study period</v>
      </c>
      <c r="X57" s="44" t="str">
        <v>EGP</v>
      </c>
      <c r="Y57" s="61" t="n">
        <v>-183507.918631022</v>
      </c>
      <c r="Z57" s="61" t="n">
        <v>-183099.378257341</v>
      </c>
      <c r="AA57" s="78" t="str">
        <v>Invalid</v>
      </c>
      <c r="AB57" s="78" t="str">
        <v>Invalid</v>
      </c>
      <c r="AC57" s="78" t="str">
        <v>Invalid</v>
      </c>
      <c r="AD57" s="78" t="str">
        <v>Invalid</v>
      </c>
      <c r="AE57" s="78" t="str">
        <v>Invalid</v>
      </c>
      <c r="AF57" s="78" t="str">
        <v>Invalid</v>
      </c>
      <c r="AG57" s="44"/>
      <c r="AH57" s="44"/>
      <c r="AI57" s="44"/>
      <c r="AJ57" s="44"/>
      <c r="AK57" s="44"/>
      <c r="AL57" s="44"/>
    </row>
    <row r="58" ht="33.95000076293945" customHeight="1">
      <c r="A58" s="4" t="inlineStr">
        <is>
          <t xml:space="preserve">Backup supported 1/0</t>
        </is>
      </c>
      <c r="B58" s="5"/>
      <c r="C58" s="5" t="n">
        <f>0</f>
        <v>0</v>
      </c>
      <c r="D58" s="5" t="n">
        <f>INDEX('Assumptions and Catalog'!$C$86:$I$89,MATCH(K13,'Assumptions and Catalog'!$A$86:$A$89,0),4)</f>
        <v>1</v>
      </c>
      <c r="E58" s="5" t="n">
        <f>INDEX('Assumptions and Catalog'!$C$86:$I$89,MATCH(L13,'Assumptions and Catalog'!$A$86:$A$89,0),4)</f>
        <v>1</v>
      </c>
      <c r="F58" s="5"/>
      <c r="G58" s="5"/>
      <c r="H58" s="5"/>
      <c r="I58" s="5"/>
      <c r="J58" s="5"/>
      <c r="K58" s="5"/>
      <c r="L58" s="5"/>
      <c r="M58" s="5"/>
      <c r="N58" s="5"/>
      <c r="O58" s="5"/>
      <c r="P58" s="5"/>
      <c r="Q58" s="5"/>
      <c r="R58" s="5"/>
      <c r="S58" s="5"/>
      <c r="T58" s="5"/>
      <c r="U58" s="5"/>
      <c r="W58" s="46" t="str">
        <v>Simple payback</v>
      </c>
      <c r="X58" s="46" t="str">
        <v>years</v>
      </c>
      <c r="Y58" s="62" t="str">
        <v>Not reached</v>
      </c>
      <c r="Z58" s="62" t="str">
        <v>Not reached</v>
      </c>
      <c r="AA58" s="78" t="str">
        <v>Invalid</v>
      </c>
      <c r="AB58" s="78" t="str">
        <v>Invalid</v>
      </c>
      <c r="AC58" s="78" t="str">
        <v>Invalid</v>
      </c>
      <c r="AD58" s="78" t="str">
        <v>Invalid</v>
      </c>
      <c r="AE58" s="78" t="str">
        <v>Invalid</v>
      </c>
      <c r="AF58" s="78" t="str">
        <v>Invalid</v>
      </c>
      <c r="AG58" s="44"/>
      <c r="AH58" s="44"/>
      <c r="AI58" s="44"/>
      <c r="AJ58" s="44"/>
      <c r="AK58" s="44"/>
      <c r="AL58" s="44"/>
    </row>
    <row r="59" ht="33.95000076293945" customHeight="1">
      <c r="A59" s="4" t="inlineStr">
        <is>
          <t xml:space="preserve">Required area (m2)</t>
        </is>
      </c>
      <c r="B59" s="5"/>
      <c r="C59" s="5" t="n">
        <f>C51*1000/INDEX('Assumptions and Catalog'!$C$73:$I$74,MATCH(J9,'Assumptions and Catalog'!$A$73:$A$74,0),1)*INDEX('Assumptions and Catalog'!$C$73:$I$74,MATCH(J9,'Assumptions and Catalog'!$A$73:$A$74,0),2)*'Assumptions and Catalog'!$C$16</f>
        <v>62.4</v>
      </c>
      <c r="D59" s="5" t="n">
        <f>D51*1000/INDEX('Assumptions and Catalog'!$C$73:$I$74,MATCH(K9,'Assumptions and Catalog'!$A$73:$A$74,0),1)*INDEX('Assumptions and Catalog'!$C$73:$I$74,MATCH(K9,'Assumptions and Catalog'!$A$73:$A$74,0),2)*'Assumptions and Catalog'!$C$16</f>
        <v>0</v>
      </c>
      <c r="E59" s="5" t="n">
        <f>E51*1000/INDEX('Assumptions and Catalog'!$C$73:$I$74,MATCH(L9,'Assumptions and Catalog'!$A$73:$A$74,0),1)*INDEX('Assumptions and Catalog'!$C$73:$I$74,MATCH(L9,'Assumptions and Catalog'!$A$73:$A$74,0),2)*'Assumptions and Catalog'!$C$16</f>
        <v>78</v>
      </c>
      <c r="F59" s="5"/>
      <c r="G59" s="5"/>
      <c r="H59" s="5"/>
      <c r="I59" s="5"/>
      <c r="J59" s="5"/>
      <c r="K59" s="5"/>
      <c r="L59" s="5"/>
      <c r="M59" s="5"/>
      <c r="N59" s="5"/>
      <c r="O59" s="5"/>
      <c r="P59" s="5"/>
      <c r="Q59" s="5"/>
      <c r="R59" s="5"/>
      <c r="S59" s="5"/>
      <c r="T59" s="5"/>
      <c r="U59" s="5"/>
      <c r="W59" s="44" t="str">
        <v>Discounted payback</v>
      </c>
      <c r="X59" s="44" t="str">
        <v>years</v>
      </c>
      <c r="Y59" s="61" t="str">
        <v>Not reached</v>
      </c>
      <c r="Z59" s="61" t="str">
        <v>Not reached</v>
      </c>
      <c r="AA59" s="78" t="str">
        <v>Invalid</v>
      </c>
      <c r="AB59" s="78" t="str">
        <v>Invalid</v>
      </c>
      <c r="AC59" s="78" t="str">
        <v>Invalid</v>
      </c>
      <c r="AD59" s="78" t="str">
        <v>Invalid</v>
      </c>
      <c r="AE59" s="78" t="str">
        <v>Invalid</v>
      </c>
      <c r="AF59" s="78" t="str">
        <v>Invalid</v>
      </c>
      <c r="AG59" s="44"/>
      <c r="AH59" s="44" t="str">
        <v>Receipt baseline: AVESTA Egypt El Mo3alem Shop BESS Report.docx. Verified receipt figures; 2,421 kWh and EGP 8,279. Critical load is a separate manager estimate.</v>
      </c>
      <c r="AI59" s="44"/>
      <c r="AJ59" s="44"/>
      <c r="AK59" s="44"/>
      <c r="AL59" s="44"/>
    </row>
    <row r="60" ht="33.95000076293945" customHeight="1">
      <c r="A60" s="4" t="inlineStr">
        <is>
          <t xml:space="preserve">PV panel cost (EGP)</t>
        </is>
      </c>
      <c r="B60" s="5"/>
      <c r="C60" s="5" t="n">
        <f>C51*1000/INDEX('Assumptions and Catalog'!$C$73:$I$74,MATCH(J9,'Assumptions and Catalog'!$A$73:$A$74,0),1)*INDEX('Assumptions and Catalog'!$C$73:$I$74,MATCH(J9,'Assumptions and Catalog'!$A$73:$A$74,0),3)</f>
        <v>70400</v>
      </c>
      <c r="D60" s="5" t="n">
        <f>D51*1000/INDEX('Assumptions and Catalog'!$C$73:$I$74,MATCH(K9,'Assumptions and Catalog'!$A$73:$A$74,0),1)*INDEX('Assumptions and Catalog'!$C$73:$I$74,MATCH(K9,'Assumptions and Catalog'!$A$73:$A$74,0),3)</f>
        <v>0</v>
      </c>
      <c r="E60" s="5" t="n">
        <f>E51*1000/INDEX('Assumptions and Catalog'!$C$73:$I$74,MATCH(L9,'Assumptions and Catalog'!$A$73:$A$74,0),1)*INDEX('Assumptions and Catalog'!$C$73:$I$74,MATCH(L9,'Assumptions and Catalog'!$A$73:$A$74,0),3)</f>
        <v>88000</v>
      </c>
      <c r="F60" s="5"/>
      <c r="G60" s="5"/>
      <c r="H60" s="5"/>
      <c r="I60" s="5"/>
      <c r="J60" s="5"/>
      <c r="K60" s="5"/>
      <c r="L60" s="5"/>
      <c r="M60" s="5"/>
      <c r="N60" s="5"/>
      <c r="O60" s="5"/>
      <c r="P60" s="5"/>
      <c r="Q60" s="5"/>
      <c r="R60" s="5"/>
      <c r="S60" s="5"/>
      <c r="T60" s="5"/>
      <c r="U60" s="5"/>
      <c r="W60" s="46" t="str">
        <v>Full-charge backup energy</v>
      </c>
      <c r="X60" s="46" t="str">
        <v>kWh AC</v>
      </c>
      <c r="Y60" s="62" t="n">
        <v>0</v>
      </c>
      <c r="Z60" s="62" t="n">
        <v>7.8</v>
      </c>
      <c r="AA60" s="62" t="n">
        <v>7.8</v>
      </c>
      <c r="AB60" s="62" t="n">
        <v>7.8</v>
      </c>
      <c r="AC60" s="62" t="n">
        <v>15.6</v>
      </c>
      <c r="AD60" s="62" t="n">
        <v>23.4</v>
      </c>
      <c r="AE60" s="62" t="n">
        <v>39</v>
      </c>
      <c r="AF60" s="62" t="n">
        <v>39</v>
      </c>
      <c r="AG60" s="44"/>
      <c r="AH60" s="44"/>
      <c r="AI60" s="44"/>
      <c r="AJ60" s="44"/>
      <c r="AK60" s="44"/>
      <c r="AL60" s="44"/>
    </row>
    <row r="61" ht="33.95000076293945" customHeight="1">
      <c r="A61" s="4" t="inlineStr">
        <is>
          <t xml:space="preserve">Battery cost (EGP)</t>
        </is>
      </c>
      <c r="B61" s="5"/>
      <c r="C61" s="5" t="n">
        <f>C52/INDEX('Assumptions and Catalog'!$C$79:$I$81,MATCH(J11,'Assumptions and Catalog'!$A$79:$A$81,0),1)*INDEX('Assumptions and Catalog'!$C$79:$I$81,MATCH(J11,'Assumptions and Catalog'!$A$79:$A$81,0),5)</f>
        <v>0</v>
      </c>
      <c r="D61" s="5" t="n">
        <f>D52/INDEX('Assumptions and Catalog'!$C$79:$I$81,MATCH(K11,'Assumptions and Catalog'!$A$79:$A$81,0),1)*INDEX('Assumptions and Catalog'!$C$79:$I$81,MATCH(K11,'Assumptions and Catalog'!$A$79:$A$81,0),5)</f>
        <v>218240</v>
      </c>
      <c r="E61" s="5" t="n">
        <f>E52/INDEX('Assumptions and Catalog'!$C$79:$I$81,MATCH(L11,'Assumptions and Catalog'!$A$79:$A$81,0),1)*INDEX('Assumptions and Catalog'!$C$79:$I$81,MATCH(L11,'Assumptions and Catalog'!$A$79:$A$81,0),5)</f>
        <v>218240</v>
      </c>
      <c r="F61" s="5"/>
      <c r="G61" s="5"/>
      <c r="H61" s="5"/>
      <c r="I61" s="5"/>
      <c r="J61" s="5"/>
      <c r="K61" s="5"/>
      <c r="L61" s="5"/>
      <c r="M61" s="5"/>
      <c r="N61" s="5"/>
      <c r="O61" s="5"/>
      <c r="P61" s="5"/>
      <c r="Q61" s="5"/>
      <c r="R61" s="5"/>
      <c r="S61" s="5"/>
      <c r="T61" s="5"/>
      <c r="U61" s="5"/>
      <c r="W61" s="44" t="str">
        <v>Maximum backup power</v>
      </c>
      <c r="X61" s="44" t="str">
        <v>kW</v>
      </c>
      <c r="Y61" s="61" t="n">
        <v>0</v>
      </c>
      <c r="Z61" s="61" t="n">
        <v>3</v>
      </c>
      <c r="AA61" s="61" t="n">
        <v>3</v>
      </c>
      <c r="AB61" s="61" t="n">
        <v>5</v>
      </c>
      <c r="AC61" s="61" t="n">
        <v>10</v>
      </c>
      <c r="AD61" s="61" t="n">
        <v>5</v>
      </c>
      <c r="AE61" s="61" t="n">
        <v>10</v>
      </c>
      <c r="AF61" s="61" t="n">
        <v>5</v>
      </c>
      <c r="AG61" s="44"/>
      <c r="AH61" s="44"/>
      <c r="AI61" s="44"/>
      <c r="AJ61" s="44"/>
      <c r="AK61" s="44"/>
      <c r="AL61" s="44"/>
    </row>
    <row r="62" ht="33.95000076293945" customHeight="1">
      <c r="A62" s="4" t="inlineStr">
        <is>
          <t xml:space="preserve">Inverter cost (EGP)</t>
        </is>
      </c>
      <c r="B62" s="5"/>
      <c r="C62" s="5" t="n">
        <f>INDEX('Assumptions and Catalog'!$C$86:$I$89,MATCH(J13,'Assumptions and Catalog'!$A$86:$A$89,0),5)</f>
        <v>60000</v>
      </c>
      <c r="D62" s="5" t="n">
        <f>INDEX('Assumptions and Catalog'!$C$86:$I$89,MATCH(K13,'Assumptions and Catalog'!$A$86:$A$89,0),5)</f>
        <v>30000</v>
      </c>
      <c r="E62" s="5" t="n">
        <f>INDEX('Assumptions and Catalog'!$C$86:$I$89,MATCH(L13,'Assumptions and Catalog'!$A$86:$A$89,0),5)</f>
        <v>72000</v>
      </c>
      <c r="F62" s="5"/>
      <c r="G62" s="5"/>
      <c r="H62" s="5"/>
      <c r="I62" s="5"/>
      <c r="J62" s="5"/>
      <c r="K62" s="5"/>
      <c r="L62" s="5"/>
      <c r="M62" s="5"/>
      <c r="N62" s="5"/>
      <c r="O62" s="5"/>
      <c r="P62" s="5"/>
      <c r="Q62" s="5"/>
      <c r="R62" s="5"/>
      <c r="S62" s="5"/>
      <c r="T62" s="5"/>
      <c r="U62" s="5"/>
      <c r="W62" s="46" t="str">
        <v>Backup hours from full charge</v>
      </c>
      <c r="X62" s="46" t="str">
        <v>hours</v>
      </c>
      <c r="Y62" s="62" t="str">
        <v>Not available</v>
      </c>
      <c r="Z62" s="62" t="str">
        <v>Load exceeds power limit</v>
      </c>
      <c r="AA62" s="78" t="str">
        <v>Invalid</v>
      </c>
      <c r="AB62" s="78" t="str">
        <v>Invalid</v>
      </c>
      <c r="AC62" s="78" t="str">
        <v>Invalid</v>
      </c>
      <c r="AD62" s="78" t="str">
        <v>Invalid</v>
      </c>
      <c r="AE62" s="78" t="str">
        <v>Invalid</v>
      </c>
      <c r="AF62" s="78" t="str">
        <v>Invalid</v>
      </c>
      <c r="AG62" s="44"/>
      <c r="AH62" s="44" t="str">
        <v>Repository: github.com/boodyelkady1998-sudo/avesta-bess-sizing-tool. Manager source: equations-presentation branch. Workbook baseline: excel-sheet-branch.</v>
      </c>
      <c r="AI62" s="44"/>
      <c r="AJ62" s="44"/>
      <c r="AK62" s="44"/>
      <c r="AL62" s="44"/>
    </row>
    <row r="63" ht="33.95000076293945" customHeight="1">
      <c r="A63" s="4" t="inlineStr">
        <is>
          <t xml:space="preserve">Installation and BOS (EGP)</t>
        </is>
      </c>
      <c r="B63" s="5"/>
      <c r="C63" s="5" t="n">
        <f>SUM(C60:C62)*'Assumptions and Catalog'!$C$17</f>
        <v>13040</v>
      </c>
      <c r="D63" s="5" t="n">
        <f>SUM(D60:D62)*'Assumptions and Catalog'!$C$17</f>
        <v>24824</v>
      </c>
      <c r="E63" s="5" t="n">
        <f>SUM(E60:E62)*'Assumptions and Catalog'!$C$17</f>
        <v>37824</v>
      </c>
      <c r="F63" s="5"/>
      <c r="G63" s="5"/>
      <c r="H63" s="5"/>
      <c r="I63" s="5"/>
      <c r="J63" s="5"/>
      <c r="K63" s="5"/>
      <c r="L63" s="5"/>
      <c r="M63" s="5"/>
      <c r="N63" s="5"/>
      <c r="O63" s="5"/>
      <c r="P63" s="5"/>
      <c r="Q63" s="5"/>
      <c r="R63" s="5"/>
      <c r="S63" s="5"/>
      <c r="T63" s="5"/>
      <c r="U63" s="5"/>
      <c r="W63" s="44" t="str">
        <v>Reserved backup energy</v>
      </c>
      <c r="X63" s="44" t="str">
        <v>kWh AC</v>
      </c>
      <c r="Y63" s="61" t="n">
        <v>0</v>
      </c>
      <c r="Z63" s="61" t="n">
        <v>7.8</v>
      </c>
      <c r="AA63" s="61" t="n">
        <v>1.56</v>
      </c>
      <c r="AB63" s="61" t="n">
        <v>1.56</v>
      </c>
      <c r="AC63" s="61" t="n">
        <v>3.12</v>
      </c>
      <c r="AD63" s="61" t="n">
        <v>4.68</v>
      </c>
      <c r="AE63" s="61" t="n">
        <v>7.8</v>
      </c>
      <c r="AF63" s="61" t="n">
        <v>7.8</v>
      </c>
      <c r="AG63" s="44"/>
      <c r="AH63" s="44"/>
      <c r="AI63" s="44"/>
      <c r="AJ63" s="44"/>
      <c r="AK63" s="44"/>
      <c r="AL63" s="44"/>
    </row>
    <row r="64" ht="33.95000076293945" customHeight="1">
      <c r="A64" s="4" t="inlineStr">
        <is>
          <t xml:space="preserve">Total investment (EGP)</t>
        </is>
      </c>
      <c r="B64" s="5"/>
      <c r="C64" s="5" t="n">
        <f>SUM(C60:C63)</f>
        <v>143440</v>
      </c>
      <c r="D64" s="5" t="n">
        <f>SUM(D60:D63)</f>
        <v>273064</v>
      </c>
      <c r="E64" s="5" t="n">
        <f>SUM(E60:E63)</f>
        <v>416064</v>
      </c>
      <c r="F64" s="5"/>
      <c r="G64" s="5"/>
      <c r="H64" s="5"/>
      <c r="I64" s="5"/>
      <c r="J64" s="5"/>
      <c r="K64" s="5"/>
      <c r="L64" s="5"/>
      <c r="M64" s="5"/>
      <c r="N64" s="5"/>
      <c r="O64" s="5"/>
      <c r="P64" s="5"/>
      <c r="Q64" s="5"/>
      <c r="R64" s="5"/>
      <c r="S64" s="5"/>
      <c r="T64" s="5"/>
      <c r="U64" s="5"/>
      <c r="W64" s="46" t="str">
        <v>System role</v>
      </c>
      <c r="X64" s="46" t="str"/>
      <c r="Y64" s="62" t="str">
        <v>Bill savings</v>
      </c>
      <c r="Z64" s="62" t="str">
        <v>Backup capability, no bill savings</v>
      </c>
      <c r="AA64" s="78" t="str">
        <v>Invalid</v>
      </c>
      <c r="AB64" s="78" t="str">
        <v>Invalid</v>
      </c>
      <c r="AC64" s="78" t="str">
        <v>Invalid</v>
      </c>
      <c r="AD64" s="78" t="str">
        <v>Invalid</v>
      </c>
      <c r="AE64" s="78" t="str">
        <v>Invalid</v>
      </c>
      <c r="AF64" s="78" t="str">
        <v>Invalid</v>
      </c>
      <c r="AG64" s="44"/>
      <c r="AH64" s="44"/>
      <c r="AI64" s="44"/>
      <c r="AJ64" s="44"/>
      <c r="AK64" s="44"/>
      <c r="AL64" s="44"/>
    </row>
    <row r="65" ht="33.95000076293945" customHeight="1">
      <c r="A65" s="4" t="inlineStr">
        <is>
          <t xml:space="preserve">Model validity 1/0</t>
        </is>
      </c>
      <c r="B65" s="5"/>
      <c r="C65" s="5" t="n">
        <f>IF(AND(Inputs!$L$3="Ready for indicative calculation",C51&lt;=C54,OR(Inputs!$C$14="Unspecified",C59&lt;=Inputs!$C$15),C66="Compatible under assumptions",J10&gt;=0,J12&gt;=0,MOD(J10,1)=0,MOD(J12,1)=0,J14&gt;=0,J14&lt;=1,'Assumptions and Catalog'!$C$11&gt;0,'Assumptions and Catalog'!$C$11&lt;=1,'Assumptions and Catalog'!$C$12&gt;0,'Assumptions and Catalog'!$C$12&lt;=1,'Assumptions and Catalog'!$C$6&gt;=1,'Assumptions and Catalog'!$C$6&lt;=20),1,0)</f>
        <v>1</v>
      </c>
      <c r="D65" s="5" t="n">
        <f>IF(AND(Inputs!$L$3="Ready for indicative calculation",D51&lt;=D54,OR(Inputs!$C$14="Unspecified",D59&lt;=Inputs!$C$15),D66="Compatible under assumptions",K10&gt;=0,K12&gt;=0,MOD(K10,1)=0,MOD(K12,1)=0,K14&gt;=0,K14&lt;=1,'Assumptions and Catalog'!$C$11&gt;0,'Assumptions and Catalog'!$C$11&lt;=1,'Assumptions and Catalog'!$C$12&gt;0,'Assumptions and Catalog'!$C$12&lt;=1,'Assumptions and Catalog'!$C$6&gt;=1,'Assumptions and Catalog'!$C$6&lt;=20),1,0)</f>
        <v>1</v>
      </c>
      <c r="E65" s="5" t="n">
        <f>IF(AND(Inputs!$L$3="Ready for indicative calculation",E51&lt;=E54,OR(Inputs!$C$14="Unspecified",E59&lt;=Inputs!$C$15),E66="Compatible under assumptions",L10&gt;=0,L12&gt;=0,MOD(L10,1)=0,MOD(L12,1)=0,L14&gt;=0,L14&lt;=1,'Assumptions and Catalog'!$C$11&gt;0,'Assumptions and Catalog'!$C$11&lt;=1,'Assumptions and Catalog'!$C$12&gt;0,'Assumptions and Catalog'!$C$12&lt;=1,'Assumptions and Catalog'!$C$6&gt;=1,'Assumptions and Catalog'!$C$6&lt;=20),1,0)</f>
        <v>1</v>
      </c>
      <c r="F65" s="5"/>
      <c r="G65" s="5"/>
      <c r="H65" s="5"/>
      <c r="I65" s="5"/>
      <c r="J65" s="5"/>
      <c r="K65" s="5"/>
      <c r="L65" s="5"/>
      <c r="M65" s="5"/>
      <c r="N65" s="5"/>
      <c r="O65" s="5"/>
      <c r="P65" s="5"/>
      <c r="Q65" s="5"/>
      <c r="R65" s="5"/>
      <c r="S65" s="5"/>
      <c r="T65" s="5"/>
      <c r="U65" s="5"/>
      <c r="W65" s="44" t="str">
        <v>Financial outcome</v>
      </c>
      <c r="X65" s="44" t="str"/>
      <c r="Y65" s="61" t="str">
        <v>Negative NPV under assumptions</v>
      </c>
      <c r="Z65" s="61" t="str">
        <v>Negative NPV under assumptions</v>
      </c>
      <c r="AA65" s="78" t="str">
        <v>Invalid</v>
      </c>
      <c r="AB65" s="78" t="str">
        <v>Invalid</v>
      </c>
      <c r="AC65" s="78" t="str">
        <v>Invalid</v>
      </c>
      <c r="AD65" s="78" t="str">
        <v>Invalid</v>
      </c>
      <c r="AE65" s="78" t="str">
        <v>Invalid</v>
      </c>
      <c r="AF65" s="78" t="str">
        <v>Invalid</v>
      </c>
      <c r="AG65" s="44"/>
      <c r="AH65" s="44" t="str">
        <v>Baseline native recalculation matched every original value with no formula errors. No business formula changes were required for these tests. Model limitations were retained, not hidden.</v>
      </c>
      <c r="AI65" s="44"/>
      <c r="AJ65" s="44"/>
      <c r="AK65" s="44"/>
      <c r="AL65" s="44"/>
    </row>
    <row r="66" ht="33.95000076293945" customHeight="1">
      <c r="A66" s="4" t="inlineStr">
        <is>
          <t xml:space="preserve">Compatibility status</t>
        </is>
      </c>
      <c r="B66" s="5"/>
      <c r="C66" s="13" t="str">
        <f>IF(OR(C52=0,INDEX('Assumptions and Catalog'!$C$79:$I$81,MATCH(J11,'Assumptions and Catalog'!$A$79:$A$81,0),6)=INDEX('Assumptions and Catalog'!$C$86:$I$89,MATCH(J13,'Assumptions and Catalog'!$A$86:$A$89,0),6)),"Compatible under assumptions","Incompatible")</f>
        <v>Compatible under assumptions</v>
      </c>
      <c r="D66" s="13" t="str">
        <f>IF(OR(D52=0,INDEX('Assumptions and Catalog'!$C$79:$I$81,MATCH(K11,'Assumptions and Catalog'!$A$79:$A$81,0),6)=INDEX('Assumptions and Catalog'!$C$86:$I$89,MATCH(K13,'Assumptions and Catalog'!$A$86:$A$89,0),6)),"Compatible under assumptions","Incompatible")</f>
        <v>Compatible under assumptions</v>
      </c>
      <c r="E66" s="13" t="str">
        <f>IF(OR(E52=0,INDEX('Assumptions and Catalog'!$C$79:$I$81,MATCH(L11,'Assumptions and Catalog'!$A$79:$A$81,0),6)=INDEX('Assumptions and Catalog'!$C$86:$I$89,MATCH(L13,'Assumptions and Catalog'!$A$86:$A$89,0),6)),"Compatible under assumptions","Incompatible")</f>
        <v>Compatible under assumptions</v>
      </c>
      <c r="F66" s="5"/>
      <c r="G66" s="5"/>
      <c r="H66" s="5"/>
      <c r="I66" s="5"/>
      <c r="J66" s="5"/>
      <c r="K66" s="5"/>
      <c r="L66" s="5"/>
      <c r="M66" s="5"/>
      <c r="N66" s="5"/>
      <c r="O66" s="5"/>
      <c r="P66" s="5"/>
      <c r="Q66" s="5"/>
      <c r="R66" s="5"/>
      <c r="S66" s="5"/>
      <c r="T66" s="5"/>
      <c r="U66" s="5"/>
      <c r="W66" s="46" t="str">
        <v>Roof area status</v>
      </c>
      <c r="X66" s="46" t="str"/>
      <c r="Y66" s="62" t="str">
        <v>Roof fit not verified</v>
      </c>
      <c r="Z66" s="62" t="str">
        <v>Roof fit not verified</v>
      </c>
      <c r="AA66" s="62" t="str">
        <v>Exceeds available area</v>
      </c>
      <c r="AB66" s="62" t="str">
        <v>Exceeds available area</v>
      </c>
      <c r="AC66" s="62" t="str">
        <v>Exceeds available area</v>
      </c>
      <c r="AD66" s="62" t="str">
        <v>Exceeds available area</v>
      </c>
      <c r="AE66" s="62" t="str">
        <v>Exceeds available area</v>
      </c>
      <c r="AF66" s="62" t="str">
        <v>Exceeds available area</v>
      </c>
      <c r="AG66" s="44"/>
      <c r="AH66" s="44"/>
      <c r="AI66" s="44"/>
      <c r="AJ66" s="44"/>
      <c r="AK66" s="44"/>
      <c r="AL66" s="44"/>
    </row>
    <row r="67" ht="33.95000076293945" customHeight="1">
      <c r="A67" s="4" t="inlineStr">
        <is>
          <t xml:space="preserve">Reserved internal energy (kWh)</t>
        </is>
      </c>
      <c r="B67" s="5"/>
      <c r="C67" s="5" t="n">
        <f>C55*J14</f>
        <v>0</v>
      </c>
      <c r="D67" s="5" t="n">
        <f>D55*K14</f>
        <v>12.8</v>
      </c>
      <c r="E67" s="5" t="n">
        <f>E55*L14</f>
        <v>2.56</v>
      </c>
      <c r="F67" s="5"/>
      <c r="G67" s="5"/>
      <c r="H67" s="5"/>
      <c r="I67" s="5"/>
      <c r="J67" s="5"/>
      <c r="K67" s="5"/>
      <c r="L67" s="5"/>
      <c r="M67" s="5"/>
      <c r="N67" s="5"/>
      <c r="O67" s="5"/>
      <c r="P67" s="5"/>
      <c r="Q67" s="5"/>
      <c r="R67" s="5"/>
      <c r="S67" s="5"/>
      <c r="T67" s="5"/>
      <c r="U67" s="5"/>
      <c r="W67" s="75" t="str">
        <v>Year-1 energy detail - diagnostic where roof is invalid</v>
      </c>
      <c r="X67" s="74"/>
      <c r="Y67" s="74"/>
      <c r="Z67" s="74"/>
      <c r="AA67" s="74"/>
      <c r="AB67" s="74"/>
      <c r="AC67" s="74"/>
      <c r="AD67" s="74"/>
      <c r="AE67" s="74"/>
      <c r="AF67" s="74"/>
      <c r="AG67" s="44"/>
      <c r="AH67" s="44"/>
      <c r="AI67" s="44"/>
      <c r="AJ67" s="44"/>
      <c r="AK67" s="44"/>
      <c r="AL67" s="44"/>
    </row>
    <row r="68" ht="33.95000076293945" customHeight="1">
      <c r="A68" s="4" t="inlineStr">
        <is>
          <t xml:space="preserve">Full-charge backup (kWh AC)</t>
        </is>
      </c>
      <c r="B68" s="5"/>
      <c r="C68" s="5" t="n">
        <f>IF(C58=1,C55*'Assumptions and Catalog'!$C$12,0)</f>
        <v>0</v>
      </c>
      <c r="D68" s="5" t="n">
        <f>IF(D58=1,D55*'Assumptions and Catalog'!$C$12,0)</f>
        <v>12.48</v>
      </c>
      <c r="E68" s="5" t="n">
        <f>IF(E58=1,E55*'Assumptions and Catalog'!$C$12,0)</f>
        <v>12.48</v>
      </c>
      <c r="F68" s="5"/>
      <c r="G68" s="5"/>
      <c r="H68" s="5"/>
      <c r="I68" s="5"/>
      <c r="J68" s="5"/>
      <c r="K68" s="5"/>
      <c r="L68" s="5"/>
      <c r="M68" s="5"/>
      <c r="N68" s="5"/>
      <c r="O68" s="5"/>
      <c r="P68" s="5"/>
      <c r="Q68" s="5"/>
      <c r="R68" s="5"/>
      <c r="S68" s="5"/>
      <c r="T68" s="5"/>
      <c r="U68" s="5"/>
      <c r="W68" s="46" t="str">
        <v>Direct solar use</v>
      </c>
      <c r="X68" s="46" t="str">
        <v>kWh/year</v>
      </c>
      <c r="Y68" s="64" t="n">
        <v>14727.750000000002</v>
      </c>
      <c r="Z68" s="64" t="n">
        <v>0</v>
      </c>
      <c r="AA68" s="64" t="n">
        <v>3653.577</v>
      </c>
      <c r="AB68" s="64" t="n">
        <v>8525.012999999999</v>
      </c>
      <c r="AC68" s="64" t="n">
        <v>14727.750000000002</v>
      </c>
      <c r="AD68" s="64" t="n">
        <v>3653.577</v>
      </c>
      <c r="AE68" s="64" t="n">
        <v>14727.750000000002</v>
      </c>
      <c r="AF68" s="64" t="n">
        <v>3653.577</v>
      </c>
      <c r="AG68" s="44"/>
      <c r="AH68" s="74" t="str">
        <v>Boundary tests - original live model</v>
      </c>
      <c r="AI68" s="74"/>
      <c r="AJ68" s="74"/>
      <c r="AK68" s="74"/>
      <c r="AL68" s="74"/>
    </row>
    <row r="69" ht="33.95000076293945" customHeight="1">
      <c r="A69" s="4" t="inlineStr">
        <is>
          <t xml:space="preserve">Backup power (kW)</t>
        </is>
      </c>
      <c r="B69" s="5"/>
      <c r="C69" s="5" t="n">
        <f>IF(C58=1,C57,0)</f>
        <v>0</v>
      </c>
      <c r="D69" s="5" t="n">
        <f>IF(D58=1,D57,0)</f>
        <v>5</v>
      </c>
      <c r="E69" s="5" t="n">
        <f>IF(E58=1,E57,0)</f>
        <v>8</v>
      </c>
      <c r="F69" s="5"/>
      <c r="G69" s="5"/>
      <c r="H69" s="5"/>
      <c r="I69" s="5"/>
      <c r="J69" s="5"/>
      <c r="K69" s="5"/>
      <c r="L69" s="5"/>
      <c r="M69" s="5"/>
      <c r="N69" s="5"/>
      <c r="O69" s="5"/>
      <c r="P69" s="5"/>
      <c r="Q69" s="5"/>
      <c r="R69" s="5"/>
      <c r="S69" s="5"/>
      <c r="T69" s="5"/>
      <c r="U69" s="5"/>
      <c r="W69" s="44" t="str">
        <v>Solar energy sent to battery (AC input)</v>
      </c>
      <c r="X69" s="44" t="str">
        <v>kWh/year</v>
      </c>
      <c r="Y69" s="63" t="n">
        <v>0</v>
      </c>
      <c r="Z69" s="63" t="n">
        <v>0</v>
      </c>
      <c r="AA69" s="63" t="n">
        <v>0</v>
      </c>
      <c r="AB69" s="63" t="n">
        <v>0</v>
      </c>
      <c r="AC69" s="63" t="n">
        <v>3540.135000000001</v>
      </c>
      <c r="AD69" s="63" t="n">
        <v>0</v>
      </c>
      <c r="AE69" s="63" t="n">
        <v>3540.135000000001</v>
      </c>
      <c r="AF69" s="63" t="n">
        <v>0</v>
      </c>
      <c r="AG69" s="44"/>
      <c r="AH69" s="44"/>
      <c r="AI69" s="44"/>
      <c r="AJ69" s="44"/>
      <c r="AK69" s="44"/>
      <c r="AL69" s="44"/>
    </row>
    <row r="70" ht="33.95000076293945" customHeight="1">
      <c r="A70" s="4" t="inlineStr">
        <is>
          <t xml:space="preserve">Year 1 maintenance (EGP)</t>
        </is>
      </c>
      <c r="B70" s="5"/>
      <c r="C70" s="5" t="n">
        <f>C64*'Assumptions and Catalog'!$C$18</f>
        <v>1434.4</v>
      </c>
      <c r="D70" s="5" t="n">
        <f>D64*'Assumptions and Catalog'!$C$18</f>
        <v>2730.64</v>
      </c>
      <c r="E70" s="5" t="n">
        <f>E64*'Assumptions and Catalog'!$C$18</f>
        <v>4160.64</v>
      </c>
      <c r="F70" s="5"/>
      <c r="G70" s="5"/>
      <c r="H70" s="5"/>
      <c r="I70" s="5"/>
      <c r="J70" s="5"/>
      <c r="K70" s="5"/>
      <c r="L70" s="5"/>
      <c r="M70" s="5"/>
      <c r="N70" s="5"/>
      <c r="O70" s="5"/>
      <c r="P70" s="5"/>
      <c r="Q70" s="5"/>
      <c r="R70" s="5"/>
      <c r="S70" s="5"/>
      <c r="T70" s="5"/>
      <c r="U70" s="5"/>
      <c r="W70" s="46" t="str">
        <v>Battery delivery to loads (AC output)</v>
      </c>
      <c r="X70" s="46" t="str">
        <v>kWh/year</v>
      </c>
      <c r="Y70" s="64" t="n">
        <v>0</v>
      </c>
      <c r="Z70" s="64" t="n">
        <v>0</v>
      </c>
      <c r="AA70" s="64" t="n">
        <v>0</v>
      </c>
      <c r="AB70" s="64" t="n">
        <v>0</v>
      </c>
      <c r="AC70" s="64" t="n">
        <v>3365.3408343750016</v>
      </c>
      <c r="AD70" s="64" t="n">
        <v>0</v>
      </c>
      <c r="AE70" s="64" t="n">
        <v>3365.3408343750016</v>
      </c>
      <c r="AF70" s="64" t="n">
        <v>0</v>
      </c>
      <c r="AG70" s="44"/>
      <c r="AH70" s="44" t="str">
        <v>Zero solar</v>
      </c>
      <c r="AI70" s="44"/>
      <c r="AJ70" s="44"/>
      <c r="AK70" s="44" t="str">
        <v>PASS: no solar production or bill savings</v>
      </c>
      <c r="AL70" s="44"/>
    </row>
    <row r="71" ht="33.95000076293945" customHeight="1">
      <c r="A71" s="3"/>
      <c r="B71" s="5"/>
      <c r="C71" s="5"/>
      <c r="D71" s="5"/>
      <c r="E71" s="5"/>
      <c r="F71" s="5"/>
      <c r="G71" s="5"/>
      <c r="H71" s="5"/>
      <c r="I71" s="5"/>
      <c r="J71" s="5"/>
      <c r="K71" s="5"/>
      <c r="L71" s="5"/>
      <c r="M71" s="5"/>
      <c r="N71" s="5"/>
      <c r="O71" s="5"/>
      <c r="P71" s="5"/>
      <c r="Q71" s="5"/>
      <c r="R71" s="5"/>
      <c r="S71" s="5"/>
      <c r="T71" s="5"/>
      <c r="U71" s="5"/>
      <c r="W71" s="44" t="str">
        <v>Battery conversion losses</v>
      </c>
      <c r="X71" s="44" t="str">
        <v>kWh/year</v>
      </c>
      <c r="Y71" s="63" t="n">
        <v>0</v>
      </c>
      <c r="Z71" s="63" t="n">
        <v>0</v>
      </c>
      <c r="AA71" s="63" t="n">
        <v>0</v>
      </c>
      <c r="AB71" s="63" t="n">
        <v>0</v>
      </c>
      <c r="AC71" s="63" t="n">
        <v>174.79416562500023</v>
      </c>
      <c r="AD71" s="63" t="n">
        <v>0</v>
      </c>
      <c r="AE71" s="63" t="n">
        <v>174.79416562500023</v>
      </c>
      <c r="AF71" s="63" t="n">
        <v>0</v>
      </c>
      <c r="AG71" s="44"/>
      <c r="AH71" s="44"/>
      <c r="AI71" s="44"/>
      <c r="AJ71" s="44"/>
      <c r="AK71" s="44"/>
      <c r="AL71" s="44"/>
    </row>
    <row r="72" ht="33.95000076293945" customHeight="1">
      <c r="A72" s="3"/>
      <c r="B72" s="5"/>
      <c r="C72" s="5"/>
      <c r="D72" s="5"/>
      <c r="E72" s="5"/>
      <c r="F72" s="5"/>
      <c r="G72" s="5"/>
      <c r="H72" s="5"/>
      <c r="I72" s="5"/>
      <c r="J72" s="5"/>
      <c r="K72" s="5"/>
      <c r="L72" s="5"/>
      <c r="M72" s="5"/>
      <c r="N72" s="5"/>
      <c r="O72" s="5"/>
      <c r="P72" s="5"/>
      <c r="Q72" s="5"/>
      <c r="R72" s="5"/>
      <c r="S72" s="5"/>
      <c r="T72" s="5"/>
      <c r="U72" s="5"/>
      <c r="W72" s="46" t="str">
        <v>Unused solar energy; no export income</v>
      </c>
      <c r="X72" s="46" t="str">
        <v>kWh/year</v>
      </c>
      <c r="Y72" s="64" t="n">
        <v>31260.06</v>
      </c>
      <c r="Z72" s="64" t="n">
        <v>0</v>
      </c>
      <c r="AA72" s="64" t="n">
        <v>0</v>
      </c>
      <c r="AB72" s="64" t="n">
        <v>0</v>
      </c>
      <c r="AC72" s="64" t="n">
        <v>0</v>
      </c>
      <c r="AD72" s="64" t="n">
        <v>0</v>
      </c>
      <c r="AE72" s="64" t="n">
        <v>0</v>
      </c>
      <c r="AF72" s="64" t="n">
        <v>0</v>
      </c>
      <c r="AG72" s="44"/>
      <c r="AH72" s="44" t="str">
        <v>Zero battery</v>
      </c>
      <c r="AI72" s="44"/>
      <c r="AJ72" s="44"/>
      <c r="AK72" s="44" t="str">
        <v>PASS: zero battery capacity, backup and incremental storage savings</v>
      </c>
      <c r="AL72" s="44"/>
    </row>
    <row r="73" ht="33.95000076293945" customHeight="1">
      <c r="A73" s="3"/>
      <c r="B73" s="5"/>
      <c r="C73" s="5"/>
      <c r="D73" s="5"/>
      <c r="E73" s="5"/>
      <c r="F73" s="5"/>
      <c r="G73" s="5"/>
      <c r="H73" s="5"/>
      <c r="I73" s="5"/>
      <c r="J73" s="5"/>
      <c r="K73" s="5"/>
      <c r="L73" s="5"/>
      <c r="M73" s="5"/>
      <c r="N73" s="5"/>
      <c r="O73" s="5"/>
      <c r="P73" s="5"/>
      <c r="Q73" s="5"/>
      <c r="R73" s="5"/>
      <c r="S73" s="5"/>
      <c r="T73" s="5"/>
      <c r="U73" s="5"/>
      <c r="W73" s="44" t="str">
        <v>Grid energy purchased</v>
      </c>
      <c r="X73" s="44" t="str">
        <v>kWh/year</v>
      </c>
      <c r="Y73" s="63" t="n">
        <v>14727.750000000002</v>
      </c>
      <c r="Z73" s="63" t="n">
        <v>29455.500000000004</v>
      </c>
      <c r="AA73" s="63" t="n">
        <v>25801.923</v>
      </c>
      <c r="AB73" s="63" t="n">
        <v>20930.487</v>
      </c>
      <c r="AC73" s="63" t="n">
        <v>11362.409165625002</v>
      </c>
      <c r="AD73" s="63" t="n">
        <v>25801.923</v>
      </c>
      <c r="AE73" s="63" t="n">
        <v>11362.409165625002</v>
      </c>
      <c r="AF73" s="63" t="n">
        <v>25801.923</v>
      </c>
      <c r="AG73" s="44"/>
      <c r="AH73" s="44"/>
      <c r="AI73" s="44"/>
      <c r="AJ73" s="44"/>
      <c r="AK73" s="44"/>
      <c r="AL73" s="44"/>
    </row>
    <row r="74" ht="33.95000076293945" customHeight="1">
      <c r="A74" s="3"/>
      <c r="B74" s="5"/>
      <c r="C74" s="5"/>
      <c r="D74" s="5"/>
      <c r="E74" s="5"/>
      <c r="F74" s="5"/>
      <c r="G74" s="5"/>
      <c r="H74" s="5"/>
      <c r="I74" s="5"/>
      <c r="J74" s="5"/>
      <c r="K74" s="5"/>
      <c r="L74" s="5"/>
      <c r="M74" s="5"/>
      <c r="N74" s="5"/>
      <c r="O74" s="5"/>
      <c r="P74" s="5"/>
      <c r="Q74" s="5"/>
      <c r="R74" s="5"/>
      <c r="S74" s="5"/>
      <c r="T74" s="5"/>
      <c r="U74" s="5"/>
      <c r="W74" s="46" t="str">
        <v>Daytime demand</v>
      </c>
      <c r="X74" s="46" t="str">
        <v>kWh/year</v>
      </c>
      <c r="Y74" s="64" t="n">
        <v>14727.75</v>
      </c>
      <c r="Z74" s="64" t="n">
        <v>14727.75</v>
      </c>
      <c r="AA74" s="64" t="n">
        <v>14727.75</v>
      </c>
      <c r="AB74" s="64" t="n">
        <v>14727.75</v>
      </c>
      <c r="AC74" s="64" t="n">
        <v>14727.75</v>
      </c>
      <c r="AD74" s="64" t="n">
        <v>14727.75</v>
      </c>
      <c r="AE74" s="64" t="n">
        <v>14727.75</v>
      </c>
      <c r="AF74" s="64" t="n">
        <v>14727.75</v>
      </c>
      <c r="AG74" s="44"/>
      <c r="AH74" s="44" t="str">
        <v>Night-only demand</v>
      </c>
      <c r="AI74" s="44"/>
      <c r="AJ74" s="44"/>
      <c r="AK74" s="44" t="str">
        <v>PASS: solar-only bill savings equal zero</v>
      </c>
      <c r="AL74" s="44"/>
    </row>
    <row r="75" ht="33.95000076293945" customHeight="1">
      <c r="A75" s="21" t="inlineStr">
        <is>
          <t xml:space="preserve">Annual cash flows — year-end timing</t>
        </is>
      </c>
      <c r="B75" s="22"/>
      <c r="C75" s="22"/>
      <c r="D75" s="22"/>
      <c r="E75" s="22"/>
      <c r="F75" s="22"/>
      <c r="G75" s="22"/>
      <c r="H75" s="22"/>
      <c r="I75" s="22"/>
      <c r="J75" s="22"/>
      <c r="K75" s="22"/>
      <c r="L75" s="22"/>
      <c r="M75" s="22"/>
      <c r="N75" s="22"/>
      <c r="O75" s="5"/>
      <c r="P75" s="5"/>
      <c r="Q75" s="5"/>
      <c r="R75" s="5"/>
      <c r="S75" s="5"/>
      <c r="T75" s="5"/>
      <c r="U75" s="5"/>
      <c r="W75" s="44" t="str">
        <v>Nighttime demand</v>
      </c>
      <c r="X75" s="44" t="str">
        <v>kWh/year</v>
      </c>
      <c r="Y75" s="63" t="n">
        <v>14727.75</v>
      </c>
      <c r="Z75" s="63" t="n">
        <v>14727.75</v>
      </c>
      <c r="AA75" s="63" t="n">
        <v>14727.75</v>
      </c>
      <c r="AB75" s="63" t="n">
        <v>14727.75</v>
      </c>
      <c r="AC75" s="63" t="n">
        <v>14727.75</v>
      </c>
      <c r="AD75" s="63" t="n">
        <v>14727.75</v>
      </c>
      <c r="AE75" s="63" t="n">
        <v>14727.75</v>
      </c>
      <c r="AF75" s="63" t="n">
        <v>14727.75</v>
      </c>
      <c r="AG75" s="44"/>
      <c r="AH75" s="44"/>
      <c r="AI75" s="44"/>
      <c r="AJ75" s="44"/>
      <c r="AK75" s="44"/>
      <c r="AL75" s="44"/>
    </row>
    <row r="76" ht="33.95000076293945" customHeight="1">
      <c r="A76" s="3"/>
      <c r="B76" s="5"/>
      <c r="C76" s="5"/>
      <c r="D76" s="5"/>
      <c r="E76" s="5"/>
      <c r="F76" s="5"/>
      <c r="G76" s="5"/>
      <c r="H76" s="5"/>
      <c r="I76" s="5"/>
      <c r="J76" s="5"/>
      <c r="K76" s="5"/>
      <c r="L76" s="5"/>
      <c r="M76" s="5"/>
      <c r="N76" s="5"/>
      <c r="O76" s="5"/>
      <c r="P76" s="5"/>
      <c r="Q76" s="5"/>
      <c r="R76" s="5"/>
      <c r="S76" s="5"/>
      <c r="T76" s="5"/>
      <c r="U76" s="5"/>
      <c r="W76" s="46" t="str">
        <v>Battery savings vs same PV without storage</v>
      </c>
      <c r="X76" s="46" t="str">
        <v>EGP/year</v>
      </c>
      <c r="Y76" s="58" t="n">
        <v>0</v>
      </c>
      <c r="Z76" s="58" t="n">
        <v>0</v>
      </c>
      <c r="AA76" s="58" t="n">
        <v>5.4569682106375694e-12</v>
      </c>
      <c r="AB76" s="58" t="n">
        <v>0</v>
      </c>
      <c r="AC76" s="58" t="n">
        <v>10958.381611218749</v>
      </c>
      <c r="AD76" s="58" t="n">
        <v>5.4569682106375694e-12</v>
      </c>
      <c r="AE76" s="58" t="n">
        <v>10958.381611218749</v>
      </c>
      <c r="AF76" s="58" t="n">
        <v>5.4569682106375694e-12</v>
      </c>
      <c r="AG76" s="44"/>
      <c r="AH76" s="44" t="str">
        <v>Grid cycle at one tariff</v>
      </c>
      <c r="AI76" s="44"/>
      <c r="AJ76" s="44"/>
      <c r="AK76" s="44" t="str">
        <v>PASS: charging losses increase the bill</v>
      </c>
      <c r="AL76" s="44"/>
    </row>
    <row r="77" ht="33.95000076293945" customHeight="1">
      <c r="A77" s="14" t="inlineStr">
        <is>
          <t xml:space="preserve">Year</t>
        </is>
      </c>
      <c r="B77" s="14" t="inlineStr">
        <is>
          <t xml:space="preserve">Baseline EGP</t>
        </is>
      </c>
      <c r="C77" s="14" t="inlineStr">
        <is>
          <t xml:space="preserve">Solar net cash flow</t>
        </is>
      </c>
      <c r="D77" s="14" t="inlineStr">
        <is>
          <t xml:space="preserve">Discounted solar cash flow</t>
        </is>
      </c>
      <c r="E77" s="14" t="inlineStr">
        <is>
          <t xml:space="preserve">Solar cumulative CF</t>
        </is>
      </c>
      <c r="F77" s="14" t="inlineStr">
        <is>
          <t xml:space="preserve">Cumulative discounted CF</t>
        </is>
      </c>
      <c r="G77" s="14" t="inlineStr">
        <is>
          <t xml:space="preserve">Battery net cash flow</t>
        </is>
      </c>
      <c r="H77" s="14" t="inlineStr">
        <is>
          <t xml:space="preserve">Discounted battery cash flow</t>
        </is>
      </c>
      <c r="I77" s="14" t="inlineStr">
        <is>
          <t xml:space="preserve">Battery cumulative CF</t>
        </is>
      </c>
      <c r="J77" s="14" t="inlineStr">
        <is>
          <t xml:space="preserve">Cumulative discounted CF</t>
        </is>
      </c>
      <c r="K77" s="14" t="inlineStr">
        <is>
          <t xml:space="preserve">Combined net cash flow</t>
        </is>
      </c>
      <c r="L77" s="14" t="inlineStr">
        <is>
          <t xml:space="preserve">Discounted combined cash flow</t>
        </is>
      </c>
      <c r="M77" s="14" t="inlineStr">
        <is>
          <t xml:space="preserve">Combined cumulative CF</t>
        </is>
      </c>
      <c r="N77" s="14" t="inlineStr">
        <is>
          <t xml:space="preserve">Cumulative discounted CF</t>
        </is>
      </c>
      <c r="O77" s="7"/>
      <c r="P77" s="14" t="inlineStr">
        <is>
          <t xml:space="preserve">C Payback</t>
        </is>
      </c>
      <c r="Q77" s="14" t="inlineStr">
        <is>
          <t xml:space="preserve">C Discounted</t>
        </is>
      </c>
      <c r="R77" s="14" t="inlineStr">
        <is>
          <t xml:space="preserve">D Payback</t>
        </is>
      </c>
      <c r="S77" s="14" t="inlineStr">
        <is>
          <t xml:space="preserve">D Discounted</t>
        </is>
      </c>
      <c r="T77" s="14" t="inlineStr">
        <is>
          <t xml:space="preserve">E Payback</t>
        </is>
      </c>
      <c r="U77" s="14" t="inlineStr">
        <is>
          <t xml:space="preserve">E Discounted</t>
        </is>
      </c>
      <c r="W77" s="75" t="str">
        <v>Conditional financial diagnostics - NOT a feasibility approval</v>
      </c>
      <c r="X77" s="74"/>
      <c r="Y77" s="74"/>
      <c r="Z77" s="74"/>
      <c r="AA77" s="74"/>
      <c r="AB77" s="74"/>
      <c r="AC77" s="74"/>
      <c r="AD77" s="74"/>
      <c r="AE77" s="74"/>
      <c r="AF77" s="74"/>
      <c r="AG77" s="44"/>
      <c r="AH77" s="44"/>
      <c r="AI77" s="44"/>
      <c r="AJ77" s="44"/>
      <c r="AK77" s="44"/>
      <c r="AL77" s="44"/>
    </row>
    <row r="78" ht="33.95000076293945" customHeight="1">
      <c r="A78" s="3" t="n">
        <v>0</v>
      </c>
      <c r="B78" s="5" t="n">
        <v>0</v>
      </c>
      <c r="C78" s="5" t="n">
        <f>-C64</f>
        <v>-143440</v>
      </c>
      <c r="D78" s="5" t="n">
        <f>-C64</f>
        <v>-143440</v>
      </c>
      <c r="E78" s="5" t="n">
        <f>-C64</f>
        <v>-143440</v>
      </c>
      <c r="F78" s="5" t="n">
        <f>-C64</f>
        <v>-143440</v>
      </c>
      <c r="G78" s="5" t="n">
        <f>-D64</f>
        <v>-273064</v>
      </c>
      <c r="H78" s="5" t="n">
        <f>-D64</f>
        <v>-273064</v>
      </c>
      <c r="I78" s="5" t="n">
        <f>-D64</f>
        <v>-273064</v>
      </c>
      <c r="J78" s="5" t="n">
        <f>-D64</f>
        <v>-273064</v>
      </c>
      <c r="K78" s="5" t="n">
        <f>-E64</f>
        <v>-416064</v>
      </c>
      <c r="L78" s="5" t="n">
        <f>-E64</f>
        <v>-416064</v>
      </c>
      <c r="M78" s="5" t="n">
        <f>-E64</f>
        <v>-416064</v>
      </c>
      <c r="N78" s="5" t="n">
        <f>-E64</f>
        <v>-416064</v>
      </c>
      <c r="O78" s="5"/>
      <c r="P78" s="5"/>
      <c r="Q78" s="5"/>
      <c r="R78" s="5"/>
      <c r="S78" s="5"/>
      <c r="T78" s="5"/>
      <c r="U78" s="5"/>
      <c r="W78" s="46" t="str">
        <v>Conditional year-1 net savings</v>
      </c>
      <c r="X78" s="46" t="str">
        <v>EGP</v>
      </c>
      <c r="Y78" s="79" t="n">
        <v>37397.255</v>
      </c>
      <c r="Z78" s="79" t="n">
        <v>-1725</v>
      </c>
      <c r="AA78" s="79" t="n">
        <v>8330.087140000005</v>
      </c>
      <c r="AB78" s="79" t="n">
        <v>21570.53666</v>
      </c>
      <c r="AC78" s="79" t="n">
        <v>47815.636611218746</v>
      </c>
      <c r="AD78" s="79" t="n">
        <v>5755.087140000005</v>
      </c>
      <c r="AE78" s="79" t="n">
        <v>44362.136611218746</v>
      </c>
      <c r="AF78" s="79" t="n">
        <v>3678.087140000005</v>
      </c>
      <c r="AG78" s="44"/>
      <c r="AH78" s="44" t="str">
        <v>Insufficient roof</v>
      </c>
      <c r="AI78" s="44"/>
      <c r="AJ78" s="44"/>
      <c r="AK78" s="44" t="str">
        <v>PASS: validity gate blocks financial results</v>
      </c>
      <c r="AL78" s="44"/>
    </row>
    <row r="79" ht="33.95000076293945" customHeight="1">
      <c r="A79" s="3" t="n">
        <v>1</v>
      </c>
      <c r="B79" s="5" t="n">
        <f>IF(A79&lt;='Assumptions and Catalog'!$C$6,SUMIFS($M$161:$M$400,$A$161:$A$400,A79),0)</f>
        <v>83544.51</v>
      </c>
      <c r="C79" s="5" t="n">
        <f>IF(A79&lt;='Assumptions and Catalog'!$C$6,SUMIFS($O$161:$O$400,$A$161:$A$400,A79)-(C$70+IF(AND('Assumptions and Catalog'!$C$19&gt;0,A79='Assumptions and Catalog'!$C$19),C$61*'Assumptions and Catalog'!$C$20,0)+IF(AND('Assumptions and Catalog'!$C$21&gt;0,A79='Assumptions and Catalog'!$C$21),C$62*'Assumptions and Catalog'!$C$22,0))*(1+'Assumptions and Catalog'!$C$9)^(A79-1),0)</f>
        <v>39522.84572</v>
      </c>
      <c r="D79" s="5" t="n">
        <f>C79/(1+'Assumptions and Catalog'!$C$7)^A79</f>
        <v>35929.8597454545</v>
      </c>
      <c r="E79" s="5" t="n">
        <f>E78+C79</f>
        <v>-103917.15428</v>
      </c>
      <c r="F79" s="5" t="n">
        <f>F78+D79</f>
        <v>-107510.140254545</v>
      </c>
      <c r="G79" s="5" t="n">
        <f>IF(A79&lt;='Assumptions and Catalog'!$C$6,SUMIFS($O$411:$O$650,$A$411:$A$650,A79)-(D$70+IF(AND('Assumptions and Catalog'!$C$19&gt;0,A79='Assumptions and Catalog'!$C$19),D$61*'Assumptions and Catalog'!$C$20,0)+IF(AND('Assumptions and Catalog'!$C$21&gt;0,A79='Assumptions and Catalog'!$C$21),D$62*'Assumptions and Catalog'!$C$22,0))*(1+'Assumptions and Catalog'!$C$9)^(A79-1),0)</f>
        <v>-2730.64</v>
      </c>
      <c r="H79" s="5" t="n">
        <f>G79/(1+'Assumptions and Catalog'!$C$7)^A79</f>
        <v>-2482.4</v>
      </c>
      <c r="I79" s="5" t="n">
        <f>I78+G79</f>
        <v>-275794.64</v>
      </c>
      <c r="J79" s="5" t="n">
        <f>J78+H79</f>
        <v>-275546.4</v>
      </c>
      <c r="K79" s="5" t="n">
        <f>IF(A79&lt;='Assumptions and Catalog'!$C$6,SUMIFS($O$661:$O$900,$A$661:$A$900,A79)-(E$70+IF(AND('Assumptions and Catalog'!$C$19&gt;0,A79='Assumptions and Catalog'!$C$19),E$61*'Assumptions and Catalog'!$C$20,0)+IF(AND('Assumptions and Catalog'!$C$21&gt;0,A79='Assumptions and Catalog'!$C$21),E$62*'Assumptions and Catalog'!$C$22,0))*(1+'Assumptions and Catalog'!$C$9)^(A79-1),0)</f>
        <v>48073.4497018125</v>
      </c>
      <c r="L79" s="5" t="n">
        <f>K79/(1+'Assumptions and Catalog'!$C$7)^A79</f>
        <v>43703.1360925568</v>
      </c>
      <c r="M79" s="5" t="n">
        <f>M78+K79</f>
        <v>-367990.550298188</v>
      </c>
      <c r="N79" s="5" t="n">
        <f>N78+L79</f>
        <v>-372360.863907443</v>
      </c>
      <c r="O79" s="5"/>
      <c r="P79" s="5" t="n">
        <f>IF(AND(A79&lt;='Assumptions and Catalog'!$C$6,E79&gt;=0,E78&lt;0,C79&gt;0),A79-1-E78/C79,999)</f>
        <v>999</v>
      </c>
      <c r="Q79" s="5" t="n">
        <f>IF(AND(A79&lt;='Assumptions and Catalog'!$C$6,F79&gt;=0,F78&lt;0,D79&gt;0),A79-1-F78/D79,999)</f>
        <v>999</v>
      </c>
      <c r="R79" s="5" t="n">
        <f>IF(AND(A79&lt;='Assumptions and Catalog'!$C$6,I79&gt;=0,I78&lt;0,G79&gt;0),A79-1-I78/G79,999)</f>
        <v>999</v>
      </c>
      <c r="S79" s="5" t="n">
        <f>IF(AND(A79&lt;='Assumptions and Catalog'!$C$6,J79&gt;=0,J78&lt;0,H79&gt;0),A79-1-J78/H79,999)</f>
        <v>999</v>
      </c>
      <c r="T79" s="5" t="n">
        <f>IF(AND(A79&lt;='Assumptions and Catalog'!$C$6,M79&gt;=0,M78&lt;0,K79&gt;0),A79-1-M78/K79,999)</f>
        <v>999</v>
      </c>
      <c r="U79" s="5" t="n">
        <f>IF(AND(A79&lt;='Assumptions and Catalog'!$C$6,N79&gt;=0,N78&lt;0,L79&gt;0),A79-1-N78/L79,999)</f>
        <v>999</v>
      </c>
      <c r="W79" s="44" t="str">
        <v>Conditional 10-year NPV</v>
      </c>
      <c r="X79" s="44" t="str">
        <v>EGP</v>
      </c>
      <c r="Y79" s="79" t="n">
        <v>-183507.91863102157</v>
      </c>
      <c r="Z79" s="79" t="n">
        <v>-183099.37825734058</v>
      </c>
      <c r="AA79" s="79" t="n">
        <v>-147231.16630318167</v>
      </c>
      <c r="AB79" s="79" t="n">
        <v>-117062.26335955207</v>
      </c>
      <c r="AC79" s="79" t="n">
        <v>-180958.31774215464</v>
      </c>
      <c r="AD79" s="79" t="n">
        <v>-420553.42660037125</v>
      </c>
      <c r="AE79" s="79" t="n">
        <v>-547528.5802417058</v>
      </c>
      <c r="AF79" s="79" t="n">
        <v>-641015.6924789199</v>
      </c>
      <c r="AG79" s="44"/>
      <c r="AH79" s="44"/>
      <c r="AI79" s="44"/>
      <c r="AJ79" s="44"/>
      <c r="AK79" s="44"/>
      <c r="AL79" s="44"/>
    </row>
    <row r="80" ht="33.95000076293945" customHeight="1">
      <c r="A80" s="3" t="n">
        <v>2</v>
      </c>
      <c r="B80" s="5" t="n">
        <f>IF(A80&lt;='Assumptions and Catalog'!$C$6,SUMIFS($M$161:$M$400,$A$161:$A$400,A80),0)</f>
        <v>83772.084</v>
      </c>
      <c r="C80" s="5" t="n">
        <f>IF(A80&lt;='Assumptions and Catalog'!$C$6,SUMIFS($O$161:$O$400,$A$161:$A$400,A80)-(C$70+IF(AND('Assumptions and Catalog'!$C$19&gt;0,A80='Assumptions and Catalog'!$C$19),C$61*'Assumptions and Catalog'!$C$20,0)+IF(AND('Assumptions and Catalog'!$C$21&gt;0,A80='Assumptions and Catalog'!$C$21),C$62*'Assumptions and Catalog'!$C$22,0))*(1+'Assumptions and Catalog'!$C$9)^(A80-1),0)</f>
        <v>39587.1657464</v>
      </c>
      <c r="D80" s="5" t="n">
        <f>C80/(1+'Assumptions and Catalog'!$C$7)^A80</f>
        <v>32716.6659061157</v>
      </c>
      <c r="E80" s="5" t="n">
        <f>E79+C80</f>
        <v>-64329.9885336</v>
      </c>
      <c r="F80" s="5" t="n">
        <f>F79+D80</f>
        <v>-74793.4743484298</v>
      </c>
      <c r="G80" s="5" t="n">
        <f>IF(A80&lt;='Assumptions and Catalog'!$C$6,SUMIFS($O$411:$O$650,$A$411:$A$650,A80)-(D$70+IF(AND('Assumptions and Catalog'!$C$19&gt;0,A80='Assumptions and Catalog'!$C$19),D$61*'Assumptions and Catalog'!$C$20,0)+IF(AND('Assumptions and Catalog'!$C$21&gt;0,A80='Assumptions and Catalog'!$C$21),D$62*'Assumptions and Catalog'!$C$22,0))*(1+'Assumptions and Catalog'!$C$9)^(A80-1),0)</f>
        <v>-2730.64</v>
      </c>
      <c r="H80" s="5" t="n">
        <f>G80/(1+'Assumptions and Catalog'!$C$7)^A80</f>
        <v>-2256.72727272727</v>
      </c>
      <c r="I80" s="5" t="n">
        <f>I79+G80</f>
        <v>-278525.28</v>
      </c>
      <c r="J80" s="5" t="n">
        <f>J79+H80</f>
        <v>-277803.127272727</v>
      </c>
      <c r="K80" s="5" t="n">
        <f>IF(A80&lt;='Assumptions and Catalog'!$C$6,SUMIFS($O$661:$O$900,$A$661:$A$900,A80)-(E$70+IF(AND('Assumptions and Catalog'!$C$19&gt;0,A80='Assumptions and Catalog'!$C$19),E$61*'Assumptions and Catalog'!$C$20,0)+IF(AND('Assumptions and Catalog'!$C$21&gt;0,A80='Assumptions and Catalog'!$C$21),E$62*'Assumptions and Catalog'!$C$22,0))*(1+'Assumptions and Catalog'!$C$9)^(A80-1),0)</f>
        <v>48003.7702112696</v>
      </c>
      <c r="L80" s="5" t="n">
        <f>K80/(1+'Assumptions and Catalog'!$C$7)^A80</f>
        <v>39672.5373646856</v>
      </c>
      <c r="M80" s="5" t="n">
        <f>M79+K80</f>
        <v>-319986.780086918</v>
      </c>
      <c r="N80" s="5" t="n">
        <f>N79+L80</f>
        <v>-332688.326542758</v>
      </c>
      <c r="O80" s="5"/>
      <c r="P80" s="5" t="n">
        <f>IF(AND(A80&lt;='Assumptions and Catalog'!$C$6,E80&gt;=0,E79&lt;0,C80&gt;0),A80-1-E79/C80,999)</f>
        <v>999</v>
      </c>
      <c r="Q80" s="5" t="n">
        <f>IF(AND(A80&lt;='Assumptions and Catalog'!$C$6,F80&gt;=0,F79&lt;0,D80&gt;0),A80-1-F79/D80,999)</f>
        <v>999</v>
      </c>
      <c r="R80" s="5" t="n">
        <f>IF(AND(A80&lt;='Assumptions and Catalog'!$C$6,I80&gt;=0,I79&lt;0,G80&gt;0),A80-1-I79/G80,999)</f>
        <v>999</v>
      </c>
      <c r="S80" s="5" t="n">
        <f>IF(AND(A80&lt;='Assumptions and Catalog'!$C$6,J80&gt;=0,J79&lt;0,H80&gt;0),A80-1-J79/H80,999)</f>
        <v>999</v>
      </c>
      <c r="T80" s="5" t="n">
        <f>IF(AND(A80&lt;='Assumptions and Catalog'!$C$6,M80&gt;=0,M79&lt;0,K80&gt;0),A80-1-M79/K80,999)</f>
        <v>999</v>
      </c>
      <c r="U80" s="5" t="n">
        <f>IF(AND(A80&lt;='Assumptions and Catalog'!$C$6,N80&gt;=0,N79&lt;0,L80&gt;0),A80-1-N79/L80,999)</f>
        <v>999</v>
      </c>
      <c r="W80" s="46" t="str">
        <v>Conditional simple payback</v>
      </c>
      <c r="X80" s="46" t="str">
        <v>years</v>
      </c>
      <c r="Y80" s="80" t="str">
        <v>Not reached</v>
      </c>
      <c r="Z80" s="80" t="str">
        <v>Not reached</v>
      </c>
      <c r="AA80" s="80" t="str">
        <v>Not reached</v>
      </c>
      <c r="AB80" s="80" t="str">
        <v>Not reached</v>
      </c>
      <c r="AC80" s="80" t="str">
        <v>Not reached</v>
      </c>
      <c r="AD80" s="80" t="str">
        <v>Not reached</v>
      </c>
      <c r="AE80" s="80" t="str">
        <v>Not reached</v>
      </c>
      <c r="AF80" s="80" t="str">
        <v>Not reached</v>
      </c>
      <c r="AG80" s="44"/>
      <c r="AH80" s="44" t="str">
        <v>Critical-load overload</v>
      </c>
      <c r="AI80" s="44"/>
      <c r="AJ80" s="44"/>
      <c r="AK80" s="44" t="str">
        <v>PASS: backup hours blocked by inverter power</v>
      </c>
      <c r="AL80" s="44"/>
    </row>
    <row r="81" ht="33.95000076293945" customHeight="1">
      <c r="A81" s="3" t="n">
        <v>3</v>
      </c>
      <c r="B81" s="5" t="n">
        <f>IF(A81&lt;='Assumptions and Catalog'!$C$6,SUMIFS($M$161:$M$400,$A$161:$A$400,A81),0)</f>
        <v>83544.51</v>
      </c>
      <c r="C81" s="5" t="n">
        <f>IF(A81&lt;='Assumptions and Catalog'!$C$6,SUMIFS($O$161:$O$400,$A$161:$A$400,A81)-(C$70+IF(AND('Assumptions and Catalog'!$C$19&gt;0,A81='Assumptions and Catalog'!$C$19),C$61*'Assumptions and Catalog'!$C$20,0)+IF(AND('Assumptions and Catalog'!$C$21&gt;0,A81='Assumptions and Catalog'!$C$21),C$62*'Assumptions and Catalog'!$C$22,0))*(1+'Assumptions and Catalog'!$C$9)^(A81-1),0)</f>
        <v>39418.510306448</v>
      </c>
      <c r="D81" s="5" t="n">
        <f>C81/(1+'Assumptions and Catalog'!$C$7)^A81</f>
        <v>29615.7102227258</v>
      </c>
      <c r="E81" s="5" t="n">
        <f>E80+C81</f>
        <v>-24911.478227152</v>
      </c>
      <c r="F81" s="5" t="n">
        <f>F80+D81</f>
        <v>-45177.764125704</v>
      </c>
      <c r="G81" s="5" t="n">
        <f>IF(A81&lt;='Assumptions and Catalog'!$C$6,SUMIFS($O$411:$O$650,$A$411:$A$650,A81)-(D$70+IF(AND('Assumptions and Catalog'!$C$19&gt;0,A81='Assumptions and Catalog'!$C$19),D$61*'Assumptions and Catalog'!$C$20,0)+IF(AND('Assumptions and Catalog'!$C$21&gt;0,A81='Assumptions and Catalog'!$C$21),D$62*'Assumptions and Catalog'!$C$22,0))*(1+'Assumptions and Catalog'!$C$9)^(A81-1),0)</f>
        <v>-2730.64</v>
      </c>
      <c r="H81" s="5" t="n">
        <f>G81/(1+'Assumptions and Catalog'!$C$7)^A81</f>
        <v>-2051.57024793388</v>
      </c>
      <c r="I81" s="5" t="n">
        <f>I80+G81</f>
        <v>-281255.92</v>
      </c>
      <c r="J81" s="5" t="n">
        <f>J80+H81</f>
        <v>-279854.697520661</v>
      </c>
      <c r="K81" s="5" t="n">
        <f>IF(A81&lt;='Assumptions and Catalog'!$C$6,SUMIFS($O$661:$O$900,$A$661:$A$900,A81)-(E$70+IF(AND('Assumptions and Catalog'!$C$19&gt;0,A81='Assumptions and Catalog'!$C$19),E$61*'Assumptions and Catalog'!$C$20,0)+IF(AND('Assumptions and Catalog'!$C$21&gt;0,A81='Assumptions and Catalog'!$C$21),E$62*'Assumptions and Catalog'!$C$22,0))*(1+'Assumptions and Catalog'!$C$9)^(A81-1),0)</f>
        <v>47651.3849676731</v>
      </c>
      <c r="L81" s="5" t="n">
        <f>K81/(1+'Assumptions and Catalog'!$C$7)^A81</f>
        <v>35801.1908096718</v>
      </c>
      <c r="M81" s="5" t="n">
        <f>M80+K81</f>
        <v>-272335.395119245</v>
      </c>
      <c r="N81" s="5" t="n">
        <f>N80+L81</f>
        <v>-296887.135733086</v>
      </c>
      <c r="O81" s="5"/>
      <c r="P81" s="5" t="n">
        <f>IF(AND(A81&lt;='Assumptions and Catalog'!$C$6,E81&gt;=0,E80&lt;0,C81&gt;0),A81-1-E80/C81,999)</f>
        <v>999</v>
      </c>
      <c r="Q81" s="5" t="n">
        <f>IF(AND(A81&lt;='Assumptions and Catalog'!$C$6,F81&gt;=0,F80&lt;0,D81&gt;0),A81-1-F80/D81,999)</f>
        <v>999</v>
      </c>
      <c r="R81" s="5" t="n">
        <f>IF(AND(A81&lt;='Assumptions and Catalog'!$C$6,I81&gt;=0,I80&lt;0,G81&gt;0),A81-1-I80/G81,999)</f>
        <v>999</v>
      </c>
      <c r="S81" s="5" t="n">
        <f>IF(AND(A81&lt;='Assumptions and Catalog'!$C$6,J81&gt;=0,J80&lt;0,H81&gt;0),A81-1-J80/H81,999)</f>
        <v>999</v>
      </c>
      <c r="T81" s="5" t="n">
        <f>IF(AND(A81&lt;='Assumptions and Catalog'!$C$6,M81&gt;=0,M80&lt;0,K81&gt;0),A81-1-M80/K81,999)</f>
        <v>999</v>
      </c>
      <c r="U81" s="5" t="n">
        <f>IF(AND(A81&lt;='Assumptions and Catalog'!$C$6,N81&gt;=0,N80&lt;0,L81&gt;0),A81-1-N80/L81,999)</f>
        <v>999</v>
      </c>
      <c r="W81" s="44" t="str">
        <v>Conditional discounted payback</v>
      </c>
      <c r="X81" s="44" t="str">
        <v>years</v>
      </c>
      <c r="Y81" s="80" t="str">
        <v>Not reached</v>
      </c>
      <c r="Z81" s="80" t="str">
        <v>Not reached</v>
      </c>
      <c r="AA81" s="80" t="str">
        <v>Not reached</v>
      </c>
      <c r="AB81" s="80" t="str">
        <v>Not reached</v>
      </c>
      <c r="AC81" s="80" t="str">
        <v>Not reached</v>
      </c>
      <c r="AD81" s="80" t="str">
        <v>Not reached</v>
      </c>
      <c r="AE81" s="80" t="str">
        <v>Not reached</v>
      </c>
      <c r="AF81" s="80" t="str">
        <v>Not reached</v>
      </c>
      <c r="AG81" s="44"/>
      <c r="AH81" s="44"/>
      <c r="AI81" s="44"/>
      <c r="AJ81" s="44"/>
      <c r="AK81" s="44"/>
      <c r="AL81" s="44"/>
    </row>
    <row r="82" ht="33.95000076293945" customHeight="1">
      <c r="A82" s="3" t="n">
        <v>4</v>
      </c>
      <c r="B82" s="5" t="n">
        <f>IF(A82&lt;='Assumptions and Catalog'!$C$6,SUMIFS($M$161:$M$400,$A$161:$A$400,A82),0)</f>
        <v>83544.51</v>
      </c>
      <c r="C82" s="5" t="n">
        <f>IF(A82&lt;='Assumptions and Catalog'!$C$6,SUMIFS($O$161:$O$400,$A$161:$A$400,A82)-(C$70+IF(AND('Assumptions and Catalog'!$C$19&gt;0,A82='Assumptions and Catalog'!$C$19),C$61*'Assumptions and Catalog'!$C$20,0)+IF(AND('Assumptions and Catalog'!$C$21&gt;0,A82='Assumptions and Catalog'!$C$21),C$62*'Assumptions and Catalog'!$C$22,0))*(1+'Assumptions and Catalog'!$C$9)^(A82-1),0)</f>
        <v>39353.6348299158</v>
      </c>
      <c r="D82" s="5" t="n">
        <f>C82/(1+'Assumptions and Catalog'!$C$7)^A82</f>
        <v>26879.062106356</v>
      </c>
      <c r="E82" s="5" t="n">
        <f>E81+C82</f>
        <v>14442.1566027638</v>
      </c>
      <c r="F82" s="5" t="n">
        <f>F81+D82</f>
        <v>-18298.7020193481</v>
      </c>
      <c r="G82" s="5" t="n">
        <f>IF(A82&lt;='Assumptions and Catalog'!$C$6,SUMIFS($O$411:$O$650,$A$411:$A$650,A82)-(D$70+IF(AND('Assumptions and Catalog'!$C$19&gt;0,A82='Assumptions and Catalog'!$C$19),D$61*'Assumptions and Catalog'!$C$20,0)+IF(AND('Assumptions and Catalog'!$C$21&gt;0,A82='Assumptions and Catalog'!$C$21),D$62*'Assumptions and Catalog'!$C$22,0))*(1+'Assumptions and Catalog'!$C$9)^(A82-1),0)</f>
        <v>-2730.64</v>
      </c>
      <c r="H82" s="5" t="n">
        <f>G82/(1+'Assumptions and Catalog'!$C$7)^A82</f>
        <v>-1865.06386175808</v>
      </c>
      <c r="I82" s="5" t="n">
        <f>I81+G82</f>
        <v>-283986.56</v>
      </c>
      <c r="J82" s="5" t="n">
        <f>J81+H82</f>
        <v>-281719.761382419</v>
      </c>
      <c r="K82" s="5" t="n">
        <f>IF(A82&lt;='Assumptions and Catalog'!$C$6,SUMIFS($O$661:$O$900,$A$661:$A$900,A82)-(E$70+IF(AND('Assumptions and Catalog'!$C$19&gt;0,A82='Assumptions and Catalog'!$C$19),E$61*'Assumptions and Catalog'!$C$20,0)+IF(AND('Assumptions and Catalog'!$C$21&gt;0,A82='Assumptions and Catalog'!$C$21),E$62*'Assumptions and Catalog'!$C$22,0))*(1+'Assumptions and Catalog'!$C$9)^(A82-1),0)</f>
        <v>47444.837664242</v>
      </c>
      <c r="L82" s="5" t="n">
        <f>K82/(1+'Assumptions and Catalog'!$C$7)^A82</f>
        <v>32405.4625122888</v>
      </c>
      <c r="M82" s="5" t="n">
        <f>M81+K82</f>
        <v>-224890.557455003</v>
      </c>
      <c r="N82" s="5" t="n">
        <f>N81+L82</f>
        <v>-264481.673220797</v>
      </c>
      <c r="O82" s="5"/>
      <c r="P82" s="5" t="n">
        <f>IF(AND(A82&lt;='Assumptions and Catalog'!$C$6,E82&gt;=0,E81&lt;0,C82&gt;0),A82-1-E81/C82,999)</f>
        <v>3.63301594210593</v>
      </c>
      <c r="Q82" s="5" t="n">
        <f>IF(AND(A82&lt;='Assumptions and Catalog'!$C$6,F82&gt;=0,F81&lt;0,D82&gt;0),A82-1-F81/D82,999)</f>
        <v>999</v>
      </c>
      <c r="R82" s="5" t="n">
        <f>IF(AND(A82&lt;='Assumptions and Catalog'!$C$6,I82&gt;=0,I81&lt;0,G82&gt;0),A82-1-I81/G82,999)</f>
        <v>999</v>
      </c>
      <c r="S82" s="5" t="n">
        <f>IF(AND(A82&lt;='Assumptions and Catalog'!$C$6,J82&gt;=0,J81&lt;0,H82&gt;0),A82-1-J81/H82,999)</f>
        <v>999</v>
      </c>
      <c r="T82" s="5" t="n">
        <f>IF(AND(A82&lt;='Assumptions and Catalog'!$C$6,M82&gt;=0,M81&lt;0,K82&gt;0),A82-1-M81/K82,999)</f>
        <v>999</v>
      </c>
      <c r="U82" s="5" t="n">
        <f>IF(AND(A82&lt;='Assumptions and Catalog'!$C$6,N82&gt;=0,N81&lt;0,L82&gt;0),A82-1-N81/L82,999)</f>
        <v>999</v>
      </c>
      <c r="W82" s="44" t="str">
        <v>Conditional diagnostics are arithmetic only: they do not override roof failures, verify equipment, or include the missing TOU/peak benefits in Scenarios 6-8.</v>
      </c>
      <c r="X82" s="44"/>
      <c r="Y82" s="44"/>
      <c r="Z82" s="44"/>
      <c r="AA82" s="44"/>
      <c r="AB82" s="44"/>
      <c r="AC82" s="44"/>
      <c r="AD82" s="44"/>
      <c r="AE82" s="44"/>
      <c r="AF82" s="44"/>
      <c r="AG82" s="44"/>
      <c r="AH82" s="44"/>
      <c r="AI82" s="44"/>
      <c r="AJ82" s="44"/>
      <c r="AK82" s="44"/>
      <c r="AL82" s="44"/>
    </row>
    <row r="83" ht="33.95000076293945" customHeight="1">
      <c r="A83" s="3" t="n">
        <v>5</v>
      </c>
      <c r="B83" s="5" t="n">
        <f>IF(A83&lt;='Assumptions and Catalog'!$C$6,SUMIFS($M$161:$M$400,$A$161:$A$400,A83),0)</f>
        <v>83544.51</v>
      </c>
      <c r="C83" s="5" t="n">
        <f>IF(A83&lt;='Assumptions and Catalog'!$C$6,SUMIFS($O$161:$O$400,$A$161:$A$400,A83)-(C$70+IF(AND('Assumptions and Catalog'!$C$19&gt;0,A83='Assumptions and Catalog'!$C$19),C$61*'Assumptions and Catalog'!$C$20,0)+IF(AND('Assumptions and Catalog'!$C$21&gt;0,A83='Assumptions and Catalog'!$C$21),C$62*'Assumptions and Catalog'!$C$22,0))*(1+'Assumptions and Catalog'!$C$9)^(A83-1),0)</f>
        <v>39289.0837307662</v>
      </c>
      <c r="D83" s="5" t="n">
        <f>C83/(1+'Assumptions and Catalog'!$C$7)^A83</f>
        <v>24395.4298518893</v>
      </c>
      <c r="E83" s="5" t="n">
        <f>E82+C83</f>
        <v>53731.2403335299</v>
      </c>
      <c r="F83" s="5" t="n">
        <f>F82+D83</f>
        <v>6096.7278325412</v>
      </c>
      <c r="G83" s="5" t="n">
        <f>IF(A83&lt;='Assumptions and Catalog'!$C$6,SUMIFS($O$411:$O$650,$A$411:$A$650,A83)-(D$70+IF(AND('Assumptions and Catalog'!$C$19&gt;0,A83='Assumptions and Catalog'!$C$19),D$61*'Assumptions and Catalog'!$C$20,0)+IF(AND('Assumptions and Catalog'!$C$21&gt;0,A83='Assumptions and Catalog'!$C$21),D$62*'Assumptions and Catalog'!$C$22,0))*(1+'Assumptions and Catalog'!$C$9)^(A83-1),0)</f>
        <v>-2730.64</v>
      </c>
      <c r="H83" s="5" t="n">
        <f>G83/(1+'Assumptions and Catalog'!$C$7)^A83</f>
        <v>-1695.51260159825</v>
      </c>
      <c r="I83" s="5" t="n">
        <f>I82+G83</f>
        <v>-286717.2</v>
      </c>
      <c r="J83" s="5" t="n">
        <f>J82+H83</f>
        <v>-283415.273984018</v>
      </c>
      <c r="K83" s="5" t="n">
        <f>IF(A83&lt;='Assumptions and Catalog'!$C$6,SUMIFS($O$661:$O$900,$A$661:$A$900,A83)-(E$70+IF(AND('Assumptions and Catalog'!$C$19&gt;0,A83='Assumptions and Catalog'!$C$19),E$61*'Assumptions and Catalog'!$C$20,0)+IF(AND('Assumptions and Catalog'!$C$21&gt;0,A83='Assumptions and Catalog'!$C$21),E$62*'Assumptions and Catalog'!$C$22,0))*(1+'Assumptions and Catalog'!$C$9)^(A83-1),0)</f>
        <v>47241.2752951859</v>
      </c>
      <c r="L83" s="5" t="n">
        <f>K83/(1+'Assumptions and Catalog'!$C$7)^A83</f>
        <v>29333.1151592886</v>
      </c>
      <c r="M83" s="5" t="n">
        <f>M82+K83</f>
        <v>-177649.282159817</v>
      </c>
      <c r="N83" s="5" t="n">
        <f>N82+L83</f>
        <v>-235148.558061508</v>
      </c>
      <c r="O83" s="5"/>
      <c r="P83" s="5" t="n">
        <f>IF(AND(A83&lt;='Assumptions and Catalog'!$C$6,E83&gt;=0,E82&lt;0,C83&gt;0),A83-1-E82/C83,999)</f>
        <v>999</v>
      </c>
      <c r="Q83" s="5" t="n">
        <f>IF(AND(A83&lt;='Assumptions and Catalog'!$C$6,F83&gt;=0,F82&lt;0,D83&gt;0),A83-1-F82/D83,999)</f>
        <v>4.7500872962864</v>
      </c>
      <c r="R83" s="5" t="n">
        <f>IF(AND(A83&lt;='Assumptions and Catalog'!$C$6,I83&gt;=0,I82&lt;0,G83&gt;0),A83-1-I82/G83,999)</f>
        <v>999</v>
      </c>
      <c r="S83" s="5" t="n">
        <f>IF(AND(A83&lt;='Assumptions and Catalog'!$C$6,J83&gt;=0,J82&lt;0,H83&gt;0),A83-1-J82/H83,999)</f>
        <v>999</v>
      </c>
      <c r="T83" s="5" t="n">
        <f>IF(AND(A83&lt;='Assumptions and Catalog'!$C$6,M83&gt;=0,M82&lt;0,K83&gt;0),A83-1-M82/K83,999)</f>
        <v>999</v>
      </c>
      <c r="U83" s="5" t="n">
        <f>IF(AND(A83&lt;='Assumptions and Catalog'!$C$6,N83&gt;=0,N82&lt;0,L83&gt;0),A83-1-N82/L83,999)</f>
        <v>999</v>
      </c>
      <c r="W83" s="75" t="str">
        <v>Verification and limitations</v>
      </c>
      <c r="X83" s="74"/>
      <c r="Y83" s="74"/>
      <c r="Z83" s="74"/>
      <c r="AA83" s="74"/>
      <c r="AB83" s="74"/>
      <c r="AC83" s="74"/>
      <c r="AD83" s="74"/>
      <c r="AE83" s="74"/>
      <c r="AF83" s="74"/>
      <c r="AG83" s="44"/>
      <c r="AH83" s="44" t="str">
        <v>Run reproduction: apply the recorded Inputs settings, equipment quantities and temporary catalog prices/ratings. Use the recorded BOS fraction. Recalculate and compare to the independent-check rows before replacing snapshot values. Restore original settings afterwards.</v>
      </c>
      <c r="AI83" s="44"/>
      <c r="AJ83" s="44"/>
      <c r="AK83" s="44"/>
      <c r="AL83" s="44"/>
    </row>
    <row r="84" ht="33.95000076293945" customHeight="1">
      <c r="A84" s="3" t="n">
        <v>6</v>
      </c>
      <c r="B84" s="5" t="n">
        <f>IF(A84&lt;='Assumptions and Catalog'!$C$6,SUMIFS($M$161:$M$400,$A$161:$A$400,A84),0)</f>
        <v>83772.084</v>
      </c>
      <c r="C84" s="5" t="n">
        <f>IF(A84&lt;='Assumptions and Catalog'!$C$6,SUMIFS($O$161:$O$400,$A$161:$A$400,A84)-(C$70+IF(AND('Assumptions and Catalog'!$C$19&gt;0,A84='Assumptions and Catalog'!$C$19),C$61*'Assumptions and Catalog'!$C$20,0)+IF(AND('Assumptions and Catalog'!$C$21&gt;0,A84='Assumptions and Catalog'!$C$21),C$62*'Assumptions and Catalog'!$C$22,0))*(1+'Assumptions and Catalog'!$C$9)^(A84-1),0)</f>
        <v>39336.7453700513</v>
      </c>
      <c r="D84" s="5" t="n">
        <f>C84/(1+'Assumptions and Catalog'!$C$7)^A84</f>
        <v>22204.5672545576</v>
      </c>
      <c r="E84" s="5" t="n">
        <f>E83+C84</f>
        <v>93067.9857035812</v>
      </c>
      <c r="F84" s="5" t="n">
        <f>F83+D84</f>
        <v>28301.2950870988</v>
      </c>
      <c r="G84" s="5" t="n">
        <f>IF(A84&lt;='Assumptions and Catalog'!$C$6,SUMIFS($O$411:$O$650,$A$411:$A$650,A84)-(D$70+IF(AND('Assumptions and Catalog'!$C$19&gt;0,A84='Assumptions and Catalog'!$C$19),D$61*'Assumptions and Catalog'!$C$20,0)+IF(AND('Assumptions and Catalog'!$C$21&gt;0,A84='Assumptions and Catalog'!$C$21),D$62*'Assumptions and Catalog'!$C$22,0))*(1+'Assumptions and Catalog'!$C$9)^(A84-1),0)</f>
        <v>-2730.64</v>
      </c>
      <c r="H84" s="5" t="n">
        <f>G84/(1+'Assumptions and Catalog'!$C$7)^A84</f>
        <v>-1541.37509236205</v>
      </c>
      <c r="I84" s="5" t="n">
        <f>I83+G84</f>
        <v>-289447.84</v>
      </c>
      <c r="J84" s="5" t="n">
        <f>J83+H84</f>
        <v>-284956.64907638</v>
      </c>
      <c r="K84" s="5" t="n">
        <f>IF(A84&lt;='Assumptions and Catalog'!$C$6,SUMIFS($O$661:$O$900,$A$661:$A$900,A84)-(E$70+IF(AND('Assumptions and Catalog'!$C$19&gt;0,A84='Assumptions and Catalog'!$C$19),E$61*'Assumptions and Catalog'!$C$20,0)+IF(AND('Assumptions and Catalog'!$C$21&gt;0,A84='Assumptions and Catalog'!$C$21),E$62*'Assumptions and Catalog'!$C$22,0))*(1+'Assumptions and Catalog'!$C$9)^(A84-1),0)</f>
        <v>47180.7968902098</v>
      </c>
      <c r="L84" s="5" t="n">
        <f>K84/(1+'Assumptions and Catalog'!$C$7)^A84</f>
        <v>26632.3298436857</v>
      </c>
      <c r="M84" s="5" t="n">
        <f>M83+K84</f>
        <v>-130468.485269607</v>
      </c>
      <c r="N84" s="5" t="n">
        <f>N83+L84</f>
        <v>-208516.228217823</v>
      </c>
      <c r="O84" s="5"/>
      <c r="P84" s="5" t="n">
        <f>IF(AND(A84&lt;='Assumptions and Catalog'!$C$6,E84&gt;=0,E83&lt;0,C84&gt;0),A84-1-E83/C84,999)</f>
        <v>999</v>
      </c>
      <c r="Q84" s="5" t="n">
        <f>IF(AND(A84&lt;='Assumptions and Catalog'!$C$6,F84&gt;=0,F83&lt;0,D84&gt;0),A84-1-F83/D84,999)</f>
        <v>999</v>
      </c>
      <c r="R84" s="5" t="n">
        <f>IF(AND(A84&lt;='Assumptions and Catalog'!$C$6,I84&gt;=0,I83&lt;0,G84&gt;0),A84-1-I83/G84,999)</f>
        <v>999</v>
      </c>
      <c r="S84" s="5" t="n">
        <f>IF(AND(A84&lt;='Assumptions and Catalog'!$C$6,J84&gt;=0,J83&lt;0,H84&gt;0),A84-1-J83/H84,999)</f>
        <v>999</v>
      </c>
      <c r="T84" s="5" t="n">
        <f>IF(AND(A84&lt;='Assumptions and Catalog'!$C$6,M84&gt;=0,M83&lt;0,K84&gt;0),A84-1-M83/K84,999)</f>
        <v>999</v>
      </c>
      <c r="U84" s="5" t="n">
        <f>IF(AND(A84&lt;='Assumptions and Catalog'!$C$6,N84&gt;=0,N83&lt;0,L84&gt;0),A84-1-N83/L84,999)</f>
        <v>999</v>
      </c>
      <c r="W84" s="46" t="str">
        <v>Independent comparison checks</v>
      </c>
      <c r="X84" s="46" t="str">
        <v>count</v>
      </c>
      <c r="Y84" s="50" t="n">
        <v>2920</v>
      </c>
      <c r="Z84" s="50" t="n">
        <v>2920</v>
      </c>
      <c r="AA84" s="50" t="n">
        <v>2920</v>
      </c>
      <c r="AB84" s="50" t="n">
        <v>2920</v>
      </c>
      <c r="AC84" s="50" t="n">
        <v>2920</v>
      </c>
      <c r="AD84" s="50" t="n">
        <v>2920</v>
      </c>
      <c r="AE84" s="50" t="n">
        <v>2920</v>
      </c>
      <c r="AF84" s="50" t="n">
        <v>2920</v>
      </c>
      <c r="AG84" s="44"/>
      <c r="AH84" s="44"/>
      <c r="AI84" s="44"/>
      <c r="AJ84" s="44"/>
      <c r="AK84" s="44"/>
      <c r="AL84" s="44"/>
    </row>
    <row r="85" ht="33.95000076293945" customHeight="1">
      <c r="A85" s="3" t="n">
        <v>7</v>
      </c>
      <c r="B85" s="5" t="n">
        <f>IF(A85&lt;='Assumptions and Catalog'!$C$6,SUMIFS($M$161:$M$400,$A$161:$A$400,A85),0)</f>
        <v>83544.51</v>
      </c>
      <c r="C85" s="5" t="n">
        <f>IF(A85&lt;='Assumptions and Catalog'!$C$6,SUMIFS($O$161:$O$400,$A$161:$A$400,A85)-(C$70+IF(AND('Assumptions and Catalog'!$C$19&gt;0,A85='Assumptions and Catalog'!$C$19),C$61*'Assumptions and Catalog'!$C$20,0)+IF(AND('Assumptions and Catalog'!$C$21&gt;0,A85='Assumptions and Catalog'!$C$21),C$62*'Assumptions and Catalog'!$C$22,0))*(1+'Assumptions and Catalog'!$C$9)^(A85-1),0)</f>
        <v>39160.9481851768</v>
      </c>
      <c r="D85" s="5" t="n">
        <f>C85/(1+'Assumptions and Catalog'!$C$7)^A85</f>
        <v>20095.7584788355</v>
      </c>
      <c r="E85" s="5" t="n">
        <f>E84+C85</f>
        <v>132228.933888758</v>
      </c>
      <c r="F85" s="5" t="n">
        <f>F84+D85</f>
        <v>48397.0535659343</v>
      </c>
      <c r="G85" s="5" t="n">
        <f>IF(A85&lt;='Assumptions and Catalog'!$C$6,SUMIFS($O$411:$O$650,$A$411:$A$650,A85)-(D$70+IF(AND('Assumptions and Catalog'!$C$19&gt;0,A85='Assumptions and Catalog'!$C$19),D$61*'Assumptions and Catalog'!$C$20,0)+IF(AND('Assumptions and Catalog'!$C$21&gt;0,A85='Assumptions and Catalog'!$C$21),D$62*'Assumptions and Catalog'!$C$22,0))*(1+'Assumptions and Catalog'!$C$9)^(A85-1),0)</f>
        <v>-2730.64</v>
      </c>
      <c r="H85" s="5" t="n">
        <f>G85/(1+'Assumptions and Catalog'!$C$7)^A85</f>
        <v>-1401.2500839655</v>
      </c>
      <c r="I85" s="5" t="n">
        <f>I84+G85</f>
        <v>-292178.48</v>
      </c>
      <c r="J85" s="5" t="n">
        <f>J84+H85</f>
        <v>-286357.899160345</v>
      </c>
      <c r="K85" s="5" t="n">
        <f>IF(A85&lt;='Assumptions and Catalog'!$C$6,SUMIFS($O$661:$O$900,$A$661:$A$900,A85)-(E$70+IF(AND('Assumptions and Catalog'!$C$19&gt;0,A85='Assumptions and Catalog'!$C$19),E$61*'Assumptions and Catalog'!$C$20,0)+IF(AND('Assumptions and Catalog'!$C$21&gt;0,A85='Assumptions and Catalog'!$C$21),E$62*'Assumptions and Catalog'!$C$22,0))*(1+'Assumptions and Catalog'!$C$9)^(A85-1),0)</f>
        <v>46842.8905364046</v>
      </c>
      <c r="L85" s="5" t="n">
        <f>K85/(1+'Assumptions and Catalog'!$C$7)^A85</f>
        <v>24037.8095601484</v>
      </c>
      <c r="M85" s="5" t="n">
        <f>M84+K85</f>
        <v>-83625.5947332025</v>
      </c>
      <c r="N85" s="5" t="n">
        <f>N84+L85</f>
        <v>-184478.418657674</v>
      </c>
      <c r="O85" s="5"/>
      <c r="P85" s="5" t="n">
        <f>IF(AND(A85&lt;='Assumptions and Catalog'!$C$6,E85&gt;=0,E84&lt;0,C85&gt;0),A85-1-E84/C85,999)</f>
        <v>999</v>
      </c>
      <c r="Q85" s="5" t="n">
        <f>IF(AND(A85&lt;='Assumptions and Catalog'!$C$6,F85&gt;=0,F84&lt;0,D85&gt;0),A85-1-F84/D85,999)</f>
        <v>999</v>
      </c>
      <c r="R85" s="5" t="n">
        <f>IF(AND(A85&lt;='Assumptions and Catalog'!$C$6,I85&gt;=0,I84&lt;0,G85&gt;0),A85-1-I84/G85,999)</f>
        <v>999</v>
      </c>
      <c r="S85" s="5" t="n">
        <f>IF(AND(A85&lt;='Assumptions and Catalog'!$C$6,J85&gt;=0,J84&lt;0,H85&gt;0),A85-1-J84/H85,999)</f>
        <v>999</v>
      </c>
      <c r="T85" s="5" t="n">
        <f>IF(AND(A85&lt;='Assumptions and Catalog'!$C$6,M85&gt;=0,M84&lt;0,K85&gt;0),A85-1-M84/K85,999)</f>
        <v>999</v>
      </c>
      <c r="U85" s="5" t="n">
        <f>IF(AND(A85&lt;='Assumptions and Catalog'!$C$6,N85&gt;=0,N84&lt;0,L85&gt;0),A85-1-N84/L85,999)</f>
        <v>999</v>
      </c>
      <c r="W85" s="44" t="str">
        <v>Largest numeric difference</v>
      </c>
      <c r="X85" s="44" t="str">
        <v>mixed units</v>
      </c>
      <c r="Y85" s="65" t="n">
        <v>4.3655745685100555e-10</v>
      </c>
      <c r="Z85" s="65" t="n">
        <v>4.3655745685100555e-10</v>
      </c>
      <c r="AA85" s="65" t="n">
        <v>2.9103830456733704e-11</v>
      </c>
      <c r="AB85" s="65" t="n">
        <v>8.731149137020111e-11</v>
      </c>
      <c r="AC85" s="65" t="n">
        <v>1.1641532182693481e-10</v>
      </c>
      <c r="AD85" s="65" t="n">
        <v>6.366462912410498e-12</v>
      </c>
      <c r="AE85" s="65" t="n">
        <v>1.1641532182693481e-10</v>
      </c>
      <c r="AF85" s="65" t="n">
        <v>6.366462912410498e-12</v>
      </c>
      <c r="AG85" s="44"/>
      <c r="AH85" s="44"/>
      <c r="AI85" s="44"/>
      <c r="AJ85" s="44"/>
      <c r="AK85" s="44"/>
      <c r="AL85" s="44"/>
    </row>
    <row r="86" ht="33.95000076293945" customHeight="1">
      <c r="A86" s="3" t="n">
        <v>8</v>
      </c>
      <c r="B86" s="5" t="n">
        <f>IF(A86&lt;='Assumptions and Catalog'!$C$6,SUMIFS($M$161:$M$400,$A$161:$A$400,A86),0)</f>
        <v>83544.51</v>
      </c>
      <c r="C86" s="5" t="n">
        <f>IF(A86&lt;='Assumptions and Catalog'!$C$6,SUMIFS($O$161:$O$400,$A$161:$A$400,A86)-(C$70+IF(AND('Assumptions and Catalog'!$C$19&gt;0,A86='Assumptions and Catalog'!$C$19),C$61*'Assumptions and Catalog'!$C$20,0)+IF(AND('Assumptions and Catalog'!$C$21&gt;0,A86='Assumptions and Catalog'!$C$21),C$62*'Assumptions and Catalog'!$C$22,0))*(1+'Assumptions and Catalog'!$C$9)^(A86-1),0)</f>
        <v>39097.3605192509</v>
      </c>
      <c r="D86" s="5" t="n">
        <f>C86/(1+'Assumptions and Catalog'!$C$7)^A86</f>
        <v>18239.2072289512</v>
      </c>
      <c r="E86" s="5" t="n">
        <f>E85+C86</f>
        <v>171326.294408009</v>
      </c>
      <c r="F86" s="5" t="n">
        <f>F85+D86</f>
        <v>66636.2607948855</v>
      </c>
      <c r="G86" s="5" t="n">
        <f>IF(A86&lt;='Assumptions and Catalog'!$C$6,SUMIFS($O$411:$O$650,$A$411:$A$650,A86)-(D$70+IF(AND('Assumptions and Catalog'!$C$19&gt;0,A86='Assumptions and Catalog'!$C$19),D$61*'Assumptions and Catalog'!$C$20,0)+IF(AND('Assumptions and Catalog'!$C$21&gt;0,A86='Assumptions and Catalog'!$C$21),D$62*'Assumptions and Catalog'!$C$22,0))*(1+'Assumptions and Catalog'!$C$9)^(A86-1),0)</f>
        <v>-2730.64</v>
      </c>
      <c r="H86" s="5" t="n">
        <f>G86/(1+'Assumptions and Catalog'!$C$7)^A86</f>
        <v>-1273.86371269591</v>
      </c>
      <c r="I86" s="5" t="n">
        <f>I85+G86</f>
        <v>-294909.12</v>
      </c>
      <c r="J86" s="5" t="n">
        <f>J85+H86</f>
        <v>-287631.762873041</v>
      </c>
      <c r="K86" s="5" t="n">
        <f>IF(A86&lt;='Assumptions and Catalog'!$C$6,SUMIFS($O$661:$O$900,$A$661:$A$900,A86)-(E$70+IF(AND('Assumptions and Catalog'!$C$19&gt;0,A86='Assumptions and Catalog'!$C$19),E$61*'Assumptions and Catalog'!$C$20,0)+IF(AND('Assumptions and Catalog'!$C$21&gt;0,A86='Assumptions and Catalog'!$C$21),E$62*'Assumptions and Catalog'!$C$22,0))*(1+'Assumptions and Catalog'!$C$9)^(A86-1),0)</f>
        <v>46647.9633407171</v>
      </c>
      <c r="L86" s="5" t="n">
        <f>K86/(1+'Assumptions and Catalog'!$C$7)^A86</f>
        <v>21761.6191701976</v>
      </c>
      <c r="M86" s="5" t="n">
        <f>M85+K86</f>
        <v>-36977.6313924855</v>
      </c>
      <c r="N86" s="5" t="n">
        <f>N85+L86</f>
        <v>-162716.799487477</v>
      </c>
      <c r="O86" s="5"/>
      <c r="P86" s="5" t="n">
        <f>IF(AND(A86&lt;='Assumptions and Catalog'!$C$6,E86&gt;=0,E85&lt;0,C86&gt;0),A86-1-E85/C86,999)</f>
        <v>999</v>
      </c>
      <c r="Q86" s="5" t="n">
        <f>IF(AND(A86&lt;='Assumptions and Catalog'!$C$6,F86&gt;=0,F85&lt;0,D86&gt;0),A86-1-F85/D86,999)</f>
        <v>999</v>
      </c>
      <c r="R86" s="5" t="n">
        <f>IF(AND(A86&lt;='Assumptions and Catalog'!$C$6,I86&gt;=0,I85&lt;0,G86&gt;0),A86-1-I85/G86,999)</f>
        <v>999</v>
      </c>
      <c r="S86" s="5" t="n">
        <f>IF(AND(A86&lt;='Assumptions and Catalog'!$C$6,J86&gt;=0,J85&lt;0,H86&gt;0),A86-1-J85/H86,999)</f>
        <v>999</v>
      </c>
      <c r="T86" s="5" t="n">
        <f>IF(AND(A86&lt;='Assumptions and Catalog'!$C$6,M86&gt;=0,M85&lt;0,K86&gt;0),A86-1-M85/K86,999)</f>
        <v>999</v>
      </c>
      <c r="U86" s="5" t="n">
        <f>IF(AND(A86&lt;='Assumptions and Catalog'!$C$6,N86&gt;=0,N85&lt;0,L86&gt;0),A86-1-N85/L86,999)</f>
        <v>999</v>
      </c>
      <c r="W86" s="46" t="str">
        <v>Native formula errors</v>
      </c>
      <c r="X86" s="46" t="str">
        <v>count</v>
      </c>
      <c r="Y86" s="50" t="n">
        <v>0</v>
      </c>
      <c r="Z86" s="50" t="n">
        <v>0</v>
      </c>
      <c r="AA86" s="50" t="n">
        <v>0</v>
      </c>
      <c r="AB86" s="50" t="n">
        <v>0</v>
      </c>
      <c r="AC86" s="50" t="n">
        <v>0</v>
      </c>
      <c r="AD86" s="50" t="n">
        <v>0</v>
      </c>
      <c r="AE86" s="50" t="n">
        <v>0</v>
      </c>
      <c r="AF86" s="50" t="n">
        <v>0</v>
      </c>
      <c r="AG86" s="44"/>
      <c r="AH86" s="44"/>
      <c r="AI86" s="44"/>
      <c r="AJ86" s="44"/>
      <c r="AK86" s="44"/>
      <c r="AL86" s="44"/>
    </row>
    <row r="87" ht="33.95000076293945" customHeight="1">
      <c r="A87" s="3" t="n">
        <v>9</v>
      </c>
      <c r="B87" s="5" t="n">
        <f>IF(A87&lt;='Assumptions and Catalog'!$C$6,SUMIFS($M$161:$M$400,$A$161:$A$400,A87),0)</f>
        <v>83544.51</v>
      </c>
      <c r="C87" s="5" t="n">
        <f>IF(A87&lt;='Assumptions and Catalog'!$C$6,SUMIFS($O$161:$O$400,$A$161:$A$400,A87)-(C$70+IF(AND('Assumptions and Catalog'!$C$19&gt;0,A87='Assumptions and Catalog'!$C$19),C$61*'Assumptions and Catalog'!$C$20,0)+IF(AND('Assumptions and Catalog'!$C$21&gt;0,A87='Assumptions and Catalog'!$C$21),C$62*'Assumptions and Catalog'!$C$22,0))*(1+'Assumptions and Catalog'!$C$9)^(A87-1),0)</f>
        <v>39034.0907916547</v>
      </c>
      <c r="D87" s="5" t="n">
        <f>C87/(1+'Assumptions and Catalog'!$C$7)^A87</f>
        <v>16554.2649400761</v>
      </c>
      <c r="E87" s="5" t="n">
        <f>E86+C87</f>
        <v>210360.385199664</v>
      </c>
      <c r="F87" s="5" t="n">
        <f>F86+D87</f>
        <v>83190.5257349615</v>
      </c>
      <c r="G87" s="5" t="n">
        <f>IF(A87&lt;='Assumptions and Catalog'!$C$6,SUMIFS($O$411:$O$650,$A$411:$A$650,A87)-(D$70+IF(AND('Assumptions and Catalog'!$C$19&gt;0,A87='Assumptions and Catalog'!$C$19),D$61*'Assumptions and Catalog'!$C$20,0)+IF(AND('Assumptions and Catalog'!$C$21&gt;0,A87='Assumptions and Catalog'!$C$21),D$62*'Assumptions and Catalog'!$C$22,0))*(1+'Assumptions and Catalog'!$C$9)^(A87-1),0)</f>
        <v>-2730.64</v>
      </c>
      <c r="H87" s="5" t="n">
        <f>G87/(1+'Assumptions and Catalog'!$C$7)^A87</f>
        <v>-1158.05792063264</v>
      </c>
      <c r="I87" s="5" t="n">
        <f>I86+G87</f>
        <v>-297639.76</v>
      </c>
      <c r="J87" s="5" t="n">
        <f>J86+H87</f>
        <v>-288789.820793674</v>
      </c>
      <c r="K87" s="5" t="n">
        <f>IF(A87&lt;='Assumptions and Catalog'!$C$6,SUMIFS($O$661:$O$900,$A$661:$A$900,A87)-(E$70+IF(AND('Assumptions and Catalog'!$C$19&gt;0,A87='Assumptions and Catalog'!$C$19),E$61*'Assumptions and Catalog'!$C$20,0)+IF(AND('Assumptions and Catalog'!$C$21&gt;0,A87='Assumptions and Catalog'!$C$21),E$62*'Assumptions and Catalog'!$C$22,0))*(1+'Assumptions and Catalog'!$C$9)^(A87-1),0)</f>
        <v>46455.811426154</v>
      </c>
      <c r="L87" s="5" t="n">
        <f>K87/(1+'Assumptions and Catalog'!$C$7)^A87</f>
        <v>19701.7989853932</v>
      </c>
      <c r="M87" s="5" t="n">
        <f>M86+K87</f>
        <v>9478.18003366859</v>
      </c>
      <c r="N87" s="5" t="n">
        <f>N86+L87</f>
        <v>-143015.000502084</v>
      </c>
      <c r="O87" s="5"/>
      <c r="P87" s="5" t="n">
        <f>IF(AND(A87&lt;='Assumptions and Catalog'!$C$6,E87&gt;=0,E86&lt;0,C87&gt;0),A87-1-E86/C87,999)</f>
        <v>999</v>
      </c>
      <c r="Q87" s="5" t="n">
        <f>IF(AND(A87&lt;='Assumptions and Catalog'!$C$6,F87&gt;=0,F86&lt;0,D87&gt;0),A87-1-F86/D87,999)</f>
        <v>999</v>
      </c>
      <c r="R87" s="5" t="n">
        <f>IF(AND(A87&lt;='Assumptions and Catalog'!$C$6,I87&gt;=0,I86&lt;0,G87&gt;0),A87-1-I86/G87,999)</f>
        <v>999</v>
      </c>
      <c r="S87" s="5" t="n">
        <f>IF(AND(A87&lt;='Assumptions and Catalog'!$C$6,J87&gt;=0,J86&lt;0,H87&gt;0),A87-1-J86/H87,999)</f>
        <v>999</v>
      </c>
      <c r="T87" s="5" t="n">
        <f>IF(AND(A87&lt;='Assumptions and Catalog'!$C$6,M87&gt;=0,M86&lt;0,K87&gt;0),A87-1-M86/K87,999)</f>
        <v>8.79597428733464</v>
      </c>
      <c r="U87" s="5" t="n">
        <f>IF(AND(A87&lt;='Assumptions and Catalog'!$C$6,N87&gt;=0,N86&lt;0,L87&gt;0),A87-1-N86/L87,999)</f>
        <v>999</v>
      </c>
      <c r="W87" s="44" t="str">
        <v>Roof validation</v>
      </c>
      <c r="X87" s="44" t="str"/>
      <c r="Y87" s="76" t="str">
        <v>Roof fit not verified</v>
      </c>
      <c r="Z87" s="76" t="str">
        <v>Roof fit not verified</v>
      </c>
      <c r="AA87" s="76" t="str">
        <v>Exceeds available area</v>
      </c>
      <c r="AB87" s="76" t="str">
        <v>Exceeds available area</v>
      </c>
      <c r="AC87" s="76" t="str">
        <v>Exceeds available area</v>
      </c>
      <c r="AD87" s="76" t="str">
        <v>Exceeds available area</v>
      </c>
      <c r="AE87" s="76" t="str">
        <v>Exceeds available area</v>
      </c>
      <c r="AF87" s="76" t="str">
        <v>Exceeds available area</v>
      </c>
      <c r="AG87" s="44"/>
      <c r="AH87" s="44"/>
      <c r="AI87" s="44"/>
      <c r="AJ87" s="44"/>
      <c r="AK87" s="44"/>
      <c r="AL87" s="44"/>
    </row>
    <row r="88" ht="33.95000076293945" customHeight="1">
      <c r="A88" s="3" t="n">
        <v>10</v>
      </c>
      <c r="B88" s="5" t="n">
        <f>IF(A88&lt;='Assumptions and Catalog'!$C$6,SUMIFS($M$161:$M$400,$A$161:$A$400,A88),0)</f>
        <v>83772.084</v>
      </c>
      <c r="C88" s="5" t="n">
        <f>IF(A88&lt;='Assumptions and Catalog'!$C$6,SUMIFS($O$161:$O$400,$A$161:$A$400,A88)-(C$70+IF(AND('Assumptions and Catalog'!$C$19&gt;0,A88='Assumptions and Catalog'!$C$19),C$61*'Assumptions and Catalog'!$C$20,0)+IF(AND('Assumptions and Catalog'!$C$21&gt;0,A88='Assumptions and Catalog'!$C$21),C$62*'Assumptions and Catalog'!$C$22,0))*(1+'Assumptions and Catalog'!$C$9)^(A88-1),0)</f>
        <v>39080.8063235989</v>
      </c>
      <c r="D88" s="5" t="n">
        <f>C88/(1+'Assumptions and Catalog'!$C$7)^A88</f>
        <v>15067.3426235588</v>
      </c>
      <c r="E88" s="5" t="n">
        <f>E87+C88</f>
        <v>249441.191523262</v>
      </c>
      <c r="F88" s="5" t="n">
        <f>F87+D88</f>
        <v>98257.8683585203</v>
      </c>
      <c r="G88" s="5" t="n">
        <f>IF(A88&lt;='Assumptions and Catalog'!$C$6,SUMIFS($O$411:$O$650,$A$411:$A$650,A88)-(D$70+IF(AND('Assumptions and Catalog'!$C$19&gt;0,A88='Assumptions and Catalog'!$C$19),D$61*'Assumptions and Catalog'!$C$20,0)+IF(AND('Assumptions and Catalog'!$C$21&gt;0,A88='Assumptions and Catalog'!$C$21),D$62*'Assumptions and Catalog'!$C$22,0))*(1+'Assumptions and Catalog'!$C$9)^(A88-1),0)</f>
        <v>-2730.64</v>
      </c>
      <c r="H88" s="5" t="n">
        <f>G88/(1+'Assumptions and Catalog'!$C$7)^A88</f>
        <v>-1052.77992784786</v>
      </c>
      <c r="I88" s="5" t="n">
        <f>I87+G88</f>
        <v>-300370.4</v>
      </c>
      <c r="J88" s="5" t="n">
        <f>J87+H88</f>
        <v>-289842.600721522</v>
      </c>
      <c r="K88" s="5" t="n">
        <f>IF(A88&lt;='Assumptions and Catalog'!$C$6,SUMIFS($O$661:$O$900,$A$661:$A$900,A88)-(E$70+IF(AND('Assumptions and Catalog'!$C$19&gt;0,A88='Assumptions and Catalog'!$C$19),E$61*'Assumptions and Catalog'!$C$20,0)+IF(AND('Assumptions and Catalog'!$C$21&gt;0,A88='Assumptions and Catalog'!$C$21),E$62*'Assumptions and Catalog'!$C$22,0))*(1+'Assumptions and Catalog'!$C$9)^(A88-1),0)</f>
        <v>46403.9454388444</v>
      </c>
      <c r="L88" s="5" t="n">
        <f>K88/(1+'Assumptions and Catalog'!$C$7)^A88</f>
        <v>17890.7297670006</v>
      </c>
      <c r="M88" s="5" t="n">
        <f>M87+K88</f>
        <v>55882.125472513</v>
      </c>
      <c r="N88" s="5" t="n">
        <f>N87+L88</f>
        <v>-125124.270735083</v>
      </c>
      <c r="O88" s="5"/>
      <c r="P88" s="5" t="n">
        <f>IF(AND(A88&lt;='Assumptions and Catalog'!$C$6,E88&gt;=0,E87&lt;0,C88&gt;0),A88-1-E87/C88,999)</f>
        <v>999</v>
      </c>
      <c r="Q88" s="5" t="n">
        <f>IF(AND(A88&lt;='Assumptions and Catalog'!$C$6,F88&gt;=0,F87&lt;0,D88&gt;0),A88-1-F87/D88,999)</f>
        <v>999</v>
      </c>
      <c r="R88" s="5" t="n">
        <f>IF(AND(A88&lt;='Assumptions and Catalog'!$C$6,I88&gt;=0,I87&lt;0,G88&gt;0),A88-1-I87/G88,999)</f>
        <v>999</v>
      </c>
      <c r="S88" s="5" t="n">
        <f>IF(AND(A88&lt;='Assumptions and Catalog'!$C$6,J88&gt;=0,J87&lt;0,H88&gt;0),A88-1-J87/H88,999)</f>
        <v>999</v>
      </c>
      <c r="T88" s="5" t="n">
        <f>IF(AND(A88&lt;='Assumptions and Catalog'!$C$6,M88&gt;=0,M87&lt;0,K88&gt;0),A88-1-M87/K88,999)</f>
        <v>999</v>
      </c>
      <c r="U88" s="5" t="n">
        <f>IF(AND(A88&lt;='Assumptions and Catalog'!$C$6,N88&gt;=0,N87&lt;0,L88&gt;0),A88-1-N87/L88,999)</f>
        <v>999</v>
      </c>
      <c r="W88" s="46" t="str">
        <v>Maximum monthly energy residual</v>
      </c>
      <c r="X88" s="46" t="str">
        <v>kWh</v>
      </c>
      <c r="Y88" s="66" t="n">
        <v>0</v>
      </c>
      <c r="Z88" s="66" t="n">
        <v>0</v>
      </c>
      <c r="AA88" s="66" t="n">
        <v>0</v>
      </c>
      <c r="AB88" s="66" t="n">
        <v>0</v>
      </c>
      <c r="AC88" s="66" t="n">
        <v>3.69482222595252e-13</v>
      </c>
      <c r="AD88" s="66" t="n">
        <v>0</v>
      </c>
      <c r="AE88" s="66" t="n">
        <v>3.69482222595252e-13</v>
      </c>
      <c r="AF88" s="66" t="n">
        <v>0</v>
      </c>
      <c r="AG88" s="44"/>
      <c r="AH88" s="44" t="str">
        <v>No outage schedule is available. Backup mode therefore includes no outage-cycle energy or recharging cost; zero auxiliary consumption is the existing assumption. Zero modeled battery-only bill savings is not a prediction of zero real-life standby losses.</v>
      </c>
      <c r="AI88" s="44"/>
      <c r="AJ88" s="44"/>
      <c r="AK88" s="44"/>
      <c r="AL88" s="44"/>
    </row>
    <row r="89" ht="33.95000076293945" customHeight="1">
      <c r="A89" s="3" t="n">
        <v>11</v>
      </c>
      <c r="B89" s="5" t="n">
        <f>IF(A89&lt;='Assumptions and Catalog'!$C$6,SUMIFS($M$161:$M$400,$A$161:$A$400,A89),0)</f>
        <v>0</v>
      </c>
      <c r="C89" s="5" t="n">
        <f>IF(A89&lt;='Assumptions and Catalog'!$C$6,SUMIFS($O$161:$O$400,$A$161:$A$400,A89)-(C$70+IF(AND('Assumptions and Catalog'!$C$19&gt;0,A89='Assumptions and Catalog'!$C$19),C$61*'Assumptions and Catalog'!$C$20,0)+IF(AND('Assumptions and Catalog'!$C$21&gt;0,A89='Assumptions and Catalog'!$C$21),C$62*'Assumptions and Catalog'!$C$22,0))*(1+'Assumptions and Catalog'!$C$9)^(A89-1),0)</f>
        <v>0</v>
      </c>
      <c r="D89" s="5" t="n">
        <f>C89/(1+'Assumptions and Catalog'!$C$7)^A89</f>
        <v>0</v>
      </c>
      <c r="E89" s="5" t="n">
        <f>E88+C89</f>
        <v>249441.191523262</v>
      </c>
      <c r="F89" s="5" t="n">
        <f>F88+D89</f>
        <v>98257.8683585203</v>
      </c>
      <c r="G89" s="5" t="n">
        <f>IF(A89&lt;='Assumptions and Catalog'!$C$6,SUMIFS($O$411:$O$650,$A$411:$A$650,A89)-(D$70+IF(AND('Assumptions and Catalog'!$C$19&gt;0,A89='Assumptions and Catalog'!$C$19),D$61*'Assumptions and Catalog'!$C$20,0)+IF(AND('Assumptions and Catalog'!$C$21&gt;0,A89='Assumptions and Catalog'!$C$21),D$62*'Assumptions and Catalog'!$C$22,0))*(1+'Assumptions and Catalog'!$C$9)^(A89-1),0)</f>
        <v>0</v>
      </c>
      <c r="H89" s="5" t="n">
        <f>G89/(1+'Assumptions and Catalog'!$C$7)^A89</f>
        <v>0</v>
      </c>
      <c r="I89" s="5" t="n">
        <f>I88+G89</f>
        <v>-300370.4</v>
      </c>
      <c r="J89" s="5" t="n">
        <f>J88+H89</f>
        <v>-289842.600721522</v>
      </c>
      <c r="K89" s="5" t="n">
        <f>IF(A89&lt;='Assumptions and Catalog'!$C$6,SUMIFS($O$661:$O$900,$A$661:$A$900,A89)-(E$70+IF(AND('Assumptions and Catalog'!$C$19&gt;0,A89='Assumptions and Catalog'!$C$19),E$61*'Assumptions and Catalog'!$C$20,0)+IF(AND('Assumptions and Catalog'!$C$21&gt;0,A89='Assumptions and Catalog'!$C$21),E$62*'Assumptions and Catalog'!$C$22,0))*(1+'Assumptions and Catalog'!$C$9)^(A89-1),0)</f>
        <v>0</v>
      </c>
      <c r="L89" s="5" t="n">
        <f>K89/(1+'Assumptions and Catalog'!$C$7)^A89</f>
        <v>0</v>
      </c>
      <c r="M89" s="5" t="n">
        <f>M88+K89</f>
        <v>55882.125472513</v>
      </c>
      <c r="N89" s="5" t="n">
        <f>N88+L89</f>
        <v>-125124.270735083</v>
      </c>
      <c r="O89" s="5"/>
      <c r="P89" s="5" t="n">
        <f>IF(AND(A89&lt;='Assumptions and Catalog'!$C$6,E89&gt;=0,E88&lt;0,C89&gt;0),A89-1-E88/C89,999)</f>
        <v>999</v>
      </c>
      <c r="Q89" s="5" t="n">
        <f>IF(AND(A89&lt;='Assumptions and Catalog'!$C$6,F89&gt;=0,F88&lt;0,D89&gt;0),A89-1-F88/D89,999)</f>
        <v>999</v>
      </c>
      <c r="R89" s="5" t="n">
        <f>IF(AND(A89&lt;='Assumptions and Catalog'!$C$6,I89&gt;=0,I88&lt;0,G89&gt;0),A89-1-I88/G89,999)</f>
        <v>999</v>
      </c>
      <c r="S89" s="5" t="n">
        <f>IF(AND(A89&lt;='Assumptions and Catalog'!$C$6,J89&gt;=0,J88&lt;0,H89&gt;0),A89-1-J88/H89,999)</f>
        <v>999</v>
      </c>
      <c r="T89" s="5" t="n">
        <f>IF(AND(A89&lt;='Assumptions and Catalog'!$C$6,M89&gt;=0,M88&lt;0,K89&gt;0),A89-1-M88/K89,999)</f>
        <v>999</v>
      </c>
      <c r="U89" s="5" t="n">
        <f>IF(AND(A89&lt;='Assumptions and Catalog'!$C$6,N89&gt;=0,N88&lt;0,L89&gt;0),A89-1-N88/L89,999)</f>
        <v>999</v>
      </c>
      <c r="W89" s="44" t="str">
        <v>4 kW critical-load power check</v>
      </c>
      <c r="X89" s="44" t="str"/>
      <c r="Y89" s="76" t="str">
        <v>No backup</v>
      </c>
      <c r="Z89" s="76" t="str">
        <v>FAIL: 3 kW &lt; 4 kW</v>
      </c>
      <c r="AA89" s="76" t="str">
        <v>FAIL: 3 kW &lt; 4 kW</v>
      </c>
      <c r="AB89" s="76" t="str">
        <v>Rating sufficient; hardware unverified</v>
      </c>
      <c r="AC89" s="76" t="str">
        <v>Rating sufficient; hardware unverified</v>
      </c>
      <c r="AD89" s="76" t="str">
        <v>Rating sufficient; hardware unverified</v>
      </c>
      <c r="AE89" s="76" t="str">
        <v>Rating sufficient; hardware unverified</v>
      </c>
      <c r="AF89" s="76" t="str">
        <v>Rating sufficient; hardware unverified</v>
      </c>
      <c r="AG89" s="44"/>
      <c r="AH89" s="44"/>
      <c r="AI89" s="44"/>
      <c r="AJ89" s="44"/>
      <c r="AK89" s="44"/>
      <c r="AL89" s="44"/>
    </row>
    <row r="90" ht="33.95000076293945" customHeight="1">
      <c r="A90" s="3" t="n">
        <v>12</v>
      </c>
      <c r="B90" s="5" t="n">
        <f>IF(A90&lt;='Assumptions and Catalog'!$C$6,SUMIFS($M$161:$M$400,$A$161:$A$400,A90),0)</f>
        <v>0</v>
      </c>
      <c r="C90" s="5" t="n">
        <f>IF(A90&lt;='Assumptions and Catalog'!$C$6,SUMIFS($O$161:$O$400,$A$161:$A$400,A90)-(C$70+IF(AND('Assumptions and Catalog'!$C$19&gt;0,A90='Assumptions and Catalog'!$C$19),C$61*'Assumptions and Catalog'!$C$20,0)+IF(AND('Assumptions and Catalog'!$C$21&gt;0,A90='Assumptions and Catalog'!$C$21),C$62*'Assumptions and Catalog'!$C$22,0))*(1+'Assumptions and Catalog'!$C$9)^(A90-1),0)</f>
        <v>0</v>
      </c>
      <c r="D90" s="5" t="n">
        <f>C90/(1+'Assumptions and Catalog'!$C$7)^A90</f>
        <v>0</v>
      </c>
      <c r="E90" s="5" t="n">
        <f>E89+C90</f>
        <v>249441.191523262</v>
      </c>
      <c r="F90" s="5" t="n">
        <f>F89+D90</f>
        <v>98257.8683585203</v>
      </c>
      <c r="G90" s="5" t="n">
        <f>IF(A90&lt;='Assumptions and Catalog'!$C$6,SUMIFS($O$411:$O$650,$A$411:$A$650,A90)-(D$70+IF(AND('Assumptions and Catalog'!$C$19&gt;0,A90='Assumptions and Catalog'!$C$19),D$61*'Assumptions and Catalog'!$C$20,0)+IF(AND('Assumptions and Catalog'!$C$21&gt;0,A90='Assumptions and Catalog'!$C$21),D$62*'Assumptions and Catalog'!$C$22,0))*(1+'Assumptions and Catalog'!$C$9)^(A90-1),0)</f>
        <v>0</v>
      </c>
      <c r="H90" s="5" t="n">
        <f>G90/(1+'Assumptions and Catalog'!$C$7)^A90</f>
        <v>0</v>
      </c>
      <c r="I90" s="5" t="n">
        <f>I89+G90</f>
        <v>-300370.4</v>
      </c>
      <c r="J90" s="5" t="n">
        <f>J89+H90</f>
        <v>-289842.600721522</v>
      </c>
      <c r="K90" s="5" t="n">
        <f>IF(A90&lt;='Assumptions and Catalog'!$C$6,SUMIFS($O$661:$O$900,$A$661:$A$900,A90)-(E$70+IF(AND('Assumptions and Catalog'!$C$19&gt;0,A90='Assumptions and Catalog'!$C$19),E$61*'Assumptions and Catalog'!$C$20,0)+IF(AND('Assumptions and Catalog'!$C$21&gt;0,A90='Assumptions and Catalog'!$C$21),E$62*'Assumptions and Catalog'!$C$22,0))*(1+'Assumptions and Catalog'!$C$9)^(A90-1),0)</f>
        <v>0</v>
      </c>
      <c r="L90" s="5" t="n">
        <f>K90/(1+'Assumptions and Catalog'!$C$7)^A90</f>
        <v>0</v>
      </c>
      <c r="M90" s="5" t="n">
        <f>M89+K90</f>
        <v>55882.125472513</v>
      </c>
      <c r="N90" s="5" t="n">
        <f>N89+L90</f>
        <v>-125124.270735083</v>
      </c>
      <c r="O90" s="5"/>
      <c r="P90" s="5" t="n">
        <f>IF(AND(A90&lt;='Assumptions and Catalog'!$C$6,E90&gt;=0,E89&lt;0,C90&gt;0),A90-1-E89/C90,999)</f>
        <v>999</v>
      </c>
      <c r="Q90" s="5" t="n">
        <f>IF(AND(A90&lt;='Assumptions and Catalog'!$C$6,F90&gt;=0,F89&lt;0,D90&gt;0),A90-1-F89/D90,999)</f>
        <v>999</v>
      </c>
      <c r="R90" s="5" t="n">
        <f>IF(AND(A90&lt;='Assumptions and Catalog'!$C$6,I90&gt;=0,I89&lt;0,G90&gt;0),A90-1-I89/G90,999)</f>
        <v>999</v>
      </c>
      <c r="S90" s="5" t="n">
        <f>IF(AND(A90&lt;='Assumptions and Catalog'!$C$6,J90&gt;=0,J89&lt;0,H90&gt;0),A90-1-J89/H90,999)</f>
        <v>999</v>
      </c>
      <c r="T90" s="5" t="n">
        <f>IF(AND(A90&lt;='Assumptions and Catalog'!$C$6,M90&gt;=0,M89&lt;0,K90&gt;0),A90-1-M89/K90,999)</f>
        <v>999</v>
      </c>
      <c r="U90" s="5" t="n">
        <f>IF(AND(A90&lt;='Assumptions and Catalog'!$C$6,N90&gt;=0,N89&lt;0,L90&gt;0),A90-1-N89/L90,999)</f>
        <v>999</v>
      </c>
      <c r="W90" s="46" t="str">
        <v>Arithmetic verification</v>
      </c>
      <c r="X90" s="46" t="str"/>
      <c r="Y90" s="46" t="str">
        <v>PASS within model scope</v>
      </c>
      <c r="Z90" s="46" t="str">
        <v>PASS within model scope</v>
      </c>
      <c r="AA90" s="46" t="str">
        <v>PASS within model scope</v>
      </c>
      <c r="AB90" s="46" t="str">
        <v>PASS within model scope</v>
      </c>
      <c r="AC90" s="46" t="str">
        <v>PASS within model scope</v>
      </c>
      <c r="AD90" s="46" t="str">
        <v>PASS within model scope</v>
      </c>
      <c r="AE90" s="46" t="str">
        <v>PASS within model scope</v>
      </c>
      <c r="AF90" s="46" t="str">
        <v>PASS within model scope</v>
      </c>
      <c r="AG90" s="44"/>
      <c r="AH90" s="44"/>
      <c r="AI90" s="44"/>
      <c r="AJ90" s="44"/>
      <c r="AK90" s="44"/>
      <c r="AL90" s="44"/>
    </row>
    <row r="91" ht="33.95000076293945" customHeight="1">
      <c r="A91" s="3" t="n">
        <v>13</v>
      </c>
      <c r="B91" s="5" t="n">
        <f>IF(A91&lt;='Assumptions and Catalog'!$C$6,SUMIFS($M$161:$M$400,$A$161:$A$400,A91),0)</f>
        <v>0</v>
      </c>
      <c r="C91" s="5" t="n">
        <f>IF(A91&lt;='Assumptions and Catalog'!$C$6,SUMIFS($O$161:$O$400,$A$161:$A$400,A91)-(C$70+IF(AND('Assumptions and Catalog'!$C$19&gt;0,A91='Assumptions and Catalog'!$C$19),C$61*'Assumptions and Catalog'!$C$20,0)+IF(AND('Assumptions and Catalog'!$C$21&gt;0,A91='Assumptions and Catalog'!$C$21),C$62*'Assumptions and Catalog'!$C$22,0))*(1+'Assumptions and Catalog'!$C$9)^(A91-1),0)</f>
        <v>0</v>
      </c>
      <c r="D91" s="5" t="n">
        <f>C91/(1+'Assumptions and Catalog'!$C$7)^A91</f>
        <v>0</v>
      </c>
      <c r="E91" s="5" t="n">
        <f>E90+C91</f>
        <v>249441.191523262</v>
      </c>
      <c r="F91" s="5" t="n">
        <f>F90+D91</f>
        <v>98257.8683585203</v>
      </c>
      <c r="G91" s="5" t="n">
        <f>IF(A91&lt;='Assumptions and Catalog'!$C$6,SUMIFS($O$411:$O$650,$A$411:$A$650,A91)-(D$70+IF(AND('Assumptions and Catalog'!$C$19&gt;0,A91='Assumptions and Catalog'!$C$19),D$61*'Assumptions and Catalog'!$C$20,0)+IF(AND('Assumptions and Catalog'!$C$21&gt;0,A91='Assumptions and Catalog'!$C$21),D$62*'Assumptions and Catalog'!$C$22,0))*(1+'Assumptions and Catalog'!$C$9)^(A91-1),0)</f>
        <v>0</v>
      </c>
      <c r="H91" s="5" t="n">
        <f>G91/(1+'Assumptions and Catalog'!$C$7)^A91</f>
        <v>0</v>
      </c>
      <c r="I91" s="5" t="n">
        <f>I90+G91</f>
        <v>-300370.4</v>
      </c>
      <c r="J91" s="5" t="n">
        <f>J90+H91</f>
        <v>-289842.600721522</v>
      </c>
      <c r="K91" s="5" t="n">
        <f>IF(A91&lt;='Assumptions and Catalog'!$C$6,SUMIFS($O$661:$O$900,$A$661:$A$900,A91)-(E$70+IF(AND('Assumptions and Catalog'!$C$19&gt;0,A91='Assumptions and Catalog'!$C$19),E$61*'Assumptions and Catalog'!$C$20,0)+IF(AND('Assumptions and Catalog'!$C$21&gt;0,A91='Assumptions and Catalog'!$C$21),E$62*'Assumptions and Catalog'!$C$22,0))*(1+'Assumptions and Catalog'!$C$9)^(A91-1),0)</f>
        <v>0</v>
      </c>
      <c r="L91" s="5" t="n">
        <f>K91/(1+'Assumptions and Catalog'!$C$7)^A91</f>
        <v>0</v>
      </c>
      <c r="M91" s="5" t="n">
        <f>M90+K91</f>
        <v>55882.125472513</v>
      </c>
      <c r="N91" s="5" t="n">
        <f>N90+L91</f>
        <v>-125124.270735083</v>
      </c>
      <c r="O91" s="5"/>
      <c r="P91" s="5" t="n">
        <f>IF(AND(A91&lt;='Assumptions and Catalog'!$C$6,E91&gt;=0,E90&lt;0,C91&gt;0),A91-1-E90/C91,999)</f>
        <v>999</v>
      </c>
      <c r="Q91" s="5" t="n">
        <f>IF(AND(A91&lt;='Assumptions and Catalog'!$C$6,F91&gt;=0,F90&lt;0,D91&gt;0),A91-1-F90/D91,999)</f>
        <v>999</v>
      </c>
      <c r="R91" s="5" t="n">
        <f>IF(AND(A91&lt;='Assumptions and Catalog'!$C$6,I91&gt;=0,I90&lt;0,G91&gt;0),A91-1-I90/G91,999)</f>
        <v>999</v>
      </c>
      <c r="S91" s="5" t="n">
        <f>IF(AND(A91&lt;='Assumptions and Catalog'!$C$6,J91&gt;=0,J90&lt;0,H91&gt;0),A91-1-J90/H91,999)</f>
        <v>999</v>
      </c>
      <c r="T91" s="5" t="n">
        <f>IF(AND(A91&lt;='Assumptions and Catalog'!$C$6,M91&gt;=0,M90&lt;0,K91&gt;0),A91-1-M90/K91,999)</f>
        <v>999</v>
      </c>
      <c r="U91" s="5" t="n">
        <f>IF(AND(A91&lt;='Assumptions and Catalog'!$C$6,N91&gt;=0,N90&lt;0,L91&gt;0),A91-1-N90/L91,999)</f>
        <v>999</v>
      </c>
      <c r="W91" s="44" t="str">
        <v>Full scenario validation</v>
      </c>
      <c r="X91" s="44" t="str"/>
      <c r="Y91" s="76" t="str">
        <v>Not a site feasibility approval</v>
      </c>
      <c r="Z91" s="76" t="str">
        <v>Critical backup requirement not met</v>
      </c>
      <c r="AA91" s="76" t="str">
        <v>FAIL: roof constraint</v>
      </c>
      <c r="AB91" s="76" t="str">
        <v>FAIL: roof constraint</v>
      </c>
      <c r="AC91" s="76" t="str">
        <v>FAIL: roof constraint</v>
      </c>
      <c r="AD91" s="76" t="str">
        <v>FAIL: roof; INCOMPLETE: TOU/peak</v>
      </c>
      <c r="AE91" s="76" t="str">
        <v>FAIL: roof; INCOMPLETE: TOU/peak</v>
      </c>
      <c r="AF91" s="76" t="str">
        <v>FAIL: roof; INCOMPLETE: TOU/peak</v>
      </c>
      <c r="AG91" s="44"/>
      <c r="AH91" s="44"/>
      <c r="AI91" s="44"/>
      <c r="AJ91" s="44"/>
      <c r="AK91" s="44"/>
      <c r="AL91" s="44"/>
    </row>
    <row r="92" ht="33.95000076293945" customHeight="1">
      <c r="A92" s="3" t="n">
        <v>14</v>
      </c>
      <c r="B92" s="5" t="n">
        <f>IF(A92&lt;='Assumptions and Catalog'!$C$6,SUMIFS($M$161:$M$400,$A$161:$A$400,A92),0)</f>
        <v>0</v>
      </c>
      <c r="C92" s="5" t="n">
        <f>IF(A92&lt;='Assumptions and Catalog'!$C$6,SUMIFS($O$161:$O$400,$A$161:$A$400,A92)-(C$70+IF(AND('Assumptions and Catalog'!$C$19&gt;0,A92='Assumptions and Catalog'!$C$19),C$61*'Assumptions and Catalog'!$C$20,0)+IF(AND('Assumptions and Catalog'!$C$21&gt;0,A92='Assumptions and Catalog'!$C$21),C$62*'Assumptions and Catalog'!$C$22,0))*(1+'Assumptions and Catalog'!$C$9)^(A92-1),0)</f>
        <v>0</v>
      </c>
      <c r="D92" s="5" t="n">
        <f>C92/(1+'Assumptions and Catalog'!$C$7)^A92</f>
        <v>0</v>
      </c>
      <c r="E92" s="5" t="n">
        <f>E91+C92</f>
        <v>249441.191523262</v>
      </c>
      <c r="F92" s="5" t="n">
        <f>F91+D92</f>
        <v>98257.8683585203</v>
      </c>
      <c r="G92" s="5" t="n">
        <f>IF(A92&lt;='Assumptions and Catalog'!$C$6,SUMIFS($O$411:$O$650,$A$411:$A$650,A92)-(D$70+IF(AND('Assumptions and Catalog'!$C$19&gt;0,A92='Assumptions and Catalog'!$C$19),D$61*'Assumptions and Catalog'!$C$20,0)+IF(AND('Assumptions and Catalog'!$C$21&gt;0,A92='Assumptions and Catalog'!$C$21),D$62*'Assumptions and Catalog'!$C$22,0))*(1+'Assumptions and Catalog'!$C$9)^(A92-1),0)</f>
        <v>0</v>
      </c>
      <c r="H92" s="5" t="n">
        <f>G92/(1+'Assumptions and Catalog'!$C$7)^A92</f>
        <v>0</v>
      </c>
      <c r="I92" s="5" t="n">
        <f>I91+G92</f>
        <v>-300370.4</v>
      </c>
      <c r="J92" s="5" t="n">
        <f>J91+H92</f>
        <v>-289842.600721522</v>
      </c>
      <c r="K92" s="5" t="n">
        <f>IF(A92&lt;='Assumptions and Catalog'!$C$6,SUMIFS($O$661:$O$900,$A$661:$A$900,A92)-(E$70+IF(AND('Assumptions and Catalog'!$C$19&gt;0,A92='Assumptions and Catalog'!$C$19),E$61*'Assumptions and Catalog'!$C$20,0)+IF(AND('Assumptions and Catalog'!$C$21&gt;0,A92='Assumptions and Catalog'!$C$21),E$62*'Assumptions and Catalog'!$C$22,0))*(1+'Assumptions and Catalog'!$C$9)^(A92-1),0)</f>
        <v>0</v>
      </c>
      <c r="L92" s="5" t="n">
        <f>K92/(1+'Assumptions and Catalog'!$C$7)^A92</f>
        <v>0</v>
      </c>
      <c r="M92" s="5" t="n">
        <f>M91+K92</f>
        <v>55882.125472513</v>
      </c>
      <c r="N92" s="5" t="n">
        <f>N91+L92</f>
        <v>-125124.270735083</v>
      </c>
      <c r="O92" s="5"/>
      <c r="P92" s="5" t="n">
        <f>IF(AND(A92&lt;='Assumptions and Catalog'!$C$6,E92&gt;=0,E91&lt;0,C92&gt;0),A92-1-E91/C92,999)</f>
        <v>999</v>
      </c>
      <c r="Q92" s="5" t="n">
        <f>IF(AND(A92&lt;='Assumptions and Catalog'!$C$6,F92&gt;=0,F91&lt;0,D92&gt;0),A92-1-F91/D92,999)</f>
        <v>999</v>
      </c>
      <c r="R92" s="5" t="n">
        <f>IF(AND(A92&lt;='Assumptions and Catalog'!$C$6,I92&gt;=0,I91&lt;0,G92&gt;0),A92-1-I91/G92,999)</f>
        <v>999</v>
      </c>
      <c r="S92" s="5" t="n">
        <f>IF(AND(A92&lt;='Assumptions and Catalog'!$C$6,J92&gt;=0,J91&lt;0,H92&gt;0),A92-1-J91/H92,999)</f>
        <v>999</v>
      </c>
      <c r="T92" s="5" t="n">
        <f>IF(AND(A92&lt;='Assumptions and Catalog'!$C$6,M92&gt;=0,M91&lt;0,K92&gt;0),A92-1-M91/K92,999)</f>
        <v>999</v>
      </c>
      <c r="U92" s="5" t="n">
        <f>IF(AND(A92&lt;='Assumptions and Catalog'!$C$6,N92&gt;=0,N91&lt;0,L92&gt;0),A92-1-N91/L92,999)</f>
        <v>999</v>
      </c>
      <c r="W92" s="75" t="str">
        <v>Scenario-specific findings</v>
      </c>
      <c r="X92" s="74"/>
      <c r="Y92" s="74"/>
      <c r="Z92" s="74"/>
      <c r="AA92" s="74"/>
      <c r="AB92" s="74"/>
      <c r="AC92" s="74"/>
      <c r="AD92" s="74"/>
      <c r="AE92" s="74"/>
      <c r="AF92" s="74"/>
      <c r="AG92" s="44"/>
      <c r="AH92" s="44"/>
      <c r="AI92" s="44"/>
      <c r="AJ92" s="44"/>
      <c r="AK92" s="44"/>
      <c r="AL92" s="44"/>
    </row>
    <row r="93" ht="33.95000076293945" customHeight="1">
      <c r="A93" s="3" t="n">
        <v>15</v>
      </c>
      <c r="B93" s="5" t="n">
        <f>IF(A93&lt;='Assumptions and Catalog'!$C$6,SUMIFS($M$161:$M$400,$A$161:$A$400,A93),0)</f>
        <v>0</v>
      </c>
      <c r="C93" s="5" t="n">
        <f>IF(A93&lt;='Assumptions and Catalog'!$C$6,SUMIFS($O$161:$O$400,$A$161:$A$400,A93)-(C$70+IF(AND('Assumptions and Catalog'!$C$19&gt;0,A93='Assumptions and Catalog'!$C$19),C$61*'Assumptions and Catalog'!$C$20,0)+IF(AND('Assumptions and Catalog'!$C$21&gt;0,A93='Assumptions and Catalog'!$C$21),C$62*'Assumptions and Catalog'!$C$22,0))*(1+'Assumptions and Catalog'!$C$9)^(A93-1),0)</f>
        <v>0</v>
      </c>
      <c r="D93" s="5" t="n">
        <f>C93/(1+'Assumptions and Catalog'!$C$7)^A93</f>
        <v>0</v>
      </c>
      <c r="E93" s="5" t="n">
        <f>E92+C93</f>
        <v>249441.191523262</v>
      </c>
      <c r="F93" s="5" t="n">
        <f>F92+D93</f>
        <v>98257.8683585203</v>
      </c>
      <c r="G93" s="5" t="n">
        <f>IF(A93&lt;='Assumptions and Catalog'!$C$6,SUMIFS($O$411:$O$650,$A$411:$A$650,A93)-(D$70+IF(AND('Assumptions and Catalog'!$C$19&gt;0,A93='Assumptions and Catalog'!$C$19),D$61*'Assumptions and Catalog'!$C$20,0)+IF(AND('Assumptions and Catalog'!$C$21&gt;0,A93='Assumptions and Catalog'!$C$21),D$62*'Assumptions and Catalog'!$C$22,0))*(1+'Assumptions and Catalog'!$C$9)^(A93-1),0)</f>
        <v>0</v>
      </c>
      <c r="H93" s="5" t="n">
        <f>G93/(1+'Assumptions and Catalog'!$C$7)^A93</f>
        <v>0</v>
      </c>
      <c r="I93" s="5" t="n">
        <f>I92+G93</f>
        <v>-300370.4</v>
      </c>
      <c r="J93" s="5" t="n">
        <f>J92+H93</f>
        <v>-289842.600721522</v>
      </c>
      <c r="K93" s="5" t="n">
        <f>IF(A93&lt;='Assumptions and Catalog'!$C$6,SUMIFS($O$661:$O$900,$A$661:$A$900,A93)-(E$70+IF(AND('Assumptions and Catalog'!$C$19&gt;0,A93='Assumptions and Catalog'!$C$19),E$61*'Assumptions and Catalog'!$C$20,0)+IF(AND('Assumptions and Catalog'!$C$21&gt;0,A93='Assumptions and Catalog'!$C$21),E$62*'Assumptions and Catalog'!$C$22,0))*(1+'Assumptions and Catalog'!$C$9)^(A93-1),0)</f>
        <v>0</v>
      </c>
      <c r="L93" s="5" t="n">
        <f>K93/(1+'Assumptions and Catalog'!$C$7)^A93</f>
        <v>0</v>
      </c>
      <c r="M93" s="5" t="n">
        <f>M92+K93</f>
        <v>55882.125472513</v>
      </c>
      <c r="N93" s="5" t="n">
        <f>N92+L93</f>
        <v>-125124.270735083</v>
      </c>
      <c r="O93" s="5"/>
      <c r="P93" s="5" t="n">
        <f>IF(AND(A93&lt;='Assumptions and Catalog'!$C$6,E93&gt;=0,E92&lt;0,C93&gt;0),A93-1-E92/C93,999)</f>
        <v>999</v>
      </c>
      <c r="Q93" s="5" t="n">
        <f>IF(AND(A93&lt;='Assumptions and Catalog'!$C$6,F93&gt;=0,F92&lt;0,D93&gt;0),A93-1-F92/D93,999)</f>
        <v>999</v>
      </c>
      <c r="R93" s="5" t="n">
        <f>IF(AND(A93&lt;='Assumptions and Catalog'!$C$6,I93&gt;=0,I92&lt;0,G93&gt;0),A93-1-I92/G93,999)</f>
        <v>999</v>
      </c>
      <c r="S93" s="5" t="n">
        <f>IF(AND(A93&lt;='Assumptions and Catalog'!$C$6,J93&gt;=0,J92&lt;0,H93&gt;0),A93-1-J92/H93,999)</f>
        <v>999</v>
      </c>
      <c r="T93" s="5" t="n">
        <f>IF(AND(A93&lt;='Assumptions and Catalog'!$C$6,M93&gt;=0,M92&lt;0,K93&gt;0),A93-1-M92/K93,999)</f>
        <v>999</v>
      </c>
      <c r="U93" s="5" t="n">
        <f>IF(AND(A93&lt;='Assumptions and Catalog'!$C$6,N93&gt;=0,N92&lt;0,L93&gt;0),A93-1-N92/L93,999)</f>
        <v>999</v>
      </c>
      <c r="W93" s="44" t="str">
        <v>Source findings and scenario limitations</v>
      </c>
      <c r="X93" s="44" t="str"/>
      <c r="Y93" s="44" t="str">
        <v>46 x 550 W = 25.3 kWp, not 25 kWp. Grid inverter AC rating assumed 25 kW; verify hardware. Roof unspecified. No export income.</v>
      </c>
      <c r="Z93" s="44" t="str">
        <v>3 kW inverter cannot supply the source 4 kW critical load.</v>
      </c>
      <c r="AA93" s="44" t="str">
        <v>Roof exceeds stated area under the unchanged 1.5 installation factor. Inverter 3 kW is below the assumed 4 kW critical load.</v>
      </c>
      <c r="AB93" s="44" t="str">
        <v>Roof exceeds stated area under the unchanged 1.5 installation factor. Declared capital total differs from component midpoints by -830 EGP; residual installation reconciles it.</v>
      </c>
      <c r="AC93" s="44" t="str">
        <v>Roof exceeds stated area under the unchanged 1.5 installation factor. Declared capital total differs from component midpoints by -350 EGP; residual installation reconciles it.</v>
      </c>
      <c r="AD93" s="44" t="str">
        <v>Roof exceeds stated area under the unchanged 1.5 installation factor. TOU/peak operation is not implemented; no such savings included.</v>
      </c>
      <c r="AE93" s="44" t="str">
        <v>Roof exceeds stated area under the unchanged 1.5 installation factor. TOU/peak operation is not implemented; no such savings included.</v>
      </c>
      <c r="AF93" s="44" t="str">
        <v>Roof exceeds stated area under the unchanged 1.5 installation factor. TOU/peak operation is not implemented; no such savings included.</v>
      </c>
      <c r="AG93" s="44"/>
      <c r="AH93" s="44" t="str">
        <v>The model aggregates daily energy into months. It does not prove hourly overlap of solar and load, motor starting capability, clipping, physical roof layout or manufacturer compatibility. Those limitations also apply when arithmetic checks pass.</v>
      </c>
      <c r="AI93" s="44"/>
      <c r="AJ93" s="44"/>
      <c r="AK93" s="44"/>
      <c r="AL93" s="44"/>
    </row>
    <row r="94" ht="33.95000076293945" customHeight="1">
      <c r="A94" s="3" t="n">
        <v>16</v>
      </c>
      <c r="B94" s="5" t="n">
        <f>IF(A94&lt;='Assumptions and Catalog'!$C$6,SUMIFS($M$161:$M$400,$A$161:$A$400,A94),0)</f>
        <v>0</v>
      </c>
      <c r="C94" s="5" t="n">
        <f>IF(A94&lt;='Assumptions and Catalog'!$C$6,SUMIFS($O$161:$O$400,$A$161:$A$400,A94)-(C$70+IF(AND('Assumptions and Catalog'!$C$19&gt;0,A94='Assumptions and Catalog'!$C$19),C$61*'Assumptions and Catalog'!$C$20,0)+IF(AND('Assumptions and Catalog'!$C$21&gt;0,A94='Assumptions and Catalog'!$C$21),C$62*'Assumptions and Catalog'!$C$22,0))*(1+'Assumptions and Catalog'!$C$9)^(A94-1),0)</f>
        <v>0</v>
      </c>
      <c r="D94" s="5" t="n">
        <f>C94/(1+'Assumptions and Catalog'!$C$7)^A94</f>
        <v>0</v>
      </c>
      <c r="E94" s="5" t="n">
        <f>E93+C94</f>
        <v>249441.191523262</v>
      </c>
      <c r="F94" s="5" t="n">
        <f>F93+D94</f>
        <v>98257.8683585203</v>
      </c>
      <c r="G94" s="5" t="n">
        <f>IF(A94&lt;='Assumptions and Catalog'!$C$6,SUMIFS($O$411:$O$650,$A$411:$A$650,A94)-(D$70+IF(AND('Assumptions and Catalog'!$C$19&gt;0,A94='Assumptions and Catalog'!$C$19),D$61*'Assumptions and Catalog'!$C$20,0)+IF(AND('Assumptions and Catalog'!$C$21&gt;0,A94='Assumptions and Catalog'!$C$21),D$62*'Assumptions and Catalog'!$C$22,0))*(1+'Assumptions and Catalog'!$C$9)^(A94-1),0)</f>
        <v>0</v>
      </c>
      <c r="H94" s="5" t="n">
        <f>G94/(1+'Assumptions and Catalog'!$C$7)^A94</f>
        <v>0</v>
      </c>
      <c r="I94" s="5" t="n">
        <f>I93+G94</f>
        <v>-300370.4</v>
      </c>
      <c r="J94" s="5" t="n">
        <f>J93+H94</f>
        <v>-289842.600721522</v>
      </c>
      <c r="K94" s="5" t="n">
        <f>IF(A94&lt;='Assumptions and Catalog'!$C$6,SUMIFS($O$661:$O$900,$A$661:$A$900,A94)-(E$70+IF(AND('Assumptions and Catalog'!$C$19&gt;0,A94='Assumptions and Catalog'!$C$19),E$61*'Assumptions and Catalog'!$C$20,0)+IF(AND('Assumptions and Catalog'!$C$21&gt;0,A94='Assumptions and Catalog'!$C$21),E$62*'Assumptions and Catalog'!$C$22,0))*(1+'Assumptions and Catalog'!$C$9)^(A94-1),0)</f>
        <v>0</v>
      </c>
      <c r="L94" s="5" t="n">
        <f>K94/(1+'Assumptions and Catalog'!$C$7)^A94</f>
        <v>0</v>
      </c>
      <c r="M94" s="5" t="n">
        <f>M93+K94</f>
        <v>55882.125472513</v>
      </c>
      <c r="N94" s="5" t="n">
        <f>N93+L94</f>
        <v>-125124.270735083</v>
      </c>
      <c r="O94" s="5"/>
      <c r="P94" s="5" t="n">
        <f>IF(AND(A94&lt;='Assumptions and Catalog'!$C$6,E94&gt;=0,E93&lt;0,C94&gt;0),A94-1-E93/C94,999)</f>
        <v>999</v>
      </c>
      <c r="Q94" s="5" t="n">
        <f>IF(AND(A94&lt;='Assumptions and Catalog'!$C$6,F94&gt;=0,F93&lt;0,D94&gt;0),A94-1-F93/D94,999)</f>
        <v>999</v>
      </c>
      <c r="R94" s="5" t="n">
        <f>IF(AND(A94&lt;='Assumptions and Catalog'!$C$6,I94&gt;=0,I93&lt;0,G94&gt;0),A94-1-I93/G94,999)</f>
        <v>999</v>
      </c>
      <c r="S94" s="5" t="n">
        <f>IF(AND(A94&lt;='Assumptions and Catalog'!$C$6,J94&gt;=0,J93&lt;0,H94&gt;0),A94-1-J93/H94,999)</f>
        <v>999</v>
      </c>
      <c r="T94" s="5" t="n">
        <f>IF(AND(A94&lt;='Assumptions and Catalog'!$C$6,M94&gt;=0,M93&lt;0,K94&gt;0),A94-1-M93/K94,999)</f>
        <v>999</v>
      </c>
      <c r="U94" s="5" t="n">
        <f>IF(AND(A94&lt;='Assumptions and Catalog'!$C$6,N94&gt;=0,N93&lt;0,L94&gt;0),A94-1-N93/L94,999)</f>
        <v>999</v>
      </c>
      <c r="W94" s="44"/>
      <c r="X94" s="44"/>
      <c r="Y94" s="44"/>
      <c r="Z94" s="44"/>
      <c r="AA94" s="44"/>
      <c r="AB94" s="44"/>
      <c r="AC94" s="44"/>
      <c r="AD94" s="44"/>
      <c r="AE94" s="44"/>
      <c r="AF94" s="44"/>
      <c r="AG94" s="44"/>
      <c r="AH94" s="44"/>
      <c r="AI94" s="44"/>
      <c r="AJ94" s="44"/>
      <c r="AK94" s="44"/>
      <c r="AL94" s="44"/>
    </row>
    <row r="95" ht="33.95000076293945" customHeight="1">
      <c r="A95" s="3" t="n">
        <v>17</v>
      </c>
      <c r="B95" s="5" t="n">
        <f>IF(A95&lt;='Assumptions and Catalog'!$C$6,SUMIFS($M$161:$M$400,$A$161:$A$400,A95),0)</f>
        <v>0</v>
      </c>
      <c r="C95" s="5" t="n">
        <f>IF(A95&lt;='Assumptions and Catalog'!$C$6,SUMIFS($O$161:$O$400,$A$161:$A$400,A95)-(C$70+IF(AND('Assumptions and Catalog'!$C$19&gt;0,A95='Assumptions and Catalog'!$C$19),C$61*'Assumptions and Catalog'!$C$20,0)+IF(AND('Assumptions and Catalog'!$C$21&gt;0,A95='Assumptions and Catalog'!$C$21),C$62*'Assumptions and Catalog'!$C$22,0))*(1+'Assumptions and Catalog'!$C$9)^(A95-1),0)</f>
        <v>0</v>
      </c>
      <c r="D95" s="5" t="n">
        <f>C95/(1+'Assumptions and Catalog'!$C$7)^A95</f>
        <v>0</v>
      </c>
      <c r="E95" s="5" t="n">
        <f>E94+C95</f>
        <v>249441.191523262</v>
      </c>
      <c r="F95" s="5" t="n">
        <f>F94+D95</f>
        <v>98257.8683585203</v>
      </c>
      <c r="G95" s="5" t="n">
        <f>IF(A95&lt;='Assumptions and Catalog'!$C$6,SUMIFS($O$411:$O$650,$A$411:$A$650,A95)-(D$70+IF(AND('Assumptions and Catalog'!$C$19&gt;0,A95='Assumptions and Catalog'!$C$19),D$61*'Assumptions and Catalog'!$C$20,0)+IF(AND('Assumptions and Catalog'!$C$21&gt;0,A95='Assumptions and Catalog'!$C$21),D$62*'Assumptions and Catalog'!$C$22,0))*(1+'Assumptions and Catalog'!$C$9)^(A95-1),0)</f>
        <v>0</v>
      </c>
      <c r="H95" s="5" t="n">
        <f>G95/(1+'Assumptions and Catalog'!$C$7)^A95</f>
        <v>0</v>
      </c>
      <c r="I95" s="5" t="n">
        <f>I94+G95</f>
        <v>-300370.4</v>
      </c>
      <c r="J95" s="5" t="n">
        <f>J94+H95</f>
        <v>-289842.600721522</v>
      </c>
      <c r="K95" s="5" t="n">
        <f>IF(A95&lt;='Assumptions and Catalog'!$C$6,SUMIFS($O$661:$O$900,$A$661:$A$900,A95)-(E$70+IF(AND('Assumptions and Catalog'!$C$19&gt;0,A95='Assumptions and Catalog'!$C$19),E$61*'Assumptions and Catalog'!$C$20,0)+IF(AND('Assumptions and Catalog'!$C$21&gt;0,A95='Assumptions and Catalog'!$C$21),E$62*'Assumptions and Catalog'!$C$22,0))*(1+'Assumptions and Catalog'!$C$9)^(A95-1),0)</f>
        <v>0</v>
      </c>
      <c r="L95" s="5" t="n">
        <f>K95/(1+'Assumptions and Catalog'!$C$7)^A95</f>
        <v>0</v>
      </c>
      <c r="M95" s="5" t="n">
        <f>M94+K95</f>
        <v>55882.125472513</v>
      </c>
      <c r="N95" s="5" t="n">
        <f>N94+L95</f>
        <v>-125124.270735083</v>
      </c>
      <c r="O95" s="5"/>
      <c r="P95" s="5" t="n">
        <f>IF(AND(A95&lt;='Assumptions and Catalog'!$C$6,E95&gt;=0,E94&lt;0,C95&gt;0),A95-1-E94/C95,999)</f>
        <v>999</v>
      </c>
      <c r="Q95" s="5" t="n">
        <f>IF(AND(A95&lt;='Assumptions and Catalog'!$C$6,F95&gt;=0,F94&lt;0,D95&gt;0),A95-1-F94/D95,999)</f>
        <v>999</v>
      </c>
      <c r="R95" s="5" t="n">
        <f>IF(AND(A95&lt;='Assumptions and Catalog'!$C$6,I95&gt;=0,I94&lt;0,G95&gt;0),A95-1-I94/G95,999)</f>
        <v>999</v>
      </c>
      <c r="S95" s="5" t="n">
        <f>IF(AND(A95&lt;='Assumptions and Catalog'!$C$6,J95&gt;=0,J94&lt;0,H95&gt;0),A95-1-J94/H95,999)</f>
        <v>999</v>
      </c>
      <c r="T95" s="5" t="n">
        <f>IF(AND(A95&lt;='Assumptions and Catalog'!$C$6,M95&gt;=0,M94&lt;0,K95&gt;0),A95-1-M94/K95,999)</f>
        <v>999</v>
      </c>
      <c r="U95" s="5" t="n">
        <f>IF(AND(A95&lt;='Assumptions and Catalog'!$C$6,N95&gt;=0,N94&lt;0,L95&gt;0),A95-1-N94/L95,999)</f>
        <v>999</v>
      </c>
      <c r="W95" s="44"/>
      <c r="X95" s="44"/>
      <c r="Y95" s="44"/>
      <c r="Z95" s="44"/>
      <c r="AA95" s="44"/>
      <c r="AB95" s="44"/>
      <c r="AC95" s="44"/>
      <c r="AD95" s="44"/>
      <c r="AE95" s="44"/>
      <c r="AF95" s="44"/>
      <c r="AG95" s="44"/>
      <c r="AH95" s="44"/>
      <c r="AI95" s="44"/>
      <c r="AJ95" s="44"/>
      <c r="AK95" s="44"/>
      <c r="AL95" s="44"/>
    </row>
    <row r="96" ht="33.95000076293945" customHeight="1">
      <c r="A96" s="3" t="n">
        <v>18</v>
      </c>
      <c r="B96" s="5" t="n">
        <f>IF(A96&lt;='Assumptions and Catalog'!$C$6,SUMIFS($M$161:$M$400,$A$161:$A$400,A96),0)</f>
        <v>0</v>
      </c>
      <c r="C96" s="5" t="n">
        <f>IF(A96&lt;='Assumptions and Catalog'!$C$6,SUMIFS($O$161:$O$400,$A$161:$A$400,A96)-(C$70+IF(AND('Assumptions and Catalog'!$C$19&gt;0,A96='Assumptions and Catalog'!$C$19),C$61*'Assumptions and Catalog'!$C$20,0)+IF(AND('Assumptions and Catalog'!$C$21&gt;0,A96='Assumptions and Catalog'!$C$21),C$62*'Assumptions and Catalog'!$C$22,0))*(1+'Assumptions and Catalog'!$C$9)^(A96-1),0)</f>
        <v>0</v>
      </c>
      <c r="D96" s="5" t="n">
        <f>C96/(1+'Assumptions and Catalog'!$C$7)^A96</f>
        <v>0</v>
      </c>
      <c r="E96" s="5" t="n">
        <f>E95+C96</f>
        <v>249441.191523262</v>
      </c>
      <c r="F96" s="5" t="n">
        <f>F95+D96</f>
        <v>98257.8683585203</v>
      </c>
      <c r="G96" s="5" t="n">
        <f>IF(A96&lt;='Assumptions and Catalog'!$C$6,SUMIFS($O$411:$O$650,$A$411:$A$650,A96)-(D$70+IF(AND('Assumptions and Catalog'!$C$19&gt;0,A96='Assumptions and Catalog'!$C$19),D$61*'Assumptions and Catalog'!$C$20,0)+IF(AND('Assumptions and Catalog'!$C$21&gt;0,A96='Assumptions and Catalog'!$C$21),D$62*'Assumptions and Catalog'!$C$22,0))*(1+'Assumptions and Catalog'!$C$9)^(A96-1),0)</f>
        <v>0</v>
      </c>
      <c r="H96" s="5" t="n">
        <f>G96/(1+'Assumptions and Catalog'!$C$7)^A96</f>
        <v>0</v>
      </c>
      <c r="I96" s="5" t="n">
        <f>I95+G96</f>
        <v>-300370.4</v>
      </c>
      <c r="J96" s="5" t="n">
        <f>J95+H96</f>
        <v>-289842.600721522</v>
      </c>
      <c r="K96" s="5" t="n">
        <f>IF(A96&lt;='Assumptions and Catalog'!$C$6,SUMIFS($O$661:$O$900,$A$661:$A$900,A96)-(E$70+IF(AND('Assumptions and Catalog'!$C$19&gt;0,A96='Assumptions and Catalog'!$C$19),E$61*'Assumptions and Catalog'!$C$20,0)+IF(AND('Assumptions and Catalog'!$C$21&gt;0,A96='Assumptions and Catalog'!$C$21),E$62*'Assumptions and Catalog'!$C$22,0))*(1+'Assumptions and Catalog'!$C$9)^(A96-1),0)</f>
        <v>0</v>
      </c>
      <c r="L96" s="5" t="n">
        <f>K96/(1+'Assumptions and Catalog'!$C$7)^A96</f>
        <v>0</v>
      </c>
      <c r="M96" s="5" t="n">
        <f>M95+K96</f>
        <v>55882.125472513</v>
      </c>
      <c r="N96" s="5" t="n">
        <f>N95+L96</f>
        <v>-125124.270735083</v>
      </c>
      <c r="O96" s="5"/>
      <c r="P96" s="5" t="n">
        <f>IF(AND(A96&lt;='Assumptions and Catalog'!$C$6,E96&gt;=0,E95&lt;0,C96&gt;0),A96-1-E95/C96,999)</f>
        <v>999</v>
      </c>
      <c r="Q96" s="5" t="n">
        <f>IF(AND(A96&lt;='Assumptions and Catalog'!$C$6,F96&gt;=0,F95&lt;0,D96&gt;0),A96-1-F95/D96,999)</f>
        <v>999</v>
      </c>
      <c r="R96" s="5" t="n">
        <f>IF(AND(A96&lt;='Assumptions and Catalog'!$C$6,I96&gt;=0,I95&lt;0,G96&gt;0),A96-1-I95/G96,999)</f>
        <v>999</v>
      </c>
      <c r="S96" s="5" t="n">
        <f>IF(AND(A96&lt;='Assumptions and Catalog'!$C$6,J96&gt;=0,J95&lt;0,H96&gt;0),A96-1-J95/H96,999)</f>
        <v>999</v>
      </c>
      <c r="T96" s="5" t="n">
        <f>IF(AND(A96&lt;='Assumptions and Catalog'!$C$6,M96&gt;=0,M95&lt;0,K96&gt;0),A96-1-M95/K96,999)</f>
        <v>999</v>
      </c>
      <c r="U96" s="5" t="n">
        <f>IF(AND(A96&lt;='Assumptions and Catalog'!$C$6,N96&gt;=0,N95&lt;0,L96&gt;0),A96-1-N95/L96,999)</f>
        <v>999</v>
      </c>
      <c r="W96" s="44"/>
      <c r="X96" s="44"/>
      <c r="Y96" s="44"/>
      <c r="Z96" s="44"/>
      <c r="AA96" s="44"/>
      <c r="AB96" s="44"/>
      <c r="AC96" s="44"/>
      <c r="AD96" s="44"/>
      <c r="AE96" s="44"/>
      <c r="AF96" s="44"/>
      <c r="AG96" s="44"/>
      <c r="AH96" s="44"/>
      <c r="AI96" s="44"/>
      <c r="AJ96" s="44"/>
      <c r="AK96" s="44"/>
      <c r="AL96" s="44"/>
    </row>
    <row r="97" ht="33.95000076293945" customHeight="1">
      <c r="A97" s="3" t="n">
        <v>19</v>
      </c>
      <c r="B97" s="5" t="n">
        <f>IF(A97&lt;='Assumptions and Catalog'!$C$6,SUMIFS($M$161:$M$400,$A$161:$A$400,A97),0)</f>
        <v>0</v>
      </c>
      <c r="C97" s="5" t="n">
        <f>IF(A97&lt;='Assumptions and Catalog'!$C$6,SUMIFS($O$161:$O$400,$A$161:$A$400,A97)-(C$70+IF(AND('Assumptions and Catalog'!$C$19&gt;0,A97='Assumptions and Catalog'!$C$19),C$61*'Assumptions and Catalog'!$C$20,0)+IF(AND('Assumptions and Catalog'!$C$21&gt;0,A97='Assumptions and Catalog'!$C$21),C$62*'Assumptions and Catalog'!$C$22,0))*(1+'Assumptions and Catalog'!$C$9)^(A97-1),0)</f>
        <v>0</v>
      </c>
      <c r="D97" s="5" t="n">
        <f>C97/(1+'Assumptions and Catalog'!$C$7)^A97</f>
        <v>0</v>
      </c>
      <c r="E97" s="5" t="n">
        <f>E96+C97</f>
        <v>249441.191523262</v>
      </c>
      <c r="F97" s="5" t="n">
        <f>F96+D97</f>
        <v>98257.8683585203</v>
      </c>
      <c r="G97" s="5" t="n">
        <f>IF(A97&lt;='Assumptions and Catalog'!$C$6,SUMIFS($O$411:$O$650,$A$411:$A$650,A97)-(D$70+IF(AND('Assumptions and Catalog'!$C$19&gt;0,A97='Assumptions and Catalog'!$C$19),D$61*'Assumptions and Catalog'!$C$20,0)+IF(AND('Assumptions and Catalog'!$C$21&gt;0,A97='Assumptions and Catalog'!$C$21),D$62*'Assumptions and Catalog'!$C$22,0))*(1+'Assumptions and Catalog'!$C$9)^(A97-1),0)</f>
        <v>0</v>
      </c>
      <c r="H97" s="5" t="n">
        <f>G97/(1+'Assumptions and Catalog'!$C$7)^A97</f>
        <v>0</v>
      </c>
      <c r="I97" s="5" t="n">
        <f>I96+G97</f>
        <v>-300370.4</v>
      </c>
      <c r="J97" s="5" t="n">
        <f>J96+H97</f>
        <v>-289842.600721522</v>
      </c>
      <c r="K97" s="5" t="n">
        <f>IF(A97&lt;='Assumptions and Catalog'!$C$6,SUMIFS($O$661:$O$900,$A$661:$A$900,A97)-(E$70+IF(AND('Assumptions and Catalog'!$C$19&gt;0,A97='Assumptions and Catalog'!$C$19),E$61*'Assumptions and Catalog'!$C$20,0)+IF(AND('Assumptions and Catalog'!$C$21&gt;0,A97='Assumptions and Catalog'!$C$21),E$62*'Assumptions and Catalog'!$C$22,0))*(1+'Assumptions and Catalog'!$C$9)^(A97-1),0)</f>
        <v>0</v>
      </c>
      <c r="L97" s="5" t="n">
        <f>K97/(1+'Assumptions and Catalog'!$C$7)^A97</f>
        <v>0</v>
      </c>
      <c r="M97" s="5" t="n">
        <f>M96+K97</f>
        <v>55882.125472513</v>
      </c>
      <c r="N97" s="5" t="n">
        <f>N96+L97</f>
        <v>-125124.270735083</v>
      </c>
      <c r="O97" s="5"/>
      <c r="P97" s="5" t="n">
        <f>IF(AND(A97&lt;='Assumptions and Catalog'!$C$6,E97&gt;=0,E96&lt;0,C97&gt;0),A97-1-E96/C97,999)</f>
        <v>999</v>
      </c>
      <c r="Q97" s="5" t="n">
        <f>IF(AND(A97&lt;='Assumptions and Catalog'!$C$6,F97&gt;=0,F96&lt;0,D97&gt;0),A97-1-F96/D97,999)</f>
        <v>999</v>
      </c>
      <c r="R97" s="5" t="n">
        <f>IF(AND(A97&lt;='Assumptions and Catalog'!$C$6,I97&gt;=0,I96&lt;0,G97&gt;0),A97-1-I96/G97,999)</f>
        <v>999</v>
      </c>
      <c r="S97" s="5" t="n">
        <f>IF(AND(A97&lt;='Assumptions and Catalog'!$C$6,J97&gt;=0,J96&lt;0,H97&gt;0),A97-1-J96/H97,999)</f>
        <v>999</v>
      </c>
      <c r="T97" s="5" t="n">
        <f>IF(AND(A97&lt;='Assumptions and Catalog'!$C$6,M97&gt;=0,M96&lt;0,K97&gt;0),A97-1-M96/K97,999)</f>
        <v>999</v>
      </c>
      <c r="U97" s="5" t="n">
        <f>IF(AND(A97&lt;='Assumptions and Catalog'!$C$6,N97&gt;=0,N96&lt;0,L97&gt;0),A97-1-N96/L97,999)</f>
        <v>999</v>
      </c>
      <c r="W97" s="44"/>
      <c r="X97" s="44"/>
      <c r="Y97" s="44"/>
      <c r="Z97" s="44"/>
      <c r="AA97" s="44"/>
      <c r="AB97" s="44"/>
      <c r="AC97" s="44"/>
      <c r="AD97" s="44"/>
      <c r="AE97" s="44"/>
      <c r="AF97" s="44"/>
      <c r="AG97" s="44"/>
      <c r="AH97" s="44"/>
      <c r="AI97" s="44"/>
      <c r="AJ97" s="44"/>
      <c r="AK97" s="44"/>
      <c r="AL97" s="44"/>
    </row>
    <row r="98" ht="33.95000076293945" customHeight="1">
      <c r="A98" s="3" t="n">
        <v>20</v>
      </c>
      <c r="B98" s="5" t="n">
        <f>IF(A98&lt;='Assumptions and Catalog'!$C$6,SUMIFS($M$161:$M$400,$A$161:$A$400,A98),0)</f>
        <v>0</v>
      </c>
      <c r="C98" s="5" t="n">
        <f>IF(A98&lt;='Assumptions and Catalog'!$C$6,SUMIFS($O$161:$O$400,$A$161:$A$400,A98)-(C$70+IF(AND('Assumptions and Catalog'!$C$19&gt;0,A98='Assumptions and Catalog'!$C$19),C$61*'Assumptions and Catalog'!$C$20,0)+IF(AND('Assumptions and Catalog'!$C$21&gt;0,A98='Assumptions and Catalog'!$C$21),C$62*'Assumptions and Catalog'!$C$22,0))*(1+'Assumptions and Catalog'!$C$9)^(A98-1),0)</f>
        <v>0</v>
      </c>
      <c r="D98" s="5" t="n">
        <f>C98/(1+'Assumptions and Catalog'!$C$7)^A98</f>
        <v>0</v>
      </c>
      <c r="E98" s="5" t="n">
        <f>E97+C98</f>
        <v>249441.191523262</v>
      </c>
      <c r="F98" s="5" t="n">
        <f>F97+D98</f>
        <v>98257.8683585203</v>
      </c>
      <c r="G98" s="5" t="n">
        <f>IF(A98&lt;='Assumptions and Catalog'!$C$6,SUMIFS($O$411:$O$650,$A$411:$A$650,A98)-(D$70+IF(AND('Assumptions and Catalog'!$C$19&gt;0,A98='Assumptions and Catalog'!$C$19),D$61*'Assumptions and Catalog'!$C$20,0)+IF(AND('Assumptions and Catalog'!$C$21&gt;0,A98='Assumptions and Catalog'!$C$21),D$62*'Assumptions and Catalog'!$C$22,0))*(1+'Assumptions and Catalog'!$C$9)^(A98-1),0)</f>
        <v>0</v>
      </c>
      <c r="H98" s="5" t="n">
        <f>G98/(1+'Assumptions and Catalog'!$C$7)^A98</f>
        <v>0</v>
      </c>
      <c r="I98" s="5" t="n">
        <f>I97+G98</f>
        <v>-300370.4</v>
      </c>
      <c r="J98" s="5" t="n">
        <f>J97+H98</f>
        <v>-289842.600721522</v>
      </c>
      <c r="K98" s="5" t="n">
        <f>IF(A98&lt;='Assumptions and Catalog'!$C$6,SUMIFS($O$661:$O$900,$A$661:$A$900,A98)-(E$70+IF(AND('Assumptions and Catalog'!$C$19&gt;0,A98='Assumptions and Catalog'!$C$19),E$61*'Assumptions and Catalog'!$C$20,0)+IF(AND('Assumptions and Catalog'!$C$21&gt;0,A98='Assumptions and Catalog'!$C$21),E$62*'Assumptions and Catalog'!$C$22,0))*(1+'Assumptions and Catalog'!$C$9)^(A98-1),0)</f>
        <v>0</v>
      </c>
      <c r="L98" s="5" t="n">
        <f>K98/(1+'Assumptions and Catalog'!$C$7)^A98</f>
        <v>0</v>
      </c>
      <c r="M98" s="5" t="n">
        <f>M97+K98</f>
        <v>55882.125472513</v>
      </c>
      <c r="N98" s="5" t="n">
        <f>N97+L98</f>
        <v>-125124.270735083</v>
      </c>
      <c r="O98" s="5"/>
      <c r="P98" s="5" t="n">
        <f>IF(AND(A98&lt;='Assumptions and Catalog'!$C$6,E98&gt;=0,E97&lt;0,C98&gt;0),A98-1-E97/C98,999)</f>
        <v>999</v>
      </c>
      <c r="Q98" s="5" t="n">
        <f>IF(AND(A98&lt;='Assumptions and Catalog'!$C$6,F98&gt;=0,F97&lt;0,D98&gt;0),A98-1-F97/D98,999)</f>
        <v>999</v>
      </c>
      <c r="R98" s="5" t="n">
        <f>IF(AND(A98&lt;='Assumptions and Catalog'!$C$6,I98&gt;=0,I97&lt;0,G98&gt;0),A98-1-I97/G98,999)</f>
        <v>999</v>
      </c>
      <c r="S98" s="5" t="n">
        <f>IF(AND(A98&lt;='Assumptions and Catalog'!$C$6,J98&gt;=0,J97&lt;0,H98&gt;0),A98-1-J97/H98,999)</f>
        <v>999</v>
      </c>
      <c r="T98" s="5" t="n">
        <f>IF(AND(A98&lt;='Assumptions and Catalog'!$C$6,M98&gt;=0,M97&lt;0,K98&gt;0),A98-1-M97/K98,999)</f>
        <v>999</v>
      </c>
      <c r="U98" s="5" t="n">
        <f>IF(AND(A98&lt;='Assumptions and Catalog'!$C$6,N98&gt;=0,N97&lt;0,L98&gt;0),A98-1-N97/L98,999)</f>
        <v>999</v>
      </c>
      <c r="W98" s="44"/>
      <c r="X98" s="44"/>
      <c r="Y98" s="44"/>
      <c r="Z98" s="44"/>
      <c r="AA98" s="44"/>
      <c r="AB98" s="44"/>
      <c r="AC98" s="44"/>
      <c r="AD98" s="44"/>
      <c r="AE98" s="44"/>
      <c r="AF98" s="44"/>
      <c r="AG98" s="44"/>
      <c r="AH98" s="44"/>
      <c r="AI98" s="44"/>
      <c r="AJ98" s="44"/>
      <c r="AK98" s="44"/>
      <c r="AL98" s="44"/>
    </row>
    <row r="99" ht="33.95000076293945" customHeight="1">
      <c r="A99" s="3"/>
      <c r="B99" s="5"/>
      <c r="C99" s="5"/>
      <c r="D99" s="5"/>
      <c r="E99" s="5"/>
      <c r="F99" s="5"/>
      <c r="G99" s="5"/>
      <c r="H99" s="5"/>
      <c r="I99" s="5"/>
      <c r="J99" s="5"/>
      <c r="K99" s="5"/>
      <c r="L99" s="5"/>
      <c r="M99" s="5"/>
      <c r="N99" s="5"/>
      <c r="O99" s="5"/>
      <c r="P99" s="5"/>
      <c r="Q99" s="5"/>
      <c r="R99" s="5"/>
      <c r="S99" s="5"/>
      <c r="T99" s="5"/>
      <c r="U99" s="5"/>
      <c r="W99" s="44"/>
      <c r="X99" s="44"/>
      <c r="Y99" s="44"/>
      <c r="Z99" s="44"/>
      <c r="AA99" s="44"/>
      <c r="AB99" s="44"/>
      <c r="AC99" s="44"/>
      <c r="AD99" s="44"/>
      <c r="AE99" s="44"/>
      <c r="AF99" s="44"/>
      <c r="AG99" s="44"/>
      <c r="AH99" s="44"/>
      <c r="AI99" s="44"/>
      <c r="AJ99" s="44"/>
      <c r="AK99" s="44"/>
      <c r="AL99" s="44"/>
    </row>
    <row r="100" ht="33.95000076293945" customHeight="1">
      <c r="A100" s="3"/>
      <c r="B100" s="5"/>
      <c r="C100" s="5"/>
      <c r="D100" s="5"/>
      <c r="E100" s="5"/>
      <c r="F100" s="5"/>
      <c r="G100" s="5"/>
      <c r="H100" s="5"/>
      <c r="I100" s="5"/>
      <c r="J100" s="5"/>
      <c r="K100" s="5"/>
      <c r="L100" s="5"/>
      <c r="M100" s="5"/>
      <c r="N100" s="5"/>
      <c r="O100" s="5"/>
      <c r="P100" s="5"/>
      <c r="Q100" s="5"/>
      <c r="R100" s="5"/>
      <c r="S100" s="5"/>
      <c r="T100" s="5"/>
      <c r="U100" s="5"/>
      <c r="W100" s="75" t="str">
        <v>Manager reported results - different assumptions</v>
      </c>
      <c r="X100" s="74"/>
      <c r="Y100" s="74"/>
      <c r="Z100" s="74"/>
      <c r="AA100" s="74"/>
      <c r="AB100" s="74"/>
      <c r="AC100" s="74"/>
      <c r="AD100" s="74"/>
      <c r="AE100" s="74"/>
      <c r="AF100" s="74"/>
      <c r="AG100" s="44"/>
      <c r="AH100" s="44"/>
      <c r="AI100" s="44"/>
      <c r="AJ100" s="44"/>
      <c r="AK100" s="44"/>
      <c r="AL100" s="44"/>
    </row>
    <row r="101" ht="33.95000076293945" customHeight="1">
      <c r="A101" s="3"/>
      <c r="B101" s="5"/>
      <c r="C101" s="5"/>
      <c r="D101" s="5"/>
      <c r="E101" s="5"/>
      <c r="F101" s="5"/>
      <c r="G101" s="5"/>
      <c r="H101" s="5"/>
      <c r="I101" s="5"/>
      <c r="J101" s="5"/>
      <c r="K101" s="5"/>
      <c r="L101" s="5"/>
      <c r="M101" s="5"/>
      <c r="N101" s="5"/>
      <c r="O101" s="5"/>
      <c r="P101" s="5"/>
      <c r="Q101" s="5"/>
      <c r="R101" s="5"/>
      <c r="S101" s="5"/>
      <c r="T101" s="5"/>
      <c r="U101" s="5"/>
      <c r="W101" s="44" t="str">
        <v>Manager reported annual savings</v>
      </c>
      <c r="X101" s="44" t="str">
        <v>EGP</v>
      </c>
      <c r="Y101" s="47" t="n">
        <v>132000</v>
      </c>
      <c r="Z101" s="47" t="n">
        <v>0</v>
      </c>
      <c r="AA101" s="47" t="n">
        <v>10716</v>
      </c>
      <c r="AB101" s="47" t="n">
        <v>24996</v>
      </c>
      <c r="AC101" s="47" t="n">
        <v>53436</v>
      </c>
      <c r="AD101" s="47" t="n">
        <v>14875</v>
      </c>
      <c r="AE101" s="47" t="n">
        <v>57700</v>
      </c>
      <c r="AF101" s="47" t="n">
        <v>14900</v>
      </c>
      <c r="AG101" s="44"/>
      <c r="AH101" s="44"/>
      <c r="AI101" s="44"/>
      <c r="AJ101" s="44"/>
      <c r="AK101" s="44"/>
      <c r="AL101" s="44"/>
    </row>
    <row r="102" ht="44.099998474121094" customHeight="1">
      <c r="A102" s="19" t="inlineStr">
        <is>
          <t xml:space="preserve">Payback is the first cumulative cash-flow crossing of zero. Fractional years are interpolated. Later replacement can reduce the balance.</t>
        </is>
      </c>
      <c r="B102" s="20"/>
      <c r="C102" s="20"/>
      <c r="D102" s="20"/>
      <c r="E102" s="20"/>
      <c r="F102" s="5"/>
      <c r="G102" s="5"/>
      <c r="H102" s="5"/>
      <c r="I102" s="5"/>
      <c r="J102" s="5"/>
      <c r="K102" s="5"/>
      <c r="L102" s="5"/>
      <c r="M102" s="5"/>
      <c r="N102" s="5"/>
      <c r="O102" s="5"/>
      <c r="P102" s="5"/>
      <c r="Q102" s="5"/>
      <c r="R102" s="5"/>
      <c r="S102" s="5"/>
      <c r="T102" s="5"/>
      <c r="U102" s="5"/>
      <c r="W102" s="46" t="str">
        <v>Manager reported 10-year NPV</v>
      </c>
      <c r="X102" s="46" t="str">
        <v>EGP</v>
      </c>
      <c r="Y102" s="48" t="n">
        <v>691632</v>
      </c>
      <c r="Z102" s="48" t="n">
        <v>-210000</v>
      </c>
      <c r="AA102" s="48" t="n">
        <v>-143300</v>
      </c>
      <c r="AB102" s="48" t="n">
        <v>-94062</v>
      </c>
      <c r="AC102" s="48" t="n">
        <v>-108832</v>
      </c>
      <c r="AD102" s="48" t="n">
        <v>-407873</v>
      </c>
      <c r="AE102" s="48" t="n">
        <v>-524119</v>
      </c>
      <c r="AF102" s="48" t="n">
        <v>-649520</v>
      </c>
      <c r="AG102" s="44"/>
      <c r="AH102" s="44"/>
      <c r="AI102" s="44"/>
      <c r="AJ102" s="44"/>
      <c r="AK102" s="44"/>
      <c r="AL102" s="44"/>
    </row>
    <row r="103" ht="44.099998474121094" customHeight="1">
      <c r="A103" s="19" t="inlineStr">
        <is>
          <t xml:space="preserve">Grants, financing, taxes, residual value and outage value are excluded. A battery does not generate energy.</t>
        </is>
      </c>
      <c r="B103" s="20"/>
      <c r="C103" s="20"/>
      <c r="D103" s="20"/>
      <c r="E103" s="20"/>
      <c r="F103" s="5"/>
      <c r="G103" s="5"/>
      <c r="H103" s="5"/>
      <c r="I103" s="5"/>
      <c r="J103" s="5"/>
      <c r="K103" s="5"/>
      <c r="L103" s="5"/>
      <c r="M103" s="5"/>
      <c r="N103" s="5"/>
      <c r="O103" s="5"/>
      <c r="P103" s="5"/>
      <c r="Q103" s="5"/>
      <c r="R103" s="5"/>
      <c r="S103" s="5"/>
      <c r="T103" s="5"/>
      <c r="U103" s="5"/>
      <c r="W103" s="44" t="str">
        <v>Manager reported simple payback</v>
      </c>
      <c r="X103" s="44" t="str">
        <v>years</v>
      </c>
      <c r="Y103" s="55" t="n">
        <v>3.1</v>
      </c>
      <c r="Z103" s="55" t="str">
        <v>Never</v>
      </c>
      <c r="AA103" s="55" t="n">
        <v>18.4</v>
      </c>
      <c r="AB103" s="55" t="n">
        <v>10</v>
      </c>
      <c r="AC103" s="55" t="n">
        <v>8.4</v>
      </c>
      <c r="AD103" s="55" t="n">
        <v>30.6</v>
      </c>
      <c r="AE103" s="55" t="n">
        <v>14.1</v>
      </c>
      <c r="AF103" s="55" t="n">
        <v>44.5</v>
      </c>
      <c r="AG103" s="44"/>
      <c r="AH103" s="44"/>
      <c r="AI103" s="44"/>
      <c r="AJ103" s="44"/>
      <c r="AK103" s="44"/>
      <c r="AL103" s="44"/>
    </row>
    <row r="104" ht="44.099998474121094" customHeight="1">
      <c r="A104" s="19" t="inlineStr">
        <is>
          <t xml:space="preserve">Annual degradation; one replacement in the selected year. Full-charge backup figures relate to year 1.</t>
        </is>
      </c>
      <c r="B104" s="20"/>
      <c r="C104" s="20"/>
      <c r="D104" s="20"/>
      <c r="E104" s="20"/>
      <c r="F104" s="5"/>
      <c r="G104" s="5"/>
      <c r="H104" s="5"/>
      <c r="I104" s="5"/>
      <c r="J104" s="5"/>
      <c r="K104" s="5"/>
      <c r="L104" s="5"/>
      <c r="M104" s="5"/>
      <c r="N104" s="5"/>
      <c r="O104" s="5"/>
      <c r="P104" s="5"/>
      <c r="Q104" s="5"/>
      <c r="R104" s="5"/>
      <c r="S104" s="5"/>
      <c r="T104" s="5"/>
      <c r="U104" s="5"/>
      <c r="W104" s="44" t="str">
        <v>Manager figures are shown for context, not as expected test answers. Consumption, tariff basis, PV yield, escalation, maintenance and self-consumption assumptions differ.</v>
      </c>
      <c r="X104" s="44"/>
      <c r="Y104" s="44"/>
      <c r="Z104" s="44"/>
      <c r="AA104" s="44"/>
      <c r="AB104" s="44"/>
      <c r="AC104" s="44"/>
      <c r="AD104" s="44"/>
      <c r="AE104" s="44"/>
      <c r="AF104" s="44"/>
      <c r="AG104" s="44"/>
      <c r="AH104" s="44"/>
      <c r="AI104" s="44"/>
      <c r="AJ104" s="44"/>
      <c r="AK104" s="44"/>
      <c r="AL104" s="44"/>
    </row>
    <row r="105" ht="23.100000381469727" customHeight="1">
      <c r="A105" s="5"/>
      <c r="B105" s="5"/>
      <c r="C105" s="5"/>
      <c r="D105" s="5"/>
      <c r="E105" s="5"/>
      <c r="F105" s="5"/>
      <c r="G105" s="5"/>
      <c r="H105" s="5"/>
      <c r="I105" s="5"/>
      <c r="J105" s="5"/>
      <c r="K105" s="5"/>
      <c r="L105" s="5"/>
      <c r="M105" s="5"/>
      <c r="N105" s="5"/>
      <c r="O105" s="5"/>
      <c r="P105" s="5"/>
      <c r="Q105" s="5"/>
      <c r="R105" s="5"/>
      <c r="S105" s="5"/>
      <c r="T105" s="5"/>
      <c r="U105" s="5"/>
      <c r="W105" s="44" t="str">
        <v>Conditional backup hours at 4 kW</v>
      </c>
      <c r="X105" s="44" t="str">
        <v>hours</v>
      </c>
      <c r="Y105" s="53" t="str">
        <v>Not available</v>
      </c>
      <c r="Z105" s="53" t="str">
        <v>Power limit: cannot supply 4 kW</v>
      </c>
      <c r="AA105" s="53" t="str">
        <v>Power limit: cannot supply 4 kW</v>
      </c>
      <c r="AB105" s="53" t="n">
        <v>1.95</v>
      </c>
      <c r="AC105" s="53" t="n">
        <v>3.9</v>
      </c>
      <c r="AD105" s="53" t="n">
        <v>5.85</v>
      </c>
      <c r="AE105" s="53" t="n">
        <v>9.75</v>
      </c>
      <c r="AF105" s="53" t="n">
        <v>9.75</v>
      </c>
      <c r="AG105" s="44"/>
      <c r="AH105" s="44"/>
      <c r="AI105" s="44"/>
      <c r="AJ105" s="44"/>
      <c r="AK105" s="44"/>
      <c r="AL105" s="44"/>
    </row>
    <row r="106" ht="23.100000381469727" customHeight="1">
      <c r="A106" s="5"/>
      <c r="B106" s="5"/>
      <c r="C106" s="5"/>
      <c r="D106" s="5"/>
      <c r="E106" s="5"/>
      <c r="F106" s="5"/>
      <c r="G106" s="5"/>
      <c r="H106" s="5"/>
      <c r="I106" s="5"/>
      <c r="J106" s="5"/>
      <c r="K106" s="5"/>
      <c r="L106" s="5"/>
      <c r="M106" s="5"/>
      <c r="N106" s="5"/>
      <c r="O106" s="5"/>
      <c r="P106" s="5"/>
      <c r="Q106" s="5"/>
      <c r="R106" s="5"/>
      <c r="S106" s="5"/>
      <c r="T106" s="5"/>
      <c r="U106" s="5"/>
      <c r="W106" s="44" t="str">
        <v>Conditional backup assumes a full battery, a constant 4 kW critical load and sufficient inverter power. Roof failures remain unresolved. Available energy at an actual outage is not guaranteed.</v>
      </c>
      <c r="X106" s="44"/>
      <c r="Y106" s="44"/>
      <c r="Z106" s="44"/>
      <c r="AA106" s="44"/>
      <c r="AB106" s="44"/>
      <c r="AC106" s="44"/>
      <c r="AD106" s="44"/>
      <c r="AE106" s="44"/>
      <c r="AF106" s="44"/>
      <c r="AG106" s="44"/>
      <c r="AH106" s="44"/>
      <c r="AI106" s="44"/>
      <c r="AJ106" s="44"/>
      <c r="AK106" s="44"/>
      <c r="AL106" s="44"/>
    </row>
    <row r="107" ht="23.100000381469727" customHeight="1">
      <c r="A107" s="5"/>
      <c r="B107" s="5"/>
      <c r="C107" s="5"/>
      <c r="D107" s="5"/>
      <c r="E107" s="5"/>
      <c r="F107" s="5"/>
      <c r="G107" s="5"/>
      <c r="H107" s="5"/>
      <c r="I107" s="5"/>
      <c r="J107" s="5"/>
      <c r="K107" s="5"/>
      <c r="L107" s="5"/>
      <c r="M107" s="5"/>
      <c r="N107" s="5"/>
      <c r="O107" s="5"/>
      <c r="P107" s="5"/>
      <c r="Q107" s="5"/>
      <c r="R107" s="5"/>
      <c r="S107" s="5"/>
      <c r="T107" s="5"/>
      <c r="U107" s="5"/>
      <c r="W107" s="75" t="str">
        <v>Independent reconciliation of core results</v>
      </c>
      <c r="X107" s="74"/>
      <c r="Y107" s="74"/>
      <c r="Z107" s="74"/>
      <c r="AA107" s="74"/>
      <c r="AB107" s="74"/>
      <c r="AC107" s="74"/>
      <c r="AD107" s="74"/>
      <c r="AE107" s="74"/>
      <c r="AF107" s="74"/>
      <c r="AG107" s="44"/>
      <c r="AH107" s="44"/>
      <c r="AI107" s="44"/>
      <c r="AJ107" s="44"/>
      <c r="AK107" s="44"/>
      <c r="AL107" s="44"/>
    </row>
    <row r="108" ht="23.100000381469727" customHeight="1">
      <c r="A108" s="5"/>
      <c r="B108" s="5"/>
      <c r="C108" s="5"/>
      <c r="D108" s="5"/>
      <c r="E108" s="5"/>
      <c r="F108" s="5"/>
      <c r="G108" s="5"/>
      <c r="H108" s="5"/>
      <c r="I108" s="5"/>
      <c r="J108" s="5"/>
      <c r="K108" s="5"/>
      <c r="L108" s="5"/>
      <c r="M108" s="5"/>
      <c r="N108" s="5"/>
      <c r="O108" s="5"/>
      <c r="P108" s="5"/>
      <c r="Q108" s="5"/>
      <c r="R108" s="5"/>
      <c r="S108" s="5"/>
      <c r="T108" s="5"/>
      <c r="U108" s="5"/>
      <c r="W108" s="46" t="str">
        <v>PV energy: independent expected</v>
      </c>
      <c r="X108" s="46" t="str">
        <v>kWh</v>
      </c>
      <c r="Y108" s="64" t="n">
        <v>45987.81</v>
      </c>
      <c r="Z108" s="64" t="n">
        <v>0</v>
      </c>
      <c r="AA108" s="64" t="n">
        <v>3653.577</v>
      </c>
      <c r="AB108" s="64" t="n">
        <v>8525.012999999999</v>
      </c>
      <c r="AC108" s="64" t="n">
        <v>18267.885000000006</v>
      </c>
      <c r="AD108" s="64" t="n">
        <v>3653.577</v>
      </c>
      <c r="AE108" s="64" t="n">
        <v>18267.885000000006</v>
      </c>
      <c r="AF108" s="64" t="n">
        <v>3653.577</v>
      </c>
      <c r="AG108" s="44"/>
      <c r="AH108" s="44"/>
      <c r="AI108" s="44"/>
      <c r="AJ108" s="44"/>
      <c r="AK108" s="44"/>
      <c r="AL108" s="44"/>
    </row>
    <row r="109" ht="23.100000381469727" customHeight="1">
      <c r="A109" s="5"/>
      <c r="B109" s="5"/>
      <c r="C109" s="5"/>
      <c r="D109" s="5"/>
      <c r="E109" s="5"/>
      <c r="F109" s="5"/>
      <c r="G109" s="5"/>
      <c r="H109" s="5"/>
      <c r="I109" s="5"/>
      <c r="J109" s="5"/>
      <c r="K109" s="5"/>
      <c r="L109" s="5"/>
      <c r="M109" s="5"/>
      <c r="N109" s="5"/>
      <c r="O109" s="5"/>
      <c r="P109" s="5"/>
      <c r="Q109" s="5"/>
      <c r="R109" s="5"/>
      <c r="S109" s="5"/>
      <c r="T109" s="5"/>
      <c r="U109" s="5"/>
      <c r="W109" s="44" t="str">
        <v>PV energy: native spreadsheet</v>
      </c>
      <c r="X109" s="44" t="str">
        <v>kWh</v>
      </c>
      <c r="Y109" s="63" t="n">
        <v>45987.81</v>
      </c>
      <c r="Z109" s="63" t="n">
        <v>0</v>
      </c>
      <c r="AA109" s="63" t="n">
        <v>3653.577</v>
      </c>
      <c r="AB109" s="63" t="n">
        <v>8525.013</v>
      </c>
      <c r="AC109" s="63" t="n">
        <v>18267.885</v>
      </c>
      <c r="AD109" s="63" t="n">
        <v>3653.577</v>
      </c>
      <c r="AE109" s="63" t="n">
        <v>18267.885</v>
      </c>
      <c r="AF109" s="63" t="n">
        <v>3653.577</v>
      </c>
      <c r="AG109" s="44"/>
      <c r="AH109" s="44"/>
      <c r="AI109" s="44"/>
      <c r="AJ109" s="44"/>
      <c r="AK109" s="44"/>
      <c r="AL109" s="44"/>
    </row>
    <row r="110" ht="23.100000381469727" customHeight="1">
      <c r="A110" s="5"/>
      <c r="B110" s="5"/>
      <c r="C110" s="5"/>
      <c r="D110" s="5"/>
      <c r="E110" s="5"/>
      <c r="F110" s="5"/>
      <c r="G110" s="5"/>
      <c r="H110" s="5"/>
      <c r="I110" s="5"/>
      <c r="J110" s="5"/>
      <c r="K110" s="5"/>
      <c r="L110" s="5"/>
      <c r="M110" s="5"/>
      <c r="N110" s="5"/>
      <c r="O110" s="5"/>
      <c r="P110" s="5"/>
      <c r="Q110" s="5"/>
      <c r="R110" s="5"/>
      <c r="S110" s="5"/>
      <c r="T110" s="5"/>
      <c r="U110" s="5"/>
      <c r="W110" s="46" t="str">
        <v>PV energy: actual less expected</v>
      </c>
      <c r="X110" s="46" t="str">
        <v>kWh</v>
      </c>
      <c r="Y110" s="66" t="n">
        <v>0</v>
      </c>
      <c r="Z110" s="66" t="n">
        <v>0</v>
      </c>
      <c r="AA110" s="66" t="n">
        <v>0</v>
      </c>
      <c r="AB110" s="66" t="n">
        <v>1.8189894035458565e-12</v>
      </c>
      <c r="AC110" s="66" t="n">
        <v>-7.275957614183426e-12</v>
      </c>
      <c r="AD110" s="66" t="n">
        <v>0</v>
      </c>
      <c r="AE110" s="66" t="n">
        <v>-7.275957614183426e-12</v>
      </c>
      <c r="AF110" s="66" t="n">
        <v>0</v>
      </c>
      <c r="AG110" s="44"/>
      <c r="AH110" s="44"/>
      <c r="AI110" s="44"/>
      <c r="AJ110" s="44"/>
      <c r="AK110" s="44"/>
      <c r="AL110" s="44"/>
    </row>
    <row r="111" ht="23.100000381469727" customHeight="1">
      <c r="A111" s="5"/>
      <c r="B111" s="5"/>
      <c r="C111" s="5"/>
      <c r="D111" s="5"/>
      <c r="E111" s="5"/>
      <c r="F111" s="5"/>
      <c r="G111" s="5"/>
      <c r="H111" s="5"/>
      <c r="I111" s="5"/>
      <c r="J111" s="5"/>
      <c r="K111" s="5"/>
      <c r="L111" s="5"/>
      <c r="M111" s="5"/>
      <c r="N111" s="5"/>
      <c r="O111" s="5"/>
      <c r="P111" s="5"/>
      <c r="Q111" s="5"/>
      <c r="R111" s="5"/>
      <c r="S111" s="5"/>
      <c r="T111" s="5"/>
      <c r="U111" s="5"/>
      <c r="W111" s="44" t="str">
        <v>Year-1 saving: independent expected</v>
      </c>
      <c r="X111" s="44" t="str">
        <v>EGP</v>
      </c>
      <c r="Y111" s="57" t="n">
        <v>41532.255</v>
      </c>
      <c r="Z111" s="57" t="n">
        <v>0</v>
      </c>
      <c r="AA111" s="57" t="n">
        <v>10303.087140000005</v>
      </c>
      <c r="AB111" s="57" t="n">
        <v>24040.53666</v>
      </c>
      <c r="AC111" s="57" t="n">
        <v>52490.636611218746</v>
      </c>
      <c r="AD111" s="57" t="n">
        <v>10303.087140000005</v>
      </c>
      <c r="AE111" s="57" t="n">
        <v>52490.636611218746</v>
      </c>
      <c r="AF111" s="57" t="n">
        <v>10303.087140000005</v>
      </c>
      <c r="AG111" s="44"/>
      <c r="AH111" s="44"/>
      <c r="AI111" s="44"/>
      <c r="AJ111" s="44"/>
      <c r="AK111" s="44"/>
      <c r="AL111" s="44"/>
    </row>
    <row r="112" ht="23.100000381469727" customHeight="1">
      <c r="A112" s="5"/>
      <c r="B112" s="5"/>
      <c r="C112" s="5"/>
      <c r="D112" s="5"/>
      <c r="E112" s="5"/>
      <c r="F112" s="5"/>
      <c r="G112" s="5"/>
      <c r="H112" s="5"/>
      <c r="I112" s="5"/>
      <c r="J112" s="5"/>
      <c r="K112" s="5"/>
      <c r="L112" s="5"/>
      <c r="M112" s="5"/>
      <c r="N112" s="5"/>
      <c r="O112" s="5"/>
      <c r="P112" s="5"/>
      <c r="Q112" s="5"/>
      <c r="R112" s="5"/>
      <c r="S112" s="5"/>
      <c r="T112" s="5"/>
      <c r="U112" s="5"/>
      <c r="W112" s="46" t="str">
        <v>Year-1 saving: native monthly total</v>
      </c>
      <c r="X112" s="46" t="str">
        <v>EGP</v>
      </c>
      <c r="Y112" s="58" t="n">
        <v>41532.255</v>
      </c>
      <c r="Z112" s="58" t="n">
        <v>0</v>
      </c>
      <c r="AA112" s="58" t="n">
        <v>10303.087140000005</v>
      </c>
      <c r="AB112" s="58" t="n">
        <v>24040.536659999998</v>
      </c>
      <c r="AC112" s="58" t="n">
        <v>52490.63661121875</v>
      </c>
      <c r="AD112" s="58" t="n">
        <v>10303.087140000005</v>
      </c>
      <c r="AE112" s="58" t="n">
        <v>52490.63661121875</v>
      </c>
      <c r="AF112" s="58" t="n">
        <v>10303.087140000005</v>
      </c>
      <c r="AG112" s="44"/>
      <c r="AH112" s="44"/>
      <c r="AI112" s="44"/>
      <c r="AJ112" s="44"/>
      <c r="AK112" s="44"/>
      <c r="AL112" s="44"/>
    </row>
    <row r="113" ht="23.100000381469727" customHeight="1">
      <c r="A113" s="5"/>
      <c r="B113" s="5"/>
      <c r="C113" s="5"/>
      <c r="D113" s="5"/>
      <c r="E113" s="5"/>
      <c r="F113" s="5"/>
      <c r="G113" s="5"/>
      <c r="H113" s="5"/>
      <c r="I113" s="5"/>
      <c r="J113" s="5"/>
      <c r="K113" s="5"/>
      <c r="L113" s="5"/>
      <c r="M113" s="5"/>
      <c r="N113" s="5"/>
      <c r="O113" s="5"/>
      <c r="P113" s="5"/>
      <c r="Q113" s="5"/>
      <c r="R113" s="5"/>
      <c r="S113" s="5"/>
      <c r="T113" s="5"/>
      <c r="U113" s="5"/>
      <c r="W113" s="44" t="str">
        <v>Year-1 saving: actual less expected</v>
      </c>
      <c r="X113" s="44" t="str">
        <v>EGP</v>
      </c>
      <c r="Y113" s="65" t="n">
        <v>0</v>
      </c>
      <c r="Z113" s="65" t="n">
        <v>0</v>
      </c>
      <c r="AA113" s="65" t="n">
        <v>0</v>
      </c>
      <c r="AB113" s="65" t="n">
        <v>-3.637978807091713e-12</v>
      </c>
      <c r="AC113" s="65" t="n">
        <v>7.275957614183426e-12</v>
      </c>
      <c r="AD113" s="65" t="n">
        <v>0</v>
      </c>
      <c r="AE113" s="65" t="n">
        <v>7.275957614183426e-12</v>
      </c>
      <c r="AF113" s="65" t="n">
        <v>0</v>
      </c>
      <c r="AG113" s="44"/>
      <c r="AH113" s="44"/>
      <c r="AI113" s="44"/>
      <c r="AJ113" s="44"/>
      <c r="AK113" s="44"/>
      <c r="AL113" s="44"/>
    </row>
    <row r="114" ht="23.100000381469727" customHeight="1">
      <c r="A114" s="5"/>
      <c r="B114" s="5"/>
      <c r="C114" s="5"/>
      <c r="D114" s="5"/>
      <c r="E114" s="5"/>
      <c r="F114" s="5"/>
      <c r="G114" s="5"/>
      <c r="H114" s="5"/>
      <c r="I114" s="5"/>
      <c r="J114" s="5"/>
      <c r="K114" s="5"/>
      <c r="L114" s="5"/>
      <c r="M114" s="5"/>
      <c r="N114" s="5"/>
      <c r="O114" s="5"/>
      <c r="P114" s="5"/>
      <c r="Q114" s="5"/>
      <c r="R114" s="5"/>
      <c r="S114" s="5"/>
      <c r="T114" s="5"/>
      <c r="U114" s="5"/>
      <c r="W114" s="46" t="str">
        <v>NPV: independent expected</v>
      </c>
      <c r="X114" s="46" t="str">
        <v>EGP</v>
      </c>
      <c r="Y114" s="58" t="n">
        <v>-183507.91863102157</v>
      </c>
      <c r="Z114" s="58" t="n">
        <v>-183099.37825734058</v>
      </c>
      <c r="AA114" s="58" t="n">
        <v>-147231.16630318167</v>
      </c>
      <c r="AB114" s="58" t="n">
        <v>-117062.26335955207</v>
      </c>
      <c r="AC114" s="58" t="n">
        <v>-180958.31774215464</v>
      </c>
      <c r="AD114" s="58" t="n">
        <v>-420553.42660037125</v>
      </c>
      <c r="AE114" s="58" t="n">
        <v>-547528.5802417058</v>
      </c>
      <c r="AF114" s="58" t="n">
        <v>-641015.6924789199</v>
      </c>
      <c r="AG114" s="44"/>
      <c r="AH114" s="44"/>
      <c r="AI114" s="44"/>
      <c r="AJ114" s="44"/>
      <c r="AK114" s="44"/>
      <c r="AL114" s="44"/>
    </row>
    <row r="115" ht="23.100000381469727" customHeight="1">
      <c r="A115" s="5"/>
      <c r="B115" s="5"/>
      <c r="C115" s="5"/>
      <c r="D115" s="5"/>
      <c r="E115" s="5"/>
      <c r="F115" s="5"/>
      <c r="G115" s="5"/>
      <c r="H115" s="5"/>
      <c r="I115" s="5"/>
      <c r="J115" s="5"/>
      <c r="K115" s="5"/>
      <c r="L115" s="5"/>
      <c r="M115" s="5"/>
      <c r="N115" s="5"/>
      <c r="O115" s="5"/>
      <c r="P115" s="5"/>
      <c r="Q115" s="5"/>
      <c r="R115" s="5"/>
      <c r="S115" s="5"/>
      <c r="T115" s="5"/>
      <c r="U115" s="5"/>
      <c r="W115" s="44" t="str">
        <v>NPV: native cash-flow total</v>
      </c>
      <c r="X115" s="44" t="str">
        <v>EGP</v>
      </c>
      <c r="Y115" s="57" t="n">
        <v>-183507.91863102152</v>
      </c>
      <c r="Z115" s="57" t="n">
        <v>-183099.37825734058</v>
      </c>
      <c r="AA115" s="57" t="n">
        <v>-147231.1663031817</v>
      </c>
      <c r="AB115" s="57" t="n">
        <v>-117062.26335955199</v>
      </c>
      <c r="AC115" s="57" t="n">
        <v>-180958.31774215476</v>
      </c>
      <c r="AD115" s="57" t="n">
        <v>-420553.42660037125</v>
      </c>
      <c r="AE115" s="57" t="n">
        <v>-547528.5802417059</v>
      </c>
      <c r="AF115" s="57" t="n">
        <v>-641015.6924789199</v>
      </c>
      <c r="AG115" s="44"/>
      <c r="AH115" s="44"/>
      <c r="AI115" s="44"/>
      <c r="AJ115" s="44"/>
      <c r="AK115" s="44"/>
      <c r="AL115" s="44"/>
    </row>
    <row r="116" ht="23.100000381469727" customHeight="1">
      <c r="A116" s="5"/>
      <c r="B116" s="5"/>
      <c r="C116" s="5"/>
      <c r="D116" s="5"/>
      <c r="E116" s="5"/>
      <c r="F116" s="5"/>
      <c r="G116" s="5"/>
      <c r="H116" s="5"/>
      <c r="I116" s="5"/>
      <c r="J116" s="5"/>
      <c r="K116" s="5"/>
      <c r="L116" s="5"/>
      <c r="M116" s="5"/>
      <c r="N116" s="5"/>
      <c r="O116" s="5"/>
      <c r="P116" s="5"/>
      <c r="Q116" s="5"/>
      <c r="R116" s="5"/>
      <c r="S116" s="5"/>
      <c r="T116" s="5"/>
      <c r="U116" s="5"/>
      <c r="W116" s="46" t="str">
        <v>NPV: actual less expected</v>
      </c>
      <c r="X116" s="46" t="str">
        <v>EGP</v>
      </c>
      <c r="Y116" s="66" t="n">
        <v>5.820766091346741e-11</v>
      </c>
      <c r="Z116" s="66" t="n">
        <v>0</v>
      </c>
      <c r="AA116" s="66" t="n">
        <v>-2.9103830456733704e-11</v>
      </c>
      <c r="AB116" s="66" t="n">
        <v>8.731149137020111e-11</v>
      </c>
      <c r="AC116" s="66" t="n">
        <v>-1.1641532182693481e-10</v>
      </c>
      <c r="AD116" s="66" t="n">
        <v>0</v>
      </c>
      <c r="AE116" s="66" t="n">
        <v>-1.1641532182693481e-10</v>
      </c>
      <c r="AF116" s="66" t="n">
        <v>0</v>
      </c>
      <c r="AG116" s="44"/>
      <c r="AH116" s="44"/>
      <c r="AI116" s="44"/>
      <c r="AJ116" s="44"/>
      <c r="AK116" s="44"/>
      <c r="AL116" s="44"/>
    </row>
    <row r="117" ht="23.100000381469727" customHeight="1">
      <c r="A117" s="5"/>
      <c r="B117" s="5"/>
      <c r="C117" s="5"/>
      <c r="D117" s="5"/>
      <c r="E117" s="5"/>
      <c r="F117" s="5"/>
      <c r="G117" s="5"/>
      <c r="H117" s="5"/>
      <c r="I117" s="5"/>
      <c r="J117" s="5"/>
      <c r="K117" s="5"/>
      <c r="L117" s="5"/>
      <c r="M117" s="5"/>
      <c r="N117" s="5"/>
      <c r="O117" s="5"/>
      <c r="P117" s="5"/>
      <c r="Q117" s="5"/>
      <c r="R117" s="5"/>
      <c r="S117" s="5"/>
      <c r="T117" s="5"/>
      <c r="U117" s="5"/>
      <c r="W117" s="44" t="str">
        <v>Numeric comparison tolerance</v>
      </c>
      <c r="X117" s="44" t="str">
        <v>EGP / kWh</v>
      </c>
      <c r="Y117" s="53" t="n">
        <v>0.01</v>
      </c>
      <c r="Z117" s="53" t="n">
        <v>0.01</v>
      </c>
      <c r="AA117" s="53" t="n">
        <v>0.01</v>
      </c>
      <c r="AB117" s="53" t="n">
        <v>0.01</v>
      </c>
      <c r="AC117" s="53" t="n">
        <v>0.01</v>
      </c>
      <c r="AD117" s="53" t="n">
        <v>0.01</v>
      </c>
      <c r="AE117" s="53" t="n">
        <v>0.01</v>
      </c>
      <c r="AF117" s="53" t="n">
        <v>0.01</v>
      </c>
      <c r="AG117" s="44"/>
      <c r="AH117" s="44"/>
      <c r="AI117" s="44"/>
      <c r="AJ117" s="44"/>
      <c r="AK117" s="44"/>
      <c r="AL117" s="44"/>
    </row>
    <row r="118" ht="23.100000381469727" customHeight="1">
      <c r="A118" s="5"/>
      <c r="B118" s="5"/>
      <c r="C118" s="5"/>
      <c r="D118" s="5"/>
      <c r="E118" s="5"/>
      <c r="F118" s="5"/>
      <c r="G118" s="5"/>
      <c r="H118" s="5"/>
      <c r="I118" s="5"/>
      <c r="J118" s="5"/>
      <c r="K118" s="5"/>
      <c r="L118" s="5"/>
      <c r="M118" s="5"/>
      <c r="N118" s="5"/>
      <c r="O118" s="5"/>
      <c r="P118" s="5"/>
      <c r="Q118" s="5"/>
      <c r="R118" s="5"/>
      <c r="S118" s="5"/>
      <c r="T118" s="5"/>
      <c r="U118" s="5"/>
      <c r="W118" s="46" t="str">
        <v>Energy-balance tolerance</v>
      </c>
      <c r="X118" s="46" t="str">
        <v>kWh</v>
      </c>
      <c r="Y118" s="68" t="n">
        <v>1e-7</v>
      </c>
      <c r="Z118" s="68" t="n">
        <v>1e-7</v>
      </c>
      <c r="AA118" s="68" t="n">
        <v>1e-7</v>
      </c>
      <c r="AB118" s="68" t="n">
        <v>1e-7</v>
      </c>
      <c r="AC118" s="68" t="n">
        <v>1e-7</v>
      </c>
      <c r="AD118" s="68" t="n">
        <v>1e-7</v>
      </c>
      <c r="AE118" s="68" t="n">
        <v>1e-7</v>
      </c>
      <c r="AF118" s="68" t="n">
        <v>1e-7</v>
      </c>
      <c r="AG118" s="44"/>
      <c r="AH118" s="44"/>
      <c r="AI118" s="44"/>
      <c r="AJ118" s="44"/>
      <c r="AK118" s="44"/>
      <c r="AL118" s="44"/>
    </row>
    <row r="119" ht="23.100000381469727" customHeight="1">
      <c r="A119" s="5"/>
      <c r="B119" s="5"/>
      <c r="C119" s="5"/>
      <c r="D119" s="5"/>
      <c r="E119" s="5"/>
      <c r="F119" s="5"/>
      <c r="G119" s="5"/>
      <c r="H119" s="5"/>
      <c r="I119" s="5"/>
      <c r="J119" s="5"/>
      <c r="K119" s="5"/>
      <c r="L119" s="5"/>
      <c r="M119" s="5"/>
      <c r="N119" s="5"/>
      <c r="O119" s="5"/>
      <c r="P119" s="5"/>
      <c r="Q119" s="5"/>
      <c r="R119" s="5"/>
      <c r="S119" s="5"/>
      <c r="T119" s="5"/>
      <c r="U119" s="5"/>
      <c r="W119" s="44" t="str">
        <v>PASS means the existing equations matched an independent calculation within the stated model. It does not mean the design fits the roof, supplies all critical loads, or represents the full source operating scenario.</v>
      </c>
      <c r="X119" s="44"/>
      <c r="Y119" s="44"/>
      <c r="Z119" s="44"/>
      <c r="AA119" s="44"/>
      <c r="AB119" s="44"/>
      <c r="AC119" s="44"/>
      <c r="AD119" s="44"/>
      <c r="AE119" s="44"/>
      <c r="AF119" s="44"/>
      <c r="AG119" s="44"/>
      <c r="AH119" s="44"/>
      <c r="AI119" s="44"/>
      <c r="AJ119" s="44"/>
      <c r="AK119" s="44"/>
      <c r="AL119" s="44"/>
    </row>
    <row r="120" ht="23.100000381469727" customHeight="1">
      <c r="A120" s="5"/>
      <c r="B120" s="5"/>
      <c r="C120" s="5"/>
      <c r="D120" s="5"/>
      <c r="E120" s="5"/>
      <c r="F120" s="5"/>
      <c r="G120" s="5"/>
      <c r="H120" s="5"/>
      <c r="I120" s="5"/>
      <c r="J120" s="5"/>
      <c r="K120" s="5"/>
      <c r="L120" s="5"/>
      <c r="M120" s="5"/>
      <c r="N120" s="5"/>
      <c r="O120" s="5"/>
      <c r="P120" s="5"/>
      <c r="Q120" s="5"/>
      <c r="R120" s="5"/>
      <c r="S120" s="5"/>
      <c r="T120" s="5"/>
      <c r="U120" s="5"/>
      <c r="W120" s="44" t="str">
        <v>All eight runs were evaluated separately in the existing Solar only, Battery only or Solar and battery column. Each result was checked before the next run. Snapshots contain values only. The original live inputs, catalogs and assumptions were restored.</v>
      </c>
      <c r="X120" s="44"/>
      <c r="Y120" s="44"/>
      <c r="Z120" s="44"/>
      <c r="AA120" s="44"/>
      <c r="AB120" s="44"/>
      <c r="AC120" s="44"/>
      <c r="AD120" s="44"/>
      <c r="AE120" s="44"/>
      <c r="AF120" s="44"/>
      <c r="AG120" s="44"/>
      <c r="AH120" s="44"/>
      <c r="AI120" s="44"/>
      <c r="AJ120" s="44"/>
      <c r="AK120" s="44"/>
      <c r="AL120" s="44"/>
    </row>
    <row r="121" ht="23.100000381469727" customHeight="1">
      <c r="A121" s="5"/>
      <c r="B121" s="5"/>
      <c r="C121" s="5"/>
      <c r="D121" s="5"/>
      <c r="E121" s="5"/>
      <c r="F121" s="5"/>
      <c r="G121" s="5"/>
      <c r="H121" s="5"/>
      <c r="I121" s="5"/>
      <c r="J121" s="5"/>
      <c r="K121" s="5"/>
      <c r="L121" s="5"/>
      <c r="M121" s="5"/>
      <c r="N121" s="5"/>
      <c r="O121" s="5"/>
      <c r="P121" s="5"/>
      <c r="Q121" s="5"/>
      <c r="R121" s="5"/>
      <c r="S121" s="5"/>
      <c r="T121" s="5"/>
      <c r="U121" s="5"/>
      <c r="W121" s="44"/>
      <c r="X121" s="44"/>
      <c r="Y121" s="44"/>
      <c r="Z121" s="44"/>
      <c r="AA121" s="44"/>
      <c r="AB121" s="44"/>
      <c r="AC121" s="44"/>
      <c r="AD121" s="44"/>
      <c r="AE121" s="44"/>
      <c r="AF121" s="44"/>
      <c r="AG121" s="44"/>
      <c r="AH121" s="44"/>
      <c r="AI121" s="44"/>
      <c r="AJ121" s="44"/>
      <c r="AK121" s="44"/>
      <c r="AL121" s="44"/>
    </row>
    <row r="122" ht="23.100000381469727" customHeight="1">
      <c r="A122" s="5"/>
      <c r="B122" s="5"/>
      <c r="C122" s="5"/>
      <c r="D122" s="5"/>
      <c r="E122" s="5"/>
      <c r="F122" s="5"/>
      <c r="G122" s="5"/>
      <c r="H122" s="5"/>
      <c r="I122" s="5"/>
      <c r="J122" s="5"/>
      <c r="K122" s="5"/>
      <c r="L122" s="5"/>
      <c r="M122" s="5"/>
      <c r="N122" s="5"/>
      <c r="O122" s="5"/>
      <c r="P122" s="5"/>
      <c r="Q122" s="5"/>
      <c r="R122" s="5"/>
      <c r="S122" s="5"/>
      <c r="T122" s="5"/>
      <c r="U122" s="5"/>
      <c r="W122" s="44"/>
      <c r="X122" s="44"/>
      <c r="Y122" s="44"/>
      <c r="Z122" s="44"/>
      <c r="AA122" s="44"/>
      <c r="AB122" s="44"/>
      <c r="AC122" s="44"/>
      <c r="AD122" s="44"/>
      <c r="AE122" s="44"/>
      <c r="AF122" s="44"/>
      <c r="AG122" s="44"/>
      <c r="AH122" s="44"/>
      <c r="AI122" s="44"/>
      <c r="AJ122" s="44"/>
      <c r="AK122" s="44"/>
      <c r="AL122" s="44"/>
    </row>
    <row r="123" ht="23.100000381469727" customHeight="1">
      <c r="A123" s="5"/>
      <c r="B123" s="5"/>
      <c r="C123" s="5"/>
      <c r="D123" s="5"/>
      <c r="E123" s="5"/>
      <c r="F123" s="5"/>
      <c r="G123" s="5"/>
      <c r="H123" s="5"/>
      <c r="I123" s="5"/>
      <c r="J123" s="5"/>
      <c r="K123" s="5"/>
      <c r="L123" s="5"/>
      <c r="M123" s="5"/>
      <c r="N123" s="5"/>
      <c r="O123" s="5"/>
      <c r="P123" s="5"/>
      <c r="Q123" s="5"/>
      <c r="R123" s="5"/>
      <c r="S123" s="5"/>
      <c r="T123" s="5"/>
      <c r="U123" s="5"/>
      <c r="W123" s="44"/>
      <c r="X123" s="44"/>
      <c r="Y123" s="44"/>
      <c r="Z123" s="44"/>
      <c r="AA123" s="44"/>
      <c r="AB123" s="44"/>
      <c r="AC123" s="44"/>
      <c r="AD123" s="44"/>
      <c r="AE123" s="44"/>
      <c r="AF123" s="44"/>
      <c r="AG123" s="44"/>
      <c r="AH123" s="44"/>
      <c r="AI123" s="44"/>
      <c r="AJ123" s="44"/>
      <c r="AK123" s="44"/>
      <c r="AL123" s="44"/>
    </row>
    <row r="124" ht="23.100000381469727" customHeight="1">
      <c r="A124" s="5"/>
      <c r="B124" s="5"/>
      <c r="C124" s="5"/>
      <c r="D124" s="5"/>
      <c r="E124" s="5"/>
      <c r="F124" s="5"/>
      <c r="G124" s="5"/>
      <c r="H124" s="5"/>
      <c r="I124" s="5"/>
      <c r="J124" s="5"/>
      <c r="K124" s="5"/>
      <c r="L124" s="5"/>
      <c r="M124" s="5"/>
      <c r="N124" s="5"/>
      <c r="O124" s="5"/>
      <c r="P124" s="5"/>
      <c r="Q124" s="5"/>
      <c r="R124" s="5"/>
      <c r="S124" s="5"/>
      <c r="T124" s="5"/>
      <c r="U124" s="5"/>
      <c r="W124" s="44"/>
      <c r="X124" s="44"/>
      <c r="Y124" s="44"/>
      <c r="Z124" s="44"/>
      <c r="AA124" s="44"/>
      <c r="AB124" s="44"/>
      <c r="AC124" s="44"/>
      <c r="AD124" s="44"/>
      <c r="AE124" s="44"/>
      <c r="AF124" s="44"/>
      <c r="AG124" s="44"/>
      <c r="AH124" s="44"/>
      <c r="AI124" s="44"/>
      <c r="AJ124" s="44"/>
      <c r="AK124" s="44"/>
      <c r="AL124" s="44"/>
    </row>
    <row r="125" ht="23.100000381469727" customHeight="1">
      <c r="A125" s="5"/>
      <c r="B125" s="5"/>
      <c r="C125" s="5"/>
      <c r="D125" s="5"/>
      <c r="E125" s="5"/>
      <c r="F125" s="5"/>
      <c r="G125" s="5"/>
      <c r="H125" s="5"/>
      <c r="I125" s="5"/>
      <c r="J125" s="5"/>
      <c r="K125" s="5"/>
      <c r="L125" s="5"/>
      <c r="M125" s="5"/>
      <c r="N125" s="5"/>
      <c r="O125" s="5"/>
      <c r="P125" s="5"/>
      <c r="Q125" s="5"/>
      <c r="R125" s="5"/>
      <c r="S125" s="5"/>
      <c r="T125" s="5"/>
      <c r="U125" s="5"/>
      <c r="W125" s="44"/>
      <c r="X125" s="44"/>
      <c r="Y125" s="44"/>
      <c r="Z125" s="44"/>
      <c r="AA125" s="44"/>
      <c r="AB125" s="44"/>
      <c r="AC125" s="44"/>
      <c r="AD125" s="44"/>
      <c r="AE125" s="44"/>
      <c r="AF125" s="44"/>
      <c r="AG125" s="44"/>
      <c r="AH125" s="44"/>
      <c r="AI125" s="44"/>
      <c r="AJ125" s="44"/>
      <c r="AK125" s="44"/>
      <c r="AL125" s="44"/>
    </row>
    <row r="126" ht="23.100000381469727" customHeight="1">
      <c r="A126" s="5"/>
      <c r="B126" s="5"/>
      <c r="C126" s="5"/>
      <c r="D126" s="5"/>
      <c r="E126" s="5"/>
      <c r="F126" s="5"/>
      <c r="G126" s="5"/>
      <c r="H126" s="5"/>
      <c r="I126" s="5"/>
      <c r="J126" s="5"/>
      <c r="K126" s="5"/>
      <c r="L126" s="5"/>
      <c r="M126" s="5"/>
      <c r="N126" s="5"/>
      <c r="O126" s="5"/>
      <c r="P126" s="5"/>
      <c r="Q126" s="5"/>
      <c r="R126" s="5"/>
      <c r="S126" s="5"/>
      <c r="T126" s="5"/>
      <c r="U126" s="5"/>
    </row>
    <row r="127" ht="23.100000381469727" customHeight="1">
      <c r="A127" s="5"/>
      <c r="B127" s="5"/>
      <c r="C127" s="5"/>
      <c r="D127" s="5"/>
      <c r="E127" s="5"/>
      <c r="F127" s="5"/>
      <c r="G127" s="5"/>
      <c r="H127" s="5"/>
      <c r="I127" s="5"/>
      <c r="J127" s="5"/>
      <c r="K127" s="5"/>
      <c r="L127" s="5"/>
      <c r="M127" s="5"/>
      <c r="N127" s="5"/>
      <c r="O127" s="5"/>
      <c r="P127" s="5"/>
      <c r="Q127" s="5"/>
      <c r="R127" s="5"/>
      <c r="S127" s="5"/>
      <c r="T127" s="5"/>
      <c r="U127" s="5"/>
    </row>
    <row r="128" ht="23.100000381469727" customHeight="1">
      <c r="A128" s="5"/>
      <c r="B128" s="5"/>
      <c r="C128" s="5"/>
      <c r="D128" s="5"/>
      <c r="E128" s="5"/>
      <c r="F128" s="5"/>
      <c r="G128" s="5"/>
      <c r="H128" s="5"/>
      <c r="I128" s="5"/>
      <c r="J128" s="5"/>
      <c r="K128" s="5"/>
      <c r="L128" s="5"/>
      <c r="M128" s="5"/>
      <c r="N128" s="5"/>
      <c r="O128" s="5"/>
      <c r="P128" s="5"/>
      <c r="Q128" s="5"/>
      <c r="R128" s="5"/>
      <c r="S128" s="5"/>
      <c r="T128" s="5"/>
      <c r="U128" s="5"/>
    </row>
    <row r="129" ht="23.100000381469727" customHeight="1">
      <c r="A129" s="5"/>
      <c r="B129" s="5"/>
      <c r="C129" s="5"/>
      <c r="D129" s="5"/>
      <c r="E129" s="5"/>
      <c r="F129" s="5"/>
      <c r="G129" s="5"/>
      <c r="H129" s="5"/>
      <c r="I129" s="5"/>
      <c r="J129" s="5"/>
      <c r="K129" s="5"/>
      <c r="L129" s="5"/>
      <c r="M129" s="5"/>
      <c r="N129" s="5"/>
      <c r="O129" s="5"/>
      <c r="P129" s="5"/>
      <c r="Q129" s="5"/>
      <c r="R129" s="5"/>
      <c r="S129" s="5"/>
      <c r="T129" s="5"/>
      <c r="U129" s="5"/>
    </row>
    <row r="130" ht="23.100000381469727" customHeight="1">
      <c r="A130" s="5"/>
      <c r="B130" s="5"/>
      <c r="C130" s="5"/>
      <c r="D130" s="5"/>
      <c r="E130" s="5"/>
      <c r="F130" s="5"/>
      <c r="G130" s="5"/>
      <c r="H130" s="5"/>
      <c r="I130" s="5"/>
      <c r="J130" s="5"/>
      <c r="K130" s="5"/>
      <c r="L130" s="5"/>
      <c r="M130" s="5"/>
      <c r="N130" s="5"/>
      <c r="O130" s="5"/>
      <c r="P130" s="5"/>
      <c r="Q130" s="5"/>
      <c r="R130" s="5"/>
      <c r="S130" s="5"/>
      <c r="T130" s="5"/>
      <c r="U130" s="5"/>
    </row>
    <row r="131" ht="23.100000381469727" customHeight="1">
      <c r="A131" s="5"/>
      <c r="B131" s="5"/>
      <c r="C131" s="5"/>
      <c r="D131" s="5"/>
      <c r="E131" s="5"/>
      <c r="F131" s="5"/>
      <c r="G131" s="5"/>
      <c r="H131" s="5"/>
      <c r="I131" s="5"/>
      <c r="J131" s="5"/>
      <c r="K131" s="5"/>
      <c r="L131" s="5"/>
      <c r="M131" s="5"/>
      <c r="N131" s="5"/>
      <c r="O131" s="5"/>
      <c r="P131" s="5"/>
      <c r="Q131" s="5"/>
      <c r="R131" s="5"/>
      <c r="S131" s="5"/>
      <c r="T131" s="5"/>
      <c r="U131" s="5"/>
    </row>
    <row r="132" ht="23.100000381469727" customHeight="1">
      <c r="A132" s="5"/>
      <c r="B132" s="5"/>
      <c r="C132" s="5"/>
      <c r="D132" s="5"/>
      <c r="E132" s="5"/>
      <c r="F132" s="5"/>
      <c r="G132" s="5"/>
      <c r="H132" s="5"/>
      <c r="I132" s="5"/>
      <c r="J132" s="5"/>
      <c r="K132" s="5"/>
      <c r="L132" s="5"/>
      <c r="M132" s="5"/>
      <c r="N132" s="5"/>
      <c r="O132" s="5"/>
      <c r="P132" s="5"/>
      <c r="Q132" s="5"/>
      <c r="R132" s="5"/>
      <c r="S132" s="5"/>
      <c r="T132" s="5"/>
      <c r="U132" s="5"/>
    </row>
    <row r="133" ht="23.100000381469727" customHeight="1">
      <c r="A133" s="5"/>
      <c r="B133" s="5"/>
      <c r="C133" s="5"/>
      <c r="D133" s="5"/>
      <c r="E133" s="5"/>
      <c r="F133" s="5"/>
      <c r="G133" s="5"/>
      <c r="H133" s="5"/>
      <c r="I133" s="5"/>
      <c r="J133" s="5"/>
      <c r="K133" s="5"/>
      <c r="L133" s="5"/>
      <c r="M133" s="5"/>
      <c r="N133" s="5"/>
      <c r="O133" s="5"/>
      <c r="P133" s="5"/>
      <c r="Q133" s="5"/>
      <c r="R133" s="5"/>
      <c r="S133" s="5"/>
      <c r="T133" s="5"/>
      <c r="U133" s="5"/>
    </row>
    <row r="134" ht="23.100000381469727" customHeight="1">
      <c r="A134" s="5"/>
      <c r="B134" s="5"/>
      <c r="C134" s="5"/>
      <c r="D134" s="5"/>
      <c r="E134" s="5"/>
      <c r="F134" s="5"/>
      <c r="G134" s="5"/>
      <c r="H134" s="5"/>
      <c r="I134" s="5"/>
      <c r="J134" s="5"/>
      <c r="K134" s="5"/>
      <c r="L134" s="5"/>
      <c r="M134" s="5"/>
      <c r="N134" s="5"/>
      <c r="O134" s="5"/>
      <c r="P134" s="5"/>
      <c r="Q134" s="5"/>
      <c r="R134" s="5"/>
      <c r="S134" s="5"/>
      <c r="T134" s="5"/>
      <c r="U134" s="5"/>
    </row>
    <row r="135" ht="23.100000381469727" customHeight="1">
      <c r="A135" s="5"/>
      <c r="B135" s="5"/>
      <c r="C135" s="5"/>
      <c r="D135" s="5"/>
      <c r="E135" s="5"/>
      <c r="F135" s="5"/>
      <c r="G135" s="5"/>
      <c r="H135" s="5"/>
      <c r="I135" s="5"/>
      <c r="J135" s="5"/>
      <c r="K135" s="5"/>
      <c r="L135" s="5"/>
      <c r="M135" s="5"/>
      <c r="N135" s="5"/>
      <c r="O135" s="5"/>
      <c r="P135" s="5"/>
      <c r="Q135" s="5"/>
      <c r="R135" s="5"/>
      <c r="S135" s="5"/>
      <c r="T135" s="5"/>
      <c r="U135" s="5"/>
    </row>
    <row r="136" ht="23.100000381469727" customHeight="1">
      <c r="A136" s="5"/>
      <c r="B136" s="5"/>
      <c r="C136" s="5"/>
      <c r="D136" s="5"/>
      <c r="E136" s="5"/>
      <c r="F136" s="5"/>
      <c r="G136" s="5"/>
      <c r="H136" s="5"/>
      <c r="I136" s="5"/>
      <c r="J136" s="5"/>
      <c r="K136" s="5"/>
      <c r="L136" s="5"/>
      <c r="M136" s="5"/>
      <c r="N136" s="5"/>
      <c r="O136" s="5"/>
      <c r="P136" s="5"/>
      <c r="Q136" s="5"/>
      <c r="R136" s="5"/>
      <c r="S136" s="5"/>
      <c r="T136" s="5"/>
      <c r="U136" s="5"/>
    </row>
    <row r="137" ht="23.100000381469727" customHeight="1">
      <c r="A137" s="5"/>
      <c r="B137" s="5"/>
      <c r="C137" s="5"/>
      <c r="D137" s="5"/>
      <c r="E137" s="5"/>
      <c r="F137" s="5"/>
      <c r="G137" s="5"/>
      <c r="H137" s="5"/>
      <c r="I137" s="5"/>
      <c r="J137" s="5"/>
      <c r="K137" s="5"/>
      <c r="L137" s="5"/>
      <c r="M137" s="5"/>
      <c r="N137" s="5"/>
      <c r="O137" s="5"/>
      <c r="P137" s="5"/>
      <c r="Q137" s="5"/>
      <c r="R137" s="5"/>
      <c r="S137" s="5"/>
      <c r="T137" s="5"/>
      <c r="U137" s="5"/>
    </row>
    <row r="138" ht="23.100000381469727" customHeight="1">
      <c r="A138" s="5"/>
      <c r="B138" s="5"/>
      <c r="C138" s="5"/>
      <c r="D138" s="5"/>
      <c r="E138" s="5"/>
      <c r="F138" s="5"/>
      <c r="G138" s="5"/>
      <c r="H138" s="5"/>
      <c r="I138" s="5"/>
      <c r="J138" s="5"/>
      <c r="K138" s="5"/>
      <c r="L138" s="5"/>
      <c r="M138" s="5"/>
      <c r="N138" s="5"/>
      <c r="O138" s="5"/>
      <c r="P138" s="5"/>
      <c r="Q138" s="5"/>
      <c r="R138" s="5"/>
      <c r="S138" s="5"/>
      <c r="T138" s="5"/>
      <c r="U138" s="5"/>
    </row>
    <row r="139" ht="23.100000381469727" customHeight="1">
      <c r="A139" s="5"/>
      <c r="B139" s="5"/>
      <c r="C139" s="5"/>
      <c r="D139" s="5"/>
      <c r="E139" s="5"/>
      <c r="F139" s="5"/>
      <c r="G139" s="5"/>
      <c r="H139" s="5"/>
      <c r="I139" s="5"/>
      <c r="J139" s="5"/>
      <c r="K139" s="5"/>
      <c r="L139" s="5"/>
      <c r="M139" s="5"/>
      <c r="N139" s="5"/>
      <c r="O139" s="5"/>
      <c r="P139" s="5"/>
      <c r="Q139" s="5"/>
      <c r="R139" s="5"/>
      <c r="S139" s="5"/>
      <c r="T139" s="5"/>
      <c r="U139" s="5"/>
    </row>
    <row r="140" ht="23.100000381469727" customHeight="1">
      <c r="A140" s="5"/>
      <c r="B140" s="5"/>
      <c r="C140" s="5"/>
      <c r="D140" s="5"/>
      <c r="E140" s="5"/>
      <c r="F140" s="5"/>
      <c r="G140" s="5"/>
      <c r="H140" s="5"/>
      <c r="I140" s="5"/>
      <c r="J140" s="5"/>
      <c r="K140" s="5"/>
      <c r="L140" s="5"/>
      <c r="M140" s="5"/>
      <c r="N140" s="5"/>
      <c r="O140" s="5"/>
      <c r="P140" s="5"/>
      <c r="Q140" s="5"/>
      <c r="R140" s="5"/>
      <c r="S140" s="5"/>
      <c r="T140" s="5"/>
      <c r="U140" s="5"/>
    </row>
    <row r="141" ht="23.100000381469727" customHeight="1">
      <c r="A141" s="5"/>
      <c r="B141" s="5"/>
      <c r="C141" s="5"/>
      <c r="D141" s="5"/>
      <c r="E141" s="5"/>
      <c r="F141" s="5"/>
      <c r="G141" s="5"/>
      <c r="H141" s="5"/>
      <c r="I141" s="5"/>
      <c r="J141" s="5"/>
      <c r="K141" s="5"/>
      <c r="L141" s="5"/>
      <c r="M141" s="5"/>
      <c r="N141" s="5"/>
      <c r="O141" s="5"/>
      <c r="P141" s="5"/>
      <c r="Q141" s="5"/>
      <c r="R141" s="5"/>
      <c r="S141" s="5"/>
      <c r="T141" s="5"/>
      <c r="U141" s="5"/>
    </row>
    <row r="142" ht="23.100000381469727" customHeight="1">
      <c r="A142" s="5"/>
      <c r="B142" s="5"/>
      <c r="C142" s="5"/>
      <c r="D142" s="5"/>
      <c r="E142" s="5"/>
      <c r="F142" s="5"/>
      <c r="G142" s="5"/>
      <c r="H142" s="5"/>
      <c r="I142" s="5"/>
      <c r="J142" s="5"/>
      <c r="K142" s="5"/>
      <c r="L142" s="5"/>
      <c r="M142" s="5"/>
      <c r="N142" s="5"/>
      <c r="O142" s="5"/>
      <c r="P142" s="5"/>
      <c r="Q142" s="5"/>
      <c r="R142" s="5"/>
      <c r="S142" s="5"/>
      <c r="T142" s="5"/>
      <c r="U142" s="5"/>
    </row>
    <row r="143" ht="23.100000381469727" customHeight="1">
      <c r="A143" s="5"/>
      <c r="B143" s="5"/>
      <c r="C143" s="5"/>
      <c r="D143" s="5"/>
      <c r="E143" s="5"/>
      <c r="F143" s="5"/>
      <c r="G143" s="5"/>
      <c r="H143" s="5"/>
      <c r="I143" s="5"/>
      <c r="J143" s="5"/>
      <c r="K143" s="5"/>
      <c r="L143" s="5"/>
      <c r="M143" s="5"/>
      <c r="N143" s="5"/>
      <c r="O143" s="5"/>
      <c r="P143" s="5"/>
      <c r="Q143" s="5"/>
      <c r="R143" s="5"/>
      <c r="S143" s="5"/>
      <c r="T143" s="5"/>
      <c r="U143" s="5"/>
    </row>
    <row r="144" ht="23.100000381469727" customHeight="1">
      <c r="A144" s="5"/>
      <c r="B144" s="5"/>
      <c r="C144" s="5"/>
      <c r="D144" s="5"/>
      <c r="E144" s="5"/>
      <c r="F144" s="5"/>
      <c r="G144" s="5"/>
      <c r="H144" s="5"/>
      <c r="I144" s="5"/>
      <c r="J144" s="5"/>
      <c r="K144" s="5"/>
      <c r="L144" s="5"/>
      <c r="M144" s="5"/>
      <c r="N144" s="5"/>
      <c r="O144" s="5"/>
      <c r="P144" s="5"/>
      <c r="Q144" s="5"/>
      <c r="R144" s="5"/>
      <c r="S144" s="5"/>
      <c r="T144" s="5"/>
      <c r="U144" s="5"/>
    </row>
    <row r="145" ht="23.100000381469727" customHeight="1">
      <c r="A145" s="5"/>
      <c r="B145" s="5"/>
      <c r="C145" s="5"/>
      <c r="D145" s="5"/>
      <c r="E145" s="5"/>
      <c r="F145" s="5"/>
      <c r="G145" s="5"/>
      <c r="H145" s="5"/>
      <c r="I145" s="5"/>
      <c r="J145" s="5"/>
      <c r="K145" s="5"/>
      <c r="L145" s="5"/>
      <c r="M145" s="5"/>
      <c r="N145" s="5"/>
      <c r="O145" s="5"/>
      <c r="P145" s="5"/>
      <c r="Q145" s="5"/>
      <c r="R145" s="5"/>
      <c r="S145" s="5"/>
      <c r="T145" s="5"/>
      <c r="U145" s="5"/>
    </row>
    <row r="146" ht="23.100000381469727" customHeight="1">
      <c r="A146" s="5"/>
      <c r="B146" s="5"/>
      <c r="C146" s="5"/>
      <c r="D146" s="5"/>
      <c r="E146" s="5"/>
      <c r="F146" s="5"/>
      <c r="G146" s="5"/>
      <c r="H146" s="5"/>
      <c r="I146" s="5"/>
      <c r="J146" s="5"/>
      <c r="K146" s="5"/>
      <c r="L146" s="5"/>
      <c r="M146" s="5"/>
      <c r="N146" s="5"/>
      <c r="O146" s="5"/>
      <c r="P146" s="5"/>
      <c r="Q146" s="5"/>
      <c r="R146" s="5"/>
      <c r="S146" s="5"/>
      <c r="T146" s="5"/>
      <c r="U146" s="5"/>
    </row>
    <row r="147" ht="23.100000381469727" customHeight="1">
      <c r="A147" s="5"/>
      <c r="B147" s="5"/>
      <c r="C147" s="5"/>
      <c r="D147" s="5"/>
      <c r="E147" s="5"/>
      <c r="F147" s="5"/>
      <c r="G147" s="5"/>
      <c r="H147" s="5"/>
      <c r="I147" s="5"/>
      <c r="J147" s="5"/>
      <c r="K147" s="5"/>
      <c r="L147" s="5"/>
      <c r="M147" s="5"/>
      <c r="N147" s="5"/>
      <c r="O147" s="5"/>
      <c r="P147" s="5"/>
      <c r="Q147" s="5"/>
      <c r="R147" s="5"/>
      <c r="S147" s="5"/>
      <c r="T147" s="5"/>
      <c r="U147" s="5"/>
    </row>
    <row r="148" ht="23.100000381469727" customHeight="1">
      <c r="A148" s="5"/>
      <c r="B148" s="5"/>
      <c r="C148" s="5"/>
      <c r="D148" s="5"/>
      <c r="E148" s="5"/>
      <c r="F148" s="5"/>
      <c r="G148" s="5"/>
      <c r="H148" s="5"/>
      <c r="I148" s="5"/>
      <c r="J148" s="5"/>
      <c r="K148" s="5"/>
      <c r="L148" s="5"/>
      <c r="M148" s="5"/>
      <c r="N148" s="5"/>
      <c r="O148" s="5"/>
      <c r="P148" s="5"/>
      <c r="Q148" s="5"/>
      <c r="R148" s="5"/>
      <c r="S148" s="5"/>
      <c r="T148" s="5"/>
      <c r="U148" s="5"/>
    </row>
    <row r="149" ht="23.100000381469727" customHeight="1">
      <c r="A149" s="5"/>
      <c r="B149" s="5"/>
      <c r="C149" s="5"/>
      <c r="D149" s="5"/>
      <c r="E149" s="5"/>
      <c r="F149" s="5"/>
      <c r="G149" s="5"/>
      <c r="H149" s="5"/>
      <c r="I149" s="5"/>
      <c r="J149" s="5"/>
      <c r="K149" s="5"/>
      <c r="L149" s="5"/>
      <c r="M149" s="5"/>
      <c r="N149" s="5"/>
      <c r="O149" s="5"/>
      <c r="P149" s="5"/>
      <c r="Q149" s="5"/>
      <c r="R149" s="5"/>
      <c r="S149" s="5"/>
      <c r="T149" s="5"/>
      <c r="U149" s="5"/>
    </row>
    <row r="150" ht="23.100000381469727" customHeight="1">
      <c r="A150" s="5"/>
      <c r="B150" s="5"/>
      <c r="C150" s="5"/>
      <c r="D150" s="5"/>
      <c r="E150" s="5"/>
      <c r="F150" s="5"/>
      <c r="G150" s="5"/>
      <c r="H150" s="5"/>
      <c r="I150" s="5"/>
      <c r="J150" s="5"/>
      <c r="K150" s="5"/>
      <c r="L150" s="5"/>
      <c r="M150" s="5"/>
      <c r="N150" s="5"/>
      <c r="O150" s="5"/>
      <c r="P150" s="5"/>
      <c r="Q150" s="5"/>
      <c r="R150" s="5"/>
      <c r="S150" s="5"/>
      <c r="T150" s="5"/>
      <c r="U150" s="5"/>
    </row>
    <row r="151" ht="23.100000381469727" customHeight="1">
      <c r="A151" s="5"/>
      <c r="B151" s="5"/>
      <c r="C151" s="5"/>
      <c r="D151" s="5"/>
      <c r="E151" s="5"/>
      <c r="F151" s="5"/>
      <c r="G151" s="5"/>
      <c r="H151" s="5"/>
      <c r="I151" s="5"/>
      <c r="J151" s="5"/>
      <c r="K151" s="5"/>
      <c r="L151" s="5"/>
      <c r="M151" s="5"/>
      <c r="N151" s="5"/>
      <c r="O151" s="5"/>
      <c r="P151" s="5"/>
      <c r="Q151" s="5"/>
      <c r="R151" s="5"/>
      <c r="S151" s="5"/>
      <c r="T151" s="5"/>
      <c r="U151" s="5"/>
    </row>
    <row r="152" ht="23.100000381469727" customHeight="1">
      <c r="A152" s="5"/>
      <c r="B152" s="5"/>
      <c r="C152" s="5"/>
      <c r="D152" s="5"/>
      <c r="E152" s="5"/>
      <c r="F152" s="5"/>
      <c r="G152" s="5"/>
      <c r="H152" s="5"/>
      <c r="I152" s="5"/>
      <c r="J152" s="5"/>
      <c r="K152" s="5"/>
      <c r="L152" s="5"/>
      <c r="M152" s="5"/>
      <c r="N152" s="5"/>
      <c r="O152" s="5"/>
      <c r="P152" s="5"/>
      <c r="Q152" s="5"/>
      <c r="R152" s="5"/>
      <c r="S152" s="5"/>
      <c r="T152" s="5"/>
      <c r="U152" s="5"/>
    </row>
    <row r="153" ht="23.100000381469727" customHeight="1">
      <c r="A153" s="5"/>
      <c r="B153" s="5"/>
      <c r="C153" s="5"/>
      <c r="D153" s="5"/>
      <c r="E153" s="5"/>
      <c r="F153" s="5"/>
      <c r="G153" s="5"/>
      <c r="H153" s="5"/>
      <c r="I153" s="5"/>
      <c r="J153" s="5"/>
      <c r="K153" s="5"/>
      <c r="L153" s="5"/>
      <c r="M153" s="5"/>
      <c r="N153" s="5"/>
      <c r="O153" s="5"/>
      <c r="P153" s="5"/>
      <c r="Q153" s="5"/>
      <c r="R153" s="5"/>
      <c r="S153" s="5"/>
      <c r="T153" s="5"/>
      <c r="U153" s="5"/>
    </row>
    <row r="154" ht="23.100000381469727" customHeight="1">
      <c r="A154" s="5"/>
      <c r="B154" s="5"/>
      <c r="C154" s="5"/>
      <c r="D154" s="5"/>
      <c r="E154" s="5"/>
      <c r="F154" s="5"/>
      <c r="G154" s="5"/>
      <c r="H154" s="5"/>
      <c r="I154" s="5"/>
      <c r="J154" s="5"/>
      <c r="K154" s="5"/>
      <c r="L154" s="5"/>
      <c r="M154" s="5"/>
      <c r="N154" s="5"/>
      <c r="O154" s="5"/>
      <c r="P154" s="5"/>
      <c r="Q154" s="5"/>
      <c r="R154" s="5"/>
      <c r="S154" s="5"/>
      <c r="T154" s="5"/>
      <c r="U154" s="5"/>
    </row>
    <row r="155" ht="23.100000381469727" customHeight="1">
      <c r="A155" s="5"/>
      <c r="B155" s="5"/>
      <c r="C155" s="5"/>
      <c r="D155" s="5"/>
      <c r="E155" s="5"/>
      <c r="F155" s="5"/>
      <c r="G155" s="5"/>
      <c r="H155" s="5"/>
      <c r="I155" s="5"/>
      <c r="J155" s="5"/>
      <c r="K155" s="5"/>
      <c r="L155" s="5"/>
      <c r="M155" s="5"/>
      <c r="N155" s="5"/>
      <c r="O155" s="5"/>
      <c r="P155" s="5"/>
      <c r="Q155" s="5"/>
      <c r="R155" s="5"/>
      <c r="S155" s="5"/>
      <c r="T155" s="5"/>
      <c r="U155" s="5"/>
    </row>
    <row r="156" ht="23.100000381469727" customHeight="1">
      <c r="A156" s="5"/>
      <c r="B156" s="5"/>
      <c r="C156" s="5"/>
      <c r="D156" s="5"/>
      <c r="E156" s="5"/>
      <c r="F156" s="5"/>
      <c r="G156" s="5"/>
      <c r="H156" s="5"/>
      <c r="I156" s="5"/>
      <c r="J156" s="5"/>
      <c r="K156" s="5"/>
      <c r="L156" s="5"/>
      <c r="M156" s="5"/>
      <c r="N156" s="5"/>
      <c r="O156" s="5"/>
      <c r="P156" s="5"/>
      <c r="Q156" s="5"/>
      <c r="R156" s="5"/>
      <c r="S156" s="5"/>
      <c r="T156" s="5"/>
      <c r="U156" s="5"/>
    </row>
    <row r="157" ht="23.100000381469727" customHeight="1">
      <c r="A157" s="5"/>
      <c r="B157" s="5"/>
      <c r="C157" s="5"/>
      <c r="D157" s="5"/>
      <c r="E157" s="5"/>
      <c r="F157" s="5"/>
      <c r="G157" s="5"/>
      <c r="H157" s="5"/>
      <c r="I157" s="5"/>
      <c r="J157" s="5"/>
      <c r="K157" s="5"/>
      <c r="L157" s="5"/>
      <c r="M157" s="5"/>
      <c r="N157" s="5"/>
      <c r="O157" s="5"/>
      <c r="P157" s="5"/>
      <c r="Q157" s="5"/>
      <c r="R157" s="5"/>
      <c r="S157" s="5"/>
      <c r="T157" s="5"/>
      <c r="U157" s="5"/>
    </row>
    <row r="158" ht="30" customHeight="1">
      <c r="A158" s="23" t="inlineStr">
        <is>
          <t xml:space="preserve">Solar only — monthly calculations</t>
        </is>
      </c>
      <c r="B158" s="30"/>
      <c r="C158" s="30"/>
      <c r="D158" s="30"/>
      <c r="E158" s="30"/>
      <c r="F158" s="30"/>
      <c r="G158" s="30"/>
      <c r="H158" s="30"/>
      <c r="I158" s="30"/>
      <c r="J158" s="30"/>
      <c r="K158" s="30"/>
      <c r="L158" s="30"/>
      <c r="M158" s="30"/>
      <c r="N158" s="30"/>
      <c r="O158" s="30"/>
      <c r="P158" s="30"/>
      <c r="Q158" s="30"/>
      <c r="R158" s="30"/>
      <c r="S158" s="30"/>
      <c r="T158" s="5"/>
      <c r="U158" s="5"/>
    </row>
    <row r="159" ht="23.100000381469727" customHeight="1">
      <c r="A159" s="5"/>
      <c r="B159" s="5"/>
      <c r="C159" s="5"/>
      <c r="D159" s="5"/>
      <c r="E159" s="5"/>
      <c r="F159" s="5"/>
      <c r="G159" s="5"/>
      <c r="H159" s="5"/>
      <c r="I159" s="5"/>
      <c r="J159" s="5"/>
      <c r="K159" s="5"/>
      <c r="L159" s="5"/>
      <c r="M159" s="5"/>
      <c r="N159" s="5"/>
      <c r="O159" s="5"/>
      <c r="P159" s="5"/>
      <c r="Q159" s="5"/>
      <c r="R159" s="5"/>
      <c r="S159" s="5"/>
      <c r="T159" s="5"/>
      <c r="U159" s="5"/>
    </row>
    <row r="160" ht="44.099998474121094" customHeight="1">
      <c r="A160" s="14" t="inlineStr">
        <is>
          <t xml:space="preserve">years</t>
        </is>
      </c>
      <c r="B160" s="14" t="inlineStr">
        <is>
          <t xml:space="preserve">month</t>
        </is>
      </c>
      <c r="C160" s="14" t="inlineStr">
        <is>
          <t xml:space="preserve">Days</t>
        </is>
      </c>
      <c r="D160" s="14" t="inlineStr">
        <is>
          <t xml:space="preserve">Day load kWh/d</t>
        </is>
      </c>
      <c r="E160" s="14" t="inlineStr">
        <is>
          <t xml:space="preserve">Night load kWh/d</t>
        </is>
      </c>
      <c r="F160" s="14" t="inlineStr">
        <is>
          <t xml:space="preserve">PV kWh/mo</t>
        </is>
      </c>
      <c r="G160" s="14" t="inlineStr">
        <is>
          <t xml:space="preserve">Direct use kWh/mo</t>
        </is>
      </c>
      <c r="H160" s="14" t="inlineStr">
        <is>
          <t xml:space="preserve">Charge kWh/mo</t>
        </is>
      </c>
      <c r="I160" s="14" t="inlineStr">
        <is>
          <t xml:space="preserve">Discharge kWh/mo</t>
        </is>
      </c>
      <c r="J160" s="14" t="inlineStr">
        <is>
          <t xml:space="preserve">Unused PV kWh/mo</t>
        </is>
      </c>
      <c r="K160" s="14" t="inlineStr">
        <is>
          <t xml:space="preserve">Losses kWh/mo</t>
        </is>
      </c>
      <c r="L160" s="14" t="inlineStr">
        <is>
          <t xml:space="preserve">Grid imports kWh/mo</t>
        </is>
      </c>
      <c r="M160" s="14" t="inlineStr">
        <is>
          <t xml:space="preserve">Baseline EGP</t>
        </is>
      </c>
      <c r="N160" s="14" t="inlineStr">
        <is>
          <t xml:space="preserve">New bill EGP</t>
        </is>
      </c>
      <c r="O160" s="14" t="inlineStr">
        <is>
          <t xml:space="preserve">Bill savings EGP</t>
        </is>
      </c>
      <c r="P160" s="14" t="inlineStr">
        <is>
          <t xml:space="preserve">Operating capacity kWh</t>
        </is>
      </c>
      <c r="Q160" s="14" t="inlineStr">
        <is>
          <t xml:space="preserve">Matched PV-only bill (EGP)</t>
        </is>
      </c>
      <c r="R160" s="14" t="inlineStr">
        <is>
          <t xml:space="preserve">Battery age</t>
        </is>
      </c>
      <c r="S160" s="14" t="inlineStr">
        <is>
          <t xml:space="preserve">Balance check kWh</t>
        </is>
      </c>
      <c r="T160" s="5"/>
      <c r="U160" s="5"/>
    </row>
    <row r="161" ht="23.100000381469727" customHeight="1">
      <c r="A161" s="5" t="n">
        <v>1</v>
      </c>
      <c r="B161" s="5" t="n">
        <v>1</v>
      </c>
      <c r="C161" s="5" t="n">
        <f>DAY(DATE('Assumptions and Catalog'!$C$24+A161-1,B161+1,0))</f>
        <v>31</v>
      </c>
      <c r="D161" s="5" t="n">
        <f>IF(ISNUMBER(Inputs!$L$5),Inputs!$L$5*Inputs!$L$6,0)</f>
        <v>40.35</v>
      </c>
      <c r="E161" s="5" t="n">
        <f>IF(ISNUMBER(Inputs!$L$5),Inputs!$L$5-D161,0)</f>
        <v>40.35</v>
      </c>
      <c r="F161" s="5" t="n">
        <f>C$51*INDEX('Solar Production'!$D$20:$D$31,B161)*C161*(1-'Assumptions and Catalog'!$C$10)^(A161-1)</f>
        <v>1155.44</v>
      </c>
      <c r="G161" s="5" t="n">
        <f>MIN(F161,D161*C161)</f>
        <v>1155.44</v>
      </c>
      <c r="H161" s="5" t="n">
        <f>I161/('Assumptions and Catalog'!$C$11*'Assumptions and Catalog'!$C$12)</f>
        <v>0</v>
      </c>
      <c r="I161" s="5" t="n">
        <f>0</f>
        <v>0</v>
      </c>
      <c r="J161" s="5" t="n">
        <f>MAX(F161-G161-H161,0)</f>
        <v>0</v>
      </c>
      <c r="K161" s="5" t="n">
        <f>H161-I161</f>
        <v>0</v>
      </c>
      <c r="L161" s="5" t="n">
        <f>(D161+E161)*C161-G161-I161+0+0</f>
        <v>1346.26</v>
      </c>
      <c r="M161" s="5" t="n">
        <f>IF(ISNUMBER(Inputs!$L$5),(IF(Inputs!$L$9="Actual flat rate",((D161+E161)*C161)*Inputs!$L$10,IF(Inputs!$C$9="Residential",IF(((D161+E161)*C161)&lt;='Assumptions and Catalog'!$C$50,((D161+E161)*C161)*'Assumptions and Catalog'!$H$50+'Assumptions and Catalog'!$E$50+'Assumptions and Catalog'!$F$50,IF(((D161+E161)*C161)&lt;='Assumptions and Catalog'!$C$51,((D161+E161)*C161)*'Assumptions and Catalog'!$H$51+'Assumptions and Catalog'!$E$51+'Assumptions and Catalog'!$F$51,IF(((D161+E161)*C161)&lt;='Assumptions and Catalog'!$C$52,((D161+E161)*C161)*'Assumptions and Catalog'!$H$52+'Assumptions and Catalog'!$E$52+'Assumptions and Catalog'!$F$52,IF(((D161+E161)*C161)&lt;='Assumptions and Catalog'!$C$53,((D161+E161)*C161)*'Assumptions and Catalog'!$H$53+'Assumptions and Catalog'!$E$53+'Assumptions and Catalog'!$F$53,IF(((D161+E161)*C161)&lt;='Assumptions and Catalog'!$C$54,((D161+E161)*C161)*'Assumptions and Catalog'!$H$54+'Assumptions and Catalog'!$E$54+'Assumptions and Catalog'!$F$54,IF(((D161+E161)*C161)&lt;='Assumptions and Catalog'!$C$55,((D161+E161)*C161)*'Assumptions and Catalog'!$H$55+'Assumptions and Catalog'!$E$55+'Assumptions and Catalog'!$F$55,IF(((D161+E161)*C161)&lt;='Assumptions and Catalog'!$C$56,((D161+E161)*C161)*'Assumptions and Catalog'!$H$56+'Assumptions and Catalog'!$E$56+'Assumptions and Catalog'!$F$56,IF(((D161+E161)*C161)&lt;='Assumptions and Catalog'!$C$57,((D161+E161)*C161)*'Assumptions and Catalog'!$H$57+'Assumptions and Catalog'!$E$57+'Assumptions and Catalog'!$F$57,"Out of range")))))))),IF(((D161+E161)*C161)&lt;='Assumptions and Catalog'!$C$60,((D161+E161)*C161)*'Assumptions and Catalog'!$H$60+'Assumptions and Catalog'!$E$60+'Assumptions and Catalog'!$F$60,IF(((D161+E161)*C161)&lt;='Assumptions and Catalog'!$C$61,((D161+E161)*C161)*'Assumptions and Catalog'!$H$61+'Assumptions and Catalog'!$E$61+'Assumptions and Catalog'!$F$61,IF(((D161+E161)*C161)&lt;='Assumptions and Catalog'!$C$62,((D161+E161)*C161)*'Assumptions and Catalog'!$H$62+'Assumptions and Catalog'!$E$62+'Assumptions and Catalog'!$F$62,IF(((D161+E161)*C161)&lt;='Assumptions and Catalog'!$C$63,((D161+E161)*C161)*'Assumptions and Catalog'!$H$63+'Assumptions and Catalog'!$E$63+'Assumptions and Catalog'!$F$63,IF(((D161+E161)*C161)&lt;='Assumptions and Catalog'!$C$64,((D161+E161)*C161)*'Assumptions and Catalog'!$H$64+'Assumptions and Catalog'!$E$64+'Assumptions and Catalog'!$F$64,IF(((D161+E161)*C161)&lt;='Assumptions and Catalog'!$C$65,((D161+E161)*C161)*'Assumptions and Catalog'!$H$65+'Assumptions and Catalog'!$E$65+'Assumptions and Catalog'!$F$65,"Out of range")))))))))*(1+'Assumptions and Catalog'!$C$8)^(A161-1),0)</f>
        <v>7094.794</v>
      </c>
      <c r="N161" s="5" t="n">
        <f>IF(ISNUMBER(Inputs!$L$5),(IF(Inputs!$L$9="Actual flat rate",L161*Inputs!$L$10,IF(Inputs!$C$9="Residential",IF(L161&lt;='Assumptions and Catalog'!$C$50,L161*'Assumptions and Catalog'!$H$50+'Assumptions and Catalog'!$E$50+'Assumptions and Catalog'!$F$50,IF(L161&lt;='Assumptions and Catalog'!$C$51,L161*'Assumptions and Catalog'!$H$51+'Assumptions and Catalog'!$E$51+'Assumptions and Catalog'!$F$51,IF(L161&lt;='Assumptions and Catalog'!$C$52,L161*'Assumptions and Catalog'!$H$52+'Assumptions and Catalog'!$E$52+'Assumptions and Catalog'!$F$52,IF(L161&lt;='Assumptions and Catalog'!$C$53,L161*'Assumptions and Catalog'!$H$53+'Assumptions and Catalog'!$E$53+'Assumptions and Catalog'!$F$53,IF(L161&lt;='Assumptions and Catalog'!$C$54,L161*'Assumptions and Catalog'!$H$54+'Assumptions and Catalog'!$E$54+'Assumptions and Catalog'!$F$54,IF(L161&lt;='Assumptions and Catalog'!$C$55,L161*'Assumptions and Catalog'!$H$55+'Assumptions and Catalog'!$E$55+'Assumptions and Catalog'!$F$55,IF(L161&lt;='Assumptions and Catalog'!$C$56,L161*'Assumptions and Catalog'!$H$56+'Assumptions and Catalog'!$E$56+'Assumptions and Catalog'!$F$56,IF(L161&lt;='Assumptions and Catalog'!$C$57,L161*'Assumptions and Catalog'!$H$57+'Assumptions and Catalog'!$E$57+'Assumptions and Catalog'!$F$57,"Out of range")))))))),IF(L161&lt;='Assumptions and Catalog'!$C$60,L161*'Assumptions and Catalog'!$H$60+'Assumptions and Catalog'!$E$60+'Assumptions and Catalog'!$F$60,IF(L161&lt;='Assumptions and Catalog'!$C$61,L161*'Assumptions and Catalog'!$H$61+'Assumptions and Catalog'!$E$61+'Assumptions and Catalog'!$F$61,IF(L161&lt;='Assumptions and Catalog'!$C$62,L161*'Assumptions and Catalog'!$H$62+'Assumptions and Catalog'!$E$62+'Assumptions and Catalog'!$F$62,IF(L161&lt;='Assumptions and Catalog'!$C$63,L161*'Assumptions and Catalog'!$H$63+'Assumptions and Catalog'!$E$63+'Assumptions and Catalog'!$F$63,IF(L161&lt;='Assumptions and Catalog'!$C$64,L161*'Assumptions and Catalog'!$H$64+'Assumptions and Catalog'!$E$64+'Assumptions and Catalog'!$F$64,IF(L161&lt;='Assumptions and Catalog'!$C$65,L161*'Assumptions and Catalog'!$H$65+'Assumptions and Catalog'!$E$65+'Assumptions and Catalog'!$F$65,"Out of range")))))))))*(1+'Assumptions and Catalog'!$C$8)^(A161-1),0)</f>
        <v>3836.4532</v>
      </c>
      <c r="O161" s="5" t="n">
        <f>M161-N161</f>
        <v>3258.3408</v>
      </c>
      <c r="P161" s="5" t="n">
        <f>C$55*(1-J$14)*(1-'Assumptions and Catalog'!$C$23)^R161</f>
        <v>0</v>
      </c>
      <c r="Q161" s="5" t="n">
        <f>IF(ISNUMBER(Inputs!$L$5),(IF(Inputs!$L$9="Actual flat rate",((D161+E161)*C161-G161)*Inputs!$L$10,IF(Inputs!$C$9="Residential",IF(((D161+E161)*C161-G161)&lt;='Assumptions and Catalog'!$C$50,((D161+E161)*C161-G161)*'Assumptions and Catalog'!$H$50+'Assumptions and Catalog'!$E$50+'Assumptions and Catalog'!$F$50,IF(((D161+E161)*C161-G161)&lt;='Assumptions and Catalog'!$C$51,((D161+E161)*C161-G161)*'Assumptions and Catalog'!$H$51+'Assumptions and Catalog'!$E$51+'Assumptions and Catalog'!$F$51,IF(((D161+E161)*C161-G161)&lt;='Assumptions and Catalog'!$C$52,((D161+E161)*C161-G161)*'Assumptions and Catalog'!$H$52+'Assumptions and Catalog'!$E$52+'Assumptions and Catalog'!$F$52,IF(((D161+E161)*C161-G161)&lt;='Assumptions and Catalog'!$C$53,((D161+E161)*C161-G161)*'Assumptions and Catalog'!$H$53+'Assumptions and Catalog'!$E$53+'Assumptions and Catalog'!$F$53,IF(((D161+E161)*C161-G161)&lt;='Assumptions and Catalog'!$C$54,((D161+E161)*C161-G161)*'Assumptions and Catalog'!$H$54+'Assumptions and Catalog'!$E$54+'Assumptions and Catalog'!$F$54,IF(((D161+E161)*C161-G161)&lt;='Assumptions and Catalog'!$C$55,((D161+E161)*C161-G161)*'Assumptions and Catalog'!$H$55+'Assumptions and Catalog'!$E$55+'Assumptions and Catalog'!$F$55,IF(((D161+E161)*C161-G161)&lt;='Assumptions and Catalog'!$C$56,((D161+E161)*C161-G161)*'Assumptions and Catalog'!$H$56+'Assumptions and Catalog'!$E$56+'Assumptions and Catalog'!$F$56,IF(((D161+E161)*C161-G161)&lt;='Assumptions and Catalog'!$C$57,((D161+E161)*C161-G161)*'Assumptions and Catalog'!$H$57+'Assumptions and Catalog'!$E$57+'Assumptions and Catalog'!$F$57,"Out of range")))))))),IF(((D161+E161)*C161-G161)&lt;='Assumptions and Catalog'!$C$60,((D161+E161)*C161-G161)*'Assumptions and Catalog'!$H$60+'Assumptions and Catalog'!$E$60+'Assumptions and Catalog'!$F$60,IF(((D161+E161)*C161-G161)&lt;='Assumptions and Catalog'!$C$61,((D161+E161)*C161-G161)*'Assumptions and Catalog'!$H$61+'Assumptions and Catalog'!$E$61+'Assumptions and Catalog'!$F$61,IF(((D161+E161)*C161-G161)&lt;='Assumptions and Catalog'!$C$62,((D161+E161)*C161-G161)*'Assumptions and Catalog'!$H$62+'Assumptions and Catalog'!$E$62+'Assumptions and Catalog'!$F$62,IF(((D161+E161)*C161-G161)&lt;='Assumptions and Catalog'!$C$63,((D161+E161)*C161-G161)*'Assumptions and Catalog'!$H$63+'Assumptions and Catalog'!$E$63+'Assumptions and Catalog'!$F$63,IF(((D161+E161)*C161-G161)&lt;='Assumptions and Catalog'!$C$64,((D161+E161)*C161-G161)*'Assumptions and Catalog'!$H$64+'Assumptions and Catalog'!$E$64+'Assumptions and Catalog'!$F$64,IF(((D161+E161)*C161-G161)&lt;='Assumptions and Catalog'!$C$65,((D161+E161)*C161-G161)*'Assumptions and Catalog'!$H$65+'Assumptions and Catalog'!$E$65+'Assumptions and Catalog'!$F$65,"Out of range")))))))))*(1+'Assumptions and Catalog'!$C$8)^(A161-1),0)</f>
        <v>3836.4532</v>
      </c>
      <c r="R161" s="5" t="n">
        <f>IF(AND('Assumptions and Catalog'!$C$19&gt;0,A161&gt;='Assumptions and Catalog'!$C$19),A161-'Assumptions and Catalog'!$C$19,A161-1)</f>
        <v>0</v>
      </c>
      <c r="S161" s="5" t="n">
        <f>F161+L161-(D161+E161)*C161-J161-K161-0</f>
        <v>0</v>
      </c>
      <c r="T161" s="5"/>
      <c r="U161" s="5"/>
    </row>
    <row r="162" ht="23.100000381469727" customHeight="1">
      <c r="A162" s="5" t="n">
        <v>1</v>
      </c>
      <c r="B162" s="5" t="n">
        <v>2</v>
      </c>
      <c r="C162" s="5" t="n">
        <f>DAY(DATE('Assumptions and Catalog'!$C$24+A162-1,B162+1,0))</f>
        <v>28</v>
      </c>
      <c r="D162" s="5" t="n">
        <f>IF(ISNUMBER(Inputs!$L$5),Inputs!$L$5*Inputs!$L$6,0)</f>
        <v>40.35</v>
      </c>
      <c r="E162" s="5" t="n">
        <f>IF(ISNUMBER(Inputs!$L$5),Inputs!$L$5-D162,0)</f>
        <v>40.35</v>
      </c>
      <c r="F162" s="5" t="n">
        <f>C$51*INDEX('Solar Production'!$D$20:$D$31,B162)*C162*(1-'Assumptions and Catalog'!$C$10)^(A162-1)</f>
        <v>1139.16</v>
      </c>
      <c r="G162" s="5" t="n">
        <f>MIN(F162,D162*C162)</f>
        <v>1129.8</v>
      </c>
      <c r="H162" s="5" t="n">
        <f>I162/('Assumptions and Catalog'!$C$11*'Assumptions and Catalog'!$C$12)</f>
        <v>0</v>
      </c>
      <c r="I162" s="5" t="n">
        <f>0</f>
        <v>0</v>
      </c>
      <c r="J162" s="5" t="n">
        <f>MAX(F162-G162-H162,0)</f>
        <v>9.36000000000013</v>
      </c>
      <c r="K162" s="5" t="n">
        <f>H162-I162</f>
        <v>0</v>
      </c>
      <c r="L162" s="5" t="n">
        <f>(D162+E162)*C162-G162-I162+0+0</f>
        <v>1129.8</v>
      </c>
      <c r="M162" s="5" t="n">
        <f>IF(ISNUMBER(Inputs!$L$5),(IF(Inputs!$L$9="Actual flat rate",((D162+E162)*C162)*Inputs!$L$10,IF(Inputs!$C$9="Residential",IF(((D162+E162)*C162)&lt;='Assumptions and Catalog'!$C$50,((D162+E162)*C162)*'Assumptions and Catalog'!$H$50+'Assumptions and Catalog'!$E$50+'Assumptions and Catalog'!$F$50,IF(((D162+E162)*C162)&lt;='Assumptions and Catalog'!$C$51,((D162+E162)*C162)*'Assumptions and Catalog'!$H$51+'Assumptions and Catalog'!$E$51+'Assumptions and Catalog'!$F$51,IF(((D162+E162)*C162)&lt;='Assumptions and Catalog'!$C$52,((D162+E162)*C162)*'Assumptions and Catalog'!$H$52+'Assumptions and Catalog'!$E$52+'Assumptions and Catalog'!$F$52,IF(((D162+E162)*C162)&lt;='Assumptions and Catalog'!$C$53,((D162+E162)*C162)*'Assumptions and Catalog'!$H$53+'Assumptions and Catalog'!$E$53+'Assumptions and Catalog'!$F$53,IF(((D162+E162)*C162)&lt;='Assumptions and Catalog'!$C$54,((D162+E162)*C162)*'Assumptions and Catalog'!$H$54+'Assumptions and Catalog'!$E$54+'Assumptions and Catalog'!$F$54,IF(((D162+E162)*C162)&lt;='Assumptions and Catalog'!$C$55,((D162+E162)*C162)*'Assumptions and Catalog'!$H$55+'Assumptions and Catalog'!$E$55+'Assumptions and Catalog'!$F$55,IF(((D162+E162)*C162)&lt;='Assumptions and Catalog'!$C$56,((D162+E162)*C162)*'Assumptions and Catalog'!$H$56+'Assumptions and Catalog'!$E$56+'Assumptions and Catalog'!$F$56,IF(((D162+E162)*C162)&lt;='Assumptions and Catalog'!$C$57,((D162+E162)*C162)*'Assumptions and Catalog'!$H$57+'Assumptions and Catalog'!$E$57+'Assumptions and Catalog'!$F$57,"Out of range")))))))),IF(((D162+E162)*C162)&lt;='Assumptions and Catalog'!$C$60,((D162+E162)*C162)*'Assumptions and Catalog'!$H$60+'Assumptions and Catalog'!$E$60+'Assumptions and Catalog'!$F$60,IF(((D162+E162)*C162)&lt;='Assumptions and Catalog'!$C$61,((D162+E162)*C162)*'Assumptions and Catalog'!$H$61+'Assumptions and Catalog'!$E$61+'Assumptions and Catalog'!$F$61,IF(((D162+E162)*C162)&lt;='Assumptions and Catalog'!$C$62,((D162+E162)*C162)*'Assumptions and Catalog'!$H$62+'Assumptions and Catalog'!$E$62+'Assumptions and Catalog'!$F$62,IF(((D162+E162)*C162)&lt;='Assumptions and Catalog'!$C$63,((D162+E162)*C162)*'Assumptions and Catalog'!$H$63+'Assumptions and Catalog'!$E$63+'Assumptions and Catalog'!$F$63,IF(((D162+E162)*C162)&lt;='Assumptions and Catalog'!$C$64,((D162+E162)*C162)*'Assumptions and Catalog'!$H$64+'Assumptions and Catalog'!$E$64+'Assumptions and Catalog'!$F$64,IF(((D162+E162)*C162)&lt;='Assumptions and Catalog'!$C$65,((D162+E162)*C162)*'Assumptions and Catalog'!$H$65+'Assumptions and Catalog'!$E$65+'Assumptions and Catalog'!$F$65,"Out of range")))))))))*(1+'Assumptions and Catalog'!$C$8)^(A162-1),0)</f>
        <v>6412.072</v>
      </c>
      <c r="N162" s="5" t="n">
        <f>IF(ISNUMBER(Inputs!$L$5),(IF(Inputs!$L$9="Actual flat rate",L162*Inputs!$L$10,IF(Inputs!$C$9="Residential",IF(L162&lt;='Assumptions and Catalog'!$C$50,L162*'Assumptions and Catalog'!$H$50+'Assumptions and Catalog'!$E$50+'Assumptions and Catalog'!$F$50,IF(L162&lt;='Assumptions and Catalog'!$C$51,L162*'Assumptions and Catalog'!$H$51+'Assumptions and Catalog'!$E$51+'Assumptions and Catalog'!$F$51,IF(L162&lt;='Assumptions and Catalog'!$C$52,L162*'Assumptions and Catalog'!$H$52+'Assumptions and Catalog'!$E$52+'Assumptions and Catalog'!$F$52,IF(L162&lt;='Assumptions and Catalog'!$C$53,L162*'Assumptions and Catalog'!$H$53+'Assumptions and Catalog'!$E$53+'Assumptions and Catalog'!$F$53,IF(L162&lt;='Assumptions and Catalog'!$C$54,L162*'Assumptions and Catalog'!$H$54+'Assumptions and Catalog'!$E$54+'Assumptions and Catalog'!$F$54,IF(L162&lt;='Assumptions and Catalog'!$C$55,L162*'Assumptions and Catalog'!$H$55+'Assumptions and Catalog'!$E$55+'Assumptions and Catalog'!$F$55,IF(L162&lt;='Assumptions and Catalog'!$C$56,L162*'Assumptions and Catalog'!$H$56+'Assumptions and Catalog'!$E$56+'Assumptions and Catalog'!$F$56,IF(L162&lt;='Assumptions and Catalog'!$C$57,L162*'Assumptions and Catalog'!$H$57+'Assumptions and Catalog'!$E$57+'Assumptions and Catalog'!$F$57,"Out of range")))))))),IF(L162&lt;='Assumptions and Catalog'!$C$60,L162*'Assumptions and Catalog'!$H$60+'Assumptions and Catalog'!$E$60+'Assumptions and Catalog'!$F$60,IF(L162&lt;='Assumptions and Catalog'!$C$61,L162*'Assumptions and Catalog'!$H$61+'Assumptions and Catalog'!$E$61+'Assumptions and Catalog'!$F$61,IF(L162&lt;='Assumptions and Catalog'!$C$62,L162*'Assumptions and Catalog'!$H$62+'Assumptions and Catalog'!$E$62+'Assumptions and Catalog'!$F$62,IF(L162&lt;='Assumptions and Catalog'!$C$63,L162*'Assumptions and Catalog'!$H$63+'Assumptions and Catalog'!$E$63+'Assumptions and Catalog'!$F$63,IF(L162&lt;='Assumptions and Catalog'!$C$64,L162*'Assumptions and Catalog'!$H$64+'Assumptions and Catalog'!$E$64+'Assumptions and Catalog'!$F$64,IF(L162&lt;='Assumptions and Catalog'!$C$65,L162*'Assumptions and Catalog'!$H$65+'Assumptions and Catalog'!$E$65+'Assumptions and Catalog'!$F$65,"Out of range")))))))))*(1+'Assumptions and Catalog'!$C$8)^(A162-1),0)</f>
        <v>3226.036</v>
      </c>
      <c r="O162" s="5" t="n">
        <f>M162-N162</f>
        <v>3186.036</v>
      </c>
      <c r="P162" s="5" t="n">
        <f>C$55*(1-J$14)*(1-'Assumptions and Catalog'!$C$23)^R162</f>
        <v>0</v>
      </c>
      <c r="Q162" s="5" t="n">
        <f>IF(ISNUMBER(Inputs!$L$5),(IF(Inputs!$L$9="Actual flat rate",((D162+E162)*C162-G162)*Inputs!$L$10,IF(Inputs!$C$9="Residential",IF(((D162+E162)*C162-G162)&lt;='Assumptions and Catalog'!$C$50,((D162+E162)*C162-G162)*'Assumptions and Catalog'!$H$50+'Assumptions and Catalog'!$E$50+'Assumptions and Catalog'!$F$50,IF(((D162+E162)*C162-G162)&lt;='Assumptions and Catalog'!$C$51,((D162+E162)*C162-G162)*'Assumptions and Catalog'!$H$51+'Assumptions and Catalog'!$E$51+'Assumptions and Catalog'!$F$51,IF(((D162+E162)*C162-G162)&lt;='Assumptions and Catalog'!$C$52,((D162+E162)*C162-G162)*'Assumptions and Catalog'!$H$52+'Assumptions and Catalog'!$E$52+'Assumptions and Catalog'!$F$52,IF(((D162+E162)*C162-G162)&lt;='Assumptions and Catalog'!$C$53,((D162+E162)*C162-G162)*'Assumptions and Catalog'!$H$53+'Assumptions and Catalog'!$E$53+'Assumptions and Catalog'!$F$53,IF(((D162+E162)*C162-G162)&lt;='Assumptions and Catalog'!$C$54,((D162+E162)*C162-G162)*'Assumptions and Catalog'!$H$54+'Assumptions and Catalog'!$E$54+'Assumptions and Catalog'!$F$54,IF(((D162+E162)*C162-G162)&lt;='Assumptions and Catalog'!$C$55,((D162+E162)*C162-G162)*'Assumptions and Catalog'!$H$55+'Assumptions and Catalog'!$E$55+'Assumptions and Catalog'!$F$55,IF(((D162+E162)*C162-G162)&lt;='Assumptions and Catalog'!$C$56,((D162+E162)*C162-G162)*'Assumptions and Catalog'!$H$56+'Assumptions and Catalog'!$E$56+'Assumptions and Catalog'!$F$56,IF(((D162+E162)*C162-G162)&lt;='Assumptions and Catalog'!$C$57,((D162+E162)*C162-G162)*'Assumptions and Catalog'!$H$57+'Assumptions and Catalog'!$E$57+'Assumptions and Catalog'!$F$57,"Out of range")))))))),IF(((D162+E162)*C162-G162)&lt;='Assumptions and Catalog'!$C$60,((D162+E162)*C162-G162)*'Assumptions and Catalog'!$H$60+'Assumptions and Catalog'!$E$60+'Assumptions and Catalog'!$F$60,IF(((D162+E162)*C162-G162)&lt;='Assumptions and Catalog'!$C$61,((D162+E162)*C162-G162)*'Assumptions and Catalog'!$H$61+'Assumptions and Catalog'!$E$61+'Assumptions and Catalog'!$F$61,IF(((D162+E162)*C162-G162)&lt;='Assumptions and Catalog'!$C$62,((D162+E162)*C162-G162)*'Assumptions and Catalog'!$H$62+'Assumptions and Catalog'!$E$62+'Assumptions and Catalog'!$F$62,IF(((D162+E162)*C162-G162)&lt;='Assumptions and Catalog'!$C$63,((D162+E162)*C162-G162)*'Assumptions and Catalog'!$H$63+'Assumptions and Catalog'!$E$63+'Assumptions and Catalog'!$F$63,IF(((D162+E162)*C162-G162)&lt;='Assumptions and Catalog'!$C$64,((D162+E162)*C162-G162)*'Assumptions and Catalog'!$H$64+'Assumptions and Catalog'!$E$64+'Assumptions and Catalog'!$F$64,IF(((D162+E162)*C162-G162)&lt;='Assumptions and Catalog'!$C$65,((D162+E162)*C162-G162)*'Assumptions and Catalog'!$H$65+'Assumptions and Catalog'!$E$65+'Assumptions and Catalog'!$F$65,"Out of range")))))))))*(1+'Assumptions and Catalog'!$C$8)^(A162-1),0)</f>
        <v>3226.036</v>
      </c>
      <c r="R162" s="5" t="n">
        <f>IF(AND('Assumptions and Catalog'!$C$19&gt;0,A162&gt;='Assumptions and Catalog'!$C$19),A162-'Assumptions and Catalog'!$C$19,A162-1)</f>
        <v>0</v>
      </c>
      <c r="S162" s="5" t="n">
        <f>F162+L162-(D162+E162)*C162-J162-K162-0</f>
        <v>0</v>
      </c>
      <c r="T162" s="5"/>
      <c r="U162" s="5"/>
    </row>
    <row r="163" ht="23.100000381469727" customHeight="1">
      <c r="A163" s="5" t="n">
        <v>1</v>
      </c>
      <c r="B163" s="5" t="n">
        <v>3</v>
      </c>
      <c r="C163" s="5" t="n">
        <f>DAY(DATE('Assumptions and Catalog'!$C$24+A163-1,B163+1,0))</f>
        <v>31</v>
      </c>
      <c r="D163" s="5" t="n">
        <f>IF(ISNUMBER(Inputs!$L$5),Inputs!$L$5*Inputs!$L$6,0)</f>
        <v>40.35</v>
      </c>
      <c r="E163" s="5" t="n">
        <f>IF(ISNUMBER(Inputs!$L$5),Inputs!$L$5-D163,0)</f>
        <v>40.35</v>
      </c>
      <c r="F163" s="5" t="n">
        <f>C$51*INDEX('Solar Production'!$D$20:$D$31,B163)*C163*(1-'Assumptions and Catalog'!$C$10)^(A163-1)</f>
        <v>1417.328</v>
      </c>
      <c r="G163" s="5" t="n">
        <f>MIN(F163,D163*C163)</f>
        <v>1250.85</v>
      </c>
      <c r="H163" s="5" t="n">
        <f>I163/('Assumptions and Catalog'!$C$11*'Assumptions and Catalog'!$C$12)</f>
        <v>0</v>
      </c>
      <c r="I163" s="5" t="n">
        <f>0</f>
        <v>0</v>
      </c>
      <c r="J163" s="5" t="n">
        <f>MAX(F163-G163-H163,0)</f>
        <v>166.478</v>
      </c>
      <c r="K163" s="5" t="n">
        <f>H163-I163</f>
        <v>0</v>
      </c>
      <c r="L163" s="5" t="n">
        <f>(D163+E163)*C163-G163-I163+0+0</f>
        <v>1250.85</v>
      </c>
      <c r="M163" s="5" t="n">
        <f>IF(ISNUMBER(Inputs!$L$5),(IF(Inputs!$L$9="Actual flat rate",((D163+E163)*C163)*Inputs!$L$10,IF(Inputs!$C$9="Residential",IF(((D163+E163)*C163)&lt;='Assumptions and Catalog'!$C$50,((D163+E163)*C163)*'Assumptions and Catalog'!$H$50+'Assumptions and Catalog'!$E$50+'Assumptions and Catalog'!$F$50,IF(((D163+E163)*C163)&lt;='Assumptions and Catalog'!$C$51,((D163+E163)*C163)*'Assumptions and Catalog'!$H$51+'Assumptions and Catalog'!$E$51+'Assumptions and Catalog'!$F$51,IF(((D163+E163)*C163)&lt;='Assumptions and Catalog'!$C$52,((D163+E163)*C163)*'Assumptions and Catalog'!$H$52+'Assumptions and Catalog'!$E$52+'Assumptions and Catalog'!$F$52,IF(((D163+E163)*C163)&lt;='Assumptions and Catalog'!$C$53,((D163+E163)*C163)*'Assumptions and Catalog'!$H$53+'Assumptions and Catalog'!$E$53+'Assumptions and Catalog'!$F$53,IF(((D163+E163)*C163)&lt;='Assumptions and Catalog'!$C$54,((D163+E163)*C163)*'Assumptions and Catalog'!$H$54+'Assumptions and Catalog'!$E$54+'Assumptions and Catalog'!$F$54,IF(((D163+E163)*C163)&lt;='Assumptions and Catalog'!$C$55,((D163+E163)*C163)*'Assumptions and Catalog'!$H$55+'Assumptions and Catalog'!$E$55+'Assumptions and Catalog'!$F$55,IF(((D163+E163)*C163)&lt;='Assumptions and Catalog'!$C$56,((D163+E163)*C163)*'Assumptions and Catalog'!$H$56+'Assumptions and Catalog'!$E$56+'Assumptions and Catalog'!$F$56,IF(((D163+E163)*C163)&lt;='Assumptions and Catalog'!$C$57,((D163+E163)*C163)*'Assumptions and Catalog'!$H$57+'Assumptions and Catalog'!$E$57+'Assumptions and Catalog'!$F$57,"Out of range")))))))),IF(((D163+E163)*C163)&lt;='Assumptions and Catalog'!$C$60,((D163+E163)*C163)*'Assumptions and Catalog'!$H$60+'Assumptions and Catalog'!$E$60+'Assumptions and Catalog'!$F$60,IF(((D163+E163)*C163)&lt;='Assumptions and Catalog'!$C$61,((D163+E163)*C163)*'Assumptions and Catalog'!$H$61+'Assumptions and Catalog'!$E$61+'Assumptions and Catalog'!$F$61,IF(((D163+E163)*C163)&lt;='Assumptions and Catalog'!$C$62,((D163+E163)*C163)*'Assumptions and Catalog'!$H$62+'Assumptions and Catalog'!$E$62+'Assumptions and Catalog'!$F$62,IF(((D163+E163)*C163)&lt;='Assumptions and Catalog'!$C$63,((D163+E163)*C163)*'Assumptions and Catalog'!$H$63+'Assumptions and Catalog'!$E$63+'Assumptions and Catalog'!$F$63,IF(((D163+E163)*C163)&lt;='Assumptions and Catalog'!$C$64,((D163+E163)*C163)*'Assumptions and Catalog'!$H$64+'Assumptions and Catalog'!$E$64+'Assumptions and Catalog'!$F$64,IF(((D163+E163)*C163)&lt;='Assumptions and Catalog'!$C$65,((D163+E163)*C163)*'Assumptions and Catalog'!$H$65+'Assumptions and Catalog'!$E$65+'Assumptions and Catalog'!$F$65,"Out of range")))))))))*(1+'Assumptions and Catalog'!$C$8)^(A163-1),0)</f>
        <v>7094.794</v>
      </c>
      <c r="N163" s="5" t="n">
        <f>IF(ISNUMBER(Inputs!$L$5),(IF(Inputs!$L$9="Actual flat rate",L163*Inputs!$L$10,IF(Inputs!$C$9="Residential",IF(L163&lt;='Assumptions and Catalog'!$C$50,L163*'Assumptions and Catalog'!$H$50+'Assumptions and Catalog'!$E$50+'Assumptions and Catalog'!$F$50,IF(L163&lt;='Assumptions and Catalog'!$C$51,L163*'Assumptions and Catalog'!$H$51+'Assumptions and Catalog'!$E$51+'Assumptions and Catalog'!$F$51,IF(L163&lt;='Assumptions and Catalog'!$C$52,L163*'Assumptions and Catalog'!$H$52+'Assumptions and Catalog'!$E$52+'Assumptions and Catalog'!$F$52,IF(L163&lt;='Assumptions and Catalog'!$C$53,L163*'Assumptions and Catalog'!$H$53+'Assumptions and Catalog'!$E$53+'Assumptions and Catalog'!$F$53,IF(L163&lt;='Assumptions and Catalog'!$C$54,L163*'Assumptions and Catalog'!$H$54+'Assumptions and Catalog'!$E$54+'Assumptions and Catalog'!$F$54,IF(L163&lt;='Assumptions and Catalog'!$C$55,L163*'Assumptions and Catalog'!$H$55+'Assumptions and Catalog'!$E$55+'Assumptions and Catalog'!$F$55,IF(L163&lt;='Assumptions and Catalog'!$C$56,L163*'Assumptions and Catalog'!$H$56+'Assumptions and Catalog'!$E$56+'Assumptions and Catalog'!$F$56,IF(L163&lt;='Assumptions and Catalog'!$C$57,L163*'Assumptions and Catalog'!$H$57+'Assumptions and Catalog'!$E$57+'Assumptions and Catalog'!$F$57,"Out of range")))))))),IF(L163&lt;='Assumptions and Catalog'!$C$60,L163*'Assumptions and Catalog'!$H$60+'Assumptions and Catalog'!$E$60+'Assumptions and Catalog'!$F$60,IF(L163&lt;='Assumptions and Catalog'!$C$61,L163*'Assumptions and Catalog'!$H$61+'Assumptions and Catalog'!$E$61+'Assumptions and Catalog'!$F$61,IF(L163&lt;='Assumptions and Catalog'!$C$62,L163*'Assumptions and Catalog'!$H$62+'Assumptions and Catalog'!$E$62+'Assumptions and Catalog'!$F$62,IF(L163&lt;='Assumptions and Catalog'!$C$63,L163*'Assumptions and Catalog'!$H$63+'Assumptions and Catalog'!$E$63+'Assumptions and Catalog'!$F$63,IF(L163&lt;='Assumptions and Catalog'!$C$64,L163*'Assumptions and Catalog'!$H$64+'Assumptions and Catalog'!$E$64+'Assumptions and Catalog'!$F$64,IF(L163&lt;='Assumptions and Catalog'!$C$65,L163*'Assumptions and Catalog'!$H$65+'Assumptions and Catalog'!$E$65+'Assumptions and Catalog'!$F$65,"Out of range")))))))))*(1+'Assumptions and Catalog'!$C$8)^(A163-1),0)</f>
        <v>3567.397</v>
      </c>
      <c r="O163" s="5" t="n">
        <f>M163-N163</f>
        <v>3527.397</v>
      </c>
      <c r="P163" s="5" t="n">
        <f>C$55*(1-J$14)*(1-'Assumptions and Catalog'!$C$23)^R163</f>
        <v>0</v>
      </c>
      <c r="Q163" s="5" t="n">
        <f>IF(ISNUMBER(Inputs!$L$5),(IF(Inputs!$L$9="Actual flat rate",((D163+E163)*C163-G163)*Inputs!$L$10,IF(Inputs!$C$9="Residential",IF(((D163+E163)*C163-G163)&lt;='Assumptions and Catalog'!$C$50,((D163+E163)*C163-G163)*'Assumptions and Catalog'!$H$50+'Assumptions and Catalog'!$E$50+'Assumptions and Catalog'!$F$50,IF(((D163+E163)*C163-G163)&lt;='Assumptions and Catalog'!$C$51,((D163+E163)*C163-G163)*'Assumptions and Catalog'!$H$51+'Assumptions and Catalog'!$E$51+'Assumptions and Catalog'!$F$51,IF(((D163+E163)*C163-G163)&lt;='Assumptions and Catalog'!$C$52,((D163+E163)*C163-G163)*'Assumptions and Catalog'!$H$52+'Assumptions and Catalog'!$E$52+'Assumptions and Catalog'!$F$52,IF(((D163+E163)*C163-G163)&lt;='Assumptions and Catalog'!$C$53,((D163+E163)*C163-G163)*'Assumptions and Catalog'!$H$53+'Assumptions and Catalog'!$E$53+'Assumptions and Catalog'!$F$53,IF(((D163+E163)*C163-G163)&lt;='Assumptions and Catalog'!$C$54,((D163+E163)*C163-G163)*'Assumptions and Catalog'!$H$54+'Assumptions and Catalog'!$E$54+'Assumptions and Catalog'!$F$54,IF(((D163+E163)*C163-G163)&lt;='Assumptions and Catalog'!$C$55,((D163+E163)*C163-G163)*'Assumptions and Catalog'!$H$55+'Assumptions and Catalog'!$E$55+'Assumptions and Catalog'!$F$55,IF(((D163+E163)*C163-G163)&lt;='Assumptions and Catalog'!$C$56,((D163+E163)*C163-G163)*'Assumptions and Catalog'!$H$56+'Assumptions and Catalog'!$E$56+'Assumptions and Catalog'!$F$56,IF(((D163+E163)*C163-G163)&lt;='Assumptions and Catalog'!$C$57,((D163+E163)*C163-G163)*'Assumptions and Catalog'!$H$57+'Assumptions and Catalog'!$E$57+'Assumptions and Catalog'!$F$57,"Out of range")))))))),IF(((D163+E163)*C163-G163)&lt;='Assumptions and Catalog'!$C$60,((D163+E163)*C163-G163)*'Assumptions and Catalog'!$H$60+'Assumptions and Catalog'!$E$60+'Assumptions and Catalog'!$F$60,IF(((D163+E163)*C163-G163)&lt;='Assumptions and Catalog'!$C$61,((D163+E163)*C163-G163)*'Assumptions and Catalog'!$H$61+'Assumptions and Catalog'!$E$61+'Assumptions and Catalog'!$F$61,IF(((D163+E163)*C163-G163)&lt;='Assumptions and Catalog'!$C$62,((D163+E163)*C163-G163)*'Assumptions and Catalog'!$H$62+'Assumptions and Catalog'!$E$62+'Assumptions and Catalog'!$F$62,IF(((D163+E163)*C163-G163)&lt;='Assumptions and Catalog'!$C$63,((D163+E163)*C163-G163)*'Assumptions and Catalog'!$H$63+'Assumptions and Catalog'!$E$63+'Assumptions and Catalog'!$F$63,IF(((D163+E163)*C163-G163)&lt;='Assumptions and Catalog'!$C$64,((D163+E163)*C163-G163)*'Assumptions and Catalog'!$H$64+'Assumptions and Catalog'!$E$64+'Assumptions and Catalog'!$F$64,IF(((D163+E163)*C163-G163)&lt;='Assumptions and Catalog'!$C$65,((D163+E163)*C163-G163)*'Assumptions and Catalog'!$H$65+'Assumptions and Catalog'!$E$65+'Assumptions and Catalog'!$F$65,"Out of range")))))))))*(1+'Assumptions and Catalog'!$C$8)^(A163-1),0)</f>
        <v>3567.397</v>
      </c>
      <c r="R163" s="5" t="n">
        <f>IF(AND('Assumptions and Catalog'!$C$19&gt;0,A163&gt;='Assumptions and Catalog'!$C$19),A163-'Assumptions and Catalog'!$C$19,A163-1)</f>
        <v>0</v>
      </c>
      <c r="S163" s="5" t="n">
        <f>F163+L163-(D163+E163)*C163-J163-K163-0</f>
        <v>0</v>
      </c>
      <c r="T163" s="5"/>
      <c r="U163" s="5"/>
    </row>
    <row r="164" ht="23.100000381469727" customHeight="1">
      <c r="A164" s="5" t="n">
        <v>1</v>
      </c>
      <c r="B164" s="5" t="n">
        <v>4</v>
      </c>
      <c r="C164" s="5" t="n">
        <f>DAY(DATE('Assumptions and Catalog'!$C$24+A164-1,B164+1,0))</f>
        <v>30</v>
      </c>
      <c r="D164" s="5" t="n">
        <f>IF(ISNUMBER(Inputs!$L$5),Inputs!$L$5*Inputs!$L$6,0)</f>
        <v>40.35</v>
      </c>
      <c r="E164" s="5" t="n">
        <f>IF(ISNUMBER(Inputs!$L$5),Inputs!$L$5-D164,0)</f>
        <v>40.35</v>
      </c>
      <c r="F164" s="5" t="n">
        <f>C$51*INDEX('Solar Production'!$D$20:$D$31,B164)*C164*(1-'Assumptions and Catalog'!$C$10)^(A164-1)</f>
        <v>1415.568</v>
      </c>
      <c r="G164" s="5" t="n">
        <f>MIN(F164,D164*C164)</f>
        <v>1210.5</v>
      </c>
      <c r="H164" s="5" t="n">
        <f>I164/('Assumptions and Catalog'!$C$11*'Assumptions and Catalog'!$C$12)</f>
        <v>0</v>
      </c>
      <c r="I164" s="5" t="n">
        <f>0</f>
        <v>0</v>
      </c>
      <c r="J164" s="5" t="n">
        <f>MAX(F164-G164-H164,0)</f>
        <v>205.068</v>
      </c>
      <c r="K164" s="5" t="n">
        <f>H164-I164</f>
        <v>0</v>
      </c>
      <c r="L164" s="5" t="n">
        <f>(D164+E164)*C164-G164-I164+0+0</f>
        <v>1210.5</v>
      </c>
      <c r="M164" s="5" t="n">
        <f>IF(ISNUMBER(Inputs!$L$5),(IF(Inputs!$L$9="Actual flat rate",((D164+E164)*C164)*Inputs!$L$10,IF(Inputs!$C$9="Residential",IF(((D164+E164)*C164)&lt;='Assumptions and Catalog'!$C$50,((D164+E164)*C164)*'Assumptions and Catalog'!$H$50+'Assumptions and Catalog'!$E$50+'Assumptions and Catalog'!$F$50,IF(((D164+E164)*C164)&lt;='Assumptions and Catalog'!$C$51,((D164+E164)*C164)*'Assumptions and Catalog'!$H$51+'Assumptions and Catalog'!$E$51+'Assumptions and Catalog'!$F$51,IF(((D164+E164)*C164)&lt;='Assumptions and Catalog'!$C$52,((D164+E164)*C164)*'Assumptions and Catalog'!$H$52+'Assumptions and Catalog'!$E$52+'Assumptions and Catalog'!$F$52,IF(((D164+E164)*C164)&lt;='Assumptions and Catalog'!$C$53,((D164+E164)*C164)*'Assumptions and Catalog'!$H$53+'Assumptions and Catalog'!$E$53+'Assumptions and Catalog'!$F$53,IF(((D164+E164)*C164)&lt;='Assumptions and Catalog'!$C$54,((D164+E164)*C164)*'Assumptions and Catalog'!$H$54+'Assumptions and Catalog'!$E$54+'Assumptions and Catalog'!$F$54,IF(((D164+E164)*C164)&lt;='Assumptions and Catalog'!$C$55,((D164+E164)*C164)*'Assumptions and Catalog'!$H$55+'Assumptions and Catalog'!$E$55+'Assumptions and Catalog'!$F$55,IF(((D164+E164)*C164)&lt;='Assumptions and Catalog'!$C$56,((D164+E164)*C164)*'Assumptions and Catalog'!$H$56+'Assumptions and Catalog'!$E$56+'Assumptions and Catalog'!$F$56,IF(((D164+E164)*C164)&lt;='Assumptions and Catalog'!$C$57,((D164+E164)*C164)*'Assumptions and Catalog'!$H$57+'Assumptions and Catalog'!$E$57+'Assumptions and Catalog'!$F$57,"Out of range")))))))),IF(((D164+E164)*C164)&lt;='Assumptions and Catalog'!$C$60,((D164+E164)*C164)*'Assumptions and Catalog'!$H$60+'Assumptions and Catalog'!$E$60+'Assumptions and Catalog'!$F$60,IF(((D164+E164)*C164)&lt;='Assumptions and Catalog'!$C$61,((D164+E164)*C164)*'Assumptions and Catalog'!$H$61+'Assumptions and Catalog'!$E$61+'Assumptions and Catalog'!$F$61,IF(((D164+E164)*C164)&lt;='Assumptions and Catalog'!$C$62,((D164+E164)*C164)*'Assumptions and Catalog'!$H$62+'Assumptions and Catalog'!$E$62+'Assumptions and Catalog'!$F$62,IF(((D164+E164)*C164)&lt;='Assumptions and Catalog'!$C$63,((D164+E164)*C164)*'Assumptions and Catalog'!$H$63+'Assumptions and Catalog'!$E$63+'Assumptions and Catalog'!$F$63,IF(((D164+E164)*C164)&lt;='Assumptions and Catalog'!$C$64,((D164+E164)*C164)*'Assumptions and Catalog'!$H$64+'Assumptions and Catalog'!$E$64+'Assumptions and Catalog'!$F$64,IF(((D164+E164)*C164)&lt;='Assumptions and Catalog'!$C$65,((D164+E164)*C164)*'Assumptions and Catalog'!$H$65+'Assumptions and Catalog'!$E$65+'Assumptions and Catalog'!$F$65,"Out of range")))))))))*(1+'Assumptions and Catalog'!$C$8)^(A164-1),0)</f>
        <v>6867.22</v>
      </c>
      <c r="N164" s="5" t="n">
        <f>IF(ISNUMBER(Inputs!$L$5),(IF(Inputs!$L$9="Actual flat rate",L164*Inputs!$L$10,IF(Inputs!$C$9="Residential",IF(L164&lt;='Assumptions and Catalog'!$C$50,L164*'Assumptions and Catalog'!$H$50+'Assumptions and Catalog'!$E$50+'Assumptions and Catalog'!$F$50,IF(L164&lt;='Assumptions and Catalog'!$C$51,L164*'Assumptions and Catalog'!$H$51+'Assumptions and Catalog'!$E$51+'Assumptions and Catalog'!$F$51,IF(L164&lt;='Assumptions and Catalog'!$C$52,L164*'Assumptions and Catalog'!$H$52+'Assumptions and Catalog'!$E$52+'Assumptions and Catalog'!$F$52,IF(L164&lt;='Assumptions and Catalog'!$C$53,L164*'Assumptions and Catalog'!$H$53+'Assumptions and Catalog'!$E$53+'Assumptions and Catalog'!$F$53,IF(L164&lt;='Assumptions and Catalog'!$C$54,L164*'Assumptions and Catalog'!$H$54+'Assumptions and Catalog'!$E$54+'Assumptions and Catalog'!$F$54,IF(L164&lt;='Assumptions and Catalog'!$C$55,L164*'Assumptions and Catalog'!$H$55+'Assumptions and Catalog'!$E$55+'Assumptions and Catalog'!$F$55,IF(L164&lt;='Assumptions and Catalog'!$C$56,L164*'Assumptions and Catalog'!$H$56+'Assumptions and Catalog'!$E$56+'Assumptions and Catalog'!$F$56,IF(L164&lt;='Assumptions and Catalog'!$C$57,L164*'Assumptions and Catalog'!$H$57+'Assumptions and Catalog'!$E$57+'Assumptions and Catalog'!$F$57,"Out of range")))))))),IF(L164&lt;='Assumptions and Catalog'!$C$60,L164*'Assumptions and Catalog'!$H$60+'Assumptions and Catalog'!$E$60+'Assumptions and Catalog'!$F$60,IF(L164&lt;='Assumptions and Catalog'!$C$61,L164*'Assumptions and Catalog'!$H$61+'Assumptions and Catalog'!$E$61+'Assumptions and Catalog'!$F$61,IF(L164&lt;='Assumptions and Catalog'!$C$62,L164*'Assumptions and Catalog'!$H$62+'Assumptions and Catalog'!$E$62+'Assumptions and Catalog'!$F$62,IF(L164&lt;='Assumptions and Catalog'!$C$63,L164*'Assumptions and Catalog'!$H$63+'Assumptions and Catalog'!$E$63+'Assumptions and Catalog'!$F$63,IF(L164&lt;='Assumptions and Catalog'!$C$64,L164*'Assumptions and Catalog'!$H$64+'Assumptions and Catalog'!$E$64+'Assumptions and Catalog'!$F$64,IF(L164&lt;='Assumptions and Catalog'!$C$65,L164*'Assumptions and Catalog'!$H$65+'Assumptions and Catalog'!$E$65+'Assumptions and Catalog'!$F$65,"Out of range")))))))))*(1+'Assumptions and Catalog'!$C$8)^(A164-1),0)</f>
        <v>3453.61</v>
      </c>
      <c r="O164" s="5" t="n">
        <f>M164-N164</f>
        <v>3413.61</v>
      </c>
      <c r="P164" s="5" t="n">
        <f>C$55*(1-J$14)*(1-'Assumptions and Catalog'!$C$23)^R164</f>
        <v>0</v>
      </c>
      <c r="Q164" s="5" t="n">
        <f>IF(ISNUMBER(Inputs!$L$5),(IF(Inputs!$L$9="Actual flat rate",((D164+E164)*C164-G164)*Inputs!$L$10,IF(Inputs!$C$9="Residential",IF(((D164+E164)*C164-G164)&lt;='Assumptions and Catalog'!$C$50,((D164+E164)*C164-G164)*'Assumptions and Catalog'!$H$50+'Assumptions and Catalog'!$E$50+'Assumptions and Catalog'!$F$50,IF(((D164+E164)*C164-G164)&lt;='Assumptions and Catalog'!$C$51,((D164+E164)*C164-G164)*'Assumptions and Catalog'!$H$51+'Assumptions and Catalog'!$E$51+'Assumptions and Catalog'!$F$51,IF(((D164+E164)*C164-G164)&lt;='Assumptions and Catalog'!$C$52,((D164+E164)*C164-G164)*'Assumptions and Catalog'!$H$52+'Assumptions and Catalog'!$E$52+'Assumptions and Catalog'!$F$52,IF(((D164+E164)*C164-G164)&lt;='Assumptions and Catalog'!$C$53,((D164+E164)*C164-G164)*'Assumptions and Catalog'!$H$53+'Assumptions and Catalog'!$E$53+'Assumptions and Catalog'!$F$53,IF(((D164+E164)*C164-G164)&lt;='Assumptions and Catalog'!$C$54,((D164+E164)*C164-G164)*'Assumptions and Catalog'!$H$54+'Assumptions and Catalog'!$E$54+'Assumptions and Catalog'!$F$54,IF(((D164+E164)*C164-G164)&lt;='Assumptions and Catalog'!$C$55,((D164+E164)*C164-G164)*'Assumptions and Catalog'!$H$55+'Assumptions and Catalog'!$E$55+'Assumptions and Catalog'!$F$55,IF(((D164+E164)*C164-G164)&lt;='Assumptions and Catalog'!$C$56,((D164+E164)*C164-G164)*'Assumptions and Catalog'!$H$56+'Assumptions and Catalog'!$E$56+'Assumptions and Catalog'!$F$56,IF(((D164+E164)*C164-G164)&lt;='Assumptions and Catalog'!$C$57,((D164+E164)*C164-G164)*'Assumptions and Catalog'!$H$57+'Assumptions and Catalog'!$E$57+'Assumptions and Catalog'!$F$57,"Out of range")))))))),IF(((D164+E164)*C164-G164)&lt;='Assumptions and Catalog'!$C$60,((D164+E164)*C164-G164)*'Assumptions and Catalog'!$H$60+'Assumptions and Catalog'!$E$60+'Assumptions and Catalog'!$F$60,IF(((D164+E164)*C164-G164)&lt;='Assumptions and Catalog'!$C$61,((D164+E164)*C164-G164)*'Assumptions and Catalog'!$H$61+'Assumptions and Catalog'!$E$61+'Assumptions and Catalog'!$F$61,IF(((D164+E164)*C164-G164)&lt;='Assumptions and Catalog'!$C$62,((D164+E164)*C164-G164)*'Assumptions and Catalog'!$H$62+'Assumptions and Catalog'!$E$62+'Assumptions and Catalog'!$F$62,IF(((D164+E164)*C164-G164)&lt;='Assumptions and Catalog'!$C$63,((D164+E164)*C164-G164)*'Assumptions and Catalog'!$H$63+'Assumptions and Catalog'!$E$63+'Assumptions and Catalog'!$F$63,IF(((D164+E164)*C164-G164)&lt;='Assumptions and Catalog'!$C$64,((D164+E164)*C164-G164)*'Assumptions and Catalog'!$H$64+'Assumptions and Catalog'!$E$64+'Assumptions and Catalog'!$F$64,IF(((D164+E164)*C164-G164)&lt;='Assumptions and Catalog'!$C$65,((D164+E164)*C164-G164)*'Assumptions and Catalog'!$H$65+'Assumptions and Catalog'!$E$65+'Assumptions and Catalog'!$F$65,"Out of range")))))))))*(1+'Assumptions and Catalog'!$C$8)^(A164-1),0)</f>
        <v>3453.61</v>
      </c>
      <c r="R164" s="5" t="n">
        <f>IF(AND('Assumptions and Catalog'!$C$19&gt;0,A164&gt;='Assumptions and Catalog'!$C$19),A164-'Assumptions and Catalog'!$C$19,A164-1)</f>
        <v>0</v>
      </c>
      <c r="S164" s="5" t="n">
        <f>F164+L164-(D164+E164)*C164-J164-K164-0</f>
        <v>0</v>
      </c>
      <c r="T164" s="5"/>
      <c r="U164" s="5"/>
    </row>
    <row r="165" ht="23.100000381469727" customHeight="1">
      <c r="A165" s="5" t="n">
        <v>1</v>
      </c>
      <c r="B165" s="5" t="n">
        <v>5</v>
      </c>
      <c r="C165" s="5" t="n">
        <f>DAY(DATE('Assumptions and Catalog'!$C$24+A165-1,B165+1,0))</f>
        <v>31</v>
      </c>
      <c r="D165" s="5" t="n">
        <f>IF(ISNUMBER(Inputs!$L$5),Inputs!$L$5*Inputs!$L$6,0)</f>
        <v>40.35</v>
      </c>
      <c r="E165" s="5" t="n">
        <f>IF(ISNUMBER(Inputs!$L$5),Inputs!$L$5-D165,0)</f>
        <v>40.35</v>
      </c>
      <c r="F165" s="5" t="n">
        <f>C$51*INDEX('Solar Production'!$D$20:$D$31,B165)*C165*(1-'Assumptions and Catalog'!$C$10)^(A165-1)</f>
        <v>1431.936</v>
      </c>
      <c r="G165" s="5" t="n">
        <f>MIN(F165,D165*C165)</f>
        <v>1250.85</v>
      </c>
      <c r="H165" s="5" t="n">
        <f>I165/('Assumptions and Catalog'!$C$11*'Assumptions and Catalog'!$C$12)</f>
        <v>0</v>
      </c>
      <c r="I165" s="5" t="n">
        <f>0</f>
        <v>0</v>
      </c>
      <c r="J165" s="5" t="n">
        <f>MAX(F165-G165-H165,0)</f>
        <v>181.086</v>
      </c>
      <c r="K165" s="5" t="n">
        <f>H165-I165</f>
        <v>0</v>
      </c>
      <c r="L165" s="5" t="n">
        <f>(D165+E165)*C165-G165-I165+0+0</f>
        <v>1250.85</v>
      </c>
      <c r="M165" s="5" t="n">
        <f>IF(ISNUMBER(Inputs!$L$5),(IF(Inputs!$L$9="Actual flat rate",((D165+E165)*C165)*Inputs!$L$10,IF(Inputs!$C$9="Residential",IF(((D165+E165)*C165)&lt;='Assumptions and Catalog'!$C$50,((D165+E165)*C165)*'Assumptions and Catalog'!$H$50+'Assumptions and Catalog'!$E$50+'Assumptions and Catalog'!$F$50,IF(((D165+E165)*C165)&lt;='Assumptions and Catalog'!$C$51,((D165+E165)*C165)*'Assumptions and Catalog'!$H$51+'Assumptions and Catalog'!$E$51+'Assumptions and Catalog'!$F$51,IF(((D165+E165)*C165)&lt;='Assumptions and Catalog'!$C$52,((D165+E165)*C165)*'Assumptions and Catalog'!$H$52+'Assumptions and Catalog'!$E$52+'Assumptions and Catalog'!$F$52,IF(((D165+E165)*C165)&lt;='Assumptions and Catalog'!$C$53,((D165+E165)*C165)*'Assumptions and Catalog'!$H$53+'Assumptions and Catalog'!$E$53+'Assumptions and Catalog'!$F$53,IF(((D165+E165)*C165)&lt;='Assumptions and Catalog'!$C$54,((D165+E165)*C165)*'Assumptions and Catalog'!$H$54+'Assumptions and Catalog'!$E$54+'Assumptions and Catalog'!$F$54,IF(((D165+E165)*C165)&lt;='Assumptions and Catalog'!$C$55,((D165+E165)*C165)*'Assumptions and Catalog'!$H$55+'Assumptions and Catalog'!$E$55+'Assumptions and Catalog'!$F$55,IF(((D165+E165)*C165)&lt;='Assumptions and Catalog'!$C$56,((D165+E165)*C165)*'Assumptions and Catalog'!$H$56+'Assumptions and Catalog'!$E$56+'Assumptions and Catalog'!$F$56,IF(((D165+E165)*C165)&lt;='Assumptions and Catalog'!$C$57,((D165+E165)*C165)*'Assumptions and Catalog'!$H$57+'Assumptions and Catalog'!$E$57+'Assumptions and Catalog'!$F$57,"Out of range")))))))),IF(((D165+E165)*C165)&lt;='Assumptions and Catalog'!$C$60,((D165+E165)*C165)*'Assumptions and Catalog'!$H$60+'Assumptions and Catalog'!$E$60+'Assumptions and Catalog'!$F$60,IF(((D165+E165)*C165)&lt;='Assumptions and Catalog'!$C$61,((D165+E165)*C165)*'Assumptions and Catalog'!$H$61+'Assumptions and Catalog'!$E$61+'Assumptions and Catalog'!$F$61,IF(((D165+E165)*C165)&lt;='Assumptions and Catalog'!$C$62,((D165+E165)*C165)*'Assumptions and Catalog'!$H$62+'Assumptions and Catalog'!$E$62+'Assumptions and Catalog'!$F$62,IF(((D165+E165)*C165)&lt;='Assumptions and Catalog'!$C$63,((D165+E165)*C165)*'Assumptions and Catalog'!$H$63+'Assumptions and Catalog'!$E$63+'Assumptions and Catalog'!$F$63,IF(((D165+E165)*C165)&lt;='Assumptions and Catalog'!$C$64,((D165+E165)*C165)*'Assumptions and Catalog'!$H$64+'Assumptions and Catalog'!$E$64+'Assumptions and Catalog'!$F$64,IF(((D165+E165)*C165)&lt;='Assumptions and Catalog'!$C$65,((D165+E165)*C165)*'Assumptions and Catalog'!$H$65+'Assumptions and Catalog'!$E$65+'Assumptions and Catalog'!$F$65,"Out of range")))))))))*(1+'Assumptions and Catalog'!$C$8)^(A165-1),0)</f>
        <v>7094.794</v>
      </c>
      <c r="N165" s="5" t="n">
        <f>IF(ISNUMBER(Inputs!$L$5),(IF(Inputs!$L$9="Actual flat rate",L165*Inputs!$L$10,IF(Inputs!$C$9="Residential",IF(L165&lt;='Assumptions and Catalog'!$C$50,L165*'Assumptions and Catalog'!$H$50+'Assumptions and Catalog'!$E$50+'Assumptions and Catalog'!$F$50,IF(L165&lt;='Assumptions and Catalog'!$C$51,L165*'Assumptions and Catalog'!$H$51+'Assumptions and Catalog'!$E$51+'Assumptions and Catalog'!$F$51,IF(L165&lt;='Assumptions and Catalog'!$C$52,L165*'Assumptions and Catalog'!$H$52+'Assumptions and Catalog'!$E$52+'Assumptions and Catalog'!$F$52,IF(L165&lt;='Assumptions and Catalog'!$C$53,L165*'Assumptions and Catalog'!$H$53+'Assumptions and Catalog'!$E$53+'Assumptions and Catalog'!$F$53,IF(L165&lt;='Assumptions and Catalog'!$C$54,L165*'Assumptions and Catalog'!$H$54+'Assumptions and Catalog'!$E$54+'Assumptions and Catalog'!$F$54,IF(L165&lt;='Assumptions and Catalog'!$C$55,L165*'Assumptions and Catalog'!$H$55+'Assumptions and Catalog'!$E$55+'Assumptions and Catalog'!$F$55,IF(L165&lt;='Assumptions and Catalog'!$C$56,L165*'Assumptions and Catalog'!$H$56+'Assumptions and Catalog'!$E$56+'Assumptions and Catalog'!$F$56,IF(L165&lt;='Assumptions and Catalog'!$C$57,L165*'Assumptions and Catalog'!$H$57+'Assumptions and Catalog'!$E$57+'Assumptions and Catalog'!$F$57,"Out of range")))))))),IF(L165&lt;='Assumptions and Catalog'!$C$60,L165*'Assumptions and Catalog'!$H$60+'Assumptions and Catalog'!$E$60+'Assumptions and Catalog'!$F$60,IF(L165&lt;='Assumptions and Catalog'!$C$61,L165*'Assumptions and Catalog'!$H$61+'Assumptions and Catalog'!$E$61+'Assumptions and Catalog'!$F$61,IF(L165&lt;='Assumptions and Catalog'!$C$62,L165*'Assumptions and Catalog'!$H$62+'Assumptions and Catalog'!$E$62+'Assumptions and Catalog'!$F$62,IF(L165&lt;='Assumptions and Catalog'!$C$63,L165*'Assumptions and Catalog'!$H$63+'Assumptions and Catalog'!$E$63+'Assumptions and Catalog'!$F$63,IF(L165&lt;='Assumptions and Catalog'!$C$64,L165*'Assumptions and Catalog'!$H$64+'Assumptions and Catalog'!$E$64+'Assumptions and Catalog'!$F$64,IF(L165&lt;='Assumptions and Catalog'!$C$65,L165*'Assumptions and Catalog'!$H$65+'Assumptions and Catalog'!$E$65+'Assumptions and Catalog'!$F$65,"Out of range")))))))))*(1+'Assumptions and Catalog'!$C$8)^(A165-1),0)</f>
        <v>3567.397</v>
      </c>
      <c r="O165" s="5" t="n">
        <f>M165-N165</f>
        <v>3527.397</v>
      </c>
      <c r="P165" s="5" t="n">
        <f>C$55*(1-J$14)*(1-'Assumptions and Catalog'!$C$23)^R165</f>
        <v>0</v>
      </c>
      <c r="Q165" s="5" t="n">
        <f>IF(ISNUMBER(Inputs!$L$5),(IF(Inputs!$L$9="Actual flat rate",((D165+E165)*C165-G165)*Inputs!$L$10,IF(Inputs!$C$9="Residential",IF(((D165+E165)*C165-G165)&lt;='Assumptions and Catalog'!$C$50,((D165+E165)*C165-G165)*'Assumptions and Catalog'!$H$50+'Assumptions and Catalog'!$E$50+'Assumptions and Catalog'!$F$50,IF(((D165+E165)*C165-G165)&lt;='Assumptions and Catalog'!$C$51,((D165+E165)*C165-G165)*'Assumptions and Catalog'!$H$51+'Assumptions and Catalog'!$E$51+'Assumptions and Catalog'!$F$51,IF(((D165+E165)*C165-G165)&lt;='Assumptions and Catalog'!$C$52,((D165+E165)*C165-G165)*'Assumptions and Catalog'!$H$52+'Assumptions and Catalog'!$E$52+'Assumptions and Catalog'!$F$52,IF(((D165+E165)*C165-G165)&lt;='Assumptions and Catalog'!$C$53,((D165+E165)*C165-G165)*'Assumptions and Catalog'!$H$53+'Assumptions and Catalog'!$E$53+'Assumptions and Catalog'!$F$53,IF(((D165+E165)*C165-G165)&lt;='Assumptions and Catalog'!$C$54,((D165+E165)*C165-G165)*'Assumptions and Catalog'!$H$54+'Assumptions and Catalog'!$E$54+'Assumptions and Catalog'!$F$54,IF(((D165+E165)*C165-G165)&lt;='Assumptions and Catalog'!$C$55,((D165+E165)*C165-G165)*'Assumptions and Catalog'!$H$55+'Assumptions and Catalog'!$E$55+'Assumptions and Catalog'!$F$55,IF(((D165+E165)*C165-G165)&lt;='Assumptions and Catalog'!$C$56,((D165+E165)*C165-G165)*'Assumptions and Catalog'!$H$56+'Assumptions and Catalog'!$E$56+'Assumptions and Catalog'!$F$56,IF(((D165+E165)*C165-G165)&lt;='Assumptions and Catalog'!$C$57,((D165+E165)*C165-G165)*'Assumptions and Catalog'!$H$57+'Assumptions and Catalog'!$E$57+'Assumptions and Catalog'!$F$57,"Out of range")))))))),IF(((D165+E165)*C165-G165)&lt;='Assumptions and Catalog'!$C$60,((D165+E165)*C165-G165)*'Assumptions and Catalog'!$H$60+'Assumptions and Catalog'!$E$60+'Assumptions and Catalog'!$F$60,IF(((D165+E165)*C165-G165)&lt;='Assumptions and Catalog'!$C$61,((D165+E165)*C165-G165)*'Assumptions and Catalog'!$H$61+'Assumptions and Catalog'!$E$61+'Assumptions and Catalog'!$F$61,IF(((D165+E165)*C165-G165)&lt;='Assumptions and Catalog'!$C$62,((D165+E165)*C165-G165)*'Assumptions and Catalog'!$H$62+'Assumptions and Catalog'!$E$62+'Assumptions and Catalog'!$F$62,IF(((D165+E165)*C165-G165)&lt;='Assumptions and Catalog'!$C$63,((D165+E165)*C165-G165)*'Assumptions and Catalog'!$H$63+'Assumptions and Catalog'!$E$63+'Assumptions and Catalog'!$F$63,IF(((D165+E165)*C165-G165)&lt;='Assumptions and Catalog'!$C$64,((D165+E165)*C165-G165)*'Assumptions and Catalog'!$H$64+'Assumptions and Catalog'!$E$64+'Assumptions and Catalog'!$F$64,IF(((D165+E165)*C165-G165)&lt;='Assumptions and Catalog'!$C$65,((D165+E165)*C165-G165)*'Assumptions and Catalog'!$H$65+'Assumptions and Catalog'!$E$65+'Assumptions and Catalog'!$F$65,"Out of range")))))))))*(1+'Assumptions and Catalog'!$C$8)^(A165-1),0)</f>
        <v>3567.397</v>
      </c>
      <c r="R165" s="5" t="n">
        <f>IF(AND('Assumptions and Catalog'!$C$19&gt;0,A165&gt;='Assumptions and Catalog'!$C$19),A165-'Assumptions and Catalog'!$C$19,A165-1)</f>
        <v>0</v>
      </c>
      <c r="S165" s="5" t="n">
        <f>F165+L165-(D165+E165)*C165-J165-K165-0</f>
        <v>0</v>
      </c>
      <c r="T165" s="5"/>
      <c r="U165" s="5"/>
    </row>
    <row r="166" ht="23.100000381469727" customHeight="1">
      <c r="A166" s="5" t="n">
        <v>1</v>
      </c>
      <c r="B166" s="5" t="n">
        <v>6</v>
      </c>
      <c r="C166" s="5" t="n">
        <f>DAY(DATE('Assumptions and Catalog'!$C$24+A166-1,B166+1,0))</f>
        <v>30</v>
      </c>
      <c r="D166" s="5" t="n">
        <f>IF(ISNUMBER(Inputs!$L$5),Inputs!$L$5*Inputs!$L$6,0)</f>
        <v>40.35</v>
      </c>
      <c r="E166" s="5" t="n">
        <f>IF(ISNUMBER(Inputs!$L$5),Inputs!$L$5-D166,0)</f>
        <v>40.35</v>
      </c>
      <c r="F166" s="5" t="n">
        <f>C$51*INDEX('Solar Production'!$D$20:$D$31,B166)*C166*(1-'Assumptions and Catalog'!$C$10)^(A166-1)</f>
        <v>1395.856</v>
      </c>
      <c r="G166" s="5" t="n">
        <f>MIN(F166,D166*C166)</f>
        <v>1210.5</v>
      </c>
      <c r="H166" s="5" t="n">
        <f>I166/('Assumptions and Catalog'!$C$11*'Assumptions and Catalog'!$C$12)</f>
        <v>0</v>
      </c>
      <c r="I166" s="5" t="n">
        <f>0</f>
        <v>0</v>
      </c>
      <c r="J166" s="5" t="n">
        <f>MAX(F166-G166-H166,0)</f>
        <v>185.356</v>
      </c>
      <c r="K166" s="5" t="n">
        <f>H166-I166</f>
        <v>0</v>
      </c>
      <c r="L166" s="5" t="n">
        <f>(D166+E166)*C166-G166-I166+0+0</f>
        <v>1210.5</v>
      </c>
      <c r="M166" s="5" t="n">
        <f>IF(ISNUMBER(Inputs!$L$5),(IF(Inputs!$L$9="Actual flat rate",((D166+E166)*C166)*Inputs!$L$10,IF(Inputs!$C$9="Residential",IF(((D166+E166)*C166)&lt;='Assumptions and Catalog'!$C$50,((D166+E166)*C166)*'Assumptions and Catalog'!$H$50+'Assumptions and Catalog'!$E$50+'Assumptions and Catalog'!$F$50,IF(((D166+E166)*C166)&lt;='Assumptions and Catalog'!$C$51,((D166+E166)*C166)*'Assumptions and Catalog'!$H$51+'Assumptions and Catalog'!$E$51+'Assumptions and Catalog'!$F$51,IF(((D166+E166)*C166)&lt;='Assumptions and Catalog'!$C$52,((D166+E166)*C166)*'Assumptions and Catalog'!$H$52+'Assumptions and Catalog'!$E$52+'Assumptions and Catalog'!$F$52,IF(((D166+E166)*C166)&lt;='Assumptions and Catalog'!$C$53,((D166+E166)*C166)*'Assumptions and Catalog'!$H$53+'Assumptions and Catalog'!$E$53+'Assumptions and Catalog'!$F$53,IF(((D166+E166)*C166)&lt;='Assumptions and Catalog'!$C$54,((D166+E166)*C166)*'Assumptions and Catalog'!$H$54+'Assumptions and Catalog'!$E$54+'Assumptions and Catalog'!$F$54,IF(((D166+E166)*C166)&lt;='Assumptions and Catalog'!$C$55,((D166+E166)*C166)*'Assumptions and Catalog'!$H$55+'Assumptions and Catalog'!$E$55+'Assumptions and Catalog'!$F$55,IF(((D166+E166)*C166)&lt;='Assumptions and Catalog'!$C$56,((D166+E166)*C166)*'Assumptions and Catalog'!$H$56+'Assumptions and Catalog'!$E$56+'Assumptions and Catalog'!$F$56,IF(((D166+E166)*C166)&lt;='Assumptions and Catalog'!$C$57,((D166+E166)*C166)*'Assumptions and Catalog'!$H$57+'Assumptions and Catalog'!$E$57+'Assumptions and Catalog'!$F$57,"Out of range")))))))),IF(((D166+E166)*C166)&lt;='Assumptions and Catalog'!$C$60,((D166+E166)*C166)*'Assumptions and Catalog'!$H$60+'Assumptions and Catalog'!$E$60+'Assumptions and Catalog'!$F$60,IF(((D166+E166)*C166)&lt;='Assumptions and Catalog'!$C$61,((D166+E166)*C166)*'Assumptions and Catalog'!$H$61+'Assumptions and Catalog'!$E$61+'Assumptions and Catalog'!$F$61,IF(((D166+E166)*C166)&lt;='Assumptions and Catalog'!$C$62,((D166+E166)*C166)*'Assumptions and Catalog'!$H$62+'Assumptions and Catalog'!$E$62+'Assumptions and Catalog'!$F$62,IF(((D166+E166)*C166)&lt;='Assumptions and Catalog'!$C$63,((D166+E166)*C166)*'Assumptions and Catalog'!$H$63+'Assumptions and Catalog'!$E$63+'Assumptions and Catalog'!$F$63,IF(((D166+E166)*C166)&lt;='Assumptions and Catalog'!$C$64,((D166+E166)*C166)*'Assumptions and Catalog'!$H$64+'Assumptions and Catalog'!$E$64+'Assumptions and Catalog'!$F$64,IF(((D166+E166)*C166)&lt;='Assumptions and Catalog'!$C$65,((D166+E166)*C166)*'Assumptions and Catalog'!$H$65+'Assumptions and Catalog'!$E$65+'Assumptions and Catalog'!$F$65,"Out of range")))))))))*(1+'Assumptions and Catalog'!$C$8)^(A166-1),0)</f>
        <v>6867.22</v>
      </c>
      <c r="N166" s="5" t="n">
        <f>IF(ISNUMBER(Inputs!$L$5),(IF(Inputs!$L$9="Actual flat rate",L166*Inputs!$L$10,IF(Inputs!$C$9="Residential",IF(L166&lt;='Assumptions and Catalog'!$C$50,L166*'Assumptions and Catalog'!$H$50+'Assumptions and Catalog'!$E$50+'Assumptions and Catalog'!$F$50,IF(L166&lt;='Assumptions and Catalog'!$C$51,L166*'Assumptions and Catalog'!$H$51+'Assumptions and Catalog'!$E$51+'Assumptions and Catalog'!$F$51,IF(L166&lt;='Assumptions and Catalog'!$C$52,L166*'Assumptions and Catalog'!$H$52+'Assumptions and Catalog'!$E$52+'Assumptions and Catalog'!$F$52,IF(L166&lt;='Assumptions and Catalog'!$C$53,L166*'Assumptions and Catalog'!$H$53+'Assumptions and Catalog'!$E$53+'Assumptions and Catalog'!$F$53,IF(L166&lt;='Assumptions and Catalog'!$C$54,L166*'Assumptions and Catalog'!$H$54+'Assumptions and Catalog'!$E$54+'Assumptions and Catalog'!$F$54,IF(L166&lt;='Assumptions and Catalog'!$C$55,L166*'Assumptions and Catalog'!$H$55+'Assumptions and Catalog'!$E$55+'Assumptions and Catalog'!$F$55,IF(L166&lt;='Assumptions and Catalog'!$C$56,L166*'Assumptions and Catalog'!$H$56+'Assumptions and Catalog'!$E$56+'Assumptions and Catalog'!$F$56,IF(L166&lt;='Assumptions and Catalog'!$C$57,L166*'Assumptions and Catalog'!$H$57+'Assumptions and Catalog'!$E$57+'Assumptions and Catalog'!$F$57,"Out of range")))))))),IF(L166&lt;='Assumptions and Catalog'!$C$60,L166*'Assumptions and Catalog'!$H$60+'Assumptions and Catalog'!$E$60+'Assumptions and Catalog'!$F$60,IF(L166&lt;='Assumptions and Catalog'!$C$61,L166*'Assumptions and Catalog'!$H$61+'Assumptions and Catalog'!$E$61+'Assumptions and Catalog'!$F$61,IF(L166&lt;='Assumptions and Catalog'!$C$62,L166*'Assumptions and Catalog'!$H$62+'Assumptions and Catalog'!$E$62+'Assumptions and Catalog'!$F$62,IF(L166&lt;='Assumptions and Catalog'!$C$63,L166*'Assumptions and Catalog'!$H$63+'Assumptions and Catalog'!$E$63+'Assumptions and Catalog'!$F$63,IF(L166&lt;='Assumptions and Catalog'!$C$64,L166*'Assumptions and Catalog'!$H$64+'Assumptions and Catalog'!$E$64+'Assumptions and Catalog'!$F$64,IF(L166&lt;='Assumptions and Catalog'!$C$65,L166*'Assumptions and Catalog'!$H$65+'Assumptions and Catalog'!$E$65+'Assumptions and Catalog'!$F$65,"Out of range")))))))))*(1+'Assumptions and Catalog'!$C$8)^(A166-1),0)</f>
        <v>3453.61</v>
      </c>
      <c r="O166" s="5" t="n">
        <f>M166-N166</f>
        <v>3413.61</v>
      </c>
      <c r="P166" s="5" t="n">
        <f>C$55*(1-J$14)*(1-'Assumptions and Catalog'!$C$23)^R166</f>
        <v>0</v>
      </c>
      <c r="Q166" s="5" t="n">
        <f>IF(ISNUMBER(Inputs!$L$5),(IF(Inputs!$L$9="Actual flat rate",((D166+E166)*C166-G166)*Inputs!$L$10,IF(Inputs!$C$9="Residential",IF(((D166+E166)*C166-G166)&lt;='Assumptions and Catalog'!$C$50,((D166+E166)*C166-G166)*'Assumptions and Catalog'!$H$50+'Assumptions and Catalog'!$E$50+'Assumptions and Catalog'!$F$50,IF(((D166+E166)*C166-G166)&lt;='Assumptions and Catalog'!$C$51,((D166+E166)*C166-G166)*'Assumptions and Catalog'!$H$51+'Assumptions and Catalog'!$E$51+'Assumptions and Catalog'!$F$51,IF(((D166+E166)*C166-G166)&lt;='Assumptions and Catalog'!$C$52,((D166+E166)*C166-G166)*'Assumptions and Catalog'!$H$52+'Assumptions and Catalog'!$E$52+'Assumptions and Catalog'!$F$52,IF(((D166+E166)*C166-G166)&lt;='Assumptions and Catalog'!$C$53,((D166+E166)*C166-G166)*'Assumptions and Catalog'!$H$53+'Assumptions and Catalog'!$E$53+'Assumptions and Catalog'!$F$53,IF(((D166+E166)*C166-G166)&lt;='Assumptions and Catalog'!$C$54,((D166+E166)*C166-G166)*'Assumptions and Catalog'!$H$54+'Assumptions and Catalog'!$E$54+'Assumptions and Catalog'!$F$54,IF(((D166+E166)*C166-G166)&lt;='Assumptions and Catalog'!$C$55,((D166+E166)*C166-G166)*'Assumptions and Catalog'!$H$55+'Assumptions and Catalog'!$E$55+'Assumptions and Catalog'!$F$55,IF(((D166+E166)*C166-G166)&lt;='Assumptions and Catalog'!$C$56,((D166+E166)*C166-G166)*'Assumptions and Catalog'!$H$56+'Assumptions and Catalog'!$E$56+'Assumptions and Catalog'!$F$56,IF(((D166+E166)*C166-G166)&lt;='Assumptions and Catalog'!$C$57,((D166+E166)*C166-G166)*'Assumptions and Catalog'!$H$57+'Assumptions and Catalog'!$E$57+'Assumptions and Catalog'!$F$57,"Out of range")))))))),IF(((D166+E166)*C166-G166)&lt;='Assumptions and Catalog'!$C$60,((D166+E166)*C166-G166)*'Assumptions and Catalog'!$H$60+'Assumptions and Catalog'!$E$60+'Assumptions and Catalog'!$F$60,IF(((D166+E166)*C166-G166)&lt;='Assumptions and Catalog'!$C$61,((D166+E166)*C166-G166)*'Assumptions and Catalog'!$H$61+'Assumptions and Catalog'!$E$61+'Assumptions and Catalog'!$F$61,IF(((D166+E166)*C166-G166)&lt;='Assumptions and Catalog'!$C$62,((D166+E166)*C166-G166)*'Assumptions and Catalog'!$H$62+'Assumptions and Catalog'!$E$62+'Assumptions and Catalog'!$F$62,IF(((D166+E166)*C166-G166)&lt;='Assumptions and Catalog'!$C$63,((D166+E166)*C166-G166)*'Assumptions and Catalog'!$H$63+'Assumptions and Catalog'!$E$63+'Assumptions and Catalog'!$F$63,IF(((D166+E166)*C166-G166)&lt;='Assumptions and Catalog'!$C$64,((D166+E166)*C166-G166)*'Assumptions and Catalog'!$H$64+'Assumptions and Catalog'!$E$64+'Assumptions and Catalog'!$F$64,IF(((D166+E166)*C166-G166)&lt;='Assumptions and Catalog'!$C$65,((D166+E166)*C166-G166)*'Assumptions and Catalog'!$H$65+'Assumptions and Catalog'!$E$65+'Assumptions and Catalog'!$F$65,"Out of range")))))))))*(1+'Assumptions and Catalog'!$C$8)^(A166-1),0)</f>
        <v>3453.61</v>
      </c>
      <c r="R166" s="5" t="n">
        <f>IF(AND('Assumptions and Catalog'!$C$19&gt;0,A166&gt;='Assumptions and Catalog'!$C$19),A166-'Assumptions and Catalog'!$C$19,A166-1)</f>
        <v>0</v>
      </c>
      <c r="S166" s="5" t="n">
        <f>F166+L166-(D166+E166)*C166-J166-K166-0</f>
        <v>0</v>
      </c>
      <c r="T166" s="5"/>
      <c r="U166" s="5"/>
    </row>
    <row r="167" ht="23.100000381469727" customHeight="1">
      <c r="A167" s="5" t="n">
        <v>1</v>
      </c>
      <c r="B167" s="5" t="n">
        <v>7</v>
      </c>
      <c r="C167" s="5" t="n">
        <f>DAY(DATE('Assumptions and Catalog'!$C$24+A167-1,B167+1,0))</f>
        <v>31</v>
      </c>
      <c r="D167" s="5" t="n">
        <f>IF(ISNUMBER(Inputs!$L$5),Inputs!$L$5*Inputs!$L$6,0)</f>
        <v>40.35</v>
      </c>
      <c r="E167" s="5" t="n">
        <f>IF(ISNUMBER(Inputs!$L$5),Inputs!$L$5-D167,0)</f>
        <v>40.35</v>
      </c>
      <c r="F167" s="5" t="n">
        <f>C$51*INDEX('Solar Production'!$D$20:$D$31,B167)*C167*(1-'Assumptions and Catalog'!$C$10)^(A167-1)</f>
        <v>1449.008</v>
      </c>
      <c r="G167" s="5" t="n">
        <f>MIN(F167,D167*C167)</f>
        <v>1250.85</v>
      </c>
      <c r="H167" s="5" t="n">
        <f>I167/('Assumptions and Catalog'!$C$11*'Assumptions and Catalog'!$C$12)</f>
        <v>0</v>
      </c>
      <c r="I167" s="5" t="n">
        <f>0</f>
        <v>0</v>
      </c>
      <c r="J167" s="5" t="n">
        <f>MAX(F167-G167-H167,0)</f>
        <v>198.158</v>
      </c>
      <c r="K167" s="5" t="n">
        <f>H167-I167</f>
        <v>0</v>
      </c>
      <c r="L167" s="5" t="n">
        <f>(D167+E167)*C167-G167-I167+0+0</f>
        <v>1250.85</v>
      </c>
      <c r="M167" s="5" t="n">
        <f>IF(ISNUMBER(Inputs!$L$5),(IF(Inputs!$L$9="Actual flat rate",((D167+E167)*C167)*Inputs!$L$10,IF(Inputs!$C$9="Residential",IF(((D167+E167)*C167)&lt;='Assumptions and Catalog'!$C$50,((D167+E167)*C167)*'Assumptions and Catalog'!$H$50+'Assumptions and Catalog'!$E$50+'Assumptions and Catalog'!$F$50,IF(((D167+E167)*C167)&lt;='Assumptions and Catalog'!$C$51,((D167+E167)*C167)*'Assumptions and Catalog'!$H$51+'Assumptions and Catalog'!$E$51+'Assumptions and Catalog'!$F$51,IF(((D167+E167)*C167)&lt;='Assumptions and Catalog'!$C$52,((D167+E167)*C167)*'Assumptions and Catalog'!$H$52+'Assumptions and Catalog'!$E$52+'Assumptions and Catalog'!$F$52,IF(((D167+E167)*C167)&lt;='Assumptions and Catalog'!$C$53,((D167+E167)*C167)*'Assumptions and Catalog'!$H$53+'Assumptions and Catalog'!$E$53+'Assumptions and Catalog'!$F$53,IF(((D167+E167)*C167)&lt;='Assumptions and Catalog'!$C$54,((D167+E167)*C167)*'Assumptions and Catalog'!$H$54+'Assumptions and Catalog'!$E$54+'Assumptions and Catalog'!$F$54,IF(((D167+E167)*C167)&lt;='Assumptions and Catalog'!$C$55,((D167+E167)*C167)*'Assumptions and Catalog'!$H$55+'Assumptions and Catalog'!$E$55+'Assumptions and Catalog'!$F$55,IF(((D167+E167)*C167)&lt;='Assumptions and Catalog'!$C$56,((D167+E167)*C167)*'Assumptions and Catalog'!$H$56+'Assumptions and Catalog'!$E$56+'Assumptions and Catalog'!$F$56,IF(((D167+E167)*C167)&lt;='Assumptions and Catalog'!$C$57,((D167+E167)*C167)*'Assumptions and Catalog'!$H$57+'Assumptions and Catalog'!$E$57+'Assumptions and Catalog'!$F$57,"Out of range")))))))),IF(((D167+E167)*C167)&lt;='Assumptions and Catalog'!$C$60,((D167+E167)*C167)*'Assumptions and Catalog'!$H$60+'Assumptions and Catalog'!$E$60+'Assumptions and Catalog'!$F$60,IF(((D167+E167)*C167)&lt;='Assumptions and Catalog'!$C$61,((D167+E167)*C167)*'Assumptions and Catalog'!$H$61+'Assumptions and Catalog'!$E$61+'Assumptions and Catalog'!$F$61,IF(((D167+E167)*C167)&lt;='Assumptions and Catalog'!$C$62,((D167+E167)*C167)*'Assumptions and Catalog'!$H$62+'Assumptions and Catalog'!$E$62+'Assumptions and Catalog'!$F$62,IF(((D167+E167)*C167)&lt;='Assumptions and Catalog'!$C$63,((D167+E167)*C167)*'Assumptions and Catalog'!$H$63+'Assumptions and Catalog'!$E$63+'Assumptions and Catalog'!$F$63,IF(((D167+E167)*C167)&lt;='Assumptions and Catalog'!$C$64,((D167+E167)*C167)*'Assumptions and Catalog'!$H$64+'Assumptions and Catalog'!$E$64+'Assumptions and Catalog'!$F$64,IF(((D167+E167)*C167)&lt;='Assumptions and Catalog'!$C$65,((D167+E167)*C167)*'Assumptions and Catalog'!$H$65+'Assumptions and Catalog'!$E$65+'Assumptions and Catalog'!$F$65,"Out of range")))))))))*(1+'Assumptions and Catalog'!$C$8)^(A167-1),0)</f>
        <v>7094.794</v>
      </c>
      <c r="N167" s="5" t="n">
        <f>IF(ISNUMBER(Inputs!$L$5),(IF(Inputs!$L$9="Actual flat rate",L167*Inputs!$L$10,IF(Inputs!$C$9="Residential",IF(L167&lt;='Assumptions and Catalog'!$C$50,L167*'Assumptions and Catalog'!$H$50+'Assumptions and Catalog'!$E$50+'Assumptions and Catalog'!$F$50,IF(L167&lt;='Assumptions and Catalog'!$C$51,L167*'Assumptions and Catalog'!$H$51+'Assumptions and Catalog'!$E$51+'Assumptions and Catalog'!$F$51,IF(L167&lt;='Assumptions and Catalog'!$C$52,L167*'Assumptions and Catalog'!$H$52+'Assumptions and Catalog'!$E$52+'Assumptions and Catalog'!$F$52,IF(L167&lt;='Assumptions and Catalog'!$C$53,L167*'Assumptions and Catalog'!$H$53+'Assumptions and Catalog'!$E$53+'Assumptions and Catalog'!$F$53,IF(L167&lt;='Assumptions and Catalog'!$C$54,L167*'Assumptions and Catalog'!$H$54+'Assumptions and Catalog'!$E$54+'Assumptions and Catalog'!$F$54,IF(L167&lt;='Assumptions and Catalog'!$C$55,L167*'Assumptions and Catalog'!$H$55+'Assumptions and Catalog'!$E$55+'Assumptions and Catalog'!$F$55,IF(L167&lt;='Assumptions and Catalog'!$C$56,L167*'Assumptions and Catalog'!$H$56+'Assumptions and Catalog'!$E$56+'Assumptions and Catalog'!$F$56,IF(L167&lt;='Assumptions and Catalog'!$C$57,L167*'Assumptions and Catalog'!$H$57+'Assumptions and Catalog'!$E$57+'Assumptions and Catalog'!$F$57,"Out of range")))))))),IF(L167&lt;='Assumptions and Catalog'!$C$60,L167*'Assumptions and Catalog'!$H$60+'Assumptions and Catalog'!$E$60+'Assumptions and Catalog'!$F$60,IF(L167&lt;='Assumptions and Catalog'!$C$61,L167*'Assumptions and Catalog'!$H$61+'Assumptions and Catalog'!$E$61+'Assumptions and Catalog'!$F$61,IF(L167&lt;='Assumptions and Catalog'!$C$62,L167*'Assumptions and Catalog'!$H$62+'Assumptions and Catalog'!$E$62+'Assumptions and Catalog'!$F$62,IF(L167&lt;='Assumptions and Catalog'!$C$63,L167*'Assumptions and Catalog'!$H$63+'Assumptions and Catalog'!$E$63+'Assumptions and Catalog'!$F$63,IF(L167&lt;='Assumptions and Catalog'!$C$64,L167*'Assumptions and Catalog'!$H$64+'Assumptions and Catalog'!$E$64+'Assumptions and Catalog'!$F$64,IF(L167&lt;='Assumptions and Catalog'!$C$65,L167*'Assumptions and Catalog'!$H$65+'Assumptions and Catalog'!$E$65+'Assumptions and Catalog'!$F$65,"Out of range")))))))))*(1+'Assumptions and Catalog'!$C$8)^(A167-1),0)</f>
        <v>3567.397</v>
      </c>
      <c r="O167" s="5" t="n">
        <f>M167-N167</f>
        <v>3527.397</v>
      </c>
      <c r="P167" s="5" t="n">
        <f>C$55*(1-J$14)*(1-'Assumptions and Catalog'!$C$23)^R167</f>
        <v>0</v>
      </c>
      <c r="Q167" s="5" t="n">
        <f>IF(ISNUMBER(Inputs!$L$5),(IF(Inputs!$L$9="Actual flat rate",((D167+E167)*C167-G167)*Inputs!$L$10,IF(Inputs!$C$9="Residential",IF(((D167+E167)*C167-G167)&lt;='Assumptions and Catalog'!$C$50,((D167+E167)*C167-G167)*'Assumptions and Catalog'!$H$50+'Assumptions and Catalog'!$E$50+'Assumptions and Catalog'!$F$50,IF(((D167+E167)*C167-G167)&lt;='Assumptions and Catalog'!$C$51,((D167+E167)*C167-G167)*'Assumptions and Catalog'!$H$51+'Assumptions and Catalog'!$E$51+'Assumptions and Catalog'!$F$51,IF(((D167+E167)*C167-G167)&lt;='Assumptions and Catalog'!$C$52,((D167+E167)*C167-G167)*'Assumptions and Catalog'!$H$52+'Assumptions and Catalog'!$E$52+'Assumptions and Catalog'!$F$52,IF(((D167+E167)*C167-G167)&lt;='Assumptions and Catalog'!$C$53,((D167+E167)*C167-G167)*'Assumptions and Catalog'!$H$53+'Assumptions and Catalog'!$E$53+'Assumptions and Catalog'!$F$53,IF(((D167+E167)*C167-G167)&lt;='Assumptions and Catalog'!$C$54,((D167+E167)*C167-G167)*'Assumptions and Catalog'!$H$54+'Assumptions and Catalog'!$E$54+'Assumptions and Catalog'!$F$54,IF(((D167+E167)*C167-G167)&lt;='Assumptions and Catalog'!$C$55,((D167+E167)*C167-G167)*'Assumptions and Catalog'!$H$55+'Assumptions and Catalog'!$E$55+'Assumptions and Catalog'!$F$55,IF(((D167+E167)*C167-G167)&lt;='Assumptions and Catalog'!$C$56,((D167+E167)*C167-G167)*'Assumptions and Catalog'!$H$56+'Assumptions and Catalog'!$E$56+'Assumptions and Catalog'!$F$56,IF(((D167+E167)*C167-G167)&lt;='Assumptions and Catalog'!$C$57,((D167+E167)*C167-G167)*'Assumptions and Catalog'!$H$57+'Assumptions and Catalog'!$E$57+'Assumptions and Catalog'!$F$57,"Out of range")))))))),IF(((D167+E167)*C167-G167)&lt;='Assumptions and Catalog'!$C$60,((D167+E167)*C167-G167)*'Assumptions and Catalog'!$H$60+'Assumptions and Catalog'!$E$60+'Assumptions and Catalog'!$F$60,IF(((D167+E167)*C167-G167)&lt;='Assumptions and Catalog'!$C$61,((D167+E167)*C167-G167)*'Assumptions and Catalog'!$H$61+'Assumptions and Catalog'!$E$61+'Assumptions and Catalog'!$F$61,IF(((D167+E167)*C167-G167)&lt;='Assumptions and Catalog'!$C$62,((D167+E167)*C167-G167)*'Assumptions and Catalog'!$H$62+'Assumptions and Catalog'!$E$62+'Assumptions and Catalog'!$F$62,IF(((D167+E167)*C167-G167)&lt;='Assumptions and Catalog'!$C$63,((D167+E167)*C167-G167)*'Assumptions and Catalog'!$H$63+'Assumptions and Catalog'!$E$63+'Assumptions and Catalog'!$F$63,IF(((D167+E167)*C167-G167)&lt;='Assumptions and Catalog'!$C$64,((D167+E167)*C167-G167)*'Assumptions and Catalog'!$H$64+'Assumptions and Catalog'!$E$64+'Assumptions and Catalog'!$F$64,IF(((D167+E167)*C167-G167)&lt;='Assumptions and Catalog'!$C$65,((D167+E167)*C167-G167)*'Assumptions and Catalog'!$H$65+'Assumptions and Catalog'!$E$65+'Assumptions and Catalog'!$F$65,"Out of range")))))))))*(1+'Assumptions and Catalog'!$C$8)^(A167-1),0)</f>
        <v>3567.397</v>
      </c>
      <c r="R167" s="5" t="n">
        <f>IF(AND('Assumptions and Catalog'!$C$19&gt;0,A167&gt;='Assumptions and Catalog'!$C$19),A167-'Assumptions and Catalog'!$C$19,A167-1)</f>
        <v>0</v>
      </c>
      <c r="S167" s="5" t="n">
        <f>F167+L167-(D167+E167)*C167-J167-K167-0</f>
        <v>0</v>
      </c>
      <c r="T167" s="5"/>
      <c r="U167" s="5"/>
    </row>
    <row r="168" ht="23.100000381469727" customHeight="1">
      <c r="A168" s="5" t="n">
        <v>1</v>
      </c>
      <c r="B168" s="5" t="n">
        <v>8</v>
      </c>
      <c r="C168" s="5" t="n">
        <f>DAY(DATE('Assumptions and Catalog'!$C$24+A168-1,B168+1,0))</f>
        <v>31</v>
      </c>
      <c r="D168" s="5" t="n">
        <f>IF(ISNUMBER(Inputs!$L$5),Inputs!$L$5*Inputs!$L$6,0)</f>
        <v>40.35</v>
      </c>
      <c r="E168" s="5" t="n">
        <f>IF(ISNUMBER(Inputs!$L$5),Inputs!$L$5-D168,0)</f>
        <v>40.35</v>
      </c>
      <c r="F168" s="5" t="n">
        <f>C$51*INDEX('Solar Production'!$D$20:$D$31,B168)*C168*(1-'Assumptions and Catalog'!$C$10)^(A168-1)</f>
        <v>1467.84</v>
      </c>
      <c r="G168" s="5" t="n">
        <f>MIN(F168,D168*C168)</f>
        <v>1250.85</v>
      </c>
      <c r="H168" s="5" t="n">
        <f>I168/('Assumptions and Catalog'!$C$11*'Assumptions and Catalog'!$C$12)</f>
        <v>0</v>
      </c>
      <c r="I168" s="5" t="n">
        <f>0</f>
        <v>0</v>
      </c>
      <c r="J168" s="5" t="n">
        <f>MAX(F168-G168-H168,0)</f>
        <v>216.99</v>
      </c>
      <c r="K168" s="5" t="n">
        <f>H168-I168</f>
        <v>0</v>
      </c>
      <c r="L168" s="5" t="n">
        <f>(D168+E168)*C168-G168-I168+0+0</f>
        <v>1250.85</v>
      </c>
      <c r="M168" s="5" t="n">
        <f>IF(ISNUMBER(Inputs!$L$5),(IF(Inputs!$L$9="Actual flat rate",((D168+E168)*C168)*Inputs!$L$10,IF(Inputs!$C$9="Residential",IF(((D168+E168)*C168)&lt;='Assumptions and Catalog'!$C$50,((D168+E168)*C168)*'Assumptions and Catalog'!$H$50+'Assumptions and Catalog'!$E$50+'Assumptions and Catalog'!$F$50,IF(((D168+E168)*C168)&lt;='Assumptions and Catalog'!$C$51,((D168+E168)*C168)*'Assumptions and Catalog'!$H$51+'Assumptions and Catalog'!$E$51+'Assumptions and Catalog'!$F$51,IF(((D168+E168)*C168)&lt;='Assumptions and Catalog'!$C$52,((D168+E168)*C168)*'Assumptions and Catalog'!$H$52+'Assumptions and Catalog'!$E$52+'Assumptions and Catalog'!$F$52,IF(((D168+E168)*C168)&lt;='Assumptions and Catalog'!$C$53,((D168+E168)*C168)*'Assumptions and Catalog'!$H$53+'Assumptions and Catalog'!$E$53+'Assumptions and Catalog'!$F$53,IF(((D168+E168)*C168)&lt;='Assumptions and Catalog'!$C$54,((D168+E168)*C168)*'Assumptions and Catalog'!$H$54+'Assumptions and Catalog'!$E$54+'Assumptions and Catalog'!$F$54,IF(((D168+E168)*C168)&lt;='Assumptions and Catalog'!$C$55,((D168+E168)*C168)*'Assumptions and Catalog'!$H$55+'Assumptions and Catalog'!$E$55+'Assumptions and Catalog'!$F$55,IF(((D168+E168)*C168)&lt;='Assumptions and Catalog'!$C$56,((D168+E168)*C168)*'Assumptions and Catalog'!$H$56+'Assumptions and Catalog'!$E$56+'Assumptions and Catalog'!$F$56,IF(((D168+E168)*C168)&lt;='Assumptions and Catalog'!$C$57,((D168+E168)*C168)*'Assumptions and Catalog'!$H$57+'Assumptions and Catalog'!$E$57+'Assumptions and Catalog'!$F$57,"Out of range")))))))),IF(((D168+E168)*C168)&lt;='Assumptions and Catalog'!$C$60,((D168+E168)*C168)*'Assumptions and Catalog'!$H$60+'Assumptions and Catalog'!$E$60+'Assumptions and Catalog'!$F$60,IF(((D168+E168)*C168)&lt;='Assumptions and Catalog'!$C$61,((D168+E168)*C168)*'Assumptions and Catalog'!$H$61+'Assumptions and Catalog'!$E$61+'Assumptions and Catalog'!$F$61,IF(((D168+E168)*C168)&lt;='Assumptions and Catalog'!$C$62,((D168+E168)*C168)*'Assumptions and Catalog'!$H$62+'Assumptions and Catalog'!$E$62+'Assumptions and Catalog'!$F$62,IF(((D168+E168)*C168)&lt;='Assumptions and Catalog'!$C$63,((D168+E168)*C168)*'Assumptions and Catalog'!$H$63+'Assumptions and Catalog'!$E$63+'Assumptions and Catalog'!$F$63,IF(((D168+E168)*C168)&lt;='Assumptions and Catalog'!$C$64,((D168+E168)*C168)*'Assumptions and Catalog'!$H$64+'Assumptions and Catalog'!$E$64+'Assumptions and Catalog'!$F$64,IF(((D168+E168)*C168)&lt;='Assumptions and Catalog'!$C$65,((D168+E168)*C168)*'Assumptions and Catalog'!$H$65+'Assumptions and Catalog'!$E$65+'Assumptions and Catalog'!$F$65,"Out of range")))))))))*(1+'Assumptions and Catalog'!$C$8)^(A168-1),0)</f>
        <v>7094.794</v>
      </c>
      <c r="N168" s="5" t="n">
        <f>IF(ISNUMBER(Inputs!$L$5),(IF(Inputs!$L$9="Actual flat rate",L168*Inputs!$L$10,IF(Inputs!$C$9="Residential",IF(L168&lt;='Assumptions and Catalog'!$C$50,L168*'Assumptions and Catalog'!$H$50+'Assumptions and Catalog'!$E$50+'Assumptions and Catalog'!$F$50,IF(L168&lt;='Assumptions and Catalog'!$C$51,L168*'Assumptions and Catalog'!$H$51+'Assumptions and Catalog'!$E$51+'Assumptions and Catalog'!$F$51,IF(L168&lt;='Assumptions and Catalog'!$C$52,L168*'Assumptions and Catalog'!$H$52+'Assumptions and Catalog'!$E$52+'Assumptions and Catalog'!$F$52,IF(L168&lt;='Assumptions and Catalog'!$C$53,L168*'Assumptions and Catalog'!$H$53+'Assumptions and Catalog'!$E$53+'Assumptions and Catalog'!$F$53,IF(L168&lt;='Assumptions and Catalog'!$C$54,L168*'Assumptions and Catalog'!$H$54+'Assumptions and Catalog'!$E$54+'Assumptions and Catalog'!$F$54,IF(L168&lt;='Assumptions and Catalog'!$C$55,L168*'Assumptions and Catalog'!$H$55+'Assumptions and Catalog'!$E$55+'Assumptions and Catalog'!$F$55,IF(L168&lt;='Assumptions and Catalog'!$C$56,L168*'Assumptions and Catalog'!$H$56+'Assumptions and Catalog'!$E$56+'Assumptions and Catalog'!$F$56,IF(L168&lt;='Assumptions and Catalog'!$C$57,L168*'Assumptions and Catalog'!$H$57+'Assumptions and Catalog'!$E$57+'Assumptions and Catalog'!$F$57,"Out of range")))))))),IF(L168&lt;='Assumptions and Catalog'!$C$60,L168*'Assumptions and Catalog'!$H$60+'Assumptions and Catalog'!$E$60+'Assumptions and Catalog'!$F$60,IF(L168&lt;='Assumptions and Catalog'!$C$61,L168*'Assumptions and Catalog'!$H$61+'Assumptions and Catalog'!$E$61+'Assumptions and Catalog'!$F$61,IF(L168&lt;='Assumptions and Catalog'!$C$62,L168*'Assumptions and Catalog'!$H$62+'Assumptions and Catalog'!$E$62+'Assumptions and Catalog'!$F$62,IF(L168&lt;='Assumptions and Catalog'!$C$63,L168*'Assumptions and Catalog'!$H$63+'Assumptions and Catalog'!$E$63+'Assumptions and Catalog'!$F$63,IF(L168&lt;='Assumptions and Catalog'!$C$64,L168*'Assumptions and Catalog'!$H$64+'Assumptions and Catalog'!$E$64+'Assumptions and Catalog'!$F$64,IF(L168&lt;='Assumptions and Catalog'!$C$65,L168*'Assumptions and Catalog'!$H$65+'Assumptions and Catalog'!$E$65+'Assumptions and Catalog'!$F$65,"Out of range")))))))))*(1+'Assumptions and Catalog'!$C$8)^(A168-1),0)</f>
        <v>3567.397</v>
      </c>
      <c r="O168" s="5" t="n">
        <f>M168-N168</f>
        <v>3527.397</v>
      </c>
      <c r="P168" s="5" t="n">
        <f>C$55*(1-J$14)*(1-'Assumptions and Catalog'!$C$23)^R168</f>
        <v>0</v>
      </c>
      <c r="Q168" s="5" t="n">
        <f>IF(ISNUMBER(Inputs!$L$5),(IF(Inputs!$L$9="Actual flat rate",((D168+E168)*C168-G168)*Inputs!$L$10,IF(Inputs!$C$9="Residential",IF(((D168+E168)*C168-G168)&lt;='Assumptions and Catalog'!$C$50,((D168+E168)*C168-G168)*'Assumptions and Catalog'!$H$50+'Assumptions and Catalog'!$E$50+'Assumptions and Catalog'!$F$50,IF(((D168+E168)*C168-G168)&lt;='Assumptions and Catalog'!$C$51,((D168+E168)*C168-G168)*'Assumptions and Catalog'!$H$51+'Assumptions and Catalog'!$E$51+'Assumptions and Catalog'!$F$51,IF(((D168+E168)*C168-G168)&lt;='Assumptions and Catalog'!$C$52,((D168+E168)*C168-G168)*'Assumptions and Catalog'!$H$52+'Assumptions and Catalog'!$E$52+'Assumptions and Catalog'!$F$52,IF(((D168+E168)*C168-G168)&lt;='Assumptions and Catalog'!$C$53,((D168+E168)*C168-G168)*'Assumptions and Catalog'!$H$53+'Assumptions and Catalog'!$E$53+'Assumptions and Catalog'!$F$53,IF(((D168+E168)*C168-G168)&lt;='Assumptions and Catalog'!$C$54,((D168+E168)*C168-G168)*'Assumptions and Catalog'!$H$54+'Assumptions and Catalog'!$E$54+'Assumptions and Catalog'!$F$54,IF(((D168+E168)*C168-G168)&lt;='Assumptions and Catalog'!$C$55,((D168+E168)*C168-G168)*'Assumptions and Catalog'!$H$55+'Assumptions and Catalog'!$E$55+'Assumptions and Catalog'!$F$55,IF(((D168+E168)*C168-G168)&lt;='Assumptions and Catalog'!$C$56,((D168+E168)*C168-G168)*'Assumptions and Catalog'!$H$56+'Assumptions and Catalog'!$E$56+'Assumptions and Catalog'!$F$56,IF(((D168+E168)*C168-G168)&lt;='Assumptions and Catalog'!$C$57,((D168+E168)*C168-G168)*'Assumptions and Catalog'!$H$57+'Assumptions and Catalog'!$E$57+'Assumptions and Catalog'!$F$57,"Out of range")))))))),IF(((D168+E168)*C168-G168)&lt;='Assumptions and Catalog'!$C$60,((D168+E168)*C168-G168)*'Assumptions and Catalog'!$H$60+'Assumptions and Catalog'!$E$60+'Assumptions and Catalog'!$F$60,IF(((D168+E168)*C168-G168)&lt;='Assumptions and Catalog'!$C$61,((D168+E168)*C168-G168)*'Assumptions and Catalog'!$H$61+'Assumptions and Catalog'!$E$61+'Assumptions and Catalog'!$F$61,IF(((D168+E168)*C168-G168)&lt;='Assumptions and Catalog'!$C$62,((D168+E168)*C168-G168)*'Assumptions and Catalog'!$H$62+'Assumptions and Catalog'!$E$62+'Assumptions and Catalog'!$F$62,IF(((D168+E168)*C168-G168)&lt;='Assumptions and Catalog'!$C$63,((D168+E168)*C168-G168)*'Assumptions and Catalog'!$H$63+'Assumptions and Catalog'!$E$63+'Assumptions and Catalog'!$F$63,IF(((D168+E168)*C168-G168)&lt;='Assumptions and Catalog'!$C$64,((D168+E168)*C168-G168)*'Assumptions and Catalog'!$H$64+'Assumptions and Catalog'!$E$64+'Assumptions and Catalog'!$F$64,IF(((D168+E168)*C168-G168)&lt;='Assumptions and Catalog'!$C$65,((D168+E168)*C168-G168)*'Assumptions and Catalog'!$H$65+'Assumptions and Catalog'!$E$65+'Assumptions and Catalog'!$F$65,"Out of range")))))))))*(1+'Assumptions and Catalog'!$C$8)^(A168-1),0)</f>
        <v>3567.397</v>
      </c>
      <c r="R168" s="5" t="n">
        <f>IF(AND('Assumptions and Catalog'!$C$19&gt;0,A168&gt;='Assumptions and Catalog'!$C$19),A168-'Assumptions and Catalog'!$C$19,A168-1)</f>
        <v>0</v>
      </c>
      <c r="S168" s="5" t="n">
        <f>F168+L168-(D168+E168)*C168-J168-K168-0</f>
        <v>0</v>
      </c>
      <c r="T168" s="5"/>
      <c r="U168" s="5"/>
    </row>
    <row r="169" ht="23.100000381469727" customHeight="1">
      <c r="A169" s="5" t="n">
        <v>1</v>
      </c>
      <c r="B169" s="5" t="n">
        <v>9</v>
      </c>
      <c r="C169" s="5" t="n">
        <f>DAY(DATE('Assumptions and Catalog'!$C$24+A169-1,B169+1,0))</f>
        <v>30</v>
      </c>
      <c r="D169" s="5" t="n">
        <f>IF(ISNUMBER(Inputs!$L$5),Inputs!$L$5*Inputs!$L$6,0)</f>
        <v>40.35</v>
      </c>
      <c r="E169" s="5" t="n">
        <f>IF(ISNUMBER(Inputs!$L$5),Inputs!$L$5-D169,0)</f>
        <v>40.35</v>
      </c>
      <c r="F169" s="5" t="n">
        <f>C$51*INDEX('Solar Production'!$D$20:$D$31,B169)*C169*(1-'Assumptions and Catalog'!$C$10)^(A169-1)</f>
        <v>1416.8</v>
      </c>
      <c r="G169" s="5" t="n">
        <f>MIN(F169,D169*C169)</f>
        <v>1210.5</v>
      </c>
      <c r="H169" s="5" t="n">
        <f>I169/('Assumptions and Catalog'!$C$11*'Assumptions and Catalog'!$C$12)</f>
        <v>0</v>
      </c>
      <c r="I169" s="5" t="n">
        <f>0</f>
        <v>0</v>
      </c>
      <c r="J169" s="5" t="n">
        <f>MAX(F169-G169-H169,0)</f>
        <v>206.3</v>
      </c>
      <c r="K169" s="5" t="n">
        <f>H169-I169</f>
        <v>0</v>
      </c>
      <c r="L169" s="5" t="n">
        <f>(D169+E169)*C169-G169-I169+0+0</f>
        <v>1210.5</v>
      </c>
      <c r="M169" s="5" t="n">
        <f>IF(ISNUMBER(Inputs!$L$5),(IF(Inputs!$L$9="Actual flat rate",((D169+E169)*C169)*Inputs!$L$10,IF(Inputs!$C$9="Residential",IF(((D169+E169)*C169)&lt;='Assumptions and Catalog'!$C$50,((D169+E169)*C169)*'Assumptions and Catalog'!$H$50+'Assumptions and Catalog'!$E$50+'Assumptions and Catalog'!$F$50,IF(((D169+E169)*C169)&lt;='Assumptions and Catalog'!$C$51,((D169+E169)*C169)*'Assumptions and Catalog'!$H$51+'Assumptions and Catalog'!$E$51+'Assumptions and Catalog'!$F$51,IF(((D169+E169)*C169)&lt;='Assumptions and Catalog'!$C$52,((D169+E169)*C169)*'Assumptions and Catalog'!$H$52+'Assumptions and Catalog'!$E$52+'Assumptions and Catalog'!$F$52,IF(((D169+E169)*C169)&lt;='Assumptions and Catalog'!$C$53,((D169+E169)*C169)*'Assumptions and Catalog'!$H$53+'Assumptions and Catalog'!$E$53+'Assumptions and Catalog'!$F$53,IF(((D169+E169)*C169)&lt;='Assumptions and Catalog'!$C$54,((D169+E169)*C169)*'Assumptions and Catalog'!$H$54+'Assumptions and Catalog'!$E$54+'Assumptions and Catalog'!$F$54,IF(((D169+E169)*C169)&lt;='Assumptions and Catalog'!$C$55,((D169+E169)*C169)*'Assumptions and Catalog'!$H$55+'Assumptions and Catalog'!$E$55+'Assumptions and Catalog'!$F$55,IF(((D169+E169)*C169)&lt;='Assumptions and Catalog'!$C$56,((D169+E169)*C169)*'Assumptions and Catalog'!$H$56+'Assumptions and Catalog'!$E$56+'Assumptions and Catalog'!$F$56,IF(((D169+E169)*C169)&lt;='Assumptions and Catalog'!$C$57,((D169+E169)*C169)*'Assumptions and Catalog'!$H$57+'Assumptions and Catalog'!$E$57+'Assumptions and Catalog'!$F$57,"Out of range")))))))),IF(((D169+E169)*C169)&lt;='Assumptions and Catalog'!$C$60,((D169+E169)*C169)*'Assumptions and Catalog'!$H$60+'Assumptions and Catalog'!$E$60+'Assumptions and Catalog'!$F$60,IF(((D169+E169)*C169)&lt;='Assumptions and Catalog'!$C$61,((D169+E169)*C169)*'Assumptions and Catalog'!$H$61+'Assumptions and Catalog'!$E$61+'Assumptions and Catalog'!$F$61,IF(((D169+E169)*C169)&lt;='Assumptions and Catalog'!$C$62,((D169+E169)*C169)*'Assumptions and Catalog'!$H$62+'Assumptions and Catalog'!$E$62+'Assumptions and Catalog'!$F$62,IF(((D169+E169)*C169)&lt;='Assumptions and Catalog'!$C$63,((D169+E169)*C169)*'Assumptions and Catalog'!$H$63+'Assumptions and Catalog'!$E$63+'Assumptions and Catalog'!$F$63,IF(((D169+E169)*C169)&lt;='Assumptions and Catalog'!$C$64,((D169+E169)*C169)*'Assumptions and Catalog'!$H$64+'Assumptions and Catalog'!$E$64+'Assumptions and Catalog'!$F$64,IF(((D169+E169)*C169)&lt;='Assumptions and Catalog'!$C$65,((D169+E169)*C169)*'Assumptions and Catalog'!$H$65+'Assumptions and Catalog'!$E$65+'Assumptions and Catalog'!$F$65,"Out of range")))))))))*(1+'Assumptions and Catalog'!$C$8)^(A169-1),0)</f>
        <v>6867.22</v>
      </c>
      <c r="N169" s="5" t="n">
        <f>IF(ISNUMBER(Inputs!$L$5),(IF(Inputs!$L$9="Actual flat rate",L169*Inputs!$L$10,IF(Inputs!$C$9="Residential",IF(L169&lt;='Assumptions and Catalog'!$C$50,L169*'Assumptions and Catalog'!$H$50+'Assumptions and Catalog'!$E$50+'Assumptions and Catalog'!$F$50,IF(L169&lt;='Assumptions and Catalog'!$C$51,L169*'Assumptions and Catalog'!$H$51+'Assumptions and Catalog'!$E$51+'Assumptions and Catalog'!$F$51,IF(L169&lt;='Assumptions and Catalog'!$C$52,L169*'Assumptions and Catalog'!$H$52+'Assumptions and Catalog'!$E$52+'Assumptions and Catalog'!$F$52,IF(L169&lt;='Assumptions and Catalog'!$C$53,L169*'Assumptions and Catalog'!$H$53+'Assumptions and Catalog'!$E$53+'Assumptions and Catalog'!$F$53,IF(L169&lt;='Assumptions and Catalog'!$C$54,L169*'Assumptions and Catalog'!$H$54+'Assumptions and Catalog'!$E$54+'Assumptions and Catalog'!$F$54,IF(L169&lt;='Assumptions and Catalog'!$C$55,L169*'Assumptions and Catalog'!$H$55+'Assumptions and Catalog'!$E$55+'Assumptions and Catalog'!$F$55,IF(L169&lt;='Assumptions and Catalog'!$C$56,L169*'Assumptions and Catalog'!$H$56+'Assumptions and Catalog'!$E$56+'Assumptions and Catalog'!$F$56,IF(L169&lt;='Assumptions and Catalog'!$C$57,L169*'Assumptions and Catalog'!$H$57+'Assumptions and Catalog'!$E$57+'Assumptions and Catalog'!$F$57,"Out of range")))))))),IF(L169&lt;='Assumptions and Catalog'!$C$60,L169*'Assumptions and Catalog'!$H$60+'Assumptions and Catalog'!$E$60+'Assumptions and Catalog'!$F$60,IF(L169&lt;='Assumptions and Catalog'!$C$61,L169*'Assumptions and Catalog'!$H$61+'Assumptions and Catalog'!$E$61+'Assumptions and Catalog'!$F$61,IF(L169&lt;='Assumptions and Catalog'!$C$62,L169*'Assumptions and Catalog'!$H$62+'Assumptions and Catalog'!$E$62+'Assumptions and Catalog'!$F$62,IF(L169&lt;='Assumptions and Catalog'!$C$63,L169*'Assumptions and Catalog'!$H$63+'Assumptions and Catalog'!$E$63+'Assumptions and Catalog'!$F$63,IF(L169&lt;='Assumptions and Catalog'!$C$64,L169*'Assumptions and Catalog'!$H$64+'Assumptions and Catalog'!$E$64+'Assumptions and Catalog'!$F$64,IF(L169&lt;='Assumptions and Catalog'!$C$65,L169*'Assumptions and Catalog'!$H$65+'Assumptions and Catalog'!$E$65+'Assumptions and Catalog'!$F$65,"Out of range")))))))))*(1+'Assumptions and Catalog'!$C$8)^(A169-1),0)</f>
        <v>3453.61</v>
      </c>
      <c r="O169" s="5" t="n">
        <f>M169-N169</f>
        <v>3413.61</v>
      </c>
      <c r="P169" s="5" t="n">
        <f>C$55*(1-J$14)*(1-'Assumptions and Catalog'!$C$23)^R169</f>
        <v>0</v>
      </c>
      <c r="Q169" s="5" t="n">
        <f>IF(ISNUMBER(Inputs!$L$5),(IF(Inputs!$L$9="Actual flat rate",((D169+E169)*C169-G169)*Inputs!$L$10,IF(Inputs!$C$9="Residential",IF(((D169+E169)*C169-G169)&lt;='Assumptions and Catalog'!$C$50,((D169+E169)*C169-G169)*'Assumptions and Catalog'!$H$50+'Assumptions and Catalog'!$E$50+'Assumptions and Catalog'!$F$50,IF(((D169+E169)*C169-G169)&lt;='Assumptions and Catalog'!$C$51,((D169+E169)*C169-G169)*'Assumptions and Catalog'!$H$51+'Assumptions and Catalog'!$E$51+'Assumptions and Catalog'!$F$51,IF(((D169+E169)*C169-G169)&lt;='Assumptions and Catalog'!$C$52,((D169+E169)*C169-G169)*'Assumptions and Catalog'!$H$52+'Assumptions and Catalog'!$E$52+'Assumptions and Catalog'!$F$52,IF(((D169+E169)*C169-G169)&lt;='Assumptions and Catalog'!$C$53,((D169+E169)*C169-G169)*'Assumptions and Catalog'!$H$53+'Assumptions and Catalog'!$E$53+'Assumptions and Catalog'!$F$53,IF(((D169+E169)*C169-G169)&lt;='Assumptions and Catalog'!$C$54,((D169+E169)*C169-G169)*'Assumptions and Catalog'!$H$54+'Assumptions and Catalog'!$E$54+'Assumptions and Catalog'!$F$54,IF(((D169+E169)*C169-G169)&lt;='Assumptions and Catalog'!$C$55,((D169+E169)*C169-G169)*'Assumptions and Catalog'!$H$55+'Assumptions and Catalog'!$E$55+'Assumptions and Catalog'!$F$55,IF(((D169+E169)*C169-G169)&lt;='Assumptions and Catalog'!$C$56,((D169+E169)*C169-G169)*'Assumptions and Catalog'!$H$56+'Assumptions and Catalog'!$E$56+'Assumptions and Catalog'!$F$56,IF(((D169+E169)*C169-G169)&lt;='Assumptions and Catalog'!$C$57,((D169+E169)*C169-G169)*'Assumptions and Catalog'!$H$57+'Assumptions and Catalog'!$E$57+'Assumptions and Catalog'!$F$57,"Out of range")))))))),IF(((D169+E169)*C169-G169)&lt;='Assumptions and Catalog'!$C$60,((D169+E169)*C169-G169)*'Assumptions and Catalog'!$H$60+'Assumptions and Catalog'!$E$60+'Assumptions and Catalog'!$F$60,IF(((D169+E169)*C169-G169)&lt;='Assumptions and Catalog'!$C$61,((D169+E169)*C169-G169)*'Assumptions and Catalog'!$H$61+'Assumptions and Catalog'!$E$61+'Assumptions and Catalog'!$F$61,IF(((D169+E169)*C169-G169)&lt;='Assumptions and Catalog'!$C$62,((D169+E169)*C169-G169)*'Assumptions and Catalog'!$H$62+'Assumptions and Catalog'!$E$62+'Assumptions and Catalog'!$F$62,IF(((D169+E169)*C169-G169)&lt;='Assumptions and Catalog'!$C$63,((D169+E169)*C169-G169)*'Assumptions and Catalog'!$H$63+'Assumptions and Catalog'!$E$63+'Assumptions and Catalog'!$F$63,IF(((D169+E169)*C169-G169)&lt;='Assumptions and Catalog'!$C$64,((D169+E169)*C169-G169)*'Assumptions and Catalog'!$H$64+'Assumptions and Catalog'!$E$64+'Assumptions and Catalog'!$F$64,IF(((D169+E169)*C169-G169)&lt;='Assumptions and Catalog'!$C$65,((D169+E169)*C169-G169)*'Assumptions and Catalog'!$H$65+'Assumptions and Catalog'!$E$65+'Assumptions and Catalog'!$F$65,"Out of range")))))))))*(1+'Assumptions and Catalog'!$C$8)^(A169-1),0)</f>
        <v>3453.61</v>
      </c>
      <c r="R169" s="5" t="n">
        <f>IF(AND('Assumptions and Catalog'!$C$19&gt;0,A169&gt;='Assumptions and Catalog'!$C$19),A169-'Assumptions and Catalog'!$C$19,A169-1)</f>
        <v>0</v>
      </c>
      <c r="S169" s="5" t="n">
        <f>F169+L169-(D169+E169)*C169-J169-K169-0</f>
        <v>0</v>
      </c>
      <c r="T169" s="5"/>
      <c r="U169" s="5"/>
    </row>
    <row r="170" ht="23.100000381469727" customHeight="1">
      <c r="A170" s="5" t="n">
        <v>1</v>
      </c>
      <c r="B170" s="5" t="n">
        <v>10</v>
      </c>
      <c r="C170" s="5" t="n">
        <f>DAY(DATE('Assumptions and Catalog'!$C$24+A170-1,B170+1,0))</f>
        <v>31</v>
      </c>
      <c r="D170" s="5" t="n">
        <f>IF(ISNUMBER(Inputs!$L$5),Inputs!$L$5*Inputs!$L$6,0)</f>
        <v>40.35</v>
      </c>
      <c r="E170" s="5" t="n">
        <f>IF(ISNUMBER(Inputs!$L$5),Inputs!$L$5-D170,0)</f>
        <v>40.35</v>
      </c>
      <c r="F170" s="5" t="n">
        <f>C$51*INDEX('Solar Production'!$D$20:$D$31,B170)*C170*(1-'Assumptions and Catalog'!$C$10)^(A170-1)</f>
        <v>1359.864</v>
      </c>
      <c r="G170" s="5" t="n">
        <f>MIN(F170,D170*C170)</f>
        <v>1250.85</v>
      </c>
      <c r="H170" s="5" t="n">
        <f>I170/('Assumptions and Catalog'!$C$11*'Assumptions and Catalog'!$C$12)</f>
        <v>0</v>
      </c>
      <c r="I170" s="5" t="n">
        <f>0</f>
        <v>0</v>
      </c>
      <c r="J170" s="5" t="n">
        <f>MAX(F170-G170-H170,0)</f>
        <v>109.014</v>
      </c>
      <c r="K170" s="5" t="n">
        <f>H170-I170</f>
        <v>0</v>
      </c>
      <c r="L170" s="5" t="n">
        <f>(D170+E170)*C170-G170-I170+0+0</f>
        <v>1250.85</v>
      </c>
      <c r="M170" s="5" t="n">
        <f>IF(ISNUMBER(Inputs!$L$5),(IF(Inputs!$L$9="Actual flat rate",((D170+E170)*C170)*Inputs!$L$10,IF(Inputs!$C$9="Residential",IF(((D170+E170)*C170)&lt;='Assumptions and Catalog'!$C$50,((D170+E170)*C170)*'Assumptions and Catalog'!$H$50+'Assumptions and Catalog'!$E$50+'Assumptions and Catalog'!$F$50,IF(((D170+E170)*C170)&lt;='Assumptions and Catalog'!$C$51,((D170+E170)*C170)*'Assumptions and Catalog'!$H$51+'Assumptions and Catalog'!$E$51+'Assumptions and Catalog'!$F$51,IF(((D170+E170)*C170)&lt;='Assumptions and Catalog'!$C$52,((D170+E170)*C170)*'Assumptions and Catalog'!$H$52+'Assumptions and Catalog'!$E$52+'Assumptions and Catalog'!$F$52,IF(((D170+E170)*C170)&lt;='Assumptions and Catalog'!$C$53,((D170+E170)*C170)*'Assumptions and Catalog'!$H$53+'Assumptions and Catalog'!$E$53+'Assumptions and Catalog'!$F$53,IF(((D170+E170)*C170)&lt;='Assumptions and Catalog'!$C$54,((D170+E170)*C170)*'Assumptions and Catalog'!$H$54+'Assumptions and Catalog'!$E$54+'Assumptions and Catalog'!$F$54,IF(((D170+E170)*C170)&lt;='Assumptions and Catalog'!$C$55,((D170+E170)*C170)*'Assumptions and Catalog'!$H$55+'Assumptions and Catalog'!$E$55+'Assumptions and Catalog'!$F$55,IF(((D170+E170)*C170)&lt;='Assumptions and Catalog'!$C$56,((D170+E170)*C170)*'Assumptions and Catalog'!$H$56+'Assumptions and Catalog'!$E$56+'Assumptions and Catalog'!$F$56,IF(((D170+E170)*C170)&lt;='Assumptions and Catalog'!$C$57,((D170+E170)*C170)*'Assumptions and Catalog'!$H$57+'Assumptions and Catalog'!$E$57+'Assumptions and Catalog'!$F$57,"Out of range")))))))),IF(((D170+E170)*C170)&lt;='Assumptions and Catalog'!$C$60,((D170+E170)*C170)*'Assumptions and Catalog'!$H$60+'Assumptions and Catalog'!$E$60+'Assumptions and Catalog'!$F$60,IF(((D170+E170)*C170)&lt;='Assumptions and Catalog'!$C$61,((D170+E170)*C170)*'Assumptions and Catalog'!$H$61+'Assumptions and Catalog'!$E$61+'Assumptions and Catalog'!$F$61,IF(((D170+E170)*C170)&lt;='Assumptions and Catalog'!$C$62,((D170+E170)*C170)*'Assumptions and Catalog'!$H$62+'Assumptions and Catalog'!$E$62+'Assumptions and Catalog'!$F$62,IF(((D170+E170)*C170)&lt;='Assumptions and Catalog'!$C$63,((D170+E170)*C170)*'Assumptions and Catalog'!$H$63+'Assumptions and Catalog'!$E$63+'Assumptions and Catalog'!$F$63,IF(((D170+E170)*C170)&lt;='Assumptions and Catalog'!$C$64,((D170+E170)*C170)*'Assumptions and Catalog'!$H$64+'Assumptions and Catalog'!$E$64+'Assumptions and Catalog'!$F$64,IF(((D170+E170)*C170)&lt;='Assumptions and Catalog'!$C$65,((D170+E170)*C170)*'Assumptions and Catalog'!$H$65+'Assumptions and Catalog'!$E$65+'Assumptions and Catalog'!$F$65,"Out of range")))))))))*(1+'Assumptions and Catalog'!$C$8)^(A170-1),0)</f>
        <v>7094.794</v>
      </c>
      <c r="N170" s="5" t="n">
        <f>IF(ISNUMBER(Inputs!$L$5),(IF(Inputs!$L$9="Actual flat rate",L170*Inputs!$L$10,IF(Inputs!$C$9="Residential",IF(L170&lt;='Assumptions and Catalog'!$C$50,L170*'Assumptions and Catalog'!$H$50+'Assumptions and Catalog'!$E$50+'Assumptions and Catalog'!$F$50,IF(L170&lt;='Assumptions and Catalog'!$C$51,L170*'Assumptions and Catalog'!$H$51+'Assumptions and Catalog'!$E$51+'Assumptions and Catalog'!$F$51,IF(L170&lt;='Assumptions and Catalog'!$C$52,L170*'Assumptions and Catalog'!$H$52+'Assumptions and Catalog'!$E$52+'Assumptions and Catalog'!$F$52,IF(L170&lt;='Assumptions and Catalog'!$C$53,L170*'Assumptions and Catalog'!$H$53+'Assumptions and Catalog'!$E$53+'Assumptions and Catalog'!$F$53,IF(L170&lt;='Assumptions and Catalog'!$C$54,L170*'Assumptions and Catalog'!$H$54+'Assumptions and Catalog'!$E$54+'Assumptions and Catalog'!$F$54,IF(L170&lt;='Assumptions and Catalog'!$C$55,L170*'Assumptions and Catalog'!$H$55+'Assumptions and Catalog'!$E$55+'Assumptions and Catalog'!$F$55,IF(L170&lt;='Assumptions and Catalog'!$C$56,L170*'Assumptions and Catalog'!$H$56+'Assumptions and Catalog'!$E$56+'Assumptions and Catalog'!$F$56,IF(L170&lt;='Assumptions and Catalog'!$C$57,L170*'Assumptions and Catalog'!$H$57+'Assumptions and Catalog'!$E$57+'Assumptions and Catalog'!$F$57,"Out of range")))))))),IF(L170&lt;='Assumptions and Catalog'!$C$60,L170*'Assumptions and Catalog'!$H$60+'Assumptions and Catalog'!$E$60+'Assumptions and Catalog'!$F$60,IF(L170&lt;='Assumptions and Catalog'!$C$61,L170*'Assumptions and Catalog'!$H$61+'Assumptions and Catalog'!$E$61+'Assumptions and Catalog'!$F$61,IF(L170&lt;='Assumptions and Catalog'!$C$62,L170*'Assumptions and Catalog'!$H$62+'Assumptions and Catalog'!$E$62+'Assumptions and Catalog'!$F$62,IF(L170&lt;='Assumptions and Catalog'!$C$63,L170*'Assumptions and Catalog'!$H$63+'Assumptions and Catalog'!$E$63+'Assumptions and Catalog'!$F$63,IF(L170&lt;='Assumptions and Catalog'!$C$64,L170*'Assumptions and Catalog'!$H$64+'Assumptions and Catalog'!$E$64+'Assumptions and Catalog'!$F$64,IF(L170&lt;='Assumptions and Catalog'!$C$65,L170*'Assumptions and Catalog'!$H$65+'Assumptions and Catalog'!$E$65+'Assumptions and Catalog'!$F$65,"Out of range")))))))))*(1+'Assumptions and Catalog'!$C$8)^(A170-1),0)</f>
        <v>3567.397</v>
      </c>
      <c r="O170" s="5" t="n">
        <f>M170-N170</f>
        <v>3527.397</v>
      </c>
      <c r="P170" s="5" t="n">
        <f>C$55*(1-J$14)*(1-'Assumptions and Catalog'!$C$23)^R170</f>
        <v>0</v>
      </c>
      <c r="Q170" s="5" t="n">
        <f>IF(ISNUMBER(Inputs!$L$5),(IF(Inputs!$L$9="Actual flat rate",((D170+E170)*C170-G170)*Inputs!$L$10,IF(Inputs!$C$9="Residential",IF(((D170+E170)*C170-G170)&lt;='Assumptions and Catalog'!$C$50,((D170+E170)*C170-G170)*'Assumptions and Catalog'!$H$50+'Assumptions and Catalog'!$E$50+'Assumptions and Catalog'!$F$50,IF(((D170+E170)*C170-G170)&lt;='Assumptions and Catalog'!$C$51,((D170+E170)*C170-G170)*'Assumptions and Catalog'!$H$51+'Assumptions and Catalog'!$E$51+'Assumptions and Catalog'!$F$51,IF(((D170+E170)*C170-G170)&lt;='Assumptions and Catalog'!$C$52,((D170+E170)*C170-G170)*'Assumptions and Catalog'!$H$52+'Assumptions and Catalog'!$E$52+'Assumptions and Catalog'!$F$52,IF(((D170+E170)*C170-G170)&lt;='Assumptions and Catalog'!$C$53,((D170+E170)*C170-G170)*'Assumptions and Catalog'!$H$53+'Assumptions and Catalog'!$E$53+'Assumptions and Catalog'!$F$53,IF(((D170+E170)*C170-G170)&lt;='Assumptions and Catalog'!$C$54,((D170+E170)*C170-G170)*'Assumptions and Catalog'!$H$54+'Assumptions and Catalog'!$E$54+'Assumptions and Catalog'!$F$54,IF(((D170+E170)*C170-G170)&lt;='Assumptions and Catalog'!$C$55,((D170+E170)*C170-G170)*'Assumptions and Catalog'!$H$55+'Assumptions and Catalog'!$E$55+'Assumptions and Catalog'!$F$55,IF(((D170+E170)*C170-G170)&lt;='Assumptions and Catalog'!$C$56,((D170+E170)*C170-G170)*'Assumptions and Catalog'!$H$56+'Assumptions and Catalog'!$E$56+'Assumptions and Catalog'!$F$56,IF(((D170+E170)*C170-G170)&lt;='Assumptions and Catalog'!$C$57,((D170+E170)*C170-G170)*'Assumptions and Catalog'!$H$57+'Assumptions and Catalog'!$E$57+'Assumptions and Catalog'!$F$57,"Out of range")))))))),IF(((D170+E170)*C170-G170)&lt;='Assumptions and Catalog'!$C$60,((D170+E170)*C170-G170)*'Assumptions and Catalog'!$H$60+'Assumptions and Catalog'!$E$60+'Assumptions and Catalog'!$F$60,IF(((D170+E170)*C170-G170)&lt;='Assumptions and Catalog'!$C$61,((D170+E170)*C170-G170)*'Assumptions and Catalog'!$H$61+'Assumptions and Catalog'!$E$61+'Assumptions and Catalog'!$F$61,IF(((D170+E170)*C170-G170)&lt;='Assumptions and Catalog'!$C$62,((D170+E170)*C170-G170)*'Assumptions and Catalog'!$H$62+'Assumptions and Catalog'!$E$62+'Assumptions and Catalog'!$F$62,IF(((D170+E170)*C170-G170)&lt;='Assumptions and Catalog'!$C$63,((D170+E170)*C170-G170)*'Assumptions and Catalog'!$H$63+'Assumptions and Catalog'!$E$63+'Assumptions and Catalog'!$F$63,IF(((D170+E170)*C170-G170)&lt;='Assumptions and Catalog'!$C$64,((D170+E170)*C170-G170)*'Assumptions and Catalog'!$H$64+'Assumptions and Catalog'!$E$64+'Assumptions and Catalog'!$F$64,IF(((D170+E170)*C170-G170)&lt;='Assumptions and Catalog'!$C$65,((D170+E170)*C170-G170)*'Assumptions and Catalog'!$H$65+'Assumptions and Catalog'!$E$65+'Assumptions and Catalog'!$F$65,"Out of range")))))))))*(1+'Assumptions and Catalog'!$C$8)^(A170-1),0)</f>
        <v>3567.397</v>
      </c>
      <c r="R170" s="5" t="n">
        <f>IF(AND('Assumptions and Catalog'!$C$19&gt;0,A170&gt;='Assumptions and Catalog'!$C$19),A170-'Assumptions and Catalog'!$C$19,A170-1)</f>
        <v>0</v>
      </c>
      <c r="S170" s="5" t="n">
        <f>F170+L170-(D170+E170)*C170-J170-K170-0</f>
        <v>0</v>
      </c>
      <c r="T170" s="5"/>
      <c r="U170" s="5"/>
    </row>
    <row r="171" ht="23.100000381469727" customHeight="1">
      <c r="A171" s="5" t="n">
        <v>1</v>
      </c>
      <c r="B171" s="5" t="n">
        <v>11</v>
      </c>
      <c r="C171" s="5" t="n">
        <f>DAY(DATE('Assumptions and Catalog'!$C$24+A171-1,B171+1,0))</f>
        <v>30</v>
      </c>
      <c r="D171" s="5" t="n">
        <f>IF(ISNUMBER(Inputs!$L$5),Inputs!$L$5*Inputs!$L$6,0)</f>
        <v>40.35</v>
      </c>
      <c r="E171" s="5" t="n">
        <f>IF(ISNUMBER(Inputs!$L$5),Inputs!$L$5-D171,0)</f>
        <v>40.35</v>
      </c>
      <c r="F171" s="5" t="n">
        <f>C$51*INDEX('Solar Production'!$D$20:$D$31,B171)*C171*(1-'Assumptions and Catalog'!$C$10)^(A171-1)</f>
        <v>1205.336</v>
      </c>
      <c r="G171" s="5" t="n">
        <f>MIN(F171,D171*C171)</f>
        <v>1205.336</v>
      </c>
      <c r="H171" s="5" t="n">
        <f>I171/('Assumptions and Catalog'!$C$11*'Assumptions and Catalog'!$C$12)</f>
        <v>0</v>
      </c>
      <c r="I171" s="5" t="n">
        <f>0</f>
        <v>0</v>
      </c>
      <c r="J171" s="5" t="n">
        <f>MAX(F171-G171-H171,0)</f>
        <v>0</v>
      </c>
      <c r="K171" s="5" t="n">
        <f>H171-I171</f>
        <v>0</v>
      </c>
      <c r="L171" s="5" t="n">
        <f>(D171+E171)*C171-G171-I171+0+0</f>
        <v>1215.664</v>
      </c>
      <c r="M171" s="5" t="n">
        <f>IF(ISNUMBER(Inputs!$L$5),(IF(Inputs!$L$9="Actual flat rate",((D171+E171)*C171)*Inputs!$L$10,IF(Inputs!$C$9="Residential",IF(((D171+E171)*C171)&lt;='Assumptions and Catalog'!$C$50,((D171+E171)*C171)*'Assumptions and Catalog'!$H$50+'Assumptions and Catalog'!$E$50+'Assumptions and Catalog'!$F$50,IF(((D171+E171)*C171)&lt;='Assumptions and Catalog'!$C$51,((D171+E171)*C171)*'Assumptions and Catalog'!$H$51+'Assumptions and Catalog'!$E$51+'Assumptions and Catalog'!$F$51,IF(((D171+E171)*C171)&lt;='Assumptions and Catalog'!$C$52,((D171+E171)*C171)*'Assumptions and Catalog'!$H$52+'Assumptions and Catalog'!$E$52+'Assumptions and Catalog'!$F$52,IF(((D171+E171)*C171)&lt;='Assumptions and Catalog'!$C$53,((D171+E171)*C171)*'Assumptions and Catalog'!$H$53+'Assumptions and Catalog'!$E$53+'Assumptions and Catalog'!$F$53,IF(((D171+E171)*C171)&lt;='Assumptions and Catalog'!$C$54,((D171+E171)*C171)*'Assumptions and Catalog'!$H$54+'Assumptions and Catalog'!$E$54+'Assumptions and Catalog'!$F$54,IF(((D171+E171)*C171)&lt;='Assumptions and Catalog'!$C$55,((D171+E171)*C171)*'Assumptions and Catalog'!$H$55+'Assumptions and Catalog'!$E$55+'Assumptions and Catalog'!$F$55,IF(((D171+E171)*C171)&lt;='Assumptions and Catalog'!$C$56,((D171+E171)*C171)*'Assumptions and Catalog'!$H$56+'Assumptions and Catalog'!$E$56+'Assumptions and Catalog'!$F$56,IF(((D171+E171)*C171)&lt;='Assumptions and Catalog'!$C$57,((D171+E171)*C171)*'Assumptions and Catalog'!$H$57+'Assumptions and Catalog'!$E$57+'Assumptions and Catalog'!$F$57,"Out of range")))))))),IF(((D171+E171)*C171)&lt;='Assumptions and Catalog'!$C$60,((D171+E171)*C171)*'Assumptions and Catalog'!$H$60+'Assumptions and Catalog'!$E$60+'Assumptions and Catalog'!$F$60,IF(((D171+E171)*C171)&lt;='Assumptions and Catalog'!$C$61,((D171+E171)*C171)*'Assumptions and Catalog'!$H$61+'Assumptions and Catalog'!$E$61+'Assumptions and Catalog'!$F$61,IF(((D171+E171)*C171)&lt;='Assumptions and Catalog'!$C$62,((D171+E171)*C171)*'Assumptions and Catalog'!$H$62+'Assumptions and Catalog'!$E$62+'Assumptions and Catalog'!$F$62,IF(((D171+E171)*C171)&lt;='Assumptions and Catalog'!$C$63,((D171+E171)*C171)*'Assumptions and Catalog'!$H$63+'Assumptions and Catalog'!$E$63+'Assumptions and Catalog'!$F$63,IF(((D171+E171)*C171)&lt;='Assumptions and Catalog'!$C$64,((D171+E171)*C171)*'Assumptions and Catalog'!$H$64+'Assumptions and Catalog'!$E$64+'Assumptions and Catalog'!$F$64,IF(((D171+E171)*C171)&lt;='Assumptions and Catalog'!$C$65,((D171+E171)*C171)*'Assumptions and Catalog'!$H$65+'Assumptions and Catalog'!$E$65+'Assumptions and Catalog'!$F$65,"Out of range")))))))))*(1+'Assumptions and Catalog'!$C$8)^(A171-1),0)</f>
        <v>6867.22</v>
      </c>
      <c r="N171" s="5" t="n">
        <f>IF(ISNUMBER(Inputs!$L$5),(IF(Inputs!$L$9="Actual flat rate",L171*Inputs!$L$10,IF(Inputs!$C$9="Residential",IF(L171&lt;='Assumptions and Catalog'!$C$50,L171*'Assumptions and Catalog'!$H$50+'Assumptions and Catalog'!$E$50+'Assumptions and Catalog'!$F$50,IF(L171&lt;='Assumptions and Catalog'!$C$51,L171*'Assumptions and Catalog'!$H$51+'Assumptions and Catalog'!$E$51+'Assumptions and Catalog'!$F$51,IF(L171&lt;='Assumptions and Catalog'!$C$52,L171*'Assumptions and Catalog'!$H$52+'Assumptions and Catalog'!$E$52+'Assumptions and Catalog'!$F$52,IF(L171&lt;='Assumptions and Catalog'!$C$53,L171*'Assumptions and Catalog'!$H$53+'Assumptions and Catalog'!$E$53+'Assumptions and Catalog'!$F$53,IF(L171&lt;='Assumptions and Catalog'!$C$54,L171*'Assumptions and Catalog'!$H$54+'Assumptions and Catalog'!$E$54+'Assumptions and Catalog'!$F$54,IF(L171&lt;='Assumptions and Catalog'!$C$55,L171*'Assumptions and Catalog'!$H$55+'Assumptions and Catalog'!$E$55+'Assumptions and Catalog'!$F$55,IF(L171&lt;='Assumptions and Catalog'!$C$56,L171*'Assumptions and Catalog'!$H$56+'Assumptions and Catalog'!$E$56+'Assumptions and Catalog'!$F$56,IF(L171&lt;='Assumptions and Catalog'!$C$57,L171*'Assumptions and Catalog'!$H$57+'Assumptions and Catalog'!$E$57+'Assumptions and Catalog'!$F$57,"Out of range")))))))),IF(L171&lt;='Assumptions and Catalog'!$C$60,L171*'Assumptions and Catalog'!$H$60+'Assumptions and Catalog'!$E$60+'Assumptions and Catalog'!$F$60,IF(L171&lt;='Assumptions and Catalog'!$C$61,L171*'Assumptions and Catalog'!$H$61+'Assumptions and Catalog'!$E$61+'Assumptions and Catalog'!$F$61,IF(L171&lt;='Assumptions and Catalog'!$C$62,L171*'Assumptions and Catalog'!$H$62+'Assumptions and Catalog'!$E$62+'Assumptions and Catalog'!$F$62,IF(L171&lt;='Assumptions and Catalog'!$C$63,L171*'Assumptions and Catalog'!$H$63+'Assumptions and Catalog'!$E$63+'Assumptions and Catalog'!$F$63,IF(L171&lt;='Assumptions and Catalog'!$C$64,L171*'Assumptions and Catalog'!$H$64+'Assumptions and Catalog'!$E$64+'Assumptions and Catalog'!$F$64,IF(L171&lt;='Assumptions and Catalog'!$C$65,L171*'Assumptions and Catalog'!$H$65+'Assumptions and Catalog'!$E$65+'Assumptions and Catalog'!$F$65,"Out of range")))))))))*(1+'Assumptions and Catalog'!$C$8)^(A171-1),0)</f>
        <v>3468.17248</v>
      </c>
      <c r="O171" s="5" t="n">
        <f>M171-N171</f>
        <v>3399.04752</v>
      </c>
      <c r="P171" s="5" t="n">
        <f>C$55*(1-J$14)*(1-'Assumptions and Catalog'!$C$23)^R171</f>
        <v>0</v>
      </c>
      <c r="Q171" s="5" t="n">
        <f>IF(ISNUMBER(Inputs!$L$5),(IF(Inputs!$L$9="Actual flat rate",((D171+E171)*C171-G171)*Inputs!$L$10,IF(Inputs!$C$9="Residential",IF(((D171+E171)*C171-G171)&lt;='Assumptions and Catalog'!$C$50,((D171+E171)*C171-G171)*'Assumptions and Catalog'!$H$50+'Assumptions and Catalog'!$E$50+'Assumptions and Catalog'!$F$50,IF(((D171+E171)*C171-G171)&lt;='Assumptions and Catalog'!$C$51,((D171+E171)*C171-G171)*'Assumptions and Catalog'!$H$51+'Assumptions and Catalog'!$E$51+'Assumptions and Catalog'!$F$51,IF(((D171+E171)*C171-G171)&lt;='Assumptions and Catalog'!$C$52,((D171+E171)*C171-G171)*'Assumptions and Catalog'!$H$52+'Assumptions and Catalog'!$E$52+'Assumptions and Catalog'!$F$52,IF(((D171+E171)*C171-G171)&lt;='Assumptions and Catalog'!$C$53,((D171+E171)*C171-G171)*'Assumptions and Catalog'!$H$53+'Assumptions and Catalog'!$E$53+'Assumptions and Catalog'!$F$53,IF(((D171+E171)*C171-G171)&lt;='Assumptions and Catalog'!$C$54,((D171+E171)*C171-G171)*'Assumptions and Catalog'!$H$54+'Assumptions and Catalog'!$E$54+'Assumptions and Catalog'!$F$54,IF(((D171+E171)*C171-G171)&lt;='Assumptions and Catalog'!$C$55,((D171+E171)*C171-G171)*'Assumptions and Catalog'!$H$55+'Assumptions and Catalog'!$E$55+'Assumptions and Catalog'!$F$55,IF(((D171+E171)*C171-G171)&lt;='Assumptions and Catalog'!$C$56,((D171+E171)*C171-G171)*'Assumptions and Catalog'!$H$56+'Assumptions and Catalog'!$E$56+'Assumptions and Catalog'!$F$56,IF(((D171+E171)*C171-G171)&lt;='Assumptions and Catalog'!$C$57,((D171+E171)*C171-G171)*'Assumptions and Catalog'!$H$57+'Assumptions and Catalog'!$E$57+'Assumptions and Catalog'!$F$57,"Out of range")))))))),IF(((D171+E171)*C171-G171)&lt;='Assumptions and Catalog'!$C$60,((D171+E171)*C171-G171)*'Assumptions and Catalog'!$H$60+'Assumptions and Catalog'!$E$60+'Assumptions and Catalog'!$F$60,IF(((D171+E171)*C171-G171)&lt;='Assumptions and Catalog'!$C$61,((D171+E171)*C171-G171)*'Assumptions and Catalog'!$H$61+'Assumptions and Catalog'!$E$61+'Assumptions and Catalog'!$F$61,IF(((D171+E171)*C171-G171)&lt;='Assumptions and Catalog'!$C$62,((D171+E171)*C171-G171)*'Assumptions and Catalog'!$H$62+'Assumptions and Catalog'!$E$62+'Assumptions and Catalog'!$F$62,IF(((D171+E171)*C171-G171)&lt;='Assumptions and Catalog'!$C$63,((D171+E171)*C171-G171)*'Assumptions and Catalog'!$H$63+'Assumptions and Catalog'!$E$63+'Assumptions and Catalog'!$F$63,IF(((D171+E171)*C171-G171)&lt;='Assumptions and Catalog'!$C$64,((D171+E171)*C171-G171)*'Assumptions and Catalog'!$H$64+'Assumptions and Catalog'!$E$64+'Assumptions and Catalog'!$F$64,IF(((D171+E171)*C171-G171)&lt;='Assumptions and Catalog'!$C$65,((D171+E171)*C171-G171)*'Assumptions and Catalog'!$H$65+'Assumptions and Catalog'!$E$65+'Assumptions and Catalog'!$F$65,"Out of range")))))))))*(1+'Assumptions and Catalog'!$C$8)^(A171-1),0)</f>
        <v>3468.17248</v>
      </c>
      <c r="R171" s="5" t="n">
        <f>IF(AND('Assumptions and Catalog'!$C$19&gt;0,A171&gt;='Assumptions and Catalog'!$C$19),A171-'Assumptions and Catalog'!$C$19,A171-1)</f>
        <v>0</v>
      </c>
      <c r="S171" s="5" t="n">
        <f>F171+L171-(D171+E171)*C171-J171-K171-0</f>
        <v>0</v>
      </c>
      <c r="T171" s="5"/>
      <c r="U171" s="5"/>
    </row>
    <row r="172" ht="23.100000381469727" customHeight="1">
      <c r="A172" s="5" t="n">
        <v>1</v>
      </c>
      <c r="B172" s="5" t="n">
        <v>12</v>
      </c>
      <c r="C172" s="5" t="n">
        <f>DAY(DATE('Assumptions and Catalog'!$C$24+A172-1,B172+1,0))</f>
        <v>31</v>
      </c>
      <c r="D172" s="5" t="n">
        <f>IF(ISNUMBER(Inputs!$L$5),Inputs!$L$5*Inputs!$L$6,0)</f>
        <v>40.35</v>
      </c>
      <c r="E172" s="5" t="n">
        <f>IF(ISNUMBER(Inputs!$L$5),Inputs!$L$5-D172,0)</f>
        <v>40.35</v>
      </c>
      <c r="F172" s="5" t="n">
        <f>C$51*INDEX('Solar Production'!$D$20:$D$31,B172)*C172*(1-'Assumptions and Catalog'!$C$10)^(A172-1)</f>
        <v>1147.52</v>
      </c>
      <c r="G172" s="5" t="n">
        <f>MIN(F172,D172*C172)</f>
        <v>1147.52</v>
      </c>
      <c r="H172" s="5" t="n">
        <f>I172/('Assumptions and Catalog'!$C$11*'Assumptions and Catalog'!$C$12)</f>
        <v>0</v>
      </c>
      <c r="I172" s="5" t="n">
        <f>0</f>
        <v>0</v>
      </c>
      <c r="J172" s="5" t="n">
        <f>MAX(F172-G172-H172,0)</f>
        <v>0</v>
      </c>
      <c r="K172" s="5" t="n">
        <f>H172-I172</f>
        <v>0</v>
      </c>
      <c r="L172" s="5" t="n">
        <f>(D172+E172)*C172-G172-I172+0+0</f>
        <v>1354.18</v>
      </c>
      <c r="M172" s="5" t="n">
        <f>IF(ISNUMBER(Inputs!$L$5),(IF(Inputs!$L$9="Actual flat rate",((D172+E172)*C172)*Inputs!$L$10,IF(Inputs!$C$9="Residential",IF(((D172+E172)*C172)&lt;='Assumptions and Catalog'!$C$50,((D172+E172)*C172)*'Assumptions and Catalog'!$H$50+'Assumptions and Catalog'!$E$50+'Assumptions and Catalog'!$F$50,IF(((D172+E172)*C172)&lt;='Assumptions and Catalog'!$C$51,((D172+E172)*C172)*'Assumptions and Catalog'!$H$51+'Assumptions and Catalog'!$E$51+'Assumptions and Catalog'!$F$51,IF(((D172+E172)*C172)&lt;='Assumptions and Catalog'!$C$52,((D172+E172)*C172)*'Assumptions and Catalog'!$H$52+'Assumptions and Catalog'!$E$52+'Assumptions and Catalog'!$F$52,IF(((D172+E172)*C172)&lt;='Assumptions and Catalog'!$C$53,((D172+E172)*C172)*'Assumptions and Catalog'!$H$53+'Assumptions and Catalog'!$E$53+'Assumptions and Catalog'!$F$53,IF(((D172+E172)*C172)&lt;='Assumptions and Catalog'!$C$54,((D172+E172)*C172)*'Assumptions and Catalog'!$H$54+'Assumptions and Catalog'!$E$54+'Assumptions and Catalog'!$F$54,IF(((D172+E172)*C172)&lt;='Assumptions and Catalog'!$C$55,((D172+E172)*C172)*'Assumptions and Catalog'!$H$55+'Assumptions and Catalog'!$E$55+'Assumptions and Catalog'!$F$55,IF(((D172+E172)*C172)&lt;='Assumptions and Catalog'!$C$56,((D172+E172)*C172)*'Assumptions and Catalog'!$H$56+'Assumptions and Catalog'!$E$56+'Assumptions and Catalog'!$F$56,IF(((D172+E172)*C172)&lt;='Assumptions and Catalog'!$C$57,((D172+E172)*C172)*'Assumptions and Catalog'!$H$57+'Assumptions and Catalog'!$E$57+'Assumptions and Catalog'!$F$57,"Out of range")))))))),IF(((D172+E172)*C172)&lt;='Assumptions and Catalog'!$C$60,((D172+E172)*C172)*'Assumptions and Catalog'!$H$60+'Assumptions and Catalog'!$E$60+'Assumptions and Catalog'!$F$60,IF(((D172+E172)*C172)&lt;='Assumptions and Catalog'!$C$61,((D172+E172)*C172)*'Assumptions and Catalog'!$H$61+'Assumptions and Catalog'!$E$61+'Assumptions and Catalog'!$F$61,IF(((D172+E172)*C172)&lt;='Assumptions and Catalog'!$C$62,((D172+E172)*C172)*'Assumptions and Catalog'!$H$62+'Assumptions and Catalog'!$E$62+'Assumptions and Catalog'!$F$62,IF(((D172+E172)*C172)&lt;='Assumptions and Catalog'!$C$63,((D172+E172)*C172)*'Assumptions and Catalog'!$H$63+'Assumptions and Catalog'!$E$63+'Assumptions and Catalog'!$F$63,IF(((D172+E172)*C172)&lt;='Assumptions and Catalog'!$C$64,((D172+E172)*C172)*'Assumptions and Catalog'!$H$64+'Assumptions and Catalog'!$E$64+'Assumptions and Catalog'!$F$64,IF(((D172+E172)*C172)&lt;='Assumptions and Catalog'!$C$65,((D172+E172)*C172)*'Assumptions and Catalog'!$H$65+'Assumptions and Catalog'!$E$65+'Assumptions and Catalog'!$F$65,"Out of range")))))))))*(1+'Assumptions and Catalog'!$C$8)^(A172-1),0)</f>
        <v>7094.794</v>
      </c>
      <c r="N172" s="5" t="n">
        <f>IF(ISNUMBER(Inputs!$L$5),(IF(Inputs!$L$9="Actual flat rate",L172*Inputs!$L$10,IF(Inputs!$C$9="Residential",IF(L172&lt;='Assumptions and Catalog'!$C$50,L172*'Assumptions and Catalog'!$H$50+'Assumptions and Catalog'!$E$50+'Assumptions and Catalog'!$F$50,IF(L172&lt;='Assumptions and Catalog'!$C$51,L172*'Assumptions and Catalog'!$H$51+'Assumptions and Catalog'!$E$51+'Assumptions and Catalog'!$F$51,IF(L172&lt;='Assumptions and Catalog'!$C$52,L172*'Assumptions and Catalog'!$H$52+'Assumptions and Catalog'!$E$52+'Assumptions and Catalog'!$F$52,IF(L172&lt;='Assumptions and Catalog'!$C$53,L172*'Assumptions and Catalog'!$H$53+'Assumptions and Catalog'!$E$53+'Assumptions and Catalog'!$F$53,IF(L172&lt;='Assumptions and Catalog'!$C$54,L172*'Assumptions and Catalog'!$H$54+'Assumptions and Catalog'!$E$54+'Assumptions and Catalog'!$F$54,IF(L172&lt;='Assumptions and Catalog'!$C$55,L172*'Assumptions and Catalog'!$H$55+'Assumptions and Catalog'!$E$55+'Assumptions and Catalog'!$F$55,IF(L172&lt;='Assumptions and Catalog'!$C$56,L172*'Assumptions and Catalog'!$H$56+'Assumptions and Catalog'!$E$56+'Assumptions and Catalog'!$F$56,IF(L172&lt;='Assumptions and Catalog'!$C$57,L172*'Assumptions and Catalog'!$H$57+'Assumptions and Catalog'!$E$57+'Assumptions and Catalog'!$F$57,"Out of range")))))))),IF(L172&lt;='Assumptions and Catalog'!$C$60,L172*'Assumptions and Catalog'!$H$60+'Assumptions and Catalog'!$E$60+'Assumptions and Catalog'!$F$60,IF(L172&lt;='Assumptions and Catalog'!$C$61,L172*'Assumptions and Catalog'!$H$61+'Assumptions and Catalog'!$E$61+'Assumptions and Catalog'!$F$61,IF(L172&lt;='Assumptions and Catalog'!$C$62,L172*'Assumptions and Catalog'!$H$62+'Assumptions and Catalog'!$E$62+'Assumptions and Catalog'!$F$62,IF(L172&lt;='Assumptions and Catalog'!$C$63,L172*'Assumptions and Catalog'!$H$63+'Assumptions and Catalog'!$E$63+'Assumptions and Catalog'!$F$63,IF(L172&lt;='Assumptions and Catalog'!$C$64,L172*'Assumptions and Catalog'!$H$64+'Assumptions and Catalog'!$E$64+'Assumptions and Catalog'!$F$64,IF(L172&lt;='Assumptions and Catalog'!$C$65,L172*'Assumptions and Catalog'!$H$65+'Assumptions and Catalog'!$E$65+'Assumptions and Catalog'!$F$65,"Out of range")))))))))*(1+'Assumptions and Catalog'!$C$8)^(A172-1),0)</f>
        <v>3858.7876</v>
      </c>
      <c r="O172" s="5" t="n">
        <f>M172-N172</f>
        <v>3236.0064</v>
      </c>
      <c r="P172" s="5" t="n">
        <f>C$55*(1-J$14)*(1-'Assumptions and Catalog'!$C$23)^R172</f>
        <v>0</v>
      </c>
      <c r="Q172" s="5" t="n">
        <f>IF(ISNUMBER(Inputs!$L$5),(IF(Inputs!$L$9="Actual flat rate",((D172+E172)*C172-G172)*Inputs!$L$10,IF(Inputs!$C$9="Residential",IF(((D172+E172)*C172-G172)&lt;='Assumptions and Catalog'!$C$50,((D172+E172)*C172-G172)*'Assumptions and Catalog'!$H$50+'Assumptions and Catalog'!$E$50+'Assumptions and Catalog'!$F$50,IF(((D172+E172)*C172-G172)&lt;='Assumptions and Catalog'!$C$51,((D172+E172)*C172-G172)*'Assumptions and Catalog'!$H$51+'Assumptions and Catalog'!$E$51+'Assumptions and Catalog'!$F$51,IF(((D172+E172)*C172-G172)&lt;='Assumptions and Catalog'!$C$52,((D172+E172)*C172-G172)*'Assumptions and Catalog'!$H$52+'Assumptions and Catalog'!$E$52+'Assumptions and Catalog'!$F$52,IF(((D172+E172)*C172-G172)&lt;='Assumptions and Catalog'!$C$53,((D172+E172)*C172-G172)*'Assumptions and Catalog'!$H$53+'Assumptions and Catalog'!$E$53+'Assumptions and Catalog'!$F$53,IF(((D172+E172)*C172-G172)&lt;='Assumptions and Catalog'!$C$54,((D172+E172)*C172-G172)*'Assumptions and Catalog'!$H$54+'Assumptions and Catalog'!$E$54+'Assumptions and Catalog'!$F$54,IF(((D172+E172)*C172-G172)&lt;='Assumptions and Catalog'!$C$55,((D172+E172)*C172-G172)*'Assumptions and Catalog'!$H$55+'Assumptions and Catalog'!$E$55+'Assumptions and Catalog'!$F$55,IF(((D172+E172)*C172-G172)&lt;='Assumptions and Catalog'!$C$56,((D172+E172)*C172-G172)*'Assumptions and Catalog'!$H$56+'Assumptions and Catalog'!$E$56+'Assumptions and Catalog'!$F$56,IF(((D172+E172)*C172-G172)&lt;='Assumptions and Catalog'!$C$57,((D172+E172)*C172-G172)*'Assumptions and Catalog'!$H$57+'Assumptions and Catalog'!$E$57+'Assumptions and Catalog'!$F$57,"Out of range")))))))),IF(((D172+E172)*C172-G172)&lt;='Assumptions and Catalog'!$C$60,((D172+E172)*C172-G172)*'Assumptions and Catalog'!$H$60+'Assumptions and Catalog'!$E$60+'Assumptions and Catalog'!$F$60,IF(((D172+E172)*C172-G172)&lt;='Assumptions and Catalog'!$C$61,((D172+E172)*C172-G172)*'Assumptions and Catalog'!$H$61+'Assumptions and Catalog'!$E$61+'Assumptions and Catalog'!$F$61,IF(((D172+E172)*C172-G172)&lt;='Assumptions and Catalog'!$C$62,((D172+E172)*C172-G172)*'Assumptions and Catalog'!$H$62+'Assumptions and Catalog'!$E$62+'Assumptions and Catalog'!$F$62,IF(((D172+E172)*C172-G172)&lt;='Assumptions and Catalog'!$C$63,((D172+E172)*C172-G172)*'Assumptions and Catalog'!$H$63+'Assumptions and Catalog'!$E$63+'Assumptions and Catalog'!$F$63,IF(((D172+E172)*C172-G172)&lt;='Assumptions and Catalog'!$C$64,((D172+E172)*C172-G172)*'Assumptions and Catalog'!$H$64+'Assumptions and Catalog'!$E$64+'Assumptions and Catalog'!$F$64,IF(((D172+E172)*C172-G172)&lt;='Assumptions and Catalog'!$C$65,((D172+E172)*C172-G172)*'Assumptions and Catalog'!$H$65+'Assumptions and Catalog'!$E$65+'Assumptions and Catalog'!$F$65,"Out of range")))))))))*(1+'Assumptions and Catalog'!$C$8)^(A172-1),0)</f>
        <v>3858.7876</v>
      </c>
      <c r="R172" s="5" t="n">
        <f>IF(AND('Assumptions and Catalog'!$C$19&gt;0,A172&gt;='Assumptions and Catalog'!$C$19),A172-'Assumptions and Catalog'!$C$19,A172-1)</f>
        <v>0</v>
      </c>
      <c r="S172" s="5" t="n">
        <f>F172+L172-(D172+E172)*C172-J172-K172-0</f>
        <v>0</v>
      </c>
      <c r="T172" s="5"/>
      <c r="U172" s="5"/>
    </row>
    <row r="173" ht="23.100000381469727" customHeight="1">
      <c r="A173" s="5" t="n">
        <v>2</v>
      </c>
      <c r="B173" s="5" t="n">
        <v>1</v>
      </c>
      <c r="C173" s="5" t="n">
        <f>DAY(DATE('Assumptions and Catalog'!$C$24+A173-1,B173+1,0))</f>
        <v>31</v>
      </c>
      <c r="D173" s="5" t="n">
        <f>IF(ISNUMBER(Inputs!$L$5),Inputs!$L$5*Inputs!$L$6,0)</f>
        <v>40.35</v>
      </c>
      <c r="E173" s="5" t="n">
        <f>IF(ISNUMBER(Inputs!$L$5),Inputs!$L$5-D173,0)</f>
        <v>40.35</v>
      </c>
      <c r="F173" s="5" t="n">
        <f>C$51*INDEX('Solar Production'!$D$20:$D$31,B173)*C173*(1-'Assumptions and Catalog'!$C$10)^(A173-1)</f>
        <v>1149.6628</v>
      </c>
      <c r="G173" s="5" t="n">
        <f>MIN(F173,D173*C173)</f>
        <v>1149.6628</v>
      </c>
      <c r="H173" s="5" t="n">
        <f>I173/('Assumptions and Catalog'!$C$11*'Assumptions and Catalog'!$C$12)</f>
        <v>0</v>
      </c>
      <c r="I173" s="5" t="n">
        <f>0</f>
        <v>0</v>
      </c>
      <c r="J173" s="5" t="n">
        <f>MAX(F173-G173-H173,0)</f>
        <v>0</v>
      </c>
      <c r="K173" s="5" t="n">
        <f>H173-I173</f>
        <v>0</v>
      </c>
      <c r="L173" s="5" t="n">
        <f>(D173+E173)*C173-G173-I173+0+0</f>
        <v>1352.0372</v>
      </c>
      <c r="M173" s="5" t="n">
        <f>IF(ISNUMBER(Inputs!$L$5),(IF(Inputs!$L$9="Actual flat rate",((D173+E173)*C173)*Inputs!$L$10,IF(Inputs!$C$9="Residential",IF(((D173+E173)*C173)&lt;='Assumptions and Catalog'!$C$50,((D173+E173)*C173)*'Assumptions and Catalog'!$H$50+'Assumptions and Catalog'!$E$50+'Assumptions and Catalog'!$F$50,IF(((D173+E173)*C173)&lt;='Assumptions and Catalog'!$C$51,((D173+E173)*C173)*'Assumptions and Catalog'!$H$51+'Assumptions and Catalog'!$E$51+'Assumptions and Catalog'!$F$51,IF(((D173+E173)*C173)&lt;='Assumptions and Catalog'!$C$52,((D173+E173)*C173)*'Assumptions and Catalog'!$H$52+'Assumptions and Catalog'!$E$52+'Assumptions and Catalog'!$F$52,IF(((D173+E173)*C173)&lt;='Assumptions and Catalog'!$C$53,((D173+E173)*C173)*'Assumptions and Catalog'!$H$53+'Assumptions and Catalog'!$E$53+'Assumptions and Catalog'!$F$53,IF(((D173+E173)*C173)&lt;='Assumptions and Catalog'!$C$54,((D173+E173)*C173)*'Assumptions and Catalog'!$H$54+'Assumptions and Catalog'!$E$54+'Assumptions and Catalog'!$F$54,IF(((D173+E173)*C173)&lt;='Assumptions and Catalog'!$C$55,((D173+E173)*C173)*'Assumptions and Catalog'!$H$55+'Assumptions and Catalog'!$E$55+'Assumptions and Catalog'!$F$55,IF(((D173+E173)*C173)&lt;='Assumptions and Catalog'!$C$56,((D173+E173)*C173)*'Assumptions and Catalog'!$H$56+'Assumptions and Catalog'!$E$56+'Assumptions and Catalog'!$F$56,IF(((D173+E173)*C173)&lt;='Assumptions and Catalog'!$C$57,((D173+E173)*C173)*'Assumptions and Catalog'!$H$57+'Assumptions and Catalog'!$E$57+'Assumptions and Catalog'!$F$57,"Out of range")))))))),IF(((D173+E173)*C173)&lt;='Assumptions and Catalog'!$C$60,((D173+E173)*C173)*'Assumptions and Catalog'!$H$60+'Assumptions and Catalog'!$E$60+'Assumptions and Catalog'!$F$60,IF(((D173+E173)*C173)&lt;='Assumptions and Catalog'!$C$61,((D173+E173)*C173)*'Assumptions and Catalog'!$H$61+'Assumptions and Catalog'!$E$61+'Assumptions and Catalog'!$F$61,IF(((D173+E173)*C173)&lt;='Assumptions and Catalog'!$C$62,((D173+E173)*C173)*'Assumptions and Catalog'!$H$62+'Assumptions and Catalog'!$E$62+'Assumptions and Catalog'!$F$62,IF(((D173+E173)*C173)&lt;='Assumptions and Catalog'!$C$63,((D173+E173)*C173)*'Assumptions and Catalog'!$H$63+'Assumptions and Catalog'!$E$63+'Assumptions and Catalog'!$F$63,IF(((D173+E173)*C173)&lt;='Assumptions and Catalog'!$C$64,((D173+E173)*C173)*'Assumptions and Catalog'!$H$64+'Assumptions and Catalog'!$E$64+'Assumptions and Catalog'!$F$64,IF(((D173+E173)*C173)&lt;='Assumptions and Catalog'!$C$65,((D173+E173)*C173)*'Assumptions and Catalog'!$H$65+'Assumptions and Catalog'!$E$65+'Assumptions and Catalog'!$F$65,"Out of range")))))))))*(1+'Assumptions and Catalog'!$C$8)^(A173-1),0)</f>
        <v>7094.794</v>
      </c>
      <c r="N173" s="5" t="n">
        <f>IF(ISNUMBER(Inputs!$L$5),(IF(Inputs!$L$9="Actual flat rate",L173*Inputs!$L$10,IF(Inputs!$C$9="Residential",IF(L173&lt;='Assumptions and Catalog'!$C$50,L173*'Assumptions and Catalog'!$H$50+'Assumptions and Catalog'!$E$50+'Assumptions and Catalog'!$F$50,IF(L173&lt;='Assumptions and Catalog'!$C$51,L173*'Assumptions and Catalog'!$H$51+'Assumptions and Catalog'!$E$51+'Assumptions and Catalog'!$F$51,IF(L173&lt;='Assumptions and Catalog'!$C$52,L173*'Assumptions and Catalog'!$H$52+'Assumptions and Catalog'!$E$52+'Assumptions and Catalog'!$F$52,IF(L173&lt;='Assumptions and Catalog'!$C$53,L173*'Assumptions and Catalog'!$H$53+'Assumptions and Catalog'!$E$53+'Assumptions and Catalog'!$F$53,IF(L173&lt;='Assumptions and Catalog'!$C$54,L173*'Assumptions and Catalog'!$H$54+'Assumptions and Catalog'!$E$54+'Assumptions and Catalog'!$F$54,IF(L173&lt;='Assumptions and Catalog'!$C$55,L173*'Assumptions and Catalog'!$H$55+'Assumptions and Catalog'!$E$55+'Assumptions and Catalog'!$F$55,IF(L173&lt;='Assumptions and Catalog'!$C$56,L173*'Assumptions and Catalog'!$H$56+'Assumptions and Catalog'!$E$56+'Assumptions and Catalog'!$F$56,IF(L173&lt;='Assumptions and Catalog'!$C$57,L173*'Assumptions and Catalog'!$H$57+'Assumptions and Catalog'!$E$57+'Assumptions and Catalog'!$F$57,"Out of range")))))))),IF(L173&lt;='Assumptions and Catalog'!$C$60,L173*'Assumptions and Catalog'!$H$60+'Assumptions and Catalog'!$E$60+'Assumptions and Catalog'!$F$60,IF(L173&lt;='Assumptions and Catalog'!$C$61,L173*'Assumptions and Catalog'!$H$61+'Assumptions and Catalog'!$E$61+'Assumptions and Catalog'!$F$61,IF(L173&lt;='Assumptions and Catalog'!$C$62,L173*'Assumptions and Catalog'!$H$62+'Assumptions and Catalog'!$E$62+'Assumptions and Catalog'!$F$62,IF(L173&lt;='Assumptions and Catalog'!$C$63,L173*'Assumptions and Catalog'!$H$63+'Assumptions and Catalog'!$E$63+'Assumptions and Catalog'!$F$63,IF(L173&lt;='Assumptions and Catalog'!$C$64,L173*'Assumptions and Catalog'!$H$64+'Assumptions and Catalog'!$E$64+'Assumptions and Catalog'!$F$64,IF(L173&lt;='Assumptions and Catalog'!$C$65,L173*'Assumptions and Catalog'!$H$65+'Assumptions and Catalog'!$E$65+'Assumptions and Catalog'!$F$65,"Out of range")))))))))*(1+'Assumptions and Catalog'!$C$8)^(A173-1),0)</f>
        <v>3852.744904</v>
      </c>
      <c r="O173" s="5" t="n">
        <f>M173-N173</f>
        <v>3242.049096</v>
      </c>
      <c r="P173" s="5" t="n">
        <f>C$55*(1-J$14)*(1-'Assumptions and Catalog'!$C$23)^R173</f>
        <v>0</v>
      </c>
      <c r="Q173" s="5" t="n">
        <f>IF(ISNUMBER(Inputs!$L$5),(IF(Inputs!$L$9="Actual flat rate",((D173+E173)*C173-G173)*Inputs!$L$10,IF(Inputs!$C$9="Residential",IF(((D173+E173)*C173-G173)&lt;='Assumptions and Catalog'!$C$50,((D173+E173)*C173-G173)*'Assumptions and Catalog'!$H$50+'Assumptions and Catalog'!$E$50+'Assumptions and Catalog'!$F$50,IF(((D173+E173)*C173-G173)&lt;='Assumptions and Catalog'!$C$51,((D173+E173)*C173-G173)*'Assumptions and Catalog'!$H$51+'Assumptions and Catalog'!$E$51+'Assumptions and Catalog'!$F$51,IF(((D173+E173)*C173-G173)&lt;='Assumptions and Catalog'!$C$52,((D173+E173)*C173-G173)*'Assumptions and Catalog'!$H$52+'Assumptions and Catalog'!$E$52+'Assumptions and Catalog'!$F$52,IF(((D173+E173)*C173-G173)&lt;='Assumptions and Catalog'!$C$53,((D173+E173)*C173-G173)*'Assumptions and Catalog'!$H$53+'Assumptions and Catalog'!$E$53+'Assumptions and Catalog'!$F$53,IF(((D173+E173)*C173-G173)&lt;='Assumptions and Catalog'!$C$54,((D173+E173)*C173-G173)*'Assumptions and Catalog'!$H$54+'Assumptions and Catalog'!$E$54+'Assumptions and Catalog'!$F$54,IF(((D173+E173)*C173-G173)&lt;='Assumptions and Catalog'!$C$55,((D173+E173)*C173-G173)*'Assumptions and Catalog'!$H$55+'Assumptions and Catalog'!$E$55+'Assumptions and Catalog'!$F$55,IF(((D173+E173)*C173-G173)&lt;='Assumptions and Catalog'!$C$56,((D173+E173)*C173-G173)*'Assumptions and Catalog'!$H$56+'Assumptions and Catalog'!$E$56+'Assumptions and Catalog'!$F$56,IF(((D173+E173)*C173-G173)&lt;='Assumptions and Catalog'!$C$57,((D173+E173)*C173-G173)*'Assumptions and Catalog'!$H$57+'Assumptions and Catalog'!$E$57+'Assumptions and Catalog'!$F$57,"Out of range")))))))),IF(((D173+E173)*C173-G173)&lt;='Assumptions and Catalog'!$C$60,((D173+E173)*C173-G173)*'Assumptions and Catalog'!$H$60+'Assumptions and Catalog'!$E$60+'Assumptions and Catalog'!$F$60,IF(((D173+E173)*C173-G173)&lt;='Assumptions and Catalog'!$C$61,((D173+E173)*C173-G173)*'Assumptions and Catalog'!$H$61+'Assumptions and Catalog'!$E$61+'Assumptions and Catalog'!$F$61,IF(((D173+E173)*C173-G173)&lt;='Assumptions and Catalog'!$C$62,((D173+E173)*C173-G173)*'Assumptions and Catalog'!$H$62+'Assumptions and Catalog'!$E$62+'Assumptions and Catalog'!$F$62,IF(((D173+E173)*C173-G173)&lt;='Assumptions and Catalog'!$C$63,((D173+E173)*C173-G173)*'Assumptions and Catalog'!$H$63+'Assumptions and Catalog'!$E$63+'Assumptions and Catalog'!$F$63,IF(((D173+E173)*C173-G173)&lt;='Assumptions and Catalog'!$C$64,((D173+E173)*C173-G173)*'Assumptions and Catalog'!$H$64+'Assumptions and Catalog'!$E$64+'Assumptions and Catalog'!$F$64,IF(((D173+E173)*C173-G173)&lt;='Assumptions and Catalog'!$C$65,((D173+E173)*C173-G173)*'Assumptions and Catalog'!$H$65+'Assumptions and Catalog'!$E$65+'Assumptions and Catalog'!$F$65,"Out of range")))))))))*(1+'Assumptions and Catalog'!$C$8)^(A173-1),0)</f>
        <v>3852.744904</v>
      </c>
      <c r="R173" s="5" t="n">
        <f>IF(AND('Assumptions and Catalog'!$C$19&gt;0,A173&gt;='Assumptions and Catalog'!$C$19),A173-'Assumptions and Catalog'!$C$19,A173-1)</f>
        <v>1</v>
      </c>
      <c r="S173" s="5" t="n">
        <f>F173+L173-(D173+E173)*C173-J173-K173-0</f>
        <v>0</v>
      </c>
      <c r="T173" s="5"/>
      <c r="U173" s="5"/>
    </row>
    <row r="174" ht="23.100000381469727" customHeight="1">
      <c r="A174" s="5" t="n">
        <v>2</v>
      </c>
      <c r="B174" s="5" t="n">
        <v>2</v>
      </c>
      <c r="C174" s="5" t="n">
        <f>DAY(DATE('Assumptions and Catalog'!$C$24+A174-1,B174+1,0))</f>
        <v>29</v>
      </c>
      <c r="D174" s="5" t="n">
        <f>IF(ISNUMBER(Inputs!$L$5),Inputs!$L$5*Inputs!$L$6,0)</f>
        <v>40.35</v>
      </c>
      <c r="E174" s="5" t="n">
        <f>IF(ISNUMBER(Inputs!$L$5),Inputs!$L$5-D174,0)</f>
        <v>40.35</v>
      </c>
      <c r="F174" s="5" t="n">
        <f>C$51*INDEX('Solar Production'!$D$20:$D$31,B174)*C174*(1-'Assumptions and Catalog'!$C$10)^(A174-1)</f>
        <v>1173.94506428571</v>
      </c>
      <c r="G174" s="5" t="n">
        <f>MIN(F174,D174*C174)</f>
        <v>1170.15</v>
      </c>
      <c r="H174" s="5" t="n">
        <f>I174/('Assumptions and Catalog'!$C$11*'Assumptions and Catalog'!$C$12)</f>
        <v>0</v>
      </c>
      <c r="I174" s="5" t="n">
        <f>0</f>
        <v>0</v>
      </c>
      <c r="J174" s="5" t="n">
        <f>MAX(F174-G174-H174,0)</f>
        <v>3.79506428571403</v>
      </c>
      <c r="K174" s="5" t="n">
        <f>H174-I174</f>
        <v>0</v>
      </c>
      <c r="L174" s="5" t="n">
        <f>(D174+E174)*C174-G174-I174+0+0</f>
        <v>1170.15</v>
      </c>
      <c r="M174" s="5" t="n">
        <f>IF(ISNUMBER(Inputs!$L$5),(IF(Inputs!$L$9="Actual flat rate",((D174+E174)*C174)*Inputs!$L$10,IF(Inputs!$C$9="Residential",IF(((D174+E174)*C174)&lt;='Assumptions and Catalog'!$C$50,((D174+E174)*C174)*'Assumptions and Catalog'!$H$50+'Assumptions and Catalog'!$E$50+'Assumptions and Catalog'!$F$50,IF(((D174+E174)*C174)&lt;='Assumptions and Catalog'!$C$51,((D174+E174)*C174)*'Assumptions and Catalog'!$H$51+'Assumptions and Catalog'!$E$51+'Assumptions and Catalog'!$F$51,IF(((D174+E174)*C174)&lt;='Assumptions and Catalog'!$C$52,((D174+E174)*C174)*'Assumptions and Catalog'!$H$52+'Assumptions and Catalog'!$E$52+'Assumptions and Catalog'!$F$52,IF(((D174+E174)*C174)&lt;='Assumptions and Catalog'!$C$53,((D174+E174)*C174)*'Assumptions and Catalog'!$H$53+'Assumptions and Catalog'!$E$53+'Assumptions and Catalog'!$F$53,IF(((D174+E174)*C174)&lt;='Assumptions and Catalog'!$C$54,((D174+E174)*C174)*'Assumptions and Catalog'!$H$54+'Assumptions and Catalog'!$E$54+'Assumptions and Catalog'!$F$54,IF(((D174+E174)*C174)&lt;='Assumptions and Catalog'!$C$55,((D174+E174)*C174)*'Assumptions and Catalog'!$H$55+'Assumptions and Catalog'!$E$55+'Assumptions and Catalog'!$F$55,IF(((D174+E174)*C174)&lt;='Assumptions and Catalog'!$C$56,((D174+E174)*C174)*'Assumptions and Catalog'!$H$56+'Assumptions and Catalog'!$E$56+'Assumptions and Catalog'!$F$56,IF(((D174+E174)*C174)&lt;='Assumptions and Catalog'!$C$57,((D174+E174)*C174)*'Assumptions and Catalog'!$H$57+'Assumptions and Catalog'!$E$57+'Assumptions and Catalog'!$F$57,"Out of range")))))))),IF(((D174+E174)*C174)&lt;='Assumptions and Catalog'!$C$60,((D174+E174)*C174)*'Assumptions and Catalog'!$H$60+'Assumptions and Catalog'!$E$60+'Assumptions and Catalog'!$F$60,IF(((D174+E174)*C174)&lt;='Assumptions and Catalog'!$C$61,((D174+E174)*C174)*'Assumptions and Catalog'!$H$61+'Assumptions and Catalog'!$E$61+'Assumptions and Catalog'!$F$61,IF(((D174+E174)*C174)&lt;='Assumptions and Catalog'!$C$62,((D174+E174)*C174)*'Assumptions and Catalog'!$H$62+'Assumptions and Catalog'!$E$62+'Assumptions and Catalog'!$F$62,IF(((D174+E174)*C174)&lt;='Assumptions and Catalog'!$C$63,((D174+E174)*C174)*'Assumptions and Catalog'!$H$63+'Assumptions and Catalog'!$E$63+'Assumptions and Catalog'!$F$63,IF(((D174+E174)*C174)&lt;='Assumptions and Catalog'!$C$64,((D174+E174)*C174)*'Assumptions and Catalog'!$H$64+'Assumptions and Catalog'!$E$64+'Assumptions and Catalog'!$F$64,IF(((D174+E174)*C174)&lt;='Assumptions and Catalog'!$C$65,((D174+E174)*C174)*'Assumptions and Catalog'!$H$65+'Assumptions and Catalog'!$E$65+'Assumptions and Catalog'!$F$65,"Out of range")))))))))*(1+'Assumptions and Catalog'!$C$8)^(A174-1),0)</f>
        <v>6639.646</v>
      </c>
      <c r="N174" s="5" t="n">
        <f>IF(ISNUMBER(Inputs!$L$5),(IF(Inputs!$L$9="Actual flat rate",L174*Inputs!$L$10,IF(Inputs!$C$9="Residential",IF(L174&lt;='Assumptions and Catalog'!$C$50,L174*'Assumptions and Catalog'!$H$50+'Assumptions and Catalog'!$E$50+'Assumptions and Catalog'!$F$50,IF(L174&lt;='Assumptions and Catalog'!$C$51,L174*'Assumptions and Catalog'!$H$51+'Assumptions and Catalog'!$E$51+'Assumptions and Catalog'!$F$51,IF(L174&lt;='Assumptions and Catalog'!$C$52,L174*'Assumptions and Catalog'!$H$52+'Assumptions and Catalog'!$E$52+'Assumptions and Catalog'!$F$52,IF(L174&lt;='Assumptions and Catalog'!$C$53,L174*'Assumptions and Catalog'!$H$53+'Assumptions and Catalog'!$E$53+'Assumptions and Catalog'!$F$53,IF(L174&lt;='Assumptions and Catalog'!$C$54,L174*'Assumptions and Catalog'!$H$54+'Assumptions and Catalog'!$E$54+'Assumptions and Catalog'!$F$54,IF(L174&lt;='Assumptions and Catalog'!$C$55,L174*'Assumptions and Catalog'!$H$55+'Assumptions and Catalog'!$E$55+'Assumptions and Catalog'!$F$55,IF(L174&lt;='Assumptions and Catalog'!$C$56,L174*'Assumptions and Catalog'!$H$56+'Assumptions and Catalog'!$E$56+'Assumptions and Catalog'!$F$56,IF(L174&lt;='Assumptions and Catalog'!$C$57,L174*'Assumptions and Catalog'!$H$57+'Assumptions and Catalog'!$E$57+'Assumptions and Catalog'!$F$57,"Out of range")))))))),IF(L174&lt;='Assumptions and Catalog'!$C$60,L174*'Assumptions and Catalog'!$H$60+'Assumptions and Catalog'!$E$60+'Assumptions and Catalog'!$F$60,IF(L174&lt;='Assumptions and Catalog'!$C$61,L174*'Assumptions and Catalog'!$H$61+'Assumptions and Catalog'!$E$61+'Assumptions and Catalog'!$F$61,IF(L174&lt;='Assumptions and Catalog'!$C$62,L174*'Assumptions and Catalog'!$H$62+'Assumptions and Catalog'!$E$62+'Assumptions and Catalog'!$F$62,IF(L174&lt;='Assumptions and Catalog'!$C$63,L174*'Assumptions and Catalog'!$H$63+'Assumptions and Catalog'!$E$63+'Assumptions and Catalog'!$F$63,IF(L174&lt;='Assumptions and Catalog'!$C$64,L174*'Assumptions and Catalog'!$H$64+'Assumptions and Catalog'!$E$64+'Assumptions and Catalog'!$F$64,IF(L174&lt;='Assumptions and Catalog'!$C$65,L174*'Assumptions and Catalog'!$H$65+'Assumptions and Catalog'!$E$65+'Assumptions and Catalog'!$F$65,"Out of range")))))))))*(1+'Assumptions and Catalog'!$C$8)^(A174-1),0)</f>
        <v>3339.823</v>
      </c>
      <c r="O174" s="5" t="n">
        <f>M174-N174</f>
        <v>3299.823</v>
      </c>
      <c r="P174" s="5" t="n">
        <f>C$55*(1-J$14)*(1-'Assumptions and Catalog'!$C$23)^R174</f>
        <v>0</v>
      </c>
      <c r="Q174" s="5" t="n">
        <f>IF(ISNUMBER(Inputs!$L$5),(IF(Inputs!$L$9="Actual flat rate",((D174+E174)*C174-G174)*Inputs!$L$10,IF(Inputs!$C$9="Residential",IF(((D174+E174)*C174-G174)&lt;='Assumptions and Catalog'!$C$50,((D174+E174)*C174-G174)*'Assumptions and Catalog'!$H$50+'Assumptions and Catalog'!$E$50+'Assumptions and Catalog'!$F$50,IF(((D174+E174)*C174-G174)&lt;='Assumptions and Catalog'!$C$51,((D174+E174)*C174-G174)*'Assumptions and Catalog'!$H$51+'Assumptions and Catalog'!$E$51+'Assumptions and Catalog'!$F$51,IF(((D174+E174)*C174-G174)&lt;='Assumptions and Catalog'!$C$52,((D174+E174)*C174-G174)*'Assumptions and Catalog'!$H$52+'Assumptions and Catalog'!$E$52+'Assumptions and Catalog'!$F$52,IF(((D174+E174)*C174-G174)&lt;='Assumptions and Catalog'!$C$53,((D174+E174)*C174-G174)*'Assumptions and Catalog'!$H$53+'Assumptions and Catalog'!$E$53+'Assumptions and Catalog'!$F$53,IF(((D174+E174)*C174-G174)&lt;='Assumptions and Catalog'!$C$54,((D174+E174)*C174-G174)*'Assumptions and Catalog'!$H$54+'Assumptions and Catalog'!$E$54+'Assumptions and Catalog'!$F$54,IF(((D174+E174)*C174-G174)&lt;='Assumptions and Catalog'!$C$55,((D174+E174)*C174-G174)*'Assumptions and Catalog'!$H$55+'Assumptions and Catalog'!$E$55+'Assumptions and Catalog'!$F$55,IF(((D174+E174)*C174-G174)&lt;='Assumptions and Catalog'!$C$56,((D174+E174)*C174-G174)*'Assumptions and Catalog'!$H$56+'Assumptions and Catalog'!$E$56+'Assumptions and Catalog'!$F$56,IF(((D174+E174)*C174-G174)&lt;='Assumptions and Catalog'!$C$57,((D174+E174)*C174-G174)*'Assumptions and Catalog'!$H$57+'Assumptions and Catalog'!$E$57+'Assumptions and Catalog'!$F$57,"Out of range")))))))),IF(((D174+E174)*C174-G174)&lt;='Assumptions and Catalog'!$C$60,((D174+E174)*C174-G174)*'Assumptions and Catalog'!$H$60+'Assumptions and Catalog'!$E$60+'Assumptions and Catalog'!$F$60,IF(((D174+E174)*C174-G174)&lt;='Assumptions and Catalog'!$C$61,((D174+E174)*C174-G174)*'Assumptions and Catalog'!$H$61+'Assumptions and Catalog'!$E$61+'Assumptions and Catalog'!$F$61,IF(((D174+E174)*C174-G174)&lt;='Assumptions and Catalog'!$C$62,((D174+E174)*C174-G174)*'Assumptions and Catalog'!$H$62+'Assumptions and Catalog'!$E$62+'Assumptions and Catalog'!$F$62,IF(((D174+E174)*C174-G174)&lt;='Assumptions and Catalog'!$C$63,((D174+E174)*C174-G174)*'Assumptions and Catalog'!$H$63+'Assumptions and Catalog'!$E$63+'Assumptions and Catalog'!$F$63,IF(((D174+E174)*C174-G174)&lt;='Assumptions and Catalog'!$C$64,((D174+E174)*C174-G174)*'Assumptions and Catalog'!$H$64+'Assumptions and Catalog'!$E$64+'Assumptions and Catalog'!$F$64,IF(((D174+E174)*C174-G174)&lt;='Assumptions and Catalog'!$C$65,((D174+E174)*C174-G174)*'Assumptions and Catalog'!$H$65+'Assumptions and Catalog'!$E$65+'Assumptions and Catalog'!$F$65,"Out of range")))))))))*(1+'Assumptions and Catalog'!$C$8)^(A174-1),0)</f>
        <v>3339.823</v>
      </c>
      <c r="R174" s="5" t="n">
        <f>IF(AND('Assumptions and Catalog'!$C$19&gt;0,A174&gt;='Assumptions and Catalog'!$C$19),A174-'Assumptions and Catalog'!$C$19,A174-1)</f>
        <v>1</v>
      </c>
      <c r="S174" s="5" t="n">
        <f>F174+L174-(D174+E174)*C174-J174-K174-0</f>
        <v>0</v>
      </c>
      <c r="T174" s="5"/>
      <c r="U174" s="5"/>
    </row>
    <row r="175" ht="23.100000381469727" customHeight="1">
      <c r="A175" s="5" t="n">
        <v>2</v>
      </c>
      <c r="B175" s="5" t="n">
        <v>3</v>
      </c>
      <c r="C175" s="5" t="n">
        <f>DAY(DATE('Assumptions and Catalog'!$C$24+A175-1,B175+1,0))</f>
        <v>31</v>
      </c>
      <c r="D175" s="5" t="n">
        <f>IF(ISNUMBER(Inputs!$L$5),Inputs!$L$5*Inputs!$L$6,0)</f>
        <v>40.35</v>
      </c>
      <c r="E175" s="5" t="n">
        <f>IF(ISNUMBER(Inputs!$L$5),Inputs!$L$5-D175,0)</f>
        <v>40.35</v>
      </c>
      <c r="F175" s="5" t="n">
        <f>C$51*INDEX('Solar Production'!$D$20:$D$31,B175)*C175*(1-'Assumptions and Catalog'!$C$10)^(A175-1)</f>
        <v>1410.24136</v>
      </c>
      <c r="G175" s="5" t="n">
        <f>MIN(F175,D175*C175)</f>
        <v>1250.85</v>
      </c>
      <c r="H175" s="5" t="n">
        <f>I175/('Assumptions and Catalog'!$C$11*'Assumptions and Catalog'!$C$12)</f>
        <v>0</v>
      </c>
      <c r="I175" s="5" t="n">
        <f>0</f>
        <v>0</v>
      </c>
      <c r="J175" s="5" t="n">
        <f>MAX(F175-G175-H175,0)</f>
        <v>159.39136</v>
      </c>
      <c r="K175" s="5" t="n">
        <f>H175-I175</f>
        <v>0</v>
      </c>
      <c r="L175" s="5" t="n">
        <f>(D175+E175)*C175-G175-I175+0+0</f>
        <v>1250.85</v>
      </c>
      <c r="M175" s="5" t="n">
        <f>IF(ISNUMBER(Inputs!$L$5),(IF(Inputs!$L$9="Actual flat rate",((D175+E175)*C175)*Inputs!$L$10,IF(Inputs!$C$9="Residential",IF(((D175+E175)*C175)&lt;='Assumptions and Catalog'!$C$50,((D175+E175)*C175)*'Assumptions and Catalog'!$H$50+'Assumptions and Catalog'!$E$50+'Assumptions and Catalog'!$F$50,IF(((D175+E175)*C175)&lt;='Assumptions and Catalog'!$C$51,((D175+E175)*C175)*'Assumptions and Catalog'!$H$51+'Assumptions and Catalog'!$E$51+'Assumptions and Catalog'!$F$51,IF(((D175+E175)*C175)&lt;='Assumptions and Catalog'!$C$52,((D175+E175)*C175)*'Assumptions and Catalog'!$H$52+'Assumptions and Catalog'!$E$52+'Assumptions and Catalog'!$F$52,IF(((D175+E175)*C175)&lt;='Assumptions and Catalog'!$C$53,((D175+E175)*C175)*'Assumptions and Catalog'!$H$53+'Assumptions and Catalog'!$E$53+'Assumptions and Catalog'!$F$53,IF(((D175+E175)*C175)&lt;='Assumptions and Catalog'!$C$54,((D175+E175)*C175)*'Assumptions and Catalog'!$H$54+'Assumptions and Catalog'!$E$54+'Assumptions and Catalog'!$F$54,IF(((D175+E175)*C175)&lt;='Assumptions and Catalog'!$C$55,((D175+E175)*C175)*'Assumptions and Catalog'!$H$55+'Assumptions and Catalog'!$E$55+'Assumptions and Catalog'!$F$55,IF(((D175+E175)*C175)&lt;='Assumptions and Catalog'!$C$56,((D175+E175)*C175)*'Assumptions and Catalog'!$H$56+'Assumptions and Catalog'!$E$56+'Assumptions and Catalog'!$F$56,IF(((D175+E175)*C175)&lt;='Assumptions and Catalog'!$C$57,((D175+E175)*C175)*'Assumptions and Catalog'!$H$57+'Assumptions and Catalog'!$E$57+'Assumptions and Catalog'!$F$57,"Out of range")))))))),IF(((D175+E175)*C175)&lt;='Assumptions and Catalog'!$C$60,((D175+E175)*C175)*'Assumptions and Catalog'!$H$60+'Assumptions and Catalog'!$E$60+'Assumptions and Catalog'!$F$60,IF(((D175+E175)*C175)&lt;='Assumptions and Catalog'!$C$61,((D175+E175)*C175)*'Assumptions and Catalog'!$H$61+'Assumptions and Catalog'!$E$61+'Assumptions and Catalog'!$F$61,IF(((D175+E175)*C175)&lt;='Assumptions and Catalog'!$C$62,((D175+E175)*C175)*'Assumptions and Catalog'!$H$62+'Assumptions and Catalog'!$E$62+'Assumptions and Catalog'!$F$62,IF(((D175+E175)*C175)&lt;='Assumptions and Catalog'!$C$63,((D175+E175)*C175)*'Assumptions and Catalog'!$H$63+'Assumptions and Catalog'!$E$63+'Assumptions and Catalog'!$F$63,IF(((D175+E175)*C175)&lt;='Assumptions and Catalog'!$C$64,((D175+E175)*C175)*'Assumptions and Catalog'!$H$64+'Assumptions and Catalog'!$E$64+'Assumptions and Catalog'!$F$64,IF(((D175+E175)*C175)&lt;='Assumptions and Catalog'!$C$65,((D175+E175)*C175)*'Assumptions and Catalog'!$H$65+'Assumptions and Catalog'!$E$65+'Assumptions and Catalog'!$F$65,"Out of range")))))))))*(1+'Assumptions and Catalog'!$C$8)^(A175-1),0)</f>
        <v>7094.794</v>
      </c>
      <c r="N175" s="5" t="n">
        <f>IF(ISNUMBER(Inputs!$L$5),(IF(Inputs!$L$9="Actual flat rate",L175*Inputs!$L$10,IF(Inputs!$C$9="Residential",IF(L175&lt;='Assumptions and Catalog'!$C$50,L175*'Assumptions and Catalog'!$H$50+'Assumptions and Catalog'!$E$50+'Assumptions and Catalog'!$F$50,IF(L175&lt;='Assumptions and Catalog'!$C$51,L175*'Assumptions and Catalog'!$H$51+'Assumptions and Catalog'!$E$51+'Assumptions and Catalog'!$F$51,IF(L175&lt;='Assumptions and Catalog'!$C$52,L175*'Assumptions and Catalog'!$H$52+'Assumptions and Catalog'!$E$52+'Assumptions and Catalog'!$F$52,IF(L175&lt;='Assumptions and Catalog'!$C$53,L175*'Assumptions and Catalog'!$H$53+'Assumptions and Catalog'!$E$53+'Assumptions and Catalog'!$F$53,IF(L175&lt;='Assumptions and Catalog'!$C$54,L175*'Assumptions and Catalog'!$H$54+'Assumptions and Catalog'!$E$54+'Assumptions and Catalog'!$F$54,IF(L175&lt;='Assumptions and Catalog'!$C$55,L175*'Assumptions and Catalog'!$H$55+'Assumptions and Catalog'!$E$55+'Assumptions and Catalog'!$F$55,IF(L175&lt;='Assumptions and Catalog'!$C$56,L175*'Assumptions and Catalog'!$H$56+'Assumptions and Catalog'!$E$56+'Assumptions and Catalog'!$F$56,IF(L175&lt;='Assumptions and Catalog'!$C$57,L175*'Assumptions and Catalog'!$H$57+'Assumptions and Catalog'!$E$57+'Assumptions and Catalog'!$F$57,"Out of range")))))))),IF(L175&lt;='Assumptions and Catalog'!$C$60,L175*'Assumptions and Catalog'!$H$60+'Assumptions and Catalog'!$E$60+'Assumptions and Catalog'!$F$60,IF(L175&lt;='Assumptions and Catalog'!$C$61,L175*'Assumptions and Catalog'!$H$61+'Assumptions and Catalog'!$E$61+'Assumptions and Catalog'!$F$61,IF(L175&lt;='Assumptions and Catalog'!$C$62,L175*'Assumptions and Catalog'!$H$62+'Assumptions and Catalog'!$E$62+'Assumptions and Catalog'!$F$62,IF(L175&lt;='Assumptions and Catalog'!$C$63,L175*'Assumptions and Catalog'!$H$63+'Assumptions and Catalog'!$E$63+'Assumptions and Catalog'!$F$63,IF(L175&lt;='Assumptions and Catalog'!$C$64,L175*'Assumptions and Catalog'!$H$64+'Assumptions and Catalog'!$E$64+'Assumptions and Catalog'!$F$64,IF(L175&lt;='Assumptions and Catalog'!$C$65,L175*'Assumptions and Catalog'!$H$65+'Assumptions and Catalog'!$E$65+'Assumptions and Catalog'!$F$65,"Out of range")))))))))*(1+'Assumptions and Catalog'!$C$8)^(A175-1),0)</f>
        <v>3567.397</v>
      </c>
      <c r="O175" s="5" t="n">
        <f>M175-N175</f>
        <v>3527.397</v>
      </c>
      <c r="P175" s="5" t="n">
        <f>C$55*(1-J$14)*(1-'Assumptions and Catalog'!$C$23)^R175</f>
        <v>0</v>
      </c>
      <c r="Q175" s="5" t="n">
        <f>IF(ISNUMBER(Inputs!$L$5),(IF(Inputs!$L$9="Actual flat rate",((D175+E175)*C175-G175)*Inputs!$L$10,IF(Inputs!$C$9="Residential",IF(((D175+E175)*C175-G175)&lt;='Assumptions and Catalog'!$C$50,((D175+E175)*C175-G175)*'Assumptions and Catalog'!$H$50+'Assumptions and Catalog'!$E$50+'Assumptions and Catalog'!$F$50,IF(((D175+E175)*C175-G175)&lt;='Assumptions and Catalog'!$C$51,((D175+E175)*C175-G175)*'Assumptions and Catalog'!$H$51+'Assumptions and Catalog'!$E$51+'Assumptions and Catalog'!$F$51,IF(((D175+E175)*C175-G175)&lt;='Assumptions and Catalog'!$C$52,((D175+E175)*C175-G175)*'Assumptions and Catalog'!$H$52+'Assumptions and Catalog'!$E$52+'Assumptions and Catalog'!$F$52,IF(((D175+E175)*C175-G175)&lt;='Assumptions and Catalog'!$C$53,((D175+E175)*C175-G175)*'Assumptions and Catalog'!$H$53+'Assumptions and Catalog'!$E$53+'Assumptions and Catalog'!$F$53,IF(((D175+E175)*C175-G175)&lt;='Assumptions and Catalog'!$C$54,((D175+E175)*C175-G175)*'Assumptions and Catalog'!$H$54+'Assumptions and Catalog'!$E$54+'Assumptions and Catalog'!$F$54,IF(((D175+E175)*C175-G175)&lt;='Assumptions and Catalog'!$C$55,((D175+E175)*C175-G175)*'Assumptions and Catalog'!$H$55+'Assumptions and Catalog'!$E$55+'Assumptions and Catalog'!$F$55,IF(((D175+E175)*C175-G175)&lt;='Assumptions and Catalog'!$C$56,((D175+E175)*C175-G175)*'Assumptions and Catalog'!$H$56+'Assumptions and Catalog'!$E$56+'Assumptions and Catalog'!$F$56,IF(((D175+E175)*C175-G175)&lt;='Assumptions and Catalog'!$C$57,((D175+E175)*C175-G175)*'Assumptions and Catalog'!$H$57+'Assumptions and Catalog'!$E$57+'Assumptions and Catalog'!$F$57,"Out of range")))))))),IF(((D175+E175)*C175-G175)&lt;='Assumptions and Catalog'!$C$60,((D175+E175)*C175-G175)*'Assumptions and Catalog'!$H$60+'Assumptions and Catalog'!$E$60+'Assumptions and Catalog'!$F$60,IF(((D175+E175)*C175-G175)&lt;='Assumptions and Catalog'!$C$61,((D175+E175)*C175-G175)*'Assumptions and Catalog'!$H$61+'Assumptions and Catalog'!$E$61+'Assumptions and Catalog'!$F$61,IF(((D175+E175)*C175-G175)&lt;='Assumptions and Catalog'!$C$62,((D175+E175)*C175-G175)*'Assumptions and Catalog'!$H$62+'Assumptions and Catalog'!$E$62+'Assumptions and Catalog'!$F$62,IF(((D175+E175)*C175-G175)&lt;='Assumptions and Catalog'!$C$63,((D175+E175)*C175-G175)*'Assumptions and Catalog'!$H$63+'Assumptions and Catalog'!$E$63+'Assumptions and Catalog'!$F$63,IF(((D175+E175)*C175-G175)&lt;='Assumptions and Catalog'!$C$64,((D175+E175)*C175-G175)*'Assumptions and Catalog'!$H$64+'Assumptions and Catalog'!$E$64+'Assumptions and Catalog'!$F$64,IF(((D175+E175)*C175-G175)&lt;='Assumptions and Catalog'!$C$65,((D175+E175)*C175-G175)*'Assumptions and Catalog'!$H$65+'Assumptions and Catalog'!$E$65+'Assumptions and Catalog'!$F$65,"Out of range")))))))))*(1+'Assumptions and Catalog'!$C$8)^(A175-1),0)</f>
        <v>3567.397</v>
      </c>
      <c r="R175" s="5" t="n">
        <f>IF(AND('Assumptions and Catalog'!$C$19&gt;0,A175&gt;='Assumptions and Catalog'!$C$19),A175-'Assumptions and Catalog'!$C$19,A175-1)</f>
        <v>1</v>
      </c>
      <c r="S175" s="5" t="n">
        <f>F175+L175-(D175+E175)*C175-J175-K175-0</f>
        <v>0</v>
      </c>
      <c r="T175" s="5"/>
      <c r="U175" s="5"/>
    </row>
    <row r="176" ht="23.100000381469727" customHeight="1">
      <c r="A176" s="5" t="n">
        <v>2</v>
      </c>
      <c r="B176" s="5" t="n">
        <v>4</v>
      </c>
      <c r="C176" s="5" t="n">
        <f>DAY(DATE('Assumptions and Catalog'!$C$24+A176-1,B176+1,0))</f>
        <v>30</v>
      </c>
      <c r="D176" s="5" t="n">
        <f>IF(ISNUMBER(Inputs!$L$5),Inputs!$L$5*Inputs!$L$6,0)</f>
        <v>40.35</v>
      </c>
      <c r="E176" s="5" t="n">
        <f>IF(ISNUMBER(Inputs!$L$5),Inputs!$L$5-D176,0)</f>
        <v>40.35</v>
      </c>
      <c r="F176" s="5" t="n">
        <f>C$51*INDEX('Solar Production'!$D$20:$D$31,B176)*C176*(1-'Assumptions and Catalog'!$C$10)^(A176-1)</f>
        <v>1408.49016</v>
      </c>
      <c r="G176" s="5" t="n">
        <f>MIN(F176,D176*C176)</f>
        <v>1210.5</v>
      </c>
      <c r="H176" s="5" t="n">
        <f>I176/('Assumptions and Catalog'!$C$11*'Assumptions and Catalog'!$C$12)</f>
        <v>0</v>
      </c>
      <c r="I176" s="5" t="n">
        <f>0</f>
        <v>0</v>
      </c>
      <c r="J176" s="5" t="n">
        <f>MAX(F176-G176-H176,0)</f>
        <v>197.99016</v>
      </c>
      <c r="K176" s="5" t="n">
        <f>H176-I176</f>
        <v>0</v>
      </c>
      <c r="L176" s="5" t="n">
        <f>(D176+E176)*C176-G176-I176+0+0</f>
        <v>1210.5</v>
      </c>
      <c r="M176" s="5" t="n">
        <f>IF(ISNUMBER(Inputs!$L$5),(IF(Inputs!$L$9="Actual flat rate",((D176+E176)*C176)*Inputs!$L$10,IF(Inputs!$C$9="Residential",IF(((D176+E176)*C176)&lt;='Assumptions and Catalog'!$C$50,((D176+E176)*C176)*'Assumptions and Catalog'!$H$50+'Assumptions and Catalog'!$E$50+'Assumptions and Catalog'!$F$50,IF(((D176+E176)*C176)&lt;='Assumptions and Catalog'!$C$51,((D176+E176)*C176)*'Assumptions and Catalog'!$H$51+'Assumptions and Catalog'!$E$51+'Assumptions and Catalog'!$F$51,IF(((D176+E176)*C176)&lt;='Assumptions and Catalog'!$C$52,((D176+E176)*C176)*'Assumptions and Catalog'!$H$52+'Assumptions and Catalog'!$E$52+'Assumptions and Catalog'!$F$52,IF(((D176+E176)*C176)&lt;='Assumptions and Catalog'!$C$53,((D176+E176)*C176)*'Assumptions and Catalog'!$H$53+'Assumptions and Catalog'!$E$53+'Assumptions and Catalog'!$F$53,IF(((D176+E176)*C176)&lt;='Assumptions and Catalog'!$C$54,((D176+E176)*C176)*'Assumptions and Catalog'!$H$54+'Assumptions and Catalog'!$E$54+'Assumptions and Catalog'!$F$54,IF(((D176+E176)*C176)&lt;='Assumptions and Catalog'!$C$55,((D176+E176)*C176)*'Assumptions and Catalog'!$H$55+'Assumptions and Catalog'!$E$55+'Assumptions and Catalog'!$F$55,IF(((D176+E176)*C176)&lt;='Assumptions and Catalog'!$C$56,((D176+E176)*C176)*'Assumptions and Catalog'!$H$56+'Assumptions and Catalog'!$E$56+'Assumptions and Catalog'!$F$56,IF(((D176+E176)*C176)&lt;='Assumptions and Catalog'!$C$57,((D176+E176)*C176)*'Assumptions and Catalog'!$H$57+'Assumptions and Catalog'!$E$57+'Assumptions and Catalog'!$F$57,"Out of range")))))))),IF(((D176+E176)*C176)&lt;='Assumptions and Catalog'!$C$60,((D176+E176)*C176)*'Assumptions and Catalog'!$H$60+'Assumptions and Catalog'!$E$60+'Assumptions and Catalog'!$F$60,IF(((D176+E176)*C176)&lt;='Assumptions and Catalog'!$C$61,((D176+E176)*C176)*'Assumptions and Catalog'!$H$61+'Assumptions and Catalog'!$E$61+'Assumptions and Catalog'!$F$61,IF(((D176+E176)*C176)&lt;='Assumptions and Catalog'!$C$62,((D176+E176)*C176)*'Assumptions and Catalog'!$H$62+'Assumptions and Catalog'!$E$62+'Assumptions and Catalog'!$F$62,IF(((D176+E176)*C176)&lt;='Assumptions and Catalog'!$C$63,((D176+E176)*C176)*'Assumptions and Catalog'!$H$63+'Assumptions and Catalog'!$E$63+'Assumptions and Catalog'!$F$63,IF(((D176+E176)*C176)&lt;='Assumptions and Catalog'!$C$64,((D176+E176)*C176)*'Assumptions and Catalog'!$H$64+'Assumptions and Catalog'!$E$64+'Assumptions and Catalog'!$F$64,IF(((D176+E176)*C176)&lt;='Assumptions and Catalog'!$C$65,((D176+E176)*C176)*'Assumptions and Catalog'!$H$65+'Assumptions and Catalog'!$E$65+'Assumptions and Catalog'!$F$65,"Out of range")))))))))*(1+'Assumptions and Catalog'!$C$8)^(A176-1),0)</f>
        <v>6867.22</v>
      </c>
      <c r="N176" s="5" t="n">
        <f>IF(ISNUMBER(Inputs!$L$5),(IF(Inputs!$L$9="Actual flat rate",L176*Inputs!$L$10,IF(Inputs!$C$9="Residential",IF(L176&lt;='Assumptions and Catalog'!$C$50,L176*'Assumptions and Catalog'!$H$50+'Assumptions and Catalog'!$E$50+'Assumptions and Catalog'!$F$50,IF(L176&lt;='Assumptions and Catalog'!$C$51,L176*'Assumptions and Catalog'!$H$51+'Assumptions and Catalog'!$E$51+'Assumptions and Catalog'!$F$51,IF(L176&lt;='Assumptions and Catalog'!$C$52,L176*'Assumptions and Catalog'!$H$52+'Assumptions and Catalog'!$E$52+'Assumptions and Catalog'!$F$52,IF(L176&lt;='Assumptions and Catalog'!$C$53,L176*'Assumptions and Catalog'!$H$53+'Assumptions and Catalog'!$E$53+'Assumptions and Catalog'!$F$53,IF(L176&lt;='Assumptions and Catalog'!$C$54,L176*'Assumptions and Catalog'!$H$54+'Assumptions and Catalog'!$E$54+'Assumptions and Catalog'!$F$54,IF(L176&lt;='Assumptions and Catalog'!$C$55,L176*'Assumptions and Catalog'!$H$55+'Assumptions and Catalog'!$E$55+'Assumptions and Catalog'!$F$55,IF(L176&lt;='Assumptions and Catalog'!$C$56,L176*'Assumptions and Catalog'!$H$56+'Assumptions and Catalog'!$E$56+'Assumptions and Catalog'!$F$56,IF(L176&lt;='Assumptions and Catalog'!$C$57,L176*'Assumptions and Catalog'!$H$57+'Assumptions and Catalog'!$E$57+'Assumptions and Catalog'!$F$57,"Out of range")))))))),IF(L176&lt;='Assumptions and Catalog'!$C$60,L176*'Assumptions and Catalog'!$H$60+'Assumptions and Catalog'!$E$60+'Assumptions and Catalog'!$F$60,IF(L176&lt;='Assumptions and Catalog'!$C$61,L176*'Assumptions and Catalog'!$H$61+'Assumptions and Catalog'!$E$61+'Assumptions and Catalog'!$F$61,IF(L176&lt;='Assumptions and Catalog'!$C$62,L176*'Assumptions and Catalog'!$H$62+'Assumptions and Catalog'!$E$62+'Assumptions and Catalog'!$F$62,IF(L176&lt;='Assumptions and Catalog'!$C$63,L176*'Assumptions and Catalog'!$H$63+'Assumptions and Catalog'!$E$63+'Assumptions and Catalog'!$F$63,IF(L176&lt;='Assumptions and Catalog'!$C$64,L176*'Assumptions and Catalog'!$H$64+'Assumptions and Catalog'!$E$64+'Assumptions and Catalog'!$F$64,IF(L176&lt;='Assumptions and Catalog'!$C$65,L176*'Assumptions and Catalog'!$H$65+'Assumptions and Catalog'!$E$65+'Assumptions and Catalog'!$F$65,"Out of range")))))))))*(1+'Assumptions and Catalog'!$C$8)^(A176-1),0)</f>
        <v>3453.61</v>
      </c>
      <c r="O176" s="5" t="n">
        <f>M176-N176</f>
        <v>3413.61</v>
      </c>
      <c r="P176" s="5" t="n">
        <f>C$55*(1-J$14)*(1-'Assumptions and Catalog'!$C$23)^R176</f>
        <v>0</v>
      </c>
      <c r="Q176" s="5" t="n">
        <f>IF(ISNUMBER(Inputs!$L$5),(IF(Inputs!$L$9="Actual flat rate",((D176+E176)*C176-G176)*Inputs!$L$10,IF(Inputs!$C$9="Residential",IF(((D176+E176)*C176-G176)&lt;='Assumptions and Catalog'!$C$50,((D176+E176)*C176-G176)*'Assumptions and Catalog'!$H$50+'Assumptions and Catalog'!$E$50+'Assumptions and Catalog'!$F$50,IF(((D176+E176)*C176-G176)&lt;='Assumptions and Catalog'!$C$51,((D176+E176)*C176-G176)*'Assumptions and Catalog'!$H$51+'Assumptions and Catalog'!$E$51+'Assumptions and Catalog'!$F$51,IF(((D176+E176)*C176-G176)&lt;='Assumptions and Catalog'!$C$52,((D176+E176)*C176-G176)*'Assumptions and Catalog'!$H$52+'Assumptions and Catalog'!$E$52+'Assumptions and Catalog'!$F$52,IF(((D176+E176)*C176-G176)&lt;='Assumptions and Catalog'!$C$53,((D176+E176)*C176-G176)*'Assumptions and Catalog'!$H$53+'Assumptions and Catalog'!$E$53+'Assumptions and Catalog'!$F$53,IF(((D176+E176)*C176-G176)&lt;='Assumptions and Catalog'!$C$54,((D176+E176)*C176-G176)*'Assumptions and Catalog'!$H$54+'Assumptions and Catalog'!$E$54+'Assumptions and Catalog'!$F$54,IF(((D176+E176)*C176-G176)&lt;='Assumptions and Catalog'!$C$55,((D176+E176)*C176-G176)*'Assumptions and Catalog'!$H$55+'Assumptions and Catalog'!$E$55+'Assumptions and Catalog'!$F$55,IF(((D176+E176)*C176-G176)&lt;='Assumptions and Catalog'!$C$56,((D176+E176)*C176-G176)*'Assumptions and Catalog'!$H$56+'Assumptions and Catalog'!$E$56+'Assumptions and Catalog'!$F$56,IF(((D176+E176)*C176-G176)&lt;='Assumptions and Catalog'!$C$57,((D176+E176)*C176-G176)*'Assumptions and Catalog'!$H$57+'Assumptions and Catalog'!$E$57+'Assumptions and Catalog'!$F$57,"Out of range")))))))),IF(((D176+E176)*C176-G176)&lt;='Assumptions and Catalog'!$C$60,((D176+E176)*C176-G176)*'Assumptions and Catalog'!$H$60+'Assumptions and Catalog'!$E$60+'Assumptions and Catalog'!$F$60,IF(((D176+E176)*C176-G176)&lt;='Assumptions and Catalog'!$C$61,((D176+E176)*C176-G176)*'Assumptions and Catalog'!$H$61+'Assumptions and Catalog'!$E$61+'Assumptions and Catalog'!$F$61,IF(((D176+E176)*C176-G176)&lt;='Assumptions and Catalog'!$C$62,((D176+E176)*C176-G176)*'Assumptions and Catalog'!$H$62+'Assumptions and Catalog'!$E$62+'Assumptions and Catalog'!$F$62,IF(((D176+E176)*C176-G176)&lt;='Assumptions and Catalog'!$C$63,((D176+E176)*C176-G176)*'Assumptions and Catalog'!$H$63+'Assumptions and Catalog'!$E$63+'Assumptions and Catalog'!$F$63,IF(((D176+E176)*C176-G176)&lt;='Assumptions and Catalog'!$C$64,((D176+E176)*C176-G176)*'Assumptions and Catalog'!$H$64+'Assumptions and Catalog'!$E$64+'Assumptions and Catalog'!$F$64,IF(((D176+E176)*C176-G176)&lt;='Assumptions and Catalog'!$C$65,((D176+E176)*C176-G176)*'Assumptions and Catalog'!$H$65+'Assumptions and Catalog'!$E$65+'Assumptions and Catalog'!$F$65,"Out of range")))))))))*(1+'Assumptions and Catalog'!$C$8)^(A176-1),0)</f>
        <v>3453.61</v>
      </c>
      <c r="R176" s="5" t="n">
        <f>IF(AND('Assumptions and Catalog'!$C$19&gt;0,A176&gt;='Assumptions and Catalog'!$C$19),A176-'Assumptions and Catalog'!$C$19,A176-1)</f>
        <v>1</v>
      </c>
      <c r="S176" s="5" t="n">
        <f>F176+L176-(D176+E176)*C176-J176-K176-0</f>
        <v>0</v>
      </c>
      <c r="T176" s="5"/>
      <c r="U176" s="5"/>
    </row>
    <row r="177" ht="23.100000381469727" customHeight="1">
      <c r="A177" s="5" t="n">
        <v>2</v>
      </c>
      <c r="B177" s="5" t="n">
        <v>5</v>
      </c>
      <c r="C177" s="5" t="n">
        <f>DAY(DATE('Assumptions and Catalog'!$C$24+A177-1,B177+1,0))</f>
        <v>31</v>
      </c>
      <c r="D177" s="5" t="n">
        <f>IF(ISNUMBER(Inputs!$L$5),Inputs!$L$5*Inputs!$L$6,0)</f>
        <v>40.35</v>
      </c>
      <c r="E177" s="5" t="n">
        <f>IF(ISNUMBER(Inputs!$L$5),Inputs!$L$5-D177,0)</f>
        <v>40.35</v>
      </c>
      <c r="F177" s="5" t="n">
        <f>C$51*INDEX('Solar Production'!$D$20:$D$31,B177)*C177*(1-'Assumptions and Catalog'!$C$10)^(A177-1)</f>
        <v>1424.77632</v>
      </c>
      <c r="G177" s="5" t="n">
        <f>MIN(F177,D177*C177)</f>
        <v>1250.85</v>
      </c>
      <c r="H177" s="5" t="n">
        <f>I177/('Assumptions and Catalog'!$C$11*'Assumptions and Catalog'!$C$12)</f>
        <v>0</v>
      </c>
      <c r="I177" s="5" t="n">
        <f>0</f>
        <v>0</v>
      </c>
      <c r="J177" s="5" t="n">
        <f>MAX(F177-G177-H177,0)</f>
        <v>173.92632</v>
      </c>
      <c r="K177" s="5" t="n">
        <f>H177-I177</f>
        <v>0</v>
      </c>
      <c r="L177" s="5" t="n">
        <f>(D177+E177)*C177-G177-I177+0+0</f>
        <v>1250.85</v>
      </c>
      <c r="M177" s="5" t="n">
        <f>IF(ISNUMBER(Inputs!$L$5),(IF(Inputs!$L$9="Actual flat rate",((D177+E177)*C177)*Inputs!$L$10,IF(Inputs!$C$9="Residential",IF(((D177+E177)*C177)&lt;='Assumptions and Catalog'!$C$50,((D177+E177)*C177)*'Assumptions and Catalog'!$H$50+'Assumptions and Catalog'!$E$50+'Assumptions and Catalog'!$F$50,IF(((D177+E177)*C177)&lt;='Assumptions and Catalog'!$C$51,((D177+E177)*C177)*'Assumptions and Catalog'!$H$51+'Assumptions and Catalog'!$E$51+'Assumptions and Catalog'!$F$51,IF(((D177+E177)*C177)&lt;='Assumptions and Catalog'!$C$52,((D177+E177)*C177)*'Assumptions and Catalog'!$H$52+'Assumptions and Catalog'!$E$52+'Assumptions and Catalog'!$F$52,IF(((D177+E177)*C177)&lt;='Assumptions and Catalog'!$C$53,((D177+E177)*C177)*'Assumptions and Catalog'!$H$53+'Assumptions and Catalog'!$E$53+'Assumptions and Catalog'!$F$53,IF(((D177+E177)*C177)&lt;='Assumptions and Catalog'!$C$54,((D177+E177)*C177)*'Assumptions and Catalog'!$H$54+'Assumptions and Catalog'!$E$54+'Assumptions and Catalog'!$F$54,IF(((D177+E177)*C177)&lt;='Assumptions and Catalog'!$C$55,((D177+E177)*C177)*'Assumptions and Catalog'!$H$55+'Assumptions and Catalog'!$E$55+'Assumptions and Catalog'!$F$55,IF(((D177+E177)*C177)&lt;='Assumptions and Catalog'!$C$56,((D177+E177)*C177)*'Assumptions and Catalog'!$H$56+'Assumptions and Catalog'!$E$56+'Assumptions and Catalog'!$F$56,IF(((D177+E177)*C177)&lt;='Assumptions and Catalog'!$C$57,((D177+E177)*C177)*'Assumptions and Catalog'!$H$57+'Assumptions and Catalog'!$E$57+'Assumptions and Catalog'!$F$57,"Out of range")))))))),IF(((D177+E177)*C177)&lt;='Assumptions and Catalog'!$C$60,((D177+E177)*C177)*'Assumptions and Catalog'!$H$60+'Assumptions and Catalog'!$E$60+'Assumptions and Catalog'!$F$60,IF(((D177+E177)*C177)&lt;='Assumptions and Catalog'!$C$61,((D177+E177)*C177)*'Assumptions and Catalog'!$H$61+'Assumptions and Catalog'!$E$61+'Assumptions and Catalog'!$F$61,IF(((D177+E177)*C177)&lt;='Assumptions and Catalog'!$C$62,((D177+E177)*C177)*'Assumptions and Catalog'!$H$62+'Assumptions and Catalog'!$E$62+'Assumptions and Catalog'!$F$62,IF(((D177+E177)*C177)&lt;='Assumptions and Catalog'!$C$63,((D177+E177)*C177)*'Assumptions and Catalog'!$H$63+'Assumptions and Catalog'!$E$63+'Assumptions and Catalog'!$F$63,IF(((D177+E177)*C177)&lt;='Assumptions and Catalog'!$C$64,((D177+E177)*C177)*'Assumptions and Catalog'!$H$64+'Assumptions and Catalog'!$E$64+'Assumptions and Catalog'!$F$64,IF(((D177+E177)*C177)&lt;='Assumptions and Catalog'!$C$65,((D177+E177)*C177)*'Assumptions and Catalog'!$H$65+'Assumptions and Catalog'!$E$65+'Assumptions and Catalog'!$F$65,"Out of range")))))))))*(1+'Assumptions and Catalog'!$C$8)^(A177-1),0)</f>
        <v>7094.794</v>
      </c>
      <c r="N177" s="5" t="n">
        <f>IF(ISNUMBER(Inputs!$L$5),(IF(Inputs!$L$9="Actual flat rate",L177*Inputs!$L$10,IF(Inputs!$C$9="Residential",IF(L177&lt;='Assumptions and Catalog'!$C$50,L177*'Assumptions and Catalog'!$H$50+'Assumptions and Catalog'!$E$50+'Assumptions and Catalog'!$F$50,IF(L177&lt;='Assumptions and Catalog'!$C$51,L177*'Assumptions and Catalog'!$H$51+'Assumptions and Catalog'!$E$51+'Assumptions and Catalog'!$F$51,IF(L177&lt;='Assumptions and Catalog'!$C$52,L177*'Assumptions and Catalog'!$H$52+'Assumptions and Catalog'!$E$52+'Assumptions and Catalog'!$F$52,IF(L177&lt;='Assumptions and Catalog'!$C$53,L177*'Assumptions and Catalog'!$H$53+'Assumptions and Catalog'!$E$53+'Assumptions and Catalog'!$F$53,IF(L177&lt;='Assumptions and Catalog'!$C$54,L177*'Assumptions and Catalog'!$H$54+'Assumptions and Catalog'!$E$54+'Assumptions and Catalog'!$F$54,IF(L177&lt;='Assumptions and Catalog'!$C$55,L177*'Assumptions and Catalog'!$H$55+'Assumptions and Catalog'!$E$55+'Assumptions and Catalog'!$F$55,IF(L177&lt;='Assumptions and Catalog'!$C$56,L177*'Assumptions and Catalog'!$H$56+'Assumptions and Catalog'!$E$56+'Assumptions and Catalog'!$F$56,IF(L177&lt;='Assumptions and Catalog'!$C$57,L177*'Assumptions and Catalog'!$H$57+'Assumptions and Catalog'!$E$57+'Assumptions and Catalog'!$F$57,"Out of range")))))))),IF(L177&lt;='Assumptions and Catalog'!$C$60,L177*'Assumptions and Catalog'!$H$60+'Assumptions and Catalog'!$E$60+'Assumptions and Catalog'!$F$60,IF(L177&lt;='Assumptions and Catalog'!$C$61,L177*'Assumptions and Catalog'!$H$61+'Assumptions and Catalog'!$E$61+'Assumptions and Catalog'!$F$61,IF(L177&lt;='Assumptions and Catalog'!$C$62,L177*'Assumptions and Catalog'!$H$62+'Assumptions and Catalog'!$E$62+'Assumptions and Catalog'!$F$62,IF(L177&lt;='Assumptions and Catalog'!$C$63,L177*'Assumptions and Catalog'!$H$63+'Assumptions and Catalog'!$E$63+'Assumptions and Catalog'!$F$63,IF(L177&lt;='Assumptions and Catalog'!$C$64,L177*'Assumptions and Catalog'!$H$64+'Assumptions and Catalog'!$E$64+'Assumptions and Catalog'!$F$64,IF(L177&lt;='Assumptions and Catalog'!$C$65,L177*'Assumptions and Catalog'!$H$65+'Assumptions and Catalog'!$E$65+'Assumptions and Catalog'!$F$65,"Out of range")))))))))*(1+'Assumptions and Catalog'!$C$8)^(A177-1),0)</f>
        <v>3567.397</v>
      </c>
      <c r="O177" s="5" t="n">
        <f>M177-N177</f>
        <v>3527.397</v>
      </c>
      <c r="P177" s="5" t="n">
        <f>C$55*(1-J$14)*(1-'Assumptions and Catalog'!$C$23)^R177</f>
        <v>0</v>
      </c>
      <c r="Q177" s="5" t="n">
        <f>IF(ISNUMBER(Inputs!$L$5),(IF(Inputs!$L$9="Actual flat rate",((D177+E177)*C177-G177)*Inputs!$L$10,IF(Inputs!$C$9="Residential",IF(((D177+E177)*C177-G177)&lt;='Assumptions and Catalog'!$C$50,((D177+E177)*C177-G177)*'Assumptions and Catalog'!$H$50+'Assumptions and Catalog'!$E$50+'Assumptions and Catalog'!$F$50,IF(((D177+E177)*C177-G177)&lt;='Assumptions and Catalog'!$C$51,((D177+E177)*C177-G177)*'Assumptions and Catalog'!$H$51+'Assumptions and Catalog'!$E$51+'Assumptions and Catalog'!$F$51,IF(((D177+E177)*C177-G177)&lt;='Assumptions and Catalog'!$C$52,((D177+E177)*C177-G177)*'Assumptions and Catalog'!$H$52+'Assumptions and Catalog'!$E$52+'Assumptions and Catalog'!$F$52,IF(((D177+E177)*C177-G177)&lt;='Assumptions and Catalog'!$C$53,((D177+E177)*C177-G177)*'Assumptions and Catalog'!$H$53+'Assumptions and Catalog'!$E$53+'Assumptions and Catalog'!$F$53,IF(((D177+E177)*C177-G177)&lt;='Assumptions and Catalog'!$C$54,((D177+E177)*C177-G177)*'Assumptions and Catalog'!$H$54+'Assumptions and Catalog'!$E$54+'Assumptions and Catalog'!$F$54,IF(((D177+E177)*C177-G177)&lt;='Assumptions and Catalog'!$C$55,((D177+E177)*C177-G177)*'Assumptions and Catalog'!$H$55+'Assumptions and Catalog'!$E$55+'Assumptions and Catalog'!$F$55,IF(((D177+E177)*C177-G177)&lt;='Assumptions and Catalog'!$C$56,((D177+E177)*C177-G177)*'Assumptions and Catalog'!$H$56+'Assumptions and Catalog'!$E$56+'Assumptions and Catalog'!$F$56,IF(((D177+E177)*C177-G177)&lt;='Assumptions and Catalog'!$C$57,((D177+E177)*C177-G177)*'Assumptions and Catalog'!$H$57+'Assumptions and Catalog'!$E$57+'Assumptions and Catalog'!$F$57,"Out of range")))))))),IF(((D177+E177)*C177-G177)&lt;='Assumptions and Catalog'!$C$60,((D177+E177)*C177-G177)*'Assumptions and Catalog'!$H$60+'Assumptions and Catalog'!$E$60+'Assumptions and Catalog'!$F$60,IF(((D177+E177)*C177-G177)&lt;='Assumptions and Catalog'!$C$61,((D177+E177)*C177-G177)*'Assumptions and Catalog'!$H$61+'Assumptions and Catalog'!$E$61+'Assumptions and Catalog'!$F$61,IF(((D177+E177)*C177-G177)&lt;='Assumptions and Catalog'!$C$62,((D177+E177)*C177-G177)*'Assumptions and Catalog'!$H$62+'Assumptions and Catalog'!$E$62+'Assumptions and Catalog'!$F$62,IF(((D177+E177)*C177-G177)&lt;='Assumptions and Catalog'!$C$63,((D177+E177)*C177-G177)*'Assumptions and Catalog'!$H$63+'Assumptions and Catalog'!$E$63+'Assumptions and Catalog'!$F$63,IF(((D177+E177)*C177-G177)&lt;='Assumptions and Catalog'!$C$64,((D177+E177)*C177-G177)*'Assumptions and Catalog'!$H$64+'Assumptions and Catalog'!$E$64+'Assumptions and Catalog'!$F$64,IF(((D177+E177)*C177-G177)&lt;='Assumptions and Catalog'!$C$65,((D177+E177)*C177-G177)*'Assumptions and Catalog'!$H$65+'Assumptions and Catalog'!$E$65+'Assumptions and Catalog'!$F$65,"Out of range")))))))))*(1+'Assumptions and Catalog'!$C$8)^(A177-1),0)</f>
        <v>3567.397</v>
      </c>
      <c r="R177" s="5" t="n">
        <f>IF(AND('Assumptions and Catalog'!$C$19&gt;0,A177&gt;='Assumptions and Catalog'!$C$19),A177-'Assumptions and Catalog'!$C$19,A177-1)</f>
        <v>1</v>
      </c>
      <c r="S177" s="5" t="n">
        <f>F177+L177-(D177+E177)*C177-J177-K177-0</f>
        <v>0</v>
      </c>
      <c r="T177" s="5"/>
      <c r="U177" s="5"/>
    </row>
    <row r="178" ht="23.100000381469727" customHeight="1">
      <c r="A178" s="5" t="n">
        <v>2</v>
      </c>
      <c r="B178" s="5" t="n">
        <v>6</v>
      </c>
      <c r="C178" s="5" t="n">
        <f>DAY(DATE('Assumptions and Catalog'!$C$24+A178-1,B178+1,0))</f>
        <v>30</v>
      </c>
      <c r="D178" s="5" t="n">
        <f>IF(ISNUMBER(Inputs!$L$5),Inputs!$L$5*Inputs!$L$6,0)</f>
        <v>40.35</v>
      </c>
      <c r="E178" s="5" t="n">
        <f>IF(ISNUMBER(Inputs!$L$5),Inputs!$L$5-D178,0)</f>
        <v>40.35</v>
      </c>
      <c r="F178" s="5" t="n">
        <f>C$51*INDEX('Solar Production'!$D$20:$D$31,B178)*C178*(1-'Assumptions and Catalog'!$C$10)^(A178-1)</f>
        <v>1388.87672</v>
      </c>
      <c r="G178" s="5" t="n">
        <f>MIN(F178,D178*C178)</f>
        <v>1210.5</v>
      </c>
      <c r="H178" s="5" t="n">
        <f>I178/('Assumptions and Catalog'!$C$11*'Assumptions and Catalog'!$C$12)</f>
        <v>0</v>
      </c>
      <c r="I178" s="5" t="n">
        <f>0</f>
        <v>0</v>
      </c>
      <c r="J178" s="5" t="n">
        <f>MAX(F178-G178-H178,0)</f>
        <v>178.37672</v>
      </c>
      <c r="K178" s="5" t="n">
        <f>H178-I178</f>
        <v>0</v>
      </c>
      <c r="L178" s="5" t="n">
        <f>(D178+E178)*C178-G178-I178+0+0</f>
        <v>1210.5</v>
      </c>
      <c r="M178" s="5" t="n">
        <f>IF(ISNUMBER(Inputs!$L$5),(IF(Inputs!$L$9="Actual flat rate",((D178+E178)*C178)*Inputs!$L$10,IF(Inputs!$C$9="Residential",IF(((D178+E178)*C178)&lt;='Assumptions and Catalog'!$C$50,((D178+E178)*C178)*'Assumptions and Catalog'!$H$50+'Assumptions and Catalog'!$E$50+'Assumptions and Catalog'!$F$50,IF(((D178+E178)*C178)&lt;='Assumptions and Catalog'!$C$51,((D178+E178)*C178)*'Assumptions and Catalog'!$H$51+'Assumptions and Catalog'!$E$51+'Assumptions and Catalog'!$F$51,IF(((D178+E178)*C178)&lt;='Assumptions and Catalog'!$C$52,((D178+E178)*C178)*'Assumptions and Catalog'!$H$52+'Assumptions and Catalog'!$E$52+'Assumptions and Catalog'!$F$52,IF(((D178+E178)*C178)&lt;='Assumptions and Catalog'!$C$53,((D178+E178)*C178)*'Assumptions and Catalog'!$H$53+'Assumptions and Catalog'!$E$53+'Assumptions and Catalog'!$F$53,IF(((D178+E178)*C178)&lt;='Assumptions and Catalog'!$C$54,((D178+E178)*C178)*'Assumptions and Catalog'!$H$54+'Assumptions and Catalog'!$E$54+'Assumptions and Catalog'!$F$54,IF(((D178+E178)*C178)&lt;='Assumptions and Catalog'!$C$55,((D178+E178)*C178)*'Assumptions and Catalog'!$H$55+'Assumptions and Catalog'!$E$55+'Assumptions and Catalog'!$F$55,IF(((D178+E178)*C178)&lt;='Assumptions and Catalog'!$C$56,((D178+E178)*C178)*'Assumptions and Catalog'!$H$56+'Assumptions and Catalog'!$E$56+'Assumptions and Catalog'!$F$56,IF(((D178+E178)*C178)&lt;='Assumptions and Catalog'!$C$57,((D178+E178)*C178)*'Assumptions and Catalog'!$H$57+'Assumptions and Catalog'!$E$57+'Assumptions and Catalog'!$F$57,"Out of range")))))))),IF(((D178+E178)*C178)&lt;='Assumptions and Catalog'!$C$60,((D178+E178)*C178)*'Assumptions and Catalog'!$H$60+'Assumptions and Catalog'!$E$60+'Assumptions and Catalog'!$F$60,IF(((D178+E178)*C178)&lt;='Assumptions and Catalog'!$C$61,((D178+E178)*C178)*'Assumptions and Catalog'!$H$61+'Assumptions and Catalog'!$E$61+'Assumptions and Catalog'!$F$61,IF(((D178+E178)*C178)&lt;='Assumptions and Catalog'!$C$62,((D178+E178)*C178)*'Assumptions and Catalog'!$H$62+'Assumptions and Catalog'!$E$62+'Assumptions and Catalog'!$F$62,IF(((D178+E178)*C178)&lt;='Assumptions and Catalog'!$C$63,((D178+E178)*C178)*'Assumptions and Catalog'!$H$63+'Assumptions and Catalog'!$E$63+'Assumptions and Catalog'!$F$63,IF(((D178+E178)*C178)&lt;='Assumptions and Catalog'!$C$64,((D178+E178)*C178)*'Assumptions and Catalog'!$H$64+'Assumptions and Catalog'!$E$64+'Assumptions and Catalog'!$F$64,IF(((D178+E178)*C178)&lt;='Assumptions and Catalog'!$C$65,((D178+E178)*C178)*'Assumptions and Catalog'!$H$65+'Assumptions and Catalog'!$E$65+'Assumptions and Catalog'!$F$65,"Out of range")))))))))*(1+'Assumptions and Catalog'!$C$8)^(A178-1),0)</f>
        <v>6867.22</v>
      </c>
      <c r="N178" s="5" t="n">
        <f>IF(ISNUMBER(Inputs!$L$5),(IF(Inputs!$L$9="Actual flat rate",L178*Inputs!$L$10,IF(Inputs!$C$9="Residential",IF(L178&lt;='Assumptions and Catalog'!$C$50,L178*'Assumptions and Catalog'!$H$50+'Assumptions and Catalog'!$E$50+'Assumptions and Catalog'!$F$50,IF(L178&lt;='Assumptions and Catalog'!$C$51,L178*'Assumptions and Catalog'!$H$51+'Assumptions and Catalog'!$E$51+'Assumptions and Catalog'!$F$51,IF(L178&lt;='Assumptions and Catalog'!$C$52,L178*'Assumptions and Catalog'!$H$52+'Assumptions and Catalog'!$E$52+'Assumptions and Catalog'!$F$52,IF(L178&lt;='Assumptions and Catalog'!$C$53,L178*'Assumptions and Catalog'!$H$53+'Assumptions and Catalog'!$E$53+'Assumptions and Catalog'!$F$53,IF(L178&lt;='Assumptions and Catalog'!$C$54,L178*'Assumptions and Catalog'!$H$54+'Assumptions and Catalog'!$E$54+'Assumptions and Catalog'!$F$54,IF(L178&lt;='Assumptions and Catalog'!$C$55,L178*'Assumptions and Catalog'!$H$55+'Assumptions and Catalog'!$E$55+'Assumptions and Catalog'!$F$55,IF(L178&lt;='Assumptions and Catalog'!$C$56,L178*'Assumptions and Catalog'!$H$56+'Assumptions and Catalog'!$E$56+'Assumptions and Catalog'!$F$56,IF(L178&lt;='Assumptions and Catalog'!$C$57,L178*'Assumptions and Catalog'!$H$57+'Assumptions and Catalog'!$E$57+'Assumptions and Catalog'!$F$57,"Out of range")))))))),IF(L178&lt;='Assumptions and Catalog'!$C$60,L178*'Assumptions and Catalog'!$H$60+'Assumptions and Catalog'!$E$60+'Assumptions and Catalog'!$F$60,IF(L178&lt;='Assumptions and Catalog'!$C$61,L178*'Assumptions and Catalog'!$H$61+'Assumptions and Catalog'!$E$61+'Assumptions and Catalog'!$F$61,IF(L178&lt;='Assumptions and Catalog'!$C$62,L178*'Assumptions and Catalog'!$H$62+'Assumptions and Catalog'!$E$62+'Assumptions and Catalog'!$F$62,IF(L178&lt;='Assumptions and Catalog'!$C$63,L178*'Assumptions and Catalog'!$H$63+'Assumptions and Catalog'!$E$63+'Assumptions and Catalog'!$F$63,IF(L178&lt;='Assumptions and Catalog'!$C$64,L178*'Assumptions and Catalog'!$H$64+'Assumptions and Catalog'!$E$64+'Assumptions and Catalog'!$F$64,IF(L178&lt;='Assumptions and Catalog'!$C$65,L178*'Assumptions and Catalog'!$H$65+'Assumptions and Catalog'!$E$65+'Assumptions and Catalog'!$F$65,"Out of range")))))))))*(1+'Assumptions and Catalog'!$C$8)^(A178-1),0)</f>
        <v>3453.61</v>
      </c>
      <c r="O178" s="5" t="n">
        <f>M178-N178</f>
        <v>3413.61</v>
      </c>
      <c r="P178" s="5" t="n">
        <f>C$55*(1-J$14)*(1-'Assumptions and Catalog'!$C$23)^R178</f>
        <v>0</v>
      </c>
      <c r="Q178" s="5" t="n">
        <f>IF(ISNUMBER(Inputs!$L$5),(IF(Inputs!$L$9="Actual flat rate",((D178+E178)*C178-G178)*Inputs!$L$10,IF(Inputs!$C$9="Residential",IF(((D178+E178)*C178-G178)&lt;='Assumptions and Catalog'!$C$50,((D178+E178)*C178-G178)*'Assumptions and Catalog'!$H$50+'Assumptions and Catalog'!$E$50+'Assumptions and Catalog'!$F$50,IF(((D178+E178)*C178-G178)&lt;='Assumptions and Catalog'!$C$51,((D178+E178)*C178-G178)*'Assumptions and Catalog'!$H$51+'Assumptions and Catalog'!$E$51+'Assumptions and Catalog'!$F$51,IF(((D178+E178)*C178-G178)&lt;='Assumptions and Catalog'!$C$52,((D178+E178)*C178-G178)*'Assumptions and Catalog'!$H$52+'Assumptions and Catalog'!$E$52+'Assumptions and Catalog'!$F$52,IF(((D178+E178)*C178-G178)&lt;='Assumptions and Catalog'!$C$53,((D178+E178)*C178-G178)*'Assumptions and Catalog'!$H$53+'Assumptions and Catalog'!$E$53+'Assumptions and Catalog'!$F$53,IF(((D178+E178)*C178-G178)&lt;='Assumptions and Catalog'!$C$54,((D178+E178)*C178-G178)*'Assumptions and Catalog'!$H$54+'Assumptions and Catalog'!$E$54+'Assumptions and Catalog'!$F$54,IF(((D178+E178)*C178-G178)&lt;='Assumptions and Catalog'!$C$55,((D178+E178)*C178-G178)*'Assumptions and Catalog'!$H$55+'Assumptions and Catalog'!$E$55+'Assumptions and Catalog'!$F$55,IF(((D178+E178)*C178-G178)&lt;='Assumptions and Catalog'!$C$56,((D178+E178)*C178-G178)*'Assumptions and Catalog'!$H$56+'Assumptions and Catalog'!$E$56+'Assumptions and Catalog'!$F$56,IF(((D178+E178)*C178-G178)&lt;='Assumptions and Catalog'!$C$57,((D178+E178)*C178-G178)*'Assumptions and Catalog'!$H$57+'Assumptions and Catalog'!$E$57+'Assumptions and Catalog'!$F$57,"Out of range")))))))),IF(((D178+E178)*C178-G178)&lt;='Assumptions and Catalog'!$C$60,((D178+E178)*C178-G178)*'Assumptions and Catalog'!$H$60+'Assumptions and Catalog'!$E$60+'Assumptions and Catalog'!$F$60,IF(((D178+E178)*C178-G178)&lt;='Assumptions and Catalog'!$C$61,((D178+E178)*C178-G178)*'Assumptions and Catalog'!$H$61+'Assumptions and Catalog'!$E$61+'Assumptions and Catalog'!$F$61,IF(((D178+E178)*C178-G178)&lt;='Assumptions and Catalog'!$C$62,((D178+E178)*C178-G178)*'Assumptions and Catalog'!$H$62+'Assumptions and Catalog'!$E$62+'Assumptions and Catalog'!$F$62,IF(((D178+E178)*C178-G178)&lt;='Assumptions and Catalog'!$C$63,((D178+E178)*C178-G178)*'Assumptions and Catalog'!$H$63+'Assumptions and Catalog'!$E$63+'Assumptions and Catalog'!$F$63,IF(((D178+E178)*C178-G178)&lt;='Assumptions and Catalog'!$C$64,((D178+E178)*C178-G178)*'Assumptions and Catalog'!$H$64+'Assumptions and Catalog'!$E$64+'Assumptions and Catalog'!$F$64,IF(((D178+E178)*C178-G178)&lt;='Assumptions and Catalog'!$C$65,((D178+E178)*C178-G178)*'Assumptions and Catalog'!$H$65+'Assumptions and Catalog'!$E$65+'Assumptions and Catalog'!$F$65,"Out of range")))))))))*(1+'Assumptions and Catalog'!$C$8)^(A178-1),0)</f>
        <v>3453.61</v>
      </c>
      <c r="R178" s="5" t="n">
        <f>IF(AND('Assumptions and Catalog'!$C$19&gt;0,A178&gt;='Assumptions and Catalog'!$C$19),A178-'Assumptions and Catalog'!$C$19,A178-1)</f>
        <v>1</v>
      </c>
      <c r="S178" s="5" t="n">
        <f>F178+L178-(D178+E178)*C178-J178-K178-0</f>
        <v>0</v>
      </c>
      <c r="T178" s="5"/>
      <c r="U178" s="5"/>
    </row>
    <row r="179" ht="23.100000381469727" customHeight="1">
      <c r="A179" s="5" t="n">
        <v>2</v>
      </c>
      <c r="B179" s="5" t="n">
        <v>7</v>
      </c>
      <c r="C179" s="5" t="n">
        <f>DAY(DATE('Assumptions and Catalog'!$C$24+A179-1,B179+1,0))</f>
        <v>31</v>
      </c>
      <c r="D179" s="5" t="n">
        <f>IF(ISNUMBER(Inputs!$L$5),Inputs!$L$5*Inputs!$L$6,0)</f>
        <v>40.35</v>
      </c>
      <c r="E179" s="5" t="n">
        <f>IF(ISNUMBER(Inputs!$L$5),Inputs!$L$5-D179,0)</f>
        <v>40.35</v>
      </c>
      <c r="F179" s="5" t="n">
        <f>C$51*INDEX('Solar Production'!$D$20:$D$31,B179)*C179*(1-'Assumptions and Catalog'!$C$10)^(A179-1)</f>
        <v>1441.76296</v>
      </c>
      <c r="G179" s="5" t="n">
        <f>MIN(F179,D179*C179)</f>
        <v>1250.85</v>
      </c>
      <c r="H179" s="5" t="n">
        <f>I179/('Assumptions and Catalog'!$C$11*'Assumptions and Catalog'!$C$12)</f>
        <v>0</v>
      </c>
      <c r="I179" s="5" t="n">
        <f>0</f>
        <v>0</v>
      </c>
      <c r="J179" s="5" t="n">
        <f>MAX(F179-G179-H179,0)</f>
        <v>190.91296</v>
      </c>
      <c r="K179" s="5" t="n">
        <f>H179-I179</f>
        <v>0</v>
      </c>
      <c r="L179" s="5" t="n">
        <f>(D179+E179)*C179-G179-I179+0+0</f>
        <v>1250.85</v>
      </c>
      <c r="M179" s="5" t="n">
        <f>IF(ISNUMBER(Inputs!$L$5),(IF(Inputs!$L$9="Actual flat rate",((D179+E179)*C179)*Inputs!$L$10,IF(Inputs!$C$9="Residential",IF(((D179+E179)*C179)&lt;='Assumptions and Catalog'!$C$50,((D179+E179)*C179)*'Assumptions and Catalog'!$H$50+'Assumptions and Catalog'!$E$50+'Assumptions and Catalog'!$F$50,IF(((D179+E179)*C179)&lt;='Assumptions and Catalog'!$C$51,((D179+E179)*C179)*'Assumptions and Catalog'!$H$51+'Assumptions and Catalog'!$E$51+'Assumptions and Catalog'!$F$51,IF(((D179+E179)*C179)&lt;='Assumptions and Catalog'!$C$52,((D179+E179)*C179)*'Assumptions and Catalog'!$H$52+'Assumptions and Catalog'!$E$52+'Assumptions and Catalog'!$F$52,IF(((D179+E179)*C179)&lt;='Assumptions and Catalog'!$C$53,((D179+E179)*C179)*'Assumptions and Catalog'!$H$53+'Assumptions and Catalog'!$E$53+'Assumptions and Catalog'!$F$53,IF(((D179+E179)*C179)&lt;='Assumptions and Catalog'!$C$54,((D179+E179)*C179)*'Assumptions and Catalog'!$H$54+'Assumptions and Catalog'!$E$54+'Assumptions and Catalog'!$F$54,IF(((D179+E179)*C179)&lt;='Assumptions and Catalog'!$C$55,((D179+E179)*C179)*'Assumptions and Catalog'!$H$55+'Assumptions and Catalog'!$E$55+'Assumptions and Catalog'!$F$55,IF(((D179+E179)*C179)&lt;='Assumptions and Catalog'!$C$56,((D179+E179)*C179)*'Assumptions and Catalog'!$H$56+'Assumptions and Catalog'!$E$56+'Assumptions and Catalog'!$F$56,IF(((D179+E179)*C179)&lt;='Assumptions and Catalog'!$C$57,((D179+E179)*C179)*'Assumptions and Catalog'!$H$57+'Assumptions and Catalog'!$E$57+'Assumptions and Catalog'!$F$57,"Out of range")))))))),IF(((D179+E179)*C179)&lt;='Assumptions and Catalog'!$C$60,((D179+E179)*C179)*'Assumptions and Catalog'!$H$60+'Assumptions and Catalog'!$E$60+'Assumptions and Catalog'!$F$60,IF(((D179+E179)*C179)&lt;='Assumptions and Catalog'!$C$61,((D179+E179)*C179)*'Assumptions and Catalog'!$H$61+'Assumptions and Catalog'!$E$61+'Assumptions and Catalog'!$F$61,IF(((D179+E179)*C179)&lt;='Assumptions and Catalog'!$C$62,((D179+E179)*C179)*'Assumptions and Catalog'!$H$62+'Assumptions and Catalog'!$E$62+'Assumptions and Catalog'!$F$62,IF(((D179+E179)*C179)&lt;='Assumptions and Catalog'!$C$63,((D179+E179)*C179)*'Assumptions and Catalog'!$H$63+'Assumptions and Catalog'!$E$63+'Assumptions and Catalog'!$F$63,IF(((D179+E179)*C179)&lt;='Assumptions and Catalog'!$C$64,((D179+E179)*C179)*'Assumptions and Catalog'!$H$64+'Assumptions and Catalog'!$E$64+'Assumptions and Catalog'!$F$64,IF(((D179+E179)*C179)&lt;='Assumptions and Catalog'!$C$65,((D179+E179)*C179)*'Assumptions and Catalog'!$H$65+'Assumptions and Catalog'!$E$65+'Assumptions and Catalog'!$F$65,"Out of range")))))))))*(1+'Assumptions and Catalog'!$C$8)^(A179-1),0)</f>
        <v>7094.794</v>
      </c>
      <c r="N179" s="5" t="n">
        <f>IF(ISNUMBER(Inputs!$L$5),(IF(Inputs!$L$9="Actual flat rate",L179*Inputs!$L$10,IF(Inputs!$C$9="Residential",IF(L179&lt;='Assumptions and Catalog'!$C$50,L179*'Assumptions and Catalog'!$H$50+'Assumptions and Catalog'!$E$50+'Assumptions and Catalog'!$F$50,IF(L179&lt;='Assumptions and Catalog'!$C$51,L179*'Assumptions and Catalog'!$H$51+'Assumptions and Catalog'!$E$51+'Assumptions and Catalog'!$F$51,IF(L179&lt;='Assumptions and Catalog'!$C$52,L179*'Assumptions and Catalog'!$H$52+'Assumptions and Catalog'!$E$52+'Assumptions and Catalog'!$F$52,IF(L179&lt;='Assumptions and Catalog'!$C$53,L179*'Assumptions and Catalog'!$H$53+'Assumptions and Catalog'!$E$53+'Assumptions and Catalog'!$F$53,IF(L179&lt;='Assumptions and Catalog'!$C$54,L179*'Assumptions and Catalog'!$H$54+'Assumptions and Catalog'!$E$54+'Assumptions and Catalog'!$F$54,IF(L179&lt;='Assumptions and Catalog'!$C$55,L179*'Assumptions and Catalog'!$H$55+'Assumptions and Catalog'!$E$55+'Assumptions and Catalog'!$F$55,IF(L179&lt;='Assumptions and Catalog'!$C$56,L179*'Assumptions and Catalog'!$H$56+'Assumptions and Catalog'!$E$56+'Assumptions and Catalog'!$F$56,IF(L179&lt;='Assumptions and Catalog'!$C$57,L179*'Assumptions and Catalog'!$H$57+'Assumptions and Catalog'!$E$57+'Assumptions and Catalog'!$F$57,"Out of range")))))))),IF(L179&lt;='Assumptions and Catalog'!$C$60,L179*'Assumptions and Catalog'!$H$60+'Assumptions and Catalog'!$E$60+'Assumptions and Catalog'!$F$60,IF(L179&lt;='Assumptions and Catalog'!$C$61,L179*'Assumptions and Catalog'!$H$61+'Assumptions and Catalog'!$E$61+'Assumptions and Catalog'!$F$61,IF(L179&lt;='Assumptions and Catalog'!$C$62,L179*'Assumptions and Catalog'!$H$62+'Assumptions and Catalog'!$E$62+'Assumptions and Catalog'!$F$62,IF(L179&lt;='Assumptions and Catalog'!$C$63,L179*'Assumptions and Catalog'!$H$63+'Assumptions and Catalog'!$E$63+'Assumptions and Catalog'!$F$63,IF(L179&lt;='Assumptions and Catalog'!$C$64,L179*'Assumptions and Catalog'!$H$64+'Assumptions and Catalog'!$E$64+'Assumptions and Catalog'!$F$64,IF(L179&lt;='Assumptions and Catalog'!$C$65,L179*'Assumptions and Catalog'!$H$65+'Assumptions and Catalog'!$E$65+'Assumptions and Catalog'!$F$65,"Out of range")))))))))*(1+'Assumptions and Catalog'!$C$8)^(A179-1),0)</f>
        <v>3567.397</v>
      </c>
      <c r="O179" s="5" t="n">
        <f>M179-N179</f>
        <v>3527.397</v>
      </c>
      <c r="P179" s="5" t="n">
        <f>C$55*(1-J$14)*(1-'Assumptions and Catalog'!$C$23)^R179</f>
        <v>0</v>
      </c>
      <c r="Q179" s="5" t="n">
        <f>IF(ISNUMBER(Inputs!$L$5),(IF(Inputs!$L$9="Actual flat rate",((D179+E179)*C179-G179)*Inputs!$L$10,IF(Inputs!$C$9="Residential",IF(((D179+E179)*C179-G179)&lt;='Assumptions and Catalog'!$C$50,((D179+E179)*C179-G179)*'Assumptions and Catalog'!$H$50+'Assumptions and Catalog'!$E$50+'Assumptions and Catalog'!$F$50,IF(((D179+E179)*C179-G179)&lt;='Assumptions and Catalog'!$C$51,((D179+E179)*C179-G179)*'Assumptions and Catalog'!$H$51+'Assumptions and Catalog'!$E$51+'Assumptions and Catalog'!$F$51,IF(((D179+E179)*C179-G179)&lt;='Assumptions and Catalog'!$C$52,((D179+E179)*C179-G179)*'Assumptions and Catalog'!$H$52+'Assumptions and Catalog'!$E$52+'Assumptions and Catalog'!$F$52,IF(((D179+E179)*C179-G179)&lt;='Assumptions and Catalog'!$C$53,((D179+E179)*C179-G179)*'Assumptions and Catalog'!$H$53+'Assumptions and Catalog'!$E$53+'Assumptions and Catalog'!$F$53,IF(((D179+E179)*C179-G179)&lt;='Assumptions and Catalog'!$C$54,((D179+E179)*C179-G179)*'Assumptions and Catalog'!$H$54+'Assumptions and Catalog'!$E$54+'Assumptions and Catalog'!$F$54,IF(((D179+E179)*C179-G179)&lt;='Assumptions and Catalog'!$C$55,((D179+E179)*C179-G179)*'Assumptions and Catalog'!$H$55+'Assumptions and Catalog'!$E$55+'Assumptions and Catalog'!$F$55,IF(((D179+E179)*C179-G179)&lt;='Assumptions and Catalog'!$C$56,((D179+E179)*C179-G179)*'Assumptions and Catalog'!$H$56+'Assumptions and Catalog'!$E$56+'Assumptions and Catalog'!$F$56,IF(((D179+E179)*C179-G179)&lt;='Assumptions and Catalog'!$C$57,((D179+E179)*C179-G179)*'Assumptions and Catalog'!$H$57+'Assumptions and Catalog'!$E$57+'Assumptions and Catalog'!$F$57,"Out of range")))))))),IF(((D179+E179)*C179-G179)&lt;='Assumptions and Catalog'!$C$60,((D179+E179)*C179-G179)*'Assumptions and Catalog'!$H$60+'Assumptions and Catalog'!$E$60+'Assumptions and Catalog'!$F$60,IF(((D179+E179)*C179-G179)&lt;='Assumptions and Catalog'!$C$61,((D179+E179)*C179-G179)*'Assumptions and Catalog'!$H$61+'Assumptions and Catalog'!$E$61+'Assumptions and Catalog'!$F$61,IF(((D179+E179)*C179-G179)&lt;='Assumptions and Catalog'!$C$62,((D179+E179)*C179-G179)*'Assumptions and Catalog'!$H$62+'Assumptions and Catalog'!$E$62+'Assumptions and Catalog'!$F$62,IF(((D179+E179)*C179-G179)&lt;='Assumptions and Catalog'!$C$63,((D179+E179)*C179-G179)*'Assumptions and Catalog'!$H$63+'Assumptions and Catalog'!$E$63+'Assumptions and Catalog'!$F$63,IF(((D179+E179)*C179-G179)&lt;='Assumptions and Catalog'!$C$64,((D179+E179)*C179-G179)*'Assumptions and Catalog'!$H$64+'Assumptions and Catalog'!$E$64+'Assumptions and Catalog'!$F$64,IF(((D179+E179)*C179-G179)&lt;='Assumptions and Catalog'!$C$65,((D179+E179)*C179-G179)*'Assumptions and Catalog'!$H$65+'Assumptions and Catalog'!$E$65+'Assumptions and Catalog'!$F$65,"Out of range")))))))))*(1+'Assumptions and Catalog'!$C$8)^(A179-1),0)</f>
        <v>3567.397</v>
      </c>
      <c r="R179" s="5" t="n">
        <f>IF(AND('Assumptions and Catalog'!$C$19&gt;0,A179&gt;='Assumptions and Catalog'!$C$19),A179-'Assumptions and Catalog'!$C$19,A179-1)</f>
        <v>1</v>
      </c>
      <c r="S179" s="5" t="n">
        <f>F179+L179-(D179+E179)*C179-J179-K179-0</f>
        <v>0</v>
      </c>
      <c r="T179" s="5"/>
      <c r="U179" s="5"/>
    </row>
    <row r="180" ht="23.100000381469727" customHeight="1">
      <c r="A180" s="5" t="n">
        <v>2</v>
      </c>
      <c r="B180" s="5" t="n">
        <v>8</v>
      </c>
      <c r="C180" s="5" t="n">
        <f>DAY(DATE('Assumptions and Catalog'!$C$24+A180-1,B180+1,0))</f>
        <v>31</v>
      </c>
      <c r="D180" s="5" t="n">
        <f>IF(ISNUMBER(Inputs!$L$5),Inputs!$L$5*Inputs!$L$6,0)</f>
        <v>40.35</v>
      </c>
      <c r="E180" s="5" t="n">
        <f>IF(ISNUMBER(Inputs!$L$5),Inputs!$L$5-D180,0)</f>
        <v>40.35</v>
      </c>
      <c r="F180" s="5" t="n">
        <f>C$51*INDEX('Solar Production'!$D$20:$D$31,B180)*C180*(1-'Assumptions and Catalog'!$C$10)^(A180-1)</f>
        <v>1460.5008</v>
      </c>
      <c r="G180" s="5" t="n">
        <f>MIN(F180,D180*C180)</f>
        <v>1250.85</v>
      </c>
      <c r="H180" s="5" t="n">
        <f>I180/('Assumptions and Catalog'!$C$11*'Assumptions and Catalog'!$C$12)</f>
        <v>0</v>
      </c>
      <c r="I180" s="5" t="n">
        <f>0</f>
        <v>0</v>
      </c>
      <c r="J180" s="5" t="n">
        <f>MAX(F180-G180-H180,0)</f>
        <v>209.6508</v>
      </c>
      <c r="K180" s="5" t="n">
        <f>H180-I180</f>
        <v>0</v>
      </c>
      <c r="L180" s="5" t="n">
        <f>(D180+E180)*C180-G180-I180+0+0</f>
        <v>1250.85</v>
      </c>
      <c r="M180" s="5" t="n">
        <f>IF(ISNUMBER(Inputs!$L$5),(IF(Inputs!$L$9="Actual flat rate",((D180+E180)*C180)*Inputs!$L$10,IF(Inputs!$C$9="Residential",IF(((D180+E180)*C180)&lt;='Assumptions and Catalog'!$C$50,((D180+E180)*C180)*'Assumptions and Catalog'!$H$50+'Assumptions and Catalog'!$E$50+'Assumptions and Catalog'!$F$50,IF(((D180+E180)*C180)&lt;='Assumptions and Catalog'!$C$51,((D180+E180)*C180)*'Assumptions and Catalog'!$H$51+'Assumptions and Catalog'!$E$51+'Assumptions and Catalog'!$F$51,IF(((D180+E180)*C180)&lt;='Assumptions and Catalog'!$C$52,((D180+E180)*C180)*'Assumptions and Catalog'!$H$52+'Assumptions and Catalog'!$E$52+'Assumptions and Catalog'!$F$52,IF(((D180+E180)*C180)&lt;='Assumptions and Catalog'!$C$53,((D180+E180)*C180)*'Assumptions and Catalog'!$H$53+'Assumptions and Catalog'!$E$53+'Assumptions and Catalog'!$F$53,IF(((D180+E180)*C180)&lt;='Assumptions and Catalog'!$C$54,((D180+E180)*C180)*'Assumptions and Catalog'!$H$54+'Assumptions and Catalog'!$E$54+'Assumptions and Catalog'!$F$54,IF(((D180+E180)*C180)&lt;='Assumptions and Catalog'!$C$55,((D180+E180)*C180)*'Assumptions and Catalog'!$H$55+'Assumptions and Catalog'!$E$55+'Assumptions and Catalog'!$F$55,IF(((D180+E180)*C180)&lt;='Assumptions and Catalog'!$C$56,((D180+E180)*C180)*'Assumptions and Catalog'!$H$56+'Assumptions and Catalog'!$E$56+'Assumptions and Catalog'!$F$56,IF(((D180+E180)*C180)&lt;='Assumptions and Catalog'!$C$57,((D180+E180)*C180)*'Assumptions and Catalog'!$H$57+'Assumptions and Catalog'!$E$57+'Assumptions and Catalog'!$F$57,"Out of range")))))))),IF(((D180+E180)*C180)&lt;='Assumptions and Catalog'!$C$60,((D180+E180)*C180)*'Assumptions and Catalog'!$H$60+'Assumptions and Catalog'!$E$60+'Assumptions and Catalog'!$F$60,IF(((D180+E180)*C180)&lt;='Assumptions and Catalog'!$C$61,((D180+E180)*C180)*'Assumptions and Catalog'!$H$61+'Assumptions and Catalog'!$E$61+'Assumptions and Catalog'!$F$61,IF(((D180+E180)*C180)&lt;='Assumptions and Catalog'!$C$62,((D180+E180)*C180)*'Assumptions and Catalog'!$H$62+'Assumptions and Catalog'!$E$62+'Assumptions and Catalog'!$F$62,IF(((D180+E180)*C180)&lt;='Assumptions and Catalog'!$C$63,((D180+E180)*C180)*'Assumptions and Catalog'!$H$63+'Assumptions and Catalog'!$E$63+'Assumptions and Catalog'!$F$63,IF(((D180+E180)*C180)&lt;='Assumptions and Catalog'!$C$64,((D180+E180)*C180)*'Assumptions and Catalog'!$H$64+'Assumptions and Catalog'!$E$64+'Assumptions and Catalog'!$F$64,IF(((D180+E180)*C180)&lt;='Assumptions and Catalog'!$C$65,((D180+E180)*C180)*'Assumptions and Catalog'!$H$65+'Assumptions and Catalog'!$E$65+'Assumptions and Catalog'!$F$65,"Out of range")))))))))*(1+'Assumptions and Catalog'!$C$8)^(A180-1),0)</f>
        <v>7094.794</v>
      </c>
      <c r="N180" s="5" t="n">
        <f>IF(ISNUMBER(Inputs!$L$5),(IF(Inputs!$L$9="Actual flat rate",L180*Inputs!$L$10,IF(Inputs!$C$9="Residential",IF(L180&lt;='Assumptions and Catalog'!$C$50,L180*'Assumptions and Catalog'!$H$50+'Assumptions and Catalog'!$E$50+'Assumptions and Catalog'!$F$50,IF(L180&lt;='Assumptions and Catalog'!$C$51,L180*'Assumptions and Catalog'!$H$51+'Assumptions and Catalog'!$E$51+'Assumptions and Catalog'!$F$51,IF(L180&lt;='Assumptions and Catalog'!$C$52,L180*'Assumptions and Catalog'!$H$52+'Assumptions and Catalog'!$E$52+'Assumptions and Catalog'!$F$52,IF(L180&lt;='Assumptions and Catalog'!$C$53,L180*'Assumptions and Catalog'!$H$53+'Assumptions and Catalog'!$E$53+'Assumptions and Catalog'!$F$53,IF(L180&lt;='Assumptions and Catalog'!$C$54,L180*'Assumptions and Catalog'!$H$54+'Assumptions and Catalog'!$E$54+'Assumptions and Catalog'!$F$54,IF(L180&lt;='Assumptions and Catalog'!$C$55,L180*'Assumptions and Catalog'!$H$55+'Assumptions and Catalog'!$E$55+'Assumptions and Catalog'!$F$55,IF(L180&lt;='Assumptions and Catalog'!$C$56,L180*'Assumptions and Catalog'!$H$56+'Assumptions and Catalog'!$E$56+'Assumptions and Catalog'!$F$56,IF(L180&lt;='Assumptions and Catalog'!$C$57,L180*'Assumptions and Catalog'!$H$57+'Assumptions and Catalog'!$E$57+'Assumptions and Catalog'!$F$57,"Out of range")))))))),IF(L180&lt;='Assumptions and Catalog'!$C$60,L180*'Assumptions and Catalog'!$H$60+'Assumptions and Catalog'!$E$60+'Assumptions and Catalog'!$F$60,IF(L180&lt;='Assumptions and Catalog'!$C$61,L180*'Assumptions and Catalog'!$H$61+'Assumptions and Catalog'!$E$61+'Assumptions and Catalog'!$F$61,IF(L180&lt;='Assumptions and Catalog'!$C$62,L180*'Assumptions and Catalog'!$H$62+'Assumptions and Catalog'!$E$62+'Assumptions and Catalog'!$F$62,IF(L180&lt;='Assumptions and Catalog'!$C$63,L180*'Assumptions and Catalog'!$H$63+'Assumptions and Catalog'!$E$63+'Assumptions and Catalog'!$F$63,IF(L180&lt;='Assumptions and Catalog'!$C$64,L180*'Assumptions and Catalog'!$H$64+'Assumptions and Catalog'!$E$64+'Assumptions and Catalog'!$F$64,IF(L180&lt;='Assumptions and Catalog'!$C$65,L180*'Assumptions and Catalog'!$H$65+'Assumptions and Catalog'!$E$65+'Assumptions and Catalog'!$F$65,"Out of range")))))))))*(1+'Assumptions and Catalog'!$C$8)^(A180-1),0)</f>
        <v>3567.397</v>
      </c>
      <c r="O180" s="5" t="n">
        <f>M180-N180</f>
        <v>3527.397</v>
      </c>
      <c r="P180" s="5" t="n">
        <f>C$55*(1-J$14)*(1-'Assumptions and Catalog'!$C$23)^R180</f>
        <v>0</v>
      </c>
      <c r="Q180" s="5" t="n">
        <f>IF(ISNUMBER(Inputs!$L$5),(IF(Inputs!$L$9="Actual flat rate",((D180+E180)*C180-G180)*Inputs!$L$10,IF(Inputs!$C$9="Residential",IF(((D180+E180)*C180-G180)&lt;='Assumptions and Catalog'!$C$50,((D180+E180)*C180-G180)*'Assumptions and Catalog'!$H$50+'Assumptions and Catalog'!$E$50+'Assumptions and Catalog'!$F$50,IF(((D180+E180)*C180-G180)&lt;='Assumptions and Catalog'!$C$51,((D180+E180)*C180-G180)*'Assumptions and Catalog'!$H$51+'Assumptions and Catalog'!$E$51+'Assumptions and Catalog'!$F$51,IF(((D180+E180)*C180-G180)&lt;='Assumptions and Catalog'!$C$52,((D180+E180)*C180-G180)*'Assumptions and Catalog'!$H$52+'Assumptions and Catalog'!$E$52+'Assumptions and Catalog'!$F$52,IF(((D180+E180)*C180-G180)&lt;='Assumptions and Catalog'!$C$53,((D180+E180)*C180-G180)*'Assumptions and Catalog'!$H$53+'Assumptions and Catalog'!$E$53+'Assumptions and Catalog'!$F$53,IF(((D180+E180)*C180-G180)&lt;='Assumptions and Catalog'!$C$54,((D180+E180)*C180-G180)*'Assumptions and Catalog'!$H$54+'Assumptions and Catalog'!$E$54+'Assumptions and Catalog'!$F$54,IF(((D180+E180)*C180-G180)&lt;='Assumptions and Catalog'!$C$55,((D180+E180)*C180-G180)*'Assumptions and Catalog'!$H$55+'Assumptions and Catalog'!$E$55+'Assumptions and Catalog'!$F$55,IF(((D180+E180)*C180-G180)&lt;='Assumptions and Catalog'!$C$56,((D180+E180)*C180-G180)*'Assumptions and Catalog'!$H$56+'Assumptions and Catalog'!$E$56+'Assumptions and Catalog'!$F$56,IF(((D180+E180)*C180-G180)&lt;='Assumptions and Catalog'!$C$57,((D180+E180)*C180-G180)*'Assumptions and Catalog'!$H$57+'Assumptions and Catalog'!$E$57+'Assumptions and Catalog'!$F$57,"Out of range")))))))),IF(((D180+E180)*C180-G180)&lt;='Assumptions and Catalog'!$C$60,((D180+E180)*C180-G180)*'Assumptions and Catalog'!$H$60+'Assumptions and Catalog'!$E$60+'Assumptions and Catalog'!$F$60,IF(((D180+E180)*C180-G180)&lt;='Assumptions and Catalog'!$C$61,((D180+E180)*C180-G180)*'Assumptions and Catalog'!$H$61+'Assumptions and Catalog'!$E$61+'Assumptions and Catalog'!$F$61,IF(((D180+E180)*C180-G180)&lt;='Assumptions and Catalog'!$C$62,((D180+E180)*C180-G180)*'Assumptions and Catalog'!$H$62+'Assumptions and Catalog'!$E$62+'Assumptions and Catalog'!$F$62,IF(((D180+E180)*C180-G180)&lt;='Assumptions and Catalog'!$C$63,((D180+E180)*C180-G180)*'Assumptions and Catalog'!$H$63+'Assumptions and Catalog'!$E$63+'Assumptions and Catalog'!$F$63,IF(((D180+E180)*C180-G180)&lt;='Assumptions and Catalog'!$C$64,((D180+E180)*C180-G180)*'Assumptions and Catalog'!$H$64+'Assumptions and Catalog'!$E$64+'Assumptions and Catalog'!$F$64,IF(((D180+E180)*C180-G180)&lt;='Assumptions and Catalog'!$C$65,((D180+E180)*C180-G180)*'Assumptions and Catalog'!$H$65+'Assumptions and Catalog'!$E$65+'Assumptions and Catalog'!$F$65,"Out of range")))))))))*(1+'Assumptions and Catalog'!$C$8)^(A180-1),0)</f>
        <v>3567.397</v>
      </c>
      <c r="R180" s="5" t="n">
        <f>IF(AND('Assumptions and Catalog'!$C$19&gt;0,A180&gt;='Assumptions and Catalog'!$C$19),A180-'Assumptions and Catalog'!$C$19,A180-1)</f>
        <v>1</v>
      </c>
      <c r="S180" s="5" t="n">
        <f>F180+L180-(D180+E180)*C180-J180-K180-0</f>
        <v>0</v>
      </c>
      <c r="T180" s="5"/>
      <c r="U180" s="5"/>
    </row>
    <row r="181" ht="23.100000381469727" customHeight="1">
      <c r="A181" s="5" t="n">
        <v>2</v>
      </c>
      <c r="B181" s="5" t="n">
        <v>9</v>
      </c>
      <c r="C181" s="5" t="n">
        <f>DAY(DATE('Assumptions and Catalog'!$C$24+A181-1,B181+1,0))</f>
        <v>30</v>
      </c>
      <c r="D181" s="5" t="n">
        <f>IF(ISNUMBER(Inputs!$L$5),Inputs!$L$5*Inputs!$L$6,0)</f>
        <v>40.35</v>
      </c>
      <c r="E181" s="5" t="n">
        <f>IF(ISNUMBER(Inputs!$L$5),Inputs!$L$5-D181,0)</f>
        <v>40.35</v>
      </c>
      <c r="F181" s="5" t="n">
        <f>C$51*INDEX('Solar Production'!$D$20:$D$31,B181)*C181*(1-'Assumptions and Catalog'!$C$10)^(A181-1)</f>
        <v>1409.716</v>
      </c>
      <c r="G181" s="5" t="n">
        <f>MIN(F181,D181*C181)</f>
        <v>1210.5</v>
      </c>
      <c r="H181" s="5" t="n">
        <f>I181/('Assumptions and Catalog'!$C$11*'Assumptions and Catalog'!$C$12)</f>
        <v>0</v>
      </c>
      <c r="I181" s="5" t="n">
        <f>0</f>
        <v>0</v>
      </c>
      <c r="J181" s="5" t="n">
        <f>MAX(F181-G181-H181,0)</f>
        <v>199.216</v>
      </c>
      <c r="K181" s="5" t="n">
        <f>H181-I181</f>
        <v>0</v>
      </c>
      <c r="L181" s="5" t="n">
        <f>(D181+E181)*C181-G181-I181+0+0</f>
        <v>1210.5</v>
      </c>
      <c r="M181" s="5" t="n">
        <f>IF(ISNUMBER(Inputs!$L$5),(IF(Inputs!$L$9="Actual flat rate",((D181+E181)*C181)*Inputs!$L$10,IF(Inputs!$C$9="Residential",IF(((D181+E181)*C181)&lt;='Assumptions and Catalog'!$C$50,((D181+E181)*C181)*'Assumptions and Catalog'!$H$50+'Assumptions and Catalog'!$E$50+'Assumptions and Catalog'!$F$50,IF(((D181+E181)*C181)&lt;='Assumptions and Catalog'!$C$51,((D181+E181)*C181)*'Assumptions and Catalog'!$H$51+'Assumptions and Catalog'!$E$51+'Assumptions and Catalog'!$F$51,IF(((D181+E181)*C181)&lt;='Assumptions and Catalog'!$C$52,((D181+E181)*C181)*'Assumptions and Catalog'!$H$52+'Assumptions and Catalog'!$E$52+'Assumptions and Catalog'!$F$52,IF(((D181+E181)*C181)&lt;='Assumptions and Catalog'!$C$53,((D181+E181)*C181)*'Assumptions and Catalog'!$H$53+'Assumptions and Catalog'!$E$53+'Assumptions and Catalog'!$F$53,IF(((D181+E181)*C181)&lt;='Assumptions and Catalog'!$C$54,((D181+E181)*C181)*'Assumptions and Catalog'!$H$54+'Assumptions and Catalog'!$E$54+'Assumptions and Catalog'!$F$54,IF(((D181+E181)*C181)&lt;='Assumptions and Catalog'!$C$55,((D181+E181)*C181)*'Assumptions and Catalog'!$H$55+'Assumptions and Catalog'!$E$55+'Assumptions and Catalog'!$F$55,IF(((D181+E181)*C181)&lt;='Assumptions and Catalog'!$C$56,((D181+E181)*C181)*'Assumptions and Catalog'!$H$56+'Assumptions and Catalog'!$E$56+'Assumptions and Catalog'!$F$56,IF(((D181+E181)*C181)&lt;='Assumptions and Catalog'!$C$57,((D181+E181)*C181)*'Assumptions and Catalog'!$H$57+'Assumptions and Catalog'!$E$57+'Assumptions and Catalog'!$F$57,"Out of range")))))))),IF(((D181+E181)*C181)&lt;='Assumptions and Catalog'!$C$60,((D181+E181)*C181)*'Assumptions and Catalog'!$H$60+'Assumptions and Catalog'!$E$60+'Assumptions and Catalog'!$F$60,IF(((D181+E181)*C181)&lt;='Assumptions and Catalog'!$C$61,((D181+E181)*C181)*'Assumptions and Catalog'!$H$61+'Assumptions and Catalog'!$E$61+'Assumptions and Catalog'!$F$61,IF(((D181+E181)*C181)&lt;='Assumptions and Catalog'!$C$62,((D181+E181)*C181)*'Assumptions and Catalog'!$H$62+'Assumptions and Catalog'!$E$62+'Assumptions and Catalog'!$F$62,IF(((D181+E181)*C181)&lt;='Assumptions and Catalog'!$C$63,((D181+E181)*C181)*'Assumptions and Catalog'!$H$63+'Assumptions and Catalog'!$E$63+'Assumptions and Catalog'!$F$63,IF(((D181+E181)*C181)&lt;='Assumptions and Catalog'!$C$64,((D181+E181)*C181)*'Assumptions and Catalog'!$H$64+'Assumptions and Catalog'!$E$64+'Assumptions and Catalog'!$F$64,IF(((D181+E181)*C181)&lt;='Assumptions and Catalog'!$C$65,((D181+E181)*C181)*'Assumptions and Catalog'!$H$65+'Assumptions and Catalog'!$E$65+'Assumptions and Catalog'!$F$65,"Out of range")))))))))*(1+'Assumptions and Catalog'!$C$8)^(A181-1),0)</f>
        <v>6867.22</v>
      </c>
      <c r="N181" s="5" t="n">
        <f>IF(ISNUMBER(Inputs!$L$5),(IF(Inputs!$L$9="Actual flat rate",L181*Inputs!$L$10,IF(Inputs!$C$9="Residential",IF(L181&lt;='Assumptions and Catalog'!$C$50,L181*'Assumptions and Catalog'!$H$50+'Assumptions and Catalog'!$E$50+'Assumptions and Catalog'!$F$50,IF(L181&lt;='Assumptions and Catalog'!$C$51,L181*'Assumptions and Catalog'!$H$51+'Assumptions and Catalog'!$E$51+'Assumptions and Catalog'!$F$51,IF(L181&lt;='Assumptions and Catalog'!$C$52,L181*'Assumptions and Catalog'!$H$52+'Assumptions and Catalog'!$E$52+'Assumptions and Catalog'!$F$52,IF(L181&lt;='Assumptions and Catalog'!$C$53,L181*'Assumptions and Catalog'!$H$53+'Assumptions and Catalog'!$E$53+'Assumptions and Catalog'!$F$53,IF(L181&lt;='Assumptions and Catalog'!$C$54,L181*'Assumptions and Catalog'!$H$54+'Assumptions and Catalog'!$E$54+'Assumptions and Catalog'!$F$54,IF(L181&lt;='Assumptions and Catalog'!$C$55,L181*'Assumptions and Catalog'!$H$55+'Assumptions and Catalog'!$E$55+'Assumptions and Catalog'!$F$55,IF(L181&lt;='Assumptions and Catalog'!$C$56,L181*'Assumptions and Catalog'!$H$56+'Assumptions and Catalog'!$E$56+'Assumptions and Catalog'!$F$56,IF(L181&lt;='Assumptions and Catalog'!$C$57,L181*'Assumptions and Catalog'!$H$57+'Assumptions and Catalog'!$E$57+'Assumptions and Catalog'!$F$57,"Out of range")))))))),IF(L181&lt;='Assumptions and Catalog'!$C$60,L181*'Assumptions and Catalog'!$H$60+'Assumptions and Catalog'!$E$60+'Assumptions and Catalog'!$F$60,IF(L181&lt;='Assumptions and Catalog'!$C$61,L181*'Assumptions and Catalog'!$H$61+'Assumptions and Catalog'!$E$61+'Assumptions and Catalog'!$F$61,IF(L181&lt;='Assumptions and Catalog'!$C$62,L181*'Assumptions and Catalog'!$H$62+'Assumptions and Catalog'!$E$62+'Assumptions and Catalog'!$F$62,IF(L181&lt;='Assumptions and Catalog'!$C$63,L181*'Assumptions and Catalog'!$H$63+'Assumptions and Catalog'!$E$63+'Assumptions and Catalog'!$F$63,IF(L181&lt;='Assumptions and Catalog'!$C$64,L181*'Assumptions and Catalog'!$H$64+'Assumptions and Catalog'!$E$64+'Assumptions and Catalog'!$F$64,IF(L181&lt;='Assumptions and Catalog'!$C$65,L181*'Assumptions and Catalog'!$H$65+'Assumptions and Catalog'!$E$65+'Assumptions and Catalog'!$F$65,"Out of range")))))))))*(1+'Assumptions and Catalog'!$C$8)^(A181-1),0)</f>
        <v>3453.61</v>
      </c>
      <c r="O181" s="5" t="n">
        <f>M181-N181</f>
        <v>3413.61</v>
      </c>
      <c r="P181" s="5" t="n">
        <f>C$55*(1-J$14)*(1-'Assumptions and Catalog'!$C$23)^R181</f>
        <v>0</v>
      </c>
      <c r="Q181" s="5" t="n">
        <f>IF(ISNUMBER(Inputs!$L$5),(IF(Inputs!$L$9="Actual flat rate",((D181+E181)*C181-G181)*Inputs!$L$10,IF(Inputs!$C$9="Residential",IF(((D181+E181)*C181-G181)&lt;='Assumptions and Catalog'!$C$50,((D181+E181)*C181-G181)*'Assumptions and Catalog'!$H$50+'Assumptions and Catalog'!$E$50+'Assumptions and Catalog'!$F$50,IF(((D181+E181)*C181-G181)&lt;='Assumptions and Catalog'!$C$51,((D181+E181)*C181-G181)*'Assumptions and Catalog'!$H$51+'Assumptions and Catalog'!$E$51+'Assumptions and Catalog'!$F$51,IF(((D181+E181)*C181-G181)&lt;='Assumptions and Catalog'!$C$52,((D181+E181)*C181-G181)*'Assumptions and Catalog'!$H$52+'Assumptions and Catalog'!$E$52+'Assumptions and Catalog'!$F$52,IF(((D181+E181)*C181-G181)&lt;='Assumptions and Catalog'!$C$53,((D181+E181)*C181-G181)*'Assumptions and Catalog'!$H$53+'Assumptions and Catalog'!$E$53+'Assumptions and Catalog'!$F$53,IF(((D181+E181)*C181-G181)&lt;='Assumptions and Catalog'!$C$54,((D181+E181)*C181-G181)*'Assumptions and Catalog'!$H$54+'Assumptions and Catalog'!$E$54+'Assumptions and Catalog'!$F$54,IF(((D181+E181)*C181-G181)&lt;='Assumptions and Catalog'!$C$55,((D181+E181)*C181-G181)*'Assumptions and Catalog'!$H$55+'Assumptions and Catalog'!$E$55+'Assumptions and Catalog'!$F$55,IF(((D181+E181)*C181-G181)&lt;='Assumptions and Catalog'!$C$56,((D181+E181)*C181-G181)*'Assumptions and Catalog'!$H$56+'Assumptions and Catalog'!$E$56+'Assumptions and Catalog'!$F$56,IF(((D181+E181)*C181-G181)&lt;='Assumptions and Catalog'!$C$57,((D181+E181)*C181-G181)*'Assumptions and Catalog'!$H$57+'Assumptions and Catalog'!$E$57+'Assumptions and Catalog'!$F$57,"Out of range")))))))),IF(((D181+E181)*C181-G181)&lt;='Assumptions and Catalog'!$C$60,((D181+E181)*C181-G181)*'Assumptions and Catalog'!$H$60+'Assumptions and Catalog'!$E$60+'Assumptions and Catalog'!$F$60,IF(((D181+E181)*C181-G181)&lt;='Assumptions and Catalog'!$C$61,((D181+E181)*C181-G181)*'Assumptions and Catalog'!$H$61+'Assumptions and Catalog'!$E$61+'Assumptions and Catalog'!$F$61,IF(((D181+E181)*C181-G181)&lt;='Assumptions and Catalog'!$C$62,((D181+E181)*C181-G181)*'Assumptions and Catalog'!$H$62+'Assumptions and Catalog'!$E$62+'Assumptions and Catalog'!$F$62,IF(((D181+E181)*C181-G181)&lt;='Assumptions and Catalog'!$C$63,((D181+E181)*C181-G181)*'Assumptions and Catalog'!$H$63+'Assumptions and Catalog'!$E$63+'Assumptions and Catalog'!$F$63,IF(((D181+E181)*C181-G181)&lt;='Assumptions and Catalog'!$C$64,((D181+E181)*C181-G181)*'Assumptions and Catalog'!$H$64+'Assumptions and Catalog'!$E$64+'Assumptions and Catalog'!$F$64,IF(((D181+E181)*C181-G181)&lt;='Assumptions and Catalog'!$C$65,((D181+E181)*C181-G181)*'Assumptions and Catalog'!$H$65+'Assumptions and Catalog'!$E$65+'Assumptions and Catalog'!$F$65,"Out of range")))))))))*(1+'Assumptions and Catalog'!$C$8)^(A181-1),0)</f>
        <v>3453.61</v>
      </c>
      <c r="R181" s="5" t="n">
        <f>IF(AND('Assumptions and Catalog'!$C$19&gt;0,A181&gt;='Assumptions and Catalog'!$C$19),A181-'Assumptions and Catalog'!$C$19,A181-1)</f>
        <v>1</v>
      </c>
      <c r="S181" s="5" t="n">
        <f>F181+L181-(D181+E181)*C181-J181-K181-0</f>
        <v>0</v>
      </c>
      <c r="T181" s="5"/>
      <c r="U181" s="5"/>
    </row>
    <row r="182" ht="23.100000381469727" customHeight="1">
      <c r="A182" s="5" t="n">
        <v>2</v>
      </c>
      <c r="B182" s="5" t="n">
        <v>10</v>
      </c>
      <c r="C182" s="5" t="n">
        <f>DAY(DATE('Assumptions and Catalog'!$C$24+A182-1,B182+1,0))</f>
        <v>31</v>
      </c>
      <c r="D182" s="5" t="n">
        <f>IF(ISNUMBER(Inputs!$L$5),Inputs!$L$5*Inputs!$L$6,0)</f>
        <v>40.35</v>
      </c>
      <c r="E182" s="5" t="n">
        <f>IF(ISNUMBER(Inputs!$L$5),Inputs!$L$5-D182,0)</f>
        <v>40.35</v>
      </c>
      <c r="F182" s="5" t="n">
        <f>C$51*INDEX('Solar Production'!$D$20:$D$31,B182)*C182*(1-'Assumptions and Catalog'!$C$10)^(A182-1)</f>
        <v>1353.06468</v>
      </c>
      <c r="G182" s="5" t="n">
        <f>MIN(F182,D182*C182)</f>
        <v>1250.85</v>
      </c>
      <c r="H182" s="5" t="n">
        <f>I182/('Assumptions and Catalog'!$C$11*'Assumptions and Catalog'!$C$12)</f>
        <v>0</v>
      </c>
      <c r="I182" s="5" t="n">
        <f>0</f>
        <v>0</v>
      </c>
      <c r="J182" s="5" t="n">
        <f>MAX(F182-G182-H182,0)</f>
        <v>102.21468</v>
      </c>
      <c r="K182" s="5" t="n">
        <f>H182-I182</f>
        <v>0</v>
      </c>
      <c r="L182" s="5" t="n">
        <f>(D182+E182)*C182-G182-I182+0+0</f>
        <v>1250.85</v>
      </c>
      <c r="M182" s="5" t="n">
        <f>IF(ISNUMBER(Inputs!$L$5),(IF(Inputs!$L$9="Actual flat rate",((D182+E182)*C182)*Inputs!$L$10,IF(Inputs!$C$9="Residential",IF(((D182+E182)*C182)&lt;='Assumptions and Catalog'!$C$50,((D182+E182)*C182)*'Assumptions and Catalog'!$H$50+'Assumptions and Catalog'!$E$50+'Assumptions and Catalog'!$F$50,IF(((D182+E182)*C182)&lt;='Assumptions and Catalog'!$C$51,((D182+E182)*C182)*'Assumptions and Catalog'!$H$51+'Assumptions and Catalog'!$E$51+'Assumptions and Catalog'!$F$51,IF(((D182+E182)*C182)&lt;='Assumptions and Catalog'!$C$52,((D182+E182)*C182)*'Assumptions and Catalog'!$H$52+'Assumptions and Catalog'!$E$52+'Assumptions and Catalog'!$F$52,IF(((D182+E182)*C182)&lt;='Assumptions and Catalog'!$C$53,((D182+E182)*C182)*'Assumptions and Catalog'!$H$53+'Assumptions and Catalog'!$E$53+'Assumptions and Catalog'!$F$53,IF(((D182+E182)*C182)&lt;='Assumptions and Catalog'!$C$54,((D182+E182)*C182)*'Assumptions and Catalog'!$H$54+'Assumptions and Catalog'!$E$54+'Assumptions and Catalog'!$F$54,IF(((D182+E182)*C182)&lt;='Assumptions and Catalog'!$C$55,((D182+E182)*C182)*'Assumptions and Catalog'!$H$55+'Assumptions and Catalog'!$E$55+'Assumptions and Catalog'!$F$55,IF(((D182+E182)*C182)&lt;='Assumptions and Catalog'!$C$56,((D182+E182)*C182)*'Assumptions and Catalog'!$H$56+'Assumptions and Catalog'!$E$56+'Assumptions and Catalog'!$F$56,IF(((D182+E182)*C182)&lt;='Assumptions and Catalog'!$C$57,((D182+E182)*C182)*'Assumptions and Catalog'!$H$57+'Assumptions and Catalog'!$E$57+'Assumptions and Catalog'!$F$57,"Out of range")))))))),IF(((D182+E182)*C182)&lt;='Assumptions and Catalog'!$C$60,((D182+E182)*C182)*'Assumptions and Catalog'!$H$60+'Assumptions and Catalog'!$E$60+'Assumptions and Catalog'!$F$60,IF(((D182+E182)*C182)&lt;='Assumptions and Catalog'!$C$61,((D182+E182)*C182)*'Assumptions and Catalog'!$H$61+'Assumptions and Catalog'!$E$61+'Assumptions and Catalog'!$F$61,IF(((D182+E182)*C182)&lt;='Assumptions and Catalog'!$C$62,((D182+E182)*C182)*'Assumptions and Catalog'!$H$62+'Assumptions and Catalog'!$E$62+'Assumptions and Catalog'!$F$62,IF(((D182+E182)*C182)&lt;='Assumptions and Catalog'!$C$63,((D182+E182)*C182)*'Assumptions and Catalog'!$H$63+'Assumptions and Catalog'!$E$63+'Assumptions and Catalog'!$F$63,IF(((D182+E182)*C182)&lt;='Assumptions and Catalog'!$C$64,((D182+E182)*C182)*'Assumptions and Catalog'!$H$64+'Assumptions and Catalog'!$E$64+'Assumptions and Catalog'!$F$64,IF(((D182+E182)*C182)&lt;='Assumptions and Catalog'!$C$65,((D182+E182)*C182)*'Assumptions and Catalog'!$H$65+'Assumptions and Catalog'!$E$65+'Assumptions and Catalog'!$F$65,"Out of range")))))))))*(1+'Assumptions and Catalog'!$C$8)^(A182-1),0)</f>
        <v>7094.794</v>
      </c>
      <c r="N182" s="5" t="n">
        <f>IF(ISNUMBER(Inputs!$L$5),(IF(Inputs!$L$9="Actual flat rate",L182*Inputs!$L$10,IF(Inputs!$C$9="Residential",IF(L182&lt;='Assumptions and Catalog'!$C$50,L182*'Assumptions and Catalog'!$H$50+'Assumptions and Catalog'!$E$50+'Assumptions and Catalog'!$F$50,IF(L182&lt;='Assumptions and Catalog'!$C$51,L182*'Assumptions and Catalog'!$H$51+'Assumptions and Catalog'!$E$51+'Assumptions and Catalog'!$F$51,IF(L182&lt;='Assumptions and Catalog'!$C$52,L182*'Assumptions and Catalog'!$H$52+'Assumptions and Catalog'!$E$52+'Assumptions and Catalog'!$F$52,IF(L182&lt;='Assumptions and Catalog'!$C$53,L182*'Assumptions and Catalog'!$H$53+'Assumptions and Catalog'!$E$53+'Assumptions and Catalog'!$F$53,IF(L182&lt;='Assumptions and Catalog'!$C$54,L182*'Assumptions and Catalog'!$H$54+'Assumptions and Catalog'!$E$54+'Assumptions and Catalog'!$F$54,IF(L182&lt;='Assumptions and Catalog'!$C$55,L182*'Assumptions and Catalog'!$H$55+'Assumptions and Catalog'!$E$55+'Assumptions and Catalog'!$F$55,IF(L182&lt;='Assumptions and Catalog'!$C$56,L182*'Assumptions and Catalog'!$H$56+'Assumptions and Catalog'!$E$56+'Assumptions and Catalog'!$F$56,IF(L182&lt;='Assumptions and Catalog'!$C$57,L182*'Assumptions and Catalog'!$H$57+'Assumptions and Catalog'!$E$57+'Assumptions and Catalog'!$F$57,"Out of range")))))))),IF(L182&lt;='Assumptions and Catalog'!$C$60,L182*'Assumptions and Catalog'!$H$60+'Assumptions and Catalog'!$E$60+'Assumptions and Catalog'!$F$60,IF(L182&lt;='Assumptions and Catalog'!$C$61,L182*'Assumptions and Catalog'!$H$61+'Assumptions and Catalog'!$E$61+'Assumptions and Catalog'!$F$61,IF(L182&lt;='Assumptions and Catalog'!$C$62,L182*'Assumptions and Catalog'!$H$62+'Assumptions and Catalog'!$E$62+'Assumptions and Catalog'!$F$62,IF(L182&lt;='Assumptions and Catalog'!$C$63,L182*'Assumptions and Catalog'!$H$63+'Assumptions and Catalog'!$E$63+'Assumptions and Catalog'!$F$63,IF(L182&lt;='Assumptions and Catalog'!$C$64,L182*'Assumptions and Catalog'!$H$64+'Assumptions and Catalog'!$E$64+'Assumptions and Catalog'!$F$64,IF(L182&lt;='Assumptions and Catalog'!$C$65,L182*'Assumptions and Catalog'!$H$65+'Assumptions and Catalog'!$E$65+'Assumptions and Catalog'!$F$65,"Out of range")))))))))*(1+'Assumptions and Catalog'!$C$8)^(A182-1),0)</f>
        <v>3567.397</v>
      </c>
      <c r="O182" s="5" t="n">
        <f>M182-N182</f>
        <v>3527.397</v>
      </c>
      <c r="P182" s="5" t="n">
        <f>C$55*(1-J$14)*(1-'Assumptions and Catalog'!$C$23)^R182</f>
        <v>0</v>
      </c>
      <c r="Q182" s="5" t="n">
        <f>IF(ISNUMBER(Inputs!$L$5),(IF(Inputs!$L$9="Actual flat rate",((D182+E182)*C182-G182)*Inputs!$L$10,IF(Inputs!$C$9="Residential",IF(((D182+E182)*C182-G182)&lt;='Assumptions and Catalog'!$C$50,((D182+E182)*C182-G182)*'Assumptions and Catalog'!$H$50+'Assumptions and Catalog'!$E$50+'Assumptions and Catalog'!$F$50,IF(((D182+E182)*C182-G182)&lt;='Assumptions and Catalog'!$C$51,((D182+E182)*C182-G182)*'Assumptions and Catalog'!$H$51+'Assumptions and Catalog'!$E$51+'Assumptions and Catalog'!$F$51,IF(((D182+E182)*C182-G182)&lt;='Assumptions and Catalog'!$C$52,((D182+E182)*C182-G182)*'Assumptions and Catalog'!$H$52+'Assumptions and Catalog'!$E$52+'Assumptions and Catalog'!$F$52,IF(((D182+E182)*C182-G182)&lt;='Assumptions and Catalog'!$C$53,((D182+E182)*C182-G182)*'Assumptions and Catalog'!$H$53+'Assumptions and Catalog'!$E$53+'Assumptions and Catalog'!$F$53,IF(((D182+E182)*C182-G182)&lt;='Assumptions and Catalog'!$C$54,((D182+E182)*C182-G182)*'Assumptions and Catalog'!$H$54+'Assumptions and Catalog'!$E$54+'Assumptions and Catalog'!$F$54,IF(((D182+E182)*C182-G182)&lt;='Assumptions and Catalog'!$C$55,((D182+E182)*C182-G182)*'Assumptions and Catalog'!$H$55+'Assumptions and Catalog'!$E$55+'Assumptions and Catalog'!$F$55,IF(((D182+E182)*C182-G182)&lt;='Assumptions and Catalog'!$C$56,((D182+E182)*C182-G182)*'Assumptions and Catalog'!$H$56+'Assumptions and Catalog'!$E$56+'Assumptions and Catalog'!$F$56,IF(((D182+E182)*C182-G182)&lt;='Assumptions and Catalog'!$C$57,((D182+E182)*C182-G182)*'Assumptions and Catalog'!$H$57+'Assumptions and Catalog'!$E$57+'Assumptions and Catalog'!$F$57,"Out of range")))))))),IF(((D182+E182)*C182-G182)&lt;='Assumptions and Catalog'!$C$60,((D182+E182)*C182-G182)*'Assumptions and Catalog'!$H$60+'Assumptions and Catalog'!$E$60+'Assumptions and Catalog'!$F$60,IF(((D182+E182)*C182-G182)&lt;='Assumptions and Catalog'!$C$61,((D182+E182)*C182-G182)*'Assumptions and Catalog'!$H$61+'Assumptions and Catalog'!$E$61+'Assumptions and Catalog'!$F$61,IF(((D182+E182)*C182-G182)&lt;='Assumptions and Catalog'!$C$62,((D182+E182)*C182-G182)*'Assumptions and Catalog'!$H$62+'Assumptions and Catalog'!$E$62+'Assumptions and Catalog'!$F$62,IF(((D182+E182)*C182-G182)&lt;='Assumptions and Catalog'!$C$63,((D182+E182)*C182-G182)*'Assumptions and Catalog'!$H$63+'Assumptions and Catalog'!$E$63+'Assumptions and Catalog'!$F$63,IF(((D182+E182)*C182-G182)&lt;='Assumptions and Catalog'!$C$64,((D182+E182)*C182-G182)*'Assumptions and Catalog'!$H$64+'Assumptions and Catalog'!$E$64+'Assumptions and Catalog'!$F$64,IF(((D182+E182)*C182-G182)&lt;='Assumptions and Catalog'!$C$65,((D182+E182)*C182-G182)*'Assumptions and Catalog'!$H$65+'Assumptions and Catalog'!$E$65+'Assumptions and Catalog'!$F$65,"Out of range")))))))))*(1+'Assumptions and Catalog'!$C$8)^(A182-1),0)</f>
        <v>3567.397</v>
      </c>
      <c r="R182" s="5" t="n">
        <f>IF(AND('Assumptions and Catalog'!$C$19&gt;0,A182&gt;='Assumptions and Catalog'!$C$19),A182-'Assumptions and Catalog'!$C$19,A182-1)</f>
        <v>1</v>
      </c>
      <c r="S182" s="5" t="n">
        <f>F182+L182-(D182+E182)*C182-J182-K182-0</f>
        <v>0</v>
      </c>
      <c r="T182" s="5"/>
      <c r="U182" s="5"/>
    </row>
    <row r="183" ht="23.100000381469727" customHeight="1">
      <c r="A183" s="5" t="n">
        <v>2</v>
      </c>
      <c r="B183" s="5" t="n">
        <v>11</v>
      </c>
      <c r="C183" s="5" t="n">
        <f>DAY(DATE('Assumptions and Catalog'!$C$24+A183-1,B183+1,0))</f>
        <v>30</v>
      </c>
      <c r="D183" s="5" t="n">
        <f>IF(ISNUMBER(Inputs!$L$5),Inputs!$L$5*Inputs!$L$6,0)</f>
        <v>40.35</v>
      </c>
      <c r="E183" s="5" t="n">
        <f>IF(ISNUMBER(Inputs!$L$5),Inputs!$L$5-D183,0)</f>
        <v>40.35</v>
      </c>
      <c r="F183" s="5" t="n">
        <f>C$51*INDEX('Solar Production'!$D$20:$D$31,B183)*C183*(1-'Assumptions and Catalog'!$C$10)^(A183-1)</f>
        <v>1199.30932</v>
      </c>
      <c r="G183" s="5" t="n">
        <f>MIN(F183,D183*C183)</f>
        <v>1199.30932</v>
      </c>
      <c r="H183" s="5" t="n">
        <f>I183/('Assumptions and Catalog'!$C$11*'Assumptions and Catalog'!$C$12)</f>
        <v>0</v>
      </c>
      <c r="I183" s="5" t="n">
        <f>0</f>
        <v>0</v>
      </c>
      <c r="J183" s="5" t="n">
        <f>MAX(F183-G183-H183,0)</f>
        <v>0</v>
      </c>
      <c r="K183" s="5" t="n">
        <f>H183-I183</f>
        <v>0</v>
      </c>
      <c r="L183" s="5" t="n">
        <f>(D183+E183)*C183-G183-I183+0+0</f>
        <v>1221.69068</v>
      </c>
      <c r="M183" s="5" t="n">
        <f>IF(ISNUMBER(Inputs!$L$5),(IF(Inputs!$L$9="Actual flat rate",((D183+E183)*C183)*Inputs!$L$10,IF(Inputs!$C$9="Residential",IF(((D183+E183)*C183)&lt;='Assumptions and Catalog'!$C$50,((D183+E183)*C183)*'Assumptions and Catalog'!$H$50+'Assumptions and Catalog'!$E$50+'Assumptions and Catalog'!$F$50,IF(((D183+E183)*C183)&lt;='Assumptions and Catalog'!$C$51,((D183+E183)*C183)*'Assumptions and Catalog'!$H$51+'Assumptions and Catalog'!$E$51+'Assumptions and Catalog'!$F$51,IF(((D183+E183)*C183)&lt;='Assumptions and Catalog'!$C$52,((D183+E183)*C183)*'Assumptions and Catalog'!$H$52+'Assumptions and Catalog'!$E$52+'Assumptions and Catalog'!$F$52,IF(((D183+E183)*C183)&lt;='Assumptions and Catalog'!$C$53,((D183+E183)*C183)*'Assumptions and Catalog'!$H$53+'Assumptions and Catalog'!$E$53+'Assumptions and Catalog'!$F$53,IF(((D183+E183)*C183)&lt;='Assumptions and Catalog'!$C$54,((D183+E183)*C183)*'Assumptions and Catalog'!$H$54+'Assumptions and Catalog'!$E$54+'Assumptions and Catalog'!$F$54,IF(((D183+E183)*C183)&lt;='Assumptions and Catalog'!$C$55,((D183+E183)*C183)*'Assumptions and Catalog'!$H$55+'Assumptions and Catalog'!$E$55+'Assumptions and Catalog'!$F$55,IF(((D183+E183)*C183)&lt;='Assumptions and Catalog'!$C$56,((D183+E183)*C183)*'Assumptions and Catalog'!$H$56+'Assumptions and Catalog'!$E$56+'Assumptions and Catalog'!$F$56,IF(((D183+E183)*C183)&lt;='Assumptions and Catalog'!$C$57,((D183+E183)*C183)*'Assumptions and Catalog'!$H$57+'Assumptions and Catalog'!$E$57+'Assumptions and Catalog'!$F$57,"Out of range")))))))),IF(((D183+E183)*C183)&lt;='Assumptions and Catalog'!$C$60,((D183+E183)*C183)*'Assumptions and Catalog'!$H$60+'Assumptions and Catalog'!$E$60+'Assumptions and Catalog'!$F$60,IF(((D183+E183)*C183)&lt;='Assumptions and Catalog'!$C$61,((D183+E183)*C183)*'Assumptions and Catalog'!$H$61+'Assumptions and Catalog'!$E$61+'Assumptions and Catalog'!$F$61,IF(((D183+E183)*C183)&lt;='Assumptions and Catalog'!$C$62,((D183+E183)*C183)*'Assumptions and Catalog'!$H$62+'Assumptions and Catalog'!$E$62+'Assumptions and Catalog'!$F$62,IF(((D183+E183)*C183)&lt;='Assumptions and Catalog'!$C$63,((D183+E183)*C183)*'Assumptions and Catalog'!$H$63+'Assumptions and Catalog'!$E$63+'Assumptions and Catalog'!$F$63,IF(((D183+E183)*C183)&lt;='Assumptions and Catalog'!$C$64,((D183+E183)*C183)*'Assumptions and Catalog'!$H$64+'Assumptions and Catalog'!$E$64+'Assumptions and Catalog'!$F$64,IF(((D183+E183)*C183)&lt;='Assumptions and Catalog'!$C$65,((D183+E183)*C183)*'Assumptions and Catalog'!$H$65+'Assumptions and Catalog'!$E$65+'Assumptions and Catalog'!$F$65,"Out of range")))))))))*(1+'Assumptions and Catalog'!$C$8)^(A183-1),0)</f>
        <v>6867.22</v>
      </c>
      <c r="N183" s="5" t="n">
        <f>IF(ISNUMBER(Inputs!$L$5),(IF(Inputs!$L$9="Actual flat rate",L183*Inputs!$L$10,IF(Inputs!$C$9="Residential",IF(L183&lt;='Assumptions and Catalog'!$C$50,L183*'Assumptions and Catalog'!$H$50+'Assumptions and Catalog'!$E$50+'Assumptions and Catalog'!$F$50,IF(L183&lt;='Assumptions and Catalog'!$C$51,L183*'Assumptions and Catalog'!$H$51+'Assumptions and Catalog'!$E$51+'Assumptions and Catalog'!$F$51,IF(L183&lt;='Assumptions and Catalog'!$C$52,L183*'Assumptions and Catalog'!$H$52+'Assumptions and Catalog'!$E$52+'Assumptions and Catalog'!$F$52,IF(L183&lt;='Assumptions and Catalog'!$C$53,L183*'Assumptions and Catalog'!$H$53+'Assumptions and Catalog'!$E$53+'Assumptions and Catalog'!$F$53,IF(L183&lt;='Assumptions and Catalog'!$C$54,L183*'Assumptions and Catalog'!$H$54+'Assumptions and Catalog'!$E$54+'Assumptions and Catalog'!$F$54,IF(L183&lt;='Assumptions and Catalog'!$C$55,L183*'Assumptions and Catalog'!$H$55+'Assumptions and Catalog'!$E$55+'Assumptions and Catalog'!$F$55,IF(L183&lt;='Assumptions and Catalog'!$C$56,L183*'Assumptions and Catalog'!$H$56+'Assumptions and Catalog'!$E$56+'Assumptions and Catalog'!$F$56,IF(L183&lt;='Assumptions and Catalog'!$C$57,L183*'Assumptions and Catalog'!$H$57+'Assumptions and Catalog'!$E$57+'Assumptions and Catalog'!$F$57,"Out of range")))))))),IF(L183&lt;='Assumptions and Catalog'!$C$60,L183*'Assumptions and Catalog'!$H$60+'Assumptions and Catalog'!$E$60+'Assumptions and Catalog'!$F$60,IF(L183&lt;='Assumptions and Catalog'!$C$61,L183*'Assumptions and Catalog'!$H$61+'Assumptions and Catalog'!$E$61+'Assumptions and Catalog'!$F$61,IF(L183&lt;='Assumptions and Catalog'!$C$62,L183*'Assumptions and Catalog'!$H$62+'Assumptions and Catalog'!$E$62+'Assumptions and Catalog'!$F$62,IF(L183&lt;='Assumptions and Catalog'!$C$63,L183*'Assumptions and Catalog'!$H$63+'Assumptions and Catalog'!$E$63+'Assumptions and Catalog'!$F$63,IF(L183&lt;='Assumptions and Catalog'!$C$64,L183*'Assumptions and Catalog'!$H$64+'Assumptions and Catalog'!$E$64+'Assumptions and Catalog'!$F$64,IF(L183&lt;='Assumptions and Catalog'!$C$65,L183*'Assumptions and Catalog'!$H$65+'Assumptions and Catalog'!$E$65+'Assumptions and Catalog'!$F$65,"Out of range")))))))))*(1+'Assumptions and Catalog'!$C$8)^(A183-1),0)</f>
        <v>3485.1677176</v>
      </c>
      <c r="O183" s="5" t="n">
        <f>M183-N183</f>
        <v>3382.0522824</v>
      </c>
      <c r="P183" s="5" t="n">
        <f>C$55*(1-J$14)*(1-'Assumptions and Catalog'!$C$23)^R183</f>
        <v>0</v>
      </c>
      <c r="Q183" s="5" t="n">
        <f>IF(ISNUMBER(Inputs!$L$5),(IF(Inputs!$L$9="Actual flat rate",((D183+E183)*C183-G183)*Inputs!$L$10,IF(Inputs!$C$9="Residential",IF(((D183+E183)*C183-G183)&lt;='Assumptions and Catalog'!$C$50,((D183+E183)*C183-G183)*'Assumptions and Catalog'!$H$50+'Assumptions and Catalog'!$E$50+'Assumptions and Catalog'!$F$50,IF(((D183+E183)*C183-G183)&lt;='Assumptions and Catalog'!$C$51,((D183+E183)*C183-G183)*'Assumptions and Catalog'!$H$51+'Assumptions and Catalog'!$E$51+'Assumptions and Catalog'!$F$51,IF(((D183+E183)*C183-G183)&lt;='Assumptions and Catalog'!$C$52,((D183+E183)*C183-G183)*'Assumptions and Catalog'!$H$52+'Assumptions and Catalog'!$E$52+'Assumptions and Catalog'!$F$52,IF(((D183+E183)*C183-G183)&lt;='Assumptions and Catalog'!$C$53,((D183+E183)*C183-G183)*'Assumptions and Catalog'!$H$53+'Assumptions and Catalog'!$E$53+'Assumptions and Catalog'!$F$53,IF(((D183+E183)*C183-G183)&lt;='Assumptions and Catalog'!$C$54,((D183+E183)*C183-G183)*'Assumptions and Catalog'!$H$54+'Assumptions and Catalog'!$E$54+'Assumptions and Catalog'!$F$54,IF(((D183+E183)*C183-G183)&lt;='Assumptions and Catalog'!$C$55,((D183+E183)*C183-G183)*'Assumptions and Catalog'!$H$55+'Assumptions and Catalog'!$E$55+'Assumptions and Catalog'!$F$55,IF(((D183+E183)*C183-G183)&lt;='Assumptions and Catalog'!$C$56,((D183+E183)*C183-G183)*'Assumptions and Catalog'!$H$56+'Assumptions and Catalog'!$E$56+'Assumptions and Catalog'!$F$56,IF(((D183+E183)*C183-G183)&lt;='Assumptions and Catalog'!$C$57,((D183+E183)*C183-G183)*'Assumptions and Catalog'!$H$57+'Assumptions and Catalog'!$E$57+'Assumptions and Catalog'!$F$57,"Out of range")))))))),IF(((D183+E183)*C183-G183)&lt;='Assumptions and Catalog'!$C$60,((D183+E183)*C183-G183)*'Assumptions and Catalog'!$H$60+'Assumptions and Catalog'!$E$60+'Assumptions and Catalog'!$F$60,IF(((D183+E183)*C183-G183)&lt;='Assumptions and Catalog'!$C$61,((D183+E183)*C183-G183)*'Assumptions and Catalog'!$H$61+'Assumptions and Catalog'!$E$61+'Assumptions and Catalog'!$F$61,IF(((D183+E183)*C183-G183)&lt;='Assumptions and Catalog'!$C$62,((D183+E183)*C183-G183)*'Assumptions and Catalog'!$H$62+'Assumptions and Catalog'!$E$62+'Assumptions and Catalog'!$F$62,IF(((D183+E183)*C183-G183)&lt;='Assumptions and Catalog'!$C$63,((D183+E183)*C183-G183)*'Assumptions and Catalog'!$H$63+'Assumptions and Catalog'!$E$63+'Assumptions and Catalog'!$F$63,IF(((D183+E183)*C183-G183)&lt;='Assumptions and Catalog'!$C$64,((D183+E183)*C183-G183)*'Assumptions and Catalog'!$H$64+'Assumptions and Catalog'!$E$64+'Assumptions and Catalog'!$F$64,IF(((D183+E183)*C183-G183)&lt;='Assumptions and Catalog'!$C$65,((D183+E183)*C183-G183)*'Assumptions and Catalog'!$H$65+'Assumptions and Catalog'!$E$65+'Assumptions and Catalog'!$F$65,"Out of range")))))))))*(1+'Assumptions and Catalog'!$C$8)^(A183-1),0)</f>
        <v>3485.1677176</v>
      </c>
      <c r="R183" s="5" t="n">
        <f>IF(AND('Assumptions and Catalog'!$C$19&gt;0,A183&gt;='Assumptions and Catalog'!$C$19),A183-'Assumptions and Catalog'!$C$19,A183-1)</f>
        <v>1</v>
      </c>
      <c r="S183" s="5" t="n">
        <f>F183+L183-(D183+E183)*C183-J183-K183-0</f>
        <v>0</v>
      </c>
      <c r="T183" s="5"/>
      <c r="U183" s="5"/>
    </row>
    <row r="184" ht="23.100000381469727" customHeight="1">
      <c r="A184" s="5" t="n">
        <v>2</v>
      </c>
      <c r="B184" s="5" t="n">
        <v>12</v>
      </c>
      <c r="C184" s="5" t="n">
        <f>DAY(DATE('Assumptions and Catalog'!$C$24+A184-1,B184+1,0))</f>
        <v>31</v>
      </c>
      <c r="D184" s="5" t="n">
        <f>IF(ISNUMBER(Inputs!$L$5),Inputs!$L$5*Inputs!$L$6,0)</f>
        <v>40.35</v>
      </c>
      <c r="E184" s="5" t="n">
        <f>IF(ISNUMBER(Inputs!$L$5),Inputs!$L$5-D184,0)</f>
        <v>40.35</v>
      </c>
      <c r="F184" s="5" t="n">
        <f>C$51*INDEX('Solar Production'!$D$20:$D$31,B184)*C184*(1-'Assumptions and Catalog'!$C$10)^(A184-1)</f>
        <v>1141.7824</v>
      </c>
      <c r="G184" s="5" t="n">
        <f>MIN(F184,D184*C184)</f>
        <v>1141.7824</v>
      </c>
      <c r="H184" s="5" t="n">
        <f>I184/('Assumptions and Catalog'!$C$11*'Assumptions and Catalog'!$C$12)</f>
        <v>0</v>
      </c>
      <c r="I184" s="5" t="n">
        <f>0</f>
        <v>0</v>
      </c>
      <c r="J184" s="5" t="n">
        <f>MAX(F184-G184-H184,0)</f>
        <v>0</v>
      </c>
      <c r="K184" s="5" t="n">
        <f>H184-I184</f>
        <v>0</v>
      </c>
      <c r="L184" s="5" t="n">
        <f>(D184+E184)*C184-G184-I184+0+0</f>
        <v>1359.9176</v>
      </c>
      <c r="M184" s="5" t="n">
        <f>IF(ISNUMBER(Inputs!$L$5),(IF(Inputs!$L$9="Actual flat rate",((D184+E184)*C184)*Inputs!$L$10,IF(Inputs!$C$9="Residential",IF(((D184+E184)*C184)&lt;='Assumptions and Catalog'!$C$50,((D184+E184)*C184)*'Assumptions and Catalog'!$H$50+'Assumptions and Catalog'!$E$50+'Assumptions and Catalog'!$F$50,IF(((D184+E184)*C184)&lt;='Assumptions and Catalog'!$C$51,((D184+E184)*C184)*'Assumptions and Catalog'!$H$51+'Assumptions and Catalog'!$E$51+'Assumptions and Catalog'!$F$51,IF(((D184+E184)*C184)&lt;='Assumptions and Catalog'!$C$52,((D184+E184)*C184)*'Assumptions and Catalog'!$H$52+'Assumptions and Catalog'!$E$52+'Assumptions and Catalog'!$F$52,IF(((D184+E184)*C184)&lt;='Assumptions and Catalog'!$C$53,((D184+E184)*C184)*'Assumptions and Catalog'!$H$53+'Assumptions and Catalog'!$E$53+'Assumptions and Catalog'!$F$53,IF(((D184+E184)*C184)&lt;='Assumptions and Catalog'!$C$54,((D184+E184)*C184)*'Assumptions and Catalog'!$H$54+'Assumptions and Catalog'!$E$54+'Assumptions and Catalog'!$F$54,IF(((D184+E184)*C184)&lt;='Assumptions and Catalog'!$C$55,((D184+E184)*C184)*'Assumptions and Catalog'!$H$55+'Assumptions and Catalog'!$E$55+'Assumptions and Catalog'!$F$55,IF(((D184+E184)*C184)&lt;='Assumptions and Catalog'!$C$56,((D184+E184)*C184)*'Assumptions and Catalog'!$H$56+'Assumptions and Catalog'!$E$56+'Assumptions and Catalog'!$F$56,IF(((D184+E184)*C184)&lt;='Assumptions and Catalog'!$C$57,((D184+E184)*C184)*'Assumptions and Catalog'!$H$57+'Assumptions and Catalog'!$E$57+'Assumptions and Catalog'!$F$57,"Out of range")))))))),IF(((D184+E184)*C184)&lt;='Assumptions and Catalog'!$C$60,((D184+E184)*C184)*'Assumptions and Catalog'!$H$60+'Assumptions and Catalog'!$E$60+'Assumptions and Catalog'!$F$60,IF(((D184+E184)*C184)&lt;='Assumptions and Catalog'!$C$61,((D184+E184)*C184)*'Assumptions and Catalog'!$H$61+'Assumptions and Catalog'!$E$61+'Assumptions and Catalog'!$F$61,IF(((D184+E184)*C184)&lt;='Assumptions and Catalog'!$C$62,((D184+E184)*C184)*'Assumptions and Catalog'!$H$62+'Assumptions and Catalog'!$E$62+'Assumptions and Catalog'!$F$62,IF(((D184+E184)*C184)&lt;='Assumptions and Catalog'!$C$63,((D184+E184)*C184)*'Assumptions and Catalog'!$H$63+'Assumptions and Catalog'!$E$63+'Assumptions and Catalog'!$F$63,IF(((D184+E184)*C184)&lt;='Assumptions and Catalog'!$C$64,((D184+E184)*C184)*'Assumptions and Catalog'!$H$64+'Assumptions and Catalog'!$E$64+'Assumptions and Catalog'!$F$64,IF(((D184+E184)*C184)&lt;='Assumptions and Catalog'!$C$65,((D184+E184)*C184)*'Assumptions and Catalog'!$H$65+'Assumptions and Catalog'!$E$65+'Assumptions and Catalog'!$F$65,"Out of range")))))))))*(1+'Assumptions and Catalog'!$C$8)^(A184-1),0)</f>
        <v>7094.794</v>
      </c>
      <c r="N184" s="5" t="n">
        <f>IF(ISNUMBER(Inputs!$L$5),(IF(Inputs!$L$9="Actual flat rate",L184*Inputs!$L$10,IF(Inputs!$C$9="Residential",IF(L184&lt;='Assumptions and Catalog'!$C$50,L184*'Assumptions and Catalog'!$H$50+'Assumptions and Catalog'!$E$50+'Assumptions and Catalog'!$F$50,IF(L184&lt;='Assumptions and Catalog'!$C$51,L184*'Assumptions and Catalog'!$H$51+'Assumptions and Catalog'!$E$51+'Assumptions and Catalog'!$F$51,IF(L184&lt;='Assumptions and Catalog'!$C$52,L184*'Assumptions and Catalog'!$H$52+'Assumptions and Catalog'!$E$52+'Assumptions and Catalog'!$F$52,IF(L184&lt;='Assumptions and Catalog'!$C$53,L184*'Assumptions and Catalog'!$H$53+'Assumptions and Catalog'!$E$53+'Assumptions and Catalog'!$F$53,IF(L184&lt;='Assumptions and Catalog'!$C$54,L184*'Assumptions and Catalog'!$H$54+'Assumptions and Catalog'!$E$54+'Assumptions and Catalog'!$F$54,IF(L184&lt;='Assumptions and Catalog'!$C$55,L184*'Assumptions and Catalog'!$H$55+'Assumptions and Catalog'!$E$55+'Assumptions and Catalog'!$F$55,IF(L184&lt;='Assumptions and Catalog'!$C$56,L184*'Assumptions and Catalog'!$H$56+'Assumptions and Catalog'!$E$56+'Assumptions and Catalog'!$F$56,IF(L184&lt;='Assumptions and Catalog'!$C$57,L184*'Assumptions and Catalog'!$H$57+'Assumptions and Catalog'!$E$57+'Assumptions and Catalog'!$F$57,"Out of range")))))))),IF(L184&lt;='Assumptions and Catalog'!$C$60,L184*'Assumptions and Catalog'!$H$60+'Assumptions and Catalog'!$E$60+'Assumptions and Catalog'!$F$60,IF(L184&lt;='Assumptions and Catalog'!$C$61,L184*'Assumptions and Catalog'!$H$61+'Assumptions and Catalog'!$E$61+'Assumptions and Catalog'!$F$61,IF(L184&lt;='Assumptions and Catalog'!$C$62,L184*'Assumptions and Catalog'!$H$62+'Assumptions and Catalog'!$E$62+'Assumptions and Catalog'!$F$62,IF(L184&lt;='Assumptions and Catalog'!$C$63,L184*'Assumptions and Catalog'!$H$63+'Assumptions and Catalog'!$E$63+'Assumptions and Catalog'!$F$63,IF(L184&lt;='Assumptions and Catalog'!$C$64,L184*'Assumptions and Catalog'!$H$64+'Assumptions and Catalog'!$E$64+'Assumptions and Catalog'!$F$64,IF(L184&lt;='Assumptions and Catalog'!$C$65,L184*'Assumptions and Catalog'!$H$65+'Assumptions and Catalog'!$E$65+'Assumptions and Catalog'!$F$65,"Out of range")))))))))*(1+'Assumptions and Catalog'!$C$8)^(A184-1),0)</f>
        <v>3874.967632</v>
      </c>
      <c r="O184" s="5" t="n">
        <f>M184-N184</f>
        <v>3219.826368</v>
      </c>
      <c r="P184" s="5" t="n">
        <f>C$55*(1-J$14)*(1-'Assumptions and Catalog'!$C$23)^R184</f>
        <v>0</v>
      </c>
      <c r="Q184" s="5" t="n">
        <f>IF(ISNUMBER(Inputs!$L$5),(IF(Inputs!$L$9="Actual flat rate",((D184+E184)*C184-G184)*Inputs!$L$10,IF(Inputs!$C$9="Residential",IF(((D184+E184)*C184-G184)&lt;='Assumptions and Catalog'!$C$50,((D184+E184)*C184-G184)*'Assumptions and Catalog'!$H$50+'Assumptions and Catalog'!$E$50+'Assumptions and Catalog'!$F$50,IF(((D184+E184)*C184-G184)&lt;='Assumptions and Catalog'!$C$51,((D184+E184)*C184-G184)*'Assumptions and Catalog'!$H$51+'Assumptions and Catalog'!$E$51+'Assumptions and Catalog'!$F$51,IF(((D184+E184)*C184-G184)&lt;='Assumptions and Catalog'!$C$52,((D184+E184)*C184-G184)*'Assumptions and Catalog'!$H$52+'Assumptions and Catalog'!$E$52+'Assumptions and Catalog'!$F$52,IF(((D184+E184)*C184-G184)&lt;='Assumptions and Catalog'!$C$53,((D184+E184)*C184-G184)*'Assumptions and Catalog'!$H$53+'Assumptions and Catalog'!$E$53+'Assumptions and Catalog'!$F$53,IF(((D184+E184)*C184-G184)&lt;='Assumptions and Catalog'!$C$54,((D184+E184)*C184-G184)*'Assumptions and Catalog'!$H$54+'Assumptions and Catalog'!$E$54+'Assumptions and Catalog'!$F$54,IF(((D184+E184)*C184-G184)&lt;='Assumptions and Catalog'!$C$55,((D184+E184)*C184-G184)*'Assumptions and Catalog'!$H$55+'Assumptions and Catalog'!$E$55+'Assumptions and Catalog'!$F$55,IF(((D184+E184)*C184-G184)&lt;='Assumptions and Catalog'!$C$56,((D184+E184)*C184-G184)*'Assumptions and Catalog'!$H$56+'Assumptions and Catalog'!$E$56+'Assumptions and Catalog'!$F$56,IF(((D184+E184)*C184-G184)&lt;='Assumptions and Catalog'!$C$57,((D184+E184)*C184-G184)*'Assumptions and Catalog'!$H$57+'Assumptions and Catalog'!$E$57+'Assumptions and Catalog'!$F$57,"Out of range")))))))),IF(((D184+E184)*C184-G184)&lt;='Assumptions and Catalog'!$C$60,((D184+E184)*C184-G184)*'Assumptions and Catalog'!$H$60+'Assumptions and Catalog'!$E$60+'Assumptions and Catalog'!$F$60,IF(((D184+E184)*C184-G184)&lt;='Assumptions and Catalog'!$C$61,((D184+E184)*C184-G184)*'Assumptions and Catalog'!$H$61+'Assumptions and Catalog'!$E$61+'Assumptions and Catalog'!$F$61,IF(((D184+E184)*C184-G184)&lt;='Assumptions and Catalog'!$C$62,((D184+E184)*C184-G184)*'Assumptions and Catalog'!$H$62+'Assumptions and Catalog'!$E$62+'Assumptions and Catalog'!$F$62,IF(((D184+E184)*C184-G184)&lt;='Assumptions and Catalog'!$C$63,((D184+E184)*C184-G184)*'Assumptions and Catalog'!$H$63+'Assumptions and Catalog'!$E$63+'Assumptions and Catalog'!$F$63,IF(((D184+E184)*C184-G184)&lt;='Assumptions and Catalog'!$C$64,((D184+E184)*C184-G184)*'Assumptions and Catalog'!$H$64+'Assumptions and Catalog'!$E$64+'Assumptions and Catalog'!$F$64,IF(((D184+E184)*C184-G184)&lt;='Assumptions and Catalog'!$C$65,((D184+E184)*C184-G184)*'Assumptions and Catalog'!$H$65+'Assumptions and Catalog'!$E$65+'Assumptions and Catalog'!$F$65,"Out of range")))))))))*(1+'Assumptions and Catalog'!$C$8)^(A184-1),0)</f>
        <v>3874.967632</v>
      </c>
      <c r="R184" s="5" t="n">
        <f>IF(AND('Assumptions and Catalog'!$C$19&gt;0,A184&gt;='Assumptions and Catalog'!$C$19),A184-'Assumptions and Catalog'!$C$19,A184-1)</f>
        <v>1</v>
      </c>
      <c r="S184" s="5" t="n">
        <f>F184+L184-(D184+E184)*C184-J184-K184-0</f>
        <v>0</v>
      </c>
      <c r="T184" s="5"/>
      <c r="U184" s="5"/>
    </row>
    <row r="185" ht="23.100000381469727" customHeight="1">
      <c r="A185" s="5" t="n">
        <v>3</v>
      </c>
      <c r="B185" s="5" t="n">
        <v>1</v>
      </c>
      <c r="C185" s="5" t="n">
        <f>DAY(DATE('Assumptions and Catalog'!$C$24+A185-1,B185+1,0))</f>
        <v>31</v>
      </c>
      <c r="D185" s="5" t="n">
        <f>IF(ISNUMBER(Inputs!$L$5),Inputs!$L$5*Inputs!$L$6,0)</f>
        <v>40.35</v>
      </c>
      <c r="E185" s="5" t="n">
        <f>IF(ISNUMBER(Inputs!$L$5),Inputs!$L$5-D185,0)</f>
        <v>40.35</v>
      </c>
      <c r="F185" s="5" t="n">
        <f>C$51*INDEX('Solar Production'!$D$20:$D$31,B185)*C185*(1-'Assumptions and Catalog'!$C$10)^(A185-1)</f>
        <v>1143.914486</v>
      </c>
      <c r="G185" s="5" t="n">
        <f>MIN(F185,D185*C185)</f>
        <v>1143.914486</v>
      </c>
      <c r="H185" s="5" t="n">
        <f>I185/('Assumptions and Catalog'!$C$11*'Assumptions and Catalog'!$C$12)</f>
        <v>0</v>
      </c>
      <c r="I185" s="5" t="n">
        <f>0</f>
        <v>0</v>
      </c>
      <c r="J185" s="5" t="n">
        <f>MAX(F185-G185-H185,0)</f>
        <v>0</v>
      </c>
      <c r="K185" s="5" t="n">
        <f>H185-I185</f>
        <v>0</v>
      </c>
      <c r="L185" s="5" t="n">
        <f>(D185+E185)*C185-G185-I185+0+0</f>
        <v>1357.785514</v>
      </c>
      <c r="M185" s="5" t="n">
        <f>IF(ISNUMBER(Inputs!$L$5),(IF(Inputs!$L$9="Actual flat rate",((D185+E185)*C185)*Inputs!$L$10,IF(Inputs!$C$9="Residential",IF(((D185+E185)*C185)&lt;='Assumptions and Catalog'!$C$50,((D185+E185)*C185)*'Assumptions and Catalog'!$H$50+'Assumptions and Catalog'!$E$50+'Assumptions and Catalog'!$F$50,IF(((D185+E185)*C185)&lt;='Assumptions and Catalog'!$C$51,((D185+E185)*C185)*'Assumptions and Catalog'!$H$51+'Assumptions and Catalog'!$E$51+'Assumptions and Catalog'!$F$51,IF(((D185+E185)*C185)&lt;='Assumptions and Catalog'!$C$52,((D185+E185)*C185)*'Assumptions and Catalog'!$H$52+'Assumptions and Catalog'!$E$52+'Assumptions and Catalog'!$F$52,IF(((D185+E185)*C185)&lt;='Assumptions and Catalog'!$C$53,((D185+E185)*C185)*'Assumptions and Catalog'!$H$53+'Assumptions and Catalog'!$E$53+'Assumptions and Catalog'!$F$53,IF(((D185+E185)*C185)&lt;='Assumptions and Catalog'!$C$54,((D185+E185)*C185)*'Assumptions and Catalog'!$H$54+'Assumptions and Catalog'!$E$54+'Assumptions and Catalog'!$F$54,IF(((D185+E185)*C185)&lt;='Assumptions and Catalog'!$C$55,((D185+E185)*C185)*'Assumptions and Catalog'!$H$55+'Assumptions and Catalog'!$E$55+'Assumptions and Catalog'!$F$55,IF(((D185+E185)*C185)&lt;='Assumptions and Catalog'!$C$56,((D185+E185)*C185)*'Assumptions and Catalog'!$H$56+'Assumptions and Catalog'!$E$56+'Assumptions and Catalog'!$F$56,IF(((D185+E185)*C185)&lt;='Assumptions and Catalog'!$C$57,((D185+E185)*C185)*'Assumptions and Catalog'!$H$57+'Assumptions and Catalog'!$E$57+'Assumptions and Catalog'!$F$57,"Out of range")))))))),IF(((D185+E185)*C185)&lt;='Assumptions and Catalog'!$C$60,((D185+E185)*C185)*'Assumptions and Catalog'!$H$60+'Assumptions and Catalog'!$E$60+'Assumptions and Catalog'!$F$60,IF(((D185+E185)*C185)&lt;='Assumptions and Catalog'!$C$61,((D185+E185)*C185)*'Assumptions and Catalog'!$H$61+'Assumptions and Catalog'!$E$61+'Assumptions and Catalog'!$F$61,IF(((D185+E185)*C185)&lt;='Assumptions and Catalog'!$C$62,((D185+E185)*C185)*'Assumptions and Catalog'!$H$62+'Assumptions and Catalog'!$E$62+'Assumptions and Catalog'!$F$62,IF(((D185+E185)*C185)&lt;='Assumptions and Catalog'!$C$63,((D185+E185)*C185)*'Assumptions and Catalog'!$H$63+'Assumptions and Catalog'!$E$63+'Assumptions and Catalog'!$F$63,IF(((D185+E185)*C185)&lt;='Assumptions and Catalog'!$C$64,((D185+E185)*C185)*'Assumptions and Catalog'!$H$64+'Assumptions and Catalog'!$E$64+'Assumptions and Catalog'!$F$64,IF(((D185+E185)*C185)&lt;='Assumptions and Catalog'!$C$65,((D185+E185)*C185)*'Assumptions and Catalog'!$H$65+'Assumptions and Catalog'!$E$65+'Assumptions and Catalog'!$F$65,"Out of range")))))))))*(1+'Assumptions and Catalog'!$C$8)^(A185-1),0)</f>
        <v>7094.794</v>
      </c>
      <c r="N185" s="5" t="n">
        <f>IF(ISNUMBER(Inputs!$L$5),(IF(Inputs!$L$9="Actual flat rate",L185*Inputs!$L$10,IF(Inputs!$C$9="Residential",IF(L185&lt;='Assumptions and Catalog'!$C$50,L185*'Assumptions and Catalog'!$H$50+'Assumptions and Catalog'!$E$50+'Assumptions and Catalog'!$F$50,IF(L185&lt;='Assumptions and Catalog'!$C$51,L185*'Assumptions and Catalog'!$H$51+'Assumptions and Catalog'!$E$51+'Assumptions and Catalog'!$F$51,IF(L185&lt;='Assumptions and Catalog'!$C$52,L185*'Assumptions and Catalog'!$H$52+'Assumptions and Catalog'!$E$52+'Assumptions and Catalog'!$F$52,IF(L185&lt;='Assumptions and Catalog'!$C$53,L185*'Assumptions and Catalog'!$H$53+'Assumptions and Catalog'!$E$53+'Assumptions and Catalog'!$F$53,IF(L185&lt;='Assumptions and Catalog'!$C$54,L185*'Assumptions and Catalog'!$H$54+'Assumptions and Catalog'!$E$54+'Assumptions and Catalog'!$F$54,IF(L185&lt;='Assumptions and Catalog'!$C$55,L185*'Assumptions and Catalog'!$H$55+'Assumptions and Catalog'!$E$55+'Assumptions and Catalog'!$F$55,IF(L185&lt;='Assumptions and Catalog'!$C$56,L185*'Assumptions and Catalog'!$H$56+'Assumptions and Catalog'!$E$56+'Assumptions and Catalog'!$F$56,IF(L185&lt;='Assumptions and Catalog'!$C$57,L185*'Assumptions and Catalog'!$H$57+'Assumptions and Catalog'!$E$57+'Assumptions and Catalog'!$F$57,"Out of range")))))))),IF(L185&lt;='Assumptions and Catalog'!$C$60,L185*'Assumptions and Catalog'!$H$60+'Assumptions and Catalog'!$E$60+'Assumptions and Catalog'!$F$60,IF(L185&lt;='Assumptions and Catalog'!$C$61,L185*'Assumptions and Catalog'!$H$61+'Assumptions and Catalog'!$E$61+'Assumptions and Catalog'!$F$61,IF(L185&lt;='Assumptions and Catalog'!$C$62,L185*'Assumptions and Catalog'!$H$62+'Assumptions and Catalog'!$E$62+'Assumptions and Catalog'!$F$62,IF(L185&lt;='Assumptions and Catalog'!$C$63,L185*'Assumptions and Catalog'!$H$63+'Assumptions and Catalog'!$E$63+'Assumptions and Catalog'!$F$63,IF(L185&lt;='Assumptions and Catalog'!$C$64,L185*'Assumptions and Catalog'!$H$64+'Assumptions and Catalog'!$E$64+'Assumptions and Catalog'!$F$64,IF(L185&lt;='Assumptions and Catalog'!$C$65,L185*'Assumptions and Catalog'!$H$65+'Assumptions and Catalog'!$E$65+'Assumptions and Catalog'!$F$65,"Out of range")))))))))*(1+'Assumptions and Catalog'!$C$8)^(A185-1),0)</f>
        <v>3868.95514948</v>
      </c>
      <c r="O185" s="5" t="n">
        <f>M185-N185</f>
        <v>3225.83885052</v>
      </c>
      <c r="P185" s="5" t="n">
        <f>C$55*(1-J$14)*(1-'Assumptions and Catalog'!$C$23)^R185</f>
        <v>0</v>
      </c>
      <c r="Q185" s="5" t="n">
        <f>IF(ISNUMBER(Inputs!$L$5),(IF(Inputs!$L$9="Actual flat rate",((D185+E185)*C185-G185)*Inputs!$L$10,IF(Inputs!$C$9="Residential",IF(((D185+E185)*C185-G185)&lt;='Assumptions and Catalog'!$C$50,((D185+E185)*C185-G185)*'Assumptions and Catalog'!$H$50+'Assumptions and Catalog'!$E$50+'Assumptions and Catalog'!$F$50,IF(((D185+E185)*C185-G185)&lt;='Assumptions and Catalog'!$C$51,((D185+E185)*C185-G185)*'Assumptions and Catalog'!$H$51+'Assumptions and Catalog'!$E$51+'Assumptions and Catalog'!$F$51,IF(((D185+E185)*C185-G185)&lt;='Assumptions and Catalog'!$C$52,((D185+E185)*C185-G185)*'Assumptions and Catalog'!$H$52+'Assumptions and Catalog'!$E$52+'Assumptions and Catalog'!$F$52,IF(((D185+E185)*C185-G185)&lt;='Assumptions and Catalog'!$C$53,((D185+E185)*C185-G185)*'Assumptions and Catalog'!$H$53+'Assumptions and Catalog'!$E$53+'Assumptions and Catalog'!$F$53,IF(((D185+E185)*C185-G185)&lt;='Assumptions and Catalog'!$C$54,((D185+E185)*C185-G185)*'Assumptions and Catalog'!$H$54+'Assumptions and Catalog'!$E$54+'Assumptions and Catalog'!$F$54,IF(((D185+E185)*C185-G185)&lt;='Assumptions and Catalog'!$C$55,((D185+E185)*C185-G185)*'Assumptions and Catalog'!$H$55+'Assumptions and Catalog'!$E$55+'Assumptions and Catalog'!$F$55,IF(((D185+E185)*C185-G185)&lt;='Assumptions and Catalog'!$C$56,((D185+E185)*C185-G185)*'Assumptions and Catalog'!$H$56+'Assumptions and Catalog'!$E$56+'Assumptions and Catalog'!$F$56,IF(((D185+E185)*C185-G185)&lt;='Assumptions and Catalog'!$C$57,((D185+E185)*C185-G185)*'Assumptions and Catalog'!$H$57+'Assumptions and Catalog'!$E$57+'Assumptions and Catalog'!$F$57,"Out of range")))))))),IF(((D185+E185)*C185-G185)&lt;='Assumptions and Catalog'!$C$60,((D185+E185)*C185-G185)*'Assumptions and Catalog'!$H$60+'Assumptions and Catalog'!$E$60+'Assumptions and Catalog'!$F$60,IF(((D185+E185)*C185-G185)&lt;='Assumptions and Catalog'!$C$61,((D185+E185)*C185-G185)*'Assumptions and Catalog'!$H$61+'Assumptions and Catalog'!$E$61+'Assumptions and Catalog'!$F$61,IF(((D185+E185)*C185-G185)&lt;='Assumptions and Catalog'!$C$62,((D185+E185)*C185-G185)*'Assumptions and Catalog'!$H$62+'Assumptions and Catalog'!$E$62+'Assumptions and Catalog'!$F$62,IF(((D185+E185)*C185-G185)&lt;='Assumptions and Catalog'!$C$63,((D185+E185)*C185-G185)*'Assumptions and Catalog'!$H$63+'Assumptions and Catalog'!$E$63+'Assumptions and Catalog'!$F$63,IF(((D185+E185)*C185-G185)&lt;='Assumptions and Catalog'!$C$64,((D185+E185)*C185-G185)*'Assumptions and Catalog'!$H$64+'Assumptions and Catalog'!$E$64+'Assumptions and Catalog'!$F$64,IF(((D185+E185)*C185-G185)&lt;='Assumptions and Catalog'!$C$65,((D185+E185)*C185-G185)*'Assumptions and Catalog'!$H$65+'Assumptions and Catalog'!$E$65+'Assumptions and Catalog'!$F$65,"Out of range")))))))))*(1+'Assumptions and Catalog'!$C$8)^(A185-1),0)</f>
        <v>3868.95514948</v>
      </c>
      <c r="R185" s="5" t="n">
        <f>IF(AND('Assumptions and Catalog'!$C$19&gt;0,A185&gt;='Assumptions and Catalog'!$C$19),A185-'Assumptions and Catalog'!$C$19,A185-1)</f>
        <v>2</v>
      </c>
      <c r="S185" s="5" t="n">
        <f>F185+L185-(D185+E185)*C185-J185-K185-0</f>
        <v>0</v>
      </c>
      <c r="T185" s="5"/>
      <c r="U185" s="5"/>
    </row>
    <row r="186" ht="23.100000381469727" customHeight="1">
      <c r="A186" s="5" t="n">
        <v>3</v>
      </c>
      <c r="B186" s="5" t="n">
        <v>2</v>
      </c>
      <c r="C186" s="5" t="n">
        <f>DAY(DATE('Assumptions and Catalog'!$C$24+A186-1,B186+1,0))</f>
        <v>28</v>
      </c>
      <c r="D186" s="5" t="n">
        <f>IF(ISNUMBER(Inputs!$L$5),Inputs!$L$5*Inputs!$L$6,0)</f>
        <v>40.35</v>
      </c>
      <c r="E186" s="5" t="n">
        <f>IF(ISNUMBER(Inputs!$L$5),Inputs!$L$5-D186,0)</f>
        <v>40.35</v>
      </c>
      <c r="F186" s="5" t="n">
        <f>C$51*INDEX('Solar Production'!$D$20:$D$31,B186)*C186*(1-'Assumptions and Catalog'!$C$10)^(A186-1)</f>
        <v>1127.796879</v>
      </c>
      <c r="G186" s="5" t="n">
        <f>MIN(F186,D186*C186)</f>
        <v>1127.796879</v>
      </c>
      <c r="H186" s="5" t="n">
        <f>I186/('Assumptions and Catalog'!$C$11*'Assumptions and Catalog'!$C$12)</f>
        <v>0</v>
      </c>
      <c r="I186" s="5" t="n">
        <f>0</f>
        <v>0</v>
      </c>
      <c r="J186" s="5" t="n">
        <f>MAX(F186-G186-H186,0)</f>
        <v>0</v>
      </c>
      <c r="K186" s="5" t="n">
        <f>H186-I186</f>
        <v>0</v>
      </c>
      <c r="L186" s="5" t="n">
        <f>(D186+E186)*C186-G186-I186+0+0</f>
        <v>1131.803121</v>
      </c>
      <c r="M186" s="5" t="n">
        <f>IF(ISNUMBER(Inputs!$L$5),(IF(Inputs!$L$9="Actual flat rate",((D186+E186)*C186)*Inputs!$L$10,IF(Inputs!$C$9="Residential",IF(((D186+E186)*C186)&lt;='Assumptions and Catalog'!$C$50,((D186+E186)*C186)*'Assumptions and Catalog'!$H$50+'Assumptions and Catalog'!$E$50+'Assumptions and Catalog'!$F$50,IF(((D186+E186)*C186)&lt;='Assumptions and Catalog'!$C$51,((D186+E186)*C186)*'Assumptions and Catalog'!$H$51+'Assumptions and Catalog'!$E$51+'Assumptions and Catalog'!$F$51,IF(((D186+E186)*C186)&lt;='Assumptions and Catalog'!$C$52,((D186+E186)*C186)*'Assumptions and Catalog'!$H$52+'Assumptions and Catalog'!$E$52+'Assumptions and Catalog'!$F$52,IF(((D186+E186)*C186)&lt;='Assumptions and Catalog'!$C$53,((D186+E186)*C186)*'Assumptions and Catalog'!$H$53+'Assumptions and Catalog'!$E$53+'Assumptions and Catalog'!$F$53,IF(((D186+E186)*C186)&lt;='Assumptions and Catalog'!$C$54,((D186+E186)*C186)*'Assumptions and Catalog'!$H$54+'Assumptions and Catalog'!$E$54+'Assumptions and Catalog'!$F$54,IF(((D186+E186)*C186)&lt;='Assumptions and Catalog'!$C$55,((D186+E186)*C186)*'Assumptions and Catalog'!$H$55+'Assumptions and Catalog'!$E$55+'Assumptions and Catalog'!$F$55,IF(((D186+E186)*C186)&lt;='Assumptions and Catalog'!$C$56,((D186+E186)*C186)*'Assumptions and Catalog'!$H$56+'Assumptions and Catalog'!$E$56+'Assumptions and Catalog'!$F$56,IF(((D186+E186)*C186)&lt;='Assumptions and Catalog'!$C$57,((D186+E186)*C186)*'Assumptions and Catalog'!$H$57+'Assumptions and Catalog'!$E$57+'Assumptions and Catalog'!$F$57,"Out of range")))))))),IF(((D186+E186)*C186)&lt;='Assumptions and Catalog'!$C$60,((D186+E186)*C186)*'Assumptions and Catalog'!$H$60+'Assumptions and Catalog'!$E$60+'Assumptions and Catalog'!$F$60,IF(((D186+E186)*C186)&lt;='Assumptions and Catalog'!$C$61,((D186+E186)*C186)*'Assumptions and Catalog'!$H$61+'Assumptions and Catalog'!$E$61+'Assumptions and Catalog'!$F$61,IF(((D186+E186)*C186)&lt;='Assumptions and Catalog'!$C$62,((D186+E186)*C186)*'Assumptions and Catalog'!$H$62+'Assumptions and Catalog'!$E$62+'Assumptions and Catalog'!$F$62,IF(((D186+E186)*C186)&lt;='Assumptions and Catalog'!$C$63,((D186+E186)*C186)*'Assumptions and Catalog'!$H$63+'Assumptions and Catalog'!$E$63+'Assumptions and Catalog'!$F$63,IF(((D186+E186)*C186)&lt;='Assumptions and Catalog'!$C$64,((D186+E186)*C186)*'Assumptions and Catalog'!$H$64+'Assumptions and Catalog'!$E$64+'Assumptions and Catalog'!$F$64,IF(((D186+E186)*C186)&lt;='Assumptions and Catalog'!$C$65,((D186+E186)*C186)*'Assumptions and Catalog'!$H$65+'Assumptions and Catalog'!$E$65+'Assumptions and Catalog'!$F$65,"Out of range")))))))))*(1+'Assumptions and Catalog'!$C$8)^(A186-1),0)</f>
        <v>6412.072</v>
      </c>
      <c r="N186" s="5" t="n">
        <f>IF(ISNUMBER(Inputs!$L$5),(IF(Inputs!$L$9="Actual flat rate",L186*Inputs!$L$10,IF(Inputs!$C$9="Residential",IF(L186&lt;='Assumptions and Catalog'!$C$50,L186*'Assumptions and Catalog'!$H$50+'Assumptions and Catalog'!$E$50+'Assumptions and Catalog'!$F$50,IF(L186&lt;='Assumptions and Catalog'!$C$51,L186*'Assumptions and Catalog'!$H$51+'Assumptions and Catalog'!$E$51+'Assumptions and Catalog'!$F$51,IF(L186&lt;='Assumptions and Catalog'!$C$52,L186*'Assumptions and Catalog'!$H$52+'Assumptions and Catalog'!$E$52+'Assumptions and Catalog'!$F$52,IF(L186&lt;='Assumptions and Catalog'!$C$53,L186*'Assumptions and Catalog'!$H$53+'Assumptions and Catalog'!$E$53+'Assumptions and Catalog'!$F$53,IF(L186&lt;='Assumptions and Catalog'!$C$54,L186*'Assumptions and Catalog'!$H$54+'Assumptions and Catalog'!$E$54+'Assumptions and Catalog'!$F$54,IF(L186&lt;='Assumptions and Catalog'!$C$55,L186*'Assumptions and Catalog'!$H$55+'Assumptions and Catalog'!$E$55+'Assumptions and Catalog'!$F$55,IF(L186&lt;='Assumptions and Catalog'!$C$56,L186*'Assumptions and Catalog'!$H$56+'Assumptions and Catalog'!$E$56+'Assumptions and Catalog'!$F$56,IF(L186&lt;='Assumptions and Catalog'!$C$57,L186*'Assumptions and Catalog'!$H$57+'Assumptions and Catalog'!$E$57+'Assumptions and Catalog'!$F$57,"Out of range")))))))),IF(L186&lt;='Assumptions and Catalog'!$C$60,L186*'Assumptions and Catalog'!$H$60+'Assumptions and Catalog'!$E$60+'Assumptions and Catalog'!$F$60,IF(L186&lt;='Assumptions and Catalog'!$C$61,L186*'Assumptions and Catalog'!$H$61+'Assumptions and Catalog'!$E$61+'Assumptions and Catalog'!$F$61,IF(L186&lt;='Assumptions and Catalog'!$C$62,L186*'Assumptions and Catalog'!$H$62+'Assumptions and Catalog'!$E$62+'Assumptions and Catalog'!$F$62,IF(L186&lt;='Assumptions and Catalog'!$C$63,L186*'Assumptions and Catalog'!$H$63+'Assumptions and Catalog'!$E$63+'Assumptions and Catalog'!$F$63,IF(L186&lt;='Assumptions and Catalog'!$C$64,L186*'Assumptions and Catalog'!$H$64+'Assumptions and Catalog'!$E$64+'Assumptions and Catalog'!$F$64,IF(L186&lt;='Assumptions and Catalog'!$C$65,L186*'Assumptions and Catalog'!$H$65+'Assumptions and Catalog'!$E$65+'Assumptions and Catalog'!$F$65,"Out of range")))))))))*(1+'Assumptions and Catalog'!$C$8)^(A186-1),0)</f>
        <v>3231.68480122</v>
      </c>
      <c r="O186" s="5" t="n">
        <f>M186-N186</f>
        <v>3180.38719878</v>
      </c>
      <c r="P186" s="5" t="n">
        <f>C$55*(1-J$14)*(1-'Assumptions and Catalog'!$C$23)^R186</f>
        <v>0</v>
      </c>
      <c r="Q186" s="5" t="n">
        <f>IF(ISNUMBER(Inputs!$L$5),(IF(Inputs!$L$9="Actual flat rate",((D186+E186)*C186-G186)*Inputs!$L$10,IF(Inputs!$C$9="Residential",IF(((D186+E186)*C186-G186)&lt;='Assumptions and Catalog'!$C$50,((D186+E186)*C186-G186)*'Assumptions and Catalog'!$H$50+'Assumptions and Catalog'!$E$50+'Assumptions and Catalog'!$F$50,IF(((D186+E186)*C186-G186)&lt;='Assumptions and Catalog'!$C$51,((D186+E186)*C186-G186)*'Assumptions and Catalog'!$H$51+'Assumptions and Catalog'!$E$51+'Assumptions and Catalog'!$F$51,IF(((D186+E186)*C186-G186)&lt;='Assumptions and Catalog'!$C$52,((D186+E186)*C186-G186)*'Assumptions and Catalog'!$H$52+'Assumptions and Catalog'!$E$52+'Assumptions and Catalog'!$F$52,IF(((D186+E186)*C186-G186)&lt;='Assumptions and Catalog'!$C$53,((D186+E186)*C186-G186)*'Assumptions and Catalog'!$H$53+'Assumptions and Catalog'!$E$53+'Assumptions and Catalog'!$F$53,IF(((D186+E186)*C186-G186)&lt;='Assumptions and Catalog'!$C$54,((D186+E186)*C186-G186)*'Assumptions and Catalog'!$H$54+'Assumptions and Catalog'!$E$54+'Assumptions and Catalog'!$F$54,IF(((D186+E186)*C186-G186)&lt;='Assumptions and Catalog'!$C$55,((D186+E186)*C186-G186)*'Assumptions and Catalog'!$H$55+'Assumptions and Catalog'!$E$55+'Assumptions and Catalog'!$F$55,IF(((D186+E186)*C186-G186)&lt;='Assumptions and Catalog'!$C$56,((D186+E186)*C186-G186)*'Assumptions and Catalog'!$H$56+'Assumptions and Catalog'!$E$56+'Assumptions and Catalog'!$F$56,IF(((D186+E186)*C186-G186)&lt;='Assumptions and Catalog'!$C$57,((D186+E186)*C186-G186)*'Assumptions and Catalog'!$H$57+'Assumptions and Catalog'!$E$57+'Assumptions and Catalog'!$F$57,"Out of range")))))))),IF(((D186+E186)*C186-G186)&lt;='Assumptions and Catalog'!$C$60,((D186+E186)*C186-G186)*'Assumptions and Catalog'!$H$60+'Assumptions and Catalog'!$E$60+'Assumptions and Catalog'!$F$60,IF(((D186+E186)*C186-G186)&lt;='Assumptions and Catalog'!$C$61,((D186+E186)*C186-G186)*'Assumptions and Catalog'!$H$61+'Assumptions and Catalog'!$E$61+'Assumptions and Catalog'!$F$61,IF(((D186+E186)*C186-G186)&lt;='Assumptions and Catalog'!$C$62,((D186+E186)*C186-G186)*'Assumptions and Catalog'!$H$62+'Assumptions and Catalog'!$E$62+'Assumptions and Catalog'!$F$62,IF(((D186+E186)*C186-G186)&lt;='Assumptions and Catalog'!$C$63,((D186+E186)*C186-G186)*'Assumptions and Catalog'!$H$63+'Assumptions and Catalog'!$E$63+'Assumptions and Catalog'!$F$63,IF(((D186+E186)*C186-G186)&lt;='Assumptions and Catalog'!$C$64,((D186+E186)*C186-G186)*'Assumptions and Catalog'!$H$64+'Assumptions and Catalog'!$E$64+'Assumptions and Catalog'!$F$64,IF(((D186+E186)*C186-G186)&lt;='Assumptions and Catalog'!$C$65,((D186+E186)*C186-G186)*'Assumptions and Catalog'!$H$65+'Assumptions and Catalog'!$E$65+'Assumptions and Catalog'!$F$65,"Out of range")))))))))*(1+'Assumptions and Catalog'!$C$8)^(A186-1),0)</f>
        <v>3231.68480122</v>
      </c>
      <c r="R186" s="5" t="n">
        <f>IF(AND('Assumptions and Catalog'!$C$19&gt;0,A186&gt;='Assumptions and Catalog'!$C$19),A186-'Assumptions and Catalog'!$C$19,A186-1)</f>
        <v>2</v>
      </c>
      <c r="S186" s="5" t="n">
        <f>F186+L186-(D186+E186)*C186-J186-K186-0</f>
        <v>0</v>
      </c>
      <c r="T186" s="5"/>
      <c r="U186" s="5"/>
    </row>
    <row r="187" ht="23.100000381469727" customHeight="1">
      <c r="A187" s="5" t="n">
        <v>3</v>
      </c>
      <c r="B187" s="5" t="n">
        <v>3</v>
      </c>
      <c r="C187" s="5" t="n">
        <f>DAY(DATE('Assumptions and Catalog'!$C$24+A187-1,B187+1,0))</f>
        <v>31</v>
      </c>
      <c r="D187" s="5" t="n">
        <f>IF(ISNUMBER(Inputs!$L$5),Inputs!$L$5*Inputs!$L$6,0)</f>
        <v>40.35</v>
      </c>
      <c r="E187" s="5" t="n">
        <f>IF(ISNUMBER(Inputs!$L$5),Inputs!$L$5-D187,0)</f>
        <v>40.35</v>
      </c>
      <c r="F187" s="5" t="n">
        <f>C$51*INDEX('Solar Production'!$D$20:$D$31,B187)*C187*(1-'Assumptions and Catalog'!$C$10)^(A187-1)</f>
        <v>1403.1901532</v>
      </c>
      <c r="G187" s="5" t="n">
        <f>MIN(F187,D187*C187)</f>
        <v>1250.85</v>
      </c>
      <c r="H187" s="5" t="n">
        <f>I187/('Assumptions and Catalog'!$C$11*'Assumptions and Catalog'!$C$12)</f>
        <v>0</v>
      </c>
      <c r="I187" s="5" t="n">
        <f>0</f>
        <v>0</v>
      </c>
      <c r="J187" s="5" t="n">
        <f>MAX(F187-G187-H187,0)</f>
        <v>152.3401532</v>
      </c>
      <c r="K187" s="5" t="n">
        <f>H187-I187</f>
        <v>0</v>
      </c>
      <c r="L187" s="5" t="n">
        <f>(D187+E187)*C187-G187-I187+0+0</f>
        <v>1250.85</v>
      </c>
      <c r="M187" s="5" t="n">
        <f>IF(ISNUMBER(Inputs!$L$5),(IF(Inputs!$L$9="Actual flat rate",((D187+E187)*C187)*Inputs!$L$10,IF(Inputs!$C$9="Residential",IF(((D187+E187)*C187)&lt;='Assumptions and Catalog'!$C$50,((D187+E187)*C187)*'Assumptions and Catalog'!$H$50+'Assumptions and Catalog'!$E$50+'Assumptions and Catalog'!$F$50,IF(((D187+E187)*C187)&lt;='Assumptions and Catalog'!$C$51,((D187+E187)*C187)*'Assumptions and Catalog'!$H$51+'Assumptions and Catalog'!$E$51+'Assumptions and Catalog'!$F$51,IF(((D187+E187)*C187)&lt;='Assumptions and Catalog'!$C$52,((D187+E187)*C187)*'Assumptions and Catalog'!$H$52+'Assumptions and Catalog'!$E$52+'Assumptions and Catalog'!$F$52,IF(((D187+E187)*C187)&lt;='Assumptions and Catalog'!$C$53,((D187+E187)*C187)*'Assumptions and Catalog'!$H$53+'Assumptions and Catalog'!$E$53+'Assumptions and Catalog'!$F$53,IF(((D187+E187)*C187)&lt;='Assumptions and Catalog'!$C$54,((D187+E187)*C187)*'Assumptions and Catalog'!$H$54+'Assumptions and Catalog'!$E$54+'Assumptions and Catalog'!$F$54,IF(((D187+E187)*C187)&lt;='Assumptions and Catalog'!$C$55,((D187+E187)*C187)*'Assumptions and Catalog'!$H$55+'Assumptions and Catalog'!$E$55+'Assumptions and Catalog'!$F$55,IF(((D187+E187)*C187)&lt;='Assumptions and Catalog'!$C$56,((D187+E187)*C187)*'Assumptions and Catalog'!$H$56+'Assumptions and Catalog'!$E$56+'Assumptions and Catalog'!$F$56,IF(((D187+E187)*C187)&lt;='Assumptions and Catalog'!$C$57,((D187+E187)*C187)*'Assumptions and Catalog'!$H$57+'Assumptions and Catalog'!$E$57+'Assumptions and Catalog'!$F$57,"Out of range")))))))),IF(((D187+E187)*C187)&lt;='Assumptions and Catalog'!$C$60,((D187+E187)*C187)*'Assumptions and Catalog'!$H$60+'Assumptions and Catalog'!$E$60+'Assumptions and Catalog'!$F$60,IF(((D187+E187)*C187)&lt;='Assumptions and Catalog'!$C$61,((D187+E187)*C187)*'Assumptions and Catalog'!$H$61+'Assumptions and Catalog'!$E$61+'Assumptions and Catalog'!$F$61,IF(((D187+E187)*C187)&lt;='Assumptions and Catalog'!$C$62,((D187+E187)*C187)*'Assumptions and Catalog'!$H$62+'Assumptions and Catalog'!$E$62+'Assumptions and Catalog'!$F$62,IF(((D187+E187)*C187)&lt;='Assumptions and Catalog'!$C$63,((D187+E187)*C187)*'Assumptions and Catalog'!$H$63+'Assumptions and Catalog'!$E$63+'Assumptions and Catalog'!$F$63,IF(((D187+E187)*C187)&lt;='Assumptions and Catalog'!$C$64,((D187+E187)*C187)*'Assumptions and Catalog'!$H$64+'Assumptions and Catalog'!$E$64+'Assumptions and Catalog'!$F$64,IF(((D187+E187)*C187)&lt;='Assumptions and Catalog'!$C$65,((D187+E187)*C187)*'Assumptions and Catalog'!$H$65+'Assumptions and Catalog'!$E$65+'Assumptions and Catalog'!$F$65,"Out of range")))))))))*(1+'Assumptions and Catalog'!$C$8)^(A187-1),0)</f>
        <v>7094.794</v>
      </c>
      <c r="N187" s="5" t="n">
        <f>IF(ISNUMBER(Inputs!$L$5),(IF(Inputs!$L$9="Actual flat rate",L187*Inputs!$L$10,IF(Inputs!$C$9="Residential",IF(L187&lt;='Assumptions and Catalog'!$C$50,L187*'Assumptions and Catalog'!$H$50+'Assumptions and Catalog'!$E$50+'Assumptions and Catalog'!$F$50,IF(L187&lt;='Assumptions and Catalog'!$C$51,L187*'Assumptions and Catalog'!$H$51+'Assumptions and Catalog'!$E$51+'Assumptions and Catalog'!$F$51,IF(L187&lt;='Assumptions and Catalog'!$C$52,L187*'Assumptions and Catalog'!$H$52+'Assumptions and Catalog'!$E$52+'Assumptions and Catalog'!$F$52,IF(L187&lt;='Assumptions and Catalog'!$C$53,L187*'Assumptions and Catalog'!$H$53+'Assumptions and Catalog'!$E$53+'Assumptions and Catalog'!$F$53,IF(L187&lt;='Assumptions and Catalog'!$C$54,L187*'Assumptions and Catalog'!$H$54+'Assumptions and Catalog'!$E$54+'Assumptions and Catalog'!$F$54,IF(L187&lt;='Assumptions and Catalog'!$C$55,L187*'Assumptions and Catalog'!$H$55+'Assumptions and Catalog'!$E$55+'Assumptions and Catalog'!$F$55,IF(L187&lt;='Assumptions and Catalog'!$C$56,L187*'Assumptions and Catalog'!$H$56+'Assumptions and Catalog'!$E$56+'Assumptions and Catalog'!$F$56,IF(L187&lt;='Assumptions and Catalog'!$C$57,L187*'Assumptions and Catalog'!$H$57+'Assumptions and Catalog'!$E$57+'Assumptions and Catalog'!$F$57,"Out of range")))))))),IF(L187&lt;='Assumptions and Catalog'!$C$60,L187*'Assumptions and Catalog'!$H$60+'Assumptions and Catalog'!$E$60+'Assumptions and Catalog'!$F$60,IF(L187&lt;='Assumptions and Catalog'!$C$61,L187*'Assumptions and Catalog'!$H$61+'Assumptions and Catalog'!$E$61+'Assumptions and Catalog'!$F$61,IF(L187&lt;='Assumptions and Catalog'!$C$62,L187*'Assumptions and Catalog'!$H$62+'Assumptions and Catalog'!$E$62+'Assumptions and Catalog'!$F$62,IF(L187&lt;='Assumptions and Catalog'!$C$63,L187*'Assumptions and Catalog'!$H$63+'Assumptions and Catalog'!$E$63+'Assumptions and Catalog'!$F$63,IF(L187&lt;='Assumptions and Catalog'!$C$64,L187*'Assumptions and Catalog'!$H$64+'Assumptions and Catalog'!$E$64+'Assumptions and Catalog'!$F$64,IF(L187&lt;='Assumptions and Catalog'!$C$65,L187*'Assumptions and Catalog'!$H$65+'Assumptions and Catalog'!$E$65+'Assumptions and Catalog'!$F$65,"Out of range")))))))))*(1+'Assumptions and Catalog'!$C$8)^(A187-1),0)</f>
        <v>3567.397</v>
      </c>
      <c r="O187" s="5" t="n">
        <f>M187-N187</f>
        <v>3527.397</v>
      </c>
      <c r="P187" s="5" t="n">
        <f>C$55*(1-J$14)*(1-'Assumptions and Catalog'!$C$23)^R187</f>
        <v>0</v>
      </c>
      <c r="Q187" s="5" t="n">
        <f>IF(ISNUMBER(Inputs!$L$5),(IF(Inputs!$L$9="Actual flat rate",((D187+E187)*C187-G187)*Inputs!$L$10,IF(Inputs!$C$9="Residential",IF(((D187+E187)*C187-G187)&lt;='Assumptions and Catalog'!$C$50,((D187+E187)*C187-G187)*'Assumptions and Catalog'!$H$50+'Assumptions and Catalog'!$E$50+'Assumptions and Catalog'!$F$50,IF(((D187+E187)*C187-G187)&lt;='Assumptions and Catalog'!$C$51,((D187+E187)*C187-G187)*'Assumptions and Catalog'!$H$51+'Assumptions and Catalog'!$E$51+'Assumptions and Catalog'!$F$51,IF(((D187+E187)*C187-G187)&lt;='Assumptions and Catalog'!$C$52,((D187+E187)*C187-G187)*'Assumptions and Catalog'!$H$52+'Assumptions and Catalog'!$E$52+'Assumptions and Catalog'!$F$52,IF(((D187+E187)*C187-G187)&lt;='Assumptions and Catalog'!$C$53,((D187+E187)*C187-G187)*'Assumptions and Catalog'!$H$53+'Assumptions and Catalog'!$E$53+'Assumptions and Catalog'!$F$53,IF(((D187+E187)*C187-G187)&lt;='Assumptions and Catalog'!$C$54,((D187+E187)*C187-G187)*'Assumptions and Catalog'!$H$54+'Assumptions and Catalog'!$E$54+'Assumptions and Catalog'!$F$54,IF(((D187+E187)*C187-G187)&lt;='Assumptions and Catalog'!$C$55,((D187+E187)*C187-G187)*'Assumptions and Catalog'!$H$55+'Assumptions and Catalog'!$E$55+'Assumptions and Catalog'!$F$55,IF(((D187+E187)*C187-G187)&lt;='Assumptions and Catalog'!$C$56,((D187+E187)*C187-G187)*'Assumptions and Catalog'!$H$56+'Assumptions and Catalog'!$E$56+'Assumptions and Catalog'!$F$56,IF(((D187+E187)*C187-G187)&lt;='Assumptions and Catalog'!$C$57,((D187+E187)*C187-G187)*'Assumptions and Catalog'!$H$57+'Assumptions and Catalog'!$E$57+'Assumptions and Catalog'!$F$57,"Out of range")))))))),IF(((D187+E187)*C187-G187)&lt;='Assumptions and Catalog'!$C$60,((D187+E187)*C187-G187)*'Assumptions and Catalog'!$H$60+'Assumptions and Catalog'!$E$60+'Assumptions and Catalog'!$F$60,IF(((D187+E187)*C187-G187)&lt;='Assumptions and Catalog'!$C$61,((D187+E187)*C187-G187)*'Assumptions and Catalog'!$H$61+'Assumptions and Catalog'!$E$61+'Assumptions and Catalog'!$F$61,IF(((D187+E187)*C187-G187)&lt;='Assumptions and Catalog'!$C$62,((D187+E187)*C187-G187)*'Assumptions and Catalog'!$H$62+'Assumptions and Catalog'!$E$62+'Assumptions and Catalog'!$F$62,IF(((D187+E187)*C187-G187)&lt;='Assumptions and Catalog'!$C$63,((D187+E187)*C187-G187)*'Assumptions and Catalog'!$H$63+'Assumptions and Catalog'!$E$63+'Assumptions and Catalog'!$F$63,IF(((D187+E187)*C187-G187)&lt;='Assumptions and Catalog'!$C$64,((D187+E187)*C187-G187)*'Assumptions and Catalog'!$H$64+'Assumptions and Catalog'!$E$64+'Assumptions and Catalog'!$F$64,IF(((D187+E187)*C187-G187)&lt;='Assumptions and Catalog'!$C$65,((D187+E187)*C187-G187)*'Assumptions and Catalog'!$H$65+'Assumptions and Catalog'!$E$65+'Assumptions and Catalog'!$F$65,"Out of range")))))))))*(1+'Assumptions and Catalog'!$C$8)^(A187-1),0)</f>
        <v>3567.397</v>
      </c>
      <c r="R187" s="5" t="n">
        <f>IF(AND('Assumptions and Catalog'!$C$19&gt;0,A187&gt;='Assumptions and Catalog'!$C$19),A187-'Assumptions and Catalog'!$C$19,A187-1)</f>
        <v>2</v>
      </c>
      <c r="S187" s="5" t="n">
        <f>F187+L187-(D187+E187)*C187-J187-K187-0</f>
        <v>0</v>
      </c>
      <c r="T187" s="5"/>
      <c r="U187" s="5"/>
    </row>
    <row r="188" ht="23.100000381469727" customHeight="1">
      <c r="A188" s="5" t="n">
        <v>3</v>
      </c>
      <c r="B188" s="5" t="n">
        <v>4</v>
      </c>
      <c r="C188" s="5" t="n">
        <f>DAY(DATE('Assumptions and Catalog'!$C$24+A188-1,B188+1,0))</f>
        <v>30</v>
      </c>
      <c r="D188" s="5" t="n">
        <f>IF(ISNUMBER(Inputs!$L$5),Inputs!$L$5*Inputs!$L$6,0)</f>
        <v>40.35</v>
      </c>
      <c r="E188" s="5" t="n">
        <f>IF(ISNUMBER(Inputs!$L$5),Inputs!$L$5-D188,0)</f>
        <v>40.35</v>
      </c>
      <c r="F188" s="5" t="n">
        <f>C$51*INDEX('Solar Production'!$D$20:$D$31,B188)*C188*(1-'Assumptions and Catalog'!$C$10)^(A188-1)</f>
        <v>1401.4477092</v>
      </c>
      <c r="G188" s="5" t="n">
        <f>MIN(F188,D188*C188)</f>
        <v>1210.5</v>
      </c>
      <c r="H188" s="5" t="n">
        <f>I188/('Assumptions and Catalog'!$C$11*'Assumptions and Catalog'!$C$12)</f>
        <v>0</v>
      </c>
      <c r="I188" s="5" t="n">
        <f>0</f>
        <v>0</v>
      </c>
      <c r="J188" s="5" t="n">
        <f>MAX(F188-G188-H188,0)</f>
        <v>190.9477092</v>
      </c>
      <c r="K188" s="5" t="n">
        <f>H188-I188</f>
        <v>0</v>
      </c>
      <c r="L188" s="5" t="n">
        <f>(D188+E188)*C188-G188-I188+0+0</f>
        <v>1210.5</v>
      </c>
      <c r="M188" s="5" t="n">
        <f>IF(ISNUMBER(Inputs!$L$5),(IF(Inputs!$L$9="Actual flat rate",((D188+E188)*C188)*Inputs!$L$10,IF(Inputs!$C$9="Residential",IF(((D188+E188)*C188)&lt;='Assumptions and Catalog'!$C$50,((D188+E188)*C188)*'Assumptions and Catalog'!$H$50+'Assumptions and Catalog'!$E$50+'Assumptions and Catalog'!$F$50,IF(((D188+E188)*C188)&lt;='Assumptions and Catalog'!$C$51,((D188+E188)*C188)*'Assumptions and Catalog'!$H$51+'Assumptions and Catalog'!$E$51+'Assumptions and Catalog'!$F$51,IF(((D188+E188)*C188)&lt;='Assumptions and Catalog'!$C$52,((D188+E188)*C188)*'Assumptions and Catalog'!$H$52+'Assumptions and Catalog'!$E$52+'Assumptions and Catalog'!$F$52,IF(((D188+E188)*C188)&lt;='Assumptions and Catalog'!$C$53,((D188+E188)*C188)*'Assumptions and Catalog'!$H$53+'Assumptions and Catalog'!$E$53+'Assumptions and Catalog'!$F$53,IF(((D188+E188)*C188)&lt;='Assumptions and Catalog'!$C$54,((D188+E188)*C188)*'Assumptions and Catalog'!$H$54+'Assumptions and Catalog'!$E$54+'Assumptions and Catalog'!$F$54,IF(((D188+E188)*C188)&lt;='Assumptions and Catalog'!$C$55,((D188+E188)*C188)*'Assumptions and Catalog'!$H$55+'Assumptions and Catalog'!$E$55+'Assumptions and Catalog'!$F$55,IF(((D188+E188)*C188)&lt;='Assumptions and Catalog'!$C$56,((D188+E188)*C188)*'Assumptions and Catalog'!$H$56+'Assumptions and Catalog'!$E$56+'Assumptions and Catalog'!$F$56,IF(((D188+E188)*C188)&lt;='Assumptions and Catalog'!$C$57,((D188+E188)*C188)*'Assumptions and Catalog'!$H$57+'Assumptions and Catalog'!$E$57+'Assumptions and Catalog'!$F$57,"Out of range")))))))),IF(((D188+E188)*C188)&lt;='Assumptions and Catalog'!$C$60,((D188+E188)*C188)*'Assumptions and Catalog'!$H$60+'Assumptions and Catalog'!$E$60+'Assumptions and Catalog'!$F$60,IF(((D188+E188)*C188)&lt;='Assumptions and Catalog'!$C$61,((D188+E188)*C188)*'Assumptions and Catalog'!$H$61+'Assumptions and Catalog'!$E$61+'Assumptions and Catalog'!$F$61,IF(((D188+E188)*C188)&lt;='Assumptions and Catalog'!$C$62,((D188+E188)*C188)*'Assumptions and Catalog'!$H$62+'Assumptions and Catalog'!$E$62+'Assumptions and Catalog'!$F$62,IF(((D188+E188)*C188)&lt;='Assumptions and Catalog'!$C$63,((D188+E188)*C188)*'Assumptions and Catalog'!$H$63+'Assumptions and Catalog'!$E$63+'Assumptions and Catalog'!$F$63,IF(((D188+E188)*C188)&lt;='Assumptions and Catalog'!$C$64,((D188+E188)*C188)*'Assumptions and Catalog'!$H$64+'Assumptions and Catalog'!$E$64+'Assumptions and Catalog'!$F$64,IF(((D188+E188)*C188)&lt;='Assumptions and Catalog'!$C$65,((D188+E188)*C188)*'Assumptions and Catalog'!$H$65+'Assumptions and Catalog'!$E$65+'Assumptions and Catalog'!$F$65,"Out of range")))))))))*(1+'Assumptions and Catalog'!$C$8)^(A188-1),0)</f>
        <v>6867.22</v>
      </c>
      <c r="N188" s="5" t="n">
        <f>IF(ISNUMBER(Inputs!$L$5),(IF(Inputs!$L$9="Actual flat rate",L188*Inputs!$L$10,IF(Inputs!$C$9="Residential",IF(L188&lt;='Assumptions and Catalog'!$C$50,L188*'Assumptions and Catalog'!$H$50+'Assumptions and Catalog'!$E$50+'Assumptions and Catalog'!$F$50,IF(L188&lt;='Assumptions and Catalog'!$C$51,L188*'Assumptions and Catalog'!$H$51+'Assumptions and Catalog'!$E$51+'Assumptions and Catalog'!$F$51,IF(L188&lt;='Assumptions and Catalog'!$C$52,L188*'Assumptions and Catalog'!$H$52+'Assumptions and Catalog'!$E$52+'Assumptions and Catalog'!$F$52,IF(L188&lt;='Assumptions and Catalog'!$C$53,L188*'Assumptions and Catalog'!$H$53+'Assumptions and Catalog'!$E$53+'Assumptions and Catalog'!$F$53,IF(L188&lt;='Assumptions and Catalog'!$C$54,L188*'Assumptions and Catalog'!$H$54+'Assumptions and Catalog'!$E$54+'Assumptions and Catalog'!$F$54,IF(L188&lt;='Assumptions and Catalog'!$C$55,L188*'Assumptions and Catalog'!$H$55+'Assumptions and Catalog'!$E$55+'Assumptions and Catalog'!$F$55,IF(L188&lt;='Assumptions and Catalog'!$C$56,L188*'Assumptions and Catalog'!$H$56+'Assumptions and Catalog'!$E$56+'Assumptions and Catalog'!$F$56,IF(L188&lt;='Assumptions and Catalog'!$C$57,L188*'Assumptions and Catalog'!$H$57+'Assumptions and Catalog'!$E$57+'Assumptions and Catalog'!$F$57,"Out of range")))))))),IF(L188&lt;='Assumptions and Catalog'!$C$60,L188*'Assumptions and Catalog'!$H$60+'Assumptions and Catalog'!$E$60+'Assumptions and Catalog'!$F$60,IF(L188&lt;='Assumptions and Catalog'!$C$61,L188*'Assumptions and Catalog'!$H$61+'Assumptions and Catalog'!$E$61+'Assumptions and Catalog'!$F$61,IF(L188&lt;='Assumptions and Catalog'!$C$62,L188*'Assumptions and Catalog'!$H$62+'Assumptions and Catalog'!$E$62+'Assumptions and Catalog'!$F$62,IF(L188&lt;='Assumptions and Catalog'!$C$63,L188*'Assumptions and Catalog'!$H$63+'Assumptions and Catalog'!$E$63+'Assumptions and Catalog'!$F$63,IF(L188&lt;='Assumptions and Catalog'!$C$64,L188*'Assumptions and Catalog'!$H$64+'Assumptions and Catalog'!$E$64+'Assumptions and Catalog'!$F$64,IF(L188&lt;='Assumptions and Catalog'!$C$65,L188*'Assumptions and Catalog'!$H$65+'Assumptions and Catalog'!$E$65+'Assumptions and Catalog'!$F$65,"Out of range")))))))))*(1+'Assumptions and Catalog'!$C$8)^(A188-1),0)</f>
        <v>3453.61</v>
      </c>
      <c r="O188" s="5" t="n">
        <f>M188-N188</f>
        <v>3413.61</v>
      </c>
      <c r="P188" s="5" t="n">
        <f>C$55*(1-J$14)*(1-'Assumptions and Catalog'!$C$23)^R188</f>
        <v>0</v>
      </c>
      <c r="Q188" s="5" t="n">
        <f>IF(ISNUMBER(Inputs!$L$5),(IF(Inputs!$L$9="Actual flat rate",((D188+E188)*C188-G188)*Inputs!$L$10,IF(Inputs!$C$9="Residential",IF(((D188+E188)*C188-G188)&lt;='Assumptions and Catalog'!$C$50,((D188+E188)*C188-G188)*'Assumptions and Catalog'!$H$50+'Assumptions and Catalog'!$E$50+'Assumptions and Catalog'!$F$50,IF(((D188+E188)*C188-G188)&lt;='Assumptions and Catalog'!$C$51,((D188+E188)*C188-G188)*'Assumptions and Catalog'!$H$51+'Assumptions and Catalog'!$E$51+'Assumptions and Catalog'!$F$51,IF(((D188+E188)*C188-G188)&lt;='Assumptions and Catalog'!$C$52,((D188+E188)*C188-G188)*'Assumptions and Catalog'!$H$52+'Assumptions and Catalog'!$E$52+'Assumptions and Catalog'!$F$52,IF(((D188+E188)*C188-G188)&lt;='Assumptions and Catalog'!$C$53,((D188+E188)*C188-G188)*'Assumptions and Catalog'!$H$53+'Assumptions and Catalog'!$E$53+'Assumptions and Catalog'!$F$53,IF(((D188+E188)*C188-G188)&lt;='Assumptions and Catalog'!$C$54,((D188+E188)*C188-G188)*'Assumptions and Catalog'!$H$54+'Assumptions and Catalog'!$E$54+'Assumptions and Catalog'!$F$54,IF(((D188+E188)*C188-G188)&lt;='Assumptions and Catalog'!$C$55,((D188+E188)*C188-G188)*'Assumptions and Catalog'!$H$55+'Assumptions and Catalog'!$E$55+'Assumptions and Catalog'!$F$55,IF(((D188+E188)*C188-G188)&lt;='Assumptions and Catalog'!$C$56,((D188+E188)*C188-G188)*'Assumptions and Catalog'!$H$56+'Assumptions and Catalog'!$E$56+'Assumptions and Catalog'!$F$56,IF(((D188+E188)*C188-G188)&lt;='Assumptions and Catalog'!$C$57,((D188+E188)*C188-G188)*'Assumptions and Catalog'!$H$57+'Assumptions and Catalog'!$E$57+'Assumptions and Catalog'!$F$57,"Out of range")))))))),IF(((D188+E188)*C188-G188)&lt;='Assumptions and Catalog'!$C$60,((D188+E188)*C188-G188)*'Assumptions and Catalog'!$H$60+'Assumptions and Catalog'!$E$60+'Assumptions and Catalog'!$F$60,IF(((D188+E188)*C188-G188)&lt;='Assumptions and Catalog'!$C$61,((D188+E188)*C188-G188)*'Assumptions and Catalog'!$H$61+'Assumptions and Catalog'!$E$61+'Assumptions and Catalog'!$F$61,IF(((D188+E188)*C188-G188)&lt;='Assumptions and Catalog'!$C$62,((D188+E188)*C188-G188)*'Assumptions and Catalog'!$H$62+'Assumptions and Catalog'!$E$62+'Assumptions and Catalog'!$F$62,IF(((D188+E188)*C188-G188)&lt;='Assumptions and Catalog'!$C$63,((D188+E188)*C188-G188)*'Assumptions and Catalog'!$H$63+'Assumptions and Catalog'!$E$63+'Assumptions and Catalog'!$F$63,IF(((D188+E188)*C188-G188)&lt;='Assumptions and Catalog'!$C$64,((D188+E188)*C188-G188)*'Assumptions and Catalog'!$H$64+'Assumptions and Catalog'!$E$64+'Assumptions and Catalog'!$F$64,IF(((D188+E188)*C188-G188)&lt;='Assumptions and Catalog'!$C$65,((D188+E188)*C188-G188)*'Assumptions and Catalog'!$H$65+'Assumptions and Catalog'!$E$65+'Assumptions and Catalog'!$F$65,"Out of range")))))))))*(1+'Assumptions and Catalog'!$C$8)^(A188-1),0)</f>
        <v>3453.61</v>
      </c>
      <c r="R188" s="5" t="n">
        <f>IF(AND('Assumptions and Catalog'!$C$19&gt;0,A188&gt;='Assumptions and Catalog'!$C$19),A188-'Assumptions and Catalog'!$C$19,A188-1)</f>
        <v>2</v>
      </c>
      <c r="S188" s="5" t="n">
        <f>F188+L188-(D188+E188)*C188-J188-K188-0</f>
        <v>0</v>
      </c>
      <c r="T188" s="5"/>
      <c r="U188" s="5"/>
    </row>
    <row r="189" ht="23.100000381469727" customHeight="1">
      <c r="A189" s="5" t="n">
        <v>3</v>
      </c>
      <c r="B189" s="5" t="n">
        <v>5</v>
      </c>
      <c r="C189" s="5" t="n">
        <f>DAY(DATE('Assumptions and Catalog'!$C$24+A189-1,B189+1,0))</f>
        <v>31</v>
      </c>
      <c r="D189" s="5" t="n">
        <f>IF(ISNUMBER(Inputs!$L$5),Inputs!$L$5*Inputs!$L$6,0)</f>
        <v>40.35</v>
      </c>
      <c r="E189" s="5" t="n">
        <f>IF(ISNUMBER(Inputs!$L$5),Inputs!$L$5-D189,0)</f>
        <v>40.35</v>
      </c>
      <c r="F189" s="5" t="n">
        <f>C$51*INDEX('Solar Production'!$D$20:$D$31,B189)*C189*(1-'Assumptions and Catalog'!$C$10)^(A189-1)</f>
        <v>1417.6524384</v>
      </c>
      <c r="G189" s="5" t="n">
        <f>MIN(F189,D189*C189)</f>
        <v>1250.85</v>
      </c>
      <c r="H189" s="5" t="n">
        <f>I189/('Assumptions and Catalog'!$C$11*'Assumptions and Catalog'!$C$12)</f>
        <v>0</v>
      </c>
      <c r="I189" s="5" t="n">
        <f>0</f>
        <v>0</v>
      </c>
      <c r="J189" s="5" t="n">
        <f>MAX(F189-G189-H189,0)</f>
        <v>166.8024384</v>
      </c>
      <c r="K189" s="5" t="n">
        <f>H189-I189</f>
        <v>0</v>
      </c>
      <c r="L189" s="5" t="n">
        <f>(D189+E189)*C189-G189-I189+0+0</f>
        <v>1250.85</v>
      </c>
      <c r="M189" s="5" t="n">
        <f>IF(ISNUMBER(Inputs!$L$5),(IF(Inputs!$L$9="Actual flat rate",((D189+E189)*C189)*Inputs!$L$10,IF(Inputs!$C$9="Residential",IF(((D189+E189)*C189)&lt;='Assumptions and Catalog'!$C$50,((D189+E189)*C189)*'Assumptions and Catalog'!$H$50+'Assumptions and Catalog'!$E$50+'Assumptions and Catalog'!$F$50,IF(((D189+E189)*C189)&lt;='Assumptions and Catalog'!$C$51,((D189+E189)*C189)*'Assumptions and Catalog'!$H$51+'Assumptions and Catalog'!$E$51+'Assumptions and Catalog'!$F$51,IF(((D189+E189)*C189)&lt;='Assumptions and Catalog'!$C$52,((D189+E189)*C189)*'Assumptions and Catalog'!$H$52+'Assumptions and Catalog'!$E$52+'Assumptions and Catalog'!$F$52,IF(((D189+E189)*C189)&lt;='Assumptions and Catalog'!$C$53,((D189+E189)*C189)*'Assumptions and Catalog'!$H$53+'Assumptions and Catalog'!$E$53+'Assumptions and Catalog'!$F$53,IF(((D189+E189)*C189)&lt;='Assumptions and Catalog'!$C$54,((D189+E189)*C189)*'Assumptions and Catalog'!$H$54+'Assumptions and Catalog'!$E$54+'Assumptions and Catalog'!$F$54,IF(((D189+E189)*C189)&lt;='Assumptions and Catalog'!$C$55,((D189+E189)*C189)*'Assumptions and Catalog'!$H$55+'Assumptions and Catalog'!$E$55+'Assumptions and Catalog'!$F$55,IF(((D189+E189)*C189)&lt;='Assumptions and Catalog'!$C$56,((D189+E189)*C189)*'Assumptions and Catalog'!$H$56+'Assumptions and Catalog'!$E$56+'Assumptions and Catalog'!$F$56,IF(((D189+E189)*C189)&lt;='Assumptions and Catalog'!$C$57,((D189+E189)*C189)*'Assumptions and Catalog'!$H$57+'Assumptions and Catalog'!$E$57+'Assumptions and Catalog'!$F$57,"Out of range")))))))),IF(((D189+E189)*C189)&lt;='Assumptions and Catalog'!$C$60,((D189+E189)*C189)*'Assumptions and Catalog'!$H$60+'Assumptions and Catalog'!$E$60+'Assumptions and Catalog'!$F$60,IF(((D189+E189)*C189)&lt;='Assumptions and Catalog'!$C$61,((D189+E189)*C189)*'Assumptions and Catalog'!$H$61+'Assumptions and Catalog'!$E$61+'Assumptions and Catalog'!$F$61,IF(((D189+E189)*C189)&lt;='Assumptions and Catalog'!$C$62,((D189+E189)*C189)*'Assumptions and Catalog'!$H$62+'Assumptions and Catalog'!$E$62+'Assumptions and Catalog'!$F$62,IF(((D189+E189)*C189)&lt;='Assumptions and Catalog'!$C$63,((D189+E189)*C189)*'Assumptions and Catalog'!$H$63+'Assumptions and Catalog'!$E$63+'Assumptions and Catalog'!$F$63,IF(((D189+E189)*C189)&lt;='Assumptions and Catalog'!$C$64,((D189+E189)*C189)*'Assumptions and Catalog'!$H$64+'Assumptions and Catalog'!$E$64+'Assumptions and Catalog'!$F$64,IF(((D189+E189)*C189)&lt;='Assumptions and Catalog'!$C$65,((D189+E189)*C189)*'Assumptions and Catalog'!$H$65+'Assumptions and Catalog'!$E$65+'Assumptions and Catalog'!$F$65,"Out of range")))))))))*(1+'Assumptions and Catalog'!$C$8)^(A189-1),0)</f>
        <v>7094.794</v>
      </c>
      <c r="N189" s="5" t="n">
        <f>IF(ISNUMBER(Inputs!$L$5),(IF(Inputs!$L$9="Actual flat rate",L189*Inputs!$L$10,IF(Inputs!$C$9="Residential",IF(L189&lt;='Assumptions and Catalog'!$C$50,L189*'Assumptions and Catalog'!$H$50+'Assumptions and Catalog'!$E$50+'Assumptions and Catalog'!$F$50,IF(L189&lt;='Assumptions and Catalog'!$C$51,L189*'Assumptions and Catalog'!$H$51+'Assumptions and Catalog'!$E$51+'Assumptions and Catalog'!$F$51,IF(L189&lt;='Assumptions and Catalog'!$C$52,L189*'Assumptions and Catalog'!$H$52+'Assumptions and Catalog'!$E$52+'Assumptions and Catalog'!$F$52,IF(L189&lt;='Assumptions and Catalog'!$C$53,L189*'Assumptions and Catalog'!$H$53+'Assumptions and Catalog'!$E$53+'Assumptions and Catalog'!$F$53,IF(L189&lt;='Assumptions and Catalog'!$C$54,L189*'Assumptions and Catalog'!$H$54+'Assumptions and Catalog'!$E$54+'Assumptions and Catalog'!$F$54,IF(L189&lt;='Assumptions and Catalog'!$C$55,L189*'Assumptions and Catalog'!$H$55+'Assumptions and Catalog'!$E$55+'Assumptions and Catalog'!$F$55,IF(L189&lt;='Assumptions and Catalog'!$C$56,L189*'Assumptions and Catalog'!$H$56+'Assumptions and Catalog'!$E$56+'Assumptions and Catalog'!$F$56,IF(L189&lt;='Assumptions and Catalog'!$C$57,L189*'Assumptions and Catalog'!$H$57+'Assumptions and Catalog'!$E$57+'Assumptions and Catalog'!$F$57,"Out of range")))))))),IF(L189&lt;='Assumptions and Catalog'!$C$60,L189*'Assumptions and Catalog'!$H$60+'Assumptions and Catalog'!$E$60+'Assumptions and Catalog'!$F$60,IF(L189&lt;='Assumptions and Catalog'!$C$61,L189*'Assumptions and Catalog'!$H$61+'Assumptions and Catalog'!$E$61+'Assumptions and Catalog'!$F$61,IF(L189&lt;='Assumptions and Catalog'!$C$62,L189*'Assumptions and Catalog'!$H$62+'Assumptions and Catalog'!$E$62+'Assumptions and Catalog'!$F$62,IF(L189&lt;='Assumptions and Catalog'!$C$63,L189*'Assumptions and Catalog'!$H$63+'Assumptions and Catalog'!$E$63+'Assumptions and Catalog'!$F$63,IF(L189&lt;='Assumptions and Catalog'!$C$64,L189*'Assumptions and Catalog'!$H$64+'Assumptions and Catalog'!$E$64+'Assumptions and Catalog'!$F$64,IF(L189&lt;='Assumptions and Catalog'!$C$65,L189*'Assumptions and Catalog'!$H$65+'Assumptions and Catalog'!$E$65+'Assumptions and Catalog'!$F$65,"Out of range")))))))))*(1+'Assumptions and Catalog'!$C$8)^(A189-1),0)</f>
        <v>3567.397</v>
      </c>
      <c r="O189" s="5" t="n">
        <f>M189-N189</f>
        <v>3527.397</v>
      </c>
      <c r="P189" s="5" t="n">
        <f>C$55*(1-J$14)*(1-'Assumptions and Catalog'!$C$23)^R189</f>
        <v>0</v>
      </c>
      <c r="Q189" s="5" t="n">
        <f>IF(ISNUMBER(Inputs!$L$5),(IF(Inputs!$L$9="Actual flat rate",((D189+E189)*C189-G189)*Inputs!$L$10,IF(Inputs!$C$9="Residential",IF(((D189+E189)*C189-G189)&lt;='Assumptions and Catalog'!$C$50,((D189+E189)*C189-G189)*'Assumptions and Catalog'!$H$50+'Assumptions and Catalog'!$E$50+'Assumptions and Catalog'!$F$50,IF(((D189+E189)*C189-G189)&lt;='Assumptions and Catalog'!$C$51,((D189+E189)*C189-G189)*'Assumptions and Catalog'!$H$51+'Assumptions and Catalog'!$E$51+'Assumptions and Catalog'!$F$51,IF(((D189+E189)*C189-G189)&lt;='Assumptions and Catalog'!$C$52,((D189+E189)*C189-G189)*'Assumptions and Catalog'!$H$52+'Assumptions and Catalog'!$E$52+'Assumptions and Catalog'!$F$52,IF(((D189+E189)*C189-G189)&lt;='Assumptions and Catalog'!$C$53,((D189+E189)*C189-G189)*'Assumptions and Catalog'!$H$53+'Assumptions and Catalog'!$E$53+'Assumptions and Catalog'!$F$53,IF(((D189+E189)*C189-G189)&lt;='Assumptions and Catalog'!$C$54,((D189+E189)*C189-G189)*'Assumptions and Catalog'!$H$54+'Assumptions and Catalog'!$E$54+'Assumptions and Catalog'!$F$54,IF(((D189+E189)*C189-G189)&lt;='Assumptions and Catalog'!$C$55,((D189+E189)*C189-G189)*'Assumptions and Catalog'!$H$55+'Assumptions and Catalog'!$E$55+'Assumptions and Catalog'!$F$55,IF(((D189+E189)*C189-G189)&lt;='Assumptions and Catalog'!$C$56,((D189+E189)*C189-G189)*'Assumptions and Catalog'!$H$56+'Assumptions and Catalog'!$E$56+'Assumptions and Catalog'!$F$56,IF(((D189+E189)*C189-G189)&lt;='Assumptions and Catalog'!$C$57,((D189+E189)*C189-G189)*'Assumptions and Catalog'!$H$57+'Assumptions and Catalog'!$E$57+'Assumptions and Catalog'!$F$57,"Out of range")))))))),IF(((D189+E189)*C189-G189)&lt;='Assumptions and Catalog'!$C$60,((D189+E189)*C189-G189)*'Assumptions and Catalog'!$H$60+'Assumptions and Catalog'!$E$60+'Assumptions and Catalog'!$F$60,IF(((D189+E189)*C189-G189)&lt;='Assumptions and Catalog'!$C$61,((D189+E189)*C189-G189)*'Assumptions and Catalog'!$H$61+'Assumptions and Catalog'!$E$61+'Assumptions and Catalog'!$F$61,IF(((D189+E189)*C189-G189)&lt;='Assumptions and Catalog'!$C$62,((D189+E189)*C189-G189)*'Assumptions and Catalog'!$H$62+'Assumptions and Catalog'!$E$62+'Assumptions and Catalog'!$F$62,IF(((D189+E189)*C189-G189)&lt;='Assumptions and Catalog'!$C$63,((D189+E189)*C189-G189)*'Assumptions and Catalog'!$H$63+'Assumptions and Catalog'!$E$63+'Assumptions and Catalog'!$F$63,IF(((D189+E189)*C189-G189)&lt;='Assumptions and Catalog'!$C$64,((D189+E189)*C189-G189)*'Assumptions and Catalog'!$H$64+'Assumptions and Catalog'!$E$64+'Assumptions and Catalog'!$F$64,IF(((D189+E189)*C189-G189)&lt;='Assumptions and Catalog'!$C$65,((D189+E189)*C189-G189)*'Assumptions and Catalog'!$H$65+'Assumptions and Catalog'!$E$65+'Assumptions and Catalog'!$F$65,"Out of range")))))))))*(1+'Assumptions and Catalog'!$C$8)^(A189-1),0)</f>
        <v>3567.397</v>
      </c>
      <c r="R189" s="5" t="n">
        <f>IF(AND('Assumptions and Catalog'!$C$19&gt;0,A189&gt;='Assumptions and Catalog'!$C$19),A189-'Assumptions and Catalog'!$C$19,A189-1)</f>
        <v>2</v>
      </c>
      <c r="S189" s="5" t="n">
        <f>F189+L189-(D189+E189)*C189-J189-K189-0</f>
        <v>0</v>
      </c>
      <c r="T189" s="5"/>
      <c r="U189" s="5"/>
    </row>
    <row r="190" ht="23.100000381469727" customHeight="1">
      <c r="A190" s="5" t="n">
        <v>3</v>
      </c>
      <c r="B190" s="5" t="n">
        <v>6</v>
      </c>
      <c r="C190" s="5" t="n">
        <f>DAY(DATE('Assumptions and Catalog'!$C$24+A190-1,B190+1,0))</f>
        <v>30</v>
      </c>
      <c r="D190" s="5" t="n">
        <f>IF(ISNUMBER(Inputs!$L$5),Inputs!$L$5*Inputs!$L$6,0)</f>
        <v>40.35</v>
      </c>
      <c r="E190" s="5" t="n">
        <f>IF(ISNUMBER(Inputs!$L$5),Inputs!$L$5-D190,0)</f>
        <v>40.35</v>
      </c>
      <c r="F190" s="5" t="n">
        <f>C$51*INDEX('Solar Production'!$D$20:$D$31,B190)*C190*(1-'Assumptions and Catalog'!$C$10)^(A190-1)</f>
        <v>1381.9323364</v>
      </c>
      <c r="G190" s="5" t="n">
        <f>MIN(F190,D190*C190)</f>
        <v>1210.5</v>
      </c>
      <c r="H190" s="5" t="n">
        <f>I190/('Assumptions and Catalog'!$C$11*'Assumptions and Catalog'!$C$12)</f>
        <v>0</v>
      </c>
      <c r="I190" s="5" t="n">
        <f>0</f>
        <v>0</v>
      </c>
      <c r="J190" s="5" t="n">
        <f>MAX(F190-G190-H190,0)</f>
        <v>171.4323364</v>
      </c>
      <c r="K190" s="5" t="n">
        <f>H190-I190</f>
        <v>0</v>
      </c>
      <c r="L190" s="5" t="n">
        <f>(D190+E190)*C190-G190-I190+0+0</f>
        <v>1210.5</v>
      </c>
      <c r="M190" s="5" t="n">
        <f>IF(ISNUMBER(Inputs!$L$5),(IF(Inputs!$L$9="Actual flat rate",((D190+E190)*C190)*Inputs!$L$10,IF(Inputs!$C$9="Residential",IF(((D190+E190)*C190)&lt;='Assumptions and Catalog'!$C$50,((D190+E190)*C190)*'Assumptions and Catalog'!$H$50+'Assumptions and Catalog'!$E$50+'Assumptions and Catalog'!$F$50,IF(((D190+E190)*C190)&lt;='Assumptions and Catalog'!$C$51,((D190+E190)*C190)*'Assumptions and Catalog'!$H$51+'Assumptions and Catalog'!$E$51+'Assumptions and Catalog'!$F$51,IF(((D190+E190)*C190)&lt;='Assumptions and Catalog'!$C$52,((D190+E190)*C190)*'Assumptions and Catalog'!$H$52+'Assumptions and Catalog'!$E$52+'Assumptions and Catalog'!$F$52,IF(((D190+E190)*C190)&lt;='Assumptions and Catalog'!$C$53,((D190+E190)*C190)*'Assumptions and Catalog'!$H$53+'Assumptions and Catalog'!$E$53+'Assumptions and Catalog'!$F$53,IF(((D190+E190)*C190)&lt;='Assumptions and Catalog'!$C$54,((D190+E190)*C190)*'Assumptions and Catalog'!$H$54+'Assumptions and Catalog'!$E$54+'Assumptions and Catalog'!$F$54,IF(((D190+E190)*C190)&lt;='Assumptions and Catalog'!$C$55,((D190+E190)*C190)*'Assumptions and Catalog'!$H$55+'Assumptions and Catalog'!$E$55+'Assumptions and Catalog'!$F$55,IF(((D190+E190)*C190)&lt;='Assumptions and Catalog'!$C$56,((D190+E190)*C190)*'Assumptions and Catalog'!$H$56+'Assumptions and Catalog'!$E$56+'Assumptions and Catalog'!$F$56,IF(((D190+E190)*C190)&lt;='Assumptions and Catalog'!$C$57,((D190+E190)*C190)*'Assumptions and Catalog'!$H$57+'Assumptions and Catalog'!$E$57+'Assumptions and Catalog'!$F$57,"Out of range")))))))),IF(((D190+E190)*C190)&lt;='Assumptions and Catalog'!$C$60,((D190+E190)*C190)*'Assumptions and Catalog'!$H$60+'Assumptions and Catalog'!$E$60+'Assumptions and Catalog'!$F$60,IF(((D190+E190)*C190)&lt;='Assumptions and Catalog'!$C$61,((D190+E190)*C190)*'Assumptions and Catalog'!$H$61+'Assumptions and Catalog'!$E$61+'Assumptions and Catalog'!$F$61,IF(((D190+E190)*C190)&lt;='Assumptions and Catalog'!$C$62,((D190+E190)*C190)*'Assumptions and Catalog'!$H$62+'Assumptions and Catalog'!$E$62+'Assumptions and Catalog'!$F$62,IF(((D190+E190)*C190)&lt;='Assumptions and Catalog'!$C$63,((D190+E190)*C190)*'Assumptions and Catalog'!$H$63+'Assumptions and Catalog'!$E$63+'Assumptions and Catalog'!$F$63,IF(((D190+E190)*C190)&lt;='Assumptions and Catalog'!$C$64,((D190+E190)*C190)*'Assumptions and Catalog'!$H$64+'Assumptions and Catalog'!$E$64+'Assumptions and Catalog'!$F$64,IF(((D190+E190)*C190)&lt;='Assumptions and Catalog'!$C$65,((D190+E190)*C190)*'Assumptions and Catalog'!$H$65+'Assumptions and Catalog'!$E$65+'Assumptions and Catalog'!$F$65,"Out of range")))))))))*(1+'Assumptions and Catalog'!$C$8)^(A190-1),0)</f>
        <v>6867.22</v>
      </c>
      <c r="N190" s="5" t="n">
        <f>IF(ISNUMBER(Inputs!$L$5),(IF(Inputs!$L$9="Actual flat rate",L190*Inputs!$L$10,IF(Inputs!$C$9="Residential",IF(L190&lt;='Assumptions and Catalog'!$C$50,L190*'Assumptions and Catalog'!$H$50+'Assumptions and Catalog'!$E$50+'Assumptions and Catalog'!$F$50,IF(L190&lt;='Assumptions and Catalog'!$C$51,L190*'Assumptions and Catalog'!$H$51+'Assumptions and Catalog'!$E$51+'Assumptions and Catalog'!$F$51,IF(L190&lt;='Assumptions and Catalog'!$C$52,L190*'Assumptions and Catalog'!$H$52+'Assumptions and Catalog'!$E$52+'Assumptions and Catalog'!$F$52,IF(L190&lt;='Assumptions and Catalog'!$C$53,L190*'Assumptions and Catalog'!$H$53+'Assumptions and Catalog'!$E$53+'Assumptions and Catalog'!$F$53,IF(L190&lt;='Assumptions and Catalog'!$C$54,L190*'Assumptions and Catalog'!$H$54+'Assumptions and Catalog'!$E$54+'Assumptions and Catalog'!$F$54,IF(L190&lt;='Assumptions and Catalog'!$C$55,L190*'Assumptions and Catalog'!$H$55+'Assumptions and Catalog'!$E$55+'Assumptions and Catalog'!$F$55,IF(L190&lt;='Assumptions and Catalog'!$C$56,L190*'Assumptions and Catalog'!$H$56+'Assumptions and Catalog'!$E$56+'Assumptions and Catalog'!$F$56,IF(L190&lt;='Assumptions and Catalog'!$C$57,L190*'Assumptions and Catalog'!$H$57+'Assumptions and Catalog'!$E$57+'Assumptions and Catalog'!$F$57,"Out of range")))))))),IF(L190&lt;='Assumptions and Catalog'!$C$60,L190*'Assumptions and Catalog'!$H$60+'Assumptions and Catalog'!$E$60+'Assumptions and Catalog'!$F$60,IF(L190&lt;='Assumptions and Catalog'!$C$61,L190*'Assumptions and Catalog'!$H$61+'Assumptions and Catalog'!$E$61+'Assumptions and Catalog'!$F$61,IF(L190&lt;='Assumptions and Catalog'!$C$62,L190*'Assumptions and Catalog'!$H$62+'Assumptions and Catalog'!$E$62+'Assumptions and Catalog'!$F$62,IF(L190&lt;='Assumptions and Catalog'!$C$63,L190*'Assumptions and Catalog'!$H$63+'Assumptions and Catalog'!$E$63+'Assumptions and Catalog'!$F$63,IF(L190&lt;='Assumptions and Catalog'!$C$64,L190*'Assumptions and Catalog'!$H$64+'Assumptions and Catalog'!$E$64+'Assumptions and Catalog'!$F$64,IF(L190&lt;='Assumptions and Catalog'!$C$65,L190*'Assumptions and Catalog'!$H$65+'Assumptions and Catalog'!$E$65+'Assumptions and Catalog'!$F$65,"Out of range")))))))))*(1+'Assumptions and Catalog'!$C$8)^(A190-1),0)</f>
        <v>3453.61</v>
      </c>
      <c r="O190" s="5" t="n">
        <f>M190-N190</f>
        <v>3413.61</v>
      </c>
      <c r="P190" s="5" t="n">
        <f>C$55*(1-J$14)*(1-'Assumptions and Catalog'!$C$23)^R190</f>
        <v>0</v>
      </c>
      <c r="Q190" s="5" t="n">
        <f>IF(ISNUMBER(Inputs!$L$5),(IF(Inputs!$L$9="Actual flat rate",((D190+E190)*C190-G190)*Inputs!$L$10,IF(Inputs!$C$9="Residential",IF(((D190+E190)*C190-G190)&lt;='Assumptions and Catalog'!$C$50,((D190+E190)*C190-G190)*'Assumptions and Catalog'!$H$50+'Assumptions and Catalog'!$E$50+'Assumptions and Catalog'!$F$50,IF(((D190+E190)*C190-G190)&lt;='Assumptions and Catalog'!$C$51,((D190+E190)*C190-G190)*'Assumptions and Catalog'!$H$51+'Assumptions and Catalog'!$E$51+'Assumptions and Catalog'!$F$51,IF(((D190+E190)*C190-G190)&lt;='Assumptions and Catalog'!$C$52,((D190+E190)*C190-G190)*'Assumptions and Catalog'!$H$52+'Assumptions and Catalog'!$E$52+'Assumptions and Catalog'!$F$52,IF(((D190+E190)*C190-G190)&lt;='Assumptions and Catalog'!$C$53,((D190+E190)*C190-G190)*'Assumptions and Catalog'!$H$53+'Assumptions and Catalog'!$E$53+'Assumptions and Catalog'!$F$53,IF(((D190+E190)*C190-G190)&lt;='Assumptions and Catalog'!$C$54,((D190+E190)*C190-G190)*'Assumptions and Catalog'!$H$54+'Assumptions and Catalog'!$E$54+'Assumptions and Catalog'!$F$54,IF(((D190+E190)*C190-G190)&lt;='Assumptions and Catalog'!$C$55,((D190+E190)*C190-G190)*'Assumptions and Catalog'!$H$55+'Assumptions and Catalog'!$E$55+'Assumptions and Catalog'!$F$55,IF(((D190+E190)*C190-G190)&lt;='Assumptions and Catalog'!$C$56,((D190+E190)*C190-G190)*'Assumptions and Catalog'!$H$56+'Assumptions and Catalog'!$E$56+'Assumptions and Catalog'!$F$56,IF(((D190+E190)*C190-G190)&lt;='Assumptions and Catalog'!$C$57,((D190+E190)*C190-G190)*'Assumptions and Catalog'!$H$57+'Assumptions and Catalog'!$E$57+'Assumptions and Catalog'!$F$57,"Out of range")))))))),IF(((D190+E190)*C190-G190)&lt;='Assumptions and Catalog'!$C$60,((D190+E190)*C190-G190)*'Assumptions and Catalog'!$H$60+'Assumptions and Catalog'!$E$60+'Assumptions and Catalog'!$F$60,IF(((D190+E190)*C190-G190)&lt;='Assumptions and Catalog'!$C$61,((D190+E190)*C190-G190)*'Assumptions and Catalog'!$H$61+'Assumptions and Catalog'!$E$61+'Assumptions and Catalog'!$F$61,IF(((D190+E190)*C190-G190)&lt;='Assumptions and Catalog'!$C$62,((D190+E190)*C190-G190)*'Assumptions and Catalog'!$H$62+'Assumptions and Catalog'!$E$62+'Assumptions and Catalog'!$F$62,IF(((D190+E190)*C190-G190)&lt;='Assumptions and Catalog'!$C$63,((D190+E190)*C190-G190)*'Assumptions and Catalog'!$H$63+'Assumptions and Catalog'!$E$63+'Assumptions and Catalog'!$F$63,IF(((D190+E190)*C190-G190)&lt;='Assumptions and Catalog'!$C$64,((D190+E190)*C190-G190)*'Assumptions and Catalog'!$H$64+'Assumptions and Catalog'!$E$64+'Assumptions and Catalog'!$F$64,IF(((D190+E190)*C190-G190)&lt;='Assumptions and Catalog'!$C$65,((D190+E190)*C190-G190)*'Assumptions and Catalog'!$H$65+'Assumptions and Catalog'!$E$65+'Assumptions and Catalog'!$F$65,"Out of range")))))))))*(1+'Assumptions and Catalog'!$C$8)^(A190-1),0)</f>
        <v>3453.61</v>
      </c>
      <c r="R190" s="5" t="n">
        <f>IF(AND('Assumptions and Catalog'!$C$19&gt;0,A190&gt;='Assumptions and Catalog'!$C$19),A190-'Assumptions and Catalog'!$C$19,A190-1)</f>
        <v>2</v>
      </c>
      <c r="S190" s="5" t="n">
        <f>F190+L190-(D190+E190)*C190-J190-K190-0</f>
        <v>0</v>
      </c>
      <c r="T190" s="5"/>
      <c r="U190" s="5"/>
    </row>
    <row r="191" ht="23.100000381469727" customHeight="1">
      <c r="A191" s="5" t="n">
        <v>3</v>
      </c>
      <c r="B191" s="5" t="n">
        <v>7</v>
      </c>
      <c r="C191" s="5" t="n">
        <f>DAY(DATE('Assumptions and Catalog'!$C$24+A191-1,B191+1,0))</f>
        <v>31</v>
      </c>
      <c r="D191" s="5" t="n">
        <f>IF(ISNUMBER(Inputs!$L$5),Inputs!$L$5*Inputs!$L$6,0)</f>
        <v>40.35</v>
      </c>
      <c r="E191" s="5" t="n">
        <f>IF(ISNUMBER(Inputs!$L$5),Inputs!$L$5-D191,0)</f>
        <v>40.35</v>
      </c>
      <c r="F191" s="5" t="n">
        <f>C$51*INDEX('Solar Production'!$D$20:$D$31,B191)*C191*(1-'Assumptions and Catalog'!$C$10)^(A191-1)</f>
        <v>1434.5541452</v>
      </c>
      <c r="G191" s="5" t="n">
        <f>MIN(F191,D191*C191)</f>
        <v>1250.85</v>
      </c>
      <c r="H191" s="5" t="n">
        <f>I191/('Assumptions and Catalog'!$C$11*'Assumptions and Catalog'!$C$12)</f>
        <v>0</v>
      </c>
      <c r="I191" s="5" t="n">
        <f>0</f>
        <v>0</v>
      </c>
      <c r="J191" s="5" t="n">
        <f>MAX(F191-G191-H191,0)</f>
        <v>183.7041452</v>
      </c>
      <c r="K191" s="5" t="n">
        <f>H191-I191</f>
        <v>0</v>
      </c>
      <c r="L191" s="5" t="n">
        <f>(D191+E191)*C191-G191-I191+0+0</f>
        <v>1250.85</v>
      </c>
      <c r="M191" s="5" t="n">
        <f>IF(ISNUMBER(Inputs!$L$5),(IF(Inputs!$L$9="Actual flat rate",((D191+E191)*C191)*Inputs!$L$10,IF(Inputs!$C$9="Residential",IF(((D191+E191)*C191)&lt;='Assumptions and Catalog'!$C$50,((D191+E191)*C191)*'Assumptions and Catalog'!$H$50+'Assumptions and Catalog'!$E$50+'Assumptions and Catalog'!$F$50,IF(((D191+E191)*C191)&lt;='Assumptions and Catalog'!$C$51,((D191+E191)*C191)*'Assumptions and Catalog'!$H$51+'Assumptions and Catalog'!$E$51+'Assumptions and Catalog'!$F$51,IF(((D191+E191)*C191)&lt;='Assumptions and Catalog'!$C$52,((D191+E191)*C191)*'Assumptions and Catalog'!$H$52+'Assumptions and Catalog'!$E$52+'Assumptions and Catalog'!$F$52,IF(((D191+E191)*C191)&lt;='Assumptions and Catalog'!$C$53,((D191+E191)*C191)*'Assumptions and Catalog'!$H$53+'Assumptions and Catalog'!$E$53+'Assumptions and Catalog'!$F$53,IF(((D191+E191)*C191)&lt;='Assumptions and Catalog'!$C$54,((D191+E191)*C191)*'Assumptions and Catalog'!$H$54+'Assumptions and Catalog'!$E$54+'Assumptions and Catalog'!$F$54,IF(((D191+E191)*C191)&lt;='Assumptions and Catalog'!$C$55,((D191+E191)*C191)*'Assumptions and Catalog'!$H$55+'Assumptions and Catalog'!$E$55+'Assumptions and Catalog'!$F$55,IF(((D191+E191)*C191)&lt;='Assumptions and Catalog'!$C$56,((D191+E191)*C191)*'Assumptions and Catalog'!$H$56+'Assumptions and Catalog'!$E$56+'Assumptions and Catalog'!$F$56,IF(((D191+E191)*C191)&lt;='Assumptions and Catalog'!$C$57,((D191+E191)*C191)*'Assumptions and Catalog'!$H$57+'Assumptions and Catalog'!$E$57+'Assumptions and Catalog'!$F$57,"Out of range")))))))),IF(((D191+E191)*C191)&lt;='Assumptions and Catalog'!$C$60,((D191+E191)*C191)*'Assumptions and Catalog'!$H$60+'Assumptions and Catalog'!$E$60+'Assumptions and Catalog'!$F$60,IF(((D191+E191)*C191)&lt;='Assumptions and Catalog'!$C$61,((D191+E191)*C191)*'Assumptions and Catalog'!$H$61+'Assumptions and Catalog'!$E$61+'Assumptions and Catalog'!$F$61,IF(((D191+E191)*C191)&lt;='Assumptions and Catalog'!$C$62,((D191+E191)*C191)*'Assumptions and Catalog'!$H$62+'Assumptions and Catalog'!$E$62+'Assumptions and Catalog'!$F$62,IF(((D191+E191)*C191)&lt;='Assumptions and Catalog'!$C$63,((D191+E191)*C191)*'Assumptions and Catalog'!$H$63+'Assumptions and Catalog'!$E$63+'Assumptions and Catalog'!$F$63,IF(((D191+E191)*C191)&lt;='Assumptions and Catalog'!$C$64,((D191+E191)*C191)*'Assumptions and Catalog'!$H$64+'Assumptions and Catalog'!$E$64+'Assumptions and Catalog'!$F$64,IF(((D191+E191)*C191)&lt;='Assumptions and Catalog'!$C$65,((D191+E191)*C191)*'Assumptions and Catalog'!$H$65+'Assumptions and Catalog'!$E$65+'Assumptions and Catalog'!$F$65,"Out of range")))))))))*(1+'Assumptions and Catalog'!$C$8)^(A191-1),0)</f>
        <v>7094.794</v>
      </c>
      <c r="N191" s="5" t="n">
        <f>IF(ISNUMBER(Inputs!$L$5),(IF(Inputs!$L$9="Actual flat rate",L191*Inputs!$L$10,IF(Inputs!$C$9="Residential",IF(L191&lt;='Assumptions and Catalog'!$C$50,L191*'Assumptions and Catalog'!$H$50+'Assumptions and Catalog'!$E$50+'Assumptions and Catalog'!$F$50,IF(L191&lt;='Assumptions and Catalog'!$C$51,L191*'Assumptions and Catalog'!$H$51+'Assumptions and Catalog'!$E$51+'Assumptions and Catalog'!$F$51,IF(L191&lt;='Assumptions and Catalog'!$C$52,L191*'Assumptions and Catalog'!$H$52+'Assumptions and Catalog'!$E$52+'Assumptions and Catalog'!$F$52,IF(L191&lt;='Assumptions and Catalog'!$C$53,L191*'Assumptions and Catalog'!$H$53+'Assumptions and Catalog'!$E$53+'Assumptions and Catalog'!$F$53,IF(L191&lt;='Assumptions and Catalog'!$C$54,L191*'Assumptions and Catalog'!$H$54+'Assumptions and Catalog'!$E$54+'Assumptions and Catalog'!$F$54,IF(L191&lt;='Assumptions and Catalog'!$C$55,L191*'Assumptions and Catalog'!$H$55+'Assumptions and Catalog'!$E$55+'Assumptions and Catalog'!$F$55,IF(L191&lt;='Assumptions and Catalog'!$C$56,L191*'Assumptions and Catalog'!$H$56+'Assumptions and Catalog'!$E$56+'Assumptions and Catalog'!$F$56,IF(L191&lt;='Assumptions and Catalog'!$C$57,L191*'Assumptions and Catalog'!$H$57+'Assumptions and Catalog'!$E$57+'Assumptions and Catalog'!$F$57,"Out of range")))))))),IF(L191&lt;='Assumptions and Catalog'!$C$60,L191*'Assumptions and Catalog'!$H$60+'Assumptions and Catalog'!$E$60+'Assumptions and Catalog'!$F$60,IF(L191&lt;='Assumptions and Catalog'!$C$61,L191*'Assumptions and Catalog'!$H$61+'Assumptions and Catalog'!$E$61+'Assumptions and Catalog'!$F$61,IF(L191&lt;='Assumptions and Catalog'!$C$62,L191*'Assumptions and Catalog'!$H$62+'Assumptions and Catalog'!$E$62+'Assumptions and Catalog'!$F$62,IF(L191&lt;='Assumptions and Catalog'!$C$63,L191*'Assumptions and Catalog'!$H$63+'Assumptions and Catalog'!$E$63+'Assumptions and Catalog'!$F$63,IF(L191&lt;='Assumptions and Catalog'!$C$64,L191*'Assumptions and Catalog'!$H$64+'Assumptions and Catalog'!$E$64+'Assumptions and Catalog'!$F$64,IF(L191&lt;='Assumptions and Catalog'!$C$65,L191*'Assumptions and Catalog'!$H$65+'Assumptions and Catalog'!$E$65+'Assumptions and Catalog'!$F$65,"Out of range")))))))))*(1+'Assumptions and Catalog'!$C$8)^(A191-1),0)</f>
        <v>3567.397</v>
      </c>
      <c r="O191" s="5" t="n">
        <f>M191-N191</f>
        <v>3527.397</v>
      </c>
      <c r="P191" s="5" t="n">
        <f>C$55*(1-J$14)*(1-'Assumptions and Catalog'!$C$23)^R191</f>
        <v>0</v>
      </c>
      <c r="Q191" s="5" t="n">
        <f>IF(ISNUMBER(Inputs!$L$5),(IF(Inputs!$L$9="Actual flat rate",((D191+E191)*C191-G191)*Inputs!$L$10,IF(Inputs!$C$9="Residential",IF(((D191+E191)*C191-G191)&lt;='Assumptions and Catalog'!$C$50,((D191+E191)*C191-G191)*'Assumptions and Catalog'!$H$50+'Assumptions and Catalog'!$E$50+'Assumptions and Catalog'!$F$50,IF(((D191+E191)*C191-G191)&lt;='Assumptions and Catalog'!$C$51,((D191+E191)*C191-G191)*'Assumptions and Catalog'!$H$51+'Assumptions and Catalog'!$E$51+'Assumptions and Catalog'!$F$51,IF(((D191+E191)*C191-G191)&lt;='Assumptions and Catalog'!$C$52,((D191+E191)*C191-G191)*'Assumptions and Catalog'!$H$52+'Assumptions and Catalog'!$E$52+'Assumptions and Catalog'!$F$52,IF(((D191+E191)*C191-G191)&lt;='Assumptions and Catalog'!$C$53,((D191+E191)*C191-G191)*'Assumptions and Catalog'!$H$53+'Assumptions and Catalog'!$E$53+'Assumptions and Catalog'!$F$53,IF(((D191+E191)*C191-G191)&lt;='Assumptions and Catalog'!$C$54,((D191+E191)*C191-G191)*'Assumptions and Catalog'!$H$54+'Assumptions and Catalog'!$E$54+'Assumptions and Catalog'!$F$54,IF(((D191+E191)*C191-G191)&lt;='Assumptions and Catalog'!$C$55,((D191+E191)*C191-G191)*'Assumptions and Catalog'!$H$55+'Assumptions and Catalog'!$E$55+'Assumptions and Catalog'!$F$55,IF(((D191+E191)*C191-G191)&lt;='Assumptions and Catalog'!$C$56,((D191+E191)*C191-G191)*'Assumptions and Catalog'!$H$56+'Assumptions and Catalog'!$E$56+'Assumptions and Catalog'!$F$56,IF(((D191+E191)*C191-G191)&lt;='Assumptions and Catalog'!$C$57,((D191+E191)*C191-G191)*'Assumptions and Catalog'!$H$57+'Assumptions and Catalog'!$E$57+'Assumptions and Catalog'!$F$57,"Out of range")))))))),IF(((D191+E191)*C191-G191)&lt;='Assumptions and Catalog'!$C$60,((D191+E191)*C191-G191)*'Assumptions and Catalog'!$H$60+'Assumptions and Catalog'!$E$60+'Assumptions and Catalog'!$F$60,IF(((D191+E191)*C191-G191)&lt;='Assumptions and Catalog'!$C$61,((D191+E191)*C191-G191)*'Assumptions and Catalog'!$H$61+'Assumptions and Catalog'!$E$61+'Assumptions and Catalog'!$F$61,IF(((D191+E191)*C191-G191)&lt;='Assumptions and Catalog'!$C$62,((D191+E191)*C191-G191)*'Assumptions and Catalog'!$H$62+'Assumptions and Catalog'!$E$62+'Assumptions and Catalog'!$F$62,IF(((D191+E191)*C191-G191)&lt;='Assumptions and Catalog'!$C$63,((D191+E191)*C191-G191)*'Assumptions and Catalog'!$H$63+'Assumptions and Catalog'!$E$63+'Assumptions and Catalog'!$F$63,IF(((D191+E191)*C191-G191)&lt;='Assumptions and Catalog'!$C$64,((D191+E191)*C191-G191)*'Assumptions and Catalog'!$H$64+'Assumptions and Catalog'!$E$64+'Assumptions and Catalog'!$F$64,IF(((D191+E191)*C191-G191)&lt;='Assumptions and Catalog'!$C$65,((D191+E191)*C191-G191)*'Assumptions and Catalog'!$H$65+'Assumptions and Catalog'!$E$65+'Assumptions and Catalog'!$F$65,"Out of range")))))))))*(1+'Assumptions and Catalog'!$C$8)^(A191-1),0)</f>
        <v>3567.397</v>
      </c>
      <c r="R191" s="5" t="n">
        <f>IF(AND('Assumptions and Catalog'!$C$19&gt;0,A191&gt;='Assumptions and Catalog'!$C$19),A191-'Assumptions and Catalog'!$C$19,A191-1)</f>
        <v>2</v>
      </c>
      <c r="S191" s="5" t="n">
        <f>F191+L191-(D191+E191)*C191-J191-K191-0</f>
        <v>0</v>
      </c>
      <c r="T191" s="5"/>
      <c r="U191" s="5"/>
    </row>
    <row r="192" ht="23.100000381469727" customHeight="1">
      <c r="A192" s="5" t="n">
        <v>3</v>
      </c>
      <c r="B192" s="5" t="n">
        <v>8</v>
      </c>
      <c r="C192" s="5" t="n">
        <f>DAY(DATE('Assumptions and Catalog'!$C$24+A192-1,B192+1,0))</f>
        <v>31</v>
      </c>
      <c r="D192" s="5" t="n">
        <f>IF(ISNUMBER(Inputs!$L$5),Inputs!$L$5*Inputs!$L$6,0)</f>
        <v>40.35</v>
      </c>
      <c r="E192" s="5" t="n">
        <f>IF(ISNUMBER(Inputs!$L$5),Inputs!$L$5-D192,0)</f>
        <v>40.35</v>
      </c>
      <c r="F192" s="5" t="n">
        <f>C$51*INDEX('Solar Production'!$D$20:$D$31,B192)*C192*(1-'Assumptions and Catalog'!$C$10)^(A192-1)</f>
        <v>1453.198296</v>
      </c>
      <c r="G192" s="5" t="n">
        <f>MIN(F192,D192*C192)</f>
        <v>1250.85</v>
      </c>
      <c r="H192" s="5" t="n">
        <f>I192/('Assumptions and Catalog'!$C$11*'Assumptions and Catalog'!$C$12)</f>
        <v>0</v>
      </c>
      <c r="I192" s="5" t="n">
        <f>0</f>
        <v>0</v>
      </c>
      <c r="J192" s="5" t="n">
        <f>MAX(F192-G192-H192,0)</f>
        <v>202.348296</v>
      </c>
      <c r="K192" s="5" t="n">
        <f>H192-I192</f>
        <v>0</v>
      </c>
      <c r="L192" s="5" t="n">
        <f>(D192+E192)*C192-G192-I192+0+0</f>
        <v>1250.85</v>
      </c>
      <c r="M192" s="5" t="n">
        <f>IF(ISNUMBER(Inputs!$L$5),(IF(Inputs!$L$9="Actual flat rate",((D192+E192)*C192)*Inputs!$L$10,IF(Inputs!$C$9="Residential",IF(((D192+E192)*C192)&lt;='Assumptions and Catalog'!$C$50,((D192+E192)*C192)*'Assumptions and Catalog'!$H$50+'Assumptions and Catalog'!$E$50+'Assumptions and Catalog'!$F$50,IF(((D192+E192)*C192)&lt;='Assumptions and Catalog'!$C$51,((D192+E192)*C192)*'Assumptions and Catalog'!$H$51+'Assumptions and Catalog'!$E$51+'Assumptions and Catalog'!$F$51,IF(((D192+E192)*C192)&lt;='Assumptions and Catalog'!$C$52,((D192+E192)*C192)*'Assumptions and Catalog'!$H$52+'Assumptions and Catalog'!$E$52+'Assumptions and Catalog'!$F$52,IF(((D192+E192)*C192)&lt;='Assumptions and Catalog'!$C$53,((D192+E192)*C192)*'Assumptions and Catalog'!$H$53+'Assumptions and Catalog'!$E$53+'Assumptions and Catalog'!$F$53,IF(((D192+E192)*C192)&lt;='Assumptions and Catalog'!$C$54,((D192+E192)*C192)*'Assumptions and Catalog'!$H$54+'Assumptions and Catalog'!$E$54+'Assumptions and Catalog'!$F$54,IF(((D192+E192)*C192)&lt;='Assumptions and Catalog'!$C$55,((D192+E192)*C192)*'Assumptions and Catalog'!$H$55+'Assumptions and Catalog'!$E$55+'Assumptions and Catalog'!$F$55,IF(((D192+E192)*C192)&lt;='Assumptions and Catalog'!$C$56,((D192+E192)*C192)*'Assumptions and Catalog'!$H$56+'Assumptions and Catalog'!$E$56+'Assumptions and Catalog'!$F$56,IF(((D192+E192)*C192)&lt;='Assumptions and Catalog'!$C$57,((D192+E192)*C192)*'Assumptions and Catalog'!$H$57+'Assumptions and Catalog'!$E$57+'Assumptions and Catalog'!$F$57,"Out of range")))))))),IF(((D192+E192)*C192)&lt;='Assumptions and Catalog'!$C$60,((D192+E192)*C192)*'Assumptions and Catalog'!$H$60+'Assumptions and Catalog'!$E$60+'Assumptions and Catalog'!$F$60,IF(((D192+E192)*C192)&lt;='Assumptions and Catalog'!$C$61,((D192+E192)*C192)*'Assumptions and Catalog'!$H$61+'Assumptions and Catalog'!$E$61+'Assumptions and Catalog'!$F$61,IF(((D192+E192)*C192)&lt;='Assumptions and Catalog'!$C$62,((D192+E192)*C192)*'Assumptions and Catalog'!$H$62+'Assumptions and Catalog'!$E$62+'Assumptions and Catalog'!$F$62,IF(((D192+E192)*C192)&lt;='Assumptions and Catalog'!$C$63,((D192+E192)*C192)*'Assumptions and Catalog'!$H$63+'Assumptions and Catalog'!$E$63+'Assumptions and Catalog'!$F$63,IF(((D192+E192)*C192)&lt;='Assumptions and Catalog'!$C$64,((D192+E192)*C192)*'Assumptions and Catalog'!$H$64+'Assumptions and Catalog'!$E$64+'Assumptions and Catalog'!$F$64,IF(((D192+E192)*C192)&lt;='Assumptions and Catalog'!$C$65,((D192+E192)*C192)*'Assumptions and Catalog'!$H$65+'Assumptions and Catalog'!$E$65+'Assumptions and Catalog'!$F$65,"Out of range")))))))))*(1+'Assumptions and Catalog'!$C$8)^(A192-1),0)</f>
        <v>7094.794</v>
      </c>
      <c r="N192" s="5" t="n">
        <f>IF(ISNUMBER(Inputs!$L$5),(IF(Inputs!$L$9="Actual flat rate",L192*Inputs!$L$10,IF(Inputs!$C$9="Residential",IF(L192&lt;='Assumptions and Catalog'!$C$50,L192*'Assumptions and Catalog'!$H$50+'Assumptions and Catalog'!$E$50+'Assumptions and Catalog'!$F$50,IF(L192&lt;='Assumptions and Catalog'!$C$51,L192*'Assumptions and Catalog'!$H$51+'Assumptions and Catalog'!$E$51+'Assumptions and Catalog'!$F$51,IF(L192&lt;='Assumptions and Catalog'!$C$52,L192*'Assumptions and Catalog'!$H$52+'Assumptions and Catalog'!$E$52+'Assumptions and Catalog'!$F$52,IF(L192&lt;='Assumptions and Catalog'!$C$53,L192*'Assumptions and Catalog'!$H$53+'Assumptions and Catalog'!$E$53+'Assumptions and Catalog'!$F$53,IF(L192&lt;='Assumptions and Catalog'!$C$54,L192*'Assumptions and Catalog'!$H$54+'Assumptions and Catalog'!$E$54+'Assumptions and Catalog'!$F$54,IF(L192&lt;='Assumptions and Catalog'!$C$55,L192*'Assumptions and Catalog'!$H$55+'Assumptions and Catalog'!$E$55+'Assumptions and Catalog'!$F$55,IF(L192&lt;='Assumptions and Catalog'!$C$56,L192*'Assumptions and Catalog'!$H$56+'Assumptions and Catalog'!$E$56+'Assumptions and Catalog'!$F$56,IF(L192&lt;='Assumptions and Catalog'!$C$57,L192*'Assumptions and Catalog'!$H$57+'Assumptions and Catalog'!$E$57+'Assumptions and Catalog'!$F$57,"Out of range")))))))),IF(L192&lt;='Assumptions and Catalog'!$C$60,L192*'Assumptions and Catalog'!$H$60+'Assumptions and Catalog'!$E$60+'Assumptions and Catalog'!$F$60,IF(L192&lt;='Assumptions and Catalog'!$C$61,L192*'Assumptions and Catalog'!$H$61+'Assumptions and Catalog'!$E$61+'Assumptions and Catalog'!$F$61,IF(L192&lt;='Assumptions and Catalog'!$C$62,L192*'Assumptions and Catalog'!$H$62+'Assumptions and Catalog'!$E$62+'Assumptions and Catalog'!$F$62,IF(L192&lt;='Assumptions and Catalog'!$C$63,L192*'Assumptions and Catalog'!$H$63+'Assumptions and Catalog'!$E$63+'Assumptions and Catalog'!$F$63,IF(L192&lt;='Assumptions and Catalog'!$C$64,L192*'Assumptions and Catalog'!$H$64+'Assumptions and Catalog'!$E$64+'Assumptions and Catalog'!$F$64,IF(L192&lt;='Assumptions and Catalog'!$C$65,L192*'Assumptions and Catalog'!$H$65+'Assumptions and Catalog'!$E$65+'Assumptions and Catalog'!$F$65,"Out of range")))))))))*(1+'Assumptions and Catalog'!$C$8)^(A192-1),0)</f>
        <v>3567.397</v>
      </c>
      <c r="O192" s="5" t="n">
        <f>M192-N192</f>
        <v>3527.397</v>
      </c>
      <c r="P192" s="5" t="n">
        <f>C$55*(1-J$14)*(1-'Assumptions and Catalog'!$C$23)^R192</f>
        <v>0</v>
      </c>
      <c r="Q192" s="5" t="n">
        <f>IF(ISNUMBER(Inputs!$L$5),(IF(Inputs!$L$9="Actual flat rate",((D192+E192)*C192-G192)*Inputs!$L$10,IF(Inputs!$C$9="Residential",IF(((D192+E192)*C192-G192)&lt;='Assumptions and Catalog'!$C$50,((D192+E192)*C192-G192)*'Assumptions and Catalog'!$H$50+'Assumptions and Catalog'!$E$50+'Assumptions and Catalog'!$F$50,IF(((D192+E192)*C192-G192)&lt;='Assumptions and Catalog'!$C$51,((D192+E192)*C192-G192)*'Assumptions and Catalog'!$H$51+'Assumptions and Catalog'!$E$51+'Assumptions and Catalog'!$F$51,IF(((D192+E192)*C192-G192)&lt;='Assumptions and Catalog'!$C$52,((D192+E192)*C192-G192)*'Assumptions and Catalog'!$H$52+'Assumptions and Catalog'!$E$52+'Assumptions and Catalog'!$F$52,IF(((D192+E192)*C192-G192)&lt;='Assumptions and Catalog'!$C$53,((D192+E192)*C192-G192)*'Assumptions and Catalog'!$H$53+'Assumptions and Catalog'!$E$53+'Assumptions and Catalog'!$F$53,IF(((D192+E192)*C192-G192)&lt;='Assumptions and Catalog'!$C$54,((D192+E192)*C192-G192)*'Assumptions and Catalog'!$H$54+'Assumptions and Catalog'!$E$54+'Assumptions and Catalog'!$F$54,IF(((D192+E192)*C192-G192)&lt;='Assumptions and Catalog'!$C$55,((D192+E192)*C192-G192)*'Assumptions and Catalog'!$H$55+'Assumptions and Catalog'!$E$55+'Assumptions and Catalog'!$F$55,IF(((D192+E192)*C192-G192)&lt;='Assumptions and Catalog'!$C$56,((D192+E192)*C192-G192)*'Assumptions and Catalog'!$H$56+'Assumptions and Catalog'!$E$56+'Assumptions and Catalog'!$F$56,IF(((D192+E192)*C192-G192)&lt;='Assumptions and Catalog'!$C$57,((D192+E192)*C192-G192)*'Assumptions and Catalog'!$H$57+'Assumptions and Catalog'!$E$57+'Assumptions and Catalog'!$F$57,"Out of range")))))))),IF(((D192+E192)*C192-G192)&lt;='Assumptions and Catalog'!$C$60,((D192+E192)*C192-G192)*'Assumptions and Catalog'!$H$60+'Assumptions and Catalog'!$E$60+'Assumptions and Catalog'!$F$60,IF(((D192+E192)*C192-G192)&lt;='Assumptions and Catalog'!$C$61,((D192+E192)*C192-G192)*'Assumptions and Catalog'!$H$61+'Assumptions and Catalog'!$E$61+'Assumptions and Catalog'!$F$61,IF(((D192+E192)*C192-G192)&lt;='Assumptions and Catalog'!$C$62,((D192+E192)*C192-G192)*'Assumptions and Catalog'!$H$62+'Assumptions and Catalog'!$E$62+'Assumptions and Catalog'!$F$62,IF(((D192+E192)*C192-G192)&lt;='Assumptions and Catalog'!$C$63,((D192+E192)*C192-G192)*'Assumptions and Catalog'!$H$63+'Assumptions and Catalog'!$E$63+'Assumptions and Catalog'!$F$63,IF(((D192+E192)*C192-G192)&lt;='Assumptions and Catalog'!$C$64,((D192+E192)*C192-G192)*'Assumptions and Catalog'!$H$64+'Assumptions and Catalog'!$E$64+'Assumptions and Catalog'!$F$64,IF(((D192+E192)*C192-G192)&lt;='Assumptions and Catalog'!$C$65,((D192+E192)*C192-G192)*'Assumptions and Catalog'!$H$65+'Assumptions and Catalog'!$E$65+'Assumptions and Catalog'!$F$65,"Out of range")))))))))*(1+'Assumptions and Catalog'!$C$8)^(A192-1),0)</f>
        <v>3567.397</v>
      </c>
      <c r="R192" s="5" t="n">
        <f>IF(AND('Assumptions and Catalog'!$C$19&gt;0,A192&gt;='Assumptions and Catalog'!$C$19),A192-'Assumptions and Catalog'!$C$19,A192-1)</f>
        <v>2</v>
      </c>
      <c r="S192" s="5" t="n">
        <f>F192+L192-(D192+E192)*C192-J192-K192-0</f>
        <v>0</v>
      </c>
      <c r="T192" s="5"/>
      <c r="U192" s="5"/>
    </row>
    <row r="193" ht="23.100000381469727" customHeight="1">
      <c r="A193" s="5" t="n">
        <v>3</v>
      </c>
      <c r="B193" s="5" t="n">
        <v>9</v>
      </c>
      <c r="C193" s="5" t="n">
        <f>DAY(DATE('Assumptions and Catalog'!$C$24+A193-1,B193+1,0))</f>
        <v>30</v>
      </c>
      <c r="D193" s="5" t="n">
        <f>IF(ISNUMBER(Inputs!$L$5),Inputs!$L$5*Inputs!$L$6,0)</f>
        <v>40.35</v>
      </c>
      <c r="E193" s="5" t="n">
        <f>IF(ISNUMBER(Inputs!$L$5),Inputs!$L$5-D193,0)</f>
        <v>40.35</v>
      </c>
      <c r="F193" s="5" t="n">
        <f>C$51*INDEX('Solar Production'!$D$20:$D$31,B193)*C193*(1-'Assumptions and Catalog'!$C$10)^(A193-1)</f>
        <v>1402.66742</v>
      </c>
      <c r="G193" s="5" t="n">
        <f>MIN(F193,D193*C193)</f>
        <v>1210.5</v>
      </c>
      <c r="H193" s="5" t="n">
        <f>I193/('Assumptions and Catalog'!$C$11*'Assumptions and Catalog'!$C$12)</f>
        <v>0</v>
      </c>
      <c r="I193" s="5" t="n">
        <f>0</f>
        <v>0</v>
      </c>
      <c r="J193" s="5" t="n">
        <f>MAX(F193-G193-H193,0)</f>
        <v>192.16742</v>
      </c>
      <c r="K193" s="5" t="n">
        <f>H193-I193</f>
        <v>0</v>
      </c>
      <c r="L193" s="5" t="n">
        <f>(D193+E193)*C193-G193-I193+0+0</f>
        <v>1210.5</v>
      </c>
      <c r="M193" s="5" t="n">
        <f>IF(ISNUMBER(Inputs!$L$5),(IF(Inputs!$L$9="Actual flat rate",((D193+E193)*C193)*Inputs!$L$10,IF(Inputs!$C$9="Residential",IF(((D193+E193)*C193)&lt;='Assumptions and Catalog'!$C$50,((D193+E193)*C193)*'Assumptions and Catalog'!$H$50+'Assumptions and Catalog'!$E$50+'Assumptions and Catalog'!$F$50,IF(((D193+E193)*C193)&lt;='Assumptions and Catalog'!$C$51,((D193+E193)*C193)*'Assumptions and Catalog'!$H$51+'Assumptions and Catalog'!$E$51+'Assumptions and Catalog'!$F$51,IF(((D193+E193)*C193)&lt;='Assumptions and Catalog'!$C$52,((D193+E193)*C193)*'Assumptions and Catalog'!$H$52+'Assumptions and Catalog'!$E$52+'Assumptions and Catalog'!$F$52,IF(((D193+E193)*C193)&lt;='Assumptions and Catalog'!$C$53,((D193+E193)*C193)*'Assumptions and Catalog'!$H$53+'Assumptions and Catalog'!$E$53+'Assumptions and Catalog'!$F$53,IF(((D193+E193)*C193)&lt;='Assumptions and Catalog'!$C$54,((D193+E193)*C193)*'Assumptions and Catalog'!$H$54+'Assumptions and Catalog'!$E$54+'Assumptions and Catalog'!$F$54,IF(((D193+E193)*C193)&lt;='Assumptions and Catalog'!$C$55,((D193+E193)*C193)*'Assumptions and Catalog'!$H$55+'Assumptions and Catalog'!$E$55+'Assumptions and Catalog'!$F$55,IF(((D193+E193)*C193)&lt;='Assumptions and Catalog'!$C$56,((D193+E193)*C193)*'Assumptions and Catalog'!$H$56+'Assumptions and Catalog'!$E$56+'Assumptions and Catalog'!$F$56,IF(((D193+E193)*C193)&lt;='Assumptions and Catalog'!$C$57,((D193+E193)*C193)*'Assumptions and Catalog'!$H$57+'Assumptions and Catalog'!$E$57+'Assumptions and Catalog'!$F$57,"Out of range")))))))),IF(((D193+E193)*C193)&lt;='Assumptions and Catalog'!$C$60,((D193+E193)*C193)*'Assumptions and Catalog'!$H$60+'Assumptions and Catalog'!$E$60+'Assumptions and Catalog'!$F$60,IF(((D193+E193)*C193)&lt;='Assumptions and Catalog'!$C$61,((D193+E193)*C193)*'Assumptions and Catalog'!$H$61+'Assumptions and Catalog'!$E$61+'Assumptions and Catalog'!$F$61,IF(((D193+E193)*C193)&lt;='Assumptions and Catalog'!$C$62,((D193+E193)*C193)*'Assumptions and Catalog'!$H$62+'Assumptions and Catalog'!$E$62+'Assumptions and Catalog'!$F$62,IF(((D193+E193)*C193)&lt;='Assumptions and Catalog'!$C$63,((D193+E193)*C193)*'Assumptions and Catalog'!$H$63+'Assumptions and Catalog'!$E$63+'Assumptions and Catalog'!$F$63,IF(((D193+E193)*C193)&lt;='Assumptions and Catalog'!$C$64,((D193+E193)*C193)*'Assumptions and Catalog'!$H$64+'Assumptions and Catalog'!$E$64+'Assumptions and Catalog'!$F$64,IF(((D193+E193)*C193)&lt;='Assumptions and Catalog'!$C$65,((D193+E193)*C193)*'Assumptions and Catalog'!$H$65+'Assumptions and Catalog'!$E$65+'Assumptions and Catalog'!$F$65,"Out of range")))))))))*(1+'Assumptions and Catalog'!$C$8)^(A193-1),0)</f>
        <v>6867.22</v>
      </c>
      <c r="N193" s="5" t="n">
        <f>IF(ISNUMBER(Inputs!$L$5),(IF(Inputs!$L$9="Actual flat rate",L193*Inputs!$L$10,IF(Inputs!$C$9="Residential",IF(L193&lt;='Assumptions and Catalog'!$C$50,L193*'Assumptions and Catalog'!$H$50+'Assumptions and Catalog'!$E$50+'Assumptions and Catalog'!$F$50,IF(L193&lt;='Assumptions and Catalog'!$C$51,L193*'Assumptions and Catalog'!$H$51+'Assumptions and Catalog'!$E$51+'Assumptions and Catalog'!$F$51,IF(L193&lt;='Assumptions and Catalog'!$C$52,L193*'Assumptions and Catalog'!$H$52+'Assumptions and Catalog'!$E$52+'Assumptions and Catalog'!$F$52,IF(L193&lt;='Assumptions and Catalog'!$C$53,L193*'Assumptions and Catalog'!$H$53+'Assumptions and Catalog'!$E$53+'Assumptions and Catalog'!$F$53,IF(L193&lt;='Assumptions and Catalog'!$C$54,L193*'Assumptions and Catalog'!$H$54+'Assumptions and Catalog'!$E$54+'Assumptions and Catalog'!$F$54,IF(L193&lt;='Assumptions and Catalog'!$C$55,L193*'Assumptions and Catalog'!$H$55+'Assumptions and Catalog'!$E$55+'Assumptions and Catalog'!$F$55,IF(L193&lt;='Assumptions and Catalog'!$C$56,L193*'Assumptions and Catalog'!$H$56+'Assumptions and Catalog'!$E$56+'Assumptions and Catalog'!$F$56,IF(L193&lt;='Assumptions and Catalog'!$C$57,L193*'Assumptions and Catalog'!$H$57+'Assumptions and Catalog'!$E$57+'Assumptions and Catalog'!$F$57,"Out of range")))))))),IF(L193&lt;='Assumptions and Catalog'!$C$60,L193*'Assumptions and Catalog'!$H$60+'Assumptions and Catalog'!$E$60+'Assumptions and Catalog'!$F$60,IF(L193&lt;='Assumptions and Catalog'!$C$61,L193*'Assumptions and Catalog'!$H$61+'Assumptions and Catalog'!$E$61+'Assumptions and Catalog'!$F$61,IF(L193&lt;='Assumptions and Catalog'!$C$62,L193*'Assumptions and Catalog'!$H$62+'Assumptions and Catalog'!$E$62+'Assumptions and Catalog'!$F$62,IF(L193&lt;='Assumptions and Catalog'!$C$63,L193*'Assumptions and Catalog'!$H$63+'Assumptions and Catalog'!$E$63+'Assumptions and Catalog'!$F$63,IF(L193&lt;='Assumptions and Catalog'!$C$64,L193*'Assumptions and Catalog'!$H$64+'Assumptions and Catalog'!$E$64+'Assumptions and Catalog'!$F$64,IF(L193&lt;='Assumptions and Catalog'!$C$65,L193*'Assumptions and Catalog'!$H$65+'Assumptions and Catalog'!$E$65+'Assumptions and Catalog'!$F$65,"Out of range")))))))))*(1+'Assumptions and Catalog'!$C$8)^(A193-1),0)</f>
        <v>3453.61</v>
      </c>
      <c r="O193" s="5" t="n">
        <f>M193-N193</f>
        <v>3413.61</v>
      </c>
      <c r="P193" s="5" t="n">
        <f>C$55*(1-J$14)*(1-'Assumptions and Catalog'!$C$23)^R193</f>
        <v>0</v>
      </c>
      <c r="Q193" s="5" t="n">
        <f>IF(ISNUMBER(Inputs!$L$5),(IF(Inputs!$L$9="Actual flat rate",((D193+E193)*C193-G193)*Inputs!$L$10,IF(Inputs!$C$9="Residential",IF(((D193+E193)*C193-G193)&lt;='Assumptions and Catalog'!$C$50,((D193+E193)*C193-G193)*'Assumptions and Catalog'!$H$50+'Assumptions and Catalog'!$E$50+'Assumptions and Catalog'!$F$50,IF(((D193+E193)*C193-G193)&lt;='Assumptions and Catalog'!$C$51,((D193+E193)*C193-G193)*'Assumptions and Catalog'!$H$51+'Assumptions and Catalog'!$E$51+'Assumptions and Catalog'!$F$51,IF(((D193+E193)*C193-G193)&lt;='Assumptions and Catalog'!$C$52,((D193+E193)*C193-G193)*'Assumptions and Catalog'!$H$52+'Assumptions and Catalog'!$E$52+'Assumptions and Catalog'!$F$52,IF(((D193+E193)*C193-G193)&lt;='Assumptions and Catalog'!$C$53,((D193+E193)*C193-G193)*'Assumptions and Catalog'!$H$53+'Assumptions and Catalog'!$E$53+'Assumptions and Catalog'!$F$53,IF(((D193+E193)*C193-G193)&lt;='Assumptions and Catalog'!$C$54,((D193+E193)*C193-G193)*'Assumptions and Catalog'!$H$54+'Assumptions and Catalog'!$E$54+'Assumptions and Catalog'!$F$54,IF(((D193+E193)*C193-G193)&lt;='Assumptions and Catalog'!$C$55,((D193+E193)*C193-G193)*'Assumptions and Catalog'!$H$55+'Assumptions and Catalog'!$E$55+'Assumptions and Catalog'!$F$55,IF(((D193+E193)*C193-G193)&lt;='Assumptions and Catalog'!$C$56,((D193+E193)*C193-G193)*'Assumptions and Catalog'!$H$56+'Assumptions and Catalog'!$E$56+'Assumptions and Catalog'!$F$56,IF(((D193+E193)*C193-G193)&lt;='Assumptions and Catalog'!$C$57,((D193+E193)*C193-G193)*'Assumptions and Catalog'!$H$57+'Assumptions and Catalog'!$E$57+'Assumptions and Catalog'!$F$57,"Out of range")))))))),IF(((D193+E193)*C193-G193)&lt;='Assumptions and Catalog'!$C$60,((D193+E193)*C193-G193)*'Assumptions and Catalog'!$H$60+'Assumptions and Catalog'!$E$60+'Assumptions and Catalog'!$F$60,IF(((D193+E193)*C193-G193)&lt;='Assumptions and Catalog'!$C$61,((D193+E193)*C193-G193)*'Assumptions and Catalog'!$H$61+'Assumptions and Catalog'!$E$61+'Assumptions and Catalog'!$F$61,IF(((D193+E193)*C193-G193)&lt;='Assumptions and Catalog'!$C$62,((D193+E193)*C193-G193)*'Assumptions and Catalog'!$H$62+'Assumptions and Catalog'!$E$62+'Assumptions and Catalog'!$F$62,IF(((D193+E193)*C193-G193)&lt;='Assumptions and Catalog'!$C$63,((D193+E193)*C193-G193)*'Assumptions and Catalog'!$H$63+'Assumptions and Catalog'!$E$63+'Assumptions and Catalog'!$F$63,IF(((D193+E193)*C193-G193)&lt;='Assumptions and Catalog'!$C$64,((D193+E193)*C193-G193)*'Assumptions and Catalog'!$H$64+'Assumptions and Catalog'!$E$64+'Assumptions and Catalog'!$F$64,IF(((D193+E193)*C193-G193)&lt;='Assumptions and Catalog'!$C$65,((D193+E193)*C193-G193)*'Assumptions and Catalog'!$H$65+'Assumptions and Catalog'!$E$65+'Assumptions and Catalog'!$F$65,"Out of range")))))))))*(1+'Assumptions and Catalog'!$C$8)^(A193-1),0)</f>
        <v>3453.61</v>
      </c>
      <c r="R193" s="5" t="n">
        <f>IF(AND('Assumptions and Catalog'!$C$19&gt;0,A193&gt;='Assumptions and Catalog'!$C$19),A193-'Assumptions and Catalog'!$C$19,A193-1)</f>
        <v>2</v>
      </c>
      <c r="S193" s="5" t="n">
        <f>F193+L193-(D193+E193)*C193-J193-K193-0</f>
        <v>0</v>
      </c>
      <c r="T193" s="5"/>
      <c r="U193" s="5"/>
    </row>
    <row r="194" ht="23.100000381469727" customHeight="1">
      <c r="A194" s="5" t="n">
        <v>3</v>
      </c>
      <c r="B194" s="5" t="n">
        <v>10</v>
      </c>
      <c r="C194" s="5" t="n">
        <f>DAY(DATE('Assumptions and Catalog'!$C$24+A194-1,B194+1,0))</f>
        <v>31</v>
      </c>
      <c r="D194" s="5" t="n">
        <f>IF(ISNUMBER(Inputs!$L$5),Inputs!$L$5*Inputs!$L$6,0)</f>
        <v>40.35</v>
      </c>
      <c r="E194" s="5" t="n">
        <f>IF(ISNUMBER(Inputs!$L$5),Inputs!$L$5-D194,0)</f>
        <v>40.35</v>
      </c>
      <c r="F194" s="5" t="n">
        <f>C$51*INDEX('Solar Production'!$D$20:$D$31,B194)*C194*(1-'Assumptions and Catalog'!$C$10)^(A194-1)</f>
        <v>1346.2993566</v>
      </c>
      <c r="G194" s="5" t="n">
        <f>MIN(F194,D194*C194)</f>
        <v>1250.85</v>
      </c>
      <c r="H194" s="5" t="n">
        <f>I194/('Assumptions and Catalog'!$C$11*'Assumptions and Catalog'!$C$12)</f>
        <v>0</v>
      </c>
      <c r="I194" s="5" t="n">
        <f>0</f>
        <v>0</v>
      </c>
      <c r="J194" s="5" t="n">
        <f>MAX(F194-G194-H194,0)</f>
        <v>95.4493566000001</v>
      </c>
      <c r="K194" s="5" t="n">
        <f>H194-I194</f>
        <v>0</v>
      </c>
      <c r="L194" s="5" t="n">
        <f>(D194+E194)*C194-G194-I194+0+0</f>
        <v>1250.85</v>
      </c>
      <c r="M194" s="5" t="n">
        <f>IF(ISNUMBER(Inputs!$L$5),(IF(Inputs!$L$9="Actual flat rate",((D194+E194)*C194)*Inputs!$L$10,IF(Inputs!$C$9="Residential",IF(((D194+E194)*C194)&lt;='Assumptions and Catalog'!$C$50,((D194+E194)*C194)*'Assumptions and Catalog'!$H$50+'Assumptions and Catalog'!$E$50+'Assumptions and Catalog'!$F$50,IF(((D194+E194)*C194)&lt;='Assumptions and Catalog'!$C$51,((D194+E194)*C194)*'Assumptions and Catalog'!$H$51+'Assumptions and Catalog'!$E$51+'Assumptions and Catalog'!$F$51,IF(((D194+E194)*C194)&lt;='Assumptions and Catalog'!$C$52,((D194+E194)*C194)*'Assumptions and Catalog'!$H$52+'Assumptions and Catalog'!$E$52+'Assumptions and Catalog'!$F$52,IF(((D194+E194)*C194)&lt;='Assumptions and Catalog'!$C$53,((D194+E194)*C194)*'Assumptions and Catalog'!$H$53+'Assumptions and Catalog'!$E$53+'Assumptions and Catalog'!$F$53,IF(((D194+E194)*C194)&lt;='Assumptions and Catalog'!$C$54,((D194+E194)*C194)*'Assumptions and Catalog'!$H$54+'Assumptions and Catalog'!$E$54+'Assumptions and Catalog'!$F$54,IF(((D194+E194)*C194)&lt;='Assumptions and Catalog'!$C$55,((D194+E194)*C194)*'Assumptions and Catalog'!$H$55+'Assumptions and Catalog'!$E$55+'Assumptions and Catalog'!$F$55,IF(((D194+E194)*C194)&lt;='Assumptions and Catalog'!$C$56,((D194+E194)*C194)*'Assumptions and Catalog'!$H$56+'Assumptions and Catalog'!$E$56+'Assumptions and Catalog'!$F$56,IF(((D194+E194)*C194)&lt;='Assumptions and Catalog'!$C$57,((D194+E194)*C194)*'Assumptions and Catalog'!$H$57+'Assumptions and Catalog'!$E$57+'Assumptions and Catalog'!$F$57,"Out of range")))))))),IF(((D194+E194)*C194)&lt;='Assumptions and Catalog'!$C$60,((D194+E194)*C194)*'Assumptions and Catalog'!$H$60+'Assumptions and Catalog'!$E$60+'Assumptions and Catalog'!$F$60,IF(((D194+E194)*C194)&lt;='Assumptions and Catalog'!$C$61,((D194+E194)*C194)*'Assumptions and Catalog'!$H$61+'Assumptions and Catalog'!$E$61+'Assumptions and Catalog'!$F$61,IF(((D194+E194)*C194)&lt;='Assumptions and Catalog'!$C$62,((D194+E194)*C194)*'Assumptions and Catalog'!$H$62+'Assumptions and Catalog'!$E$62+'Assumptions and Catalog'!$F$62,IF(((D194+E194)*C194)&lt;='Assumptions and Catalog'!$C$63,((D194+E194)*C194)*'Assumptions and Catalog'!$H$63+'Assumptions and Catalog'!$E$63+'Assumptions and Catalog'!$F$63,IF(((D194+E194)*C194)&lt;='Assumptions and Catalog'!$C$64,((D194+E194)*C194)*'Assumptions and Catalog'!$H$64+'Assumptions and Catalog'!$E$64+'Assumptions and Catalog'!$F$64,IF(((D194+E194)*C194)&lt;='Assumptions and Catalog'!$C$65,((D194+E194)*C194)*'Assumptions and Catalog'!$H$65+'Assumptions and Catalog'!$E$65+'Assumptions and Catalog'!$F$65,"Out of range")))))))))*(1+'Assumptions and Catalog'!$C$8)^(A194-1),0)</f>
        <v>7094.794</v>
      </c>
      <c r="N194" s="5" t="n">
        <f>IF(ISNUMBER(Inputs!$L$5),(IF(Inputs!$L$9="Actual flat rate",L194*Inputs!$L$10,IF(Inputs!$C$9="Residential",IF(L194&lt;='Assumptions and Catalog'!$C$50,L194*'Assumptions and Catalog'!$H$50+'Assumptions and Catalog'!$E$50+'Assumptions and Catalog'!$F$50,IF(L194&lt;='Assumptions and Catalog'!$C$51,L194*'Assumptions and Catalog'!$H$51+'Assumptions and Catalog'!$E$51+'Assumptions and Catalog'!$F$51,IF(L194&lt;='Assumptions and Catalog'!$C$52,L194*'Assumptions and Catalog'!$H$52+'Assumptions and Catalog'!$E$52+'Assumptions and Catalog'!$F$52,IF(L194&lt;='Assumptions and Catalog'!$C$53,L194*'Assumptions and Catalog'!$H$53+'Assumptions and Catalog'!$E$53+'Assumptions and Catalog'!$F$53,IF(L194&lt;='Assumptions and Catalog'!$C$54,L194*'Assumptions and Catalog'!$H$54+'Assumptions and Catalog'!$E$54+'Assumptions and Catalog'!$F$54,IF(L194&lt;='Assumptions and Catalog'!$C$55,L194*'Assumptions and Catalog'!$H$55+'Assumptions and Catalog'!$E$55+'Assumptions and Catalog'!$F$55,IF(L194&lt;='Assumptions and Catalog'!$C$56,L194*'Assumptions and Catalog'!$H$56+'Assumptions and Catalog'!$E$56+'Assumptions and Catalog'!$F$56,IF(L194&lt;='Assumptions and Catalog'!$C$57,L194*'Assumptions and Catalog'!$H$57+'Assumptions and Catalog'!$E$57+'Assumptions and Catalog'!$F$57,"Out of range")))))))),IF(L194&lt;='Assumptions and Catalog'!$C$60,L194*'Assumptions and Catalog'!$H$60+'Assumptions and Catalog'!$E$60+'Assumptions and Catalog'!$F$60,IF(L194&lt;='Assumptions and Catalog'!$C$61,L194*'Assumptions and Catalog'!$H$61+'Assumptions and Catalog'!$E$61+'Assumptions and Catalog'!$F$61,IF(L194&lt;='Assumptions and Catalog'!$C$62,L194*'Assumptions and Catalog'!$H$62+'Assumptions and Catalog'!$E$62+'Assumptions and Catalog'!$F$62,IF(L194&lt;='Assumptions and Catalog'!$C$63,L194*'Assumptions and Catalog'!$H$63+'Assumptions and Catalog'!$E$63+'Assumptions and Catalog'!$F$63,IF(L194&lt;='Assumptions and Catalog'!$C$64,L194*'Assumptions and Catalog'!$H$64+'Assumptions and Catalog'!$E$64+'Assumptions and Catalog'!$F$64,IF(L194&lt;='Assumptions and Catalog'!$C$65,L194*'Assumptions and Catalog'!$H$65+'Assumptions and Catalog'!$E$65+'Assumptions and Catalog'!$F$65,"Out of range")))))))))*(1+'Assumptions and Catalog'!$C$8)^(A194-1),0)</f>
        <v>3567.397</v>
      </c>
      <c r="O194" s="5" t="n">
        <f>M194-N194</f>
        <v>3527.397</v>
      </c>
      <c r="P194" s="5" t="n">
        <f>C$55*(1-J$14)*(1-'Assumptions and Catalog'!$C$23)^R194</f>
        <v>0</v>
      </c>
      <c r="Q194" s="5" t="n">
        <f>IF(ISNUMBER(Inputs!$L$5),(IF(Inputs!$L$9="Actual flat rate",((D194+E194)*C194-G194)*Inputs!$L$10,IF(Inputs!$C$9="Residential",IF(((D194+E194)*C194-G194)&lt;='Assumptions and Catalog'!$C$50,((D194+E194)*C194-G194)*'Assumptions and Catalog'!$H$50+'Assumptions and Catalog'!$E$50+'Assumptions and Catalog'!$F$50,IF(((D194+E194)*C194-G194)&lt;='Assumptions and Catalog'!$C$51,((D194+E194)*C194-G194)*'Assumptions and Catalog'!$H$51+'Assumptions and Catalog'!$E$51+'Assumptions and Catalog'!$F$51,IF(((D194+E194)*C194-G194)&lt;='Assumptions and Catalog'!$C$52,((D194+E194)*C194-G194)*'Assumptions and Catalog'!$H$52+'Assumptions and Catalog'!$E$52+'Assumptions and Catalog'!$F$52,IF(((D194+E194)*C194-G194)&lt;='Assumptions and Catalog'!$C$53,((D194+E194)*C194-G194)*'Assumptions and Catalog'!$H$53+'Assumptions and Catalog'!$E$53+'Assumptions and Catalog'!$F$53,IF(((D194+E194)*C194-G194)&lt;='Assumptions and Catalog'!$C$54,((D194+E194)*C194-G194)*'Assumptions and Catalog'!$H$54+'Assumptions and Catalog'!$E$54+'Assumptions and Catalog'!$F$54,IF(((D194+E194)*C194-G194)&lt;='Assumptions and Catalog'!$C$55,((D194+E194)*C194-G194)*'Assumptions and Catalog'!$H$55+'Assumptions and Catalog'!$E$55+'Assumptions and Catalog'!$F$55,IF(((D194+E194)*C194-G194)&lt;='Assumptions and Catalog'!$C$56,((D194+E194)*C194-G194)*'Assumptions and Catalog'!$H$56+'Assumptions and Catalog'!$E$56+'Assumptions and Catalog'!$F$56,IF(((D194+E194)*C194-G194)&lt;='Assumptions and Catalog'!$C$57,((D194+E194)*C194-G194)*'Assumptions and Catalog'!$H$57+'Assumptions and Catalog'!$E$57+'Assumptions and Catalog'!$F$57,"Out of range")))))))),IF(((D194+E194)*C194-G194)&lt;='Assumptions and Catalog'!$C$60,((D194+E194)*C194-G194)*'Assumptions and Catalog'!$H$60+'Assumptions and Catalog'!$E$60+'Assumptions and Catalog'!$F$60,IF(((D194+E194)*C194-G194)&lt;='Assumptions and Catalog'!$C$61,((D194+E194)*C194-G194)*'Assumptions and Catalog'!$H$61+'Assumptions and Catalog'!$E$61+'Assumptions and Catalog'!$F$61,IF(((D194+E194)*C194-G194)&lt;='Assumptions and Catalog'!$C$62,((D194+E194)*C194-G194)*'Assumptions and Catalog'!$H$62+'Assumptions and Catalog'!$E$62+'Assumptions and Catalog'!$F$62,IF(((D194+E194)*C194-G194)&lt;='Assumptions and Catalog'!$C$63,((D194+E194)*C194-G194)*'Assumptions and Catalog'!$H$63+'Assumptions and Catalog'!$E$63+'Assumptions and Catalog'!$F$63,IF(((D194+E194)*C194-G194)&lt;='Assumptions and Catalog'!$C$64,((D194+E194)*C194-G194)*'Assumptions and Catalog'!$H$64+'Assumptions and Catalog'!$E$64+'Assumptions and Catalog'!$F$64,IF(((D194+E194)*C194-G194)&lt;='Assumptions and Catalog'!$C$65,((D194+E194)*C194-G194)*'Assumptions and Catalog'!$H$65+'Assumptions and Catalog'!$E$65+'Assumptions and Catalog'!$F$65,"Out of range")))))))))*(1+'Assumptions and Catalog'!$C$8)^(A194-1),0)</f>
        <v>3567.397</v>
      </c>
      <c r="R194" s="5" t="n">
        <f>IF(AND('Assumptions and Catalog'!$C$19&gt;0,A194&gt;='Assumptions and Catalog'!$C$19),A194-'Assumptions and Catalog'!$C$19,A194-1)</f>
        <v>2</v>
      </c>
      <c r="S194" s="5" t="n">
        <f>F194+L194-(D194+E194)*C194-J194-K194-0</f>
        <v>0</v>
      </c>
      <c r="T194" s="5"/>
      <c r="U194" s="5"/>
    </row>
    <row r="195" ht="23.100000381469727" customHeight="1">
      <c r="A195" s="5" t="n">
        <v>3</v>
      </c>
      <c r="B195" s="5" t="n">
        <v>11</v>
      </c>
      <c r="C195" s="5" t="n">
        <f>DAY(DATE('Assumptions and Catalog'!$C$24+A195-1,B195+1,0))</f>
        <v>30</v>
      </c>
      <c r="D195" s="5" t="n">
        <f>IF(ISNUMBER(Inputs!$L$5),Inputs!$L$5*Inputs!$L$6,0)</f>
        <v>40.35</v>
      </c>
      <c r="E195" s="5" t="n">
        <f>IF(ISNUMBER(Inputs!$L$5),Inputs!$L$5-D195,0)</f>
        <v>40.35</v>
      </c>
      <c r="F195" s="5" t="n">
        <f>C$51*INDEX('Solar Production'!$D$20:$D$31,B195)*C195*(1-'Assumptions and Catalog'!$C$10)^(A195-1)</f>
        <v>1193.3127734</v>
      </c>
      <c r="G195" s="5" t="n">
        <f>MIN(F195,D195*C195)</f>
        <v>1193.3127734</v>
      </c>
      <c r="H195" s="5" t="n">
        <f>I195/('Assumptions and Catalog'!$C$11*'Assumptions and Catalog'!$C$12)</f>
        <v>0</v>
      </c>
      <c r="I195" s="5" t="n">
        <f>0</f>
        <v>0</v>
      </c>
      <c r="J195" s="5" t="n">
        <f>MAX(F195-G195-H195,0)</f>
        <v>0</v>
      </c>
      <c r="K195" s="5" t="n">
        <f>H195-I195</f>
        <v>0</v>
      </c>
      <c r="L195" s="5" t="n">
        <f>(D195+E195)*C195-G195-I195+0+0</f>
        <v>1227.6872266</v>
      </c>
      <c r="M195" s="5" t="n">
        <f>IF(ISNUMBER(Inputs!$L$5),(IF(Inputs!$L$9="Actual flat rate",((D195+E195)*C195)*Inputs!$L$10,IF(Inputs!$C$9="Residential",IF(((D195+E195)*C195)&lt;='Assumptions and Catalog'!$C$50,((D195+E195)*C195)*'Assumptions and Catalog'!$H$50+'Assumptions and Catalog'!$E$50+'Assumptions and Catalog'!$F$50,IF(((D195+E195)*C195)&lt;='Assumptions and Catalog'!$C$51,((D195+E195)*C195)*'Assumptions and Catalog'!$H$51+'Assumptions and Catalog'!$E$51+'Assumptions and Catalog'!$F$51,IF(((D195+E195)*C195)&lt;='Assumptions and Catalog'!$C$52,((D195+E195)*C195)*'Assumptions and Catalog'!$H$52+'Assumptions and Catalog'!$E$52+'Assumptions and Catalog'!$F$52,IF(((D195+E195)*C195)&lt;='Assumptions and Catalog'!$C$53,((D195+E195)*C195)*'Assumptions and Catalog'!$H$53+'Assumptions and Catalog'!$E$53+'Assumptions and Catalog'!$F$53,IF(((D195+E195)*C195)&lt;='Assumptions and Catalog'!$C$54,((D195+E195)*C195)*'Assumptions and Catalog'!$H$54+'Assumptions and Catalog'!$E$54+'Assumptions and Catalog'!$F$54,IF(((D195+E195)*C195)&lt;='Assumptions and Catalog'!$C$55,((D195+E195)*C195)*'Assumptions and Catalog'!$H$55+'Assumptions and Catalog'!$E$55+'Assumptions and Catalog'!$F$55,IF(((D195+E195)*C195)&lt;='Assumptions and Catalog'!$C$56,((D195+E195)*C195)*'Assumptions and Catalog'!$H$56+'Assumptions and Catalog'!$E$56+'Assumptions and Catalog'!$F$56,IF(((D195+E195)*C195)&lt;='Assumptions and Catalog'!$C$57,((D195+E195)*C195)*'Assumptions and Catalog'!$H$57+'Assumptions and Catalog'!$E$57+'Assumptions and Catalog'!$F$57,"Out of range")))))))),IF(((D195+E195)*C195)&lt;='Assumptions and Catalog'!$C$60,((D195+E195)*C195)*'Assumptions and Catalog'!$H$60+'Assumptions and Catalog'!$E$60+'Assumptions and Catalog'!$F$60,IF(((D195+E195)*C195)&lt;='Assumptions and Catalog'!$C$61,((D195+E195)*C195)*'Assumptions and Catalog'!$H$61+'Assumptions and Catalog'!$E$61+'Assumptions and Catalog'!$F$61,IF(((D195+E195)*C195)&lt;='Assumptions and Catalog'!$C$62,((D195+E195)*C195)*'Assumptions and Catalog'!$H$62+'Assumptions and Catalog'!$E$62+'Assumptions and Catalog'!$F$62,IF(((D195+E195)*C195)&lt;='Assumptions and Catalog'!$C$63,((D195+E195)*C195)*'Assumptions and Catalog'!$H$63+'Assumptions and Catalog'!$E$63+'Assumptions and Catalog'!$F$63,IF(((D195+E195)*C195)&lt;='Assumptions and Catalog'!$C$64,((D195+E195)*C195)*'Assumptions and Catalog'!$H$64+'Assumptions and Catalog'!$E$64+'Assumptions and Catalog'!$F$64,IF(((D195+E195)*C195)&lt;='Assumptions and Catalog'!$C$65,((D195+E195)*C195)*'Assumptions and Catalog'!$H$65+'Assumptions and Catalog'!$E$65+'Assumptions and Catalog'!$F$65,"Out of range")))))))))*(1+'Assumptions and Catalog'!$C$8)^(A195-1),0)</f>
        <v>6867.22</v>
      </c>
      <c r="N195" s="5" t="n">
        <f>IF(ISNUMBER(Inputs!$L$5),(IF(Inputs!$L$9="Actual flat rate",L195*Inputs!$L$10,IF(Inputs!$C$9="Residential",IF(L195&lt;='Assumptions and Catalog'!$C$50,L195*'Assumptions and Catalog'!$H$50+'Assumptions and Catalog'!$E$50+'Assumptions and Catalog'!$F$50,IF(L195&lt;='Assumptions and Catalog'!$C$51,L195*'Assumptions and Catalog'!$H$51+'Assumptions and Catalog'!$E$51+'Assumptions and Catalog'!$F$51,IF(L195&lt;='Assumptions and Catalog'!$C$52,L195*'Assumptions and Catalog'!$H$52+'Assumptions and Catalog'!$E$52+'Assumptions and Catalog'!$F$52,IF(L195&lt;='Assumptions and Catalog'!$C$53,L195*'Assumptions and Catalog'!$H$53+'Assumptions and Catalog'!$E$53+'Assumptions and Catalog'!$F$53,IF(L195&lt;='Assumptions and Catalog'!$C$54,L195*'Assumptions and Catalog'!$H$54+'Assumptions and Catalog'!$E$54+'Assumptions and Catalog'!$F$54,IF(L195&lt;='Assumptions and Catalog'!$C$55,L195*'Assumptions and Catalog'!$H$55+'Assumptions and Catalog'!$E$55+'Assumptions and Catalog'!$F$55,IF(L195&lt;='Assumptions and Catalog'!$C$56,L195*'Assumptions and Catalog'!$H$56+'Assumptions and Catalog'!$E$56+'Assumptions and Catalog'!$F$56,IF(L195&lt;='Assumptions and Catalog'!$C$57,L195*'Assumptions and Catalog'!$H$57+'Assumptions and Catalog'!$E$57+'Assumptions and Catalog'!$F$57,"Out of range")))))))),IF(L195&lt;='Assumptions and Catalog'!$C$60,L195*'Assumptions and Catalog'!$H$60+'Assumptions and Catalog'!$E$60+'Assumptions and Catalog'!$F$60,IF(L195&lt;='Assumptions and Catalog'!$C$61,L195*'Assumptions and Catalog'!$H$61+'Assumptions and Catalog'!$E$61+'Assumptions and Catalog'!$F$61,IF(L195&lt;='Assumptions and Catalog'!$C$62,L195*'Assumptions and Catalog'!$H$62+'Assumptions and Catalog'!$E$62+'Assumptions and Catalog'!$F$62,IF(L195&lt;='Assumptions and Catalog'!$C$63,L195*'Assumptions and Catalog'!$H$63+'Assumptions and Catalog'!$E$63+'Assumptions and Catalog'!$F$63,IF(L195&lt;='Assumptions and Catalog'!$C$64,L195*'Assumptions and Catalog'!$H$64+'Assumptions and Catalog'!$E$64+'Assumptions and Catalog'!$F$64,IF(L195&lt;='Assumptions and Catalog'!$C$65,L195*'Assumptions and Catalog'!$H$65+'Assumptions and Catalog'!$E$65+'Assumptions and Catalog'!$F$65,"Out of range")))))))))*(1+'Assumptions and Catalog'!$C$8)^(A195-1),0)</f>
        <v>3502.077979012</v>
      </c>
      <c r="O195" s="5" t="n">
        <f>M195-N195</f>
        <v>3365.142020988</v>
      </c>
      <c r="P195" s="5" t="n">
        <f>C$55*(1-J$14)*(1-'Assumptions and Catalog'!$C$23)^R195</f>
        <v>0</v>
      </c>
      <c r="Q195" s="5" t="n">
        <f>IF(ISNUMBER(Inputs!$L$5),(IF(Inputs!$L$9="Actual flat rate",((D195+E195)*C195-G195)*Inputs!$L$10,IF(Inputs!$C$9="Residential",IF(((D195+E195)*C195-G195)&lt;='Assumptions and Catalog'!$C$50,((D195+E195)*C195-G195)*'Assumptions and Catalog'!$H$50+'Assumptions and Catalog'!$E$50+'Assumptions and Catalog'!$F$50,IF(((D195+E195)*C195-G195)&lt;='Assumptions and Catalog'!$C$51,((D195+E195)*C195-G195)*'Assumptions and Catalog'!$H$51+'Assumptions and Catalog'!$E$51+'Assumptions and Catalog'!$F$51,IF(((D195+E195)*C195-G195)&lt;='Assumptions and Catalog'!$C$52,((D195+E195)*C195-G195)*'Assumptions and Catalog'!$H$52+'Assumptions and Catalog'!$E$52+'Assumptions and Catalog'!$F$52,IF(((D195+E195)*C195-G195)&lt;='Assumptions and Catalog'!$C$53,((D195+E195)*C195-G195)*'Assumptions and Catalog'!$H$53+'Assumptions and Catalog'!$E$53+'Assumptions and Catalog'!$F$53,IF(((D195+E195)*C195-G195)&lt;='Assumptions and Catalog'!$C$54,((D195+E195)*C195-G195)*'Assumptions and Catalog'!$H$54+'Assumptions and Catalog'!$E$54+'Assumptions and Catalog'!$F$54,IF(((D195+E195)*C195-G195)&lt;='Assumptions and Catalog'!$C$55,((D195+E195)*C195-G195)*'Assumptions and Catalog'!$H$55+'Assumptions and Catalog'!$E$55+'Assumptions and Catalog'!$F$55,IF(((D195+E195)*C195-G195)&lt;='Assumptions and Catalog'!$C$56,((D195+E195)*C195-G195)*'Assumptions and Catalog'!$H$56+'Assumptions and Catalog'!$E$56+'Assumptions and Catalog'!$F$56,IF(((D195+E195)*C195-G195)&lt;='Assumptions and Catalog'!$C$57,((D195+E195)*C195-G195)*'Assumptions and Catalog'!$H$57+'Assumptions and Catalog'!$E$57+'Assumptions and Catalog'!$F$57,"Out of range")))))))),IF(((D195+E195)*C195-G195)&lt;='Assumptions and Catalog'!$C$60,((D195+E195)*C195-G195)*'Assumptions and Catalog'!$H$60+'Assumptions and Catalog'!$E$60+'Assumptions and Catalog'!$F$60,IF(((D195+E195)*C195-G195)&lt;='Assumptions and Catalog'!$C$61,((D195+E195)*C195-G195)*'Assumptions and Catalog'!$H$61+'Assumptions and Catalog'!$E$61+'Assumptions and Catalog'!$F$61,IF(((D195+E195)*C195-G195)&lt;='Assumptions and Catalog'!$C$62,((D195+E195)*C195-G195)*'Assumptions and Catalog'!$H$62+'Assumptions and Catalog'!$E$62+'Assumptions and Catalog'!$F$62,IF(((D195+E195)*C195-G195)&lt;='Assumptions and Catalog'!$C$63,((D195+E195)*C195-G195)*'Assumptions and Catalog'!$H$63+'Assumptions and Catalog'!$E$63+'Assumptions and Catalog'!$F$63,IF(((D195+E195)*C195-G195)&lt;='Assumptions and Catalog'!$C$64,((D195+E195)*C195-G195)*'Assumptions and Catalog'!$H$64+'Assumptions and Catalog'!$E$64+'Assumptions and Catalog'!$F$64,IF(((D195+E195)*C195-G195)&lt;='Assumptions and Catalog'!$C$65,((D195+E195)*C195-G195)*'Assumptions and Catalog'!$H$65+'Assumptions and Catalog'!$E$65+'Assumptions and Catalog'!$F$65,"Out of range")))))))))*(1+'Assumptions and Catalog'!$C$8)^(A195-1),0)</f>
        <v>3502.077979012</v>
      </c>
      <c r="R195" s="5" t="n">
        <f>IF(AND('Assumptions and Catalog'!$C$19&gt;0,A195&gt;='Assumptions and Catalog'!$C$19),A195-'Assumptions and Catalog'!$C$19,A195-1)</f>
        <v>2</v>
      </c>
      <c r="S195" s="5" t="n">
        <f>F195+L195-(D195+E195)*C195-J195-K195-0</f>
        <v>0</v>
      </c>
      <c r="T195" s="5"/>
      <c r="U195" s="5"/>
    </row>
    <row r="196" ht="23.100000381469727" customHeight="1">
      <c r="A196" s="5" t="n">
        <v>3</v>
      </c>
      <c r="B196" s="5" t="n">
        <v>12</v>
      </c>
      <c r="C196" s="5" t="n">
        <f>DAY(DATE('Assumptions and Catalog'!$C$24+A196-1,B196+1,0))</f>
        <v>31</v>
      </c>
      <c r="D196" s="5" t="n">
        <f>IF(ISNUMBER(Inputs!$L$5),Inputs!$L$5*Inputs!$L$6,0)</f>
        <v>40.35</v>
      </c>
      <c r="E196" s="5" t="n">
        <f>IF(ISNUMBER(Inputs!$L$5),Inputs!$L$5-D196,0)</f>
        <v>40.35</v>
      </c>
      <c r="F196" s="5" t="n">
        <f>C$51*INDEX('Solar Production'!$D$20:$D$31,B196)*C196*(1-'Assumptions and Catalog'!$C$10)^(A196-1)</f>
        <v>1136.073488</v>
      </c>
      <c r="G196" s="5" t="n">
        <f>MIN(F196,D196*C196)</f>
        <v>1136.073488</v>
      </c>
      <c r="H196" s="5" t="n">
        <f>I196/('Assumptions and Catalog'!$C$11*'Assumptions and Catalog'!$C$12)</f>
        <v>0</v>
      </c>
      <c r="I196" s="5" t="n">
        <f>0</f>
        <v>0</v>
      </c>
      <c r="J196" s="5" t="n">
        <f>MAX(F196-G196-H196,0)</f>
        <v>0</v>
      </c>
      <c r="K196" s="5" t="n">
        <f>H196-I196</f>
        <v>0</v>
      </c>
      <c r="L196" s="5" t="n">
        <f>(D196+E196)*C196-G196-I196+0+0</f>
        <v>1365.626512</v>
      </c>
      <c r="M196" s="5" t="n">
        <f>IF(ISNUMBER(Inputs!$L$5),(IF(Inputs!$L$9="Actual flat rate",((D196+E196)*C196)*Inputs!$L$10,IF(Inputs!$C$9="Residential",IF(((D196+E196)*C196)&lt;='Assumptions and Catalog'!$C$50,((D196+E196)*C196)*'Assumptions and Catalog'!$H$50+'Assumptions and Catalog'!$E$50+'Assumptions and Catalog'!$F$50,IF(((D196+E196)*C196)&lt;='Assumptions and Catalog'!$C$51,((D196+E196)*C196)*'Assumptions and Catalog'!$H$51+'Assumptions and Catalog'!$E$51+'Assumptions and Catalog'!$F$51,IF(((D196+E196)*C196)&lt;='Assumptions and Catalog'!$C$52,((D196+E196)*C196)*'Assumptions and Catalog'!$H$52+'Assumptions and Catalog'!$E$52+'Assumptions and Catalog'!$F$52,IF(((D196+E196)*C196)&lt;='Assumptions and Catalog'!$C$53,((D196+E196)*C196)*'Assumptions and Catalog'!$H$53+'Assumptions and Catalog'!$E$53+'Assumptions and Catalog'!$F$53,IF(((D196+E196)*C196)&lt;='Assumptions and Catalog'!$C$54,((D196+E196)*C196)*'Assumptions and Catalog'!$H$54+'Assumptions and Catalog'!$E$54+'Assumptions and Catalog'!$F$54,IF(((D196+E196)*C196)&lt;='Assumptions and Catalog'!$C$55,((D196+E196)*C196)*'Assumptions and Catalog'!$H$55+'Assumptions and Catalog'!$E$55+'Assumptions and Catalog'!$F$55,IF(((D196+E196)*C196)&lt;='Assumptions and Catalog'!$C$56,((D196+E196)*C196)*'Assumptions and Catalog'!$H$56+'Assumptions and Catalog'!$E$56+'Assumptions and Catalog'!$F$56,IF(((D196+E196)*C196)&lt;='Assumptions and Catalog'!$C$57,((D196+E196)*C196)*'Assumptions and Catalog'!$H$57+'Assumptions and Catalog'!$E$57+'Assumptions and Catalog'!$F$57,"Out of range")))))))),IF(((D196+E196)*C196)&lt;='Assumptions and Catalog'!$C$60,((D196+E196)*C196)*'Assumptions and Catalog'!$H$60+'Assumptions and Catalog'!$E$60+'Assumptions and Catalog'!$F$60,IF(((D196+E196)*C196)&lt;='Assumptions and Catalog'!$C$61,((D196+E196)*C196)*'Assumptions and Catalog'!$H$61+'Assumptions and Catalog'!$E$61+'Assumptions and Catalog'!$F$61,IF(((D196+E196)*C196)&lt;='Assumptions and Catalog'!$C$62,((D196+E196)*C196)*'Assumptions and Catalog'!$H$62+'Assumptions and Catalog'!$E$62+'Assumptions and Catalog'!$F$62,IF(((D196+E196)*C196)&lt;='Assumptions and Catalog'!$C$63,((D196+E196)*C196)*'Assumptions and Catalog'!$H$63+'Assumptions and Catalog'!$E$63+'Assumptions and Catalog'!$F$63,IF(((D196+E196)*C196)&lt;='Assumptions and Catalog'!$C$64,((D196+E196)*C196)*'Assumptions and Catalog'!$H$64+'Assumptions and Catalog'!$E$64+'Assumptions and Catalog'!$F$64,IF(((D196+E196)*C196)&lt;='Assumptions and Catalog'!$C$65,((D196+E196)*C196)*'Assumptions and Catalog'!$H$65+'Assumptions and Catalog'!$E$65+'Assumptions and Catalog'!$F$65,"Out of range")))))))))*(1+'Assumptions and Catalog'!$C$8)^(A196-1),0)</f>
        <v>7094.794</v>
      </c>
      <c r="N196" s="5" t="n">
        <f>IF(ISNUMBER(Inputs!$L$5),(IF(Inputs!$L$9="Actual flat rate",L196*Inputs!$L$10,IF(Inputs!$C$9="Residential",IF(L196&lt;='Assumptions and Catalog'!$C$50,L196*'Assumptions and Catalog'!$H$50+'Assumptions and Catalog'!$E$50+'Assumptions and Catalog'!$F$50,IF(L196&lt;='Assumptions and Catalog'!$C$51,L196*'Assumptions and Catalog'!$H$51+'Assumptions and Catalog'!$E$51+'Assumptions and Catalog'!$F$51,IF(L196&lt;='Assumptions and Catalog'!$C$52,L196*'Assumptions and Catalog'!$H$52+'Assumptions and Catalog'!$E$52+'Assumptions and Catalog'!$F$52,IF(L196&lt;='Assumptions and Catalog'!$C$53,L196*'Assumptions and Catalog'!$H$53+'Assumptions and Catalog'!$E$53+'Assumptions and Catalog'!$F$53,IF(L196&lt;='Assumptions and Catalog'!$C$54,L196*'Assumptions and Catalog'!$H$54+'Assumptions and Catalog'!$E$54+'Assumptions and Catalog'!$F$54,IF(L196&lt;='Assumptions and Catalog'!$C$55,L196*'Assumptions and Catalog'!$H$55+'Assumptions and Catalog'!$E$55+'Assumptions and Catalog'!$F$55,IF(L196&lt;='Assumptions and Catalog'!$C$56,L196*'Assumptions and Catalog'!$H$56+'Assumptions and Catalog'!$E$56+'Assumptions and Catalog'!$F$56,IF(L196&lt;='Assumptions and Catalog'!$C$57,L196*'Assumptions and Catalog'!$H$57+'Assumptions and Catalog'!$E$57+'Assumptions and Catalog'!$F$57,"Out of range")))))))),IF(L196&lt;='Assumptions and Catalog'!$C$60,L196*'Assumptions and Catalog'!$H$60+'Assumptions and Catalog'!$E$60+'Assumptions and Catalog'!$F$60,IF(L196&lt;='Assumptions and Catalog'!$C$61,L196*'Assumptions and Catalog'!$H$61+'Assumptions and Catalog'!$E$61+'Assumptions and Catalog'!$F$61,IF(L196&lt;='Assumptions and Catalog'!$C$62,L196*'Assumptions and Catalog'!$H$62+'Assumptions and Catalog'!$E$62+'Assumptions and Catalog'!$F$62,IF(L196&lt;='Assumptions and Catalog'!$C$63,L196*'Assumptions and Catalog'!$H$63+'Assumptions and Catalog'!$E$63+'Assumptions and Catalog'!$F$63,IF(L196&lt;='Assumptions and Catalog'!$C$64,L196*'Assumptions and Catalog'!$H$64+'Assumptions and Catalog'!$E$64+'Assumptions and Catalog'!$F$64,IF(L196&lt;='Assumptions and Catalog'!$C$65,L196*'Assumptions and Catalog'!$H$65+'Assumptions and Catalog'!$E$65+'Assumptions and Catalog'!$F$65,"Out of range")))))))))*(1+'Assumptions and Catalog'!$C$8)^(A196-1),0)</f>
        <v>3891.06676384</v>
      </c>
      <c r="O196" s="5" t="n">
        <f>M196-N196</f>
        <v>3203.72723616</v>
      </c>
      <c r="P196" s="5" t="n">
        <f>C$55*(1-J$14)*(1-'Assumptions and Catalog'!$C$23)^R196</f>
        <v>0</v>
      </c>
      <c r="Q196" s="5" t="n">
        <f>IF(ISNUMBER(Inputs!$L$5),(IF(Inputs!$L$9="Actual flat rate",((D196+E196)*C196-G196)*Inputs!$L$10,IF(Inputs!$C$9="Residential",IF(((D196+E196)*C196-G196)&lt;='Assumptions and Catalog'!$C$50,((D196+E196)*C196-G196)*'Assumptions and Catalog'!$H$50+'Assumptions and Catalog'!$E$50+'Assumptions and Catalog'!$F$50,IF(((D196+E196)*C196-G196)&lt;='Assumptions and Catalog'!$C$51,((D196+E196)*C196-G196)*'Assumptions and Catalog'!$H$51+'Assumptions and Catalog'!$E$51+'Assumptions and Catalog'!$F$51,IF(((D196+E196)*C196-G196)&lt;='Assumptions and Catalog'!$C$52,((D196+E196)*C196-G196)*'Assumptions and Catalog'!$H$52+'Assumptions and Catalog'!$E$52+'Assumptions and Catalog'!$F$52,IF(((D196+E196)*C196-G196)&lt;='Assumptions and Catalog'!$C$53,((D196+E196)*C196-G196)*'Assumptions and Catalog'!$H$53+'Assumptions and Catalog'!$E$53+'Assumptions and Catalog'!$F$53,IF(((D196+E196)*C196-G196)&lt;='Assumptions and Catalog'!$C$54,((D196+E196)*C196-G196)*'Assumptions and Catalog'!$H$54+'Assumptions and Catalog'!$E$54+'Assumptions and Catalog'!$F$54,IF(((D196+E196)*C196-G196)&lt;='Assumptions and Catalog'!$C$55,((D196+E196)*C196-G196)*'Assumptions and Catalog'!$H$55+'Assumptions and Catalog'!$E$55+'Assumptions and Catalog'!$F$55,IF(((D196+E196)*C196-G196)&lt;='Assumptions and Catalog'!$C$56,((D196+E196)*C196-G196)*'Assumptions and Catalog'!$H$56+'Assumptions and Catalog'!$E$56+'Assumptions and Catalog'!$F$56,IF(((D196+E196)*C196-G196)&lt;='Assumptions and Catalog'!$C$57,((D196+E196)*C196-G196)*'Assumptions and Catalog'!$H$57+'Assumptions and Catalog'!$E$57+'Assumptions and Catalog'!$F$57,"Out of range")))))))),IF(((D196+E196)*C196-G196)&lt;='Assumptions and Catalog'!$C$60,((D196+E196)*C196-G196)*'Assumptions and Catalog'!$H$60+'Assumptions and Catalog'!$E$60+'Assumptions and Catalog'!$F$60,IF(((D196+E196)*C196-G196)&lt;='Assumptions and Catalog'!$C$61,((D196+E196)*C196-G196)*'Assumptions and Catalog'!$H$61+'Assumptions and Catalog'!$E$61+'Assumptions and Catalog'!$F$61,IF(((D196+E196)*C196-G196)&lt;='Assumptions and Catalog'!$C$62,((D196+E196)*C196-G196)*'Assumptions and Catalog'!$H$62+'Assumptions and Catalog'!$E$62+'Assumptions and Catalog'!$F$62,IF(((D196+E196)*C196-G196)&lt;='Assumptions and Catalog'!$C$63,((D196+E196)*C196-G196)*'Assumptions and Catalog'!$H$63+'Assumptions and Catalog'!$E$63+'Assumptions and Catalog'!$F$63,IF(((D196+E196)*C196-G196)&lt;='Assumptions and Catalog'!$C$64,((D196+E196)*C196-G196)*'Assumptions and Catalog'!$H$64+'Assumptions and Catalog'!$E$64+'Assumptions and Catalog'!$F$64,IF(((D196+E196)*C196-G196)&lt;='Assumptions and Catalog'!$C$65,((D196+E196)*C196-G196)*'Assumptions and Catalog'!$H$65+'Assumptions and Catalog'!$E$65+'Assumptions and Catalog'!$F$65,"Out of range")))))))))*(1+'Assumptions and Catalog'!$C$8)^(A196-1),0)</f>
        <v>3891.06676384</v>
      </c>
      <c r="R196" s="5" t="n">
        <f>IF(AND('Assumptions and Catalog'!$C$19&gt;0,A196&gt;='Assumptions and Catalog'!$C$19),A196-'Assumptions and Catalog'!$C$19,A196-1)</f>
        <v>2</v>
      </c>
      <c r="S196" s="5" t="n">
        <f>F196+L196-(D196+E196)*C196-J196-K196-0</f>
        <v>0</v>
      </c>
      <c r="T196" s="5"/>
      <c r="U196" s="5"/>
    </row>
    <row r="197" ht="23.100000381469727" customHeight="1">
      <c r="A197" s="5" t="n">
        <v>4</v>
      </c>
      <c r="B197" s="5" t="n">
        <v>1</v>
      </c>
      <c r="C197" s="5" t="n">
        <f>DAY(DATE('Assumptions and Catalog'!$C$24+A197-1,B197+1,0))</f>
        <v>31</v>
      </c>
      <c r="D197" s="5" t="n">
        <f>IF(ISNUMBER(Inputs!$L$5),Inputs!$L$5*Inputs!$L$6,0)</f>
        <v>40.35</v>
      </c>
      <c r="E197" s="5" t="n">
        <f>IF(ISNUMBER(Inputs!$L$5),Inputs!$L$5-D197,0)</f>
        <v>40.35</v>
      </c>
      <c r="F197" s="5" t="n">
        <f>C$51*INDEX('Solar Production'!$D$20:$D$31,B197)*C197*(1-'Assumptions and Catalog'!$C$10)^(A197-1)</f>
        <v>1138.19491357</v>
      </c>
      <c r="G197" s="5" t="n">
        <f>MIN(F197,D197*C197)</f>
        <v>1138.19491357</v>
      </c>
      <c r="H197" s="5" t="n">
        <f>I197/('Assumptions and Catalog'!$C$11*'Assumptions and Catalog'!$C$12)</f>
        <v>0</v>
      </c>
      <c r="I197" s="5" t="n">
        <f>0</f>
        <v>0</v>
      </c>
      <c r="J197" s="5" t="n">
        <f>MAX(F197-G197-H197,0)</f>
        <v>0</v>
      </c>
      <c r="K197" s="5" t="n">
        <f>H197-I197</f>
        <v>0</v>
      </c>
      <c r="L197" s="5" t="n">
        <f>(D197+E197)*C197-G197-I197+0+0</f>
        <v>1363.50508643</v>
      </c>
      <c r="M197" s="5" t="n">
        <f>IF(ISNUMBER(Inputs!$L$5),(IF(Inputs!$L$9="Actual flat rate",((D197+E197)*C197)*Inputs!$L$10,IF(Inputs!$C$9="Residential",IF(((D197+E197)*C197)&lt;='Assumptions and Catalog'!$C$50,((D197+E197)*C197)*'Assumptions and Catalog'!$H$50+'Assumptions and Catalog'!$E$50+'Assumptions and Catalog'!$F$50,IF(((D197+E197)*C197)&lt;='Assumptions and Catalog'!$C$51,((D197+E197)*C197)*'Assumptions and Catalog'!$H$51+'Assumptions and Catalog'!$E$51+'Assumptions and Catalog'!$F$51,IF(((D197+E197)*C197)&lt;='Assumptions and Catalog'!$C$52,((D197+E197)*C197)*'Assumptions and Catalog'!$H$52+'Assumptions and Catalog'!$E$52+'Assumptions and Catalog'!$F$52,IF(((D197+E197)*C197)&lt;='Assumptions and Catalog'!$C$53,((D197+E197)*C197)*'Assumptions and Catalog'!$H$53+'Assumptions and Catalog'!$E$53+'Assumptions and Catalog'!$F$53,IF(((D197+E197)*C197)&lt;='Assumptions and Catalog'!$C$54,((D197+E197)*C197)*'Assumptions and Catalog'!$H$54+'Assumptions and Catalog'!$E$54+'Assumptions and Catalog'!$F$54,IF(((D197+E197)*C197)&lt;='Assumptions and Catalog'!$C$55,((D197+E197)*C197)*'Assumptions and Catalog'!$H$55+'Assumptions and Catalog'!$E$55+'Assumptions and Catalog'!$F$55,IF(((D197+E197)*C197)&lt;='Assumptions and Catalog'!$C$56,((D197+E197)*C197)*'Assumptions and Catalog'!$H$56+'Assumptions and Catalog'!$E$56+'Assumptions and Catalog'!$F$56,IF(((D197+E197)*C197)&lt;='Assumptions and Catalog'!$C$57,((D197+E197)*C197)*'Assumptions and Catalog'!$H$57+'Assumptions and Catalog'!$E$57+'Assumptions and Catalog'!$F$57,"Out of range")))))))),IF(((D197+E197)*C197)&lt;='Assumptions and Catalog'!$C$60,((D197+E197)*C197)*'Assumptions and Catalog'!$H$60+'Assumptions and Catalog'!$E$60+'Assumptions and Catalog'!$F$60,IF(((D197+E197)*C197)&lt;='Assumptions and Catalog'!$C$61,((D197+E197)*C197)*'Assumptions and Catalog'!$H$61+'Assumptions and Catalog'!$E$61+'Assumptions and Catalog'!$F$61,IF(((D197+E197)*C197)&lt;='Assumptions and Catalog'!$C$62,((D197+E197)*C197)*'Assumptions and Catalog'!$H$62+'Assumptions and Catalog'!$E$62+'Assumptions and Catalog'!$F$62,IF(((D197+E197)*C197)&lt;='Assumptions and Catalog'!$C$63,((D197+E197)*C197)*'Assumptions and Catalog'!$H$63+'Assumptions and Catalog'!$E$63+'Assumptions and Catalog'!$F$63,IF(((D197+E197)*C197)&lt;='Assumptions and Catalog'!$C$64,((D197+E197)*C197)*'Assumptions and Catalog'!$H$64+'Assumptions and Catalog'!$E$64+'Assumptions and Catalog'!$F$64,IF(((D197+E197)*C197)&lt;='Assumptions and Catalog'!$C$65,((D197+E197)*C197)*'Assumptions and Catalog'!$H$65+'Assumptions and Catalog'!$E$65+'Assumptions and Catalog'!$F$65,"Out of range")))))))))*(1+'Assumptions and Catalog'!$C$8)^(A197-1),0)</f>
        <v>7094.794</v>
      </c>
      <c r="N197" s="5" t="n">
        <f>IF(ISNUMBER(Inputs!$L$5),(IF(Inputs!$L$9="Actual flat rate",L197*Inputs!$L$10,IF(Inputs!$C$9="Residential",IF(L197&lt;='Assumptions and Catalog'!$C$50,L197*'Assumptions and Catalog'!$H$50+'Assumptions and Catalog'!$E$50+'Assumptions and Catalog'!$F$50,IF(L197&lt;='Assumptions and Catalog'!$C$51,L197*'Assumptions and Catalog'!$H$51+'Assumptions and Catalog'!$E$51+'Assumptions and Catalog'!$F$51,IF(L197&lt;='Assumptions and Catalog'!$C$52,L197*'Assumptions and Catalog'!$H$52+'Assumptions and Catalog'!$E$52+'Assumptions and Catalog'!$F$52,IF(L197&lt;='Assumptions and Catalog'!$C$53,L197*'Assumptions and Catalog'!$H$53+'Assumptions and Catalog'!$E$53+'Assumptions and Catalog'!$F$53,IF(L197&lt;='Assumptions and Catalog'!$C$54,L197*'Assumptions and Catalog'!$H$54+'Assumptions and Catalog'!$E$54+'Assumptions and Catalog'!$F$54,IF(L197&lt;='Assumptions and Catalog'!$C$55,L197*'Assumptions and Catalog'!$H$55+'Assumptions and Catalog'!$E$55+'Assumptions and Catalog'!$F$55,IF(L197&lt;='Assumptions and Catalog'!$C$56,L197*'Assumptions and Catalog'!$H$56+'Assumptions and Catalog'!$E$56+'Assumptions and Catalog'!$F$56,IF(L197&lt;='Assumptions and Catalog'!$C$57,L197*'Assumptions and Catalog'!$H$57+'Assumptions and Catalog'!$E$57+'Assumptions and Catalog'!$F$57,"Out of range")))))))),IF(L197&lt;='Assumptions and Catalog'!$C$60,L197*'Assumptions and Catalog'!$H$60+'Assumptions and Catalog'!$E$60+'Assumptions and Catalog'!$F$60,IF(L197&lt;='Assumptions and Catalog'!$C$61,L197*'Assumptions and Catalog'!$H$61+'Assumptions and Catalog'!$E$61+'Assumptions and Catalog'!$F$61,IF(L197&lt;='Assumptions and Catalog'!$C$62,L197*'Assumptions and Catalog'!$H$62+'Assumptions and Catalog'!$E$62+'Assumptions and Catalog'!$F$62,IF(L197&lt;='Assumptions and Catalog'!$C$63,L197*'Assumptions and Catalog'!$H$63+'Assumptions and Catalog'!$E$63+'Assumptions and Catalog'!$F$63,IF(L197&lt;='Assumptions and Catalog'!$C$64,L197*'Assumptions and Catalog'!$H$64+'Assumptions and Catalog'!$E$64+'Assumptions and Catalog'!$F$64,IF(L197&lt;='Assumptions and Catalog'!$C$65,L197*'Assumptions and Catalog'!$H$65+'Assumptions and Catalog'!$E$65+'Assumptions and Catalog'!$F$65,"Out of range")))))))))*(1+'Assumptions and Catalog'!$C$8)^(A197-1),0)</f>
        <v>3885.0843437326</v>
      </c>
      <c r="O197" s="5" t="n">
        <f>M197-N197</f>
        <v>3209.7096562674</v>
      </c>
      <c r="P197" s="5" t="n">
        <f>C$55*(1-J$14)*(1-'Assumptions and Catalog'!$C$23)^R197</f>
        <v>0</v>
      </c>
      <c r="Q197" s="5" t="n">
        <f>IF(ISNUMBER(Inputs!$L$5),(IF(Inputs!$L$9="Actual flat rate",((D197+E197)*C197-G197)*Inputs!$L$10,IF(Inputs!$C$9="Residential",IF(((D197+E197)*C197-G197)&lt;='Assumptions and Catalog'!$C$50,((D197+E197)*C197-G197)*'Assumptions and Catalog'!$H$50+'Assumptions and Catalog'!$E$50+'Assumptions and Catalog'!$F$50,IF(((D197+E197)*C197-G197)&lt;='Assumptions and Catalog'!$C$51,((D197+E197)*C197-G197)*'Assumptions and Catalog'!$H$51+'Assumptions and Catalog'!$E$51+'Assumptions and Catalog'!$F$51,IF(((D197+E197)*C197-G197)&lt;='Assumptions and Catalog'!$C$52,((D197+E197)*C197-G197)*'Assumptions and Catalog'!$H$52+'Assumptions and Catalog'!$E$52+'Assumptions and Catalog'!$F$52,IF(((D197+E197)*C197-G197)&lt;='Assumptions and Catalog'!$C$53,((D197+E197)*C197-G197)*'Assumptions and Catalog'!$H$53+'Assumptions and Catalog'!$E$53+'Assumptions and Catalog'!$F$53,IF(((D197+E197)*C197-G197)&lt;='Assumptions and Catalog'!$C$54,((D197+E197)*C197-G197)*'Assumptions and Catalog'!$H$54+'Assumptions and Catalog'!$E$54+'Assumptions and Catalog'!$F$54,IF(((D197+E197)*C197-G197)&lt;='Assumptions and Catalog'!$C$55,((D197+E197)*C197-G197)*'Assumptions and Catalog'!$H$55+'Assumptions and Catalog'!$E$55+'Assumptions and Catalog'!$F$55,IF(((D197+E197)*C197-G197)&lt;='Assumptions and Catalog'!$C$56,((D197+E197)*C197-G197)*'Assumptions and Catalog'!$H$56+'Assumptions and Catalog'!$E$56+'Assumptions and Catalog'!$F$56,IF(((D197+E197)*C197-G197)&lt;='Assumptions and Catalog'!$C$57,((D197+E197)*C197-G197)*'Assumptions and Catalog'!$H$57+'Assumptions and Catalog'!$E$57+'Assumptions and Catalog'!$F$57,"Out of range")))))))),IF(((D197+E197)*C197-G197)&lt;='Assumptions and Catalog'!$C$60,((D197+E197)*C197-G197)*'Assumptions and Catalog'!$H$60+'Assumptions and Catalog'!$E$60+'Assumptions and Catalog'!$F$60,IF(((D197+E197)*C197-G197)&lt;='Assumptions and Catalog'!$C$61,((D197+E197)*C197-G197)*'Assumptions and Catalog'!$H$61+'Assumptions and Catalog'!$E$61+'Assumptions and Catalog'!$F$61,IF(((D197+E197)*C197-G197)&lt;='Assumptions and Catalog'!$C$62,((D197+E197)*C197-G197)*'Assumptions and Catalog'!$H$62+'Assumptions and Catalog'!$E$62+'Assumptions and Catalog'!$F$62,IF(((D197+E197)*C197-G197)&lt;='Assumptions and Catalog'!$C$63,((D197+E197)*C197-G197)*'Assumptions and Catalog'!$H$63+'Assumptions and Catalog'!$E$63+'Assumptions and Catalog'!$F$63,IF(((D197+E197)*C197-G197)&lt;='Assumptions and Catalog'!$C$64,((D197+E197)*C197-G197)*'Assumptions and Catalog'!$H$64+'Assumptions and Catalog'!$E$64+'Assumptions and Catalog'!$F$64,IF(((D197+E197)*C197-G197)&lt;='Assumptions and Catalog'!$C$65,((D197+E197)*C197-G197)*'Assumptions and Catalog'!$H$65+'Assumptions and Catalog'!$E$65+'Assumptions and Catalog'!$F$65,"Out of range")))))))))*(1+'Assumptions and Catalog'!$C$8)^(A197-1),0)</f>
        <v>3885.0843437326</v>
      </c>
      <c r="R197" s="5" t="n">
        <f>IF(AND('Assumptions and Catalog'!$C$19&gt;0,A197&gt;='Assumptions and Catalog'!$C$19),A197-'Assumptions and Catalog'!$C$19,A197-1)</f>
        <v>3</v>
      </c>
      <c r="S197" s="5" t="n">
        <f>F197+L197-(D197+E197)*C197-J197-K197-0</f>
        <v>0</v>
      </c>
      <c r="T197" s="5"/>
      <c r="U197" s="5"/>
    </row>
    <row r="198" ht="23.100000381469727" customHeight="1">
      <c r="A198" s="5" t="n">
        <v>4</v>
      </c>
      <c r="B198" s="5" t="n">
        <v>2</v>
      </c>
      <c r="C198" s="5" t="n">
        <f>DAY(DATE('Assumptions and Catalog'!$C$24+A198-1,B198+1,0))</f>
        <v>28</v>
      </c>
      <c r="D198" s="5" t="n">
        <f>IF(ISNUMBER(Inputs!$L$5),Inputs!$L$5*Inputs!$L$6,0)</f>
        <v>40.35</v>
      </c>
      <c r="E198" s="5" t="n">
        <f>IF(ISNUMBER(Inputs!$L$5),Inputs!$L$5-D198,0)</f>
        <v>40.35</v>
      </c>
      <c r="F198" s="5" t="n">
        <f>C$51*INDEX('Solar Production'!$D$20:$D$31,B198)*C198*(1-'Assumptions and Catalog'!$C$10)^(A198-1)</f>
        <v>1122.157894605</v>
      </c>
      <c r="G198" s="5" t="n">
        <f>MIN(F198,D198*C198)</f>
        <v>1122.157894605</v>
      </c>
      <c r="H198" s="5" t="n">
        <f>I198/('Assumptions and Catalog'!$C$11*'Assumptions and Catalog'!$C$12)</f>
        <v>0</v>
      </c>
      <c r="I198" s="5" t="n">
        <f>0</f>
        <v>0</v>
      </c>
      <c r="J198" s="5" t="n">
        <f>MAX(F198-G198-H198,0)</f>
        <v>0</v>
      </c>
      <c r="K198" s="5" t="n">
        <f>H198-I198</f>
        <v>0</v>
      </c>
      <c r="L198" s="5" t="n">
        <f>(D198+E198)*C198-G198-I198+0+0</f>
        <v>1137.442105395</v>
      </c>
      <c r="M198" s="5" t="n">
        <f>IF(ISNUMBER(Inputs!$L$5),(IF(Inputs!$L$9="Actual flat rate",((D198+E198)*C198)*Inputs!$L$10,IF(Inputs!$C$9="Residential",IF(((D198+E198)*C198)&lt;='Assumptions and Catalog'!$C$50,((D198+E198)*C198)*'Assumptions and Catalog'!$H$50+'Assumptions and Catalog'!$E$50+'Assumptions and Catalog'!$F$50,IF(((D198+E198)*C198)&lt;='Assumptions and Catalog'!$C$51,((D198+E198)*C198)*'Assumptions and Catalog'!$H$51+'Assumptions and Catalog'!$E$51+'Assumptions and Catalog'!$F$51,IF(((D198+E198)*C198)&lt;='Assumptions and Catalog'!$C$52,((D198+E198)*C198)*'Assumptions and Catalog'!$H$52+'Assumptions and Catalog'!$E$52+'Assumptions and Catalog'!$F$52,IF(((D198+E198)*C198)&lt;='Assumptions and Catalog'!$C$53,((D198+E198)*C198)*'Assumptions and Catalog'!$H$53+'Assumptions and Catalog'!$E$53+'Assumptions and Catalog'!$F$53,IF(((D198+E198)*C198)&lt;='Assumptions and Catalog'!$C$54,((D198+E198)*C198)*'Assumptions and Catalog'!$H$54+'Assumptions and Catalog'!$E$54+'Assumptions and Catalog'!$F$54,IF(((D198+E198)*C198)&lt;='Assumptions and Catalog'!$C$55,((D198+E198)*C198)*'Assumptions and Catalog'!$H$55+'Assumptions and Catalog'!$E$55+'Assumptions and Catalog'!$F$55,IF(((D198+E198)*C198)&lt;='Assumptions and Catalog'!$C$56,((D198+E198)*C198)*'Assumptions and Catalog'!$H$56+'Assumptions and Catalog'!$E$56+'Assumptions and Catalog'!$F$56,IF(((D198+E198)*C198)&lt;='Assumptions and Catalog'!$C$57,((D198+E198)*C198)*'Assumptions and Catalog'!$H$57+'Assumptions and Catalog'!$E$57+'Assumptions and Catalog'!$F$57,"Out of range")))))))),IF(((D198+E198)*C198)&lt;='Assumptions and Catalog'!$C$60,((D198+E198)*C198)*'Assumptions and Catalog'!$H$60+'Assumptions and Catalog'!$E$60+'Assumptions and Catalog'!$F$60,IF(((D198+E198)*C198)&lt;='Assumptions and Catalog'!$C$61,((D198+E198)*C198)*'Assumptions and Catalog'!$H$61+'Assumptions and Catalog'!$E$61+'Assumptions and Catalog'!$F$61,IF(((D198+E198)*C198)&lt;='Assumptions and Catalog'!$C$62,((D198+E198)*C198)*'Assumptions and Catalog'!$H$62+'Assumptions and Catalog'!$E$62+'Assumptions and Catalog'!$F$62,IF(((D198+E198)*C198)&lt;='Assumptions and Catalog'!$C$63,((D198+E198)*C198)*'Assumptions and Catalog'!$H$63+'Assumptions and Catalog'!$E$63+'Assumptions and Catalog'!$F$63,IF(((D198+E198)*C198)&lt;='Assumptions and Catalog'!$C$64,((D198+E198)*C198)*'Assumptions and Catalog'!$H$64+'Assumptions and Catalog'!$E$64+'Assumptions and Catalog'!$F$64,IF(((D198+E198)*C198)&lt;='Assumptions and Catalog'!$C$65,((D198+E198)*C198)*'Assumptions and Catalog'!$H$65+'Assumptions and Catalog'!$E$65+'Assumptions and Catalog'!$F$65,"Out of range")))))))))*(1+'Assumptions and Catalog'!$C$8)^(A198-1),0)</f>
        <v>6412.072</v>
      </c>
      <c r="N198" s="5" t="n">
        <f>IF(ISNUMBER(Inputs!$L$5),(IF(Inputs!$L$9="Actual flat rate",L198*Inputs!$L$10,IF(Inputs!$C$9="Residential",IF(L198&lt;='Assumptions and Catalog'!$C$50,L198*'Assumptions and Catalog'!$H$50+'Assumptions and Catalog'!$E$50+'Assumptions and Catalog'!$F$50,IF(L198&lt;='Assumptions and Catalog'!$C$51,L198*'Assumptions and Catalog'!$H$51+'Assumptions and Catalog'!$E$51+'Assumptions and Catalog'!$F$51,IF(L198&lt;='Assumptions and Catalog'!$C$52,L198*'Assumptions and Catalog'!$H$52+'Assumptions and Catalog'!$E$52+'Assumptions and Catalog'!$F$52,IF(L198&lt;='Assumptions and Catalog'!$C$53,L198*'Assumptions and Catalog'!$H$53+'Assumptions and Catalog'!$E$53+'Assumptions and Catalog'!$F$53,IF(L198&lt;='Assumptions and Catalog'!$C$54,L198*'Assumptions and Catalog'!$H$54+'Assumptions and Catalog'!$E$54+'Assumptions and Catalog'!$F$54,IF(L198&lt;='Assumptions and Catalog'!$C$55,L198*'Assumptions and Catalog'!$H$55+'Assumptions and Catalog'!$E$55+'Assumptions and Catalog'!$F$55,IF(L198&lt;='Assumptions and Catalog'!$C$56,L198*'Assumptions and Catalog'!$H$56+'Assumptions and Catalog'!$E$56+'Assumptions and Catalog'!$F$56,IF(L198&lt;='Assumptions and Catalog'!$C$57,L198*'Assumptions and Catalog'!$H$57+'Assumptions and Catalog'!$E$57+'Assumptions and Catalog'!$F$57,"Out of range")))))))),IF(L198&lt;='Assumptions and Catalog'!$C$60,L198*'Assumptions and Catalog'!$H$60+'Assumptions and Catalog'!$E$60+'Assumptions and Catalog'!$F$60,IF(L198&lt;='Assumptions and Catalog'!$C$61,L198*'Assumptions and Catalog'!$H$61+'Assumptions and Catalog'!$E$61+'Assumptions and Catalog'!$F$61,IF(L198&lt;='Assumptions and Catalog'!$C$62,L198*'Assumptions and Catalog'!$H$62+'Assumptions and Catalog'!$E$62+'Assumptions and Catalog'!$F$62,IF(L198&lt;='Assumptions and Catalog'!$C$63,L198*'Assumptions and Catalog'!$H$63+'Assumptions and Catalog'!$E$63+'Assumptions and Catalog'!$F$63,IF(L198&lt;='Assumptions and Catalog'!$C$64,L198*'Assumptions and Catalog'!$H$64+'Assumptions and Catalog'!$E$64+'Assumptions and Catalog'!$F$64,IF(L198&lt;='Assumptions and Catalog'!$C$65,L198*'Assumptions and Catalog'!$H$65+'Assumptions and Catalog'!$E$65+'Assumptions and Catalog'!$F$65,"Out of range")))))))))*(1+'Assumptions and Catalog'!$C$8)^(A198-1),0)</f>
        <v>3247.5867372139</v>
      </c>
      <c r="O198" s="5" t="n">
        <f>M198-N198</f>
        <v>3164.4852627861</v>
      </c>
      <c r="P198" s="5" t="n">
        <f>C$55*(1-J$14)*(1-'Assumptions and Catalog'!$C$23)^R198</f>
        <v>0</v>
      </c>
      <c r="Q198" s="5" t="n">
        <f>IF(ISNUMBER(Inputs!$L$5),(IF(Inputs!$L$9="Actual flat rate",((D198+E198)*C198-G198)*Inputs!$L$10,IF(Inputs!$C$9="Residential",IF(((D198+E198)*C198-G198)&lt;='Assumptions and Catalog'!$C$50,((D198+E198)*C198-G198)*'Assumptions and Catalog'!$H$50+'Assumptions and Catalog'!$E$50+'Assumptions and Catalog'!$F$50,IF(((D198+E198)*C198-G198)&lt;='Assumptions and Catalog'!$C$51,((D198+E198)*C198-G198)*'Assumptions and Catalog'!$H$51+'Assumptions and Catalog'!$E$51+'Assumptions and Catalog'!$F$51,IF(((D198+E198)*C198-G198)&lt;='Assumptions and Catalog'!$C$52,((D198+E198)*C198-G198)*'Assumptions and Catalog'!$H$52+'Assumptions and Catalog'!$E$52+'Assumptions and Catalog'!$F$52,IF(((D198+E198)*C198-G198)&lt;='Assumptions and Catalog'!$C$53,((D198+E198)*C198-G198)*'Assumptions and Catalog'!$H$53+'Assumptions and Catalog'!$E$53+'Assumptions and Catalog'!$F$53,IF(((D198+E198)*C198-G198)&lt;='Assumptions and Catalog'!$C$54,((D198+E198)*C198-G198)*'Assumptions and Catalog'!$H$54+'Assumptions and Catalog'!$E$54+'Assumptions and Catalog'!$F$54,IF(((D198+E198)*C198-G198)&lt;='Assumptions and Catalog'!$C$55,((D198+E198)*C198-G198)*'Assumptions and Catalog'!$H$55+'Assumptions and Catalog'!$E$55+'Assumptions and Catalog'!$F$55,IF(((D198+E198)*C198-G198)&lt;='Assumptions and Catalog'!$C$56,((D198+E198)*C198-G198)*'Assumptions and Catalog'!$H$56+'Assumptions and Catalog'!$E$56+'Assumptions and Catalog'!$F$56,IF(((D198+E198)*C198-G198)&lt;='Assumptions and Catalog'!$C$57,((D198+E198)*C198-G198)*'Assumptions and Catalog'!$H$57+'Assumptions and Catalog'!$E$57+'Assumptions and Catalog'!$F$57,"Out of range")))))))),IF(((D198+E198)*C198-G198)&lt;='Assumptions and Catalog'!$C$60,((D198+E198)*C198-G198)*'Assumptions and Catalog'!$H$60+'Assumptions and Catalog'!$E$60+'Assumptions and Catalog'!$F$60,IF(((D198+E198)*C198-G198)&lt;='Assumptions and Catalog'!$C$61,((D198+E198)*C198-G198)*'Assumptions and Catalog'!$H$61+'Assumptions and Catalog'!$E$61+'Assumptions and Catalog'!$F$61,IF(((D198+E198)*C198-G198)&lt;='Assumptions and Catalog'!$C$62,((D198+E198)*C198-G198)*'Assumptions and Catalog'!$H$62+'Assumptions and Catalog'!$E$62+'Assumptions and Catalog'!$F$62,IF(((D198+E198)*C198-G198)&lt;='Assumptions and Catalog'!$C$63,((D198+E198)*C198-G198)*'Assumptions and Catalog'!$H$63+'Assumptions and Catalog'!$E$63+'Assumptions and Catalog'!$F$63,IF(((D198+E198)*C198-G198)&lt;='Assumptions and Catalog'!$C$64,((D198+E198)*C198-G198)*'Assumptions and Catalog'!$H$64+'Assumptions and Catalog'!$E$64+'Assumptions and Catalog'!$F$64,IF(((D198+E198)*C198-G198)&lt;='Assumptions and Catalog'!$C$65,((D198+E198)*C198-G198)*'Assumptions and Catalog'!$H$65+'Assumptions and Catalog'!$E$65+'Assumptions and Catalog'!$F$65,"Out of range")))))))))*(1+'Assumptions and Catalog'!$C$8)^(A198-1),0)</f>
        <v>3247.5867372139</v>
      </c>
      <c r="R198" s="5" t="n">
        <f>IF(AND('Assumptions and Catalog'!$C$19&gt;0,A198&gt;='Assumptions and Catalog'!$C$19),A198-'Assumptions and Catalog'!$C$19,A198-1)</f>
        <v>3</v>
      </c>
      <c r="S198" s="5" t="n">
        <f>F198+L198-(D198+E198)*C198-J198-K198-0</f>
        <v>0</v>
      </c>
      <c r="T198" s="5"/>
      <c r="U198" s="5"/>
    </row>
    <row r="199" ht="23.100000381469727" customHeight="1">
      <c r="A199" s="5" t="n">
        <v>4</v>
      </c>
      <c r="B199" s="5" t="n">
        <v>3</v>
      </c>
      <c r="C199" s="5" t="n">
        <f>DAY(DATE('Assumptions and Catalog'!$C$24+A199-1,B199+1,0))</f>
        <v>31</v>
      </c>
      <c r="D199" s="5" t="n">
        <f>IF(ISNUMBER(Inputs!$L$5),Inputs!$L$5*Inputs!$L$6,0)</f>
        <v>40.35</v>
      </c>
      <c r="E199" s="5" t="n">
        <f>IF(ISNUMBER(Inputs!$L$5),Inputs!$L$5-D199,0)</f>
        <v>40.35</v>
      </c>
      <c r="F199" s="5" t="n">
        <f>C$51*INDEX('Solar Production'!$D$20:$D$31,B199)*C199*(1-'Assumptions and Catalog'!$C$10)^(A199-1)</f>
        <v>1396.174202434</v>
      </c>
      <c r="G199" s="5" t="n">
        <f>MIN(F199,D199*C199)</f>
        <v>1250.85</v>
      </c>
      <c r="H199" s="5" t="n">
        <f>I199/('Assumptions and Catalog'!$C$11*'Assumptions and Catalog'!$C$12)</f>
        <v>0</v>
      </c>
      <c r="I199" s="5" t="n">
        <f>0</f>
        <v>0</v>
      </c>
      <c r="J199" s="5" t="n">
        <f>MAX(F199-G199-H199,0)</f>
        <v>145.324202434</v>
      </c>
      <c r="K199" s="5" t="n">
        <f>H199-I199</f>
        <v>0</v>
      </c>
      <c r="L199" s="5" t="n">
        <f>(D199+E199)*C199-G199-I199+0+0</f>
        <v>1250.85</v>
      </c>
      <c r="M199" s="5" t="n">
        <f>IF(ISNUMBER(Inputs!$L$5),(IF(Inputs!$L$9="Actual flat rate",((D199+E199)*C199)*Inputs!$L$10,IF(Inputs!$C$9="Residential",IF(((D199+E199)*C199)&lt;='Assumptions and Catalog'!$C$50,((D199+E199)*C199)*'Assumptions and Catalog'!$H$50+'Assumptions and Catalog'!$E$50+'Assumptions and Catalog'!$F$50,IF(((D199+E199)*C199)&lt;='Assumptions and Catalog'!$C$51,((D199+E199)*C199)*'Assumptions and Catalog'!$H$51+'Assumptions and Catalog'!$E$51+'Assumptions and Catalog'!$F$51,IF(((D199+E199)*C199)&lt;='Assumptions and Catalog'!$C$52,((D199+E199)*C199)*'Assumptions and Catalog'!$H$52+'Assumptions and Catalog'!$E$52+'Assumptions and Catalog'!$F$52,IF(((D199+E199)*C199)&lt;='Assumptions and Catalog'!$C$53,((D199+E199)*C199)*'Assumptions and Catalog'!$H$53+'Assumptions and Catalog'!$E$53+'Assumptions and Catalog'!$F$53,IF(((D199+E199)*C199)&lt;='Assumptions and Catalog'!$C$54,((D199+E199)*C199)*'Assumptions and Catalog'!$H$54+'Assumptions and Catalog'!$E$54+'Assumptions and Catalog'!$F$54,IF(((D199+E199)*C199)&lt;='Assumptions and Catalog'!$C$55,((D199+E199)*C199)*'Assumptions and Catalog'!$H$55+'Assumptions and Catalog'!$E$55+'Assumptions and Catalog'!$F$55,IF(((D199+E199)*C199)&lt;='Assumptions and Catalog'!$C$56,((D199+E199)*C199)*'Assumptions and Catalog'!$H$56+'Assumptions and Catalog'!$E$56+'Assumptions and Catalog'!$F$56,IF(((D199+E199)*C199)&lt;='Assumptions and Catalog'!$C$57,((D199+E199)*C199)*'Assumptions and Catalog'!$H$57+'Assumptions and Catalog'!$E$57+'Assumptions and Catalog'!$F$57,"Out of range")))))))),IF(((D199+E199)*C199)&lt;='Assumptions and Catalog'!$C$60,((D199+E199)*C199)*'Assumptions and Catalog'!$H$60+'Assumptions and Catalog'!$E$60+'Assumptions and Catalog'!$F$60,IF(((D199+E199)*C199)&lt;='Assumptions and Catalog'!$C$61,((D199+E199)*C199)*'Assumptions and Catalog'!$H$61+'Assumptions and Catalog'!$E$61+'Assumptions and Catalog'!$F$61,IF(((D199+E199)*C199)&lt;='Assumptions and Catalog'!$C$62,((D199+E199)*C199)*'Assumptions and Catalog'!$H$62+'Assumptions and Catalog'!$E$62+'Assumptions and Catalog'!$F$62,IF(((D199+E199)*C199)&lt;='Assumptions and Catalog'!$C$63,((D199+E199)*C199)*'Assumptions and Catalog'!$H$63+'Assumptions and Catalog'!$E$63+'Assumptions and Catalog'!$F$63,IF(((D199+E199)*C199)&lt;='Assumptions and Catalog'!$C$64,((D199+E199)*C199)*'Assumptions and Catalog'!$H$64+'Assumptions and Catalog'!$E$64+'Assumptions and Catalog'!$F$64,IF(((D199+E199)*C199)&lt;='Assumptions and Catalog'!$C$65,((D199+E199)*C199)*'Assumptions and Catalog'!$H$65+'Assumptions and Catalog'!$E$65+'Assumptions and Catalog'!$F$65,"Out of range")))))))))*(1+'Assumptions and Catalog'!$C$8)^(A199-1),0)</f>
        <v>7094.794</v>
      </c>
      <c r="N199" s="5" t="n">
        <f>IF(ISNUMBER(Inputs!$L$5),(IF(Inputs!$L$9="Actual flat rate",L199*Inputs!$L$10,IF(Inputs!$C$9="Residential",IF(L199&lt;='Assumptions and Catalog'!$C$50,L199*'Assumptions and Catalog'!$H$50+'Assumptions and Catalog'!$E$50+'Assumptions and Catalog'!$F$50,IF(L199&lt;='Assumptions and Catalog'!$C$51,L199*'Assumptions and Catalog'!$H$51+'Assumptions and Catalog'!$E$51+'Assumptions and Catalog'!$F$51,IF(L199&lt;='Assumptions and Catalog'!$C$52,L199*'Assumptions and Catalog'!$H$52+'Assumptions and Catalog'!$E$52+'Assumptions and Catalog'!$F$52,IF(L199&lt;='Assumptions and Catalog'!$C$53,L199*'Assumptions and Catalog'!$H$53+'Assumptions and Catalog'!$E$53+'Assumptions and Catalog'!$F$53,IF(L199&lt;='Assumptions and Catalog'!$C$54,L199*'Assumptions and Catalog'!$H$54+'Assumptions and Catalog'!$E$54+'Assumptions and Catalog'!$F$54,IF(L199&lt;='Assumptions and Catalog'!$C$55,L199*'Assumptions and Catalog'!$H$55+'Assumptions and Catalog'!$E$55+'Assumptions and Catalog'!$F$55,IF(L199&lt;='Assumptions and Catalog'!$C$56,L199*'Assumptions and Catalog'!$H$56+'Assumptions and Catalog'!$E$56+'Assumptions and Catalog'!$F$56,IF(L199&lt;='Assumptions and Catalog'!$C$57,L199*'Assumptions and Catalog'!$H$57+'Assumptions and Catalog'!$E$57+'Assumptions and Catalog'!$F$57,"Out of range")))))))),IF(L199&lt;='Assumptions and Catalog'!$C$60,L199*'Assumptions and Catalog'!$H$60+'Assumptions and Catalog'!$E$60+'Assumptions and Catalog'!$F$60,IF(L199&lt;='Assumptions and Catalog'!$C$61,L199*'Assumptions and Catalog'!$H$61+'Assumptions and Catalog'!$E$61+'Assumptions and Catalog'!$F$61,IF(L199&lt;='Assumptions and Catalog'!$C$62,L199*'Assumptions and Catalog'!$H$62+'Assumptions and Catalog'!$E$62+'Assumptions and Catalog'!$F$62,IF(L199&lt;='Assumptions and Catalog'!$C$63,L199*'Assumptions and Catalog'!$H$63+'Assumptions and Catalog'!$E$63+'Assumptions and Catalog'!$F$63,IF(L199&lt;='Assumptions and Catalog'!$C$64,L199*'Assumptions and Catalog'!$H$64+'Assumptions and Catalog'!$E$64+'Assumptions and Catalog'!$F$64,IF(L199&lt;='Assumptions and Catalog'!$C$65,L199*'Assumptions and Catalog'!$H$65+'Assumptions and Catalog'!$E$65+'Assumptions and Catalog'!$F$65,"Out of range")))))))))*(1+'Assumptions and Catalog'!$C$8)^(A199-1),0)</f>
        <v>3567.397</v>
      </c>
      <c r="O199" s="5" t="n">
        <f>M199-N199</f>
        <v>3527.397</v>
      </c>
      <c r="P199" s="5" t="n">
        <f>C$55*(1-J$14)*(1-'Assumptions and Catalog'!$C$23)^R199</f>
        <v>0</v>
      </c>
      <c r="Q199" s="5" t="n">
        <f>IF(ISNUMBER(Inputs!$L$5),(IF(Inputs!$L$9="Actual flat rate",((D199+E199)*C199-G199)*Inputs!$L$10,IF(Inputs!$C$9="Residential",IF(((D199+E199)*C199-G199)&lt;='Assumptions and Catalog'!$C$50,((D199+E199)*C199-G199)*'Assumptions and Catalog'!$H$50+'Assumptions and Catalog'!$E$50+'Assumptions and Catalog'!$F$50,IF(((D199+E199)*C199-G199)&lt;='Assumptions and Catalog'!$C$51,((D199+E199)*C199-G199)*'Assumptions and Catalog'!$H$51+'Assumptions and Catalog'!$E$51+'Assumptions and Catalog'!$F$51,IF(((D199+E199)*C199-G199)&lt;='Assumptions and Catalog'!$C$52,((D199+E199)*C199-G199)*'Assumptions and Catalog'!$H$52+'Assumptions and Catalog'!$E$52+'Assumptions and Catalog'!$F$52,IF(((D199+E199)*C199-G199)&lt;='Assumptions and Catalog'!$C$53,((D199+E199)*C199-G199)*'Assumptions and Catalog'!$H$53+'Assumptions and Catalog'!$E$53+'Assumptions and Catalog'!$F$53,IF(((D199+E199)*C199-G199)&lt;='Assumptions and Catalog'!$C$54,((D199+E199)*C199-G199)*'Assumptions and Catalog'!$H$54+'Assumptions and Catalog'!$E$54+'Assumptions and Catalog'!$F$54,IF(((D199+E199)*C199-G199)&lt;='Assumptions and Catalog'!$C$55,((D199+E199)*C199-G199)*'Assumptions and Catalog'!$H$55+'Assumptions and Catalog'!$E$55+'Assumptions and Catalog'!$F$55,IF(((D199+E199)*C199-G199)&lt;='Assumptions and Catalog'!$C$56,((D199+E199)*C199-G199)*'Assumptions and Catalog'!$H$56+'Assumptions and Catalog'!$E$56+'Assumptions and Catalog'!$F$56,IF(((D199+E199)*C199-G199)&lt;='Assumptions and Catalog'!$C$57,((D199+E199)*C199-G199)*'Assumptions and Catalog'!$H$57+'Assumptions and Catalog'!$E$57+'Assumptions and Catalog'!$F$57,"Out of range")))))))),IF(((D199+E199)*C199-G199)&lt;='Assumptions and Catalog'!$C$60,((D199+E199)*C199-G199)*'Assumptions and Catalog'!$H$60+'Assumptions and Catalog'!$E$60+'Assumptions and Catalog'!$F$60,IF(((D199+E199)*C199-G199)&lt;='Assumptions and Catalog'!$C$61,((D199+E199)*C199-G199)*'Assumptions and Catalog'!$H$61+'Assumptions and Catalog'!$E$61+'Assumptions and Catalog'!$F$61,IF(((D199+E199)*C199-G199)&lt;='Assumptions and Catalog'!$C$62,((D199+E199)*C199-G199)*'Assumptions and Catalog'!$H$62+'Assumptions and Catalog'!$E$62+'Assumptions and Catalog'!$F$62,IF(((D199+E199)*C199-G199)&lt;='Assumptions and Catalog'!$C$63,((D199+E199)*C199-G199)*'Assumptions and Catalog'!$H$63+'Assumptions and Catalog'!$E$63+'Assumptions and Catalog'!$F$63,IF(((D199+E199)*C199-G199)&lt;='Assumptions and Catalog'!$C$64,((D199+E199)*C199-G199)*'Assumptions and Catalog'!$H$64+'Assumptions and Catalog'!$E$64+'Assumptions and Catalog'!$F$64,IF(((D199+E199)*C199-G199)&lt;='Assumptions and Catalog'!$C$65,((D199+E199)*C199-G199)*'Assumptions and Catalog'!$H$65+'Assumptions and Catalog'!$E$65+'Assumptions and Catalog'!$F$65,"Out of range")))))))))*(1+'Assumptions and Catalog'!$C$8)^(A199-1),0)</f>
        <v>3567.397</v>
      </c>
      <c r="R199" s="5" t="n">
        <f>IF(AND('Assumptions and Catalog'!$C$19&gt;0,A199&gt;='Assumptions and Catalog'!$C$19),A199-'Assumptions and Catalog'!$C$19,A199-1)</f>
        <v>3</v>
      </c>
      <c r="S199" s="5" t="n">
        <f>F199+L199-(D199+E199)*C199-J199-K199-0</f>
        <v>0</v>
      </c>
      <c r="T199" s="5"/>
      <c r="U199" s="5"/>
    </row>
    <row r="200" ht="23.100000381469727" customHeight="1">
      <c r="A200" s="5" t="n">
        <v>4</v>
      </c>
      <c r="B200" s="5" t="n">
        <v>4</v>
      </c>
      <c r="C200" s="5" t="n">
        <f>DAY(DATE('Assumptions and Catalog'!$C$24+A200-1,B200+1,0))</f>
        <v>30</v>
      </c>
      <c r="D200" s="5" t="n">
        <f>IF(ISNUMBER(Inputs!$L$5),Inputs!$L$5*Inputs!$L$6,0)</f>
        <v>40.35</v>
      </c>
      <c r="E200" s="5" t="n">
        <f>IF(ISNUMBER(Inputs!$L$5),Inputs!$L$5-D200,0)</f>
        <v>40.35</v>
      </c>
      <c r="F200" s="5" t="n">
        <f>C$51*INDEX('Solar Production'!$D$20:$D$31,B200)*C200*(1-'Assumptions and Catalog'!$C$10)^(A200-1)</f>
        <v>1394.440470654</v>
      </c>
      <c r="G200" s="5" t="n">
        <f>MIN(F200,D200*C200)</f>
        <v>1210.5</v>
      </c>
      <c r="H200" s="5" t="n">
        <f>I200/('Assumptions and Catalog'!$C$11*'Assumptions and Catalog'!$C$12)</f>
        <v>0</v>
      </c>
      <c r="I200" s="5" t="n">
        <f>0</f>
        <v>0</v>
      </c>
      <c r="J200" s="5" t="n">
        <f>MAX(F200-G200-H200,0)</f>
        <v>183.940470654</v>
      </c>
      <c r="K200" s="5" t="n">
        <f>H200-I200</f>
        <v>0</v>
      </c>
      <c r="L200" s="5" t="n">
        <f>(D200+E200)*C200-G200-I200+0+0</f>
        <v>1210.5</v>
      </c>
      <c r="M200" s="5" t="n">
        <f>IF(ISNUMBER(Inputs!$L$5),(IF(Inputs!$L$9="Actual flat rate",((D200+E200)*C200)*Inputs!$L$10,IF(Inputs!$C$9="Residential",IF(((D200+E200)*C200)&lt;='Assumptions and Catalog'!$C$50,((D200+E200)*C200)*'Assumptions and Catalog'!$H$50+'Assumptions and Catalog'!$E$50+'Assumptions and Catalog'!$F$50,IF(((D200+E200)*C200)&lt;='Assumptions and Catalog'!$C$51,((D200+E200)*C200)*'Assumptions and Catalog'!$H$51+'Assumptions and Catalog'!$E$51+'Assumptions and Catalog'!$F$51,IF(((D200+E200)*C200)&lt;='Assumptions and Catalog'!$C$52,((D200+E200)*C200)*'Assumptions and Catalog'!$H$52+'Assumptions and Catalog'!$E$52+'Assumptions and Catalog'!$F$52,IF(((D200+E200)*C200)&lt;='Assumptions and Catalog'!$C$53,((D200+E200)*C200)*'Assumptions and Catalog'!$H$53+'Assumptions and Catalog'!$E$53+'Assumptions and Catalog'!$F$53,IF(((D200+E200)*C200)&lt;='Assumptions and Catalog'!$C$54,((D200+E200)*C200)*'Assumptions and Catalog'!$H$54+'Assumptions and Catalog'!$E$54+'Assumptions and Catalog'!$F$54,IF(((D200+E200)*C200)&lt;='Assumptions and Catalog'!$C$55,((D200+E200)*C200)*'Assumptions and Catalog'!$H$55+'Assumptions and Catalog'!$E$55+'Assumptions and Catalog'!$F$55,IF(((D200+E200)*C200)&lt;='Assumptions and Catalog'!$C$56,((D200+E200)*C200)*'Assumptions and Catalog'!$H$56+'Assumptions and Catalog'!$E$56+'Assumptions and Catalog'!$F$56,IF(((D200+E200)*C200)&lt;='Assumptions and Catalog'!$C$57,((D200+E200)*C200)*'Assumptions and Catalog'!$H$57+'Assumptions and Catalog'!$E$57+'Assumptions and Catalog'!$F$57,"Out of range")))))))),IF(((D200+E200)*C200)&lt;='Assumptions and Catalog'!$C$60,((D200+E200)*C200)*'Assumptions and Catalog'!$H$60+'Assumptions and Catalog'!$E$60+'Assumptions and Catalog'!$F$60,IF(((D200+E200)*C200)&lt;='Assumptions and Catalog'!$C$61,((D200+E200)*C200)*'Assumptions and Catalog'!$H$61+'Assumptions and Catalog'!$E$61+'Assumptions and Catalog'!$F$61,IF(((D200+E200)*C200)&lt;='Assumptions and Catalog'!$C$62,((D200+E200)*C200)*'Assumptions and Catalog'!$H$62+'Assumptions and Catalog'!$E$62+'Assumptions and Catalog'!$F$62,IF(((D200+E200)*C200)&lt;='Assumptions and Catalog'!$C$63,((D200+E200)*C200)*'Assumptions and Catalog'!$H$63+'Assumptions and Catalog'!$E$63+'Assumptions and Catalog'!$F$63,IF(((D200+E200)*C200)&lt;='Assumptions and Catalog'!$C$64,((D200+E200)*C200)*'Assumptions and Catalog'!$H$64+'Assumptions and Catalog'!$E$64+'Assumptions and Catalog'!$F$64,IF(((D200+E200)*C200)&lt;='Assumptions and Catalog'!$C$65,((D200+E200)*C200)*'Assumptions and Catalog'!$H$65+'Assumptions and Catalog'!$E$65+'Assumptions and Catalog'!$F$65,"Out of range")))))))))*(1+'Assumptions and Catalog'!$C$8)^(A200-1),0)</f>
        <v>6867.22</v>
      </c>
      <c r="N200" s="5" t="n">
        <f>IF(ISNUMBER(Inputs!$L$5),(IF(Inputs!$L$9="Actual flat rate",L200*Inputs!$L$10,IF(Inputs!$C$9="Residential",IF(L200&lt;='Assumptions and Catalog'!$C$50,L200*'Assumptions and Catalog'!$H$50+'Assumptions and Catalog'!$E$50+'Assumptions and Catalog'!$F$50,IF(L200&lt;='Assumptions and Catalog'!$C$51,L200*'Assumptions and Catalog'!$H$51+'Assumptions and Catalog'!$E$51+'Assumptions and Catalog'!$F$51,IF(L200&lt;='Assumptions and Catalog'!$C$52,L200*'Assumptions and Catalog'!$H$52+'Assumptions and Catalog'!$E$52+'Assumptions and Catalog'!$F$52,IF(L200&lt;='Assumptions and Catalog'!$C$53,L200*'Assumptions and Catalog'!$H$53+'Assumptions and Catalog'!$E$53+'Assumptions and Catalog'!$F$53,IF(L200&lt;='Assumptions and Catalog'!$C$54,L200*'Assumptions and Catalog'!$H$54+'Assumptions and Catalog'!$E$54+'Assumptions and Catalog'!$F$54,IF(L200&lt;='Assumptions and Catalog'!$C$55,L200*'Assumptions and Catalog'!$H$55+'Assumptions and Catalog'!$E$55+'Assumptions and Catalog'!$F$55,IF(L200&lt;='Assumptions and Catalog'!$C$56,L200*'Assumptions and Catalog'!$H$56+'Assumptions and Catalog'!$E$56+'Assumptions and Catalog'!$F$56,IF(L200&lt;='Assumptions and Catalog'!$C$57,L200*'Assumptions and Catalog'!$H$57+'Assumptions and Catalog'!$E$57+'Assumptions and Catalog'!$F$57,"Out of range")))))))),IF(L200&lt;='Assumptions and Catalog'!$C$60,L200*'Assumptions and Catalog'!$H$60+'Assumptions and Catalog'!$E$60+'Assumptions and Catalog'!$F$60,IF(L200&lt;='Assumptions and Catalog'!$C$61,L200*'Assumptions and Catalog'!$H$61+'Assumptions and Catalog'!$E$61+'Assumptions and Catalog'!$F$61,IF(L200&lt;='Assumptions and Catalog'!$C$62,L200*'Assumptions and Catalog'!$H$62+'Assumptions and Catalog'!$E$62+'Assumptions and Catalog'!$F$62,IF(L200&lt;='Assumptions and Catalog'!$C$63,L200*'Assumptions and Catalog'!$H$63+'Assumptions and Catalog'!$E$63+'Assumptions and Catalog'!$F$63,IF(L200&lt;='Assumptions and Catalog'!$C$64,L200*'Assumptions and Catalog'!$H$64+'Assumptions and Catalog'!$E$64+'Assumptions and Catalog'!$F$64,IF(L200&lt;='Assumptions and Catalog'!$C$65,L200*'Assumptions and Catalog'!$H$65+'Assumptions and Catalog'!$E$65+'Assumptions and Catalog'!$F$65,"Out of range")))))))))*(1+'Assumptions and Catalog'!$C$8)^(A200-1),0)</f>
        <v>3453.61</v>
      </c>
      <c r="O200" s="5" t="n">
        <f>M200-N200</f>
        <v>3413.61</v>
      </c>
      <c r="P200" s="5" t="n">
        <f>C$55*(1-J$14)*(1-'Assumptions and Catalog'!$C$23)^R200</f>
        <v>0</v>
      </c>
      <c r="Q200" s="5" t="n">
        <f>IF(ISNUMBER(Inputs!$L$5),(IF(Inputs!$L$9="Actual flat rate",((D200+E200)*C200-G200)*Inputs!$L$10,IF(Inputs!$C$9="Residential",IF(((D200+E200)*C200-G200)&lt;='Assumptions and Catalog'!$C$50,((D200+E200)*C200-G200)*'Assumptions and Catalog'!$H$50+'Assumptions and Catalog'!$E$50+'Assumptions and Catalog'!$F$50,IF(((D200+E200)*C200-G200)&lt;='Assumptions and Catalog'!$C$51,((D200+E200)*C200-G200)*'Assumptions and Catalog'!$H$51+'Assumptions and Catalog'!$E$51+'Assumptions and Catalog'!$F$51,IF(((D200+E200)*C200-G200)&lt;='Assumptions and Catalog'!$C$52,((D200+E200)*C200-G200)*'Assumptions and Catalog'!$H$52+'Assumptions and Catalog'!$E$52+'Assumptions and Catalog'!$F$52,IF(((D200+E200)*C200-G200)&lt;='Assumptions and Catalog'!$C$53,((D200+E200)*C200-G200)*'Assumptions and Catalog'!$H$53+'Assumptions and Catalog'!$E$53+'Assumptions and Catalog'!$F$53,IF(((D200+E200)*C200-G200)&lt;='Assumptions and Catalog'!$C$54,((D200+E200)*C200-G200)*'Assumptions and Catalog'!$H$54+'Assumptions and Catalog'!$E$54+'Assumptions and Catalog'!$F$54,IF(((D200+E200)*C200-G200)&lt;='Assumptions and Catalog'!$C$55,((D200+E200)*C200-G200)*'Assumptions and Catalog'!$H$55+'Assumptions and Catalog'!$E$55+'Assumptions and Catalog'!$F$55,IF(((D200+E200)*C200-G200)&lt;='Assumptions and Catalog'!$C$56,((D200+E200)*C200-G200)*'Assumptions and Catalog'!$H$56+'Assumptions and Catalog'!$E$56+'Assumptions and Catalog'!$F$56,IF(((D200+E200)*C200-G200)&lt;='Assumptions and Catalog'!$C$57,((D200+E200)*C200-G200)*'Assumptions and Catalog'!$H$57+'Assumptions and Catalog'!$E$57+'Assumptions and Catalog'!$F$57,"Out of range")))))))),IF(((D200+E200)*C200-G200)&lt;='Assumptions and Catalog'!$C$60,((D200+E200)*C200-G200)*'Assumptions and Catalog'!$H$60+'Assumptions and Catalog'!$E$60+'Assumptions and Catalog'!$F$60,IF(((D200+E200)*C200-G200)&lt;='Assumptions and Catalog'!$C$61,((D200+E200)*C200-G200)*'Assumptions and Catalog'!$H$61+'Assumptions and Catalog'!$E$61+'Assumptions and Catalog'!$F$61,IF(((D200+E200)*C200-G200)&lt;='Assumptions and Catalog'!$C$62,((D200+E200)*C200-G200)*'Assumptions and Catalog'!$H$62+'Assumptions and Catalog'!$E$62+'Assumptions and Catalog'!$F$62,IF(((D200+E200)*C200-G200)&lt;='Assumptions and Catalog'!$C$63,((D200+E200)*C200-G200)*'Assumptions and Catalog'!$H$63+'Assumptions and Catalog'!$E$63+'Assumptions and Catalog'!$F$63,IF(((D200+E200)*C200-G200)&lt;='Assumptions and Catalog'!$C$64,((D200+E200)*C200-G200)*'Assumptions and Catalog'!$H$64+'Assumptions and Catalog'!$E$64+'Assumptions and Catalog'!$F$64,IF(((D200+E200)*C200-G200)&lt;='Assumptions and Catalog'!$C$65,((D200+E200)*C200-G200)*'Assumptions and Catalog'!$H$65+'Assumptions and Catalog'!$E$65+'Assumptions and Catalog'!$F$65,"Out of range")))))))))*(1+'Assumptions and Catalog'!$C$8)^(A200-1),0)</f>
        <v>3453.61</v>
      </c>
      <c r="R200" s="5" t="n">
        <f>IF(AND('Assumptions and Catalog'!$C$19&gt;0,A200&gt;='Assumptions and Catalog'!$C$19),A200-'Assumptions and Catalog'!$C$19,A200-1)</f>
        <v>3</v>
      </c>
      <c r="S200" s="5" t="n">
        <f>F200+L200-(D200+E200)*C200-J200-K200-0</f>
        <v>0</v>
      </c>
      <c r="T200" s="5"/>
      <c r="U200" s="5"/>
    </row>
    <row r="201" ht="23.100000381469727" customHeight="1">
      <c r="A201" s="5" t="n">
        <v>4</v>
      </c>
      <c r="B201" s="5" t="n">
        <v>5</v>
      </c>
      <c r="C201" s="5" t="n">
        <f>DAY(DATE('Assumptions and Catalog'!$C$24+A201-1,B201+1,0))</f>
        <v>31</v>
      </c>
      <c r="D201" s="5" t="n">
        <f>IF(ISNUMBER(Inputs!$L$5),Inputs!$L$5*Inputs!$L$6,0)</f>
        <v>40.35</v>
      </c>
      <c r="E201" s="5" t="n">
        <f>IF(ISNUMBER(Inputs!$L$5),Inputs!$L$5-D201,0)</f>
        <v>40.35</v>
      </c>
      <c r="F201" s="5" t="n">
        <f>C$51*INDEX('Solar Production'!$D$20:$D$31,B201)*C201*(1-'Assumptions and Catalog'!$C$10)^(A201-1)</f>
        <v>1410.564176208</v>
      </c>
      <c r="G201" s="5" t="n">
        <f>MIN(F201,D201*C201)</f>
        <v>1250.85</v>
      </c>
      <c r="H201" s="5" t="n">
        <f>I201/('Assumptions and Catalog'!$C$11*'Assumptions and Catalog'!$C$12)</f>
        <v>0</v>
      </c>
      <c r="I201" s="5" t="n">
        <f>0</f>
        <v>0</v>
      </c>
      <c r="J201" s="5" t="n">
        <f>MAX(F201-G201-H201,0)</f>
        <v>159.714176208</v>
      </c>
      <c r="K201" s="5" t="n">
        <f>H201-I201</f>
        <v>0</v>
      </c>
      <c r="L201" s="5" t="n">
        <f>(D201+E201)*C201-G201-I201+0+0</f>
        <v>1250.85</v>
      </c>
      <c r="M201" s="5" t="n">
        <f>IF(ISNUMBER(Inputs!$L$5),(IF(Inputs!$L$9="Actual flat rate",((D201+E201)*C201)*Inputs!$L$10,IF(Inputs!$C$9="Residential",IF(((D201+E201)*C201)&lt;='Assumptions and Catalog'!$C$50,((D201+E201)*C201)*'Assumptions and Catalog'!$H$50+'Assumptions and Catalog'!$E$50+'Assumptions and Catalog'!$F$50,IF(((D201+E201)*C201)&lt;='Assumptions and Catalog'!$C$51,((D201+E201)*C201)*'Assumptions and Catalog'!$H$51+'Assumptions and Catalog'!$E$51+'Assumptions and Catalog'!$F$51,IF(((D201+E201)*C201)&lt;='Assumptions and Catalog'!$C$52,((D201+E201)*C201)*'Assumptions and Catalog'!$H$52+'Assumptions and Catalog'!$E$52+'Assumptions and Catalog'!$F$52,IF(((D201+E201)*C201)&lt;='Assumptions and Catalog'!$C$53,((D201+E201)*C201)*'Assumptions and Catalog'!$H$53+'Assumptions and Catalog'!$E$53+'Assumptions and Catalog'!$F$53,IF(((D201+E201)*C201)&lt;='Assumptions and Catalog'!$C$54,((D201+E201)*C201)*'Assumptions and Catalog'!$H$54+'Assumptions and Catalog'!$E$54+'Assumptions and Catalog'!$F$54,IF(((D201+E201)*C201)&lt;='Assumptions and Catalog'!$C$55,((D201+E201)*C201)*'Assumptions and Catalog'!$H$55+'Assumptions and Catalog'!$E$55+'Assumptions and Catalog'!$F$55,IF(((D201+E201)*C201)&lt;='Assumptions and Catalog'!$C$56,((D201+E201)*C201)*'Assumptions and Catalog'!$H$56+'Assumptions and Catalog'!$E$56+'Assumptions and Catalog'!$F$56,IF(((D201+E201)*C201)&lt;='Assumptions and Catalog'!$C$57,((D201+E201)*C201)*'Assumptions and Catalog'!$H$57+'Assumptions and Catalog'!$E$57+'Assumptions and Catalog'!$F$57,"Out of range")))))))),IF(((D201+E201)*C201)&lt;='Assumptions and Catalog'!$C$60,((D201+E201)*C201)*'Assumptions and Catalog'!$H$60+'Assumptions and Catalog'!$E$60+'Assumptions and Catalog'!$F$60,IF(((D201+E201)*C201)&lt;='Assumptions and Catalog'!$C$61,((D201+E201)*C201)*'Assumptions and Catalog'!$H$61+'Assumptions and Catalog'!$E$61+'Assumptions and Catalog'!$F$61,IF(((D201+E201)*C201)&lt;='Assumptions and Catalog'!$C$62,((D201+E201)*C201)*'Assumptions and Catalog'!$H$62+'Assumptions and Catalog'!$E$62+'Assumptions and Catalog'!$F$62,IF(((D201+E201)*C201)&lt;='Assumptions and Catalog'!$C$63,((D201+E201)*C201)*'Assumptions and Catalog'!$H$63+'Assumptions and Catalog'!$E$63+'Assumptions and Catalog'!$F$63,IF(((D201+E201)*C201)&lt;='Assumptions and Catalog'!$C$64,((D201+E201)*C201)*'Assumptions and Catalog'!$H$64+'Assumptions and Catalog'!$E$64+'Assumptions and Catalog'!$F$64,IF(((D201+E201)*C201)&lt;='Assumptions and Catalog'!$C$65,((D201+E201)*C201)*'Assumptions and Catalog'!$H$65+'Assumptions and Catalog'!$E$65+'Assumptions and Catalog'!$F$65,"Out of range")))))))))*(1+'Assumptions and Catalog'!$C$8)^(A201-1),0)</f>
        <v>7094.794</v>
      </c>
      <c r="N201" s="5" t="n">
        <f>IF(ISNUMBER(Inputs!$L$5),(IF(Inputs!$L$9="Actual flat rate",L201*Inputs!$L$10,IF(Inputs!$C$9="Residential",IF(L201&lt;='Assumptions and Catalog'!$C$50,L201*'Assumptions and Catalog'!$H$50+'Assumptions and Catalog'!$E$50+'Assumptions and Catalog'!$F$50,IF(L201&lt;='Assumptions and Catalog'!$C$51,L201*'Assumptions and Catalog'!$H$51+'Assumptions and Catalog'!$E$51+'Assumptions and Catalog'!$F$51,IF(L201&lt;='Assumptions and Catalog'!$C$52,L201*'Assumptions and Catalog'!$H$52+'Assumptions and Catalog'!$E$52+'Assumptions and Catalog'!$F$52,IF(L201&lt;='Assumptions and Catalog'!$C$53,L201*'Assumptions and Catalog'!$H$53+'Assumptions and Catalog'!$E$53+'Assumptions and Catalog'!$F$53,IF(L201&lt;='Assumptions and Catalog'!$C$54,L201*'Assumptions and Catalog'!$H$54+'Assumptions and Catalog'!$E$54+'Assumptions and Catalog'!$F$54,IF(L201&lt;='Assumptions and Catalog'!$C$55,L201*'Assumptions and Catalog'!$H$55+'Assumptions and Catalog'!$E$55+'Assumptions and Catalog'!$F$55,IF(L201&lt;='Assumptions and Catalog'!$C$56,L201*'Assumptions and Catalog'!$H$56+'Assumptions and Catalog'!$E$56+'Assumptions and Catalog'!$F$56,IF(L201&lt;='Assumptions and Catalog'!$C$57,L201*'Assumptions and Catalog'!$H$57+'Assumptions and Catalog'!$E$57+'Assumptions and Catalog'!$F$57,"Out of range")))))))),IF(L201&lt;='Assumptions and Catalog'!$C$60,L201*'Assumptions and Catalog'!$H$60+'Assumptions and Catalog'!$E$60+'Assumptions and Catalog'!$F$60,IF(L201&lt;='Assumptions and Catalog'!$C$61,L201*'Assumptions and Catalog'!$H$61+'Assumptions and Catalog'!$E$61+'Assumptions and Catalog'!$F$61,IF(L201&lt;='Assumptions and Catalog'!$C$62,L201*'Assumptions and Catalog'!$H$62+'Assumptions and Catalog'!$E$62+'Assumptions and Catalog'!$F$62,IF(L201&lt;='Assumptions and Catalog'!$C$63,L201*'Assumptions and Catalog'!$H$63+'Assumptions and Catalog'!$E$63+'Assumptions and Catalog'!$F$63,IF(L201&lt;='Assumptions and Catalog'!$C$64,L201*'Assumptions and Catalog'!$H$64+'Assumptions and Catalog'!$E$64+'Assumptions and Catalog'!$F$64,IF(L201&lt;='Assumptions and Catalog'!$C$65,L201*'Assumptions and Catalog'!$H$65+'Assumptions and Catalog'!$E$65+'Assumptions and Catalog'!$F$65,"Out of range")))))))))*(1+'Assumptions and Catalog'!$C$8)^(A201-1),0)</f>
        <v>3567.397</v>
      </c>
      <c r="O201" s="5" t="n">
        <f>M201-N201</f>
        <v>3527.397</v>
      </c>
      <c r="P201" s="5" t="n">
        <f>C$55*(1-J$14)*(1-'Assumptions and Catalog'!$C$23)^R201</f>
        <v>0</v>
      </c>
      <c r="Q201" s="5" t="n">
        <f>IF(ISNUMBER(Inputs!$L$5),(IF(Inputs!$L$9="Actual flat rate",((D201+E201)*C201-G201)*Inputs!$L$10,IF(Inputs!$C$9="Residential",IF(((D201+E201)*C201-G201)&lt;='Assumptions and Catalog'!$C$50,((D201+E201)*C201-G201)*'Assumptions and Catalog'!$H$50+'Assumptions and Catalog'!$E$50+'Assumptions and Catalog'!$F$50,IF(((D201+E201)*C201-G201)&lt;='Assumptions and Catalog'!$C$51,((D201+E201)*C201-G201)*'Assumptions and Catalog'!$H$51+'Assumptions and Catalog'!$E$51+'Assumptions and Catalog'!$F$51,IF(((D201+E201)*C201-G201)&lt;='Assumptions and Catalog'!$C$52,((D201+E201)*C201-G201)*'Assumptions and Catalog'!$H$52+'Assumptions and Catalog'!$E$52+'Assumptions and Catalog'!$F$52,IF(((D201+E201)*C201-G201)&lt;='Assumptions and Catalog'!$C$53,((D201+E201)*C201-G201)*'Assumptions and Catalog'!$H$53+'Assumptions and Catalog'!$E$53+'Assumptions and Catalog'!$F$53,IF(((D201+E201)*C201-G201)&lt;='Assumptions and Catalog'!$C$54,((D201+E201)*C201-G201)*'Assumptions and Catalog'!$H$54+'Assumptions and Catalog'!$E$54+'Assumptions and Catalog'!$F$54,IF(((D201+E201)*C201-G201)&lt;='Assumptions and Catalog'!$C$55,((D201+E201)*C201-G201)*'Assumptions and Catalog'!$H$55+'Assumptions and Catalog'!$E$55+'Assumptions and Catalog'!$F$55,IF(((D201+E201)*C201-G201)&lt;='Assumptions and Catalog'!$C$56,((D201+E201)*C201-G201)*'Assumptions and Catalog'!$H$56+'Assumptions and Catalog'!$E$56+'Assumptions and Catalog'!$F$56,IF(((D201+E201)*C201-G201)&lt;='Assumptions and Catalog'!$C$57,((D201+E201)*C201-G201)*'Assumptions and Catalog'!$H$57+'Assumptions and Catalog'!$E$57+'Assumptions and Catalog'!$F$57,"Out of range")))))))),IF(((D201+E201)*C201-G201)&lt;='Assumptions and Catalog'!$C$60,((D201+E201)*C201-G201)*'Assumptions and Catalog'!$H$60+'Assumptions and Catalog'!$E$60+'Assumptions and Catalog'!$F$60,IF(((D201+E201)*C201-G201)&lt;='Assumptions and Catalog'!$C$61,((D201+E201)*C201-G201)*'Assumptions and Catalog'!$H$61+'Assumptions and Catalog'!$E$61+'Assumptions and Catalog'!$F$61,IF(((D201+E201)*C201-G201)&lt;='Assumptions and Catalog'!$C$62,((D201+E201)*C201-G201)*'Assumptions and Catalog'!$H$62+'Assumptions and Catalog'!$E$62+'Assumptions and Catalog'!$F$62,IF(((D201+E201)*C201-G201)&lt;='Assumptions and Catalog'!$C$63,((D201+E201)*C201-G201)*'Assumptions and Catalog'!$H$63+'Assumptions and Catalog'!$E$63+'Assumptions and Catalog'!$F$63,IF(((D201+E201)*C201-G201)&lt;='Assumptions and Catalog'!$C$64,((D201+E201)*C201-G201)*'Assumptions and Catalog'!$H$64+'Assumptions and Catalog'!$E$64+'Assumptions and Catalog'!$F$64,IF(((D201+E201)*C201-G201)&lt;='Assumptions and Catalog'!$C$65,((D201+E201)*C201-G201)*'Assumptions and Catalog'!$H$65+'Assumptions and Catalog'!$E$65+'Assumptions and Catalog'!$F$65,"Out of range")))))))))*(1+'Assumptions and Catalog'!$C$8)^(A201-1),0)</f>
        <v>3567.397</v>
      </c>
      <c r="R201" s="5" t="n">
        <f>IF(AND('Assumptions and Catalog'!$C$19&gt;0,A201&gt;='Assumptions and Catalog'!$C$19),A201-'Assumptions and Catalog'!$C$19,A201-1)</f>
        <v>3</v>
      </c>
      <c r="S201" s="5" t="n">
        <f>F201+L201-(D201+E201)*C201-J201-K201-0</f>
        <v>0</v>
      </c>
      <c r="T201" s="5"/>
      <c r="U201" s="5"/>
    </row>
    <row r="202" ht="23.100000381469727" customHeight="1">
      <c r="A202" s="5" t="n">
        <v>4</v>
      </c>
      <c r="B202" s="5" t="n">
        <v>6</v>
      </c>
      <c r="C202" s="5" t="n">
        <f>DAY(DATE('Assumptions and Catalog'!$C$24+A202-1,B202+1,0))</f>
        <v>30</v>
      </c>
      <c r="D202" s="5" t="n">
        <f>IF(ISNUMBER(Inputs!$L$5),Inputs!$L$5*Inputs!$L$6,0)</f>
        <v>40.35</v>
      </c>
      <c r="E202" s="5" t="n">
        <f>IF(ISNUMBER(Inputs!$L$5),Inputs!$L$5-D202,0)</f>
        <v>40.35</v>
      </c>
      <c r="F202" s="5" t="n">
        <f>C$51*INDEX('Solar Production'!$D$20:$D$31,B202)*C202*(1-'Assumptions and Catalog'!$C$10)^(A202-1)</f>
        <v>1375.022674718</v>
      </c>
      <c r="G202" s="5" t="n">
        <f>MIN(F202,D202*C202)</f>
        <v>1210.5</v>
      </c>
      <c r="H202" s="5" t="n">
        <f>I202/('Assumptions and Catalog'!$C$11*'Assumptions and Catalog'!$C$12)</f>
        <v>0</v>
      </c>
      <c r="I202" s="5" t="n">
        <f>0</f>
        <v>0</v>
      </c>
      <c r="J202" s="5" t="n">
        <f>MAX(F202-G202-H202,0)</f>
        <v>164.522674718</v>
      </c>
      <c r="K202" s="5" t="n">
        <f>H202-I202</f>
        <v>0</v>
      </c>
      <c r="L202" s="5" t="n">
        <f>(D202+E202)*C202-G202-I202+0+0</f>
        <v>1210.5</v>
      </c>
      <c r="M202" s="5" t="n">
        <f>IF(ISNUMBER(Inputs!$L$5),(IF(Inputs!$L$9="Actual flat rate",((D202+E202)*C202)*Inputs!$L$10,IF(Inputs!$C$9="Residential",IF(((D202+E202)*C202)&lt;='Assumptions and Catalog'!$C$50,((D202+E202)*C202)*'Assumptions and Catalog'!$H$50+'Assumptions and Catalog'!$E$50+'Assumptions and Catalog'!$F$50,IF(((D202+E202)*C202)&lt;='Assumptions and Catalog'!$C$51,((D202+E202)*C202)*'Assumptions and Catalog'!$H$51+'Assumptions and Catalog'!$E$51+'Assumptions and Catalog'!$F$51,IF(((D202+E202)*C202)&lt;='Assumptions and Catalog'!$C$52,((D202+E202)*C202)*'Assumptions and Catalog'!$H$52+'Assumptions and Catalog'!$E$52+'Assumptions and Catalog'!$F$52,IF(((D202+E202)*C202)&lt;='Assumptions and Catalog'!$C$53,((D202+E202)*C202)*'Assumptions and Catalog'!$H$53+'Assumptions and Catalog'!$E$53+'Assumptions and Catalog'!$F$53,IF(((D202+E202)*C202)&lt;='Assumptions and Catalog'!$C$54,((D202+E202)*C202)*'Assumptions and Catalog'!$H$54+'Assumptions and Catalog'!$E$54+'Assumptions and Catalog'!$F$54,IF(((D202+E202)*C202)&lt;='Assumptions and Catalog'!$C$55,((D202+E202)*C202)*'Assumptions and Catalog'!$H$55+'Assumptions and Catalog'!$E$55+'Assumptions and Catalog'!$F$55,IF(((D202+E202)*C202)&lt;='Assumptions and Catalog'!$C$56,((D202+E202)*C202)*'Assumptions and Catalog'!$H$56+'Assumptions and Catalog'!$E$56+'Assumptions and Catalog'!$F$56,IF(((D202+E202)*C202)&lt;='Assumptions and Catalog'!$C$57,((D202+E202)*C202)*'Assumptions and Catalog'!$H$57+'Assumptions and Catalog'!$E$57+'Assumptions and Catalog'!$F$57,"Out of range")))))))),IF(((D202+E202)*C202)&lt;='Assumptions and Catalog'!$C$60,((D202+E202)*C202)*'Assumptions and Catalog'!$H$60+'Assumptions and Catalog'!$E$60+'Assumptions and Catalog'!$F$60,IF(((D202+E202)*C202)&lt;='Assumptions and Catalog'!$C$61,((D202+E202)*C202)*'Assumptions and Catalog'!$H$61+'Assumptions and Catalog'!$E$61+'Assumptions and Catalog'!$F$61,IF(((D202+E202)*C202)&lt;='Assumptions and Catalog'!$C$62,((D202+E202)*C202)*'Assumptions and Catalog'!$H$62+'Assumptions and Catalog'!$E$62+'Assumptions and Catalog'!$F$62,IF(((D202+E202)*C202)&lt;='Assumptions and Catalog'!$C$63,((D202+E202)*C202)*'Assumptions and Catalog'!$H$63+'Assumptions and Catalog'!$E$63+'Assumptions and Catalog'!$F$63,IF(((D202+E202)*C202)&lt;='Assumptions and Catalog'!$C$64,((D202+E202)*C202)*'Assumptions and Catalog'!$H$64+'Assumptions and Catalog'!$E$64+'Assumptions and Catalog'!$F$64,IF(((D202+E202)*C202)&lt;='Assumptions and Catalog'!$C$65,((D202+E202)*C202)*'Assumptions and Catalog'!$H$65+'Assumptions and Catalog'!$E$65+'Assumptions and Catalog'!$F$65,"Out of range")))))))))*(1+'Assumptions and Catalog'!$C$8)^(A202-1),0)</f>
        <v>6867.22</v>
      </c>
      <c r="N202" s="5" t="n">
        <f>IF(ISNUMBER(Inputs!$L$5),(IF(Inputs!$L$9="Actual flat rate",L202*Inputs!$L$10,IF(Inputs!$C$9="Residential",IF(L202&lt;='Assumptions and Catalog'!$C$50,L202*'Assumptions and Catalog'!$H$50+'Assumptions and Catalog'!$E$50+'Assumptions and Catalog'!$F$50,IF(L202&lt;='Assumptions and Catalog'!$C$51,L202*'Assumptions and Catalog'!$H$51+'Assumptions and Catalog'!$E$51+'Assumptions and Catalog'!$F$51,IF(L202&lt;='Assumptions and Catalog'!$C$52,L202*'Assumptions and Catalog'!$H$52+'Assumptions and Catalog'!$E$52+'Assumptions and Catalog'!$F$52,IF(L202&lt;='Assumptions and Catalog'!$C$53,L202*'Assumptions and Catalog'!$H$53+'Assumptions and Catalog'!$E$53+'Assumptions and Catalog'!$F$53,IF(L202&lt;='Assumptions and Catalog'!$C$54,L202*'Assumptions and Catalog'!$H$54+'Assumptions and Catalog'!$E$54+'Assumptions and Catalog'!$F$54,IF(L202&lt;='Assumptions and Catalog'!$C$55,L202*'Assumptions and Catalog'!$H$55+'Assumptions and Catalog'!$E$55+'Assumptions and Catalog'!$F$55,IF(L202&lt;='Assumptions and Catalog'!$C$56,L202*'Assumptions and Catalog'!$H$56+'Assumptions and Catalog'!$E$56+'Assumptions and Catalog'!$F$56,IF(L202&lt;='Assumptions and Catalog'!$C$57,L202*'Assumptions and Catalog'!$H$57+'Assumptions and Catalog'!$E$57+'Assumptions and Catalog'!$F$57,"Out of range")))))))),IF(L202&lt;='Assumptions and Catalog'!$C$60,L202*'Assumptions and Catalog'!$H$60+'Assumptions and Catalog'!$E$60+'Assumptions and Catalog'!$F$60,IF(L202&lt;='Assumptions and Catalog'!$C$61,L202*'Assumptions and Catalog'!$H$61+'Assumptions and Catalog'!$E$61+'Assumptions and Catalog'!$F$61,IF(L202&lt;='Assumptions and Catalog'!$C$62,L202*'Assumptions and Catalog'!$H$62+'Assumptions and Catalog'!$E$62+'Assumptions and Catalog'!$F$62,IF(L202&lt;='Assumptions and Catalog'!$C$63,L202*'Assumptions and Catalog'!$H$63+'Assumptions and Catalog'!$E$63+'Assumptions and Catalog'!$F$63,IF(L202&lt;='Assumptions and Catalog'!$C$64,L202*'Assumptions and Catalog'!$H$64+'Assumptions and Catalog'!$E$64+'Assumptions and Catalog'!$F$64,IF(L202&lt;='Assumptions and Catalog'!$C$65,L202*'Assumptions and Catalog'!$H$65+'Assumptions and Catalog'!$E$65+'Assumptions and Catalog'!$F$65,"Out of range")))))))))*(1+'Assumptions and Catalog'!$C$8)^(A202-1),0)</f>
        <v>3453.61</v>
      </c>
      <c r="O202" s="5" t="n">
        <f>M202-N202</f>
        <v>3413.61</v>
      </c>
      <c r="P202" s="5" t="n">
        <f>C$55*(1-J$14)*(1-'Assumptions and Catalog'!$C$23)^R202</f>
        <v>0</v>
      </c>
      <c r="Q202" s="5" t="n">
        <f>IF(ISNUMBER(Inputs!$L$5),(IF(Inputs!$L$9="Actual flat rate",((D202+E202)*C202-G202)*Inputs!$L$10,IF(Inputs!$C$9="Residential",IF(((D202+E202)*C202-G202)&lt;='Assumptions and Catalog'!$C$50,((D202+E202)*C202-G202)*'Assumptions and Catalog'!$H$50+'Assumptions and Catalog'!$E$50+'Assumptions and Catalog'!$F$50,IF(((D202+E202)*C202-G202)&lt;='Assumptions and Catalog'!$C$51,((D202+E202)*C202-G202)*'Assumptions and Catalog'!$H$51+'Assumptions and Catalog'!$E$51+'Assumptions and Catalog'!$F$51,IF(((D202+E202)*C202-G202)&lt;='Assumptions and Catalog'!$C$52,((D202+E202)*C202-G202)*'Assumptions and Catalog'!$H$52+'Assumptions and Catalog'!$E$52+'Assumptions and Catalog'!$F$52,IF(((D202+E202)*C202-G202)&lt;='Assumptions and Catalog'!$C$53,((D202+E202)*C202-G202)*'Assumptions and Catalog'!$H$53+'Assumptions and Catalog'!$E$53+'Assumptions and Catalog'!$F$53,IF(((D202+E202)*C202-G202)&lt;='Assumptions and Catalog'!$C$54,((D202+E202)*C202-G202)*'Assumptions and Catalog'!$H$54+'Assumptions and Catalog'!$E$54+'Assumptions and Catalog'!$F$54,IF(((D202+E202)*C202-G202)&lt;='Assumptions and Catalog'!$C$55,((D202+E202)*C202-G202)*'Assumptions and Catalog'!$H$55+'Assumptions and Catalog'!$E$55+'Assumptions and Catalog'!$F$55,IF(((D202+E202)*C202-G202)&lt;='Assumptions and Catalog'!$C$56,((D202+E202)*C202-G202)*'Assumptions and Catalog'!$H$56+'Assumptions and Catalog'!$E$56+'Assumptions and Catalog'!$F$56,IF(((D202+E202)*C202-G202)&lt;='Assumptions and Catalog'!$C$57,((D202+E202)*C202-G202)*'Assumptions and Catalog'!$H$57+'Assumptions and Catalog'!$E$57+'Assumptions and Catalog'!$F$57,"Out of range")))))))),IF(((D202+E202)*C202-G202)&lt;='Assumptions and Catalog'!$C$60,((D202+E202)*C202-G202)*'Assumptions and Catalog'!$H$60+'Assumptions and Catalog'!$E$60+'Assumptions and Catalog'!$F$60,IF(((D202+E202)*C202-G202)&lt;='Assumptions and Catalog'!$C$61,((D202+E202)*C202-G202)*'Assumptions and Catalog'!$H$61+'Assumptions and Catalog'!$E$61+'Assumptions and Catalog'!$F$61,IF(((D202+E202)*C202-G202)&lt;='Assumptions and Catalog'!$C$62,((D202+E202)*C202-G202)*'Assumptions and Catalog'!$H$62+'Assumptions and Catalog'!$E$62+'Assumptions and Catalog'!$F$62,IF(((D202+E202)*C202-G202)&lt;='Assumptions and Catalog'!$C$63,((D202+E202)*C202-G202)*'Assumptions and Catalog'!$H$63+'Assumptions and Catalog'!$E$63+'Assumptions and Catalog'!$F$63,IF(((D202+E202)*C202-G202)&lt;='Assumptions and Catalog'!$C$64,((D202+E202)*C202-G202)*'Assumptions and Catalog'!$H$64+'Assumptions and Catalog'!$E$64+'Assumptions and Catalog'!$F$64,IF(((D202+E202)*C202-G202)&lt;='Assumptions and Catalog'!$C$65,((D202+E202)*C202-G202)*'Assumptions and Catalog'!$H$65+'Assumptions and Catalog'!$E$65+'Assumptions and Catalog'!$F$65,"Out of range")))))))))*(1+'Assumptions and Catalog'!$C$8)^(A202-1),0)</f>
        <v>3453.61</v>
      </c>
      <c r="R202" s="5" t="n">
        <f>IF(AND('Assumptions and Catalog'!$C$19&gt;0,A202&gt;='Assumptions and Catalog'!$C$19),A202-'Assumptions and Catalog'!$C$19,A202-1)</f>
        <v>3</v>
      </c>
      <c r="S202" s="5" t="n">
        <f>F202+L202-(D202+E202)*C202-J202-K202-0</f>
        <v>0</v>
      </c>
      <c r="T202" s="5"/>
      <c r="U202" s="5"/>
    </row>
    <row r="203" ht="23.100000381469727" customHeight="1">
      <c r="A203" s="5" t="n">
        <v>4</v>
      </c>
      <c r="B203" s="5" t="n">
        <v>7</v>
      </c>
      <c r="C203" s="5" t="n">
        <f>DAY(DATE('Assumptions and Catalog'!$C$24+A203-1,B203+1,0))</f>
        <v>31</v>
      </c>
      <c r="D203" s="5" t="n">
        <f>IF(ISNUMBER(Inputs!$L$5),Inputs!$L$5*Inputs!$L$6,0)</f>
        <v>40.35</v>
      </c>
      <c r="E203" s="5" t="n">
        <f>IF(ISNUMBER(Inputs!$L$5),Inputs!$L$5-D203,0)</f>
        <v>40.35</v>
      </c>
      <c r="F203" s="5" t="n">
        <f>C$51*INDEX('Solar Production'!$D$20:$D$31,B203)*C203*(1-'Assumptions and Catalog'!$C$10)^(A203-1)</f>
        <v>1427.381374474</v>
      </c>
      <c r="G203" s="5" t="n">
        <f>MIN(F203,D203*C203)</f>
        <v>1250.85</v>
      </c>
      <c r="H203" s="5" t="n">
        <f>I203/('Assumptions and Catalog'!$C$11*'Assumptions and Catalog'!$C$12)</f>
        <v>0</v>
      </c>
      <c r="I203" s="5" t="n">
        <f>0</f>
        <v>0</v>
      </c>
      <c r="J203" s="5" t="n">
        <f>MAX(F203-G203-H203,0)</f>
        <v>176.531374474</v>
      </c>
      <c r="K203" s="5" t="n">
        <f>H203-I203</f>
        <v>0</v>
      </c>
      <c r="L203" s="5" t="n">
        <f>(D203+E203)*C203-G203-I203+0+0</f>
        <v>1250.85</v>
      </c>
      <c r="M203" s="5" t="n">
        <f>IF(ISNUMBER(Inputs!$L$5),(IF(Inputs!$L$9="Actual flat rate",((D203+E203)*C203)*Inputs!$L$10,IF(Inputs!$C$9="Residential",IF(((D203+E203)*C203)&lt;='Assumptions and Catalog'!$C$50,((D203+E203)*C203)*'Assumptions and Catalog'!$H$50+'Assumptions and Catalog'!$E$50+'Assumptions and Catalog'!$F$50,IF(((D203+E203)*C203)&lt;='Assumptions and Catalog'!$C$51,((D203+E203)*C203)*'Assumptions and Catalog'!$H$51+'Assumptions and Catalog'!$E$51+'Assumptions and Catalog'!$F$51,IF(((D203+E203)*C203)&lt;='Assumptions and Catalog'!$C$52,((D203+E203)*C203)*'Assumptions and Catalog'!$H$52+'Assumptions and Catalog'!$E$52+'Assumptions and Catalog'!$F$52,IF(((D203+E203)*C203)&lt;='Assumptions and Catalog'!$C$53,((D203+E203)*C203)*'Assumptions and Catalog'!$H$53+'Assumptions and Catalog'!$E$53+'Assumptions and Catalog'!$F$53,IF(((D203+E203)*C203)&lt;='Assumptions and Catalog'!$C$54,((D203+E203)*C203)*'Assumptions and Catalog'!$H$54+'Assumptions and Catalog'!$E$54+'Assumptions and Catalog'!$F$54,IF(((D203+E203)*C203)&lt;='Assumptions and Catalog'!$C$55,((D203+E203)*C203)*'Assumptions and Catalog'!$H$55+'Assumptions and Catalog'!$E$55+'Assumptions and Catalog'!$F$55,IF(((D203+E203)*C203)&lt;='Assumptions and Catalog'!$C$56,((D203+E203)*C203)*'Assumptions and Catalog'!$H$56+'Assumptions and Catalog'!$E$56+'Assumptions and Catalog'!$F$56,IF(((D203+E203)*C203)&lt;='Assumptions and Catalog'!$C$57,((D203+E203)*C203)*'Assumptions and Catalog'!$H$57+'Assumptions and Catalog'!$E$57+'Assumptions and Catalog'!$F$57,"Out of range")))))))),IF(((D203+E203)*C203)&lt;='Assumptions and Catalog'!$C$60,((D203+E203)*C203)*'Assumptions and Catalog'!$H$60+'Assumptions and Catalog'!$E$60+'Assumptions and Catalog'!$F$60,IF(((D203+E203)*C203)&lt;='Assumptions and Catalog'!$C$61,((D203+E203)*C203)*'Assumptions and Catalog'!$H$61+'Assumptions and Catalog'!$E$61+'Assumptions and Catalog'!$F$61,IF(((D203+E203)*C203)&lt;='Assumptions and Catalog'!$C$62,((D203+E203)*C203)*'Assumptions and Catalog'!$H$62+'Assumptions and Catalog'!$E$62+'Assumptions and Catalog'!$F$62,IF(((D203+E203)*C203)&lt;='Assumptions and Catalog'!$C$63,((D203+E203)*C203)*'Assumptions and Catalog'!$H$63+'Assumptions and Catalog'!$E$63+'Assumptions and Catalog'!$F$63,IF(((D203+E203)*C203)&lt;='Assumptions and Catalog'!$C$64,((D203+E203)*C203)*'Assumptions and Catalog'!$H$64+'Assumptions and Catalog'!$E$64+'Assumptions and Catalog'!$F$64,IF(((D203+E203)*C203)&lt;='Assumptions and Catalog'!$C$65,((D203+E203)*C203)*'Assumptions and Catalog'!$H$65+'Assumptions and Catalog'!$E$65+'Assumptions and Catalog'!$F$65,"Out of range")))))))))*(1+'Assumptions and Catalog'!$C$8)^(A203-1),0)</f>
        <v>7094.794</v>
      </c>
      <c r="N203" s="5" t="n">
        <f>IF(ISNUMBER(Inputs!$L$5),(IF(Inputs!$L$9="Actual flat rate",L203*Inputs!$L$10,IF(Inputs!$C$9="Residential",IF(L203&lt;='Assumptions and Catalog'!$C$50,L203*'Assumptions and Catalog'!$H$50+'Assumptions and Catalog'!$E$50+'Assumptions and Catalog'!$F$50,IF(L203&lt;='Assumptions and Catalog'!$C$51,L203*'Assumptions and Catalog'!$H$51+'Assumptions and Catalog'!$E$51+'Assumptions and Catalog'!$F$51,IF(L203&lt;='Assumptions and Catalog'!$C$52,L203*'Assumptions and Catalog'!$H$52+'Assumptions and Catalog'!$E$52+'Assumptions and Catalog'!$F$52,IF(L203&lt;='Assumptions and Catalog'!$C$53,L203*'Assumptions and Catalog'!$H$53+'Assumptions and Catalog'!$E$53+'Assumptions and Catalog'!$F$53,IF(L203&lt;='Assumptions and Catalog'!$C$54,L203*'Assumptions and Catalog'!$H$54+'Assumptions and Catalog'!$E$54+'Assumptions and Catalog'!$F$54,IF(L203&lt;='Assumptions and Catalog'!$C$55,L203*'Assumptions and Catalog'!$H$55+'Assumptions and Catalog'!$E$55+'Assumptions and Catalog'!$F$55,IF(L203&lt;='Assumptions and Catalog'!$C$56,L203*'Assumptions and Catalog'!$H$56+'Assumptions and Catalog'!$E$56+'Assumptions and Catalog'!$F$56,IF(L203&lt;='Assumptions and Catalog'!$C$57,L203*'Assumptions and Catalog'!$H$57+'Assumptions and Catalog'!$E$57+'Assumptions and Catalog'!$F$57,"Out of range")))))))),IF(L203&lt;='Assumptions and Catalog'!$C$60,L203*'Assumptions and Catalog'!$H$60+'Assumptions and Catalog'!$E$60+'Assumptions and Catalog'!$F$60,IF(L203&lt;='Assumptions and Catalog'!$C$61,L203*'Assumptions and Catalog'!$H$61+'Assumptions and Catalog'!$E$61+'Assumptions and Catalog'!$F$61,IF(L203&lt;='Assumptions and Catalog'!$C$62,L203*'Assumptions and Catalog'!$H$62+'Assumptions and Catalog'!$E$62+'Assumptions and Catalog'!$F$62,IF(L203&lt;='Assumptions and Catalog'!$C$63,L203*'Assumptions and Catalog'!$H$63+'Assumptions and Catalog'!$E$63+'Assumptions and Catalog'!$F$63,IF(L203&lt;='Assumptions and Catalog'!$C$64,L203*'Assumptions and Catalog'!$H$64+'Assumptions and Catalog'!$E$64+'Assumptions and Catalog'!$F$64,IF(L203&lt;='Assumptions and Catalog'!$C$65,L203*'Assumptions and Catalog'!$H$65+'Assumptions and Catalog'!$E$65+'Assumptions and Catalog'!$F$65,"Out of range")))))))))*(1+'Assumptions and Catalog'!$C$8)^(A203-1),0)</f>
        <v>3567.397</v>
      </c>
      <c r="O203" s="5" t="n">
        <f>M203-N203</f>
        <v>3527.397</v>
      </c>
      <c r="P203" s="5" t="n">
        <f>C$55*(1-J$14)*(1-'Assumptions and Catalog'!$C$23)^R203</f>
        <v>0</v>
      </c>
      <c r="Q203" s="5" t="n">
        <f>IF(ISNUMBER(Inputs!$L$5),(IF(Inputs!$L$9="Actual flat rate",((D203+E203)*C203-G203)*Inputs!$L$10,IF(Inputs!$C$9="Residential",IF(((D203+E203)*C203-G203)&lt;='Assumptions and Catalog'!$C$50,((D203+E203)*C203-G203)*'Assumptions and Catalog'!$H$50+'Assumptions and Catalog'!$E$50+'Assumptions and Catalog'!$F$50,IF(((D203+E203)*C203-G203)&lt;='Assumptions and Catalog'!$C$51,((D203+E203)*C203-G203)*'Assumptions and Catalog'!$H$51+'Assumptions and Catalog'!$E$51+'Assumptions and Catalog'!$F$51,IF(((D203+E203)*C203-G203)&lt;='Assumptions and Catalog'!$C$52,((D203+E203)*C203-G203)*'Assumptions and Catalog'!$H$52+'Assumptions and Catalog'!$E$52+'Assumptions and Catalog'!$F$52,IF(((D203+E203)*C203-G203)&lt;='Assumptions and Catalog'!$C$53,((D203+E203)*C203-G203)*'Assumptions and Catalog'!$H$53+'Assumptions and Catalog'!$E$53+'Assumptions and Catalog'!$F$53,IF(((D203+E203)*C203-G203)&lt;='Assumptions and Catalog'!$C$54,((D203+E203)*C203-G203)*'Assumptions and Catalog'!$H$54+'Assumptions and Catalog'!$E$54+'Assumptions and Catalog'!$F$54,IF(((D203+E203)*C203-G203)&lt;='Assumptions and Catalog'!$C$55,((D203+E203)*C203-G203)*'Assumptions and Catalog'!$H$55+'Assumptions and Catalog'!$E$55+'Assumptions and Catalog'!$F$55,IF(((D203+E203)*C203-G203)&lt;='Assumptions and Catalog'!$C$56,((D203+E203)*C203-G203)*'Assumptions and Catalog'!$H$56+'Assumptions and Catalog'!$E$56+'Assumptions and Catalog'!$F$56,IF(((D203+E203)*C203-G203)&lt;='Assumptions and Catalog'!$C$57,((D203+E203)*C203-G203)*'Assumptions and Catalog'!$H$57+'Assumptions and Catalog'!$E$57+'Assumptions and Catalog'!$F$57,"Out of range")))))))),IF(((D203+E203)*C203-G203)&lt;='Assumptions and Catalog'!$C$60,((D203+E203)*C203-G203)*'Assumptions and Catalog'!$H$60+'Assumptions and Catalog'!$E$60+'Assumptions and Catalog'!$F$60,IF(((D203+E203)*C203-G203)&lt;='Assumptions and Catalog'!$C$61,((D203+E203)*C203-G203)*'Assumptions and Catalog'!$H$61+'Assumptions and Catalog'!$E$61+'Assumptions and Catalog'!$F$61,IF(((D203+E203)*C203-G203)&lt;='Assumptions and Catalog'!$C$62,((D203+E203)*C203-G203)*'Assumptions and Catalog'!$H$62+'Assumptions and Catalog'!$E$62+'Assumptions and Catalog'!$F$62,IF(((D203+E203)*C203-G203)&lt;='Assumptions and Catalog'!$C$63,((D203+E203)*C203-G203)*'Assumptions and Catalog'!$H$63+'Assumptions and Catalog'!$E$63+'Assumptions and Catalog'!$F$63,IF(((D203+E203)*C203-G203)&lt;='Assumptions and Catalog'!$C$64,((D203+E203)*C203-G203)*'Assumptions and Catalog'!$H$64+'Assumptions and Catalog'!$E$64+'Assumptions and Catalog'!$F$64,IF(((D203+E203)*C203-G203)&lt;='Assumptions and Catalog'!$C$65,((D203+E203)*C203-G203)*'Assumptions and Catalog'!$H$65+'Assumptions and Catalog'!$E$65+'Assumptions and Catalog'!$F$65,"Out of range")))))))))*(1+'Assumptions and Catalog'!$C$8)^(A203-1),0)</f>
        <v>3567.397</v>
      </c>
      <c r="R203" s="5" t="n">
        <f>IF(AND('Assumptions and Catalog'!$C$19&gt;0,A203&gt;='Assumptions and Catalog'!$C$19),A203-'Assumptions and Catalog'!$C$19,A203-1)</f>
        <v>3</v>
      </c>
      <c r="S203" s="5" t="n">
        <f>F203+L203-(D203+E203)*C203-J203-K203-0</f>
        <v>0</v>
      </c>
      <c r="T203" s="5"/>
      <c r="U203" s="5"/>
    </row>
    <row r="204" ht="23.100000381469727" customHeight="1">
      <c r="A204" s="5" t="n">
        <v>4</v>
      </c>
      <c r="B204" s="5" t="n">
        <v>8</v>
      </c>
      <c r="C204" s="5" t="n">
        <f>DAY(DATE('Assumptions and Catalog'!$C$24+A204-1,B204+1,0))</f>
        <v>31</v>
      </c>
      <c r="D204" s="5" t="n">
        <f>IF(ISNUMBER(Inputs!$L$5),Inputs!$L$5*Inputs!$L$6,0)</f>
        <v>40.35</v>
      </c>
      <c r="E204" s="5" t="n">
        <f>IF(ISNUMBER(Inputs!$L$5),Inputs!$L$5-D204,0)</f>
        <v>40.35</v>
      </c>
      <c r="F204" s="5" t="n">
        <f>C$51*INDEX('Solar Production'!$D$20:$D$31,B204)*C204*(1-'Assumptions and Catalog'!$C$10)^(A204-1)</f>
        <v>1445.93230452</v>
      </c>
      <c r="G204" s="5" t="n">
        <f>MIN(F204,D204*C204)</f>
        <v>1250.85</v>
      </c>
      <c r="H204" s="5" t="n">
        <f>I204/('Assumptions and Catalog'!$C$11*'Assumptions and Catalog'!$C$12)</f>
        <v>0</v>
      </c>
      <c r="I204" s="5" t="n">
        <f>0</f>
        <v>0</v>
      </c>
      <c r="J204" s="5" t="n">
        <f>MAX(F204-G204-H204,0)</f>
        <v>195.08230452</v>
      </c>
      <c r="K204" s="5" t="n">
        <f>H204-I204</f>
        <v>0</v>
      </c>
      <c r="L204" s="5" t="n">
        <f>(D204+E204)*C204-G204-I204+0+0</f>
        <v>1250.85</v>
      </c>
      <c r="M204" s="5" t="n">
        <f>IF(ISNUMBER(Inputs!$L$5),(IF(Inputs!$L$9="Actual flat rate",((D204+E204)*C204)*Inputs!$L$10,IF(Inputs!$C$9="Residential",IF(((D204+E204)*C204)&lt;='Assumptions and Catalog'!$C$50,((D204+E204)*C204)*'Assumptions and Catalog'!$H$50+'Assumptions and Catalog'!$E$50+'Assumptions and Catalog'!$F$50,IF(((D204+E204)*C204)&lt;='Assumptions and Catalog'!$C$51,((D204+E204)*C204)*'Assumptions and Catalog'!$H$51+'Assumptions and Catalog'!$E$51+'Assumptions and Catalog'!$F$51,IF(((D204+E204)*C204)&lt;='Assumptions and Catalog'!$C$52,((D204+E204)*C204)*'Assumptions and Catalog'!$H$52+'Assumptions and Catalog'!$E$52+'Assumptions and Catalog'!$F$52,IF(((D204+E204)*C204)&lt;='Assumptions and Catalog'!$C$53,((D204+E204)*C204)*'Assumptions and Catalog'!$H$53+'Assumptions and Catalog'!$E$53+'Assumptions and Catalog'!$F$53,IF(((D204+E204)*C204)&lt;='Assumptions and Catalog'!$C$54,((D204+E204)*C204)*'Assumptions and Catalog'!$H$54+'Assumptions and Catalog'!$E$54+'Assumptions and Catalog'!$F$54,IF(((D204+E204)*C204)&lt;='Assumptions and Catalog'!$C$55,((D204+E204)*C204)*'Assumptions and Catalog'!$H$55+'Assumptions and Catalog'!$E$55+'Assumptions and Catalog'!$F$55,IF(((D204+E204)*C204)&lt;='Assumptions and Catalog'!$C$56,((D204+E204)*C204)*'Assumptions and Catalog'!$H$56+'Assumptions and Catalog'!$E$56+'Assumptions and Catalog'!$F$56,IF(((D204+E204)*C204)&lt;='Assumptions and Catalog'!$C$57,((D204+E204)*C204)*'Assumptions and Catalog'!$H$57+'Assumptions and Catalog'!$E$57+'Assumptions and Catalog'!$F$57,"Out of range")))))))),IF(((D204+E204)*C204)&lt;='Assumptions and Catalog'!$C$60,((D204+E204)*C204)*'Assumptions and Catalog'!$H$60+'Assumptions and Catalog'!$E$60+'Assumptions and Catalog'!$F$60,IF(((D204+E204)*C204)&lt;='Assumptions and Catalog'!$C$61,((D204+E204)*C204)*'Assumptions and Catalog'!$H$61+'Assumptions and Catalog'!$E$61+'Assumptions and Catalog'!$F$61,IF(((D204+E204)*C204)&lt;='Assumptions and Catalog'!$C$62,((D204+E204)*C204)*'Assumptions and Catalog'!$H$62+'Assumptions and Catalog'!$E$62+'Assumptions and Catalog'!$F$62,IF(((D204+E204)*C204)&lt;='Assumptions and Catalog'!$C$63,((D204+E204)*C204)*'Assumptions and Catalog'!$H$63+'Assumptions and Catalog'!$E$63+'Assumptions and Catalog'!$F$63,IF(((D204+E204)*C204)&lt;='Assumptions and Catalog'!$C$64,((D204+E204)*C204)*'Assumptions and Catalog'!$H$64+'Assumptions and Catalog'!$E$64+'Assumptions and Catalog'!$F$64,IF(((D204+E204)*C204)&lt;='Assumptions and Catalog'!$C$65,((D204+E204)*C204)*'Assumptions and Catalog'!$H$65+'Assumptions and Catalog'!$E$65+'Assumptions and Catalog'!$F$65,"Out of range")))))))))*(1+'Assumptions and Catalog'!$C$8)^(A204-1),0)</f>
        <v>7094.794</v>
      </c>
      <c r="N204" s="5" t="n">
        <f>IF(ISNUMBER(Inputs!$L$5),(IF(Inputs!$L$9="Actual flat rate",L204*Inputs!$L$10,IF(Inputs!$C$9="Residential",IF(L204&lt;='Assumptions and Catalog'!$C$50,L204*'Assumptions and Catalog'!$H$50+'Assumptions and Catalog'!$E$50+'Assumptions and Catalog'!$F$50,IF(L204&lt;='Assumptions and Catalog'!$C$51,L204*'Assumptions and Catalog'!$H$51+'Assumptions and Catalog'!$E$51+'Assumptions and Catalog'!$F$51,IF(L204&lt;='Assumptions and Catalog'!$C$52,L204*'Assumptions and Catalog'!$H$52+'Assumptions and Catalog'!$E$52+'Assumptions and Catalog'!$F$52,IF(L204&lt;='Assumptions and Catalog'!$C$53,L204*'Assumptions and Catalog'!$H$53+'Assumptions and Catalog'!$E$53+'Assumptions and Catalog'!$F$53,IF(L204&lt;='Assumptions and Catalog'!$C$54,L204*'Assumptions and Catalog'!$H$54+'Assumptions and Catalog'!$E$54+'Assumptions and Catalog'!$F$54,IF(L204&lt;='Assumptions and Catalog'!$C$55,L204*'Assumptions and Catalog'!$H$55+'Assumptions and Catalog'!$E$55+'Assumptions and Catalog'!$F$55,IF(L204&lt;='Assumptions and Catalog'!$C$56,L204*'Assumptions and Catalog'!$H$56+'Assumptions and Catalog'!$E$56+'Assumptions and Catalog'!$F$56,IF(L204&lt;='Assumptions and Catalog'!$C$57,L204*'Assumptions and Catalog'!$H$57+'Assumptions and Catalog'!$E$57+'Assumptions and Catalog'!$F$57,"Out of range")))))))),IF(L204&lt;='Assumptions and Catalog'!$C$60,L204*'Assumptions and Catalog'!$H$60+'Assumptions and Catalog'!$E$60+'Assumptions and Catalog'!$F$60,IF(L204&lt;='Assumptions and Catalog'!$C$61,L204*'Assumptions and Catalog'!$H$61+'Assumptions and Catalog'!$E$61+'Assumptions and Catalog'!$F$61,IF(L204&lt;='Assumptions and Catalog'!$C$62,L204*'Assumptions and Catalog'!$H$62+'Assumptions and Catalog'!$E$62+'Assumptions and Catalog'!$F$62,IF(L204&lt;='Assumptions and Catalog'!$C$63,L204*'Assumptions and Catalog'!$H$63+'Assumptions and Catalog'!$E$63+'Assumptions and Catalog'!$F$63,IF(L204&lt;='Assumptions and Catalog'!$C$64,L204*'Assumptions and Catalog'!$H$64+'Assumptions and Catalog'!$E$64+'Assumptions and Catalog'!$F$64,IF(L204&lt;='Assumptions and Catalog'!$C$65,L204*'Assumptions and Catalog'!$H$65+'Assumptions and Catalog'!$E$65+'Assumptions and Catalog'!$F$65,"Out of range")))))))))*(1+'Assumptions and Catalog'!$C$8)^(A204-1),0)</f>
        <v>3567.397</v>
      </c>
      <c r="O204" s="5" t="n">
        <f>M204-N204</f>
        <v>3527.397</v>
      </c>
      <c r="P204" s="5" t="n">
        <f>C$55*(1-J$14)*(1-'Assumptions and Catalog'!$C$23)^R204</f>
        <v>0</v>
      </c>
      <c r="Q204" s="5" t="n">
        <f>IF(ISNUMBER(Inputs!$L$5),(IF(Inputs!$L$9="Actual flat rate",((D204+E204)*C204-G204)*Inputs!$L$10,IF(Inputs!$C$9="Residential",IF(((D204+E204)*C204-G204)&lt;='Assumptions and Catalog'!$C$50,((D204+E204)*C204-G204)*'Assumptions and Catalog'!$H$50+'Assumptions and Catalog'!$E$50+'Assumptions and Catalog'!$F$50,IF(((D204+E204)*C204-G204)&lt;='Assumptions and Catalog'!$C$51,((D204+E204)*C204-G204)*'Assumptions and Catalog'!$H$51+'Assumptions and Catalog'!$E$51+'Assumptions and Catalog'!$F$51,IF(((D204+E204)*C204-G204)&lt;='Assumptions and Catalog'!$C$52,((D204+E204)*C204-G204)*'Assumptions and Catalog'!$H$52+'Assumptions and Catalog'!$E$52+'Assumptions and Catalog'!$F$52,IF(((D204+E204)*C204-G204)&lt;='Assumptions and Catalog'!$C$53,((D204+E204)*C204-G204)*'Assumptions and Catalog'!$H$53+'Assumptions and Catalog'!$E$53+'Assumptions and Catalog'!$F$53,IF(((D204+E204)*C204-G204)&lt;='Assumptions and Catalog'!$C$54,((D204+E204)*C204-G204)*'Assumptions and Catalog'!$H$54+'Assumptions and Catalog'!$E$54+'Assumptions and Catalog'!$F$54,IF(((D204+E204)*C204-G204)&lt;='Assumptions and Catalog'!$C$55,((D204+E204)*C204-G204)*'Assumptions and Catalog'!$H$55+'Assumptions and Catalog'!$E$55+'Assumptions and Catalog'!$F$55,IF(((D204+E204)*C204-G204)&lt;='Assumptions and Catalog'!$C$56,((D204+E204)*C204-G204)*'Assumptions and Catalog'!$H$56+'Assumptions and Catalog'!$E$56+'Assumptions and Catalog'!$F$56,IF(((D204+E204)*C204-G204)&lt;='Assumptions and Catalog'!$C$57,((D204+E204)*C204-G204)*'Assumptions and Catalog'!$H$57+'Assumptions and Catalog'!$E$57+'Assumptions and Catalog'!$F$57,"Out of range")))))))),IF(((D204+E204)*C204-G204)&lt;='Assumptions and Catalog'!$C$60,((D204+E204)*C204-G204)*'Assumptions and Catalog'!$H$60+'Assumptions and Catalog'!$E$60+'Assumptions and Catalog'!$F$60,IF(((D204+E204)*C204-G204)&lt;='Assumptions and Catalog'!$C$61,((D204+E204)*C204-G204)*'Assumptions and Catalog'!$H$61+'Assumptions and Catalog'!$E$61+'Assumptions and Catalog'!$F$61,IF(((D204+E204)*C204-G204)&lt;='Assumptions and Catalog'!$C$62,((D204+E204)*C204-G204)*'Assumptions and Catalog'!$H$62+'Assumptions and Catalog'!$E$62+'Assumptions and Catalog'!$F$62,IF(((D204+E204)*C204-G204)&lt;='Assumptions and Catalog'!$C$63,((D204+E204)*C204-G204)*'Assumptions and Catalog'!$H$63+'Assumptions and Catalog'!$E$63+'Assumptions and Catalog'!$F$63,IF(((D204+E204)*C204-G204)&lt;='Assumptions and Catalog'!$C$64,((D204+E204)*C204-G204)*'Assumptions and Catalog'!$H$64+'Assumptions and Catalog'!$E$64+'Assumptions and Catalog'!$F$64,IF(((D204+E204)*C204-G204)&lt;='Assumptions and Catalog'!$C$65,((D204+E204)*C204-G204)*'Assumptions and Catalog'!$H$65+'Assumptions and Catalog'!$E$65+'Assumptions and Catalog'!$F$65,"Out of range")))))))))*(1+'Assumptions and Catalog'!$C$8)^(A204-1),0)</f>
        <v>3567.397</v>
      </c>
      <c r="R204" s="5" t="n">
        <f>IF(AND('Assumptions and Catalog'!$C$19&gt;0,A204&gt;='Assumptions and Catalog'!$C$19),A204-'Assumptions and Catalog'!$C$19,A204-1)</f>
        <v>3</v>
      </c>
      <c r="S204" s="5" t="n">
        <f>F204+L204-(D204+E204)*C204-J204-K204-0</f>
        <v>0</v>
      </c>
      <c r="T204" s="5"/>
      <c r="U204" s="5"/>
    </row>
    <row r="205" ht="23.100000381469727" customHeight="1">
      <c r="A205" s="5" t="n">
        <v>4</v>
      </c>
      <c r="B205" s="5" t="n">
        <v>9</v>
      </c>
      <c r="C205" s="5" t="n">
        <f>DAY(DATE('Assumptions and Catalog'!$C$24+A205-1,B205+1,0))</f>
        <v>30</v>
      </c>
      <c r="D205" s="5" t="n">
        <f>IF(ISNUMBER(Inputs!$L$5),Inputs!$L$5*Inputs!$L$6,0)</f>
        <v>40.35</v>
      </c>
      <c r="E205" s="5" t="n">
        <f>IF(ISNUMBER(Inputs!$L$5),Inputs!$L$5-D205,0)</f>
        <v>40.35</v>
      </c>
      <c r="F205" s="5" t="n">
        <f>C$51*INDEX('Solar Production'!$D$20:$D$31,B205)*C205*(1-'Assumptions and Catalog'!$C$10)^(A205-1)</f>
        <v>1395.6540829</v>
      </c>
      <c r="G205" s="5" t="n">
        <f>MIN(F205,D205*C205)</f>
        <v>1210.5</v>
      </c>
      <c r="H205" s="5" t="n">
        <f>I205/('Assumptions and Catalog'!$C$11*'Assumptions and Catalog'!$C$12)</f>
        <v>0</v>
      </c>
      <c r="I205" s="5" t="n">
        <f>0</f>
        <v>0</v>
      </c>
      <c r="J205" s="5" t="n">
        <f>MAX(F205-G205-H205,0)</f>
        <v>185.1540829</v>
      </c>
      <c r="K205" s="5" t="n">
        <f>H205-I205</f>
        <v>0</v>
      </c>
      <c r="L205" s="5" t="n">
        <f>(D205+E205)*C205-G205-I205+0+0</f>
        <v>1210.5</v>
      </c>
      <c r="M205" s="5" t="n">
        <f>IF(ISNUMBER(Inputs!$L$5),(IF(Inputs!$L$9="Actual flat rate",((D205+E205)*C205)*Inputs!$L$10,IF(Inputs!$C$9="Residential",IF(((D205+E205)*C205)&lt;='Assumptions and Catalog'!$C$50,((D205+E205)*C205)*'Assumptions and Catalog'!$H$50+'Assumptions and Catalog'!$E$50+'Assumptions and Catalog'!$F$50,IF(((D205+E205)*C205)&lt;='Assumptions and Catalog'!$C$51,((D205+E205)*C205)*'Assumptions and Catalog'!$H$51+'Assumptions and Catalog'!$E$51+'Assumptions and Catalog'!$F$51,IF(((D205+E205)*C205)&lt;='Assumptions and Catalog'!$C$52,((D205+E205)*C205)*'Assumptions and Catalog'!$H$52+'Assumptions and Catalog'!$E$52+'Assumptions and Catalog'!$F$52,IF(((D205+E205)*C205)&lt;='Assumptions and Catalog'!$C$53,((D205+E205)*C205)*'Assumptions and Catalog'!$H$53+'Assumptions and Catalog'!$E$53+'Assumptions and Catalog'!$F$53,IF(((D205+E205)*C205)&lt;='Assumptions and Catalog'!$C$54,((D205+E205)*C205)*'Assumptions and Catalog'!$H$54+'Assumptions and Catalog'!$E$54+'Assumptions and Catalog'!$F$54,IF(((D205+E205)*C205)&lt;='Assumptions and Catalog'!$C$55,((D205+E205)*C205)*'Assumptions and Catalog'!$H$55+'Assumptions and Catalog'!$E$55+'Assumptions and Catalog'!$F$55,IF(((D205+E205)*C205)&lt;='Assumptions and Catalog'!$C$56,((D205+E205)*C205)*'Assumptions and Catalog'!$H$56+'Assumptions and Catalog'!$E$56+'Assumptions and Catalog'!$F$56,IF(((D205+E205)*C205)&lt;='Assumptions and Catalog'!$C$57,((D205+E205)*C205)*'Assumptions and Catalog'!$H$57+'Assumptions and Catalog'!$E$57+'Assumptions and Catalog'!$F$57,"Out of range")))))))),IF(((D205+E205)*C205)&lt;='Assumptions and Catalog'!$C$60,((D205+E205)*C205)*'Assumptions and Catalog'!$H$60+'Assumptions and Catalog'!$E$60+'Assumptions and Catalog'!$F$60,IF(((D205+E205)*C205)&lt;='Assumptions and Catalog'!$C$61,((D205+E205)*C205)*'Assumptions and Catalog'!$H$61+'Assumptions and Catalog'!$E$61+'Assumptions and Catalog'!$F$61,IF(((D205+E205)*C205)&lt;='Assumptions and Catalog'!$C$62,((D205+E205)*C205)*'Assumptions and Catalog'!$H$62+'Assumptions and Catalog'!$E$62+'Assumptions and Catalog'!$F$62,IF(((D205+E205)*C205)&lt;='Assumptions and Catalog'!$C$63,((D205+E205)*C205)*'Assumptions and Catalog'!$H$63+'Assumptions and Catalog'!$E$63+'Assumptions and Catalog'!$F$63,IF(((D205+E205)*C205)&lt;='Assumptions and Catalog'!$C$64,((D205+E205)*C205)*'Assumptions and Catalog'!$H$64+'Assumptions and Catalog'!$E$64+'Assumptions and Catalog'!$F$64,IF(((D205+E205)*C205)&lt;='Assumptions and Catalog'!$C$65,((D205+E205)*C205)*'Assumptions and Catalog'!$H$65+'Assumptions and Catalog'!$E$65+'Assumptions and Catalog'!$F$65,"Out of range")))))))))*(1+'Assumptions and Catalog'!$C$8)^(A205-1),0)</f>
        <v>6867.22</v>
      </c>
      <c r="N205" s="5" t="n">
        <f>IF(ISNUMBER(Inputs!$L$5),(IF(Inputs!$L$9="Actual flat rate",L205*Inputs!$L$10,IF(Inputs!$C$9="Residential",IF(L205&lt;='Assumptions and Catalog'!$C$50,L205*'Assumptions and Catalog'!$H$50+'Assumptions and Catalog'!$E$50+'Assumptions and Catalog'!$F$50,IF(L205&lt;='Assumptions and Catalog'!$C$51,L205*'Assumptions and Catalog'!$H$51+'Assumptions and Catalog'!$E$51+'Assumptions and Catalog'!$F$51,IF(L205&lt;='Assumptions and Catalog'!$C$52,L205*'Assumptions and Catalog'!$H$52+'Assumptions and Catalog'!$E$52+'Assumptions and Catalog'!$F$52,IF(L205&lt;='Assumptions and Catalog'!$C$53,L205*'Assumptions and Catalog'!$H$53+'Assumptions and Catalog'!$E$53+'Assumptions and Catalog'!$F$53,IF(L205&lt;='Assumptions and Catalog'!$C$54,L205*'Assumptions and Catalog'!$H$54+'Assumptions and Catalog'!$E$54+'Assumptions and Catalog'!$F$54,IF(L205&lt;='Assumptions and Catalog'!$C$55,L205*'Assumptions and Catalog'!$H$55+'Assumptions and Catalog'!$E$55+'Assumptions and Catalog'!$F$55,IF(L205&lt;='Assumptions and Catalog'!$C$56,L205*'Assumptions and Catalog'!$H$56+'Assumptions and Catalog'!$E$56+'Assumptions and Catalog'!$F$56,IF(L205&lt;='Assumptions and Catalog'!$C$57,L205*'Assumptions and Catalog'!$H$57+'Assumptions and Catalog'!$E$57+'Assumptions and Catalog'!$F$57,"Out of range")))))))),IF(L205&lt;='Assumptions and Catalog'!$C$60,L205*'Assumptions and Catalog'!$H$60+'Assumptions and Catalog'!$E$60+'Assumptions and Catalog'!$F$60,IF(L205&lt;='Assumptions and Catalog'!$C$61,L205*'Assumptions and Catalog'!$H$61+'Assumptions and Catalog'!$E$61+'Assumptions and Catalog'!$F$61,IF(L205&lt;='Assumptions and Catalog'!$C$62,L205*'Assumptions and Catalog'!$H$62+'Assumptions and Catalog'!$E$62+'Assumptions and Catalog'!$F$62,IF(L205&lt;='Assumptions and Catalog'!$C$63,L205*'Assumptions and Catalog'!$H$63+'Assumptions and Catalog'!$E$63+'Assumptions and Catalog'!$F$63,IF(L205&lt;='Assumptions and Catalog'!$C$64,L205*'Assumptions and Catalog'!$H$64+'Assumptions and Catalog'!$E$64+'Assumptions and Catalog'!$F$64,IF(L205&lt;='Assumptions and Catalog'!$C$65,L205*'Assumptions and Catalog'!$H$65+'Assumptions and Catalog'!$E$65+'Assumptions and Catalog'!$F$65,"Out of range")))))))))*(1+'Assumptions and Catalog'!$C$8)^(A205-1),0)</f>
        <v>3453.61</v>
      </c>
      <c r="O205" s="5" t="n">
        <f>M205-N205</f>
        <v>3413.61</v>
      </c>
      <c r="P205" s="5" t="n">
        <f>C$55*(1-J$14)*(1-'Assumptions and Catalog'!$C$23)^R205</f>
        <v>0</v>
      </c>
      <c r="Q205" s="5" t="n">
        <f>IF(ISNUMBER(Inputs!$L$5),(IF(Inputs!$L$9="Actual flat rate",((D205+E205)*C205-G205)*Inputs!$L$10,IF(Inputs!$C$9="Residential",IF(((D205+E205)*C205-G205)&lt;='Assumptions and Catalog'!$C$50,((D205+E205)*C205-G205)*'Assumptions and Catalog'!$H$50+'Assumptions and Catalog'!$E$50+'Assumptions and Catalog'!$F$50,IF(((D205+E205)*C205-G205)&lt;='Assumptions and Catalog'!$C$51,((D205+E205)*C205-G205)*'Assumptions and Catalog'!$H$51+'Assumptions and Catalog'!$E$51+'Assumptions and Catalog'!$F$51,IF(((D205+E205)*C205-G205)&lt;='Assumptions and Catalog'!$C$52,((D205+E205)*C205-G205)*'Assumptions and Catalog'!$H$52+'Assumptions and Catalog'!$E$52+'Assumptions and Catalog'!$F$52,IF(((D205+E205)*C205-G205)&lt;='Assumptions and Catalog'!$C$53,((D205+E205)*C205-G205)*'Assumptions and Catalog'!$H$53+'Assumptions and Catalog'!$E$53+'Assumptions and Catalog'!$F$53,IF(((D205+E205)*C205-G205)&lt;='Assumptions and Catalog'!$C$54,((D205+E205)*C205-G205)*'Assumptions and Catalog'!$H$54+'Assumptions and Catalog'!$E$54+'Assumptions and Catalog'!$F$54,IF(((D205+E205)*C205-G205)&lt;='Assumptions and Catalog'!$C$55,((D205+E205)*C205-G205)*'Assumptions and Catalog'!$H$55+'Assumptions and Catalog'!$E$55+'Assumptions and Catalog'!$F$55,IF(((D205+E205)*C205-G205)&lt;='Assumptions and Catalog'!$C$56,((D205+E205)*C205-G205)*'Assumptions and Catalog'!$H$56+'Assumptions and Catalog'!$E$56+'Assumptions and Catalog'!$F$56,IF(((D205+E205)*C205-G205)&lt;='Assumptions and Catalog'!$C$57,((D205+E205)*C205-G205)*'Assumptions and Catalog'!$H$57+'Assumptions and Catalog'!$E$57+'Assumptions and Catalog'!$F$57,"Out of range")))))))),IF(((D205+E205)*C205-G205)&lt;='Assumptions and Catalog'!$C$60,((D205+E205)*C205-G205)*'Assumptions and Catalog'!$H$60+'Assumptions and Catalog'!$E$60+'Assumptions and Catalog'!$F$60,IF(((D205+E205)*C205-G205)&lt;='Assumptions and Catalog'!$C$61,((D205+E205)*C205-G205)*'Assumptions and Catalog'!$H$61+'Assumptions and Catalog'!$E$61+'Assumptions and Catalog'!$F$61,IF(((D205+E205)*C205-G205)&lt;='Assumptions and Catalog'!$C$62,((D205+E205)*C205-G205)*'Assumptions and Catalog'!$H$62+'Assumptions and Catalog'!$E$62+'Assumptions and Catalog'!$F$62,IF(((D205+E205)*C205-G205)&lt;='Assumptions and Catalog'!$C$63,((D205+E205)*C205-G205)*'Assumptions and Catalog'!$H$63+'Assumptions and Catalog'!$E$63+'Assumptions and Catalog'!$F$63,IF(((D205+E205)*C205-G205)&lt;='Assumptions and Catalog'!$C$64,((D205+E205)*C205-G205)*'Assumptions and Catalog'!$H$64+'Assumptions and Catalog'!$E$64+'Assumptions and Catalog'!$F$64,IF(((D205+E205)*C205-G205)&lt;='Assumptions and Catalog'!$C$65,((D205+E205)*C205-G205)*'Assumptions and Catalog'!$H$65+'Assumptions and Catalog'!$E$65+'Assumptions and Catalog'!$F$65,"Out of range")))))))))*(1+'Assumptions and Catalog'!$C$8)^(A205-1),0)</f>
        <v>3453.61</v>
      </c>
      <c r="R205" s="5" t="n">
        <f>IF(AND('Assumptions and Catalog'!$C$19&gt;0,A205&gt;='Assumptions and Catalog'!$C$19),A205-'Assumptions and Catalog'!$C$19,A205-1)</f>
        <v>3</v>
      </c>
      <c r="S205" s="5" t="n">
        <f>F205+L205-(D205+E205)*C205-J205-K205-0</f>
        <v>0</v>
      </c>
      <c r="T205" s="5"/>
      <c r="U205" s="5"/>
    </row>
    <row r="206" ht="23.100000381469727" customHeight="1">
      <c r="A206" s="5" t="n">
        <v>4</v>
      </c>
      <c r="B206" s="5" t="n">
        <v>10</v>
      </c>
      <c r="C206" s="5" t="n">
        <f>DAY(DATE('Assumptions and Catalog'!$C$24+A206-1,B206+1,0))</f>
        <v>31</v>
      </c>
      <c r="D206" s="5" t="n">
        <f>IF(ISNUMBER(Inputs!$L$5),Inputs!$L$5*Inputs!$L$6,0)</f>
        <v>40.35</v>
      </c>
      <c r="E206" s="5" t="n">
        <f>IF(ISNUMBER(Inputs!$L$5),Inputs!$L$5-D206,0)</f>
        <v>40.35</v>
      </c>
      <c r="F206" s="5" t="n">
        <f>C$51*INDEX('Solar Production'!$D$20:$D$31,B206)*C206*(1-'Assumptions and Catalog'!$C$10)^(A206-1)</f>
        <v>1339.567859817</v>
      </c>
      <c r="G206" s="5" t="n">
        <f>MIN(F206,D206*C206)</f>
        <v>1250.85</v>
      </c>
      <c r="H206" s="5" t="n">
        <f>I206/('Assumptions and Catalog'!$C$11*'Assumptions and Catalog'!$C$12)</f>
        <v>0</v>
      </c>
      <c r="I206" s="5" t="n">
        <f>0</f>
        <v>0</v>
      </c>
      <c r="J206" s="5" t="n">
        <f>MAX(F206-G206-H206,0)</f>
        <v>88.7178598170001</v>
      </c>
      <c r="K206" s="5" t="n">
        <f>H206-I206</f>
        <v>0</v>
      </c>
      <c r="L206" s="5" t="n">
        <f>(D206+E206)*C206-G206-I206+0+0</f>
        <v>1250.85</v>
      </c>
      <c r="M206" s="5" t="n">
        <f>IF(ISNUMBER(Inputs!$L$5),(IF(Inputs!$L$9="Actual flat rate",((D206+E206)*C206)*Inputs!$L$10,IF(Inputs!$C$9="Residential",IF(((D206+E206)*C206)&lt;='Assumptions and Catalog'!$C$50,((D206+E206)*C206)*'Assumptions and Catalog'!$H$50+'Assumptions and Catalog'!$E$50+'Assumptions and Catalog'!$F$50,IF(((D206+E206)*C206)&lt;='Assumptions and Catalog'!$C$51,((D206+E206)*C206)*'Assumptions and Catalog'!$H$51+'Assumptions and Catalog'!$E$51+'Assumptions and Catalog'!$F$51,IF(((D206+E206)*C206)&lt;='Assumptions and Catalog'!$C$52,((D206+E206)*C206)*'Assumptions and Catalog'!$H$52+'Assumptions and Catalog'!$E$52+'Assumptions and Catalog'!$F$52,IF(((D206+E206)*C206)&lt;='Assumptions and Catalog'!$C$53,((D206+E206)*C206)*'Assumptions and Catalog'!$H$53+'Assumptions and Catalog'!$E$53+'Assumptions and Catalog'!$F$53,IF(((D206+E206)*C206)&lt;='Assumptions and Catalog'!$C$54,((D206+E206)*C206)*'Assumptions and Catalog'!$H$54+'Assumptions and Catalog'!$E$54+'Assumptions and Catalog'!$F$54,IF(((D206+E206)*C206)&lt;='Assumptions and Catalog'!$C$55,((D206+E206)*C206)*'Assumptions and Catalog'!$H$55+'Assumptions and Catalog'!$E$55+'Assumptions and Catalog'!$F$55,IF(((D206+E206)*C206)&lt;='Assumptions and Catalog'!$C$56,((D206+E206)*C206)*'Assumptions and Catalog'!$H$56+'Assumptions and Catalog'!$E$56+'Assumptions and Catalog'!$F$56,IF(((D206+E206)*C206)&lt;='Assumptions and Catalog'!$C$57,((D206+E206)*C206)*'Assumptions and Catalog'!$H$57+'Assumptions and Catalog'!$E$57+'Assumptions and Catalog'!$F$57,"Out of range")))))))),IF(((D206+E206)*C206)&lt;='Assumptions and Catalog'!$C$60,((D206+E206)*C206)*'Assumptions and Catalog'!$H$60+'Assumptions and Catalog'!$E$60+'Assumptions and Catalog'!$F$60,IF(((D206+E206)*C206)&lt;='Assumptions and Catalog'!$C$61,((D206+E206)*C206)*'Assumptions and Catalog'!$H$61+'Assumptions and Catalog'!$E$61+'Assumptions and Catalog'!$F$61,IF(((D206+E206)*C206)&lt;='Assumptions and Catalog'!$C$62,((D206+E206)*C206)*'Assumptions and Catalog'!$H$62+'Assumptions and Catalog'!$E$62+'Assumptions and Catalog'!$F$62,IF(((D206+E206)*C206)&lt;='Assumptions and Catalog'!$C$63,((D206+E206)*C206)*'Assumptions and Catalog'!$H$63+'Assumptions and Catalog'!$E$63+'Assumptions and Catalog'!$F$63,IF(((D206+E206)*C206)&lt;='Assumptions and Catalog'!$C$64,((D206+E206)*C206)*'Assumptions and Catalog'!$H$64+'Assumptions and Catalog'!$E$64+'Assumptions and Catalog'!$F$64,IF(((D206+E206)*C206)&lt;='Assumptions and Catalog'!$C$65,((D206+E206)*C206)*'Assumptions and Catalog'!$H$65+'Assumptions and Catalog'!$E$65+'Assumptions and Catalog'!$F$65,"Out of range")))))))))*(1+'Assumptions and Catalog'!$C$8)^(A206-1),0)</f>
        <v>7094.794</v>
      </c>
      <c r="N206" s="5" t="n">
        <f>IF(ISNUMBER(Inputs!$L$5),(IF(Inputs!$L$9="Actual flat rate",L206*Inputs!$L$10,IF(Inputs!$C$9="Residential",IF(L206&lt;='Assumptions and Catalog'!$C$50,L206*'Assumptions and Catalog'!$H$50+'Assumptions and Catalog'!$E$50+'Assumptions and Catalog'!$F$50,IF(L206&lt;='Assumptions and Catalog'!$C$51,L206*'Assumptions and Catalog'!$H$51+'Assumptions and Catalog'!$E$51+'Assumptions and Catalog'!$F$51,IF(L206&lt;='Assumptions and Catalog'!$C$52,L206*'Assumptions and Catalog'!$H$52+'Assumptions and Catalog'!$E$52+'Assumptions and Catalog'!$F$52,IF(L206&lt;='Assumptions and Catalog'!$C$53,L206*'Assumptions and Catalog'!$H$53+'Assumptions and Catalog'!$E$53+'Assumptions and Catalog'!$F$53,IF(L206&lt;='Assumptions and Catalog'!$C$54,L206*'Assumptions and Catalog'!$H$54+'Assumptions and Catalog'!$E$54+'Assumptions and Catalog'!$F$54,IF(L206&lt;='Assumptions and Catalog'!$C$55,L206*'Assumptions and Catalog'!$H$55+'Assumptions and Catalog'!$E$55+'Assumptions and Catalog'!$F$55,IF(L206&lt;='Assumptions and Catalog'!$C$56,L206*'Assumptions and Catalog'!$H$56+'Assumptions and Catalog'!$E$56+'Assumptions and Catalog'!$F$56,IF(L206&lt;='Assumptions and Catalog'!$C$57,L206*'Assumptions and Catalog'!$H$57+'Assumptions and Catalog'!$E$57+'Assumptions and Catalog'!$F$57,"Out of range")))))))),IF(L206&lt;='Assumptions and Catalog'!$C$60,L206*'Assumptions and Catalog'!$H$60+'Assumptions and Catalog'!$E$60+'Assumptions and Catalog'!$F$60,IF(L206&lt;='Assumptions and Catalog'!$C$61,L206*'Assumptions and Catalog'!$H$61+'Assumptions and Catalog'!$E$61+'Assumptions and Catalog'!$F$61,IF(L206&lt;='Assumptions and Catalog'!$C$62,L206*'Assumptions and Catalog'!$H$62+'Assumptions and Catalog'!$E$62+'Assumptions and Catalog'!$F$62,IF(L206&lt;='Assumptions and Catalog'!$C$63,L206*'Assumptions and Catalog'!$H$63+'Assumptions and Catalog'!$E$63+'Assumptions and Catalog'!$F$63,IF(L206&lt;='Assumptions and Catalog'!$C$64,L206*'Assumptions and Catalog'!$H$64+'Assumptions and Catalog'!$E$64+'Assumptions and Catalog'!$F$64,IF(L206&lt;='Assumptions and Catalog'!$C$65,L206*'Assumptions and Catalog'!$H$65+'Assumptions and Catalog'!$E$65+'Assumptions and Catalog'!$F$65,"Out of range")))))))))*(1+'Assumptions and Catalog'!$C$8)^(A206-1),0)</f>
        <v>3567.397</v>
      </c>
      <c r="O206" s="5" t="n">
        <f>M206-N206</f>
        <v>3527.397</v>
      </c>
      <c r="P206" s="5" t="n">
        <f>C$55*(1-J$14)*(1-'Assumptions and Catalog'!$C$23)^R206</f>
        <v>0</v>
      </c>
      <c r="Q206" s="5" t="n">
        <f>IF(ISNUMBER(Inputs!$L$5),(IF(Inputs!$L$9="Actual flat rate",((D206+E206)*C206-G206)*Inputs!$L$10,IF(Inputs!$C$9="Residential",IF(((D206+E206)*C206-G206)&lt;='Assumptions and Catalog'!$C$50,((D206+E206)*C206-G206)*'Assumptions and Catalog'!$H$50+'Assumptions and Catalog'!$E$50+'Assumptions and Catalog'!$F$50,IF(((D206+E206)*C206-G206)&lt;='Assumptions and Catalog'!$C$51,((D206+E206)*C206-G206)*'Assumptions and Catalog'!$H$51+'Assumptions and Catalog'!$E$51+'Assumptions and Catalog'!$F$51,IF(((D206+E206)*C206-G206)&lt;='Assumptions and Catalog'!$C$52,((D206+E206)*C206-G206)*'Assumptions and Catalog'!$H$52+'Assumptions and Catalog'!$E$52+'Assumptions and Catalog'!$F$52,IF(((D206+E206)*C206-G206)&lt;='Assumptions and Catalog'!$C$53,((D206+E206)*C206-G206)*'Assumptions and Catalog'!$H$53+'Assumptions and Catalog'!$E$53+'Assumptions and Catalog'!$F$53,IF(((D206+E206)*C206-G206)&lt;='Assumptions and Catalog'!$C$54,((D206+E206)*C206-G206)*'Assumptions and Catalog'!$H$54+'Assumptions and Catalog'!$E$54+'Assumptions and Catalog'!$F$54,IF(((D206+E206)*C206-G206)&lt;='Assumptions and Catalog'!$C$55,((D206+E206)*C206-G206)*'Assumptions and Catalog'!$H$55+'Assumptions and Catalog'!$E$55+'Assumptions and Catalog'!$F$55,IF(((D206+E206)*C206-G206)&lt;='Assumptions and Catalog'!$C$56,((D206+E206)*C206-G206)*'Assumptions and Catalog'!$H$56+'Assumptions and Catalog'!$E$56+'Assumptions and Catalog'!$F$56,IF(((D206+E206)*C206-G206)&lt;='Assumptions and Catalog'!$C$57,((D206+E206)*C206-G206)*'Assumptions and Catalog'!$H$57+'Assumptions and Catalog'!$E$57+'Assumptions and Catalog'!$F$57,"Out of range")))))))),IF(((D206+E206)*C206-G206)&lt;='Assumptions and Catalog'!$C$60,((D206+E206)*C206-G206)*'Assumptions and Catalog'!$H$60+'Assumptions and Catalog'!$E$60+'Assumptions and Catalog'!$F$60,IF(((D206+E206)*C206-G206)&lt;='Assumptions and Catalog'!$C$61,((D206+E206)*C206-G206)*'Assumptions and Catalog'!$H$61+'Assumptions and Catalog'!$E$61+'Assumptions and Catalog'!$F$61,IF(((D206+E206)*C206-G206)&lt;='Assumptions and Catalog'!$C$62,((D206+E206)*C206-G206)*'Assumptions and Catalog'!$H$62+'Assumptions and Catalog'!$E$62+'Assumptions and Catalog'!$F$62,IF(((D206+E206)*C206-G206)&lt;='Assumptions and Catalog'!$C$63,((D206+E206)*C206-G206)*'Assumptions and Catalog'!$H$63+'Assumptions and Catalog'!$E$63+'Assumptions and Catalog'!$F$63,IF(((D206+E206)*C206-G206)&lt;='Assumptions and Catalog'!$C$64,((D206+E206)*C206-G206)*'Assumptions and Catalog'!$H$64+'Assumptions and Catalog'!$E$64+'Assumptions and Catalog'!$F$64,IF(((D206+E206)*C206-G206)&lt;='Assumptions and Catalog'!$C$65,((D206+E206)*C206-G206)*'Assumptions and Catalog'!$H$65+'Assumptions and Catalog'!$E$65+'Assumptions and Catalog'!$F$65,"Out of range")))))))))*(1+'Assumptions and Catalog'!$C$8)^(A206-1),0)</f>
        <v>3567.397</v>
      </c>
      <c r="R206" s="5" t="n">
        <f>IF(AND('Assumptions and Catalog'!$C$19&gt;0,A206&gt;='Assumptions and Catalog'!$C$19),A206-'Assumptions and Catalog'!$C$19,A206-1)</f>
        <v>3</v>
      </c>
      <c r="S206" s="5" t="n">
        <f>F206+L206-(D206+E206)*C206-J206-K206-0</f>
        <v>0</v>
      </c>
      <c r="T206" s="5"/>
      <c r="U206" s="5"/>
    </row>
    <row r="207" ht="23.100000381469727" customHeight="1">
      <c r="A207" s="5" t="n">
        <v>4</v>
      </c>
      <c r="B207" s="5" t="n">
        <v>11</v>
      </c>
      <c r="C207" s="5" t="n">
        <f>DAY(DATE('Assumptions and Catalog'!$C$24+A207-1,B207+1,0))</f>
        <v>30</v>
      </c>
      <c r="D207" s="5" t="n">
        <f>IF(ISNUMBER(Inputs!$L$5),Inputs!$L$5*Inputs!$L$6,0)</f>
        <v>40.35</v>
      </c>
      <c r="E207" s="5" t="n">
        <f>IF(ISNUMBER(Inputs!$L$5),Inputs!$L$5-D207,0)</f>
        <v>40.35</v>
      </c>
      <c r="F207" s="5" t="n">
        <f>C$51*INDEX('Solar Production'!$D$20:$D$31,B207)*C207*(1-'Assumptions and Catalog'!$C$10)^(A207-1)</f>
        <v>1187.346209533</v>
      </c>
      <c r="G207" s="5" t="n">
        <f>MIN(F207,D207*C207)</f>
        <v>1187.346209533</v>
      </c>
      <c r="H207" s="5" t="n">
        <f>I207/('Assumptions and Catalog'!$C$11*'Assumptions and Catalog'!$C$12)</f>
        <v>0</v>
      </c>
      <c r="I207" s="5" t="n">
        <f>0</f>
        <v>0</v>
      </c>
      <c r="J207" s="5" t="n">
        <f>MAX(F207-G207-H207,0)</f>
        <v>0</v>
      </c>
      <c r="K207" s="5" t="n">
        <f>H207-I207</f>
        <v>0</v>
      </c>
      <c r="L207" s="5" t="n">
        <f>(D207+E207)*C207-G207-I207+0+0</f>
        <v>1233.653790467</v>
      </c>
      <c r="M207" s="5" t="n">
        <f>IF(ISNUMBER(Inputs!$L$5),(IF(Inputs!$L$9="Actual flat rate",((D207+E207)*C207)*Inputs!$L$10,IF(Inputs!$C$9="Residential",IF(((D207+E207)*C207)&lt;='Assumptions and Catalog'!$C$50,((D207+E207)*C207)*'Assumptions and Catalog'!$H$50+'Assumptions and Catalog'!$E$50+'Assumptions and Catalog'!$F$50,IF(((D207+E207)*C207)&lt;='Assumptions and Catalog'!$C$51,((D207+E207)*C207)*'Assumptions and Catalog'!$H$51+'Assumptions and Catalog'!$E$51+'Assumptions and Catalog'!$F$51,IF(((D207+E207)*C207)&lt;='Assumptions and Catalog'!$C$52,((D207+E207)*C207)*'Assumptions and Catalog'!$H$52+'Assumptions and Catalog'!$E$52+'Assumptions and Catalog'!$F$52,IF(((D207+E207)*C207)&lt;='Assumptions and Catalog'!$C$53,((D207+E207)*C207)*'Assumptions and Catalog'!$H$53+'Assumptions and Catalog'!$E$53+'Assumptions and Catalog'!$F$53,IF(((D207+E207)*C207)&lt;='Assumptions and Catalog'!$C$54,((D207+E207)*C207)*'Assumptions and Catalog'!$H$54+'Assumptions and Catalog'!$E$54+'Assumptions and Catalog'!$F$54,IF(((D207+E207)*C207)&lt;='Assumptions and Catalog'!$C$55,((D207+E207)*C207)*'Assumptions and Catalog'!$H$55+'Assumptions and Catalog'!$E$55+'Assumptions and Catalog'!$F$55,IF(((D207+E207)*C207)&lt;='Assumptions and Catalog'!$C$56,((D207+E207)*C207)*'Assumptions and Catalog'!$H$56+'Assumptions and Catalog'!$E$56+'Assumptions and Catalog'!$F$56,IF(((D207+E207)*C207)&lt;='Assumptions and Catalog'!$C$57,((D207+E207)*C207)*'Assumptions and Catalog'!$H$57+'Assumptions and Catalog'!$E$57+'Assumptions and Catalog'!$F$57,"Out of range")))))))),IF(((D207+E207)*C207)&lt;='Assumptions and Catalog'!$C$60,((D207+E207)*C207)*'Assumptions and Catalog'!$H$60+'Assumptions and Catalog'!$E$60+'Assumptions and Catalog'!$F$60,IF(((D207+E207)*C207)&lt;='Assumptions and Catalog'!$C$61,((D207+E207)*C207)*'Assumptions and Catalog'!$H$61+'Assumptions and Catalog'!$E$61+'Assumptions and Catalog'!$F$61,IF(((D207+E207)*C207)&lt;='Assumptions and Catalog'!$C$62,((D207+E207)*C207)*'Assumptions and Catalog'!$H$62+'Assumptions and Catalog'!$E$62+'Assumptions and Catalog'!$F$62,IF(((D207+E207)*C207)&lt;='Assumptions and Catalog'!$C$63,((D207+E207)*C207)*'Assumptions and Catalog'!$H$63+'Assumptions and Catalog'!$E$63+'Assumptions and Catalog'!$F$63,IF(((D207+E207)*C207)&lt;='Assumptions and Catalog'!$C$64,((D207+E207)*C207)*'Assumptions and Catalog'!$H$64+'Assumptions and Catalog'!$E$64+'Assumptions and Catalog'!$F$64,IF(((D207+E207)*C207)&lt;='Assumptions and Catalog'!$C$65,((D207+E207)*C207)*'Assumptions and Catalog'!$H$65+'Assumptions and Catalog'!$E$65+'Assumptions and Catalog'!$F$65,"Out of range")))))))))*(1+'Assumptions and Catalog'!$C$8)^(A207-1),0)</f>
        <v>6867.22</v>
      </c>
      <c r="N207" s="5" t="n">
        <f>IF(ISNUMBER(Inputs!$L$5),(IF(Inputs!$L$9="Actual flat rate",L207*Inputs!$L$10,IF(Inputs!$C$9="Residential",IF(L207&lt;='Assumptions and Catalog'!$C$50,L207*'Assumptions and Catalog'!$H$50+'Assumptions and Catalog'!$E$50+'Assumptions and Catalog'!$F$50,IF(L207&lt;='Assumptions and Catalog'!$C$51,L207*'Assumptions and Catalog'!$H$51+'Assumptions and Catalog'!$E$51+'Assumptions and Catalog'!$F$51,IF(L207&lt;='Assumptions and Catalog'!$C$52,L207*'Assumptions and Catalog'!$H$52+'Assumptions and Catalog'!$E$52+'Assumptions and Catalog'!$F$52,IF(L207&lt;='Assumptions and Catalog'!$C$53,L207*'Assumptions and Catalog'!$H$53+'Assumptions and Catalog'!$E$53+'Assumptions and Catalog'!$F$53,IF(L207&lt;='Assumptions and Catalog'!$C$54,L207*'Assumptions and Catalog'!$H$54+'Assumptions and Catalog'!$E$54+'Assumptions and Catalog'!$F$54,IF(L207&lt;='Assumptions and Catalog'!$C$55,L207*'Assumptions and Catalog'!$H$55+'Assumptions and Catalog'!$E$55+'Assumptions and Catalog'!$F$55,IF(L207&lt;='Assumptions and Catalog'!$C$56,L207*'Assumptions and Catalog'!$H$56+'Assumptions and Catalog'!$E$56+'Assumptions and Catalog'!$F$56,IF(L207&lt;='Assumptions and Catalog'!$C$57,L207*'Assumptions and Catalog'!$H$57+'Assumptions and Catalog'!$E$57+'Assumptions and Catalog'!$F$57,"Out of range")))))))),IF(L207&lt;='Assumptions and Catalog'!$C$60,L207*'Assumptions and Catalog'!$H$60+'Assumptions and Catalog'!$E$60+'Assumptions and Catalog'!$F$60,IF(L207&lt;='Assumptions and Catalog'!$C$61,L207*'Assumptions and Catalog'!$H$61+'Assumptions and Catalog'!$E$61+'Assumptions and Catalog'!$F$61,IF(L207&lt;='Assumptions and Catalog'!$C$62,L207*'Assumptions and Catalog'!$H$62+'Assumptions and Catalog'!$E$62+'Assumptions and Catalog'!$F$62,IF(L207&lt;='Assumptions and Catalog'!$C$63,L207*'Assumptions and Catalog'!$H$63+'Assumptions and Catalog'!$E$63+'Assumptions and Catalog'!$F$63,IF(L207&lt;='Assumptions and Catalog'!$C$64,L207*'Assumptions and Catalog'!$H$64+'Assumptions and Catalog'!$E$64+'Assumptions and Catalog'!$F$64,IF(L207&lt;='Assumptions and Catalog'!$C$65,L207*'Assumptions and Catalog'!$H$65+'Assumptions and Catalog'!$E$65+'Assumptions and Catalog'!$F$65,"Out of range")))))))))*(1+'Assumptions and Catalog'!$C$8)^(A207-1),0)</f>
        <v>3518.90368911694</v>
      </c>
      <c r="O207" s="5" t="n">
        <f>M207-N207</f>
        <v>3348.31631088306</v>
      </c>
      <c r="P207" s="5" t="n">
        <f>C$55*(1-J$14)*(1-'Assumptions and Catalog'!$C$23)^R207</f>
        <v>0</v>
      </c>
      <c r="Q207" s="5" t="n">
        <f>IF(ISNUMBER(Inputs!$L$5),(IF(Inputs!$L$9="Actual flat rate",((D207+E207)*C207-G207)*Inputs!$L$10,IF(Inputs!$C$9="Residential",IF(((D207+E207)*C207-G207)&lt;='Assumptions and Catalog'!$C$50,((D207+E207)*C207-G207)*'Assumptions and Catalog'!$H$50+'Assumptions and Catalog'!$E$50+'Assumptions and Catalog'!$F$50,IF(((D207+E207)*C207-G207)&lt;='Assumptions and Catalog'!$C$51,((D207+E207)*C207-G207)*'Assumptions and Catalog'!$H$51+'Assumptions and Catalog'!$E$51+'Assumptions and Catalog'!$F$51,IF(((D207+E207)*C207-G207)&lt;='Assumptions and Catalog'!$C$52,((D207+E207)*C207-G207)*'Assumptions and Catalog'!$H$52+'Assumptions and Catalog'!$E$52+'Assumptions and Catalog'!$F$52,IF(((D207+E207)*C207-G207)&lt;='Assumptions and Catalog'!$C$53,((D207+E207)*C207-G207)*'Assumptions and Catalog'!$H$53+'Assumptions and Catalog'!$E$53+'Assumptions and Catalog'!$F$53,IF(((D207+E207)*C207-G207)&lt;='Assumptions and Catalog'!$C$54,((D207+E207)*C207-G207)*'Assumptions and Catalog'!$H$54+'Assumptions and Catalog'!$E$54+'Assumptions and Catalog'!$F$54,IF(((D207+E207)*C207-G207)&lt;='Assumptions and Catalog'!$C$55,((D207+E207)*C207-G207)*'Assumptions and Catalog'!$H$55+'Assumptions and Catalog'!$E$55+'Assumptions and Catalog'!$F$55,IF(((D207+E207)*C207-G207)&lt;='Assumptions and Catalog'!$C$56,((D207+E207)*C207-G207)*'Assumptions and Catalog'!$H$56+'Assumptions and Catalog'!$E$56+'Assumptions and Catalog'!$F$56,IF(((D207+E207)*C207-G207)&lt;='Assumptions and Catalog'!$C$57,((D207+E207)*C207-G207)*'Assumptions and Catalog'!$H$57+'Assumptions and Catalog'!$E$57+'Assumptions and Catalog'!$F$57,"Out of range")))))))),IF(((D207+E207)*C207-G207)&lt;='Assumptions and Catalog'!$C$60,((D207+E207)*C207-G207)*'Assumptions and Catalog'!$H$60+'Assumptions and Catalog'!$E$60+'Assumptions and Catalog'!$F$60,IF(((D207+E207)*C207-G207)&lt;='Assumptions and Catalog'!$C$61,((D207+E207)*C207-G207)*'Assumptions and Catalog'!$H$61+'Assumptions and Catalog'!$E$61+'Assumptions and Catalog'!$F$61,IF(((D207+E207)*C207-G207)&lt;='Assumptions and Catalog'!$C$62,((D207+E207)*C207-G207)*'Assumptions and Catalog'!$H$62+'Assumptions and Catalog'!$E$62+'Assumptions and Catalog'!$F$62,IF(((D207+E207)*C207-G207)&lt;='Assumptions and Catalog'!$C$63,((D207+E207)*C207-G207)*'Assumptions and Catalog'!$H$63+'Assumptions and Catalog'!$E$63+'Assumptions and Catalog'!$F$63,IF(((D207+E207)*C207-G207)&lt;='Assumptions and Catalog'!$C$64,((D207+E207)*C207-G207)*'Assumptions and Catalog'!$H$64+'Assumptions and Catalog'!$E$64+'Assumptions and Catalog'!$F$64,IF(((D207+E207)*C207-G207)&lt;='Assumptions and Catalog'!$C$65,((D207+E207)*C207-G207)*'Assumptions and Catalog'!$H$65+'Assumptions and Catalog'!$E$65+'Assumptions and Catalog'!$F$65,"Out of range")))))))))*(1+'Assumptions and Catalog'!$C$8)^(A207-1),0)</f>
        <v>3518.90368911694</v>
      </c>
      <c r="R207" s="5" t="n">
        <f>IF(AND('Assumptions and Catalog'!$C$19&gt;0,A207&gt;='Assumptions and Catalog'!$C$19),A207-'Assumptions and Catalog'!$C$19,A207-1)</f>
        <v>3</v>
      </c>
      <c r="S207" s="5" t="n">
        <f>F207+L207-(D207+E207)*C207-J207-K207-0</f>
        <v>0</v>
      </c>
      <c r="T207" s="5"/>
      <c r="U207" s="5"/>
    </row>
    <row r="208" ht="23.100000381469727" customHeight="1">
      <c r="A208" s="5" t="n">
        <v>4</v>
      </c>
      <c r="B208" s="5" t="n">
        <v>12</v>
      </c>
      <c r="C208" s="5" t="n">
        <f>DAY(DATE('Assumptions and Catalog'!$C$24+A208-1,B208+1,0))</f>
        <v>31</v>
      </c>
      <c r="D208" s="5" t="n">
        <f>IF(ISNUMBER(Inputs!$L$5),Inputs!$L$5*Inputs!$L$6,0)</f>
        <v>40.35</v>
      </c>
      <c r="E208" s="5" t="n">
        <f>IF(ISNUMBER(Inputs!$L$5),Inputs!$L$5-D208,0)</f>
        <v>40.35</v>
      </c>
      <c r="F208" s="5" t="n">
        <f>C$51*INDEX('Solar Production'!$D$20:$D$31,B208)*C208*(1-'Assumptions and Catalog'!$C$10)^(A208-1)</f>
        <v>1130.39312056</v>
      </c>
      <c r="G208" s="5" t="n">
        <f>MIN(F208,D208*C208)</f>
        <v>1130.39312056</v>
      </c>
      <c r="H208" s="5" t="n">
        <f>I208/('Assumptions and Catalog'!$C$11*'Assumptions and Catalog'!$C$12)</f>
        <v>0</v>
      </c>
      <c r="I208" s="5" t="n">
        <f>0</f>
        <v>0</v>
      </c>
      <c r="J208" s="5" t="n">
        <f>MAX(F208-G208-H208,0)</f>
        <v>0</v>
      </c>
      <c r="K208" s="5" t="n">
        <f>H208-I208</f>
        <v>0</v>
      </c>
      <c r="L208" s="5" t="n">
        <f>(D208+E208)*C208-G208-I208+0+0</f>
        <v>1371.30687944</v>
      </c>
      <c r="M208" s="5" t="n">
        <f>IF(ISNUMBER(Inputs!$L$5),(IF(Inputs!$L$9="Actual flat rate",((D208+E208)*C208)*Inputs!$L$10,IF(Inputs!$C$9="Residential",IF(((D208+E208)*C208)&lt;='Assumptions and Catalog'!$C$50,((D208+E208)*C208)*'Assumptions and Catalog'!$H$50+'Assumptions and Catalog'!$E$50+'Assumptions and Catalog'!$F$50,IF(((D208+E208)*C208)&lt;='Assumptions and Catalog'!$C$51,((D208+E208)*C208)*'Assumptions and Catalog'!$H$51+'Assumptions and Catalog'!$E$51+'Assumptions and Catalog'!$F$51,IF(((D208+E208)*C208)&lt;='Assumptions and Catalog'!$C$52,((D208+E208)*C208)*'Assumptions and Catalog'!$H$52+'Assumptions and Catalog'!$E$52+'Assumptions and Catalog'!$F$52,IF(((D208+E208)*C208)&lt;='Assumptions and Catalog'!$C$53,((D208+E208)*C208)*'Assumptions and Catalog'!$H$53+'Assumptions and Catalog'!$E$53+'Assumptions and Catalog'!$F$53,IF(((D208+E208)*C208)&lt;='Assumptions and Catalog'!$C$54,((D208+E208)*C208)*'Assumptions and Catalog'!$H$54+'Assumptions and Catalog'!$E$54+'Assumptions and Catalog'!$F$54,IF(((D208+E208)*C208)&lt;='Assumptions and Catalog'!$C$55,((D208+E208)*C208)*'Assumptions and Catalog'!$H$55+'Assumptions and Catalog'!$E$55+'Assumptions and Catalog'!$F$55,IF(((D208+E208)*C208)&lt;='Assumptions and Catalog'!$C$56,((D208+E208)*C208)*'Assumptions and Catalog'!$H$56+'Assumptions and Catalog'!$E$56+'Assumptions and Catalog'!$F$56,IF(((D208+E208)*C208)&lt;='Assumptions and Catalog'!$C$57,((D208+E208)*C208)*'Assumptions and Catalog'!$H$57+'Assumptions and Catalog'!$E$57+'Assumptions and Catalog'!$F$57,"Out of range")))))))),IF(((D208+E208)*C208)&lt;='Assumptions and Catalog'!$C$60,((D208+E208)*C208)*'Assumptions and Catalog'!$H$60+'Assumptions and Catalog'!$E$60+'Assumptions and Catalog'!$F$60,IF(((D208+E208)*C208)&lt;='Assumptions and Catalog'!$C$61,((D208+E208)*C208)*'Assumptions and Catalog'!$H$61+'Assumptions and Catalog'!$E$61+'Assumptions and Catalog'!$F$61,IF(((D208+E208)*C208)&lt;='Assumptions and Catalog'!$C$62,((D208+E208)*C208)*'Assumptions and Catalog'!$H$62+'Assumptions and Catalog'!$E$62+'Assumptions and Catalog'!$F$62,IF(((D208+E208)*C208)&lt;='Assumptions and Catalog'!$C$63,((D208+E208)*C208)*'Assumptions and Catalog'!$H$63+'Assumptions and Catalog'!$E$63+'Assumptions and Catalog'!$F$63,IF(((D208+E208)*C208)&lt;='Assumptions and Catalog'!$C$64,((D208+E208)*C208)*'Assumptions and Catalog'!$H$64+'Assumptions and Catalog'!$E$64+'Assumptions and Catalog'!$F$64,IF(((D208+E208)*C208)&lt;='Assumptions and Catalog'!$C$65,((D208+E208)*C208)*'Assumptions and Catalog'!$H$65+'Assumptions and Catalog'!$E$65+'Assumptions and Catalog'!$F$65,"Out of range")))))))))*(1+'Assumptions and Catalog'!$C$8)^(A208-1),0)</f>
        <v>7094.794</v>
      </c>
      <c r="N208" s="5" t="n">
        <f>IF(ISNUMBER(Inputs!$L$5),(IF(Inputs!$L$9="Actual flat rate",L208*Inputs!$L$10,IF(Inputs!$C$9="Residential",IF(L208&lt;='Assumptions and Catalog'!$C$50,L208*'Assumptions and Catalog'!$H$50+'Assumptions and Catalog'!$E$50+'Assumptions and Catalog'!$F$50,IF(L208&lt;='Assumptions and Catalog'!$C$51,L208*'Assumptions and Catalog'!$H$51+'Assumptions and Catalog'!$E$51+'Assumptions and Catalog'!$F$51,IF(L208&lt;='Assumptions and Catalog'!$C$52,L208*'Assumptions and Catalog'!$H$52+'Assumptions and Catalog'!$E$52+'Assumptions and Catalog'!$F$52,IF(L208&lt;='Assumptions and Catalog'!$C$53,L208*'Assumptions and Catalog'!$H$53+'Assumptions and Catalog'!$E$53+'Assumptions and Catalog'!$F$53,IF(L208&lt;='Assumptions and Catalog'!$C$54,L208*'Assumptions and Catalog'!$H$54+'Assumptions and Catalog'!$E$54+'Assumptions and Catalog'!$F$54,IF(L208&lt;='Assumptions and Catalog'!$C$55,L208*'Assumptions and Catalog'!$H$55+'Assumptions and Catalog'!$E$55+'Assumptions and Catalog'!$F$55,IF(L208&lt;='Assumptions and Catalog'!$C$56,L208*'Assumptions and Catalog'!$H$56+'Assumptions and Catalog'!$E$56+'Assumptions and Catalog'!$F$56,IF(L208&lt;='Assumptions and Catalog'!$C$57,L208*'Assumptions and Catalog'!$H$57+'Assumptions and Catalog'!$E$57+'Assumptions and Catalog'!$F$57,"Out of range")))))))),IF(L208&lt;='Assumptions and Catalog'!$C$60,L208*'Assumptions and Catalog'!$H$60+'Assumptions and Catalog'!$E$60+'Assumptions and Catalog'!$F$60,IF(L208&lt;='Assumptions and Catalog'!$C$61,L208*'Assumptions and Catalog'!$H$61+'Assumptions and Catalog'!$E$61+'Assumptions and Catalog'!$F$61,IF(L208&lt;='Assumptions and Catalog'!$C$62,L208*'Assumptions and Catalog'!$H$62+'Assumptions and Catalog'!$E$62+'Assumptions and Catalog'!$F$62,IF(L208&lt;='Assumptions and Catalog'!$C$63,L208*'Assumptions and Catalog'!$H$63+'Assumptions and Catalog'!$E$63+'Assumptions and Catalog'!$F$63,IF(L208&lt;='Assumptions and Catalog'!$C$64,L208*'Assumptions and Catalog'!$H$64+'Assumptions and Catalog'!$E$64+'Assumptions and Catalog'!$F$64,IF(L208&lt;='Assumptions and Catalog'!$C$65,L208*'Assumptions and Catalog'!$H$65+'Assumptions and Catalog'!$E$65+'Assumptions and Catalog'!$F$65,"Out of range")))))))))*(1+'Assumptions and Catalog'!$C$8)^(A208-1),0)</f>
        <v>3907.0854000208</v>
      </c>
      <c r="O208" s="5" t="n">
        <f>M208-N208</f>
        <v>3187.7085999792</v>
      </c>
      <c r="P208" s="5" t="n">
        <f>C$55*(1-J$14)*(1-'Assumptions and Catalog'!$C$23)^R208</f>
        <v>0</v>
      </c>
      <c r="Q208" s="5" t="n">
        <f>IF(ISNUMBER(Inputs!$L$5),(IF(Inputs!$L$9="Actual flat rate",((D208+E208)*C208-G208)*Inputs!$L$10,IF(Inputs!$C$9="Residential",IF(((D208+E208)*C208-G208)&lt;='Assumptions and Catalog'!$C$50,((D208+E208)*C208-G208)*'Assumptions and Catalog'!$H$50+'Assumptions and Catalog'!$E$50+'Assumptions and Catalog'!$F$50,IF(((D208+E208)*C208-G208)&lt;='Assumptions and Catalog'!$C$51,((D208+E208)*C208-G208)*'Assumptions and Catalog'!$H$51+'Assumptions and Catalog'!$E$51+'Assumptions and Catalog'!$F$51,IF(((D208+E208)*C208-G208)&lt;='Assumptions and Catalog'!$C$52,((D208+E208)*C208-G208)*'Assumptions and Catalog'!$H$52+'Assumptions and Catalog'!$E$52+'Assumptions and Catalog'!$F$52,IF(((D208+E208)*C208-G208)&lt;='Assumptions and Catalog'!$C$53,((D208+E208)*C208-G208)*'Assumptions and Catalog'!$H$53+'Assumptions and Catalog'!$E$53+'Assumptions and Catalog'!$F$53,IF(((D208+E208)*C208-G208)&lt;='Assumptions and Catalog'!$C$54,((D208+E208)*C208-G208)*'Assumptions and Catalog'!$H$54+'Assumptions and Catalog'!$E$54+'Assumptions and Catalog'!$F$54,IF(((D208+E208)*C208-G208)&lt;='Assumptions and Catalog'!$C$55,((D208+E208)*C208-G208)*'Assumptions and Catalog'!$H$55+'Assumptions and Catalog'!$E$55+'Assumptions and Catalog'!$F$55,IF(((D208+E208)*C208-G208)&lt;='Assumptions and Catalog'!$C$56,((D208+E208)*C208-G208)*'Assumptions and Catalog'!$H$56+'Assumptions and Catalog'!$E$56+'Assumptions and Catalog'!$F$56,IF(((D208+E208)*C208-G208)&lt;='Assumptions and Catalog'!$C$57,((D208+E208)*C208-G208)*'Assumptions and Catalog'!$H$57+'Assumptions and Catalog'!$E$57+'Assumptions and Catalog'!$F$57,"Out of range")))))))),IF(((D208+E208)*C208-G208)&lt;='Assumptions and Catalog'!$C$60,((D208+E208)*C208-G208)*'Assumptions and Catalog'!$H$60+'Assumptions and Catalog'!$E$60+'Assumptions and Catalog'!$F$60,IF(((D208+E208)*C208-G208)&lt;='Assumptions and Catalog'!$C$61,((D208+E208)*C208-G208)*'Assumptions and Catalog'!$H$61+'Assumptions and Catalog'!$E$61+'Assumptions and Catalog'!$F$61,IF(((D208+E208)*C208-G208)&lt;='Assumptions and Catalog'!$C$62,((D208+E208)*C208-G208)*'Assumptions and Catalog'!$H$62+'Assumptions and Catalog'!$E$62+'Assumptions and Catalog'!$F$62,IF(((D208+E208)*C208-G208)&lt;='Assumptions and Catalog'!$C$63,((D208+E208)*C208-G208)*'Assumptions and Catalog'!$H$63+'Assumptions and Catalog'!$E$63+'Assumptions and Catalog'!$F$63,IF(((D208+E208)*C208-G208)&lt;='Assumptions and Catalog'!$C$64,((D208+E208)*C208-G208)*'Assumptions and Catalog'!$H$64+'Assumptions and Catalog'!$E$64+'Assumptions and Catalog'!$F$64,IF(((D208+E208)*C208-G208)&lt;='Assumptions and Catalog'!$C$65,((D208+E208)*C208-G208)*'Assumptions and Catalog'!$H$65+'Assumptions and Catalog'!$E$65+'Assumptions and Catalog'!$F$65,"Out of range")))))))))*(1+'Assumptions and Catalog'!$C$8)^(A208-1),0)</f>
        <v>3907.0854000208</v>
      </c>
      <c r="R208" s="5" t="n">
        <f>IF(AND('Assumptions and Catalog'!$C$19&gt;0,A208&gt;='Assumptions and Catalog'!$C$19),A208-'Assumptions and Catalog'!$C$19,A208-1)</f>
        <v>3</v>
      </c>
      <c r="S208" s="5" t="n">
        <f>F208+L208-(D208+E208)*C208-J208-K208-0</f>
        <v>0</v>
      </c>
      <c r="T208" s="5"/>
      <c r="U208" s="5"/>
    </row>
    <row r="209" ht="23.100000381469727" customHeight="1">
      <c r="A209" s="5" t="n">
        <v>5</v>
      </c>
      <c r="B209" s="5" t="n">
        <v>1</v>
      </c>
      <c r="C209" s="5" t="n">
        <f>DAY(DATE('Assumptions and Catalog'!$C$24+A209-1,B209+1,0))</f>
        <v>31</v>
      </c>
      <c r="D209" s="5" t="n">
        <f>IF(ISNUMBER(Inputs!$L$5),Inputs!$L$5*Inputs!$L$6,0)</f>
        <v>40.35</v>
      </c>
      <c r="E209" s="5" t="n">
        <f>IF(ISNUMBER(Inputs!$L$5),Inputs!$L$5-D209,0)</f>
        <v>40.35</v>
      </c>
      <c r="F209" s="5" t="n">
        <f>C$51*INDEX('Solar Production'!$D$20:$D$31,B209)*C209*(1-'Assumptions and Catalog'!$C$10)^(A209-1)</f>
        <v>1132.50393900215</v>
      </c>
      <c r="G209" s="5" t="n">
        <f>MIN(F209,D209*C209)</f>
        <v>1132.50393900215</v>
      </c>
      <c r="H209" s="5" t="n">
        <f>I209/('Assumptions and Catalog'!$C$11*'Assumptions and Catalog'!$C$12)</f>
        <v>0</v>
      </c>
      <c r="I209" s="5" t="n">
        <f>0</f>
        <v>0</v>
      </c>
      <c r="J209" s="5" t="n">
        <f>MAX(F209-G209-H209,0)</f>
        <v>0</v>
      </c>
      <c r="K209" s="5" t="n">
        <f>H209-I209</f>
        <v>0</v>
      </c>
      <c r="L209" s="5" t="n">
        <f>(D209+E209)*C209-G209-I209+0+0</f>
        <v>1369.19606099785</v>
      </c>
      <c r="M209" s="5" t="n">
        <f>IF(ISNUMBER(Inputs!$L$5),(IF(Inputs!$L$9="Actual flat rate",((D209+E209)*C209)*Inputs!$L$10,IF(Inputs!$C$9="Residential",IF(((D209+E209)*C209)&lt;='Assumptions and Catalog'!$C$50,((D209+E209)*C209)*'Assumptions and Catalog'!$H$50+'Assumptions and Catalog'!$E$50+'Assumptions and Catalog'!$F$50,IF(((D209+E209)*C209)&lt;='Assumptions and Catalog'!$C$51,((D209+E209)*C209)*'Assumptions and Catalog'!$H$51+'Assumptions and Catalog'!$E$51+'Assumptions and Catalog'!$F$51,IF(((D209+E209)*C209)&lt;='Assumptions and Catalog'!$C$52,((D209+E209)*C209)*'Assumptions and Catalog'!$H$52+'Assumptions and Catalog'!$E$52+'Assumptions and Catalog'!$F$52,IF(((D209+E209)*C209)&lt;='Assumptions and Catalog'!$C$53,((D209+E209)*C209)*'Assumptions and Catalog'!$H$53+'Assumptions and Catalog'!$E$53+'Assumptions and Catalog'!$F$53,IF(((D209+E209)*C209)&lt;='Assumptions and Catalog'!$C$54,((D209+E209)*C209)*'Assumptions and Catalog'!$H$54+'Assumptions and Catalog'!$E$54+'Assumptions and Catalog'!$F$54,IF(((D209+E209)*C209)&lt;='Assumptions and Catalog'!$C$55,((D209+E209)*C209)*'Assumptions and Catalog'!$H$55+'Assumptions and Catalog'!$E$55+'Assumptions and Catalog'!$F$55,IF(((D209+E209)*C209)&lt;='Assumptions and Catalog'!$C$56,((D209+E209)*C209)*'Assumptions and Catalog'!$H$56+'Assumptions and Catalog'!$E$56+'Assumptions and Catalog'!$F$56,IF(((D209+E209)*C209)&lt;='Assumptions and Catalog'!$C$57,((D209+E209)*C209)*'Assumptions and Catalog'!$H$57+'Assumptions and Catalog'!$E$57+'Assumptions and Catalog'!$F$57,"Out of range")))))))),IF(((D209+E209)*C209)&lt;='Assumptions and Catalog'!$C$60,((D209+E209)*C209)*'Assumptions and Catalog'!$H$60+'Assumptions and Catalog'!$E$60+'Assumptions and Catalog'!$F$60,IF(((D209+E209)*C209)&lt;='Assumptions and Catalog'!$C$61,((D209+E209)*C209)*'Assumptions and Catalog'!$H$61+'Assumptions and Catalog'!$E$61+'Assumptions and Catalog'!$F$61,IF(((D209+E209)*C209)&lt;='Assumptions and Catalog'!$C$62,((D209+E209)*C209)*'Assumptions and Catalog'!$H$62+'Assumptions and Catalog'!$E$62+'Assumptions and Catalog'!$F$62,IF(((D209+E209)*C209)&lt;='Assumptions and Catalog'!$C$63,((D209+E209)*C209)*'Assumptions and Catalog'!$H$63+'Assumptions and Catalog'!$E$63+'Assumptions and Catalog'!$F$63,IF(((D209+E209)*C209)&lt;='Assumptions and Catalog'!$C$64,((D209+E209)*C209)*'Assumptions and Catalog'!$H$64+'Assumptions and Catalog'!$E$64+'Assumptions and Catalog'!$F$64,IF(((D209+E209)*C209)&lt;='Assumptions and Catalog'!$C$65,((D209+E209)*C209)*'Assumptions and Catalog'!$H$65+'Assumptions and Catalog'!$E$65+'Assumptions and Catalog'!$F$65,"Out of range")))))))))*(1+'Assumptions and Catalog'!$C$8)^(A209-1),0)</f>
        <v>7094.794</v>
      </c>
      <c r="N209" s="5" t="n">
        <f>IF(ISNUMBER(Inputs!$L$5),(IF(Inputs!$L$9="Actual flat rate",L209*Inputs!$L$10,IF(Inputs!$C$9="Residential",IF(L209&lt;='Assumptions and Catalog'!$C$50,L209*'Assumptions and Catalog'!$H$50+'Assumptions and Catalog'!$E$50+'Assumptions and Catalog'!$F$50,IF(L209&lt;='Assumptions and Catalog'!$C$51,L209*'Assumptions and Catalog'!$H$51+'Assumptions and Catalog'!$E$51+'Assumptions and Catalog'!$F$51,IF(L209&lt;='Assumptions and Catalog'!$C$52,L209*'Assumptions and Catalog'!$H$52+'Assumptions and Catalog'!$E$52+'Assumptions and Catalog'!$F$52,IF(L209&lt;='Assumptions and Catalog'!$C$53,L209*'Assumptions and Catalog'!$H$53+'Assumptions and Catalog'!$E$53+'Assumptions and Catalog'!$F$53,IF(L209&lt;='Assumptions and Catalog'!$C$54,L209*'Assumptions and Catalog'!$H$54+'Assumptions and Catalog'!$E$54+'Assumptions and Catalog'!$F$54,IF(L209&lt;='Assumptions and Catalog'!$C$55,L209*'Assumptions and Catalog'!$H$55+'Assumptions and Catalog'!$E$55+'Assumptions and Catalog'!$F$55,IF(L209&lt;='Assumptions and Catalog'!$C$56,L209*'Assumptions and Catalog'!$H$56+'Assumptions and Catalog'!$E$56+'Assumptions and Catalog'!$F$56,IF(L209&lt;='Assumptions and Catalog'!$C$57,L209*'Assumptions and Catalog'!$H$57+'Assumptions and Catalog'!$E$57+'Assumptions and Catalog'!$F$57,"Out of range")))))))),IF(L209&lt;='Assumptions and Catalog'!$C$60,L209*'Assumptions and Catalog'!$H$60+'Assumptions and Catalog'!$E$60+'Assumptions and Catalog'!$F$60,IF(L209&lt;='Assumptions and Catalog'!$C$61,L209*'Assumptions and Catalog'!$H$61+'Assumptions and Catalog'!$E$61+'Assumptions and Catalog'!$F$61,IF(L209&lt;='Assumptions and Catalog'!$C$62,L209*'Assumptions and Catalog'!$H$62+'Assumptions and Catalog'!$E$62+'Assumptions and Catalog'!$F$62,IF(L209&lt;='Assumptions and Catalog'!$C$63,L209*'Assumptions and Catalog'!$H$63+'Assumptions and Catalog'!$E$63+'Assumptions and Catalog'!$F$63,IF(L209&lt;='Assumptions and Catalog'!$C$64,L209*'Assumptions and Catalog'!$H$64+'Assumptions and Catalog'!$E$64+'Assumptions and Catalog'!$F$64,IF(L209&lt;='Assumptions and Catalog'!$C$65,L209*'Assumptions and Catalog'!$H$65+'Assumptions and Catalog'!$E$65+'Assumptions and Catalog'!$F$65,"Out of range")))))))))*(1+'Assumptions and Catalog'!$C$8)^(A209-1),0)</f>
        <v>3901.13289201394</v>
      </c>
      <c r="O209" s="5" t="n">
        <f>M209-N209</f>
        <v>3193.66110798606</v>
      </c>
      <c r="P209" s="5" t="n">
        <f>C$55*(1-J$14)*(1-'Assumptions and Catalog'!$C$23)^R209</f>
        <v>0</v>
      </c>
      <c r="Q209" s="5" t="n">
        <f>IF(ISNUMBER(Inputs!$L$5),(IF(Inputs!$L$9="Actual flat rate",((D209+E209)*C209-G209)*Inputs!$L$10,IF(Inputs!$C$9="Residential",IF(((D209+E209)*C209-G209)&lt;='Assumptions and Catalog'!$C$50,((D209+E209)*C209-G209)*'Assumptions and Catalog'!$H$50+'Assumptions and Catalog'!$E$50+'Assumptions and Catalog'!$F$50,IF(((D209+E209)*C209-G209)&lt;='Assumptions and Catalog'!$C$51,((D209+E209)*C209-G209)*'Assumptions and Catalog'!$H$51+'Assumptions and Catalog'!$E$51+'Assumptions and Catalog'!$F$51,IF(((D209+E209)*C209-G209)&lt;='Assumptions and Catalog'!$C$52,((D209+E209)*C209-G209)*'Assumptions and Catalog'!$H$52+'Assumptions and Catalog'!$E$52+'Assumptions and Catalog'!$F$52,IF(((D209+E209)*C209-G209)&lt;='Assumptions and Catalog'!$C$53,((D209+E209)*C209-G209)*'Assumptions and Catalog'!$H$53+'Assumptions and Catalog'!$E$53+'Assumptions and Catalog'!$F$53,IF(((D209+E209)*C209-G209)&lt;='Assumptions and Catalog'!$C$54,((D209+E209)*C209-G209)*'Assumptions and Catalog'!$H$54+'Assumptions and Catalog'!$E$54+'Assumptions and Catalog'!$F$54,IF(((D209+E209)*C209-G209)&lt;='Assumptions and Catalog'!$C$55,((D209+E209)*C209-G209)*'Assumptions and Catalog'!$H$55+'Assumptions and Catalog'!$E$55+'Assumptions and Catalog'!$F$55,IF(((D209+E209)*C209-G209)&lt;='Assumptions and Catalog'!$C$56,((D209+E209)*C209-G209)*'Assumptions and Catalog'!$H$56+'Assumptions and Catalog'!$E$56+'Assumptions and Catalog'!$F$56,IF(((D209+E209)*C209-G209)&lt;='Assumptions and Catalog'!$C$57,((D209+E209)*C209-G209)*'Assumptions and Catalog'!$H$57+'Assumptions and Catalog'!$E$57+'Assumptions and Catalog'!$F$57,"Out of range")))))))),IF(((D209+E209)*C209-G209)&lt;='Assumptions and Catalog'!$C$60,((D209+E209)*C209-G209)*'Assumptions and Catalog'!$H$60+'Assumptions and Catalog'!$E$60+'Assumptions and Catalog'!$F$60,IF(((D209+E209)*C209-G209)&lt;='Assumptions and Catalog'!$C$61,((D209+E209)*C209-G209)*'Assumptions and Catalog'!$H$61+'Assumptions and Catalog'!$E$61+'Assumptions and Catalog'!$F$61,IF(((D209+E209)*C209-G209)&lt;='Assumptions and Catalog'!$C$62,((D209+E209)*C209-G209)*'Assumptions and Catalog'!$H$62+'Assumptions and Catalog'!$E$62+'Assumptions and Catalog'!$F$62,IF(((D209+E209)*C209-G209)&lt;='Assumptions and Catalog'!$C$63,((D209+E209)*C209-G209)*'Assumptions and Catalog'!$H$63+'Assumptions and Catalog'!$E$63+'Assumptions and Catalog'!$F$63,IF(((D209+E209)*C209-G209)&lt;='Assumptions and Catalog'!$C$64,((D209+E209)*C209-G209)*'Assumptions and Catalog'!$H$64+'Assumptions and Catalog'!$E$64+'Assumptions and Catalog'!$F$64,IF(((D209+E209)*C209-G209)&lt;='Assumptions and Catalog'!$C$65,((D209+E209)*C209-G209)*'Assumptions and Catalog'!$H$65+'Assumptions and Catalog'!$E$65+'Assumptions and Catalog'!$F$65,"Out of range")))))))))*(1+'Assumptions and Catalog'!$C$8)^(A209-1),0)</f>
        <v>3901.13289201394</v>
      </c>
      <c r="R209" s="5" t="n">
        <f>IF(AND('Assumptions and Catalog'!$C$19&gt;0,A209&gt;='Assumptions and Catalog'!$C$19),A209-'Assumptions and Catalog'!$C$19,A209-1)</f>
        <v>4</v>
      </c>
      <c r="S209" s="5" t="n">
        <f>F209+L209-(D209+E209)*C209-J209-K209-0</f>
        <v>0</v>
      </c>
      <c r="T209" s="5"/>
      <c r="U209" s="5"/>
    </row>
    <row r="210" ht="23.100000381469727" customHeight="1">
      <c r="A210" s="5" t="n">
        <v>5</v>
      </c>
      <c r="B210" s="5" t="n">
        <v>2</v>
      </c>
      <c r="C210" s="5" t="n">
        <f>DAY(DATE('Assumptions and Catalog'!$C$24+A210-1,B210+1,0))</f>
        <v>28</v>
      </c>
      <c r="D210" s="5" t="n">
        <f>IF(ISNUMBER(Inputs!$L$5),Inputs!$L$5*Inputs!$L$6,0)</f>
        <v>40.35</v>
      </c>
      <c r="E210" s="5" t="n">
        <f>IF(ISNUMBER(Inputs!$L$5),Inputs!$L$5-D210,0)</f>
        <v>40.35</v>
      </c>
      <c r="F210" s="5" t="n">
        <f>C$51*INDEX('Solar Production'!$D$20:$D$31,B210)*C210*(1-'Assumptions and Catalog'!$C$10)^(A210-1)</f>
        <v>1116.54710513198</v>
      </c>
      <c r="G210" s="5" t="n">
        <f>MIN(F210,D210*C210)</f>
        <v>1116.54710513198</v>
      </c>
      <c r="H210" s="5" t="n">
        <f>I210/('Assumptions and Catalog'!$C$11*'Assumptions and Catalog'!$C$12)</f>
        <v>0</v>
      </c>
      <c r="I210" s="5" t="n">
        <f>0</f>
        <v>0</v>
      </c>
      <c r="J210" s="5" t="n">
        <f>MAX(F210-G210-H210,0)</f>
        <v>0</v>
      </c>
      <c r="K210" s="5" t="n">
        <f>H210-I210</f>
        <v>0</v>
      </c>
      <c r="L210" s="5" t="n">
        <f>(D210+E210)*C210-G210-I210+0+0</f>
        <v>1143.05289486802</v>
      </c>
      <c r="M210" s="5" t="n">
        <f>IF(ISNUMBER(Inputs!$L$5),(IF(Inputs!$L$9="Actual flat rate",((D210+E210)*C210)*Inputs!$L$10,IF(Inputs!$C$9="Residential",IF(((D210+E210)*C210)&lt;='Assumptions and Catalog'!$C$50,((D210+E210)*C210)*'Assumptions and Catalog'!$H$50+'Assumptions and Catalog'!$E$50+'Assumptions and Catalog'!$F$50,IF(((D210+E210)*C210)&lt;='Assumptions and Catalog'!$C$51,((D210+E210)*C210)*'Assumptions and Catalog'!$H$51+'Assumptions and Catalog'!$E$51+'Assumptions and Catalog'!$F$51,IF(((D210+E210)*C210)&lt;='Assumptions and Catalog'!$C$52,((D210+E210)*C210)*'Assumptions and Catalog'!$H$52+'Assumptions and Catalog'!$E$52+'Assumptions and Catalog'!$F$52,IF(((D210+E210)*C210)&lt;='Assumptions and Catalog'!$C$53,((D210+E210)*C210)*'Assumptions and Catalog'!$H$53+'Assumptions and Catalog'!$E$53+'Assumptions and Catalog'!$F$53,IF(((D210+E210)*C210)&lt;='Assumptions and Catalog'!$C$54,((D210+E210)*C210)*'Assumptions and Catalog'!$H$54+'Assumptions and Catalog'!$E$54+'Assumptions and Catalog'!$F$54,IF(((D210+E210)*C210)&lt;='Assumptions and Catalog'!$C$55,((D210+E210)*C210)*'Assumptions and Catalog'!$H$55+'Assumptions and Catalog'!$E$55+'Assumptions and Catalog'!$F$55,IF(((D210+E210)*C210)&lt;='Assumptions and Catalog'!$C$56,((D210+E210)*C210)*'Assumptions and Catalog'!$H$56+'Assumptions and Catalog'!$E$56+'Assumptions and Catalog'!$F$56,IF(((D210+E210)*C210)&lt;='Assumptions and Catalog'!$C$57,((D210+E210)*C210)*'Assumptions and Catalog'!$H$57+'Assumptions and Catalog'!$E$57+'Assumptions and Catalog'!$F$57,"Out of range")))))))),IF(((D210+E210)*C210)&lt;='Assumptions and Catalog'!$C$60,((D210+E210)*C210)*'Assumptions and Catalog'!$H$60+'Assumptions and Catalog'!$E$60+'Assumptions and Catalog'!$F$60,IF(((D210+E210)*C210)&lt;='Assumptions and Catalog'!$C$61,((D210+E210)*C210)*'Assumptions and Catalog'!$H$61+'Assumptions and Catalog'!$E$61+'Assumptions and Catalog'!$F$61,IF(((D210+E210)*C210)&lt;='Assumptions and Catalog'!$C$62,((D210+E210)*C210)*'Assumptions and Catalog'!$H$62+'Assumptions and Catalog'!$E$62+'Assumptions and Catalog'!$F$62,IF(((D210+E210)*C210)&lt;='Assumptions and Catalog'!$C$63,((D210+E210)*C210)*'Assumptions and Catalog'!$H$63+'Assumptions and Catalog'!$E$63+'Assumptions and Catalog'!$F$63,IF(((D210+E210)*C210)&lt;='Assumptions and Catalog'!$C$64,((D210+E210)*C210)*'Assumptions and Catalog'!$H$64+'Assumptions and Catalog'!$E$64+'Assumptions and Catalog'!$F$64,IF(((D210+E210)*C210)&lt;='Assumptions and Catalog'!$C$65,((D210+E210)*C210)*'Assumptions and Catalog'!$H$65+'Assumptions and Catalog'!$E$65+'Assumptions and Catalog'!$F$65,"Out of range")))))))))*(1+'Assumptions and Catalog'!$C$8)^(A210-1),0)</f>
        <v>6412.072</v>
      </c>
      <c r="N210" s="5" t="n">
        <f>IF(ISNUMBER(Inputs!$L$5),(IF(Inputs!$L$9="Actual flat rate",L210*Inputs!$L$10,IF(Inputs!$C$9="Residential",IF(L210&lt;='Assumptions and Catalog'!$C$50,L210*'Assumptions and Catalog'!$H$50+'Assumptions and Catalog'!$E$50+'Assumptions and Catalog'!$F$50,IF(L210&lt;='Assumptions and Catalog'!$C$51,L210*'Assumptions and Catalog'!$H$51+'Assumptions and Catalog'!$E$51+'Assumptions and Catalog'!$F$51,IF(L210&lt;='Assumptions and Catalog'!$C$52,L210*'Assumptions and Catalog'!$H$52+'Assumptions and Catalog'!$E$52+'Assumptions and Catalog'!$F$52,IF(L210&lt;='Assumptions and Catalog'!$C$53,L210*'Assumptions and Catalog'!$H$53+'Assumptions and Catalog'!$E$53+'Assumptions and Catalog'!$F$53,IF(L210&lt;='Assumptions and Catalog'!$C$54,L210*'Assumptions and Catalog'!$H$54+'Assumptions and Catalog'!$E$54+'Assumptions and Catalog'!$F$54,IF(L210&lt;='Assumptions and Catalog'!$C$55,L210*'Assumptions and Catalog'!$H$55+'Assumptions and Catalog'!$E$55+'Assumptions and Catalog'!$F$55,IF(L210&lt;='Assumptions and Catalog'!$C$56,L210*'Assumptions and Catalog'!$H$56+'Assumptions and Catalog'!$E$56+'Assumptions and Catalog'!$F$56,IF(L210&lt;='Assumptions and Catalog'!$C$57,L210*'Assumptions and Catalog'!$H$57+'Assumptions and Catalog'!$E$57+'Assumptions and Catalog'!$F$57,"Out of range")))))))),IF(L210&lt;='Assumptions and Catalog'!$C$60,L210*'Assumptions and Catalog'!$H$60+'Assumptions and Catalog'!$E$60+'Assumptions and Catalog'!$F$60,IF(L210&lt;='Assumptions and Catalog'!$C$61,L210*'Assumptions and Catalog'!$H$61+'Assumptions and Catalog'!$E$61+'Assumptions and Catalog'!$F$61,IF(L210&lt;='Assumptions and Catalog'!$C$62,L210*'Assumptions and Catalog'!$H$62+'Assumptions and Catalog'!$E$62+'Assumptions and Catalog'!$F$62,IF(L210&lt;='Assumptions and Catalog'!$C$63,L210*'Assumptions and Catalog'!$H$63+'Assumptions and Catalog'!$E$63+'Assumptions and Catalog'!$F$63,IF(L210&lt;='Assumptions and Catalog'!$C$64,L210*'Assumptions and Catalog'!$H$64+'Assumptions and Catalog'!$E$64+'Assumptions and Catalog'!$F$64,IF(L210&lt;='Assumptions and Catalog'!$C$65,L210*'Assumptions and Catalog'!$H$65+'Assumptions and Catalog'!$E$65+'Assumptions and Catalog'!$F$65,"Out of range")))))))))*(1+'Assumptions and Catalog'!$C$8)^(A210-1),0)</f>
        <v>3263.40916352783</v>
      </c>
      <c r="O210" s="5" t="n">
        <f>M210-N210</f>
        <v>3148.66283647217</v>
      </c>
      <c r="P210" s="5" t="n">
        <f>C$55*(1-J$14)*(1-'Assumptions and Catalog'!$C$23)^R210</f>
        <v>0</v>
      </c>
      <c r="Q210" s="5" t="n">
        <f>IF(ISNUMBER(Inputs!$L$5),(IF(Inputs!$L$9="Actual flat rate",((D210+E210)*C210-G210)*Inputs!$L$10,IF(Inputs!$C$9="Residential",IF(((D210+E210)*C210-G210)&lt;='Assumptions and Catalog'!$C$50,((D210+E210)*C210-G210)*'Assumptions and Catalog'!$H$50+'Assumptions and Catalog'!$E$50+'Assumptions and Catalog'!$F$50,IF(((D210+E210)*C210-G210)&lt;='Assumptions and Catalog'!$C$51,((D210+E210)*C210-G210)*'Assumptions and Catalog'!$H$51+'Assumptions and Catalog'!$E$51+'Assumptions and Catalog'!$F$51,IF(((D210+E210)*C210-G210)&lt;='Assumptions and Catalog'!$C$52,((D210+E210)*C210-G210)*'Assumptions and Catalog'!$H$52+'Assumptions and Catalog'!$E$52+'Assumptions and Catalog'!$F$52,IF(((D210+E210)*C210-G210)&lt;='Assumptions and Catalog'!$C$53,((D210+E210)*C210-G210)*'Assumptions and Catalog'!$H$53+'Assumptions and Catalog'!$E$53+'Assumptions and Catalog'!$F$53,IF(((D210+E210)*C210-G210)&lt;='Assumptions and Catalog'!$C$54,((D210+E210)*C210-G210)*'Assumptions and Catalog'!$H$54+'Assumptions and Catalog'!$E$54+'Assumptions and Catalog'!$F$54,IF(((D210+E210)*C210-G210)&lt;='Assumptions and Catalog'!$C$55,((D210+E210)*C210-G210)*'Assumptions and Catalog'!$H$55+'Assumptions and Catalog'!$E$55+'Assumptions and Catalog'!$F$55,IF(((D210+E210)*C210-G210)&lt;='Assumptions and Catalog'!$C$56,((D210+E210)*C210-G210)*'Assumptions and Catalog'!$H$56+'Assumptions and Catalog'!$E$56+'Assumptions and Catalog'!$F$56,IF(((D210+E210)*C210-G210)&lt;='Assumptions and Catalog'!$C$57,((D210+E210)*C210-G210)*'Assumptions and Catalog'!$H$57+'Assumptions and Catalog'!$E$57+'Assumptions and Catalog'!$F$57,"Out of range")))))))),IF(((D210+E210)*C210-G210)&lt;='Assumptions and Catalog'!$C$60,((D210+E210)*C210-G210)*'Assumptions and Catalog'!$H$60+'Assumptions and Catalog'!$E$60+'Assumptions and Catalog'!$F$60,IF(((D210+E210)*C210-G210)&lt;='Assumptions and Catalog'!$C$61,((D210+E210)*C210-G210)*'Assumptions and Catalog'!$H$61+'Assumptions and Catalog'!$E$61+'Assumptions and Catalog'!$F$61,IF(((D210+E210)*C210-G210)&lt;='Assumptions and Catalog'!$C$62,((D210+E210)*C210-G210)*'Assumptions and Catalog'!$H$62+'Assumptions and Catalog'!$E$62+'Assumptions and Catalog'!$F$62,IF(((D210+E210)*C210-G210)&lt;='Assumptions and Catalog'!$C$63,((D210+E210)*C210-G210)*'Assumptions and Catalog'!$H$63+'Assumptions and Catalog'!$E$63+'Assumptions and Catalog'!$F$63,IF(((D210+E210)*C210-G210)&lt;='Assumptions and Catalog'!$C$64,((D210+E210)*C210-G210)*'Assumptions and Catalog'!$H$64+'Assumptions and Catalog'!$E$64+'Assumptions and Catalog'!$F$64,IF(((D210+E210)*C210-G210)&lt;='Assumptions and Catalog'!$C$65,((D210+E210)*C210-G210)*'Assumptions and Catalog'!$H$65+'Assumptions and Catalog'!$E$65+'Assumptions and Catalog'!$F$65,"Out of range")))))))))*(1+'Assumptions and Catalog'!$C$8)^(A210-1),0)</f>
        <v>3263.40916352783</v>
      </c>
      <c r="R210" s="5" t="n">
        <f>IF(AND('Assumptions and Catalog'!$C$19&gt;0,A210&gt;='Assumptions and Catalog'!$C$19),A210-'Assumptions and Catalog'!$C$19,A210-1)</f>
        <v>4</v>
      </c>
      <c r="S210" s="5" t="n">
        <f>F210+L210-(D210+E210)*C210-J210-K210-0</f>
        <v>0</v>
      </c>
      <c r="T210" s="5"/>
      <c r="U210" s="5"/>
    </row>
    <row r="211" ht="23.100000381469727" customHeight="1">
      <c r="A211" s="5" t="n">
        <v>5</v>
      </c>
      <c r="B211" s="5" t="n">
        <v>3</v>
      </c>
      <c r="C211" s="5" t="n">
        <f>DAY(DATE('Assumptions and Catalog'!$C$24+A211-1,B211+1,0))</f>
        <v>31</v>
      </c>
      <c r="D211" s="5" t="n">
        <f>IF(ISNUMBER(Inputs!$L$5),Inputs!$L$5*Inputs!$L$6,0)</f>
        <v>40.35</v>
      </c>
      <c r="E211" s="5" t="n">
        <f>IF(ISNUMBER(Inputs!$L$5),Inputs!$L$5-D211,0)</f>
        <v>40.35</v>
      </c>
      <c r="F211" s="5" t="n">
        <f>C$51*INDEX('Solar Production'!$D$20:$D$31,B211)*C211*(1-'Assumptions and Catalog'!$C$10)^(A211-1)</f>
        <v>1389.19333142183</v>
      </c>
      <c r="G211" s="5" t="n">
        <f>MIN(F211,D211*C211)</f>
        <v>1250.85</v>
      </c>
      <c r="H211" s="5" t="n">
        <f>I211/('Assumptions and Catalog'!$C$11*'Assumptions and Catalog'!$C$12)</f>
        <v>0</v>
      </c>
      <c r="I211" s="5" t="n">
        <f>0</f>
        <v>0</v>
      </c>
      <c r="J211" s="5" t="n">
        <f>MAX(F211-G211-H211,0)</f>
        <v>138.34333142183</v>
      </c>
      <c r="K211" s="5" t="n">
        <f>H211-I211</f>
        <v>0</v>
      </c>
      <c r="L211" s="5" t="n">
        <f>(D211+E211)*C211-G211-I211+0+0</f>
        <v>1250.85</v>
      </c>
      <c r="M211" s="5" t="n">
        <f>IF(ISNUMBER(Inputs!$L$5),(IF(Inputs!$L$9="Actual flat rate",((D211+E211)*C211)*Inputs!$L$10,IF(Inputs!$C$9="Residential",IF(((D211+E211)*C211)&lt;='Assumptions and Catalog'!$C$50,((D211+E211)*C211)*'Assumptions and Catalog'!$H$50+'Assumptions and Catalog'!$E$50+'Assumptions and Catalog'!$F$50,IF(((D211+E211)*C211)&lt;='Assumptions and Catalog'!$C$51,((D211+E211)*C211)*'Assumptions and Catalog'!$H$51+'Assumptions and Catalog'!$E$51+'Assumptions and Catalog'!$F$51,IF(((D211+E211)*C211)&lt;='Assumptions and Catalog'!$C$52,((D211+E211)*C211)*'Assumptions and Catalog'!$H$52+'Assumptions and Catalog'!$E$52+'Assumptions and Catalog'!$F$52,IF(((D211+E211)*C211)&lt;='Assumptions and Catalog'!$C$53,((D211+E211)*C211)*'Assumptions and Catalog'!$H$53+'Assumptions and Catalog'!$E$53+'Assumptions and Catalog'!$F$53,IF(((D211+E211)*C211)&lt;='Assumptions and Catalog'!$C$54,((D211+E211)*C211)*'Assumptions and Catalog'!$H$54+'Assumptions and Catalog'!$E$54+'Assumptions and Catalog'!$F$54,IF(((D211+E211)*C211)&lt;='Assumptions and Catalog'!$C$55,((D211+E211)*C211)*'Assumptions and Catalog'!$H$55+'Assumptions and Catalog'!$E$55+'Assumptions and Catalog'!$F$55,IF(((D211+E211)*C211)&lt;='Assumptions and Catalog'!$C$56,((D211+E211)*C211)*'Assumptions and Catalog'!$H$56+'Assumptions and Catalog'!$E$56+'Assumptions and Catalog'!$F$56,IF(((D211+E211)*C211)&lt;='Assumptions and Catalog'!$C$57,((D211+E211)*C211)*'Assumptions and Catalog'!$H$57+'Assumptions and Catalog'!$E$57+'Assumptions and Catalog'!$F$57,"Out of range")))))))),IF(((D211+E211)*C211)&lt;='Assumptions and Catalog'!$C$60,((D211+E211)*C211)*'Assumptions and Catalog'!$H$60+'Assumptions and Catalog'!$E$60+'Assumptions and Catalog'!$F$60,IF(((D211+E211)*C211)&lt;='Assumptions and Catalog'!$C$61,((D211+E211)*C211)*'Assumptions and Catalog'!$H$61+'Assumptions and Catalog'!$E$61+'Assumptions and Catalog'!$F$61,IF(((D211+E211)*C211)&lt;='Assumptions and Catalog'!$C$62,((D211+E211)*C211)*'Assumptions and Catalog'!$H$62+'Assumptions and Catalog'!$E$62+'Assumptions and Catalog'!$F$62,IF(((D211+E211)*C211)&lt;='Assumptions and Catalog'!$C$63,((D211+E211)*C211)*'Assumptions and Catalog'!$H$63+'Assumptions and Catalog'!$E$63+'Assumptions and Catalog'!$F$63,IF(((D211+E211)*C211)&lt;='Assumptions and Catalog'!$C$64,((D211+E211)*C211)*'Assumptions and Catalog'!$H$64+'Assumptions and Catalog'!$E$64+'Assumptions and Catalog'!$F$64,IF(((D211+E211)*C211)&lt;='Assumptions and Catalog'!$C$65,((D211+E211)*C211)*'Assumptions and Catalog'!$H$65+'Assumptions and Catalog'!$E$65+'Assumptions and Catalog'!$F$65,"Out of range")))))))))*(1+'Assumptions and Catalog'!$C$8)^(A211-1),0)</f>
        <v>7094.794</v>
      </c>
      <c r="N211" s="5" t="n">
        <f>IF(ISNUMBER(Inputs!$L$5),(IF(Inputs!$L$9="Actual flat rate",L211*Inputs!$L$10,IF(Inputs!$C$9="Residential",IF(L211&lt;='Assumptions and Catalog'!$C$50,L211*'Assumptions and Catalog'!$H$50+'Assumptions and Catalog'!$E$50+'Assumptions and Catalog'!$F$50,IF(L211&lt;='Assumptions and Catalog'!$C$51,L211*'Assumptions and Catalog'!$H$51+'Assumptions and Catalog'!$E$51+'Assumptions and Catalog'!$F$51,IF(L211&lt;='Assumptions and Catalog'!$C$52,L211*'Assumptions and Catalog'!$H$52+'Assumptions and Catalog'!$E$52+'Assumptions and Catalog'!$F$52,IF(L211&lt;='Assumptions and Catalog'!$C$53,L211*'Assumptions and Catalog'!$H$53+'Assumptions and Catalog'!$E$53+'Assumptions and Catalog'!$F$53,IF(L211&lt;='Assumptions and Catalog'!$C$54,L211*'Assumptions and Catalog'!$H$54+'Assumptions and Catalog'!$E$54+'Assumptions and Catalog'!$F$54,IF(L211&lt;='Assumptions and Catalog'!$C$55,L211*'Assumptions and Catalog'!$H$55+'Assumptions and Catalog'!$E$55+'Assumptions and Catalog'!$F$55,IF(L211&lt;='Assumptions and Catalog'!$C$56,L211*'Assumptions and Catalog'!$H$56+'Assumptions and Catalog'!$E$56+'Assumptions and Catalog'!$F$56,IF(L211&lt;='Assumptions and Catalog'!$C$57,L211*'Assumptions and Catalog'!$H$57+'Assumptions and Catalog'!$E$57+'Assumptions and Catalog'!$F$57,"Out of range")))))))),IF(L211&lt;='Assumptions and Catalog'!$C$60,L211*'Assumptions and Catalog'!$H$60+'Assumptions and Catalog'!$E$60+'Assumptions and Catalog'!$F$60,IF(L211&lt;='Assumptions and Catalog'!$C$61,L211*'Assumptions and Catalog'!$H$61+'Assumptions and Catalog'!$E$61+'Assumptions and Catalog'!$F$61,IF(L211&lt;='Assumptions and Catalog'!$C$62,L211*'Assumptions and Catalog'!$H$62+'Assumptions and Catalog'!$E$62+'Assumptions and Catalog'!$F$62,IF(L211&lt;='Assumptions and Catalog'!$C$63,L211*'Assumptions and Catalog'!$H$63+'Assumptions and Catalog'!$E$63+'Assumptions and Catalog'!$F$63,IF(L211&lt;='Assumptions and Catalog'!$C$64,L211*'Assumptions and Catalog'!$H$64+'Assumptions and Catalog'!$E$64+'Assumptions and Catalog'!$F$64,IF(L211&lt;='Assumptions and Catalog'!$C$65,L211*'Assumptions and Catalog'!$H$65+'Assumptions and Catalog'!$E$65+'Assumptions and Catalog'!$F$65,"Out of range")))))))))*(1+'Assumptions and Catalog'!$C$8)^(A211-1),0)</f>
        <v>3567.397</v>
      </c>
      <c r="O211" s="5" t="n">
        <f>M211-N211</f>
        <v>3527.397</v>
      </c>
      <c r="P211" s="5" t="n">
        <f>C$55*(1-J$14)*(1-'Assumptions and Catalog'!$C$23)^R211</f>
        <v>0</v>
      </c>
      <c r="Q211" s="5" t="n">
        <f>IF(ISNUMBER(Inputs!$L$5),(IF(Inputs!$L$9="Actual flat rate",((D211+E211)*C211-G211)*Inputs!$L$10,IF(Inputs!$C$9="Residential",IF(((D211+E211)*C211-G211)&lt;='Assumptions and Catalog'!$C$50,((D211+E211)*C211-G211)*'Assumptions and Catalog'!$H$50+'Assumptions and Catalog'!$E$50+'Assumptions and Catalog'!$F$50,IF(((D211+E211)*C211-G211)&lt;='Assumptions and Catalog'!$C$51,((D211+E211)*C211-G211)*'Assumptions and Catalog'!$H$51+'Assumptions and Catalog'!$E$51+'Assumptions and Catalog'!$F$51,IF(((D211+E211)*C211-G211)&lt;='Assumptions and Catalog'!$C$52,((D211+E211)*C211-G211)*'Assumptions and Catalog'!$H$52+'Assumptions and Catalog'!$E$52+'Assumptions and Catalog'!$F$52,IF(((D211+E211)*C211-G211)&lt;='Assumptions and Catalog'!$C$53,((D211+E211)*C211-G211)*'Assumptions and Catalog'!$H$53+'Assumptions and Catalog'!$E$53+'Assumptions and Catalog'!$F$53,IF(((D211+E211)*C211-G211)&lt;='Assumptions and Catalog'!$C$54,((D211+E211)*C211-G211)*'Assumptions and Catalog'!$H$54+'Assumptions and Catalog'!$E$54+'Assumptions and Catalog'!$F$54,IF(((D211+E211)*C211-G211)&lt;='Assumptions and Catalog'!$C$55,((D211+E211)*C211-G211)*'Assumptions and Catalog'!$H$55+'Assumptions and Catalog'!$E$55+'Assumptions and Catalog'!$F$55,IF(((D211+E211)*C211-G211)&lt;='Assumptions and Catalog'!$C$56,((D211+E211)*C211-G211)*'Assumptions and Catalog'!$H$56+'Assumptions and Catalog'!$E$56+'Assumptions and Catalog'!$F$56,IF(((D211+E211)*C211-G211)&lt;='Assumptions and Catalog'!$C$57,((D211+E211)*C211-G211)*'Assumptions and Catalog'!$H$57+'Assumptions and Catalog'!$E$57+'Assumptions and Catalog'!$F$57,"Out of range")))))))),IF(((D211+E211)*C211-G211)&lt;='Assumptions and Catalog'!$C$60,((D211+E211)*C211-G211)*'Assumptions and Catalog'!$H$60+'Assumptions and Catalog'!$E$60+'Assumptions and Catalog'!$F$60,IF(((D211+E211)*C211-G211)&lt;='Assumptions and Catalog'!$C$61,((D211+E211)*C211-G211)*'Assumptions and Catalog'!$H$61+'Assumptions and Catalog'!$E$61+'Assumptions and Catalog'!$F$61,IF(((D211+E211)*C211-G211)&lt;='Assumptions and Catalog'!$C$62,((D211+E211)*C211-G211)*'Assumptions and Catalog'!$H$62+'Assumptions and Catalog'!$E$62+'Assumptions and Catalog'!$F$62,IF(((D211+E211)*C211-G211)&lt;='Assumptions and Catalog'!$C$63,((D211+E211)*C211-G211)*'Assumptions and Catalog'!$H$63+'Assumptions and Catalog'!$E$63+'Assumptions and Catalog'!$F$63,IF(((D211+E211)*C211-G211)&lt;='Assumptions and Catalog'!$C$64,((D211+E211)*C211-G211)*'Assumptions and Catalog'!$H$64+'Assumptions and Catalog'!$E$64+'Assumptions and Catalog'!$F$64,IF(((D211+E211)*C211-G211)&lt;='Assumptions and Catalog'!$C$65,((D211+E211)*C211-G211)*'Assumptions and Catalog'!$H$65+'Assumptions and Catalog'!$E$65+'Assumptions and Catalog'!$F$65,"Out of range")))))))))*(1+'Assumptions and Catalog'!$C$8)^(A211-1),0)</f>
        <v>3567.397</v>
      </c>
      <c r="R211" s="5" t="n">
        <f>IF(AND('Assumptions and Catalog'!$C$19&gt;0,A211&gt;='Assumptions and Catalog'!$C$19),A211-'Assumptions and Catalog'!$C$19,A211-1)</f>
        <v>4</v>
      </c>
      <c r="S211" s="5" t="n">
        <f>F211+L211-(D211+E211)*C211-J211-K211-0</f>
        <v>0</v>
      </c>
      <c r="T211" s="5"/>
      <c r="U211" s="5"/>
    </row>
    <row r="212" ht="23.100000381469727" customHeight="1">
      <c r="A212" s="5" t="n">
        <v>5</v>
      </c>
      <c r="B212" s="5" t="n">
        <v>4</v>
      </c>
      <c r="C212" s="5" t="n">
        <f>DAY(DATE('Assumptions and Catalog'!$C$24+A212-1,B212+1,0))</f>
        <v>30</v>
      </c>
      <c r="D212" s="5" t="n">
        <f>IF(ISNUMBER(Inputs!$L$5),Inputs!$L$5*Inputs!$L$6,0)</f>
        <v>40.35</v>
      </c>
      <c r="E212" s="5" t="n">
        <f>IF(ISNUMBER(Inputs!$L$5),Inputs!$L$5-D212,0)</f>
        <v>40.35</v>
      </c>
      <c r="F212" s="5" t="n">
        <f>C$51*INDEX('Solar Production'!$D$20:$D$31,B212)*C212*(1-'Assumptions and Catalog'!$C$10)^(A212-1)</f>
        <v>1387.46826830073</v>
      </c>
      <c r="G212" s="5" t="n">
        <f>MIN(F212,D212*C212)</f>
        <v>1210.5</v>
      </c>
      <c r="H212" s="5" t="n">
        <f>I212/('Assumptions and Catalog'!$C$11*'Assumptions and Catalog'!$C$12)</f>
        <v>0</v>
      </c>
      <c r="I212" s="5" t="n">
        <f>0</f>
        <v>0</v>
      </c>
      <c r="J212" s="5" t="n">
        <f>MAX(F212-G212-H212,0)</f>
        <v>176.96826830073</v>
      </c>
      <c r="K212" s="5" t="n">
        <f>H212-I212</f>
        <v>0</v>
      </c>
      <c r="L212" s="5" t="n">
        <f>(D212+E212)*C212-G212-I212+0+0</f>
        <v>1210.5</v>
      </c>
      <c r="M212" s="5" t="n">
        <f>IF(ISNUMBER(Inputs!$L$5),(IF(Inputs!$L$9="Actual flat rate",((D212+E212)*C212)*Inputs!$L$10,IF(Inputs!$C$9="Residential",IF(((D212+E212)*C212)&lt;='Assumptions and Catalog'!$C$50,((D212+E212)*C212)*'Assumptions and Catalog'!$H$50+'Assumptions and Catalog'!$E$50+'Assumptions and Catalog'!$F$50,IF(((D212+E212)*C212)&lt;='Assumptions and Catalog'!$C$51,((D212+E212)*C212)*'Assumptions and Catalog'!$H$51+'Assumptions and Catalog'!$E$51+'Assumptions and Catalog'!$F$51,IF(((D212+E212)*C212)&lt;='Assumptions and Catalog'!$C$52,((D212+E212)*C212)*'Assumptions and Catalog'!$H$52+'Assumptions and Catalog'!$E$52+'Assumptions and Catalog'!$F$52,IF(((D212+E212)*C212)&lt;='Assumptions and Catalog'!$C$53,((D212+E212)*C212)*'Assumptions and Catalog'!$H$53+'Assumptions and Catalog'!$E$53+'Assumptions and Catalog'!$F$53,IF(((D212+E212)*C212)&lt;='Assumptions and Catalog'!$C$54,((D212+E212)*C212)*'Assumptions and Catalog'!$H$54+'Assumptions and Catalog'!$E$54+'Assumptions and Catalog'!$F$54,IF(((D212+E212)*C212)&lt;='Assumptions and Catalog'!$C$55,((D212+E212)*C212)*'Assumptions and Catalog'!$H$55+'Assumptions and Catalog'!$E$55+'Assumptions and Catalog'!$F$55,IF(((D212+E212)*C212)&lt;='Assumptions and Catalog'!$C$56,((D212+E212)*C212)*'Assumptions and Catalog'!$H$56+'Assumptions and Catalog'!$E$56+'Assumptions and Catalog'!$F$56,IF(((D212+E212)*C212)&lt;='Assumptions and Catalog'!$C$57,((D212+E212)*C212)*'Assumptions and Catalog'!$H$57+'Assumptions and Catalog'!$E$57+'Assumptions and Catalog'!$F$57,"Out of range")))))))),IF(((D212+E212)*C212)&lt;='Assumptions and Catalog'!$C$60,((D212+E212)*C212)*'Assumptions and Catalog'!$H$60+'Assumptions and Catalog'!$E$60+'Assumptions and Catalog'!$F$60,IF(((D212+E212)*C212)&lt;='Assumptions and Catalog'!$C$61,((D212+E212)*C212)*'Assumptions and Catalog'!$H$61+'Assumptions and Catalog'!$E$61+'Assumptions and Catalog'!$F$61,IF(((D212+E212)*C212)&lt;='Assumptions and Catalog'!$C$62,((D212+E212)*C212)*'Assumptions and Catalog'!$H$62+'Assumptions and Catalog'!$E$62+'Assumptions and Catalog'!$F$62,IF(((D212+E212)*C212)&lt;='Assumptions and Catalog'!$C$63,((D212+E212)*C212)*'Assumptions and Catalog'!$H$63+'Assumptions and Catalog'!$E$63+'Assumptions and Catalog'!$F$63,IF(((D212+E212)*C212)&lt;='Assumptions and Catalog'!$C$64,((D212+E212)*C212)*'Assumptions and Catalog'!$H$64+'Assumptions and Catalog'!$E$64+'Assumptions and Catalog'!$F$64,IF(((D212+E212)*C212)&lt;='Assumptions and Catalog'!$C$65,((D212+E212)*C212)*'Assumptions and Catalog'!$H$65+'Assumptions and Catalog'!$E$65+'Assumptions and Catalog'!$F$65,"Out of range")))))))))*(1+'Assumptions and Catalog'!$C$8)^(A212-1),0)</f>
        <v>6867.22</v>
      </c>
      <c r="N212" s="5" t="n">
        <f>IF(ISNUMBER(Inputs!$L$5),(IF(Inputs!$L$9="Actual flat rate",L212*Inputs!$L$10,IF(Inputs!$C$9="Residential",IF(L212&lt;='Assumptions and Catalog'!$C$50,L212*'Assumptions and Catalog'!$H$50+'Assumptions and Catalog'!$E$50+'Assumptions and Catalog'!$F$50,IF(L212&lt;='Assumptions and Catalog'!$C$51,L212*'Assumptions and Catalog'!$H$51+'Assumptions and Catalog'!$E$51+'Assumptions and Catalog'!$F$51,IF(L212&lt;='Assumptions and Catalog'!$C$52,L212*'Assumptions and Catalog'!$H$52+'Assumptions and Catalog'!$E$52+'Assumptions and Catalog'!$F$52,IF(L212&lt;='Assumptions and Catalog'!$C$53,L212*'Assumptions and Catalog'!$H$53+'Assumptions and Catalog'!$E$53+'Assumptions and Catalog'!$F$53,IF(L212&lt;='Assumptions and Catalog'!$C$54,L212*'Assumptions and Catalog'!$H$54+'Assumptions and Catalog'!$E$54+'Assumptions and Catalog'!$F$54,IF(L212&lt;='Assumptions and Catalog'!$C$55,L212*'Assumptions and Catalog'!$H$55+'Assumptions and Catalog'!$E$55+'Assumptions and Catalog'!$F$55,IF(L212&lt;='Assumptions and Catalog'!$C$56,L212*'Assumptions and Catalog'!$H$56+'Assumptions and Catalog'!$E$56+'Assumptions and Catalog'!$F$56,IF(L212&lt;='Assumptions and Catalog'!$C$57,L212*'Assumptions and Catalog'!$H$57+'Assumptions and Catalog'!$E$57+'Assumptions and Catalog'!$F$57,"Out of range")))))))),IF(L212&lt;='Assumptions and Catalog'!$C$60,L212*'Assumptions and Catalog'!$H$60+'Assumptions and Catalog'!$E$60+'Assumptions and Catalog'!$F$60,IF(L212&lt;='Assumptions and Catalog'!$C$61,L212*'Assumptions and Catalog'!$H$61+'Assumptions and Catalog'!$E$61+'Assumptions and Catalog'!$F$61,IF(L212&lt;='Assumptions and Catalog'!$C$62,L212*'Assumptions and Catalog'!$H$62+'Assumptions and Catalog'!$E$62+'Assumptions and Catalog'!$F$62,IF(L212&lt;='Assumptions and Catalog'!$C$63,L212*'Assumptions and Catalog'!$H$63+'Assumptions and Catalog'!$E$63+'Assumptions and Catalog'!$F$63,IF(L212&lt;='Assumptions and Catalog'!$C$64,L212*'Assumptions and Catalog'!$H$64+'Assumptions and Catalog'!$E$64+'Assumptions and Catalog'!$F$64,IF(L212&lt;='Assumptions and Catalog'!$C$65,L212*'Assumptions and Catalog'!$H$65+'Assumptions and Catalog'!$E$65+'Assumptions and Catalog'!$F$65,"Out of range")))))))))*(1+'Assumptions and Catalog'!$C$8)^(A212-1),0)</f>
        <v>3453.61</v>
      </c>
      <c r="O212" s="5" t="n">
        <f>M212-N212</f>
        <v>3413.61</v>
      </c>
      <c r="P212" s="5" t="n">
        <f>C$55*(1-J$14)*(1-'Assumptions and Catalog'!$C$23)^R212</f>
        <v>0</v>
      </c>
      <c r="Q212" s="5" t="n">
        <f>IF(ISNUMBER(Inputs!$L$5),(IF(Inputs!$L$9="Actual flat rate",((D212+E212)*C212-G212)*Inputs!$L$10,IF(Inputs!$C$9="Residential",IF(((D212+E212)*C212-G212)&lt;='Assumptions and Catalog'!$C$50,((D212+E212)*C212-G212)*'Assumptions and Catalog'!$H$50+'Assumptions and Catalog'!$E$50+'Assumptions and Catalog'!$F$50,IF(((D212+E212)*C212-G212)&lt;='Assumptions and Catalog'!$C$51,((D212+E212)*C212-G212)*'Assumptions and Catalog'!$H$51+'Assumptions and Catalog'!$E$51+'Assumptions and Catalog'!$F$51,IF(((D212+E212)*C212-G212)&lt;='Assumptions and Catalog'!$C$52,((D212+E212)*C212-G212)*'Assumptions and Catalog'!$H$52+'Assumptions and Catalog'!$E$52+'Assumptions and Catalog'!$F$52,IF(((D212+E212)*C212-G212)&lt;='Assumptions and Catalog'!$C$53,((D212+E212)*C212-G212)*'Assumptions and Catalog'!$H$53+'Assumptions and Catalog'!$E$53+'Assumptions and Catalog'!$F$53,IF(((D212+E212)*C212-G212)&lt;='Assumptions and Catalog'!$C$54,((D212+E212)*C212-G212)*'Assumptions and Catalog'!$H$54+'Assumptions and Catalog'!$E$54+'Assumptions and Catalog'!$F$54,IF(((D212+E212)*C212-G212)&lt;='Assumptions and Catalog'!$C$55,((D212+E212)*C212-G212)*'Assumptions and Catalog'!$H$55+'Assumptions and Catalog'!$E$55+'Assumptions and Catalog'!$F$55,IF(((D212+E212)*C212-G212)&lt;='Assumptions and Catalog'!$C$56,((D212+E212)*C212-G212)*'Assumptions and Catalog'!$H$56+'Assumptions and Catalog'!$E$56+'Assumptions and Catalog'!$F$56,IF(((D212+E212)*C212-G212)&lt;='Assumptions and Catalog'!$C$57,((D212+E212)*C212-G212)*'Assumptions and Catalog'!$H$57+'Assumptions and Catalog'!$E$57+'Assumptions and Catalog'!$F$57,"Out of range")))))))),IF(((D212+E212)*C212-G212)&lt;='Assumptions and Catalog'!$C$60,((D212+E212)*C212-G212)*'Assumptions and Catalog'!$H$60+'Assumptions and Catalog'!$E$60+'Assumptions and Catalog'!$F$60,IF(((D212+E212)*C212-G212)&lt;='Assumptions and Catalog'!$C$61,((D212+E212)*C212-G212)*'Assumptions and Catalog'!$H$61+'Assumptions and Catalog'!$E$61+'Assumptions and Catalog'!$F$61,IF(((D212+E212)*C212-G212)&lt;='Assumptions and Catalog'!$C$62,((D212+E212)*C212-G212)*'Assumptions and Catalog'!$H$62+'Assumptions and Catalog'!$E$62+'Assumptions and Catalog'!$F$62,IF(((D212+E212)*C212-G212)&lt;='Assumptions and Catalog'!$C$63,((D212+E212)*C212-G212)*'Assumptions and Catalog'!$H$63+'Assumptions and Catalog'!$E$63+'Assumptions and Catalog'!$F$63,IF(((D212+E212)*C212-G212)&lt;='Assumptions and Catalog'!$C$64,((D212+E212)*C212-G212)*'Assumptions and Catalog'!$H$64+'Assumptions and Catalog'!$E$64+'Assumptions and Catalog'!$F$64,IF(((D212+E212)*C212-G212)&lt;='Assumptions and Catalog'!$C$65,((D212+E212)*C212-G212)*'Assumptions and Catalog'!$H$65+'Assumptions and Catalog'!$E$65+'Assumptions and Catalog'!$F$65,"Out of range")))))))))*(1+'Assumptions and Catalog'!$C$8)^(A212-1),0)</f>
        <v>3453.61</v>
      </c>
      <c r="R212" s="5" t="n">
        <f>IF(AND('Assumptions and Catalog'!$C$19&gt;0,A212&gt;='Assumptions and Catalog'!$C$19),A212-'Assumptions and Catalog'!$C$19,A212-1)</f>
        <v>4</v>
      </c>
      <c r="S212" s="5" t="n">
        <f>F212+L212-(D212+E212)*C212-J212-K212-0</f>
        <v>0</v>
      </c>
      <c r="T212" s="5"/>
      <c r="U212" s="5"/>
    </row>
    <row r="213" ht="23.100000381469727" customHeight="1">
      <c r="A213" s="5" t="n">
        <v>5</v>
      </c>
      <c r="B213" s="5" t="n">
        <v>5</v>
      </c>
      <c r="C213" s="5" t="n">
        <f>DAY(DATE('Assumptions and Catalog'!$C$24+A213-1,B213+1,0))</f>
        <v>31</v>
      </c>
      <c r="D213" s="5" t="n">
        <f>IF(ISNUMBER(Inputs!$L$5),Inputs!$L$5*Inputs!$L$6,0)</f>
        <v>40.35</v>
      </c>
      <c r="E213" s="5" t="n">
        <f>IF(ISNUMBER(Inputs!$L$5),Inputs!$L$5-D213,0)</f>
        <v>40.35</v>
      </c>
      <c r="F213" s="5" t="n">
        <f>C$51*INDEX('Solar Production'!$D$20:$D$31,B213)*C213*(1-'Assumptions and Catalog'!$C$10)^(A213-1)</f>
        <v>1403.51135532696</v>
      </c>
      <c r="G213" s="5" t="n">
        <f>MIN(F213,D213*C213)</f>
        <v>1250.85</v>
      </c>
      <c r="H213" s="5" t="n">
        <f>I213/('Assumptions and Catalog'!$C$11*'Assumptions and Catalog'!$C$12)</f>
        <v>0</v>
      </c>
      <c r="I213" s="5" t="n">
        <f>0</f>
        <v>0</v>
      </c>
      <c r="J213" s="5" t="n">
        <f>MAX(F213-G213-H213,0)</f>
        <v>152.66135532696</v>
      </c>
      <c r="K213" s="5" t="n">
        <f>H213-I213</f>
        <v>0</v>
      </c>
      <c r="L213" s="5" t="n">
        <f>(D213+E213)*C213-G213-I213+0+0</f>
        <v>1250.85</v>
      </c>
      <c r="M213" s="5" t="n">
        <f>IF(ISNUMBER(Inputs!$L$5),(IF(Inputs!$L$9="Actual flat rate",((D213+E213)*C213)*Inputs!$L$10,IF(Inputs!$C$9="Residential",IF(((D213+E213)*C213)&lt;='Assumptions and Catalog'!$C$50,((D213+E213)*C213)*'Assumptions and Catalog'!$H$50+'Assumptions and Catalog'!$E$50+'Assumptions and Catalog'!$F$50,IF(((D213+E213)*C213)&lt;='Assumptions and Catalog'!$C$51,((D213+E213)*C213)*'Assumptions and Catalog'!$H$51+'Assumptions and Catalog'!$E$51+'Assumptions and Catalog'!$F$51,IF(((D213+E213)*C213)&lt;='Assumptions and Catalog'!$C$52,((D213+E213)*C213)*'Assumptions and Catalog'!$H$52+'Assumptions and Catalog'!$E$52+'Assumptions and Catalog'!$F$52,IF(((D213+E213)*C213)&lt;='Assumptions and Catalog'!$C$53,((D213+E213)*C213)*'Assumptions and Catalog'!$H$53+'Assumptions and Catalog'!$E$53+'Assumptions and Catalog'!$F$53,IF(((D213+E213)*C213)&lt;='Assumptions and Catalog'!$C$54,((D213+E213)*C213)*'Assumptions and Catalog'!$H$54+'Assumptions and Catalog'!$E$54+'Assumptions and Catalog'!$F$54,IF(((D213+E213)*C213)&lt;='Assumptions and Catalog'!$C$55,((D213+E213)*C213)*'Assumptions and Catalog'!$H$55+'Assumptions and Catalog'!$E$55+'Assumptions and Catalog'!$F$55,IF(((D213+E213)*C213)&lt;='Assumptions and Catalog'!$C$56,((D213+E213)*C213)*'Assumptions and Catalog'!$H$56+'Assumptions and Catalog'!$E$56+'Assumptions and Catalog'!$F$56,IF(((D213+E213)*C213)&lt;='Assumptions and Catalog'!$C$57,((D213+E213)*C213)*'Assumptions and Catalog'!$H$57+'Assumptions and Catalog'!$E$57+'Assumptions and Catalog'!$F$57,"Out of range")))))))),IF(((D213+E213)*C213)&lt;='Assumptions and Catalog'!$C$60,((D213+E213)*C213)*'Assumptions and Catalog'!$H$60+'Assumptions and Catalog'!$E$60+'Assumptions and Catalog'!$F$60,IF(((D213+E213)*C213)&lt;='Assumptions and Catalog'!$C$61,((D213+E213)*C213)*'Assumptions and Catalog'!$H$61+'Assumptions and Catalog'!$E$61+'Assumptions and Catalog'!$F$61,IF(((D213+E213)*C213)&lt;='Assumptions and Catalog'!$C$62,((D213+E213)*C213)*'Assumptions and Catalog'!$H$62+'Assumptions and Catalog'!$E$62+'Assumptions and Catalog'!$F$62,IF(((D213+E213)*C213)&lt;='Assumptions and Catalog'!$C$63,((D213+E213)*C213)*'Assumptions and Catalog'!$H$63+'Assumptions and Catalog'!$E$63+'Assumptions and Catalog'!$F$63,IF(((D213+E213)*C213)&lt;='Assumptions and Catalog'!$C$64,((D213+E213)*C213)*'Assumptions and Catalog'!$H$64+'Assumptions and Catalog'!$E$64+'Assumptions and Catalog'!$F$64,IF(((D213+E213)*C213)&lt;='Assumptions and Catalog'!$C$65,((D213+E213)*C213)*'Assumptions and Catalog'!$H$65+'Assumptions and Catalog'!$E$65+'Assumptions and Catalog'!$F$65,"Out of range")))))))))*(1+'Assumptions and Catalog'!$C$8)^(A213-1),0)</f>
        <v>7094.794</v>
      </c>
      <c r="N213" s="5" t="n">
        <f>IF(ISNUMBER(Inputs!$L$5),(IF(Inputs!$L$9="Actual flat rate",L213*Inputs!$L$10,IF(Inputs!$C$9="Residential",IF(L213&lt;='Assumptions and Catalog'!$C$50,L213*'Assumptions and Catalog'!$H$50+'Assumptions and Catalog'!$E$50+'Assumptions and Catalog'!$F$50,IF(L213&lt;='Assumptions and Catalog'!$C$51,L213*'Assumptions and Catalog'!$H$51+'Assumptions and Catalog'!$E$51+'Assumptions and Catalog'!$F$51,IF(L213&lt;='Assumptions and Catalog'!$C$52,L213*'Assumptions and Catalog'!$H$52+'Assumptions and Catalog'!$E$52+'Assumptions and Catalog'!$F$52,IF(L213&lt;='Assumptions and Catalog'!$C$53,L213*'Assumptions and Catalog'!$H$53+'Assumptions and Catalog'!$E$53+'Assumptions and Catalog'!$F$53,IF(L213&lt;='Assumptions and Catalog'!$C$54,L213*'Assumptions and Catalog'!$H$54+'Assumptions and Catalog'!$E$54+'Assumptions and Catalog'!$F$54,IF(L213&lt;='Assumptions and Catalog'!$C$55,L213*'Assumptions and Catalog'!$H$55+'Assumptions and Catalog'!$E$55+'Assumptions and Catalog'!$F$55,IF(L213&lt;='Assumptions and Catalog'!$C$56,L213*'Assumptions and Catalog'!$H$56+'Assumptions and Catalog'!$E$56+'Assumptions and Catalog'!$F$56,IF(L213&lt;='Assumptions and Catalog'!$C$57,L213*'Assumptions and Catalog'!$H$57+'Assumptions and Catalog'!$E$57+'Assumptions and Catalog'!$F$57,"Out of range")))))))),IF(L213&lt;='Assumptions and Catalog'!$C$60,L213*'Assumptions and Catalog'!$H$60+'Assumptions and Catalog'!$E$60+'Assumptions and Catalog'!$F$60,IF(L213&lt;='Assumptions and Catalog'!$C$61,L213*'Assumptions and Catalog'!$H$61+'Assumptions and Catalog'!$E$61+'Assumptions and Catalog'!$F$61,IF(L213&lt;='Assumptions and Catalog'!$C$62,L213*'Assumptions and Catalog'!$H$62+'Assumptions and Catalog'!$E$62+'Assumptions and Catalog'!$F$62,IF(L213&lt;='Assumptions and Catalog'!$C$63,L213*'Assumptions and Catalog'!$H$63+'Assumptions and Catalog'!$E$63+'Assumptions and Catalog'!$F$63,IF(L213&lt;='Assumptions and Catalog'!$C$64,L213*'Assumptions and Catalog'!$H$64+'Assumptions and Catalog'!$E$64+'Assumptions and Catalog'!$F$64,IF(L213&lt;='Assumptions and Catalog'!$C$65,L213*'Assumptions and Catalog'!$H$65+'Assumptions and Catalog'!$E$65+'Assumptions and Catalog'!$F$65,"Out of range")))))))))*(1+'Assumptions and Catalog'!$C$8)^(A213-1),0)</f>
        <v>3567.397</v>
      </c>
      <c r="O213" s="5" t="n">
        <f>M213-N213</f>
        <v>3527.397</v>
      </c>
      <c r="P213" s="5" t="n">
        <f>C$55*(1-J$14)*(1-'Assumptions and Catalog'!$C$23)^R213</f>
        <v>0</v>
      </c>
      <c r="Q213" s="5" t="n">
        <f>IF(ISNUMBER(Inputs!$L$5),(IF(Inputs!$L$9="Actual flat rate",((D213+E213)*C213-G213)*Inputs!$L$10,IF(Inputs!$C$9="Residential",IF(((D213+E213)*C213-G213)&lt;='Assumptions and Catalog'!$C$50,((D213+E213)*C213-G213)*'Assumptions and Catalog'!$H$50+'Assumptions and Catalog'!$E$50+'Assumptions and Catalog'!$F$50,IF(((D213+E213)*C213-G213)&lt;='Assumptions and Catalog'!$C$51,((D213+E213)*C213-G213)*'Assumptions and Catalog'!$H$51+'Assumptions and Catalog'!$E$51+'Assumptions and Catalog'!$F$51,IF(((D213+E213)*C213-G213)&lt;='Assumptions and Catalog'!$C$52,((D213+E213)*C213-G213)*'Assumptions and Catalog'!$H$52+'Assumptions and Catalog'!$E$52+'Assumptions and Catalog'!$F$52,IF(((D213+E213)*C213-G213)&lt;='Assumptions and Catalog'!$C$53,((D213+E213)*C213-G213)*'Assumptions and Catalog'!$H$53+'Assumptions and Catalog'!$E$53+'Assumptions and Catalog'!$F$53,IF(((D213+E213)*C213-G213)&lt;='Assumptions and Catalog'!$C$54,((D213+E213)*C213-G213)*'Assumptions and Catalog'!$H$54+'Assumptions and Catalog'!$E$54+'Assumptions and Catalog'!$F$54,IF(((D213+E213)*C213-G213)&lt;='Assumptions and Catalog'!$C$55,((D213+E213)*C213-G213)*'Assumptions and Catalog'!$H$55+'Assumptions and Catalog'!$E$55+'Assumptions and Catalog'!$F$55,IF(((D213+E213)*C213-G213)&lt;='Assumptions and Catalog'!$C$56,((D213+E213)*C213-G213)*'Assumptions and Catalog'!$H$56+'Assumptions and Catalog'!$E$56+'Assumptions and Catalog'!$F$56,IF(((D213+E213)*C213-G213)&lt;='Assumptions and Catalog'!$C$57,((D213+E213)*C213-G213)*'Assumptions and Catalog'!$H$57+'Assumptions and Catalog'!$E$57+'Assumptions and Catalog'!$F$57,"Out of range")))))))),IF(((D213+E213)*C213-G213)&lt;='Assumptions and Catalog'!$C$60,((D213+E213)*C213-G213)*'Assumptions and Catalog'!$H$60+'Assumptions and Catalog'!$E$60+'Assumptions and Catalog'!$F$60,IF(((D213+E213)*C213-G213)&lt;='Assumptions and Catalog'!$C$61,((D213+E213)*C213-G213)*'Assumptions and Catalog'!$H$61+'Assumptions and Catalog'!$E$61+'Assumptions and Catalog'!$F$61,IF(((D213+E213)*C213-G213)&lt;='Assumptions and Catalog'!$C$62,((D213+E213)*C213-G213)*'Assumptions and Catalog'!$H$62+'Assumptions and Catalog'!$E$62+'Assumptions and Catalog'!$F$62,IF(((D213+E213)*C213-G213)&lt;='Assumptions and Catalog'!$C$63,((D213+E213)*C213-G213)*'Assumptions and Catalog'!$H$63+'Assumptions and Catalog'!$E$63+'Assumptions and Catalog'!$F$63,IF(((D213+E213)*C213-G213)&lt;='Assumptions and Catalog'!$C$64,((D213+E213)*C213-G213)*'Assumptions and Catalog'!$H$64+'Assumptions and Catalog'!$E$64+'Assumptions and Catalog'!$F$64,IF(((D213+E213)*C213-G213)&lt;='Assumptions and Catalog'!$C$65,((D213+E213)*C213-G213)*'Assumptions and Catalog'!$H$65+'Assumptions and Catalog'!$E$65+'Assumptions and Catalog'!$F$65,"Out of range")))))))))*(1+'Assumptions and Catalog'!$C$8)^(A213-1),0)</f>
        <v>3567.397</v>
      </c>
      <c r="R213" s="5" t="n">
        <f>IF(AND('Assumptions and Catalog'!$C$19&gt;0,A213&gt;='Assumptions and Catalog'!$C$19),A213-'Assumptions and Catalog'!$C$19,A213-1)</f>
        <v>4</v>
      </c>
      <c r="S213" s="5" t="n">
        <f>F213+L213-(D213+E213)*C213-J213-K213-0</f>
        <v>0</v>
      </c>
      <c r="T213" s="5"/>
      <c r="U213" s="5"/>
    </row>
    <row r="214" ht="23.100000381469727" customHeight="1">
      <c r="A214" s="5" t="n">
        <v>5</v>
      </c>
      <c r="B214" s="5" t="n">
        <v>6</v>
      </c>
      <c r="C214" s="5" t="n">
        <f>DAY(DATE('Assumptions and Catalog'!$C$24+A214-1,B214+1,0))</f>
        <v>30</v>
      </c>
      <c r="D214" s="5" t="n">
        <f>IF(ISNUMBER(Inputs!$L$5),Inputs!$L$5*Inputs!$L$6,0)</f>
        <v>40.35</v>
      </c>
      <c r="E214" s="5" t="n">
        <f>IF(ISNUMBER(Inputs!$L$5),Inputs!$L$5-D214,0)</f>
        <v>40.35</v>
      </c>
      <c r="F214" s="5" t="n">
        <f>C$51*INDEX('Solar Production'!$D$20:$D$31,B214)*C214*(1-'Assumptions and Catalog'!$C$10)^(A214-1)</f>
        <v>1368.14756134441</v>
      </c>
      <c r="G214" s="5" t="n">
        <f>MIN(F214,D214*C214)</f>
        <v>1210.5</v>
      </c>
      <c r="H214" s="5" t="n">
        <f>I214/('Assumptions and Catalog'!$C$11*'Assumptions and Catalog'!$C$12)</f>
        <v>0</v>
      </c>
      <c r="I214" s="5" t="n">
        <f>0</f>
        <v>0</v>
      </c>
      <c r="J214" s="5" t="n">
        <f>MAX(F214-G214-H214,0)</f>
        <v>157.64756134441</v>
      </c>
      <c r="K214" s="5" t="n">
        <f>H214-I214</f>
        <v>0</v>
      </c>
      <c r="L214" s="5" t="n">
        <f>(D214+E214)*C214-G214-I214+0+0</f>
        <v>1210.5</v>
      </c>
      <c r="M214" s="5" t="n">
        <f>IF(ISNUMBER(Inputs!$L$5),(IF(Inputs!$L$9="Actual flat rate",((D214+E214)*C214)*Inputs!$L$10,IF(Inputs!$C$9="Residential",IF(((D214+E214)*C214)&lt;='Assumptions and Catalog'!$C$50,((D214+E214)*C214)*'Assumptions and Catalog'!$H$50+'Assumptions and Catalog'!$E$50+'Assumptions and Catalog'!$F$50,IF(((D214+E214)*C214)&lt;='Assumptions and Catalog'!$C$51,((D214+E214)*C214)*'Assumptions and Catalog'!$H$51+'Assumptions and Catalog'!$E$51+'Assumptions and Catalog'!$F$51,IF(((D214+E214)*C214)&lt;='Assumptions and Catalog'!$C$52,((D214+E214)*C214)*'Assumptions and Catalog'!$H$52+'Assumptions and Catalog'!$E$52+'Assumptions and Catalog'!$F$52,IF(((D214+E214)*C214)&lt;='Assumptions and Catalog'!$C$53,((D214+E214)*C214)*'Assumptions and Catalog'!$H$53+'Assumptions and Catalog'!$E$53+'Assumptions and Catalog'!$F$53,IF(((D214+E214)*C214)&lt;='Assumptions and Catalog'!$C$54,((D214+E214)*C214)*'Assumptions and Catalog'!$H$54+'Assumptions and Catalog'!$E$54+'Assumptions and Catalog'!$F$54,IF(((D214+E214)*C214)&lt;='Assumptions and Catalog'!$C$55,((D214+E214)*C214)*'Assumptions and Catalog'!$H$55+'Assumptions and Catalog'!$E$55+'Assumptions and Catalog'!$F$55,IF(((D214+E214)*C214)&lt;='Assumptions and Catalog'!$C$56,((D214+E214)*C214)*'Assumptions and Catalog'!$H$56+'Assumptions and Catalog'!$E$56+'Assumptions and Catalog'!$F$56,IF(((D214+E214)*C214)&lt;='Assumptions and Catalog'!$C$57,((D214+E214)*C214)*'Assumptions and Catalog'!$H$57+'Assumptions and Catalog'!$E$57+'Assumptions and Catalog'!$F$57,"Out of range")))))))),IF(((D214+E214)*C214)&lt;='Assumptions and Catalog'!$C$60,((D214+E214)*C214)*'Assumptions and Catalog'!$H$60+'Assumptions and Catalog'!$E$60+'Assumptions and Catalog'!$F$60,IF(((D214+E214)*C214)&lt;='Assumptions and Catalog'!$C$61,((D214+E214)*C214)*'Assumptions and Catalog'!$H$61+'Assumptions and Catalog'!$E$61+'Assumptions and Catalog'!$F$61,IF(((D214+E214)*C214)&lt;='Assumptions and Catalog'!$C$62,((D214+E214)*C214)*'Assumptions and Catalog'!$H$62+'Assumptions and Catalog'!$E$62+'Assumptions and Catalog'!$F$62,IF(((D214+E214)*C214)&lt;='Assumptions and Catalog'!$C$63,((D214+E214)*C214)*'Assumptions and Catalog'!$H$63+'Assumptions and Catalog'!$E$63+'Assumptions and Catalog'!$F$63,IF(((D214+E214)*C214)&lt;='Assumptions and Catalog'!$C$64,((D214+E214)*C214)*'Assumptions and Catalog'!$H$64+'Assumptions and Catalog'!$E$64+'Assumptions and Catalog'!$F$64,IF(((D214+E214)*C214)&lt;='Assumptions and Catalog'!$C$65,((D214+E214)*C214)*'Assumptions and Catalog'!$H$65+'Assumptions and Catalog'!$E$65+'Assumptions and Catalog'!$F$65,"Out of range")))))))))*(1+'Assumptions and Catalog'!$C$8)^(A214-1),0)</f>
        <v>6867.22</v>
      </c>
      <c r="N214" s="5" t="n">
        <f>IF(ISNUMBER(Inputs!$L$5),(IF(Inputs!$L$9="Actual flat rate",L214*Inputs!$L$10,IF(Inputs!$C$9="Residential",IF(L214&lt;='Assumptions and Catalog'!$C$50,L214*'Assumptions and Catalog'!$H$50+'Assumptions and Catalog'!$E$50+'Assumptions and Catalog'!$F$50,IF(L214&lt;='Assumptions and Catalog'!$C$51,L214*'Assumptions and Catalog'!$H$51+'Assumptions and Catalog'!$E$51+'Assumptions and Catalog'!$F$51,IF(L214&lt;='Assumptions and Catalog'!$C$52,L214*'Assumptions and Catalog'!$H$52+'Assumptions and Catalog'!$E$52+'Assumptions and Catalog'!$F$52,IF(L214&lt;='Assumptions and Catalog'!$C$53,L214*'Assumptions and Catalog'!$H$53+'Assumptions and Catalog'!$E$53+'Assumptions and Catalog'!$F$53,IF(L214&lt;='Assumptions and Catalog'!$C$54,L214*'Assumptions and Catalog'!$H$54+'Assumptions and Catalog'!$E$54+'Assumptions and Catalog'!$F$54,IF(L214&lt;='Assumptions and Catalog'!$C$55,L214*'Assumptions and Catalog'!$H$55+'Assumptions and Catalog'!$E$55+'Assumptions and Catalog'!$F$55,IF(L214&lt;='Assumptions and Catalog'!$C$56,L214*'Assumptions and Catalog'!$H$56+'Assumptions and Catalog'!$E$56+'Assumptions and Catalog'!$F$56,IF(L214&lt;='Assumptions and Catalog'!$C$57,L214*'Assumptions and Catalog'!$H$57+'Assumptions and Catalog'!$E$57+'Assumptions and Catalog'!$F$57,"Out of range")))))))),IF(L214&lt;='Assumptions and Catalog'!$C$60,L214*'Assumptions and Catalog'!$H$60+'Assumptions and Catalog'!$E$60+'Assumptions and Catalog'!$F$60,IF(L214&lt;='Assumptions and Catalog'!$C$61,L214*'Assumptions and Catalog'!$H$61+'Assumptions and Catalog'!$E$61+'Assumptions and Catalog'!$F$61,IF(L214&lt;='Assumptions and Catalog'!$C$62,L214*'Assumptions and Catalog'!$H$62+'Assumptions and Catalog'!$E$62+'Assumptions and Catalog'!$F$62,IF(L214&lt;='Assumptions and Catalog'!$C$63,L214*'Assumptions and Catalog'!$H$63+'Assumptions and Catalog'!$E$63+'Assumptions and Catalog'!$F$63,IF(L214&lt;='Assumptions and Catalog'!$C$64,L214*'Assumptions and Catalog'!$H$64+'Assumptions and Catalog'!$E$64+'Assumptions and Catalog'!$F$64,IF(L214&lt;='Assumptions and Catalog'!$C$65,L214*'Assumptions and Catalog'!$H$65+'Assumptions and Catalog'!$E$65+'Assumptions and Catalog'!$F$65,"Out of range")))))))))*(1+'Assumptions and Catalog'!$C$8)^(A214-1),0)</f>
        <v>3453.61</v>
      </c>
      <c r="O214" s="5" t="n">
        <f>M214-N214</f>
        <v>3413.61</v>
      </c>
      <c r="P214" s="5" t="n">
        <f>C$55*(1-J$14)*(1-'Assumptions and Catalog'!$C$23)^R214</f>
        <v>0</v>
      </c>
      <c r="Q214" s="5" t="n">
        <f>IF(ISNUMBER(Inputs!$L$5),(IF(Inputs!$L$9="Actual flat rate",((D214+E214)*C214-G214)*Inputs!$L$10,IF(Inputs!$C$9="Residential",IF(((D214+E214)*C214-G214)&lt;='Assumptions and Catalog'!$C$50,((D214+E214)*C214-G214)*'Assumptions and Catalog'!$H$50+'Assumptions and Catalog'!$E$50+'Assumptions and Catalog'!$F$50,IF(((D214+E214)*C214-G214)&lt;='Assumptions and Catalog'!$C$51,((D214+E214)*C214-G214)*'Assumptions and Catalog'!$H$51+'Assumptions and Catalog'!$E$51+'Assumptions and Catalog'!$F$51,IF(((D214+E214)*C214-G214)&lt;='Assumptions and Catalog'!$C$52,((D214+E214)*C214-G214)*'Assumptions and Catalog'!$H$52+'Assumptions and Catalog'!$E$52+'Assumptions and Catalog'!$F$52,IF(((D214+E214)*C214-G214)&lt;='Assumptions and Catalog'!$C$53,((D214+E214)*C214-G214)*'Assumptions and Catalog'!$H$53+'Assumptions and Catalog'!$E$53+'Assumptions and Catalog'!$F$53,IF(((D214+E214)*C214-G214)&lt;='Assumptions and Catalog'!$C$54,((D214+E214)*C214-G214)*'Assumptions and Catalog'!$H$54+'Assumptions and Catalog'!$E$54+'Assumptions and Catalog'!$F$54,IF(((D214+E214)*C214-G214)&lt;='Assumptions and Catalog'!$C$55,((D214+E214)*C214-G214)*'Assumptions and Catalog'!$H$55+'Assumptions and Catalog'!$E$55+'Assumptions and Catalog'!$F$55,IF(((D214+E214)*C214-G214)&lt;='Assumptions and Catalog'!$C$56,((D214+E214)*C214-G214)*'Assumptions and Catalog'!$H$56+'Assumptions and Catalog'!$E$56+'Assumptions and Catalog'!$F$56,IF(((D214+E214)*C214-G214)&lt;='Assumptions and Catalog'!$C$57,((D214+E214)*C214-G214)*'Assumptions and Catalog'!$H$57+'Assumptions and Catalog'!$E$57+'Assumptions and Catalog'!$F$57,"Out of range")))))))),IF(((D214+E214)*C214-G214)&lt;='Assumptions and Catalog'!$C$60,((D214+E214)*C214-G214)*'Assumptions and Catalog'!$H$60+'Assumptions and Catalog'!$E$60+'Assumptions and Catalog'!$F$60,IF(((D214+E214)*C214-G214)&lt;='Assumptions and Catalog'!$C$61,((D214+E214)*C214-G214)*'Assumptions and Catalog'!$H$61+'Assumptions and Catalog'!$E$61+'Assumptions and Catalog'!$F$61,IF(((D214+E214)*C214-G214)&lt;='Assumptions and Catalog'!$C$62,((D214+E214)*C214-G214)*'Assumptions and Catalog'!$H$62+'Assumptions and Catalog'!$E$62+'Assumptions and Catalog'!$F$62,IF(((D214+E214)*C214-G214)&lt;='Assumptions and Catalog'!$C$63,((D214+E214)*C214-G214)*'Assumptions and Catalog'!$H$63+'Assumptions and Catalog'!$E$63+'Assumptions and Catalog'!$F$63,IF(((D214+E214)*C214-G214)&lt;='Assumptions and Catalog'!$C$64,((D214+E214)*C214-G214)*'Assumptions and Catalog'!$H$64+'Assumptions and Catalog'!$E$64+'Assumptions and Catalog'!$F$64,IF(((D214+E214)*C214-G214)&lt;='Assumptions and Catalog'!$C$65,((D214+E214)*C214-G214)*'Assumptions and Catalog'!$H$65+'Assumptions and Catalog'!$E$65+'Assumptions and Catalog'!$F$65,"Out of range")))))))))*(1+'Assumptions and Catalog'!$C$8)^(A214-1),0)</f>
        <v>3453.61</v>
      </c>
      <c r="R214" s="5" t="n">
        <f>IF(AND('Assumptions and Catalog'!$C$19&gt;0,A214&gt;='Assumptions and Catalog'!$C$19),A214-'Assumptions and Catalog'!$C$19,A214-1)</f>
        <v>4</v>
      </c>
      <c r="S214" s="5" t="n">
        <f>F214+L214-(D214+E214)*C214-J214-K214-0</f>
        <v>0</v>
      </c>
      <c r="T214" s="5"/>
      <c r="U214" s="5"/>
    </row>
    <row r="215" ht="23.100000381469727" customHeight="1">
      <c r="A215" s="5" t="n">
        <v>5</v>
      </c>
      <c r="B215" s="5" t="n">
        <v>7</v>
      </c>
      <c r="C215" s="5" t="n">
        <f>DAY(DATE('Assumptions and Catalog'!$C$24+A215-1,B215+1,0))</f>
        <v>31</v>
      </c>
      <c r="D215" s="5" t="n">
        <f>IF(ISNUMBER(Inputs!$L$5),Inputs!$L$5*Inputs!$L$6,0)</f>
        <v>40.35</v>
      </c>
      <c r="E215" s="5" t="n">
        <f>IF(ISNUMBER(Inputs!$L$5),Inputs!$L$5-D215,0)</f>
        <v>40.35</v>
      </c>
      <c r="F215" s="5" t="n">
        <f>C$51*INDEX('Solar Production'!$D$20:$D$31,B215)*C215*(1-'Assumptions and Catalog'!$C$10)^(A215-1)</f>
        <v>1420.24446760163</v>
      </c>
      <c r="G215" s="5" t="n">
        <f>MIN(F215,D215*C215)</f>
        <v>1250.85</v>
      </c>
      <c r="H215" s="5" t="n">
        <f>I215/('Assumptions and Catalog'!$C$11*'Assumptions and Catalog'!$C$12)</f>
        <v>0</v>
      </c>
      <c r="I215" s="5" t="n">
        <f>0</f>
        <v>0</v>
      </c>
      <c r="J215" s="5" t="n">
        <f>MAX(F215-G215-H215,0)</f>
        <v>169.39446760163</v>
      </c>
      <c r="K215" s="5" t="n">
        <f>H215-I215</f>
        <v>0</v>
      </c>
      <c r="L215" s="5" t="n">
        <f>(D215+E215)*C215-G215-I215+0+0</f>
        <v>1250.85</v>
      </c>
      <c r="M215" s="5" t="n">
        <f>IF(ISNUMBER(Inputs!$L$5),(IF(Inputs!$L$9="Actual flat rate",((D215+E215)*C215)*Inputs!$L$10,IF(Inputs!$C$9="Residential",IF(((D215+E215)*C215)&lt;='Assumptions and Catalog'!$C$50,((D215+E215)*C215)*'Assumptions and Catalog'!$H$50+'Assumptions and Catalog'!$E$50+'Assumptions and Catalog'!$F$50,IF(((D215+E215)*C215)&lt;='Assumptions and Catalog'!$C$51,((D215+E215)*C215)*'Assumptions and Catalog'!$H$51+'Assumptions and Catalog'!$E$51+'Assumptions and Catalog'!$F$51,IF(((D215+E215)*C215)&lt;='Assumptions and Catalog'!$C$52,((D215+E215)*C215)*'Assumptions and Catalog'!$H$52+'Assumptions and Catalog'!$E$52+'Assumptions and Catalog'!$F$52,IF(((D215+E215)*C215)&lt;='Assumptions and Catalog'!$C$53,((D215+E215)*C215)*'Assumptions and Catalog'!$H$53+'Assumptions and Catalog'!$E$53+'Assumptions and Catalog'!$F$53,IF(((D215+E215)*C215)&lt;='Assumptions and Catalog'!$C$54,((D215+E215)*C215)*'Assumptions and Catalog'!$H$54+'Assumptions and Catalog'!$E$54+'Assumptions and Catalog'!$F$54,IF(((D215+E215)*C215)&lt;='Assumptions and Catalog'!$C$55,((D215+E215)*C215)*'Assumptions and Catalog'!$H$55+'Assumptions and Catalog'!$E$55+'Assumptions and Catalog'!$F$55,IF(((D215+E215)*C215)&lt;='Assumptions and Catalog'!$C$56,((D215+E215)*C215)*'Assumptions and Catalog'!$H$56+'Assumptions and Catalog'!$E$56+'Assumptions and Catalog'!$F$56,IF(((D215+E215)*C215)&lt;='Assumptions and Catalog'!$C$57,((D215+E215)*C215)*'Assumptions and Catalog'!$H$57+'Assumptions and Catalog'!$E$57+'Assumptions and Catalog'!$F$57,"Out of range")))))))),IF(((D215+E215)*C215)&lt;='Assumptions and Catalog'!$C$60,((D215+E215)*C215)*'Assumptions and Catalog'!$H$60+'Assumptions and Catalog'!$E$60+'Assumptions and Catalog'!$F$60,IF(((D215+E215)*C215)&lt;='Assumptions and Catalog'!$C$61,((D215+E215)*C215)*'Assumptions and Catalog'!$H$61+'Assumptions and Catalog'!$E$61+'Assumptions and Catalog'!$F$61,IF(((D215+E215)*C215)&lt;='Assumptions and Catalog'!$C$62,((D215+E215)*C215)*'Assumptions and Catalog'!$H$62+'Assumptions and Catalog'!$E$62+'Assumptions and Catalog'!$F$62,IF(((D215+E215)*C215)&lt;='Assumptions and Catalog'!$C$63,((D215+E215)*C215)*'Assumptions and Catalog'!$H$63+'Assumptions and Catalog'!$E$63+'Assumptions and Catalog'!$F$63,IF(((D215+E215)*C215)&lt;='Assumptions and Catalog'!$C$64,((D215+E215)*C215)*'Assumptions and Catalog'!$H$64+'Assumptions and Catalog'!$E$64+'Assumptions and Catalog'!$F$64,IF(((D215+E215)*C215)&lt;='Assumptions and Catalog'!$C$65,((D215+E215)*C215)*'Assumptions and Catalog'!$H$65+'Assumptions and Catalog'!$E$65+'Assumptions and Catalog'!$F$65,"Out of range")))))))))*(1+'Assumptions and Catalog'!$C$8)^(A215-1),0)</f>
        <v>7094.794</v>
      </c>
      <c r="N215" s="5" t="n">
        <f>IF(ISNUMBER(Inputs!$L$5),(IF(Inputs!$L$9="Actual flat rate",L215*Inputs!$L$10,IF(Inputs!$C$9="Residential",IF(L215&lt;='Assumptions and Catalog'!$C$50,L215*'Assumptions and Catalog'!$H$50+'Assumptions and Catalog'!$E$50+'Assumptions and Catalog'!$F$50,IF(L215&lt;='Assumptions and Catalog'!$C$51,L215*'Assumptions and Catalog'!$H$51+'Assumptions and Catalog'!$E$51+'Assumptions and Catalog'!$F$51,IF(L215&lt;='Assumptions and Catalog'!$C$52,L215*'Assumptions and Catalog'!$H$52+'Assumptions and Catalog'!$E$52+'Assumptions and Catalog'!$F$52,IF(L215&lt;='Assumptions and Catalog'!$C$53,L215*'Assumptions and Catalog'!$H$53+'Assumptions and Catalog'!$E$53+'Assumptions and Catalog'!$F$53,IF(L215&lt;='Assumptions and Catalog'!$C$54,L215*'Assumptions and Catalog'!$H$54+'Assumptions and Catalog'!$E$54+'Assumptions and Catalog'!$F$54,IF(L215&lt;='Assumptions and Catalog'!$C$55,L215*'Assumptions and Catalog'!$H$55+'Assumptions and Catalog'!$E$55+'Assumptions and Catalog'!$F$55,IF(L215&lt;='Assumptions and Catalog'!$C$56,L215*'Assumptions and Catalog'!$H$56+'Assumptions and Catalog'!$E$56+'Assumptions and Catalog'!$F$56,IF(L215&lt;='Assumptions and Catalog'!$C$57,L215*'Assumptions and Catalog'!$H$57+'Assumptions and Catalog'!$E$57+'Assumptions and Catalog'!$F$57,"Out of range")))))))),IF(L215&lt;='Assumptions and Catalog'!$C$60,L215*'Assumptions and Catalog'!$H$60+'Assumptions and Catalog'!$E$60+'Assumptions and Catalog'!$F$60,IF(L215&lt;='Assumptions and Catalog'!$C$61,L215*'Assumptions and Catalog'!$H$61+'Assumptions and Catalog'!$E$61+'Assumptions and Catalog'!$F$61,IF(L215&lt;='Assumptions and Catalog'!$C$62,L215*'Assumptions and Catalog'!$H$62+'Assumptions and Catalog'!$E$62+'Assumptions and Catalog'!$F$62,IF(L215&lt;='Assumptions and Catalog'!$C$63,L215*'Assumptions and Catalog'!$H$63+'Assumptions and Catalog'!$E$63+'Assumptions and Catalog'!$F$63,IF(L215&lt;='Assumptions and Catalog'!$C$64,L215*'Assumptions and Catalog'!$H$64+'Assumptions and Catalog'!$E$64+'Assumptions and Catalog'!$F$64,IF(L215&lt;='Assumptions and Catalog'!$C$65,L215*'Assumptions and Catalog'!$H$65+'Assumptions and Catalog'!$E$65+'Assumptions and Catalog'!$F$65,"Out of range")))))))))*(1+'Assumptions and Catalog'!$C$8)^(A215-1),0)</f>
        <v>3567.397</v>
      </c>
      <c r="O215" s="5" t="n">
        <f>M215-N215</f>
        <v>3527.397</v>
      </c>
      <c r="P215" s="5" t="n">
        <f>C$55*(1-J$14)*(1-'Assumptions and Catalog'!$C$23)^R215</f>
        <v>0</v>
      </c>
      <c r="Q215" s="5" t="n">
        <f>IF(ISNUMBER(Inputs!$L$5),(IF(Inputs!$L$9="Actual flat rate",((D215+E215)*C215-G215)*Inputs!$L$10,IF(Inputs!$C$9="Residential",IF(((D215+E215)*C215-G215)&lt;='Assumptions and Catalog'!$C$50,((D215+E215)*C215-G215)*'Assumptions and Catalog'!$H$50+'Assumptions and Catalog'!$E$50+'Assumptions and Catalog'!$F$50,IF(((D215+E215)*C215-G215)&lt;='Assumptions and Catalog'!$C$51,((D215+E215)*C215-G215)*'Assumptions and Catalog'!$H$51+'Assumptions and Catalog'!$E$51+'Assumptions and Catalog'!$F$51,IF(((D215+E215)*C215-G215)&lt;='Assumptions and Catalog'!$C$52,((D215+E215)*C215-G215)*'Assumptions and Catalog'!$H$52+'Assumptions and Catalog'!$E$52+'Assumptions and Catalog'!$F$52,IF(((D215+E215)*C215-G215)&lt;='Assumptions and Catalog'!$C$53,((D215+E215)*C215-G215)*'Assumptions and Catalog'!$H$53+'Assumptions and Catalog'!$E$53+'Assumptions and Catalog'!$F$53,IF(((D215+E215)*C215-G215)&lt;='Assumptions and Catalog'!$C$54,((D215+E215)*C215-G215)*'Assumptions and Catalog'!$H$54+'Assumptions and Catalog'!$E$54+'Assumptions and Catalog'!$F$54,IF(((D215+E215)*C215-G215)&lt;='Assumptions and Catalog'!$C$55,((D215+E215)*C215-G215)*'Assumptions and Catalog'!$H$55+'Assumptions and Catalog'!$E$55+'Assumptions and Catalog'!$F$55,IF(((D215+E215)*C215-G215)&lt;='Assumptions and Catalog'!$C$56,((D215+E215)*C215-G215)*'Assumptions and Catalog'!$H$56+'Assumptions and Catalog'!$E$56+'Assumptions and Catalog'!$F$56,IF(((D215+E215)*C215-G215)&lt;='Assumptions and Catalog'!$C$57,((D215+E215)*C215-G215)*'Assumptions and Catalog'!$H$57+'Assumptions and Catalog'!$E$57+'Assumptions and Catalog'!$F$57,"Out of range")))))))),IF(((D215+E215)*C215-G215)&lt;='Assumptions and Catalog'!$C$60,((D215+E215)*C215-G215)*'Assumptions and Catalog'!$H$60+'Assumptions and Catalog'!$E$60+'Assumptions and Catalog'!$F$60,IF(((D215+E215)*C215-G215)&lt;='Assumptions and Catalog'!$C$61,((D215+E215)*C215-G215)*'Assumptions and Catalog'!$H$61+'Assumptions and Catalog'!$E$61+'Assumptions and Catalog'!$F$61,IF(((D215+E215)*C215-G215)&lt;='Assumptions and Catalog'!$C$62,((D215+E215)*C215-G215)*'Assumptions and Catalog'!$H$62+'Assumptions and Catalog'!$E$62+'Assumptions and Catalog'!$F$62,IF(((D215+E215)*C215-G215)&lt;='Assumptions and Catalog'!$C$63,((D215+E215)*C215-G215)*'Assumptions and Catalog'!$H$63+'Assumptions and Catalog'!$E$63+'Assumptions and Catalog'!$F$63,IF(((D215+E215)*C215-G215)&lt;='Assumptions and Catalog'!$C$64,((D215+E215)*C215-G215)*'Assumptions and Catalog'!$H$64+'Assumptions and Catalog'!$E$64+'Assumptions and Catalog'!$F$64,IF(((D215+E215)*C215-G215)&lt;='Assumptions and Catalog'!$C$65,((D215+E215)*C215-G215)*'Assumptions and Catalog'!$H$65+'Assumptions and Catalog'!$E$65+'Assumptions and Catalog'!$F$65,"Out of range")))))))))*(1+'Assumptions and Catalog'!$C$8)^(A215-1),0)</f>
        <v>3567.397</v>
      </c>
      <c r="R215" s="5" t="n">
        <f>IF(AND('Assumptions and Catalog'!$C$19&gt;0,A215&gt;='Assumptions and Catalog'!$C$19),A215-'Assumptions and Catalog'!$C$19,A215-1)</f>
        <v>4</v>
      </c>
      <c r="S215" s="5" t="n">
        <f>F215+L215-(D215+E215)*C215-J215-K215-0</f>
        <v>0</v>
      </c>
      <c r="T215" s="5"/>
      <c r="U215" s="5"/>
    </row>
    <row r="216" ht="23.100000381469727" customHeight="1">
      <c r="A216" s="5" t="n">
        <v>5</v>
      </c>
      <c r="B216" s="5" t="n">
        <v>8</v>
      </c>
      <c r="C216" s="5" t="n">
        <f>DAY(DATE('Assumptions and Catalog'!$C$24+A216-1,B216+1,0))</f>
        <v>31</v>
      </c>
      <c r="D216" s="5" t="n">
        <f>IF(ISNUMBER(Inputs!$L$5),Inputs!$L$5*Inputs!$L$6,0)</f>
        <v>40.35</v>
      </c>
      <c r="E216" s="5" t="n">
        <f>IF(ISNUMBER(Inputs!$L$5),Inputs!$L$5-D216,0)</f>
        <v>40.35</v>
      </c>
      <c r="F216" s="5" t="n">
        <f>C$51*INDEX('Solar Production'!$D$20:$D$31,B216)*C216*(1-'Assumptions and Catalog'!$C$10)^(A216-1)</f>
        <v>1438.7026429974</v>
      </c>
      <c r="G216" s="5" t="n">
        <f>MIN(F216,D216*C216)</f>
        <v>1250.85</v>
      </c>
      <c r="H216" s="5" t="n">
        <f>I216/('Assumptions and Catalog'!$C$11*'Assumptions and Catalog'!$C$12)</f>
        <v>0</v>
      </c>
      <c r="I216" s="5" t="n">
        <f>0</f>
        <v>0</v>
      </c>
      <c r="J216" s="5" t="n">
        <f>MAX(F216-G216-H216,0)</f>
        <v>187.8526429974</v>
      </c>
      <c r="K216" s="5" t="n">
        <f>H216-I216</f>
        <v>0</v>
      </c>
      <c r="L216" s="5" t="n">
        <f>(D216+E216)*C216-G216-I216+0+0</f>
        <v>1250.85</v>
      </c>
      <c r="M216" s="5" t="n">
        <f>IF(ISNUMBER(Inputs!$L$5),(IF(Inputs!$L$9="Actual flat rate",((D216+E216)*C216)*Inputs!$L$10,IF(Inputs!$C$9="Residential",IF(((D216+E216)*C216)&lt;='Assumptions and Catalog'!$C$50,((D216+E216)*C216)*'Assumptions and Catalog'!$H$50+'Assumptions and Catalog'!$E$50+'Assumptions and Catalog'!$F$50,IF(((D216+E216)*C216)&lt;='Assumptions and Catalog'!$C$51,((D216+E216)*C216)*'Assumptions and Catalog'!$H$51+'Assumptions and Catalog'!$E$51+'Assumptions and Catalog'!$F$51,IF(((D216+E216)*C216)&lt;='Assumptions and Catalog'!$C$52,((D216+E216)*C216)*'Assumptions and Catalog'!$H$52+'Assumptions and Catalog'!$E$52+'Assumptions and Catalog'!$F$52,IF(((D216+E216)*C216)&lt;='Assumptions and Catalog'!$C$53,((D216+E216)*C216)*'Assumptions and Catalog'!$H$53+'Assumptions and Catalog'!$E$53+'Assumptions and Catalog'!$F$53,IF(((D216+E216)*C216)&lt;='Assumptions and Catalog'!$C$54,((D216+E216)*C216)*'Assumptions and Catalog'!$H$54+'Assumptions and Catalog'!$E$54+'Assumptions and Catalog'!$F$54,IF(((D216+E216)*C216)&lt;='Assumptions and Catalog'!$C$55,((D216+E216)*C216)*'Assumptions and Catalog'!$H$55+'Assumptions and Catalog'!$E$55+'Assumptions and Catalog'!$F$55,IF(((D216+E216)*C216)&lt;='Assumptions and Catalog'!$C$56,((D216+E216)*C216)*'Assumptions and Catalog'!$H$56+'Assumptions and Catalog'!$E$56+'Assumptions and Catalog'!$F$56,IF(((D216+E216)*C216)&lt;='Assumptions and Catalog'!$C$57,((D216+E216)*C216)*'Assumptions and Catalog'!$H$57+'Assumptions and Catalog'!$E$57+'Assumptions and Catalog'!$F$57,"Out of range")))))))),IF(((D216+E216)*C216)&lt;='Assumptions and Catalog'!$C$60,((D216+E216)*C216)*'Assumptions and Catalog'!$H$60+'Assumptions and Catalog'!$E$60+'Assumptions and Catalog'!$F$60,IF(((D216+E216)*C216)&lt;='Assumptions and Catalog'!$C$61,((D216+E216)*C216)*'Assumptions and Catalog'!$H$61+'Assumptions and Catalog'!$E$61+'Assumptions and Catalog'!$F$61,IF(((D216+E216)*C216)&lt;='Assumptions and Catalog'!$C$62,((D216+E216)*C216)*'Assumptions and Catalog'!$H$62+'Assumptions and Catalog'!$E$62+'Assumptions and Catalog'!$F$62,IF(((D216+E216)*C216)&lt;='Assumptions and Catalog'!$C$63,((D216+E216)*C216)*'Assumptions and Catalog'!$H$63+'Assumptions and Catalog'!$E$63+'Assumptions and Catalog'!$F$63,IF(((D216+E216)*C216)&lt;='Assumptions and Catalog'!$C$64,((D216+E216)*C216)*'Assumptions and Catalog'!$H$64+'Assumptions and Catalog'!$E$64+'Assumptions and Catalog'!$F$64,IF(((D216+E216)*C216)&lt;='Assumptions and Catalog'!$C$65,((D216+E216)*C216)*'Assumptions and Catalog'!$H$65+'Assumptions and Catalog'!$E$65+'Assumptions and Catalog'!$F$65,"Out of range")))))))))*(1+'Assumptions and Catalog'!$C$8)^(A216-1),0)</f>
        <v>7094.794</v>
      </c>
      <c r="N216" s="5" t="n">
        <f>IF(ISNUMBER(Inputs!$L$5),(IF(Inputs!$L$9="Actual flat rate",L216*Inputs!$L$10,IF(Inputs!$C$9="Residential",IF(L216&lt;='Assumptions and Catalog'!$C$50,L216*'Assumptions and Catalog'!$H$50+'Assumptions and Catalog'!$E$50+'Assumptions and Catalog'!$F$50,IF(L216&lt;='Assumptions and Catalog'!$C$51,L216*'Assumptions and Catalog'!$H$51+'Assumptions and Catalog'!$E$51+'Assumptions and Catalog'!$F$51,IF(L216&lt;='Assumptions and Catalog'!$C$52,L216*'Assumptions and Catalog'!$H$52+'Assumptions and Catalog'!$E$52+'Assumptions and Catalog'!$F$52,IF(L216&lt;='Assumptions and Catalog'!$C$53,L216*'Assumptions and Catalog'!$H$53+'Assumptions and Catalog'!$E$53+'Assumptions and Catalog'!$F$53,IF(L216&lt;='Assumptions and Catalog'!$C$54,L216*'Assumptions and Catalog'!$H$54+'Assumptions and Catalog'!$E$54+'Assumptions and Catalog'!$F$54,IF(L216&lt;='Assumptions and Catalog'!$C$55,L216*'Assumptions and Catalog'!$H$55+'Assumptions and Catalog'!$E$55+'Assumptions and Catalog'!$F$55,IF(L216&lt;='Assumptions and Catalog'!$C$56,L216*'Assumptions and Catalog'!$H$56+'Assumptions and Catalog'!$E$56+'Assumptions and Catalog'!$F$56,IF(L216&lt;='Assumptions and Catalog'!$C$57,L216*'Assumptions and Catalog'!$H$57+'Assumptions and Catalog'!$E$57+'Assumptions and Catalog'!$F$57,"Out of range")))))))),IF(L216&lt;='Assumptions and Catalog'!$C$60,L216*'Assumptions and Catalog'!$H$60+'Assumptions and Catalog'!$E$60+'Assumptions and Catalog'!$F$60,IF(L216&lt;='Assumptions and Catalog'!$C$61,L216*'Assumptions and Catalog'!$H$61+'Assumptions and Catalog'!$E$61+'Assumptions and Catalog'!$F$61,IF(L216&lt;='Assumptions and Catalog'!$C$62,L216*'Assumptions and Catalog'!$H$62+'Assumptions and Catalog'!$E$62+'Assumptions and Catalog'!$F$62,IF(L216&lt;='Assumptions and Catalog'!$C$63,L216*'Assumptions and Catalog'!$H$63+'Assumptions and Catalog'!$E$63+'Assumptions and Catalog'!$F$63,IF(L216&lt;='Assumptions and Catalog'!$C$64,L216*'Assumptions and Catalog'!$H$64+'Assumptions and Catalog'!$E$64+'Assumptions and Catalog'!$F$64,IF(L216&lt;='Assumptions and Catalog'!$C$65,L216*'Assumptions and Catalog'!$H$65+'Assumptions and Catalog'!$E$65+'Assumptions and Catalog'!$F$65,"Out of range")))))))))*(1+'Assumptions and Catalog'!$C$8)^(A216-1),0)</f>
        <v>3567.397</v>
      </c>
      <c r="O216" s="5" t="n">
        <f>M216-N216</f>
        <v>3527.397</v>
      </c>
      <c r="P216" s="5" t="n">
        <f>C$55*(1-J$14)*(1-'Assumptions and Catalog'!$C$23)^R216</f>
        <v>0</v>
      </c>
      <c r="Q216" s="5" t="n">
        <f>IF(ISNUMBER(Inputs!$L$5),(IF(Inputs!$L$9="Actual flat rate",((D216+E216)*C216-G216)*Inputs!$L$10,IF(Inputs!$C$9="Residential",IF(((D216+E216)*C216-G216)&lt;='Assumptions and Catalog'!$C$50,((D216+E216)*C216-G216)*'Assumptions and Catalog'!$H$50+'Assumptions and Catalog'!$E$50+'Assumptions and Catalog'!$F$50,IF(((D216+E216)*C216-G216)&lt;='Assumptions and Catalog'!$C$51,((D216+E216)*C216-G216)*'Assumptions and Catalog'!$H$51+'Assumptions and Catalog'!$E$51+'Assumptions and Catalog'!$F$51,IF(((D216+E216)*C216-G216)&lt;='Assumptions and Catalog'!$C$52,((D216+E216)*C216-G216)*'Assumptions and Catalog'!$H$52+'Assumptions and Catalog'!$E$52+'Assumptions and Catalog'!$F$52,IF(((D216+E216)*C216-G216)&lt;='Assumptions and Catalog'!$C$53,((D216+E216)*C216-G216)*'Assumptions and Catalog'!$H$53+'Assumptions and Catalog'!$E$53+'Assumptions and Catalog'!$F$53,IF(((D216+E216)*C216-G216)&lt;='Assumptions and Catalog'!$C$54,((D216+E216)*C216-G216)*'Assumptions and Catalog'!$H$54+'Assumptions and Catalog'!$E$54+'Assumptions and Catalog'!$F$54,IF(((D216+E216)*C216-G216)&lt;='Assumptions and Catalog'!$C$55,((D216+E216)*C216-G216)*'Assumptions and Catalog'!$H$55+'Assumptions and Catalog'!$E$55+'Assumptions and Catalog'!$F$55,IF(((D216+E216)*C216-G216)&lt;='Assumptions and Catalog'!$C$56,((D216+E216)*C216-G216)*'Assumptions and Catalog'!$H$56+'Assumptions and Catalog'!$E$56+'Assumptions and Catalog'!$F$56,IF(((D216+E216)*C216-G216)&lt;='Assumptions and Catalog'!$C$57,((D216+E216)*C216-G216)*'Assumptions and Catalog'!$H$57+'Assumptions and Catalog'!$E$57+'Assumptions and Catalog'!$F$57,"Out of range")))))))),IF(((D216+E216)*C216-G216)&lt;='Assumptions and Catalog'!$C$60,((D216+E216)*C216-G216)*'Assumptions and Catalog'!$H$60+'Assumptions and Catalog'!$E$60+'Assumptions and Catalog'!$F$60,IF(((D216+E216)*C216-G216)&lt;='Assumptions and Catalog'!$C$61,((D216+E216)*C216-G216)*'Assumptions and Catalog'!$H$61+'Assumptions and Catalog'!$E$61+'Assumptions and Catalog'!$F$61,IF(((D216+E216)*C216-G216)&lt;='Assumptions and Catalog'!$C$62,((D216+E216)*C216-G216)*'Assumptions and Catalog'!$H$62+'Assumptions and Catalog'!$E$62+'Assumptions and Catalog'!$F$62,IF(((D216+E216)*C216-G216)&lt;='Assumptions and Catalog'!$C$63,((D216+E216)*C216-G216)*'Assumptions and Catalog'!$H$63+'Assumptions and Catalog'!$E$63+'Assumptions and Catalog'!$F$63,IF(((D216+E216)*C216-G216)&lt;='Assumptions and Catalog'!$C$64,((D216+E216)*C216-G216)*'Assumptions and Catalog'!$H$64+'Assumptions and Catalog'!$E$64+'Assumptions and Catalog'!$F$64,IF(((D216+E216)*C216-G216)&lt;='Assumptions and Catalog'!$C$65,((D216+E216)*C216-G216)*'Assumptions and Catalog'!$H$65+'Assumptions and Catalog'!$E$65+'Assumptions and Catalog'!$F$65,"Out of range")))))))))*(1+'Assumptions and Catalog'!$C$8)^(A216-1),0)</f>
        <v>3567.397</v>
      </c>
      <c r="R216" s="5" t="n">
        <f>IF(AND('Assumptions and Catalog'!$C$19&gt;0,A216&gt;='Assumptions and Catalog'!$C$19),A216-'Assumptions and Catalog'!$C$19,A216-1)</f>
        <v>4</v>
      </c>
      <c r="S216" s="5" t="n">
        <f>F216+L216-(D216+E216)*C216-J216-K216-0</f>
        <v>0</v>
      </c>
      <c r="T216" s="5"/>
      <c r="U216" s="5"/>
    </row>
    <row r="217" ht="23.100000381469727" customHeight="1">
      <c r="A217" s="5" t="n">
        <v>5</v>
      </c>
      <c r="B217" s="5" t="n">
        <v>9</v>
      </c>
      <c r="C217" s="5" t="n">
        <f>DAY(DATE('Assumptions and Catalog'!$C$24+A217-1,B217+1,0))</f>
        <v>30</v>
      </c>
      <c r="D217" s="5" t="n">
        <f>IF(ISNUMBER(Inputs!$L$5),Inputs!$L$5*Inputs!$L$6,0)</f>
        <v>40.35</v>
      </c>
      <c r="E217" s="5" t="n">
        <f>IF(ISNUMBER(Inputs!$L$5),Inputs!$L$5-D217,0)</f>
        <v>40.35</v>
      </c>
      <c r="F217" s="5" t="n">
        <f>C$51*INDEX('Solar Production'!$D$20:$D$31,B217)*C217*(1-'Assumptions and Catalog'!$C$10)^(A217-1)</f>
        <v>1388.6758124855</v>
      </c>
      <c r="G217" s="5" t="n">
        <f>MIN(F217,D217*C217)</f>
        <v>1210.5</v>
      </c>
      <c r="H217" s="5" t="n">
        <f>I217/('Assumptions and Catalog'!$C$11*'Assumptions and Catalog'!$C$12)</f>
        <v>0</v>
      </c>
      <c r="I217" s="5" t="n">
        <f>0</f>
        <v>0</v>
      </c>
      <c r="J217" s="5" t="n">
        <f>MAX(F217-G217-H217,0)</f>
        <v>178.1758124855</v>
      </c>
      <c r="K217" s="5" t="n">
        <f>H217-I217</f>
        <v>0</v>
      </c>
      <c r="L217" s="5" t="n">
        <f>(D217+E217)*C217-G217-I217+0+0</f>
        <v>1210.5</v>
      </c>
      <c r="M217" s="5" t="n">
        <f>IF(ISNUMBER(Inputs!$L$5),(IF(Inputs!$L$9="Actual flat rate",((D217+E217)*C217)*Inputs!$L$10,IF(Inputs!$C$9="Residential",IF(((D217+E217)*C217)&lt;='Assumptions and Catalog'!$C$50,((D217+E217)*C217)*'Assumptions and Catalog'!$H$50+'Assumptions and Catalog'!$E$50+'Assumptions and Catalog'!$F$50,IF(((D217+E217)*C217)&lt;='Assumptions and Catalog'!$C$51,((D217+E217)*C217)*'Assumptions and Catalog'!$H$51+'Assumptions and Catalog'!$E$51+'Assumptions and Catalog'!$F$51,IF(((D217+E217)*C217)&lt;='Assumptions and Catalog'!$C$52,((D217+E217)*C217)*'Assumptions and Catalog'!$H$52+'Assumptions and Catalog'!$E$52+'Assumptions and Catalog'!$F$52,IF(((D217+E217)*C217)&lt;='Assumptions and Catalog'!$C$53,((D217+E217)*C217)*'Assumptions and Catalog'!$H$53+'Assumptions and Catalog'!$E$53+'Assumptions and Catalog'!$F$53,IF(((D217+E217)*C217)&lt;='Assumptions and Catalog'!$C$54,((D217+E217)*C217)*'Assumptions and Catalog'!$H$54+'Assumptions and Catalog'!$E$54+'Assumptions and Catalog'!$F$54,IF(((D217+E217)*C217)&lt;='Assumptions and Catalog'!$C$55,((D217+E217)*C217)*'Assumptions and Catalog'!$H$55+'Assumptions and Catalog'!$E$55+'Assumptions and Catalog'!$F$55,IF(((D217+E217)*C217)&lt;='Assumptions and Catalog'!$C$56,((D217+E217)*C217)*'Assumptions and Catalog'!$H$56+'Assumptions and Catalog'!$E$56+'Assumptions and Catalog'!$F$56,IF(((D217+E217)*C217)&lt;='Assumptions and Catalog'!$C$57,((D217+E217)*C217)*'Assumptions and Catalog'!$H$57+'Assumptions and Catalog'!$E$57+'Assumptions and Catalog'!$F$57,"Out of range")))))))),IF(((D217+E217)*C217)&lt;='Assumptions and Catalog'!$C$60,((D217+E217)*C217)*'Assumptions and Catalog'!$H$60+'Assumptions and Catalog'!$E$60+'Assumptions and Catalog'!$F$60,IF(((D217+E217)*C217)&lt;='Assumptions and Catalog'!$C$61,((D217+E217)*C217)*'Assumptions and Catalog'!$H$61+'Assumptions and Catalog'!$E$61+'Assumptions and Catalog'!$F$61,IF(((D217+E217)*C217)&lt;='Assumptions and Catalog'!$C$62,((D217+E217)*C217)*'Assumptions and Catalog'!$H$62+'Assumptions and Catalog'!$E$62+'Assumptions and Catalog'!$F$62,IF(((D217+E217)*C217)&lt;='Assumptions and Catalog'!$C$63,((D217+E217)*C217)*'Assumptions and Catalog'!$H$63+'Assumptions and Catalog'!$E$63+'Assumptions and Catalog'!$F$63,IF(((D217+E217)*C217)&lt;='Assumptions and Catalog'!$C$64,((D217+E217)*C217)*'Assumptions and Catalog'!$H$64+'Assumptions and Catalog'!$E$64+'Assumptions and Catalog'!$F$64,IF(((D217+E217)*C217)&lt;='Assumptions and Catalog'!$C$65,((D217+E217)*C217)*'Assumptions and Catalog'!$H$65+'Assumptions and Catalog'!$E$65+'Assumptions and Catalog'!$F$65,"Out of range")))))))))*(1+'Assumptions and Catalog'!$C$8)^(A217-1),0)</f>
        <v>6867.22</v>
      </c>
      <c r="N217" s="5" t="n">
        <f>IF(ISNUMBER(Inputs!$L$5),(IF(Inputs!$L$9="Actual flat rate",L217*Inputs!$L$10,IF(Inputs!$C$9="Residential",IF(L217&lt;='Assumptions and Catalog'!$C$50,L217*'Assumptions and Catalog'!$H$50+'Assumptions and Catalog'!$E$50+'Assumptions and Catalog'!$F$50,IF(L217&lt;='Assumptions and Catalog'!$C$51,L217*'Assumptions and Catalog'!$H$51+'Assumptions and Catalog'!$E$51+'Assumptions and Catalog'!$F$51,IF(L217&lt;='Assumptions and Catalog'!$C$52,L217*'Assumptions and Catalog'!$H$52+'Assumptions and Catalog'!$E$52+'Assumptions and Catalog'!$F$52,IF(L217&lt;='Assumptions and Catalog'!$C$53,L217*'Assumptions and Catalog'!$H$53+'Assumptions and Catalog'!$E$53+'Assumptions and Catalog'!$F$53,IF(L217&lt;='Assumptions and Catalog'!$C$54,L217*'Assumptions and Catalog'!$H$54+'Assumptions and Catalog'!$E$54+'Assumptions and Catalog'!$F$54,IF(L217&lt;='Assumptions and Catalog'!$C$55,L217*'Assumptions and Catalog'!$H$55+'Assumptions and Catalog'!$E$55+'Assumptions and Catalog'!$F$55,IF(L217&lt;='Assumptions and Catalog'!$C$56,L217*'Assumptions and Catalog'!$H$56+'Assumptions and Catalog'!$E$56+'Assumptions and Catalog'!$F$56,IF(L217&lt;='Assumptions and Catalog'!$C$57,L217*'Assumptions and Catalog'!$H$57+'Assumptions and Catalog'!$E$57+'Assumptions and Catalog'!$F$57,"Out of range")))))))),IF(L217&lt;='Assumptions and Catalog'!$C$60,L217*'Assumptions and Catalog'!$H$60+'Assumptions and Catalog'!$E$60+'Assumptions and Catalog'!$F$60,IF(L217&lt;='Assumptions and Catalog'!$C$61,L217*'Assumptions and Catalog'!$H$61+'Assumptions and Catalog'!$E$61+'Assumptions and Catalog'!$F$61,IF(L217&lt;='Assumptions and Catalog'!$C$62,L217*'Assumptions and Catalog'!$H$62+'Assumptions and Catalog'!$E$62+'Assumptions and Catalog'!$F$62,IF(L217&lt;='Assumptions and Catalog'!$C$63,L217*'Assumptions and Catalog'!$H$63+'Assumptions and Catalog'!$E$63+'Assumptions and Catalog'!$F$63,IF(L217&lt;='Assumptions and Catalog'!$C$64,L217*'Assumptions and Catalog'!$H$64+'Assumptions and Catalog'!$E$64+'Assumptions and Catalog'!$F$64,IF(L217&lt;='Assumptions and Catalog'!$C$65,L217*'Assumptions and Catalog'!$H$65+'Assumptions and Catalog'!$E$65+'Assumptions and Catalog'!$F$65,"Out of range")))))))))*(1+'Assumptions and Catalog'!$C$8)^(A217-1),0)</f>
        <v>3453.61</v>
      </c>
      <c r="O217" s="5" t="n">
        <f>M217-N217</f>
        <v>3413.61</v>
      </c>
      <c r="P217" s="5" t="n">
        <f>C$55*(1-J$14)*(1-'Assumptions and Catalog'!$C$23)^R217</f>
        <v>0</v>
      </c>
      <c r="Q217" s="5" t="n">
        <f>IF(ISNUMBER(Inputs!$L$5),(IF(Inputs!$L$9="Actual flat rate",((D217+E217)*C217-G217)*Inputs!$L$10,IF(Inputs!$C$9="Residential",IF(((D217+E217)*C217-G217)&lt;='Assumptions and Catalog'!$C$50,((D217+E217)*C217-G217)*'Assumptions and Catalog'!$H$50+'Assumptions and Catalog'!$E$50+'Assumptions and Catalog'!$F$50,IF(((D217+E217)*C217-G217)&lt;='Assumptions and Catalog'!$C$51,((D217+E217)*C217-G217)*'Assumptions and Catalog'!$H$51+'Assumptions and Catalog'!$E$51+'Assumptions and Catalog'!$F$51,IF(((D217+E217)*C217-G217)&lt;='Assumptions and Catalog'!$C$52,((D217+E217)*C217-G217)*'Assumptions and Catalog'!$H$52+'Assumptions and Catalog'!$E$52+'Assumptions and Catalog'!$F$52,IF(((D217+E217)*C217-G217)&lt;='Assumptions and Catalog'!$C$53,((D217+E217)*C217-G217)*'Assumptions and Catalog'!$H$53+'Assumptions and Catalog'!$E$53+'Assumptions and Catalog'!$F$53,IF(((D217+E217)*C217-G217)&lt;='Assumptions and Catalog'!$C$54,((D217+E217)*C217-G217)*'Assumptions and Catalog'!$H$54+'Assumptions and Catalog'!$E$54+'Assumptions and Catalog'!$F$54,IF(((D217+E217)*C217-G217)&lt;='Assumptions and Catalog'!$C$55,((D217+E217)*C217-G217)*'Assumptions and Catalog'!$H$55+'Assumptions and Catalog'!$E$55+'Assumptions and Catalog'!$F$55,IF(((D217+E217)*C217-G217)&lt;='Assumptions and Catalog'!$C$56,((D217+E217)*C217-G217)*'Assumptions and Catalog'!$H$56+'Assumptions and Catalog'!$E$56+'Assumptions and Catalog'!$F$56,IF(((D217+E217)*C217-G217)&lt;='Assumptions and Catalog'!$C$57,((D217+E217)*C217-G217)*'Assumptions and Catalog'!$H$57+'Assumptions and Catalog'!$E$57+'Assumptions and Catalog'!$F$57,"Out of range")))))))),IF(((D217+E217)*C217-G217)&lt;='Assumptions and Catalog'!$C$60,((D217+E217)*C217-G217)*'Assumptions and Catalog'!$H$60+'Assumptions and Catalog'!$E$60+'Assumptions and Catalog'!$F$60,IF(((D217+E217)*C217-G217)&lt;='Assumptions and Catalog'!$C$61,((D217+E217)*C217-G217)*'Assumptions and Catalog'!$H$61+'Assumptions and Catalog'!$E$61+'Assumptions and Catalog'!$F$61,IF(((D217+E217)*C217-G217)&lt;='Assumptions and Catalog'!$C$62,((D217+E217)*C217-G217)*'Assumptions and Catalog'!$H$62+'Assumptions and Catalog'!$E$62+'Assumptions and Catalog'!$F$62,IF(((D217+E217)*C217-G217)&lt;='Assumptions and Catalog'!$C$63,((D217+E217)*C217-G217)*'Assumptions and Catalog'!$H$63+'Assumptions and Catalog'!$E$63+'Assumptions and Catalog'!$F$63,IF(((D217+E217)*C217-G217)&lt;='Assumptions and Catalog'!$C$64,((D217+E217)*C217-G217)*'Assumptions and Catalog'!$H$64+'Assumptions and Catalog'!$E$64+'Assumptions and Catalog'!$F$64,IF(((D217+E217)*C217-G217)&lt;='Assumptions and Catalog'!$C$65,((D217+E217)*C217-G217)*'Assumptions and Catalog'!$H$65+'Assumptions and Catalog'!$E$65+'Assumptions and Catalog'!$F$65,"Out of range")))))))))*(1+'Assumptions and Catalog'!$C$8)^(A217-1),0)</f>
        <v>3453.61</v>
      </c>
      <c r="R217" s="5" t="n">
        <f>IF(AND('Assumptions and Catalog'!$C$19&gt;0,A217&gt;='Assumptions and Catalog'!$C$19),A217-'Assumptions and Catalog'!$C$19,A217-1)</f>
        <v>4</v>
      </c>
      <c r="S217" s="5" t="n">
        <f>F217+L217-(D217+E217)*C217-J217-K217-0</f>
        <v>0</v>
      </c>
      <c r="T217" s="5"/>
      <c r="U217" s="5"/>
    </row>
    <row r="218" ht="23.100000381469727" customHeight="1">
      <c r="A218" s="5" t="n">
        <v>5</v>
      </c>
      <c r="B218" s="5" t="n">
        <v>10</v>
      </c>
      <c r="C218" s="5" t="n">
        <f>DAY(DATE('Assumptions and Catalog'!$C$24+A218-1,B218+1,0))</f>
        <v>31</v>
      </c>
      <c r="D218" s="5" t="n">
        <f>IF(ISNUMBER(Inputs!$L$5),Inputs!$L$5*Inputs!$L$6,0)</f>
        <v>40.35</v>
      </c>
      <c r="E218" s="5" t="n">
        <f>IF(ISNUMBER(Inputs!$L$5),Inputs!$L$5-D218,0)</f>
        <v>40.35</v>
      </c>
      <c r="F218" s="5" t="n">
        <f>C$51*INDEX('Solar Production'!$D$20:$D$31,B218)*C218*(1-'Assumptions and Catalog'!$C$10)^(A218-1)</f>
        <v>1332.87002051792</v>
      </c>
      <c r="G218" s="5" t="n">
        <f>MIN(F218,D218*C218)</f>
        <v>1250.85</v>
      </c>
      <c r="H218" s="5" t="n">
        <f>I218/('Assumptions and Catalog'!$C$11*'Assumptions and Catalog'!$C$12)</f>
        <v>0</v>
      </c>
      <c r="I218" s="5" t="n">
        <f>0</f>
        <v>0</v>
      </c>
      <c r="J218" s="5" t="n">
        <f>MAX(F218-G218-H218,0)</f>
        <v>82.0200205179151</v>
      </c>
      <c r="K218" s="5" t="n">
        <f>H218-I218</f>
        <v>0</v>
      </c>
      <c r="L218" s="5" t="n">
        <f>(D218+E218)*C218-G218-I218+0+0</f>
        <v>1250.85</v>
      </c>
      <c r="M218" s="5" t="n">
        <f>IF(ISNUMBER(Inputs!$L$5),(IF(Inputs!$L$9="Actual flat rate",((D218+E218)*C218)*Inputs!$L$10,IF(Inputs!$C$9="Residential",IF(((D218+E218)*C218)&lt;='Assumptions and Catalog'!$C$50,((D218+E218)*C218)*'Assumptions and Catalog'!$H$50+'Assumptions and Catalog'!$E$50+'Assumptions and Catalog'!$F$50,IF(((D218+E218)*C218)&lt;='Assumptions and Catalog'!$C$51,((D218+E218)*C218)*'Assumptions and Catalog'!$H$51+'Assumptions and Catalog'!$E$51+'Assumptions and Catalog'!$F$51,IF(((D218+E218)*C218)&lt;='Assumptions and Catalog'!$C$52,((D218+E218)*C218)*'Assumptions and Catalog'!$H$52+'Assumptions and Catalog'!$E$52+'Assumptions and Catalog'!$F$52,IF(((D218+E218)*C218)&lt;='Assumptions and Catalog'!$C$53,((D218+E218)*C218)*'Assumptions and Catalog'!$H$53+'Assumptions and Catalog'!$E$53+'Assumptions and Catalog'!$F$53,IF(((D218+E218)*C218)&lt;='Assumptions and Catalog'!$C$54,((D218+E218)*C218)*'Assumptions and Catalog'!$H$54+'Assumptions and Catalog'!$E$54+'Assumptions and Catalog'!$F$54,IF(((D218+E218)*C218)&lt;='Assumptions and Catalog'!$C$55,((D218+E218)*C218)*'Assumptions and Catalog'!$H$55+'Assumptions and Catalog'!$E$55+'Assumptions and Catalog'!$F$55,IF(((D218+E218)*C218)&lt;='Assumptions and Catalog'!$C$56,((D218+E218)*C218)*'Assumptions and Catalog'!$H$56+'Assumptions and Catalog'!$E$56+'Assumptions and Catalog'!$F$56,IF(((D218+E218)*C218)&lt;='Assumptions and Catalog'!$C$57,((D218+E218)*C218)*'Assumptions and Catalog'!$H$57+'Assumptions and Catalog'!$E$57+'Assumptions and Catalog'!$F$57,"Out of range")))))))),IF(((D218+E218)*C218)&lt;='Assumptions and Catalog'!$C$60,((D218+E218)*C218)*'Assumptions and Catalog'!$H$60+'Assumptions and Catalog'!$E$60+'Assumptions and Catalog'!$F$60,IF(((D218+E218)*C218)&lt;='Assumptions and Catalog'!$C$61,((D218+E218)*C218)*'Assumptions and Catalog'!$H$61+'Assumptions and Catalog'!$E$61+'Assumptions and Catalog'!$F$61,IF(((D218+E218)*C218)&lt;='Assumptions and Catalog'!$C$62,((D218+E218)*C218)*'Assumptions and Catalog'!$H$62+'Assumptions and Catalog'!$E$62+'Assumptions and Catalog'!$F$62,IF(((D218+E218)*C218)&lt;='Assumptions and Catalog'!$C$63,((D218+E218)*C218)*'Assumptions and Catalog'!$H$63+'Assumptions and Catalog'!$E$63+'Assumptions and Catalog'!$F$63,IF(((D218+E218)*C218)&lt;='Assumptions and Catalog'!$C$64,((D218+E218)*C218)*'Assumptions and Catalog'!$H$64+'Assumptions and Catalog'!$E$64+'Assumptions and Catalog'!$F$64,IF(((D218+E218)*C218)&lt;='Assumptions and Catalog'!$C$65,((D218+E218)*C218)*'Assumptions and Catalog'!$H$65+'Assumptions and Catalog'!$E$65+'Assumptions and Catalog'!$F$65,"Out of range")))))))))*(1+'Assumptions and Catalog'!$C$8)^(A218-1),0)</f>
        <v>7094.794</v>
      </c>
      <c r="N218" s="5" t="n">
        <f>IF(ISNUMBER(Inputs!$L$5),(IF(Inputs!$L$9="Actual flat rate",L218*Inputs!$L$10,IF(Inputs!$C$9="Residential",IF(L218&lt;='Assumptions and Catalog'!$C$50,L218*'Assumptions and Catalog'!$H$50+'Assumptions and Catalog'!$E$50+'Assumptions and Catalog'!$F$50,IF(L218&lt;='Assumptions and Catalog'!$C$51,L218*'Assumptions and Catalog'!$H$51+'Assumptions and Catalog'!$E$51+'Assumptions and Catalog'!$F$51,IF(L218&lt;='Assumptions and Catalog'!$C$52,L218*'Assumptions and Catalog'!$H$52+'Assumptions and Catalog'!$E$52+'Assumptions and Catalog'!$F$52,IF(L218&lt;='Assumptions and Catalog'!$C$53,L218*'Assumptions and Catalog'!$H$53+'Assumptions and Catalog'!$E$53+'Assumptions and Catalog'!$F$53,IF(L218&lt;='Assumptions and Catalog'!$C$54,L218*'Assumptions and Catalog'!$H$54+'Assumptions and Catalog'!$E$54+'Assumptions and Catalog'!$F$54,IF(L218&lt;='Assumptions and Catalog'!$C$55,L218*'Assumptions and Catalog'!$H$55+'Assumptions and Catalog'!$E$55+'Assumptions and Catalog'!$F$55,IF(L218&lt;='Assumptions and Catalog'!$C$56,L218*'Assumptions and Catalog'!$H$56+'Assumptions and Catalog'!$E$56+'Assumptions and Catalog'!$F$56,IF(L218&lt;='Assumptions and Catalog'!$C$57,L218*'Assumptions and Catalog'!$H$57+'Assumptions and Catalog'!$E$57+'Assumptions and Catalog'!$F$57,"Out of range")))))))),IF(L218&lt;='Assumptions and Catalog'!$C$60,L218*'Assumptions and Catalog'!$H$60+'Assumptions and Catalog'!$E$60+'Assumptions and Catalog'!$F$60,IF(L218&lt;='Assumptions and Catalog'!$C$61,L218*'Assumptions and Catalog'!$H$61+'Assumptions and Catalog'!$E$61+'Assumptions and Catalog'!$F$61,IF(L218&lt;='Assumptions and Catalog'!$C$62,L218*'Assumptions and Catalog'!$H$62+'Assumptions and Catalog'!$E$62+'Assumptions and Catalog'!$F$62,IF(L218&lt;='Assumptions and Catalog'!$C$63,L218*'Assumptions and Catalog'!$H$63+'Assumptions and Catalog'!$E$63+'Assumptions and Catalog'!$F$63,IF(L218&lt;='Assumptions and Catalog'!$C$64,L218*'Assumptions and Catalog'!$H$64+'Assumptions and Catalog'!$E$64+'Assumptions and Catalog'!$F$64,IF(L218&lt;='Assumptions and Catalog'!$C$65,L218*'Assumptions and Catalog'!$H$65+'Assumptions and Catalog'!$E$65+'Assumptions and Catalog'!$F$65,"Out of range")))))))))*(1+'Assumptions and Catalog'!$C$8)^(A218-1),0)</f>
        <v>3567.397</v>
      </c>
      <c r="O218" s="5" t="n">
        <f>M218-N218</f>
        <v>3527.397</v>
      </c>
      <c r="P218" s="5" t="n">
        <f>C$55*(1-J$14)*(1-'Assumptions and Catalog'!$C$23)^R218</f>
        <v>0</v>
      </c>
      <c r="Q218" s="5" t="n">
        <f>IF(ISNUMBER(Inputs!$L$5),(IF(Inputs!$L$9="Actual flat rate",((D218+E218)*C218-G218)*Inputs!$L$10,IF(Inputs!$C$9="Residential",IF(((D218+E218)*C218-G218)&lt;='Assumptions and Catalog'!$C$50,((D218+E218)*C218-G218)*'Assumptions and Catalog'!$H$50+'Assumptions and Catalog'!$E$50+'Assumptions and Catalog'!$F$50,IF(((D218+E218)*C218-G218)&lt;='Assumptions and Catalog'!$C$51,((D218+E218)*C218-G218)*'Assumptions and Catalog'!$H$51+'Assumptions and Catalog'!$E$51+'Assumptions and Catalog'!$F$51,IF(((D218+E218)*C218-G218)&lt;='Assumptions and Catalog'!$C$52,((D218+E218)*C218-G218)*'Assumptions and Catalog'!$H$52+'Assumptions and Catalog'!$E$52+'Assumptions and Catalog'!$F$52,IF(((D218+E218)*C218-G218)&lt;='Assumptions and Catalog'!$C$53,((D218+E218)*C218-G218)*'Assumptions and Catalog'!$H$53+'Assumptions and Catalog'!$E$53+'Assumptions and Catalog'!$F$53,IF(((D218+E218)*C218-G218)&lt;='Assumptions and Catalog'!$C$54,((D218+E218)*C218-G218)*'Assumptions and Catalog'!$H$54+'Assumptions and Catalog'!$E$54+'Assumptions and Catalog'!$F$54,IF(((D218+E218)*C218-G218)&lt;='Assumptions and Catalog'!$C$55,((D218+E218)*C218-G218)*'Assumptions and Catalog'!$H$55+'Assumptions and Catalog'!$E$55+'Assumptions and Catalog'!$F$55,IF(((D218+E218)*C218-G218)&lt;='Assumptions and Catalog'!$C$56,((D218+E218)*C218-G218)*'Assumptions and Catalog'!$H$56+'Assumptions and Catalog'!$E$56+'Assumptions and Catalog'!$F$56,IF(((D218+E218)*C218-G218)&lt;='Assumptions and Catalog'!$C$57,((D218+E218)*C218-G218)*'Assumptions and Catalog'!$H$57+'Assumptions and Catalog'!$E$57+'Assumptions and Catalog'!$F$57,"Out of range")))))))),IF(((D218+E218)*C218-G218)&lt;='Assumptions and Catalog'!$C$60,((D218+E218)*C218-G218)*'Assumptions and Catalog'!$H$60+'Assumptions and Catalog'!$E$60+'Assumptions and Catalog'!$F$60,IF(((D218+E218)*C218-G218)&lt;='Assumptions and Catalog'!$C$61,((D218+E218)*C218-G218)*'Assumptions and Catalog'!$H$61+'Assumptions and Catalog'!$E$61+'Assumptions and Catalog'!$F$61,IF(((D218+E218)*C218-G218)&lt;='Assumptions and Catalog'!$C$62,((D218+E218)*C218-G218)*'Assumptions and Catalog'!$H$62+'Assumptions and Catalog'!$E$62+'Assumptions and Catalog'!$F$62,IF(((D218+E218)*C218-G218)&lt;='Assumptions and Catalog'!$C$63,((D218+E218)*C218-G218)*'Assumptions and Catalog'!$H$63+'Assumptions and Catalog'!$E$63+'Assumptions and Catalog'!$F$63,IF(((D218+E218)*C218-G218)&lt;='Assumptions and Catalog'!$C$64,((D218+E218)*C218-G218)*'Assumptions and Catalog'!$H$64+'Assumptions and Catalog'!$E$64+'Assumptions and Catalog'!$F$64,IF(((D218+E218)*C218-G218)&lt;='Assumptions and Catalog'!$C$65,((D218+E218)*C218-G218)*'Assumptions and Catalog'!$H$65+'Assumptions and Catalog'!$E$65+'Assumptions and Catalog'!$F$65,"Out of range")))))))))*(1+'Assumptions and Catalog'!$C$8)^(A218-1),0)</f>
        <v>3567.397</v>
      </c>
      <c r="R218" s="5" t="n">
        <f>IF(AND('Assumptions and Catalog'!$C$19&gt;0,A218&gt;='Assumptions and Catalog'!$C$19),A218-'Assumptions and Catalog'!$C$19,A218-1)</f>
        <v>4</v>
      </c>
      <c r="S218" s="5" t="n">
        <f>F218+L218-(D218+E218)*C218-J218-K218-0</f>
        <v>0</v>
      </c>
      <c r="T218" s="5"/>
      <c r="U218" s="5"/>
    </row>
    <row r="219" ht="23.100000381469727" customHeight="1">
      <c r="A219" s="5" t="n">
        <v>5</v>
      </c>
      <c r="B219" s="5" t="n">
        <v>11</v>
      </c>
      <c r="C219" s="5" t="n">
        <f>DAY(DATE('Assumptions and Catalog'!$C$24+A219-1,B219+1,0))</f>
        <v>30</v>
      </c>
      <c r="D219" s="5" t="n">
        <f>IF(ISNUMBER(Inputs!$L$5),Inputs!$L$5*Inputs!$L$6,0)</f>
        <v>40.35</v>
      </c>
      <c r="E219" s="5" t="n">
        <f>IF(ISNUMBER(Inputs!$L$5),Inputs!$L$5-D219,0)</f>
        <v>40.35</v>
      </c>
      <c r="F219" s="5" t="n">
        <f>C$51*INDEX('Solar Production'!$D$20:$D$31,B219)*C219*(1-'Assumptions and Catalog'!$C$10)^(A219-1)</f>
        <v>1181.40947848534</v>
      </c>
      <c r="G219" s="5" t="n">
        <f>MIN(F219,D219*C219)</f>
        <v>1181.40947848534</v>
      </c>
      <c r="H219" s="5" t="n">
        <f>I219/('Assumptions and Catalog'!$C$11*'Assumptions and Catalog'!$C$12)</f>
        <v>0</v>
      </c>
      <c r="I219" s="5" t="n">
        <f>0</f>
        <v>0</v>
      </c>
      <c r="J219" s="5" t="n">
        <f>MAX(F219-G219-H219,0)</f>
        <v>0</v>
      </c>
      <c r="K219" s="5" t="n">
        <f>H219-I219</f>
        <v>0</v>
      </c>
      <c r="L219" s="5" t="n">
        <f>(D219+E219)*C219-G219-I219+0+0</f>
        <v>1239.59052151466</v>
      </c>
      <c r="M219" s="5" t="n">
        <f>IF(ISNUMBER(Inputs!$L$5),(IF(Inputs!$L$9="Actual flat rate",((D219+E219)*C219)*Inputs!$L$10,IF(Inputs!$C$9="Residential",IF(((D219+E219)*C219)&lt;='Assumptions and Catalog'!$C$50,((D219+E219)*C219)*'Assumptions and Catalog'!$H$50+'Assumptions and Catalog'!$E$50+'Assumptions and Catalog'!$F$50,IF(((D219+E219)*C219)&lt;='Assumptions and Catalog'!$C$51,((D219+E219)*C219)*'Assumptions and Catalog'!$H$51+'Assumptions and Catalog'!$E$51+'Assumptions and Catalog'!$F$51,IF(((D219+E219)*C219)&lt;='Assumptions and Catalog'!$C$52,((D219+E219)*C219)*'Assumptions and Catalog'!$H$52+'Assumptions and Catalog'!$E$52+'Assumptions and Catalog'!$F$52,IF(((D219+E219)*C219)&lt;='Assumptions and Catalog'!$C$53,((D219+E219)*C219)*'Assumptions and Catalog'!$H$53+'Assumptions and Catalog'!$E$53+'Assumptions and Catalog'!$F$53,IF(((D219+E219)*C219)&lt;='Assumptions and Catalog'!$C$54,((D219+E219)*C219)*'Assumptions and Catalog'!$H$54+'Assumptions and Catalog'!$E$54+'Assumptions and Catalog'!$F$54,IF(((D219+E219)*C219)&lt;='Assumptions and Catalog'!$C$55,((D219+E219)*C219)*'Assumptions and Catalog'!$H$55+'Assumptions and Catalog'!$E$55+'Assumptions and Catalog'!$F$55,IF(((D219+E219)*C219)&lt;='Assumptions and Catalog'!$C$56,((D219+E219)*C219)*'Assumptions and Catalog'!$H$56+'Assumptions and Catalog'!$E$56+'Assumptions and Catalog'!$F$56,IF(((D219+E219)*C219)&lt;='Assumptions and Catalog'!$C$57,((D219+E219)*C219)*'Assumptions and Catalog'!$H$57+'Assumptions and Catalog'!$E$57+'Assumptions and Catalog'!$F$57,"Out of range")))))))),IF(((D219+E219)*C219)&lt;='Assumptions and Catalog'!$C$60,((D219+E219)*C219)*'Assumptions and Catalog'!$H$60+'Assumptions and Catalog'!$E$60+'Assumptions and Catalog'!$F$60,IF(((D219+E219)*C219)&lt;='Assumptions and Catalog'!$C$61,((D219+E219)*C219)*'Assumptions and Catalog'!$H$61+'Assumptions and Catalog'!$E$61+'Assumptions and Catalog'!$F$61,IF(((D219+E219)*C219)&lt;='Assumptions and Catalog'!$C$62,((D219+E219)*C219)*'Assumptions and Catalog'!$H$62+'Assumptions and Catalog'!$E$62+'Assumptions and Catalog'!$F$62,IF(((D219+E219)*C219)&lt;='Assumptions and Catalog'!$C$63,((D219+E219)*C219)*'Assumptions and Catalog'!$H$63+'Assumptions and Catalog'!$E$63+'Assumptions and Catalog'!$F$63,IF(((D219+E219)*C219)&lt;='Assumptions and Catalog'!$C$64,((D219+E219)*C219)*'Assumptions and Catalog'!$H$64+'Assumptions and Catalog'!$E$64+'Assumptions and Catalog'!$F$64,IF(((D219+E219)*C219)&lt;='Assumptions and Catalog'!$C$65,((D219+E219)*C219)*'Assumptions and Catalog'!$H$65+'Assumptions and Catalog'!$E$65+'Assumptions and Catalog'!$F$65,"Out of range")))))))))*(1+'Assumptions and Catalog'!$C$8)^(A219-1),0)</f>
        <v>6867.22</v>
      </c>
      <c r="N219" s="5" t="n">
        <f>IF(ISNUMBER(Inputs!$L$5),(IF(Inputs!$L$9="Actual flat rate",L219*Inputs!$L$10,IF(Inputs!$C$9="Residential",IF(L219&lt;='Assumptions and Catalog'!$C$50,L219*'Assumptions and Catalog'!$H$50+'Assumptions and Catalog'!$E$50+'Assumptions and Catalog'!$F$50,IF(L219&lt;='Assumptions and Catalog'!$C$51,L219*'Assumptions and Catalog'!$H$51+'Assumptions and Catalog'!$E$51+'Assumptions and Catalog'!$F$51,IF(L219&lt;='Assumptions and Catalog'!$C$52,L219*'Assumptions and Catalog'!$H$52+'Assumptions and Catalog'!$E$52+'Assumptions and Catalog'!$F$52,IF(L219&lt;='Assumptions and Catalog'!$C$53,L219*'Assumptions and Catalog'!$H$53+'Assumptions and Catalog'!$E$53+'Assumptions and Catalog'!$F$53,IF(L219&lt;='Assumptions and Catalog'!$C$54,L219*'Assumptions and Catalog'!$H$54+'Assumptions and Catalog'!$E$54+'Assumptions and Catalog'!$F$54,IF(L219&lt;='Assumptions and Catalog'!$C$55,L219*'Assumptions and Catalog'!$H$55+'Assumptions and Catalog'!$E$55+'Assumptions and Catalog'!$F$55,IF(L219&lt;='Assumptions and Catalog'!$C$56,L219*'Assumptions and Catalog'!$H$56+'Assumptions and Catalog'!$E$56+'Assumptions and Catalog'!$F$56,IF(L219&lt;='Assumptions and Catalog'!$C$57,L219*'Assumptions and Catalog'!$H$57+'Assumptions and Catalog'!$E$57+'Assumptions and Catalog'!$F$57,"Out of range")))))))),IF(L219&lt;='Assumptions and Catalog'!$C$60,L219*'Assumptions and Catalog'!$H$60+'Assumptions and Catalog'!$E$60+'Assumptions and Catalog'!$F$60,IF(L219&lt;='Assumptions and Catalog'!$C$61,L219*'Assumptions and Catalog'!$H$61+'Assumptions and Catalog'!$E$61+'Assumptions and Catalog'!$F$61,IF(L219&lt;='Assumptions and Catalog'!$C$62,L219*'Assumptions and Catalog'!$H$62+'Assumptions and Catalog'!$E$62+'Assumptions and Catalog'!$F$62,IF(L219&lt;='Assumptions and Catalog'!$C$63,L219*'Assumptions and Catalog'!$H$63+'Assumptions and Catalog'!$E$63+'Assumptions and Catalog'!$F$63,IF(L219&lt;='Assumptions and Catalog'!$C$64,L219*'Assumptions and Catalog'!$H$64+'Assumptions and Catalog'!$E$64+'Assumptions and Catalog'!$F$64,IF(L219&lt;='Assumptions and Catalog'!$C$65,L219*'Assumptions and Catalog'!$H$65+'Assumptions and Catalog'!$E$65+'Assumptions and Catalog'!$F$65,"Out of range")))))))))*(1+'Assumptions and Catalog'!$C$8)^(A219-1),0)</f>
        <v>3535.64527067135</v>
      </c>
      <c r="O219" s="5" t="n">
        <f>M219-N219</f>
        <v>3331.57472932865</v>
      </c>
      <c r="P219" s="5" t="n">
        <f>C$55*(1-J$14)*(1-'Assumptions and Catalog'!$C$23)^R219</f>
        <v>0</v>
      </c>
      <c r="Q219" s="5" t="n">
        <f>IF(ISNUMBER(Inputs!$L$5),(IF(Inputs!$L$9="Actual flat rate",((D219+E219)*C219-G219)*Inputs!$L$10,IF(Inputs!$C$9="Residential",IF(((D219+E219)*C219-G219)&lt;='Assumptions and Catalog'!$C$50,((D219+E219)*C219-G219)*'Assumptions and Catalog'!$H$50+'Assumptions and Catalog'!$E$50+'Assumptions and Catalog'!$F$50,IF(((D219+E219)*C219-G219)&lt;='Assumptions and Catalog'!$C$51,((D219+E219)*C219-G219)*'Assumptions and Catalog'!$H$51+'Assumptions and Catalog'!$E$51+'Assumptions and Catalog'!$F$51,IF(((D219+E219)*C219-G219)&lt;='Assumptions and Catalog'!$C$52,((D219+E219)*C219-G219)*'Assumptions and Catalog'!$H$52+'Assumptions and Catalog'!$E$52+'Assumptions and Catalog'!$F$52,IF(((D219+E219)*C219-G219)&lt;='Assumptions and Catalog'!$C$53,((D219+E219)*C219-G219)*'Assumptions and Catalog'!$H$53+'Assumptions and Catalog'!$E$53+'Assumptions and Catalog'!$F$53,IF(((D219+E219)*C219-G219)&lt;='Assumptions and Catalog'!$C$54,((D219+E219)*C219-G219)*'Assumptions and Catalog'!$H$54+'Assumptions and Catalog'!$E$54+'Assumptions and Catalog'!$F$54,IF(((D219+E219)*C219-G219)&lt;='Assumptions and Catalog'!$C$55,((D219+E219)*C219-G219)*'Assumptions and Catalog'!$H$55+'Assumptions and Catalog'!$E$55+'Assumptions and Catalog'!$F$55,IF(((D219+E219)*C219-G219)&lt;='Assumptions and Catalog'!$C$56,((D219+E219)*C219-G219)*'Assumptions and Catalog'!$H$56+'Assumptions and Catalog'!$E$56+'Assumptions and Catalog'!$F$56,IF(((D219+E219)*C219-G219)&lt;='Assumptions and Catalog'!$C$57,((D219+E219)*C219-G219)*'Assumptions and Catalog'!$H$57+'Assumptions and Catalog'!$E$57+'Assumptions and Catalog'!$F$57,"Out of range")))))))),IF(((D219+E219)*C219-G219)&lt;='Assumptions and Catalog'!$C$60,((D219+E219)*C219-G219)*'Assumptions and Catalog'!$H$60+'Assumptions and Catalog'!$E$60+'Assumptions and Catalog'!$F$60,IF(((D219+E219)*C219-G219)&lt;='Assumptions and Catalog'!$C$61,((D219+E219)*C219-G219)*'Assumptions and Catalog'!$H$61+'Assumptions and Catalog'!$E$61+'Assumptions and Catalog'!$F$61,IF(((D219+E219)*C219-G219)&lt;='Assumptions and Catalog'!$C$62,((D219+E219)*C219-G219)*'Assumptions and Catalog'!$H$62+'Assumptions and Catalog'!$E$62+'Assumptions and Catalog'!$F$62,IF(((D219+E219)*C219-G219)&lt;='Assumptions and Catalog'!$C$63,((D219+E219)*C219-G219)*'Assumptions and Catalog'!$H$63+'Assumptions and Catalog'!$E$63+'Assumptions and Catalog'!$F$63,IF(((D219+E219)*C219-G219)&lt;='Assumptions and Catalog'!$C$64,((D219+E219)*C219-G219)*'Assumptions and Catalog'!$H$64+'Assumptions and Catalog'!$E$64+'Assumptions and Catalog'!$F$64,IF(((D219+E219)*C219-G219)&lt;='Assumptions and Catalog'!$C$65,((D219+E219)*C219-G219)*'Assumptions and Catalog'!$H$65+'Assumptions and Catalog'!$E$65+'Assumptions and Catalog'!$F$65,"Out of range")))))))))*(1+'Assumptions and Catalog'!$C$8)^(A219-1),0)</f>
        <v>3535.64527067135</v>
      </c>
      <c r="R219" s="5" t="n">
        <f>IF(AND('Assumptions and Catalog'!$C$19&gt;0,A219&gt;='Assumptions and Catalog'!$C$19),A219-'Assumptions and Catalog'!$C$19,A219-1)</f>
        <v>4</v>
      </c>
      <c r="S219" s="5" t="n">
        <f>F219+L219-(D219+E219)*C219-J219-K219-0</f>
        <v>0</v>
      </c>
      <c r="T219" s="5"/>
      <c r="U219" s="5"/>
    </row>
    <row r="220" ht="23.100000381469727" customHeight="1">
      <c r="A220" s="5" t="n">
        <v>5</v>
      </c>
      <c r="B220" s="5" t="n">
        <v>12</v>
      </c>
      <c r="C220" s="5" t="n">
        <f>DAY(DATE('Assumptions and Catalog'!$C$24+A220-1,B220+1,0))</f>
        <v>31</v>
      </c>
      <c r="D220" s="5" t="n">
        <f>IF(ISNUMBER(Inputs!$L$5),Inputs!$L$5*Inputs!$L$6,0)</f>
        <v>40.35</v>
      </c>
      <c r="E220" s="5" t="n">
        <f>IF(ISNUMBER(Inputs!$L$5),Inputs!$L$5-D220,0)</f>
        <v>40.35</v>
      </c>
      <c r="F220" s="5" t="n">
        <f>C$51*INDEX('Solar Production'!$D$20:$D$31,B220)*C220*(1-'Assumptions and Catalog'!$C$10)^(A220-1)</f>
        <v>1124.7411549572</v>
      </c>
      <c r="G220" s="5" t="n">
        <f>MIN(F220,D220*C220)</f>
        <v>1124.7411549572</v>
      </c>
      <c r="H220" s="5" t="n">
        <f>I220/('Assumptions and Catalog'!$C$11*'Assumptions and Catalog'!$C$12)</f>
        <v>0</v>
      </c>
      <c r="I220" s="5" t="n">
        <f>0</f>
        <v>0</v>
      </c>
      <c r="J220" s="5" t="n">
        <f>MAX(F220-G220-H220,0)</f>
        <v>0</v>
      </c>
      <c r="K220" s="5" t="n">
        <f>H220-I220</f>
        <v>0</v>
      </c>
      <c r="L220" s="5" t="n">
        <f>(D220+E220)*C220-G220-I220+0+0</f>
        <v>1376.9588450428</v>
      </c>
      <c r="M220" s="5" t="n">
        <f>IF(ISNUMBER(Inputs!$L$5),(IF(Inputs!$L$9="Actual flat rate",((D220+E220)*C220)*Inputs!$L$10,IF(Inputs!$C$9="Residential",IF(((D220+E220)*C220)&lt;='Assumptions and Catalog'!$C$50,((D220+E220)*C220)*'Assumptions and Catalog'!$H$50+'Assumptions and Catalog'!$E$50+'Assumptions and Catalog'!$F$50,IF(((D220+E220)*C220)&lt;='Assumptions and Catalog'!$C$51,((D220+E220)*C220)*'Assumptions and Catalog'!$H$51+'Assumptions and Catalog'!$E$51+'Assumptions and Catalog'!$F$51,IF(((D220+E220)*C220)&lt;='Assumptions and Catalog'!$C$52,((D220+E220)*C220)*'Assumptions and Catalog'!$H$52+'Assumptions and Catalog'!$E$52+'Assumptions and Catalog'!$F$52,IF(((D220+E220)*C220)&lt;='Assumptions and Catalog'!$C$53,((D220+E220)*C220)*'Assumptions and Catalog'!$H$53+'Assumptions and Catalog'!$E$53+'Assumptions and Catalog'!$F$53,IF(((D220+E220)*C220)&lt;='Assumptions and Catalog'!$C$54,((D220+E220)*C220)*'Assumptions and Catalog'!$H$54+'Assumptions and Catalog'!$E$54+'Assumptions and Catalog'!$F$54,IF(((D220+E220)*C220)&lt;='Assumptions and Catalog'!$C$55,((D220+E220)*C220)*'Assumptions and Catalog'!$H$55+'Assumptions and Catalog'!$E$55+'Assumptions and Catalog'!$F$55,IF(((D220+E220)*C220)&lt;='Assumptions and Catalog'!$C$56,((D220+E220)*C220)*'Assumptions and Catalog'!$H$56+'Assumptions and Catalog'!$E$56+'Assumptions and Catalog'!$F$56,IF(((D220+E220)*C220)&lt;='Assumptions and Catalog'!$C$57,((D220+E220)*C220)*'Assumptions and Catalog'!$H$57+'Assumptions and Catalog'!$E$57+'Assumptions and Catalog'!$F$57,"Out of range")))))))),IF(((D220+E220)*C220)&lt;='Assumptions and Catalog'!$C$60,((D220+E220)*C220)*'Assumptions and Catalog'!$H$60+'Assumptions and Catalog'!$E$60+'Assumptions and Catalog'!$F$60,IF(((D220+E220)*C220)&lt;='Assumptions and Catalog'!$C$61,((D220+E220)*C220)*'Assumptions and Catalog'!$H$61+'Assumptions and Catalog'!$E$61+'Assumptions and Catalog'!$F$61,IF(((D220+E220)*C220)&lt;='Assumptions and Catalog'!$C$62,((D220+E220)*C220)*'Assumptions and Catalog'!$H$62+'Assumptions and Catalog'!$E$62+'Assumptions and Catalog'!$F$62,IF(((D220+E220)*C220)&lt;='Assumptions and Catalog'!$C$63,((D220+E220)*C220)*'Assumptions and Catalog'!$H$63+'Assumptions and Catalog'!$E$63+'Assumptions and Catalog'!$F$63,IF(((D220+E220)*C220)&lt;='Assumptions and Catalog'!$C$64,((D220+E220)*C220)*'Assumptions and Catalog'!$H$64+'Assumptions and Catalog'!$E$64+'Assumptions and Catalog'!$F$64,IF(((D220+E220)*C220)&lt;='Assumptions and Catalog'!$C$65,((D220+E220)*C220)*'Assumptions and Catalog'!$H$65+'Assumptions and Catalog'!$E$65+'Assumptions and Catalog'!$F$65,"Out of range")))))))))*(1+'Assumptions and Catalog'!$C$8)^(A220-1),0)</f>
        <v>7094.794</v>
      </c>
      <c r="N220" s="5" t="n">
        <f>IF(ISNUMBER(Inputs!$L$5),(IF(Inputs!$L$9="Actual flat rate",L220*Inputs!$L$10,IF(Inputs!$C$9="Residential",IF(L220&lt;='Assumptions and Catalog'!$C$50,L220*'Assumptions and Catalog'!$H$50+'Assumptions and Catalog'!$E$50+'Assumptions and Catalog'!$F$50,IF(L220&lt;='Assumptions and Catalog'!$C$51,L220*'Assumptions and Catalog'!$H$51+'Assumptions and Catalog'!$E$51+'Assumptions and Catalog'!$F$51,IF(L220&lt;='Assumptions and Catalog'!$C$52,L220*'Assumptions and Catalog'!$H$52+'Assumptions and Catalog'!$E$52+'Assumptions and Catalog'!$F$52,IF(L220&lt;='Assumptions and Catalog'!$C$53,L220*'Assumptions and Catalog'!$H$53+'Assumptions and Catalog'!$E$53+'Assumptions and Catalog'!$F$53,IF(L220&lt;='Assumptions and Catalog'!$C$54,L220*'Assumptions and Catalog'!$H$54+'Assumptions and Catalog'!$E$54+'Assumptions and Catalog'!$F$54,IF(L220&lt;='Assumptions and Catalog'!$C$55,L220*'Assumptions and Catalog'!$H$55+'Assumptions and Catalog'!$E$55+'Assumptions and Catalog'!$F$55,IF(L220&lt;='Assumptions and Catalog'!$C$56,L220*'Assumptions and Catalog'!$H$56+'Assumptions and Catalog'!$E$56+'Assumptions and Catalog'!$F$56,IF(L220&lt;='Assumptions and Catalog'!$C$57,L220*'Assumptions and Catalog'!$H$57+'Assumptions and Catalog'!$E$57+'Assumptions and Catalog'!$F$57,"Out of range")))))))),IF(L220&lt;='Assumptions and Catalog'!$C$60,L220*'Assumptions and Catalog'!$H$60+'Assumptions and Catalog'!$E$60+'Assumptions and Catalog'!$F$60,IF(L220&lt;='Assumptions and Catalog'!$C$61,L220*'Assumptions and Catalog'!$H$61+'Assumptions and Catalog'!$E$61+'Assumptions and Catalog'!$F$61,IF(L220&lt;='Assumptions and Catalog'!$C$62,L220*'Assumptions and Catalog'!$H$62+'Assumptions and Catalog'!$E$62+'Assumptions and Catalog'!$F$62,IF(L220&lt;='Assumptions and Catalog'!$C$63,L220*'Assumptions and Catalog'!$H$63+'Assumptions and Catalog'!$E$63+'Assumptions and Catalog'!$F$63,IF(L220&lt;='Assumptions and Catalog'!$C$64,L220*'Assumptions and Catalog'!$H$64+'Assumptions and Catalog'!$E$64+'Assumptions and Catalog'!$F$64,IF(L220&lt;='Assumptions and Catalog'!$C$65,L220*'Assumptions and Catalog'!$H$65+'Assumptions and Catalog'!$E$65+'Assumptions and Catalog'!$F$65,"Out of range")))))))))*(1+'Assumptions and Catalog'!$C$8)^(A220-1),0)</f>
        <v>3923.0239430207</v>
      </c>
      <c r="O220" s="5" t="n">
        <f>M220-N220</f>
        <v>3171.77005697931</v>
      </c>
      <c r="P220" s="5" t="n">
        <f>C$55*(1-J$14)*(1-'Assumptions and Catalog'!$C$23)^R220</f>
        <v>0</v>
      </c>
      <c r="Q220" s="5" t="n">
        <f>IF(ISNUMBER(Inputs!$L$5),(IF(Inputs!$L$9="Actual flat rate",((D220+E220)*C220-G220)*Inputs!$L$10,IF(Inputs!$C$9="Residential",IF(((D220+E220)*C220-G220)&lt;='Assumptions and Catalog'!$C$50,((D220+E220)*C220-G220)*'Assumptions and Catalog'!$H$50+'Assumptions and Catalog'!$E$50+'Assumptions and Catalog'!$F$50,IF(((D220+E220)*C220-G220)&lt;='Assumptions and Catalog'!$C$51,((D220+E220)*C220-G220)*'Assumptions and Catalog'!$H$51+'Assumptions and Catalog'!$E$51+'Assumptions and Catalog'!$F$51,IF(((D220+E220)*C220-G220)&lt;='Assumptions and Catalog'!$C$52,((D220+E220)*C220-G220)*'Assumptions and Catalog'!$H$52+'Assumptions and Catalog'!$E$52+'Assumptions and Catalog'!$F$52,IF(((D220+E220)*C220-G220)&lt;='Assumptions and Catalog'!$C$53,((D220+E220)*C220-G220)*'Assumptions and Catalog'!$H$53+'Assumptions and Catalog'!$E$53+'Assumptions and Catalog'!$F$53,IF(((D220+E220)*C220-G220)&lt;='Assumptions and Catalog'!$C$54,((D220+E220)*C220-G220)*'Assumptions and Catalog'!$H$54+'Assumptions and Catalog'!$E$54+'Assumptions and Catalog'!$F$54,IF(((D220+E220)*C220-G220)&lt;='Assumptions and Catalog'!$C$55,((D220+E220)*C220-G220)*'Assumptions and Catalog'!$H$55+'Assumptions and Catalog'!$E$55+'Assumptions and Catalog'!$F$55,IF(((D220+E220)*C220-G220)&lt;='Assumptions and Catalog'!$C$56,((D220+E220)*C220-G220)*'Assumptions and Catalog'!$H$56+'Assumptions and Catalog'!$E$56+'Assumptions and Catalog'!$F$56,IF(((D220+E220)*C220-G220)&lt;='Assumptions and Catalog'!$C$57,((D220+E220)*C220-G220)*'Assumptions and Catalog'!$H$57+'Assumptions and Catalog'!$E$57+'Assumptions and Catalog'!$F$57,"Out of range")))))))),IF(((D220+E220)*C220-G220)&lt;='Assumptions and Catalog'!$C$60,((D220+E220)*C220-G220)*'Assumptions and Catalog'!$H$60+'Assumptions and Catalog'!$E$60+'Assumptions and Catalog'!$F$60,IF(((D220+E220)*C220-G220)&lt;='Assumptions and Catalog'!$C$61,((D220+E220)*C220-G220)*'Assumptions and Catalog'!$H$61+'Assumptions and Catalog'!$E$61+'Assumptions and Catalog'!$F$61,IF(((D220+E220)*C220-G220)&lt;='Assumptions and Catalog'!$C$62,((D220+E220)*C220-G220)*'Assumptions and Catalog'!$H$62+'Assumptions and Catalog'!$E$62+'Assumptions and Catalog'!$F$62,IF(((D220+E220)*C220-G220)&lt;='Assumptions and Catalog'!$C$63,((D220+E220)*C220-G220)*'Assumptions and Catalog'!$H$63+'Assumptions and Catalog'!$E$63+'Assumptions and Catalog'!$F$63,IF(((D220+E220)*C220-G220)&lt;='Assumptions and Catalog'!$C$64,((D220+E220)*C220-G220)*'Assumptions and Catalog'!$H$64+'Assumptions and Catalog'!$E$64+'Assumptions and Catalog'!$F$64,IF(((D220+E220)*C220-G220)&lt;='Assumptions and Catalog'!$C$65,((D220+E220)*C220-G220)*'Assumptions and Catalog'!$H$65+'Assumptions and Catalog'!$E$65+'Assumptions and Catalog'!$F$65,"Out of range")))))))))*(1+'Assumptions and Catalog'!$C$8)^(A220-1),0)</f>
        <v>3923.0239430207</v>
      </c>
      <c r="R220" s="5" t="n">
        <f>IF(AND('Assumptions and Catalog'!$C$19&gt;0,A220&gt;='Assumptions and Catalog'!$C$19),A220-'Assumptions and Catalog'!$C$19,A220-1)</f>
        <v>4</v>
      </c>
      <c r="S220" s="5" t="n">
        <f>F220+L220-(D220+E220)*C220-J220-K220-0</f>
        <v>0</v>
      </c>
      <c r="T220" s="5"/>
      <c r="U220" s="5"/>
    </row>
    <row r="221" ht="23.100000381469727" customHeight="1">
      <c r="A221" s="5" t="n">
        <v>6</v>
      </c>
      <c r="B221" s="5" t="n">
        <v>1</v>
      </c>
      <c r="C221" s="5" t="n">
        <f>DAY(DATE('Assumptions and Catalog'!$C$24+A221-1,B221+1,0))</f>
        <v>31</v>
      </c>
      <c r="D221" s="5" t="n">
        <f>IF(ISNUMBER(Inputs!$L$5),Inputs!$L$5*Inputs!$L$6,0)</f>
        <v>40.35</v>
      </c>
      <c r="E221" s="5" t="n">
        <f>IF(ISNUMBER(Inputs!$L$5),Inputs!$L$5-D221,0)</f>
        <v>40.35</v>
      </c>
      <c r="F221" s="5" t="n">
        <f>C$51*INDEX('Solar Production'!$D$20:$D$31,B221)*C221*(1-'Assumptions and Catalog'!$C$10)^(A221-1)</f>
        <v>1126.84141930714</v>
      </c>
      <c r="G221" s="5" t="n">
        <f>MIN(F221,D221*C221)</f>
        <v>1126.84141930714</v>
      </c>
      <c r="H221" s="5" t="n">
        <f>I221/('Assumptions and Catalog'!$C$11*'Assumptions and Catalog'!$C$12)</f>
        <v>0</v>
      </c>
      <c r="I221" s="5" t="n">
        <f>0</f>
        <v>0</v>
      </c>
      <c r="J221" s="5" t="n">
        <f>MAX(F221-G221-H221,0)</f>
        <v>0</v>
      </c>
      <c r="K221" s="5" t="n">
        <f>H221-I221</f>
        <v>0</v>
      </c>
      <c r="L221" s="5" t="n">
        <f>(D221+E221)*C221-G221-I221+0+0</f>
        <v>1374.85858069286</v>
      </c>
      <c r="M221" s="5" t="n">
        <f>IF(ISNUMBER(Inputs!$L$5),(IF(Inputs!$L$9="Actual flat rate",((D221+E221)*C221)*Inputs!$L$10,IF(Inputs!$C$9="Residential",IF(((D221+E221)*C221)&lt;='Assumptions and Catalog'!$C$50,((D221+E221)*C221)*'Assumptions and Catalog'!$H$50+'Assumptions and Catalog'!$E$50+'Assumptions and Catalog'!$F$50,IF(((D221+E221)*C221)&lt;='Assumptions and Catalog'!$C$51,((D221+E221)*C221)*'Assumptions and Catalog'!$H$51+'Assumptions and Catalog'!$E$51+'Assumptions and Catalog'!$F$51,IF(((D221+E221)*C221)&lt;='Assumptions and Catalog'!$C$52,((D221+E221)*C221)*'Assumptions and Catalog'!$H$52+'Assumptions and Catalog'!$E$52+'Assumptions and Catalog'!$F$52,IF(((D221+E221)*C221)&lt;='Assumptions and Catalog'!$C$53,((D221+E221)*C221)*'Assumptions and Catalog'!$H$53+'Assumptions and Catalog'!$E$53+'Assumptions and Catalog'!$F$53,IF(((D221+E221)*C221)&lt;='Assumptions and Catalog'!$C$54,((D221+E221)*C221)*'Assumptions and Catalog'!$H$54+'Assumptions and Catalog'!$E$54+'Assumptions and Catalog'!$F$54,IF(((D221+E221)*C221)&lt;='Assumptions and Catalog'!$C$55,((D221+E221)*C221)*'Assumptions and Catalog'!$H$55+'Assumptions and Catalog'!$E$55+'Assumptions and Catalog'!$F$55,IF(((D221+E221)*C221)&lt;='Assumptions and Catalog'!$C$56,((D221+E221)*C221)*'Assumptions and Catalog'!$H$56+'Assumptions and Catalog'!$E$56+'Assumptions and Catalog'!$F$56,IF(((D221+E221)*C221)&lt;='Assumptions and Catalog'!$C$57,((D221+E221)*C221)*'Assumptions and Catalog'!$H$57+'Assumptions and Catalog'!$E$57+'Assumptions and Catalog'!$F$57,"Out of range")))))))),IF(((D221+E221)*C221)&lt;='Assumptions and Catalog'!$C$60,((D221+E221)*C221)*'Assumptions and Catalog'!$H$60+'Assumptions and Catalog'!$E$60+'Assumptions and Catalog'!$F$60,IF(((D221+E221)*C221)&lt;='Assumptions and Catalog'!$C$61,((D221+E221)*C221)*'Assumptions and Catalog'!$H$61+'Assumptions and Catalog'!$E$61+'Assumptions and Catalog'!$F$61,IF(((D221+E221)*C221)&lt;='Assumptions and Catalog'!$C$62,((D221+E221)*C221)*'Assumptions and Catalog'!$H$62+'Assumptions and Catalog'!$E$62+'Assumptions and Catalog'!$F$62,IF(((D221+E221)*C221)&lt;='Assumptions and Catalog'!$C$63,((D221+E221)*C221)*'Assumptions and Catalog'!$H$63+'Assumptions and Catalog'!$E$63+'Assumptions and Catalog'!$F$63,IF(((D221+E221)*C221)&lt;='Assumptions and Catalog'!$C$64,((D221+E221)*C221)*'Assumptions and Catalog'!$H$64+'Assumptions and Catalog'!$E$64+'Assumptions and Catalog'!$F$64,IF(((D221+E221)*C221)&lt;='Assumptions and Catalog'!$C$65,((D221+E221)*C221)*'Assumptions and Catalog'!$H$65+'Assumptions and Catalog'!$E$65+'Assumptions and Catalog'!$F$65,"Out of range")))))))))*(1+'Assumptions and Catalog'!$C$8)^(A221-1),0)</f>
        <v>7094.794</v>
      </c>
      <c r="N221" s="5" t="n">
        <f>IF(ISNUMBER(Inputs!$L$5),(IF(Inputs!$L$9="Actual flat rate",L221*Inputs!$L$10,IF(Inputs!$C$9="Residential",IF(L221&lt;='Assumptions and Catalog'!$C$50,L221*'Assumptions and Catalog'!$H$50+'Assumptions and Catalog'!$E$50+'Assumptions and Catalog'!$F$50,IF(L221&lt;='Assumptions and Catalog'!$C$51,L221*'Assumptions and Catalog'!$H$51+'Assumptions and Catalog'!$E$51+'Assumptions and Catalog'!$F$51,IF(L221&lt;='Assumptions and Catalog'!$C$52,L221*'Assumptions and Catalog'!$H$52+'Assumptions and Catalog'!$E$52+'Assumptions and Catalog'!$F$52,IF(L221&lt;='Assumptions and Catalog'!$C$53,L221*'Assumptions and Catalog'!$H$53+'Assumptions and Catalog'!$E$53+'Assumptions and Catalog'!$F$53,IF(L221&lt;='Assumptions and Catalog'!$C$54,L221*'Assumptions and Catalog'!$H$54+'Assumptions and Catalog'!$E$54+'Assumptions and Catalog'!$F$54,IF(L221&lt;='Assumptions and Catalog'!$C$55,L221*'Assumptions and Catalog'!$H$55+'Assumptions and Catalog'!$E$55+'Assumptions and Catalog'!$F$55,IF(L221&lt;='Assumptions and Catalog'!$C$56,L221*'Assumptions and Catalog'!$H$56+'Assumptions and Catalog'!$E$56+'Assumptions and Catalog'!$F$56,IF(L221&lt;='Assumptions and Catalog'!$C$57,L221*'Assumptions and Catalog'!$H$57+'Assumptions and Catalog'!$E$57+'Assumptions and Catalog'!$F$57,"Out of range")))))))),IF(L221&lt;='Assumptions and Catalog'!$C$60,L221*'Assumptions and Catalog'!$H$60+'Assumptions and Catalog'!$E$60+'Assumptions and Catalog'!$F$60,IF(L221&lt;='Assumptions and Catalog'!$C$61,L221*'Assumptions and Catalog'!$H$61+'Assumptions and Catalog'!$E$61+'Assumptions and Catalog'!$F$61,IF(L221&lt;='Assumptions and Catalog'!$C$62,L221*'Assumptions and Catalog'!$H$62+'Assumptions and Catalog'!$E$62+'Assumptions and Catalog'!$F$62,IF(L221&lt;='Assumptions and Catalog'!$C$63,L221*'Assumptions and Catalog'!$H$63+'Assumptions and Catalog'!$E$63+'Assumptions and Catalog'!$F$63,IF(L221&lt;='Assumptions and Catalog'!$C$64,L221*'Assumptions and Catalog'!$H$64+'Assumptions and Catalog'!$E$64+'Assumptions and Catalog'!$F$64,IF(L221&lt;='Assumptions and Catalog'!$C$65,L221*'Assumptions and Catalog'!$H$65+'Assumptions and Catalog'!$E$65+'Assumptions and Catalog'!$F$65,"Out of range")))))))))*(1+'Assumptions and Catalog'!$C$8)^(A221-1),0)</f>
        <v>3917.10119755387</v>
      </c>
      <c r="O221" s="5" t="n">
        <f>M221-N221</f>
        <v>3177.69280244613</v>
      </c>
      <c r="P221" s="5" t="n">
        <f>C$55*(1-J$14)*(1-'Assumptions and Catalog'!$C$23)^R221</f>
        <v>0</v>
      </c>
      <c r="Q221" s="5" t="n">
        <f>IF(ISNUMBER(Inputs!$L$5),(IF(Inputs!$L$9="Actual flat rate",((D221+E221)*C221-G221)*Inputs!$L$10,IF(Inputs!$C$9="Residential",IF(((D221+E221)*C221-G221)&lt;='Assumptions and Catalog'!$C$50,((D221+E221)*C221-G221)*'Assumptions and Catalog'!$H$50+'Assumptions and Catalog'!$E$50+'Assumptions and Catalog'!$F$50,IF(((D221+E221)*C221-G221)&lt;='Assumptions and Catalog'!$C$51,((D221+E221)*C221-G221)*'Assumptions and Catalog'!$H$51+'Assumptions and Catalog'!$E$51+'Assumptions and Catalog'!$F$51,IF(((D221+E221)*C221-G221)&lt;='Assumptions and Catalog'!$C$52,((D221+E221)*C221-G221)*'Assumptions and Catalog'!$H$52+'Assumptions and Catalog'!$E$52+'Assumptions and Catalog'!$F$52,IF(((D221+E221)*C221-G221)&lt;='Assumptions and Catalog'!$C$53,((D221+E221)*C221-G221)*'Assumptions and Catalog'!$H$53+'Assumptions and Catalog'!$E$53+'Assumptions and Catalog'!$F$53,IF(((D221+E221)*C221-G221)&lt;='Assumptions and Catalog'!$C$54,((D221+E221)*C221-G221)*'Assumptions and Catalog'!$H$54+'Assumptions and Catalog'!$E$54+'Assumptions and Catalog'!$F$54,IF(((D221+E221)*C221-G221)&lt;='Assumptions and Catalog'!$C$55,((D221+E221)*C221-G221)*'Assumptions and Catalog'!$H$55+'Assumptions and Catalog'!$E$55+'Assumptions and Catalog'!$F$55,IF(((D221+E221)*C221-G221)&lt;='Assumptions and Catalog'!$C$56,((D221+E221)*C221-G221)*'Assumptions and Catalog'!$H$56+'Assumptions and Catalog'!$E$56+'Assumptions and Catalog'!$F$56,IF(((D221+E221)*C221-G221)&lt;='Assumptions and Catalog'!$C$57,((D221+E221)*C221-G221)*'Assumptions and Catalog'!$H$57+'Assumptions and Catalog'!$E$57+'Assumptions and Catalog'!$F$57,"Out of range")))))))),IF(((D221+E221)*C221-G221)&lt;='Assumptions and Catalog'!$C$60,((D221+E221)*C221-G221)*'Assumptions and Catalog'!$H$60+'Assumptions and Catalog'!$E$60+'Assumptions and Catalog'!$F$60,IF(((D221+E221)*C221-G221)&lt;='Assumptions and Catalog'!$C$61,((D221+E221)*C221-G221)*'Assumptions and Catalog'!$H$61+'Assumptions and Catalog'!$E$61+'Assumptions and Catalog'!$F$61,IF(((D221+E221)*C221-G221)&lt;='Assumptions and Catalog'!$C$62,((D221+E221)*C221-G221)*'Assumptions and Catalog'!$H$62+'Assumptions and Catalog'!$E$62+'Assumptions and Catalog'!$F$62,IF(((D221+E221)*C221-G221)&lt;='Assumptions and Catalog'!$C$63,((D221+E221)*C221-G221)*'Assumptions and Catalog'!$H$63+'Assumptions and Catalog'!$E$63+'Assumptions and Catalog'!$F$63,IF(((D221+E221)*C221-G221)&lt;='Assumptions and Catalog'!$C$64,((D221+E221)*C221-G221)*'Assumptions and Catalog'!$H$64+'Assumptions and Catalog'!$E$64+'Assumptions and Catalog'!$F$64,IF(((D221+E221)*C221-G221)&lt;='Assumptions and Catalog'!$C$65,((D221+E221)*C221-G221)*'Assumptions and Catalog'!$H$65+'Assumptions and Catalog'!$E$65+'Assumptions and Catalog'!$F$65,"Out of range")))))))))*(1+'Assumptions and Catalog'!$C$8)^(A221-1),0)</f>
        <v>3917.10119755387</v>
      </c>
      <c r="R221" s="5" t="n">
        <f>IF(AND('Assumptions and Catalog'!$C$19&gt;0,A221&gt;='Assumptions and Catalog'!$C$19),A221-'Assumptions and Catalog'!$C$19,A221-1)</f>
        <v>5</v>
      </c>
      <c r="S221" s="5" t="n">
        <f>F221+L221-(D221+E221)*C221-J221-K221-0</f>
        <v>0</v>
      </c>
      <c r="T221" s="5"/>
      <c r="U221" s="5"/>
    </row>
    <row r="222" ht="23.100000381469727" customHeight="1">
      <c r="A222" s="5" t="n">
        <v>6</v>
      </c>
      <c r="B222" s="5" t="n">
        <v>2</v>
      </c>
      <c r="C222" s="5" t="n">
        <f>DAY(DATE('Assumptions and Catalog'!$C$24+A222-1,B222+1,0))</f>
        <v>29</v>
      </c>
      <c r="D222" s="5" t="n">
        <f>IF(ISNUMBER(Inputs!$L$5),Inputs!$L$5*Inputs!$L$6,0)</f>
        <v>40.35</v>
      </c>
      <c r="E222" s="5" t="n">
        <f>IF(ISNUMBER(Inputs!$L$5),Inputs!$L$5-D222,0)</f>
        <v>40.35</v>
      </c>
      <c r="F222" s="5" t="n">
        <f>C$51*INDEX('Solar Production'!$D$20:$D$31,B222)*C222*(1-'Assumptions and Catalog'!$C$10)^(A222-1)</f>
        <v>1150.64166852083</v>
      </c>
      <c r="G222" s="5" t="n">
        <f>MIN(F222,D222*C222)</f>
        <v>1150.64166852083</v>
      </c>
      <c r="H222" s="5" t="n">
        <f>I222/('Assumptions and Catalog'!$C$11*'Assumptions and Catalog'!$C$12)</f>
        <v>0</v>
      </c>
      <c r="I222" s="5" t="n">
        <f>0</f>
        <v>0</v>
      </c>
      <c r="J222" s="5" t="n">
        <f>MAX(F222-G222-H222,0)</f>
        <v>0</v>
      </c>
      <c r="K222" s="5" t="n">
        <f>H222-I222</f>
        <v>0</v>
      </c>
      <c r="L222" s="5" t="n">
        <f>(D222+E222)*C222-G222-I222+0+0</f>
        <v>1189.65833147917</v>
      </c>
      <c r="M222" s="5" t="n">
        <f>IF(ISNUMBER(Inputs!$L$5),(IF(Inputs!$L$9="Actual flat rate",((D222+E222)*C222)*Inputs!$L$10,IF(Inputs!$C$9="Residential",IF(((D222+E222)*C222)&lt;='Assumptions and Catalog'!$C$50,((D222+E222)*C222)*'Assumptions and Catalog'!$H$50+'Assumptions and Catalog'!$E$50+'Assumptions and Catalog'!$F$50,IF(((D222+E222)*C222)&lt;='Assumptions and Catalog'!$C$51,((D222+E222)*C222)*'Assumptions and Catalog'!$H$51+'Assumptions and Catalog'!$E$51+'Assumptions and Catalog'!$F$51,IF(((D222+E222)*C222)&lt;='Assumptions and Catalog'!$C$52,((D222+E222)*C222)*'Assumptions and Catalog'!$H$52+'Assumptions and Catalog'!$E$52+'Assumptions and Catalog'!$F$52,IF(((D222+E222)*C222)&lt;='Assumptions and Catalog'!$C$53,((D222+E222)*C222)*'Assumptions and Catalog'!$H$53+'Assumptions and Catalog'!$E$53+'Assumptions and Catalog'!$F$53,IF(((D222+E222)*C222)&lt;='Assumptions and Catalog'!$C$54,((D222+E222)*C222)*'Assumptions and Catalog'!$H$54+'Assumptions and Catalog'!$E$54+'Assumptions and Catalog'!$F$54,IF(((D222+E222)*C222)&lt;='Assumptions and Catalog'!$C$55,((D222+E222)*C222)*'Assumptions and Catalog'!$H$55+'Assumptions and Catalog'!$E$55+'Assumptions and Catalog'!$F$55,IF(((D222+E222)*C222)&lt;='Assumptions and Catalog'!$C$56,((D222+E222)*C222)*'Assumptions and Catalog'!$H$56+'Assumptions and Catalog'!$E$56+'Assumptions and Catalog'!$F$56,IF(((D222+E222)*C222)&lt;='Assumptions and Catalog'!$C$57,((D222+E222)*C222)*'Assumptions and Catalog'!$H$57+'Assumptions and Catalog'!$E$57+'Assumptions and Catalog'!$F$57,"Out of range")))))))),IF(((D222+E222)*C222)&lt;='Assumptions and Catalog'!$C$60,((D222+E222)*C222)*'Assumptions and Catalog'!$H$60+'Assumptions and Catalog'!$E$60+'Assumptions and Catalog'!$F$60,IF(((D222+E222)*C222)&lt;='Assumptions and Catalog'!$C$61,((D222+E222)*C222)*'Assumptions and Catalog'!$H$61+'Assumptions and Catalog'!$E$61+'Assumptions and Catalog'!$F$61,IF(((D222+E222)*C222)&lt;='Assumptions and Catalog'!$C$62,((D222+E222)*C222)*'Assumptions and Catalog'!$H$62+'Assumptions and Catalog'!$E$62+'Assumptions and Catalog'!$F$62,IF(((D222+E222)*C222)&lt;='Assumptions and Catalog'!$C$63,((D222+E222)*C222)*'Assumptions and Catalog'!$H$63+'Assumptions and Catalog'!$E$63+'Assumptions and Catalog'!$F$63,IF(((D222+E222)*C222)&lt;='Assumptions and Catalog'!$C$64,((D222+E222)*C222)*'Assumptions and Catalog'!$H$64+'Assumptions and Catalog'!$E$64+'Assumptions and Catalog'!$F$64,IF(((D222+E222)*C222)&lt;='Assumptions and Catalog'!$C$65,((D222+E222)*C222)*'Assumptions and Catalog'!$H$65+'Assumptions and Catalog'!$E$65+'Assumptions and Catalog'!$F$65,"Out of range")))))))))*(1+'Assumptions and Catalog'!$C$8)^(A222-1),0)</f>
        <v>6639.646</v>
      </c>
      <c r="N222" s="5" t="n">
        <f>IF(ISNUMBER(Inputs!$L$5),(IF(Inputs!$L$9="Actual flat rate",L222*Inputs!$L$10,IF(Inputs!$C$9="Residential",IF(L222&lt;='Assumptions and Catalog'!$C$50,L222*'Assumptions and Catalog'!$H$50+'Assumptions and Catalog'!$E$50+'Assumptions and Catalog'!$F$50,IF(L222&lt;='Assumptions and Catalog'!$C$51,L222*'Assumptions and Catalog'!$H$51+'Assumptions and Catalog'!$E$51+'Assumptions and Catalog'!$F$51,IF(L222&lt;='Assumptions and Catalog'!$C$52,L222*'Assumptions and Catalog'!$H$52+'Assumptions and Catalog'!$E$52+'Assumptions and Catalog'!$F$52,IF(L222&lt;='Assumptions and Catalog'!$C$53,L222*'Assumptions and Catalog'!$H$53+'Assumptions and Catalog'!$E$53+'Assumptions and Catalog'!$F$53,IF(L222&lt;='Assumptions and Catalog'!$C$54,L222*'Assumptions and Catalog'!$H$54+'Assumptions and Catalog'!$E$54+'Assumptions and Catalog'!$F$54,IF(L222&lt;='Assumptions and Catalog'!$C$55,L222*'Assumptions and Catalog'!$H$55+'Assumptions and Catalog'!$E$55+'Assumptions and Catalog'!$F$55,IF(L222&lt;='Assumptions and Catalog'!$C$56,L222*'Assumptions and Catalog'!$H$56+'Assumptions and Catalog'!$E$56+'Assumptions and Catalog'!$F$56,IF(L222&lt;='Assumptions and Catalog'!$C$57,L222*'Assumptions and Catalog'!$H$57+'Assumptions and Catalog'!$E$57+'Assumptions and Catalog'!$F$57,"Out of range")))))))),IF(L222&lt;='Assumptions and Catalog'!$C$60,L222*'Assumptions and Catalog'!$H$60+'Assumptions and Catalog'!$E$60+'Assumptions and Catalog'!$F$60,IF(L222&lt;='Assumptions and Catalog'!$C$61,L222*'Assumptions and Catalog'!$H$61+'Assumptions and Catalog'!$E$61+'Assumptions and Catalog'!$F$61,IF(L222&lt;='Assumptions and Catalog'!$C$62,L222*'Assumptions and Catalog'!$H$62+'Assumptions and Catalog'!$E$62+'Assumptions and Catalog'!$F$62,IF(L222&lt;='Assumptions and Catalog'!$C$63,L222*'Assumptions and Catalog'!$H$63+'Assumptions and Catalog'!$E$63+'Assumptions and Catalog'!$F$63,IF(L222&lt;='Assumptions and Catalog'!$C$64,L222*'Assumptions and Catalog'!$H$64+'Assumptions and Catalog'!$E$64+'Assumptions and Catalog'!$F$64,IF(L222&lt;='Assumptions and Catalog'!$C$65,L222*'Assumptions and Catalog'!$H$65+'Assumptions and Catalog'!$E$65+'Assumptions and Catalog'!$F$65,"Out of range")))))))))*(1+'Assumptions and Catalog'!$C$8)^(A222-1),0)</f>
        <v>3394.83649477127</v>
      </c>
      <c r="O222" s="5" t="n">
        <f>M222-N222</f>
        <v>3244.80950522873</v>
      </c>
      <c r="P222" s="5" t="n">
        <f>C$55*(1-J$14)*(1-'Assumptions and Catalog'!$C$23)^R222</f>
        <v>0</v>
      </c>
      <c r="Q222" s="5" t="n">
        <f>IF(ISNUMBER(Inputs!$L$5),(IF(Inputs!$L$9="Actual flat rate",((D222+E222)*C222-G222)*Inputs!$L$10,IF(Inputs!$C$9="Residential",IF(((D222+E222)*C222-G222)&lt;='Assumptions and Catalog'!$C$50,((D222+E222)*C222-G222)*'Assumptions and Catalog'!$H$50+'Assumptions and Catalog'!$E$50+'Assumptions and Catalog'!$F$50,IF(((D222+E222)*C222-G222)&lt;='Assumptions and Catalog'!$C$51,((D222+E222)*C222-G222)*'Assumptions and Catalog'!$H$51+'Assumptions and Catalog'!$E$51+'Assumptions and Catalog'!$F$51,IF(((D222+E222)*C222-G222)&lt;='Assumptions and Catalog'!$C$52,((D222+E222)*C222-G222)*'Assumptions and Catalog'!$H$52+'Assumptions and Catalog'!$E$52+'Assumptions and Catalog'!$F$52,IF(((D222+E222)*C222-G222)&lt;='Assumptions and Catalog'!$C$53,((D222+E222)*C222-G222)*'Assumptions and Catalog'!$H$53+'Assumptions and Catalog'!$E$53+'Assumptions and Catalog'!$F$53,IF(((D222+E222)*C222-G222)&lt;='Assumptions and Catalog'!$C$54,((D222+E222)*C222-G222)*'Assumptions and Catalog'!$H$54+'Assumptions and Catalog'!$E$54+'Assumptions and Catalog'!$F$54,IF(((D222+E222)*C222-G222)&lt;='Assumptions and Catalog'!$C$55,((D222+E222)*C222-G222)*'Assumptions and Catalog'!$H$55+'Assumptions and Catalog'!$E$55+'Assumptions and Catalog'!$F$55,IF(((D222+E222)*C222-G222)&lt;='Assumptions and Catalog'!$C$56,((D222+E222)*C222-G222)*'Assumptions and Catalog'!$H$56+'Assumptions and Catalog'!$E$56+'Assumptions and Catalog'!$F$56,IF(((D222+E222)*C222-G222)&lt;='Assumptions and Catalog'!$C$57,((D222+E222)*C222-G222)*'Assumptions and Catalog'!$H$57+'Assumptions and Catalog'!$E$57+'Assumptions and Catalog'!$F$57,"Out of range")))))))),IF(((D222+E222)*C222-G222)&lt;='Assumptions and Catalog'!$C$60,((D222+E222)*C222-G222)*'Assumptions and Catalog'!$H$60+'Assumptions and Catalog'!$E$60+'Assumptions and Catalog'!$F$60,IF(((D222+E222)*C222-G222)&lt;='Assumptions and Catalog'!$C$61,((D222+E222)*C222-G222)*'Assumptions and Catalog'!$H$61+'Assumptions and Catalog'!$E$61+'Assumptions and Catalog'!$F$61,IF(((D222+E222)*C222-G222)&lt;='Assumptions and Catalog'!$C$62,((D222+E222)*C222-G222)*'Assumptions and Catalog'!$H$62+'Assumptions and Catalog'!$E$62+'Assumptions and Catalog'!$F$62,IF(((D222+E222)*C222-G222)&lt;='Assumptions and Catalog'!$C$63,((D222+E222)*C222-G222)*'Assumptions and Catalog'!$H$63+'Assumptions and Catalog'!$E$63+'Assumptions and Catalog'!$F$63,IF(((D222+E222)*C222-G222)&lt;='Assumptions and Catalog'!$C$64,((D222+E222)*C222-G222)*'Assumptions and Catalog'!$H$64+'Assumptions and Catalog'!$E$64+'Assumptions and Catalog'!$F$64,IF(((D222+E222)*C222-G222)&lt;='Assumptions and Catalog'!$C$65,((D222+E222)*C222-G222)*'Assumptions and Catalog'!$H$65+'Assumptions and Catalog'!$E$65+'Assumptions and Catalog'!$F$65,"Out of range")))))))))*(1+'Assumptions and Catalog'!$C$8)^(A222-1),0)</f>
        <v>3394.83649477127</v>
      </c>
      <c r="R222" s="5" t="n">
        <f>IF(AND('Assumptions and Catalog'!$C$19&gt;0,A222&gt;='Assumptions and Catalog'!$C$19),A222-'Assumptions and Catalog'!$C$19,A222-1)</f>
        <v>5</v>
      </c>
      <c r="S222" s="5" t="n">
        <f>F222+L222-(D222+E222)*C222-J222-K222-0</f>
        <v>0</v>
      </c>
      <c r="T222" s="5"/>
      <c r="U222" s="5"/>
    </row>
    <row r="223" ht="23.100000381469727" customHeight="1">
      <c r="A223" s="5" t="n">
        <v>6</v>
      </c>
      <c r="B223" s="5" t="n">
        <v>3</v>
      </c>
      <c r="C223" s="5" t="n">
        <f>DAY(DATE('Assumptions and Catalog'!$C$24+A223-1,B223+1,0))</f>
        <v>31</v>
      </c>
      <c r="D223" s="5" t="n">
        <f>IF(ISNUMBER(Inputs!$L$5),Inputs!$L$5*Inputs!$L$6,0)</f>
        <v>40.35</v>
      </c>
      <c r="E223" s="5" t="n">
        <f>IF(ISNUMBER(Inputs!$L$5),Inputs!$L$5-D223,0)</f>
        <v>40.35</v>
      </c>
      <c r="F223" s="5" t="n">
        <f>C$51*INDEX('Solar Production'!$D$20:$D$31,B223)*C223*(1-'Assumptions and Catalog'!$C$10)^(A223-1)</f>
        <v>1382.24736476472</v>
      </c>
      <c r="G223" s="5" t="n">
        <f>MIN(F223,D223*C223)</f>
        <v>1250.85</v>
      </c>
      <c r="H223" s="5" t="n">
        <f>I223/('Assumptions and Catalog'!$C$11*'Assumptions and Catalog'!$C$12)</f>
        <v>0</v>
      </c>
      <c r="I223" s="5" t="n">
        <f>0</f>
        <v>0</v>
      </c>
      <c r="J223" s="5" t="n">
        <f>MAX(F223-G223-H223,0)</f>
        <v>131.397364764721</v>
      </c>
      <c r="K223" s="5" t="n">
        <f>H223-I223</f>
        <v>0</v>
      </c>
      <c r="L223" s="5" t="n">
        <f>(D223+E223)*C223-G223-I223+0+0</f>
        <v>1250.85</v>
      </c>
      <c r="M223" s="5" t="n">
        <f>IF(ISNUMBER(Inputs!$L$5),(IF(Inputs!$L$9="Actual flat rate",((D223+E223)*C223)*Inputs!$L$10,IF(Inputs!$C$9="Residential",IF(((D223+E223)*C223)&lt;='Assumptions and Catalog'!$C$50,((D223+E223)*C223)*'Assumptions and Catalog'!$H$50+'Assumptions and Catalog'!$E$50+'Assumptions and Catalog'!$F$50,IF(((D223+E223)*C223)&lt;='Assumptions and Catalog'!$C$51,((D223+E223)*C223)*'Assumptions and Catalog'!$H$51+'Assumptions and Catalog'!$E$51+'Assumptions and Catalog'!$F$51,IF(((D223+E223)*C223)&lt;='Assumptions and Catalog'!$C$52,((D223+E223)*C223)*'Assumptions and Catalog'!$H$52+'Assumptions and Catalog'!$E$52+'Assumptions and Catalog'!$F$52,IF(((D223+E223)*C223)&lt;='Assumptions and Catalog'!$C$53,((D223+E223)*C223)*'Assumptions and Catalog'!$H$53+'Assumptions and Catalog'!$E$53+'Assumptions and Catalog'!$F$53,IF(((D223+E223)*C223)&lt;='Assumptions and Catalog'!$C$54,((D223+E223)*C223)*'Assumptions and Catalog'!$H$54+'Assumptions and Catalog'!$E$54+'Assumptions and Catalog'!$F$54,IF(((D223+E223)*C223)&lt;='Assumptions and Catalog'!$C$55,((D223+E223)*C223)*'Assumptions and Catalog'!$H$55+'Assumptions and Catalog'!$E$55+'Assumptions and Catalog'!$F$55,IF(((D223+E223)*C223)&lt;='Assumptions and Catalog'!$C$56,((D223+E223)*C223)*'Assumptions and Catalog'!$H$56+'Assumptions and Catalog'!$E$56+'Assumptions and Catalog'!$F$56,IF(((D223+E223)*C223)&lt;='Assumptions and Catalog'!$C$57,((D223+E223)*C223)*'Assumptions and Catalog'!$H$57+'Assumptions and Catalog'!$E$57+'Assumptions and Catalog'!$F$57,"Out of range")))))))),IF(((D223+E223)*C223)&lt;='Assumptions and Catalog'!$C$60,((D223+E223)*C223)*'Assumptions and Catalog'!$H$60+'Assumptions and Catalog'!$E$60+'Assumptions and Catalog'!$F$60,IF(((D223+E223)*C223)&lt;='Assumptions and Catalog'!$C$61,((D223+E223)*C223)*'Assumptions and Catalog'!$H$61+'Assumptions and Catalog'!$E$61+'Assumptions and Catalog'!$F$61,IF(((D223+E223)*C223)&lt;='Assumptions and Catalog'!$C$62,((D223+E223)*C223)*'Assumptions and Catalog'!$H$62+'Assumptions and Catalog'!$E$62+'Assumptions and Catalog'!$F$62,IF(((D223+E223)*C223)&lt;='Assumptions and Catalog'!$C$63,((D223+E223)*C223)*'Assumptions and Catalog'!$H$63+'Assumptions and Catalog'!$E$63+'Assumptions and Catalog'!$F$63,IF(((D223+E223)*C223)&lt;='Assumptions and Catalog'!$C$64,((D223+E223)*C223)*'Assumptions and Catalog'!$H$64+'Assumptions and Catalog'!$E$64+'Assumptions and Catalog'!$F$64,IF(((D223+E223)*C223)&lt;='Assumptions and Catalog'!$C$65,((D223+E223)*C223)*'Assumptions and Catalog'!$H$65+'Assumptions and Catalog'!$E$65+'Assumptions and Catalog'!$F$65,"Out of range")))))))))*(1+'Assumptions and Catalog'!$C$8)^(A223-1),0)</f>
        <v>7094.794</v>
      </c>
      <c r="N223" s="5" t="n">
        <f>IF(ISNUMBER(Inputs!$L$5),(IF(Inputs!$L$9="Actual flat rate",L223*Inputs!$L$10,IF(Inputs!$C$9="Residential",IF(L223&lt;='Assumptions and Catalog'!$C$50,L223*'Assumptions and Catalog'!$H$50+'Assumptions and Catalog'!$E$50+'Assumptions and Catalog'!$F$50,IF(L223&lt;='Assumptions and Catalog'!$C$51,L223*'Assumptions and Catalog'!$H$51+'Assumptions and Catalog'!$E$51+'Assumptions and Catalog'!$F$51,IF(L223&lt;='Assumptions and Catalog'!$C$52,L223*'Assumptions and Catalog'!$H$52+'Assumptions and Catalog'!$E$52+'Assumptions and Catalog'!$F$52,IF(L223&lt;='Assumptions and Catalog'!$C$53,L223*'Assumptions and Catalog'!$H$53+'Assumptions and Catalog'!$E$53+'Assumptions and Catalog'!$F$53,IF(L223&lt;='Assumptions and Catalog'!$C$54,L223*'Assumptions and Catalog'!$H$54+'Assumptions and Catalog'!$E$54+'Assumptions and Catalog'!$F$54,IF(L223&lt;='Assumptions and Catalog'!$C$55,L223*'Assumptions and Catalog'!$H$55+'Assumptions and Catalog'!$E$55+'Assumptions and Catalog'!$F$55,IF(L223&lt;='Assumptions and Catalog'!$C$56,L223*'Assumptions and Catalog'!$H$56+'Assumptions and Catalog'!$E$56+'Assumptions and Catalog'!$F$56,IF(L223&lt;='Assumptions and Catalog'!$C$57,L223*'Assumptions and Catalog'!$H$57+'Assumptions and Catalog'!$E$57+'Assumptions and Catalog'!$F$57,"Out of range")))))))),IF(L223&lt;='Assumptions and Catalog'!$C$60,L223*'Assumptions and Catalog'!$H$60+'Assumptions and Catalog'!$E$60+'Assumptions and Catalog'!$F$60,IF(L223&lt;='Assumptions and Catalog'!$C$61,L223*'Assumptions and Catalog'!$H$61+'Assumptions and Catalog'!$E$61+'Assumptions and Catalog'!$F$61,IF(L223&lt;='Assumptions and Catalog'!$C$62,L223*'Assumptions and Catalog'!$H$62+'Assumptions and Catalog'!$E$62+'Assumptions and Catalog'!$F$62,IF(L223&lt;='Assumptions and Catalog'!$C$63,L223*'Assumptions and Catalog'!$H$63+'Assumptions and Catalog'!$E$63+'Assumptions and Catalog'!$F$63,IF(L223&lt;='Assumptions and Catalog'!$C$64,L223*'Assumptions and Catalog'!$H$64+'Assumptions and Catalog'!$E$64+'Assumptions and Catalog'!$F$64,IF(L223&lt;='Assumptions and Catalog'!$C$65,L223*'Assumptions and Catalog'!$H$65+'Assumptions and Catalog'!$E$65+'Assumptions and Catalog'!$F$65,"Out of range")))))))))*(1+'Assumptions and Catalog'!$C$8)^(A223-1),0)</f>
        <v>3567.397</v>
      </c>
      <c r="O223" s="5" t="n">
        <f>M223-N223</f>
        <v>3527.397</v>
      </c>
      <c r="P223" s="5" t="n">
        <f>C$55*(1-J$14)*(1-'Assumptions and Catalog'!$C$23)^R223</f>
        <v>0</v>
      </c>
      <c r="Q223" s="5" t="n">
        <f>IF(ISNUMBER(Inputs!$L$5),(IF(Inputs!$L$9="Actual flat rate",((D223+E223)*C223-G223)*Inputs!$L$10,IF(Inputs!$C$9="Residential",IF(((D223+E223)*C223-G223)&lt;='Assumptions and Catalog'!$C$50,((D223+E223)*C223-G223)*'Assumptions and Catalog'!$H$50+'Assumptions and Catalog'!$E$50+'Assumptions and Catalog'!$F$50,IF(((D223+E223)*C223-G223)&lt;='Assumptions and Catalog'!$C$51,((D223+E223)*C223-G223)*'Assumptions and Catalog'!$H$51+'Assumptions and Catalog'!$E$51+'Assumptions and Catalog'!$F$51,IF(((D223+E223)*C223-G223)&lt;='Assumptions and Catalog'!$C$52,((D223+E223)*C223-G223)*'Assumptions and Catalog'!$H$52+'Assumptions and Catalog'!$E$52+'Assumptions and Catalog'!$F$52,IF(((D223+E223)*C223-G223)&lt;='Assumptions and Catalog'!$C$53,((D223+E223)*C223-G223)*'Assumptions and Catalog'!$H$53+'Assumptions and Catalog'!$E$53+'Assumptions and Catalog'!$F$53,IF(((D223+E223)*C223-G223)&lt;='Assumptions and Catalog'!$C$54,((D223+E223)*C223-G223)*'Assumptions and Catalog'!$H$54+'Assumptions and Catalog'!$E$54+'Assumptions and Catalog'!$F$54,IF(((D223+E223)*C223-G223)&lt;='Assumptions and Catalog'!$C$55,((D223+E223)*C223-G223)*'Assumptions and Catalog'!$H$55+'Assumptions and Catalog'!$E$55+'Assumptions and Catalog'!$F$55,IF(((D223+E223)*C223-G223)&lt;='Assumptions and Catalog'!$C$56,((D223+E223)*C223-G223)*'Assumptions and Catalog'!$H$56+'Assumptions and Catalog'!$E$56+'Assumptions and Catalog'!$F$56,IF(((D223+E223)*C223-G223)&lt;='Assumptions and Catalog'!$C$57,((D223+E223)*C223-G223)*'Assumptions and Catalog'!$H$57+'Assumptions and Catalog'!$E$57+'Assumptions and Catalog'!$F$57,"Out of range")))))))),IF(((D223+E223)*C223-G223)&lt;='Assumptions and Catalog'!$C$60,((D223+E223)*C223-G223)*'Assumptions and Catalog'!$H$60+'Assumptions and Catalog'!$E$60+'Assumptions and Catalog'!$F$60,IF(((D223+E223)*C223-G223)&lt;='Assumptions and Catalog'!$C$61,((D223+E223)*C223-G223)*'Assumptions and Catalog'!$H$61+'Assumptions and Catalog'!$E$61+'Assumptions and Catalog'!$F$61,IF(((D223+E223)*C223-G223)&lt;='Assumptions and Catalog'!$C$62,((D223+E223)*C223-G223)*'Assumptions and Catalog'!$H$62+'Assumptions and Catalog'!$E$62+'Assumptions and Catalog'!$F$62,IF(((D223+E223)*C223-G223)&lt;='Assumptions and Catalog'!$C$63,((D223+E223)*C223-G223)*'Assumptions and Catalog'!$H$63+'Assumptions and Catalog'!$E$63+'Assumptions and Catalog'!$F$63,IF(((D223+E223)*C223-G223)&lt;='Assumptions and Catalog'!$C$64,((D223+E223)*C223-G223)*'Assumptions and Catalog'!$H$64+'Assumptions and Catalog'!$E$64+'Assumptions and Catalog'!$F$64,IF(((D223+E223)*C223-G223)&lt;='Assumptions and Catalog'!$C$65,((D223+E223)*C223-G223)*'Assumptions and Catalog'!$H$65+'Assumptions and Catalog'!$E$65+'Assumptions and Catalog'!$F$65,"Out of range")))))))))*(1+'Assumptions and Catalog'!$C$8)^(A223-1),0)</f>
        <v>3567.397</v>
      </c>
      <c r="R223" s="5" t="n">
        <f>IF(AND('Assumptions and Catalog'!$C$19&gt;0,A223&gt;='Assumptions and Catalog'!$C$19),A223-'Assumptions and Catalog'!$C$19,A223-1)</f>
        <v>5</v>
      </c>
      <c r="S223" s="5" t="n">
        <f>F223+L223-(D223+E223)*C223-J223-K223-0</f>
        <v>0</v>
      </c>
      <c r="T223" s="5"/>
      <c r="U223" s="5"/>
    </row>
    <row r="224" ht="23.100000381469727" customHeight="1">
      <c r="A224" s="5" t="n">
        <v>6</v>
      </c>
      <c r="B224" s="5" t="n">
        <v>4</v>
      </c>
      <c r="C224" s="5" t="n">
        <f>DAY(DATE('Assumptions and Catalog'!$C$24+A224-1,B224+1,0))</f>
        <v>30</v>
      </c>
      <c r="D224" s="5" t="n">
        <f>IF(ISNUMBER(Inputs!$L$5),Inputs!$L$5*Inputs!$L$6,0)</f>
        <v>40.35</v>
      </c>
      <c r="E224" s="5" t="n">
        <f>IF(ISNUMBER(Inputs!$L$5),Inputs!$L$5-D224,0)</f>
        <v>40.35</v>
      </c>
      <c r="F224" s="5" t="n">
        <f>C$51*INDEX('Solar Production'!$D$20:$D$31,B224)*C224*(1-'Assumptions and Catalog'!$C$10)^(A224-1)</f>
        <v>1380.53092695923</v>
      </c>
      <c r="G224" s="5" t="n">
        <f>MIN(F224,D224*C224)</f>
        <v>1210.5</v>
      </c>
      <c r="H224" s="5" t="n">
        <f>I224/('Assumptions and Catalog'!$C$11*'Assumptions and Catalog'!$C$12)</f>
        <v>0</v>
      </c>
      <c r="I224" s="5" t="n">
        <f>0</f>
        <v>0</v>
      </c>
      <c r="J224" s="5" t="n">
        <f>MAX(F224-G224-H224,0)</f>
        <v>170.030926959226</v>
      </c>
      <c r="K224" s="5" t="n">
        <f>H224-I224</f>
        <v>0</v>
      </c>
      <c r="L224" s="5" t="n">
        <f>(D224+E224)*C224-G224-I224+0+0</f>
        <v>1210.5</v>
      </c>
      <c r="M224" s="5" t="n">
        <f>IF(ISNUMBER(Inputs!$L$5),(IF(Inputs!$L$9="Actual flat rate",((D224+E224)*C224)*Inputs!$L$10,IF(Inputs!$C$9="Residential",IF(((D224+E224)*C224)&lt;='Assumptions and Catalog'!$C$50,((D224+E224)*C224)*'Assumptions and Catalog'!$H$50+'Assumptions and Catalog'!$E$50+'Assumptions and Catalog'!$F$50,IF(((D224+E224)*C224)&lt;='Assumptions and Catalog'!$C$51,((D224+E224)*C224)*'Assumptions and Catalog'!$H$51+'Assumptions and Catalog'!$E$51+'Assumptions and Catalog'!$F$51,IF(((D224+E224)*C224)&lt;='Assumptions and Catalog'!$C$52,((D224+E224)*C224)*'Assumptions and Catalog'!$H$52+'Assumptions and Catalog'!$E$52+'Assumptions and Catalog'!$F$52,IF(((D224+E224)*C224)&lt;='Assumptions and Catalog'!$C$53,((D224+E224)*C224)*'Assumptions and Catalog'!$H$53+'Assumptions and Catalog'!$E$53+'Assumptions and Catalog'!$F$53,IF(((D224+E224)*C224)&lt;='Assumptions and Catalog'!$C$54,((D224+E224)*C224)*'Assumptions and Catalog'!$H$54+'Assumptions and Catalog'!$E$54+'Assumptions and Catalog'!$F$54,IF(((D224+E224)*C224)&lt;='Assumptions and Catalog'!$C$55,((D224+E224)*C224)*'Assumptions and Catalog'!$H$55+'Assumptions and Catalog'!$E$55+'Assumptions and Catalog'!$F$55,IF(((D224+E224)*C224)&lt;='Assumptions and Catalog'!$C$56,((D224+E224)*C224)*'Assumptions and Catalog'!$H$56+'Assumptions and Catalog'!$E$56+'Assumptions and Catalog'!$F$56,IF(((D224+E224)*C224)&lt;='Assumptions and Catalog'!$C$57,((D224+E224)*C224)*'Assumptions and Catalog'!$H$57+'Assumptions and Catalog'!$E$57+'Assumptions and Catalog'!$F$57,"Out of range")))))))),IF(((D224+E224)*C224)&lt;='Assumptions and Catalog'!$C$60,((D224+E224)*C224)*'Assumptions and Catalog'!$H$60+'Assumptions and Catalog'!$E$60+'Assumptions and Catalog'!$F$60,IF(((D224+E224)*C224)&lt;='Assumptions and Catalog'!$C$61,((D224+E224)*C224)*'Assumptions and Catalog'!$H$61+'Assumptions and Catalog'!$E$61+'Assumptions and Catalog'!$F$61,IF(((D224+E224)*C224)&lt;='Assumptions and Catalog'!$C$62,((D224+E224)*C224)*'Assumptions and Catalog'!$H$62+'Assumptions and Catalog'!$E$62+'Assumptions and Catalog'!$F$62,IF(((D224+E224)*C224)&lt;='Assumptions and Catalog'!$C$63,((D224+E224)*C224)*'Assumptions and Catalog'!$H$63+'Assumptions and Catalog'!$E$63+'Assumptions and Catalog'!$F$63,IF(((D224+E224)*C224)&lt;='Assumptions and Catalog'!$C$64,((D224+E224)*C224)*'Assumptions and Catalog'!$H$64+'Assumptions and Catalog'!$E$64+'Assumptions and Catalog'!$F$64,IF(((D224+E224)*C224)&lt;='Assumptions and Catalog'!$C$65,((D224+E224)*C224)*'Assumptions and Catalog'!$H$65+'Assumptions and Catalog'!$E$65+'Assumptions and Catalog'!$F$65,"Out of range")))))))))*(1+'Assumptions and Catalog'!$C$8)^(A224-1),0)</f>
        <v>6867.22</v>
      </c>
      <c r="N224" s="5" t="n">
        <f>IF(ISNUMBER(Inputs!$L$5),(IF(Inputs!$L$9="Actual flat rate",L224*Inputs!$L$10,IF(Inputs!$C$9="Residential",IF(L224&lt;='Assumptions and Catalog'!$C$50,L224*'Assumptions and Catalog'!$H$50+'Assumptions and Catalog'!$E$50+'Assumptions and Catalog'!$F$50,IF(L224&lt;='Assumptions and Catalog'!$C$51,L224*'Assumptions and Catalog'!$H$51+'Assumptions and Catalog'!$E$51+'Assumptions and Catalog'!$F$51,IF(L224&lt;='Assumptions and Catalog'!$C$52,L224*'Assumptions and Catalog'!$H$52+'Assumptions and Catalog'!$E$52+'Assumptions and Catalog'!$F$52,IF(L224&lt;='Assumptions and Catalog'!$C$53,L224*'Assumptions and Catalog'!$H$53+'Assumptions and Catalog'!$E$53+'Assumptions and Catalog'!$F$53,IF(L224&lt;='Assumptions and Catalog'!$C$54,L224*'Assumptions and Catalog'!$H$54+'Assumptions and Catalog'!$E$54+'Assumptions and Catalog'!$F$54,IF(L224&lt;='Assumptions and Catalog'!$C$55,L224*'Assumptions and Catalog'!$H$55+'Assumptions and Catalog'!$E$55+'Assumptions and Catalog'!$F$55,IF(L224&lt;='Assumptions and Catalog'!$C$56,L224*'Assumptions and Catalog'!$H$56+'Assumptions and Catalog'!$E$56+'Assumptions and Catalog'!$F$56,IF(L224&lt;='Assumptions and Catalog'!$C$57,L224*'Assumptions and Catalog'!$H$57+'Assumptions and Catalog'!$E$57+'Assumptions and Catalog'!$F$57,"Out of range")))))))),IF(L224&lt;='Assumptions and Catalog'!$C$60,L224*'Assumptions and Catalog'!$H$60+'Assumptions and Catalog'!$E$60+'Assumptions and Catalog'!$F$60,IF(L224&lt;='Assumptions and Catalog'!$C$61,L224*'Assumptions and Catalog'!$H$61+'Assumptions and Catalog'!$E$61+'Assumptions and Catalog'!$F$61,IF(L224&lt;='Assumptions and Catalog'!$C$62,L224*'Assumptions and Catalog'!$H$62+'Assumptions and Catalog'!$E$62+'Assumptions and Catalog'!$F$62,IF(L224&lt;='Assumptions and Catalog'!$C$63,L224*'Assumptions and Catalog'!$H$63+'Assumptions and Catalog'!$E$63+'Assumptions and Catalog'!$F$63,IF(L224&lt;='Assumptions and Catalog'!$C$64,L224*'Assumptions and Catalog'!$H$64+'Assumptions and Catalog'!$E$64+'Assumptions and Catalog'!$F$64,IF(L224&lt;='Assumptions and Catalog'!$C$65,L224*'Assumptions and Catalog'!$H$65+'Assumptions and Catalog'!$E$65+'Assumptions and Catalog'!$F$65,"Out of range")))))))))*(1+'Assumptions and Catalog'!$C$8)^(A224-1),0)</f>
        <v>3453.61</v>
      </c>
      <c r="O224" s="5" t="n">
        <f>M224-N224</f>
        <v>3413.61</v>
      </c>
      <c r="P224" s="5" t="n">
        <f>C$55*(1-J$14)*(1-'Assumptions and Catalog'!$C$23)^R224</f>
        <v>0</v>
      </c>
      <c r="Q224" s="5" t="n">
        <f>IF(ISNUMBER(Inputs!$L$5),(IF(Inputs!$L$9="Actual flat rate",((D224+E224)*C224-G224)*Inputs!$L$10,IF(Inputs!$C$9="Residential",IF(((D224+E224)*C224-G224)&lt;='Assumptions and Catalog'!$C$50,((D224+E224)*C224-G224)*'Assumptions and Catalog'!$H$50+'Assumptions and Catalog'!$E$50+'Assumptions and Catalog'!$F$50,IF(((D224+E224)*C224-G224)&lt;='Assumptions and Catalog'!$C$51,((D224+E224)*C224-G224)*'Assumptions and Catalog'!$H$51+'Assumptions and Catalog'!$E$51+'Assumptions and Catalog'!$F$51,IF(((D224+E224)*C224-G224)&lt;='Assumptions and Catalog'!$C$52,((D224+E224)*C224-G224)*'Assumptions and Catalog'!$H$52+'Assumptions and Catalog'!$E$52+'Assumptions and Catalog'!$F$52,IF(((D224+E224)*C224-G224)&lt;='Assumptions and Catalog'!$C$53,((D224+E224)*C224-G224)*'Assumptions and Catalog'!$H$53+'Assumptions and Catalog'!$E$53+'Assumptions and Catalog'!$F$53,IF(((D224+E224)*C224-G224)&lt;='Assumptions and Catalog'!$C$54,((D224+E224)*C224-G224)*'Assumptions and Catalog'!$H$54+'Assumptions and Catalog'!$E$54+'Assumptions and Catalog'!$F$54,IF(((D224+E224)*C224-G224)&lt;='Assumptions and Catalog'!$C$55,((D224+E224)*C224-G224)*'Assumptions and Catalog'!$H$55+'Assumptions and Catalog'!$E$55+'Assumptions and Catalog'!$F$55,IF(((D224+E224)*C224-G224)&lt;='Assumptions and Catalog'!$C$56,((D224+E224)*C224-G224)*'Assumptions and Catalog'!$H$56+'Assumptions and Catalog'!$E$56+'Assumptions and Catalog'!$F$56,IF(((D224+E224)*C224-G224)&lt;='Assumptions and Catalog'!$C$57,((D224+E224)*C224-G224)*'Assumptions and Catalog'!$H$57+'Assumptions and Catalog'!$E$57+'Assumptions and Catalog'!$F$57,"Out of range")))))))),IF(((D224+E224)*C224-G224)&lt;='Assumptions and Catalog'!$C$60,((D224+E224)*C224-G224)*'Assumptions and Catalog'!$H$60+'Assumptions and Catalog'!$E$60+'Assumptions and Catalog'!$F$60,IF(((D224+E224)*C224-G224)&lt;='Assumptions and Catalog'!$C$61,((D224+E224)*C224-G224)*'Assumptions and Catalog'!$H$61+'Assumptions and Catalog'!$E$61+'Assumptions and Catalog'!$F$61,IF(((D224+E224)*C224-G224)&lt;='Assumptions and Catalog'!$C$62,((D224+E224)*C224-G224)*'Assumptions and Catalog'!$H$62+'Assumptions and Catalog'!$E$62+'Assumptions and Catalog'!$F$62,IF(((D224+E224)*C224-G224)&lt;='Assumptions and Catalog'!$C$63,((D224+E224)*C224-G224)*'Assumptions and Catalog'!$H$63+'Assumptions and Catalog'!$E$63+'Assumptions and Catalog'!$F$63,IF(((D224+E224)*C224-G224)&lt;='Assumptions and Catalog'!$C$64,((D224+E224)*C224-G224)*'Assumptions and Catalog'!$H$64+'Assumptions and Catalog'!$E$64+'Assumptions and Catalog'!$F$64,IF(((D224+E224)*C224-G224)&lt;='Assumptions and Catalog'!$C$65,((D224+E224)*C224-G224)*'Assumptions and Catalog'!$H$65+'Assumptions and Catalog'!$E$65+'Assumptions and Catalog'!$F$65,"Out of range")))))))))*(1+'Assumptions and Catalog'!$C$8)^(A224-1),0)</f>
        <v>3453.61</v>
      </c>
      <c r="R224" s="5" t="n">
        <f>IF(AND('Assumptions and Catalog'!$C$19&gt;0,A224&gt;='Assumptions and Catalog'!$C$19),A224-'Assumptions and Catalog'!$C$19,A224-1)</f>
        <v>5</v>
      </c>
      <c r="S224" s="5" t="n">
        <f>F224+L224-(D224+E224)*C224-J224-K224-0</f>
        <v>0</v>
      </c>
      <c r="T224" s="5"/>
      <c r="U224" s="5"/>
    </row>
    <row r="225" ht="23.100000381469727" customHeight="1">
      <c r="A225" s="5" t="n">
        <v>6</v>
      </c>
      <c r="B225" s="5" t="n">
        <v>5</v>
      </c>
      <c r="C225" s="5" t="n">
        <f>DAY(DATE('Assumptions and Catalog'!$C$24+A225-1,B225+1,0))</f>
        <v>31</v>
      </c>
      <c r="D225" s="5" t="n">
        <f>IF(ISNUMBER(Inputs!$L$5),Inputs!$L$5*Inputs!$L$6,0)</f>
        <v>40.35</v>
      </c>
      <c r="E225" s="5" t="n">
        <f>IF(ISNUMBER(Inputs!$L$5),Inputs!$L$5-D225,0)</f>
        <v>40.35</v>
      </c>
      <c r="F225" s="5" t="n">
        <f>C$51*INDEX('Solar Production'!$D$20:$D$31,B225)*C225*(1-'Assumptions and Catalog'!$C$10)^(A225-1)</f>
        <v>1396.49379855033</v>
      </c>
      <c r="G225" s="5" t="n">
        <f>MIN(F225,D225*C225)</f>
        <v>1250.85</v>
      </c>
      <c r="H225" s="5" t="n">
        <f>I225/('Assumptions and Catalog'!$C$11*'Assumptions and Catalog'!$C$12)</f>
        <v>0</v>
      </c>
      <c r="I225" s="5" t="n">
        <f>0</f>
        <v>0</v>
      </c>
      <c r="J225" s="5" t="n">
        <f>MAX(F225-G225-H225,0)</f>
        <v>145.643798550325</v>
      </c>
      <c r="K225" s="5" t="n">
        <f>H225-I225</f>
        <v>0</v>
      </c>
      <c r="L225" s="5" t="n">
        <f>(D225+E225)*C225-G225-I225+0+0</f>
        <v>1250.85</v>
      </c>
      <c r="M225" s="5" t="n">
        <f>IF(ISNUMBER(Inputs!$L$5),(IF(Inputs!$L$9="Actual flat rate",((D225+E225)*C225)*Inputs!$L$10,IF(Inputs!$C$9="Residential",IF(((D225+E225)*C225)&lt;='Assumptions and Catalog'!$C$50,((D225+E225)*C225)*'Assumptions and Catalog'!$H$50+'Assumptions and Catalog'!$E$50+'Assumptions and Catalog'!$F$50,IF(((D225+E225)*C225)&lt;='Assumptions and Catalog'!$C$51,((D225+E225)*C225)*'Assumptions and Catalog'!$H$51+'Assumptions and Catalog'!$E$51+'Assumptions and Catalog'!$F$51,IF(((D225+E225)*C225)&lt;='Assumptions and Catalog'!$C$52,((D225+E225)*C225)*'Assumptions and Catalog'!$H$52+'Assumptions and Catalog'!$E$52+'Assumptions and Catalog'!$F$52,IF(((D225+E225)*C225)&lt;='Assumptions and Catalog'!$C$53,((D225+E225)*C225)*'Assumptions and Catalog'!$H$53+'Assumptions and Catalog'!$E$53+'Assumptions and Catalog'!$F$53,IF(((D225+E225)*C225)&lt;='Assumptions and Catalog'!$C$54,((D225+E225)*C225)*'Assumptions and Catalog'!$H$54+'Assumptions and Catalog'!$E$54+'Assumptions and Catalog'!$F$54,IF(((D225+E225)*C225)&lt;='Assumptions and Catalog'!$C$55,((D225+E225)*C225)*'Assumptions and Catalog'!$H$55+'Assumptions and Catalog'!$E$55+'Assumptions and Catalog'!$F$55,IF(((D225+E225)*C225)&lt;='Assumptions and Catalog'!$C$56,((D225+E225)*C225)*'Assumptions and Catalog'!$H$56+'Assumptions and Catalog'!$E$56+'Assumptions and Catalog'!$F$56,IF(((D225+E225)*C225)&lt;='Assumptions and Catalog'!$C$57,((D225+E225)*C225)*'Assumptions and Catalog'!$H$57+'Assumptions and Catalog'!$E$57+'Assumptions and Catalog'!$F$57,"Out of range")))))))),IF(((D225+E225)*C225)&lt;='Assumptions and Catalog'!$C$60,((D225+E225)*C225)*'Assumptions and Catalog'!$H$60+'Assumptions and Catalog'!$E$60+'Assumptions and Catalog'!$F$60,IF(((D225+E225)*C225)&lt;='Assumptions and Catalog'!$C$61,((D225+E225)*C225)*'Assumptions and Catalog'!$H$61+'Assumptions and Catalog'!$E$61+'Assumptions and Catalog'!$F$61,IF(((D225+E225)*C225)&lt;='Assumptions and Catalog'!$C$62,((D225+E225)*C225)*'Assumptions and Catalog'!$H$62+'Assumptions and Catalog'!$E$62+'Assumptions and Catalog'!$F$62,IF(((D225+E225)*C225)&lt;='Assumptions and Catalog'!$C$63,((D225+E225)*C225)*'Assumptions and Catalog'!$H$63+'Assumptions and Catalog'!$E$63+'Assumptions and Catalog'!$F$63,IF(((D225+E225)*C225)&lt;='Assumptions and Catalog'!$C$64,((D225+E225)*C225)*'Assumptions and Catalog'!$H$64+'Assumptions and Catalog'!$E$64+'Assumptions and Catalog'!$F$64,IF(((D225+E225)*C225)&lt;='Assumptions and Catalog'!$C$65,((D225+E225)*C225)*'Assumptions and Catalog'!$H$65+'Assumptions and Catalog'!$E$65+'Assumptions and Catalog'!$F$65,"Out of range")))))))))*(1+'Assumptions and Catalog'!$C$8)^(A225-1),0)</f>
        <v>7094.794</v>
      </c>
      <c r="N225" s="5" t="n">
        <f>IF(ISNUMBER(Inputs!$L$5),(IF(Inputs!$L$9="Actual flat rate",L225*Inputs!$L$10,IF(Inputs!$C$9="Residential",IF(L225&lt;='Assumptions and Catalog'!$C$50,L225*'Assumptions and Catalog'!$H$50+'Assumptions and Catalog'!$E$50+'Assumptions and Catalog'!$F$50,IF(L225&lt;='Assumptions and Catalog'!$C$51,L225*'Assumptions and Catalog'!$H$51+'Assumptions and Catalog'!$E$51+'Assumptions and Catalog'!$F$51,IF(L225&lt;='Assumptions and Catalog'!$C$52,L225*'Assumptions and Catalog'!$H$52+'Assumptions and Catalog'!$E$52+'Assumptions and Catalog'!$F$52,IF(L225&lt;='Assumptions and Catalog'!$C$53,L225*'Assumptions and Catalog'!$H$53+'Assumptions and Catalog'!$E$53+'Assumptions and Catalog'!$F$53,IF(L225&lt;='Assumptions and Catalog'!$C$54,L225*'Assumptions and Catalog'!$H$54+'Assumptions and Catalog'!$E$54+'Assumptions and Catalog'!$F$54,IF(L225&lt;='Assumptions and Catalog'!$C$55,L225*'Assumptions and Catalog'!$H$55+'Assumptions and Catalog'!$E$55+'Assumptions and Catalog'!$F$55,IF(L225&lt;='Assumptions and Catalog'!$C$56,L225*'Assumptions and Catalog'!$H$56+'Assumptions and Catalog'!$E$56+'Assumptions and Catalog'!$F$56,IF(L225&lt;='Assumptions and Catalog'!$C$57,L225*'Assumptions and Catalog'!$H$57+'Assumptions and Catalog'!$E$57+'Assumptions and Catalog'!$F$57,"Out of range")))))))),IF(L225&lt;='Assumptions and Catalog'!$C$60,L225*'Assumptions and Catalog'!$H$60+'Assumptions and Catalog'!$E$60+'Assumptions and Catalog'!$F$60,IF(L225&lt;='Assumptions and Catalog'!$C$61,L225*'Assumptions and Catalog'!$H$61+'Assumptions and Catalog'!$E$61+'Assumptions and Catalog'!$F$61,IF(L225&lt;='Assumptions and Catalog'!$C$62,L225*'Assumptions and Catalog'!$H$62+'Assumptions and Catalog'!$E$62+'Assumptions and Catalog'!$F$62,IF(L225&lt;='Assumptions and Catalog'!$C$63,L225*'Assumptions and Catalog'!$H$63+'Assumptions and Catalog'!$E$63+'Assumptions and Catalog'!$F$63,IF(L225&lt;='Assumptions and Catalog'!$C$64,L225*'Assumptions and Catalog'!$H$64+'Assumptions and Catalog'!$E$64+'Assumptions and Catalog'!$F$64,IF(L225&lt;='Assumptions and Catalog'!$C$65,L225*'Assumptions and Catalog'!$H$65+'Assumptions and Catalog'!$E$65+'Assumptions and Catalog'!$F$65,"Out of range")))))))))*(1+'Assumptions and Catalog'!$C$8)^(A225-1),0)</f>
        <v>3567.397</v>
      </c>
      <c r="O225" s="5" t="n">
        <f>M225-N225</f>
        <v>3527.397</v>
      </c>
      <c r="P225" s="5" t="n">
        <f>C$55*(1-J$14)*(1-'Assumptions and Catalog'!$C$23)^R225</f>
        <v>0</v>
      </c>
      <c r="Q225" s="5" t="n">
        <f>IF(ISNUMBER(Inputs!$L$5),(IF(Inputs!$L$9="Actual flat rate",((D225+E225)*C225-G225)*Inputs!$L$10,IF(Inputs!$C$9="Residential",IF(((D225+E225)*C225-G225)&lt;='Assumptions and Catalog'!$C$50,((D225+E225)*C225-G225)*'Assumptions and Catalog'!$H$50+'Assumptions and Catalog'!$E$50+'Assumptions and Catalog'!$F$50,IF(((D225+E225)*C225-G225)&lt;='Assumptions and Catalog'!$C$51,((D225+E225)*C225-G225)*'Assumptions and Catalog'!$H$51+'Assumptions and Catalog'!$E$51+'Assumptions and Catalog'!$F$51,IF(((D225+E225)*C225-G225)&lt;='Assumptions and Catalog'!$C$52,((D225+E225)*C225-G225)*'Assumptions and Catalog'!$H$52+'Assumptions and Catalog'!$E$52+'Assumptions and Catalog'!$F$52,IF(((D225+E225)*C225-G225)&lt;='Assumptions and Catalog'!$C$53,((D225+E225)*C225-G225)*'Assumptions and Catalog'!$H$53+'Assumptions and Catalog'!$E$53+'Assumptions and Catalog'!$F$53,IF(((D225+E225)*C225-G225)&lt;='Assumptions and Catalog'!$C$54,((D225+E225)*C225-G225)*'Assumptions and Catalog'!$H$54+'Assumptions and Catalog'!$E$54+'Assumptions and Catalog'!$F$54,IF(((D225+E225)*C225-G225)&lt;='Assumptions and Catalog'!$C$55,((D225+E225)*C225-G225)*'Assumptions and Catalog'!$H$55+'Assumptions and Catalog'!$E$55+'Assumptions and Catalog'!$F$55,IF(((D225+E225)*C225-G225)&lt;='Assumptions and Catalog'!$C$56,((D225+E225)*C225-G225)*'Assumptions and Catalog'!$H$56+'Assumptions and Catalog'!$E$56+'Assumptions and Catalog'!$F$56,IF(((D225+E225)*C225-G225)&lt;='Assumptions and Catalog'!$C$57,((D225+E225)*C225-G225)*'Assumptions and Catalog'!$H$57+'Assumptions and Catalog'!$E$57+'Assumptions and Catalog'!$F$57,"Out of range")))))))),IF(((D225+E225)*C225-G225)&lt;='Assumptions and Catalog'!$C$60,((D225+E225)*C225-G225)*'Assumptions and Catalog'!$H$60+'Assumptions and Catalog'!$E$60+'Assumptions and Catalog'!$F$60,IF(((D225+E225)*C225-G225)&lt;='Assumptions and Catalog'!$C$61,((D225+E225)*C225-G225)*'Assumptions and Catalog'!$H$61+'Assumptions and Catalog'!$E$61+'Assumptions and Catalog'!$F$61,IF(((D225+E225)*C225-G225)&lt;='Assumptions and Catalog'!$C$62,((D225+E225)*C225-G225)*'Assumptions and Catalog'!$H$62+'Assumptions and Catalog'!$E$62+'Assumptions and Catalog'!$F$62,IF(((D225+E225)*C225-G225)&lt;='Assumptions and Catalog'!$C$63,((D225+E225)*C225-G225)*'Assumptions and Catalog'!$H$63+'Assumptions and Catalog'!$E$63+'Assumptions and Catalog'!$F$63,IF(((D225+E225)*C225-G225)&lt;='Assumptions and Catalog'!$C$64,((D225+E225)*C225-G225)*'Assumptions and Catalog'!$H$64+'Assumptions and Catalog'!$E$64+'Assumptions and Catalog'!$F$64,IF(((D225+E225)*C225-G225)&lt;='Assumptions and Catalog'!$C$65,((D225+E225)*C225-G225)*'Assumptions and Catalog'!$H$65+'Assumptions and Catalog'!$E$65+'Assumptions and Catalog'!$F$65,"Out of range")))))))))*(1+'Assumptions and Catalog'!$C$8)^(A225-1),0)</f>
        <v>3567.397</v>
      </c>
      <c r="R225" s="5" t="n">
        <f>IF(AND('Assumptions and Catalog'!$C$19&gt;0,A225&gt;='Assumptions and Catalog'!$C$19),A225-'Assumptions and Catalog'!$C$19,A225-1)</f>
        <v>5</v>
      </c>
      <c r="S225" s="5" t="n">
        <f>F225+L225-(D225+E225)*C225-J225-K225-0</f>
        <v>0</v>
      </c>
      <c r="T225" s="5"/>
      <c r="U225" s="5"/>
    </row>
    <row r="226" ht="23.100000381469727" customHeight="1">
      <c r="A226" s="5" t="n">
        <v>6</v>
      </c>
      <c r="B226" s="5" t="n">
        <v>6</v>
      </c>
      <c r="C226" s="5" t="n">
        <f>DAY(DATE('Assumptions and Catalog'!$C$24+A226-1,B226+1,0))</f>
        <v>30</v>
      </c>
      <c r="D226" s="5" t="n">
        <f>IF(ISNUMBER(Inputs!$L$5),Inputs!$L$5*Inputs!$L$6,0)</f>
        <v>40.35</v>
      </c>
      <c r="E226" s="5" t="n">
        <f>IF(ISNUMBER(Inputs!$L$5),Inputs!$L$5-D226,0)</f>
        <v>40.35</v>
      </c>
      <c r="F226" s="5" t="n">
        <f>C$51*INDEX('Solar Production'!$D$20:$D$31,B226)*C226*(1-'Assumptions and Catalog'!$C$10)^(A226-1)</f>
        <v>1361.30682353769</v>
      </c>
      <c r="G226" s="5" t="n">
        <f>MIN(F226,D226*C226)</f>
        <v>1210.5</v>
      </c>
      <c r="H226" s="5" t="n">
        <f>I226/('Assumptions and Catalog'!$C$11*'Assumptions and Catalog'!$C$12)</f>
        <v>0</v>
      </c>
      <c r="I226" s="5" t="n">
        <f>0</f>
        <v>0</v>
      </c>
      <c r="J226" s="5" t="n">
        <f>MAX(F226-G226-H226,0)</f>
        <v>150.806823537688</v>
      </c>
      <c r="K226" s="5" t="n">
        <f>H226-I226</f>
        <v>0</v>
      </c>
      <c r="L226" s="5" t="n">
        <f>(D226+E226)*C226-G226-I226+0+0</f>
        <v>1210.5</v>
      </c>
      <c r="M226" s="5" t="n">
        <f>IF(ISNUMBER(Inputs!$L$5),(IF(Inputs!$L$9="Actual flat rate",((D226+E226)*C226)*Inputs!$L$10,IF(Inputs!$C$9="Residential",IF(((D226+E226)*C226)&lt;='Assumptions and Catalog'!$C$50,((D226+E226)*C226)*'Assumptions and Catalog'!$H$50+'Assumptions and Catalog'!$E$50+'Assumptions and Catalog'!$F$50,IF(((D226+E226)*C226)&lt;='Assumptions and Catalog'!$C$51,((D226+E226)*C226)*'Assumptions and Catalog'!$H$51+'Assumptions and Catalog'!$E$51+'Assumptions and Catalog'!$F$51,IF(((D226+E226)*C226)&lt;='Assumptions and Catalog'!$C$52,((D226+E226)*C226)*'Assumptions and Catalog'!$H$52+'Assumptions and Catalog'!$E$52+'Assumptions and Catalog'!$F$52,IF(((D226+E226)*C226)&lt;='Assumptions and Catalog'!$C$53,((D226+E226)*C226)*'Assumptions and Catalog'!$H$53+'Assumptions and Catalog'!$E$53+'Assumptions and Catalog'!$F$53,IF(((D226+E226)*C226)&lt;='Assumptions and Catalog'!$C$54,((D226+E226)*C226)*'Assumptions and Catalog'!$H$54+'Assumptions and Catalog'!$E$54+'Assumptions and Catalog'!$F$54,IF(((D226+E226)*C226)&lt;='Assumptions and Catalog'!$C$55,((D226+E226)*C226)*'Assumptions and Catalog'!$H$55+'Assumptions and Catalog'!$E$55+'Assumptions and Catalog'!$F$55,IF(((D226+E226)*C226)&lt;='Assumptions and Catalog'!$C$56,((D226+E226)*C226)*'Assumptions and Catalog'!$H$56+'Assumptions and Catalog'!$E$56+'Assumptions and Catalog'!$F$56,IF(((D226+E226)*C226)&lt;='Assumptions and Catalog'!$C$57,((D226+E226)*C226)*'Assumptions and Catalog'!$H$57+'Assumptions and Catalog'!$E$57+'Assumptions and Catalog'!$F$57,"Out of range")))))))),IF(((D226+E226)*C226)&lt;='Assumptions and Catalog'!$C$60,((D226+E226)*C226)*'Assumptions and Catalog'!$H$60+'Assumptions and Catalog'!$E$60+'Assumptions and Catalog'!$F$60,IF(((D226+E226)*C226)&lt;='Assumptions and Catalog'!$C$61,((D226+E226)*C226)*'Assumptions and Catalog'!$H$61+'Assumptions and Catalog'!$E$61+'Assumptions and Catalog'!$F$61,IF(((D226+E226)*C226)&lt;='Assumptions and Catalog'!$C$62,((D226+E226)*C226)*'Assumptions and Catalog'!$H$62+'Assumptions and Catalog'!$E$62+'Assumptions and Catalog'!$F$62,IF(((D226+E226)*C226)&lt;='Assumptions and Catalog'!$C$63,((D226+E226)*C226)*'Assumptions and Catalog'!$H$63+'Assumptions and Catalog'!$E$63+'Assumptions and Catalog'!$F$63,IF(((D226+E226)*C226)&lt;='Assumptions and Catalog'!$C$64,((D226+E226)*C226)*'Assumptions and Catalog'!$H$64+'Assumptions and Catalog'!$E$64+'Assumptions and Catalog'!$F$64,IF(((D226+E226)*C226)&lt;='Assumptions and Catalog'!$C$65,((D226+E226)*C226)*'Assumptions and Catalog'!$H$65+'Assumptions and Catalog'!$E$65+'Assumptions and Catalog'!$F$65,"Out of range")))))))))*(1+'Assumptions and Catalog'!$C$8)^(A226-1),0)</f>
        <v>6867.22</v>
      </c>
      <c r="N226" s="5" t="n">
        <f>IF(ISNUMBER(Inputs!$L$5),(IF(Inputs!$L$9="Actual flat rate",L226*Inputs!$L$10,IF(Inputs!$C$9="Residential",IF(L226&lt;='Assumptions and Catalog'!$C$50,L226*'Assumptions and Catalog'!$H$50+'Assumptions and Catalog'!$E$50+'Assumptions and Catalog'!$F$50,IF(L226&lt;='Assumptions and Catalog'!$C$51,L226*'Assumptions and Catalog'!$H$51+'Assumptions and Catalog'!$E$51+'Assumptions and Catalog'!$F$51,IF(L226&lt;='Assumptions and Catalog'!$C$52,L226*'Assumptions and Catalog'!$H$52+'Assumptions and Catalog'!$E$52+'Assumptions and Catalog'!$F$52,IF(L226&lt;='Assumptions and Catalog'!$C$53,L226*'Assumptions and Catalog'!$H$53+'Assumptions and Catalog'!$E$53+'Assumptions and Catalog'!$F$53,IF(L226&lt;='Assumptions and Catalog'!$C$54,L226*'Assumptions and Catalog'!$H$54+'Assumptions and Catalog'!$E$54+'Assumptions and Catalog'!$F$54,IF(L226&lt;='Assumptions and Catalog'!$C$55,L226*'Assumptions and Catalog'!$H$55+'Assumptions and Catalog'!$E$55+'Assumptions and Catalog'!$F$55,IF(L226&lt;='Assumptions and Catalog'!$C$56,L226*'Assumptions and Catalog'!$H$56+'Assumptions and Catalog'!$E$56+'Assumptions and Catalog'!$F$56,IF(L226&lt;='Assumptions and Catalog'!$C$57,L226*'Assumptions and Catalog'!$H$57+'Assumptions and Catalog'!$E$57+'Assumptions and Catalog'!$F$57,"Out of range")))))))),IF(L226&lt;='Assumptions and Catalog'!$C$60,L226*'Assumptions and Catalog'!$H$60+'Assumptions and Catalog'!$E$60+'Assumptions and Catalog'!$F$60,IF(L226&lt;='Assumptions and Catalog'!$C$61,L226*'Assumptions and Catalog'!$H$61+'Assumptions and Catalog'!$E$61+'Assumptions and Catalog'!$F$61,IF(L226&lt;='Assumptions and Catalog'!$C$62,L226*'Assumptions and Catalog'!$H$62+'Assumptions and Catalog'!$E$62+'Assumptions and Catalog'!$F$62,IF(L226&lt;='Assumptions and Catalog'!$C$63,L226*'Assumptions and Catalog'!$H$63+'Assumptions and Catalog'!$E$63+'Assumptions and Catalog'!$F$63,IF(L226&lt;='Assumptions and Catalog'!$C$64,L226*'Assumptions and Catalog'!$H$64+'Assumptions and Catalog'!$E$64+'Assumptions and Catalog'!$F$64,IF(L226&lt;='Assumptions and Catalog'!$C$65,L226*'Assumptions and Catalog'!$H$65+'Assumptions and Catalog'!$E$65+'Assumptions and Catalog'!$F$65,"Out of range")))))))))*(1+'Assumptions and Catalog'!$C$8)^(A226-1),0)</f>
        <v>3453.61</v>
      </c>
      <c r="O226" s="5" t="n">
        <f>M226-N226</f>
        <v>3413.61</v>
      </c>
      <c r="P226" s="5" t="n">
        <f>C$55*(1-J$14)*(1-'Assumptions and Catalog'!$C$23)^R226</f>
        <v>0</v>
      </c>
      <c r="Q226" s="5" t="n">
        <f>IF(ISNUMBER(Inputs!$L$5),(IF(Inputs!$L$9="Actual flat rate",((D226+E226)*C226-G226)*Inputs!$L$10,IF(Inputs!$C$9="Residential",IF(((D226+E226)*C226-G226)&lt;='Assumptions and Catalog'!$C$50,((D226+E226)*C226-G226)*'Assumptions and Catalog'!$H$50+'Assumptions and Catalog'!$E$50+'Assumptions and Catalog'!$F$50,IF(((D226+E226)*C226-G226)&lt;='Assumptions and Catalog'!$C$51,((D226+E226)*C226-G226)*'Assumptions and Catalog'!$H$51+'Assumptions and Catalog'!$E$51+'Assumptions and Catalog'!$F$51,IF(((D226+E226)*C226-G226)&lt;='Assumptions and Catalog'!$C$52,((D226+E226)*C226-G226)*'Assumptions and Catalog'!$H$52+'Assumptions and Catalog'!$E$52+'Assumptions and Catalog'!$F$52,IF(((D226+E226)*C226-G226)&lt;='Assumptions and Catalog'!$C$53,((D226+E226)*C226-G226)*'Assumptions and Catalog'!$H$53+'Assumptions and Catalog'!$E$53+'Assumptions and Catalog'!$F$53,IF(((D226+E226)*C226-G226)&lt;='Assumptions and Catalog'!$C$54,((D226+E226)*C226-G226)*'Assumptions and Catalog'!$H$54+'Assumptions and Catalog'!$E$54+'Assumptions and Catalog'!$F$54,IF(((D226+E226)*C226-G226)&lt;='Assumptions and Catalog'!$C$55,((D226+E226)*C226-G226)*'Assumptions and Catalog'!$H$55+'Assumptions and Catalog'!$E$55+'Assumptions and Catalog'!$F$55,IF(((D226+E226)*C226-G226)&lt;='Assumptions and Catalog'!$C$56,((D226+E226)*C226-G226)*'Assumptions and Catalog'!$H$56+'Assumptions and Catalog'!$E$56+'Assumptions and Catalog'!$F$56,IF(((D226+E226)*C226-G226)&lt;='Assumptions and Catalog'!$C$57,((D226+E226)*C226-G226)*'Assumptions and Catalog'!$H$57+'Assumptions and Catalog'!$E$57+'Assumptions and Catalog'!$F$57,"Out of range")))))))),IF(((D226+E226)*C226-G226)&lt;='Assumptions and Catalog'!$C$60,((D226+E226)*C226-G226)*'Assumptions and Catalog'!$H$60+'Assumptions and Catalog'!$E$60+'Assumptions and Catalog'!$F$60,IF(((D226+E226)*C226-G226)&lt;='Assumptions and Catalog'!$C$61,((D226+E226)*C226-G226)*'Assumptions and Catalog'!$H$61+'Assumptions and Catalog'!$E$61+'Assumptions and Catalog'!$F$61,IF(((D226+E226)*C226-G226)&lt;='Assumptions and Catalog'!$C$62,((D226+E226)*C226-G226)*'Assumptions and Catalog'!$H$62+'Assumptions and Catalog'!$E$62+'Assumptions and Catalog'!$F$62,IF(((D226+E226)*C226-G226)&lt;='Assumptions and Catalog'!$C$63,((D226+E226)*C226-G226)*'Assumptions and Catalog'!$H$63+'Assumptions and Catalog'!$E$63+'Assumptions and Catalog'!$F$63,IF(((D226+E226)*C226-G226)&lt;='Assumptions and Catalog'!$C$64,((D226+E226)*C226-G226)*'Assumptions and Catalog'!$H$64+'Assumptions and Catalog'!$E$64+'Assumptions and Catalog'!$F$64,IF(((D226+E226)*C226-G226)&lt;='Assumptions and Catalog'!$C$65,((D226+E226)*C226-G226)*'Assumptions and Catalog'!$H$65+'Assumptions and Catalog'!$E$65+'Assumptions and Catalog'!$F$65,"Out of range")))))))))*(1+'Assumptions and Catalog'!$C$8)^(A226-1),0)</f>
        <v>3453.61</v>
      </c>
      <c r="R226" s="5" t="n">
        <f>IF(AND('Assumptions and Catalog'!$C$19&gt;0,A226&gt;='Assumptions and Catalog'!$C$19),A226-'Assumptions and Catalog'!$C$19,A226-1)</f>
        <v>5</v>
      </c>
      <c r="S226" s="5" t="n">
        <f>F226+L226-(D226+E226)*C226-J226-K226-0</f>
        <v>0</v>
      </c>
      <c r="T226" s="5"/>
      <c r="U226" s="5"/>
    </row>
    <row r="227" ht="23.100000381469727" customHeight="1">
      <c r="A227" s="5" t="n">
        <v>6</v>
      </c>
      <c r="B227" s="5" t="n">
        <v>7</v>
      </c>
      <c r="C227" s="5" t="n">
        <f>DAY(DATE('Assumptions and Catalog'!$C$24+A227-1,B227+1,0))</f>
        <v>31</v>
      </c>
      <c r="D227" s="5" t="n">
        <f>IF(ISNUMBER(Inputs!$L$5),Inputs!$L$5*Inputs!$L$6,0)</f>
        <v>40.35</v>
      </c>
      <c r="E227" s="5" t="n">
        <f>IF(ISNUMBER(Inputs!$L$5),Inputs!$L$5-D227,0)</f>
        <v>40.35</v>
      </c>
      <c r="F227" s="5" t="n">
        <f>C$51*INDEX('Solar Production'!$D$20:$D$31,B227)*C227*(1-'Assumptions and Catalog'!$C$10)^(A227-1)</f>
        <v>1413.14324526362</v>
      </c>
      <c r="G227" s="5" t="n">
        <f>MIN(F227,D227*C227)</f>
        <v>1250.85</v>
      </c>
      <c r="H227" s="5" t="n">
        <f>I227/('Assumptions and Catalog'!$C$11*'Assumptions and Catalog'!$C$12)</f>
        <v>0</v>
      </c>
      <c r="I227" s="5" t="n">
        <f>0</f>
        <v>0</v>
      </c>
      <c r="J227" s="5" t="n">
        <f>MAX(F227-G227-H227,0)</f>
        <v>162.293245263622</v>
      </c>
      <c r="K227" s="5" t="n">
        <f>H227-I227</f>
        <v>0</v>
      </c>
      <c r="L227" s="5" t="n">
        <f>(D227+E227)*C227-G227-I227+0+0</f>
        <v>1250.85</v>
      </c>
      <c r="M227" s="5" t="n">
        <f>IF(ISNUMBER(Inputs!$L$5),(IF(Inputs!$L$9="Actual flat rate",((D227+E227)*C227)*Inputs!$L$10,IF(Inputs!$C$9="Residential",IF(((D227+E227)*C227)&lt;='Assumptions and Catalog'!$C$50,((D227+E227)*C227)*'Assumptions and Catalog'!$H$50+'Assumptions and Catalog'!$E$50+'Assumptions and Catalog'!$F$50,IF(((D227+E227)*C227)&lt;='Assumptions and Catalog'!$C$51,((D227+E227)*C227)*'Assumptions and Catalog'!$H$51+'Assumptions and Catalog'!$E$51+'Assumptions and Catalog'!$F$51,IF(((D227+E227)*C227)&lt;='Assumptions and Catalog'!$C$52,((D227+E227)*C227)*'Assumptions and Catalog'!$H$52+'Assumptions and Catalog'!$E$52+'Assumptions and Catalog'!$F$52,IF(((D227+E227)*C227)&lt;='Assumptions and Catalog'!$C$53,((D227+E227)*C227)*'Assumptions and Catalog'!$H$53+'Assumptions and Catalog'!$E$53+'Assumptions and Catalog'!$F$53,IF(((D227+E227)*C227)&lt;='Assumptions and Catalog'!$C$54,((D227+E227)*C227)*'Assumptions and Catalog'!$H$54+'Assumptions and Catalog'!$E$54+'Assumptions and Catalog'!$F$54,IF(((D227+E227)*C227)&lt;='Assumptions and Catalog'!$C$55,((D227+E227)*C227)*'Assumptions and Catalog'!$H$55+'Assumptions and Catalog'!$E$55+'Assumptions and Catalog'!$F$55,IF(((D227+E227)*C227)&lt;='Assumptions and Catalog'!$C$56,((D227+E227)*C227)*'Assumptions and Catalog'!$H$56+'Assumptions and Catalog'!$E$56+'Assumptions and Catalog'!$F$56,IF(((D227+E227)*C227)&lt;='Assumptions and Catalog'!$C$57,((D227+E227)*C227)*'Assumptions and Catalog'!$H$57+'Assumptions and Catalog'!$E$57+'Assumptions and Catalog'!$F$57,"Out of range")))))))),IF(((D227+E227)*C227)&lt;='Assumptions and Catalog'!$C$60,((D227+E227)*C227)*'Assumptions and Catalog'!$H$60+'Assumptions and Catalog'!$E$60+'Assumptions and Catalog'!$F$60,IF(((D227+E227)*C227)&lt;='Assumptions and Catalog'!$C$61,((D227+E227)*C227)*'Assumptions and Catalog'!$H$61+'Assumptions and Catalog'!$E$61+'Assumptions and Catalog'!$F$61,IF(((D227+E227)*C227)&lt;='Assumptions and Catalog'!$C$62,((D227+E227)*C227)*'Assumptions and Catalog'!$H$62+'Assumptions and Catalog'!$E$62+'Assumptions and Catalog'!$F$62,IF(((D227+E227)*C227)&lt;='Assumptions and Catalog'!$C$63,((D227+E227)*C227)*'Assumptions and Catalog'!$H$63+'Assumptions and Catalog'!$E$63+'Assumptions and Catalog'!$F$63,IF(((D227+E227)*C227)&lt;='Assumptions and Catalog'!$C$64,((D227+E227)*C227)*'Assumptions and Catalog'!$H$64+'Assumptions and Catalog'!$E$64+'Assumptions and Catalog'!$F$64,IF(((D227+E227)*C227)&lt;='Assumptions and Catalog'!$C$65,((D227+E227)*C227)*'Assumptions and Catalog'!$H$65+'Assumptions and Catalog'!$E$65+'Assumptions and Catalog'!$F$65,"Out of range")))))))))*(1+'Assumptions and Catalog'!$C$8)^(A227-1),0)</f>
        <v>7094.794</v>
      </c>
      <c r="N227" s="5" t="n">
        <f>IF(ISNUMBER(Inputs!$L$5),(IF(Inputs!$L$9="Actual flat rate",L227*Inputs!$L$10,IF(Inputs!$C$9="Residential",IF(L227&lt;='Assumptions and Catalog'!$C$50,L227*'Assumptions and Catalog'!$H$50+'Assumptions and Catalog'!$E$50+'Assumptions and Catalog'!$F$50,IF(L227&lt;='Assumptions and Catalog'!$C$51,L227*'Assumptions and Catalog'!$H$51+'Assumptions and Catalog'!$E$51+'Assumptions and Catalog'!$F$51,IF(L227&lt;='Assumptions and Catalog'!$C$52,L227*'Assumptions and Catalog'!$H$52+'Assumptions and Catalog'!$E$52+'Assumptions and Catalog'!$F$52,IF(L227&lt;='Assumptions and Catalog'!$C$53,L227*'Assumptions and Catalog'!$H$53+'Assumptions and Catalog'!$E$53+'Assumptions and Catalog'!$F$53,IF(L227&lt;='Assumptions and Catalog'!$C$54,L227*'Assumptions and Catalog'!$H$54+'Assumptions and Catalog'!$E$54+'Assumptions and Catalog'!$F$54,IF(L227&lt;='Assumptions and Catalog'!$C$55,L227*'Assumptions and Catalog'!$H$55+'Assumptions and Catalog'!$E$55+'Assumptions and Catalog'!$F$55,IF(L227&lt;='Assumptions and Catalog'!$C$56,L227*'Assumptions and Catalog'!$H$56+'Assumptions and Catalog'!$E$56+'Assumptions and Catalog'!$F$56,IF(L227&lt;='Assumptions and Catalog'!$C$57,L227*'Assumptions and Catalog'!$H$57+'Assumptions and Catalog'!$E$57+'Assumptions and Catalog'!$F$57,"Out of range")))))))),IF(L227&lt;='Assumptions and Catalog'!$C$60,L227*'Assumptions and Catalog'!$H$60+'Assumptions and Catalog'!$E$60+'Assumptions and Catalog'!$F$60,IF(L227&lt;='Assumptions and Catalog'!$C$61,L227*'Assumptions and Catalog'!$H$61+'Assumptions and Catalog'!$E$61+'Assumptions and Catalog'!$F$61,IF(L227&lt;='Assumptions and Catalog'!$C$62,L227*'Assumptions and Catalog'!$H$62+'Assumptions and Catalog'!$E$62+'Assumptions and Catalog'!$F$62,IF(L227&lt;='Assumptions and Catalog'!$C$63,L227*'Assumptions and Catalog'!$H$63+'Assumptions and Catalog'!$E$63+'Assumptions and Catalog'!$F$63,IF(L227&lt;='Assumptions and Catalog'!$C$64,L227*'Assumptions and Catalog'!$H$64+'Assumptions and Catalog'!$E$64+'Assumptions and Catalog'!$F$64,IF(L227&lt;='Assumptions and Catalog'!$C$65,L227*'Assumptions and Catalog'!$H$65+'Assumptions and Catalog'!$E$65+'Assumptions and Catalog'!$F$65,"Out of range")))))))))*(1+'Assumptions and Catalog'!$C$8)^(A227-1),0)</f>
        <v>3567.397</v>
      </c>
      <c r="O227" s="5" t="n">
        <f>M227-N227</f>
        <v>3527.397</v>
      </c>
      <c r="P227" s="5" t="n">
        <f>C$55*(1-J$14)*(1-'Assumptions and Catalog'!$C$23)^R227</f>
        <v>0</v>
      </c>
      <c r="Q227" s="5" t="n">
        <f>IF(ISNUMBER(Inputs!$L$5),(IF(Inputs!$L$9="Actual flat rate",((D227+E227)*C227-G227)*Inputs!$L$10,IF(Inputs!$C$9="Residential",IF(((D227+E227)*C227-G227)&lt;='Assumptions and Catalog'!$C$50,((D227+E227)*C227-G227)*'Assumptions and Catalog'!$H$50+'Assumptions and Catalog'!$E$50+'Assumptions and Catalog'!$F$50,IF(((D227+E227)*C227-G227)&lt;='Assumptions and Catalog'!$C$51,((D227+E227)*C227-G227)*'Assumptions and Catalog'!$H$51+'Assumptions and Catalog'!$E$51+'Assumptions and Catalog'!$F$51,IF(((D227+E227)*C227-G227)&lt;='Assumptions and Catalog'!$C$52,((D227+E227)*C227-G227)*'Assumptions and Catalog'!$H$52+'Assumptions and Catalog'!$E$52+'Assumptions and Catalog'!$F$52,IF(((D227+E227)*C227-G227)&lt;='Assumptions and Catalog'!$C$53,((D227+E227)*C227-G227)*'Assumptions and Catalog'!$H$53+'Assumptions and Catalog'!$E$53+'Assumptions and Catalog'!$F$53,IF(((D227+E227)*C227-G227)&lt;='Assumptions and Catalog'!$C$54,((D227+E227)*C227-G227)*'Assumptions and Catalog'!$H$54+'Assumptions and Catalog'!$E$54+'Assumptions and Catalog'!$F$54,IF(((D227+E227)*C227-G227)&lt;='Assumptions and Catalog'!$C$55,((D227+E227)*C227-G227)*'Assumptions and Catalog'!$H$55+'Assumptions and Catalog'!$E$55+'Assumptions and Catalog'!$F$55,IF(((D227+E227)*C227-G227)&lt;='Assumptions and Catalog'!$C$56,((D227+E227)*C227-G227)*'Assumptions and Catalog'!$H$56+'Assumptions and Catalog'!$E$56+'Assumptions and Catalog'!$F$56,IF(((D227+E227)*C227-G227)&lt;='Assumptions and Catalog'!$C$57,((D227+E227)*C227-G227)*'Assumptions and Catalog'!$H$57+'Assumptions and Catalog'!$E$57+'Assumptions and Catalog'!$F$57,"Out of range")))))))),IF(((D227+E227)*C227-G227)&lt;='Assumptions and Catalog'!$C$60,((D227+E227)*C227-G227)*'Assumptions and Catalog'!$H$60+'Assumptions and Catalog'!$E$60+'Assumptions and Catalog'!$F$60,IF(((D227+E227)*C227-G227)&lt;='Assumptions and Catalog'!$C$61,((D227+E227)*C227-G227)*'Assumptions and Catalog'!$H$61+'Assumptions and Catalog'!$E$61+'Assumptions and Catalog'!$F$61,IF(((D227+E227)*C227-G227)&lt;='Assumptions and Catalog'!$C$62,((D227+E227)*C227-G227)*'Assumptions and Catalog'!$H$62+'Assumptions and Catalog'!$E$62+'Assumptions and Catalog'!$F$62,IF(((D227+E227)*C227-G227)&lt;='Assumptions and Catalog'!$C$63,((D227+E227)*C227-G227)*'Assumptions and Catalog'!$H$63+'Assumptions and Catalog'!$E$63+'Assumptions and Catalog'!$F$63,IF(((D227+E227)*C227-G227)&lt;='Assumptions and Catalog'!$C$64,((D227+E227)*C227-G227)*'Assumptions and Catalog'!$H$64+'Assumptions and Catalog'!$E$64+'Assumptions and Catalog'!$F$64,IF(((D227+E227)*C227-G227)&lt;='Assumptions and Catalog'!$C$65,((D227+E227)*C227-G227)*'Assumptions and Catalog'!$H$65+'Assumptions and Catalog'!$E$65+'Assumptions and Catalog'!$F$65,"Out of range")))))))))*(1+'Assumptions and Catalog'!$C$8)^(A227-1),0)</f>
        <v>3567.397</v>
      </c>
      <c r="R227" s="5" t="n">
        <f>IF(AND('Assumptions and Catalog'!$C$19&gt;0,A227&gt;='Assumptions and Catalog'!$C$19),A227-'Assumptions and Catalog'!$C$19,A227-1)</f>
        <v>5</v>
      </c>
      <c r="S227" s="5" t="n">
        <f>F227+L227-(D227+E227)*C227-J227-K227-0</f>
        <v>0</v>
      </c>
      <c r="T227" s="5"/>
      <c r="U227" s="5"/>
    </row>
    <row r="228" ht="23.100000381469727" customHeight="1">
      <c r="A228" s="5" t="n">
        <v>6</v>
      </c>
      <c r="B228" s="5" t="n">
        <v>8</v>
      </c>
      <c r="C228" s="5" t="n">
        <f>DAY(DATE('Assumptions and Catalog'!$C$24+A228-1,B228+1,0))</f>
        <v>31</v>
      </c>
      <c r="D228" s="5" t="n">
        <f>IF(ISNUMBER(Inputs!$L$5),Inputs!$L$5*Inputs!$L$6,0)</f>
        <v>40.35</v>
      </c>
      <c r="E228" s="5" t="n">
        <f>IF(ISNUMBER(Inputs!$L$5),Inputs!$L$5-D228,0)</f>
        <v>40.35</v>
      </c>
      <c r="F228" s="5" t="n">
        <f>C$51*INDEX('Solar Production'!$D$20:$D$31,B228)*C228*(1-'Assumptions and Catalog'!$C$10)^(A228-1)</f>
        <v>1431.50912978241</v>
      </c>
      <c r="G228" s="5" t="n">
        <f>MIN(F228,D228*C228)</f>
        <v>1250.85</v>
      </c>
      <c r="H228" s="5" t="n">
        <f>I228/('Assumptions and Catalog'!$C$11*'Assumptions and Catalog'!$C$12)</f>
        <v>0</v>
      </c>
      <c r="I228" s="5" t="n">
        <f>0</f>
        <v>0</v>
      </c>
      <c r="J228" s="5" t="n">
        <f>MAX(F228-G228-H228,0)</f>
        <v>180.659129782413</v>
      </c>
      <c r="K228" s="5" t="n">
        <f>H228-I228</f>
        <v>0</v>
      </c>
      <c r="L228" s="5" t="n">
        <f>(D228+E228)*C228-G228-I228+0+0</f>
        <v>1250.85</v>
      </c>
      <c r="M228" s="5" t="n">
        <f>IF(ISNUMBER(Inputs!$L$5),(IF(Inputs!$L$9="Actual flat rate",((D228+E228)*C228)*Inputs!$L$10,IF(Inputs!$C$9="Residential",IF(((D228+E228)*C228)&lt;='Assumptions and Catalog'!$C$50,((D228+E228)*C228)*'Assumptions and Catalog'!$H$50+'Assumptions and Catalog'!$E$50+'Assumptions and Catalog'!$F$50,IF(((D228+E228)*C228)&lt;='Assumptions and Catalog'!$C$51,((D228+E228)*C228)*'Assumptions and Catalog'!$H$51+'Assumptions and Catalog'!$E$51+'Assumptions and Catalog'!$F$51,IF(((D228+E228)*C228)&lt;='Assumptions and Catalog'!$C$52,((D228+E228)*C228)*'Assumptions and Catalog'!$H$52+'Assumptions and Catalog'!$E$52+'Assumptions and Catalog'!$F$52,IF(((D228+E228)*C228)&lt;='Assumptions and Catalog'!$C$53,((D228+E228)*C228)*'Assumptions and Catalog'!$H$53+'Assumptions and Catalog'!$E$53+'Assumptions and Catalog'!$F$53,IF(((D228+E228)*C228)&lt;='Assumptions and Catalog'!$C$54,((D228+E228)*C228)*'Assumptions and Catalog'!$H$54+'Assumptions and Catalog'!$E$54+'Assumptions and Catalog'!$F$54,IF(((D228+E228)*C228)&lt;='Assumptions and Catalog'!$C$55,((D228+E228)*C228)*'Assumptions and Catalog'!$H$55+'Assumptions and Catalog'!$E$55+'Assumptions and Catalog'!$F$55,IF(((D228+E228)*C228)&lt;='Assumptions and Catalog'!$C$56,((D228+E228)*C228)*'Assumptions and Catalog'!$H$56+'Assumptions and Catalog'!$E$56+'Assumptions and Catalog'!$F$56,IF(((D228+E228)*C228)&lt;='Assumptions and Catalog'!$C$57,((D228+E228)*C228)*'Assumptions and Catalog'!$H$57+'Assumptions and Catalog'!$E$57+'Assumptions and Catalog'!$F$57,"Out of range")))))))),IF(((D228+E228)*C228)&lt;='Assumptions and Catalog'!$C$60,((D228+E228)*C228)*'Assumptions and Catalog'!$H$60+'Assumptions and Catalog'!$E$60+'Assumptions and Catalog'!$F$60,IF(((D228+E228)*C228)&lt;='Assumptions and Catalog'!$C$61,((D228+E228)*C228)*'Assumptions and Catalog'!$H$61+'Assumptions and Catalog'!$E$61+'Assumptions and Catalog'!$F$61,IF(((D228+E228)*C228)&lt;='Assumptions and Catalog'!$C$62,((D228+E228)*C228)*'Assumptions and Catalog'!$H$62+'Assumptions and Catalog'!$E$62+'Assumptions and Catalog'!$F$62,IF(((D228+E228)*C228)&lt;='Assumptions and Catalog'!$C$63,((D228+E228)*C228)*'Assumptions and Catalog'!$H$63+'Assumptions and Catalog'!$E$63+'Assumptions and Catalog'!$F$63,IF(((D228+E228)*C228)&lt;='Assumptions and Catalog'!$C$64,((D228+E228)*C228)*'Assumptions and Catalog'!$H$64+'Assumptions and Catalog'!$E$64+'Assumptions and Catalog'!$F$64,IF(((D228+E228)*C228)&lt;='Assumptions and Catalog'!$C$65,((D228+E228)*C228)*'Assumptions and Catalog'!$H$65+'Assumptions and Catalog'!$E$65+'Assumptions and Catalog'!$F$65,"Out of range")))))))))*(1+'Assumptions and Catalog'!$C$8)^(A228-1),0)</f>
        <v>7094.794</v>
      </c>
      <c r="N228" s="5" t="n">
        <f>IF(ISNUMBER(Inputs!$L$5),(IF(Inputs!$L$9="Actual flat rate",L228*Inputs!$L$10,IF(Inputs!$C$9="Residential",IF(L228&lt;='Assumptions and Catalog'!$C$50,L228*'Assumptions and Catalog'!$H$50+'Assumptions and Catalog'!$E$50+'Assumptions and Catalog'!$F$50,IF(L228&lt;='Assumptions and Catalog'!$C$51,L228*'Assumptions and Catalog'!$H$51+'Assumptions and Catalog'!$E$51+'Assumptions and Catalog'!$F$51,IF(L228&lt;='Assumptions and Catalog'!$C$52,L228*'Assumptions and Catalog'!$H$52+'Assumptions and Catalog'!$E$52+'Assumptions and Catalog'!$F$52,IF(L228&lt;='Assumptions and Catalog'!$C$53,L228*'Assumptions and Catalog'!$H$53+'Assumptions and Catalog'!$E$53+'Assumptions and Catalog'!$F$53,IF(L228&lt;='Assumptions and Catalog'!$C$54,L228*'Assumptions and Catalog'!$H$54+'Assumptions and Catalog'!$E$54+'Assumptions and Catalog'!$F$54,IF(L228&lt;='Assumptions and Catalog'!$C$55,L228*'Assumptions and Catalog'!$H$55+'Assumptions and Catalog'!$E$55+'Assumptions and Catalog'!$F$55,IF(L228&lt;='Assumptions and Catalog'!$C$56,L228*'Assumptions and Catalog'!$H$56+'Assumptions and Catalog'!$E$56+'Assumptions and Catalog'!$F$56,IF(L228&lt;='Assumptions and Catalog'!$C$57,L228*'Assumptions and Catalog'!$H$57+'Assumptions and Catalog'!$E$57+'Assumptions and Catalog'!$F$57,"Out of range")))))))),IF(L228&lt;='Assumptions and Catalog'!$C$60,L228*'Assumptions and Catalog'!$H$60+'Assumptions and Catalog'!$E$60+'Assumptions and Catalog'!$F$60,IF(L228&lt;='Assumptions and Catalog'!$C$61,L228*'Assumptions and Catalog'!$H$61+'Assumptions and Catalog'!$E$61+'Assumptions and Catalog'!$F$61,IF(L228&lt;='Assumptions and Catalog'!$C$62,L228*'Assumptions and Catalog'!$H$62+'Assumptions and Catalog'!$E$62+'Assumptions and Catalog'!$F$62,IF(L228&lt;='Assumptions and Catalog'!$C$63,L228*'Assumptions and Catalog'!$H$63+'Assumptions and Catalog'!$E$63+'Assumptions and Catalog'!$F$63,IF(L228&lt;='Assumptions and Catalog'!$C$64,L228*'Assumptions and Catalog'!$H$64+'Assumptions and Catalog'!$E$64+'Assumptions and Catalog'!$F$64,IF(L228&lt;='Assumptions and Catalog'!$C$65,L228*'Assumptions and Catalog'!$H$65+'Assumptions and Catalog'!$E$65+'Assumptions and Catalog'!$F$65,"Out of range")))))))))*(1+'Assumptions and Catalog'!$C$8)^(A228-1),0)</f>
        <v>3567.397</v>
      </c>
      <c r="O228" s="5" t="n">
        <f>M228-N228</f>
        <v>3527.397</v>
      </c>
      <c r="P228" s="5" t="n">
        <f>C$55*(1-J$14)*(1-'Assumptions and Catalog'!$C$23)^R228</f>
        <v>0</v>
      </c>
      <c r="Q228" s="5" t="n">
        <f>IF(ISNUMBER(Inputs!$L$5),(IF(Inputs!$L$9="Actual flat rate",((D228+E228)*C228-G228)*Inputs!$L$10,IF(Inputs!$C$9="Residential",IF(((D228+E228)*C228-G228)&lt;='Assumptions and Catalog'!$C$50,((D228+E228)*C228-G228)*'Assumptions and Catalog'!$H$50+'Assumptions and Catalog'!$E$50+'Assumptions and Catalog'!$F$50,IF(((D228+E228)*C228-G228)&lt;='Assumptions and Catalog'!$C$51,((D228+E228)*C228-G228)*'Assumptions and Catalog'!$H$51+'Assumptions and Catalog'!$E$51+'Assumptions and Catalog'!$F$51,IF(((D228+E228)*C228-G228)&lt;='Assumptions and Catalog'!$C$52,((D228+E228)*C228-G228)*'Assumptions and Catalog'!$H$52+'Assumptions and Catalog'!$E$52+'Assumptions and Catalog'!$F$52,IF(((D228+E228)*C228-G228)&lt;='Assumptions and Catalog'!$C$53,((D228+E228)*C228-G228)*'Assumptions and Catalog'!$H$53+'Assumptions and Catalog'!$E$53+'Assumptions and Catalog'!$F$53,IF(((D228+E228)*C228-G228)&lt;='Assumptions and Catalog'!$C$54,((D228+E228)*C228-G228)*'Assumptions and Catalog'!$H$54+'Assumptions and Catalog'!$E$54+'Assumptions and Catalog'!$F$54,IF(((D228+E228)*C228-G228)&lt;='Assumptions and Catalog'!$C$55,((D228+E228)*C228-G228)*'Assumptions and Catalog'!$H$55+'Assumptions and Catalog'!$E$55+'Assumptions and Catalog'!$F$55,IF(((D228+E228)*C228-G228)&lt;='Assumptions and Catalog'!$C$56,((D228+E228)*C228-G228)*'Assumptions and Catalog'!$H$56+'Assumptions and Catalog'!$E$56+'Assumptions and Catalog'!$F$56,IF(((D228+E228)*C228-G228)&lt;='Assumptions and Catalog'!$C$57,((D228+E228)*C228-G228)*'Assumptions and Catalog'!$H$57+'Assumptions and Catalog'!$E$57+'Assumptions and Catalog'!$F$57,"Out of range")))))))),IF(((D228+E228)*C228-G228)&lt;='Assumptions and Catalog'!$C$60,((D228+E228)*C228-G228)*'Assumptions and Catalog'!$H$60+'Assumptions and Catalog'!$E$60+'Assumptions and Catalog'!$F$60,IF(((D228+E228)*C228-G228)&lt;='Assumptions and Catalog'!$C$61,((D228+E228)*C228-G228)*'Assumptions and Catalog'!$H$61+'Assumptions and Catalog'!$E$61+'Assumptions and Catalog'!$F$61,IF(((D228+E228)*C228-G228)&lt;='Assumptions and Catalog'!$C$62,((D228+E228)*C228-G228)*'Assumptions and Catalog'!$H$62+'Assumptions and Catalog'!$E$62+'Assumptions and Catalog'!$F$62,IF(((D228+E228)*C228-G228)&lt;='Assumptions and Catalog'!$C$63,((D228+E228)*C228-G228)*'Assumptions and Catalog'!$H$63+'Assumptions and Catalog'!$E$63+'Assumptions and Catalog'!$F$63,IF(((D228+E228)*C228-G228)&lt;='Assumptions and Catalog'!$C$64,((D228+E228)*C228-G228)*'Assumptions and Catalog'!$H$64+'Assumptions and Catalog'!$E$64+'Assumptions and Catalog'!$F$64,IF(((D228+E228)*C228-G228)&lt;='Assumptions and Catalog'!$C$65,((D228+E228)*C228-G228)*'Assumptions and Catalog'!$H$65+'Assumptions and Catalog'!$E$65+'Assumptions and Catalog'!$F$65,"Out of range")))))))))*(1+'Assumptions and Catalog'!$C$8)^(A228-1),0)</f>
        <v>3567.397</v>
      </c>
      <c r="R228" s="5" t="n">
        <f>IF(AND('Assumptions and Catalog'!$C$19&gt;0,A228&gt;='Assumptions and Catalog'!$C$19),A228-'Assumptions and Catalog'!$C$19,A228-1)</f>
        <v>5</v>
      </c>
      <c r="S228" s="5" t="n">
        <f>F228+L228-(D228+E228)*C228-J228-K228-0</f>
        <v>0</v>
      </c>
      <c r="T228" s="5"/>
      <c r="U228" s="5"/>
    </row>
    <row r="229" ht="23.100000381469727" customHeight="1">
      <c r="A229" s="5" t="n">
        <v>6</v>
      </c>
      <c r="B229" s="5" t="n">
        <v>9</v>
      </c>
      <c r="C229" s="5" t="n">
        <f>DAY(DATE('Assumptions and Catalog'!$C$24+A229-1,B229+1,0))</f>
        <v>30</v>
      </c>
      <c r="D229" s="5" t="n">
        <f>IF(ISNUMBER(Inputs!$L$5),Inputs!$L$5*Inputs!$L$6,0)</f>
        <v>40.35</v>
      </c>
      <c r="E229" s="5" t="n">
        <f>IF(ISNUMBER(Inputs!$L$5),Inputs!$L$5-D229,0)</f>
        <v>40.35</v>
      </c>
      <c r="F229" s="5" t="n">
        <f>C$51*INDEX('Solar Production'!$D$20:$D$31,B229)*C229*(1-'Assumptions and Catalog'!$C$10)^(A229-1)</f>
        <v>1381.73243342307</v>
      </c>
      <c r="G229" s="5" t="n">
        <f>MIN(F229,D229*C229)</f>
        <v>1210.5</v>
      </c>
      <c r="H229" s="5" t="n">
        <f>I229/('Assumptions and Catalog'!$C$11*'Assumptions and Catalog'!$C$12)</f>
        <v>0</v>
      </c>
      <c r="I229" s="5" t="n">
        <f>0</f>
        <v>0</v>
      </c>
      <c r="J229" s="5" t="n">
        <f>MAX(F229-G229-H229,0)</f>
        <v>171.232433423073</v>
      </c>
      <c r="K229" s="5" t="n">
        <f>H229-I229</f>
        <v>0</v>
      </c>
      <c r="L229" s="5" t="n">
        <f>(D229+E229)*C229-G229-I229+0+0</f>
        <v>1210.5</v>
      </c>
      <c r="M229" s="5" t="n">
        <f>IF(ISNUMBER(Inputs!$L$5),(IF(Inputs!$L$9="Actual flat rate",((D229+E229)*C229)*Inputs!$L$10,IF(Inputs!$C$9="Residential",IF(((D229+E229)*C229)&lt;='Assumptions and Catalog'!$C$50,((D229+E229)*C229)*'Assumptions and Catalog'!$H$50+'Assumptions and Catalog'!$E$50+'Assumptions and Catalog'!$F$50,IF(((D229+E229)*C229)&lt;='Assumptions and Catalog'!$C$51,((D229+E229)*C229)*'Assumptions and Catalog'!$H$51+'Assumptions and Catalog'!$E$51+'Assumptions and Catalog'!$F$51,IF(((D229+E229)*C229)&lt;='Assumptions and Catalog'!$C$52,((D229+E229)*C229)*'Assumptions and Catalog'!$H$52+'Assumptions and Catalog'!$E$52+'Assumptions and Catalog'!$F$52,IF(((D229+E229)*C229)&lt;='Assumptions and Catalog'!$C$53,((D229+E229)*C229)*'Assumptions and Catalog'!$H$53+'Assumptions and Catalog'!$E$53+'Assumptions and Catalog'!$F$53,IF(((D229+E229)*C229)&lt;='Assumptions and Catalog'!$C$54,((D229+E229)*C229)*'Assumptions and Catalog'!$H$54+'Assumptions and Catalog'!$E$54+'Assumptions and Catalog'!$F$54,IF(((D229+E229)*C229)&lt;='Assumptions and Catalog'!$C$55,((D229+E229)*C229)*'Assumptions and Catalog'!$H$55+'Assumptions and Catalog'!$E$55+'Assumptions and Catalog'!$F$55,IF(((D229+E229)*C229)&lt;='Assumptions and Catalog'!$C$56,((D229+E229)*C229)*'Assumptions and Catalog'!$H$56+'Assumptions and Catalog'!$E$56+'Assumptions and Catalog'!$F$56,IF(((D229+E229)*C229)&lt;='Assumptions and Catalog'!$C$57,((D229+E229)*C229)*'Assumptions and Catalog'!$H$57+'Assumptions and Catalog'!$E$57+'Assumptions and Catalog'!$F$57,"Out of range")))))))),IF(((D229+E229)*C229)&lt;='Assumptions and Catalog'!$C$60,((D229+E229)*C229)*'Assumptions and Catalog'!$H$60+'Assumptions and Catalog'!$E$60+'Assumptions and Catalog'!$F$60,IF(((D229+E229)*C229)&lt;='Assumptions and Catalog'!$C$61,((D229+E229)*C229)*'Assumptions and Catalog'!$H$61+'Assumptions and Catalog'!$E$61+'Assumptions and Catalog'!$F$61,IF(((D229+E229)*C229)&lt;='Assumptions and Catalog'!$C$62,((D229+E229)*C229)*'Assumptions and Catalog'!$H$62+'Assumptions and Catalog'!$E$62+'Assumptions and Catalog'!$F$62,IF(((D229+E229)*C229)&lt;='Assumptions and Catalog'!$C$63,((D229+E229)*C229)*'Assumptions and Catalog'!$H$63+'Assumptions and Catalog'!$E$63+'Assumptions and Catalog'!$F$63,IF(((D229+E229)*C229)&lt;='Assumptions and Catalog'!$C$64,((D229+E229)*C229)*'Assumptions and Catalog'!$H$64+'Assumptions and Catalog'!$E$64+'Assumptions and Catalog'!$F$64,IF(((D229+E229)*C229)&lt;='Assumptions and Catalog'!$C$65,((D229+E229)*C229)*'Assumptions and Catalog'!$H$65+'Assumptions and Catalog'!$E$65+'Assumptions and Catalog'!$F$65,"Out of range")))))))))*(1+'Assumptions and Catalog'!$C$8)^(A229-1),0)</f>
        <v>6867.22</v>
      </c>
      <c r="N229" s="5" t="n">
        <f>IF(ISNUMBER(Inputs!$L$5),(IF(Inputs!$L$9="Actual flat rate",L229*Inputs!$L$10,IF(Inputs!$C$9="Residential",IF(L229&lt;='Assumptions and Catalog'!$C$50,L229*'Assumptions and Catalog'!$H$50+'Assumptions and Catalog'!$E$50+'Assumptions and Catalog'!$F$50,IF(L229&lt;='Assumptions and Catalog'!$C$51,L229*'Assumptions and Catalog'!$H$51+'Assumptions and Catalog'!$E$51+'Assumptions and Catalog'!$F$51,IF(L229&lt;='Assumptions and Catalog'!$C$52,L229*'Assumptions and Catalog'!$H$52+'Assumptions and Catalog'!$E$52+'Assumptions and Catalog'!$F$52,IF(L229&lt;='Assumptions and Catalog'!$C$53,L229*'Assumptions and Catalog'!$H$53+'Assumptions and Catalog'!$E$53+'Assumptions and Catalog'!$F$53,IF(L229&lt;='Assumptions and Catalog'!$C$54,L229*'Assumptions and Catalog'!$H$54+'Assumptions and Catalog'!$E$54+'Assumptions and Catalog'!$F$54,IF(L229&lt;='Assumptions and Catalog'!$C$55,L229*'Assumptions and Catalog'!$H$55+'Assumptions and Catalog'!$E$55+'Assumptions and Catalog'!$F$55,IF(L229&lt;='Assumptions and Catalog'!$C$56,L229*'Assumptions and Catalog'!$H$56+'Assumptions and Catalog'!$E$56+'Assumptions and Catalog'!$F$56,IF(L229&lt;='Assumptions and Catalog'!$C$57,L229*'Assumptions and Catalog'!$H$57+'Assumptions and Catalog'!$E$57+'Assumptions and Catalog'!$F$57,"Out of range")))))))),IF(L229&lt;='Assumptions and Catalog'!$C$60,L229*'Assumptions and Catalog'!$H$60+'Assumptions and Catalog'!$E$60+'Assumptions and Catalog'!$F$60,IF(L229&lt;='Assumptions and Catalog'!$C$61,L229*'Assumptions and Catalog'!$H$61+'Assumptions and Catalog'!$E$61+'Assumptions and Catalog'!$F$61,IF(L229&lt;='Assumptions and Catalog'!$C$62,L229*'Assumptions and Catalog'!$H$62+'Assumptions and Catalog'!$E$62+'Assumptions and Catalog'!$F$62,IF(L229&lt;='Assumptions and Catalog'!$C$63,L229*'Assumptions and Catalog'!$H$63+'Assumptions and Catalog'!$E$63+'Assumptions and Catalog'!$F$63,IF(L229&lt;='Assumptions and Catalog'!$C$64,L229*'Assumptions and Catalog'!$H$64+'Assumptions and Catalog'!$E$64+'Assumptions and Catalog'!$F$64,IF(L229&lt;='Assumptions and Catalog'!$C$65,L229*'Assumptions and Catalog'!$H$65+'Assumptions and Catalog'!$E$65+'Assumptions and Catalog'!$F$65,"Out of range")))))))))*(1+'Assumptions and Catalog'!$C$8)^(A229-1),0)</f>
        <v>3453.61</v>
      </c>
      <c r="O229" s="5" t="n">
        <f>M229-N229</f>
        <v>3413.61</v>
      </c>
      <c r="P229" s="5" t="n">
        <f>C$55*(1-J$14)*(1-'Assumptions and Catalog'!$C$23)^R229</f>
        <v>0</v>
      </c>
      <c r="Q229" s="5" t="n">
        <f>IF(ISNUMBER(Inputs!$L$5),(IF(Inputs!$L$9="Actual flat rate",((D229+E229)*C229-G229)*Inputs!$L$10,IF(Inputs!$C$9="Residential",IF(((D229+E229)*C229-G229)&lt;='Assumptions and Catalog'!$C$50,((D229+E229)*C229-G229)*'Assumptions and Catalog'!$H$50+'Assumptions and Catalog'!$E$50+'Assumptions and Catalog'!$F$50,IF(((D229+E229)*C229-G229)&lt;='Assumptions and Catalog'!$C$51,((D229+E229)*C229-G229)*'Assumptions and Catalog'!$H$51+'Assumptions and Catalog'!$E$51+'Assumptions and Catalog'!$F$51,IF(((D229+E229)*C229-G229)&lt;='Assumptions and Catalog'!$C$52,((D229+E229)*C229-G229)*'Assumptions and Catalog'!$H$52+'Assumptions and Catalog'!$E$52+'Assumptions and Catalog'!$F$52,IF(((D229+E229)*C229-G229)&lt;='Assumptions and Catalog'!$C$53,((D229+E229)*C229-G229)*'Assumptions and Catalog'!$H$53+'Assumptions and Catalog'!$E$53+'Assumptions and Catalog'!$F$53,IF(((D229+E229)*C229-G229)&lt;='Assumptions and Catalog'!$C$54,((D229+E229)*C229-G229)*'Assumptions and Catalog'!$H$54+'Assumptions and Catalog'!$E$54+'Assumptions and Catalog'!$F$54,IF(((D229+E229)*C229-G229)&lt;='Assumptions and Catalog'!$C$55,((D229+E229)*C229-G229)*'Assumptions and Catalog'!$H$55+'Assumptions and Catalog'!$E$55+'Assumptions and Catalog'!$F$55,IF(((D229+E229)*C229-G229)&lt;='Assumptions and Catalog'!$C$56,((D229+E229)*C229-G229)*'Assumptions and Catalog'!$H$56+'Assumptions and Catalog'!$E$56+'Assumptions and Catalog'!$F$56,IF(((D229+E229)*C229-G229)&lt;='Assumptions and Catalog'!$C$57,((D229+E229)*C229-G229)*'Assumptions and Catalog'!$H$57+'Assumptions and Catalog'!$E$57+'Assumptions and Catalog'!$F$57,"Out of range")))))))),IF(((D229+E229)*C229-G229)&lt;='Assumptions and Catalog'!$C$60,((D229+E229)*C229-G229)*'Assumptions and Catalog'!$H$60+'Assumptions and Catalog'!$E$60+'Assumptions and Catalog'!$F$60,IF(((D229+E229)*C229-G229)&lt;='Assumptions and Catalog'!$C$61,((D229+E229)*C229-G229)*'Assumptions and Catalog'!$H$61+'Assumptions and Catalog'!$E$61+'Assumptions and Catalog'!$F$61,IF(((D229+E229)*C229-G229)&lt;='Assumptions and Catalog'!$C$62,((D229+E229)*C229-G229)*'Assumptions and Catalog'!$H$62+'Assumptions and Catalog'!$E$62+'Assumptions and Catalog'!$F$62,IF(((D229+E229)*C229-G229)&lt;='Assumptions and Catalog'!$C$63,((D229+E229)*C229-G229)*'Assumptions and Catalog'!$H$63+'Assumptions and Catalog'!$E$63+'Assumptions and Catalog'!$F$63,IF(((D229+E229)*C229-G229)&lt;='Assumptions and Catalog'!$C$64,((D229+E229)*C229-G229)*'Assumptions and Catalog'!$H$64+'Assumptions and Catalog'!$E$64+'Assumptions and Catalog'!$F$64,IF(((D229+E229)*C229-G229)&lt;='Assumptions and Catalog'!$C$65,((D229+E229)*C229-G229)*'Assumptions and Catalog'!$H$65+'Assumptions and Catalog'!$E$65+'Assumptions and Catalog'!$F$65,"Out of range")))))))))*(1+'Assumptions and Catalog'!$C$8)^(A229-1),0)</f>
        <v>3453.61</v>
      </c>
      <c r="R229" s="5" t="n">
        <f>IF(AND('Assumptions and Catalog'!$C$19&gt;0,A229&gt;='Assumptions and Catalog'!$C$19),A229-'Assumptions and Catalog'!$C$19,A229-1)</f>
        <v>5</v>
      </c>
      <c r="S229" s="5" t="n">
        <f>F229+L229-(D229+E229)*C229-J229-K229-0</f>
        <v>0</v>
      </c>
      <c r="T229" s="5"/>
      <c r="U229" s="5"/>
    </row>
    <row r="230" ht="23.100000381469727" customHeight="1">
      <c r="A230" s="5" t="n">
        <v>6</v>
      </c>
      <c r="B230" s="5" t="n">
        <v>10</v>
      </c>
      <c r="C230" s="5" t="n">
        <f>DAY(DATE('Assumptions and Catalog'!$C$24+A230-1,B230+1,0))</f>
        <v>31</v>
      </c>
      <c r="D230" s="5" t="n">
        <f>IF(ISNUMBER(Inputs!$L$5),Inputs!$L$5*Inputs!$L$6,0)</f>
        <v>40.35</v>
      </c>
      <c r="E230" s="5" t="n">
        <f>IF(ISNUMBER(Inputs!$L$5),Inputs!$L$5-D230,0)</f>
        <v>40.35</v>
      </c>
      <c r="F230" s="5" t="n">
        <f>C$51*INDEX('Solar Production'!$D$20:$D$31,B230)*C230*(1-'Assumptions and Catalog'!$C$10)^(A230-1)</f>
        <v>1326.20567041533</v>
      </c>
      <c r="G230" s="5" t="n">
        <f>MIN(F230,D230*C230)</f>
        <v>1250.85</v>
      </c>
      <c r="H230" s="5" t="n">
        <f>I230/('Assumptions and Catalog'!$C$11*'Assumptions and Catalog'!$C$12)</f>
        <v>0</v>
      </c>
      <c r="I230" s="5" t="n">
        <f>0</f>
        <v>0</v>
      </c>
      <c r="J230" s="5" t="n">
        <f>MAX(F230-G230-H230,0)</f>
        <v>75.3556704153255</v>
      </c>
      <c r="K230" s="5" t="n">
        <f>H230-I230</f>
        <v>0</v>
      </c>
      <c r="L230" s="5" t="n">
        <f>(D230+E230)*C230-G230-I230+0+0</f>
        <v>1250.85</v>
      </c>
      <c r="M230" s="5" t="n">
        <f>IF(ISNUMBER(Inputs!$L$5),(IF(Inputs!$L$9="Actual flat rate",((D230+E230)*C230)*Inputs!$L$10,IF(Inputs!$C$9="Residential",IF(((D230+E230)*C230)&lt;='Assumptions and Catalog'!$C$50,((D230+E230)*C230)*'Assumptions and Catalog'!$H$50+'Assumptions and Catalog'!$E$50+'Assumptions and Catalog'!$F$50,IF(((D230+E230)*C230)&lt;='Assumptions and Catalog'!$C$51,((D230+E230)*C230)*'Assumptions and Catalog'!$H$51+'Assumptions and Catalog'!$E$51+'Assumptions and Catalog'!$F$51,IF(((D230+E230)*C230)&lt;='Assumptions and Catalog'!$C$52,((D230+E230)*C230)*'Assumptions and Catalog'!$H$52+'Assumptions and Catalog'!$E$52+'Assumptions and Catalog'!$F$52,IF(((D230+E230)*C230)&lt;='Assumptions and Catalog'!$C$53,((D230+E230)*C230)*'Assumptions and Catalog'!$H$53+'Assumptions and Catalog'!$E$53+'Assumptions and Catalog'!$F$53,IF(((D230+E230)*C230)&lt;='Assumptions and Catalog'!$C$54,((D230+E230)*C230)*'Assumptions and Catalog'!$H$54+'Assumptions and Catalog'!$E$54+'Assumptions and Catalog'!$F$54,IF(((D230+E230)*C230)&lt;='Assumptions and Catalog'!$C$55,((D230+E230)*C230)*'Assumptions and Catalog'!$H$55+'Assumptions and Catalog'!$E$55+'Assumptions and Catalog'!$F$55,IF(((D230+E230)*C230)&lt;='Assumptions and Catalog'!$C$56,((D230+E230)*C230)*'Assumptions and Catalog'!$H$56+'Assumptions and Catalog'!$E$56+'Assumptions and Catalog'!$F$56,IF(((D230+E230)*C230)&lt;='Assumptions and Catalog'!$C$57,((D230+E230)*C230)*'Assumptions and Catalog'!$H$57+'Assumptions and Catalog'!$E$57+'Assumptions and Catalog'!$F$57,"Out of range")))))))),IF(((D230+E230)*C230)&lt;='Assumptions and Catalog'!$C$60,((D230+E230)*C230)*'Assumptions and Catalog'!$H$60+'Assumptions and Catalog'!$E$60+'Assumptions and Catalog'!$F$60,IF(((D230+E230)*C230)&lt;='Assumptions and Catalog'!$C$61,((D230+E230)*C230)*'Assumptions and Catalog'!$H$61+'Assumptions and Catalog'!$E$61+'Assumptions and Catalog'!$F$61,IF(((D230+E230)*C230)&lt;='Assumptions and Catalog'!$C$62,((D230+E230)*C230)*'Assumptions and Catalog'!$H$62+'Assumptions and Catalog'!$E$62+'Assumptions and Catalog'!$F$62,IF(((D230+E230)*C230)&lt;='Assumptions and Catalog'!$C$63,((D230+E230)*C230)*'Assumptions and Catalog'!$H$63+'Assumptions and Catalog'!$E$63+'Assumptions and Catalog'!$F$63,IF(((D230+E230)*C230)&lt;='Assumptions and Catalog'!$C$64,((D230+E230)*C230)*'Assumptions and Catalog'!$H$64+'Assumptions and Catalog'!$E$64+'Assumptions and Catalog'!$F$64,IF(((D230+E230)*C230)&lt;='Assumptions and Catalog'!$C$65,((D230+E230)*C230)*'Assumptions and Catalog'!$H$65+'Assumptions and Catalog'!$E$65+'Assumptions and Catalog'!$F$65,"Out of range")))))))))*(1+'Assumptions and Catalog'!$C$8)^(A230-1),0)</f>
        <v>7094.794</v>
      </c>
      <c r="N230" s="5" t="n">
        <f>IF(ISNUMBER(Inputs!$L$5),(IF(Inputs!$L$9="Actual flat rate",L230*Inputs!$L$10,IF(Inputs!$C$9="Residential",IF(L230&lt;='Assumptions and Catalog'!$C$50,L230*'Assumptions and Catalog'!$H$50+'Assumptions and Catalog'!$E$50+'Assumptions and Catalog'!$F$50,IF(L230&lt;='Assumptions and Catalog'!$C$51,L230*'Assumptions and Catalog'!$H$51+'Assumptions and Catalog'!$E$51+'Assumptions and Catalog'!$F$51,IF(L230&lt;='Assumptions and Catalog'!$C$52,L230*'Assumptions and Catalog'!$H$52+'Assumptions and Catalog'!$E$52+'Assumptions and Catalog'!$F$52,IF(L230&lt;='Assumptions and Catalog'!$C$53,L230*'Assumptions and Catalog'!$H$53+'Assumptions and Catalog'!$E$53+'Assumptions and Catalog'!$F$53,IF(L230&lt;='Assumptions and Catalog'!$C$54,L230*'Assumptions and Catalog'!$H$54+'Assumptions and Catalog'!$E$54+'Assumptions and Catalog'!$F$54,IF(L230&lt;='Assumptions and Catalog'!$C$55,L230*'Assumptions and Catalog'!$H$55+'Assumptions and Catalog'!$E$55+'Assumptions and Catalog'!$F$55,IF(L230&lt;='Assumptions and Catalog'!$C$56,L230*'Assumptions and Catalog'!$H$56+'Assumptions and Catalog'!$E$56+'Assumptions and Catalog'!$F$56,IF(L230&lt;='Assumptions and Catalog'!$C$57,L230*'Assumptions and Catalog'!$H$57+'Assumptions and Catalog'!$E$57+'Assumptions and Catalog'!$F$57,"Out of range")))))))),IF(L230&lt;='Assumptions and Catalog'!$C$60,L230*'Assumptions and Catalog'!$H$60+'Assumptions and Catalog'!$E$60+'Assumptions and Catalog'!$F$60,IF(L230&lt;='Assumptions and Catalog'!$C$61,L230*'Assumptions and Catalog'!$H$61+'Assumptions and Catalog'!$E$61+'Assumptions and Catalog'!$F$61,IF(L230&lt;='Assumptions and Catalog'!$C$62,L230*'Assumptions and Catalog'!$H$62+'Assumptions and Catalog'!$E$62+'Assumptions and Catalog'!$F$62,IF(L230&lt;='Assumptions and Catalog'!$C$63,L230*'Assumptions and Catalog'!$H$63+'Assumptions and Catalog'!$E$63+'Assumptions and Catalog'!$F$63,IF(L230&lt;='Assumptions and Catalog'!$C$64,L230*'Assumptions and Catalog'!$H$64+'Assumptions and Catalog'!$E$64+'Assumptions and Catalog'!$F$64,IF(L230&lt;='Assumptions and Catalog'!$C$65,L230*'Assumptions and Catalog'!$H$65+'Assumptions and Catalog'!$E$65+'Assumptions and Catalog'!$F$65,"Out of range")))))))))*(1+'Assumptions and Catalog'!$C$8)^(A230-1),0)</f>
        <v>3567.397</v>
      </c>
      <c r="O230" s="5" t="n">
        <f>M230-N230</f>
        <v>3527.397</v>
      </c>
      <c r="P230" s="5" t="n">
        <f>C$55*(1-J$14)*(1-'Assumptions and Catalog'!$C$23)^R230</f>
        <v>0</v>
      </c>
      <c r="Q230" s="5" t="n">
        <f>IF(ISNUMBER(Inputs!$L$5),(IF(Inputs!$L$9="Actual flat rate",((D230+E230)*C230-G230)*Inputs!$L$10,IF(Inputs!$C$9="Residential",IF(((D230+E230)*C230-G230)&lt;='Assumptions and Catalog'!$C$50,((D230+E230)*C230-G230)*'Assumptions and Catalog'!$H$50+'Assumptions and Catalog'!$E$50+'Assumptions and Catalog'!$F$50,IF(((D230+E230)*C230-G230)&lt;='Assumptions and Catalog'!$C$51,((D230+E230)*C230-G230)*'Assumptions and Catalog'!$H$51+'Assumptions and Catalog'!$E$51+'Assumptions and Catalog'!$F$51,IF(((D230+E230)*C230-G230)&lt;='Assumptions and Catalog'!$C$52,((D230+E230)*C230-G230)*'Assumptions and Catalog'!$H$52+'Assumptions and Catalog'!$E$52+'Assumptions and Catalog'!$F$52,IF(((D230+E230)*C230-G230)&lt;='Assumptions and Catalog'!$C$53,((D230+E230)*C230-G230)*'Assumptions and Catalog'!$H$53+'Assumptions and Catalog'!$E$53+'Assumptions and Catalog'!$F$53,IF(((D230+E230)*C230-G230)&lt;='Assumptions and Catalog'!$C$54,((D230+E230)*C230-G230)*'Assumptions and Catalog'!$H$54+'Assumptions and Catalog'!$E$54+'Assumptions and Catalog'!$F$54,IF(((D230+E230)*C230-G230)&lt;='Assumptions and Catalog'!$C$55,((D230+E230)*C230-G230)*'Assumptions and Catalog'!$H$55+'Assumptions and Catalog'!$E$55+'Assumptions and Catalog'!$F$55,IF(((D230+E230)*C230-G230)&lt;='Assumptions and Catalog'!$C$56,((D230+E230)*C230-G230)*'Assumptions and Catalog'!$H$56+'Assumptions and Catalog'!$E$56+'Assumptions and Catalog'!$F$56,IF(((D230+E230)*C230-G230)&lt;='Assumptions and Catalog'!$C$57,((D230+E230)*C230-G230)*'Assumptions and Catalog'!$H$57+'Assumptions and Catalog'!$E$57+'Assumptions and Catalog'!$F$57,"Out of range")))))))),IF(((D230+E230)*C230-G230)&lt;='Assumptions and Catalog'!$C$60,((D230+E230)*C230-G230)*'Assumptions and Catalog'!$H$60+'Assumptions and Catalog'!$E$60+'Assumptions and Catalog'!$F$60,IF(((D230+E230)*C230-G230)&lt;='Assumptions and Catalog'!$C$61,((D230+E230)*C230-G230)*'Assumptions and Catalog'!$H$61+'Assumptions and Catalog'!$E$61+'Assumptions and Catalog'!$F$61,IF(((D230+E230)*C230-G230)&lt;='Assumptions and Catalog'!$C$62,((D230+E230)*C230-G230)*'Assumptions and Catalog'!$H$62+'Assumptions and Catalog'!$E$62+'Assumptions and Catalog'!$F$62,IF(((D230+E230)*C230-G230)&lt;='Assumptions and Catalog'!$C$63,((D230+E230)*C230-G230)*'Assumptions and Catalog'!$H$63+'Assumptions and Catalog'!$E$63+'Assumptions and Catalog'!$F$63,IF(((D230+E230)*C230-G230)&lt;='Assumptions and Catalog'!$C$64,((D230+E230)*C230-G230)*'Assumptions and Catalog'!$H$64+'Assumptions and Catalog'!$E$64+'Assumptions and Catalog'!$F$64,IF(((D230+E230)*C230-G230)&lt;='Assumptions and Catalog'!$C$65,((D230+E230)*C230-G230)*'Assumptions and Catalog'!$H$65+'Assumptions and Catalog'!$E$65+'Assumptions and Catalog'!$F$65,"Out of range")))))))))*(1+'Assumptions and Catalog'!$C$8)^(A230-1),0)</f>
        <v>3567.397</v>
      </c>
      <c r="R230" s="5" t="n">
        <f>IF(AND('Assumptions and Catalog'!$C$19&gt;0,A230&gt;='Assumptions and Catalog'!$C$19),A230-'Assumptions and Catalog'!$C$19,A230-1)</f>
        <v>5</v>
      </c>
      <c r="S230" s="5" t="n">
        <f>F230+L230-(D230+E230)*C230-J230-K230-0</f>
        <v>0</v>
      </c>
      <c r="T230" s="5"/>
      <c r="U230" s="5"/>
    </row>
    <row r="231" ht="23.100000381469727" customHeight="1">
      <c r="A231" s="5" t="n">
        <v>6</v>
      </c>
      <c r="B231" s="5" t="n">
        <v>11</v>
      </c>
      <c r="C231" s="5" t="n">
        <f>DAY(DATE('Assumptions and Catalog'!$C$24+A231-1,B231+1,0))</f>
        <v>30</v>
      </c>
      <c r="D231" s="5" t="n">
        <f>IF(ISNUMBER(Inputs!$L$5),Inputs!$L$5*Inputs!$L$6,0)</f>
        <v>40.35</v>
      </c>
      <c r="E231" s="5" t="n">
        <f>IF(ISNUMBER(Inputs!$L$5),Inputs!$L$5-D231,0)</f>
        <v>40.35</v>
      </c>
      <c r="F231" s="5" t="n">
        <f>C$51*INDEX('Solar Production'!$D$20:$D$31,B231)*C231*(1-'Assumptions and Catalog'!$C$10)^(A231-1)</f>
        <v>1175.50243109291</v>
      </c>
      <c r="G231" s="5" t="n">
        <f>MIN(F231,D231*C231)</f>
        <v>1175.50243109291</v>
      </c>
      <c r="H231" s="5" t="n">
        <f>I231/('Assumptions and Catalog'!$C$11*'Assumptions and Catalog'!$C$12)</f>
        <v>0</v>
      </c>
      <c r="I231" s="5" t="n">
        <f>0</f>
        <v>0</v>
      </c>
      <c r="J231" s="5" t="n">
        <f>MAX(F231-G231-H231,0)</f>
        <v>0</v>
      </c>
      <c r="K231" s="5" t="n">
        <f>H231-I231</f>
        <v>0</v>
      </c>
      <c r="L231" s="5" t="n">
        <f>(D231+E231)*C231-G231-I231+0+0</f>
        <v>1245.49756890709</v>
      </c>
      <c r="M231" s="5" t="n">
        <f>IF(ISNUMBER(Inputs!$L$5),(IF(Inputs!$L$9="Actual flat rate",((D231+E231)*C231)*Inputs!$L$10,IF(Inputs!$C$9="Residential",IF(((D231+E231)*C231)&lt;='Assumptions and Catalog'!$C$50,((D231+E231)*C231)*'Assumptions and Catalog'!$H$50+'Assumptions and Catalog'!$E$50+'Assumptions and Catalog'!$F$50,IF(((D231+E231)*C231)&lt;='Assumptions and Catalog'!$C$51,((D231+E231)*C231)*'Assumptions and Catalog'!$H$51+'Assumptions and Catalog'!$E$51+'Assumptions and Catalog'!$F$51,IF(((D231+E231)*C231)&lt;='Assumptions and Catalog'!$C$52,((D231+E231)*C231)*'Assumptions and Catalog'!$H$52+'Assumptions and Catalog'!$E$52+'Assumptions and Catalog'!$F$52,IF(((D231+E231)*C231)&lt;='Assumptions and Catalog'!$C$53,((D231+E231)*C231)*'Assumptions and Catalog'!$H$53+'Assumptions and Catalog'!$E$53+'Assumptions and Catalog'!$F$53,IF(((D231+E231)*C231)&lt;='Assumptions and Catalog'!$C$54,((D231+E231)*C231)*'Assumptions and Catalog'!$H$54+'Assumptions and Catalog'!$E$54+'Assumptions and Catalog'!$F$54,IF(((D231+E231)*C231)&lt;='Assumptions and Catalog'!$C$55,((D231+E231)*C231)*'Assumptions and Catalog'!$H$55+'Assumptions and Catalog'!$E$55+'Assumptions and Catalog'!$F$55,IF(((D231+E231)*C231)&lt;='Assumptions and Catalog'!$C$56,((D231+E231)*C231)*'Assumptions and Catalog'!$H$56+'Assumptions and Catalog'!$E$56+'Assumptions and Catalog'!$F$56,IF(((D231+E231)*C231)&lt;='Assumptions and Catalog'!$C$57,((D231+E231)*C231)*'Assumptions and Catalog'!$H$57+'Assumptions and Catalog'!$E$57+'Assumptions and Catalog'!$F$57,"Out of range")))))))),IF(((D231+E231)*C231)&lt;='Assumptions and Catalog'!$C$60,((D231+E231)*C231)*'Assumptions and Catalog'!$H$60+'Assumptions and Catalog'!$E$60+'Assumptions and Catalog'!$F$60,IF(((D231+E231)*C231)&lt;='Assumptions and Catalog'!$C$61,((D231+E231)*C231)*'Assumptions and Catalog'!$H$61+'Assumptions and Catalog'!$E$61+'Assumptions and Catalog'!$F$61,IF(((D231+E231)*C231)&lt;='Assumptions and Catalog'!$C$62,((D231+E231)*C231)*'Assumptions and Catalog'!$H$62+'Assumptions and Catalog'!$E$62+'Assumptions and Catalog'!$F$62,IF(((D231+E231)*C231)&lt;='Assumptions and Catalog'!$C$63,((D231+E231)*C231)*'Assumptions and Catalog'!$H$63+'Assumptions and Catalog'!$E$63+'Assumptions and Catalog'!$F$63,IF(((D231+E231)*C231)&lt;='Assumptions and Catalog'!$C$64,((D231+E231)*C231)*'Assumptions and Catalog'!$H$64+'Assumptions and Catalog'!$E$64+'Assumptions and Catalog'!$F$64,IF(((D231+E231)*C231)&lt;='Assumptions and Catalog'!$C$65,((D231+E231)*C231)*'Assumptions and Catalog'!$H$65+'Assumptions and Catalog'!$E$65+'Assumptions and Catalog'!$F$65,"Out of range")))))))))*(1+'Assumptions and Catalog'!$C$8)^(A231-1),0)</f>
        <v>6867.22</v>
      </c>
      <c r="N231" s="5" t="n">
        <f>IF(ISNUMBER(Inputs!$L$5),(IF(Inputs!$L$9="Actual flat rate",L231*Inputs!$L$10,IF(Inputs!$C$9="Residential",IF(L231&lt;='Assumptions and Catalog'!$C$50,L231*'Assumptions and Catalog'!$H$50+'Assumptions and Catalog'!$E$50+'Assumptions and Catalog'!$F$50,IF(L231&lt;='Assumptions and Catalog'!$C$51,L231*'Assumptions and Catalog'!$H$51+'Assumptions and Catalog'!$E$51+'Assumptions and Catalog'!$F$51,IF(L231&lt;='Assumptions and Catalog'!$C$52,L231*'Assumptions and Catalog'!$H$52+'Assumptions and Catalog'!$E$52+'Assumptions and Catalog'!$F$52,IF(L231&lt;='Assumptions and Catalog'!$C$53,L231*'Assumptions and Catalog'!$H$53+'Assumptions and Catalog'!$E$53+'Assumptions and Catalog'!$F$53,IF(L231&lt;='Assumptions and Catalog'!$C$54,L231*'Assumptions and Catalog'!$H$54+'Assumptions and Catalog'!$E$54+'Assumptions and Catalog'!$F$54,IF(L231&lt;='Assumptions and Catalog'!$C$55,L231*'Assumptions and Catalog'!$H$55+'Assumptions and Catalog'!$E$55+'Assumptions and Catalog'!$F$55,IF(L231&lt;='Assumptions and Catalog'!$C$56,L231*'Assumptions and Catalog'!$H$56+'Assumptions and Catalog'!$E$56+'Assumptions and Catalog'!$F$56,IF(L231&lt;='Assumptions and Catalog'!$C$57,L231*'Assumptions and Catalog'!$H$57+'Assumptions and Catalog'!$E$57+'Assumptions and Catalog'!$F$57,"Out of range")))))))),IF(L231&lt;='Assumptions and Catalog'!$C$60,L231*'Assumptions and Catalog'!$H$60+'Assumptions and Catalog'!$E$60+'Assumptions and Catalog'!$F$60,IF(L231&lt;='Assumptions and Catalog'!$C$61,L231*'Assumptions and Catalog'!$H$61+'Assumptions and Catalog'!$E$61+'Assumptions and Catalog'!$F$61,IF(L231&lt;='Assumptions and Catalog'!$C$62,L231*'Assumptions and Catalog'!$H$62+'Assumptions and Catalog'!$E$62+'Assumptions and Catalog'!$F$62,IF(L231&lt;='Assumptions and Catalog'!$C$63,L231*'Assumptions and Catalog'!$H$63+'Assumptions and Catalog'!$E$63+'Assumptions and Catalog'!$F$63,IF(L231&lt;='Assumptions and Catalog'!$C$64,L231*'Assumptions and Catalog'!$H$64+'Assumptions and Catalog'!$E$64+'Assumptions and Catalog'!$F$64,IF(L231&lt;='Assumptions and Catalog'!$C$65,L231*'Assumptions and Catalog'!$H$65+'Assumptions and Catalog'!$E$65+'Assumptions and Catalog'!$F$65,"Out of range")))))))))*(1+'Assumptions and Catalog'!$C$8)^(A231-1),0)</f>
        <v>3552.303144318</v>
      </c>
      <c r="O231" s="5" t="n">
        <f>M231-N231</f>
        <v>3314.916855682</v>
      </c>
      <c r="P231" s="5" t="n">
        <f>C$55*(1-J$14)*(1-'Assumptions and Catalog'!$C$23)^R231</f>
        <v>0</v>
      </c>
      <c r="Q231" s="5" t="n">
        <f>IF(ISNUMBER(Inputs!$L$5),(IF(Inputs!$L$9="Actual flat rate",((D231+E231)*C231-G231)*Inputs!$L$10,IF(Inputs!$C$9="Residential",IF(((D231+E231)*C231-G231)&lt;='Assumptions and Catalog'!$C$50,((D231+E231)*C231-G231)*'Assumptions and Catalog'!$H$50+'Assumptions and Catalog'!$E$50+'Assumptions and Catalog'!$F$50,IF(((D231+E231)*C231-G231)&lt;='Assumptions and Catalog'!$C$51,((D231+E231)*C231-G231)*'Assumptions and Catalog'!$H$51+'Assumptions and Catalog'!$E$51+'Assumptions and Catalog'!$F$51,IF(((D231+E231)*C231-G231)&lt;='Assumptions and Catalog'!$C$52,((D231+E231)*C231-G231)*'Assumptions and Catalog'!$H$52+'Assumptions and Catalog'!$E$52+'Assumptions and Catalog'!$F$52,IF(((D231+E231)*C231-G231)&lt;='Assumptions and Catalog'!$C$53,((D231+E231)*C231-G231)*'Assumptions and Catalog'!$H$53+'Assumptions and Catalog'!$E$53+'Assumptions and Catalog'!$F$53,IF(((D231+E231)*C231-G231)&lt;='Assumptions and Catalog'!$C$54,((D231+E231)*C231-G231)*'Assumptions and Catalog'!$H$54+'Assumptions and Catalog'!$E$54+'Assumptions and Catalog'!$F$54,IF(((D231+E231)*C231-G231)&lt;='Assumptions and Catalog'!$C$55,((D231+E231)*C231-G231)*'Assumptions and Catalog'!$H$55+'Assumptions and Catalog'!$E$55+'Assumptions and Catalog'!$F$55,IF(((D231+E231)*C231-G231)&lt;='Assumptions and Catalog'!$C$56,((D231+E231)*C231-G231)*'Assumptions and Catalog'!$H$56+'Assumptions and Catalog'!$E$56+'Assumptions and Catalog'!$F$56,IF(((D231+E231)*C231-G231)&lt;='Assumptions and Catalog'!$C$57,((D231+E231)*C231-G231)*'Assumptions and Catalog'!$H$57+'Assumptions and Catalog'!$E$57+'Assumptions and Catalog'!$F$57,"Out of range")))))))),IF(((D231+E231)*C231-G231)&lt;='Assumptions and Catalog'!$C$60,((D231+E231)*C231-G231)*'Assumptions and Catalog'!$H$60+'Assumptions and Catalog'!$E$60+'Assumptions and Catalog'!$F$60,IF(((D231+E231)*C231-G231)&lt;='Assumptions and Catalog'!$C$61,((D231+E231)*C231-G231)*'Assumptions and Catalog'!$H$61+'Assumptions and Catalog'!$E$61+'Assumptions and Catalog'!$F$61,IF(((D231+E231)*C231-G231)&lt;='Assumptions and Catalog'!$C$62,((D231+E231)*C231-G231)*'Assumptions and Catalog'!$H$62+'Assumptions and Catalog'!$E$62+'Assumptions and Catalog'!$F$62,IF(((D231+E231)*C231-G231)&lt;='Assumptions and Catalog'!$C$63,((D231+E231)*C231-G231)*'Assumptions and Catalog'!$H$63+'Assumptions and Catalog'!$E$63+'Assumptions and Catalog'!$F$63,IF(((D231+E231)*C231-G231)&lt;='Assumptions and Catalog'!$C$64,((D231+E231)*C231-G231)*'Assumptions and Catalog'!$H$64+'Assumptions and Catalog'!$E$64+'Assumptions and Catalog'!$F$64,IF(((D231+E231)*C231-G231)&lt;='Assumptions and Catalog'!$C$65,((D231+E231)*C231-G231)*'Assumptions and Catalog'!$H$65+'Assumptions and Catalog'!$E$65+'Assumptions and Catalog'!$F$65,"Out of range")))))))))*(1+'Assumptions and Catalog'!$C$8)^(A231-1),0)</f>
        <v>3552.303144318</v>
      </c>
      <c r="R231" s="5" t="n">
        <f>IF(AND('Assumptions and Catalog'!$C$19&gt;0,A231&gt;='Assumptions and Catalog'!$C$19),A231-'Assumptions and Catalog'!$C$19,A231-1)</f>
        <v>5</v>
      </c>
      <c r="S231" s="5" t="n">
        <f>F231+L231-(D231+E231)*C231-J231-K231-0</f>
        <v>0</v>
      </c>
      <c r="T231" s="5"/>
      <c r="U231" s="5"/>
    </row>
    <row r="232" ht="23.100000381469727" customHeight="1">
      <c r="A232" s="5" t="n">
        <v>6</v>
      </c>
      <c r="B232" s="5" t="n">
        <v>12</v>
      </c>
      <c r="C232" s="5" t="n">
        <f>DAY(DATE('Assumptions and Catalog'!$C$24+A232-1,B232+1,0))</f>
        <v>31</v>
      </c>
      <c r="D232" s="5" t="n">
        <f>IF(ISNUMBER(Inputs!$L$5),Inputs!$L$5*Inputs!$L$6,0)</f>
        <v>40.35</v>
      </c>
      <c r="E232" s="5" t="n">
        <f>IF(ISNUMBER(Inputs!$L$5),Inputs!$L$5-D232,0)</f>
        <v>40.35</v>
      </c>
      <c r="F232" s="5" t="n">
        <f>C$51*INDEX('Solar Production'!$D$20:$D$31,B232)*C232*(1-'Assumptions and Catalog'!$C$10)^(A232-1)</f>
        <v>1119.11744918241</v>
      </c>
      <c r="G232" s="5" t="n">
        <f>MIN(F232,D232*C232)</f>
        <v>1119.11744918241</v>
      </c>
      <c r="H232" s="5" t="n">
        <f>I232/('Assumptions and Catalog'!$C$11*'Assumptions and Catalog'!$C$12)</f>
        <v>0</v>
      </c>
      <c r="I232" s="5" t="n">
        <f>0</f>
        <v>0</v>
      </c>
      <c r="J232" s="5" t="n">
        <f>MAX(F232-G232-H232,0)</f>
        <v>0</v>
      </c>
      <c r="K232" s="5" t="n">
        <f>H232-I232</f>
        <v>0</v>
      </c>
      <c r="L232" s="5" t="n">
        <f>(D232+E232)*C232-G232-I232+0+0</f>
        <v>1382.58255081759</v>
      </c>
      <c r="M232" s="5" t="n">
        <f>IF(ISNUMBER(Inputs!$L$5),(IF(Inputs!$L$9="Actual flat rate",((D232+E232)*C232)*Inputs!$L$10,IF(Inputs!$C$9="Residential",IF(((D232+E232)*C232)&lt;='Assumptions and Catalog'!$C$50,((D232+E232)*C232)*'Assumptions and Catalog'!$H$50+'Assumptions and Catalog'!$E$50+'Assumptions and Catalog'!$F$50,IF(((D232+E232)*C232)&lt;='Assumptions and Catalog'!$C$51,((D232+E232)*C232)*'Assumptions and Catalog'!$H$51+'Assumptions and Catalog'!$E$51+'Assumptions and Catalog'!$F$51,IF(((D232+E232)*C232)&lt;='Assumptions and Catalog'!$C$52,((D232+E232)*C232)*'Assumptions and Catalog'!$H$52+'Assumptions and Catalog'!$E$52+'Assumptions and Catalog'!$F$52,IF(((D232+E232)*C232)&lt;='Assumptions and Catalog'!$C$53,((D232+E232)*C232)*'Assumptions and Catalog'!$H$53+'Assumptions and Catalog'!$E$53+'Assumptions and Catalog'!$F$53,IF(((D232+E232)*C232)&lt;='Assumptions and Catalog'!$C$54,((D232+E232)*C232)*'Assumptions and Catalog'!$H$54+'Assumptions and Catalog'!$E$54+'Assumptions and Catalog'!$F$54,IF(((D232+E232)*C232)&lt;='Assumptions and Catalog'!$C$55,((D232+E232)*C232)*'Assumptions and Catalog'!$H$55+'Assumptions and Catalog'!$E$55+'Assumptions and Catalog'!$F$55,IF(((D232+E232)*C232)&lt;='Assumptions and Catalog'!$C$56,((D232+E232)*C232)*'Assumptions and Catalog'!$H$56+'Assumptions and Catalog'!$E$56+'Assumptions and Catalog'!$F$56,IF(((D232+E232)*C232)&lt;='Assumptions and Catalog'!$C$57,((D232+E232)*C232)*'Assumptions and Catalog'!$H$57+'Assumptions and Catalog'!$E$57+'Assumptions and Catalog'!$F$57,"Out of range")))))))),IF(((D232+E232)*C232)&lt;='Assumptions and Catalog'!$C$60,((D232+E232)*C232)*'Assumptions and Catalog'!$H$60+'Assumptions and Catalog'!$E$60+'Assumptions and Catalog'!$F$60,IF(((D232+E232)*C232)&lt;='Assumptions and Catalog'!$C$61,((D232+E232)*C232)*'Assumptions and Catalog'!$H$61+'Assumptions and Catalog'!$E$61+'Assumptions and Catalog'!$F$61,IF(((D232+E232)*C232)&lt;='Assumptions and Catalog'!$C$62,((D232+E232)*C232)*'Assumptions and Catalog'!$H$62+'Assumptions and Catalog'!$E$62+'Assumptions and Catalog'!$F$62,IF(((D232+E232)*C232)&lt;='Assumptions and Catalog'!$C$63,((D232+E232)*C232)*'Assumptions and Catalog'!$H$63+'Assumptions and Catalog'!$E$63+'Assumptions and Catalog'!$F$63,IF(((D232+E232)*C232)&lt;='Assumptions and Catalog'!$C$64,((D232+E232)*C232)*'Assumptions and Catalog'!$H$64+'Assumptions and Catalog'!$E$64+'Assumptions and Catalog'!$F$64,IF(((D232+E232)*C232)&lt;='Assumptions and Catalog'!$C$65,((D232+E232)*C232)*'Assumptions and Catalog'!$H$65+'Assumptions and Catalog'!$E$65+'Assumptions and Catalog'!$F$65,"Out of range")))))))))*(1+'Assumptions and Catalog'!$C$8)^(A232-1),0)</f>
        <v>7094.794</v>
      </c>
      <c r="N232" s="5" t="n">
        <f>IF(ISNUMBER(Inputs!$L$5),(IF(Inputs!$L$9="Actual flat rate",L232*Inputs!$L$10,IF(Inputs!$C$9="Residential",IF(L232&lt;='Assumptions and Catalog'!$C$50,L232*'Assumptions and Catalog'!$H$50+'Assumptions and Catalog'!$E$50+'Assumptions and Catalog'!$F$50,IF(L232&lt;='Assumptions and Catalog'!$C$51,L232*'Assumptions and Catalog'!$H$51+'Assumptions and Catalog'!$E$51+'Assumptions and Catalog'!$F$51,IF(L232&lt;='Assumptions and Catalog'!$C$52,L232*'Assumptions and Catalog'!$H$52+'Assumptions and Catalog'!$E$52+'Assumptions and Catalog'!$F$52,IF(L232&lt;='Assumptions and Catalog'!$C$53,L232*'Assumptions and Catalog'!$H$53+'Assumptions and Catalog'!$E$53+'Assumptions and Catalog'!$F$53,IF(L232&lt;='Assumptions and Catalog'!$C$54,L232*'Assumptions and Catalog'!$H$54+'Assumptions and Catalog'!$E$54+'Assumptions and Catalog'!$F$54,IF(L232&lt;='Assumptions and Catalog'!$C$55,L232*'Assumptions and Catalog'!$H$55+'Assumptions and Catalog'!$E$55+'Assumptions and Catalog'!$F$55,IF(L232&lt;='Assumptions and Catalog'!$C$56,L232*'Assumptions and Catalog'!$H$56+'Assumptions and Catalog'!$E$56+'Assumptions and Catalog'!$F$56,IF(L232&lt;='Assumptions and Catalog'!$C$57,L232*'Assumptions and Catalog'!$H$57+'Assumptions and Catalog'!$E$57+'Assumptions and Catalog'!$F$57,"Out of range")))))))),IF(L232&lt;='Assumptions and Catalog'!$C$60,L232*'Assumptions and Catalog'!$H$60+'Assumptions and Catalog'!$E$60+'Assumptions and Catalog'!$F$60,IF(L232&lt;='Assumptions and Catalog'!$C$61,L232*'Assumptions and Catalog'!$H$61+'Assumptions and Catalog'!$E$61+'Assumptions and Catalog'!$F$61,IF(L232&lt;='Assumptions and Catalog'!$C$62,L232*'Assumptions and Catalog'!$H$62+'Assumptions and Catalog'!$E$62+'Assumptions and Catalog'!$F$62,IF(L232&lt;='Assumptions and Catalog'!$C$63,L232*'Assumptions and Catalog'!$H$63+'Assumptions and Catalog'!$E$63+'Assumptions and Catalog'!$F$63,IF(L232&lt;='Assumptions and Catalog'!$C$64,L232*'Assumptions and Catalog'!$H$64+'Assumptions and Catalog'!$E$64+'Assumptions and Catalog'!$F$64,IF(L232&lt;='Assumptions and Catalog'!$C$65,L232*'Assumptions and Catalog'!$H$65+'Assumptions and Catalog'!$E$65+'Assumptions and Catalog'!$F$65,"Out of range")))))))))*(1+'Assumptions and Catalog'!$C$8)^(A232-1),0)</f>
        <v>3938.88279330559</v>
      </c>
      <c r="O232" s="5" t="n">
        <f>M232-N232</f>
        <v>3155.91120669441</v>
      </c>
      <c r="P232" s="5" t="n">
        <f>C$55*(1-J$14)*(1-'Assumptions and Catalog'!$C$23)^R232</f>
        <v>0</v>
      </c>
      <c r="Q232" s="5" t="n">
        <f>IF(ISNUMBER(Inputs!$L$5),(IF(Inputs!$L$9="Actual flat rate",((D232+E232)*C232-G232)*Inputs!$L$10,IF(Inputs!$C$9="Residential",IF(((D232+E232)*C232-G232)&lt;='Assumptions and Catalog'!$C$50,((D232+E232)*C232-G232)*'Assumptions and Catalog'!$H$50+'Assumptions and Catalog'!$E$50+'Assumptions and Catalog'!$F$50,IF(((D232+E232)*C232-G232)&lt;='Assumptions and Catalog'!$C$51,((D232+E232)*C232-G232)*'Assumptions and Catalog'!$H$51+'Assumptions and Catalog'!$E$51+'Assumptions and Catalog'!$F$51,IF(((D232+E232)*C232-G232)&lt;='Assumptions and Catalog'!$C$52,((D232+E232)*C232-G232)*'Assumptions and Catalog'!$H$52+'Assumptions and Catalog'!$E$52+'Assumptions and Catalog'!$F$52,IF(((D232+E232)*C232-G232)&lt;='Assumptions and Catalog'!$C$53,((D232+E232)*C232-G232)*'Assumptions and Catalog'!$H$53+'Assumptions and Catalog'!$E$53+'Assumptions and Catalog'!$F$53,IF(((D232+E232)*C232-G232)&lt;='Assumptions and Catalog'!$C$54,((D232+E232)*C232-G232)*'Assumptions and Catalog'!$H$54+'Assumptions and Catalog'!$E$54+'Assumptions and Catalog'!$F$54,IF(((D232+E232)*C232-G232)&lt;='Assumptions and Catalog'!$C$55,((D232+E232)*C232-G232)*'Assumptions and Catalog'!$H$55+'Assumptions and Catalog'!$E$55+'Assumptions and Catalog'!$F$55,IF(((D232+E232)*C232-G232)&lt;='Assumptions and Catalog'!$C$56,((D232+E232)*C232-G232)*'Assumptions and Catalog'!$H$56+'Assumptions and Catalog'!$E$56+'Assumptions and Catalog'!$F$56,IF(((D232+E232)*C232-G232)&lt;='Assumptions and Catalog'!$C$57,((D232+E232)*C232-G232)*'Assumptions and Catalog'!$H$57+'Assumptions and Catalog'!$E$57+'Assumptions and Catalog'!$F$57,"Out of range")))))))),IF(((D232+E232)*C232-G232)&lt;='Assumptions and Catalog'!$C$60,((D232+E232)*C232-G232)*'Assumptions and Catalog'!$H$60+'Assumptions and Catalog'!$E$60+'Assumptions and Catalog'!$F$60,IF(((D232+E232)*C232-G232)&lt;='Assumptions and Catalog'!$C$61,((D232+E232)*C232-G232)*'Assumptions and Catalog'!$H$61+'Assumptions and Catalog'!$E$61+'Assumptions and Catalog'!$F$61,IF(((D232+E232)*C232-G232)&lt;='Assumptions and Catalog'!$C$62,((D232+E232)*C232-G232)*'Assumptions and Catalog'!$H$62+'Assumptions and Catalog'!$E$62+'Assumptions and Catalog'!$F$62,IF(((D232+E232)*C232-G232)&lt;='Assumptions and Catalog'!$C$63,((D232+E232)*C232-G232)*'Assumptions and Catalog'!$H$63+'Assumptions and Catalog'!$E$63+'Assumptions and Catalog'!$F$63,IF(((D232+E232)*C232-G232)&lt;='Assumptions and Catalog'!$C$64,((D232+E232)*C232-G232)*'Assumptions and Catalog'!$H$64+'Assumptions and Catalog'!$E$64+'Assumptions and Catalog'!$F$64,IF(((D232+E232)*C232-G232)&lt;='Assumptions and Catalog'!$C$65,((D232+E232)*C232-G232)*'Assumptions and Catalog'!$H$65+'Assumptions and Catalog'!$E$65+'Assumptions and Catalog'!$F$65,"Out of range")))))))))*(1+'Assumptions and Catalog'!$C$8)^(A232-1),0)</f>
        <v>3938.88279330559</v>
      </c>
      <c r="R232" s="5" t="n">
        <f>IF(AND('Assumptions and Catalog'!$C$19&gt;0,A232&gt;='Assumptions and Catalog'!$C$19),A232-'Assumptions and Catalog'!$C$19,A232-1)</f>
        <v>5</v>
      </c>
      <c r="S232" s="5" t="n">
        <f>F232+L232-(D232+E232)*C232-J232-K232-0</f>
        <v>0</v>
      </c>
      <c r="T232" s="5"/>
      <c r="U232" s="5"/>
    </row>
    <row r="233" ht="23.100000381469727" customHeight="1">
      <c r="A233" s="5" t="n">
        <v>7</v>
      </c>
      <c r="B233" s="5" t="n">
        <v>1</v>
      </c>
      <c r="C233" s="5" t="n">
        <f>DAY(DATE('Assumptions and Catalog'!$C$24+A233-1,B233+1,0))</f>
        <v>31</v>
      </c>
      <c r="D233" s="5" t="n">
        <f>IF(ISNUMBER(Inputs!$L$5),Inputs!$L$5*Inputs!$L$6,0)</f>
        <v>40.35</v>
      </c>
      <c r="E233" s="5" t="n">
        <f>IF(ISNUMBER(Inputs!$L$5),Inputs!$L$5-D233,0)</f>
        <v>40.35</v>
      </c>
      <c r="F233" s="5" t="n">
        <f>C$51*INDEX('Solar Production'!$D$20:$D$31,B233)*C233*(1-'Assumptions and Catalog'!$C$10)^(A233-1)</f>
        <v>1121.2072122106</v>
      </c>
      <c r="G233" s="5" t="n">
        <f>MIN(F233,D233*C233)</f>
        <v>1121.2072122106</v>
      </c>
      <c r="H233" s="5" t="n">
        <f>I233/('Assumptions and Catalog'!$C$11*'Assumptions and Catalog'!$C$12)</f>
        <v>0</v>
      </c>
      <c r="I233" s="5" t="n">
        <f>0</f>
        <v>0</v>
      </c>
      <c r="J233" s="5" t="n">
        <f>MAX(F233-G233-H233,0)</f>
        <v>0</v>
      </c>
      <c r="K233" s="5" t="n">
        <f>H233-I233</f>
        <v>0</v>
      </c>
      <c r="L233" s="5" t="n">
        <f>(D233+E233)*C233-G233-I233+0+0</f>
        <v>1380.4927877894</v>
      </c>
      <c r="M233" s="5" t="n">
        <f>IF(ISNUMBER(Inputs!$L$5),(IF(Inputs!$L$9="Actual flat rate",((D233+E233)*C233)*Inputs!$L$10,IF(Inputs!$C$9="Residential",IF(((D233+E233)*C233)&lt;='Assumptions and Catalog'!$C$50,((D233+E233)*C233)*'Assumptions and Catalog'!$H$50+'Assumptions and Catalog'!$E$50+'Assumptions and Catalog'!$F$50,IF(((D233+E233)*C233)&lt;='Assumptions and Catalog'!$C$51,((D233+E233)*C233)*'Assumptions and Catalog'!$H$51+'Assumptions and Catalog'!$E$51+'Assumptions and Catalog'!$F$51,IF(((D233+E233)*C233)&lt;='Assumptions and Catalog'!$C$52,((D233+E233)*C233)*'Assumptions and Catalog'!$H$52+'Assumptions and Catalog'!$E$52+'Assumptions and Catalog'!$F$52,IF(((D233+E233)*C233)&lt;='Assumptions and Catalog'!$C$53,((D233+E233)*C233)*'Assumptions and Catalog'!$H$53+'Assumptions and Catalog'!$E$53+'Assumptions and Catalog'!$F$53,IF(((D233+E233)*C233)&lt;='Assumptions and Catalog'!$C$54,((D233+E233)*C233)*'Assumptions and Catalog'!$H$54+'Assumptions and Catalog'!$E$54+'Assumptions and Catalog'!$F$54,IF(((D233+E233)*C233)&lt;='Assumptions and Catalog'!$C$55,((D233+E233)*C233)*'Assumptions and Catalog'!$H$55+'Assumptions and Catalog'!$E$55+'Assumptions and Catalog'!$F$55,IF(((D233+E233)*C233)&lt;='Assumptions and Catalog'!$C$56,((D233+E233)*C233)*'Assumptions and Catalog'!$H$56+'Assumptions and Catalog'!$E$56+'Assumptions and Catalog'!$F$56,IF(((D233+E233)*C233)&lt;='Assumptions and Catalog'!$C$57,((D233+E233)*C233)*'Assumptions and Catalog'!$H$57+'Assumptions and Catalog'!$E$57+'Assumptions and Catalog'!$F$57,"Out of range")))))))),IF(((D233+E233)*C233)&lt;='Assumptions and Catalog'!$C$60,((D233+E233)*C233)*'Assumptions and Catalog'!$H$60+'Assumptions and Catalog'!$E$60+'Assumptions and Catalog'!$F$60,IF(((D233+E233)*C233)&lt;='Assumptions and Catalog'!$C$61,((D233+E233)*C233)*'Assumptions and Catalog'!$H$61+'Assumptions and Catalog'!$E$61+'Assumptions and Catalog'!$F$61,IF(((D233+E233)*C233)&lt;='Assumptions and Catalog'!$C$62,((D233+E233)*C233)*'Assumptions and Catalog'!$H$62+'Assumptions and Catalog'!$E$62+'Assumptions and Catalog'!$F$62,IF(((D233+E233)*C233)&lt;='Assumptions and Catalog'!$C$63,((D233+E233)*C233)*'Assumptions and Catalog'!$H$63+'Assumptions and Catalog'!$E$63+'Assumptions and Catalog'!$F$63,IF(((D233+E233)*C233)&lt;='Assumptions and Catalog'!$C$64,((D233+E233)*C233)*'Assumptions and Catalog'!$H$64+'Assumptions and Catalog'!$E$64+'Assumptions and Catalog'!$F$64,IF(((D233+E233)*C233)&lt;='Assumptions and Catalog'!$C$65,((D233+E233)*C233)*'Assumptions and Catalog'!$H$65+'Assumptions and Catalog'!$E$65+'Assumptions and Catalog'!$F$65,"Out of range")))))))))*(1+'Assumptions and Catalog'!$C$8)^(A233-1),0)</f>
        <v>7094.794</v>
      </c>
      <c r="N233" s="5" t="n">
        <f>IF(ISNUMBER(Inputs!$L$5),(IF(Inputs!$L$9="Actual flat rate",L233*Inputs!$L$10,IF(Inputs!$C$9="Residential",IF(L233&lt;='Assumptions and Catalog'!$C$50,L233*'Assumptions and Catalog'!$H$50+'Assumptions and Catalog'!$E$50+'Assumptions and Catalog'!$F$50,IF(L233&lt;='Assumptions and Catalog'!$C$51,L233*'Assumptions and Catalog'!$H$51+'Assumptions and Catalog'!$E$51+'Assumptions and Catalog'!$F$51,IF(L233&lt;='Assumptions and Catalog'!$C$52,L233*'Assumptions and Catalog'!$H$52+'Assumptions and Catalog'!$E$52+'Assumptions and Catalog'!$F$52,IF(L233&lt;='Assumptions and Catalog'!$C$53,L233*'Assumptions and Catalog'!$H$53+'Assumptions and Catalog'!$E$53+'Assumptions and Catalog'!$F$53,IF(L233&lt;='Assumptions and Catalog'!$C$54,L233*'Assumptions and Catalog'!$H$54+'Assumptions and Catalog'!$E$54+'Assumptions and Catalog'!$F$54,IF(L233&lt;='Assumptions and Catalog'!$C$55,L233*'Assumptions and Catalog'!$H$55+'Assumptions and Catalog'!$E$55+'Assumptions and Catalog'!$F$55,IF(L233&lt;='Assumptions and Catalog'!$C$56,L233*'Assumptions and Catalog'!$H$56+'Assumptions and Catalog'!$E$56+'Assumptions and Catalog'!$F$56,IF(L233&lt;='Assumptions and Catalog'!$C$57,L233*'Assumptions and Catalog'!$H$57+'Assumptions and Catalog'!$E$57+'Assumptions and Catalog'!$F$57,"Out of range")))))))),IF(L233&lt;='Assumptions and Catalog'!$C$60,L233*'Assumptions and Catalog'!$H$60+'Assumptions and Catalog'!$E$60+'Assumptions and Catalog'!$F$60,IF(L233&lt;='Assumptions and Catalog'!$C$61,L233*'Assumptions and Catalog'!$H$61+'Assumptions and Catalog'!$E$61+'Assumptions and Catalog'!$F$61,IF(L233&lt;='Assumptions and Catalog'!$C$62,L233*'Assumptions and Catalog'!$H$62+'Assumptions and Catalog'!$E$62+'Assumptions and Catalog'!$F$62,IF(L233&lt;='Assumptions and Catalog'!$C$63,L233*'Assumptions and Catalog'!$H$63+'Assumptions and Catalog'!$E$63+'Assumptions and Catalog'!$F$63,IF(L233&lt;='Assumptions and Catalog'!$C$64,L233*'Assumptions and Catalog'!$H$64+'Assumptions and Catalog'!$E$64+'Assumptions and Catalog'!$F$64,IF(L233&lt;='Assumptions and Catalog'!$C$65,L233*'Assumptions and Catalog'!$H$65+'Assumptions and Catalog'!$E$65+'Assumptions and Catalog'!$F$65,"Out of range")))))))))*(1+'Assumptions and Catalog'!$C$8)^(A233-1),0)</f>
        <v>3932.9896615661</v>
      </c>
      <c r="O233" s="5" t="n">
        <f>M233-N233</f>
        <v>3161.8043384339</v>
      </c>
      <c r="P233" s="5" t="n">
        <f>C$55*(1-J$14)*(1-'Assumptions and Catalog'!$C$23)^R233</f>
        <v>0</v>
      </c>
      <c r="Q233" s="5" t="n">
        <f>IF(ISNUMBER(Inputs!$L$5),(IF(Inputs!$L$9="Actual flat rate",((D233+E233)*C233-G233)*Inputs!$L$10,IF(Inputs!$C$9="Residential",IF(((D233+E233)*C233-G233)&lt;='Assumptions and Catalog'!$C$50,((D233+E233)*C233-G233)*'Assumptions and Catalog'!$H$50+'Assumptions and Catalog'!$E$50+'Assumptions and Catalog'!$F$50,IF(((D233+E233)*C233-G233)&lt;='Assumptions and Catalog'!$C$51,((D233+E233)*C233-G233)*'Assumptions and Catalog'!$H$51+'Assumptions and Catalog'!$E$51+'Assumptions and Catalog'!$F$51,IF(((D233+E233)*C233-G233)&lt;='Assumptions and Catalog'!$C$52,((D233+E233)*C233-G233)*'Assumptions and Catalog'!$H$52+'Assumptions and Catalog'!$E$52+'Assumptions and Catalog'!$F$52,IF(((D233+E233)*C233-G233)&lt;='Assumptions and Catalog'!$C$53,((D233+E233)*C233-G233)*'Assumptions and Catalog'!$H$53+'Assumptions and Catalog'!$E$53+'Assumptions and Catalog'!$F$53,IF(((D233+E233)*C233-G233)&lt;='Assumptions and Catalog'!$C$54,((D233+E233)*C233-G233)*'Assumptions and Catalog'!$H$54+'Assumptions and Catalog'!$E$54+'Assumptions and Catalog'!$F$54,IF(((D233+E233)*C233-G233)&lt;='Assumptions and Catalog'!$C$55,((D233+E233)*C233-G233)*'Assumptions and Catalog'!$H$55+'Assumptions and Catalog'!$E$55+'Assumptions and Catalog'!$F$55,IF(((D233+E233)*C233-G233)&lt;='Assumptions and Catalog'!$C$56,((D233+E233)*C233-G233)*'Assumptions and Catalog'!$H$56+'Assumptions and Catalog'!$E$56+'Assumptions and Catalog'!$F$56,IF(((D233+E233)*C233-G233)&lt;='Assumptions and Catalog'!$C$57,((D233+E233)*C233-G233)*'Assumptions and Catalog'!$H$57+'Assumptions and Catalog'!$E$57+'Assumptions and Catalog'!$F$57,"Out of range")))))))),IF(((D233+E233)*C233-G233)&lt;='Assumptions and Catalog'!$C$60,((D233+E233)*C233-G233)*'Assumptions and Catalog'!$H$60+'Assumptions and Catalog'!$E$60+'Assumptions and Catalog'!$F$60,IF(((D233+E233)*C233-G233)&lt;='Assumptions and Catalog'!$C$61,((D233+E233)*C233-G233)*'Assumptions and Catalog'!$H$61+'Assumptions and Catalog'!$E$61+'Assumptions and Catalog'!$F$61,IF(((D233+E233)*C233-G233)&lt;='Assumptions and Catalog'!$C$62,((D233+E233)*C233-G233)*'Assumptions and Catalog'!$H$62+'Assumptions and Catalog'!$E$62+'Assumptions and Catalog'!$F$62,IF(((D233+E233)*C233-G233)&lt;='Assumptions and Catalog'!$C$63,((D233+E233)*C233-G233)*'Assumptions and Catalog'!$H$63+'Assumptions and Catalog'!$E$63+'Assumptions and Catalog'!$F$63,IF(((D233+E233)*C233-G233)&lt;='Assumptions and Catalog'!$C$64,((D233+E233)*C233-G233)*'Assumptions and Catalog'!$H$64+'Assumptions and Catalog'!$E$64+'Assumptions and Catalog'!$F$64,IF(((D233+E233)*C233-G233)&lt;='Assumptions and Catalog'!$C$65,((D233+E233)*C233-G233)*'Assumptions and Catalog'!$H$65+'Assumptions and Catalog'!$E$65+'Assumptions and Catalog'!$F$65,"Out of range")))))))))*(1+'Assumptions and Catalog'!$C$8)^(A233-1),0)</f>
        <v>3932.9896615661</v>
      </c>
      <c r="R233" s="5" t="n">
        <f>IF(AND('Assumptions and Catalog'!$C$19&gt;0,A233&gt;='Assumptions and Catalog'!$C$19),A233-'Assumptions and Catalog'!$C$19,A233-1)</f>
        <v>6</v>
      </c>
      <c r="S233" s="5" t="n">
        <f>F233+L233-(D233+E233)*C233-J233-K233-0</f>
        <v>0</v>
      </c>
      <c r="T233" s="5"/>
      <c r="U233" s="5"/>
    </row>
    <row r="234" ht="23.100000381469727" customHeight="1">
      <c r="A234" s="5" t="n">
        <v>7</v>
      </c>
      <c r="B234" s="5" t="n">
        <v>2</v>
      </c>
      <c r="C234" s="5" t="n">
        <f>DAY(DATE('Assumptions and Catalog'!$C$24+A234-1,B234+1,0))</f>
        <v>28</v>
      </c>
      <c r="D234" s="5" t="n">
        <f>IF(ISNUMBER(Inputs!$L$5),Inputs!$L$5*Inputs!$L$6,0)</f>
        <v>40.35</v>
      </c>
      <c r="E234" s="5" t="n">
        <f>IF(ISNUMBER(Inputs!$L$5),Inputs!$L$5-D234,0)</f>
        <v>40.35</v>
      </c>
      <c r="F234" s="5" t="n">
        <f>C$51*INDEX('Solar Production'!$D$20:$D$31,B234)*C234*(1-'Assumptions and Catalog'!$C$10)^(A234-1)</f>
        <v>1105.40954775828</v>
      </c>
      <c r="G234" s="5" t="n">
        <f>MIN(F234,D234*C234)</f>
        <v>1105.40954775828</v>
      </c>
      <c r="H234" s="5" t="n">
        <f>I234/('Assumptions and Catalog'!$C$11*'Assumptions and Catalog'!$C$12)</f>
        <v>0</v>
      </c>
      <c r="I234" s="5" t="n">
        <f>0</f>
        <v>0</v>
      </c>
      <c r="J234" s="5" t="n">
        <f>MAX(F234-G234-H234,0)</f>
        <v>0</v>
      </c>
      <c r="K234" s="5" t="n">
        <f>H234-I234</f>
        <v>0</v>
      </c>
      <c r="L234" s="5" t="n">
        <f>(D234+E234)*C234-G234-I234+0+0</f>
        <v>1154.19045224172</v>
      </c>
      <c r="M234" s="5" t="n">
        <f>IF(ISNUMBER(Inputs!$L$5),(IF(Inputs!$L$9="Actual flat rate",((D234+E234)*C234)*Inputs!$L$10,IF(Inputs!$C$9="Residential",IF(((D234+E234)*C234)&lt;='Assumptions and Catalog'!$C$50,((D234+E234)*C234)*'Assumptions and Catalog'!$H$50+'Assumptions and Catalog'!$E$50+'Assumptions and Catalog'!$F$50,IF(((D234+E234)*C234)&lt;='Assumptions and Catalog'!$C$51,((D234+E234)*C234)*'Assumptions and Catalog'!$H$51+'Assumptions and Catalog'!$E$51+'Assumptions and Catalog'!$F$51,IF(((D234+E234)*C234)&lt;='Assumptions and Catalog'!$C$52,((D234+E234)*C234)*'Assumptions and Catalog'!$H$52+'Assumptions and Catalog'!$E$52+'Assumptions and Catalog'!$F$52,IF(((D234+E234)*C234)&lt;='Assumptions and Catalog'!$C$53,((D234+E234)*C234)*'Assumptions and Catalog'!$H$53+'Assumptions and Catalog'!$E$53+'Assumptions and Catalog'!$F$53,IF(((D234+E234)*C234)&lt;='Assumptions and Catalog'!$C$54,((D234+E234)*C234)*'Assumptions and Catalog'!$H$54+'Assumptions and Catalog'!$E$54+'Assumptions and Catalog'!$F$54,IF(((D234+E234)*C234)&lt;='Assumptions and Catalog'!$C$55,((D234+E234)*C234)*'Assumptions and Catalog'!$H$55+'Assumptions and Catalog'!$E$55+'Assumptions and Catalog'!$F$55,IF(((D234+E234)*C234)&lt;='Assumptions and Catalog'!$C$56,((D234+E234)*C234)*'Assumptions and Catalog'!$H$56+'Assumptions and Catalog'!$E$56+'Assumptions and Catalog'!$F$56,IF(((D234+E234)*C234)&lt;='Assumptions and Catalog'!$C$57,((D234+E234)*C234)*'Assumptions and Catalog'!$H$57+'Assumptions and Catalog'!$E$57+'Assumptions and Catalog'!$F$57,"Out of range")))))))),IF(((D234+E234)*C234)&lt;='Assumptions and Catalog'!$C$60,((D234+E234)*C234)*'Assumptions and Catalog'!$H$60+'Assumptions and Catalog'!$E$60+'Assumptions and Catalog'!$F$60,IF(((D234+E234)*C234)&lt;='Assumptions and Catalog'!$C$61,((D234+E234)*C234)*'Assumptions and Catalog'!$H$61+'Assumptions and Catalog'!$E$61+'Assumptions and Catalog'!$F$61,IF(((D234+E234)*C234)&lt;='Assumptions and Catalog'!$C$62,((D234+E234)*C234)*'Assumptions and Catalog'!$H$62+'Assumptions and Catalog'!$E$62+'Assumptions and Catalog'!$F$62,IF(((D234+E234)*C234)&lt;='Assumptions and Catalog'!$C$63,((D234+E234)*C234)*'Assumptions and Catalog'!$H$63+'Assumptions and Catalog'!$E$63+'Assumptions and Catalog'!$F$63,IF(((D234+E234)*C234)&lt;='Assumptions and Catalog'!$C$64,((D234+E234)*C234)*'Assumptions and Catalog'!$H$64+'Assumptions and Catalog'!$E$64+'Assumptions and Catalog'!$F$64,IF(((D234+E234)*C234)&lt;='Assumptions and Catalog'!$C$65,((D234+E234)*C234)*'Assumptions and Catalog'!$H$65+'Assumptions and Catalog'!$E$65+'Assumptions and Catalog'!$F$65,"Out of range")))))))))*(1+'Assumptions and Catalog'!$C$8)^(A234-1),0)</f>
        <v>6412.072</v>
      </c>
      <c r="N234" s="5" t="n">
        <f>IF(ISNUMBER(Inputs!$L$5),(IF(Inputs!$L$9="Actual flat rate",L234*Inputs!$L$10,IF(Inputs!$C$9="Residential",IF(L234&lt;='Assumptions and Catalog'!$C$50,L234*'Assumptions and Catalog'!$H$50+'Assumptions and Catalog'!$E$50+'Assumptions and Catalog'!$F$50,IF(L234&lt;='Assumptions and Catalog'!$C$51,L234*'Assumptions and Catalog'!$H$51+'Assumptions and Catalog'!$E$51+'Assumptions and Catalog'!$F$51,IF(L234&lt;='Assumptions and Catalog'!$C$52,L234*'Assumptions and Catalog'!$H$52+'Assumptions and Catalog'!$E$52+'Assumptions and Catalog'!$F$52,IF(L234&lt;='Assumptions and Catalog'!$C$53,L234*'Assumptions and Catalog'!$H$53+'Assumptions and Catalog'!$E$53+'Assumptions and Catalog'!$F$53,IF(L234&lt;='Assumptions and Catalog'!$C$54,L234*'Assumptions and Catalog'!$H$54+'Assumptions and Catalog'!$E$54+'Assumptions and Catalog'!$F$54,IF(L234&lt;='Assumptions and Catalog'!$C$55,L234*'Assumptions and Catalog'!$H$55+'Assumptions and Catalog'!$E$55+'Assumptions and Catalog'!$F$55,IF(L234&lt;='Assumptions and Catalog'!$C$56,L234*'Assumptions and Catalog'!$H$56+'Assumptions and Catalog'!$E$56+'Assumptions and Catalog'!$F$56,IF(L234&lt;='Assumptions and Catalog'!$C$57,L234*'Assumptions and Catalog'!$H$57+'Assumptions and Catalog'!$E$57+'Assumptions and Catalog'!$F$57,"Out of range")))))))),IF(L234&lt;='Assumptions and Catalog'!$C$60,L234*'Assumptions and Catalog'!$H$60+'Assumptions and Catalog'!$E$60+'Assumptions and Catalog'!$F$60,IF(L234&lt;='Assumptions and Catalog'!$C$61,L234*'Assumptions and Catalog'!$H$61+'Assumptions and Catalog'!$E$61+'Assumptions and Catalog'!$F$61,IF(L234&lt;='Assumptions and Catalog'!$C$62,L234*'Assumptions and Catalog'!$H$62+'Assumptions and Catalog'!$E$62+'Assumptions and Catalog'!$F$62,IF(L234&lt;='Assumptions and Catalog'!$C$63,L234*'Assumptions and Catalog'!$H$63+'Assumptions and Catalog'!$E$63+'Assumptions and Catalog'!$F$63,IF(L234&lt;='Assumptions and Catalog'!$C$64,L234*'Assumptions and Catalog'!$H$64+'Assumptions and Catalog'!$E$64+'Assumptions and Catalog'!$F$64,IF(L234&lt;='Assumptions and Catalog'!$C$65,L234*'Assumptions and Catalog'!$H$65+'Assumptions and Catalog'!$E$65+'Assumptions and Catalog'!$F$65,"Out of range")))))))))*(1+'Assumptions and Catalog'!$C$8)^(A234-1),0)</f>
        <v>3294.81707532164</v>
      </c>
      <c r="O234" s="5" t="n">
        <f>M234-N234</f>
        <v>3117.25492467836</v>
      </c>
      <c r="P234" s="5" t="n">
        <f>C$55*(1-J$14)*(1-'Assumptions and Catalog'!$C$23)^R234</f>
        <v>0</v>
      </c>
      <c r="Q234" s="5" t="n">
        <f>IF(ISNUMBER(Inputs!$L$5),(IF(Inputs!$L$9="Actual flat rate",((D234+E234)*C234-G234)*Inputs!$L$10,IF(Inputs!$C$9="Residential",IF(((D234+E234)*C234-G234)&lt;='Assumptions and Catalog'!$C$50,((D234+E234)*C234-G234)*'Assumptions and Catalog'!$H$50+'Assumptions and Catalog'!$E$50+'Assumptions and Catalog'!$F$50,IF(((D234+E234)*C234-G234)&lt;='Assumptions and Catalog'!$C$51,((D234+E234)*C234-G234)*'Assumptions and Catalog'!$H$51+'Assumptions and Catalog'!$E$51+'Assumptions and Catalog'!$F$51,IF(((D234+E234)*C234-G234)&lt;='Assumptions and Catalog'!$C$52,((D234+E234)*C234-G234)*'Assumptions and Catalog'!$H$52+'Assumptions and Catalog'!$E$52+'Assumptions and Catalog'!$F$52,IF(((D234+E234)*C234-G234)&lt;='Assumptions and Catalog'!$C$53,((D234+E234)*C234-G234)*'Assumptions and Catalog'!$H$53+'Assumptions and Catalog'!$E$53+'Assumptions and Catalog'!$F$53,IF(((D234+E234)*C234-G234)&lt;='Assumptions and Catalog'!$C$54,((D234+E234)*C234-G234)*'Assumptions and Catalog'!$H$54+'Assumptions and Catalog'!$E$54+'Assumptions and Catalog'!$F$54,IF(((D234+E234)*C234-G234)&lt;='Assumptions and Catalog'!$C$55,((D234+E234)*C234-G234)*'Assumptions and Catalog'!$H$55+'Assumptions and Catalog'!$E$55+'Assumptions and Catalog'!$F$55,IF(((D234+E234)*C234-G234)&lt;='Assumptions and Catalog'!$C$56,((D234+E234)*C234-G234)*'Assumptions and Catalog'!$H$56+'Assumptions and Catalog'!$E$56+'Assumptions and Catalog'!$F$56,IF(((D234+E234)*C234-G234)&lt;='Assumptions and Catalog'!$C$57,((D234+E234)*C234-G234)*'Assumptions and Catalog'!$H$57+'Assumptions and Catalog'!$E$57+'Assumptions and Catalog'!$F$57,"Out of range")))))))),IF(((D234+E234)*C234-G234)&lt;='Assumptions and Catalog'!$C$60,((D234+E234)*C234-G234)*'Assumptions and Catalog'!$H$60+'Assumptions and Catalog'!$E$60+'Assumptions and Catalog'!$F$60,IF(((D234+E234)*C234-G234)&lt;='Assumptions and Catalog'!$C$61,((D234+E234)*C234-G234)*'Assumptions and Catalog'!$H$61+'Assumptions and Catalog'!$E$61+'Assumptions and Catalog'!$F$61,IF(((D234+E234)*C234-G234)&lt;='Assumptions and Catalog'!$C$62,((D234+E234)*C234-G234)*'Assumptions and Catalog'!$H$62+'Assumptions and Catalog'!$E$62+'Assumptions and Catalog'!$F$62,IF(((D234+E234)*C234-G234)&lt;='Assumptions and Catalog'!$C$63,((D234+E234)*C234-G234)*'Assumptions and Catalog'!$H$63+'Assumptions and Catalog'!$E$63+'Assumptions and Catalog'!$F$63,IF(((D234+E234)*C234-G234)&lt;='Assumptions and Catalog'!$C$64,((D234+E234)*C234-G234)*'Assumptions and Catalog'!$H$64+'Assumptions and Catalog'!$E$64+'Assumptions and Catalog'!$F$64,IF(((D234+E234)*C234-G234)&lt;='Assumptions and Catalog'!$C$65,((D234+E234)*C234-G234)*'Assumptions and Catalog'!$H$65+'Assumptions and Catalog'!$E$65+'Assumptions and Catalog'!$F$65,"Out of range")))))))))*(1+'Assumptions and Catalog'!$C$8)^(A234-1),0)</f>
        <v>3294.81707532164</v>
      </c>
      <c r="R234" s="5" t="n">
        <f>IF(AND('Assumptions and Catalog'!$C$19&gt;0,A234&gt;='Assumptions and Catalog'!$C$19),A234-'Assumptions and Catalog'!$C$19,A234-1)</f>
        <v>6</v>
      </c>
      <c r="S234" s="5" t="n">
        <f>F234+L234-(D234+E234)*C234-J234-K234-0</f>
        <v>0</v>
      </c>
      <c r="T234" s="5"/>
      <c r="U234" s="5"/>
    </row>
    <row r="235" ht="23.100000381469727" customHeight="1">
      <c r="A235" s="5" t="n">
        <v>7</v>
      </c>
      <c r="B235" s="5" t="n">
        <v>3</v>
      </c>
      <c r="C235" s="5" t="n">
        <f>DAY(DATE('Assumptions and Catalog'!$C$24+A235-1,B235+1,0))</f>
        <v>31</v>
      </c>
      <c r="D235" s="5" t="n">
        <f>IF(ISNUMBER(Inputs!$L$5),Inputs!$L$5*Inputs!$L$6,0)</f>
        <v>40.35</v>
      </c>
      <c r="E235" s="5" t="n">
        <f>IF(ISNUMBER(Inputs!$L$5),Inputs!$L$5-D235,0)</f>
        <v>40.35</v>
      </c>
      <c r="F235" s="5" t="n">
        <f>C$51*INDEX('Solar Production'!$D$20:$D$31,B235)*C235*(1-'Assumptions and Catalog'!$C$10)^(A235-1)</f>
        <v>1375.3361279409</v>
      </c>
      <c r="G235" s="5" t="n">
        <f>MIN(F235,D235*C235)</f>
        <v>1250.85</v>
      </c>
      <c r="H235" s="5" t="n">
        <f>I235/('Assumptions and Catalog'!$C$11*'Assumptions and Catalog'!$C$12)</f>
        <v>0</v>
      </c>
      <c r="I235" s="5" t="n">
        <f>0</f>
        <v>0</v>
      </c>
      <c r="J235" s="5" t="n">
        <f>MAX(F235-G235-H235,0)</f>
        <v>124.486127940897</v>
      </c>
      <c r="K235" s="5" t="n">
        <f>H235-I235</f>
        <v>0</v>
      </c>
      <c r="L235" s="5" t="n">
        <f>(D235+E235)*C235-G235-I235+0+0</f>
        <v>1250.85</v>
      </c>
      <c r="M235" s="5" t="n">
        <f>IF(ISNUMBER(Inputs!$L$5),(IF(Inputs!$L$9="Actual flat rate",((D235+E235)*C235)*Inputs!$L$10,IF(Inputs!$C$9="Residential",IF(((D235+E235)*C235)&lt;='Assumptions and Catalog'!$C$50,((D235+E235)*C235)*'Assumptions and Catalog'!$H$50+'Assumptions and Catalog'!$E$50+'Assumptions and Catalog'!$F$50,IF(((D235+E235)*C235)&lt;='Assumptions and Catalog'!$C$51,((D235+E235)*C235)*'Assumptions and Catalog'!$H$51+'Assumptions and Catalog'!$E$51+'Assumptions and Catalog'!$F$51,IF(((D235+E235)*C235)&lt;='Assumptions and Catalog'!$C$52,((D235+E235)*C235)*'Assumptions and Catalog'!$H$52+'Assumptions and Catalog'!$E$52+'Assumptions and Catalog'!$F$52,IF(((D235+E235)*C235)&lt;='Assumptions and Catalog'!$C$53,((D235+E235)*C235)*'Assumptions and Catalog'!$H$53+'Assumptions and Catalog'!$E$53+'Assumptions and Catalog'!$F$53,IF(((D235+E235)*C235)&lt;='Assumptions and Catalog'!$C$54,((D235+E235)*C235)*'Assumptions and Catalog'!$H$54+'Assumptions and Catalog'!$E$54+'Assumptions and Catalog'!$F$54,IF(((D235+E235)*C235)&lt;='Assumptions and Catalog'!$C$55,((D235+E235)*C235)*'Assumptions and Catalog'!$H$55+'Assumptions and Catalog'!$E$55+'Assumptions and Catalog'!$F$55,IF(((D235+E235)*C235)&lt;='Assumptions and Catalog'!$C$56,((D235+E235)*C235)*'Assumptions and Catalog'!$H$56+'Assumptions and Catalog'!$E$56+'Assumptions and Catalog'!$F$56,IF(((D235+E235)*C235)&lt;='Assumptions and Catalog'!$C$57,((D235+E235)*C235)*'Assumptions and Catalog'!$H$57+'Assumptions and Catalog'!$E$57+'Assumptions and Catalog'!$F$57,"Out of range")))))))),IF(((D235+E235)*C235)&lt;='Assumptions and Catalog'!$C$60,((D235+E235)*C235)*'Assumptions and Catalog'!$H$60+'Assumptions and Catalog'!$E$60+'Assumptions and Catalog'!$F$60,IF(((D235+E235)*C235)&lt;='Assumptions and Catalog'!$C$61,((D235+E235)*C235)*'Assumptions and Catalog'!$H$61+'Assumptions and Catalog'!$E$61+'Assumptions and Catalog'!$F$61,IF(((D235+E235)*C235)&lt;='Assumptions and Catalog'!$C$62,((D235+E235)*C235)*'Assumptions and Catalog'!$H$62+'Assumptions and Catalog'!$E$62+'Assumptions and Catalog'!$F$62,IF(((D235+E235)*C235)&lt;='Assumptions and Catalog'!$C$63,((D235+E235)*C235)*'Assumptions and Catalog'!$H$63+'Assumptions and Catalog'!$E$63+'Assumptions and Catalog'!$F$63,IF(((D235+E235)*C235)&lt;='Assumptions and Catalog'!$C$64,((D235+E235)*C235)*'Assumptions and Catalog'!$H$64+'Assumptions and Catalog'!$E$64+'Assumptions and Catalog'!$F$64,IF(((D235+E235)*C235)&lt;='Assumptions and Catalog'!$C$65,((D235+E235)*C235)*'Assumptions and Catalog'!$H$65+'Assumptions and Catalog'!$E$65+'Assumptions and Catalog'!$F$65,"Out of range")))))))))*(1+'Assumptions and Catalog'!$C$8)^(A235-1),0)</f>
        <v>7094.794</v>
      </c>
      <c r="N235" s="5" t="n">
        <f>IF(ISNUMBER(Inputs!$L$5),(IF(Inputs!$L$9="Actual flat rate",L235*Inputs!$L$10,IF(Inputs!$C$9="Residential",IF(L235&lt;='Assumptions and Catalog'!$C$50,L235*'Assumptions and Catalog'!$H$50+'Assumptions and Catalog'!$E$50+'Assumptions and Catalog'!$F$50,IF(L235&lt;='Assumptions and Catalog'!$C$51,L235*'Assumptions and Catalog'!$H$51+'Assumptions and Catalog'!$E$51+'Assumptions and Catalog'!$F$51,IF(L235&lt;='Assumptions and Catalog'!$C$52,L235*'Assumptions and Catalog'!$H$52+'Assumptions and Catalog'!$E$52+'Assumptions and Catalog'!$F$52,IF(L235&lt;='Assumptions and Catalog'!$C$53,L235*'Assumptions and Catalog'!$H$53+'Assumptions and Catalog'!$E$53+'Assumptions and Catalog'!$F$53,IF(L235&lt;='Assumptions and Catalog'!$C$54,L235*'Assumptions and Catalog'!$H$54+'Assumptions and Catalog'!$E$54+'Assumptions and Catalog'!$F$54,IF(L235&lt;='Assumptions and Catalog'!$C$55,L235*'Assumptions and Catalog'!$H$55+'Assumptions and Catalog'!$E$55+'Assumptions and Catalog'!$F$55,IF(L235&lt;='Assumptions and Catalog'!$C$56,L235*'Assumptions and Catalog'!$H$56+'Assumptions and Catalog'!$E$56+'Assumptions and Catalog'!$F$56,IF(L235&lt;='Assumptions and Catalog'!$C$57,L235*'Assumptions and Catalog'!$H$57+'Assumptions and Catalog'!$E$57+'Assumptions and Catalog'!$F$57,"Out of range")))))))),IF(L235&lt;='Assumptions and Catalog'!$C$60,L235*'Assumptions and Catalog'!$H$60+'Assumptions and Catalog'!$E$60+'Assumptions and Catalog'!$F$60,IF(L235&lt;='Assumptions and Catalog'!$C$61,L235*'Assumptions and Catalog'!$H$61+'Assumptions and Catalog'!$E$61+'Assumptions and Catalog'!$F$61,IF(L235&lt;='Assumptions and Catalog'!$C$62,L235*'Assumptions and Catalog'!$H$62+'Assumptions and Catalog'!$E$62+'Assumptions and Catalog'!$F$62,IF(L235&lt;='Assumptions and Catalog'!$C$63,L235*'Assumptions and Catalog'!$H$63+'Assumptions and Catalog'!$E$63+'Assumptions and Catalog'!$F$63,IF(L235&lt;='Assumptions and Catalog'!$C$64,L235*'Assumptions and Catalog'!$H$64+'Assumptions and Catalog'!$E$64+'Assumptions and Catalog'!$F$64,IF(L235&lt;='Assumptions and Catalog'!$C$65,L235*'Assumptions and Catalog'!$H$65+'Assumptions and Catalog'!$E$65+'Assumptions and Catalog'!$F$65,"Out of range")))))))))*(1+'Assumptions and Catalog'!$C$8)^(A235-1),0)</f>
        <v>3567.397</v>
      </c>
      <c r="O235" s="5" t="n">
        <f>M235-N235</f>
        <v>3527.397</v>
      </c>
      <c r="P235" s="5" t="n">
        <f>C$55*(1-J$14)*(1-'Assumptions and Catalog'!$C$23)^R235</f>
        <v>0</v>
      </c>
      <c r="Q235" s="5" t="n">
        <f>IF(ISNUMBER(Inputs!$L$5),(IF(Inputs!$L$9="Actual flat rate",((D235+E235)*C235-G235)*Inputs!$L$10,IF(Inputs!$C$9="Residential",IF(((D235+E235)*C235-G235)&lt;='Assumptions and Catalog'!$C$50,((D235+E235)*C235-G235)*'Assumptions and Catalog'!$H$50+'Assumptions and Catalog'!$E$50+'Assumptions and Catalog'!$F$50,IF(((D235+E235)*C235-G235)&lt;='Assumptions and Catalog'!$C$51,((D235+E235)*C235-G235)*'Assumptions and Catalog'!$H$51+'Assumptions and Catalog'!$E$51+'Assumptions and Catalog'!$F$51,IF(((D235+E235)*C235-G235)&lt;='Assumptions and Catalog'!$C$52,((D235+E235)*C235-G235)*'Assumptions and Catalog'!$H$52+'Assumptions and Catalog'!$E$52+'Assumptions and Catalog'!$F$52,IF(((D235+E235)*C235-G235)&lt;='Assumptions and Catalog'!$C$53,((D235+E235)*C235-G235)*'Assumptions and Catalog'!$H$53+'Assumptions and Catalog'!$E$53+'Assumptions and Catalog'!$F$53,IF(((D235+E235)*C235-G235)&lt;='Assumptions and Catalog'!$C$54,((D235+E235)*C235-G235)*'Assumptions and Catalog'!$H$54+'Assumptions and Catalog'!$E$54+'Assumptions and Catalog'!$F$54,IF(((D235+E235)*C235-G235)&lt;='Assumptions and Catalog'!$C$55,((D235+E235)*C235-G235)*'Assumptions and Catalog'!$H$55+'Assumptions and Catalog'!$E$55+'Assumptions and Catalog'!$F$55,IF(((D235+E235)*C235-G235)&lt;='Assumptions and Catalog'!$C$56,((D235+E235)*C235-G235)*'Assumptions and Catalog'!$H$56+'Assumptions and Catalog'!$E$56+'Assumptions and Catalog'!$F$56,IF(((D235+E235)*C235-G235)&lt;='Assumptions and Catalog'!$C$57,((D235+E235)*C235-G235)*'Assumptions and Catalog'!$H$57+'Assumptions and Catalog'!$E$57+'Assumptions and Catalog'!$F$57,"Out of range")))))))),IF(((D235+E235)*C235-G235)&lt;='Assumptions and Catalog'!$C$60,((D235+E235)*C235-G235)*'Assumptions and Catalog'!$H$60+'Assumptions and Catalog'!$E$60+'Assumptions and Catalog'!$F$60,IF(((D235+E235)*C235-G235)&lt;='Assumptions and Catalog'!$C$61,((D235+E235)*C235-G235)*'Assumptions and Catalog'!$H$61+'Assumptions and Catalog'!$E$61+'Assumptions and Catalog'!$F$61,IF(((D235+E235)*C235-G235)&lt;='Assumptions and Catalog'!$C$62,((D235+E235)*C235-G235)*'Assumptions and Catalog'!$H$62+'Assumptions and Catalog'!$E$62+'Assumptions and Catalog'!$F$62,IF(((D235+E235)*C235-G235)&lt;='Assumptions and Catalog'!$C$63,((D235+E235)*C235-G235)*'Assumptions and Catalog'!$H$63+'Assumptions and Catalog'!$E$63+'Assumptions and Catalog'!$F$63,IF(((D235+E235)*C235-G235)&lt;='Assumptions and Catalog'!$C$64,((D235+E235)*C235-G235)*'Assumptions and Catalog'!$H$64+'Assumptions and Catalog'!$E$64+'Assumptions and Catalog'!$F$64,IF(((D235+E235)*C235-G235)&lt;='Assumptions and Catalog'!$C$65,((D235+E235)*C235-G235)*'Assumptions and Catalog'!$H$65+'Assumptions and Catalog'!$E$65+'Assumptions and Catalog'!$F$65,"Out of range")))))))))*(1+'Assumptions and Catalog'!$C$8)^(A235-1),0)</f>
        <v>3567.397</v>
      </c>
      <c r="R235" s="5" t="n">
        <f>IF(AND('Assumptions and Catalog'!$C$19&gt;0,A235&gt;='Assumptions and Catalog'!$C$19),A235-'Assumptions and Catalog'!$C$19,A235-1)</f>
        <v>6</v>
      </c>
      <c r="S235" s="5" t="n">
        <f>F235+L235-(D235+E235)*C235-J235-K235-0</f>
        <v>0</v>
      </c>
      <c r="T235" s="5"/>
      <c r="U235" s="5"/>
    </row>
    <row r="236" ht="23.100000381469727" customHeight="1">
      <c r="A236" s="5" t="n">
        <v>7</v>
      </c>
      <c r="B236" s="5" t="n">
        <v>4</v>
      </c>
      <c r="C236" s="5" t="n">
        <f>DAY(DATE('Assumptions and Catalog'!$C$24+A236-1,B236+1,0))</f>
        <v>30</v>
      </c>
      <c r="D236" s="5" t="n">
        <f>IF(ISNUMBER(Inputs!$L$5),Inputs!$L$5*Inputs!$L$6,0)</f>
        <v>40.35</v>
      </c>
      <c r="E236" s="5" t="n">
        <f>IF(ISNUMBER(Inputs!$L$5),Inputs!$L$5-D236,0)</f>
        <v>40.35</v>
      </c>
      <c r="F236" s="5" t="n">
        <f>C$51*INDEX('Solar Production'!$D$20:$D$31,B236)*C236*(1-'Assumptions and Catalog'!$C$10)^(A236-1)</f>
        <v>1373.62827232443</v>
      </c>
      <c r="G236" s="5" t="n">
        <f>MIN(F236,D236*C236)</f>
        <v>1210.5</v>
      </c>
      <c r="H236" s="5" t="n">
        <f>I236/('Assumptions and Catalog'!$C$11*'Assumptions and Catalog'!$C$12)</f>
        <v>0</v>
      </c>
      <c r="I236" s="5" t="n">
        <f>0</f>
        <v>0</v>
      </c>
      <c r="J236" s="5" t="n">
        <f>MAX(F236-G236-H236,0)</f>
        <v>163.12827232443</v>
      </c>
      <c r="K236" s="5" t="n">
        <f>H236-I236</f>
        <v>0</v>
      </c>
      <c r="L236" s="5" t="n">
        <f>(D236+E236)*C236-G236-I236+0+0</f>
        <v>1210.5</v>
      </c>
      <c r="M236" s="5" t="n">
        <f>IF(ISNUMBER(Inputs!$L$5),(IF(Inputs!$L$9="Actual flat rate",((D236+E236)*C236)*Inputs!$L$10,IF(Inputs!$C$9="Residential",IF(((D236+E236)*C236)&lt;='Assumptions and Catalog'!$C$50,((D236+E236)*C236)*'Assumptions and Catalog'!$H$50+'Assumptions and Catalog'!$E$50+'Assumptions and Catalog'!$F$50,IF(((D236+E236)*C236)&lt;='Assumptions and Catalog'!$C$51,((D236+E236)*C236)*'Assumptions and Catalog'!$H$51+'Assumptions and Catalog'!$E$51+'Assumptions and Catalog'!$F$51,IF(((D236+E236)*C236)&lt;='Assumptions and Catalog'!$C$52,((D236+E236)*C236)*'Assumptions and Catalog'!$H$52+'Assumptions and Catalog'!$E$52+'Assumptions and Catalog'!$F$52,IF(((D236+E236)*C236)&lt;='Assumptions and Catalog'!$C$53,((D236+E236)*C236)*'Assumptions and Catalog'!$H$53+'Assumptions and Catalog'!$E$53+'Assumptions and Catalog'!$F$53,IF(((D236+E236)*C236)&lt;='Assumptions and Catalog'!$C$54,((D236+E236)*C236)*'Assumptions and Catalog'!$H$54+'Assumptions and Catalog'!$E$54+'Assumptions and Catalog'!$F$54,IF(((D236+E236)*C236)&lt;='Assumptions and Catalog'!$C$55,((D236+E236)*C236)*'Assumptions and Catalog'!$H$55+'Assumptions and Catalog'!$E$55+'Assumptions and Catalog'!$F$55,IF(((D236+E236)*C236)&lt;='Assumptions and Catalog'!$C$56,((D236+E236)*C236)*'Assumptions and Catalog'!$H$56+'Assumptions and Catalog'!$E$56+'Assumptions and Catalog'!$F$56,IF(((D236+E236)*C236)&lt;='Assumptions and Catalog'!$C$57,((D236+E236)*C236)*'Assumptions and Catalog'!$H$57+'Assumptions and Catalog'!$E$57+'Assumptions and Catalog'!$F$57,"Out of range")))))))),IF(((D236+E236)*C236)&lt;='Assumptions and Catalog'!$C$60,((D236+E236)*C236)*'Assumptions and Catalog'!$H$60+'Assumptions and Catalog'!$E$60+'Assumptions and Catalog'!$F$60,IF(((D236+E236)*C236)&lt;='Assumptions and Catalog'!$C$61,((D236+E236)*C236)*'Assumptions and Catalog'!$H$61+'Assumptions and Catalog'!$E$61+'Assumptions and Catalog'!$F$61,IF(((D236+E236)*C236)&lt;='Assumptions and Catalog'!$C$62,((D236+E236)*C236)*'Assumptions and Catalog'!$H$62+'Assumptions and Catalog'!$E$62+'Assumptions and Catalog'!$F$62,IF(((D236+E236)*C236)&lt;='Assumptions and Catalog'!$C$63,((D236+E236)*C236)*'Assumptions and Catalog'!$H$63+'Assumptions and Catalog'!$E$63+'Assumptions and Catalog'!$F$63,IF(((D236+E236)*C236)&lt;='Assumptions and Catalog'!$C$64,((D236+E236)*C236)*'Assumptions and Catalog'!$H$64+'Assumptions and Catalog'!$E$64+'Assumptions and Catalog'!$F$64,IF(((D236+E236)*C236)&lt;='Assumptions and Catalog'!$C$65,((D236+E236)*C236)*'Assumptions and Catalog'!$H$65+'Assumptions and Catalog'!$E$65+'Assumptions and Catalog'!$F$65,"Out of range")))))))))*(1+'Assumptions and Catalog'!$C$8)^(A236-1),0)</f>
        <v>6867.22</v>
      </c>
      <c r="N236" s="5" t="n">
        <f>IF(ISNUMBER(Inputs!$L$5),(IF(Inputs!$L$9="Actual flat rate",L236*Inputs!$L$10,IF(Inputs!$C$9="Residential",IF(L236&lt;='Assumptions and Catalog'!$C$50,L236*'Assumptions and Catalog'!$H$50+'Assumptions and Catalog'!$E$50+'Assumptions and Catalog'!$F$50,IF(L236&lt;='Assumptions and Catalog'!$C$51,L236*'Assumptions and Catalog'!$H$51+'Assumptions and Catalog'!$E$51+'Assumptions and Catalog'!$F$51,IF(L236&lt;='Assumptions and Catalog'!$C$52,L236*'Assumptions and Catalog'!$H$52+'Assumptions and Catalog'!$E$52+'Assumptions and Catalog'!$F$52,IF(L236&lt;='Assumptions and Catalog'!$C$53,L236*'Assumptions and Catalog'!$H$53+'Assumptions and Catalog'!$E$53+'Assumptions and Catalog'!$F$53,IF(L236&lt;='Assumptions and Catalog'!$C$54,L236*'Assumptions and Catalog'!$H$54+'Assumptions and Catalog'!$E$54+'Assumptions and Catalog'!$F$54,IF(L236&lt;='Assumptions and Catalog'!$C$55,L236*'Assumptions and Catalog'!$H$55+'Assumptions and Catalog'!$E$55+'Assumptions and Catalog'!$F$55,IF(L236&lt;='Assumptions and Catalog'!$C$56,L236*'Assumptions and Catalog'!$H$56+'Assumptions and Catalog'!$E$56+'Assumptions and Catalog'!$F$56,IF(L236&lt;='Assumptions and Catalog'!$C$57,L236*'Assumptions and Catalog'!$H$57+'Assumptions and Catalog'!$E$57+'Assumptions and Catalog'!$F$57,"Out of range")))))))),IF(L236&lt;='Assumptions and Catalog'!$C$60,L236*'Assumptions and Catalog'!$H$60+'Assumptions and Catalog'!$E$60+'Assumptions and Catalog'!$F$60,IF(L236&lt;='Assumptions and Catalog'!$C$61,L236*'Assumptions and Catalog'!$H$61+'Assumptions and Catalog'!$E$61+'Assumptions and Catalog'!$F$61,IF(L236&lt;='Assumptions and Catalog'!$C$62,L236*'Assumptions and Catalog'!$H$62+'Assumptions and Catalog'!$E$62+'Assumptions and Catalog'!$F$62,IF(L236&lt;='Assumptions and Catalog'!$C$63,L236*'Assumptions and Catalog'!$H$63+'Assumptions and Catalog'!$E$63+'Assumptions and Catalog'!$F$63,IF(L236&lt;='Assumptions and Catalog'!$C$64,L236*'Assumptions and Catalog'!$H$64+'Assumptions and Catalog'!$E$64+'Assumptions and Catalog'!$F$64,IF(L236&lt;='Assumptions and Catalog'!$C$65,L236*'Assumptions and Catalog'!$H$65+'Assumptions and Catalog'!$E$65+'Assumptions and Catalog'!$F$65,"Out of range")))))))))*(1+'Assumptions and Catalog'!$C$8)^(A236-1),0)</f>
        <v>3453.61</v>
      </c>
      <c r="O236" s="5" t="n">
        <f>M236-N236</f>
        <v>3413.61</v>
      </c>
      <c r="P236" s="5" t="n">
        <f>C$55*(1-J$14)*(1-'Assumptions and Catalog'!$C$23)^R236</f>
        <v>0</v>
      </c>
      <c r="Q236" s="5" t="n">
        <f>IF(ISNUMBER(Inputs!$L$5),(IF(Inputs!$L$9="Actual flat rate",((D236+E236)*C236-G236)*Inputs!$L$10,IF(Inputs!$C$9="Residential",IF(((D236+E236)*C236-G236)&lt;='Assumptions and Catalog'!$C$50,((D236+E236)*C236-G236)*'Assumptions and Catalog'!$H$50+'Assumptions and Catalog'!$E$50+'Assumptions and Catalog'!$F$50,IF(((D236+E236)*C236-G236)&lt;='Assumptions and Catalog'!$C$51,((D236+E236)*C236-G236)*'Assumptions and Catalog'!$H$51+'Assumptions and Catalog'!$E$51+'Assumptions and Catalog'!$F$51,IF(((D236+E236)*C236-G236)&lt;='Assumptions and Catalog'!$C$52,((D236+E236)*C236-G236)*'Assumptions and Catalog'!$H$52+'Assumptions and Catalog'!$E$52+'Assumptions and Catalog'!$F$52,IF(((D236+E236)*C236-G236)&lt;='Assumptions and Catalog'!$C$53,((D236+E236)*C236-G236)*'Assumptions and Catalog'!$H$53+'Assumptions and Catalog'!$E$53+'Assumptions and Catalog'!$F$53,IF(((D236+E236)*C236-G236)&lt;='Assumptions and Catalog'!$C$54,((D236+E236)*C236-G236)*'Assumptions and Catalog'!$H$54+'Assumptions and Catalog'!$E$54+'Assumptions and Catalog'!$F$54,IF(((D236+E236)*C236-G236)&lt;='Assumptions and Catalog'!$C$55,((D236+E236)*C236-G236)*'Assumptions and Catalog'!$H$55+'Assumptions and Catalog'!$E$55+'Assumptions and Catalog'!$F$55,IF(((D236+E236)*C236-G236)&lt;='Assumptions and Catalog'!$C$56,((D236+E236)*C236-G236)*'Assumptions and Catalog'!$H$56+'Assumptions and Catalog'!$E$56+'Assumptions and Catalog'!$F$56,IF(((D236+E236)*C236-G236)&lt;='Assumptions and Catalog'!$C$57,((D236+E236)*C236-G236)*'Assumptions and Catalog'!$H$57+'Assumptions and Catalog'!$E$57+'Assumptions and Catalog'!$F$57,"Out of range")))))))),IF(((D236+E236)*C236-G236)&lt;='Assumptions and Catalog'!$C$60,((D236+E236)*C236-G236)*'Assumptions and Catalog'!$H$60+'Assumptions and Catalog'!$E$60+'Assumptions and Catalog'!$F$60,IF(((D236+E236)*C236-G236)&lt;='Assumptions and Catalog'!$C$61,((D236+E236)*C236-G236)*'Assumptions and Catalog'!$H$61+'Assumptions and Catalog'!$E$61+'Assumptions and Catalog'!$F$61,IF(((D236+E236)*C236-G236)&lt;='Assumptions and Catalog'!$C$62,((D236+E236)*C236-G236)*'Assumptions and Catalog'!$H$62+'Assumptions and Catalog'!$E$62+'Assumptions and Catalog'!$F$62,IF(((D236+E236)*C236-G236)&lt;='Assumptions and Catalog'!$C$63,((D236+E236)*C236-G236)*'Assumptions and Catalog'!$H$63+'Assumptions and Catalog'!$E$63+'Assumptions and Catalog'!$F$63,IF(((D236+E236)*C236-G236)&lt;='Assumptions and Catalog'!$C$64,((D236+E236)*C236-G236)*'Assumptions and Catalog'!$H$64+'Assumptions and Catalog'!$E$64+'Assumptions and Catalog'!$F$64,IF(((D236+E236)*C236-G236)&lt;='Assumptions and Catalog'!$C$65,((D236+E236)*C236-G236)*'Assumptions and Catalog'!$H$65+'Assumptions and Catalog'!$E$65+'Assumptions and Catalog'!$F$65,"Out of range")))))))))*(1+'Assumptions and Catalog'!$C$8)^(A236-1),0)</f>
        <v>3453.61</v>
      </c>
      <c r="R236" s="5" t="n">
        <f>IF(AND('Assumptions and Catalog'!$C$19&gt;0,A236&gt;='Assumptions and Catalog'!$C$19),A236-'Assumptions and Catalog'!$C$19,A236-1)</f>
        <v>6</v>
      </c>
      <c r="S236" s="5" t="n">
        <f>F236+L236-(D236+E236)*C236-J236-K236-0</f>
        <v>0</v>
      </c>
      <c r="T236" s="5"/>
      <c r="U236" s="5"/>
    </row>
    <row r="237" ht="23.100000381469727" customHeight="1">
      <c r="A237" s="5" t="n">
        <v>7</v>
      </c>
      <c r="B237" s="5" t="n">
        <v>5</v>
      </c>
      <c r="C237" s="5" t="n">
        <f>DAY(DATE('Assumptions and Catalog'!$C$24+A237-1,B237+1,0))</f>
        <v>31</v>
      </c>
      <c r="D237" s="5" t="n">
        <f>IF(ISNUMBER(Inputs!$L$5),Inputs!$L$5*Inputs!$L$6,0)</f>
        <v>40.35</v>
      </c>
      <c r="E237" s="5" t="n">
        <f>IF(ISNUMBER(Inputs!$L$5),Inputs!$L$5-D237,0)</f>
        <v>40.35</v>
      </c>
      <c r="F237" s="5" t="n">
        <f>C$51*INDEX('Solar Production'!$D$20:$D$31,B237)*C237*(1-'Assumptions and Catalog'!$C$10)^(A237-1)</f>
        <v>1389.51132955757</v>
      </c>
      <c r="G237" s="5" t="n">
        <f>MIN(F237,D237*C237)</f>
        <v>1250.85</v>
      </c>
      <c r="H237" s="5" t="n">
        <f>I237/('Assumptions and Catalog'!$C$11*'Assumptions and Catalog'!$C$12)</f>
        <v>0</v>
      </c>
      <c r="I237" s="5" t="n">
        <f>0</f>
        <v>0</v>
      </c>
      <c r="J237" s="5" t="n">
        <f>MAX(F237-G237-H237,0)</f>
        <v>138.661329557573</v>
      </c>
      <c r="K237" s="5" t="n">
        <f>H237-I237</f>
        <v>0</v>
      </c>
      <c r="L237" s="5" t="n">
        <f>(D237+E237)*C237-G237-I237+0+0</f>
        <v>1250.85</v>
      </c>
      <c r="M237" s="5" t="n">
        <f>IF(ISNUMBER(Inputs!$L$5),(IF(Inputs!$L$9="Actual flat rate",((D237+E237)*C237)*Inputs!$L$10,IF(Inputs!$C$9="Residential",IF(((D237+E237)*C237)&lt;='Assumptions and Catalog'!$C$50,((D237+E237)*C237)*'Assumptions and Catalog'!$H$50+'Assumptions and Catalog'!$E$50+'Assumptions and Catalog'!$F$50,IF(((D237+E237)*C237)&lt;='Assumptions and Catalog'!$C$51,((D237+E237)*C237)*'Assumptions and Catalog'!$H$51+'Assumptions and Catalog'!$E$51+'Assumptions and Catalog'!$F$51,IF(((D237+E237)*C237)&lt;='Assumptions and Catalog'!$C$52,((D237+E237)*C237)*'Assumptions and Catalog'!$H$52+'Assumptions and Catalog'!$E$52+'Assumptions and Catalog'!$F$52,IF(((D237+E237)*C237)&lt;='Assumptions and Catalog'!$C$53,((D237+E237)*C237)*'Assumptions and Catalog'!$H$53+'Assumptions and Catalog'!$E$53+'Assumptions and Catalog'!$F$53,IF(((D237+E237)*C237)&lt;='Assumptions and Catalog'!$C$54,((D237+E237)*C237)*'Assumptions and Catalog'!$H$54+'Assumptions and Catalog'!$E$54+'Assumptions and Catalog'!$F$54,IF(((D237+E237)*C237)&lt;='Assumptions and Catalog'!$C$55,((D237+E237)*C237)*'Assumptions and Catalog'!$H$55+'Assumptions and Catalog'!$E$55+'Assumptions and Catalog'!$F$55,IF(((D237+E237)*C237)&lt;='Assumptions and Catalog'!$C$56,((D237+E237)*C237)*'Assumptions and Catalog'!$H$56+'Assumptions and Catalog'!$E$56+'Assumptions and Catalog'!$F$56,IF(((D237+E237)*C237)&lt;='Assumptions and Catalog'!$C$57,((D237+E237)*C237)*'Assumptions and Catalog'!$H$57+'Assumptions and Catalog'!$E$57+'Assumptions and Catalog'!$F$57,"Out of range")))))))),IF(((D237+E237)*C237)&lt;='Assumptions and Catalog'!$C$60,((D237+E237)*C237)*'Assumptions and Catalog'!$H$60+'Assumptions and Catalog'!$E$60+'Assumptions and Catalog'!$F$60,IF(((D237+E237)*C237)&lt;='Assumptions and Catalog'!$C$61,((D237+E237)*C237)*'Assumptions and Catalog'!$H$61+'Assumptions and Catalog'!$E$61+'Assumptions and Catalog'!$F$61,IF(((D237+E237)*C237)&lt;='Assumptions and Catalog'!$C$62,((D237+E237)*C237)*'Assumptions and Catalog'!$H$62+'Assumptions and Catalog'!$E$62+'Assumptions and Catalog'!$F$62,IF(((D237+E237)*C237)&lt;='Assumptions and Catalog'!$C$63,((D237+E237)*C237)*'Assumptions and Catalog'!$H$63+'Assumptions and Catalog'!$E$63+'Assumptions and Catalog'!$F$63,IF(((D237+E237)*C237)&lt;='Assumptions and Catalog'!$C$64,((D237+E237)*C237)*'Assumptions and Catalog'!$H$64+'Assumptions and Catalog'!$E$64+'Assumptions and Catalog'!$F$64,IF(((D237+E237)*C237)&lt;='Assumptions and Catalog'!$C$65,((D237+E237)*C237)*'Assumptions and Catalog'!$H$65+'Assumptions and Catalog'!$E$65+'Assumptions and Catalog'!$F$65,"Out of range")))))))))*(1+'Assumptions and Catalog'!$C$8)^(A237-1),0)</f>
        <v>7094.794</v>
      </c>
      <c r="N237" s="5" t="n">
        <f>IF(ISNUMBER(Inputs!$L$5),(IF(Inputs!$L$9="Actual flat rate",L237*Inputs!$L$10,IF(Inputs!$C$9="Residential",IF(L237&lt;='Assumptions and Catalog'!$C$50,L237*'Assumptions and Catalog'!$H$50+'Assumptions and Catalog'!$E$50+'Assumptions and Catalog'!$F$50,IF(L237&lt;='Assumptions and Catalog'!$C$51,L237*'Assumptions and Catalog'!$H$51+'Assumptions and Catalog'!$E$51+'Assumptions and Catalog'!$F$51,IF(L237&lt;='Assumptions and Catalog'!$C$52,L237*'Assumptions and Catalog'!$H$52+'Assumptions and Catalog'!$E$52+'Assumptions and Catalog'!$F$52,IF(L237&lt;='Assumptions and Catalog'!$C$53,L237*'Assumptions and Catalog'!$H$53+'Assumptions and Catalog'!$E$53+'Assumptions and Catalog'!$F$53,IF(L237&lt;='Assumptions and Catalog'!$C$54,L237*'Assumptions and Catalog'!$H$54+'Assumptions and Catalog'!$E$54+'Assumptions and Catalog'!$F$54,IF(L237&lt;='Assumptions and Catalog'!$C$55,L237*'Assumptions and Catalog'!$H$55+'Assumptions and Catalog'!$E$55+'Assumptions and Catalog'!$F$55,IF(L237&lt;='Assumptions and Catalog'!$C$56,L237*'Assumptions and Catalog'!$H$56+'Assumptions and Catalog'!$E$56+'Assumptions and Catalog'!$F$56,IF(L237&lt;='Assumptions and Catalog'!$C$57,L237*'Assumptions and Catalog'!$H$57+'Assumptions and Catalog'!$E$57+'Assumptions and Catalog'!$F$57,"Out of range")))))))),IF(L237&lt;='Assumptions and Catalog'!$C$60,L237*'Assumptions and Catalog'!$H$60+'Assumptions and Catalog'!$E$60+'Assumptions and Catalog'!$F$60,IF(L237&lt;='Assumptions and Catalog'!$C$61,L237*'Assumptions and Catalog'!$H$61+'Assumptions and Catalog'!$E$61+'Assumptions and Catalog'!$F$61,IF(L237&lt;='Assumptions and Catalog'!$C$62,L237*'Assumptions and Catalog'!$H$62+'Assumptions and Catalog'!$E$62+'Assumptions and Catalog'!$F$62,IF(L237&lt;='Assumptions and Catalog'!$C$63,L237*'Assumptions and Catalog'!$H$63+'Assumptions and Catalog'!$E$63+'Assumptions and Catalog'!$F$63,IF(L237&lt;='Assumptions and Catalog'!$C$64,L237*'Assumptions and Catalog'!$H$64+'Assumptions and Catalog'!$E$64+'Assumptions and Catalog'!$F$64,IF(L237&lt;='Assumptions and Catalog'!$C$65,L237*'Assumptions and Catalog'!$H$65+'Assumptions and Catalog'!$E$65+'Assumptions and Catalog'!$F$65,"Out of range")))))))))*(1+'Assumptions and Catalog'!$C$8)^(A237-1),0)</f>
        <v>3567.397</v>
      </c>
      <c r="O237" s="5" t="n">
        <f>M237-N237</f>
        <v>3527.397</v>
      </c>
      <c r="P237" s="5" t="n">
        <f>C$55*(1-J$14)*(1-'Assumptions and Catalog'!$C$23)^R237</f>
        <v>0</v>
      </c>
      <c r="Q237" s="5" t="n">
        <f>IF(ISNUMBER(Inputs!$L$5),(IF(Inputs!$L$9="Actual flat rate",((D237+E237)*C237-G237)*Inputs!$L$10,IF(Inputs!$C$9="Residential",IF(((D237+E237)*C237-G237)&lt;='Assumptions and Catalog'!$C$50,((D237+E237)*C237-G237)*'Assumptions and Catalog'!$H$50+'Assumptions and Catalog'!$E$50+'Assumptions and Catalog'!$F$50,IF(((D237+E237)*C237-G237)&lt;='Assumptions and Catalog'!$C$51,((D237+E237)*C237-G237)*'Assumptions and Catalog'!$H$51+'Assumptions and Catalog'!$E$51+'Assumptions and Catalog'!$F$51,IF(((D237+E237)*C237-G237)&lt;='Assumptions and Catalog'!$C$52,((D237+E237)*C237-G237)*'Assumptions and Catalog'!$H$52+'Assumptions and Catalog'!$E$52+'Assumptions and Catalog'!$F$52,IF(((D237+E237)*C237-G237)&lt;='Assumptions and Catalog'!$C$53,((D237+E237)*C237-G237)*'Assumptions and Catalog'!$H$53+'Assumptions and Catalog'!$E$53+'Assumptions and Catalog'!$F$53,IF(((D237+E237)*C237-G237)&lt;='Assumptions and Catalog'!$C$54,((D237+E237)*C237-G237)*'Assumptions and Catalog'!$H$54+'Assumptions and Catalog'!$E$54+'Assumptions and Catalog'!$F$54,IF(((D237+E237)*C237-G237)&lt;='Assumptions and Catalog'!$C$55,((D237+E237)*C237-G237)*'Assumptions and Catalog'!$H$55+'Assumptions and Catalog'!$E$55+'Assumptions and Catalog'!$F$55,IF(((D237+E237)*C237-G237)&lt;='Assumptions and Catalog'!$C$56,((D237+E237)*C237-G237)*'Assumptions and Catalog'!$H$56+'Assumptions and Catalog'!$E$56+'Assumptions and Catalog'!$F$56,IF(((D237+E237)*C237-G237)&lt;='Assumptions and Catalog'!$C$57,((D237+E237)*C237-G237)*'Assumptions and Catalog'!$H$57+'Assumptions and Catalog'!$E$57+'Assumptions and Catalog'!$F$57,"Out of range")))))))),IF(((D237+E237)*C237-G237)&lt;='Assumptions and Catalog'!$C$60,((D237+E237)*C237-G237)*'Assumptions and Catalog'!$H$60+'Assumptions and Catalog'!$E$60+'Assumptions and Catalog'!$F$60,IF(((D237+E237)*C237-G237)&lt;='Assumptions and Catalog'!$C$61,((D237+E237)*C237-G237)*'Assumptions and Catalog'!$H$61+'Assumptions and Catalog'!$E$61+'Assumptions and Catalog'!$F$61,IF(((D237+E237)*C237-G237)&lt;='Assumptions and Catalog'!$C$62,((D237+E237)*C237-G237)*'Assumptions and Catalog'!$H$62+'Assumptions and Catalog'!$E$62+'Assumptions and Catalog'!$F$62,IF(((D237+E237)*C237-G237)&lt;='Assumptions and Catalog'!$C$63,((D237+E237)*C237-G237)*'Assumptions and Catalog'!$H$63+'Assumptions and Catalog'!$E$63+'Assumptions and Catalog'!$F$63,IF(((D237+E237)*C237-G237)&lt;='Assumptions and Catalog'!$C$64,((D237+E237)*C237-G237)*'Assumptions and Catalog'!$H$64+'Assumptions and Catalog'!$E$64+'Assumptions and Catalog'!$F$64,IF(((D237+E237)*C237-G237)&lt;='Assumptions and Catalog'!$C$65,((D237+E237)*C237-G237)*'Assumptions and Catalog'!$H$65+'Assumptions and Catalog'!$E$65+'Assumptions and Catalog'!$F$65,"Out of range")))))))))*(1+'Assumptions and Catalog'!$C$8)^(A237-1),0)</f>
        <v>3567.397</v>
      </c>
      <c r="R237" s="5" t="n">
        <f>IF(AND('Assumptions and Catalog'!$C$19&gt;0,A237&gt;='Assumptions and Catalog'!$C$19),A237-'Assumptions and Catalog'!$C$19,A237-1)</f>
        <v>6</v>
      </c>
      <c r="S237" s="5" t="n">
        <f>F237+L237-(D237+E237)*C237-J237-K237-0</f>
        <v>0</v>
      </c>
      <c r="T237" s="5"/>
      <c r="U237" s="5"/>
    </row>
    <row r="238" ht="23.100000381469727" customHeight="1">
      <c r="A238" s="5" t="n">
        <v>7</v>
      </c>
      <c r="B238" s="5" t="n">
        <v>6</v>
      </c>
      <c r="C238" s="5" t="n">
        <f>DAY(DATE('Assumptions and Catalog'!$C$24+A238-1,B238+1,0))</f>
        <v>30</v>
      </c>
      <c r="D238" s="5" t="n">
        <f>IF(ISNUMBER(Inputs!$L$5),Inputs!$L$5*Inputs!$L$6,0)</f>
        <v>40.35</v>
      </c>
      <c r="E238" s="5" t="n">
        <f>IF(ISNUMBER(Inputs!$L$5),Inputs!$L$5-D238,0)</f>
        <v>40.35</v>
      </c>
      <c r="F238" s="5" t="n">
        <f>C$51*INDEX('Solar Production'!$D$20:$D$31,B238)*C238*(1-'Assumptions and Catalog'!$C$10)^(A238-1)</f>
        <v>1354.50028942</v>
      </c>
      <c r="G238" s="5" t="n">
        <f>MIN(F238,D238*C238)</f>
        <v>1210.5</v>
      </c>
      <c r="H238" s="5" t="n">
        <f>I238/('Assumptions and Catalog'!$C$11*'Assumptions and Catalog'!$C$12)</f>
        <v>0</v>
      </c>
      <c r="I238" s="5" t="n">
        <f>0</f>
        <v>0</v>
      </c>
      <c r="J238" s="5" t="n">
        <f>MAX(F238-G238-H238,0)</f>
        <v>144.00028942</v>
      </c>
      <c r="K238" s="5" t="n">
        <f>H238-I238</f>
        <v>0</v>
      </c>
      <c r="L238" s="5" t="n">
        <f>(D238+E238)*C238-G238-I238+0+0</f>
        <v>1210.5</v>
      </c>
      <c r="M238" s="5" t="n">
        <f>IF(ISNUMBER(Inputs!$L$5),(IF(Inputs!$L$9="Actual flat rate",((D238+E238)*C238)*Inputs!$L$10,IF(Inputs!$C$9="Residential",IF(((D238+E238)*C238)&lt;='Assumptions and Catalog'!$C$50,((D238+E238)*C238)*'Assumptions and Catalog'!$H$50+'Assumptions and Catalog'!$E$50+'Assumptions and Catalog'!$F$50,IF(((D238+E238)*C238)&lt;='Assumptions and Catalog'!$C$51,((D238+E238)*C238)*'Assumptions and Catalog'!$H$51+'Assumptions and Catalog'!$E$51+'Assumptions and Catalog'!$F$51,IF(((D238+E238)*C238)&lt;='Assumptions and Catalog'!$C$52,((D238+E238)*C238)*'Assumptions and Catalog'!$H$52+'Assumptions and Catalog'!$E$52+'Assumptions and Catalog'!$F$52,IF(((D238+E238)*C238)&lt;='Assumptions and Catalog'!$C$53,((D238+E238)*C238)*'Assumptions and Catalog'!$H$53+'Assumptions and Catalog'!$E$53+'Assumptions and Catalog'!$F$53,IF(((D238+E238)*C238)&lt;='Assumptions and Catalog'!$C$54,((D238+E238)*C238)*'Assumptions and Catalog'!$H$54+'Assumptions and Catalog'!$E$54+'Assumptions and Catalog'!$F$54,IF(((D238+E238)*C238)&lt;='Assumptions and Catalog'!$C$55,((D238+E238)*C238)*'Assumptions and Catalog'!$H$55+'Assumptions and Catalog'!$E$55+'Assumptions and Catalog'!$F$55,IF(((D238+E238)*C238)&lt;='Assumptions and Catalog'!$C$56,((D238+E238)*C238)*'Assumptions and Catalog'!$H$56+'Assumptions and Catalog'!$E$56+'Assumptions and Catalog'!$F$56,IF(((D238+E238)*C238)&lt;='Assumptions and Catalog'!$C$57,((D238+E238)*C238)*'Assumptions and Catalog'!$H$57+'Assumptions and Catalog'!$E$57+'Assumptions and Catalog'!$F$57,"Out of range")))))))),IF(((D238+E238)*C238)&lt;='Assumptions and Catalog'!$C$60,((D238+E238)*C238)*'Assumptions and Catalog'!$H$60+'Assumptions and Catalog'!$E$60+'Assumptions and Catalog'!$F$60,IF(((D238+E238)*C238)&lt;='Assumptions and Catalog'!$C$61,((D238+E238)*C238)*'Assumptions and Catalog'!$H$61+'Assumptions and Catalog'!$E$61+'Assumptions and Catalog'!$F$61,IF(((D238+E238)*C238)&lt;='Assumptions and Catalog'!$C$62,((D238+E238)*C238)*'Assumptions and Catalog'!$H$62+'Assumptions and Catalog'!$E$62+'Assumptions and Catalog'!$F$62,IF(((D238+E238)*C238)&lt;='Assumptions and Catalog'!$C$63,((D238+E238)*C238)*'Assumptions and Catalog'!$H$63+'Assumptions and Catalog'!$E$63+'Assumptions and Catalog'!$F$63,IF(((D238+E238)*C238)&lt;='Assumptions and Catalog'!$C$64,((D238+E238)*C238)*'Assumptions and Catalog'!$H$64+'Assumptions and Catalog'!$E$64+'Assumptions and Catalog'!$F$64,IF(((D238+E238)*C238)&lt;='Assumptions and Catalog'!$C$65,((D238+E238)*C238)*'Assumptions and Catalog'!$H$65+'Assumptions and Catalog'!$E$65+'Assumptions and Catalog'!$F$65,"Out of range")))))))))*(1+'Assumptions and Catalog'!$C$8)^(A238-1),0)</f>
        <v>6867.22</v>
      </c>
      <c r="N238" s="5" t="n">
        <f>IF(ISNUMBER(Inputs!$L$5),(IF(Inputs!$L$9="Actual flat rate",L238*Inputs!$L$10,IF(Inputs!$C$9="Residential",IF(L238&lt;='Assumptions and Catalog'!$C$50,L238*'Assumptions and Catalog'!$H$50+'Assumptions and Catalog'!$E$50+'Assumptions and Catalog'!$F$50,IF(L238&lt;='Assumptions and Catalog'!$C$51,L238*'Assumptions and Catalog'!$H$51+'Assumptions and Catalog'!$E$51+'Assumptions and Catalog'!$F$51,IF(L238&lt;='Assumptions and Catalog'!$C$52,L238*'Assumptions and Catalog'!$H$52+'Assumptions and Catalog'!$E$52+'Assumptions and Catalog'!$F$52,IF(L238&lt;='Assumptions and Catalog'!$C$53,L238*'Assumptions and Catalog'!$H$53+'Assumptions and Catalog'!$E$53+'Assumptions and Catalog'!$F$53,IF(L238&lt;='Assumptions and Catalog'!$C$54,L238*'Assumptions and Catalog'!$H$54+'Assumptions and Catalog'!$E$54+'Assumptions and Catalog'!$F$54,IF(L238&lt;='Assumptions and Catalog'!$C$55,L238*'Assumptions and Catalog'!$H$55+'Assumptions and Catalog'!$E$55+'Assumptions and Catalog'!$F$55,IF(L238&lt;='Assumptions and Catalog'!$C$56,L238*'Assumptions and Catalog'!$H$56+'Assumptions and Catalog'!$E$56+'Assumptions and Catalog'!$F$56,IF(L238&lt;='Assumptions and Catalog'!$C$57,L238*'Assumptions and Catalog'!$H$57+'Assumptions and Catalog'!$E$57+'Assumptions and Catalog'!$F$57,"Out of range")))))))),IF(L238&lt;='Assumptions and Catalog'!$C$60,L238*'Assumptions and Catalog'!$H$60+'Assumptions and Catalog'!$E$60+'Assumptions and Catalog'!$F$60,IF(L238&lt;='Assumptions and Catalog'!$C$61,L238*'Assumptions and Catalog'!$H$61+'Assumptions and Catalog'!$E$61+'Assumptions and Catalog'!$F$61,IF(L238&lt;='Assumptions and Catalog'!$C$62,L238*'Assumptions and Catalog'!$H$62+'Assumptions and Catalog'!$E$62+'Assumptions and Catalog'!$F$62,IF(L238&lt;='Assumptions and Catalog'!$C$63,L238*'Assumptions and Catalog'!$H$63+'Assumptions and Catalog'!$E$63+'Assumptions and Catalog'!$F$63,IF(L238&lt;='Assumptions and Catalog'!$C$64,L238*'Assumptions and Catalog'!$H$64+'Assumptions and Catalog'!$E$64+'Assumptions and Catalog'!$F$64,IF(L238&lt;='Assumptions and Catalog'!$C$65,L238*'Assumptions and Catalog'!$H$65+'Assumptions and Catalog'!$E$65+'Assumptions and Catalog'!$F$65,"Out of range")))))))))*(1+'Assumptions and Catalog'!$C$8)^(A238-1),0)</f>
        <v>3453.61</v>
      </c>
      <c r="O238" s="5" t="n">
        <f>M238-N238</f>
        <v>3413.61</v>
      </c>
      <c r="P238" s="5" t="n">
        <f>C$55*(1-J$14)*(1-'Assumptions and Catalog'!$C$23)^R238</f>
        <v>0</v>
      </c>
      <c r="Q238" s="5" t="n">
        <f>IF(ISNUMBER(Inputs!$L$5),(IF(Inputs!$L$9="Actual flat rate",((D238+E238)*C238-G238)*Inputs!$L$10,IF(Inputs!$C$9="Residential",IF(((D238+E238)*C238-G238)&lt;='Assumptions and Catalog'!$C$50,((D238+E238)*C238-G238)*'Assumptions and Catalog'!$H$50+'Assumptions and Catalog'!$E$50+'Assumptions and Catalog'!$F$50,IF(((D238+E238)*C238-G238)&lt;='Assumptions and Catalog'!$C$51,((D238+E238)*C238-G238)*'Assumptions and Catalog'!$H$51+'Assumptions and Catalog'!$E$51+'Assumptions and Catalog'!$F$51,IF(((D238+E238)*C238-G238)&lt;='Assumptions and Catalog'!$C$52,((D238+E238)*C238-G238)*'Assumptions and Catalog'!$H$52+'Assumptions and Catalog'!$E$52+'Assumptions and Catalog'!$F$52,IF(((D238+E238)*C238-G238)&lt;='Assumptions and Catalog'!$C$53,((D238+E238)*C238-G238)*'Assumptions and Catalog'!$H$53+'Assumptions and Catalog'!$E$53+'Assumptions and Catalog'!$F$53,IF(((D238+E238)*C238-G238)&lt;='Assumptions and Catalog'!$C$54,((D238+E238)*C238-G238)*'Assumptions and Catalog'!$H$54+'Assumptions and Catalog'!$E$54+'Assumptions and Catalog'!$F$54,IF(((D238+E238)*C238-G238)&lt;='Assumptions and Catalog'!$C$55,((D238+E238)*C238-G238)*'Assumptions and Catalog'!$H$55+'Assumptions and Catalog'!$E$55+'Assumptions and Catalog'!$F$55,IF(((D238+E238)*C238-G238)&lt;='Assumptions and Catalog'!$C$56,((D238+E238)*C238-G238)*'Assumptions and Catalog'!$H$56+'Assumptions and Catalog'!$E$56+'Assumptions and Catalog'!$F$56,IF(((D238+E238)*C238-G238)&lt;='Assumptions and Catalog'!$C$57,((D238+E238)*C238-G238)*'Assumptions and Catalog'!$H$57+'Assumptions and Catalog'!$E$57+'Assumptions and Catalog'!$F$57,"Out of range")))))))),IF(((D238+E238)*C238-G238)&lt;='Assumptions and Catalog'!$C$60,((D238+E238)*C238-G238)*'Assumptions and Catalog'!$H$60+'Assumptions and Catalog'!$E$60+'Assumptions and Catalog'!$F$60,IF(((D238+E238)*C238-G238)&lt;='Assumptions and Catalog'!$C$61,((D238+E238)*C238-G238)*'Assumptions and Catalog'!$H$61+'Assumptions and Catalog'!$E$61+'Assumptions and Catalog'!$F$61,IF(((D238+E238)*C238-G238)&lt;='Assumptions and Catalog'!$C$62,((D238+E238)*C238-G238)*'Assumptions and Catalog'!$H$62+'Assumptions and Catalog'!$E$62+'Assumptions and Catalog'!$F$62,IF(((D238+E238)*C238-G238)&lt;='Assumptions and Catalog'!$C$63,((D238+E238)*C238-G238)*'Assumptions and Catalog'!$H$63+'Assumptions and Catalog'!$E$63+'Assumptions and Catalog'!$F$63,IF(((D238+E238)*C238-G238)&lt;='Assumptions and Catalog'!$C$64,((D238+E238)*C238-G238)*'Assumptions and Catalog'!$H$64+'Assumptions and Catalog'!$E$64+'Assumptions and Catalog'!$F$64,IF(((D238+E238)*C238-G238)&lt;='Assumptions and Catalog'!$C$65,((D238+E238)*C238-G238)*'Assumptions and Catalog'!$H$65+'Assumptions and Catalog'!$E$65+'Assumptions and Catalog'!$F$65,"Out of range")))))))))*(1+'Assumptions and Catalog'!$C$8)^(A238-1),0)</f>
        <v>3453.61</v>
      </c>
      <c r="R238" s="5" t="n">
        <f>IF(AND('Assumptions and Catalog'!$C$19&gt;0,A238&gt;='Assumptions and Catalog'!$C$19),A238-'Assumptions and Catalog'!$C$19,A238-1)</f>
        <v>6</v>
      </c>
      <c r="S238" s="5" t="n">
        <f>F238+L238-(D238+E238)*C238-J238-K238-0</f>
        <v>0</v>
      </c>
      <c r="T238" s="5"/>
      <c r="U238" s="5"/>
    </row>
    <row r="239" ht="23.100000381469727" customHeight="1">
      <c r="A239" s="5" t="n">
        <v>7</v>
      </c>
      <c r="B239" s="5" t="n">
        <v>7</v>
      </c>
      <c r="C239" s="5" t="n">
        <f>DAY(DATE('Assumptions and Catalog'!$C$24+A239-1,B239+1,0))</f>
        <v>31</v>
      </c>
      <c r="D239" s="5" t="n">
        <f>IF(ISNUMBER(Inputs!$L$5),Inputs!$L$5*Inputs!$L$6,0)</f>
        <v>40.35</v>
      </c>
      <c r="E239" s="5" t="n">
        <f>IF(ISNUMBER(Inputs!$L$5),Inputs!$L$5-D239,0)</f>
        <v>40.35</v>
      </c>
      <c r="F239" s="5" t="n">
        <f>C$51*INDEX('Solar Production'!$D$20:$D$31,B239)*C239*(1-'Assumptions and Catalog'!$C$10)^(A239-1)</f>
        <v>1406.0775290373</v>
      </c>
      <c r="G239" s="5" t="n">
        <f>MIN(F239,D239*C239)</f>
        <v>1250.85</v>
      </c>
      <c r="H239" s="5" t="n">
        <f>I239/('Assumptions and Catalog'!$C$11*'Assumptions and Catalog'!$C$12)</f>
        <v>0</v>
      </c>
      <c r="I239" s="5" t="n">
        <f>0</f>
        <v>0</v>
      </c>
      <c r="J239" s="5" t="n">
        <f>MAX(F239-G239-H239,0)</f>
        <v>155.227529037304</v>
      </c>
      <c r="K239" s="5" t="n">
        <f>H239-I239</f>
        <v>0</v>
      </c>
      <c r="L239" s="5" t="n">
        <f>(D239+E239)*C239-G239-I239+0+0</f>
        <v>1250.85</v>
      </c>
      <c r="M239" s="5" t="n">
        <f>IF(ISNUMBER(Inputs!$L$5),(IF(Inputs!$L$9="Actual flat rate",((D239+E239)*C239)*Inputs!$L$10,IF(Inputs!$C$9="Residential",IF(((D239+E239)*C239)&lt;='Assumptions and Catalog'!$C$50,((D239+E239)*C239)*'Assumptions and Catalog'!$H$50+'Assumptions and Catalog'!$E$50+'Assumptions and Catalog'!$F$50,IF(((D239+E239)*C239)&lt;='Assumptions and Catalog'!$C$51,((D239+E239)*C239)*'Assumptions and Catalog'!$H$51+'Assumptions and Catalog'!$E$51+'Assumptions and Catalog'!$F$51,IF(((D239+E239)*C239)&lt;='Assumptions and Catalog'!$C$52,((D239+E239)*C239)*'Assumptions and Catalog'!$H$52+'Assumptions and Catalog'!$E$52+'Assumptions and Catalog'!$F$52,IF(((D239+E239)*C239)&lt;='Assumptions and Catalog'!$C$53,((D239+E239)*C239)*'Assumptions and Catalog'!$H$53+'Assumptions and Catalog'!$E$53+'Assumptions and Catalog'!$F$53,IF(((D239+E239)*C239)&lt;='Assumptions and Catalog'!$C$54,((D239+E239)*C239)*'Assumptions and Catalog'!$H$54+'Assumptions and Catalog'!$E$54+'Assumptions and Catalog'!$F$54,IF(((D239+E239)*C239)&lt;='Assumptions and Catalog'!$C$55,((D239+E239)*C239)*'Assumptions and Catalog'!$H$55+'Assumptions and Catalog'!$E$55+'Assumptions and Catalog'!$F$55,IF(((D239+E239)*C239)&lt;='Assumptions and Catalog'!$C$56,((D239+E239)*C239)*'Assumptions and Catalog'!$H$56+'Assumptions and Catalog'!$E$56+'Assumptions and Catalog'!$F$56,IF(((D239+E239)*C239)&lt;='Assumptions and Catalog'!$C$57,((D239+E239)*C239)*'Assumptions and Catalog'!$H$57+'Assumptions and Catalog'!$E$57+'Assumptions and Catalog'!$F$57,"Out of range")))))))),IF(((D239+E239)*C239)&lt;='Assumptions and Catalog'!$C$60,((D239+E239)*C239)*'Assumptions and Catalog'!$H$60+'Assumptions and Catalog'!$E$60+'Assumptions and Catalog'!$F$60,IF(((D239+E239)*C239)&lt;='Assumptions and Catalog'!$C$61,((D239+E239)*C239)*'Assumptions and Catalog'!$H$61+'Assumptions and Catalog'!$E$61+'Assumptions and Catalog'!$F$61,IF(((D239+E239)*C239)&lt;='Assumptions and Catalog'!$C$62,((D239+E239)*C239)*'Assumptions and Catalog'!$H$62+'Assumptions and Catalog'!$E$62+'Assumptions and Catalog'!$F$62,IF(((D239+E239)*C239)&lt;='Assumptions and Catalog'!$C$63,((D239+E239)*C239)*'Assumptions and Catalog'!$H$63+'Assumptions and Catalog'!$E$63+'Assumptions and Catalog'!$F$63,IF(((D239+E239)*C239)&lt;='Assumptions and Catalog'!$C$64,((D239+E239)*C239)*'Assumptions and Catalog'!$H$64+'Assumptions and Catalog'!$E$64+'Assumptions and Catalog'!$F$64,IF(((D239+E239)*C239)&lt;='Assumptions and Catalog'!$C$65,((D239+E239)*C239)*'Assumptions and Catalog'!$H$65+'Assumptions and Catalog'!$E$65+'Assumptions and Catalog'!$F$65,"Out of range")))))))))*(1+'Assumptions and Catalog'!$C$8)^(A239-1),0)</f>
        <v>7094.794</v>
      </c>
      <c r="N239" s="5" t="n">
        <f>IF(ISNUMBER(Inputs!$L$5),(IF(Inputs!$L$9="Actual flat rate",L239*Inputs!$L$10,IF(Inputs!$C$9="Residential",IF(L239&lt;='Assumptions and Catalog'!$C$50,L239*'Assumptions and Catalog'!$H$50+'Assumptions and Catalog'!$E$50+'Assumptions and Catalog'!$F$50,IF(L239&lt;='Assumptions and Catalog'!$C$51,L239*'Assumptions and Catalog'!$H$51+'Assumptions and Catalog'!$E$51+'Assumptions and Catalog'!$F$51,IF(L239&lt;='Assumptions and Catalog'!$C$52,L239*'Assumptions and Catalog'!$H$52+'Assumptions and Catalog'!$E$52+'Assumptions and Catalog'!$F$52,IF(L239&lt;='Assumptions and Catalog'!$C$53,L239*'Assumptions and Catalog'!$H$53+'Assumptions and Catalog'!$E$53+'Assumptions and Catalog'!$F$53,IF(L239&lt;='Assumptions and Catalog'!$C$54,L239*'Assumptions and Catalog'!$H$54+'Assumptions and Catalog'!$E$54+'Assumptions and Catalog'!$F$54,IF(L239&lt;='Assumptions and Catalog'!$C$55,L239*'Assumptions and Catalog'!$H$55+'Assumptions and Catalog'!$E$55+'Assumptions and Catalog'!$F$55,IF(L239&lt;='Assumptions and Catalog'!$C$56,L239*'Assumptions and Catalog'!$H$56+'Assumptions and Catalog'!$E$56+'Assumptions and Catalog'!$F$56,IF(L239&lt;='Assumptions and Catalog'!$C$57,L239*'Assumptions and Catalog'!$H$57+'Assumptions and Catalog'!$E$57+'Assumptions and Catalog'!$F$57,"Out of range")))))))),IF(L239&lt;='Assumptions and Catalog'!$C$60,L239*'Assumptions and Catalog'!$H$60+'Assumptions and Catalog'!$E$60+'Assumptions and Catalog'!$F$60,IF(L239&lt;='Assumptions and Catalog'!$C$61,L239*'Assumptions and Catalog'!$H$61+'Assumptions and Catalog'!$E$61+'Assumptions and Catalog'!$F$61,IF(L239&lt;='Assumptions and Catalog'!$C$62,L239*'Assumptions and Catalog'!$H$62+'Assumptions and Catalog'!$E$62+'Assumptions and Catalog'!$F$62,IF(L239&lt;='Assumptions and Catalog'!$C$63,L239*'Assumptions and Catalog'!$H$63+'Assumptions and Catalog'!$E$63+'Assumptions and Catalog'!$F$63,IF(L239&lt;='Assumptions and Catalog'!$C$64,L239*'Assumptions and Catalog'!$H$64+'Assumptions and Catalog'!$E$64+'Assumptions and Catalog'!$F$64,IF(L239&lt;='Assumptions and Catalog'!$C$65,L239*'Assumptions and Catalog'!$H$65+'Assumptions and Catalog'!$E$65+'Assumptions and Catalog'!$F$65,"Out of range")))))))))*(1+'Assumptions and Catalog'!$C$8)^(A239-1),0)</f>
        <v>3567.397</v>
      </c>
      <c r="O239" s="5" t="n">
        <f>M239-N239</f>
        <v>3527.397</v>
      </c>
      <c r="P239" s="5" t="n">
        <f>C$55*(1-J$14)*(1-'Assumptions and Catalog'!$C$23)^R239</f>
        <v>0</v>
      </c>
      <c r="Q239" s="5" t="n">
        <f>IF(ISNUMBER(Inputs!$L$5),(IF(Inputs!$L$9="Actual flat rate",((D239+E239)*C239-G239)*Inputs!$L$10,IF(Inputs!$C$9="Residential",IF(((D239+E239)*C239-G239)&lt;='Assumptions and Catalog'!$C$50,((D239+E239)*C239-G239)*'Assumptions and Catalog'!$H$50+'Assumptions and Catalog'!$E$50+'Assumptions and Catalog'!$F$50,IF(((D239+E239)*C239-G239)&lt;='Assumptions and Catalog'!$C$51,((D239+E239)*C239-G239)*'Assumptions and Catalog'!$H$51+'Assumptions and Catalog'!$E$51+'Assumptions and Catalog'!$F$51,IF(((D239+E239)*C239-G239)&lt;='Assumptions and Catalog'!$C$52,((D239+E239)*C239-G239)*'Assumptions and Catalog'!$H$52+'Assumptions and Catalog'!$E$52+'Assumptions and Catalog'!$F$52,IF(((D239+E239)*C239-G239)&lt;='Assumptions and Catalog'!$C$53,((D239+E239)*C239-G239)*'Assumptions and Catalog'!$H$53+'Assumptions and Catalog'!$E$53+'Assumptions and Catalog'!$F$53,IF(((D239+E239)*C239-G239)&lt;='Assumptions and Catalog'!$C$54,((D239+E239)*C239-G239)*'Assumptions and Catalog'!$H$54+'Assumptions and Catalog'!$E$54+'Assumptions and Catalog'!$F$54,IF(((D239+E239)*C239-G239)&lt;='Assumptions and Catalog'!$C$55,((D239+E239)*C239-G239)*'Assumptions and Catalog'!$H$55+'Assumptions and Catalog'!$E$55+'Assumptions and Catalog'!$F$55,IF(((D239+E239)*C239-G239)&lt;='Assumptions and Catalog'!$C$56,((D239+E239)*C239-G239)*'Assumptions and Catalog'!$H$56+'Assumptions and Catalog'!$E$56+'Assumptions and Catalog'!$F$56,IF(((D239+E239)*C239-G239)&lt;='Assumptions and Catalog'!$C$57,((D239+E239)*C239-G239)*'Assumptions and Catalog'!$H$57+'Assumptions and Catalog'!$E$57+'Assumptions and Catalog'!$F$57,"Out of range")))))))),IF(((D239+E239)*C239-G239)&lt;='Assumptions and Catalog'!$C$60,((D239+E239)*C239-G239)*'Assumptions and Catalog'!$H$60+'Assumptions and Catalog'!$E$60+'Assumptions and Catalog'!$F$60,IF(((D239+E239)*C239-G239)&lt;='Assumptions and Catalog'!$C$61,((D239+E239)*C239-G239)*'Assumptions and Catalog'!$H$61+'Assumptions and Catalog'!$E$61+'Assumptions and Catalog'!$F$61,IF(((D239+E239)*C239-G239)&lt;='Assumptions and Catalog'!$C$62,((D239+E239)*C239-G239)*'Assumptions and Catalog'!$H$62+'Assumptions and Catalog'!$E$62+'Assumptions and Catalog'!$F$62,IF(((D239+E239)*C239-G239)&lt;='Assumptions and Catalog'!$C$63,((D239+E239)*C239-G239)*'Assumptions and Catalog'!$H$63+'Assumptions and Catalog'!$E$63+'Assumptions and Catalog'!$F$63,IF(((D239+E239)*C239-G239)&lt;='Assumptions and Catalog'!$C$64,((D239+E239)*C239-G239)*'Assumptions and Catalog'!$H$64+'Assumptions and Catalog'!$E$64+'Assumptions and Catalog'!$F$64,IF(((D239+E239)*C239-G239)&lt;='Assumptions and Catalog'!$C$65,((D239+E239)*C239-G239)*'Assumptions and Catalog'!$H$65+'Assumptions and Catalog'!$E$65+'Assumptions and Catalog'!$F$65,"Out of range")))))))))*(1+'Assumptions and Catalog'!$C$8)^(A239-1),0)</f>
        <v>3567.397</v>
      </c>
      <c r="R239" s="5" t="n">
        <f>IF(AND('Assumptions and Catalog'!$C$19&gt;0,A239&gt;='Assumptions and Catalog'!$C$19),A239-'Assumptions and Catalog'!$C$19,A239-1)</f>
        <v>6</v>
      </c>
      <c r="S239" s="5" t="n">
        <f>F239+L239-(D239+E239)*C239-J239-K239-0</f>
        <v>0</v>
      </c>
      <c r="T239" s="5"/>
      <c r="U239" s="5"/>
    </row>
    <row r="240" ht="23.100000381469727" customHeight="1">
      <c r="A240" s="5" t="n">
        <v>7</v>
      </c>
      <c r="B240" s="5" t="n">
        <v>8</v>
      </c>
      <c r="C240" s="5" t="n">
        <f>DAY(DATE('Assumptions and Catalog'!$C$24+A240-1,B240+1,0))</f>
        <v>31</v>
      </c>
      <c r="D240" s="5" t="n">
        <f>IF(ISNUMBER(Inputs!$L$5),Inputs!$L$5*Inputs!$L$6,0)</f>
        <v>40.35</v>
      </c>
      <c r="E240" s="5" t="n">
        <f>IF(ISNUMBER(Inputs!$L$5),Inputs!$L$5-D240,0)</f>
        <v>40.35</v>
      </c>
      <c r="F240" s="5" t="n">
        <f>C$51*INDEX('Solar Production'!$D$20:$D$31,B240)*C240*(1-'Assumptions and Catalog'!$C$10)^(A240-1)</f>
        <v>1424.3515841335</v>
      </c>
      <c r="G240" s="5" t="n">
        <f>MIN(F240,D240*C240)</f>
        <v>1250.85</v>
      </c>
      <c r="H240" s="5" t="n">
        <f>I240/('Assumptions and Catalog'!$C$11*'Assumptions and Catalog'!$C$12)</f>
        <v>0</v>
      </c>
      <c r="I240" s="5" t="n">
        <f>0</f>
        <v>0</v>
      </c>
      <c r="J240" s="5" t="n">
        <f>MAX(F240-G240-H240,0)</f>
        <v>173.501584133501</v>
      </c>
      <c r="K240" s="5" t="n">
        <f>H240-I240</f>
        <v>0</v>
      </c>
      <c r="L240" s="5" t="n">
        <f>(D240+E240)*C240-G240-I240+0+0</f>
        <v>1250.85</v>
      </c>
      <c r="M240" s="5" t="n">
        <f>IF(ISNUMBER(Inputs!$L$5),(IF(Inputs!$L$9="Actual flat rate",((D240+E240)*C240)*Inputs!$L$10,IF(Inputs!$C$9="Residential",IF(((D240+E240)*C240)&lt;='Assumptions and Catalog'!$C$50,((D240+E240)*C240)*'Assumptions and Catalog'!$H$50+'Assumptions and Catalog'!$E$50+'Assumptions and Catalog'!$F$50,IF(((D240+E240)*C240)&lt;='Assumptions and Catalog'!$C$51,((D240+E240)*C240)*'Assumptions and Catalog'!$H$51+'Assumptions and Catalog'!$E$51+'Assumptions and Catalog'!$F$51,IF(((D240+E240)*C240)&lt;='Assumptions and Catalog'!$C$52,((D240+E240)*C240)*'Assumptions and Catalog'!$H$52+'Assumptions and Catalog'!$E$52+'Assumptions and Catalog'!$F$52,IF(((D240+E240)*C240)&lt;='Assumptions and Catalog'!$C$53,((D240+E240)*C240)*'Assumptions and Catalog'!$H$53+'Assumptions and Catalog'!$E$53+'Assumptions and Catalog'!$F$53,IF(((D240+E240)*C240)&lt;='Assumptions and Catalog'!$C$54,((D240+E240)*C240)*'Assumptions and Catalog'!$H$54+'Assumptions and Catalog'!$E$54+'Assumptions and Catalog'!$F$54,IF(((D240+E240)*C240)&lt;='Assumptions and Catalog'!$C$55,((D240+E240)*C240)*'Assumptions and Catalog'!$H$55+'Assumptions and Catalog'!$E$55+'Assumptions and Catalog'!$F$55,IF(((D240+E240)*C240)&lt;='Assumptions and Catalog'!$C$56,((D240+E240)*C240)*'Assumptions and Catalog'!$H$56+'Assumptions and Catalog'!$E$56+'Assumptions and Catalog'!$F$56,IF(((D240+E240)*C240)&lt;='Assumptions and Catalog'!$C$57,((D240+E240)*C240)*'Assumptions and Catalog'!$H$57+'Assumptions and Catalog'!$E$57+'Assumptions and Catalog'!$F$57,"Out of range")))))))),IF(((D240+E240)*C240)&lt;='Assumptions and Catalog'!$C$60,((D240+E240)*C240)*'Assumptions and Catalog'!$H$60+'Assumptions and Catalog'!$E$60+'Assumptions and Catalog'!$F$60,IF(((D240+E240)*C240)&lt;='Assumptions and Catalog'!$C$61,((D240+E240)*C240)*'Assumptions and Catalog'!$H$61+'Assumptions and Catalog'!$E$61+'Assumptions and Catalog'!$F$61,IF(((D240+E240)*C240)&lt;='Assumptions and Catalog'!$C$62,((D240+E240)*C240)*'Assumptions and Catalog'!$H$62+'Assumptions and Catalog'!$E$62+'Assumptions and Catalog'!$F$62,IF(((D240+E240)*C240)&lt;='Assumptions and Catalog'!$C$63,((D240+E240)*C240)*'Assumptions and Catalog'!$H$63+'Assumptions and Catalog'!$E$63+'Assumptions and Catalog'!$F$63,IF(((D240+E240)*C240)&lt;='Assumptions and Catalog'!$C$64,((D240+E240)*C240)*'Assumptions and Catalog'!$H$64+'Assumptions and Catalog'!$E$64+'Assumptions and Catalog'!$F$64,IF(((D240+E240)*C240)&lt;='Assumptions and Catalog'!$C$65,((D240+E240)*C240)*'Assumptions and Catalog'!$H$65+'Assumptions and Catalog'!$E$65+'Assumptions and Catalog'!$F$65,"Out of range")))))))))*(1+'Assumptions and Catalog'!$C$8)^(A240-1),0)</f>
        <v>7094.794</v>
      </c>
      <c r="N240" s="5" t="n">
        <f>IF(ISNUMBER(Inputs!$L$5),(IF(Inputs!$L$9="Actual flat rate",L240*Inputs!$L$10,IF(Inputs!$C$9="Residential",IF(L240&lt;='Assumptions and Catalog'!$C$50,L240*'Assumptions and Catalog'!$H$50+'Assumptions and Catalog'!$E$50+'Assumptions and Catalog'!$F$50,IF(L240&lt;='Assumptions and Catalog'!$C$51,L240*'Assumptions and Catalog'!$H$51+'Assumptions and Catalog'!$E$51+'Assumptions and Catalog'!$F$51,IF(L240&lt;='Assumptions and Catalog'!$C$52,L240*'Assumptions and Catalog'!$H$52+'Assumptions and Catalog'!$E$52+'Assumptions and Catalog'!$F$52,IF(L240&lt;='Assumptions and Catalog'!$C$53,L240*'Assumptions and Catalog'!$H$53+'Assumptions and Catalog'!$E$53+'Assumptions and Catalog'!$F$53,IF(L240&lt;='Assumptions and Catalog'!$C$54,L240*'Assumptions and Catalog'!$H$54+'Assumptions and Catalog'!$E$54+'Assumptions and Catalog'!$F$54,IF(L240&lt;='Assumptions and Catalog'!$C$55,L240*'Assumptions and Catalog'!$H$55+'Assumptions and Catalog'!$E$55+'Assumptions and Catalog'!$F$55,IF(L240&lt;='Assumptions and Catalog'!$C$56,L240*'Assumptions and Catalog'!$H$56+'Assumptions and Catalog'!$E$56+'Assumptions and Catalog'!$F$56,IF(L240&lt;='Assumptions and Catalog'!$C$57,L240*'Assumptions and Catalog'!$H$57+'Assumptions and Catalog'!$E$57+'Assumptions and Catalog'!$F$57,"Out of range")))))))),IF(L240&lt;='Assumptions and Catalog'!$C$60,L240*'Assumptions and Catalog'!$H$60+'Assumptions and Catalog'!$E$60+'Assumptions and Catalog'!$F$60,IF(L240&lt;='Assumptions and Catalog'!$C$61,L240*'Assumptions and Catalog'!$H$61+'Assumptions and Catalog'!$E$61+'Assumptions and Catalog'!$F$61,IF(L240&lt;='Assumptions and Catalog'!$C$62,L240*'Assumptions and Catalog'!$H$62+'Assumptions and Catalog'!$E$62+'Assumptions and Catalog'!$F$62,IF(L240&lt;='Assumptions and Catalog'!$C$63,L240*'Assumptions and Catalog'!$H$63+'Assumptions and Catalog'!$E$63+'Assumptions and Catalog'!$F$63,IF(L240&lt;='Assumptions and Catalog'!$C$64,L240*'Assumptions and Catalog'!$H$64+'Assumptions and Catalog'!$E$64+'Assumptions and Catalog'!$F$64,IF(L240&lt;='Assumptions and Catalog'!$C$65,L240*'Assumptions and Catalog'!$H$65+'Assumptions and Catalog'!$E$65+'Assumptions and Catalog'!$F$65,"Out of range")))))))))*(1+'Assumptions and Catalog'!$C$8)^(A240-1),0)</f>
        <v>3567.397</v>
      </c>
      <c r="O240" s="5" t="n">
        <f>M240-N240</f>
        <v>3527.397</v>
      </c>
      <c r="P240" s="5" t="n">
        <f>C$55*(1-J$14)*(1-'Assumptions and Catalog'!$C$23)^R240</f>
        <v>0</v>
      </c>
      <c r="Q240" s="5" t="n">
        <f>IF(ISNUMBER(Inputs!$L$5),(IF(Inputs!$L$9="Actual flat rate",((D240+E240)*C240-G240)*Inputs!$L$10,IF(Inputs!$C$9="Residential",IF(((D240+E240)*C240-G240)&lt;='Assumptions and Catalog'!$C$50,((D240+E240)*C240-G240)*'Assumptions and Catalog'!$H$50+'Assumptions and Catalog'!$E$50+'Assumptions and Catalog'!$F$50,IF(((D240+E240)*C240-G240)&lt;='Assumptions and Catalog'!$C$51,((D240+E240)*C240-G240)*'Assumptions and Catalog'!$H$51+'Assumptions and Catalog'!$E$51+'Assumptions and Catalog'!$F$51,IF(((D240+E240)*C240-G240)&lt;='Assumptions and Catalog'!$C$52,((D240+E240)*C240-G240)*'Assumptions and Catalog'!$H$52+'Assumptions and Catalog'!$E$52+'Assumptions and Catalog'!$F$52,IF(((D240+E240)*C240-G240)&lt;='Assumptions and Catalog'!$C$53,((D240+E240)*C240-G240)*'Assumptions and Catalog'!$H$53+'Assumptions and Catalog'!$E$53+'Assumptions and Catalog'!$F$53,IF(((D240+E240)*C240-G240)&lt;='Assumptions and Catalog'!$C$54,((D240+E240)*C240-G240)*'Assumptions and Catalog'!$H$54+'Assumptions and Catalog'!$E$54+'Assumptions and Catalog'!$F$54,IF(((D240+E240)*C240-G240)&lt;='Assumptions and Catalog'!$C$55,((D240+E240)*C240-G240)*'Assumptions and Catalog'!$H$55+'Assumptions and Catalog'!$E$55+'Assumptions and Catalog'!$F$55,IF(((D240+E240)*C240-G240)&lt;='Assumptions and Catalog'!$C$56,((D240+E240)*C240-G240)*'Assumptions and Catalog'!$H$56+'Assumptions and Catalog'!$E$56+'Assumptions and Catalog'!$F$56,IF(((D240+E240)*C240-G240)&lt;='Assumptions and Catalog'!$C$57,((D240+E240)*C240-G240)*'Assumptions and Catalog'!$H$57+'Assumptions and Catalog'!$E$57+'Assumptions and Catalog'!$F$57,"Out of range")))))))),IF(((D240+E240)*C240-G240)&lt;='Assumptions and Catalog'!$C$60,((D240+E240)*C240-G240)*'Assumptions and Catalog'!$H$60+'Assumptions and Catalog'!$E$60+'Assumptions and Catalog'!$F$60,IF(((D240+E240)*C240-G240)&lt;='Assumptions and Catalog'!$C$61,((D240+E240)*C240-G240)*'Assumptions and Catalog'!$H$61+'Assumptions and Catalog'!$E$61+'Assumptions and Catalog'!$F$61,IF(((D240+E240)*C240-G240)&lt;='Assumptions and Catalog'!$C$62,((D240+E240)*C240-G240)*'Assumptions and Catalog'!$H$62+'Assumptions and Catalog'!$E$62+'Assumptions and Catalog'!$F$62,IF(((D240+E240)*C240-G240)&lt;='Assumptions and Catalog'!$C$63,((D240+E240)*C240-G240)*'Assumptions and Catalog'!$H$63+'Assumptions and Catalog'!$E$63+'Assumptions and Catalog'!$F$63,IF(((D240+E240)*C240-G240)&lt;='Assumptions and Catalog'!$C$64,((D240+E240)*C240-G240)*'Assumptions and Catalog'!$H$64+'Assumptions and Catalog'!$E$64+'Assumptions and Catalog'!$F$64,IF(((D240+E240)*C240-G240)&lt;='Assumptions and Catalog'!$C$65,((D240+E240)*C240-G240)*'Assumptions and Catalog'!$H$65+'Assumptions and Catalog'!$E$65+'Assumptions and Catalog'!$F$65,"Out of range")))))))))*(1+'Assumptions and Catalog'!$C$8)^(A240-1),0)</f>
        <v>3567.397</v>
      </c>
      <c r="R240" s="5" t="n">
        <f>IF(AND('Assumptions and Catalog'!$C$19&gt;0,A240&gt;='Assumptions and Catalog'!$C$19),A240-'Assumptions and Catalog'!$C$19,A240-1)</f>
        <v>6</v>
      </c>
      <c r="S240" s="5" t="n">
        <f>F240+L240-(D240+E240)*C240-J240-K240-0</f>
        <v>0</v>
      </c>
      <c r="T240" s="5"/>
      <c r="U240" s="5"/>
    </row>
    <row r="241" ht="23.100000381469727" customHeight="1">
      <c r="A241" s="5" t="n">
        <v>7</v>
      </c>
      <c r="B241" s="5" t="n">
        <v>9</v>
      </c>
      <c r="C241" s="5" t="n">
        <f>DAY(DATE('Assumptions and Catalog'!$C$24+A241-1,B241+1,0))</f>
        <v>30</v>
      </c>
      <c r="D241" s="5" t="n">
        <f>IF(ISNUMBER(Inputs!$L$5),Inputs!$L$5*Inputs!$L$6,0)</f>
        <v>40.35</v>
      </c>
      <c r="E241" s="5" t="n">
        <f>IF(ISNUMBER(Inputs!$L$5),Inputs!$L$5-D241,0)</f>
        <v>40.35</v>
      </c>
      <c r="F241" s="5" t="n">
        <f>C$51*INDEX('Solar Production'!$D$20:$D$31,B241)*C241*(1-'Assumptions and Catalog'!$C$10)^(A241-1)</f>
        <v>1374.82377125596</v>
      </c>
      <c r="G241" s="5" t="n">
        <f>MIN(F241,D241*C241)</f>
        <v>1210.5</v>
      </c>
      <c r="H241" s="5" t="n">
        <f>I241/('Assumptions and Catalog'!$C$11*'Assumptions and Catalog'!$C$12)</f>
        <v>0</v>
      </c>
      <c r="I241" s="5" t="n">
        <f>0</f>
        <v>0</v>
      </c>
      <c r="J241" s="5" t="n">
        <f>MAX(F241-G241-H241,0)</f>
        <v>164.323771255957</v>
      </c>
      <c r="K241" s="5" t="n">
        <f>H241-I241</f>
        <v>0</v>
      </c>
      <c r="L241" s="5" t="n">
        <f>(D241+E241)*C241-G241-I241+0+0</f>
        <v>1210.5</v>
      </c>
      <c r="M241" s="5" t="n">
        <f>IF(ISNUMBER(Inputs!$L$5),(IF(Inputs!$L$9="Actual flat rate",((D241+E241)*C241)*Inputs!$L$10,IF(Inputs!$C$9="Residential",IF(((D241+E241)*C241)&lt;='Assumptions and Catalog'!$C$50,((D241+E241)*C241)*'Assumptions and Catalog'!$H$50+'Assumptions and Catalog'!$E$50+'Assumptions and Catalog'!$F$50,IF(((D241+E241)*C241)&lt;='Assumptions and Catalog'!$C$51,((D241+E241)*C241)*'Assumptions and Catalog'!$H$51+'Assumptions and Catalog'!$E$51+'Assumptions and Catalog'!$F$51,IF(((D241+E241)*C241)&lt;='Assumptions and Catalog'!$C$52,((D241+E241)*C241)*'Assumptions and Catalog'!$H$52+'Assumptions and Catalog'!$E$52+'Assumptions and Catalog'!$F$52,IF(((D241+E241)*C241)&lt;='Assumptions and Catalog'!$C$53,((D241+E241)*C241)*'Assumptions and Catalog'!$H$53+'Assumptions and Catalog'!$E$53+'Assumptions and Catalog'!$F$53,IF(((D241+E241)*C241)&lt;='Assumptions and Catalog'!$C$54,((D241+E241)*C241)*'Assumptions and Catalog'!$H$54+'Assumptions and Catalog'!$E$54+'Assumptions and Catalog'!$F$54,IF(((D241+E241)*C241)&lt;='Assumptions and Catalog'!$C$55,((D241+E241)*C241)*'Assumptions and Catalog'!$H$55+'Assumptions and Catalog'!$E$55+'Assumptions and Catalog'!$F$55,IF(((D241+E241)*C241)&lt;='Assumptions and Catalog'!$C$56,((D241+E241)*C241)*'Assumptions and Catalog'!$H$56+'Assumptions and Catalog'!$E$56+'Assumptions and Catalog'!$F$56,IF(((D241+E241)*C241)&lt;='Assumptions and Catalog'!$C$57,((D241+E241)*C241)*'Assumptions and Catalog'!$H$57+'Assumptions and Catalog'!$E$57+'Assumptions and Catalog'!$F$57,"Out of range")))))))),IF(((D241+E241)*C241)&lt;='Assumptions and Catalog'!$C$60,((D241+E241)*C241)*'Assumptions and Catalog'!$H$60+'Assumptions and Catalog'!$E$60+'Assumptions and Catalog'!$F$60,IF(((D241+E241)*C241)&lt;='Assumptions and Catalog'!$C$61,((D241+E241)*C241)*'Assumptions and Catalog'!$H$61+'Assumptions and Catalog'!$E$61+'Assumptions and Catalog'!$F$61,IF(((D241+E241)*C241)&lt;='Assumptions and Catalog'!$C$62,((D241+E241)*C241)*'Assumptions and Catalog'!$H$62+'Assumptions and Catalog'!$E$62+'Assumptions and Catalog'!$F$62,IF(((D241+E241)*C241)&lt;='Assumptions and Catalog'!$C$63,((D241+E241)*C241)*'Assumptions and Catalog'!$H$63+'Assumptions and Catalog'!$E$63+'Assumptions and Catalog'!$F$63,IF(((D241+E241)*C241)&lt;='Assumptions and Catalog'!$C$64,((D241+E241)*C241)*'Assumptions and Catalog'!$H$64+'Assumptions and Catalog'!$E$64+'Assumptions and Catalog'!$F$64,IF(((D241+E241)*C241)&lt;='Assumptions and Catalog'!$C$65,((D241+E241)*C241)*'Assumptions and Catalog'!$H$65+'Assumptions and Catalog'!$E$65+'Assumptions and Catalog'!$F$65,"Out of range")))))))))*(1+'Assumptions and Catalog'!$C$8)^(A241-1),0)</f>
        <v>6867.22</v>
      </c>
      <c r="N241" s="5" t="n">
        <f>IF(ISNUMBER(Inputs!$L$5),(IF(Inputs!$L$9="Actual flat rate",L241*Inputs!$L$10,IF(Inputs!$C$9="Residential",IF(L241&lt;='Assumptions and Catalog'!$C$50,L241*'Assumptions and Catalog'!$H$50+'Assumptions and Catalog'!$E$50+'Assumptions and Catalog'!$F$50,IF(L241&lt;='Assumptions and Catalog'!$C$51,L241*'Assumptions and Catalog'!$H$51+'Assumptions and Catalog'!$E$51+'Assumptions and Catalog'!$F$51,IF(L241&lt;='Assumptions and Catalog'!$C$52,L241*'Assumptions and Catalog'!$H$52+'Assumptions and Catalog'!$E$52+'Assumptions and Catalog'!$F$52,IF(L241&lt;='Assumptions and Catalog'!$C$53,L241*'Assumptions and Catalog'!$H$53+'Assumptions and Catalog'!$E$53+'Assumptions and Catalog'!$F$53,IF(L241&lt;='Assumptions and Catalog'!$C$54,L241*'Assumptions and Catalog'!$H$54+'Assumptions and Catalog'!$E$54+'Assumptions and Catalog'!$F$54,IF(L241&lt;='Assumptions and Catalog'!$C$55,L241*'Assumptions and Catalog'!$H$55+'Assumptions and Catalog'!$E$55+'Assumptions and Catalog'!$F$55,IF(L241&lt;='Assumptions and Catalog'!$C$56,L241*'Assumptions and Catalog'!$H$56+'Assumptions and Catalog'!$E$56+'Assumptions and Catalog'!$F$56,IF(L241&lt;='Assumptions and Catalog'!$C$57,L241*'Assumptions and Catalog'!$H$57+'Assumptions and Catalog'!$E$57+'Assumptions and Catalog'!$F$57,"Out of range")))))))),IF(L241&lt;='Assumptions and Catalog'!$C$60,L241*'Assumptions and Catalog'!$H$60+'Assumptions and Catalog'!$E$60+'Assumptions and Catalog'!$F$60,IF(L241&lt;='Assumptions and Catalog'!$C$61,L241*'Assumptions and Catalog'!$H$61+'Assumptions and Catalog'!$E$61+'Assumptions and Catalog'!$F$61,IF(L241&lt;='Assumptions and Catalog'!$C$62,L241*'Assumptions and Catalog'!$H$62+'Assumptions and Catalog'!$E$62+'Assumptions and Catalog'!$F$62,IF(L241&lt;='Assumptions and Catalog'!$C$63,L241*'Assumptions and Catalog'!$H$63+'Assumptions and Catalog'!$E$63+'Assumptions and Catalog'!$F$63,IF(L241&lt;='Assumptions and Catalog'!$C$64,L241*'Assumptions and Catalog'!$H$64+'Assumptions and Catalog'!$E$64+'Assumptions and Catalog'!$F$64,IF(L241&lt;='Assumptions and Catalog'!$C$65,L241*'Assumptions and Catalog'!$H$65+'Assumptions and Catalog'!$E$65+'Assumptions and Catalog'!$F$65,"Out of range")))))))))*(1+'Assumptions and Catalog'!$C$8)^(A241-1),0)</f>
        <v>3453.61</v>
      </c>
      <c r="O241" s="5" t="n">
        <f>M241-N241</f>
        <v>3413.61</v>
      </c>
      <c r="P241" s="5" t="n">
        <f>C$55*(1-J$14)*(1-'Assumptions and Catalog'!$C$23)^R241</f>
        <v>0</v>
      </c>
      <c r="Q241" s="5" t="n">
        <f>IF(ISNUMBER(Inputs!$L$5),(IF(Inputs!$L$9="Actual flat rate",((D241+E241)*C241-G241)*Inputs!$L$10,IF(Inputs!$C$9="Residential",IF(((D241+E241)*C241-G241)&lt;='Assumptions and Catalog'!$C$50,((D241+E241)*C241-G241)*'Assumptions and Catalog'!$H$50+'Assumptions and Catalog'!$E$50+'Assumptions and Catalog'!$F$50,IF(((D241+E241)*C241-G241)&lt;='Assumptions and Catalog'!$C$51,((D241+E241)*C241-G241)*'Assumptions and Catalog'!$H$51+'Assumptions and Catalog'!$E$51+'Assumptions and Catalog'!$F$51,IF(((D241+E241)*C241-G241)&lt;='Assumptions and Catalog'!$C$52,((D241+E241)*C241-G241)*'Assumptions and Catalog'!$H$52+'Assumptions and Catalog'!$E$52+'Assumptions and Catalog'!$F$52,IF(((D241+E241)*C241-G241)&lt;='Assumptions and Catalog'!$C$53,((D241+E241)*C241-G241)*'Assumptions and Catalog'!$H$53+'Assumptions and Catalog'!$E$53+'Assumptions and Catalog'!$F$53,IF(((D241+E241)*C241-G241)&lt;='Assumptions and Catalog'!$C$54,((D241+E241)*C241-G241)*'Assumptions and Catalog'!$H$54+'Assumptions and Catalog'!$E$54+'Assumptions and Catalog'!$F$54,IF(((D241+E241)*C241-G241)&lt;='Assumptions and Catalog'!$C$55,((D241+E241)*C241-G241)*'Assumptions and Catalog'!$H$55+'Assumptions and Catalog'!$E$55+'Assumptions and Catalog'!$F$55,IF(((D241+E241)*C241-G241)&lt;='Assumptions and Catalog'!$C$56,((D241+E241)*C241-G241)*'Assumptions and Catalog'!$H$56+'Assumptions and Catalog'!$E$56+'Assumptions and Catalog'!$F$56,IF(((D241+E241)*C241-G241)&lt;='Assumptions and Catalog'!$C$57,((D241+E241)*C241-G241)*'Assumptions and Catalog'!$H$57+'Assumptions and Catalog'!$E$57+'Assumptions and Catalog'!$F$57,"Out of range")))))))),IF(((D241+E241)*C241-G241)&lt;='Assumptions and Catalog'!$C$60,((D241+E241)*C241-G241)*'Assumptions and Catalog'!$H$60+'Assumptions and Catalog'!$E$60+'Assumptions and Catalog'!$F$60,IF(((D241+E241)*C241-G241)&lt;='Assumptions and Catalog'!$C$61,((D241+E241)*C241-G241)*'Assumptions and Catalog'!$H$61+'Assumptions and Catalog'!$E$61+'Assumptions and Catalog'!$F$61,IF(((D241+E241)*C241-G241)&lt;='Assumptions and Catalog'!$C$62,((D241+E241)*C241-G241)*'Assumptions and Catalog'!$H$62+'Assumptions and Catalog'!$E$62+'Assumptions and Catalog'!$F$62,IF(((D241+E241)*C241-G241)&lt;='Assumptions and Catalog'!$C$63,((D241+E241)*C241-G241)*'Assumptions and Catalog'!$H$63+'Assumptions and Catalog'!$E$63+'Assumptions and Catalog'!$F$63,IF(((D241+E241)*C241-G241)&lt;='Assumptions and Catalog'!$C$64,((D241+E241)*C241-G241)*'Assumptions and Catalog'!$H$64+'Assumptions and Catalog'!$E$64+'Assumptions and Catalog'!$F$64,IF(((D241+E241)*C241-G241)&lt;='Assumptions and Catalog'!$C$65,((D241+E241)*C241-G241)*'Assumptions and Catalog'!$H$65+'Assumptions and Catalog'!$E$65+'Assumptions and Catalog'!$F$65,"Out of range")))))))))*(1+'Assumptions and Catalog'!$C$8)^(A241-1),0)</f>
        <v>3453.61</v>
      </c>
      <c r="R241" s="5" t="n">
        <f>IF(AND('Assumptions and Catalog'!$C$19&gt;0,A241&gt;='Assumptions and Catalog'!$C$19),A241-'Assumptions and Catalog'!$C$19,A241-1)</f>
        <v>6</v>
      </c>
      <c r="S241" s="5" t="n">
        <f>F241+L241-(D241+E241)*C241-J241-K241-0</f>
        <v>0</v>
      </c>
      <c r="T241" s="5"/>
      <c r="U241" s="5"/>
    </row>
    <row r="242" ht="23.100000381469727" customHeight="1">
      <c r="A242" s="5" t="n">
        <v>7</v>
      </c>
      <c r="B242" s="5" t="n">
        <v>10</v>
      </c>
      <c r="C242" s="5" t="n">
        <f>DAY(DATE('Assumptions and Catalog'!$C$24+A242-1,B242+1,0))</f>
        <v>31</v>
      </c>
      <c r="D242" s="5" t="n">
        <f>IF(ISNUMBER(Inputs!$L$5),Inputs!$L$5*Inputs!$L$6,0)</f>
        <v>40.35</v>
      </c>
      <c r="E242" s="5" t="n">
        <f>IF(ISNUMBER(Inputs!$L$5),Inputs!$L$5-D242,0)</f>
        <v>40.35</v>
      </c>
      <c r="F242" s="5" t="n">
        <f>C$51*INDEX('Solar Production'!$D$20:$D$31,B242)*C242*(1-'Assumptions and Catalog'!$C$10)^(A242-1)</f>
        <v>1319.57464206325</v>
      </c>
      <c r="G242" s="5" t="n">
        <f>MIN(F242,D242*C242)</f>
        <v>1250.85</v>
      </c>
      <c r="H242" s="5" t="n">
        <f>I242/('Assumptions and Catalog'!$C$11*'Assumptions and Catalog'!$C$12)</f>
        <v>0</v>
      </c>
      <c r="I242" s="5" t="n">
        <f>0</f>
        <v>0</v>
      </c>
      <c r="J242" s="5" t="n">
        <f>MAX(F242-G242-H242,0)</f>
        <v>68.7246420632489</v>
      </c>
      <c r="K242" s="5" t="n">
        <f>H242-I242</f>
        <v>0</v>
      </c>
      <c r="L242" s="5" t="n">
        <f>(D242+E242)*C242-G242-I242+0+0</f>
        <v>1250.85</v>
      </c>
      <c r="M242" s="5" t="n">
        <f>IF(ISNUMBER(Inputs!$L$5),(IF(Inputs!$L$9="Actual flat rate",((D242+E242)*C242)*Inputs!$L$10,IF(Inputs!$C$9="Residential",IF(((D242+E242)*C242)&lt;='Assumptions and Catalog'!$C$50,((D242+E242)*C242)*'Assumptions and Catalog'!$H$50+'Assumptions and Catalog'!$E$50+'Assumptions and Catalog'!$F$50,IF(((D242+E242)*C242)&lt;='Assumptions and Catalog'!$C$51,((D242+E242)*C242)*'Assumptions and Catalog'!$H$51+'Assumptions and Catalog'!$E$51+'Assumptions and Catalog'!$F$51,IF(((D242+E242)*C242)&lt;='Assumptions and Catalog'!$C$52,((D242+E242)*C242)*'Assumptions and Catalog'!$H$52+'Assumptions and Catalog'!$E$52+'Assumptions and Catalog'!$F$52,IF(((D242+E242)*C242)&lt;='Assumptions and Catalog'!$C$53,((D242+E242)*C242)*'Assumptions and Catalog'!$H$53+'Assumptions and Catalog'!$E$53+'Assumptions and Catalog'!$F$53,IF(((D242+E242)*C242)&lt;='Assumptions and Catalog'!$C$54,((D242+E242)*C242)*'Assumptions and Catalog'!$H$54+'Assumptions and Catalog'!$E$54+'Assumptions and Catalog'!$F$54,IF(((D242+E242)*C242)&lt;='Assumptions and Catalog'!$C$55,((D242+E242)*C242)*'Assumptions and Catalog'!$H$55+'Assumptions and Catalog'!$E$55+'Assumptions and Catalog'!$F$55,IF(((D242+E242)*C242)&lt;='Assumptions and Catalog'!$C$56,((D242+E242)*C242)*'Assumptions and Catalog'!$H$56+'Assumptions and Catalog'!$E$56+'Assumptions and Catalog'!$F$56,IF(((D242+E242)*C242)&lt;='Assumptions and Catalog'!$C$57,((D242+E242)*C242)*'Assumptions and Catalog'!$H$57+'Assumptions and Catalog'!$E$57+'Assumptions and Catalog'!$F$57,"Out of range")))))))),IF(((D242+E242)*C242)&lt;='Assumptions and Catalog'!$C$60,((D242+E242)*C242)*'Assumptions and Catalog'!$H$60+'Assumptions and Catalog'!$E$60+'Assumptions and Catalog'!$F$60,IF(((D242+E242)*C242)&lt;='Assumptions and Catalog'!$C$61,((D242+E242)*C242)*'Assumptions and Catalog'!$H$61+'Assumptions and Catalog'!$E$61+'Assumptions and Catalog'!$F$61,IF(((D242+E242)*C242)&lt;='Assumptions and Catalog'!$C$62,((D242+E242)*C242)*'Assumptions and Catalog'!$H$62+'Assumptions and Catalog'!$E$62+'Assumptions and Catalog'!$F$62,IF(((D242+E242)*C242)&lt;='Assumptions and Catalog'!$C$63,((D242+E242)*C242)*'Assumptions and Catalog'!$H$63+'Assumptions and Catalog'!$E$63+'Assumptions and Catalog'!$F$63,IF(((D242+E242)*C242)&lt;='Assumptions and Catalog'!$C$64,((D242+E242)*C242)*'Assumptions and Catalog'!$H$64+'Assumptions and Catalog'!$E$64+'Assumptions and Catalog'!$F$64,IF(((D242+E242)*C242)&lt;='Assumptions and Catalog'!$C$65,((D242+E242)*C242)*'Assumptions and Catalog'!$H$65+'Assumptions and Catalog'!$E$65+'Assumptions and Catalog'!$F$65,"Out of range")))))))))*(1+'Assumptions and Catalog'!$C$8)^(A242-1),0)</f>
        <v>7094.794</v>
      </c>
      <c r="N242" s="5" t="n">
        <f>IF(ISNUMBER(Inputs!$L$5),(IF(Inputs!$L$9="Actual flat rate",L242*Inputs!$L$10,IF(Inputs!$C$9="Residential",IF(L242&lt;='Assumptions and Catalog'!$C$50,L242*'Assumptions and Catalog'!$H$50+'Assumptions and Catalog'!$E$50+'Assumptions and Catalog'!$F$50,IF(L242&lt;='Assumptions and Catalog'!$C$51,L242*'Assumptions and Catalog'!$H$51+'Assumptions and Catalog'!$E$51+'Assumptions and Catalog'!$F$51,IF(L242&lt;='Assumptions and Catalog'!$C$52,L242*'Assumptions and Catalog'!$H$52+'Assumptions and Catalog'!$E$52+'Assumptions and Catalog'!$F$52,IF(L242&lt;='Assumptions and Catalog'!$C$53,L242*'Assumptions and Catalog'!$H$53+'Assumptions and Catalog'!$E$53+'Assumptions and Catalog'!$F$53,IF(L242&lt;='Assumptions and Catalog'!$C$54,L242*'Assumptions and Catalog'!$H$54+'Assumptions and Catalog'!$E$54+'Assumptions and Catalog'!$F$54,IF(L242&lt;='Assumptions and Catalog'!$C$55,L242*'Assumptions and Catalog'!$H$55+'Assumptions and Catalog'!$E$55+'Assumptions and Catalog'!$F$55,IF(L242&lt;='Assumptions and Catalog'!$C$56,L242*'Assumptions and Catalog'!$H$56+'Assumptions and Catalog'!$E$56+'Assumptions and Catalog'!$F$56,IF(L242&lt;='Assumptions and Catalog'!$C$57,L242*'Assumptions and Catalog'!$H$57+'Assumptions and Catalog'!$E$57+'Assumptions and Catalog'!$F$57,"Out of range")))))))),IF(L242&lt;='Assumptions and Catalog'!$C$60,L242*'Assumptions and Catalog'!$H$60+'Assumptions and Catalog'!$E$60+'Assumptions and Catalog'!$F$60,IF(L242&lt;='Assumptions and Catalog'!$C$61,L242*'Assumptions and Catalog'!$H$61+'Assumptions and Catalog'!$E$61+'Assumptions and Catalog'!$F$61,IF(L242&lt;='Assumptions and Catalog'!$C$62,L242*'Assumptions and Catalog'!$H$62+'Assumptions and Catalog'!$E$62+'Assumptions and Catalog'!$F$62,IF(L242&lt;='Assumptions and Catalog'!$C$63,L242*'Assumptions and Catalog'!$H$63+'Assumptions and Catalog'!$E$63+'Assumptions and Catalog'!$F$63,IF(L242&lt;='Assumptions and Catalog'!$C$64,L242*'Assumptions and Catalog'!$H$64+'Assumptions and Catalog'!$E$64+'Assumptions and Catalog'!$F$64,IF(L242&lt;='Assumptions and Catalog'!$C$65,L242*'Assumptions and Catalog'!$H$65+'Assumptions and Catalog'!$E$65+'Assumptions and Catalog'!$F$65,"Out of range")))))))))*(1+'Assumptions and Catalog'!$C$8)^(A242-1),0)</f>
        <v>3567.397</v>
      </c>
      <c r="O242" s="5" t="n">
        <f>M242-N242</f>
        <v>3527.397</v>
      </c>
      <c r="P242" s="5" t="n">
        <f>C$55*(1-J$14)*(1-'Assumptions and Catalog'!$C$23)^R242</f>
        <v>0</v>
      </c>
      <c r="Q242" s="5" t="n">
        <f>IF(ISNUMBER(Inputs!$L$5),(IF(Inputs!$L$9="Actual flat rate",((D242+E242)*C242-G242)*Inputs!$L$10,IF(Inputs!$C$9="Residential",IF(((D242+E242)*C242-G242)&lt;='Assumptions and Catalog'!$C$50,((D242+E242)*C242-G242)*'Assumptions and Catalog'!$H$50+'Assumptions and Catalog'!$E$50+'Assumptions and Catalog'!$F$50,IF(((D242+E242)*C242-G242)&lt;='Assumptions and Catalog'!$C$51,((D242+E242)*C242-G242)*'Assumptions and Catalog'!$H$51+'Assumptions and Catalog'!$E$51+'Assumptions and Catalog'!$F$51,IF(((D242+E242)*C242-G242)&lt;='Assumptions and Catalog'!$C$52,((D242+E242)*C242-G242)*'Assumptions and Catalog'!$H$52+'Assumptions and Catalog'!$E$52+'Assumptions and Catalog'!$F$52,IF(((D242+E242)*C242-G242)&lt;='Assumptions and Catalog'!$C$53,((D242+E242)*C242-G242)*'Assumptions and Catalog'!$H$53+'Assumptions and Catalog'!$E$53+'Assumptions and Catalog'!$F$53,IF(((D242+E242)*C242-G242)&lt;='Assumptions and Catalog'!$C$54,((D242+E242)*C242-G242)*'Assumptions and Catalog'!$H$54+'Assumptions and Catalog'!$E$54+'Assumptions and Catalog'!$F$54,IF(((D242+E242)*C242-G242)&lt;='Assumptions and Catalog'!$C$55,((D242+E242)*C242-G242)*'Assumptions and Catalog'!$H$55+'Assumptions and Catalog'!$E$55+'Assumptions and Catalog'!$F$55,IF(((D242+E242)*C242-G242)&lt;='Assumptions and Catalog'!$C$56,((D242+E242)*C242-G242)*'Assumptions and Catalog'!$H$56+'Assumptions and Catalog'!$E$56+'Assumptions and Catalog'!$F$56,IF(((D242+E242)*C242-G242)&lt;='Assumptions and Catalog'!$C$57,((D242+E242)*C242-G242)*'Assumptions and Catalog'!$H$57+'Assumptions and Catalog'!$E$57+'Assumptions and Catalog'!$F$57,"Out of range")))))))),IF(((D242+E242)*C242-G242)&lt;='Assumptions and Catalog'!$C$60,((D242+E242)*C242-G242)*'Assumptions and Catalog'!$H$60+'Assumptions and Catalog'!$E$60+'Assumptions and Catalog'!$F$60,IF(((D242+E242)*C242-G242)&lt;='Assumptions and Catalog'!$C$61,((D242+E242)*C242-G242)*'Assumptions and Catalog'!$H$61+'Assumptions and Catalog'!$E$61+'Assumptions and Catalog'!$F$61,IF(((D242+E242)*C242-G242)&lt;='Assumptions and Catalog'!$C$62,((D242+E242)*C242-G242)*'Assumptions and Catalog'!$H$62+'Assumptions and Catalog'!$E$62+'Assumptions and Catalog'!$F$62,IF(((D242+E242)*C242-G242)&lt;='Assumptions and Catalog'!$C$63,((D242+E242)*C242-G242)*'Assumptions and Catalog'!$H$63+'Assumptions and Catalog'!$E$63+'Assumptions and Catalog'!$F$63,IF(((D242+E242)*C242-G242)&lt;='Assumptions and Catalog'!$C$64,((D242+E242)*C242-G242)*'Assumptions and Catalog'!$H$64+'Assumptions and Catalog'!$E$64+'Assumptions and Catalog'!$F$64,IF(((D242+E242)*C242-G242)&lt;='Assumptions and Catalog'!$C$65,((D242+E242)*C242-G242)*'Assumptions and Catalog'!$H$65+'Assumptions and Catalog'!$E$65+'Assumptions and Catalog'!$F$65,"Out of range")))))))))*(1+'Assumptions and Catalog'!$C$8)^(A242-1),0)</f>
        <v>3567.397</v>
      </c>
      <c r="R242" s="5" t="n">
        <f>IF(AND('Assumptions and Catalog'!$C$19&gt;0,A242&gt;='Assumptions and Catalog'!$C$19),A242-'Assumptions and Catalog'!$C$19,A242-1)</f>
        <v>6</v>
      </c>
      <c r="S242" s="5" t="n">
        <f>F242+L242-(D242+E242)*C242-J242-K242-0</f>
        <v>0</v>
      </c>
      <c r="T242" s="5"/>
      <c r="U242" s="5"/>
    </row>
    <row r="243" ht="23.100000381469727" customHeight="1">
      <c r="A243" s="5" t="n">
        <v>7</v>
      </c>
      <c r="B243" s="5" t="n">
        <v>11</v>
      </c>
      <c r="C243" s="5" t="n">
        <f>DAY(DATE('Assumptions and Catalog'!$C$24+A243-1,B243+1,0))</f>
        <v>30</v>
      </c>
      <c r="D243" s="5" t="n">
        <f>IF(ISNUMBER(Inputs!$L$5),Inputs!$L$5*Inputs!$L$6,0)</f>
        <v>40.35</v>
      </c>
      <c r="E243" s="5" t="n">
        <f>IF(ISNUMBER(Inputs!$L$5),Inputs!$L$5-D243,0)</f>
        <v>40.35</v>
      </c>
      <c r="F243" s="5" t="n">
        <f>C$51*INDEX('Solar Production'!$D$20:$D$31,B243)*C243*(1-'Assumptions and Catalog'!$C$10)^(A243-1)</f>
        <v>1169.62491893744</v>
      </c>
      <c r="G243" s="5" t="n">
        <f>MIN(F243,D243*C243)</f>
        <v>1169.62491893744</v>
      </c>
      <c r="H243" s="5" t="n">
        <f>I243/('Assumptions and Catalog'!$C$11*'Assumptions and Catalog'!$C$12)</f>
        <v>0</v>
      </c>
      <c r="I243" s="5" t="n">
        <f>0</f>
        <v>0</v>
      </c>
      <c r="J243" s="5" t="n">
        <f>MAX(F243-G243-H243,0)</f>
        <v>0</v>
      </c>
      <c r="K243" s="5" t="n">
        <f>H243-I243</f>
        <v>0</v>
      </c>
      <c r="L243" s="5" t="n">
        <f>(D243+E243)*C243-G243-I243+0+0</f>
        <v>1251.37508106256</v>
      </c>
      <c r="M243" s="5" t="n">
        <f>IF(ISNUMBER(Inputs!$L$5),(IF(Inputs!$L$9="Actual flat rate",((D243+E243)*C243)*Inputs!$L$10,IF(Inputs!$C$9="Residential",IF(((D243+E243)*C243)&lt;='Assumptions and Catalog'!$C$50,((D243+E243)*C243)*'Assumptions and Catalog'!$H$50+'Assumptions and Catalog'!$E$50+'Assumptions and Catalog'!$F$50,IF(((D243+E243)*C243)&lt;='Assumptions and Catalog'!$C$51,((D243+E243)*C243)*'Assumptions and Catalog'!$H$51+'Assumptions and Catalog'!$E$51+'Assumptions and Catalog'!$F$51,IF(((D243+E243)*C243)&lt;='Assumptions and Catalog'!$C$52,((D243+E243)*C243)*'Assumptions and Catalog'!$H$52+'Assumptions and Catalog'!$E$52+'Assumptions and Catalog'!$F$52,IF(((D243+E243)*C243)&lt;='Assumptions and Catalog'!$C$53,((D243+E243)*C243)*'Assumptions and Catalog'!$H$53+'Assumptions and Catalog'!$E$53+'Assumptions and Catalog'!$F$53,IF(((D243+E243)*C243)&lt;='Assumptions and Catalog'!$C$54,((D243+E243)*C243)*'Assumptions and Catalog'!$H$54+'Assumptions and Catalog'!$E$54+'Assumptions and Catalog'!$F$54,IF(((D243+E243)*C243)&lt;='Assumptions and Catalog'!$C$55,((D243+E243)*C243)*'Assumptions and Catalog'!$H$55+'Assumptions and Catalog'!$E$55+'Assumptions and Catalog'!$F$55,IF(((D243+E243)*C243)&lt;='Assumptions and Catalog'!$C$56,((D243+E243)*C243)*'Assumptions and Catalog'!$H$56+'Assumptions and Catalog'!$E$56+'Assumptions and Catalog'!$F$56,IF(((D243+E243)*C243)&lt;='Assumptions and Catalog'!$C$57,((D243+E243)*C243)*'Assumptions and Catalog'!$H$57+'Assumptions and Catalog'!$E$57+'Assumptions and Catalog'!$F$57,"Out of range")))))))),IF(((D243+E243)*C243)&lt;='Assumptions and Catalog'!$C$60,((D243+E243)*C243)*'Assumptions and Catalog'!$H$60+'Assumptions and Catalog'!$E$60+'Assumptions and Catalog'!$F$60,IF(((D243+E243)*C243)&lt;='Assumptions and Catalog'!$C$61,((D243+E243)*C243)*'Assumptions and Catalog'!$H$61+'Assumptions and Catalog'!$E$61+'Assumptions and Catalog'!$F$61,IF(((D243+E243)*C243)&lt;='Assumptions and Catalog'!$C$62,((D243+E243)*C243)*'Assumptions and Catalog'!$H$62+'Assumptions and Catalog'!$E$62+'Assumptions and Catalog'!$F$62,IF(((D243+E243)*C243)&lt;='Assumptions and Catalog'!$C$63,((D243+E243)*C243)*'Assumptions and Catalog'!$H$63+'Assumptions and Catalog'!$E$63+'Assumptions and Catalog'!$F$63,IF(((D243+E243)*C243)&lt;='Assumptions and Catalog'!$C$64,((D243+E243)*C243)*'Assumptions and Catalog'!$H$64+'Assumptions and Catalog'!$E$64+'Assumptions and Catalog'!$F$64,IF(((D243+E243)*C243)&lt;='Assumptions and Catalog'!$C$65,((D243+E243)*C243)*'Assumptions and Catalog'!$H$65+'Assumptions and Catalog'!$E$65+'Assumptions and Catalog'!$F$65,"Out of range")))))))))*(1+'Assumptions and Catalog'!$C$8)^(A243-1),0)</f>
        <v>6867.22</v>
      </c>
      <c r="N243" s="5" t="n">
        <f>IF(ISNUMBER(Inputs!$L$5),(IF(Inputs!$L$9="Actual flat rate",L243*Inputs!$L$10,IF(Inputs!$C$9="Residential",IF(L243&lt;='Assumptions and Catalog'!$C$50,L243*'Assumptions and Catalog'!$H$50+'Assumptions and Catalog'!$E$50+'Assumptions and Catalog'!$F$50,IF(L243&lt;='Assumptions and Catalog'!$C$51,L243*'Assumptions and Catalog'!$H$51+'Assumptions and Catalog'!$E$51+'Assumptions and Catalog'!$F$51,IF(L243&lt;='Assumptions and Catalog'!$C$52,L243*'Assumptions and Catalog'!$H$52+'Assumptions and Catalog'!$E$52+'Assumptions and Catalog'!$F$52,IF(L243&lt;='Assumptions and Catalog'!$C$53,L243*'Assumptions and Catalog'!$H$53+'Assumptions and Catalog'!$E$53+'Assumptions and Catalog'!$F$53,IF(L243&lt;='Assumptions and Catalog'!$C$54,L243*'Assumptions and Catalog'!$H$54+'Assumptions and Catalog'!$E$54+'Assumptions and Catalog'!$F$54,IF(L243&lt;='Assumptions and Catalog'!$C$55,L243*'Assumptions and Catalog'!$H$55+'Assumptions and Catalog'!$E$55+'Assumptions and Catalog'!$F$55,IF(L243&lt;='Assumptions and Catalog'!$C$56,L243*'Assumptions and Catalog'!$H$56+'Assumptions and Catalog'!$E$56+'Assumptions and Catalog'!$F$56,IF(L243&lt;='Assumptions and Catalog'!$C$57,L243*'Assumptions and Catalog'!$H$57+'Assumptions and Catalog'!$E$57+'Assumptions and Catalog'!$F$57,"Out of range")))))))),IF(L243&lt;='Assumptions and Catalog'!$C$60,L243*'Assumptions and Catalog'!$H$60+'Assumptions and Catalog'!$E$60+'Assumptions and Catalog'!$F$60,IF(L243&lt;='Assumptions and Catalog'!$C$61,L243*'Assumptions and Catalog'!$H$61+'Assumptions and Catalog'!$E$61+'Assumptions and Catalog'!$F$61,IF(L243&lt;='Assumptions and Catalog'!$C$62,L243*'Assumptions and Catalog'!$H$62+'Assumptions and Catalog'!$E$62+'Assumptions and Catalog'!$F$62,IF(L243&lt;='Assumptions and Catalog'!$C$63,L243*'Assumptions and Catalog'!$H$63+'Assumptions and Catalog'!$E$63+'Assumptions and Catalog'!$F$63,IF(L243&lt;='Assumptions and Catalog'!$C$64,L243*'Assumptions and Catalog'!$H$64+'Assumptions and Catalog'!$E$64+'Assumptions and Catalog'!$F$64,IF(L243&lt;='Assumptions and Catalog'!$C$65,L243*'Assumptions and Catalog'!$H$65+'Assumptions and Catalog'!$E$65+'Assumptions and Catalog'!$F$65,"Out of range")))))))))*(1+'Assumptions and Catalog'!$C$8)^(A243-1),0)</f>
        <v>3568.87772859641</v>
      </c>
      <c r="O243" s="5" t="n">
        <f>M243-N243</f>
        <v>3298.34227140359</v>
      </c>
      <c r="P243" s="5" t="n">
        <f>C$55*(1-J$14)*(1-'Assumptions and Catalog'!$C$23)^R243</f>
        <v>0</v>
      </c>
      <c r="Q243" s="5" t="n">
        <f>IF(ISNUMBER(Inputs!$L$5),(IF(Inputs!$L$9="Actual flat rate",((D243+E243)*C243-G243)*Inputs!$L$10,IF(Inputs!$C$9="Residential",IF(((D243+E243)*C243-G243)&lt;='Assumptions and Catalog'!$C$50,((D243+E243)*C243-G243)*'Assumptions and Catalog'!$H$50+'Assumptions and Catalog'!$E$50+'Assumptions and Catalog'!$F$50,IF(((D243+E243)*C243-G243)&lt;='Assumptions and Catalog'!$C$51,((D243+E243)*C243-G243)*'Assumptions and Catalog'!$H$51+'Assumptions and Catalog'!$E$51+'Assumptions and Catalog'!$F$51,IF(((D243+E243)*C243-G243)&lt;='Assumptions and Catalog'!$C$52,((D243+E243)*C243-G243)*'Assumptions and Catalog'!$H$52+'Assumptions and Catalog'!$E$52+'Assumptions and Catalog'!$F$52,IF(((D243+E243)*C243-G243)&lt;='Assumptions and Catalog'!$C$53,((D243+E243)*C243-G243)*'Assumptions and Catalog'!$H$53+'Assumptions and Catalog'!$E$53+'Assumptions and Catalog'!$F$53,IF(((D243+E243)*C243-G243)&lt;='Assumptions and Catalog'!$C$54,((D243+E243)*C243-G243)*'Assumptions and Catalog'!$H$54+'Assumptions and Catalog'!$E$54+'Assumptions and Catalog'!$F$54,IF(((D243+E243)*C243-G243)&lt;='Assumptions and Catalog'!$C$55,((D243+E243)*C243-G243)*'Assumptions and Catalog'!$H$55+'Assumptions and Catalog'!$E$55+'Assumptions and Catalog'!$F$55,IF(((D243+E243)*C243-G243)&lt;='Assumptions and Catalog'!$C$56,((D243+E243)*C243-G243)*'Assumptions and Catalog'!$H$56+'Assumptions and Catalog'!$E$56+'Assumptions and Catalog'!$F$56,IF(((D243+E243)*C243-G243)&lt;='Assumptions and Catalog'!$C$57,((D243+E243)*C243-G243)*'Assumptions and Catalog'!$H$57+'Assumptions and Catalog'!$E$57+'Assumptions and Catalog'!$F$57,"Out of range")))))))),IF(((D243+E243)*C243-G243)&lt;='Assumptions and Catalog'!$C$60,((D243+E243)*C243-G243)*'Assumptions and Catalog'!$H$60+'Assumptions and Catalog'!$E$60+'Assumptions and Catalog'!$F$60,IF(((D243+E243)*C243-G243)&lt;='Assumptions and Catalog'!$C$61,((D243+E243)*C243-G243)*'Assumptions and Catalog'!$H$61+'Assumptions and Catalog'!$E$61+'Assumptions and Catalog'!$F$61,IF(((D243+E243)*C243-G243)&lt;='Assumptions and Catalog'!$C$62,((D243+E243)*C243-G243)*'Assumptions and Catalog'!$H$62+'Assumptions and Catalog'!$E$62+'Assumptions and Catalog'!$F$62,IF(((D243+E243)*C243-G243)&lt;='Assumptions and Catalog'!$C$63,((D243+E243)*C243-G243)*'Assumptions and Catalog'!$H$63+'Assumptions and Catalog'!$E$63+'Assumptions and Catalog'!$F$63,IF(((D243+E243)*C243-G243)&lt;='Assumptions and Catalog'!$C$64,((D243+E243)*C243-G243)*'Assumptions and Catalog'!$H$64+'Assumptions and Catalog'!$E$64+'Assumptions and Catalog'!$F$64,IF(((D243+E243)*C243-G243)&lt;='Assumptions and Catalog'!$C$65,((D243+E243)*C243-G243)*'Assumptions and Catalog'!$H$65+'Assumptions and Catalog'!$E$65+'Assumptions and Catalog'!$F$65,"Out of range")))))))))*(1+'Assumptions and Catalog'!$C$8)^(A243-1),0)</f>
        <v>3568.87772859641</v>
      </c>
      <c r="R243" s="5" t="n">
        <f>IF(AND('Assumptions and Catalog'!$C$19&gt;0,A243&gt;='Assumptions and Catalog'!$C$19),A243-'Assumptions and Catalog'!$C$19,A243-1)</f>
        <v>6</v>
      </c>
      <c r="S243" s="5" t="n">
        <f>F243+L243-(D243+E243)*C243-J243-K243-0</f>
        <v>0</v>
      </c>
      <c r="T243" s="5"/>
      <c r="U243" s="5"/>
    </row>
    <row r="244" ht="23.100000381469727" customHeight="1">
      <c r="A244" s="5" t="n">
        <v>7</v>
      </c>
      <c r="B244" s="5" t="n">
        <v>12</v>
      </c>
      <c r="C244" s="5" t="n">
        <f>DAY(DATE('Assumptions and Catalog'!$C$24+A244-1,B244+1,0))</f>
        <v>31</v>
      </c>
      <c r="D244" s="5" t="n">
        <f>IF(ISNUMBER(Inputs!$L$5),Inputs!$L$5*Inputs!$L$6,0)</f>
        <v>40.35</v>
      </c>
      <c r="E244" s="5" t="n">
        <f>IF(ISNUMBER(Inputs!$L$5),Inputs!$L$5-D244,0)</f>
        <v>40.35</v>
      </c>
      <c r="F244" s="5" t="n">
        <f>C$51*INDEX('Solar Production'!$D$20:$D$31,B244)*C244*(1-'Assumptions and Catalog'!$C$10)^(A244-1)</f>
        <v>1113.5218619365</v>
      </c>
      <c r="G244" s="5" t="n">
        <f>MIN(F244,D244*C244)</f>
        <v>1113.5218619365</v>
      </c>
      <c r="H244" s="5" t="n">
        <f>I244/('Assumptions and Catalog'!$C$11*'Assumptions and Catalog'!$C$12)</f>
        <v>0</v>
      </c>
      <c r="I244" s="5" t="n">
        <f>0</f>
        <v>0</v>
      </c>
      <c r="J244" s="5" t="n">
        <f>MAX(F244-G244-H244,0)</f>
        <v>0</v>
      </c>
      <c r="K244" s="5" t="n">
        <f>H244-I244</f>
        <v>0</v>
      </c>
      <c r="L244" s="5" t="n">
        <f>(D244+E244)*C244-G244-I244+0+0</f>
        <v>1388.1781380635</v>
      </c>
      <c r="M244" s="5" t="n">
        <f>IF(ISNUMBER(Inputs!$L$5),(IF(Inputs!$L$9="Actual flat rate",((D244+E244)*C244)*Inputs!$L$10,IF(Inputs!$C$9="Residential",IF(((D244+E244)*C244)&lt;='Assumptions and Catalog'!$C$50,((D244+E244)*C244)*'Assumptions and Catalog'!$H$50+'Assumptions and Catalog'!$E$50+'Assumptions and Catalog'!$F$50,IF(((D244+E244)*C244)&lt;='Assumptions and Catalog'!$C$51,((D244+E244)*C244)*'Assumptions and Catalog'!$H$51+'Assumptions and Catalog'!$E$51+'Assumptions and Catalog'!$F$51,IF(((D244+E244)*C244)&lt;='Assumptions and Catalog'!$C$52,((D244+E244)*C244)*'Assumptions and Catalog'!$H$52+'Assumptions and Catalog'!$E$52+'Assumptions and Catalog'!$F$52,IF(((D244+E244)*C244)&lt;='Assumptions and Catalog'!$C$53,((D244+E244)*C244)*'Assumptions and Catalog'!$H$53+'Assumptions and Catalog'!$E$53+'Assumptions and Catalog'!$F$53,IF(((D244+E244)*C244)&lt;='Assumptions and Catalog'!$C$54,((D244+E244)*C244)*'Assumptions and Catalog'!$H$54+'Assumptions and Catalog'!$E$54+'Assumptions and Catalog'!$F$54,IF(((D244+E244)*C244)&lt;='Assumptions and Catalog'!$C$55,((D244+E244)*C244)*'Assumptions and Catalog'!$H$55+'Assumptions and Catalog'!$E$55+'Assumptions and Catalog'!$F$55,IF(((D244+E244)*C244)&lt;='Assumptions and Catalog'!$C$56,((D244+E244)*C244)*'Assumptions and Catalog'!$H$56+'Assumptions and Catalog'!$E$56+'Assumptions and Catalog'!$F$56,IF(((D244+E244)*C244)&lt;='Assumptions and Catalog'!$C$57,((D244+E244)*C244)*'Assumptions and Catalog'!$H$57+'Assumptions and Catalog'!$E$57+'Assumptions and Catalog'!$F$57,"Out of range")))))))),IF(((D244+E244)*C244)&lt;='Assumptions and Catalog'!$C$60,((D244+E244)*C244)*'Assumptions and Catalog'!$H$60+'Assumptions and Catalog'!$E$60+'Assumptions and Catalog'!$F$60,IF(((D244+E244)*C244)&lt;='Assumptions and Catalog'!$C$61,((D244+E244)*C244)*'Assumptions and Catalog'!$H$61+'Assumptions and Catalog'!$E$61+'Assumptions and Catalog'!$F$61,IF(((D244+E244)*C244)&lt;='Assumptions and Catalog'!$C$62,((D244+E244)*C244)*'Assumptions and Catalog'!$H$62+'Assumptions and Catalog'!$E$62+'Assumptions and Catalog'!$F$62,IF(((D244+E244)*C244)&lt;='Assumptions and Catalog'!$C$63,((D244+E244)*C244)*'Assumptions and Catalog'!$H$63+'Assumptions and Catalog'!$E$63+'Assumptions and Catalog'!$F$63,IF(((D244+E244)*C244)&lt;='Assumptions and Catalog'!$C$64,((D244+E244)*C244)*'Assumptions and Catalog'!$H$64+'Assumptions and Catalog'!$E$64+'Assumptions and Catalog'!$F$64,IF(((D244+E244)*C244)&lt;='Assumptions and Catalog'!$C$65,((D244+E244)*C244)*'Assumptions and Catalog'!$H$65+'Assumptions and Catalog'!$E$65+'Assumptions and Catalog'!$F$65,"Out of range")))))))))*(1+'Assumptions and Catalog'!$C$8)^(A244-1),0)</f>
        <v>7094.794</v>
      </c>
      <c r="N244" s="5" t="n">
        <f>IF(ISNUMBER(Inputs!$L$5),(IF(Inputs!$L$9="Actual flat rate",L244*Inputs!$L$10,IF(Inputs!$C$9="Residential",IF(L244&lt;='Assumptions and Catalog'!$C$50,L244*'Assumptions and Catalog'!$H$50+'Assumptions and Catalog'!$E$50+'Assumptions and Catalog'!$F$50,IF(L244&lt;='Assumptions and Catalog'!$C$51,L244*'Assumptions and Catalog'!$H$51+'Assumptions and Catalog'!$E$51+'Assumptions and Catalog'!$F$51,IF(L244&lt;='Assumptions and Catalog'!$C$52,L244*'Assumptions and Catalog'!$H$52+'Assumptions and Catalog'!$E$52+'Assumptions and Catalog'!$F$52,IF(L244&lt;='Assumptions and Catalog'!$C$53,L244*'Assumptions and Catalog'!$H$53+'Assumptions and Catalog'!$E$53+'Assumptions and Catalog'!$F$53,IF(L244&lt;='Assumptions and Catalog'!$C$54,L244*'Assumptions and Catalog'!$H$54+'Assumptions and Catalog'!$E$54+'Assumptions and Catalog'!$F$54,IF(L244&lt;='Assumptions and Catalog'!$C$55,L244*'Assumptions and Catalog'!$H$55+'Assumptions and Catalog'!$E$55+'Assumptions and Catalog'!$F$55,IF(L244&lt;='Assumptions and Catalog'!$C$56,L244*'Assumptions and Catalog'!$H$56+'Assumptions and Catalog'!$E$56+'Assumptions and Catalog'!$F$56,IF(L244&lt;='Assumptions and Catalog'!$C$57,L244*'Assumptions and Catalog'!$H$57+'Assumptions and Catalog'!$E$57+'Assumptions and Catalog'!$F$57,"Out of range")))))))),IF(L244&lt;='Assumptions and Catalog'!$C$60,L244*'Assumptions and Catalog'!$H$60+'Assumptions and Catalog'!$E$60+'Assumptions and Catalog'!$F$60,IF(L244&lt;='Assumptions and Catalog'!$C$61,L244*'Assumptions and Catalog'!$H$61+'Assumptions and Catalog'!$E$61+'Assumptions and Catalog'!$F$61,IF(L244&lt;='Assumptions and Catalog'!$C$62,L244*'Assumptions and Catalog'!$H$62+'Assumptions and Catalog'!$E$62+'Assumptions and Catalog'!$F$62,IF(L244&lt;='Assumptions and Catalog'!$C$63,L244*'Assumptions and Catalog'!$H$63+'Assumptions and Catalog'!$E$63+'Assumptions and Catalog'!$F$63,IF(L244&lt;='Assumptions and Catalog'!$C$64,L244*'Assumptions and Catalog'!$H$64+'Assumptions and Catalog'!$E$64+'Assumptions and Catalog'!$F$64,IF(L244&lt;='Assumptions and Catalog'!$C$65,L244*'Assumptions and Catalog'!$H$65+'Assumptions and Catalog'!$E$65+'Assumptions and Catalog'!$F$65,"Out of range")))))))))*(1+'Assumptions and Catalog'!$C$8)^(A244-1),0)</f>
        <v>3954.66234933907</v>
      </c>
      <c r="O244" s="5" t="n">
        <f>M244-N244</f>
        <v>3140.13165066094</v>
      </c>
      <c r="P244" s="5" t="n">
        <f>C$55*(1-J$14)*(1-'Assumptions and Catalog'!$C$23)^R244</f>
        <v>0</v>
      </c>
      <c r="Q244" s="5" t="n">
        <f>IF(ISNUMBER(Inputs!$L$5),(IF(Inputs!$L$9="Actual flat rate",((D244+E244)*C244-G244)*Inputs!$L$10,IF(Inputs!$C$9="Residential",IF(((D244+E244)*C244-G244)&lt;='Assumptions and Catalog'!$C$50,((D244+E244)*C244-G244)*'Assumptions and Catalog'!$H$50+'Assumptions and Catalog'!$E$50+'Assumptions and Catalog'!$F$50,IF(((D244+E244)*C244-G244)&lt;='Assumptions and Catalog'!$C$51,((D244+E244)*C244-G244)*'Assumptions and Catalog'!$H$51+'Assumptions and Catalog'!$E$51+'Assumptions and Catalog'!$F$51,IF(((D244+E244)*C244-G244)&lt;='Assumptions and Catalog'!$C$52,((D244+E244)*C244-G244)*'Assumptions and Catalog'!$H$52+'Assumptions and Catalog'!$E$52+'Assumptions and Catalog'!$F$52,IF(((D244+E244)*C244-G244)&lt;='Assumptions and Catalog'!$C$53,((D244+E244)*C244-G244)*'Assumptions and Catalog'!$H$53+'Assumptions and Catalog'!$E$53+'Assumptions and Catalog'!$F$53,IF(((D244+E244)*C244-G244)&lt;='Assumptions and Catalog'!$C$54,((D244+E244)*C244-G244)*'Assumptions and Catalog'!$H$54+'Assumptions and Catalog'!$E$54+'Assumptions and Catalog'!$F$54,IF(((D244+E244)*C244-G244)&lt;='Assumptions and Catalog'!$C$55,((D244+E244)*C244-G244)*'Assumptions and Catalog'!$H$55+'Assumptions and Catalog'!$E$55+'Assumptions and Catalog'!$F$55,IF(((D244+E244)*C244-G244)&lt;='Assumptions and Catalog'!$C$56,((D244+E244)*C244-G244)*'Assumptions and Catalog'!$H$56+'Assumptions and Catalog'!$E$56+'Assumptions and Catalog'!$F$56,IF(((D244+E244)*C244-G244)&lt;='Assumptions and Catalog'!$C$57,((D244+E244)*C244-G244)*'Assumptions and Catalog'!$H$57+'Assumptions and Catalog'!$E$57+'Assumptions and Catalog'!$F$57,"Out of range")))))))),IF(((D244+E244)*C244-G244)&lt;='Assumptions and Catalog'!$C$60,((D244+E244)*C244-G244)*'Assumptions and Catalog'!$H$60+'Assumptions and Catalog'!$E$60+'Assumptions and Catalog'!$F$60,IF(((D244+E244)*C244-G244)&lt;='Assumptions and Catalog'!$C$61,((D244+E244)*C244-G244)*'Assumptions and Catalog'!$H$61+'Assumptions and Catalog'!$E$61+'Assumptions and Catalog'!$F$61,IF(((D244+E244)*C244-G244)&lt;='Assumptions and Catalog'!$C$62,((D244+E244)*C244-G244)*'Assumptions and Catalog'!$H$62+'Assumptions and Catalog'!$E$62+'Assumptions and Catalog'!$F$62,IF(((D244+E244)*C244-G244)&lt;='Assumptions and Catalog'!$C$63,((D244+E244)*C244-G244)*'Assumptions and Catalog'!$H$63+'Assumptions and Catalog'!$E$63+'Assumptions and Catalog'!$F$63,IF(((D244+E244)*C244-G244)&lt;='Assumptions and Catalog'!$C$64,((D244+E244)*C244-G244)*'Assumptions and Catalog'!$H$64+'Assumptions and Catalog'!$E$64+'Assumptions and Catalog'!$F$64,IF(((D244+E244)*C244-G244)&lt;='Assumptions and Catalog'!$C$65,((D244+E244)*C244-G244)*'Assumptions and Catalog'!$H$65+'Assumptions and Catalog'!$E$65+'Assumptions and Catalog'!$F$65,"Out of range")))))))))*(1+'Assumptions and Catalog'!$C$8)^(A244-1),0)</f>
        <v>3954.66234933907</v>
      </c>
      <c r="R244" s="5" t="n">
        <f>IF(AND('Assumptions and Catalog'!$C$19&gt;0,A244&gt;='Assumptions and Catalog'!$C$19),A244-'Assumptions and Catalog'!$C$19,A244-1)</f>
        <v>6</v>
      </c>
      <c r="S244" s="5" t="n">
        <f>F244+L244-(D244+E244)*C244-J244-K244-0</f>
        <v>0</v>
      </c>
      <c r="T244" s="5"/>
      <c r="U244" s="5"/>
    </row>
    <row r="245" ht="23.100000381469727" customHeight="1">
      <c r="A245" s="5" t="n">
        <v>8</v>
      </c>
      <c r="B245" s="5" t="n">
        <v>1</v>
      </c>
      <c r="C245" s="5" t="n">
        <f>DAY(DATE('Assumptions and Catalog'!$C$24+A245-1,B245+1,0))</f>
        <v>31</v>
      </c>
      <c r="D245" s="5" t="n">
        <f>IF(ISNUMBER(Inputs!$L$5),Inputs!$L$5*Inputs!$L$6,0)</f>
        <v>40.35</v>
      </c>
      <c r="E245" s="5" t="n">
        <f>IF(ISNUMBER(Inputs!$L$5),Inputs!$L$5-D245,0)</f>
        <v>40.35</v>
      </c>
      <c r="F245" s="5" t="n">
        <f>C$51*INDEX('Solar Production'!$D$20:$D$31,B245)*C245*(1-'Assumptions and Catalog'!$C$10)^(A245-1)</f>
        <v>1115.60117614955</v>
      </c>
      <c r="G245" s="5" t="n">
        <f>MIN(F245,D245*C245)</f>
        <v>1115.60117614955</v>
      </c>
      <c r="H245" s="5" t="n">
        <f>I245/('Assumptions and Catalog'!$C$11*'Assumptions and Catalog'!$C$12)</f>
        <v>0</v>
      </c>
      <c r="I245" s="5" t="n">
        <f>0</f>
        <v>0</v>
      </c>
      <c r="J245" s="5" t="n">
        <f>MAX(F245-G245-H245,0)</f>
        <v>0</v>
      </c>
      <c r="K245" s="5" t="n">
        <f>H245-I245</f>
        <v>0</v>
      </c>
      <c r="L245" s="5" t="n">
        <f>(D245+E245)*C245-G245-I245+0+0</f>
        <v>1386.09882385045</v>
      </c>
      <c r="M245" s="5" t="n">
        <f>IF(ISNUMBER(Inputs!$L$5),(IF(Inputs!$L$9="Actual flat rate",((D245+E245)*C245)*Inputs!$L$10,IF(Inputs!$C$9="Residential",IF(((D245+E245)*C245)&lt;='Assumptions and Catalog'!$C$50,((D245+E245)*C245)*'Assumptions and Catalog'!$H$50+'Assumptions and Catalog'!$E$50+'Assumptions and Catalog'!$F$50,IF(((D245+E245)*C245)&lt;='Assumptions and Catalog'!$C$51,((D245+E245)*C245)*'Assumptions and Catalog'!$H$51+'Assumptions and Catalog'!$E$51+'Assumptions and Catalog'!$F$51,IF(((D245+E245)*C245)&lt;='Assumptions and Catalog'!$C$52,((D245+E245)*C245)*'Assumptions and Catalog'!$H$52+'Assumptions and Catalog'!$E$52+'Assumptions and Catalog'!$F$52,IF(((D245+E245)*C245)&lt;='Assumptions and Catalog'!$C$53,((D245+E245)*C245)*'Assumptions and Catalog'!$H$53+'Assumptions and Catalog'!$E$53+'Assumptions and Catalog'!$F$53,IF(((D245+E245)*C245)&lt;='Assumptions and Catalog'!$C$54,((D245+E245)*C245)*'Assumptions and Catalog'!$H$54+'Assumptions and Catalog'!$E$54+'Assumptions and Catalog'!$F$54,IF(((D245+E245)*C245)&lt;='Assumptions and Catalog'!$C$55,((D245+E245)*C245)*'Assumptions and Catalog'!$H$55+'Assumptions and Catalog'!$E$55+'Assumptions and Catalog'!$F$55,IF(((D245+E245)*C245)&lt;='Assumptions and Catalog'!$C$56,((D245+E245)*C245)*'Assumptions and Catalog'!$H$56+'Assumptions and Catalog'!$E$56+'Assumptions and Catalog'!$F$56,IF(((D245+E245)*C245)&lt;='Assumptions and Catalog'!$C$57,((D245+E245)*C245)*'Assumptions and Catalog'!$H$57+'Assumptions and Catalog'!$E$57+'Assumptions and Catalog'!$F$57,"Out of range")))))))),IF(((D245+E245)*C245)&lt;='Assumptions and Catalog'!$C$60,((D245+E245)*C245)*'Assumptions and Catalog'!$H$60+'Assumptions and Catalog'!$E$60+'Assumptions and Catalog'!$F$60,IF(((D245+E245)*C245)&lt;='Assumptions and Catalog'!$C$61,((D245+E245)*C245)*'Assumptions and Catalog'!$H$61+'Assumptions and Catalog'!$E$61+'Assumptions and Catalog'!$F$61,IF(((D245+E245)*C245)&lt;='Assumptions and Catalog'!$C$62,((D245+E245)*C245)*'Assumptions and Catalog'!$H$62+'Assumptions and Catalog'!$E$62+'Assumptions and Catalog'!$F$62,IF(((D245+E245)*C245)&lt;='Assumptions and Catalog'!$C$63,((D245+E245)*C245)*'Assumptions and Catalog'!$H$63+'Assumptions and Catalog'!$E$63+'Assumptions and Catalog'!$F$63,IF(((D245+E245)*C245)&lt;='Assumptions and Catalog'!$C$64,((D245+E245)*C245)*'Assumptions and Catalog'!$H$64+'Assumptions and Catalog'!$E$64+'Assumptions and Catalog'!$F$64,IF(((D245+E245)*C245)&lt;='Assumptions and Catalog'!$C$65,((D245+E245)*C245)*'Assumptions and Catalog'!$H$65+'Assumptions and Catalog'!$E$65+'Assumptions and Catalog'!$F$65,"Out of range")))))))))*(1+'Assumptions and Catalog'!$C$8)^(A245-1),0)</f>
        <v>7094.794</v>
      </c>
      <c r="N245" s="5" t="n">
        <f>IF(ISNUMBER(Inputs!$L$5),(IF(Inputs!$L$9="Actual flat rate",L245*Inputs!$L$10,IF(Inputs!$C$9="Residential",IF(L245&lt;='Assumptions and Catalog'!$C$50,L245*'Assumptions and Catalog'!$H$50+'Assumptions and Catalog'!$E$50+'Assumptions and Catalog'!$F$50,IF(L245&lt;='Assumptions and Catalog'!$C$51,L245*'Assumptions and Catalog'!$H$51+'Assumptions and Catalog'!$E$51+'Assumptions and Catalog'!$F$51,IF(L245&lt;='Assumptions and Catalog'!$C$52,L245*'Assumptions and Catalog'!$H$52+'Assumptions and Catalog'!$E$52+'Assumptions and Catalog'!$F$52,IF(L245&lt;='Assumptions and Catalog'!$C$53,L245*'Assumptions and Catalog'!$H$53+'Assumptions and Catalog'!$E$53+'Assumptions and Catalog'!$F$53,IF(L245&lt;='Assumptions and Catalog'!$C$54,L245*'Assumptions and Catalog'!$H$54+'Assumptions and Catalog'!$E$54+'Assumptions and Catalog'!$F$54,IF(L245&lt;='Assumptions and Catalog'!$C$55,L245*'Assumptions and Catalog'!$H$55+'Assumptions and Catalog'!$E$55+'Assumptions and Catalog'!$F$55,IF(L245&lt;='Assumptions and Catalog'!$C$56,L245*'Assumptions and Catalog'!$H$56+'Assumptions and Catalog'!$E$56+'Assumptions and Catalog'!$F$56,IF(L245&lt;='Assumptions and Catalog'!$C$57,L245*'Assumptions and Catalog'!$H$57+'Assumptions and Catalog'!$E$57+'Assumptions and Catalog'!$F$57,"Out of range")))))))),IF(L245&lt;='Assumptions and Catalog'!$C$60,L245*'Assumptions and Catalog'!$H$60+'Assumptions and Catalog'!$E$60+'Assumptions and Catalog'!$F$60,IF(L245&lt;='Assumptions and Catalog'!$C$61,L245*'Assumptions and Catalog'!$H$61+'Assumptions and Catalog'!$E$61+'Assumptions and Catalog'!$F$61,IF(L245&lt;='Assumptions and Catalog'!$C$62,L245*'Assumptions and Catalog'!$H$62+'Assumptions and Catalog'!$E$62+'Assumptions and Catalog'!$F$62,IF(L245&lt;='Assumptions and Catalog'!$C$63,L245*'Assumptions and Catalog'!$H$63+'Assumptions and Catalog'!$E$63+'Assumptions and Catalog'!$F$63,IF(L245&lt;='Assumptions and Catalog'!$C$64,L245*'Assumptions and Catalog'!$H$64+'Assumptions and Catalog'!$E$64+'Assumptions and Catalog'!$F$64,IF(L245&lt;='Assumptions and Catalog'!$C$65,L245*'Assumptions and Catalog'!$H$65+'Assumptions and Catalog'!$E$65+'Assumptions and Catalog'!$F$65,"Out of range")))))))))*(1+'Assumptions and Catalog'!$C$8)^(A245-1),0)</f>
        <v>3948.79868325827</v>
      </c>
      <c r="O245" s="5" t="n">
        <f>M245-N245</f>
        <v>3145.99531674173</v>
      </c>
      <c r="P245" s="5" t="n">
        <f>C$55*(1-J$14)*(1-'Assumptions and Catalog'!$C$23)^R245</f>
        <v>0</v>
      </c>
      <c r="Q245" s="5" t="n">
        <f>IF(ISNUMBER(Inputs!$L$5),(IF(Inputs!$L$9="Actual flat rate",((D245+E245)*C245-G245)*Inputs!$L$10,IF(Inputs!$C$9="Residential",IF(((D245+E245)*C245-G245)&lt;='Assumptions and Catalog'!$C$50,((D245+E245)*C245-G245)*'Assumptions and Catalog'!$H$50+'Assumptions and Catalog'!$E$50+'Assumptions and Catalog'!$F$50,IF(((D245+E245)*C245-G245)&lt;='Assumptions and Catalog'!$C$51,((D245+E245)*C245-G245)*'Assumptions and Catalog'!$H$51+'Assumptions and Catalog'!$E$51+'Assumptions and Catalog'!$F$51,IF(((D245+E245)*C245-G245)&lt;='Assumptions and Catalog'!$C$52,((D245+E245)*C245-G245)*'Assumptions and Catalog'!$H$52+'Assumptions and Catalog'!$E$52+'Assumptions and Catalog'!$F$52,IF(((D245+E245)*C245-G245)&lt;='Assumptions and Catalog'!$C$53,((D245+E245)*C245-G245)*'Assumptions and Catalog'!$H$53+'Assumptions and Catalog'!$E$53+'Assumptions and Catalog'!$F$53,IF(((D245+E245)*C245-G245)&lt;='Assumptions and Catalog'!$C$54,((D245+E245)*C245-G245)*'Assumptions and Catalog'!$H$54+'Assumptions and Catalog'!$E$54+'Assumptions and Catalog'!$F$54,IF(((D245+E245)*C245-G245)&lt;='Assumptions and Catalog'!$C$55,((D245+E245)*C245-G245)*'Assumptions and Catalog'!$H$55+'Assumptions and Catalog'!$E$55+'Assumptions and Catalog'!$F$55,IF(((D245+E245)*C245-G245)&lt;='Assumptions and Catalog'!$C$56,((D245+E245)*C245-G245)*'Assumptions and Catalog'!$H$56+'Assumptions and Catalog'!$E$56+'Assumptions and Catalog'!$F$56,IF(((D245+E245)*C245-G245)&lt;='Assumptions and Catalog'!$C$57,((D245+E245)*C245-G245)*'Assumptions and Catalog'!$H$57+'Assumptions and Catalog'!$E$57+'Assumptions and Catalog'!$F$57,"Out of range")))))))),IF(((D245+E245)*C245-G245)&lt;='Assumptions and Catalog'!$C$60,((D245+E245)*C245-G245)*'Assumptions and Catalog'!$H$60+'Assumptions and Catalog'!$E$60+'Assumptions and Catalog'!$F$60,IF(((D245+E245)*C245-G245)&lt;='Assumptions and Catalog'!$C$61,((D245+E245)*C245-G245)*'Assumptions and Catalog'!$H$61+'Assumptions and Catalog'!$E$61+'Assumptions and Catalog'!$F$61,IF(((D245+E245)*C245-G245)&lt;='Assumptions and Catalog'!$C$62,((D245+E245)*C245-G245)*'Assumptions and Catalog'!$H$62+'Assumptions and Catalog'!$E$62+'Assumptions and Catalog'!$F$62,IF(((D245+E245)*C245-G245)&lt;='Assumptions and Catalog'!$C$63,((D245+E245)*C245-G245)*'Assumptions and Catalog'!$H$63+'Assumptions and Catalog'!$E$63+'Assumptions and Catalog'!$F$63,IF(((D245+E245)*C245-G245)&lt;='Assumptions and Catalog'!$C$64,((D245+E245)*C245-G245)*'Assumptions and Catalog'!$H$64+'Assumptions and Catalog'!$E$64+'Assumptions and Catalog'!$F$64,IF(((D245+E245)*C245-G245)&lt;='Assumptions and Catalog'!$C$65,((D245+E245)*C245-G245)*'Assumptions and Catalog'!$H$65+'Assumptions and Catalog'!$E$65+'Assumptions and Catalog'!$F$65,"Out of range")))))))))*(1+'Assumptions and Catalog'!$C$8)^(A245-1),0)</f>
        <v>3948.79868325827</v>
      </c>
      <c r="R245" s="5" t="n">
        <f>IF(AND('Assumptions and Catalog'!$C$19&gt;0,A245&gt;='Assumptions and Catalog'!$C$19),A245-'Assumptions and Catalog'!$C$19,A245-1)</f>
        <v>7</v>
      </c>
      <c r="S245" s="5" t="n">
        <f>F245+L245-(D245+E245)*C245-J245-K245-0</f>
        <v>0</v>
      </c>
      <c r="T245" s="5"/>
      <c r="U245" s="5"/>
    </row>
    <row r="246" ht="23.100000381469727" customHeight="1">
      <c r="A246" s="5" t="n">
        <v>8</v>
      </c>
      <c r="B246" s="5" t="n">
        <v>2</v>
      </c>
      <c r="C246" s="5" t="n">
        <f>DAY(DATE('Assumptions and Catalog'!$C$24+A246-1,B246+1,0))</f>
        <v>28</v>
      </c>
      <c r="D246" s="5" t="n">
        <f>IF(ISNUMBER(Inputs!$L$5),Inputs!$L$5*Inputs!$L$6,0)</f>
        <v>40.35</v>
      </c>
      <c r="E246" s="5" t="n">
        <f>IF(ISNUMBER(Inputs!$L$5),Inputs!$L$5-D246,0)</f>
        <v>40.35</v>
      </c>
      <c r="F246" s="5" t="n">
        <f>C$51*INDEX('Solar Production'!$D$20:$D$31,B246)*C246*(1-'Assumptions and Catalog'!$C$10)^(A246-1)</f>
        <v>1099.88250001949</v>
      </c>
      <c r="G246" s="5" t="n">
        <f>MIN(F246,D246*C246)</f>
        <v>1099.88250001949</v>
      </c>
      <c r="H246" s="5" t="n">
        <f>I246/('Assumptions and Catalog'!$C$11*'Assumptions and Catalog'!$C$12)</f>
        <v>0</v>
      </c>
      <c r="I246" s="5" t="n">
        <f>0</f>
        <v>0</v>
      </c>
      <c r="J246" s="5" t="n">
        <f>MAX(F246-G246-H246,0)</f>
        <v>0</v>
      </c>
      <c r="K246" s="5" t="n">
        <f>H246-I246</f>
        <v>0</v>
      </c>
      <c r="L246" s="5" t="n">
        <f>(D246+E246)*C246-G246-I246+0+0</f>
        <v>1159.71749998051</v>
      </c>
      <c r="M246" s="5" t="n">
        <f>IF(ISNUMBER(Inputs!$L$5),(IF(Inputs!$L$9="Actual flat rate",((D246+E246)*C246)*Inputs!$L$10,IF(Inputs!$C$9="Residential",IF(((D246+E246)*C246)&lt;='Assumptions and Catalog'!$C$50,((D246+E246)*C246)*'Assumptions and Catalog'!$H$50+'Assumptions and Catalog'!$E$50+'Assumptions and Catalog'!$F$50,IF(((D246+E246)*C246)&lt;='Assumptions and Catalog'!$C$51,((D246+E246)*C246)*'Assumptions and Catalog'!$H$51+'Assumptions and Catalog'!$E$51+'Assumptions and Catalog'!$F$51,IF(((D246+E246)*C246)&lt;='Assumptions and Catalog'!$C$52,((D246+E246)*C246)*'Assumptions and Catalog'!$H$52+'Assumptions and Catalog'!$E$52+'Assumptions and Catalog'!$F$52,IF(((D246+E246)*C246)&lt;='Assumptions and Catalog'!$C$53,((D246+E246)*C246)*'Assumptions and Catalog'!$H$53+'Assumptions and Catalog'!$E$53+'Assumptions and Catalog'!$F$53,IF(((D246+E246)*C246)&lt;='Assumptions and Catalog'!$C$54,((D246+E246)*C246)*'Assumptions and Catalog'!$H$54+'Assumptions and Catalog'!$E$54+'Assumptions and Catalog'!$F$54,IF(((D246+E246)*C246)&lt;='Assumptions and Catalog'!$C$55,((D246+E246)*C246)*'Assumptions and Catalog'!$H$55+'Assumptions and Catalog'!$E$55+'Assumptions and Catalog'!$F$55,IF(((D246+E246)*C246)&lt;='Assumptions and Catalog'!$C$56,((D246+E246)*C246)*'Assumptions and Catalog'!$H$56+'Assumptions and Catalog'!$E$56+'Assumptions and Catalog'!$F$56,IF(((D246+E246)*C246)&lt;='Assumptions and Catalog'!$C$57,((D246+E246)*C246)*'Assumptions and Catalog'!$H$57+'Assumptions and Catalog'!$E$57+'Assumptions and Catalog'!$F$57,"Out of range")))))))),IF(((D246+E246)*C246)&lt;='Assumptions and Catalog'!$C$60,((D246+E246)*C246)*'Assumptions and Catalog'!$H$60+'Assumptions and Catalog'!$E$60+'Assumptions and Catalog'!$F$60,IF(((D246+E246)*C246)&lt;='Assumptions and Catalog'!$C$61,((D246+E246)*C246)*'Assumptions and Catalog'!$H$61+'Assumptions and Catalog'!$E$61+'Assumptions and Catalog'!$F$61,IF(((D246+E246)*C246)&lt;='Assumptions and Catalog'!$C$62,((D246+E246)*C246)*'Assumptions and Catalog'!$H$62+'Assumptions and Catalog'!$E$62+'Assumptions and Catalog'!$F$62,IF(((D246+E246)*C246)&lt;='Assumptions and Catalog'!$C$63,((D246+E246)*C246)*'Assumptions and Catalog'!$H$63+'Assumptions and Catalog'!$E$63+'Assumptions and Catalog'!$F$63,IF(((D246+E246)*C246)&lt;='Assumptions and Catalog'!$C$64,((D246+E246)*C246)*'Assumptions and Catalog'!$H$64+'Assumptions and Catalog'!$E$64+'Assumptions and Catalog'!$F$64,IF(((D246+E246)*C246)&lt;='Assumptions and Catalog'!$C$65,((D246+E246)*C246)*'Assumptions and Catalog'!$H$65+'Assumptions and Catalog'!$E$65+'Assumptions and Catalog'!$F$65,"Out of range")))))))))*(1+'Assumptions and Catalog'!$C$8)^(A246-1),0)</f>
        <v>6412.072</v>
      </c>
      <c r="N246" s="5" t="n">
        <f>IF(ISNUMBER(Inputs!$L$5),(IF(Inputs!$L$9="Actual flat rate",L246*Inputs!$L$10,IF(Inputs!$C$9="Residential",IF(L246&lt;='Assumptions and Catalog'!$C$50,L246*'Assumptions and Catalog'!$H$50+'Assumptions and Catalog'!$E$50+'Assumptions and Catalog'!$F$50,IF(L246&lt;='Assumptions and Catalog'!$C$51,L246*'Assumptions and Catalog'!$H$51+'Assumptions and Catalog'!$E$51+'Assumptions and Catalog'!$F$51,IF(L246&lt;='Assumptions and Catalog'!$C$52,L246*'Assumptions and Catalog'!$H$52+'Assumptions and Catalog'!$E$52+'Assumptions and Catalog'!$F$52,IF(L246&lt;='Assumptions and Catalog'!$C$53,L246*'Assumptions and Catalog'!$H$53+'Assumptions and Catalog'!$E$53+'Assumptions and Catalog'!$F$53,IF(L246&lt;='Assumptions and Catalog'!$C$54,L246*'Assumptions and Catalog'!$H$54+'Assumptions and Catalog'!$E$54+'Assumptions and Catalog'!$F$54,IF(L246&lt;='Assumptions and Catalog'!$C$55,L246*'Assumptions and Catalog'!$H$55+'Assumptions and Catalog'!$E$55+'Assumptions and Catalog'!$F$55,IF(L246&lt;='Assumptions and Catalog'!$C$56,L246*'Assumptions and Catalog'!$H$56+'Assumptions and Catalog'!$E$56+'Assumptions and Catalog'!$F$56,IF(L246&lt;='Assumptions and Catalog'!$C$57,L246*'Assumptions and Catalog'!$H$57+'Assumptions and Catalog'!$E$57+'Assumptions and Catalog'!$F$57,"Out of range")))))))),IF(L246&lt;='Assumptions and Catalog'!$C$60,L246*'Assumptions and Catalog'!$H$60+'Assumptions and Catalog'!$E$60+'Assumptions and Catalog'!$F$60,IF(L246&lt;='Assumptions and Catalog'!$C$61,L246*'Assumptions and Catalog'!$H$61+'Assumptions and Catalog'!$E$61+'Assumptions and Catalog'!$F$61,IF(L246&lt;='Assumptions and Catalog'!$C$62,L246*'Assumptions and Catalog'!$H$62+'Assumptions and Catalog'!$E$62+'Assumptions and Catalog'!$F$62,IF(L246&lt;='Assumptions and Catalog'!$C$63,L246*'Assumptions and Catalog'!$H$63+'Assumptions and Catalog'!$E$63+'Assumptions and Catalog'!$F$63,IF(L246&lt;='Assumptions and Catalog'!$C$64,L246*'Assumptions and Catalog'!$H$64+'Assumptions and Catalog'!$E$64+'Assumptions and Catalog'!$F$64,IF(L246&lt;='Assumptions and Catalog'!$C$65,L246*'Assumptions and Catalog'!$H$65+'Assumptions and Catalog'!$E$65+'Assumptions and Catalog'!$F$65,"Out of range")))))))))*(1+'Assumptions and Catalog'!$C$8)^(A246-1),0)</f>
        <v>3310.40334994503</v>
      </c>
      <c r="O246" s="5" t="n">
        <f>M246-N246</f>
        <v>3101.66865005497</v>
      </c>
      <c r="P246" s="5" t="n">
        <f>C$55*(1-J$14)*(1-'Assumptions and Catalog'!$C$23)^R246</f>
        <v>0</v>
      </c>
      <c r="Q246" s="5" t="n">
        <f>IF(ISNUMBER(Inputs!$L$5),(IF(Inputs!$L$9="Actual flat rate",((D246+E246)*C246-G246)*Inputs!$L$10,IF(Inputs!$C$9="Residential",IF(((D246+E246)*C246-G246)&lt;='Assumptions and Catalog'!$C$50,((D246+E246)*C246-G246)*'Assumptions and Catalog'!$H$50+'Assumptions and Catalog'!$E$50+'Assumptions and Catalog'!$F$50,IF(((D246+E246)*C246-G246)&lt;='Assumptions and Catalog'!$C$51,((D246+E246)*C246-G246)*'Assumptions and Catalog'!$H$51+'Assumptions and Catalog'!$E$51+'Assumptions and Catalog'!$F$51,IF(((D246+E246)*C246-G246)&lt;='Assumptions and Catalog'!$C$52,((D246+E246)*C246-G246)*'Assumptions and Catalog'!$H$52+'Assumptions and Catalog'!$E$52+'Assumptions and Catalog'!$F$52,IF(((D246+E246)*C246-G246)&lt;='Assumptions and Catalog'!$C$53,((D246+E246)*C246-G246)*'Assumptions and Catalog'!$H$53+'Assumptions and Catalog'!$E$53+'Assumptions and Catalog'!$F$53,IF(((D246+E246)*C246-G246)&lt;='Assumptions and Catalog'!$C$54,((D246+E246)*C246-G246)*'Assumptions and Catalog'!$H$54+'Assumptions and Catalog'!$E$54+'Assumptions and Catalog'!$F$54,IF(((D246+E246)*C246-G246)&lt;='Assumptions and Catalog'!$C$55,((D246+E246)*C246-G246)*'Assumptions and Catalog'!$H$55+'Assumptions and Catalog'!$E$55+'Assumptions and Catalog'!$F$55,IF(((D246+E246)*C246-G246)&lt;='Assumptions and Catalog'!$C$56,((D246+E246)*C246-G246)*'Assumptions and Catalog'!$H$56+'Assumptions and Catalog'!$E$56+'Assumptions and Catalog'!$F$56,IF(((D246+E246)*C246-G246)&lt;='Assumptions and Catalog'!$C$57,((D246+E246)*C246-G246)*'Assumptions and Catalog'!$H$57+'Assumptions and Catalog'!$E$57+'Assumptions and Catalog'!$F$57,"Out of range")))))))),IF(((D246+E246)*C246-G246)&lt;='Assumptions and Catalog'!$C$60,((D246+E246)*C246-G246)*'Assumptions and Catalog'!$H$60+'Assumptions and Catalog'!$E$60+'Assumptions and Catalog'!$F$60,IF(((D246+E246)*C246-G246)&lt;='Assumptions and Catalog'!$C$61,((D246+E246)*C246-G246)*'Assumptions and Catalog'!$H$61+'Assumptions and Catalog'!$E$61+'Assumptions and Catalog'!$F$61,IF(((D246+E246)*C246-G246)&lt;='Assumptions and Catalog'!$C$62,((D246+E246)*C246-G246)*'Assumptions and Catalog'!$H$62+'Assumptions and Catalog'!$E$62+'Assumptions and Catalog'!$F$62,IF(((D246+E246)*C246-G246)&lt;='Assumptions and Catalog'!$C$63,((D246+E246)*C246-G246)*'Assumptions and Catalog'!$H$63+'Assumptions and Catalog'!$E$63+'Assumptions and Catalog'!$F$63,IF(((D246+E246)*C246-G246)&lt;='Assumptions and Catalog'!$C$64,((D246+E246)*C246-G246)*'Assumptions and Catalog'!$H$64+'Assumptions and Catalog'!$E$64+'Assumptions and Catalog'!$F$64,IF(((D246+E246)*C246-G246)&lt;='Assumptions and Catalog'!$C$65,((D246+E246)*C246-G246)*'Assumptions and Catalog'!$H$65+'Assumptions and Catalog'!$E$65+'Assumptions and Catalog'!$F$65,"Out of range")))))))))*(1+'Assumptions and Catalog'!$C$8)^(A246-1),0)</f>
        <v>3310.40334994503</v>
      </c>
      <c r="R246" s="5" t="n">
        <f>IF(AND('Assumptions and Catalog'!$C$19&gt;0,A246&gt;='Assumptions and Catalog'!$C$19),A246-'Assumptions and Catalog'!$C$19,A246-1)</f>
        <v>7</v>
      </c>
      <c r="S246" s="5" t="n">
        <f>F246+L246-(D246+E246)*C246-J246-K246-0</f>
        <v>0</v>
      </c>
      <c r="T246" s="5"/>
      <c r="U246" s="5"/>
    </row>
    <row r="247" ht="23.100000381469727" customHeight="1">
      <c r="A247" s="5" t="n">
        <v>8</v>
      </c>
      <c r="B247" s="5" t="n">
        <v>3</v>
      </c>
      <c r="C247" s="5" t="n">
        <f>DAY(DATE('Assumptions and Catalog'!$C$24+A247-1,B247+1,0))</f>
        <v>31</v>
      </c>
      <c r="D247" s="5" t="n">
        <f>IF(ISNUMBER(Inputs!$L$5),Inputs!$L$5*Inputs!$L$6,0)</f>
        <v>40.35</v>
      </c>
      <c r="E247" s="5" t="n">
        <f>IF(ISNUMBER(Inputs!$L$5),Inputs!$L$5-D247,0)</f>
        <v>40.35</v>
      </c>
      <c r="F247" s="5" t="n">
        <f>C$51*INDEX('Solar Production'!$D$20:$D$31,B247)*C247*(1-'Assumptions and Catalog'!$C$10)^(A247-1)</f>
        <v>1368.45944730119</v>
      </c>
      <c r="G247" s="5" t="n">
        <f>MIN(F247,D247*C247)</f>
        <v>1250.85</v>
      </c>
      <c r="H247" s="5" t="n">
        <f>I247/('Assumptions and Catalog'!$C$11*'Assumptions and Catalog'!$C$12)</f>
        <v>0</v>
      </c>
      <c r="I247" s="5" t="n">
        <f>0</f>
        <v>0</v>
      </c>
      <c r="J247" s="5" t="n">
        <f>MAX(F247-G247-H247,0)</f>
        <v>117.609447301193</v>
      </c>
      <c r="K247" s="5" t="n">
        <f>H247-I247</f>
        <v>0</v>
      </c>
      <c r="L247" s="5" t="n">
        <f>(D247+E247)*C247-G247-I247+0+0</f>
        <v>1250.85</v>
      </c>
      <c r="M247" s="5" t="n">
        <f>IF(ISNUMBER(Inputs!$L$5),(IF(Inputs!$L$9="Actual flat rate",((D247+E247)*C247)*Inputs!$L$10,IF(Inputs!$C$9="Residential",IF(((D247+E247)*C247)&lt;='Assumptions and Catalog'!$C$50,((D247+E247)*C247)*'Assumptions and Catalog'!$H$50+'Assumptions and Catalog'!$E$50+'Assumptions and Catalog'!$F$50,IF(((D247+E247)*C247)&lt;='Assumptions and Catalog'!$C$51,((D247+E247)*C247)*'Assumptions and Catalog'!$H$51+'Assumptions and Catalog'!$E$51+'Assumptions and Catalog'!$F$51,IF(((D247+E247)*C247)&lt;='Assumptions and Catalog'!$C$52,((D247+E247)*C247)*'Assumptions and Catalog'!$H$52+'Assumptions and Catalog'!$E$52+'Assumptions and Catalog'!$F$52,IF(((D247+E247)*C247)&lt;='Assumptions and Catalog'!$C$53,((D247+E247)*C247)*'Assumptions and Catalog'!$H$53+'Assumptions and Catalog'!$E$53+'Assumptions and Catalog'!$F$53,IF(((D247+E247)*C247)&lt;='Assumptions and Catalog'!$C$54,((D247+E247)*C247)*'Assumptions and Catalog'!$H$54+'Assumptions and Catalog'!$E$54+'Assumptions and Catalog'!$F$54,IF(((D247+E247)*C247)&lt;='Assumptions and Catalog'!$C$55,((D247+E247)*C247)*'Assumptions and Catalog'!$H$55+'Assumptions and Catalog'!$E$55+'Assumptions and Catalog'!$F$55,IF(((D247+E247)*C247)&lt;='Assumptions and Catalog'!$C$56,((D247+E247)*C247)*'Assumptions and Catalog'!$H$56+'Assumptions and Catalog'!$E$56+'Assumptions and Catalog'!$F$56,IF(((D247+E247)*C247)&lt;='Assumptions and Catalog'!$C$57,((D247+E247)*C247)*'Assumptions and Catalog'!$H$57+'Assumptions and Catalog'!$E$57+'Assumptions and Catalog'!$F$57,"Out of range")))))))),IF(((D247+E247)*C247)&lt;='Assumptions and Catalog'!$C$60,((D247+E247)*C247)*'Assumptions and Catalog'!$H$60+'Assumptions and Catalog'!$E$60+'Assumptions and Catalog'!$F$60,IF(((D247+E247)*C247)&lt;='Assumptions and Catalog'!$C$61,((D247+E247)*C247)*'Assumptions and Catalog'!$H$61+'Assumptions and Catalog'!$E$61+'Assumptions and Catalog'!$F$61,IF(((D247+E247)*C247)&lt;='Assumptions and Catalog'!$C$62,((D247+E247)*C247)*'Assumptions and Catalog'!$H$62+'Assumptions and Catalog'!$E$62+'Assumptions and Catalog'!$F$62,IF(((D247+E247)*C247)&lt;='Assumptions and Catalog'!$C$63,((D247+E247)*C247)*'Assumptions and Catalog'!$H$63+'Assumptions and Catalog'!$E$63+'Assumptions and Catalog'!$F$63,IF(((D247+E247)*C247)&lt;='Assumptions and Catalog'!$C$64,((D247+E247)*C247)*'Assumptions and Catalog'!$H$64+'Assumptions and Catalog'!$E$64+'Assumptions and Catalog'!$F$64,IF(((D247+E247)*C247)&lt;='Assumptions and Catalog'!$C$65,((D247+E247)*C247)*'Assumptions and Catalog'!$H$65+'Assumptions and Catalog'!$E$65+'Assumptions and Catalog'!$F$65,"Out of range")))))))))*(1+'Assumptions and Catalog'!$C$8)^(A247-1),0)</f>
        <v>7094.794</v>
      </c>
      <c r="N247" s="5" t="n">
        <f>IF(ISNUMBER(Inputs!$L$5),(IF(Inputs!$L$9="Actual flat rate",L247*Inputs!$L$10,IF(Inputs!$C$9="Residential",IF(L247&lt;='Assumptions and Catalog'!$C$50,L247*'Assumptions and Catalog'!$H$50+'Assumptions and Catalog'!$E$50+'Assumptions and Catalog'!$F$50,IF(L247&lt;='Assumptions and Catalog'!$C$51,L247*'Assumptions and Catalog'!$H$51+'Assumptions and Catalog'!$E$51+'Assumptions and Catalog'!$F$51,IF(L247&lt;='Assumptions and Catalog'!$C$52,L247*'Assumptions and Catalog'!$H$52+'Assumptions and Catalog'!$E$52+'Assumptions and Catalog'!$F$52,IF(L247&lt;='Assumptions and Catalog'!$C$53,L247*'Assumptions and Catalog'!$H$53+'Assumptions and Catalog'!$E$53+'Assumptions and Catalog'!$F$53,IF(L247&lt;='Assumptions and Catalog'!$C$54,L247*'Assumptions and Catalog'!$H$54+'Assumptions and Catalog'!$E$54+'Assumptions and Catalog'!$F$54,IF(L247&lt;='Assumptions and Catalog'!$C$55,L247*'Assumptions and Catalog'!$H$55+'Assumptions and Catalog'!$E$55+'Assumptions and Catalog'!$F$55,IF(L247&lt;='Assumptions and Catalog'!$C$56,L247*'Assumptions and Catalog'!$H$56+'Assumptions and Catalog'!$E$56+'Assumptions and Catalog'!$F$56,IF(L247&lt;='Assumptions and Catalog'!$C$57,L247*'Assumptions and Catalog'!$H$57+'Assumptions and Catalog'!$E$57+'Assumptions and Catalog'!$F$57,"Out of range")))))))),IF(L247&lt;='Assumptions and Catalog'!$C$60,L247*'Assumptions and Catalog'!$H$60+'Assumptions and Catalog'!$E$60+'Assumptions and Catalog'!$F$60,IF(L247&lt;='Assumptions and Catalog'!$C$61,L247*'Assumptions and Catalog'!$H$61+'Assumptions and Catalog'!$E$61+'Assumptions and Catalog'!$F$61,IF(L247&lt;='Assumptions and Catalog'!$C$62,L247*'Assumptions and Catalog'!$H$62+'Assumptions and Catalog'!$E$62+'Assumptions and Catalog'!$F$62,IF(L247&lt;='Assumptions and Catalog'!$C$63,L247*'Assumptions and Catalog'!$H$63+'Assumptions and Catalog'!$E$63+'Assumptions and Catalog'!$F$63,IF(L247&lt;='Assumptions and Catalog'!$C$64,L247*'Assumptions and Catalog'!$H$64+'Assumptions and Catalog'!$E$64+'Assumptions and Catalog'!$F$64,IF(L247&lt;='Assumptions and Catalog'!$C$65,L247*'Assumptions and Catalog'!$H$65+'Assumptions and Catalog'!$E$65+'Assumptions and Catalog'!$F$65,"Out of range")))))))))*(1+'Assumptions and Catalog'!$C$8)^(A247-1),0)</f>
        <v>3567.397</v>
      </c>
      <c r="O247" s="5" t="n">
        <f>M247-N247</f>
        <v>3527.397</v>
      </c>
      <c r="P247" s="5" t="n">
        <f>C$55*(1-J$14)*(1-'Assumptions and Catalog'!$C$23)^R247</f>
        <v>0</v>
      </c>
      <c r="Q247" s="5" t="n">
        <f>IF(ISNUMBER(Inputs!$L$5),(IF(Inputs!$L$9="Actual flat rate",((D247+E247)*C247-G247)*Inputs!$L$10,IF(Inputs!$C$9="Residential",IF(((D247+E247)*C247-G247)&lt;='Assumptions and Catalog'!$C$50,((D247+E247)*C247-G247)*'Assumptions and Catalog'!$H$50+'Assumptions and Catalog'!$E$50+'Assumptions and Catalog'!$F$50,IF(((D247+E247)*C247-G247)&lt;='Assumptions and Catalog'!$C$51,((D247+E247)*C247-G247)*'Assumptions and Catalog'!$H$51+'Assumptions and Catalog'!$E$51+'Assumptions and Catalog'!$F$51,IF(((D247+E247)*C247-G247)&lt;='Assumptions and Catalog'!$C$52,((D247+E247)*C247-G247)*'Assumptions and Catalog'!$H$52+'Assumptions and Catalog'!$E$52+'Assumptions and Catalog'!$F$52,IF(((D247+E247)*C247-G247)&lt;='Assumptions and Catalog'!$C$53,((D247+E247)*C247-G247)*'Assumptions and Catalog'!$H$53+'Assumptions and Catalog'!$E$53+'Assumptions and Catalog'!$F$53,IF(((D247+E247)*C247-G247)&lt;='Assumptions and Catalog'!$C$54,((D247+E247)*C247-G247)*'Assumptions and Catalog'!$H$54+'Assumptions and Catalog'!$E$54+'Assumptions and Catalog'!$F$54,IF(((D247+E247)*C247-G247)&lt;='Assumptions and Catalog'!$C$55,((D247+E247)*C247-G247)*'Assumptions and Catalog'!$H$55+'Assumptions and Catalog'!$E$55+'Assumptions and Catalog'!$F$55,IF(((D247+E247)*C247-G247)&lt;='Assumptions and Catalog'!$C$56,((D247+E247)*C247-G247)*'Assumptions and Catalog'!$H$56+'Assumptions and Catalog'!$E$56+'Assumptions and Catalog'!$F$56,IF(((D247+E247)*C247-G247)&lt;='Assumptions and Catalog'!$C$57,((D247+E247)*C247-G247)*'Assumptions and Catalog'!$H$57+'Assumptions and Catalog'!$E$57+'Assumptions and Catalog'!$F$57,"Out of range")))))))),IF(((D247+E247)*C247-G247)&lt;='Assumptions and Catalog'!$C$60,((D247+E247)*C247-G247)*'Assumptions and Catalog'!$H$60+'Assumptions and Catalog'!$E$60+'Assumptions and Catalog'!$F$60,IF(((D247+E247)*C247-G247)&lt;='Assumptions and Catalog'!$C$61,((D247+E247)*C247-G247)*'Assumptions and Catalog'!$H$61+'Assumptions and Catalog'!$E$61+'Assumptions and Catalog'!$F$61,IF(((D247+E247)*C247-G247)&lt;='Assumptions and Catalog'!$C$62,((D247+E247)*C247-G247)*'Assumptions and Catalog'!$H$62+'Assumptions and Catalog'!$E$62+'Assumptions and Catalog'!$F$62,IF(((D247+E247)*C247-G247)&lt;='Assumptions and Catalog'!$C$63,((D247+E247)*C247-G247)*'Assumptions and Catalog'!$H$63+'Assumptions and Catalog'!$E$63+'Assumptions and Catalog'!$F$63,IF(((D247+E247)*C247-G247)&lt;='Assumptions and Catalog'!$C$64,((D247+E247)*C247-G247)*'Assumptions and Catalog'!$H$64+'Assumptions and Catalog'!$E$64+'Assumptions and Catalog'!$F$64,IF(((D247+E247)*C247-G247)&lt;='Assumptions and Catalog'!$C$65,((D247+E247)*C247-G247)*'Assumptions and Catalog'!$H$65+'Assumptions and Catalog'!$E$65+'Assumptions and Catalog'!$F$65,"Out of range")))))))))*(1+'Assumptions and Catalog'!$C$8)^(A247-1),0)</f>
        <v>3567.397</v>
      </c>
      <c r="R247" s="5" t="n">
        <f>IF(AND('Assumptions and Catalog'!$C$19&gt;0,A247&gt;='Assumptions and Catalog'!$C$19),A247-'Assumptions and Catalog'!$C$19,A247-1)</f>
        <v>7</v>
      </c>
      <c r="S247" s="5" t="n">
        <f>F247+L247-(D247+E247)*C247-J247-K247-0</f>
        <v>0</v>
      </c>
      <c r="T247" s="5"/>
      <c r="U247" s="5"/>
    </row>
    <row r="248" ht="23.100000381469727" customHeight="1">
      <c r="A248" s="5" t="n">
        <v>8</v>
      </c>
      <c r="B248" s="5" t="n">
        <v>4</v>
      </c>
      <c r="C248" s="5" t="n">
        <f>DAY(DATE('Assumptions and Catalog'!$C$24+A248-1,B248+1,0))</f>
        <v>30</v>
      </c>
      <c r="D248" s="5" t="n">
        <f>IF(ISNUMBER(Inputs!$L$5),Inputs!$L$5*Inputs!$L$6,0)</f>
        <v>40.35</v>
      </c>
      <c r="E248" s="5" t="n">
        <f>IF(ISNUMBER(Inputs!$L$5),Inputs!$L$5-D248,0)</f>
        <v>40.35</v>
      </c>
      <c r="F248" s="5" t="n">
        <f>C$51*INDEX('Solar Production'!$D$20:$D$31,B248)*C248*(1-'Assumptions and Catalog'!$C$10)^(A248-1)</f>
        <v>1366.76013096281</v>
      </c>
      <c r="G248" s="5" t="n">
        <f>MIN(F248,D248*C248)</f>
        <v>1210.5</v>
      </c>
      <c r="H248" s="5" t="n">
        <f>I248/('Assumptions and Catalog'!$C$11*'Assumptions and Catalog'!$C$12)</f>
        <v>0</v>
      </c>
      <c r="I248" s="5" t="n">
        <f>0</f>
        <v>0</v>
      </c>
      <c r="J248" s="5" t="n">
        <f>MAX(F248-G248-H248,0)</f>
        <v>156.260130962808</v>
      </c>
      <c r="K248" s="5" t="n">
        <f>H248-I248</f>
        <v>0</v>
      </c>
      <c r="L248" s="5" t="n">
        <f>(D248+E248)*C248-G248-I248+0+0</f>
        <v>1210.5</v>
      </c>
      <c r="M248" s="5" t="n">
        <f>IF(ISNUMBER(Inputs!$L$5),(IF(Inputs!$L$9="Actual flat rate",((D248+E248)*C248)*Inputs!$L$10,IF(Inputs!$C$9="Residential",IF(((D248+E248)*C248)&lt;='Assumptions and Catalog'!$C$50,((D248+E248)*C248)*'Assumptions and Catalog'!$H$50+'Assumptions and Catalog'!$E$50+'Assumptions and Catalog'!$F$50,IF(((D248+E248)*C248)&lt;='Assumptions and Catalog'!$C$51,((D248+E248)*C248)*'Assumptions and Catalog'!$H$51+'Assumptions and Catalog'!$E$51+'Assumptions and Catalog'!$F$51,IF(((D248+E248)*C248)&lt;='Assumptions and Catalog'!$C$52,((D248+E248)*C248)*'Assumptions and Catalog'!$H$52+'Assumptions and Catalog'!$E$52+'Assumptions and Catalog'!$F$52,IF(((D248+E248)*C248)&lt;='Assumptions and Catalog'!$C$53,((D248+E248)*C248)*'Assumptions and Catalog'!$H$53+'Assumptions and Catalog'!$E$53+'Assumptions and Catalog'!$F$53,IF(((D248+E248)*C248)&lt;='Assumptions and Catalog'!$C$54,((D248+E248)*C248)*'Assumptions and Catalog'!$H$54+'Assumptions and Catalog'!$E$54+'Assumptions and Catalog'!$F$54,IF(((D248+E248)*C248)&lt;='Assumptions and Catalog'!$C$55,((D248+E248)*C248)*'Assumptions and Catalog'!$H$55+'Assumptions and Catalog'!$E$55+'Assumptions and Catalog'!$F$55,IF(((D248+E248)*C248)&lt;='Assumptions and Catalog'!$C$56,((D248+E248)*C248)*'Assumptions and Catalog'!$H$56+'Assumptions and Catalog'!$E$56+'Assumptions and Catalog'!$F$56,IF(((D248+E248)*C248)&lt;='Assumptions and Catalog'!$C$57,((D248+E248)*C248)*'Assumptions and Catalog'!$H$57+'Assumptions and Catalog'!$E$57+'Assumptions and Catalog'!$F$57,"Out of range")))))))),IF(((D248+E248)*C248)&lt;='Assumptions and Catalog'!$C$60,((D248+E248)*C248)*'Assumptions and Catalog'!$H$60+'Assumptions and Catalog'!$E$60+'Assumptions and Catalog'!$F$60,IF(((D248+E248)*C248)&lt;='Assumptions and Catalog'!$C$61,((D248+E248)*C248)*'Assumptions and Catalog'!$H$61+'Assumptions and Catalog'!$E$61+'Assumptions and Catalog'!$F$61,IF(((D248+E248)*C248)&lt;='Assumptions and Catalog'!$C$62,((D248+E248)*C248)*'Assumptions and Catalog'!$H$62+'Assumptions and Catalog'!$E$62+'Assumptions and Catalog'!$F$62,IF(((D248+E248)*C248)&lt;='Assumptions and Catalog'!$C$63,((D248+E248)*C248)*'Assumptions and Catalog'!$H$63+'Assumptions and Catalog'!$E$63+'Assumptions and Catalog'!$F$63,IF(((D248+E248)*C248)&lt;='Assumptions and Catalog'!$C$64,((D248+E248)*C248)*'Assumptions and Catalog'!$H$64+'Assumptions and Catalog'!$E$64+'Assumptions and Catalog'!$F$64,IF(((D248+E248)*C248)&lt;='Assumptions and Catalog'!$C$65,((D248+E248)*C248)*'Assumptions and Catalog'!$H$65+'Assumptions and Catalog'!$E$65+'Assumptions and Catalog'!$F$65,"Out of range")))))))))*(1+'Assumptions and Catalog'!$C$8)^(A248-1),0)</f>
        <v>6867.22</v>
      </c>
      <c r="N248" s="5" t="n">
        <f>IF(ISNUMBER(Inputs!$L$5),(IF(Inputs!$L$9="Actual flat rate",L248*Inputs!$L$10,IF(Inputs!$C$9="Residential",IF(L248&lt;='Assumptions and Catalog'!$C$50,L248*'Assumptions and Catalog'!$H$50+'Assumptions and Catalog'!$E$50+'Assumptions and Catalog'!$F$50,IF(L248&lt;='Assumptions and Catalog'!$C$51,L248*'Assumptions and Catalog'!$H$51+'Assumptions and Catalog'!$E$51+'Assumptions and Catalog'!$F$51,IF(L248&lt;='Assumptions and Catalog'!$C$52,L248*'Assumptions and Catalog'!$H$52+'Assumptions and Catalog'!$E$52+'Assumptions and Catalog'!$F$52,IF(L248&lt;='Assumptions and Catalog'!$C$53,L248*'Assumptions and Catalog'!$H$53+'Assumptions and Catalog'!$E$53+'Assumptions and Catalog'!$F$53,IF(L248&lt;='Assumptions and Catalog'!$C$54,L248*'Assumptions and Catalog'!$H$54+'Assumptions and Catalog'!$E$54+'Assumptions and Catalog'!$F$54,IF(L248&lt;='Assumptions and Catalog'!$C$55,L248*'Assumptions and Catalog'!$H$55+'Assumptions and Catalog'!$E$55+'Assumptions and Catalog'!$F$55,IF(L248&lt;='Assumptions and Catalog'!$C$56,L248*'Assumptions and Catalog'!$H$56+'Assumptions and Catalog'!$E$56+'Assumptions and Catalog'!$F$56,IF(L248&lt;='Assumptions and Catalog'!$C$57,L248*'Assumptions and Catalog'!$H$57+'Assumptions and Catalog'!$E$57+'Assumptions and Catalog'!$F$57,"Out of range")))))))),IF(L248&lt;='Assumptions and Catalog'!$C$60,L248*'Assumptions and Catalog'!$H$60+'Assumptions and Catalog'!$E$60+'Assumptions and Catalog'!$F$60,IF(L248&lt;='Assumptions and Catalog'!$C$61,L248*'Assumptions and Catalog'!$H$61+'Assumptions and Catalog'!$E$61+'Assumptions and Catalog'!$F$61,IF(L248&lt;='Assumptions and Catalog'!$C$62,L248*'Assumptions and Catalog'!$H$62+'Assumptions and Catalog'!$E$62+'Assumptions and Catalog'!$F$62,IF(L248&lt;='Assumptions and Catalog'!$C$63,L248*'Assumptions and Catalog'!$H$63+'Assumptions and Catalog'!$E$63+'Assumptions and Catalog'!$F$63,IF(L248&lt;='Assumptions and Catalog'!$C$64,L248*'Assumptions and Catalog'!$H$64+'Assumptions and Catalog'!$E$64+'Assumptions and Catalog'!$F$64,IF(L248&lt;='Assumptions and Catalog'!$C$65,L248*'Assumptions and Catalog'!$H$65+'Assumptions and Catalog'!$E$65+'Assumptions and Catalog'!$F$65,"Out of range")))))))))*(1+'Assumptions and Catalog'!$C$8)^(A248-1),0)</f>
        <v>3453.61</v>
      </c>
      <c r="O248" s="5" t="n">
        <f>M248-N248</f>
        <v>3413.61</v>
      </c>
      <c r="P248" s="5" t="n">
        <f>C$55*(1-J$14)*(1-'Assumptions and Catalog'!$C$23)^R248</f>
        <v>0</v>
      </c>
      <c r="Q248" s="5" t="n">
        <f>IF(ISNUMBER(Inputs!$L$5),(IF(Inputs!$L$9="Actual flat rate",((D248+E248)*C248-G248)*Inputs!$L$10,IF(Inputs!$C$9="Residential",IF(((D248+E248)*C248-G248)&lt;='Assumptions and Catalog'!$C$50,((D248+E248)*C248-G248)*'Assumptions and Catalog'!$H$50+'Assumptions and Catalog'!$E$50+'Assumptions and Catalog'!$F$50,IF(((D248+E248)*C248-G248)&lt;='Assumptions and Catalog'!$C$51,((D248+E248)*C248-G248)*'Assumptions and Catalog'!$H$51+'Assumptions and Catalog'!$E$51+'Assumptions and Catalog'!$F$51,IF(((D248+E248)*C248-G248)&lt;='Assumptions and Catalog'!$C$52,((D248+E248)*C248-G248)*'Assumptions and Catalog'!$H$52+'Assumptions and Catalog'!$E$52+'Assumptions and Catalog'!$F$52,IF(((D248+E248)*C248-G248)&lt;='Assumptions and Catalog'!$C$53,((D248+E248)*C248-G248)*'Assumptions and Catalog'!$H$53+'Assumptions and Catalog'!$E$53+'Assumptions and Catalog'!$F$53,IF(((D248+E248)*C248-G248)&lt;='Assumptions and Catalog'!$C$54,((D248+E248)*C248-G248)*'Assumptions and Catalog'!$H$54+'Assumptions and Catalog'!$E$54+'Assumptions and Catalog'!$F$54,IF(((D248+E248)*C248-G248)&lt;='Assumptions and Catalog'!$C$55,((D248+E248)*C248-G248)*'Assumptions and Catalog'!$H$55+'Assumptions and Catalog'!$E$55+'Assumptions and Catalog'!$F$55,IF(((D248+E248)*C248-G248)&lt;='Assumptions and Catalog'!$C$56,((D248+E248)*C248-G248)*'Assumptions and Catalog'!$H$56+'Assumptions and Catalog'!$E$56+'Assumptions and Catalog'!$F$56,IF(((D248+E248)*C248-G248)&lt;='Assumptions and Catalog'!$C$57,((D248+E248)*C248-G248)*'Assumptions and Catalog'!$H$57+'Assumptions and Catalog'!$E$57+'Assumptions and Catalog'!$F$57,"Out of range")))))))),IF(((D248+E248)*C248-G248)&lt;='Assumptions and Catalog'!$C$60,((D248+E248)*C248-G248)*'Assumptions and Catalog'!$H$60+'Assumptions and Catalog'!$E$60+'Assumptions and Catalog'!$F$60,IF(((D248+E248)*C248-G248)&lt;='Assumptions and Catalog'!$C$61,((D248+E248)*C248-G248)*'Assumptions and Catalog'!$H$61+'Assumptions and Catalog'!$E$61+'Assumptions and Catalog'!$F$61,IF(((D248+E248)*C248-G248)&lt;='Assumptions and Catalog'!$C$62,((D248+E248)*C248-G248)*'Assumptions and Catalog'!$H$62+'Assumptions and Catalog'!$E$62+'Assumptions and Catalog'!$F$62,IF(((D248+E248)*C248-G248)&lt;='Assumptions and Catalog'!$C$63,((D248+E248)*C248-G248)*'Assumptions and Catalog'!$H$63+'Assumptions and Catalog'!$E$63+'Assumptions and Catalog'!$F$63,IF(((D248+E248)*C248-G248)&lt;='Assumptions and Catalog'!$C$64,((D248+E248)*C248-G248)*'Assumptions and Catalog'!$H$64+'Assumptions and Catalog'!$E$64+'Assumptions and Catalog'!$F$64,IF(((D248+E248)*C248-G248)&lt;='Assumptions and Catalog'!$C$65,((D248+E248)*C248-G248)*'Assumptions and Catalog'!$H$65+'Assumptions and Catalog'!$E$65+'Assumptions and Catalog'!$F$65,"Out of range")))))))))*(1+'Assumptions and Catalog'!$C$8)^(A248-1),0)</f>
        <v>3453.61</v>
      </c>
      <c r="R248" s="5" t="n">
        <f>IF(AND('Assumptions and Catalog'!$C$19&gt;0,A248&gt;='Assumptions and Catalog'!$C$19),A248-'Assumptions and Catalog'!$C$19,A248-1)</f>
        <v>7</v>
      </c>
      <c r="S248" s="5" t="n">
        <f>F248+L248-(D248+E248)*C248-J248-K248-0</f>
        <v>0</v>
      </c>
      <c r="T248" s="5"/>
      <c r="U248" s="5"/>
    </row>
    <row r="249" ht="23.100000381469727" customHeight="1">
      <c r="A249" s="5" t="n">
        <v>8</v>
      </c>
      <c r="B249" s="5" t="n">
        <v>5</v>
      </c>
      <c r="C249" s="5" t="n">
        <f>DAY(DATE('Assumptions and Catalog'!$C$24+A249-1,B249+1,0))</f>
        <v>31</v>
      </c>
      <c r="D249" s="5" t="n">
        <f>IF(ISNUMBER(Inputs!$L$5),Inputs!$L$5*Inputs!$L$6,0)</f>
        <v>40.35</v>
      </c>
      <c r="E249" s="5" t="n">
        <f>IF(ISNUMBER(Inputs!$L$5),Inputs!$L$5-D249,0)</f>
        <v>40.35</v>
      </c>
      <c r="F249" s="5" t="n">
        <f>C$51*INDEX('Solar Production'!$D$20:$D$31,B249)*C249*(1-'Assumptions and Catalog'!$C$10)^(A249-1)</f>
        <v>1382.56377290979</v>
      </c>
      <c r="G249" s="5" t="n">
        <f>MIN(F249,D249*C249)</f>
        <v>1250.85</v>
      </c>
      <c r="H249" s="5" t="n">
        <f>I249/('Assumptions and Catalog'!$C$11*'Assumptions and Catalog'!$C$12)</f>
        <v>0</v>
      </c>
      <c r="I249" s="5" t="n">
        <f>0</f>
        <v>0</v>
      </c>
      <c r="J249" s="5" t="n">
        <f>MAX(F249-G249-H249,0)</f>
        <v>131.713772909786</v>
      </c>
      <c r="K249" s="5" t="n">
        <f>H249-I249</f>
        <v>0</v>
      </c>
      <c r="L249" s="5" t="n">
        <f>(D249+E249)*C249-G249-I249+0+0</f>
        <v>1250.85</v>
      </c>
      <c r="M249" s="5" t="n">
        <f>IF(ISNUMBER(Inputs!$L$5),(IF(Inputs!$L$9="Actual flat rate",((D249+E249)*C249)*Inputs!$L$10,IF(Inputs!$C$9="Residential",IF(((D249+E249)*C249)&lt;='Assumptions and Catalog'!$C$50,((D249+E249)*C249)*'Assumptions and Catalog'!$H$50+'Assumptions and Catalog'!$E$50+'Assumptions and Catalog'!$F$50,IF(((D249+E249)*C249)&lt;='Assumptions and Catalog'!$C$51,((D249+E249)*C249)*'Assumptions and Catalog'!$H$51+'Assumptions and Catalog'!$E$51+'Assumptions and Catalog'!$F$51,IF(((D249+E249)*C249)&lt;='Assumptions and Catalog'!$C$52,((D249+E249)*C249)*'Assumptions and Catalog'!$H$52+'Assumptions and Catalog'!$E$52+'Assumptions and Catalog'!$F$52,IF(((D249+E249)*C249)&lt;='Assumptions and Catalog'!$C$53,((D249+E249)*C249)*'Assumptions and Catalog'!$H$53+'Assumptions and Catalog'!$E$53+'Assumptions and Catalog'!$F$53,IF(((D249+E249)*C249)&lt;='Assumptions and Catalog'!$C$54,((D249+E249)*C249)*'Assumptions and Catalog'!$H$54+'Assumptions and Catalog'!$E$54+'Assumptions and Catalog'!$F$54,IF(((D249+E249)*C249)&lt;='Assumptions and Catalog'!$C$55,((D249+E249)*C249)*'Assumptions and Catalog'!$H$55+'Assumptions and Catalog'!$E$55+'Assumptions and Catalog'!$F$55,IF(((D249+E249)*C249)&lt;='Assumptions and Catalog'!$C$56,((D249+E249)*C249)*'Assumptions and Catalog'!$H$56+'Assumptions and Catalog'!$E$56+'Assumptions and Catalog'!$F$56,IF(((D249+E249)*C249)&lt;='Assumptions and Catalog'!$C$57,((D249+E249)*C249)*'Assumptions and Catalog'!$H$57+'Assumptions and Catalog'!$E$57+'Assumptions and Catalog'!$F$57,"Out of range")))))))),IF(((D249+E249)*C249)&lt;='Assumptions and Catalog'!$C$60,((D249+E249)*C249)*'Assumptions and Catalog'!$H$60+'Assumptions and Catalog'!$E$60+'Assumptions and Catalog'!$F$60,IF(((D249+E249)*C249)&lt;='Assumptions and Catalog'!$C$61,((D249+E249)*C249)*'Assumptions and Catalog'!$H$61+'Assumptions and Catalog'!$E$61+'Assumptions and Catalog'!$F$61,IF(((D249+E249)*C249)&lt;='Assumptions and Catalog'!$C$62,((D249+E249)*C249)*'Assumptions and Catalog'!$H$62+'Assumptions and Catalog'!$E$62+'Assumptions and Catalog'!$F$62,IF(((D249+E249)*C249)&lt;='Assumptions and Catalog'!$C$63,((D249+E249)*C249)*'Assumptions and Catalog'!$H$63+'Assumptions and Catalog'!$E$63+'Assumptions and Catalog'!$F$63,IF(((D249+E249)*C249)&lt;='Assumptions and Catalog'!$C$64,((D249+E249)*C249)*'Assumptions and Catalog'!$H$64+'Assumptions and Catalog'!$E$64+'Assumptions and Catalog'!$F$64,IF(((D249+E249)*C249)&lt;='Assumptions and Catalog'!$C$65,((D249+E249)*C249)*'Assumptions and Catalog'!$H$65+'Assumptions and Catalog'!$E$65+'Assumptions and Catalog'!$F$65,"Out of range")))))))))*(1+'Assumptions and Catalog'!$C$8)^(A249-1),0)</f>
        <v>7094.794</v>
      </c>
      <c r="N249" s="5" t="n">
        <f>IF(ISNUMBER(Inputs!$L$5),(IF(Inputs!$L$9="Actual flat rate",L249*Inputs!$L$10,IF(Inputs!$C$9="Residential",IF(L249&lt;='Assumptions and Catalog'!$C$50,L249*'Assumptions and Catalog'!$H$50+'Assumptions and Catalog'!$E$50+'Assumptions and Catalog'!$F$50,IF(L249&lt;='Assumptions and Catalog'!$C$51,L249*'Assumptions and Catalog'!$H$51+'Assumptions and Catalog'!$E$51+'Assumptions and Catalog'!$F$51,IF(L249&lt;='Assumptions and Catalog'!$C$52,L249*'Assumptions and Catalog'!$H$52+'Assumptions and Catalog'!$E$52+'Assumptions and Catalog'!$F$52,IF(L249&lt;='Assumptions and Catalog'!$C$53,L249*'Assumptions and Catalog'!$H$53+'Assumptions and Catalog'!$E$53+'Assumptions and Catalog'!$F$53,IF(L249&lt;='Assumptions and Catalog'!$C$54,L249*'Assumptions and Catalog'!$H$54+'Assumptions and Catalog'!$E$54+'Assumptions and Catalog'!$F$54,IF(L249&lt;='Assumptions and Catalog'!$C$55,L249*'Assumptions and Catalog'!$H$55+'Assumptions and Catalog'!$E$55+'Assumptions and Catalog'!$F$55,IF(L249&lt;='Assumptions and Catalog'!$C$56,L249*'Assumptions and Catalog'!$H$56+'Assumptions and Catalog'!$E$56+'Assumptions and Catalog'!$F$56,IF(L249&lt;='Assumptions and Catalog'!$C$57,L249*'Assumptions and Catalog'!$H$57+'Assumptions and Catalog'!$E$57+'Assumptions and Catalog'!$F$57,"Out of range")))))))),IF(L249&lt;='Assumptions and Catalog'!$C$60,L249*'Assumptions and Catalog'!$H$60+'Assumptions and Catalog'!$E$60+'Assumptions and Catalog'!$F$60,IF(L249&lt;='Assumptions and Catalog'!$C$61,L249*'Assumptions and Catalog'!$H$61+'Assumptions and Catalog'!$E$61+'Assumptions and Catalog'!$F$61,IF(L249&lt;='Assumptions and Catalog'!$C$62,L249*'Assumptions and Catalog'!$H$62+'Assumptions and Catalog'!$E$62+'Assumptions and Catalog'!$F$62,IF(L249&lt;='Assumptions and Catalog'!$C$63,L249*'Assumptions and Catalog'!$H$63+'Assumptions and Catalog'!$E$63+'Assumptions and Catalog'!$F$63,IF(L249&lt;='Assumptions and Catalog'!$C$64,L249*'Assumptions and Catalog'!$H$64+'Assumptions and Catalog'!$E$64+'Assumptions and Catalog'!$F$64,IF(L249&lt;='Assumptions and Catalog'!$C$65,L249*'Assumptions and Catalog'!$H$65+'Assumptions and Catalog'!$E$65+'Assumptions and Catalog'!$F$65,"Out of range")))))))))*(1+'Assumptions and Catalog'!$C$8)^(A249-1),0)</f>
        <v>3567.397</v>
      </c>
      <c r="O249" s="5" t="n">
        <f>M249-N249</f>
        <v>3527.397</v>
      </c>
      <c r="P249" s="5" t="n">
        <f>C$55*(1-J$14)*(1-'Assumptions and Catalog'!$C$23)^R249</f>
        <v>0</v>
      </c>
      <c r="Q249" s="5" t="n">
        <f>IF(ISNUMBER(Inputs!$L$5),(IF(Inputs!$L$9="Actual flat rate",((D249+E249)*C249-G249)*Inputs!$L$10,IF(Inputs!$C$9="Residential",IF(((D249+E249)*C249-G249)&lt;='Assumptions and Catalog'!$C$50,((D249+E249)*C249-G249)*'Assumptions and Catalog'!$H$50+'Assumptions and Catalog'!$E$50+'Assumptions and Catalog'!$F$50,IF(((D249+E249)*C249-G249)&lt;='Assumptions and Catalog'!$C$51,((D249+E249)*C249-G249)*'Assumptions and Catalog'!$H$51+'Assumptions and Catalog'!$E$51+'Assumptions and Catalog'!$F$51,IF(((D249+E249)*C249-G249)&lt;='Assumptions and Catalog'!$C$52,((D249+E249)*C249-G249)*'Assumptions and Catalog'!$H$52+'Assumptions and Catalog'!$E$52+'Assumptions and Catalog'!$F$52,IF(((D249+E249)*C249-G249)&lt;='Assumptions and Catalog'!$C$53,((D249+E249)*C249-G249)*'Assumptions and Catalog'!$H$53+'Assumptions and Catalog'!$E$53+'Assumptions and Catalog'!$F$53,IF(((D249+E249)*C249-G249)&lt;='Assumptions and Catalog'!$C$54,((D249+E249)*C249-G249)*'Assumptions and Catalog'!$H$54+'Assumptions and Catalog'!$E$54+'Assumptions and Catalog'!$F$54,IF(((D249+E249)*C249-G249)&lt;='Assumptions and Catalog'!$C$55,((D249+E249)*C249-G249)*'Assumptions and Catalog'!$H$55+'Assumptions and Catalog'!$E$55+'Assumptions and Catalog'!$F$55,IF(((D249+E249)*C249-G249)&lt;='Assumptions and Catalog'!$C$56,((D249+E249)*C249-G249)*'Assumptions and Catalog'!$H$56+'Assumptions and Catalog'!$E$56+'Assumptions and Catalog'!$F$56,IF(((D249+E249)*C249-G249)&lt;='Assumptions and Catalog'!$C$57,((D249+E249)*C249-G249)*'Assumptions and Catalog'!$H$57+'Assumptions and Catalog'!$E$57+'Assumptions and Catalog'!$F$57,"Out of range")))))))),IF(((D249+E249)*C249-G249)&lt;='Assumptions and Catalog'!$C$60,((D249+E249)*C249-G249)*'Assumptions and Catalog'!$H$60+'Assumptions and Catalog'!$E$60+'Assumptions and Catalog'!$F$60,IF(((D249+E249)*C249-G249)&lt;='Assumptions and Catalog'!$C$61,((D249+E249)*C249-G249)*'Assumptions and Catalog'!$H$61+'Assumptions and Catalog'!$E$61+'Assumptions and Catalog'!$F$61,IF(((D249+E249)*C249-G249)&lt;='Assumptions and Catalog'!$C$62,((D249+E249)*C249-G249)*'Assumptions and Catalog'!$H$62+'Assumptions and Catalog'!$E$62+'Assumptions and Catalog'!$F$62,IF(((D249+E249)*C249-G249)&lt;='Assumptions and Catalog'!$C$63,((D249+E249)*C249-G249)*'Assumptions and Catalog'!$H$63+'Assumptions and Catalog'!$E$63+'Assumptions and Catalog'!$F$63,IF(((D249+E249)*C249-G249)&lt;='Assumptions and Catalog'!$C$64,((D249+E249)*C249-G249)*'Assumptions and Catalog'!$H$64+'Assumptions and Catalog'!$E$64+'Assumptions and Catalog'!$F$64,IF(((D249+E249)*C249-G249)&lt;='Assumptions and Catalog'!$C$65,((D249+E249)*C249-G249)*'Assumptions and Catalog'!$H$65+'Assumptions and Catalog'!$E$65+'Assumptions and Catalog'!$F$65,"Out of range")))))))))*(1+'Assumptions and Catalog'!$C$8)^(A249-1),0)</f>
        <v>3567.397</v>
      </c>
      <c r="R249" s="5" t="n">
        <f>IF(AND('Assumptions and Catalog'!$C$19&gt;0,A249&gt;='Assumptions and Catalog'!$C$19),A249-'Assumptions and Catalog'!$C$19,A249-1)</f>
        <v>7</v>
      </c>
      <c r="S249" s="5" t="n">
        <f>F249+L249-(D249+E249)*C249-J249-K249-0</f>
        <v>0</v>
      </c>
      <c r="T249" s="5"/>
      <c r="U249" s="5"/>
    </row>
    <row r="250" ht="23.100000381469727" customHeight="1">
      <c r="A250" s="5" t="n">
        <v>8</v>
      </c>
      <c r="B250" s="5" t="n">
        <v>6</v>
      </c>
      <c r="C250" s="5" t="n">
        <f>DAY(DATE('Assumptions and Catalog'!$C$24+A250-1,B250+1,0))</f>
        <v>30</v>
      </c>
      <c r="D250" s="5" t="n">
        <f>IF(ISNUMBER(Inputs!$L$5),Inputs!$L$5*Inputs!$L$6,0)</f>
        <v>40.35</v>
      </c>
      <c r="E250" s="5" t="n">
        <f>IF(ISNUMBER(Inputs!$L$5),Inputs!$L$5-D250,0)</f>
        <v>40.35</v>
      </c>
      <c r="F250" s="5" t="n">
        <f>C$51*INDEX('Solar Production'!$D$20:$D$31,B250)*C250*(1-'Assumptions and Catalog'!$C$10)^(A250-1)</f>
        <v>1347.7277879729</v>
      </c>
      <c r="G250" s="5" t="n">
        <f>MIN(F250,D250*C250)</f>
        <v>1210.5</v>
      </c>
      <c r="H250" s="5" t="n">
        <f>I250/('Assumptions and Catalog'!$C$11*'Assumptions and Catalog'!$C$12)</f>
        <v>0</v>
      </c>
      <c r="I250" s="5" t="n">
        <f>0</f>
        <v>0</v>
      </c>
      <c r="J250" s="5" t="n">
        <f>MAX(F250-G250-H250,0)</f>
        <v>137.2277879729</v>
      </c>
      <c r="K250" s="5" t="n">
        <f>H250-I250</f>
        <v>0</v>
      </c>
      <c r="L250" s="5" t="n">
        <f>(D250+E250)*C250-G250-I250+0+0</f>
        <v>1210.5</v>
      </c>
      <c r="M250" s="5" t="n">
        <f>IF(ISNUMBER(Inputs!$L$5),(IF(Inputs!$L$9="Actual flat rate",((D250+E250)*C250)*Inputs!$L$10,IF(Inputs!$C$9="Residential",IF(((D250+E250)*C250)&lt;='Assumptions and Catalog'!$C$50,((D250+E250)*C250)*'Assumptions and Catalog'!$H$50+'Assumptions and Catalog'!$E$50+'Assumptions and Catalog'!$F$50,IF(((D250+E250)*C250)&lt;='Assumptions and Catalog'!$C$51,((D250+E250)*C250)*'Assumptions and Catalog'!$H$51+'Assumptions and Catalog'!$E$51+'Assumptions and Catalog'!$F$51,IF(((D250+E250)*C250)&lt;='Assumptions and Catalog'!$C$52,((D250+E250)*C250)*'Assumptions and Catalog'!$H$52+'Assumptions and Catalog'!$E$52+'Assumptions and Catalog'!$F$52,IF(((D250+E250)*C250)&lt;='Assumptions and Catalog'!$C$53,((D250+E250)*C250)*'Assumptions and Catalog'!$H$53+'Assumptions and Catalog'!$E$53+'Assumptions and Catalog'!$F$53,IF(((D250+E250)*C250)&lt;='Assumptions and Catalog'!$C$54,((D250+E250)*C250)*'Assumptions and Catalog'!$H$54+'Assumptions and Catalog'!$E$54+'Assumptions and Catalog'!$F$54,IF(((D250+E250)*C250)&lt;='Assumptions and Catalog'!$C$55,((D250+E250)*C250)*'Assumptions and Catalog'!$H$55+'Assumptions and Catalog'!$E$55+'Assumptions and Catalog'!$F$55,IF(((D250+E250)*C250)&lt;='Assumptions and Catalog'!$C$56,((D250+E250)*C250)*'Assumptions and Catalog'!$H$56+'Assumptions and Catalog'!$E$56+'Assumptions and Catalog'!$F$56,IF(((D250+E250)*C250)&lt;='Assumptions and Catalog'!$C$57,((D250+E250)*C250)*'Assumptions and Catalog'!$H$57+'Assumptions and Catalog'!$E$57+'Assumptions and Catalog'!$F$57,"Out of range")))))))),IF(((D250+E250)*C250)&lt;='Assumptions and Catalog'!$C$60,((D250+E250)*C250)*'Assumptions and Catalog'!$H$60+'Assumptions and Catalog'!$E$60+'Assumptions and Catalog'!$F$60,IF(((D250+E250)*C250)&lt;='Assumptions and Catalog'!$C$61,((D250+E250)*C250)*'Assumptions and Catalog'!$H$61+'Assumptions and Catalog'!$E$61+'Assumptions and Catalog'!$F$61,IF(((D250+E250)*C250)&lt;='Assumptions and Catalog'!$C$62,((D250+E250)*C250)*'Assumptions and Catalog'!$H$62+'Assumptions and Catalog'!$E$62+'Assumptions and Catalog'!$F$62,IF(((D250+E250)*C250)&lt;='Assumptions and Catalog'!$C$63,((D250+E250)*C250)*'Assumptions and Catalog'!$H$63+'Assumptions and Catalog'!$E$63+'Assumptions and Catalog'!$F$63,IF(((D250+E250)*C250)&lt;='Assumptions and Catalog'!$C$64,((D250+E250)*C250)*'Assumptions and Catalog'!$H$64+'Assumptions and Catalog'!$E$64+'Assumptions and Catalog'!$F$64,IF(((D250+E250)*C250)&lt;='Assumptions and Catalog'!$C$65,((D250+E250)*C250)*'Assumptions and Catalog'!$H$65+'Assumptions and Catalog'!$E$65+'Assumptions and Catalog'!$F$65,"Out of range")))))))))*(1+'Assumptions and Catalog'!$C$8)^(A250-1),0)</f>
        <v>6867.22</v>
      </c>
      <c r="N250" s="5" t="n">
        <f>IF(ISNUMBER(Inputs!$L$5),(IF(Inputs!$L$9="Actual flat rate",L250*Inputs!$L$10,IF(Inputs!$C$9="Residential",IF(L250&lt;='Assumptions and Catalog'!$C$50,L250*'Assumptions and Catalog'!$H$50+'Assumptions and Catalog'!$E$50+'Assumptions and Catalog'!$F$50,IF(L250&lt;='Assumptions and Catalog'!$C$51,L250*'Assumptions and Catalog'!$H$51+'Assumptions and Catalog'!$E$51+'Assumptions and Catalog'!$F$51,IF(L250&lt;='Assumptions and Catalog'!$C$52,L250*'Assumptions and Catalog'!$H$52+'Assumptions and Catalog'!$E$52+'Assumptions and Catalog'!$F$52,IF(L250&lt;='Assumptions and Catalog'!$C$53,L250*'Assumptions and Catalog'!$H$53+'Assumptions and Catalog'!$E$53+'Assumptions and Catalog'!$F$53,IF(L250&lt;='Assumptions and Catalog'!$C$54,L250*'Assumptions and Catalog'!$H$54+'Assumptions and Catalog'!$E$54+'Assumptions and Catalog'!$F$54,IF(L250&lt;='Assumptions and Catalog'!$C$55,L250*'Assumptions and Catalog'!$H$55+'Assumptions and Catalog'!$E$55+'Assumptions and Catalog'!$F$55,IF(L250&lt;='Assumptions and Catalog'!$C$56,L250*'Assumptions and Catalog'!$H$56+'Assumptions and Catalog'!$E$56+'Assumptions and Catalog'!$F$56,IF(L250&lt;='Assumptions and Catalog'!$C$57,L250*'Assumptions and Catalog'!$H$57+'Assumptions and Catalog'!$E$57+'Assumptions and Catalog'!$F$57,"Out of range")))))))),IF(L250&lt;='Assumptions and Catalog'!$C$60,L250*'Assumptions and Catalog'!$H$60+'Assumptions and Catalog'!$E$60+'Assumptions and Catalog'!$F$60,IF(L250&lt;='Assumptions and Catalog'!$C$61,L250*'Assumptions and Catalog'!$H$61+'Assumptions and Catalog'!$E$61+'Assumptions and Catalog'!$F$61,IF(L250&lt;='Assumptions and Catalog'!$C$62,L250*'Assumptions and Catalog'!$H$62+'Assumptions and Catalog'!$E$62+'Assumptions and Catalog'!$F$62,IF(L250&lt;='Assumptions and Catalog'!$C$63,L250*'Assumptions and Catalog'!$H$63+'Assumptions and Catalog'!$E$63+'Assumptions and Catalog'!$F$63,IF(L250&lt;='Assumptions and Catalog'!$C$64,L250*'Assumptions and Catalog'!$H$64+'Assumptions and Catalog'!$E$64+'Assumptions and Catalog'!$F$64,IF(L250&lt;='Assumptions and Catalog'!$C$65,L250*'Assumptions and Catalog'!$H$65+'Assumptions and Catalog'!$E$65+'Assumptions and Catalog'!$F$65,"Out of range")))))))))*(1+'Assumptions and Catalog'!$C$8)^(A250-1),0)</f>
        <v>3453.61</v>
      </c>
      <c r="O250" s="5" t="n">
        <f>M250-N250</f>
        <v>3413.61</v>
      </c>
      <c r="P250" s="5" t="n">
        <f>C$55*(1-J$14)*(1-'Assumptions and Catalog'!$C$23)^R250</f>
        <v>0</v>
      </c>
      <c r="Q250" s="5" t="n">
        <f>IF(ISNUMBER(Inputs!$L$5),(IF(Inputs!$L$9="Actual flat rate",((D250+E250)*C250-G250)*Inputs!$L$10,IF(Inputs!$C$9="Residential",IF(((D250+E250)*C250-G250)&lt;='Assumptions and Catalog'!$C$50,((D250+E250)*C250-G250)*'Assumptions and Catalog'!$H$50+'Assumptions and Catalog'!$E$50+'Assumptions and Catalog'!$F$50,IF(((D250+E250)*C250-G250)&lt;='Assumptions and Catalog'!$C$51,((D250+E250)*C250-G250)*'Assumptions and Catalog'!$H$51+'Assumptions and Catalog'!$E$51+'Assumptions and Catalog'!$F$51,IF(((D250+E250)*C250-G250)&lt;='Assumptions and Catalog'!$C$52,((D250+E250)*C250-G250)*'Assumptions and Catalog'!$H$52+'Assumptions and Catalog'!$E$52+'Assumptions and Catalog'!$F$52,IF(((D250+E250)*C250-G250)&lt;='Assumptions and Catalog'!$C$53,((D250+E250)*C250-G250)*'Assumptions and Catalog'!$H$53+'Assumptions and Catalog'!$E$53+'Assumptions and Catalog'!$F$53,IF(((D250+E250)*C250-G250)&lt;='Assumptions and Catalog'!$C$54,((D250+E250)*C250-G250)*'Assumptions and Catalog'!$H$54+'Assumptions and Catalog'!$E$54+'Assumptions and Catalog'!$F$54,IF(((D250+E250)*C250-G250)&lt;='Assumptions and Catalog'!$C$55,((D250+E250)*C250-G250)*'Assumptions and Catalog'!$H$55+'Assumptions and Catalog'!$E$55+'Assumptions and Catalog'!$F$55,IF(((D250+E250)*C250-G250)&lt;='Assumptions and Catalog'!$C$56,((D250+E250)*C250-G250)*'Assumptions and Catalog'!$H$56+'Assumptions and Catalog'!$E$56+'Assumptions and Catalog'!$F$56,IF(((D250+E250)*C250-G250)&lt;='Assumptions and Catalog'!$C$57,((D250+E250)*C250-G250)*'Assumptions and Catalog'!$H$57+'Assumptions and Catalog'!$E$57+'Assumptions and Catalog'!$F$57,"Out of range")))))))),IF(((D250+E250)*C250-G250)&lt;='Assumptions and Catalog'!$C$60,((D250+E250)*C250-G250)*'Assumptions and Catalog'!$H$60+'Assumptions and Catalog'!$E$60+'Assumptions and Catalog'!$F$60,IF(((D250+E250)*C250-G250)&lt;='Assumptions and Catalog'!$C$61,((D250+E250)*C250-G250)*'Assumptions and Catalog'!$H$61+'Assumptions and Catalog'!$E$61+'Assumptions and Catalog'!$F$61,IF(((D250+E250)*C250-G250)&lt;='Assumptions and Catalog'!$C$62,((D250+E250)*C250-G250)*'Assumptions and Catalog'!$H$62+'Assumptions and Catalog'!$E$62+'Assumptions and Catalog'!$F$62,IF(((D250+E250)*C250-G250)&lt;='Assumptions and Catalog'!$C$63,((D250+E250)*C250-G250)*'Assumptions and Catalog'!$H$63+'Assumptions and Catalog'!$E$63+'Assumptions and Catalog'!$F$63,IF(((D250+E250)*C250-G250)&lt;='Assumptions and Catalog'!$C$64,((D250+E250)*C250-G250)*'Assumptions and Catalog'!$H$64+'Assumptions and Catalog'!$E$64+'Assumptions and Catalog'!$F$64,IF(((D250+E250)*C250-G250)&lt;='Assumptions and Catalog'!$C$65,((D250+E250)*C250-G250)*'Assumptions and Catalog'!$H$65+'Assumptions and Catalog'!$E$65+'Assumptions and Catalog'!$F$65,"Out of range")))))))))*(1+'Assumptions and Catalog'!$C$8)^(A250-1),0)</f>
        <v>3453.61</v>
      </c>
      <c r="R250" s="5" t="n">
        <f>IF(AND('Assumptions and Catalog'!$C$19&gt;0,A250&gt;='Assumptions and Catalog'!$C$19),A250-'Assumptions and Catalog'!$C$19,A250-1)</f>
        <v>7</v>
      </c>
      <c r="S250" s="5" t="n">
        <f>F250+L250-(D250+E250)*C250-J250-K250-0</f>
        <v>0</v>
      </c>
      <c r="T250" s="5"/>
      <c r="U250" s="5"/>
    </row>
    <row r="251" ht="23.100000381469727" customHeight="1">
      <c r="A251" s="5" t="n">
        <v>8</v>
      </c>
      <c r="B251" s="5" t="n">
        <v>7</v>
      </c>
      <c r="C251" s="5" t="n">
        <f>DAY(DATE('Assumptions and Catalog'!$C$24+A251-1,B251+1,0))</f>
        <v>31</v>
      </c>
      <c r="D251" s="5" t="n">
        <f>IF(ISNUMBER(Inputs!$L$5),Inputs!$L$5*Inputs!$L$6,0)</f>
        <v>40.35</v>
      </c>
      <c r="E251" s="5" t="n">
        <f>IF(ISNUMBER(Inputs!$L$5),Inputs!$L$5-D251,0)</f>
        <v>40.35</v>
      </c>
      <c r="F251" s="5" t="n">
        <f>C$51*INDEX('Solar Production'!$D$20:$D$31,B251)*C251*(1-'Assumptions and Catalog'!$C$10)^(A251-1)</f>
        <v>1399.04714139212</v>
      </c>
      <c r="G251" s="5" t="n">
        <f>MIN(F251,D251*C251)</f>
        <v>1250.85</v>
      </c>
      <c r="H251" s="5" t="n">
        <f>I251/('Assumptions and Catalog'!$C$11*'Assumptions and Catalog'!$C$12)</f>
        <v>0</v>
      </c>
      <c r="I251" s="5" t="n">
        <f>0</f>
        <v>0</v>
      </c>
      <c r="J251" s="5" t="n">
        <f>MAX(F251-G251-H251,0)</f>
        <v>148.197141392117</v>
      </c>
      <c r="K251" s="5" t="n">
        <f>H251-I251</f>
        <v>0</v>
      </c>
      <c r="L251" s="5" t="n">
        <f>(D251+E251)*C251-G251-I251+0+0</f>
        <v>1250.85</v>
      </c>
      <c r="M251" s="5" t="n">
        <f>IF(ISNUMBER(Inputs!$L$5),(IF(Inputs!$L$9="Actual flat rate",((D251+E251)*C251)*Inputs!$L$10,IF(Inputs!$C$9="Residential",IF(((D251+E251)*C251)&lt;='Assumptions and Catalog'!$C$50,((D251+E251)*C251)*'Assumptions and Catalog'!$H$50+'Assumptions and Catalog'!$E$50+'Assumptions and Catalog'!$F$50,IF(((D251+E251)*C251)&lt;='Assumptions and Catalog'!$C$51,((D251+E251)*C251)*'Assumptions and Catalog'!$H$51+'Assumptions and Catalog'!$E$51+'Assumptions and Catalog'!$F$51,IF(((D251+E251)*C251)&lt;='Assumptions and Catalog'!$C$52,((D251+E251)*C251)*'Assumptions and Catalog'!$H$52+'Assumptions and Catalog'!$E$52+'Assumptions and Catalog'!$F$52,IF(((D251+E251)*C251)&lt;='Assumptions and Catalog'!$C$53,((D251+E251)*C251)*'Assumptions and Catalog'!$H$53+'Assumptions and Catalog'!$E$53+'Assumptions and Catalog'!$F$53,IF(((D251+E251)*C251)&lt;='Assumptions and Catalog'!$C$54,((D251+E251)*C251)*'Assumptions and Catalog'!$H$54+'Assumptions and Catalog'!$E$54+'Assumptions and Catalog'!$F$54,IF(((D251+E251)*C251)&lt;='Assumptions and Catalog'!$C$55,((D251+E251)*C251)*'Assumptions and Catalog'!$H$55+'Assumptions and Catalog'!$E$55+'Assumptions and Catalog'!$F$55,IF(((D251+E251)*C251)&lt;='Assumptions and Catalog'!$C$56,((D251+E251)*C251)*'Assumptions and Catalog'!$H$56+'Assumptions and Catalog'!$E$56+'Assumptions and Catalog'!$F$56,IF(((D251+E251)*C251)&lt;='Assumptions and Catalog'!$C$57,((D251+E251)*C251)*'Assumptions and Catalog'!$H$57+'Assumptions and Catalog'!$E$57+'Assumptions and Catalog'!$F$57,"Out of range")))))))),IF(((D251+E251)*C251)&lt;='Assumptions and Catalog'!$C$60,((D251+E251)*C251)*'Assumptions and Catalog'!$H$60+'Assumptions and Catalog'!$E$60+'Assumptions and Catalog'!$F$60,IF(((D251+E251)*C251)&lt;='Assumptions and Catalog'!$C$61,((D251+E251)*C251)*'Assumptions and Catalog'!$H$61+'Assumptions and Catalog'!$E$61+'Assumptions and Catalog'!$F$61,IF(((D251+E251)*C251)&lt;='Assumptions and Catalog'!$C$62,((D251+E251)*C251)*'Assumptions and Catalog'!$H$62+'Assumptions and Catalog'!$E$62+'Assumptions and Catalog'!$F$62,IF(((D251+E251)*C251)&lt;='Assumptions and Catalog'!$C$63,((D251+E251)*C251)*'Assumptions and Catalog'!$H$63+'Assumptions and Catalog'!$E$63+'Assumptions and Catalog'!$F$63,IF(((D251+E251)*C251)&lt;='Assumptions and Catalog'!$C$64,((D251+E251)*C251)*'Assumptions and Catalog'!$H$64+'Assumptions and Catalog'!$E$64+'Assumptions and Catalog'!$F$64,IF(((D251+E251)*C251)&lt;='Assumptions and Catalog'!$C$65,((D251+E251)*C251)*'Assumptions and Catalog'!$H$65+'Assumptions and Catalog'!$E$65+'Assumptions and Catalog'!$F$65,"Out of range")))))))))*(1+'Assumptions and Catalog'!$C$8)^(A251-1),0)</f>
        <v>7094.794</v>
      </c>
      <c r="N251" s="5" t="n">
        <f>IF(ISNUMBER(Inputs!$L$5),(IF(Inputs!$L$9="Actual flat rate",L251*Inputs!$L$10,IF(Inputs!$C$9="Residential",IF(L251&lt;='Assumptions and Catalog'!$C$50,L251*'Assumptions and Catalog'!$H$50+'Assumptions and Catalog'!$E$50+'Assumptions and Catalog'!$F$50,IF(L251&lt;='Assumptions and Catalog'!$C$51,L251*'Assumptions and Catalog'!$H$51+'Assumptions and Catalog'!$E$51+'Assumptions and Catalog'!$F$51,IF(L251&lt;='Assumptions and Catalog'!$C$52,L251*'Assumptions and Catalog'!$H$52+'Assumptions and Catalog'!$E$52+'Assumptions and Catalog'!$F$52,IF(L251&lt;='Assumptions and Catalog'!$C$53,L251*'Assumptions and Catalog'!$H$53+'Assumptions and Catalog'!$E$53+'Assumptions and Catalog'!$F$53,IF(L251&lt;='Assumptions and Catalog'!$C$54,L251*'Assumptions and Catalog'!$H$54+'Assumptions and Catalog'!$E$54+'Assumptions and Catalog'!$F$54,IF(L251&lt;='Assumptions and Catalog'!$C$55,L251*'Assumptions and Catalog'!$H$55+'Assumptions and Catalog'!$E$55+'Assumptions and Catalog'!$F$55,IF(L251&lt;='Assumptions and Catalog'!$C$56,L251*'Assumptions and Catalog'!$H$56+'Assumptions and Catalog'!$E$56+'Assumptions and Catalog'!$F$56,IF(L251&lt;='Assumptions and Catalog'!$C$57,L251*'Assumptions and Catalog'!$H$57+'Assumptions and Catalog'!$E$57+'Assumptions and Catalog'!$F$57,"Out of range")))))))),IF(L251&lt;='Assumptions and Catalog'!$C$60,L251*'Assumptions and Catalog'!$H$60+'Assumptions and Catalog'!$E$60+'Assumptions and Catalog'!$F$60,IF(L251&lt;='Assumptions and Catalog'!$C$61,L251*'Assumptions and Catalog'!$H$61+'Assumptions and Catalog'!$E$61+'Assumptions and Catalog'!$F$61,IF(L251&lt;='Assumptions and Catalog'!$C$62,L251*'Assumptions and Catalog'!$H$62+'Assumptions and Catalog'!$E$62+'Assumptions and Catalog'!$F$62,IF(L251&lt;='Assumptions and Catalog'!$C$63,L251*'Assumptions and Catalog'!$H$63+'Assumptions and Catalog'!$E$63+'Assumptions and Catalog'!$F$63,IF(L251&lt;='Assumptions and Catalog'!$C$64,L251*'Assumptions and Catalog'!$H$64+'Assumptions and Catalog'!$E$64+'Assumptions and Catalog'!$F$64,IF(L251&lt;='Assumptions and Catalog'!$C$65,L251*'Assumptions and Catalog'!$H$65+'Assumptions and Catalog'!$E$65+'Assumptions and Catalog'!$F$65,"Out of range")))))))))*(1+'Assumptions and Catalog'!$C$8)^(A251-1),0)</f>
        <v>3567.397</v>
      </c>
      <c r="O251" s="5" t="n">
        <f>M251-N251</f>
        <v>3527.397</v>
      </c>
      <c r="P251" s="5" t="n">
        <f>C$55*(1-J$14)*(1-'Assumptions and Catalog'!$C$23)^R251</f>
        <v>0</v>
      </c>
      <c r="Q251" s="5" t="n">
        <f>IF(ISNUMBER(Inputs!$L$5),(IF(Inputs!$L$9="Actual flat rate",((D251+E251)*C251-G251)*Inputs!$L$10,IF(Inputs!$C$9="Residential",IF(((D251+E251)*C251-G251)&lt;='Assumptions and Catalog'!$C$50,((D251+E251)*C251-G251)*'Assumptions and Catalog'!$H$50+'Assumptions and Catalog'!$E$50+'Assumptions and Catalog'!$F$50,IF(((D251+E251)*C251-G251)&lt;='Assumptions and Catalog'!$C$51,((D251+E251)*C251-G251)*'Assumptions and Catalog'!$H$51+'Assumptions and Catalog'!$E$51+'Assumptions and Catalog'!$F$51,IF(((D251+E251)*C251-G251)&lt;='Assumptions and Catalog'!$C$52,((D251+E251)*C251-G251)*'Assumptions and Catalog'!$H$52+'Assumptions and Catalog'!$E$52+'Assumptions and Catalog'!$F$52,IF(((D251+E251)*C251-G251)&lt;='Assumptions and Catalog'!$C$53,((D251+E251)*C251-G251)*'Assumptions and Catalog'!$H$53+'Assumptions and Catalog'!$E$53+'Assumptions and Catalog'!$F$53,IF(((D251+E251)*C251-G251)&lt;='Assumptions and Catalog'!$C$54,((D251+E251)*C251-G251)*'Assumptions and Catalog'!$H$54+'Assumptions and Catalog'!$E$54+'Assumptions and Catalog'!$F$54,IF(((D251+E251)*C251-G251)&lt;='Assumptions and Catalog'!$C$55,((D251+E251)*C251-G251)*'Assumptions and Catalog'!$H$55+'Assumptions and Catalog'!$E$55+'Assumptions and Catalog'!$F$55,IF(((D251+E251)*C251-G251)&lt;='Assumptions and Catalog'!$C$56,((D251+E251)*C251-G251)*'Assumptions and Catalog'!$H$56+'Assumptions and Catalog'!$E$56+'Assumptions and Catalog'!$F$56,IF(((D251+E251)*C251-G251)&lt;='Assumptions and Catalog'!$C$57,((D251+E251)*C251-G251)*'Assumptions and Catalog'!$H$57+'Assumptions and Catalog'!$E$57+'Assumptions and Catalog'!$F$57,"Out of range")))))))),IF(((D251+E251)*C251-G251)&lt;='Assumptions and Catalog'!$C$60,((D251+E251)*C251-G251)*'Assumptions and Catalog'!$H$60+'Assumptions and Catalog'!$E$60+'Assumptions and Catalog'!$F$60,IF(((D251+E251)*C251-G251)&lt;='Assumptions and Catalog'!$C$61,((D251+E251)*C251-G251)*'Assumptions and Catalog'!$H$61+'Assumptions and Catalog'!$E$61+'Assumptions and Catalog'!$F$61,IF(((D251+E251)*C251-G251)&lt;='Assumptions and Catalog'!$C$62,((D251+E251)*C251-G251)*'Assumptions and Catalog'!$H$62+'Assumptions and Catalog'!$E$62+'Assumptions and Catalog'!$F$62,IF(((D251+E251)*C251-G251)&lt;='Assumptions and Catalog'!$C$63,((D251+E251)*C251-G251)*'Assumptions and Catalog'!$H$63+'Assumptions and Catalog'!$E$63+'Assumptions and Catalog'!$F$63,IF(((D251+E251)*C251-G251)&lt;='Assumptions and Catalog'!$C$64,((D251+E251)*C251-G251)*'Assumptions and Catalog'!$H$64+'Assumptions and Catalog'!$E$64+'Assumptions and Catalog'!$F$64,IF(((D251+E251)*C251-G251)&lt;='Assumptions and Catalog'!$C$65,((D251+E251)*C251-G251)*'Assumptions and Catalog'!$H$65+'Assumptions and Catalog'!$E$65+'Assumptions and Catalog'!$F$65,"Out of range")))))))))*(1+'Assumptions and Catalog'!$C$8)^(A251-1),0)</f>
        <v>3567.397</v>
      </c>
      <c r="R251" s="5" t="n">
        <f>IF(AND('Assumptions and Catalog'!$C$19&gt;0,A251&gt;='Assumptions and Catalog'!$C$19),A251-'Assumptions and Catalog'!$C$19,A251-1)</f>
        <v>7</v>
      </c>
      <c r="S251" s="5" t="n">
        <f>F251+L251-(D251+E251)*C251-J251-K251-0</f>
        <v>0</v>
      </c>
      <c r="T251" s="5"/>
      <c r="U251" s="5"/>
    </row>
    <row r="252" ht="23.100000381469727" customHeight="1">
      <c r="A252" s="5" t="n">
        <v>8</v>
      </c>
      <c r="B252" s="5" t="n">
        <v>8</v>
      </c>
      <c r="C252" s="5" t="n">
        <f>DAY(DATE('Assumptions and Catalog'!$C$24+A252-1,B252+1,0))</f>
        <v>31</v>
      </c>
      <c r="D252" s="5" t="n">
        <f>IF(ISNUMBER(Inputs!$L$5),Inputs!$L$5*Inputs!$L$6,0)</f>
        <v>40.35</v>
      </c>
      <c r="E252" s="5" t="n">
        <f>IF(ISNUMBER(Inputs!$L$5),Inputs!$L$5-D252,0)</f>
        <v>40.35</v>
      </c>
      <c r="F252" s="5" t="n">
        <f>C$51*INDEX('Solar Production'!$D$20:$D$31,B252)*C252*(1-'Assumptions and Catalog'!$C$10)^(A252-1)</f>
        <v>1417.22982621283</v>
      </c>
      <c r="G252" s="5" t="n">
        <f>MIN(F252,D252*C252)</f>
        <v>1250.85</v>
      </c>
      <c r="H252" s="5" t="n">
        <f>I252/('Assumptions and Catalog'!$C$11*'Assumptions and Catalog'!$C$12)</f>
        <v>0</v>
      </c>
      <c r="I252" s="5" t="n">
        <f>0</f>
        <v>0</v>
      </c>
      <c r="J252" s="5" t="n">
        <f>MAX(F252-G252-H252,0)</f>
        <v>166.379826212834</v>
      </c>
      <c r="K252" s="5" t="n">
        <f>H252-I252</f>
        <v>0</v>
      </c>
      <c r="L252" s="5" t="n">
        <f>(D252+E252)*C252-G252-I252+0+0</f>
        <v>1250.85</v>
      </c>
      <c r="M252" s="5" t="n">
        <f>IF(ISNUMBER(Inputs!$L$5),(IF(Inputs!$L$9="Actual flat rate",((D252+E252)*C252)*Inputs!$L$10,IF(Inputs!$C$9="Residential",IF(((D252+E252)*C252)&lt;='Assumptions and Catalog'!$C$50,((D252+E252)*C252)*'Assumptions and Catalog'!$H$50+'Assumptions and Catalog'!$E$50+'Assumptions and Catalog'!$F$50,IF(((D252+E252)*C252)&lt;='Assumptions and Catalog'!$C$51,((D252+E252)*C252)*'Assumptions and Catalog'!$H$51+'Assumptions and Catalog'!$E$51+'Assumptions and Catalog'!$F$51,IF(((D252+E252)*C252)&lt;='Assumptions and Catalog'!$C$52,((D252+E252)*C252)*'Assumptions and Catalog'!$H$52+'Assumptions and Catalog'!$E$52+'Assumptions and Catalog'!$F$52,IF(((D252+E252)*C252)&lt;='Assumptions and Catalog'!$C$53,((D252+E252)*C252)*'Assumptions and Catalog'!$H$53+'Assumptions and Catalog'!$E$53+'Assumptions and Catalog'!$F$53,IF(((D252+E252)*C252)&lt;='Assumptions and Catalog'!$C$54,((D252+E252)*C252)*'Assumptions and Catalog'!$H$54+'Assumptions and Catalog'!$E$54+'Assumptions and Catalog'!$F$54,IF(((D252+E252)*C252)&lt;='Assumptions and Catalog'!$C$55,((D252+E252)*C252)*'Assumptions and Catalog'!$H$55+'Assumptions and Catalog'!$E$55+'Assumptions and Catalog'!$F$55,IF(((D252+E252)*C252)&lt;='Assumptions and Catalog'!$C$56,((D252+E252)*C252)*'Assumptions and Catalog'!$H$56+'Assumptions and Catalog'!$E$56+'Assumptions and Catalog'!$F$56,IF(((D252+E252)*C252)&lt;='Assumptions and Catalog'!$C$57,((D252+E252)*C252)*'Assumptions and Catalog'!$H$57+'Assumptions and Catalog'!$E$57+'Assumptions and Catalog'!$F$57,"Out of range")))))))),IF(((D252+E252)*C252)&lt;='Assumptions and Catalog'!$C$60,((D252+E252)*C252)*'Assumptions and Catalog'!$H$60+'Assumptions and Catalog'!$E$60+'Assumptions and Catalog'!$F$60,IF(((D252+E252)*C252)&lt;='Assumptions and Catalog'!$C$61,((D252+E252)*C252)*'Assumptions and Catalog'!$H$61+'Assumptions and Catalog'!$E$61+'Assumptions and Catalog'!$F$61,IF(((D252+E252)*C252)&lt;='Assumptions and Catalog'!$C$62,((D252+E252)*C252)*'Assumptions and Catalog'!$H$62+'Assumptions and Catalog'!$E$62+'Assumptions and Catalog'!$F$62,IF(((D252+E252)*C252)&lt;='Assumptions and Catalog'!$C$63,((D252+E252)*C252)*'Assumptions and Catalog'!$H$63+'Assumptions and Catalog'!$E$63+'Assumptions and Catalog'!$F$63,IF(((D252+E252)*C252)&lt;='Assumptions and Catalog'!$C$64,((D252+E252)*C252)*'Assumptions and Catalog'!$H$64+'Assumptions and Catalog'!$E$64+'Assumptions and Catalog'!$F$64,IF(((D252+E252)*C252)&lt;='Assumptions and Catalog'!$C$65,((D252+E252)*C252)*'Assumptions and Catalog'!$H$65+'Assumptions and Catalog'!$E$65+'Assumptions and Catalog'!$F$65,"Out of range")))))))))*(1+'Assumptions and Catalog'!$C$8)^(A252-1),0)</f>
        <v>7094.794</v>
      </c>
      <c r="N252" s="5" t="n">
        <f>IF(ISNUMBER(Inputs!$L$5),(IF(Inputs!$L$9="Actual flat rate",L252*Inputs!$L$10,IF(Inputs!$C$9="Residential",IF(L252&lt;='Assumptions and Catalog'!$C$50,L252*'Assumptions and Catalog'!$H$50+'Assumptions and Catalog'!$E$50+'Assumptions and Catalog'!$F$50,IF(L252&lt;='Assumptions and Catalog'!$C$51,L252*'Assumptions and Catalog'!$H$51+'Assumptions and Catalog'!$E$51+'Assumptions and Catalog'!$F$51,IF(L252&lt;='Assumptions and Catalog'!$C$52,L252*'Assumptions and Catalog'!$H$52+'Assumptions and Catalog'!$E$52+'Assumptions and Catalog'!$F$52,IF(L252&lt;='Assumptions and Catalog'!$C$53,L252*'Assumptions and Catalog'!$H$53+'Assumptions and Catalog'!$E$53+'Assumptions and Catalog'!$F$53,IF(L252&lt;='Assumptions and Catalog'!$C$54,L252*'Assumptions and Catalog'!$H$54+'Assumptions and Catalog'!$E$54+'Assumptions and Catalog'!$F$54,IF(L252&lt;='Assumptions and Catalog'!$C$55,L252*'Assumptions and Catalog'!$H$55+'Assumptions and Catalog'!$E$55+'Assumptions and Catalog'!$F$55,IF(L252&lt;='Assumptions and Catalog'!$C$56,L252*'Assumptions and Catalog'!$H$56+'Assumptions and Catalog'!$E$56+'Assumptions and Catalog'!$F$56,IF(L252&lt;='Assumptions and Catalog'!$C$57,L252*'Assumptions and Catalog'!$H$57+'Assumptions and Catalog'!$E$57+'Assumptions and Catalog'!$F$57,"Out of range")))))))),IF(L252&lt;='Assumptions and Catalog'!$C$60,L252*'Assumptions and Catalog'!$H$60+'Assumptions and Catalog'!$E$60+'Assumptions and Catalog'!$F$60,IF(L252&lt;='Assumptions and Catalog'!$C$61,L252*'Assumptions and Catalog'!$H$61+'Assumptions and Catalog'!$E$61+'Assumptions and Catalog'!$F$61,IF(L252&lt;='Assumptions and Catalog'!$C$62,L252*'Assumptions and Catalog'!$H$62+'Assumptions and Catalog'!$E$62+'Assumptions and Catalog'!$F$62,IF(L252&lt;='Assumptions and Catalog'!$C$63,L252*'Assumptions and Catalog'!$H$63+'Assumptions and Catalog'!$E$63+'Assumptions and Catalog'!$F$63,IF(L252&lt;='Assumptions and Catalog'!$C$64,L252*'Assumptions and Catalog'!$H$64+'Assumptions and Catalog'!$E$64+'Assumptions and Catalog'!$F$64,IF(L252&lt;='Assumptions and Catalog'!$C$65,L252*'Assumptions and Catalog'!$H$65+'Assumptions and Catalog'!$E$65+'Assumptions and Catalog'!$F$65,"Out of range")))))))))*(1+'Assumptions and Catalog'!$C$8)^(A252-1),0)</f>
        <v>3567.397</v>
      </c>
      <c r="O252" s="5" t="n">
        <f>M252-N252</f>
        <v>3527.397</v>
      </c>
      <c r="P252" s="5" t="n">
        <f>C$55*(1-J$14)*(1-'Assumptions and Catalog'!$C$23)^R252</f>
        <v>0</v>
      </c>
      <c r="Q252" s="5" t="n">
        <f>IF(ISNUMBER(Inputs!$L$5),(IF(Inputs!$L$9="Actual flat rate",((D252+E252)*C252-G252)*Inputs!$L$10,IF(Inputs!$C$9="Residential",IF(((D252+E252)*C252-G252)&lt;='Assumptions and Catalog'!$C$50,((D252+E252)*C252-G252)*'Assumptions and Catalog'!$H$50+'Assumptions and Catalog'!$E$50+'Assumptions and Catalog'!$F$50,IF(((D252+E252)*C252-G252)&lt;='Assumptions and Catalog'!$C$51,((D252+E252)*C252-G252)*'Assumptions and Catalog'!$H$51+'Assumptions and Catalog'!$E$51+'Assumptions and Catalog'!$F$51,IF(((D252+E252)*C252-G252)&lt;='Assumptions and Catalog'!$C$52,((D252+E252)*C252-G252)*'Assumptions and Catalog'!$H$52+'Assumptions and Catalog'!$E$52+'Assumptions and Catalog'!$F$52,IF(((D252+E252)*C252-G252)&lt;='Assumptions and Catalog'!$C$53,((D252+E252)*C252-G252)*'Assumptions and Catalog'!$H$53+'Assumptions and Catalog'!$E$53+'Assumptions and Catalog'!$F$53,IF(((D252+E252)*C252-G252)&lt;='Assumptions and Catalog'!$C$54,((D252+E252)*C252-G252)*'Assumptions and Catalog'!$H$54+'Assumptions and Catalog'!$E$54+'Assumptions and Catalog'!$F$54,IF(((D252+E252)*C252-G252)&lt;='Assumptions and Catalog'!$C$55,((D252+E252)*C252-G252)*'Assumptions and Catalog'!$H$55+'Assumptions and Catalog'!$E$55+'Assumptions and Catalog'!$F$55,IF(((D252+E252)*C252-G252)&lt;='Assumptions and Catalog'!$C$56,((D252+E252)*C252-G252)*'Assumptions and Catalog'!$H$56+'Assumptions and Catalog'!$E$56+'Assumptions and Catalog'!$F$56,IF(((D252+E252)*C252-G252)&lt;='Assumptions and Catalog'!$C$57,((D252+E252)*C252-G252)*'Assumptions and Catalog'!$H$57+'Assumptions and Catalog'!$E$57+'Assumptions and Catalog'!$F$57,"Out of range")))))))),IF(((D252+E252)*C252-G252)&lt;='Assumptions and Catalog'!$C$60,((D252+E252)*C252-G252)*'Assumptions and Catalog'!$H$60+'Assumptions and Catalog'!$E$60+'Assumptions and Catalog'!$F$60,IF(((D252+E252)*C252-G252)&lt;='Assumptions and Catalog'!$C$61,((D252+E252)*C252-G252)*'Assumptions and Catalog'!$H$61+'Assumptions and Catalog'!$E$61+'Assumptions and Catalog'!$F$61,IF(((D252+E252)*C252-G252)&lt;='Assumptions and Catalog'!$C$62,((D252+E252)*C252-G252)*'Assumptions and Catalog'!$H$62+'Assumptions and Catalog'!$E$62+'Assumptions and Catalog'!$F$62,IF(((D252+E252)*C252-G252)&lt;='Assumptions and Catalog'!$C$63,((D252+E252)*C252-G252)*'Assumptions and Catalog'!$H$63+'Assumptions and Catalog'!$E$63+'Assumptions and Catalog'!$F$63,IF(((D252+E252)*C252-G252)&lt;='Assumptions and Catalog'!$C$64,((D252+E252)*C252-G252)*'Assumptions and Catalog'!$H$64+'Assumptions and Catalog'!$E$64+'Assumptions and Catalog'!$F$64,IF(((D252+E252)*C252-G252)&lt;='Assumptions and Catalog'!$C$65,((D252+E252)*C252-G252)*'Assumptions and Catalog'!$H$65+'Assumptions and Catalog'!$E$65+'Assumptions and Catalog'!$F$65,"Out of range")))))))))*(1+'Assumptions and Catalog'!$C$8)^(A252-1),0)</f>
        <v>3567.397</v>
      </c>
      <c r="R252" s="5" t="n">
        <f>IF(AND('Assumptions and Catalog'!$C$19&gt;0,A252&gt;='Assumptions and Catalog'!$C$19),A252-'Assumptions and Catalog'!$C$19,A252-1)</f>
        <v>7</v>
      </c>
      <c r="S252" s="5" t="n">
        <f>F252+L252-(D252+E252)*C252-J252-K252-0</f>
        <v>0</v>
      </c>
      <c r="T252" s="5"/>
      <c r="U252" s="5"/>
    </row>
    <row r="253" ht="23.100000381469727" customHeight="1">
      <c r="A253" s="5" t="n">
        <v>8</v>
      </c>
      <c r="B253" s="5" t="n">
        <v>9</v>
      </c>
      <c r="C253" s="5" t="n">
        <f>DAY(DATE('Assumptions and Catalog'!$C$24+A253-1,B253+1,0))</f>
        <v>30</v>
      </c>
      <c r="D253" s="5" t="n">
        <f>IF(ISNUMBER(Inputs!$L$5),Inputs!$L$5*Inputs!$L$6,0)</f>
        <v>40.35</v>
      </c>
      <c r="E253" s="5" t="n">
        <f>IF(ISNUMBER(Inputs!$L$5),Inputs!$L$5-D253,0)</f>
        <v>40.35</v>
      </c>
      <c r="F253" s="5" t="n">
        <f>C$51*INDEX('Solar Production'!$D$20:$D$31,B253)*C253*(1-'Assumptions and Catalog'!$C$10)^(A253-1)</f>
        <v>1367.94965239968</v>
      </c>
      <c r="G253" s="5" t="n">
        <f>MIN(F253,D253*C253)</f>
        <v>1210.5</v>
      </c>
      <c r="H253" s="5" t="n">
        <f>I253/('Assumptions and Catalog'!$C$11*'Assumptions and Catalog'!$C$12)</f>
        <v>0</v>
      </c>
      <c r="I253" s="5" t="n">
        <f>0</f>
        <v>0</v>
      </c>
      <c r="J253" s="5" t="n">
        <f>MAX(F253-G253-H253,0)</f>
        <v>157.449652399677</v>
      </c>
      <c r="K253" s="5" t="n">
        <f>H253-I253</f>
        <v>0</v>
      </c>
      <c r="L253" s="5" t="n">
        <f>(D253+E253)*C253-G253-I253+0+0</f>
        <v>1210.5</v>
      </c>
      <c r="M253" s="5" t="n">
        <f>IF(ISNUMBER(Inputs!$L$5),(IF(Inputs!$L$9="Actual flat rate",((D253+E253)*C253)*Inputs!$L$10,IF(Inputs!$C$9="Residential",IF(((D253+E253)*C253)&lt;='Assumptions and Catalog'!$C$50,((D253+E253)*C253)*'Assumptions and Catalog'!$H$50+'Assumptions and Catalog'!$E$50+'Assumptions and Catalog'!$F$50,IF(((D253+E253)*C253)&lt;='Assumptions and Catalog'!$C$51,((D253+E253)*C253)*'Assumptions and Catalog'!$H$51+'Assumptions and Catalog'!$E$51+'Assumptions and Catalog'!$F$51,IF(((D253+E253)*C253)&lt;='Assumptions and Catalog'!$C$52,((D253+E253)*C253)*'Assumptions and Catalog'!$H$52+'Assumptions and Catalog'!$E$52+'Assumptions and Catalog'!$F$52,IF(((D253+E253)*C253)&lt;='Assumptions and Catalog'!$C$53,((D253+E253)*C253)*'Assumptions and Catalog'!$H$53+'Assumptions and Catalog'!$E$53+'Assumptions and Catalog'!$F$53,IF(((D253+E253)*C253)&lt;='Assumptions and Catalog'!$C$54,((D253+E253)*C253)*'Assumptions and Catalog'!$H$54+'Assumptions and Catalog'!$E$54+'Assumptions and Catalog'!$F$54,IF(((D253+E253)*C253)&lt;='Assumptions and Catalog'!$C$55,((D253+E253)*C253)*'Assumptions and Catalog'!$H$55+'Assumptions and Catalog'!$E$55+'Assumptions and Catalog'!$F$55,IF(((D253+E253)*C253)&lt;='Assumptions and Catalog'!$C$56,((D253+E253)*C253)*'Assumptions and Catalog'!$H$56+'Assumptions and Catalog'!$E$56+'Assumptions and Catalog'!$F$56,IF(((D253+E253)*C253)&lt;='Assumptions and Catalog'!$C$57,((D253+E253)*C253)*'Assumptions and Catalog'!$H$57+'Assumptions and Catalog'!$E$57+'Assumptions and Catalog'!$F$57,"Out of range")))))))),IF(((D253+E253)*C253)&lt;='Assumptions and Catalog'!$C$60,((D253+E253)*C253)*'Assumptions and Catalog'!$H$60+'Assumptions and Catalog'!$E$60+'Assumptions and Catalog'!$F$60,IF(((D253+E253)*C253)&lt;='Assumptions and Catalog'!$C$61,((D253+E253)*C253)*'Assumptions and Catalog'!$H$61+'Assumptions and Catalog'!$E$61+'Assumptions and Catalog'!$F$61,IF(((D253+E253)*C253)&lt;='Assumptions and Catalog'!$C$62,((D253+E253)*C253)*'Assumptions and Catalog'!$H$62+'Assumptions and Catalog'!$E$62+'Assumptions and Catalog'!$F$62,IF(((D253+E253)*C253)&lt;='Assumptions and Catalog'!$C$63,((D253+E253)*C253)*'Assumptions and Catalog'!$H$63+'Assumptions and Catalog'!$E$63+'Assumptions and Catalog'!$F$63,IF(((D253+E253)*C253)&lt;='Assumptions and Catalog'!$C$64,((D253+E253)*C253)*'Assumptions and Catalog'!$H$64+'Assumptions and Catalog'!$E$64+'Assumptions and Catalog'!$F$64,IF(((D253+E253)*C253)&lt;='Assumptions and Catalog'!$C$65,((D253+E253)*C253)*'Assumptions and Catalog'!$H$65+'Assumptions and Catalog'!$E$65+'Assumptions and Catalog'!$F$65,"Out of range")))))))))*(1+'Assumptions and Catalog'!$C$8)^(A253-1),0)</f>
        <v>6867.22</v>
      </c>
      <c r="N253" s="5" t="n">
        <f>IF(ISNUMBER(Inputs!$L$5),(IF(Inputs!$L$9="Actual flat rate",L253*Inputs!$L$10,IF(Inputs!$C$9="Residential",IF(L253&lt;='Assumptions and Catalog'!$C$50,L253*'Assumptions and Catalog'!$H$50+'Assumptions and Catalog'!$E$50+'Assumptions and Catalog'!$F$50,IF(L253&lt;='Assumptions and Catalog'!$C$51,L253*'Assumptions and Catalog'!$H$51+'Assumptions and Catalog'!$E$51+'Assumptions and Catalog'!$F$51,IF(L253&lt;='Assumptions and Catalog'!$C$52,L253*'Assumptions and Catalog'!$H$52+'Assumptions and Catalog'!$E$52+'Assumptions and Catalog'!$F$52,IF(L253&lt;='Assumptions and Catalog'!$C$53,L253*'Assumptions and Catalog'!$H$53+'Assumptions and Catalog'!$E$53+'Assumptions and Catalog'!$F$53,IF(L253&lt;='Assumptions and Catalog'!$C$54,L253*'Assumptions and Catalog'!$H$54+'Assumptions and Catalog'!$E$54+'Assumptions and Catalog'!$F$54,IF(L253&lt;='Assumptions and Catalog'!$C$55,L253*'Assumptions and Catalog'!$H$55+'Assumptions and Catalog'!$E$55+'Assumptions and Catalog'!$F$55,IF(L253&lt;='Assumptions and Catalog'!$C$56,L253*'Assumptions and Catalog'!$H$56+'Assumptions and Catalog'!$E$56+'Assumptions and Catalog'!$F$56,IF(L253&lt;='Assumptions and Catalog'!$C$57,L253*'Assumptions and Catalog'!$H$57+'Assumptions and Catalog'!$E$57+'Assumptions and Catalog'!$F$57,"Out of range")))))))),IF(L253&lt;='Assumptions and Catalog'!$C$60,L253*'Assumptions and Catalog'!$H$60+'Assumptions and Catalog'!$E$60+'Assumptions and Catalog'!$F$60,IF(L253&lt;='Assumptions and Catalog'!$C$61,L253*'Assumptions and Catalog'!$H$61+'Assumptions and Catalog'!$E$61+'Assumptions and Catalog'!$F$61,IF(L253&lt;='Assumptions and Catalog'!$C$62,L253*'Assumptions and Catalog'!$H$62+'Assumptions and Catalog'!$E$62+'Assumptions and Catalog'!$F$62,IF(L253&lt;='Assumptions and Catalog'!$C$63,L253*'Assumptions and Catalog'!$H$63+'Assumptions and Catalog'!$E$63+'Assumptions and Catalog'!$F$63,IF(L253&lt;='Assumptions and Catalog'!$C$64,L253*'Assumptions and Catalog'!$H$64+'Assumptions and Catalog'!$E$64+'Assumptions and Catalog'!$F$64,IF(L253&lt;='Assumptions and Catalog'!$C$65,L253*'Assumptions and Catalog'!$H$65+'Assumptions and Catalog'!$E$65+'Assumptions and Catalog'!$F$65,"Out of range")))))))))*(1+'Assumptions and Catalog'!$C$8)^(A253-1),0)</f>
        <v>3453.61</v>
      </c>
      <c r="O253" s="5" t="n">
        <f>M253-N253</f>
        <v>3413.61</v>
      </c>
      <c r="P253" s="5" t="n">
        <f>C$55*(1-J$14)*(1-'Assumptions and Catalog'!$C$23)^R253</f>
        <v>0</v>
      </c>
      <c r="Q253" s="5" t="n">
        <f>IF(ISNUMBER(Inputs!$L$5),(IF(Inputs!$L$9="Actual flat rate",((D253+E253)*C253-G253)*Inputs!$L$10,IF(Inputs!$C$9="Residential",IF(((D253+E253)*C253-G253)&lt;='Assumptions and Catalog'!$C$50,((D253+E253)*C253-G253)*'Assumptions and Catalog'!$H$50+'Assumptions and Catalog'!$E$50+'Assumptions and Catalog'!$F$50,IF(((D253+E253)*C253-G253)&lt;='Assumptions and Catalog'!$C$51,((D253+E253)*C253-G253)*'Assumptions and Catalog'!$H$51+'Assumptions and Catalog'!$E$51+'Assumptions and Catalog'!$F$51,IF(((D253+E253)*C253-G253)&lt;='Assumptions and Catalog'!$C$52,((D253+E253)*C253-G253)*'Assumptions and Catalog'!$H$52+'Assumptions and Catalog'!$E$52+'Assumptions and Catalog'!$F$52,IF(((D253+E253)*C253-G253)&lt;='Assumptions and Catalog'!$C$53,((D253+E253)*C253-G253)*'Assumptions and Catalog'!$H$53+'Assumptions and Catalog'!$E$53+'Assumptions and Catalog'!$F$53,IF(((D253+E253)*C253-G253)&lt;='Assumptions and Catalog'!$C$54,((D253+E253)*C253-G253)*'Assumptions and Catalog'!$H$54+'Assumptions and Catalog'!$E$54+'Assumptions and Catalog'!$F$54,IF(((D253+E253)*C253-G253)&lt;='Assumptions and Catalog'!$C$55,((D253+E253)*C253-G253)*'Assumptions and Catalog'!$H$55+'Assumptions and Catalog'!$E$55+'Assumptions and Catalog'!$F$55,IF(((D253+E253)*C253-G253)&lt;='Assumptions and Catalog'!$C$56,((D253+E253)*C253-G253)*'Assumptions and Catalog'!$H$56+'Assumptions and Catalog'!$E$56+'Assumptions and Catalog'!$F$56,IF(((D253+E253)*C253-G253)&lt;='Assumptions and Catalog'!$C$57,((D253+E253)*C253-G253)*'Assumptions and Catalog'!$H$57+'Assumptions and Catalog'!$E$57+'Assumptions and Catalog'!$F$57,"Out of range")))))))),IF(((D253+E253)*C253-G253)&lt;='Assumptions and Catalog'!$C$60,((D253+E253)*C253-G253)*'Assumptions and Catalog'!$H$60+'Assumptions and Catalog'!$E$60+'Assumptions and Catalog'!$F$60,IF(((D253+E253)*C253-G253)&lt;='Assumptions and Catalog'!$C$61,((D253+E253)*C253-G253)*'Assumptions and Catalog'!$H$61+'Assumptions and Catalog'!$E$61+'Assumptions and Catalog'!$F$61,IF(((D253+E253)*C253-G253)&lt;='Assumptions and Catalog'!$C$62,((D253+E253)*C253-G253)*'Assumptions and Catalog'!$H$62+'Assumptions and Catalog'!$E$62+'Assumptions and Catalog'!$F$62,IF(((D253+E253)*C253-G253)&lt;='Assumptions and Catalog'!$C$63,((D253+E253)*C253-G253)*'Assumptions and Catalog'!$H$63+'Assumptions and Catalog'!$E$63+'Assumptions and Catalog'!$F$63,IF(((D253+E253)*C253-G253)&lt;='Assumptions and Catalog'!$C$64,((D253+E253)*C253-G253)*'Assumptions and Catalog'!$H$64+'Assumptions and Catalog'!$E$64+'Assumptions and Catalog'!$F$64,IF(((D253+E253)*C253-G253)&lt;='Assumptions and Catalog'!$C$65,((D253+E253)*C253-G253)*'Assumptions and Catalog'!$H$65+'Assumptions and Catalog'!$E$65+'Assumptions and Catalog'!$F$65,"Out of range")))))))))*(1+'Assumptions and Catalog'!$C$8)^(A253-1),0)</f>
        <v>3453.61</v>
      </c>
      <c r="R253" s="5" t="n">
        <f>IF(AND('Assumptions and Catalog'!$C$19&gt;0,A253&gt;='Assumptions and Catalog'!$C$19),A253-'Assumptions and Catalog'!$C$19,A253-1)</f>
        <v>7</v>
      </c>
      <c r="S253" s="5" t="n">
        <f>F253+L253-(D253+E253)*C253-J253-K253-0</f>
        <v>0</v>
      </c>
      <c r="T253" s="5"/>
      <c r="U253" s="5"/>
    </row>
    <row r="254" ht="23.100000381469727" customHeight="1">
      <c r="A254" s="5" t="n">
        <v>8</v>
      </c>
      <c r="B254" s="5" t="n">
        <v>10</v>
      </c>
      <c r="C254" s="5" t="n">
        <f>DAY(DATE('Assumptions and Catalog'!$C$24+A254-1,B254+1,0))</f>
        <v>31</v>
      </c>
      <c r="D254" s="5" t="n">
        <f>IF(ISNUMBER(Inputs!$L$5),Inputs!$L$5*Inputs!$L$6,0)</f>
        <v>40.35</v>
      </c>
      <c r="E254" s="5" t="n">
        <f>IF(ISNUMBER(Inputs!$L$5),Inputs!$L$5-D254,0)</f>
        <v>40.35</v>
      </c>
      <c r="F254" s="5" t="n">
        <f>C$51*INDEX('Solar Production'!$D$20:$D$31,B254)*C254*(1-'Assumptions and Catalog'!$C$10)^(A254-1)</f>
        <v>1312.97676885293</v>
      </c>
      <c r="G254" s="5" t="n">
        <f>MIN(F254,D254*C254)</f>
        <v>1250.85</v>
      </c>
      <c r="H254" s="5" t="n">
        <f>I254/('Assumptions and Catalog'!$C$11*'Assumptions and Catalog'!$C$12)</f>
        <v>0</v>
      </c>
      <c r="I254" s="5" t="n">
        <f>0</f>
        <v>0</v>
      </c>
      <c r="J254" s="5" t="n">
        <f>MAX(F254-G254-H254,0)</f>
        <v>62.1267688529326</v>
      </c>
      <c r="K254" s="5" t="n">
        <f>H254-I254</f>
        <v>0</v>
      </c>
      <c r="L254" s="5" t="n">
        <f>(D254+E254)*C254-G254-I254+0+0</f>
        <v>1250.85</v>
      </c>
      <c r="M254" s="5" t="n">
        <f>IF(ISNUMBER(Inputs!$L$5),(IF(Inputs!$L$9="Actual flat rate",((D254+E254)*C254)*Inputs!$L$10,IF(Inputs!$C$9="Residential",IF(((D254+E254)*C254)&lt;='Assumptions and Catalog'!$C$50,((D254+E254)*C254)*'Assumptions and Catalog'!$H$50+'Assumptions and Catalog'!$E$50+'Assumptions and Catalog'!$F$50,IF(((D254+E254)*C254)&lt;='Assumptions and Catalog'!$C$51,((D254+E254)*C254)*'Assumptions and Catalog'!$H$51+'Assumptions and Catalog'!$E$51+'Assumptions and Catalog'!$F$51,IF(((D254+E254)*C254)&lt;='Assumptions and Catalog'!$C$52,((D254+E254)*C254)*'Assumptions and Catalog'!$H$52+'Assumptions and Catalog'!$E$52+'Assumptions and Catalog'!$F$52,IF(((D254+E254)*C254)&lt;='Assumptions and Catalog'!$C$53,((D254+E254)*C254)*'Assumptions and Catalog'!$H$53+'Assumptions and Catalog'!$E$53+'Assumptions and Catalog'!$F$53,IF(((D254+E254)*C254)&lt;='Assumptions and Catalog'!$C$54,((D254+E254)*C254)*'Assumptions and Catalog'!$H$54+'Assumptions and Catalog'!$E$54+'Assumptions and Catalog'!$F$54,IF(((D254+E254)*C254)&lt;='Assumptions and Catalog'!$C$55,((D254+E254)*C254)*'Assumptions and Catalog'!$H$55+'Assumptions and Catalog'!$E$55+'Assumptions and Catalog'!$F$55,IF(((D254+E254)*C254)&lt;='Assumptions and Catalog'!$C$56,((D254+E254)*C254)*'Assumptions and Catalog'!$H$56+'Assumptions and Catalog'!$E$56+'Assumptions and Catalog'!$F$56,IF(((D254+E254)*C254)&lt;='Assumptions and Catalog'!$C$57,((D254+E254)*C254)*'Assumptions and Catalog'!$H$57+'Assumptions and Catalog'!$E$57+'Assumptions and Catalog'!$F$57,"Out of range")))))))),IF(((D254+E254)*C254)&lt;='Assumptions and Catalog'!$C$60,((D254+E254)*C254)*'Assumptions and Catalog'!$H$60+'Assumptions and Catalog'!$E$60+'Assumptions and Catalog'!$F$60,IF(((D254+E254)*C254)&lt;='Assumptions and Catalog'!$C$61,((D254+E254)*C254)*'Assumptions and Catalog'!$H$61+'Assumptions and Catalog'!$E$61+'Assumptions and Catalog'!$F$61,IF(((D254+E254)*C254)&lt;='Assumptions and Catalog'!$C$62,((D254+E254)*C254)*'Assumptions and Catalog'!$H$62+'Assumptions and Catalog'!$E$62+'Assumptions and Catalog'!$F$62,IF(((D254+E254)*C254)&lt;='Assumptions and Catalog'!$C$63,((D254+E254)*C254)*'Assumptions and Catalog'!$H$63+'Assumptions and Catalog'!$E$63+'Assumptions and Catalog'!$F$63,IF(((D254+E254)*C254)&lt;='Assumptions and Catalog'!$C$64,((D254+E254)*C254)*'Assumptions and Catalog'!$H$64+'Assumptions and Catalog'!$E$64+'Assumptions and Catalog'!$F$64,IF(((D254+E254)*C254)&lt;='Assumptions and Catalog'!$C$65,((D254+E254)*C254)*'Assumptions and Catalog'!$H$65+'Assumptions and Catalog'!$E$65+'Assumptions and Catalog'!$F$65,"Out of range")))))))))*(1+'Assumptions and Catalog'!$C$8)^(A254-1),0)</f>
        <v>7094.794</v>
      </c>
      <c r="N254" s="5" t="n">
        <f>IF(ISNUMBER(Inputs!$L$5),(IF(Inputs!$L$9="Actual flat rate",L254*Inputs!$L$10,IF(Inputs!$C$9="Residential",IF(L254&lt;='Assumptions and Catalog'!$C$50,L254*'Assumptions and Catalog'!$H$50+'Assumptions and Catalog'!$E$50+'Assumptions and Catalog'!$F$50,IF(L254&lt;='Assumptions and Catalog'!$C$51,L254*'Assumptions and Catalog'!$H$51+'Assumptions and Catalog'!$E$51+'Assumptions and Catalog'!$F$51,IF(L254&lt;='Assumptions and Catalog'!$C$52,L254*'Assumptions and Catalog'!$H$52+'Assumptions and Catalog'!$E$52+'Assumptions and Catalog'!$F$52,IF(L254&lt;='Assumptions and Catalog'!$C$53,L254*'Assumptions and Catalog'!$H$53+'Assumptions and Catalog'!$E$53+'Assumptions and Catalog'!$F$53,IF(L254&lt;='Assumptions and Catalog'!$C$54,L254*'Assumptions and Catalog'!$H$54+'Assumptions and Catalog'!$E$54+'Assumptions and Catalog'!$F$54,IF(L254&lt;='Assumptions and Catalog'!$C$55,L254*'Assumptions and Catalog'!$H$55+'Assumptions and Catalog'!$E$55+'Assumptions and Catalog'!$F$55,IF(L254&lt;='Assumptions and Catalog'!$C$56,L254*'Assumptions and Catalog'!$H$56+'Assumptions and Catalog'!$E$56+'Assumptions and Catalog'!$F$56,IF(L254&lt;='Assumptions and Catalog'!$C$57,L254*'Assumptions and Catalog'!$H$57+'Assumptions and Catalog'!$E$57+'Assumptions and Catalog'!$F$57,"Out of range")))))))),IF(L254&lt;='Assumptions and Catalog'!$C$60,L254*'Assumptions and Catalog'!$H$60+'Assumptions and Catalog'!$E$60+'Assumptions and Catalog'!$F$60,IF(L254&lt;='Assumptions and Catalog'!$C$61,L254*'Assumptions and Catalog'!$H$61+'Assumptions and Catalog'!$E$61+'Assumptions and Catalog'!$F$61,IF(L254&lt;='Assumptions and Catalog'!$C$62,L254*'Assumptions and Catalog'!$H$62+'Assumptions and Catalog'!$E$62+'Assumptions and Catalog'!$F$62,IF(L254&lt;='Assumptions and Catalog'!$C$63,L254*'Assumptions and Catalog'!$H$63+'Assumptions and Catalog'!$E$63+'Assumptions and Catalog'!$F$63,IF(L254&lt;='Assumptions and Catalog'!$C$64,L254*'Assumptions and Catalog'!$H$64+'Assumptions and Catalog'!$E$64+'Assumptions and Catalog'!$F$64,IF(L254&lt;='Assumptions and Catalog'!$C$65,L254*'Assumptions and Catalog'!$H$65+'Assumptions and Catalog'!$E$65+'Assumptions and Catalog'!$F$65,"Out of range")))))))))*(1+'Assumptions and Catalog'!$C$8)^(A254-1),0)</f>
        <v>3567.397</v>
      </c>
      <c r="O254" s="5" t="n">
        <f>M254-N254</f>
        <v>3527.397</v>
      </c>
      <c r="P254" s="5" t="n">
        <f>C$55*(1-J$14)*(1-'Assumptions and Catalog'!$C$23)^R254</f>
        <v>0</v>
      </c>
      <c r="Q254" s="5" t="n">
        <f>IF(ISNUMBER(Inputs!$L$5),(IF(Inputs!$L$9="Actual flat rate",((D254+E254)*C254-G254)*Inputs!$L$10,IF(Inputs!$C$9="Residential",IF(((D254+E254)*C254-G254)&lt;='Assumptions and Catalog'!$C$50,((D254+E254)*C254-G254)*'Assumptions and Catalog'!$H$50+'Assumptions and Catalog'!$E$50+'Assumptions and Catalog'!$F$50,IF(((D254+E254)*C254-G254)&lt;='Assumptions and Catalog'!$C$51,((D254+E254)*C254-G254)*'Assumptions and Catalog'!$H$51+'Assumptions and Catalog'!$E$51+'Assumptions and Catalog'!$F$51,IF(((D254+E254)*C254-G254)&lt;='Assumptions and Catalog'!$C$52,((D254+E254)*C254-G254)*'Assumptions and Catalog'!$H$52+'Assumptions and Catalog'!$E$52+'Assumptions and Catalog'!$F$52,IF(((D254+E254)*C254-G254)&lt;='Assumptions and Catalog'!$C$53,((D254+E254)*C254-G254)*'Assumptions and Catalog'!$H$53+'Assumptions and Catalog'!$E$53+'Assumptions and Catalog'!$F$53,IF(((D254+E254)*C254-G254)&lt;='Assumptions and Catalog'!$C$54,((D254+E254)*C254-G254)*'Assumptions and Catalog'!$H$54+'Assumptions and Catalog'!$E$54+'Assumptions and Catalog'!$F$54,IF(((D254+E254)*C254-G254)&lt;='Assumptions and Catalog'!$C$55,((D254+E254)*C254-G254)*'Assumptions and Catalog'!$H$55+'Assumptions and Catalog'!$E$55+'Assumptions and Catalog'!$F$55,IF(((D254+E254)*C254-G254)&lt;='Assumptions and Catalog'!$C$56,((D254+E254)*C254-G254)*'Assumptions and Catalog'!$H$56+'Assumptions and Catalog'!$E$56+'Assumptions and Catalog'!$F$56,IF(((D254+E254)*C254-G254)&lt;='Assumptions and Catalog'!$C$57,((D254+E254)*C254-G254)*'Assumptions and Catalog'!$H$57+'Assumptions and Catalog'!$E$57+'Assumptions and Catalog'!$F$57,"Out of range")))))))),IF(((D254+E254)*C254-G254)&lt;='Assumptions and Catalog'!$C$60,((D254+E254)*C254-G254)*'Assumptions and Catalog'!$H$60+'Assumptions and Catalog'!$E$60+'Assumptions and Catalog'!$F$60,IF(((D254+E254)*C254-G254)&lt;='Assumptions and Catalog'!$C$61,((D254+E254)*C254-G254)*'Assumptions and Catalog'!$H$61+'Assumptions and Catalog'!$E$61+'Assumptions and Catalog'!$F$61,IF(((D254+E254)*C254-G254)&lt;='Assumptions and Catalog'!$C$62,((D254+E254)*C254-G254)*'Assumptions and Catalog'!$H$62+'Assumptions and Catalog'!$E$62+'Assumptions and Catalog'!$F$62,IF(((D254+E254)*C254-G254)&lt;='Assumptions and Catalog'!$C$63,((D254+E254)*C254-G254)*'Assumptions and Catalog'!$H$63+'Assumptions and Catalog'!$E$63+'Assumptions and Catalog'!$F$63,IF(((D254+E254)*C254-G254)&lt;='Assumptions and Catalog'!$C$64,((D254+E254)*C254-G254)*'Assumptions and Catalog'!$H$64+'Assumptions and Catalog'!$E$64+'Assumptions and Catalog'!$F$64,IF(((D254+E254)*C254-G254)&lt;='Assumptions and Catalog'!$C$65,((D254+E254)*C254-G254)*'Assumptions and Catalog'!$H$65+'Assumptions and Catalog'!$E$65+'Assumptions and Catalog'!$F$65,"Out of range")))))))))*(1+'Assumptions and Catalog'!$C$8)^(A254-1),0)</f>
        <v>3567.397</v>
      </c>
      <c r="R254" s="5" t="n">
        <f>IF(AND('Assumptions and Catalog'!$C$19&gt;0,A254&gt;='Assumptions and Catalog'!$C$19),A254-'Assumptions and Catalog'!$C$19,A254-1)</f>
        <v>7</v>
      </c>
      <c r="S254" s="5" t="n">
        <f>F254+L254-(D254+E254)*C254-J254-K254-0</f>
        <v>2.27373675443232E-013</v>
      </c>
      <c r="T254" s="5"/>
      <c r="U254" s="5"/>
    </row>
    <row r="255" ht="23.100000381469727" customHeight="1">
      <c r="A255" s="5" t="n">
        <v>8</v>
      </c>
      <c r="B255" s="5" t="n">
        <v>11</v>
      </c>
      <c r="C255" s="5" t="n">
        <f>DAY(DATE('Assumptions and Catalog'!$C$24+A255-1,B255+1,0))</f>
        <v>30</v>
      </c>
      <c r="D255" s="5" t="n">
        <f>IF(ISNUMBER(Inputs!$L$5),Inputs!$L$5*Inputs!$L$6,0)</f>
        <v>40.35</v>
      </c>
      <c r="E255" s="5" t="n">
        <f>IF(ISNUMBER(Inputs!$L$5),Inputs!$L$5-D255,0)</f>
        <v>40.35</v>
      </c>
      <c r="F255" s="5" t="n">
        <f>C$51*INDEX('Solar Production'!$D$20:$D$31,B255)*C255*(1-'Assumptions and Catalog'!$C$10)^(A255-1)</f>
        <v>1163.77679434276</v>
      </c>
      <c r="G255" s="5" t="n">
        <f>MIN(F255,D255*C255)</f>
        <v>1163.77679434276</v>
      </c>
      <c r="H255" s="5" t="n">
        <f>I255/('Assumptions and Catalog'!$C$11*'Assumptions and Catalog'!$C$12)</f>
        <v>0</v>
      </c>
      <c r="I255" s="5" t="n">
        <f>0</f>
        <v>0</v>
      </c>
      <c r="J255" s="5" t="n">
        <f>MAX(F255-G255-H255,0)</f>
        <v>0</v>
      </c>
      <c r="K255" s="5" t="n">
        <f>H255-I255</f>
        <v>0</v>
      </c>
      <c r="L255" s="5" t="n">
        <f>(D255+E255)*C255-G255-I255+0+0</f>
        <v>1257.22320565724</v>
      </c>
      <c r="M255" s="5" t="n">
        <f>IF(ISNUMBER(Inputs!$L$5),(IF(Inputs!$L$9="Actual flat rate",((D255+E255)*C255)*Inputs!$L$10,IF(Inputs!$C$9="Residential",IF(((D255+E255)*C255)&lt;='Assumptions and Catalog'!$C$50,((D255+E255)*C255)*'Assumptions and Catalog'!$H$50+'Assumptions and Catalog'!$E$50+'Assumptions and Catalog'!$F$50,IF(((D255+E255)*C255)&lt;='Assumptions and Catalog'!$C$51,((D255+E255)*C255)*'Assumptions and Catalog'!$H$51+'Assumptions and Catalog'!$E$51+'Assumptions and Catalog'!$F$51,IF(((D255+E255)*C255)&lt;='Assumptions and Catalog'!$C$52,((D255+E255)*C255)*'Assumptions and Catalog'!$H$52+'Assumptions and Catalog'!$E$52+'Assumptions and Catalog'!$F$52,IF(((D255+E255)*C255)&lt;='Assumptions and Catalog'!$C$53,((D255+E255)*C255)*'Assumptions and Catalog'!$H$53+'Assumptions and Catalog'!$E$53+'Assumptions and Catalog'!$F$53,IF(((D255+E255)*C255)&lt;='Assumptions and Catalog'!$C$54,((D255+E255)*C255)*'Assumptions and Catalog'!$H$54+'Assumptions and Catalog'!$E$54+'Assumptions and Catalog'!$F$54,IF(((D255+E255)*C255)&lt;='Assumptions and Catalog'!$C$55,((D255+E255)*C255)*'Assumptions and Catalog'!$H$55+'Assumptions and Catalog'!$E$55+'Assumptions and Catalog'!$F$55,IF(((D255+E255)*C255)&lt;='Assumptions and Catalog'!$C$56,((D255+E255)*C255)*'Assumptions and Catalog'!$H$56+'Assumptions and Catalog'!$E$56+'Assumptions and Catalog'!$F$56,IF(((D255+E255)*C255)&lt;='Assumptions and Catalog'!$C$57,((D255+E255)*C255)*'Assumptions and Catalog'!$H$57+'Assumptions and Catalog'!$E$57+'Assumptions and Catalog'!$F$57,"Out of range")))))))),IF(((D255+E255)*C255)&lt;='Assumptions and Catalog'!$C$60,((D255+E255)*C255)*'Assumptions and Catalog'!$H$60+'Assumptions and Catalog'!$E$60+'Assumptions and Catalog'!$F$60,IF(((D255+E255)*C255)&lt;='Assumptions and Catalog'!$C$61,((D255+E255)*C255)*'Assumptions and Catalog'!$H$61+'Assumptions and Catalog'!$E$61+'Assumptions and Catalog'!$F$61,IF(((D255+E255)*C255)&lt;='Assumptions and Catalog'!$C$62,((D255+E255)*C255)*'Assumptions and Catalog'!$H$62+'Assumptions and Catalog'!$E$62+'Assumptions and Catalog'!$F$62,IF(((D255+E255)*C255)&lt;='Assumptions and Catalog'!$C$63,((D255+E255)*C255)*'Assumptions and Catalog'!$H$63+'Assumptions and Catalog'!$E$63+'Assumptions and Catalog'!$F$63,IF(((D255+E255)*C255)&lt;='Assumptions and Catalog'!$C$64,((D255+E255)*C255)*'Assumptions and Catalog'!$H$64+'Assumptions and Catalog'!$E$64+'Assumptions and Catalog'!$F$64,IF(((D255+E255)*C255)&lt;='Assumptions and Catalog'!$C$65,((D255+E255)*C255)*'Assumptions and Catalog'!$H$65+'Assumptions and Catalog'!$E$65+'Assumptions and Catalog'!$F$65,"Out of range")))))))))*(1+'Assumptions and Catalog'!$C$8)^(A255-1),0)</f>
        <v>6867.22</v>
      </c>
      <c r="N255" s="5" t="n">
        <f>IF(ISNUMBER(Inputs!$L$5),(IF(Inputs!$L$9="Actual flat rate",L255*Inputs!$L$10,IF(Inputs!$C$9="Residential",IF(L255&lt;='Assumptions and Catalog'!$C$50,L255*'Assumptions and Catalog'!$H$50+'Assumptions and Catalog'!$E$50+'Assumptions and Catalog'!$F$50,IF(L255&lt;='Assumptions and Catalog'!$C$51,L255*'Assumptions and Catalog'!$H$51+'Assumptions and Catalog'!$E$51+'Assumptions and Catalog'!$F$51,IF(L255&lt;='Assumptions and Catalog'!$C$52,L255*'Assumptions and Catalog'!$H$52+'Assumptions and Catalog'!$E$52+'Assumptions and Catalog'!$F$52,IF(L255&lt;='Assumptions and Catalog'!$C$53,L255*'Assumptions and Catalog'!$H$53+'Assumptions and Catalog'!$E$53+'Assumptions and Catalog'!$F$53,IF(L255&lt;='Assumptions and Catalog'!$C$54,L255*'Assumptions and Catalog'!$H$54+'Assumptions and Catalog'!$E$54+'Assumptions and Catalog'!$F$54,IF(L255&lt;='Assumptions and Catalog'!$C$55,L255*'Assumptions and Catalog'!$H$55+'Assumptions and Catalog'!$E$55+'Assumptions and Catalog'!$F$55,IF(L255&lt;='Assumptions and Catalog'!$C$56,L255*'Assumptions and Catalog'!$H$56+'Assumptions and Catalog'!$E$56+'Assumptions and Catalog'!$F$56,IF(L255&lt;='Assumptions and Catalog'!$C$57,L255*'Assumptions and Catalog'!$H$57+'Assumptions and Catalog'!$E$57+'Assumptions and Catalog'!$F$57,"Out of range")))))))),IF(L255&lt;='Assumptions and Catalog'!$C$60,L255*'Assumptions and Catalog'!$H$60+'Assumptions and Catalog'!$E$60+'Assumptions and Catalog'!$F$60,IF(L255&lt;='Assumptions and Catalog'!$C$61,L255*'Assumptions and Catalog'!$H$61+'Assumptions and Catalog'!$E$61+'Assumptions and Catalog'!$F$61,IF(L255&lt;='Assumptions and Catalog'!$C$62,L255*'Assumptions and Catalog'!$H$62+'Assumptions and Catalog'!$E$62+'Assumptions and Catalog'!$F$62,IF(L255&lt;='Assumptions and Catalog'!$C$63,L255*'Assumptions and Catalog'!$H$63+'Assumptions and Catalog'!$E$63+'Assumptions and Catalog'!$F$63,IF(L255&lt;='Assumptions and Catalog'!$C$64,L255*'Assumptions and Catalog'!$H$64+'Assumptions and Catalog'!$E$64+'Assumptions and Catalog'!$F$64,IF(L255&lt;='Assumptions and Catalog'!$C$65,L255*'Assumptions and Catalog'!$H$65+'Assumptions and Catalog'!$E$65+'Assumptions and Catalog'!$F$65,"Out of range")))))))))*(1+'Assumptions and Catalog'!$C$8)^(A255-1),0)</f>
        <v>3585.36943995343</v>
      </c>
      <c r="O255" s="5" t="n">
        <f>M255-N255</f>
        <v>3281.85056004657</v>
      </c>
      <c r="P255" s="5" t="n">
        <f>C$55*(1-J$14)*(1-'Assumptions and Catalog'!$C$23)^R255</f>
        <v>0</v>
      </c>
      <c r="Q255" s="5" t="n">
        <f>IF(ISNUMBER(Inputs!$L$5),(IF(Inputs!$L$9="Actual flat rate",((D255+E255)*C255-G255)*Inputs!$L$10,IF(Inputs!$C$9="Residential",IF(((D255+E255)*C255-G255)&lt;='Assumptions and Catalog'!$C$50,((D255+E255)*C255-G255)*'Assumptions and Catalog'!$H$50+'Assumptions and Catalog'!$E$50+'Assumptions and Catalog'!$F$50,IF(((D255+E255)*C255-G255)&lt;='Assumptions and Catalog'!$C$51,((D255+E255)*C255-G255)*'Assumptions and Catalog'!$H$51+'Assumptions and Catalog'!$E$51+'Assumptions and Catalog'!$F$51,IF(((D255+E255)*C255-G255)&lt;='Assumptions and Catalog'!$C$52,((D255+E255)*C255-G255)*'Assumptions and Catalog'!$H$52+'Assumptions and Catalog'!$E$52+'Assumptions and Catalog'!$F$52,IF(((D255+E255)*C255-G255)&lt;='Assumptions and Catalog'!$C$53,((D255+E255)*C255-G255)*'Assumptions and Catalog'!$H$53+'Assumptions and Catalog'!$E$53+'Assumptions and Catalog'!$F$53,IF(((D255+E255)*C255-G255)&lt;='Assumptions and Catalog'!$C$54,((D255+E255)*C255-G255)*'Assumptions and Catalog'!$H$54+'Assumptions and Catalog'!$E$54+'Assumptions and Catalog'!$F$54,IF(((D255+E255)*C255-G255)&lt;='Assumptions and Catalog'!$C$55,((D255+E255)*C255-G255)*'Assumptions and Catalog'!$H$55+'Assumptions and Catalog'!$E$55+'Assumptions and Catalog'!$F$55,IF(((D255+E255)*C255-G255)&lt;='Assumptions and Catalog'!$C$56,((D255+E255)*C255-G255)*'Assumptions and Catalog'!$H$56+'Assumptions and Catalog'!$E$56+'Assumptions and Catalog'!$F$56,IF(((D255+E255)*C255-G255)&lt;='Assumptions and Catalog'!$C$57,((D255+E255)*C255-G255)*'Assumptions and Catalog'!$H$57+'Assumptions and Catalog'!$E$57+'Assumptions and Catalog'!$F$57,"Out of range")))))))),IF(((D255+E255)*C255-G255)&lt;='Assumptions and Catalog'!$C$60,((D255+E255)*C255-G255)*'Assumptions and Catalog'!$H$60+'Assumptions and Catalog'!$E$60+'Assumptions and Catalog'!$F$60,IF(((D255+E255)*C255-G255)&lt;='Assumptions and Catalog'!$C$61,((D255+E255)*C255-G255)*'Assumptions and Catalog'!$H$61+'Assumptions and Catalog'!$E$61+'Assumptions and Catalog'!$F$61,IF(((D255+E255)*C255-G255)&lt;='Assumptions and Catalog'!$C$62,((D255+E255)*C255-G255)*'Assumptions and Catalog'!$H$62+'Assumptions and Catalog'!$E$62+'Assumptions and Catalog'!$F$62,IF(((D255+E255)*C255-G255)&lt;='Assumptions and Catalog'!$C$63,((D255+E255)*C255-G255)*'Assumptions and Catalog'!$H$63+'Assumptions and Catalog'!$E$63+'Assumptions and Catalog'!$F$63,IF(((D255+E255)*C255-G255)&lt;='Assumptions and Catalog'!$C$64,((D255+E255)*C255-G255)*'Assumptions and Catalog'!$H$64+'Assumptions and Catalog'!$E$64+'Assumptions and Catalog'!$F$64,IF(((D255+E255)*C255-G255)&lt;='Assumptions and Catalog'!$C$65,((D255+E255)*C255-G255)*'Assumptions and Catalog'!$H$65+'Assumptions and Catalog'!$E$65+'Assumptions and Catalog'!$F$65,"Out of range")))))))))*(1+'Assumptions and Catalog'!$C$8)^(A255-1),0)</f>
        <v>3585.36943995343</v>
      </c>
      <c r="R255" s="5" t="n">
        <f>IF(AND('Assumptions and Catalog'!$C$19&gt;0,A255&gt;='Assumptions and Catalog'!$C$19),A255-'Assumptions and Catalog'!$C$19,A255-1)</f>
        <v>7</v>
      </c>
      <c r="S255" s="5" t="n">
        <f>F255+L255-(D255+E255)*C255-J255-K255-0</f>
        <v>0</v>
      </c>
      <c r="T255" s="5"/>
      <c r="U255" s="5"/>
    </row>
    <row r="256" ht="23.100000381469727" customHeight="1">
      <c r="A256" s="5" t="n">
        <v>8</v>
      </c>
      <c r="B256" s="5" t="n">
        <v>12</v>
      </c>
      <c r="C256" s="5" t="n">
        <f>DAY(DATE('Assumptions and Catalog'!$C$24+A256-1,B256+1,0))</f>
        <v>31</v>
      </c>
      <c r="D256" s="5" t="n">
        <f>IF(ISNUMBER(Inputs!$L$5),Inputs!$L$5*Inputs!$L$6,0)</f>
        <v>40.35</v>
      </c>
      <c r="E256" s="5" t="n">
        <f>IF(ISNUMBER(Inputs!$L$5),Inputs!$L$5-D256,0)</f>
        <v>40.35</v>
      </c>
      <c r="F256" s="5" t="n">
        <f>C$51*INDEX('Solar Production'!$D$20:$D$31,B256)*C256*(1-'Assumptions and Catalog'!$C$10)^(A256-1)</f>
        <v>1107.95425262682</v>
      </c>
      <c r="G256" s="5" t="n">
        <f>MIN(F256,D256*C256)</f>
        <v>1107.95425262682</v>
      </c>
      <c r="H256" s="5" t="n">
        <f>I256/('Assumptions and Catalog'!$C$11*'Assumptions and Catalog'!$C$12)</f>
        <v>0</v>
      </c>
      <c r="I256" s="5" t="n">
        <f>0</f>
        <v>0</v>
      </c>
      <c r="J256" s="5" t="n">
        <f>MAX(F256-G256-H256,0)</f>
        <v>0</v>
      </c>
      <c r="K256" s="5" t="n">
        <f>H256-I256</f>
        <v>0</v>
      </c>
      <c r="L256" s="5" t="n">
        <f>(D256+E256)*C256-G256-I256+0+0</f>
        <v>1393.74574737318</v>
      </c>
      <c r="M256" s="5" t="n">
        <f>IF(ISNUMBER(Inputs!$L$5),(IF(Inputs!$L$9="Actual flat rate",((D256+E256)*C256)*Inputs!$L$10,IF(Inputs!$C$9="Residential",IF(((D256+E256)*C256)&lt;='Assumptions and Catalog'!$C$50,((D256+E256)*C256)*'Assumptions and Catalog'!$H$50+'Assumptions and Catalog'!$E$50+'Assumptions and Catalog'!$F$50,IF(((D256+E256)*C256)&lt;='Assumptions and Catalog'!$C$51,((D256+E256)*C256)*'Assumptions and Catalog'!$H$51+'Assumptions and Catalog'!$E$51+'Assumptions and Catalog'!$F$51,IF(((D256+E256)*C256)&lt;='Assumptions and Catalog'!$C$52,((D256+E256)*C256)*'Assumptions and Catalog'!$H$52+'Assumptions and Catalog'!$E$52+'Assumptions and Catalog'!$F$52,IF(((D256+E256)*C256)&lt;='Assumptions and Catalog'!$C$53,((D256+E256)*C256)*'Assumptions and Catalog'!$H$53+'Assumptions and Catalog'!$E$53+'Assumptions and Catalog'!$F$53,IF(((D256+E256)*C256)&lt;='Assumptions and Catalog'!$C$54,((D256+E256)*C256)*'Assumptions and Catalog'!$H$54+'Assumptions and Catalog'!$E$54+'Assumptions and Catalog'!$F$54,IF(((D256+E256)*C256)&lt;='Assumptions and Catalog'!$C$55,((D256+E256)*C256)*'Assumptions and Catalog'!$H$55+'Assumptions and Catalog'!$E$55+'Assumptions and Catalog'!$F$55,IF(((D256+E256)*C256)&lt;='Assumptions and Catalog'!$C$56,((D256+E256)*C256)*'Assumptions and Catalog'!$H$56+'Assumptions and Catalog'!$E$56+'Assumptions and Catalog'!$F$56,IF(((D256+E256)*C256)&lt;='Assumptions and Catalog'!$C$57,((D256+E256)*C256)*'Assumptions and Catalog'!$H$57+'Assumptions and Catalog'!$E$57+'Assumptions and Catalog'!$F$57,"Out of range")))))))),IF(((D256+E256)*C256)&lt;='Assumptions and Catalog'!$C$60,((D256+E256)*C256)*'Assumptions and Catalog'!$H$60+'Assumptions and Catalog'!$E$60+'Assumptions and Catalog'!$F$60,IF(((D256+E256)*C256)&lt;='Assumptions and Catalog'!$C$61,((D256+E256)*C256)*'Assumptions and Catalog'!$H$61+'Assumptions and Catalog'!$E$61+'Assumptions and Catalog'!$F$61,IF(((D256+E256)*C256)&lt;='Assumptions and Catalog'!$C$62,((D256+E256)*C256)*'Assumptions and Catalog'!$H$62+'Assumptions and Catalog'!$E$62+'Assumptions and Catalog'!$F$62,IF(((D256+E256)*C256)&lt;='Assumptions and Catalog'!$C$63,((D256+E256)*C256)*'Assumptions and Catalog'!$H$63+'Assumptions and Catalog'!$E$63+'Assumptions and Catalog'!$F$63,IF(((D256+E256)*C256)&lt;='Assumptions and Catalog'!$C$64,((D256+E256)*C256)*'Assumptions and Catalog'!$H$64+'Assumptions and Catalog'!$E$64+'Assumptions and Catalog'!$F$64,IF(((D256+E256)*C256)&lt;='Assumptions and Catalog'!$C$65,((D256+E256)*C256)*'Assumptions and Catalog'!$H$65+'Assumptions and Catalog'!$E$65+'Assumptions and Catalog'!$F$65,"Out of range")))))))))*(1+'Assumptions and Catalog'!$C$8)^(A256-1),0)</f>
        <v>7094.794</v>
      </c>
      <c r="N256" s="5" t="n">
        <f>IF(ISNUMBER(Inputs!$L$5),(IF(Inputs!$L$9="Actual flat rate",L256*Inputs!$L$10,IF(Inputs!$C$9="Residential",IF(L256&lt;='Assumptions and Catalog'!$C$50,L256*'Assumptions and Catalog'!$H$50+'Assumptions and Catalog'!$E$50+'Assumptions and Catalog'!$F$50,IF(L256&lt;='Assumptions and Catalog'!$C$51,L256*'Assumptions and Catalog'!$H$51+'Assumptions and Catalog'!$E$51+'Assumptions and Catalog'!$F$51,IF(L256&lt;='Assumptions and Catalog'!$C$52,L256*'Assumptions and Catalog'!$H$52+'Assumptions and Catalog'!$E$52+'Assumptions and Catalog'!$F$52,IF(L256&lt;='Assumptions and Catalog'!$C$53,L256*'Assumptions and Catalog'!$H$53+'Assumptions and Catalog'!$E$53+'Assumptions and Catalog'!$F$53,IF(L256&lt;='Assumptions and Catalog'!$C$54,L256*'Assumptions and Catalog'!$H$54+'Assumptions and Catalog'!$E$54+'Assumptions and Catalog'!$F$54,IF(L256&lt;='Assumptions and Catalog'!$C$55,L256*'Assumptions and Catalog'!$H$55+'Assumptions and Catalog'!$E$55+'Assumptions and Catalog'!$F$55,IF(L256&lt;='Assumptions and Catalog'!$C$56,L256*'Assumptions and Catalog'!$H$56+'Assumptions and Catalog'!$E$56+'Assumptions and Catalog'!$F$56,IF(L256&lt;='Assumptions and Catalog'!$C$57,L256*'Assumptions and Catalog'!$H$57+'Assumptions and Catalog'!$E$57+'Assumptions and Catalog'!$F$57,"Out of range")))))))),IF(L256&lt;='Assumptions and Catalog'!$C$60,L256*'Assumptions and Catalog'!$H$60+'Assumptions and Catalog'!$E$60+'Assumptions and Catalog'!$F$60,IF(L256&lt;='Assumptions and Catalog'!$C$61,L256*'Assumptions and Catalog'!$H$61+'Assumptions and Catalog'!$E$61+'Assumptions and Catalog'!$F$61,IF(L256&lt;='Assumptions and Catalog'!$C$62,L256*'Assumptions and Catalog'!$H$62+'Assumptions and Catalog'!$E$62+'Assumptions and Catalog'!$F$62,IF(L256&lt;='Assumptions and Catalog'!$C$63,L256*'Assumptions and Catalog'!$H$63+'Assumptions and Catalog'!$E$63+'Assumptions and Catalog'!$F$63,IF(L256&lt;='Assumptions and Catalog'!$C$64,L256*'Assumptions and Catalog'!$H$64+'Assumptions and Catalog'!$E$64+'Assumptions and Catalog'!$F$64,IF(L256&lt;='Assumptions and Catalog'!$C$65,L256*'Assumptions and Catalog'!$H$65+'Assumptions and Catalog'!$E$65+'Assumptions and Catalog'!$F$65,"Out of range")))))))))*(1+'Assumptions and Catalog'!$C$8)^(A256-1),0)</f>
        <v>3970.36300759237</v>
      </c>
      <c r="O256" s="5" t="n">
        <f>M256-N256</f>
        <v>3124.43099240763</v>
      </c>
      <c r="P256" s="5" t="n">
        <f>C$55*(1-J$14)*(1-'Assumptions and Catalog'!$C$23)^R256</f>
        <v>0</v>
      </c>
      <c r="Q256" s="5" t="n">
        <f>IF(ISNUMBER(Inputs!$L$5),(IF(Inputs!$L$9="Actual flat rate",((D256+E256)*C256-G256)*Inputs!$L$10,IF(Inputs!$C$9="Residential",IF(((D256+E256)*C256-G256)&lt;='Assumptions and Catalog'!$C$50,((D256+E256)*C256-G256)*'Assumptions and Catalog'!$H$50+'Assumptions and Catalog'!$E$50+'Assumptions and Catalog'!$F$50,IF(((D256+E256)*C256-G256)&lt;='Assumptions and Catalog'!$C$51,((D256+E256)*C256-G256)*'Assumptions and Catalog'!$H$51+'Assumptions and Catalog'!$E$51+'Assumptions and Catalog'!$F$51,IF(((D256+E256)*C256-G256)&lt;='Assumptions and Catalog'!$C$52,((D256+E256)*C256-G256)*'Assumptions and Catalog'!$H$52+'Assumptions and Catalog'!$E$52+'Assumptions and Catalog'!$F$52,IF(((D256+E256)*C256-G256)&lt;='Assumptions and Catalog'!$C$53,((D256+E256)*C256-G256)*'Assumptions and Catalog'!$H$53+'Assumptions and Catalog'!$E$53+'Assumptions and Catalog'!$F$53,IF(((D256+E256)*C256-G256)&lt;='Assumptions and Catalog'!$C$54,((D256+E256)*C256-G256)*'Assumptions and Catalog'!$H$54+'Assumptions and Catalog'!$E$54+'Assumptions and Catalog'!$F$54,IF(((D256+E256)*C256-G256)&lt;='Assumptions and Catalog'!$C$55,((D256+E256)*C256-G256)*'Assumptions and Catalog'!$H$55+'Assumptions and Catalog'!$E$55+'Assumptions and Catalog'!$F$55,IF(((D256+E256)*C256-G256)&lt;='Assumptions and Catalog'!$C$56,((D256+E256)*C256-G256)*'Assumptions and Catalog'!$H$56+'Assumptions and Catalog'!$E$56+'Assumptions and Catalog'!$F$56,IF(((D256+E256)*C256-G256)&lt;='Assumptions and Catalog'!$C$57,((D256+E256)*C256-G256)*'Assumptions and Catalog'!$H$57+'Assumptions and Catalog'!$E$57+'Assumptions and Catalog'!$F$57,"Out of range")))))))),IF(((D256+E256)*C256-G256)&lt;='Assumptions and Catalog'!$C$60,((D256+E256)*C256-G256)*'Assumptions and Catalog'!$H$60+'Assumptions and Catalog'!$E$60+'Assumptions and Catalog'!$F$60,IF(((D256+E256)*C256-G256)&lt;='Assumptions and Catalog'!$C$61,((D256+E256)*C256-G256)*'Assumptions and Catalog'!$H$61+'Assumptions and Catalog'!$E$61+'Assumptions and Catalog'!$F$61,IF(((D256+E256)*C256-G256)&lt;='Assumptions and Catalog'!$C$62,((D256+E256)*C256-G256)*'Assumptions and Catalog'!$H$62+'Assumptions and Catalog'!$E$62+'Assumptions and Catalog'!$F$62,IF(((D256+E256)*C256-G256)&lt;='Assumptions and Catalog'!$C$63,((D256+E256)*C256-G256)*'Assumptions and Catalog'!$H$63+'Assumptions and Catalog'!$E$63+'Assumptions and Catalog'!$F$63,IF(((D256+E256)*C256-G256)&lt;='Assumptions and Catalog'!$C$64,((D256+E256)*C256-G256)*'Assumptions and Catalog'!$H$64+'Assumptions and Catalog'!$E$64+'Assumptions and Catalog'!$F$64,IF(((D256+E256)*C256-G256)&lt;='Assumptions and Catalog'!$C$65,((D256+E256)*C256-G256)*'Assumptions and Catalog'!$H$65+'Assumptions and Catalog'!$E$65+'Assumptions and Catalog'!$F$65,"Out of range")))))))))*(1+'Assumptions and Catalog'!$C$8)^(A256-1),0)</f>
        <v>3970.36300759237</v>
      </c>
      <c r="R256" s="5" t="n">
        <f>IF(AND('Assumptions and Catalog'!$C$19&gt;0,A256&gt;='Assumptions and Catalog'!$C$19),A256-'Assumptions and Catalog'!$C$19,A256-1)</f>
        <v>7</v>
      </c>
      <c r="S256" s="5" t="n">
        <f>F256+L256-(D256+E256)*C256-J256-K256-0</f>
        <v>0</v>
      </c>
      <c r="T256" s="5"/>
      <c r="U256" s="5"/>
    </row>
    <row r="257" ht="23.100000381469727" customHeight="1">
      <c r="A257" s="5" t="n">
        <v>9</v>
      </c>
      <c r="B257" s="5" t="n">
        <v>1</v>
      </c>
      <c r="C257" s="5" t="n">
        <f>DAY(DATE('Assumptions and Catalog'!$C$24+A257-1,B257+1,0))</f>
        <v>31</v>
      </c>
      <c r="D257" s="5" t="n">
        <f>IF(ISNUMBER(Inputs!$L$5),Inputs!$L$5*Inputs!$L$6,0)</f>
        <v>40.35</v>
      </c>
      <c r="E257" s="5" t="n">
        <f>IF(ISNUMBER(Inputs!$L$5),Inputs!$L$5-D257,0)</f>
        <v>40.35</v>
      </c>
      <c r="F257" s="5" t="n">
        <f>C$51*INDEX('Solar Production'!$D$20:$D$31,B257)*C257*(1-'Assumptions and Catalog'!$C$10)^(A257-1)</f>
        <v>1110.0231702688</v>
      </c>
      <c r="G257" s="5" t="n">
        <f>MIN(F257,D257*C257)</f>
        <v>1110.0231702688</v>
      </c>
      <c r="H257" s="5" t="n">
        <f>I257/('Assumptions and Catalog'!$C$11*'Assumptions and Catalog'!$C$12)</f>
        <v>0</v>
      </c>
      <c r="I257" s="5" t="n">
        <f>0</f>
        <v>0</v>
      </c>
      <c r="J257" s="5" t="n">
        <f>MAX(F257-G257-H257,0)</f>
        <v>0</v>
      </c>
      <c r="K257" s="5" t="n">
        <f>H257-I257</f>
        <v>0</v>
      </c>
      <c r="L257" s="5" t="n">
        <f>(D257+E257)*C257-G257-I257+0+0</f>
        <v>1391.6768297312</v>
      </c>
      <c r="M257" s="5" t="n">
        <f>IF(ISNUMBER(Inputs!$L$5),(IF(Inputs!$L$9="Actual flat rate",((D257+E257)*C257)*Inputs!$L$10,IF(Inputs!$C$9="Residential",IF(((D257+E257)*C257)&lt;='Assumptions and Catalog'!$C$50,((D257+E257)*C257)*'Assumptions and Catalog'!$H$50+'Assumptions and Catalog'!$E$50+'Assumptions and Catalog'!$F$50,IF(((D257+E257)*C257)&lt;='Assumptions and Catalog'!$C$51,((D257+E257)*C257)*'Assumptions and Catalog'!$H$51+'Assumptions and Catalog'!$E$51+'Assumptions and Catalog'!$F$51,IF(((D257+E257)*C257)&lt;='Assumptions and Catalog'!$C$52,((D257+E257)*C257)*'Assumptions and Catalog'!$H$52+'Assumptions and Catalog'!$E$52+'Assumptions and Catalog'!$F$52,IF(((D257+E257)*C257)&lt;='Assumptions and Catalog'!$C$53,((D257+E257)*C257)*'Assumptions and Catalog'!$H$53+'Assumptions and Catalog'!$E$53+'Assumptions and Catalog'!$F$53,IF(((D257+E257)*C257)&lt;='Assumptions and Catalog'!$C$54,((D257+E257)*C257)*'Assumptions and Catalog'!$H$54+'Assumptions and Catalog'!$E$54+'Assumptions and Catalog'!$F$54,IF(((D257+E257)*C257)&lt;='Assumptions and Catalog'!$C$55,((D257+E257)*C257)*'Assumptions and Catalog'!$H$55+'Assumptions and Catalog'!$E$55+'Assumptions and Catalog'!$F$55,IF(((D257+E257)*C257)&lt;='Assumptions and Catalog'!$C$56,((D257+E257)*C257)*'Assumptions and Catalog'!$H$56+'Assumptions and Catalog'!$E$56+'Assumptions and Catalog'!$F$56,IF(((D257+E257)*C257)&lt;='Assumptions and Catalog'!$C$57,((D257+E257)*C257)*'Assumptions and Catalog'!$H$57+'Assumptions and Catalog'!$E$57+'Assumptions and Catalog'!$F$57,"Out of range")))))))),IF(((D257+E257)*C257)&lt;='Assumptions and Catalog'!$C$60,((D257+E257)*C257)*'Assumptions and Catalog'!$H$60+'Assumptions and Catalog'!$E$60+'Assumptions and Catalog'!$F$60,IF(((D257+E257)*C257)&lt;='Assumptions and Catalog'!$C$61,((D257+E257)*C257)*'Assumptions and Catalog'!$H$61+'Assumptions and Catalog'!$E$61+'Assumptions and Catalog'!$F$61,IF(((D257+E257)*C257)&lt;='Assumptions and Catalog'!$C$62,((D257+E257)*C257)*'Assumptions and Catalog'!$H$62+'Assumptions and Catalog'!$E$62+'Assumptions and Catalog'!$F$62,IF(((D257+E257)*C257)&lt;='Assumptions and Catalog'!$C$63,((D257+E257)*C257)*'Assumptions and Catalog'!$H$63+'Assumptions and Catalog'!$E$63+'Assumptions and Catalog'!$F$63,IF(((D257+E257)*C257)&lt;='Assumptions and Catalog'!$C$64,((D257+E257)*C257)*'Assumptions and Catalog'!$H$64+'Assumptions and Catalog'!$E$64+'Assumptions and Catalog'!$F$64,IF(((D257+E257)*C257)&lt;='Assumptions and Catalog'!$C$65,((D257+E257)*C257)*'Assumptions and Catalog'!$H$65+'Assumptions and Catalog'!$E$65+'Assumptions and Catalog'!$F$65,"Out of range")))))))))*(1+'Assumptions and Catalog'!$C$8)^(A257-1),0)</f>
        <v>7094.794</v>
      </c>
      <c r="N257" s="5" t="n">
        <f>IF(ISNUMBER(Inputs!$L$5),(IF(Inputs!$L$9="Actual flat rate",L257*Inputs!$L$10,IF(Inputs!$C$9="Residential",IF(L257&lt;='Assumptions and Catalog'!$C$50,L257*'Assumptions and Catalog'!$H$50+'Assumptions and Catalog'!$E$50+'Assumptions and Catalog'!$F$50,IF(L257&lt;='Assumptions and Catalog'!$C$51,L257*'Assumptions and Catalog'!$H$51+'Assumptions and Catalog'!$E$51+'Assumptions and Catalog'!$F$51,IF(L257&lt;='Assumptions and Catalog'!$C$52,L257*'Assumptions and Catalog'!$H$52+'Assumptions and Catalog'!$E$52+'Assumptions and Catalog'!$F$52,IF(L257&lt;='Assumptions and Catalog'!$C$53,L257*'Assumptions and Catalog'!$H$53+'Assumptions and Catalog'!$E$53+'Assumptions and Catalog'!$F$53,IF(L257&lt;='Assumptions and Catalog'!$C$54,L257*'Assumptions and Catalog'!$H$54+'Assumptions and Catalog'!$E$54+'Assumptions and Catalog'!$F$54,IF(L257&lt;='Assumptions and Catalog'!$C$55,L257*'Assumptions and Catalog'!$H$55+'Assumptions and Catalog'!$E$55+'Assumptions and Catalog'!$F$55,IF(L257&lt;='Assumptions and Catalog'!$C$56,L257*'Assumptions and Catalog'!$H$56+'Assumptions and Catalog'!$E$56+'Assumptions and Catalog'!$F$56,IF(L257&lt;='Assumptions and Catalog'!$C$57,L257*'Assumptions and Catalog'!$H$57+'Assumptions and Catalog'!$E$57+'Assumptions and Catalog'!$F$57,"Out of range")))))))),IF(L257&lt;='Assumptions and Catalog'!$C$60,L257*'Assumptions and Catalog'!$H$60+'Assumptions and Catalog'!$E$60+'Assumptions and Catalog'!$F$60,IF(L257&lt;='Assumptions and Catalog'!$C$61,L257*'Assumptions and Catalog'!$H$61+'Assumptions and Catalog'!$E$61+'Assumptions and Catalog'!$F$61,IF(L257&lt;='Assumptions and Catalog'!$C$62,L257*'Assumptions and Catalog'!$H$62+'Assumptions and Catalog'!$E$62+'Assumptions and Catalog'!$F$62,IF(L257&lt;='Assumptions and Catalog'!$C$63,L257*'Assumptions and Catalog'!$H$63+'Assumptions and Catalog'!$E$63+'Assumptions and Catalog'!$F$63,IF(L257&lt;='Assumptions and Catalog'!$C$64,L257*'Assumptions and Catalog'!$H$64+'Assumptions and Catalog'!$E$64+'Assumptions and Catalog'!$F$64,IF(L257&lt;='Assumptions and Catalog'!$C$65,L257*'Assumptions and Catalog'!$H$65+'Assumptions and Catalog'!$E$65+'Assumptions and Catalog'!$F$65,"Out of range")))))))))*(1+'Assumptions and Catalog'!$C$8)^(A257-1),0)</f>
        <v>3964.52865984198</v>
      </c>
      <c r="O257" s="5" t="n">
        <f>M257-N257</f>
        <v>3130.26534015802</v>
      </c>
      <c r="P257" s="5" t="n">
        <f>C$55*(1-J$14)*(1-'Assumptions and Catalog'!$C$23)^R257</f>
        <v>0</v>
      </c>
      <c r="Q257" s="5" t="n">
        <f>IF(ISNUMBER(Inputs!$L$5),(IF(Inputs!$L$9="Actual flat rate",((D257+E257)*C257-G257)*Inputs!$L$10,IF(Inputs!$C$9="Residential",IF(((D257+E257)*C257-G257)&lt;='Assumptions and Catalog'!$C$50,((D257+E257)*C257-G257)*'Assumptions and Catalog'!$H$50+'Assumptions and Catalog'!$E$50+'Assumptions and Catalog'!$F$50,IF(((D257+E257)*C257-G257)&lt;='Assumptions and Catalog'!$C$51,((D257+E257)*C257-G257)*'Assumptions and Catalog'!$H$51+'Assumptions and Catalog'!$E$51+'Assumptions and Catalog'!$F$51,IF(((D257+E257)*C257-G257)&lt;='Assumptions and Catalog'!$C$52,((D257+E257)*C257-G257)*'Assumptions and Catalog'!$H$52+'Assumptions and Catalog'!$E$52+'Assumptions and Catalog'!$F$52,IF(((D257+E257)*C257-G257)&lt;='Assumptions and Catalog'!$C$53,((D257+E257)*C257-G257)*'Assumptions and Catalog'!$H$53+'Assumptions and Catalog'!$E$53+'Assumptions and Catalog'!$F$53,IF(((D257+E257)*C257-G257)&lt;='Assumptions and Catalog'!$C$54,((D257+E257)*C257-G257)*'Assumptions and Catalog'!$H$54+'Assumptions and Catalog'!$E$54+'Assumptions and Catalog'!$F$54,IF(((D257+E257)*C257-G257)&lt;='Assumptions and Catalog'!$C$55,((D257+E257)*C257-G257)*'Assumptions and Catalog'!$H$55+'Assumptions and Catalog'!$E$55+'Assumptions and Catalog'!$F$55,IF(((D257+E257)*C257-G257)&lt;='Assumptions and Catalog'!$C$56,((D257+E257)*C257-G257)*'Assumptions and Catalog'!$H$56+'Assumptions and Catalog'!$E$56+'Assumptions and Catalog'!$F$56,IF(((D257+E257)*C257-G257)&lt;='Assumptions and Catalog'!$C$57,((D257+E257)*C257-G257)*'Assumptions and Catalog'!$H$57+'Assumptions and Catalog'!$E$57+'Assumptions and Catalog'!$F$57,"Out of range")))))))),IF(((D257+E257)*C257-G257)&lt;='Assumptions and Catalog'!$C$60,((D257+E257)*C257-G257)*'Assumptions and Catalog'!$H$60+'Assumptions and Catalog'!$E$60+'Assumptions and Catalog'!$F$60,IF(((D257+E257)*C257-G257)&lt;='Assumptions and Catalog'!$C$61,((D257+E257)*C257-G257)*'Assumptions and Catalog'!$H$61+'Assumptions and Catalog'!$E$61+'Assumptions and Catalog'!$F$61,IF(((D257+E257)*C257-G257)&lt;='Assumptions and Catalog'!$C$62,((D257+E257)*C257-G257)*'Assumptions and Catalog'!$H$62+'Assumptions and Catalog'!$E$62+'Assumptions and Catalog'!$F$62,IF(((D257+E257)*C257-G257)&lt;='Assumptions and Catalog'!$C$63,((D257+E257)*C257-G257)*'Assumptions and Catalog'!$H$63+'Assumptions and Catalog'!$E$63+'Assumptions and Catalog'!$F$63,IF(((D257+E257)*C257-G257)&lt;='Assumptions and Catalog'!$C$64,((D257+E257)*C257-G257)*'Assumptions and Catalog'!$H$64+'Assumptions and Catalog'!$E$64+'Assumptions and Catalog'!$F$64,IF(((D257+E257)*C257-G257)&lt;='Assumptions and Catalog'!$C$65,((D257+E257)*C257-G257)*'Assumptions and Catalog'!$H$65+'Assumptions and Catalog'!$E$65+'Assumptions and Catalog'!$F$65,"Out of range")))))))))*(1+'Assumptions and Catalog'!$C$8)^(A257-1),0)</f>
        <v>3964.52865984198</v>
      </c>
      <c r="R257" s="5" t="n">
        <f>IF(AND('Assumptions and Catalog'!$C$19&gt;0,A257&gt;='Assumptions and Catalog'!$C$19),A257-'Assumptions and Catalog'!$C$19,A257-1)</f>
        <v>8</v>
      </c>
      <c r="S257" s="5" t="n">
        <f>F257+L257-(D257+E257)*C257-J257-K257-0</f>
        <v>0</v>
      </c>
      <c r="T257" s="5"/>
      <c r="U257" s="5"/>
    </row>
    <row r="258" ht="23.100000381469727" customHeight="1">
      <c r="A258" s="5" t="n">
        <v>9</v>
      </c>
      <c r="B258" s="5" t="n">
        <v>2</v>
      </c>
      <c r="C258" s="5" t="n">
        <f>DAY(DATE('Assumptions and Catalog'!$C$24+A258-1,B258+1,0))</f>
        <v>28</v>
      </c>
      <c r="D258" s="5" t="n">
        <f>IF(ISNUMBER(Inputs!$L$5),Inputs!$L$5*Inputs!$L$6,0)</f>
        <v>40.35</v>
      </c>
      <c r="E258" s="5" t="n">
        <f>IF(ISNUMBER(Inputs!$L$5),Inputs!$L$5-D258,0)</f>
        <v>40.35</v>
      </c>
      <c r="F258" s="5" t="n">
        <f>C$51*INDEX('Solar Production'!$D$20:$D$31,B258)*C258*(1-'Assumptions and Catalog'!$C$10)^(A258-1)</f>
        <v>1094.38308751939</v>
      </c>
      <c r="G258" s="5" t="n">
        <f>MIN(F258,D258*C258)</f>
        <v>1094.38308751939</v>
      </c>
      <c r="H258" s="5" t="n">
        <f>I258/('Assumptions and Catalog'!$C$11*'Assumptions and Catalog'!$C$12)</f>
        <v>0</v>
      </c>
      <c r="I258" s="5" t="n">
        <f>0</f>
        <v>0</v>
      </c>
      <c r="J258" s="5" t="n">
        <f>MAX(F258-G258-H258,0)</f>
        <v>0</v>
      </c>
      <c r="K258" s="5" t="n">
        <f>H258-I258</f>
        <v>0</v>
      </c>
      <c r="L258" s="5" t="n">
        <f>(D258+E258)*C258-G258-I258+0+0</f>
        <v>1165.21691248061</v>
      </c>
      <c r="M258" s="5" t="n">
        <f>IF(ISNUMBER(Inputs!$L$5),(IF(Inputs!$L$9="Actual flat rate",((D258+E258)*C258)*Inputs!$L$10,IF(Inputs!$C$9="Residential",IF(((D258+E258)*C258)&lt;='Assumptions and Catalog'!$C$50,((D258+E258)*C258)*'Assumptions and Catalog'!$H$50+'Assumptions and Catalog'!$E$50+'Assumptions and Catalog'!$F$50,IF(((D258+E258)*C258)&lt;='Assumptions and Catalog'!$C$51,((D258+E258)*C258)*'Assumptions and Catalog'!$H$51+'Assumptions and Catalog'!$E$51+'Assumptions and Catalog'!$F$51,IF(((D258+E258)*C258)&lt;='Assumptions and Catalog'!$C$52,((D258+E258)*C258)*'Assumptions and Catalog'!$H$52+'Assumptions and Catalog'!$E$52+'Assumptions and Catalog'!$F$52,IF(((D258+E258)*C258)&lt;='Assumptions and Catalog'!$C$53,((D258+E258)*C258)*'Assumptions and Catalog'!$H$53+'Assumptions and Catalog'!$E$53+'Assumptions and Catalog'!$F$53,IF(((D258+E258)*C258)&lt;='Assumptions and Catalog'!$C$54,((D258+E258)*C258)*'Assumptions and Catalog'!$H$54+'Assumptions and Catalog'!$E$54+'Assumptions and Catalog'!$F$54,IF(((D258+E258)*C258)&lt;='Assumptions and Catalog'!$C$55,((D258+E258)*C258)*'Assumptions and Catalog'!$H$55+'Assumptions and Catalog'!$E$55+'Assumptions and Catalog'!$F$55,IF(((D258+E258)*C258)&lt;='Assumptions and Catalog'!$C$56,((D258+E258)*C258)*'Assumptions and Catalog'!$H$56+'Assumptions and Catalog'!$E$56+'Assumptions and Catalog'!$F$56,IF(((D258+E258)*C258)&lt;='Assumptions and Catalog'!$C$57,((D258+E258)*C258)*'Assumptions and Catalog'!$H$57+'Assumptions and Catalog'!$E$57+'Assumptions and Catalog'!$F$57,"Out of range")))))))),IF(((D258+E258)*C258)&lt;='Assumptions and Catalog'!$C$60,((D258+E258)*C258)*'Assumptions and Catalog'!$H$60+'Assumptions and Catalog'!$E$60+'Assumptions and Catalog'!$F$60,IF(((D258+E258)*C258)&lt;='Assumptions and Catalog'!$C$61,((D258+E258)*C258)*'Assumptions and Catalog'!$H$61+'Assumptions and Catalog'!$E$61+'Assumptions and Catalog'!$F$61,IF(((D258+E258)*C258)&lt;='Assumptions and Catalog'!$C$62,((D258+E258)*C258)*'Assumptions and Catalog'!$H$62+'Assumptions and Catalog'!$E$62+'Assumptions and Catalog'!$F$62,IF(((D258+E258)*C258)&lt;='Assumptions and Catalog'!$C$63,((D258+E258)*C258)*'Assumptions and Catalog'!$H$63+'Assumptions and Catalog'!$E$63+'Assumptions and Catalog'!$F$63,IF(((D258+E258)*C258)&lt;='Assumptions and Catalog'!$C$64,((D258+E258)*C258)*'Assumptions and Catalog'!$H$64+'Assumptions and Catalog'!$E$64+'Assumptions and Catalog'!$F$64,IF(((D258+E258)*C258)&lt;='Assumptions and Catalog'!$C$65,((D258+E258)*C258)*'Assumptions and Catalog'!$H$65+'Assumptions and Catalog'!$E$65+'Assumptions and Catalog'!$F$65,"Out of range")))))))))*(1+'Assumptions and Catalog'!$C$8)^(A258-1),0)</f>
        <v>6412.072</v>
      </c>
      <c r="N258" s="5" t="n">
        <f>IF(ISNUMBER(Inputs!$L$5),(IF(Inputs!$L$9="Actual flat rate",L258*Inputs!$L$10,IF(Inputs!$C$9="Residential",IF(L258&lt;='Assumptions and Catalog'!$C$50,L258*'Assumptions and Catalog'!$H$50+'Assumptions and Catalog'!$E$50+'Assumptions and Catalog'!$F$50,IF(L258&lt;='Assumptions and Catalog'!$C$51,L258*'Assumptions and Catalog'!$H$51+'Assumptions and Catalog'!$E$51+'Assumptions and Catalog'!$F$51,IF(L258&lt;='Assumptions and Catalog'!$C$52,L258*'Assumptions and Catalog'!$H$52+'Assumptions and Catalog'!$E$52+'Assumptions and Catalog'!$F$52,IF(L258&lt;='Assumptions and Catalog'!$C$53,L258*'Assumptions and Catalog'!$H$53+'Assumptions and Catalog'!$E$53+'Assumptions and Catalog'!$F$53,IF(L258&lt;='Assumptions and Catalog'!$C$54,L258*'Assumptions and Catalog'!$H$54+'Assumptions and Catalog'!$E$54+'Assumptions and Catalog'!$F$54,IF(L258&lt;='Assumptions and Catalog'!$C$55,L258*'Assumptions and Catalog'!$H$55+'Assumptions and Catalog'!$E$55+'Assumptions and Catalog'!$F$55,IF(L258&lt;='Assumptions and Catalog'!$C$56,L258*'Assumptions and Catalog'!$H$56+'Assumptions and Catalog'!$E$56+'Assumptions and Catalog'!$F$56,IF(L258&lt;='Assumptions and Catalog'!$C$57,L258*'Assumptions and Catalog'!$H$57+'Assumptions and Catalog'!$E$57+'Assumptions and Catalog'!$F$57,"Out of range")))))))),IF(L258&lt;='Assumptions and Catalog'!$C$60,L258*'Assumptions and Catalog'!$H$60+'Assumptions and Catalog'!$E$60+'Assumptions and Catalog'!$F$60,IF(L258&lt;='Assumptions and Catalog'!$C$61,L258*'Assumptions and Catalog'!$H$61+'Assumptions and Catalog'!$E$61+'Assumptions and Catalog'!$F$61,IF(L258&lt;='Assumptions and Catalog'!$C$62,L258*'Assumptions and Catalog'!$H$62+'Assumptions and Catalog'!$E$62+'Assumptions and Catalog'!$F$62,IF(L258&lt;='Assumptions and Catalog'!$C$63,L258*'Assumptions and Catalog'!$H$63+'Assumptions and Catalog'!$E$63+'Assumptions and Catalog'!$F$63,IF(L258&lt;='Assumptions and Catalog'!$C$64,L258*'Assumptions and Catalog'!$H$64+'Assumptions and Catalog'!$E$64+'Assumptions and Catalog'!$F$64,IF(L258&lt;='Assumptions and Catalog'!$C$65,L258*'Assumptions and Catalog'!$H$65+'Assumptions and Catalog'!$E$65+'Assumptions and Catalog'!$F$65,"Out of range")))))))))*(1+'Assumptions and Catalog'!$C$8)^(A258-1),0)</f>
        <v>3325.91169319531</v>
      </c>
      <c r="O258" s="5" t="n">
        <f>M258-N258</f>
        <v>3086.16030680469</v>
      </c>
      <c r="P258" s="5" t="n">
        <f>C$55*(1-J$14)*(1-'Assumptions and Catalog'!$C$23)^R258</f>
        <v>0</v>
      </c>
      <c r="Q258" s="5" t="n">
        <f>IF(ISNUMBER(Inputs!$L$5),(IF(Inputs!$L$9="Actual flat rate",((D258+E258)*C258-G258)*Inputs!$L$10,IF(Inputs!$C$9="Residential",IF(((D258+E258)*C258-G258)&lt;='Assumptions and Catalog'!$C$50,((D258+E258)*C258-G258)*'Assumptions and Catalog'!$H$50+'Assumptions and Catalog'!$E$50+'Assumptions and Catalog'!$F$50,IF(((D258+E258)*C258-G258)&lt;='Assumptions and Catalog'!$C$51,((D258+E258)*C258-G258)*'Assumptions and Catalog'!$H$51+'Assumptions and Catalog'!$E$51+'Assumptions and Catalog'!$F$51,IF(((D258+E258)*C258-G258)&lt;='Assumptions and Catalog'!$C$52,((D258+E258)*C258-G258)*'Assumptions and Catalog'!$H$52+'Assumptions and Catalog'!$E$52+'Assumptions and Catalog'!$F$52,IF(((D258+E258)*C258-G258)&lt;='Assumptions and Catalog'!$C$53,((D258+E258)*C258-G258)*'Assumptions and Catalog'!$H$53+'Assumptions and Catalog'!$E$53+'Assumptions and Catalog'!$F$53,IF(((D258+E258)*C258-G258)&lt;='Assumptions and Catalog'!$C$54,((D258+E258)*C258-G258)*'Assumptions and Catalog'!$H$54+'Assumptions and Catalog'!$E$54+'Assumptions and Catalog'!$F$54,IF(((D258+E258)*C258-G258)&lt;='Assumptions and Catalog'!$C$55,((D258+E258)*C258-G258)*'Assumptions and Catalog'!$H$55+'Assumptions and Catalog'!$E$55+'Assumptions and Catalog'!$F$55,IF(((D258+E258)*C258-G258)&lt;='Assumptions and Catalog'!$C$56,((D258+E258)*C258-G258)*'Assumptions and Catalog'!$H$56+'Assumptions and Catalog'!$E$56+'Assumptions and Catalog'!$F$56,IF(((D258+E258)*C258-G258)&lt;='Assumptions and Catalog'!$C$57,((D258+E258)*C258-G258)*'Assumptions and Catalog'!$H$57+'Assumptions and Catalog'!$E$57+'Assumptions and Catalog'!$F$57,"Out of range")))))))),IF(((D258+E258)*C258-G258)&lt;='Assumptions and Catalog'!$C$60,((D258+E258)*C258-G258)*'Assumptions and Catalog'!$H$60+'Assumptions and Catalog'!$E$60+'Assumptions and Catalog'!$F$60,IF(((D258+E258)*C258-G258)&lt;='Assumptions and Catalog'!$C$61,((D258+E258)*C258-G258)*'Assumptions and Catalog'!$H$61+'Assumptions and Catalog'!$E$61+'Assumptions and Catalog'!$F$61,IF(((D258+E258)*C258-G258)&lt;='Assumptions and Catalog'!$C$62,((D258+E258)*C258-G258)*'Assumptions and Catalog'!$H$62+'Assumptions and Catalog'!$E$62+'Assumptions and Catalog'!$F$62,IF(((D258+E258)*C258-G258)&lt;='Assumptions and Catalog'!$C$63,((D258+E258)*C258-G258)*'Assumptions and Catalog'!$H$63+'Assumptions and Catalog'!$E$63+'Assumptions and Catalog'!$F$63,IF(((D258+E258)*C258-G258)&lt;='Assumptions and Catalog'!$C$64,((D258+E258)*C258-G258)*'Assumptions and Catalog'!$H$64+'Assumptions and Catalog'!$E$64+'Assumptions and Catalog'!$F$64,IF(((D258+E258)*C258-G258)&lt;='Assumptions and Catalog'!$C$65,((D258+E258)*C258-G258)*'Assumptions and Catalog'!$H$65+'Assumptions and Catalog'!$E$65+'Assumptions and Catalog'!$F$65,"Out of range")))))))))*(1+'Assumptions and Catalog'!$C$8)^(A258-1),0)</f>
        <v>3325.91169319531</v>
      </c>
      <c r="R258" s="5" t="n">
        <f>IF(AND('Assumptions and Catalog'!$C$19&gt;0,A258&gt;='Assumptions and Catalog'!$C$19),A258-'Assumptions and Catalog'!$C$19,A258-1)</f>
        <v>8</v>
      </c>
      <c r="S258" s="5" t="n">
        <f>F258+L258-(D258+E258)*C258-J258-K258-0</f>
        <v>0</v>
      </c>
      <c r="T258" s="5"/>
      <c r="U258" s="5"/>
    </row>
    <row r="259" ht="23.100000381469727" customHeight="1">
      <c r="A259" s="5" t="n">
        <v>9</v>
      </c>
      <c r="B259" s="5" t="n">
        <v>3</v>
      </c>
      <c r="C259" s="5" t="n">
        <f>DAY(DATE('Assumptions and Catalog'!$C$24+A259-1,B259+1,0))</f>
        <v>31</v>
      </c>
      <c r="D259" s="5" t="n">
        <f>IF(ISNUMBER(Inputs!$L$5),Inputs!$L$5*Inputs!$L$6,0)</f>
        <v>40.35</v>
      </c>
      <c r="E259" s="5" t="n">
        <f>IF(ISNUMBER(Inputs!$L$5),Inputs!$L$5-D259,0)</f>
        <v>40.35</v>
      </c>
      <c r="F259" s="5" t="n">
        <f>C$51*INDEX('Solar Production'!$D$20:$D$31,B259)*C259*(1-'Assumptions and Catalog'!$C$10)^(A259-1)</f>
        <v>1361.61715006469</v>
      </c>
      <c r="G259" s="5" t="n">
        <f>MIN(F259,D259*C259)</f>
        <v>1250.85</v>
      </c>
      <c r="H259" s="5" t="n">
        <f>I259/('Assumptions and Catalog'!$C$11*'Assumptions and Catalog'!$C$12)</f>
        <v>0</v>
      </c>
      <c r="I259" s="5" t="n">
        <f>0</f>
        <v>0</v>
      </c>
      <c r="J259" s="5" t="n">
        <f>MAX(F259-G259-H259,0)</f>
        <v>110.767150064687</v>
      </c>
      <c r="K259" s="5" t="n">
        <f>H259-I259</f>
        <v>0</v>
      </c>
      <c r="L259" s="5" t="n">
        <f>(D259+E259)*C259-G259-I259+0+0</f>
        <v>1250.85</v>
      </c>
      <c r="M259" s="5" t="n">
        <f>IF(ISNUMBER(Inputs!$L$5),(IF(Inputs!$L$9="Actual flat rate",((D259+E259)*C259)*Inputs!$L$10,IF(Inputs!$C$9="Residential",IF(((D259+E259)*C259)&lt;='Assumptions and Catalog'!$C$50,((D259+E259)*C259)*'Assumptions and Catalog'!$H$50+'Assumptions and Catalog'!$E$50+'Assumptions and Catalog'!$F$50,IF(((D259+E259)*C259)&lt;='Assumptions and Catalog'!$C$51,((D259+E259)*C259)*'Assumptions and Catalog'!$H$51+'Assumptions and Catalog'!$E$51+'Assumptions and Catalog'!$F$51,IF(((D259+E259)*C259)&lt;='Assumptions and Catalog'!$C$52,((D259+E259)*C259)*'Assumptions and Catalog'!$H$52+'Assumptions and Catalog'!$E$52+'Assumptions and Catalog'!$F$52,IF(((D259+E259)*C259)&lt;='Assumptions and Catalog'!$C$53,((D259+E259)*C259)*'Assumptions and Catalog'!$H$53+'Assumptions and Catalog'!$E$53+'Assumptions and Catalog'!$F$53,IF(((D259+E259)*C259)&lt;='Assumptions and Catalog'!$C$54,((D259+E259)*C259)*'Assumptions and Catalog'!$H$54+'Assumptions and Catalog'!$E$54+'Assumptions and Catalog'!$F$54,IF(((D259+E259)*C259)&lt;='Assumptions and Catalog'!$C$55,((D259+E259)*C259)*'Assumptions and Catalog'!$H$55+'Assumptions and Catalog'!$E$55+'Assumptions and Catalog'!$F$55,IF(((D259+E259)*C259)&lt;='Assumptions and Catalog'!$C$56,((D259+E259)*C259)*'Assumptions and Catalog'!$H$56+'Assumptions and Catalog'!$E$56+'Assumptions and Catalog'!$F$56,IF(((D259+E259)*C259)&lt;='Assumptions and Catalog'!$C$57,((D259+E259)*C259)*'Assumptions and Catalog'!$H$57+'Assumptions and Catalog'!$E$57+'Assumptions and Catalog'!$F$57,"Out of range")))))))),IF(((D259+E259)*C259)&lt;='Assumptions and Catalog'!$C$60,((D259+E259)*C259)*'Assumptions and Catalog'!$H$60+'Assumptions and Catalog'!$E$60+'Assumptions and Catalog'!$F$60,IF(((D259+E259)*C259)&lt;='Assumptions and Catalog'!$C$61,((D259+E259)*C259)*'Assumptions and Catalog'!$H$61+'Assumptions and Catalog'!$E$61+'Assumptions and Catalog'!$F$61,IF(((D259+E259)*C259)&lt;='Assumptions and Catalog'!$C$62,((D259+E259)*C259)*'Assumptions and Catalog'!$H$62+'Assumptions and Catalog'!$E$62+'Assumptions and Catalog'!$F$62,IF(((D259+E259)*C259)&lt;='Assumptions and Catalog'!$C$63,((D259+E259)*C259)*'Assumptions and Catalog'!$H$63+'Assumptions and Catalog'!$E$63+'Assumptions and Catalog'!$F$63,IF(((D259+E259)*C259)&lt;='Assumptions and Catalog'!$C$64,((D259+E259)*C259)*'Assumptions and Catalog'!$H$64+'Assumptions and Catalog'!$E$64+'Assumptions and Catalog'!$F$64,IF(((D259+E259)*C259)&lt;='Assumptions and Catalog'!$C$65,((D259+E259)*C259)*'Assumptions and Catalog'!$H$65+'Assumptions and Catalog'!$E$65+'Assumptions and Catalog'!$F$65,"Out of range")))))))))*(1+'Assumptions and Catalog'!$C$8)^(A259-1),0)</f>
        <v>7094.794</v>
      </c>
      <c r="N259" s="5" t="n">
        <f>IF(ISNUMBER(Inputs!$L$5),(IF(Inputs!$L$9="Actual flat rate",L259*Inputs!$L$10,IF(Inputs!$C$9="Residential",IF(L259&lt;='Assumptions and Catalog'!$C$50,L259*'Assumptions and Catalog'!$H$50+'Assumptions and Catalog'!$E$50+'Assumptions and Catalog'!$F$50,IF(L259&lt;='Assumptions and Catalog'!$C$51,L259*'Assumptions and Catalog'!$H$51+'Assumptions and Catalog'!$E$51+'Assumptions and Catalog'!$F$51,IF(L259&lt;='Assumptions and Catalog'!$C$52,L259*'Assumptions and Catalog'!$H$52+'Assumptions and Catalog'!$E$52+'Assumptions and Catalog'!$F$52,IF(L259&lt;='Assumptions and Catalog'!$C$53,L259*'Assumptions and Catalog'!$H$53+'Assumptions and Catalog'!$E$53+'Assumptions and Catalog'!$F$53,IF(L259&lt;='Assumptions and Catalog'!$C$54,L259*'Assumptions and Catalog'!$H$54+'Assumptions and Catalog'!$E$54+'Assumptions and Catalog'!$F$54,IF(L259&lt;='Assumptions and Catalog'!$C$55,L259*'Assumptions and Catalog'!$H$55+'Assumptions and Catalog'!$E$55+'Assumptions and Catalog'!$F$55,IF(L259&lt;='Assumptions and Catalog'!$C$56,L259*'Assumptions and Catalog'!$H$56+'Assumptions and Catalog'!$E$56+'Assumptions and Catalog'!$F$56,IF(L259&lt;='Assumptions and Catalog'!$C$57,L259*'Assumptions and Catalog'!$H$57+'Assumptions and Catalog'!$E$57+'Assumptions and Catalog'!$F$57,"Out of range")))))))),IF(L259&lt;='Assumptions and Catalog'!$C$60,L259*'Assumptions and Catalog'!$H$60+'Assumptions and Catalog'!$E$60+'Assumptions and Catalog'!$F$60,IF(L259&lt;='Assumptions and Catalog'!$C$61,L259*'Assumptions and Catalog'!$H$61+'Assumptions and Catalog'!$E$61+'Assumptions and Catalog'!$F$61,IF(L259&lt;='Assumptions and Catalog'!$C$62,L259*'Assumptions and Catalog'!$H$62+'Assumptions and Catalog'!$E$62+'Assumptions and Catalog'!$F$62,IF(L259&lt;='Assumptions and Catalog'!$C$63,L259*'Assumptions and Catalog'!$H$63+'Assumptions and Catalog'!$E$63+'Assumptions and Catalog'!$F$63,IF(L259&lt;='Assumptions and Catalog'!$C$64,L259*'Assumptions and Catalog'!$H$64+'Assumptions and Catalog'!$E$64+'Assumptions and Catalog'!$F$64,IF(L259&lt;='Assumptions and Catalog'!$C$65,L259*'Assumptions and Catalog'!$H$65+'Assumptions and Catalog'!$E$65+'Assumptions and Catalog'!$F$65,"Out of range")))))))))*(1+'Assumptions and Catalog'!$C$8)^(A259-1),0)</f>
        <v>3567.397</v>
      </c>
      <c r="O259" s="5" t="n">
        <f>M259-N259</f>
        <v>3527.397</v>
      </c>
      <c r="P259" s="5" t="n">
        <f>C$55*(1-J$14)*(1-'Assumptions and Catalog'!$C$23)^R259</f>
        <v>0</v>
      </c>
      <c r="Q259" s="5" t="n">
        <f>IF(ISNUMBER(Inputs!$L$5),(IF(Inputs!$L$9="Actual flat rate",((D259+E259)*C259-G259)*Inputs!$L$10,IF(Inputs!$C$9="Residential",IF(((D259+E259)*C259-G259)&lt;='Assumptions and Catalog'!$C$50,((D259+E259)*C259-G259)*'Assumptions and Catalog'!$H$50+'Assumptions and Catalog'!$E$50+'Assumptions and Catalog'!$F$50,IF(((D259+E259)*C259-G259)&lt;='Assumptions and Catalog'!$C$51,((D259+E259)*C259-G259)*'Assumptions and Catalog'!$H$51+'Assumptions and Catalog'!$E$51+'Assumptions and Catalog'!$F$51,IF(((D259+E259)*C259-G259)&lt;='Assumptions and Catalog'!$C$52,((D259+E259)*C259-G259)*'Assumptions and Catalog'!$H$52+'Assumptions and Catalog'!$E$52+'Assumptions and Catalog'!$F$52,IF(((D259+E259)*C259-G259)&lt;='Assumptions and Catalog'!$C$53,((D259+E259)*C259-G259)*'Assumptions and Catalog'!$H$53+'Assumptions and Catalog'!$E$53+'Assumptions and Catalog'!$F$53,IF(((D259+E259)*C259-G259)&lt;='Assumptions and Catalog'!$C$54,((D259+E259)*C259-G259)*'Assumptions and Catalog'!$H$54+'Assumptions and Catalog'!$E$54+'Assumptions and Catalog'!$F$54,IF(((D259+E259)*C259-G259)&lt;='Assumptions and Catalog'!$C$55,((D259+E259)*C259-G259)*'Assumptions and Catalog'!$H$55+'Assumptions and Catalog'!$E$55+'Assumptions and Catalog'!$F$55,IF(((D259+E259)*C259-G259)&lt;='Assumptions and Catalog'!$C$56,((D259+E259)*C259-G259)*'Assumptions and Catalog'!$H$56+'Assumptions and Catalog'!$E$56+'Assumptions and Catalog'!$F$56,IF(((D259+E259)*C259-G259)&lt;='Assumptions and Catalog'!$C$57,((D259+E259)*C259-G259)*'Assumptions and Catalog'!$H$57+'Assumptions and Catalog'!$E$57+'Assumptions and Catalog'!$F$57,"Out of range")))))))),IF(((D259+E259)*C259-G259)&lt;='Assumptions and Catalog'!$C$60,((D259+E259)*C259-G259)*'Assumptions and Catalog'!$H$60+'Assumptions and Catalog'!$E$60+'Assumptions and Catalog'!$F$60,IF(((D259+E259)*C259-G259)&lt;='Assumptions and Catalog'!$C$61,((D259+E259)*C259-G259)*'Assumptions and Catalog'!$H$61+'Assumptions and Catalog'!$E$61+'Assumptions and Catalog'!$F$61,IF(((D259+E259)*C259-G259)&lt;='Assumptions and Catalog'!$C$62,((D259+E259)*C259-G259)*'Assumptions and Catalog'!$H$62+'Assumptions and Catalog'!$E$62+'Assumptions and Catalog'!$F$62,IF(((D259+E259)*C259-G259)&lt;='Assumptions and Catalog'!$C$63,((D259+E259)*C259-G259)*'Assumptions and Catalog'!$H$63+'Assumptions and Catalog'!$E$63+'Assumptions and Catalog'!$F$63,IF(((D259+E259)*C259-G259)&lt;='Assumptions and Catalog'!$C$64,((D259+E259)*C259-G259)*'Assumptions and Catalog'!$H$64+'Assumptions and Catalog'!$E$64+'Assumptions and Catalog'!$F$64,IF(((D259+E259)*C259-G259)&lt;='Assumptions and Catalog'!$C$65,((D259+E259)*C259-G259)*'Assumptions and Catalog'!$H$65+'Assumptions and Catalog'!$E$65+'Assumptions and Catalog'!$F$65,"Out of range")))))))))*(1+'Assumptions and Catalog'!$C$8)^(A259-1),0)</f>
        <v>3567.397</v>
      </c>
      <c r="R259" s="5" t="n">
        <f>IF(AND('Assumptions and Catalog'!$C$19&gt;0,A259&gt;='Assumptions and Catalog'!$C$19),A259-'Assumptions and Catalog'!$C$19,A259-1)</f>
        <v>8</v>
      </c>
      <c r="S259" s="5" t="n">
        <f>F259+L259-(D259+E259)*C259-J259-K259-0</f>
        <v>0</v>
      </c>
      <c r="T259" s="5"/>
      <c r="U259" s="5"/>
    </row>
    <row r="260" ht="23.100000381469727" customHeight="1">
      <c r="A260" s="5" t="n">
        <v>9</v>
      </c>
      <c r="B260" s="5" t="n">
        <v>4</v>
      </c>
      <c r="C260" s="5" t="n">
        <f>DAY(DATE('Assumptions and Catalog'!$C$24+A260-1,B260+1,0))</f>
        <v>30</v>
      </c>
      <c r="D260" s="5" t="n">
        <f>IF(ISNUMBER(Inputs!$L$5),Inputs!$L$5*Inputs!$L$6,0)</f>
        <v>40.35</v>
      </c>
      <c r="E260" s="5" t="n">
        <f>IF(ISNUMBER(Inputs!$L$5),Inputs!$L$5-D260,0)</f>
        <v>40.35</v>
      </c>
      <c r="F260" s="5" t="n">
        <f>C$51*INDEX('Solar Production'!$D$20:$D$31,B260)*C260*(1-'Assumptions and Catalog'!$C$10)^(A260-1)</f>
        <v>1359.92633030799</v>
      </c>
      <c r="G260" s="5" t="n">
        <f>MIN(F260,D260*C260)</f>
        <v>1210.5</v>
      </c>
      <c r="H260" s="5" t="n">
        <f>I260/('Assumptions and Catalog'!$C$11*'Assumptions and Catalog'!$C$12)</f>
        <v>0</v>
      </c>
      <c r="I260" s="5" t="n">
        <f>0</f>
        <v>0</v>
      </c>
      <c r="J260" s="5" t="n">
        <f>MAX(F260-G260-H260,0)</f>
        <v>149.426330307994</v>
      </c>
      <c r="K260" s="5" t="n">
        <f>H260-I260</f>
        <v>0</v>
      </c>
      <c r="L260" s="5" t="n">
        <f>(D260+E260)*C260-G260-I260+0+0</f>
        <v>1210.5</v>
      </c>
      <c r="M260" s="5" t="n">
        <f>IF(ISNUMBER(Inputs!$L$5),(IF(Inputs!$L$9="Actual flat rate",((D260+E260)*C260)*Inputs!$L$10,IF(Inputs!$C$9="Residential",IF(((D260+E260)*C260)&lt;='Assumptions and Catalog'!$C$50,((D260+E260)*C260)*'Assumptions and Catalog'!$H$50+'Assumptions and Catalog'!$E$50+'Assumptions and Catalog'!$F$50,IF(((D260+E260)*C260)&lt;='Assumptions and Catalog'!$C$51,((D260+E260)*C260)*'Assumptions and Catalog'!$H$51+'Assumptions and Catalog'!$E$51+'Assumptions and Catalog'!$F$51,IF(((D260+E260)*C260)&lt;='Assumptions and Catalog'!$C$52,((D260+E260)*C260)*'Assumptions and Catalog'!$H$52+'Assumptions and Catalog'!$E$52+'Assumptions and Catalog'!$F$52,IF(((D260+E260)*C260)&lt;='Assumptions and Catalog'!$C$53,((D260+E260)*C260)*'Assumptions and Catalog'!$H$53+'Assumptions and Catalog'!$E$53+'Assumptions and Catalog'!$F$53,IF(((D260+E260)*C260)&lt;='Assumptions and Catalog'!$C$54,((D260+E260)*C260)*'Assumptions and Catalog'!$H$54+'Assumptions and Catalog'!$E$54+'Assumptions and Catalog'!$F$54,IF(((D260+E260)*C260)&lt;='Assumptions and Catalog'!$C$55,((D260+E260)*C260)*'Assumptions and Catalog'!$H$55+'Assumptions and Catalog'!$E$55+'Assumptions and Catalog'!$F$55,IF(((D260+E260)*C260)&lt;='Assumptions and Catalog'!$C$56,((D260+E260)*C260)*'Assumptions and Catalog'!$H$56+'Assumptions and Catalog'!$E$56+'Assumptions and Catalog'!$F$56,IF(((D260+E260)*C260)&lt;='Assumptions and Catalog'!$C$57,((D260+E260)*C260)*'Assumptions and Catalog'!$H$57+'Assumptions and Catalog'!$E$57+'Assumptions and Catalog'!$F$57,"Out of range")))))))),IF(((D260+E260)*C260)&lt;='Assumptions and Catalog'!$C$60,((D260+E260)*C260)*'Assumptions and Catalog'!$H$60+'Assumptions and Catalog'!$E$60+'Assumptions and Catalog'!$F$60,IF(((D260+E260)*C260)&lt;='Assumptions and Catalog'!$C$61,((D260+E260)*C260)*'Assumptions and Catalog'!$H$61+'Assumptions and Catalog'!$E$61+'Assumptions and Catalog'!$F$61,IF(((D260+E260)*C260)&lt;='Assumptions and Catalog'!$C$62,((D260+E260)*C260)*'Assumptions and Catalog'!$H$62+'Assumptions and Catalog'!$E$62+'Assumptions and Catalog'!$F$62,IF(((D260+E260)*C260)&lt;='Assumptions and Catalog'!$C$63,((D260+E260)*C260)*'Assumptions and Catalog'!$H$63+'Assumptions and Catalog'!$E$63+'Assumptions and Catalog'!$F$63,IF(((D260+E260)*C260)&lt;='Assumptions and Catalog'!$C$64,((D260+E260)*C260)*'Assumptions and Catalog'!$H$64+'Assumptions and Catalog'!$E$64+'Assumptions and Catalog'!$F$64,IF(((D260+E260)*C260)&lt;='Assumptions and Catalog'!$C$65,((D260+E260)*C260)*'Assumptions and Catalog'!$H$65+'Assumptions and Catalog'!$E$65+'Assumptions and Catalog'!$F$65,"Out of range")))))))))*(1+'Assumptions and Catalog'!$C$8)^(A260-1),0)</f>
        <v>6867.22</v>
      </c>
      <c r="N260" s="5" t="n">
        <f>IF(ISNUMBER(Inputs!$L$5),(IF(Inputs!$L$9="Actual flat rate",L260*Inputs!$L$10,IF(Inputs!$C$9="Residential",IF(L260&lt;='Assumptions and Catalog'!$C$50,L260*'Assumptions and Catalog'!$H$50+'Assumptions and Catalog'!$E$50+'Assumptions and Catalog'!$F$50,IF(L260&lt;='Assumptions and Catalog'!$C$51,L260*'Assumptions and Catalog'!$H$51+'Assumptions and Catalog'!$E$51+'Assumptions and Catalog'!$F$51,IF(L260&lt;='Assumptions and Catalog'!$C$52,L260*'Assumptions and Catalog'!$H$52+'Assumptions and Catalog'!$E$52+'Assumptions and Catalog'!$F$52,IF(L260&lt;='Assumptions and Catalog'!$C$53,L260*'Assumptions and Catalog'!$H$53+'Assumptions and Catalog'!$E$53+'Assumptions and Catalog'!$F$53,IF(L260&lt;='Assumptions and Catalog'!$C$54,L260*'Assumptions and Catalog'!$H$54+'Assumptions and Catalog'!$E$54+'Assumptions and Catalog'!$F$54,IF(L260&lt;='Assumptions and Catalog'!$C$55,L260*'Assumptions and Catalog'!$H$55+'Assumptions and Catalog'!$E$55+'Assumptions and Catalog'!$F$55,IF(L260&lt;='Assumptions and Catalog'!$C$56,L260*'Assumptions and Catalog'!$H$56+'Assumptions and Catalog'!$E$56+'Assumptions and Catalog'!$F$56,IF(L260&lt;='Assumptions and Catalog'!$C$57,L260*'Assumptions and Catalog'!$H$57+'Assumptions and Catalog'!$E$57+'Assumptions and Catalog'!$F$57,"Out of range")))))))),IF(L260&lt;='Assumptions and Catalog'!$C$60,L260*'Assumptions and Catalog'!$H$60+'Assumptions and Catalog'!$E$60+'Assumptions and Catalog'!$F$60,IF(L260&lt;='Assumptions and Catalog'!$C$61,L260*'Assumptions and Catalog'!$H$61+'Assumptions and Catalog'!$E$61+'Assumptions and Catalog'!$F$61,IF(L260&lt;='Assumptions and Catalog'!$C$62,L260*'Assumptions and Catalog'!$H$62+'Assumptions and Catalog'!$E$62+'Assumptions and Catalog'!$F$62,IF(L260&lt;='Assumptions and Catalog'!$C$63,L260*'Assumptions and Catalog'!$H$63+'Assumptions and Catalog'!$E$63+'Assumptions and Catalog'!$F$63,IF(L260&lt;='Assumptions and Catalog'!$C$64,L260*'Assumptions and Catalog'!$H$64+'Assumptions and Catalog'!$E$64+'Assumptions and Catalog'!$F$64,IF(L260&lt;='Assumptions and Catalog'!$C$65,L260*'Assumptions and Catalog'!$H$65+'Assumptions and Catalog'!$E$65+'Assumptions and Catalog'!$F$65,"Out of range")))))))))*(1+'Assumptions and Catalog'!$C$8)^(A260-1),0)</f>
        <v>3453.61</v>
      </c>
      <c r="O260" s="5" t="n">
        <f>M260-N260</f>
        <v>3413.61</v>
      </c>
      <c r="P260" s="5" t="n">
        <f>C$55*(1-J$14)*(1-'Assumptions and Catalog'!$C$23)^R260</f>
        <v>0</v>
      </c>
      <c r="Q260" s="5" t="n">
        <f>IF(ISNUMBER(Inputs!$L$5),(IF(Inputs!$L$9="Actual flat rate",((D260+E260)*C260-G260)*Inputs!$L$10,IF(Inputs!$C$9="Residential",IF(((D260+E260)*C260-G260)&lt;='Assumptions and Catalog'!$C$50,((D260+E260)*C260-G260)*'Assumptions and Catalog'!$H$50+'Assumptions and Catalog'!$E$50+'Assumptions and Catalog'!$F$50,IF(((D260+E260)*C260-G260)&lt;='Assumptions and Catalog'!$C$51,((D260+E260)*C260-G260)*'Assumptions and Catalog'!$H$51+'Assumptions and Catalog'!$E$51+'Assumptions and Catalog'!$F$51,IF(((D260+E260)*C260-G260)&lt;='Assumptions and Catalog'!$C$52,((D260+E260)*C260-G260)*'Assumptions and Catalog'!$H$52+'Assumptions and Catalog'!$E$52+'Assumptions and Catalog'!$F$52,IF(((D260+E260)*C260-G260)&lt;='Assumptions and Catalog'!$C$53,((D260+E260)*C260-G260)*'Assumptions and Catalog'!$H$53+'Assumptions and Catalog'!$E$53+'Assumptions and Catalog'!$F$53,IF(((D260+E260)*C260-G260)&lt;='Assumptions and Catalog'!$C$54,((D260+E260)*C260-G260)*'Assumptions and Catalog'!$H$54+'Assumptions and Catalog'!$E$54+'Assumptions and Catalog'!$F$54,IF(((D260+E260)*C260-G260)&lt;='Assumptions and Catalog'!$C$55,((D260+E260)*C260-G260)*'Assumptions and Catalog'!$H$55+'Assumptions and Catalog'!$E$55+'Assumptions and Catalog'!$F$55,IF(((D260+E260)*C260-G260)&lt;='Assumptions and Catalog'!$C$56,((D260+E260)*C260-G260)*'Assumptions and Catalog'!$H$56+'Assumptions and Catalog'!$E$56+'Assumptions and Catalog'!$F$56,IF(((D260+E260)*C260-G260)&lt;='Assumptions and Catalog'!$C$57,((D260+E260)*C260-G260)*'Assumptions and Catalog'!$H$57+'Assumptions and Catalog'!$E$57+'Assumptions and Catalog'!$F$57,"Out of range")))))))),IF(((D260+E260)*C260-G260)&lt;='Assumptions and Catalog'!$C$60,((D260+E260)*C260-G260)*'Assumptions and Catalog'!$H$60+'Assumptions and Catalog'!$E$60+'Assumptions and Catalog'!$F$60,IF(((D260+E260)*C260-G260)&lt;='Assumptions and Catalog'!$C$61,((D260+E260)*C260-G260)*'Assumptions and Catalog'!$H$61+'Assumptions and Catalog'!$E$61+'Assumptions and Catalog'!$F$61,IF(((D260+E260)*C260-G260)&lt;='Assumptions and Catalog'!$C$62,((D260+E260)*C260-G260)*'Assumptions and Catalog'!$H$62+'Assumptions and Catalog'!$E$62+'Assumptions and Catalog'!$F$62,IF(((D260+E260)*C260-G260)&lt;='Assumptions and Catalog'!$C$63,((D260+E260)*C260-G260)*'Assumptions and Catalog'!$H$63+'Assumptions and Catalog'!$E$63+'Assumptions and Catalog'!$F$63,IF(((D260+E260)*C260-G260)&lt;='Assumptions and Catalog'!$C$64,((D260+E260)*C260-G260)*'Assumptions and Catalog'!$H$64+'Assumptions and Catalog'!$E$64+'Assumptions and Catalog'!$F$64,IF(((D260+E260)*C260-G260)&lt;='Assumptions and Catalog'!$C$65,((D260+E260)*C260-G260)*'Assumptions and Catalog'!$H$65+'Assumptions and Catalog'!$E$65+'Assumptions and Catalog'!$F$65,"Out of range")))))))))*(1+'Assumptions and Catalog'!$C$8)^(A260-1),0)</f>
        <v>3453.61</v>
      </c>
      <c r="R260" s="5" t="n">
        <f>IF(AND('Assumptions and Catalog'!$C$19&gt;0,A260&gt;='Assumptions and Catalog'!$C$19),A260-'Assumptions and Catalog'!$C$19,A260-1)</f>
        <v>8</v>
      </c>
      <c r="S260" s="5" t="n">
        <f>F260+L260-(D260+E260)*C260-J260-K260-0</f>
        <v>0</v>
      </c>
      <c r="T260" s="5"/>
      <c r="U260" s="5"/>
    </row>
    <row r="261" ht="23.100000381469727" customHeight="1">
      <c r="A261" s="5" t="n">
        <v>9</v>
      </c>
      <c r="B261" s="5" t="n">
        <v>5</v>
      </c>
      <c r="C261" s="5" t="n">
        <f>DAY(DATE('Assumptions and Catalog'!$C$24+A261-1,B261+1,0))</f>
        <v>31</v>
      </c>
      <c r="D261" s="5" t="n">
        <f>IF(ISNUMBER(Inputs!$L$5),Inputs!$L$5*Inputs!$L$6,0)</f>
        <v>40.35</v>
      </c>
      <c r="E261" s="5" t="n">
        <f>IF(ISNUMBER(Inputs!$L$5),Inputs!$L$5-D261,0)</f>
        <v>40.35</v>
      </c>
      <c r="F261" s="5" t="n">
        <f>C$51*INDEX('Solar Production'!$D$20:$D$31,B261)*C261*(1-'Assumptions and Catalog'!$C$10)^(A261-1)</f>
        <v>1375.65095404524</v>
      </c>
      <c r="G261" s="5" t="n">
        <f>MIN(F261,D261*C261)</f>
        <v>1250.85</v>
      </c>
      <c r="H261" s="5" t="n">
        <f>I261/('Assumptions and Catalog'!$C$11*'Assumptions and Catalog'!$C$12)</f>
        <v>0</v>
      </c>
      <c r="I261" s="5" t="n">
        <f>0</f>
        <v>0</v>
      </c>
      <c r="J261" s="5" t="n">
        <f>MAX(F261-G261-H261,0)</f>
        <v>124.800954045237</v>
      </c>
      <c r="K261" s="5" t="n">
        <f>H261-I261</f>
        <v>0</v>
      </c>
      <c r="L261" s="5" t="n">
        <f>(D261+E261)*C261-G261-I261+0+0</f>
        <v>1250.85</v>
      </c>
      <c r="M261" s="5" t="n">
        <f>IF(ISNUMBER(Inputs!$L$5),(IF(Inputs!$L$9="Actual flat rate",((D261+E261)*C261)*Inputs!$L$10,IF(Inputs!$C$9="Residential",IF(((D261+E261)*C261)&lt;='Assumptions and Catalog'!$C$50,((D261+E261)*C261)*'Assumptions and Catalog'!$H$50+'Assumptions and Catalog'!$E$50+'Assumptions and Catalog'!$F$50,IF(((D261+E261)*C261)&lt;='Assumptions and Catalog'!$C$51,((D261+E261)*C261)*'Assumptions and Catalog'!$H$51+'Assumptions and Catalog'!$E$51+'Assumptions and Catalog'!$F$51,IF(((D261+E261)*C261)&lt;='Assumptions and Catalog'!$C$52,((D261+E261)*C261)*'Assumptions and Catalog'!$H$52+'Assumptions and Catalog'!$E$52+'Assumptions and Catalog'!$F$52,IF(((D261+E261)*C261)&lt;='Assumptions and Catalog'!$C$53,((D261+E261)*C261)*'Assumptions and Catalog'!$H$53+'Assumptions and Catalog'!$E$53+'Assumptions and Catalog'!$F$53,IF(((D261+E261)*C261)&lt;='Assumptions and Catalog'!$C$54,((D261+E261)*C261)*'Assumptions and Catalog'!$H$54+'Assumptions and Catalog'!$E$54+'Assumptions and Catalog'!$F$54,IF(((D261+E261)*C261)&lt;='Assumptions and Catalog'!$C$55,((D261+E261)*C261)*'Assumptions and Catalog'!$H$55+'Assumptions and Catalog'!$E$55+'Assumptions and Catalog'!$F$55,IF(((D261+E261)*C261)&lt;='Assumptions and Catalog'!$C$56,((D261+E261)*C261)*'Assumptions and Catalog'!$H$56+'Assumptions and Catalog'!$E$56+'Assumptions and Catalog'!$F$56,IF(((D261+E261)*C261)&lt;='Assumptions and Catalog'!$C$57,((D261+E261)*C261)*'Assumptions and Catalog'!$H$57+'Assumptions and Catalog'!$E$57+'Assumptions and Catalog'!$F$57,"Out of range")))))))),IF(((D261+E261)*C261)&lt;='Assumptions and Catalog'!$C$60,((D261+E261)*C261)*'Assumptions and Catalog'!$H$60+'Assumptions and Catalog'!$E$60+'Assumptions and Catalog'!$F$60,IF(((D261+E261)*C261)&lt;='Assumptions and Catalog'!$C$61,((D261+E261)*C261)*'Assumptions and Catalog'!$H$61+'Assumptions and Catalog'!$E$61+'Assumptions and Catalog'!$F$61,IF(((D261+E261)*C261)&lt;='Assumptions and Catalog'!$C$62,((D261+E261)*C261)*'Assumptions and Catalog'!$H$62+'Assumptions and Catalog'!$E$62+'Assumptions and Catalog'!$F$62,IF(((D261+E261)*C261)&lt;='Assumptions and Catalog'!$C$63,((D261+E261)*C261)*'Assumptions and Catalog'!$H$63+'Assumptions and Catalog'!$E$63+'Assumptions and Catalog'!$F$63,IF(((D261+E261)*C261)&lt;='Assumptions and Catalog'!$C$64,((D261+E261)*C261)*'Assumptions and Catalog'!$H$64+'Assumptions and Catalog'!$E$64+'Assumptions and Catalog'!$F$64,IF(((D261+E261)*C261)&lt;='Assumptions and Catalog'!$C$65,((D261+E261)*C261)*'Assumptions and Catalog'!$H$65+'Assumptions and Catalog'!$E$65+'Assumptions and Catalog'!$F$65,"Out of range")))))))))*(1+'Assumptions and Catalog'!$C$8)^(A261-1),0)</f>
        <v>7094.794</v>
      </c>
      <c r="N261" s="5" t="n">
        <f>IF(ISNUMBER(Inputs!$L$5),(IF(Inputs!$L$9="Actual flat rate",L261*Inputs!$L$10,IF(Inputs!$C$9="Residential",IF(L261&lt;='Assumptions and Catalog'!$C$50,L261*'Assumptions and Catalog'!$H$50+'Assumptions and Catalog'!$E$50+'Assumptions and Catalog'!$F$50,IF(L261&lt;='Assumptions and Catalog'!$C$51,L261*'Assumptions and Catalog'!$H$51+'Assumptions and Catalog'!$E$51+'Assumptions and Catalog'!$F$51,IF(L261&lt;='Assumptions and Catalog'!$C$52,L261*'Assumptions and Catalog'!$H$52+'Assumptions and Catalog'!$E$52+'Assumptions and Catalog'!$F$52,IF(L261&lt;='Assumptions and Catalog'!$C$53,L261*'Assumptions and Catalog'!$H$53+'Assumptions and Catalog'!$E$53+'Assumptions and Catalog'!$F$53,IF(L261&lt;='Assumptions and Catalog'!$C$54,L261*'Assumptions and Catalog'!$H$54+'Assumptions and Catalog'!$E$54+'Assumptions and Catalog'!$F$54,IF(L261&lt;='Assumptions and Catalog'!$C$55,L261*'Assumptions and Catalog'!$H$55+'Assumptions and Catalog'!$E$55+'Assumptions and Catalog'!$F$55,IF(L261&lt;='Assumptions and Catalog'!$C$56,L261*'Assumptions and Catalog'!$H$56+'Assumptions and Catalog'!$E$56+'Assumptions and Catalog'!$F$56,IF(L261&lt;='Assumptions and Catalog'!$C$57,L261*'Assumptions and Catalog'!$H$57+'Assumptions and Catalog'!$E$57+'Assumptions and Catalog'!$F$57,"Out of range")))))))),IF(L261&lt;='Assumptions and Catalog'!$C$60,L261*'Assumptions and Catalog'!$H$60+'Assumptions and Catalog'!$E$60+'Assumptions and Catalog'!$F$60,IF(L261&lt;='Assumptions and Catalog'!$C$61,L261*'Assumptions and Catalog'!$H$61+'Assumptions and Catalog'!$E$61+'Assumptions and Catalog'!$F$61,IF(L261&lt;='Assumptions and Catalog'!$C$62,L261*'Assumptions and Catalog'!$H$62+'Assumptions and Catalog'!$E$62+'Assumptions and Catalog'!$F$62,IF(L261&lt;='Assumptions and Catalog'!$C$63,L261*'Assumptions and Catalog'!$H$63+'Assumptions and Catalog'!$E$63+'Assumptions and Catalog'!$F$63,IF(L261&lt;='Assumptions and Catalog'!$C$64,L261*'Assumptions and Catalog'!$H$64+'Assumptions and Catalog'!$E$64+'Assumptions and Catalog'!$F$64,IF(L261&lt;='Assumptions and Catalog'!$C$65,L261*'Assumptions and Catalog'!$H$65+'Assumptions and Catalog'!$E$65+'Assumptions and Catalog'!$F$65,"Out of range")))))))))*(1+'Assumptions and Catalog'!$C$8)^(A261-1),0)</f>
        <v>3567.397</v>
      </c>
      <c r="O261" s="5" t="n">
        <f>M261-N261</f>
        <v>3527.397</v>
      </c>
      <c r="P261" s="5" t="n">
        <f>C$55*(1-J$14)*(1-'Assumptions and Catalog'!$C$23)^R261</f>
        <v>0</v>
      </c>
      <c r="Q261" s="5" t="n">
        <f>IF(ISNUMBER(Inputs!$L$5),(IF(Inputs!$L$9="Actual flat rate",((D261+E261)*C261-G261)*Inputs!$L$10,IF(Inputs!$C$9="Residential",IF(((D261+E261)*C261-G261)&lt;='Assumptions and Catalog'!$C$50,((D261+E261)*C261-G261)*'Assumptions and Catalog'!$H$50+'Assumptions and Catalog'!$E$50+'Assumptions and Catalog'!$F$50,IF(((D261+E261)*C261-G261)&lt;='Assumptions and Catalog'!$C$51,((D261+E261)*C261-G261)*'Assumptions and Catalog'!$H$51+'Assumptions and Catalog'!$E$51+'Assumptions and Catalog'!$F$51,IF(((D261+E261)*C261-G261)&lt;='Assumptions and Catalog'!$C$52,((D261+E261)*C261-G261)*'Assumptions and Catalog'!$H$52+'Assumptions and Catalog'!$E$52+'Assumptions and Catalog'!$F$52,IF(((D261+E261)*C261-G261)&lt;='Assumptions and Catalog'!$C$53,((D261+E261)*C261-G261)*'Assumptions and Catalog'!$H$53+'Assumptions and Catalog'!$E$53+'Assumptions and Catalog'!$F$53,IF(((D261+E261)*C261-G261)&lt;='Assumptions and Catalog'!$C$54,((D261+E261)*C261-G261)*'Assumptions and Catalog'!$H$54+'Assumptions and Catalog'!$E$54+'Assumptions and Catalog'!$F$54,IF(((D261+E261)*C261-G261)&lt;='Assumptions and Catalog'!$C$55,((D261+E261)*C261-G261)*'Assumptions and Catalog'!$H$55+'Assumptions and Catalog'!$E$55+'Assumptions and Catalog'!$F$55,IF(((D261+E261)*C261-G261)&lt;='Assumptions and Catalog'!$C$56,((D261+E261)*C261-G261)*'Assumptions and Catalog'!$H$56+'Assumptions and Catalog'!$E$56+'Assumptions and Catalog'!$F$56,IF(((D261+E261)*C261-G261)&lt;='Assumptions and Catalog'!$C$57,((D261+E261)*C261-G261)*'Assumptions and Catalog'!$H$57+'Assumptions and Catalog'!$E$57+'Assumptions and Catalog'!$F$57,"Out of range")))))))),IF(((D261+E261)*C261-G261)&lt;='Assumptions and Catalog'!$C$60,((D261+E261)*C261-G261)*'Assumptions and Catalog'!$H$60+'Assumptions and Catalog'!$E$60+'Assumptions and Catalog'!$F$60,IF(((D261+E261)*C261-G261)&lt;='Assumptions and Catalog'!$C$61,((D261+E261)*C261-G261)*'Assumptions and Catalog'!$H$61+'Assumptions and Catalog'!$E$61+'Assumptions and Catalog'!$F$61,IF(((D261+E261)*C261-G261)&lt;='Assumptions and Catalog'!$C$62,((D261+E261)*C261-G261)*'Assumptions and Catalog'!$H$62+'Assumptions and Catalog'!$E$62+'Assumptions and Catalog'!$F$62,IF(((D261+E261)*C261-G261)&lt;='Assumptions and Catalog'!$C$63,((D261+E261)*C261-G261)*'Assumptions and Catalog'!$H$63+'Assumptions and Catalog'!$E$63+'Assumptions and Catalog'!$F$63,IF(((D261+E261)*C261-G261)&lt;='Assumptions and Catalog'!$C$64,((D261+E261)*C261-G261)*'Assumptions and Catalog'!$H$64+'Assumptions and Catalog'!$E$64+'Assumptions and Catalog'!$F$64,IF(((D261+E261)*C261-G261)&lt;='Assumptions and Catalog'!$C$65,((D261+E261)*C261-G261)*'Assumptions and Catalog'!$H$65+'Assumptions and Catalog'!$E$65+'Assumptions and Catalog'!$F$65,"Out of range")))))))))*(1+'Assumptions and Catalog'!$C$8)^(A261-1),0)</f>
        <v>3567.397</v>
      </c>
      <c r="R261" s="5" t="n">
        <f>IF(AND('Assumptions and Catalog'!$C$19&gt;0,A261&gt;='Assumptions and Catalog'!$C$19),A261-'Assumptions and Catalog'!$C$19,A261-1)</f>
        <v>8</v>
      </c>
      <c r="S261" s="5" t="n">
        <f>F261+L261-(D261+E261)*C261-J261-K261-0</f>
        <v>0</v>
      </c>
      <c r="T261" s="5"/>
      <c r="U261" s="5"/>
    </row>
    <row r="262" ht="23.100000381469727" customHeight="1">
      <c r="A262" s="5" t="n">
        <v>9</v>
      </c>
      <c r="B262" s="5" t="n">
        <v>6</v>
      </c>
      <c r="C262" s="5" t="n">
        <f>DAY(DATE('Assumptions and Catalog'!$C$24+A262-1,B262+1,0))</f>
        <v>30</v>
      </c>
      <c r="D262" s="5" t="n">
        <f>IF(ISNUMBER(Inputs!$L$5),Inputs!$L$5*Inputs!$L$6,0)</f>
        <v>40.35</v>
      </c>
      <c r="E262" s="5" t="n">
        <f>IF(ISNUMBER(Inputs!$L$5),Inputs!$L$5-D262,0)</f>
        <v>40.35</v>
      </c>
      <c r="F262" s="5" t="n">
        <f>C$51*INDEX('Solar Production'!$D$20:$D$31,B262)*C262*(1-'Assumptions and Catalog'!$C$10)^(A262-1)</f>
        <v>1340.98914903304</v>
      </c>
      <c r="G262" s="5" t="n">
        <f>MIN(F262,D262*C262)</f>
        <v>1210.5</v>
      </c>
      <c r="H262" s="5" t="n">
        <f>I262/('Assumptions and Catalog'!$C$11*'Assumptions and Catalog'!$C$12)</f>
        <v>0</v>
      </c>
      <c r="I262" s="5" t="n">
        <f>0</f>
        <v>0</v>
      </c>
      <c r="J262" s="5" t="n">
        <f>MAX(F262-G262-H262,0)</f>
        <v>130.489149033035</v>
      </c>
      <c r="K262" s="5" t="n">
        <f>H262-I262</f>
        <v>0</v>
      </c>
      <c r="L262" s="5" t="n">
        <f>(D262+E262)*C262-G262-I262+0+0</f>
        <v>1210.5</v>
      </c>
      <c r="M262" s="5" t="n">
        <f>IF(ISNUMBER(Inputs!$L$5),(IF(Inputs!$L$9="Actual flat rate",((D262+E262)*C262)*Inputs!$L$10,IF(Inputs!$C$9="Residential",IF(((D262+E262)*C262)&lt;='Assumptions and Catalog'!$C$50,((D262+E262)*C262)*'Assumptions and Catalog'!$H$50+'Assumptions and Catalog'!$E$50+'Assumptions and Catalog'!$F$50,IF(((D262+E262)*C262)&lt;='Assumptions and Catalog'!$C$51,((D262+E262)*C262)*'Assumptions and Catalog'!$H$51+'Assumptions and Catalog'!$E$51+'Assumptions and Catalog'!$F$51,IF(((D262+E262)*C262)&lt;='Assumptions and Catalog'!$C$52,((D262+E262)*C262)*'Assumptions and Catalog'!$H$52+'Assumptions and Catalog'!$E$52+'Assumptions and Catalog'!$F$52,IF(((D262+E262)*C262)&lt;='Assumptions and Catalog'!$C$53,((D262+E262)*C262)*'Assumptions and Catalog'!$H$53+'Assumptions and Catalog'!$E$53+'Assumptions and Catalog'!$F$53,IF(((D262+E262)*C262)&lt;='Assumptions and Catalog'!$C$54,((D262+E262)*C262)*'Assumptions and Catalog'!$H$54+'Assumptions and Catalog'!$E$54+'Assumptions and Catalog'!$F$54,IF(((D262+E262)*C262)&lt;='Assumptions and Catalog'!$C$55,((D262+E262)*C262)*'Assumptions and Catalog'!$H$55+'Assumptions and Catalog'!$E$55+'Assumptions and Catalog'!$F$55,IF(((D262+E262)*C262)&lt;='Assumptions and Catalog'!$C$56,((D262+E262)*C262)*'Assumptions and Catalog'!$H$56+'Assumptions and Catalog'!$E$56+'Assumptions and Catalog'!$F$56,IF(((D262+E262)*C262)&lt;='Assumptions and Catalog'!$C$57,((D262+E262)*C262)*'Assumptions and Catalog'!$H$57+'Assumptions and Catalog'!$E$57+'Assumptions and Catalog'!$F$57,"Out of range")))))))),IF(((D262+E262)*C262)&lt;='Assumptions and Catalog'!$C$60,((D262+E262)*C262)*'Assumptions and Catalog'!$H$60+'Assumptions and Catalog'!$E$60+'Assumptions and Catalog'!$F$60,IF(((D262+E262)*C262)&lt;='Assumptions and Catalog'!$C$61,((D262+E262)*C262)*'Assumptions and Catalog'!$H$61+'Assumptions and Catalog'!$E$61+'Assumptions and Catalog'!$F$61,IF(((D262+E262)*C262)&lt;='Assumptions and Catalog'!$C$62,((D262+E262)*C262)*'Assumptions and Catalog'!$H$62+'Assumptions and Catalog'!$E$62+'Assumptions and Catalog'!$F$62,IF(((D262+E262)*C262)&lt;='Assumptions and Catalog'!$C$63,((D262+E262)*C262)*'Assumptions and Catalog'!$H$63+'Assumptions and Catalog'!$E$63+'Assumptions and Catalog'!$F$63,IF(((D262+E262)*C262)&lt;='Assumptions and Catalog'!$C$64,((D262+E262)*C262)*'Assumptions and Catalog'!$H$64+'Assumptions and Catalog'!$E$64+'Assumptions and Catalog'!$F$64,IF(((D262+E262)*C262)&lt;='Assumptions and Catalog'!$C$65,((D262+E262)*C262)*'Assumptions and Catalog'!$H$65+'Assumptions and Catalog'!$E$65+'Assumptions and Catalog'!$F$65,"Out of range")))))))))*(1+'Assumptions and Catalog'!$C$8)^(A262-1),0)</f>
        <v>6867.22</v>
      </c>
      <c r="N262" s="5" t="n">
        <f>IF(ISNUMBER(Inputs!$L$5),(IF(Inputs!$L$9="Actual flat rate",L262*Inputs!$L$10,IF(Inputs!$C$9="Residential",IF(L262&lt;='Assumptions and Catalog'!$C$50,L262*'Assumptions and Catalog'!$H$50+'Assumptions and Catalog'!$E$50+'Assumptions and Catalog'!$F$50,IF(L262&lt;='Assumptions and Catalog'!$C$51,L262*'Assumptions and Catalog'!$H$51+'Assumptions and Catalog'!$E$51+'Assumptions and Catalog'!$F$51,IF(L262&lt;='Assumptions and Catalog'!$C$52,L262*'Assumptions and Catalog'!$H$52+'Assumptions and Catalog'!$E$52+'Assumptions and Catalog'!$F$52,IF(L262&lt;='Assumptions and Catalog'!$C$53,L262*'Assumptions and Catalog'!$H$53+'Assumptions and Catalog'!$E$53+'Assumptions and Catalog'!$F$53,IF(L262&lt;='Assumptions and Catalog'!$C$54,L262*'Assumptions and Catalog'!$H$54+'Assumptions and Catalog'!$E$54+'Assumptions and Catalog'!$F$54,IF(L262&lt;='Assumptions and Catalog'!$C$55,L262*'Assumptions and Catalog'!$H$55+'Assumptions and Catalog'!$E$55+'Assumptions and Catalog'!$F$55,IF(L262&lt;='Assumptions and Catalog'!$C$56,L262*'Assumptions and Catalog'!$H$56+'Assumptions and Catalog'!$E$56+'Assumptions and Catalog'!$F$56,IF(L262&lt;='Assumptions and Catalog'!$C$57,L262*'Assumptions and Catalog'!$H$57+'Assumptions and Catalog'!$E$57+'Assumptions and Catalog'!$F$57,"Out of range")))))))),IF(L262&lt;='Assumptions and Catalog'!$C$60,L262*'Assumptions and Catalog'!$H$60+'Assumptions and Catalog'!$E$60+'Assumptions and Catalog'!$F$60,IF(L262&lt;='Assumptions and Catalog'!$C$61,L262*'Assumptions and Catalog'!$H$61+'Assumptions and Catalog'!$E$61+'Assumptions and Catalog'!$F$61,IF(L262&lt;='Assumptions and Catalog'!$C$62,L262*'Assumptions and Catalog'!$H$62+'Assumptions and Catalog'!$E$62+'Assumptions and Catalog'!$F$62,IF(L262&lt;='Assumptions and Catalog'!$C$63,L262*'Assumptions and Catalog'!$H$63+'Assumptions and Catalog'!$E$63+'Assumptions and Catalog'!$F$63,IF(L262&lt;='Assumptions and Catalog'!$C$64,L262*'Assumptions and Catalog'!$H$64+'Assumptions and Catalog'!$E$64+'Assumptions and Catalog'!$F$64,IF(L262&lt;='Assumptions and Catalog'!$C$65,L262*'Assumptions and Catalog'!$H$65+'Assumptions and Catalog'!$E$65+'Assumptions and Catalog'!$F$65,"Out of range")))))))))*(1+'Assumptions and Catalog'!$C$8)^(A262-1),0)</f>
        <v>3453.61</v>
      </c>
      <c r="O262" s="5" t="n">
        <f>M262-N262</f>
        <v>3413.61</v>
      </c>
      <c r="P262" s="5" t="n">
        <f>C$55*(1-J$14)*(1-'Assumptions and Catalog'!$C$23)^R262</f>
        <v>0</v>
      </c>
      <c r="Q262" s="5" t="n">
        <f>IF(ISNUMBER(Inputs!$L$5),(IF(Inputs!$L$9="Actual flat rate",((D262+E262)*C262-G262)*Inputs!$L$10,IF(Inputs!$C$9="Residential",IF(((D262+E262)*C262-G262)&lt;='Assumptions and Catalog'!$C$50,((D262+E262)*C262-G262)*'Assumptions and Catalog'!$H$50+'Assumptions and Catalog'!$E$50+'Assumptions and Catalog'!$F$50,IF(((D262+E262)*C262-G262)&lt;='Assumptions and Catalog'!$C$51,((D262+E262)*C262-G262)*'Assumptions and Catalog'!$H$51+'Assumptions and Catalog'!$E$51+'Assumptions and Catalog'!$F$51,IF(((D262+E262)*C262-G262)&lt;='Assumptions and Catalog'!$C$52,((D262+E262)*C262-G262)*'Assumptions and Catalog'!$H$52+'Assumptions and Catalog'!$E$52+'Assumptions and Catalog'!$F$52,IF(((D262+E262)*C262-G262)&lt;='Assumptions and Catalog'!$C$53,((D262+E262)*C262-G262)*'Assumptions and Catalog'!$H$53+'Assumptions and Catalog'!$E$53+'Assumptions and Catalog'!$F$53,IF(((D262+E262)*C262-G262)&lt;='Assumptions and Catalog'!$C$54,((D262+E262)*C262-G262)*'Assumptions and Catalog'!$H$54+'Assumptions and Catalog'!$E$54+'Assumptions and Catalog'!$F$54,IF(((D262+E262)*C262-G262)&lt;='Assumptions and Catalog'!$C$55,((D262+E262)*C262-G262)*'Assumptions and Catalog'!$H$55+'Assumptions and Catalog'!$E$55+'Assumptions and Catalog'!$F$55,IF(((D262+E262)*C262-G262)&lt;='Assumptions and Catalog'!$C$56,((D262+E262)*C262-G262)*'Assumptions and Catalog'!$H$56+'Assumptions and Catalog'!$E$56+'Assumptions and Catalog'!$F$56,IF(((D262+E262)*C262-G262)&lt;='Assumptions and Catalog'!$C$57,((D262+E262)*C262-G262)*'Assumptions and Catalog'!$H$57+'Assumptions and Catalog'!$E$57+'Assumptions and Catalog'!$F$57,"Out of range")))))))),IF(((D262+E262)*C262-G262)&lt;='Assumptions and Catalog'!$C$60,((D262+E262)*C262-G262)*'Assumptions and Catalog'!$H$60+'Assumptions and Catalog'!$E$60+'Assumptions and Catalog'!$F$60,IF(((D262+E262)*C262-G262)&lt;='Assumptions and Catalog'!$C$61,((D262+E262)*C262-G262)*'Assumptions and Catalog'!$H$61+'Assumptions and Catalog'!$E$61+'Assumptions and Catalog'!$F$61,IF(((D262+E262)*C262-G262)&lt;='Assumptions and Catalog'!$C$62,((D262+E262)*C262-G262)*'Assumptions and Catalog'!$H$62+'Assumptions and Catalog'!$E$62+'Assumptions and Catalog'!$F$62,IF(((D262+E262)*C262-G262)&lt;='Assumptions and Catalog'!$C$63,((D262+E262)*C262-G262)*'Assumptions and Catalog'!$H$63+'Assumptions and Catalog'!$E$63+'Assumptions and Catalog'!$F$63,IF(((D262+E262)*C262-G262)&lt;='Assumptions and Catalog'!$C$64,((D262+E262)*C262-G262)*'Assumptions and Catalog'!$H$64+'Assumptions and Catalog'!$E$64+'Assumptions and Catalog'!$F$64,IF(((D262+E262)*C262-G262)&lt;='Assumptions and Catalog'!$C$65,((D262+E262)*C262-G262)*'Assumptions and Catalog'!$H$65+'Assumptions and Catalog'!$E$65+'Assumptions and Catalog'!$F$65,"Out of range")))))))))*(1+'Assumptions and Catalog'!$C$8)^(A262-1),0)</f>
        <v>3453.61</v>
      </c>
      <c r="R262" s="5" t="n">
        <f>IF(AND('Assumptions and Catalog'!$C$19&gt;0,A262&gt;='Assumptions and Catalog'!$C$19),A262-'Assumptions and Catalog'!$C$19,A262-1)</f>
        <v>8</v>
      </c>
      <c r="S262" s="5" t="n">
        <f>F262+L262-(D262+E262)*C262-J262-K262-0</f>
        <v>0</v>
      </c>
      <c r="T262" s="5"/>
      <c r="U262" s="5"/>
    </row>
    <row r="263" ht="23.100000381469727" customHeight="1">
      <c r="A263" s="5" t="n">
        <v>9</v>
      </c>
      <c r="B263" s="5" t="n">
        <v>7</v>
      </c>
      <c r="C263" s="5" t="n">
        <f>DAY(DATE('Assumptions and Catalog'!$C$24+A263-1,B263+1,0))</f>
        <v>31</v>
      </c>
      <c r="D263" s="5" t="n">
        <f>IF(ISNUMBER(Inputs!$L$5),Inputs!$L$5*Inputs!$L$6,0)</f>
        <v>40.35</v>
      </c>
      <c r="E263" s="5" t="n">
        <f>IF(ISNUMBER(Inputs!$L$5),Inputs!$L$5-D263,0)</f>
        <v>40.35</v>
      </c>
      <c r="F263" s="5" t="n">
        <f>C$51*INDEX('Solar Production'!$D$20:$D$31,B263)*C263*(1-'Assumptions and Catalog'!$C$10)^(A263-1)</f>
        <v>1392.05190568516</v>
      </c>
      <c r="G263" s="5" t="n">
        <f>MIN(F263,D263*C263)</f>
        <v>1250.85</v>
      </c>
      <c r="H263" s="5" t="n">
        <f>I263/('Assumptions and Catalog'!$C$11*'Assumptions and Catalog'!$C$12)</f>
        <v>0</v>
      </c>
      <c r="I263" s="5" t="n">
        <f>0</f>
        <v>0</v>
      </c>
      <c r="J263" s="5" t="n">
        <f>MAX(F263-G263-H263,0)</f>
        <v>141.201905685157</v>
      </c>
      <c r="K263" s="5" t="n">
        <f>H263-I263</f>
        <v>0</v>
      </c>
      <c r="L263" s="5" t="n">
        <f>(D263+E263)*C263-G263-I263+0+0</f>
        <v>1250.85</v>
      </c>
      <c r="M263" s="5" t="n">
        <f>IF(ISNUMBER(Inputs!$L$5),(IF(Inputs!$L$9="Actual flat rate",((D263+E263)*C263)*Inputs!$L$10,IF(Inputs!$C$9="Residential",IF(((D263+E263)*C263)&lt;='Assumptions and Catalog'!$C$50,((D263+E263)*C263)*'Assumptions and Catalog'!$H$50+'Assumptions and Catalog'!$E$50+'Assumptions and Catalog'!$F$50,IF(((D263+E263)*C263)&lt;='Assumptions and Catalog'!$C$51,((D263+E263)*C263)*'Assumptions and Catalog'!$H$51+'Assumptions and Catalog'!$E$51+'Assumptions and Catalog'!$F$51,IF(((D263+E263)*C263)&lt;='Assumptions and Catalog'!$C$52,((D263+E263)*C263)*'Assumptions and Catalog'!$H$52+'Assumptions and Catalog'!$E$52+'Assumptions and Catalog'!$F$52,IF(((D263+E263)*C263)&lt;='Assumptions and Catalog'!$C$53,((D263+E263)*C263)*'Assumptions and Catalog'!$H$53+'Assumptions and Catalog'!$E$53+'Assumptions and Catalog'!$F$53,IF(((D263+E263)*C263)&lt;='Assumptions and Catalog'!$C$54,((D263+E263)*C263)*'Assumptions and Catalog'!$H$54+'Assumptions and Catalog'!$E$54+'Assumptions and Catalog'!$F$54,IF(((D263+E263)*C263)&lt;='Assumptions and Catalog'!$C$55,((D263+E263)*C263)*'Assumptions and Catalog'!$H$55+'Assumptions and Catalog'!$E$55+'Assumptions and Catalog'!$F$55,IF(((D263+E263)*C263)&lt;='Assumptions and Catalog'!$C$56,((D263+E263)*C263)*'Assumptions and Catalog'!$H$56+'Assumptions and Catalog'!$E$56+'Assumptions and Catalog'!$F$56,IF(((D263+E263)*C263)&lt;='Assumptions and Catalog'!$C$57,((D263+E263)*C263)*'Assumptions and Catalog'!$H$57+'Assumptions and Catalog'!$E$57+'Assumptions and Catalog'!$F$57,"Out of range")))))))),IF(((D263+E263)*C263)&lt;='Assumptions and Catalog'!$C$60,((D263+E263)*C263)*'Assumptions and Catalog'!$H$60+'Assumptions and Catalog'!$E$60+'Assumptions and Catalog'!$F$60,IF(((D263+E263)*C263)&lt;='Assumptions and Catalog'!$C$61,((D263+E263)*C263)*'Assumptions and Catalog'!$H$61+'Assumptions and Catalog'!$E$61+'Assumptions and Catalog'!$F$61,IF(((D263+E263)*C263)&lt;='Assumptions and Catalog'!$C$62,((D263+E263)*C263)*'Assumptions and Catalog'!$H$62+'Assumptions and Catalog'!$E$62+'Assumptions and Catalog'!$F$62,IF(((D263+E263)*C263)&lt;='Assumptions and Catalog'!$C$63,((D263+E263)*C263)*'Assumptions and Catalog'!$H$63+'Assumptions and Catalog'!$E$63+'Assumptions and Catalog'!$F$63,IF(((D263+E263)*C263)&lt;='Assumptions and Catalog'!$C$64,((D263+E263)*C263)*'Assumptions and Catalog'!$H$64+'Assumptions and Catalog'!$E$64+'Assumptions and Catalog'!$F$64,IF(((D263+E263)*C263)&lt;='Assumptions and Catalog'!$C$65,((D263+E263)*C263)*'Assumptions and Catalog'!$H$65+'Assumptions and Catalog'!$E$65+'Assumptions and Catalog'!$F$65,"Out of range")))))))))*(1+'Assumptions and Catalog'!$C$8)^(A263-1),0)</f>
        <v>7094.794</v>
      </c>
      <c r="N263" s="5" t="n">
        <f>IF(ISNUMBER(Inputs!$L$5),(IF(Inputs!$L$9="Actual flat rate",L263*Inputs!$L$10,IF(Inputs!$C$9="Residential",IF(L263&lt;='Assumptions and Catalog'!$C$50,L263*'Assumptions and Catalog'!$H$50+'Assumptions and Catalog'!$E$50+'Assumptions and Catalog'!$F$50,IF(L263&lt;='Assumptions and Catalog'!$C$51,L263*'Assumptions and Catalog'!$H$51+'Assumptions and Catalog'!$E$51+'Assumptions and Catalog'!$F$51,IF(L263&lt;='Assumptions and Catalog'!$C$52,L263*'Assumptions and Catalog'!$H$52+'Assumptions and Catalog'!$E$52+'Assumptions and Catalog'!$F$52,IF(L263&lt;='Assumptions and Catalog'!$C$53,L263*'Assumptions and Catalog'!$H$53+'Assumptions and Catalog'!$E$53+'Assumptions and Catalog'!$F$53,IF(L263&lt;='Assumptions and Catalog'!$C$54,L263*'Assumptions and Catalog'!$H$54+'Assumptions and Catalog'!$E$54+'Assumptions and Catalog'!$F$54,IF(L263&lt;='Assumptions and Catalog'!$C$55,L263*'Assumptions and Catalog'!$H$55+'Assumptions and Catalog'!$E$55+'Assumptions and Catalog'!$F$55,IF(L263&lt;='Assumptions and Catalog'!$C$56,L263*'Assumptions and Catalog'!$H$56+'Assumptions and Catalog'!$E$56+'Assumptions and Catalog'!$F$56,IF(L263&lt;='Assumptions and Catalog'!$C$57,L263*'Assumptions and Catalog'!$H$57+'Assumptions and Catalog'!$E$57+'Assumptions and Catalog'!$F$57,"Out of range")))))))),IF(L263&lt;='Assumptions and Catalog'!$C$60,L263*'Assumptions and Catalog'!$H$60+'Assumptions and Catalog'!$E$60+'Assumptions and Catalog'!$F$60,IF(L263&lt;='Assumptions and Catalog'!$C$61,L263*'Assumptions and Catalog'!$H$61+'Assumptions and Catalog'!$E$61+'Assumptions and Catalog'!$F$61,IF(L263&lt;='Assumptions and Catalog'!$C$62,L263*'Assumptions and Catalog'!$H$62+'Assumptions and Catalog'!$E$62+'Assumptions and Catalog'!$F$62,IF(L263&lt;='Assumptions and Catalog'!$C$63,L263*'Assumptions and Catalog'!$H$63+'Assumptions and Catalog'!$E$63+'Assumptions and Catalog'!$F$63,IF(L263&lt;='Assumptions and Catalog'!$C$64,L263*'Assumptions and Catalog'!$H$64+'Assumptions and Catalog'!$E$64+'Assumptions and Catalog'!$F$64,IF(L263&lt;='Assumptions and Catalog'!$C$65,L263*'Assumptions and Catalog'!$H$65+'Assumptions and Catalog'!$E$65+'Assumptions and Catalog'!$F$65,"Out of range")))))))))*(1+'Assumptions and Catalog'!$C$8)^(A263-1),0)</f>
        <v>3567.397</v>
      </c>
      <c r="O263" s="5" t="n">
        <f>M263-N263</f>
        <v>3527.397</v>
      </c>
      <c r="P263" s="5" t="n">
        <f>C$55*(1-J$14)*(1-'Assumptions and Catalog'!$C$23)^R263</f>
        <v>0</v>
      </c>
      <c r="Q263" s="5" t="n">
        <f>IF(ISNUMBER(Inputs!$L$5),(IF(Inputs!$L$9="Actual flat rate",((D263+E263)*C263-G263)*Inputs!$L$10,IF(Inputs!$C$9="Residential",IF(((D263+E263)*C263-G263)&lt;='Assumptions and Catalog'!$C$50,((D263+E263)*C263-G263)*'Assumptions and Catalog'!$H$50+'Assumptions and Catalog'!$E$50+'Assumptions and Catalog'!$F$50,IF(((D263+E263)*C263-G263)&lt;='Assumptions and Catalog'!$C$51,((D263+E263)*C263-G263)*'Assumptions and Catalog'!$H$51+'Assumptions and Catalog'!$E$51+'Assumptions and Catalog'!$F$51,IF(((D263+E263)*C263-G263)&lt;='Assumptions and Catalog'!$C$52,((D263+E263)*C263-G263)*'Assumptions and Catalog'!$H$52+'Assumptions and Catalog'!$E$52+'Assumptions and Catalog'!$F$52,IF(((D263+E263)*C263-G263)&lt;='Assumptions and Catalog'!$C$53,((D263+E263)*C263-G263)*'Assumptions and Catalog'!$H$53+'Assumptions and Catalog'!$E$53+'Assumptions and Catalog'!$F$53,IF(((D263+E263)*C263-G263)&lt;='Assumptions and Catalog'!$C$54,((D263+E263)*C263-G263)*'Assumptions and Catalog'!$H$54+'Assumptions and Catalog'!$E$54+'Assumptions and Catalog'!$F$54,IF(((D263+E263)*C263-G263)&lt;='Assumptions and Catalog'!$C$55,((D263+E263)*C263-G263)*'Assumptions and Catalog'!$H$55+'Assumptions and Catalog'!$E$55+'Assumptions and Catalog'!$F$55,IF(((D263+E263)*C263-G263)&lt;='Assumptions and Catalog'!$C$56,((D263+E263)*C263-G263)*'Assumptions and Catalog'!$H$56+'Assumptions and Catalog'!$E$56+'Assumptions and Catalog'!$F$56,IF(((D263+E263)*C263-G263)&lt;='Assumptions and Catalog'!$C$57,((D263+E263)*C263-G263)*'Assumptions and Catalog'!$H$57+'Assumptions and Catalog'!$E$57+'Assumptions and Catalog'!$F$57,"Out of range")))))))),IF(((D263+E263)*C263-G263)&lt;='Assumptions and Catalog'!$C$60,((D263+E263)*C263-G263)*'Assumptions and Catalog'!$H$60+'Assumptions and Catalog'!$E$60+'Assumptions and Catalog'!$F$60,IF(((D263+E263)*C263-G263)&lt;='Assumptions and Catalog'!$C$61,((D263+E263)*C263-G263)*'Assumptions and Catalog'!$H$61+'Assumptions and Catalog'!$E$61+'Assumptions and Catalog'!$F$61,IF(((D263+E263)*C263-G263)&lt;='Assumptions and Catalog'!$C$62,((D263+E263)*C263-G263)*'Assumptions and Catalog'!$H$62+'Assumptions and Catalog'!$E$62+'Assumptions and Catalog'!$F$62,IF(((D263+E263)*C263-G263)&lt;='Assumptions and Catalog'!$C$63,((D263+E263)*C263-G263)*'Assumptions and Catalog'!$H$63+'Assumptions and Catalog'!$E$63+'Assumptions and Catalog'!$F$63,IF(((D263+E263)*C263-G263)&lt;='Assumptions and Catalog'!$C$64,((D263+E263)*C263-G263)*'Assumptions and Catalog'!$H$64+'Assumptions and Catalog'!$E$64+'Assumptions and Catalog'!$F$64,IF(((D263+E263)*C263-G263)&lt;='Assumptions and Catalog'!$C$65,((D263+E263)*C263-G263)*'Assumptions and Catalog'!$H$65+'Assumptions and Catalog'!$E$65+'Assumptions and Catalog'!$F$65,"Out of range")))))))))*(1+'Assumptions and Catalog'!$C$8)^(A263-1),0)</f>
        <v>3567.397</v>
      </c>
      <c r="R263" s="5" t="n">
        <f>IF(AND('Assumptions and Catalog'!$C$19&gt;0,A263&gt;='Assumptions and Catalog'!$C$19),A263-'Assumptions and Catalog'!$C$19,A263-1)</f>
        <v>8</v>
      </c>
      <c r="S263" s="5" t="n">
        <f>F263+L263-(D263+E263)*C263-J263-K263-0</f>
        <v>0</v>
      </c>
      <c r="T263" s="5"/>
      <c r="U263" s="5"/>
    </row>
    <row r="264" ht="23.100000381469727" customHeight="1">
      <c r="A264" s="5" t="n">
        <v>9</v>
      </c>
      <c r="B264" s="5" t="n">
        <v>8</v>
      </c>
      <c r="C264" s="5" t="n">
        <f>DAY(DATE('Assumptions and Catalog'!$C$24+A264-1,B264+1,0))</f>
        <v>31</v>
      </c>
      <c r="D264" s="5" t="n">
        <f>IF(ISNUMBER(Inputs!$L$5),Inputs!$L$5*Inputs!$L$6,0)</f>
        <v>40.35</v>
      </c>
      <c r="E264" s="5" t="n">
        <f>IF(ISNUMBER(Inputs!$L$5),Inputs!$L$5-D264,0)</f>
        <v>40.35</v>
      </c>
      <c r="F264" s="5" t="n">
        <f>C$51*INDEX('Solar Production'!$D$20:$D$31,B264)*C264*(1-'Assumptions and Catalog'!$C$10)^(A264-1)</f>
        <v>1410.14367708177</v>
      </c>
      <c r="G264" s="5" t="n">
        <f>MIN(F264,D264*C264)</f>
        <v>1250.85</v>
      </c>
      <c r="H264" s="5" t="n">
        <f>I264/('Assumptions and Catalog'!$C$11*'Assumptions and Catalog'!$C$12)</f>
        <v>0</v>
      </c>
      <c r="I264" s="5" t="n">
        <f>0</f>
        <v>0</v>
      </c>
      <c r="J264" s="5" t="n">
        <f>MAX(F264-G264-H264,0)</f>
        <v>159.293677081769</v>
      </c>
      <c r="K264" s="5" t="n">
        <f>H264-I264</f>
        <v>0</v>
      </c>
      <c r="L264" s="5" t="n">
        <f>(D264+E264)*C264-G264-I264+0+0</f>
        <v>1250.85</v>
      </c>
      <c r="M264" s="5" t="n">
        <f>IF(ISNUMBER(Inputs!$L$5),(IF(Inputs!$L$9="Actual flat rate",((D264+E264)*C264)*Inputs!$L$10,IF(Inputs!$C$9="Residential",IF(((D264+E264)*C264)&lt;='Assumptions and Catalog'!$C$50,((D264+E264)*C264)*'Assumptions and Catalog'!$H$50+'Assumptions and Catalog'!$E$50+'Assumptions and Catalog'!$F$50,IF(((D264+E264)*C264)&lt;='Assumptions and Catalog'!$C$51,((D264+E264)*C264)*'Assumptions and Catalog'!$H$51+'Assumptions and Catalog'!$E$51+'Assumptions and Catalog'!$F$51,IF(((D264+E264)*C264)&lt;='Assumptions and Catalog'!$C$52,((D264+E264)*C264)*'Assumptions and Catalog'!$H$52+'Assumptions and Catalog'!$E$52+'Assumptions and Catalog'!$F$52,IF(((D264+E264)*C264)&lt;='Assumptions and Catalog'!$C$53,((D264+E264)*C264)*'Assumptions and Catalog'!$H$53+'Assumptions and Catalog'!$E$53+'Assumptions and Catalog'!$F$53,IF(((D264+E264)*C264)&lt;='Assumptions and Catalog'!$C$54,((D264+E264)*C264)*'Assumptions and Catalog'!$H$54+'Assumptions and Catalog'!$E$54+'Assumptions and Catalog'!$F$54,IF(((D264+E264)*C264)&lt;='Assumptions and Catalog'!$C$55,((D264+E264)*C264)*'Assumptions and Catalog'!$H$55+'Assumptions and Catalog'!$E$55+'Assumptions and Catalog'!$F$55,IF(((D264+E264)*C264)&lt;='Assumptions and Catalog'!$C$56,((D264+E264)*C264)*'Assumptions and Catalog'!$H$56+'Assumptions and Catalog'!$E$56+'Assumptions and Catalog'!$F$56,IF(((D264+E264)*C264)&lt;='Assumptions and Catalog'!$C$57,((D264+E264)*C264)*'Assumptions and Catalog'!$H$57+'Assumptions and Catalog'!$E$57+'Assumptions and Catalog'!$F$57,"Out of range")))))))),IF(((D264+E264)*C264)&lt;='Assumptions and Catalog'!$C$60,((D264+E264)*C264)*'Assumptions and Catalog'!$H$60+'Assumptions and Catalog'!$E$60+'Assumptions and Catalog'!$F$60,IF(((D264+E264)*C264)&lt;='Assumptions and Catalog'!$C$61,((D264+E264)*C264)*'Assumptions and Catalog'!$H$61+'Assumptions and Catalog'!$E$61+'Assumptions and Catalog'!$F$61,IF(((D264+E264)*C264)&lt;='Assumptions and Catalog'!$C$62,((D264+E264)*C264)*'Assumptions and Catalog'!$H$62+'Assumptions and Catalog'!$E$62+'Assumptions and Catalog'!$F$62,IF(((D264+E264)*C264)&lt;='Assumptions and Catalog'!$C$63,((D264+E264)*C264)*'Assumptions and Catalog'!$H$63+'Assumptions and Catalog'!$E$63+'Assumptions and Catalog'!$F$63,IF(((D264+E264)*C264)&lt;='Assumptions and Catalog'!$C$64,((D264+E264)*C264)*'Assumptions and Catalog'!$H$64+'Assumptions and Catalog'!$E$64+'Assumptions and Catalog'!$F$64,IF(((D264+E264)*C264)&lt;='Assumptions and Catalog'!$C$65,((D264+E264)*C264)*'Assumptions and Catalog'!$H$65+'Assumptions and Catalog'!$E$65+'Assumptions and Catalog'!$F$65,"Out of range")))))))))*(1+'Assumptions and Catalog'!$C$8)^(A264-1),0)</f>
        <v>7094.794</v>
      </c>
      <c r="N264" s="5" t="n">
        <f>IF(ISNUMBER(Inputs!$L$5),(IF(Inputs!$L$9="Actual flat rate",L264*Inputs!$L$10,IF(Inputs!$C$9="Residential",IF(L264&lt;='Assumptions and Catalog'!$C$50,L264*'Assumptions and Catalog'!$H$50+'Assumptions and Catalog'!$E$50+'Assumptions and Catalog'!$F$50,IF(L264&lt;='Assumptions and Catalog'!$C$51,L264*'Assumptions and Catalog'!$H$51+'Assumptions and Catalog'!$E$51+'Assumptions and Catalog'!$F$51,IF(L264&lt;='Assumptions and Catalog'!$C$52,L264*'Assumptions and Catalog'!$H$52+'Assumptions and Catalog'!$E$52+'Assumptions and Catalog'!$F$52,IF(L264&lt;='Assumptions and Catalog'!$C$53,L264*'Assumptions and Catalog'!$H$53+'Assumptions and Catalog'!$E$53+'Assumptions and Catalog'!$F$53,IF(L264&lt;='Assumptions and Catalog'!$C$54,L264*'Assumptions and Catalog'!$H$54+'Assumptions and Catalog'!$E$54+'Assumptions and Catalog'!$F$54,IF(L264&lt;='Assumptions and Catalog'!$C$55,L264*'Assumptions and Catalog'!$H$55+'Assumptions and Catalog'!$E$55+'Assumptions and Catalog'!$F$55,IF(L264&lt;='Assumptions and Catalog'!$C$56,L264*'Assumptions and Catalog'!$H$56+'Assumptions and Catalog'!$E$56+'Assumptions and Catalog'!$F$56,IF(L264&lt;='Assumptions and Catalog'!$C$57,L264*'Assumptions and Catalog'!$H$57+'Assumptions and Catalog'!$E$57+'Assumptions and Catalog'!$F$57,"Out of range")))))))),IF(L264&lt;='Assumptions and Catalog'!$C$60,L264*'Assumptions and Catalog'!$H$60+'Assumptions and Catalog'!$E$60+'Assumptions and Catalog'!$F$60,IF(L264&lt;='Assumptions and Catalog'!$C$61,L264*'Assumptions and Catalog'!$H$61+'Assumptions and Catalog'!$E$61+'Assumptions and Catalog'!$F$61,IF(L264&lt;='Assumptions and Catalog'!$C$62,L264*'Assumptions and Catalog'!$H$62+'Assumptions and Catalog'!$E$62+'Assumptions and Catalog'!$F$62,IF(L264&lt;='Assumptions and Catalog'!$C$63,L264*'Assumptions and Catalog'!$H$63+'Assumptions and Catalog'!$E$63+'Assumptions and Catalog'!$F$63,IF(L264&lt;='Assumptions and Catalog'!$C$64,L264*'Assumptions and Catalog'!$H$64+'Assumptions and Catalog'!$E$64+'Assumptions and Catalog'!$F$64,IF(L264&lt;='Assumptions and Catalog'!$C$65,L264*'Assumptions and Catalog'!$H$65+'Assumptions and Catalog'!$E$65+'Assumptions and Catalog'!$F$65,"Out of range")))))))))*(1+'Assumptions and Catalog'!$C$8)^(A264-1),0)</f>
        <v>3567.397</v>
      </c>
      <c r="O264" s="5" t="n">
        <f>M264-N264</f>
        <v>3527.397</v>
      </c>
      <c r="P264" s="5" t="n">
        <f>C$55*(1-J$14)*(1-'Assumptions and Catalog'!$C$23)^R264</f>
        <v>0</v>
      </c>
      <c r="Q264" s="5" t="n">
        <f>IF(ISNUMBER(Inputs!$L$5),(IF(Inputs!$L$9="Actual flat rate",((D264+E264)*C264-G264)*Inputs!$L$10,IF(Inputs!$C$9="Residential",IF(((D264+E264)*C264-G264)&lt;='Assumptions and Catalog'!$C$50,((D264+E264)*C264-G264)*'Assumptions and Catalog'!$H$50+'Assumptions and Catalog'!$E$50+'Assumptions and Catalog'!$F$50,IF(((D264+E264)*C264-G264)&lt;='Assumptions and Catalog'!$C$51,((D264+E264)*C264-G264)*'Assumptions and Catalog'!$H$51+'Assumptions and Catalog'!$E$51+'Assumptions and Catalog'!$F$51,IF(((D264+E264)*C264-G264)&lt;='Assumptions and Catalog'!$C$52,((D264+E264)*C264-G264)*'Assumptions and Catalog'!$H$52+'Assumptions and Catalog'!$E$52+'Assumptions and Catalog'!$F$52,IF(((D264+E264)*C264-G264)&lt;='Assumptions and Catalog'!$C$53,((D264+E264)*C264-G264)*'Assumptions and Catalog'!$H$53+'Assumptions and Catalog'!$E$53+'Assumptions and Catalog'!$F$53,IF(((D264+E264)*C264-G264)&lt;='Assumptions and Catalog'!$C$54,((D264+E264)*C264-G264)*'Assumptions and Catalog'!$H$54+'Assumptions and Catalog'!$E$54+'Assumptions and Catalog'!$F$54,IF(((D264+E264)*C264-G264)&lt;='Assumptions and Catalog'!$C$55,((D264+E264)*C264-G264)*'Assumptions and Catalog'!$H$55+'Assumptions and Catalog'!$E$55+'Assumptions and Catalog'!$F$55,IF(((D264+E264)*C264-G264)&lt;='Assumptions and Catalog'!$C$56,((D264+E264)*C264-G264)*'Assumptions and Catalog'!$H$56+'Assumptions and Catalog'!$E$56+'Assumptions and Catalog'!$F$56,IF(((D264+E264)*C264-G264)&lt;='Assumptions and Catalog'!$C$57,((D264+E264)*C264-G264)*'Assumptions and Catalog'!$H$57+'Assumptions and Catalog'!$E$57+'Assumptions and Catalog'!$F$57,"Out of range")))))))),IF(((D264+E264)*C264-G264)&lt;='Assumptions and Catalog'!$C$60,((D264+E264)*C264-G264)*'Assumptions and Catalog'!$H$60+'Assumptions and Catalog'!$E$60+'Assumptions and Catalog'!$F$60,IF(((D264+E264)*C264-G264)&lt;='Assumptions and Catalog'!$C$61,((D264+E264)*C264-G264)*'Assumptions and Catalog'!$H$61+'Assumptions and Catalog'!$E$61+'Assumptions and Catalog'!$F$61,IF(((D264+E264)*C264-G264)&lt;='Assumptions and Catalog'!$C$62,((D264+E264)*C264-G264)*'Assumptions and Catalog'!$H$62+'Assumptions and Catalog'!$E$62+'Assumptions and Catalog'!$F$62,IF(((D264+E264)*C264-G264)&lt;='Assumptions and Catalog'!$C$63,((D264+E264)*C264-G264)*'Assumptions and Catalog'!$H$63+'Assumptions and Catalog'!$E$63+'Assumptions and Catalog'!$F$63,IF(((D264+E264)*C264-G264)&lt;='Assumptions and Catalog'!$C$64,((D264+E264)*C264-G264)*'Assumptions and Catalog'!$H$64+'Assumptions and Catalog'!$E$64+'Assumptions and Catalog'!$F$64,IF(((D264+E264)*C264-G264)&lt;='Assumptions and Catalog'!$C$65,((D264+E264)*C264-G264)*'Assumptions and Catalog'!$H$65+'Assumptions and Catalog'!$E$65+'Assumptions and Catalog'!$F$65,"Out of range")))))))))*(1+'Assumptions and Catalog'!$C$8)^(A264-1),0)</f>
        <v>3567.397</v>
      </c>
      <c r="R264" s="5" t="n">
        <f>IF(AND('Assumptions and Catalog'!$C$19&gt;0,A264&gt;='Assumptions and Catalog'!$C$19),A264-'Assumptions and Catalog'!$C$19,A264-1)</f>
        <v>8</v>
      </c>
      <c r="S264" s="5" t="n">
        <f>F264+L264-(D264+E264)*C264-J264-K264-0</f>
        <v>0</v>
      </c>
      <c r="T264" s="5"/>
      <c r="U264" s="5"/>
    </row>
    <row r="265" ht="23.100000381469727" customHeight="1">
      <c r="A265" s="5" t="n">
        <v>9</v>
      </c>
      <c r="B265" s="5" t="n">
        <v>9</v>
      </c>
      <c r="C265" s="5" t="n">
        <f>DAY(DATE('Assumptions and Catalog'!$C$24+A265-1,B265+1,0))</f>
        <v>30</v>
      </c>
      <c r="D265" s="5" t="n">
        <f>IF(ISNUMBER(Inputs!$L$5),Inputs!$L$5*Inputs!$L$6,0)</f>
        <v>40.35</v>
      </c>
      <c r="E265" s="5" t="n">
        <f>IF(ISNUMBER(Inputs!$L$5),Inputs!$L$5-D265,0)</f>
        <v>40.35</v>
      </c>
      <c r="F265" s="5" t="n">
        <f>C$51*INDEX('Solar Production'!$D$20:$D$31,B265)*C265*(1-'Assumptions and Catalog'!$C$10)^(A265-1)</f>
        <v>1361.10990413768</v>
      </c>
      <c r="G265" s="5" t="n">
        <f>MIN(F265,D265*C265)</f>
        <v>1210.5</v>
      </c>
      <c r="H265" s="5" t="n">
        <f>I265/('Assumptions and Catalog'!$C$11*'Assumptions and Catalog'!$C$12)</f>
        <v>0</v>
      </c>
      <c r="I265" s="5" t="n">
        <f>0</f>
        <v>0</v>
      </c>
      <c r="J265" s="5" t="n">
        <f>MAX(F265-G265-H265,0)</f>
        <v>150.609904137679</v>
      </c>
      <c r="K265" s="5" t="n">
        <f>H265-I265</f>
        <v>0</v>
      </c>
      <c r="L265" s="5" t="n">
        <f>(D265+E265)*C265-G265-I265+0+0</f>
        <v>1210.5</v>
      </c>
      <c r="M265" s="5" t="n">
        <f>IF(ISNUMBER(Inputs!$L$5),(IF(Inputs!$L$9="Actual flat rate",((D265+E265)*C265)*Inputs!$L$10,IF(Inputs!$C$9="Residential",IF(((D265+E265)*C265)&lt;='Assumptions and Catalog'!$C$50,((D265+E265)*C265)*'Assumptions and Catalog'!$H$50+'Assumptions and Catalog'!$E$50+'Assumptions and Catalog'!$F$50,IF(((D265+E265)*C265)&lt;='Assumptions and Catalog'!$C$51,((D265+E265)*C265)*'Assumptions and Catalog'!$H$51+'Assumptions and Catalog'!$E$51+'Assumptions and Catalog'!$F$51,IF(((D265+E265)*C265)&lt;='Assumptions and Catalog'!$C$52,((D265+E265)*C265)*'Assumptions and Catalog'!$H$52+'Assumptions and Catalog'!$E$52+'Assumptions and Catalog'!$F$52,IF(((D265+E265)*C265)&lt;='Assumptions and Catalog'!$C$53,((D265+E265)*C265)*'Assumptions and Catalog'!$H$53+'Assumptions and Catalog'!$E$53+'Assumptions and Catalog'!$F$53,IF(((D265+E265)*C265)&lt;='Assumptions and Catalog'!$C$54,((D265+E265)*C265)*'Assumptions and Catalog'!$H$54+'Assumptions and Catalog'!$E$54+'Assumptions and Catalog'!$F$54,IF(((D265+E265)*C265)&lt;='Assumptions and Catalog'!$C$55,((D265+E265)*C265)*'Assumptions and Catalog'!$H$55+'Assumptions and Catalog'!$E$55+'Assumptions and Catalog'!$F$55,IF(((D265+E265)*C265)&lt;='Assumptions and Catalog'!$C$56,((D265+E265)*C265)*'Assumptions and Catalog'!$H$56+'Assumptions and Catalog'!$E$56+'Assumptions and Catalog'!$F$56,IF(((D265+E265)*C265)&lt;='Assumptions and Catalog'!$C$57,((D265+E265)*C265)*'Assumptions and Catalog'!$H$57+'Assumptions and Catalog'!$E$57+'Assumptions and Catalog'!$F$57,"Out of range")))))))),IF(((D265+E265)*C265)&lt;='Assumptions and Catalog'!$C$60,((D265+E265)*C265)*'Assumptions and Catalog'!$H$60+'Assumptions and Catalog'!$E$60+'Assumptions and Catalog'!$F$60,IF(((D265+E265)*C265)&lt;='Assumptions and Catalog'!$C$61,((D265+E265)*C265)*'Assumptions and Catalog'!$H$61+'Assumptions and Catalog'!$E$61+'Assumptions and Catalog'!$F$61,IF(((D265+E265)*C265)&lt;='Assumptions and Catalog'!$C$62,((D265+E265)*C265)*'Assumptions and Catalog'!$H$62+'Assumptions and Catalog'!$E$62+'Assumptions and Catalog'!$F$62,IF(((D265+E265)*C265)&lt;='Assumptions and Catalog'!$C$63,((D265+E265)*C265)*'Assumptions and Catalog'!$H$63+'Assumptions and Catalog'!$E$63+'Assumptions and Catalog'!$F$63,IF(((D265+E265)*C265)&lt;='Assumptions and Catalog'!$C$64,((D265+E265)*C265)*'Assumptions and Catalog'!$H$64+'Assumptions and Catalog'!$E$64+'Assumptions and Catalog'!$F$64,IF(((D265+E265)*C265)&lt;='Assumptions and Catalog'!$C$65,((D265+E265)*C265)*'Assumptions and Catalog'!$H$65+'Assumptions and Catalog'!$E$65+'Assumptions and Catalog'!$F$65,"Out of range")))))))))*(1+'Assumptions and Catalog'!$C$8)^(A265-1),0)</f>
        <v>6867.22</v>
      </c>
      <c r="N265" s="5" t="n">
        <f>IF(ISNUMBER(Inputs!$L$5),(IF(Inputs!$L$9="Actual flat rate",L265*Inputs!$L$10,IF(Inputs!$C$9="Residential",IF(L265&lt;='Assumptions and Catalog'!$C$50,L265*'Assumptions and Catalog'!$H$50+'Assumptions and Catalog'!$E$50+'Assumptions and Catalog'!$F$50,IF(L265&lt;='Assumptions and Catalog'!$C$51,L265*'Assumptions and Catalog'!$H$51+'Assumptions and Catalog'!$E$51+'Assumptions and Catalog'!$F$51,IF(L265&lt;='Assumptions and Catalog'!$C$52,L265*'Assumptions and Catalog'!$H$52+'Assumptions and Catalog'!$E$52+'Assumptions and Catalog'!$F$52,IF(L265&lt;='Assumptions and Catalog'!$C$53,L265*'Assumptions and Catalog'!$H$53+'Assumptions and Catalog'!$E$53+'Assumptions and Catalog'!$F$53,IF(L265&lt;='Assumptions and Catalog'!$C$54,L265*'Assumptions and Catalog'!$H$54+'Assumptions and Catalog'!$E$54+'Assumptions and Catalog'!$F$54,IF(L265&lt;='Assumptions and Catalog'!$C$55,L265*'Assumptions and Catalog'!$H$55+'Assumptions and Catalog'!$E$55+'Assumptions and Catalog'!$F$55,IF(L265&lt;='Assumptions and Catalog'!$C$56,L265*'Assumptions and Catalog'!$H$56+'Assumptions and Catalog'!$E$56+'Assumptions and Catalog'!$F$56,IF(L265&lt;='Assumptions and Catalog'!$C$57,L265*'Assumptions and Catalog'!$H$57+'Assumptions and Catalog'!$E$57+'Assumptions and Catalog'!$F$57,"Out of range")))))))),IF(L265&lt;='Assumptions and Catalog'!$C$60,L265*'Assumptions and Catalog'!$H$60+'Assumptions and Catalog'!$E$60+'Assumptions and Catalog'!$F$60,IF(L265&lt;='Assumptions and Catalog'!$C$61,L265*'Assumptions and Catalog'!$H$61+'Assumptions and Catalog'!$E$61+'Assumptions and Catalog'!$F$61,IF(L265&lt;='Assumptions and Catalog'!$C$62,L265*'Assumptions and Catalog'!$H$62+'Assumptions and Catalog'!$E$62+'Assumptions and Catalog'!$F$62,IF(L265&lt;='Assumptions and Catalog'!$C$63,L265*'Assumptions and Catalog'!$H$63+'Assumptions and Catalog'!$E$63+'Assumptions and Catalog'!$F$63,IF(L265&lt;='Assumptions and Catalog'!$C$64,L265*'Assumptions and Catalog'!$H$64+'Assumptions and Catalog'!$E$64+'Assumptions and Catalog'!$F$64,IF(L265&lt;='Assumptions and Catalog'!$C$65,L265*'Assumptions and Catalog'!$H$65+'Assumptions and Catalog'!$E$65+'Assumptions and Catalog'!$F$65,"Out of range")))))))))*(1+'Assumptions and Catalog'!$C$8)^(A265-1),0)</f>
        <v>3453.61</v>
      </c>
      <c r="O265" s="5" t="n">
        <f>M265-N265</f>
        <v>3413.61</v>
      </c>
      <c r="P265" s="5" t="n">
        <f>C$55*(1-J$14)*(1-'Assumptions and Catalog'!$C$23)^R265</f>
        <v>0</v>
      </c>
      <c r="Q265" s="5" t="n">
        <f>IF(ISNUMBER(Inputs!$L$5),(IF(Inputs!$L$9="Actual flat rate",((D265+E265)*C265-G265)*Inputs!$L$10,IF(Inputs!$C$9="Residential",IF(((D265+E265)*C265-G265)&lt;='Assumptions and Catalog'!$C$50,((D265+E265)*C265-G265)*'Assumptions and Catalog'!$H$50+'Assumptions and Catalog'!$E$50+'Assumptions and Catalog'!$F$50,IF(((D265+E265)*C265-G265)&lt;='Assumptions and Catalog'!$C$51,((D265+E265)*C265-G265)*'Assumptions and Catalog'!$H$51+'Assumptions and Catalog'!$E$51+'Assumptions and Catalog'!$F$51,IF(((D265+E265)*C265-G265)&lt;='Assumptions and Catalog'!$C$52,((D265+E265)*C265-G265)*'Assumptions and Catalog'!$H$52+'Assumptions and Catalog'!$E$52+'Assumptions and Catalog'!$F$52,IF(((D265+E265)*C265-G265)&lt;='Assumptions and Catalog'!$C$53,((D265+E265)*C265-G265)*'Assumptions and Catalog'!$H$53+'Assumptions and Catalog'!$E$53+'Assumptions and Catalog'!$F$53,IF(((D265+E265)*C265-G265)&lt;='Assumptions and Catalog'!$C$54,((D265+E265)*C265-G265)*'Assumptions and Catalog'!$H$54+'Assumptions and Catalog'!$E$54+'Assumptions and Catalog'!$F$54,IF(((D265+E265)*C265-G265)&lt;='Assumptions and Catalog'!$C$55,((D265+E265)*C265-G265)*'Assumptions and Catalog'!$H$55+'Assumptions and Catalog'!$E$55+'Assumptions and Catalog'!$F$55,IF(((D265+E265)*C265-G265)&lt;='Assumptions and Catalog'!$C$56,((D265+E265)*C265-G265)*'Assumptions and Catalog'!$H$56+'Assumptions and Catalog'!$E$56+'Assumptions and Catalog'!$F$56,IF(((D265+E265)*C265-G265)&lt;='Assumptions and Catalog'!$C$57,((D265+E265)*C265-G265)*'Assumptions and Catalog'!$H$57+'Assumptions and Catalog'!$E$57+'Assumptions and Catalog'!$F$57,"Out of range")))))))),IF(((D265+E265)*C265-G265)&lt;='Assumptions and Catalog'!$C$60,((D265+E265)*C265-G265)*'Assumptions and Catalog'!$H$60+'Assumptions and Catalog'!$E$60+'Assumptions and Catalog'!$F$60,IF(((D265+E265)*C265-G265)&lt;='Assumptions and Catalog'!$C$61,((D265+E265)*C265-G265)*'Assumptions and Catalog'!$H$61+'Assumptions and Catalog'!$E$61+'Assumptions and Catalog'!$F$61,IF(((D265+E265)*C265-G265)&lt;='Assumptions and Catalog'!$C$62,((D265+E265)*C265-G265)*'Assumptions and Catalog'!$H$62+'Assumptions and Catalog'!$E$62+'Assumptions and Catalog'!$F$62,IF(((D265+E265)*C265-G265)&lt;='Assumptions and Catalog'!$C$63,((D265+E265)*C265-G265)*'Assumptions and Catalog'!$H$63+'Assumptions and Catalog'!$E$63+'Assumptions and Catalog'!$F$63,IF(((D265+E265)*C265-G265)&lt;='Assumptions and Catalog'!$C$64,((D265+E265)*C265-G265)*'Assumptions and Catalog'!$H$64+'Assumptions and Catalog'!$E$64+'Assumptions and Catalog'!$F$64,IF(((D265+E265)*C265-G265)&lt;='Assumptions and Catalog'!$C$65,((D265+E265)*C265-G265)*'Assumptions and Catalog'!$H$65+'Assumptions and Catalog'!$E$65+'Assumptions and Catalog'!$F$65,"Out of range")))))))))*(1+'Assumptions and Catalog'!$C$8)^(A265-1),0)</f>
        <v>3453.61</v>
      </c>
      <c r="R265" s="5" t="n">
        <f>IF(AND('Assumptions and Catalog'!$C$19&gt;0,A265&gt;='Assumptions and Catalog'!$C$19),A265-'Assumptions and Catalog'!$C$19,A265-1)</f>
        <v>8</v>
      </c>
      <c r="S265" s="5" t="n">
        <f>F265+L265-(D265+E265)*C265-J265-K265-0</f>
        <v>0</v>
      </c>
      <c r="T265" s="5"/>
      <c r="U265" s="5"/>
    </row>
    <row r="266" ht="23.100000381469727" customHeight="1">
      <c r="A266" s="5" t="n">
        <v>9</v>
      </c>
      <c r="B266" s="5" t="n">
        <v>10</v>
      </c>
      <c r="C266" s="5" t="n">
        <f>DAY(DATE('Assumptions and Catalog'!$C$24+A266-1,B266+1,0))</f>
        <v>31</v>
      </c>
      <c r="D266" s="5" t="n">
        <f>IF(ISNUMBER(Inputs!$L$5),Inputs!$L$5*Inputs!$L$6,0)</f>
        <v>40.35</v>
      </c>
      <c r="E266" s="5" t="n">
        <f>IF(ISNUMBER(Inputs!$L$5),Inputs!$L$5-D266,0)</f>
        <v>40.35</v>
      </c>
      <c r="F266" s="5" t="n">
        <f>C$51*INDEX('Solar Production'!$D$20:$D$31,B266)*C266*(1-'Assumptions and Catalog'!$C$10)^(A266-1)</f>
        <v>1306.41188500867</v>
      </c>
      <c r="G266" s="5" t="n">
        <f>MIN(F266,D266*C266)</f>
        <v>1250.85</v>
      </c>
      <c r="H266" s="5" t="n">
        <f>I266/('Assumptions and Catalog'!$C$11*'Assumptions and Catalog'!$C$12)</f>
        <v>0</v>
      </c>
      <c r="I266" s="5" t="n">
        <f>0</f>
        <v>0</v>
      </c>
      <c r="J266" s="5" t="n">
        <f>MAX(F266-G266-H266,0)</f>
        <v>55.561885008668</v>
      </c>
      <c r="K266" s="5" t="n">
        <f>H266-I266</f>
        <v>0</v>
      </c>
      <c r="L266" s="5" t="n">
        <f>(D266+E266)*C266-G266-I266+0+0</f>
        <v>1250.85</v>
      </c>
      <c r="M266" s="5" t="n">
        <f>IF(ISNUMBER(Inputs!$L$5),(IF(Inputs!$L$9="Actual flat rate",((D266+E266)*C266)*Inputs!$L$10,IF(Inputs!$C$9="Residential",IF(((D266+E266)*C266)&lt;='Assumptions and Catalog'!$C$50,((D266+E266)*C266)*'Assumptions and Catalog'!$H$50+'Assumptions and Catalog'!$E$50+'Assumptions and Catalog'!$F$50,IF(((D266+E266)*C266)&lt;='Assumptions and Catalog'!$C$51,((D266+E266)*C266)*'Assumptions and Catalog'!$H$51+'Assumptions and Catalog'!$E$51+'Assumptions and Catalog'!$F$51,IF(((D266+E266)*C266)&lt;='Assumptions and Catalog'!$C$52,((D266+E266)*C266)*'Assumptions and Catalog'!$H$52+'Assumptions and Catalog'!$E$52+'Assumptions and Catalog'!$F$52,IF(((D266+E266)*C266)&lt;='Assumptions and Catalog'!$C$53,((D266+E266)*C266)*'Assumptions and Catalog'!$H$53+'Assumptions and Catalog'!$E$53+'Assumptions and Catalog'!$F$53,IF(((D266+E266)*C266)&lt;='Assumptions and Catalog'!$C$54,((D266+E266)*C266)*'Assumptions and Catalog'!$H$54+'Assumptions and Catalog'!$E$54+'Assumptions and Catalog'!$F$54,IF(((D266+E266)*C266)&lt;='Assumptions and Catalog'!$C$55,((D266+E266)*C266)*'Assumptions and Catalog'!$H$55+'Assumptions and Catalog'!$E$55+'Assumptions and Catalog'!$F$55,IF(((D266+E266)*C266)&lt;='Assumptions and Catalog'!$C$56,((D266+E266)*C266)*'Assumptions and Catalog'!$H$56+'Assumptions and Catalog'!$E$56+'Assumptions and Catalog'!$F$56,IF(((D266+E266)*C266)&lt;='Assumptions and Catalog'!$C$57,((D266+E266)*C266)*'Assumptions and Catalog'!$H$57+'Assumptions and Catalog'!$E$57+'Assumptions and Catalog'!$F$57,"Out of range")))))))),IF(((D266+E266)*C266)&lt;='Assumptions and Catalog'!$C$60,((D266+E266)*C266)*'Assumptions and Catalog'!$H$60+'Assumptions and Catalog'!$E$60+'Assumptions and Catalog'!$F$60,IF(((D266+E266)*C266)&lt;='Assumptions and Catalog'!$C$61,((D266+E266)*C266)*'Assumptions and Catalog'!$H$61+'Assumptions and Catalog'!$E$61+'Assumptions and Catalog'!$F$61,IF(((D266+E266)*C266)&lt;='Assumptions and Catalog'!$C$62,((D266+E266)*C266)*'Assumptions and Catalog'!$H$62+'Assumptions and Catalog'!$E$62+'Assumptions and Catalog'!$F$62,IF(((D266+E266)*C266)&lt;='Assumptions and Catalog'!$C$63,((D266+E266)*C266)*'Assumptions and Catalog'!$H$63+'Assumptions and Catalog'!$E$63+'Assumptions and Catalog'!$F$63,IF(((D266+E266)*C266)&lt;='Assumptions and Catalog'!$C$64,((D266+E266)*C266)*'Assumptions and Catalog'!$H$64+'Assumptions and Catalog'!$E$64+'Assumptions and Catalog'!$F$64,IF(((D266+E266)*C266)&lt;='Assumptions and Catalog'!$C$65,((D266+E266)*C266)*'Assumptions and Catalog'!$H$65+'Assumptions and Catalog'!$E$65+'Assumptions and Catalog'!$F$65,"Out of range")))))))))*(1+'Assumptions and Catalog'!$C$8)^(A266-1),0)</f>
        <v>7094.794</v>
      </c>
      <c r="N266" s="5" t="n">
        <f>IF(ISNUMBER(Inputs!$L$5),(IF(Inputs!$L$9="Actual flat rate",L266*Inputs!$L$10,IF(Inputs!$C$9="Residential",IF(L266&lt;='Assumptions and Catalog'!$C$50,L266*'Assumptions and Catalog'!$H$50+'Assumptions and Catalog'!$E$50+'Assumptions and Catalog'!$F$50,IF(L266&lt;='Assumptions and Catalog'!$C$51,L266*'Assumptions and Catalog'!$H$51+'Assumptions and Catalog'!$E$51+'Assumptions and Catalog'!$F$51,IF(L266&lt;='Assumptions and Catalog'!$C$52,L266*'Assumptions and Catalog'!$H$52+'Assumptions and Catalog'!$E$52+'Assumptions and Catalog'!$F$52,IF(L266&lt;='Assumptions and Catalog'!$C$53,L266*'Assumptions and Catalog'!$H$53+'Assumptions and Catalog'!$E$53+'Assumptions and Catalog'!$F$53,IF(L266&lt;='Assumptions and Catalog'!$C$54,L266*'Assumptions and Catalog'!$H$54+'Assumptions and Catalog'!$E$54+'Assumptions and Catalog'!$F$54,IF(L266&lt;='Assumptions and Catalog'!$C$55,L266*'Assumptions and Catalog'!$H$55+'Assumptions and Catalog'!$E$55+'Assumptions and Catalog'!$F$55,IF(L266&lt;='Assumptions and Catalog'!$C$56,L266*'Assumptions and Catalog'!$H$56+'Assumptions and Catalog'!$E$56+'Assumptions and Catalog'!$F$56,IF(L266&lt;='Assumptions and Catalog'!$C$57,L266*'Assumptions and Catalog'!$H$57+'Assumptions and Catalog'!$E$57+'Assumptions and Catalog'!$F$57,"Out of range")))))))),IF(L266&lt;='Assumptions and Catalog'!$C$60,L266*'Assumptions and Catalog'!$H$60+'Assumptions and Catalog'!$E$60+'Assumptions and Catalog'!$F$60,IF(L266&lt;='Assumptions and Catalog'!$C$61,L266*'Assumptions and Catalog'!$H$61+'Assumptions and Catalog'!$E$61+'Assumptions and Catalog'!$F$61,IF(L266&lt;='Assumptions and Catalog'!$C$62,L266*'Assumptions and Catalog'!$H$62+'Assumptions and Catalog'!$E$62+'Assumptions and Catalog'!$F$62,IF(L266&lt;='Assumptions and Catalog'!$C$63,L266*'Assumptions and Catalog'!$H$63+'Assumptions and Catalog'!$E$63+'Assumptions and Catalog'!$F$63,IF(L266&lt;='Assumptions and Catalog'!$C$64,L266*'Assumptions and Catalog'!$H$64+'Assumptions and Catalog'!$E$64+'Assumptions and Catalog'!$F$64,IF(L266&lt;='Assumptions and Catalog'!$C$65,L266*'Assumptions and Catalog'!$H$65+'Assumptions and Catalog'!$E$65+'Assumptions and Catalog'!$F$65,"Out of range")))))))))*(1+'Assumptions and Catalog'!$C$8)^(A266-1),0)</f>
        <v>3567.397</v>
      </c>
      <c r="O266" s="5" t="n">
        <f>M266-N266</f>
        <v>3527.397</v>
      </c>
      <c r="P266" s="5" t="n">
        <f>C$55*(1-J$14)*(1-'Assumptions and Catalog'!$C$23)^R266</f>
        <v>0</v>
      </c>
      <c r="Q266" s="5" t="n">
        <f>IF(ISNUMBER(Inputs!$L$5),(IF(Inputs!$L$9="Actual flat rate",((D266+E266)*C266-G266)*Inputs!$L$10,IF(Inputs!$C$9="Residential",IF(((D266+E266)*C266-G266)&lt;='Assumptions and Catalog'!$C$50,((D266+E266)*C266-G266)*'Assumptions and Catalog'!$H$50+'Assumptions and Catalog'!$E$50+'Assumptions and Catalog'!$F$50,IF(((D266+E266)*C266-G266)&lt;='Assumptions and Catalog'!$C$51,((D266+E266)*C266-G266)*'Assumptions and Catalog'!$H$51+'Assumptions and Catalog'!$E$51+'Assumptions and Catalog'!$F$51,IF(((D266+E266)*C266-G266)&lt;='Assumptions and Catalog'!$C$52,((D266+E266)*C266-G266)*'Assumptions and Catalog'!$H$52+'Assumptions and Catalog'!$E$52+'Assumptions and Catalog'!$F$52,IF(((D266+E266)*C266-G266)&lt;='Assumptions and Catalog'!$C$53,((D266+E266)*C266-G266)*'Assumptions and Catalog'!$H$53+'Assumptions and Catalog'!$E$53+'Assumptions and Catalog'!$F$53,IF(((D266+E266)*C266-G266)&lt;='Assumptions and Catalog'!$C$54,((D266+E266)*C266-G266)*'Assumptions and Catalog'!$H$54+'Assumptions and Catalog'!$E$54+'Assumptions and Catalog'!$F$54,IF(((D266+E266)*C266-G266)&lt;='Assumptions and Catalog'!$C$55,((D266+E266)*C266-G266)*'Assumptions and Catalog'!$H$55+'Assumptions and Catalog'!$E$55+'Assumptions and Catalog'!$F$55,IF(((D266+E266)*C266-G266)&lt;='Assumptions and Catalog'!$C$56,((D266+E266)*C266-G266)*'Assumptions and Catalog'!$H$56+'Assumptions and Catalog'!$E$56+'Assumptions and Catalog'!$F$56,IF(((D266+E266)*C266-G266)&lt;='Assumptions and Catalog'!$C$57,((D266+E266)*C266-G266)*'Assumptions and Catalog'!$H$57+'Assumptions and Catalog'!$E$57+'Assumptions and Catalog'!$F$57,"Out of range")))))))),IF(((D266+E266)*C266-G266)&lt;='Assumptions and Catalog'!$C$60,((D266+E266)*C266-G266)*'Assumptions and Catalog'!$H$60+'Assumptions and Catalog'!$E$60+'Assumptions and Catalog'!$F$60,IF(((D266+E266)*C266-G266)&lt;='Assumptions and Catalog'!$C$61,((D266+E266)*C266-G266)*'Assumptions and Catalog'!$H$61+'Assumptions and Catalog'!$E$61+'Assumptions and Catalog'!$F$61,IF(((D266+E266)*C266-G266)&lt;='Assumptions and Catalog'!$C$62,((D266+E266)*C266-G266)*'Assumptions and Catalog'!$H$62+'Assumptions and Catalog'!$E$62+'Assumptions and Catalog'!$F$62,IF(((D266+E266)*C266-G266)&lt;='Assumptions and Catalog'!$C$63,((D266+E266)*C266-G266)*'Assumptions and Catalog'!$H$63+'Assumptions and Catalog'!$E$63+'Assumptions and Catalog'!$F$63,IF(((D266+E266)*C266-G266)&lt;='Assumptions and Catalog'!$C$64,((D266+E266)*C266-G266)*'Assumptions and Catalog'!$H$64+'Assumptions and Catalog'!$E$64+'Assumptions and Catalog'!$F$64,IF(((D266+E266)*C266-G266)&lt;='Assumptions and Catalog'!$C$65,((D266+E266)*C266-G266)*'Assumptions and Catalog'!$H$65+'Assumptions and Catalog'!$E$65+'Assumptions and Catalog'!$F$65,"Out of range")))))))))*(1+'Assumptions and Catalog'!$C$8)^(A266-1),0)</f>
        <v>3567.397</v>
      </c>
      <c r="R266" s="5" t="n">
        <f>IF(AND('Assumptions and Catalog'!$C$19&gt;0,A266&gt;='Assumptions and Catalog'!$C$19),A266-'Assumptions and Catalog'!$C$19,A266-1)</f>
        <v>8</v>
      </c>
      <c r="S266" s="5" t="n">
        <f>F266+L266-(D266+E266)*C266-J266-K266-0</f>
        <v>0</v>
      </c>
      <c r="T266" s="5"/>
      <c r="U266" s="5"/>
    </row>
    <row r="267" ht="23.100000381469727" customHeight="1">
      <c r="A267" s="5" t="n">
        <v>9</v>
      </c>
      <c r="B267" s="5" t="n">
        <v>11</v>
      </c>
      <c r="C267" s="5" t="n">
        <f>DAY(DATE('Assumptions and Catalog'!$C$24+A267-1,B267+1,0))</f>
        <v>30</v>
      </c>
      <c r="D267" s="5" t="n">
        <f>IF(ISNUMBER(Inputs!$L$5),Inputs!$L$5*Inputs!$L$6,0)</f>
        <v>40.35</v>
      </c>
      <c r="E267" s="5" t="n">
        <f>IF(ISNUMBER(Inputs!$L$5),Inputs!$L$5-D267,0)</f>
        <v>40.35</v>
      </c>
      <c r="F267" s="5" t="n">
        <f>C$51*INDEX('Solar Production'!$D$20:$D$31,B267)*C267*(1-'Assumptions and Catalog'!$C$10)^(A267-1)</f>
        <v>1157.95791037104</v>
      </c>
      <c r="G267" s="5" t="n">
        <f>MIN(F267,D267*C267)</f>
        <v>1157.95791037104</v>
      </c>
      <c r="H267" s="5" t="n">
        <f>I267/('Assumptions and Catalog'!$C$11*'Assumptions and Catalog'!$C$12)</f>
        <v>0</v>
      </c>
      <c r="I267" s="5" t="n">
        <f>0</f>
        <v>0</v>
      </c>
      <c r="J267" s="5" t="n">
        <f>MAX(F267-G267-H267,0)</f>
        <v>0</v>
      </c>
      <c r="K267" s="5" t="n">
        <f>H267-I267</f>
        <v>0</v>
      </c>
      <c r="L267" s="5" t="n">
        <f>(D267+E267)*C267-G267-I267+0+0</f>
        <v>1263.04208962896</v>
      </c>
      <c r="M267" s="5" t="n">
        <f>IF(ISNUMBER(Inputs!$L$5),(IF(Inputs!$L$9="Actual flat rate",((D267+E267)*C267)*Inputs!$L$10,IF(Inputs!$C$9="Residential",IF(((D267+E267)*C267)&lt;='Assumptions and Catalog'!$C$50,((D267+E267)*C267)*'Assumptions and Catalog'!$H$50+'Assumptions and Catalog'!$E$50+'Assumptions and Catalog'!$F$50,IF(((D267+E267)*C267)&lt;='Assumptions and Catalog'!$C$51,((D267+E267)*C267)*'Assumptions and Catalog'!$H$51+'Assumptions and Catalog'!$E$51+'Assumptions and Catalog'!$F$51,IF(((D267+E267)*C267)&lt;='Assumptions and Catalog'!$C$52,((D267+E267)*C267)*'Assumptions and Catalog'!$H$52+'Assumptions and Catalog'!$E$52+'Assumptions and Catalog'!$F$52,IF(((D267+E267)*C267)&lt;='Assumptions and Catalog'!$C$53,((D267+E267)*C267)*'Assumptions and Catalog'!$H$53+'Assumptions and Catalog'!$E$53+'Assumptions and Catalog'!$F$53,IF(((D267+E267)*C267)&lt;='Assumptions and Catalog'!$C$54,((D267+E267)*C267)*'Assumptions and Catalog'!$H$54+'Assumptions and Catalog'!$E$54+'Assumptions and Catalog'!$F$54,IF(((D267+E267)*C267)&lt;='Assumptions and Catalog'!$C$55,((D267+E267)*C267)*'Assumptions and Catalog'!$H$55+'Assumptions and Catalog'!$E$55+'Assumptions and Catalog'!$F$55,IF(((D267+E267)*C267)&lt;='Assumptions and Catalog'!$C$56,((D267+E267)*C267)*'Assumptions and Catalog'!$H$56+'Assumptions and Catalog'!$E$56+'Assumptions and Catalog'!$F$56,IF(((D267+E267)*C267)&lt;='Assumptions and Catalog'!$C$57,((D267+E267)*C267)*'Assumptions and Catalog'!$H$57+'Assumptions and Catalog'!$E$57+'Assumptions and Catalog'!$F$57,"Out of range")))))))),IF(((D267+E267)*C267)&lt;='Assumptions and Catalog'!$C$60,((D267+E267)*C267)*'Assumptions and Catalog'!$H$60+'Assumptions and Catalog'!$E$60+'Assumptions and Catalog'!$F$60,IF(((D267+E267)*C267)&lt;='Assumptions and Catalog'!$C$61,((D267+E267)*C267)*'Assumptions and Catalog'!$H$61+'Assumptions and Catalog'!$E$61+'Assumptions and Catalog'!$F$61,IF(((D267+E267)*C267)&lt;='Assumptions and Catalog'!$C$62,((D267+E267)*C267)*'Assumptions and Catalog'!$H$62+'Assumptions and Catalog'!$E$62+'Assumptions and Catalog'!$F$62,IF(((D267+E267)*C267)&lt;='Assumptions and Catalog'!$C$63,((D267+E267)*C267)*'Assumptions and Catalog'!$H$63+'Assumptions and Catalog'!$E$63+'Assumptions and Catalog'!$F$63,IF(((D267+E267)*C267)&lt;='Assumptions and Catalog'!$C$64,((D267+E267)*C267)*'Assumptions and Catalog'!$H$64+'Assumptions and Catalog'!$E$64+'Assumptions and Catalog'!$F$64,IF(((D267+E267)*C267)&lt;='Assumptions and Catalog'!$C$65,((D267+E267)*C267)*'Assumptions and Catalog'!$H$65+'Assumptions and Catalog'!$E$65+'Assumptions and Catalog'!$F$65,"Out of range")))))))))*(1+'Assumptions and Catalog'!$C$8)^(A267-1),0)</f>
        <v>6867.22</v>
      </c>
      <c r="N267" s="5" t="n">
        <f>IF(ISNUMBER(Inputs!$L$5),(IF(Inputs!$L$9="Actual flat rate",L267*Inputs!$L$10,IF(Inputs!$C$9="Residential",IF(L267&lt;='Assumptions and Catalog'!$C$50,L267*'Assumptions and Catalog'!$H$50+'Assumptions and Catalog'!$E$50+'Assumptions and Catalog'!$F$50,IF(L267&lt;='Assumptions and Catalog'!$C$51,L267*'Assumptions and Catalog'!$H$51+'Assumptions and Catalog'!$E$51+'Assumptions and Catalog'!$F$51,IF(L267&lt;='Assumptions and Catalog'!$C$52,L267*'Assumptions and Catalog'!$H$52+'Assumptions and Catalog'!$E$52+'Assumptions and Catalog'!$F$52,IF(L267&lt;='Assumptions and Catalog'!$C$53,L267*'Assumptions and Catalog'!$H$53+'Assumptions and Catalog'!$E$53+'Assumptions and Catalog'!$F$53,IF(L267&lt;='Assumptions and Catalog'!$C$54,L267*'Assumptions and Catalog'!$H$54+'Assumptions and Catalog'!$E$54+'Assumptions and Catalog'!$F$54,IF(L267&lt;='Assumptions and Catalog'!$C$55,L267*'Assumptions and Catalog'!$H$55+'Assumptions and Catalog'!$E$55+'Assumptions and Catalog'!$F$55,IF(L267&lt;='Assumptions and Catalog'!$C$56,L267*'Assumptions and Catalog'!$H$56+'Assumptions and Catalog'!$E$56+'Assumptions and Catalog'!$F$56,IF(L267&lt;='Assumptions and Catalog'!$C$57,L267*'Assumptions and Catalog'!$H$57+'Assumptions and Catalog'!$E$57+'Assumptions and Catalog'!$F$57,"Out of range")))))))),IF(L267&lt;='Assumptions and Catalog'!$C$60,L267*'Assumptions and Catalog'!$H$60+'Assumptions and Catalog'!$E$60+'Assumptions and Catalog'!$F$60,IF(L267&lt;='Assumptions and Catalog'!$C$61,L267*'Assumptions and Catalog'!$H$61+'Assumptions and Catalog'!$E$61+'Assumptions and Catalog'!$F$61,IF(L267&lt;='Assumptions and Catalog'!$C$62,L267*'Assumptions and Catalog'!$H$62+'Assumptions and Catalog'!$E$62+'Assumptions and Catalog'!$F$62,IF(L267&lt;='Assumptions and Catalog'!$C$63,L267*'Assumptions and Catalog'!$H$63+'Assumptions and Catalog'!$E$63+'Assumptions and Catalog'!$F$63,IF(L267&lt;='Assumptions and Catalog'!$C$64,L267*'Assumptions and Catalog'!$H$64+'Assumptions and Catalog'!$E$64+'Assumptions and Catalog'!$F$64,IF(L267&lt;='Assumptions and Catalog'!$C$65,L267*'Assumptions and Catalog'!$H$65+'Assumptions and Catalog'!$E$65+'Assumptions and Catalog'!$F$65,"Out of range")))))))))*(1+'Assumptions and Catalog'!$C$8)^(A267-1),0)</f>
        <v>3601.77869275366</v>
      </c>
      <c r="O267" s="5" t="n">
        <f>M267-N267</f>
        <v>3265.44130724634</v>
      </c>
      <c r="P267" s="5" t="n">
        <f>C$55*(1-J$14)*(1-'Assumptions and Catalog'!$C$23)^R267</f>
        <v>0</v>
      </c>
      <c r="Q267" s="5" t="n">
        <f>IF(ISNUMBER(Inputs!$L$5),(IF(Inputs!$L$9="Actual flat rate",((D267+E267)*C267-G267)*Inputs!$L$10,IF(Inputs!$C$9="Residential",IF(((D267+E267)*C267-G267)&lt;='Assumptions and Catalog'!$C$50,((D267+E267)*C267-G267)*'Assumptions and Catalog'!$H$50+'Assumptions and Catalog'!$E$50+'Assumptions and Catalog'!$F$50,IF(((D267+E267)*C267-G267)&lt;='Assumptions and Catalog'!$C$51,((D267+E267)*C267-G267)*'Assumptions and Catalog'!$H$51+'Assumptions and Catalog'!$E$51+'Assumptions and Catalog'!$F$51,IF(((D267+E267)*C267-G267)&lt;='Assumptions and Catalog'!$C$52,((D267+E267)*C267-G267)*'Assumptions and Catalog'!$H$52+'Assumptions and Catalog'!$E$52+'Assumptions and Catalog'!$F$52,IF(((D267+E267)*C267-G267)&lt;='Assumptions and Catalog'!$C$53,((D267+E267)*C267-G267)*'Assumptions and Catalog'!$H$53+'Assumptions and Catalog'!$E$53+'Assumptions and Catalog'!$F$53,IF(((D267+E267)*C267-G267)&lt;='Assumptions and Catalog'!$C$54,((D267+E267)*C267-G267)*'Assumptions and Catalog'!$H$54+'Assumptions and Catalog'!$E$54+'Assumptions and Catalog'!$F$54,IF(((D267+E267)*C267-G267)&lt;='Assumptions and Catalog'!$C$55,((D267+E267)*C267-G267)*'Assumptions and Catalog'!$H$55+'Assumptions and Catalog'!$E$55+'Assumptions and Catalog'!$F$55,IF(((D267+E267)*C267-G267)&lt;='Assumptions and Catalog'!$C$56,((D267+E267)*C267-G267)*'Assumptions and Catalog'!$H$56+'Assumptions and Catalog'!$E$56+'Assumptions and Catalog'!$F$56,IF(((D267+E267)*C267-G267)&lt;='Assumptions and Catalog'!$C$57,((D267+E267)*C267-G267)*'Assumptions and Catalog'!$H$57+'Assumptions and Catalog'!$E$57+'Assumptions and Catalog'!$F$57,"Out of range")))))))),IF(((D267+E267)*C267-G267)&lt;='Assumptions and Catalog'!$C$60,((D267+E267)*C267-G267)*'Assumptions and Catalog'!$H$60+'Assumptions and Catalog'!$E$60+'Assumptions and Catalog'!$F$60,IF(((D267+E267)*C267-G267)&lt;='Assumptions and Catalog'!$C$61,((D267+E267)*C267-G267)*'Assumptions and Catalog'!$H$61+'Assumptions and Catalog'!$E$61+'Assumptions and Catalog'!$F$61,IF(((D267+E267)*C267-G267)&lt;='Assumptions and Catalog'!$C$62,((D267+E267)*C267-G267)*'Assumptions and Catalog'!$H$62+'Assumptions and Catalog'!$E$62+'Assumptions and Catalog'!$F$62,IF(((D267+E267)*C267-G267)&lt;='Assumptions and Catalog'!$C$63,((D267+E267)*C267-G267)*'Assumptions and Catalog'!$H$63+'Assumptions and Catalog'!$E$63+'Assumptions and Catalog'!$F$63,IF(((D267+E267)*C267-G267)&lt;='Assumptions and Catalog'!$C$64,((D267+E267)*C267-G267)*'Assumptions and Catalog'!$H$64+'Assumptions and Catalog'!$E$64+'Assumptions and Catalog'!$F$64,IF(((D267+E267)*C267-G267)&lt;='Assumptions and Catalog'!$C$65,((D267+E267)*C267-G267)*'Assumptions and Catalog'!$H$65+'Assumptions and Catalog'!$E$65+'Assumptions and Catalog'!$F$65,"Out of range")))))))))*(1+'Assumptions and Catalog'!$C$8)^(A267-1),0)</f>
        <v>3601.77869275366</v>
      </c>
      <c r="R267" s="5" t="n">
        <f>IF(AND('Assumptions and Catalog'!$C$19&gt;0,A267&gt;='Assumptions and Catalog'!$C$19),A267-'Assumptions and Catalog'!$C$19,A267-1)</f>
        <v>8</v>
      </c>
      <c r="S267" s="5" t="n">
        <f>F267+L267-(D267+E267)*C267-J267-K267-0</f>
        <v>0</v>
      </c>
      <c r="T267" s="5"/>
      <c r="U267" s="5"/>
    </row>
    <row r="268" ht="23.100000381469727" customHeight="1">
      <c r="A268" s="5" t="n">
        <v>9</v>
      </c>
      <c r="B268" s="5" t="n">
        <v>12</v>
      </c>
      <c r="C268" s="5" t="n">
        <f>DAY(DATE('Assumptions and Catalog'!$C$24+A268-1,B268+1,0))</f>
        <v>31</v>
      </c>
      <c r="D268" s="5" t="n">
        <f>IF(ISNUMBER(Inputs!$L$5),Inputs!$L$5*Inputs!$L$6,0)</f>
        <v>40.35</v>
      </c>
      <c r="E268" s="5" t="n">
        <f>IF(ISNUMBER(Inputs!$L$5),Inputs!$L$5-D268,0)</f>
        <v>40.35</v>
      </c>
      <c r="F268" s="5" t="n">
        <f>C$51*INDEX('Solar Production'!$D$20:$D$31,B268)*C268*(1-'Assumptions and Catalog'!$C$10)^(A268-1)</f>
        <v>1102.41448136369</v>
      </c>
      <c r="G268" s="5" t="n">
        <f>MIN(F268,D268*C268)</f>
        <v>1102.41448136369</v>
      </c>
      <c r="H268" s="5" t="n">
        <f>I268/('Assumptions and Catalog'!$C$11*'Assumptions and Catalog'!$C$12)</f>
        <v>0</v>
      </c>
      <c r="I268" s="5" t="n">
        <f>0</f>
        <v>0</v>
      </c>
      <c r="J268" s="5" t="n">
        <f>MAX(F268-G268-H268,0)</f>
        <v>0</v>
      </c>
      <c r="K268" s="5" t="n">
        <f>H268-I268</f>
        <v>0</v>
      </c>
      <c r="L268" s="5" t="n">
        <f>(D268+E268)*C268-G268-I268+0+0</f>
        <v>1399.28551863631</v>
      </c>
      <c r="M268" s="5" t="n">
        <f>IF(ISNUMBER(Inputs!$L$5),(IF(Inputs!$L$9="Actual flat rate",((D268+E268)*C268)*Inputs!$L$10,IF(Inputs!$C$9="Residential",IF(((D268+E268)*C268)&lt;='Assumptions and Catalog'!$C$50,((D268+E268)*C268)*'Assumptions and Catalog'!$H$50+'Assumptions and Catalog'!$E$50+'Assumptions and Catalog'!$F$50,IF(((D268+E268)*C268)&lt;='Assumptions and Catalog'!$C$51,((D268+E268)*C268)*'Assumptions and Catalog'!$H$51+'Assumptions and Catalog'!$E$51+'Assumptions and Catalog'!$F$51,IF(((D268+E268)*C268)&lt;='Assumptions and Catalog'!$C$52,((D268+E268)*C268)*'Assumptions and Catalog'!$H$52+'Assumptions and Catalog'!$E$52+'Assumptions and Catalog'!$F$52,IF(((D268+E268)*C268)&lt;='Assumptions and Catalog'!$C$53,((D268+E268)*C268)*'Assumptions and Catalog'!$H$53+'Assumptions and Catalog'!$E$53+'Assumptions and Catalog'!$F$53,IF(((D268+E268)*C268)&lt;='Assumptions and Catalog'!$C$54,((D268+E268)*C268)*'Assumptions and Catalog'!$H$54+'Assumptions and Catalog'!$E$54+'Assumptions and Catalog'!$F$54,IF(((D268+E268)*C268)&lt;='Assumptions and Catalog'!$C$55,((D268+E268)*C268)*'Assumptions and Catalog'!$H$55+'Assumptions and Catalog'!$E$55+'Assumptions and Catalog'!$F$55,IF(((D268+E268)*C268)&lt;='Assumptions and Catalog'!$C$56,((D268+E268)*C268)*'Assumptions and Catalog'!$H$56+'Assumptions and Catalog'!$E$56+'Assumptions and Catalog'!$F$56,IF(((D268+E268)*C268)&lt;='Assumptions and Catalog'!$C$57,((D268+E268)*C268)*'Assumptions and Catalog'!$H$57+'Assumptions and Catalog'!$E$57+'Assumptions and Catalog'!$F$57,"Out of range")))))))),IF(((D268+E268)*C268)&lt;='Assumptions and Catalog'!$C$60,((D268+E268)*C268)*'Assumptions and Catalog'!$H$60+'Assumptions and Catalog'!$E$60+'Assumptions and Catalog'!$F$60,IF(((D268+E268)*C268)&lt;='Assumptions and Catalog'!$C$61,((D268+E268)*C268)*'Assumptions and Catalog'!$H$61+'Assumptions and Catalog'!$E$61+'Assumptions and Catalog'!$F$61,IF(((D268+E268)*C268)&lt;='Assumptions and Catalog'!$C$62,((D268+E268)*C268)*'Assumptions and Catalog'!$H$62+'Assumptions and Catalog'!$E$62+'Assumptions and Catalog'!$F$62,IF(((D268+E268)*C268)&lt;='Assumptions and Catalog'!$C$63,((D268+E268)*C268)*'Assumptions and Catalog'!$H$63+'Assumptions and Catalog'!$E$63+'Assumptions and Catalog'!$F$63,IF(((D268+E268)*C268)&lt;='Assumptions and Catalog'!$C$64,((D268+E268)*C268)*'Assumptions and Catalog'!$H$64+'Assumptions and Catalog'!$E$64+'Assumptions and Catalog'!$F$64,IF(((D268+E268)*C268)&lt;='Assumptions and Catalog'!$C$65,((D268+E268)*C268)*'Assumptions and Catalog'!$H$65+'Assumptions and Catalog'!$E$65+'Assumptions and Catalog'!$F$65,"Out of range")))))))))*(1+'Assumptions and Catalog'!$C$8)^(A268-1),0)</f>
        <v>7094.794</v>
      </c>
      <c r="N268" s="5" t="n">
        <f>IF(ISNUMBER(Inputs!$L$5),(IF(Inputs!$L$9="Actual flat rate",L268*Inputs!$L$10,IF(Inputs!$C$9="Residential",IF(L268&lt;='Assumptions and Catalog'!$C$50,L268*'Assumptions and Catalog'!$H$50+'Assumptions and Catalog'!$E$50+'Assumptions and Catalog'!$F$50,IF(L268&lt;='Assumptions and Catalog'!$C$51,L268*'Assumptions and Catalog'!$H$51+'Assumptions and Catalog'!$E$51+'Assumptions and Catalog'!$F$51,IF(L268&lt;='Assumptions and Catalog'!$C$52,L268*'Assumptions and Catalog'!$H$52+'Assumptions and Catalog'!$E$52+'Assumptions and Catalog'!$F$52,IF(L268&lt;='Assumptions and Catalog'!$C$53,L268*'Assumptions and Catalog'!$H$53+'Assumptions and Catalog'!$E$53+'Assumptions and Catalog'!$F$53,IF(L268&lt;='Assumptions and Catalog'!$C$54,L268*'Assumptions and Catalog'!$H$54+'Assumptions and Catalog'!$E$54+'Assumptions and Catalog'!$F$54,IF(L268&lt;='Assumptions and Catalog'!$C$55,L268*'Assumptions and Catalog'!$H$55+'Assumptions and Catalog'!$E$55+'Assumptions and Catalog'!$F$55,IF(L268&lt;='Assumptions and Catalog'!$C$56,L268*'Assumptions and Catalog'!$H$56+'Assumptions and Catalog'!$E$56+'Assumptions and Catalog'!$F$56,IF(L268&lt;='Assumptions and Catalog'!$C$57,L268*'Assumptions and Catalog'!$H$57+'Assumptions and Catalog'!$E$57+'Assumptions and Catalog'!$F$57,"Out of range")))))))),IF(L268&lt;='Assumptions and Catalog'!$C$60,L268*'Assumptions and Catalog'!$H$60+'Assumptions and Catalog'!$E$60+'Assumptions and Catalog'!$F$60,IF(L268&lt;='Assumptions and Catalog'!$C$61,L268*'Assumptions and Catalog'!$H$61+'Assumptions and Catalog'!$E$61+'Assumptions and Catalog'!$F$61,IF(L268&lt;='Assumptions and Catalog'!$C$62,L268*'Assumptions and Catalog'!$H$62+'Assumptions and Catalog'!$E$62+'Assumptions and Catalog'!$F$62,IF(L268&lt;='Assumptions and Catalog'!$C$63,L268*'Assumptions and Catalog'!$H$63+'Assumptions and Catalog'!$E$63+'Assumptions and Catalog'!$F$63,IF(L268&lt;='Assumptions and Catalog'!$C$64,L268*'Assumptions and Catalog'!$H$64+'Assumptions and Catalog'!$E$64+'Assumptions and Catalog'!$F$64,IF(L268&lt;='Assumptions and Catalog'!$C$65,L268*'Assumptions and Catalog'!$H$65+'Assumptions and Catalog'!$E$65+'Assumptions and Catalog'!$F$65,"Out of range")))))))))*(1+'Assumptions and Catalog'!$C$8)^(A268-1),0)</f>
        <v>3985.98516255441</v>
      </c>
      <c r="O268" s="5" t="n">
        <f>M268-N268</f>
        <v>3108.80883744559</v>
      </c>
      <c r="P268" s="5" t="n">
        <f>C$55*(1-J$14)*(1-'Assumptions and Catalog'!$C$23)^R268</f>
        <v>0</v>
      </c>
      <c r="Q268" s="5" t="n">
        <f>IF(ISNUMBER(Inputs!$L$5),(IF(Inputs!$L$9="Actual flat rate",((D268+E268)*C268-G268)*Inputs!$L$10,IF(Inputs!$C$9="Residential",IF(((D268+E268)*C268-G268)&lt;='Assumptions and Catalog'!$C$50,((D268+E268)*C268-G268)*'Assumptions and Catalog'!$H$50+'Assumptions and Catalog'!$E$50+'Assumptions and Catalog'!$F$50,IF(((D268+E268)*C268-G268)&lt;='Assumptions and Catalog'!$C$51,((D268+E268)*C268-G268)*'Assumptions and Catalog'!$H$51+'Assumptions and Catalog'!$E$51+'Assumptions and Catalog'!$F$51,IF(((D268+E268)*C268-G268)&lt;='Assumptions and Catalog'!$C$52,((D268+E268)*C268-G268)*'Assumptions and Catalog'!$H$52+'Assumptions and Catalog'!$E$52+'Assumptions and Catalog'!$F$52,IF(((D268+E268)*C268-G268)&lt;='Assumptions and Catalog'!$C$53,((D268+E268)*C268-G268)*'Assumptions and Catalog'!$H$53+'Assumptions and Catalog'!$E$53+'Assumptions and Catalog'!$F$53,IF(((D268+E268)*C268-G268)&lt;='Assumptions and Catalog'!$C$54,((D268+E268)*C268-G268)*'Assumptions and Catalog'!$H$54+'Assumptions and Catalog'!$E$54+'Assumptions and Catalog'!$F$54,IF(((D268+E268)*C268-G268)&lt;='Assumptions and Catalog'!$C$55,((D268+E268)*C268-G268)*'Assumptions and Catalog'!$H$55+'Assumptions and Catalog'!$E$55+'Assumptions and Catalog'!$F$55,IF(((D268+E268)*C268-G268)&lt;='Assumptions and Catalog'!$C$56,((D268+E268)*C268-G268)*'Assumptions and Catalog'!$H$56+'Assumptions and Catalog'!$E$56+'Assumptions and Catalog'!$F$56,IF(((D268+E268)*C268-G268)&lt;='Assumptions and Catalog'!$C$57,((D268+E268)*C268-G268)*'Assumptions and Catalog'!$H$57+'Assumptions and Catalog'!$E$57+'Assumptions and Catalog'!$F$57,"Out of range")))))))),IF(((D268+E268)*C268-G268)&lt;='Assumptions and Catalog'!$C$60,((D268+E268)*C268-G268)*'Assumptions and Catalog'!$H$60+'Assumptions and Catalog'!$E$60+'Assumptions and Catalog'!$F$60,IF(((D268+E268)*C268-G268)&lt;='Assumptions and Catalog'!$C$61,((D268+E268)*C268-G268)*'Assumptions and Catalog'!$H$61+'Assumptions and Catalog'!$E$61+'Assumptions and Catalog'!$F$61,IF(((D268+E268)*C268-G268)&lt;='Assumptions and Catalog'!$C$62,((D268+E268)*C268-G268)*'Assumptions and Catalog'!$H$62+'Assumptions and Catalog'!$E$62+'Assumptions and Catalog'!$F$62,IF(((D268+E268)*C268-G268)&lt;='Assumptions and Catalog'!$C$63,((D268+E268)*C268-G268)*'Assumptions and Catalog'!$H$63+'Assumptions and Catalog'!$E$63+'Assumptions and Catalog'!$F$63,IF(((D268+E268)*C268-G268)&lt;='Assumptions and Catalog'!$C$64,((D268+E268)*C268-G268)*'Assumptions and Catalog'!$H$64+'Assumptions and Catalog'!$E$64+'Assumptions and Catalog'!$F$64,IF(((D268+E268)*C268-G268)&lt;='Assumptions and Catalog'!$C$65,((D268+E268)*C268-G268)*'Assumptions and Catalog'!$H$65+'Assumptions and Catalog'!$E$65+'Assumptions and Catalog'!$F$65,"Out of range")))))))))*(1+'Assumptions and Catalog'!$C$8)^(A268-1),0)</f>
        <v>3985.98516255441</v>
      </c>
      <c r="R268" s="5" t="n">
        <f>IF(AND('Assumptions and Catalog'!$C$19&gt;0,A268&gt;='Assumptions and Catalog'!$C$19),A268-'Assumptions and Catalog'!$C$19,A268-1)</f>
        <v>8</v>
      </c>
      <c r="S268" s="5" t="n">
        <f>F268+L268-(D268+E268)*C268-J268-K268-0</f>
        <v>0</v>
      </c>
      <c r="T268" s="5"/>
      <c r="U268" s="5"/>
    </row>
    <row r="269" ht="23.100000381469727" customHeight="1">
      <c r="A269" s="5" t="n">
        <v>10</v>
      </c>
      <c r="B269" s="5" t="n">
        <v>1</v>
      </c>
      <c r="C269" s="5" t="n">
        <f>DAY(DATE('Assumptions and Catalog'!$C$24+A269-1,B269+1,0))</f>
        <v>31</v>
      </c>
      <c r="D269" s="5" t="n">
        <f>IF(ISNUMBER(Inputs!$L$5),Inputs!$L$5*Inputs!$L$6,0)</f>
        <v>40.35</v>
      </c>
      <c r="E269" s="5" t="n">
        <f>IF(ISNUMBER(Inputs!$L$5),Inputs!$L$5-D269,0)</f>
        <v>40.35</v>
      </c>
      <c r="F269" s="5" t="n">
        <f>C$51*INDEX('Solar Production'!$D$20:$D$31,B269)*C269*(1-'Assumptions and Catalog'!$C$10)^(A269-1)</f>
        <v>1104.47305441746</v>
      </c>
      <c r="G269" s="5" t="n">
        <f>MIN(F269,D269*C269)</f>
        <v>1104.47305441746</v>
      </c>
      <c r="H269" s="5" t="n">
        <f>I269/('Assumptions and Catalog'!$C$11*'Assumptions and Catalog'!$C$12)</f>
        <v>0</v>
      </c>
      <c r="I269" s="5" t="n">
        <f>0</f>
        <v>0</v>
      </c>
      <c r="J269" s="5" t="n">
        <f>MAX(F269-G269-H269,0)</f>
        <v>0</v>
      </c>
      <c r="K269" s="5" t="n">
        <f>H269-I269</f>
        <v>0</v>
      </c>
      <c r="L269" s="5" t="n">
        <f>(D269+E269)*C269-G269-I269+0+0</f>
        <v>1397.22694558254</v>
      </c>
      <c r="M269" s="5" t="n">
        <f>IF(ISNUMBER(Inputs!$L$5),(IF(Inputs!$L$9="Actual flat rate",((D269+E269)*C269)*Inputs!$L$10,IF(Inputs!$C$9="Residential",IF(((D269+E269)*C269)&lt;='Assumptions and Catalog'!$C$50,((D269+E269)*C269)*'Assumptions and Catalog'!$H$50+'Assumptions and Catalog'!$E$50+'Assumptions and Catalog'!$F$50,IF(((D269+E269)*C269)&lt;='Assumptions and Catalog'!$C$51,((D269+E269)*C269)*'Assumptions and Catalog'!$H$51+'Assumptions and Catalog'!$E$51+'Assumptions and Catalog'!$F$51,IF(((D269+E269)*C269)&lt;='Assumptions and Catalog'!$C$52,((D269+E269)*C269)*'Assumptions and Catalog'!$H$52+'Assumptions and Catalog'!$E$52+'Assumptions and Catalog'!$F$52,IF(((D269+E269)*C269)&lt;='Assumptions and Catalog'!$C$53,((D269+E269)*C269)*'Assumptions and Catalog'!$H$53+'Assumptions and Catalog'!$E$53+'Assumptions and Catalog'!$F$53,IF(((D269+E269)*C269)&lt;='Assumptions and Catalog'!$C$54,((D269+E269)*C269)*'Assumptions and Catalog'!$H$54+'Assumptions and Catalog'!$E$54+'Assumptions and Catalog'!$F$54,IF(((D269+E269)*C269)&lt;='Assumptions and Catalog'!$C$55,((D269+E269)*C269)*'Assumptions and Catalog'!$H$55+'Assumptions and Catalog'!$E$55+'Assumptions and Catalog'!$F$55,IF(((D269+E269)*C269)&lt;='Assumptions and Catalog'!$C$56,((D269+E269)*C269)*'Assumptions and Catalog'!$H$56+'Assumptions and Catalog'!$E$56+'Assumptions and Catalog'!$F$56,IF(((D269+E269)*C269)&lt;='Assumptions and Catalog'!$C$57,((D269+E269)*C269)*'Assumptions and Catalog'!$H$57+'Assumptions and Catalog'!$E$57+'Assumptions and Catalog'!$F$57,"Out of range")))))))),IF(((D269+E269)*C269)&lt;='Assumptions and Catalog'!$C$60,((D269+E269)*C269)*'Assumptions and Catalog'!$H$60+'Assumptions and Catalog'!$E$60+'Assumptions and Catalog'!$F$60,IF(((D269+E269)*C269)&lt;='Assumptions and Catalog'!$C$61,((D269+E269)*C269)*'Assumptions and Catalog'!$H$61+'Assumptions and Catalog'!$E$61+'Assumptions and Catalog'!$F$61,IF(((D269+E269)*C269)&lt;='Assumptions and Catalog'!$C$62,((D269+E269)*C269)*'Assumptions and Catalog'!$H$62+'Assumptions and Catalog'!$E$62+'Assumptions and Catalog'!$F$62,IF(((D269+E269)*C269)&lt;='Assumptions and Catalog'!$C$63,((D269+E269)*C269)*'Assumptions and Catalog'!$H$63+'Assumptions and Catalog'!$E$63+'Assumptions and Catalog'!$F$63,IF(((D269+E269)*C269)&lt;='Assumptions and Catalog'!$C$64,((D269+E269)*C269)*'Assumptions and Catalog'!$H$64+'Assumptions and Catalog'!$E$64+'Assumptions and Catalog'!$F$64,IF(((D269+E269)*C269)&lt;='Assumptions and Catalog'!$C$65,((D269+E269)*C269)*'Assumptions and Catalog'!$H$65+'Assumptions and Catalog'!$E$65+'Assumptions and Catalog'!$F$65,"Out of range")))))))))*(1+'Assumptions and Catalog'!$C$8)^(A269-1),0)</f>
        <v>7094.794</v>
      </c>
      <c r="N269" s="5" t="n">
        <f>IF(ISNUMBER(Inputs!$L$5),(IF(Inputs!$L$9="Actual flat rate",L269*Inputs!$L$10,IF(Inputs!$C$9="Residential",IF(L269&lt;='Assumptions and Catalog'!$C$50,L269*'Assumptions and Catalog'!$H$50+'Assumptions and Catalog'!$E$50+'Assumptions and Catalog'!$F$50,IF(L269&lt;='Assumptions and Catalog'!$C$51,L269*'Assumptions and Catalog'!$H$51+'Assumptions and Catalog'!$E$51+'Assumptions and Catalog'!$F$51,IF(L269&lt;='Assumptions and Catalog'!$C$52,L269*'Assumptions and Catalog'!$H$52+'Assumptions and Catalog'!$E$52+'Assumptions and Catalog'!$F$52,IF(L269&lt;='Assumptions and Catalog'!$C$53,L269*'Assumptions and Catalog'!$H$53+'Assumptions and Catalog'!$E$53+'Assumptions and Catalog'!$F$53,IF(L269&lt;='Assumptions and Catalog'!$C$54,L269*'Assumptions and Catalog'!$H$54+'Assumptions and Catalog'!$E$54+'Assumptions and Catalog'!$F$54,IF(L269&lt;='Assumptions and Catalog'!$C$55,L269*'Assumptions and Catalog'!$H$55+'Assumptions and Catalog'!$E$55+'Assumptions and Catalog'!$F$55,IF(L269&lt;='Assumptions and Catalog'!$C$56,L269*'Assumptions and Catalog'!$H$56+'Assumptions and Catalog'!$E$56+'Assumptions and Catalog'!$F$56,IF(L269&lt;='Assumptions and Catalog'!$C$57,L269*'Assumptions and Catalog'!$H$57+'Assumptions and Catalog'!$E$57+'Assumptions and Catalog'!$F$57,"Out of range")))))))),IF(L269&lt;='Assumptions and Catalog'!$C$60,L269*'Assumptions and Catalog'!$H$60+'Assumptions and Catalog'!$E$60+'Assumptions and Catalog'!$F$60,IF(L269&lt;='Assumptions and Catalog'!$C$61,L269*'Assumptions and Catalog'!$H$61+'Assumptions and Catalog'!$E$61+'Assumptions and Catalog'!$F$61,IF(L269&lt;='Assumptions and Catalog'!$C$62,L269*'Assumptions and Catalog'!$H$62+'Assumptions and Catalog'!$E$62+'Assumptions and Catalog'!$F$62,IF(L269&lt;='Assumptions and Catalog'!$C$63,L269*'Assumptions and Catalog'!$H$63+'Assumptions and Catalog'!$E$63+'Assumptions and Catalog'!$F$63,IF(L269&lt;='Assumptions and Catalog'!$C$64,L269*'Assumptions and Catalog'!$H$64+'Assumptions and Catalog'!$E$64+'Assumptions and Catalog'!$F$64,IF(L269&lt;='Assumptions and Catalog'!$C$65,L269*'Assumptions and Catalog'!$H$65+'Assumptions and Catalog'!$E$65+'Assumptions and Catalog'!$F$65,"Out of range")))))))))*(1+'Assumptions and Catalog'!$C$8)^(A269-1),0)</f>
        <v>3980.17998654277</v>
      </c>
      <c r="O269" s="5" t="n">
        <f>M269-N269</f>
        <v>3114.61401345723</v>
      </c>
      <c r="P269" s="5" t="n">
        <f>C$55*(1-J$14)*(1-'Assumptions and Catalog'!$C$23)^R269</f>
        <v>0</v>
      </c>
      <c r="Q269" s="5" t="n">
        <f>IF(ISNUMBER(Inputs!$L$5),(IF(Inputs!$L$9="Actual flat rate",((D269+E269)*C269-G269)*Inputs!$L$10,IF(Inputs!$C$9="Residential",IF(((D269+E269)*C269-G269)&lt;='Assumptions and Catalog'!$C$50,((D269+E269)*C269-G269)*'Assumptions and Catalog'!$H$50+'Assumptions and Catalog'!$E$50+'Assumptions and Catalog'!$F$50,IF(((D269+E269)*C269-G269)&lt;='Assumptions and Catalog'!$C$51,((D269+E269)*C269-G269)*'Assumptions and Catalog'!$H$51+'Assumptions and Catalog'!$E$51+'Assumptions and Catalog'!$F$51,IF(((D269+E269)*C269-G269)&lt;='Assumptions and Catalog'!$C$52,((D269+E269)*C269-G269)*'Assumptions and Catalog'!$H$52+'Assumptions and Catalog'!$E$52+'Assumptions and Catalog'!$F$52,IF(((D269+E269)*C269-G269)&lt;='Assumptions and Catalog'!$C$53,((D269+E269)*C269-G269)*'Assumptions and Catalog'!$H$53+'Assumptions and Catalog'!$E$53+'Assumptions and Catalog'!$F$53,IF(((D269+E269)*C269-G269)&lt;='Assumptions and Catalog'!$C$54,((D269+E269)*C269-G269)*'Assumptions and Catalog'!$H$54+'Assumptions and Catalog'!$E$54+'Assumptions and Catalog'!$F$54,IF(((D269+E269)*C269-G269)&lt;='Assumptions and Catalog'!$C$55,((D269+E269)*C269-G269)*'Assumptions and Catalog'!$H$55+'Assumptions and Catalog'!$E$55+'Assumptions and Catalog'!$F$55,IF(((D269+E269)*C269-G269)&lt;='Assumptions and Catalog'!$C$56,((D269+E269)*C269-G269)*'Assumptions and Catalog'!$H$56+'Assumptions and Catalog'!$E$56+'Assumptions and Catalog'!$F$56,IF(((D269+E269)*C269-G269)&lt;='Assumptions and Catalog'!$C$57,((D269+E269)*C269-G269)*'Assumptions and Catalog'!$H$57+'Assumptions and Catalog'!$E$57+'Assumptions and Catalog'!$F$57,"Out of range")))))))),IF(((D269+E269)*C269-G269)&lt;='Assumptions and Catalog'!$C$60,((D269+E269)*C269-G269)*'Assumptions and Catalog'!$H$60+'Assumptions and Catalog'!$E$60+'Assumptions and Catalog'!$F$60,IF(((D269+E269)*C269-G269)&lt;='Assumptions and Catalog'!$C$61,((D269+E269)*C269-G269)*'Assumptions and Catalog'!$H$61+'Assumptions and Catalog'!$E$61+'Assumptions and Catalog'!$F$61,IF(((D269+E269)*C269-G269)&lt;='Assumptions and Catalog'!$C$62,((D269+E269)*C269-G269)*'Assumptions and Catalog'!$H$62+'Assumptions and Catalog'!$E$62+'Assumptions and Catalog'!$F$62,IF(((D269+E269)*C269-G269)&lt;='Assumptions and Catalog'!$C$63,((D269+E269)*C269-G269)*'Assumptions and Catalog'!$H$63+'Assumptions and Catalog'!$E$63+'Assumptions and Catalog'!$F$63,IF(((D269+E269)*C269-G269)&lt;='Assumptions and Catalog'!$C$64,((D269+E269)*C269-G269)*'Assumptions and Catalog'!$H$64+'Assumptions and Catalog'!$E$64+'Assumptions and Catalog'!$F$64,IF(((D269+E269)*C269-G269)&lt;='Assumptions and Catalog'!$C$65,((D269+E269)*C269-G269)*'Assumptions and Catalog'!$H$65+'Assumptions and Catalog'!$E$65+'Assumptions and Catalog'!$F$65,"Out of range")))))))))*(1+'Assumptions and Catalog'!$C$8)^(A269-1),0)</f>
        <v>3980.17998654277</v>
      </c>
      <c r="R269" s="5" t="n">
        <f>IF(AND('Assumptions and Catalog'!$C$19&gt;0,A269&gt;='Assumptions and Catalog'!$C$19),A269-'Assumptions and Catalog'!$C$19,A269-1)</f>
        <v>9</v>
      </c>
      <c r="S269" s="5" t="n">
        <f>F269+L269-(D269+E269)*C269-J269-K269-0</f>
        <v>0</v>
      </c>
      <c r="T269" s="5"/>
      <c r="U269" s="5"/>
    </row>
    <row r="270" ht="23.100000381469727" customHeight="1">
      <c r="A270" s="5" t="n">
        <v>10</v>
      </c>
      <c r="B270" s="5" t="n">
        <v>2</v>
      </c>
      <c r="C270" s="5" t="n">
        <f>DAY(DATE('Assumptions and Catalog'!$C$24+A270-1,B270+1,0))</f>
        <v>29</v>
      </c>
      <c r="D270" s="5" t="n">
        <f>IF(ISNUMBER(Inputs!$L$5),Inputs!$L$5*Inputs!$L$6,0)</f>
        <v>40.35</v>
      </c>
      <c r="E270" s="5" t="n">
        <f>IF(ISNUMBER(Inputs!$L$5),Inputs!$L$5-D270,0)</f>
        <v>40.35</v>
      </c>
      <c r="F270" s="5" t="n">
        <f>C$51*INDEX('Solar Production'!$D$20:$D$31,B270)*C270*(1-'Assumptions and Catalog'!$C$10)^(A270-1)</f>
        <v>1127.800856799</v>
      </c>
      <c r="G270" s="5" t="n">
        <f>MIN(F270,D270*C270)</f>
        <v>1127.800856799</v>
      </c>
      <c r="H270" s="5" t="n">
        <f>I270/('Assumptions and Catalog'!$C$11*'Assumptions and Catalog'!$C$12)</f>
        <v>0</v>
      </c>
      <c r="I270" s="5" t="n">
        <f>0</f>
        <v>0</v>
      </c>
      <c r="J270" s="5" t="n">
        <f>MAX(F270-G270-H270,0)</f>
        <v>0</v>
      </c>
      <c r="K270" s="5" t="n">
        <f>H270-I270</f>
        <v>0</v>
      </c>
      <c r="L270" s="5" t="n">
        <f>(D270+E270)*C270-G270-I270+0+0</f>
        <v>1212.499143201</v>
      </c>
      <c r="M270" s="5" t="n">
        <f>IF(ISNUMBER(Inputs!$L$5),(IF(Inputs!$L$9="Actual flat rate",((D270+E270)*C270)*Inputs!$L$10,IF(Inputs!$C$9="Residential",IF(((D270+E270)*C270)&lt;='Assumptions and Catalog'!$C$50,((D270+E270)*C270)*'Assumptions and Catalog'!$H$50+'Assumptions and Catalog'!$E$50+'Assumptions and Catalog'!$F$50,IF(((D270+E270)*C270)&lt;='Assumptions and Catalog'!$C$51,((D270+E270)*C270)*'Assumptions and Catalog'!$H$51+'Assumptions and Catalog'!$E$51+'Assumptions and Catalog'!$F$51,IF(((D270+E270)*C270)&lt;='Assumptions and Catalog'!$C$52,((D270+E270)*C270)*'Assumptions and Catalog'!$H$52+'Assumptions and Catalog'!$E$52+'Assumptions and Catalog'!$F$52,IF(((D270+E270)*C270)&lt;='Assumptions and Catalog'!$C$53,((D270+E270)*C270)*'Assumptions and Catalog'!$H$53+'Assumptions and Catalog'!$E$53+'Assumptions and Catalog'!$F$53,IF(((D270+E270)*C270)&lt;='Assumptions and Catalog'!$C$54,((D270+E270)*C270)*'Assumptions and Catalog'!$H$54+'Assumptions and Catalog'!$E$54+'Assumptions and Catalog'!$F$54,IF(((D270+E270)*C270)&lt;='Assumptions and Catalog'!$C$55,((D270+E270)*C270)*'Assumptions and Catalog'!$H$55+'Assumptions and Catalog'!$E$55+'Assumptions and Catalog'!$F$55,IF(((D270+E270)*C270)&lt;='Assumptions and Catalog'!$C$56,((D270+E270)*C270)*'Assumptions and Catalog'!$H$56+'Assumptions and Catalog'!$E$56+'Assumptions and Catalog'!$F$56,IF(((D270+E270)*C270)&lt;='Assumptions and Catalog'!$C$57,((D270+E270)*C270)*'Assumptions and Catalog'!$H$57+'Assumptions and Catalog'!$E$57+'Assumptions and Catalog'!$F$57,"Out of range")))))))),IF(((D270+E270)*C270)&lt;='Assumptions and Catalog'!$C$60,((D270+E270)*C270)*'Assumptions and Catalog'!$H$60+'Assumptions and Catalog'!$E$60+'Assumptions and Catalog'!$F$60,IF(((D270+E270)*C270)&lt;='Assumptions and Catalog'!$C$61,((D270+E270)*C270)*'Assumptions and Catalog'!$H$61+'Assumptions and Catalog'!$E$61+'Assumptions and Catalog'!$F$61,IF(((D270+E270)*C270)&lt;='Assumptions and Catalog'!$C$62,((D270+E270)*C270)*'Assumptions and Catalog'!$H$62+'Assumptions and Catalog'!$E$62+'Assumptions and Catalog'!$F$62,IF(((D270+E270)*C270)&lt;='Assumptions and Catalog'!$C$63,((D270+E270)*C270)*'Assumptions and Catalog'!$H$63+'Assumptions and Catalog'!$E$63+'Assumptions and Catalog'!$F$63,IF(((D270+E270)*C270)&lt;='Assumptions and Catalog'!$C$64,((D270+E270)*C270)*'Assumptions and Catalog'!$H$64+'Assumptions and Catalog'!$E$64+'Assumptions and Catalog'!$F$64,IF(((D270+E270)*C270)&lt;='Assumptions and Catalog'!$C$65,((D270+E270)*C270)*'Assumptions and Catalog'!$H$65+'Assumptions and Catalog'!$E$65+'Assumptions and Catalog'!$F$65,"Out of range")))))))))*(1+'Assumptions and Catalog'!$C$8)^(A270-1),0)</f>
        <v>6639.646</v>
      </c>
      <c r="N270" s="5" t="n">
        <f>IF(ISNUMBER(Inputs!$L$5),(IF(Inputs!$L$9="Actual flat rate",L270*Inputs!$L$10,IF(Inputs!$C$9="Residential",IF(L270&lt;='Assumptions and Catalog'!$C$50,L270*'Assumptions and Catalog'!$H$50+'Assumptions and Catalog'!$E$50+'Assumptions and Catalog'!$F$50,IF(L270&lt;='Assumptions and Catalog'!$C$51,L270*'Assumptions and Catalog'!$H$51+'Assumptions and Catalog'!$E$51+'Assumptions and Catalog'!$F$51,IF(L270&lt;='Assumptions and Catalog'!$C$52,L270*'Assumptions and Catalog'!$H$52+'Assumptions and Catalog'!$E$52+'Assumptions and Catalog'!$F$52,IF(L270&lt;='Assumptions and Catalog'!$C$53,L270*'Assumptions and Catalog'!$H$53+'Assumptions and Catalog'!$E$53+'Assumptions and Catalog'!$F$53,IF(L270&lt;='Assumptions and Catalog'!$C$54,L270*'Assumptions and Catalog'!$H$54+'Assumptions and Catalog'!$E$54+'Assumptions and Catalog'!$F$54,IF(L270&lt;='Assumptions and Catalog'!$C$55,L270*'Assumptions and Catalog'!$H$55+'Assumptions and Catalog'!$E$55+'Assumptions and Catalog'!$F$55,IF(L270&lt;='Assumptions and Catalog'!$C$56,L270*'Assumptions and Catalog'!$H$56+'Assumptions and Catalog'!$E$56+'Assumptions and Catalog'!$F$56,IF(L270&lt;='Assumptions and Catalog'!$C$57,L270*'Assumptions and Catalog'!$H$57+'Assumptions and Catalog'!$E$57+'Assumptions and Catalog'!$F$57,"Out of range")))))))),IF(L270&lt;='Assumptions and Catalog'!$C$60,L270*'Assumptions and Catalog'!$H$60+'Assumptions and Catalog'!$E$60+'Assumptions and Catalog'!$F$60,IF(L270&lt;='Assumptions and Catalog'!$C$61,L270*'Assumptions and Catalog'!$H$61+'Assumptions and Catalog'!$E$61+'Assumptions and Catalog'!$F$61,IF(L270&lt;='Assumptions and Catalog'!$C$62,L270*'Assumptions and Catalog'!$H$62+'Assumptions and Catalog'!$E$62+'Assumptions and Catalog'!$F$62,IF(L270&lt;='Assumptions and Catalog'!$C$63,L270*'Assumptions and Catalog'!$H$63+'Assumptions and Catalog'!$E$63+'Assumptions and Catalog'!$F$63,IF(L270&lt;='Assumptions and Catalog'!$C$64,L270*'Assumptions and Catalog'!$H$64+'Assumptions and Catalog'!$E$64+'Assumptions and Catalog'!$F$64,IF(L270&lt;='Assumptions and Catalog'!$C$65,L270*'Assumptions and Catalog'!$H$65+'Assumptions and Catalog'!$E$65+'Assumptions and Catalog'!$F$65,"Out of range")))))))))*(1+'Assumptions and Catalog'!$C$8)^(A270-1),0)</f>
        <v>3459.24758382681</v>
      </c>
      <c r="O270" s="5" t="n">
        <f>M270-N270</f>
        <v>3180.39841617319</v>
      </c>
      <c r="P270" s="5" t="n">
        <f>C$55*(1-J$14)*(1-'Assumptions and Catalog'!$C$23)^R270</f>
        <v>0</v>
      </c>
      <c r="Q270" s="5" t="n">
        <f>IF(ISNUMBER(Inputs!$L$5),(IF(Inputs!$L$9="Actual flat rate",((D270+E270)*C270-G270)*Inputs!$L$10,IF(Inputs!$C$9="Residential",IF(((D270+E270)*C270-G270)&lt;='Assumptions and Catalog'!$C$50,((D270+E270)*C270-G270)*'Assumptions and Catalog'!$H$50+'Assumptions and Catalog'!$E$50+'Assumptions and Catalog'!$F$50,IF(((D270+E270)*C270-G270)&lt;='Assumptions and Catalog'!$C$51,((D270+E270)*C270-G270)*'Assumptions and Catalog'!$H$51+'Assumptions and Catalog'!$E$51+'Assumptions and Catalog'!$F$51,IF(((D270+E270)*C270-G270)&lt;='Assumptions and Catalog'!$C$52,((D270+E270)*C270-G270)*'Assumptions and Catalog'!$H$52+'Assumptions and Catalog'!$E$52+'Assumptions and Catalog'!$F$52,IF(((D270+E270)*C270-G270)&lt;='Assumptions and Catalog'!$C$53,((D270+E270)*C270-G270)*'Assumptions and Catalog'!$H$53+'Assumptions and Catalog'!$E$53+'Assumptions and Catalog'!$F$53,IF(((D270+E270)*C270-G270)&lt;='Assumptions and Catalog'!$C$54,((D270+E270)*C270-G270)*'Assumptions and Catalog'!$H$54+'Assumptions and Catalog'!$E$54+'Assumptions and Catalog'!$F$54,IF(((D270+E270)*C270-G270)&lt;='Assumptions and Catalog'!$C$55,((D270+E270)*C270-G270)*'Assumptions and Catalog'!$H$55+'Assumptions and Catalog'!$E$55+'Assumptions and Catalog'!$F$55,IF(((D270+E270)*C270-G270)&lt;='Assumptions and Catalog'!$C$56,((D270+E270)*C270-G270)*'Assumptions and Catalog'!$H$56+'Assumptions and Catalog'!$E$56+'Assumptions and Catalog'!$F$56,IF(((D270+E270)*C270-G270)&lt;='Assumptions and Catalog'!$C$57,((D270+E270)*C270-G270)*'Assumptions and Catalog'!$H$57+'Assumptions and Catalog'!$E$57+'Assumptions and Catalog'!$F$57,"Out of range")))))))),IF(((D270+E270)*C270-G270)&lt;='Assumptions and Catalog'!$C$60,((D270+E270)*C270-G270)*'Assumptions and Catalog'!$H$60+'Assumptions and Catalog'!$E$60+'Assumptions and Catalog'!$F$60,IF(((D270+E270)*C270-G270)&lt;='Assumptions and Catalog'!$C$61,((D270+E270)*C270-G270)*'Assumptions and Catalog'!$H$61+'Assumptions and Catalog'!$E$61+'Assumptions and Catalog'!$F$61,IF(((D270+E270)*C270-G270)&lt;='Assumptions and Catalog'!$C$62,((D270+E270)*C270-G270)*'Assumptions and Catalog'!$H$62+'Assumptions and Catalog'!$E$62+'Assumptions and Catalog'!$F$62,IF(((D270+E270)*C270-G270)&lt;='Assumptions and Catalog'!$C$63,((D270+E270)*C270-G270)*'Assumptions and Catalog'!$H$63+'Assumptions and Catalog'!$E$63+'Assumptions and Catalog'!$F$63,IF(((D270+E270)*C270-G270)&lt;='Assumptions and Catalog'!$C$64,((D270+E270)*C270-G270)*'Assumptions and Catalog'!$H$64+'Assumptions and Catalog'!$E$64+'Assumptions and Catalog'!$F$64,IF(((D270+E270)*C270-G270)&lt;='Assumptions and Catalog'!$C$65,((D270+E270)*C270-G270)*'Assumptions and Catalog'!$H$65+'Assumptions and Catalog'!$E$65+'Assumptions and Catalog'!$F$65,"Out of range")))))))))*(1+'Assumptions and Catalog'!$C$8)^(A270-1),0)</f>
        <v>3459.24758382681</v>
      </c>
      <c r="R270" s="5" t="n">
        <f>IF(AND('Assumptions and Catalog'!$C$19&gt;0,A270&gt;='Assumptions and Catalog'!$C$19),A270-'Assumptions and Catalog'!$C$19,A270-1)</f>
        <v>9</v>
      </c>
      <c r="S270" s="5" t="n">
        <f>F270+L270-(D270+E270)*C270-J270-K270-0</f>
        <v>0</v>
      </c>
      <c r="T270" s="5"/>
      <c r="U270" s="5"/>
    </row>
    <row r="271" ht="23.100000381469727" customHeight="1">
      <c r="A271" s="5" t="n">
        <v>10</v>
      </c>
      <c r="B271" s="5" t="n">
        <v>3</v>
      </c>
      <c r="C271" s="5" t="n">
        <f>DAY(DATE('Assumptions and Catalog'!$C$24+A271-1,B271+1,0))</f>
        <v>31</v>
      </c>
      <c r="D271" s="5" t="n">
        <f>IF(ISNUMBER(Inputs!$L$5),Inputs!$L$5*Inputs!$L$6,0)</f>
        <v>40.35</v>
      </c>
      <c r="E271" s="5" t="n">
        <f>IF(ISNUMBER(Inputs!$L$5),Inputs!$L$5-D271,0)</f>
        <v>40.35</v>
      </c>
      <c r="F271" s="5" t="n">
        <f>C$51*INDEX('Solar Production'!$D$20:$D$31,B271)*C271*(1-'Assumptions and Catalog'!$C$10)^(A271-1)</f>
        <v>1354.80906431436</v>
      </c>
      <c r="G271" s="5" t="n">
        <f>MIN(F271,D271*C271)</f>
        <v>1250.85</v>
      </c>
      <c r="H271" s="5" t="n">
        <f>I271/('Assumptions and Catalog'!$C$11*'Assumptions and Catalog'!$C$12)</f>
        <v>0</v>
      </c>
      <c r="I271" s="5" t="n">
        <f>0</f>
        <v>0</v>
      </c>
      <c r="J271" s="5" t="n">
        <f>MAX(F271-G271-H271,0)</f>
        <v>103.959064314363</v>
      </c>
      <c r="K271" s="5" t="n">
        <f>H271-I271</f>
        <v>0</v>
      </c>
      <c r="L271" s="5" t="n">
        <f>(D271+E271)*C271-G271-I271+0+0</f>
        <v>1250.85</v>
      </c>
      <c r="M271" s="5" t="n">
        <f>IF(ISNUMBER(Inputs!$L$5),(IF(Inputs!$L$9="Actual flat rate",((D271+E271)*C271)*Inputs!$L$10,IF(Inputs!$C$9="Residential",IF(((D271+E271)*C271)&lt;='Assumptions and Catalog'!$C$50,((D271+E271)*C271)*'Assumptions and Catalog'!$H$50+'Assumptions and Catalog'!$E$50+'Assumptions and Catalog'!$F$50,IF(((D271+E271)*C271)&lt;='Assumptions and Catalog'!$C$51,((D271+E271)*C271)*'Assumptions and Catalog'!$H$51+'Assumptions and Catalog'!$E$51+'Assumptions and Catalog'!$F$51,IF(((D271+E271)*C271)&lt;='Assumptions and Catalog'!$C$52,((D271+E271)*C271)*'Assumptions and Catalog'!$H$52+'Assumptions and Catalog'!$E$52+'Assumptions and Catalog'!$F$52,IF(((D271+E271)*C271)&lt;='Assumptions and Catalog'!$C$53,((D271+E271)*C271)*'Assumptions and Catalog'!$H$53+'Assumptions and Catalog'!$E$53+'Assumptions and Catalog'!$F$53,IF(((D271+E271)*C271)&lt;='Assumptions and Catalog'!$C$54,((D271+E271)*C271)*'Assumptions and Catalog'!$H$54+'Assumptions and Catalog'!$E$54+'Assumptions and Catalog'!$F$54,IF(((D271+E271)*C271)&lt;='Assumptions and Catalog'!$C$55,((D271+E271)*C271)*'Assumptions and Catalog'!$H$55+'Assumptions and Catalog'!$E$55+'Assumptions and Catalog'!$F$55,IF(((D271+E271)*C271)&lt;='Assumptions and Catalog'!$C$56,((D271+E271)*C271)*'Assumptions and Catalog'!$H$56+'Assumptions and Catalog'!$E$56+'Assumptions and Catalog'!$F$56,IF(((D271+E271)*C271)&lt;='Assumptions and Catalog'!$C$57,((D271+E271)*C271)*'Assumptions and Catalog'!$H$57+'Assumptions and Catalog'!$E$57+'Assumptions and Catalog'!$F$57,"Out of range")))))))),IF(((D271+E271)*C271)&lt;='Assumptions and Catalog'!$C$60,((D271+E271)*C271)*'Assumptions and Catalog'!$H$60+'Assumptions and Catalog'!$E$60+'Assumptions and Catalog'!$F$60,IF(((D271+E271)*C271)&lt;='Assumptions and Catalog'!$C$61,((D271+E271)*C271)*'Assumptions and Catalog'!$H$61+'Assumptions and Catalog'!$E$61+'Assumptions and Catalog'!$F$61,IF(((D271+E271)*C271)&lt;='Assumptions and Catalog'!$C$62,((D271+E271)*C271)*'Assumptions and Catalog'!$H$62+'Assumptions and Catalog'!$E$62+'Assumptions and Catalog'!$F$62,IF(((D271+E271)*C271)&lt;='Assumptions and Catalog'!$C$63,((D271+E271)*C271)*'Assumptions and Catalog'!$H$63+'Assumptions and Catalog'!$E$63+'Assumptions and Catalog'!$F$63,IF(((D271+E271)*C271)&lt;='Assumptions and Catalog'!$C$64,((D271+E271)*C271)*'Assumptions and Catalog'!$H$64+'Assumptions and Catalog'!$E$64+'Assumptions and Catalog'!$F$64,IF(((D271+E271)*C271)&lt;='Assumptions and Catalog'!$C$65,((D271+E271)*C271)*'Assumptions and Catalog'!$H$65+'Assumptions and Catalog'!$E$65+'Assumptions and Catalog'!$F$65,"Out of range")))))))))*(1+'Assumptions and Catalog'!$C$8)^(A271-1),0)</f>
        <v>7094.794</v>
      </c>
      <c r="N271" s="5" t="n">
        <f>IF(ISNUMBER(Inputs!$L$5),(IF(Inputs!$L$9="Actual flat rate",L271*Inputs!$L$10,IF(Inputs!$C$9="Residential",IF(L271&lt;='Assumptions and Catalog'!$C$50,L271*'Assumptions and Catalog'!$H$50+'Assumptions and Catalog'!$E$50+'Assumptions and Catalog'!$F$50,IF(L271&lt;='Assumptions and Catalog'!$C$51,L271*'Assumptions and Catalog'!$H$51+'Assumptions and Catalog'!$E$51+'Assumptions and Catalog'!$F$51,IF(L271&lt;='Assumptions and Catalog'!$C$52,L271*'Assumptions and Catalog'!$H$52+'Assumptions and Catalog'!$E$52+'Assumptions and Catalog'!$F$52,IF(L271&lt;='Assumptions and Catalog'!$C$53,L271*'Assumptions and Catalog'!$H$53+'Assumptions and Catalog'!$E$53+'Assumptions and Catalog'!$F$53,IF(L271&lt;='Assumptions and Catalog'!$C$54,L271*'Assumptions and Catalog'!$H$54+'Assumptions and Catalog'!$E$54+'Assumptions and Catalog'!$F$54,IF(L271&lt;='Assumptions and Catalog'!$C$55,L271*'Assumptions and Catalog'!$H$55+'Assumptions and Catalog'!$E$55+'Assumptions and Catalog'!$F$55,IF(L271&lt;='Assumptions and Catalog'!$C$56,L271*'Assumptions and Catalog'!$H$56+'Assumptions and Catalog'!$E$56+'Assumptions and Catalog'!$F$56,IF(L271&lt;='Assumptions and Catalog'!$C$57,L271*'Assumptions and Catalog'!$H$57+'Assumptions and Catalog'!$E$57+'Assumptions and Catalog'!$F$57,"Out of range")))))))),IF(L271&lt;='Assumptions and Catalog'!$C$60,L271*'Assumptions and Catalog'!$H$60+'Assumptions and Catalog'!$E$60+'Assumptions and Catalog'!$F$60,IF(L271&lt;='Assumptions and Catalog'!$C$61,L271*'Assumptions and Catalog'!$H$61+'Assumptions and Catalog'!$E$61+'Assumptions and Catalog'!$F$61,IF(L271&lt;='Assumptions and Catalog'!$C$62,L271*'Assumptions and Catalog'!$H$62+'Assumptions and Catalog'!$E$62+'Assumptions and Catalog'!$F$62,IF(L271&lt;='Assumptions and Catalog'!$C$63,L271*'Assumptions and Catalog'!$H$63+'Assumptions and Catalog'!$E$63+'Assumptions and Catalog'!$F$63,IF(L271&lt;='Assumptions and Catalog'!$C$64,L271*'Assumptions and Catalog'!$H$64+'Assumptions and Catalog'!$E$64+'Assumptions and Catalog'!$F$64,IF(L271&lt;='Assumptions and Catalog'!$C$65,L271*'Assumptions and Catalog'!$H$65+'Assumptions and Catalog'!$E$65+'Assumptions and Catalog'!$F$65,"Out of range")))))))))*(1+'Assumptions and Catalog'!$C$8)^(A271-1),0)</f>
        <v>3567.397</v>
      </c>
      <c r="O271" s="5" t="n">
        <f>M271-N271</f>
        <v>3527.397</v>
      </c>
      <c r="P271" s="5" t="n">
        <f>C$55*(1-J$14)*(1-'Assumptions and Catalog'!$C$23)^R271</f>
        <v>0</v>
      </c>
      <c r="Q271" s="5" t="n">
        <f>IF(ISNUMBER(Inputs!$L$5),(IF(Inputs!$L$9="Actual flat rate",((D271+E271)*C271-G271)*Inputs!$L$10,IF(Inputs!$C$9="Residential",IF(((D271+E271)*C271-G271)&lt;='Assumptions and Catalog'!$C$50,((D271+E271)*C271-G271)*'Assumptions and Catalog'!$H$50+'Assumptions and Catalog'!$E$50+'Assumptions and Catalog'!$F$50,IF(((D271+E271)*C271-G271)&lt;='Assumptions and Catalog'!$C$51,((D271+E271)*C271-G271)*'Assumptions and Catalog'!$H$51+'Assumptions and Catalog'!$E$51+'Assumptions and Catalog'!$F$51,IF(((D271+E271)*C271-G271)&lt;='Assumptions and Catalog'!$C$52,((D271+E271)*C271-G271)*'Assumptions and Catalog'!$H$52+'Assumptions and Catalog'!$E$52+'Assumptions and Catalog'!$F$52,IF(((D271+E271)*C271-G271)&lt;='Assumptions and Catalog'!$C$53,((D271+E271)*C271-G271)*'Assumptions and Catalog'!$H$53+'Assumptions and Catalog'!$E$53+'Assumptions and Catalog'!$F$53,IF(((D271+E271)*C271-G271)&lt;='Assumptions and Catalog'!$C$54,((D271+E271)*C271-G271)*'Assumptions and Catalog'!$H$54+'Assumptions and Catalog'!$E$54+'Assumptions and Catalog'!$F$54,IF(((D271+E271)*C271-G271)&lt;='Assumptions and Catalog'!$C$55,((D271+E271)*C271-G271)*'Assumptions and Catalog'!$H$55+'Assumptions and Catalog'!$E$55+'Assumptions and Catalog'!$F$55,IF(((D271+E271)*C271-G271)&lt;='Assumptions and Catalog'!$C$56,((D271+E271)*C271-G271)*'Assumptions and Catalog'!$H$56+'Assumptions and Catalog'!$E$56+'Assumptions and Catalog'!$F$56,IF(((D271+E271)*C271-G271)&lt;='Assumptions and Catalog'!$C$57,((D271+E271)*C271-G271)*'Assumptions and Catalog'!$H$57+'Assumptions and Catalog'!$E$57+'Assumptions and Catalog'!$F$57,"Out of range")))))))),IF(((D271+E271)*C271-G271)&lt;='Assumptions and Catalog'!$C$60,((D271+E271)*C271-G271)*'Assumptions and Catalog'!$H$60+'Assumptions and Catalog'!$E$60+'Assumptions and Catalog'!$F$60,IF(((D271+E271)*C271-G271)&lt;='Assumptions and Catalog'!$C$61,((D271+E271)*C271-G271)*'Assumptions and Catalog'!$H$61+'Assumptions and Catalog'!$E$61+'Assumptions and Catalog'!$F$61,IF(((D271+E271)*C271-G271)&lt;='Assumptions and Catalog'!$C$62,((D271+E271)*C271-G271)*'Assumptions and Catalog'!$H$62+'Assumptions and Catalog'!$E$62+'Assumptions and Catalog'!$F$62,IF(((D271+E271)*C271-G271)&lt;='Assumptions and Catalog'!$C$63,((D271+E271)*C271-G271)*'Assumptions and Catalog'!$H$63+'Assumptions and Catalog'!$E$63+'Assumptions and Catalog'!$F$63,IF(((D271+E271)*C271-G271)&lt;='Assumptions and Catalog'!$C$64,((D271+E271)*C271-G271)*'Assumptions and Catalog'!$H$64+'Assumptions and Catalog'!$E$64+'Assumptions and Catalog'!$F$64,IF(((D271+E271)*C271-G271)&lt;='Assumptions and Catalog'!$C$65,((D271+E271)*C271-G271)*'Assumptions and Catalog'!$H$65+'Assumptions and Catalog'!$E$65+'Assumptions and Catalog'!$F$65,"Out of range")))))))))*(1+'Assumptions and Catalog'!$C$8)^(A271-1),0)</f>
        <v>3567.397</v>
      </c>
      <c r="R271" s="5" t="n">
        <f>IF(AND('Assumptions and Catalog'!$C$19&gt;0,A271&gt;='Assumptions and Catalog'!$C$19),A271-'Assumptions and Catalog'!$C$19,A271-1)</f>
        <v>9</v>
      </c>
      <c r="S271" s="5" t="n">
        <f>F271+L271-(D271+E271)*C271-J271-K271-0</f>
        <v>0</v>
      </c>
      <c r="T271" s="5"/>
      <c r="U271" s="5"/>
    </row>
    <row r="272" ht="23.100000381469727" customHeight="1">
      <c r="A272" s="5" t="n">
        <v>10</v>
      </c>
      <c r="B272" s="5" t="n">
        <v>4</v>
      </c>
      <c r="C272" s="5" t="n">
        <f>DAY(DATE('Assumptions and Catalog'!$C$24+A272-1,B272+1,0))</f>
        <v>30</v>
      </c>
      <c r="D272" s="5" t="n">
        <f>IF(ISNUMBER(Inputs!$L$5),Inputs!$L$5*Inputs!$L$6,0)</f>
        <v>40.35</v>
      </c>
      <c r="E272" s="5" t="n">
        <f>IF(ISNUMBER(Inputs!$L$5),Inputs!$L$5-D272,0)</f>
        <v>40.35</v>
      </c>
      <c r="F272" s="5" t="n">
        <f>C$51*INDEX('Solar Production'!$D$20:$D$31,B272)*C272*(1-'Assumptions and Catalog'!$C$10)^(A272-1)</f>
        <v>1353.12669865645</v>
      </c>
      <c r="G272" s="5" t="n">
        <f>MIN(F272,D272*C272)</f>
        <v>1210.5</v>
      </c>
      <c r="H272" s="5" t="n">
        <f>I272/('Assumptions and Catalog'!$C$11*'Assumptions and Catalog'!$C$12)</f>
        <v>0</v>
      </c>
      <c r="I272" s="5" t="n">
        <f>0</f>
        <v>0</v>
      </c>
      <c r="J272" s="5" t="n">
        <f>MAX(F272-G272-H272,0)</f>
        <v>142.626698656454</v>
      </c>
      <c r="K272" s="5" t="n">
        <f>H272-I272</f>
        <v>0</v>
      </c>
      <c r="L272" s="5" t="n">
        <f>(D272+E272)*C272-G272-I272+0+0</f>
        <v>1210.5</v>
      </c>
      <c r="M272" s="5" t="n">
        <f>IF(ISNUMBER(Inputs!$L$5),(IF(Inputs!$L$9="Actual flat rate",((D272+E272)*C272)*Inputs!$L$10,IF(Inputs!$C$9="Residential",IF(((D272+E272)*C272)&lt;='Assumptions and Catalog'!$C$50,((D272+E272)*C272)*'Assumptions and Catalog'!$H$50+'Assumptions and Catalog'!$E$50+'Assumptions and Catalog'!$F$50,IF(((D272+E272)*C272)&lt;='Assumptions and Catalog'!$C$51,((D272+E272)*C272)*'Assumptions and Catalog'!$H$51+'Assumptions and Catalog'!$E$51+'Assumptions and Catalog'!$F$51,IF(((D272+E272)*C272)&lt;='Assumptions and Catalog'!$C$52,((D272+E272)*C272)*'Assumptions and Catalog'!$H$52+'Assumptions and Catalog'!$E$52+'Assumptions and Catalog'!$F$52,IF(((D272+E272)*C272)&lt;='Assumptions and Catalog'!$C$53,((D272+E272)*C272)*'Assumptions and Catalog'!$H$53+'Assumptions and Catalog'!$E$53+'Assumptions and Catalog'!$F$53,IF(((D272+E272)*C272)&lt;='Assumptions and Catalog'!$C$54,((D272+E272)*C272)*'Assumptions and Catalog'!$H$54+'Assumptions and Catalog'!$E$54+'Assumptions and Catalog'!$F$54,IF(((D272+E272)*C272)&lt;='Assumptions and Catalog'!$C$55,((D272+E272)*C272)*'Assumptions and Catalog'!$H$55+'Assumptions and Catalog'!$E$55+'Assumptions and Catalog'!$F$55,IF(((D272+E272)*C272)&lt;='Assumptions and Catalog'!$C$56,((D272+E272)*C272)*'Assumptions and Catalog'!$H$56+'Assumptions and Catalog'!$E$56+'Assumptions and Catalog'!$F$56,IF(((D272+E272)*C272)&lt;='Assumptions and Catalog'!$C$57,((D272+E272)*C272)*'Assumptions and Catalog'!$H$57+'Assumptions and Catalog'!$E$57+'Assumptions and Catalog'!$F$57,"Out of range")))))))),IF(((D272+E272)*C272)&lt;='Assumptions and Catalog'!$C$60,((D272+E272)*C272)*'Assumptions and Catalog'!$H$60+'Assumptions and Catalog'!$E$60+'Assumptions and Catalog'!$F$60,IF(((D272+E272)*C272)&lt;='Assumptions and Catalog'!$C$61,((D272+E272)*C272)*'Assumptions and Catalog'!$H$61+'Assumptions and Catalog'!$E$61+'Assumptions and Catalog'!$F$61,IF(((D272+E272)*C272)&lt;='Assumptions and Catalog'!$C$62,((D272+E272)*C272)*'Assumptions and Catalog'!$H$62+'Assumptions and Catalog'!$E$62+'Assumptions and Catalog'!$F$62,IF(((D272+E272)*C272)&lt;='Assumptions and Catalog'!$C$63,((D272+E272)*C272)*'Assumptions and Catalog'!$H$63+'Assumptions and Catalog'!$E$63+'Assumptions and Catalog'!$F$63,IF(((D272+E272)*C272)&lt;='Assumptions and Catalog'!$C$64,((D272+E272)*C272)*'Assumptions and Catalog'!$H$64+'Assumptions and Catalog'!$E$64+'Assumptions and Catalog'!$F$64,IF(((D272+E272)*C272)&lt;='Assumptions and Catalog'!$C$65,((D272+E272)*C272)*'Assumptions and Catalog'!$H$65+'Assumptions and Catalog'!$E$65+'Assumptions and Catalog'!$F$65,"Out of range")))))))))*(1+'Assumptions and Catalog'!$C$8)^(A272-1),0)</f>
        <v>6867.22</v>
      </c>
      <c r="N272" s="5" t="n">
        <f>IF(ISNUMBER(Inputs!$L$5),(IF(Inputs!$L$9="Actual flat rate",L272*Inputs!$L$10,IF(Inputs!$C$9="Residential",IF(L272&lt;='Assumptions and Catalog'!$C$50,L272*'Assumptions and Catalog'!$H$50+'Assumptions and Catalog'!$E$50+'Assumptions and Catalog'!$F$50,IF(L272&lt;='Assumptions and Catalog'!$C$51,L272*'Assumptions and Catalog'!$H$51+'Assumptions and Catalog'!$E$51+'Assumptions and Catalog'!$F$51,IF(L272&lt;='Assumptions and Catalog'!$C$52,L272*'Assumptions and Catalog'!$H$52+'Assumptions and Catalog'!$E$52+'Assumptions and Catalog'!$F$52,IF(L272&lt;='Assumptions and Catalog'!$C$53,L272*'Assumptions and Catalog'!$H$53+'Assumptions and Catalog'!$E$53+'Assumptions and Catalog'!$F$53,IF(L272&lt;='Assumptions and Catalog'!$C$54,L272*'Assumptions and Catalog'!$H$54+'Assumptions and Catalog'!$E$54+'Assumptions and Catalog'!$F$54,IF(L272&lt;='Assumptions and Catalog'!$C$55,L272*'Assumptions and Catalog'!$H$55+'Assumptions and Catalog'!$E$55+'Assumptions and Catalog'!$F$55,IF(L272&lt;='Assumptions and Catalog'!$C$56,L272*'Assumptions and Catalog'!$H$56+'Assumptions and Catalog'!$E$56+'Assumptions and Catalog'!$F$56,IF(L272&lt;='Assumptions and Catalog'!$C$57,L272*'Assumptions and Catalog'!$H$57+'Assumptions and Catalog'!$E$57+'Assumptions and Catalog'!$F$57,"Out of range")))))))),IF(L272&lt;='Assumptions and Catalog'!$C$60,L272*'Assumptions and Catalog'!$H$60+'Assumptions and Catalog'!$E$60+'Assumptions and Catalog'!$F$60,IF(L272&lt;='Assumptions and Catalog'!$C$61,L272*'Assumptions and Catalog'!$H$61+'Assumptions and Catalog'!$E$61+'Assumptions and Catalog'!$F$61,IF(L272&lt;='Assumptions and Catalog'!$C$62,L272*'Assumptions and Catalog'!$H$62+'Assumptions and Catalog'!$E$62+'Assumptions and Catalog'!$F$62,IF(L272&lt;='Assumptions and Catalog'!$C$63,L272*'Assumptions and Catalog'!$H$63+'Assumptions and Catalog'!$E$63+'Assumptions and Catalog'!$F$63,IF(L272&lt;='Assumptions and Catalog'!$C$64,L272*'Assumptions and Catalog'!$H$64+'Assumptions and Catalog'!$E$64+'Assumptions and Catalog'!$F$64,IF(L272&lt;='Assumptions and Catalog'!$C$65,L272*'Assumptions and Catalog'!$H$65+'Assumptions and Catalog'!$E$65+'Assumptions and Catalog'!$F$65,"Out of range")))))))))*(1+'Assumptions and Catalog'!$C$8)^(A272-1),0)</f>
        <v>3453.61</v>
      </c>
      <c r="O272" s="5" t="n">
        <f>M272-N272</f>
        <v>3413.61</v>
      </c>
      <c r="P272" s="5" t="n">
        <f>C$55*(1-J$14)*(1-'Assumptions and Catalog'!$C$23)^R272</f>
        <v>0</v>
      </c>
      <c r="Q272" s="5" t="n">
        <f>IF(ISNUMBER(Inputs!$L$5),(IF(Inputs!$L$9="Actual flat rate",((D272+E272)*C272-G272)*Inputs!$L$10,IF(Inputs!$C$9="Residential",IF(((D272+E272)*C272-G272)&lt;='Assumptions and Catalog'!$C$50,((D272+E272)*C272-G272)*'Assumptions and Catalog'!$H$50+'Assumptions and Catalog'!$E$50+'Assumptions and Catalog'!$F$50,IF(((D272+E272)*C272-G272)&lt;='Assumptions and Catalog'!$C$51,((D272+E272)*C272-G272)*'Assumptions and Catalog'!$H$51+'Assumptions and Catalog'!$E$51+'Assumptions and Catalog'!$F$51,IF(((D272+E272)*C272-G272)&lt;='Assumptions and Catalog'!$C$52,((D272+E272)*C272-G272)*'Assumptions and Catalog'!$H$52+'Assumptions and Catalog'!$E$52+'Assumptions and Catalog'!$F$52,IF(((D272+E272)*C272-G272)&lt;='Assumptions and Catalog'!$C$53,((D272+E272)*C272-G272)*'Assumptions and Catalog'!$H$53+'Assumptions and Catalog'!$E$53+'Assumptions and Catalog'!$F$53,IF(((D272+E272)*C272-G272)&lt;='Assumptions and Catalog'!$C$54,((D272+E272)*C272-G272)*'Assumptions and Catalog'!$H$54+'Assumptions and Catalog'!$E$54+'Assumptions and Catalog'!$F$54,IF(((D272+E272)*C272-G272)&lt;='Assumptions and Catalog'!$C$55,((D272+E272)*C272-G272)*'Assumptions and Catalog'!$H$55+'Assumptions and Catalog'!$E$55+'Assumptions and Catalog'!$F$55,IF(((D272+E272)*C272-G272)&lt;='Assumptions and Catalog'!$C$56,((D272+E272)*C272-G272)*'Assumptions and Catalog'!$H$56+'Assumptions and Catalog'!$E$56+'Assumptions and Catalog'!$F$56,IF(((D272+E272)*C272-G272)&lt;='Assumptions and Catalog'!$C$57,((D272+E272)*C272-G272)*'Assumptions and Catalog'!$H$57+'Assumptions and Catalog'!$E$57+'Assumptions and Catalog'!$F$57,"Out of range")))))))),IF(((D272+E272)*C272-G272)&lt;='Assumptions and Catalog'!$C$60,((D272+E272)*C272-G272)*'Assumptions and Catalog'!$H$60+'Assumptions and Catalog'!$E$60+'Assumptions and Catalog'!$F$60,IF(((D272+E272)*C272-G272)&lt;='Assumptions and Catalog'!$C$61,((D272+E272)*C272-G272)*'Assumptions and Catalog'!$H$61+'Assumptions and Catalog'!$E$61+'Assumptions and Catalog'!$F$61,IF(((D272+E272)*C272-G272)&lt;='Assumptions and Catalog'!$C$62,((D272+E272)*C272-G272)*'Assumptions and Catalog'!$H$62+'Assumptions and Catalog'!$E$62+'Assumptions and Catalog'!$F$62,IF(((D272+E272)*C272-G272)&lt;='Assumptions and Catalog'!$C$63,((D272+E272)*C272-G272)*'Assumptions and Catalog'!$H$63+'Assumptions and Catalog'!$E$63+'Assumptions and Catalog'!$F$63,IF(((D272+E272)*C272-G272)&lt;='Assumptions and Catalog'!$C$64,((D272+E272)*C272-G272)*'Assumptions and Catalog'!$H$64+'Assumptions and Catalog'!$E$64+'Assumptions and Catalog'!$F$64,IF(((D272+E272)*C272-G272)&lt;='Assumptions and Catalog'!$C$65,((D272+E272)*C272-G272)*'Assumptions and Catalog'!$H$65+'Assumptions and Catalog'!$E$65+'Assumptions and Catalog'!$F$65,"Out of range")))))))))*(1+'Assumptions and Catalog'!$C$8)^(A272-1),0)</f>
        <v>3453.61</v>
      </c>
      <c r="R272" s="5" t="n">
        <f>IF(AND('Assumptions and Catalog'!$C$19&gt;0,A272&gt;='Assumptions and Catalog'!$C$19),A272-'Assumptions and Catalog'!$C$19,A272-1)</f>
        <v>9</v>
      </c>
      <c r="S272" s="5" t="n">
        <f>F272+L272-(D272+E272)*C272-J272-K272-0</f>
        <v>0</v>
      </c>
      <c r="T272" s="5"/>
      <c r="U272" s="5"/>
    </row>
    <row r="273" ht="23.100000381469727" customHeight="1">
      <c r="A273" s="5" t="n">
        <v>10</v>
      </c>
      <c r="B273" s="5" t="n">
        <v>5</v>
      </c>
      <c r="C273" s="5" t="n">
        <f>DAY(DATE('Assumptions and Catalog'!$C$24+A273-1,B273+1,0))</f>
        <v>31</v>
      </c>
      <c r="D273" s="5" t="n">
        <f>IF(ISNUMBER(Inputs!$L$5),Inputs!$L$5*Inputs!$L$6,0)</f>
        <v>40.35</v>
      </c>
      <c r="E273" s="5" t="n">
        <f>IF(ISNUMBER(Inputs!$L$5),Inputs!$L$5-D273,0)</f>
        <v>40.35</v>
      </c>
      <c r="F273" s="5" t="n">
        <f>C$51*INDEX('Solar Production'!$D$20:$D$31,B273)*C273*(1-'Assumptions and Catalog'!$C$10)^(A273-1)</f>
        <v>1368.77269927501</v>
      </c>
      <c r="G273" s="5" t="n">
        <f>MIN(F273,D273*C273)</f>
        <v>1250.85</v>
      </c>
      <c r="H273" s="5" t="n">
        <f>I273/('Assumptions and Catalog'!$C$11*'Assumptions and Catalog'!$C$12)</f>
        <v>0</v>
      </c>
      <c r="I273" s="5" t="n">
        <f>0</f>
        <v>0</v>
      </c>
      <c r="J273" s="5" t="n">
        <f>MAX(F273-G273-H273,0)</f>
        <v>117.92269927501</v>
      </c>
      <c r="K273" s="5" t="n">
        <f>H273-I273</f>
        <v>0</v>
      </c>
      <c r="L273" s="5" t="n">
        <f>(D273+E273)*C273-G273-I273+0+0</f>
        <v>1250.85</v>
      </c>
      <c r="M273" s="5" t="n">
        <f>IF(ISNUMBER(Inputs!$L$5),(IF(Inputs!$L$9="Actual flat rate",((D273+E273)*C273)*Inputs!$L$10,IF(Inputs!$C$9="Residential",IF(((D273+E273)*C273)&lt;='Assumptions and Catalog'!$C$50,((D273+E273)*C273)*'Assumptions and Catalog'!$H$50+'Assumptions and Catalog'!$E$50+'Assumptions and Catalog'!$F$50,IF(((D273+E273)*C273)&lt;='Assumptions and Catalog'!$C$51,((D273+E273)*C273)*'Assumptions and Catalog'!$H$51+'Assumptions and Catalog'!$E$51+'Assumptions and Catalog'!$F$51,IF(((D273+E273)*C273)&lt;='Assumptions and Catalog'!$C$52,((D273+E273)*C273)*'Assumptions and Catalog'!$H$52+'Assumptions and Catalog'!$E$52+'Assumptions and Catalog'!$F$52,IF(((D273+E273)*C273)&lt;='Assumptions and Catalog'!$C$53,((D273+E273)*C273)*'Assumptions and Catalog'!$H$53+'Assumptions and Catalog'!$E$53+'Assumptions and Catalog'!$F$53,IF(((D273+E273)*C273)&lt;='Assumptions and Catalog'!$C$54,((D273+E273)*C273)*'Assumptions and Catalog'!$H$54+'Assumptions and Catalog'!$E$54+'Assumptions and Catalog'!$F$54,IF(((D273+E273)*C273)&lt;='Assumptions and Catalog'!$C$55,((D273+E273)*C273)*'Assumptions and Catalog'!$H$55+'Assumptions and Catalog'!$E$55+'Assumptions and Catalog'!$F$55,IF(((D273+E273)*C273)&lt;='Assumptions and Catalog'!$C$56,((D273+E273)*C273)*'Assumptions and Catalog'!$H$56+'Assumptions and Catalog'!$E$56+'Assumptions and Catalog'!$F$56,IF(((D273+E273)*C273)&lt;='Assumptions and Catalog'!$C$57,((D273+E273)*C273)*'Assumptions and Catalog'!$H$57+'Assumptions and Catalog'!$E$57+'Assumptions and Catalog'!$F$57,"Out of range")))))))),IF(((D273+E273)*C273)&lt;='Assumptions and Catalog'!$C$60,((D273+E273)*C273)*'Assumptions and Catalog'!$H$60+'Assumptions and Catalog'!$E$60+'Assumptions and Catalog'!$F$60,IF(((D273+E273)*C273)&lt;='Assumptions and Catalog'!$C$61,((D273+E273)*C273)*'Assumptions and Catalog'!$H$61+'Assumptions and Catalog'!$E$61+'Assumptions and Catalog'!$F$61,IF(((D273+E273)*C273)&lt;='Assumptions and Catalog'!$C$62,((D273+E273)*C273)*'Assumptions and Catalog'!$H$62+'Assumptions and Catalog'!$E$62+'Assumptions and Catalog'!$F$62,IF(((D273+E273)*C273)&lt;='Assumptions and Catalog'!$C$63,((D273+E273)*C273)*'Assumptions and Catalog'!$H$63+'Assumptions and Catalog'!$E$63+'Assumptions and Catalog'!$F$63,IF(((D273+E273)*C273)&lt;='Assumptions and Catalog'!$C$64,((D273+E273)*C273)*'Assumptions and Catalog'!$H$64+'Assumptions and Catalog'!$E$64+'Assumptions and Catalog'!$F$64,IF(((D273+E273)*C273)&lt;='Assumptions and Catalog'!$C$65,((D273+E273)*C273)*'Assumptions and Catalog'!$H$65+'Assumptions and Catalog'!$E$65+'Assumptions and Catalog'!$F$65,"Out of range")))))))))*(1+'Assumptions and Catalog'!$C$8)^(A273-1),0)</f>
        <v>7094.794</v>
      </c>
      <c r="N273" s="5" t="n">
        <f>IF(ISNUMBER(Inputs!$L$5),(IF(Inputs!$L$9="Actual flat rate",L273*Inputs!$L$10,IF(Inputs!$C$9="Residential",IF(L273&lt;='Assumptions and Catalog'!$C$50,L273*'Assumptions and Catalog'!$H$50+'Assumptions and Catalog'!$E$50+'Assumptions and Catalog'!$F$50,IF(L273&lt;='Assumptions and Catalog'!$C$51,L273*'Assumptions and Catalog'!$H$51+'Assumptions and Catalog'!$E$51+'Assumptions and Catalog'!$F$51,IF(L273&lt;='Assumptions and Catalog'!$C$52,L273*'Assumptions and Catalog'!$H$52+'Assumptions and Catalog'!$E$52+'Assumptions and Catalog'!$F$52,IF(L273&lt;='Assumptions and Catalog'!$C$53,L273*'Assumptions and Catalog'!$H$53+'Assumptions and Catalog'!$E$53+'Assumptions and Catalog'!$F$53,IF(L273&lt;='Assumptions and Catalog'!$C$54,L273*'Assumptions and Catalog'!$H$54+'Assumptions and Catalog'!$E$54+'Assumptions and Catalog'!$F$54,IF(L273&lt;='Assumptions and Catalog'!$C$55,L273*'Assumptions and Catalog'!$H$55+'Assumptions and Catalog'!$E$55+'Assumptions and Catalog'!$F$55,IF(L273&lt;='Assumptions and Catalog'!$C$56,L273*'Assumptions and Catalog'!$H$56+'Assumptions and Catalog'!$E$56+'Assumptions and Catalog'!$F$56,IF(L273&lt;='Assumptions and Catalog'!$C$57,L273*'Assumptions and Catalog'!$H$57+'Assumptions and Catalog'!$E$57+'Assumptions and Catalog'!$F$57,"Out of range")))))))),IF(L273&lt;='Assumptions and Catalog'!$C$60,L273*'Assumptions and Catalog'!$H$60+'Assumptions and Catalog'!$E$60+'Assumptions and Catalog'!$F$60,IF(L273&lt;='Assumptions and Catalog'!$C$61,L273*'Assumptions and Catalog'!$H$61+'Assumptions and Catalog'!$E$61+'Assumptions and Catalog'!$F$61,IF(L273&lt;='Assumptions and Catalog'!$C$62,L273*'Assumptions and Catalog'!$H$62+'Assumptions and Catalog'!$E$62+'Assumptions and Catalog'!$F$62,IF(L273&lt;='Assumptions and Catalog'!$C$63,L273*'Assumptions and Catalog'!$H$63+'Assumptions and Catalog'!$E$63+'Assumptions and Catalog'!$F$63,IF(L273&lt;='Assumptions and Catalog'!$C$64,L273*'Assumptions and Catalog'!$H$64+'Assumptions and Catalog'!$E$64+'Assumptions and Catalog'!$F$64,IF(L273&lt;='Assumptions and Catalog'!$C$65,L273*'Assumptions and Catalog'!$H$65+'Assumptions and Catalog'!$E$65+'Assumptions and Catalog'!$F$65,"Out of range")))))))))*(1+'Assumptions and Catalog'!$C$8)^(A273-1),0)</f>
        <v>3567.397</v>
      </c>
      <c r="O273" s="5" t="n">
        <f>M273-N273</f>
        <v>3527.397</v>
      </c>
      <c r="P273" s="5" t="n">
        <f>C$55*(1-J$14)*(1-'Assumptions and Catalog'!$C$23)^R273</f>
        <v>0</v>
      </c>
      <c r="Q273" s="5" t="n">
        <f>IF(ISNUMBER(Inputs!$L$5),(IF(Inputs!$L$9="Actual flat rate",((D273+E273)*C273-G273)*Inputs!$L$10,IF(Inputs!$C$9="Residential",IF(((D273+E273)*C273-G273)&lt;='Assumptions and Catalog'!$C$50,((D273+E273)*C273-G273)*'Assumptions and Catalog'!$H$50+'Assumptions and Catalog'!$E$50+'Assumptions and Catalog'!$F$50,IF(((D273+E273)*C273-G273)&lt;='Assumptions and Catalog'!$C$51,((D273+E273)*C273-G273)*'Assumptions and Catalog'!$H$51+'Assumptions and Catalog'!$E$51+'Assumptions and Catalog'!$F$51,IF(((D273+E273)*C273-G273)&lt;='Assumptions and Catalog'!$C$52,((D273+E273)*C273-G273)*'Assumptions and Catalog'!$H$52+'Assumptions and Catalog'!$E$52+'Assumptions and Catalog'!$F$52,IF(((D273+E273)*C273-G273)&lt;='Assumptions and Catalog'!$C$53,((D273+E273)*C273-G273)*'Assumptions and Catalog'!$H$53+'Assumptions and Catalog'!$E$53+'Assumptions and Catalog'!$F$53,IF(((D273+E273)*C273-G273)&lt;='Assumptions and Catalog'!$C$54,((D273+E273)*C273-G273)*'Assumptions and Catalog'!$H$54+'Assumptions and Catalog'!$E$54+'Assumptions and Catalog'!$F$54,IF(((D273+E273)*C273-G273)&lt;='Assumptions and Catalog'!$C$55,((D273+E273)*C273-G273)*'Assumptions and Catalog'!$H$55+'Assumptions and Catalog'!$E$55+'Assumptions and Catalog'!$F$55,IF(((D273+E273)*C273-G273)&lt;='Assumptions and Catalog'!$C$56,((D273+E273)*C273-G273)*'Assumptions and Catalog'!$H$56+'Assumptions and Catalog'!$E$56+'Assumptions and Catalog'!$F$56,IF(((D273+E273)*C273-G273)&lt;='Assumptions and Catalog'!$C$57,((D273+E273)*C273-G273)*'Assumptions and Catalog'!$H$57+'Assumptions and Catalog'!$E$57+'Assumptions and Catalog'!$F$57,"Out of range")))))))),IF(((D273+E273)*C273-G273)&lt;='Assumptions and Catalog'!$C$60,((D273+E273)*C273-G273)*'Assumptions and Catalog'!$H$60+'Assumptions and Catalog'!$E$60+'Assumptions and Catalog'!$F$60,IF(((D273+E273)*C273-G273)&lt;='Assumptions and Catalog'!$C$61,((D273+E273)*C273-G273)*'Assumptions and Catalog'!$H$61+'Assumptions and Catalog'!$E$61+'Assumptions and Catalog'!$F$61,IF(((D273+E273)*C273-G273)&lt;='Assumptions and Catalog'!$C$62,((D273+E273)*C273-G273)*'Assumptions and Catalog'!$H$62+'Assumptions and Catalog'!$E$62+'Assumptions and Catalog'!$F$62,IF(((D273+E273)*C273-G273)&lt;='Assumptions and Catalog'!$C$63,((D273+E273)*C273-G273)*'Assumptions and Catalog'!$H$63+'Assumptions and Catalog'!$E$63+'Assumptions and Catalog'!$F$63,IF(((D273+E273)*C273-G273)&lt;='Assumptions and Catalog'!$C$64,((D273+E273)*C273-G273)*'Assumptions and Catalog'!$H$64+'Assumptions and Catalog'!$E$64+'Assumptions and Catalog'!$F$64,IF(((D273+E273)*C273-G273)&lt;='Assumptions and Catalog'!$C$65,((D273+E273)*C273-G273)*'Assumptions and Catalog'!$H$65+'Assumptions and Catalog'!$E$65+'Assumptions and Catalog'!$F$65,"Out of range")))))))))*(1+'Assumptions and Catalog'!$C$8)^(A273-1),0)</f>
        <v>3567.397</v>
      </c>
      <c r="R273" s="5" t="n">
        <f>IF(AND('Assumptions and Catalog'!$C$19&gt;0,A273&gt;='Assumptions and Catalog'!$C$19),A273-'Assumptions and Catalog'!$C$19,A273-1)</f>
        <v>9</v>
      </c>
      <c r="S273" s="5" t="n">
        <f>F273+L273-(D273+E273)*C273-J273-K273-0</f>
        <v>0</v>
      </c>
      <c r="T273" s="5"/>
      <c r="U273" s="5"/>
    </row>
    <row r="274" ht="23.100000381469727" customHeight="1">
      <c r="A274" s="5" t="n">
        <v>10</v>
      </c>
      <c r="B274" s="5" t="n">
        <v>6</v>
      </c>
      <c r="C274" s="5" t="n">
        <f>DAY(DATE('Assumptions and Catalog'!$C$24+A274-1,B274+1,0))</f>
        <v>30</v>
      </c>
      <c r="D274" s="5" t="n">
        <f>IF(ISNUMBER(Inputs!$L$5),Inputs!$L$5*Inputs!$L$6,0)</f>
        <v>40.35</v>
      </c>
      <c r="E274" s="5" t="n">
        <f>IF(ISNUMBER(Inputs!$L$5),Inputs!$L$5-D274,0)</f>
        <v>40.35</v>
      </c>
      <c r="F274" s="5" t="n">
        <f>C$51*INDEX('Solar Production'!$D$20:$D$31,B274)*C274*(1-'Assumptions and Catalog'!$C$10)^(A274-1)</f>
        <v>1334.28420328787</v>
      </c>
      <c r="G274" s="5" t="n">
        <f>MIN(F274,D274*C274)</f>
        <v>1210.5</v>
      </c>
      <c r="H274" s="5" t="n">
        <f>I274/('Assumptions and Catalog'!$C$11*'Assumptions and Catalog'!$C$12)</f>
        <v>0</v>
      </c>
      <c r="I274" s="5" t="n">
        <f>0</f>
        <v>0</v>
      </c>
      <c r="J274" s="5" t="n">
        <f>MAX(F274-G274-H274,0)</f>
        <v>123.78420328787</v>
      </c>
      <c r="K274" s="5" t="n">
        <f>H274-I274</f>
        <v>0</v>
      </c>
      <c r="L274" s="5" t="n">
        <f>(D274+E274)*C274-G274-I274+0+0</f>
        <v>1210.5</v>
      </c>
      <c r="M274" s="5" t="n">
        <f>IF(ISNUMBER(Inputs!$L$5),(IF(Inputs!$L$9="Actual flat rate",((D274+E274)*C274)*Inputs!$L$10,IF(Inputs!$C$9="Residential",IF(((D274+E274)*C274)&lt;='Assumptions and Catalog'!$C$50,((D274+E274)*C274)*'Assumptions and Catalog'!$H$50+'Assumptions and Catalog'!$E$50+'Assumptions and Catalog'!$F$50,IF(((D274+E274)*C274)&lt;='Assumptions and Catalog'!$C$51,((D274+E274)*C274)*'Assumptions and Catalog'!$H$51+'Assumptions and Catalog'!$E$51+'Assumptions and Catalog'!$F$51,IF(((D274+E274)*C274)&lt;='Assumptions and Catalog'!$C$52,((D274+E274)*C274)*'Assumptions and Catalog'!$H$52+'Assumptions and Catalog'!$E$52+'Assumptions and Catalog'!$F$52,IF(((D274+E274)*C274)&lt;='Assumptions and Catalog'!$C$53,((D274+E274)*C274)*'Assumptions and Catalog'!$H$53+'Assumptions and Catalog'!$E$53+'Assumptions and Catalog'!$F$53,IF(((D274+E274)*C274)&lt;='Assumptions and Catalog'!$C$54,((D274+E274)*C274)*'Assumptions and Catalog'!$H$54+'Assumptions and Catalog'!$E$54+'Assumptions and Catalog'!$F$54,IF(((D274+E274)*C274)&lt;='Assumptions and Catalog'!$C$55,((D274+E274)*C274)*'Assumptions and Catalog'!$H$55+'Assumptions and Catalog'!$E$55+'Assumptions and Catalog'!$F$55,IF(((D274+E274)*C274)&lt;='Assumptions and Catalog'!$C$56,((D274+E274)*C274)*'Assumptions and Catalog'!$H$56+'Assumptions and Catalog'!$E$56+'Assumptions and Catalog'!$F$56,IF(((D274+E274)*C274)&lt;='Assumptions and Catalog'!$C$57,((D274+E274)*C274)*'Assumptions and Catalog'!$H$57+'Assumptions and Catalog'!$E$57+'Assumptions and Catalog'!$F$57,"Out of range")))))))),IF(((D274+E274)*C274)&lt;='Assumptions and Catalog'!$C$60,((D274+E274)*C274)*'Assumptions and Catalog'!$H$60+'Assumptions and Catalog'!$E$60+'Assumptions and Catalog'!$F$60,IF(((D274+E274)*C274)&lt;='Assumptions and Catalog'!$C$61,((D274+E274)*C274)*'Assumptions and Catalog'!$H$61+'Assumptions and Catalog'!$E$61+'Assumptions and Catalog'!$F$61,IF(((D274+E274)*C274)&lt;='Assumptions and Catalog'!$C$62,((D274+E274)*C274)*'Assumptions and Catalog'!$H$62+'Assumptions and Catalog'!$E$62+'Assumptions and Catalog'!$F$62,IF(((D274+E274)*C274)&lt;='Assumptions and Catalog'!$C$63,((D274+E274)*C274)*'Assumptions and Catalog'!$H$63+'Assumptions and Catalog'!$E$63+'Assumptions and Catalog'!$F$63,IF(((D274+E274)*C274)&lt;='Assumptions and Catalog'!$C$64,((D274+E274)*C274)*'Assumptions and Catalog'!$H$64+'Assumptions and Catalog'!$E$64+'Assumptions and Catalog'!$F$64,IF(((D274+E274)*C274)&lt;='Assumptions and Catalog'!$C$65,((D274+E274)*C274)*'Assumptions and Catalog'!$H$65+'Assumptions and Catalog'!$E$65+'Assumptions and Catalog'!$F$65,"Out of range")))))))))*(1+'Assumptions and Catalog'!$C$8)^(A274-1),0)</f>
        <v>6867.22</v>
      </c>
      <c r="N274" s="5" t="n">
        <f>IF(ISNUMBER(Inputs!$L$5),(IF(Inputs!$L$9="Actual flat rate",L274*Inputs!$L$10,IF(Inputs!$C$9="Residential",IF(L274&lt;='Assumptions and Catalog'!$C$50,L274*'Assumptions and Catalog'!$H$50+'Assumptions and Catalog'!$E$50+'Assumptions and Catalog'!$F$50,IF(L274&lt;='Assumptions and Catalog'!$C$51,L274*'Assumptions and Catalog'!$H$51+'Assumptions and Catalog'!$E$51+'Assumptions and Catalog'!$F$51,IF(L274&lt;='Assumptions and Catalog'!$C$52,L274*'Assumptions and Catalog'!$H$52+'Assumptions and Catalog'!$E$52+'Assumptions and Catalog'!$F$52,IF(L274&lt;='Assumptions and Catalog'!$C$53,L274*'Assumptions and Catalog'!$H$53+'Assumptions and Catalog'!$E$53+'Assumptions and Catalog'!$F$53,IF(L274&lt;='Assumptions and Catalog'!$C$54,L274*'Assumptions and Catalog'!$H$54+'Assumptions and Catalog'!$E$54+'Assumptions and Catalog'!$F$54,IF(L274&lt;='Assumptions and Catalog'!$C$55,L274*'Assumptions and Catalog'!$H$55+'Assumptions and Catalog'!$E$55+'Assumptions and Catalog'!$F$55,IF(L274&lt;='Assumptions and Catalog'!$C$56,L274*'Assumptions and Catalog'!$H$56+'Assumptions and Catalog'!$E$56+'Assumptions and Catalog'!$F$56,IF(L274&lt;='Assumptions and Catalog'!$C$57,L274*'Assumptions and Catalog'!$H$57+'Assumptions and Catalog'!$E$57+'Assumptions and Catalog'!$F$57,"Out of range")))))))),IF(L274&lt;='Assumptions and Catalog'!$C$60,L274*'Assumptions and Catalog'!$H$60+'Assumptions and Catalog'!$E$60+'Assumptions and Catalog'!$F$60,IF(L274&lt;='Assumptions and Catalog'!$C$61,L274*'Assumptions and Catalog'!$H$61+'Assumptions and Catalog'!$E$61+'Assumptions and Catalog'!$F$61,IF(L274&lt;='Assumptions and Catalog'!$C$62,L274*'Assumptions and Catalog'!$H$62+'Assumptions and Catalog'!$E$62+'Assumptions and Catalog'!$F$62,IF(L274&lt;='Assumptions and Catalog'!$C$63,L274*'Assumptions and Catalog'!$H$63+'Assumptions and Catalog'!$E$63+'Assumptions and Catalog'!$F$63,IF(L274&lt;='Assumptions and Catalog'!$C$64,L274*'Assumptions and Catalog'!$H$64+'Assumptions and Catalog'!$E$64+'Assumptions and Catalog'!$F$64,IF(L274&lt;='Assumptions and Catalog'!$C$65,L274*'Assumptions and Catalog'!$H$65+'Assumptions and Catalog'!$E$65+'Assumptions and Catalog'!$F$65,"Out of range")))))))))*(1+'Assumptions and Catalog'!$C$8)^(A274-1),0)</f>
        <v>3453.61</v>
      </c>
      <c r="O274" s="5" t="n">
        <f>M274-N274</f>
        <v>3413.61</v>
      </c>
      <c r="P274" s="5" t="n">
        <f>C$55*(1-J$14)*(1-'Assumptions and Catalog'!$C$23)^R274</f>
        <v>0</v>
      </c>
      <c r="Q274" s="5" t="n">
        <f>IF(ISNUMBER(Inputs!$L$5),(IF(Inputs!$L$9="Actual flat rate",((D274+E274)*C274-G274)*Inputs!$L$10,IF(Inputs!$C$9="Residential",IF(((D274+E274)*C274-G274)&lt;='Assumptions and Catalog'!$C$50,((D274+E274)*C274-G274)*'Assumptions and Catalog'!$H$50+'Assumptions and Catalog'!$E$50+'Assumptions and Catalog'!$F$50,IF(((D274+E274)*C274-G274)&lt;='Assumptions and Catalog'!$C$51,((D274+E274)*C274-G274)*'Assumptions and Catalog'!$H$51+'Assumptions and Catalog'!$E$51+'Assumptions and Catalog'!$F$51,IF(((D274+E274)*C274-G274)&lt;='Assumptions and Catalog'!$C$52,((D274+E274)*C274-G274)*'Assumptions and Catalog'!$H$52+'Assumptions and Catalog'!$E$52+'Assumptions and Catalog'!$F$52,IF(((D274+E274)*C274-G274)&lt;='Assumptions and Catalog'!$C$53,((D274+E274)*C274-G274)*'Assumptions and Catalog'!$H$53+'Assumptions and Catalog'!$E$53+'Assumptions and Catalog'!$F$53,IF(((D274+E274)*C274-G274)&lt;='Assumptions and Catalog'!$C$54,((D274+E274)*C274-G274)*'Assumptions and Catalog'!$H$54+'Assumptions and Catalog'!$E$54+'Assumptions and Catalog'!$F$54,IF(((D274+E274)*C274-G274)&lt;='Assumptions and Catalog'!$C$55,((D274+E274)*C274-G274)*'Assumptions and Catalog'!$H$55+'Assumptions and Catalog'!$E$55+'Assumptions and Catalog'!$F$55,IF(((D274+E274)*C274-G274)&lt;='Assumptions and Catalog'!$C$56,((D274+E274)*C274-G274)*'Assumptions and Catalog'!$H$56+'Assumptions and Catalog'!$E$56+'Assumptions and Catalog'!$F$56,IF(((D274+E274)*C274-G274)&lt;='Assumptions and Catalog'!$C$57,((D274+E274)*C274-G274)*'Assumptions and Catalog'!$H$57+'Assumptions and Catalog'!$E$57+'Assumptions and Catalog'!$F$57,"Out of range")))))))),IF(((D274+E274)*C274-G274)&lt;='Assumptions and Catalog'!$C$60,((D274+E274)*C274-G274)*'Assumptions and Catalog'!$H$60+'Assumptions and Catalog'!$E$60+'Assumptions and Catalog'!$F$60,IF(((D274+E274)*C274-G274)&lt;='Assumptions and Catalog'!$C$61,((D274+E274)*C274-G274)*'Assumptions and Catalog'!$H$61+'Assumptions and Catalog'!$E$61+'Assumptions and Catalog'!$F$61,IF(((D274+E274)*C274-G274)&lt;='Assumptions and Catalog'!$C$62,((D274+E274)*C274-G274)*'Assumptions and Catalog'!$H$62+'Assumptions and Catalog'!$E$62+'Assumptions and Catalog'!$F$62,IF(((D274+E274)*C274-G274)&lt;='Assumptions and Catalog'!$C$63,((D274+E274)*C274-G274)*'Assumptions and Catalog'!$H$63+'Assumptions and Catalog'!$E$63+'Assumptions and Catalog'!$F$63,IF(((D274+E274)*C274-G274)&lt;='Assumptions and Catalog'!$C$64,((D274+E274)*C274-G274)*'Assumptions and Catalog'!$H$64+'Assumptions and Catalog'!$E$64+'Assumptions and Catalog'!$F$64,IF(((D274+E274)*C274-G274)&lt;='Assumptions and Catalog'!$C$65,((D274+E274)*C274-G274)*'Assumptions and Catalog'!$H$65+'Assumptions and Catalog'!$E$65+'Assumptions and Catalog'!$F$65,"Out of range")))))))))*(1+'Assumptions and Catalog'!$C$8)^(A274-1),0)</f>
        <v>3453.61</v>
      </c>
      <c r="R274" s="5" t="n">
        <f>IF(AND('Assumptions and Catalog'!$C$19&gt;0,A274&gt;='Assumptions and Catalog'!$C$19),A274-'Assumptions and Catalog'!$C$19,A274-1)</f>
        <v>9</v>
      </c>
      <c r="S274" s="5" t="n">
        <f>F274+L274-(D274+E274)*C274-J274-K274-0</f>
        <v>0</v>
      </c>
      <c r="T274" s="5"/>
      <c r="U274" s="5"/>
    </row>
    <row r="275" ht="23.100000381469727" customHeight="1">
      <c r="A275" s="5" t="n">
        <v>10</v>
      </c>
      <c r="B275" s="5" t="n">
        <v>7</v>
      </c>
      <c r="C275" s="5" t="n">
        <f>DAY(DATE('Assumptions and Catalog'!$C$24+A275-1,B275+1,0))</f>
        <v>31</v>
      </c>
      <c r="D275" s="5" t="n">
        <f>IF(ISNUMBER(Inputs!$L$5),Inputs!$L$5*Inputs!$L$6,0)</f>
        <v>40.35</v>
      </c>
      <c r="E275" s="5" t="n">
        <f>IF(ISNUMBER(Inputs!$L$5),Inputs!$L$5-D275,0)</f>
        <v>40.35</v>
      </c>
      <c r="F275" s="5" t="n">
        <f>C$51*INDEX('Solar Production'!$D$20:$D$31,B275)*C275*(1-'Assumptions and Catalog'!$C$10)^(A275-1)</f>
        <v>1385.09164615673</v>
      </c>
      <c r="G275" s="5" t="n">
        <f>MIN(F275,D275*C275)</f>
        <v>1250.85</v>
      </c>
      <c r="H275" s="5" t="n">
        <f>I275/('Assumptions and Catalog'!$C$11*'Assumptions and Catalog'!$C$12)</f>
        <v>0</v>
      </c>
      <c r="I275" s="5" t="n">
        <f>0</f>
        <v>0</v>
      </c>
      <c r="J275" s="5" t="n">
        <f>MAX(F275-G275-H275,0)</f>
        <v>134.241646156731</v>
      </c>
      <c r="K275" s="5" t="n">
        <f>H275-I275</f>
        <v>0</v>
      </c>
      <c r="L275" s="5" t="n">
        <f>(D275+E275)*C275-G275-I275+0+0</f>
        <v>1250.85</v>
      </c>
      <c r="M275" s="5" t="n">
        <f>IF(ISNUMBER(Inputs!$L$5),(IF(Inputs!$L$9="Actual flat rate",((D275+E275)*C275)*Inputs!$L$10,IF(Inputs!$C$9="Residential",IF(((D275+E275)*C275)&lt;='Assumptions and Catalog'!$C$50,((D275+E275)*C275)*'Assumptions and Catalog'!$H$50+'Assumptions and Catalog'!$E$50+'Assumptions and Catalog'!$F$50,IF(((D275+E275)*C275)&lt;='Assumptions and Catalog'!$C$51,((D275+E275)*C275)*'Assumptions and Catalog'!$H$51+'Assumptions and Catalog'!$E$51+'Assumptions and Catalog'!$F$51,IF(((D275+E275)*C275)&lt;='Assumptions and Catalog'!$C$52,((D275+E275)*C275)*'Assumptions and Catalog'!$H$52+'Assumptions and Catalog'!$E$52+'Assumptions and Catalog'!$F$52,IF(((D275+E275)*C275)&lt;='Assumptions and Catalog'!$C$53,((D275+E275)*C275)*'Assumptions and Catalog'!$H$53+'Assumptions and Catalog'!$E$53+'Assumptions and Catalog'!$F$53,IF(((D275+E275)*C275)&lt;='Assumptions and Catalog'!$C$54,((D275+E275)*C275)*'Assumptions and Catalog'!$H$54+'Assumptions and Catalog'!$E$54+'Assumptions and Catalog'!$F$54,IF(((D275+E275)*C275)&lt;='Assumptions and Catalog'!$C$55,((D275+E275)*C275)*'Assumptions and Catalog'!$H$55+'Assumptions and Catalog'!$E$55+'Assumptions and Catalog'!$F$55,IF(((D275+E275)*C275)&lt;='Assumptions and Catalog'!$C$56,((D275+E275)*C275)*'Assumptions and Catalog'!$H$56+'Assumptions and Catalog'!$E$56+'Assumptions and Catalog'!$F$56,IF(((D275+E275)*C275)&lt;='Assumptions and Catalog'!$C$57,((D275+E275)*C275)*'Assumptions and Catalog'!$H$57+'Assumptions and Catalog'!$E$57+'Assumptions and Catalog'!$F$57,"Out of range")))))))),IF(((D275+E275)*C275)&lt;='Assumptions and Catalog'!$C$60,((D275+E275)*C275)*'Assumptions and Catalog'!$H$60+'Assumptions and Catalog'!$E$60+'Assumptions and Catalog'!$F$60,IF(((D275+E275)*C275)&lt;='Assumptions and Catalog'!$C$61,((D275+E275)*C275)*'Assumptions and Catalog'!$H$61+'Assumptions and Catalog'!$E$61+'Assumptions and Catalog'!$F$61,IF(((D275+E275)*C275)&lt;='Assumptions and Catalog'!$C$62,((D275+E275)*C275)*'Assumptions and Catalog'!$H$62+'Assumptions and Catalog'!$E$62+'Assumptions and Catalog'!$F$62,IF(((D275+E275)*C275)&lt;='Assumptions and Catalog'!$C$63,((D275+E275)*C275)*'Assumptions and Catalog'!$H$63+'Assumptions and Catalog'!$E$63+'Assumptions and Catalog'!$F$63,IF(((D275+E275)*C275)&lt;='Assumptions and Catalog'!$C$64,((D275+E275)*C275)*'Assumptions and Catalog'!$H$64+'Assumptions and Catalog'!$E$64+'Assumptions and Catalog'!$F$64,IF(((D275+E275)*C275)&lt;='Assumptions and Catalog'!$C$65,((D275+E275)*C275)*'Assumptions and Catalog'!$H$65+'Assumptions and Catalog'!$E$65+'Assumptions and Catalog'!$F$65,"Out of range")))))))))*(1+'Assumptions and Catalog'!$C$8)^(A275-1),0)</f>
        <v>7094.794</v>
      </c>
      <c r="N275" s="5" t="n">
        <f>IF(ISNUMBER(Inputs!$L$5),(IF(Inputs!$L$9="Actual flat rate",L275*Inputs!$L$10,IF(Inputs!$C$9="Residential",IF(L275&lt;='Assumptions and Catalog'!$C$50,L275*'Assumptions and Catalog'!$H$50+'Assumptions and Catalog'!$E$50+'Assumptions and Catalog'!$F$50,IF(L275&lt;='Assumptions and Catalog'!$C$51,L275*'Assumptions and Catalog'!$H$51+'Assumptions and Catalog'!$E$51+'Assumptions and Catalog'!$F$51,IF(L275&lt;='Assumptions and Catalog'!$C$52,L275*'Assumptions and Catalog'!$H$52+'Assumptions and Catalog'!$E$52+'Assumptions and Catalog'!$F$52,IF(L275&lt;='Assumptions and Catalog'!$C$53,L275*'Assumptions and Catalog'!$H$53+'Assumptions and Catalog'!$E$53+'Assumptions and Catalog'!$F$53,IF(L275&lt;='Assumptions and Catalog'!$C$54,L275*'Assumptions and Catalog'!$H$54+'Assumptions and Catalog'!$E$54+'Assumptions and Catalog'!$F$54,IF(L275&lt;='Assumptions and Catalog'!$C$55,L275*'Assumptions and Catalog'!$H$55+'Assumptions and Catalog'!$E$55+'Assumptions and Catalog'!$F$55,IF(L275&lt;='Assumptions and Catalog'!$C$56,L275*'Assumptions and Catalog'!$H$56+'Assumptions and Catalog'!$E$56+'Assumptions and Catalog'!$F$56,IF(L275&lt;='Assumptions and Catalog'!$C$57,L275*'Assumptions and Catalog'!$H$57+'Assumptions and Catalog'!$E$57+'Assumptions and Catalog'!$F$57,"Out of range")))))))),IF(L275&lt;='Assumptions and Catalog'!$C$60,L275*'Assumptions and Catalog'!$H$60+'Assumptions and Catalog'!$E$60+'Assumptions and Catalog'!$F$60,IF(L275&lt;='Assumptions and Catalog'!$C$61,L275*'Assumptions and Catalog'!$H$61+'Assumptions and Catalog'!$E$61+'Assumptions and Catalog'!$F$61,IF(L275&lt;='Assumptions and Catalog'!$C$62,L275*'Assumptions and Catalog'!$H$62+'Assumptions and Catalog'!$E$62+'Assumptions and Catalog'!$F$62,IF(L275&lt;='Assumptions and Catalog'!$C$63,L275*'Assumptions and Catalog'!$H$63+'Assumptions and Catalog'!$E$63+'Assumptions and Catalog'!$F$63,IF(L275&lt;='Assumptions and Catalog'!$C$64,L275*'Assumptions and Catalog'!$H$64+'Assumptions and Catalog'!$E$64+'Assumptions and Catalog'!$F$64,IF(L275&lt;='Assumptions and Catalog'!$C$65,L275*'Assumptions and Catalog'!$H$65+'Assumptions and Catalog'!$E$65+'Assumptions and Catalog'!$F$65,"Out of range")))))))))*(1+'Assumptions and Catalog'!$C$8)^(A275-1),0)</f>
        <v>3567.397</v>
      </c>
      <c r="O275" s="5" t="n">
        <f>M275-N275</f>
        <v>3527.397</v>
      </c>
      <c r="P275" s="5" t="n">
        <f>C$55*(1-J$14)*(1-'Assumptions and Catalog'!$C$23)^R275</f>
        <v>0</v>
      </c>
      <c r="Q275" s="5" t="n">
        <f>IF(ISNUMBER(Inputs!$L$5),(IF(Inputs!$L$9="Actual flat rate",((D275+E275)*C275-G275)*Inputs!$L$10,IF(Inputs!$C$9="Residential",IF(((D275+E275)*C275-G275)&lt;='Assumptions and Catalog'!$C$50,((D275+E275)*C275-G275)*'Assumptions and Catalog'!$H$50+'Assumptions and Catalog'!$E$50+'Assumptions and Catalog'!$F$50,IF(((D275+E275)*C275-G275)&lt;='Assumptions and Catalog'!$C$51,((D275+E275)*C275-G275)*'Assumptions and Catalog'!$H$51+'Assumptions and Catalog'!$E$51+'Assumptions and Catalog'!$F$51,IF(((D275+E275)*C275-G275)&lt;='Assumptions and Catalog'!$C$52,((D275+E275)*C275-G275)*'Assumptions and Catalog'!$H$52+'Assumptions and Catalog'!$E$52+'Assumptions and Catalog'!$F$52,IF(((D275+E275)*C275-G275)&lt;='Assumptions and Catalog'!$C$53,((D275+E275)*C275-G275)*'Assumptions and Catalog'!$H$53+'Assumptions and Catalog'!$E$53+'Assumptions and Catalog'!$F$53,IF(((D275+E275)*C275-G275)&lt;='Assumptions and Catalog'!$C$54,((D275+E275)*C275-G275)*'Assumptions and Catalog'!$H$54+'Assumptions and Catalog'!$E$54+'Assumptions and Catalog'!$F$54,IF(((D275+E275)*C275-G275)&lt;='Assumptions and Catalog'!$C$55,((D275+E275)*C275-G275)*'Assumptions and Catalog'!$H$55+'Assumptions and Catalog'!$E$55+'Assumptions and Catalog'!$F$55,IF(((D275+E275)*C275-G275)&lt;='Assumptions and Catalog'!$C$56,((D275+E275)*C275-G275)*'Assumptions and Catalog'!$H$56+'Assumptions and Catalog'!$E$56+'Assumptions and Catalog'!$F$56,IF(((D275+E275)*C275-G275)&lt;='Assumptions and Catalog'!$C$57,((D275+E275)*C275-G275)*'Assumptions and Catalog'!$H$57+'Assumptions and Catalog'!$E$57+'Assumptions and Catalog'!$F$57,"Out of range")))))))),IF(((D275+E275)*C275-G275)&lt;='Assumptions and Catalog'!$C$60,((D275+E275)*C275-G275)*'Assumptions and Catalog'!$H$60+'Assumptions and Catalog'!$E$60+'Assumptions and Catalog'!$F$60,IF(((D275+E275)*C275-G275)&lt;='Assumptions and Catalog'!$C$61,((D275+E275)*C275-G275)*'Assumptions and Catalog'!$H$61+'Assumptions and Catalog'!$E$61+'Assumptions and Catalog'!$F$61,IF(((D275+E275)*C275-G275)&lt;='Assumptions and Catalog'!$C$62,((D275+E275)*C275-G275)*'Assumptions and Catalog'!$H$62+'Assumptions and Catalog'!$E$62+'Assumptions and Catalog'!$F$62,IF(((D275+E275)*C275-G275)&lt;='Assumptions and Catalog'!$C$63,((D275+E275)*C275-G275)*'Assumptions and Catalog'!$H$63+'Assumptions and Catalog'!$E$63+'Assumptions and Catalog'!$F$63,IF(((D275+E275)*C275-G275)&lt;='Assumptions and Catalog'!$C$64,((D275+E275)*C275-G275)*'Assumptions and Catalog'!$H$64+'Assumptions and Catalog'!$E$64+'Assumptions and Catalog'!$F$64,IF(((D275+E275)*C275-G275)&lt;='Assumptions and Catalog'!$C$65,((D275+E275)*C275-G275)*'Assumptions and Catalog'!$H$65+'Assumptions and Catalog'!$E$65+'Assumptions and Catalog'!$F$65,"Out of range")))))))))*(1+'Assumptions and Catalog'!$C$8)^(A275-1),0)</f>
        <v>3567.397</v>
      </c>
      <c r="R275" s="5" t="n">
        <f>IF(AND('Assumptions and Catalog'!$C$19&gt;0,A275&gt;='Assumptions and Catalog'!$C$19),A275-'Assumptions and Catalog'!$C$19,A275-1)</f>
        <v>9</v>
      </c>
      <c r="S275" s="5" t="n">
        <f>F275+L275-(D275+E275)*C275-J275-K275-0</f>
        <v>0</v>
      </c>
      <c r="T275" s="5"/>
      <c r="U275" s="5"/>
    </row>
    <row r="276" ht="23.100000381469727" customHeight="1">
      <c r="A276" s="5" t="n">
        <v>10</v>
      </c>
      <c r="B276" s="5" t="n">
        <v>8</v>
      </c>
      <c r="C276" s="5" t="n">
        <f>DAY(DATE('Assumptions and Catalog'!$C$24+A276-1,B276+1,0))</f>
        <v>31</v>
      </c>
      <c r="D276" s="5" t="n">
        <f>IF(ISNUMBER(Inputs!$L$5),Inputs!$L$5*Inputs!$L$6,0)</f>
        <v>40.35</v>
      </c>
      <c r="E276" s="5" t="n">
        <f>IF(ISNUMBER(Inputs!$L$5),Inputs!$L$5-D276,0)</f>
        <v>40.35</v>
      </c>
      <c r="F276" s="5" t="n">
        <f>C$51*INDEX('Solar Production'!$D$20:$D$31,B276)*C276*(1-'Assumptions and Catalog'!$C$10)^(A276-1)</f>
        <v>1403.09295869636</v>
      </c>
      <c r="G276" s="5" t="n">
        <f>MIN(F276,D276*C276)</f>
        <v>1250.85</v>
      </c>
      <c r="H276" s="5" t="n">
        <f>I276/('Assumptions and Catalog'!$C$11*'Assumptions and Catalog'!$C$12)</f>
        <v>0</v>
      </c>
      <c r="I276" s="5" t="n">
        <f>0</f>
        <v>0</v>
      </c>
      <c r="J276" s="5" t="n">
        <f>MAX(F276-G276-H276,0)</f>
        <v>152.242958696361</v>
      </c>
      <c r="K276" s="5" t="n">
        <f>H276-I276</f>
        <v>0</v>
      </c>
      <c r="L276" s="5" t="n">
        <f>(D276+E276)*C276-G276-I276+0+0</f>
        <v>1250.85</v>
      </c>
      <c r="M276" s="5" t="n">
        <f>IF(ISNUMBER(Inputs!$L$5),(IF(Inputs!$L$9="Actual flat rate",((D276+E276)*C276)*Inputs!$L$10,IF(Inputs!$C$9="Residential",IF(((D276+E276)*C276)&lt;='Assumptions and Catalog'!$C$50,((D276+E276)*C276)*'Assumptions and Catalog'!$H$50+'Assumptions and Catalog'!$E$50+'Assumptions and Catalog'!$F$50,IF(((D276+E276)*C276)&lt;='Assumptions and Catalog'!$C$51,((D276+E276)*C276)*'Assumptions and Catalog'!$H$51+'Assumptions and Catalog'!$E$51+'Assumptions and Catalog'!$F$51,IF(((D276+E276)*C276)&lt;='Assumptions and Catalog'!$C$52,((D276+E276)*C276)*'Assumptions and Catalog'!$H$52+'Assumptions and Catalog'!$E$52+'Assumptions and Catalog'!$F$52,IF(((D276+E276)*C276)&lt;='Assumptions and Catalog'!$C$53,((D276+E276)*C276)*'Assumptions and Catalog'!$H$53+'Assumptions and Catalog'!$E$53+'Assumptions and Catalog'!$F$53,IF(((D276+E276)*C276)&lt;='Assumptions and Catalog'!$C$54,((D276+E276)*C276)*'Assumptions and Catalog'!$H$54+'Assumptions and Catalog'!$E$54+'Assumptions and Catalog'!$F$54,IF(((D276+E276)*C276)&lt;='Assumptions and Catalog'!$C$55,((D276+E276)*C276)*'Assumptions and Catalog'!$H$55+'Assumptions and Catalog'!$E$55+'Assumptions and Catalog'!$F$55,IF(((D276+E276)*C276)&lt;='Assumptions and Catalog'!$C$56,((D276+E276)*C276)*'Assumptions and Catalog'!$H$56+'Assumptions and Catalog'!$E$56+'Assumptions and Catalog'!$F$56,IF(((D276+E276)*C276)&lt;='Assumptions and Catalog'!$C$57,((D276+E276)*C276)*'Assumptions and Catalog'!$H$57+'Assumptions and Catalog'!$E$57+'Assumptions and Catalog'!$F$57,"Out of range")))))))),IF(((D276+E276)*C276)&lt;='Assumptions and Catalog'!$C$60,((D276+E276)*C276)*'Assumptions and Catalog'!$H$60+'Assumptions and Catalog'!$E$60+'Assumptions and Catalog'!$F$60,IF(((D276+E276)*C276)&lt;='Assumptions and Catalog'!$C$61,((D276+E276)*C276)*'Assumptions and Catalog'!$H$61+'Assumptions and Catalog'!$E$61+'Assumptions and Catalog'!$F$61,IF(((D276+E276)*C276)&lt;='Assumptions and Catalog'!$C$62,((D276+E276)*C276)*'Assumptions and Catalog'!$H$62+'Assumptions and Catalog'!$E$62+'Assumptions and Catalog'!$F$62,IF(((D276+E276)*C276)&lt;='Assumptions and Catalog'!$C$63,((D276+E276)*C276)*'Assumptions and Catalog'!$H$63+'Assumptions and Catalog'!$E$63+'Assumptions and Catalog'!$F$63,IF(((D276+E276)*C276)&lt;='Assumptions and Catalog'!$C$64,((D276+E276)*C276)*'Assumptions and Catalog'!$H$64+'Assumptions and Catalog'!$E$64+'Assumptions and Catalog'!$F$64,IF(((D276+E276)*C276)&lt;='Assumptions and Catalog'!$C$65,((D276+E276)*C276)*'Assumptions and Catalog'!$H$65+'Assumptions and Catalog'!$E$65+'Assumptions and Catalog'!$F$65,"Out of range")))))))))*(1+'Assumptions and Catalog'!$C$8)^(A276-1),0)</f>
        <v>7094.794</v>
      </c>
      <c r="N276" s="5" t="n">
        <f>IF(ISNUMBER(Inputs!$L$5),(IF(Inputs!$L$9="Actual flat rate",L276*Inputs!$L$10,IF(Inputs!$C$9="Residential",IF(L276&lt;='Assumptions and Catalog'!$C$50,L276*'Assumptions and Catalog'!$H$50+'Assumptions and Catalog'!$E$50+'Assumptions and Catalog'!$F$50,IF(L276&lt;='Assumptions and Catalog'!$C$51,L276*'Assumptions and Catalog'!$H$51+'Assumptions and Catalog'!$E$51+'Assumptions and Catalog'!$F$51,IF(L276&lt;='Assumptions and Catalog'!$C$52,L276*'Assumptions and Catalog'!$H$52+'Assumptions and Catalog'!$E$52+'Assumptions and Catalog'!$F$52,IF(L276&lt;='Assumptions and Catalog'!$C$53,L276*'Assumptions and Catalog'!$H$53+'Assumptions and Catalog'!$E$53+'Assumptions and Catalog'!$F$53,IF(L276&lt;='Assumptions and Catalog'!$C$54,L276*'Assumptions and Catalog'!$H$54+'Assumptions and Catalog'!$E$54+'Assumptions and Catalog'!$F$54,IF(L276&lt;='Assumptions and Catalog'!$C$55,L276*'Assumptions and Catalog'!$H$55+'Assumptions and Catalog'!$E$55+'Assumptions and Catalog'!$F$55,IF(L276&lt;='Assumptions and Catalog'!$C$56,L276*'Assumptions and Catalog'!$H$56+'Assumptions and Catalog'!$E$56+'Assumptions and Catalog'!$F$56,IF(L276&lt;='Assumptions and Catalog'!$C$57,L276*'Assumptions and Catalog'!$H$57+'Assumptions and Catalog'!$E$57+'Assumptions and Catalog'!$F$57,"Out of range")))))))),IF(L276&lt;='Assumptions and Catalog'!$C$60,L276*'Assumptions and Catalog'!$H$60+'Assumptions and Catalog'!$E$60+'Assumptions and Catalog'!$F$60,IF(L276&lt;='Assumptions and Catalog'!$C$61,L276*'Assumptions and Catalog'!$H$61+'Assumptions and Catalog'!$E$61+'Assumptions and Catalog'!$F$61,IF(L276&lt;='Assumptions and Catalog'!$C$62,L276*'Assumptions and Catalog'!$H$62+'Assumptions and Catalog'!$E$62+'Assumptions and Catalog'!$F$62,IF(L276&lt;='Assumptions and Catalog'!$C$63,L276*'Assumptions and Catalog'!$H$63+'Assumptions and Catalog'!$E$63+'Assumptions and Catalog'!$F$63,IF(L276&lt;='Assumptions and Catalog'!$C$64,L276*'Assumptions and Catalog'!$H$64+'Assumptions and Catalog'!$E$64+'Assumptions and Catalog'!$F$64,IF(L276&lt;='Assumptions and Catalog'!$C$65,L276*'Assumptions and Catalog'!$H$65+'Assumptions and Catalog'!$E$65+'Assumptions and Catalog'!$F$65,"Out of range")))))))))*(1+'Assumptions and Catalog'!$C$8)^(A276-1),0)</f>
        <v>3567.397</v>
      </c>
      <c r="O276" s="5" t="n">
        <f>M276-N276</f>
        <v>3527.397</v>
      </c>
      <c r="P276" s="5" t="n">
        <f>C$55*(1-J$14)*(1-'Assumptions and Catalog'!$C$23)^R276</f>
        <v>0</v>
      </c>
      <c r="Q276" s="5" t="n">
        <f>IF(ISNUMBER(Inputs!$L$5),(IF(Inputs!$L$9="Actual flat rate",((D276+E276)*C276-G276)*Inputs!$L$10,IF(Inputs!$C$9="Residential",IF(((D276+E276)*C276-G276)&lt;='Assumptions and Catalog'!$C$50,((D276+E276)*C276-G276)*'Assumptions and Catalog'!$H$50+'Assumptions and Catalog'!$E$50+'Assumptions and Catalog'!$F$50,IF(((D276+E276)*C276-G276)&lt;='Assumptions and Catalog'!$C$51,((D276+E276)*C276-G276)*'Assumptions and Catalog'!$H$51+'Assumptions and Catalog'!$E$51+'Assumptions and Catalog'!$F$51,IF(((D276+E276)*C276-G276)&lt;='Assumptions and Catalog'!$C$52,((D276+E276)*C276-G276)*'Assumptions and Catalog'!$H$52+'Assumptions and Catalog'!$E$52+'Assumptions and Catalog'!$F$52,IF(((D276+E276)*C276-G276)&lt;='Assumptions and Catalog'!$C$53,((D276+E276)*C276-G276)*'Assumptions and Catalog'!$H$53+'Assumptions and Catalog'!$E$53+'Assumptions and Catalog'!$F$53,IF(((D276+E276)*C276-G276)&lt;='Assumptions and Catalog'!$C$54,((D276+E276)*C276-G276)*'Assumptions and Catalog'!$H$54+'Assumptions and Catalog'!$E$54+'Assumptions and Catalog'!$F$54,IF(((D276+E276)*C276-G276)&lt;='Assumptions and Catalog'!$C$55,((D276+E276)*C276-G276)*'Assumptions and Catalog'!$H$55+'Assumptions and Catalog'!$E$55+'Assumptions and Catalog'!$F$55,IF(((D276+E276)*C276-G276)&lt;='Assumptions and Catalog'!$C$56,((D276+E276)*C276-G276)*'Assumptions and Catalog'!$H$56+'Assumptions and Catalog'!$E$56+'Assumptions and Catalog'!$F$56,IF(((D276+E276)*C276-G276)&lt;='Assumptions and Catalog'!$C$57,((D276+E276)*C276-G276)*'Assumptions and Catalog'!$H$57+'Assumptions and Catalog'!$E$57+'Assumptions and Catalog'!$F$57,"Out of range")))))))),IF(((D276+E276)*C276-G276)&lt;='Assumptions and Catalog'!$C$60,((D276+E276)*C276-G276)*'Assumptions and Catalog'!$H$60+'Assumptions and Catalog'!$E$60+'Assumptions and Catalog'!$F$60,IF(((D276+E276)*C276-G276)&lt;='Assumptions and Catalog'!$C$61,((D276+E276)*C276-G276)*'Assumptions and Catalog'!$H$61+'Assumptions and Catalog'!$E$61+'Assumptions and Catalog'!$F$61,IF(((D276+E276)*C276-G276)&lt;='Assumptions and Catalog'!$C$62,((D276+E276)*C276-G276)*'Assumptions and Catalog'!$H$62+'Assumptions and Catalog'!$E$62+'Assumptions and Catalog'!$F$62,IF(((D276+E276)*C276-G276)&lt;='Assumptions and Catalog'!$C$63,((D276+E276)*C276-G276)*'Assumptions and Catalog'!$H$63+'Assumptions and Catalog'!$E$63+'Assumptions and Catalog'!$F$63,IF(((D276+E276)*C276-G276)&lt;='Assumptions and Catalog'!$C$64,((D276+E276)*C276-G276)*'Assumptions and Catalog'!$H$64+'Assumptions and Catalog'!$E$64+'Assumptions and Catalog'!$F$64,IF(((D276+E276)*C276-G276)&lt;='Assumptions and Catalog'!$C$65,((D276+E276)*C276-G276)*'Assumptions and Catalog'!$H$65+'Assumptions and Catalog'!$E$65+'Assumptions and Catalog'!$F$65,"Out of range")))))))))*(1+'Assumptions and Catalog'!$C$8)^(A276-1),0)</f>
        <v>3567.397</v>
      </c>
      <c r="R276" s="5" t="n">
        <f>IF(AND('Assumptions and Catalog'!$C$19&gt;0,A276&gt;='Assumptions and Catalog'!$C$19),A276-'Assumptions and Catalog'!$C$19,A276-1)</f>
        <v>9</v>
      </c>
      <c r="S276" s="5" t="n">
        <f>F276+L276-(D276+E276)*C276-J276-K276-0</f>
        <v>0</v>
      </c>
      <c r="T276" s="5"/>
      <c r="U276" s="5"/>
    </row>
    <row r="277" ht="23.100000381469727" customHeight="1">
      <c r="A277" s="5" t="n">
        <v>10</v>
      </c>
      <c r="B277" s="5" t="n">
        <v>9</v>
      </c>
      <c r="C277" s="5" t="n">
        <f>DAY(DATE('Assumptions and Catalog'!$C$24+A277-1,B277+1,0))</f>
        <v>30</v>
      </c>
      <c r="D277" s="5" t="n">
        <f>IF(ISNUMBER(Inputs!$L$5),Inputs!$L$5*Inputs!$L$6,0)</f>
        <v>40.35</v>
      </c>
      <c r="E277" s="5" t="n">
        <f>IF(ISNUMBER(Inputs!$L$5),Inputs!$L$5-D277,0)</f>
        <v>40.35</v>
      </c>
      <c r="F277" s="5" t="n">
        <f>C$51*INDEX('Solar Production'!$D$20:$D$31,B277)*C277*(1-'Assumptions and Catalog'!$C$10)^(A277-1)</f>
        <v>1354.30435461699</v>
      </c>
      <c r="G277" s="5" t="n">
        <f>MIN(F277,D277*C277)</f>
        <v>1210.5</v>
      </c>
      <c r="H277" s="5" t="n">
        <f>I277/('Assumptions and Catalog'!$C$11*'Assumptions and Catalog'!$C$12)</f>
        <v>0</v>
      </c>
      <c r="I277" s="5" t="n">
        <f>0</f>
        <v>0</v>
      </c>
      <c r="J277" s="5" t="n">
        <f>MAX(F277-G277-H277,0)</f>
        <v>143.80435461699</v>
      </c>
      <c r="K277" s="5" t="n">
        <f>H277-I277</f>
        <v>0</v>
      </c>
      <c r="L277" s="5" t="n">
        <f>(D277+E277)*C277-G277-I277+0+0</f>
        <v>1210.5</v>
      </c>
      <c r="M277" s="5" t="n">
        <f>IF(ISNUMBER(Inputs!$L$5),(IF(Inputs!$L$9="Actual flat rate",((D277+E277)*C277)*Inputs!$L$10,IF(Inputs!$C$9="Residential",IF(((D277+E277)*C277)&lt;='Assumptions and Catalog'!$C$50,((D277+E277)*C277)*'Assumptions and Catalog'!$H$50+'Assumptions and Catalog'!$E$50+'Assumptions and Catalog'!$F$50,IF(((D277+E277)*C277)&lt;='Assumptions and Catalog'!$C$51,((D277+E277)*C277)*'Assumptions and Catalog'!$H$51+'Assumptions and Catalog'!$E$51+'Assumptions and Catalog'!$F$51,IF(((D277+E277)*C277)&lt;='Assumptions and Catalog'!$C$52,((D277+E277)*C277)*'Assumptions and Catalog'!$H$52+'Assumptions and Catalog'!$E$52+'Assumptions and Catalog'!$F$52,IF(((D277+E277)*C277)&lt;='Assumptions and Catalog'!$C$53,((D277+E277)*C277)*'Assumptions and Catalog'!$H$53+'Assumptions and Catalog'!$E$53+'Assumptions and Catalog'!$F$53,IF(((D277+E277)*C277)&lt;='Assumptions and Catalog'!$C$54,((D277+E277)*C277)*'Assumptions and Catalog'!$H$54+'Assumptions and Catalog'!$E$54+'Assumptions and Catalog'!$F$54,IF(((D277+E277)*C277)&lt;='Assumptions and Catalog'!$C$55,((D277+E277)*C277)*'Assumptions and Catalog'!$H$55+'Assumptions and Catalog'!$E$55+'Assumptions and Catalog'!$F$55,IF(((D277+E277)*C277)&lt;='Assumptions and Catalog'!$C$56,((D277+E277)*C277)*'Assumptions and Catalog'!$H$56+'Assumptions and Catalog'!$E$56+'Assumptions and Catalog'!$F$56,IF(((D277+E277)*C277)&lt;='Assumptions and Catalog'!$C$57,((D277+E277)*C277)*'Assumptions and Catalog'!$H$57+'Assumptions and Catalog'!$E$57+'Assumptions and Catalog'!$F$57,"Out of range")))))))),IF(((D277+E277)*C277)&lt;='Assumptions and Catalog'!$C$60,((D277+E277)*C277)*'Assumptions and Catalog'!$H$60+'Assumptions and Catalog'!$E$60+'Assumptions and Catalog'!$F$60,IF(((D277+E277)*C277)&lt;='Assumptions and Catalog'!$C$61,((D277+E277)*C277)*'Assumptions and Catalog'!$H$61+'Assumptions and Catalog'!$E$61+'Assumptions and Catalog'!$F$61,IF(((D277+E277)*C277)&lt;='Assumptions and Catalog'!$C$62,((D277+E277)*C277)*'Assumptions and Catalog'!$H$62+'Assumptions and Catalog'!$E$62+'Assumptions and Catalog'!$F$62,IF(((D277+E277)*C277)&lt;='Assumptions and Catalog'!$C$63,((D277+E277)*C277)*'Assumptions and Catalog'!$H$63+'Assumptions and Catalog'!$E$63+'Assumptions and Catalog'!$F$63,IF(((D277+E277)*C277)&lt;='Assumptions and Catalog'!$C$64,((D277+E277)*C277)*'Assumptions and Catalog'!$H$64+'Assumptions and Catalog'!$E$64+'Assumptions and Catalog'!$F$64,IF(((D277+E277)*C277)&lt;='Assumptions and Catalog'!$C$65,((D277+E277)*C277)*'Assumptions and Catalog'!$H$65+'Assumptions and Catalog'!$E$65+'Assumptions and Catalog'!$F$65,"Out of range")))))))))*(1+'Assumptions and Catalog'!$C$8)^(A277-1),0)</f>
        <v>6867.22</v>
      </c>
      <c r="N277" s="5" t="n">
        <f>IF(ISNUMBER(Inputs!$L$5),(IF(Inputs!$L$9="Actual flat rate",L277*Inputs!$L$10,IF(Inputs!$C$9="Residential",IF(L277&lt;='Assumptions and Catalog'!$C$50,L277*'Assumptions and Catalog'!$H$50+'Assumptions and Catalog'!$E$50+'Assumptions and Catalog'!$F$50,IF(L277&lt;='Assumptions and Catalog'!$C$51,L277*'Assumptions and Catalog'!$H$51+'Assumptions and Catalog'!$E$51+'Assumptions and Catalog'!$F$51,IF(L277&lt;='Assumptions and Catalog'!$C$52,L277*'Assumptions and Catalog'!$H$52+'Assumptions and Catalog'!$E$52+'Assumptions and Catalog'!$F$52,IF(L277&lt;='Assumptions and Catalog'!$C$53,L277*'Assumptions and Catalog'!$H$53+'Assumptions and Catalog'!$E$53+'Assumptions and Catalog'!$F$53,IF(L277&lt;='Assumptions and Catalog'!$C$54,L277*'Assumptions and Catalog'!$H$54+'Assumptions and Catalog'!$E$54+'Assumptions and Catalog'!$F$54,IF(L277&lt;='Assumptions and Catalog'!$C$55,L277*'Assumptions and Catalog'!$H$55+'Assumptions and Catalog'!$E$55+'Assumptions and Catalog'!$F$55,IF(L277&lt;='Assumptions and Catalog'!$C$56,L277*'Assumptions and Catalog'!$H$56+'Assumptions and Catalog'!$E$56+'Assumptions and Catalog'!$F$56,IF(L277&lt;='Assumptions and Catalog'!$C$57,L277*'Assumptions and Catalog'!$H$57+'Assumptions and Catalog'!$E$57+'Assumptions and Catalog'!$F$57,"Out of range")))))))),IF(L277&lt;='Assumptions and Catalog'!$C$60,L277*'Assumptions and Catalog'!$H$60+'Assumptions and Catalog'!$E$60+'Assumptions and Catalog'!$F$60,IF(L277&lt;='Assumptions and Catalog'!$C$61,L277*'Assumptions and Catalog'!$H$61+'Assumptions and Catalog'!$E$61+'Assumptions and Catalog'!$F$61,IF(L277&lt;='Assumptions and Catalog'!$C$62,L277*'Assumptions and Catalog'!$H$62+'Assumptions and Catalog'!$E$62+'Assumptions and Catalog'!$F$62,IF(L277&lt;='Assumptions and Catalog'!$C$63,L277*'Assumptions and Catalog'!$H$63+'Assumptions and Catalog'!$E$63+'Assumptions and Catalog'!$F$63,IF(L277&lt;='Assumptions and Catalog'!$C$64,L277*'Assumptions and Catalog'!$H$64+'Assumptions and Catalog'!$E$64+'Assumptions and Catalog'!$F$64,IF(L277&lt;='Assumptions and Catalog'!$C$65,L277*'Assumptions and Catalog'!$H$65+'Assumptions and Catalog'!$E$65+'Assumptions and Catalog'!$F$65,"Out of range")))))))))*(1+'Assumptions and Catalog'!$C$8)^(A277-1),0)</f>
        <v>3453.61</v>
      </c>
      <c r="O277" s="5" t="n">
        <f>M277-N277</f>
        <v>3413.61</v>
      </c>
      <c r="P277" s="5" t="n">
        <f>C$55*(1-J$14)*(1-'Assumptions and Catalog'!$C$23)^R277</f>
        <v>0</v>
      </c>
      <c r="Q277" s="5" t="n">
        <f>IF(ISNUMBER(Inputs!$L$5),(IF(Inputs!$L$9="Actual flat rate",((D277+E277)*C277-G277)*Inputs!$L$10,IF(Inputs!$C$9="Residential",IF(((D277+E277)*C277-G277)&lt;='Assumptions and Catalog'!$C$50,((D277+E277)*C277-G277)*'Assumptions and Catalog'!$H$50+'Assumptions and Catalog'!$E$50+'Assumptions and Catalog'!$F$50,IF(((D277+E277)*C277-G277)&lt;='Assumptions and Catalog'!$C$51,((D277+E277)*C277-G277)*'Assumptions and Catalog'!$H$51+'Assumptions and Catalog'!$E$51+'Assumptions and Catalog'!$F$51,IF(((D277+E277)*C277-G277)&lt;='Assumptions and Catalog'!$C$52,((D277+E277)*C277-G277)*'Assumptions and Catalog'!$H$52+'Assumptions and Catalog'!$E$52+'Assumptions and Catalog'!$F$52,IF(((D277+E277)*C277-G277)&lt;='Assumptions and Catalog'!$C$53,((D277+E277)*C277-G277)*'Assumptions and Catalog'!$H$53+'Assumptions and Catalog'!$E$53+'Assumptions and Catalog'!$F$53,IF(((D277+E277)*C277-G277)&lt;='Assumptions and Catalog'!$C$54,((D277+E277)*C277-G277)*'Assumptions and Catalog'!$H$54+'Assumptions and Catalog'!$E$54+'Assumptions and Catalog'!$F$54,IF(((D277+E277)*C277-G277)&lt;='Assumptions and Catalog'!$C$55,((D277+E277)*C277-G277)*'Assumptions and Catalog'!$H$55+'Assumptions and Catalog'!$E$55+'Assumptions and Catalog'!$F$55,IF(((D277+E277)*C277-G277)&lt;='Assumptions and Catalog'!$C$56,((D277+E277)*C277-G277)*'Assumptions and Catalog'!$H$56+'Assumptions and Catalog'!$E$56+'Assumptions and Catalog'!$F$56,IF(((D277+E277)*C277-G277)&lt;='Assumptions and Catalog'!$C$57,((D277+E277)*C277-G277)*'Assumptions and Catalog'!$H$57+'Assumptions and Catalog'!$E$57+'Assumptions and Catalog'!$F$57,"Out of range")))))))),IF(((D277+E277)*C277-G277)&lt;='Assumptions and Catalog'!$C$60,((D277+E277)*C277-G277)*'Assumptions and Catalog'!$H$60+'Assumptions and Catalog'!$E$60+'Assumptions and Catalog'!$F$60,IF(((D277+E277)*C277-G277)&lt;='Assumptions and Catalog'!$C$61,((D277+E277)*C277-G277)*'Assumptions and Catalog'!$H$61+'Assumptions and Catalog'!$E$61+'Assumptions and Catalog'!$F$61,IF(((D277+E277)*C277-G277)&lt;='Assumptions and Catalog'!$C$62,((D277+E277)*C277-G277)*'Assumptions and Catalog'!$H$62+'Assumptions and Catalog'!$E$62+'Assumptions and Catalog'!$F$62,IF(((D277+E277)*C277-G277)&lt;='Assumptions and Catalog'!$C$63,((D277+E277)*C277-G277)*'Assumptions and Catalog'!$H$63+'Assumptions and Catalog'!$E$63+'Assumptions and Catalog'!$F$63,IF(((D277+E277)*C277-G277)&lt;='Assumptions and Catalog'!$C$64,((D277+E277)*C277-G277)*'Assumptions and Catalog'!$H$64+'Assumptions and Catalog'!$E$64+'Assumptions and Catalog'!$F$64,IF(((D277+E277)*C277-G277)&lt;='Assumptions and Catalog'!$C$65,((D277+E277)*C277-G277)*'Assumptions and Catalog'!$H$65+'Assumptions and Catalog'!$E$65+'Assumptions and Catalog'!$F$65,"Out of range")))))))))*(1+'Assumptions and Catalog'!$C$8)^(A277-1),0)</f>
        <v>3453.61</v>
      </c>
      <c r="R277" s="5" t="n">
        <f>IF(AND('Assumptions and Catalog'!$C$19&gt;0,A277&gt;='Assumptions and Catalog'!$C$19),A277-'Assumptions and Catalog'!$C$19,A277-1)</f>
        <v>9</v>
      </c>
      <c r="S277" s="5" t="n">
        <f>F277+L277-(D277+E277)*C277-J277-K277-0</f>
        <v>0</v>
      </c>
      <c r="T277" s="5"/>
      <c r="U277" s="5"/>
    </row>
    <row r="278" ht="23.100000381469727" customHeight="1">
      <c r="A278" s="5" t="n">
        <v>10</v>
      </c>
      <c r="B278" s="5" t="n">
        <v>10</v>
      </c>
      <c r="C278" s="5" t="n">
        <f>DAY(DATE('Assumptions and Catalog'!$C$24+A278-1,B278+1,0))</f>
        <v>31</v>
      </c>
      <c r="D278" s="5" t="n">
        <f>IF(ISNUMBER(Inputs!$L$5),Inputs!$L$5*Inputs!$L$6,0)</f>
        <v>40.35</v>
      </c>
      <c r="E278" s="5" t="n">
        <f>IF(ISNUMBER(Inputs!$L$5),Inputs!$L$5-D278,0)</f>
        <v>40.35</v>
      </c>
      <c r="F278" s="5" t="n">
        <f>C$51*INDEX('Solar Production'!$D$20:$D$31,B278)*C278*(1-'Assumptions and Catalog'!$C$10)^(A278-1)</f>
        <v>1299.87982558362</v>
      </c>
      <c r="G278" s="5" t="n">
        <f>MIN(F278,D278*C278)</f>
        <v>1250.85</v>
      </c>
      <c r="H278" s="5" t="n">
        <f>I278/('Assumptions and Catalog'!$C$11*'Assumptions and Catalog'!$C$12)</f>
        <v>0</v>
      </c>
      <c r="I278" s="5" t="n">
        <f>0</f>
        <v>0</v>
      </c>
      <c r="J278" s="5" t="n">
        <f>MAX(F278-G278-H278,0)</f>
        <v>49.0298255836246</v>
      </c>
      <c r="K278" s="5" t="n">
        <f>H278-I278</f>
        <v>0</v>
      </c>
      <c r="L278" s="5" t="n">
        <f>(D278+E278)*C278-G278-I278+0+0</f>
        <v>1250.85</v>
      </c>
      <c r="M278" s="5" t="n">
        <f>IF(ISNUMBER(Inputs!$L$5),(IF(Inputs!$L$9="Actual flat rate",((D278+E278)*C278)*Inputs!$L$10,IF(Inputs!$C$9="Residential",IF(((D278+E278)*C278)&lt;='Assumptions and Catalog'!$C$50,((D278+E278)*C278)*'Assumptions and Catalog'!$H$50+'Assumptions and Catalog'!$E$50+'Assumptions and Catalog'!$F$50,IF(((D278+E278)*C278)&lt;='Assumptions and Catalog'!$C$51,((D278+E278)*C278)*'Assumptions and Catalog'!$H$51+'Assumptions and Catalog'!$E$51+'Assumptions and Catalog'!$F$51,IF(((D278+E278)*C278)&lt;='Assumptions and Catalog'!$C$52,((D278+E278)*C278)*'Assumptions and Catalog'!$H$52+'Assumptions and Catalog'!$E$52+'Assumptions and Catalog'!$F$52,IF(((D278+E278)*C278)&lt;='Assumptions and Catalog'!$C$53,((D278+E278)*C278)*'Assumptions and Catalog'!$H$53+'Assumptions and Catalog'!$E$53+'Assumptions and Catalog'!$F$53,IF(((D278+E278)*C278)&lt;='Assumptions and Catalog'!$C$54,((D278+E278)*C278)*'Assumptions and Catalog'!$H$54+'Assumptions and Catalog'!$E$54+'Assumptions and Catalog'!$F$54,IF(((D278+E278)*C278)&lt;='Assumptions and Catalog'!$C$55,((D278+E278)*C278)*'Assumptions and Catalog'!$H$55+'Assumptions and Catalog'!$E$55+'Assumptions and Catalog'!$F$55,IF(((D278+E278)*C278)&lt;='Assumptions and Catalog'!$C$56,((D278+E278)*C278)*'Assumptions and Catalog'!$H$56+'Assumptions and Catalog'!$E$56+'Assumptions and Catalog'!$F$56,IF(((D278+E278)*C278)&lt;='Assumptions and Catalog'!$C$57,((D278+E278)*C278)*'Assumptions and Catalog'!$H$57+'Assumptions and Catalog'!$E$57+'Assumptions and Catalog'!$F$57,"Out of range")))))))),IF(((D278+E278)*C278)&lt;='Assumptions and Catalog'!$C$60,((D278+E278)*C278)*'Assumptions and Catalog'!$H$60+'Assumptions and Catalog'!$E$60+'Assumptions and Catalog'!$F$60,IF(((D278+E278)*C278)&lt;='Assumptions and Catalog'!$C$61,((D278+E278)*C278)*'Assumptions and Catalog'!$H$61+'Assumptions and Catalog'!$E$61+'Assumptions and Catalog'!$F$61,IF(((D278+E278)*C278)&lt;='Assumptions and Catalog'!$C$62,((D278+E278)*C278)*'Assumptions and Catalog'!$H$62+'Assumptions and Catalog'!$E$62+'Assumptions and Catalog'!$F$62,IF(((D278+E278)*C278)&lt;='Assumptions and Catalog'!$C$63,((D278+E278)*C278)*'Assumptions and Catalog'!$H$63+'Assumptions and Catalog'!$E$63+'Assumptions and Catalog'!$F$63,IF(((D278+E278)*C278)&lt;='Assumptions and Catalog'!$C$64,((D278+E278)*C278)*'Assumptions and Catalog'!$H$64+'Assumptions and Catalog'!$E$64+'Assumptions and Catalog'!$F$64,IF(((D278+E278)*C278)&lt;='Assumptions and Catalog'!$C$65,((D278+E278)*C278)*'Assumptions and Catalog'!$H$65+'Assumptions and Catalog'!$E$65+'Assumptions and Catalog'!$F$65,"Out of range")))))))))*(1+'Assumptions and Catalog'!$C$8)^(A278-1),0)</f>
        <v>7094.794</v>
      </c>
      <c r="N278" s="5" t="n">
        <f>IF(ISNUMBER(Inputs!$L$5),(IF(Inputs!$L$9="Actual flat rate",L278*Inputs!$L$10,IF(Inputs!$C$9="Residential",IF(L278&lt;='Assumptions and Catalog'!$C$50,L278*'Assumptions and Catalog'!$H$50+'Assumptions and Catalog'!$E$50+'Assumptions and Catalog'!$F$50,IF(L278&lt;='Assumptions and Catalog'!$C$51,L278*'Assumptions and Catalog'!$H$51+'Assumptions and Catalog'!$E$51+'Assumptions and Catalog'!$F$51,IF(L278&lt;='Assumptions and Catalog'!$C$52,L278*'Assumptions and Catalog'!$H$52+'Assumptions and Catalog'!$E$52+'Assumptions and Catalog'!$F$52,IF(L278&lt;='Assumptions and Catalog'!$C$53,L278*'Assumptions and Catalog'!$H$53+'Assumptions and Catalog'!$E$53+'Assumptions and Catalog'!$F$53,IF(L278&lt;='Assumptions and Catalog'!$C$54,L278*'Assumptions and Catalog'!$H$54+'Assumptions and Catalog'!$E$54+'Assumptions and Catalog'!$F$54,IF(L278&lt;='Assumptions and Catalog'!$C$55,L278*'Assumptions and Catalog'!$H$55+'Assumptions and Catalog'!$E$55+'Assumptions and Catalog'!$F$55,IF(L278&lt;='Assumptions and Catalog'!$C$56,L278*'Assumptions and Catalog'!$H$56+'Assumptions and Catalog'!$E$56+'Assumptions and Catalog'!$F$56,IF(L278&lt;='Assumptions and Catalog'!$C$57,L278*'Assumptions and Catalog'!$H$57+'Assumptions and Catalog'!$E$57+'Assumptions and Catalog'!$F$57,"Out of range")))))))),IF(L278&lt;='Assumptions and Catalog'!$C$60,L278*'Assumptions and Catalog'!$H$60+'Assumptions and Catalog'!$E$60+'Assumptions and Catalog'!$F$60,IF(L278&lt;='Assumptions and Catalog'!$C$61,L278*'Assumptions and Catalog'!$H$61+'Assumptions and Catalog'!$E$61+'Assumptions and Catalog'!$F$61,IF(L278&lt;='Assumptions and Catalog'!$C$62,L278*'Assumptions and Catalog'!$H$62+'Assumptions and Catalog'!$E$62+'Assumptions and Catalog'!$F$62,IF(L278&lt;='Assumptions and Catalog'!$C$63,L278*'Assumptions and Catalog'!$H$63+'Assumptions and Catalog'!$E$63+'Assumptions and Catalog'!$F$63,IF(L278&lt;='Assumptions and Catalog'!$C$64,L278*'Assumptions and Catalog'!$H$64+'Assumptions and Catalog'!$E$64+'Assumptions and Catalog'!$F$64,IF(L278&lt;='Assumptions and Catalog'!$C$65,L278*'Assumptions and Catalog'!$H$65+'Assumptions and Catalog'!$E$65+'Assumptions and Catalog'!$F$65,"Out of range")))))))))*(1+'Assumptions and Catalog'!$C$8)^(A278-1),0)</f>
        <v>3567.397</v>
      </c>
      <c r="O278" s="5" t="n">
        <f>M278-N278</f>
        <v>3527.397</v>
      </c>
      <c r="P278" s="5" t="n">
        <f>C$55*(1-J$14)*(1-'Assumptions and Catalog'!$C$23)^R278</f>
        <v>0</v>
      </c>
      <c r="Q278" s="5" t="n">
        <f>IF(ISNUMBER(Inputs!$L$5),(IF(Inputs!$L$9="Actual flat rate",((D278+E278)*C278-G278)*Inputs!$L$10,IF(Inputs!$C$9="Residential",IF(((D278+E278)*C278-G278)&lt;='Assumptions and Catalog'!$C$50,((D278+E278)*C278-G278)*'Assumptions and Catalog'!$H$50+'Assumptions and Catalog'!$E$50+'Assumptions and Catalog'!$F$50,IF(((D278+E278)*C278-G278)&lt;='Assumptions and Catalog'!$C$51,((D278+E278)*C278-G278)*'Assumptions and Catalog'!$H$51+'Assumptions and Catalog'!$E$51+'Assumptions and Catalog'!$F$51,IF(((D278+E278)*C278-G278)&lt;='Assumptions and Catalog'!$C$52,((D278+E278)*C278-G278)*'Assumptions and Catalog'!$H$52+'Assumptions and Catalog'!$E$52+'Assumptions and Catalog'!$F$52,IF(((D278+E278)*C278-G278)&lt;='Assumptions and Catalog'!$C$53,((D278+E278)*C278-G278)*'Assumptions and Catalog'!$H$53+'Assumptions and Catalog'!$E$53+'Assumptions and Catalog'!$F$53,IF(((D278+E278)*C278-G278)&lt;='Assumptions and Catalog'!$C$54,((D278+E278)*C278-G278)*'Assumptions and Catalog'!$H$54+'Assumptions and Catalog'!$E$54+'Assumptions and Catalog'!$F$54,IF(((D278+E278)*C278-G278)&lt;='Assumptions and Catalog'!$C$55,((D278+E278)*C278-G278)*'Assumptions and Catalog'!$H$55+'Assumptions and Catalog'!$E$55+'Assumptions and Catalog'!$F$55,IF(((D278+E278)*C278-G278)&lt;='Assumptions and Catalog'!$C$56,((D278+E278)*C278-G278)*'Assumptions and Catalog'!$H$56+'Assumptions and Catalog'!$E$56+'Assumptions and Catalog'!$F$56,IF(((D278+E278)*C278-G278)&lt;='Assumptions and Catalog'!$C$57,((D278+E278)*C278-G278)*'Assumptions and Catalog'!$H$57+'Assumptions and Catalog'!$E$57+'Assumptions and Catalog'!$F$57,"Out of range")))))))),IF(((D278+E278)*C278-G278)&lt;='Assumptions and Catalog'!$C$60,((D278+E278)*C278-G278)*'Assumptions and Catalog'!$H$60+'Assumptions and Catalog'!$E$60+'Assumptions and Catalog'!$F$60,IF(((D278+E278)*C278-G278)&lt;='Assumptions and Catalog'!$C$61,((D278+E278)*C278-G278)*'Assumptions and Catalog'!$H$61+'Assumptions and Catalog'!$E$61+'Assumptions and Catalog'!$F$61,IF(((D278+E278)*C278-G278)&lt;='Assumptions and Catalog'!$C$62,((D278+E278)*C278-G278)*'Assumptions and Catalog'!$H$62+'Assumptions and Catalog'!$E$62+'Assumptions and Catalog'!$F$62,IF(((D278+E278)*C278-G278)&lt;='Assumptions and Catalog'!$C$63,((D278+E278)*C278-G278)*'Assumptions and Catalog'!$H$63+'Assumptions and Catalog'!$E$63+'Assumptions and Catalog'!$F$63,IF(((D278+E278)*C278-G278)&lt;='Assumptions and Catalog'!$C$64,((D278+E278)*C278-G278)*'Assumptions and Catalog'!$H$64+'Assumptions and Catalog'!$E$64+'Assumptions and Catalog'!$F$64,IF(((D278+E278)*C278-G278)&lt;='Assumptions and Catalog'!$C$65,((D278+E278)*C278-G278)*'Assumptions and Catalog'!$H$65+'Assumptions and Catalog'!$E$65+'Assumptions and Catalog'!$F$65,"Out of range")))))))))*(1+'Assumptions and Catalog'!$C$8)^(A278-1),0)</f>
        <v>3567.397</v>
      </c>
      <c r="R278" s="5" t="n">
        <f>IF(AND('Assumptions and Catalog'!$C$19&gt;0,A278&gt;='Assumptions and Catalog'!$C$19),A278-'Assumptions and Catalog'!$C$19,A278-1)</f>
        <v>9</v>
      </c>
      <c r="S278" s="5" t="n">
        <f>F278+L278-(D278+E278)*C278-J278-K278-0</f>
        <v>0</v>
      </c>
      <c r="T278" s="5"/>
      <c r="U278" s="5"/>
    </row>
    <row r="279" ht="23.100000381469727" customHeight="1">
      <c r="A279" s="5" t="n">
        <v>10</v>
      </c>
      <c r="B279" s="5" t="n">
        <v>11</v>
      </c>
      <c r="C279" s="5" t="n">
        <f>DAY(DATE('Assumptions and Catalog'!$C$24+A279-1,B279+1,0))</f>
        <v>30</v>
      </c>
      <c r="D279" s="5" t="n">
        <f>IF(ISNUMBER(Inputs!$L$5),Inputs!$L$5*Inputs!$L$6,0)</f>
        <v>40.35</v>
      </c>
      <c r="E279" s="5" t="n">
        <f>IF(ISNUMBER(Inputs!$L$5),Inputs!$L$5-D279,0)</f>
        <v>40.35</v>
      </c>
      <c r="F279" s="5" t="n">
        <f>C$51*INDEX('Solar Production'!$D$20:$D$31,B279)*C279*(1-'Assumptions and Catalog'!$C$10)^(A279-1)</f>
        <v>1152.16812081919</v>
      </c>
      <c r="G279" s="5" t="n">
        <f>MIN(F279,D279*C279)</f>
        <v>1152.16812081919</v>
      </c>
      <c r="H279" s="5" t="n">
        <f>I279/('Assumptions and Catalog'!$C$11*'Assumptions and Catalog'!$C$12)</f>
        <v>0</v>
      </c>
      <c r="I279" s="5" t="n">
        <f>0</f>
        <v>0</v>
      </c>
      <c r="J279" s="5" t="n">
        <f>MAX(F279-G279-H279,0)</f>
        <v>0</v>
      </c>
      <c r="K279" s="5" t="n">
        <f>H279-I279</f>
        <v>0</v>
      </c>
      <c r="L279" s="5" t="n">
        <f>(D279+E279)*C279-G279-I279+0+0</f>
        <v>1268.83187918081</v>
      </c>
      <c r="M279" s="5" t="n">
        <f>IF(ISNUMBER(Inputs!$L$5),(IF(Inputs!$L$9="Actual flat rate",((D279+E279)*C279)*Inputs!$L$10,IF(Inputs!$C$9="Residential",IF(((D279+E279)*C279)&lt;='Assumptions and Catalog'!$C$50,((D279+E279)*C279)*'Assumptions and Catalog'!$H$50+'Assumptions and Catalog'!$E$50+'Assumptions and Catalog'!$F$50,IF(((D279+E279)*C279)&lt;='Assumptions and Catalog'!$C$51,((D279+E279)*C279)*'Assumptions and Catalog'!$H$51+'Assumptions and Catalog'!$E$51+'Assumptions and Catalog'!$F$51,IF(((D279+E279)*C279)&lt;='Assumptions and Catalog'!$C$52,((D279+E279)*C279)*'Assumptions and Catalog'!$H$52+'Assumptions and Catalog'!$E$52+'Assumptions and Catalog'!$F$52,IF(((D279+E279)*C279)&lt;='Assumptions and Catalog'!$C$53,((D279+E279)*C279)*'Assumptions and Catalog'!$H$53+'Assumptions and Catalog'!$E$53+'Assumptions and Catalog'!$F$53,IF(((D279+E279)*C279)&lt;='Assumptions and Catalog'!$C$54,((D279+E279)*C279)*'Assumptions and Catalog'!$H$54+'Assumptions and Catalog'!$E$54+'Assumptions and Catalog'!$F$54,IF(((D279+E279)*C279)&lt;='Assumptions and Catalog'!$C$55,((D279+E279)*C279)*'Assumptions and Catalog'!$H$55+'Assumptions and Catalog'!$E$55+'Assumptions and Catalog'!$F$55,IF(((D279+E279)*C279)&lt;='Assumptions and Catalog'!$C$56,((D279+E279)*C279)*'Assumptions and Catalog'!$H$56+'Assumptions and Catalog'!$E$56+'Assumptions and Catalog'!$F$56,IF(((D279+E279)*C279)&lt;='Assumptions and Catalog'!$C$57,((D279+E279)*C279)*'Assumptions and Catalog'!$H$57+'Assumptions and Catalog'!$E$57+'Assumptions and Catalog'!$F$57,"Out of range")))))))),IF(((D279+E279)*C279)&lt;='Assumptions and Catalog'!$C$60,((D279+E279)*C279)*'Assumptions and Catalog'!$H$60+'Assumptions and Catalog'!$E$60+'Assumptions and Catalog'!$F$60,IF(((D279+E279)*C279)&lt;='Assumptions and Catalog'!$C$61,((D279+E279)*C279)*'Assumptions and Catalog'!$H$61+'Assumptions and Catalog'!$E$61+'Assumptions and Catalog'!$F$61,IF(((D279+E279)*C279)&lt;='Assumptions and Catalog'!$C$62,((D279+E279)*C279)*'Assumptions and Catalog'!$H$62+'Assumptions and Catalog'!$E$62+'Assumptions and Catalog'!$F$62,IF(((D279+E279)*C279)&lt;='Assumptions and Catalog'!$C$63,((D279+E279)*C279)*'Assumptions and Catalog'!$H$63+'Assumptions and Catalog'!$E$63+'Assumptions and Catalog'!$F$63,IF(((D279+E279)*C279)&lt;='Assumptions and Catalog'!$C$64,((D279+E279)*C279)*'Assumptions and Catalog'!$H$64+'Assumptions and Catalog'!$E$64+'Assumptions and Catalog'!$F$64,IF(((D279+E279)*C279)&lt;='Assumptions and Catalog'!$C$65,((D279+E279)*C279)*'Assumptions and Catalog'!$H$65+'Assumptions and Catalog'!$E$65+'Assumptions and Catalog'!$F$65,"Out of range")))))))))*(1+'Assumptions and Catalog'!$C$8)^(A279-1),0)</f>
        <v>6867.22</v>
      </c>
      <c r="N279" s="5" t="n">
        <f>IF(ISNUMBER(Inputs!$L$5),(IF(Inputs!$L$9="Actual flat rate",L279*Inputs!$L$10,IF(Inputs!$C$9="Residential",IF(L279&lt;='Assumptions and Catalog'!$C$50,L279*'Assumptions and Catalog'!$H$50+'Assumptions and Catalog'!$E$50+'Assumptions and Catalog'!$F$50,IF(L279&lt;='Assumptions and Catalog'!$C$51,L279*'Assumptions and Catalog'!$H$51+'Assumptions and Catalog'!$E$51+'Assumptions and Catalog'!$F$51,IF(L279&lt;='Assumptions and Catalog'!$C$52,L279*'Assumptions and Catalog'!$H$52+'Assumptions and Catalog'!$E$52+'Assumptions and Catalog'!$F$52,IF(L279&lt;='Assumptions and Catalog'!$C$53,L279*'Assumptions and Catalog'!$H$53+'Assumptions and Catalog'!$E$53+'Assumptions and Catalog'!$F$53,IF(L279&lt;='Assumptions and Catalog'!$C$54,L279*'Assumptions and Catalog'!$H$54+'Assumptions and Catalog'!$E$54+'Assumptions and Catalog'!$F$54,IF(L279&lt;='Assumptions and Catalog'!$C$55,L279*'Assumptions and Catalog'!$H$55+'Assumptions and Catalog'!$E$55+'Assumptions and Catalog'!$F$55,IF(L279&lt;='Assumptions and Catalog'!$C$56,L279*'Assumptions and Catalog'!$H$56+'Assumptions and Catalog'!$E$56+'Assumptions and Catalog'!$F$56,IF(L279&lt;='Assumptions and Catalog'!$C$57,L279*'Assumptions and Catalog'!$H$57+'Assumptions and Catalog'!$E$57+'Assumptions and Catalog'!$F$57,"Out of range")))))))),IF(L279&lt;='Assumptions and Catalog'!$C$60,L279*'Assumptions and Catalog'!$H$60+'Assumptions and Catalog'!$E$60+'Assumptions and Catalog'!$F$60,IF(L279&lt;='Assumptions and Catalog'!$C$61,L279*'Assumptions and Catalog'!$H$61+'Assumptions and Catalog'!$E$61+'Assumptions and Catalog'!$F$61,IF(L279&lt;='Assumptions and Catalog'!$C$62,L279*'Assumptions and Catalog'!$H$62+'Assumptions and Catalog'!$E$62+'Assumptions and Catalog'!$F$62,IF(L279&lt;='Assumptions and Catalog'!$C$63,L279*'Assumptions and Catalog'!$H$63+'Assumptions and Catalog'!$E$63+'Assumptions and Catalog'!$F$63,IF(L279&lt;='Assumptions and Catalog'!$C$64,L279*'Assumptions and Catalog'!$H$64+'Assumptions and Catalog'!$E$64+'Assumptions and Catalog'!$F$64,IF(L279&lt;='Assumptions and Catalog'!$C$65,L279*'Assumptions and Catalog'!$H$65+'Assumptions and Catalog'!$E$65+'Assumptions and Catalog'!$F$65,"Out of range")))))))))*(1+'Assumptions and Catalog'!$C$8)^(A279-1),0)</f>
        <v>3618.10589928989</v>
      </c>
      <c r="O279" s="5" t="n">
        <f>M279-N279</f>
        <v>3249.11410071011</v>
      </c>
      <c r="P279" s="5" t="n">
        <f>C$55*(1-J$14)*(1-'Assumptions and Catalog'!$C$23)^R279</f>
        <v>0</v>
      </c>
      <c r="Q279" s="5" t="n">
        <f>IF(ISNUMBER(Inputs!$L$5),(IF(Inputs!$L$9="Actual flat rate",((D279+E279)*C279-G279)*Inputs!$L$10,IF(Inputs!$C$9="Residential",IF(((D279+E279)*C279-G279)&lt;='Assumptions and Catalog'!$C$50,((D279+E279)*C279-G279)*'Assumptions and Catalog'!$H$50+'Assumptions and Catalog'!$E$50+'Assumptions and Catalog'!$F$50,IF(((D279+E279)*C279-G279)&lt;='Assumptions and Catalog'!$C$51,((D279+E279)*C279-G279)*'Assumptions and Catalog'!$H$51+'Assumptions and Catalog'!$E$51+'Assumptions and Catalog'!$F$51,IF(((D279+E279)*C279-G279)&lt;='Assumptions and Catalog'!$C$52,((D279+E279)*C279-G279)*'Assumptions and Catalog'!$H$52+'Assumptions and Catalog'!$E$52+'Assumptions and Catalog'!$F$52,IF(((D279+E279)*C279-G279)&lt;='Assumptions and Catalog'!$C$53,((D279+E279)*C279-G279)*'Assumptions and Catalog'!$H$53+'Assumptions and Catalog'!$E$53+'Assumptions and Catalog'!$F$53,IF(((D279+E279)*C279-G279)&lt;='Assumptions and Catalog'!$C$54,((D279+E279)*C279-G279)*'Assumptions and Catalog'!$H$54+'Assumptions and Catalog'!$E$54+'Assumptions and Catalog'!$F$54,IF(((D279+E279)*C279-G279)&lt;='Assumptions and Catalog'!$C$55,((D279+E279)*C279-G279)*'Assumptions and Catalog'!$H$55+'Assumptions and Catalog'!$E$55+'Assumptions and Catalog'!$F$55,IF(((D279+E279)*C279-G279)&lt;='Assumptions and Catalog'!$C$56,((D279+E279)*C279-G279)*'Assumptions and Catalog'!$H$56+'Assumptions and Catalog'!$E$56+'Assumptions and Catalog'!$F$56,IF(((D279+E279)*C279-G279)&lt;='Assumptions and Catalog'!$C$57,((D279+E279)*C279-G279)*'Assumptions and Catalog'!$H$57+'Assumptions and Catalog'!$E$57+'Assumptions and Catalog'!$F$57,"Out of range")))))))),IF(((D279+E279)*C279-G279)&lt;='Assumptions and Catalog'!$C$60,((D279+E279)*C279-G279)*'Assumptions and Catalog'!$H$60+'Assumptions and Catalog'!$E$60+'Assumptions and Catalog'!$F$60,IF(((D279+E279)*C279-G279)&lt;='Assumptions and Catalog'!$C$61,((D279+E279)*C279-G279)*'Assumptions and Catalog'!$H$61+'Assumptions and Catalog'!$E$61+'Assumptions and Catalog'!$F$61,IF(((D279+E279)*C279-G279)&lt;='Assumptions and Catalog'!$C$62,((D279+E279)*C279-G279)*'Assumptions and Catalog'!$H$62+'Assumptions and Catalog'!$E$62+'Assumptions and Catalog'!$F$62,IF(((D279+E279)*C279-G279)&lt;='Assumptions and Catalog'!$C$63,((D279+E279)*C279-G279)*'Assumptions and Catalog'!$H$63+'Assumptions and Catalog'!$E$63+'Assumptions and Catalog'!$F$63,IF(((D279+E279)*C279-G279)&lt;='Assumptions and Catalog'!$C$64,((D279+E279)*C279-G279)*'Assumptions and Catalog'!$H$64+'Assumptions and Catalog'!$E$64+'Assumptions and Catalog'!$F$64,IF(((D279+E279)*C279-G279)&lt;='Assumptions and Catalog'!$C$65,((D279+E279)*C279-G279)*'Assumptions and Catalog'!$H$65+'Assumptions and Catalog'!$E$65+'Assumptions and Catalog'!$F$65,"Out of range")))))))))*(1+'Assumptions and Catalog'!$C$8)^(A279-1),0)</f>
        <v>3618.10589928989</v>
      </c>
      <c r="R279" s="5" t="n">
        <f>IF(AND('Assumptions and Catalog'!$C$19&gt;0,A279&gt;='Assumptions and Catalog'!$C$19),A279-'Assumptions and Catalog'!$C$19,A279-1)</f>
        <v>9</v>
      </c>
      <c r="S279" s="5" t="n">
        <f>F279+L279-(D279+E279)*C279-J279-K279-0</f>
        <v>0</v>
      </c>
      <c r="T279" s="5"/>
      <c r="U279" s="5"/>
    </row>
    <row r="280" ht="23.100000381469727" customHeight="1">
      <c r="A280" s="5" t="n">
        <v>10</v>
      </c>
      <c r="B280" s="5" t="n">
        <v>12</v>
      </c>
      <c r="C280" s="5" t="n">
        <f>DAY(DATE('Assumptions and Catalog'!$C$24+A280-1,B280+1,0))</f>
        <v>31</v>
      </c>
      <c r="D280" s="5" t="n">
        <f>IF(ISNUMBER(Inputs!$L$5),Inputs!$L$5*Inputs!$L$6,0)</f>
        <v>40.35</v>
      </c>
      <c r="E280" s="5" t="n">
        <f>IF(ISNUMBER(Inputs!$L$5),Inputs!$L$5-D280,0)</f>
        <v>40.35</v>
      </c>
      <c r="F280" s="5" t="n">
        <f>C$51*INDEX('Solar Production'!$D$20:$D$31,B280)*C280*(1-'Assumptions and Catalog'!$C$10)^(A280-1)</f>
        <v>1096.90240895687</v>
      </c>
      <c r="G280" s="5" t="n">
        <f>MIN(F280,D280*C280)</f>
        <v>1096.90240895687</v>
      </c>
      <c r="H280" s="5" t="n">
        <f>I280/('Assumptions and Catalog'!$C$11*'Assumptions and Catalog'!$C$12)</f>
        <v>0</v>
      </c>
      <c r="I280" s="5" t="n">
        <f>0</f>
        <v>0</v>
      </c>
      <c r="J280" s="5" t="n">
        <f>MAX(F280-G280-H280,0)</f>
        <v>0</v>
      </c>
      <c r="K280" s="5" t="n">
        <f>H280-I280</f>
        <v>0</v>
      </c>
      <c r="L280" s="5" t="n">
        <f>(D280+E280)*C280-G280-I280+0+0</f>
        <v>1404.79759104313</v>
      </c>
      <c r="M280" s="5" t="n">
        <f>IF(ISNUMBER(Inputs!$L$5),(IF(Inputs!$L$9="Actual flat rate",((D280+E280)*C280)*Inputs!$L$10,IF(Inputs!$C$9="Residential",IF(((D280+E280)*C280)&lt;='Assumptions and Catalog'!$C$50,((D280+E280)*C280)*'Assumptions and Catalog'!$H$50+'Assumptions and Catalog'!$E$50+'Assumptions and Catalog'!$F$50,IF(((D280+E280)*C280)&lt;='Assumptions and Catalog'!$C$51,((D280+E280)*C280)*'Assumptions and Catalog'!$H$51+'Assumptions and Catalog'!$E$51+'Assumptions and Catalog'!$F$51,IF(((D280+E280)*C280)&lt;='Assumptions and Catalog'!$C$52,((D280+E280)*C280)*'Assumptions and Catalog'!$H$52+'Assumptions and Catalog'!$E$52+'Assumptions and Catalog'!$F$52,IF(((D280+E280)*C280)&lt;='Assumptions and Catalog'!$C$53,((D280+E280)*C280)*'Assumptions and Catalog'!$H$53+'Assumptions and Catalog'!$E$53+'Assumptions and Catalog'!$F$53,IF(((D280+E280)*C280)&lt;='Assumptions and Catalog'!$C$54,((D280+E280)*C280)*'Assumptions and Catalog'!$H$54+'Assumptions and Catalog'!$E$54+'Assumptions and Catalog'!$F$54,IF(((D280+E280)*C280)&lt;='Assumptions and Catalog'!$C$55,((D280+E280)*C280)*'Assumptions and Catalog'!$H$55+'Assumptions and Catalog'!$E$55+'Assumptions and Catalog'!$F$55,IF(((D280+E280)*C280)&lt;='Assumptions and Catalog'!$C$56,((D280+E280)*C280)*'Assumptions and Catalog'!$H$56+'Assumptions and Catalog'!$E$56+'Assumptions and Catalog'!$F$56,IF(((D280+E280)*C280)&lt;='Assumptions and Catalog'!$C$57,((D280+E280)*C280)*'Assumptions and Catalog'!$H$57+'Assumptions and Catalog'!$E$57+'Assumptions and Catalog'!$F$57,"Out of range")))))))),IF(((D280+E280)*C280)&lt;='Assumptions and Catalog'!$C$60,((D280+E280)*C280)*'Assumptions and Catalog'!$H$60+'Assumptions and Catalog'!$E$60+'Assumptions and Catalog'!$F$60,IF(((D280+E280)*C280)&lt;='Assumptions and Catalog'!$C$61,((D280+E280)*C280)*'Assumptions and Catalog'!$H$61+'Assumptions and Catalog'!$E$61+'Assumptions and Catalog'!$F$61,IF(((D280+E280)*C280)&lt;='Assumptions and Catalog'!$C$62,((D280+E280)*C280)*'Assumptions and Catalog'!$H$62+'Assumptions and Catalog'!$E$62+'Assumptions and Catalog'!$F$62,IF(((D280+E280)*C280)&lt;='Assumptions and Catalog'!$C$63,((D280+E280)*C280)*'Assumptions and Catalog'!$H$63+'Assumptions and Catalog'!$E$63+'Assumptions and Catalog'!$F$63,IF(((D280+E280)*C280)&lt;='Assumptions and Catalog'!$C$64,((D280+E280)*C280)*'Assumptions and Catalog'!$H$64+'Assumptions and Catalog'!$E$64+'Assumptions and Catalog'!$F$64,IF(((D280+E280)*C280)&lt;='Assumptions and Catalog'!$C$65,((D280+E280)*C280)*'Assumptions and Catalog'!$H$65+'Assumptions and Catalog'!$E$65+'Assumptions and Catalog'!$F$65,"Out of range")))))))))*(1+'Assumptions and Catalog'!$C$8)^(A280-1),0)</f>
        <v>7094.794</v>
      </c>
      <c r="N280" s="5" t="n">
        <f>IF(ISNUMBER(Inputs!$L$5),(IF(Inputs!$L$9="Actual flat rate",L280*Inputs!$L$10,IF(Inputs!$C$9="Residential",IF(L280&lt;='Assumptions and Catalog'!$C$50,L280*'Assumptions and Catalog'!$H$50+'Assumptions and Catalog'!$E$50+'Assumptions and Catalog'!$F$50,IF(L280&lt;='Assumptions and Catalog'!$C$51,L280*'Assumptions and Catalog'!$H$51+'Assumptions and Catalog'!$E$51+'Assumptions and Catalog'!$F$51,IF(L280&lt;='Assumptions and Catalog'!$C$52,L280*'Assumptions and Catalog'!$H$52+'Assumptions and Catalog'!$E$52+'Assumptions and Catalog'!$F$52,IF(L280&lt;='Assumptions and Catalog'!$C$53,L280*'Assumptions and Catalog'!$H$53+'Assumptions and Catalog'!$E$53+'Assumptions and Catalog'!$F$53,IF(L280&lt;='Assumptions and Catalog'!$C$54,L280*'Assumptions and Catalog'!$H$54+'Assumptions and Catalog'!$E$54+'Assumptions and Catalog'!$F$54,IF(L280&lt;='Assumptions and Catalog'!$C$55,L280*'Assumptions and Catalog'!$H$55+'Assumptions and Catalog'!$E$55+'Assumptions and Catalog'!$F$55,IF(L280&lt;='Assumptions and Catalog'!$C$56,L280*'Assumptions and Catalog'!$H$56+'Assumptions and Catalog'!$E$56+'Assumptions and Catalog'!$F$56,IF(L280&lt;='Assumptions and Catalog'!$C$57,L280*'Assumptions and Catalog'!$H$57+'Assumptions and Catalog'!$E$57+'Assumptions and Catalog'!$F$57,"Out of range")))))))),IF(L280&lt;='Assumptions and Catalog'!$C$60,L280*'Assumptions and Catalog'!$H$60+'Assumptions and Catalog'!$E$60+'Assumptions and Catalog'!$F$60,IF(L280&lt;='Assumptions and Catalog'!$C$61,L280*'Assumptions and Catalog'!$H$61+'Assumptions and Catalog'!$E$61+'Assumptions and Catalog'!$F$61,IF(L280&lt;='Assumptions and Catalog'!$C$62,L280*'Assumptions and Catalog'!$H$62+'Assumptions and Catalog'!$E$62+'Assumptions and Catalog'!$F$62,IF(L280&lt;='Assumptions and Catalog'!$C$63,L280*'Assumptions and Catalog'!$H$63+'Assumptions and Catalog'!$E$63+'Assumptions and Catalog'!$F$63,IF(L280&lt;='Assumptions and Catalog'!$C$64,L280*'Assumptions and Catalog'!$H$64+'Assumptions and Catalog'!$E$64+'Assumptions and Catalog'!$F$64,IF(L280&lt;='Assumptions and Catalog'!$C$65,L280*'Assumptions and Catalog'!$H$65+'Assumptions and Catalog'!$E$65+'Assumptions and Catalog'!$F$65,"Out of range")))))))))*(1+'Assumptions and Catalog'!$C$8)^(A280-1),0)</f>
        <v>4001.52920674164</v>
      </c>
      <c r="O280" s="5" t="n">
        <f>M280-N280</f>
        <v>3093.26479325837</v>
      </c>
      <c r="P280" s="5" t="n">
        <f>C$55*(1-J$14)*(1-'Assumptions and Catalog'!$C$23)^R280</f>
        <v>0</v>
      </c>
      <c r="Q280" s="5" t="n">
        <f>IF(ISNUMBER(Inputs!$L$5),(IF(Inputs!$L$9="Actual flat rate",((D280+E280)*C280-G280)*Inputs!$L$10,IF(Inputs!$C$9="Residential",IF(((D280+E280)*C280-G280)&lt;='Assumptions and Catalog'!$C$50,((D280+E280)*C280-G280)*'Assumptions and Catalog'!$H$50+'Assumptions and Catalog'!$E$50+'Assumptions and Catalog'!$F$50,IF(((D280+E280)*C280-G280)&lt;='Assumptions and Catalog'!$C$51,((D280+E280)*C280-G280)*'Assumptions and Catalog'!$H$51+'Assumptions and Catalog'!$E$51+'Assumptions and Catalog'!$F$51,IF(((D280+E280)*C280-G280)&lt;='Assumptions and Catalog'!$C$52,((D280+E280)*C280-G280)*'Assumptions and Catalog'!$H$52+'Assumptions and Catalog'!$E$52+'Assumptions and Catalog'!$F$52,IF(((D280+E280)*C280-G280)&lt;='Assumptions and Catalog'!$C$53,((D280+E280)*C280-G280)*'Assumptions and Catalog'!$H$53+'Assumptions and Catalog'!$E$53+'Assumptions and Catalog'!$F$53,IF(((D280+E280)*C280-G280)&lt;='Assumptions and Catalog'!$C$54,((D280+E280)*C280-G280)*'Assumptions and Catalog'!$H$54+'Assumptions and Catalog'!$E$54+'Assumptions and Catalog'!$F$54,IF(((D280+E280)*C280-G280)&lt;='Assumptions and Catalog'!$C$55,((D280+E280)*C280-G280)*'Assumptions and Catalog'!$H$55+'Assumptions and Catalog'!$E$55+'Assumptions and Catalog'!$F$55,IF(((D280+E280)*C280-G280)&lt;='Assumptions and Catalog'!$C$56,((D280+E280)*C280-G280)*'Assumptions and Catalog'!$H$56+'Assumptions and Catalog'!$E$56+'Assumptions and Catalog'!$F$56,IF(((D280+E280)*C280-G280)&lt;='Assumptions and Catalog'!$C$57,((D280+E280)*C280-G280)*'Assumptions and Catalog'!$H$57+'Assumptions and Catalog'!$E$57+'Assumptions and Catalog'!$F$57,"Out of range")))))))),IF(((D280+E280)*C280-G280)&lt;='Assumptions and Catalog'!$C$60,((D280+E280)*C280-G280)*'Assumptions and Catalog'!$H$60+'Assumptions and Catalog'!$E$60+'Assumptions and Catalog'!$F$60,IF(((D280+E280)*C280-G280)&lt;='Assumptions and Catalog'!$C$61,((D280+E280)*C280-G280)*'Assumptions and Catalog'!$H$61+'Assumptions and Catalog'!$E$61+'Assumptions and Catalog'!$F$61,IF(((D280+E280)*C280-G280)&lt;='Assumptions and Catalog'!$C$62,((D280+E280)*C280-G280)*'Assumptions and Catalog'!$H$62+'Assumptions and Catalog'!$E$62+'Assumptions and Catalog'!$F$62,IF(((D280+E280)*C280-G280)&lt;='Assumptions and Catalog'!$C$63,((D280+E280)*C280-G280)*'Assumptions and Catalog'!$H$63+'Assumptions and Catalog'!$E$63+'Assumptions and Catalog'!$F$63,IF(((D280+E280)*C280-G280)&lt;='Assumptions and Catalog'!$C$64,((D280+E280)*C280-G280)*'Assumptions and Catalog'!$H$64+'Assumptions and Catalog'!$E$64+'Assumptions and Catalog'!$F$64,IF(((D280+E280)*C280-G280)&lt;='Assumptions and Catalog'!$C$65,((D280+E280)*C280-G280)*'Assumptions and Catalog'!$H$65+'Assumptions and Catalog'!$E$65+'Assumptions and Catalog'!$F$65,"Out of range")))))))))*(1+'Assumptions and Catalog'!$C$8)^(A280-1),0)</f>
        <v>4001.52920674164</v>
      </c>
      <c r="R280" s="5" t="n">
        <f>IF(AND('Assumptions and Catalog'!$C$19&gt;0,A280&gt;='Assumptions and Catalog'!$C$19),A280-'Assumptions and Catalog'!$C$19,A280-1)</f>
        <v>9</v>
      </c>
      <c r="S280" s="5" t="n">
        <f>F280+L280-(D280+E280)*C280-J280-K280-0</f>
        <v>0</v>
      </c>
      <c r="T280" s="5"/>
      <c r="U280" s="5"/>
    </row>
    <row r="281" ht="23.100000381469727" customHeight="1">
      <c r="A281" s="5" t="n">
        <v>11</v>
      </c>
      <c r="B281" s="5" t="n">
        <v>1</v>
      </c>
      <c r="C281" s="5" t="n">
        <f>DAY(DATE('Assumptions and Catalog'!$C$24+A281-1,B281+1,0))</f>
        <v>31</v>
      </c>
      <c r="D281" s="5" t="n">
        <f>IF(ISNUMBER(Inputs!$L$5),Inputs!$L$5*Inputs!$L$6,0)</f>
        <v>40.35</v>
      </c>
      <c r="E281" s="5" t="n">
        <f>IF(ISNUMBER(Inputs!$L$5),Inputs!$L$5-D281,0)</f>
        <v>40.35</v>
      </c>
      <c r="F281" s="5" t="n">
        <f>C$51*INDEX('Solar Production'!$D$20:$D$31,B281)*C281*(1-'Assumptions and Catalog'!$C$10)^(A281-1)</f>
        <v>1098.95068914537</v>
      </c>
      <c r="G281" s="5" t="n">
        <f>MIN(F281,D281*C281)</f>
        <v>1098.95068914537</v>
      </c>
      <c r="H281" s="5" t="n">
        <f>I281/('Assumptions and Catalog'!$C$11*'Assumptions and Catalog'!$C$12)</f>
        <v>0</v>
      </c>
      <c r="I281" s="5" t="n">
        <f>0</f>
        <v>0</v>
      </c>
      <c r="J281" s="5" t="n">
        <f>MAX(F281-G281-H281,0)</f>
        <v>0</v>
      </c>
      <c r="K281" s="5" t="n">
        <f>H281-I281</f>
        <v>0</v>
      </c>
      <c r="L281" s="5" t="n">
        <f>(D281+E281)*C281-G281-I281+0+0</f>
        <v>1402.74931085463</v>
      </c>
      <c r="M281" s="5" t="n">
        <f>IF(ISNUMBER(Inputs!$L$5),(IF(Inputs!$L$9="Actual flat rate",((D281+E281)*C281)*Inputs!$L$10,IF(Inputs!$C$9="Residential",IF(((D281+E281)*C281)&lt;='Assumptions and Catalog'!$C$50,((D281+E281)*C281)*'Assumptions and Catalog'!$H$50+'Assumptions and Catalog'!$E$50+'Assumptions and Catalog'!$F$50,IF(((D281+E281)*C281)&lt;='Assumptions and Catalog'!$C$51,((D281+E281)*C281)*'Assumptions and Catalog'!$H$51+'Assumptions and Catalog'!$E$51+'Assumptions and Catalog'!$F$51,IF(((D281+E281)*C281)&lt;='Assumptions and Catalog'!$C$52,((D281+E281)*C281)*'Assumptions and Catalog'!$H$52+'Assumptions and Catalog'!$E$52+'Assumptions and Catalog'!$F$52,IF(((D281+E281)*C281)&lt;='Assumptions and Catalog'!$C$53,((D281+E281)*C281)*'Assumptions and Catalog'!$H$53+'Assumptions and Catalog'!$E$53+'Assumptions and Catalog'!$F$53,IF(((D281+E281)*C281)&lt;='Assumptions and Catalog'!$C$54,((D281+E281)*C281)*'Assumptions and Catalog'!$H$54+'Assumptions and Catalog'!$E$54+'Assumptions and Catalog'!$F$54,IF(((D281+E281)*C281)&lt;='Assumptions and Catalog'!$C$55,((D281+E281)*C281)*'Assumptions and Catalog'!$H$55+'Assumptions and Catalog'!$E$55+'Assumptions and Catalog'!$F$55,IF(((D281+E281)*C281)&lt;='Assumptions and Catalog'!$C$56,((D281+E281)*C281)*'Assumptions and Catalog'!$H$56+'Assumptions and Catalog'!$E$56+'Assumptions and Catalog'!$F$56,IF(((D281+E281)*C281)&lt;='Assumptions and Catalog'!$C$57,((D281+E281)*C281)*'Assumptions and Catalog'!$H$57+'Assumptions and Catalog'!$E$57+'Assumptions and Catalog'!$F$57,"Out of range")))))))),IF(((D281+E281)*C281)&lt;='Assumptions and Catalog'!$C$60,((D281+E281)*C281)*'Assumptions and Catalog'!$H$60+'Assumptions and Catalog'!$E$60+'Assumptions and Catalog'!$F$60,IF(((D281+E281)*C281)&lt;='Assumptions and Catalog'!$C$61,((D281+E281)*C281)*'Assumptions and Catalog'!$H$61+'Assumptions and Catalog'!$E$61+'Assumptions and Catalog'!$F$61,IF(((D281+E281)*C281)&lt;='Assumptions and Catalog'!$C$62,((D281+E281)*C281)*'Assumptions and Catalog'!$H$62+'Assumptions and Catalog'!$E$62+'Assumptions and Catalog'!$F$62,IF(((D281+E281)*C281)&lt;='Assumptions and Catalog'!$C$63,((D281+E281)*C281)*'Assumptions and Catalog'!$H$63+'Assumptions and Catalog'!$E$63+'Assumptions and Catalog'!$F$63,IF(((D281+E281)*C281)&lt;='Assumptions and Catalog'!$C$64,((D281+E281)*C281)*'Assumptions and Catalog'!$H$64+'Assumptions and Catalog'!$E$64+'Assumptions and Catalog'!$F$64,IF(((D281+E281)*C281)&lt;='Assumptions and Catalog'!$C$65,((D281+E281)*C281)*'Assumptions and Catalog'!$H$65+'Assumptions and Catalog'!$E$65+'Assumptions and Catalog'!$F$65,"Out of range")))))))))*(1+'Assumptions and Catalog'!$C$8)^(A281-1),0)</f>
        <v>7094.794</v>
      </c>
      <c r="N281" s="5" t="n">
        <f>IF(ISNUMBER(Inputs!$L$5),(IF(Inputs!$L$9="Actual flat rate",L281*Inputs!$L$10,IF(Inputs!$C$9="Residential",IF(L281&lt;='Assumptions and Catalog'!$C$50,L281*'Assumptions and Catalog'!$H$50+'Assumptions and Catalog'!$E$50+'Assumptions and Catalog'!$F$50,IF(L281&lt;='Assumptions and Catalog'!$C$51,L281*'Assumptions and Catalog'!$H$51+'Assumptions and Catalog'!$E$51+'Assumptions and Catalog'!$F$51,IF(L281&lt;='Assumptions and Catalog'!$C$52,L281*'Assumptions and Catalog'!$H$52+'Assumptions and Catalog'!$E$52+'Assumptions and Catalog'!$F$52,IF(L281&lt;='Assumptions and Catalog'!$C$53,L281*'Assumptions and Catalog'!$H$53+'Assumptions and Catalog'!$E$53+'Assumptions and Catalog'!$F$53,IF(L281&lt;='Assumptions and Catalog'!$C$54,L281*'Assumptions and Catalog'!$H$54+'Assumptions and Catalog'!$E$54+'Assumptions and Catalog'!$F$54,IF(L281&lt;='Assumptions and Catalog'!$C$55,L281*'Assumptions and Catalog'!$H$55+'Assumptions and Catalog'!$E$55+'Assumptions and Catalog'!$F$55,IF(L281&lt;='Assumptions and Catalog'!$C$56,L281*'Assumptions and Catalog'!$H$56+'Assumptions and Catalog'!$E$56+'Assumptions and Catalog'!$F$56,IF(L281&lt;='Assumptions and Catalog'!$C$57,L281*'Assumptions and Catalog'!$H$57+'Assumptions and Catalog'!$E$57+'Assumptions and Catalog'!$F$57,"Out of range")))))))),IF(L281&lt;='Assumptions and Catalog'!$C$60,L281*'Assumptions and Catalog'!$H$60+'Assumptions and Catalog'!$E$60+'Assumptions and Catalog'!$F$60,IF(L281&lt;='Assumptions and Catalog'!$C$61,L281*'Assumptions and Catalog'!$H$61+'Assumptions and Catalog'!$E$61+'Assumptions and Catalog'!$F$61,IF(L281&lt;='Assumptions and Catalog'!$C$62,L281*'Assumptions and Catalog'!$H$62+'Assumptions and Catalog'!$E$62+'Assumptions and Catalog'!$F$62,IF(L281&lt;='Assumptions and Catalog'!$C$63,L281*'Assumptions and Catalog'!$H$63+'Assumptions and Catalog'!$E$63+'Assumptions and Catalog'!$F$63,IF(L281&lt;='Assumptions and Catalog'!$C$64,L281*'Assumptions and Catalog'!$H$64+'Assumptions and Catalog'!$E$64+'Assumptions and Catalog'!$F$64,IF(L281&lt;='Assumptions and Catalog'!$C$65,L281*'Assumptions and Catalog'!$H$65+'Assumptions and Catalog'!$E$65+'Assumptions and Catalog'!$F$65,"Out of range")))))))))*(1+'Assumptions and Catalog'!$C$8)^(A281-1),0)</f>
        <v>3995.75305661005</v>
      </c>
      <c r="O281" s="5" t="n">
        <f>M281-N281</f>
        <v>3099.04094338995</v>
      </c>
      <c r="P281" s="5" t="n">
        <f>C$55*(1-J$14)*(1-'Assumptions and Catalog'!$C$23)^R281</f>
        <v>0</v>
      </c>
      <c r="Q281" s="5" t="n">
        <f>IF(ISNUMBER(Inputs!$L$5),(IF(Inputs!$L$9="Actual flat rate",((D281+E281)*C281-G281)*Inputs!$L$10,IF(Inputs!$C$9="Residential",IF(((D281+E281)*C281-G281)&lt;='Assumptions and Catalog'!$C$50,((D281+E281)*C281-G281)*'Assumptions and Catalog'!$H$50+'Assumptions and Catalog'!$E$50+'Assumptions and Catalog'!$F$50,IF(((D281+E281)*C281-G281)&lt;='Assumptions and Catalog'!$C$51,((D281+E281)*C281-G281)*'Assumptions and Catalog'!$H$51+'Assumptions and Catalog'!$E$51+'Assumptions and Catalog'!$F$51,IF(((D281+E281)*C281-G281)&lt;='Assumptions and Catalog'!$C$52,((D281+E281)*C281-G281)*'Assumptions and Catalog'!$H$52+'Assumptions and Catalog'!$E$52+'Assumptions and Catalog'!$F$52,IF(((D281+E281)*C281-G281)&lt;='Assumptions and Catalog'!$C$53,((D281+E281)*C281-G281)*'Assumptions and Catalog'!$H$53+'Assumptions and Catalog'!$E$53+'Assumptions and Catalog'!$F$53,IF(((D281+E281)*C281-G281)&lt;='Assumptions and Catalog'!$C$54,((D281+E281)*C281-G281)*'Assumptions and Catalog'!$H$54+'Assumptions and Catalog'!$E$54+'Assumptions and Catalog'!$F$54,IF(((D281+E281)*C281-G281)&lt;='Assumptions and Catalog'!$C$55,((D281+E281)*C281-G281)*'Assumptions and Catalog'!$H$55+'Assumptions and Catalog'!$E$55+'Assumptions and Catalog'!$F$55,IF(((D281+E281)*C281-G281)&lt;='Assumptions and Catalog'!$C$56,((D281+E281)*C281-G281)*'Assumptions and Catalog'!$H$56+'Assumptions and Catalog'!$E$56+'Assumptions and Catalog'!$F$56,IF(((D281+E281)*C281-G281)&lt;='Assumptions and Catalog'!$C$57,((D281+E281)*C281-G281)*'Assumptions and Catalog'!$H$57+'Assumptions and Catalog'!$E$57+'Assumptions and Catalog'!$F$57,"Out of range")))))))),IF(((D281+E281)*C281-G281)&lt;='Assumptions and Catalog'!$C$60,((D281+E281)*C281-G281)*'Assumptions and Catalog'!$H$60+'Assumptions and Catalog'!$E$60+'Assumptions and Catalog'!$F$60,IF(((D281+E281)*C281-G281)&lt;='Assumptions and Catalog'!$C$61,((D281+E281)*C281-G281)*'Assumptions and Catalog'!$H$61+'Assumptions and Catalog'!$E$61+'Assumptions and Catalog'!$F$61,IF(((D281+E281)*C281-G281)&lt;='Assumptions and Catalog'!$C$62,((D281+E281)*C281-G281)*'Assumptions and Catalog'!$H$62+'Assumptions and Catalog'!$E$62+'Assumptions and Catalog'!$F$62,IF(((D281+E281)*C281-G281)&lt;='Assumptions and Catalog'!$C$63,((D281+E281)*C281-G281)*'Assumptions and Catalog'!$H$63+'Assumptions and Catalog'!$E$63+'Assumptions and Catalog'!$F$63,IF(((D281+E281)*C281-G281)&lt;='Assumptions and Catalog'!$C$64,((D281+E281)*C281-G281)*'Assumptions and Catalog'!$H$64+'Assumptions and Catalog'!$E$64+'Assumptions and Catalog'!$F$64,IF(((D281+E281)*C281-G281)&lt;='Assumptions and Catalog'!$C$65,((D281+E281)*C281-G281)*'Assumptions and Catalog'!$H$65+'Assumptions and Catalog'!$E$65+'Assumptions and Catalog'!$F$65,"Out of range")))))))))*(1+'Assumptions and Catalog'!$C$8)^(A281-1),0)</f>
        <v>3995.75305661005</v>
      </c>
      <c r="R281" s="5" t="n">
        <f>IF(AND('Assumptions and Catalog'!$C$19&gt;0,A281&gt;='Assumptions and Catalog'!$C$19),A281-'Assumptions and Catalog'!$C$19,A281-1)</f>
        <v>0</v>
      </c>
      <c r="S281" s="5" t="n">
        <f>F281+L281-(D281+E281)*C281-J281-K281-0</f>
        <v>0</v>
      </c>
      <c r="T281" s="5"/>
      <c r="U281" s="5"/>
    </row>
    <row r="282" ht="23.100000381469727" customHeight="1">
      <c r="A282" s="5" t="n">
        <v>11</v>
      </c>
      <c r="B282" s="5" t="n">
        <v>2</v>
      </c>
      <c r="C282" s="5" t="n">
        <f>DAY(DATE('Assumptions and Catalog'!$C$24+A282-1,B282+1,0))</f>
        <v>28</v>
      </c>
      <c r="D282" s="5" t="n">
        <f>IF(ISNUMBER(Inputs!$L$5),Inputs!$L$5*Inputs!$L$6,0)</f>
        <v>40.35</v>
      </c>
      <c r="E282" s="5" t="n">
        <f>IF(ISNUMBER(Inputs!$L$5),Inputs!$L$5-D282,0)</f>
        <v>40.35</v>
      </c>
      <c r="F282" s="5" t="n">
        <f>C$51*INDEX('Solar Production'!$D$20:$D$31,B282)*C282*(1-'Assumptions and Catalog'!$C$10)^(A282-1)</f>
        <v>1083.46661622139</v>
      </c>
      <c r="G282" s="5" t="n">
        <f>MIN(F282,D282*C282)</f>
        <v>1083.46661622139</v>
      </c>
      <c r="H282" s="5" t="n">
        <f>I282/('Assumptions and Catalog'!$C$11*'Assumptions and Catalog'!$C$12)</f>
        <v>0</v>
      </c>
      <c r="I282" s="5" t="n">
        <f>0</f>
        <v>0</v>
      </c>
      <c r="J282" s="5" t="n">
        <f>MAX(F282-G282-H282,0)</f>
        <v>0</v>
      </c>
      <c r="K282" s="5" t="n">
        <f>H282-I282</f>
        <v>0</v>
      </c>
      <c r="L282" s="5" t="n">
        <f>(D282+E282)*C282-G282-I282+0+0</f>
        <v>1176.13338377861</v>
      </c>
      <c r="M282" s="5" t="n">
        <f>IF(ISNUMBER(Inputs!$L$5),(IF(Inputs!$L$9="Actual flat rate",((D282+E282)*C282)*Inputs!$L$10,IF(Inputs!$C$9="Residential",IF(((D282+E282)*C282)&lt;='Assumptions and Catalog'!$C$50,((D282+E282)*C282)*'Assumptions and Catalog'!$H$50+'Assumptions and Catalog'!$E$50+'Assumptions and Catalog'!$F$50,IF(((D282+E282)*C282)&lt;='Assumptions and Catalog'!$C$51,((D282+E282)*C282)*'Assumptions and Catalog'!$H$51+'Assumptions and Catalog'!$E$51+'Assumptions and Catalog'!$F$51,IF(((D282+E282)*C282)&lt;='Assumptions and Catalog'!$C$52,((D282+E282)*C282)*'Assumptions and Catalog'!$H$52+'Assumptions and Catalog'!$E$52+'Assumptions and Catalog'!$F$52,IF(((D282+E282)*C282)&lt;='Assumptions and Catalog'!$C$53,((D282+E282)*C282)*'Assumptions and Catalog'!$H$53+'Assumptions and Catalog'!$E$53+'Assumptions and Catalog'!$F$53,IF(((D282+E282)*C282)&lt;='Assumptions and Catalog'!$C$54,((D282+E282)*C282)*'Assumptions and Catalog'!$H$54+'Assumptions and Catalog'!$E$54+'Assumptions and Catalog'!$F$54,IF(((D282+E282)*C282)&lt;='Assumptions and Catalog'!$C$55,((D282+E282)*C282)*'Assumptions and Catalog'!$H$55+'Assumptions and Catalog'!$E$55+'Assumptions and Catalog'!$F$55,IF(((D282+E282)*C282)&lt;='Assumptions and Catalog'!$C$56,((D282+E282)*C282)*'Assumptions and Catalog'!$H$56+'Assumptions and Catalog'!$E$56+'Assumptions and Catalog'!$F$56,IF(((D282+E282)*C282)&lt;='Assumptions and Catalog'!$C$57,((D282+E282)*C282)*'Assumptions and Catalog'!$H$57+'Assumptions and Catalog'!$E$57+'Assumptions and Catalog'!$F$57,"Out of range")))))))),IF(((D282+E282)*C282)&lt;='Assumptions and Catalog'!$C$60,((D282+E282)*C282)*'Assumptions and Catalog'!$H$60+'Assumptions and Catalog'!$E$60+'Assumptions and Catalog'!$F$60,IF(((D282+E282)*C282)&lt;='Assumptions and Catalog'!$C$61,((D282+E282)*C282)*'Assumptions and Catalog'!$H$61+'Assumptions and Catalog'!$E$61+'Assumptions and Catalog'!$F$61,IF(((D282+E282)*C282)&lt;='Assumptions and Catalog'!$C$62,((D282+E282)*C282)*'Assumptions and Catalog'!$H$62+'Assumptions and Catalog'!$E$62+'Assumptions and Catalog'!$F$62,IF(((D282+E282)*C282)&lt;='Assumptions and Catalog'!$C$63,((D282+E282)*C282)*'Assumptions and Catalog'!$H$63+'Assumptions and Catalog'!$E$63+'Assumptions and Catalog'!$F$63,IF(((D282+E282)*C282)&lt;='Assumptions and Catalog'!$C$64,((D282+E282)*C282)*'Assumptions and Catalog'!$H$64+'Assumptions and Catalog'!$E$64+'Assumptions and Catalog'!$F$64,IF(((D282+E282)*C282)&lt;='Assumptions and Catalog'!$C$65,((D282+E282)*C282)*'Assumptions and Catalog'!$H$65+'Assumptions and Catalog'!$E$65+'Assumptions and Catalog'!$F$65,"Out of range")))))))))*(1+'Assumptions and Catalog'!$C$8)^(A282-1),0)</f>
        <v>6412.072</v>
      </c>
      <c r="N282" s="5" t="n">
        <f>IF(ISNUMBER(Inputs!$L$5),(IF(Inputs!$L$9="Actual flat rate",L282*Inputs!$L$10,IF(Inputs!$C$9="Residential",IF(L282&lt;='Assumptions and Catalog'!$C$50,L282*'Assumptions and Catalog'!$H$50+'Assumptions and Catalog'!$E$50+'Assumptions and Catalog'!$F$50,IF(L282&lt;='Assumptions and Catalog'!$C$51,L282*'Assumptions and Catalog'!$H$51+'Assumptions and Catalog'!$E$51+'Assumptions and Catalog'!$F$51,IF(L282&lt;='Assumptions and Catalog'!$C$52,L282*'Assumptions and Catalog'!$H$52+'Assumptions and Catalog'!$E$52+'Assumptions and Catalog'!$F$52,IF(L282&lt;='Assumptions and Catalog'!$C$53,L282*'Assumptions and Catalog'!$H$53+'Assumptions and Catalog'!$E$53+'Assumptions and Catalog'!$F$53,IF(L282&lt;='Assumptions and Catalog'!$C$54,L282*'Assumptions and Catalog'!$H$54+'Assumptions and Catalog'!$E$54+'Assumptions and Catalog'!$F$54,IF(L282&lt;='Assumptions and Catalog'!$C$55,L282*'Assumptions and Catalog'!$H$55+'Assumptions and Catalog'!$E$55+'Assumptions and Catalog'!$F$55,IF(L282&lt;='Assumptions and Catalog'!$C$56,L282*'Assumptions and Catalog'!$H$56+'Assumptions and Catalog'!$E$56+'Assumptions and Catalog'!$F$56,IF(L282&lt;='Assumptions and Catalog'!$C$57,L282*'Assumptions and Catalog'!$H$57+'Assumptions and Catalog'!$E$57+'Assumptions and Catalog'!$F$57,"Out of range")))))))),IF(L282&lt;='Assumptions and Catalog'!$C$60,L282*'Assumptions and Catalog'!$H$60+'Assumptions and Catalog'!$E$60+'Assumptions and Catalog'!$F$60,IF(L282&lt;='Assumptions and Catalog'!$C$61,L282*'Assumptions and Catalog'!$H$61+'Assumptions and Catalog'!$E$61+'Assumptions and Catalog'!$F$61,IF(L282&lt;='Assumptions and Catalog'!$C$62,L282*'Assumptions and Catalog'!$H$62+'Assumptions and Catalog'!$E$62+'Assumptions and Catalog'!$F$62,IF(L282&lt;='Assumptions and Catalog'!$C$63,L282*'Assumptions and Catalog'!$H$63+'Assumptions and Catalog'!$E$63+'Assumptions and Catalog'!$F$63,IF(L282&lt;='Assumptions and Catalog'!$C$64,L282*'Assumptions and Catalog'!$H$64+'Assumptions and Catalog'!$E$64+'Assumptions and Catalog'!$F$64,IF(L282&lt;='Assumptions and Catalog'!$C$65,L282*'Assumptions and Catalog'!$H$65+'Assumptions and Catalog'!$E$65+'Assumptions and Catalog'!$F$65,"Out of range")))))))))*(1+'Assumptions and Catalog'!$C$8)^(A282-1),0)</f>
        <v>3356.69614225568</v>
      </c>
      <c r="O282" s="5" t="n">
        <f>M282-N282</f>
        <v>3055.37585774432</v>
      </c>
      <c r="P282" s="5" t="n">
        <f>C$55*(1-J$14)*(1-'Assumptions and Catalog'!$C$23)^R282</f>
        <v>0</v>
      </c>
      <c r="Q282" s="5" t="n">
        <f>IF(ISNUMBER(Inputs!$L$5),(IF(Inputs!$L$9="Actual flat rate",((D282+E282)*C282-G282)*Inputs!$L$10,IF(Inputs!$C$9="Residential",IF(((D282+E282)*C282-G282)&lt;='Assumptions and Catalog'!$C$50,((D282+E282)*C282-G282)*'Assumptions and Catalog'!$H$50+'Assumptions and Catalog'!$E$50+'Assumptions and Catalog'!$F$50,IF(((D282+E282)*C282-G282)&lt;='Assumptions and Catalog'!$C$51,((D282+E282)*C282-G282)*'Assumptions and Catalog'!$H$51+'Assumptions and Catalog'!$E$51+'Assumptions and Catalog'!$F$51,IF(((D282+E282)*C282-G282)&lt;='Assumptions and Catalog'!$C$52,((D282+E282)*C282-G282)*'Assumptions and Catalog'!$H$52+'Assumptions and Catalog'!$E$52+'Assumptions and Catalog'!$F$52,IF(((D282+E282)*C282-G282)&lt;='Assumptions and Catalog'!$C$53,((D282+E282)*C282-G282)*'Assumptions and Catalog'!$H$53+'Assumptions and Catalog'!$E$53+'Assumptions and Catalog'!$F$53,IF(((D282+E282)*C282-G282)&lt;='Assumptions and Catalog'!$C$54,((D282+E282)*C282-G282)*'Assumptions and Catalog'!$H$54+'Assumptions and Catalog'!$E$54+'Assumptions and Catalog'!$F$54,IF(((D282+E282)*C282-G282)&lt;='Assumptions and Catalog'!$C$55,((D282+E282)*C282-G282)*'Assumptions and Catalog'!$H$55+'Assumptions and Catalog'!$E$55+'Assumptions and Catalog'!$F$55,IF(((D282+E282)*C282-G282)&lt;='Assumptions and Catalog'!$C$56,((D282+E282)*C282-G282)*'Assumptions and Catalog'!$H$56+'Assumptions and Catalog'!$E$56+'Assumptions and Catalog'!$F$56,IF(((D282+E282)*C282-G282)&lt;='Assumptions and Catalog'!$C$57,((D282+E282)*C282-G282)*'Assumptions and Catalog'!$H$57+'Assumptions and Catalog'!$E$57+'Assumptions and Catalog'!$F$57,"Out of range")))))))),IF(((D282+E282)*C282-G282)&lt;='Assumptions and Catalog'!$C$60,((D282+E282)*C282-G282)*'Assumptions and Catalog'!$H$60+'Assumptions and Catalog'!$E$60+'Assumptions and Catalog'!$F$60,IF(((D282+E282)*C282-G282)&lt;='Assumptions and Catalog'!$C$61,((D282+E282)*C282-G282)*'Assumptions and Catalog'!$H$61+'Assumptions and Catalog'!$E$61+'Assumptions and Catalog'!$F$61,IF(((D282+E282)*C282-G282)&lt;='Assumptions and Catalog'!$C$62,((D282+E282)*C282-G282)*'Assumptions and Catalog'!$H$62+'Assumptions and Catalog'!$E$62+'Assumptions and Catalog'!$F$62,IF(((D282+E282)*C282-G282)&lt;='Assumptions and Catalog'!$C$63,((D282+E282)*C282-G282)*'Assumptions and Catalog'!$H$63+'Assumptions and Catalog'!$E$63+'Assumptions and Catalog'!$F$63,IF(((D282+E282)*C282-G282)&lt;='Assumptions and Catalog'!$C$64,((D282+E282)*C282-G282)*'Assumptions and Catalog'!$H$64+'Assumptions and Catalog'!$E$64+'Assumptions and Catalog'!$F$64,IF(((D282+E282)*C282-G282)&lt;='Assumptions and Catalog'!$C$65,((D282+E282)*C282-G282)*'Assumptions and Catalog'!$H$65+'Assumptions and Catalog'!$E$65+'Assumptions and Catalog'!$F$65,"Out of range")))))))))*(1+'Assumptions and Catalog'!$C$8)^(A282-1),0)</f>
        <v>3356.69614225568</v>
      </c>
      <c r="R282" s="5" t="n">
        <f>IF(AND('Assumptions and Catalog'!$C$19&gt;0,A282&gt;='Assumptions and Catalog'!$C$19),A282-'Assumptions and Catalog'!$C$19,A282-1)</f>
        <v>0</v>
      </c>
      <c r="S282" s="5" t="n">
        <f>F282+L282-(D282+E282)*C282-J282-K282-0</f>
        <v>0</v>
      </c>
      <c r="T282" s="5"/>
      <c r="U282" s="5"/>
    </row>
    <row r="283" ht="23.100000381469727" customHeight="1">
      <c r="A283" s="5" t="n">
        <v>11</v>
      </c>
      <c r="B283" s="5" t="n">
        <v>3</v>
      </c>
      <c r="C283" s="5" t="n">
        <f>DAY(DATE('Assumptions and Catalog'!$C$24+A283-1,B283+1,0))</f>
        <v>31</v>
      </c>
      <c r="D283" s="5" t="n">
        <f>IF(ISNUMBER(Inputs!$L$5),Inputs!$L$5*Inputs!$L$6,0)</f>
        <v>40.35</v>
      </c>
      <c r="E283" s="5" t="n">
        <f>IF(ISNUMBER(Inputs!$L$5),Inputs!$L$5-D283,0)</f>
        <v>40.35</v>
      </c>
      <c r="F283" s="5" t="n">
        <f>C$51*INDEX('Solar Production'!$D$20:$D$31,B283)*C283*(1-'Assumptions and Catalog'!$C$10)^(A283-1)</f>
        <v>1348.03501899279</v>
      </c>
      <c r="G283" s="5" t="n">
        <f>MIN(F283,D283*C283)</f>
        <v>1250.85</v>
      </c>
      <c r="H283" s="5" t="n">
        <f>I283/('Assumptions and Catalog'!$C$11*'Assumptions and Catalog'!$C$12)</f>
        <v>0</v>
      </c>
      <c r="I283" s="5" t="n">
        <f>0</f>
        <v>0</v>
      </c>
      <c r="J283" s="5" t="n">
        <f>MAX(F283-G283-H283,0)</f>
        <v>97.1850189927914</v>
      </c>
      <c r="K283" s="5" t="n">
        <f>H283-I283</f>
        <v>0</v>
      </c>
      <c r="L283" s="5" t="n">
        <f>(D283+E283)*C283-G283-I283+0+0</f>
        <v>1250.85</v>
      </c>
      <c r="M283" s="5" t="n">
        <f>IF(ISNUMBER(Inputs!$L$5),(IF(Inputs!$L$9="Actual flat rate",((D283+E283)*C283)*Inputs!$L$10,IF(Inputs!$C$9="Residential",IF(((D283+E283)*C283)&lt;='Assumptions and Catalog'!$C$50,((D283+E283)*C283)*'Assumptions and Catalog'!$H$50+'Assumptions and Catalog'!$E$50+'Assumptions and Catalog'!$F$50,IF(((D283+E283)*C283)&lt;='Assumptions and Catalog'!$C$51,((D283+E283)*C283)*'Assumptions and Catalog'!$H$51+'Assumptions and Catalog'!$E$51+'Assumptions and Catalog'!$F$51,IF(((D283+E283)*C283)&lt;='Assumptions and Catalog'!$C$52,((D283+E283)*C283)*'Assumptions and Catalog'!$H$52+'Assumptions and Catalog'!$E$52+'Assumptions and Catalog'!$F$52,IF(((D283+E283)*C283)&lt;='Assumptions and Catalog'!$C$53,((D283+E283)*C283)*'Assumptions and Catalog'!$H$53+'Assumptions and Catalog'!$E$53+'Assumptions and Catalog'!$F$53,IF(((D283+E283)*C283)&lt;='Assumptions and Catalog'!$C$54,((D283+E283)*C283)*'Assumptions and Catalog'!$H$54+'Assumptions and Catalog'!$E$54+'Assumptions and Catalog'!$F$54,IF(((D283+E283)*C283)&lt;='Assumptions and Catalog'!$C$55,((D283+E283)*C283)*'Assumptions and Catalog'!$H$55+'Assumptions and Catalog'!$E$55+'Assumptions and Catalog'!$F$55,IF(((D283+E283)*C283)&lt;='Assumptions and Catalog'!$C$56,((D283+E283)*C283)*'Assumptions and Catalog'!$H$56+'Assumptions and Catalog'!$E$56+'Assumptions and Catalog'!$F$56,IF(((D283+E283)*C283)&lt;='Assumptions and Catalog'!$C$57,((D283+E283)*C283)*'Assumptions and Catalog'!$H$57+'Assumptions and Catalog'!$E$57+'Assumptions and Catalog'!$F$57,"Out of range")))))))),IF(((D283+E283)*C283)&lt;='Assumptions and Catalog'!$C$60,((D283+E283)*C283)*'Assumptions and Catalog'!$H$60+'Assumptions and Catalog'!$E$60+'Assumptions and Catalog'!$F$60,IF(((D283+E283)*C283)&lt;='Assumptions and Catalog'!$C$61,((D283+E283)*C283)*'Assumptions and Catalog'!$H$61+'Assumptions and Catalog'!$E$61+'Assumptions and Catalog'!$F$61,IF(((D283+E283)*C283)&lt;='Assumptions and Catalog'!$C$62,((D283+E283)*C283)*'Assumptions and Catalog'!$H$62+'Assumptions and Catalog'!$E$62+'Assumptions and Catalog'!$F$62,IF(((D283+E283)*C283)&lt;='Assumptions and Catalog'!$C$63,((D283+E283)*C283)*'Assumptions and Catalog'!$H$63+'Assumptions and Catalog'!$E$63+'Assumptions and Catalog'!$F$63,IF(((D283+E283)*C283)&lt;='Assumptions and Catalog'!$C$64,((D283+E283)*C283)*'Assumptions and Catalog'!$H$64+'Assumptions and Catalog'!$E$64+'Assumptions and Catalog'!$F$64,IF(((D283+E283)*C283)&lt;='Assumptions and Catalog'!$C$65,((D283+E283)*C283)*'Assumptions and Catalog'!$H$65+'Assumptions and Catalog'!$E$65+'Assumptions and Catalog'!$F$65,"Out of range")))))))))*(1+'Assumptions and Catalog'!$C$8)^(A283-1),0)</f>
        <v>7094.794</v>
      </c>
      <c r="N283" s="5" t="n">
        <f>IF(ISNUMBER(Inputs!$L$5),(IF(Inputs!$L$9="Actual flat rate",L283*Inputs!$L$10,IF(Inputs!$C$9="Residential",IF(L283&lt;='Assumptions and Catalog'!$C$50,L283*'Assumptions and Catalog'!$H$50+'Assumptions and Catalog'!$E$50+'Assumptions and Catalog'!$F$50,IF(L283&lt;='Assumptions and Catalog'!$C$51,L283*'Assumptions and Catalog'!$H$51+'Assumptions and Catalog'!$E$51+'Assumptions and Catalog'!$F$51,IF(L283&lt;='Assumptions and Catalog'!$C$52,L283*'Assumptions and Catalog'!$H$52+'Assumptions and Catalog'!$E$52+'Assumptions and Catalog'!$F$52,IF(L283&lt;='Assumptions and Catalog'!$C$53,L283*'Assumptions and Catalog'!$H$53+'Assumptions and Catalog'!$E$53+'Assumptions and Catalog'!$F$53,IF(L283&lt;='Assumptions and Catalog'!$C$54,L283*'Assumptions and Catalog'!$H$54+'Assumptions and Catalog'!$E$54+'Assumptions and Catalog'!$F$54,IF(L283&lt;='Assumptions and Catalog'!$C$55,L283*'Assumptions and Catalog'!$H$55+'Assumptions and Catalog'!$E$55+'Assumptions and Catalog'!$F$55,IF(L283&lt;='Assumptions and Catalog'!$C$56,L283*'Assumptions and Catalog'!$H$56+'Assumptions and Catalog'!$E$56+'Assumptions and Catalog'!$F$56,IF(L283&lt;='Assumptions and Catalog'!$C$57,L283*'Assumptions and Catalog'!$H$57+'Assumptions and Catalog'!$E$57+'Assumptions and Catalog'!$F$57,"Out of range")))))))),IF(L283&lt;='Assumptions and Catalog'!$C$60,L283*'Assumptions and Catalog'!$H$60+'Assumptions and Catalog'!$E$60+'Assumptions and Catalog'!$F$60,IF(L283&lt;='Assumptions and Catalog'!$C$61,L283*'Assumptions and Catalog'!$H$61+'Assumptions and Catalog'!$E$61+'Assumptions and Catalog'!$F$61,IF(L283&lt;='Assumptions and Catalog'!$C$62,L283*'Assumptions and Catalog'!$H$62+'Assumptions and Catalog'!$E$62+'Assumptions and Catalog'!$F$62,IF(L283&lt;='Assumptions and Catalog'!$C$63,L283*'Assumptions and Catalog'!$H$63+'Assumptions and Catalog'!$E$63+'Assumptions and Catalog'!$F$63,IF(L283&lt;='Assumptions and Catalog'!$C$64,L283*'Assumptions and Catalog'!$H$64+'Assumptions and Catalog'!$E$64+'Assumptions and Catalog'!$F$64,IF(L283&lt;='Assumptions and Catalog'!$C$65,L283*'Assumptions and Catalog'!$H$65+'Assumptions and Catalog'!$E$65+'Assumptions and Catalog'!$F$65,"Out of range")))))))))*(1+'Assumptions and Catalog'!$C$8)^(A283-1),0)</f>
        <v>3567.397</v>
      </c>
      <c r="O283" s="5" t="n">
        <f>M283-N283</f>
        <v>3527.397</v>
      </c>
      <c r="P283" s="5" t="n">
        <f>C$55*(1-J$14)*(1-'Assumptions and Catalog'!$C$23)^R283</f>
        <v>0</v>
      </c>
      <c r="Q283" s="5" t="n">
        <f>IF(ISNUMBER(Inputs!$L$5),(IF(Inputs!$L$9="Actual flat rate",((D283+E283)*C283-G283)*Inputs!$L$10,IF(Inputs!$C$9="Residential",IF(((D283+E283)*C283-G283)&lt;='Assumptions and Catalog'!$C$50,((D283+E283)*C283-G283)*'Assumptions and Catalog'!$H$50+'Assumptions and Catalog'!$E$50+'Assumptions and Catalog'!$F$50,IF(((D283+E283)*C283-G283)&lt;='Assumptions and Catalog'!$C$51,((D283+E283)*C283-G283)*'Assumptions and Catalog'!$H$51+'Assumptions and Catalog'!$E$51+'Assumptions and Catalog'!$F$51,IF(((D283+E283)*C283-G283)&lt;='Assumptions and Catalog'!$C$52,((D283+E283)*C283-G283)*'Assumptions and Catalog'!$H$52+'Assumptions and Catalog'!$E$52+'Assumptions and Catalog'!$F$52,IF(((D283+E283)*C283-G283)&lt;='Assumptions and Catalog'!$C$53,((D283+E283)*C283-G283)*'Assumptions and Catalog'!$H$53+'Assumptions and Catalog'!$E$53+'Assumptions and Catalog'!$F$53,IF(((D283+E283)*C283-G283)&lt;='Assumptions and Catalog'!$C$54,((D283+E283)*C283-G283)*'Assumptions and Catalog'!$H$54+'Assumptions and Catalog'!$E$54+'Assumptions and Catalog'!$F$54,IF(((D283+E283)*C283-G283)&lt;='Assumptions and Catalog'!$C$55,((D283+E283)*C283-G283)*'Assumptions and Catalog'!$H$55+'Assumptions and Catalog'!$E$55+'Assumptions and Catalog'!$F$55,IF(((D283+E283)*C283-G283)&lt;='Assumptions and Catalog'!$C$56,((D283+E283)*C283-G283)*'Assumptions and Catalog'!$H$56+'Assumptions and Catalog'!$E$56+'Assumptions and Catalog'!$F$56,IF(((D283+E283)*C283-G283)&lt;='Assumptions and Catalog'!$C$57,((D283+E283)*C283-G283)*'Assumptions and Catalog'!$H$57+'Assumptions and Catalog'!$E$57+'Assumptions and Catalog'!$F$57,"Out of range")))))))),IF(((D283+E283)*C283-G283)&lt;='Assumptions and Catalog'!$C$60,((D283+E283)*C283-G283)*'Assumptions and Catalog'!$H$60+'Assumptions and Catalog'!$E$60+'Assumptions and Catalog'!$F$60,IF(((D283+E283)*C283-G283)&lt;='Assumptions and Catalog'!$C$61,((D283+E283)*C283-G283)*'Assumptions and Catalog'!$H$61+'Assumptions and Catalog'!$E$61+'Assumptions and Catalog'!$F$61,IF(((D283+E283)*C283-G283)&lt;='Assumptions and Catalog'!$C$62,((D283+E283)*C283-G283)*'Assumptions and Catalog'!$H$62+'Assumptions and Catalog'!$E$62+'Assumptions and Catalog'!$F$62,IF(((D283+E283)*C283-G283)&lt;='Assumptions and Catalog'!$C$63,((D283+E283)*C283-G283)*'Assumptions and Catalog'!$H$63+'Assumptions and Catalog'!$E$63+'Assumptions and Catalog'!$F$63,IF(((D283+E283)*C283-G283)&lt;='Assumptions and Catalog'!$C$64,((D283+E283)*C283-G283)*'Assumptions and Catalog'!$H$64+'Assumptions and Catalog'!$E$64+'Assumptions and Catalog'!$F$64,IF(((D283+E283)*C283-G283)&lt;='Assumptions and Catalog'!$C$65,((D283+E283)*C283-G283)*'Assumptions and Catalog'!$H$65+'Assumptions and Catalog'!$E$65+'Assumptions and Catalog'!$F$65,"Out of range")))))))))*(1+'Assumptions and Catalog'!$C$8)^(A283-1),0)</f>
        <v>3567.397</v>
      </c>
      <c r="R283" s="5" t="n">
        <f>IF(AND('Assumptions and Catalog'!$C$19&gt;0,A283&gt;='Assumptions and Catalog'!$C$19),A283-'Assumptions and Catalog'!$C$19,A283-1)</f>
        <v>0</v>
      </c>
      <c r="S283" s="5" t="n">
        <f>F283+L283-(D283+E283)*C283-J283-K283-0</f>
        <v>0</v>
      </c>
      <c r="T283" s="5"/>
      <c r="U283" s="5"/>
    </row>
    <row r="284" ht="23.100000381469727" customHeight="1">
      <c r="A284" s="5" t="n">
        <v>11</v>
      </c>
      <c r="B284" s="5" t="n">
        <v>4</v>
      </c>
      <c r="C284" s="5" t="n">
        <f>DAY(DATE('Assumptions and Catalog'!$C$24+A284-1,B284+1,0))</f>
        <v>30</v>
      </c>
      <c r="D284" s="5" t="n">
        <f>IF(ISNUMBER(Inputs!$L$5),Inputs!$L$5*Inputs!$L$6,0)</f>
        <v>40.35</v>
      </c>
      <c r="E284" s="5" t="n">
        <f>IF(ISNUMBER(Inputs!$L$5),Inputs!$L$5-D284,0)</f>
        <v>40.35</v>
      </c>
      <c r="F284" s="5" t="n">
        <f>C$51*INDEX('Solar Production'!$D$20:$D$31,B284)*C284*(1-'Assumptions and Catalog'!$C$10)^(A284-1)</f>
        <v>1346.36106516317</v>
      </c>
      <c r="G284" s="5" t="n">
        <f>MIN(F284,D284*C284)</f>
        <v>1210.5</v>
      </c>
      <c r="H284" s="5" t="n">
        <f>I284/('Assumptions and Catalog'!$C$11*'Assumptions and Catalog'!$C$12)</f>
        <v>0</v>
      </c>
      <c r="I284" s="5" t="n">
        <f>0</f>
        <v>0</v>
      </c>
      <c r="J284" s="5" t="n">
        <f>MAX(F284-G284-H284,0)</f>
        <v>135.861065163172</v>
      </c>
      <c r="K284" s="5" t="n">
        <f>H284-I284</f>
        <v>0</v>
      </c>
      <c r="L284" s="5" t="n">
        <f>(D284+E284)*C284-G284-I284+0+0</f>
        <v>1210.5</v>
      </c>
      <c r="M284" s="5" t="n">
        <f>IF(ISNUMBER(Inputs!$L$5),(IF(Inputs!$L$9="Actual flat rate",((D284+E284)*C284)*Inputs!$L$10,IF(Inputs!$C$9="Residential",IF(((D284+E284)*C284)&lt;='Assumptions and Catalog'!$C$50,((D284+E284)*C284)*'Assumptions and Catalog'!$H$50+'Assumptions and Catalog'!$E$50+'Assumptions and Catalog'!$F$50,IF(((D284+E284)*C284)&lt;='Assumptions and Catalog'!$C$51,((D284+E284)*C284)*'Assumptions and Catalog'!$H$51+'Assumptions and Catalog'!$E$51+'Assumptions and Catalog'!$F$51,IF(((D284+E284)*C284)&lt;='Assumptions and Catalog'!$C$52,((D284+E284)*C284)*'Assumptions and Catalog'!$H$52+'Assumptions and Catalog'!$E$52+'Assumptions and Catalog'!$F$52,IF(((D284+E284)*C284)&lt;='Assumptions and Catalog'!$C$53,((D284+E284)*C284)*'Assumptions and Catalog'!$H$53+'Assumptions and Catalog'!$E$53+'Assumptions and Catalog'!$F$53,IF(((D284+E284)*C284)&lt;='Assumptions and Catalog'!$C$54,((D284+E284)*C284)*'Assumptions and Catalog'!$H$54+'Assumptions and Catalog'!$E$54+'Assumptions and Catalog'!$F$54,IF(((D284+E284)*C284)&lt;='Assumptions and Catalog'!$C$55,((D284+E284)*C284)*'Assumptions and Catalog'!$H$55+'Assumptions and Catalog'!$E$55+'Assumptions and Catalog'!$F$55,IF(((D284+E284)*C284)&lt;='Assumptions and Catalog'!$C$56,((D284+E284)*C284)*'Assumptions and Catalog'!$H$56+'Assumptions and Catalog'!$E$56+'Assumptions and Catalog'!$F$56,IF(((D284+E284)*C284)&lt;='Assumptions and Catalog'!$C$57,((D284+E284)*C284)*'Assumptions and Catalog'!$H$57+'Assumptions and Catalog'!$E$57+'Assumptions and Catalog'!$F$57,"Out of range")))))))),IF(((D284+E284)*C284)&lt;='Assumptions and Catalog'!$C$60,((D284+E284)*C284)*'Assumptions and Catalog'!$H$60+'Assumptions and Catalog'!$E$60+'Assumptions and Catalog'!$F$60,IF(((D284+E284)*C284)&lt;='Assumptions and Catalog'!$C$61,((D284+E284)*C284)*'Assumptions and Catalog'!$H$61+'Assumptions and Catalog'!$E$61+'Assumptions and Catalog'!$F$61,IF(((D284+E284)*C284)&lt;='Assumptions and Catalog'!$C$62,((D284+E284)*C284)*'Assumptions and Catalog'!$H$62+'Assumptions and Catalog'!$E$62+'Assumptions and Catalog'!$F$62,IF(((D284+E284)*C284)&lt;='Assumptions and Catalog'!$C$63,((D284+E284)*C284)*'Assumptions and Catalog'!$H$63+'Assumptions and Catalog'!$E$63+'Assumptions and Catalog'!$F$63,IF(((D284+E284)*C284)&lt;='Assumptions and Catalog'!$C$64,((D284+E284)*C284)*'Assumptions and Catalog'!$H$64+'Assumptions and Catalog'!$E$64+'Assumptions and Catalog'!$F$64,IF(((D284+E284)*C284)&lt;='Assumptions and Catalog'!$C$65,((D284+E284)*C284)*'Assumptions and Catalog'!$H$65+'Assumptions and Catalog'!$E$65+'Assumptions and Catalog'!$F$65,"Out of range")))))))))*(1+'Assumptions and Catalog'!$C$8)^(A284-1),0)</f>
        <v>6867.22</v>
      </c>
      <c r="N284" s="5" t="n">
        <f>IF(ISNUMBER(Inputs!$L$5),(IF(Inputs!$L$9="Actual flat rate",L284*Inputs!$L$10,IF(Inputs!$C$9="Residential",IF(L284&lt;='Assumptions and Catalog'!$C$50,L284*'Assumptions and Catalog'!$H$50+'Assumptions and Catalog'!$E$50+'Assumptions and Catalog'!$F$50,IF(L284&lt;='Assumptions and Catalog'!$C$51,L284*'Assumptions and Catalog'!$H$51+'Assumptions and Catalog'!$E$51+'Assumptions and Catalog'!$F$51,IF(L284&lt;='Assumptions and Catalog'!$C$52,L284*'Assumptions and Catalog'!$H$52+'Assumptions and Catalog'!$E$52+'Assumptions and Catalog'!$F$52,IF(L284&lt;='Assumptions and Catalog'!$C$53,L284*'Assumptions and Catalog'!$H$53+'Assumptions and Catalog'!$E$53+'Assumptions and Catalog'!$F$53,IF(L284&lt;='Assumptions and Catalog'!$C$54,L284*'Assumptions and Catalog'!$H$54+'Assumptions and Catalog'!$E$54+'Assumptions and Catalog'!$F$54,IF(L284&lt;='Assumptions and Catalog'!$C$55,L284*'Assumptions and Catalog'!$H$55+'Assumptions and Catalog'!$E$55+'Assumptions and Catalog'!$F$55,IF(L284&lt;='Assumptions and Catalog'!$C$56,L284*'Assumptions and Catalog'!$H$56+'Assumptions and Catalog'!$E$56+'Assumptions and Catalog'!$F$56,IF(L284&lt;='Assumptions and Catalog'!$C$57,L284*'Assumptions and Catalog'!$H$57+'Assumptions and Catalog'!$E$57+'Assumptions and Catalog'!$F$57,"Out of range")))))))),IF(L284&lt;='Assumptions and Catalog'!$C$60,L284*'Assumptions and Catalog'!$H$60+'Assumptions and Catalog'!$E$60+'Assumptions and Catalog'!$F$60,IF(L284&lt;='Assumptions and Catalog'!$C$61,L284*'Assumptions and Catalog'!$H$61+'Assumptions and Catalog'!$E$61+'Assumptions and Catalog'!$F$61,IF(L284&lt;='Assumptions and Catalog'!$C$62,L284*'Assumptions and Catalog'!$H$62+'Assumptions and Catalog'!$E$62+'Assumptions and Catalog'!$F$62,IF(L284&lt;='Assumptions and Catalog'!$C$63,L284*'Assumptions and Catalog'!$H$63+'Assumptions and Catalog'!$E$63+'Assumptions and Catalog'!$F$63,IF(L284&lt;='Assumptions and Catalog'!$C$64,L284*'Assumptions and Catalog'!$H$64+'Assumptions and Catalog'!$E$64+'Assumptions and Catalog'!$F$64,IF(L284&lt;='Assumptions and Catalog'!$C$65,L284*'Assumptions and Catalog'!$H$65+'Assumptions and Catalog'!$E$65+'Assumptions and Catalog'!$F$65,"Out of range")))))))))*(1+'Assumptions and Catalog'!$C$8)^(A284-1),0)</f>
        <v>3453.61</v>
      </c>
      <c r="O284" s="5" t="n">
        <f>M284-N284</f>
        <v>3413.61</v>
      </c>
      <c r="P284" s="5" t="n">
        <f>C$55*(1-J$14)*(1-'Assumptions and Catalog'!$C$23)^R284</f>
        <v>0</v>
      </c>
      <c r="Q284" s="5" t="n">
        <f>IF(ISNUMBER(Inputs!$L$5),(IF(Inputs!$L$9="Actual flat rate",((D284+E284)*C284-G284)*Inputs!$L$10,IF(Inputs!$C$9="Residential",IF(((D284+E284)*C284-G284)&lt;='Assumptions and Catalog'!$C$50,((D284+E284)*C284-G284)*'Assumptions and Catalog'!$H$50+'Assumptions and Catalog'!$E$50+'Assumptions and Catalog'!$F$50,IF(((D284+E284)*C284-G284)&lt;='Assumptions and Catalog'!$C$51,((D284+E284)*C284-G284)*'Assumptions and Catalog'!$H$51+'Assumptions and Catalog'!$E$51+'Assumptions and Catalog'!$F$51,IF(((D284+E284)*C284-G284)&lt;='Assumptions and Catalog'!$C$52,((D284+E284)*C284-G284)*'Assumptions and Catalog'!$H$52+'Assumptions and Catalog'!$E$52+'Assumptions and Catalog'!$F$52,IF(((D284+E284)*C284-G284)&lt;='Assumptions and Catalog'!$C$53,((D284+E284)*C284-G284)*'Assumptions and Catalog'!$H$53+'Assumptions and Catalog'!$E$53+'Assumptions and Catalog'!$F$53,IF(((D284+E284)*C284-G284)&lt;='Assumptions and Catalog'!$C$54,((D284+E284)*C284-G284)*'Assumptions and Catalog'!$H$54+'Assumptions and Catalog'!$E$54+'Assumptions and Catalog'!$F$54,IF(((D284+E284)*C284-G284)&lt;='Assumptions and Catalog'!$C$55,((D284+E284)*C284-G284)*'Assumptions and Catalog'!$H$55+'Assumptions and Catalog'!$E$55+'Assumptions and Catalog'!$F$55,IF(((D284+E284)*C284-G284)&lt;='Assumptions and Catalog'!$C$56,((D284+E284)*C284-G284)*'Assumptions and Catalog'!$H$56+'Assumptions and Catalog'!$E$56+'Assumptions and Catalog'!$F$56,IF(((D284+E284)*C284-G284)&lt;='Assumptions and Catalog'!$C$57,((D284+E284)*C284-G284)*'Assumptions and Catalog'!$H$57+'Assumptions and Catalog'!$E$57+'Assumptions and Catalog'!$F$57,"Out of range")))))))),IF(((D284+E284)*C284-G284)&lt;='Assumptions and Catalog'!$C$60,((D284+E284)*C284-G284)*'Assumptions and Catalog'!$H$60+'Assumptions and Catalog'!$E$60+'Assumptions and Catalog'!$F$60,IF(((D284+E284)*C284-G284)&lt;='Assumptions and Catalog'!$C$61,((D284+E284)*C284-G284)*'Assumptions and Catalog'!$H$61+'Assumptions and Catalog'!$E$61+'Assumptions and Catalog'!$F$61,IF(((D284+E284)*C284-G284)&lt;='Assumptions and Catalog'!$C$62,((D284+E284)*C284-G284)*'Assumptions and Catalog'!$H$62+'Assumptions and Catalog'!$E$62+'Assumptions and Catalog'!$F$62,IF(((D284+E284)*C284-G284)&lt;='Assumptions and Catalog'!$C$63,((D284+E284)*C284-G284)*'Assumptions and Catalog'!$H$63+'Assumptions and Catalog'!$E$63+'Assumptions and Catalog'!$F$63,IF(((D284+E284)*C284-G284)&lt;='Assumptions and Catalog'!$C$64,((D284+E284)*C284-G284)*'Assumptions and Catalog'!$H$64+'Assumptions and Catalog'!$E$64+'Assumptions and Catalog'!$F$64,IF(((D284+E284)*C284-G284)&lt;='Assumptions and Catalog'!$C$65,((D284+E284)*C284-G284)*'Assumptions and Catalog'!$H$65+'Assumptions and Catalog'!$E$65+'Assumptions and Catalog'!$F$65,"Out of range")))))))))*(1+'Assumptions and Catalog'!$C$8)^(A284-1),0)</f>
        <v>3453.61</v>
      </c>
      <c r="R284" s="5" t="n">
        <f>IF(AND('Assumptions and Catalog'!$C$19&gt;0,A284&gt;='Assumptions and Catalog'!$C$19),A284-'Assumptions and Catalog'!$C$19,A284-1)</f>
        <v>0</v>
      </c>
      <c r="S284" s="5" t="n">
        <f>F284+L284-(D284+E284)*C284-J284-K284-0</f>
        <v>0</v>
      </c>
      <c r="T284" s="5"/>
      <c r="U284" s="5"/>
    </row>
    <row r="285" ht="23.100000381469727" customHeight="1">
      <c r="A285" s="5" t="n">
        <v>11</v>
      </c>
      <c r="B285" s="5" t="n">
        <v>5</v>
      </c>
      <c r="C285" s="5" t="n">
        <f>DAY(DATE('Assumptions and Catalog'!$C$24+A285-1,B285+1,0))</f>
        <v>31</v>
      </c>
      <c r="D285" s="5" t="n">
        <f>IF(ISNUMBER(Inputs!$L$5),Inputs!$L$5*Inputs!$L$6,0)</f>
        <v>40.35</v>
      </c>
      <c r="E285" s="5" t="n">
        <f>IF(ISNUMBER(Inputs!$L$5),Inputs!$L$5-D285,0)</f>
        <v>40.35</v>
      </c>
      <c r="F285" s="5" t="n">
        <f>C$51*INDEX('Solar Production'!$D$20:$D$31,B285)*C285*(1-'Assumptions and Catalog'!$C$10)^(A285-1)</f>
        <v>1361.92883577864</v>
      </c>
      <c r="G285" s="5" t="n">
        <f>MIN(F285,D285*C285)</f>
        <v>1250.85</v>
      </c>
      <c r="H285" s="5" t="n">
        <f>I285/('Assumptions and Catalog'!$C$11*'Assumptions and Catalog'!$C$12)</f>
        <v>0</v>
      </c>
      <c r="I285" s="5" t="n">
        <f>0</f>
        <v>0</v>
      </c>
      <c r="J285" s="5" t="n">
        <f>MAX(F285-G285-H285,0)</f>
        <v>111.078835778636</v>
      </c>
      <c r="K285" s="5" t="n">
        <f>H285-I285</f>
        <v>0</v>
      </c>
      <c r="L285" s="5" t="n">
        <f>(D285+E285)*C285-G285-I285+0+0</f>
        <v>1250.85</v>
      </c>
      <c r="M285" s="5" t="n">
        <f>IF(ISNUMBER(Inputs!$L$5),(IF(Inputs!$L$9="Actual flat rate",((D285+E285)*C285)*Inputs!$L$10,IF(Inputs!$C$9="Residential",IF(((D285+E285)*C285)&lt;='Assumptions and Catalog'!$C$50,((D285+E285)*C285)*'Assumptions and Catalog'!$H$50+'Assumptions and Catalog'!$E$50+'Assumptions and Catalog'!$F$50,IF(((D285+E285)*C285)&lt;='Assumptions and Catalog'!$C$51,((D285+E285)*C285)*'Assumptions and Catalog'!$H$51+'Assumptions and Catalog'!$E$51+'Assumptions and Catalog'!$F$51,IF(((D285+E285)*C285)&lt;='Assumptions and Catalog'!$C$52,((D285+E285)*C285)*'Assumptions and Catalog'!$H$52+'Assumptions and Catalog'!$E$52+'Assumptions and Catalog'!$F$52,IF(((D285+E285)*C285)&lt;='Assumptions and Catalog'!$C$53,((D285+E285)*C285)*'Assumptions and Catalog'!$H$53+'Assumptions and Catalog'!$E$53+'Assumptions and Catalog'!$F$53,IF(((D285+E285)*C285)&lt;='Assumptions and Catalog'!$C$54,((D285+E285)*C285)*'Assumptions and Catalog'!$H$54+'Assumptions and Catalog'!$E$54+'Assumptions and Catalog'!$F$54,IF(((D285+E285)*C285)&lt;='Assumptions and Catalog'!$C$55,((D285+E285)*C285)*'Assumptions and Catalog'!$H$55+'Assumptions and Catalog'!$E$55+'Assumptions and Catalog'!$F$55,IF(((D285+E285)*C285)&lt;='Assumptions and Catalog'!$C$56,((D285+E285)*C285)*'Assumptions and Catalog'!$H$56+'Assumptions and Catalog'!$E$56+'Assumptions and Catalog'!$F$56,IF(((D285+E285)*C285)&lt;='Assumptions and Catalog'!$C$57,((D285+E285)*C285)*'Assumptions and Catalog'!$H$57+'Assumptions and Catalog'!$E$57+'Assumptions and Catalog'!$F$57,"Out of range")))))))),IF(((D285+E285)*C285)&lt;='Assumptions and Catalog'!$C$60,((D285+E285)*C285)*'Assumptions and Catalog'!$H$60+'Assumptions and Catalog'!$E$60+'Assumptions and Catalog'!$F$60,IF(((D285+E285)*C285)&lt;='Assumptions and Catalog'!$C$61,((D285+E285)*C285)*'Assumptions and Catalog'!$H$61+'Assumptions and Catalog'!$E$61+'Assumptions and Catalog'!$F$61,IF(((D285+E285)*C285)&lt;='Assumptions and Catalog'!$C$62,((D285+E285)*C285)*'Assumptions and Catalog'!$H$62+'Assumptions and Catalog'!$E$62+'Assumptions and Catalog'!$F$62,IF(((D285+E285)*C285)&lt;='Assumptions and Catalog'!$C$63,((D285+E285)*C285)*'Assumptions and Catalog'!$H$63+'Assumptions and Catalog'!$E$63+'Assumptions and Catalog'!$F$63,IF(((D285+E285)*C285)&lt;='Assumptions and Catalog'!$C$64,((D285+E285)*C285)*'Assumptions and Catalog'!$H$64+'Assumptions and Catalog'!$E$64+'Assumptions and Catalog'!$F$64,IF(((D285+E285)*C285)&lt;='Assumptions and Catalog'!$C$65,((D285+E285)*C285)*'Assumptions and Catalog'!$H$65+'Assumptions and Catalog'!$E$65+'Assumptions and Catalog'!$F$65,"Out of range")))))))))*(1+'Assumptions and Catalog'!$C$8)^(A285-1),0)</f>
        <v>7094.794</v>
      </c>
      <c r="N285" s="5" t="n">
        <f>IF(ISNUMBER(Inputs!$L$5),(IF(Inputs!$L$9="Actual flat rate",L285*Inputs!$L$10,IF(Inputs!$C$9="Residential",IF(L285&lt;='Assumptions and Catalog'!$C$50,L285*'Assumptions and Catalog'!$H$50+'Assumptions and Catalog'!$E$50+'Assumptions and Catalog'!$F$50,IF(L285&lt;='Assumptions and Catalog'!$C$51,L285*'Assumptions and Catalog'!$H$51+'Assumptions and Catalog'!$E$51+'Assumptions and Catalog'!$F$51,IF(L285&lt;='Assumptions and Catalog'!$C$52,L285*'Assumptions and Catalog'!$H$52+'Assumptions and Catalog'!$E$52+'Assumptions and Catalog'!$F$52,IF(L285&lt;='Assumptions and Catalog'!$C$53,L285*'Assumptions and Catalog'!$H$53+'Assumptions and Catalog'!$E$53+'Assumptions and Catalog'!$F$53,IF(L285&lt;='Assumptions and Catalog'!$C$54,L285*'Assumptions and Catalog'!$H$54+'Assumptions and Catalog'!$E$54+'Assumptions and Catalog'!$F$54,IF(L285&lt;='Assumptions and Catalog'!$C$55,L285*'Assumptions and Catalog'!$H$55+'Assumptions and Catalog'!$E$55+'Assumptions and Catalog'!$F$55,IF(L285&lt;='Assumptions and Catalog'!$C$56,L285*'Assumptions and Catalog'!$H$56+'Assumptions and Catalog'!$E$56+'Assumptions and Catalog'!$F$56,IF(L285&lt;='Assumptions and Catalog'!$C$57,L285*'Assumptions and Catalog'!$H$57+'Assumptions and Catalog'!$E$57+'Assumptions and Catalog'!$F$57,"Out of range")))))))),IF(L285&lt;='Assumptions and Catalog'!$C$60,L285*'Assumptions and Catalog'!$H$60+'Assumptions and Catalog'!$E$60+'Assumptions and Catalog'!$F$60,IF(L285&lt;='Assumptions and Catalog'!$C$61,L285*'Assumptions and Catalog'!$H$61+'Assumptions and Catalog'!$E$61+'Assumptions and Catalog'!$F$61,IF(L285&lt;='Assumptions and Catalog'!$C$62,L285*'Assumptions and Catalog'!$H$62+'Assumptions and Catalog'!$E$62+'Assumptions and Catalog'!$F$62,IF(L285&lt;='Assumptions and Catalog'!$C$63,L285*'Assumptions and Catalog'!$H$63+'Assumptions and Catalog'!$E$63+'Assumptions and Catalog'!$F$63,IF(L285&lt;='Assumptions and Catalog'!$C$64,L285*'Assumptions and Catalog'!$H$64+'Assumptions and Catalog'!$E$64+'Assumptions and Catalog'!$F$64,IF(L285&lt;='Assumptions and Catalog'!$C$65,L285*'Assumptions and Catalog'!$H$65+'Assumptions and Catalog'!$E$65+'Assumptions and Catalog'!$F$65,"Out of range")))))))))*(1+'Assumptions and Catalog'!$C$8)^(A285-1),0)</f>
        <v>3567.397</v>
      </c>
      <c r="O285" s="5" t="n">
        <f>M285-N285</f>
        <v>3527.397</v>
      </c>
      <c r="P285" s="5" t="n">
        <f>C$55*(1-J$14)*(1-'Assumptions and Catalog'!$C$23)^R285</f>
        <v>0</v>
      </c>
      <c r="Q285" s="5" t="n">
        <f>IF(ISNUMBER(Inputs!$L$5),(IF(Inputs!$L$9="Actual flat rate",((D285+E285)*C285-G285)*Inputs!$L$10,IF(Inputs!$C$9="Residential",IF(((D285+E285)*C285-G285)&lt;='Assumptions and Catalog'!$C$50,((D285+E285)*C285-G285)*'Assumptions and Catalog'!$H$50+'Assumptions and Catalog'!$E$50+'Assumptions and Catalog'!$F$50,IF(((D285+E285)*C285-G285)&lt;='Assumptions and Catalog'!$C$51,((D285+E285)*C285-G285)*'Assumptions and Catalog'!$H$51+'Assumptions and Catalog'!$E$51+'Assumptions and Catalog'!$F$51,IF(((D285+E285)*C285-G285)&lt;='Assumptions and Catalog'!$C$52,((D285+E285)*C285-G285)*'Assumptions and Catalog'!$H$52+'Assumptions and Catalog'!$E$52+'Assumptions and Catalog'!$F$52,IF(((D285+E285)*C285-G285)&lt;='Assumptions and Catalog'!$C$53,((D285+E285)*C285-G285)*'Assumptions and Catalog'!$H$53+'Assumptions and Catalog'!$E$53+'Assumptions and Catalog'!$F$53,IF(((D285+E285)*C285-G285)&lt;='Assumptions and Catalog'!$C$54,((D285+E285)*C285-G285)*'Assumptions and Catalog'!$H$54+'Assumptions and Catalog'!$E$54+'Assumptions and Catalog'!$F$54,IF(((D285+E285)*C285-G285)&lt;='Assumptions and Catalog'!$C$55,((D285+E285)*C285-G285)*'Assumptions and Catalog'!$H$55+'Assumptions and Catalog'!$E$55+'Assumptions and Catalog'!$F$55,IF(((D285+E285)*C285-G285)&lt;='Assumptions and Catalog'!$C$56,((D285+E285)*C285-G285)*'Assumptions and Catalog'!$H$56+'Assumptions and Catalog'!$E$56+'Assumptions and Catalog'!$F$56,IF(((D285+E285)*C285-G285)&lt;='Assumptions and Catalog'!$C$57,((D285+E285)*C285-G285)*'Assumptions and Catalog'!$H$57+'Assumptions and Catalog'!$E$57+'Assumptions and Catalog'!$F$57,"Out of range")))))))),IF(((D285+E285)*C285-G285)&lt;='Assumptions and Catalog'!$C$60,((D285+E285)*C285-G285)*'Assumptions and Catalog'!$H$60+'Assumptions and Catalog'!$E$60+'Assumptions and Catalog'!$F$60,IF(((D285+E285)*C285-G285)&lt;='Assumptions and Catalog'!$C$61,((D285+E285)*C285-G285)*'Assumptions and Catalog'!$H$61+'Assumptions and Catalog'!$E$61+'Assumptions and Catalog'!$F$61,IF(((D285+E285)*C285-G285)&lt;='Assumptions and Catalog'!$C$62,((D285+E285)*C285-G285)*'Assumptions and Catalog'!$H$62+'Assumptions and Catalog'!$E$62+'Assumptions and Catalog'!$F$62,IF(((D285+E285)*C285-G285)&lt;='Assumptions and Catalog'!$C$63,((D285+E285)*C285-G285)*'Assumptions and Catalog'!$H$63+'Assumptions and Catalog'!$E$63+'Assumptions and Catalog'!$F$63,IF(((D285+E285)*C285-G285)&lt;='Assumptions and Catalog'!$C$64,((D285+E285)*C285-G285)*'Assumptions and Catalog'!$H$64+'Assumptions and Catalog'!$E$64+'Assumptions and Catalog'!$F$64,IF(((D285+E285)*C285-G285)&lt;='Assumptions and Catalog'!$C$65,((D285+E285)*C285-G285)*'Assumptions and Catalog'!$H$65+'Assumptions and Catalog'!$E$65+'Assumptions and Catalog'!$F$65,"Out of range")))))))))*(1+'Assumptions and Catalog'!$C$8)^(A285-1),0)</f>
        <v>3567.397</v>
      </c>
      <c r="R285" s="5" t="n">
        <f>IF(AND('Assumptions and Catalog'!$C$19&gt;0,A285&gt;='Assumptions and Catalog'!$C$19),A285-'Assumptions and Catalog'!$C$19,A285-1)</f>
        <v>0</v>
      </c>
      <c r="S285" s="5" t="n">
        <f>F285+L285-(D285+E285)*C285-J285-K285-0</f>
        <v>0</v>
      </c>
      <c r="T285" s="5"/>
      <c r="U285" s="5"/>
    </row>
    <row r="286" ht="23.100000381469727" customHeight="1">
      <c r="A286" s="5" t="n">
        <v>11</v>
      </c>
      <c r="B286" s="5" t="n">
        <v>6</v>
      </c>
      <c r="C286" s="5" t="n">
        <f>DAY(DATE('Assumptions and Catalog'!$C$24+A286-1,B286+1,0))</f>
        <v>30</v>
      </c>
      <c r="D286" s="5" t="n">
        <f>IF(ISNUMBER(Inputs!$L$5),Inputs!$L$5*Inputs!$L$6,0)</f>
        <v>40.35</v>
      </c>
      <c r="E286" s="5" t="n">
        <f>IF(ISNUMBER(Inputs!$L$5),Inputs!$L$5-D286,0)</f>
        <v>40.35</v>
      </c>
      <c r="F286" s="5" t="n">
        <f>C$51*INDEX('Solar Production'!$D$20:$D$31,B286)*C286*(1-'Assumptions and Catalog'!$C$10)^(A286-1)</f>
        <v>1327.61278227143</v>
      </c>
      <c r="G286" s="5" t="n">
        <f>MIN(F286,D286*C286)</f>
        <v>1210.5</v>
      </c>
      <c r="H286" s="5" t="n">
        <f>I286/('Assumptions and Catalog'!$C$11*'Assumptions and Catalog'!$C$12)</f>
        <v>0</v>
      </c>
      <c r="I286" s="5" t="n">
        <f>0</f>
        <v>0</v>
      </c>
      <c r="J286" s="5" t="n">
        <f>MAX(F286-G286-H286,0)</f>
        <v>117.112782271431</v>
      </c>
      <c r="K286" s="5" t="n">
        <f>H286-I286</f>
        <v>0</v>
      </c>
      <c r="L286" s="5" t="n">
        <f>(D286+E286)*C286-G286-I286+0+0</f>
        <v>1210.5</v>
      </c>
      <c r="M286" s="5" t="n">
        <f>IF(ISNUMBER(Inputs!$L$5),(IF(Inputs!$L$9="Actual flat rate",((D286+E286)*C286)*Inputs!$L$10,IF(Inputs!$C$9="Residential",IF(((D286+E286)*C286)&lt;='Assumptions and Catalog'!$C$50,((D286+E286)*C286)*'Assumptions and Catalog'!$H$50+'Assumptions and Catalog'!$E$50+'Assumptions and Catalog'!$F$50,IF(((D286+E286)*C286)&lt;='Assumptions and Catalog'!$C$51,((D286+E286)*C286)*'Assumptions and Catalog'!$H$51+'Assumptions and Catalog'!$E$51+'Assumptions and Catalog'!$F$51,IF(((D286+E286)*C286)&lt;='Assumptions and Catalog'!$C$52,((D286+E286)*C286)*'Assumptions and Catalog'!$H$52+'Assumptions and Catalog'!$E$52+'Assumptions and Catalog'!$F$52,IF(((D286+E286)*C286)&lt;='Assumptions and Catalog'!$C$53,((D286+E286)*C286)*'Assumptions and Catalog'!$H$53+'Assumptions and Catalog'!$E$53+'Assumptions and Catalog'!$F$53,IF(((D286+E286)*C286)&lt;='Assumptions and Catalog'!$C$54,((D286+E286)*C286)*'Assumptions and Catalog'!$H$54+'Assumptions and Catalog'!$E$54+'Assumptions and Catalog'!$F$54,IF(((D286+E286)*C286)&lt;='Assumptions and Catalog'!$C$55,((D286+E286)*C286)*'Assumptions and Catalog'!$H$55+'Assumptions and Catalog'!$E$55+'Assumptions and Catalog'!$F$55,IF(((D286+E286)*C286)&lt;='Assumptions and Catalog'!$C$56,((D286+E286)*C286)*'Assumptions and Catalog'!$H$56+'Assumptions and Catalog'!$E$56+'Assumptions and Catalog'!$F$56,IF(((D286+E286)*C286)&lt;='Assumptions and Catalog'!$C$57,((D286+E286)*C286)*'Assumptions and Catalog'!$H$57+'Assumptions and Catalog'!$E$57+'Assumptions and Catalog'!$F$57,"Out of range")))))))),IF(((D286+E286)*C286)&lt;='Assumptions and Catalog'!$C$60,((D286+E286)*C286)*'Assumptions and Catalog'!$H$60+'Assumptions and Catalog'!$E$60+'Assumptions and Catalog'!$F$60,IF(((D286+E286)*C286)&lt;='Assumptions and Catalog'!$C$61,((D286+E286)*C286)*'Assumptions and Catalog'!$H$61+'Assumptions and Catalog'!$E$61+'Assumptions and Catalog'!$F$61,IF(((D286+E286)*C286)&lt;='Assumptions and Catalog'!$C$62,((D286+E286)*C286)*'Assumptions and Catalog'!$H$62+'Assumptions and Catalog'!$E$62+'Assumptions and Catalog'!$F$62,IF(((D286+E286)*C286)&lt;='Assumptions and Catalog'!$C$63,((D286+E286)*C286)*'Assumptions and Catalog'!$H$63+'Assumptions and Catalog'!$E$63+'Assumptions and Catalog'!$F$63,IF(((D286+E286)*C286)&lt;='Assumptions and Catalog'!$C$64,((D286+E286)*C286)*'Assumptions and Catalog'!$H$64+'Assumptions and Catalog'!$E$64+'Assumptions and Catalog'!$F$64,IF(((D286+E286)*C286)&lt;='Assumptions and Catalog'!$C$65,((D286+E286)*C286)*'Assumptions and Catalog'!$H$65+'Assumptions and Catalog'!$E$65+'Assumptions and Catalog'!$F$65,"Out of range")))))))))*(1+'Assumptions and Catalog'!$C$8)^(A286-1),0)</f>
        <v>6867.22</v>
      </c>
      <c r="N286" s="5" t="n">
        <f>IF(ISNUMBER(Inputs!$L$5),(IF(Inputs!$L$9="Actual flat rate",L286*Inputs!$L$10,IF(Inputs!$C$9="Residential",IF(L286&lt;='Assumptions and Catalog'!$C$50,L286*'Assumptions and Catalog'!$H$50+'Assumptions and Catalog'!$E$50+'Assumptions and Catalog'!$F$50,IF(L286&lt;='Assumptions and Catalog'!$C$51,L286*'Assumptions and Catalog'!$H$51+'Assumptions and Catalog'!$E$51+'Assumptions and Catalog'!$F$51,IF(L286&lt;='Assumptions and Catalog'!$C$52,L286*'Assumptions and Catalog'!$H$52+'Assumptions and Catalog'!$E$52+'Assumptions and Catalog'!$F$52,IF(L286&lt;='Assumptions and Catalog'!$C$53,L286*'Assumptions and Catalog'!$H$53+'Assumptions and Catalog'!$E$53+'Assumptions and Catalog'!$F$53,IF(L286&lt;='Assumptions and Catalog'!$C$54,L286*'Assumptions and Catalog'!$H$54+'Assumptions and Catalog'!$E$54+'Assumptions and Catalog'!$F$54,IF(L286&lt;='Assumptions and Catalog'!$C$55,L286*'Assumptions and Catalog'!$H$55+'Assumptions and Catalog'!$E$55+'Assumptions and Catalog'!$F$55,IF(L286&lt;='Assumptions and Catalog'!$C$56,L286*'Assumptions and Catalog'!$H$56+'Assumptions and Catalog'!$E$56+'Assumptions and Catalog'!$F$56,IF(L286&lt;='Assumptions and Catalog'!$C$57,L286*'Assumptions and Catalog'!$H$57+'Assumptions and Catalog'!$E$57+'Assumptions and Catalog'!$F$57,"Out of range")))))))),IF(L286&lt;='Assumptions and Catalog'!$C$60,L286*'Assumptions and Catalog'!$H$60+'Assumptions and Catalog'!$E$60+'Assumptions and Catalog'!$F$60,IF(L286&lt;='Assumptions and Catalog'!$C$61,L286*'Assumptions and Catalog'!$H$61+'Assumptions and Catalog'!$E$61+'Assumptions and Catalog'!$F$61,IF(L286&lt;='Assumptions and Catalog'!$C$62,L286*'Assumptions and Catalog'!$H$62+'Assumptions and Catalog'!$E$62+'Assumptions and Catalog'!$F$62,IF(L286&lt;='Assumptions and Catalog'!$C$63,L286*'Assumptions and Catalog'!$H$63+'Assumptions and Catalog'!$E$63+'Assumptions and Catalog'!$F$63,IF(L286&lt;='Assumptions and Catalog'!$C$64,L286*'Assumptions and Catalog'!$H$64+'Assumptions and Catalog'!$E$64+'Assumptions and Catalog'!$F$64,IF(L286&lt;='Assumptions and Catalog'!$C$65,L286*'Assumptions and Catalog'!$H$65+'Assumptions and Catalog'!$E$65+'Assumptions and Catalog'!$F$65,"Out of range")))))))))*(1+'Assumptions and Catalog'!$C$8)^(A286-1),0)</f>
        <v>3453.61</v>
      </c>
      <c r="O286" s="5" t="n">
        <f>M286-N286</f>
        <v>3413.61</v>
      </c>
      <c r="P286" s="5" t="n">
        <f>C$55*(1-J$14)*(1-'Assumptions and Catalog'!$C$23)^R286</f>
        <v>0</v>
      </c>
      <c r="Q286" s="5" t="n">
        <f>IF(ISNUMBER(Inputs!$L$5),(IF(Inputs!$L$9="Actual flat rate",((D286+E286)*C286-G286)*Inputs!$L$10,IF(Inputs!$C$9="Residential",IF(((D286+E286)*C286-G286)&lt;='Assumptions and Catalog'!$C$50,((D286+E286)*C286-G286)*'Assumptions and Catalog'!$H$50+'Assumptions and Catalog'!$E$50+'Assumptions and Catalog'!$F$50,IF(((D286+E286)*C286-G286)&lt;='Assumptions and Catalog'!$C$51,((D286+E286)*C286-G286)*'Assumptions and Catalog'!$H$51+'Assumptions and Catalog'!$E$51+'Assumptions and Catalog'!$F$51,IF(((D286+E286)*C286-G286)&lt;='Assumptions and Catalog'!$C$52,((D286+E286)*C286-G286)*'Assumptions and Catalog'!$H$52+'Assumptions and Catalog'!$E$52+'Assumptions and Catalog'!$F$52,IF(((D286+E286)*C286-G286)&lt;='Assumptions and Catalog'!$C$53,((D286+E286)*C286-G286)*'Assumptions and Catalog'!$H$53+'Assumptions and Catalog'!$E$53+'Assumptions and Catalog'!$F$53,IF(((D286+E286)*C286-G286)&lt;='Assumptions and Catalog'!$C$54,((D286+E286)*C286-G286)*'Assumptions and Catalog'!$H$54+'Assumptions and Catalog'!$E$54+'Assumptions and Catalog'!$F$54,IF(((D286+E286)*C286-G286)&lt;='Assumptions and Catalog'!$C$55,((D286+E286)*C286-G286)*'Assumptions and Catalog'!$H$55+'Assumptions and Catalog'!$E$55+'Assumptions and Catalog'!$F$55,IF(((D286+E286)*C286-G286)&lt;='Assumptions and Catalog'!$C$56,((D286+E286)*C286-G286)*'Assumptions and Catalog'!$H$56+'Assumptions and Catalog'!$E$56+'Assumptions and Catalog'!$F$56,IF(((D286+E286)*C286-G286)&lt;='Assumptions and Catalog'!$C$57,((D286+E286)*C286-G286)*'Assumptions and Catalog'!$H$57+'Assumptions and Catalog'!$E$57+'Assumptions and Catalog'!$F$57,"Out of range")))))))),IF(((D286+E286)*C286-G286)&lt;='Assumptions and Catalog'!$C$60,((D286+E286)*C286-G286)*'Assumptions and Catalog'!$H$60+'Assumptions and Catalog'!$E$60+'Assumptions and Catalog'!$F$60,IF(((D286+E286)*C286-G286)&lt;='Assumptions and Catalog'!$C$61,((D286+E286)*C286-G286)*'Assumptions and Catalog'!$H$61+'Assumptions and Catalog'!$E$61+'Assumptions and Catalog'!$F$61,IF(((D286+E286)*C286-G286)&lt;='Assumptions and Catalog'!$C$62,((D286+E286)*C286-G286)*'Assumptions and Catalog'!$H$62+'Assumptions and Catalog'!$E$62+'Assumptions and Catalog'!$F$62,IF(((D286+E286)*C286-G286)&lt;='Assumptions and Catalog'!$C$63,((D286+E286)*C286-G286)*'Assumptions and Catalog'!$H$63+'Assumptions and Catalog'!$E$63+'Assumptions and Catalog'!$F$63,IF(((D286+E286)*C286-G286)&lt;='Assumptions and Catalog'!$C$64,((D286+E286)*C286-G286)*'Assumptions and Catalog'!$H$64+'Assumptions and Catalog'!$E$64+'Assumptions and Catalog'!$F$64,IF(((D286+E286)*C286-G286)&lt;='Assumptions and Catalog'!$C$65,((D286+E286)*C286-G286)*'Assumptions and Catalog'!$H$65+'Assumptions and Catalog'!$E$65+'Assumptions and Catalog'!$F$65,"Out of range")))))))))*(1+'Assumptions and Catalog'!$C$8)^(A286-1),0)</f>
        <v>3453.61</v>
      </c>
      <c r="R286" s="5" t="n">
        <f>IF(AND('Assumptions and Catalog'!$C$19&gt;0,A286&gt;='Assumptions and Catalog'!$C$19),A286-'Assumptions and Catalog'!$C$19,A286-1)</f>
        <v>0</v>
      </c>
      <c r="S286" s="5" t="n">
        <f>F286+L286-(D286+E286)*C286-J286-K286-0</f>
        <v>0</v>
      </c>
      <c r="T286" s="5"/>
      <c r="U286" s="5"/>
    </row>
    <row r="287" ht="23.100000381469727" customHeight="1">
      <c r="A287" s="5" t="n">
        <v>11</v>
      </c>
      <c r="B287" s="5" t="n">
        <v>7</v>
      </c>
      <c r="C287" s="5" t="n">
        <f>DAY(DATE('Assumptions and Catalog'!$C$24+A287-1,B287+1,0))</f>
        <v>31</v>
      </c>
      <c r="D287" s="5" t="n">
        <f>IF(ISNUMBER(Inputs!$L$5),Inputs!$L$5*Inputs!$L$6,0)</f>
        <v>40.35</v>
      </c>
      <c r="E287" s="5" t="n">
        <f>IF(ISNUMBER(Inputs!$L$5),Inputs!$L$5-D287,0)</f>
        <v>40.35</v>
      </c>
      <c r="F287" s="5" t="n">
        <f>C$51*INDEX('Solar Production'!$D$20:$D$31,B287)*C287*(1-'Assumptions and Catalog'!$C$10)^(A287-1)</f>
        <v>1378.16618792595</v>
      </c>
      <c r="G287" s="5" t="n">
        <f>MIN(F287,D287*C287)</f>
        <v>1250.85</v>
      </c>
      <c r="H287" s="5" t="n">
        <f>I287/('Assumptions and Catalog'!$C$11*'Assumptions and Catalog'!$C$12)</f>
        <v>0</v>
      </c>
      <c r="I287" s="5" t="n">
        <f>0</f>
        <v>0</v>
      </c>
      <c r="J287" s="5" t="n">
        <f>MAX(F287-G287-H287,0)</f>
        <v>127.316187925947</v>
      </c>
      <c r="K287" s="5" t="n">
        <f>H287-I287</f>
        <v>0</v>
      </c>
      <c r="L287" s="5" t="n">
        <f>(D287+E287)*C287-G287-I287+0+0</f>
        <v>1250.85</v>
      </c>
      <c r="M287" s="5" t="n">
        <f>IF(ISNUMBER(Inputs!$L$5),(IF(Inputs!$L$9="Actual flat rate",((D287+E287)*C287)*Inputs!$L$10,IF(Inputs!$C$9="Residential",IF(((D287+E287)*C287)&lt;='Assumptions and Catalog'!$C$50,((D287+E287)*C287)*'Assumptions and Catalog'!$H$50+'Assumptions and Catalog'!$E$50+'Assumptions and Catalog'!$F$50,IF(((D287+E287)*C287)&lt;='Assumptions and Catalog'!$C$51,((D287+E287)*C287)*'Assumptions and Catalog'!$H$51+'Assumptions and Catalog'!$E$51+'Assumptions and Catalog'!$F$51,IF(((D287+E287)*C287)&lt;='Assumptions and Catalog'!$C$52,((D287+E287)*C287)*'Assumptions and Catalog'!$H$52+'Assumptions and Catalog'!$E$52+'Assumptions and Catalog'!$F$52,IF(((D287+E287)*C287)&lt;='Assumptions and Catalog'!$C$53,((D287+E287)*C287)*'Assumptions and Catalog'!$H$53+'Assumptions and Catalog'!$E$53+'Assumptions and Catalog'!$F$53,IF(((D287+E287)*C287)&lt;='Assumptions and Catalog'!$C$54,((D287+E287)*C287)*'Assumptions and Catalog'!$H$54+'Assumptions and Catalog'!$E$54+'Assumptions and Catalog'!$F$54,IF(((D287+E287)*C287)&lt;='Assumptions and Catalog'!$C$55,((D287+E287)*C287)*'Assumptions and Catalog'!$H$55+'Assumptions and Catalog'!$E$55+'Assumptions and Catalog'!$F$55,IF(((D287+E287)*C287)&lt;='Assumptions and Catalog'!$C$56,((D287+E287)*C287)*'Assumptions and Catalog'!$H$56+'Assumptions and Catalog'!$E$56+'Assumptions and Catalog'!$F$56,IF(((D287+E287)*C287)&lt;='Assumptions and Catalog'!$C$57,((D287+E287)*C287)*'Assumptions and Catalog'!$H$57+'Assumptions and Catalog'!$E$57+'Assumptions and Catalog'!$F$57,"Out of range")))))))),IF(((D287+E287)*C287)&lt;='Assumptions and Catalog'!$C$60,((D287+E287)*C287)*'Assumptions and Catalog'!$H$60+'Assumptions and Catalog'!$E$60+'Assumptions and Catalog'!$F$60,IF(((D287+E287)*C287)&lt;='Assumptions and Catalog'!$C$61,((D287+E287)*C287)*'Assumptions and Catalog'!$H$61+'Assumptions and Catalog'!$E$61+'Assumptions and Catalog'!$F$61,IF(((D287+E287)*C287)&lt;='Assumptions and Catalog'!$C$62,((D287+E287)*C287)*'Assumptions and Catalog'!$H$62+'Assumptions and Catalog'!$E$62+'Assumptions and Catalog'!$F$62,IF(((D287+E287)*C287)&lt;='Assumptions and Catalog'!$C$63,((D287+E287)*C287)*'Assumptions and Catalog'!$H$63+'Assumptions and Catalog'!$E$63+'Assumptions and Catalog'!$F$63,IF(((D287+E287)*C287)&lt;='Assumptions and Catalog'!$C$64,((D287+E287)*C287)*'Assumptions and Catalog'!$H$64+'Assumptions and Catalog'!$E$64+'Assumptions and Catalog'!$F$64,IF(((D287+E287)*C287)&lt;='Assumptions and Catalog'!$C$65,((D287+E287)*C287)*'Assumptions and Catalog'!$H$65+'Assumptions and Catalog'!$E$65+'Assumptions and Catalog'!$F$65,"Out of range")))))))))*(1+'Assumptions and Catalog'!$C$8)^(A287-1),0)</f>
        <v>7094.794</v>
      </c>
      <c r="N287" s="5" t="n">
        <f>IF(ISNUMBER(Inputs!$L$5),(IF(Inputs!$L$9="Actual flat rate",L287*Inputs!$L$10,IF(Inputs!$C$9="Residential",IF(L287&lt;='Assumptions and Catalog'!$C$50,L287*'Assumptions and Catalog'!$H$50+'Assumptions and Catalog'!$E$50+'Assumptions and Catalog'!$F$50,IF(L287&lt;='Assumptions and Catalog'!$C$51,L287*'Assumptions and Catalog'!$H$51+'Assumptions and Catalog'!$E$51+'Assumptions and Catalog'!$F$51,IF(L287&lt;='Assumptions and Catalog'!$C$52,L287*'Assumptions and Catalog'!$H$52+'Assumptions and Catalog'!$E$52+'Assumptions and Catalog'!$F$52,IF(L287&lt;='Assumptions and Catalog'!$C$53,L287*'Assumptions and Catalog'!$H$53+'Assumptions and Catalog'!$E$53+'Assumptions and Catalog'!$F$53,IF(L287&lt;='Assumptions and Catalog'!$C$54,L287*'Assumptions and Catalog'!$H$54+'Assumptions and Catalog'!$E$54+'Assumptions and Catalog'!$F$54,IF(L287&lt;='Assumptions and Catalog'!$C$55,L287*'Assumptions and Catalog'!$H$55+'Assumptions and Catalog'!$E$55+'Assumptions and Catalog'!$F$55,IF(L287&lt;='Assumptions and Catalog'!$C$56,L287*'Assumptions and Catalog'!$H$56+'Assumptions and Catalog'!$E$56+'Assumptions and Catalog'!$F$56,IF(L287&lt;='Assumptions and Catalog'!$C$57,L287*'Assumptions and Catalog'!$H$57+'Assumptions and Catalog'!$E$57+'Assumptions and Catalog'!$F$57,"Out of range")))))))),IF(L287&lt;='Assumptions and Catalog'!$C$60,L287*'Assumptions and Catalog'!$H$60+'Assumptions and Catalog'!$E$60+'Assumptions and Catalog'!$F$60,IF(L287&lt;='Assumptions and Catalog'!$C$61,L287*'Assumptions and Catalog'!$H$61+'Assumptions and Catalog'!$E$61+'Assumptions and Catalog'!$F$61,IF(L287&lt;='Assumptions and Catalog'!$C$62,L287*'Assumptions and Catalog'!$H$62+'Assumptions and Catalog'!$E$62+'Assumptions and Catalog'!$F$62,IF(L287&lt;='Assumptions and Catalog'!$C$63,L287*'Assumptions and Catalog'!$H$63+'Assumptions and Catalog'!$E$63+'Assumptions and Catalog'!$F$63,IF(L287&lt;='Assumptions and Catalog'!$C$64,L287*'Assumptions and Catalog'!$H$64+'Assumptions and Catalog'!$E$64+'Assumptions and Catalog'!$F$64,IF(L287&lt;='Assumptions and Catalog'!$C$65,L287*'Assumptions and Catalog'!$H$65+'Assumptions and Catalog'!$E$65+'Assumptions and Catalog'!$F$65,"Out of range")))))))))*(1+'Assumptions and Catalog'!$C$8)^(A287-1),0)</f>
        <v>3567.397</v>
      </c>
      <c r="O287" s="5" t="n">
        <f>M287-N287</f>
        <v>3527.397</v>
      </c>
      <c r="P287" s="5" t="n">
        <f>C$55*(1-J$14)*(1-'Assumptions and Catalog'!$C$23)^R287</f>
        <v>0</v>
      </c>
      <c r="Q287" s="5" t="n">
        <f>IF(ISNUMBER(Inputs!$L$5),(IF(Inputs!$L$9="Actual flat rate",((D287+E287)*C287-G287)*Inputs!$L$10,IF(Inputs!$C$9="Residential",IF(((D287+E287)*C287-G287)&lt;='Assumptions and Catalog'!$C$50,((D287+E287)*C287-G287)*'Assumptions and Catalog'!$H$50+'Assumptions and Catalog'!$E$50+'Assumptions and Catalog'!$F$50,IF(((D287+E287)*C287-G287)&lt;='Assumptions and Catalog'!$C$51,((D287+E287)*C287-G287)*'Assumptions and Catalog'!$H$51+'Assumptions and Catalog'!$E$51+'Assumptions and Catalog'!$F$51,IF(((D287+E287)*C287-G287)&lt;='Assumptions and Catalog'!$C$52,((D287+E287)*C287-G287)*'Assumptions and Catalog'!$H$52+'Assumptions and Catalog'!$E$52+'Assumptions and Catalog'!$F$52,IF(((D287+E287)*C287-G287)&lt;='Assumptions and Catalog'!$C$53,((D287+E287)*C287-G287)*'Assumptions and Catalog'!$H$53+'Assumptions and Catalog'!$E$53+'Assumptions and Catalog'!$F$53,IF(((D287+E287)*C287-G287)&lt;='Assumptions and Catalog'!$C$54,((D287+E287)*C287-G287)*'Assumptions and Catalog'!$H$54+'Assumptions and Catalog'!$E$54+'Assumptions and Catalog'!$F$54,IF(((D287+E287)*C287-G287)&lt;='Assumptions and Catalog'!$C$55,((D287+E287)*C287-G287)*'Assumptions and Catalog'!$H$55+'Assumptions and Catalog'!$E$55+'Assumptions and Catalog'!$F$55,IF(((D287+E287)*C287-G287)&lt;='Assumptions and Catalog'!$C$56,((D287+E287)*C287-G287)*'Assumptions and Catalog'!$H$56+'Assumptions and Catalog'!$E$56+'Assumptions and Catalog'!$F$56,IF(((D287+E287)*C287-G287)&lt;='Assumptions and Catalog'!$C$57,((D287+E287)*C287-G287)*'Assumptions and Catalog'!$H$57+'Assumptions and Catalog'!$E$57+'Assumptions and Catalog'!$F$57,"Out of range")))))))),IF(((D287+E287)*C287-G287)&lt;='Assumptions and Catalog'!$C$60,((D287+E287)*C287-G287)*'Assumptions and Catalog'!$H$60+'Assumptions and Catalog'!$E$60+'Assumptions and Catalog'!$F$60,IF(((D287+E287)*C287-G287)&lt;='Assumptions and Catalog'!$C$61,((D287+E287)*C287-G287)*'Assumptions and Catalog'!$H$61+'Assumptions and Catalog'!$E$61+'Assumptions and Catalog'!$F$61,IF(((D287+E287)*C287-G287)&lt;='Assumptions and Catalog'!$C$62,((D287+E287)*C287-G287)*'Assumptions and Catalog'!$H$62+'Assumptions and Catalog'!$E$62+'Assumptions and Catalog'!$F$62,IF(((D287+E287)*C287-G287)&lt;='Assumptions and Catalog'!$C$63,((D287+E287)*C287-G287)*'Assumptions and Catalog'!$H$63+'Assumptions and Catalog'!$E$63+'Assumptions and Catalog'!$F$63,IF(((D287+E287)*C287-G287)&lt;='Assumptions and Catalog'!$C$64,((D287+E287)*C287-G287)*'Assumptions and Catalog'!$H$64+'Assumptions and Catalog'!$E$64+'Assumptions and Catalog'!$F$64,IF(((D287+E287)*C287-G287)&lt;='Assumptions and Catalog'!$C$65,((D287+E287)*C287-G287)*'Assumptions and Catalog'!$H$65+'Assumptions and Catalog'!$E$65+'Assumptions and Catalog'!$F$65,"Out of range")))))))))*(1+'Assumptions and Catalog'!$C$8)^(A287-1),0)</f>
        <v>3567.397</v>
      </c>
      <c r="R287" s="5" t="n">
        <f>IF(AND('Assumptions and Catalog'!$C$19&gt;0,A287&gt;='Assumptions and Catalog'!$C$19),A287-'Assumptions and Catalog'!$C$19,A287-1)</f>
        <v>0</v>
      </c>
      <c r="S287" s="5" t="n">
        <f>F287+L287-(D287+E287)*C287-J287-K287-0</f>
        <v>0</v>
      </c>
      <c r="T287" s="5"/>
      <c r="U287" s="5"/>
    </row>
    <row r="288" ht="23.100000381469727" customHeight="1">
      <c r="A288" s="5" t="n">
        <v>11</v>
      </c>
      <c r="B288" s="5" t="n">
        <v>8</v>
      </c>
      <c r="C288" s="5" t="n">
        <f>DAY(DATE('Assumptions and Catalog'!$C$24+A288-1,B288+1,0))</f>
        <v>31</v>
      </c>
      <c r="D288" s="5" t="n">
        <f>IF(ISNUMBER(Inputs!$L$5),Inputs!$L$5*Inputs!$L$6,0)</f>
        <v>40.35</v>
      </c>
      <c r="E288" s="5" t="n">
        <f>IF(ISNUMBER(Inputs!$L$5),Inputs!$L$5-D288,0)</f>
        <v>40.35</v>
      </c>
      <c r="F288" s="5" t="n">
        <f>C$51*INDEX('Solar Production'!$D$20:$D$31,B288)*C288*(1-'Assumptions and Catalog'!$C$10)^(A288-1)</f>
        <v>1396.07749390288</v>
      </c>
      <c r="G288" s="5" t="n">
        <f>MIN(F288,D288*C288)</f>
        <v>1250.85</v>
      </c>
      <c r="H288" s="5" t="n">
        <f>I288/('Assumptions and Catalog'!$C$11*'Assumptions and Catalog'!$C$12)</f>
        <v>0</v>
      </c>
      <c r="I288" s="5" t="n">
        <f>0</f>
        <v>0</v>
      </c>
      <c r="J288" s="5" t="n">
        <f>MAX(F288-G288-H288,0)</f>
        <v>145.227493902879</v>
      </c>
      <c r="K288" s="5" t="n">
        <f>H288-I288</f>
        <v>0</v>
      </c>
      <c r="L288" s="5" t="n">
        <f>(D288+E288)*C288-G288-I288+0+0</f>
        <v>1250.85</v>
      </c>
      <c r="M288" s="5" t="n">
        <f>IF(ISNUMBER(Inputs!$L$5),(IF(Inputs!$L$9="Actual flat rate",((D288+E288)*C288)*Inputs!$L$10,IF(Inputs!$C$9="Residential",IF(((D288+E288)*C288)&lt;='Assumptions and Catalog'!$C$50,((D288+E288)*C288)*'Assumptions and Catalog'!$H$50+'Assumptions and Catalog'!$E$50+'Assumptions and Catalog'!$F$50,IF(((D288+E288)*C288)&lt;='Assumptions and Catalog'!$C$51,((D288+E288)*C288)*'Assumptions and Catalog'!$H$51+'Assumptions and Catalog'!$E$51+'Assumptions and Catalog'!$F$51,IF(((D288+E288)*C288)&lt;='Assumptions and Catalog'!$C$52,((D288+E288)*C288)*'Assumptions and Catalog'!$H$52+'Assumptions and Catalog'!$E$52+'Assumptions and Catalog'!$F$52,IF(((D288+E288)*C288)&lt;='Assumptions and Catalog'!$C$53,((D288+E288)*C288)*'Assumptions and Catalog'!$H$53+'Assumptions and Catalog'!$E$53+'Assumptions and Catalog'!$F$53,IF(((D288+E288)*C288)&lt;='Assumptions and Catalog'!$C$54,((D288+E288)*C288)*'Assumptions and Catalog'!$H$54+'Assumptions and Catalog'!$E$54+'Assumptions and Catalog'!$F$54,IF(((D288+E288)*C288)&lt;='Assumptions and Catalog'!$C$55,((D288+E288)*C288)*'Assumptions and Catalog'!$H$55+'Assumptions and Catalog'!$E$55+'Assumptions and Catalog'!$F$55,IF(((D288+E288)*C288)&lt;='Assumptions and Catalog'!$C$56,((D288+E288)*C288)*'Assumptions and Catalog'!$H$56+'Assumptions and Catalog'!$E$56+'Assumptions and Catalog'!$F$56,IF(((D288+E288)*C288)&lt;='Assumptions and Catalog'!$C$57,((D288+E288)*C288)*'Assumptions and Catalog'!$H$57+'Assumptions and Catalog'!$E$57+'Assumptions and Catalog'!$F$57,"Out of range")))))))),IF(((D288+E288)*C288)&lt;='Assumptions and Catalog'!$C$60,((D288+E288)*C288)*'Assumptions and Catalog'!$H$60+'Assumptions and Catalog'!$E$60+'Assumptions and Catalog'!$F$60,IF(((D288+E288)*C288)&lt;='Assumptions and Catalog'!$C$61,((D288+E288)*C288)*'Assumptions and Catalog'!$H$61+'Assumptions and Catalog'!$E$61+'Assumptions and Catalog'!$F$61,IF(((D288+E288)*C288)&lt;='Assumptions and Catalog'!$C$62,((D288+E288)*C288)*'Assumptions and Catalog'!$H$62+'Assumptions and Catalog'!$E$62+'Assumptions and Catalog'!$F$62,IF(((D288+E288)*C288)&lt;='Assumptions and Catalog'!$C$63,((D288+E288)*C288)*'Assumptions and Catalog'!$H$63+'Assumptions and Catalog'!$E$63+'Assumptions and Catalog'!$F$63,IF(((D288+E288)*C288)&lt;='Assumptions and Catalog'!$C$64,((D288+E288)*C288)*'Assumptions and Catalog'!$H$64+'Assumptions and Catalog'!$E$64+'Assumptions and Catalog'!$F$64,IF(((D288+E288)*C288)&lt;='Assumptions and Catalog'!$C$65,((D288+E288)*C288)*'Assumptions and Catalog'!$H$65+'Assumptions and Catalog'!$E$65+'Assumptions and Catalog'!$F$65,"Out of range")))))))))*(1+'Assumptions and Catalog'!$C$8)^(A288-1),0)</f>
        <v>7094.794</v>
      </c>
      <c r="N288" s="5" t="n">
        <f>IF(ISNUMBER(Inputs!$L$5),(IF(Inputs!$L$9="Actual flat rate",L288*Inputs!$L$10,IF(Inputs!$C$9="Residential",IF(L288&lt;='Assumptions and Catalog'!$C$50,L288*'Assumptions and Catalog'!$H$50+'Assumptions and Catalog'!$E$50+'Assumptions and Catalog'!$F$50,IF(L288&lt;='Assumptions and Catalog'!$C$51,L288*'Assumptions and Catalog'!$H$51+'Assumptions and Catalog'!$E$51+'Assumptions and Catalog'!$F$51,IF(L288&lt;='Assumptions and Catalog'!$C$52,L288*'Assumptions and Catalog'!$H$52+'Assumptions and Catalog'!$E$52+'Assumptions and Catalog'!$F$52,IF(L288&lt;='Assumptions and Catalog'!$C$53,L288*'Assumptions and Catalog'!$H$53+'Assumptions and Catalog'!$E$53+'Assumptions and Catalog'!$F$53,IF(L288&lt;='Assumptions and Catalog'!$C$54,L288*'Assumptions and Catalog'!$H$54+'Assumptions and Catalog'!$E$54+'Assumptions and Catalog'!$F$54,IF(L288&lt;='Assumptions and Catalog'!$C$55,L288*'Assumptions and Catalog'!$H$55+'Assumptions and Catalog'!$E$55+'Assumptions and Catalog'!$F$55,IF(L288&lt;='Assumptions and Catalog'!$C$56,L288*'Assumptions and Catalog'!$H$56+'Assumptions and Catalog'!$E$56+'Assumptions and Catalog'!$F$56,IF(L288&lt;='Assumptions and Catalog'!$C$57,L288*'Assumptions and Catalog'!$H$57+'Assumptions and Catalog'!$E$57+'Assumptions and Catalog'!$F$57,"Out of range")))))))),IF(L288&lt;='Assumptions and Catalog'!$C$60,L288*'Assumptions and Catalog'!$H$60+'Assumptions and Catalog'!$E$60+'Assumptions and Catalog'!$F$60,IF(L288&lt;='Assumptions and Catalog'!$C$61,L288*'Assumptions and Catalog'!$H$61+'Assumptions and Catalog'!$E$61+'Assumptions and Catalog'!$F$61,IF(L288&lt;='Assumptions and Catalog'!$C$62,L288*'Assumptions and Catalog'!$H$62+'Assumptions and Catalog'!$E$62+'Assumptions and Catalog'!$F$62,IF(L288&lt;='Assumptions and Catalog'!$C$63,L288*'Assumptions and Catalog'!$H$63+'Assumptions and Catalog'!$E$63+'Assumptions and Catalog'!$F$63,IF(L288&lt;='Assumptions and Catalog'!$C$64,L288*'Assumptions and Catalog'!$H$64+'Assumptions and Catalog'!$E$64+'Assumptions and Catalog'!$F$64,IF(L288&lt;='Assumptions and Catalog'!$C$65,L288*'Assumptions and Catalog'!$H$65+'Assumptions and Catalog'!$E$65+'Assumptions and Catalog'!$F$65,"Out of range")))))))))*(1+'Assumptions and Catalog'!$C$8)^(A288-1),0)</f>
        <v>3567.397</v>
      </c>
      <c r="O288" s="5" t="n">
        <f>M288-N288</f>
        <v>3527.397</v>
      </c>
      <c r="P288" s="5" t="n">
        <f>C$55*(1-J$14)*(1-'Assumptions and Catalog'!$C$23)^R288</f>
        <v>0</v>
      </c>
      <c r="Q288" s="5" t="n">
        <f>IF(ISNUMBER(Inputs!$L$5),(IF(Inputs!$L$9="Actual flat rate",((D288+E288)*C288-G288)*Inputs!$L$10,IF(Inputs!$C$9="Residential",IF(((D288+E288)*C288-G288)&lt;='Assumptions and Catalog'!$C$50,((D288+E288)*C288-G288)*'Assumptions and Catalog'!$H$50+'Assumptions and Catalog'!$E$50+'Assumptions and Catalog'!$F$50,IF(((D288+E288)*C288-G288)&lt;='Assumptions and Catalog'!$C$51,((D288+E288)*C288-G288)*'Assumptions and Catalog'!$H$51+'Assumptions and Catalog'!$E$51+'Assumptions and Catalog'!$F$51,IF(((D288+E288)*C288-G288)&lt;='Assumptions and Catalog'!$C$52,((D288+E288)*C288-G288)*'Assumptions and Catalog'!$H$52+'Assumptions and Catalog'!$E$52+'Assumptions and Catalog'!$F$52,IF(((D288+E288)*C288-G288)&lt;='Assumptions and Catalog'!$C$53,((D288+E288)*C288-G288)*'Assumptions and Catalog'!$H$53+'Assumptions and Catalog'!$E$53+'Assumptions and Catalog'!$F$53,IF(((D288+E288)*C288-G288)&lt;='Assumptions and Catalog'!$C$54,((D288+E288)*C288-G288)*'Assumptions and Catalog'!$H$54+'Assumptions and Catalog'!$E$54+'Assumptions and Catalog'!$F$54,IF(((D288+E288)*C288-G288)&lt;='Assumptions and Catalog'!$C$55,((D288+E288)*C288-G288)*'Assumptions and Catalog'!$H$55+'Assumptions and Catalog'!$E$55+'Assumptions and Catalog'!$F$55,IF(((D288+E288)*C288-G288)&lt;='Assumptions and Catalog'!$C$56,((D288+E288)*C288-G288)*'Assumptions and Catalog'!$H$56+'Assumptions and Catalog'!$E$56+'Assumptions and Catalog'!$F$56,IF(((D288+E288)*C288-G288)&lt;='Assumptions and Catalog'!$C$57,((D288+E288)*C288-G288)*'Assumptions and Catalog'!$H$57+'Assumptions and Catalog'!$E$57+'Assumptions and Catalog'!$F$57,"Out of range")))))))),IF(((D288+E288)*C288-G288)&lt;='Assumptions and Catalog'!$C$60,((D288+E288)*C288-G288)*'Assumptions and Catalog'!$H$60+'Assumptions and Catalog'!$E$60+'Assumptions and Catalog'!$F$60,IF(((D288+E288)*C288-G288)&lt;='Assumptions and Catalog'!$C$61,((D288+E288)*C288-G288)*'Assumptions and Catalog'!$H$61+'Assumptions and Catalog'!$E$61+'Assumptions and Catalog'!$F$61,IF(((D288+E288)*C288-G288)&lt;='Assumptions and Catalog'!$C$62,((D288+E288)*C288-G288)*'Assumptions and Catalog'!$H$62+'Assumptions and Catalog'!$E$62+'Assumptions and Catalog'!$F$62,IF(((D288+E288)*C288-G288)&lt;='Assumptions and Catalog'!$C$63,((D288+E288)*C288-G288)*'Assumptions and Catalog'!$H$63+'Assumptions and Catalog'!$E$63+'Assumptions and Catalog'!$F$63,IF(((D288+E288)*C288-G288)&lt;='Assumptions and Catalog'!$C$64,((D288+E288)*C288-G288)*'Assumptions and Catalog'!$H$64+'Assumptions and Catalog'!$E$64+'Assumptions and Catalog'!$F$64,IF(((D288+E288)*C288-G288)&lt;='Assumptions and Catalog'!$C$65,((D288+E288)*C288-G288)*'Assumptions and Catalog'!$H$65+'Assumptions and Catalog'!$E$65+'Assumptions and Catalog'!$F$65,"Out of range")))))))))*(1+'Assumptions and Catalog'!$C$8)^(A288-1),0)</f>
        <v>3567.397</v>
      </c>
      <c r="R288" s="5" t="n">
        <f>IF(AND('Assumptions and Catalog'!$C$19&gt;0,A288&gt;='Assumptions and Catalog'!$C$19),A288-'Assumptions and Catalog'!$C$19,A288-1)</f>
        <v>0</v>
      </c>
      <c r="S288" s="5" t="n">
        <f>F288+L288-(D288+E288)*C288-J288-K288-0</f>
        <v>0</v>
      </c>
      <c r="T288" s="5"/>
      <c r="U288" s="5"/>
    </row>
    <row r="289" ht="23.100000381469727" customHeight="1">
      <c r="A289" s="5" t="n">
        <v>11</v>
      </c>
      <c r="B289" s="5" t="n">
        <v>9</v>
      </c>
      <c r="C289" s="5" t="n">
        <f>DAY(DATE('Assumptions and Catalog'!$C$24+A289-1,B289+1,0))</f>
        <v>30</v>
      </c>
      <c r="D289" s="5" t="n">
        <f>IF(ISNUMBER(Inputs!$L$5),Inputs!$L$5*Inputs!$L$6,0)</f>
        <v>40.35</v>
      </c>
      <c r="E289" s="5" t="n">
        <f>IF(ISNUMBER(Inputs!$L$5),Inputs!$L$5-D289,0)</f>
        <v>40.35</v>
      </c>
      <c r="F289" s="5" t="n">
        <f>C$51*INDEX('Solar Production'!$D$20:$D$31,B289)*C289*(1-'Assumptions and Catalog'!$C$10)^(A289-1)</f>
        <v>1347.53283284391</v>
      </c>
      <c r="G289" s="5" t="n">
        <f>MIN(F289,D289*C289)</f>
        <v>1210.5</v>
      </c>
      <c r="H289" s="5" t="n">
        <f>I289/('Assumptions and Catalog'!$C$11*'Assumptions and Catalog'!$C$12)</f>
        <v>0</v>
      </c>
      <c r="I289" s="5" t="n">
        <f>0</f>
        <v>0</v>
      </c>
      <c r="J289" s="5" t="n">
        <f>MAX(F289-G289-H289,0)</f>
        <v>137.032832843905</v>
      </c>
      <c r="K289" s="5" t="n">
        <f>H289-I289</f>
        <v>0</v>
      </c>
      <c r="L289" s="5" t="n">
        <f>(D289+E289)*C289-G289-I289+0+0</f>
        <v>1210.5</v>
      </c>
      <c r="M289" s="5" t="n">
        <f>IF(ISNUMBER(Inputs!$L$5),(IF(Inputs!$L$9="Actual flat rate",((D289+E289)*C289)*Inputs!$L$10,IF(Inputs!$C$9="Residential",IF(((D289+E289)*C289)&lt;='Assumptions and Catalog'!$C$50,((D289+E289)*C289)*'Assumptions and Catalog'!$H$50+'Assumptions and Catalog'!$E$50+'Assumptions and Catalog'!$F$50,IF(((D289+E289)*C289)&lt;='Assumptions and Catalog'!$C$51,((D289+E289)*C289)*'Assumptions and Catalog'!$H$51+'Assumptions and Catalog'!$E$51+'Assumptions and Catalog'!$F$51,IF(((D289+E289)*C289)&lt;='Assumptions and Catalog'!$C$52,((D289+E289)*C289)*'Assumptions and Catalog'!$H$52+'Assumptions and Catalog'!$E$52+'Assumptions and Catalog'!$F$52,IF(((D289+E289)*C289)&lt;='Assumptions and Catalog'!$C$53,((D289+E289)*C289)*'Assumptions and Catalog'!$H$53+'Assumptions and Catalog'!$E$53+'Assumptions and Catalog'!$F$53,IF(((D289+E289)*C289)&lt;='Assumptions and Catalog'!$C$54,((D289+E289)*C289)*'Assumptions and Catalog'!$H$54+'Assumptions and Catalog'!$E$54+'Assumptions and Catalog'!$F$54,IF(((D289+E289)*C289)&lt;='Assumptions and Catalog'!$C$55,((D289+E289)*C289)*'Assumptions and Catalog'!$H$55+'Assumptions and Catalog'!$E$55+'Assumptions and Catalog'!$F$55,IF(((D289+E289)*C289)&lt;='Assumptions and Catalog'!$C$56,((D289+E289)*C289)*'Assumptions and Catalog'!$H$56+'Assumptions and Catalog'!$E$56+'Assumptions and Catalog'!$F$56,IF(((D289+E289)*C289)&lt;='Assumptions and Catalog'!$C$57,((D289+E289)*C289)*'Assumptions and Catalog'!$H$57+'Assumptions and Catalog'!$E$57+'Assumptions and Catalog'!$F$57,"Out of range")))))))),IF(((D289+E289)*C289)&lt;='Assumptions and Catalog'!$C$60,((D289+E289)*C289)*'Assumptions and Catalog'!$H$60+'Assumptions and Catalog'!$E$60+'Assumptions and Catalog'!$F$60,IF(((D289+E289)*C289)&lt;='Assumptions and Catalog'!$C$61,((D289+E289)*C289)*'Assumptions and Catalog'!$H$61+'Assumptions and Catalog'!$E$61+'Assumptions and Catalog'!$F$61,IF(((D289+E289)*C289)&lt;='Assumptions and Catalog'!$C$62,((D289+E289)*C289)*'Assumptions and Catalog'!$H$62+'Assumptions and Catalog'!$E$62+'Assumptions and Catalog'!$F$62,IF(((D289+E289)*C289)&lt;='Assumptions and Catalog'!$C$63,((D289+E289)*C289)*'Assumptions and Catalog'!$H$63+'Assumptions and Catalog'!$E$63+'Assumptions and Catalog'!$F$63,IF(((D289+E289)*C289)&lt;='Assumptions and Catalog'!$C$64,((D289+E289)*C289)*'Assumptions and Catalog'!$H$64+'Assumptions and Catalog'!$E$64+'Assumptions and Catalog'!$F$64,IF(((D289+E289)*C289)&lt;='Assumptions and Catalog'!$C$65,((D289+E289)*C289)*'Assumptions and Catalog'!$H$65+'Assumptions and Catalog'!$E$65+'Assumptions and Catalog'!$F$65,"Out of range")))))))))*(1+'Assumptions and Catalog'!$C$8)^(A289-1),0)</f>
        <v>6867.22</v>
      </c>
      <c r="N289" s="5" t="n">
        <f>IF(ISNUMBER(Inputs!$L$5),(IF(Inputs!$L$9="Actual flat rate",L289*Inputs!$L$10,IF(Inputs!$C$9="Residential",IF(L289&lt;='Assumptions and Catalog'!$C$50,L289*'Assumptions and Catalog'!$H$50+'Assumptions and Catalog'!$E$50+'Assumptions and Catalog'!$F$50,IF(L289&lt;='Assumptions and Catalog'!$C$51,L289*'Assumptions and Catalog'!$H$51+'Assumptions and Catalog'!$E$51+'Assumptions and Catalog'!$F$51,IF(L289&lt;='Assumptions and Catalog'!$C$52,L289*'Assumptions and Catalog'!$H$52+'Assumptions and Catalog'!$E$52+'Assumptions and Catalog'!$F$52,IF(L289&lt;='Assumptions and Catalog'!$C$53,L289*'Assumptions and Catalog'!$H$53+'Assumptions and Catalog'!$E$53+'Assumptions and Catalog'!$F$53,IF(L289&lt;='Assumptions and Catalog'!$C$54,L289*'Assumptions and Catalog'!$H$54+'Assumptions and Catalog'!$E$54+'Assumptions and Catalog'!$F$54,IF(L289&lt;='Assumptions and Catalog'!$C$55,L289*'Assumptions and Catalog'!$H$55+'Assumptions and Catalog'!$E$55+'Assumptions and Catalog'!$F$55,IF(L289&lt;='Assumptions and Catalog'!$C$56,L289*'Assumptions and Catalog'!$H$56+'Assumptions and Catalog'!$E$56+'Assumptions and Catalog'!$F$56,IF(L289&lt;='Assumptions and Catalog'!$C$57,L289*'Assumptions and Catalog'!$H$57+'Assumptions and Catalog'!$E$57+'Assumptions and Catalog'!$F$57,"Out of range")))))))),IF(L289&lt;='Assumptions and Catalog'!$C$60,L289*'Assumptions and Catalog'!$H$60+'Assumptions and Catalog'!$E$60+'Assumptions and Catalog'!$F$60,IF(L289&lt;='Assumptions and Catalog'!$C$61,L289*'Assumptions and Catalog'!$H$61+'Assumptions and Catalog'!$E$61+'Assumptions and Catalog'!$F$61,IF(L289&lt;='Assumptions and Catalog'!$C$62,L289*'Assumptions and Catalog'!$H$62+'Assumptions and Catalog'!$E$62+'Assumptions and Catalog'!$F$62,IF(L289&lt;='Assumptions and Catalog'!$C$63,L289*'Assumptions and Catalog'!$H$63+'Assumptions and Catalog'!$E$63+'Assumptions and Catalog'!$F$63,IF(L289&lt;='Assumptions and Catalog'!$C$64,L289*'Assumptions and Catalog'!$H$64+'Assumptions and Catalog'!$E$64+'Assumptions and Catalog'!$F$64,IF(L289&lt;='Assumptions and Catalog'!$C$65,L289*'Assumptions and Catalog'!$H$65+'Assumptions and Catalog'!$E$65+'Assumptions and Catalog'!$F$65,"Out of range")))))))))*(1+'Assumptions and Catalog'!$C$8)^(A289-1),0)</f>
        <v>3453.61</v>
      </c>
      <c r="O289" s="5" t="n">
        <f>M289-N289</f>
        <v>3413.61</v>
      </c>
      <c r="P289" s="5" t="n">
        <f>C$55*(1-J$14)*(1-'Assumptions and Catalog'!$C$23)^R289</f>
        <v>0</v>
      </c>
      <c r="Q289" s="5" t="n">
        <f>IF(ISNUMBER(Inputs!$L$5),(IF(Inputs!$L$9="Actual flat rate",((D289+E289)*C289-G289)*Inputs!$L$10,IF(Inputs!$C$9="Residential",IF(((D289+E289)*C289-G289)&lt;='Assumptions and Catalog'!$C$50,((D289+E289)*C289-G289)*'Assumptions and Catalog'!$H$50+'Assumptions and Catalog'!$E$50+'Assumptions and Catalog'!$F$50,IF(((D289+E289)*C289-G289)&lt;='Assumptions and Catalog'!$C$51,((D289+E289)*C289-G289)*'Assumptions and Catalog'!$H$51+'Assumptions and Catalog'!$E$51+'Assumptions and Catalog'!$F$51,IF(((D289+E289)*C289-G289)&lt;='Assumptions and Catalog'!$C$52,((D289+E289)*C289-G289)*'Assumptions and Catalog'!$H$52+'Assumptions and Catalog'!$E$52+'Assumptions and Catalog'!$F$52,IF(((D289+E289)*C289-G289)&lt;='Assumptions and Catalog'!$C$53,((D289+E289)*C289-G289)*'Assumptions and Catalog'!$H$53+'Assumptions and Catalog'!$E$53+'Assumptions and Catalog'!$F$53,IF(((D289+E289)*C289-G289)&lt;='Assumptions and Catalog'!$C$54,((D289+E289)*C289-G289)*'Assumptions and Catalog'!$H$54+'Assumptions and Catalog'!$E$54+'Assumptions and Catalog'!$F$54,IF(((D289+E289)*C289-G289)&lt;='Assumptions and Catalog'!$C$55,((D289+E289)*C289-G289)*'Assumptions and Catalog'!$H$55+'Assumptions and Catalog'!$E$55+'Assumptions and Catalog'!$F$55,IF(((D289+E289)*C289-G289)&lt;='Assumptions and Catalog'!$C$56,((D289+E289)*C289-G289)*'Assumptions and Catalog'!$H$56+'Assumptions and Catalog'!$E$56+'Assumptions and Catalog'!$F$56,IF(((D289+E289)*C289-G289)&lt;='Assumptions and Catalog'!$C$57,((D289+E289)*C289-G289)*'Assumptions and Catalog'!$H$57+'Assumptions and Catalog'!$E$57+'Assumptions and Catalog'!$F$57,"Out of range")))))))),IF(((D289+E289)*C289-G289)&lt;='Assumptions and Catalog'!$C$60,((D289+E289)*C289-G289)*'Assumptions and Catalog'!$H$60+'Assumptions and Catalog'!$E$60+'Assumptions and Catalog'!$F$60,IF(((D289+E289)*C289-G289)&lt;='Assumptions and Catalog'!$C$61,((D289+E289)*C289-G289)*'Assumptions and Catalog'!$H$61+'Assumptions and Catalog'!$E$61+'Assumptions and Catalog'!$F$61,IF(((D289+E289)*C289-G289)&lt;='Assumptions and Catalog'!$C$62,((D289+E289)*C289-G289)*'Assumptions and Catalog'!$H$62+'Assumptions and Catalog'!$E$62+'Assumptions and Catalog'!$F$62,IF(((D289+E289)*C289-G289)&lt;='Assumptions and Catalog'!$C$63,((D289+E289)*C289-G289)*'Assumptions and Catalog'!$H$63+'Assumptions and Catalog'!$E$63+'Assumptions and Catalog'!$F$63,IF(((D289+E289)*C289-G289)&lt;='Assumptions and Catalog'!$C$64,((D289+E289)*C289-G289)*'Assumptions and Catalog'!$H$64+'Assumptions and Catalog'!$E$64+'Assumptions and Catalog'!$F$64,IF(((D289+E289)*C289-G289)&lt;='Assumptions and Catalog'!$C$65,((D289+E289)*C289-G289)*'Assumptions and Catalog'!$H$65+'Assumptions and Catalog'!$E$65+'Assumptions and Catalog'!$F$65,"Out of range")))))))))*(1+'Assumptions and Catalog'!$C$8)^(A289-1),0)</f>
        <v>3453.61</v>
      </c>
      <c r="R289" s="5" t="n">
        <f>IF(AND('Assumptions and Catalog'!$C$19&gt;0,A289&gt;='Assumptions and Catalog'!$C$19),A289-'Assumptions and Catalog'!$C$19,A289-1)</f>
        <v>0</v>
      </c>
      <c r="S289" s="5" t="n">
        <f>F289+L289-(D289+E289)*C289-J289-K289-0</f>
        <v>0</v>
      </c>
      <c r="T289" s="5"/>
      <c r="U289" s="5"/>
    </row>
    <row r="290" ht="23.100000381469727" customHeight="1">
      <c r="A290" s="5" t="n">
        <v>11</v>
      </c>
      <c r="B290" s="5" t="n">
        <v>10</v>
      </c>
      <c r="C290" s="5" t="n">
        <f>DAY(DATE('Assumptions and Catalog'!$C$24+A290-1,B290+1,0))</f>
        <v>31</v>
      </c>
      <c r="D290" s="5" t="n">
        <f>IF(ISNUMBER(Inputs!$L$5),Inputs!$L$5*Inputs!$L$6,0)</f>
        <v>40.35</v>
      </c>
      <c r="E290" s="5" t="n">
        <f>IF(ISNUMBER(Inputs!$L$5),Inputs!$L$5-D290,0)</f>
        <v>40.35</v>
      </c>
      <c r="F290" s="5" t="n">
        <f>C$51*INDEX('Solar Production'!$D$20:$D$31,B290)*C290*(1-'Assumptions and Catalog'!$C$10)^(A290-1)</f>
        <v>1293.38042645571</v>
      </c>
      <c r="G290" s="5" t="n">
        <f>MIN(F290,D290*C290)</f>
        <v>1250.85</v>
      </c>
      <c r="H290" s="5" t="n">
        <f>I290/('Assumptions and Catalog'!$C$11*'Assumptions and Catalog'!$C$12)</f>
        <v>0</v>
      </c>
      <c r="I290" s="5" t="n">
        <f>0</f>
        <v>0</v>
      </c>
      <c r="J290" s="5" t="n">
        <f>MAX(F290-G290-H290,0)</f>
        <v>42.5304264557065</v>
      </c>
      <c r="K290" s="5" t="n">
        <f>H290-I290</f>
        <v>0</v>
      </c>
      <c r="L290" s="5" t="n">
        <f>(D290+E290)*C290-G290-I290+0+0</f>
        <v>1250.85</v>
      </c>
      <c r="M290" s="5" t="n">
        <f>IF(ISNUMBER(Inputs!$L$5),(IF(Inputs!$L$9="Actual flat rate",((D290+E290)*C290)*Inputs!$L$10,IF(Inputs!$C$9="Residential",IF(((D290+E290)*C290)&lt;='Assumptions and Catalog'!$C$50,((D290+E290)*C290)*'Assumptions and Catalog'!$H$50+'Assumptions and Catalog'!$E$50+'Assumptions and Catalog'!$F$50,IF(((D290+E290)*C290)&lt;='Assumptions and Catalog'!$C$51,((D290+E290)*C290)*'Assumptions and Catalog'!$H$51+'Assumptions and Catalog'!$E$51+'Assumptions and Catalog'!$F$51,IF(((D290+E290)*C290)&lt;='Assumptions and Catalog'!$C$52,((D290+E290)*C290)*'Assumptions and Catalog'!$H$52+'Assumptions and Catalog'!$E$52+'Assumptions and Catalog'!$F$52,IF(((D290+E290)*C290)&lt;='Assumptions and Catalog'!$C$53,((D290+E290)*C290)*'Assumptions and Catalog'!$H$53+'Assumptions and Catalog'!$E$53+'Assumptions and Catalog'!$F$53,IF(((D290+E290)*C290)&lt;='Assumptions and Catalog'!$C$54,((D290+E290)*C290)*'Assumptions and Catalog'!$H$54+'Assumptions and Catalog'!$E$54+'Assumptions and Catalog'!$F$54,IF(((D290+E290)*C290)&lt;='Assumptions and Catalog'!$C$55,((D290+E290)*C290)*'Assumptions and Catalog'!$H$55+'Assumptions and Catalog'!$E$55+'Assumptions and Catalog'!$F$55,IF(((D290+E290)*C290)&lt;='Assumptions and Catalog'!$C$56,((D290+E290)*C290)*'Assumptions and Catalog'!$H$56+'Assumptions and Catalog'!$E$56+'Assumptions and Catalog'!$F$56,IF(((D290+E290)*C290)&lt;='Assumptions and Catalog'!$C$57,((D290+E290)*C290)*'Assumptions and Catalog'!$H$57+'Assumptions and Catalog'!$E$57+'Assumptions and Catalog'!$F$57,"Out of range")))))))),IF(((D290+E290)*C290)&lt;='Assumptions and Catalog'!$C$60,((D290+E290)*C290)*'Assumptions and Catalog'!$H$60+'Assumptions and Catalog'!$E$60+'Assumptions and Catalog'!$F$60,IF(((D290+E290)*C290)&lt;='Assumptions and Catalog'!$C$61,((D290+E290)*C290)*'Assumptions and Catalog'!$H$61+'Assumptions and Catalog'!$E$61+'Assumptions and Catalog'!$F$61,IF(((D290+E290)*C290)&lt;='Assumptions and Catalog'!$C$62,((D290+E290)*C290)*'Assumptions and Catalog'!$H$62+'Assumptions and Catalog'!$E$62+'Assumptions and Catalog'!$F$62,IF(((D290+E290)*C290)&lt;='Assumptions and Catalog'!$C$63,((D290+E290)*C290)*'Assumptions and Catalog'!$H$63+'Assumptions and Catalog'!$E$63+'Assumptions and Catalog'!$F$63,IF(((D290+E290)*C290)&lt;='Assumptions and Catalog'!$C$64,((D290+E290)*C290)*'Assumptions and Catalog'!$H$64+'Assumptions and Catalog'!$E$64+'Assumptions and Catalog'!$F$64,IF(((D290+E290)*C290)&lt;='Assumptions and Catalog'!$C$65,((D290+E290)*C290)*'Assumptions and Catalog'!$H$65+'Assumptions and Catalog'!$E$65+'Assumptions and Catalog'!$F$65,"Out of range")))))))))*(1+'Assumptions and Catalog'!$C$8)^(A290-1),0)</f>
        <v>7094.794</v>
      </c>
      <c r="N290" s="5" t="n">
        <f>IF(ISNUMBER(Inputs!$L$5),(IF(Inputs!$L$9="Actual flat rate",L290*Inputs!$L$10,IF(Inputs!$C$9="Residential",IF(L290&lt;='Assumptions and Catalog'!$C$50,L290*'Assumptions and Catalog'!$H$50+'Assumptions and Catalog'!$E$50+'Assumptions and Catalog'!$F$50,IF(L290&lt;='Assumptions and Catalog'!$C$51,L290*'Assumptions and Catalog'!$H$51+'Assumptions and Catalog'!$E$51+'Assumptions and Catalog'!$F$51,IF(L290&lt;='Assumptions and Catalog'!$C$52,L290*'Assumptions and Catalog'!$H$52+'Assumptions and Catalog'!$E$52+'Assumptions and Catalog'!$F$52,IF(L290&lt;='Assumptions and Catalog'!$C$53,L290*'Assumptions and Catalog'!$H$53+'Assumptions and Catalog'!$E$53+'Assumptions and Catalog'!$F$53,IF(L290&lt;='Assumptions and Catalog'!$C$54,L290*'Assumptions and Catalog'!$H$54+'Assumptions and Catalog'!$E$54+'Assumptions and Catalog'!$F$54,IF(L290&lt;='Assumptions and Catalog'!$C$55,L290*'Assumptions and Catalog'!$H$55+'Assumptions and Catalog'!$E$55+'Assumptions and Catalog'!$F$55,IF(L290&lt;='Assumptions and Catalog'!$C$56,L290*'Assumptions and Catalog'!$H$56+'Assumptions and Catalog'!$E$56+'Assumptions and Catalog'!$F$56,IF(L290&lt;='Assumptions and Catalog'!$C$57,L290*'Assumptions and Catalog'!$H$57+'Assumptions and Catalog'!$E$57+'Assumptions and Catalog'!$F$57,"Out of range")))))))),IF(L290&lt;='Assumptions and Catalog'!$C$60,L290*'Assumptions and Catalog'!$H$60+'Assumptions and Catalog'!$E$60+'Assumptions and Catalog'!$F$60,IF(L290&lt;='Assumptions and Catalog'!$C$61,L290*'Assumptions and Catalog'!$H$61+'Assumptions and Catalog'!$E$61+'Assumptions and Catalog'!$F$61,IF(L290&lt;='Assumptions and Catalog'!$C$62,L290*'Assumptions and Catalog'!$H$62+'Assumptions and Catalog'!$E$62+'Assumptions and Catalog'!$F$62,IF(L290&lt;='Assumptions and Catalog'!$C$63,L290*'Assumptions and Catalog'!$H$63+'Assumptions and Catalog'!$E$63+'Assumptions and Catalog'!$F$63,IF(L290&lt;='Assumptions and Catalog'!$C$64,L290*'Assumptions and Catalog'!$H$64+'Assumptions and Catalog'!$E$64+'Assumptions and Catalog'!$F$64,IF(L290&lt;='Assumptions and Catalog'!$C$65,L290*'Assumptions and Catalog'!$H$65+'Assumptions and Catalog'!$E$65+'Assumptions and Catalog'!$F$65,"Out of range")))))))))*(1+'Assumptions and Catalog'!$C$8)^(A290-1),0)</f>
        <v>3567.397</v>
      </c>
      <c r="O290" s="5" t="n">
        <f>M290-N290</f>
        <v>3527.397</v>
      </c>
      <c r="P290" s="5" t="n">
        <f>C$55*(1-J$14)*(1-'Assumptions and Catalog'!$C$23)^R290</f>
        <v>0</v>
      </c>
      <c r="Q290" s="5" t="n">
        <f>IF(ISNUMBER(Inputs!$L$5),(IF(Inputs!$L$9="Actual flat rate",((D290+E290)*C290-G290)*Inputs!$L$10,IF(Inputs!$C$9="Residential",IF(((D290+E290)*C290-G290)&lt;='Assumptions and Catalog'!$C$50,((D290+E290)*C290-G290)*'Assumptions and Catalog'!$H$50+'Assumptions and Catalog'!$E$50+'Assumptions and Catalog'!$F$50,IF(((D290+E290)*C290-G290)&lt;='Assumptions and Catalog'!$C$51,((D290+E290)*C290-G290)*'Assumptions and Catalog'!$H$51+'Assumptions and Catalog'!$E$51+'Assumptions and Catalog'!$F$51,IF(((D290+E290)*C290-G290)&lt;='Assumptions and Catalog'!$C$52,((D290+E290)*C290-G290)*'Assumptions and Catalog'!$H$52+'Assumptions and Catalog'!$E$52+'Assumptions and Catalog'!$F$52,IF(((D290+E290)*C290-G290)&lt;='Assumptions and Catalog'!$C$53,((D290+E290)*C290-G290)*'Assumptions and Catalog'!$H$53+'Assumptions and Catalog'!$E$53+'Assumptions and Catalog'!$F$53,IF(((D290+E290)*C290-G290)&lt;='Assumptions and Catalog'!$C$54,((D290+E290)*C290-G290)*'Assumptions and Catalog'!$H$54+'Assumptions and Catalog'!$E$54+'Assumptions and Catalog'!$F$54,IF(((D290+E290)*C290-G290)&lt;='Assumptions and Catalog'!$C$55,((D290+E290)*C290-G290)*'Assumptions and Catalog'!$H$55+'Assumptions and Catalog'!$E$55+'Assumptions and Catalog'!$F$55,IF(((D290+E290)*C290-G290)&lt;='Assumptions and Catalog'!$C$56,((D290+E290)*C290-G290)*'Assumptions and Catalog'!$H$56+'Assumptions and Catalog'!$E$56+'Assumptions and Catalog'!$F$56,IF(((D290+E290)*C290-G290)&lt;='Assumptions and Catalog'!$C$57,((D290+E290)*C290-G290)*'Assumptions and Catalog'!$H$57+'Assumptions and Catalog'!$E$57+'Assumptions and Catalog'!$F$57,"Out of range")))))))),IF(((D290+E290)*C290-G290)&lt;='Assumptions and Catalog'!$C$60,((D290+E290)*C290-G290)*'Assumptions and Catalog'!$H$60+'Assumptions and Catalog'!$E$60+'Assumptions and Catalog'!$F$60,IF(((D290+E290)*C290-G290)&lt;='Assumptions and Catalog'!$C$61,((D290+E290)*C290-G290)*'Assumptions and Catalog'!$H$61+'Assumptions and Catalog'!$E$61+'Assumptions and Catalog'!$F$61,IF(((D290+E290)*C290-G290)&lt;='Assumptions and Catalog'!$C$62,((D290+E290)*C290-G290)*'Assumptions and Catalog'!$H$62+'Assumptions and Catalog'!$E$62+'Assumptions and Catalog'!$F$62,IF(((D290+E290)*C290-G290)&lt;='Assumptions and Catalog'!$C$63,((D290+E290)*C290-G290)*'Assumptions and Catalog'!$H$63+'Assumptions and Catalog'!$E$63+'Assumptions and Catalog'!$F$63,IF(((D290+E290)*C290-G290)&lt;='Assumptions and Catalog'!$C$64,((D290+E290)*C290-G290)*'Assumptions and Catalog'!$H$64+'Assumptions and Catalog'!$E$64+'Assumptions and Catalog'!$F$64,IF(((D290+E290)*C290-G290)&lt;='Assumptions and Catalog'!$C$65,((D290+E290)*C290-G290)*'Assumptions and Catalog'!$H$65+'Assumptions and Catalog'!$E$65+'Assumptions and Catalog'!$F$65,"Out of range")))))))))*(1+'Assumptions and Catalog'!$C$8)^(A290-1),0)</f>
        <v>3567.397</v>
      </c>
      <c r="R290" s="5" t="n">
        <f>IF(AND('Assumptions and Catalog'!$C$19&gt;0,A290&gt;='Assumptions and Catalog'!$C$19),A290-'Assumptions and Catalog'!$C$19,A290-1)</f>
        <v>0</v>
      </c>
      <c r="S290" s="5" t="n">
        <f>F290+L290-(D290+E290)*C290-J290-K290-0</f>
        <v>2.27373675443232E-013</v>
      </c>
      <c r="T290" s="5"/>
      <c r="U290" s="5"/>
    </row>
    <row r="291" ht="23.100000381469727" customHeight="1">
      <c r="A291" s="5" t="n">
        <v>11</v>
      </c>
      <c r="B291" s="5" t="n">
        <v>11</v>
      </c>
      <c r="C291" s="5" t="n">
        <f>DAY(DATE('Assumptions and Catalog'!$C$24+A291-1,B291+1,0))</f>
        <v>30</v>
      </c>
      <c r="D291" s="5" t="n">
        <f>IF(ISNUMBER(Inputs!$L$5),Inputs!$L$5*Inputs!$L$6,0)</f>
        <v>40.35</v>
      </c>
      <c r="E291" s="5" t="n">
        <f>IF(ISNUMBER(Inputs!$L$5),Inputs!$L$5-D291,0)</f>
        <v>40.35</v>
      </c>
      <c r="F291" s="5" t="n">
        <f>C$51*INDEX('Solar Production'!$D$20:$D$31,B291)*C291*(1-'Assumptions and Catalog'!$C$10)^(A291-1)</f>
        <v>1146.40728021509</v>
      </c>
      <c r="G291" s="5" t="n">
        <f>MIN(F291,D291*C291)</f>
        <v>1146.40728021509</v>
      </c>
      <c r="H291" s="5" t="n">
        <f>I291/('Assumptions and Catalog'!$C$11*'Assumptions and Catalog'!$C$12)</f>
        <v>0</v>
      </c>
      <c r="I291" s="5" t="n">
        <f>0</f>
        <v>0</v>
      </c>
      <c r="J291" s="5" t="n">
        <f>MAX(F291-G291-H291,0)</f>
        <v>0</v>
      </c>
      <c r="K291" s="5" t="n">
        <f>H291-I291</f>
        <v>0</v>
      </c>
      <c r="L291" s="5" t="n">
        <f>(D291+E291)*C291-G291-I291+0+0</f>
        <v>1274.59271978491</v>
      </c>
      <c r="M291" s="5" t="n">
        <f>IF(ISNUMBER(Inputs!$L$5),(IF(Inputs!$L$9="Actual flat rate",((D291+E291)*C291)*Inputs!$L$10,IF(Inputs!$C$9="Residential",IF(((D291+E291)*C291)&lt;='Assumptions and Catalog'!$C$50,((D291+E291)*C291)*'Assumptions and Catalog'!$H$50+'Assumptions and Catalog'!$E$50+'Assumptions and Catalog'!$F$50,IF(((D291+E291)*C291)&lt;='Assumptions and Catalog'!$C$51,((D291+E291)*C291)*'Assumptions and Catalog'!$H$51+'Assumptions and Catalog'!$E$51+'Assumptions and Catalog'!$F$51,IF(((D291+E291)*C291)&lt;='Assumptions and Catalog'!$C$52,((D291+E291)*C291)*'Assumptions and Catalog'!$H$52+'Assumptions and Catalog'!$E$52+'Assumptions and Catalog'!$F$52,IF(((D291+E291)*C291)&lt;='Assumptions and Catalog'!$C$53,((D291+E291)*C291)*'Assumptions and Catalog'!$H$53+'Assumptions and Catalog'!$E$53+'Assumptions and Catalog'!$F$53,IF(((D291+E291)*C291)&lt;='Assumptions and Catalog'!$C$54,((D291+E291)*C291)*'Assumptions and Catalog'!$H$54+'Assumptions and Catalog'!$E$54+'Assumptions and Catalog'!$F$54,IF(((D291+E291)*C291)&lt;='Assumptions and Catalog'!$C$55,((D291+E291)*C291)*'Assumptions and Catalog'!$H$55+'Assumptions and Catalog'!$E$55+'Assumptions and Catalog'!$F$55,IF(((D291+E291)*C291)&lt;='Assumptions and Catalog'!$C$56,((D291+E291)*C291)*'Assumptions and Catalog'!$H$56+'Assumptions and Catalog'!$E$56+'Assumptions and Catalog'!$F$56,IF(((D291+E291)*C291)&lt;='Assumptions and Catalog'!$C$57,((D291+E291)*C291)*'Assumptions and Catalog'!$H$57+'Assumptions and Catalog'!$E$57+'Assumptions and Catalog'!$F$57,"Out of range")))))))),IF(((D291+E291)*C291)&lt;='Assumptions and Catalog'!$C$60,((D291+E291)*C291)*'Assumptions and Catalog'!$H$60+'Assumptions and Catalog'!$E$60+'Assumptions and Catalog'!$F$60,IF(((D291+E291)*C291)&lt;='Assumptions and Catalog'!$C$61,((D291+E291)*C291)*'Assumptions and Catalog'!$H$61+'Assumptions and Catalog'!$E$61+'Assumptions and Catalog'!$F$61,IF(((D291+E291)*C291)&lt;='Assumptions and Catalog'!$C$62,((D291+E291)*C291)*'Assumptions and Catalog'!$H$62+'Assumptions and Catalog'!$E$62+'Assumptions and Catalog'!$F$62,IF(((D291+E291)*C291)&lt;='Assumptions and Catalog'!$C$63,((D291+E291)*C291)*'Assumptions and Catalog'!$H$63+'Assumptions and Catalog'!$E$63+'Assumptions and Catalog'!$F$63,IF(((D291+E291)*C291)&lt;='Assumptions and Catalog'!$C$64,((D291+E291)*C291)*'Assumptions and Catalog'!$H$64+'Assumptions and Catalog'!$E$64+'Assumptions and Catalog'!$F$64,IF(((D291+E291)*C291)&lt;='Assumptions and Catalog'!$C$65,((D291+E291)*C291)*'Assumptions and Catalog'!$H$65+'Assumptions and Catalog'!$E$65+'Assumptions and Catalog'!$F$65,"Out of range")))))))))*(1+'Assumptions and Catalog'!$C$8)^(A291-1),0)</f>
        <v>6867.22</v>
      </c>
      <c r="N291" s="5" t="n">
        <f>IF(ISNUMBER(Inputs!$L$5),(IF(Inputs!$L$9="Actual flat rate",L291*Inputs!$L$10,IF(Inputs!$C$9="Residential",IF(L291&lt;='Assumptions and Catalog'!$C$50,L291*'Assumptions and Catalog'!$H$50+'Assumptions and Catalog'!$E$50+'Assumptions and Catalog'!$F$50,IF(L291&lt;='Assumptions and Catalog'!$C$51,L291*'Assumptions and Catalog'!$H$51+'Assumptions and Catalog'!$E$51+'Assumptions and Catalog'!$F$51,IF(L291&lt;='Assumptions and Catalog'!$C$52,L291*'Assumptions and Catalog'!$H$52+'Assumptions and Catalog'!$E$52+'Assumptions and Catalog'!$F$52,IF(L291&lt;='Assumptions and Catalog'!$C$53,L291*'Assumptions and Catalog'!$H$53+'Assumptions and Catalog'!$E$53+'Assumptions and Catalog'!$F$53,IF(L291&lt;='Assumptions and Catalog'!$C$54,L291*'Assumptions and Catalog'!$H$54+'Assumptions and Catalog'!$E$54+'Assumptions and Catalog'!$F$54,IF(L291&lt;='Assumptions and Catalog'!$C$55,L291*'Assumptions and Catalog'!$H$55+'Assumptions and Catalog'!$E$55+'Assumptions and Catalog'!$F$55,IF(L291&lt;='Assumptions and Catalog'!$C$56,L291*'Assumptions and Catalog'!$H$56+'Assumptions and Catalog'!$E$56+'Assumptions and Catalog'!$F$56,IF(L291&lt;='Assumptions and Catalog'!$C$57,L291*'Assumptions and Catalog'!$H$57+'Assumptions and Catalog'!$E$57+'Assumptions and Catalog'!$F$57,"Out of range")))))))),IF(L291&lt;='Assumptions and Catalog'!$C$60,L291*'Assumptions and Catalog'!$H$60+'Assumptions and Catalog'!$E$60+'Assumptions and Catalog'!$F$60,IF(L291&lt;='Assumptions and Catalog'!$C$61,L291*'Assumptions and Catalog'!$H$61+'Assumptions and Catalog'!$E$61+'Assumptions and Catalog'!$F$61,IF(L291&lt;='Assumptions and Catalog'!$C$62,L291*'Assumptions and Catalog'!$H$62+'Assumptions and Catalog'!$E$62+'Assumptions and Catalog'!$F$62,IF(L291&lt;='Assumptions and Catalog'!$C$63,L291*'Assumptions and Catalog'!$H$63+'Assumptions and Catalog'!$E$63+'Assumptions and Catalog'!$F$63,IF(L291&lt;='Assumptions and Catalog'!$C$64,L291*'Assumptions and Catalog'!$H$64+'Assumptions and Catalog'!$E$64+'Assumptions and Catalog'!$F$64,IF(L291&lt;='Assumptions and Catalog'!$C$65,L291*'Assumptions and Catalog'!$H$65+'Assumptions and Catalog'!$E$65+'Assumptions and Catalog'!$F$65,"Out of range")))))))))*(1+'Assumptions and Catalog'!$C$8)^(A291-1),0)</f>
        <v>3634.35146979344</v>
      </c>
      <c r="O291" s="5" t="n">
        <f>M291-N291</f>
        <v>3232.86853020656</v>
      </c>
      <c r="P291" s="5" t="n">
        <f>C$55*(1-J$14)*(1-'Assumptions and Catalog'!$C$23)^R291</f>
        <v>0</v>
      </c>
      <c r="Q291" s="5" t="n">
        <f>IF(ISNUMBER(Inputs!$L$5),(IF(Inputs!$L$9="Actual flat rate",((D291+E291)*C291-G291)*Inputs!$L$10,IF(Inputs!$C$9="Residential",IF(((D291+E291)*C291-G291)&lt;='Assumptions and Catalog'!$C$50,((D291+E291)*C291-G291)*'Assumptions and Catalog'!$H$50+'Assumptions and Catalog'!$E$50+'Assumptions and Catalog'!$F$50,IF(((D291+E291)*C291-G291)&lt;='Assumptions and Catalog'!$C$51,((D291+E291)*C291-G291)*'Assumptions and Catalog'!$H$51+'Assumptions and Catalog'!$E$51+'Assumptions and Catalog'!$F$51,IF(((D291+E291)*C291-G291)&lt;='Assumptions and Catalog'!$C$52,((D291+E291)*C291-G291)*'Assumptions and Catalog'!$H$52+'Assumptions and Catalog'!$E$52+'Assumptions and Catalog'!$F$52,IF(((D291+E291)*C291-G291)&lt;='Assumptions and Catalog'!$C$53,((D291+E291)*C291-G291)*'Assumptions and Catalog'!$H$53+'Assumptions and Catalog'!$E$53+'Assumptions and Catalog'!$F$53,IF(((D291+E291)*C291-G291)&lt;='Assumptions and Catalog'!$C$54,((D291+E291)*C291-G291)*'Assumptions and Catalog'!$H$54+'Assumptions and Catalog'!$E$54+'Assumptions and Catalog'!$F$54,IF(((D291+E291)*C291-G291)&lt;='Assumptions and Catalog'!$C$55,((D291+E291)*C291-G291)*'Assumptions and Catalog'!$H$55+'Assumptions and Catalog'!$E$55+'Assumptions and Catalog'!$F$55,IF(((D291+E291)*C291-G291)&lt;='Assumptions and Catalog'!$C$56,((D291+E291)*C291-G291)*'Assumptions and Catalog'!$H$56+'Assumptions and Catalog'!$E$56+'Assumptions and Catalog'!$F$56,IF(((D291+E291)*C291-G291)&lt;='Assumptions and Catalog'!$C$57,((D291+E291)*C291-G291)*'Assumptions and Catalog'!$H$57+'Assumptions and Catalog'!$E$57+'Assumptions and Catalog'!$F$57,"Out of range")))))))),IF(((D291+E291)*C291-G291)&lt;='Assumptions and Catalog'!$C$60,((D291+E291)*C291-G291)*'Assumptions and Catalog'!$H$60+'Assumptions and Catalog'!$E$60+'Assumptions and Catalog'!$F$60,IF(((D291+E291)*C291-G291)&lt;='Assumptions and Catalog'!$C$61,((D291+E291)*C291-G291)*'Assumptions and Catalog'!$H$61+'Assumptions and Catalog'!$E$61+'Assumptions and Catalog'!$F$61,IF(((D291+E291)*C291-G291)&lt;='Assumptions and Catalog'!$C$62,((D291+E291)*C291-G291)*'Assumptions and Catalog'!$H$62+'Assumptions and Catalog'!$E$62+'Assumptions and Catalog'!$F$62,IF(((D291+E291)*C291-G291)&lt;='Assumptions and Catalog'!$C$63,((D291+E291)*C291-G291)*'Assumptions and Catalog'!$H$63+'Assumptions and Catalog'!$E$63+'Assumptions and Catalog'!$F$63,IF(((D291+E291)*C291-G291)&lt;='Assumptions and Catalog'!$C$64,((D291+E291)*C291-G291)*'Assumptions and Catalog'!$H$64+'Assumptions and Catalog'!$E$64+'Assumptions and Catalog'!$F$64,IF(((D291+E291)*C291-G291)&lt;='Assumptions and Catalog'!$C$65,((D291+E291)*C291-G291)*'Assumptions and Catalog'!$H$65+'Assumptions and Catalog'!$E$65+'Assumptions and Catalog'!$F$65,"Out of range")))))))))*(1+'Assumptions and Catalog'!$C$8)^(A291-1),0)</f>
        <v>3634.35146979344</v>
      </c>
      <c r="R291" s="5" t="n">
        <f>IF(AND('Assumptions and Catalog'!$C$19&gt;0,A291&gt;='Assumptions and Catalog'!$C$19),A291-'Assumptions and Catalog'!$C$19,A291-1)</f>
        <v>0</v>
      </c>
      <c r="S291" s="5" t="n">
        <f>F291+L291-(D291+E291)*C291-J291-K291-0</f>
        <v>0</v>
      </c>
      <c r="T291" s="5"/>
      <c r="U291" s="5"/>
    </row>
    <row r="292" ht="23.100000381469727" customHeight="1">
      <c r="A292" s="5" t="n">
        <v>11</v>
      </c>
      <c r="B292" s="5" t="n">
        <v>12</v>
      </c>
      <c r="C292" s="5" t="n">
        <f>DAY(DATE('Assumptions and Catalog'!$C$24+A292-1,B292+1,0))</f>
        <v>31</v>
      </c>
      <c r="D292" s="5" t="n">
        <f>IF(ISNUMBER(Inputs!$L$5),Inputs!$L$5*Inputs!$L$6,0)</f>
        <v>40.35</v>
      </c>
      <c r="E292" s="5" t="n">
        <f>IF(ISNUMBER(Inputs!$L$5),Inputs!$L$5-D292,0)</f>
        <v>40.35</v>
      </c>
      <c r="F292" s="5" t="n">
        <f>C$51*INDEX('Solar Production'!$D$20:$D$31,B292)*C292*(1-'Assumptions and Catalog'!$C$10)^(A292-1)</f>
        <v>1091.41789691208</v>
      </c>
      <c r="G292" s="5" t="n">
        <f>MIN(F292,D292*C292)</f>
        <v>1091.41789691208</v>
      </c>
      <c r="H292" s="5" t="n">
        <f>I292/('Assumptions and Catalog'!$C$11*'Assumptions and Catalog'!$C$12)</f>
        <v>0</v>
      </c>
      <c r="I292" s="5" t="n">
        <f>0</f>
        <v>0</v>
      </c>
      <c r="J292" s="5" t="n">
        <f>MAX(F292-G292-H292,0)</f>
        <v>0</v>
      </c>
      <c r="K292" s="5" t="n">
        <f>H292-I292</f>
        <v>0</v>
      </c>
      <c r="L292" s="5" t="n">
        <f>(D292+E292)*C292-G292-I292+0+0</f>
        <v>1410.28210308792</v>
      </c>
      <c r="M292" s="5" t="n">
        <f>IF(ISNUMBER(Inputs!$L$5),(IF(Inputs!$L$9="Actual flat rate",((D292+E292)*C292)*Inputs!$L$10,IF(Inputs!$C$9="Residential",IF(((D292+E292)*C292)&lt;='Assumptions and Catalog'!$C$50,((D292+E292)*C292)*'Assumptions and Catalog'!$H$50+'Assumptions and Catalog'!$E$50+'Assumptions and Catalog'!$F$50,IF(((D292+E292)*C292)&lt;='Assumptions and Catalog'!$C$51,((D292+E292)*C292)*'Assumptions and Catalog'!$H$51+'Assumptions and Catalog'!$E$51+'Assumptions and Catalog'!$F$51,IF(((D292+E292)*C292)&lt;='Assumptions and Catalog'!$C$52,((D292+E292)*C292)*'Assumptions and Catalog'!$H$52+'Assumptions and Catalog'!$E$52+'Assumptions and Catalog'!$F$52,IF(((D292+E292)*C292)&lt;='Assumptions and Catalog'!$C$53,((D292+E292)*C292)*'Assumptions and Catalog'!$H$53+'Assumptions and Catalog'!$E$53+'Assumptions and Catalog'!$F$53,IF(((D292+E292)*C292)&lt;='Assumptions and Catalog'!$C$54,((D292+E292)*C292)*'Assumptions and Catalog'!$H$54+'Assumptions and Catalog'!$E$54+'Assumptions and Catalog'!$F$54,IF(((D292+E292)*C292)&lt;='Assumptions and Catalog'!$C$55,((D292+E292)*C292)*'Assumptions and Catalog'!$H$55+'Assumptions and Catalog'!$E$55+'Assumptions and Catalog'!$F$55,IF(((D292+E292)*C292)&lt;='Assumptions and Catalog'!$C$56,((D292+E292)*C292)*'Assumptions and Catalog'!$H$56+'Assumptions and Catalog'!$E$56+'Assumptions and Catalog'!$F$56,IF(((D292+E292)*C292)&lt;='Assumptions and Catalog'!$C$57,((D292+E292)*C292)*'Assumptions and Catalog'!$H$57+'Assumptions and Catalog'!$E$57+'Assumptions and Catalog'!$F$57,"Out of range")))))))),IF(((D292+E292)*C292)&lt;='Assumptions and Catalog'!$C$60,((D292+E292)*C292)*'Assumptions and Catalog'!$H$60+'Assumptions and Catalog'!$E$60+'Assumptions and Catalog'!$F$60,IF(((D292+E292)*C292)&lt;='Assumptions and Catalog'!$C$61,((D292+E292)*C292)*'Assumptions and Catalog'!$H$61+'Assumptions and Catalog'!$E$61+'Assumptions and Catalog'!$F$61,IF(((D292+E292)*C292)&lt;='Assumptions and Catalog'!$C$62,((D292+E292)*C292)*'Assumptions and Catalog'!$H$62+'Assumptions and Catalog'!$E$62+'Assumptions and Catalog'!$F$62,IF(((D292+E292)*C292)&lt;='Assumptions and Catalog'!$C$63,((D292+E292)*C292)*'Assumptions and Catalog'!$H$63+'Assumptions and Catalog'!$E$63+'Assumptions and Catalog'!$F$63,IF(((D292+E292)*C292)&lt;='Assumptions and Catalog'!$C$64,((D292+E292)*C292)*'Assumptions and Catalog'!$H$64+'Assumptions and Catalog'!$E$64+'Assumptions and Catalog'!$F$64,IF(((D292+E292)*C292)&lt;='Assumptions and Catalog'!$C$65,((D292+E292)*C292)*'Assumptions and Catalog'!$H$65+'Assumptions and Catalog'!$E$65+'Assumptions and Catalog'!$F$65,"Out of range")))))))))*(1+'Assumptions and Catalog'!$C$8)^(A292-1),0)</f>
        <v>7094.794</v>
      </c>
      <c r="N292" s="5" t="n">
        <f>IF(ISNUMBER(Inputs!$L$5),(IF(Inputs!$L$9="Actual flat rate",L292*Inputs!$L$10,IF(Inputs!$C$9="Residential",IF(L292&lt;='Assumptions and Catalog'!$C$50,L292*'Assumptions and Catalog'!$H$50+'Assumptions and Catalog'!$E$50+'Assumptions and Catalog'!$F$50,IF(L292&lt;='Assumptions and Catalog'!$C$51,L292*'Assumptions and Catalog'!$H$51+'Assumptions and Catalog'!$E$51+'Assumptions and Catalog'!$F$51,IF(L292&lt;='Assumptions and Catalog'!$C$52,L292*'Assumptions and Catalog'!$H$52+'Assumptions and Catalog'!$E$52+'Assumptions and Catalog'!$F$52,IF(L292&lt;='Assumptions and Catalog'!$C$53,L292*'Assumptions and Catalog'!$H$53+'Assumptions and Catalog'!$E$53+'Assumptions and Catalog'!$F$53,IF(L292&lt;='Assumptions and Catalog'!$C$54,L292*'Assumptions and Catalog'!$H$54+'Assumptions and Catalog'!$E$54+'Assumptions and Catalog'!$F$54,IF(L292&lt;='Assumptions and Catalog'!$C$55,L292*'Assumptions and Catalog'!$H$55+'Assumptions and Catalog'!$E$55+'Assumptions and Catalog'!$F$55,IF(L292&lt;='Assumptions and Catalog'!$C$56,L292*'Assumptions and Catalog'!$H$56+'Assumptions and Catalog'!$E$56+'Assumptions and Catalog'!$F$56,IF(L292&lt;='Assumptions and Catalog'!$C$57,L292*'Assumptions and Catalog'!$H$57+'Assumptions and Catalog'!$E$57+'Assumptions and Catalog'!$F$57,"Out of range")))))))),IF(L292&lt;='Assumptions and Catalog'!$C$60,L292*'Assumptions and Catalog'!$H$60+'Assumptions and Catalog'!$E$60+'Assumptions and Catalog'!$F$60,IF(L292&lt;='Assumptions and Catalog'!$C$61,L292*'Assumptions and Catalog'!$H$61+'Assumptions and Catalog'!$E$61+'Assumptions and Catalog'!$F$61,IF(L292&lt;='Assumptions and Catalog'!$C$62,L292*'Assumptions and Catalog'!$H$62+'Assumptions and Catalog'!$E$62+'Assumptions and Catalog'!$F$62,IF(L292&lt;='Assumptions and Catalog'!$C$63,L292*'Assumptions and Catalog'!$H$63+'Assumptions and Catalog'!$E$63+'Assumptions and Catalog'!$F$63,IF(L292&lt;='Assumptions and Catalog'!$C$64,L292*'Assumptions and Catalog'!$H$64+'Assumptions and Catalog'!$E$64+'Assumptions and Catalog'!$F$64,IF(L292&lt;='Assumptions and Catalog'!$C$65,L292*'Assumptions and Catalog'!$H$65+'Assumptions and Catalog'!$E$65+'Assumptions and Catalog'!$F$65,"Out of range")))))))))*(1+'Assumptions and Catalog'!$C$8)^(A292-1),0)</f>
        <v>4016.99553070793</v>
      </c>
      <c r="O292" s="5" t="n">
        <f>M292-N292</f>
        <v>3077.79846929207</v>
      </c>
      <c r="P292" s="5" t="n">
        <f>C$55*(1-J$14)*(1-'Assumptions and Catalog'!$C$23)^R292</f>
        <v>0</v>
      </c>
      <c r="Q292" s="5" t="n">
        <f>IF(ISNUMBER(Inputs!$L$5),(IF(Inputs!$L$9="Actual flat rate",((D292+E292)*C292-G292)*Inputs!$L$10,IF(Inputs!$C$9="Residential",IF(((D292+E292)*C292-G292)&lt;='Assumptions and Catalog'!$C$50,((D292+E292)*C292-G292)*'Assumptions and Catalog'!$H$50+'Assumptions and Catalog'!$E$50+'Assumptions and Catalog'!$F$50,IF(((D292+E292)*C292-G292)&lt;='Assumptions and Catalog'!$C$51,((D292+E292)*C292-G292)*'Assumptions and Catalog'!$H$51+'Assumptions and Catalog'!$E$51+'Assumptions and Catalog'!$F$51,IF(((D292+E292)*C292-G292)&lt;='Assumptions and Catalog'!$C$52,((D292+E292)*C292-G292)*'Assumptions and Catalog'!$H$52+'Assumptions and Catalog'!$E$52+'Assumptions and Catalog'!$F$52,IF(((D292+E292)*C292-G292)&lt;='Assumptions and Catalog'!$C$53,((D292+E292)*C292-G292)*'Assumptions and Catalog'!$H$53+'Assumptions and Catalog'!$E$53+'Assumptions and Catalog'!$F$53,IF(((D292+E292)*C292-G292)&lt;='Assumptions and Catalog'!$C$54,((D292+E292)*C292-G292)*'Assumptions and Catalog'!$H$54+'Assumptions and Catalog'!$E$54+'Assumptions and Catalog'!$F$54,IF(((D292+E292)*C292-G292)&lt;='Assumptions and Catalog'!$C$55,((D292+E292)*C292-G292)*'Assumptions and Catalog'!$H$55+'Assumptions and Catalog'!$E$55+'Assumptions and Catalog'!$F$55,IF(((D292+E292)*C292-G292)&lt;='Assumptions and Catalog'!$C$56,((D292+E292)*C292-G292)*'Assumptions and Catalog'!$H$56+'Assumptions and Catalog'!$E$56+'Assumptions and Catalog'!$F$56,IF(((D292+E292)*C292-G292)&lt;='Assumptions and Catalog'!$C$57,((D292+E292)*C292-G292)*'Assumptions and Catalog'!$H$57+'Assumptions and Catalog'!$E$57+'Assumptions and Catalog'!$F$57,"Out of range")))))))),IF(((D292+E292)*C292-G292)&lt;='Assumptions and Catalog'!$C$60,((D292+E292)*C292-G292)*'Assumptions and Catalog'!$H$60+'Assumptions and Catalog'!$E$60+'Assumptions and Catalog'!$F$60,IF(((D292+E292)*C292-G292)&lt;='Assumptions and Catalog'!$C$61,((D292+E292)*C292-G292)*'Assumptions and Catalog'!$H$61+'Assumptions and Catalog'!$E$61+'Assumptions and Catalog'!$F$61,IF(((D292+E292)*C292-G292)&lt;='Assumptions and Catalog'!$C$62,((D292+E292)*C292-G292)*'Assumptions and Catalog'!$H$62+'Assumptions and Catalog'!$E$62+'Assumptions and Catalog'!$F$62,IF(((D292+E292)*C292-G292)&lt;='Assumptions and Catalog'!$C$63,((D292+E292)*C292-G292)*'Assumptions and Catalog'!$H$63+'Assumptions and Catalog'!$E$63+'Assumptions and Catalog'!$F$63,IF(((D292+E292)*C292-G292)&lt;='Assumptions and Catalog'!$C$64,((D292+E292)*C292-G292)*'Assumptions and Catalog'!$H$64+'Assumptions and Catalog'!$E$64+'Assumptions and Catalog'!$F$64,IF(((D292+E292)*C292-G292)&lt;='Assumptions and Catalog'!$C$65,((D292+E292)*C292-G292)*'Assumptions and Catalog'!$H$65+'Assumptions and Catalog'!$E$65+'Assumptions and Catalog'!$F$65,"Out of range")))))))))*(1+'Assumptions and Catalog'!$C$8)^(A292-1),0)</f>
        <v>4016.99553070793</v>
      </c>
      <c r="R292" s="5" t="n">
        <f>IF(AND('Assumptions and Catalog'!$C$19&gt;0,A292&gt;='Assumptions and Catalog'!$C$19),A292-'Assumptions and Catalog'!$C$19,A292-1)</f>
        <v>0</v>
      </c>
      <c r="S292" s="5" t="n">
        <f>F292+L292-(D292+E292)*C292-J292-K292-0</f>
        <v>0</v>
      </c>
      <c r="T292" s="5"/>
      <c r="U292" s="5"/>
    </row>
    <row r="293" ht="23.100000381469727" customHeight="1">
      <c r="A293" s="5" t="n">
        <v>12</v>
      </c>
      <c r="B293" s="5" t="n">
        <v>1</v>
      </c>
      <c r="C293" s="5" t="n">
        <f>DAY(DATE('Assumptions and Catalog'!$C$24+A293-1,B293+1,0))</f>
        <v>31</v>
      </c>
      <c r="D293" s="5" t="n">
        <f>IF(ISNUMBER(Inputs!$L$5),Inputs!$L$5*Inputs!$L$6,0)</f>
        <v>40.35</v>
      </c>
      <c r="E293" s="5" t="n">
        <f>IF(ISNUMBER(Inputs!$L$5),Inputs!$L$5-D293,0)</f>
        <v>40.35</v>
      </c>
      <c r="F293" s="5" t="n">
        <f>C$51*INDEX('Solar Production'!$D$20:$D$31,B293)*C293*(1-'Assumptions and Catalog'!$C$10)^(A293-1)</f>
        <v>1093.45593569965</v>
      </c>
      <c r="G293" s="5" t="n">
        <f>MIN(F293,D293*C293)</f>
        <v>1093.45593569965</v>
      </c>
      <c r="H293" s="5" t="n">
        <f>I293/('Assumptions and Catalog'!$C$11*'Assumptions and Catalog'!$C$12)</f>
        <v>0</v>
      </c>
      <c r="I293" s="5" t="n">
        <f>0</f>
        <v>0</v>
      </c>
      <c r="J293" s="5" t="n">
        <f>MAX(F293-G293-H293,0)</f>
        <v>0</v>
      </c>
      <c r="K293" s="5" t="n">
        <f>H293-I293</f>
        <v>0</v>
      </c>
      <c r="L293" s="5" t="n">
        <f>(D293+E293)*C293-G293-I293+0+0</f>
        <v>1408.24406430036</v>
      </c>
      <c r="M293" s="5" t="n">
        <f>IF(ISNUMBER(Inputs!$L$5),(IF(Inputs!$L$9="Actual flat rate",((D293+E293)*C293)*Inputs!$L$10,IF(Inputs!$C$9="Residential",IF(((D293+E293)*C293)&lt;='Assumptions and Catalog'!$C$50,((D293+E293)*C293)*'Assumptions and Catalog'!$H$50+'Assumptions and Catalog'!$E$50+'Assumptions and Catalog'!$F$50,IF(((D293+E293)*C293)&lt;='Assumptions and Catalog'!$C$51,((D293+E293)*C293)*'Assumptions and Catalog'!$H$51+'Assumptions and Catalog'!$E$51+'Assumptions and Catalog'!$F$51,IF(((D293+E293)*C293)&lt;='Assumptions and Catalog'!$C$52,((D293+E293)*C293)*'Assumptions and Catalog'!$H$52+'Assumptions and Catalog'!$E$52+'Assumptions and Catalog'!$F$52,IF(((D293+E293)*C293)&lt;='Assumptions and Catalog'!$C$53,((D293+E293)*C293)*'Assumptions and Catalog'!$H$53+'Assumptions and Catalog'!$E$53+'Assumptions and Catalog'!$F$53,IF(((D293+E293)*C293)&lt;='Assumptions and Catalog'!$C$54,((D293+E293)*C293)*'Assumptions and Catalog'!$H$54+'Assumptions and Catalog'!$E$54+'Assumptions and Catalog'!$F$54,IF(((D293+E293)*C293)&lt;='Assumptions and Catalog'!$C$55,((D293+E293)*C293)*'Assumptions and Catalog'!$H$55+'Assumptions and Catalog'!$E$55+'Assumptions and Catalog'!$F$55,IF(((D293+E293)*C293)&lt;='Assumptions and Catalog'!$C$56,((D293+E293)*C293)*'Assumptions and Catalog'!$H$56+'Assumptions and Catalog'!$E$56+'Assumptions and Catalog'!$F$56,IF(((D293+E293)*C293)&lt;='Assumptions and Catalog'!$C$57,((D293+E293)*C293)*'Assumptions and Catalog'!$H$57+'Assumptions and Catalog'!$E$57+'Assumptions and Catalog'!$F$57,"Out of range")))))))),IF(((D293+E293)*C293)&lt;='Assumptions and Catalog'!$C$60,((D293+E293)*C293)*'Assumptions and Catalog'!$H$60+'Assumptions and Catalog'!$E$60+'Assumptions and Catalog'!$F$60,IF(((D293+E293)*C293)&lt;='Assumptions and Catalog'!$C$61,((D293+E293)*C293)*'Assumptions and Catalog'!$H$61+'Assumptions and Catalog'!$E$61+'Assumptions and Catalog'!$F$61,IF(((D293+E293)*C293)&lt;='Assumptions and Catalog'!$C$62,((D293+E293)*C293)*'Assumptions and Catalog'!$H$62+'Assumptions and Catalog'!$E$62+'Assumptions and Catalog'!$F$62,IF(((D293+E293)*C293)&lt;='Assumptions and Catalog'!$C$63,((D293+E293)*C293)*'Assumptions and Catalog'!$H$63+'Assumptions and Catalog'!$E$63+'Assumptions and Catalog'!$F$63,IF(((D293+E293)*C293)&lt;='Assumptions and Catalog'!$C$64,((D293+E293)*C293)*'Assumptions and Catalog'!$H$64+'Assumptions and Catalog'!$E$64+'Assumptions and Catalog'!$F$64,IF(((D293+E293)*C293)&lt;='Assumptions and Catalog'!$C$65,((D293+E293)*C293)*'Assumptions and Catalog'!$H$65+'Assumptions and Catalog'!$E$65+'Assumptions and Catalog'!$F$65,"Out of range")))))))))*(1+'Assumptions and Catalog'!$C$8)^(A293-1),0)</f>
        <v>7094.794</v>
      </c>
      <c r="N293" s="5" t="n">
        <f>IF(ISNUMBER(Inputs!$L$5),(IF(Inputs!$L$9="Actual flat rate",L293*Inputs!$L$10,IF(Inputs!$C$9="Residential",IF(L293&lt;='Assumptions and Catalog'!$C$50,L293*'Assumptions and Catalog'!$H$50+'Assumptions and Catalog'!$E$50+'Assumptions and Catalog'!$F$50,IF(L293&lt;='Assumptions and Catalog'!$C$51,L293*'Assumptions and Catalog'!$H$51+'Assumptions and Catalog'!$E$51+'Assumptions and Catalog'!$F$51,IF(L293&lt;='Assumptions and Catalog'!$C$52,L293*'Assumptions and Catalog'!$H$52+'Assumptions and Catalog'!$E$52+'Assumptions and Catalog'!$F$52,IF(L293&lt;='Assumptions and Catalog'!$C$53,L293*'Assumptions and Catalog'!$H$53+'Assumptions and Catalog'!$E$53+'Assumptions and Catalog'!$F$53,IF(L293&lt;='Assumptions and Catalog'!$C$54,L293*'Assumptions and Catalog'!$H$54+'Assumptions and Catalog'!$E$54+'Assumptions and Catalog'!$F$54,IF(L293&lt;='Assumptions and Catalog'!$C$55,L293*'Assumptions and Catalog'!$H$55+'Assumptions and Catalog'!$E$55+'Assumptions and Catalog'!$F$55,IF(L293&lt;='Assumptions and Catalog'!$C$56,L293*'Assumptions and Catalog'!$H$56+'Assumptions and Catalog'!$E$56+'Assumptions and Catalog'!$F$56,IF(L293&lt;='Assumptions and Catalog'!$C$57,L293*'Assumptions and Catalog'!$H$57+'Assumptions and Catalog'!$E$57+'Assumptions and Catalog'!$F$57,"Out of range")))))))),IF(L293&lt;='Assumptions and Catalog'!$C$60,L293*'Assumptions and Catalog'!$H$60+'Assumptions and Catalog'!$E$60+'Assumptions and Catalog'!$F$60,IF(L293&lt;='Assumptions and Catalog'!$C$61,L293*'Assumptions and Catalog'!$H$61+'Assumptions and Catalog'!$E$61+'Assumptions and Catalog'!$F$61,IF(L293&lt;='Assumptions and Catalog'!$C$62,L293*'Assumptions and Catalog'!$H$62+'Assumptions and Catalog'!$E$62+'Assumptions and Catalog'!$F$62,IF(L293&lt;='Assumptions and Catalog'!$C$63,L293*'Assumptions and Catalog'!$H$63+'Assumptions and Catalog'!$E$63+'Assumptions and Catalog'!$F$63,IF(L293&lt;='Assumptions and Catalog'!$C$64,L293*'Assumptions and Catalog'!$H$64+'Assumptions and Catalog'!$E$64+'Assumptions and Catalog'!$F$64,IF(L293&lt;='Assumptions and Catalog'!$C$65,L293*'Assumptions and Catalog'!$H$65+'Assumptions and Catalog'!$E$65+'Assumptions and Catalog'!$F$65,"Out of range")))))))))*(1+'Assumptions and Catalog'!$C$8)^(A293-1),0)</f>
        <v>4011.248261327</v>
      </c>
      <c r="O293" s="5" t="n">
        <f>M293-N293</f>
        <v>3083.545738673</v>
      </c>
      <c r="P293" s="5" t="n">
        <f>C$55*(1-J$14)*(1-'Assumptions and Catalog'!$C$23)^R293</f>
        <v>0</v>
      </c>
      <c r="Q293" s="5" t="n">
        <f>IF(ISNUMBER(Inputs!$L$5),(IF(Inputs!$L$9="Actual flat rate",((D293+E293)*C293-G293)*Inputs!$L$10,IF(Inputs!$C$9="Residential",IF(((D293+E293)*C293-G293)&lt;='Assumptions and Catalog'!$C$50,((D293+E293)*C293-G293)*'Assumptions and Catalog'!$H$50+'Assumptions and Catalog'!$E$50+'Assumptions and Catalog'!$F$50,IF(((D293+E293)*C293-G293)&lt;='Assumptions and Catalog'!$C$51,((D293+E293)*C293-G293)*'Assumptions and Catalog'!$H$51+'Assumptions and Catalog'!$E$51+'Assumptions and Catalog'!$F$51,IF(((D293+E293)*C293-G293)&lt;='Assumptions and Catalog'!$C$52,((D293+E293)*C293-G293)*'Assumptions and Catalog'!$H$52+'Assumptions and Catalog'!$E$52+'Assumptions and Catalog'!$F$52,IF(((D293+E293)*C293-G293)&lt;='Assumptions and Catalog'!$C$53,((D293+E293)*C293-G293)*'Assumptions and Catalog'!$H$53+'Assumptions and Catalog'!$E$53+'Assumptions and Catalog'!$F$53,IF(((D293+E293)*C293-G293)&lt;='Assumptions and Catalog'!$C$54,((D293+E293)*C293-G293)*'Assumptions and Catalog'!$H$54+'Assumptions and Catalog'!$E$54+'Assumptions and Catalog'!$F$54,IF(((D293+E293)*C293-G293)&lt;='Assumptions and Catalog'!$C$55,((D293+E293)*C293-G293)*'Assumptions and Catalog'!$H$55+'Assumptions and Catalog'!$E$55+'Assumptions and Catalog'!$F$55,IF(((D293+E293)*C293-G293)&lt;='Assumptions and Catalog'!$C$56,((D293+E293)*C293-G293)*'Assumptions and Catalog'!$H$56+'Assumptions and Catalog'!$E$56+'Assumptions and Catalog'!$F$56,IF(((D293+E293)*C293-G293)&lt;='Assumptions and Catalog'!$C$57,((D293+E293)*C293-G293)*'Assumptions and Catalog'!$H$57+'Assumptions and Catalog'!$E$57+'Assumptions and Catalog'!$F$57,"Out of range")))))))),IF(((D293+E293)*C293-G293)&lt;='Assumptions and Catalog'!$C$60,((D293+E293)*C293-G293)*'Assumptions and Catalog'!$H$60+'Assumptions and Catalog'!$E$60+'Assumptions and Catalog'!$F$60,IF(((D293+E293)*C293-G293)&lt;='Assumptions and Catalog'!$C$61,((D293+E293)*C293-G293)*'Assumptions and Catalog'!$H$61+'Assumptions and Catalog'!$E$61+'Assumptions and Catalog'!$F$61,IF(((D293+E293)*C293-G293)&lt;='Assumptions and Catalog'!$C$62,((D293+E293)*C293-G293)*'Assumptions and Catalog'!$H$62+'Assumptions and Catalog'!$E$62+'Assumptions and Catalog'!$F$62,IF(((D293+E293)*C293-G293)&lt;='Assumptions and Catalog'!$C$63,((D293+E293)*C293-G293)*'Assumptions and Catalog'!$H$63+'Assumptions and Catalog'!$E$63+'Assumptions and Catalog'!$F$63,IF(((D293+E293)*C293-G293)&lt;='Assumptions and Catalog'!$C$64,((D293+E293)*C293-G293)*'Assumptions and Catalog'!$H$64+'Assumptions and Catalog'!$E$64+'Assumptions and Catalog'!$F$64,IF(((D293+E293)*C293-G293)&lt;='Assumptions and Catalog'!$C$65,((D293+E293)*C293-G293)*'Assumptions and Catalog'!$H$65+'Assumptions and Catalog'!$E$65+'Assumptions and Catalog'!$F$65,"Out of range")))))))))*(1+'Assumptions and Catalog'!$C$8)^(A293-1),0)</f>
        <v>4011.248261327</v>
      </c>
      <c r="R293" s="5" t="n">
        <f>IF(AND('Assumptions and Catalog'!$C$19&gt;0,A293&gt;='Assumptions and Catalog'!$C$19),A293-'Assumptions and Catalog'!$C$19,A293-1)</f>
        <v>1</v>
      </c>
      <c r="S293" s="5" t="n">
        <f>F293+L293-(D293+E293)*C293-J293-K293-0</f>
        <v>0</v>
      </c>
      <c r="T293" s="5"/>
      <c r="U293" s="5"/>
    </row>
    <row r="294" ht="23.100000381469727" customHeight="1">
      <c r="A294" s="5" t="n">
        <v>12</v>
      </c>
      <c r="B294" s="5" t="n">
        <v>2</v>
      </c>
      <c r="C294" s="5" t="n">
        <f>DAY(DATE('Assumptions and Catalog'!$C$24+A294-1,B294+1,0))</f>
        <v>28</v>
      </c>
      <c r="D294" s="5" t="n">
        <f>IF(ISNUMBER(Inputs!$L$5),Inputs!$L$5*Inputs!$L$6,0)</f>
        <v>40.35</v>
      </c>
      <c r="E294" s="5" t="n">
        <f>IF(ISNUMBER(Inputs!$L$5),Inputs!$L$5-D294,0)</f>
        <v>40.35</v>
      </c>
      <c r="F294" s="5" t="n">
        <f>C$51*INDEX('Solar Production'!$D$20:$D$31,B294)*C294*(1-'Assumptions and Catalog'!$C$10)^(A294-1)</f>
        <v>1078.04928314028</v>
      </c>
      <c r="G294" s="5" t="n">
        <f>MIN(F294,D294*C294)</f>
        <v>1078.04928314028</v>
      </c>
      <c r="H294" s="5" t="n">
        <f>I294/('Assumptions and Catalog'!$C$11*'Assumptions and Catalog'!$C$12)</f>
        <v>0</v>
      </c>
      <c r="I294" s="5" t="n">
        <f>0</f>
        <v>0</v>
      </c>
      <c r="J294" s="5" t="n">
        <f>MAX(F294-G294-H294,0)</f>
        <v>0</v>
      </c>
      <c r="K294" s="5" t="n">
        <f>H294-I294</f>
        <v>0</v>
      </c>
      <c r="L294" s="5" t="n">
        <f>(D294+E294)*C294-G294-I294+0+0</f>
        <v>1181.55071685972</v>
      </c>
      <c r="M294" s="5" t="n">
        <f>IF(ISNUMBER(Inputs!$L$5),(IF(Inputs!$L$9="Actual flat rate",((D294+E294)*C294)*Inputs!$L$10,IF(Inputs!$C$9="Residential",IF(((D294+E294)*C294)&lt;='Assumptions and Catalog'!$C$50,((D294+E294)*C294)*'Assumptions and Catalog'!$H$50+'Assumptions and Catalog'!$E$50+'Assumptions and Catalog'!$F$50,IF(((D294+E294)*C294)&lt;='Assumptions and Catalog'!$C$51,((D294+E294)*C294)*'Assumptions and Catalog'!$H$51+'Assumptions and Catalog'!$E$51+'Assumptions and Catalog'!$F$51,IF(((D294+E294)*C294)&lt;='Assumptions and Catalog'!$C$52,((D294+E294)*C294)*'Assumptions and Catalog'!$H$52+'Assumptions and Catalog'!$E$52+'Assumptions and Catalog'!$F$52,IF(((D294+E294)*C294)&lt;='Assumptions and Catalog'!$C$53,((D294+E294)*C294)*'Assumptions and Catalog'!$H$53+'Assumptions and Catalog'!$E$53+'Assumptions and Catalog'!$F$53,IF(((D294+E294)*C294)&lt;='Assumptions and Catalog'!$C$54,((D294+E294)*C294)*'Assumptions and Catalog'!$H$54+'Assumptions and Catalog'!$E$54+'Assumptions and Catalog'!$F$54,IF(((D294+E294)*C294)&lt;='Assumptions and Catalog'!$C$55,((D294+E294)*C294)*'Assumptions and Catalog'!$H$55+'Assumptions and Catalog'!$E$55+'Assumptions and Catalog'!$F$55,IF(((D294+E294)*C294)&lt;='Assumptions and Catalog'!$C$56,((D294+E294)*C294)*'Assumptions and Catalog'!$H$56+'Assumptions and Catalog'!$E$56+'Assumptions and Catalog'!$F$56,IF(((D294+E294)*C294)&lt;='Assumptions and Catalog'!$C$57,((D294+E294)*C294)*'Assumptions and Catalog'!$H$57+'Assumptions and Catalog'!$E$57+'Assumptions and Catalog'!$F$57,"Out of range")))))))),IF(((D294+E294)*C294)&lt;='Assumptions and Catalog'!$C$60,((D294+E294)*C294)*'Assumptions and Catalog'!$H$60+'Assumptions and Catalog'!$E$60+'Assumptions and Catalog'!$F$60,IF(((D294+E294)*C294)&lt;='Assumptions and Catalog'!$C$61,((D294+E294)*C294)*'Assumptions and Catalog'!$H$61+'Assumptions and Catalog'!$E$61+'Assumptions and Catalog'!$F$61,IF(((D294+E294)*C294)&lt;='Assumptions and Catalog'!$C$62,((D294+E294)*C294)*'Assumptions and Catalog'!$H$62+'Assumptions and Catalog'!$E$62+'Assumptions and Catalog'!$F$62,IF(((D294+E294)*C294)&lt;='Assumptions and Catalog'!$C$63,((D294+E294)*C294)*'Assumptions and Catalog'!$H$63+'Assumptions and Catalog'!$E$63+'Assumptions and Catalog'!$F$63,IF(((D294+E294)*C294)&lt;='Assumptions and Catalog'!$C$64,((D294+E294)*C294)*'Assumptions and Catalog'!$H$64+'Assumptions and Catalog'!$E$64+'Assumptions and Catalog'!$F$64,IF(((D294+E294)*C294)&lt;='Assumptions and Catalog'!$C$65,((D294+E294)*C294)*'Assumptions and Catalog'!$H$65+'Assumptions and Catalog'!$E$65+'Assumptions and Catalog'!$F$65,"Out of range")))))))))*(1+'Assumptions and Catalog'!$C$8)^(A294-1),0)</f>
        <v>6412.072</v>
      </c>
      <c r="N294" s="5" t="n">
        <f>IF(ISNUMBER(Inputs!$L$5),(IF(Inputs!$L$9="Actual flat rate",L294*Inputs!$L$10,IF(Inputs!$C$9="Residential",IF(L294&lt;='Assumptions and Catalog'!$C$50,L294*'Assumptions and Catalog'!$H$50+'Assumptions and Catalog'!$E$50+'Assumptions and Catalog'!$F$50,IF(L294&lt;='Assumptions and Catalog'!$C$51,L294*'Assumptions and Catalog'!$H$51+'Assumptions and Catalog'!$E$51+'Assumptions and Catalog'!$F$51,IF(L294&lt;='Assumptions and Catalog'!$C$52,L294*'Assumptions and Catalog'!$H$52+'Assumptions and Catalog'!$E$52+'Assumptions and Catalog'!$F$52,IF(L294&lt;='Assumptions and Catalog'!$C$53,L294*'Assumptions and Catalog'!$H$53+'Assumptions and Catalog'!$E$53+'Assumptions and Catalog'!$F$53,IF(L294&lt;='Assumptions and Catalog'!$C$54,L294*'Assumptions and Catalog'!$H$54+'Assumptions and Catalog'!$E$54+'Assumptions and Catalog'!$F$54,IF(L294&lt;='Assumptions and Catalog'!$C$55,L294*'Assumptions and Catalog'!$H$55+'Assumptions and Catalog'!$E$55+'Assumptions and Catalog'!$F$55,IF(L294&lt;='Assumptions and Catalog'!$C$56,L294*'Assumptions and Catalog'!$H$56+'Assumptions and Catalog'!$E$56+'Assumptions and Catalog'!$F$56,IF(L294&lt;='Assumptions and Catalog'!$C$57,L294*'Assumptions and Catalog'!$H$57+'Assumptions and Catalog'!$E$57+'Assumptions and Catalog'!$F$57,"Out of range")))))))),IF(L294&lt;='Assumptions and Catalog'!$C$60,L294*'Assumptions and Catalog'!$H$60+'Assumptions and Catalog'!$E$60+'Assumptions and Catalog'!$F$60,IF(L294&lt;='Assumptions and Catalog'!$C$61,L294*'Assumptions and Catalog'!$H$61+'Assumptions and Catalog'!$E$61+'Assumptions and Catalog'!$F$61,IF(L294&lt;='Assumptions and Catalog'!$C$62,L294*'Assumptions and Catalog'!$H$62+'Assumptions and Catalog'!$E$62+'Assumptions and Catalog'!$F$62,IF(L294&lt;='Assumptions and Catalog'!$C$63,L294*'Assumptions and Catalog'!$H$63+'Assumptions and Catalog'!$E$63+'Assumptions and Catalog'!$F$63,IF(L294&lt;='Assumptions and Catalog'!$C$64,L294*'Assumptions and Catalog'!$H$64+'Assumptions and Catalog'!$E$64+'Assumptions and Catalog'!$F$64,IF(L294&lt;='Assumptions and Catalog'!$C$65,L294*'Assumptions and Catalog'!$H$65+'Assumptions and Catalog'!$E$65+'Assumptions and Catalog'!$F$65,"Out of range")))))))))*(1+'Assumptions and Catalog'!$C$8)^(A294-1),0)</f>
        <v>3371.97302154441</v>
      </c>
      <c r="O294" s="5" t="n">
        <f>M294-N294</f>
        <v>3040.09897845559</v>
      </c>
      <c r="P294" s="5" t="n">
        <f>C$55*(1-J$14)*(1-'Assumptions and Catalog'!$C$23)^R294</f>
        <v>0</v>
      </c>
      <c r="Q294" s="5" t="n">
        <f>IF(ISNUMBER(Inputs!$L$5),(IF(Inputs!$L$9="Actual flat rate",((D294+E294)*C294-G294)*Inputs!$L$10,IF(Inputs!$C$9="Residential",IF(((D294+E294)*C294-G294)&lt;='Assumptions and Catalog'!$C$50,((D294+E294)*C294-G294)*'Assumptions and Catalog'!$H$50+'Assumptions and Catalog'!$E$50+'Assumptions and Catalog'!$F$50,IF(((D294+E294)*C294-G294)&lt;='Assumptions and Catalog'!$C$51,((D294+E294)*C294-G294)*'Assumptions and Catalog'!$H$51+'Assumptions and Catalog'!$E$51+'Assumptions and Catalog'!$F$51,IF(((D294+E294)*C294-G294)&lt;='Assumptions and Catalog'!$C$52,((D294+E294)*C294-G294)*'Assumptions and Catalog'!$H$52+'Assumptions and Catalog'!$E$52+'Assumptions and Catalog'!$F$52,IF(((D294+E294)*C294-G294)&lt;='Assumptions and Catalog'!$C$53,((D294+E294)*C294-G294)*'Assumptions and Catalog'!$H$53+'Assumptions and Catalog'!$E$53+'Assumptions and Catalog'!$F$53,IF(((D294+E294)*C294-G294)&lt;='Assumptions and Catalog'!$C$54,((D294+E294)*C294-G294)*'Assumptions and Catalog'!$H$54+'Assumptions and Catalog'!$E$54+'Assumptions and Catalog'!$F$54,IF(((D294+E294)*C294-G294)&lt;='Assumptions and Catalog'!$C$55,((D294+E294)*C294-G294)*'Assumptions and Catalog'!$H$55+'Assumptions and Catalog'!$E$55+'Assumptions and Catalog'!$F$55,IF(((D294+E294)*C294-G294)&lt;='Assumptions and Catalog'!$C$56,((D294+E294)*C294-G294)*'Assumptions and Catalog'!$H$56+'Assumptions and Catalog'!$E$56+'Assumptions and Catalog'!$F$56,IF(((D294+E294)*C294-G294)&lt;='Assumptions and Catalog'!$C$57,((D294+E294)*C294-G294)*'Assumptions and Catalog'!$H$57+'Assumptions and Catalog'!$E$57+'Assumptions and Catalog'!$F$57,"Out of range")))))))),IF(((D294+E294)*C294-G294)&lt;='Assumptions and Catalog'!$C$60,((D294+E294)*C294-G294)*'Assumptions and Catalog'!$H$60+'Assumptions and Catalog'!$E$60+'Assumptions and Catalog'!$F$60,IF(((D294+E294)*C294-G294)&lt;='Assumptions and Catalog'!$C$61,((D294+E294)*C294-G294)*'Assumptions and Catalog'!$H$61+'Assumptions and Catalog'!$E$61+'Assumptions and Catalog'!$F$61,IF(((D294+E294)*C294-G294)&lt;='Assumptions and Catalog'!$C$62,((D294+E294)*C294-G294)*'Assumptions and Catalog'!$H$62+'Assumptions and Catalog'!$E$62+'Assumptions and Catalog'!$F$62,IF(((D294+E294)*C294-G294)&lt;='Assumptions and Catalog'!$C$63,((D294+E294)*C294-G294)*'Assumptions and Catalog'!$H$63+'Assumptions and Catalog'!$E$63+'Assumptions and Catalog'!$F$63,IF(((D294+E294)*C294-G294)&lt;='Assumptions and Catalog'!$C$64,((D294+E294)*C294-G294)*'Assumptions and Catalog'!$H$64+'Assumptions and Catalog'!$E$64+'Assumptions and Catalog'!$F$64,IF(((D294+E294)*C294-G294)&lt;='Assumptions and Catalog'!$C$65,((D294+E294)*C294-G294)*'Assumptions and Catalog'!$H$65+'Assumptions and Catalog'!$E$65+'Assumptions and Catalog'!$F$65,"Out of range")))))))))*(1+'Assumptions and Catalog'!$C$8)^(A294-1),0)</f>
        <v>3371.97302154441</v>
      </c>
      <c r="R294" s="5" t="n">
        <f>IF(AND('Assumptions and Catalog'!$C$19&gt;0,A294&gt;='Assumptions and Catalog'!$C$19),A294-'Assumptions and Catalog'!$C$19,A294-1)</f>
        <v>1</v>
      </c>
      <c r="S294" s="5" t="n">
        <f>F294+L294-(D294+E294)*C294-J294-K294-0</f>
        <v>0</v>
      </c>
      <c r="T294" s="5"/>
      <c r="U294" s="5"/>
    </row>
    <row r="295" ht="23.100000381469727" customHeight="1">
      <c r="A295" s="5" t="n">
        <v>12</v>
      </c>
      <c r="B295" s="5" t="n">
        <v>3</v>
      </c>
      <c r="C295" s="5" t="n">
        <f>DAY(DATE('Assumptions and Catalog'!$C$24+A295-1,B295+1,0))</f>
        <v>31</v>
      </c>
      <c r="D295" s="5" t="n">
        <f>IF(ISNUMBER(Inputs!$L$5),Inputs!$L$5*Inputs!$L$6,0)</f>
        <v>40.35</v>
      </c>
      <c r="E295" s="5" t="n">
        <f>IF(ISNUMBER(Inputs!$L$5),Inputs!$L$5-D295,0)</f>
        <v>40.35</v>
      </c>
      <c r="F295" s="5" t="n">
        <f>C$51*INDEX('Solar Production'!$D$20:$D$31,B295)*C295*(1-'Assumptions and Catalog'!$C$10)^(A295-1)</f>
        <v>1341.29484389783</v>
      </c>
      <c r="G295" s="5" t="n">
        <f>MIN(F295,D295*C295)</f>
        <v>1250.85</v>
      </c>
      <c r="H295" s="5" t="n">
        <f>I295/('Assumptions and Catalog'!$C$11*'Assumptions and Catalog'!$C$12)</f>
        <v>0</v>
      </c>
      <c r="I295" s="5" t="n">
        <f>0</f>
        <v>0</v>
      </c>
      <c r="J295" s="5" t="n">
        <f>MAX(F295-G295-H295,0)</f>
        <v>90.4448438978272</v>
      </c>
      <c r="K295" s="5" t="n">
        <f>H295-I295</f>
        <v>0</v>
      </c>
      <c r="L295" s="5" t="n">
        <f>(D295+E295)*C295-G295-I295+0+0</f>
        <v>1250.85</v>
      </c>
      <c r="M295" s="5" t="n">
        <f>IF(ISNUMBER(Inputs!$L$5),(IF(Inputs!$L$9="Actual flat rate",((D295+E295)*C295)*Inputs!$L$10,IF(Inputs!$C$9="Residential",IF(((D295+E295)*C295)&lt;='Assumptions and Catalog'!$C$50,((D295+E295)*C295)*'Assumptions and Catalog'!$H$50+'Assumptions and Catalog'!$E$50+'Assumptions and Catalog'!$F$50,IF(((D295+E295)*C295)&lt;='Assumptions and Catalog'!$C$51,((D295+E295)*C295)*'Assumptions and Catalog'!$H$51+'Assumptions and Catalog'!$E$51+'Assumptions and Catalog'!$F$51,IF(((D295+E295)*C295)&lt;='Assumptions and Catalog'!$C$52,((D295+E295)*C295)*'Assumptions and Catalog'!$H$52+'Assumptions and Catalog'!$E$52+'Assumptions and Catalog'!$F$52,IF(((D295+E295)*C295)&lt;='Assumptions and Catalog'!$C$53,((D295+E295)*C295)*'Assumptions and Catalog'!$H$53+'Assumptions and Catalog'!$E$53+'Assumptions and Catalog'!$F$53,IF(((D295+E295)*C295)&lt;='Assumptions and Catalog'!$C$54,((D295+E295)*C295)*'Assumptions and Catalog'!$H$54+'Assumptions and Catalog'!$E$54+'Assumptions and Catalog'!$F$54,IF(((D295+E295)*C295)&lt;='Assumptions and Catalog'!$C$55,((D295+E295)*C295)*'Assumptions and Catalog'!$H$55+'Assumptions and Catalog'!$E$55+'Assumptions and Catalog'!$F$55,IF(((D295+E295)*C295)&lt;='Assumptions and Catalog'!$C$56,((D295+E295)*C295)*'Assumptions and Catalog'!$H$56+'Assumptions and Catalog'!$E$56+'Assumptions and Catalog'!$F$56,IF(((D295+E295)*C295)&lt;='Assumptions and Catalog'!$C$57,((D295+E295)*C295)*'Assumptions and Catalog'!$H$57+'Assumptions and Catalog'!$E$57+'Assumptions and Catalog'!$F$57,"Out of range")))))))),IF(((D295+E295)*C295)&lt;='Assumptions and Catalog'!$C$60,((D295+E295)*C295)*'Assumptions and Catalog'!$H$60+'Assumptions and Catalog'!$E$60+'Assumptions and Catalog'!$F$60,IF(((D295+E295)*C295)&lt;='Assumptions and Catalog'!$C$61,((D295+E295)*C295)*'Assumptions and Catalog'!$H$61+'Assumptions and Catalog'!$E$61+'Assumptions and Catalog'!$F$61,IF(((D295+E295)*C295)&lt;='Assumptions and Catalog'!$C$62,((D295+E295)*C295)*'Assumptions and Catalog'!$H$62+'Assumptions and Catalog'!$E$62+'Assumptions and Catalog'!$F$62,IF(((D295+E295)*C295)&lt;='Assumptions and Catalog'!$C$63,((D295+E295)*C295)*'Assumptions and Catalog'!$H$63+'Assumptions and Catalog'!$E$63+'Assumptions and Catalog'!$F$63,IF(((D295+E295)*C295)&lt;='Assumptions and Catalog'!$C$64,((D295+E295)*C295)*'Assumptions and Catalog'!$H$64+'Assumptions and Catalog'!$E$64+'Assumptions and Catalog'!$F$64,IF(((D295+E295)*C295)&lt;='Assumptions and Catalog'!$C$65,((D295+E295)*C295)*'Assumptions and Catalog'!$H$65+'Assumptions and Catalog'!$E$65+'Assumptions and Catalog'!$F$65,"Out of range")))))))))*(1+'Assumptions and Catalog'!$C$8)^(A295-1),0)</f>
        <v>7094.794</v>
      </c>
      <c r="N295" s="5" t="n">
        <f>IF(ISNUMBER(Inputs!$L$5),(IF(Inputs!$L$9="Actual flat rate",L295*Inputs!$L$10,IF(Inputs!$C$9="Residential",IF(L295&lt;='Assumptions and Catalog'!$C$50,L295*'Assumptions and Catalog'!$H$50+'Assumptions and Catalog'!$E$50+'Assumptions and Catalog'!$F$50,IF(L295&lt;='Assumptions and Catalog'!$C$51,L295*'Assumptions and Catalog'!$H$51+'Assumptions and Catalog'!$E$51+'Assumptions and Catalog'!$F$51,IF(L295&lt;='Assumptions and Catalog'!$C$52,L295*'Assumptions and Catalog'!$H$52+'Assumptions and Catalog'!$E$52+'Assumptions and Catalog'!$F$52,IF(L295&lt;='Assumptions and Catalog'!$C$53,L295*'Assumptions and Catalog'!$H$53+'Assumptions and Catalog'!$E$53+'Assumptions and Catalog'!$F$53,IF(L295&lt;='Assumptions and Catalog'!$C$54,L295*'Assumptions and Catalog'!$H$54+'Assumptions and Catalog'!$E$54+'Assumptions and Catalog'!$F$54,IF(L295&lt;='Assumptions and Catalog'!$C$55,L295*'Assumptions and Catalog'!$H$55+'Assumptions and Catalog'!$E$55+'Assumptions and Catalog'!$F$55,IF(L295&lt;='Assumptions and Catalog'!$C$56,L295*'Assumptions and Catalog'!$H$56+'Assumptions and Catalog'!$E$56+'Assumptions and Catalog'!$F$56,IF(L295&lt;='Assumptions and Catalog'!$C$57,L295*'Assumptions and Catalog'!$H$57+'Assumptions and Catalog'!$E$57+'Assumptions and Catalog'!$F$57,"Out of range")))))))),IF(L295&lt;='Assumptions and Catalog'!$C$60,L295*'Assumptions and Catalog'!$H$60+'Assumptions and Catalog'!$E$60+'Assumptions and Catalog'!$F$60,IF(L295&lt;='Assumptions and Catalog'!$C$61,L295*'Assumptions and Catalog'!$H$61+'Assumptions and Catalog'!$E$61+'Assumptions and Catalog'!$F$61,IF(L295&lt;='Assumptions and Catalog'!$C$62,L295*'Assumptions and Catalog'!$H$62+'Assumptions and Catalog'!$E$62+'Assumptions and Catalog'!$F$62,IF(L295&lt;='Assumptions and Catalog'!$C$63,L295*'Assumptions and Catalog'!$H$63+'Assumptions and Catalog'!$E$63+'Assumptions and Catalog'!$F$63,IF(L295&lt;='Assumptions and Catalog'!$C$64,L295*'Assumptions and Catalog'!$H$64+'Assumptions and Catalog'!$E$64+'Assumptions and Catalog'!$F$64,IF(L295&lt;='Assumptions and Catalog'!$C$65,L295*'Assumptions and Catalog'!$H$65+'Assumptions and Catalog'!$E$65+'Assumptions and Catalog'!$F$65,"Out of range")))))))))*(1+'Assumptions and Catalog'!$C$8)^(A295-1),0)</f>
        <v>3567.397</v>
      </c>
      <c r="O295" s="5" t="n">
        <f>M295-N295</f>
        <v>3527.397</v>
      </c>
      <c r="P295" s="5" t="n">
        <f>C$55*(1-J$14)*(1-'Assumptions and Catalog'!$C$23)^R295</f>
        <v>0</v>
      </c>
      <c r="Q295" s="5" t="n">
        <f>IF(ISNUMBER(Inputs!$L$5),(IF(Inputs!$L$9="Actual flat rate",((D295+E295)*C295-G295)*Inputs!$L$10,IF(Inputs!$C$9="Residential",IF(((D295+E295)*C295-G295)&lt;='Assumptions and Catalog'!$C$50,((D295+E295)*C295-G295)*'Assumptions and Catalog'!$H$50+'Assumptions and Catalog'!$E$50+'Assumptions and Catalog'!$F$50,IF(((D295+E295)*C295-G295)&lt;='Assumptions and Catalog'!$C$51,((D295+E295)*C295-G295)*'Assumptions and Catalog'!$H$51+'Assumptions and Catalog'!$E$51+'Assumptions and Catalog'!$F$51,IF(((D295+E295)*C295-G295)&lt;='Assumptions and Catalog'!$C$52,((D295+E295)*C295-G295)*'Assumptions and Catalog'!$H$52+'Assumptions and Catalog'!$E$52+'Assumptions and Catalog'!$F$52,IF(((D295+E295)*C295-G295)&lt;='Assumptions and Catalog'!$C$53,((D295+E295)*C295-G295)*'Assumptions and Catalog'!$H$53+'Assumptions and Catalog'!$E$53+'Assumptions and Catalog'!$F$53,IF(((D295+E295)*C295-G295)&lt;='Assumptions and Catalog'!$C$54,((D295+E295)*C295-G295)*'Assumptions and Catalog'!$H$54+'Assumptions and Catalog'!$E$54+'Assumptions and Catalog'!$F$54,IF(((D295+E295)*C295-G295)&lt;='Assumptions and Catalog'!$C$55,((D295+E295)*C295-G295)*'Assumptions and Catalog'!$H$55+'Assumptions and Catalog'!$E$55+'Assumptions and Catalog'!$F$55,IF(((D295+E295)*C295-G295)&lt;='Assumptions and Catalog'!$C$56,((D295+E295)*C295-G295)*'Assumptions and Catalog'!$H$56+'Assumptions and Catalog'!$E$56+'Assumptions and Catalog'!$F$56,IF(((D295+E295)*C295-G295)&lt;='Assumptions and Catalog'!$C$57,((D295+E295)*C295-G295)*'Assumptions and Catalog'!$H$57+'Assumptions and Catalog'!$E$57+'Assumptions and Catalog'!$F$57,"Out of range")))))))),IF(((D295+E295)*C295-G295)&lt;='Assumptions and Catalog'!$C$60,((D295+E295)*C295-G295)*'Assumptions and Catalog'!$H$60+'Assumptions and Catalog'!$E$60+'Assumptions and Catalog'!$F$60,IF(((D295+E295)*C295-G295)&lt;='Assumptions and Catalog'!$C$61,((D295+E295)*C295-G295)*'Assumptions and Catalog'!$H$61+'Assumptions and Catalog'!$E$61+'Assumptions and Catalog'!$F$61,IF(((D295+E295)*C295-G295)&lt;='Assumptions and Catalog'!$C$62,((D295+E295)*C295-G295)*'Assumptions and Catalog'!$H$62+'Assumptions and Catalog'!$E$62+'Assumptions and Catalog'!$F$62,IF(((D295+E295)*C295-G295)&lt;='Assumptions and Catalog'!$C$63,((D295+E295)*C295-G295)*'Assumptions and Catalog'!$H$63+'Assumptions and Catalog'!$E$63+'Assumptions and Catalog'!$F$63,IF(((D295+E295)*C295-G295)&lt;='Assumptions and Catalog'!$C$64,((D295+E295)*C295-G295)*'Assumptions and Catalog'!$H$64+'Assumptions and Catalog'!$E$64+'Assumptions and Catalog'!$F$64,IF(((D295+E295)*C295-G295)&lt;='Assumptions and Catalog'!$C$65,((D295+E295)*C295-G295)*'Assumptions and Catalog'!$H$65+'Assumptions and Catalog'!$E$65+'Assumptions and Catalog'!$F$65,"Out of range")))))))))*(1+'Assumptions and Catalog'!$C$8)^(A295-1),0)</f>
        <v>3567.397</v>
      </c>
      <c r="R295" s="5" t="n">
        <f>IF(AND('Assumptions and Catalog'!$C$19&gt;0,A295&gt;='Assumptions and Catalog'!$C$19),A295-'Assumptions and Catalog'!$C$19,A295-1)</f>
        <v>1</v>
      </c>
      <c r="S295" s="5" t="n">
        <f>F295+L295-(D295+E295)*C295-J295-K295-0</f>
        <v>0</v>
      </c>
      <c r="T295" s="5"/>
      <c r="U295" s="5"/>
    </row>
    <row r="296" ht="23.100000381469727" customHeight="1">
      <c r="A296" s="5" t="n">
        <v>12</v>
      </c>
      <c r="B296" s="5" t="n">
        <v>4</v>
      </c>
      <c r="C296" s="5" t="n">
        <f>DAY(DATE('Assumptions and Catalog'!$C$24+A296-1,B296+1,0))</f>
        <v>30</v>
      </c>
      <c r="D296" s="5" t="n">
        <f>IF(ISNUMBER(Inputs!$L$5),Inputs!$L$5*Inputs!$L$6,0)</f>
        <v>40.35</v>
      </c>
      <c r="E296" s="5" t="n">
        <f>IF(ISNUMBER(Inputs!$L$5),Inputs!$L$5-D296,0)</f>
        <v>40.35</v>
      </c>
      <c r="F296" s="5" t="n">
        <f>C$51*INDEX('Solar Production'!$D$20:$D$31,B296)*C296*(1-'Assumptions and Catalog'!$C$10)^(A296-1)</f>
        <v>1339.62925983736</v>
      </c>
      <c r="G296" s="5" t="n">
        <f>MIN(F296,D296*C296)</f>
        <v>1210.5</v>
      </c>
      <c r="H296" s="5" t="n">
        <f>I296/('Assumptions and Catalog'!$C$11*'Assumptions and Catalog'!$C$12)</f>
        <v>0</v>
      </c>
      <c r="I296" s="5" t="n">
        <f>0</f>
        <v>0</v>
      </c>
      <c r="J296" s="5" t="n">
        <f>MAX(F296-G296-H296,0)</f>
        <v>129.129259837356</v>
      </c>
      <c r="K296" s="5" t="n">
        <f>H296-I296</f>
        <v>0</v>
      </c>
      <c r="L296" s="5" t="n">
        <f>(D296+E296)*C296-G296-I296+0+0</f>
        <v>1210.5</v>
      </c>
      <c r="M296" s="5" t="n">
        <f>IF(ISNUMBER(Inputs!$L$5),(IF(Inputs!$L$9="Actual flat rate",((D296+E296)*C296)*Inputs!$L$10,IF(Inputs!$C$9="Residential",IF(((D296+E296)*C296)&lt;='Assumptions and Catalog'!$C$50,((D296+E296)*C296)*'Assumptions and Catalog'!$H$50+'Assumptions and Catalog'!$E$50+'Assumptions and Catalog'!$F$50,IF(((D296+E296)*C296)&lt;='Assumptions and Catalog'!$C$51,((D296+E296)*C296)*'Assumptions and Catalog'!$H$51+'Assumptions and Catalog'!$E$51+'Assumptions and Catalog'!$F$51,IF(((D296+E296)*C296)&lt;='Assumptions and Catalog'!$C$52,((D296+E296)*C296)*'Assumptions and Catalog'!$H$52+'Assumptions and Catalog'!$E$52+'Assumptions and Catalog'!$F$52,IF(((D296+E296)*C296)&lt;='Assumptions and Catalog'!$C$53,((D296+E296)*C296)*'Assumptions and Catalog'!$H$53+'Assumptions and Catalog'!$E$53+'Assumptions and Catalog'!$F$53,IF(((D296+E296)*C296)&lt;='Assumptions and Catalog'!$C$54,((D296+E296)*C296)*'Assumptions and Catalog'!$H$54+'Assumptions and Catalog'!$E$54+'Assumptions and Catalog'!$F$54,IF(((D296+E296)*C296)&lt;='Assumptions and Catalog'!$C$55,((D296+E296)*C296)*'Assumptions and Catalog'!$H$55+'Assumptions and Catalog'!$E$55+'Assumptions and Catalog'!$F$55,IF(((D296+E296)*C296)&lt;='Assumptions and Catalog'!$C$56,((D296+E296)*C296)*'Assumptions and Catalog'!$H$56+'Assumptions and Catalog'!$E$56+'Assumptions and Catalog'!$F$56,IF(((D296+E296)*C296)&lt;='Assumptions and Catalog'!$C$57,((D296+E296)*C296)*'Assumptions and Catalog'!$H$57+'Assumptions and Catalog'!$E$57+'Assumptions and Catalog'!$F$57,"Out of range")))))))),IF(((D296+E296)*C296)&lt;='Assumptions and Catalog'!$C$60,((D296+E296)*C296)*'Assumptions and Catalog'!$H$60+'Assumptions and Catalog'!$E$60+'Assumptions and Catalog'!$F$60,IF(((D296+E296)*C296)&lt;='Assumptions and Catalog'!$C$61,((D296+E296)*C296)*'Assumptions and Catalog'!$H$61+'Assumptions and Catalog'!$E$61+'Assumptions and Catalog'!$F$61,IF(((D296+E296)*C296)&lt;='Assumptions and Catalog'!$C$62,((D296+E296)*C296)*'Assumptions and Catalog'!$H$62+'Assumptions and Catalog'!$E$62+'Assumptions and Catalog'!$F$62,IF(((D296+E296)*C296)&lt;='Assumptions and Catalog'!$C$63,((D296+E296)*C296)*'Assumptions and Catalog'!$H$63+'Assumptions and Catalog'!$E$63+'Assumptions and Catalog'!$F$63,IF(((D296+E296)*C296)&lt;='Assumptions and Catalog'!$C$64,((D296+E296)*C296)*'Assumptions and Catalog'!$H$64+'Assumptions and Catalog'!$E$64+'Assumptions and Catalog'!$F$64,IF(((D296+E296)*C296)&lt;='Assumptions and Catalog'!$C$65,((D296+E296)*C296)*'Assumptions and Catalog'!$H$65+'Assumptions and Catalog'!$E$65+'Assumptions and Catalog'!$F$65,"Out of range")))))))))*(1+'Assumptions and Catalog'!$C$8)^(A296-1),0)</f>
        <v>6867.22</v>
      </c>
      <c r="N296" s="5" t="n">
        <f>IF(ISNUMBER(Inputs!$L$5),(IF(Inputs!$L$9="Actual flat rate",L296*Inputs!$L$10,IF(Inputs!$C$9="Residential",IF(L296&lt;='Assumptions and Catalog'!$C$50,L296*'Assumptions and Catalog'!$H$50+'Assumptions and Catalog'!$E$50+'Assumptions and Catalog'!$F$50,IF(L296&lt;='Assumptions and Catalog'!$C$51,L296*'Assumptions and Catalog'!$H$51+'Assumptions and Catalog'!$E$51+'Assumptions and Catalog'!$F$51,IF(L296&lt;='Assumptions and Catalog'!$C$52,L296*'Assumptions and Catalog'!$H$52+'Assumptions and Catalog'!$E$52+'Assumptions and Catalog'!$F$52,IF(L296&lt;='Assumptions and Catalog'!$C$53,L296*'Assumptions and Catalog'!$H$53+'Assumptions and Catalog'!$E$53+'Assumptions and Catalog'!$F$53,IF(L296&lt;='Assumptions and Catalog'!$C$54,L296*'Assumptions and Catalog'!$H$54+'Assumptions and Catalog'!$E$54+'Assumptions and Catalog'!$F$54,IF(L296&lt;='Assumptions and Catalog'!$C$55,L296*'Assumptions and Catalog'!$H$55+'Assumptions and Catalog'!$E$55+'Assumptions and Catalog'!$F$55,IF(L296&lt;='Assumptions and Catalog'!$C$56,L296*'Assumptions and Catalog'!$H$56+'Assumptions and Catalog'!$E$56+'Assumptions and Catalog'!$F$56,IF(L296&lt;='Assumptions and Catalog'!$C$57,L296*'Assumptions and Catalog'!$H$57+'Assumptions and Catalog'!$E$57+'Assumptions and Catalog'!$F$57,"Out of range")))))))),IF(L296&lt;='Assumptions and Catalog'!$C$60,L296*'Assumptions and Catalog'!$H$60+'Assumptions and Catalog'!$E$60+'Assumptions and Catalog'!$F$60,IF(L296&lt;='Assumptions and Catalog'!$C$61,L296*'Assumptions and Catalog'!$H$61+'Assumptions and Catalog'!$E$61+'Assumptions and Catalog'!$F$61,IF(L296&lt;='Assumptions and Catalog'!$C$62,L296*'Assumptions and Catalog'!$H$62+'Assumptions and Catalog'!$E$62+'Assumptions and Catalog'!$F$62,IF(L296&lt;='Assumptions and Catalog'!$C$63,L296*'Assumptions and Catalog'!$H$63+'Assumptions and Catalog'!$E$63+'Assumptions and Catalog'!$F$63,IF(L296&lt;='Assumptions and Catalog'!$C$64,L296*'Assumptions and Catalog'!$H$64+'Assumptions and Catalog'!$E$64+'Assumptions and Catalog'!$F$64,IF(L296&lt;='Assumptions and Catalog'!$C$65,L296*'Assumptions and Catalog'!$H$65+'Assumptions and Catalog'!$E$65+'Assumptions and Catalog'!$F$65,"Out of range")))))))))*(1+'Assumptions and Catalog'!$C$8)^(A296-1),0)</f>
        <v>3453.61</v>
      </c>
      <c r="O296" s="5" t="n">
        <f>M296-N296</f>
        <v>3413.61</v>
      </c>
      <c r="P296" s="5" t="n">
        <f>C$55*(1-J$14)*(1-'Assumptions and Catalog'!$C$23)^R296</f>
        <v>0</v>
      </c>
      <c r="Q296" s="5" t="n">
        <f>IF(ISNUMBER(Inputs!$L$5),(IF(Inputs!$L$9="Actual flat rate",((D296+E296)*C296-G296)*Inputs!$L$10,IF(Inputs!$C$9="Residential",IF(((D296+E296)*C296-G296)&lt;='Assumptions and Catalog'!$C$50,((D296+E296)*C296-G296)*'Assumptions and Catalog'!$H$50+'Assumptions and Catalog'!$E$50+'Assumptions and Catalog'!$F$50,IF(((D296+E296)*C296-G296)&lt;='Assumptions and Catalog'!$C$51,((D296+E296)*C296-G296)*'Assumptions and Catalog'!$H$51+'Assumptions and Catalog'!$E$51+'Assumptions and Catalog'!$F$51,IF(((D296+E296)*C296-G296)&lt;='Assumptions and Catalog'!$C$52,((D296+E296)*C296-G296)*'Assumptions and Catalog'!$H$52+'Assumptions and Catalog'!$E$52+'Assumptions and Catalog'!$F$52,IF(((D296+E296)*C296-G296)&lt;='Assumptions and Catalog'!$C$53,((D296+E296)*C296-G296)*'Assumptions and Catalog'!$H$53+'Assumptions and Catalog'!$E$53+'Assumptions and Catalog'!$F$53,IF(((D296+E296)*C296-G296)&lt;='Assumptions and Catalog'!$C$54,((D296+E296)*C296-G296)*'Assumptions and Catalog'!$H$54+'Assumptions and Catalog'!$E$54+'Assumptions and Catalog'!$F$54,IF(((D296+E296)*C296-G296)&lt;='Assumptions and Catalog'!$C$55,((D296+E296)*C296-G296)*'Assumptions and Catalog'!$H$55+'Assumptions and Catalog'!$E$55+'Assumptions and Catalog'!$F$55,IF(((D296+E296)*C296-G296)&lt;='Assumptions and Catalog'!$C$56,((D296+E296)*C296-G296)*'Assumptions and Catalog'!$H$56+'Assumptions and Catalog'!$E$56+'Assumptions and Catalog'!$F$56,IF(((D296+E296)*C296-G296)&lt;='Assumptions and Catalog'!$C$57,((D296+E296)*C296-G296)*'Assumptions and Catalog'!$H$57+'Assumptions and Catalog'!$E$57+'Assumptions and Catalog'!$F$57,"Out of range")))))))),IF(((D296+E296)*C296-G296)&lt;='Assumptions and Catalog'!$C$60,((D296+E296)*C296-G296)*'Assumptions and Catalog'!$H$60+'Assumptions and Catalog'!$E$60+'Assumptions and Catalog'!$F$60,IF(((D296+E296)*C296-G296)&lt;='Assumptions and Catalog'!$C$61,((D296+E296)*C296-G296)*'Assumptions and Catalog'!$H$61+'Assumptions and Catalog'!$E$61+'Assumptions and Catalog'!$F$61,IF(((D296+E296)*C296-G296)&lt;='Assumptions and Catalog'!$C$62,((D296+E296)*C296-G296)*'Assumptions and Catalog'!$H$62+'Assumptions and Catalog'!$E$62+'Assumptions and Catalog'!$F$62,IF(((D296+E296)*C296-G296)&lt;='Assumptions and Catalog'!$C$63,((D296+E296)*C296-G296)*'Assumptions and Catalog'!$H$63+'Assumptions and Catalog'!$E$63+'Assumptions and Catalog'!$F$63,IF(((D296+E296)*C296-G296)&lt;='Assumptions and Catalog'!$C$64,((D296+E296)*C296-G296)*'Assumptions and Catalog'!$H$64+'Assumptions and Catalog'!$E$64+'Assumptions and Catalog'!$F$64,IF(((D296+E296)*C296-G296)&lt;='Assumptions and Catalog'!$C$65,((D296+E296)*C296-G296)*'Assumptions and Catalog'!$H$65+'Assumptions and Catalog'!$E$65+'Assumptions and Catalog'!$F$65,"Out of range")))))))))*(1+'Assumptions and Catalog'!$C$8)^(A296-1),0)</f>
        <v>3453.61</v>
      </c>
      <c r="R296" s="5" t="n">
        <f>IF(AND('Assumptions and Catalog'!$C$19&gt;0,A296&gt;='Assumptions and Catalog'!$C$19),A296-'Assumptions and Catalog'!$C$19,A296-1)</f>
        <v>1</v>
      </c>
      <c r="S296" s="5" t="n">
        <f>F296+L296-(D296+E296)*C296-J296-K296-0</f>
        <v>0</v>
      </c>
      <c r="T296" s="5"/>
      <c r="U296" s="5"/>
    </row>
    <row r="297" ht="23.100000381469727" customHeight="1">
      <c r="A297" s="5" t="n">
        <v>12</v>
      </c>
      <c r="B297" s="5" t="n">
        <v>5</v>
      </c>
      <c r="C297" s="5" t="n">
        <f>DAY(DATE('Assumptions and Catalog'!$C$24+A297-1,B297+1,0))</f>
        <v>31</v>
      </c>
      <c r="D297" s="5" t="n">
        <f>IF(ISNUMBER(Inputs!$L$5),Inputs!$L$5*Inputs!$L$6,0)</f>
        <v>40.35</v>
      </c>
      <c r="E297" s="5" t="n">
        <f>IF(ISNUMBER(Inputs!$L$5),Inputs!$L$5-D297,0)</f>
        <v>40.35</v>
      </c>
      <c r="F297" s="5" t="n">
        <f>C$51*INDEX('Solar Production'!$D$20:$D$31,B297)*C297*(1-'Assumptions and Catalog'!$C$10)^(A297-1)</f>
        <v>1355.11919159974</v>
      </c>
      <c r="G297" s="5" t="n">
        <f>MIN(F297,D297*C297)</f>
        <v>1250.85</v>
      </c>
      <c r="H297" s="5" t="n">
        <f>I297/('Assumptions and Catalog'!$C$11*'Assumptions and Catalog'!$C$12)</f>
        <v>0</v>
      </c>
      <c r="I297" s="5" t="n">
        <f>0</f>
        <v>0</v>
      </c>
      <c r="J297" s="5" t="n">
        <f>MAX(F297-G297-H297,0)</f>
        <v>104.269191599742</v>
      </c>
      <c r="K297" s="5" t="n">
        <f>H297-I297</f>
        <v>0</v>
      </c>
      <c r="L297" s="5" t="n">
        <f>(D297+E297)*C297-G297-I297+0+0</f>
        <v>1250.85</v>
      </c>
      <c r="M297" s="5" t="n">
        <f>IF(ISNUMBER(Inputs!$L$5),(IF(Inputs!$L$9="Actual flat rate",((D297+E297)*C297)*Inputs!$L$10,IF(Inputs!$C$9="Residential",IF(((D297+E297)*C297)&lt;='Assumptions and Catalog'!$C$50,((D297+E297)*C297)*'Assumptions and Catalog'!$H$50+'Assumptions and Catalog'!$E$50+'Assumptions and Catalog'!$F$50,IF(((D297+E297)*C297)&lt;='Assumptions and Catalog'!$C$51,((D297+E297)*C297)*'Assumptions and Catalog'!$H$51+'Assumptions and Catalog'!$E$51+'Assumptions and Catalog'!$F$51,IF(((D297+E297)*C297)&lt;='Assumptions and Catalog'!$C$52,((D297+E297)*C297)*'Assumptions and Catalog'!$H$52+'Assumptions and Catalog'!$E$52+'Assumptions and Catalog'!$F$52,IF(((D297+E297)*C297)&lt;='Assumptions and Catalog'!$C$53,((D297+E297)*C297)*'Assumptions and Catalog'!$H$53+'Assumptions and Catalog'!$E$53+'Assumptions and Catalog'!$F$53,IF(((D297+E297)*C297)&lt;='Assumptions and Catalog'!$C$54,((D297+E297)*C297)*'Assumptions and Catalog'!$H$54+'Assumptions and Catalog'!$E$54+'Assumptions and Catalog'!$F$54,IF(((D297+E297)*C297)&lt;='Assumptions and Catalog'!$C$55,((D297+E297)*C297)*'Assumptions and Catalog'!$H$55+'Assumptions and Catalog'!$E$55+'Assumptions and Catalog'!$F$55,IF(((D297+E297)*C297)&lt;='Assumptions and Catalog'!$C$56,((D297+E297)*C297)*'Assumptions and Catalog'!$H$56+'Assumptions and Catalog'!$E$56+'Assumptions and Catalog'!$F$56,IF(((D297+E297)*C297)&lt;='Assumptions and Catalog'!$C$57,((D297+E297)*C297)*'Assumptions and Catalog'!$H$57+'Assumptions and Catalog'!$E$57+'Assumptions and Catalog'!$F$57,"Out of range")))))))),IF(((D297+E297)*C297)&lt;='Assumptions and Catalog'!$C$60,((D297+E297)*C297)*'Assumptions and Catalog'!$H$60+'Assumptions and Catalog'!$E$60+'Assumptions and Catalog'!$F$60,IF(((D297+E297)*C297)&lt;='Assumptions and Catalog'!$C$61,((D297+E297)*C297)*'Assumptions and Catalog'!$H$61+'Assumptions and Catalog'!$E$61+'Assumptions and Catalog'!$F$61,IF(((D297+E297)*C297)&lt;='Assumptions and Catalog'!$C$62,((D297+E297)*C297)*'Assumptions and Catalog'!$H$62+'Assumptions and Catalog'!$E$62+'Assumptions and Catalog'!$F$62,IF(((D297+E297)*C297)&lt;='Assumptions and Catalog'!$C$63,((D297+E297)*C297)*'Assumptions and Catalog'!$H$63+'Assumptions and Catalog'!$E$63+'Assumptions and Catalog'!$F$63,IF(((D297+E297)*C297)&lt;='Assumptions and Catalog'!$C$64,((D297+E297)*C297)*'Assumptions and Catalog'!$H$64+'Assumptions and Catalog'!$E$64+'Assumptions and Catalog'!$F$64,IF(((D297+E297)*C297)&lt;='Assumptions and Catalog'!$C$65,((D297+E297)*C297)*'Assumptions and Catalog'!$H$65+'Assumptions and Catalog'!$E$65+'Assumptions and Catalog'!$F$65,"Out of range")))))))))*(1+'Assumptions and Catalog'!$C$8)^(A297-1),0)</f>
        <v>7094.794</v>
      </c>
      <c r="N297" s="5" t="n">
        <f>IF(ISNUMBER(Inputs!$L$5),(IF(Inputs!$L$9="Actual flat rate",L297*Inputs!$L$10,IF(Inputs!$C$9="Residential",IF(L297&lt;='Assumptions and Catalog'!$C$50,L297*'Assumptions and Catalog'!$H$50+'Assumptions and Catalog'!$E$50+'Assumptions and Catalog'!$F$50,IF(L297&lt;='Assumptions and Catalog'!$C$51,L297*'Assumptions and Catalog'!$H$51+'Assumptions and Catalog'!$E$51+'Assumptions and Catalog'!$F$51,IF(L297&lt;='Assumptions and Catalog'!$C$52,L297*'Assumptions and Catalog'!$H$52+'Assumptions and Catalog'!$E$52+'Assumptions and Catalog'!$F$52,IF(L297&lt;='Assumptions and Catalog'!$C$53,L297*'Assumptions and Catalog'!$H$53+'Assumptions and Catalog'!$E$53+'Assumptions and Catalog'!$F$53,IF(L297&lt;='Assumptions and Catalog'!$C$54,L297*'Assumptions and Catalog'!$H$54+'Assumptions and Catalog'!$E$54+'Assumptions and Catalog'!$F$54,IF(L297&lt;='Assumptions and Catalog'!$C$55,L297*'Assumptions and Catalog'!$H$55+'Assumptions and Catalog'!$E$55+'Assumptions and Catalog'!$F$55,IF(L297&lt;='Assumptions and Catalog'!$C$56,L297*'Assumptions and Catalog'!$H$56+'Assumptions and Catalog'!$E$56+'Assumptions and Catalog'!$F$56,IF(L297&lt;='Assumptions and Catalog'!$C$57,L297*'Assumptions and Catalog'!$H$57+'Assumptions and Catalog'!$E$57+'Assumptions and Catalog'!$F$57,"Out of range")))))))),IF(L297&lt;='Assumptions and Catalog'!$C$60,L297*'Assumptions and Catalog'!$H$60+'Assumptions and Catalog'!$E$60+'Assumptions and Catalog'!$F$60,IF(L297&lt;='Assumptions and Catalog'!$C$61,L297*'Assumptions and Catalog'!$H$61+'Assumptions and Catalog'!$E$61+'Assumptions and Catalog'!$F$61,IF(L297&lt;='Assumptions and Catalog'!$C$62,L297*'Assumptions and Catalog'!$H$62+'Assumptions and Catalog'!$E$62+'Assumptions and Catalog'!$F$62,IF(L297&lt;='Assumptions and Catalog'!$C$63,L297*'Assumptions and Catalog'!$H$63+'Assumptions and Catalog'!$E$63+'Assumptions and Catalog'!$F$63,IF(L297&lt;='Assumptions and Catalog'!$C$64,L297*'Assumptions and Catalog'!$H$64+'Assumptions and Catalog'!$E$64+'Assumptions and Catalog'!$F$64,IF(L297&lt;='Assumptions and Catalog'!$C$65,L297*'Assumptions and Catalog'!$H$65+'Assumptions and Catalog'!$E$65+'Assumptions and Catalog'!$F$65,"Out of range")))))))))*(1+'Assumptions and Catalog'!$C$8)^(A297-1),0)</f>
        <v>3567.397</v>
      </c>
      <c r="O297" s="5" t="n">
        <f>M297-N297</f>
        <v>3527.397</v>
      </c>
      <c r="P297" s="5" t="n">
        <f>C$55*(1-J$14)*(1-'Assumptions and Catalog'!$C$23)^R297</f>
        <v>0</v>
      </c>
      <c r="Q297" s="5" t="n">
        <f>IF(ISNUMBER(Inputs!$L$5),(IF(Inputs!$L$9="Actual flat rate",((D297+E297)*C297-G297)*Inputs!$L$10,IF(Inputs!$C$9="Residential",IF(((D297+E297)*C297-G297)&lt;='Assumptions and Catalog'!$C$50,((D297+E297)*C297-G297)*'Assumptions and Catalog'!$H$50+'Assumptions and Catalog'!$E$50+'Assumptions and Catalog'!$F$50,IF(((D297+E297)*C297-G297)&lt;='Assumptions and Catalog'!$C$51,((D297+E297)*C297-G297)*'Assumptions and Catalog'!$H$51+'Assumptions and Catalog'!$E$51+'Assumptions and Catalog'!$F$51,IF(((D297+E297)*C297-G297)&lt;='Assumptions and Catalog'!$C$52,((D297+E297)*C297-G297)*'Assumptions and Catalog'!$H$52+'Assumptions and Catalog'!$E$52+'Assumptions and Catalog'!$F$52,IF(((D297+E297)*C297-G297)&lt;='Assumptions and Catalog'!$C$53,((D297+E297)*C297-G297)*'Assumptions and Catalog'!$H$53+'Assumptions and Catalog'!$E$53+'Assumptions and Catalog'!$F$53,IF(((D297+E297)*C297-G297)&lt;='Assumptions and Catalog'!$C$54,((D297+E297)*C297-G297)*'Assumptions and Catalog'!$H$54+'Assumptions and Catalog'!$E$54+'Assumptions and Catalog'!$F$54,IF(((D297+E297)*C297-G297)&lt;='Assumptions and Catalog'!$C$55,((D297+E297)*C297-G297)*'Assumptions and Catalog'!$H$55+'Assumptions and Catalog'!$E$55+'Assumptions and Catalog'!$F$55,IF(((D297+E297)*C297-G297)&lt;='Assumptions and Catalog'!$C$56,((D297+E297)*C297-G297)*'Assumptions and Catalog'!$H$56+'Assumptions and Catalog'!$E$56+'Assumptions and Catalog'!$F$56,IF(((D297+E297)*C297-G297)&lt;='Assumptions and Catalog'!$C$57,((D297+E297)*C297-G297)*'Assumptions and Catalog'!$H$57+'Assumptions and Catalog'!$E$57+'Assumptions and Catalog'!$F$57,"Out of range")))))))),IF(((D297+E297)*C297-G297)&lt;='Assumptions and Catalog'!$C$60,((D297+E297)*C297-G297)*'Assumptions and Catalog'!$H$60+'Assumptions and Catalog'!$E$60+'Assumptions and Catalog'!$F$60,IF(((D297+E297)*C297-G297)&lt;='Assumptions and Catalog'!$C$61,((D297+E297)*C297-G297)*'Assumptions and Catalog'!$H$61+'Assumptions and Catalog'!$E$61+'Assumptions and Catalog'!$F$61,IF(((D297+E297)*C297-G297)&lt;='Assumptions and Catalog'!$C$62,((D297+E297)*C297-G297)*'Assumptions and Catalog'!$H$62+'Assumptions and Catalog'!$E$62+'Assumptions and Catalog'!$F$62,IF(((D297+E297)*C297-G297)&lt;='Assumptions and Catalog'!$C$63,((D297+E297)*C297-G297)*'Assumptions and Catalog'!$H$63+'Assumptions and Catalog'!$E$63+'Assumptions and Catalog'!$F$63,IF(((D297+E297)*C297-G297)&lt;='Assumptions and Catalog'!$C$64,((D297+E297)*C297-G297)*'Assumptions and Catalog'!$H$64+'Assumptions and Catalog'!$E$64+'Assumptions and Catalog'!$F$64,IF(((D297+E297)*C297-G297)&lt;='Assumptions and Catalog'!$C$65,((D297+E297)*C297-G297)*'Assumptions and Catalog'!$H$65+'Assumptions and Catalog'!$E$65+'Assumptions and Catalog'!$F$65,"Out of range")))))))))*(1+'Assumptions and Catalog'!$C$8)^(A297-1),0)</f>
        <v>3567.397</v>
      </c>
      <c r="R297" s="5" t="n">
        <f>IF(AND('Assumptions and Catalog'!$C$19&gt;0,A297&gt;='Assumptions and Catalog'!$C$19),A297-'Assumptions and Catalog'!$C$19,A297-1)</f>
        <v>1</v>
      </c>
      <c r="S297" s="5" t="n">
        <f>F297+L297-(D297+E297)*C297-J297-K297-0</f>
        <v>0</v>
      </c>
      <c r="T297" s="5"/>
      <c r="U297" s="5"/>
    </row>
    <row r="298" ht="23.100000381469727" customHeight="1">
      <c r="A298" s="5" t="n">
        <v>12</v>
      </c>
      <c r="B298" s="5" t="n">
        <v>6</v>
      </c>
      <c r="C298" s="5" t="n">
        <f>DAY(DATE('Assumptions and Catalog'!$C$24+A298-1,B298+1,0))</f>
        <v>30</v>
      </c>
      <c r="D298" s="5" t="n">
        <f>IF(ISNUMBER(Inputs!$L$5),Inputs!$L$5*Inputs!$L$6,0)</f>
        <v>40.35</v>
      </c>
      <c r="E298" s="5" t="n">
        <f>IF(ISNUMBER(Inputs!$L$5),Inputs!$L$5-D298,0)</f>
        <v>40.35</v>
      </c>
      <c r="F298" s="5" t="n">
        <f>C$51*INDEX('Solar Production'!$D$20:$D$31,B298)*C298*(1-'Assumptions and Catalog'!$C$10)^(A298-1)</f>
        <v>1320.97471836007</v>
      </c>
      <c r="G298" s="5" t="n">
        <f>MIN(F298,D298*C298)</f>
        <v>1210.5</v>
      </c>
      <c r="H298" s="5" t="n">
        <f>I298/('Assumptions and Catalog'!$C$11*'Assumptions and Catalog'!$C$12)</f>
        <v>0</v>
      </c>
      <c r="I298" s="5" t="n">
        <f>0</f>
        <v>0</v>
      </c>
      <c r="J298" s="5" t="n">
        <f>MAX(F298-G298-H298,0)</f>
        <v>110.474718360073</v>
      </c>
      <c r="K298" s="5" t="n">
        <f>H298-I298</f>
        <v>0</v>
      </c>
      <c r="L298" s="5" t="n">
        <f>(D298+E298)*C298-G298-I298+0+0</f>
        <v>1210.5</v>
      </c>
      <c r="M298" s="5" t="n">
        <f>IF(ISNUMBER(Inputs!$L$5),(IF(Inputs!$L$9="Actual flat rate",((D298+E298)*C298)*Inputs!$L$10,IF(Inputs!$C$9="Residential",IF(((D298+E298)*C298)&lt;='Assumptions and Catalog'!$C$50,((D298+E298)*C298)*'Assumptions and Catalog'!$H$50+'Assumptions and Catalog'!$E$50+'Assumptions and Catalog'!$F$50,IF(((D298+E298)*C298)&lt;='Assumptions and Catalog'!$C$51,((D298+E298)*C298)*'Assumptions and Catalog'!$H$51+'Assumptions and Catalog'!$E$51+'Assumptions and Catalog'!$F$51,IF(((D298+E298)*C298)&lt;='Assumptions and Catalog'!$C$52,((D298+E298)*C298)*'Assumptions and Catalog'!$H$52+'Assumptions and Catalog'!$E$52+'Assumptions and Catalog'!$F$52,IF(((D298+E298)*C298)&lt;='Assumptions and Catalog'!$C$53,((D298+E298)*C298)*'Assumptions and Catalog'!$H$53+'Assumptions and Catalog'!$E$53+'Assumptions and Catalog'!$F$53,IF(((D298+E298)*C298)&lt;='Assumptions and Catalog'!$C$54,((D298+E298)*C298)*'Assumptions and Catalog'!$H$54+'Assumptions and Catalog'!$E$54+'Assumptions and Catalog'!$F$54,IF(((D298+E298)*C298)&lt;='Assumptions and Catalog'!$C$55,((D298+E298)*C298)*'Assumptions and Catalog'!$H$55+'Assumptions and Catalog'!$E$55+'Assumptions and Catalog'!$F$55,IF(((D298+E298)*C298)&lt;='Assumptions and Catalog'!$C$56,((D298+E298)*C298)*'Assumptions and Catalog'!$H$56+'Assumptions and Catalog'!$E$56+'Assumptions and Catalog'!$F$56,IF(((D298+E298)*C298)&lt;='Assumptions and Catalog'!$C$57,((D298+E298)*C298)*'Assumptions and Catalog'!$H$57+'Assumptions and Catalog'!$E$57+'Assumptions and Catalog'!$F$57,"Out of range")))))))),IF(((D298+E298)*C298)&lt;='Assumptions and Catalog'!$C$60,((D298+E298)*C298)*'Assumptions and Catalog'!$H$60+'Assumptions and Catalog'!$E$60+'Assumptions and Catalog'!$F$60,IF(((D298+E298)*C298)&lt;='Assumptions and Catalog'!$C$61,((D298+E298)*C298)*'Assumptions and Catalog'!$H$61+'Assumptions and Catalog'!$E$61+'Assumptions and Catalog'!$F$61,IF(((D298+E298)*C298)&lt;='Assumptions and Catalog'!$C$62,((D298+E298)*C298)*'Assumptions and Catalog'!$H$62+'Assumptions and Catalog'!$E$62+'Assumptions and Catalog'!$F$62,IF(((D298+E298)*C298)&lt;='Assumptions and Catalog'!$C$63,((D298+E298)*C298)*'Assumptions and Catalog'!$H$63+'Assumptions and Catalog'!$E$63+'Assumptions and Catalog'!$F$63,IF(((D298+E298)*C298)&lt;='Assumptions and Catalog'!$C$64,((D298+E298)*C298)*'Assumptions and Catalog'!$H$64+'Assumptions and Catalog'!$E$64+'Assumptions and Catalog'!$F$64,IF(((D298+E298)*C298)&lt;='Assumptions and Catalog'!$C$65,((D298+E298)*C298)*'Assumptions and Catalog'!$H$65+'Assumptions and Catalog'!$E$65+'Assumptions and Catalog'!$F$65,"Out of range")))))))))*(1+'Assumptions and Catalog'!$C$8)^(A298-1),0)</f>
        <v>6867.22</v>
      </c>
      <c r="N298" s="5" t="n">
        <f>IF(ISNUMBER(Inputs!$L$5),(IF(Inputs!$L$9="Actual flat rate",L298*Inputs!$L$10,IF(Inputs!$C$9="Residential",IF(L298&lt;='Assumptions and Catalog'!$C$50,L298*'Assumptions and Catalog'!$H$50+'Assumptions and Catalog'!$E$50+'Assumptions and Catalog'!$F$50,IF(L298&lt;='Assumptions and Catalog'!$C$51,L298*'Assumptions and Catalog'!$H$51+'Assumptions and Catalog'!$E$51+'Assumptions and Catalog'!$F$51,IF(L298&lt;='Assumptions and Catalog'!$C$52,L298*'Assumptions and Catalog'!$H$52+'Assumptions and Catalog'!$E$52+'Assumptions and Catalog'!$F$52,IF(L298&lt;='Assumptions and Catalog'!$C$53,L298*'Assumptions and Catalog'!$H$53+'Assumptions and Catalog'!$E$53+'Assumptions and Catalog'!$F$53,IF(L298&lt;='Assumptions and Catalog'!$C$54,L298*'Assumptions and Catalog'!$H$54+'Assumptions and Catalog'!$E$54+'Assumptions and Catalog'!$F$54,IF(L298&lt;='Assumptions and Catalog'!$C$55,L298*'Assumptions and Catalog'!$H$55+'Assumptions and Catalog'!$E$55+'Assumptions and Catalog'!$F$55,IF(L298&lt;='Assumptions and Catalog'!$C$56,L298*'Assumptions and Catalog'!$H$56+'Assumptions and Catalog'!$E$56+'Assumptions and Catalog'!$F$56,IF(L298&lt;='Assumptions and Catalog'!$C$57,L298*'Assumptions and Catalog'!$H$57+'Assumptions and Catalog'!$E$57+'Assumptions and Catalog'!$F$57,"Out of range")))))))),IF(L298&lt;='Assumptions and Catalog'!$C$60,L298*'Assumptions and Catalog'!$H$60+'Assumptions and Catalog'!$E$60+'Assumptions and Catalog'!$F$60,IF(L298&lt;='Assumptions and Catalog'!$C$61,L298*'Assumptions and Catalog'!$H$61+'Assumptions and Catalog'!$E$61+'Assumptions and Catalog'!$F$61,IF(L298&lt;='Assumptions and Catalog'!$C$62,L298*'Assumptions and Catalog'!$H$62+'Assumptions and Catalog'!$E$62+'Assumptions and Catalog'!$F$62,IF(L298&lt;='Assumptions and Catalog'!$C$63,L298*'Assumptions and Catalog'!$H$63+'Assumptions and Catalog'!$E$63+'Assumptions and Catalog'!$F$63,IF(L298&lt;='Assumptions and Catalog'!$C$64,L298*'Assumptions and Catalog'!$H$64+'Assumptions and Catalog'!$E$64+'Assumptions and Catalog'!$F$64,IF(L298&lt;='Assumptions and Catalog'!$C$65,L298*'Assumptions and Catalog'!$H$65+'Assumptions and Catalog'!$E$65+'Assumptions and Catalog'!$F$65,"Out of range")))))))))*(1+'Assumptions and Catalog'!$C$8)^(A298-1),0)</f>
        <v>3453.61</v>
      </c>
      <c r="O298" s="5" t="n">
        <f>M298-N298</f>
        <v>3413.61</v>
      </c>
      <c r="P298" s="5" t="n">
        <f>C$55*(1-J$14)*(1-'Assumptions and Catalog'!$C$23)^R298</f>
        <v>0</v>
      </c>
      <c r="Q298" s="5" t="n">
        <f>IF(ISNUMBER(Inputs!$L$5),(IF(Inputs!$L$9="Actual flat rate",((D298+E298)*C298-G298)*Inputs!$L$10,IF(Inputs!$C$9="Residential",IF(((D298+E298)*C298-G298)&lt;='Assumptions and Catalog'!$C$50,((D298+E298)*C298-G298)*'Assumptions and Catalog'!$H$50+'Assumptions and Catalog'!$E$50+'Assumptions and Catalog'!$F$50,IF(((D298+E298)*C298-G298)&lt;='Assumptions and Catalog'!$C$51,((D298+E298)*C298-G298)*'Assumptions and Catalog'!$H$51+'Assumptions and Catalog'!$E$51+'Assumptions and Catalog'!$F$51,IF(((D298+E298)*C298-G298)&lt;='Assumptions and Catalog'!$C$52,((D298+E298)*C298-G298)*'Assumptions and Catalog'!$H$52+'Assumptions and Catalog'!$E$52+'Assumptions and Catalog'!$F$52,IF(((D298+E298)*C298-G298)&lt;='Assumptions and Catalog'!$C$53,((D298+E298)*C298-G298)*'Assumptions and Catalog'!$H$53+'Assumptions and Catalog'!$E$53+'Assumptions and Catalog'!$F$53,IF(((D298+E298)*C298-G298)&lt;='Assumptions and Catalog'!$C$54,((D298+E298)*C298-G298)*'Assumptions and Catalog'!$H$54+'Assumptions and Catalog'!$E$54+'Assumptions and Catalog'!$F$54,IF(((D298+E298)*C298-G298)&lt;='Assumptions and Catalog'!$C$55,((D298+E298)*C298-G298)*'Assumptions and Catalog'!$H$55+'Assumptions and Catalog'!$E$55+'Assumptions and Catalog'!$F$55,IF(((D298+E298)*C298-G298)&lt;='Assumptions and Catalog'!$C$56,((D298+E298)*C298-G298)*'Assumptions and Catalog'!$H$56+'Assumptions and Catalog'!$E$56+'Assumptions and Catalog'!$F$56,IF(((D298+E298)*C298-G298)&lt;='Assumptions and Catalog'!$C$57,((D298+E298)*C298-G298)*'Assumptions and Catalog'!$H$57+'Assumptions and Catalog'!$E$57+'Assumptions and Catalog'!$F$57,"Out of range")))))))),IF(((D298+E298)*C298-G298)&lt;='Assumptions and Catalog'!$C$60,((D298+E298)*C298-G298)*'Assumptions and Catalog'!$H$60+'Assumptions and Catalog'!$E$60+'Assumptions and Catalog'!$F$60,IF(((D298+E298)*C298-G298)&lt;='Assumptions and Catalog'!$C$61,((D298+E298)*C298-G298)*'Assumptions and Catalog'!$H$61+'Assumptions and Catalog'!$E$61+'Assumptions and Catalog'!$F$61,IF(((D298+E298)*C298-G298)&lt;='Assumptions and Catalog'!$C$62,((D298+E298)*C298-G298)*'Assumptions and Catalog'!$H$62+'Assumptions and Catalog'!$E$62+'Assumptions and Catalog'!$F$62,IF(((D298+E298)*C298-G298)&lt;='Assumptions and Catalog'!$C$63,((D298+E298)*C298-G298)*'Assumptions and Catalog'!$H$63+'Assumptions and Catalog'!$E$63+'Assumptions and Catalog'!$F$63,IF(((D298+E298)*C298-G298)&lt;='Assumptions and Catalog'!$C$64,((D298+E298)*C298-G298)*'Assumptions and Catalog'!$H$64+'Assumptions and Catalog'!$E$64+'Assumptions and Catalog'!$F$64,IF(((D298+E298)*C298-G298)&lt;='Assumptions and Catalog'!$C$65,((D298+E298)*C298-G298)*'Assumptions and Catalog'!$H$65+'Assumptions and Catalog'!$E$65+'Assumptions and Catalog'!$F$65,"Out of range")))))))))*(1+'Assumptions and Catalog'!$C$8)^(A298-1),0)</f>
        <v>3453.61</v>
      </c>
      <c r="R298" s="5" t="n">
        <f>IF(AND('Assumptions and Catalog'!$C$19&gt;0,A298&gt;='Assumptions and Catalog'!$C$19),A298-'Assumptions and Catalog'!$C$19,A298-1)</f>
        <v>1</v>
      </c>
      <c r="S298" s="5" t="n">
        <f>F298+L298-(D298+E298)*C298-J298-K298-0</f>
        <v>0</v>
      </c>
      <c r="T298" s="5"/>
      <c r="U298" s="5"/>
    </row>
    <row r="299" ht="23.100000381469727" customHeight="1">
      <c r="A299" s="5" t="n">
        <v>12</v>
      </c>
      <c r="B299" s="5" t="n">
        <v>7</v>
      </c>
      <c r="C299" s="5" t="n">
        <f>DAY(DATE('Assumptions and Catalog'!$C$24+A299-1,B299+1,0))</f>
        <v>31</v>
      </c>
      <c r="D299" s="5" t="n">
        <f>IF(ISNUMBER(Inputs!$L$5),Inputs!$L$5*Inputs!$L$6,0)</f>
        <v>40.35</v>
      </c>
      <c r="E299" s="5" t="n">
        <f>IF(ISNUMBER(Inputs!$L$5),Inputs!$L$5-D299,0)</f>
        <v>40.35</v>
      </c>
      <c r="F299" s="5" t="n">
        <f>C$51*INDEX('Solar Production'!$D$20:$D$31,B299)*C299*(1-'Assumptions and Catalog'!$C$10)^(A299-1)</f>
        <v>1371.27535698632</v>
      </c>
      <c r="G299" s="5" t="n">
        <f>MIN(F299,D299*C299)</f>
        <v>1250.85</v>
      </c>
      <c r="H299" s="5" t="n">
        <f>I299/('Assumptions and Catalog'!$C$11*'Assumptions and Catalog'!$C$12)</f>
        <v>0</v>
      </c>
      <c r="I299" s="5" t="n">
        <f>0</f>
        <v>0</v>
      </c>
      <c r="J299" s="5" t="n">
        <f>MAX(F299-G299-H299,0)</f>
        <v>120.425356986317</v>
      </c>
      <c r="K299" s="5" t="n">
        <f>H299-I299</f>
        <v>0</v>
      </c>
      <c r="L299" s="5" t="n">
        <f>(D299+E299)*C299-G299-I299+0+0</f>
        <v>1250.85</v>
      </c>
      <c r="M299" s="5" t="n">
        <f>IF(ISNUMBER(Inputs!$L$5),(IF(Inputs!$L$9="Actual flat rate",((D299+E299)*C299)*Inputs!$L$10,IF(Inputs!$C$9="Residential",IF(((D299+E299)*C299)&lt;='Assumptions and Catalog'!$C$50,((D299+E299)*C299)*'Assumptions and Catalog'!$H$50+'Assumptions and Catalog'!$E$50+'Assumptions and Catalog'!$F$50,IF(((D299+E299)*C299)&lt;='Assumptions and Catalog'!$C$51,((D299+E299)*C299)*'Assumptions and Catalog'!$H$51+'Assumptions and Catalog'!$E$51+'Assumptions and Catalog'!$F$51,IF(((D299+E299)*C299)&lt;='Assumptions and Catalog'!$C$52,((D299+E299)*C299)*'Assumptions and Catalog'!$H$52+'Assumptions and Catalog'!$E$52+'Assumptions and Catalog'!$F$52,IF(((D299+E299)*C299)&lt;='Assumptions and Catalog'!$C$53,((D299+E299)*C299)*'Assumptions and Catalog'!$H$53+'Assumptions and Catalog'!$E$53+'Assumptions and Catalog'!$F$53,IF(((D299+E299)*C299)&lt;='Assumptions and Catalog'!$C$54,((D299+E299)*C299)*'Assumptions and Catalog'!$H$54+'Assumptions and Catalog'!$E$54+'Assumptions and Catalog'!$F$54,IF(((D299+E299)*C299)&lt;='Assumptions and Catalog'!$C$55,((D299+E299)*C299)*'Assumptions and Catalog'!$H$55+'Assumptions and Catalog'!$E$55+'Assumptions and Catalog'!$F$55,IF(((D299+E299)*C299)&lt;='Assumptions and Catalog'!$C$56,((D299+E299)*C299)*'Assumptions and Catalog'!$H$56+'Assumptions and Catalog'!$E$56+'Assumptions and Catalog'!$F$56,IF(((D299+E299)*C299)&lt;='Assumptions and Catalog'!$C$57,((D299+E299)*C299)*'Assumptions and Catalog'!$H$57+'Assumptions and Catalog'!$E$57+'Assumptions and Catalog'!$F$57,"Out of range")))))))),IF(((D299+E299)*C299)&lt;='Assumptions and Catalog'!$C$60,((D299+E299)*C299)*'Assumptions and Catalog'!$H$60+'Assumptions and Catalog'!$E$60+'Assumptions and Catalog'!$F$60,IF(((D299+E299)*C299)&lt;='Assumptions and Catalog'!$C$61,((D299+E299)*C299)*'Assumptions and Catalog'!$H$61+'Assumptions and Catalog'!$E$61+'Assumptions and Catalog'!$F$61,IF(((D299+E299)*C299)&lt;='Assumptions and Catalog'!$C$62,((D299+E299)*C299)*'Assumptions and Catalog'!$H$62+'Assumptions and Catalog'!$E$62+'Assumptions and Catalog'!$F$62,IF(((D299+E299)*C299)&lt;='Assumptions and Catalog'!$C$63,((D299+E299)*C299)*'Assumptions and Catalog'!$H$63+'Assumptions and Catalog'!$E$63+'Assumptions and Catalog'!$F$63,IF(((D299+E299)*C299)&lt;='Assumptions and Catalog'!$C$64,((D299+E299)*C299)*'Assumptions and Catalog'!$H$64+'Assumptions and Catalog'!$E$64+'Assumptions and Catalog'!$F$64,IF(((D299+E299)*C299)&lt;='Assumptions and Catalog'!$C$65,((D299+E299)*C299)*'Assumptions and Catalog'!$H$65+'Assumptions and Catalog'!$E$65+'Assumptions and Catalog'!$F$65,"Out of range")))))))))*(1+'Assumptions and Catalog'!$C$8)^(A299-1),0)</f>
        <v>7094.794</v>
      </c>
      <c r="N299" s="5" t="n">
        <f>IF(ISNUMBER(Inputs!$L$5),(IF(Inputs!$L$9="Actual flat rate",L299*Inputs!$L$10,IF(Inputs!$C$9="Residential",IF(L299&lt;='Assumptions and Catalog'!$C$50,L299*'Assumptions and Catalog'!$H$50+'Assumptions and Catalog'!$E$50+'Assumptions and Catalog'!$F$50,IF(L299&lt;='Assumptions and Catalog'!$C$51,L299*'Assumptions and Catalog'!$H$51+'Assumptions and Catalog'!$E$51+'Assumptions and Catalog'!$F$51,IF(L299&lt;='Assumptions and Catalog'!$C$52,L299*'Assumptions and Catalog'!$H$52+'Assumptions and Catalog'!$E$52+'Assumptions and Catalog'!$F$52,IF(L299&lt;='Assumptions and Catalog'!$C$53,L299*'Assumptions and Catalog'!$H$53+'Assumptions and Catalog'!$E$53+'Assumptions and Catalog'!$F$53,IF(L299&lt;='Assumptions and Catalog'!$C$54,L299*'Assumptions and Catalog'!$H$54+'Assumptions and Catalog'!$E$54+'Assumptions and Catalog'!$F$54,IF(L299&lt;='Assumptions and Catalog'!$C$55,L299*'Assumptions and Catalog'!$H$55+'Assumptions and Catalog'!$E$55+'Assumptions and Catalog'!$F$55,IF(L299&lt;='Assumptions and Catalog'!$C$56,L299*'Assumptions and Catalog'!$H$56+'Assumptions and Catalog'!$E$56+'Assumptions and Catalog'!$F$56,IF(L299&lt;='Assumptions and Catalog'!$C$57,L299*'Assumptions and Catalog'!$H$57+'Assumptions and Catalog'!$E$57+'Assumptions and Catalog'!$F$57,"Out of range")))))))),IF(L299&lt;='Assumptions and Catalog'!$C$60,L299*'Assumptions and Catalog'!$H$60+'Assumptions and Catalog'!$E$60+'Assumptions and Catalog'!$F$60,IF(L299&lt;='Assumptions and Catalog'!$C$61,L299*'Assumptions and Catalog'!$H$61+'Assumptions and Catalog'!$E$61+'Assumptions and Catalog'!$F$61,IF(L299&lt;='Assumptions and Catalog'!$C$62,L299*'Assumptions and Catalog'!$H$62+'Assumptions and Catalog'!$E$62+'Assumptions and Catalog'!$F$62,IF(L299&lt;='Assumptions and Catalog'!$C$63,L299*'Assumptions and Catalog'!$H$63+'Assumptions and Catalog'!$E$63+'Assumptions and Catalog'!$F$63,IF(L299&lt;='Assumptions and Catalog'!$C$64,L299*'Assumptions and Catalog'!$H$64+'Assumptions and Catalog'!$E$64+'Assumptions and Catalog'!$F$64,IF(L299&lt;='Assumptions and Catalog'!$C$65,L299*'Assumptions and Catalog'!$H$65+'Assumptions and Catalog'!$E$65+'Assumptions and Catalog'!$F$65,"Out of range")))))))))*(1+'Assumptions and Catalog'!$C$8)^(A299-1),0)</f>
        <v>3567.397</v>
      </c>
      <c r="O299" s="5" t="n">
        <f>M299-N299</f>
        <v>3527.397</v>
      </c>
      <c r="P299" s="5" t="n">
        <f>C$55*(1-J$14)*(1-'Assumptions and Catalog'!$C$23)^R299</f>
        <v>0</v>
      </c>
      <c r="Q299" s="5" t="n">
        <f>IF(ISNUMBER(Inputs!$L$5),(IF(Inputs!$L$9="Actual flat rate",((D299+E299)*C299-G299)*Inputs!$L$10,IF(Inputs!$C$9="Residential",IF(((D299+E299)*C299-G299)&lt;='Assumptions and Catalog'!$C$50,((D299+E299)*C299-G299)*'Assumptions and Catalog'!$H$50+'Assumptions and Catalog'!$E$50+'Assumptions and Catalog'!$F$50,IF(((D299+E299)*C299-G299)&lt;='Assumptions and Catalog'!$C$51,((D299+E299)*C299-G299)*'Assumptions and Catalog'!$H$51+'Assumptions and Catalog'!$E$51+'Assumptions and Catalog'!$F$51,IF(((D299+E299)*C299-G299)&lt;='Assumptions and Catalog'!$C$52,((D299+E299)*C299-G299)*'Assumptions and Catalog'!$H$52+'Assumptions and Catalog'!$E$52+'Assumptions and Catalog'!$F$52,IF(((D299+E299)*C299-G299)&lt;='Assumptions and Catalog'!$C$53,((D299+E299)*C299-G299)*'Assumptions and Catalog'!$H$53+'Assumptions and Catalog'!$E$53+'Assumptions and Catalog'!$F$53,IF(((D299+E299)*C299-G299)&lt;='Assumptions and Catalog'!$C$54,((D299+E299)*C299-G299)*'Assumptions and Catalog'!$H$54+'Assumptions and Catalog'!$E$54+'Assumptions and Catalog'!$F$54,IF(((D299+E299)*C299-G299)&lt;='Assumptions and Catalog'!$C$55,((D299+E299)*C299-G299)*'Assumptions and Catalog'!$H$55+'Assumptions and Catalog'!$E$55+'Assumptions and Catalog'!$F$55,IF(((D299+E299)*C299-G299)&lt;='Assumptions and Catalog'!$C$56,((D299+E299)*C299-G299)*'Assumptions and Catalog'!$H$56+'Assumptions and Catalog'!$E$56+'Assumptions and Catalog'!$F$56,IF(((D299+E299)*C299-G299)&lt;='Assumptions and Catalog'!$C$57,((D299+E299)*C299-G299)*'Assumptions and Catalog'!$H$57+'Assumptions and Catalog'!$E$57+'Assumptions and Catalog'!$F$57,"Out of range")))))))),IF(((D299+E299)*C299-G299)&lt;='Assumptions and Catalog'!$C$60,((D299+E299)*C299-G299)*'Assumptions and Catalog'!$H$60+'Assumptions and Catalog'!$E$60+'Assumptions and Catalog'!$F$60,IF(((D299+E299)*C299-G299)&lt;='Assumptions and Catalog'!$C$61,((D299+E299)*C299-G299)*'Assumptions and Catalog'!$H$61+'Assumptions and Catalog'!$E$61+'Assumptions and Catalog'!$F$61,IF(((D299+E299)*C299-G299)&lt;='Assumptions and Catalog'!$C$62,((D299+E299)*C299-G299)*'Assumptions and Catalog'!$H$62+'Assumptions and Catalog'!$E$62+'Assumptions and Catalog'!$F$62,IF(((D299+E299)*C299-G299)&lt;='Assumptions and Catalog'!$C$63,((D299+E299)*C299-G299)*'Assumptions and Catalog'!$H$63+'Assumptions and Catalog'!$E$63+'Assumptions and Catalog'!$F$63,IF(((D299+E299)*C299-G299)&lt;='Assumptions and Catalog'!$C$64,((D299+E299)*C299-G299)*'Assumptions and Catalog'!$H$64+'Assumptions and Catalog'!$E$64+'Assumptions and Catalog'!$F$64,IF(((D299+E299)*C299-G299)&lt;='Assumptions and Catalog'!$C$65,((D299+E299)*C299-G299)*'Assumptions and Catalog'!$H$65+'Assumptions and Catalog'!$E$65+'Assumptions and Catalog'!$F$65,"Out of range")))))))))*(1+'Assumptions and Catalog'!$C$8)^(A299-1),0)</f>
        <v>3567.397</v>
      </c>
      <c r="R299" s="5" t="n">
        <f>IF(AND('Assumptions and Catalog'!$C$19&gt;0,A299&gt;='Assumptions and Catalog'!$C$19),A299-'Assumptions and Catalog'!$C$19,A299-1)</f>
        <v>1</v>
      </c>
      <c r="S299" s="5" t="n">
        <f>F299+L299-(D299+E299)*C299-J299-K299-0</f>
        <v>0</v>
      </c>
      <c r="T299" s="5"/>
      <c r="U299" s="5"/>
    </row>
    <row r="300" ht="23.100000381469727" customHeight="1">
      <c r="A300" s="5" t="n">
        <v>12</v>
      </c>
      <c r="B300" s="5" t="n">
        <v>8</v>
      </c>
      <c r="C300" s="5" t="n">
        <f>DAY(DATE('Assumptions and Catalog'!$C$24+A300-1,B300+1,0))</f>
        <v>31</v>
      </c>
      <c r="D300" s="5" t="n">
        <f>IF(ISNUMBER(Inputs!$L$5),Inputs!$L$5*Inputs!$L$6,0)</f>
        <v>40.35</v>
      </c>
      <c r="E300" s="5" t="n">
        <f>IF(ISNUMBER(Inputs!$L$5),Inputs!$L$5-D300,0)</f>
        <v>40.35</v>
      </c>
      <c r="F300" s="5" t="n">
        <f>C$51*INDEX('Solar Production'!$D$20:$D$31,B300)*C300*(1-'Assumptions and Catalog'!$C$10)^(A300-1)</f>
        <v>1389.09710643336</v>
      </c>
      <c r="G300" s="5" t="n">
        <f>MIN(F300,D300*C300)</f>
        <v>1250.85</v>
      </c>
      <c r="H300" s="5" t="n">
        <f>I300/('Assumptions and Catalog'!$C$11*'Assumptions and Catalog'!$C$12)</f>
        <v>0</v>
      </c>
      <c r="I300" s="5" t="n">
        <f>0</f>
        <v>0</v>
      </c>
      <c r="J300" s="5" t="n">
        <f>MAX(F300-G300-H300,0)</f>
        <v>138.247106433364</v>
      </c>
      <c r="K300" s="5" t="n">
        <f>H300-I300</f>
        <v>0</v>
      </c>
      <c r="L300" s="5" t="n">
        <f>(D300+E300)*C300-G300-I300+0+0</f>
        <v>1250.85</v>
      </c>
      <c r="M300" s="5" t="n">
        <f>IF(ISNUMBER(Inputs!$L$5),(IF(Inputs!$L$9="Actual flat rate",((D300+E300)*C300)*Inputs!$L$10,IF(Inputs!$C$9="Residential",IF(((D300+E300)*C300)&lt;='Assumptions and Catalog'!$C$50,((D300+E300)*C300)*'Assumptions and Catalog'!$H$50+'Assumptions and Catalog'!$E$50+'Assumptions and Catalog'!$F$50,IF(((D300+E300)*C300)&lt;='Assumptions and Catalog'!$C$51,((D300+E300)*C300)*'Assumptions and Catalog'!$H$51+'Assumptions and Catalog'!$E$51+'Assumptions and Catalog'!$F$51,IF(((D300+E300)*C300)&lt;='Assumptions and Catalog'!$C$52,((D300+E300)*C300)*'Assumptions and Catalog'!$H$52+'Assumptions and Catalog'!$E$52+'Assumptions and Catalog'!$F$52,IF(((D300+E300)*C300)&lt;='Assumptions and Catalog'!$C$53,((D300+E300)*C300)*'Assumptions and Catalog'!$H$53+'Assumptions and Catalog'!$E$53+'Assumptions and Catalog'!$F$53,IF(((D300+E300)*C300)&lt;='Assumptions and Catalog'!$C$54,((D300+E300)*C300)*'Assumptions and Catalog'!$H$54+'Assumptions and Catalog'!$E$54+'Assumptions and Catalog'!$F$54,IF(((D300+E300)*C300)&lt;='Assumptions and Catalog'!$C$55,((D300+E300)*C300)*'Assumptions and Catalog'!$H$55+'Assumptions and Catalog'!$E$55+'Assumptions and Catalog'!$F$55,IF(((D300+E300)*C300)&lt;='Assumptions and Catalog'!$C$56,((D300+E300)*C300)*'Assumptions and Catalog'!$H$56+'Assumptions and Catalog'!$E$56+'Assumptions and Catalog'!$F$56,IF(((D300+E300)*C300)&lt;='Assumptions and Catalog'!$C$57,((D300+E300)*C300)*'Assumptions and Catalog'!$H$57+'Assumptions and Catalog'!$E$57+'Assumptions and Catalog'!$F$57,"Out of range")))))))),IF(((D300+E300)*C300)&lt;='Assumptions and Catalog'!$C$60,((D300+E300)*C300)*'Assumptions and Catalog'!$H$60+'Assumptions and Catalog'!$E$60+'Assumptions and Catalog'!$F$60,IF(((D300+E300)*C300)&lt;='Assumptions and Catalog'!$C$61,((D300+E300)*C300)*'Assumptions and Catalog'!$H$61+'Assumptions and Catalog'!$E$61+'Assumptions and Catalog'!$F$61,IF(((D300+E300)*C300)&lt;='Assumptions and Catalog'!$C$62,((D300+E300)*C300)*'Assumptions and Catalog'!$H$62+'Assumptions and Catalog'!$E$62+'Assumptions and Catalog'!$F$62,IF(((D300+E300)*C300)&lt;='Assumptions and Catalog'!$C$63,((D300+E300)*C300)*'Assumptions and Catalog'!$H$63+'Assumptions and Catalog'!$E$63+'Assumptions and Catalog'!$F$63,IF(((D300+E300)*C300)&lt;='Assumptions and Catalog'!$C$64,((D300+E300)*C300)*'Assumptions and Catalog'!$H$64+'Assumptions and Catalog'!$E$64+'Assumptions and Catalog'!$F$64,IF(((D300+E300)*C300)&lt;='Assumptions and Catalog'!$C$65,((D300+E300)*C300)*'Assumptions and Catalog'!$H$65+'Assumptions and Catalog'!$E$65+'Assumptions and Catalog'!$F$65,"Out of range")))))))))*(1+'Assumptions and Catalog'!$C$8)^(A300-1),0)</f>
        <v>7094.794</v>
      </c>
      <c r="N300" s="5" t="n">
        <f>IF(ISNUMBER(Inputs!$L$5),(IF(Inputs!$L$9="Actual flat rate",L300*Inputs!$L$10,IF(Inputs!$C$9="Residential",IF(L300&lt;='Assumptions and Catalog'!$C$50,L300*'Assumptions and Catalog'!$H$50+'Assumptions and Catalog'!$E$50+'Assumptions and Catalog'!$F$50,IF(L300&lt;='Assumptions and Catalog'!$C$51,L300*'Assumptions and Catalog'!$H$51+'Assumptions and Catalog'!$E$51+'Assumptions and Catalog'!$F$51,IF(L300&lt;='Assumptions and Catalog'!$C$52,L300*'Assumptions and Catalog'!$H$52+'Assumptions and Catalog'!$E$52+'Assumptions and Catalog'!$F$52,IF(L300&lt;='Assumptions and Catalog'!$C$53,L300*'Assumptions and Catalog'!$H$53+'Assumptions and Catalog'!$E$53+'Assumptions and Catalog'!$F$53,IF(L300&lt;='Assumptions and Catalog'!$C$54,L300*'Assumptions and Catalog'!$H$54+'Assumptions and Catalog'!$E$54+'Assumptions and Catalog'!$F$54,IF(L300&lt;='Assumptions and Catalog'!$C$55,L300*'Assumptions and Catalog'!$H$55+'Assumptions and Catalog'!$E$55+'Assumptions and Catalog'!$F$55,IF(L300&lt;='Assumptions and Catalog'!$C$56,L300*'Assumptions and Catalog'!$H$56+'Assumptions and Catalog'!$E$56+'Assumptions and Catalog'!$F$56,IF(L300&lt;='Assumptions and Catalog'!$C$57,L300*'Assumptions and Catalog'!$H$57+'Assumptions and Catalog'!$E$57+'Assumptions and Catalog'!$F$57,"Out of range")))))))),IF(L300&lt;='Assumptions and Catalog'!$C$60,L300*'Assumptions and Catalog'!$H$60+'Assumptions and Catalog'!$E$60+'Assumptions and Catalog'!$F$60,IF(L300&lt;='Assumptions and Catalog'!$C$61,L300*'Assumptions and Catalog'!$H$61+'Assumptions and Catalog'!$E$61+'Assumptions and Catalog'!$F$61,IF(L300&lt;='Assumptions and Catalog'!$C$62,L300*'Assumptions and Catalog'!$H$62+'Assumptions and Catalog'!$E$62+'Assumptions and Catalog'!$F$62,IF(L300&lt;='Assumptions and Catalog'!$C$63,L300*'Assumptions and Catalog'!$H$63+'Assumptions and Catalog'!$E$63+'Assumptions and Catalog'!$F$63,IF(L300&lt;='Assumptions and Catalog'!$C$64,L300*'Assumptions and Catalog'!$H$64+'Assumptions and Catalog'!$E$64+'Assumptions and Catalog'!$F$64,IF(L300&lt;='Assumptions and Catalog'!$C$65,L300*'Assumptions and Catalog'!$H$65+'Assumptions and Catalog'!$E$65+'Assumptions and Catalog'!$F$65,"Out of range")))))))))*(1+'Assumptions and Catalog'!$C$8)^(A300-1),0)</f>
        <v>3567.397</v>
      </c>
      <c r="O300" s="5" t="n">
        <f>M300-N300</f>
        <v>3527.397</v>
      </c>
      <c r="P300" s="5" t="n">
        <f>C$55*(1-J$14)*(1-'Assumptions and Catalog'!$C$23)^R300</f>
        <v>0</v>
      </c>
      <c r="Q300" s="5" t="n">
        <f>IF(ISNUMBER(Inputs!$L$5),(IF(Inputs!$L$9="Actual flat rate",((D300+E300)*C300-G300)*Inputs!$L$10,IF(Inputs!$C$9="Residential",IF(((D300+E300)*C300-G300)&lt;='Assumptions and Catalog'!$C$50,((D300+E300)*C300-G300)*'Assumptions and Catalog'!$H$50+'Assumptions and Catalog'!$E$50+'Assumptions and Catalog'!$F$50,IF(((D300+E300)*C300-G300)&lt;='Assumptions and Catalog'!$C$51,((D300+E300)*C300-G300)*'Assumptions and Catalog'!$H$51+'Assumptions and Catalog'!$E$51+'Assumptions and Catalog'!$F$51,IF(((D300+E300)*C300-G300)&lt;='Assumptions and Catalog'!$C$52,((D300+E300)*C300-G300)*'Assumptions and Catalog'!$H$52+'Assumptions and Catalog'!$E$52+'Assumptions and Catalog'!$F$52,IF(((D300+E300)*C300-G300)&lt;='Assumptions and Catalog'!$C$53,((D300+E300)*C300-G300)*'Assumptions and Catalog'!$H$53+'Assumptions and Catalog'!$E$53+'Assumptions and Catalog'!$F$53,IF(((D300+E300)*C300-G300)&lt;='Assumptions and Catalog'!$C$54,((D300+E300)*C300-G300)*'Assumptions and Catalog'!$H$54+'Assumptions and Catalog'!$E$54+'Assumptions and Catalog'!$F$54,IF(((D300+E300)*C300-G300)&lt;='Assumptions and Catalog'!$C$55,((D300+E300)*C300-G300)*'Assumptions and Catalog'!$H$55+'Assumptions and Catalog'!$E$55+'Assumptions and Catalog'!$F$55,IF(((D300+E300)*C300-G300)&lt;='Assumptions and Catalog'!$C$56,((D300+E300)*C300-G300)*'Assumptions and Catalog'!$H$56+'Assumptions and Catalog'!$E$56+'Assumptions and Catalog'!$F$56,IF(((D300+E300)*C300-G300)&lt;='Assumptions and Catalog'!$C$57,((D300+E300)*C300-G300)*'Assumptions and Catalog'!$H$57+'Assumptions and Catalog'!$E$57+'Assumptions and Catalog'!$F$57,"Out of range")))))))),IF(((D300+E300)*C300-G300)&lt;='Assumptions and Catalog'!$C$60,((D300+E300)*C300-G300)*'Assumptions and Catalog'!$H$60+'Assumptions and Catalog'!$E$60+'Assumptions and Catalog'!$F$60,IF(((D300+E300)*C300-G300)&lt;='Assumptions and Catalog'!$C$61,((D300+E300)*C300-G300)*'Assumptions and Catalog'!$H$61+'Assumptions and Catalog'!$E$61+'Assumptions and Catalog'!$F$61,IF(((D300+E300)*C300-G300)&lt;='Assumptions and Catalog'!$C$62,((D300+E300)*C300-G300)*'Assumptions and Catalog'!$H$62+'Assumptions and Catalog'!$E$62+'Assumptions and Catalog'!$F$62,IF(((D300+E300)*C300-G300)&lt;='Assumptions and Catalog'!$C$63,((D300+E300)*C300-G300)*'Assumptions and Catalog'!$H$63+'Assumptions and Catalog'!$E$63+'Assumptions and Catalog'!$F$63,IF(((D300+E300)*C300-G300)&lt;='Assumptions and Catalog'!$C$64,((D300+E300)*C300-G300)*'Assumptions and Catalog'!$H$64+'Assumptions and Catalog'!$E$64+'Assumptions and Catalog'!$F$64,IF(((D300+E300)*C300-G300)&lt;='Assumptions and Catalog'!$C$65,((D300+E300)*C300-G300)*'Assumptions and Catalog'!$H$65+'Assumptions and Catalog'!$E$65+'Assumptions and Catalog'!$F$65,"Out of range")))))))))*(1+'Assumptions and Catalog'!$C$8)^(A300-1),0)</f>
        <v>3567.397</v>
      </c>
      <c r="R300" s="5" t="n">
        <f>IF(AND('Assumptions and Catalog'!$C$19&gt;0,A300&gt;='Assumptions and Catalog'!$C$19),A300-'Assumptions and Catalog'!$C$19,A300-1)</f>
        <v>1</v>
      </c>
      <c r="S300" s="5" t="n">
        <f>F300+L300-(D300+E300)*C300-J300-K300-0</f>
        <v>0</v>
      </c>
      <c r="T300" s="5"/>
      <c r="U300" s="5"/>
    </row>
    <row r="301" ht="23.100000381469727" customHeight="1">
      <c r="A301" s="5" t="n">
        <v>12</v>
      </c>
      <c r="B301" s="5" t="n">
        <v>9</v>
      </c>
      <c r="C301" s="5" t="n">
        <f>DAY(DATE('Assumptions and Catalog'!$C$24+A301-1,B301+1,0))</f>
        <v>30</v>
      </c>
      <c r="D301" s="5" t="n">
        <f>IF(ISNUMBER(Inputs!$L$5),Inputs!$L$5*Inputs!$L$6,0)</f>
        <v>40.35</v>
      </c>
      <c r="E301" s="5" t="n">
        <f>IF(ISNUMBER(Inputs!$L$5),Inputs!$L$5-D301,0)</f>
        <v>40.35</v>
      </c>
      <c r="F301" s="5" t="n">
        <f>C$51*INDEX('Solar Production'!$D$20:$D$31,B301)*C301*(1-'Assumptions and Catalog'!$C$10)^(A301-1)</f>
        <v>1340.79516867969</v>
      </c>
      <c r="G301" s="5" t="n">
        <f>MIN(F301,D301*C301)</f>
        <v>1210.5</v>
      </c>
      <c r="H301" s="5" t="n">
        <f>I301/('Assumptions and Catalog'!$C$11*'Assumptions and Catalog'!$C$12)</f>
        <v>0</v>
      </c>
      <c r="I301" s="5" t="n">
        <f>0</f>
        <v>0</v>
      </c>
      <c r="J301" s="5" t="n">
        <f>MAX(F301-G301-H301,0)</f>
        <v>130.295168679686</v>
      </c>
      <c r="K301" s="5" t="n">
        <f>H301-I301</f>
        <v>0</v>
      </c>
      <c r="L301" s="5" t="n">
        <f>(D301+E301)*C301-G301-I301+0+0</f>
        <v>1210.5</v>
      </c>
      <c r="M301" s="5" t="n">
        <f>IF(ISNUMBER(Inputs!$L$5),(IF(Inputs!$L$9="Actual flat rate",((D301+E301)*C301)*Inputs!$L$10,IF(Inputs!$C$9="Residential",IF(((D301+E301)*C301)&lt;='Assumptions and Catalog'!$C$50,((D301+E301)*C301)*'Assumptions and Catalog'!$H$50+'Assumptions and Catalog'!$E$50+'Assumptions and Catalog'!$F$50,IF(((D301+E301)*C301)&lt;='Assumptions and Catalog'!$C$51,((D301+E301)*C301)*'Assumptions and Catalog'!$H$51+'Assumptions and Catalog'!$E$51+'Assumptions and Catalog'!$F$51,IF(((D301+E301)*C301)&lt;='Assumptions and Catalog'!$C$52,((D301+E301)*C301)*'Assumptions and Catalog'!$H$52+'Assumptions and Catalog'!$E$52+'Assumptions and Catalog'!$F$52,IF(((D301+E301)*C301)&lt;='Assumptions and Catalog'!$C$53,((D301+E301)*C301)*'Assumptions and Catalog'!$H$53+'Assumptions and Catalog'!$E$53+'Assumptions and Catalog'!$F$53,IF(((D301+E301)*C301)&lt;='Assumptions and Catalog'!$C$54,((D301+E301)*C301)*'Assumptions and Catalog'!$H$54+'Assumptions and Catalog'!$E$54+'Assumptions and Catalog'!$F$54,IF(((D301+E301)*C301)&lt;='Assumptions and Catalog'!$C$55,((D301+E301)*C301)*'Assumptions and Catalog'!$H$55+'Assumptions and Catalog'!$E$55+'Assumptions and Catalog'!$F$55,IF(((D301+E301)*C301)&lt;='Assumptions and Catalog'!$C$56,((D301+E301)*C301)*'Assumptions and Catalog'!$H$56+'Assumptions and Catalog'!$E$56+'Assumptions and Catalog'!$F$56,IF(((D301+E301)*C301)&lt;='Assumptions and Catalog'!$C$57,((D301+E301)*C301)*'Assumptions and Catalog'!$H$57+'Assumptions and Catalog'!$E$57+'Assumptions and Catalog'!$F$57,"Out of range")))))))),IF(((D301+E301)*C301)&lt;='Assumptions and Catalog'!$C$60,((D301+E301)*C301)*'Assumptions and Catalog'!$H$60+'Assumptions and Catalog'!$E$60+'Assumptions and Catalog'!$F$60,IF(((D301+E301)*C301)&lt;='Assumptions and Catalog'!$C$61,((D301+E301)*C301)*'Assumptions and Catalog'!$H$61+'Assumptions and Catalog'!$E$61+'Assumptions and Catalog'!$F$61,IF(((D301+E301)*C301)&lt;='Assumptions and Catalog'!$C$62,((D301+E301)*C301)*'Assumptions and Catalog'!$H$62+'Assumptions and Catalog'!$E$62+'Assumptions and Catalog'!$F$62,IF(((D301+E301)*C301)&lt;='Assumptions and Catalog'!$C$63,((D301+E301)*C301)*'Assumptions and Catalog'!$H$63+'Assumptions and Catalog'!$E$63+'Assumptions and Catalog'!$F$63,IF(((D301+E301)*C301)&lt;='Assumptions and Catalog'!$C$64,((D301+E301)*C301)*'Assumptions and Catalog'!$H$64+'Assumptions and Catalog'!$E$64+'Assumptions and Catalog'!$F$64,IF(((D301+E301)*C301)&lt;='Assumptions and Catalog'!$C$65,((D301+E301)*C301)*'Assumptions and Catalog'!$H$65+'Assumptions and Catalog'!$E$65+'Assumptions and Catalog'!$F$65,"Out of range")))))))))*(1+'Assumptions and Catalog'!$C$8)^(A301-1),0)</f>
        <v>6867.22</v>
      </c>
      <c r="N301" s="5" t="n">
        <f>IF(ISNUMBER(Inputs!$L$5),(IF(Inputs!$L$9="Actual flat rate",L301*Inputs!$L$10,IF(Inputs!$C$9="Residential",IF(L301&lt;='Assumptions and Catalog'!$C$50,L301*'Assumptions and Catalog'!$H$50+'Assumptions and Catalog'!$E$50+'Assumptions and Catalog'!$F$50,IF(L301&lt;='Assumptions and Catalog'!$C$51,L301*'Assumptions and Catalog'!$H$51+'Assumptions and Catalog'!$E$51+'Assumptions and Catalog'!$F$51,IF(L301&lt;='Assumptions and Catalog'!$C$52,L301*'Assumptions and Catalog'!$H$52+'Assumptions and Catalog'!$E$52+'Assumptions and Catalog'!$F$52,IF(L301&lt;='Assumptions and Catalog'!$C$53,L301*'Assumptions and Catalog'!$H$53+'Assumptions and Catalog'!$E$53+'Assumptions and Catalog'!$F$53,IF(L301&lt;='Assumptions and Catalog'!$C$54,L301*'Assumptions and Catalog'!$H$54+'Assumptions and Catalog'!$E$54+'Assumptions and Catalog'!$F$54,IF(L301&lt;='Assumptions and Catalog'!$C$55,L301*'Assumptions and Catalog'!$H$55+'Assumptions and Catalog'!$E$55+'Assumptions and Catalog'!$F$55,IF(L301&lt;='Assumptions and Catalog'!$C$56,L301*'Assumptions and Catalog'!$H$56+'Assumptions and Catalog'!$E$56+'Assumptions and Catalog'!$F$56,IF(L301&lt;='Assumptions and Catalog'!$C$57,L301*'Assumptions and Catalog'!$H$57+'Assumptions and Catalog'!$E$57+'Assumptions and Catalog'!$F$57,"Out of range")))))))),IF(L301&lt;='Assumptions and Catalog'!$C$60,L301*'Assumptions and Catalog'!$H$60+'Assumptions and Catalog'!$E$60+'Assumptions and Catalog'!$F$60,IF(L301&lt;='Assumptions and Catalog'!$C$61,L301*'Assumptions and Catalog'!$H$61+'Assumptions and Catalog'!$E$61+'Assumptions and Catalog'!$F$61,IF(L301&lt;='Assumptions and Catalog'!$C$62,L301*'Assumptions and Catalog'!$H$62+'Assumptions and Catalog'!$E$62+'Assumptions and Catalog'!$F$62,IF(L301&lt;='Assumptions and Catalog'!$C$63,L301*'Assumptions and Catalog'!$H$63+'Assumptions and Catalog'!$E$63+'Assumptions and Catalog'!$F$63,IF(L301&lt;='Assumptions and Catalog'!$C$64,L301*'Assumptions and Catalog'!$H$64+'Assumptions and Catalog'!$E$64+'Assumptions and Catalog'!$F$64,IF(L301&lt;='Assumptions and Catalog'!$C$65,L301*'Assumptions and Catalog'!$H$65+'Assumptions and Catalog'!$E$65+'Assumptions and Catalog'!$F$65,"Out of range")))))))))*(1+'Assumptions and Catalog'!$C$8)^(A301-1),0)</f>
        <v>3453.61</v>
      </c>
      <c r="O301" s="5" t="n">
        <f>M301-N301</f>
        <v>3413.61</v>
      </c>
      <c r="P301" s="5" t="n">
        <f>C$55*(1-J$14)*(1-'Assumptions and Catalog'!$C$23)^R301</f>
        <v>0</v>
      </c>
      <c r="Q301" s="5" t="n">
        <f>IF(ISNUMBER(Inputs!$L$5),(IF(Inputs!$L$9="Actual flat rate",((D301+E301)*C301-G301)*Inputs!$L$10,IF(Inputs!$C$9="Residential",IF(((D301+E301)*C301-G301)&lt;='Assumptions and Catalog'!$C$50,((D301+E301)*C301-G301)*'Assumptions and Catalog'!$H$50+'Assumptions and Catalog'!$E$50+'Assumptions and Catalog'!$F$50,IF(((D301+E301)*C301-G301)&lt;='Assumptions and Catalog'!$C$51,((D301+E301)*C301-G301)*'Assumptions and Catalog'!$H$51+'Assumptions and Catalog'!$E$51+'Assumptions and Catalog'!$F$51,IF(((D301+E301)*C301-G301)&lt;='Assumptions and Catalog'!$C$52,((D301+E301)*C301-G301)*'Assumptions and Catalog'!$H$52+'Assumptions and Catalog'!$E$52+'Assumptions and Catalog'!$F$52,IF(((D301+E301)*C301-G301)&lt;='Assumptions and Catalog'!$C$53,((D301+E301)*C301-G301)*'Assumptions and Catalog'!$H$53+'Assumptions and Catalog'!$E$53+'Assumptions and Catalog'!$F$53,IF(((D301+E301)*C301-G301)&lt;='Assumptions and Catalog'!$C$54,((D301+E301)*C301-G301)*'Assumptions and Catalog'!$H$54+'Assumptions and Catalog'!$E$54+'Assumptions and Catalog'!$F$54,IF(((D301+E301)*C301-G301)&lt;='Assumptions and Catalog'!$C$55,((D301+E301)*C301-G301)*'Assumptions and Catalog'!$H$55+'Assumptions and Catalog'!$E$55+'Assumptions and Catalog'!$F$55,IF(((D301+E301)*C301-G301)&lt;='Assumptions and Catalog'!$C$56,((D301+E301)*C301-G301)*'Assumptions and Catalog'!$H$56+'Assumptions and Catalog'!$E$56+'Assumptions and Catalog'!$F$56,IF(((D301+E301)*C301-G301)&lt;='Assumptions and Catalog'!$C$57,((D301+E301)*C301-G301)*'Assumptions and Catalog'!$H$57+'Assumptions and Catalog'!$E$57+'Assumptions and Catalog'!$F$57,"Out of range")))))))),IF(((D301+E301)*C301-G301)&lt;='Assumptions and Catalog'!$C$60,((D301+E301)*C301-G301)*'Assumptions and Catalog'!$H$60+'Assumptions and Catalog'!$E$60+'Assumptions and Catalog'!$F$60,IF(((D301+E301)*C301-G301)&lt;='Assumptions and Catalog'!$C$61,((D301+E301)*C301-G301)*'Assumptions and Catalog'!$H$61+'Assumptions and Catalog'!$E$61+'Assumptions and Catalog'!$F$61,IF(((D301+E301)*C301-G301)&lt;='Assumptions and Catalog'!$C$62,((D301+E301)*C301-G301)*'Assumptions and Catalog'!$H$62+'Assumptions and Catalog'!$E$62+'Assumptions and Catalog'!$F$62,IF(((D301+E301)*C301-G301)&lt;='Assumptions and Catalog'!$C$63,((D301+E301)*C301-G301)*'Assumptions and Catalog'!$H$63+'Assumptions and Catalog'!$E$63+'Assumptions and Catalog'!$F$63,IF(((D301+E301)*C301-G301)&lt;='Assumptions and Catalog'!$C$64,((D301+E301)*C301-G301)*'Assumptions and Catalog'!$H$64+'Assumptions and Catalog'!$E$64+'Assumptions and Catalog'!$F$64,IF(((D301+E301)*C301-G301)&lt;='Assumptions and Catalog'!$C$65,((D301+E301)*C301-G301)*'Assumptions and Catalog'!$H$65+'Assumptions and Catalog'!$E$65+'Assumptions and Catalog'!$F$65,"Out of range")))))))))*(1+'Assumptions and Catalog'!$C$8)^(A301-1),0)</f>
        <v>3453.61</v>
      </c>
      <c r="R301" s="5" t="n">
        <f>IF(AND('Assumptions and Catalog'!$C$19&gt;0,A301&gt;='Assumptions and Catalog'!$C$19),A301-'Assumptions and Catalog'!$C$19,A301-1)</f>
        <v>1</v>
      </c>
      <c r="S301" s="5" t="n">
        <f>F301+L301-(D301+E301)*C301-J301-K301-0</f>
        <v>0</v>
      </c>
      <c r="T301" s="5"/>
      <c r="U301" s="5"/>
    </row>
    <row r="302" ht="23.100000381469727" customHeight="1">
      <c r="A302" s="5" t="n">
        <v>12</v>
      </c>
      <c r="B302" s="5" t="n">
        <v>10</v>
      </c>
      <c r="C302" s="5" t="n">
        <f>DAY(DATE('Assumptions and Catalog'!$C$24+A302-1,B302+1,0))</f>
        <v>31</v>
      </c>
      <c r="D302" s="5" t="n">
        <f>IF(ISNUMBER(Inputs!$L$5),Inputs!$L$5*Inputs!$L$6,0)</f>
        <v>40.35</v>
      </c>
      <c r="E302" s="5" t="n">
        <f>IF(ISNUMBER(Inputs!$L$5),Inputs!$L$5-D302,0)</f>
        <v>40.35</v>
      </c>
      <c r="F302" s="5" t="n">
        <f>C$51*INDEX('Solar Production'!$D$20:$D$31,B302)*C302*(1-'Assumptions and Catalog'!$C$10)^(A302-1)</f>
        <v>1286.91352432343</v>
      </c>
      <c r="G302" s="5" t="n">
        <f>MIN(F302,D302*C302)</f>
        <v>1250.85</v>
      </c>
      <c r="H302" s="5" t="n">
        <f>I302/('Assumptions and Catalog'!$C$11*'Assumptions and Catalog'!$C$12)</f>
        <v>0</v>
      </c>
      <c r="I302" s="5" t="n">
        <f>0</f>
        <v>0</v>
      </c>
      <c r="J302" s="5" t="n">
        <f>MAX(F302-G302-H302,0)</f>
        <v>36.0635243234278</v>
      </c>
      <c r="K302" s="5" t="n">
        <f>H302-I302</f>
        <v>0</v>
      </c>
      <c r="L302" s="5" t="n">
        <f>(D302+E302)*C302-G302-I302+0+0</f>
        <v>1250.85</v>
      </c>
      <c r="M302" s="5" t="n">
        <f>IF(ISNUMBER(Inputs!$L$5),(IF(Inputs!$L$9="Actual flat rate",((D302+E302)*C302)*Inputs!$L$10,IF(Inputs!$C$9="Residential",IF(((D302+E302)*C302)&lt;='Assumptions and Catalog'!$C$50,((D302+E302)*C302)*'Assumptions and Catalog'!$H$50+'Assumptions and Catalog'!$E$50+'Assumptions and Catalog'!$F$50,IF(((D302+E302)*C302)&lt;='Assumptions and Catalog'!$C$51,((D302+E302)*C302)*'Assumptions and Catalog'!$H$51+'Assumptions and Catalog'!$E$51+'Assumptions and Catalog'!$F$51,IF(((D302+E302)*C302)&lt;='Assumptions and Catalog'!$C$52,((D302+E302)*C302)*'Assumptions and Catalog'!$H$52+'Assumptions and Catalog'!$E$52+'Assumptions and Catalog'!$F$52,IF(((D302+E302)*C302)&lt;='Assumptions and Catalog'!$C$53,((D302+E302)*C302)*'Assumptions and Catalog'!$H$53+'Assumptions and Catalog'!$E$53+'Assumptions and Catalog'!$F$53,IF(((D302+E302)*C302)&lt;='Assumptions and Catalog'!$C$54,((D302+E302)*C302)*'Assumptions and Catalog'!$H$54+'Assumptions and Catalog'!$E$54+'Assumptions and Catalog'!$F$54,IF(((D302+E302)*C302)&lt;='Assumptions and Catalog'!$C$55,((D302+E302)*C302)*'Assumptions and Catalog'!$H$55+'Assumptions and Catalog'!$E$55+'Assumptions and Catalog'!$F$55,IF(((D302+E302)*C302)&lt;='Assumptions and Catalog'!$C$56,((D302+E302)*C302)*'Assumptions and Catalog'!$H$56+'Assumptions and Catalog'!$E$56+'Assumptions and Catalog'!$F$56,IF(((D302+E302)*C302)&lt;='Assumptions and Catalog'!$C$57,((D302+E302)*C302)*'Assumptions and Catalog'!$H$57+'Assumptions and Catalog'!$E$57+'Assumptions and Catalog'!$F$57,"Out of range")))))))),IF(((D302+E302)*C302)&lt;='Assumptions and Catalog'!$C$60,((D302+E302)*C302)*'Assumptions and Catalog'!$H$60+'Assumptions and Catalog'!$E$60+'Assumptions and Catalog'!$F$60,IF(((D302+E302)*C302)&lt;='Assumptions and Catalog'!$C$61,((D302+E302)*C302)*'Assumptions and Catalog'!$H$61+'Assumptions and Catalog'!$E$61+'Assumptions and Catalog'!$F$61,IF(((D302+E302)*C302)&lt;='Assumptions and Catalog'!$C$62,((D302+E302)*C302)*'Assumptions and Catalog'!$H$62+'Assumptions and Catalog'!$E$62+'Assumptions and Catalog'!$F$62,IF(((D302+E302)*C302)&lt;='Assumptions and Catalog'!$C$63,((D302+E302)*C302)*'Assumptions and Catalog'!$H$63+'Assumptions and Catalog'!$E$63+'Assumptions and Catalog'!$F$63,IF(((D302+E302)*C302)&lt;='Assumptions and Catalog'!$C$64,((D302+E302)*C302)*'Assumptions and Catalog'!$H$64+'Assumptions and Catalog'!$E$64+'Assumptions and Catalog'!$F$64,IF(((D302+E302)*C302)&lt;='Assumptions and Catalog'!$C$65,((D302+E302)*C302)*'Assumptions and Catalog'!$H$65+'Assumptions and Catalog'!$E$65+'Assumptions and Catalog'!$F$65,"Out of range")))))))))*(1+'Assumptions and Catalog'!$C$8)^(A302-1),0)</f>
        <v>7094.794</v>
      </c>
      <c r="N302" s="5" t="n">
        <f>IF(ISNUMBER(Inputs!$L$5),(IF(Inputs!$L$9="Actual flat rate",L302*Inputs!$L$10,IF(Inputs!$C$9="Residential",IF(L302&lt;='Assumptions and Catalog'!$C$50,L302*'Assumptions and Catalog'!$H$50+'Assumptions and Catalog'!$E$50+'Assumptions and Catalog'!$F$50,IF(L302&lt;='Assumptions and Catalog'!$C$51,L302*'Assumptions and Catalog'!$H$51+'Assumptions and Catalog'!$E$51+'Assumptions and Catalog'!$F$51,IF(L302&lt;='Assumptions and Catalog'!$C$52,L302*'Assumptions and Catalog'!$H$52+'Assumptions and Catalog'!$E$52+'Assumptions and Catalog'!$F$52,IF(L302&lt;='Assumptions and Catalog'!$C$53,L302*'Assumptions and Catalog'!$H$53+'Assumptions and Catalog'!$E$53+'Assumptions and Catalog'!$F$53,IF(L302&lt;='Assumptions and Catalog'!$C$54,L302*'Assumptions and Catalog'!$H$54+'Assumptions and Catalog'!$E$54+'Assumptions and Catalog'!$F$54,IF(L302&lt;='Assumptions and Catalog'!$C$55,L302*'Assumptions and Catalog'!$H$55+'Assumptions and Catalog'!$E$55+'Assumptions and Catalog'!$F$55,IF(L302&lt;='Assumptions and Catalog'!$C$56,L302*'Assumptions and Catalog'!$H$56+'Assumptions and Catalog'!$E$56+'Assumptions and Catalog'!$F$56,IF(L302&lt;='Assumptions and Catalog'!$C$57,L302*'Assumptions and Catalog'!$H$57+'Assumptions and Catalog'!$E$57+'Assumptions and Catalog'!$F$57,"Out of range")))))))),IF(L302&lt;='Assumptions and Catalog'!$C$60,L302*'Assumptions and Catalog'!$H$60+'Assumptions and Catalog'!$E$60+'Assumptions and Catalog'!$F$60,IF(L302&lt;='Assumptions and Catalog'!$C$61,L302*'Assumptions and Catalog'!$H$61+'Assumptions and Catalog'!$E$61+'Assumptions and Catalog'!$F$61,IF(L302&lt;='Assumptions and Catalog'!$C$62,L302*'Assumptions and Catalog'!$H$62+'Assumptions and Catalog'!$E$62+'Assumptions and Catalog'!$F$62,IF(L302&lt;='Assumptions and Catalog'!$C$63,L302*'Assumptions and Catalog'!$H$63+'Assumptions and Catalog'!$E$63+'Assumptions and Catalog'!$F$63,IF(L302&lt;='Assumptions and Catalog'!$C$64,L302*'Assumptions and Catalog'!$H$64+'Assumptions and Catalog'!$E$64+'Assumptions and Catalog'!$F$64,IF(L302&lt;='Assumptions and Catalog'!$C$65,L302*'Assumptions and Catalog'!$H$65+'Assumptions and Catalog'!$E$65+'Assumptions and Catalog'!$F$65,"Out of range")))))))))*(1+'Assumptions and Catalog'!$C$8)^(A302-1),0)</f>
        <v>3567.397</v>
      </c>
      <c r="O302" s="5" t="n">
        <f>M302-N302</f>
        <v>3527.397</v>
      </c>
      <c r="P302" s="5" t="n">
        <f>C$55*(1-J$14)*(1-'Assumptions and Catalog'!$C$23)^R302</f>
        <v>0</v>
      </c>
      <c r="Q302" s="5" t="n">
        <f>IF(ISNUMBER(Inputs!$L$5),(IF(Inputs!$L$9="Actual flat rate",((D302+E302)*C302-G302)*Inputs!$L$10,IF(Inputs!$C$9="Residential",IF(((D302+E302)*C302-G302)&lt;='Assumptions and Catalog'!$C$50,((D302+E302)*C302-G302)*'Assumptions and Catalog'!$H$50+'Assumptions and Catalog'!$E$50+'Assumptions and Catalog'!$F$50,IF(((D302+E302)*C302-G302)&lt;='Assumptions and Catalog'!$C$51,((D302+E302)*C302-G302)*'Assumptions and Catalog'!$H$51+'Assumptions and Catalog'!$E$51+'Assumptions and Catalog'!$F$51,IF(((D302+E302)*C302-G302)&lt;='Assumptions and Catalog'!$C$52,((D302+E302)*C302-G302)*'Assumptions and Catalog'!$H$52+'Assumptions and Catalog'!$E$52+'Assumptions and Catalog'!$F$52,IF(((D302+E302)*C302-G302)&lt;='Assumptions and Catalog'!$C$53,((D302+E302)*C302-G302)*'Assumptions and Catalog'!$H$53+'Assumptions and Catalog'!$E$53+'Assumptions and Catalog'!$F$53,IF(((D302+E302)*C302-G302)&lt;='Assumptions and Catalog'!$C$54,((D302+E302)*C302-G302)*'Assumptions and Catalog'!$H$54+'Assumptions and Catalog'!$E$54+'Assumptions and Catalog'!$F$54,IF(((D302+E302)*C302-G302)&lt;='Assumptions and Catalog'!$C$55,((D302+E302)*C302-G302)*'Assumptions and Catalog'!$H$55+'Assumptions and Catalog'!$E$55+'Assumptions and Catalog'!$F$55,IF(((D302+E302)*C302-G302)&lt;='Assumptions and Catalog'!$C$56,((D302+E302)*C302-G302)*'Assumptions and Catalog'!$H$56+'Assumptions and Catalog'!$E$56+'Assumptions and Catalog'!$F$56,IF(((D302+E302)*C302-G302)&lt;='Assumptions and Catalog'!$C$57,((D302+E302)*C302-G302)*'Assumptions and Catalog'!$H$57+'Assumptions and Catalog'!$E$57+'Assumptions and Catalog'!$F$57,"Out of range")))))))),IF(((D302+E302)*C302-G302)&lt;='Assumptions and Catalog'!$C$60,((D302+E302)*C302-G302)*'Assumptions and Catalog'!$H$60+'Assumptions and Catalog'!$E$60+'Assumptions and Catalog'!$F$60,IF(((D302+E302)*C302-G302)&lt;='Assumptions and Catalog'!$C$61,((D302+E302)*C302-G302)*'Assumptions and Catalog'!$H$61+'Assumptions and Catalog'!$E$61+'Assumptions and Catalog'!$F$61,IF(((D302+E302)*C302-G302)&lt;='Assumptions and Catalog'!$C$62,((D302+E302)*C302-G302)*'Assumptions and Catalog'!$H$62+'Assumptions and Catalog'!$E$62+'Assumptions and Catalog'!$F$62,IF(((D302+E302)*C302-G302)&lt;='Assumptions and Catalog'!$C$63,((D302+E302)*C302-G302)*'Assumptions and Catalog'!$H$63+'Assumptions and Catalog'!$E$63+'Assumptions and Catalog'!$F$63,IF(((D302+E302)*C302-G302)&lt;='Assumptions and Catalog'!$C$64,((D302+E302)*C302-G302)*'Assumptions and Catalog'!$H$64+'Assumptions and Catalog'!$E$64+'Assumptions and Catalog'!$F$64,IF(((D302+E302)*C302-G302)&lt;='Assumptions and Catalog'!$C$65,((D302+E302)*C302-G302)*'Assumptions and Catalog'!$H$65+'Assumptions and Catalog'!$E$65+'Assumptions and Catalog'!$F$65,"Out of range")))))))))*(1+'Assumptions and Catalog'!$C$8)^(A302-1),0)</f>
        <v>3567.397</v>
      </c>
      <c r="R302" s="5" t="n">
        <f>IF(AND('Assumptions and Catalog'!$C$19&gt;0,A302&gt;='Assumptions and Catalog'!$C$19),A302-'Assumptions and Catalog'!$C$19,A302-1)</f>
        <v>1</v>
      </c>
      <c r="S302" s="5" t="n">
        <f>F302+L302-(D302+E302)*C302-J302-K302-0</f>
        <v>0</v>
      </c>
      <c r="T302" s="5"/>
      <c r="U302" s="5"/>
    </row>
    <row r="303" ht="23.100000381469727" customHeight="1">
      <c r="A303" s="5" t="n">
        <v>12</v>
      </c>
      <c r="B303" s="5" t="n">
        <v>11</v>
      </c>
      <c r="C303" s="5" t="n">
        <f>DAY(DATE('Assumptions and Catalog'!$C$24+A303-1,B303+1,0))</f>
        <v>30</v>
      </c>
      <c r="D303" s="5" t="n">
        <f>IF(ISNUMBER(Inputs!$L$5),Inputs!$L$5*Inputs!$L$6,0)</f>
        <v>40.35</v>
      </c>
      <c r="E303" s="5" t="n">
        <f>IF(ISNUMBER(Inputs!$L$5),Inputs!$L$5-D303,0)</f>
        <v>40.35</v>
      </c>
      <c r="F303" s="5" t="n">
        <f>C$51*INDEX('Solar Production'!$D$20:$D$31,B303)*C303*(1-'Assumptions and Catalog'!$C$10)^(A303-1)</f>
        <v>1140.67524381402</v>
      </c>
      <c r="G303" s="5" t="n">
        <f>MIN(F303,D303*C303)</f>
        <v>1140.67524381402</v>
      </c>
      <c r="H303" s="5" t="n">
        <f>I303/('Assumptions and Catalog'!$C$11*'Assumptions and Catalog'!$C$12)</f>
        <v>0</v>
      </c>
      <c r="I303" s="5" t="n">
        <f>0</f>
        <v>0</v>
      </c>
      <c r="J303" s="5" t="n">
        <f>MAX(F303-G303-H303,0)</f>
        <v>0</v>
      </c>
      <c r="K303" s="5" t="n">
        <f>H303-I303</f>
        <v>0</v>
      </c>
      <c r="L303" s="5" t="n">
        <f>(D303+E303)*C303-G303-I303+0+0</f>
        <v>1280.32475618598</v>
      </c>
      <c r="M303" s="5" t="n">
        <f>IF(ISNUMBER(Inputs!$L$5),(IF(Inputs!$L$9="Actual flat rate",((D303+E303)*C303)*Inputs!$L$10,IF(Inputs!$C$9="Residential",IF(((D303+E303)*C303)&lt;='Assumptions and Catalog'!$C$50,((D303+E303)*C303)*'Assumptions and Catalog'!$H$50+'Assumptions and Catalog'!$E$50+'Assumptions and Catalog'!$F$50,IF(((D303+E303)*C303)&lt;='Assumptions and Catalog'!$C$51,((D303+E303)*C303)*'Assumptions and Catalog'!$H$51+'Assumptions and Catalog'!$E$51+'Assumptions and Catalog'!$F$51,IF(((D303+E303)*C303)&lt;='Assumptions and Catalog'!$C$52,((D303+E303)*C303)*'Assumptions and Catalog'!$H$52+'Assumptions and Catalog'!$E$52+'Assumptions and Catalog'!$F$52,IF(((D303+E303)*C303)&lt;='Assumptions and Catalog'!$C$53,((D303+E303)*C303)*'Assumptions and Catalog'!$H$53+'Assumptions and Catalog'!$E$53+'Assumptions and Catalog'!$F$53,IF(((D303+E303)*C303)&lt;='Assumptions and Catalog'!$C$54,((D303+E303)*C303)*'Assumptions and Catalog'!$H$54+'Assumptions and Catalog'!$E$54+'Assumptions and Catalog'!$F$54,IF(((D303+E303)*C303)&lt;='Assumptions and Catalog'!$C$55,((D303+E303)*C303)*'Assumptions and Catalog'!$H$55+'Assumptions and Catalog'!$E$55+'Assumptions and Catalog'!$F$55,IF(((D303+E303)*C303)&lt;='Assumptions and Catalog'!$C$56,((D303+E303)*C303)*'Assumptions and Catalog'!$H$56+'Assumptions and Catalog'!$E$56+'Assumptions and Catalog'!$F$56,IF(((D303+E303)*C303)&lt;='Assumptions and Catalog'!$C$57,((D303+E303)*C303)*'Assumptions and Catalog'!$H$57+'Assumptions and Catalog'!$E$57+'Assumptions and Catalog'!$F$57,"Out of range")))))))),IF(((D303+E303)*C303)&lt;='Assumptions and Catalog'!$C$60,((D303+E303)*C303)*'Assumptions and Catalog'!$H$60+'Assumptions and Catalog'!$E$60+'Assumptions and Catalog'!$F$60,IF(((D303+E303)*C303)&lt;='Assumptions and Catalog'!$C$61,((D303+E303)*C303)*'Assumptions and Catalog'!$H$61+'Assumptions and Catalog'!$E$61+'Assumptions and Catalog'!$F$61,IF(((D303+E303)*C303)&lt;='Assumptions and Catalog'!$C$62,((D303+E303)*C303)*'Assumptions and Catalog'!$H$62+'Assumptions and Catalog'!$E$62+'Assumptions and Catalog'!$F$62,IF(((D303+E303)*C303)&lt;='Assumptions and Catalog'!$C$63,((D303+E303)*C303)*'Assumptions and Catalog'!$H$63+'Assumptions and Catalog'!$E$63+'Assumptions and Catalog'!$F$63,IF(((D303+E303)*C303)&lt;='Assumptions and Catalog'!$C$64,((D303+E303)*C303)*'Assumptions and Catalog'!$H$64+'Assumptions and Catalog'!$E$64+'Assumptions and Catalog'!$F$64,IF(((D303+E303)*C303)&lt;='Assumptions and Catalog'!$C$65,((D303+E303)*C303)*'Assumptions and Catalog'!$H$65+'Assumptions and Catalog'!$E$65+'Assumptions and Catalog'!$F$65,"Out of range")))))))))*(1+'Assumptions and Catalog'!$C$8)^(A303-1),0)</f>
        <v>6867.22</v>
      </c>
      <c r="N303" s="5" t="n">
        <f>IF(ISNUMBER(Inputs!$L$5),(IF(Inputs!$L$9="Actual flat rate",L303*Inputs!$L$10,IF(Inputs!$C$9="Residential",IF(L303&lt;='Assumptions and Catalog'!$C$50,L303*'Assumptions and Catalog'!$H$50+'Assumptions and Catalog'!$E$50+'Assumptions and Catalog'!$F$50,IF(L303&lt;='Assumptions and Catalog'!$C$51,L303*'Assumptions and Catalog'!$H$51+'Assumptions and Catalog'!$E$51+'Assumptions and Catalog'!$F$51,IF(L303&lt;='Assumptions and Catalog'!$C$52,L303*'Assumptions and Catalog'!$H$52+'Assumptions and Catalog'!$E$52+'Assumptions and Catalog'!$F$52,IF(L303&lt;='Assumptions and Catalog'!$C$53,L303*'Assumptions and Catalog'!$H$53+'Assumptions and Catalog'!$E$53+'Assumptions and Catalog'!$F$53,IF(L303&lt;='Assumptions and Catalog'!$C$54,L303*'Assumptions and Catalog'!$H$54+'Assumptions and Catalog'!$E$54+'Assumptions and Catalog'!$F$54,IF(L303&lt;='Assumptions and Catalog'!$C$55,L303*'Assumptions and Catalog'!$H$55+'Assumptions and Catalog'!$E$55+'Assumptions and Catalog'!$F$55,IF(L303&lt;='Assumptions and Catalog'!$C$56,L303*'Assumptions and Catalog'!$H$56+'Assumptions and Catalog'!$E$56+'Assumptions and Catalog'!$F$56,IF(L303&lt;='Assumptions and Catalog'!$C$57,L303*'Assumptions and Catalog'!$H$57+'Assumptions and Catalog'!$E$57+'Assumptions and Catalog'!$F$57,"Out of range")))))))),IF(L303&lt;='Assumptions and Catalog'!$C$60,L303*'Assumptions and Catalog'!$H$60+'Assumptions and Catalog'!$E$60+'Assumptions and Catalog'!$F$60,IF(L303&lt;='Assumptions and Catalog'!$C$61,L303*'Assumptions and Catalog'!$H$61+'Assumptions and Catalog'!$E$61+'Assumptions and Catalog'!$F$61,IF(L303&lt;='Assumptions and Catalog'!$C$62,L303*'Assumptions and Catalog'!$H$62+'Assumptions and Catalog'!$E$62+'Assumptions and Catalog'!$F$62,IF(L303&lt;='Assumptions and Catalog'!$C$63,L303*'Assumptions and Catalog'!$H$63+'Assumptions and Catalog'!$E$63+'Assumptions and Catalog'!$F$63,IF(L303&lt;='Assumptions and Catalog'!$C$64,L303*'Assumptions and Catalog'!$H$64+'Assumptions and Catalog'!$E$64+'Assumptions and Catalog'!$F$64,IF(L303&lt;='Assumptions and Catalog'!$C$65,L303*'Assumptions and Catalog'!$H$65+'Assumptions and Catalog'!$E$65+'Assumptions and Catalog'!$F$65,"Out of range")))))))))*(1+'Assumptions and Catalog'!$C$8)^(A303-1),0)</f>
        <v>3650.51581244447</v>
      </c>
      <c r="O303" s="5" t="n">
        <f>M303-N303</f>
        <v>3216.70418755553</v>
      </c>
      <c r="P303" s="5" t="n">
        <f>C$55*(1-J$14)*(1-'Assumptions and Catalog'!$C$23)^R303</f>
        <v>0</v>
      </c>
      <c r="Q303" s="5" t="n">
        <f>IF(ISNUMBER(Inputs!$L$5),(IF(Inputs!$L$9="Actual flat rate",((D303+E303)*C303-G303)*Inputs!$L$10,IF(Inputs!$C$9="Residential",IF(((D303+E303)*C303-G303)&lt;='Assumptions and Catalog'!$C$50,((D303+E303)*C303-G303)*'Assumptions and Catalog'!$H$50+'Assumptions and Catalog'!$E$50+'Assumptions and Catalog'!$F$50,IF(((D303+E303)*C303-G303)&lt;='Assumptions and Catalog'!$C$51,((D303+E303)*C303-G303)*'Assumptions and Catalog'!$H$51+'Assumptions and Catalog'!$E$51+'Assumptions and Catalog'!$F$51,IF(((D303+E303)*C303-G303)&lt;='Assumptions and Catalog'!$C$52,((D303+E303)*C303-G303)*'Assumptions and Catalog'!$H$52+'Assumptions and Catalog'!$E$52+'Assumptions and Catalog'!$F$52,IF(((D303+E303)*C303-G303)&lt;='Assumptions and Catalog'!$C$53,((D303+E303)*C303-G303)*'Assumptions and Catalog'!$H$53+'Assumptions and Catalog'!$E$53+'Assumptions and Catalog'!$F$53,IF(((D303+E303)*C303-G303)&lt;='Assumptions and Catalog'!$C$54,((D303+E303)*C303-G303)*'Assumptions and Catalog'!$H$54+'Assumptions and Catalog'!$E$54+'Assumptions and Catalog'!$F$54,IF(((D303+E303)*C303-G303)&lt;='Assumptions and Catalog'!$C$55,((D303+E303)*C303-G303)*'Assumptions and Catalog'!$H$55+'Assumptions and Catalog'!$E$55+'Assumptions and Catalog'!$F$55,IF(((D303+E303)*C303-G303)&lt;='Assumptions and Catalog'!$C$56,((D303+E303)*C303-G303)*'Assumptions and Catalog'!$H$56+'Assumptions and Catalog'!$E$56+'Assumptions and Catalog'!$F$56,IF(((D303+E303)*C303-G303)&lt;='Assumptions and Catalog'!$C$57,((D303+E303)*C303-G303)*'Assumptions and Catalog'!$H$57+'Assumptions and Catalog'!$E$57+'Assumptions and Catalog'!$F$57,"Out of range")))))))),IF(((D303+E303)*C303-G303)&lt;='Assumptions and Catalog'!$C$60,((D303+E303)*C303-G303)*'Assumptions and Catalog'!$H$60+'Assumptions and Catalog'!$E$60+'Assumptions and Catalog'!$F$60,IF(((D303+E303)*C303-G303)&lt;='Assumptions and Catalog'!$C$61,((D303+E303)*C303-G303)*'Assumptions and Catalog'!$H$61+'Assumptions and Catalog'!$E$61+'Assumptions and Catalog'!$F$61,IF(((D303+E303)*C303-G303)&lt;='Assumptions and Catalog'!$C$62,((D303+E303)*C303-G303)*'Assumptions and Catalog'!$H$62+'Assumptions and Catalog'!$E$62+'Assumptions and Catalog'!$F$62,IF(((D303+E303)*C303-G303)&lt;='Assumptions and Catalog'!$C$63,((D303+E303)*C303-G303)*'Assumptions and Catalog'!$H$63+'Assumptions and Catalog'!$E$63+'Assumptions and Catalog'!$F$63,IF(((D303+E303)*C303-G303)&lt;='Assumptions and Catalog'!$C$64,((D303+E303)*C303-G303)*'Assumptions and Catalog'!$H$64+'Assumptions and Catalog'!$E$64+'Assumptions and Catalog'!$F$64,IF(((D303+E303)*C303-G303)&lt;='Assumptions and Catalog'!$C$65,((D303+E303)*C303-G303)*'Assumptions and Catalog'!$H$65+'Assumptions and Catalog'!$E$65+'Assumptions and Catalog'!$F$65,"Out of range")))))))))*(1+'Assumptions and Catalog'!$C$8)^(A303-1),0)</f>
        <v>3650.51581244447</v>
      </c>
      <c r="R303" s="5" t="n">
        <f>IF(AND('Assumptions and Catalog'!$C$19&gt;0,A303&gt;='Assumptions and Catalog'!$C$19),A303-'Assumptions and Catalog'!$C$19,A303-1)</f>
        <v>1</v>
      </c>
      <c r="S303" s="5" t="n">
        <f>F303+L303-(D303+E303)*C303-J303-K303-0</f>
        <v>0</v>
      </c>
      <c r="T303" s="5"/>
      <c r="U303" s="5"/>
    </row>
    <row r="304" ht="23.100000381469727" customHeight="1">
      <c r="A304" s="5" t="n">
        <v>12</v>
      </c>
      <c r="B304" s="5" t="n">
        <v>12</v>
      </c>
      <c r="C304" s="5" t="n">
        <f>DAY(DATE('Assumptions and Catalog'!$C$24+A304-1,B304+1,0))</f>
        <v>31</v>
      </c>
      <c r="D304" s="5" t="n">
        <f>IF(ISNUMBER(Inputs!$L$5),Inputs!$L$5*Inputs!$L$6,0)</f>
        <v>40.35</v>
      </c>
      <c r="E304" s="5" t="n">
        <f>IF(ISNUMBER(Inputs!$L$5),Inputs!$L$5-D304,0)</f>
        <v>40.35</v>
      </c>
      <c r="F304" s="5" t="n">
        <f>C$51*INDEX('Solar Production'!$D$20:$D$31,B304)*C304*(1-'Assumptions and Catalog'!$C$10)^(A304-1)</f>
        <v>1085.96080742752</v>
      </c>
      <c r="G304" s="5" t="n">
        <f>MIN(F304,D304*C304)</f>
        <v>1085.96080742752</v>
      </c>
      <c r="H304" s="5" t="n">
        <f>I304/('Assumptions and Catalog'!$C$11*'Assumptions and Catalog'!$C$12)</f>
        <v>0</v>
      </c>
      <c r="I304" s="5" t="n">
        <f>0</f>
        <v>0</v>
      </c>
      <c r="J304" s="5" t="n">
        <f>MAX(F304-G304-H304,0)</f>
        <v>0</v>
      </c>
      <c r="K304" s="5" t="n">
        <f>H304-I304</f>
        <v>0</v>
      </c>
      <c r="L304" s="5" t="n">
        <f>(D304+E304)*C304-G304-I304+0+0</f>
        <v>1415.73919257248</v>
      </c>
      <c r="M304" s="5" t="n">
        <f>IF(ISNUMBER(Inputs!$L$5),(IF(Inputs!$L$9="Actual flat rate",((D304+E304)*C304)*Inputs!$L$10,IF(Inputs!$C$9="Residential",IF(((D304+E304)*C304)&lt;='Assumptions and Catalog'!$C$50,((D304+E304)*C304)*'Assumptions and Catalog'!$H$50+'Assumptions and Catalog'!$E$50+'Assumptions and Catalog'!$F$50,IF(((D304+E304)*C304)&lt;='Assumptions and Catalog'!$C$51,((D304+E304)*C304)*'Assumptions and Catalog'!$H$51+'Assumptions and Catalog'!$E$51+'Assumptions and Catalog'!$F$51,IF(((D304+E304)*C304)&lt;='Assumptions and Catalog'!$C$52,((D304+E304)*C304)*'Assumptions and Catalog'!$H$52+'Assumptions and Catalog'!$E$52+'Assumptions and Catalog'!$F$52,IF(((D304+E304)*C304)&lt;='Assumptions and Catalog'!$C$53,((D304+E304)*C304)*'Assumptions and Catalog'!$H$53+'Assumptions and Catalog'!$E$53+'Assumptions and Catalog'!$F$53,IF(((D304+E304)*C304)&lt;='Assumptions and Catalog'!$C$54,((D304+E304)*C304)*'Assumptions and Catalog'!$H$54+'Assumptions and Catalog'!$E$54+'Assumptions and Catalog'!$F$54,IF(((D304+E304)*C304)&lt;='Assumptions and Catalog'!$C$55,((D304+E304)*C304)*'Assumptions and Catalog'!$H$55+'Assumptions and Catalog'!$E$55+'Assumptions and Catalog'!$F$55,IF(((D304+E304)*C304)&lt;='Assumptions and Catalog'!$C$56,((D304+E304)*C304)*'Assumptions and Catalog'!$H$56+'Assumptions and Catalog'!$E$56+'Assumptions and Catalog'!$F$56,IF(((D304+E304)*C304)&lt;='Assumptions and Catalog'!$C$57,((D304+E304)*C304)*'Assumptions and Catalog'!$H$57+'Assumptions and Catalog'!$E$57+'Assumptions and Catalog'!$F$57,"Out of range")))))))),IF(((D304+E304)*C304)&lt;='Assumptions and Catalog'!$C$60,((D304+E304)*C304)*'Assumptions and Catalog'!$H$60+'Assumptions and Catalog'!$E$60+'Assumptions and Catalog'!$F$60,IF(((D304+E304)*C304)&lt;='Assumptions and Catalog'!$C$61,((D304+E304)*C304)*'Assumptions and Catalog'!$H$61+'Assumptions and Catalog'!$E$61+'Assumptions and Catalog'!$F$61,IF(((D304+E304)*C304)&lt;='Assumptions and Catalog'!$C$62,((D304+E304)*C304)*'Assumptions and Catalog'!$H$62+'Assumptions and Catalog'!$E$62+'Assumptions and Catalog'!$F$62,IF(((D304+E304)*C304)&lt;='Assumptions and Catalog'!$C$63,((D304+E304)*C304)*'Assumptions and Catalog'!$H$63+'Assumptions and Catalog'!$E$63+'Assumptions and Catalog'!$F$63,IF(((D304+E304)*C304)&lt;='Assumptions and Catalog'!$C$64,((D304+E304)*C304)*'Assumptions and Catalog'!$H$64+'Assumptions and Catalog'!$E$64+'Assumptions and Catalog'!$F$64,IF(((D304+E304)*C304)&lt;='Assumptions and Catalog'!$C$65,((D304+E304)*C304)*'Assumptions and Catalog'!$H$65+'Assumptions and Catalog'!$E$65+'Assumptions and Catalog'!$F$65,"Out of range")))))))))*(1+'Assumptions and Catalog'!$C$8)^(A304-1),0)</f>
        <v>7094.794</v>
      </c>
      <c r="N304" s="5" t="n">
        <f>IF(ISNUMBER(Inputs!$L$5),(IF(Inputs!$L$9="Actual flat rate",L304*Inputs!$L$10,IF(Inputs!$C$9="Residential",IF(L304&lt;='Assumptions and Catalog'!$C$50,L304*'Assumptions and Catalog'!$H$50+'Assumptions and Catalog'!$E$50+'Assumptions and Catalog'!$F$50,IF(L304&lt;='Assumptions and Catalog'!$C$51,L304*'Assumptions and Catalog'!$H$51+'Assumptions and Catalog'!$E$51+'Assumptions and Catalog'!$F$51,IF(L304&lt;='Assumptions and Catalog'!$C$52,L304*'Assumptions and Catalog'!$H$52+'Assumptions and Catalog'!$E$52+'Assumptions and Catalog'!$F$52,IF(L304&lt;='Assumptions and Catalog'!$C$53,L304*'Assumptions and Catalog'!$H$53+'Assumptions and Catalog'!$E$53+'Assumptions and Catalog'!$F$53,IF(L304&lt;='Assumptions and Catalog'!$C$54,L304*'Assumptions and Catalog'!$H$54+'Assumptions and Catalog'!$E$54+'Assumptions and Catalog'!$F$54,IF(L304&lt;='Assumptions and Catalog'!$C$55,L304*'Assumptions and Catalog'!$H$55+'Assumptions and Catalog'!$E$55+'Assumptions and Catalog'!$F$55,IF(L304&lt;='Assumptions and Catalog'!$C$56,L304*'Assumptions and Catalog'!$H$56+'Assumptions and Catalog'!$E$56+'Assumptions and Catalog'!$F$56,IF(L304&lt;='Assumptions and Catalog'!$C$57,L304*'Assumptions and Catalog'!$H$57+'Assumptions and Catalog'!$E$57+'Assumptions and Catalog'!$F$57,"Out of range")))))))),IF(L304&lt;='Assumptions and Catalog'!$C$60,L304*'Assumptions and Catalog'!$H$60+'Assumptions and Catalog'!$E$60+'Assumptions and Catalog'!$F$60,IF(L304&lt;='Assumptions and Catalog'!$C$61,L304*'Assumptions and Catalog'!$H$61+'Assumptions and Catalog'!$E$61+'Assumptions and Catalog'!$F$61,IF(L304&lt;='Assumptions and Catalog'!$C$62,L304*'Assumptions and Catalog'!$H$62+'Assumptions and Catalog'!$E$62+'Assumptions and Catalog'!$F$62,IF(L304&lt;='Assumptions and Catalog'!$C$63,L304*'Assumptions and Catalog'!$H$63+'Assumptions and Catalog'!$E$63+'Assumptions and Catalog'!$F$63,IF(L304&lt;='Assumptions and Catalog'!$C$64,L304*'Assumptions and Catalog'!$H$64+'Assumptions and Catalog'!$E$64+'Assumptions and Catalog'!$F$64,IF(L304&lt;='Assumptions and Catalog'!$C$65,L304*'Assumptions and Catalog'!$H$65+'Assumptions and Catalog'!$E$65+'Assumptions and Catalog'!$F$65,"Out of range")))))))))*(1+'Assumptions and Catalog'!$C$8)^(A304-1),0)</f>
        <v>4032.38452305439</v>
      </c>
      <c r="O304" s="5" t="n">
        <f>M304-N304</f>
        <v>3062.40947694561</v>
      </c>
      <c r="P304" s="5" t="n">
        <f>C$55*(1-J$14)*(1-'Assumptions and Catalog'!$C$23)^R304</f>
        <v>0</v>
      </c>
      <c r="Q304" s="5" t="n">
        <f>IF(ISNUMBER(Inputs!$L$5),(IF(Inputs!$L$9="Actual flat rate",((D304+E304)*C304-G304)*Inputs!$L$10,IF(Inputs!$C$9="Residential",IF(((D304+E304)*C304-G304)&lt;='Assumptions and Catalog'!$C$50,((D304+E304)*C304-G304)*'Assumptions and Catalog'!$H$50+'Assumptions and Catalog'!$E$50+'Assumptions and Catalog'!$F$50,IF(((D304+E304)*C304-G304)&lt;='Assumptions and Catalog'!$C$51,((D304+E304)*C304-G304)*'Assumptions and Catalog'!$H$51+'Assumptions and Catalog'!$E$51+'Assumptions and Catalog'!$F$51,IF(((D304+E304)*C304-G304)&lt;='Assumptions and Catalog'!$C$52,((D304+E304)*C304-G304)*'Assumptions and Catalog'!$H$52+'Assumptions and Catalog'!$E$52+'Assumptions and Catalog'!$F$52,IF(((D304+E304)*C304-G304)&lt;='Assumptions and Catalog'!$C$53,((D304+E304)*C304-G304)*'Assumptions and Catalog'!$H$53+'Assumptions and Catalog'!$E$53+'Assumptions and Catalog'!$F$53,IF(((D304+E304)*C304-G304)&lt;='Assumptions and Catalog'!$C$54,((D304+E304)*C304-G304)*'Assumptions and Catalog'!$H$54+'Assumptions and Catalog'!$E$54+'Assumptions and Catalog'!$F$54,IF(((D304+E304)*C304-G304)&lt;='Assumptions and Catalog'!$C$55,((D304+E304)*C304-G304)*'Assumptions and Catalog'!$H$55+'Assumptions and Catalog'!$E$55+'Assumptions and Catalog'!$F$55,IF(((D304+E304)*C304-G304)&lt;='Assumptions and Catalog'!$C$56,((D304+E304)*C304-G304)*'Assumptions and Catalog'!$H$56+'Assumptions and Catalog'!$E$56+'Assumptions and Catalog'!$F$56,IF(((D304+E304)*C304-G304)&lt;='Assumptions and Catalog'!$C$57,((D304+E304)*C304-G304)*'Assumptions and Catalog'!$H$57+'Assumptions and Catalog'!$E$57+'Assumptions and Catalog'!$F$57,"Out of range")))))))),IF(((D304+E304)*C304-G304)&lt;='Assumptions and Catalog'!$C$60,((D304+E304)*C304-G304)*'Assumptions and Catalog'!$H$60+'Assumptions and Catalog'!$E$60+'Assumptions and Catalog'!$F$60,IF(((D304+E304)*C304-G304)&lt;='Assumptions and Catalog'!$C$61,((D304+E304)*C304-G304)*'Assumptions and Catalog'!$H$61+'Assumptions and Catalog'!$E$61+'Assumptions and Catalog'!$F$61,IF(((D304+E304)*C304-G304)&lt;='Assumptions and Catalog'!$C$62,((D304+E304)*C304-G304)*'Assumptions and Catalog'!$H$62+'Assumptions and Catalog'!$E$62+'Assumptions and Catalog'!$F$62,IF(((D304+E304)*C304-G304)&lt;='Assumptions and Catalog'!$C$63,((D304+E304)*C304-G304)*'Assumptions and Catalog'!$H$63+'Assumptions and Catalog'!$E$63+'Assumptions and Catalog'!$F$63,IF(((D304+E304)*C304-G304)&lt;='Assumptions and Catalog'!$C$64,((D304+E304)*C304-G304)*'Assumptions and Catalog'!$H$64+'Assumptions and Catalog'!$E$64+'Assumptions and Catalog'!$F$64,IF(((D304+E304)*C304-G304)&lt;='Assumptions and Catalog'!$C$65,((D304+E304)*C304-G304)*'Assumptions and Catalog'!$H$65+'Assumptions and Catalog'!$E$65+'Assumptions and Catalog'!$F$65,"Out of range")))))))))*(1+'Assumptions and Catalog'!$C$8)^(A304-1),0)</f>
        <v>4032.38452305439</v>
      </c>
      <c r="R304" s="5" t="n">
        <f>IF(AND('Assumptions and Catalog'!$C$19&gt;0,A304&gt;='Assumptions and Catalog'!$C$19),A304-'Assumptions and Catalog'!$C$19,A304-1)</f>
        <v>1</v>
      </c>
      <c r="S304" s="5" t="n">
        <f>F304+L304-(D304+E304)*C304-J304-K304-0</f>
        <v>0</v>
      </c>
      <c r="T304" s="5"/>
      <c r="U304" s="5"/>
    </row>
    <row r="305" ht="23.100000381469727" customHeight="1">
      <c r="A305" s="5" t="n">
        <v>13</v>
      </c>
      <c r="B305" s="5" t="n">
        <v>1</v>
      </c>
      <c r="C305" s="5" t="n">
        <f>DAY(DATE('Assumptions and Catalog'!$C$24+A305-1,B305+1,0))</f>
        <v>31</v>
      </c>
      <c r="D305" s="5" t="n">
        <f>IF(ISNUMBER(Inputs!$L$5),Inputs!$L$5*Inputs!$L$6,0)</f>
        <v>40.35</v>
      </c>
      <c r="E305" s="5" t="n">
        <f>IF(ISNUMBER(Inputs!$L$5),Inputs!$L$5-D305,0)</f>
        <v>40.35</v>
      </c>
      <c r="F305" s="5" t="n">
        <f>C$51*INDEX('Solar Production'!$D$20:$D$31,B305)*C305*(1-'Assumptions and Catalog'!$C$10)^(A305-1)</f>
        <v>1087.98865602115</v>
      </c>
      <c r="G305" s="5" t="n">
        <f>MIN(F305,D305*C305)</f>
        <v>1087.98865602115</v>
      </c>
      <c r="H305" s="5" t="n">
        <f>I305/('Assumptions and Catalog'!$C$11*'Assumptions and Catalog'!$C$12)</f>
        <v>0</v>
      </c>
      <c r="I305" s="5" t="n">
        <f>0</f>
        <v>0</v>
      </c>
      <c r="J305" s="5" t="n">
        <f>MAX(F305-G305-H305,0)</f>
        <v>0</v>
      </c>
      <c r="K305" s="5" t="n">
        <f>H305-I305</f>
        <v>0</v>
      </c>
      <c r="L305" s="5" t="n">
        <f>(D305+E305)*C305-G305-I305+0+0</f>
        <v>1413.71134397885</v>
      </c>
      <c r="M305" s="5" t="n">
        <f>IF(ISNUMBER(Inputs!$L$5),(IF(Inputs!$L$9="Actual flat rate",((D305+E305)*C305)*Inputs!$L$10,IF(Inputs!$C$9="Residential",IF(((D305+E305)*C305)&lt;='Assumptions and Catalog'!$C$50,((D305+E305)*C305)*'Assumptions and Catalog'!$H$50+'Assumptions and Catalog'!$E$50+'Assumptions and Catalog'!$F$50,IF(((D305+E305)*C305)&lt;='Assumptions and Catalog'!$C$51,((D305+E305)*C305)*'Assumptions and Catalog'!$H$51+'Assumptions and Catalog'!$E$51+'Assumptions and Catalog'!$F$51,IF(((D305+E305)*C305)&lt;='Assumptions and Catalog'!$C$52,((D305+E305)*C305)*'Assumptions and Catalog'!$H$52+'Assumptions and Catalog'!$E$52+'Assumptions and Catalog'!$F$52,IF(((D305+E305)*C305)&lt;='Assumptions and Catalog'!$C$53,((D305+E305)*C305)*'Assumptions and Catalog'!$H$53+'Assumptions and Catalog'!$E$53+'Assumptions and Catalog'!$F$53,IF(((D305+E305)*C305)&lt;='Assumptions and Catalog'!$C$54,((D305+E305)*C305)*'Assumptions and Catalog'!$H$54+'Assumptions and Catalog'!$E$54+'Assumptions and Catalog'!$F$54,IF(((D305+E305)*C305)&lt;='Assumptions and Catalog'!$C$55,((D305+E305)*C305)*'Assumptions and Catalog'!$H$55+'Assumptions and Catalog'!$E$55+'Assumptions and Catalog'!$F$55,IF(((D305+E305)*C305)&lt;='Assumptions and Catalog'!$C$56,((D305+E305)*C305)*'Assumptions and Catalog'!$H$56+'Assumptions and Catalog'!$E$56+'Assumptions and Catalog'!$F$56,IF(((D305+E305)*C305)&lt;='Assumptions and Catalog'!$C$57,((D305+E305)*C305)*'Assumptions and Catalog'!$H$57+'Assumptions and Catalog'!$E$57+'Assumptions and Catalog'!$F$57,"Out of range")))))))),IF(((D305+E305)*C305)&lt;='Assumptions and Catalog'!$C$60,((D305+E305)*C305)*'Assumptions and Catalog'!$H$60+'Assumptions and Catalog'!$E$60+'Assumptions and Catalog'!$F$60,IF(((D305+E305)*C305)&lt;='Assumptions and Catalog'!$C$61,((D305+E305)*C305)*'Assumptions and Catalog'!$H$61+'Assumptions and Catalog'!$E$61+'Assumptions and Catalog'!$F$61,IF(((D305+E305)*C305)&lt;='Assumptions and Catalog'!$C$62,((D305+E305)*C305)*'Assumptions and Catalog'!$H$62+'Assumptions and Catalog'!$E$62+'Assumptions and Catalog'!$F$62,IF(((D305+E305)*C305)&lt;='Assumptions and Catalog'!$C$63,((D305+E305)*C305)*'Assumptions and Catalog'!$H$63+'Assumptions and Catalog'!$E$63+'Assumptions and Catalog'!$F$63,IF(((D305+E305)*C305)&lt;='Assumptions and Catalog'!$C$64,((D305+E305)*C305)*'Assumptions and Catalog'!$H$64+'Assumptions and Catalog'!$E$64+'Assumptions and Catalog'!$F$64,IF(((D305+E305)*C305)&lt;='Assumptions and Catalog'!$C$65,((D305+E305)*C305)*'Assumptions and Catalog'!$H$65+'Assumptions and Catalog'!$E$65+'Assumptions and Catalog'!$F$65,"Out of range")))))))))*(1+'Assumptions and Catalog'!$C$8)^(A305-1),0)</f>
        <v>7094.794</v>
      </c>
      <c r="N305" s="5" t="n">
        <f>IF(ISNUMBER(Inputs!$L$5),(IF(Inputs!$L$9="Actual flat rate",L305*Inputs!$L$10,IF(Inputs!$C$9="Residential",IF(L305&lt;='Assumptions and Catalog'!$C$50,L305*'Assumptions and Catalog'!$H$50+'Assumptions and Catalog'!$E$50+'Assumptions and Catalog'!$F$50,IF(L305&lt;='Assumptions and Catalog'!$C$51,L305*'Assumptions and Catalog'!$H$51+'Assumptions and Catalog'!$E$51+'Assumptions and Catalog'!$F$51,IF(L305&lt;='Assumptions and Catalog'!$C$52,L305*'Assumptions and Catalog'!$H$52+'Assumptions and Catalog'!$E$52+'Assumptions and Catalog'!$F$52,IF(L305&lt;='Assumptions and Catalog'!$C$53,L305*'Assumptions and Catalog'!$H$53+'Assumptions and Catalog'!$E$53+'Assumptions and Catalog'!$F$53,IF(L305&lt;='Assumptions and Catalog'!$C$54,L305*'Assumptions and Catalog'!$H$54+'Assumptions and Catalog'!$E$54+'Assumptions and Catalog'!$F$54,IF(L305&lt;='Assumptions and Catalog'!$C$55,L305*'Assumptions and Catalog'!$H$55+'Assumptions and Catalog'!$E$55+'Assumptions and Catalog'!$F$55,IF(L305&lt;='Assumptions and Catalog'!$C$56,L305*'Assumptions and Catalog'!$H$56+'Assumptions and Catalog'!$E$56+'Assumptions and Catalog'!$F$56,IF(L305&lt;='Assumptions and Catalog'!$C$57,L305*'Assumptions and Catalog'!$H$57+'Assumptions and Catalog'!$E$57+'Assumptions and Catalog'!$F$57,"Out of range")))))))),IF(L305&lt;='Assumptions and Catalog'!$C$60,L305*'Assumptions and Catalog'!$H$60+'Assumptions and Catalog'!$E$60+'Assumptions and Catalog'!$F$60,IF(L305&lt;='Assumptions and Catalog'!$C$61,L305*'Assumptions and Catalog'!$H$61+'Assumptions and Catalog'!$E$61+'Assumptions and Catalog'!$F$61,IF(L305&lt;='Assumptions and Catalog'!$C$62,L305*'Assumptions and Catalog'!$H$62+'Assumptions and Catalog'!$E$62+'Assumptions and Catalog'!$F$62,IF(L305&lt;='Assumptions and Catalog'!$C$63,L305*'Assumptions and Catalog'!$H$63+'Assumptions and Catalog'!$E$63+'Assumptions and Catalog'!$F$63,IF(L305&lt;='Assumptions and Catalog'!$C$64,L305*'Assumptions and Catalog'!$H$64+'Assumptions and Catalog'!$E$64+'Assumptions and Catalog'!$F$64,IF(L305&lt;='Assumptions and Catalog'!$C$65,L305*'Assumptions and Catalog'!$H$65+'Assumptions and Catalog'!$E$65+'Assumptions and Catalog'!$F$65,"Out of range")))))))))*(1+'Assumptions and Catalog'!$C$8)^(A305-1),0)</f>
        <v>4026.66599002037</v>
      </c>
      <c r="O305" s="5" t="n">
        <f>M305-N305</f>
        <v>3068.12800997963</v>
      </c>
      <c r="P305" s="5" t="n">
        <f>C$55*(1-J$14)*(1-'Assumptions and Catalog'!$C$23)^R305</f>
        <v>0</v>
      </c>
      <c r="Q305" s="5" t="n">
        <f>IF(ISNUMBER(Inputs!$L$5),(IF(Inputs!$L$9="Actual flat rate",((D305+E305)*C305-G305)*Inputs!$L$10,IF(Inputs!$C$9="Residential",IF(((D305+E305)*C305-G305)&lt;='Assumptions and Catalog'!$C$50,((D305+E305)*C305-G305)*'Assumptions and Catalog'!$H$50+'Assumptions and Catalog'!$E$50+'Assumptions and Catalog'!$F$50,IF(((D305+E305)*C305-G305)&lt;='Assumptions and Catalog'!$C$51,((D305+E305)*C305-G305)*'Assumptions and Catalog'!$H$51+'Assumptions and Catalog'!$E$51+'Assumptions and Catalog'!$F$51,IF(((D305+E305)*C305-G305)&lt;='Assumptions and Catalog'!$C$52,((D305+E305)*C305-G305)*'Assumptions and Catalog'!$H$52+'Assumptions and Catalog'!$E$52+'Assumptions and Catalog'!$F$52,IF(((D305+E305)*C305-G305)&lt;='Assumptions and Catalog'!$C$53,((D305+E305)*C305-G305)*'Assumptions and Catalog'!$H$53+'Assumptions and Catalog'!$E$53+'Assumptions and Catalog'!$F$53,IF(((D305+E305)*C305-G305)&lt;='Assumptions and Catalog'!$C$54,((D305+E305)*C305-G305)*'Assumptions and Catalog'!$H$54+'Assumptions and Catalog'!$E$54+'Assumptions and Catalog'!$F$54,IF(((D305+E305)*C305-G305)&lt;='Assumptions and Catalog'!$C$55,((D305+E305)*C305-G305)*'Assumptions and Catalog'!$H$55+'Assumptions and Catalog'!$E$55+'Assumptions and Catalog'!$F$55,IF(((D305+E305)*C305-G305)&lt;='Assumptions and Catalog'!$C$56,((D305+E305)*C305-G305)*'Assumptions and Catalog'!$H$56+'Assumptions and Catalog'!$E$56+'Assumptions and Catalog'!$F$56,IF(((D305+E305)*C305-G305)&lt;='Assumptions and Catalog'!$C$57,((D305+E305)*C305-G305)*'Assumptions and Catalog'!$H$57+'Assumptions and Catalog'!$E$57+'Assumptions and Catalog'!$F$57,"Out of range")))))))),IF(((D305+E305)*C305-G305)&lt;='Assumptions and Catalog'!$C$60,((D305+E305)*C305-G305)*'Assumptions and Catalog'!$H$60+'Assumptions and Catalog'!$E$60+'Assumptions and Catalog'!$F$60,IF(((D305+E305)*C305-G305)&lt;='Assumptions and Catalog'!$C$61,((D305+E305)*C305-G305)*'Assumptions and Catalog'!$H$61+'Assumptions and Catalog'!$E$61+'Assumptions and Catalog'!$F$61,IF(((D305+E305)*C305-G305)&lt;='Assumptions and Catalog'!$C$62,((D305+E305)*C305-G305)*'Assumptions and Catalog'!$H$62+'Assumptions and Catalog'!$E$62+'Assumptions and Catalog'!$F$62,IF(((D305+E305)*C305-G305)&lt;='Assumptions and Catalog'!$C$63,((D305+E305)*C305-G305)*'Assumptions and Catalog'!$H$63+'Assumptions and Catalog'!$E$63+'Assumptions and Catalog'!$F$63,IF(((D305+E305)*C305-G305)&lt;='Assumptions and Catalog'!$C$64,((D305+E305)*C305-G305)*'Assumptions and Catalog'!$H$64+'Assumptions and Catalog'!$E$64+'Assumptions and Catalog'!$F$64,IF(((D305+E305)*C305-G305)&lt;='Assumptions and Catalog'!$C$65,((D305+E305)*C305-G305)*'Assumptions and Catalog'!$H$65+'Assumptions and Catalog'!$E$65+'Assumptions and Catalog'!$F$65,"Out of range")))))))))*(1+'Assumptions and Catalog'!$C$8)^(A305-1),0)</f>
        <v>4026.66599002037</v>
      </c>
      <c r="R305" s="5" t="n">
        <f>IF(AND('Assumptions and Catalog'!$C$19&gt;0,A305&gt;='Assumptions and Catalog'!$C$19),A305-'Assumptions and Catalog'!$C$19,A305-1)</f>
        <v>2</v>
      </c>
      <c r="S305" s="5" t="n">
        <f>F305+L305-(D305+E305)*C305-J305-K305-0</f>
        <v>0</v>
      </c>
      <c r="T305" s="5"/>
      <c r="U305" s="5"/>
    </row>
    <row r="306" ht="23.100000381469727" customHeight="1">
      <c r="A306" s="5" t="n">
        <v>13</v>
      </c>
      <c r="B306" s="5" t="n">
        <v>2</v>
      </c>
      <c r="C306" s="5" t="n">
        <f>DAY(DATE('Assumptions and Catalog'!$C$24+A306-1,B306+1,0))</f>
        <v>28</v>
      </c>
      <c r="D306" s="5" t="n">
        <f>IF(ISNUMBER(Inputs!$L$5),Inputs!$L$5*Inputs!$L$6,0)</f>
        <v>40.35</v>
      </c>
      <c r="E306" s="5" t="n">
        <f>IF(ISNUMBER(Inputs!$L$5),Inputs!$L$5-D306,0)</f>
        <v>40.35</v>
      </c>
      <c r="F306" s="5" t="n">
        <f>C$51*INDEX('Solar Production'!$D$20:$D$31,B306)*C306*(1-'Assumptions and Catalog'!$C$10)^(A306-1)</f>
        <v>1072.65903672458</v>
      </c>
      <c r="G306" s="5" t="n">
        <f>MIN(F306,D306*C306)</f>
        <v>1072.65903672458</v>
      </c>
      <c r="H306" s="5" t="n">
        <f>I306/('Assumptions and Catalog'!$C$11*'Assumptions and Catalog'!$C$12)</f>
        <v>0</v>
      </c>
      <c r="I306" s="5" t="n">
        <f>0</f>
        <v>0</v>
      </c>
      <c r="J306" s="5" t="n">
        <f>MAX(F306-G306-H306,0)</f>
        <v>0</v>
      </c>
      <c r="K306" s="5" t="n">
        <f>H306-I306</f>
        <v>0</v>
      </c>
      <c r="L306" s="5" t="n">
        <f>(D306+E306)*C306-G306-I306+0+0</f>
        <v>1186.94096327542</v>
      </c>
      <c r="M306" s="5" t="n">
        <f>IF(ISNUMBER(Inputs!$L$5),(IF(Inputs!$L$9="Actual flat rate",((D306+E306)*C306)*Inputs!$L$10,IF(Inputs!$C$9="Residential",IF(((D306+E306)*C306)&lt;='Assumptions and Catalog'!$C$50,((D306+E306)*C306)*'Assumptions and Catalog'!$H$50+'Assumptions and Catalog'!$E$50+'Assumptions and Catalog'!$F$50,IF(((D306+E306)*C306)&lt;='Assumptions and Catalog'!$C$51,((D306+E306)*C306)*'Assumptions and Catalog'!$H$51+'Assumptions and Catalog'!$E$51+'Assumptions and Catalog'!$F$51,IF(((D306+E306)*C306)&lt;='Assumptions and Catalog'!$C$52,((D306+E306)*C306)*'Assumptions and Catalog'!$H$52+'Assumptions and Catalog'!$E$52+'Assumptions and Catalog'!$F$52,IF(((D306+E306)*C306)&lt;='Assumptions and Catalog'!$C$53,((D306+E306)*C306)*'Assumptions and Catalog'!$H$53+'Assumptions and Catalog'!$E$53+'Assumptions and Catalog'!$F$53,IF(((D306+E306)*C306)&lt;='Assumptions and Catalog'!$C$54,((D306+E306)*C306)*'Assumptions and Catalog'!$H$54+'Assumptions and Catalog'!$E$54+'Assumptions and Catalog'!$F$54,IF(((D306+E306)*C306)&lt;='Assumptions and Catalog'!$C$55,((D306+E306)*C306)*'Assumptions and Catalog'!$H$55+'Assumptions and Catalog'!$E$55+'Assumptions and Catalog'!$F$55,IF(((D306+E306)*C306)&lt;='Assumptions and Catalog'!$C$56,((D306+E306)*C306)*'Assumptions and Catalog'!$H$56+'Assumptions and Catalog'!$E$56+'Assumptions and Catalog'!$F$56,IF(((D306+E306)*C306)&lt;='Assumptions and Catalog'!$C$57,((D306+E306)*C306)*'Assumptions and Catalog'!$H$57+'Assumptions and Catalog'!$E$57+'Assumptions and Catalog'!$F$57,"Out of range")))))))),IF(((D306+E306)*C306)&lt;='Assumptions and Catalog'!$C$60,((D306+E306)*C306)*'Assumptions and Catalog'!$H$60+'Assumptions and Catalog'!$E$60+'Assumptions and Catalog'!$F$60,IF(((D306+E306)*C306)&lt;='Assumptions and Catalog'!$C$61,((D306+E306)*C306)*'Assumptions and Catalog'!$H$61+'Assumptions and Catalog'!$E$61+'Assumptions and Catalog'!$F$61,IF(((D306+E306)*C306)&lt;='Assumptions and Catalog'!$C$62,((D306+E306)*C306)*'Assumptions and Catalog'!$H$62+'Assumptions and Catalog'!$E$62+'Assumptions and Catalog'!$F$62,IF(((D306+E306)*C306)&lt;='Assumptions and Catalog'!$C$63,((D306+E306)*C306)*'Assumptions and Catalog'!$H$63+'Assumptions and Catalog'!$E$63+'Assumptions and Catalog'!$F$63,IF(((D306+E306)*C306)&lt;='Assumptions and Catalog'!$C$64,((D306+E306)*C306)*'Assumptions and Catalog'!$H$64+'Assumptions and Catalog'!$E$64+'Assumptions and Catalog'!$F$64,IF(((D306+E306)*C306)&lt;='Assumptions and Catalog'!$C$65,((D306+E306)*C306)*'Assumptions and Catalog'!$H$65+'Assumptions and Catalog'!$E$65+'Assumptions and Catalog'!$F$65,"Out of range")))))))))*(1+'Assumptions and Catalog'!$C$8)^(A306-1),0)</f>
        <v>6412.072</v>
      </c>
      <c r="N306" s="5" t="n">
        <f>IF(ISNUMBER(Inputs!$L$5),(IF(Inputs!$L$9="Actual flat rate",L306*Inputs!$L$10,IF(Inputs!$C$9="Residential",IF(L306&lt;='Assumptions and Catalog'!$C$50,L306*'Assumptions and Catalog'!$H$50+'Assumptions and Catalog'!$E$50+'Assumptions and Catalog'!$F$50,IF(L306&lt;='Assumptions and Catalog'!$C$51,L306*'Assumptions and Catalog'!$H$51+'Assumptions and Catalog'!$E$51+'Assumptions and Catalog'!$F$51,IF(L306&lt;='Assumptions and Catalog'!$C$52,L306*'Assumptions and Catalog'!$H$52+'Assumptions and Catalog'!$E$52+'Assumptions and Catalog'!$F$52,IF(L306&lt;='Assumptions and Catalog'!$C$53,L306*'Assumptions and Catalog'!$H$53+'Assumptions and Catalog'!$E$53+'Assumptions and Catalog'!$F$53,IF(L306&lt;='Assumptions and Catalog'!$C$54,L306*'Assumptions and Catalog'!$H$54+'Assumptions and Catalog'!$E$54+'Assumptions and Catalog'!$F$54,IF(L306&lt;='Assumptions and Catalog'!$C$55,L306*'Assumptions and Catalog'!$H$55+'Assumptions and Catalog'!$E$55+'Assumptions and Catalog'!$F$55,IF(L306&lt;='Assumptions and Catalog'!$C$56,L306*'Assumptions and Catalog'!$H$56+'Assumptions and Catalog'!$E$56+'Assumptions and Catalog'!$F$56,IF(L306&lt;='Assumptions and Catalog'!$C$57,L306*'Assumptions and Catalog'!$H$57+'Assumptions and Catalog'!$E$57+'Assumptions and Catalog'!$F$57,"Out of range")))))))),IF(L306&lt;='Assumptions and Catalog'!$C$60,L306*'Assumptions and Catalog'!$H$60+'Assumptions and Catalog'!$E$60+'Assumptions and Catalog'!$F$60,IF(L306&lt;='Assumptions and Catalog'!$C$61,L306*'Assumptions and Catalog'!$H$61+'Assumptions and Catalog'!$E$61+'Assumptions and Catalog'!$F$61,IF(L306&lt;='Assumptions and Catalog'!$C$62,L306*'Assumptions and Catalog'!$H$62+'Assumptions and Catalog'!$E$62+'Assumptions and Catalog'!$F$62,IF(L306&lt;='Assumptions and Catalog'!$C$63,L306*'Assumptions and Catalog'!$H$63+'Assumptions and Catalog'!$E$63+'Assumptions and Catalog'!$F$63,IF(L306&lt;='Assumptions and Catalog'!$C$64,L306*'Assumptions and Catalog'!$H$64+'Assumptions and Catalog'!$E$64+'Assumptions and Catalog'!$F$64,IF(L306&lt;='Assumptions and Catalog'!$C$65,L306*'Assumptions and Catalog'!$H$65+'Assumptions and Catalog'!$E$65+'Assumptions and Catalog'!$F$65,"Out of range")))))))))*(1+'Assumptions and Catalog'!$C$8)^(A306-1),0)</f>
        <v>3387.17351643668</v>
      </c>
      <c r="O306" s="5" t="n">
        <f>M306-N306</f>
        <v>3024.89848356332</v>
      </c>
      <c r="P306" s="5" t="n">
        <f>C$55*(1-J$14)*(1-'Assumptions and Catalog'!$C$23)^R306</f>
        <v>0</v>
      </c>
      <c r="Q306" s="5" t="n">
        <f>IF(ISNUMBER(Inputs!$L$5),(IF(Inputs!$L$9="Actual flat rate",((D306+E306)*C306-G306)*Inputs!$L$10,IF(Inputs!$C$9="Residential",IF(((D306+E306)*C306-G306)&lt;='Assumptions and Catalog'!$C$50,((D306+E306)*C306-G306)*'Assumptions and Catalog'!$H$50+'Assumptions and Catalog'!$E$50+'Assumptions and Catalog'!$F$50,IF(((D306+E306)*C306-G306)&lt;='Assumptions and Catalog'!$C$51,((D306+E306)*C306-G306)*'Assumptions and Catalog'!$H$51+'Assumptions and Catalog'!$E$51+'Assumptions and Catalog'!$F$51,IF(((D306+E306)*C306-G306)&lt;='Assumptions and Catalog'!$C$52,((D306+E306)*C306-G306)*'Assumptions and Catalog'!$H$52+'Assumptions and Catalog'!$E$52+'Assumptions and Catalog'!$F$52,IF(((D306+E306)*C306-G306)&lt;='Assumptions and Catalog'!$C$53,((D306+E306)*C306-G306)*'Assumptions and Catalog'!$H$53+'Assumptions and Catalog'!$E$53+'Assumptions and Catalog'!$F$53,IF(((D306+E306)*C306-G306)&lt;='Assumptions and Catalog'!$C$54,((D306+E306)*C306-G306)*'Assumptions and Catalog'!$H$54+'Assumptions and Catalog'!$E$54+'Assumptions and Catalog'!$F$54,IF(((D306+E306)*C306-G306)&lt;='Assumptions and Catalog'!$C$55,((D306+E306)*C306-G306)*'Assumptions and Catalog'!$H$55+'Assumptions and Catalog'!$E$55+'Assumptions and Catalog'!$F$55,IF(((D306+E306)*C306-G306)&lt;='Assumptions and Catalog'!$C$56,((D306+E306)*C306-G306)*'Assumptions and Catalog'!$H$56+'Assumptions and Catalog'!$E$56+'Assumptions and Catalog'!$F$56,IF(((D306+E306)*C306-G306)&lt;='Assumptions and Catalog'!$C$57,((D306+E306)*C306-G306)*'Assumptions and Catalog'!$H$57+'Assumptions and Catalog'!$E$57+'Assumptions and Catalog'!$F$57,"Out of range")))))))),IF(((D306+E306)*C306-G306)&lt;='Assumptions and Catalog'!$C$60,((D306+E306)*C306-G306)*'Assumptions and Catalog'!$H$60+'Assumptions and Catalog'!$E$60+'Assumptions and Catalog'!$F$60,IF(((D306+E306)*C306-G306)&lt;='Assumptions and Catalog'!$C$61,((D306+E306)*C306-G306)*'Assumptions and Catalog'!$H$61+'Assumptions and Catalog'!$E$61+'Assumptions and Catalog'!$F$61,IF(((D306+E306)*C306-G306)&lt;='Assumptions and Catalog'!$C$62,((D306+E306)*C306-G306)*'Assumptions and Catalog'!$H$62+'Assumptions and Catalog'!$E$62+'Assumptions and Catalog'!$F$62,IF(((D306+E306)*C306-G306)&lt;='Assumptions and Catalog'!$C$63,((D306+E306)*C306-G306)*'Assumptions and Catalog'!$H$63+'Assumptions and Catalog'!$E$63+'Assumptions and Catalog'!$F$63,IF(((D306+E306)*C306-G306)&lt;='Assumptions and Catalog'!$C$64,((D306+E306)*C306-G306)*'Assumptions and Catalog'!$H$64+'Assumptions and Catalog'!$E$64+'Assumptions and Catalog'!$F$64,IF(((D306+E306)*C306-G306)&lt;='Assumptions and Catalog'!$C$65,((D306+E306)*C306-G306)*'Assumptions and Catalog'!$H$65+'Assumptions and Catalog'!$E$65+'Assumptions and Catalog'!$F$65,"Out of range")))))))))*(1+'Assumptions and Catalog'!$C$8)^(A306-1),0)</f>
        <v>3387.17351643668</v>
      </c>
      <c r="R306" s="5" t="n">
        <f>IF(AND('Assumptions and Catalog'!$C$19&gt;0,A306&gt;='Assumptions and Catalog'!$C$19),A306-'Assumptions and Catalog'!$C$19,A306-1)</f>
        <v>2</v>
      </c>
      <c r="S306" s="5" t="n">
        <f>F306+L306-(D306+E306)*C306-J306-K306-0</f>
        <v>0</v>
      </c>
      <c r="T306" s="5"/>
      <c r="U306" s="5"/>
    </row>
    <row r="307" ht="23.100000381469727" customHeight="1">
      <c r="A307" s="5" t="n">
        <v>13</v>
      </c>
      <c r="B307" s="5" t="n">
        <v>3</v>
      </c>
      <c r="C307" s="5" t="n">
        <f>DAY(DATE('Assumptions and Catalog'!$C$24+A307-1,B307+1,0))</f>
        <v>31</v>
      </c>
      <c r="D307" s="5" t="n">
        <f>IF(ISNUMBER(Inputs!$L$5),Inputs!$L$5*Inputs!$L$6,0)</f>
        <v>40.35</v>
      </c>
      <c r="E307" s="5" t="n">
        <f>IF(ISNUMBER(Inputs!$L$5),Inputs!$L$5-D307,0)</f>
        <v>40.35</v>
      </c>
      <c r="F307" s="5" t="n">
        <f>C$51*INDEX('Solar Production'!$D$20:$D$31,B307)*C307*(1-'Assumptions and Catalog'!$C$10)^(A307-1)</f>
        <v>1334.58836967834</v>
      </c>
      <c r="G307" s="5" t="n">
        <f>MIN(F307,D307*C307)</f>
        <v>1250.85</v>
      </c>
      <c r="H307" s="5" t="n">
        <f>I307/('Assumptions and Catalog'!$C$11*'Assumptions and Catalog'!$C$12)</f>
        <v>0</v>
      </c>
      <c r="I307" s="5" t="n">
        <f>0</f>
        <v>0</v>
      </c>
      <c r="J307" s="5" t="n">
        <f>MAX(F307-G307-H307,0)</f>
        <v>83.7383696783381</v>
      </c>
      <c r="K307" s="5" t="n">
        <f>H307-I307</f>
        <v>0</v>
      </c>
      <c r="L307" s="5" t="n">
        <f>(D307+E307)*C307-G307-I307+0+0</f>
        <v>1250.85</v>
      </c>
      <c r="M307" s="5" t="n">
        <f>IF(ISNUMBER(Inputs!$L$5),(IF(Inputs!$L$9="Actual flat rate",((D307+E307)*C307)*Inputs!$L$10,IF(Inputs!$C$9="Residential",IF(((D307+E307)*C307)&lt;='Assumptions and Catalog'!$C$50,((D307+E307)*C307)*'Assumptions and Catalog'!$H$50+'Assumptions and Catalog'!$E$50+'Assumptions and Catalog'!$F$50,IF(((D307+E307)*C307)&lt;='Assumptions and Catalog'!$C$51,((D307+E307)*C307)*'Assumptions and Catalog'!$H$51+'Assumptions and Catalog'!$E$51+'Assumptions and Catalog'!$F$51,IF(((D307+E307)*C307)&lt;='Assumptions and Catalog'!$C$52,((D307+E307)*C307)*'Assumptions and Catalog'!$H$52+'Assumptions and Catalog'!$E$52+'Assumptions and Catalog'!$F$52,IF(((D307+E307)*C307)&lt;='Assumptions and Catalog'!$C$53,((D307+E307)*C307)*'Assumptions and Catalog'!$H$53+'Assumptions and Catalog'!$E$53+'Assumptions and Catalog'!$F$53,IF(((D307+E307)*C307)&lt;='Assumptions and Catalog'!$C$54,((D307+E307)*C307)*'Assumptions and Catalog'!$H$54+'Assumptions and Catalog'!$E$54+'Assumptions and Catalog'!$F$54,IF(((D307+E307)*C307)&lt;='Assumptions and Catalog'!$C$55,((D307+E307)*C307)*'Assumptions and Catalog'!$H$55+'Assumptions and Catalog'!$E$55+'Assumptions and Catalog'!$F$55,IF(((D307+E307)*C307)&lt;='Assumptions and Catalog'!$C$56,((D307+E307)*C307)*'Assumptions and Catalog'!$H$56+'Assumptions and Catalog'!$E$56+'Assumptions and Catalog'!$F$56,IF(((D307+E307)*C307)&lt;='Assumptions and Catalog'!$C$57,((D307+E307)*C307)*'Assumptions and Catalog'!$H$57+'Assumptions and Catalog'!$E$57+'Assumptions and Catalog'!$F$57,"Out of range")))))))),IF(((D307+E307)*C307)&lt;='Assumptions and Catalog'!$C$60,((D307+E307)*C307)*'Assumptions and Catalog'!$H$60+'Assumptions and Catalog'!$E$60+'Assumptions and Catalog'!$F$60,IF(((D307+E307)*C307)&lt;='Assumptions and Catalog'!$C$61,((D307+E307)*C307)*'Assumptions and Catalog'!$H$61+'Assumptions and Catalog'!$E$61+'Assumptions and Catalog'!$F$61,IF(((D307+E307)*C307)&lt;='Assumptions and Catalog'!$C$62,((D307+E307)*C307)*'Assumptions and Catalog'!$H$62+'Assumptions and Catalog'!$E$62+'Assumptions and Catalog'!$F$62,IF(((D307+E307)*C307)&lt;='Assumptions and Catalog'!$C$63,((D307+E307)*C307)*'Assumptions and Catalog'!$H$63+'Assumptions and Catalog'!$E$63+'Assumptions and Catalog'!$F$63,IF(((D307+E307)*C307)&lt;='Assumptions and Catalog'!$C$64,((D307+E307)*C307)*'Assumptions and Catalog'!$H$64+'Assumptions and Catalog'!$E$64+'Assumptions and Catalog'!$F$64,IF(((D307+E307)*C307)&lt;='Assumptions and Catalog'!$C$65,((D307+E307)*C307)*'Assumptions and Catalog'!$H$65+'Assumptions and Catalog'!$E$65+'Assumptions and Catalog'!$F$65,"Out of range")))))))))*(1+'Assumptions and Catalog'!$C$8)^(A307-1),0)</f>
        <v>7094.794</v>
      </c>
      <c r="N307" s="5" t="n">
        <f>IF(ISNUMBER(Inputs!$L$5),(IF(Inputs!$L$9="Actual flat rate",L307*Inputs!$L$10,IF(Inputs!$C$9="Residential",IF(L307&lt;='Assumptions and Catalog'!$C$50,L307*'Assumptions and Catalog'!$H$50+'Assumptions and Catalog'!$E$50+'Assumptions and Catalog'!$F$50,IF(L307&lt;='Assumptions and Catalog'!$C$51,L307*'Assumptions and Catalog'!$H$51+'Assumptions and Catalog'!$E$51+'Assumptions and Catalog'!$F$51,IF(L307&lt;='Assumptions and Catalog'!$C$52,L307*'Assumptions and Catalog'!$H$52+'Assumptions and Catalog'!$E$52+'Assumptions and Catalog'!$F$52,IF(L307&lt;='Assumptions and Catalog'!$C$53,L307*'Assumptions and Catalog'!$H$53+'Assumptions and Catalog'!$E$53+'Assumptions and Catalog'!$F$53,IF(L307&lt;='Assumptions and Catalog'!$C$54,L307*'Assumptions and Catalog'!$H$54+'Assumptions and Catalog'!$E$54+'Assumptions and Catalog'!$F$54,IF(L307&lt;='Assumptions and Catalog'!$C$55,L307*'Assumptions and Catalog'!$H$55+'Assumptions and Catalog'!$E$55+'Assumptions and Catalog'!$F$55,IF(L307&lt;='Assumptions and Catalog'!$C$56,L307*'Assumptions and Catalog'!$H$56+'Assumptions and Catalog'!$E$56+'Assumptions and Catalog'!$F$56,IF(L307&lt;='Assumptions and Catalog'!$C$57,L307*'Assumptions and Catalog'!$H$57+'Assumptions and Catalog'!$E$57+'Assumptions and Catalog'!$F$57,"Out of range")))))))),IF(L307&lt;='Assumptions and Catalog'!$C$60,L307*'Assumptions and Catalog'!$H$60+'Assumptions and Catalog'!$E$60+'Assumptions and Catalog'!$F$60,IF(L307&lt;='Assumptions and Catalog'!$C$61,L307*'Assumptions and Catalog'!$H$61+'Assumptions and Catalog'!$E$61+'Assumptions and Catalog'!$F$61,IF(L307&lt;='Assumptions and Catalog'!$C$62,L307*'Assumptions and Catalog'!$H$62+'Assumptions and Catalog'!$E$62+'Assumptions and Catalog'!$F$62,IF(L307&lt;='Assumptions and Catalog'!$C$63,L307*'Assumptions and Catalog'!$H$63+'Assumptions and Catalog'!$E$63+'Assumptions and Catalog'!$F$63,IF(L307&lt;='Assumptions and Catalog'!$C$64,L307*'Assumptions and Catalog'!$H$64+'Assumptions and Catalog'!$E$64+'Assumptions and Catalog'!$F$64,IF(L307&lt;='Assumptions and Catalog'!$C$65,L307*'Assumptions and Catalog'!$H$65+'Assumptions and Catalog'!$E$65+'Assumptions and Catalog'!$F$65,"Out of range")))))))))*(1+'Assumptions and Catalog'!$C$8)^(A307-1),0)</f>
        <v>3567.397</v>
      </c>
      <c r="O307" s="5" t="n">
        <f>M307-N307</f>
        <v>3527.397</v>
      </c>
      <c r="P307" s="5" t="n">
        <f>C$55*(1-J$14)*(1-'Assumptions and Catalog'!$C$23)^R307</f>
        <v>0</v>
      </c>
      <c r="Q307" s="5" t="n">
        <f>IF(ISNUMBER(Inputs!$L$5),(IF(Inputs!$L$9="Actual flat rate",((D307+E307)*C307-G307)*Inputs!$L$10,IF(Inputs!$C$9="Residential",IF(((D307+E307)*C307-G307)&lt;='Assumptions and Catalog'!$C$50,((D307+E307)*C307-G307)*'Assumptions and Catalog'!$H$50+'Assumptions and Catalog'!$E$50+'Assumptions and Catalog'!$F$50,IF(((D307+E307)*C307-G307)&lt;='Assumptions and Catalog'!$C$51,((D307+E307)*C307-G307)*'Assumptions and Catalog'!$H$51+'Assumptions and Catalog'!$E$51+'Assumptions and Catalog'!$F$51,IF(((D307+E307)*C307-G307)&lt;='Assumptions and Catalog'!$C$52,((D307+E307)*C307-G307)*'Assumptions and Catalog'!$H$52+'Assumptions and Catalog'!$E$52+'Assumptions and Catalog'!$F$52,IF(((D307+E307)*C307-G307)&lt;='Assumptions and Catalog'!$C$53,((D307+E307)*C307-G307)*'Assumptions and Catalog'!$H$53+'Assumptions and Catalog'!$E$53+'Assumptions and Catalog'!$F$53,IF(((D307+E307)*C307-G307)&lt;='Assumptions and Catalog'!$C$54,((D307+E307)*C307-G307)*'Assumptions and Catalog'!$H$54+'Assumptions and Catalog'!$E$54+'Assumptions and Catalog'!$F$54,IF(((D307+E307)*C307-G307)&lt;='Assumptions and Catalog'!$C$55,((D307+E307)*C307-G307)*'Assumptions and Catalog'!$H$55+'Assumptions and Catalog'!$E$55+'Assumptions and Catalog'!$F$55,IF(((D307+E307)*C307-G307)&lt;='Assumptions and Catalog'!$C$56,((D307+E307)*C307-G307)*'Assumptions and Catalog'!$H$56+'Assumptions and Catalog'!$E$56+'Assumptions and Catalog'!$F$56,IF(((D307+E307)*C307-G307)&lt;='Assumptions and Catalog'!$C$57,((D307+E307)*C307-G307)*'Assumptions and Catalog'!$H$57+'Assumptions and Catalog'!$E$57+'Assumptions and Catalog'!$F$57,"Out of range")))))))),IF(((D307+E307)*C307-G307)&lt;='Assumptions and Catalog'!$C$60,((D307+E307)*C307-G307)*'Assumptions and Catalog'!$H$60+'Assumptions and Catalog'!$E$60+'Assumptions and Catalog'!$F$60,IF(((D307+E307)*C307-G307)&lt;='Assumptions and Catalog'!$C$61,((D307+E307)*C307-G307)*'Assumptions and Catalog'!$H$61+'Assumptions and Catalog'!$E$61+'Assumptions and Catalog'!$F$61,IF(((D307+E307)*C307-G307)&lt;='Assumptions and Catalog'!$C$62,((D307+E307)*C307-G307)*'Assumptions and Catalog'!$H$62+'Assumptions and Catalog'!$E$62+'Assumptions and Catalog'!$F$62,IF(((D307+E307)*C307-G307)&lt;='Assumptions and Catalog'!$C$63,((D307+E307)*C307-G307)*'Assumptions and Catalog'!$H$63+'Assumptions and Catalog'!$E$63+'Assumptions and Catalog'!$F$63,IF(((D307+E307)*C307-G307)&lt;='Assumptions and Catalog'!$C$64,((D307+E307)*C307-G307)*'Assumptions and Catalog'!$H$64+'Assumptions and Catalog'!$E$64+'Assumptions and Catalog'!$F$64,IF(((D307+E307)*C307-G307)&lt;='Assumptions and Catalog'!$C$65,((D307+E307)*C307-G307)*'Assumptions and Catalog'!$H$65+'Assumptions and Catalog'!$E$65+'Assumptions and Catalog'!$F$65,"Out of range")))))))))*(1+'Assumptions and Catalog'!$C$8)^(A307-1),0)</f>
        <v>3567.397</v>
      </c>
      <c r="R307" s="5" t="n">
        <f>IF(AND('Assumptions and Catalog'!$C$19&gt;0,A307&gt;='Assumptions and Catalog'!$C$19),A307-'Assumptions and Catalog'!$C$19,A307-1)</f>
        <v>2</v>
      </c>
      <c r="S307" s="5" t="n">
        <f>F307+L307-(D307+E307)*C307-J307-K307-0</f>
        <v>0</v>
      </c>
      <c r="T307" s="5"/>
      <c r="U307" s="5"/>
    </row>
    <row r="308" ht="23.100000381469727" customHeight="1">
      <c r="A308" s="5" t="n">
        <v>13</v>
      </c>
      <c r="B308" s="5" t="n">
        <v>4</v>
      </c>
      <c r="C308" s="5" t="n">
        <f>DAY(DATE('Assumptions and Catalog'!$C$24+A308-1,B308+1,0))</f>
        <v>30</v>
      </c>
      <c r="D308" s="5" t="n">
        <f>IF(ISNUMBER(Inputs!$L$5),Inputs!$L$5*Inputs!$L$6,0)</f>
        <v>40.35</v>
      </c>
      <c r="E308" s="5" t="n">
        <f>IF(ISNUMBER(Inputs!$L$5),Inputs!$L$5-D308,0)</f>
        <v>40.35</v>
      </c>
      <c r="F308" s="5" t="n">
        <f>C$51*INDEX('Solar Production'!$D$20:$D$31,B308)*C308*(1-'Assumptions and Catalog'!$C$10)^(A308-1)</f>
        <v>1332.93111353817</v>
      </c>
      <c r="G308" s="5" t="n">
        <f>MIN(F308,D308*C308)</f>
        <v>1210.5</v>
      </c>
      <c r="H308" s="5" t="n">
        <f>I308/('Assumptions and Catalog'!$C$11*'Assumptions and Catalog'!$C$12)</f>
        <v>0</v>
      </c>
      <c r="I308" s="5" t="n">
        <f>0</f>
        <v>0</v>
      </c>
      <c r="J308" s="5" t="n">
        <f>MAX(F308-G308-H308,0)</f>
        <v>122.431113538169</v>
      </c>
      <c r="K308" s="5" t="n">
        <f>H308-I308</f>
        <v>0</v>
      </c>
      <c r="L308" s="5" t="n">
        <f>(D308+E308)*C308-G308-I308+0+0</f>
        <v>1210.5</v>
      </c>
      <c r="M308" s="5" t="n">
        <f>IF(ISNUMBER(Inputs!$L$5),(IF(Inputs!$L$9="Actual flat rate",((D308+E308)*C308)*Inputs!$L$10,IF(Inputs!$C$9="Residential",IF(((D308+E308)*C308)&lt;='Assumptions and Catalog'!$C$50,((D308+E308)*C308)*'Assumptions and Catalog'!$H$50+'Assumptions and Catalog'!$E$50+'Assumptions and Catalog'!$F$50,IF(((D308+E308)*C308)&lt;='Assumptions and Catalog'!$C$51,((D308+E308)*C308)*'Assumptions and Catalog'!$H$51+'Assumptions and Catalog'!$E$51+'Assumptions and Catalog'!$F$51,IF(((D308+E308)*C308)&lt;='Assumptions and Catalog'!$C$52,((D308+E308)*C308)*'Assumptions and Catalog'!$H$52+'Assumptions and Catalog'!$E$52+'Assumptions and Catalog'!$F$52,IF(((D308+E308)*C308)&lt;='Assumptions and Catalog'!$C$53,((D308+E308)*C308)*'Assumptions and Catalog'!$H$53+'Assumptions and Catalog'!$E$53+'Assumptions and Catalog'!$F$53,IF(((D308+E308)*C308)&lt;='Assumptions and Catalog'!$C$54,((D308+E308)*C308)*'Assumptions and Catalog'!$H$54+'Assumptions and Catalog'!$E$54+'Assumptions and Catalog'!$F$54,IF(((D308+E308)*C308)&lt;='Assumptions and Catalog'!$C$55,((D308+E308)*C308)*'Assumptions and Catalog'!$H$55+'Assumptions and Catalog'!$E$55+'Assumptions and Catalog'!$F$55,IF(((D308+E308)*C308)&lt;='Assumptions and Catalog'!$C$56,((D308+E308)*C308)*'Assumptions and Catalog'!$H$56+'Assumptions and Catalog'!$E$56+'Assumptions and Catalog'!$F$56,IF(((D308+E308)*C308)&lt;='Assumptions and Catalog'!$C$57,((D308+E308)*C308)*'Assumptions and Catalog'!$H$57+'Assumptions and Catalog'!$E$57+'Assumptions and Catalog'!$F$57,"Out of range")))))))),IF(((D308+E308)*C308)&lt;='Assumptions and Catalog'!$C$60,((D308+E308)*C308)*'Assumptions and Catalog'!$H$60+'Assumptions and Catalog'!$E$60+'Assumptions and Catalog'!$F$60,IF(((D308+E308)*C308)&lt;='Assumptions and Catalog'!$C$61,((D308+E308)*C308)*'Assumptions and Catalog'!$H$61+'Assumptions and Catalog'!$E$61+'Assumptions and Catalog'!$F$61,IF(((D308+E308)*C308)&lt;='Assumptions and Catalog'!$C$62,((D308+E308)*C308)*'Assumptions and Catalog'!$H$62+'Assumptions and Catalog'!$E$62+'Assumptions and Catalog'!$F$62,IF(((D308+E308)*C308)&lt;='Assumptions and Catalog'!$C$63,((D308+E308)*C308)*'Assumptions and Catalog'!$H$63+'Assumptions and Catalog'!$E$63+'Assumptions and Catalog'!$F$63,IF(((D308+E308)*C308)&lt;='Assumptions and Catalog'!$C$64,((D308+E308)*C308)*'Assumptions and Catalog'!$H$64+'Assumptions and Catalog'!$E$64+'Assumptions and Catalog'!$F$64,IF(((D308+E308)*C308)&lt;='Assumptions and Catalog'!$C$65,((D308+E308)*C308)*'Assumptions and Catalog'!$H$65+'Assumptions and Catalog'!$E$65+'Assumptions and Catalog'!$F$65,"Out of range")))))))))*(1+'Assumptions and Catalog'!$C$8)^(A308-1),0)</f>
        <v>6867.22</v>
      </c>
      <c r="N308" s="5" t="n">
        <f>IF(ISNUMBER(Inputs!$L$5),(IF(Inputs!$L$9="Actual flat rate",L308*Inputs!$L$10,IF(Inputs!$C$9="Residential",IF(L308&lt;='Assumptions and Catalog'!$C$50,L308*'Assumptions and Catalog'!$H$50+'Assumptions and Catalog'!$E$50+'Assumptions and Catalog'!$F$50,IF(L308&lt;='Assumptions and Catalog'!$C$51,L308*'Assumptions and Catalog'!$H$51+'Assumptions and Catalog'!$E$51+'Assumptions and Catalog'!$F$51,IF(L308&lt;='Assumptions and Catalog'!$C$52,L308*'Assumptions and Catalog'!$H$52+'Assumptions and Catalog'!$E$52+'Assumptions and Catalog'!$F$52,IF(L308&lt;='Assumptions and Catalog'!$C$53,L308*'Assumptions and Catalog'!$H$53+'Assumptions and Catalog'!$E$53+'Assumptions and Catalog'!$F$53,IF(L308&lt;='Assumptions and Catalog'!$C$54,L308*'Assumptions and Catalog'!$H$54+'Assumptions and Catalog'!$E$54+'Assumptions and Catalog'!$F$54,IF(L308&lt;='Assumptions and Catalog'!$C$55,L308*'Assumptions and Catalog'!$H$55+'Assumptions and Catalog'!$E$55+'Assumptions and Catalog'!$F$55,IF(L308&lt;='Assumptions and Catalog'!$C$56,L308*'Assumptions and Catalog'!$H$56+'Assumptions and Catalog'!$E$56+'Assumptions and Catalog'!$F$56,IF(L308&lt;='Assumptions and Catalog'!$C$57,L308*'Assumptions and Catalog'!$H$57+'Assumptions and Catalog'!$E$57+'Assumptions and Catalog'!$F$57,"Out of range")))))))),IF(L308&lt;='Assumptions and Catalog'!$C$60,L308*'Assumptions and Catalog'!$H$60+'Assumptions and Catalog'!$E$60+'Assumptions and Catalog'!$F$60,IF(L308&lt;='Assumptions and Catalog'!$C$61,L308*'Assumptions and Catalog'!$H$61+'Assumptions and Catalog'!$E$61+'Assumptions and Catalog'!$F$61,IF(L308&lt;='Assumptions and Catalog'!$C$62,L308*'Assumptions and Catalog'!$H$62+'Assumptions and Catalog'!$E$62+'Assumptions and Catalog'!$F$62,IF(L308&lt;='Assumptions and Catalog'!$C$63,L308*'Assumptions and Catalog'!$H$63+'Assumptions and Catalog'!$E$63+'Assumptions and Catalog'!$F$63,IF(L308&lt;='Assumptions and Catalog'!$C$64,L308*'Assumptions and Catalog'!$H$64+'Assumptions and Catalog'!$E$64+'Assumptions and Catalog'!$F$64,IF(L308&lt;='Assumptions and Catalog'!$C$65,L308*'Assumptions and Catalog'!$H$65+'Assumptions and Catalog'!$E$65+'Assumptions and Catalog'!$F$65,"Out of range")))))))))*(1+'Assumptions and Catalog'!$C$8)^(A308-1),0)</f>
        <v>3453.61</v>
      </c>
      <c r="O308" s="5" t="n">
        <f>M308-N308</f>
        <v>3413.61</v>
      </c>
      <c r="P308" s="5" t="n">
        <f>C$55*(1-J$14)*(1-'Assumptions and Catalog'!$C$23)^R308</f>
        <v>0</v>
      </c>
      <c r="Q308" s="5" t="n">
        <f>IF(ISNUMBER(Inputs!$L$5),(IF(Inputs!$L$9="Actual flat rate",((D308+E308)*C308-G308)*Inputs!$L$10,IF(Inputs!$C$9="Residential",IF(((D308+E308)*C308-G308)&lt;='Assumptions and Catalog'!$C$50,((D308+E308)*C308-G308)*'Assumptions and Catalog'!$H$50+'Assumptions and Catalog'!$E$50+'Assumptions and Catalog'!$F$50,IF(((D308+E308)*C308-G308)&lt;='Assumptions and Catalog'!$C$51,((D308+E308)*C308-G308)*'Assumptions and Catalog'!$H$51+'Assumptions and Catalog'!$E$51+'Assumptions and Catalog'!$F$51,IF(((D308+E308)*C308-G308)&lt;='Assumptions and Catalog'!$C$52,((D308+E308)*C308-G308)*'Assumptions and Catalog'!$H$52+'Assumptions and Catalog'!$E$52+'Assumptions and Catalog'!$F$52,IF(((D308+E308)*C308-G308)&lt;='Assumptions and Catalog'!$C$53,((D308+E308)*C308-G308)*'Assumptions and Catalog'!$H$53+'Assumptions and Catalog'!$E$53+'Assumptions and Catalog'!$F$53,IF(((D308+E308)*C308-G308)&lt;='Assumptions and Catalog'!$C$54,((D308+E308)*C308-G308)*'Assumptions and Catalog'!$H$54+'Assumptions and Catalog'!$E$54+'Assumptions and Catalog'!$F$54,IF(((D308+E308)*C308-G308)&lt;='Assumptions and Catalog'!$C$55,((D308+E308)*C308-G308)*'Assumptions and Catalog'!$H$55+'Assumptions and Catalog'!$E$55+'Assumptions and Catalog'!$F$55,IF(((D308+E308)*C308-G308)&lt;='Assumptions and Catalog'!$C$56,((D308+E308)*C308-G308)*'Assumptions and Catalog'!$H$56+'Assumptions and Catalog'!$E$56+'Assumptions and Catalog'!$F$56,IF(((D308+E308)*C308-G308)&lt;='Assumptions and Catalog'!$C$57,((D308+E308)*C308-G308)*'Assumptions and Catalog'!$H$57+'Assumptions and Catalog'!$E$57+'Assumptions and Catalog'!$F$57,"Out of range")))))))),IF(((D308+E308)*C308-G308)&lt;='Assumptions and Catalog'!$C$60,((D308+E308)*C308-G308)*'Assumptions and Catalog'!$H$60+'Assumptions and Catalog'!$E$60+'Assumptions and Catalog'!$F$60,IF(((D308+E308)*C308-G308)&lt;='Assumptions and Catalog'!$C$61,((D308+E308)*C308-G308)*'Assumptions and Catalog'!$H$61+'Assumptions and Catalog'!$E$61+'Assumptions and Catalog'!$F$61,IF(((D308+E308)*C308-G308)&lt;='Assumptions and Catalog'!$C$62,((D308+E308)*C308-G308)*'Assumptions and Catalog'!$H$62+'Assumptions and Catalog'!$E$62+'Assumptions and Catalog'!$F$62,IF(((D308+E308)*C308-G308)&lt;='Assumptions and Catalog'!$C$63,((D308+E308)*C308-G308)*'Assumptions and Catalog'!$H$63+'Assumptions and Catalog'!$E$63+'Assumptions and Catalog'!$F$63,IF(((D308+E308)*C308-G308)&lt;='Assumptions and Catalog'!$C$64,((D308+E308)*C308-G308)*'Assumptions and Catalog'!$H$64+'Assumptions and Catalog'!$E$64+'Assumptions and Catalog'!$F$64,IF(((D308+E308)*C308-G308)&lt;='Assumptions and Catalog'!$C$65,((D308+E308)*C308-G308)*'Assumptions and Catalog'!$H$65+'Assumptions and Catalog'!$E$65+'Assumptions and Catalog'!$F$65,"Out of range")))))))))*(1+'Assumptions and Catalog'!$C$8)^(A308-1),0)</f>
        <v>3453.61</v>
      </c>
      <c r="R308" s="5" t="n">
        <f>IF(AND('Assumptions and Catalog'!$C$19&gt;0,A308&gt;='Assumptions and Catalog'!$C$19),A308-'Assumptions and Catalog'!$C$19,A308-1)</f>
        <v>2</v>
      </c>
      <c r="S308" s="5" t="n">
        <f>F308+L308-(D308+E308)*C308-J308-K308-0</f>
        <v>0</v>
      </c>
      <c r="T308" s="5"/>
      <c r="U308" s="5"/>
    </row>
    <row r="309" ht="23.100000381469727" customHeight="1">
      <c r="A309" s="5" t="n">
        <v>13</v>
      </c>
      <c r="B309" s="5" t="n">
        <v>5</v>
      </c>
      <c r="C309" s="5" t="n">
        <f>DAY(DATE('Assumptions and Catalog'!$C$24+A309-1,B309+1,0))</f>
        <v>31</v>
      </c>
      <c r="D309" s="5" t="n">
        <f>IF(ISNUMBER(Inputs!$L$5),Inputs!$L$5*Inputs!$L$6,0)</f>
        <v>40.35</v>
      </c>
      <c r="E309" s="5" t="n">
        <f>IF(ISNUMBER(Inputs!$L$5),Inputs!$L$5-D309,0)</f>
        <v>40.35</v>
      </c>
      <c r="F309" s="5" t="n">
        <f>C$51*INDEX('Solar Production'!$D$20:$D$31,B309)*C309*(1-'Assumptions and Catalog'!$C$10)^(A309-1)</f>
        <v>1348.34359564174</v>
      </c>
      <c r="G309" s="5" t="n">
        <f>MIN(F309,D309*C309)</f>
        <v>1250.85</v>
      </c>
      <c r="H309" s="5" t="n">
        <f>I309/('Assumptions and Catalog'!$C$11*'Assumptions and Catalog'!$C$12)</f>
        <v>0</v>
      </c>
      <c r="I309" s="5" t="n">
        <f>0</f>
        <v>0</v>
      </c>
      <c r="J309" s="5" t="n">
        <f>MAX(F309-G309-H309,0)</f>
        <v>97.4935956417435</v>
      </c>
      <c r="K309" s="5" t="n">
        <f>H309-I309</f>
        <v>0</v>
      </c>
      <c r="L309" s="5" t="n">
        <f>(D309+E309)*C309-G309-I309+0+0</f>
        <v>1250.85</v>
      </c>
      <c r="M309" s="5" t="n">
        <f>IF(ISNUMBER(Inputs!$L$5),(IF(Inputs!$L$9="Actual flat rate",((D309+E309)*C309)*Inputs!$L$10,IF(Inputs!$C$9="Residential",IF(((D309+E309)*C309)&lt;='Assumptions and Catalog'!$C$50,((D309+E309)*C309)*'Assumptions and Catalog'!$H$50+'Assumptions and Catalog'!$E$50+'Assumptions and Catalog'!$F$50,IF(((D309+E309)*C309)&lt;='Assumptions and Catalog'!$C$51,((D309+E309)*C309)*'Assumptions and Catalog'!$H$51+'Assumptions and Catalog'!$E$51+'Assumptions and Catalog'!$F$51,IF(((D309+E309)*C309)&lt;='Assumptions and Catalog'!$C$52,((D309+E309)*C309)*'Assumptions and Catalog'!$H$52+'Assumptions and Catalog'!$E$52+'Assumptions and Catalog'!$F$52,IF(((D309+E309)*C309)&lt;='Assumptions and Catalog'!$C$53,((D309+E309)*C309)*'Assumptions and Catalog'!$H$53+'Assumptions and Catalog'!$E$53+'Assumptions and Catalog'!$F$53,IF(((D309+E309)*C309)&lt;='Assumptions and Catalog'!$C$54,((D309+E309)*C309)*'Assumptions and Catalog'!$H$54+'Assumptions and Catalog'!$E$54+'Assumptions and Catalog'!$F$54,IF(((D309+E309)*C309)&lt;='Assumptions and Catalog'!$C$55,((D309+E309)*C309)*'Assumptions and Catalog'!$H$55+'Assumptions and Catalog'!$E$55+'Assumptions and Catalog'!$F$55,IF(((D309+E309)*C309)&lt;='Assumptions and Catalog'!$C$56,((D309+E309)*C309)*'Assumptions and Catalog'!$H$56+'Assumptions and Catalog'!$E$56+'Assumptions and Catalog'!$F$56,IF(((D309+E309)*C309)&lt;='Assumptions and Catalog'!$C$57,((D309+E309)*C309)*'Assumptions and Catalog'!$H$57+'Assumptions and Catalog'!$E$57+'Assumptions and Catalog'!$F$57,"Out of range")))))))),IF(((D309+E309)*C309)&lt;='Assumptions and Catalog'!$C$60,((D309+E309)*C309)*'Assumptions and Catalog'!$H$60+'Assumptions and Catalog'!$E$60+'Assumptions and Catalog'!$F$60,IF(((D309+E309)*C309)&lt;='Assumptions and Catalog'!$C$61,((D309+E309)*C309)*'Assumptions and Catalog'!$H$61+'Assumptions and Catalog'!$E$61+'Assumptions and Catalog'!$F$61,IF(((D309+E309)*C309)&lt;='Assumptions and Catalog'!$C$62,((D309+E309)*C309)*'Assumptions and Catalog'!$H$62+'Assumptions and Catalog'!$E$62+'Assumptions and Catalog'!$F$62,IF(((D309+E309)*C309)&lt;='Assumptions and Catalog'!$C$63,((D309+E309)*C309)*'Assumptions and Catalog'!$H$63+'Assumptions and Catalog'!$E$63+'Assumptions and Catalog'!$F$63,IF(((D309+E309)*C309)&lt;='Assumptions and Catalog'!$C$64,((D309+E309)*C309)*'Assumptions and Catalog'!$H$64+'Assumptions and Catalog'!$E$64+'Assumptions and Catalog'!$F$64,IF(((D309+E309)*C309)&lt;='Assumptions and Catalog'!$C$65,((D309+E309)*C309)*'Assumptions and Catalog'!$H$65+'Assumptions and Catalog'!$E$65+'Assumptions and Catalog'!$F$65,"Out of range")))))))))*(1+'Assumptions and Catalog'!$C$8)^(A309-1),0)</f>
        <v>7094.794</v>
      </c>
      <c r="N309" s="5" t="n">
        <f>IF(ISNUMBER(Inputs!$L$5),(IF(Inputs!$L$9="Actual flat rate",L309*Inputs!$L$10,IF(Inputs!$C$9="Residential",IF(L309&lt;='Assumptions and Catalog'!$C$50,L309*'Assumptions and Catalog'!$H$50+'Assumptions and Catalog'!$E$50+'Assumptions and Catalog'!$F$50,IF(L309&lt;='Assumptions and Catalog'!$C$51,L309*'Assumptions and Catalog'!$H$51+'Assumptions and Catalog'!$E$51+'Assumptions and Catalog'!$F$51,IF(L309&lt;='Assumptions and Catalog'!$C$52,L309*'Assumptions and Catalog'!$H$52+'Assumptions and Catalog'!$E$52+'Assumptions and Catalog'!$F$52,IF(L309&lt;='Assumptions and Catalog'!$C$53,L309*'Assumptions and Catalog'!$H$53+'Assumptions and Catalog'!$E$53+'Assumptions and Catalog'!$F$53,IF(L309&lt;='Assumptions and Catalog'!$C$54,L309*'Assumptions and Catalog'!$H$54+'Assumptions and Catalog'!$E$54+'Assumptions and Catalog'!$F$54,IF(L309&lt;='Assumptions and Catalog'!$C$55,L309*'Assumptions and Catalog'!$H$55+'Assumptions and Catalog'!$E$55+'Assumptions and Catalog'!$F$55,IF(L309&lt;='Assumptions and Catalog'!$C$56,L309*'Assumptions and Catalog'!$H$56+'Assumptions and Catalog'!$E$56+'Assumptions and Catalog'!$F$56,IF(L309&lt;='Assumptions and Catalog'!$C$57,L309*'Assumptions and Catalog'!$H$57+'Assumptions and Catalog'!$E$57+'Assumptions and Catalog'!$F$57,"Out of range")))))))),IF(L309&lt;='Assumptions and Catalog'!$C$60,L309*'Assumptions and Catalog'!$H$60+'Assumptions and Catalog'!$E$60+'Assumptions and Catalog'!$F$60,IF(L309&lt;='Assumptions and Catalog'!$C$61,L309*'Assumptions and Catalog'!$H$61+'Assumptions and Catalog'!$E$61+'Assumptions and Catalog'!$F$61,IF(L309&lt;='Assumptions and Catalog'!$C$62,L309*'Assumptions and Catalog'!$H$62+'Assumptions and Catalog'!$E$62+'Assumptions and Catalog'!$F$62,IF(L309&lt;='Assumptions and Catalog'!$C$63,L309*'Assumptions and Catalog'!$H$63+'Assumptions and Catalog'!$E$63+'Assumptions and Catalog'!$F$63,IF(L309&lt;='Assumptions and Catalog'!$C$64,L309*'Assumptions and Catalog'!$H$64+'Assumptions and Catalog'!$E$64+'Assumptions and Catalog'!$F$64,IF(L309&lt;='Assumptions and Catalog'!$C$65,L309*'Assumptions and Catalog'!$H$65+'Assumptions and Catalog'!$E$65+'Assumptions and Catalog'!$F$65,"Out of range")))))))))*(1+'Assumptions and Catalog'!$C$8)^(A309-1),0)</f>
        <v>3567.397</v>
      </c>
      <c r="O309" s="5" t="n">
        <f>M309-N309</f>
        <v>3527.397</v>
      </c>
      <c r="P309" s="5" t="n">
        <f>C$55*(1-J$14)*(1-'Assumptions and Catalog'!$C$23)^R309</f>
        <v>0</v>
      </c>
      <c r="Q309" s="5" t="n">
        <f>IF(ISNUMBER(Inputs!$L$5),(IF(Inputs!$L$9="Actual flat rate",((D309+E309)*C309-G309)*Inputs!$L$10,IF(Inputs!$C$9="Residential",IF(((D309+E309)*C309-G309)&lt;='Assumptions and Catalog'!$C$50,((D309+E309)*C309-G309)*'Assumptions and Catalog'!$H$50+'Assumptions and Catalog'!$E$50+'Assumptions and Catalog'!$F$50,IF(((D309+E309)*C309-G309)&lt;='Assumptions and Catalog'!$C$51,((D309+E309)*C309-G309)*'Assumptions and Catalog'!$H$51+'Assumptions and Catalog'!$E$51+'Assumptions and Catalog'!$F$51,IF(((D309+E309)*C309-G309)&lt;='Assumptions and Catalog'!$C$52,((D309+E309)*C309-G309)*'Assumptions and Catalog'!$H$52+'Assumptions and Catalog'!$E$52+'Assumptions and Catalog'!$F$52,IF(((D309+E309)*C309-G309)&lt;='Assumptions and Catalog'!$C$53,((D309+E309)*C309-G309)*'Assumptions and Catalog'!$H$53+'Assumptions and Catalog'!$E$53+'Assumptions and Catalog'!$F$53,IF(((D309+E309)*C309-G309)&lt;='Assumptions and Catalog'!$C$54,((D309+E309)*C309-G309)*'Assumptions and Catalog'!$H$54+'Assumptions and Catalog'!$E$54+'Assumptions and Catalog'!$F$54,IF(((D309+E309)*C309-G309)&lt;='Assumptions and Catalog'!$C$55,((D309+E309)*C309-G309)*'Assumptions and Catalog'!$H$55+'Assumptions and Catalog'!$E$55+'Assumptions and Catalog'!$F$55,IF(((D309+E309)*C309-G309)&lt;='Assumptions and Catalog'!$C$56,((D309+E309)*C309-G309)*'Assumptions and Catalog'!$H$56+'Assumptions and Catalog'!$E$56+'Assumptions and Catalog'!$F$56,IF(((D309+E309)*C309-G309)&lt;='Assumptions and Catalog'!$C$57,((D309+E309)*C309-G309)*'Assumptions and Catalog'!$H$57+'Assumptions and Catalog'!$E$57+'Assumptions and Catalog'!$F$57,"Out of range")))))))),IF(((D309+E309)*C309-G309)&lt;='Assumptions and Catalog'!$C$60,((D309+E309)*C309-G309)*'Assumptions and Catalog'!$H$60+'Assumptions and Catalog'!$E$60+'Assumptions and Catalog'!$F$60,IF(((D309+E309)*C309-G309)&lt;='Assumptions and Catalog'!$C$61,((D309+E309)*C309-G309)*'Assumptions and Catalog'!$H$61+'Assumptions and Catalog'!$E$61+'Assumptions and Catalog'!$F$61,IF(((D309+E309)*C309-G309)&lt;='Assumptions and Catalog'!$C$62,((D309+E309)*C309-G309)*'Assumptions and Catalog'!$H$62+'Assumptions and Catalog'!$E$62+'Assumptions and Catalog'!$F$62,IF(((D309+E309)*C309-G309)&lt;='Assumptions and Catalog'!$C$63,((D309+E309)*C309-G309)*'Assumptions and Catalog'!$H$63+'Assumptions and Catalog'!$E$63+'Assumptions and Catalog'!$F$63,IF(((D309+E309)*C309-G309)&lt;='Assumptions and Catalog'!$C$64,((D309+E309)*C309-G309)*'Assumptions and Catalog'!$H$64+'Assumptions and Catalog'!$E$64+'Assumptions and Catalog'!$F$64,IF(((D309+E309)*C309-G309)&lt;='Assumptions and Catalog'!$C$65,((D309+E309)*C309-G309)*'Assumptions and Catalog'!$H$65+'Assumptions and Catalog'!$E$65+'Assumptions and Catalog'!$F$65,"Out of range")))))))))*(1+'Assumptions and Catalog'!$C$8)^(A309-1),0)</f>
        <v>3567.397</v>
      </c>
      <c r="R309" s="5" t="n">
        <f>IF(AND('Assumptions and Catalog'!$C$19&gt;0,A309&gt;='Assumptions and Catalog'!$C$19),A309-'Assumptions and Catalog'!$C$19,A309-1)</f>
        <v>2</v>
      </c>
      <c r="S309" s="5" t="n">
        <f>F309+L309-(D309+E309)*C309-J309-K309-0</f>
        <v>0</v>
      </c>
      <c r="T309" s="5"/>
      <c r="U309" s="5"/>
    </row>
    <row r="310" ht="23.100000381469727" customHeight="1">
      <c r="A310" s="5" t="n">
        <v>13</v>
      </c>
      <c r="B310" s="5" t="n">
        <v>6</v>
      </c>
      <c r="C310" s="5" t="n">
        <f>DAY(DATE('Assumptions and Catalog'!$C$24+A310-1,B310+1,0))</f>
        <v>30</v>
      </c>
      <c r="D310" s="5" t="n">
        <f>IF(ISNUMBER(Inputs!$L$5),Inputs!$L$5*Inputs!$L$6,0)</f>
        <v>40.35</v>
      </c>
      <c r="E310" s="5" t="n">
        <f>IF(ISNUMBER(Inputs!$L$5),Inputs!$L$5-D310,0)</f>
        <v>40.35</v>
      </c>
      <c r="F310" s="5" t="n">
        <f>C$51*INDEX('Solar Production'!$D$20:$D$31,B310)*C310*(1-'Assumptions and Catalog'!$C$10)^(A310-1)</f>
        <v>1314.36984476827</v>
      </c>
      <c r="G310" s="5" t="n">
        <f>MIN(F310,D310*C310)</f>
        <v>1210.5</v>
      </c>
      <c r="H310" s="5" t="n">
        <f>I310/('Assumptions and Catalog'!$C$11*'Assumptions and Catalog'!$C$12)</f>
        <v>0</v>
      </c>
      <c r="I310" s="5" t="n">
        <f>0</f>
        <v>0</v>
      </c>
      <c r="J310" s="5" t="n">
        <f>MAX(F310-G310-H310,0)</f>
        <v>103.869844768273</v>
      </c>
      <c r="K310" s="5" t="n">
        <f>H310-I310</f>
        <v>0</v>
      </c>
      <c r="L310" s="5" t="n">
        <f>(D310+E310)*C310-G310-I310+0+0</f>
        <v>1210.5</v>
      </c>
      <c r="M310" s="5" t="n">
        <f>IF(ISNUMBER(Inputs!$L$5),(IF(Inputs!$L$9="Actual flat rate",((D310+E310)*C310)*Inputs!$L$10,IF(Inputs!$C$9="Residential",IF(((D310+E310)*C310)&lt;='Assumptions and Catalog'!$C$50,((D310+E310)*C310)*'Assumptions and Catalog'!$H$50+'Assumptions and Catalog'!$E$50+'Assumptions and Catalog'!$F$50,IF(((D310+E310)*C310)&lt;='Assumptions and Catalog'!$C$51,((D310+E310)*C310)*'Assumptions and Catalog'!$H$51+'Assumptions and Catalog'!$E$51+'Assumptions and Catalog'!$F$51,IF(((D310+E310)*C310)&lt;='Assumptions and Catalog'!$C$52,((D310+E310)*C310)*'Assumptions and Catalog'!$H$52+'Assumptions and Catalog'!$E$52+'Assumptions and Catalog'!$F$52,IF(((D310+E310)*C310)&lt;='Assumptions and Catalog'!$C$53,((D310+E310)*C310)*'Assumptions and Catalog'!$H$53+'Assumptions and Catalog'!$E$53+'Assumptions and Catalog'!$F$53,IF(((D310+E310)*C310)&lt;='Assumptions and Catalog'!$C$54,((D310+E310)*C310)*'Assumptions and Catalog'!$H$54+'Assumptions and Catalog'!$E$54+'Assumptions and Catalog'!$F$54,IF(((D310+E310)*C310)&lt;='Assumptions and Catalog'!$C$55,((D310+E310)*C310)*'Assumptions and Catalog'!$H$55+'Assumptions and Catalog'!$E$55+'Assumptions and Catalog'!$F$55,IF(((D310+E310)*C310)&lt;='Assumptions and Catalog'!$C$56,((D310+E310)*C310)*'Assumptions and Catalog'!$H$56+'Assumptions and Catalog'!$E$56+'Assumptions and Catalog'!$F$56,IF(((D310+E310)*C310)&lt;='Assumptions and Catalog'!$C$57,((D310+E310)*C310)*'Assumptions and Catalog'!$H$57+'Assumptions and Catalog'!$E$57+'Assumptions and Catalog'!$F$57,"Out of range")))))))),IF(((D310+E310)*C310)&lt;='Assumptions and Catalog'!$C$60,((D310+E310)*C310)*'Assumptions and Catalog'!$H$60+'Assumptions and Catalog'!$E$60+'Assumptions and Catalog'!$F$60,IF(((D310+E310)*C310)&lt;='Assumptions and Catalog'!$C$61,((D310+E310)*C310)*'Assumptions and Catalog'!$H$61+'Assumptions and Catalog'!$E$61+'Assumptions and Catalog'!$F$61,IF(((D310+E310)*C310)&lt;='Assumptions and Catalog'!$C$62,((D310+E310)*C310)*'Assumptions and Catalog'!$H$62+'Assumptions and Catalog'!$E$62+'Assumptions and Catalog'!$F$62,IF(((D310+E310)*C310)&lt;='Assumptions and Catalog'!$C$63,((D310+E310)*C310)*'Assumptions and Catalog'!$H$63+'Assumptions and Catalog'!$E$63+'Assumptions and Catalog'!$F$63,IF(((D310+E310)*C310)&lt;='Assumptions and Catalog'!$C$64,((D310+E310)*C310)*'Assumptions and Catalog'!$H$64+'Assumptions and Catalog'!$E$64+'Assumptions and Catalog'!$F$64,IF(((D310+E310)*C310)&lt;='Assumptions and Catalog'!$C$65,((D310+E310)*C310)*'Assumptions and Catalog'!$H$65+'Assumptions and Catalog'!$E$65+'Assumptions and Catalog'!$F$65,"Out of range")))))))))*(1+'Assumptions and Catalog'!$C$8)^(A310-1),0)</f>
        <v>6867.22</v>
      </c>
      <c r="N310" s="5" t="n">
        <f>IF(ISNUMBER(Inputs!$L$5),(IF(Inputs!$L$9="Actual flat rate",L310*Inputs!$L$10,IF(Inputs!$C$9="Residential",IF(L310&lt;='Assumptions and Catalog'!$C$50,L310*'Assumptions and Catalog'!$H$50+'Assumptions and Catalog'!$E$50+'Assumptions and Catalog'!$F$50,IF(L310&lt;='Assumptions and Catalog'!$C$51,L310*'Assumptions and Catalog'!$H$51+'Assumptions and Catalog'!$E$51+'Assumptions and Catalog'!$F$51,IF(L310&lt;='Assumptions and Catalog'!$C$52,L310*'Assumptions and Catalog'!$H$52+'Assumptions and Catalog'!$E$52+'Assumptions and Catalog'!$F$52,IF(L310&lt;='Assumptions and Catalog'!$C$53,L310*'Assumptions and Catalog'!$H$53+'Assumptions and Catalog'!$E$53+'Assumptions and Catalog'!$F$53,IF(L310&lt;='Assumptions and Catalog'!$C$54,L310*'Assumptions and Catalog'!$H$54+'Assumptions and Catalog'!$E$54+'Assumptions and Catalog'!$F$54,IF(L310&lt;='Assumptions and Catalog'!$C$55,L310*'Assumptions and Catalog'!$H$55+'Assumptions and Catalog'!$E$55+'Assumptions and Catalog'!$F$55,IF(L310&lt;='Assumptions and Catalog'!$C$56,L310*'Assumptions and Catalog'!$H$56+'Assumptions and Catalog'!$E$56+'Assumptions and Catalog'!$F$56,IF(L310&lt;='Assumptions and Catalog'!$C$57,L310*'Assumptions and Catalog'!$H$57+'Assumptions and Catalog'!$E$57+'Assumptions and Catalog'!$F$57,"Out of range")))))))),IF(L310&lt;='Assumptions and Catalog'!$C$60,L310*'Assumptions and Catalog'!$H$60+'Assumptions and Catalog'!$E$60+'Assumptions and Catalog'!$F$60,IF(L310&lt;='Assumptions and Catalog'!$C$61,L310*'Assumptions and Catalog'!$H$61+'Assumptions and Catalog'!$E$61+'Assumptions and Catalog'!$F$61,IF(L310&lt;='Assumptions and Catalog'!$C$62,L310*'Assumptions and Catalog'!$H$62+'Assumptions and Catalog'!$E$62+'Assumptions and Catalog'!$F$62,IF(L310&lt;='Assumptions and Catalog'!$C$63,L310*'Assumptions and Catalog'!$H$63+'Assumptions and Catalog'!$E$63+'Assumptions and Catalog'!$F$63,IF(L310&lt;='Assumptions and Catalog'!$C$64,L310*'Assumptions and Catalog'!$H$64+'Assumptions and Catalog'!$E$64+'Assumptions and Catalog'!$F$64,IF(L310&lt;='Assumptions and Catalog'!$C$65,L310*'Assumptions and Catalog'!$H$65+'Assumptions and Catalog'!$E$65+'Assumptions and Catalog'!$F$65,"Out of range")))))))))*(1+'Assumptions and Catalog'!$C$8)^(A310-1),0)</f>
        <v>3453.61</v>
      </c>
      <c r="O310" s="5" t="n">
        <f>M310-N310</f>
        <v>3413.61</v>
      </c>
      <c r="P310" s="5" t="n">
        <f>C$55*(1-J$14)*(1-'Assumptions and Catalog'!$C$23)^R310</f>
        <v>0</v>
      </c>
      <c r="Q310" s="5" t="n">
        <f>IF(ISNUMBER(Inputs!$L$5),(IF(Inputs!$L$9="Actual flat rate",((D310+E310)*C310-G310)*Inputs!$L$10,IF(Inputs!$C$9="Residential",IF(((D310+E310)*C310-G310)&lt;='Assumptions and Catalog'!$C$50,((D310+E310)*C310-G310)*'Assumptions and Catalog'!$H$50+'Assumptions and Catalog'!$E$50+'Assumptions and Catalog'!$F$50,IF(((D310+E310)*C310-G310)&lt;='Assumptions and Catalog'!$C$51,((D310+E310)*C310-G310)*'Assumptions and Catalog'!$H$51+'Assumptions and Catalog'!$E$51+'Assumptions and Catalog'!$F$51,IF(((D310+E310)*C310-G310)&lt;='Assumptions and Catalog'!$C$52,((D310+E310)*C310-G310)*'Assumptions and Catalog'!$H$52+'Assumptions and Catalog'!$E$52+'Assumptions and Catalog'!$F$52,IF(((D310+E310)*C310-G310)&lt;='Assumptions and Catalog'!$C$53,((D310+E310)*C310-G310)*'Assumptions and Catalog'!$H$53+'Assumptions and Catalog'!$E$53+'Assumptions and Catalog'!$F$53,IF(((D310+E310)*C310-G310)&lt;='Assumptions and Catalog'!$C$54,((D310+E310)*C310-G310)*'Assumptions and Catalog'!$H$54+'Assumptions and Catalog'!$E$54+'Assumptions and Catalog'!$F$54,IF(((D310+E310)*C310-G310)&lt;='Assumptions and Catalog'!$C$55,((D310+E310)*C310-G310)*'Assumptions and Catalog'!$H$55+'Assumptions and Catalog'!$E$55+'Assumptions and Catalog'!$F$55,IF(((D310+E310)*C310-G310)&lt;='Assumptions and Catalog'!$C$56,((D310+E310)*C310-G310)*'Assumptions and Catalog'!$H$56+'Assumptions and Catalog'!$E$56+'Assumptions and Catalog'!$F$56,IF(((D310+E310)*C310-G310)&lt;='Assumptions and Catalog'!$C$57,((D310+E310)*C310-G310)*'Assumptions and Catalog'!$H$57+'Assumptions and Catalog'!$E$57+'Assumptions and Catalog'!$F$57,"Out of range")))))))),IF(((D310+E310)*C310-G310)&lt;='Assumptions and Catalog'!$C$60,((D310+E310)*C310-G310)*'Assumptions and Catalog'!$H$60+'Assumptions and Catalog'!$E$60+'Assumptions and Catalog'!$F$60,IF(((D310+E310)*C310-G310)&lt;='Assumptions and Catalog'!$C$61,((D310+E310)*C310-G310)*'Assumptions and Catalog'!$H$61+'Assumptions and Catalog'!$E$61+'Assumptions and Catalog'!$F$61,IF(((D310+E310)*C310-G310)&lt;='Assumptions and Catalog'!$C$62,((D310+E310)*C310-G310)*'Assumptions and Catalog'!$H$62+'Assumptions and Catalog'!$E$62+'Assumptions and Catalog'!$F$62,IF(((D310+E310)*C310-G310)&lt;='Assumptions and Catalog'!$C$63,((D310+E310)*C310-G310)*'Assumptions and Catalog'!$H$63+'Assumptions and Catalog'!$E$63+'Assumptions and Catalog'!$F$63,IF(((D310+E310)*C310-G310)&lt;='Assumptions and Catalog'!$C$64,((D310+E310)*C310-G310)*'Assumptions and Catalog'!$H$64+'Assumptions and Catalog'!$E$64+'Assumptions and Catalog'!$F$64,IF(((D310+E310)*C310-G310)&lt;='Assumptions and Catalog'!$C$65,((D310+E310)*C310-G310)*'Assumptions and Catalog'!$H$65+'Assumptions and Catalog'!$E$65+'Assumptions and Catalog'!$F$65,"Out of range")))))))))*(1+'Assumptions and Catalog'!$C$8)^(A310-1),0)</f>
        <v>3453.61</v>
      </c>
      <c r="R310" s="5" t="n">
        <f>IF(AND('Assumptions and Catalog'!$C$19&gt;0,A310&gt;='Assumptions and Catalog'!$C$19),A310-'Assumptions and Catalog'!$C$19,A310-1)</f>
        <v>2</v>
      </c>
      <c r="S310" s="5" t="n">
        <f>F310+L310-(D310+E310)*C310-J310-K310-0</f>
        <v>0</v>
      </c>
      <c r="T310" s="5"/>
      <c r="U310" s="5"/>
    </row>
    <row r="311" ht="23.100000381469727" customHeight="1">
      <c r="A311" s="5" t="n">
        <v>13</v>
      </c>
      <c r="B311" s="5" t="n">
        <v>7</v>
      </c>
      <c r="C311" s="5" t="n">
        <f>DAY(DATE('Assumptions and Catalog'!$C$24+A311-1,B311+1,0))</f>
        <v>31</v>
      </c>
      <c r="D311" s="5" t="n">
        <f>IF(ISNUMBER(Inputs!$L$5),Inputs!$L$5*Inputs!$L$6,0)</f>
        <v>40.35</v>
      </c>
      <c r="E311" s="5" t="n">
        <f>IF(ISNUMBER(Inputs!$L$5),Inputs!$L$5-D311,0)</f>
        <v>40.35</v>
      </c>
      <c r="F311" s="5" t="n">
        <f>C$51*INDEX('Solar Production'!$D$20:$D$31,B311)*C311*(1-'Assumptions and Catalog'!$C$10)^(A311-1)</f>
        <v>1364.41898020139</v>
      </c>
      <c r="G311" s="5" t="n">
        <f>MIN(F311,D311*C311)</f>
        <v>1250.85</v>
      </c>
      <c r="H311" s="5" t="n">
        <f>I311/('Assumptions and Catalog'!$C$11*'Assumptions and Catalog'!$C$12)</f>
        <v>0</v>
      </c>
      <c r="I311" s="5" t="n">
        <f>0</f>
        <v>0</v>
      </c>
      <c r="J311" s="5" t="n">
        <f>MAX(F311-G311-H311,0)</f>
        <v>113.568980201386</v>
      </c>
      <c r="K311" s="5" t="n">
        <f>H311-I311</f>
        <v>0</v>
      </c>
      <c r="L311" s="5" t="n">
        <f>(D311+E311)*C311-G311-I311+0+0</f>
        <v>1250.85</v>
      </c>
      <c r="M311" s="5" t="n">
        <f>IF(ISNUMBER(Inputs!$L$5),(IF(Inputs!$L$9="Actual flat rate",((D311+E311)*C311)*Inputs!$L$10,IF(Inputs!$C$9="Residential",IF(((D311+E311)*C311)&lt;='Assumptions and Catalog'!$C$50,((D311+E311)*C311)*'Assumptions and Catalog'!$H$50+'Assumptions and Catalog'!$E$50+'Assumptions and Catalog'!$F$50,IF(((D311+E311)*C311)&lt;='Assumptions and Catalog'!$C$51,((D311+E311)*C311)*'Assumptions and Catalog'!$H$51+'Assumptions and Catalog'!$E$51+'Assumptions and Catalog'!$F$51,IF(((D311+E311)*C311)&lt;='Assumptions and Catalog'!$C$52,((D311+E311)*C311)*'Assumptions and Catalog'!$H$52+'Assumptions and Catalog'!$E$52+'Assumptions and Catalog'!$F$52,IF(((D311+E311)*C311)&lt;='Assumptions and Catalog'!$C$53,((D311+E311)*C311)*'Assumptions and Catalog'!$H$53+'Assumptions and Catalog'!$E$53+'Assumptions and Catalog'!$F$53,IF(((D311+E311)*C311)&lt;='Assumptions and Catalog'!$C$54,((D311+E311)*C311)*'Assumptions and Catalog'!$H$54+'Assumptions and Catalog'!$E$54+'Assumptions and Catalog'!$F$54,IF(((D311+E311)*C311)&lt;='Assumptions and Catalog'!$C$55,((D311+E311)*C311)*'Assumptions and Catalog'!$H$55+'Assumptions and Catalog'!$E$55+'Assumptions and Catalog'!$F$55,IF(((D311+E311)*C311)&lt;='Assumptions and Catalog'!$C$56,((D311+E311)*C311)*'Assumptions and Catalog'!$H$56+'Assumptions and Catalog'!$E$56+'Assumptions and Catalog'!$F$56,IF(((D311+E311)*C311)&lt;='Assumptions and Catalog'!$C$57,((D311+E311)*C311)*'Assumptions and Catalog'!$H$57+'Assumptions and Catalog'!$E$57+'Assumptions and Catalog'!$F$57,"Out of range")))))))),IF(((D311+E311)*C311)&lt;='Assumptions and Catalog'!$C$60,((D311+E311)*C311)*'Assumptions and Catalog'!$H$60+'Assumptions and Catalog'!$E$60+'Assumptions and Catalog'!$F$60,IF(((D311+E311)*C311)&lt;='Assumptions and Catalog'!$C$61,((D311+E311)*C311)*'Assumptions and Catalog'!$H$61+'Assumptions and Catalog'!$E$61+'Assumptions and Catalog'!$F$61,IF(((D311+E311)*C311)&lt;='Assumptions and Catalog'!$C$62,((D311+E311)*C311)*'Assumptions and Catalog'!$H$62+'Assumptions and Catalog'!$E$62+'Assumptions and Catalog'!$F$62,IF(((D311+E311)*C311)&lt;='Assumptions and Catalog'!$C$63,((D311+E311)*C311)*'Assumptions and Catalog'!$H$63+'Assumptions and Catalog'!$E$63+'Assumptions and Catalog'!$F$63,IF(((D311+E311)*C311)&lt;='Assumptions and Catalog'!$C$64,((D311+E311)*C311)*'Assumptions and Catalog'!$H$64+'Assumptions and Catalog'!$E$64+'Assumptions and Catalog'!$F$64,IF(((D311+E311)*C311)&lt;='Assumptions and Catalog'!$C$65,((D311+E311)*C311)*'Assumptions and Catalog'!$H$65+'Assumptions and Catalog'!$E$65+'Assumptions and Catalog'!$F$65,"Out of range")))))))))*(1+'Assumptions and Catalog'!$C$8)^(A311-1),0)</f>
        <v>7094.794</v>
      </c>
      <c r="N311" s="5" t="n">
        <f>IF(ISNUMBER(Inputs!$L$5),(IF(Inputs!$L$9="Actual flat rate",L311*Inputs!$L$10,IF(Inputs!$C$9="Residential",IF(L311&lt;='Assumptions and Catalog'!$C$50,L311*'Assumptions and Catalog'!$H$50+'Assumptions and Catalog'!$E$50+'Assumptions and Catalog'!$F$50,IF(L311&lt;='Assumptions and Catalog'!$C$51,L311*'Assumptions and Catalog'!$H$51+'Assumptions and Catalog'!$E$51+'Assumptions and Catalog'!$F$51,IF(L311&lt;='Assumptions and Catalog'!$C$52,L311*'Assumptions and Catalog'!$H$52+'Assumptions and Catalog'!$E$52+'Assumptions and Catalog'!$F$52,IF(L311&lt;='Assumptions and Catalog'!$C$53,L311*'Assumptions and Catalog'!$H$53+'Assumptions and Catalog'!$E$53+'Assumptions and Catalog'!$F$53,IF(L311&lt;='Assumptions and Catalog'!$C$54,L311*'Assumptions and Catalog'!$H$54+'Assumptions and Catalog'!$E$54+'Assumptions and Catalog'!$F$54,IF(L311&lt;='Assumptions and Catalog'!$C$55,L311*'Assumptions and Catalog'!$H$55+'Assumptions and Catalog'!$E$55+'Assumptions and Catalog'!$F$55,IF(L311&lt;='Assumptions and Catalog'!$C$56,L311*'Assumptions and Catalog'!$H$56+'Assumptions and Catalog'!$E$56+'Assumptions and Catalog'!$F$56,IF(L311&lt;='Assumptions and Catalog'!$C$57,L311*'Assumptions and Catalog'!$H$57+'Assumptions and Catalog'!$E$57+'Assumptions and Catalog'!$F$57,"Out of range")))))))),IF(L311&lt;='Assumptions and Catalog'!$C$60,L311*'Assumptions and Catalog'!$H$60+'Assumptions and Catalog'!$E$60+'Assumptions and Catalog'!$F$60,IF(L311&lt;='Assumptions and Catalog'!$C$61,L311*'Assumptions and Catalog'!$H$61+'Assumptions and Catalog'!$E$61+'Assumptions and Catalog'!$F$61,IF(L311&lt;='Assumptions and Catalog'!$C$62,L311*'Assumptions and Catalog'!$H$62+'Assumptions and Catalog'!$E$62+'Assumptions and Catalog'!$F$62,IF(L311&lt;='Assumptions and Catalog'!$C$63,L311*'Assumptions and Catalog'!$H$63+'Assumptions and Catalog'!$E$63+'Assumptions and Catalog'!$F$63,IF(L311&lt;='Assumptions and Catalog'!$C$64,L311*'Assumptions and Catalog'!$H$64+'Assumptions and Catalog'!$E$64+'Assumptions and Catalog'!$F$64,IF(L311&lt;='Assumptions and Catalog'!$C$65,L311*'Assumptions and Catalog'!$H$65+'Assumptions and Catalog'!$E$65+'Assumptions and Catalog'!$F$65,"Out of range")))))))))*(1+'Assumptions and Catalog'!$C$8)^(A311-1),0)</f>
        <v>3567.397</v>
      </c>
      <c r="O311" s="5" t="n">
        <f>M311-N311</f>
        <v>3527.397</v>
      </c>
      <c r="P311" s="5" t="n">
        <f>C$55*(1-J$14)*(1-'Assumptions and Catalog'!$C$23)^R311</f>
        <v>0</v>
      </c>
      <c r="Q311" s="5" t="n">
        <f>IF(ISNUMBER(Inputs!$L$5),(IF(Inputs!$L$9="Actual flat rate",((D311+E311)*C311-G311)*Inputs!$L$10,IF(Inputs!$C$9="Residential",IF(((D311+E311)*C311-G311)&lt;='Assumptions and Catalog'!$C$50,((D311+E311)*C311-G311)*'Assumptions and Catalog'!$H$50+'Assumptions and Catalog'!$E$50+'Assumptions and Catalog'!$F$50,IF(((D311+E311)*C311-G311)&lt;='Assumptions and Catalog'!$C$51,((D311+E311)*C311-G311)*'Assumptions and Catalog'!$H$51+'Assumptions and Catalog'!$E$51+'Assumptions and Catalog'!$F$51,IF(((D311+E311)*C311-G311)&lt;='Assumptions and Catalog'!$C$52,((D311+E311)*C311-G311)*'Assumptions and Catalog'!$H$52+'Assumptions and Catalog'!$E$52+'Assumptions and Catalog'!$F$52,IF(((D311+E311)*C311-G311)&lt;='Assumptions and Catalog'!$C$53,((D311+E311)*C311-G311)*'Assumptions and Catalog'!$H$53+'Assumptions and Catalog'!$E$53+'Assumptions and Catalog'!$F$53,IF(((D311+E311)*C311-G311)&lt;='Assumptions and Catalog'!$C$54,((D311+E311)*C311-G311)*'Assumptions and Catalog'!$H$54+'Assumptions and Catalog'!$E$54+'Assumptions and Catalog'!$F$54,IF(((D311+E311)*C311-G311)&lt;='Assumptions and Catalog'!$C$55,((D311+E311)*C311-G311)*'Assumptions and Catalog'!$H$55+'Assumptions and Catalog'!$E$55+'Assumptions and Catalog'!$F$55,IF(((D311+E311)*C311-G311)&lt;='Assumptions and Catalog'!$C$56,((D311+E311)*C311-G311)*'Assumptions and Catalog'!$H$56+'Assumptions and Catalog'!$E$56+'Assumptions and Catalog'!$F$56,IF(((D311+E311)*C311-G311)&lt;='Assumptions and Catalog'!$C$57,((D311+E311)*C311-G311)*'Assumptions and Catalog'!$H$57+'Assumptions and Catalog'!$E$57+'Assumptions and Catalog'!$F$57,"Out of range")))))))),IF(((D311+E311)*C311-G311)&lt;='Assumptions and Catalog'!$C$60,((D311+E311)*C311-G311)*'Assumptions and Catalog'!$H$60+'Assumptions and Catalog'!$E$60+'Assumptions and Catalog'!$F$60,IF(((D311+E311)*C311-G311)&lt;='Assumptions and Catalog'!$C$61,((D311+E311)*C311-G311)*'Assumptions and Catalog'!$H$61+'Assumptions and Catalog'!$E$61+'Assumptions and Catalog'!$F$61,IF(((D311+E311)*C311-G311)&lt;='Assumptions and Catalog'!$C$62,((D311+E311)*C311-G311)*'Assumptions and Catalog'!$H$62+'Assumptions and Catalog'!$E$62+'Assumptions and Catalog'!$F$62,IF(((D311+E311)*C311-G311)&lt;='Assumptions and Catalog'!$C$63,((D311+E311)*C311-G311)*'Assumptions and Catalog'!$H$63+'Assumptions and Catalog'!$E$63+'Assumptions and Catalog'!$F$63,IF(((D311+E311)*C311-G311)&lt;='Assumptions and Catalog'!$C$64,((D311+E311)*C311-G311)*'Assumptions and Catalog'!$H$64+'Assumptions and Catalog'!$E$64+'Assumptions and Catalog'!$F$64,IF(((D311+E311)*C311-G311)&lt;='Assumptions and Catalog'!$C$65,((D311+E311)*C311-G311)*'Assumptions and Catalog'!$H$65+'Assumptions and Catalog'!$E$65+'Assumptions and Catalog'!$F$65,"Out of range")))))))))*(1+'Assumptions and Catalog'!$C$8)^(A311-1),0)</f>
        <v>3567.397</v>
      </c>
      <c r="R311" s="5" t="n">
        <f>IF(AND('Assumptions and Catalog'!$C$19&gt;0,A311&gt;='Assumptions and Catalog'!$C$19),A311-'Assumptions and Catalog'!$C$19,A311-1)</f>
        <v>2</v>
      </c>
      <c r="S311" s="5" t="n">
        <f>F311+L311-(D311+E311)*C311-J311-K311-0</f>
        <v>0</v>
      </c>
      <c r="T311" s="5"/>
      <c r="U311" s="5"/>
    </row>
    <row r="312" ht="23.100000381469727" customHeight="1">
      <c r="A312" s="5" t="n">
        <v>13</v>
      </c>
      <c r="B312" s="5" t="n">
        <v>8</v>
      </c>
      <c r="C312" s="5" t="n">
        <f>DAY(DATE('Assumptions and Catalog'!$C$24+A312-1,B312+1,0))</f>
        <v>31</v>
      </c>
      <c r="D312" s="5" t="n">
        <f>IF(ISNUMBER(Inputs!$L$5),Inputs!$L$5*Inputs!$L$6,0)</f>
        <v>40.35</v>
      </c>
      <c r="E312" s="5" t="n">
        <f>IF(ISNUMBER(Inputs!$L$5),Inputs!$L$5-D312,0)</f>
        <v>40.35</v>
      </c>
      <c r="F312" s="5" t="n">
        <f>C$51*INDEX('Solar Production'!$D$20:$D$31,B312)*C312*(1-'Assumptions and Catalog'!$C$10)^(A312-1)</f>
        <v>1382.1516209012</v>
      </c>
      <c r="G312" s="5" t="n">
        <f>MIN(F312,D312*C312)</f>
        <v>1250.85</v>
      </c>
      <c r="H312" s="5" t="n">
        <f>I312/('Assumptions and Catalog'!$C$11*'Assumptions and Catalog'!$C$12)</f>
        <v>0</v>
      </c>
      <c r="I312" s="5" t="n">
        <f>0</f>
        <v>0</v>
      </c>
      <c r="J312" s="5" t="n">
        <f>MAX(F312-G312-H312,0)</f>
        <v>131.301620901198</v>
      </c>
      <c r="K312" s="5" t="n">
        <f>H312-I312</f>
        <v>0</v>
      </c>
      <c r="L312" s="5" t="n">
        <f>(D312+E312)*C312-G312-I312+0+0</f>
        <v>1250.85</v>
      </c>
      <c r="M312" s="5" t="n">
        <f>IF(ISNUMBER(Inputs!$L$5),(IF(Inputs!$L$9="Actual flat rate",((D312+E312)*C312)*Inputs!$L$10,IF(Inputs!$C$9="Residential",IF(((D312+E312)*C312)&lt;='Assumptions and Catalog'!$C$50,((D312+E312)*C312)*'Assumptions and Catalog'!$H$50+'Assumptions and Catalog'!$E$50+'Assumptions and Catalog'!$F$50,IF(((D312+E312)*C312)&lt;='Assumptions and Catalog'!$C$51,((D312+E312)*C312)*'Assumptions and Catalog'!$H$51+'Assumptions and Catalog'!$E$51+'Assumptions and Catalog'!$F$51,IF(((D312+E312)*C312)&lt;='Assumptions and Catalog'!$C$52,((D312+E312)*C312)*'Assumptions and Catalog'!$H$52+'Assumptions and Catalog'!$E$52+'Assumptions and Catalog'!$F$52,IF(((D312+E312)*C312)&lt;='Assumptions and Catalog'!$C$53,((D312+E312)*C312)*'Assumptions and Catalog'!$H$53+'Assumptions and Catalog'!$E$53+'Assumptions and Catalog'!$F$53,IF(((D312+E312)*C312)&lt;='Assumptions and Catalog'!$C$54,((D312+E312)*C312)*'Assumptions and Catalog'!$H$54+'Assumptions and Catalog'!$E$54+'Assumptions and Catalog'!$F$54,IF(((D312+E312)*C312)&lt;='Assumptions and Catalog'!$C$55,((D312+E312)*C312)*'Assumptions and Catalog'!$H$55+'Assumptions and Catalog'!$E$55+'Assumptions and Catalog'!$F$55,IF(((D312+E312)*C312)&lt;='Assumptions and Catalog'!$C$56,((D312+E312)*C312)*'Assumptions and Catalog'!$H$56+'Assumptions and Catalog'!$E$56+'Assumptions and Catalog'!$F$56,IF(((D312+E312)*C312)&lt;='Assumptions and Catalog'!$C$57,((D312+E312)*C312)*'Assumptions and Catalog'!$H$57+'Assumptions and Catalog'!$E$57+'Assumptions and Catalog'!$F$57,"Out of range")))))))),IF(((D312+E312)*C312)&lt;='Assumptions and Catalog'!$C$60,((D312+E312)*C312)*'Assumptions and Catalog'!$H$60+'Assumptions and Catalog'!$E$60+'Assumptions and Catalog'!$F$60,IF(((D312+E312)*C312)&lt;='Assumptions and Catalog'!$C$61,((D312+E312)*C312)*'Assumptions and Catalog'!$H$61+'Assumptions and Catalog'!$E$61+'Assumptions and Catalog'!$F$61,IF(((D312+E312)*C312)&lt;='Assumptions and Catalog'!$C$62,((D312+E312)*C312)*'Assumptions and Catalog'!$H$62+'Assumptions and Catalog'!$E$62+'Assumptions and Catalog'!$F$62,IF(((D312+E312)*C312)&lt;='Assumptions and Catalog'!$C$63,((D312+E312)*C312)*'Assumptions and Catalog'!$H$63+'Assumptions and Catalog'!$E$63+'Assumptions and Catalog'!$F$63,IF(((D312+E312)*C312)&lt;='Assumptions and Catalog'!$C$64,((D312+E312)*C312)*'Assumptions and Catalog'!$H$64+'Assumptions and Catalog'!$E$64+'Assumptions and Catalog'!$F$64,IF(((D312+E312)*C312)&lt;='Assumptions and Catalog'!$C$65,((D312+E312)*C312)*'Assumptions and Catalog'!$H$65+'Assumptions and Catalog'!$E$65+'Assumptions and Catalog'!$F$65,"Out of range")))))))))*(1+'Assumptions and Catalog'!$C$8)^(A312-1),0)</f>
        <v>7094.794</v>
      </c>
      <c r="N312" s="5" t="n">
        <f>IF(ISNUMBER(Inputs!$L$5),(IF(Inputs!$L$9="Actual flat rate",L312*Inputs!$L$10,IF(Inputs!$C$9="Residential",IF(L312&lt;='Assumptions and Catalog'!$C$50,L312*'Assumptions and Catalog'!$H$50+'Assumptions and Catalog'!$E$50+'Assumptions and Catalog'!$F$50,IF(L312&lt;='Assumptions and Catalog'!$C$51,L312*'Assumptions and Catalog'!$H$51+'Assumptions and Catalog'!$E$51+'Assumptions and Catalog'!$F$51,IF(L312&lt;='Assumptions and Catalog'!$C$52,L312*'Assumptions and Catalog'!$H$52+'Assumptions and Catalog'!$E$52+'Assumptions and Catalog'!$F$52,IF(L312&lt;='Assumptions and Catalog'!$C$53,L312*'Assumptions and Catalog'!$H$53+'Assumptions and Catalog'!$E$53+'Assumptions and Catalog'!$F$53,IF(L312&lt;='Assumptions and Catalog'!$C$54,L312*'Assumptions and Catalog'!$H$54+'Assumptions and Catalog'!$E$54+'Assumptions and Catalog'!$F$54,IF(L312&lt;='Assumptions and Catalog'!$C$55,L312*'Assumptions and Catalog'!$H$55+'Assumptions and Catalog'!$E$55+'Assumptions and Catalog'!$F$55,IF(L312&lt;='Assumptions and Catalog'!$C$56,L312*'Assumptions and Catalog'!$H$56+'Assumptions and Catalog'!$E$56+'Assumptions and Catalog'!$F$56,IF(L312&lt;='Assumptions and Catalog'!$C$57,L312*'Assumptions and Catalog'!$H$57+'Assumptions and Catalog'!$E$57+'Assumptions and Catalog'!$F$57,"Out of range")))))))),IF(L312&lt;='Assumptions and Catalog'!$C$60,L312*'Assumptions and Catalog'!$H$60+'Assumptions and Catalog'!$E$60+'Assumptions and Catalog'!$F$60,IF(L312&lt;='Assumptions and Catalog'!$C$61,L312*'Assumptions and Catalog'!$H$61+'Assumptions and Catalog'!$E$61+'Assumptions and Catalog'!$F$61,IF(L312&lt;='Assumptions and Catalog'!$C$62,L312*'Assumptions and Catalog'!$H$62+'Assumptions and Catalog'!$E$62+'Assumptions and Catalog'!$F$62,IF(L312&lt;='Assumptions and Catalog'!$C$63,L312*'Assumptions and Catalog'!$H$63+'Assumptions and Catalog'!$E$63+'Assumptions and Catalog'!$F$63,IF(L312&lt;='Assumptions and Catalog'!$C$64,L312*'Assumptions and Catalog'!$H$64+'Assumptions and Catalog'!$E$64+'Assumptions and Catalog'!$F$64,IF(L312&lt;='Assumptions and Catalog'!$C$65,L312*'Assumptions and Catalog'!$H$65+'Assumptions and Catalog'!$E$65+'Assumptions and Catalog'!$F$65,"Out of range")))))))))*(1+'Assumptions and Catalog'!$C$8)^(A312-1),0)</f>
        <v>3567.397</v>
      </c>
      <c r="O312" s="5" t="n">
        <f>M312-N312</f>
        <v>3527.397</v>
      </c>
      <c r="P312" s="5" t="n">
        <f>C$55*(1-J$14)*(1-'Assumptions and Catalog'!$C$23)^R312</f>
        <v>0</v>
      </c>
      <c r="Q312" s="5" t="n">
        <f>IF(ISNUMBER(Inputs!$L$5),(IF(Inputs!$L$9="Actual flat rate",((D312+E312)*C312-G312)*Inputs!$L$10,IF(Inputs!$C$9="Residential",IF(((D312+E312)*C312-G312)&lt;='Assumptions and Catalog'!$C$50,((D312+E312)*C312-G312)*'Assumptions and Catalog'!$H$50+'Assumptions and Catalog'!$E$50+'Assumptions and Catalog'!$F$50,IF(((D312+E312)*C312-G312)&lt;='Assumptions and Catalog'!$C$51,((D312+E312)*C312-G312)*'Assumptions and Catalog'!$H$51+'Assumptions and Catalog'!$E$51+'Assumptions and Catalog'!$F$51,IF(((D312+E312)*C312-G312)&lt;='Assumptions and Catalog'!$C$52,((D312+E312)*C312-G312)*'Assumptions and Catalog'!$H$52+'Assumptions and Catalog'!$E$52+'Assumptions and Catalog'!$F$52,IF(((D312+E312)*C312-G312)&lt;='Assumptions and Catalog'!$C$53,((D312+E312)*C312-G312)*'Assumptions and Catalog'!$H$53+'Assumptions and Catalog'!$E$53+'Assumptions and Catalog'!$F$53,IF(((D312+E312)*C312-G312)&lt;='Assumptions and Catalog'!$C$54,((D312+E312)*C312-G312)*'Assumptions and Catalog'!$H$54+'Assumptions and Catalog'!$E$54+'Assumptions and Catalog'!$F$54,IF(((D312+E312)*C312-G312)&lt;='Assumptions and Catalog'!$C$55,((D312+E312)*C312-G312)*'Assumptions and Catalog'!$H$55+'Assumptions and Catalog'!$E$55+'Assumptions and Catalog'!$F$55,IF(((D312+E312)*C312-G312)&lt;='Assumptions and Catalog'!$C$56,((D312+E312)*C312-G312)*'Assumptions and Catalog'!$H$56+'Assumptions and Catalog'!$E$56+'Assumptions and Catalog'!$F$56,IF(((D312+E312)*C312-G312)&lt;='Assumptions and Catalog'!$C$57,((D312+E312)*C312-G312)*'Assumptions and Catalog'!$H$57+'Assumptions and Catalog'!$E$57+'Assumptions and Catalog'!$F$57,"Out of range")))))))),IF(((D312+E312)*C312-G312)&lt;='Assumptions and Catalog'!$C$60,((D312+E312)*C312-G312)*'Assumptions and Catalog'!$H$60+'Assumptions and Catalog'!$E$60+'Assumptions and Catalog'!$F$60,IF(((D312+E312)*C312-G312)&lt;='Assumptions and Catalog'!$C$61,((D312+E312)*C312-G312)*'Assumptions and Catalog'!$H$61+'Assumptions and Catalog'!$E$61+'Assumptions and Catalog'!$F$61,IF(((D312+E312)*C312-G312)&lt;='Assumptions and Catalog'!$C$62,((D312+E312)*C312-G312)*'Assumptions and Catalog'!$H$62+'Assumptions and Catalog'!$E$62+'Assumptions and Catalog'!$F$62,IF(((D312+E312)*C312-G312)&lt;='Assumptions and Catalog'!$C$63,((D312+E312)*C312-G312)*'Assumptions and Catalog'!$H$63+'Assumptions and Catalog'!$E$63+'Assumptions and Catalog'!$F$63,IF(((D312+E312)*C312-G312)&lt;='Assumptions and Catalog'!$C$64,((D312+E312)*C312-G312)*'Assumptions and Catalog'!$H$64+'Assumptions and Catalog'!$E$64+'Assumptions and Catalog'!$F$64,IF(((D312+E312)*C312-G312)&lt;='Assumptions and Catalog'!$C$65,((D312+E312)*C312-G312)*'Assumptions and Catalog'!$H$65+'Assumptions and Catalog'!$E$65+'Assumptions and Catalog'!$F$65,"Out of range")))))))))*(1+'Assumptions and Catalog'!$C$8)^(A312-1),0)</f>
        <v>3567.397</v>
      </c>
      <c r="R312" s="5" t="n">
        <f>IF(AND('Assumptions and Catalog'!$C$19&gt;0,A312&gt;='Assumptions and Catalog'!$C$19),A312-'Assumptions and Catalog'!$C$19,A312-1)</f>
        <v>2</v>
      </c>
      <c r="S312" s="5" t="n">
        <f>F312+L312-(D312+E312)*C312-J312-K312-0</f>
        <v>0</v>
      </c>
      <c r="T312" s="5"/>
      <c r="U312" s="5"/>
    </row>
    <row r="313" ht="23.100000381469727" customHeight="1">
      <c r="A313" s="5" t="n">
        <v>13</v>
      </c>
      <c r="B313" s="5" t="n">
        <v>9</v>
      </c>
      <c r="C313" s="5" t="n">
        <f>DAY(DATE('Assumptions and Catalog'!$C$24+A313-1,B313+1,0))</f>
        <v>30</v>
      </c>
      <c r="D313" s="5" t="n">
        <f>IF(ISNUMBER(Inputs!$L$5),Inputs!$L$5*Inputs!$L$6,0)</f>
        <v>40.35</v>
      </c>
      <c r="E313" s="5" t="n">
        <f>IF(ISNUMBER(Inputs!$L$5),Inputs!$L$5-D313,0)</f>
        <v>40.35</v>
      </c>
      <c r="F313" s="5" t="n">
        <f>C$51*INDEX('Solar Production'!$D$20:$D$31,B313)*C313*(1-'Assumptions and Catalog'!$C$10)^(A313-1)</f>
        <v>1334.09119283629</v>
      </c>
      <c r="G313" s="5" t="n">
        <f>MIN(F313,D313*C313)</f>
        <v>1210.5</v>
      </c>
      <c r="H313" s="5" t="n">
        <f>I313/('Assumptions and Catalog'!$C$11*'Assumptions and Catalog'!$C$12)</f>
        <v>0</v>
      </c>
      <c r="I313" s="5" t="n">
        <f>0</f>
        <v>0</v>
      </c>
      <c r="J313" s="5" t="n">
        <f>MAX(F313-G313-H313,0)</f>
        <v>123.591192836288</v>
      </c>
      <c r="K313" s="5" t="n">
        <f>H313-I313</f>
        <v>0</v>
      </c>
      <c r="L313" s="5" t="n">
        <f>(D313+E313)*C313-G313-I313+0+0</f>
        <v>1210.5</v>
      </c>
      <c r="M313" s="5" t="n">
        <f>IF(ISNUMBER(Inputs!$L$5),(IF(Inputs!$L$9="Actual flat rate",((D313+E313)*C313)*Inputs!$L$10,IF(Inputs!$C$9="Residential",IF(((D313+E313)*C313)&lt;='Assumptions and Catalog'!$C$50,((D313+E313)*C313)*'Assumptions and Catalog'!$H$50+'Assumptions and Catalog'!$E$50+'Assumptions and Catalog'!$F$50,IF(((D313+E313)*C313)&lt;='Assumptions and Catalog'!$C$51,((D313+E313)*C313)*'Assumptions and Catalog'!$H$51+'Assumptions and Catalog'!$E$51+'Assumptions and Catalog'!$F$51,IF(((D313+E313)*C313)&lt;='Assumptions and Catalog'!$C$52,((D313+E313)*C313)*'Assumptions and Catalog'!$H$52+'Assumptions and Catalog'!$E$52+'Assumptions and Catalog'!$F$52,IF(((D313+E313)*C313)&lt;='Assumptions and Catalog'!$C$53,((D313+E313)*C313)*'Assumptions and Catalog'!$H$53+'Assumptions and Catalog'!$E$53+'Assumptions and Catalog'!$F$53,IF(((D313+E313)*C313)&lt;='Assumptions and Catalog'!$C$54,((D313+E313)*C313)*'Assumptions and Catalog'!$H$54+'Assumptions and Catalog'!$E$54+'Assumptions and Catalog'!$F$54,IF(((D313+E313)*C313)&lt;='Assumptions and Catalog'!$C$55,((D313+E313)*C313)*'Assumptions and Catalog'!$H$55+'Assumptions and Catalog'!$E$55+'Assumptions and Catalog'!$F$55,IF(((D313+E313)*C313)&lt;='Assumptions and Catalog'!$C$56,((D313+E313)*C313)*'Assumptions and Catalog'!$H$56+'Assumptions and Catalog'!$E$56+'Assumptions and Catalog'!$F$56,IF(((D313+E313)*C313)&lt;='Assumptions and Catalog'!$C$57,((D313+E313)*C313)*'Assumptions and Catalog'!$H$57+'Assumptions and Catalog'!$E$57+'Assumptions and Catalog'!$F$57,"Out of range")))))))),IF(((D313+E313)*C313)&lt;='Assumptions and Catalog'!$C$60,((D313+E313)*C313)*'Assumptions and Catalog'!$H$60+'Assumptions and Catalog'!$E$60+'Assumptions and Catalog'!$F$60,IF(((D313+E313)*C313)&lt;='Assumptions and Catalog'!$C$61,((D313+E313)*C313)*'Assumptions and Catalog'!$H$61+'Assumptions and Catalog'!$E$61+'Assumptions and Catalog'!$F$61,IF(((D313+E313)*C313)&lt;='Assumptions and Catalog'!$C$62,((D313+E313)*C313)*'Assumptions and Catalog'!$H$62+'Assumptions and Catalog'!$E$62+'Assumptions and Catalog'!$F$62,IF(((D313+E313)*C313)&lt;='Assumptions and Catalog'!$C$63,((D313+E313)*C313)*'Assumptions and Catalog'!$H$63+'Assumptions and Catalog'!$E$63+'Assumptions and Catalog'!$F$63,IF(((D313+E313)*C313)&lt;='Assumptions and Catalog'!$C$64,((D313+E313)*C313)*'Assumptions and Catalog'!$H$64+'Assumptions and Catalog'!$E$64+'Assumptions and Catalog'!$F$64,IF(((D313+E313)*C313)&lt;='Assumptions and Catalog'!$C$65,((D313+E313)*C313)*'Assumptions and Catalog'!$H$65+'Assumptions and Catalog'!$E$65+'Assumptions and Catalog'!$F$65,"Out of range")))))))))*(1+'Assumptions and Catalog'!$C$8)^(A313-1),0)</f>
        <v>6867.22</v>
      </c>
      <c r="N313" s="5" t="n">
        <f>IF(ISNUMBER(Inputs!$L$5),(IF(Inputs!$L$9="Actual flat rate",L313*Inputs!$L$10,IF(Inputs!$C$9="Residential",IF(L313&lt;='Assumptions and Catalog'!$C$50,L313*'Assumptions and Catalog'!$H$50+'Assumptions and Catalog'!$E$50+'Assumptions and Catalog'!$F$50,IF(L313&lt;='Assumptions and Catalog'!$C$51,L313*'Assumptions and Catalog'!$H$51+'Assumptions and Catalog'!$E$51+'Assumptions and Catalog'!$F$51,IF(L313&lt;='Assumptions and Catalog'!$C$52,L313*'Assumptions and Catalog'!$H$52+'Assumptions and Catalog'!$E$52+'Assumptions and Catalog'!$F$52,IF(L313&lt;='Assumptions and Catalog'!$C$53,L313*'Assumptions and Catalog'!$H$53+'Assumptions and Catalog'!$E$53+'Assumptions and Catalog'!$F$53,IF(L313&lt;='Assumptions and Catalog'!$C$54,L313*'Assumptions and Catalog'!$H$54+'Assumptions and Catalog'!$E$54+'Assumptions and Catalog'!$F$54,IF(L313&lt;='Assumptions and Catalog'!$C$55,L313*'Assumptions and Catalog'!$H$55+'Assumptions and Catalog'!$E$55+'Assumptions and Catalog'!$F$55,IF(L313&lt;='Assumptions and Catalog'!$C$56,L313*'Assumptions and Catalog'!$H$56+'Assumptions and Catalog'!$E$56+'Assumptions and Catalog'!$F$56,IF(L313&lt;='Assumptions and Catalog'!$C$57,L313*'Assumptions and Catalog'!$H$57+'Assumptions and Catalog'!$E$57+'Assumptions and Catalog'!$F$57,"Out of range")))))))),IF(L313&lt;='Assumptions and Catalog'!$C$60,L313*'Assumptions and Catalog'!$H$60+'Assumptions and Catalog'!$E$60+'Assumptions and Catalog'!$F$60,IF(L313&lt;='Assumptions and Catalog'!$C$61,L313*'Assumptions and Catalog'!$H$61+'Assumptions and Catalog'!$E$61+'Assumptions and Catalog'!$F$61,IF(L313&lt;='Assumptions and Catalog'!$C$62,L313*'Assumptions and Catalog'!$H$62+'Assumptions and Catalog'!$E$62+'Assumptions and Catalog'!$F$62,IF(L313&lt;='Assumptions and Catalog'!$C$63,L313*'Assumptions and Catalog'!$H$63+'Assumptions and Catalog'!$E$63+'Assumptions and Catalog'!$F$63,IF(L313&lt;='Assumptions and Catalog'!$C$64,L313*'Assumptions and Catalog'!$H$64+'Assumptions and Catalog'!$E$64+'Assumptions and Catalog'!$F$64,IF(L313&lt;='Assumptions and Catalog'!$C$65,L313*'Assumptions and Catalog'!$H$65+'Assumptions and Catalog'!$E$65+'Assumptions and Catalog'!$F$65,"Out of range")))))))))*(1+'Assumptions and Catalog'!$C$8)^(A313-1),0)</f>
        <v>3453.61</v>
      </c>
      <c r="O313" s="5" t="n">
        <f>M313-N313</f>
        <v>3413.61</v>
      </c>
      <c r="P313" s="5" t="n">
        <f>C$55*(1-J$14)*(1-'Assumptions and Catalog'!$C$23)^R313</f>
        <v>0</v>
      </c>
      <c r="Q313" s="5" t="n">
        <f>IF(ISNUMBER(Inputs!$L$5),(IF(Inputs!$L$9="Actual flat rate",((D313+E313)*C313-G313)*Inputs!$L$10,IF(Inputs!$C$9="Residential",IF(((D313+E313)*C313-G313)&lt;='Assumptions and Catalog'!$C$50,((D313+E313)*C313-G313)*'Assumptions and Catalog'!$H$50+'Assumptions and Catalog'!$E$50+'Assumptions and Catalog'!$F$50,IF(((D313+E313)*C313-G313)&lt;='Assumptions and Catalog'!$C$51,((D313+E313)*C313-G313)*'Assumptions and Catalog'!$H$51+'Assumptions and Catalog'!$E$51+'Assumptions and Catalog'!$F$51,IF(((D313+E313)*C313-G313)&lt;='Assumptions and Catalog'!$C$52,((D313+E313)*C313-G313)*'Assumptions and Catalog'!$H$52+'Assumptions and Catalog'!$E$52+'Assumptions and Catalog'!$F$52,IF(((D313+E313)*C313-G313)&lt;='Assumptions and Catalog'!$C$53,((D313+E313)*C313-G313)*'Assumptions and Catalog'!$H$53+'Assumptions and Catalog'!$E$53+'Assumptions and Catalog'!$F$53,IF(((D313+E313)*C313-G313)&lt;='Assumptions and Catalog'!$C$54,((D313+E313)*C313-G313)*'Assumptions and Catalog'!$H$54+'Assumptions and Catalog'!$E$54+'Assumptions and Catalog'!$F$54,IF(((D313+E313)*C313-G313)&lt;='Assumptions and Catalog'!$C$55,((D313+E313)*C313-G313)*'Assumptions and Catalog'!$H$55+'Assumptions and Catalog'!$E$55+'Assumptions and Catalog'!$F$55,IF(((D313+E313)*C313-G313)&lt;='Assumptions and Catalog'!$C$56,((D313+E313)*C313-G313)*'Assumptions and Catalog'!$H$56+'Assumptions and Catalog'!$E$56+'Assumptions and Catalog'!$F$56,IF(((D313+E313)*C313-G313)&lt;='Assumptions and Catalog'!$C$57,((D313+E313)*C313-G313)*'Assumptions and Catalog'!$H$57+'Assumptions and Catalog'!$E$57+'Assumptions and Catalog'!$F$57,"Out of range")))))))),IF(((D313+E313)*C313-G313)&lt;='Assumptions and Catalog'!$C$60,((D313+E313)*C313-G313)*'Assumptions and Catalog'!$H$60+'Assumptions and Catalog'!$E$60+'Assumptions and Catalog'!$F$60,IF(((D313+E313)*C313-G313)&lt;='Assumptions and Catalog'!$C$61,((D313+E313)*C313-G313)*'Assumptions and Catalog'!$H$61+'Assumptions and Catalog'!$E$61+'Assumptions and Catalog'!$F$61,IF(((D313+E313)*C313-G313)&lt;='Assumptions and Catalog'!$C$62,((D313+E313)*C313-G313)*'Assumptions and Catalog'!$H$62+'Assumptions and Catalog'!$E$62+'Assumptions and Catalog'!$F$62,IF(((D313+E313)*C313-G313)&lt;='Assumptions and Catalog'!$C$63,((D313+E313)*C313-G313)*'Assumptions and Catalog'!$H$63+'Assumptions and Catalog'!$E$63+'Assumptions and Catalog'!$F$63,IF(((D313+E313)*C313-G313)&lt;='Assumptions and Catalog'!$C$64,((D313+E313)*C313-G313)*'Assumptions and Catalog'!$H$64+'Assumptions and Catalog'!$E$64+'Assumptions and Catalog'!$F$64,IF(((D313+E313)*C313-G313)&lt;='Assumptions and Catalog'!$C$65,((D313+E313)*C313-G313)*'Assumptions and Catalog'!$H$65+'Assumptions and Catalog'!$E$65+'Assumptions and Catalog'!$F$65,"Out of range")))))))))*(1+'Assumptions and Catalog'!$C$8)^(A313-1),0)</f>
        <v>3453.61</v>
      </c>
      <c r="R313" s="5" t="n">
        <f>IF(AND('Assumptions and Catalog'!$C$19&gt;0,A313&gt;='Assumptions and Catalog'!$C$19),A313-'Assumptions and Catalog'!$C$19,A313-1)</f>
        <v>2</v>
      </c>
      <c r="S313" s="5" t="n">
        <f>F313+L313-(D313+E313)*C313-J313-K313-0</f>
        <v>0</v>
      </c>
      <c r="T313" s="5"/>
      <c r="U313" s="5"/>
    </row>
    <row r="314" ht="23.100000381469727" customHeight="1">
      <c r="A314" s="5" t="n">
        <v>13</v>
      </c>
      <c r="B314" s="5" t="n">
        <v>10</v>
      </c>
      <c r="C314" s="5" t="n">
        <f>DAY(DATE('Assumptions and Catalog'!$C$24+A314-1,B314+1,0))</f>
        <v>31</v>
      </c>
      <c r="D314" s="5" t="n">
        <f>IF(ISNUMBER(Inputs!$L$5),Inputs!$L$5*Inputs!$L$6,0)</f>
        <v>40.35</v>
      </c>
      <c r="E314" s="5" t="n">
        <f>IF(ISNUMBER(Inputs!$L$5),Inputs!$L$5-D314,0)</f>
        <v>40.35</v>
      </c>
      <c r="F314" s="5" t="n">
        <f>C$51*INDEX('Solar Production'!$D$20:$D$31,B314)*C314*(1-'Assumptions and Catalog'!$C$10)^(A314-1)</f>
        <v>1280.47895670181</v>
      </c>
      <c r="G314" s="5" t="n">
        <f>MIN(F314,D314*C314)</f>
        <v>1250.85</v>
      </c>
      <c r="H314" s="5" t="n">
        <f>I314/('Assumptions and Catalog'!$C$11*'Assumptions and Catalog'!$C$12)</f>
        <v>0</v>
      </c>
      <c r="I314" s="5" t="n">
        <f>0</f>
        <v>0</v>
      </c>
      <c r="J314" s="5" t="n">
        <f>MAX(F314-G314-H314,0)</f>
        <v>29.6289567018107</v>
      </c>
      <c r="K314" s="5" t="n">
        <f>H314-I314</f>
        <v>0</v>
      </c>
      <c r="L314" s="5" t="n">
        <f>(D314+E314)*C314-G314-I314+0+0</f>
        <v>1250.85</v>
      </c>
      <c r="M314" s="5" t="n">
        <f>IF(ISNUMBER(Inputs!$L$5),(IF(Inputs!$L$9="Actual flat rate",((D314+E314)*C314)*Inputs!$L$10,IF(Inputs!$C$9="Residential",IF(((D314+E314)*C314)&lt;='Assumptions and Catalog'!$C$50,((D314+E314)*C314)*'Assumptions and Catalog'!$H$50+'Assumptions and Catalog'!$E$50+'Assumptions and Catalog'!$F$50,IF(((D314+E314)*C314)&lt;='Assumptions and Catalog'!$C$51,((D314+E314)*C314)*'Assumptions and Catalog'!$H$51+'Assumptions and Catalog'!$E$51+'Assumptions and Catalog'!$F$51,IF(((D314+E314)*C314)&lt;='Assumptions and Catalog'!$C$52,((D314+E314)*C314)*'Assumptions and Catalog'!$H$52+'Assumptions and Catalog'!$E$52+'Assumptions and Catalog'!$F$52,IF(((D314+E314)*C314)&lt;='Assumptions and Catalog'!$C$53,((D314+E314)*C314)*'Assumptions and Catalog'!$H$53+'Assumptions and Catalog'!$E$53+'Assumptions and Catalog'!$F$53,IF(((D314+E314)*C314)&lt;='Assumptions and Catalog'!$C$54,((D314+E314)*C314)*'Assumptions and Catalog'!$H$54+'Assumptions and Catalog'!$E$54+'Assumptions and Catalog'!$F$54,IF(((D314+E314)*C314)&lt;='Assumptions and Catalog'!$C$55,((D314+E314)*C314)*'Assumptions and Catalog'!$H$55+'Assumptions and Catalog'!$E$55+'Assumptions and Catalog'!$F$55,IF(((D314+E314)*C314)&lt;='Assumptions and Catalog'!$C$56,((D314+E314)*C314)*'Assumptions and Catalog'!$H$56+'Assumptions and Catalog'!$E$56+'Assumptions and Catalog'!$F$56,IF(((D314+E314)*C314)&lt;='Assumptions and Catalog'!$C$57,((D314+E314)*C314)*'Assumptions and Catalog'!$H$57+'Assumptions and Catalog'!$E$57+'Assumptions and Catalog'!$F$57,"Out of range")))))))),IF(((D314+E314)*C314)&lt;='Assumptions and Catalog'!$C$60,((D314+E314)*C314)*'Assumptions and Catalog'!$H$60+'Assumptions and Catalog'!$E$60+'Assumptions and Catalog'!$F$60,IF(((D314+E314)*C314)&lt;='Assumptions and Catalog'!$C$61,((D314+E314)*C314)*'Assumptions and Catalog'!$H$61+'Assumptions and Catalog'!$E$61+'Assumptions and Catalog'!$F$61,IF(((D314+E314)*C314)&lt;='Assumptions and Catalog'!$C$62,((D314+E314)*C314)*'Assumptions and Catalog'!$H$62+'Assumptions and Catalog'!$E$62+'Assumptions and Catalog'!$F$62,IF(((D314+E314)*C314)&lt;='Assumptions and Catalog'!$C$63,((D314+E314)*C314)*'Assumptions and Catalog'!$H$63+'Assumptions and Catalog'!$E$63+'Assumptions and Catalog'!$F$63,IF(((D314+E314)*C314)&lt;='Assumptions and Catalog'!$C$64,((D314+E314)*C314)*'Assumptions and Catalog'!$H$64+'Assumptions and Catalog'!$E$64+'Assumptions and Catalog'!$F$64,IF(((D314+E314)*C314)&lt;='Assumptions and Catalog'!$C$65,((D314+E314)*C314)*'Assumptions and Catalog'!$H$65+'Assumptions and Catalog'!$E$65+'Assumptions and Catalog'!$F$65,"Out of range")))))))))*(1+'Assumptions and Catalog'!$C$8)^(A314-1),0)</f>
        <v>7094.794</v>
      </c>
      <c r="N314" s="5" t="n">
        <f>IF(ISNUMBER(Inputs!$L$5),(IF(Inputs!$L$9="Actual flat rate",L314*Inputs!$L$10,IF(Inputs!$C$9="Residential",IF(L314&lt;='Assumptions and Catalog'!$C$50,L314*'Assumptions and Catalog'!$H$50+'Assumptions and Catalog'!$E$50+'Assumptions and Catalog'!$F$50,IF(L314&lt;='Assumptions and Catalog'!$C$51,L314*'Assumptions and Catalog'!$H$51+'Assumptions and Catalog'!$E$51+'Assumptions and Catalog'!$F$51,IF(L314&lt;='Assumptions and Catalog'!$C$52,L314*'Assumptions and Catalog'!$H$52+'Assumptions and Catalog'!$E$52+'Assumptions and Catalog'!$F$52,IF(L314&lt;='Assumptions and Catalog'!$C$53,L314*'Assumptions and Catalog'!$H$53+'Assumptions and Catalog'!$E$53+'Assumptions and Catalog'!$F$53,IF(L314&lt;='Assumptions and Catalog'!$C$54,L314*'Assumptions and Catalog'!$H$54+'Assumptions and Catalog'!$E$54+'Assumptions and Catalog'!$F$54,IF(L314&lt;='Assumptions and Catalog'!$C$55,L314*'Assumptions and Catalog'!$H$55+'Assumptions and Catalog'!$E$55+'Assumptions and Catalog'!$F$55,IF(L314&lt;='Assumptions and Catalog'!$C$56,L314*'Assumptions and Catalog'!$H$56+'Assumptions and Catalog'!$E$56+'Assumptions and Catalog'!$F$56,IF(L314&lt;='Assumptions and Catalog'!$C$57,L314*'Assumptions and Catalog'!$H$57+'Assumptions and Catalog'!$E$57+'Assumptions and Catalog'!$F$57,"Out of range")))))))),IF(L314&lt;='Assumptions and Catalog'!$C$60,L314*'Assumptions and Catalog'!$H$60+'Assumptions and Catalog'!$E$60+'Assumptions and Catalog'!$F$60,IF(L314&lt;='Assumptions and Catalog'!$C$61,L314*'Assumptions and Catalog'!$H$61+'Assumptions and Catalog'!$E$61+'Assumptions and Catalog'!$F$61,IF(L314&lt;='Assumptions and Catalog'!$C$62,L314*'Assumptions and Catalog'!$H$62+'Assumptions and Catalog'!$E$62+'Assumptions and Catalog'!$F$62,IF(L314&lt;='Assumptions and Catalog'!$C$63,L314*'Assumptions and Catalog'!$H$63+'Assumptions and Catalog'!$E$63+'Assumptions and Catalog'!$F$63,IF(L314&lt;='Assumptions and Catalog'!$C$64,L314*'Assumptions and Catalog'!$H$64+'Assumptions and Catalog'!$E$64+'Assumptions and Catalog'!$F$64,IF(L314&lt;='Assumptions and Catalog'!$C$65,L314*'Assumptions and Catalog'!$H$65+'Assumptions and Catalog'!$E$65+'Assumptions and Catalog'!$F$65,"Out of range")))))))))*(1+'Assumptions and Catalog'!$C$8)^(A314-1),0)</f>
        <v>3567.397</v>
      </c>
      <c r="O314" s="5" t="n">
        <f>M314-N314</f>
        <v>3527.397</v>
      </c>
      <c r="P314" s="5" t="n">
        <f>C$55*(1-J$14)*(1-'Assumptions and Catalog'!$C$23)^R314</f>
        <v>0</v>
      </c>
      <c r="Q314" s="5" t="n">
        <f>IF(ISNUMBER(Inputs!$L$5),(IF(Inputs!$L$9="Actual flat rate",((D314+E314)*C314-G314)*Inputs!$L$10,IF(Inputs!$C$9="Residential",IF(((D314+E314)*C314-G314)&lt;='Assumptions and Catalog'!$C$50,((D314+E314)*C314-G314)*'Assumptions and Catalog'!$H$50+'Assumptions and Catalog'!$E$50+'Assumptions and Catalog'!$F$50,IF(((D314+E314)*C314-G314)&lt;='Assumptions and Catalog'!$C$51,((D314+E314)*C314-G314)*'Assumptions and Catalog'!$H$51+'Assumptions and Catalog'!$E$51+'Assumptions and Catalog'!$F$51,IF(((D314+E314)*C314-G314)&lt;='Assumptions and Catalog'!$C$52,((D314+E314)*C314-G314)*'Assumptions and Catalog'!$H$52+'Assumptions and Catalog'!$E$52+'Assumptions and Catalog'!$F$52,IF(((D314+E314)*C314-G314)&lt;='Assumptions and Catalog'!$C$53,((D314+E314)*C314-G314)*'Assumptions and Catalog'!$H$53+'Assumptions and Catalog'!$E$53+'Assumptions and Catalog'!$F$53,IF(((D314+E314)*C314-G314)&lt;='Assumptions and Catalog'!$C$54,((D314+E314)*C314-G314)*'Assumptions and Catalog'!$H$54+'Assumptions and Catalog'!$E$54+'Assumptions and Catalog'!$F$54,IF(((D314+E314)*C314-G314)&lt;='Assumptions and Catalog'!$C$55,((D314+E314)*C314-G314)*'Assumptions and Catalog'!$H$55+'Assumptions and Catalog'!$E$55+'Assumptions and Catalog'!$F$55,IF(((D314+E314)*C314-G314)&lt;='Assumptions and Catalog'!$C$56,((D314+E314)*C314-G314)*'Assumptions and Catalog'!$H$56+'Assumptions and Catalog'!$E$56+'Assumptions and Catalog'!$F$56,IF(((D314+E314)*C314-G314)&lt;='Assumptions and Catalog'!$C$57,((D314+E314)*C314-G314)*'Assumptions and Catalog'!$H$57+'Assumptions and Catalog'!$E$57+'Assumptions and Catalog'!$F$57,"Out of range")))))))),IF(((D314+E314)*C314-G314)&lt;='Assumptions and Catalog'!$C$60,((D314+E314)*C314-G314)*'Assumptions and Catalog'!$H$60+'Assumptions and Catalog'!$E$60+'Assumptions and Catalog'!$F$60,IF(((D314+E314)*C314-G314)&lt;='Assumptions and Catalog'!$C$61,((D314+E314)*C314-G314)*'Assumptions and Catalog'!$H$61+'Assumptions and Catalog'!$E$61+'Assumptions and Catalog'!$F$61,IF(((D314+E314)*C314-G314)&lt;='Assumptions and Catalog'!$C$62,((D314+E314)*C314-G314)*'Assumptions and Catalog'!$H$62+'Assumptions and Catalog'!$E$62+'Assumptions and Catalog'!$F$62,IF(((D314+E314)*C314-G314)&lt;='Assumptions and Catalog'!$C$63,((D314+E314)*C314-G314)*'Assumptions and Catalog'!$H$63+'Assumptions and Catalog'!$E$63+'Assumptions and Catalog'!$F$63,IF(((D314+E314)*C314-G314)&lt;='Assumptions and Catalog'!$C$64,((D314+E314)*C314-G314)*'Assumptions and Catalog'!$H$64+'Assumptions and Catalog'!$E$64+'Assumptions and Catalog'!$F$64,IF(((D314+E314)*C314-G314)&lt;='Assumptions and Catalog'!$C$65,((D314+E314)*C314-G314)*'Assumptions and Catalog'!$H$65+'Assumptions and Catalog'!$E$65+'Assumptions and Catalog'!$F$65,"Out of range")))))))))*(1+'Assumptions and Catalog'!$C$8)^(A314-1),0)</f>
        <v>3567.397</v>
      </c>
      <c r="R314" s="5" t="n">
        <f>IF(AND('Assumptions and Catalog'!$C$19&gt;0,A314&gt;='Assumptions and Catalog'!$C$19),A314-'Assumptions and Catalog'!$C$19,A314-1)</f>
        <v>2</v>
      </c>
      <c r="S314" s="5" t="n">
        <f>F314+L314-(D314+E314)*C314-J314-K314-0</f>
        <v>0</v>
      </c>
      <c r="T314" s="5"/>
      <c r="U314" s="5"/>
    </row>
    <row r="315" ht="23.100000381469727" customHeight="1">
      <c r="A315" s="5" t="n">
        <v>13</v>
      </c>
      <c r="B315" s="5" t="n">
        <v>11</v>
      </c>
      <c r="C315" s="5" t="n">
        <f>DAY(DATE('Assumptions and Catalog'!$C$24+A315-1,B315+1,0))</f>
        <v>30</v>
      </c>
      <c r="D315" s="5" t="n">
        <f>IF(ISNUMBER(Inputs!$L$5),Inputs!$L$5*Inputs!$L$6,0)</f>
        <v>40.35</v>
      </c>
      <c r="E315" s="5" t="n">
        <f>IF(ISNUMBER(Inputs!$L$5),Inputs!$L$5-D315,0)</f>
        <v>40.35</v>
      </c>
      <c r="F315" s="5" t="n">
        <f>C$51*INDEX('Solar Production'!$D$20:$D$31,B315)*C315*(1-'Assumptions and Catalog'!$C$10)^(A315-1)</f>
        <v>1134.97186759495</v>
      </c>
      <c r="G315" s="5" t="n">
        <f>MIN(F315,D315*C315)</f>
        <v>1134.97186759495</v>
      </c>
      <c r="H315" s="5" t="n">
        <f>I315/('Assumptions and Catalog'!$C$11*'Assumptions and Catalog'!$C$12)</f>
        <v>0</v>
      </c>
      <c r="I315" s="5" t="n">
        <f>0</f>
        <v>0</v>
      </c>
      <c r="J315" s="5" t="n">
        <f>MAX(F315-G315-H315,0)</f>
        <v>0</v>
      </c>
      <c r="K315" s="5" t="n">
        <f>H315-I315</f>
        <v>0</v>
      </c>
      <c r="L315" s="5" t="n">
        <f>(D315+E315)*C315-G315-I315+0+0</f>
        <v>1286.02813240505</v>
      </c>
      <c r="M315" s="5" t="n">
        <f>IF(ISNUMBER(Inputs!$L$5),(IF(Inputs!$L$9="Actual flat rate",((D315+E315)*C315)*Inputs!$L$10,IF(Inputs!$C$9="Residential",IF(((D315+E315)*C315)&lt;='Assumptions and Catalog'!$C$50,((D315+E315)*C315)*'Assumptions and Catalog'!$H$50+'Assumptions and Catalog'!$E$50+'Assumptions and Catalog'!$F$50,IF(((D315+E315)*C315)&lt;='Assumptions and Catalog'!$C$51,((D315+E315)*C315)*'Assumptions and Catalog'!$H$51+'Assumptions and Catalog'!$E$51+'Assumptions and Catalog'!$F$51,IF(((D315+E315)*C315)&lt;='Assumptions and Catalog'!$C$52,((D315+E315)*C315)*'Assumptions and Catalog'!$H$52+'Assumptions and Catalog'!$E$52+'Assumptions and Catalog'!$F$52,IF(((D315+E315)*C315)&lt;='Assumptions and Catalog'!$C$53,((D315+E315)*C315)*'Assumptions and Catalog'!$H$53+'Assumptions and Catalog'!$E$53+'Assumptions and Catalog'!$F$53,IF(((D315+E315)*C315)&lt;='Assumptions and Catalog'!$C$54,((D315+E315)*C315)*'Assumptions and Catalog'!$H$54+'Assumptions and Catalog'!$E$54+'Assumptions and Catalog'!$F$54,IF(((D315+E315)*C315)&lt;='Assumptions and Catalog'!$C$55,((D315+E315)*C315)*'Assumptions and Catalog'!$H$55+'Assumptions and Catalog'!$E$55+'Assumptions and Catalog'!$F$55,IF(((D315+E315)*C315)&lt;='Assumptions and Catalog'!$C$56,((D315+E315)*C315)*'Assumptions and Catalog'!$H$56+'Assumptions and Catalog'!$E$56+'Assumptions and Catalog'!$F$56,IF(((D315+E315)*C315)&lt;='Assumptions and Catalog'!$C$57,((D315+E315)*C315)*'Assumptions and Catalog'!$H$57+'Assumptions and Catalog'!$E$57+'Assumptions and Catalog'!$F$57,"Out of range")))))))),IF(((D315+E315)*C315)&lt;='Assumptions and Catalog'!$C$60,((D315+E315)*C315)*'Assumptions and Catalog'!$H$60+'Assumptions and Catalog'!$E$60+'Assumptions and Catalog'!$F$60,IF(((D315+E315)*C315)&lt;='Assumptions and Catalog'!$C$61,((D315+E315)*C315)*'Assumptions and Catalog'!$H$61+'Assumptions and Catalog'!$E$61+'Assumptions and Catalog'!$F$61,IF(((D315+E315)*C315)&lt;='Assumptions and Catalog'!$C$62,((D315+E315)*C315)*'Assumptions and Catalog'!$H$62+'Assumptions and Catalog'!$E$62+'Assumptions and Catalog'!$F$62,IF(((D315+E315)*C315)&lt;='Assumptions and Catalog'!$C$63,((D315+E315)*C315)*'Assumptions and Catalog'!$H$63+'Assumptions and Catalog'!$E$63+'Assumptions and Catalog'!$F$63,IF(((D315+E315)*C315)&lt;='Assumptions and Catalog'!$C$64,((D315+E315)*C315)*'Assumptions and Catalog'!$H$64+'Assumptions and Catalog'!$E$64+'Assumptions and Catalog'!$F$64,IF(((D315+E315)*C315)&lt;='Assumptions and Catalog'!$C$65,((D315+E315)*C315)*'Assumptions and Catalog'!$H$65+'Assumptions and Catalog'!$E$65+'Assumptions and Catalog'!$F$65,"Out of range")))))))))*(1+'Assumptions and Catalog'!$C$8)^(A315-1),0)</f>
        <v>6867.22</v>
      </c>
      <c r="N315" s="5" t="n">
        <f>IF(ISNUMBER(Inputs!$L$5),(IF(Inputs!$L$9="Actual flat rate",L315*Inputs!$L$10,IF(Inputs!$C$9="Residential",IF(L315&lt;='Assumptions and Catalog'!$C$50,L315*'Assumptions and Catalog'!$H$50+'Assumptions and Catalog'!$E$50+'Assumptions and Catalog'!$F$50,IF(L315&lt;='Assumptions and Catalog'!$C$51,L315*'Assumptions and Catalog'!$H$51+'Assumptions and Catalog'!$E$51+'Assumptions and Catalog'!$F$51,IF(L315&lt;='Assumptions and Catalog'!$C$52,L315*'Assumptions and Catalog'!$H$52+'Assumptions and Catalog'!$E$52+'Assumptions and Catalog'!$F$52,IF(L315&lt;='Assumptions and Catalog'!$C$53,L315*'Assumptions and Catalog'!$H$53+'Assumptions and Catalog'!$E$53+'Assumptions and Catalog'!$F$53,IF(L315&lt;='Assumptions and Catalog'!$C$54,L315*'Assumptions and Catalog'!$H$54+'Assumptions and Catalog'!$E$54+'Assumptions and Catalog'!$F$54,IF(L315&lt;='Assumptions and Catalog'!$C$55,L315*'Assumptions and Catalog'!$H$55+'Assumptions and Catalog'!$E$55+'Assumptions and Catalog'!$F$55,IF(L315&lt;='Assumptions and Catalog'!$C$56,L315*'Assumptions and Catalog'!$H$56+'Assumptions and Catalog'!$E$56+'Assumptions and Catalog'!$F$56,IF(L315&lt;='Assumptions and Catalog'!$C$57,L315*'Assumptions and Catalog'!$H$57+'Assumptions and Catalog'!$E$57+'Assumptions and Catalog'!$F$57,"Out of range")))))))),IF(L315&lt;='Assumptions and Catalog'!$C$60,L315*'Assumptions and Catalog'!$H$60+'Assumptions and Catalog'!$E$60+'Assumptions and Catalog'!$F$60,IF(L315&lt;='Assumptions and Catalog'!$C$61,L315*'Assumptions and Catalog'!$H$61+'Assumptions and Catalog'!$E$61+'Assumptions and Catalog'!$F$61,IF(L315&lt;='Assumptions and Catalog'!$C$62,L315*'Assumptions and Catalog'!$H$62+'Assumptions and Catalog'!$E$62+'Assumptions and Catalog'!$F$62,IF(L315&lt;='Assumptions and Catalog'!$C$63,L315*'Assumptions and Catalog'!$H$63+'Assumptions and Catalog'!$E$63+'Assumptions and Catalog'!$F$63,IF(L315&lt;='Assumptions and Catalog'!$C$64,L315*'Assumptions and Catalog'!$H$64+'Assumptions and Catalog'!$E$64+'Assumptions and Catalog'!$F$64,IF(L315&lt;='Assumptions and Catalog'!$C$65,L315*'Assumptions and Catalog'!$H$65+'Assumptions and Catalog'!$E$65+'Assumptions and Catalog'!$F$65,"Out of range")))))))))*(1+'Assumptions and Catalog'!$C$8)^(A315-1),0)</f>
        <v>3666.59933338225</v>
      </c>
      <c r="O315" s="5" t="n">
        <f>M315-N315</f>
        <v>3200.62066661775</v>
      </c>
      <c r="P315" s="5" t="n">
        <f>C$55*(1-J$14)*(1-'Assumptions and Catalog'!$C$23)^R315</f>
        <v>0</v>
      </c>
      <c r="Q315" s="5" t="n">
        <f>IF(ISNUMBER(Inputs!$L$5),(IF(Inputs!$L$9="Actual flat rate",((D315+E315)*C315-G315)*Inputs!$L$10,IF(Inputs!$C$9="Residential",IF(((D315+E315)*C315-G315)&lt;='Assumptions and Catalog'!$C$50,((D315+E315)*C315-G315)*'Assumptions and Catalog'!$H$50+'Assumptions and Catalog'!$E$50+'Assumptions and Catalog'!$F$50,IF(((D315+E315)*C315-G315)&lt;='Assumptions and Catalog'!$C$51,((D315+E315)*C315-G315)*'Assumptions and Catalog'!$H$51+'Assumptions and Catalog'!$E$51+'Assumptions and Catalog'!$F$51,IF(((D315+E315)*C315-G315)&lt;='Assumptions and Catalog'!$C$52,((D315+E315)*C315-G315)*'Assumptions and Catalog'!$H$52+'Assumptions and Catalog'!$E$52+'Assumptions and Catalog'!$F$52,IF(((D315+E315)*C315-G315)&lt;='Assumptions and Catalog'!$C$53,((D315+E315)*C315-G315)*'Assumptions and Catalog'!$H$53+'Assumptions and Catalog'!$E$53+'Assumptions and Catalog'!$F$53,IF(((D315+E315)*C315-G315)&lt;='Assumptions and Catalog'!$C$54,((D315+E315)*C315-G315)*'Assumptions and Catalog'!$H$54+'Assumptions and Catalog'!$E$54+'Assumptions and Catalog'!$F$54,IF(((D315+E315)*C315-G315)&lt;='Assumptions and Catalog'!$C$55,((D315+E315)*C315-G315)*'Assumptions and Catalog'!$H$55+'Assumptions and Catalog'!$E$55+'Assumptions and Catalog'!$F$55,IF(((D315+E315)*C315-G315)&lt;='Assumptions and Catalog'!$C$56,((D315+E315)*C315-G315)*'Assumptions and Catalog'!$H$56+'Assumptions and Catalog'!$E$56+'Assumptions and Catalog'!$F$56,IF(((D315+E315)*C315-G315)&lt;='Assumptions and Catalog'!$C$57,((D315+E315)*C315-G315)*'Assumptions and Catalog'!$H$57+'Assumptions and Catalog'!$E$57+'Assumptions and Catalog'!$F$57,"Out of range")))))))),IF(((D315+E315)*C315-G315)&lt;='Assumptions and Catalog'!$C$60,((D315+E315)*C315-G315)*'Assumptions and Catalog'!$H$60+'Assumptions and Catalog'!$E$60+'Assumptions and Catalog'!$F$60,IF(((D315+E315)*C315-G315)&lt;='Assumptions and Catalog'!$C$61,((D315+E315)*C315-G315)*'Assumptions and Catalog'!$H$61+'Assumptions and Catalog'!$E$61+'Assumptions and Catalog'!$F$61,IF(((D315+E315)*C315-G315)&lt;='Assumptions and Catalog'!$C$62,((D315+E315)*C315-G315)*'Assumptions and Catalog'!$H$62+'Assumptions and Catalog'!$E$62+'Assumptions and Catalog'!$F$62,IF(((D315+E315)*C315-G315)&lt;='Assumptions and Catalog'!$C$63,((D315+E315)*C315-G315)*'Assumptions and Catalog'!$H$63+'Assumptions and Catalog'!$E$63+'Assumptions and Catalog'!$F$63,IF(((D315+E315)*C315-G315)&lt;='Assumptions and Catalog'!$C$64,((D315+E315)*C315-G315)*'Assumptions and Catalog'!$H$64+'Assumptions and Catalog'!$E$64+'Assumptions and Catalog'!$F$64,IF(((D315+E315)*C315-G315)&lt;='Assumptions and Catalog'!$C$65,((D315+E315)*C315-G315)*'Assumptions and Catalog'!$H$65+'Assumptions and Catalog'!$E$65+'Assumptions and Catalog'!$F$65,"Out of range")))))))))*(1+'Assumptions and Catalog'!$C$8)^(A315-1),0)</f>
        <v>3666.59933338225</v>
      </c>
      <c r="R315" s="5" t="n">
        <f>IF(AND('Assumptions and Catalog'!$C$19&gt;0,A315&gt;='Assumptions and Catalog'!$C$19),A315-'Assumptions and Catalog'!$C$19,A315-1)</f>
        <v>2</v>
      </c>
      <c r="S315" s="5" t="n">
        <f>F315+L315-(D315+E315)*C315-J315-K315-0</f>
        <v>0</v>
      </c>
      <c r="T315" s="5"/>
      <c r="U315" s="5"/>
    </row>
    <row r="316" ht="23.100000381469727" customHeight="1">
      <c r="A316" s="5" t="n">
        <v>13</v>
      </c>
      <c r="B316" s="5" t="n">
        <v>12</v>
      </c>
      <c r="C316" s="5" t="n">
        <f>DAY(DATE('Assumptions and Catalog'!$C$24+A316-1,B316+1,0))</f>
        <v>31</v>
      </c>
      <c r="D316" s="5" t="n">
        <f>IF(ISNUMBER(Inputs!$L$5),Inputs!$L$5*Inputs!$L$6,0)</f>
        <v>40.35</v>
      </c>
      <c r="E316" s="5" t="n">
        <f>IF(ISNUMBER(Inputs!$L$5),Inputs!$L$5-D316,0)</f>
        <v>40.35</v>
      </c>
      <c r="F316" s="5" t="n">
        <f>C$51*INDEX('Solar Production'!$D$20:$D$31,B316)*C316*(1-'Assumptions and Catalog'!$C$10)^(A316-1)</f>
        <v>1080.53100339038</v>
      </c>
      <c r="G316" s="5" t="n">
        <f>MIN(F316,D316*C316)</f>
        <v>1080.53100339038</v>
      </c>
      <c r="H316" s="5" t="n">
        <f>I316/('Assumptions and Catalog'!$C$11*'Assumptions and Catalog'!$C$12)</f>
        <v>0</v>
      </c>
      <c r="I316" s="5" t="n">
        <f>0</f>
        <v>0</v>
      </c>
      <c r="J316" s="5" t="n">
        <f>MAX(F316-G316-H316,0)</f>
        <v>0</v>
      </c>
      <c r="K316" s="5" t="n">
        <f>H316-I316</f>
        <v>0</v>
      </c>
      <c r="L316" s="5" t="n">
        <f>(D316+E316)*C316-G316-I316+0+0</f>
        <v>1421.16899660962</v>
      </c>
      <c r="M316" s="5" t="n">
        <f>IF(ISNUMBER(Inputs!$L$5),(IF(Inputs!$L$9="Actual flat rate",((D316+E316)*C316)*Inputs!$L$10,IF(Inputs!$C$9="Residential",IF(((D316+E316)*C316)&lt;='Assumptions and Catalog'!$C$50,((D316+E316)*C316)*'Assumptions and Catalog'!$H$50+'Assumptions and Catalog'!$E$50+'Assumptions and Catalog'!$F$50,IF(((D316+E316)*C316)&lt;='Assumptions and Catalog'!$C$51,((D316+E316)*C316)*'Assumptions and Catalog'!$H$51+'Assumptions and Catalog'!$E$51+'Assumptions and Catalog'!$F$51,IF(((D316+E316)*C316)&lt;='Assumptions and Catalog'!$C$52,((D316+E316)*C316)*'Assumptions and Catalog'!$H$52+'Assumptions and Catalog'!$E$52+'Assumptions and Catalog'!$F$52,IF(((D316+E316)*C316)&lt;='Assumptions and Catalog'!$C$53,((D316+E316)*C316)*'Assumptions and Catalog'!$H$53+'Assumptions and Catalog'!$E$53+'Assumptions and Catalog'!$F$53,IF(((D316+E316)*C316)&lt;='Assumptions and Catalog'!$C$54,((D316+E316)*C316)*'Assumptions and Catalog'!$H$54+'Assumptions and Catalog'!$E$54+'Assumptions and Catalog'!$F$54,IF(((D316+E316)*C316)&lt;='Assumptions and Catalog'!$C$55,((D316+E316)*C316)*'Assumptions and Catalog'!$H$55+'Assumptions and Catalog'!$E$55+'Assumptions and Catalog'!$F$55,IF(((D316+E316)*C316)&lt;='Assumptions and Catalog'!$C$56,((D316+E316)*C316)*'Assumptions and Catalog'!$H$56+'Assumptions and Catalog'!$E$56+'Assumptions and Catalog'!$F$56,IF(((D316+E316)*C316)&lt;='Assumptions and Catalog'!$C$57,((D316+E316)*C316)*'Assumptions and Catalog'!$H$57+'Assumptions and Catalog'!$E$57+'Assumptions and Catalog'!$F$57,"Out of range")))))))),IF(((D316+E316)*C316)&lt;='Assumptions and Catalog'!$C$60,((D316+E316)*C316)*'Assumptions and Catalog'!$H$60+'Assumptions and Catalog'!$E$60+'Assumptions and Catalog'!$F$60,IF(((D316+E316)*C316)&lt;='Assumptions and Catalog'!$C$61,((D316+E316)*C316)*'Assumptions and Catalog'!$H$61+'Assumptions and Catalog'!$E$61+'Assumptions and Catalog'!$F$61,IF(((D316+E316)*C316)&lt;='Assumptions and Catalog'!$C$62,((D316+E316)*C316)*'Assumptions and Catalog'!$H$62+'Assumptions and Catalog'!$E$62+'Assumptions and Catalog'!$F$62,IF(((D316+E316)*C316)&lt;='Assumptions and Catalog'!$C$63,((D316+E316)*C316)*'Assumptions and Catalog'!$H$63+'Assumptions and Catalog'!$E$63+'Assumptions and Catalog'!$F$63,IF(((D316+E316)*C316)&lt;='Assumptions and Catalog'!$C$64,((D316+E316)*C316)*'Assumptions and Catalog'!$H$64+'Assumptions and Catalog'!$E$64+'Assumptions and Catalog'!$F$64,IF(((D316+E316)*C316)&lt;='Assumptions and Catalog'!$C$65,((D316+E316)*C316)*'Assumptions and Catalog'!$H$65+'Assumptions and Catalog'!$E$65+'Assumptions and Catalog'!$F$65,"Out of range")))))))))*(1+'Assumptions and Catalog'!$C$8)^(A316-1),0)</f>
        <v>7094.794</v>
      </c>
      <c r="N316" s="5" t="n">
        <f>IF(ISNUMBER(Inputs!$L$5),(IF(Inputs!$L$9="Actual flat rate",L316*Inputs!$L$10,IF(Inputs!$C$9="Residential",IF(L316&lt;='Assumptions and Catalog'!$C$50,L316*'Assumptions and Catalog'!$H$50+'Assumptions and Catalog'!$E$50+'Assumptions and Catalog'!$F$50,IF(L316&lt;='Assumptions and Catalog'!$C$51,L316*'Assumptions and Catalog'!$H$51+'Assumptions and Catalog'!$E$51+'Assumptions and Catalog'!$F$51,IF(L316&lt;='Assumptions and Catalog'!$C$52,L316*'Assumptions and Catalog'!$H$52+'Assumptions and Catalog'!$E$52+'Assumptions and Catalog'!$F$52,IF(L316&lt;='Assumptions and Catalog'!$C$53,L316*'Assumptions and Catalog'!$H$53+'Assumptions and Catalog'!$E$53+'Assumptions and Catalog'!$F$53,IF(L316&lt;='Assumptions and Catalog'!$C$54,L316*'Assumptions and Catalog'!$H$54+'Assumptions and Catalog'!$E$54+'Assumptions and Catalog'!$F$54,IF(L316&lt;='Assumptions and Catalog'!$C$55,L316*'Assumptions and Catalog'!$H$55+'Assumptions and Catalog'!$E$55+'Assumptions and Catalog'!$F$55,IF(L316&lt;='Assumptions and Catalog'!$C$56,L316*'Assumptions and Catalog'!$H$56+'Assumptions and Catalog'!$E$56+'Assumptions and Catalog'!$F$56,IF(L316&lt;='Assumptions and Catalog'!$C$57,L316*'Assumptions and Catalog'!$H$57+'Assumptions and Catalog'!$E$57+'Assumptions and Catalog'!$F$57,"Out of range")))))))),IF(L316&lt;='Assumptions and Catalog'!$C$60,L316*'Assumptions and Catalog'!$H$60+'Assumptions and Catalog'!$E$60+'Assumptions and Catalog'!$F$60,IF(L316&lt;='Assumptions and Catalog'!$C$61,L316*'Assumptions and Catalog'!$H$61+'Assumptions and Catalog'!$E$61+'Assumptions and Catalog'!$F$61,IF(L316&lt;='Assumptions and Catalog'!$C$62,L316*'Assumptions and Catalog'!$H$62+'Assumptions and Catalog'!$E$62+'Assumptions and Catalog'!$F$62,IF(L316&lt;='Assumptions and Catalog'!$C$63,L316*'Assumptions and Catalog'!$H$63+'Assumptions and Catalog'!$E$63+'Assumptions and Catalog'!$F$63,IF(L316&lt;='Assumptions and Catalog'!$C$64,L316*'Assumptions and Catalog'!$H$64+'Assumptions and Catalog'!$E$64+'Assumptions and Catalog'!$F$64,IF(L316&lt;='Assumptions and Catalog'!$C$65,L316*'Assumptions and Catalog'!$H$65+'Assumptions and Catalog'!$E$65+'Assumptions and Catalog'!$F$65,"Out of range")))))))))*(1+'Assumptions and Catalog'!$C$8)^(A316-1),0)</f>
        <v>4047.69657043912</v>
      </c>
      <c r="O316" s="5" t="n">
        <f>M316-N316</f>
        <v>3047.09742956088</v>
      </c>
      <c r="P316" s="5" t="n">
        <f>C$55*(1-J$14)*(1-'Assumptions and Catalog'!$C$23)^R316</f>
        <v>0</v>
      </c>
      <c r="Q316" s="5" t="n">
        <f>IF(ISNUMBER(Inputs!$L$5),(IF(Inputs!$L$9="Actual flat rate",((D316+E316)*C316-G316)*Inputs!$L$10,IF(Inputs!$C$9="Residential",IF(((D316+E316)*C316-G316)&lt;='Assumptions and Catalog'!$C$50,((D316+E316)*C316-G316)*'Assumptions and Catalog'!$H$50+'Assumptions and Catalog'!$E$50+'Assumptions and Catalog'!$F$50,IF(((D316+E316)*C316-G316)&lt;='Assumptions and Catalog'!$C$51,((D316+E316)*C316-G316)*'Assumptions and Catalog'!$H$51+'Assumptions and Catalog'!$E$51+'Assumptions and Catalog'!$F$51,IF(((D316+E316)*C316-G316)&lt;='Assumptions and Catalog'!$C$52,((D316+E316)*C316-G316)*'Assumptions and Catalog'!$H$52+'Assumptions and Catalog'!$E$52+'Assumptions and Catalog'!$F$52,IF(((D316+E316)*C316-G316)&lt;='Assumptions and Catalog'!$C$53,((D316+E316)*C316-G316)*'Assumptions and Catalog'!$H$53+'Assumptions and Catalog'!$E$53+'Assumptions and Catalog'!$F$53,IF(((D316+E316)*C316-G316)&lt;='Assumptions and Catalog'!$C$54,((D316+E316)*C316-G316)*'Assumptions and Catalog'!$H$54+'Assumptions and Catalog'!$E$54+'Assumptions and Catalog'!$F$54,IF(((D316+E316)*C316-G316)&lt;='Assumptions and Catalog'!$C$55,((D316+E316)*C316-G316)*'Assumptions and Catalog'!$H$55+'Assumptions and Catalog'!$E$55+'Assumptions and Catalog'!$F$55,IF(((D316+E316)*C316-G316)&lt;='Assumptions and Catalog'!$C$56,((D316+E316)*C316-G316)*'Assumptions and Catalog'!$H$56+'Assumptions and Catalog'!$E$56+'Assumptions and Catalog'!$F$56,IF(((D316+E316)*C316-G316)&lt;='Assumptions and Catalog'!$C$57,((D316+E316)*C316-G316)*'Assumptions and Catalog'!$H$57+'Assumptions and Catalog'!$E$57+'Assumptions and Catalog'!$F$57,"Out of range")))))))),IF(((D316+E316)*C316-G316)&lt;='Assumptions and Catalog'!$C$60,((D316+E316)*C316-G316)*'Assumptions and Catalog'!$H$60+'Assumptions and Catalog'!$E$60+'Assumptions and Catalog'!$F$60,IF(((D316+E316)*C316-G316)&lt;='Assumptions and Catalog'!$C$61,((D316+E316)*C316-G316)*'Assumptions and Catalog'!$H$61+'Assumptions and Catalog'!$E$61+'Assumptions and Catalog'!$F$61,IF(((D316+E316)*C316-G316)&lt;='Assumptions and Catalog'!$C$62,((D316+E316)*C316-G316)*'Assumptions and Catalog'!$H$62+'Assumptions and Catalog'!$E$62+'Assumptions and Catalog'!$F$62,IF(((D316+E316)*C316-G316)&lt;='Assumptions and Catalog'!$C$63,((D316+E316)*C316-G316)*'Assumptions and Catalog'!$H$63+'Assumptions and Catalog'!$E$63+'Assumptions and Catalog'!$F$63,IF(((D316+E316)*C316-G316)&lt;='Assumptions and Catalog'!$C$64,((D316+E316)*C316-G316)*'Assumptions and Catalog'!$H$64+'Assumptions and Catalog'!$E$64+'Assumptions and Catalog'!$F$64,IF(((D316+E316)*C316-G316)&lt;='Assumptions and Catalog'!$C$65,((D316+E316)*C316-G316)*'Assumptions and Catalog'!$H$65+'Assumptions and Catalog'!$E$65+'Assumptions and Catalog'!$F$65,"Out of range")))))))))*(1+'Assumptions and Catalog'!$C$8)^(A316-1),0)</f>
        <v>4047.69657043912</v>
      </c>
      <c r="R316" s="5" t="n">
        <f>IF(AND('Assumptions and Catalog'!$C$19&gt;0,A316&gt;='Assumptions and Catalog'!$C$19),A316-'Assumptions and Catalog'!$C$19,A316-1)</f>
        <v>2</v>
      </c>
      <c r="S316" s="5" t="n">
        <f>F316+L316-(D316+E316)*C316-J316-K316-0</f>
        <v>0</v>
      </c>
      <c r="T316" s="5"/>
      <c r="U316" s="5"/>
    </row>
    <row r="317" ht="23.100000381469727" customHeight="1">
      <c r="A317" s="5" t="n">
        <v>14</v>
      </c>
      <c r="B317" s="5" t="n">
        <v>1</v>
      </c>
      <c r="C317" s="5" t="n">
        <f>DAY(DATE('Assumptions and Catalog'!$C$24+A317-1,B317+1,0))</f>
        <v>31</v>
      </c>
      <c r="D317" s="5" t="n">
        <f>IF(ISNUMBER(Inputs!$L$5),Inputs!$L$5*Inputs!$L$6,0)</f>
        <v>40.35</v>
      </c>
      <c r="E317" s="5" t="n">
        <f>IF(ISNUMBER(Inputs!$L$5),Inputs!$L$5-D317,0)</f>
        <v>40.35</v>
      </c>
      <c r="F317" s="5" t="n">
        <f>C$51*INDEX('Solar Production'!$D$20:$D$31,B317)*C317*(1-'Assumptions and Catalog'!$C$10)^(A317-1)</f>
        <v>1082.54871274104</v>
      </c>
      <c r="G317" s="5" t="n">
        <f>MIN(F317,D317*C317)</f>
        <v>1082.54871274104</v>
      </c>
      <c r="H317" s="5" t="n">
        <f>I317/('Assumptions and Catalog'!$C$11*'Assumptions and Catalog'!$C$12)</f>
        <v>0</v>
      </c>
      <c r="I317" s="5" t="n">
        <f>0</f>
        <v>0</v>
      </c>
      <c r="J317" s="5" t="n">
        <f>MAX(F317-G317-H317,0)</f>
        <v>0</v>
      </c>
      <c r="K317" s="5" t="n">
        <f>H317-I317</f>
        <v>0</v>
      </c>
      <c r="L317" s="5" t="n">
        <f>(D317+E317)*C317-G317-I317+0+0</f>
        <v>1419.15128725896</v>
      </c>
      <c r="M317" s="5" t="n">
        <f>IF(ISNUMBER(Inputs!$L$5),(IF(Inputs!$L$9="Actual flat rate",((D317+E317)*C317)*Inputs!$L$10,IF(Inputs!$C$9="Residential",IF(((D317+E317)*C317)&lt;='Assumptions and Catalog'!$C$50,((D317+E317)*C317)*'Assumptions and Catalog'!$H$50+'Assumptions and Catalog'!$E$50+'Assumptions and Catalog'!$F$50,IF(((D317+E317)*C317)&lt;='Assumptions and Catalog'!$C$51,((D317+E317)*C317)*'Assumptions and Catalog'!$H$51+'Assumptions and Catalog'!$E$51+'Assumptions and Catalog'!$F$51,IF(((D317+E317)*C317)&lt;='Assumptions and Catalog'!$C$52,((D317+E317)*C317)*'Assumptions and Catalog'!$H$52+'Assumptions and Catalog'!$E$52+'Assumptions and Catalog'!$F$52,IF(((D317+E317)*C317)&lt;='Assumptions and Catalog'!$C$53,((D317+E317)*C317)*'Assumptions and Catalog'!$H$53+'Assumptions and Catalog'!$E$53+'Assumptions and Catalog'!$F$53,IF(((D317+E317)*C317)&lt;='Assumptions and Catalog'!$C$54,((D317+E317)*C317)*'Assumptions and Catalog'!$H$54+'Assumptions and Catalog'!$E$54+'Assumptions and Catalog'!$F$54,IF(((D317+E317)*C317)&lt;='Assumptions and Catalog'!$C$55,((D317+E317)*C317)*'Assumptions and Catalog'!$H$55+'Assumptions and Catalog'!$E$55+'Assumptions and Catalog'!$F$55,IF(((D317+E317)*C317)&lt;='Assumptions and Catalog'!$C$56,((D317+E317)*C317)*'Assumptions and Catalog'!$H$56+'Assumptions and Catalog'!$E$56+'Assumptions and Catalog'!$F$56,IF(((D317+E317)*C317)&lt;='Assumptions and Catalog'!$C$57,((D317+E317)*C317)*'Assumptions and Catalog'!$H$57+'Assumptions and Catalog'!$E$57+'Assumptions and Catalog'!$F$57,"Out of range")))))))),IF(((D317+E317)*C317)&lt;='Assumptions and Catalog'!$C$60,((D317+E317)*C317)*'Assumptions and Catalog'!$H$60+'Assumptions and Catalog'!$E$60+'Assumptions and Catalog'!$F$60,IF(((D317+E317)*C317)&lt;='Assumptions and Catalog'!$C$61,((D317+E317)*C317)*'Assumptions and Catalog'!$H$61+'Assumptions and Catalog'!$E$61+'Assumptions and Catalog'!$F$61,IF(((D317+E317)*C317)&lt;='Assumptions and Catalog'!$C$62,((D317+E317)*C317)*'Assumptions and Catalog'!$H$62+'Assumptions and Catalog'!$E$62+'Assumptions and Catalog'!$F$62,IF(((D317+E317)*C317)&lt;='Assumptions and Catalog'!$C$63,((D317+E317)*C317)*'Assumptions and Catalog'!$H$63+'Assumptions and Catalog'!$E$63+'Assumptions and Catalog'!$F$63,IF(((D317+E317)*C317)&lt;='Assumptions and Catalog'!$C$64,((D317+E317)*C317)*'Assumptions and Catalog'!$H$64+'Assumptions and Catalog'!$E$64+'Assumptions and Catalog'!$F$64,IF(((D317+E317)*C317)&lt;='Assumptions and Catalog'!$C$65,((D317+E317)*C317)*'Assumptions and Catalog'!$H$65+'Assumptions and Catalog'!$E$65+'Assumptions and Catalog'!$F$65,"Out of range")))))))))*(1+'Assumptions and Catalog'!$C$8)^(A317-1),0)</f>
        <v>7094.794</v>
      </c>
      <c r="N317" s="5" t="n">
        <f>IF(ISNUMBER(Inputs!$L$5),(IF(Inputs!$L$9="Actual flat rate",L317*Inputs!$L$10,IF(Inputs!$C$9="Residential",IF(L317&lt;='Assumptions and Catalog'!$C$50,L317*'Assumptions and Catalog'!$H$50+'Assumptions and Catalog'!$E$50+'Assumptions and Catalog'!$F$50,IF(L317&lt;='Assumptions and Catalog'!$C$51,L317*'Assumptions and Catalog'!$H$51+'Assumptions and Catalog'!$E$51+'Assumptions and Catalog'!$F$51,IF(L317&lt;='Assumptions and Catalog'!$C$52,L317*'Assumptions and Catalog'!$H$52+'Assumptions and Catalog'!$E$52+'Assumptions and Catalog'!$F$52,IF(L317&lt;='Assumptions and Catalog'!$C$53,L317*'Assumptions and Catalog'!$H$53+'Assumptions and Catalog'!$E$53+'Assumptions and Catalog'!$F$53,IF(L317&lt;='Assumptions and Catalog'!$C$54,L317*'Assumptions and Catalog'!$H$54+'Assumptions and Catalog'!$E$54+'Assumptions and Catalog'!$F$54,IF(L317&lt;='Assumptions and Catalog'!$C$55,L317*'Assumptions and Catalog'!$H$55+'Assumptions and Catalog'!$E$55+'Assumptions and Catalog'!$F$55,IF(L317&lt;='Assumptions and Catalog'!$C$56,L317*'Assumptions and Catalog'!$H$56+'Assumptions and Catalog'!$E$56+'Assumptions and Catalog'!$F$56,IF(L317&lt;='Assumptions and Catalog'!$C$57,L317*'Assumptions and Catalog'!$H$57+'Assumptions and Catalog'!$E$57+'Assumptions and Catalog'!$F$57,"Out of range")))))))),IF(L317&lt;='Assumptions and Catalog'!$C$60,L317*'Assumptions and Catalog'!$H$60+'Assumptions and Catalog'!$E$60+'Assumptions and Catalog'!$F$60,IF(L317&lt;='Assumptions and Catalog'!$C$61,L317*'Assumptions and Catalog'!$H$61+'Assumptions and Catalog'!$E$61+'Assumptions and Catalog'!$F$61,IF(L317&lt;='Assumptions and Catalog'!$C$62,L317*'Assumptions and Catalog'!$H$62+'Assumptions and Catalog'!$E$62+'Assumptions and Catalog'!$F$62,IF(L317&lt;='Assumptions and Catalog'!$C$63,L317*'Assumptions and Catalog'!$H$63+'Assumptions and Catalog'!$E$63+'Assumptions and Catalog'!$F$63,IF(L317&lt;='Assumptions and Catalog'!$C$64,L317*'Assumptions and Catalog'!$H$64+'Assumptions and Catalog'!$E$64+'Assumptions and Catalog'!$F$64,IF(L317&lt;='Assumptions and Catalog'!$C$65,L317*'Assumptions and Catalog'!$H$65+'Assumptions and Catalog'!$E$65+'Assumptions and Catalog'!$F$65,"Out of range")))))))))*(1+'Assumptions and Catalog'!$C$8)^(A317-1),0)</f>
        <v>4042.00663007027</v>
      </c>
      <c r="O317" s="5" t="n">
        <f>M317-N317</f>
        <v>3052.78736992974</v>
      </c>
      <c r="P317" s="5" t="n">
        <f>C$55*(1-J$14)*(1-'Assumptions and Catalog'!$C$23)^R317</f>
        <v>0</v>
      </c>
      <c r="Q317" s="5" t="n">
        <f>IF(ISNUMBER(Inputs!$L$5),(IF(Inputs!$L$9="Actual flat rate",((D317+E317)*C317-G317)*Inputs!$L$10,IF(Inputs!$C$9="Residential",IF(((D317+E317)*C317-G317)&lt;='Assumptions and Catalog'!$C$50,((D317+E317)*C317-G317)*'Assumptions and Catalog'!$H$50+'Assumptions and Catalog'!$E$50+'Assumptions and Catalog'!$F$50,IF(((D317+E317)*C317-G317)&lt;='Assumptions and Catalog'!$C$51,((D317+E317)*C317-G317)*'Assumptions and Catalog'!$H$51+'Assumptions and Catalog'!$E$51+'Assumptions and Catalog'!$F$51,IF(((D317+E317)*C317-G317)&lt;='Assumptions and Catalog'!$C$52,((D317+E317)*C317-G317)*'Assumptions and Catalog'!$H$52+'Assumptions and Catalog'!$E$52+'Assumptions and Catalog'!$F$52,IF(((D317+E317)*C317-G317)&lt;='Assumptions and Catalog'!$C$53,((D317+E317)*C317-G317)*'Assumptions and Catalog'!$H$53+'Assumptions and Catalog'!$E$53+'Assumptions and Catalog'!$F$53,IF(((D317+E317)*C317-G317)&lt;='Assumptions and Catalog'!$C$54,((D317+E317)*C317-G317)*'Assumptions and Catalog'!$H$54+'Assumptions and Catalog'!$E$54+'Assumptions and Catalog'!$F$54,IF(((D317+E317)*C317-G317)&lt;='Assumptions and Catalog'!$C$55,((D317+E317)*C317-G317)*'Assumptions and Catalog'!$H$55+'Assumptions and Catalog'!$E$55+'Assumptions and Catalog'!$F$55,IF(((D317+E317)*C317-G317)&lt;='Assumptions and Catalog'!$C$56,((D317+E317)*C317-G317)*'Assumptions and Catalog'!$H$56+'Assumptions and Catalog'!$E$56+'Assumptions and Catalog'!$F$56,IF(((D317+E317)*C317-G317)&lt;='Assumptions and Catalog'!$C$57,((D317+E317)*C317-G317)*'Assumptions and Catalog'!$H$57+'Assumptions and Catalog'!$E$57+'Assumptions and Catalog'!$F$57,"Out of range")))))))),IF(((D317+E317)*C317-G317)&lt;='Assumptions and Catalog'!$C$60,((D317+E317)*C317-G317)*'Assumptions and Catalog'!$H$60+'Assumptions and Catalog'!$E$60+'Assumptions and Catalog'!$F$60,IF(((D317+E317)*C317-G317)&lt;='Assumptions and Catalog'!$C$61,((D317+E317)*C317-G317)*'Assumptions and Catalog'!$H$61+'Assumptions and Catalog'!$E$61+'Assumptions and Catalog'!$F$61,IF(((D317+E317)*C317-G317)&lt;='Assumptions and Catalog'!$C$62,((D317+E317)*C317-G317)*'Assumptions and Catalog'!$H$62+'Assumptions and Catalog'!$E$62+'Assumptions and Catalog'!$F$62,IF(((D317+E317)*C317-G317)&lt;='Assumptions and Catalog'!$C$63,((D317+E317)*C317-G317)*'Assumptions and Catalog'!$H$63+'Assumptions and Catalog'!$E$63+'Assumptions and Catalog'!$F$63,IF(((D317+E317)*C317-G317)&lt;='Assumptions and Catalog'!$C$64,((D317+E317)*C317-G317)*'Assumptions and Catalog'!$H$64+'Assumptions and Catalog'!$E$64+'Assumptions and Catalog'!$F$64,IF(((D317+E317)*C317-G317)&lt;='Assumptions and Catalog'!$C$65,((D317+E317)*C317-G317)*'Assumptions and Catalog'!$H$65+'Assumptions and Catalog'!$E$65+'Assumptions and Catalog'!$F$65,"Out of range")))))))))*(1+'Assumptions and Catalog'!$C$8)^(A317-1),0)</f>
        <v>4042.00663007027</v>
      </c>
      <c r="R317" s="5" t="n">
        <f>IF(AND('Assumptions and Catalog'!$C$19&gt;0,A317&gt;='Assumptions and Catalog'!$C$19),A317-'Assumptions and Catalog'!$C$19,A317-1)</f>
        <v>3</v>
      </c>
      <c r="S317" s="5" t="n">
        <f>F317+L317-(D317+E317)*C317-J317-K317-0</f>
        <v>0</v>
      </c>
      <c r="T317" s="5"/>
      <c r="U317" s="5"/>
    </row>
    <row r="318" ht="23.100000381469727" customHeight="1">
      <c r="A318" s="5" t="n">
        <v>14</v>
      </c>
      <c r="B318" s="5" t="n">
        <v>2</v>
      </c>
      <c r="C318" s="5" t="n">
        <f>DAY(DATE('Assumptions and Catalog'!$C$24+A318-1,B318+1,0))</f>
        <v>29</v>
      </c>
      <c r="D318" s="5" t="n">
        <f>IF(ISNUMBER(Inputs!$L$5),Inputs!$L$5*Inputs!$L$6,0)</f>
        <v>40.35</v>
      </c>
      <c r="E318" s="5" t="n">
        <f>IF(ISNUMBER(Inputs!$L$5),Inputs!$L$5-D318,0)</f>
        <v>40.35</v>
      </c>
      <c r="F318" s="5" t="n">
        <f>C$51*INDEX('Solar Production'!$D$20:$D$31,B318)*C318*(1-'Assumptions and Catalog'!$C$10)^(A318-1)</f>
        <v>1105.41344659599</v>
      </c>
      <c r="G318" s="5" t="n">
        <f>MIN(F318,D318*C318)</f>
        <v>1105.41344659599</v>
      </c>
      <c r="H318" s="5" t="n">
        <f>I318/('Assumptions and Catalog'!$C$11*'Assumptions and Catalog'!$C$12)</f>
        <v>0</v>
      </c>
      <c r="I318" s="5" t="n">
        <f>0</f>
        <v>0</v>
      </c>
      <c r="J318" s="5" t="n">
        <f>MAX(F318-G318-H318,0)</f>
        <v>0</v>
      </c>
      <c r="K318" s="5" t="n">
        <f>H318-I318</f>
        <v>0</v>
      </c>
      <c r="L318" s="5" t="n">
        <f>(D318+E318)*C318-G318-I318+0+0</f>
        <v>1234.88655340401</v>
      </c>
      <c r="M318" s="5" t="n">
        <f>IF(ISNUMBER(Inputs!$L$5),(IF(Inputs!$L$9="Actual flat rate",((D318+E318)*C318)*Inputs!$L$10,IF(Inputs!$C$9="Residential",IF(((D318+E318)*C318)&lt;='Assumptions and Catalog'!$C$50,((D318+E318)*C318)*'Assumptions and Catalog'!$H$50+'Assumptions and Catalog'!$E$50+'Assumptions and Catalog'!$F$50,IF(((D318+E318)*C318)&lt;='Assumptions and Catalog'!$C$51,((D318+E318)*C318)*'Assumptions and Catalog'!$H$51+'Assumptions and Catalog'!$E$51+'Assumptions and Catalog'!$F$51,IF(((D318+E318)*C318)&lt;='Assumptions and Catalog'!$C$52,((D318+E318)*C318)*'Assumptions and Catalog'!$H$52+'Assumptions and Catalog'!$E$52+'Assumptions and Catalog'!$F$52,IF(((D318+E318)*C318)&lt;='Assumptions and Catalog'!$C$53,((D318+E318)*C318)*'Assumptions and Catalog'!$H$53+'Assumptions and Catalog'!$E$53+'Assumptions and Catalog'!$F$53,IF(((D318+E318)*C318)&lt;='Assumptions and Catalog'!$C$54,((D318+E318)*C318)*'Assumptions and Catalog'!$H$54+'Assumptions and Catalog'!$E$54+'Assumptions and Catalog'!$F$54,IF(((D318+E318)*C318)&lt;='Assumptions and Catalog'!$C$55,((D318+E318)*C318)*'Assumptions and Catalog'!$H$55+'Assumptions and Catalog'!$E$55+'Assumptions and Catalog'!$F$55,IF(((D318+E318)*C318)&lt;='Assumptions and Catalog'!$C$56,((D318+E318)*C318)*'Assumptions and Catalog'!$H$56+'Assumptions and Catalog'!$E$56+'Assumptions and Catalog'!$F$56,IF(((D318+E318)*C318)&lt;='Assumptions and Catalog'!$C$57,((D318+E318)*C318)*'Assumptions and Catalog'!$H$57+'Assumptions and Catalog'!$E$57+'Assumptions and Catalog'!$F$57,"Out of range")))))))),IF(((D318+E318)*C318)&lt;='Assumptions and Catalog'!$C$60,((D318+E318)*C318)*'Assumptions and Catalog'!$H$60+'Assumptions and Catalog'!$E$60+'Assumptions and Catalog'!$F$60,IF(((D318+E318)*C318)&lt;='Assumptions and Catalog'!$C$61,((D318+E318)*C318)*'Assumptions and Catalog'!$H$61+'Assumptions and Catalog'!$E$61+'Assumptions and Catalog'!$F$61,IF(((D318+E318)*C318)&lt;='Assumptions and Catalog'!$C$62,((D318+E318)*C318)*'Assumptions and Catalog'!$H$62+'Assumptions and Catalog'!$E$62+'Assumptions and Catalog'!$F$62,IF(((D318+E318)*C318)&lt;='Assumptions and Catalog'!$C$63,((D318+E318)*C318)*'Assumptions and Catalog'!$H$63+'Assumptions and Catalog'!$E$63+'Assumptions and Catalog'!$F$63,IF(((D318+E318)*C318)&lt;='Assumptions and Catalog'!$C$64,((D318+E318)*C318)*'Assumptions and Catalog'!$H$64+'Assumptions and Catalog'!$E$64+'Assumptions and Catalog'!$F$64,IF(((D318+E318)*C318)&lt;='Assumptions and Catalog'!$C$65,((D318+E318)*C318)*'Assumptions and Catalog'!$H$65+'Assumptions and Catalog'!$E$65+'Assumptions and Catalog'!$F$65,"Out of range")))))))))*(1+'Assumptions and Catalog'!$C$8)^(A318-1),0)</f>
        <v>6639.646</v>
      </c>
      <c r="N318" s="5" t="n">
        <f>IF(ISNUMBER(Inputs!$L$5),(IF(Inputs!$L$9="Actual flat rate",L318*Inputs!$L$10,IF(Inputs!$C$9="Residential",IF(L318&lt;='Assumptions and Catalog'!$C$50,L318*'Assumptions and Catalog'!$H$50+'Assumptions and Catalog'!$E$50+'Assumptions and Catalog'!$F$50,IF(L318&lt;='Assumptions and Catalog'!$C$51,L318*'Assumptions and Catalog'!$H$51+'Assumptions and Catalog'!$E$51+'Assumptions and Catalog'!$F$51,IF(L318&lt;='Assumptions and Catalog'!$C$52,L318*'Assumptions and Catalog'!$H$52+'Assumptions and Catalog'!$E$52+'Assumptions and Catalog'!$F$52,IF(L318&lt;='Assumptions and Catalog'!$C$53,L318*'Assumptions and Catalog'!$H$53+'Assumptions and Catalog'!$E$53+'Assumptions and Catalog'!$F$53,IF(L318&lt;='Assumptions and Catalog'!$C$54,L318*'Assumptions and Catalog'!$H$54+'Assumptions and Catalog'!$E$54+'Assumptions and Catalog'!$F$54,IF(L318&lt;='Assumptions and Catalog'!$C$55,L318*'Assumptions and Catalog'!$H$55+'Assumptions and Catalog'!$E$55+'Assumptions and Catalog'!$F$55,IF(L318&lt;='Assumptions and Catalog'!$C$56,L318*'Assumptions and Catalog'!$H$56+'Assumptions and Catalog'!$E$56+'Assumptions and Catalog'!$F$56,IF(L318&lt;='Assumptions and Catalog'!$C$57,L318*'Assumptions and Catalog'!$H$57+'Assumptions and Catalog'!$E$57+'Assumptions and Catalog'!$F$57,"Out of range")))))))),IF(L318&lt;='Assumptions and Catalog'!$C$60,L318*'Assumptions and Catalog'!$H$60+'Assumptions and Catalog'!$E$60+'Assumptions and Catalog'!$F$60,IF(L318&lt;='Assumptions and Catalog'!$C$61,L318*'Assumptions and Catalog'!$H$61+'Assumptions and Catalog'!$E$61+'Assumptions and Catalog'!$F$61,IF(L318&lt;='Assumptions and Catalog'!$C$62,L318*'Assumptions and Catalog'!$H$62+'Assumptions and Catalog'!$E$62+'Assumptions and Catalog'!$F$62,IF(L318&lt;='Assumptions and Catalog'!$C$63,L318*'Assumptions and Catalog'!$H$63+'Assumptions and Catalog'!$E$63+'Assumptions and Catalog'!$F$63,IF(L318&lt;='Assumptions and Catalog'!$C$64,L318*'Assumptions and Catalog'!$H$64+'Assumptions and Catalog'!$E$64+'Assumptions and Catalog'!$F$64,IF(L318&lt;='Assumptions and Catalog'!$C$65,L318*'Assumptions and Catalog'!$H$65+'Assumptions and Catalog'!$E$65+'Assumptions and Catalog'!$F$65,"Out of range")))))))))*(1+'Assumptions and Catalog'!$C$8)^(A318-1),0)</f>
        <v>3522.3800805993</v>
      </c>
      <c r="O318" s="5" t="n">
        <f>M318-N318</f>
        <v>3117.2659194007</v>
      </c>
      <c r="P318" s="5" t="n">
        <f>C$55*(1-J$14)*(1-'Assumptions and Catalog'!$C$23)^R318</f>
        <v>0</v>
      </c>
      <c r="Q318" s="5" t="n">
        <f>IF(ISNUMBER(Inputs!$L$5),(IF(Inputs!$L$9="Actual flat rate",((D318+E318)*C318-G318)*Inputs!$L$10,IF(Inputs!$C$9="Residential",IF(((D318+E318)*C318-G318)&lt;='Assumptions and Catalog'!$C$50,((D318+E318)*C318-G318)*'Assumptions and Catalog'!$H$50+'Assumptions and Catalog'!$E$50+'Assumptions and Catalog'!$F$50,IF(((D318+E318)*C318-G318)&lt;='Assumptions and Catalog'!$C$51,((D318+E318)*C318-G318)*'Assumptions and Catalog'!$H$51+'Assumptions and Catalog'!$E$51+'Assumptions and Catalog'!$F$51,IF(((D318+E318)*C318-G318)&lt;='Assumptions and Catalog'!$C$52,((D318+E318)*C318-G318)*'Assumptions and Catalog'!$H$52+'Assumptions and Catalog'!$E$52+'Assumptions and Catalog'!$F$52,IF(((D318+E318)*C318-G318)&lt;='Assumptions and Catalog'!$C$53,((D318+E318)*C318-G318)*'Assumptions and Catalog'!$H$53+'Assumptions and Catalog'!$E$53+'Assumptions and Catalog'!$F$53,IF(((D318+E318)*C318-G318)&lt;='Assumptions and Catalog'!$C$54,((D318+E318)*C318-G318)*'Assumptions and Catalog'!$H$54+'Assumptions and Catalog'!$E$54+'Assumptions and Catalog'!$F$54,IF(((D318+E318)*C318-G318)&lt;='Assumptions and Catalog'!$C$55,((D318+E318)*C318-G318)*'Assumptions and Catalog'!$H$55+'Assumptions and Catalog'!$E$55+'Assumptions and Catalog'!$F$55,IF(((D318+E318)*C318-G318)&lt;='Assumptions and Catalog'!$C$56,((D318+E318)*C318-G318)*'Assumptions and Catalog'!$H$56+'Assumptions and Catalog'!$E$56+'Assumptions and Catalog'!$F$56,IF(((D318+E318)*C318-G318)&lt;='Assumptions and Catalog'!$C$57,((D318+E318)*C318-G318)*'Assumptions and Catalog'!$H$57+'Assumptions and Catalog'!$E$57+'Assumptions and Catalog'!$F$57,"Out of range")))))))),IF(((D318+E318)*C318-G318)&lt;='Assumptions and Catalog'!$C$60,((D318+E318)*C318-G318)*'Assumptions and Catalog'!$H$60+'Assumptions and Catalog'!$E$60+'Assumptions and Catalog'!$F$60,IF(((D318+E318)*C318-G318)&lt;='Assumptions and Catalog'!$C$61,((D318+E318)*C318-G318)*'Assumptions and Catalog'!$H$61+'Assumptions and Catalog'!$E$61+'Assumptions and Catalog'!$F$61,IF(((D318+E318)*C318-G318)&lt;='Assumptions and Catalog'!$C$62,((D318+E318)*C318-G318)*'Assumptions and Catalog'!$H$62+'Assumptions and Catalog'!$E$62+'Assumptions and Catalog'!$F$62,IF(((D318+E318)*C318-G318)&lt;='Assumptions and Catalog'!$C$63,((D318+E318)*C318-G318)*'Assumptions and Catalog'!$H$63+'Assumptions and Catalog'!$E$63+'Assumptions and Catalog'!$F$63,IF(((D318+E318)*C318-G318)&lt;='Assumptions and Catalog'!$C$64,((D318+E318)*C318-G318)*'Assumptions and Catalog'!$H$64+'Assumptions and Catalog'!$E$64+'Assumptions and Catalog'!$F$64,IF(((D318+E318)*C318-G318)&lt;='Assumptions and Catalog'!$C$65,((D318+E318)*C318-G318)*'Assumptions and Catalog'!$H$65+'Assumptions and Catalog'!$E$65+'Assumptions and Catalog'!$F$65,"Out of range")))))))))*(1+'Assumptions and Catalog'!$C$8)^(A318-1),0)</f>
        <v>3522.3800805993</v>
      </c>
      <c r="R318" s="5" t="n">
        <f>IF(AND('Assumptions and Catalog'!$C$19&gt;0,A318&gt;='Assumptions and Catalog'!$C$19),A318-'Assumptions and Catalog'!$C$19,A318-1)</f>
        <v>3</v>
      </c>
      <c r="S318" s="5" t="n">
        <f>F318+L318-(D318+E318)*C318-J318-K318-0</f>
        <v>0</v>
      </c>
      <c r="T318" s="5"/>
      <c r="U318" s="5"/>
    </row>
    <row r="319" ht="23.100000381469727" customHeight="1">
      <c r="A319" s="5" t="n">
        <v>14</v>
      </c>
      <c r="B319" s="5" t="n">
        <v>3</v>
      </c>
      <c r="C319" s="5" t="n">
        <f>DAY(DATE('Assumptions and Catalog'!$C$24+A319-1,B319+1,0))</f>
        <v>31</v>
      </c>
      <c r="D319" s="5" t="n">
        <f>IF(ISNUMBER(Inputs!$L$5),Inputs!$L$5*Inputs!$L$6,0)</f>
        <v>40.35</v>
      </c>
      <c r="E319" s="5" t="n">
        <f>IF(ISNUMBER(Inputs!$L$5),Inputs!$L$5-D319,0)</f>
        <v>40.35</v>
      </c>
      <c r="F319" s="5" t="n">
        <f>C$51*INDEX('Solar Production'!$D$20:$D$31,B319)*C319*(1-'Assumptions and Catalog'!$C$10)^(A319-1)</f>
        <v>1327.91542782995</v>
      </c>
      <c r="G319" s="5" t="n">
        <f>MIN(F319,D319*C319)</f>
        <v>1250.85</v>
      </c>
      <c r="H319" s="5" t="n">
        <f>I319/('Assumptions and Catalog'!$C$11*'Assumptions and Catalog'!$C$12)</f>
        <v>0</v>
      </c>
      <c r="I319" s="5" t="n">
        <f>0</f>
        <v>0</v>
      </c>
      <c r="J319" s="5" t="n">
        <f>MAX(F319-G319-H319,0)</f>
        <v>77.0654278299464</v>
      </c>
      <c r="K319" s="5" t="n">
        <f>H319-I319</f>
        <v>0</v>
      </c>
      <c r="L319" s="5" t="n">
        <f>(D319+E319)*C319-G319-I319+0+0</f>
        <v>1250.85</v>
      </c>
      <c r="M319" s="5" t="n">
        <f>IF(ISNUMBER(Inputs!$L$5),(IF(Inputs!$L$9="Actual flat rate",((D319+E319)*C319)*Inputs!$L$10,IF(Inputs!$C$9="Residential",IF(((D319+E319)*C319)&lt;='Assumptions and Catalog'!$C$50,((D319+E319)*C319)*'Assumptions and Catalog'!$H$50+'Assumptions and Catalog'!$E$50+'Assumptions and Catalog'!$F$50,IF(((D319+E319)*C319)&lt;='Assumptions and Catalog'!$C$51,((D319+E319)*C319)*'Assumptions and Catalog'!$H$51+'Assumptions and Catalog'!$E$51+'Assumptions and Catalog'!$F$51,IF(((D319+E319)*C319)&lt;='Assumptions and Catalog'!$C$52,((D319+E319)*C319)*'Assumptions and Catalog'!$H$52+'Assumptions and Catalog'!$E$52+'Assumptions and Catalog'!$F$52,IF(((D319+E319)*C319)&lt;='Assumptions and Catalog'!$C$53,((D319+E319)*C319)*'Assumptions and Catalog'!$H$53+'Assumptions and Catalog'!$E$53+'Assumptions and Catalog'!$F$53,IF(((D319+E319)*C319)&lt;='Assumptions and Catalog'!$C$54,((D319+E319)*C319)*'Assumptions and Catalog'!$H$54+'Assumptions and Catalog'!$E$54+'Assumptions and Catalog'!$F$54,IF(((D319+E319)*C319)&lt;='Assumptions and Catalog'!$C$55,((D319+E319)*C319)*'Assumptions and Catalog'!$H$55+'Assumptions and Catalog'!$E$55+'Assumptions and Catalog'!$F$55,IF(((D319+E319)*C319)&lt;='Assumptions and Catalog'!$C$56,((D319+E319)*C319)*'Assumptions and Catalog'!$H$56+'Assumptions and Catalog'!$E$56+'Assumptions and Catalog'!$F$56,IF(((D319+E319)*C319)&lt;='Assumptions and Catalog'!$C$57,((D319+E319)*C319)*'Assumptions and Catalog'!$H$57+'Assumptions and Catalog'!$E$57+'Assumptions and Catalog'!$F$57,"Out of range")))))))),IF(((D319+E319)*C319)&lt;='Assumptions and Catalog'!$C$60,((D319+E319)*C319)*'Assumptions and Catalog'!$H$60+'Assumptions and Catalog'!$E$60+'Assumptions and Catalog'!$F$60,IF(((D319+E319)*C319)&lt;='Assumptions and Catalog'!$C$61,((D319+E319)*C319)*'Assumptions and Catalog'!$H$61+'Assumptions and Catalog'!$E$61+'Assumptions and Catalog'!$F$61,IF(((D319+E319)*C319)&lt;='Assumptions and Catalog'!$C$62,((D319+E319)*C319)*'Assumptions and Catalog'!$H$62+'Assumptions and Catalog'!$E$62+'Assumptions and Catalog'!$F$62,IF(((D319+E319)*C319)&lt;='Assumptions and Catalog'!$C$63,((D319+E319)*C319)*'Assumptions and Catalog'!$H$63+'Assumptions and Catalog'!$E$63+'Assumptions and Catalog'!$F$63,IF(((D319+E319)*C319)&lt;='Assumptions and Catalog'!$C$64,((D319+E319)*C319)*'Assumptions and Catalog'!$H$64+'Assumptions and Catalog'!$E$64+'Assumptions and Catalog'!$F$64,IF(((D319+E319)*C319)&lt;='Assumptions and Catalog'!$C$65,((D319+E319)*C319)*'Assumptions and Catalog'!$H$65+'Assumptions and Catalog'!$E$65+'Assumptions and Catalog'!$F$65,"Out of range")))))))))*(1+'Assumptions and Catalog'!$C$8)^(A319-1),0)</f>
        <v>7094.794</v>
      </c>
      <c r="N319" s="5" t="n">
        <f>IF(ISNUMBER(Inputs!$L$5),(IF(Inputs!$L$9="Actual flat rate",L319*Inputs!$L$10,IF(Inputs!$C$9="Residential",IF(L319&lt;='Assumptions and Catalog'!$C$50,L319*'Assumptions and Catalog'!$H$50+'Assumptions and Catalog'!$E$50+'Assumptions and Catalog'!$F$50,IF(L319&lt;='Assumptions and Catalog'!$C$51,L319*'Assumptions and Catalog'!$H$51+'Assumptions and Catalog'!$E$51+'Assumptions and Catalog'!$F$51,IF(L319&lt;='Assumptions and Catalog'!$C$52,L319*'Assumptions and Catalog'!$H$52+'Assumptions and Catalog'!$E$52+'Assumptions and Catalog'!$F$52,IF(L319&lt;='Assumptions and Catalog'!$C$53,L319*'Assumptions and Catalog'!$H$53+'Assumptions and Catalog'!$E$53+'Assumptions and Catalog'!$F$53,IF(L319&lt;='Assumptions and Catalog'!$C$54,L319*'Assumptions and Catalog'!$H$54+'Assumptions and Catalog'!$E$54+'Assumptions and Catalog'!$F$54,IF(L319&lt;='Assumptions and Catalog'!$C$55,L319*'Assumptions and Catalog'!$H$55+'Assumptions and Catalog'!$E$55+'Assumptions and Catalog'!$F$55,IF(L319&lt;='Assumptions and Catalog'!$C$56,L319*'Assumptions and Catalog'!$H$56+'Assumptions and Catalog'!$E$56+'Assumptions and Catalog'!$F$56,IF(L319&lt;='Assumptions and Catalog'!$C$57,L319*'Assumptions and Catalog'!$H$57+'Assumptions and Catalog'!$E$57+'Assumptions and Catalog'!$F$57,"Out of range")))))))),IF(L319&lt;='Assumptions and Catalog'!$C$60,L319*'Assumptions and Catalog'!$H$60+'Assumptions and Catalog'!$E$60+'Assumptions and Catalog'!$F$60,IF(L319&lt;='Assumptions and Catalog'!$C$61,L319*'Assumptions and Catalog'!$H$61+'Assumptions and Catalog'!$E$61+'Assumptions and Catalog'!$F$61,IF(L319&lt;='Assumptions and Catalog'!$C$62,L319*'Assumptions and Catalog'!$H$62+'Assumptions and Catalog'!$E$62+'Assumptions and Catalog'!$F$62,IF(L319&lt;='Assumptions and Catalog'!$C$63,L319*'Assumptions and Catalog'!$H$63+'Assumptions and Catalog'!$E$63+'Assumptions and Catalog'!$F$63,IF(L319&lt;='Assumptions and Catalog'!$C$64,L319*'Assumptions and Catalog'!$H$64+'Assumptions and Catalog'!$E$64+'Assumptions and Catalog'!$F$64,IF(L319&lt;='Assumptions and Catalog'!$C$65,L319*'Assumptions and Catalog'!$H$65+'Assumptions and Catalog'!$E$65+'Assumptions and Catalog'!$F$65,"Out of range")))))))))*(1+'Assumptions and Catalog'!$C$8)^(A319-1),0)</f>
        <v>3567.397</v>
      </c>
      <c r="O319" s="5" t="n">
        <f>M319-N319</f>
        <v>3527.397</v>
      </c>
      <c r="P319" s="5" t="n">
        <f>C$55*(1-J$14)*(1-'Assumptions and Catalog'!$C$23)^R319</f>
        <v>0</v>
      </c>
      <c r="Q319" s="5" t="n">
        <f>IF(ISNUMBER(Inputs!$L$5),(IF(Inputs!$L$9="Actual flat rate",((D319+E319)*C319-G319)*Inputs!$L$10,IF(Inputs!$C$9="Residential",IF(((D319+E319)*C319-G319)&lt;='Assumptions and Catalog'!$C$50,((D319+E319)*C319-G319)*'Assumptions and Catalog'!$H$50+'Assumptions and Catalog'!$E$50+'Assumptions and Catalog'!$F$50,IF(((D319+E319)*C319-G319)&lt;='Assumptions and Catalog'!$C$51,((D319+E319)*C319-G319)*'Assumptions and Catalog'!$H$51+'Assumptions and Catalog'!$E$51+'Assumptions and Catalog'!$F$51,IF(((D319+E319)*C319-G319)&lt;='Assumptions and Catalog'!$C$52,((D319+E319)*C319-G319)*'Assumptions and Catalog'!$H$52+'Assumptions and Catalog'!$E$52+'Assumptions and Catalog'!$F$52,IF(((D319+E319)*C319-G319)&lt;='Assumptions and Catalog'!$C$53,((D319+E319)*C319-G319)*'Assumptions and Catalog'!$H$53+'Assumptions and Catalog'!$E$53+'Assumptions and Catalog'!$F$53,IF(((D319+E319)*C319-G319)&lt;='Assumptions and Catalog'!$C$54,((D319+E319)*C319-G319)*'Assumptions and Catalog'!$H$54+'Assumptions and Catalog'!$E$54+'Assumptions and Catalog'!$F$54,IF(((D319+E319)*C319-G319)&lt;='Assumptions and Catalog'!$C$55,((D319+E319)*C319-G319)*'Assumptions and Catalog'!$H$55+'Assumptions and Catalog'!$E$55+'Assumptions and Catalog'!$F$55,IF(((D319+E319)*C319-G319)&lt;='Assumptions and Catalog'!$C$56,((D319+E319)*C319-G319)*'Assumptions and Catalog'!$H$56+'Assumptions and Catalog'!$E$56+'Assumptions and Catalog'!$F$56,IF(((D319+E319)*C319-G319)&lt;='Assumptions and Catalog'!$C$57,((D319+E319)*C319-G319)*'Assumptions and Catalog'!$H$57+'Assumptions and Catalog'!$E$57+'Assumptions and Catalog'!$F$57,"Out of range")))))))),IF(((D319+E319)*C319-G319)&lt;='Assumptions and Catalog'!$C$60,((D319+E319)*C319-G319)*'Assumptions and Catalog'!$H$60+'Assumptions and Catalog'!$E$60+'Assumptions and Catalog'!$F$60,IF(((D319+E319)*C319-G319)&lt;='Assumptions and Catalog'!$C$61,((D319+E319)*C319-G319)*'Assumptions and Catalog'!$H$61+'Assumptions and Catalog'!$E$61+'Assumptions and Catalog'!$F$61,IF(((D319+E319)*C319-G319)&lt;='Assumptions and Catalog'!$C$62,((D319+E319)*C319-G319)*'Assumptions and Catalog'!$H$62+'Assumptions and Catalog'!$E$62+'Assumptions and Catalog'!$F$62,IF(((D319+E319)*C319-G319)&lt;='Assumptions and Catalog'!$C$63,((D319+E319)*C319-G319)*'Assumptions and Catalog'!$H$63+'Assumptions and Catalog'!$E$63+'Assumptions and Catalog'!$F$63,IF(((D319+E319)*C319-G319)&lt;='Assumptions and Catalog'!$C$64,((D319+E319)*C319-G319)*'Assumptions and Catalog'!$H$64+'Assumptions and Catalog'!$E$64+'Assumptions and Catalog'!$F$64,IF(((D319+E319)*C319-G319)&lt;='Assumptions and Catalog'!$C$65,((D319+E319)*C319-G319)*'Assumptions and Catalog'!$H$65+'Assumptions and Catalog'!$E$65+'Assumptions and Catalog'!$F$65,"Out of range")))))))))*(1+'Assumptions and Catalog'!$C$8)^(A319-1),0)</f>
        <v>3567.397</v>
      </c>
      <c r="R319" s="5" t="n">
        <f>IF(AND('Assumptions and Catalog'!$C$19&gt;0,A319&gt;='Assumptions and Catalog'!$C$19),A319-'Assumptions and Catalog'!$C$19,A319-1)</f>
        <v>3</v>
      </c>
      <c r="S319" s="5" t="n">
        <f>F319+L319-(D319+E319)*C319-J319-K319-0</f>
        <v>0</v>
      </c>
      <c r="T319" s="5"/>
      <c r="U319" s="5"/>
    </row>
    <row r="320" ht="23.100000381469727" customHeight="1">
      <c r="A320" s="5" t="n">
        <v>14</v>
      </c>
      <c r="B320" s="5" t="n">
        <v>4</v>
      </c>
      <c r="C320" s="5" t="n">
        <f>DAY(DATE('Assumptions and Catalog'!$C$24+A320-1,B320+1,0))</f>
        <v>30</v>
      </c>
      <c r="D320" s="5" t="n">
        <f>IF(ISNUMBER(Inputs!$L$5),Inputs!$L$5*Inputs!$L$6,0)</f>
        <v>40.35</v>
      </c>
      <c r="E320" s="5" t="n">
        <f>IF(ISNUMBER(Inputs!$L$5),Inputs!$L$5-D320,0)</f>
        <v>40.35</v>
      </c>
      <c r="F320" s="5" t="n">
        <f>C$51*INDEX('Solar Production'!$D$20:$D$31,B320)*C320*(1-'Assumptions and Catalog'!$C$10)^(A320-1)</f>
        <v>1326.26645797048</v>
      </c>
      <c r="G320" s="5" t="n">
        <f>MIN(F320,D320*C320)</f>
        <v>1210.5</v>
      </c>
      <c r="H320" s="5" t="n">
        <f>I320/('Assumptions and Catalog'!$C$11*'Assumptions and Catalog'!$C$12)</f>
        <v>0</v>
      </c>
      <c r="I320" s="5" t="n">
        <f>0</f>
        <v>0</v>
      </c>
      <c r="J320" s="5" t="n">
        <f>MAX(F320-G320-H320,0)</f>
        <v>115.766457970479</v>
      </c>
      <c r="K320" s="5" t="n">
        <f>H320-I320</f>
        <v>0</v>
      </c>
      <c r="L320" s="5" t="n">
        <f>(D320+E320)*C320-G320-I320+0+0</f>
        <v>1210.5</v>
      </c>
      <c r="M320" s="5" t="n">
        <f>IF(ISNUMBER(Inputs!$L$5),(IF(Inputs!$L$9="Actual flat rate",((D320+E320)*C320)*Inputs!$L$10,IF(Inputs!$C$9="Residential",IF(((D320+E320)*C320)&lt;='Assumptions and Catalog'!$C$50,((D320+E320)*C320)*'Assumptions and Catalog'!$H$50+'Assumptions and Catalog'!$E$50+'Assumptions and Catalog'!$F$50,IF(((D320+E320)*C320)&lt;='Assumptions and Catalog'!$C$51,((D320+E320)*C320)*'Assumptions and Catalog'!$H$51+'Assumptions and Catalog'!$E$51+'Assumptions and Catalog'!$F$51,IF(((D320+E320)*C320)&lt;='Assumptions and Catalog'!$C$52,((D320+E320)*C320)*'Assumptions and Catalog'!$H$52+'Assumptions and Catalog'!$E$52+'Assumptions and Catalog'!$F$52,IF(((D320+E320)*C320)&lt;='Assumptions and Catalog'!$C$53,((D320+E320)*C320)*'Assumptions and Catalog'!$H$53+'Assumptions and Catalog'!$E$53+'Assumptions and Catalog'!$F$53,IF(((D320+E320)*C320)&lt;='Assumptions and Catalog'!$C$54,((D320+E320)*C320)*'Assumptions and Catalog'!$H$54+'Assumptions and Catalog'!$E$54+'Assumptions and Catalog'!$F$54,IF(((D320+E320)*C320)&lt;='Assumptions and Catalog'!$C$55,((D320+E320)*C320)*'Assumptions and Catalog'!$H$55+'Assumptions and Catalog'!$E$55+'Assumptions and Catalog'!$F$55,IF(((D320+E320)*C320)&lt;='Assumptions and Catalog'!$C$56,((D320+E320)*C320)*'Assumptions and Catalog'!$H$56+'Assumptions and Catalog'!$E$56+'Assumptions and Catalog'!$F$56,IF(((D320+E320)*C320)&lt;='Assumptions and Catalog'!$C$57,((D320+E320)*C320)*'Assumptions and Catalog'!$H$57+'Assumptions and Catalog'!$E$57+'Assumptions and Catalog'!$F$57,"Out of range")))))))),IF(((D320+E320)*C320)&lt;='Assumptions and Catalog'!$C$60,((D320+E320)*C320)*'Assumptions and Catalog'!$H$60+'Assumptions and Catalog'!$E$60+'Assumptions and Catalog'!$F$60,IF(((D320+E320)*C320)&lt;='Assumptions and Catalog'!$C$61,((D320+E320)*C320)*'Assumptions and Catalog'!$H$61+'Assumptions and Catalog'!$E$61+'Assumptions and Catalog'!$F$61,IF(((D320+E320)*C320)&lt;='Assumptions and Catalog'!$C$62,((D320+E320)*C320)*'Assumptions and Catalog'!$H$62+'Assumptions and Catalog'!$E$62+'Assumptions and Catalog'!$F$62,IF(((D320+E320)*C320)&lt;='Assumptions and Catalog'!$C$63,((D320+E320)*C320)*'Assumptions and Catalog'!$H$63+'Assumptions and Catalog'!$E$63+'Assumptions and Catalog'!$F$63,IF(((D320+E320)*C320)&lt;='Assumptions and Catalog'!$C$64,((D320+E320)*C320)*'Assumptions and Catalog'!$H$64+'Assumptions and Catalog'!$E$64+'Assumptions and Catalog'!$F$64,IF(((D320+E320)*C320)&lt;='Assumptions and Catalog'!$C$65,((D320+E320)*C320)*'Assumptions and Catalog'!$H$65+'Assumptions and Catalog'!$E$65+'Assumptions and Catalog'!$F$65,"Out of range")))))))))*(1+'Assumptions and Catalog'!$C$8)^(A320-1),0)</f>
        <v>6867.22</v>
      </c>
      <c r="N320" s="5" t="n">
        <f>IF(ISNUMBER(Inputs!$L$5),(IF(Inputs!$L$9="Actual flat rate",L320*Inputs!$L$10,IF(Inputs!$C$9="Residential",IF(L320&lt;='Assumptions and Catalog'!$C$50,L320*'Assumptions and Catalog'!$H$50+'Assumptions and Catalog'!$E$50+'Assumptions and Catalog'!$F$50,IF(L320&lt;='Assumptions and Catalog'!$C$51,L320*'Assumptions and Catalog'!$H$51+'Assumptions and Catalog'!$E$51+'Assumptions and Catalog'!$F$51,IF(L320&lt;='Assumptions and Catalog'!$C$52,L320*'Assumptions and Catalog'!$H$52+'Assumptions and Catalog'!$E$52+'Assumptions and Catalog'!$F$52,IF(L320&lt;='Assumptions and Catalog'!$C$53,L320*'Assumptions and Catalog'!$H$53+'Assumptions and Catalog'!$E$53+'Assumptions and Catalog'!$F$53,IF(L320&lt;='Assumptions and Catalog'!$C$54,L320*'Assumptions and Catalog'!$H$54+'Assumptions and Catalog'!$E$54+'Assumptions and Catalog'!$F$54,IF(L320&lt;='Assumptions and Catalog'!$C$55,L320*'Assumptions and Catalog'!$H$55+'Assumptions and Catalog'!$E$55+'Assumptions and Catalog'!$F$55,IF(L320&lt;='Assumptions and Catalog'!$C$56,L320*'Assumptions and Catalog'!$H$56+'Assumptions and Catalog'!$E$56+'Assumptions and Catalog'!$F$56,IF(L320&lt;='Assumptions and Catalog'!$C$57,L320*'Assumptions and Catalog'!$H$57+'Assumptions and Catalog'!$E$57+'Assumptions and Catalog'!$F$57,"Out of range")))))))),IF(L320&lt;='Assumptions and Catalog'!$C$60,L320*'Assumptions and Catalog'!$H$60+'Assumptions and Catalog'!$E$60+'Assumptions and Catalog'!$F$60,IF(L320&lt;='Assumptions and Catalog'!$C$61,L320*'Assumptions and Catalog'!$H$61+'Assumptions and Catalog'!$E$61+'Assumptions and Catalog'!$F$61,IF(L320&lt;='Assumptions and Catalog'!$C$62,L320*'Assumptions and Catalog'!$H$62+'Assumptions and Catalog'!$E$62+'Assumptions and Catalog'!$F$62,IF(L320&lt;='Assumptions and Catalog'!$C$63,L320*'Assumptions and Catalog'!$H$63+'Assumptions and Catalog'!$E$63+'Assumptions and Catalog'!$F$63,IF(L320&lt;='Assumptions and Catalog'!$C$64,L320*'Assumptions and Catalog'!$H$64+'Assumptions and Catalog'!$E$64+'Assumptions and Catalog'!$F$64,IF(L320&lt;='Assumptions and Catalog'!$C$65,L320*'Assumptions and Catalog'!$H$65+'Assumptions and Catalog'!$E$65+'Assumptions and Catalog'!$F$65,"Out of range")))))))))*(1+'Assumptions and Catalog'!$C$8)^(A320-1),0)</f>
        <v>3453.61</v>
      </c>
      <c r="O320" s="5" t="n">
        <f>M320-N320</f>
        <v>3413.61</v>
      </c>
      <c r="P320" s="5" t="n">
        <f>C$55*(1-J$14)*(1-'Assumptions and Catalog'!$C$23)^R320</f>
        <v>0</v>
      </c>
      <c r="Q320" s="5" t="n">
        <f>IF(ISNUMBER(Inputs!$L$5),(IF(Inputs!$L$9="Actual flat rate",((D320+E320)*C320-G320)*Inputs!$L$10,IF(Inputs!$C$9="Residential",IF(((D320+E320)*C320-G320)&lt;='Assumptions and Catalog'!$C$50,((D320+E320)*C320-G320)*'Assumptions and Catalog'!$H$50+'Assumptions and Catalog'!$E$50+'Assumptions and Catalog'!$F$50,IF(((D320+E320)*C320-G320)&lt;='Assumptions and Catalog'!$C$51,((D320+E320)*C320-G320)*'Assumptions and Catalog'!$H$51+'Assumptions and Catalog'!$E$51+'Assumptions and Catalog'!$F$51,IF(((D320+E320)*C320-G320)&lt;='Assumptions and Catalog'!$C$52,((D320+E320)*C320-G320)*'Assumptions and Catalog'!$H$52+'Assumptions and Catalog'!$E$52+'Assumptions and Catalog'!$F$52,IF(((D320+E320)*C320-G320)&lt;='Assumptions and Catalog'!$C$53,((D320+E320)*C320-G320)*'Assumptions and Catalog'!$H$53+'Assumptions and Catalog'!$E$53+'Assumptions and Catalog'!$F$53,IF(((D320+E320)*C320-G320)&lt;='Assumptions and Catalog'!$C$54,((D320+E320)*C320-G320)*'Assumptions and Catalog'!$H$54+'Assumptions and Catalog'!$E$54+'Assumptions and Catalog'!$F$54,IF(((D320+E320)*C320-G320)&lt;='Assumptions and Catalog'!$C$55,((D320+E320)*C320-G320)*'Assumptions and Catalog'!$H$55+'Assumptions and Catalog'!$E$55+'Assumptions and Catalog'!$F$55,IF(((D320+E320)*C320-G320)&lt;='Assumptions and Catalog'!$C$56,((D320+E320)*C320-G320)*'Assumptions and Catalog'!$H$56+'Assumptions and Catalog'!$E$56+'Assumptions and Catalog'!$F$56,IF(((D320+E320)*C320-G320)&lt;='Assumptions and Catalog'!$C$57,((D320+E320)*C320-G320)*'Assumptions and Catalog'!$H$57+'Assumptions and Catalog'!$E$57+'Assumptions and Catalog'!$F$57,"Out of range")))))))),IF(((D320+E320)*C320-G320)&lt;='Assumptions and Catalog'!$C$60,((D320+E320)*C320-G320)*'Assumptions and Catalog'!$H$60+'Assumptions and Catalog'!$E$60+'Assumptions and Catalog'!$F$60,IF(((D320+E320)*C320-G320)&lt;='Assumptions and Catalog'!$C$61,((D320+E320)*C320-G320)*'Assumptions and Catalog'!$H$61+'Assumptions and Catalog'!$E$61+'Assumptions and Catalog'!$F$61,IF(((D320+E320)*C320-G320)&lt;='Assumptions and Catalog'!$C$62,((D320+E320)*C320-G320)*'Assumptions and Catalog'!$H$62+'Assumptions and Catalog'!$E$62+'Assumptions and Catalog'!$F$62,IF(((D320+E320)*C320-G320)&lt;='Assumptions and Catalog'!$C$63,((D320+E320)*C320-G320)*'Assumptions and Catalog'!$H$63+'Assumptions and Catalog'!$E$63+'Assumptions and Catalog'!$F$63,IF(((D320+E320)*C320-G320)&lt;='Assumptions and Catalog'!$C$64,((D320+E320)*C320-G320)*'Assumptions and Catalog'!$H$64+'Assumptions and Catalog'!$E$64+'Assumptions and Catalog'!$F$64,IF(((D320+E320)*C320-G320)&lt;='Assumptions and Catalog'!$C$65,((D320+E320)*C320-G320)*'Assumptions and Catalog'!$H$65+'Assumptions and Catalog'!$E$65+'Assumptions and Catalog'!$F$65,"Out of range")))))))))*(1+'Assumptions and Catalog'!$C$8)^(A320-1),0)</f>
        <v>3453.61</v>
      </c>
      <c r="R320" s="5" t="n">
        <f>IF(AND('Assumptions and Catalog'!$C$19&gt;0,A320&gt;='Assumptions and Catalog'!$C$19),A320-'Assumptions and Catalog'!$C$19,A320-1)</f>
        <v>3</v>
      </c>
      <c r="S320" s="5" t="n">
        <f>F320+L320-(D320+E320)*C320-J320-K320-0</f>
        <v>0</v>
      </c>
      <c r="T320" s="5"/>
      <c r="U320" s="5"/>
    </row>
    <row r="321" ht="23.100000381469727" customHeight="1">
      <c r="A321" s="5" t="n">
        <v>14</v>
      </c>
      <c r="B321" s="5" t="n">
        <v>5</v>
      </c>
      <c r="C321" s="5" t="n">
        <f>DAY(DATE('Assumptions and Catalog'!$C$24+A321-1,B321+1,0))</f>
        <v>31</v>
      </c>
      <c r="D321" s="5" t="n">
        <f>IF(ISNUMBER(Inputs!$L$5),Inputs!$L$5*Inputs!$L$6,0)</f>
        <v>40.35</v>
      </c>
      <c r="E321" s="5" t="n">
        <f>IF(ISNUMBER(Inputs!$L$5),Inputs!$L$5-D321,0)</f>
        <v>40.35</v>
      </c>
      <c r="F321" s="5" t="n">
        <f>C$51*INDEX('Solar Production'!$D$20:$D$31,B321)*C321*(1-'Assumptions and Catalog'!$C$10)^(A321-1)</f>
        <v>1341.60187766354</v>
      </c>
      <c r="G321" s="5" t="n">
        <f>MIN(F321,D321*C321)</f>
        <v>1250.85</v>
      </c>
      <c r="H321" s="5" t="n">
        <f>I321/('Assumptions and Catalog'!$C$11*'Assumptions and Catalog'!$C$12)</f>
        <v>0</v>
      </c>
      <c r="I321" s="5" t="n">
        <f>0</f>
        <v>0</v>
      </c>
      <c r="J321" s="5" t="n">
        <f>MAX(F321-G321-H321,0)</f>
        <v>90.751877663535</v>
      </c>
      <c r="K321" s="5" t="n">
        <f>H321-I321</f>
        <v>0</v>
      </c>
      <c r="L321" s="5" t="n">
        <f>(D321+E321)*C321-G321-I321+0+0</f>
        <v>1250.85</v>
      </c>
      <c r="M321" s="5" t="n">
        <f>IF(ISNUMBER(Inputs!$L$5),(IF(Inputs!$L$9="Actual flat rate",((D321+E321)*C321)*Inputs!$L$10,IF(Inputs!$C$9="Residential",IF(((D321+E321)*C321)&lt;='Assumptions and Catalog'!$C$50,((D321+E321)*C321)*'Assumptions and Catalog'!$H$50+'Assumptions and Catalog'!$E$50+'Assumptions and Catalog'!$F$50,IF(((D321+E321)*C321)&lt;='Assumptions and Catalog'!$C$51,((D321+E321)*C321)*'Assumptions and Catalog'!$H$51+'Assumptions and Catalog'!$E$51+'Assumptions and Catalog'!$F$51,IF(((D321+E321)*C321)&lt;='Assumptions and Catalog'!$C$52,((D321+E321)*C321)*'Assumptions and Catalog'!$H$52+'Assumptions and Catalog'!$E$52+'Assumptions and Catalog'!$F$52,IF(((D321+E321)*C321)&lt;='Assumptions and Catalog'!$C$53,((D321+E321)*C321)*'Assumptions and Catalog'!$H$53+'Assumptions and Catalog'!$E$53+'Assumptions and Catalog'!$F$53,IF(((D321+E321)*C321)&lt;='Assumptions and Catalog'!$C$54,((D321+E321)*C321)*'Assumptions and Catalog'!$H$54+'Assumptions and Catalog'!$E$54+'Assumptions and Catalog'!$F$54,IF(((D321+E321)*C321)&lt;='Assumptions and Catalog'!$C$55,((D321+E321)*C321)*'Assumptions and Catalog'!$H$55+'Assumptions and Catalog'!$E$55+'Assumptions and Catalog'!$F$55,IF(((D321+E321)*C321)&lt;='Assumptions and Catalog'!$C$56,((D321+E321)*C321)*'Assumptions and Catalog'!$H$56+'Assumptions and Catalog'!$E$56+'Assumptions and Catalog'!$F$56,IF(((D321+E321)*C321)&lt;='Assumptions and Catalog'!$C$57,((D321+E321)*C321)*'Assumptions and Catalog'!$H$57+'Assumptions and Catalog'!$E$57+'Assumptions and Catalog'!$F$57,"Out of range")))))))),IF(((D321+E321)*C321)&lt;='Assumptions and Catalog'!$C$60,((D321+E321)*C321)*'Assumptions and Catalog'!$H$60+'Assumptions and Catalog'!$E$60+'Assumptions and Catalog'!$F$60,IF(((D321+E321)*C321)&lt;='Assumptions and Catalog'!$C$61,((D321+E321)*C321)*'Assumptions and Catalog'!$H$61+'Assumptions and Catalog'!$E$61+'Assumptions and Catalog'!$F$61,IF(((D321+E321)*C321)&lt;='Assumptions and Catalog'!$C$62,((D321+E321)*C321)*'Assumptions and Catalog'!$H$62+'Assumptions and Catalog'!$E$62+'Assumptions and Catalog'!$F$62,IF(((D321+E321)*C321)&lt;='Assumptions and Catalog'!$C$63,((D321+E321)*C321)*'Assumptions and Catalog'!$H$63+'Assumptions and Catalog'!$E$63+'Assumptions and Catalog'!$F$63,IF(((D321+E321)*C321)&lt;='Assumptions and Catalog'!$C$64,((D321+E321)*C321)*'Assumptions and Catalog'!$H$64+'Assumptions and Catalog'!$E$64+'Assumptions and Catalog'!$F$64,IF(((D321+E321)*C321)&lt;='Assumptions and Catalog'!$C$65,((D321+E321)*C321)*'Assumptions and Catalog'!$H$65+'Assumptions and Catalog'!$E$65+'Assumptions and Catalog'!$F$65,"Out of range")))))))))*(1+'Assumptions and Catalog'!$C$8)^(A321-1),0)</f>
        <v>7094.794</v>
      </c>
      <c r="N321" s="5" t="n">
        <f>IF(ISNUMBER(Inputs!$L$5),(IF(Inputs!$L$9="Actual flat rate",L321*Inputs!$L$10,IF(Inputs!$C$9="Residential",IF(L321&lt;='Assumptions and Catalog'!$C$50,L321*'Assumptions and Catalog'!$H$50+'Assumptions and Catalog'!$E$50+'Assumptions and Catalog'!$F$50,IF(L321&lt;='Assumptions and Catalog'!$C$51,L321*'Assumptions and Catalog'!$H$51+'Assumptions and Catalog'!$E$51+'Assumptions and Catalog'!$F$51,IF(L321&lt;='Assumptions and Catalog'!$C$52,L321*'Assumptions and Catalog'!$H$52+'Assumptions and Catalog'!$E$52+'Assumptions and Catalog'!$F$52,IF(L321&lt;='Assumptions and Catalog'!$C$53,L321*'Assumptions and Catalog'!$H$53+'Assumptions and Catalog'!$E$53+'Assumptions and Catalog'!$F$53,IF(L321&lt;='Assumptions and Catalog'!$C$54,L321*'Assumptions and Catalog'!$H$54+'Assumptions and Catalog'!$E$54+'Assumptions and Catalog'!$F$54,IF(L321&lt;='Assumptions and Catalog'!$C$55,L321*'Assumptions and Catalog'!$H$55+'Assumptions and Catalog'!$E$55+'Assumptions and Catalog'!$F$55,IF(L321&lt;='Assumptions and Catalog'!$C$56,L321*'Assumptions and Catalog'!$H$56+'Assumptions and Catalog'!$E$56+'Assumptions and Catalog'!$F$56,IF(L321&lt;='Assumptions and Catalog'!$C$57,L321*'Assumptions and Catalog'!$H$57+'Assumptions and Catalog'!$E$57+'Assumptions and Catalog'!$F$57,"Out of range")))))))),IF(L321&lt;='Assumptions and Catalog'!$C$60,L321*'Assumptions and Catalog'!$H$60+'Assumptions and Catalog'!$E$60+'Assumptions and Catalog'!$F$60,IF(L321&lt;='Assumptions and Catalog'!$C$61,L321*'Assumptions and Catalog'!$H$61+'Assumptions and Catalog'!$E$61+'Assumptions and Catalog'!$F$61,IF(L321&lt;='Assumptions and Catalog'!$C$62,L321*'Assumptions and Catalog'!$H$62+'Assumptions and Catalog'!$E$62+'Assumptions and Catalog'!$F$62,IF(L321&lt;='Assumptions and Catalog'!$C$63,L321*'Assumptions and Catalog'!$H$63+'Assumptions and Catalog'!$E$63+'Assumptions and Catalog'!$F$63,IF(L321&lt;='Assumptions and Catalog'!$C$64,L321*'Assumptions and Catalog'!$H$64+'Assumptions and Catalog'!$E$64+'Assumptions and Catalog'!$F$64,IF(L321&lt;='Assumptions and Catalog'!$C$65,L321*'Assumptions and Catalog'!$H$65+'Assumptions and Catalog'!$E$65+'Assumptions and Catalog'!$F$65,"Out of range")))))))))*(1+'Assumptions and Catalog'!$C$8)^(A321-1),0)</f>
        <v>3567.397</v>
      </c>
      <c r="O321" s="5" t="n">
        <f>M321-N321</f>
        <v>3527.397</v>
      </c>
      <c r="P321" s="5" t="n">
        <f>C$55*(1-J$14)*(1-'Assumptions and Catalog'!$C$23)^R321</f>
        <v>0</v>
      </c>
      <c r="Q321" s="5" t="n">
        <f>IF(ISNUMBER(Inputs!$L$5),(IF(Inputs!$L$9="Actual flat rate",((D321+E321)*C321-G321)*Inputs!$L$10,IF(Inputs!$C$9="Residential",IF(((D321+E321)*C321-G321)&lt;='Assumptions and Catalog'!$C$50,((D321+E321)*C321-G321)*'Assumptions and Catalog'!$H$50+'Assumptions and Catalog'!$E$50+'Assumptions and Catalog'!$F$50,IF(((D321+E321)*C321-G321)&lt;='Assumptions and Catalog'!$C$51,((D321+E321)*C321-G321)*'Assumptions and Catalog'!$H$51+'Assumptions and Catalog'!$E$51+'Assumptions and Catalog'!$F$51,IF(((D321+E321)*C321-G321)&lt;='Assumptions and Catalog'!$C$52,((D321+E321)*C321-G321)*'Assumptions and Catalog'!$H$52+'Assumptions and Catalog'!$E$52+'Assumptions and Catalog'!$F$52,IF(((D321+E321)*C321-G321)&lt;='Assumptions and Catalog'!$C$53,((D321+E321)*C321-G321)*'Assumptions and Catalog'!$H$53+'Assumptions and Catalog'!$E$53+'Assumptions and Catalog'!$F$53,IF(((D321+E321)*C321-G321)&lt;='Assumptions and Catalog'!$C$54,((D321+E321)*C321-G321)*'Assumptions and Catalog'!$H$54+'Assumptions and Catalog'!$E$54+'Assumptions and Catalog'!$F$54,IF(((D321+E321)*C321-G321)&lt;='Assumptions and Catalog'!$C$55,((D321+E321)*C321-G321)*'Assumptions and Catalog'!$H$55+'Assumptions and Catalog'!$E$55+'Assumptions and Catalog'!$F$55,IF(((D321+E321)*C321-G321)&lt;='Assumptions and Catalog'!$C$56,((D321+E321)*C321-G321)*'Assumptions and Catalog'!$H$56+'Assumptions and Catalog'!$E$56+'Assumptions and Catalog'!$F$56,IF(((D321+E321)*C321-G321)&lt;='Assumptions and Catalog'!$C$57,((D321+E321)*C321-G321)*'Assumptions and Catalog'!$H$57+'Assumptions and Catalog'!$E$57+'Assumptions and Catalog'!$F$57,"Out of range")))))))),IF(((D321+E321)*C321-G321)&lt;='Assumptions and Catalog'!$C$60,((D321+E321)*C321-G321)*'Assumptions and Catalog'!$H$60+'Assumptions and Catalog'!$E$60+'Assumptions and Catalog'!$F$60,IF(((D321+E321)*C321-G321)&lt;='Assumptions and Catalog'!$C$61,((D321+E321)*C321-G321)*'Assumptions and Catalog'!$H$61+'Assumptions and Catalog'!$E$61+'Assumptions and Catalog'!$F$61,IF(((D321+E321)*C321-G321)&lt;='Assumptions and Catalog'!$C$62,((D321+E321)*C321-G321)*'Assumptions and Catalog'!$H$62+'Assumptions and Catalog'!$E$62+'Assumptions and Catalog'!$F$62,IF(((D321+E321)*C321-G321)&lt;='Assumptions and Catalog'!$C$63,((D321+E321)*C321-G321)*'Assumptions and Catalog'!$H$63+'Assumptions and Catalog'!$E$63+'Assumptions and Catalog'!$F$63,IF(((D321+E321)*C321-G321)&lt;='Assumptions and Catalog'!$C$64,((D321+E321)*C321-G321)*'Assumptions and Catalog'!$H$64+'Assumptions and Catalog'!$E$64+'Assumptions and Catalog'!$F$64,IF(((D321+E321)*C321-G321)&lt;='Assumptions and Catalog'!$C$65,((D321+E321)*C321-G321)*'Assumptions and Catalog'!$H$65+'Assumptions and Catalog'!$E$65+'Assumptions and Catalog'!$F$65,"Out of range")))))))))*(1+'Assumptions and Catalog'!$C$8)^(A321-1),0)</f>
        <v>3567.397</v>
      </c>
      <c r="R321" s="5" t="n">
        <f>IF(AND('Assumptions and Catalog'!$C$19&gt;0,A321&gt;='Assumptions and Catalog'!$C$19),A321-'Assumptions and Catalog'!$C$19,A321-1)</f>
        <v>3</v>
      </c>
      <c r="S321" s="5" t="n">
        <f>F321+L321-(D321+E321)*C321-J321-K321-0</f>
        <v>0</v>
      </c>
      <c r="T321" s="5"/>
      <c r="U321" s="5"/>
    </row>
    <row r="322" ht="23.100000381469727" customHeight="1">
      <c r="A322" s="5" t="n">
        <v>14</v>
      </c>
      <c r="B322" s="5" t="n">
        <v>6</v>
      </c>
      <c r="C322" s="5" t="n">
        <f>DAY(DATE('Assumptions and Catalog'!$C$24+A322-1,B322+1,0))</f>
        <v>30</v>
      </c>
      <c r="D322" s="5" t="n">
        <f>IF(ISNUMBER(Inputs!$L$5),Inputs!$L$5*Inputs!$L$6,0)</f>
        <v>40.35</v>
      </c>
      <c r="E322" s="5" t="n">
        <f>IF(ISNUMBER(Inputs!$L$5),Inputs!$L$5-D322,0)</f>
        <v>40.35</v>
      </c>
      <c r="F322" s="5" t="n">
        <f>C$51*INDEX('Solar Production'!$D$20:$D$31,B322)*C322*(1-'Assumptions and Catalog'!$C$10)^(A322-1)</f>
        <v>1307.79799554443</v>
      </c>
      <c r="G322" s="5" t="n">
        <f>MIN(F322,D322*C322)</f>
        <v>1210.5</v>
      </c>
      <c r="H322" s="5" t="n">
        <f>I322/('Assumptions and Catalog'!$C$11*'Assumptions and Catalog'!$C$12)</f>
        <v>0</v>
      </c>
      <c r="I322" s="5" t="n">
        <f>0</f>
        <v>0</v>
      </c>
      <c r="J322" s="5" t="n">
        <f>MAX(F322-G322-H322,0)</f>
        <v>97.2979955444318</v>
      </c>
      <c r="K322" s="5" t="n">
        <f>H322-I322</f>
        <v>0</v>
      </c>
      <c r="L322" s="5" t="n">
        <f>(D322+E322)*C322-G322-I322+0+0</f>
        <v>1210.5</v>
      </c>
      <c r="M322" s="5" t="n">
        <f>IF(ISNUMBER(Inputs!$L$5),(IF(Inputs!$L$9="Actual flat rate",((D322+E322)*C322)*Inputs!$L$10,IF(Inputs!$C$9="Residential",IF(((D322+E322)*C322)&lt;='Assumptions and Catalog'!$C$50,((D322+E322)*C322)*'Assumptions and Catalog'!$H$50+'Assumptions and Catalog'!$E$50+'Assumptions and Catalog'!$F$50,IF(((D322+E322)*C322)&lt;='Assumptions and Catalog'!$C$51,((D322+E322)*C322)*'Assumptions and Catalog'!$H$51+'Assumptions and Catalog'!$E$51+'Assumptions and Catalog'!$F$51,IF(((D322+E322)*C322)&lt;='Assumptions and Catalog'!$C$52,((D322+E322)*C322)*'Assumptions and Catalog'!$H$52+'Assumptions and Catalog'!$E$52+'Assumptions and Catalog'!$F$52,IF(((D322+E322)*C322)&lt;='Assumptions and Catalog'!$C$53,((D322+E322)*C322)*'Assumptions and Catalog'!$H$53+'Assumptions and Catalog'!$E$53+'Assumptions and Catalog'!$F$53,IF(((D322+E322)*C322)&lt;='Assumptions and Catalog'!$C$54,((D322+E322)*C322)*'Assumptions and Catalog'!$H$54+'Assumptions and Catalog'!$E$54+'Assumptions and Catalog'!$F$54,IF(((D322+E322)*C322)&lt;='Assumptions and Catalog'!$C$55,((D322+E322)*C322)*'Assumptions and Catalog'!$H$55+'Assumptions and Catalog'!$E$55+'Assumptions and Catalog'!$F$55,IF(((D322+E322)*C322)&lt;='Assumptions and Catalog'!$C$56,((D322+E322)*C322)*'Assumptions and Catalog'!$H$56+'Assumptions and Catalog'!$E$56+'Assumptions and Catalog'!$F$56,IF(((D322+E322)*C322)&lt;='Assumptions and Catalog'!$C$57,((D322+E322)*C322)*'Assumptions and Catalog'!$H$57+'Assumptions and Catalog'!$E$57+'Assumptions and Catalog'!$F$57,"Out of range")))))))),IF(((D322+E322)*C322)&lt;='Assumptions and Catalog'!$C$60,((D322+E322)*C322)*'Assumptions and Catalog'!$H$60+'Assumptions and Catalog'!$E$60+'Assumptions and Catalog'!$F$60,IF(((D322+E322)*C322)&lt;='Assumptions and Catalog'!$C$61,((D322+E322)*C322)*'Assumptions and Catalog'!$H$61+'Assumptions and Catalog'!$E$61+'Assumptions and Catalog'!$F$61,IF(((D322+E322)*C322)&lt;='Assumptions and Catalog'!$C$62,((D322+E322)*C322)*'Assumptions and Catalog'!$H$62+'Assumptions and Catalog'!$E$62+'Assumptions and Catalog'!$F$62,IF(((D322+E322)*C322)&lt;='Assumptions and Catalog'!$C$63,((D322+E322)*C322)*'Assumptions and Catalog'!$H$63+'Assumptions and Catalog'!$E$63+'Assumptions and Catalog'!$F$63,IF(((D322+E322)*C322)&lt;='Assumptions and Catalog'!$C$64,((D322+E322)*C322)*'Assumptions and Catalog'!$H$64+'Assumptions and Catalog'!$E$64+'Assumptions and Catalog'!$F$64,IF(((D322+E322)*C322)&lt;='Assumptions and Catalog'!$C$65,((D322+E322)*C322)*'Assumptions and Catalog'!$H$65+'Assumptions and Catalog'!$E$65+'Assumptions and Catalog'!$F$65,"Out of range")))))))))*(1+'Assumptions and Catalog'!$C$8)^(A322-1),0)</f>
        <v>6867.22</v>
      </c>
      <c r="N322" s="5" t="n">
        <f>IF(ISNUMBER(Inputs!$L$5),(IF(Inputs!$L$9="Actual flat rate",L322*Inputs!$L$10,IF(Inputs!$C$9="Residential",IF(L322&lt;='Assumptions and Catalog'!$C$50,L322*'Assumptions and Catalog'!$H$50+'Assumptions and Catalog'!$E$50+'Assumptions and Catalog'!$F$50,IF(L322&lt;='Assumptions and Catalog'!$C$51,L322*'Assumptions and Catalog'!$H$51+'Assumptions and Catalog'!$E$51+'Assumptions and Catalog'!$F$51,IF(L322&lt;='Assumptions and Catalog'!$C$52,L322*'Assumptions and Catalog'!$H$52+'Assumptions and Catalog'!$E$52+'Assumptions and Catalog'!$F$52,IF(L322&lt;='Assumptions and Catalog'!$C$53,L322*'Assumptions and Catalog'!$H$53+'Assumptions and Catalog'!$E$53+'Assumptions and Catalog'!$F$53,IF(L322&lt;='Assumptions and Catalog'!$C$54,L322*'Assumptions and Catalog'!$H$54+'Assumptions and Catalog'!$E$54+'Assumptions and Catalog'!$F$54,IF(L322&lt;='Assumptions and Catalog'!$C$55,L322*'Assumptions and Catalog'!$H$55+'Assumptions and Catalog'!$E$55+'Assumptions and Catalog'!$F$55,IF(L322&lt;='Assumptions and Catalog'!$C$56,L322*'Assumptions and Catalog'!$H$56+'Assumptions and Catalog'!$E$56+'Assumptions and Catalog'!$F$56,IF(L322&lt;='Assumptions and Catalog'!$C$57,L322*'Assumptions and Catalog'!$H$57+'Assumptions and Catalog'!$E$57+'Assumptions and Catalog'!$F$57,"Out of range")))))))),IF(L322&lt;='Assumptions and Catalog'!$C$60,L322*'Assumptions and Catalog'!$H$60+'Assumptions and Catalog'!$E$60+'Assumptions and Catalog'!$F$60,IF(L322&lt;='Assumptions and Catalog'!$C$61,L322*'Assumptions and Catalog'!$H$61+'Assumptions and Catalog'!$E$61+'Assumptions and Catalog'!$F$61,IF(L322&lt;='Assumptions and Catalog'!$C$62,L322*'Assumptions and Catalog'!$H$62+'Assumptions and Catalog'!$E$62+'Assumptions and Catalog'!$F$62,IF(L322&lt;='Assumptions and Catalog'!$C$63,L322*'Assumptions and Catalog'!$H$63+'Assumptions and Catalog'!$E$63+'Assumptions and Catalog'!$F$63,IF(L322&lt;='Assumptions and Catalog'!$C$64,L322*'Assumptions and Catalog'!$H$64+'Assumptions and Catalog'!$E$64+'Assumptions and Catalog'!$F$64,IF(L322&lt;='Assumptions and Catalog'!$C$65,L322*'Assumptions and Catalog'!$H$65+'Assumptions and Catalog'!$E$65+'Assumptions and Catalog'!$F$65,"Out of range")))))))))*(1+'Assumptions and Catalog'!$C$8)^(A322-1),0)</f>
        <v>3453.61</v>
      </c>
      <c r="O322" s="5" t="n">
        <f>M322-N322</f>
        <v>3413.61</v>
      </c>
      <c r="P322" s="5" t="n">
        <f>C$55*(1-J$14)*(1-'Assumptions and Catalog'!$C$23)^R322</f>
        <v>0</v>
      </c>
      <c r="Q322" s="5" t="n">
        <f>IF(ISNUMBER(Inputs!$L$5),(IF(Inputs!$L$9="Actual flat rate",((D322+E322)*C322-G322)*Inputs!$L$10,IF(Inputs!$C$9="Residential",IF(((D322+E322)*C322-G322)&lt;='Assumptions and Catalog'!$C$50,((D322+E322)*C322-G322)*'Assumptions and Catalog'!$H$50+'Assumptions and Catalog'!$E$50+'Assumptions and Catalog'!$F$50,IF(((D322+E322)*C322-G322)&lt;='Assumptions and Catalog'!$C$51,((D322+E322)*C322-G322)*'Assumptions and Catalog'!$H$51+'Assumptions and Catalog'!$E$51+'Assumptions and Catalog'!$F$51,IF(((D322+E322)*C322-G322)&lt;='Assumptions and Catalog'!$C$52,((D322+E322)*C322-G322)*'Assumptions and Catalog'!$H$52+'Assumptions and Catalog'!$E$52+'Assumptions and Catalog'!$F$52,IF(((D322+E322)*C322-G322)&lt;='Assumptions and Catalog'!$C$53,((D322+E322)*C322-G322)*'Assumptions and Catalog'!$H$53+'Assumptions and Catalog'!$E$53+'Assumptions and Catalog'!$F$53,IF(((D322+E322)*C322-G322)&lt;='Assumptions and Catalog'!$C$54,((D322+E322)*C322-G322)*'Assumptions and Catalog'!$H$54+'Assumptions and Catalog'!$E$54+'Assumptions and Catalog'!$F$54,IF(((D322+E322)*C322-G322)&lt;='Assumptions and Catalog'!$C$55,((D322+E322)*C322-G322)*'Assumptions and Catalog'!$H$55+'Assumptions and Catalog'!$E$55+'Assumptions and Catalog'!$F$55,IF(((D322+E322)*C322-G322)&lt;='Assumptions and Catalog'!$C$56,((D322+E322)*C322-G322)*'Assumptions and Catalog'!$H$56+'Assumptions and Catalog'!$E$56+'Assumptions and Catalog'!$F$56,IF(((D322+E322)*C322-G322)&lt;='Assumptions and Catalog'!$C$57,((D322+E322)*C322-G322)*'Assumptions and Catalog'!$H$57+'Assumptions and Catalog'!$E$57+'Assumptions and Catalog'!$F$57,"Out of range")))))))),IF(((D322+E322)*C322-G322)&lt;='Assumptions and Catalog'!$C$60,((D322+E322)*C322-G322)*'Assumptions and Catalog'!$H$60+'Assumptions and Catalog'!$E$60+'Assumptions and Catalog'!$F$60,IF(((D322+E322)*C322-G322)&lt;='Assumptions and Catalog'!$C$61,((D322+E322)*C322-G322)*'Assumptions and Catalog'!$H$61+'Assumptions and Catalog'!$E$61+'Assumptions and Catalog'!$F$61,IF(((D322+E322)*C322-G322)&lt;='Assumptions and Catalog'!$C$62,((D322+E322)*C322-G322)*'Assumptions and Catalog'!$H$62+'Assumptions and Catalog'!$E$62+'Assumptions and Catalog'!$F$62,IF(((D322+E322)*C322-G322)&lt;='Assumptions and Catalog'!$C$63,((D322+E322)*C322-G322)*'Assumptions and Catalog'!$H$63+'Assumptions and Catalog'!$E$63+'Assumptions and Catalog'!$F$63,IF(((D322+E322)*C322-G322)&lt;='Assumptions and Catalog'!$C$64,((D322+E322)*C322-G322)*'Assumptions and Catalog'!$H$64+'Assumptions and Catalog'!$E$64+'Assumptions and Catalog'!$F$64,IF(((D322+E322)*C322-G322)&lt;='Assumptions and Catalog'!$C$65,((D322+E322)*C322-G322)*'Assumptions and Catalog'!$H$65+'Assumptions and Catalog'!$E$65+'Assumptions and Catalog'!$F$65,"Out of range")))))))))*(1+'Assumptions and Catalog'!$C$8)^(A322-1),0)</f>
        <v>3453.61</v>
      </c>
      <c r="R322" s="5" t="n">
        <f>IF(AND('Assumptions and Catalog'!$C$19&gt;0,A322&gt;='Assumptions and Catalog'!$C$19),A322-'Assumptions and Catalog'!$C$19,A322-1)</f>
        <v>3</v>
      </c>
      <c r="S322" s="5" t="n">
        <f>F322+L322-(D322+E322)*C322-J322-K322-0</f>
        <v>0</v>
      </c>
      <c r="T322" s="5"/>
      <c r="U322" s="5"/>
    </row>
    <row r="323" ht="23.100000381469727" customHeight="1">
      <c r="A323" s="5" t="n">
        <v>14</v>
      </c>
      <c r="B323" s="5" t="n">
        <v>7</v>
      </c>
      <c r="C323" s="5" t="n">
        <f>DAY(DATE('Assumptions and Catalog'!$C$24+A323-1,B323+1,0))</f>
        <v>31</v>
      </c>
      <c r="D323" s="5" t="n">
        <f>IF(ISNUMBER(Inputs!$L$5),Inputs!$L$5*Inputs!$L$6,0)</f>
        <v>40.35</v>
      </c>
      <c r="E323" s="5" t="n">
        <f>IF(ISNUMBER(Inputs!$L$5),Inputs!$L$5-D323,0)</f>
        <v>40.35</v>
      </c>
      <c r="F323" s="5" t="n">
        <f>C$51*INDEX('Solar Production'!$D$20:$D$31,B323)*C323*(1-'Assumptions and Catalog'!$C$10)^(A323-1)</f>
        <v>1357.59688530038</v>
      </c>
      <c r="G323" s="5" t="n">
        <f>MIN(F323,D323*C323)</f>
        <v>1250.85</v>
      </c>
      <c r="H323" s="5" t="n">
        <f>I323/('Assumptions and Catalog'!$C$11*'Assumptions and Catalog'!$C$12)</f>
        <v>0</v>
      </c>
      <c r="I323" s="5" t="n">
        <f>0</f>
        <v>0</v>
      </c>
      <c r="J323" s="5" t="n">
        <f>MAX(F323-G323-H323,0)</f>
        <v>106.746885300379</v>
      </c>
      <c r="K323" s="5" t="n">
        <f>H323-I323</f>
        <v>0</v>
      </c>
      <c r="L323" s="5" t="n">
        <f>(D323+E323)*C323-G323-I323+0+0</f>
        <v>1250.85</v>
      </c>
      <c r="M323" s="5" t="n">
        <f>IF(ISNUMBER(Inputs!$L$5),(IF(Inputs!$L$9="Actual flat rate",((D323+E323)*C323)*Inputs!$L$10,IF(Inputs!$C$9="Residential",IF(((D323+E323)*C323)&lt;='Assumptions and Catalog'!$C$50,((D323+E323)*C323)*'Assumptions and Catalog'!$H$50+'Assumptions and Catalog'!$E$50+'Assumptions and Catalog'!$F$50,IF(((D323+E323)*C323)&lt;='Assumptions and Catalog'!$C$51,((D323+E323)*C323)*'Assumptions and Catalog'!$H$51+'Assumptions and Catalog'!$E$51+'Assumptions and Catalog'!$F$51,IF(((D323+E323)*C323)&lt;='Assumptions and Catalog'!$C$52,((D323+E323)*C323)*'Assumptions and Catalog'!$H$52+'Assumptions and Catalog'!$E$52+'Assumptions and Catalog'!$F$52,IF(((D323+E323)*C323)&lt;='Assumptions and Catalog'!$C$53,((D323+E323)*C323)*'Assumptions and Catalog'!$H$53+'Assumptions and Catalog'!$E$53+'Assumptions and Catalog'!$F$53,IF(((D323+E323)*C323)&lt;='Assumptions and Catalog'!$C$54,((D323+E323)*C323)*'Assumptions and Catalog'!$H$54+'Assumptions and Catalog'!$E$54+'Assumptions and Catalog'!$F$54,IF(((D323+E323)*C323)&lt;='Assumptions and Catalog'!$C$55,((D323+E323)*C323)*'Assumptions and Catalog'!$H$55+'Assumptions and Catalog'!$E$55+'Assumptions and Catalog'!$F$55,IF(((D323+E323)*C323)&lt;='Assumptions and Catalog'!$C$56,((D323+E323)*C323)*'Assumptions and Catalog'!$H$56+'Assumptions and Catalog'!$E$56+'Assumptions and Catalog'!$F$56,IF(((D323+E323)*C323)&lt;='Assumptions and Catalog'!$C$57,((D323+E323)*C323)*'Assumptions and Catalog'!$H$57+'Assumptions and Catalog'!$E$57+'Assumptions and Catalog'!$F$57,"Out of range")))))))),IF(((D323+E323)*C323)&lt;='Assumptions and Catalog'!$C$60,((D323+E323)*C323)*'Assumptions and Catalog'!$H$60+'Assumptions and Catalog'!$E$60+'Assumptions and Catalog'!$F$60,IF(((D323+E323)*C323)&lt;='Assumptions and Catalog'!$C$61,((D323+E323)*C323)*'Assumptions and Catalog'!$H$61+'Assumptions and Catalog'!$E$61+'Assumptions and Catalog'!$F$61,IF(((D323+E323)*C323)&lt;='Assumptions and Catalog'!$C$62,((D323+E323)*C323)*'Assumptions and Catalog'!$H$62+'Assumptions and Catalog'!$E$62+'Assumptions and Catalog'!$F$62,IF(((D323+E323)*C323)&lt;='Assumptions and Catalog'!$C$63,((D323+E323)*C323)*'Assumptions and Catalog'!$H$63+'Assumptions and Catalog'!$E$63+'Assumptions and Catalog'!$F$63,IF(((D323+E323)*C323)&lt;='Assumptions and Catalog'!$C$64,((D323+E323)*C323)*'Assumptions and Catalog'!$H$64+'Assumptions and Catalog'!$E$64+'Assumptions and Catalog'!$F$64,IF(((D323+E323)*C323)&lt;='Assumptions and Catalog'!$C$65,((D323+E323)*C323)*'Assumptions and Catalog'!$H$65+'Assumptions and Catalog'!$E$65+'Assumptions and Catalog'!$F$65,"Out of range")))))))))*(1+'Assumptions and Catalog'!$C$8)^(A323-1),0)</f>
        <v>7094.794</v>
      </c>
      <c r="N323" s="5" t="n">
        <f>IF(ISNUMBER(Inputs!$L$5),(IF(Inputs!$L$9="Actual flat rate",L323*Inputs!$L$10,IF(Inputs!$C$9="Residential",IF(L323&lt;='Assumptions and Catalog'!$C$50,L323*'Assumptions and Catalog'!$H$50+'Assumptions and Catalog'!$E$50+'Assumptions and Catalog'!$F$50,IF(L323&lt;='Assumptions and Catalog'!$C$51,L323*'Assumptions and Catalog'!$H$51+'Assumptions and Catalog'!$E$51+'Assumptions and Catalog'!$F$51,IF(L323&lt;='Assumptions and Catalog'!$C$52,L323*'Assumptions and Catalog'!$H$52+'Assumptions and Catalog'!$E$52+'Assumptions and Catalog'!$F$52,IF(L323&lt;='Assumptions and Catalog'!$C$53,L323*'Assumptions and Catalog'!$H$53+'Assumptions and Catalog'!$E$53+'Assumptions and Catalog'!$F$53,IF(L323&lt;='Assumptions and Catalog'!$C$54,L323*'Assumptions and Catalog'!$H$54+'Assumptions and Catalog'!$E$54+'Assumptions and Catalog'!$F$54,IF(L323&lt;='Assumptions and Catalog'!$C$55,L323*'Assumptions and Catalog'!$H$55+'Assumptions and Catalog'!$E$55+'Assumptions and Catalog'!$F$55,IF(L323&lt;='Assumptions and Catalog'!$C$56,L323*'Assumptions and Catalog'!$H$56+'Assumptions and Catalog'!$E$56+'Assumptions and Catalog'!$F$56,IF(L323&lt;='Assumptions and Catalog'!$C$57,L323*'Assumptions and Catalog'!$H$57+'Assumptions and Catalog'!$E$57+'Assumptions and Catalog'!$F$57,"Out of range")))))))),IF(L323&lt;='Assumptions and Catalog'!$C$60,L323*'Assumptions and Catalog'!$H$60+'Assumptions and Catalog'!$E$60+'Assumptions and Catalog'!$F$60,IF(L323&lt;='Assumptions and Catalog'!$C$61,L323*'Assumptions and Catalog'!$H$61+'Assumptions and Catalog'!$E$61+'Assumptions and Catalog'!$F$61,IF(L323&lt;='Assumptions and Catalog'!$C$62,L323*'Assumptions and Catalog'!$H$62+'Assumptions and Catalog'!$E$62+'Assumptions and Catalog'!$F$62,IF(L323&lt;='Assumptions and Catalog'!$C$63,L323*'Assumptions and Catalog'!$H$63+'Assumptions and Catalog'!$E$63+'Assumptions and Catalog'!$F$63,IF(L323&lt;='Assumptions and Catalog'!$C$64,L323*'Assumptions and Catalog'!$H$64+'Assumptions and Catalog'!$E$64+'Assumptions and Catalog'!$F$64,IF(L323&lt;='Assumptions and Catalog'!$C$65,L323*'Assumptions and Catalog'!$H$65+'Assumptions and Catalog'!$E$65+'Assumptions and Catalog'!$F$65,"Out of range")))))))))*(1+'Assumptions and Catalog'!$C$8)^(A323-1),0)</f>
        <v>3567.397</v>
      </c>
      <c r="O323" s="5" t="n">
        <f>M323-N323</f>
        <v>3527.397</v>
      </c>
      <c r="P323" s="5" t="n">
        <f>C$55*(1-J$14)*(1-'Assumptions and Catalog'!$C$23)^R323</f>
        <v>0</v>
      </c>
      <c r="Q323" s="5" t="n">
        <f>IF(ISNUMBER(Inputs!$L$5),(IF(Inputs!$L$9="Actual flat rate",((D323+E323)*C323-G323)*Inputs!$L$10,IF(Inputs!$C$9="Residential",IF(((D323+E323)*C323-G323)&lt;='Assumptions and Catalog'!$C$50,((D323+E323)*C323-G323)*'Assumptions and Catalog'!$H$50+'Assumptions and Catalog'!$E$50+'Assumptions and Catalog'!$F$50,IF(((D323+E323)*C323-G323)&lt;='Assumptions and Catalog'!$C$51,((D323+E323)*C323-G323)*'Assumptions and Catalog'!$H$51+'Assumptions and Catalog'!$E$51+'Assumptions and Catalog'!$F$51,IF(((D323+E323)*C323-G323)&lt;='Assumptions and Catalog'!$C$52,((D323+E323)*C323-G323)*'Assumptions and Catalog'!$H$52+'Assumptions and Catalog'!$E$52+'Assumptions and Catalog'!$F$52,IF(((D323+E323)*C323-G323)&lt;='Assumptions and Catalog'!$C$53,((D323+E323)*C323-G323)*'Assumptions and Catalog'!$H$53+'Assumptions and Catalog'!$E$53+'Assumptions and Catalog'!$F$53,IF(((D323+E323)*C323-G323)&lt;='Assumptions and Catalog'!$C$54,((D323+E323)*C323-G323)*'Assumptions and Catalog'!$H$54+'Assumptions and Catalog'!$E$54+'Assumptions and Catalog'!$F$54,IF(((D323+E323)*C323-G323)&lt;='Assumptions and Catalog'!$C$55,((D323+E323)*C323-G323)*'Assumptions and Catalog'!$H$55+'Assumptions and Catalog'!$E$55+'Assumptions and Catalog'!$F$55,IF(((D323+E323)*C323-G323)&lt;='Assumptions and Catalog'!$C$56,((D323+E323)*C323-G323)*'Assumptions and Catalog'!$H$56+'Assumptions and Catalog'!$E$56+'Assumptions and Catalog'!$F$56,IF(((D323+E323)*C323-G323)&lt;='Assumptions and Catalog'!$C$57,((D323+E323)*C323-G323)*'Assumptions and Catalog'!$H$57+'Assumptions and Catalog'!$E$57+'Assumptions and Catalog'!$F$57,"Out of range")))))))),IF(((D323+E323)*C323-G323)&lt;='Assumptions and Catalog'!$C$60,((D323+E323)*C323-G323)*'Assumptions and Catalog'!$H$60+'Assumptions and Catalog'!$E$60+'Assumptions and Catalog'!$F$60,IF(((D323+E323)*C323-G323)&lt;='Assumptions and Catalog'!$C$61,((D323+E323)*C323-G323)*'Assumptions and Catalog'!$H$61+'Assumptions and Catalog'!$E$61+'Assumptions and Catalog'!$F$61,IF(((D323+E323)*C323-G323)&lt;='Assumptions and Catalog'!$C$62,((D323+E323)*C323-G323)*'Assumptions and Catalog'!$H$62+'Assumptions and Catalog'!$E$62+'Assumptions and Catalog'!$F$62,IF(((D323+E323)*C323-G323)&lt;='Assumptions and Catalog'!$C$63,((D323+E323)*C323-G323)*'Assumptions and Catalog'!$H$63+'Assumptions and Catalog'!$E$63+'Assumptions and Catalog'!$F$63,IF(((D323+E323)*C323-G323)&lt;='Assumptions and Catalog'!$C$64,((D323+E323)*C323-G323)*'Assumptions and Catalog'!$H$64+'Assumptions and Catalog'!$E$64+'Assumptions and Catalog'!$F$64,IF(((D323+E323)*C323-G323)&lt;='Assumptions and Catalog'!$C$65,((D323+E323)*C323-G323)*'Assumptions and Catalog'!$H$65+'Assumptions and Catalog'!$E$65+'Assumptions and Catalog'!$F$65,"Out of range")))))))))*(1+'Assumptions and Catalog'!$C$8)^(A323-1),0)</f>
        <v>3567.397</v>
      </c>
      <c r="R323" s="5" t="n">
        <f>IF(AND('Assumptions and Catalog'!$C$19&gt;0,A323&gt;='Assumptions and Catalog'!$C$19),A323-'Assumptions and Catalog'!$C$19,A323-1)</f>
        <v>3</v>
      </c>
      <c r="S323" s="5" t="n">
        <f>F323+L323-(D323+E323)*C323-J323-K323-0</f>
        <v>0</v>
      </c>
      <c r="T323" s="5"/>
      <c r="U323" s="5"/>
    </row>
    <row r="324" ht="23.100000381469727" customHeight="1">
      <c r="A324" s="5" t="n">
        <v>14</v>
      </c>
      <c r="B324" s="5" t="n">
        <v>8</v>
      </c>
      <c r="C324" s="5" t="n">
        <f>DAY(DATE('Assumptions and Catalog'!$C$24+A324-1,B324+1,0))</f>
        <v>31</v>
      </c>
      <c r="D324" s="5" t="n">
        <f>IF(ISNUMBER(Inputs!$L$5),Inputs!$L$5*Inputs!$L$6,0)</f>
        <v>40.35</v>
      </c>
      <c r="E324" s="5" t="n">
        <f>IF(ISNUMBER(Inputs!$L$5),Inputs!$L$5-D324,0)</f>
        <v>40.35</v>
      </c>
      <c r="F324" s="5" t="n">
        <f>C$51*INDEX('Solar Production'!$D$20:$D$31,B324)*C324*(1-'Assumptions and Catalog'!$C$10)^(A324-1)</f>
        <v>1375.24086279669</v>
      </c>
      <c r="G324" s="5" t="n">
        <f>MIN(F324,D324*C324)</f>
        <v>1250.85</v>
      </c>
      <c r="H324" s="5" t="n">
        <f>I324/('Assumptions and Catalog'!$C$11*'Assumptions and Catalog'!$C$12)</f>
        <v>0</v>
      </c>
      <c r="I324" s="5" t="n">
        <f>0</f>
        <v>0</v>
      </c>
      <c r="J324" s="5" t="n">
        <f>MAX(F324-G324-H324,0)</f>
        <v>124.390862796692</v>
      </c>
      <c r="K324" s="5" t="n">
        <f>H324-I324</f>
        <v>0</v>
      </c>
      <c r="L324" s="5" t="n">
        <f>(D324+E324)*C324-G324-I324+0+0</f>
        <v>1250.85</v>
      </c>
      <c r="M324" s="5" t="n">
        <f>IF(ISNUMBER(Inputs!$L$5),(IF(Inputs!$L$9="Actual flat rate",((D324+E324)*C324)*Inputs!$L$10,IF(Inputs!$C$9="Residential",IF(((D324+E324)*C324)&lt;='Assumptions and Catalog'!$C$50,((D324+E324)*C324)*'Assumptions and Catalog'!$H$50+'Assumptions and Catalog'!$E$50+'Assumptions and Catalog'!$F$50,IF(((D324+E324)*C324)&lt;='Assumptions and Catalog'!$C$51,((D324+E324)*C324)*'Assumptions and Catalog'!$H$51+'Assumptions and Catalog'!$E$51+'Assumptions and Catalog'!$F$51,IF(((D324+E324)*C324)&lt;='Assumptions and Catalog'!$C$52,((D324+E324)*C324)*'Assumptions and Catalog'!$H$52+'Assumptions and Catalog'!$E$52+'Assumptions and Catalog'!$F$52,IF(((D324+E324)*C324)&lt;='Assumptions and Catalog'!$C$53,((D324+E324)*C324)*'Assumptions and Catalog'!$H$53+'Assumptions and Catalog'!$E$53+'Assumptions and Catalog'!$F$53,IF(((D324+E324)*C324)&lt;='Assumptions and Catalog'!$C$54,((D324+E324)*C324)*'Assumptions and Catalog'!$H$54+'Assumptions and Catalog'!$E$54+'Assumptions and Catalog'!$F$54,IF(((D324+E324)*C324)&lt;='Assumptions and Catalog'!$C$55,((D324+E324)*C324)*'Assumptions and Catalog'!$H$55+'Assumptions and Catalog'!$E$55+'Assumptions and Catalog'!$F$55,IF(((D324+E324)*C324)&lt;='Assumptions and Catalog'!$C$56,((D324+E324)*C324)*'Assumptions and Catalog'!$H$56+'Assumptions and Catalog'!$E$56+'Assumptions and Catalog'!$F$56,IF(((D324+E324)*C324)&lt;='Assumptions and Catalog'!$C$57,((D324+E324)*C324)*'Assumptions and Catalog'!$H$57+'Assumptions and Catalog'!$E$57+'Assumptions and Catalog'!$F$57,"Out of range")))))))),IF(((D324+E324)*C324)&lt;='Assumptions and Catalog'!$C$60,((D324+E324)*C324)*'Assumptions and Catalog'!$H$60+'Assumptions and Catalog'!$E$60+'Assumptions and Catalog'!$F$60,IF(((D324+E324)*C324)&lt;='Assumptions and Catalog'!$C$61,((D324+E324)*C324)*'Assumptions and Catalog'!$H$61+'Assumptions and Catalog'!$E$61+'Assumptions and Catalog'!$F$61,IF(((D324+E324)*C324)&lt;='Assumptions and Catalog'!$C$62,((D324+E324)*C324)*'Assumptions and Catalog'!$H$62+'Assumptions and Catalog'!$E$62+'Assumptions and Catalog'!$F$62,IF(((D324+E324)*C324)&lt;='Assumptions and Catalog'!$C$63,((D324+E324)*C324)*'Assumptions and Catalog'!$H$63+'Assumptions and Catalog'!$E$63+'Assumptions and Catalog'!$F$63,IF(((D324+E324)*C324)&lt;='Assumptions and Catalog'!$C$64,((D324+E324)*C324)*'Assumptions and Catalog'!$H$64+'Assumptions and Catalog'!$E$64+'Assumptions and Catalog'!$F$64,IF(((D324+E324)*C324)&lt;='Assumptions and Catalog'!$C$65,((D324+E324)*C324)*'Assumptions and Catalog'!$H$65+'Assumptions and Catalog'!$E$65+'Assumptions and Catalog'!$F$65,"Out of range")))))))))*(1+'Assumptions and Catalog'!$C$8)^(A324-1),0)</f>
        <v>7094.794</v>
      </c>
      <c r="N324" s="5" t="n">
        <f>IF(ISNUMBER(Inputs!$L$5),(IF(Inputs!$L$9="Actual flat rate",L324*Inputs!$L$10,IF(Inputs!$C$9="Residential",IF(L324&lt;='Assumptions and Catalog'!$C$50,L324*'Assumptions and Catalog'!$H$50+'Assumptions and Catalog'!$E$50+'Assumptions and Catalog'!$F$50,IF(L324&lt;='Assumptions and Catalog'!$C$51,L324*'Assumptions and Catalog'!$H$51+'Assumptions and Catalog'!$E$51+'Assumptions and Catalog'!$F$51,IF(L324&lt;='Assumptions and Catalog'!$C$52,L324*'Assumptions and Catalog'!$H$52+'Assumptions and Catalog'!$E$52+'Assumptions and Catalog'!$F$52,IF(L324&lt;='Assumptions and Catalog'!$C$53,L324*'Assumptions and Catalog'!$H$53+'Assumptions and Catalog'!$E$53+'Assumptions and Catalog'!$F$53,IF(L324&lt;='Assumptions and Catalog'!$C$54,L324*'Assumptions and Catalog'!$H$54+'Assumptions and Catalog'!$E$54+'Assumptions and Catalog'!$F$54,IF(L324&lt;='Assumptions and Catalog'!$C$55,L324*'Assumptions and Catalog'!$H$55+'Assumptions and Catalog'!$E$55+'Assumptions and Catalog'!$F$55,IF(L324&lt;='Assumptions and Catalog'!$C$56,L324*'Assumptions and Catalog'!$H$56+'Assumptions and Catalog'!$E$56+'Assumptions and Catalog'!$F$56,IF(L324&lt;='Assumptions and Catalog'!$C$57,L324*'Assumptions and Catalog'!$H$57+'Assumptions and Catalog'!$E$57+'Assumptions and Catalog'!$F$57,"Out of range")))))))),IF(L324&lt;='Assumptions and Catalog'!$C$60,L324*'Assumptions and Catalog'!$H$60+'Assumptions and Catalog'!$E$60+'Assumptions and Catalog'!$F$60,IF(L324&lt;='Assumptions and Catalog'!$C$61,L324*'Assumptions and Catalog'!$H$61+'Assumptions and Catalog'!$E$61+'Assumptions and Catalog'!$F$61,IF(L324&lt;='Assumptions and Catalog'!$C$62,L324*'Assumptions and Catalog'!$H$62+'Assumptions and Catalog'!$E$62+'Assumptions and Catalog'!$F$62,IF(L324&lt;='Assumptions and Catalog'!$C$63,L324*'Assumptions and Catalog'!$H$63+'Assumptions and Catalog'!$E$63+'Assumptions and Catalog'!$F$63,IF(L324&lt;='Assumptions and Catalog'!$C$64,L324*'Assumptions and Catalog'!$H$64+'Assumptions and Catalog'!$E$64+'Assumptions and Catalog'!$F$64,IF(L324&lt;='Assumptions and Catalog'!$C$65,L324*'Assumptions and Catalog'!$H$65+'Assumptions and Catalog'!$E$65+'Assumptions and Catalog'!$F$65,"Out of range")))))))))*(1+'Assumptions and Catalog'!$C$8)^(A324-1),0)</f>
        <v>3567.397</v>
      </c>
      <c r="O324" s="5" t="n">
        <f>M324-N324</f>
        <v>3527.397</v>
      </c>
      <c r="P324" s="5" t="n">
        <f>C$55*(1-J$14)*(1-'Assumptions and Catalog'!$C$23)^R324</f>
        <v>0</v>
      </c>
      <c r="Q324" s="5" t="n">
        <f>IF(ISNUMBER(Inputs!$L$5),(IF(Inputs!$L$9="Actual flat rate",((D324+E324)*C324-G324)*Inputs!$L$10,IF(Inputs!$C$9="Residential",IF(((D324+E324)*C324-G324)&lt;='Assumptions and Catalog'!$C$50,((D324+E324)*C324-G324)*'Assumptions and Catalog'!$H$50+'Assumptions and Catalog'!$E$50+'Assumptions and Catalog'!$F$50,IF(((D324+E324)*C324-G324)&lt;='Assumptions and Catalog'!$C$51,((D324+E324)*C324-G324)*'Assumptions and Catalog'!$H$51+'Assumptions and Catalog'!$E$51+'Assumptions and Catalog'!$F$51,IF(((D324+E324)*C324-G324)&lt;='Assumptions and Catalog'!$C$52,((D324+E324)*C324-G324)*'Assumptions and Catalog'!$H$52+'Assumptions and Catalog'!$E$52+'Assumptions and Catalog'!$F$52,IF(((D324+E324)*C324-G324)&lt;='Assumptions and Catalog'!$C$53,((D324+E324)*C324-G324)*'Assumptions and Catalog'!$H$53+'Assumptions and Catalog'!$E$53+'Assumptions and Catalog'!$F$53,IF(((D324+E324)*C324-G324)&lt;='Assumptions and Catalog'!$C$54,((D324+E324)*C324-G324)*'Assumptions and Catalog'!$H$54+'Assumptions and Catalog'!$E$54+'Assumptions and Catalog'!$F$54,IF(((D324+E324)*C324-G324)&lt;='Assumptions and Catalog'!$C$55,((D324+E324)*C324-G324)*'Assumptions and Catalog'!$H$55+'Assumptions and Catalog'!$E$55+'Assumptions and Catalog'!$F$55,IF(((D324+E324)*C324-G324)&lt;='Assumptions and Catalog'!$C$56,((D324+E324)*C324-G324)*'Assumptions and Catalog'!$H$56+'Assumptions and Catalog'!$E$56+'Assumptions and Catalog'!$F$56,IF(((D324+E324)*C324-G324)&lt;='Assumptions and Catalog'!$C$57,((D324+E324)*C324-G324)*'Assumptions and Catalog'!$H$57+'Assumptions and Catalog'!$E$57+'Assumptions and Catalog'!$F$57,"Out of range")))))))),IF(((D324+E324)*C324-G324)&lt;='Assumptions and Catalog'!$C$60,((D324+E324)*C324-G324)*'Assumptions and Catalog'!$H$60+'Assumptions and Catalog'!$E$60+'Assumptions and Catalog'!$F$60,IF(((D324+E324)*C324-G324)&lt;='Assumptions and Catalog'!$C$61,((D324+E324)*C324-G324)*'Assumptions and Catalog'!$H$61+'Assumptions and Catalog'!$E$61+'Assumptions and Catalog'!$F$61,IF(((D324+E324)*C324-G324)&lt;='Assumptions and Catalog'!$C$62,((D324+E324)*C324-G324)*'Assumptions and Catalog'!$H$62+'Assumptions and Catalog'!$E$62+'Assumptions and Catalog'!$F$62,IF(((D324+E324)*C324-G324)&lt;='Assumptions and Catalog'!$C$63,((D324+E324)*C324-G324)*'Assumptions and Catalog'!$H$63+'Assumptions and Catalog'!$E$63+'Assumptions and Catalog'!$F$63,IF(((D324+E324)*C324-G324)&lt;='Assumptions and Catalog'!$C$64,((D324+E324)*C324-G324)*'Assumptions and Catalog'!$H$64+'Assumptions and Catalog'!$E$64+'Assumptions and Catalog'!$F$64,IF(((D324+E324)*C324-G324)&lt;='Assumptions and Catalog'!$C$65,((D324+E324)*C324-G324)*'Assumptions and Catalog'!$H$65+'Assumptions and Catalog'!$E$65+'Assumptions and Catalog'!$F$65,"Out of range")))))))))*(1+'Assumptions and Catalog'!$C$8)^(A324-1),0)</f>
        <v>3567.397</v>
      </c>
      <c r="R324" s="5" t="n">
        <f>IF(AND('Assumptions and Catalog'!$C$19&gt;0,A324&gt;='Assumptions and Catalog'!$C$19),A324-'Assumptions and Catalog'!$C$19,A324-1)</f>
        <v>3</v>
      </c>
      <c r="S324" s="5" t="n">
        <f>F324+L324-(D324+E324)*C324-J324-K324-0</f>
        <v>0</v>
      </c>
      <c r="T324" s="5"/>
      <c r="U324" s="5"/>
    </row>
    <row r="325" ht="23.100000381469727" customHeight="1">
      <c r="A325" s="5" t="n">
        <v>14</v>
      </c>
      <c r="B325" s="5" t="n">
        <v>9</v>
      </c>
      <c r="C325" s="5" t="n">
        <f>DAY(DATE('Assumptions and Catalog'!$C$24+A325-1,B325+1,0))</f>
        <v>30</v>
      </c>
      <c r="D325" s="5" t="n">
        <f>IF(ISNUMBER(Inputs!$L$5),Inputs!$L$5*Inputs!$L$6,0)</f>
        <v>40.35</v>
      </c>
      <c r="E325" s="5" t="n">
        <f>IF(ISNUMBER(Inputs!$L$5),Inputs!$L$5-D325,0)</f>
        <v>40.35</v>
      </c>
      <c r="F325" s="5" t="n">
        <f>C$51*INDEX('Solar Production'!$D$20:$D$31,B325)*C325*(1-'Assumptions and Catalog'!$C$10)^(A325-1)</f>
        <v>1327.42073687211</v>
      </c>
      <c r="G325" s="5" t="n">
        <f>MIN(F325,D325*C325)</f>
        <v>1210.5</v>
      </c>
      <c r="H325" s="5" t="n">
        <f>I325/('Assumptions and Catalog'!$C$11*'Assumptions and Catalog'!$C$12)</f>
        <v>0</v>
      </c>
      <c r="I325" s="5" t="n">
        <f>0</f>
        <v>0</v>
      </c>
      <c r="J325" s="5" t="n">
        <f>MAX(F325-G325-H325,0)</f>
        <v>116.920736872106</v>
      </c>
      <c r="K325" s="5" t="n">
        <f>H325-I325</f>
        <v>0</v>
      </c>
      <c r="L325" s="5" t="n">
        <f>(D325+E325)*C325-G325-I325+0+0</f>
        <v>1210.5</v>
      </c>
      <c r="M325" s="5" t="n">
        <f>IF(ISNUMBER(Inputs!$L$5),(IF(Inputs!$L$9="Actual flat rate",((D325+E325)*C325)*Inputs!$L$10,IF(Inputs!$C$9="Residential",IF(((D325+E325)*C325)&lt;='Assumptions and Catalog'!$C$50,((D325+E325)*C325)*'Assumptions and Catalog'!$H$50+'Assumptions and Catalog'!$E$50+'Assumptions and Catalog'!$F$50,IF(((D325+E325)*C325)&lt;='Assumptions and Catalog'!$C$51,((D325+E325)*C325)*'Assumptions and Catalog'!$H$51+'Assumptions and Catalog'!$E$51+'Assumptions and Catalog'!$F$51,IF(((D325+E325)*C325)&lt;='Assumptions and Catalog'!$C$52,((D325+E325)*C325)*'Assumptions and Catalog'!$H$52+'Assumptions and Catalog'!$E$52+'Assumptions and Catalog'!$F$52,IF(((D325+E325)*C325)&lt;='Assumptions and Catalog'!$C$53,((D325+E325)*C325)*'Assumptions and Catalog'!$H$53+'Assumptions and Catalog'!$E$53+'Assumptions and Catalog'!$F$53,IF(((D325+E325)*C325)&lt;='Assumptions and Catalog'!$C$54,((D325+E325)*C325)*'Assumptions and Catalog'!$H$54+'Assumptions and Catalog'!$E$54+'Assumptions and Catalog'!$F$54,IF(((D325+E325)*C325)&lt;='Assumptions and Catalog'!$C$55,((D325+E325)*C325)*'Assumptions and Catalog'!$H$55+'Assumptions and Catalog'!$E$55+'Assumptions and Catalog'!$F$55,IF(((D325+E325)*C325)&lt;='Assumptions and Catalog'!$C$56,((D325+E325)*C325)*'Assumptions and Catalog'!$H$56+'Assumptions and Catalog'!$E$56+'Assumptions and Catalog'!$F$56,IF(((D325+E325)*C325)&lt;='Assumptions and Catalog'!$C$57,((D325+E325)*C325)*'Assumptions and Catalog'!$H$57+'Assumptions and Catalog'!$E$57+'Assumptions and Catalog'!$F$57,"Out of range")))))))),IF(((D325+E325)*C325)&lt;='Assumptions and Catalog'!$C$60,((D325+E325)*C325)*'Assumptions and Catalog'!$H$60+'Assumptions and Catalog'!$E$60+'Assumptions and Catalog'!$F$60,IF(((D325+E325)*C325)&lt;='Assumptions and Catalog'!$C$61,((D325+E325)*C325)*'Assumptions and Catalog'!$H$61+'Assumptions and Catalog'!$E$61+'Assumptions and Catalog'!$F$61,IF(((D325+E325)*C325)&lt;='Assumptions and Catalog'!$C$62,((D325+E325)*C325)*'Assumptions and Catalog'!$H$62+'Assumptions and Catalog'!$E$62+'Assumptions and Catalog'!$F$62,IF(((D325+E325)*C325)&lt;='Assumptions and Catalog'!$C$63,((D325+E325)*C325)*'Assumptions and Catalog'!$H$63+'Assumptions and Catalog'!$E$63+'Assumptions and Catalog'!$F$63,IF(((D325+E325)*C325)&lt;='Assumptions and Catalog'!$C$64,((D325+E325)*C325)*'Assumptions and Catalog'!$H$64+'Assumptions and Catalog'!$E$64+'Assumptions and Catalog'!$F$64,IF(((D325+E325)*C325)&lt;='Assumptions and Catalog'!$C$65,((D325+E325)*C325)*'Assumptions and Catalog'!$H$65+'Assumptions and Catalog'!$E$65+'Assumptions and Catalog'!$F$65,"Out of range")))))))))*(1+'Assumptions and Catalog'!$C$8)^(A325-1),0)</f>
        <v>6867.22</v>
      </c>
      <c r="N325" s="5" t="n">
        <f>IF(ISNUMBER(Inputs!$L$5),(IF(Inputs!$L$9="Actual flat rate",L325*Inputs!$L$10,IF(Inputs!$C$9="Residential",IF(L325&lt;='Assumptions and Catalog'!$C$50,L325*'Assumptions and Catalog'!$H$50+'Assumptions and Catalog'!$E$50+'Assumptions and Catalog'!$F$50,IF(L325&lt;='Assumptions and Catalog'!$C$51,L325*'Assumptions and Catalog'!$H$51+'Assumptions and Catalog'!$E$51+'Assumptions and Catalog'!$F$51,IF(L325&lt;='Assumptions and Catalog'!$C$52,L325*'Assumptions and Catalog'!$H$52+'Assumptions and Catalog'!$E$52+'Assumptions and Catalog'!$F$52,IF(L325&lt;='Assumptions and Catalog'!$C$53,L325*'Assumptions and Catalog'!$H$53+'Assumptions and Catalog'!$E$53+'Assumptions and Catalog'!$F$53,IF(L325&lt;='Assumptions and Catalog'!$C$54,L325*'Assumptions and Catalog'!$H$54+'Assumptions and Catalog'!$E$54+'Assumptions and Catalog'!$F$54,IF(L325&lt;='Assumptions and Catalog'!$C$55,L325*'Assumptions and Catalog'!$H$55+'Assumptions and Catalog'!$E$55+'Assumptions and Catalog'!$F$55,IF(L325&lt;='Assumptions and Catalog'!$C$56,L325*'Assumptions and Catalog'!$H$56+'Assumptions and Catalog'!$E$56+'Assumptions and Catalog'!$F$56,IF(L325&lt;='Assumptions and Catalog'!$C$57,L325*'Assumptions and Catalog'!$H$57+'Assumptions and Catalog'!$E$57+'Assumptions and Catalog'!$F$57,"Out of range")))))))),IF(L325&lt;='Assumptions and Catalog'!$C$60,L325*'Assumptions and Catalog'!$H$60+'Assumptions and Catalog'!$E$60+'Assumptions and Catalog'!$F$60,IF(L325&lt;='Assumptions and Catalog'!$C$61,L325*'Assumptions and Catalog'!$H$61+'Assumptions and Catalog'!$E$61+'Assumptions and Catalog'!$F$61,IF(L325&lt;='Assumptions and Catalog'!$C$62,L325*'Assumptions and Catalog'!$H$62+'Assumptions and Catalog'!$E$62+'Assumptions and Catalog'!$F$62,IF(L325&lt;='Assumptions and Catalog'!$C$63,L325*'Assumptions and Catalog'!$H$63+'Assumptions and Catalog'!$E$63+'Assumptions and Catalog'!$F$63,IF(L325&lt;='Assumptions and Catalog'!$C$64,L325*'Assumptions and Catalog'!$H$64+'Assumptions and Catalog'!$E$64+'Assumptions and Catalog'!$F$64,IF(L325&lt;='Assumptions and Catalog'!$C$65,L325*'Assumptions and Catalog'!$H$65+'Assumptions and Catalog'!$E$65+'Assumptions and Catalog'!$F$65,"Out of range")))))))))*(1+'Assumptions and Catalog'!$C$8)^(A325-1),0)</f>
        <v>3453.61</v>
      </c>
      <c r="O325" s="5" t="n">
        <f>M325-N325</f>
        <v>3413.61</v>
      </c>
      <c r="P325" s="5" t="n">
        <f>C$55*(1-J$14)*(1-'Assumptions and Catalog'!$C$23)^R325</f>
        <v>0</v>
      </c>
      <c r="Q325" s="5" t="n">
        <f>IF(ISNUMBER(Inputs!$L$5),(IF(Inputs!$L$9="Actual flat rate",((D325+E325)*C325-G325)*Inputs!$L$10,IF(Inputs!$C$9="Residential",IF(((D325+E325)*C325-G325)&lt;='Assumptions and Catalog'!$C$50,((D325+E325)*C325-G325)*'Assumptions and Catalog'!$H$50+'Assumptions and Catalog'!$E$50+'Assumptions and Catalog'!$F$50,IF(((D325+E325)*C325-G325)&lt;='Assumptions and Catalog'!$C$51,((D325+E325)*C325-G325)*'Assumptions and Catalog'!$H$51+'Assumptions and Catalog'!$E$51+'Assumptions and Catalog'!$F$51,IF(((D325+E325)*C325-G325)&lt;='Assumptions and Catalog'!$C$52,((D325+E325)*C325-G325)*'Assumptions and Catalog'!$H$52+'Assumptions and Catalog'!$E$52+'Assumptions and Catalog'!$F$52,IF(((D325+E325)*C325-G325)&lt;='Assumptions and Catalog'!$C$53,((D325+E325)*C325-G325)*'Assumptions and Catalog'!$H$53+'Assumptions and Catalog'!$E$53+'Assumptions and Catalog'!$F$53,IF(((D325+E325)*C325-G325)&lt;='Assumptions and Catalog'!$C$54,((D325+E325)*C325-G325)*'Assumptions and Catalog'!$H$54+'Assumptions and Catalog'!$E$54+'Assumptions and Catalog'!$F$54,IF(((D325+E325)*C325-G325)&lt;='Assumptions and Catalog'!$C$55,((D325+E325)*C325-G325)*'Assumptions and Catalog'!$H$55+'Assumptions and Catalog'!$E$55+'Assumptions and Catalog'!$F$55,IF(((D325+E325)*C325-G325)&lt;='Assumptions and Catalog'!$C$56,((D325+E325)*C325-G325)*'Assumptions and Catalog'!$H$56+'Assumptions and Catalog'!$E$56+'Assumptions and Catalog'!$F$56,IF(((D325+E325)*C325-G325)&lt;='Assumptions and Catalog'!$C$57,((D325+E325)*C325-G325)*'Assumptions and Catalog'!$H$57+'Assumptions and Catalog'!$E$57+'Assumptions and Catalog'!$F$57,"Out of range")))))))),IF(((D325+E325)*C325-G325)&lt;='Assumptions and Catalog'!$C$60,((D325+E325)*C325-G325)*'Assumptions and Catalog'!$H$60+'Assumptions and Catalog'!$E$60+'Assumptions and Catalog'!$F$60,IF(((D325+E325)*C325-G325)&lt;='Assumptions and Catalog'!$C$61,((D325+E325)*C325-G325)*'Assumptions and Catalog'!$H$61+'Assumptions and Catalog'!$E$61+'Assumptions and Catalog'!$F$61,IF(((D325+E325)*C325-G325)&lt;='Assumptions and Catalog'!$C$62,((D325+E325)*C325-G325)*'Assumptions and Catalog'!$H$62+'Assumptions and Catalog'!$E$62+'Assumptions and Catalog'!$F$62,IF(((D325+E325)*C325-G325)&lt;='Assumptions and Catalog'!$C$63,((D325+E325)*C325-G325)*'Assumptions and Catalog'!$H$63+'Assumptions and Catalog'!$E$63+'Assumptions and Catalog'!$F$63,IF(((D325+E325)*C325-G325)&lt;='Assumptions and Catalog'!$C$64,((D325+E325)*C325-G325)*'Assumptions and Catalog'!$H$64+'Assumptions and Catalog'!$E$64+'Assumptions and Catalog'!$F$64,IF(((D325+E325)*C325-G325)&lt;='Assumptions and Catalog'!$C$65,((D325+E325)*C325-G325)*'Assumptions and Catalog'!$H$65+'Assumptions and Catalog'!$E$65+'Assumptions and Catalog'!$F$65,"Out of range")))))))))*(1+'Assumptions and Catalog'!$C$8)^(A325-1),0)</f>
        <v>3453.61</v>
      </c>
      <c r="R325" s="5" t="n">
        <f>IF(AND('Assumptions and Catalog'!$C$19&gt;0,A325&gt;='Assumptions and Catalog'!$C$19),A325-'Assumptions and Catalog'!$C$19,A325-1)</f>
        <v>3</v>
      </c>
      <c r="S325" s="5" t="n">
        <f>F325+L325-(D325+E325)*C325-J325-K325-0</f>
        <v>0</v>
      </c>
      <c r="T325" s="5"/>
      <c r="U325" s="5"/>
    </row>
    <row r="326" ht="23.100000381469727" customHeight="1">
      <c r="A326" s="5" t="n">
        <v>14</v>
      </c>
      <c r="B326" s="5" t="n">
        <v>10</v>
      </c>
      <c r="C326" s="5" t="n">
        <f>DAY(DATE('Assumptions and Catalog'!$C$24+A326-1,B326+1,0))</f>
        <v>31</v>
      </c>
      <c r="D326" s="5" t="n">
        <f>IF(ISNUMBER(Inputs!$L$5),Inputs!$L$5*Inputs!$L$6,0)</f>
        <v>40.35</v>
      </c>
      <c r="E326" s="5" t="n">
        <f>IF(ISNUMBER(Inputs!$L$5),Inputs!$L$5-D326,0)</f>
        <v>40.35</v>
      </c>
      <c r="F326" s="5" t="n">
        <f>C$51*INDEX('Solar Production'!$D$20:$D$31,B326)*C326*(1-'Assumptions and Catalog'!$C$10)^(A326-1)</f>
        <v>1274.0765619183</v>
      </c>
      <c r="G326" s="5" t="n">
        <f>MIN(F326,D326*C326)</f>
        <v>1250.85</v>
      </c>
      <c r="H326" s="5" t="n">
        <f>I326/('Assumptions and Catalog'!$C$11*'Assumptions and Catalog'!$C$12)</f>
        <v>0</v>
      </c>
      <c r="I326" s="5" t="n">
        <f>0</f>
        <v>0</v>
      </c>
      <c r="J326" s="5" t="n">
        <f>MAX(F326-G326-H326,0)</f>
        <v>23.2265619183017</v>
      </c>
      <c r="K326" s="5" t="n">
        <f>H326-I326</f>
        <v>0</v>
      </c>
      <c r="L326" s="5" t="n">
        <f>(D326+E326)*C326-G326-I326+0+0</f>
        <v>1250.85</v>
      </c>
      <c r="M326" s="5" t="n">
        <f>IF(ISNUMBER(Inputs!$L$5),(IF(Inputs!$L$9="Actual flat rate",((D326+E326)*C326)*Inputs!$L$10,IF(Inputs!$C$9="Residential",IF(((D326+E326)*C326)&lt;='Assumptions and Catalog'!$C$50,((D326+E326)*C326)*'Assumptions and Catalog'!$H$50+'Assumptions and Catalog'!$E$50+'Assumptions and Catalog'!$F$50,IF(((D326+E326)*C326)&lt;='Assumptions and Catalog'!$C$51,((D326+E326)*C326)*'Assumptions and Catalog'!$H$51+'Assumptions and Catalog'!$E$51+'Assumptions and Catalog'!$F$51,IF(((D326+E326)*C326)&lt;='Assumptions and Catalog'!$C$52,((D326+E326)*C326)*'Assumptions and Catalog'!$H$52+'Assumptions and Catalog'!$E$52+'Assumptions and Catalog'!$F$52,IF(((D326+E326)*C326)&lt;='Assumptions and Catalog'!$C$53,((D326+E326)*C326)*'Assumptions and Catalog'!$H$53+'Assumptions and Catalog'!$E$53+'Assumptions and Catalog'!$F$53,IF(((D326+E326)*C326)&lt;='Assumptions and Catalog'!$C$54,((D326+E326)*C326)*'Assumptions and Catalog'!$H$54+'Assumptions and Catalog'!$E$54+'Assumptions and Catalog'!$F$54,IF(((D326+E326)*C326)&lt;='Assumptions and Catalog'!$C$55,((D326+E326)*C326)*'Assumptions and Catalog'!$H$55+'Assumptions and Catalog'!$E$55+'Assumptions and Catalog'!$F$55,IF(((D326+E326)*C326)&lt;='Assumptions and Catalog'!$C$56,((D326+E326)*C326)*'Assumptions and Catalog'!$H$56+'Assumptions and Catalog'!$E$56+'Assumptions and Catalog'!$F$56,IF(((D326+E326)*C326)&lt;='Assumptions and Catalog'!$C$57,((D326+E326)*C326)*'Assumptions and Catalog'!$H$57+'Assumptions and Catalog'!$E$57+'Assumptions and Catalog'!$F$57,"Out of range")))))))),IF(((D326+E326)*C326)&lt;='Assumptions and Catalog'!$C$60,((D326+E326)*C326)*'Assumptions and Catalog'!$H$60+'Assumptions and Catalog'!$E$60+'Assumptions and Catalog'!$F$60,IF(((D326+E326)*C326)&lt;='Assumptions and Catalog'!$C$61,((D326+E326)*C326)*'Assumptions and Catalog'!$H$61+'Assumptions and Catalog'!$E$61+'Assumptions and Catalog'!$F$61,IF(((D326+E326)*C326)&lt;='Assumptions and Catalog'!$C$62,((D326+E326)*C326)*'Assumptions and Catalog'!$H$62+'Assumptions and Catalog'!$E$62+'Assumptions and Catalog'!$F$62,IF(((D326+E326)*C326)&lt;='Assumptions and Catalog'!$C$63,((D326+E326)*C326)*'Assumptions and Catalog'!$H$63+'Assumptions and Catalog'!$E$63+'Assumptions and Catalog'!$F$63,IF(((D326+E326)*C326)&lt;='Assumptions and Catalog'!$C$64,((D326+E326)*C326)*'Assumptions and Catalog'!$H$64+'Assumptions and Catalog'!$E$64+'Assumptions and Catalog'!$F$64,IF(((D326+E326)*C326)&lt;='Assumptions and Catalog'!$C$65,((D326+E326)*C326)*'Assumptions and Catalog'!$H$65+'Assumptions and Catalog'!$E$65+'Assumptions and Catalog'!$F$65,"Out of range")))))))))*(1+'Assumptions and Catalog'!$C$8)^(A326-1),0)</f>
        <v>7094.794</v>
      </c>
      <c r="N326" s="5" t="n">
        <f>IF(ISNUMBER(Inputs!$L$5),(IF(Inputs!$L$9="Actual flat rate",L326*Inputs!$L$10,IF(Inputs!$C$9="Residential",IF(L326&lt;='Assumptions and Catalog'!$C$50,L326*'Assumptions and Catalog'!$H$50+'Assumptions and Catalog'!$E$50+'Assumptions and Catalog'!$F$50,IF(L326&lt;='Assumptions and Catalog'!$C$51,L326*'Assumptions and Catalog'!$H$51+'Assumptions and Catalog'!$E$51+'Assumptions and Catalog'!$F$51,IF(L326&lt;='Assumptions and Catalog'!$C$52,L326*'Assumptions and Catalog'!$H$52+'Assumptions and Catalog'!$E$52+'Assumptions and Catalog'!$F$52,IF(L326&lt;='Assumptions and Catalog'!$C$53,L326*'Assumptions and Catalog'!$H$53+'Assumptions and Catalog'!$E$53+'Assumptions and Catalog'!$F$53,IF(L326&lt;='Assumptions and Catalog'!$C$54,L326*'Assumptions and Catalog'!$H$54+'Assumptions and Catalog'!$E$54+'Assumptions and Catalog'!$F$54,IF(L326&lt;='Assumptions and Catalog'!$C$55,L326*'Assumptions and Catalog'!$H$55+'Assumptions and Catalog'!$E$55+'Assumptions and Catalog'!$F$55,IF(L326&lt;='Assumptions and Catalog'!$C$56,L326*'Assumptions and Catalog'!$H$56+'Assumptions and Catalog'!$E$56+'Assumptions and Catalog'!$F$56,IF(L326&lt;='Assumptions and Catalog'!$C$57,L326*'Assumptions and Catalog'!$H$57+'Assumptions and Catalog'!$E$57+'Assumptions and Catalog'!$F$57,"Out of range")))))))),IF(L326&lt;='Assumptions and Catalog'!$C$60,L326*'Assumptions and Catalog'!$H$60+'Assumptions and Catalog'!$E$60+'Assumptions and Catalog'!$F$60,IF(L326&lt;='Assumptions and Catalog'!$C$61,L326*'Assumptions and Catalog'!$H$61+'Assumptions and Catalog'!$E$61+'Assumptions and Catalog'!$F$61,IF(L326&lt;='Assumptions and Catalog'!$C$62,L326*'Assumptions and Catalog'!$H$62+'Assumptions and Catalog'!$E$62+'Assumptions and Catalog'!$F$62,IF(L326&lt;='Assumptions and Catalog'!$C$63,L326*'Assumptions and Catalog'!$H$63+'Assumptions and Catalog'!$E$63+'Assumptions and Catalog'!$F$63,IF(L326&lt;='Assumptions and Catalog'!$C$64,L326*'Assumptions and Catalog'!$H$64+'Assumptions and Catalog'!$E$64+'Assumptions and Catalog'!$F$64,IF(L326&lt;='Assumptions and Catalog'!$C$65,L326*'Assumptions and Catalog'!$H$65+'Assumptions and Catalog'!$E$65+'Assumptions and Catalog'!$F$65,"Out of range")))))))))*(1+'Assumptions and Catalog'!$C$8)^(A326-1),0)</f>
        <v>3567.397</v>
      </c>
      <c r="O326" s="5" t="n">
        <f>M326-N326</f>
        <v>3527.397</v>
      </c>
      <c r="P326" s="5" t="n">
        <f>C$55*(1-J$14)*(1-'Assumptions and Catalog'!$C$23)^R326</f>
        <v>0</v>
      </c>
      <c r="Q326" s="5" t="n">
        <f>IF(ISNUMBER(Inputs!$L$5),(IF(Inputs!$L$9="Actual flat rate",((D326+E326)*C326-G326)*Inputs!$L$10,IF(Inputs!$C$9="Residential",IF(((D326+E326)*C326-G326)&lt;='Assumptions and Catalog'!$C$50,((D326+E326)*C326-G326)*'Assumptions and Catalog'!$H$50+'Assumptions and Catalog'!$E$50+'Assumptions and Catalog'!$F$50,IF(((D326+E326)*C326-G326)&lt;='Assumptions and Catalog'!$C$51,((D326+E326)*C326-G326)*'Assumptions and Catalog'!$H$51+'Assumptions and Catalog'!$E$51+'Assumptions and Catalog'!$F$51,IF(((D326+E326)*C326-G326)&lt;='Assumptions and Catalog'!$C$52,((D326+E326)*C326-G326)*'Assumptions and Catalog'!$H$52+'Assumptions and Catalog'!$E$52+'Assumptions and Catalog'!$F$52,IF(((D326+E326)*C326-G326)&lt;='Assumptions and Catalog'!$C$53,((D326+E326)*C326-G326)*'Assumptions and Catalog'!$H$53+'Assumptions and Catalog'!$E$53+'Assumptions and Catalog'!$F$53,IF(((D326+E326)*C326-G326)&lt;='Assumptions and Catalog'!$C$54,((D326+E326)*C326-G326)*'Assumptions and Catalog'!$H$54+'Assumptions and Catalog'!$E$54+'Assumptions and Catalog'!$F$54,IF(((D326+E326)*C326-G326)&lt;='Assumptions and Catalog'!$C$55,((D326+E326)*C326-G326)*'Assumptions and Catalog'!$H$55+'Assumptions and Catalog'!$E$55+'Assumptions and Catalog'!$F$55,IF(((D326+E326)*C326-G326)&lt;='Assumptions and Catalog'!$C$56,((D326+E326)*C326-G326)*'Assumptions and Catalog'!$H$56+'Assumptions and Catalog'!$E$56+'Assumptions and Catalog'!$F$56,IF(((D326+E326)*C326-G326)&lt;='Assumptions and Catalog'!$C$57,((D326+E326)*C326-G326)*'Assumptions and Catalog'!$H$57+'Assumptions and Catalog'!$E$57+'Assumptions and Catalog'!$F$57,"Out of range")))))))),IF(((D326+E326)*C326-G326)&lt;='Assumptions and Catalog'!$C$60,((D326+E326)*C326-G326)*'Assumptions and Catalog'!$H$60+'Assumptions and Catalog'!$E$60+'Assumptions and Catalog'!$F$60,IF(((D326+E326)*C326-G326)&lt;='Assumptions and Catalog'!$C$61,((D326+E326)*C326-G326)*'Assumptions and Catalog'!$H$61+'Assumptions and Catalog'!$E$61+'Assumptions and Catalog'!$F$61,IF(((D326+E326)*C326-G326)&lt;='Assumptions and Catalog'!$C$62,((D326+E326)*C326-G326)*'Assumptions and Catalog'!$H$62+'Assumptions and Catalog'!$E$62+'Assumptions and Catalog'!$F$62,IF(((D326+E326)*C326-G326)&lt;='Assumptions and Catalog'!$C$63,((D326+E326)*C326-G326)*'Assumptions and Catalog'!$H$63+'Assumptions and Catalog'!$E$63+'Assumptions and Catalog'!$F$63,IF(((D326+E326)*C326-G326)&lt;='Assumptions and Catalog'!$C$64,((D326+E326)*C326-G326)*'Assumptions and Catalog'!$H$64+'Assumptions and Catalog'!$E$64+'Assumptions and Catalog'!$F$64,IF(((D326+E326)*C326-G326)&lt;='Assumptions and Catalog'!$C$65,((D326+E326)*C326-G326)*'Assumptions and Catalog'!$H$65+'Assumptions and Catalog'!$E$65+'Assumptions and Catalog'!$F$65,"Out of range")))))))))*(1+'Assumptions and Catalog'!$C$8)^(A326-1),0)</f>
        <v>3567.397</v>
      </c>
      <c r="R326" s="5" t="n">
        <f>IF(AND('Assumptions and Catalog'!$C$19&gt;0,A326&gt;='Assumptions and Catalog'!$C$19),A326-'Assumptions and Catalog'!$C$19,A326-1)</f>
        <v>3</v>
      </c>
      <c r="S326" s="5" t="n">
        <f>F326+L326-(D326+E326)*C326-J326-K326-0</f>
        <v>0</v>
      </c>
      <c r="T326" s="5"/>
      <c r="U326" s="5"/>
    </row>
    <row r="327" ht="23.100000381469727" customHeight="1">
      <c r="A327" s="5" t="n">
        <v>14</v>
      </c>
      <c r="B327" s="5" t="n">
        <v>11</v>
      </c>
      <c r="C327" s="5" t="n">
        <f>DAY(DATE('Assumptions and Catalog'!$C$24+A327-1,B327+1,0))</f>
        <v>30</v>
      </c>
      <c r="D327" s="5" t="n">
        <f>IF(ISNUMBER(Inputs!$L$5),Inputs!$L$5*Inputs!$L$6,0)</f>
        <v>40.35</v>
      </c>
      <c r="E327" s="5" t="n">
        <f>IF(ISNUMBER(Inputs!$L$5),Inputs!$L$5-D327,0)</f>
        <v>40.35</v>
      </c>
      <c r="F327" s="5" t="n">
        <f>C$51*INDEX('Solar Production'!$D$20:$D$31,B327)*C327*(1-'Assumptions and Catalog'!$C$10)^(A327-1)</f>
        <v>1129.29700825697</v>
      </c>
      <c r="G327" s="5" t="n">
        <f>MIN(F327,D327*C327)</f>
        <v>1129.29700825697</v>
      </c>
      <c r="H327" s="5" t="n">
        <f>I327/('Assumptions and Catalog'!$C$11*'Assumptions and Catalog'!$C$12)</f>
        <v>0</v>
      </c>
      <c r="I327" s="5" t="n">
        <f>0</f>
        <v>0</v>
      </c>
      <c r="J327" s="5" t="n">
        <f>MAX(F327-G327-H327,0)</f>
        <v>0</v>
      </c>
      <c r="K327" s="5" t="n">
        <f>H327-I327</f>
        <v>0</v>
      </c>
      <c r="L327" s="5" t="n">
        <f>(D327+E327)*C327-G327-I327+0+0</f>
        <v>1291.70299174303</v>
      </c>
      <c r="M327" s="5" t="n">
        <f>IF(ISNUMBER(Inputs!$L$5),(IF(Inputs!$L$9="Actual flat rate",((D327+E327)*C327)*Inputs!$L$10,IF(Inputs!$C$9="Residential",IF(((D327+E327)*C327)&lt;='Assumptions and Catalog'!$C$50,((D327+E327)*C327)*'Assumptions and Catalog'!$H$50+'Assumptions and Catalog'!$E$50+'Assumptions and Catalog'!$F$50,IF(((D327+E327)*C327)&lt;='Assumptions and Catalog'!$C$51,((D327+E327)*C327)*'Assumptions and Catalog'!$H$51+'Assumptions and Catalog'!$E$51+'Assumptions and Catalog'!$F$51,IF(((D327+E327)*C327)&lt;='Assumptions and Catalog'!$C$52,((D327+E327)*C327)*'Assumptions and Catalog'!$H$52+'Assumptions and Catalog'!$E$52+'Assumptions and Catalog'!$F$52,IF(((D327+E327)*C327)&lt;='Assumptions and Catalog'!$C$53,((D327+E327)*C327)*'Assumptions and Catalog'!$H$53+'Assumptions and Catalog'!$E$53+'Assumptions and Catalog'!$F$53,IF(((D327+E327)*C327)&lt;='Assumptions and Catalog'!$C$54,((D327+E327)*C327)*'Assumptions and Catalog'!$H$54+'Assumptions and Catalog'!$E$54+'Assumptions and Catalog'!$F$54,IF(((D327+E327)*C327)&lt;='Assumptions and Catalog'!$C$55,((D327+E327)*C327)*'Assumptions and Catalog'!$H$55+'Assumptions and Catalog'!$E$55+'Assumptions and Catalog'!$F$55,IF(((D327+E327)*C327)&lt;='Assumptions and Catalog'!$C$56,((D327+E327)*C327)*'Assumptions and Catalog'!$H$56+'Assumptions and Catalog'!$E$56+'Assumptions and Catalog'!$F$56,IF(((D327+E327)*C327)&lt;='Assumptions and Catalog'!$C$57,((D327+E327)*C327)*'Assumptions and Catalog'!$H$57+'Assumptions and Catalog'!$E$57+'Assumptions and Catalog'!$F$57,"Out of range")))))))),IF(((D327+E327)*C327)&lt;='Assumptions and Catalog'!$C$60,((D327+E327)*C327)*'Assumptions and Catalog'!$H$60+'Assumptions and Catalog'!$E$60+'Assumptions and Catalog'!$F$60,IF(((D327+E327)*C327)&lt;='Assumptions and Catalog'!$C$61,((D327+E327)*C327)*'Assumptions and Catalog'!$H$61+'Assumptions and Catalog'!$E$61+'Assumptions and Catalog'!$F$61,IF(((D327+E327)*C327)&lt;='Assumptions and Catalog'!$C$62,((D327+E327)*C327)*'Assumptions and Catalog'!$H$62+'Assumptions and Catalog'!$E$62+'Assumptions and Catalog'!$F$62,IF(((D327+E327)*C327)&lt;='Assumptions and Catalog'!$C$63,((D327+E327)*C327)*'Assumptions and Catalog'!$H$63+'Assumptions and Catalog'!$E$63+'Assumptions and Catalog'!$F$63,IF(((D327+E327)*C327)&lt;='Assumptions and Catalog'!$C$64,((D327+E327)*C327)*'Assumptions and Catalog'!$H$64+'Assumptions and Catalog'!$E$64+'Assumptions and Catalog'!$F$64,IF(((D327+E327)*C327)&lt;='Assumptions and Catalog'!$C$65,((D327+E327)*C327)*'Assumptions and Catalog'!$H$65+'Assumptions and Catalog'!$E$65+'Assumptions and Catalog'!$F$65,"Out of range")))))))))*(1+'Assumptions and Catalog'!$C$8)^(A327-1),0)</f>
        <v>6867.22</v>
      </c>
      <c r="N327" s="5" t="n">
        <f>IF(ISNUMBER(Inputs!$L$5),(IF(Inputs!$L$9="Actual flat rate",L327*Inputs!$L$10,IF(Inputs!$C$9="Residential",IF(L327&lt;='Assumptions and Catalog'!$C$50,L327*'Assumptions and Catalog'!$H$50+'Assumptions and Catalog'!$E$50+'Assumptions and Catalog'!$F$50,IF(L327&lt;='Assumptions and Catalog'!$C$51,L327*'Assumptions and Catalog'!$H$51+'Assumptions and Catalog'!$E$51+'Assumptions and Catalog'!$F$51,IF(L327&lt;='Assumptions and Catalog'!$C$52,L327*'Assumptions and Catalog'!$H$52+'Assumptions and Catalog'!$E$52+'Assumptions and Catalog'!$F$52,IF(L327&lt;='Assumptions and Catalog'!$C$53,L327*'Assumptions and Catalog'!$H$53+'Assumptions and Catalog'!$E$53+'Assumptions and Catalog'!$F$53,IF(L327&lt;='Assumptions and Catalog'!$C$54,L327*'Assumptions and Catalog'!$H$54+'Assumptions and Catalog'!$E$54+'Assumptions and Catalog'!$F$54,IF(L327&lt;='Assumptions and Catalog'!$C$55,L327*'Assumptions and Catalog'!$H$55+'Assumptions and Catalog'!$E$55+'Assumptions and Catalog'!$F$55,IF(L327&lt;='Assumptions and Catalog'!$C$56,L327*'Assumptions and Catalog'!$H$56+'Assumptions and Catalog'!$E$56+'Assumptions and Catalog'!$F$56,IF(L327&lt;='Assumptions and Catalog'!$C$57,L327*'Assumptions and Catalog'!$H$57+'Assumptions and Catalog'!$E$57+'Assumptions and Catalog'!$F$57,"Out of range")))))))),IF(L327&lt;='Assumptions and Catalog'!$C$60,L327*'Assumptions and Catalog'!$H$60+'Assumptions and Catalog'!$E$60+'Assumptions and Catalog'!$F$60,IF(L327&lt;='Assumptions and Catalog'!$C$61,L327*'Assumptions and Catalog'!$H$61+'Assumptions and Catalog'!$E$61+'Assumptions and Catalog'!$F$61,IF(L327&lt;='Assumptions and Catalog'!$C$62,L327*'Assumptions and Catalog'!$H$62+'Assumptions and Catalog'!$E$62+'Assumptions and Catalog'!$F$62,IF(L327&lt;='Assumptions and Catalog'!$C$63,L327*'Assumptions and Catalog'!$H$63+'Assumptions and Catalog'!$E$63+'Assumptions and Catalog'!$F$63,IF(L327&lt;='Assumptions and Catalog'!$C$64,L327*'Assumptions and Catalog'!$H$64+'Assumptions and Catalog'!$E$64+'Assumptions and Catalog'!$F$64,IF(L327&lt;='Assumptions and Catalog'!$C$65,L327*'Assumptions and Catalog'!$H$65+'Assumptions and Catalog'!$E$65+'Assumptions and Catalog'!$F$65,"Out of range")))))))))*(1+'Assumptions and Catalog'!$C$8)^(A327-1),0)</f>
        <v>3682.60243671534</v>
      </c>
      <c r="O327" s="5" t="n">
        <f>M327-N327</f>
        <v>3184.61756328466</v>
      </c>
      <c r="P327" s="5" t="n">
        <f>C$55*(1-J$14)*(1-'Assumptions and Catalog'!$C$23)^R327</f>
        <v>0</v>
      </c>
      <c r="Q327" s="5" t="n">
        <f>IF(ISNUMBER(Inputs!$L$5),(IF(Inputs!$L$9="Actual flat rate",((D327+E327)*C327-G327)*Inputs!$L$10,IF(Inputs!$C$9="Residential",IF(((D327+E327)*C327-G327)&lt;='Assumptions and Catalog'!$C$50,((D327+E327)*C327-G327)*'Assumptions and Catalog'!$H$50+'Assumptions and Catalog'!$E$50+'Assumptions and Catalog'!$F$50,IF(((D327+E327)*C327-G327)&lt;='Assumptions and Catalog'!$C$51,((D327+E327)*C327-G327)*'Assumptions and Catalog'!$H$51+'Assumptions and Catalog'!$E$51+'Assumptions and Catalog'!$F$51,IF(((D327+E327)*C327-G327)&lt;='Assumptions and Catalog'!$C$52,((D327+E327)*C327-G327)*'Assumptions and Catalog'!$H$52+'Assumptions and Catalog'!$E$52+'Assumptions and Catalog'!$F$52,IF(((D327+E327)*C327-G327)&lt;='Assumptions and Catalog'!$C$53,((D327+E327)*C327-G327)*'Assumptions and Catalog'!$H$53+'Assumptions and Catalog'!$E$53+'Assumptions and Catalog'!$F$53,IF(((D327+E327)*C327-G327)&lt;='Assumptions and Catalog'!$C$54,((D327+E327)*C327-G327)*'Assumptions and Catalog'!$H$54+'Assumptions and Catalog'!$E$54+'Assumptions and Catalog'!$F$54,IF(((D327+E327)*C327-G327)&lt;='Assumptions and Catalog'!$C$55,((D327+E327)*C327-G327)*'Assumptions and Catalog'!$H$55+'Assumptions and Catalog'!$E$55+'Assumptions and Catalog'!$F$55,IF(((D327+E327)*C327-G327)&lt;='Assumptions and Catalog'!$C$56,((D327+E327)*C327-G327)*'Assumptions and Catalog'!$H$56+'Assumptions and Catalog'!$E$56+'Assumptions and Catalog'!$F$56,IF(((D327+E327)*C327-G327)&lt;='Assumptions and Catalog'!$C$57,((D327+E327)*C327-G327)*'Assumptions and Catalog'!$H$57+'Assumptions and Catalog'!$E$57+'Assumptions and Catalog'!$F$57,"Out of range")))))))),IF(((D327+E327)*C327-G327)&lt;='Assumptions and Catalog'!$C$60,((D327+E327)*C327-G327)*'Assumptions and Catalog'!$H$60+'Assumptions and Catalog'!$E$60+'Assumptions and Catalog'!$F$60,IF(((D327+E327)*C327-G327)&lt;='Assumptions and Catalog'!$C$61,((D327+E327)*C327-G327)*'Assumptions and Catalog'!$H$61+'Assumptions and Catalog'!$E$61+'Assumptions and Catalog'!$F$61,IF(((D327+E327)*C327-G327)&lt;='Assumptions and Catalog'!$C$62,((D327+E327)*C327-G327)*'Assumptions and Catalog'!$H$62+'Assumptions and Catalog'!$E$62+'Assumptions and Catalog'!$F$62,IF(((D327+E327)*C327-G327)&lt;='Assumptions and Catalog'!$C$63,((D327+E327)*C327-G327)*'Assumptions and Catalog'!$H$63+'Assumptions and Catalog'!$E$63+'Assumptions and Catalog'!$F$63,IF(((D327+E327)*C327-G327)&lt;='Assumptions and Catalog'!$C$64,((D327+E327)*C327-G327)*'Assumptions and Catalog'!$H$64+'Assumptions and Catalog'!$E$64+'Assumptions and Catalog'!$F$64,IF(((D327+E327)*C327-G327)&lt;='Assumptions and Catalog'!$C$65,((D327+E327)*C327-G327)*'Assumptions and Catalog'!$H$65+'Assumptions and Catalog'!$E$65+'Assumptions and Catalog'!$F$65,"Out of range")))))))))*(1+'Assumptions and Catalog'!$C$8)^(A327-1),0)</f>
        <v>3682.60243671534</v>
      </c>
      <c r="R327" s="5" t="n">
        <f>IF(AND('Assumptions and Catalog'!$C$19&gt;0,A327&gt;='Assumptions and Catalog'!$C$19),A327-'Assumptions and Catalog'!$C$19,A327-1)</f>
        <v>3</v>
      </c>
      <c r="S327" s="5" t="n">
        <f>F327+L327-(D327+E327)*C327-J327-K327-0</f>
        <v>0</v>
      </c>
      <c r="T327" s="5"/>
      <c r="U327" s="5"/>
    </row>
    <row r="328" ht="23.100000381469727" customHeight="1">
      <c r="A328" s="5" t="n">
        <v>14</v>
      </c>
      <c r="B328" s="5" t="n">
        <v>12</v>
      </c>
      <c r="C328" s="5" t="n">
        <f>DAY(DATE('Assumptions and Catalog'!$C$24+A328-1,B328+1,0))</f>
        <v>31</v>
      </c>
      <c r="D328" s="5" t="n">
        <f>IF(ISNUMBER(Inputs!$L$5),Inputs!$L$5*Inputs!$L$6,0)</f>
        <v>40.35</v>
      </c>
      <c r="E328" s="5" t="n">
        <f>IF(ISNUMBER(Inputs!$L$5),Inputs!$L$5-D328,0)</f>
        <v>40.35</v>
      </c>
      <c r="F328" s="5" t="n">
        <f>C$51*INDEX('Solar Production'!$D$20:$D$31,B328)*C328*(1-'Assumptions and Catalog'!$C$10)^(A328-1)</f>
        <v>1075.12834837343</v>
      </c>
      <c r="G328" s="5" t="n">
        <f>MIN(F328,D328*C328)</f>
        <v>1075.12834837343</v>
      </c>
      <c r="H328" s="5" t="n">
        <f>I328/('Assumptions and Catalog'!$C$11*'Assumptions and Catalog'!$C$12)</f>
        <v>0</v>
      </c>
      <c r="I328" s="5" t="n">
        <f>0</f>
        <v>0</v>
      </c>
      <c r="J328" s="5" t="n">
        <f>MAX(F328-G328-H328,0)</f>
        <v>0</v>
      </c>
      <c r="K328" s="5" t="n">
        <f>H328-I328</f>
        <v>0</v>
      </c>
      <c r="L328" s="5" t="n">
        <f>(D328+E328)*C328-G328-I328+0+0</f>
        <v>1426.57165162657</v>
      </c>
      <c r="M328" s="5" t="n">
        <f>IF(ISNUMBER(Inputs!$L$5),(IF(Inputs!$L$9="Actual flat rate",((D328+E328)*C328)*Inputs!$L$10,IF(Inputs!$C$9="Residential",IF(((D328+E328)*C328)&lt;='Assumptions and Catalog'!$C$50,((D328+E328)*C328)*'Assumptions and Catalog'!$H$50+'Assumptions and Catalog'!$E$50+'Assumptions and Catalog'!$F$50,IF(((D328+E328)*C328)&lt;='Assumptions and Catalog'!$C$51,((D328+E328)*C328)*'Assumptions and Catalog'!$H$51+'Assumptions and Catalog'!$E$51+'Assumptions and Catalog'!$F$51,IF(((D328+E328)*C328)&lt;='Assumptions and Catalog'!$C$52,((D328+E328)*C328)*'Assumptions and Catalog'!$H$52+'Assumptions and Catalog'!$E$52+'Assumptions and Catalog'!$F$52,IF(((D328+E328)*C328)&lt;='Assumptions and Catalog'!$C$53,((D328+E328)*C328)*'Assumptions and Catalog'!$H$53+'Assumptions and Catalog'!$E$53+'Assumptions and Catalog'!$F$53,IF(((D328+E328)*C328)&lt;='Assumptions and Catalog'!$C$54,((D328+E328)*C328)*'Assumptions and Catalog'!$H$54+'Assumptions and Catalog'!$E$54+'Assumptions and Catalog'!$F$54,IF(((D328+E328)*C328)&lt;='Assumptions and Catalog'!$C$55,((D328+E328)*C328)*'Assumptions and Catalog'!$H$55+'Assumptions and Catalog'!$E$55+'Assumptions and Catalog'!$F$55,IF(((D328+E328)*C328)&lt;='Assumptions and Catalog'!$C$56,((D328+E328)*C328)*'Assumptions and Catalog'!$H$56+'Assumptions and Catalog'!$E$56+'Assumptions and Catalog'!$F$56,IF(((D328+E328)*C328)&lt;='Assumptions and Catalog'!$C$57,((D328+E328)*C328)*'Assumptions and Catalog'!$H$57+'Assumptions and Catalog'!$E$57+'Assumptions and Catalog'!$F$57,"Out of range")))))))),IF(((D328+E328)*C328)&lt;='Assumptions and Catalog'!$C$60,((D328+E328)*C328)*'Assumptions and Catalog'!$H$60+'Assumptions and Catalog'!$E$60+'Assumptions and Catalog'!$F$60,IF(((D328+E328)*C328)&lt;='Assumptions and Catalog'!$C$61,((D328+E328)*C328)*'Assumptions and Catalog'!$H$61+'Assumptions and Catalog'!$E$61+'Assumptions and Catalog'!$F$61,IF(((D328+E328)*C328)&lt;='Assumptions and Catalog'!$C$62,((D328+E328)*C328)*'Assumptions and Catalog'!$H$62+'Assumptions and Catalog'!$E$62+'Assumptions and Catalog'!$F$62,IF(((D328+E328)*C328)&lt;='Assumptions and Catalog'!$C$63,((D328+E328)*C328)*'Assumptions and Catalog'!$H$63+'Assumptions and Catalog'!$E$63+'Assumptions and Catalog'!$F$63,IF(((D328+E328)*C328)&lt;='Assumptions and Catalog'!$C$64,((D328+E328)*C328)*'Assumptions and Catalog'!$H$64+'Assumptions and Catalog'!$E$64+'Assumptions and Catalog'!$F$64,IF(((D328+E328)*C328)&lt;='Assumptions and Catalog'!$C$65,((D328+E328)*C328)*'Assumptions and Catalog'!$H$65+'Assumptions and Catalog'!$E$65+'Assumptions and Catalog'!$F$65,"Out of range")))))))))*(1+'Assumptions and Catalog'!$C$8)^(A328-1),0)</f>
        <v>7094.794</v>
      </c>
      <c r="N328" s="5" t="n">
        <f>IF(ISNUMBER(Inputs!$L$5),(IF(Inputs!$L$9="Actual flat rate",L328*Inputs!$L$10,IF(Inputs!$C$9="Residential",IF(L328&lt;='Assumptions and Catalog'!$C$50,L328*'Assumptions and Catalog'!$H$50+'Assumptions and Catalog'!$E$50+'Assumptions and Catalog'!$F$50,IF(L328&lt;='Assumptions and Catalog'!$C$51,L328*'Assumptions and Catalog'!$H$51+'Assumptions and Catalog'!$E$51+'Assumptions and Catalog'!$F$51,IF(L328&lt;='Assumptions and Catalog'!$C$52,L328*'Assumptions and Catalog'!$H$52+'Assumptions and Catalog'!$E$52+'Assumptions and Catalog'!$F$52,IF(L328&lt;='Assumptions and Catalog'!$C$53,L328*'Assumptions and Catalog'!$H$53+'Assumptions and Catalog'!$E$53+'Assumptions and Catalog'!$F$53,IF(L328&lt;='Assumptions and Catalog'!$C$54,L328*'Assumptions and Catalog'!$H$54+'Assumptions and Catalog'!$E$54+'Assumptions and Catalog'!$F$54,IF(L328&lt;='Assumptions and Catalog'!$C$55,L328*'Assumptions and Catalog'!$H$55+'Assumptions and Catalog'!$E$55+'Assumptions and Catalog'!$F$55,IF(L328&lt;='Assumptions and Catalog'!$C$56,L328*'Assumptions and Catalog'!$H$56+'Assumptions and Catalog'!$E$56+'Assumptions and Catalog'!$F$56,IF(L328&lt;='Assumptions and Catalog'!$C$57,L328*'Assumptions and Catalog'!$H$57+'Assumptions and Catalog'!$E$57+'Assumptions and Catalog'!$F$57,"Out of range")))))))),IF(L328&lt;='Assumptions and Catalog'!$C$60,L328*'Assumptions and Catalog'!$H$60+'Assumptions and Catalog'!$E$60+'Assumptions and Catalog'!$F$60,IF(L328&lt;='Assumptions and Catalog'!$C$61,L328*'Assumptions and Catalog'!$H$61+'Assumptions and Catalog'!$E$61+'Assumptions and Catalog'!$F$61,IF(L328&lt;='Assumptions and Catalog'!$C$62,L328*'Assumptions and Catalog'!$H$62+'Assumptions and Catalog'!$E$62+'Assumptions and Catalog'!$F$62,IF(L328&lt;='Assumptions and Catalog'!$C$63,L328*'Assumptions and Catalog'!$H$63+'Assumptions and Catalog'!$E$63+'Assumptions and Catalog'!$F$63,IF(L328&lt;='Assumptions and Catalog'!$C$64,L328*'Assumptions and Catalog'!$H$64+'Assumptions and Catalog'!$E$64+'Assumptions and Catalog'!$F$64,IF(L328&lt;='Assumptions and Catalog'!$C$65,L328*'Assumptions and Catalog'!$H$65+'Assumptions and Catalog'!$E$65+'Assumptions and Catalog'!$F$65,"Out of range")))))))))*(1+'Assumptions and Catalog'!$C$8)^(A328-1),0)</f>
        <v>4062.93205758692</v>
      </c>
      <c r="O328" s="5" t="n">
        <f>M328-N328</f>
        <v>3031.86194241308</v>
      </c>
      <c r="P328" s="5" t="n">
        <f>C$55*(1-J$14)*(1-'Assumptions and Catalog'!$C$23)^R328</f>
        <v>0</v>
      </c>
      <c r="Q328" s="5" t="n">
        <f>IF(ISNUMBER(Inputs!$L$5),(IF(Inputs!$L$9="Actual flat rate",((D328+E328)*C328-G328)*Inputs!$L$10,IF(Inputs!$C$9="Residential",IF(((D328+E328)*C328-G328)&lt;='Assumptions and Catalog'!$C$50,((D328+E328)*C328-G328)*'Assumptions and Catalog'!$H$50+'Assumptions and Catalog'!$E$50+'Assumptions and Catalog'!$F$50,IF(((D328+E328)*C328-G328)&lt;='Assumptions and Catalog'!$C$51,((D328+E328)*C328-G328)*'Assumptions and Catalog'!$H$51+'Assumptions and Catalog'!$E$51+'Assumptions and Catalog'!$F$51,IF(((D328+E328)*C328-G328)&lt;='Assumptions and Catalog'!$C$52,((D328+E328)*C328-G328)*'Assumptions and Catalog'!$H$52+'Assumptions and Catalog'!$E$52+'Assumptions and Catalog'!$F$52,IF(((D328+E328)*C328-G328)&lt;='Assumptions and Catalog'!$C$53,((D328+E328)*C328-G328)*'Assumptions and Catalog'!$H$53+'Assumptions and Catalog'!$E$53+'Assumptions and Catalog'!$F$53,IF(((D328+E328)*C328-G328)&lt;='Assumptions and Catalog'!$C$54,((D328+E328)*C328-G328)*'Assumptions and Catalog'!$H$54+'Assumptions and Catalog'!$E$54+'Assumptions and Catalog'!$F$54,IF(((D328+E328)*C328-G328)&lt;='Assumptions and Catalog'!$C$55,((D328+E328)*C328-G328)*'Assumptions and Catalog'!$H$55+'Assumptions and Catalog'!$E$55+'Assumptions and Catalog'!$F$55,IF(((D328+E328)*C328-G328)&lt;='Assumptions and Catalog'!$C$56,((D328+E328)*C328-G328)*'Assumptions and Catalog'!$H$56+'Assumptions and Catalog'!$E$56+'Assumptions and Catalog'!$F$56,IF(((D328+E328)*C328-G328)&lt;='Assumptions and Catalog'!$C$57,((D328+E328)*C328-G328)*'Assumptions and Catalog'!$H$57+'Assumptions and Catalog'!$E$57+'Assumptions and Catalog'!$F$57,"Out of range")))))))),IF(((D328+E328)*C328-G328)&lt;='Assumptions and Catalog'!$C$60,((D328+E328)*C328-G328)*'Assumptions and Catalog'!$H$60+'Assumptions and Catalog'!$E$60+'Assumptions and Catalog'!$F$60,IF(((D328+E328)*C328-G328)&lt;='Assumptions and Catalog'!$C$61,((D328+E328)*C328-G328)*'Assumptions and Catalog'!$H$61+'Assumptions and Catalog'!$E$61+'Assumptions and Catalog'!$F$61,IF(((D328+E328)*C328-G328)&lt;='Assumptions and Catalog'!$C$62,((D328+E328)*C328-G328)*'Assumptions and Catalog'!$H$62+'Assumptions and Catalog'!$E$62+'Assumptions and Catalog'!$F$62,IF(((D328+E328)*C328-G328)&lt;='Assumptions and Catalog'!$C$63,((D328+E328)*C328-G328)*'Assumptions and Catalog'!$H$63+'Assumptions and Catalog'!$E$63+'Assumptions and Catalog'!$F$63,IF(((D328+E328)*C328-G328)&lt;='Assumptions and Catalog'!$C$64,((D328+E328)*C328-G328)*'Assumptions and Catalog'!$H$64+'Assumptions and Catalog'!$E$64+'Assumptions and Catalog'!$F$64,IF(((D328+E328)*C328-G328)&lt;='Assumptions and Catalog'!$C$65,((D328+E328)*C328-G328)*'Assumptions and Catalog'!$H$65+'Assumptions and Catalog'!$E$65+'Assumptions and Catalog'!$F$65,"Out of range")))))))))*(1+'Assumptions and Catalog'!$C$8)^(A328-1),0)</f>
        <v>4062.93205758692</v>
      </c>
      <c r="R328" s="5" t="n">
        <f>IF(AND('Assumptions and Catalog'!$C$19&gt;0,A328&gt;='Assumptions and Catalog'!$C$19),A328-'Assumptions and Catalog'!$C$19,A328-1)</f>
        <v>3</v>
      </c>
      <c r="S328" s="5" t="n">
        <f>F328+L328-(D328+E328)*C328-J328-K328-0</f>
        <v>0</v>
      </c>
      <c r="T328" s="5"/>
      <c r="U328" s="5"/>
    </row>
    <row r="329" ht="23.100000381469727" customHeight="1">
      <c r="A329" s="5" t="n">
        <v>15</v>
      </c>
      <c r="B329" s="5" t="n">
        <v>1</v>
      </c>
      <c r="C329" s="5" t="n">
        <f>DAY(DATE('Assumptions and Catalog'!$C$24+A329-1,B329+1,0))</f>
        <v>31</v>
      </c>
      <c r="D329" s="5" t="n">
        <f>IF(ISNUMBER(Inputs!$L$5),Inputs!$L$5*Inputs!$L$6,0)</f>
        <v>40.35</v>
      </c>
      <c r="E329" s="5" t="n">
        <f>IF(ISNUMBER(Inputs!$L$5),Inputs!$L$5-D329,0)</f>
        <v>40.35</v>
      </c>
      <c r="F329" s="5" t="n">
        <f>C$51*INDEX('Solar Production'!$D$20:$D$31,B329)*C329*(1-'Assumptions and Catalog'!$C$10)^(A329-1)</f>
        <v>1077.13596917734</v>
      </c>
      <c r="G329" s="5" t="n">
        <f>MIN(F329,D329*C329)</f>
        <v>1077.13596917734</v>
      </c>
      <c r="H329" s="5" t="n">
        <f>I329/('Assumptions and Catalog'!$C$11*'Assumptions and Catalog'!$C$12)</f>
        <v>0</v>
      </c>
      <c r="I329" s="5" t="n">
        <f>0</f>
        <v>0</v>
      </c>
      <c r="J329" s="5" t="n">
        <f>MAX(F329-G329-H329,0)</f>
        <v>0</v>
      </c>
      <c r="K329" s="5" t="n">
        <f>H329-I329</f>
        <v>0</v>
      </c>
      <c r="L329" s="5" t="n">
        <f>(D329+E329)*C329-G329-I329+0+0</f>
        <v>1424.56403082266</v>
      </c>
      <c r="M329" s="5" t="n">
        <f>IF(ISNUMBER(Inputs!$L$5),(IF(Inputs!$L$9="Actual flat rate",((D329+E329)*C329)*Inputs!$L$10,IF(Inputs!$C$9="Residential",IF(((D329+E329)*C329)&lt;='Assumptions and Catalog'!$C$50,((D329+E329)*C329)*'Assumptions and Catalog'!$H$50+'Assumptions and Catalog'!$E$50+'Assumptions and Catalog'!$F$50,IF(((D329+E329)*C329)&lt;='Assumptions and Catalog'!$C$51,((D329+E329)*C329)*'Assumptions and Catalog'!$H$51+'Assumptions and Catalog'!$E$51+'Assumptions and Catalog'!$F$51,IF(((D329+E329)*C329)&lt;='Assumptions and Catalog'!$C$52,((D329+E329)*C329)*'Assumptions and Catalog'!$H$52+'Assumptions and Catalog'!$E$52+'Assumptions and Catalog'!$F$52,IF(((D329+E329)*C329)&lt;='Assumptions and Catalog'!$C$53,((D329+E329)*C329)*'Assumptions and Catalog'!$H$53+'Assumptions and Catalog'!$E$53+'Assumptions and Catalog'!$F$53,IF(((D329+E329)*C329)&lt;='Assumptions and Catalog'!$C$54,((D329+E329)*C329)*'Assumptions and Catalog'!$H$54+'Assumptions and Catalog'!$E$54+'Assumptions and Catalog'!$F$54,IF(((D329+E329)*C329)&lt;='Assumptions and Catalog'!$C$55,((D329+E329)*C329)*'Assumptions and Catalog'!$H$55+'Assumptions and Catalog'!$E$55+'Assumptions and Catalog'!$F$55,IF(((D329+E329)*C329)&lt;='Assumptions and Catalog'!$C$56,((D329+E329)*C329)*'Assumptions and Catalog'!$H$56+'Assumptions and Catalog'!$E$56+'Assumptions and Catalog'!$F$56,IF(((D329+E329)*C329)&lt;='Assumptions and Catalog'!$C$57,((D329+E329)*C329)*'Assumptions and Catalog'!$H$57+'Assumptions and Catalog'!$E$57+'Assumptions and Catalog'!$F$57,"Out of range")))))))),IF(((D329+E329)*C329)&lt;='Assumptions and Catalog'!$C$60,((D329+E329)*C329)*'Assumptions and Catalog'!$H$60+'Assumptions and Catalog'!$E$60+'Assumptions and Catalog'!$F$60,IF(((D329+E329)*C329)&lt;='Assumptions and Catalog'!$C$61,((D329+E329)*C329)*'Assumptions and Catalog'!$H$61+'Assumptions and Catalog'!$E$61+'Assumptions and Catalog'!$F$61,IF(((D329+E329)*C329)&lt;='Assumptions and Catalog'!$C$62,((D329+E329)*C329)*'Assumptions and Catalog'!$H$62+'Assumptions and Catalog'!$E$62+'Assumptions and Catalog'!$F$62,IF(((D329+E329)*C329)&lt;='Assumptions and Catalog'!$C$63,((D329+E329)*C329)*'Assumptions and Catalog'!$H$63+'Assumptions and Catalog'!$E$63+'Assumptions and Catalog'!$F$63,IF(((D329+E329)*C329)&lt;='Assumptions and Catalog'!$C$64,((D329+E329)*C329)*'Assumptions and Catalog'!$H$64+'Assumptions and Catalog'!$E$64+'Assumptions and Catalog'!$F$64,IF(((D329+E329)*C329)&lt;='Assumptions and Catalog'!$C$65,((D329+E329)*C329)*'Assumptions and Catalog'!$H$65+'Assumptions and Catalog'!$E$65+'Assumptions and Catalog'!$F$65,"Out of range")))))))))*(1+'Assumptions and Catalog'!$C$8)^(A329-1),0)</f>
        <v>7094.794</v>
      </c>
      <c r="N329" s="5" t="n">
        <f>IF(ISNUMBER(Inputs!$L$5),(IF(Inputs!$L$9="Actual flat rate",L329*Inputs!$L$10,IF(Inputs!$C$9="Residential",IF(L329&lt;='Assumptions and Catalog'!$C$50,L329*'Assumptions and Catalog'!$H$50+'Assumptions and Catalog'!$E$50+'Assumptions and Catalog'!$F$50,IF(L329&lt;='Assumptions and Catalog'!$C$51,L329*'Assumptions and Catalog'!$H$51+'Assumptions and Catalog'!$E$51+'Assumptions and Catalog'!$F$51,IF(L329&lt;='Assumptions and Catalog'!$C$52,L329*'Assumptions and Catalog'!$H$52+'Assumptions and Catalog'!$E$52+'Assumptions and Catalog'!$F$52,IF(L329&lt;='Assumptions and Catalog'!$C$53,L329*'Assumptions and Catalog'!$H$53+'Assumptions and Catalog'!$E$53+'Assumptions and Catalog'!$F$53,IF(L329&lt;='Assumptions and Catalog'!$C$54,L329*'Assumptions and Catalog'!$H$54+'Assumptions and Catalog'!$E$54+'Assumptions and Catalog'!$F$54,IF(L329&lt;='Assumptions and Catalog'!$C$55,L329*'Assumptions and Catalog'!$H$55+'Assumptions and Catalog'!$E$55+'Assumptions and Catalog'!$F$55,IF(L329&lt;='Assumptions and Catalog'!$C$56,L329*'Assumptions and Catalog'!$H$56+'Assumptions and Catalog'!$E$56+'Assumptions and Catalog'!$F$56,IF(L329&lt;='Assumptions and Catalog'!$C$57,L329*'Assumptions and Catalog'!$H$57+'Assumptions and Catalog'!$E$57+'Assumptions and Catalog'!$F$57,"Out of range")))))))),IF(L329&lt;='Assumptions and Catalog'!$C$60,L329*'Assumptions and Catalog'!$H$60+'Assumptions and Catalog'!$E$60+'Assumptions and Catalog'!$F$60,IF(L329&lt;='Assumptions and Catalog'!$C$61,L329*'Assumptions and Catalog'!$H$61+'Assumptions and Catalog'!$E$61+'Assumptions and Catalog'!$F$61,IF(L329&lt;='Assumptions and Catalog'!$C$62,L329*'Assumptions and Catalog'!$H$62+'Assumptions and Catalog'!$E$62+'Assumptions and Catalog'!$F$62,IF(L329&lt;='Assumptions and Catalog'!$C$63,L329*'Assumptions and Catalog'!$H$63+'Assumptions and Catalog'!$E$63+'Assumptions and Catalog'!$F$63,IF(L329&lt;='Assumptions and Catalog'!$C$64,L329*'Assumptions and Catalog'!$H$64+'Assumptions and Catalog'!$E$64+'Assumptions and Catalog'!$F$64,IF(L329&lt;='Assumptions and Catalog'!$C$65,L329*'Assumptions and Catalog'!$H$65+'Assumptions and Catalog'!$E$65+'Assumptions and Catalog'!$F$65,"Out of range")))))))))*(1+'Assumptions and Catalog'!$C$8)^(A329-1),0)</f>
        <v>4057.27056691991</v>
      </c>
      <c r="O329" s="5" t="n">
        <f>M329-N329</f>
        <v>3037.52343308009</v>
      </c>
      <c r="P329" s="5" t="n">
        <f>C$55*(1-J$14)*(1-'Assumptions and Catalog'!$C$23)^R329</f>
        <v>0</v>
      </c>
      <c r="Q329" s="5" t="n">
        <f>IF(ISNUMBER(Inputs!$L$5),(IF(Inputs!$L$9="Actual flat rate",((D329+E329)*C329-G329)*Inputs!$L$10,IF(Inputs!$C$9="Residential",IF(((D329+E329)*C329-G329)&lt;='Assumptions and Catalog'!$C$50,((D329+E329)*C329-G329)*'Assumptions and Catalog'!$H$50+'Assumptions and Catalog'!$E$50+'Assumptions and Catalog'!$F$50,IF(((D329+E329)*C329-G329)&lt;='Assumptions and Catalog'!$C$51,((D329+E329)*C329-G329)*'Assumptions and Catalog'!$H$51+'Assumptions and Catalog'!$E$51+'Assumptions and Catalog'!$F$51,IF(((D329+E329)*C329-G329)&lt;='Assumptions and Catalog'!$C$52,((D329+E329)*C329-G329)*'Assumptions and Catalog'!$H$52+'Assumptions and Catalog'!$E$52+'Assumptions and Catalog'!$F$52,IF(((D329+E329)*C329-G329)&lt;='Assumptions and Catalog'!$C$53,((D329+E329)*C329-G329)*'Assumptions and Catalog'!$H$53+'Assumptions and Catalog'!$E$53+'Assumptions and Catalog'!$F$53,IF(((D329+E329)*C329-G329)&lt;='Assumptions and Catalog'!$C$54,((D329+E329)*C329-G329)*'Assumptions and Catalog'!$H$54+'Assumptions and Catalog'!$E$54+'Assumptions and Catalog'!$F$54,IF(((D329+E329)*C329-G329)&lt;='Assumptions and Catalog'!$C$55,((D329+E329)*C329-G329)*'Assumptions and Catalog'!$H$55+'Assumptions and Catalog'!$E$55+'Assumptions and Catalog'!$F$55,IF(((D329+E329)*C329-G329)&lt;='Assumptions and Catalog'!$C$56,((D329+E329)*C329-G329)*'Assumptions and Catalog'!$H$56+'Assumptions and Catalog'!$E$56+'Assumptions and Catalog'!$F$56,IF(((D329+E329)*C329-G329)&lt;='Assumptions and Catalog'!$C$57,((D329+E329)*C329-G329)*'Assumptions and Catalog'!$H$57+'Assumptions and Catalog'!$E$57+'Assumptions and Catalog'!$F$57,"Out of range")))))))),IF(((D329+E329)*C329-G329)&lt;='Assumptions and Catalog'!$C$60,((D329+E329)*C329-G329)*'Assumptions and Catalog'!$H$60+'Assumptions and Catalog'!$E$60+'Assumptions and Catalog'!$F$60,IF(((D329+E329)*C329-G329)&lt;='Assumptions and Catalog'!$C$61,((D329+E329)*C329-G329)*'Assumptions and Catalog'!$H$61+'Assumptions and Catalog'!$E$61+'Assumptions and Catalog'!$F$61,IF(((D329+E329)*C329-G329)&lt;='Assumptions and Catalog'!$C$62,((D329+E329)*C329-G329)*'Assumptions and Catalog'!$H$62+'Assumptions and Catalog'!$E$62+'Assumptions and Catalog'!$F$62,IF(((D329+E329)*C329-G329)&lt;='Assumptions and Catalog'!$C$63,((D329+E329)*C329-G329)*'Assumptions and Catalog'!$H$63+'Assumptions and Catalog'!$E$63+'Assumptions and Catalog'!$F$63,IF(((D329+E329)*C329-G329)&lt;='Assumptions and Catalog'!$C$64,((D329+E329)*C329-G329)*'Assumptions and Catalog'!$H$64+'Assumptions and Catalog'!$E$64+'Assumptions and Catalog'!$F$64,IF(((D329+E329)*C329-G329)&lt;='Assumptions and Catalog'!$C$65,((D329+E329)*C329-G329)*'Assumptions and Catalog'!$H$65+'Assumptions and Catalog'!$E$65+'Assumptions and Catalog'!$F$65,"Out of range")))))))))*(1+'Assumptions and Catalog'!$C$8)^(A329-1),0)</f>
        <v>4057.27056691991</v>
      </c>
      <c r="R329" s="5" t="n">
        <f>IF(AND('Assumptions and Catalog'!$C$19&gt;0,A329&gt;='Assumptions and Catalog'!$C$19),A329-'Assumptions and Catalog'!$C$19,A329-1)</f>
        <v>4</v>
      </c>
      <c r="S329" s="5" t="n">
        <f>F329+L329-(D329+E329)*C329-J329-K329-0</f>
        <v>0</v>
      </c>
      <c r="T329" s="5"/>
      <c r="U329" s="5"/>
    </row>
    <row r="330" ht="23.100000381469727" customHeight="1">
      <c r="A330" s="5" t="n">
        <v>15</v>
      </c>
      <c r="B330" s="5" t="n">
        <v>2</v>
      </c>
      <c r="C330" s="5" t="n">
        <f>DAY(DATE('Assumptions and Catalog'!$C$24+A330-1,B330+1,0))</f>
        <v>28</v>
      </c>
      <c r="D330" s="5" t="n">
        <f>IF(ISNUMBER(Inputs!$L$5),Inputs!$L$5*Inputs!$L$6,0)</f>
        <v>40.35</v>
      </c>
      <c r="E330" s="5" t="n">
        <f>IF(ISNUMBER(Inputs!$L$5),Inputs!$L$5-D330,0)</f>
        <v>40.35</v>
      </c>
      <c r="F330" s="5" t="n">
        <f>C$51*INDEX('Solar Production'!$D$20:$D$31,B330)*C330*(1-'Assumptions and Catalog'!$C$10)^(A330-1)</f>
        <v>1061.95926283325</v>
      </c>
      <c r="G330" s="5" t="n">
        <f>MIN(F330,D330*C330)</f>
        <v>1061.95926283325</v>
      </c>
      <c r="H330" s="5" t="n">
        <f>I330/('Assumptions and Catalog'!$C$11*'Assumptions and Catalog'!$C$12)</f>
        <v>0</v>
      </c>
      <c r="I330" s="5" t="n">
        <f>0</f>
        <v>0</v>
      </c>
      <c r="J330" s="5" t="n">
        <f>MAX(F330-G330-H330,0)</f>
        <v>0</v>
      </c>
      <c r="K330" s="5" t="n">
        <f>H330-I330</f>
        <v>0</v>
      </c>
      <c r="L330" s="5" t="n">
        <f>(D330+E330)*C330-G330-I330+0+0</f>
        <v>1197.64073716675</v>
      </c>
      <c r="M330" s="5" t="n">
        <f>IF(ISNUMBER(Inputs!$L$5),(IF(Inputs!$L$9="Actual flat rate",((D330+E330)*C330)*Inputs!$L$10,IF(Inputs!$C$9="Residential",IF(((D330+E330)*C330)&lt;='Assumptions and Catalog'!$C$50,((D330+E330)*C330)*'Assumptions and Catalog'!$H$50+'Assumptions and Catalog'!$E$50+'Assumptions and Catalog'!$F$50,IF(((D330+E330)*C330)&lt;='Assumptions and Catalog'!$C$51,((D330+E330)*C330)*'Assumptions and Catalog'!$H$51+'Assumptions and Catalog'!$E$51+'Assumptions and Catalog'!$F$51,IF(((D330+E330)*C330)&lt;='Assumptions and Catalog'!$C$52,((D330+E330)*C330)*'Assumptions and Catalog'!$H$52+'Assumptions and Catalog'!$E$52+'Assumptions and Catalog'!$F$52,IF(((D330+E330)*C330)&lt;='Assumptions and Catalog'!$C$53,((D330+E330)*C330)*'Assumptions and Catalog'!$H$53+'Assumptions and Catalog'!$E$53+'Assumptions and Catalog'!$F$53,IF(((D330+E330)*C330)&lt;='Assumptions and Catalog'!$C$54,((D330+E330)*C330)*'Assumptions and Catalog'!$H$54+'Assumptions and Catalog'!$E$54+'Assumptions and Catalog'!$F$54,IF(((D330+E330)*C330)&lt;='Assumptions and Catalog'!$C$55,((D330+E330)*C330)*'Assumptions and Catalog'!$H$55+'Assumptions and Catalog'!$E$55+'Assumptions and Catalog'!$F$55,IF(((D330+E330)*C330)&lt;='Assumptions and Catalog'!$C$56,((D330+E330)*C330)*'Assumptions and Catalog'!$H$56+'Assumptions and Catalog'!$E$56+'Assumptions and Catalog'!$F$56,IF(((D330+E330)*C330)&lt;='Assumptions and Catalog'!$C$57,((D330+E330)*C330)*'Assumptions and Catalog'!$H$57+'Assumptions and Catalog'!$E$57+'Assumptions and Catalog'!$F$57,"Out of range")))))))),IF(((D330+E330)*C330)&lt;='Assumptions and Catalog'!$C$60,((D330+E330)*C330)*'Assumptions and Catalog'!$H$60+'Assumptions and Catalog'!$E$60+'Assumptions and Catalog'!$F$60,IF(((D330+E330)*C330)&lt;='Assumptions and Catalog'!$C$61,((D330+E330)*C330)*'Assumptions and Catalog'!$H$61+'Assumptions and Catalog'!$E$61+'Assumptions and Catalog'!$F$61,IF(((D330+E330)*C330)&lt;='Assumptions and Catalog'!$C$62,((D330+E330)*C330)*'Assumptions and Catalog'!$H$62+'Assumptions and Catalog'!$E$62+'Assumptions and Catalog'!$F$62,IF(((D330+E330)*C330)&lt;='Assumptions and Catalog'!$C$63,((D330+E330)*C330)*'Assumptions and Catalog'!$H$63+'Assumptions and Catalog'!$E$63+'Assumptions and Catalog'!$F$63,IF(((D330+E330)*C330)&lt;='Assumptions and Catalog'!$C$64,((D330+E330)*C330)*'Assumptions and Catalog'!$H$64+'Assumptions and Catalog'!$E$64+'Assumptions and Catalog'!$F$64,IF(((D330+E330)*C330)&lt;='Assumptions and Catalog'!$C$65,((D330+E330)*C330)*'Assumptions and Catalog'!$H$65+'Assumptions and Catalog'!$E$65+'Assumptions and Catalog'!$F$65,"Out of range")))))))))*(1+'Assumptions and Catalog'!$C$8)^(A330-1),0)</f>
        <v>6412.072</v>
      </c>
      <c r="N330" s="5" t="n">
        <f>IF(ISNUMBER(Inputs!$L$5),(IF(Inputs!$L$9="Actual flat rate",L330*Inputs!$L$10,IF(Inputs!$C$9="Residential",IF(L330&lt;='Assumptions and Catalog'!$C$50,L330*'Assumptions and Catalog'!$H$50+'Assumptions and Catalog'!$E$50+'Assumptions and Catalog'!$F$50,IF(L330&lt;='Assumptions and Catalog'!$C$51,L330*'Assumptions and Catalog'!$H$51+'Assumptions and Catalog'!$E$51+'Assumptions and Catalog'!$F$51,IF(L330&lt;='Assumptions and Catalog'!$C$52,L330*'Assumptions and Catalog'!$H$52+'Assumptions and Catalog'!$E$52+'Assumptions and Catalog'!$F$52,IF(L330&lt;='Assumptions and Catalog'!$C$53,L330*'Assumptions and Catalog'!$H$53+'Assumptions and Catalog'!$E$53+'Assumptions and Catalog'!$F$53,IF(L330&lt;='Assumptions and Catalog'!$C$54,L330*'Assumptions and Catalog'!$H$54+'Assumptions and Catalog'!$E$54+'Assumptions and Catalog'!$F$54,IF(L330&lt;='Assumptions and Catalog'!$C$55,L330*'Assumptions and Catalog'!$H$55+'Assumptions and Catalog'!$E$55+'Assumptions and Catalog'!$F$55,IF(L330&lt;='Assumptions and Catalog'!$C$56,L330*'Assumptions and Catalog'!$H$56+'Assumptions and Catalog'!$E$56+'Assumptions and Catalog'!$F$56,IF(L330&lt;='Assumptions and Catalog'!$C$57,L330*'Assumptions and Catalog'!$H$57+'Assumptions and Catalog'!$E$57+'Assumptions and Catalog'!$F$57,"Out of range")))))))),IF(L330&lt;='Assumptions and Catalog'!$C$60,L330*'Assumptions and Catalog'!$H$60+'Assumptions and Catalog'!$E$60+'Assumptions and Catalog'!$F$60,IF(L330&lt;='Assumptions and Catalog'!$C$61,L330*'Assumptions and Catalog'!$H$61+'Assumptions and Catalog'!$E$61+'Assumptions and Catalog'!$F$61,IF(L330&lt;='Assumptions and Catalog'!$C$62,L330*'Assumptions and Catalog'!$H$62+'Assumptions and Catalog'!$E$62+'Assumptions and Catalog'!$F$62,IF(L330&lt;='Assumptions and Catalog'!$C$63,L330*'Assumptions and Catalog'!$H$63+'Assumptions and Catalog'!$E$63+'Assumptions and Catalog'!$F$63,IF(L330&lt;='Assumptions and Catalog'!$C$64,L330*'Assumptions and Catalog'!$H$64+'Assumptions and Catalog'!$E$64+'Assumptions and Catalog'!$F$64,IF(L330&lt;='Assumptions and Catalog'!$C$65,L330*'Assumptions and Catalog'!$H$65+'Assumptions and Catalog'!$E$65+'Assumptions and Catalog'!$F$65,"Out of range")))))))))*(1+'Assumptions and Catalog'!$C$8)^(A330-1),0)</f>
        <v>3417.34687881023</v>
      </c>
      <c r="O330" s="5" t="n">
        <f>M330-N330</f>
        <v>2994.72512118977</v>
      </c>
      <c r="P330" s="5" t="n">
        <f>C$55*(1-J$14)*(1-'Assumptions and Catalog'!$C$23)^R330</f>
        <v>0</v>
      </c>
      <c r="Q330" s="5" t="n">
        <f>IF(ISNUMBER(Inputs!$L$5),(IF(Inputs!$L$9="Actual flat rate",((D330+E330)*C330-G330)*Inputs!$L$10,IF(Inputs!$C$9="Residential",IF(((D330+E330)*C330-G330)&lt;='Assumptions and Catalog'!$C$50,((D330+E330)*C330-G330)*'Assumptions and Catalog'!$H$50+'Assumptions and Catalog'!$E$50+'Assumptions and Catalog'!$F$50,IF(((D330+E330)*C330-G330)&lt;='Assumptions and Catalog'!$C$51,((D330+E330)*C330-G330)*'Assumptions and Catalog'!$H$51+'Assumptions and Catalog'!$E$51+'Assumptions and Catalog'!$F$51,IF(((D330+E330)*C330-G330)&lt;='Assumptions and Catalog'!$C$52,((D330+E330)*C330-G330)*'Assumptions and Catalog'!$H$52+'Assumptions and Catalog'!$E$52+'Assumptions and Catalog'!$F$52,IF(((D330+E330)*C330-G330)&lt;='Assumptions and Catalog'!$C$53,((D330+E330)*C330-G330)*'Assumptions and Catalog'!$H$53+'Assumptions and Catalog'!$E$53+'Assumptions and Catalog'!$F$53,IF(((D330+E330)*C330-G330)&lt;='Assumptions and Catalog'!$C$54,((D330+E330)*C330-G330)*'Assumptions and Catalog'!$H$54+'Assumptions and Catalog'!$E$54+'Assumptions and Catalog'!$F$54,IF(((D330+E330)*C330-G330)&lt;='Assumptions and Catalog'!$C$55,((D330+E330)*C330-G330)*'Assumptions and Catalog'!$H$55+'Assumptions and Catalog'!$E$55+'Assumptions and Catalog'!$F$55,IF(((D330+E330)*C330-G330)&lt;='Assumptions and Catalog'!$C$56,((D330+E330)*C330-G330)*'Assumptions and Catalog'!$H$56+'Assumptions and Catalog'!$E$56+'Assumptions and Catalog'!$F$56,IF(((D330+E330)*C330-G330)&lt;='Assumptions and Catalog'!$C$57,((D330+E330)*C330-G330)*'Assumptions and Catalog'!$H$57+'Assumptions and Catalog'!$E$57+'Assumptions and Catalog'!$F$57,"Out of range")))))))),IF(((D330+E330)*C330-G330)&lt;='Assumptions and Catalog'!$C$60,((D330+E330)*C330-G330)*'Assumptions and Catalog'!$H$60+'Assumptions and Catalog'!$E$60+'Assumptions and Catalog'!$F$60,IF(((D330+E330)*C330-G330)&lt;='Assumptions and Catalog'!$C$61,((D330+E330)*C330-G330)*'Assumptions and Catalog'!$H$61+'Assumptions and Catalog'!$E$61+'Assumptions and Catalog'!$F$61,IF(((D330+E330)*C330-G330)&lt;='Assumptions and Catalog'!$C$62,((D330+E330)*C330-G330)*'Assumptions and Catalog'!$H$62+'Assumptions and Catalog'!$E$62+'Assumptions and Catalog'!$F$62,IF(((D330+E330)*C330-G330)&lt;='Assumptions and Catalog'!$C$63,((D330+E330)*C330-G330)*'Assumptions and Catalog'!$H$63+'Assumptions and Catalog'!$E$63+'Assumptions and Catalog'!$F$63,IF(((D330+E330)*C330-G330)&lt;='Assumptions and Catalog'!$C$64,((D330+E330)*C330-G330)*'Assumptions and Catalog'!$H$64+'Assumptions and Catalog'!$E$64+'Assumptions and Catalog'!$F$64,IF(((D330+E330)*C330-G330)&lt;='Assumptions and Catalog'!$C$65,((D330+E330)*C330-G330)*'Assumptions and Catalog'!$H$65+'Assumptions and Catalog'!$E$65+'Assumptions and Catalog'!$F$65,"Out of range")))))))))*(1+'Assumptions and Catalog'!$C$8)^(A330-1),0)</f>
        <v>3417.34687881023</v>
      </c>
      <c r="R330" s="5" t="n">
        <f>IF(AND('Assumptions and Catalog'!$C$19&gt;0,A330&gt;='Assumptions and Catalog'!$C$19),A330-'Assumptions and Catalog'!$C$19,A330-1)</f>
        <v>4</v>
      </c>
      <c r="S330" s="5" t="n">
        <f>F330+L330-(D330+E330)*C330-J330-K330-0</f>
        <v>0</v>
      </c>
      <c r="T330" s="5"/>
      <c r="U330" s="5"/>
    </row>
    <row r="331" ht="23.100000381469727" customHeight="1">
      <c r="A331" s="5" t="n">
        <v>15</v>
      </c>
      <c r="B331" s="5" t="n">
        <v>3</v>
      </c>
      <c r="C331" s="5" t="n">
        <f>DAY(DATE('Assumptions and Catalog'!$C$24+A331-1,B331+1,0))</f>
        <v>31</v>
      </c>
      <c r="D331" s="5" t="n">
        <f>IF(ISNUMBER(Inputs!$L$5),Inputs!$L$5*Inputs!$L$6,0)</f>
        <v>40.35</v>
      </c>
      <c r="E331" s="5" t="n">
        <f>IF(ISNUMBER(Inputs!$L$5),Inputs!$L$5-D331,0)</f>
        <v>40.35</v>
      </c>
      <c r="F331" s="5" t="n">
        <f>C$51*INDEX('Solar Production'!$D$20:$D$31,B331)*C331*(1-'Assumptions and Catalog'!$C$10)^(A331-1)</f>
        <v>1321.2758506908</v>
      </c>
      <c r="G331" s="5" t="n">
        <f>MIN(F331,D331*C331)</f>
        <v>1250.85</v>
      </c>
      <c r="H331" s="5" t="n">
        <f>I331/('Assumptions and Catalog'!$C$11*'Assumptions and Catalog'!$C$12)</f>
        <v>0</v>
      </c>
      <c r="I331" s="5" t="n">
        <f>0</f>
        <v>0</v>
      </c>
      <c r="J331" s="5" t="n">
        <f>MAX(F331-G331-H331,0)</f>
        <v>70.4258506907968</v>
      </c>
      <c r="K331" s="5" t="n">
        <f>H331-I331</f>
        <v>0</v>
      </c>
      <c r="L331" s="5" t="n">
        <f>(D331+E331)*C331-G331-I331+0+0</f>
        <v>1250.85</v>
      </c>
      <c r="M331" s="5" t="n">
        <f>IF(ISNUMBER(Inputs!$L$5),(IF(Inputs!$L$9="Actual flat rate",((D331+E331)*C331)*Inputs!$L$10,IF(Inputs!$C$9="Residential",IF(((D331+E331)*C331)&lt;='Assumptions and Catalog'!$C$50,((D331+E331)*C331)*'Assumptions and Catalog'!$H$50+'Assumptions and Catalog'!$E$50+'Assumptions and Catalog'!$F$50,IF(((D331+E331)*C331)&lt;='Assumptions and Catalog'!$C$51,((D331+E331)*C331)*'Assumptions and Catalog'!$H$51+'Assumptions and Catalog'!$E$51+'Assumptions and Catalog'!$F$51,IF(((D331+E331)*C331)&lt;='Assumptions and Catalog'!$C$52,((D331+E331)*C331)*'Assumptions and Catalog'!$H$52+'Assumptions and Catalog'!$E$52+'Assumptions and Catalog'!$F$52,IF(((D331+E331)*C331)&lt;='Assumptions and Catalog'!$C$53,((D331+E331)*C331)*'Assumptions and Catalog'!$H$53+'Assumptions and Catalog'!$E$53+'Assumptions and Catalog'!$F$53,IF(((D331+E331)*C331)&lt;='Assumptions and Catalog'!$C$54,((D331+E331)*C331)*'Assumptions and Catalog'!$H$54+'Assumptions and Catalog'!$E$54+'Assumptions and Catalog'!$F$54,IF(((D331+E331)*C331)&lt;='Assumptions and Catalog'!$C$55,((D331+E331)*C331)*'Assumptions and Catalog'!$H$55+'Assumptions and Catalog'!$E$55+'Assumptions and Catalog'!$F$55,IF(((D331+E331)*C331)&lt;='Assumptions and Catalog'!$C$56,((D331+E331)*C331)*'Assumptions and Catalog'!$H$56+'Assumptions and Catalog'!$E$56+'Assumptions and Catalog'!$F$56,IF(((D331+E331)*C331)&lt;='Assumptions and Catalog'!$C$57,((D331+E331)*C331)*'Assumptions and Catalog'!$H$57+'Assumptions and Catalog'!$E$57+'Assumptions and Catalog'!$F$57,"Out of range")))))))),IF(((D331+E331)*C331)&lt;='Assumptions and Catalog'!$C$60,((D331+E331)*C331)*'Assumptions and Catalog'!$H$60+'Assumptions and Catalog'!$E$60+'Assumptions and Catalog'!$F$60,IF(((D331+E331)*C331)&lt;='Assumptions and Catalog'!$C$61,((D331+E331)*C331)*'Assumptions and Catalog'!$H$61+'Assumptions and Catalog'!$E$61+'Assumptions and Catalog'!$F$61,IF(((D331+E331)*C331)&lt;='Assumptions and Catalog'!$C$62,((D331+E331)*C331)*'Assumptions and Catalog'!$H$62+'Assumptions and Catalog'!$E$62+'Assumptions and Catalog'!$F$62,IF(((D331+E331)*C331)&lt;='Assumptions and Catalog'!$C$63,((D331+E331)*C331)*'Assumptions and Catalog'!$H$63+'Assumptions and Catalog'!$E$63+'Assumptions and Catalog'!$F$63,IF(((D331+E331)*C331)&lt;='Assumptions and Catalog'!$C$64,((D331+E331)*C331)*'Assumptions and Catalog'!$H$64+'Assumptions and Catalog'!$E$64+'Assumptions and Catalog'!$F$64,IF(((D331+E331)*C331)&lt;='Assumptions and Catalog'!$C$65,((D331+E331)*C331)*'Assumptions and Catalog'!$H$65+'Assumptions and Catalog'!$E$65+'Assumptions and Catalog'!$F$65,"Out of range")))))))))*(1+'Assumptions and Catalog'!$C$8)^(A331-1),0)</f>
        <v>7094.794</v>
      </c>
      <c r="N331" s="5" t="n">
        <f>IF(ISNUMBER(Inputs!$L$5),(IF(Inputs!$L$9="Actual flat rate",L331*Inputs!$L$10,IF(Inputs!$C$9="Residential",IF(L331&lt;='Assumptions and Catalog'!$C$50,L331*'Assumptions and Catalog'!$H$50+'Assumptions and Catalog'!$E$50+'Assumptions and Catalog'!$F$50,IF(L331&lt;='Assumptions and Catalog'!$C$51,L331*'Assumptions and Catalog'!$H$51+'Assumptions and Catalog'!$E$51+'Assumptions and Catalog'!$F$51,IF(L331&lt;='Assumptions and Catalog'!$C$52,L331*'Assumptions and Catalog'!$H$52+'Assumptions and Catalog'!$E$52+'Assumptions and Catalog'!$F$52,IF(L331&lt;='Assumptions and Catalog'!$C$53,L331*'Assumptions and Catalog'!$H$53+'Assumptions and Catalog'!$E$53+'Assumptions and Catalog'!$F$53,IF(L331&lt;='Assumptions and Catalog'!$C$54,L331*'Assumptions and Catalog'!$H$54+'Assumptions and Catalog'!$E$54+'Assumptions and Catalog'!$F$54,IF(L331&lt;='Assumptions and Catalog'!$C$55,L331*'Assumptions and Catalog'!$H$55+'Assumptions and Catalog'!$E$55+'Assumptions and Catalog'!$F$55,IF(L331&lt;='Assumptions and Catalog'!$C$56,L331*'Assumptions and Catalog'!$H$56+'Assumptions and Catalog'!$E$56+'Assumptions and Catalog'!$F$56,IF(L331&lt;='Assumptions and Catalog'!$C$57,L331*'Assumptions and Catalog'!$H$57+'Assumptions and Catalog'!$E$57+'Assumptions and Catalog'!$F$57,"Out of range")))))))),IF(L331&lt;='Assumptions and Catalog'!$C$60,L331*'Assumptions and Catalog'!$H$60+'Assumptions and Catalog'!$E$60+'Assumptions and Catalog'!$F$60,IF(L331&lt;='Assumptions and Catalog'!$C$61,L331*'Assumptions and Catalog'!$H$61+'Assumptions and Catalog'!$E$61+'Assumptions and Catalog'!$F$61,IF(L331&lt;='Assumptions and Catalog'!$C$62,L331*'Assumptions and Catalog'!$H$62+'Assumptions and Catalog'!$E$62+'Assumptions and Catalog'!$F$62,IF(L331&lt;='Assumptions and Catalog'!$C$63,L331*'Assumptions and Catalog'!$H$63+'Assumptions and Catalog'!$E$63+'Assumptions and Catalog'!$F$63,IF(L331&lt;='Assumptions and Catalog'!$C$64,L331*'Assumptions and Catalog'!$H$64+'Assumptions and Catalog'!$E$64+'Assumptions and Catalog'!$F$64,IF(L331&lt;='Assumptions and Catalog'!$C$65,L331*'Assumptions and Catalog'!$H$65+'Assumptions and Catalog'!$E$65+'Assumptions and Catalog'!$F$65,"Out of range")))))))))*(1+'Assumptions and Catalog'!$C$8)^(A331-1),0)</f>
        <v>3567.397</v>
      </c>
      <c r="O331" s="5" t="n">
        <f>M331-N331</f>
        <v>3527.397</v>
      </c>
      <c r="P331" s="5" t="n">
        <f>C$55*(1-J$14)*(1-'Assumptions and Catalog'!$C$23)^R331</f>
        <v>0</v>
      </c>
      <c r="Q331" s="5" t="n">
        <f>IF(ISNUMBER(Inputs!$L$5),(IF(Inputs!$L$9="Actual flat rate",((D331+E331)*C331-G331)*Inputs!$L$10,IF(Inputs!$C$9="Residential",IF(((D331+E331)*C331-G331)&lt;='Assumptions and Catalog'!$C$50,((D331+E331)*C331-G331)*'Assumptions and Catalog'!$H$50+'Assumptions and Catalog'!$E$50+'Assumptions and Catalog'!$F$50,IF(((D331+E331)*C331-G331)&lt;='Assumptions and Catalog'!$C$51,((D331+E331)*C331-G331)*'Assumptions and Catalog'!$H$51+'Assumptions and Catalog'!$E$51+'Assumptions and Catalog'!$F$51,IF(((D331+E331)*C331-G331)&lt;='Assumptions and Catalog'!$C$52,((D331+E331)*C331-G331)*'Assumptions and Catalog'!$H$52+'Assumptions and Catalog'!$E$52+'Assumptions and Catalog'!$F$52,IF(((D331+E331)*C331-G331)&lt;='Assumptions and Catalog'!$C$53,((D331+E331)*C331-G331)*'Assumptions and Catalog'!$H$53+'Assumptions and Catalog'!$E$53+'Assumptions and Catalog'!$F$53,IF(((D331+E331)*C331-G331)&lt;='Assumptions and Catalog'!$C$54,((D331+E331)*C331-G331)*'Assumptions and Catalog'!$H$54+'Assumptions and Catalog'!$E$54+'Assumptions and Catalog'!$F$54,IF(((D331+E331)*C331-G331)&lt;='Assumptions and Catalog'!$C$55,((D331+E331)*C331-G331)*'Assumptions and Catalog'!$H$55+'Assumptions and Catalog'!$E$55+'Assumptions and Catalog'!$F$55,IF(((D331+E331)*C331-G331)&lt;='Assumptions and Catalog'!$C$56,((D331+E331)*C331-G331)*'Assumptions and Catalog'!$H$56+'Assumptions and Catalog'!$E$56+'Assumptions and Catalog'!$F$56,IF(((D331+E331)*C331-G331)&lt;='Assumptions and Catalog'!$C$57,((D331+E331)*C331-G331)*'Assumptions and Catalog'!$H$57+'Assumptions and Catalog'!$E$57+'Assumptions and Catalog'!$F$57,"Out of range")))))))),IF(((D331+E331)*C331-G331)&lt;='Assumptions and Catalog'!$C$60,((D331+E331)*C331-G331)*'Assumptions and Catalog'!$H$60+'Assumptions and Catalog'!$E$60+'Assumptions and Catalog'!$F$60,IF(((D331+E331)*C331-G331)&lt;='Assumptions and Catalog'!$C$61,((D331+E331)*C331-G331)*'Assumptions and Catalog'!$H$61+'Assumptions and Catalog'!$E$61+'Assumptions and Catalog'!$F$61,IF(((D331+E331)*C331-G331)&lt;='Assumptions and Catalog'!$C$62,((D331+E331)*C331-G331)*'Assumptions and Catalog'!$H$62+'Assumptions and Catalog'!$E$62+'Assumptions and Catalog'!$F$62,IF(((D331+E331)*C331-G331)&lt;='Assumptions and Catalog'!$C$63,((D331+E331)*C331-G331)*'Assumptions and Catalog'!$H$63+'Assumptions and Catalog'!$E$63+'Assumptions and Catalog'!$F$63,IF(((D331+E331)*C331-G331)&lt;='Assumptions and Catalog'!$C$64,((D331+E331)*C331-G331)*'Assumptions and Catalog'!$H$64+'Assumptions and Catalog'!$E$64+'Assumptions and Catalog'!$F$64,IF(((D331+E331)*C331-G331)&lt;='Assumptions and Catalog'!$C$65,((D331+E331)*C331-G331)*'Assumptions and Catalog'!$H$65+'Assumptions and Catalog'!$E$65+'Assumptions and Catalog'!$F$65,"Out of range")))))))))*(1+'Assumptions and Catalog'!$C$8)^(A331-1),0)</f>
        <v>3567.397</v>
      </c>
      <c r="R331" s="5" t="n">
        <f>IF(AND('Assumptions and Catalog'!$C$19&gt;0,A331&gt;='Assumptions and Catalog'!$C$19),A331-'Assumptions and Catalog'!$C$19,A331-1)</f>
        <v>4</v>
      </c>
      <c r="S331" s="5" t="n">
        <f>F331+L331-(D331+E331)*C331-J331-K331-0</f>
        <v>0</v>
      </c>
      <c r="T331" s="5"/>
      <c r="U331" s="5"/>
    </row>
    <row r="332" ht="23.100000381469727" customHeight="1">
      <c r="A332" s="5" t="n">
        <v>15</v>
      </c>
      <c r="B332" s="5" t="n">
        <v>4</v>
      </c>
      <c r="C332" s="5" t="n">
        <f>DAY(DATE('Assumptions and Catalog'!$C$24+A332-1,B332+1,0))</f>
        <v>30</v>
      </c>
      <c r="D332" s="5" t="n">
        <f>IF(ISNUMBER(Inputs!$L$5),Inputs!$L$5*Inputs!$L$6,0)</f>
        <v>40.35</v>
      </c>
      <c r="E332" s="5" t="n">
        <f>IF(ISNUMBER(Inputs!$L$5),Inputs!$L$5-D332,0)</f>
        <v>40.35</v>
      </c>
      <c r="F332" s="5" t="n">
        <f>C$51*INDEX('Solar Production'!$D$20:$D$31,B332)*C332*(1-'Assumptions and Catalog'!$C$10)^(A332-1)</f>
        <v>1319.63512568063</v>
      </c>
      <c r="G332" s="5" t="n">
        <f>MIN(F332,D332*C332)</f>
        <v>1210.5</v>
      </c>
      <c r="H332" s="5" t="n">
        <f>I332/('Assumptions and Catalog'!$C$11*'Assumptions and Catalog'!$C$12)</f>
        <v>0</v>
      </c>
      <c r="I332" s="5" t="n">
        <f>0</f>
        <v>0</v>
      </c>
      <c r="J332" s="5" t="n">
        <f>MAX(F332-G332-H332,0)</f>
        <v>109.135125680626</v>
      </c>
      <c r="K332" s="5" t="n">
        <f>H332-I332</f>
        <v>0</v>
      </c>
      <c r="L332" s="5" t="n">
        <f>(D332+E332)*C332-G332-I332+0+0</f>
        <v>1210.5</v>
      </c>
      <c r="M332" s="5" t="n">
        <f>IF(ISNUMBER(Inputs!$L$5),(IF(Inputs!$L$9="Actual flat rate",((D332+E332)*C332)*Inputs!$L$10,IF(Inputs!$C$9="Residential",IF(((D332+E332)*C332)&lt;='Assumptions and Catalog'!$C$50,((D332+E332)*C332)*'Assumptions and Catalog'!$H$50+'Assumptions and Catalog'!$E$50+'Assumptions and Catalog'!$F$50,IF(((D332+E332)*C332)&lt;='Assumptions and Catalog'!$C$51,((D332+E332)*C332)*'Assumptions and Catalog'!$H$51+'Assumptions and Catalog'!$E$51+'Assumptions and Catalog'!$F$51,IF(((D332+E332)*C332)&lt;='Assumptions and Catalog'!$C$52,((D332+E332)*C332)*'Assumptions and Catalog'!$H$52+'Assumptions and Catalog'!$E$52+'Assumptions and Catalog'!$F$52,IF(((D332+E332)*C332)&lt;='Assumptions and Catalog'!$C$53,((D332+E332)*C332)*'Assumptions and Catalog'!$H$53+'Assumptions and Catalog'!$E$53+'Assumptions and Catalog'!$F$53,IF(((D332+E332)*C332)&lt;='Assumptions and Catalog'!$C$54,((D332+E332)*C332)*'Assumptions and Catalog'!$H$54+'Assumptions and Catalog'!$E$54+'Assumptions and Catalog'!$F$54,IF(((D332+E332)*C332)&lt;='Assumptions and Catalog'!$C$55,((D332+E332)*C332)*'Assumptions and Catalog'!$H$55+'Assumptions and Catalog'!$E$55+'Assumptions and Catalog'!$F$55,IF(((D332+E332)*C332)&lt;='Assumptions and Catalog'!$C$56,((D332+E332)*C332)*'Assumptions and Catalog'!$H$56+'Assumptions and Catalog'!$E$56+'Assumptions and Catalog'!$F$56,IF(((D332+E332)*C332)&lt;='Assumptions and Catalog'!$C$57,((D332+E332)*C332)*'Assumptions and Catalog'!$H$57+'Assumptions and Catalog'!$E$57+'Assumptions and Catalog'!$F$57,"Out of range")))))))),IF(((D332+E332)*C332)&lt;='Assumptions and Catalog'!$C$60,((D332+E332)*C332)*'Assumptions and Catalog'!$H$60+'Assumptions and Catalog'!$E$60+'Assumptions and Catalog'!$F$60,IF(((D332+E332)*C332)&lt;='Assumptions and Catalog'!$C$61,((D332+E332)*C332)*'Assumptions and Catalog'!$H$61+'Assumptions and Catalog'!$E$61+'Assumptions and Catalog'!$F$61,IF(((D332+E332)*C332)&lt;='Assumptions and Catalog'!$C$62,((D332+E332)*C332)*'Assumptions and Catalog'!$H$62+'Assumptions and Catalog'!$E$62+'Assumptions and Catalog'!$F$62,IF(((D332+E332)*C332)&lt;='Assumptions and Catalog'!$C$63,((D332+E332)*C332)*'Assumptions and Catalog'!$H$63+'Assumptions and Catalog'!$E$63+'Assumptions and Catalog'!$F$63,IF(((D332+E332)*C332)&lt;='Assumptions and Catalog'!$C$64,((D332+E332)*C332)*'Assumptions and Catalog'!$H$64+'Assumptions and Catalog'!$E$64+'Assumptions and Catalog'!$F$64,IF(((D332+E332)*C332)&lt;='Assumptions and Catalog'!$C$65,((D332+E332)*C332)*'Assumptions and Catalog'!$H$65+'Assumptions and Catalog'!$E$65+'Assumptions and Catalog'!$F$65,"Out of range")))))))))*(1+'Assumptions and Catalog'!$C$8)^(A332-1),0)</f>
        <v>6867.22</v>
      </c>
      <c r="N332" s="5" t="n">
        <f>IF(ISNUMBER(Inputs!$L$5),(IF(Inputs!$L$9="Actual flat rate",L332*Inputs!$L$10,IF(Inputs!$C$9="Residential",IF(L332&lt;='Assumptions and Catalog'!$C$50,L332*'Assumptions and Catalog'!$H$50+'Assumptions and Catalog'!$E$50+'Assumptions and Catalog'!$F$50,IF(L332&lt;='Assumptions and Catalog'!$C$51,L332*'Assumptions and Catalog'!$H$51+'Assumptions and Catalog'!$E$51+'Assumptions and Catalog'!$F$51,IF(L332&lt;='Assumptions and Catalog'!$C$52,L332*'Assumptions and Catalog'!$H$52+'Assumptions and Catalog'!$E$52+'Assumptions and Catalog'!$F$52,IF(L332&lt;='Assumptions and Catalog'!$C$53,L332*'Assumptions and Catalog'!$H$53+'Assumptions and Catalog'!$E$53+'Assumptions and Catalog'!$F$53,IF(L332&lt;='Assumptions and Catalog'!$C$54,L332*'Assumptions and Catalog'!$H$54+'Assumptions and Catalog'!$E$54+'Assumptions and Catalog'!$F$54,IF(L332&lt;='Assumptions and Catalog'!$C$55,L332*'Assumptions and Catalog'!$H$55+'Assumptions and Catalog'!$E$55+'Assumptions and Catalog'!$F$55,IF(L332&lt;='Assumptions and Catalog'!$C$56,L332*'Assumptions and Catalog'!$H$56+'Assumptions and Catalog'!$E$56+'Assumptions and Catalog'!$F$56,IF(L332&lt;='Assumptions and Catalog'!$C$57,L332*'Assumptions and Catalog'!$H$57+'Assumptions and Catalog'!$E$57+'Assumptions and Catalog'!$F$57,"Out of range")))))))),IF(L332&lt;='Assumptions and Catalog'!$C$60,L332*'Assumptions and Catalog'!$H$60+'Assumptions and Catalog'!$E$60+'Assumptions and Catalog'!$F$60,IF(L332&lt;='Assumptions and Catalog'!$C$61,L332*'Assumptions and Catalog'!$H$61+'Assumptions and Catalog'!$E$61+'Assumptions and Catalog'!$F$61,IF(L332&lt;='Assumptions and Catalog'!$C$62,L332*'Assumptions and Catalog'!$H$62+'Assumptions and Catalog'!$E$62+'Assumptions and Catalog'!$F$62,IF(L332&lt;='Assumptions and Catalog'!$C$63,L332*'Assumptions and Catalog'!$H$63+'Assumptions and Catalog'!$E$63+'Assumptions and Catalog'!$F$63,IF(L332&lt;='Assumptions and Catalog'!$C$64,L332*'Assumptions and Catalog'!$H$64+'Assumptions and Catalog'!$E$64+'Assumptions and Catalog'!$F$64,IF(L332&lt;='Assumptions and Catalog'!$C$65,L332*'Assumptions and Catalog'!$H$65+'Assumptions and Catalog'!$E$65+'Assumptions and Catalog'!$F$65,"Out of range")))))))))*(1+'Assumptions and Catalog'!$C$8)^(A332-1),0)</f>
        <v>3453.61</v>
      </c>
      <c r="O332" s="5" t="n">
        <f>M332-N332</f>
        <v>3413.61</v>
      </c>
      <c r="P332" s="5" t="n">
        <f>C$55*(1-J$14)*(1-'Assumptions and Catalog'!$C$23)^R332</f>
        <v>0</v>
      </c>
      <c r="Q332" s="5" t="n">
        <f>IF(ISNUMBER(Inputs!$L$5),(IF(Inputs!$L$9="Actual flat rate",((D332+E332)*C332-G332)*Inputs!$L$10,IF(Inputs!$C$9="Residential",IF(((D332+E332)*C332-G332)&lt;='Assumptions and Catalog'!$C$50,((D332+E332)*C332-G332)*'Assumptions and Catalog'!$H$50+'Assumptions and Catalog'!$E$50+'Assumptions and Catalog'!$F$50,IF(((D332+E332)*C332-G332)&lt;='Assumptions and Catalog'!$C$51,((D332+E332)*C332-G332)*'Assumptions and Catalog'!$H$51+'Assumptions and Catalog'!$E$51+'Assumptions and Catalog'!$F$51,IF(((D332+E332)*C332-G332)&lt;='Assumptions and Catalog'!$C$52,((D332+E332)*C332-G332)*'Assumptions and Catalog'!$H$52+'Assumptions and Catalog'!$E$52+'Assumptions and Catalog'!$F$52,IF(((D332+E332)*C332-G332)&lt;='Assumptions and Catalog'!$C$53,((D332+E332)*C332-G332)*'Assumptions and Catalog'!$H$53+'Assumptions and Catalog'!$E$53+'Assumptions and Catalog'!$F$53,IF(((D332+E332)*C332-G332)&lt;='Assumptions and Catalog'!$C$54,((D332+E332)*C332-G332)*'Assumptions and Catalog'!$H$54+'Assumptions and Catalog'!$E$54+'Assumptions and Catalog'!$F$54,IF(((D332+E332)*C332-G332)&lt;='Assumptions and Catalog'!$C$55,((D332+E332)*C332-G332)*'Assumptions and Catalog'!$H$55+'Assumptions and Catalog'!$E$55+'Assumptions and Catalog'!$F$55,IF(((D332+E332)*C332-G332)&lt;='Assumptions and Catalog'!$C$56,((D332+E332)*C332-G332)*'Assumptions and Catalog'!$H$56+'Assumptions and Catalog'!$E$56+'Assumptions and Catalog'!$F$56,IF(((D332+E332)*C332-G332)&lt;='Assumptions and Catalog'!$C$57,((D332+E332)*C332-G332)*'Assumptions and Catalog'!$H$57+'Assumptions and Catalog'!$E$57+'Assumptions and Catalog'!$F$57,"Out of range")))))))),IF(((D332+E332)*C332-G332)&lt;='Assumptions and Catalog'!$C$60,((D332+E332)*C332-G332)*'Assumptions and Catalog'!$H$60+'Assumptions and Catalog'!$E$60+'Assumptions and Catalog'!$F$60,IF(((D332+E332)*C332-G332)&lt;='Assumptions and Catalog'!$C$61,((D332+E332)*C332-G332)*'Assumptions and Catalog'!$H$61+'Assumptions and Catalog'!$E$61+'Assumptions and Catalog'!$F$61,IF(((D332+E332)*C332-G332)&lt;='Assumptions and Catalog'!$C$62,((D332+E332)*C332-G332)*'Assumptions and Catalog'!$H$62+'Assumptions and Catalog'!$E$62+'Assumptions and Catalog'!$F$62,IF(((D332+E332)*C332-G332)&lt;='Assumptions and Catalog'!$C$63,((D332+E332)*C332-G332)*'Assumptions and Catalog'!$H$63+'Assumptions and Catalog'!$E$63+'Assumptions and Catalog'!$F$63,IF(((D332+E332)*C332-G332)&lt;='Assumptions and Catalog'!$C$64,((D332+E332)*C332-G332)*'Assumptions and Catalog'!$H$64+'Assumptions and Catalog'!$E$64+'Assumptions and Catalog'!$F$64,IF(((D332+E332)*C332-G332)&lt;='Assumptions and Catalog'!$C$65,((D332+E332)*C332-G332)*'Assumptions and Catalog'!$H$65+'Assumptions and Catalog'!$E$65+'Assumptions and Catalog'!$F$65,"Out of range")))))))))*(1+'Assumptions and Catalog'!$C$8)^(A332-1),0)</f>
        <v>3453.61</v>
      </c>
      <c r="R332" s="5" t="n">
        <f>IF(AND('Assumptions and Catalog'!$C$19&gt;0,A332&gt;='Assumptions and Catalog'!$C$19),A332-'Assumptions and Catalog'!$C$19,A332-1)</f>
        <v>4</v>
      </c>
      <c r="S332" s="5" t="n">
        <f>F332+L332-(D332+E332)*C332-J332-K332-0</f>
        <v>0</v>
      </c>
      <c r="T332" s="5"/>
      <c r="U332" s="5"/>
    </row>
    <row r="333" ht="23.100000381469727" customHeight="1">
      <c r="A333" s="5" t="n">
        <v>15</v>
      </c>
      <c r="B333" s="5" t="n">
        <v>5</v>
      </c>
      <c r="C333" s="5" t="n">
        <f>DAY(DATE('Assumptions and Catalog'!$C$24+A333-1,B333+1,0))</f>
        <v>31</v>
      </c>
      <c r="D333" s="5" t="n">
        <f>IF(ISNUMBER(Inputs!$L$5),Inputs!$L$5*Inputs!$L$6,0)</f>
        <v>40.35</v>
      </c>
      <c r="E333" s="5" t="n">
        <f>IF(ISNUMBER(Inputs!$L$5),Inputs!$L$5-D333,0)</f>
        <v>40.35</v>
      </c>
      <c r="F333" s="5" t="n">
        <f>C$51*INDEX('Solar Production'!$D$20:$D$31,B333)*C333*(1-'Assumptions and Catalog'!$C$10)^(A333-1)</f>
        <v>1334.89386827522</v>
      </c>
      <c r="G333" s="5" t="n">
        <f>MIN(F333,D333*C333)</f>
        <v>1250.85</v>
      </c>
      <c r="H333" s="5" t="n">
        <f>I333/('Assumptions and Catalog'!$C$11*'Assumptions and Catalog'!$C$12)</f>
        <v>0</v>
      </c>
      <c r="I333" s="5" t="n">
        <f>0</f>
        <v>0</v>
      </c>
      <c r="J333" s="5" t="n">
        <f>MAX(F333-G333-H333,0)</f>
        <v>84.0438682752172</v>
      </c>
      <c r="K333" s="5" t="n">
        <f>H333-I333</f>
        <v>0</v>
      </c>
      <c r="L333" s="5" t="n">
        <f>(D333+E333)*C333-G333-I333+0+0</f>
        <v>1250.85</v>
      </c>
      <c r="M333" s="5" t="n">
        <f>IF(ISNUMBER(Inputs!$L$5),(IF(Inputs!$L$9="Actual flat rate",((D333+E333)*C333)*Inputs!$L$10,IF(Inputs!$C$9="Residential",IF(((D333+E333)*C333)&lt;='Assumptions and Catalog'!$C$50,((D333+E333)*C333)*'Assumptions and Catalog'!$H$50+'Assumptions and Catalog'!$E$50+'Assumptions and Catalog'!$F$50,IF(((D333+E333)*C333)&lt;='Assumptions and Catalog'!$C$51,((D333+E333)*C333)*'Assumptions and Catalog'!$H$51+'Assumptions and Catalog'!$E$51+'Assumptions and Catalog'!$F$51,IF(((D333+E333)*C333)&lt;='Assumptions and Catalog'!$C$52,((D333+E333)*C333)*'Assumptions and Catalog'!$H$52+'Assumptions and Catalog'!$E$52+'Assumptions and Catalog'!$F$52,IF(((D333+E333)*C333)&lt;='Assumptions and Catalog'!$C$53,((D333+E333)*C333)*'Assumptions and Catalog'!$H$53+'Assumptions and Catalog'!$E$53+'Assumptions and Catalog'!$F$53,IF(((D333+E333)*C333)&lt;='Assumptions and Catalog'!$C$54,((D333+E333)*C333)*'Assumptions and Catalog'!$H$54+'Assumptions and Catalog'!$E$54+'Assumptions and Catalog'!$F$54,IF(((D333+E333)*C333)&lt;='Assumptions and Catalog'!$C$55,((D333+E333)*C333)*'Assumptions and Catalog'!$H$55+'Assumptions and Catalog'!$E$55+'Assumptions and Catalog'!$F$55,IF(((D333+E333)*C333)&lt;='Assumptions and Catalog'!$C$56,((D333+E333)*C333)*'Assumptions and Catalog'!$H$56+'Assumptions and Catalog'!$E$56+'Assumptions and Catalog'!$F$56,IF(((D333+E333)*C333)&lt;='Assumptions and Catalog'!$C$57,((D333+E333)*C333)*'Assumptions and Catalog'!$H$57+'Assumptions and Catalog'!$E$57+'Assumptions and Catalog'!$F$57,"Out of range")))))))),IF(((D333+E333)*C333)&lt;='Assumptions and Catalog'!$C$60,((D333+E333)*C333)*'Assumptions and Catalog'!$H$60+'Assumptions and Catalog'!$E$60+'Assumptions and Catalog'!$F$60,IF(((D333+E333)*C333)&lt;='Assumptions and Catalog'!$C$61,((D333+E333)*C333)*'Assumptions and Catalog'!$H$61+'Assumptions and Catalog'!$E$61+'Assumptions and Catalog'!$F$61,IF(((D333+E333)*C333)&lt;='Assumptions and Catalog'!$C$62,((D333+E333)*C333)*'Assumptions and Catalog'!$H$62+'Assumptions and Catalog'!$E$62+'Assumptions and Catalog'!$F$62,IF(((D333+E333)*C333)&lt;='Assumptions and Catalog'!$C$63,((D333+E333)*C333)*'Assumptions and Catalog'!$H$63+'Assumptions and Catalog'!$E$63+'Assumptions and Catalog'!$F$63,IF(((D333+E333)*C333)&lt;='Assumptions and Catalog'!$C$64,((D333+E333)*C333)*'Assumptions and Catalog'!$H$64+'Assumptions and Catalog'!$E$64+'Assumptions and Catalog'!$F$64,IF(((D333+E333)*C333)&lt;='Assumptions and Catalog'!$C$65,((D333+E333)*C333)*'Assumptions and Catalog'!$H$65+'Assumptions and Catalog'!$E$65+'Assumptions and Catalog'!$F$65,"Out of range")))))))))*(1+'Assumptions and Catalog'!$C$8)^(A333-1),0)</f>
        <v>7094.794</v>
      </c>
      <c r="N333" s="5" t="n">
        <f>IF(ISNUMBER(Inputs!$L$5),(IF(Inputs!$L$9="Actual flat rate",L333*Inputs!$L$10,IF(Inputs!$C$9="Residential",IF(L333&lt;='Assumptions and Catalog'!$C$50,L333*'Assumptions and Catalog'!$H$50+'Assumptions and Catalog'!$E$50+'Assumptions and Catalog'!$F$50,IF(L333&lt;='Assumptions and Catalog'!$C$51,L333*'Assumptions and Catalog'!$H$51+'Assumptions and Catalog'!$E$51+'Assumptions and Catalog'!$F$51,IF(L333&lt;='Assumptions and Catalog'!$C$52,L333*'Assumptions and Catalog'!$H$52+'Assumptions and Catalog'!$E$52+'Assumptions and Catalog'!$F$52,IF(L333&lt;='Assumptions and Catalog'!$C$53,L333*'Assumptions and Catalog'!$H$53+'Assumptions and Catalog'!$E$53+'Assumptions and Catalog'!$F$53,IF(L333&lt;='Assumptions and Catalog'!$C$54,L333*'Assumptions and Catalog'!$H$54+'Assumptions and Catalog'!$E$54+'Assumptions and Catalog'!$F$54,IF(L333&lt;='Assumptions and Catalog'!$C$55,L333*'Assumptions and Catalog'!$H$55+'Assumptions and Catalog'!$E$55+'Assumptions and Catalog'!$F$55,IF(L333&lt;='Assumptions and Catalog'!$C$56,L333*'Assumptions and Catalog'!$H$56+'Assumptions and Catalog'!$E$56+'Assumptions and Catalog'!$F$56,IF(L333&lt;='Assumptions and Catalog'!$C$57,L333*'Assumptions and Catalog'!$H$57+'Assumptions and Catalog'!$E$57+'Assumptions and Catalog'!$F$57,"Out of range")))))))),IF(L333&lt;='Assumptions and Catalog'!$C$60,L333*'Assumptions and Catalog'!$H$60+'Assumptions and Catalog'!$E$60+'Assumptions and Catalog'!$F$60,IF(L333&lt;='Assumptions and Catalog'!$C$61,L333*'Assumptions and Catalog'!$H$61+'Assumptions and Catalog'!$E$61+'Assumptions and Catalog'!$F$61,IF(L333&lt;='Assumptions and Catalog'!$C$62,L333*'Assumptions and Catalog'!$H$62+'Assumptions and Catalog'!$E$62+'Assumptions and Catalog'!$F$62,IF(L333&lt;='Assumptions and Catalog'!$C$63,L333*'Assumptions and Catalog'!$H$63+'Assumptions and Catalog'!$E$63+'Assumptions and Catalog'!$F$63,IF(L333&lt;='Assumptions and Catalog'!$C$64,L333*'Assumptions and Catalog'!$H$64+'Assumptions and Catalog'!$E$64+'Assumptions and Catalog'!$F$64,IF(L333&lt;='Assumptions and Catalog'!$C$65,L333*'Assumptions and Catalog'!$H$65+'Assumptions and Catalog'!$E$65+'Assumptions and Catalog'!$F$65,"Out of range")))))))))*(1+'Assumptions and Catalog'!$C$8)^(A333-1),0)</f>
        <v>3567.397</v>
      </c>
      <c r="O333" s="5" t="n">
        <f>M333-N333</f>
        <v>3527.397</v>
      </c>
      <c r="P333" s="5" t="n">
        <f>C$55*(1-J$14)*(1-'Assumptions and Catalog'!$C$23)^R333</f>
        <v>0</v>
      </c>
      <c r="Q333" s="5" t="n">
        <f>IF(ISNUMBER(Inputs!$L$5),(IF(Inputs!$L$9="Actual flat rate",((D333+E333)*C333-G333)*Inputs!$L$10,IF(Inputs!$C$9="Residential",IF(((D333+E333)*C333-G333)&lt;='Assumptions and Catalog'!$C$50,((D333+E333)*C333-G333)*'Assumptions and Catalog'!$H$50+'Assumptions and Catalog'!$E$50+'Assumptions and Catalog'!$F$50,IF(((D333+E333)*C333-G333)&lt;='Assumptions and Catalog'!$C$51,((D333+E333)*C333-G333)*'Assumptions and Catalog'!$H$51+'Assumptions and Catalog'!$E$51+'Assumptions and Catalog'!$F$51,IF(((D333+E333)*C333-G333)&lt;='Assumptions and Catalog'!$C$52,((D333+E333)*C333-G333)*'Assumptions and Catalog'!$H$52+'Assumptions and Catalog'!$E$52+'Assumptions and Catalog'!$F$52,IF(((D333+E333)*C333-G333)&lt;='Assumptions and Catalog'!$C$53,((D333+E333)*C333-G333)*'Assumptions and Catalog'!$H$53+'Assumptions and Catalog'!$E$53+'Assumptions and Catalog'!$F$53,IF(((D333+E333)*C333-G333)&lt;='Assumptions and Catalog'!$C$54,((D333+E333)*C333-G333)*'Assumptions and Catalog'!$H$54+'Assumptions and Catalog'!$E$54+'Assumptions and Catalog'!$F$54,IF(((D333+E333)*C333-G333)&lt;='Assumptions and Catalog'!$C$55,((D333+E333)*C333-G333)*'Assumptions and Catalog'!$H$55+'Assumptions and Catalog'!$E$55+'Assumptions and Catalog'!$F$55,IF(((D333+E333)*C333-G333)&lt;='Assumptions and Catalog'!$C$56,((D333+E333)*C333-G333)*'Assumptions and Catalog'!$H$56+'Assumptions and Catalog'!$E$56+'Assumptions and Catalog'!$F$56,IF(((D333+E333)*C333-G333)&lt;='Assumptions and Catalog'!$C$57,((D333+E333)*C333-G333)*'Assumptions and Catalog'!$H$57+'Assumptions and Catalog'!$E$57+'Assumptions and Catalog'!$F$57,"Out of range")))))))),IF(((D333+E333)*C333-G333)&lt;='Assumptions and Catalog'!$C$60,((D333+E333)*C333-G333)*'Assumptions and Catalog'!$H$60+'Assumptions and Catalog'!$E$60+'Assumptions and Catalog'!$F$60,IF(((D333+E333)*C333-G333)&lt;='Assumptions and Catalog'!$C$61,((D333+E333)*C333-G333)*'Assumptions and Catalog'!$H$61+'Assumptions and Catalog'!$E$61+'Assumptions and Catalog'!$F$61,IF(((D333+E333)*C333-G333)&lt;='Assumptions and Catalog'!$C$62,((D333+E333)*C333-G333)*'Assumptions and Catalog'!$H$62+'Assumptions and Catalog'!$E$62+'Assumptions and Catalog'!$F$62,IF(((D333+E333)*C333-G333)&lt;='Assumptions and Catalog'!$C$63,((D333+E333)*C333-G333)*'Assumptions and Catalog'!$H$63+'Assumptions and Catalog'!$E$63+'Assumptions and Catalog'!$F$63,IF(((D333+E333)*C333-G333)&lt;='Assumptions and Catalog'!$C$64,((D333+E333)*C333-G333)*'Assumptions and Catalog'!$H$64+'Assumptions and Catalog'!$E$64+'Assumptions and Catalog'!$F$64,IF(((D333+E333)*C333-G333)&lt;='Assumptions and Catalog'!$C$65,((D333+E333)*C333-G333)*'Assumptions and Catalog'!$H$65+'Assumptions and Catalog'!$E$65+'Assumptions and Catalog'!$F$65,"Out of range")))))))))*(1+'Assumptions and Catalog'!$C$8)^(A333-1),0)</f>
        <v>3567.397</v>
      </c>
      <c r="R333" s="5" t="n">
        <f>IF(AND('Assumptions and Catalog'!$C$19&gt;0,A333&gt;='Assumptions and Catalog'!$C$19),A333-'Assumptions and Catalog'!$C$19,A333-1)</f>
        <v>4</v>
      </c>
      <c r="S333" s="5" t="n">
        <f>F333+L333-(D333+E333)*C333-J333-K333-0</f>
        <v>0</v>
      </c>
      <c r="T333" s="5"/>
      <c r="U333" s="5"/>
    </row>
    <row r="334" ht="23.100000381469727" customHeight="1">
      <c r="A334" s="5" t="n">
        <v>15</v>
      </c>
      <c r="B334" s="5" t="n">
        <v>6</v>
      </c>
      <c r="C334" s="5" t="n">
        <f>DAY(DATE('Assumptions and Catalog'!$C$24+A334-1,B334+1,0))</f>
        <v>30</v>
      </c>
      <c r="D334" s="5" t="n">
        <f>IF(ISNUMBER(Inputs!$L$5),Inputs!$L$5*Inputs!$L$6,0)</f>
        <v>40.35</v>
      </c>
      <c r="E334" s="5" t="n">
        <f>IF(ISNUMBER(Inputs!$L$5),Inputs!$L$5-D334,0)</f>
        <v>40.35</v>
      </c>
      <c r="F334" s="5" t="n">
        <f>C$51*INDEX('Solar Production'!$D$20:$D$31,B334)*C334*(1-'Assumptions and Catalog'!$C$10)^(A334-1)</f>
        <v>1301.25900556671</v>
      </c>
      <c r="G334" s="5" t="n">
        <f>MIN(F334,D334*C334)</f>
        <v>1210.5</v>
      </c>
      <c r="H334" s="5" t="n">
        <f>I334/('Assumptions and Catalog'!$C$11*'Assumptions and Catalog'!$C$12)</f>
        <v>0</v>
      </c>
      <c r="I334" s="5" t="n">
        <f>0</f>
        <v>0</v>
      </c>
      <c r="J334" s="5" t="n">
        <f>MAX(F334-G334-H334,0)</f>
        <v>90.7590055667097</v>
      </c>
      <c r="K334" s="5" t="n">
        <f>H334-I334</f>
        <v>0</v>
      </c>
      <c r="L334" s="5" t="n">
        <f>(D334+E334)*C334-G334-I334+0+0</f>
        <v>1210.5</v>
      </c>
      <c r="M334" s="5" t="n">
        <f>IF(ISNUMBER(Inputs!$L$5),(IF(Inputs!$L$9="Actual flat rate",((D334+E334)*C334)*Inputs!$L$10,IF(Inputs!$C$9="Residential",IF(((D334+E334)*C334)&lt;='Assumptions and Catalog'!$C$50,((D334+E334)*C334)*'Assumptions and Catalog'!$H$50+'Assumptions and Catalog'!$E$50+'Assumptions and Catalog'!$F$50,IF(((D334+E334)*C334)&lt;='Assumptions and Catalog'!$C$51,((D334+E334)*C334)*'Assumptions and Catalog'!$H$51+'Assumptions and Catalog'!$E$51+'Assumptions and Catalog'!$F$51,IF(((D334+E334)*C334)&lt;='Assumptions and Catalog'!$C$52,((D334+E334)*C334)*'Assumptions and Catalog'!$H$52+'Assumptions and Catalog'!$E$52+'Assumptions and Catalog'!$F$52,IF(((D334+E334)*C334)&lt;='Assumptions and Catalog'!$C$53,((D334+E334)*C334)*'Assumptions and Catalog'!$H$53+'Assumptions and Catalog'!$E$53+'Assumptions and Catalog'!$F$53,IF(((D334+E334)*C334)&lt;='Assumptions and Catalog'!$C$54,((D334+E334)*C334)*'Assumptions and Catalog'!$H$54+'Assumptions and Catalog'!$E$54+'Assumptions and Catalog'!$F$54,IF(((D334+E334)*C334)&lt;='Assumptions and Catalog'!$C$55,((D334+E334)*C334)*'Assumptions and Catalog'!$H$55+'Assumptions and Catalog'!$E$55+'Assumptions and Catalog'!$F$55,IF(((D334+E334)*C334)&lt;='Assumptions and Catalog'!$C$56,((D334+E334)*C334)*'Assumptions and Catalog'!$H$56+'Assumptions and Catalog'!$E$56+'Assumptions and Catalog'!$F$56,IF(((D334+E334)*C334)&lt;='Assumptions and Catalog'!$C$57,((D334+E334)*C334)*'Assumptions and Catalog'!$H$57+'Assumptions and Catalog'!$E$57+'Assumptions and Catalog'!$F$57,"Out of range")))))))),IF(((D334+E334)*C334)&lt;='Assumptions and Catalog'!$C$60,((D334+E334)*C334)*'Assumptions and Catalog'!$H$60+'Assumptions and Catalog'!$E$60+'Assumptions and Catalog'!$F$60,IF(((D334+E334)*C334)&lt;='Assumptions and Catalog'!$C$61,((D334+E334)*C334)*'Assumptions and Catalog'!$H$61+'Assumptions and Catalog'!$E$61+'Assumptions and Catalog'!$F$61,IF(((D334+E334)*C334)&lt;='Assumptions and Catalog'!$C$62,((D334+E334)*C334)*'Assumptions and Catalog'!$H$62+'Assumptions and Catalog'!$E$62+'Assumptions and Catalog'!$F$62,IF(((D334+E334)*C334)&lt;='Assumptions and Catalog'!$C$63,((D334+E334)*C334)*'Assumptions and Catalog'!$H$63+'Assumptions and Catalog'!$E$63+'Assumptions and Catalog'!$F$63,IF(((D334+E334)*C334)&lt;='Assumptions and Catalog'!$C$64,((D334+E334)*C334)*'Assumptions and Catalog'!$H$64+'Assumptions and Catalog'!$E$64+'Assumptions and Catalog'!$F$64,IF(((D334+E334)*C334)&lt;='Assumptions and Catalog'!$C$65,((D334+E334)*C334)*'Assumptions and Catalog'!$H$65+'Assumptions and Catalog'!$E$65+'Assumptions and Catalog'!$F$65,"Out of range")))))))))*(1+'Assumptions and Catalog'!$C$8)^(A334-1),0)</f>
        <v>6867.22</v>
      </c>
      <c r="N334" s="5" t="n">
        <f>IF(ISNUMBER(Inputs!$L$5),(IF(Inputs!$L$9="Actual flat rate",L334*Inputs!$L$10,IF(Inputs!$C$9="Residential",IF(L334&lt;='Assumptions and Catalog'!$C$50,L334*'Assumptions and Catalog'!$H$50+'Assumptions and Catalog'!$E$50+'Assumptions and Catalog'!$F$50,IF(L334&lt;='Assumptions and Catalog'!$C$51,L334*'Assumptions and Catalog'!$H$51+'Assumptions and Catalog'!$E$51+'Assumptions and Catalog'!$F$51,IF(L334&lt;='Assumptions and Catalog'!$C$52,L334*'Assumptions and Catalog'!$H$52+'Assumptions and Catalog'!$E$52+'Assumptions and Catalog'!$F$52,IF(L334&lt;='Assumptions and Catalog'!$C$53,L334*'Assumptions and Catalog'!$H$53+'Assumptions and Catalog'!$E$53+'Assumptions and Catalog'!$F$53,IF(L334&lt;='Assumptions and Catalog'!$C$54,L334*'Assumptions and Catalog'!$H$54+'Assumptions and Catalog'!$E$54+'Assumptions and Catalog'!$F$54,IF(L334&lt;='Assumptions and Catalog'!$C$55,L334*'Assumptions and Catalog'!$H$55+'Assumptions and Catalog'!$E$55+'Assumptions and Catalog'!$F$55,IF(L334&lt;='Assumptions and Catalog'!$C$56,L334*'Assumptions and Catalog'!$H$56+'Assumptions and Catalog'!$E$56+'Assumptions and Catalog'!$F$56,IF(L334&lt;='Assumptions and Catalog'!$C$57,L334*'Assumptions and Catalog'!$H$57+'Assumptions and Catalog'!$E$57+'Assumptions and Catalog'!$F$57,"Out of range")))))))),IF(L334&lt;='Assumptions and Catalog'!$C$60,L334*'Assumptions and Catalog'!$H$60+'Assumptions and Catalog'!$E$60+'Assumptions and Catalog'!$F$60,IF(L334&lt;='Assumptions and Catalog'!$C$61,L334*'Assumptions and Catalog'!$H$61+'Assumptions and Catalog'!$E$61+'Assumptions and Catalog'!$F$61,IF(L334&lt;='Assumptions and Catalog'!$C$62,L334*'Assumptions and Catalog'!$H$62+'Assumptions and Catalog'!$E$62+'Assumptions and Catalog'!$F$62,IF(L334&lt;='Assumptions and Catalog'!$C$63,L334*'Assumptions and Catalog'!$H$63+'Assumptions and Catalog'!$E$63+'Assumptions and Catalog'!$F$63,IF(L334&lt;='Assumptions and Catalog'!$C$64,L334*'Assumptions and Catalog'!$H$64+'Assumptions and Catalog'!$E$64+'Assumptions and Catalog'!$F$64,IF(L334&lt;='Assumptions and Catalog'!$C$65,L334*'Assumptions and Catalog'!$H$65+'Assumptions and Catalog'!$E$65+'Assumptions and Catalog'!$F$65,"Out of range")))))))))*(1+'Assumptions and Catalog'!$C$8)^(A334-1),0)</f>
        <v>3453.61</v>
      </c>
      <c r="O334" s="5" t="n">
        <f>M334-N334</f>
        <v>3413.61</v>
      </c>
      <c r="P334" s="5" t="n">
        <f>C$55*(1-J$14)*(1-'Assumptions and Catalog'!$C$23)^R334</f>
        <v>0</v>
      </c>
      <c r="Q334" s="5" t="n">
        <f>IF(ISNUMBER(Inputs!$L$5),(IF(Inputs!$L$9="Actual flat rate",((D334+E334)*C334-G334)*Inputs!$L$10,IF(Inputs!$C$9="Residential",IF(((D334+E334)*C334-G334)&lt;='Assumptions and Catalog'!$C$50,((D334+E334)*C334-G334)*'Assumptions and Catalog'!$H$50+'Assumptions and Catalog'!$E$50+'Assumptions and Catalog'!$F$50,IF(((D334+E334)*C334-G334)&lt;='Assumptions and Catalog'!$C$51,((D334+E334)*C334-G334)*'Assumptions and Catalog'!$H$51+'Assumptions and Catalog'!$E$51+'Assumptions and Catalog'!$F$51,IF(((D334+E334)*C334-G334)&lt;='Assumptions and Catalog'!$C$52,((D334+E334)*C334-G334)*'Assumptions and Catalog'!$H$52+'Assumptions and Catalog'!$E$52+'Assumptions and Catalog'!$F$52,IF(((D334+E334)*C334-G334)&lt;='Assumptions and Catalog'!$C$53,((D334+E334)*C334-G334)*'Assumptions and Catalog'!$H$53+'Assumptions and Catalog'!$E$53+'Assumptions and Catalog'!$F$53,IF(((D334+E334)*C334-G334)&lt;='Assumptions and Catalog'!$C$54,((D334+E334)*C334-G334)*'Assumptions and Catalog'!$H$54+'Assumptions and Catalog'!$E$54+'Assumptions and Catalog'!$F$54,IF(((D334+E334)*C334-G334)&lt;='Assumptions and Catalog'!$C$55,((D334+E334)*C334-G334)*'Assumptions and Catalog'!$H$55+'Assumptions and Catalog'!$E$55+'Assumptions and Catalog'!$F$55,IF(((D334+E334)*C334-G334)&lt;='Assumptions and Catalog'!$C$56,((D334+E334)*C334-G334)*'Assumptions and Catalog'!$H$56+'Assumptions and Catalog'!$E$56+'Assumptions and Catalog'!$F$56,IF(((D334+E334)*C334-G334)&lt;='Assumptions and Catalog'!$C$57,((D334+E334)*C334-G334)*'Assumptions and Catalog'!$H$57+'Assumptions and Catalog'!$E$57+'Assumptions and Catalog'!$F$57,"Out of range")))))))),IF(((D334+E334)*C334-G334)&lt;='Assumptions and Catalog'!$C$60,((D334+E334)*C334-G334)*'Assumptions and Catalog'!$H$60+'Assumptions and Catalog'!$E$60+'Assumptions and Catalog'!$F$60,IF(((D334+E334)*C334-G334)&lt;='Assumptions and Catalog'!$C$61,((D334+E334)*C334-G334)*'Assumptions and Catalog'!$H$61+'Assumptions and Catalog'!$E$61+'Assumptions and Catalog'!$F$61,IF(((D334+E334)*C334-G334)&lt;='Assumptions and Catalog'!$C$62,((D334+E334)*C334-G334)*'Assumptions and Catalog'!$H$62+'Assumptions and Catalog'!$E$62+'Assumptions and Catalog'!$F$62,IF(((D334+E334)*C334-G334)&lt;='Assumptions and Catalog'!$C$63,((D334+E334)*C334-G334)*'Assumptions and Catalog'!$H$63+'Assumptions and Catalog'!$E$63+'Assumptions and Catalog'!$F$63,IF(((D334+E334)*C334-G334)&lt;='Assumptions and Catalog'!$C$64,((D334+E334)*C334-G334)*'Assumptions and Catalog'!$H$64+'Assumptions and Catalog'!$E$64+'Assumptions and Catalog'!$F$64,IF(((D334+E334)*C334-G334)&lt;='Assumptions and Catalog'!$C$65,((D334+E334)*C334-G334)*'Assumptions and Catalog'!$H$65+'Assumptions and Catalog'!$E$65+'Assumptions and Catalog'!$F$65,"Out of range")))))))))*(1+'Assumptions and Catalog'!$C$8)^(A334-1),0)</f>
        <v>3453.61</v>
      </c>
      <c r="R334" s="5" t="n">
        <f>IF(AND('Assumptions and Catalog'!$C$19&gt;0,A334&gt;='Assumptions and Catalog'!$C$19),A334-'Assumptions and Catalog'!$C$19,A334-1)</f>
        <v>4</v>
      </c>
      <c r="S334" s="5" t="n">
        <f>F334+L334-(D334+E334)*C334-J334-K334-0</f>
        <v>0</v>
      </c>
      <c r="T334" s="5"/>
      <c r="U334" s="5"/>
    </row>
    <row r="335" ht="23.100000381469727" customHeight="1">
      <c r="A335" s="5" t="n">
        <v>15</v>
      </c>
      <c r="B335" s="5" t="n">
        <v>7</v>
      </c>
      <c r="C335" s="5" t="n">
        <f>DAY(DATE('Assumptions and Catalog'!$C$24+A335-1,B335+1,0))</f>
        <v>31</v>
      </c>
      <c r="D335" s="5" t="n">
        <f>IF(ISNUMBER(Inputs!$L$5),Inputs!$L$5*Inputs!$L$6,0)</f>
        <v>40.35</v>
      </c>
      <c r="E335" s="5" t="n">
        <f>IF(ISNUMBER(Inputs!$L$5),Inputs!$L$5-D335,0)</f>
        <v>40.35</v>
      </c>
      <c r="F335" s="5" t="n">
        <f>C$51*INDEX('Solar Production'!$D$20:$D$31,B335)*C335*(1-'Assumptions and Catalog'!$C$10)^(A335-1)</f>
        <v>1350.80890087388</v>
      </c>
      <c r="G335" s="5" t="n">
        <f>MIN(F335,D335*C335)</f>
        <v>1250.85</v>
      </c>
      <c r="H335" s="5" t="n">
        <f>I335/('Assumptions and Catalog'!$C$11*'Assumptions and Catalog'!$C$12)</f>
        <v>0</v>
      </c>
      <c r="I335" s="5" t="n">
        <f>0</f>
        <v>0</v>
      </c>
      <c r="J335" s="5" t="n">
        <f>MAX(F335-G335-H335,0)</f>
        <v>99.9589008738769</v>
      </c>
      <c r="K335" s="5" t="n">
        <f>H335-I335</f>
        <v>0</v>
      </c>
      <c r="L335" s="5" t="n">
        <f>(D335+E335)*C335-G335-I335+0+0</f>
        <v>1250.85</v>
      </c>
      <c r="M335" s="5" t="n">
        <f>IF(ISNUMBER(Inputs!$L$5),(IF(Inputs!$L$9="Actual flat rate",((D335+E335)*C335)*Inputs!$L$10,IF(Inputs!$C$9="Residential",IF(((D335+E335)*C335)&lt;='Assumptions and Catalog'!$C$50,((D335+E335)*C335)*'Assumptions and Catalog'!$H$50+'Assumptions and Catalog'!$E$50+'Assumptions and Catalog'!$F$50,IF(((D335+E335)*C335)&lt;='Assumptions and Catalog'!$C$51,((D335+E335)*C335)*'Assumptions and Catalog'!$H$51+'Assumptions and Catalog'!$E$51+'Assumptions and Catalog'!$F$51,IF(((D335+E335)*C335)&lt;='Assumptions and Catalog'!$C$52,((D335+E335)*C335)*'Assumptions and Catalog'!$H$52+'Assumptions and Catalog'!$E$52+'Assumptions and Catalog'!$F$52,IF(((D335+E335)*C335)&lt;='Assumptions and Catalog'!$C$53,((D335+E335)*C335)*'Assumptions and Catalog'!$H$53+'Assumptions and Catalog'!$E$53+'Assumptions and Catalog'!$F$53,IF(((D335+E335)*C335)&lt;='Assumptions and Catalog'!$C$54,((D335+E335)*C335)*'Assumptions and Catalog'!$H$54+'Assumptions and Catalog'!$E$54+'Assumptions and Catalog'!$F$54,IF(((D335+E335)*C335)&lt;='Assumptions and Catalog'!$C$55,((D335+E335)*C335)*'Assumptions and Catalog'!$H$55+'Assumptions and Catalog'!$E$55+'Assumptions and Catalog'!$F$55,IF(((D335+E335)*C335)&lt;='Assumptions and Catalog'!$C$56,((D335+E335)*C335)*'Assumptions and Catalog'!$H$56+'Assumptions and Catalog'!$E$56+'Assumptions and Catalog'!$F$56,IF(((D335+E335)*C335)&lt;='Assumptions and Catalog'!$C$57,((D335+E335)*C335)*'Assumptions and Catalog'!$H$57+'Assumptions and Catalog'!$E$57+'Assumptions and Catalog'!$F$57,"Out of range")))))))),IF(((D335+E335)*C335)&lt;='Assumptions and Catalog'!$C$60,((D335+E335)*C335)*'Assumptions and Catalog'!$H$60+'Assumptions and Catalog'!$E$60+'Assumptions and Catalog'!$F$60,IF(((D335+E335)*C335)&lt;='Assumptions and Catalog'!$C$61,((D335+E335)*C335)*'Assumptions and Catalog'!$H$61+'Assumptions and Catalog'!$E$61+'Assumptions and Catalog'!$F$61,IF(((D335+E335)*C335)&lt;='Assumptions and Catalog'!$C$62,((D335+E335)*C335)*'Assumptions and Catalog'!$H$62+'Assumptions and Catalog'!$E$62+'Assumptions and Catalog'!$F$62,IF(((D335+E335)*C335)&lt;='Assumptions and Catalog'!$C$63,((D335+E335)*C335)*'Assumptions and Catalog'!$H$63+'Assumptions and Catalog'!$E$63+'Assumptions and Catalog'!$F$63,IF(((D335+E335)*C335)&lt;='Assumptions and Catalog'!$C$64,((D335+E335)*C335)*'Assumptions and Catalog'!$H$64+'Assumptions and Catalog'!$E$64+'Assumptions and Catalog'!$F$64,IF(((D335+E335)*C335)&lt;='Assumptions and Catalog'!$C$65,((D335+E335)*C335)*'Assumptions and Catalog'!$H$65+'Assumptions and Catalog'!$E$65+'Assumptions and Catalog'!$F$65,"Out of range")))))))))*(1+'Assumptions and Catalog'!$C$8)^(A335-1),0)</f>
        <v>7094.794</v>
      </c>
      <c r="N335" s="5" t="n">
        <f>IF(ISNUMBER(Inputs!$L$5),(IF(Inputs!$L$9="Actual flat rate",L335*Inputs!$L$10,IF(Inputs!$C$9="Residential",IF(L335&lt;='Assumptions and Catalog'!$C$50,L335*'Assumptions and Catalog'!$H$50+'Assumptions and Catalog'!$E$50+'Assumptions and Catalog'!$F$50,IF(L335&lt;='Assumptions and Catalog'!$C$51,L335*'Assumptions and Catalog'!$H$51+'Assumptions and Catalog'!$E$51+'Assumptions and Catalog'!$F$51,IF(L335&lt;='Assumptions and Catalog'!$C$52,L335*'Assumptions and Catalog'!$H$52+'Assumptions and Catalog'!$E$52+'Assumptions and Catalog'!$F$52,IF(L335&lt;='Assumptions and Catalog'!$C$53,L335*'Assumptions and Catalog'!$H$53+'Assumptions and Catalog'!$E$53+'Assumptions and Catalog'!$F$53,IF(L335&lt;='Assumptions and Catalog'!$C$54,L335*'Assumptions and Catalog'!$H$54+'Assumptions and Catalog'!$E$54+'Assumptions and Catalog'!$F$54,IF(L335&lt;='Assumptions and Catalog'!$C$55,L335*'Assumptions and Catalog'!$H$55+'Assumptions and Catalog'!$E$55+'Assumptions and Catalog'!$F$55,IF(L335&lt;='Assumptions and Catalog'!$C$56,L335*'Assumptions and Catalog'!$H$56+'Assumptions and Catalog'!$E$56+'Assumptions and Catalog'!$F$56,IF(L335&lt;='Assumptions and Catalog'!$C$57,L335*'Assumptions and Catalog'!$H$57+'Assumptions and Catalog'!$E$57+'Assumptions and Catalog'!$F$57,"Out of range")))))))),IF(L335&lt;='Assumptions and Catalog'!$C$60,L335*'Assumptions and Catalog'!$H$60+'Assumptions and Catalog'!$E$60+'Assumptions and Catalog'!$F$60,IF(L335&lt;='Assumptions and Catalog'!$C$61,L335*'Assumptions and Catalog'!$H$61+'Assumptions and Catalog'!$E$61+'Assumptions and Catalog'!$F$61,IF(L335&lt;='Assumptions and Catalog'!$C$62,L335*'Assumptions and Catalog'!$H$62+'Assumptions and Catalog'!$E$62+'Assumptions and Catalog'!$F$62,IF(L335&lt;='Assumptions and Catalog'!$C$63,L335*'Assumptions and Catalog'!$H$63+'Assumptions and Catalog'!$E$63+'Assumptions and Catalog'!$F$63,IF(L335&lt;='Assumptions and Catalog'!$C$64,L335*'Assumptions and Catalog'!$H$64+'Assumptions and Catalog'!$E$64+'Assumptions and Catalog'!$F$64,IF(L335&lt;='Assumptions and Catalog'!$C$65,L335*'Assumptions and Catalog'!$H$65+'Assumptions and Catalog'!$E$65+'Assumptions and Catalog'!$F$65,"Out of range")))))))))*(1+'Assumptions and Catalog'!$C$8)^(A335-1),0)</f>
        <v>3567.397</v>
      </c>
      <c r="O335" s="5" t="n">
        <f>M335-N335</f>
        <v>3527.397</v>
      </c>
      <c r="P335" s="5" t="n">
        <f>C$55*(1-J$14)*(1-'Assumptions and Catalog'!$C$23)^R335</f>
        <v>0</v>
      </c>
      <c r="Q335" s="5" t="n">
        <f>IF(ISNUMBER(Inputs!$L$5),(IF(Inputs!$L$9="Actual flat rate",((D335+E335)*C335-G335)*Inputs!$L$10,IF(Inputs!$C$9="Residential",IF(((D335+E335)*C335-G335)&lt;='Assumptions and Catalog'!$C$50,((D335+E335)*C335-G335)*'Assumptions and Catalog'!$H$50+'Assumptions and Catalog'!$E$50+'Assumptions and Catalog'!$F$50,IF(((D335+E335)*C335-G335)&lt;='Assumptions and Catalog'!$C$51,((D335+E335)*C335-G335)*'Assumptions and Catalog'!$H$51+'Assumptions and Catalog'!$E$51+'Assumptions and Catalog'!$F$51,IF(((D335+E335)*C335-G335)&lt;='Assumptions and Catalog'!$C$52,((D335+E335)*C335-G335)*'Assumptions and Catalog'!$H$52+'Assumptions and Catalog'!$E$52+'Assumptions and Catalog'!$F$52,IF(((D335+E335)*C335-G335)&lt;='Assumptions and Catalog'!$C$53,((D335+E335)*C335-G335)*'Assumptions and Catalog'!$H$53+'Assumptions and Catalog'!$E$53+'Assumptions and Catalog'!$F$53,IF(((D335+E335)*C335-G335)&lt;='Assumptions and Catalog'!$C$54,((D335+E335)*C335-G335)*'Assumptions and Catalog'!$H$54+'Assumptions and Catalog'!$E$54+'Assumptions and Catalog'!$F$54,IF(((D335+E335)*C335-G335)&lt;='Assumptions and Catalog'!$C$55,((D335+E335)*C335-G335)*'Assumptions and Catalog'!$H$55+'Assumptions and Catalog'!$E$55+'Assumptions and Catalog'!$F$55,IF(((D335+E335)*C335-G335)&lt;='Assumptions and Catalog'!$C$56,((D335+E335)*C335-G335)*'Assumptions and Catalog'!$H$56+'Assumptions and Catalog'!$E$56+'Assumptions and Catalog'!$F$56,IF(((D335+E335)*C335-G335)&lt;='Assumptions and Catalog'!$C$57,((D335+E335)*C335-G335)*'Assumptions and Catalog'!$H$57+'Assumptions and Catalog'!$E$57+'Assumptions and Catalog'!$F$57,"Out of range")))))))),IF(((D335+E335)*C335-G335)&lt;='Assumptions and Catalog'!$C$60,((D335+E335)*C335-G335)*'Assumptions and Catalog'!$H$60+'Assumptions and Catalog'!$E$60+'Assumptions and Catalog'!$F$60,IF(((D335+E335)*C335-G335)&lt;='Assumptions and Catalog'!$C$61,((D335+E335)*C335-G335)*'Assumptions and Catalog'!$H$61+'Assumptions and Catalog'!$E$61+'Assumptions and Catalog'!$F$61,IF(((D335+E335)*C335-G335)&lt;='Assumptions and Catalog'!$C$62,((D335+E335)*C335-G335)*'Assumptions and Catalog'!$H$62+'Assumptions and Catalog'!$E$62+'Assumptions and Catalog'!$F$62,IF(((D335+E335)*C335-G335)&lt;='Assumptions and Catalog'!$C$63,((D335+E335)*C335-G335)*'Assumptions and Catalog'!$H$63+'Assumptions and Catalog'!$E$63+'Assumptions and Catalog'!$F$63,IF(((D335+E335)*C335-G335)&lt;='Assumptions and Catalog'!$C$64,((D335+E335)*C335-G335)*'Assumptions and Catalog'!$H$64+'Assumptions and Catalog'!$E$64+'Assumptions and Catalog'!$F$64,IF(((D335+E335)*C335-G335)&lt;='Assumptions and Catalog'!$C$65,((D335+E335)*C335-G335)*'Assumptions and Catalog'!$H$65+'Assumptions and Catalog'!$E$65+'Assumptions and Catalog'!$F$65,"Out of range")))))))))*(1+'Assumptions and Catalog'!$C$8)^(A335-1),0)</f>
        <v>3567.397</v>
      </c>
      <c r="R335" s="5" t="n">
        <f>IF(AND('Assumptions and Catalog'!$C$19&gt;0,A335&gt;='Assumptions and Catalog'!$C$19),A335-'Assumptions and Catalog'!$C$19,A335-1)</f>
        <v>4</v>
      </c>
      <c r="S335" s="5" t="n">
        <f>F335+L335-(D335+E335)*C335-J335-K335-0</f>
        <v>0</v>
      </c>
      <c r="T335" s="5"/>
      <c r="U335" s="5"/>
    </row>
    <row r="336" ht="23.100000381469727" customHeight="1">
      <c r="A336" s="5" t="n">
        <v>15</v>
      </c>
      <c r="B336" s="5" t="n">
        <v>8</v>
      </c>
      <c r="C336" s="5" t="n">
        <f>DAY(DATE('Assumptions and Catalog'!$C$24+A336-1,B336+1,0))</f>
        <v>31</v>
      </c>
      <c r="D336" s="5" t="n">
        <f>IF(ISNUMBER(Inputs!$L$5),Inputs!$L$5*Inputs!$L$6,0)</f>
        <v>40.35</v>
      </c>
      <c r="E336" s="5" t="n">
        <f>IF(ISNUMBER(Inputs!$L$5),Inputs!$L$5-D336,0)</f>
        <v>40.35</v>
      </c>
      <c r="F336" s="5" t="n">
        <f>C$51*INDEX('Solar Production'!$D$20:$D$31,B336)*C336*(1-'Assumptions and Catalog'!$C$10)^(A336-1)</f>
        <v>1368.36465848271</v>
      </c>
      <c r="G336" s="5" t="n">
        <f>MIN(F336,D336*C336)</f>
        <v>1250.85</v>
      </c>
      <c r="H336" s="5" t="n">
        <f>I336/('Assumptions and Catalog'!$C$11*'Assumptions and Catalog'!$C$12)</f>
        <v>0</v>
      </c>
      <c r="I336" s="5" t="n">
        <f>0</f>
        <v>0</v>
      </c>
      <c r="J336" s="5" t="n">
        <f>MAX(F336-G336-H336,0)</f>
        <v>117.514658482708</v>
      </c>
      <c r="K336" s="5" t="n">
        <f>H336-I336</f>
        <v>0</v>
      </c>
      <c r="L336" s="5" t="n">
        <f>(D336+E336)*C336-G336-I336+0+0</f>
        <v>1250.85</v>
      </c>
      <c r="M336" s="5" t="n">
        <f>IF(ISNUMBER(Inputs!$L$5),(IF(Inputs!$L$9="Actual flat rate",((D336+E336)*C336)*Inputs!$L$10,IF(Inputs!$C$9="Residential",IF(((D336+E336)*C336)&lt;='Assumptions and Catalog'!$C$50,((D336+E336)*C336)*'Assumptions and Catalog'!$H$50+'Assumptions and Catalog'!$E$50+'Assumptions and Catalog'!$F$50,IF(((D336+E336)*C336)&lt;='Assumptions and Catalog'!$C$51,((D336+E336)*C336)*'Assumptions and Catalog'!$H$51+'Assumptions and Catalog'!$E$51+'Assumptions and Catalog'!$F$51,IF(((D336+E336)*C336)&lt;='Assumptions and Catalog'!$C$52,((D336+E336)*C336)*'Assumptions and Catalog'!$H$52+'Assumptions and Catalog'!$E$52+'Assumptions and Catalog'!$F$52,IF(((D336+E336)*C336)&lt;='Assumptions and Catalog'!$C$53,((D336+E336)*C336)*'Assumptions and Catalog'!$H$53+'Assumptions and Catalog'!$E$53+'Assumptions and Catalog'!$F$53,IF(((D336+E336)*C336)&lt;='Assumptions and Catalog'!$C$54,((D336+E336)*C336)*'Assumptions and Catalog'!$H$54+'Assumptions and Catalog'!$E$54+'Assumptions and Catalog'!$F$54,IF(((D336+E336)*C336)&lt;='Assumptions and Catalog'!$C$55,((D336+E336)*C336)*'Assumptions and Catalog'!$H$55+'Assumptions and Catalog'!$E$55+'Assumptions and Catalog'!$F$55,IF(((D336+E336)*C336)&lt;='Assumptions and Catalog'!$C$56,((D336+E336)*C336)*'Assumptions and Catalog'!$H$56+'Assumptions and Catalog'!$E$56+'Assumptions and Catalog'!$F$56,IF(((D336+E336)*C336)&lt;='Assumptions and Catalog'!$C$57,((D336+E336)*C336)*'Assumptions and Catalog'!$H$57+'Assumptions and Catalog'!$E$57+'Assumptions and Catalog'!$F$57,"Out of range")))))))),IF(((D336+E336)*C336)&lt;='Assumptions and Catalog'!$C$60,((D336+E336)*C336)*'Assumptions and Catalog'!$H$60+'Assumptions and Catalog'!$E$60+'Assumptions and Catalog'!$F$60,IF(((D336+E336)*C336)&lt;='Assumptions and Catalog'!$C$61,((D336+E336)*C336)*'Assumptions and Catalog'!$H$61+'Assumptions and Catalog'!$E$61+'Assumptions and Catalog'!$F$61,IF(((D336+E336)*C336)&lt;='Assumptions and Catalog'!$C$62,((D336+E336)*C336)*'Assumptions and Catalog'!$H$62+'Assumptions and Catalog'!$E$62+'Assumptions and Catalog'!$F$62,IF(((D336+E336)*C336)&lt;='Assumptions and Catalog'!$C$63,((D336+E336)*C336)*'Assumptions and Catalog'!$H$63+'Assumptions and Catalog'!$E$63+'Assumptions and Catalog'!$F$63,IF(((D336+E336)*C336)&lt;='Assumptions and Catalog'!$C$64,((D336+E336)*C336)*'Assumptions and Catalog'!$H$64+'Assumptions and Catalog'!$E$64+'Assumptions and Catalog'!$F$64,IF(((D336+E336)*C336)&lt;='Assumptions and Catalog'!$C$65,((D336+E336)*C336)*'Assumptions and Catalog'!$H$65+'Assumptions and Catalog'!$E$65+'Assumptions and Catalog'!$F$65,"Out of range")))))))))*(1+'Assumptions and Catalog'!$C$8)^(A336-1),0)</f>
        <v>7094.794</v>
      </c>
      <c r="N336" s="5" t="n">
        <f>IF(ISNUMBER(Inputs!$L$5),(IF(Inputs!$L$9="Actual flat rate",L336*Inputs!$L$10,IF(Inputs!$C$9="Residential",IF(L336&lt;='Assumptions and Catalog'!$C$50,L336*'Assumptions and Catalog'!$H$50+'Assumptions and Catalog'!$E$50+'Assumptions and Catalog'!$F$50,IF(L336&lt;='Assumptions and Catalog'!$C$51,L336*'Assumptions and Catalog'!$H$51+'Assumptions and Catalog'!$E$51+'Assumptions and Catalog'!$F$51,IF(L336&lt;='Assumptions and Catalog'!$C$52,L336*'Assumptions and Catalog'!$H$52+'Assumptions and Catalog'!$E$52+'Assumptions and Catalog'!$F$52,IF(L336&lt;='Assumptions and Catalog'!$C$53,L336*'Assumptions and Catalog'!$H$53+'Assumptions and Catalog'!$E$53+'Assumptions and Catalog'!$F$53,IF(L336&lt;='Assumptions and Catalog'!$C$54,L336*'Assumptions and Catalog'!$H$54+'Assumptions and Catalog'!$E$54+'Assumptions and Catalog'!$F$54,IF(L336&lt;='Assumptions and Catalog'!$C$55,L336*'Assumptions and Catalog'!$H$55+'Assumptions and Catalog'!$E$55+'Assumptions and Catalog'!$F$55,IF(L336&lt;='Assumptions and Catalog'!$C$56,L336*'Assumptions and Catalog'!$H$56+'Assumptions and Catalog'!$E$56+'Assumptions and Catalog'!$F$56,IF(L336&lt;='Assumptions and Catalog'!$C$57,L336*'Assumptions and Catalog'!$H$57+'Assumptions and Catalog'!$E$57+'Assumptions and Catalog'!$F$57,"Out of range")))))))),IF(L336&lt;='Assumptions and Catalog'!$C$60,L336*'Assumptions and Catalog'!$H$60+'Assumptions and Catalog'!$E$60+'Assumptions and Catalog'!$F$60,IF(L336&lt;='Assumptions and Catalog'!$C$61,L336*'Assumptions and Catalog'!$H$61+'Assumptions and Catalog'!$E$61+'Assumptions and Catalog'!$F$61,IF(L336&lt;='Assumptions and Catalog'!$C$62,L336*'Assumptions and Catalog'!$H$62+'Assumptions and Catalog'!$E$62+'Assumptions and Catalog'!$F$62,IF(L336&lt;='Assumptions and Catalog'!$C$63,L336*'Assumptions and Catalog'!$H$63+'Assumptions and Catalog'!$E$63+'Assumptions and Catalog'!$F$63,IF(L336&lt;='Assumptions and Catalog'!$C$64,L336*'Assumptions and Catalog'!$H$64+'Assumptions and Catalog'!$E$64+'Assumptions and Catalog'!$F$64,IF(L336&lt;='Assumptions and Catalog'!$C$65,L336*'Assumptions and Catalog'!$H$65+'Assumptions and Catalog'!$E$65+'Assumptions and Catalog'!$F$65,"Out of range")))))))))*(1+'Assumptions and Catalog'!$C$8)^(A336-1),0)</f>
        <v>3567.397</v>
      </c>
      <c r="O336" s="5" t="n">
        <f>M336-N336</f>
        <v>3527.397</v>
      </c>
      <c r="P336" s="5" t="n">
        <f>C$55*(1-J$14)*(1-'Assumptions and Catalog'!$C$23)^R336</f>
        <v>0</v>
      </c>
      <c r="Q336" s="5" t="n">
        <f>IF(ISNUMBER(Inputs!$L$5),(IF(Inputs!$L$9="Actual flat rate",((D336+E336)*C336-G336)*Inputs!$L$10,IF(Inputs!$C$9="Residential",IF(((D336+E336)*C336-G336)&lt;='Assumptions and Catalog'!$C$50,((D336+E336)*C336-G336)*'Assumptions and Catalog'!$H$50+'Assumptions and Catalog'!$E$50+'Assumptions and Catalog'!$F$50,IF(((D336+E336)*C336-G336)&lt;='Assumptions and Catalog'!$C$51,((D336+E336)*C336-G336)*'Assumptions and Catalog'!$H$51+'Assumptions and Catalog'!$E$51+'Assumptions and Catalog'!$F$51,IF(((D336+E336)*C336-G336)&lt;='Assumptions and Catalog'!$C$52,((D336+E336)*C336-G336)*'Assumptions and Catalog'!$H$52+'Assumptions and Catalog'!$E$52+'Assumptions and Catalog'!$F$52,IF(((D336+E336)*C336-G336)&lt;='Assumptions and Catalog'!$C$53,((D336+E336)*C336-G336)*'Assumptions and Catalog'!$H$53+'Assumptions and Catalog'!$E$53+'Assumptions and Catalog'!$F$53,IF(((D336+E336)*C336-G336)&lt;='Assumptions and Catalog'!$C$54,((D336+E336)*C336-G336)*'Assumptions and Catalog'!$H$54+'Assumptions and Catalog'!$E$54+'Assumptions and Catalog'!$F$54,IF(((D336+E336)*C336-G336)&lt;='Assumptions and Catalog'!$C$55,((D336+E336)*C336-G336)*'Assumptions and Catalog'!$H$55+'Assumptions and Catalog'!$E$55+'Assumptions and Catalog'!$F$55,IF(((D336+E336)*C336-G336)&lt;='Assumptions and Catalog'!$C$56,((D336+E336)*C336-G336)*'Assumptions and Catalog'!$H$56+'Assumptions and Catalog'!$E$56+'Assumptions and Catalog'!$F$56,IF(((D336+E336)*C336-G336)&lt;='Assumptions and Catalog'!$C$57,((D336+E336)*C336-G336)*'Assumptions and Catalog'!$H$57+'Assumptions and Catalog'!$E$57+'Assumptions and Catalog'!$F$57,"Out of range")))))))),IF(((D336+E336)*C336-G336)&lt;='Assumptions and Catalog'!$C$60,((D336+E336)*C336-G336)*'Assumptions and Catalog'!$H$60+'Assumptions and Catalog'!$E$60+'Assumptions and Catalog'!$F$60,IF(((D336+E336)*C336-G336)&lt;='Assumptions and Catalog'!$C$61,((D336+E336)*C336-G336)*'Assumptions and Catalog'!$H$61+'Assumptions and Catalog'!$E$61+'Assumptions and Catalog'!$F$61,IF(((D336+E336)*C336-G336)&lt;='Assumptions and Catalog'!$C$62,((D336+E336)*C336-G336)*'Assumptions and Catalog'!$H$62+'Assumptions and Catalog'!$E$62+'Assumptions and Catalog'!$F$62,IF(((D336+E336)*C336-G336)&lt;='Assumptions and Catalog'!$C$63,((D336+E336)*C336-G336)*'Assumptions and Catalog'!$H$63+'Assumptions and Catalog'!$E$63+'Assumptions and Catalog'!$F$63,IF(((D336+E336)*C336-G336)&lt;='Assumptions and Catalog'!$C$64,((D336+E336)*C336-G336)*'Assumptions and Catalog'!$H$64+'Assumptions and Catalog'!$E$64+'Assumptions and Catalog'!$F$64,IF(((D336+E336)*C336-G336)&lt;='Assumptions and Catalog'!$C$65,((D336+E336)*C336-G336)*'Assumptions and Catalog'!$H$65+'Assumptions and Catalog'!$E$65+'Assumptions and Catalog'!$F$65,"Out of range")))))))))*(1+'Assumptions and Catalog'!$C$8)^(A336-1),0)</f>
        <v>3567.397</v>
      </c>
      <c r="R336" s="5" t="n">
        <f>IF(AND('Assumptions and Catalog'!$C$19&gt;0,A336&gt;='Assumptions and Catalog'!$C$19),A336-'Assumptions and Catalog'!$C$19,A336-1)</f>
        <v>4</v>
      </c>
      <c r="S336" s="5" t="n">
        <f>F336+L336-(D336+E336)*C336-J336-K336-0</f>
        <v>0</v>
      </c>
      <c r="T336" s="5"/>
      <c r="U336" s="5"/>
    </row>
    <row r="337" ht="23.100000381469727" customHeight="1">
      <c r="A337" s="5" t="n">
        <v>15</v>
      </c>
      <c r="B337" s="5" t="n">
        <v>9</v>
      </c>
      <c r="C337" s="5" t="n">
        <f>DAY(DATE('Assumptions and Catalog'!$C$24+A337-1,B337+1,0))</f>
        <v>30</v>
      </c>
      <c r="D337" s="5" t="n">
        <f>IF(ISNUMBER(Inputs!$L$5),Inputs!$L$5*Inputs!$L$6,0)</f>
        <v>40.35</v>
      </c>
      <c r="E337" s="5" t="n">
        <f>IF(ISNUMBER(Inputs!$L$5),Inputs!$L$5-D337,0)</f>
        <v>40.35</v>
      </c>
      <c r="F337" s="5" t="n">
        <f>C$51*INDEX('Solar Production'!$D$20:$D$31,B337)*C337*(1-'Assumptions and Catalog'!$C$10)^(A337-1)</f>
        <v>1320.78363318775</v>
      </c>
      <c r="G337" s="5" t="n">
        <f>MIN(F337,D337*C337)</f>
        <v>1210.5</v>
      </c>
      <c r="H337" s="5" t="n">
        <f>I337/('Assumptions and Catalog'!$C$11*'Assumptions and Catalog'!$C$12)</f>
        <v>0</v>
      </c>
      <c r="I337" s="5" t="n">
        <f>0</f>
        <v>0</v>
      </c>
      <c r="J337" s="5" t="n">
        <f>MAX(F337-G337-H337,0)</f>
        <v>110.283633187746</v>
      </c>
      <c r="K337" s="5" t="n">
        <f>H337-I337</f>
        <v>0</v>
      </c>
      <c r="L337" s="5" t="n">
        <f>(D337+E337)*C337-G337-I337+0+0</f>
        <v>1210.5</v>
      </c>
      <c r="M337" s="5" t="n">
        <f>IF(ISNUMBER(Inputs!$L$5),(IF(Inputs!$L$9="Actual flat rate",((D337+E337)*C337)*Inputs!$L$10,IF(Inputs!$C$9="Residential",IF(((D337+E337)*C337)&lt;='Assumptions and Catalog'!$C$50,((D337+E337)*C337)*'Assumptions and Catalog'!$H$50+'Assumptions and Catalog'!$E$50+'Assumptions and Catalog'!$F$50,IF(((D337+E337)*C337)&lt;='Assumptions and Catalog'!$C$51,((D337+E337)*C337)*'Assumptions and Catalog'!$H$51+'Assumptions and Catalog'!$E$51+'Assumptions and Catalog'!$F$51,IF(((D337+E337)*C337)&lt;='Assumptions and Catalog'!$C$52,((D337+E337)*C337)*'Assumptions and Catalog'!$H$52+'Assumptions and Catalog'!$E$52+'Assumptions and Catalog'!$F$52,IF(((D337+E337)*C337)&lt;='Assumptions and Catalog'!$C$53,((D337+E337)*C337)*'Assumptions and Catalog'!$H$53+'Assumptions and Catalog'!$E$53+'Assumptions and Catalog'!$F$53,IF(((D337+E337)*C337)&lt;='Assumptions and Catalog'!$C$54,((D337+E337)*C337)*'Assumptions and Catalog'!$H$54+'Assumptions and Catalog'!$E$54+'Assumptions and Catalog'!$F$54,IF(((D337+E337)*C337)&lt;='Assumptions and Catalog'!$C$55,((D337+E337)*C337)*'Assumptions and Catalog'!$H$55+'Assumptions and Catalog'!$E$55+'Assumptions and Catalog'!$F$55,IF(((D337+E337)*C337)&lt;='Assumptions and Catalog'!$C$56,((D337+E337)*C337)*'Assumptions and Catalog'!$H$56+'Assumptions and Catalog'!$E$56+'Assumptions and Catalog'!$F$56,IF(((D337+E337)*C337)&lt;='Assumptions and Catalog'!$C$57,((D337+E337)*C337)*'Assumptions and Catalog'!$H$57+'Assumptions and Catalog'!$E$57+'Assumptions and Catalog'!$F$57,"Out of range")))))))),IF(((D337+E337)*C337)&lt;='Assumptions and Catalog'!$C$60,((D337+E337)*C337)*'Assumptions and Catalog'!$H$60+'Assumptions and Catalog'!$E$60+'Assumptions and Catalog'!$F$60,IF(((D337+E337)*C337)&lt;='Assumptions and Catalog'!$C$61,((D337+E337)*C337)*'Assumptions and Catalog'!$H$61+'Assumptions and Catalog'!$E$61+'Assumptions and Catalog'!$F$61,IF(((D337+E337)*C337)&lt;='Assumptions and Catalog'!$C$62,((D337+E337)*C337)*'Assumptions and Catalog'!$H$62+'Assumptions and Catalog'!$E$62+'Assumptions and Catalog'!$F$62,IF(((D337+E337)*C337)&lt;='Assumptions and Catalog'!$C$63,((D337+E337)*C337)*'Assumptions and Catalog'!$H$63+'Assumptions and Catalog'!$E$63+'Assumptions and Catalog'!$F$63,IF(((D337+E337)*C337)&lt;='Assumptions and Catalog'!$C$64,((D337+E337)*C337)*'Assumptions and Catalog'!$H$64+'Assumptions and Catalog'!$E$64+'Assumptions and Catalog'!$F$64,IF(((D337+E337)*C337)&lt;='Assumptions and Catalog'!$C$65,((D337+E337)*C337)*'Assumptions and Catalog'!$H$65+'Assumptions and Catalog'!$E$65+'Assumptions and Catalog'!$F$65,"Out of range")))))))))*(1+'Assumptions and Catalog'!$C$8)^(A337-1),0)</f>
        <v>6867.22</v>
      </c>
      <c r="N337" s="5" t="n">
        <f>IF(ISNUMBER(Inputs!$L$5),(IF(Inputs!$L$9="Actual flat rate",L337*Inputs!$L$10,IF(Inputs!$C$9="Residential",IF(L337&lt;='Assumptions and Catalog'!$C$50,L337*'Assumptions and Catalog'!$H$50+'Assumptions and Catalog'!$E$50+'Assumptions and Catalog'!$F$50,IF(L337&lt;='Assumptions and Catalog'!$C$51,L337*'Assumptions and Catalog'!$H$51+'Assumptions and Catalog'!$E$51+'Assumptions and Catalog'!$F$51,IF(L337&lt;='Assumptions and Catalog'!$C$52,L337*'Assumptions and Catalog'!$H$52+'Assumptions and Catalog'!$E$52+'Assumptions and Catalog'!$F$52,IF(L337&lt;='Assumptions and Catalog'!$C$53,L337*'Assumptions and Catalog'!$H$53+'Assumptions and Catalog'!$E$53+'Assumptions and Catalog'!$F$53,IF(L337&lt;='Assumptions and Catalog'!$C$54,L337*'Assumptions and Catalog'!$H$54+'Assumptions and Catalog'!$E$54+'Assumptions and Catalog'!$F$54,IF(L337&lt;='Assumptions and Catalog'!$C$55,L337*'Assumptions and Catalog'!$H$55+'Assumptions and Catalog'!$E$55+'Assumptions and Catalog'!$F$55,IF(L337&lt;='Assumptions and Catalog'!$C$56,L337*'Assumptions and Catalog'!$H$56+'Assumptions and Catalog'!$E$56+'Assumptions and Catalog'!$F$56,IF(L337&lt;='Assumptions and Catalog'!$C$57,L337*'Assumptions and Catalog'!$H$57+'Assumptions and Catalog'!$E$57+'Assumptions and Catalog'!$F$57,"Out of range")))))))),IF(L337&lt;='Assumptions and Catalog'!$C$60,L337*'Assumptions and Catalog'!$H$60+'Assumptions and Catalog'!$E$60+'Assumptions and Catalog'!$F$60,IF(L337&lt;='Assumptions and Catalog'!$C$61,L337*'Assumptions and Catalog'!$H$61+'Assumptions and Catalog'!$E$61+'Assumptions and Catalog'!$F$61,IF(L337&lt;='Assumptions and Catalog'!$C$62,L337*'Assumptions and Catalog'!$H$62+'Assumptions and Catalog'!$E$62+'Assumptions and Catalog'!$F$62,IF(L337&lt;='Assumptions and Catalog'!$C$63,L337*'Assumptions and Catalog'!$H$63+'Assumptions and Catalog'!$E$63+'Assumptions and Catalog'!$F$63,IF(L337&lt;='Assumptions and Catalog'!$C$64,L337*'Assumptions and Catalog'!$H$64+'Assumptions and Catalog'!$E$64+'Assumptions and Catalog'!$F$64,IF(L337&lt;='Assumptions and Catalog'!$C$65,L337*'Assumptions and Catalog'!$H$65+'Assumptions and Catalog'!$E$65+'Assumptions and Catalog'!$F$65,"Out of range")))))))))*(1+'Assumptions and Catalog'!$C$8)^(A337-1),0)</f>
        <v>3453.61</v>
      </c>
      <c r="O337" s="5" t="n">
        <f>M337-N337</f>
        <v>3413.61</v>
      </c>
      <c r="P337" s="5" t="n">
        <f>C$55*(1-J$14)*(1-'Assumptions and Catalog'!$C$23)^R337</f>
        <v>0</v>
      </c>
      <c r="Q337" s="5" t="n">
        <f>IF(ISNUMBER(Inputs!$L$5),(IF(Inputs!$L$9="Actual flat rate",((D337+E337)*C337-G337)*Inputs!$L$10,IF(Inputs!$C$9="Residential",IF(((D337+E337)*C337-G337)&lt;='Assumptions and Catalog'!$C$50,((D337+E337)*C337-G337)*'Assumptions and Catalog'!$H$50+'Assumptions and Catalog'!$E$50+'Assumptions and Catalog'!$F$50,IF(((D337+E337)*C337-G337)&lt;='Assumptions and Catalog'!$C$51,((D337+E337)*C337-G337)*'Assumptions and Catalog'!$H$51+'Assumptions and Catalog'!$E$51+'Assumptions and Catalog'!$F$51,IF(((D337+E337)*C337-G337)&lt;='Assumptions and Catalog'!$C$52,((D337+E337)*C337-G337)*'Assumptions and Catalog'!$H$52+'Assumptions and Catalog'!$E$52+'Assumptions and Catalog'!$F$52,IF(((D337+E337)*C337-G337)&lt;='Assumptions and Catalog'!$C$53,((D337+E337)*C337-G337)*'Assumptions and Catalog'!$H$53+'Assumptions and Catalog'!$E$53+'Assumptions and Catalog'!$F$53,IF(((D337+E337)*C337-G337)&lt;='Assumptions and Catalog'!$C$54,((D337+E337)*C337-G337)*'Assumptions and Catalog'!$H$54+'Assumptions and Catalog'!$E$54+'Assumptions and Catalog'!$F$54,IF(((D337+E337)*C337-G337)&lt;='Assumptions and Catalog'!$C$55,((D337+E337)*C337-G337)*'Assumptions and Catalog'!$H$55+'Assumptions and Catalog'!$E$55+'Assumptions and Catalog'!$F$55,IF(((D337+E337)*C337-G337)&lt;='Assumptions and Catalog'!$C$56,((D337+E337)*C337-G337)*'Assumptions and Catalog'!$H$56+'Assumptions and Catalog'!$E$56+'Assumptions and Catalog'!$F$56,IF(((D337+E337)*C337-G337)&lt;='Assumptions and Catalog'!$C$57,((D337+E337)*C337-G337)*'Assumptions and Catalog'!$H$57+'Assumptions and Catalog'!$E$57+'Assumptions and Catalog'!$F$57,"Out of range")))))))),IF(((D337+E337)*C337-G337)&lt;='Assumptions and Catalog'!$C$60,((D337+E337)*C337-G337)*'Assumptions and Catalog'!$H$60+'Assumptions and Catalog'!$E$60+'Assumptions and Catalog'!$F$60,IF(((D337+E337)*C337-G337)&lt;='Assumptions and Catalog'!$C$61,((D337+E337)*C337-G337)*'Assumptions and Catalog'!$H$61+'Assumptions and Catalog'!$E$61+'Assumptions and Catalog'!$F$61,IF(((D337+E337)*C337-G337)&lt;='Assumptions and Catalog'!$C$62,((D337+E337)*C337-G337)*'Assumptions and Catalog'!$H$62+'Assumptions and Catalog'!$E$62+'Assumptions and Catalog'!$F$62,IF(((D337+E337)*C337-G337)&lt;='Assumptions and Catalog'!$C$63,((D337+E337)*C337-G337)*'Assumptions and Catalog'!$H$63+'Assumptions and Catalog'!$E$63+'Assumptions and Catalog'!$F$63,IF(((D337+E337)*C337-G337)&lt;='Assumptions and Catalog'!$C$64,((D337+E337)*C337-G337)*'Assumptions and Catalog'!$H$64+'Assumptions and Catalog'!$E$64+'Assumptions and Catalog'!$F$64,IF(((D337+E337)*C337-G337)&lt;='Assumptions and Catalog'!$C$65,((D337+E337)*C337-G337)*'Assumptions and Catalog'!$H$65+'Assumptions and Catalog'!$E$65+'Assumptions and Catalog'!$F$65,"Out of range")))))))))*(1+'Assumptions and Catalog'!$C$8)^(A337-1),0)</f>
        <v>3453.61</v>
      </c>
      <c r="R337" s="5" t="n">
        <f>IF(AND('Assumptions and Catalog'!$C$19&gt;0,A337&gt;='Assumptions and Catalog'!$C$19),A337-'Assumptions and Catalog'!$C$19,A337-1)</f>
        <v>4</v>
      </c>
      <c r="S337" s="5" t="n">
        <f>F337+L337-(D337+E337)*C337-J337-K337-0</f>
        <v>0</v>
      </c>
      <c r="T337" s="5"/>
      <c r="U337" s="5"/>
    </row>
    <row r="338" ht="23.100000381469727" customHeight="1">
      <c r="A338" s="5" t="n">
        <v>15</v>
      </c>
      <c r="B338" s="5" t="n">
        <v>10</v>
      </c>
      <c r="C338" s="5" t="n">
        <f>DAY(DATE('Assumptions and Catalog'!$C$24+A338-1,B338+1,0))</f>
        <v>31</v>
      </c>
      <c r="D338" s="5" t="n">
        <f>IF(ISNUMBER(Inputs!$L$5),Inputs!$L$5*Inputs!$L$6,0)</f>
        <v>40.35</v>
      </c>
      <c r="E338" s="5" t="n">
        <f>IF(ISNUMBER(Inputs!$L$5),Inputs!$L$5-D338,0)</f>
        <v>40.35</v>
      </c>
      <c r="F338" s="5" t="n">
        <f>C$51*INDEX('Solar Production'!$D$20:$D$31,B338)*C338*(1-'Assumptions and Catalog'!$C$10)^(A338-1)</f>
        <v>1267.70617910871</v>
      </c>
      <c r="G338" s="5" t="n">
        <f>MIN(F338,D338*C338)</f>
        <v>1250.85</v>
      </c>
      <c r="H338" s="5" t="n">
        <f>I338/('Assumptions and Catalog'!$C$11*'Assumptions and Catalog'!$C$12)</f>
        <v>0</v>
      </c>
      <c r="I338" s="5" t="n">
        <f>0</f>
        <v>0</v>
      </c>
      <c r="J338" s="5" t="n">
        <f>MAX(F338-G338-H338,0)</f>
        <v>16.8561791087102</v>
      </c>
      <c r="K338" s="5" t="n">
        <f>H338-I338</f>
        <v>0</v>
      </c>
      <c r="L338" s="5" t="n">
        <f>(D338+E338)*C338-G338-I338+0+0</f>
        <v>1250.85</v>
      </c>
      <c r="M338" s="5" t="n">
        <f>IF(ISNUMBER(Inputs!$L$5),(IF(Inputs!$L$9="Actual flat rate",((D338+E338)*C338)*Inputs!$L$10,IF(Inputs!$C$9="Residential",IF(((D338+E338)*C338)&lt;='Assumptions and Catalog'!$C$50,((D338+E338)*C338)*'Assumptions and Catalog'!$H$50+'Assumptions and Catalog'!$E$50+'Assumptions and Catalog'!$F$50,IF(((D338+E338)*C338)&lt;='Assumptions and Catalog'!$C$51,((D338+E338)*C338)*'Assumptions and Catalog'!$H$51+'Assumptions and Catalog'!$E$51+'Assumptions and Catalog'!$F$51,IF(((D338+E338)*C338)&lt;='Assumptions and Catalog'!$C$52,((D338+E338)*C338)*'Assumptions and Catalog'!$H$52+'Assumptions and Catalog'!$E$52+'Assumptions and Catalog'!$F$52,IF(((D338+E338)*C338)&lt;='Assumptions and Catalog'!$C$53,((D338+E338)*C338)*'Assumptions and Catalog'!$H$53+'Assumptions and Catalog'!$E$53+'Assumptions and Catalog'!$F$53,IF(((D338+E338)*C338)&lt;='Assumptions and Catalog'!$C$54,((D338+E338)*C338)*'Assumptions and Catalog'!$H$54+'Assumptions and Catalog'!$E$54+'Assumptions and Catalog'!$F$54,IF(((D338+E338)*C338)&lt;='Assumptions and Catalog'!$C$55,((D338+E338)*C338)*'Assumptions and Catalog'!$H$55+'Assumptions and Catalog'!$E$55+'Assumptions and Catalog'!$F$55,IF(((D338+E338)*C338)&lt;='Assumptions and Catalog'!$C$56,((D338+E338)*C338)*'Assumptions and Catalog'!$H$56+'Assumptions and Catalog'!$E$56+'Assumptions and Catalog'!$F$56,IF(((D338+E338)*C338)&lt;='Assumptions and Catalog'!$C$57,((D338+E338)*C338)*'Assumptions and Catalog'!$H$57+'Assumptions and Catalog'!$E$57+'Assumptions and Catalog'!$F$57,"Out of range")))))))),IF(((D338+E338)*C338)&lt;='Assumptions and Catalog'!$C$60,((D338+E338)*C338)*'Assumptions and Catalog'!$H$60+'Assumptions and Catalog'!$E$60+'Assumptions and Catalog'!$F$60,IF(((D338+E338)*C338)&lt;='Assumptions and Catalog'!$C$61,((D338+E338)*C338)*'Assumptions and Catalog'!$H$61+'Assumptions and Catalog'!$E$61+'Assumptions and Catalog'!$F$61,IF(((D338+E338)*C338)&lt;='Assumptions and Catalog'!$C$62,((D338+E338)*C338)*'Assumptions and Catalog'!$H$62+'Assumptions and Catalog'!$E$62+'Assumptions and Catalog'!$F$62,IF(((D338+E338)*C338)&lt;='Assumptions and Catalog'!$C$63,((D338+E338)*C338)*'Assumptions and Catalog'!$H$63+'Assumptions and Catalog'!$E$63+'Assumptions and Catalog'!$F$63,IF(((D338+E338)*C338)&lt;='Assumptions and Catalog'!$C$64,((D338+E338)*C338)*'Assumptions and Catalog'!$H$64+'Assumptions and Catalog'!$E$64+'Assumptions and Catalog'!$F$64,IF(((D338+E338)*C338)&lt;='Assumptions and Catalog'!$C$65,((D338+E338)*C338)*'Assumptions and Catalog'!$H$65+'Assumptions and Catalog'!$E$65+'Assumptions and Catalog'!$F$65,"Out of range")))))))))*(1+'Assumptions and Catalog'!$C$8)^(A338-1),0)</f>
        <v>7094.794</v>
      </c>
      <c r="N338" s="5" t="n">
        <f>IF(ISNUMBER(Inputs!$L$5),(IF(Inputs!$L$9="Actual flat rate",L338*Inputs!$L$10,IF(Inputs!$C$9="Residential",IF(L338&lt;='Assumptions and Catalog'!$C$50,L338*'Assumptions and Catalog'!$H$50+'Assumptions and Catalog'!$E$50+'Assumptions and Catalog'!$F$50,IF(L338&lt;='Assumptions and Catalog'!$C$51,L338*'Assumptions and Catalog'!$H$51+'Assumptions and Catalog'!$E$51+'Assumptions and Catalog'!$F$51,IF(L338&lt;='Assumptions and Catalog'!$C$52,L338*'Assumptions and Catalog'!$H$52+'Assumptions and Catalog'!$E$52+'Assumptions and Catalog'!$F$52,IF(L338&lt;='Assumptions and Catalog'!$C$53,L338*'Assumptions and Catalog'!$H$53+'Assumptions and Catalog'!$E$53+'Assumptions and Catalog'!$F$53,IF(L338&lt;='Assumptions and Catalog'!$C$54,L338*'Assumptions and Catalog'!$H$54+'Assumptions and Catalog'!$E$54+'Assumptions and Catalog'!$F$54,IF(L338&lt;='Assumptions and Catalog'!$C$55,L338*'Assumptions and Catalog'!$H$55+'Assumptions and Catalog'!$E$55+'Assumptions and Catalog'!$F$55,IF(L338&lt;='Assumptions and Catalog'!$C$56,L338*'Assumptions and Catalog'!$H$56+'Assumptions and Catalog'!$E$56+'Assumptions and Catalog'!$F$56,IF(L338&lt;='Assumptions and Catalog'!$C$57,L338*'Assumptions and Catalog'!$H$57+'Assumptions and Catalog'!$E$57+'Assumptions and Catalog'!$F$57,"Out of range")))))))),IF(L338&lt;='Assumptions and Catalog'!$C$60,L338*'Assumptions and Catalog'!$H$60+'Assumptions and Catalog'!$E$60+'Assumptions and Catalog'!$F$60,IF(L338&lt;='Assumptions and Catalog'!$C$61,L338*'Assumptions and Catalog'!$H$61+'Assumptions and Catalog'!$E$61+'Assumptions and Catalog'!$F$61,IF(L338&lt;='Assumptions and Catalog'!$C$62,L338*'Assumptions and Catalog'!$H$62+'Assumptions and Catalog'!$E$62+'Assumptions and Catalog'!$F$62,IF(L338&lt;='Assumptions and Catalog'!$C$63,L338*'Assumptions and Catalog'!$H$63+'Assumptions and Catalog'!$E$63+'Assumptions and Catalog'!$F$63,IF(L338&lt;='Assumptions and Catalog'!$C$64,L338*'Assumptions and Catalog'!$H$64+'Assumptions and Catalog'!$E$64+'Assumptions and Catalog'!$F$64,IF(L338&lt;='Assumptions and Catalog'!$C$65,L338*'Assumptions and Catalog'!$H$65+'Assumptions and Catalog'!$E$65+'Assumptions and Catalog'!$F$65,"Out of range")))))))))*(1+'Assumptions and Catalog'!$C$8)^(A338-1),0)</f>
        <v>3567.397</v>
      </c>
      <c r="O338" s="5" t="n">
        <f>M338-N338</f>
        <v>3527.397</v>
      </c>
      <c r="P338" s="5" t="n">
        <f>C$55*(1-J$14)*(1-'Assumptions and Catalog'!$C$23)^R338</f>
        <v>0</v>
      </c>
      <c r="Q338" s="5" t="n">
        <f>IF(ISNUMBER(Inputs!$L$5),(IF(Inputs!$L$9="Actual flat rate",((D338+E338)*C338-G338)*Inputs!$L$10,IF(Inputs!$C$9="Residential",IF(((D338+E338)*C338-G338)&lt;='Assumptions and Catalog'!$C$50,((D338+E338)*C338-G338)*'Assumptions and Catalog'!$H$50+'Assumptions and Catalog'!$E$50+'Assumptions and Catalog'!$F$50,IF(((D338+E338)*C338-G338)&lt;='Assumptions and Catalog'!$C$51,((D338+E338)*C338-G338)*'Assumptions and Catalog'!$H$51+'Assumptions and Catalog'!$E$51+'Assumptions and Catalog'!$F$51,IF(((D338+E338)*C338-G338)&lt;='Assumptions and Catalog'!$C$52,((D338+E338)*C338-G338)*'Assumptions and Catalog'!$H$52+'Assumptions and Catalog'!$E$52+'Assumptions and Catalog'!$F$52,IF(((D338+E338)*C338-G338)&lt;='Assumptions and Catalog'!$C$53,((D338+E338)*C338-G338)*'Assumptions and Catalog'!$H$53+'Assumptions and Catalog'!$E$53+'Assumptions and Catalog'!$F$53,IF(((D338+E338)*C338-G338)&lt;='Assumptions and Catalog'!$C$54,((D338+E338)*C338-G338)*'Assumptions and Catalog'!$H$54+'Assumptions and Catalog'!$E$54+'Assumptions and Catalog'!$F$54,IF(((D338+E338)*C338-G338)&lt;='Assumptions and Catalog'!$C$55,((D338+E338)*C338-G338)*'Assumptions and Catalog'!$H$55+'Assumptions and Catalog'!$E$55+'Assumptions and Catalog'!$F$55,IF(((D338+E338)*C338-G338)&lt;='Assumptions and Catalog'!$C$56,((D338+E338)*C338-G338)*'Assumptions and Catalog'!$H$56+'Assumptions and Catalog'!$E$56+'Assumptions and Catalog'!$F$56,IF(((D338+E338)*C338-G338)&lt;='Assumptions and Catalog'!$C$57,((D338+E338)*C338-G338)*'Assumptions and Catalog'!$H$57+'Assumptions and Catalog'!$E$57+'Assumptions and Catalog'!$F$57,"Out of range")))))))),IF(((D338+E338)*C338-G338)&lt;='Assumptions and Catalog'!$C$60,((D338+E338)*C338-G338)*'Assumptions and Catalog'!$H$60+'Assumptions and Catalog'!$E$60+'Assumptions and Catalog'!$F$60,IF(((D338+E338)*C338-G338)&lt;='Assumptions and Catalog'!$C$61,((D338+E338)*C338-G338)*'Assumptions and Catalog'!$H$61+'Assumptions and Catalog'!$E$61+'Assumptions and Catalog'!$F$61,IF(((D338+E338)*C338-G338)&lt;='Assumptions and Catalog'!$C$62,((D338+E338)*C338-G338)*'Assumptions and Catalog'!$H$62+'Assumptions and Catalog'!$E$62+'Assumptions and Catalog'!$F$62,IF(((D338+E338)*C338-G338)&lt;='Assumptions and Catalog'!$C$63,((D338+E338)*C338-G338)*'Assumptions and Catalog'!$H$63+'Assumptions and Catalog'!$E$63+'Assumptions and Catalog'!$F$63,IF(((D338+E338)*C338-G338)&lt;='Assumptions and Catalog'!$C$64,((D338+E338)*C338-G338)*'Assumptions and Catalog'!$H$64+'Assumptions and Catalog'!$E$64+'Assumptions and Catalog'!$F$64,IF(((D338+E338)*C338-G338)&lt;='Assumptions and Catalog'!$C$65,((D338+E338)*C338-G338)*'Assumptions and Catalog'!$H$65+'Assumptions and Catalog'!$E$65+'Assumptions and Catalog'!$F$65,"Out of range")))))))))*(1+'Assumptions and Catalog'!$C$8)^(A338-1),0)</f>
        <v>3567.397</v>
      </c>
      <c r="R338" s="5" t="n">
        <f>IF(AND('Assumptions and Catalog'!$C$19&gt;0,A338&gt;='Assumptions and Catalog'!$C$19),A338-'Assumptions and Catalog'!$C$19,A338-1)</f>
        <v>4</v>
      </c>
      <c r="S338" s="5" t="n">
        <f>F338+L338-(D338+E338)*C338-J338-K338-0</f>
        <v>-2.27373675443232E-013</v>
      </c>
      <c r="T338" s="5"/>
      <c r="U338" s="5"/>
    </row>
    <row r="339" ht="23.100000381469727" customHeight="1">
      <c r="A339" s="5" t="n">
        <v>15</v>
      </c>
      <c r="B339" s="5" t="n">
        <v>11</v>
      </c>
      <c r="C339" s="5" t="n">
        <f>DAY(DATE('Assumptions and Catalog'!$C$24+A339-1,B339+1,0))</f>
        <v>30</v>
      </c>
      <c r="D339" s="5" t="n">
        <f>IF(ISNUMBER(Inputs!$L$5),Inputs!$L$5*Inputs!$L$6,0)</f>
        <v>40.35</v>
      </c>
      <c r="E339" s="5" t="n">
        <f>IF(ISNUMBER(Inputs!$L$5),Inputs!$L$5-D339,0)</f>
        <v>40.35</v>
      </c>
      <c r="F339" s="5" t="n">
        <f>C$51*INDEX('Solar Production'!$D$20:$D$31,B339)*C339*(1-'Assumptions and Catalog'!$C$10)^(A339-1)</f>
        <v>1123.65052321569</v>
      </c>
      <c r="G339" s="5" t="n">
        <f>MIN(F339,D339*C339)</f>
        <v>1123.65052321569</v>
      </c>
      <c r="H339" s="5" t="n">
        <f>I339/('Assumptions and Catalog'!$C$11*'Assumptions and Catalog'!$C$12)</f>
        <v>0</v>
      </c>
      <c r="I339" s="5" t="n">
        <f>0</f>
        <v>0</v>
      </c>
      <c r="J339" s="5" t="n">
        <f>MAX(F339-G339-H339,0)</f>
        <v>0</v>
      </c>
      <c r="K339" s="5" t="n">
        <f>H339-I339</f>
        <v>0</v>
      </c>
      <c r="L339" s="5" t="n">
        <f>(D339+E339)*C339-G339-I339+0+0</f>
        <v>1297.34947678431</v>
      </c>
      <c r="M339" s="5" t="n">
        <f>IF(ISNUMBER(Inputs!$L$5),(IF(Inputs!$L$9="Actual flat rate",((D339+E339)*C339)*Inputs!$L$10,IF(Inputs!$C$9="Residential",IF(((D339+E339)*C339)&lt;='Assumptions and Catalog'!$C$50,((D339+E339)*C339)*'Assumptions and Catalog'!$H$50+'Assumptions and Catalog'!$E$50+'Assumptions and Catalog'!$F$50,IF(((D339+E339)*C339)&lt;='Assumptions and Catalog'!$C$51,((D339+E339)*C339)*'Assumptions and Catalog'!$H$51+'Assumptions and Catalog'!$E$51+'Assumptions and Catalog'!$F$51,IF(((D339+E339)*C339)&lt;='Assumptions and Catalog'!$C$52,((D339+E339)*C339)*'Assumptions and Catalog'!$H$52+'Assumptions and Catalog'!$E$52+'Assumptions and Catalog'!$F$52,IF(((D339+E339)*C339)&lt;='Assumptions and Catalog'!$C$53,((D339+E339)*C339)*'Assumptions and Catalog'!$H$53+'Assumptions and Catalog'!$E$53+'Assumptions and Catalog'!$F$53,IF(((D339+E339)*C339)&lt;='Assumptions and Catalog'!$C$54,((D339+E339)*C339)*'Assumptions and Catalog'!$H$54+'Assumptions and Catalog'!$E$54+'Assumptions and Catalog'!$F$54,IF(((D339+E339)*C339)&lt;='Assumptions and Catalog'!$C$55,((D339+E339)*C339)*'Assumptions and Catalog'!$H$55+'Assumptions and Catalog'!$E$55+'Assumptions and Catalog'!$F$55,IF(((D339+E339)*C339)&lt;='Assumptions and Catalog'!$C$56,((D339+E339)*C339)*'Assumptions and Catalog'!$H$56+'Assumptions and Catalog'!$E$56+'Assumptions and Catalog'!$F$56,IF(((D339+E339)*C339)&lt;='Assumptions and Catalog'!$C$57,((D339+E339)*C339)*'Assumptions and Catalog'!$H$57+'Assumptions and Catalog'!$E$57+'Assumptions and Catalog'!$F$57,"Out of range")))))))),IF(((D339+E339)*C339)&lt;='Assumptions and Catalog'!$C$60,((D339+E339)*C339)*'Assumptions and Catalog'!$H$60+'Assumptions and Catalog'!$E$60+'Assumptions and Catalog'!$F$60,IF(((D339+E339)*C339)&lt;='Assumptions and Catalog'!$C$61,((D339+E339)*C339)*'Assumptions and Catalog'!$H$61+'Assumptions and Catalog'!$E$61+'Assumptions and Catalog'!$F$61,IF(((D339+E339)*C339)&lt;='Assumptions and Catalog'!$C$62,((D339+E339)*C339)*'Assumptions and Catalog'!$H$62+'Assumptions and Catalog'!$E$62+'Assumptions and Catalog'!$F$62,IF(((D339+E339)*C339)&lt;='Assumptions and Catalog'!$C$63,((D339+E339)*C339)*'Assumptions and Catalog'!$H$63+'Assumptions and Catalog'!$E$63+'Assumptions and Catalog'!$F$63,IF(((D339+E339)*C339)&lt;='Assumptions and Catalog'!$C$64,((D339+E339)*C339)*'Assumptions and Catalog'!$H$64+'Assumptions and Catalog'!$E$64+'Assumptions and Catalog'!$F$64,IF(((D339+E339)*C339)&lt;='Assumptions and Catalog'!$C$65,((D339+E339)*C339)*'Assumptions and Catalog'!$H$65+'Assumptions and Catalog'!$E$65+'Assumptions and Catalog'!$F$65,"Out of range")))))))))*(1+'Assumptions and Catalog'!$C$8)^(A339-1),0)</f>
        <v>6867.22</v>
      </c>
      <c r="N339" s="5" t="n">
        <f>IF(ISNUMBER(Inputs!$L$5),(IF(Inputs!$L$9="Actual flat rate",L339*Inputs!$L$10,IF(Inputs!$C$9="Residential",IF(L339&lt;='Assumptions and Catalog'!$C$50,L339*'Assumptions and Catalog'!$H$50+'Assumptions and Catalog'!$E$50+'Assumptions and Catalog'!$F$50,IF(L339&lt;='Assumptions and Catalog'!$C$51,L339*'Assumptions and Catalog'!$H$51+'Assumptions and Catalog'!$E$51+'Assumptions and Catalog'!$F$51,IF(L339&lt;='Assumptions and Catalog'!$C$52,L339*'Assumptions and Catalog'!$H$52+'Assumptions and Catalog'!$E$52+'Assumptions and Catalog'!$F$52,IF(L339&lt;='Assumptions and Catalog'!$C$53,L339*'Assumptions and Catalog'!$H$53+'Assumptions and Catalog'!$E$53+'Assumptions and Catalog'!$F$53,IF(L339&lt;='Assumptions and Catalog'!$C$54,L339*'Assumptions and Catalog'!$H$54+'Assumptions and Catalog'!$E$54+'Assumptions and Catalog'!$F$54,IF(L339&lt;='Assumptions and Catalog'!$C$55,L339*'Assumptions and Catalog'!$H$55+'Assumptions and Catalog'!$E$55+'Assumptions and Catalog'!$F$55,IF(L339&lt;='Assumptions and Catalog'!$C$56,L339*'Assumptions and Catalog'!$H$56+'Assumptions and Catalog'!$E$56+'Assumptions and Catalog'!$F$56,IF(L339&lt;='Assumptions and Catalog'!$C$57,L339*'Assumptions and Catalog'!$H$57+'Assumptions and Catalog'!$E$57+'Assumptions and Catalog'!$F$57,"Out of range")))))))),IF(L339&lt;='Assumptions and Catalog'!$C$60,L339*'Assumptions and Catalog'!$H$60+'Assumptions and Catalog'!$E$60+'Assumptions and Catalog'!$F$60,IF(L339&lt;='Assumptions and Catalog'!$C$61,L339*'Assumptions and Catalog'!$H$61+'Assumptions and Catalog'!$E$61+'Assumptions and Catalog'!$F$61,IF(L339&lt;='Assumptions and Catalog'!$C$62,L339*'Assumptions and Catalog'!$H$62+'Assumptions and Catalog'!$E$62+'Assumptions and Catalog'!$F$62,IF(L339&lt;='Assumptions and Catalog'!$C$63,L339*'Assumptions and Catalog'!$H$63+'Assumptions and Catalog'!$E$63+'Assumptions and Catalog'!$F$63,IF(L339&lt;='Assumptions and Catalog'!$C$64,L339*'Assumptions and Catalog'!$H$64+'Assumptions and Catalog'!$E$64+'Assumptions and Catalog'!$F$64,IF(L339&lt;='Assumptions and Catalog'!$C$65,L339*'Assumptions and Catalog'!$H$65+'Assumptions and Catalog'!$E$65+'Assumptions and Catalog'!$F$65,"Out of range")))))))))*(1+'Assumptions and Catalog'!$C$8)^(A339-1),0)</f>
        <v>3698.52552453176</v>
      </c>
      <c r="O339" s="5" t="n">
        <f>M339-N339</f>
        <v>3168.69447546824</v>
      </c>
      <c r="P339" s="5" t="n">
        <f>C$55*(1-J$14)*(1-'Assumptions and Catalog'!$C$23)^R339</f>
        <v>0</v>
      </c>
      <c r="Q339" s="5" t="n">
        <f>IF(ISNUMBER(Inputs!$L$5),(IF(Inputs!$L$9="Actual flat rate",((D339+E339)*C339-G339)*Inputs!$L$10,IF(Inputs!$C$9="Residential",IF(((D339+E339)*C339-G339)&lt;='Assumptions and Catalog'!$C$50,((D339+E339)*C339-G339)*'Assumptions and Catalog'!$H$50+'Assumptions and Catalog'!$E$50+'Assumptions and Catalog'!$F$50,IF(((D339+E339)*C339-G339)&lt;='Assumptions and Catalog'!$C$51,((D339+E339)*C339-G339)*'Assumptions and Catalog'!$H$51+'Assumptions and Catalog'!$E$51+'Assumptions and Catalog'!$F$51,IF(((D339+E339)*C339-G339)&lt;='Assumptions and Catalog'!$C$52,((D339+E339)*C339-G339)*'Assumptions and Catalog'!$H$52+'Assumptions and Catalog'!$E$52+'Assumptions and Catalog'!$F$52,IF(((D339+E339)*C339-G339)&lt;='Assumptions and Catalog'!$C$53,((D339+E339)*C339-G339)*'Assumptions and Catalog'!$H$53+'Assumptions and Catalog'!$E$53+'Assumptions and Catalog'!$F$53,IF(((D339+E339)*C339-G339)&lt;='Assumptions and Catalog'!$C$54,((D339+E339)*C339-G339)*'Assumptions and Catalog'!$H$54+'Assumptions and Catalog'!$E$54+'Assumptions and Catalog'!$F$54,IF(((D339+E339)*C339-G339)&lt;='Assumptions and Catalog'!$C$55,((D339+E339)*C339-G339)*'Assumptions and Catalog'!$H$55+'Assumptions and Catalog'!$E$55+'Assumptions and Catalog'!$F$55,IF(((D339+E339)*C339-G339)&lt;='Assumptions and Catalog'!$C$56,((D339+E339)*C339-G339)*'Assumptions and Catalog'!$H$56+'Assumptions and Catalog'!$E$56+'Assumptions and Catalog'!$F$56,IF(((D339+E339)*C339-G339)&lt;='Assumptions and Catalog'!$C$57,((D339+E339)*C339-G339)*'Assumptions and Catalog'!$H$57+'Assumptions and Catalog'!$E$57+'Assumptions and Catalog'!$F$57,"Out of range")))))))),IF(((D339+E339)*C339-G339)&lt;='Assumptions and Catalog'!$C$60,((D339+E339)*C339-G339)*'Assumptions and Catalog'!$H$60+'Assumptions and Catalog'!$E$60+'Assumptions and Catalog'!$F$60,IF(((D339+E339)*C339-G339)&lt;='Assumptions and Catalog'!$C$61,((D339+E339)*C339-G339)*'Assumptions and Catalog'!$H$61+'Assumptions and Catalog'!$E$61+'Assumptions and Catalog'!$F$61,IF(((D339+E339)*C339-G339)&lt;='Assumptions and Catalog'!$C$62,((D339+E339)*C339-G339)*'Assumptions and Catalog'!$H$62+'Assumptions and Catalog'!$E$62+'Assumptions and Catalog'!$F$62,IF(((D339+E339)*C339-G339)&lt;='Assumptions and Catalog'!$C$63,((D339+E339)*C339-G339)*'Assumptions and Catalog'!$H$63+'Assumptions and Catalog'!$E$63+'Assumptions and Catalog'!$F$63,IF(((D339+E339)*C339-G339)&lt;='Assumptions and Catalog'!$C$64,((D339+E339)*C339-G339)*'Assumptions and Catalog'!$H$64+'Assumptions and Catalog'!$E$64+'Assumptions and Catalog'!$F$64,IF(((D339+E339)*C339-G339)&lt;='Assumptions and Catalog'!$C$65,((D339+E339)*C339-G339)*'Assumptions and Catalog'!$H$65+'Assumptions and Catalog'!$E$65+'Assumptions and Catalog'!$F$65,"Out of range")))))))))*(1+'Assumptions and Catalog'!$C$8)^(A339-1),0)</f>
        <v>3698.52552453176</v>
      </c>
      <c r="R339" s="5" t="n">
        <f>IF(AND('Assumptions and Catalog'!$C$19&gt;0,A339&gt;='Assumptions and Catalog'!$C$19),A339-'Assumptions and Catalog'!$C$19,A339-1)</f>
        <v>4</v>
      </c>
      <c r="S339" s="5" t="n">
        <f>F339+L339-(D339+E339)*C339-J339-K339-0</f>
        <v>0</v>
      </c>
      <c r="T339" s="5"/>
      <c r="U339" s="5"/>
    </row>
    <row r="340" ht="23.100000381469727" customHeight="1">
      <c r="A340" s="5" t="n">
        <v>15</v>
      </c>
      <c r="B340" s="5" t="n">
        <v>12</v>
      </c>
      <c r="C340" s="5" t="n">
        <f>DAY(DATE('Assumptions and Catalog'!$C$24+A340-1,B340+1,0))</f>
        <v>31</v>
      </c>
      <c r="D340" s="5" t="n">
        <f>IF(ISNUMBER(Inputs!$L$5),Inputs!$L$5*Inputs!$L$6,0)</f>
        <v>40.35</v>
      </c>
      <c r="E340" s="5" t="n">
        <f>IF(ISNUMBER(Inputs!$L$5),Inputs!$L$5-D340,0)</f>
        <v>40.35</v>
      </c>
      <c r="F340" s="5" t="n">
        <f>C$51*INDEX('Solar Production'!$D$20:$D$31,B340)*C340*(1-'Assumptions and Catalog'!$C$10)^(A340-1)</f>
        <v>1069.75270663157</v>
      </c>
      <c r="G340" s="5" t="n">
        <f>MIN(F340,D340*C340)</f>
        <v>1069.75270663157</v>
      </c>
      <c r="H340" s="5" t="n">
        <f>I340/('Assumptions and Catalog'!$C$11*'Assumptions and Catalog'!$C$12)</f>
        <v>0</v>
      </c>
      <c r="I340" s="5" t="n">
        <f>0</f>
        <v>0</v>
      </c>
      <c r="J340" s="5" t="n">
        <f>MAX(F340-G340-H340,0)</f>
        <v>0</v>
      </c>
      <c r="K340" s="5" t="n">
        <f>H340-I340</f>
        <v>0</v>
      </c>
      <c r="L340" s="5" t="n">
        <f>(D340+E340)*C340-G340-I340+0+0</f>
        <v>1431.94729336843</v>
      </c>
      <c r="M340" s="5" t="n">
        <f>IF(ISNUMBER(Inputs!$L$5),(IF(Inputs!$L$9="Actual flat rate",((D340+E340)*C340)*Inputs!$L$10,IF(Inputs!$C$9="Residential",IF(((D340+E340)*C340)&lt;='Assumptions and Catalog'!$C$50,((D340+E340)*C340)*'Assumptions and Catalog'!$H$50+'Assumptions and Catalog'!$E$50+'Assumptions and Catalog'!$F$50,IF(((D340+E340)*C340)&lt;='Assumptions and Catalog'!$C$51,((D340+E340)*C340)*'Assumptions and Catalog'!$H$51+'Assumptions and Catalog'!$E$51+'Assumptions and Catalog'!$F$51,IF(((D340+E340)*C340)&lt;='Assumptions and Catalog'!$C$52,((D340+E340)*C340)*'Assumptions and Catalog'!$H$52+'Assumptions and Catalog'!$E$52+'Assumptions and Catalog'!$F$52,IF(((D340+E340)*C340)&lt;='Assumptions and Catalog'!$C$53,((D340+E340)*C340)*'Assumptions and Catalog'!$H$53+'Assumptions and Catalog'!$E$53+'Assumptions and Catalog'!$F$53,IF(((D340+E340)*C340)&lt;='Assumptions and Catalog'!$C$54,((D340+E340)*C340)*'Assumptions and Catalog'!$H$54+'Assumptions and Catalog'!$E$54+'Assumptions and Catalog'!$F$54,IF(((D340+E340)*C340)&lt;='Assumptions and Catalog'!$C$55,((D340+E340)*C340)*'Assumptions and Catalog'!$H$55+'Assumptions and Catalog'!$E$55+'Assumptions and Catalog'!$F$55,IF(((D340+E340)*C340)&lt;='Assumptions and Catalog'!$C$56,((D340+E340)*C340)*'Assumptions and Catalog'!$H$56+'Assumptions and Catalog'!$E$56+'Assumptions and Catalog'!$F$56,IF(((D340+E340)*C340)&lt;='Assumptions and Catalog'!$C$57,((D340+E340)*C340)*'Assumptions and Catalog'!$H$57+'Assumptions and Catalog'!$E$57+'Assumptions and Catalog'!$F$57,"Out of range")))))))),IF(((D340+E340)*C340)&lt;='Assumptions and Catalog'!$C$60,((D340+E340)*C340)*'Assumptions and Catalog'!$H$60+'Assumptions and Catalog'!$E$60+'Assumptions and Catalog'!$F$60,IF(((D340+E340)*C340)&lt;='Assumptions and Catalog'!$C$61,((D340+E340)*C340)*'Assumptions and Catalog'!$H$61+'Assumptions and Catalog'!$E$61+'Assumptions and Catalog'!$F$61,IF(((D340+E340)*C340)&lt;='Assumptions and Catalog'!$C$62,((D340+E340)*C340)*'Assumptions and Catalog'!$H$62+'Assumptions and Catalog'!$E$62+'Assumptions and Catalog'!$F$62,IF(((D340+E340)*C340)&lt;='Assumptions and Catalog'!$C$63,((D340+E340)*C340)*'Assumptions and Catalog'!$H$63+'Assumptions and Catalog'!$E$63+'Assumptions and Catalog'!$F$63,IF(((D340+E340)*C340)&lt;='Assumptions and Catalog'!$C$64,((D340+E340)*C340)*'Assumptions and Catalog'!$H$64+'Assumptions and Catalog'!$E$64+'Assumptions and Catalog'!$F$64,IF(((D340+E340)*C340)&lt;='Assumptions and Catalog'!$C$65,((D340+E340)*C340)*'Assumptions and Catalog'!$H$65+'Assumptions and Catalog'!$E$65+'Assumptions and Catalog'!$F$65,"Out of range")))))))))*(1+'Assumptions and Catalog'!$C$8)^(A340-1),0)</f>
        <v>7094.794</v>
      </c>
      <c r="N340" s="5" t="n">
        <f>IF(ISNUMBER(Inputs!$L$5),(IF(Inputs!$L$9="Actual flat rate",L340*Inputs!$L$10,IF(Inputs!$C$9="Residential",IF(L340&lt;='Assumptions and Catalog'!$C$50,L340*'Assumptions and Catalog'!$H$50+'Assumptions and Catalog'!$E$50+'Assumptions and Catalog'!$F$50,IF(L340&lt;='Assumptions and Catalog'!$C$51,L340*'Assumptions and Catalog'!$H$51+'Assumptions and Catalog'!$E$51+'Assumptions and Catalog'!$F$51,IF(L340&lt;='Assumptions and Catalog'!$C$52,L340*'Assumptions and Catalog'!$H$52+'Assumptions and Catalog'!$E$52+'Assumptions and Catalog'!$F$52,IF(L340&lt;='Assumptions and Catalog'!$C$53,L340*'Assumptions and Catalog'!$H$53+'Assumptions and Catalog'!$E$53+'Assumptions and Catalog'!$F$53,IF(L340&lt;='Assumptions and Catalog'!$C$54,L340*'Assumptions and Catalog'!$H$54+'Assumptions and Catalog'!$E$54+'Assumptions and Catalog'!$F$54,IF(L340&lt;='Assumptions and Catalog'!$C$55,L340*'Assumptions and Catalog'!$H$55+'Assumptions and Catalog'!$E$55+'Assumptions and Catalog'!$F$55,IF(L340&lt;='Assumptions and Catalog'!$C$56,L340*'Assumptions and Catalog'!$H$56+'Assumptions and Catalog'!$E$56+'Assumptions and Catalog'!$F$56,IF(L340&lt;='Assumptions and Catalog'!$C$57,L340*'Assumptions and Catalog'!$H$57+'Assumptions and Catalog'!$E$57+'Assumptions and Catalog'!$F$57,"Out of range")))))))),IF(L340&lt;='Assumptions and Catalog'!$C$60,L340*'Assumptions and Catalog'!$H$60+'Assumptions and Catalog'!$E$60+'Assumptions and Catalog'!$F$60,IF(L340&lt;='Assumptions and Catalog'!$C$61,L340*'Assumptions and Catalog'!$H$61+'Assumptions and Catalog'!$E$61+'Assumptions and Catalog'!$F$61,IF(L340&lt;='Assumptions and Catalog'!$C$62,L340*'Assumptions and Catalog'!$H$62+'Assumptions and Catalog'!$E$62+'Assumptions and Catalog'!$F$62,IF(L340&lt;='Assumptions and Catalog'!$C$63,L340*'Assumptions and Catalog'!$H$63+'Assumptions and Catalog'!$E$63+'Assumptions and Catalog'!$F$63,IF(L340&lt;='Assumptions and Catalog'!$C$64,L340*'Assumptions and Catalog'!$H$64+'Assumptions and Catalog'!$E$64+'Assumptions and Catalog'!$F$64,IF(L340&lt;='Assumptions and Catalog'!$C$65,L340*'Assumptions and Catalog'!$H$65+'Assumptions and Catalog'!$E$65+'Assumptions and Catalog'!$F$65,"Out of range")))))))))*(1+'Assumptions and Catalog'!$C$8)^(A340-1),0)</f>
        <v>4078.09136729899</v>
      </c>
      <c r="O340" s="5" t="n">
        <f>M340-N340</f>
        <v>3016.70263270102</v>
      </c>
      <c r="P340" s="5" t="n">
        <f>C$55*(1-J$14)*(1-'Assumptions and Catalog'!$C$23)^R340</f>
        <v>0</v>
      </c>
      <c r="Q340" s="5" t="n">
        <f>IF(ISNUMBER(Inputs!$L$5),(IF(Inputs!$L$9="Actual flat rate",((D340+E340)*C340-G340)*Inputs!$L$10,IF(Inputs!$C$9="Residential",IF(((D340+E340)*C340-G340)&lt;='Assumptions and Catalog'!$C$50,((D340+E340)*C340-G340)*'Assumptions and Catalog'!$H$50+'Assumptions and Catalog'!$E$50+'Assumptions and Catalog'!$F$50,IF(((D340+E340)*C340-G340)&lt;='Assumptions and Catalog'!$C$51,((D340+E340)*C340-G340)*'Assumptions and Catalog'!$H$51+'Assumptions and Catalog'!$E$51+'Assumptions and Catalog'!$F$51,IF(((D340+E340)*C340-G340)&lt;='Assumptions and Catalog'!$C$52,((D340+E340)*C340-G340)*'Assumptions and Catalog'!$H$52+'Assumptions and Catalog'!$E$52+'Assumptions and Catalog'!$F$52,IF(((D340+E340)*C340-G340)&lt;='Assumptions and Catalog'!$C$53,((D340+E340)*C340-G340)*'Assumptions and Catalog'!$H$53+'Assumptions and Catalog'!$E$53+'Assumptions and Catalog'!$F$53,IF(((D340+E340)*C340-G340)&lt;='Assumptions and Catalog'!$C$54,((D340+E340)*C340-G340)*'Assumptions and Catalog'!$H$54+'Assumptions and Catalog'!$E$54+'Assumptions and Catalog'!$F$54,IF(((D340+E340)*C340-G340)&lt;='Assumptions and Catalog'!$C$55,((D340+E340)*C340-G340)*'Assumptions and Catalog'!$H$55+'Assumptions and Catalog'!$E$55+'Assumptions and Catalog'!$F$55,IF(((D340+E340)*C340-G340)&lt;='Assumptions and Catalog'!$C$56,((D340+E340)*C340-G340)*'Assumptions and Catalog'!$H$56+'Assumptions and Catalog'!$E$56+'Assumptions and Catalog'!$F$56,IF(((D340+E340)*C340-G340)&lt;='Assumptions and Catalog'!$C$57,((D340+E340)*C340-G340)*'Assumptions and Catalog'!$H$57+'Assumptions and Catalog'!$E$57+'Assumptions and Catalog'!$F$57,"Out of range")))))))),IF(((D340+E340)*C340-G340)&lt;='Assumptions and Catalog'!$C$60,((D340+E340)*C340-G340)*'Assumptions and Catalog'!$H$60+'Assumptions and Catalog'!$E$60+'Assumptions and Catalog'!$F$60,IF(((D340+E340)*C340-G340)&lt;='Assumptions and Catalog'!$C$61,((D340+E340)*C340-G340)*'Assumptions and Catalog'!$H$61+'Assumptions and Catalog'!$E$61+'Assumptions and Catalog'!$F$61,IF(((D340+E340)*C340-G340)&lt;='Assumptions and Catalog'!$C$62,((D340+E340)*C340-G340)*'Assumptions and Catalog'!$H$62+'Assumptions and Catalog'!$E$62+'Assumptions and Catalog'!$F$62,IF(((D340+E340)*C340-G340)&lt;='Assumptions and Catalog'!$C$63,((D340+E340)*C340-G340)*'Assumptions and Catalog'!$H$63+'Assumptions and Catalog'!$E$63+'Assumptions and Catalog'!$F$63,IF(((D340+E340)*C340-G340)&lt;='Assumptions and Catalog'!$C$64,((D340+E340)*C340-G340)*'Assumptions and Catalog'!$H$64+'Assumptions and Catalog'!$E$64+'Assumptions and Catalog'!$F$64,IF(((D340+E340)*C340-G340)&lt;='Assumptions and Catalog'!$C$65,((D340+E340)*C340-G340)*'Assumptions and Catalog'!$H$65+'Assumptions and Catalog'!$E$65+'Assumptions and Catalog'!$F$65,"Out of range")))))))))*(1+'Assumptions and Catalog'!$C$8)^(A340-1),0)</f>
        <v>4078.09136729899</v>
      </c>
      <c r="R340" s="5" t="n">
        <f>IF(AND('Assumptions and Catalog'!$C$19&gt;0,A340&gt;='Assumptions and Catalog'!$C$19),A340-'Assumptions and Catalog'!$C$19,A340-1)</f>
        <v>4</v>
      </c>
      <c r="S340" s="5" t="n">
        <f>F340+L340-(D340+E340)*C340-J340-K340-0</f>
        <v>0</v>
      </c>
      <c r="T340" s="5"/>
      <c r="U340" s="5"/>
    </row>
    <row r="341" ht="23.100000381469727" customHeight="1">
      <c r="A341" s="5" t="n">
        <v>16</v>
      </c>
      <c r="B341" s="5" t="n">
        <v>1</v>
      </c>
      <c r="C341" s="5" t="n">
        <f>DAY(DATE('Assumptions and Catalog'!$C$24+A341-1,B341+1,0))</f>
        <v>31</v>
      </c>
      <c r="D341" s="5" t="n">
        <f>IF(ISNUMBER(Inputs!$L$5),Inputs!$L$5*Inputs!$L$6,0)</f>
        <v>40.35</v>
      </c>
      <c r="E341" s="5" t="n">
        <f>IF(ISNUMBER(Inputs!$L$5),Inputs!$L$5-D341,0)</f>
        <v>40.35</v>
      </c>
      <c r="F341" s="5" t="n">
        <f>C$51*INDEX('Solar Production'!$D$20:$D$31,B341)*C341*(1-'Assumptions and Catalog'!$C$10)^(A341-1)</f>
        <v>1071.75028933145</v>
      </c>
      <c r="G341" s="5" t="n">
        <f>MIN(F341,D341*C341)</f>
        <v>1071.75028933145</v>
      </c>
      <c r="H341" s="5" t="n">
        <f>I341/('Assumptions and Catalog'!$C$11*'Assumptions and Catalog'!$C$12)</f>
        <v>0</v>
      </c>
      <c r="I341" s="5" t="n">
        <f>0</f>
        <v>0</v>
      </c>
      <c r="J341" s="5" t="n">
        <f>MAX(F341-G341-H341,0)</f>
        <v>0</v>
      </c>
      <c r="K341" s="5" t="n">
        <f>H341-I341</f>
        <v>0</v>
      </c>
      <c r="L341" s="5" t="n">
        <f>(D341+E341)*C341-G341-I341+0+0</f>
        <v>1429.94971066855</v>
      </c>
      <c r="M341" s="5" t="n">
        <f>IF(ISNUMBER(Inputs!$L$5),(IF(Inputs!$L$9="Actual flat rate",((D341+E341)*C341)*Inputs!$L$10,IF(Inputs!$C$9="Residential",IF(((D341+E341)*C341)&lt;='Assumptions and Catalog'!$C$50,((D341+E341)*C341)*'Assumptions and Catalog'!$H$50+'Assumptions and Catalog'!$E$50+'Assumptions and Catalog'!$F$50,IF(((D341+E341)*C341)&lt;='Assumptions and Catalog'!$C$51,((D341+E341)*C341)*'Assumptions and Catalog'!$H$51+'Assumptions and Catalog'!$E$51+'Assumptions and Catalog'!$F$51,IF(((D341+E341)*C341)&lt;='Assumptions and Catalog'!$C$52,((D341+E341)*C341)*'Assumptions and Catalog'!$H$52+'Assumptions and Catalog'!$E$52+'Assumptions and Catalog'!$F$52,IF(((D341+E341)*C341)&lt;='Assumptions and Catalog'!$C$53,((D341+E341)*C341)*'Assumptions and Catalog'!$H$53+'Assumptions and Catalog'!$E$53+'Assumptions and Catalog'!$F$53,IF(((D341+E341)*C341)&lt;='Assumptions and Catalog'!$C$54,((D341+E341)*C341)*'Assumptions and Catalog'!$H$54+'Assumptions and Catalog'!$E$54+'Assumptions and Catalog'!$F$54,IF(((D341+E341)*C341)&lt;='Assumptions and Catalog'!$C$55,((D341+E341)*C341)*'Assumptions and Catalog'!$H$55+'Assumptions and Catalog'!$E$55+'Assumptions and Catalog'!$F$55,IF(((D341+E341)*C341)&lt;='Assumptions and Catalog'!$C$56,((D341+E341)*C341)*'Assumptions and Catalog'!$H$56+'Assumptions and Catalog'!$E$56+'Assumptions and Catalog'!$F$56,IF(((D341+E341)*C341)&lt;='Assumptions and Catalog'!$C$57,((D341+E341)*C341)*'Assumptions and Catalog'!$H$57+'Assumptions and Catalog'!$E$57+'Assumptions and Catalog'!$F$57,"Out of range")))))))),IF(((D341+E341)*C341)&lt;='Assumptions and Catalog'!$C$60,((D341+E341)*C341)*'Assumptions and Catalog'!$H$60+'Assumptions and Catalog'!$E$60+'Assumptions and Catalog'!$F$60,IF(((D341+E341)*C341)&lt;='Assumptions and Catalog'!$C$61,((D341+E341)*C341)*'Assumptions and Catalog'!$H$61+'Assumptions and Catalog'!$E$61+'Assumptions and Catalog'!$F$61,IF(((D341+E341)*C341)&lt;='Assumptions and Catalog'!$C$62,((D341+E341)*C341)*'Assumptions and Catalog'!$H$62+'Assumptions and Catalog'!$E$62+'Assumptions and Catalog'!$F$62,IF(((D341+E341)*C341)&lt;='Assumptions and Catalog'!$C$63,((D341+E341)*C341)*'Assumptions and Catalog'!$H$63+'Assumptions and Catalog'!$E$63+'Assumptions and Catalog'!$F$63,IF(((D341+E341)*C341)&lt;='Assumptions and Catalog'!$C$64,((D341+E341)*C341)*'Assumptions and Catalog'!$H$64+'Assumptions and Catalog'!$E$64+'Assumptions and Catalog'!$F$64,IF(((D341+E341)*C341)&lt;='Assumptions and Catalog'!$C$65,((D341+E341)*C341)*'Assumptions and Catalog'!$H$65+'Assumptions and Catalog'!$E$65+'Assumptions and Catalog'!$F$65,"Out of range")))))))))*(1+'Assumptions and Catalog'!$C$8)^(A341-1),0)</f>
        <v>7094.794</v>
      </c>
      <c r="N341" s="5" t="n">
        <f>IF(ISNUMBER(Inputs!$L$5),(IF(Inputs!$L$9="Actual flat rate",L341*Inputs!$L$10,IF(Inputs!$C$9="Residential",IF(L341&lt;='Assumptions and Catalog'!$C$50,L341*'Assumptions and Catalog'!$H$50+'Assumptions and Catalog'!$E$50+'Assumptions and Catalog'!$F$50,IF(L341&lt;='Assumptions and Catalog'!$C$51,L341*'Assumptions and Catalog'!$H$51+'Assumptions and Catalog'!$E$51+'Assumptions and Catalog'!$F$51,IF(L341&lt;='Assumptions and Catalog'!$C$52,L341*'Assumptions and Catalog'!$H$52+'Assumptions and Catalog'!$E$52+'Assumptions and Catalog'!$F$52,IF(L341&lt;='Assumptions and Catalog'!$C$53,L341*'Assumptions and Catalog'!$H$53+'Assumptions and Catalog'!$E$53+'Assumptions and Catalog'!$F$53,IF(L341&lt;='Assumptions and Catalog'!$C$54,L341*'Assumptions and Catalog'!$H$54+'Assumptions and Catalog'!$E$54+'Assumptions and Catalog'!$F$54,IF(L341&lt;='Assumptions and Catalog'!$C$55,L341*'Assumptions and Catalog'!$H$55+'Assumptions and Catalog'!$E$55+'Assumptions and Catalog'!$F$55,IF(L341&lt;='Assumptions and Catalog'!$C$56,L341*'Assumptions and Catalog'!$H$56+'Assumptions and Catalog'!$E$56+'Assumptions and Catalog'!$F$56,IF(L341&lt;='Assumptions and Catalog'!$C$57,L341*'Assumptions and Catalog'!$H$57+'Assumptions and Catalog'!$E$57+'Assumptions and Catalog'!$F$57,"Out of range")))))))),IF(L341&lt;='Assumptions and Catalog'!$C$60,L341*'Assumptions and Catalog'!$H$60+'Assumptions and Catalog'!$E$60+'Assumptions and Catalog'!$F$60,IF(L341&lt;='Assumptions and Catalog'!$C$61,L341*'Assumptions and Catalog'!$H$61+'Assumptions and Catalog'!$E$61+'Assumptions and Catalog'!$F$61,IF(L341&lt;='Assumptions and Catalog'!$C$62,L341*'Assumptions and Catalog'!$H$62+'Assumptions and Catalog'!$E$62+'Assumptions and Catalog'!$F$62,IF(L341&lt;='Assumptions and Catalog'!$C$63,L341*'Assumptions and Catalog'!$H$63+'Assumptions and Catalog'!$E$63+'Assumptions and Catalog'!$F$63,IF(L341&lt;='Assumptions and Catalog'!$C$64,L341*'Assumptions and Catalog'!$H$64+'Assumptions and Catalog'!$E$64+'Assumptions and Catalog'!$F$64,IF(L341&lt;='Assumptions and Catalog'!$C$65,L341*'Assumptions and Catalog'!$H$65+'Assumptions and Catalog'!$E$65+'Assumptions and Catalog'!$F$65,"Out of range")))))))))*(1+'Assumptions and Catalog'!$C$8)^(A341-1),0)</f>
        <v>4072.45818408531</v>
      </c>
      <c r="O341" s="5" t="n">
        <f>M341-N341</f>
        <v>3022.33581591469</v>
      </c>
      <c r="P341" s="5" t="n">
        <f>C$55*(1-J$14)*(1-'Assumptions and Catalog'!$C$23)^R341</f>
        <v>0</v>
      </c>
      <c r="Q341" s="5" t="n">
        <f>IF(ISNUMBER(Inputs!$L$5),(IF(Inputs!$L$9="Actual flat rate",((D341+E341)*C341-G341)*Inputs!$L$10,IF(Inputs!$C$9="Residential",IF(((D341+E341)*C341-G341)&lt;='Assumptions and Catalog'!$C$50,((D341+E341)*C341-G341)*'Assumptions and Catalog'!$H$50+'Assumptions and Catalog'!$E$50+'Assumptions and Catalog'!$F$50,IF(((D341+E341)*C341-G341)&lt;='Assumptions and Catalog'!$C$51,((D341+E341)*C341-G341)*'Assumptions and Catalog'!$H$51+'Assumptions and Catalog'!$E$51+'Assumptions and Catalog'!$F$51,IF(((D341+E341)*C341-G341)&lt;='Assumptions and Catalog'!$C$52,((D341+E341)*C341-G341)*'Assumptions and Catalog'!$H$52+'Assumptions and Catalog'!$E$52+'Assumptions and Catalog'!$F$52,IF(((D341+E341)*C341-G341)&lt;='Assumptions and Catalog'!$C$53,((D341+E341)*C341-G341)*'Assumptions and Catalog'!$H$53+'Assumptions and Catalog'!$E$53+'Assumptions and Catalog'!$F$53,IF(((D341+E341)*C341-G341)&lt;='Assumptions and Catalog'!$C$54,((D341+E341)*C341-G341)*'Assumptions and Catalog'!$H$54+'Assumptions and Catalog'!$E$54+'Assumptions and Catalog'!$F$54,IF(((D341+E341)*C341-G341)&lt;='Assumptions and Catalog'!$C$55,((D341+E341)*C341-G341)*'Assumptions and Catalog'!$H$55+'Assumptions and Catalog'!$E$55+'Assumptions and Catalog'!$F$55,IF(((D341+E341)*C341-G341)&lt;='Assumptions and Catalog'!$C$56,((D341+E341)*C341-G341)*'Assumptions and Catalog'!$H$56+'Assumptions and Catalog'!$E$56+'Assumptions and Catalog'!$F$56,IF(((D341+E341)*C341-G341)&lt;='Assumptions and Catalog'!$C$57,((D341+E341)*C341-G341)*'Assumptions and Catalog'!$H$57+'Assumptions and Catalog'!$E$57+'Assumptions and Catalog'!$F$57,"Out of range")))))))),IF(((D341+E341)*C341-G341)&lt;='Assumptions and Catalog'!$C$60,((D341+E341)*C341-G341)*'Assumptions and Catalog'!$H$60+'Assumptions and Catalog'!$E$60+'Assumptions and Catalog'!$F$60,IF(((D341+E341)*C341-G341)&lt;='Assumptions and Catalog'!$C$61,((D341+E341)*C341-G341)*'Assumptions and Catalog'!$H$61+'Assumptions and Catalog'!$E$61+'Assumptions and Catalog'!$F$61,IF(((D341+E341)*C341-G341)&lt;='Assumptions and Catalog'!$C$62,((D341+E341)*C341-G341)*'Assumptions and Catalog'!$H$62+'Assumptions and Catalog'!$E$62+'Assumptions and Catalog'!$F$62,IF(((D341+E341)*C341-G341)&lt;='Assumptions and Catalog'!$C$63,((D341+E341)*C341-G341)*'Assumptions and Catalog'!$H$63+'Assumptions and Catalog'!$E$63+'Assumptions and Catalog'!$F$63,IF(((D341+E341)*C341-G341)&lt;='Assumptions and Catalog'!$C$64,((D341+E341)*C341-G341)*'Assumptions and Catalog'!$H$64+'Assumptions and Catalog'!$E$64+'Assumptions and Catalog'!$F$64,IF(((D341+E341)*C341-G341)&lt;='Assumptions and Catalog'!$C$65,((D341+E341)*C341-G341)*'Assumptions and Catalog'!$H$65+'Assumptions and Catalog'!$E$65+'Assumptions and Catalog'!$F$65,"Out of range")))))))))*(1+'Assumptions and Catalog'!$C$8)^(A341-1),0)</f>
        <v>4072.45818408531</v>
      </c>
      <c r="R341" s="5" t="n">
        <f>IF(AND('Assumptions and Catalog'!$C$19&gt;0,A341&gt;='Assumptions and Catalog'!$C$19),A341-'Assumptions and Catalog'!$C$19,A341-1)</f>
        <v>5</v>
      </c>
      <c r="S341" s="5" t="n">
        <f>F341+L341-(D341+E341)*C341-J341-K341-0</f>
        <v>0</v>
      </c>
      <c r="T341" s="5"/>
      <c r="U341" s="5"/>
    </row>
    <row r="342" ht="23.100000381469727" customHeight="1">
      <c r="A342" s="5" t="n">
        <v>16</v>
      </c>
      <c r="B342" s="5" t="n">
        <v>2</v>
      </c>
      <c r="C342" s="5" t="n">
        <f>DAY(DATE('Assumptions and Catalog'!$C$24+A342-1,B342+1,0))</f>
        <v>28</v>
      </c>
      <c r="D342" s="5" t="n">
        <f>IF(ISNUMBER(Inputs!$L$5),Inputs!$L$5*Inputs!$L$6,0)</f>
        <v>40.35</v>
      </c>
      <c r="E342" s="5" t="n">
        <f>IF(ISNUMBER(Inputs!$L$5),Inputs!$L$5-D342,0)</f>
        <v>40.35</v>
      </c>
      <c r="F342" s="5" t="n">
        <f>C$51*INDEX('Solar Production'!$D$20:$D$31,B342)*C342*(1-'Assumptions and Catalog'!$C$10)^(A342-1)</f>
        <v>1056.64946651909</v>
      </c>
      <c r="G342" s="5" t="n">
        <f>MIN(F342,D342*C342)</f>
        <v>1056.64946651909</v>
      </c>
      <c r="H342" s="5" t="n">
        <f>I342/('Assumptions and Catalog'!$C$11*'Assumptions and Catalog'!$C$12)</f>
        <v>0</v>
      </c>
      <c r="I342" s="5" t="n">
        <f>0</f>
        <v>0</v>
      </c>
      <c r="J342" s="5" t="n">
        <f>MAX(F342-G342-H342,0)</f>
        <v>0</v>
      </c>
      <c r="K342" s="5" t="n">
        <f>H342-I342</f>
        <v>0</v>
      </c>
      <c r="L342" s="5" t="n">
        <f>(D342+E342)*C342-G342-I342+0+0</f>
        <v>1202.95053348091</v>
      </c>
      <c r="M342" s="5" t="n">
        <f>IF(ISNUMBER(Inputs!$L$5),(IF(Inputs!$L$9="Actual flat rate",((D342+E342)*C342)*Inputs!$L$10,IF(Inputs!$C$9="Residential",IF(((D342+E342)*C342)&lt;='Assumptions and Catalog'!$C$50,((D342+E342)*C342)*'Assumptions and Catalog'!$H$50+'Assumptions and Catalog'!$E$50+'Assumptions and Catalog'!$F$50,IF(((D342+E342)*C342)&lt;='Assumptions and Catalog'!$C$51,((D342+E342)*C342)*'Assumptions and Catalog'!$H$51+'Assumptions and Catalog'!$E$51+'Assumptions and Catalog'!$F$51,IF(((D342+E342)*C342)&lt;='Assumptions and Catalog'!$C$52,((D342+E342)*C342)*'Assumptions and Catalog'!$H$52+'Assumptions and Catalog'!$E$52+'Assumptions and Catalog'!$F$52,IF(((D342+E342)*C342)&lt;='Assumptions and Catalog'!$C$53,((D342+E342)*C342)*'Assumptions and Catalog'!$H$53+'Assumptions and Catalog'!$E$53+'Assumptions and Catalog'!$F$53,IF(((D342+E342)*C342)&lt;='Assumptions and Catalog'!$C$54,((D342+E342)*C342)*'Assumptions and Catalog'!$H$54+'Assumptions and Catalog'!$E$54+'Assumptions and Catalog'!$F$54,IF(((D342+E342)*C342)&lt;='Assumptions and Catalog'!$C$55,((D342+E342)*C342)*'Assumptions and Catalog'!$H$55+'Assumptions and Catalog'!$E$55+'Assumptions and Catalog'!$F$55,IF(((D342+E342)*C342)&lt;='Assumptions and Catalog'!$C$56,((D342+E342)*C342)*'Assumptions and Catalog'!$H$56+'Assumptions and Catalog'!$E$56+'Assumptions and Catalog'!$F$56,IF(((D342+E342)*C342)&lt;='Assumptions and Catalog'!$C$57,((D342+E342)*C342)*'Assumptions and Catalog'!$H$57+'Assumptions and Catalog'!$E$57+'Assumptions and Catalog'!$F$57,"Out of range")))))))),IF(((D342+E342)*C342)&lt;='Assumptions and Catalog'!$C$60,((D342+E342)*C342)*'Assumptions and Catalog'!$H$60+'Assumptions and Catalog'!$E$60+'Assumptions and Catalog'!$F$60,IF(((D342+E342)*C342)&lt;='Assumptions and Catalog'!$C$61,((D342+E342)*C342)*'Assumptions and Catalog'!$H$61+'Assumptions and Catalog'!$E$61+'Assumptions and Catalog'!$F$61,IF(((D342+E342)*C342)&lt;='Assumptions and Catalog'!$C$62,((D342+E342)*C342)*'Assumptions and Catalog'!$H$62+'Assumptions and Catalog'!$E$62+'Assumptions and Catalog'!$F$62,IF(((D342+E342)*C342)&lt;='Assumptions and Catalog'!$C$63,((D342+E342)*C342)*'Assumptions and Catalog'!$H$63+'Assumptions and Catalog'!$E$63+'Assumptions and Catalog'!$F$63,IF(((D342+E342)*C342)&lt;='Assumptions and Catalog'!$C$64,((D342+E342)*C342)*'Assumptions and Catalog'!$H$64+'Assumptions and Catalog'!$E$64+'Assumptions and Catalog'!$F$64,IF(((D342+E342)*C342)&lt;='Assumptions and Catalog'!$C$65,((D342+E342)*C342)*'Assumptions and Catalog'!$H$65+'Assumptions and Catalog'!$E$65+'Assumptions and Catalog'!$F$65,"Out of range")))))))))*(1+'Assumptions and Catalog'!$C$8)^(A342-1),0)</f>
        <v>6412.072</v>
      </c>
      <c r="N342" s="5" t="n">
        <f>IF(ISNUMBER(Inputs!$L$5),(IF(Inputs!$L$9="Actual flat rate",L342*Inputs!$L$10,IF(Inputs!$C$9="Residential",IF(L342&lt;='Assumptions and Catalog'!$C$50,L342*'Assumptions and Catalog'!$H$50+'Assumptions and Catalog'!$E$50+'Assumptions and Catalog'!$F$50,IF(L342&lt;='Assumptions and Catalog'!$C$51,L342*'Assumptions and Catalog'!$H$51+'Assumptions and Catalog'!$E$51+'Assumptions and Catalog'!$F$51,IF(L342&lt;='Assumptions and Catalog'!$C$52,L342*'Assumptions and Catalog'!$H$52+'Assumptions and Catalog'!$E$52+'Assumptions and Catalog'!$F$52,IF(L342&lt;='Assumptions and Catalog'!$C$53,L342*'Assumptions and Catalog'!$H$53+'Assumptions and Catalog'!$E$53+'Assumptions and Catalog'!$F$53,IF(L342&lt;='Assumptions and Catalog'!$C$54,L342*'Assumptions and Catalog'!$H$54+'Assumptions and Catalog'!$E$54+'Assumptions and Catalog'!$F$54,IF(L342&lt;='Assumptions and Catalog'!$C$55,L342*'Assumptions and Catalog'!$H$55+'Assumptions and Catalog'!$E$55+'Assumptions and Catalog'!$F$55,IF(L342&lt;='Assumptions and Catalog'!$C$56,L342*'Assumptions and Catalog'!$H$56+'Assumptions and Catalog'!$E$56+'Assumptions and Catalog'!$F$56,IF(L342&lt;='Assumptions and Catalog'!$C$57,L342*'Assumptions and Catalog'!$H$57+'Assumptions and Catalog'!$E$57+'Assumptions and Catalog'!$F$57,"Out of range")))))))),IF(L342&lt;='Assumptions and Catalog'!$C$60,L342*'Assumptions and Catalog'!$H$60+'Assumptions and Catalog'!$E$60+'Assumptions and Catalog'!$F$60,IF(L342&lt;='Assumptions and Catalog'!$C$61,L342*'Assumptions and Catalog'!$H$61+'Assumptions and Catalog'!$E$61+'Assumptions and Catalog'!$F$61,IF(L342&lt;='Assumptions and Catalog'!$C$62,L342*'Assumptions and Catalog'!$H$62+'Assumptions and Catalog'!$E$62+'Assumptions and Catalog'!$F$62,IF(L342&lt;='Assumptions and Catalog'!$C$63,L342*'Assumptions and Catalog'!$H$63+'Assumptions and Catalog'!$E$63+'Assumptions and Catalog'!$F$63,IF(L342&lt;='Assumptions and Catalog'!$C$64,L342*'Assumptions and Catalog'!$H$64+'Assumptions and Catalog'!$E$64+'Assumptions and Catalog'!$F$64,IF(L342&lt;='Assumptions and Catalog'!$C$65,L342*'Assumptions and Catalog'!$H$65+'Assumptions and Catalog'!$E$65+'Assumptions and Catalog'!$F$65,"Out of range")))))))))*(1+'Assumptions and Catalog'!$C$8)^(A342-1),0)</f>
        <v>3432.32050441618</v>
      </c>
      <c r="O342" s="5" t="n">
        <f>M342-N342</f>
        <v>2979.75149558382</v>
      </c>
      <c r="P342" s="5" t="n">
        <f>C$55*(1-J$14)*(1-'Assumptions and Catalog'!$C$23)^R342</f>
        <v>0</v>
      </c>
      <c r="Q342" s="5" t="n">
        <f>IF(ISNUMBER(Inputs!$L$5),(IF(Inputs!$L$9="Actual flat rate",((D342+E342)*C342-G342)*Inputs!$L$10,IF(Inputs!$C$9="Residential",IF(((D342+E342)*C342-G342)&lt;='Assumptions and Catalog'!$C$50,((D342+E342)*C342-G342)*'Assumptions and Catalog'!$H$50+'Assumptions and Catalog'!$E$50+'Assumptions and Catalog'!$F$50,IF(((D342+E342)*C342-G342)&lt;='Assumptions and Catalog'!$C$51,((D342+E342)*C342-G342)*'Assumptions and Catalog'!$H$51+'Assumptions and Catalog'!$E$51+'Assumptions and Catalog'!$F$51,IF(((D342+E342)*C342-G342)&lt;='Assumptions and Catalog'!$C$52,((D342+E342)*C342-G342)*'Assumptions and Catalog'!$H$52+'Assumptions and Catalog'!$E$52+'Assumptions and Catalog'!$F$52,IF(((D342+E342)*C342-G342)&lt;='Assumptions and Catalog'!$C$53,((D342+E342)*C342-G342)*'Assumptions and Catalog'!$H$53+'Assumptions and Catalog'!$E$53+'Assumptions and Catalog'!$F$53,IF(((D342+E342)*C342-G342)&lt;='Assumptions and Catalog'!$C$54,((D342+E342)*C342-G342)*'Assumptions and Catalog'!$H$54+'Assumptions and Catalog'!$E$54+'Assumptions and Catalog'!$F$54,IF(((D342+E342)*C342-G342)&lt;='Assumptions and Catalog'!$C$55,((D342+E342)*C342-G342)*'Assumptions and Catalog'!$H$55+'Assumptions and Catalog'!$E$55+'Assumptions and Catalog'!$F$55,IF(((D342+E342)*C342-G342)&lt;='Assumptions and Catalog'!$C$56,((D342+E342)*C342-G342)*'Assumptions and Catalog'!$H$56+'Assumptions and Catalog'!$E$56+'Assumptions and Catalog'!$F$56,IF(((D342+E342)*C342-G342)&lt;='Assumptions and Catalog'!$C$57,((D342+E342)*C342-G342)*'Assumptions and Catalog'!$H$57+'Assumptions and Catalog'!$E$57+'Assumptions and Catalog'!$F$57,"Out of range")))))))),IF(((D342+E342)*C342-G342)&lt;='Assumptions and Catalog'!$C$60,((D342+E342)*C342-G342)*'Assumptions and Catalog'!$H$60+'Assumptions and Catalog'!$E$60+'Assumptions and Catalog'!$F$60,IF(((D342+E342)*C342-G342)&lt;='Assumptions and Catalog'!$C$61,((D342+E342)*C342-G342)*'Assumptions and Catalog'!$H$61+'Assumptions and Catalog'!$E$61+'Assumptions and Catalog'!$F$61,IF(((D342+E342)*C342-G342)&lt;='Assumptions and Catalog'!$C$62,((D342+E342)*C342-G342)*'Assumptions and Catalog'!$H$62+'Assumptions and Catalog'!$E$62+'Assumptions and Catalog'!$F$62,IF(((D342+E342)*C342-G342)&lt;='Assumptions and Catalog'!$C$63,((D342+E342)*C342-G342)*'Assumptions and Catalog'!$H$63+'Assumptions and Catalog'!$E$63+'Assumptions and Catalog'!$F$63,IF(((D342+E342)*C342-G342)&lt;='Assumptions and Catalog'!$C$64,((D342+E342)*C342-G342)*'Assumptions and Catalog'!$H$64+'Assumptions and Catalog'!$E$64+'Assumptions and Catalog'!$F$64,IF(((D342+E342)*C342-G342)&lt;='Assumptions and Catalog'!$C$65,((D342+E342)*C342-G342)*'Assumptions and Catalog'!$H$65+'Assumptions and Catalog'!$E$65+'Assumptions and Catalog'!$F$65,"Out of range")))))))))*(1+'Assumptions and Catalog'!$C$8)^(A342-1),0)</f>
        <v>3432.32050441618</v>
      </c>
      <c r="R342" s="5" t="n">
        <f>IF(AND('Assumptions and Catalog'!$C$19&gt;0,A342&gt;='Assumptions and Catalog'!$C$19),A342-'Assumptions and Catalog'!$C$19,A342-1)</f>
        <v>5</v>
      </c>
      <c r="S342" s="5" t="n">
        <f>F342+L342-(D342+E342)*C342-J342-K342-0</f>
        <v>0</v>
      </c>
      <c r="T342" s="5"/>
      <c r="U342" s="5"/>
    </row>
    <row r="343" ht="23.100000381469727" customHeight="1">
      <c r="A343" s="5" t="n">
        <v>16</v>
      </c>
      <c r="B343" s="5" t="n">
        <v>3</v>
      </c>
      <c r="C343" s="5" t="n">
        <f>DAY(DATE('Assumptions and Catalog'!$C$24+A343-1,B343+1,0))</f>
        <v>31</v>
      </c>
      <c r="D343" s="5" t="n">
        <f>IF(ISNUMBER(Inputs!$L$5),Inputs!$L$5*Inputs!$L$6,0)</f>
        <v>40.35</v>
      </c>
      <c r="E343" s="5" t="n">
        <f>IF(ISNUMBER(Inputs!$L$5),Inputs!$L$5-D343,0)</f>
        <v>40.35</v>
      </c>
      <c r="F343" s="5" t="n">
        <f>C$51*INDEX('Solar Production'!$D$20:$D$31,B343)*C343*(1-'Assumptions and Catalog'!$C$10)^(A343-1)</f>
        <v>1314.66947143734</v>
      </c>
      <c r="G343" s="5" t="n">
        <f>MIN(F343,D343*C343)</f>
        <v>1250.85</v>
      </c>
      <c r="H343" s="5" t="n">
        <f>I343/('Assumptions and Catalog'!$C$11*'Assumptions and Catalog'!$C$12)</f>
        <v>0</v>
      </c>
      <c r="I343" s="5" t="n">
        <f>0</f>
        <v>0</v>
      </c>
      <c r="J343" s="5" t="n">
        <f>MAX(F343-G343-H343,0)</f>
        <v>63.8194714373428</v>
      </c>
      <c r="K343" s="5" t="n">
        <f>H343-I343</f>
        <v>0</v>
      </c>
      <c r="L343" s="5" t="n">
        <f>(D343+E343)*C343-G343-I343+0+0</f>
        <v>1250.85</v>
      </c>
      <c r="M343" s="5" t="n">
        <f>IF(ISNUMBER(Inputs!$L$5),(IF(Inputs!$L$9="Actual flat rate",((D343+E343)*C343)*Inputs!$L$10,IF(Inputs!$C$9="Residential",IF(((D343+E343)*C343)&lt;='Assumptions and Catalog'!$C$50,((D343+E343)*C343)*'Assumptions and Catalog'!$H$50+'Assumptions and Catalog'!$E$50+'Assumptions and Catalog'!$F$50,IF(((D343+E343)*C343)&lt;='Assumptions and Catalog'!$C$51,((D343+E343)*C343)*'Assumptions and Catalog'!$H$51+'Assumptions and Catalog'!$E$51+'Assumptions and Catalog'!$F$51,IF(((D343+E343)*C343)&lt;='Assumptions and Catalog'!$C$52,((D343+E343)*C343)*'Assumptions and Catalog'!$H$52+'Assumptions and Catalog'!$E$52+'Assumptions and Catalog'!$F$52,IF(((D343+E343)*C343)&lt;='Assumptions and Catalog'!$C$53,((D343+E343)*C343)*'Assumptions and Catalog'!$H$53+'Assumptions and Catalog'!$E$53+'Assumptions and Catalog'!$F$53,IF(((D343+E343)*C343)&lt;='Assumptions and Catalog'!$C$54,((D343+E343)*C343)*'Assumptions and Catalog'!$H$54+'Assumptions and Catalog'!$E$54+'Assumptions and Catalog'!$F$54,IF(((D343+E343)*C343)&lt;='Assumptions and Catalog'!$C$55,((D343+E343)*C343)*'Assumptions and Catalog'!$H$55+'Assumptions and Catalog'!$E$55+'Assumptions and Catalog'!$F$55,IF(((D343+E343)*C343)&lt;='Assumptions and Catalog'!$C$56,((D343+E343)*C343)*'Assumptions and Catalog'!$H$56+'Assumptions and Catalog'!$E$56+'Assumptions and Catalog'!$F$56,IF(((D343+E343)*C343)&lt;='Assumptions and Catalog'!$C$57,((D343+E343)*C343)*'Assumptions and Catalog'!$H$57+'Assumptions and Catalog'!$E$57+'Assumptions and Catalog'!$F$57,"Out of range")))))))),IF(((D343+E343)*C343)&lt;='Assumptions and Catalog'!$C$60,((D343+E343)*C343)*'Assumptions and Catalog'!$H$60+'Assumptions and Catalog'!$E$60+'Assumptions and Catalog'!$F$60,IF(((D343+E343)*C343)&lt;='Assumptions and Catalog'!$C$61,((D343+E343)*C343)*'Assumptions and Catalog'!$H$61+'Assumptions and Catalog'!$E$61+'Assumptions and Catalog'!$F$61,IF(((D343+E343)*C343)&lt;='Assumptions and Catalog'!$C$62,((D343+E343)*C343)*'Assumptions and Catalog'!$H$62+'Assumptions and Catalog'!$E$62+'Assumptions and Catalog'!$F$62,IF(((D343+E343)*C343)&lt;='Assumptions and Catalog'!$C$63,((D343+E343)*C343)*'Assumptions and Catalog'!$H$63+'Assumptions and Catalog'!$E$63+'Assumptions and Catalog'!$F$63,IF(((D343+E343)*C343)&lt;='Assumptions and Catalog'!$C$64,((D343+E343)*C343)*'Assumptions and Catalog'!$H$64+'Assumptions and Catalog'!$E$64+'Assumptions and Catalog'!$F$64,IF(((D343+E343)*C343)&lt;='Assumptions and Catalog'!$C$65,((D343+E343)*C343)*'Assumptions and Catalog'!$H$65+'Assumptions and Catalog'!$E$65+'Assumptions and Catalog'!$F$65,"Out of range")))))))))*(1+'Assumptions and Catalog'!$C$8)^(A343-1),0)</f>
        <v>7094.794</v>
      </c>
      <c r="N343" s="5" t="n">
        <f>IF(ISNUMBER(Inputs!$L$5),(IF(Inputs!$L$9="Actual flat rate",L343*Inputs!$L$10,IF(Inputs!$C$9="Residential",IF(L343&lt;='Assumptions and Catalog'!$C$50,L343*'Assumptions and Catalog'!$H$50+'Assumptions and Catalog'!$E$50+'Assumptions and Catalog'!$F$50,IF(L343&lt;='Assumptions and Catalog'!$C$51,L343*'Assumptions and Catalog'!$H$51+'Assumptions and Catalog'!$E$51+'Assumptions and Catalog'!$F$51,IF(L343&lt;='Assumptions and Catalog'!$C$52,L343*'Assumptions and Catalog'!$H$52+'Assumptions and Catalog'!$E$52+'Assumptions and Catalog'!$F$52,IF(L343&lt;='Assumptions and Catalog'!$C$53,L343*'Assumptions and Catalog'!$H$53+'Assumptions and Catalog'!$E$53+'Assumptions and Catalog'!$F$53,IF(L343&lt;='Assumptions and Catalog'!$C$54,L343*'Assumptions and Catalog'!$H$54+'Assumptions and Catalog'!$E$54+'Assumptions and Catalog'!$F$54,IF(L343&lt;='Assumptions and Catalog'!$C$55,L343*'Assumptions and Catalog'!$H$55+'Assumptions and Catalog'!$E$55+'Assumptions and Catalog'!$F$55,IF(L343&lt;='Assumptions and Catalog'!$C$56,L343*'Assumptions and Catalog'!$H$56+'Assumptions and Catalog'!$E$56+'Assumptions and Catalog'!$F$56,IF(L343&lt;='Assumptions and Catalog'!$C$57,L343*'Assumptions and Catalog'!$H$57+'Assumptions and Catalog'!$E$57+'Assumptions and Catalog'!$F$57,"Out of range")))))))),IF(L343&lt;='Assumptions and Catalog'!$C$60,L343*'Assumptions and Catalog'!$H$60+'Assumptions and Catalog'!$E$60+'Assumptions and Catalog'!$F$60,IF(L343&lt;='Assumptions and Catalog'!$C$61,L343*'Assumptions and Catalog'!$H$61+'Assumptions and Catalog'!$E$61+'Assumptions and Catalog'!$F$61,IF(L343&lt;='Assumptions and Catalog'!$C$62,L343*'Assumptions and Catalog'!$H$62+'Assumptions and Catalog'!$E$62+'Assumptions and Catalog'!$F$62,IF(L343&lt;='Assumptions and Catalog'!$C$63,L343*'Assumptions and Catalog'!$H$63+'Assumptions and Catalog'!$E$63+'Assumptions and Catalog'!$F$63,IF(L343&lt;='Assumptions and Catalog'!$C$64,L343*'Assumptions and Catalog'!$H$64+'Assumptions and Catalog'!$E$64+'Assumptions and Catalog'!$F$64,IF(L343&lt;='Assumptions and Catalog'!$C$65,L343*'Assumptions and Catalog'!$H$65+'Assumptions and Catalog'!$E$65+'Assumptions and Catalog'!$F$65,"Out of range")))))))))*(1+'Assumptions and Catalog'!$C$8)^(A343-1),0)</f>
        <v>3567.397</v>
      </c>
      <c r="O343" s="5" t="n">
        <f>M343-N343</f>
        <v>3527.397</v>
      </c>
      <c r="P343" s="5" t="n">
        <f>C$55*(1-J$14)*(1-'Assumptions and Catalog'!$C$23)^R343</f>
        <v>0</v>
      </c>
      <c r="Q343" s="5" t="n">
        <f>IF(ISNUMBER(Inputs!$L$5),(IF(Inputs!$L$9="Actual flat rate",((D343+E343)*C343-G343)*Inputs!$L$10,IF(Inputs!$C$9="Residential",IF(((D343+E343)*C343-G343)&lt;='Assumptions and Catalog'!$C$50,((D343+E343)*C343-G343)*'Assumptions and Catalog'!$H$50+'Assumptions and Catalog'!$E$50+'Assumptions and Catalog'!$F$50,IF(((D343+E343)*C343-G343)&lt;='Assumptions and Catalog'!$C$51,((D343+E343)*C343-G343)*'Assumptions and Catalog'!$H$51+'Assumptions and Catalog'!$E$51+'Assumptions and Catalog'!$F$51,IF(((D343+E343)*C343-G343)&lt;='Assumptions and Catalog'!$C$52,((D343+E343)*C343-G343)*'Assumptions and Catalog'!$H$52+'Assumptions and Catalog'!$E$52+'Assumptions and Catalog'!$F$52,IF(((D343+E343)*C343-G343)&lt;='Assumptions and Catalog'!$C$53,((D343+E343)*C343-G343)*'Assumptions and Catalog'!$H$53+'Assumptions and Catalog'!$E$53+'Assumptions and Catalog'!$F$53,IF(((D343+E343)*C343-G343)&lt;='Assumptions and Catalog'!$C$54,((D343+E343)*C343-G343)*'Assumptions and Catalog'!$H$54+'Assumptions and Catalog'!$E$54+'Assumptions and Catalog'!$F$54,IF(((D343+E343)*C343-G343)&lt;='Assumptions and Catalog'!$C$55,((D343+E343)*C343-G343)*'Assumptions and Catalog'!$H$55+'Assumptions and Catalog'!$E$55+'Assumptions and Catalog'!$F$55,IF(((D343+E343)*C343-G343)&lt;='Assumptions and Catalog'!$C$56,((D343+E343)*C343-G343)*'Assumptions and Catalog'!$H$56+'Assumptions and Catalog'!$E$56+'Assumptions and Catalog'!$F$56,IF(((D343+E343)*C343-G343)&lt;='Assumptions and Catalog'!$C$57,((D343+E343)*C343-G343)*'Assumptions and Catalog'!$H$57+'Assumptions and Catalog'!$E$57+'Assumptions and Catalog'!$F$57,"Out of range")))))))),IF(((D343+E343)*C343-G343)&lt;='Assumptions and Catalog'!$C$60,((D343+E343)*C343-G343)*'Assumptions and Catalog'!$H$60+'Assumptions and Catalog'!$E$60+'Assumptions and Catalog'!$F$60,IF(((D343+E343)*C343-G343)&lt;='Assumptions and Catalog'!$C$61,((D343+E343)*C343-G343)*'Assumptions and Catalog'!$H$61+'Assumptions and Catalog'!$E$61+'Assumptions and Catalog'!$F$61,IF(((D343+E343)*C343-G343)&lt;='Assumptions and Catalog'!$C$62,((D343+E343)*C343-G343)*'Assumptions and Catalog'!$H$62+'Assumptions and Catalog'!$E$62+'Assumptions and Catalog'!$F$62,IF(((D343+E343)*C343-G343)&lt;='Assumptions and Catalog'!$C$63,((D343+E343)*C343-G343)*'Assumptions and Catalog'!$H$63+'Assumptions and Catalog'!$E$63+'Assumptions and Catalog'!$F$63,IF(((D343+E343)*C343-G343)&lt;='Assumptions and Catalog'!$C$64,((D343+E343)*C343-G343)*'Assumptions and Catalog'!$H$64+'Assumptions and Catalog'!$E$64+'Assumptions and Catalog'!$F$64,IF(((D343+E343)*C343-G343)&lt;='Assumptions and Catalog'!$C$65,((D343+E343)*C343-G343)*'Assumptions and Catalog'!$H$65+'Assumptions and Catalog'!$E$65+'Assumptions and Catalog'!$F$65,"Out of range")))))))))*(1+'Assumptions and Catalog'!$C$8)^(A343-1),0)</f>
        <v>3567.397</v>
      </c>
      <c r="R343" s="5" t="n">
        <f>IF(AND('Assumptions and Catalog'!$C$19&gt;0,A343&gt;='Assumptions and Catalog'!$C$19),A343-'Assumptions and Catalog'!$C$19,A343-1)</f>
        <v>5</v>
      </c>
      <c r="S343" s="5" t="n">
        <f>F343+L343-(D343+E343)*C343-J343-K343-0</f>
        <v>-2.27373675443232E-013</v>
      </c>
      <c r="T343" s="5"/>
      <c r="U343" s="5"/>
    </row>
    <row r="344" ht="23.100000381469727" customHeight="1">
      <c r="A344" s="5" t="n">
        <v>16</v>
      </c>
      <c r="B344" s="5" t="n">
        <v>4</v>
      </c>
      <c r="C344" s="5" t="n">
        <f>DAY(DATE('Assumptions and Catalog'!$C$24+A344-1,B344+1,0))</f>
        <v>30</v>
      </c>
      <c r="D344" s="5" t="n">
        <f>IF(ISNUMBER(Inputs!$L$5),Inputs!$L$5*Inputs!$L$6,0)</f>
        <v>40.35</v>
      </c>
      <c r="E344" s="5" t="n">
        <f>IF(ISNUMBER(Inputs!$L$5),Inputs!$L$5-D344,0)</f>
        <v>40.35</v>
      </c>
      <c r="F344" s="5" t="n">
        <f>C$51*INDEX('Solar Production'!$D$20:$D$31,B344)*C344*(1-'Assumptions and Catalog'!$C$10)^(A344-1)</f>
        <v>1313.03695005222</v>
      </c>
      <c r="G344" s="5" t="n">
        <f>MIN(F344,D344*C344)</f>
        <v>1210.5</v>
      </c>
      <c r="H344" s="5" t="n">
        <f>I344/('Assumptions and Catalog'!$C$11*'Assumptions and Catalog'!$C$12)</f>
        <v>0</v>
      </c>
      <c r="I344" s="5" t="n">
        <f>0</f>
        <v>0</v>
      </c>
      <c r="J344" s="5" t="n">
        <f>MAX(F344-G344-H344,0)</f>
        <v>102.536950052223</v>
      </c>
      <c r="K344" s="5" t="n">
        <f>H344-I344</f>
        <v>0</v>
      </c>
      <c r="L344" s="5" t="n">
        <f>(D344+E344)*C344-G344-I344+0+0</f>
        <v>1210.5</v>
      </c>
      <c r="M344" s="5" t="n">
        <f>IF(ISNUMBER(Inputs!$L$5),(IF(Inputs!$L$9="Actual flat rate",((D344+E344)*C344)*Inputs!$L$10,IF(Inputs!$C$9="Residential",IF(((D344+E344)*C344)&lt;='Assumptions and Catalog'!$C$50,((D344+E344)*C344)*'Assumptions and Catalog'!$H$50+'Assumptions and Catalog'!$E$50+'Assumptions and Catalog'!$F$50,IF(((D344+E344)*C344)&lt;='Assumptions and Catalog'!$C$51,((D344+E344)*C344)*'Assumptions and Catalog'!$H$51+'Assumptions and Catalog'!$E$51+'Assumptions and Catalog'!$F$51,IF(((D344+E344)*C344)&lt;='Assumptions and Catalog'!$C$52,((D344+E344)*C344)*'Assumptions and Catalog'!$H$52+'Assumptions and Catalog'!$E$52+'Assumptions and Catalog'!$F$52,IF(((D344+E344)*C344)&lt;='Assumptions and Catalog'!$C$53,((D344+E344)*C344)*'Assumptions and Catalog'!$H$53+'Assumptions and Catalog'!$E$53+'Assumptions and Catalog'!$F$53,IF(((D344+E344)*C344)&lt;='Assumptions and Catalog'!$C$54,((D344+E344)*C344)*'Assumptions and Catalog'!$H$54+'Assumptions and Catalog'!$E$54+'Assumptions and Catalog'!$F$54,IF(((D344+E344)*C344)&lt;='Assumptions and Catalog'!$C$55,((D344+E344)*C344)*'Assumptions and Catalog'!$H$55+'Assumptions and Catalog'!$E$55+'Assumptions and Catalog'!$F$55,IF(((D344+E344)*C344)&lt;='Assumptions and Catalog'!$C$56,((D344+E344)*C344)*'Assumptions and Catalog'!$H$56+'Assumptions and Catalog'!$E$56+'Assumptions and Catalog'!$F$56,IF(((D344+E344)*C344)&lt;='Assumptions and Catalog'!$C$57,((D344+E344)*C344)*'Assumptions and Catalog'!$H$57+'Assumptions and Catalog'!$E$57+'Assumptions and Catalog'!$F$57,"Out of range")))))))),IF(((D344+E344)*C344)&lt;='Assumptions and Catalog'!$C$60,((D344+E344)*C344)*'Assumptions and Catalog'!$H$60+'Assumptions and Catalog'!$E$60+'Assumptions and Catalog'!$F$60,IF(((D344+E344)*C344)&lt;='Assumptions and Catalog'!$C$61,((D344+E344)*C344)*'Assumptions and Catalog'!$H$61+'Assumptions and Catalog'!$E$61+'Assumptions and Catalog'!$F$61,IF(((D344+E344)*C344)&lt;='Assumptions and Catalog'!$C$62,((D344+E344)*C344)*'Assumptions and Catalog'!$H$62+'Assumptions and Catalog'!$E$62+'Assumptions and Catalog'!$F$62,IF(((D344+E344)*C344)&lt;='Assumptions and Catalog'!$C$63,((D344+E344)*C344)*'Assumptions and Catalog'!$H$63+'Assumptions and Catalog'!$E$63+'Assumptions and Catalog'!$F$63,IF(((D344+E344)*C344)&lt;='Assumptions and Catalog'!$C$64,((D344+E344)*C344)*'Assumptions and Catalog'!$H$64+'Assumptions and Catalog'!$E$64+'Assumptions and Catalog'!$F$64,IF(((D344+E344)*C344)&lt;='Assumptions and Catalog'!$C$65,((D344+E344)*C344)*'Assumptions and Catalog'!$H$65+'Assumptions and Catalog'!$E$65+'Assumptions and Catalog'!$F$65,"Out of range")))))))))*(1+'Assumptions and Catalog'!$C$8)^(A344-1),0)</f>
        <v>6867.22</v>
      </c>
      <c r="N344" s="5" t="n">
        <f>IF(ISNUMBER(Inputs!$L$5),(IF(Inputs!$L$9="Actual flat rate",L344*Inputs!$L$10,IF(Inputs!$C$9="Residential",IF(L344&lt;='Assumptions and Catalog'!$C$50,L344*'Assumptions and Catalog'!$H$50+'Assumptions and Catalog'!$E$50+'Assumptions and Catalog'!$F$50,IF(L344&lt;='Assumptions and Catalog'!$C$51,L344*'Assumptions and Catalog'!$H$51+'Assumptions and Catalog'!$E$51+'Assumptions and Catalog'!$F$51,IF(L344&lt;='Assumptions and Catalog'!$C$52,L344*'Assumptions and Catalog'!$H$52+'Assumptions and Catalog'!$E$52+'Assumptions and Catalog'!$F$52,IF(L344&lt;='Assumptions and Catalog'!$C$53,L344*'Assumptions and Catalog'!$H$53+'Assumptions and Catalog'!$E$53+'Assumptions and Catalog'!$F$53,IF(L344&lt;='Assumptions and Catalog'!$C$54,L344*'Assumptions and Catalog'!$H$54+'Assumptions and Catalog'!$E$54+'Assumptions and Catalog'!$F$54,IF(L344&lt;='Assumptions and Catalog'!$C$55,L344*'Assumptions and Catalog'!$H$55+'Assumptions and Catalog'!$E$55+'Assumptions and Catalog'!$F$55,IF(L344&lt;='Assumptions and Catalog'!$C$56,L344*'Assumptions and Catalog'!$H$56+'Assumptions and Catalog'!$E$56+'Assumptions and Catalog'!$F$56,IF(L344&lt;='Assumptions and Catalog'!$C$57,L344*'Assumptions and Catalog'!$H$57+'Assumptions and Catalog'!$E$57+'Assumptions and Catalog'!$F$57,"Out of range")))))))),IF(L344&lt;='Assumptions and Catalog'!$C$60,L344*'Assumptions and Catalog'!$H$60+'Assumptions and Catalog'!$E$60+'Assumptions and Catalog'!$F$60,IF(L344&lt;='Assumptions and Catalog'!$C$61,L344*'Assumptions and Catalog'!$H$61+'Assumptions and Catalog'!$E$61+'Assumptions and Catalog'!$F$61,IF(L344&lt;='Assumptions and Catalog'!$C$62,L344*'Assumptions and Catalog'!$H$62+'Assumptions and Catalog'!$E$62+'Assumptions and Catalog'!$F$62,IF(L344&lt;='Assumptions and Catalog'!$C$63,L344*'Assumptions and Catalog'!$H$63+'Assumptions and Catalog'!$E$63+'Assumptions and Catalog'!$F$63,IF(L344&lt;='Assumptions and Catalog'!$C$64,L344*'Assumptions and Catalog'!$H$64+'Assumptions and Catalog'!$E$64+'Assumptions and Catalog'!$F$64,IF(L344&lt;='Assumptions and Catalog'!$C$65,L344*'Assumptions and Catalog'!$H$65+'Assumptions and Catalog'!$E$65+'Assumptions and Catalog'!$F$65,"Out of range")))))))))*(1+'Assumptions and Catalog'!$C$8)^(A344-1),0)</f>
        <v>3453.61</v>
      </c>
      <c r="O344" s="5" t="n">
        <f>M344-N344</f>
        <v>3413.61</v>
      </c>
      <c r="P344" s="5" t="n">
        <f>C$55*(1-J$14)*(1-'Assumptions and Catalog'!$C$23)^R344</f>
        <v>0</v>
      </c>
      <c r="Q344" s="5" t="n">
        <f>IF(ISNUMBER(Inputs!$L$5),(IF(Inputs!$L$9="Actual flat rate",((D344+E344)*C344-G344)*Inputs!$L$10,IF(Inputs!$C$9="Residential",IF(((D344+E344)*C344-G344)&lt;='Assumptions and Catalog'!$C$50,((D344+E344)*C344-G344)*'Assumptions and Catalog'!$H$50+'Assumptions and Catalog'!$E$50+'Assumptions and Catalog'!$F$50,IF(((D344+E344)*C344-G344)&lt;='Assumptions and Catalog'!$C$51,((D344+E344)*C344-G344)*'Assumptions and Catalog'!$H$51+'Assumptions and Catalog'!$E$51+'Assumptions and Catalog'!$F$51,IF(((D344+E344)*C344-G344)&lt;='Assumptions and Catalog'!$C$52,((D344+E344)*C344-G344)*'Assumptions and Catalog'!$H$52+'Assumptions and Catalog'!$E$52+'Assumptions and Catalog'!$F$52,IF(((D344+E344)*C344-G344)&lt;='Assumptions and Catalog'!$C$53,((D344+E344)*C344-G344)*'Assumptions and Catalog'!$H$53+'Assumptions and Catalog'!$E$53+'Assumptions and Catalog'!$F$53,IF(((D344+E344)*C344-G344)&lt;='Assumptions and Catalog'!$C$54,((D344+E344)*C344-G344)*'Assumptions and Catalog'!$H$54+'Assumptions and Catalog'!$E$54+'Assumptions and Catalog'!$F$54,IF(((D344+E344)*C344-G344)&lt;='Assumptions and Catalog'!$C$55,((D344+E344)*C344-G344)*'Assumptions and Catalog'!$H$55+'Assumptions and Catalog'!$E$55+'Assumptions and Catalog'!$F$55,IF(((D344+E344)*C344-G344)&lt;='Assumptions and Catalog'!$C$56,((D344+E344)*C344-G344)*'Assumptions and Catalog'!$H$56+'Assumptions and Catalog'!$E$56+'Assumptions and Catalog'!$F$56,IF(((D344+E344)*C344-G344)&lt;='Assumptions and Catalog'!$C$57,((D344+E344)*C344-G344)*'Assumptions and Catalog'!$H$57+'Assumptions and Catalog'!$E$57+'Assumptions and Catalog'!$F$57,"Out of range")))))))),IF(((D344+E344)*C344-G344)&lt;='Assumptions and Catalog'!$C$60,((D344+E344)*C344-G344)*'Assumptions and Catalog'!$H$60+'Assumptions and Catalog'!$E$60+'Assumptions and Catalog'!$F$60,IF(((D344+E344)*C344-G344)&lt;='Assumptions and Catalog'!$C$61,((D344+E344)*C344-G344)*'Assumptions and Catalog'!$H$61+'Assumptions and Catalog'!$E$61+'Assumptions and Catalog'!$F$61,IF(((D344+E344)*C344-G344)&lt;='Assumptions and Catalog'!$C$62,((D344+E344)*C344-G344)*'Assumptions and Catalog'!$H$62+'Assumptions and Catalog'!$E$62+'Assumptions and Catalog'!$F$62,IF(((D344+E344)*C344-G344)&lt;='Assumptions and Catalog'!$C$63,((D344+E344)*C344-G344)*'Assumptions and Catalog'!$H$63+'Assumptions and Catalog'!$E$63+'Assumptions and Catalog'!$F$63,IF(((D344+E344)*C344-G344)&lt;='Assumptions and Catalog'!$C$64,((D344+E344)*C344-G344)*'Assumptions and Catalog'!$H$64+'Assumptions and Catalog'!$E$64+'Assumptions and Catalog'!$F$64,IF(((D344+E344)*C344-G344)&lt;='Assumptions and Catalog'!$C$65,((D344+E344)*C344-G344)*'Assumptions and Catalog'!$H$65+'Assumptions and Catalog'!$E$65+'Assumptions and Catalog'!$F$65,"Out of range")))))))))*(1+'Assumptions and Catalog'!$C$8)^(A344-1),0)</f>
        <v>3453.61</v>
      </c>
      <c r="R344" s="5" t="n">
        <f>IF(AND('Assumptions and Catalog'!$C$19&gt;0,A344&gt;='Assumptions and Catalog'!$C$19),A344-'Assumptions and Catalog'!$C$19,A344-1)</f>
        <v>5</v>
      </c>
      <c r="S344" s="5" t="n">
        <f>F344+L344-(D344+E344)*C344-J344-K344-0</f>
        <v>0</v>
      </c>
      <c r="T344" s="5"/>
      <c r="U344" s="5"/>
    </row>
    <row r="345" ht="23.100000381469727" customHeight="1">
      <c r="A345" s="5" t="n">
        <v>16</v>
      </c>
      <c r="B345" s="5" t="n">
        <v>5</v>
      </c>
      <c r="C345" s="5" t="n">
        <f>DAY(DATE('Assumptions and Catalog'!$C$24+A345-1,B345+1,0))</f>
        <v>31</v>
      </c>
      <c r="D345" s="5" t="n">
        <f>IF(ISNUMBER(Inputs!$L$5),Inputs!$L$5*Inputs!$L$6,0)</f>
        <v>40.35</v>
      </c>
      <c r="E345" s="5" t="n">
        <f>IF(ISNUMBER(Inputs!$L$5),Inputs!$L$5-D345,0)</f>
        <v>40.35</v>
      </c>
      <c r="F345" s="5" t="n">
        <f>C$51*INDEX('Solar Production'!$D$20:$D$31,B345)*C345*(1-'Assumptions and Catalog'!$C$10)^(A345-1)</f>
        <v>1328.21939893384</v>
      </c>
      <c r="G345" s="5" t="n">
        <f>MIN(F345,D345*C345)</f>
        <v>1250.85</v>
      </c>
      <c r="H345" s="5" t="n">
        <f>I345/('Assumptions and Catalog'!$C$11*'Assumptions and Catalog'!$C$12)</f>
        <v>0</v>
      </c>
      <c r="I345" s="5" t="n">
        <f>0</f>
        <v>0</v>
      </c>
      <c r="J345" s="5" t="n">
        <f>MAX(F345-G345-H345,0)</f>
        <v>77.369398933841</v>
      </c>
      <c r="K345" s="5" t="n">
        <f>H345-I345</f>
        <v>0</v>
      </c>
      <c r="L345" s="5" t="n">
        <f>(D345+E345)*C345-G345-I345+0+0</f>
        <v>1250.85</v>
      </c>
      <c r="M345" s="5" t="n">
        <f>IF(ISNUMBER(Inputs!$L$5),(IF(Inputs!$L$9="Actual flat rate",((D345+E345)*C345)*Inputs!$L$10,IF(Inputs!$C$9="Residential",IF(((D345+E345)*C345)&lt;='Assumptions and Catalog'!$C$50,((D345+E345)*C345)*'Assumptions and Catalog'!$H$50+'Assumptions and Catalog'!$E$50+'Assumptions and Catalog'!$F$50,IF(((D345+E345)*C345)&lt;='Assumptions and Catalog'!$C$51,((D345+E345)*C345)*'Assumptions and Catalog'!$H$51+'Assumptions and Catalog'!$E$51+'Assumptions and Catalog'!$F$51,IF(((D345+E345)*C345)&lt;='Assumptions and Catalog'!$C$52,((D345+E345)*C345)*'Assumptions and Catalog'!$H$52+'Assumptions and Catalog'!$E$52+'Assumptions and Catalog'!$F$52,IF(((D345+E345)*C345)&lt;='Assumptions and Catalog'!$C$53,((D345+E345)*C345)*'Assumptions and Catalog'!$H$53+'Assumptions and Catalog'!$E$53+'Assumptions and Catalog'!$F$53,IF(((D345+E345)*C345)&lt;='Assumptions and Catalog'!$C$54,((D345+E345)*C345)*'Assumptions and Catalog'!$H$54+'Assumptions and Catalog'!$E$54+'Assumptions and Catalog'!$F$54,IF(((D345+E345)*C345)&lt;='Assumptions and Catalog'!$C$55,((D345+E345)*C345)*'Assumptions and Catalog'!$H$55+'Assumptions and Catalog'!$E$55+'Assumptions and Catalog'!$F$55,IF(((D345+E345)*C345)&lt;='Assumptions and Catalog'!$C$56,((D345+E345)*C345)*'Assumptions and Catalog'!$H$56+'Assumptions and Catalog'!$E$56+'Assumptions and Catalog'!$F$56,IF(((D345+E345)*C345)&lt;='Assumptions and Catalog'!$C$57,((D345+E345)*C345)*'Assumptions and Catalog'!$H$57+'Assumptions and Catalog'!$E$57+'Assumptions and Catalog'!$F$57,"Out of range")))))))),IF(((D345+E345)*C345)&lt;='Assumptions and Catalog'!$C$60,((D345+E345)*C345)*'Assumptions and Catalog'!$H$60+'Assumptions and Catalog'!$E$60+'Assumptions and Catalog'!$F$60,IF(((D345+E345)*C345)&lt;='Assumptions and Catalog'!$C$61,((D345+E345)*C345)*'Assumptions and Catalog'!$H$61+'Assumptions and Catalog'!$E$61+'Assumptions and Catalog'!$F$61,IF(((D345+E345)*C345)&lt;='Assumptions and Catalog'!$C$62,((D345+E345)*C345)*'Assumptions and Catalog'!$H$62+'Assumptions and Catalog'!$E$62+'Assumptions and Catalog'!$F$62,IF(((D345+E345)*C345)&lt;='Assumptions and Catalog'!$C$63,((D345+E345)*C345)*'Assumptions and Catalog'!$H$63+'Assumptions and Catalog'!$E$63+'Assumptions and Catalog'!$F$63,IF(((D345+E345)*C345)&lt;='Assumptions and Catalog'!$C$64,((D345+E345)*C345)*'Assumptions and Catalog'!$H$64+'Assumptions and Catalog'!$E$64+'Assumptions and Catalog'!$F$64,IF(((D345+E345)*C345)&lt;='Assumptions and Catalog'!$C$65,((D345+E345)*C345)*'Assumptions and Catalog'!$H$65+'Assumptions and Catalog'!$E$65+'Assumptions and Catalog'!$F$65,"Out of range")))))))))*(1+'Assumptions and Catalog'!$C$8)^(A345-1),0)</f>
        <v>7094.794</v>
      </c>
      <c r="N345" s="5" t="n">
        <f>IF(ISNUMBER(Inputs!$L$5),(IF(Inputs!$L$9="Actual flat rate",L345*Inputs!$L$10,IF(Inputs!$C$9="Residential",IF(L345&lt;='Assumptions and Catalog'!$C$50,L345*'Assumptions and Catalog'!$H$50+'Assumptions and Catalog'!$E$50+'Assumptions and Catalog'!$F$50,IF(L345&lt;='Assumptions and Catalog'!$C$51,L345*'Assumptions and Catalog'!$H$51+'Assumptions and Catalog'!$E$51+'Assumptions and Catalog'!$F$51,IF(L345&lt;='Assumptions and Catalog'!$C$52,L345*'Assumptions and Catalog'!$H$52+'Assumptions and Catalog'!$E$52+'Assumptions and Catalog'!$F$52,IF(L345&lt;='Assumptions and Catalog'!$C$53,L345*'Assumptions and Catalog'!$H$53+'Assumptions and Catalog'!$E$53+'Assumptions and Catalog'!$F$53,IF(L345&lt;='Assumptions and Catalog'!$C$54,L345*'Assumptions and Catalog'!$H$54+'Assumptions and Catalog'!$E$54+'Assumptions and Catalog'!$F$54,IF(L345&lt;='Assumptions and Catalog'!$C$55,L345*'Assumptions and Catalog'!$H$55+'Assumptions and Catalog'!$E$55+'Assumptions and Catalog'!$F$55,IF(L345&lt;='Assumptions and Catalog'!$C$56,L345*'Assumptions and Catalog'!$H$56+'Assumptions and Catalog'!$E$56+'Assumptions and Catalog'!$F$56,IF(L345&lt;='Assumptions and Catalog'!$C$57,L345*'Assumptions and Catalog'!$H$57+'Assumptions and Catalog'!$E$57+'Assumptions and Catalog'!$F$57,"Out of range")))))))),IF(L345&lt;='Assumptions and Catalog'!$C$60,L345*'Assumptions and Catalog'!$H$60+'Assumptions and Catalog'!$E$60+'Assumptions and Catalog'!$F$60,IF(L345&lt;='Assumptions and Catalog'!$C$61,L345*'Assumptions and Catalog'!$H$61+'Assumptions and Catalog'!$E$61+'Assumptions and Catalog'!$F$61,IF(L345&lt;='Assumptions and Catalog'!$C$62,L345*'Assumptions and Catalog'!$H$62+'Assumptions and Catalog'!$E$62+'Assumptions and Catalog'!$F$62,IF(L345&lt;='Assumptions and Catalog'!$C$63,L345*'Assumptions and Catalog'!$H$63+'Assumptions and Catalog'!$E$63+'Assumptions and Catalog'!$F$63,IF(L345&lt;='Assumptions and Catalog'!$C$64,L345*'Assumptions and Catalog'!$H$64+'Assumptions and Catalog'!$E$64+'Assumptions and Catalog'!$F$64,IF(L345&lt;='Assumptions and Catalog'!$C$65,L345*'Assumptions and Catalog'!$H$65+'Assumptions and Catalog'!$E$65+'Assumptions and Catalog'!$F$65,"Out of range")))))))))*(1+'Assumptions and Catalog'!$C$8)^(A345-1),0)</f>
        <v>3567.397</v>
      </c>
      <c r="O345" s="5" t="n">
        <f>M345-N345</f>
        <v>3527.397</v>
      </c>
      <c r="P345" s="5" t="n">
        <f>C$55*(1-J$14)*(1-'Assumptions and Catalog'!$C$23)^R345</f>
        <v>0</v>
      </c>
      <c r="Q345" s="5" t="n">
        <f>IF(ISNUMBER(Inputs!$L$5),(IF(Inputs!$L$9="Actual flat rate",((D345+E345)*C345-G345)*Inputs!$L$10,IF(Inputs!$C$9="Residential",IF(((D345+E345)*C345-G345)&lt;='Assumptions and Catalog'!$C$50,((D345+E345)*C345-G345)*'Assumptions and Catalog'!$H$50+'Assumptions and Catalog'!$E$50+'Assumptions and Catalog'!$F$50,IF(((D345+E345)*C345-G345)&lt;='Assumptions and Catalog'!$C$51,((D345+E345)*C345-G345)*'Assumptions and Catalog'!$H$51+'Assumptions and Catalog'!$E$51+'Assumptions and Catalog'!$F$51,IF(((D345+E345)*C345-G345)&lt;='Assumptions and Catalog'!$C$52,((D345+E345)*C345-G345)*'Assumptions and Catalog'!$H$52+'Assumptions and Catalog'!$E$52+'Assumptions and Catalog'!$F$52,IF(((D345+E345)*C345-G345)&lt;='Assumptions and Catalog'!$C$53,((D345+E345)*C345-G345)*'Assumptions and Catalog'!$H$53+'Assumptions and Catalog'!$E$53+'Assumptions and Catalog'!$F$53,IF(((D345+E345)*C345-G345)&lt;='Assumptions and Catalog'!$C$54,((D345+E345)*C345-G345)*'Assumptions and Catalog'!$H$54+'Assumptions and Catalog'!$E$54+'Assumptions and Catalog'!$F$54,IF(((D345+E345)*C345-G345)&lt;='Assumptions and Catalog'!$C$55,((D345+E345)*C345-G345)*'Assumptions and Catalog'!$H$55+'Assumptions and Catalog'!$E$55+'Assumptions and Catalog'!$F$55,IF(((D345+E345)*C345-G345)&lt;='Assumptions and Catalog'!$C$56,((D345+E345)*C345-G345)*'Assumptions and Catalog'!$H$56+'Assumptions and Catalog'!$E$56+'Assumptions and Catalog'!$F$56,IF(((D345+E345)*C345-G345)&lt;='Assumptions and Catalog'!$C$57,((D345+E345)*C345-G345)*'Assumptions and Catalog'!$H$57+'Assumptions and Catalog'!$E$57+'Assumptions and Catalog'!$F$57,"Out of range")))))))),IF(((D345+E345)*C345-G345)&lt;='Assumptions and Catalog'!$C$60,((D345+E345)*C345-G345)*'Assumptions and Catalog'!$H$60+'Assumptions and Catalog'!$E$60+'Assumptions and Catalog'!$F$60,IF(((D345+E345)*C345-G345)&lt;='Assumptions and Catalog'!$C$61,((D345+E345)*C345-G345)*'Assumptions and Catalog'!$H$61+'Assumptions and Catalog'!$E$61+'Assumptions and Catalog'!$F$61,IF(((D345+E345)*C345-G345)&lt;='Assumptions and Catalog'!$C$62,((D345+E345)*C345-G345)*'Assumptions and Catalog'!$H$62+'Assumptions and Catalog'!$E$62+'Assumptions and Catalog'!$F$62,IF(((D345+E345)*C345-G345)&lt;='Assumptions and Catalog'!$C$63,((D345+E345)*C345-G345)*'Assumptions and Catalog'!$H$63+'Assumptions and Catalog'!$E$63+'Assumptions and Catalog'!$F$63,IF(((D345+E345)*C345-G345)&lt;='Assumptions and Catalog'!$C$64,((D345+E345)*C345-G345)*'Assumptions and Catalog'!$H$64+'Assumptions and Catalog'!$E$64+'Assumptions and Catalog'!$F$64,IF(((D345+E345)*C345-G345)&lt;='Assumptions and Catalog'!$C$65,((D345+E345)*C345-G345)*'Assumptions and Catalog'!$H$65+'Assumptions and Catalog'!$E$65+'Assumptions and Catalog'!$F$65,"Out of range")))))))))*(1+'Assumptions and Catalog'!$C$8)^(A345-1),0)</f>
        <v>3567.397</v>
      </c>
      <c r="R345" s="5" t="n">
        <f>IF(AND('Assumptions and Catalog'!$C$19&gt;0,A345&gt;='Assumptions and Catalog'!$C$19),A345-'Assumptions and Catalog'!$C$19,A345-1)</f>
        <v>5</v>
      </c>
      <c r="S345" s="5" t="n">
        <f>F345+L345-(D345+E345)*C345-J345-K345-0</f>
        <v>0</v>
      </c>
      <c r="T345" s="5"/>
      <c r="U345" s="5"/>
    </row>
    <row r="346" ht="23.100000381469727" customHeight="1">
      <c r="A346" s="5" t="n">
        <v>16</v>
      </c>
      <c r="B346" s="5" t="n">
        <v>6</v>
      </c>
      <c r="C346" s="5" t="n">
        <f>DAY(DATE('Assumptions and Catalog'!$C$24+A346-1,B346+1,0))</f>
        <v>30</v>
      </c>
      <c r="D346" s="5" t="n">
        <f>IF(ISNUMBER(Inputs!$L$5),Inputs!$L$5*Inputs!$L$6,0)</f>
        <v>40.35</v>
      </c>
      <c r="E346" s="5" t="n">
        <f>IF(ISNUMBER(Inputs!$L$5),Inputs!$L$5-D346,0)</f>
        <v>40.35</v>
      </c>
      <c r="F346" s="5" t="n">
        <f>C$51*INDEX('Solar Production'!$D$20:$D$31,B346)*C346*(1-'Assumptions and Catalog'!$C$10)^(A346-1)</f>
        <v>1294.75271053888</v>
      </c>
      <c r="G346" s="5" t="n">
        <f>MIN(F346,D346*C346)</f>
        <v>1210.5</v>
      </c>
      <c r="H346" s="5" t="n">
        <f>I346/('Assumptions and Catalog'!$C$11*'Assumptions and Catalog'!$C$12)</f>
        <v>0</v>
      </c>
      <c r="I346" s="5" t="n">
        <f>0</f>
        <v>0</v>
      </c>
      <c r="J346" s="5" t="n">
        <f>MAX(F346-G346-H346,0)</f>
        <v>84.252710538876</v>
      </c>
      <c r="K346" s="5" t="n">
        <f>H346-I346</f>
        <v>0</v>
      </c>
      <c r="L346" s="5" t="n">
        <f>(D346+E346)*C346-G346-I346+0+0</f>
        <v>1210.5</v>
      </c>
      <c r="M346" s="5" t="n">
        <f>IF(ISNUMBER(Inputs!$L$5),(IF(Inputs!$L$9="Actual flat rate",((D346+E346)*C346)*Inputs!$L$10,IF(Inputs!$C$9="Residential",IF(((D346+E346)*C346)&lt;='Assumptions and Catalog'!$C$50,((D346+E346)*C346)*'Assumptions and Catalog'!$H$50+'Assumptions and Catalog'!$E$50+'Assumptions and Catalog'!$F$50,IF(((D346+E346)*C346)&lt;='Assumptions and Catalog'!$C$51,((D346+E346)*C346)*'Assumptions and Catalog'!$H$51+'Assumptions and Catalog'!$E$51+'Assumptions and Catalog'!$F$51,IF(((D346+E346)*C346)&lt;='Assumptions and Catalog'!$C$52,((D346+E346)*C346)*'Assumptions and Catalog'!$H$52+'Assumptions and Catalog'!$E$52+'Assumptions and Catalog'!$F$52,IF(((D346+E346)*C346)&lt;='Assumptions and Catalog'!$C$53,((D346+E346)*C346)*'Assumptions and Catalog'!$H$53+'Assumptions and Catalog'!$E$53+'Assumptions and Catalog'!$F$53,IF(((D346+E346)*C346)&lt;='Assumptions and Catalog'!$C$54,((D346+E346)*C346)*'Assumptions and Catalog'!$H$54+'Assumptions and Catalog'!$E$54+'Assumptions and Catalog'!$F$54,IF(((D346+E346)*C346)&lt;='Assumptions and Catalog'!$C$55,((D346+E346)*C346)*'Assumptions and Catalog'!$H$55+'Assumptions and Catalog'!$E$55+'Assumptions and Catalog'!$F$55,IF(((D346+E346)*C346)&lt;='Assumptions and Catalog'!$C$56,((D346+E346)*C346)*'Assumptions and Catalog'!$H$56+'Assumptions and Catalog'!$E$56+'Assumptions and Catalog'!$F$56,IF(((D346+E346)*C346)&lt;='Assumptions and Catalog'!$C$57,((D346+E346)*C346)*'Assumptions and Catalog'!$H$57+'Assumptions and Catalog'!$E$57+'Assumptions and Catalog'!$F$57,"Out of range")))))))),IF(((D346+E346)*C346)&lt;='Assumptions and Catalog'!$C$60,((D346+E346)*C346)*'Assumptions and Catalog'!$H$60+'Assumptions and Catalog'!$E$60+'Assumptions and Catalog'!$F$60,IF(((D346+E346)*C346)&lt;='Assumptions and Catalog'!$C$61,((D346+E346)*C346)*'Assumptions and Catalog'!$H$61+'Assumptions and Catalog'!$E$61+'Assumptions and Catalog'!$F$61,IF(((D346+E346)*C346)&lt;='Assumptions and Catalog'!$C$62,((D346+E346)*C346)*'Assumptions and Catalog'!$H$62+'Assumptions and Catalog'!$E$62+'Assumptions and Catalog'!$F$62,IF(((D346+E346)*C346)&lt;='Assumptions and Catalog'!$C$63,((D346+E346)*C346)*'Assumptions and Catalog'!$H$63+'Assumptions and Catalog'!$E$63+'Assumptions and Catalog'!$F$63,IF(((D346+E346)*C346)&lt;='Assumptions and Catalog'!$C$64,((D346+E346)*C346)*'Assumptions and Catalog'!$H$64+'Assumptions and Catalog'!$E$64+'Assumptions and Catalog'!$F$64,IF(((D346+E346)*C346)&lt;='Assumptions and Catalog'!$C$65,((D346+E346)*C346)*'Assumptions and Catalog'!$H$65+'Assumptions and Catalog'!$E$65+'Assumptions and Catalog'!$F$65,"Out of range")))))))))*(1+'Assumptions and Catalog'!$C$8)^(A346-1),0)</f>
        <v>6867.22</v>
      </c>
      <c r="N346" s="5" t="n">
        <f>IF(ISNUMBER(Inputs!$L$5),(IF(Inputs!$L$9="Actual flat rate",L346*Inputs!$L$10,IF(Inputs!$C$9="Residential",IF(L346&lt;='Assumptions and Catalog'!$C$50,L346*'Assumptions and Catalog'!$H$50+'Assumptions and Catalog'!$E$50+'Assumptions and Catalog'!$F$50,IF(L346&lt;='Assumptions and Catalog'!$C$51,L346*'Assumptions and Catalog'!$H$51+'Assumptions and Catalog'!$E$51+'Assumptions and Catalog'!$F$51,IF(L346&lt;='Assumptions and Catalog'!$C$52,L346*'Assumptions and Catalog'!$H$52+'Assumptions and Catalog'!$E$52+'Assumptions and Catalog'!$F$52,IF(L346&lt;='Assumptions and Catalog'!$C$53,L346*'Assumptions and Catalog'!$H$53+'Assumptions and Catalog'!$E$53+'Assumptions and Catalog'!$F$53,IF(L346&lt;='Assumptions and Catalog'!$C$54,L346*'Assumptions and Catalog'!$H$54+'Assumptions and Catalog'!$E$54+'Assumptions and Catalog'!$F$54,IF(L346&lt;='Assumptions and Catalog'!$C$55,L346*'Assumptions and Catalog'!$H$55+'Assumptions and Catalog'!$E$55+'Assumptions and Catalog'!$F$55,IF(L346&lt;='Assumptions and Catalog'!$C$56,L346*'Assumptions and Catalog'!$H$56+'Assumptions and Catalog'!$E$56+'Assumptions and Catalog'!$F$56,IF(L346&lt;='Assumptions and Catalog'!$C$57,L346*'Assumptions and Catalog'!$H$57+'Assumptions and Catalog'!$E$57+'Assumptions and Catalog'!$F$57,"Out of range")))))))),IF(L346&lt;='Assumptions and Catalog'!$C$60,L346*'Assumptions and Catalog'!$H$60+'Assumptions and Catalog'!$E$60+'Assumptions and Catalog'!$F$60,IF(L346&lt;='Assumptions and Catalog'!$C$61,L346*'Assumptions and Catalog'!$H$61+'Assumptions and Catalog'!$E$61+'Assumptions and Catalog'!$F$61,IF(L346&lt;='Assumptions and Catalog'!$C$62,L346*'Assumptions and Catalog'!$H$62+'Assumptions and Catalog'!$E$62+'Assumptions and Catalog'!$F$62,IF(L346&lt;='Assumptions and Catalog'!$C$63,L346*'Assumptions and Catalog'!$H$63+'Assumptions and Catalog'!$E$63+'Assumptions and Catalog'!$F$63,IF(L346&lt;='Assumptions and Catalog'!$C$64,L346*'Assumptions and Catalog'!$H$64+'Assumptions and Catalog'!$E$64+'Assumptions and Catalog'!$F$64,IF(L346&lt;='Assumptions and Catalog'!$C$65,L346*'Assumptions and Catalog'!$H$65+'Assumptions and Catalog'!$E$65+'Assumptions and Catalog'!$F$65,"Out of range")))))))))*(1+'Assumptions and Catalog'!$C$8)^(A346-1),0)</f>
        <v>3453.61</v>
      </c>
      <c r="O346" s="5" t="n">
        <f>M346-N346</f>
        <v>3413.61</v>
      </c>
      <c r="P346" s="5" t="n">
        <f>C$55*(1-J$14)*(1-'Assumptions and Catalog'!$C$23)^R346</f>
        <v>0</v>
      </c>
      <c r="Q346" s="5" t="n">
        <f>IF(ISNUMBER(Inputs!$L$5),(IF(Inputs!$L$9="Actual flat rate",((D346+E346)*C346-G346)*Inputs!$L$10,IF(Inputs!$C$9="Residential",IF(((D346+E346)*C346-G346)&lt;='Assumptions and Catalog'!$C$50,((D346+E346)*C346-G346)*'Assumptions and Catalog'!$H$50+'Assumptions and Catalog'!$E$50+'Assumptions and Catalog'!$F$50,IF(((D346+E346)*C346-G346)&lt;='Assumptions and Catalog'!$C$51,((D346+E346)*C346-G346)*'Assumptions and Catalog'!$H$51+'Assumptions and Catalog'!$E$51+'Assumptions and Catalog'!$F$51,IF(((D346+E346)*C346-G346)&lt;='Assumptions and Catalog'!$C$52,((D346+E346)*C346-G346)*'Assumptions and Catalog'!$H$52+'Assumptions and Catalog'!$E$52+'Assumptions and Catalog'!$F$52,IF(((D346+E346)*C346-G346)&lt;='Assumptions and Catalog'!$C$53,((D346+E346)*C346-G346)*'Assumptions and Catalog'!$H$53+'Assumptions and Catalog'!$E$53+'Assumptions and Catalog'!$F$53,IF(((D346+E346)*C346-G346)&lt;='Assumptions and Catalog'!$C$54,((D346+E346)*C346-G346)*'Assumptions and Catalog'!$H$54+'Assumptions and Catalog'!$E$54+'Assumptions and Catalog'!$F$54,IF(((D346+E346)*C346-G346)&lt;='Assumptions and Catalog'!$C$55,((D346+E346)*C346-G346)*'Assumptions and Catalog'!$H$55+'Assumptions and Catalog'!$E$55+'Assumptions and Catalog'!$F$55,IF(((D346+E346)*C346-G346)&lt;='Assumptions and Catalog'!$C$56,((D346+E346)*C346-G346)*'Assumptions and Catalog'!$H$56+'Assumptions and Catalog'!$E$56+'Assumptions and Catalog'!$F$56,IF(((D346+E346)*C346-G346)&lt;='Assumptions and Catalog'!$C$57,((D346+E346)*C346-G346)*'Assumptions and Catalog'!$H$57+'Assumptions and Catalog'!$E$57+'Assumptions and Catalog'!$F$57,"Out of range")))))))),IF(((D346+E346)*C346-G346)&lt;='Assumptions and Catalog'!$C$60,((D346+E346)*C346-G346)*'Assumptions and Catalog'!$H$60+'Assumptions and Catalog'!$E$60+'Assumptions and Catalog'!$F$60,IF(((D346+E346)*C346-G346)&lt;='Assumptions and Catalog'!$C$61,((D346+E346)*C346-G346)*'Assumptions and Catalog'!$H$61+'Assumptions and Catalog'!$E$61+'Assumptions and Catalog'!$F$61,IF(((D346+E346)*C346-G346)&lt;='Assumptions and Catalog'!$C$62,((D346+E346)*C346-G346)*'Assumptions and Catalog'!$H$62+'Assumptions and Catalog'!$E$62+'Assumptions and Catalog'!$F$62,IF(((D346+E346)*C346-G346)&lt;='Assumptions and Catalog'!$C$63,((D346+E346)*C346-G346)*'Assumptions and Catalog'!$H$63+'Assumptions and Catalog'!$E$63+'Assumptions and Catalog'!$F$63,IF(((D346+E346)*C346-G346)&lt;='Assumptions and Catalog'!$C$64,((D346+E346)*C346-G346)*'Assumptions and Catalog'!$H$64+'Assumptions and Catalog'!$E$64+'Assumptions and Catalog'!$F$64,IF(((D346+E346)*C346-G346)&lt;='Assumptions and Catalog'!$C$65,((D346+E346)*C346-G346)*'Assumptions and Catalog'!$H$65+'Assumptions and Catalog'!$E$65+'Assumptions and Catalog'!$F$65,"Out of range")))))))))*(1+'Assumptions and Catalog'!$C$8)^(A346-1),0)</f>
        <v>3453.61</v>
      </c>
      <c r="R346" s="5" t="n">
        <f>IF(AND('Assumptions and Catalog'!$C$19&gt;0,A346&gt;='Assumptions and Catalog'!$C$19),A346-'Assumptions and Catalog'!$C$19,A346-1)</f>
        <v>5</v>
      </c>
      <c r="S346" s="5" t="n">
        <f>F346+L346-(D346+E346)*C346-J346-K346-0</f>
        <v>0</v>
      </c>
      <c r="T346" s="5"/>
      <c r="U346" s="5"/>
    </row>
    <row r="347" ht="23.100000381469727" customHeight="1">
      <c r="A347" s="5" t="n">
        <v>16</v>
      </c>
      <c r="B347" s="5" t="n">
        <v>7</v>
      </c>
      <c r="C347" s="5" t="n">
        <f>DAY(DATE('Assumptions and Catalog'!$C$24+A347-1,B347+1,0))</f>
        <v>31</v>
      </c>
      <c r="D347" s="5" t="n">
        <f>IF(ISNUMBER(Inputs!$L$5),Inputs!$L$5*Inputs!$L$6,0)</f>
        <v>40.35</v>
      </c>
      <c r="E347" s="5" t="n">
        <f>IF(ISNUMBER(Inputs!$L$5),Inputs!$L$5-D347,0)</f>
        <v>40.35</v>
      </c>
      <c r="F347" s="5" t="n">
        <f>C$51*INDEX('Solar Production'!$D$20:$D$31,B347)*C347*(1-'Assumptions and Catalog'!$C$10)^(A347-1)</f>
        <v>1344.05485636951</v>
      </c>
      <c r="G347" s="5" t="n">
        <f>MIN(F347,D347*C347)</f>
        <v>1250.85</v>
      </c>
      <c r="H347" s="5" t="n">
        <f>I347/('Assumptions and Catalog'!$C$11*'Assumptions and Catalog'!$C$12)</f>
        <v>0</v>
      </c>
      <c r="I347" s="5" t="n">
        <f>0</f>
        <v>0</v>
      </c>
      <c r="J347" s="5" t="n">
        <f>MAX(F347-G347-H347,0)</f>
        <v>93.2048563695075</v>
      </c>
      <c r="K347" s="5" t="n">
        <f>H347-I347</f>
        <v>0</v>
      </c>
      <c r="L347" s="5" t="n">
        <f>(D347+E347)*C347-G347-I347+0+0</f>
        <v>1250.85</v>
      </c>
      <c r="M347" s="5" t="n">
        <f>IF(ISNUMBER(Inputs!$L$5),(IF(Inputs!$L$9="Actual flat rate",((D347+E347)*C347)*Inputs!$L$10,IF(Inputs!$C$9="Residential",IF(((D347+E347)*C347)&lt;='Assumptions and Catalog'!$C$50,((D347+E347)*C347)*'Assumptions and Catalog'!$H$50+'Assumptions and Catalog'!$E$50+'Assumptions and Catalog'!$F$50,IF(((D347+E347)*C347)&lt;='Assumptions and Catalog'!$C$51,((D347+E347)*C347)*'Assumptions and Catalog'!$H$51+'Assumptions and Catalog'!$E$51+'Assumptions and Catalog'!$F$51,IF(((D347+E347)*C347)&lt;='Assumptions and Catalog'!$C$52,((D347+E347)*C347)*'Assumptions and Catalog'!$H$52+'Assumptions and Catalog'!$E$52+'Assumptions and Catalog'!$F$52,IF(((D347+E347)*C347)&lt;='Assumptions and Catalog'!$C$53,((D347+E347)*C347)*'Assumptions and Catalog'!$H$53+'Assumptions and Catalog'!$E$53+'Assumptions and Catalog'!$F$53,IF(((D347+E347)*C347)&lt;='Assumptions and Catalog'!$C$54,((D347+E347)*C347)*'Assumptions and Catalog'!$H$54+'Assumptions and Catalog'!$E$54+'Assumptions and Catalog'!$F$54,IF(((D347+E347)*C347)&lt;='Assumptions and Catalog'!$C$55,((D347+E347)*C347)*'Assumptions and Catalog'!$H$55+'Assumptions and Catalog'!$E$55+'Assumptions and Catalog'!$F$55,IF(((D347+E347)*C347)&lt;='Assumptions and Catalog'!$C$56,((D347+E347)*C347)*'Assumptions and Catalog'!$H$56+'Assumptions and Catalog'!$E$56+'Assumptions and Catalog'!$F$56,IF(((D347+E347)*C347)&lt;='Assumptions and Catalog'!$C$57,((D347+E347)*C347)*'Assumptions and Catalog'!$H$57+'Assumptions and Catalog'!$E$57+'Assumptions and Catalog'!$F$57,"Out of range")))))))),IF(((D347+E347)*C347)&lt;='Assumptions and Catalog'!$C$60,((D347+E347)*C347)*'Assumptions and Catalog'!$H$60+'Assumptions and Catalog'!$E$60+'Assumptions and Catalog'!$F$60,IF(((D347+E347)*C347)&lt;='Assumptions and Catalog'!$C$61,((D347+E347)*C347)*'Assumptions and Catalog'!$H$61+'Assumptions and Catalog'!$E$61+'Assumptions and Catalog'!$F$61,IF(((D347+E347)*C347)&lt;='Assumptions and Catalog'!$C$62,((D347+E347)*C347)*'Assumptions and Catalog'!$H$62+'Assumptions and Catalog'!$E$62+'Assumptions and Catalog'!$F$62,IF(((D347+E347)*C347)&lt;='Assumptions and Catalog'!$C$63,((D347+E347)*C347)*'Assumptions and Catalog'!$H$63+'Assumptions and Catalog'!$E$63+'Assumptions and Catalog'!$F$63,IF(((D347+E347)*C347)&lt;='Assumptions and Catalog'!$C$64,((D347+E347)*C347)*'Assumptions and Catalog'!$H$64+'Assumptions and Catalog'!$E$64+'Assumptions and Catalog'!$F$64,IF(((D347+E347)*C347)&lt;='Assumptions and Catalog'!$C$65,((D347+E347)*C347)*'Assumptions and Catalog'!$H$65+'Assumptions and Catalog'!$E$65+'Assumptions and Catalog'!$F$65,"Out of range")))))))))*(1+'Assumptions and Catalog'!$C$8)^(A347-1),0)</f>
        <v>7094.794</v>
      </c>
      <c r="N347" s="5" t="n">
        <f>IF(ISNUMBER(Inputs!$L$5),(IF(Inputs!$L$9="Actual flat rate",L347*Inputs!$L$10,IF(Inputs!$C$9="Residential",IF(L347&lt;='Assumptions and Catalog'!$C$50,L347*'Assumptions and Catalog'!$H$50+'Assumptions and Catalog'!$E$50+'Assumptions and Catalog'!$F$50,IF(L347&lt;='Assumptions and Catalog'!$C$51,L347*'Assumptions and Catalog'!$H$51+'Assumptions and Catalog'!$E$51+'Assumptions and Catalog'!$F$51,IF(L347&lt;='Assumptions and Catalog'!$C$52,L347*'Assumptions and Catalog'!$H$52+'Assumptions and Catalog'!$E$52+'Assumptions and Catalog'!$F$52,IF(L347&lt;='Assumptions and Catalog'!$C$53,L347*'Assumptions and Catalog'!$H$53+'Assumptions and Catalog'!$E$53+'Assumptions and Catalog'!$F$53,IF(L347&lt;='Assumptions and Catalog'!$C$54,L347*'Assumptions and Catalog'!$H$54+'Assumptions and Catalog'!$E$54+'Assumptions and Catalog'!$F$54,IF(L347&lt;='Assumptions and Catalog'!$C$55,L347*'Assumptions and Catalog'!$H$55+'Assumptions and Catalog'!$E$55+'Assumptions and Catalog'!$F$55,IF(L347&lt;='Assumptions and Catalog'!$C$56,L347*'Assumptions and Catalog'!$H$56+'Assumptions and Catalog'!$E$56+'Assumptions and Catalog'!$F$56,IF(L347&lt;='Assumptions and Catalog'!$C$57,L347*'Assumptions and Catalog'!$H$57+'Assumptions and Catalog'!$E$57+'Assumptions and Catalog'!$F$57,"Out of range")))))))),IF(L347&lt;='Assumptions and Catalog'!$C$60,L347*'Assumptions and Catalog'!$H$60+'Assumptions and Catalog'!$E$60+'Assumptions and Catalog'!$F$60,IF(L347&lt;='Assumptions and Catalog'!$C$61,L347*'Assumptions and Catalog'!$H$61+'Assumptions and Catalog'!$E$61+'Assumptions and Catalog'!$F$61,IF(L347&lt;='Assumptions and Catalog'!$C$62,L347*'Assumptions and Catalog'!$H$62+'Assumptions and Catalog'!$E$62+'Assumptions and Catalog'!$F$62,IF(L347&lt;='Assumptions and Catalog'!$C$63,L347*'Assumptions and Catalog'!$H$63+'Assumptions and Catalog'!$E$63+'Assumptions and Catalog'!$F$63,IF(L347&lt;='Assumptions and Catalog'!$C$64,L347*'Assumptions and Catalog'!$H$64+'Assumptions and Catalog'!$E$64+'Assumptions and Catalog'!$F$64,IF(L347&lt;='Assumptions and Catalog'!$C$65,L347*'Assumptions and Catalog'!$H$65+'Assumptions and Catalog'!$E$65+'Assumptions and Catalog'!$F$65,"Out of range")))))))))*(1+'Assumptions and Catalog'!$C$8)^(A347-1),0)</f>
        <v>3567.397</v>
      </c>
      <c r="O347" s="5" t="n">
        <f>M347-N347</f>
        <v>3527.397</v>
      </c>
      <c r="P347" s="5" t="n">
        <f>C$55*(1-J$14)*(1-'Assumptions and Catalog'!$C$23)^R347</f>
        <v>0</v>
      </c>
      <c r="Q347" s="5" t="n">
        <f>IF(ISNUMBER(Inputs!$L$5),(IF(Inputs!$L$9="Actual flat rate",((D347+E347)*C347-G347)*Inputs!$L$10,IF(Inputs!$C$9="Residential",IF(((D347+E347)*C347-G347)&lt;='Assumptions and Catalog'!$C$50,((D347+E347)*C347-G347)*'Assumptions and Catalog'!$H$50+'Assumptions and Catalog'!$E$50+'Assumptions and Catalog'!$F$50,IF(((D347+E347)*C347-G347)&lt;='Assumptions and Catalog'!$C$51,((D347+E347)*C347-G347)*'Assumptions and Catalog'!$H$51+'Assumptions and Catalog'!$E$51+'Assumptions and Catalog'!$F$51,IF(((D347+E347)*C347-G347)&lt;='Assumptions and Catalog'!$C$52,((D347+E347)*C347-G347)*'Assumptions and Catalog'!$H$52+'Assumptions and Catalog'!$E$52+'Assumptions and Catalog'!$F$52,IF(((D347+E347)*C347-G347)&lt;='Assumptions and Catalog'!$C$53,((D347+E347)*C347-G347)*'Assumptions and Catalog'!$H$53+'Assumptions and Catalog'!$E$53+'Assumptions and Catalog'!$F$53,IF(((D347+E347)*C347-G347)&lt;='Assumptions and Catalog'!$C$54,((D347+E347)*C347-G347)*'Assumptions and Catalog'!$H$54+'Assumptions and Catalog'!$E$54+'Assumptions and Catalog'!$F$54,IF(((D347+E347)*C347-G347)&lt;='Assumptions and Catalog'!$C$55,((D347+E347)*C347-G347)*'Assumptions and Catalog'!$H$55+'Assumptions and Catalog'!$E$55+'Assumptions and Catalog'!$F$55,IF(((D347+E347)*C347-G347)&lt;='Assumptions and Catalog'!$C$56,((D347+E347)*C347-G347)*'Assumptions and Catalog'!$H$56+'Assumptions and Catalog'!$E$56+'Assumptions and Catalog'!$F$56,IF(((D347+E347)*C347-G347)&lt;='Assumptions and Catalog'!$C$57,((D347+E347)*C347-G347)*'Assumptions and Catalog'!$H$57+'Assumptions and Catalog'!$E$57+'Assumptions and Catalog'!$F$57,"Out of range")))))))),IF(((D347+E347)*C347-G347)&lt;='Assumptions and Catalog'!$C$60,((D347+E347)*C347-G347)*'Assumptions and Catalog'!$H$60+'Assumptions and Catalog'!$E$60+'Assumptions and Catalog'!$F$60,IF(((D347+E347)*C347-G347)&lt;='Assumptions and Catalog'!$C$61,((D347+E347)*C347-G347)*'Assumptions and Catalog'!$H$61+'Assumptions and Catalog'!$E$61+'Assumptions and Catalog'!$F$61,IF(((D347+E347)*C347-G347)&lt;='Assumptions and Catalog'!$C$62,((D347+E347)*C347-G347)*'Assumptions and Catalog'!$H$62+'Assumptions and Catalog'!$E$62+'Assumptions and Catalog'!$F$62,IF(((D347+E347)*C347-G347)&lt;='Assumptions and Catalog'!$C$63,((D347+E347)*C347-G347)*'Assumptions and Catalog'!$H$63+'Assumptions and Catalog'!$E$63+'Assumptions and Catalog'!$F$63,IF(((D347+E347)*C347-G347)&lt;='Assumptions and Catalog'!$C$64,((D347+E347)*C347-G347)*'Assumptions and Catalog'!$H$64+'Assumptions and Catalog'!$E$64+'Assumptions and Catalog'!$F$64,IF(((D347+E347)*C347-G347)&lt;='Assumptions and Catalog'!$C$65,((D347+E347)*C347-G347)*'Assumptions and Catalog'!$H$65+'Assumptions and Catalog'!$E$65+'Assumptions and Catalog'!$F$65,"Out of range")))))))))*(1+'Assumptions and Catalog'!$C$8)^(A347-1),0)</f>
        <v>3567.397</v>
      </c>
      <c r="R347" s="5" t="n">
        <f>IF(AND('Assumptions and Catalog'!$C$19&gt;0,A347&gt;='Assumptions and Catalog'!$C$19),A347-'Assumptions and Catalog'!$C$19,A347-1)</f>
        <v>5</v>
      </c>
      <c r="S347" s="5" t="n">
        <f>F347+L347-(D347+E347)*C347-J347-K347-0</f>
        <v>0</v>
      </c>
      <c r="T347" s="5"/>
      <c r="U347" s="5"/>
    </row>
    <row r="348" ht="23.100000381469727" customHeight="1">
      <c r="A348" s="5" t="n">
        <v>16</v>
      </c>
      <c r="B348" s="5" t="n">
        <v>8</v>
      </c>
      <c r="C348" s="5" t="n">
        <f>DAY(DATE('Assumptions and Catalog'!$C$24+A348-1,B348+1,0))</f>
        <v>31</v>
      </c>
      <c r="D348" s="5" t="n">
        <f>IF(ISNUMBER(Inputs!$L$5),Inputs!$L$5*Inputs!$L$6,0)</f>
        <v>40.35</v>
      </c>
      <c r="E348" s="5" t="n">
        <f>IF(ISNUMBER(Inputs!$L$5),Inputs!$L$5-D348,0)</f>
        <v>40.35</v>
      </c>
      <c r="F348" s="5" t="n">
        <f>C$51*INDEX('Solar Production'!$D$20:$D$31,B348)*C348*(1-'Assumptions and Catalog'!$C$10)^(A348-1)</f>
        <v>1361.52283519029</v>
      </c>
      <c r="G348" s="5" t="n">
        <f>MIN(F348,D348*C348)</f>
        <v>1250.85</v>
      </c>
      <c r="H348" s="5" t="n">
        <f>I348/('Assumptions and Catalog'!$C$11*'Assumptions and Catalog'!$C$12)</f>
        <v>0</v>
      </c>
      <c r="I348" s="5" t="n">
        <f>0</f>
        <v>0</v>
      </c>
      <c r="J348" s="5" t="n">
        <f>MAX(F348-G348-H348,0)</f>
        <v>110.672835190295</v>
      </c>
      <c r="K348" s="5" t="n">
        <f>H348-I348</f>
        <v>0</v>
      </c>
      <c r="L348" s="5" t="n">
        <f>(D348+E348)*C348-G348-I348+0+0</f>
        <v>1250.85</v>
      </c>
      <c r="M348" s="5" t="n">
        <f>IF(ISNUMBER(Inputs!$L$5),(IF(Inputs!$L$9="Actual flat rate",((D348+E348)*C348)*Inputs!$L$10,IF(Inputs!$C$9="Residential",IF(((D348+E348)*C348)&lt;='Assumptions and Catalog'!$C$50,((D348+E348)*C348)*'Assumptions and Catalog'!$H$50+'Assumptions and Catalog'!$E$50+'Assumptions and Catalog'!$F$50,IF(((D348+E348)*C348)&lt;='Assumptions and Catalog'!$C$51,((D348+E348)*C348)*'Assumptions and Catalog'!$H$51+'Assumptions and Catalog'!$E$51+'Assumptions and Catalog'!$F$51,IF(((D348+E348)*C348)&lt;='Assumptions and Catalog'!$C$52,((D348+E348)*C348)*'Assumptions and Catalog'!$H$52+'Assumptions and Catalog'!$E$52+'Assumptions and Catalog'!$F$52,IF(((D348+E348)*C348)&lt;='Assumptions and Catalog'!$C$53,((D348+E348)*C348)*'Assumptions and Catalog'!$H$53+'Assumptions and Catalog'!$E$53+'Assumptions and Catalog'!$F$53,IF(((D348+E348)*C348)&lt;='Assumptions and Catalog'!$C$54,((D348+E348)*C348)*'Assumptions and Catalog'!$H$54+'Assumptions and Catalog'!$E$54+'Assumptions and Catalog'!$F$54,IF(((D348+E348)*C348)&lt;='Assumptions and Catalog'!$C$55,((D348+E348)*C348)*'Assumptions and Catalog'!$H$55+'Assumptions and Catalog'!$E$55+'Assumptions and Catalog'!$F$55,IF(((D348+E348)*C348)&lt;='Assumptions and Catalog'!$C$56,((D348+E348)*C348)*'Assumptions and Catalog'!$H$56+'Assumptions and Catalog'!$E$56+'Assumptions and Catalog'!$F$56,IF(((D348+E348)*C348)&lt;='Assumptions and Catalog'!$C$57,((D348+E348)*C348)*'Assumptions and Catalog'!$H$57+'Assumptions and Catalog'!$E$57+'Assumptions and Catalog'!$F$57,"Out of range")))))))),IF(((D348+E348)*C348)&lt;='Assumptions and Catalog'!$C$60,((D348+E348)*C348)*'Assumptions and Catalog'!$H$60+'Assumptions and Catalog'!$E$60+'Assumptions and Catalog'!$F$60,IF(((D348+E348)*C348)&lt;='Assumptions and Catalog'!$C$61,((D348+E348)*C348)*'Assumptions and Catalog'!$H$61+'Assumptions and Catalog'!$E$61+'Assumptions and Catalog'!$F$61,IF(((D348+E348)*C348)&lt;='Assumptions and Catalog'!$C$62,((D348+E348)*C348)*'Assumptions and Catalog'!$H$62+'Assumptions and Catalog'!$E$62+'Assumptions and Catalog'!$F$62,IF(((D348+E348)*C348)&lt;='Assumptions and Catalog'!$C$63,((D348+E348)*C348)*'Assumptions and Catalog'!$H$63+'Assumptions and Catalog'!$E$63+'Assumptions and Catalog'!$F$63,IF(((D348+E348)*C348)&lt;='Assumptions and Catalog'!$C$64,((D348+E348)*C348)*'Assumptions and Catalog'!$H$64+'Assumptions and Catalog'!$E$64+'Assumptions and Catalog'!$F$64,IF(((D348+E348)*C348)&lt;='Assumptions and Catalog'!$C$65,((D348+E348)*C348)*'Assumptions and Catalog'!$H$65+'Assumptions and Catalog'!$E$65+'Assumptions and Catalog'!$F$65,"Out of range")))))))))*(1+'Assumptions and Catalog'!$C$8)^(A348-1),0)</f>
        <v>7094.794</v>
      </c>
      <c r="N348" s="5" t="n">
        <f>IF(ISNUMBER(Inputs!$L$5),(IF(Inputs!$L$9="Actual flat rate",L348*Inputs!$L$10,IF(Inputs!$C$9="Residential",IF(L348&lt;='Assumptions and Catalog'!$C$50,L348*'Assumptions and Catalog'!$H$50+'Assumptions and Catalog'!$E$50+'Assumptions and Catalog'!$F$50,IF(L348&lt;='Assumptions and Catalog'!$C$51,L348*'Assumptions and Catalog'!$H$51+'Assumptions and Catalog'!$E$51+'Assumptions and Catalog'!$F$51,IF(L348&lt;='Assumptions and Catalog'!$C$52,L348*'Assumptions and Catalog'!$H$52+'Assumptions and Catalog'!$E$52+'Assumptions and Catalog'!$F$52,IF(L348&lt;='Assumptions and Catalog'!$C$53,L348*'Assumptions and Catalog'!$H$53+'Assumptions and Catalog'!$E$53+'Assumptions and Catalog'!$F$53,IF(L348&lt;='Assumptions and Catalog'!$C$54,L348*'Assumptions and Catalog'!$H$54+'Assumptions and Catalog'!$E$54+'Assumptions and Catalog'!$F$54,IF(L348&lt;='Assumptions and Catalog'!$C$55,L348*'Assumptions and Catalog'!$H$55+'Assumptions and Catalog'!$E$55+'Assumptions and Catalog'!$F$55,IF(L348&lt;='Assumptions and Catalog'!$C$56,L348*'Assumptions and Catalog'!$H$56+'Assumptions and Catalog'!$E$56+'Assumptions and Catalog'!$F$56,IF(L348&lt;='Assumptions and Catalog'!$C$57,L348*'Assumptions and Catalog'!$H$57+'Assumptions and Catalog'!$E$57+'Assumptions and Catalog'!$F$57,"Out of range")))))))),IF(L348&lt;='Assumptions and Catalog'!$C$60,L348*'Assumptions and Catalog'!$H$60+'Assumptions and Catalog'!$E$60+'Assumptions and Catalog'!$F$60,IF(L348&lt;='Assumptions and Catalog'!$C$61,L348*'Assumptions and Catalog'!$H$61+'Assumptions and Catalog'!$E$61+'Assumptions and Catalog'!$F$61,IF(L348&lt;='Assumptions and Catalog'!$C$62,L348*'Assumptions and Catalog'!$H$62+'Assumptions and Catalog'!$E$62+'Assumptions and Catalog'!$F$62,IF(L348&lt;='Assumptions and Catalog'!$C$63,L348*'Assumptions and Catalog'!$H$63+'Assumptions and Catalog'!$E$63+'Assumptions and Catalog'!$F$63,IF(L348&lt;='Assumptions and Catalog'!$C$64,L348*'Assumptions and Catalog'!$H$64+'Assumptions and Catalog'!$E$64+'Assumptions and Catalog'!$F$64,IF(L348&lt;='Assumptions and Catalog'!$C$65,L348*'Assumptions and Catalog'!$H$65+'Assumptions and Catalog'!$E$65+'Assumptions and Catalog'!$F$65,"Out of range")))))))))*(1+'Assumptions and Catalog'!$C$8)^(A348-1),0)</f>
        <v>3567.397</v>
      </c>
      <c r="O348" s="5" t="n">
        <f>M348-N348</f>
        <v>3527.397</v>
      </c>
      <c r="P348" s="5" t="n">
        <f>C$55*(1-J$14)*(1-'Assumptions and Catalog'!$C$23)^R348</f>
        <v>0</v>
      </c>
      <c r="Q348" s="5" t="n">
        <f>IF(ISNUMBER(Inputs!$L$5),(IF(Inputs!$L$9="Actual flat rate",((D348+E348)*C348-G348)*Inputs!$L$10,IF(Inputs!$C$9="Residential",IF(((D348+E348)*C348-G348)&lt;='Assumptions and Catalog'!$C$50,((D348+E348)*C348-G348)*'Assumptions and Catalog'!$H$50+'Assumptions and Catalog'!$E$50+'Assumptions and Catalog'!$F$50,IF(((D348+E348)*C348-G348)&lt;='Assumptions and Catalog'!$C$51,((D348+E348)*C348-G348)*'Assumptions and Catalog'!$H$51+'Assumptions and Catalog'!$E$51+'Assumptions and Catalog'!$F$51,IF(((D348+E348)*C348-G348)&lt;='Assumptions and Catalog'!$C$52,((D348+E348)*C348-G348)*'Assumptions and Catalog'!$H$52+'Assumptions and Catalog'!$E$52+'Assumptions and Catalog'!$F$52,IF(((D348+E348)*C348-G348)&lt;='Assumptions and Catalog'!$C$53,((D348+E348)*C348-G348)*'Assumptions and Catalog'!$H$53+'Assumptions and Catalog'!$E$53+'Assumptions and Catalog'!$F$53,IF(((D348+E348)*C348-G348)&lt;='Assumptions and Catalog'!$C$54,((D348+E348)*C348-G348)*'Assumptions and Catalog'!$H$54+'Assumptions and Catalog'!$E$54+'Assumptions and Catalog'!$F$54,IF(((D348+E348)*C348-G348)&lt;='Assumptions and Catalog'!$C$55,((D348+E348)*C348-G348)*'Assumptions and Catalog'!$H$55+'Assumptions and Catalog'!$E$55+'Assumptions and Catalog'!$F$55,IF(((D348+E348)*C348-G348)&lt;='Assumptions and Catalog'!$C$56,((D348+E348)*C348-G348)*'Assumptions and Catalog'!$H$56+'Assumptions and Catalog'!$E$56+'Assumptions and Catalog'!$F$56,IF(((D348+E348)*C348-G348)&lt;='Assumptions and Catalog'!$C$57,((D348+E348)*C348-G348)*'Assumptions and Catalog'!$H$57+'Assumptions and Catalog'!$E$57+'Assumptions and Catalog'!$F$57,"Out of range")))))))),IF(((D348+E348)*C348-G348)&lt;='Assumptions and Catalog'!$C$60,((D348+E348)*C348-G348)*'Assumptions and Catalog'!$H$60+'Assumptions and Catalog'!$E$60+'Assumptions and Catalog'!$F$60,IF(((D348+E348)*C348-G348)&lt;='Assumptions and Catalog'!$C$61,((D348+E348)*C348-G348)*'Assumptions and Catalog'!$H$61+'Assumptions and Catalog'!$E$61+'Assumptions and Catalog'!$F$61,IF(((D348+E348)*C348-G348)&lt;='Assumptions and Catalog'!$C$62,((D348+E348)*C348-G348)*'Assumptions and Catalog'!$H$62+'Assumptions and Catalog'!$E$62+'Assumptions and Catalog'!$F$62,IF(((D348+E348)*C348-G348)&lt;='Assumptions and Catalog'!$C$63,((D348+E348)*C348-G348)*'Assumptions and Catalog'!$H$63+'Assumptions and Catalog'!$E$63+'Assumptions and Catalog'!$F$63,IF(((D348+E348)*C348-G348)&lt;='Assumptions and Catalog'!$C$64,((D348+E348)*C348-G348)*'Assumptions and Catalog'!$H$64+'Assumptions and Catalog'!$E$64+'Assumptions and Catalog'!$F$64,IF(((D348+E348)*C348-G348)&lt;='Assumptions and Catalog'!$C$65,((D348+E348)*C348-G348)*'Assumptions and Catalog'!$H$65+'Assumptions and Catalog'!$E$65+'Assumptions and Catalog'!$F$65,"Out of range")))))))))*(1+'Assumptions and Catalog'!$C$8)^(A348-1),0)</f>
        <v>3567.397</v>
      </c>
      <c r="R348" s="5" t="n">
        <f>IF(AND('Assumptions and Catalog'!$C$19&gt;0,A348&gt;='Assumptions and Catalog'!$C$19),A348-'Assumptions and Catalog'!$C$19,A348-1)</f>
        <v>5</v>
      </c>
      <c r="S348" s="5" t="n">
        <f>F348+L348-(D348+E348)*C348-J348-K348-0</f>
        <v>0</v>
      </c>
      <c r="T348" s="5"/>
      <c r="U348" s="5"/>
    </row>
    <row r="349" ht="23.100000381469727" customHeight="1">
      <c r="A349" s="5" t="n">
        <v>16</v>
      </c>
      <c r="B349" s="5" t="n">
        <v>9</v>
      </c>
      <c r="C349" s="5" t="n">
        <f>DAY(DATE('Assumptions and Catalog'!$C$24+A349-1,B349+1,0))</f>
        <v>30</v>
      </c>
      <c r="D349" s="5" t="n">
        <f>IF(ISNUMBER(Inputs!$L$5),Inputs!$L$5*Inputs!$L$6,0)</f>
        <v>40.35</v>
      </c>
      <c r="E349" s="5" t="n">
        <f>IF(ISNUMBER(Inputs!$L$5),Inputs!$L$5-D349,0)</f>
        <v>40.35</v>
      </c>
      <c r="F349" s="5" t="n">
        <f>C$51*INDEX('Solar Production'!$D$20:$D$31,B349)*C349*(1-'Assumptions and Catalog'!$C$10)^(A349-1)</f>
        <v>1314.17971502181</v>
      </c>
      <c r="G349" s="5" t="n">
        <f>MIN(F349,D349*C349)</f>
        <v>1210.5</v>
      </c>
      <c r="H349" s="5" t="n">
        <f>I349/('Assumptions and Catalog'!$C$11*'Assumptions and Catalog'!$C$12)</f>
        <v>0</v>
      </c>
      <c r="I349" s="5" t="n">
        <f>0</f>
        <v>0</v>
      </c>
      <c r="J349" s="5" t="n">
        <f>MAX(F349-G349-H349,0)</f>
        <v>103.679715021807</v>
      </c>
      <c r="K349" s="5" t="n">
        <f>H349-I349</f>
        <v>0</v>
      </c>
      <c r="L349" s="5" t="n">
        <f>(D349+E349)*C349-G349-I349+0+0</f>
        <v>1210.5</v>
      </c>
      <c r="M349" s="5" t="n">
        <f>IF(ISNUMBER(Inputs!$L$5),(IF(Inputs!$L$9="Actual flat rate",((D349+E349)*C349)*Inputs!$L$10,IF(Inputs!$C$9="Residential",IF(((D349+E349)*C349)&lt;='Assumptions and Catalog'!$C$50,((D349+E349)*C349)*'Assumptions and Catalog'!$H$50+'Assumptions and Catalog'!$E$50+'Assumptions and Catalog'!$F$50,IF(((D349+E349)*C349)&lt;='Assumptions and Catalog'!$C$51,((D349+E349)*C349)*'Assumptions and Catalog'!$H$51+'Assumptions and Catalog'!$E$51+'Assumptions and Catalog'!$F$51,IF(((D349+E349)*C349)&lt;='Assumptions and Catalog'!$C$52,((D349+E349)*C349)*'Assumptions and Catalog'!$H$52+'Assumptions and Catalog'!$E$52+'Assumptions and Catalog'!$F$52,IF(((D349+E349)*C349)&lt;='Assumptions and Catalog'!$C$53,((D349+E349)*C349)*'Assumptions and Catalog'!$H$53+'Assumptions and Catalog'!$E$53+'Assumptions and Catalog'!$F$53,IF(((D349+E349)*C349)&lt;='Assumptions and Catalog'!$C$54,((D349+E349)*C349)*'Assumptions and Catalog'!$H$54+'Assumptions and Catalog'!$E$54+'Assumptions and Catalog'!$F$54,IF(((D349+E349)*C349)&lt;='Assumptions and Catalog'!$C$55,((D349+E349)*C349)*'Assumptions and Catalog'!$H$55+'Assumptions and Catalog'!$E$55+'Assumptions and Catalog'!$F$55,IF(((D349+E349)*C349)&lt;='Assumptions and Catalog'!$C$56,((D349+E349)*C349)*'Assumptions and Catalog'!$H$56+'Assumptions and Catalog'!$E$56+'Assumptions and Catalog'!$F$56,IF(((D349+E349)*C349)&lt;='Assumptions and Catalog'!$C$57,((D349+E349)*C349)*'Assumptions and Catalog'!$H$57+'Assumptions and Catalog'!$E$57+'Assumptions and Catalog'!$F$57,"Out of range")))))))),IF(((D349+E349)*C349)&lt;='Assumptions and Catalog'!$C$60,((D349+E349)*C349)*'Assumptions and Catalog'!$H$60+'Assumptions and Catalog'!$E$60+'Assumptions and Catalog'!$F$60,IF(((D349+E349)*C349)&lt;='Assumptions and Catalog'!$C$61,((D349+E349)*C349)*'Assumptions and Catalog'!$H$61+'Assumptions and Catalog'!$E$61+'Assumptions and Catalog'!$F$61,IF(((D349+E349)*C349)&lt;='Assumptions and Catalog'!$C$62,((D349+E349)*C349)*'Assumptions and Catalog'!$H$62+'Assumptions and Catalog'!$E$62+'Assumptions and Catalog'!$F$62,IF(((D349+E349)*C349)&lt;='Assumptions and Catalog'!$C$63,((D349+E349)*C349)*'Assumptions and Catalog'!$H$63+'Assumptions and Catalog'!$E$63+'Assumptions and Catalog'!$F$63,IF(((D349+E349)*C349)&lt;='Assumptions and Catalog'!$C$64,((D349+E349)*C349)*'Assumptions and Catalog'!$H$64+'Assumptions and Catalog'!$E$64+'Assumptions and Catalog'!$F$64,IF(((D349+E349)*C349)&lt;='Assumptions and Catalog'!$C$65,((D349+E349)*C349)*'Assumptions and Catalog'!$H$65+'Assumptions and Catalog'!$E$65+'Assumptions and Catalog'!$F$65,"Out of range")))))))))*(1+'Assumptions and Catalog'!$C$8)^(A349-1),0)</f>
        <v>6867.22</v>
      </c>
      <c r="N349" s="5" t="n">
        <f>IF(ISNUMBER(Inputs!$L$5),(IF(Inputs!$L$9="Actual flat rate",L349*Inputs!$L$10,IF(Inputs!$C$9="Residential",IF(L349&lt;='Assumptions and Catalog'!$C$50,L349*'Assumptions and Catalog'!$H$50+'Assumptions and Catalog'!$E$50+'Assumptions and Catalog'!$F$50,IF(L349&lt;='Assumptions and Catalog'!$C$51,L349*'Assumptions and Catalog'!$H$51+'Assumptions and Catalog'!$E$51+'Assumptions and Catalog'!$F$51,IF(L349&lt;='Assumptions and Catalog'!$C$52,L349*'Assumptions and Catalog'!$H$52+'Assumptions and Catalog'!$E$52+'Assumptions and Catalog'!$F$52,IF(L349&lt;='Assumptions and Catalog'!$C$53,L349*'Assumptions and Catalog'!$H$53+'Assumptions and Catalog'!$E$53+'Assumptions and Catalog'!$F$53,IF(L349&lt;='Assumptions and Catalog'!$C$54,L349*'Assumptions and Catalog'!$H$54+'Assumptions and Catalog'!$E$54+'Assumptions and Catalog'!$F$54,IF(L349&lt;='Assumptions and Catalog'!$C$55,L349*'Assumptions and Catalog'!$H$55+'Assumptions and Catalog'!$E$55+'Assumptions and Catalog'!$F$55,IF(L349&lt;='Assumptions and Catalog'!$C$56,L349*'Assumptions and Catalog'!$H$56+'Assumptions and Catalog'!$E$56+'Assumptions and Catalog'!$F$56,IF(L349&lt;='Assumptions and Catalog'!$C$57,L349*'Assumptions and Catalog'!$H$57+'Assumptions and Catalog'!$E$57+'Assumptions and Catalog'!$F$57,"Out of range")))))))),IF(L349&lt;='Assumptions and Catalog'!$C$60,L349*'Assumptions and Catalog'!$H$60+'Assumptions and Catalog'!$E$60+'Assumptions and Catalog'!$F$60,IF(L349&lt;='Assumptions and Catalog'!$C$61,L349*'Assumptions and Catalog'!$H$61+'Assumptions and Catalog'!$E$61+'Assumptions and Catalog'!$F$61,IF(L349&lt;='Assumptions and Catalog'!$C$62,L349*'Assumptions and Catalog'!$H$62+'Assumptions and Catalog'!$E$62+'Assumptions and Catalog'!$F$62,IF(L349&lt;='Assumptions and Catalog'!$C$63,L349*'Assumptions and Catalog'!$H$63+'Assumptions and Catalog'!$E$63+'Assumptions and Catalog'!$F$63,IF(L349&lt;='Assumptions and Catalog'!$C$64,L349*'Assumptions and Catalog'!$H$64+'Assumptions and Catalog'!$E$64+'Assumptions and Catalog'!$F$64,IF(L349&lt;='Assumptions and Catalog'!$C$65,L349*'Assumptions and Catalog'!$H$65+'Assumptions and Catalog'!$E$65+'Assumptions and Catalog'!$F$65,"Out of range")))))))))*(1+'Assumptions and Catalog'!$C$8)^(A349-1),0)</f>
        <v>3453.61</v>
      </c>
      <c r="O349" s="5" t="n">
        <f>M349-N349</f>
        <v>3413.61</v>
      </c>
      <c r="P349" s="5" t="n">
        <f>C$55*(1-J$14)*(1-'Assumptions and Catalog'!$C$23)^R349</f>
        <v>0</v>
      </c>
      <c r="Q349" s="5" t="n">
        <f>IF(ISNUMBER(Inputs!$L$5),(IF(Inputs!$L$9="Actual flat rate",((D349+E349)*C349-G349)*Inputs!$L$10,IF(Inputs!$C$9="Residential",IF(((D349+E349)*C349-G349)&lt;='Assumptions and Catalog'!$C$50,((D349+E349)*C349-G349)*'Assumptions and Catalog'!$H$50+'Assumptions and Catalog'!$E$50+'Assumptions and Catalog'!$F$50,IF(((D349+E349)*C349-G349)&lt;='Assumptions and Catalog'!$C$51,((D349+E349)*C349-G349)*'Assumptions and Catalog'!$H$51+'Assumptions and Catalog'!$E$51+'Assumptions and Catalog'!$F$51,IF(((D349+E349)*C349-G349)&lt;='Assumptions and Catalog'!$C$52,((D349+E349)*C349-G349)*'Assumptions and Catalog'!$H$52+'Assumptions and Catalog'!$E$52+'Assumptions and Catalog'!$F$52,IF(((D349+E349)*C349-G349)&lt;='Assumptions and Catalog'!$C$53,((D349+E349)*C349-G349)*'Assumptions and Catalog'!$H$53+'Assumptions and Catalog'!$E$53+'Assumptions and Catalog'!$F$53,IF(((D349+E349)*C349-G349)&lt;='Assumptions and Catalog'!$C$54,((D349+E349)*C349-G349)*'Assumptions and Catalog'!$H$54+'Assumptions and Catalog'!$E$54+'Assumptions and Catalog'!$F$54,IF(((D349+E349)*C349-G349)&lt;='Assumptions and Catalog'!$C$55,((D349+E349)*C349-G349)*'Assumptions and Catalog'!$H$55+'Assumptions and Catalog'!$E$55+'Assumptions and Catalog'!$F$55,IF(((D349+E349)*C349-G349)&lt;='Assumptions and Catalog'!$C$56,((D349+E349)*C349-G349)*'Assumptions and Catalog'!$H$56+'Assumptions and Catalog'!$E$56+'Assumptions and Catalog'!$F$56,IF(((D349+E349)*C349-G349)&lt;='Assumptions and Catalog'!$C$57,((D349+E349)*C349-G349)*'Assumptions and Catalog'!$H$57+'Assumptions and Catalog'!$E$57+'Assumptions and Catalog'!$F$57,"Out of range")))))))),IF(((D349+E349)*C349-G349)&lt;='Assumptions and Catalog'!$C$60,((D349+E349)*C349-G349)*'Assumptions and Catalog'!$H$60+'Assumptions and Catalog'!$E$60+'Assumptions and Catalog'!$F$60,IF(((D349+E349)*C349-G349)&lt;='Assumptions and Catalog'!$C$61,((D349+E349)*C349-G349)*'Assumptions and Catalog'!$H$61+'Assumptions and Catalog'!$E$61+'Assumptions and Catalog'!$F$61,IF(((D349+E349)*C349-G349)&lt;='Assumptions and Catalog'!$C$62,((D349+E349)*C349-G349)*'Assumptions and Catalog'!$H$62+'Assumptions and Catalog'!$E$62+'Assumptions and Catalog'!$F$62,IF(((D349+E349)*C349-G349)&lt;='Assumptions and Catalog'!$C$63,((D349+E349)*C349-G349)*'Assumptions and Catalog'!$H$63+'Assumptions and Catalog'!$E$63+'Assumptions and Catalog'!$F$63,IF(((D349+E349)*C349-G349)&lt;='Assumptions and Catalog'!$C$64,((D349+E349)*C349-G349)*'Assumptions and Catalog'!$H$64+'Assumptions and Catalog'!$E$64+'Assumptions and Catalog'!$F$64,IF(((D349+E349)*C349-G349)&lt;='Assumptions and Catalog'!$C$65,((D349+E349)*C349-G349)*'Assumptions and Catalog'!$H$65+'Assumptions and Catalog'!$E$65+'Assumptions and Catalog'!$F$65,"Out of range")))))))))*(1+'Assumptions and Catalog'!$C$8)^(A349-1),0)</f>
        <v>3453.61</v>
      </c>
      <c r="R349" s="5" t="n">
        <f>IF(AND('Assumptions and Catalog'!$C$19&gt;0,A349&gt;='Assumptions and Catalog'!$C$19),A349-'Assumptions and Catalog'!$C$19,A349-1)</f>
        <v>5</v>
      </c>
      <c r="S349" s="5" t="n">
        <f>F349+L349-(D349+E349)*C349-J349-K349-0</f>
        <v>0</v>
      </c>
      <c r="T349" s="5"/>
      <c r="U349" s="5"/>
    </row>
    <row r="350" ht="23.100000381469727" customHeight="1">
      <c r="A350" s="5" t="n">
        <v>16</v>
      </c>
      <c r="B350" s="5" t="n">
        <v>10</v>
      </c>
      <c r="C350" s="5" t="n">
        <f>DAY(DATE('Assumptions and Catalog'!$C$24+A350-1,B350+1,0))</f>
        <v>31</v>
      </c>
      <c r="D350" s="5" t="n">
        <f>IF(ISNUMBER(Inputs!$L$5),Inputs!$L$5*Inputs!$L$6,0)</f>
        <v>40.35</v>
      </c>
      <c r="E350" s="5" t="n">
        <f>IF(ISNUMBER(Inputs!$L$5),Inputs!$L$5-D350,0)</f>
        <v>40.35</v>
      </c>
      <c r="F350" s="5" t="n">
        <f>C$51*INDEX('Solar Production'!$D$20:$D$31,B350)*C350*(1-'Assumptions and Catalog'!$C$10)^(A350-1)</f>
        <v>1261.36764821317</v>
      </c>
      <c r="G350" s="5" t="n">
        <f>MIN(F350,D350*C350)</f>
        <v>1250.85</v>
      </c>
      <c r="H350" s="5" t="n">
        <f>I350/('Assumptions and Catalog'!$C$11*'Assumptions and Catalog'!$C$12)</f>
        <v>0</v>
      </c>
      <c r="I350" s="5" t="n">
        <f>0</f>
        <v>0</v>
      </c>
      <c r="J350" s="5" t="n">
        <f>MAX(F350-G350-H350,0)</f>
        <v>10.5176482131667</v>
      </c>
      <c r="K350" s="5" t="n">
        <f>H350-I350</f>
        <v>0</v>
      </c>
      <c r="L350" s="5" t="n">
        <f>(D350+E350)*C350-G350-I350+0+0</f>
        <v>1250.85</v>
      </c>
      <c r="M350" s="5" t="n">
        <f>IF(ISNUMBER(Inputs!$L$5),(IF(Inputs!$L$9="Actual flat rate",((D350+E350)*C350)*Inputs!$L$10,IF(Inputs!$C$9="Residential",IF(((D350+E350)*C350)&lt;='Assumptions and Catalog'!$C$50,((D350+E350)*C350)*'Assumptions and Catalog'!$H$50+'Assumptions and Catalog'!$E$50+'Assumptions and Catalog'!$F$50,IF(((D350+E350)*C350)&lt;='Assumptions and Catalog'!$C$51,((D350+E350)*C350)*'Assumptions and Catalog'!$H$51+'Assumptions and Catalog'!$E$51+'Assumptions and Catalog'!$F$51,IF(((D350+E350)*C350)&lt;='Assumptions and Catalog'!$C$52,((D350+E350)*C350)*'Assumptions and Catalog'!$H$52+'Assumptions and Catalog'!$E$52+'Assumptions and Catalog'!$F$52,IF(((D350+E350)*C350)&lt;='Assumptions and Catalog'!$C$53,((D350+E350)*C350)*'Assumptions and Catalog'!$H$53+'Assumptions and Catalog'!$E$53+'Assumptions and Catalog'!$F$53,IF(((D350+E350)*C350)&lt;='Assumptions and Catalog'!$C$54,((D350+E350)*C350)*'Assumptions and Catalog'!$H$54+'Assumptions and Catalog'!$E$54+'Assumptions and Catalog'!$F$54,IF(((D350+E350)*C350)&lt;='Assumptions and Catalog'!$C$55,((D350+E350)*C350)*'Assumptions and Catalog'!$H$55+'Assumptions and Catalog'!$E$55+'Assumptions and Catalog'!$F$55,IF(((D350+E350)*C350)&lt;='Assumptions and Catalog'!$C$56,((D350+E350)*C350)*'Assumptions and Catalog'!$H$56+'Assumptions and Catalog'!$E$56+'Assumptions and Catalog'!$F$56,IF(((D350+E350)*C350)&lt;='Assumptions and Catalog'!$C$57,((D350+E350)*C350)*'Assumptions and Catalog'!$H$57+'Assumptions and Catalog'!$E$57+'Assumptions and Catalog'!$F$57,"Out of range")))))))),IF(((D350+E350)*C350)&lt;='Assumptions and Catalog'!$C$60,((D350+E350)*C350)*'Assumptions and Catalog'!$H$60+'Assumptions and Catalog'!$E$60+'Assumptions and Catalog'!$F$60,IF(((D350+E350)*C350)&lt;='Assumptions and Catalog'!$C$61,((D350+E350)*C350)*'Assumptions and Catalog'!$H$61+'Assumptions and Catalog'!$E$61+'Assumptions and Catalog'!$F$61,IF(((D350+E350)*C350)&lt;='Assumptions and Catalog'!$C$62,((D350+E350)*C350)*'Assumptions and Catalog'!$H$62+'Assumptions and Catalog'!$E$62+'Assumptions and Catalog'!$F$62,IF(((D350+E350)*C350)&lt;='Assumptions and Catalog'!$C$63,((D350+E350)*C350)*'Assumptions and Catalog'!$H$63+'Assumptions and Catalog'!$E$63+'Assumptions and Catalog'!$F$63,IF(((D350+E350)*C350)&lt;='Assumptions and Catalog'!$C$64,((D350+E350)*C350)*'Assumptions and Catalog'!$H$64+'Assumptions and Catalog'!$E$64+'Assumptions and Catalog'!$F$64,IF(((D350+E350)*C350)&lt;='Assumptions and Catalog'!$C$65,((D350+E350)*C350)*'Assumptions and Catalog'!$H$65+'Assumptions and Catalog'!$E$65+'Assumptions and Catalog'!$F$65,"Out of range")))))))))*(1+'Assumptions and Catalog'!$C$8)^(A350-1),0)</f>
        <v>7094.794</v>
      </c>
      <c r="N350" s="5" t="n">
        <f>IF(ISNUMBER(Inputs!$L$5),(IF(Inputs!$L$9="Actual flat rate",L350*Inputs!$L$10,IF(Inputs!$C$9="Residential",IF(L350&lt;='Assumptions and Catalog'!$C$50,L350*'Assumptions and Catalog'!$H$50+'Assumptions and Catalog'!$E$50+'Assumptions and Catalog'!$F$50,IF(L350&lt;='Assumptions and Catalog'!$C$51,L350*'Assumptions and Catalog'!$H$51+'Assumptions and Catalog'!$E$51+'Assumptions and Catalog'!$F$51,IF(L350&lt;='Assumptions and Catalog'!$C$52,L350*'Assumptions and Catalog'!$H$52+'Assumptions and Catalog'!$E$52+'Assumptions and Catalog'!$F$52,IF(L350&lt;='Assumptions and Catalog'!$C$53,L350*'Assumptions and Catalog'!$H$53+'Assumptions and Catalog'!$E$53+'Assumptions and Catalog'!$F$53,IF(L350&lt;='Assumptions and Catalog'!$C$54,L350*'Assumptions and Catalog'!$H$54+'Assumptions and Catalog'!$E$54+'Assumptions and Catalog'!$F$54,IF(L350&lt;='Assumptions and Catalog'!$C$55,L350*'Assumptions and Catalog'!$H$55+'Assumptions and Catalog'!$E$55+'Assumptions and Catalog'!$F$55,IF(L350&lt;='Assumptions and Catalog'!$C$56,L350*'Assumptions and Catalog'!$H$56+'Assumptions and Catalog'!$E$56+'Assumptions and Catalog'!$F$56,IF(L350&lt;='Assumptions and Catalog'!$C$57,L350*'Assumptions and Catalog'!$H$57+'Assumptions and Catalog'!$E$57+'Assumptions and Catalog'!$F$57,"Out of range")))))))),IF(L350&lt;='Assumptions and Catalog'!$C$60,L350*'Assumptions and Catalog'!$H$60+'Assumptions and Catalog'!$E$60+'Assumptions and Catalog'!$F$60,IF(L350&lt;='Assumptions and Catalog'!$C$61,L350*'Assumptions and Catalog'!$H$61+'Assumptions and Catalog'!$E$61+'Assumptions and Catalog'!$F$61,IF(L350&lt;='Assumptions and Catalog'!$C$62,L350*'Assumptions and Catalog'!$H$62+'Assumptions and Catalog'!$E$62+'Assumptions and Catalog'!$F$62,IF(L350&lt;='Assumptions and Catalog'!$C$63,L350*'Assumptions and Catalog'!$H$63+'Assumptions and Catalog'!$E$63+'Assumptions and Catalog'!$F$63,IF(L350&lt;='Assumptions and Catalog'!$C$64,L350*'Assumptions and Catalog'!$H$64+'Assumptions and Catalog'!$E$64+'Assumptions and Catalog'!$F$64,IF(L350&lt;='Assumptions and Catalog'!$C$65,L350*'Assumptions and Catalog'!$H$65+'Assumptions and Catalog'!$E$65+'Assumptions and Catalog'!$F$65,"Out of range")))))))))*(1+'Assumptions and Catalog'!$C$8)^(A350-1),0)</f>
        <v>3567.397</v>
      </c>
      <c r="O350" s="5" t="n">
        <f>M350-N350</f>
        <v>3527.397</v>
      </c>
      <c r="P350" s="5" t="n">
        <f>C$55*(1-J$14)*(1-'Assumptions and Catalog'!$C$23)^R350</f>
        <v>0</v>
      </c>
      <c r="Q350" s="5" t="n">
        <f>IF(ISNUMBER(Inputs!$L$5),(IF(Inputs!$L$9="Actual flat rate",((D350+E350)*C350-G350)*Inputs!$L$10,IF(Inputs!$C$9="Residential",IF(((D350+E350)*C350-G350)&lt;='Assumptions and Catalog'!$C$50,((D350+E350)*C350-G350)*'Assumptions and Catalog'!$H$50+'Assumptions and Catalog'!$E$50+'Assumptions and Catalog'!$F$50,IF(((D350+E350)*C350-G350)&lt;='Assumptions and Catalog'!$C$51,((D350+E350)*C350-G350)*'Assumptions and Catalog'!$H$51+'Assumptions and Catalog'!$E$51+'Assumptions and Catalog'!$F$51,IF(((D350+E350)*C350-G350)&lt;='Assumptions and Catalog'!$C$52,((D350+E350)*C350-G350)*'Assumptions and Catalog'!$H$52+'Assumptions and Catalog'!$E$52+'Assumptions and Catalog'!$F$52,IF(((D350+E350)*C350-G350)&lt;='Assumptions and Catalog'!$C$53,((D350+E350)*C350-G350)*'Assumptions and Catalog'!$H$53+'Assumptions and Catalog'!$E$53+'Assumptions and Catalog'!$F$53,IF(((D350+E350)*C350-G350)&lt;='Assumptions and Catalog'!$C$54,((D350+E350)*C350-G350)*'Assumptions and Catalog'!$H$54+'Assumptions and Catalog'!$E$54+'Assumptions and Catalog'!$F$54,IF(((D350+E350)*C350-G350)&lt;='Assumptions and Catalog'!$C$55,((D350+E350)*C350-G350)*'Assumptions and Catalog'!$H$55+'Assumptions and Catalog'!$E$55+'Assumptions and Catalog'!$F$55,IF(((D350+E350)*C350-G350)&lt;='Assumptions and Catalog'!$C$56,((D350+E350)*C350-G350)*'Assumptions and Catalog'!$H$56+'Assumptions and Catalog'!$E$56+'Assumptions and Catalog'!$F$56,IF(((D350+E350)*C350-G350)&lt;='Assumptions and Catalog'!$C$57,((D350+E350)*C350-G350)*'Assumptions and Catalog'!$H$57+'Assumptions and Catalog'!$E$57+'Assumptions and Catalog'!$F$57,"Out of range")))))))),IF(((D350+E350)*C350-G350)&lt;='Assumptions and Catalog'!$C$60,((D350+E350)*C350-G350)*'Assumptions and Catalog'!$H$60+'Assumptions and Catalog'!$E$60+'Assumptions and Catalog'!$F$60,IF(((D350+E350)*C350-G350)&lt;='Assumptions and Catalog'!$C$61,((D350+E350)*C350-G350)*'Assumptions and Catalog'!$H$61+'Assumptions and Catalog'!$E$61+'Assumptions and Catalog'!$F$61,IF(((D350+E350)*C350-G350)&lt;='Assumptions and Catalog'!$C$62,((D350+E350)*C350-G350)*'Assumptions and Catalog'!$H$62+'Assumptions and Catalog'!$E$62+'Assumptions and Catalog'!$F$62,IF(((D350+E350)*C350-G350)&lt;='Assumptions and Catalog'!$C$63,((D350+E350)*C350-G350)*'Assumptions and Catalog'!$H$63+'Assumptions and Catalog'!$E$63+'Assumptions and Catalog'!$F$63,IF(((D350+E350)*C350-G350)&lt;='Assumptions and Catalog'!$C$64,((D350+E350)*C350-G350)*'Assumptions and Catalog'!$H$64+'Assumptions and Catalog'!$E$64+'Assumptions and Catalog'!$F$64,IF(((D350+E350)*C350-G350)&lt;='Assumptions and Catalog'!$C$65,((D350+E350)*C350-G350)*'Assumptions and Catalog'!$H$65+'Assumptions and Catalog'!$E$65+'Assumptions and Catalog'!$F$65,"Out of range")))))))))*(1+'Assumptions and Catalog'!$C$8)^(A350-1),0)</f>
        <v>3567.397</v>
      </c>
      <c r="R350" s="5" t="n">
        <f>IF(AND('Assumptions and Catalog'!$C$19&gt;0,A350&gt;='Assumptions and Catalog'!$C$19),A350-'Assumptions and Catalog'!$C$19,A350-1)</f>
        <v>5</v>
      </c>
      <c r="S350" s="5" t="n">
        <f>F350+L350-(D350+E350)*C350-J350-K350-0</f>
        <v>2.27373675443232E-013</v>
      </c>
      <c r="T350" s="5"/>
      <c r="U350" s="5"/>
    </row>
    <row r="351" ht="23.100000381469727" customHeight="1">
      <c r="A351" s="5" t="n">
        <v>16</v>
      </c>
      <c r="B351" s="5" t="n">
        <v>11</v>
      </c>
      <c r="C351" s="5" t="n">
        <f>DAY(DATE('Assumptions and Catalog'!$C$24+A351-1,B351+1,0))</f>
        <v>30</v>
      </c>
      <c r="D351" s="5" t="n">
        <f>IF(ISNUMBER(Inputs!$L$5),Inputs!$L$5*Inputs!$L$6,0)</f>
        <v>40.35</v>
      </c>
      <c r="E351" s="5" t="n">
        <f>IF(ISNUMBER(Inputs!$L$5),Inputs!$L$5-D351,0)</f>
        <v>40.35</v>
      </c>
      <c r="F351" s="5" t="n">
        <f>C$51*INDEX('Solar Production'!$D$20:$D$31,B351)*C351*(1-'Assumptions and Catalog'!$C$10)^(A351-1)</f>
        <v>1118.03227059961</v>
      </c>
      <c r="G351" s="5" t="n">
        <f>MIN(F351,D351*C351)</f>
        <v>1118.03227059961</v>
      </c>
      <c r="H351" s="5" t="n">
        <f>I351/('Assumptions and Catalog'!$C$11*'Assumptions and Catalog'!$C$12)</f>
        <v>0</v>
      </c>
      <c r="I351" s="5" t="n">
        <f>0</f>
        <v>0</v>
      </c>
      <c r="J351" s="5" t="n">
        <f>MAX(F351-G351-H351,0)</f>
        <v>0</v>
      </c>
      <c r="K351" s="5" t="n">
        <f>H351-I351</f>
        <v>0</v>
      </c>
      <c r="L351" s="5" t="n">
        <f>(D351+E351)*C351-G351-I351+0+0</f>
        <v>1302.96772940039</v>
      </c>
      <c r="M351" s="5" t="n">
        <f>IF(ISNUMBER(Inputs!$L$5),(IF(Inputs!$L$9="Actual flat rate",((D351+E351)*C351)*Inputs!$L$10,IF(Inputs!$C$9="Residential",IF(((D351+E351)*C351)&lt;='Assumptions and Catalog'!$C$50,((D351+E351)*C351)*'Assumptions and Catalog'!$H$50+'Assumptions and Catalog'!$E$50+'Assumptions and Catalog'!$F$50,IF(((D351+E351)*C351)&lt;='Assumptions and Catalog'!$C$51,((D351+E351)*C351)*'Assumptions and Catalog'!$H$51+'Assumptions and Catalog'!$E$51+'Assumptions and Catalog'!$F$51,IF(((D351+E351)*C351)&lt;='Assumptions and Catalog'!$C$52,((D351+E351)*C351)*'Assumptions and Catalog'!$H$52+'Assumptions and Catalog'!$E$52+'Assumptions and Catalog'!$F$52,IF(((D351+E351)*C351)&lt;='Assumptions and Catalog'!$C$53,((D351+E351)*C351)*'Assumptions and Catalog'!$H$53+'Assumptions and Catalog'!$E$53+'Assumptions and Catalog'!$F$53,IF(((D351+E351)*C351)&lt;='Assumptions and Catalog'!$C$54,((D351+E351)*C351)*'Assumptions and Catalog'!$H$54+'Assumptions and Catalog'!$E$54+'Assumptions and Catalog'!$F$54,IF(((D351+E351)*C351)&lt;='Assumptions and Catalog'!$C$55,((D351+E351)*C351)*'Assumptions and Catalog'!$H$55+'Assumptions and Catalog'!$E$55+'Assumptions and Catalog'!$F$55,IF(((D351+E351)*C351)&lt;='Assumptions and Catalog'!$C$56,((D351+E351)*C351)*'Assumptions and Catalog'!$H$56+'Assumptions and Catalog'!$E$56+'Assumptions and Catalog'!$F$56,IF(((D351+E351)*C351)&lt;='Assumptions and Catalog'!$C$57,((D351+E351)*C351)*'Assumptions and Catalog'!$H$57+'Assumptions and Catalog'!$E$57+'Assumptions and Catalog'!$F$57,"Out of range")))))))),IF(((D351+E351)*C351)&lt;='Assumptions and Catalog'!$C$60,((D351+E351)*C351)*'Assumptions and Catalog'!$H$60+'Assumptions and Catalog'!$E$60+'Assumptions and Catalog'!$F$60,IF(((D351+E351)*C351)&lt;='Assumptions and Catalog'!$C$61,((D351+E351)*C351)*'Assumptions and Catalog'!$H$61+'Assumptions and Catalog'!$E$61+'Assumptions and Catalog'!$F$61,IF(((D351+E351)*C351)&lt;='Assumptions and Catalog'!$C$62,((D351+E351)*C351)*'Assumptions and Catalog'!$H$62+'Assumptions and Catalog'!$E$62+'Assumptions and Catalog'!$F$62,IF(((D351+E351)*C351)&lt;='Assumptions and Catalog'!$C$63,((D351+E351)*C351)*'Assumptions and Catalog'!$H$63+'Assumptions and Catalog'!$E$63+'Assumptions and Catalog'!$F$63,IF(((D351+E351)*C351)&lt;='Assumptions and Catalog'!$C$64,((D351+E351)*C351)*'Assumptions and Catalog'!$H$64+'Assumptions and Catalog'!$E$64+'Assumptions and Catalog'!$F$64,IF(((D351+E351)*C351)&lt;='Assumptions and Catalog'!$C$65,((D351+E351)*C351)*'Assumptions and Catalog'!$H$65+'Assumptions and Catalog'!$E$65+'Assumptions and Catalog'!$F$65,"Out of range")))))))))*(1+'Assumptions and Catalog'!$C$8)^(A351-1),0)</f>
        <v>6867.22</v>
      </c>
      <c r="N351" s="5" t="n">
        <f>IF(ISNUMBER(Inputs!$L$5),(IF(Inputs!$L$9="Actual flat rate",L351*Inputs!$L$10,IF(Inputs!$C$9="Residential",IF(L351&lt;='Assumptions and Catalog'!$C$50,L351*'Assumptions and Catalog'!$H$50+'Assumptions and Catalog'!$E$50+'Assumptions and Catalog'!$F$50,IF(L351&lt;='Assumptions and Catalog'!$C$51,L351*'Assumptions and Catalog'!$H$51+'Assumptions and Catalog'!$E$51+'Assumptions and Catalog'!$F$51,IF(L351&lt;='Assumptions and Catalog'!$C$52,L351*'Assumptions and Catalog'!$H$52+'Assumptions and Catalog'!$E$52+'Assumptions and Catalog'!$F$52,IF(L351&lt;='Assumptions and Catalog'!$C$53,L351*'Assumptions and Catalog'!$H$53+'Assumptions and Catalog'!$E$53+'Assumptions and Catalog'!$F$53,IF(L351&lt;='Assumptions and Catalog'!$C$54,L351*'Assumptions and Catalog'!$H$54+'Assumptions and Catalog'!$E$54+'Assumptions and Catalog'!$F$54,IF(L351&lt;='Assumptions and Catalog'!$C$55,L351*'Assumptions and Catalog'!$H$55+'Assumptions and Catalog'!$E$55+'Assumptions and Catalog'!$F$55,IF(L351&lt;='Assumptions and Catalog'!$C$56,L351*'Assumptions and Catalog'!$H$56+'Assumptions and Catalog'!$E$56+'Assumptions and Catalog'!$F$56,IF(L351&lt;='Assumptions and Catalog'!$C$57,L351*'Assumptions and Catalog'!$H$57+'Assumptions and Catalog'!$E$57+'Assumptions and Catalog'!$F$57,"Out of range")))))))),IF(L351&lt;='Assumptions and Catalog'!$C$60,L351*'Assumptions and Catalog'!$H$60+'Assumptions and Catalog'!$E$60+'Assumptions and Catalog'!$F$60,IF(L351&lt;='Assumptions and Catalog'!$C$61,L351*'Assumptions and Catalog'!$H$61+'Assumptions and Catalog'!$E$61+'Assumptions and Catalog'!$F$61,IF(L351&lt;='Assumptions and Catalog'!$C$62,L351*'Assumptions and Catalog'!$H$62+'Assumptions and Catalog'!$E$62+'Assumptions and Catalog'!$F$62,IF(L351&lt;='Assumptions and Catalog'!$C$63,L351*'Assumptions and Catalog'!$H$63+'Assumptions and Catalog'!$E$63+'Assumptions and Catalog'!$F$63,IF(L351&lt;='Assumptions and Catalog'!$C$64,L351*'Assumptions and Catalog'!$H$64+'Assumptions and Catalog'!$E$64+'Assumptions and Catalog'!$F$64,IF(L351&lt;='Assumptions and Catalog'!$C$65,L351*'Assumptions and Catalog'!$H$65+'Assumptions and Catalog'!$E$65+'Assumptions and Catalog'!$F$65,"Out of range")))))))))*(1+'Assumptions and Catalog'!$C$8)^(A351-1),0)</f>
        <v>3714.3689969091</v>
      </c>
      <c r="O351" s="5" t="n">
        <f>M351-N351</f>
        <v>3152.85100309089</v>
      </c>
      <c r="P351" s="5" t="n">
        <f>C$55*(1-J$14)*(1-'Assumptions and Catalog'!$C$23)^R351</f>
        <v>0</v>
      </c>
      <c r="Q351" s="5" t="n">
        <f>IF(ISNUMBER(Inputs!$L$5),(IF(Inputs!$L$9="Actual flat rate",((D351+E351)*C351-G351)*Inputs!$L$10,IF(Inputs!$C$9="Residential",IF(((D351+E351)*C351-G351)&lt;='Assumptions and Catalog'!$C$50,((D351+E351)*C351-G351)*'Assumptions and Catalog'!$H$50+'Assumptions and Catalog'!$E$50+'Assumptions and Catalog'!$F$50,IF(((D351+E351)*C351-G351)&lt;='Assumptions and Catalog'!$C$51,((D351+E351)*C351-G351)*'Assumptions and Catalog'!$H$51+'Assumptions and Catalog'!$E$51+'Assumptions and Catalog'!$F$51,IF(((D351+E351)*C351-G351)&lt;='Assumptions and Catalog'!$C$52,((D351+E351)*C351-G351)*'Assumptions and Catalog'!$H$52+'Assumptions and Catalog'!$E$52+'Assumptions and Catalog'!$F$52,IF(((D351+E351)*C351-G351)&lt;='Assumptions and Catalog'!$C$53,((D351+E351)*C351-G351)*'Assumptions and Catalog'!$H$53+'Assumptions and Catalog'!$E$53+'Assumptions and Catalog'!$F$53,IF(((D351+E351)*C351-G351)&lt;='Assumptions and Catalog'!$C$54,((D351+E351)*C351-G351)*'Assumptions and Catalog'!$H$54+'Assumptions and Catalog'!$E$54+'Assumptions and Catalog'!$F$54,IF(((D351+E351)*C351-G351)&lt;='Assumptions and Catalog'!$C$55,((D351+E351)*C351-G351)*'Assumptions and Catalog'!$H$55+'Assumptions and Catalog'!$E$55+'Assumptions and Catalog'!$F$55,IF(((D351+E351)*C351-G351)&lt;='Assumptions and Catalog'!$C$56,((D351+E351)*C351-G351)*'Assumptions and Catalog'!$H$56+'Assumptions and Catalog'!$E$56+'Assumptions and Catalog'!$F$56,IF(((D351+E351)*C351-G351)&lt;='Assumptions and Catalog'!$C$57,((D351+E351)*C351-G351)*'Assumptions and Catalog'!$H$57+'Assumptions and Catalog'!$E$57+'Assumptions and Catalog'!$F$57,"Out of range")))))))),IF(((D351+E351)*C351-G351)&lt;='Assumptions and Catalog'!$C$60,((D351+E351)*C351-G351)*'Assumptions and Catalog'!$H$60+'Assumptions and Catalog'!$E$60+'Assumptions and Catalog'!$F$60,IF(((D351+E351)*C351-G351)&lt;='Assumptions and Catalog'!$C$61,((D351+E351)*C351-G351)*'Assumptions and Catalog'!$H$61+'Assumptions and Catalog'!$E$61+'Assumptions and Catalog'!$F$61,IF(((D351+E351)*C351-G351)&lt;='Assumptions and Catalog'!$C$62,((D351+E351)*C351-G351)*'Assumptions and Catalog'!$H$62+'Assumptions and Catalog'!$E$62+'Assumptions and Catalog'!$F$62,IF(((D351+E351)*C351-G351)&lt;='Assumptions and Catalog'!$C$63,((D351+E351)*C351-G351)*'Assumptions and Catalog'!$H$63+'Assumptions and Catalog'!$E$63+'Assumptions and Catalog'!$F$63,IF(((D351+E351)*C351-G351)&lt;='Assumptions and Catalog'!$C$64,((D351+E351)*C351-G351)*'Assumptions and Catalog'!$H$64+'Assumptions and Catalog'!$E$64+'Assumptions and Catalog'!$F$64,IF(((D351+E351)*C351-G351)&lt;='Assumptions and Catalog'!$C$65,((D351+E351)*C351-G351)*'Assumptions and Catalog'!$H$65+'Assumptions and Catalog'!$E$65+'Assumptions and Catalog'!$F$65,"Out of range")))))))))*(1+'Assumptions and Catalog'!$C$8)^(A351-1),0)</f>
        <v>3714.3689969091</v>
      </c>
      <c r="R351" s="5" t="n">
        <f>IF(AND('Assumptions and Catalog'!$C$19&gt;0,A351&gt;='Assumptions and Catalog'!$C$19),A351-'Assumptions and Catalog'!$C$19,A351-1)</f>
        <v>5</v>
      </c>
      <c r="S351" s="5" t="n">
        <f>F351+L351-(D351+E351)*C351-J351-K351-0</f>
        <v>0</v>
      </c>
      <c r="T351" s="5"/>
      <c r="U351" s="5"/>
    </row>
    <row r="352" ht="23.100000381469727" customHeight="1">
      <c r="A352" s="5" t="n">
        <v>16</v>
      </c>
      <c r="B352" s="5" t="n">
        <v>12</v>
      </c>
      <c r="C352" s="5" t="n">
        <f>DAY(DATE('Assumptions and Catalog'!$C$24+A352-1,B352+1,0))</f>
        <v>31</v>
      </c>
      <c r="D352" s="5" t="n">
        <f>IF(ISNUMBER(Inputs!$L$5),Inputs!$L$5*Inputs!$L$6,0)</f>
        <v>40.35</v>
      </c>
      <c r="E352" s="5" t="n">
        <f>IF(ISNUMBER(Inputs!$L$5),Inputs!$L$5-D352,0)</f>
        <v>40.35</v>
      </c>
      <c r="F352" s="5" t="n">
        <f>C$51*INDEX('Solar Production'!$D$20:$D$31,B352)*C352*(1-'Assumptions and Catalog'!$C$10)^(A352-1)</f>
        <v>1064.40394309841</v>
      </c>
      <c r="G352" s="5" t="n">
        <f>MIN(F352,D352*C352)</f>
        <v>1064.40394309841</v>
      </c>
      <c r="H352" s="5" t="n">
        <f>I352/('Assumptions and Catalog'!$C$11*'Assumptions and Catalog'!$C$12)</f>
        <v>0</v>
      </c>
      <c r="I352" s="5" t="n">
        <f>0</f>
        <v>0</v>
      </c>
      <c r="J352" s="5" t="n">
        <f>MAX(F352-G352-H352,0)</f>
        <v>0</v>
      </c>
      <c r="K352" s="5" t="n">
        <f>H352-I352</f>
        <v>0</v>
      </c>
      <c r="L352" s="5" t="n">
        <f>(D352+E352)*C352-G352-I352+0+0</f>
        <v>1437.29605690159</v>
      </c>
      <c r="M352" s="5" t="n">
        <f>IF(ISNUMBER(Inputs!$L$5),(IF(Inputs!$L$9="Actual flat rate",((D352+E352)*C352)*Inputs!$L$10,IF(Inputs!$C$9="Residential",IF(((D352+E352)*C352)&lt;='Assumptions and Catalog'!$C$50,((D352+E352)*C352)*'Assumptions and Catalog'!$H$50+'Assumptions and Catalog'!$E$50+'Assumptions and Catalog'!$F$50,IF(((D352+E352)*C352)&lt;='Assumptions and Catalog'!$C$51,((D352+E352)*C352)*'Assumptions and Catalog'!$H$51+'Assumptions and Catalog'!$E$51+'Assumptions and Catalog'!$F$51,IF(((D352+E352)*C352)&lt;='Assumptions and Catalog'!$C$52,((D352+E352)*C352)*'Assumptions and Catalog'!$H$52+'Assumptions and Catalog'!$E$52+'Assumptions and Catalog'!$F$52,IF(((D352+E352)*C352)&lt;='Assumptions and Catalog'!$C$53,((D352+E352)*C352)*'Assumptions and Catalog'!$H$53+'Assumptions and Catalog'!$E$53+'Assumptions and Catalog'!$F$53,IF(((D352+E352)*C352)&lt;='Assumptions and Catalog'!$C$54,((D352+E352)*C352)*'Assumptions and Catalog'!$H$54+'Assumptions and Catalog'!$E$54+'Assumptions and Catalog'!$F$54,IF(((D352+E352)*C352)&lt;='Assumptions and Catalog'!$C$55,((D352+E352)*C352)*'Assumptions and Catalog'!$H$55+'Assumptions and Catalog'!$E$55+'Assumptions and Catalog'!$F$55,IF(((D352+E352)*C352)&lt;='Assumptions and Catalog'!$C$56,((D352+E352)*C352)*'Assumptions and Catalog'!$H$56+'Assumptions and Catalog'!$E$56+'Assumptions and Catalog'!$F$56,IF(((D352+E352)*C352)&lt;='Assumptions and Catalog'!$C$57,((D352+E352)*C352)*'Assumptions and Catalog'!$H$57+'Assumptions and Catalog'!$E$57+'Assumptions and Catalog'!$F$57,"Out of range")))))))),IF(((D352+E352)*C352)&lt;='Assumptions and Catalog'!$C$60,((D352+E352)*C352)*'Assumptions and Catalog'!$H$60+'Assumptions and Catalog'!$E$60+'Assumptions and Catalog'!$F$60,IF(((D352+E352)*C352)&lt;='Assumptions and Catalog'!$C$61,((D352+E352)*C352)*'Assumptions and Catalog'!$H$61+'Assumptions and Catalog'!$E$61+'Assumptions and Catalog'!$F$61,IF(((D352+E352)*C352)&lt;='Assumptions and Catalog'!$C$62,((D352+E352)*C352)*'Assumptions and Catalog'!$H$62+'Assumptions and Catalog'!$E$62+'Assumptions and Catalog'!$F$62,IF(((D352+E352)*C352)&lt;='Assumptions and Catalog'!$C$63,((D352+E352)*C352)*'Assumptions and Catalog'!$H$63+'Assumptions and Catalog'!$E$63+'Assumptions and Catalog'!$F$63,IF(((D352+E352)*C352)&lt;='Assumptions and Catalog'!$C$64,((D352+E352)*C352)*'Assumptions and Catalog'!$H$64+'Assumptions and Catalog'!$E$64+'Assumptions and Catalog'!$F$64,IF(((D352+E352)*C352)&lt;='Assumptions and Catalog'!$C$65,((D352+E352)*C352)*'Assumptions and Catalog'!$H$65+'Assumptions and Catalog'!$E$65+'Assumptions and Catalog'!$F$65,"Out of range")))))))))*(1+'Assumptions and Catalog'!$C$8)^(A352-1),0)</f>
        <v>7094.794</v>
      </c>
      <c r="N352" s="5" t="n">
        <f>IF(ISNUMBER(Inputs!$L$5),(IF(Inputs!$L$9="Actual flat rate",L352*Inputs!$L$10,IF(Inputs!$C$9="Residential",IF(L352&lt;='Assumptions and Catalog'!$C$50,L352*'Assumptions and Catalog'!$H$50+'Assumptions and Catalog'!$E$50+'Assumptions and Catalog'!$F$50,IF(L352&lt;='Assumptions and Catalog'!$C$51,L352*'Assumptions and Catalog'!$H$51+'Assumptions and Catalog'!$E$51+'Assumptions and Catalog'!$F$51,IF(L352&lt;='Assumptions and Catalog'!$C$52,L352*'Assumptions and Catalog'!$H$52+'Assumptions and Catalog'!$E$52+'Assumptions and Catalog'!$F$52,IF(L352&lt;='Assumptions and Catalog'!$C$53,L352*'Assumptions and Catalog'!$H$53+'Assumptions and Catalog'!$E$53+'Assumptions and Catalog'!$F$53,IF(L352&lt;='Assumptions and Catalog'!$C$54,L352*'Assumptions and Catalog'!$H$54+'Assumptions and Catalog'!$E$54+'Assumptions and Catalog'!$F$54,IF(L352&lt;='Assumptions and Catalog'!$C$55,L352*'Assumptions and Catalog'!$H$55+'Assumptions and Catalog'!$E$55+'Assumptions and Catalog'!$F$55,IF(L352&lt;='Assumptions and Catalog'!$C$56,L352*'Assumptions and Catalog'!$H$56+'Assumptions and Catalog'!$E$56+'Assumptions and Catalog'!$F$56,IF(L352&lt;='Assumptions and Catalog'!$C$57,L352*'Assumptions and Catalog'!$H$57+'Assumptions and Catalog'!$E$57+'Assumptions and Catalog'!$F$57,"Out of range")))))))),IF(L352&lt;='Assumptions and Catalog'!$C$60,L352*'Assumptions and Catalog'!$H$60+'Assumptions and Catalog'!$E$60+'Assumptions and Catalog'!$F$60,IF(L352&lt;='Assumptions and Catalog'!$C$61,L352*'Assumptions and Catalog'!$H$61+'Assumptions and Catalog'!$E$61+'Assumptions and Catalog'!$F$61,IF(L352&lt;='Assumptions and Catalog'!$C$62,L352*'Assumptions and Catalog'!$H$62+'Assumptions and Catalog'!$E$62+'Assumptions and Catalog'!$F$62,IF(L352&lt;='Assumptions and Catalog'!$C$63,L352*'Assumptions and Catalog'!$H$63+'Assumptions and Catalog'!$E$63+'Assumptions and Catalog'!$F$63,IF(L352&lt;='Assumptions and Catalog'!$C$64,L352*'Assumptions and Catalog'!$H$64+'Assumptions and Catalog'!$E$64+'Assumptions and Catalog'!$F$64,IF(L352&lt;='Assumptions and Catalog'!$C$65,L352*'Assumptions and Catalog'!$H$65+'Assumptions and Catalog'!$E$65+'Assumptions and Catalog'!$F$65,"Out of range")))))))))*(1+'Assumptions and Catalog'!$C$8)^(A352-1),0)</f>
        <v>4093.17488046249</v>
      </c>
      <c r="O352" s="5" t="n">
        <f>M352-N352</f>
        <v>3001.61911953751</v>
      </c>
      <c r="P352" s="5" t="n">
        <f>C$55*(1-J$14)*(1-'Assumptions and Catalog'!$C$23)^R352</f>
        <v>0</v>
      </c>
      <c r="Q352" s="5" t="n">
        <f>IF(ISNUMBER(Inputs!$L$5),(IF(Inputs!$L$9="Actual flat rate",((D352+E352)*C352-G352)*Inputs!$L$10,IF(Inputs!$C$9="Residential",IF(((D352+E352)*C352-G352)&lt;='Assumptions and Catalog'!$C$50,((D352+E352)*C352-G352)*'Assumptions and Catalog'!$H$50+'Assumptions and Catalog'!$E$50+'Assumptions and Catalog'!$F$50,IF(((D352+E352)*C352-G352)&lt;='Assumptions and Catalog'!$C$51,((D352+E352)*C352-G352)*'Assumptions and Catalog'!$H$51+'Assumptions and Catalog'!$E$51+'Assumptions and Catalog'!$F$51,IF(((D352+E352)*C352-G352)&lt;='Assumptions and Catalog'!$C$52,((D352+E352)*C352-G352)*'Assumptions and Catalog'!$H$52+'Assumptions and Catalog'!$E$52+'Assumptions and Catalog'!$F$52,IF(((D352+E352)*C352-G352)&lt;='Assumptions and Catalog'!$C$53,((D352+E352)*C352-G352)*'Assumptions and Catalog'!$H$53+'Assumptions and Catalog'!$E$53+'Assumptions and Catalog'!$F$53,IF(((D352+E352)*C352-G352)&lt;='Assumptions and Catalog'!$C$54,((D352+E352)*C352-G352)*'Assumptions and Catalog'!$H$54+'Assumptions and Catalog'!$E$54+'Assumptions and Catalog'!$F$54,IF(((D352+E352)*C352-G352)&lt;='Assumptions and Catalog'!$C$55,((D352+E352)*C352-G352)*'Assumptions and Catalog'!$H$55+'Assumptions and Catalog'!$E$55+'Assumptions and Catalog'!$F$55,IF(((D352+E352)*C352-G352)&lt;='Assumptions and Catalog'!$C$56,((D352+E352)*C352-G352)*'Assumptions and Catalog'!$H$56+'Assumptions and Catalog'!$E$56+'Assumptions and Catalog'!$F$56,IF(((D352+E352)*C352-G352)&lt;='Assumptions and Catalog'!$C$57,((D352+E352)*C352-G352)*'Assumptions and Catalog'!$H$57+'Assumptions and Catalog'!$E$57+'Assumptions and Catalog'!$F$57,"Out of range")))))))),IF(((D352+E352)*C352-G352)&lt;='Assumptions and Catalog'!$C$60,((D352+E352)*C352-G352)*'Assumptions and Catalog'!$H$60+'Assumptions and Catalog'!$E$60+'Assumptions and Catalog'!$F$60,IF(((D352+E352)*C352-G352)&lt;='Assumptions and Catalog'!$C$61,((D352+E352)*C352-G352)*'Assumptions and Catalog'!$H$61+'Assumptions and Catalog'!$E$61+'Assumptions and Catalog'!$F$61,IF(((D352+E352)*C352-G352)&lt;='Assumptions and Catalog'!$C$62,((D352+E352)*C352-G352)*'Assumptions and Catalog'!$H$62+'Assumptions and Catalog'!$E$62+'Assumptions and Catalog'!$F$62,IF(((D352+E352)*C352-G352)&lt;='Assumptions and Catalog'!$C$63,((D352+E352)*C352-G352)*'Assumptions and Catalog'!$H$63+'Assumptions and Catalog'!$E$63+'Assumptions and Catalog'!$F$63,IF(((D352+E352)*C352-G352)&lt;='Assumptions and Catalog'!$C$64,((D352+E352)*C352-G352)*'Assumptions and Catalog'!$H$64+'Assumptions and Catalog'!$E$64+'Assumptions and Catalog'!$F$64,IF(((D352+E352)*C352-G352)&lt;='Assumptions and Catalog'!$C$65,((D352+E352)*C352-G352)*'Assumptions and Catalog'!$H$65+'Assumptions and Catalog'!$E$65+'Assumptions and Catalog'!$F$65,"Out of range")))))))))*(1+'Assumptions and Catalog'!$C$8)^(A352-1),0)</f>
        <v>4093.17488046249</v>
      </c>
      <c r="R352" s="5" t="n">
        <f>IF(AND('Assumptions and Catalog'!$C$19&gt;0,A352&gt;='Assumptions and Catalog'!$C$19),A352-'Assumptions and Catalog'!$C$19,A352-1)</f>
        <v>5</v>
      </c>
      <c r="S352" s="5" t="n">
        <f>F352+L352-(D352+E352)*C352-J352-K352-0</f>
        <v>0</v>
      </c>
      <c r="T352" s="5"/>
      <c r="U352" s="5"/>
    </row>
    <row r="353" ht="23.100000381469727" customHeight="1">
      <c r="A353" s="5" t="n">
        <v>17</v>
      </c>
      <c r="B353" s="5" t="n">
        <v>1</v>
      </c>
      <c r="C353" s="5" t="n">
        <f>DAY(DATE('Assumptions and Catalog'!$C$24+A353-1,B353+1,0))</f>
        <v>31</v>
      </c>
      <c r="D353" s="5" t="n">
        <f>IF(ISNUMBER(Inputs!$L$5),Inputs!$L$5*Inputs!$L$6,0)</f>
        <v>40.35</v>
      </c>
      <c r="E353" s="5" t="n">
        <f>IF(ISNUMBER(Inputs!$L$5),Inputs!$L$5-D353,0)</f>
        <v>40.35</v>
      </c>
      <c r="F353" s="5" t="n">
        <f>C$51*INDEX('Solar Production'!$D$20:$D$31,B353)*C353*(1-'Assumptions and Catalog'!$C$10)^(A353-1)</f>
        <v>1066.39153788479</v>
      </c>
      <c r="G353" s="5" t="n">
        <f>MIN(F353,D353*C353)</f>
        <v>1066.39153788479</v>
      </c>
      <c r="H353" s="5" t="n">
        <f>I353/('Assumptions and Catalog'!$C$11*'Assumptions and Catalog'!$C$12)</f>
        <v>0</v>
      </c>
      <c r="I353" s="5" t="n">
        <f>0</f>
        <v>0</v>
      </c>
      <c r="J353" s="5" t="n">
        <f>MAX(F353-G353-H353,0)</f>
        <v>0</v>
      </c>
      <c r="K353" s="5" t="n">
        <f>H353-I353</f>
        <v>0</v>
      </c>
      <c r="L353" s="5" t="n">
        <f>(D353+E353)*C353-G353-I353+0+0</f>
        <v>1435.30846211521</v>
      </c>
      <c r="M353" s="5" t="n">
        <f>IF(ISNUMBER(Inputs!$L$5),(IF(Inputs!$L$9="Actual flat rate",((D353+E353)*C353)*Inputs!$L$10,IF(Inputs!$C$9="Residential",IF(((D353+E353)*C353)&lt;='Assumptions and Catalog'!$C$50,((D353+E353)*C353)*'Assumptions and Catalog'!$H$50+'Assumptions and Catalog'!$E$50+'Assumptions and Catalog'!$F$50,IF(((D353+E353)*C353)&lt;='Assumptions and Catalog'!$C$51,((D353+E353)*C353)*'Assumptions and Catalog'!$H$51+'Assumptions and Catalog'!$E$51+'Assumptions and Catalog'!$F$51,IF(((D353+E353)*C353)&lt;='Assumptions and Catalog'!$C$52,((D353+E353)*C353)*'Assumptions and Catalog'!$H$52+'Assumptions and Catalog'!$E$52+'Assumptions and Catalog'!$F$52,IF(((D353+E353)*C353)&lt;='Assumptions and Catalog'!$C$53,((D353+E353)*C353)*'Assumptions and Catalog'!$H$53+'Assumptions and Catalog'!$E$53+'Assumptions and Catalog'!$F$53,IF(((D353+E353)*C353)&lt;='Assumptions and Catalog'!$C$54,((D353+E353)*C353)*'Assumptions and Catalog'!$H$54+'Assumptions and Catalog'!$E$54+'Assumptions and Catalog'!$F$54,IF(((D353+E353)*C353)&lt;='Assumptions and Catalog'!$C$55,((D353+E353)*C353)*'Assumptions and Catalog'!$H$55+'Assumptions and Catalog'!$E$55+'Assumptions and Catalog'!$F$55,IF(((D353+E353)*C353)&lt;='Assumptions and Catalog'!$C$56,((D353+E353)*C353)*'Assumptions and Catalog'!$H$56+'Assumptions and Catalog'!$E$56+'Assumptions and Catalog'!$F$56,IF(((D353+E353)*C353)&lt;='Assumptions and Catalog'!$C$57,((D353+E353)*C353)*'Assumptions and Catalog'!$H$57+'Assumptions and Catalog'!$E$57+'Assumptions and Catalog'!$F$57,"Out of range")))))))),IF(((D353+E353)*C353)&lt;='Assumptions and Catalog'!$C$60,((D353+E353)*C353)*'Assumptions and Catalog'!$H$60+'Assumptions and Catalog'!$E$60+'Assumptions and Catalog'!$F$60,IF(((D353+E353)*C353)&lt;='Assumptions and Catalog'!$C$61,((D353+E353)*C353)*'Assumptions and Catalog'!$H$61+'Assumptions and Catalog'!$E$61+'Assumptions and Catalog'!$F$61,IF(((D353+E353)*C353)&lt;='Assumptions and Catalog'!$C$62,((D353+E353)*C353)*'Assumptions and Catalog'!$H$62+'Assumptions and Catalog'!$E$62+'Assumptions and Catalog'!$F$62,IF(((D353+E353)*C353)&lt;='Assumptions and Catalog'!$C$63,((D353+E353)*C353)*'Assumptions and Catalog'!$H$63+'Assumptions and Catalog'!$E$63+'Assumptions and Catalog'!$F$63,IF(((D353+E353)*C353)&lt;='Assumptions and Catalog'!$C$64,((D353+E353)*C353)*'Assumptions and Catalog'!$H$64+'Assumptions and Catalog'!$E$64+'Assumptions and Catalog'!$F$64,IF(((D353+E353)*C353)&lt;='Assumptions and Catalog'!$C$65,((D353+E353)*C353)*'Assumptions and Catalog'!$H$65+'Assumptions and Catalog'!$E$65+'Assumptions and Catalog'!$F$65,"Out of range")))))))))*(1+'Assumptions and Catalog'!$C$8)^(A353-1),0)</f>
        <v>7094.794</v>
      </c>
      <c r="N353" s="5" t="n">
        <f>IF(ISNUMBER(Inputs!$L$5),(IF(Inputs!$L$9="Actual flat rate",L353*Inputs!$L$10,IF(Inputs!$C$9="Residential",IF(L353&lt;='Assumptions and Catalog'!$C$50,L353*'Assumptions and Catalog'!$H$50+'Assumptions and Catalog'!$E$50+'Assumptions and Catalog'!$F$50,IF(L353&lt;='Assumptions and Catalog'!$C$51,L353*'Assumptions and Catalog'!$H$51+'Assumptions and Catalog'!$E$51+'Assumptions and Catalog'!$F$51,IF(L353&lt;='Assumptions and Catalog'!$C$52,L353*'Assumptions and Catalog'!$H$52+'Assumptions and Catalog'!$E$52+'Assumptions and Catalog'!$F$52,IF(L353&lt;='Assumptions and Catalog'!$C$53,L353*'Assumptions and Catalog'!$H$53+'Assumptions and Catalog'!$E$53+'Assumptions and Catalog'!$F$53,IF(L353&lt;='Assumptions and Catalog'!$C$54,L353*'Assumptions and Catalog'!$H$54+'Assumptions and Catalog'!$E$54+'Assumptions and Catalog'!$F$54,IF(L353&lt;='Assumptions and Catalog'!$C$55,L353*'Assumptions and Catalog'!$H$55+'Assumptions and Catalog'!$E$55+'Assumptions and Catalog'!$F$55,IF(L353&lt;='Assumptions and Catalog'!$C$56,L353*'Assumptions and Catalog'!$H$56+'Assumptions and Catalog'!$E$56+'Assumptions and Catalog'!$F$56,IF(L353&lt;='Assumptions and Catalog'!$C$57,L353*'Assumptions and Catalog'!$H$57+'Assumptions and Catalog'!$E$57+'Assumptions and Catalog'!$F$57,"Out of range")))))))),IF(L353&lt;='Assumptions and Catalog'!$C$60,L353*'Assumptions and Catalog'!$H$60+'Assumptions and Catalog'!$E$60+'Assumptions and Catalog'!$F$60,IF(L353&lt;='Assumptions and Catalog'!$C$61,L353*'Assumptions and Catalog'!$H$61+'Assumptions and Catalog'!$E$61+'Assumptions and Catalog'!$F$61,IF(L353&lt;='Assumptions and Catalog'!$C$62,L353*'Assumptions and Catalog'!$H$62+'Assumptions and Catalog'!$E$62+'Assumptions and Catalog'!$F$62,IF(L353&lt;='Assumptions and Catalog'!$C$63,L353*'Assumptions and Catalog'!$H$63+'Assumptions and Catalog'!$E$63+'Assumptions and Catalog'!$F$63,IF(L353&lt;='Assumptions and Catalog'!$C$64,L353*'Assumptions and Catalog'!$H$64+'Assumptions and Catalog'!$E$64+'Assumptions and Catalog'!$F$64,IF(L353&lt;='Assumptions and Catalog'!$C$65,L353*'Assumptions and Catalog'!$H$65+'Assumptions and Catalog'!$E$65+'Assumptions and Catalog'!$F$65,"Out of range")))))))))*(1+'Assumptions and Catalog'!$C$8)^(A353-1),0)</f>
        <v>4087.56986316489</v>
      </c>
      <c r="O353" s="5" t="n">
        <f>M353-N353</f>
        <v>3007.22413683511</v>
      </c>
      <c r="P353" s="5" t="n">
        <f>C$55*(1-J$14)*(1-'Assumptions and Catalog'!$C$23)^R353</f>
        <v>0</v>
      </c>
      <c r="Q353" s="5" t="n">
        <f>IF(ISNUMBER(Inputs!$L$5),(IF(Inputs!$L$9="Actual flat rate",((D353+E353)*C353-G353)*Inputs!$L$10,IF(Inputs!$C$9="Residential",IF(((D353+E353)*C353-G353)&lt;='Assumptions and Catalog'!$C$50,((D353+E353)*C353-G353)*'Assumptions and Catalog'!$H$50+'Assumptions and Catalog'!$E$50+'Assumptions and Catalog'!$F$50,IF(((D353+E353)*C353-G353)&lt;='Assumptions and Catalog'!$C$51,((D353+E353)*C353-G353)*'Assumptions and Catalog'!$H$51+'Assumptions and Catalog'!$E$51+'Assumptions and Catalog'!$F$51,IF(((D353+E353)*C353-G353)&lt;='Assumptions and Catalog'!$C$52,((D353+E353)*C353-G353)*'Assumptions and Catalog'!$H$52+'Assumptions and Catalog'!$E$52+'Assumptions and Catalog'!$F$52,IF(((D353+E353)*C353-G353)&lt;='Assumptions and Catalog'!$C$53,((D353+E353)*C353-G353)*'Assumptions and Catalog'!$H$53+'Assumptions and Catalog'!$E$53+'Assumptions and Catalog'!$F$53,IF(((D353+E353)*C353-G353)&lt;='Assumptions and Catalog'!$C$54,((D353+E353)*C353-G353)*'Assumptions and Catalog'!$H$54+'Assumptions and Catalog'!$E$54+'Assumptions and Catalog'!$F$54,IF(((D353+E353)*C353-G353)&lt;='Assumptions and Catalog'!$C$55,((D353+E353)*C353-G353)*'Assumptions and Catalog'!$H$55+'Assumptions and Catalog'!$E$55+'Assumptions and Catalog'!$F$55,IF(((D353+E353)*C353-G353)&lt;='Assumptions and Catalog'!$C$56,((D353+E353)*C353-G353)*'Assumptions and Catalog'!$H$56+'Assumptions and Catalog'!$E$56+'Assumptions and Catalog'!$F$56,IF(((D353+E353)*C353-G353)&lt;='Assumptions and Catalog'!$C$57,((D353+E353)*C353-G353)*'Assumptions and Catalog'!$H$57+'Assumptions and Catalog'!$E$57+'Assumptions and Catalog'!$F$57,"Out of range")))))))),IF(((D353+E353)*C353-G353)&lt;='Assumptions and Catalog'!$C$60,((D353+E353)*C353-G353)*'Assumptions and Catalog'!$H$60+'Assumptions and Catalog'!$E$60+'Assumptions and Catalog'!$F$60,IF(((D353+E353)*C353-G353)&lt;='Assumptions and Catalog'!$C$61,((D353+E353)*C353-G353)*'Assumptions and Catalog'!$H$61+'Assumptions and Catalog'!$E$61+'Assumptions and Catalog'!$F$61,IF(((D353+E353)*C353-G353)&lt;='Assumptions and Catalog'!$C$62,((D353+E353)*C353-G353)*'Assumptions and Catalog'!$H$62+'Assumptions and Catalog'!$E$62+'Assumptions and Catalog'!$F$62,IF(((D353+E353)*C353-G353)&lt;='Assumptions and Catalog'!$C$63,((D353+E353)*C353-G353)*'Assumptions and Catalog'!$H$63+'Assumptions and Catalog'!$E$63+'Assumptions and Catalog'!$F$63,IF(((D353+E353)*C353-G353)&lt;='Assumptions and Catalog'!$C$64,((D353+E353)*C353-G353)*'Assumptions and Catalog'!$H$64+'Assumptions and Catalog'!$E$64+'Assumptions and Catalog'!$F$64,IF(((D353+E353)*C353-G353)&lt;='Assumptions and Catalog'!$C$65,((D353+E353)*C353-G353)*'Assumptions and Catalog'!$H$65+'Assumptions and Catalog'!$E$65+'Assumptions and Catalog'!$F$65,"Out of range")))))))))*(1+'Assumptions and Catalog'!$C$8)^(A353-1),0)</f>
        <v>4087.56986316489</v>
      </c>
      <c r="R353" s="5" t="n">
        <f>IF(AND('Assumptions and Catalog'!$C$19&gt;0,A353&gt;='Assumptions and Catalog'!$C$19),A353-'Assumptions and Catalog'!$C$19,A353-1)</f>
        <v>6</v>
      </c>
      <c r="S353" s="5" t="n">
        <f>F353+L353-(D353+E353)*C353-J353-K353-0</f>
        <v>0</v>
      </c>
      <c r="T353" s="5"/>
      <c r="U353" s="5"/>
    </row>
    <row r="354" ht="23.100000381469727" customHeight="1">
      <c r="A354" s="5" t="n">
        <v>17</v>
      </c>
      <c r="B354" s="5" t="n">
        <v>2</v>
      </c>
      <c r="C354" s="5" t="n">
        <f>DAY(DATE('Assumptions and Catalog'!$C$24+A354-1,B354+1,0))</f>
        <v>28</v>
      </c>
      <c r="D354" s="5" t="n">
        <f>IF(ISNUMBER(Inputs!$L$5),Inputs!$L$5*Inputs!$L$6,0)</f>
        <v>40.35</v>
      </c>
      <c r="E354" s="5" t="n">
        <f>IF(ISNUMBER(Inputs!$L$5),Inputs!$L$5-D354,0)</f>
        <v>40.35</v>
      </c>
      <c r="F354" s="5" t="n">
        <f>C$51*INDEX('Solar Production'!$D$20:$D$31,B354)*C354*(1-'Assumptions and Catalog'!$C$10)^(A354-1)</f>
        <v>1051.36621918649</v>
      </c>
      <c r="G354" s="5" t="n">
        <f>MIN(F354,D354*C354)</f>
        <v>1051.36621918649</v>
      </c>
      <c r="H354" s="5" t="n">
        <f>I354/('Assumptions and Catalog'!$C$11*'Assumptions and Catalog'!$C$12)</f>
        <v>0</v>
      </c>
      <c r="I354" s="5" t="n">
        <f>0</f>
        <v>0</v>
      </c>
      <c r="J354" s="5" t="n">
        <f>MAX(F354-G354-H354,0)</f>
        <v>0</v>
      </c>
      <c r="K354" s="5" t="n">
        <f>H354-I354</f>
        <v>0</v>
      </c>
      <c r="L354" s="5" t="n">
        <f>(D354+E354)*C354-G354-I354+0+0</f>
        <v>1208.23378081351</v>
      </c>
      <c r="M354" s="5" t="n">
        <f>IF(ISNUMBER(Inputs!$L$5),(IF(Inputs!$L$9="Actual flat rate",((D354+E354)*C354)*Inputs!$L$10,IF(Inputs!$C$9="Residential",IF(((D354+E354)*C354)&lt;='Assumptions and Catalog'!$C$50,((D354+E354)*C354)*'Assumptions and Catalog'!$H$50+'Assumptions and Catalog'!$E$50+'Assumptions and Catalog'!$F$50,IF(((D354+E354)*C354)&lt;='Assumptions and Catalog'!$C$51,((D354+E354)*C354)*'Assumptions and Catalog'!$H$51+'Assumptions and Catalog'!$E$51+'Assumptions and Catalog'!$F$51,IF(((D354+E354)*C354)&lt;='Assumptions and Catalog'!$C$52,((D354+E354)*C354)*'Assumptions and Catalog'!$H$52+'Assumptions and Catalog'!$E$52+'Assumptions and Catalog'!$F$52,IF(((D354+E354)*C354)&lt;='Assumptions and Catalog'!$C$53,((D354+E354)*C354)*'Assumptions and Catalog'!$H$53+'Assumptions and Catalog'!$E$53+'Assumptions and Catalog'!$F$53,IF(((D354+E354)*C354)&lt;='Assumptions and Catalog'!$C$54,((D354+E354)*C354)*'Assumptions and Catalog'!$H$54+'Assumptions and Catalog'!$E$54+'Assumptions and Catalog'!$F$54,IF(((D354+E354)*C354)&lt;='Assumptions and Catalog'!$C$55,((D354+E354)*C354)*'Assumptions and Catalog'!$H$55+'Assumptions and Catalog'!$E$55+'Assumptions and Catalog'!$F$55,IF(((D354+E354)*C354)&lt;='Assumptions and Catalog'!$C$56,((D354+E354)*C354)*'Assumptions and Catalog'!$H$56+'Assumptions and Catalog'!$E$56+'Assumptions and Catalog'!$F$56,IF(((D354+E354)*C354)&lt;='Assumptions and Catalog'!$C$57,((D354+E354)*C354)*'Assumptions and Catalog'!$H$57+'Assumptions and Catalog'!$E$57+'Assumptions and Catalog'!$F$57,"Out of range")))))))),IF(((D354+E354)*C354)&lt;='Assumptions and Catalog'!$C$60,((D354+E354)*C354)*'Assumptions and Catalog'!$H$60+'Assumptions and Catalog'!$E$60+'Assumptions and Catalog'!$F$60,IF(((D354+E354)*C354)&lt;='Assumptions and Catalog'!$C$61,((D354+E354)*C354)*'Assumptions and Catalog'!$H$61+'Assumptions and Catalog'!$E$61+'Assumptions and Catalog'!$F$61,IF(((D354+E354)*C354)&lt;='Assumptions and Catalog'!$C$62,((D354+E354)*C354)*'Assumptions and Catalog'!$H$62+'Assumptions and Catalog'!$E$62+'Assumptions and Catalog'!$F$62,IF(((D354+E354)*C354)&lt;='Assumptions and Catalog'!$C$63,((D354+E354)*C354)*'Assumptions and Catalog'!$H$63+'Assumptions and Catalog'!$E$63+'Assumptions and Catalog'!$F$63,IF(((D354+E354)*C354)&lt;='Assumptions and Catalog'!$C$64,((D354+E354)*C354)*'Assumptions and Catalog'!$H$64+'Assumptions and Catalog'!$E$64+'Assumptions and Catalog'!$F$64,IF(((D354+E354)*C354)&lt;='Assumptions and Catalog'!$C$65,((D354+E354)*C354)*'Assumptions and Catalog'!$H$65+'Assumptions and Catalog'!$E$65+'Assumptions and Catalog'!$F$65,"Out of range")))))))))*(1+'Assumptions and Catalog'!$C$8)^(A354-1),0)</f>
        <v>6412.072</v>
      </c>
      <c r="N354" s="5" t="n">
        <f>IF(ISNUMBER(Inputs!$L$5),(IF(Inputs!$L$9="Actual flat rate",L354*Inputs!$L$10,IF(Inputs!$C$9="Residential",IF(L354&lt;='Assumptions and Catalog'!$C$50,L354*'Assumptions and Catalog'!$H$50+'Assumptions and Catalog'!$E$50+'Assumptions and Catalog'!$F$50,IF(L354&lt;='Assumptions and Catalog'!$C$51,L354*'Assumptions and Catalog'!$H$51+'Assumptions and Catalog'!$E$51+'Assumptions and Catalog'!$F$51,IF(L354&lt;='Assumptions and Catalog'!$C$52,L354*'Assumptions and Catalog'!$H$52+'Assumptions and Catalog'!$E$52+'Assumptions and Catalog'!$F$52,IF(L354&lt;='Assumptions and Catalog'!$C$53,L354*'Assumptions and Catalog'!$H$53+'Assumptions and Catalog'!$E$53+'Assumptions and Catalog'!$F$53,IF(L354&lt;='Assumptions and Catalog'!$C$54,L354*'Assumptions and Catalog'!$H$54+'Assumptions and Catalog'!$E$54+'Assumptions and Catalog'!$F$54,IF(L354&lt;='Assumptions and Catalog'!$C$55,L354*'Assumptions and Catalog'!$H$55+'Assumptions and Catalog'!$E$55+'Assumptions and Catalog'!$F$55,IF(L354&lt;='Assumptions and Catalog'!$C$56,L354*'Assumptions and Catalog'!$H$56+'Assumptions and Catalog'!$E$56+'Assumptions and Catalog'!$F$56,IF(L354&lt;='Assumptions and Catalog'!$C$57,L354*'Assumptions and Catalog'!$H$57+'Assumptions and Catalog'!$E$57+'Assumptions and Catalog'!$F$57,"Out of range")))))))),IF(L354&lt;='Assumptions and Catalog'!$C$60,L354*'Assumptions and Catalog'!$H$60+'Assumptions and Catalog'!$E$60+'Assumptions and Catalog'!$F$60,IF(L354&lt;='Assumptions and Catalog'!$C$61,L354*'Assumptions and Catalog'!$H$61+'Assumptions and Catalog'!$E$61+'Assumptions and Catalog'!$F$61,IF(L354&lt;='Assumptions and Catalog'!$C$62,L354*'Assumptions and Catalog'!$H$62+'Assumptions and Catalog'!$E$62+'Assumptions and Catalog'!$F$62,IF(L354&lt;='Assumptions and Catalog'!$C$63,L354*'Assumptions and Catalog'!$H$63+'Assumptions and Catalog'!$E$63+'Assumptions and Catalog'!$F$63,IF(L354&lt;='Assumptions and Catalog'!$C$64,L354*'Assumptions and Catalog'!$H$64+'Assumptions and Catalog'!$E$64+'Assumptions and Catalog'!$F$64,IF(L354&lt;='Assumptions and Catalog'!$C$65,L354*'Assumptions and Catalog'!$H$65+'Assumptions and Catalog'!$E$65+'Assumptions and Catalog'!$F$65,"Out of range")))))))))*(1+'Assumptions and Catalog'!$C$8)^(A354-1),0)</f>
        <v>3447.2192618941</v>
      </c>
      <c r="O354" s="5" t="n">
        <f>M354-N354</f>
        <v>2964.8527381059</v>
      </c>
      <c r="P354" s="5" t="n">
        <f>C$55*(1-J$14)*(1-'Assumptions and Catalog'!$C$23)^R354</f>
        <v>0</v>
      </c>
      <c r="Q354" s="5" t="n">
        <f>IF(ISNUMBER(Inputs!$L$5),(IF(Inputs!$L$9="Actual flat rate",((D354+E354)*C354-G354)*Inputs!$L$10,IF(Inputs!$C$9="Residential",IF(((D354+E354)*C354-G354)&lt;='Assumptions and Catalog'!$C$50,((D354+E354)*C354-G354)*'Assumptions and Catalog'!$H$50+'Assumptions and Catalog'!$E$50+'Assumptions and Catalog'!$F$50,IF(((D354+E354)*C354-G354)&lt;='Assumptions and Catalog'!$C$51,((D354+E354)*C354-G354)*'Assumptions and Catalog'!$H$51+'Assumptions and Catalog'!$E$51+'Assumptions and Catalog'!$F$51,IF(((D354+E354)*C354-G354)&lt;='Assumptions and Catalog'!$C$52,((D354+E354)*C354-G354)*'Assumptions and Catalog'!$H$52+'Assumptions and Catalog'!$E$52+'Assumptions and Catalog'!$F$52,IF(((D354+E354)*C354-G354)&lt;='Assumptions and Catalog'!$C$53,((D354+E354)*C354-G354)*'Assumptions and Catalog'!$H$53+'Assumptions and Catalog'!$E$53+'Assumptions and Catalog'!$F$53,IF(((D354+E354)*C354-G354)&lt;='Assumptions and Catalog'!$C$54,((D354+E354)*C354-G354)*'Assumptions and Catalog'!$H$54+'Assumptions and Catalog'!$E$54+'Assumptions and Catalog'!$F$54,IF(((D354+E354)*C354-G354)&lt;='Assumptions and Catalog'!$C$55,((D354+E354)*C354-G354)*'Assumptions and Catalog'!$H$55+'Assumptions and Catalog'!$E$55+'Assumptions and Catalog'!$F$55,IF(((D354+E354)*C354-G354)&lt;='Assumptions and Catalog'!$C$56,((D354+E354)*C354-G354)*'Assumptions and Catalog'!$H$56+'Assumptions and Catalog'!$E$56+'Assumptions and Catalog'!$F$56,IF(((D354+E354)*C354-G354)&lt;='Assumptions and Catalog'!$C$57,((D354+E354)*C354-G354)*'Assumptions and Catalog'!$H$57+'Assumptions and Catalog'!$E$57+'Assumptions and Catalog'!$F$57,"Out of range")))))))),IF(((D354+E354)*C354-G354)&lt;='Assumptions and Catalog'!$C$60,((D354+E354)*C354-G354)*'Assumptions and Catalog'!$H$60+'Assumptions and Catalog'!$E$60+'Assumptions and Catalog'!$F$60,IF(((D354+E354)*C354-G354)&lt;='Assumptions and Catalog'!$C$61,((D354+E354)*C354-G354)*'Assumptions and Catalog'!$H$61+'Assumptions and Catalog'!$E$61+'Assumptions and Catalog'!$F$61,IF(((D354+E354)*C354-G354)&lt;='Assumptions and Catalog'!$C$62,((D354+E354)*C354-G354)*'Assumptions and Catalog'!$H$62+'Assumptions and Catalog'!$E$62+'Assumptions and Catalog'!$F$62,IF(((D354+E354)*C354-G354)&lt;='Assumptions and Catalog'!$C$63,((D354+E354)*C354-G354)*'Assumptions and Catalog'!$H$63+'Assumptions and Catalog'!$E$63+'Assumptions and Catalog'!$F$63,IF(((D354+E354)*C354-G354)&lt;='Assumptions and Catalog'!$C$64,((D354+E354)*C354-G354)*'Assumptions and Catalog'!$H$64+'Assumptions and Catalog'!$E$64+'Assumptions and Catalog'!$F$64,IF(((D354+E354)*C354-G354)&lt;='Assumptions and Catalog'!$C$65,((D354+E354)*C354-G354)*'Assumptions and Catalog'!$H$65+'Assumptions and Catalog'!$E$65+'Assumptions and Catalog'!$F$65,"Out of range")))))))))*(1+'Assumptions and Catalog'!$C$8)^(A354-1),0)</f>
        <v>3447.2192618941</v>
      </c>
      <c r="R354" s="5" t="n">
        <f>IF(AND('Assumptions and Catalog'!$C$19&gt;0,A354&gt;='Assumptions and Catalog'!$C$19),A354-'Assumptions and Catalog'!$C$19,A354-1)</f>
        <v>6</v>
      </c>
      <c r="S354" s="5" t="n">
        <f>F354+L354-(D354+E354)*C354-J354-K354-0</f>
        <v>0</v>
      </c>
      <c r="T354" s="5"/>
      <c r="U354" s="5"/>
    </row>
    <row r="355" ht="23.100000381469727" customHeight="1">
      <c r="A355" s="5" t="n">
        <v>17</v>
      </c>
      <c r="B355" s="5" t="n">
        <v>3</v>
      </c>
      <c r="C355" s="5" t="n">
        <f>DAY(DATE('Assumptions and Catalog'!$C$24+A355-1,B355+1,0))</f>
        <v>31</v>
      </c>
      <c r="D355" s="5" t="n">
        <f>IF(ISNUMBER(Inputs!$L$5),Inputs!$L$5*Inputs!$L$6,0)</f>
        <v>40.35</v>
      </c>
      <c r="E355" s="5" t="n">
        <f>IF(ISNUMBER(Inputs!$L$5),Inputs!$L$5-D355,0)</f>
        <v>40.35</v>
      </c>
      <c r="F355" s="5" t="n">
        <f>C$51*INDEX('Solar Production'!$D$20:$D$31,B355)*C355*(1-'Assumptions and Catalog'!$C$10)^(A355-1)</f>
        <v>1308.09612408016</v>
      </c>
      <c r="G355" s="5" t="n">
        <f>MIN(F355,D355*C355)</f>
        <v>1250.85</v>
      </c>
      <c r="H355" s="5" t="n">
        <f>I355/('Assumptions and Catalog'!$C$11*'Assumptions and Catalog'!$C$12)</f>
        <v>0</v>
      </c>
      <c r="I355" s="5" t="n">
        <f>0</f>
        <v>0</v>
      </c>
      <c r="J355" s="5" t="n">
        <f>MAX(F355-G355-H355,0)</f>
        <v>57.2461240801561</v>
      </c>
      <c r="K355" s="5" t="n">
        <f>H355-I355</f>
        <v>0</v>
      </c>
      <c r="L355" s="5" t="n">
        <f>(D355+E355)*C355-G355-I355+0+0</f>
        <v>1250.85</v>
      </c>
      <c r="M355" s="5" t="n">
        <f>IF(ISNUMBER(Inputs!$L$5),(IF(Inputs!$L$9="Actual flat rate",((D355+E355)*C355)*Inputs!$L$10,IF(Inputs!$C$9="Residential",IF(((D355+E355)*C355)&lt;='Assumptions and Catalog'!$C$50,((D355+E355)*C355)*'Assumptions and Catalog'!$H$50+'Assumptions and Catalog'!$E$50+'Assumptions and Catalog'!$F$50,IF(((D355+E355)*C355)&lt;='Assumptions and Catalog'!$C$51,((D355+E355)*C355)*'Assumptions and Catalog'!$H$51+'Assumptions and Catalog'!$E$51+'Assumptions and Catalog'!$F$51,IF(((D355+E355)*C355)&lt;='Assumptions and Catalog'!$C$52,((D355+E355)*C355)*'Assumptions and Catalog'!$H$52+'Assumptions and Catalog'!$E$52+'Assumptions and Catalog'!$F$52,IF(((D355+E355)*C355)&lt;='Assumptions and Catalog'!$C$53,((D355+E355)*C355)*'Assumptions and Catalog'!$H$53+'Assumptions and Catalog'!$E$53+'Assumptions and Catalog'!$F$53,IF(((D355+E355)*C355)&lt;='Assumptions and Catalog'!$C$54,((D355+E355)*C355)*'Assumptions and Catalog'!$H$54+'Assumptions and Catalog'!$E$54+'Assumptions and Catalog'!$F$54,IF(((D355+E355)*C355)&lt;='Assumptions and Catalog'!$C$55,((D355+E355)*C355)*'Assumptions and Catalog'!$H$55+'Assumptions and Catalog'!$E$55+'Assumptions and Catalog'!$F$55,IF(((D355+E355)*C355)&lt;='Assumptions and Catalog'!$C$56,((D355+E355)*C355)*'Assumptions and Catalog'!$H$56+'Assumptions and Catalog'!$E$56+'Assumptions and Catalog'!$F$56,IF(((D355+E355)*C355)&lt;='Assumptions and Catalog'!$C$57,((D355+E355)*C355)*'Assumptions and Catalog'!$H$57+'Assumptions and Catalog'!$E$57+'Assumptions and Catalog'!$F$57,"Out of range")))))))),IF(((D355+E355)*C355)&lt;='Assumptions and Catalog'!$C$60,((D355+E355)*C355)*'Assumptions and Catalog'!$H$60+'Assumptions and Catalog'!$E$60+'Assumptions and Catalog'!$F$60,IF(((D355+E355)*C355)&lt;='Assumptions and Catalog'!$C$61,((D355+E355)*C355)*'Assumptions and Catalog'!$H$61+'Assumptions and Catalog'!$E$61+'Assumptions and Catalog'!$F$61,IF(((D355+E355)*C355)&lt;='Assumptions and Catalog'!$C$62,((D355+E355)*C355)*'Assumptions and Catalog'!$H$62+'Assumptions and Catalog'!$E$62+'Assumptions and Catalog'!$F$62,IF(((D355+E355)*C355)&lt;='Assumptions and Catalog'!$C$63,((D355+E355)*C355)*'Assumptions and Catalog'!$H$63+'Assumptions and Catalog'!$E$63+'Assumptions and Catalog'!$F$63,IF(((D355+E355)*C355)&lt;='Assumptions and Catalog'!$C$64,((D355+E355)*C355)*'Assumptions and Catalog'!$H$64+'Assumptions and Catalog'!$E$64+'Assumptions and Catalog'!$F$64,IF(((D355+E355)*C355)&lt;='Assumptions and Catalog'!$C$65,((D355+E355)*C355)*'Assumptions and Catalog'!$H$65+'Assumptions and Catalog'!$E$65+'Assumptions and Catalog'!$F$65,"Out of range")))))))))*(1+'Assumptions and Catalog'!$C$8)^(A355-1),0)</f>
        <v>7094.794</v>
      </c>
      <c r="N355" s="5" t="n">
        <f>IF(ISNUMBER(Inputs!$L$5),(IF(Inputs!$L$9="Actual flat rate",L355*Inputs!$L$10,IF(Inputs!$C$9="Residential",IF(L355&lt;='Assumptions and Catalog'!$C$50,L355*'Assumptions and Catalog'!$H$50+'Assumptions and Catalog'!$E$50+'Assumptions and Catalog'!$F$50,IF(L355&lt;='Assumptions and Catalog'!$C$51,L355*'Assumptions and Catalog'!$H$51+'Assumptions and Catalog'!$E$51+'Assumptions and Catalog'!$F$51,IF(L355&lt;='Assumptions and Catalog'!$C$52,L355*'Assumptions and Catalog'!$H$52+'Assumptions and Catalog'!$E$52+'Assumptions and Catalog'!$F$52,IF(L355&lt;='Assumptions and Catalog'!$C$53,L355*'Assumptions and Catalog'!$H$53+'Assumptions and Catalog'!$E$53+'Assumptions and Catalog'!$F$53,IF(L355&lt;='Assumptions and Catalog'!$C$54,L355*'Assumptions and Catalog'!$H$54+'Assumptions and Catalog'!$E$54+'Assumptions and Catalog'!$F$54,IF(L355&lt;='Assumptions and Catalog'!$C$55,L355*'Assumptions and Catalog'!$H$55+'Assumptions and Catalog'!$E$55+'Assumptions and Catalog'!$F$55,IF(L355&lt;='Assumptions and Catalog'!$C$56,L355*'Assumptions and Catalog'!$H$56+'Assumptions and Catalog'!$E$56+'Assumptions and Catalog'!$F$56,IF(L355&lt;='Assumptions and Catalog'!$C$57,L355*'Assumptions and Catalog'!$H$57+'Assumptions and Catalog'!$E$57+'Assumptions and Catalog'!$F$57,"Out of range")))))))),IF(L355&lt;='Assumptions and Catalog'!$C$60,L355*'Assumptions and Catalog'!$H$60+'Assumptions and Catalog'!$E$60+'Assumptions and Catalog'!$F$60,IF(L355&lt;='Assumptions and Catalog'!$C$61,L355*'Assumptions and Catalog'!$H$61+'Assumptions and Catalog'!$E$61+'Assumptions and Catalog'!$F$61,IF(L355&lt;='Assumptions and Catalog'!$C$62,L355*'Assumptions and Catalog'!$H$62+'Assumptions and Catalog'!$E$62+'Assumptions and Catalog'!$F$62,IF(L355&lt;='Assumptions and Catalog'!$C$63,L355*'Assumptions and Catalog'!$H$63+'Assumptions and Catalog'!$E$63+'Assumptions and Catalog'!$F$63,IF(L355&lt;='Assumptions and Catalog'!$C$64,L355*'Assumptions and Catalog'!$H$64+'Assumptions and Catalog'!$E$64+'Assumptions and Catalog'!$F$64,IF(L355&lt;='Assumptions and Catalog'!$C$65,L355*'Assumptions and Catalog'!$H$65+'Assumptions and Catalog'!$E$65+'Assumptions and Catalog'!$F$65,"Out of range")))))))))*(1+'Assumptions and Catalog'!$C$8)^(A355-1),0)</f>
        <v>3567.397</v>
      </c>
      <c r="O355" s="5" t="n">
        <f>M355-N355</f>
        <v>3527.397</v>
      </c>
      <c r="P355" s="5" t="n">
        <f>C$55*(1-J$14)*(1-'Assumptions and Catalog'!$C$23)^R355</f>
        <v>0</v>
      </c>
      <c r="Q355" s="5" t="n">
        <f>IF(ISNUMBER(Inputs!$L$5),(IF(Inputs!$L$9="Actual flat rate",((D355+E355)*C355-G355)*Inputs!$L$10,IF(Inputs!$C$9="Residential",IF(((D355+E355)*C355-G355)&lt;='Assumptions and Catalog'!$C$50,((D355+E355)*C355-G355)*'Assumptions and Catalog'!$H$50+'Assumptions and Catalog'!$E$50+'Assumptions and Catalog'!$F$50,IF(((D355+E355)*C355-G355)&lt;='Assumptions and Catalog'!$C$51,((D355+E355)*C355-G355)*'Assumptions and Catalog'!$H$51+'Assumptions and Catalog'!$E$51+'Assumptions and Catalog'!$F$51,IF(((D355+E355)*C355-G355)&lt;='Assumptions and Catalog'!$C$52,((D355+E355)*C355-G355)*'Assumptions and Catalog'!$H$52+'Assumptions and Catalog'!$E$52+'Assumptions and Catalog'!$F$52,IF(((D355+E355)*C355-G355)&lt;='Assumptions and Catalog'!$C$53,((D355+E355)*C355-G355)*'Assumptions and Catalog'!$H$53+'Assumptions and Catalog'!$E$53+'Assumptions and Catalog'!$F$53,IF(((D355+E355)*C355-G355)&lt;='Assumptions and Catalog'!$C$54,((D355+E355)*C355-G355)*'Assumptions and Catalog'!$H$54+'Assumptions and Catalog'!$E$54+'Assumptions and Catalog'!$F$54,IF(((D355+E355)*C355-G355)&lt;='Assumptions and Catalog'!$C$55,((D355+E355)*C355-G355)*'Assumptions and Catalog'!$H$55+'Assumptions and Catalog'!$E$55+'Assumptions and Catalog'!$F$55,IF(((D355+E355)*C355-G355)&lt;='Assumptions and Catalog'!$C$56,((D355+E355)*C355-G355)*'Assumptions and Catalog'!$H$56+'Assumptions and Catalog'!$E$56+'Assumptions and Catalog'!$F$56,IF(((D355+E355)*C355-G355)&lt;='Assumptions and Catalog'!$C$57,((D355+E355)*C355-G355)*'Assumptions and Catalog'!$H$57+'Assumptions and Catalog'!$E$57+'Assumptions and Catalog'!$F$57,"Out of range")))))))),IF(((D355+E355)*C355-G355)&lt;='Assumptions and Catalog'!$C$60,((D355+E355)*C355-G355)*'Assumptions and Catalog'!$H$60+'Assumptions and Catalog'!$E$60+'Assumptions and Catalog'!$F$60,IF(((D355+E355)*C355-G355)&lt;='Assumptions and Catalog'!$C$61,((D355+E355)*C355-G355)*'Assumptions and Catalog'!$H$61+'Assumptions and Catalog'!$E$61+'Assumptions and Catalog'!$F$61,IF(((D355+E355)*C355-G355)&lt;='Assumptions and Catalog'!$C$62,((D355+E355)*C355-G355)*'Assumptions and Catalog'!$H$62+'Assumptions and Catalog'!$E$62+'Assumptions and Catalog'!$F$62,IF(((D355+E355)*C355-G355)&lt;='Assumptions and Catalog'!$C$63,((D355+E355)*C355-G355)*'Assumptions and Catalog'!$H$63+'Assumptions and Catalog'!$E$63+'Assumptions and Catalog'!$F$63,IF(((D355+E355)*C355-G355)&lt;='Assumptions and Catalog'!$C$64,((D355+E355)*C355-G355)*'Assumptions and Catalog'!$H$64+'Assumptions and Catalog'!$E$64+'Assumptions and Catalog'!$F$64,IF(((D355+E355)*C355-G355)&lt;='Assumptions and Catalog'!$C$65,((D355+E355)*C355-G355)*'Assumptions and Catalog'!$H$65+'Assumptions and Catalog'!$E$65+'Assumptions and Catalog'!$F$65,"Out of range")))))))))*(1+'Assumptions and Catalog'!$C$8)^(A355-1),0)</f>
        <v>3567.397</v>
      </c>
      <c r="R355" s="5" t="n">
        <f>IF(AND('Assumptions and Catalog'!$C$19&gt;0,A355&gt;='Assumptions and Catalog'!$C$19),A355-'Assumptions and Catalog'!$C$19,A355-1)</f>
        <v>6</v>
      </c>
      <c r="S355" s="5" t="n">
        <f>F355+L355-(D355+E355)*C355-J355-K355-0</f>
        <v>2.27373675443232E-013</v>
      </c>
      <c r="T355" s="5"/>
      <c r="U355" s="5"/>
    </row>
    <row r="356" ht="23.100000381469727" customHeight="1">
      <c r="A356" s="5" t="n">
        <v>17</v>
      </c>
      <c r="B356" s="5" t="n">
        <v>4</v>
      </c>
      <c r="C356" s="5" t="n">
        <f>DAY(DATE('Assumptions and Catalog'!$C$24+A356-1,B356+1,0))</f>
        <v>30</v>
      </c>
      <c r="D356" s="5" t="n">
        <f>IF(ISNUMBER(Inputs!$L$5),Inputs!$L$5*Inputs!$L$6,0)</f>
        <v>40.35</v>
      </c>
      <c r="E356" s="5" t="n">
        <f>IF(ISNUMBER(Inputs!$L$5),Inputs!$L$5-D356,0)</f>
        <v>40.35</v>
      </c>
      <c r="F356" s="5" t="n">
        <f>C$51*INDEX('Solar Production'!$D$20:$D$31,B356)*C356*(1-'Assumptions and Catalog'!$C$10)^(A356-1)</f>
        <v>1306.47176530196</v>
      </c>
      <c r="G356" s="5" t="n">
        <f>MIN(F356,D356*C356)</f>
        <v>1210.5</v>
      </c>
      <c r="H356" s="5" t="n">
        <f>I356/('Assumptions and Catalog'!$C$11*'Assumptions and Catalog'!$C$12)</f>
        <v>0</v>
      </c>
      <c r="I356" s="5" t="n">
        <f>0</f>
        <v>0</v>
      </c>
      <c r="J356" s="5" t="n">
        <f>MAX(F356-G356-H356,0)</f>
        <v>95.9717653019618</v>
      </c>
      <c r="K356" s="5" t="n">
        <f>H356-I356</f>
        <v>0</v>
      </c>
      <c r="L356" s="5" t="n">
        <f>(D356+E356)*C356-G356-I356+0+0</f>
        <v>1210.5</v>
      </c>
      <c r="M356" s="5" t="n">
        <f>IF(ISNUMBER(Inputs!$L$5),(IF(Inputs!$L$9="Actual flat rate",((D356+E356)*C356)*Inputs!$L$10,IF(Inputs!$C$9="Residential",IF(((D356+E356)*C356)&lt;='Assumptions and Catalog'!$C$50,((D356+E356)*C356)*'Assumptions and Catalog'!$H$50+'Assumptions and Catalog'!$E$50+'Assumptions and Catalog'!$F$50,IF(((D356+E356)*C356)&lt;='Assumptions and Catalog'!$C$51,((D356+E356)*C356)*'Assumptions and Catalog'!$H$51+'Assumptions and Catalog'!$E$51+'Assumptions and Catalog'!$F$51,IF(((D356+E356)*C356)&lt;='Assumptions and Catalog'!$C$52,((D356+E356)*C356)*'Assumptions and Catalog'!$H$52+'Assumptions and Catalog'!$E$52+'Assumptions and Catalog'!$F$52,IF(((D356+E356)*C356)&lt;='Assumptions and Catalog'!$C$53,((D356+E356)*C356)*'Assumptions and Catalog'!$H$53+'Assumptions and Catalog'!$E$53+'Assumptions and Catalog'!$F$53,IF(((D356+E356)*C356)&lt;='Assumptions and Catalog'!$C$54,((D356+E356)*C356)*'Assumptions and Catalog'!$H$54+'Assumptions and Catalog'!$E$54+'Assumptions and Catalog'!$F$54,IF(((D356+E356)*C356)&lt;='Assumptions and Catalog'!$C$55,((D356+E356)*C356)*'Assumptions and Catalog'!$H$55+'Assumptions and Catalog'!$E$55+'Assumptions and Catalog'!$F$55,IF(((D356+E356)*C356)&lt;='Assumptions and Catalog'!$C$56,((D356+E356)*C356)*'Assumptions and Catalog'!$H$56+'Assumptions and Catalog'!$E$56+'Assumptions and Catalog'!$F$56,IF(((D356+E356)*C356)&lt;='Assumptions and Catalog'!$C$57,((D356+E356)*C356)*'Assumptions and Catalog'!$H$57+'Assumptions and Catalog'!$E$57+'Assumptions and Catalog'!$F$57,"Out of range")))))))),IF(((D356+E356)*C356)&lt;='Assumptions and Catalog'!$C$60,((D356+E356)*C356)*'Assumptions and Catalog'!$H$60+'Assumptions and Catalog'!$E$60+'Assumptions and Catalog'!$F$60,IF(((D356+E356)*C356)&lt;='Assumptions and Catalog'!$C$61,((D356+E356)*C356)*'Assumptions and Catalog'!$H$61+'Assumptions and Catalog'!$E$61+'Assumptions and Catalog'!$F$61,IF(((D356+E356)*C356)&lt;='Assumptions and Catalog'!$C$62,((D356+E356)*C356)*'Assumptions and Catalog'!$H$62+'Assumptions and Catalog'!$E$62+'Assumptions and Catalog'!$F$62,IF(((D356+E356)*C356)&lt;='Assumptions and Catalog'!$C$63,((D356+E356)*C356)*'Assumptions and Catalog'!$H$63+'Assumptions and Catalog'!$E$63+'Assumptions and Catalog'!$F$63,IF(((D356+E356)*C356)&lt;='Assumptions and Catalog'!$C$64,((D356+E356)*C356)*'Assumptions and Catalog'!$H$64+'Assumptions and Catalog'!$E$64+'Assumptions and Catalog'!$F$64,IF(((D356+E356)*C356)&lt;='Assumptions and Catalog'!$C$65,((D356+E356)*C356)*'Assumptions and Catalog'!$H$65+'Assumptions and Catalog'!$E$65+'Assumptions and Catalog'!$F$65,"Out of range")))))))))*(1+'Assumptions and Catalog'!$C$8)^(A356-1),0)</f>
        <v>6867.22</v>
      </c>
      <c r="N356" s="5" t="n">
        <f>IF(ISNUMBER(Inputs!$L$5),(IF(Inputs!$L$9="Actual flat rate",L356*Inputs!$L$10,IF(Inputs!$C$9="Residential",IF(L356&lt;='Assumptions and Catalog'!$C$50,L356*'Assumptions and Catalog'!$H$50+'Assumptions and Catalog'!$E$50+'Assumptions and Catalog'!$F$50,IF(L356&lt;='Assumptions and Catalog'!$C$51,L356*'Assumptions and Catalog'!$H$51+'Assumptions and Catalog'!$E$51+'Assumptions and Catalog'!$F$51,IF(L356&lt;='Assumptions and Catalog'!$C$52,L356*'Assumptions and Catalog'!$H$52+'Assumptions and Catalog'!$E$52+'Assumptions and Catalog'!$F$52,IF(L356&lt;='Assumptions and Catalog'!$C$53,L356*'Assumptions and Catalog'!$H$53+'Assumptions and Catalog'!$E$53+'Assumptions and Catalog'!$F$53,IF(L356&lt;='Assumptions and Catalog'!$C$54,L356*'Assumptions and Catalog'!$H$54+'Assumptions and Catalog'!$E$54+'Assumptions and Catalog'!$F$54,IF(L356&lt;='Assumptions and Catalog'!$C$55,L356*'Assumptions and Catalog'!$H$55+'Assumptions and Catalog'!$E$55+'Assumptions and Catalog'!$F$55,IF(L356&lt;='Assumptions and Catalog'!$C$56,L356*'Assumptions and Catalog'!$H$56+'Assumptions and Catalog'!$E$56+'Assumptions and Catalog'!$F$56,IF(L356&lt;='Assumptions and Catalog'!$C$57,L356*'Assumptions and Catalog'!$H$57+'Assumptions and Catalog'!$E$57+'Assumptions and Catalog'!$F$57,"Out of range")))))))),IF(L356&lt;='Assumptions and Catalog'!$C$60,L356*'Assumptions and Catalog'!$H$60+'Assumptions and Catalog'!$E$60+'Assumptions and Catalog'!$F$60,IF(L356&lt;='Assumptions and Catalog'!$C$61,L356*'Assumptions and Catalog'!$H$61+'Assumptions and Catalog'!$E$61+'Assumptions and Catalog'!$F$61,IF(L356&lt;='Assumptions and Catalog'!$C$62,L356*'Assumptions and Catalog'!$H$62+'Assumptions and Catalog'!$E$62+'Assumptions and Catalog'!$F$62,IF(L356&lt;='Assumptions and Catalog'!$C$63,L356*'Assumptions and Catalog'!$H$63+'Assumptions and Catalog'!$E$63+'Assumptions and Catalog'!$F$63,IF(L356&lt;='Assumptions and Catalog'!$C$64,L356*'Assumptions and Catalog'!$H$64+'Assumptions and Catalog'!$E$64+'Assumptions and Catalog'!$F$64,IF(L356&lt;='Assumptions and Catalog'!$C$65,L356*'Assumptions and Catalog'!$H$65+'Assumptions and Catalog'!$E$65+'Assumptions and Catalog'!$F$65,"Out of range")))))))))*(1+'Assumptions and Catalog'!$C$8)^(A356-1),0)</f>
        <v>3453.61</v>
      </c>
      <c r="O356" s="5" t="n">
        <f>M356-N356</f>
        <v>3413.61</v>
      </c>
      <c r="P356" s="5" t="n">
        <f>C$55*(1-J$14)*(1-'Assumptions and Catalog'!$C$23)^R356</f>
        <v>0</v>
      </c>
      <c r="Q356" s="5" t="n">
        <f>IF(ISNUMBER(Inputs!$L$5),(IF(Inputs!$L$9="Actual flat rate",((D356+E356)*C356-G356)*Inputs!$L$10,IF(Inputs!$C$9="Residential",IF(((D356+E356)*C356-G356)&lt;='Assumptions and Catalog'!$C$50,((D356+E356)*C356-G356)*'Assumptions and Catalog'!$H$50+'Assumptions and Catalog'!$E$50+'Assumptions and Catalog'!$F$50,IF(((D356+E356)*C356-G356)&lt;='Assumptions and Catalog'!$C$51,((D356+E356)*C356-G356)*'Assumptions and Catalog'!$H$51+'Assumptions and Catalog'!$E$51+'Assumptions and Catalog'!$F$51,IF(((D356+E356)*C356-G356)&lt;='Assumptions and Catalog'!$C$52,((D356+E356)*C356-G356)*'Assumptions and Catalog'!$H$52+'Assumptions and Catalog'!$E$52+'Assumptions and Catalog'!$F$52,IF(((D356+E356)*C356-G356)&lt;='Assumptions and Catalog'!$C$53,((D356+E356)*C356-G356)*'Assumptions and Catalog'!$H$53+'Assumptions and Catalog'!$E$53+'Assumptions and Catalog'!$F$53,IF(((D356+E356)*C356-G356)&lt;='Assumptions and Catalog'!$C$54,((D356+E356)*C356-G356)*'Assumptions and Catalog'!$H$54+'Assumptions and Catalog'!$E$54+'Assumptions and Catalog'!$F$54,IF(((D356+E356)*C356-G356)&lt;='Assumptions and Catalog'!$C$55,((D356+E356)*C356-G356)*'Assumptions and Catalog'!$H$55+'Assumptions and Catalog'!$E$55+'Assumptions and Catalog'!$F$55,IF(((D356+E356)*C356-G356)&lt;='Assumptions and Catalog'!$C$56,((D356+E356)*C356-G356)*'Assumptions and Catalog'!$H$56+'Assumptions and Catalog'!$E$56+'Assumptions and Catalog'!$F$56,IF(((D356+E356)*C356-G356)&lt;='Assumptions and Catalog'!$C$57,((D356+E356)*C356-G356)*'Assumptions and Catalog'!$H$57+'Assumptions and Catalog'!$E$57+'Assumptions and Catalog'!$F$57,"Out of range")))))))),IF(((D356+E356)*C356-G356)&lt;='Assumptions and Catalog'!$C$60,((D356+E356)*C356-G356)*'Assumptions and Catalog'!$H$60+'Assumptions and Catalog'!$E$60+'Assumptions and Catalog'!$F$60,IF(((D356+E356)*C356-G356)&lt;='Assumptions and Catalog'!$C$61,((D356+E356)*C356-G356)*'Assumptions and Catalog'!$H$61+'Assumptions and Catalog'!$E$61+'Assumptions and Catalog'!$F$61,IF(((D356+E356)*C356-G356)&lt;='Assumptions and Catalog'!$C$62,((D356+E356)*C356-G356)*'Assumptions and Catalog'!$H$62+'Assumptions and Catalog'!$E$62+'Assumptions and Catalog'!$F$62,IF(((D356+E356)*C356-G356)&lt;='Assumptions and Catalog'!$C$63,((D356+E356)*C356-G356)*'Assumptions and Catalog'!$H$63+'Assumptions and Catalog'!$E$63+'Assumptions and Catalog'!$F$63,IF(((D356+E356)*C356-G356)&lt;='Assumptions and Catalog'!$C$64,((D356+E356)*C356-G356)*'Assumptions and Catalog'!$H$64+'Assumptions and Catalog'!$E$64+'Assumptions and Catalog'!$F$64,IF(((D356+E356)*C356-G356)&lt;='Assumptions and Catalog'!$C$65,((D356+E356)*C356-G356)*'Assumptions and Catalog'!$H$65+'Assumptions and Catalog'!$E$65+'Assumptions and Catalog'!$F$65,"Out of range")))))))))*(1+'Assumptions and Catalog'!$C$8)^(A356-1),0)</f>
        <v>3453.61</v>
      </c>
      <c r="R356" s="5" t="n">
        <f>IF(AND('Assumptions and Catalog'!$C$19&gt;0,A356&gt;='Assumptions and Catalog'!$C$19),A356-'Assumptions and Catalog'!$C$19,A356-1)</f>
        <v>6</v>
      </c>
      <c r="S356" s="5" t="n">
        <f>F356+L356-(D356+E356)*C356-J356-K356-0</f>
        <v>0</v>
      </c>
      <c r="T356" s="5"/>
      <c r="U356" s="5"/>
    </row>
    <row r="357" ht="23.100000381469727" customHeight="1">
      <c r="A357" s="5" t="n">
        <v>17</v>
      </c>
      <c r="B357" s="5" t="n">
        <v>5</v>
      </c>
      <c r="C357" s="5" t="n">
        <f>DAY(DATE('Assumptions and Catalog'!$C$24+A357-1,B357+1,0))</f>
        <v>31</v>
      </c>
      <c r="D357" s="5" t="n">
        <f>IF(ISNUMBER(Inputs!$L$5),Inputs!$L$5*Inputs!$L$6,0)</f>
        <v>40.35</v>
      </c>
      <c r="E357" s="5" t="n">
        <f>IF(ISNUMBER(Inputs!$L$5),Inputs!$L$5-D357,0)</f>
        <v>40.35</v>
      </c>
      <c r="F357" s="5" t="n">
        <f>C$51*INDEX('Solar Production'!$D$20:$D$31,B357)*C357*(1-'Assumptions and Catalog'!$C$10)^(A357-1)</f>
        <v>1321.57830193917</v>
      </c>
      <c r="G357" s="5" t="n">
        <f>MIN(F357,D357*C357)</f>
        <v>1250.85</v>
      </c>
      <c r="H357" s="5" t="n">
        <f>I357/('Assumptions and Catalog'!$C$11*'Assumptions and Catalog'!$C$12)</f>
        <v>0</v>
      </c>
      <c r="I357" s="5" t="n">
        <f>0</f>
        <v>0</v>
      </c>
      <c r="J357" s="5" t="n">
        <f>MAX(F357-G357-H357,0)</f>
        <v>70.7283019391718</v>
      </c>
      <c r="K357" s="5" t="n">
        <f>H357-I357</f>
        <v>0</v>
      </c>
      <c r="L357" s="5" t="n">
        <f>(D357+E357)*C357-G357-I357+0+0</f>
        <v>1250.85</v>
      </c>
      <c r="M357" s="5" t="n">
        <f>IF(ISNUMBER(Inputs!$L$5),(IF(Inputs!$L$9="Actual flat rate",((D357+E357)*C357)*Inputs!$L$10,IF(Inputs!$C$9="Residential",IF(((D357+E357)*C357)&lt;='Assumptions and Catalog'!$C$50,((D357+E357)*C357)*'Assumptions and Catalog'!$H$50+'Assumptions and Catalog'!$E$50+'Assumptions and Catalog'!$F$50,IF(((D357+E357)*C357)&lt;='Assumptions and Catalog'!$C$51,((D357+E357)*C357)*'Assumptions and Catalog'!$H$51+'Assumptions and Catalog'!$E$51+'Assumptions and Catalog'!$F$51,IF(((D357+E357)*C357)&lt;='Assumptions and Catalog'!$C$52,((D357+E357)*C357)*'Assumptions and Catalog'!$H$52+'Assumptions and Catalog'!$E$52+'Assumptions and Catalog'!$F$52,IF(((D357+E357)*C357)&lt;='Assumptions and Catalog'!$C$53,((D357+E357)*C357)*'Assumptions and Catalog'!$H$53+'Assumptions and Catalog'!$E$53+'Assumptions and Catalog'!$F$53,IF(((D357+E357)*C357)&lt;='Assumptions and Catalog'!$C$54,((D357+E357)*C357)*'Assumptions and Catalog'!$H$54+'Assumptions and Catalog'!$E$54+'Assumptions and Catalog'!$F$54,IF(((D357+E357)*C357)&lt;='Assumptions and Catalog'!$C$55,((D357+E357)*C357)*'Assumptions and Catalog'!$H$55+'Assumptions and Catalog'!$E$55+'Assumptions and Catalog'!$F$55,IF(((D357+E357)*C357)&lt;='Assumptions and Catalog'!$C$56,((D357+E357)*C357)*'Assumptions and Catalog'!$H$56+'Assumptions and Catalog'!$E$56+'Assumptions and Catalog'!$F$56,IF(((D357+E357)*C357)&lt;='Assumptions and Catalog'!$C$57,((D357+E357)*C357)*'Assumptions and Catalog'!$H$57+'Assumptions and Catalog'!$E$57+'Assumptions and Catalog'!$F$57,"Out of range")))))))),IF(((D357+E357)*C357)&lt;='Assumptions and Catalog'!$C$60,((D357+E357)*C357)*'Assumptions and Catalog'!$H$60+'Assumptions and Catalog'!$E$60+'Assumptions and Catalog'!$F$60,IF(((D357+E357)*C357)&lt;='Assumptions and Catalog'!$C$61,((D357+E357)*C357)*'Assumptions and Catalog'!$H$61+'Assumptions and Catalog'!$E$61+'Assumptions and Catalog'!$F$61,IF(((D357+E357)*C357)&lt;='Assumptions and Catalog'!$C$62,((D357+E357)*C357)*'Assumptions and Catalog'!$H$62+'Assumptions and Catalog'!$E$62+'Assumptions and Catalog'!$F$62,IF(((D357+E357)*C357)&lt;='Assumptions and Catalog'!$C$63,((D357+E357)*C357)*'Assumptions and Catalog'!$H$63+'Assumptions and Catalog'!$E$63+'Assumptions and Catalog'!$F$63,IF(((D357+E357)*C357)&lt;='Assumptions and Catalog'!$C$64,((D357+E357)*C357)*'Assumptions and Catalog'!$H$64+'Assumptions and Catalog'!$E$64+'Assumptions and Catalog'!$F$64,IF(((D357+E357)*C357)&lt;='Assumptions and Catalog'!$C$65,((D357+E357)*C357)*'Assumptions and Catalog'!$H$65+'Assumptions and Catalog'!$E$65+'Assumptions and Catalog'!$F$65,"Out of range")))))))))*(1+'Assumptions and Catalog'!$C$8)^(A357-1),0)</f>
        <v>7094.794</v>
      </c>
      <c r="N357" s="5" t="n">
        <f>IF(ISNUMBER(Inputs!$L$5),(IF(Inputs!$L$9="Actual flat rate",L357*Inputs!$L$10,IF(Inputs!$C$9="Residential",IF(L357&lt;='Assumptions and Catalog'!$C$50,L357*'Assumptions and Catalog'!$H$50+'Assumptions and Catalog'!$E$50+'Assumptions and Catalog'!$F$50,IF(L357&lt;='Assumptions and Catalog'!$C$51,L357*'Assumptions and Catalog'!$H$51+'Assumptions and Catalog'!$E$51+'Assumptions and Catalog'!$F$51,IF(L357&lt;='Assumptions and Catalog'!$C$52,L357*'Assumptions and Catalog'!$H$52+'Assumptions and Catalog'!$E$52+'Assumptions and Catalog'!$F$52,IF(L357&lt;='Assumptions and Catalog'!$C$53,L357*'Assumptions and Catalog'!$H$53+'Assumptions and Catalog'!$E$53+'Assumptions and Catalog'!$F$53,IF(L357&lt;='Assumptions and Catalog'!$C$54,L357*'Assumptions and Catalog'!$H$54+'Assumptions and Catalog'!$E$54+'Assumptions and Catalog'!$F$54,IF(L357&lt;='Assumptions and Catalog'!$C$55,L357*'Assumptions and Catalog'!$H$55+'Assumptions and Catalog'!$E$55+'Assumptions and Catalog'!$F$55,IF(L357&lt;='Assumptions and Catalog'!$C$56,L357*'Assumptions and Catalog'!$H$56+'Assumptions and Catalog'!$E$56+'Assumptions and Catalog'!$F$56,IF(L357&lt;='Assumptions and Catalog'!$C$57,L357*'Assumptions and Catalog'!$H$57+'Assumptions and Catalog'!$E$57+'Assumptions and Catalog'!$F$57,"Out of range")))))))),IF(L357&lt;='Assumptions and Catalog'!$C$60,L357*'Assumptions and Catalog'!$H$60+'Assumptions and Catalog'!$E$60+'Assumptions and Catalog'!$F$60,IF(L357&lt;='Assumptions and Catalog'!$C$61,L357*'Assumptions and Catalog'!$H$61+'Assumptions and Catalog'!$E$61+'Assumptions and Catalog'!$F$61,IF(L357&lt;='Assumptions and Catalog'!$C$62,L357*'Assumptions and Catalog'!$H$62+'Assumptions and Catalog'!$E$62+'Assumptions and Catalog'!$F$62,IF(L357&lt;='Assumptions and Catalog'!$C$63,L357*'Assumptions and Catalog'!$H$63+'Assumptions and Catalog'!$E$63+'Assumptions and Catalog'!$F$63,IF(L357&lt;='Assumptions and Catalog'!$C$64,L357*'Assumptions and Catalog'!$H$64+'Assumptions and Catalog'!$E$64+'Assumptions and Catalog'!$F$64,IF(L357&lt;='Assumptions and Catalog'!$C$65,L357*'Assumptions and Catalog'!$H$65+'Assumptions and Catalog'!$E$65+'Assumptions and Catalog'!$F$65,"Out of range")))))))))*(1+'Assumptions and Catalog'!$C$8)^(A357-1),0)</f>
        <v>3567.397</v>
      </c>
      <c r="O357" s="5" t="n">
        <f>M357-N357</f>
        <v>3527.397</v>
      </c>
      <c r="P357" s="5" t="n">
        <f>C$55*(1-J$14)*(1-'Assumptions and Catalog'!$C$23)^R357</f>
        <v>0</v>
      </c>
      <c r="Q357" s="5" t="n">
        <f>IF(ISNUMBER(Inputs!$L$5),(IF(Inputs!$L$9="Actual flat rate",((D357+E357)*C357-G357)*Inputs!$L$10,IF(Inputs!$C$9="Residential",IF(((D357+E357)*C357-G357)&lt;='Assumptions and Catalog'!$C$50,((D357+E357)*C357-G357)*'Assumptions and Catalog'!$H$50+'Assumptions and Catalog'!$E$50+'Assumptions and Catalog'!$F$50,IF(((D357+E357)*C357-G357)&lt;='Assumptions and Catalog'!$C$51,((D357+E357)*C357-G357)*'Assumptions and Catalog'!$H$51+'Assumptions and Catalog'!$E$51+'Assumptions and Catalog'!$F$51,IF(((D357+E357)*C357-G357)&lt;='Assumptions and Catalog'!$C$52,((D357+E357)*C357-G357)*'Assumptions and Catalog'!$H$52+'Assumptions and Catalog'!$E$52+'Assumptions and Catalog'!$F$52,IF(((D357+E357)*C357-G357)&lt;='Assumptions and Catalog'!$C$53,((D357+E357)*C357-G357)*'Assumptions and Catalog'!$H$53+'Assumptions and Catalog'!$E$53+'Assumptions and Catalog'!$F$53,IF(((D357+E357)*C357-G357)&lt;='Assumptions and Catalog'!$C$54,((D357+E357)*C357-G357)*'Assumptions and Catalog'!$H$54+'Assumptions and Catalog'!$E$54+'Assumptions and Catalog'!$F$54,IF(((D357+E357)*C357-G357)&lt;='Assumptions and Catalog'!$C$55,((D357+E357)*C357-G357)*'Assumptions and Catalog'!$H$55+'Assumptions and Catalog'!$E$55+'Assumptions and Catalog'!$F$55,IF(((D357+E357)*C357-G357)&lt;='Assumptions and Catalog'!$C$56,((D357+E357)*C357-G357)*'Assumptions and Catalog'!$H$56+'Assumptions and Catalog'!$E$56+'Assumptions and Catalog'!$F$56,IF(((D357+E357)*C357-G357)&lt;='Assumptions and Catalog'!$C$57,((D357+E357)*C357-G357)*'Assumptions and Catalog'!$H$57+'Assumptions and Catalog'!$E$57+'Assumptions and Catalog'!$F$57,"Out of range")))))))),IF(((D357+E357)*C357-G357)&lt;='Assumptions and Catalog'!$C$60,((D357+E357)*C357-G357)*'Assumptions and Catalog'!$H$60+'Assumptions and Catalog'!$E$60+'Assumptions and Catalog'!$F$60,IF(((D357+E357)*C357-G357)&lt;='Assumptions and Catalog'!$C$61,((D357+E357)*C357-G357)*'Assumptions and Catalog'!$H$61+'Assumptions and Catalog'!$E$61+'Assumptions and Catalog'!$F$61,IF(((D357+E357)*C357-G357)&lt;='Assumptions and Catalog'!$C$62,((D357+E357)*C357-G357)*'Assumptions and Catalog'!$H$62+'Assumptions and Catalog'!$E$62+'Assumptions and Catalog'!$F$62,IF(((D357+E357)*C357-G357)&lt;='Assumptions and Catalog'!$C$63,((D357+E357)*C357-G357)*'Assumptions and Catalog'!$H$63+'Assumptions and Catalog'!$E$63+'Assumptions and Catalog'!$F$63,IF(((D357+E357)*C357-G357)&lt;='Assumptions and Catalog'!$C$64,((D357+E357)*C357-G357)*'Assumptions and Catalog'!$H$64+'Assumptions and Catalog'!$E$64+'Assumptions and Catalog'!$F$64,IF(((D357+E357)*C357-G357)&lt;='Assumptions and Catalog'!$C$65,((D357+E357)*C357-G357)*'Assumptions and Catalog'!$H$65+'Assumptions and Catalog'!$E$65+'Assumptions and Catalog'!$F$65,"Out of range")))))))))*(1+'Assumptions and Catalog'!$C$8)^(A357-1),0)</f>
        <v>3567.397</v>
      </c>
      <c r="R357" s="5" t="n">
        <f>IF(AND('Assumptions and Catalog'!$C$19&gt;0,A357&gt;='Assumptions and Catalog'!$C$19),A357-'Assumptions and Catalog'!$C$19,A357-1)</f>
        <v>6</v>
      </c>
      <c r="S357" s="5" t="n">
        <f>F357+L357-(D357+E357)*C357-J357-K357-0</f>
        <v>0</v>
      </c>
      <c r="T357" s="5"/>
      <c r="U357" s="5"/>
    </row>
    <row r="358" ht="23.100000381469727" customHeight="1">
      <c r="A358" s="5" t="n">
        <v>17</v>
      </c>
      <c r="B358" s="5" t="n">
        <v>6</v>
      </c>
      <c r="C358" s="5" t="n">
        <f>DAY(DATE('Assumptions and Catalog'!$C$24+A358-1,B358+1,0))</f>
        <v>30</v>
      </c>
      <c r="D358" s="5" t="n">
        <f>IF(ISNUMBER(Inputs!$L$5),Inputs!$L$5*Inputs!$L$6,0)</f>
        <v>40.35</v>
      </c>
      <c r="E358" s="5" t="n">
        <f>IF(ISNUMBER(Inputs!$L$5),Inputs!$L$5-D358,0)</f>
        <v>40.35</v>
      </c>
      <c r="F358" s="5" t="n">
        <f>C$51*INDEX('Solar Production'!$D$20:$D$31,B358)*C358*(1-'Assumptions and Catalog'!$C$10)^(A358-1)</f>
        <v>1288.27894698618</v>
      </c>
      <c r="G358" s="5" t="n">
        <f>MIN(F358,D358*C358)</f>
        <v>1210.5</v>
      </c>
      <c r="H358" s="5" t="n">
        <f>I358/('Assumptions and Catalog'!$C$11*'Assumptions and Catalog'!$C$12)</f>
        <v>0</v>
      </c>
      <c r="I358" s="5" t="n">
        <f>0</f>
        <v>0</v>
      </c>
      <c r="J358" s="5" t="n">
        <f>MAX(F358-G358-H358,0)</f>
        <v>77.7789469861816</v>
      </c>
      <c r="K358" s="5" t="n">
        <f>H358-I358</f>
        <v>0</v>
      </c>
      <c r="L358" s="5" t="n">
        <f>(D358+E358)*C358-G358-I358+0+0</f>
        <v>1210.5</v>
      </c>
      <c r="M358" s="5" t="n">
        <f>IF(ISNUMBER(Inputs!$L$5),(IF(Inputs!$L$9="Actual flat rate",((D358+E358)*C358)*Inputs!$L$10,IF(Inputs!$C$9="Residential",IF(((D358+E358)*C358)&lt;='Assumptions and Catalog'!$C$50,((D358+E358)*C358)*'Assumptions and Catalog'!$H$50+'Assumptions and Catalog'!$E$50+'Assumptions and Catalog'!$F$50,IF(((D358+E358)*C358)&lt;='Assumptions and Catalog'!$C$51,((D358+E358)*C358)*'Assumptions and Catalog'!$H$51+'Assumptions and Catalog'!$E$51+'Assumptions and Catalog'!$F$51,IF(((D358+E358)*C358)&lt;='Assumptions and Catalog'!$C$52,((D358+E358)*C358)*'Assumptions and Catalog'!$H$52+'Assumptions and Catalog'!$E$52+'Assumptions and Catalog'!$F$52,IF(((D358+E358)*C358)&lt;='Assumptions and Catalog'!$C$53,((D358+E358)*C358)*'Assumptions and Catalog'!$H$53+'Assumptions and Catalog'!$E$53+'Assumptions and Catalog'!$F$53,IF(((D358+E358)*C358)&lt;='Assumptions and Catalog'!$C$54,((D358+E358)*C358)*'Assumptions and Catalog'!$H$54+'Assumptions and Catalog'!$E$54+'Assumptions and Catalog'!$F$54,IF(((D358+E358)*C358)&lt;='Assumptions and Catalog'!$C$55,((D358+E358)*C358)*'Assumptions and Catalog'!$H$55+'Assumptions and Catalog'!$E$55+'Assumptions and Catalog'!$F$55,IF(((D358+E358)*C358)&lt;='Assumptions and Catalog'!$C$56,((D358+E358)*C358)*'Assumptions and Catalog'!$H$56+'Assumptions and Catalog'!$E$56+'Assumptions and Catalog'!$F$56,IF(((D358+E358)*C358)&lt;='Assumptions and Catalog'!$C$57,((D358+E358)*C358)*'Assumptions and Catalog'!$H$57+'Assumptions and Catalog'!$E$57+'Assumptions and Catalog'!$F$57,"Out of range")))))))),IF(((D358+E358)*C358)&lt;='Assumptions and Catalog'!$C$60,((D358+E358)*C358)*'Assumptions and Catalog'!$H$60+'Assumptions and Catalog'!$E$60+'Assumptions and Catalog'!$F$60,IF(((D358+E358)*C358)&lt;='Assumptions and Catalog'!$C$61,((D358+E358)*C358)*'Assumptions and Catalog'!$H$61+'Assumptions and Catalog'!$E$61+'Assumptions and Catalog'!$F$61,IF(((D358+E358)*C358)&lt;='Assumptions and Catalog'!$C$62,((D358+E358)*C358)*'Assumptions and Catalog'!$H$62+'Assumptions and Catalog'!$E$62+'Assumptions and Catalog'!$F$62,IF(((D358+E358)*C358)&lt;='Assumptions and Catalog'!$C$63,((D358+E358)*C358)*'Assumptions and Catalog'!$H$63+'Assumptions and Catalog'!$E$63+'Assumptions and Catalog'!$F$63,IF(((D358+E358)*C358)&lt;='Assumptions and Catalog'!$C$64,((D358+E358)*C358)*'Assumptions and Catalog'!$H$64+'Assumptions and Catalog'!$E$64+'Assumptions and Catalog'!$F$64,IF(((D358+E358)*C358)&lt;='Assumptions and Catalog'!$C$65,((D358+E358)*C358)*'Assumptions and Catalog'!$H$65+'Assumptions and Catalog'!$E$65+'Assumptions and Catalog'!$F$65,"Out of range")))))))))*(1+'Assumptions and Catalog'!$C$8)^(A358-1),0)</f>
        <v>6867.22</v>
      </c>
      <c r="N358" s="5" t="n">
        <f>IF(ISNUMBER(Inputs!$L$5),(IF(Inputs!$L$9="Actual flat rate",L358*Inputs!$L$10,IF(Inputs!$C$9="Residential",IF(L358&lt;='Assumptions and Catalog'!$C$50,L358*'Assumptions and Catalog'!$H$50+'Assumptions and Catalog'!$E$50+'Assumptions and Catalog'!$F$50,IF(L358&lt;='Assumptions and Catalog'!$C$51,L358*'Assumptions and Catalog'!$H$51+'Assumptions and Catalog'!$E$51+'Assumptions and Catalog'!$F$51,IF(L358&lt;='Assumptions and Catalog'!$C$52,L358*'Assumptions and Catalog'!$H$52+'Assumptions and Catalog'!$E$52+'Assumptions and Catalog'!$F$52,IF(L358&lt;='Assumptions and Catalog'!$C$53,L358*'Assumptions and Catalog'!$H$53+'Assumptions and Catalog'!$E$53+'Assumptions and Catalog'!$F$53,IF(L358&lt;='Assumptions and Catalog'!$C$54,L358*'Assumptions and Catalog'!$H$54+'Assumptions and Catalog'!$E$54+'Assumptions and Catalog'!$F$54,IF(L358&lt;='Assumptions and Catalog'!$C$55,L358*'Assumptions and Catalog'!$H$55+'Assumptions and Catalog'!$E$55+'Assumptions and Catalog'!$F$55,IF(L358&lt;='Assumptions and Catalog'!$C$56,L358*'Assumptions and Catalog'!$H$56+'Assumptions and Catalog'!$E$56+'Assumptions and Catalog'!$F$56,IF(L358&lt;='Assumptions and Catalog'!$C$57,L358*'Assumptions and Catalog'!$H$57+'Assumptions and Catalog'!$E$57+'Assumptions and Catalog'!$F$57,"Out of range")))))))),IF(L358&lt;='Assumptions and Catalog'!$C$60,L358*'Assumptions and Catalog'!$H$60+'Assumptions and Catalog'!$E$60+'Assumptions and Catalog'!$F$60,IF(L358&lt;='Assumptions and Catalog'!$C$61,L358*'Assumptions and Catalog'!$H$61+'Assumptions and Catalog'!$E$61+'Assumptions and Catalog'!$F$61,IF(L358&lt;='Assumptions and Catalog'!$C$62,L358*'Assumptions and Catalog'!$H$62+'Assumptions and Catalog'!$E$62+'Assumptions and Catalog'!$F$62,IF(L358&lt;='Assumptions and Catalog'!$C$63,L358*'Assumptions and Catalog'!$H$63+'Assumptions and Catalog'!$E$63+'Assumptions and Catalog'!$F$63,IF(L358&lt;='Assumptions and Catalog'!$C$64,L358*'Assumptions and Catalog'!$H$64+'Assumptions and Catalog'!$E$64+'Assumptions and Catalog'!$F$64,IF(L358&lt;='Assumptions and Catalog'!$C$65,L358*'Assumptions and Catalog'!$H$65+'Assumptions and Catalog'!$E$65+'Assumptions and Catalog'!$F$65,"Out of range")))))))))*(1+'Assumptions and Catalog'!$C$8)^(A358-1),0)</f>
        <v>3453.61</v>
      </c>
      <c r="O358" s="5" t="n">
        <f>M358-N358</f>
        <v>3413.61</v>
      </c>
      <c r="P358" s="5" t="n">
        <f>C$55*(1-J$14)*(1-'Assumptions and Catalog'!$C$23)^R358</f>
        <v>0</v>
      </c>
      <c r="Q358" s="5" t="n">
        <f>IF(ISNUMBER(Inputs!$L$5),(IF(Inputs!$L$9="Actual flat rate",((D358+E358)*C358-G358)*Inputs!$L$10,IF(Inputs!$C$9="Residential",IF(((D358+E358)*C358-G358)&lt;='Assumptions and Catalog'!$C$50,((D358+E358)*C358-G358)*'Assumptions and Catalog'!$H$50+'Assumptions and Catalog'!$E$50+'Assumptions and Catalog'!$F$50,IF(((D358+E358)*C358-G358)&lt;='Assumptions and Catalog'!$C$51,((D358+E358)*C358-G358)*'Assumptions and Catalog'!$H$51+'Assumptions and Catalog'!$E$51+'Assumptions and Catalog'!$F$51,IF(((D358+E358)*C358-G358)&lt;='Assumptions and Catalog'!$C$52,((D358+E358)*C358-G358)*'Assumptions and Catalog'!$H$52+'Assumptions and Catalog'!$E$52+'Assumptions and Catalog'!$F$52,IF(((D358+E358)*C358-G358)&lt;='Assumptions and Catalog'!$C$53,((D358+E358)*C358-G358)*'Assumptions and Catalog'!$H$53+'Assumptions and Catalog'!$E$53+'Assumptions and Catalog'!$F$53,IF(((D358+E358)*C358-G358)&lt;='Assumptions and Catalog'!$C$54,((D358+E358)*C358-G358)*'Assumptions and Catalog'!$H$54+'Assumptions and Catalog'!$E$54+'Assumptions and Catalog'!$F$54,IF(((D358+E358)*C358-G358)&lt;='Assumptions and Catalog'!$C$55,((D358+E358)*C358-G358)*'Assumptions and Catalog'!$H$55+'Assumptions and Catalog'!$E$55+'Assumptions and Catalog'!$F$55,IF(((D358+E358)*C358-G358)&lt;='Assumptions and Catalog'!$C$56,((D358+E358)*C358-G358)*'Assumptions and Catalog'!$H$56+'Assumptions and Catalog'!$E$56+'Assumptions and Catalog'!$F$56,IF(((D358+E358)*C358-G358)&lt;='Assumptions and Catalog'!$C$57,((D358+E358)*C358-G358)*'Assumptions and Catalog'!$H$57+'Assumptions and Catalog'!$E$57+'Assumptions and Catalog'!$F$57,"Out of range")))))))),IF(((D358+E358)*C358-G358)&lt;='Assumptions and Catalog'!$C$60,((D358+E358)*C358-G358)*'Assumptions and Catalog'!$H$60+'Assumptions and Catalog'!$E$60+'Assumptions and Catalog'!$F$60,IF(((D358+E358)*C358-G358)&lt;='Assumptions and Catalog'!$C$61,((D358+E358)*C358-G358)*'Assumptions and Catalog'!$H$61+'Assumptions and Catalog'!$E$61+'Assumptions and Catalog'!$F$61,IF(((D358+E358)*C358-G358)&lt;='Assumptions and Catalog'!$C$62,((D358+E358)*C358-G358)*'Assumptions and Catalog'!$H$62+'Assumptions and Catalog'!$E$62+'Assumptions and Catalog'!$F$62,IF(((D358+E358)*C358-G358)&lt;='Assumptions and Catalog'!$C$63,((D358+E358)*C358-G358)*'Assumptions and Catalog'!$H$63+'Assumptions and Catalog'!$E$63+'Assumptions and Catalog'!$F$63,IF(((D358+E358)*C358-G358)&lt;='Assumptions and Catalog'!$C$64,((D358+E358)*C358-G358)*'Assumptions and Catalog'!$H$64+'Assumptions and Catalog'!$E$64+'Assumptions and Catalog'!$F$64,IF(((D358+E358)*C358-G358)&lt;='Assumptions and Catalog'!$C$65,((D358+E358)*C358-G358)*'Assumptions and Catalog'!$H$65+'Assumptions and Catalog'!$E$65+'Assumptions and Catalog'!$F$65,"Out of range")))))))))*(1+'Assumptions and Catalog'!$C$8)^(A358-1),0)</f>
        <v>3453.61</v>
      </c>
      <c r="R358" s="5" t="n">
        <f>IF(AND('Assumptions and Catalog'!$C$19&gt;0,A358&gt;='Assumptions and Catalog'!$C$19),A358-'Assumptions and Catalog'!$C$19,A358-1)</f>
        <v>6</v>
      </c>
      <c r="S358" s="5" t="n">
        <f>F358+L358-(D358+E358)*C358-J358-K358-0</f>
        <v>0</v>
      </c>
      <c r="T358" s="5"/>
      <c r="U358" s="5"/>
    </row>
    <row r="359" ht="23.100000381469727" customHeight="1">
      <c r="A359" s="5" t="n">
        <v>17</v>
      </c>
      <c r="B359" s="5" t="n">
        <v>7</v>
      </c>
      <c r="C359" s="5" t="n">
        <f>DAY(DATE('Assumptions and Catalog'!$C$24+A359-1,B359+1,0))</f>
        <v>31</v>
      </c>
      <c r="D359" s="5" t="n">
        <f>IF(ISNUMBER(Inputs!$L$5),Inputs!$L$5*Inputs!$L$6,0)</f>
        <v>40.35</v>
      </c>
      <c r="E359" s="5" t="n">
        <f>IF(ISNUMBER(Inputs!$L$5),Inputs!$L$5-D359,0)</f>
        <v>40.35</v>
      </c>
      <c r="F359" s="5" t="n">
        <f>C$51*INDEX('Solar Production'!$D$20:$D$31,B359)*C359*(1-'Assumptions and Catalog'!$C$10)^(A359-1)</f>
        <v>1337.33458208766</v>
      </c>
      <c r="G359" s="5" t="n">
        <f>MIN(F359,D359*C359)</f>
        <v>1250.85</v>
      </c>
      <c r="H359" s="5" t="n">
        <f>I359/('Assumptions and Catalog'!$C$11*'Assumptions and Catalog'!$C$12)</f>
        <v>0</v>
      </c>
      <c r="I359" s="5" t="n">
        <f>0</f>
        <v>0</v>
      </c>
      <c r="J359" s="5" t="n">
        <f>MAX(F359-G359-H359,0)</f>
        <v>86.4845820876599</v>
      </c>
      <c r="K359" s="5" t="n">
        <f>H359-I359</f>
        <v>0</v>
      </c>
      <c r="L359" s="5" t="n">
        <f>(D359+E359)*C359-G359-I359+0+0</f>
        <v>1250.85</v>
      </c>
      <c r="M359" s="5" t="n">
        <f>IF(ISNUMBER(Inputs!$L$5),(IF(Inputs!$L$9="Actual flat rate",((D359+E359)*C359)*Inputs!$L$10,IF(Inputs!$C$9="Residential",IF(((D359+E359)*C359)&lt;='Assumptions and Catalog'!$C$50,((D359+E359)*C359)*'Assumptions and Catalog'!$H$50+'Assumptions and Catalog'!$E$50+'Assumptions and Catalog'!$F$50,IF(((D359+E359)*C359)&lt;='Assumptions and Catalog'!$C$51,((D359+E359)*C359)*'Assumptions and Catalog'!$H$51+'Assumptions and Catalog'!$E$51+'Assumptions and Catalog'!$F$51,IF(((D359+E359)*C359)&lt;='Assumptions and Catalog'!$C$52,((D359+E359)*C359)*'Assumptions and Catalog'!$H$52+'Assumptions and Catalog'!$E$52+'Assumptions and Catalog'!$F$52,IF(((D359+E359)*C359)&lt;='Assumptions and Catalog'!$C$53,((D359+E359)*C359)*'Assumptions and Catalog'!$H$53+'Assumptions and Catalog'!$E$53+'Assumptions and Catalog'!$F$53,IF(((D359+E359)*C359)&lt;='Assumptions and Catalog'!$C$54,((D359+E359)*C359)*'Assumptions and Catalog'!$H$54+'Assumptions and Catalog'!$E$54+'Assumptions and Catalog'!$F$54,IF(((D359+E359)*C359)&lt;='Assumptions and Catalog'!$C$55,((D359+E359)*C359)*'Assumptions and Catalog'!$H$55+'Assumptions and Catalog'!$E$55+'Assumptions and Catalog'!$F$55,IF(((D359+E359)*C359)&lt;='Assumptions and Catalog'!$C$56,((D359+E359)*C359)*'Assumptions and Catalog'!$H$56+'Assumptions and Catalog'!$E$56+'Assumptions and Catalog'!$F$56,IF(((D359+E359)*C359)&lt;='Assumptions and Catalog'!$C$57,((D359+E359)*C359)*'Assumptions and Catalog'!$H$57+'Assumptions and Catalog'!$E$57+'Assumptions and Catalog'!$F$57,"Out of range")))))))),IF(((D359+E359)*C359)&lt;='Assumptions and Catalog'!$C$60,((D359+E359)*C359)*'Assumptions and Catalog'!$H$60+'Assumptions and Catalog'!$E$60+'Assumptions and Catalog'!$F$60,IF(((D359+E359)*C359)&lt;='Assumptions and Catalog'!$C$61,((D359+E359)*C359)*'Assumptions and Catalog'!$H$61+'Assumptions and Catalog'!$E$61+'Assumptions and Catalog'!$F$61,IF(((D359+E359)*C359)&lt;='Assumptions and Catalog'!$C$62,((D359+E359)*C359)*'Assumptions and Catalog'!$H$62+'Assumptions and Catalog'!$E$62+'Assumptions and Catalog'!$F$62,IF(((D359+E359)*C359)&lt;='Assumptions and Catalog'!$C$63,((D359+E359)*C359)*'Assumptions and Catalog'!$H$63+'Assumptions and Catalog'!$E$63+'Assumptions and Catalog'!$F$63,IF(((D359+E359)*C359)&lt;='Assumptions and Catalog'!$C$64,((D359+E359)*C359)*'Assumptions and Catalog'!$H$64+'Assumptions and Catalog'!$E$64+'Assumptions and Catalog'!$F$64,IF(((D359+E359)*C359)&lt;='Assumptions and Catalog'!$C$65,((D359+E359)*C359)*'Assumptions and Catalog'!$H$65+'Assumptions and Catalog'!$E$65+'Assumptions and Catalog'!$F$65,"Out of range")))))))))*(1+'Assumptions and Catalog'!$C$8)^(A359-1),0)</f>
        <v>7094.794</v>
      </c>
      <c r="N359" s="5" t="n">
        <f>IF(ISNUMBER(Inputs!$L$5),(IF(Inputs!$L$9="Actual flat rate",L359*Inputs!$L$10,IF(Inputs!$C$9="Residential",IF(L359&lt;='Assumptions and Catalog'!$C$50,L359*'Assumptions and Catalog'!$H$50+'Assumptions and Catalog'!$E$50+'Assumptions and Catalog'!$F$50,IF(L359&lt;='Assumptions and Catalog'!$C$51,L359*'Assumptions and Catalog'!$H$51+'Assumptions and Catalog'!$E$51+'Assumptions and Catalog'!$F$51,IF(L359&lt;='Assumptions and Catalog'!$C$52,L359*'Assumptions and Catalog'!$H$52+'Assumptions and Catalog'!$E$52+'Assumptions and Catalog'!$F$52,IF(L359&lt;='Assumptions and Catalog'!$C$53,L359*'Assumptions and Catalog'!$H$53+'Assumptions and Catalog'!$E$53+'Assumptions and Catalog'!$F$53,IF(L359&lt;='Assumptions and Catalog'!$C$54,L359*'Assumptions and Catalog'!$H$54+'Assumptions and Catalog'!$E$54+'Assumptions and Catalog'!$F$54,IF(L359&lt;='Assumptions and Catalog'!$C$55,L359*'Assumptions and Catalog'!$H$55+'Assumptions and Catalog'!$E$55+'Assumptions and Catalog'!$F$55,IF(L359&lt;='Assumptions and Catalog'!$C$56,L359*'Assumptions and Catalog'!$H$56+'Assumptions and Catalog'!$E$56+'Assumptions and Catalog'!$F$56,IF(L359&lt;='Assumptions and Catalog'!$C$57,L359*'Assumptions and Catalog'!$H$57+'Assumptions and Catalog'!$E$57+'Assumptions and Catalog'!$F$57,"Out of range")))))))),IF(L359&lt;='Assumptions and Catalog'!$C$60,L359*'Assumptions and Catalog'!$H$60+'Assumptions and Catalog'!$E$60+'Assumptions and Catalog'!$F$60,IF(L359&lt;='Assumptions and Catalog'!$C$61,L359*'Assumptions and Catalog'!$H$61+'Assumptions and Catalog'!$E$61+'Assumptions and Catalog'!$F$61,IF(L359&lt;='Assumptions and Catalog'!$C$62,L359*'Assumptions and Catalog'!$H$62+'Assumptions and Catalog'!$E$62+'Assumptions and Catalog'!$F$62,IF(L359&lt;='Assumptions and Catalog'!$C$63,L359*'Assumptions and Catalog'!$H$63+'Assumptions and Catalog'!$E$63+'Assumptions and Catalog'!$F$63,IF(L359&lt;='Assumptions and Catalog'!$C$64,L359*'Assumptions and Catalog'!$H$64+'Assumptions and Catalog'!$E$64+'Assumptions and Catalog'!$F$64,IF(L359&lt;='Assumptions and Catalog'!$C$65,L359*'Assumptions and Catalog'!$H$65+'Assumptions and Catalog'!$E$65+'Assumptions and Catalog'!$F$65,"Out of range")))))))))*(1+'Assumptions and Catalog'!$C$8)^(A359-1),0)</f>
        <v>3567.397</v>
      </c>
      <c r="O359" s="5" t="n">
        <f>M359-N359</f>
        <v>3527.397</v>
      </c>
      <c r="P359" s="5" t="n">
        <f>C$55*(1-J$14)*(1-'Assumptions and Catalog'!$C$23)^R359</f>
        <v>0</v>
      </c>
      <c r="Q359" s="5" t="n">
        <f>IF(ISNUMBER(Inputs!$L$5),(IF(Inputs!$L$9="Actual flat rate",((D359+E359)*C359-G359)*Inputs!$L$10,IF(Inputs!$C$9="Residential",IF(((D359+E359)*C359-G359)&lt;='Assumptions and Catalog'!$C$50,((D359+E359)*C359-G359)*'Assumptions and Catalog'!$H$50+'Assumptions and Catalog'!$E$50+'Assumptions and Catalog'!$F$50,IF(((D359+E359)*C359-G359)&lt;='Assumptions and Catalog'!$C$51,((D359+E359)*C359-G359)*'Assumptions and Catalog'!$H$51+'Assumptions and Catalog'!$E$51+'Assumptions and Catalog'!$F$51,IF(((D359+E359)*C359-G359)&lt;='Assumptions and Catalog'!$C$52,((D359+E359)*C359-G359)*'Assumptions and Catalog'!$H$52+'Assumptions and Catalog'!$E$52+'Assumptions and Catalog'!$F$52,IF(((D359+E359)*C359-G359)&lt;='Assumptions and Catalog'!$C$53,((D359+E359)*C359-G359)*'Assumptions and Catalog'!$H$53+'Assumptions and Catalog'!$E$53+'Assumptions and Catalog'!$F$53,IF(((D359+E359)*C359-G359)&lt;='Assumptions and Catalog'!$C$54,((D359+E359)*C359-G359)*'Assumptions and Catalog'!$H$54+'Assumptions and Catalog'!$E$54+'Assumptions and Catalog'!$F$54,IF(((D359+E359)*C359-G359)&lt;='Assumptions and Catalog'!$C$55,((D359+E359)*C359-G359)*'Assumptions and Catalog'!$H$55+'Assumptions and Catalog'!$E$55+'Assumptions and Catalog'!$F$55,IF(((D359+E359)*C359-G359)&lt;='Assumptions and Catalog'!$C$56,((D359+E359)*C359-G359)*'Assumptions and Catalog'!$H$56+'Assumptions and Catalog'!$E$56+'Assumptions and Catalog'!$F$56,IF(((D359+E359)*C359-G359)&lt;='Assumptions and Catalog'!$C$57,((D359+E359)*C359-G359)*'Assumptions and Catalog'!$H$57+'Assumptions and Catalog'!$E$57+'Assumptions and Catalog'!$F$57,"Out of range")))))))),IF(((D359+E359)*C359-G359)&lt;='Assumptions and Catalog'!$C$60,((D359+E359)*C359-G359)*'Assumptions and Catalog'!$H$60+'Assumptions and Catalog'!$E$60+'Assumptions and Catalog'!$F$60,IF(((D359+E359)*C359-G359)&lt;='Assumptions and Catalog'!$C$61,((D359+E359)*C359-G359)*'Assumptions and Catalog'!$H$61+'Assumptions and Catalog'!$E$61+'Assumptions and Catalog'!$F$61,IF(((D359+E359)*C359-G359)&lt;='Assumptions and Catalog'!$C$62,((D359+E359)*C359-G359)*'Assumptions and Catalog'!$H$62+'Assumptions and Catalog'!$E$62+'Assumptions and Catalog'!$F$62,IF(((D359+E359)*C359-G359)&lt;='Assumptions and Catalog'!$C$63,((D359+E359)*C359-G359)*'Assumptions and Catalog'!$H$63+'Assumptions and Catalog'!$E$63+'Assumptions and Catalog'!$F$63,IF(((D359+E359)*C359-G359)&lt;='Assumptions and Catalog'!$C$64,((D359+E359)*C359-G359)*'Assumptions and Catalog'!$H$64+'Assumptions and Catalog'!$E$64+'Assumptions and Catalog'!$F$64,IF(((D359+E359)*C359-G359)&lt;='Assumptions and Catalog'!$C$65,((D359+E359)*C359-G359)*'Assumptions and Catalog'!$H$65+'Assumptions and Catalog'!$E$65+'Assumptions and Catalog'!$F$65,"Out of range")))))))))*(1+'Assumptions and Catalog'!$C$8)^(A359-1),0)</f>
        <v>3567.397</v>
      </c>
      <c r="R359" s="5" t="n">
        <f>IF(AND('Assumptions and Catalog'!$C$19&gt;0,A359&gt;='Assumptions and Catalog'!$C$19),A359-'Assumptions and Catalog'!$C$19,A359-1)</f>
        <v>6</v>
      </c>
      <c r="S359" s="5" t="n">
        <f>F359+L359-(D359+E359)*C359-J359-K359-0</f>
        <v>0</v>
      </c>
      <c r="T359" s="5"/>
      <c r="U359" s="5"/>
    </row>
    <row r="360" ht="23.100000381469727" customHeight="1">
      <c r="A360" s="5" t="n">
        <v>17</v>
      </c>
      <c r="B360" s="5" t="n">
        <v>8</v>
      </c>
      <c r="C360" s="5" t="n">
        <f>DAY(DATE('Assumptions and Catalog'!$C$24+A360-1,B360+1,0))</f>
        <v>31</v>
      </c>
      <c r="D360" s="5" t="n">
        <f>IF(ISNUMBER(Inputs!$L$5),Inputs!$L$5*Inputs!$L$6,0)</f>
        <v>40.35</v>
      </c>
      <c r="E360" s="5" t="n">
        <f>IF(ISNUMBER(Inputs!$L$5),Inputs!$L$5-D360,0)</f>
        <v>40.35</v>
      </c>
      <c r="F360" s="5" t="n">
        <f>C$51*INDEX('Solar Production'!$D$20:$D$31,B360)*C360*(1-'Assumptions and Catalog'!$C$10)^(A360-1)</f>
        <v>1354.71522101434</v>
      </c>
      <c r="G360" s="5" t="n">
        <f>MIN(F360,D360*C360)</f>
        <v>1250.85</v>
      </c>
      <c r="H360" s="5" t="n">
        <f>I360/('Assumptions and Catalog'!$C$11*'Assumptions and Catalog'!$C$12)</f>
        <v>0</v>
      </c>
      <c r="I360" s="5" t="n">
        <f>0</f>
        <v>0</v>
      </c>
      <c r="J360" s="5" t="n">
        <f>MAX(F360-G360-H360,0)</f>
        <v>103.865221014343</v>
      </c>
      <c r="K360" s="5" t="n">
        <f>H360-I360</f>
        <v>0</v>
      </c>
      <c r="L360" s="5" t="n">
        <f>(D360+E360)*C360-G360-I360+0+0</f>
        <v>1250.85</v>
      </c>
      <c r="M360" s="5" t="n">
        <f>IF(ISNUMBER(Inputs!$L$5),(IF(Inputs!$L$9="Actual flat rate",((D360+E360)*C360)*Inputs!$L$10,IF(Inputs!$C$9="Residential",IF(((D360+E360)*C360)&lt;='Assumptions and Catalog'!$C$50,((D360+E360)*C360)*'Assumptions and Catalog'!$H$50+'Assumptions and Catalog'!$E$50+'Assumptions and Catalog'!$F$50,IF(((D360+E360)*C360)&lt;='Assumptions and Catalog'!$C$51,((D360+E360)*C360)*'Assumptions and Catalog'!$H$51+'Assumptions and Catalog'!$E$51+'Assumptions and Catalog'!$F$51,IF(((D360+E360)*C360)&lt;='Assumptions and Catalog'!$C$52,((D360+E360)*C360)*'Assumptions and Catalog'!$H$52+'Assumptions and Catalog'!$E$52+'Assumptions and Catalog'!$F$52,IF(((D360+E360)*C360)&lt;='Assumptions and Catalog'!$C$53,((D360+E360)*C360)*'Assumptions and Catalog'!$H$53+'Assumptions and Catalog'!$E$53+'Assumptions and Catalog'!$F$53,IF(((D360+E360)*C360)&lt;='Assumptions and Catalog'!$C$54,((D360+E360)*C360)*'Assumptions and Catalog'!$H$54+'Assumptions and Catalog'!$E$54+'Assumptions and Catalog'!$F$54,IF(((D360+E360)*C360)&lt;='Assumptions and Catalog'!$C$55,((D360+E360)*C360)*'Assumptions and Catalog'!$H$55+'Assumptions and Catalog'!$E$55+'Assumptions and Catalog'!$F$55,IF(((D360+E360)*C360)&lt;='Assumptions and Catalog'!$C$56,((D360+E360)*C360)*'Assumptions and Catalog'!$H$56+'Assumptions and Catalog'!$E$56+'Assumptions and Catalog'!$F$56,IF(((D360+E360)*C360)&lt;='Assumptions and Catalog'!$C$57,((D360+E360)*C360)*'Assumptions and Catalog'!$H$57+'Assumptions and Catalog'!$E$57+'Assumptions and Catalog'!$F$57,"Out of range")))))))),IF(((D360+E360)*C360)&lt;='Assumptions and Catalog'!$C$60,((D360+E360)*C360)*'Assumptions and Catalog'!$H$60+'Assumptions and Catalog'!$E$60+'Assumptions and Catalog'!$F$60,IF(((D360+E360)*C360)&lt;='Assumptions and Catalog'!$C$61,((D360+E360)*C360)*'Assumptions and Catalog'!$H$61+'Assumptions and Catalog'!$E$61+'Assumptions and Catalog'!$F$61,IF(((D360+E360)*C360)&lt;='Assumptions and Catalog'!$C$62,((D360+E360)*C360)*'Assumptions and Catalog'!$H$62+'Assumptions and Catalog'!$E$62+'Assumptions and Catalog'!$F$62,IF(((D360+E360)*C360)&lt;='Assumptions and Catalog'!$C$63,((D360+E360)*C360)*'Assumptions and Catalog'!$H$63+'Assumptions and Catalog'!$E$63+'Assumptions and Catalog'!$F$63,IF(((D360+E360)*C360)&lt;='Assumptions and Catalog'!$C$64,((D360+E360)*C360)*'Assumptions and Catalog'!$H$64+'Assumptions and Catalog'!$E$64+'Assumptions and Catalog'!$F$64,IF(((D360+E360)*C360)&lt;='Assumptions and Catalog'!$C$65,((D360+E360)*C360)*'Assumptions and Catalog'!$H$65+'Assumptions and Catalog'!$E$65+'Assumptions and Catalog'!$F$65,"Out of range")))))))))*(1+'Assumptions and Catalog'!$C$8)^(A360-1),0)</f>
        <v>7094.794</v>
      </c>
      <c r="N360" s="5" t="n">
        <f>IF(ISNUMBER(Inputs!$L$5),(IF(Inputs!$L$9="Actual flat rate",L360*Inputs!$L$10,IF(Inputs!$C$9="Residential",IF(L360&lt;='Assumptions and Catalog'!$C$50,L360*'Assumptions and Catalog'!$H$50+'Assumptions and Catalog'!$E$50+'Assumptions and Catalog'!$F$50,IF(L360&lt;='Assumptions and Catalog'!$C$51,L360*'Assumptions and Catalog'!$H$51+'Assumptions and Catalog'!$E$51+'Assumptions and Catalog'!$F$51,IF(L360&lt;='Assumptions and Catalog'!$C$52,L360*'Assumptions and Catalog'!$H$52+'Assumptions and Catalog'!$E$52+'Assumptions and Catalog'!$F$52,IF(L360&lt;='Assumptions and Catalog'!$C$53,L360*'Assumptions and Catalog'!$H$53+'Assumptions and Catalog'!$E$53+'Assumptions and Catalog'!$F$53,IF(L360&lt;='Assumptions and Catalog'!$C$54,L360*'Assumptions and Catalog'!$H$54+'Assumptions and Catalog'!$E$54+'Assumptions and Catalog'!$F$54,IF(L360&lt;='Assumptions and Catalog'!$C$55,L360*'Assumptions and Catalog'!$H$55+'Assumptions and Catalog'!$E$55+'Assumptions and Catalog'!$F$55,IF(L360&lt;='Assumptions and Catalog'!$C$56,L360*'Assumptions and Catalog'!$H$56+'Assumptions and Catalog'!$E$56+'Assumptions and Catalog'!$F$56,IF(L360&lt;='Assumptions and Catalog'!$C$57,L360*'Assumptions and Catalog'!$H$57+'Assumptions and Catalog'!$E$57+'Assumptions and Catalog'!$F$57,"Out of range")))))))),IF(L360&lt;='Assumptions and Catalog'!$C$60,L360*'Assumptions and Catalog'!$H$60+'Assumptions and Catalog'!$E$60+'Assumptions and Catalog'!$F$60,IF(L360&lt;='Assumptions and Catalog'!$C$61,L360*'Assumptions and Catalog'!$H$61+'Assumptions and Catalog'!$E$61+'Assumptions and Catalog'!$F$61,IF(L360&lt;='Assumptions and Catalog'!$C$62,L360*'Assumptions and Catalog'!$H$62+'Assumptions and Catalog'!$E$62+'Assumptions and Catalog'!$F$62,IF(L360&lt;='Assumptions and Catalog'!$C$63,L360*'Assumptions and Catalog'!$H$63+'Assumptions and Catalog'!$E$63+'Assumptions and Catalog'!$F$63,IF(L360&lt;='Assumptions and Catalog'!$C$64,L360*'Assumptions and Catalog'!$H$64+'Assumptions and Catalog'!$E$64+'Assumptions and Catalog'!$F$64,IF(L360&lt;='Assumptions and Catalog'!$C$65,L360*'Assumptions and Catalog'!$H$65+'Assumptions and Catalog'!$E$65+'Assumptions and Catalog'!$F$65,"Out of range")))))))))*(1+'Assumptions and Catalog'!$C$8)^(A360-1),0)</f>
        <v>3567.397</v>
      </c>
      <c r="O360" s="5" t="n">
        <f>M360-N360</f>
        <v>3527.397</v>
      </c>
      <c r="P360" s="5" t="n">
        <f>C$55*(1-J$14)*(1-'Assumptions and Catalog'!$C$23)^R360</f>
        <v>0</v>
      </c>
      <c r="Q360" s="5" t="n">
        <f>IF(ISNUMBER(Inputs!$L$5),(IF(Inputs!$L$9="Actual flat rate",((D360+E360)*C360-G360)*Inputs!$L$10,IF(Inputs!$C$9="Residential",IF(((D360+E360)*C360-G360)&lt;='Assumptions and Catalog'!$C$50,((D360+E360)*C360-G360)*'Assumptions and Catalog'!$H$50+'Assumptions and Catalog'!$E$50+'Assumptions and Catalog'!$F$50,IF(((D360+E360)*C360-G360)&lt;='Assumptions and Catalog'!$C$51,((D360+E360)*C360-G360)*'Assumptions and Catalog'!$H$51+'Assumptions and Catalog'!$E$51+'Assumptions and Catalog'!$F$51,IF(((D360+E360)*C360-G360)&lt;='Assumptions and Catalog'!$C$52,((D360+E360)*C360-G360)*'Assumptions and Catalog'!$H$52+'Assumptions and Catalog'!$E$52+'Assumptions and Catalog'!$F$52,IF(((D360+E360)*C360-G360)&lt;='Assumptions and Catalog'!$C$53,((D360+E360)*C360-G360)*'Assumptions and Catalog'!$H$53+'Assumptions and Catalog'!$E$53+'Assumptions and Catalog'!$F$53,IF(((D360+E360)*C360-G360)&lt;='Assumptions and Catalog'!$C$54,((D360+E360)*C360-G360)*'Assumptions and Catalog'!$H$54+'Assumptions and Catalog'!$E$54+'Assumptions and Catalog'!$F$54,IF(((D360+E360)*C360-G360)&lt;='Assumptions and Catalog'!$C$55,((D360+E360)*C360-G360)*'Assumptions and Catalog'!$H$55+'Assumptions and Catalog'!$E$55+'Assumptions and Catalog'!$F$55,IF(((D360+E360)*C360-G360)&lt;='Assumptions and Catalog'!$C$56,((D360+E360)*C360-G360)*'Assumptions and Catalog'!$H$56+'Assumptions and Catalog'!$E$56+'Assumptions and Catalog'!$F$56,IF(((D360+E360)*C360-G360)&lt;='Assumptions and Catalog'!$C$57,((D360+E360)*C360-G360)*'Assumptions and Catalog'!$H$57+'Assumptions and Catalog'!$E$57+'Assumptions and Catalog'!$F$57,"Out of range")))))))),IF(((D360+E360)*C360-G360)&lt;='Assumptions and Catalog'!$C$60,((D360+E360)*C360-G360)*'Assumptions and Catalog'!$H$60+'Assumptions and Catalog'!$E$60+'Assumptions and Catalog'!$F$60,IF(((D360+E360)*C360-G360)&lt;='Assumptions and Catalog'!$C$61,((D360+E360)*C360-G360)*'Assumptions and Catalog'!$H$61+'Assumptions and Catalog'!$E$61+'Assumptions and Catalog'!$F$61,IF(((D360+E360)*C360-G360)&lt;='Assumptions and Catalog'!$C$62,((D360+E360)*C360-G360)*'Assumptions and Catalog'!$H$62+'Assumptions and Catalog'!$E$62+'Assumptions and Catalog'!$F$62,IF(((D360+E360)*C360-G360)&lt;='Assumptions and Catalog'!$C$63,((D360+E360)*C360-G360)*'Assumptions and Catalog'!$H$63+'Assumptions and Catalog'!$E$63+'Assumptions and Catalog'!$F$63,IF(((D360+E360)*C360-G360)&lt;='Assumptions and Catalog'!$C$64,((D360+E360)*C360-G360)*'Assumptions and Catalog'!$H$64+'Assumptions and Catalog'!$E$64+'Assumptions and Catalog'!$F$64,IF(((D360+E360)*C360-G360)&lt;='Assumptions and Catalog'!$C$65,((D360+E360)*C360-G360)*'Assumptions and Catalog'!$H$65+'Assumptions and Catalog'!$E$65+'Assumptions and Catalog'!$F$65,"Out of range")))))))))*(1+'Assumptions and Catalog'!$C$8)^(A360-1),0)</f>
        <v>3567.397</v>
      </c>
      <c r="R360" s="5" t="n">
        <f>IF(AND('Assumptions and Catalog'!$C$19&gt;0,A360&gt;='Assumptions and Catalog'!$C$19),A360-'Assumptions and Catalog'!$C$19,A360-1)</f>
        <v>6</v>
      </c>
      <c r="S360" s="5" t="n">
        <f>F360+L360-(D360+E360)*C360-J360-K360-0</f>
        <v>0</v>
      </c>
      <c r="T360" s="5"/>
      <c r="U360" s="5"/>
    </row>
    <row r="361" ht="23.100000381469727" customHeight="1">
      <c r="A361" s="5" t="n">
        <v>17</v>
      </c>
      <c r="B361" s="5" t="n">
        <v>9</v>
      </c>
      <c r="C361" s="5" t="n">
        <f>DAY(DATE('Assumptions and Catalog'!$C$24+A361-1,B361+1,0))</f>
        <v>30</v>
      </c>
      <c r="D361" s="5" t="n">
        <f>IF(ISNUMBER(Inputs!$L$5),Inputs!$L$5*Inputs!$L$6,0)</f>
        <v>40.35</v>
      </c>
      <c r="E361" s="5" t="n">
        <f>IF(ISNUMBER(Inputs!$L$5),Inputs!$L$5-D361,0)</f>
        <v>40.35</v>
      </c>
      <c r="F361" s="5" t="n">
        <f>C$51*INDEX('Solar Production'!$D$20:$D$31,B361)*C361*(1-'Assumptions and Catalog'!$C$10)^(A361-1)</f>
        <v>1307.6088164467</v>
      </c>
      <c r="G361" s="5" t="n">
        <f>MIN(F361,D361*C361)</f>
        <v>1210.5</v>
      </c>
      <c r="H361" s="5" t="n">
        <f>I361/('Assumptions and Catalog'!$C$11*'Assumptions and Catalog'!$C$12)</f>
        <v>0</v>
      </c>
      <c r="I361" s="5" t="n">
        <f>0</f>
        <v>0</v>
      </c>
      <c r="J361" s="5" t="n">
        <f>MAX(F361-G361-H361,0)</f>
        <v>97.1088164466978</v>
      </c>
      <c r="K361" s="5" t="n">
        <f>H361-I361</f>
        <v>0</v>
      </c>
      <c r="L361" s="5" t="n">
        <f>(D361+E361)*C361-G361-I361+0+0</f>
        <v>1210.5</v>
      </c>
      <c r="M361" s="5" t="n">
        <f>IF(ISNUMBER(Inputs!$L$5),(IF(Inputs!$L$9="Actual flat rate",((D361+E361)*C361)*Inputs!$L$10,IF(Inputs!$C$9="Residential",IF(((D361+E361)*C361)&lt;='Assumptions and Catalog'!$C$50,((D361+E361)*C361)*'Assumptions and Catalog'!$H$50+'Assumptions and Catalog'!$E$50+'Assumptions and Catalog'!$F$50,IF(((D361+E361)*C361)&lt;='Assumptions and Catalog'!$C$51,((D361+E361)*C361)*'Assumptions and Catalog'!$H$51+'Assumptions and Catalog'!$E$51+'Assumptions and Catalog'!$F$51,IF(((D361+E361)*C361)&lt;='Assumptions and Catalog'!$C$52,((D361+E361)*C361)*'Assumptions and Catalog'!$H$52+'Assumptions and Catalog'!$E$52+'Assumptions and Catalog'!$F$52,IF(((D361+E361)*C361)&lt;='Assumptions and Catalog'!$C$53,((D361+E361)*C361)*'Assumptions and Catalog'!$H$53+'Assumptions and Catalog'!$E$53+'Assumptions and Catalog'!$F$53,IF(((D361+E361)*C361)&lt;='Assumptions and Catalog'!$C$54,((D361+E361)*C361)*'Assumptions and Catalog'!$H$54+'Assumptions and Catalog'!$E$54+'Assumptions and Catalog'!$F$54,IF(((D361+E361)*C361)&lt;='Assumptions and Catalog'!$C$55,((D361+E361)*C361)*'Assumptions and Catalog'!$H$55+'Assumptions and Catalog'!$E$55+'Assumptions and Catalog'!$F$55,IF(((D361+E361)*C361)&lt;='Assumptions and Catalog'!$C$56,((D361+E361)*C361)*'Assumptions and Catalog'!$H$56+'Assumptions and Catalog'!$E$56+'Assumptions and Catalog'!$F$56,IF(((D361+E361)*C361)&lt;='Assumptions and Catalog'!$C$57,((D361+E361)*C361)*'Assumptions and Catalog'!$H$57+'Assumptions and Catalog'!$E$57+'Assumptions and Catalog'!$F$57,"Out of range")))))))),IF(((D361+E361)*C361)&lt;='Assumptions and Catalog'!$C$60,((D361+E361)*C361)*'Assumptions and Catalog'!$H$60+'Assumptions and Catalog'!$E$60+'Assumptions and Catalog'!$F$60,IF(((D361+E361)*C361)&lt;='Assumptions and Catalog'!$C$61,((D361+E361)*C361)*'Assumptions and Catalog'!$H$61+'Assumptions and Catalog'!$E$61+'Assumptions and Catalog'!$F$61,IF(((D361+E361)*C361)&lt;='Assumptions and Catalog'!$C$62,((D361+E361)*C361)*'Assumptions and Catalog'!$H$62+'Assumptions and Catalog'!$E$62+'Assumptions and Catalog'!$F$62,IF(((D361+E361)*C361)&lt;='Assumptions and Catalog'!$C$63,((D361+E361)*C361)*'Assumptions and Catalog'!$H$63+'Assumptions and Catalog'!$E$63+'Assumptions and Catalog'!$F$63,IF(((D361+E361)*C361)&lt;='Assumptions and Catalog'!$C$64,((D361+E361)*C361)*'Assumptions and Catalog'!$H$64+'Assumptions and Catalog'!$E$64+'Assumptions and Catalog'!$F$64,IF(((D361+E361)*C361)&lt;='Assumptions and Catalog'!$C$65,((D361+E361)*C361)*'Assumptions and Catalog'!$H$65+'Assumptions and Catalog'!$E$65+'Assumptions and Catalog'!$F$65,"Out of range")))))))))*(1+'Assumptions and Catalog'!$C$8)^(A361-1),0)</f>
        <v>6867.22</v>
      </c>
      <c r="N361" s="5" t="n">
        <f>IF(ISNUMBER(Inputs!$L$5),(IF(Inputs!$L$9="Actual flat rate",L361*Inputs!$L$10,IF(Inputs!$C$9="Residential",IF(L361&lt;='Assumptions and Catalog'!$C$50,L361*'Assumptions and Catalog'!$H$50+'Assumptions and Catalog'!$E$50+'Assumptions and Catalog'!$F$50,IF(L361&lt;='Assumptions and Catalog'!$C$51,L361*'Assumptions and Catalog'!$H$51+'Assumptions and Catalog'!$E$51+'Assumptions and Catalog'!$F$51,IF(L361&lt;='Assumptions and Catalog'!$C$52,L361*'Assumptions and Catalog'!$H$52+'Assumptions and Catalog'!$E$52+'Assumptions and Catalog'!$F$52,IF(L361&lt;='Assumptions and Catalog'!$C$53,L361*'Assumptions and Catalog'!$H$53+'Assumptions and Catalog'!$E$53+'Assumptions and Catalog'!$F$53,IF(L361&lt;='Assumptions and Catalog'!$C$54,L361*'Assumptions and Catalog'!$H$54+'Assumptions and Catalog'!$E$54+'Assumptions and Catalog'!$F$54,IF(L361&lt;='Assumptions and Catalog'!$C$55,L361*'Assumptions and Catalog'!$H$55+'Assumptions and Catalog'!$E$55+'Assumptions and Catalog'!$F$55,IF(L361&lt;='Assumptions and Catalog'!$C$56,L361*'Assumptions and Catalog'!$H$56+'Assumptions and Catalog'!$E$56+'Assumptions and Catalog'!$F$56,IF(L361&lt;='Assumptions and Catalog'!$C$57,L361*'Assumptions and Catalog'!$H$57+'Assumptions and Catalog'!$E$57+'Assumptions and Catalog'!$F$57,"Out of range")))))))),IF(L361&lt;='Assumptions and Catalog'!$C$60,L361*'Assumptions and Catalog'!$H$60+'Assumptions and Catalog'!$E$60+'Assumptions and Catalog'!$F$60,IF(L361&lt;='Assumptions and Catalog'!$C$61,L361*'Assumptions and Catalog'!$H$61+'Assumptions and Catalog'!$E$61+'Assumptions and Catalog'!$F$61,IF(L361&lt;='Assumptions and Catalog'!$C$62,L361*'Assumptions and Catalog'!$H$62+'Assumptions and Catalog'!$E$62+'Assumptions and Catalog'!$F$62,IF(L361&lt;='Assumptions and Catalog'!$C$63,L361*'Assumptions and Catalog'!$H$63+'Assumptions and Catalog'!$E$63+'Assumptions and Catalog'!$F$63,IF(L361&lt;='Assumptions and Catalog'!$C$64,L361*'Assumptions and Catalog'!$H$64+'Assumptions and Catalog'!$E$64+'Assumptions and Catalog'!$F$64,IF(L361&lt;='Assumptions and Catalog'!$C$65,L361*'Assumptions and Catalog'!$H$65+'Assumptions and Catalog'!$E$65+'Assumptions and Catalog'!$F$65,"Out of range")))))))))*(1+'Assumptions and Catalog'!$C$8)^(A361-1),0)</f>
        <v>3453.61</v>
      </c>
      <c r="O361" s="5" t="n">
        <f>M361-N361</f>
        <v>3413.61</v>
      </c>
      <c r="P361" s="5" t="n">
        <f>C$55*(1-J$14)*(1-'Assumptions and Catalog'!$C$23)^R361</f>
        <v>0</v>
      </c>
      <c r="Q361" s="5" t="n">
        <f>IF(ISNUMBER(Inputs!$L$5),(IF(Inputs!$L$9="Actual flat rate",((D361+E361)*C361-G361)*Inputs!$L$10,IF(Inputs!$C$9="Residential",IF(((D361+E361)*C361-G361)&lt;='Assumptions and Catalog'!$C$50,((D361+E361)*C361-G361)*'Assumptions and Catalog'!$H$50+'Assumptions and Catalog'!$E$50+'Assumptions and Catalog'!$F$50,IF(((D361+E361)*C361-G361)&lt;='Assumptions and Catalog'!$C$51,((D361+E361)*C361-G361)*'Assumptions and Catalog'!$H$51+'Assumptions and Catalog'!$E$51+'Assumptions and Catalog'!$F$51,IF(((D361+E361)*C361-G361)&lt;='Assumptions and Catalog'!$C$52,((D361+E361)*C361-G361)*'Assumptions and Catalog'!$H$52+'Assumptions and Catalog'!$E$52+'Assumptions and Catalog'!$F$52,IF(((D361+E361)*C361-G361)&lt;='Assumptions and Catalog'!$C$53,((D361+E361)*C361-G361)*'Assumptions and Catalog'!$H$53+'Assumptions and Catalog'!$E$53+'Assumptions and Catalog'!$F$53,IF(((D361+E361)*C361-G361)&lt;='Assumptions and Catalog'!$C$54,((D361+E361)*C361-G361)*'Assumptions and Catalog'!$H$54+'Assumptions and Catalog'!$E$54+'Assumptions and Catalog'!$F$54,IF(((D361+E361)*C361-G361)&lt;='Assumptions and Catalog'!$C$55,((D361+E361)*C361-G361)*'Assumptions and Catalog'!$H$55+'Assumptions and Catalog'!$E$55+'Assumptions and Catalog'!$F$55,IF(((D361+E361)*C361-G361)&lt;='Assumptions and Catalog'!$C$56,((D361+E361)*C361-G361)*'Assumptions and Catalog'!$H$56+'Assumptions and Catalog'!$E$56+'Assumptions and Catalog'!$F$56,IF(((D361+E361)*C361-G361)&lt;='Assumptions and Catalog'!$C$57,((D361+E361)*C361-G361)*'Assumptions and Catalog'!$H$57+'Assumptions and Catalog'!$E$57+'Assumptions and Catalog'!$F$57,"Out of range")))))))),IF(((D361+E361)*C361-G361)&lt;='Assumptions and Catalog'!$C$60,((D361+E361)*C361-G361)*'Assumptions and Catalog'!$H$60+'Assumptions and Catalog'!$E$60+'Assumptions and Catalog'!$F$60,IF(((D361+E361)*C361-G361)&lt;='Assumptions and Catalog'!$C$61,((D361+E361)*C361-G361)*'Assumptions and Catalog'!$H$61+'Assumptions and Catalog'!$E$61+'Assumptions and Catalog'!$F$61,IF(((D361+E361)*C361-G361)&lt;='Assumptions and Catalog'!$C$62,((D361+E361)*C361-G361)*'Assumptions and Catalog'!$H$62+'Assumptions and Catalog'!$E$62+'Assumptions and Catalog'!$F$62,IF(((D361+E361)*C361-G361)&lt;='Assumptions and Catalog'!$C$63,((D361+E361)*C361-G361)*'Assumptions and Catalog'!$H$63+'Assumptions and Catalog'!$E$63+'Assumptions and Catalog'!$F$63,IF(((D361+E361)*C361-G361)&lt;='Assumptions and Catalog'!$C$64,((D361+E361)*C361-G361)*'Assumptions and Catalog'!$H$64+'Assumptions and Catalog'!$E$64+'Assumptions and Catalog'!$F$64,IF(((D361+E361)*C361-G361)&lt;='Assumptions and Catalog'!$C$65,((D361+E361)*C361-G361)*'Assumptions and Catalog'!$H$65+'Assumptions and Catalog'!$E$65+'Assumptions and Catalog'!$F$65,"Out of range")))))))))*(1+'Assumptions and Catalog'!$C$8)^(A361-1),0)</f>
        <v>3453.61</v>
      </c>
      <c r="R361" s="5" t="n">
        <f>IF(AND('Assumptions and Catalog'!$C$19&gt;0,A361&gt;='Assumptions and Catalog'!$C$19),A361-'Assumptions and Catalog'!$C$19,A361-1)</f>
        <v>6</v>
      </c>
      <c r="S361" s="5" t="n">
        <f>F361+L361-(D361+E361)*C361-J361-K361-0</f>
        <v>0</v>
      </c>
      <c r="T361" s="5"/>
      <c r="U361" s="5"/>
    </row>
    <row r="362" ht="23.100000381469727" customHeight="1">
      <c r="A362" s="5" t="n">
        <v>17</v>
      </c>
      <c r="B362" s="5" t="n">
        <v>10</v>
      </c>
      <c r="C362" s="5" t="n">
        <f>DAY(DATE('Assumptions and Catalog'!$C$24+A362-1,B362+1,0))</f>
        <v>31</v>
      </c>
      <c r="D362" s="5" t="n">
        <f>IF(ISNUMBER(Inputs!$L$5),Inputs!$L$5*Inputs!$L$6,0)</f>
        <v>40.35</v>
      </c>
      <c r="E362" s="5" t="n">
        <f>IF(ISNUMBER(Inputs!$L$5),Inputs!$L$5-D362,0)</f>
        <v>40.35</v>
      </c>
      <c r="F362" s="5" t="n">
        <f>C$51*INDEX('Solar Production'!$D$20:$D$31,B362)*C362*(1-'Assumptions and Catalog'!$C$10)^(A362-1)</f>
        <v>1255.0608099721</v>
      </c>
      <c r="G362" s="5" t="n">
        <f>MIN(F362,D362*C362)</f>
        <v>1250.85</v>
      </c>
      <c r="H362" s="5" t="n">
        <f>I362/('Assumptions and Catalog'!$C$11*'Assumptions and Catalog'!$C$12)</f>
        <v>0</v>
      </c>
      <c r="I362" s="5" t="n">
        <f>0</f>
        <v>0</v>
      </c>
      <c r="J362" s="5" t="n">
        <f>MAX(F362-G362-H362,0)</f>
        <v>4.21080997210083</v>
      </c>
      <c r="K362" s="5" t="n">
        <f>H362-I362</f>
        <v>0</v>
      </c>
      <c r="L362" s="5" t="n">
        <f>(D362+E362)*C362-G362-I362+0+0</f>
        <v>1250.85</v>
      </c>
      <c r="M362" s="5" t="n">
        <f>IF(ISNUMBER(Inputs!$L$5),(IF(Inputs!$L$9="Actual flat rate",((D362+E362)*C362)*Inputs!$L$10,IF(Inputs!$C$9="Residential",IF(((D362+E362)*C362)&lt;='Assumptions and Catalog'!$C$50,((D362+E362)*C362)*'Assumptions and Catalog'!$H$50+'Assumptions and Catalog'!$E$50+'Assumptions and Catalog'!$F$50,IF(((D362+E362)*C362)&lt;='Assumptions and Catalog'!$C$51,((D362+E362)*C362)*'Assumptions and Catalog'!$H$51+'Assumptions and Catalog'!$E$51+'Assumptions and Catalog'!$F$51,IF(((D362+E362)*C362)&lt;='Assumptions and Catalog'!$C$52,((D362+E362)*C362)*'Assumptions and Catalog'!$H$52+'Assumptions and Catalog'!$E$52+'Assumptions and Catalog'!$F$52,IF(((D362+E362)*C362)&lt;='Assumptions and Catalog'!$C$53,((D362+E362)*C362)*'Assumptions and Catalog'!$H$53+'Assumptions and Catalog'!$E$53+'Assumptions and Catalog'!$F$53,IF(((D362+E362)*C362)&lt;='Assumptions and Catalog'!$C$54,((D362+E362)*C362)*'Assumptions and Catalog'!$H$54+'Assumptions and Catalog'!$E$54+'Assumptions and Catalog'!$F$54,IF(((D362+E362)*C362)&lt;='Assumptions and Catalog'!$C$55,((D362+E362)*C362)*'Assumptions and Catalog'!$H$55+'Assumptions and Catalog'!$E$55+'Assumptions and Catalog'!$F$55,IF(((D362+E362)*C362)&lt;='Assumptions and Catalog'!$C$56,((D362+E362)*C362)*'Assumptions and Catalog'!$H$56+'Assumptions and Catalog'!$E$56+'Assumptions and Catalog'!$F$56,IF(((D362+E362)*C362)&lt;='Assumptions and Catalog'!$C$57,((D362+E362)*C362)*'Assumptions and Catalog'!$H$57+'Assumptions and Catalog'!$E$57+'Assumptions and Catalog'!$F$57,"Out of range")))))))),IF(((D362+E362)*C362)&lt;='Assumptions and Catalog'!$C$60,((D362+E362)*C362)*'Assumptions and Catalog'!$H$60+'Assumptions and Catalog'!$E$60+'Assumptions and Catalog'!$F$60,IF(((D362+E362)*C362)&lt;='Assumptions and Catalog'!$C$61,((D362+E362)*C362)*'Assumptions and Catalog'!$H$61+'Assumptions and Catalog'!$E$61+'Assumptions and Catalog'!$F$61,IF(((D362+E362)*C362)&lt;='Assumptions and Catalog'!$C$62,((D362+E362)*C362)*'Assumptions and Catalog'!$H$62+'Assumptions and Catalog'!$E$62+'Assumptions and Catalog'!$F$62,IF(((D362+E362)*C362)&lt;='Assumptions and Catalog'!$C$63,((D362+E362)*C362)*'Assumptions and Catalog'!$H$63+'Assumptions and Catalog'!$E$63+'Assumptions and Catalog'!$F$63,IF(((D362+E362)*C362)&lt;='Assumptions and Catalog'!$C$64,((D362+E362)*C362)*'Assumptions and Catalog'!$H$64+'Assumptions and Catalog'!$E$64+'Assumptions and Catalog'!$F$64,IF(((D362+E362)*C362)&lt;='Assumptions and Catalog'!$C$65,((D362+E362)*C362)*'Assumptions and Catalog'!$H$65+'Assumptions and Catalog'!$E$65+'Assumptions and Catalog'!$F$65,"Out of range")))))))))*(1+'Assumptions and Catalog'!$C$8)^(A362-1),0)</f>
        <v>7094.794</v>
      </c>
      <c r="N362" s="5" t="n">
        <f>IF(ISNUMBER(Inputs!$L$5),(IF(Inputs!$L$9="Actual flat rate",L362*Inputs!$L$10,IF(Inputs!$C$9="Residential",IF(L362&lt;='Assumptions and Catalog'!$C$50,L362*'Assumptions and Catalog'!$H$50+'Assumptions and Catalog'!$E$50+'Assumptions and Catalog'!$F$50,IF(L362&lt;='Assumptions and Catalog'!$C$51,L362*'Assumptions and Catalog'!$H$51+'Assumptions and Catalog'!$E$51+'Assumptions and Catalog'!$F$51,IF(L362&lt;='Assumptions and Catalog'!$C$52,L362*'Assumptions and Catalog'!$H$52+'Assumptions and Catalog'!$E$52+'Assumptions and Catalog'!$F$52,IF(L362&lt;='Assumptions and Catalog'!$C$53,L362*'Assumptions and Catalog'!$H$53+'Assumptions and Catalog'!$E$53+'Assumptions and Catalog'!$F$53,IF(L362&lt;='Assumptions and Catalog'!$C$54,L362*'Assumptions and Catalog'!$H$54+'Assumptions and Catalog'!$E$54+'Assumptions and Catalog'!$F$54,IF(L362&lt;='Assumptions and Catalog'!$C$55,L362*'Assumptions and Catalog'!$H$55+'Assumptions and Catalog'!$E$55+'Assumptions and Catalog'!$F$55,IF(L362&lt;='Assumptions and Catalog'!$C$56,L362*'Assumptions and Catalog'!$H$56+'Assumptions and Catalog'!$E$56+'Assumptions and Catalog'!$F$56,IF(L362&lt;='Assumptions and Catalog'!$C$57,L362*'Assumptions and Catalog'!$H$57+'Assumptions and Catalog'!$E$57+'Assumptions and Catalog'!$F$57,"Out of range")))))))),IF(L362&lt;='Assumptions and Catalog'!$C$60,L362*'Assumptions and Catalog'!$H$60+'Assumptions and Catalog'!$E$60+'Assumptions and Catalog'!$F$60,IF(L362&lt;='Assumptions and Catalog'!$C$61,L362*'Assumptions and Catalog'!$H$61+'Assumptions and Catalog'!$E$61+'Assumptions and Catalog'!$F$61,IF(L362&lt;='Assumptions and Catalog'!$C$62,L362*'Assumptions and Catalog'!$H$62+'Assumptions and Catalog'!$E$62+'Assumptions and Catalog'!$F$62,IF(L362&lt;='Assumptions and Catalog'!$C$63,L362*'Assumptions and Catalog'!$H$63+'Assumptions and Catalog'!$E$63+'Assumptions and Catalog'!$F$63,IF(L362&lt;='Assumptions and Catalog'!$C$64,L362*'Assumptions and Catalog'!$H$64+'Assumptions and Catalog'!$E$64+'Assumptions and Catalog'!$F$64,IF(L362&lt;='Assumptions and Catalog'!$C$65,L362*'Assumptions and Catalog'!$H$65+'Assumptions and Catalog'!$E$65+'Assumptions and Catalog'!$F$65,"Out of range")))))))))*(1+'Assumptions and Catalog'!$C$8)^(A362-1),0)</f>
        <v>3567.397</v>
      </c>
      <c r="O362" s="5" t="n">
        <f>M362-N362</f>
        <v>3527.397</v>
      </c>
      <c r="P362" s="5" t="n">
        <f>C$55*(1-J$14)*(1-'Assumptions and Catalog'!$C$23)^R362</f>
        <v>0</v>
      </c>
      <c r="Q362" s="5" t="n">
        <f>IF(ISNUMBER(Inputs!$L$5),(IF(Inputs!$L$9="Actual flat rate",((D362+E362)*C362-G362)*Inputs!$L$10,IF(Inputs!$C$9="Residential",IF(((D362+E362)*C362-G362)&lt;='Assumptions and Catalog'!$C$50,((D362+E362)*C362-G362)*'Assumptions and Catalog'!$H$50+'Assumptions and Catalog'!$E$50+'Assumptions and Catalog'!$F$50,IF(((D362+E362)*C362-G362)&lt;='Assumptions and Catalog'!$C$51,((D362+E362)*C362-G362)*'Assumptions and Catalog'!$H$51+'Assumptions and Catalog'!$E$51+'Assumptions and Catalog'!$F$51,IF(((D362+E362)*C362-G362)&lt;='Assumptions and Catalog'!$C$52,((D362+E362)*C362-G362)*'Assumptions and Catalog'!$H$52+'Assumptions and Catalog'!$E$52+'Assumptions and Catalog'!$F$52,IF(((D362+E362)*C362-G362)&lt;='Assumptions and Catalog'!$C$53,((D362+E362)*C362-G362)*'Assumptions and Catalog'!$H$53+'Assumptions and Catalog'!$E$53+'Assumptions and Catalog'!$F$53,IF(((D362+E362)*C362-G362)&lt;='Assumptions and Catalog'!$C$54,((D362+E362)*C362-G362)*'Assumptions and Catalog'!$H$54+'Assumptions and Catalog'!$E$54+'Assumptions and Catalog'!$F$54,IF(((D362+E362)*C362-G362)&lt;='Assumptions and Catalog'!$C$55,((D362+E362)*C362-G362)*'Assumptions and Catalog'!$H$55+'Assumptions and Catalog'!$E$55+'Assumptions and Catalog'!$F$55,IF(((D362+E362)*C362-G362)&lt;='Assumptions and Catalog'!$C$56,((D362+E362)*C362-G362)*'Assumptions and Catalog'!$H$56+'Assumptions and Catalog'!$E$56+'Assumptions and Catalog'!$F$56,IF(((D362+E362)*C362-G362)&lt;='Assumptions and Catalog'!$C$57,((D362+E362)*C362-G362)*'Assumptions and Catalog'!$H$57+'Assumptions and Catalog'!$E$57+'Assumptions and Catalog'!$F$57,"Out of range")))))))),IF(((D362+E362)*C362-G362)&lt;='Assumptions and Catalog'!$C$60,((D362+E362)*C362-G362)*'Assumptions and Catalog'!$H$60+'Assumptions and Catalog'!$E$60+'Assumptions and Catalog'!$F$60,IF(((D362+E362)*C362-G362)&lt;='Assumptions and Catalog'!$C$61,((D362+E362)*C362-G362)*'Assumptions and Catalog'!$H$61+'Assumptions and Catalog'!$E$61+'Assumptions and Catalog'!$F$61,IF(((D362+E362)*C362-G362)&lt;='Assumptions and Catalog'!$C$62,((D362+E362)*C362-G362)*'Assumptions and Catalog'!$H$62+'Assumptions and Catalog'!$E$62+'Assumptions and Catalog'!$F$62,IF(((D362+E362)*C362-G362)&lt;='Assumptions and Catalog'!$C$63,((D362+E362)*C362-G362)*'Assumptions and Catalog'!$H$63+'Assumptions and Catalog'!$E$63+'Assumptions and Catalog'!$F$63,IF(((D362+E362)*C362-G362)&lt;='Assumptions and Catalog'!$C$64,((D362+E362)*C362-G362)*'Assumptions and Catalog'!$H$64+'Assumptions and Catalog'!$E$64+'Assumptions and Catalog'!$F$64,IF(((D362+E362)*C362-G362)&lt;='Assumptions and Catalog'!$C$65,((D362+E362)*C362-G362)*'Assumptions and Catalog'!$H$65+'Assumptions and Catalog'!$E$65+'Assumptions and Catalog'!$F$65,"Out of range")))))))))*(1+'Assumptions and Catalog'!$C$8)^(A362-1),0)</f>
        <v>3567.397</v>
      </c>
      <c r="R362" s="5" t="n">
        <f>IF(AND('Assumptions and Catalog'!$C$19&gt;0,A362&gt;='Assumptions and Catalog'!$C$19),A362-'Assumptions and Catalog'!$C$19,A362-1)</f>
        <v>6</v>
      </c>
      <c r="S362" s="5" t="n">
        <f>F362+L362-(D362+E362)*C362-J362-K362-0</f>
        <v>0</v>
      </c>
      <c r="T362" s="5"/>
      <c r="U362" s="5"/>
    </row>
    <row r="363" ht="23.100000381469727" customHeight="1">
      <c r="A363" s="5" t="n">
        <v>17</v>
      </c>
      <c r="B363" s="5" t="n">
        <v>11</v>
      </c>
      <c r="C363" s="5" t="n">
        <f>DAY(DATE('Assumptions and Catalog'!$C$24+A363-1,B363+1,0))</f>
        <v>30</v>
      </c>
      <c r="D363" s="5" t="n">
        <f>IF(ISNUMBER(Inputs!$L$5),Inputs!$L$5*Inputs!$L$6,0)</f>
        <v>40.35</v>
      </c>
      <c r="E363" s="5" t="n">
        <f>IF(ISNUMBER(Inputs!$L$5),Inputs!$L$5-D363,0)</f>
        <v>40.35</v>
      </c>
      <c r="F363" s="5" t="n">
        <f>C$51*INDEX('Solar Production'!$D$20:$D$31,B363)*C363*(1-'Assumptions and Catalog'!$C$10)^(A363-1)</f>
        <v>1112.44210924661</v>
      </c>
      <c r="G363" s="5" t="n">
        <f>MIN(F363,D363*C363)</f>
        <v>1112.44210924661</v>
      </c>
      <c r="H363" s="5" t="n">
        <f>I363/('Assumptions and Catalog'!$C$11*'Assumptions and Catalog'!$C$12)</f>
        <v>0</v>
      </c>
      <c r="I363" s="5" t="n">
        <f>0</f>
        <v>0</v>
      </c>
      <c r="J363" s="5" t="n">
        <f>MAX(F363-G363-H363,0)</f>
        <v>0</v>
      </c>
      <c r="K363" s="5" t="n">
        <f>H363-I363</f>
        <v>0</v>
      </c>
      <c r="L363" s="5" t="n">
        <f>(D363+E363)*C363-G363-I363+0+0</f>
        <v>1308.55789075339</v>
      </c>
      <c r="M363" s="5" t="n">
        <f>IF(ISNUMBER(Inputs!$L$5),(IF(Inputs!$L$9="Actual flat rate",((D363+E363)*C363)*Inputs!$L$10,IF(Inputs!$C$9="Residential",IF(((D363+E363)*C363)&lt;='Assumptions and Catalog'!$C$50,((D363+E363)*C363)*'Assumptions and Catalog'!$H$50+'Assumptions and Catalog'!$E$50+'Assumptions and Catalog'!$F$50,IF(((D363+E363)*C363)&lt;='Assumptions and Catalog'!$C$51,((D363+E363)*C363)*'Assumptions and Catalog'!$H$51+'Assumptions and Catalog'!$E$51+'Assumptions and Catalog'!$F$51,IF(((D363+E363)*C363)&lt;='Assumptions and Catalog'!$C$52,((D363+E363)*C363)*'Assumptions and Catalog'!$H$52+'Assumptions and Catalog'!$E$52+'Assumptions and Catalog'!$F$52,IF(((D363+E363)*C363)&lt;='Assumptions and Catalog'!$C$53,((D363+E363)*C363)*'Assumptions and Catalog'!$H$53+'Assumptions and Catalog'!$E$53+'Assumptions and Catalog'!$F$53,IF(((D363+E363)*C363)&lt;='Assumptions and Catalog'!$C$54,((D363+E363)*C363)*'Assumptions and Catalog'!$H$54+'Assumptions and Catalog'!$E$54+'Assumptions and Catalog'!$F$54,IF(((D363+E363)*C363)&lt;='Assumptions and Catalog'!$C$55,((D363+E363)*C363)*'Assumptions and Catalog'!$H$55+'Assumptions and Catalog'!$E$55+'Assumptions and Catalog'!$F$55,IF(((D363+E363)*C363)&lt;='Assumptions and Catalog'!$C$56,((D363+E363)*C363)*'Assumptions and Catalog'!$H$56+'Assumptions and Catalog'!$E$56+'Assumptions and Catalog'!$F$56,IF(((D363+E363)*C363)&lt;='Assumptions and Catalog'!$C$57,((D363+E363)*C363)*'Assumptions and Catalog'!$H$57+'Assumptions and Catalog'!$E$57+'Assumptions and Catalog'!$F$57,"Out of range")))))))),IF(((D363+E363)*C363)&lt;='Assumptions and Catalog'!$C$60,((D363+E363)*C363)*'Assumptions and Catalog'!$H$60+'Assumptions and Catalog'!$E$60+'Assumptions and Catalog'!$F$60,IF(((D363+E363)*C363)&lt;='Assumptions and Catalog'!$C$61,((D363+E363)*C363)*'Assumptions and Catalog'!$H$61+'Assumptions and Catalog'!$E$61+'Assumptions and Catalog'!$F$61,IF(((D363+E363)*C363)&lt;='Assumptions and Catalog'!$C$62,((D363+E363)*C363)*'Assumptions and Catalog'!$H$62+'Assumptions and Catalog'!$E$62+'Assumptions and Catalog'!$F$62,IF(((D363+E363)*C363)&lt;='Assumptions and Catalog'!$C$63,((D363+E363)*C363)*'Assumptions and Catalog'!$H$63+'Assumptions and Catalog'!$E$63+'Assumptions and Catalog'!$F$63,IF(((D363+E363)*C363)&lt;='Assumptions and Catalog'!$C$64,((D363+E363)*C363)*'Assumptions and Catalog'!$H$64+'Assumptions and Catalog'!$E$64+'Assumptions and Catalog'!$F$64,IF(((D363+E363)*C363)&lt;='Assumptions and Catalog'!$C$65,((D363+E363)*C363)*'Assumptions and Catalog'!$H$65+'Assumptions and Catalog'!$E$65+'Assumptions and Catalog'!$F$65,"Out of range")))))))))*(1+'Assumptions and Catalog'!$C$8)^(A363-1),0)</f>
        <v>6867.22</v>
      </c>
      <c r="N363" s="5" t="n">
        <f>IF(ISNUMBER(Inputs!$L$5),(IF(Inputs!$L$9="Actual flat rate",L363*Inputs!$L$10,IF(Inputs!$C$9="Residential",IF(L363&lt;='Assumptions and Catalog'!$C$50,L363*'Assumptions and Catalog'!$H$50+'Assumptions and Catalog'!$E$50+'Assumptions and Catalog'!$F$50,IF(L363&lt;='Assumptions and Catalog'!$C$51,L363*'Assumptions and Catalog'!$H$51+'Assumptions and Catalog'!$E$51+'Assumptions and Catalog'!$F$51,IF(L363&lt;='Assumptions and Catalog'!$C$52,L363*'Assumptions and Catalog'!$H$52+'Assumptions and Catalog'!$E$52+'Assumptions and Catalog'!$F$52,IF(L363&lt;='Assumptions and Catalog'!$C$53,L363*'Assumptions and Catalog'!$H$53+'Assumptions and Catalog'!$E$53+'Assumptions and Catalog'!$F$53,IF(L363&lt;='Assumptions and Catalog'!$C$54,L363*'Assumptions and Catalog'!$H$54+'Assumptions and Catalog'!$E$54+'Assumptions and Catalog'!$F$54,IF(L363&lt;='Assumptions and Catalog'!$C$55,L363*'Assumptions and Catalog'!$H$55+'Assumptions and Catalog'!$E$55+'Assumptions and Catalog'!$F$55,IF(L363&lt;='Assumptions and Catalog'!$C$56,L363*'Assumptions and Catalog'!$H$56+'Assumptions and Catalog'!$E$56+'Assumptions and Catalog'!$F$56,IF(L363&lt;='Assumptions and Catalog'!$C$57,L363*'Assumptions and Catalog'!$H$57+'Assumptions and Catalog'!$E$57+'Assumptions and Catalog'!$F$57,"Out of range")))))))),IF(L363&lt;='Assumptions and Catalog'!$C$60,L363*'Assumptions and Catalog'!$H$60+'Assumptions and Catalog'!$E$60+'Assumptions and Catalog'!$F$60,IF(L363&lt;='Assumptions and Catalog'!$C$61,L363*'Assumptions and Catalog'!$H$61+'Assumptions and Catalog'!$E$61+'Assumptions and Catalog'!$F$61,IF(L363&lt;='Assumptions and Catalog'!$C$62,L363*'Assumptions and Catalog'!$H$62+'Assumptions and Catalog'!$E$62+'Assumptions and Catalog'!$F$62,IF(L363&lt;='Assumptions and Catalog'!$C$63,L363*'Assumptions and Catalog'!$H$63+'Assumptions and Catalog'!$E$63+'Assumptions and Catalog'!$F$63,IF(L363&lt;='Assumptions and Catalog'!$C$64,L363*'Assumptions and Catalog'!$H$64+'Assumptions and Catalog'!$E$64+'Assumptions and Catalog'!$F$64,IF(L363&lt;='Assumptions and Catalog'!$C$65,L363*'Assumptions and Catalog'!$H$65+'Assumptions and Catalog'!$E$65+'Assumptions and Catalog'!$F$65,"Out of range")))))))))*(1+'Assumptions and Catalog'!$C$8)^(A363-1),0)</f>
        <v>3730.13325192456</v>
      </c>
      <c r="O363" s="5" t="n">
        <f>M363-N363</f>
        <v>3137.08674807544</v>
      </c>
      <c r="P363" s="5" t="n">
        <f>C$55*(1-J$14)*(1-'Assumptions and Catalog'!$C$23)^R363</f>
        <v>0</v>
      </c>
      <c r="Q363" s="5" t="n">
        <f>IF(ISNUMBER(Inputs!$L$5),(IF(Inputs!$L$9="Actual flat rate",((D363+E363)*C363-G363)*Inputs!$L$10,IF(Inputs!$C$9="Residential",IF(((D363+E363)*C363-G363)&lt;='Assumptions and Catalog'!$C$50,((D363+E363)*C363-G363)*'Assumptions and Catalog'!$H$50+'Assumptions and Catalog'!$E$50+'Assumptions and Catalog'!$F$50,IF(((D363+E363)*C363-G363)&lt;='Assumptions and Catalog'!$C$51,((D363+E363)*C363-G363)*'Assumptions and Catalog'!$H$51+'Assumptions and Catalog'!$E$51+'Assumptions and Catalog'!$F$51,IF(((D363+E363)*C363-G363)&lt;='Assumptions and Catalog'!$C$52,((D363+E363)*C363-G363)*'Assumptions and Catalog'!$H$52+'Assumptions and Catalog'!$E$52+'Assumptions and Catalog'!$F$52,IF(((D363+E363)*C363-G363)&lt;='Assumptions and Catalog'!$C$53,((D363+E363)*C363-G363)*'Assumptions and Catalog'!$H$53+'Assumptions and Catalog'!$E$53+'Assumptions and Catalog'!$F$53,IF(((D363+E363)*C363-G363)&lt;='Assumptions and Catalog'!$C$54,((D363+E363)*C363-G363)*'Assumptions and Catalog'!$H$54+'Assumptions and Catalog'!$E$54+'Assumptions and Catalog'!$F$54,IF(((D363+E363)*C363-G363)&lt;='Assumptions and Catalog'!$C$55,((D363+E363)*C363-G363)*'Assumptions and Catalog'!$H$55+'Assumptions and Catalog'!$E$55+'Assumptions and Catalog'!$F$55,IF(((D363+E363)*C363-G363)&lt;='Assumptions and Catalog'!$C$56,((D363+E363)*C363-G363)*'Assumptions and Catalog'!$H$56+'Assumptions and Catalog'!$E$56+'Assumptions and Catalog'!$F$56,IF(((D363+E363)*C363-G363)&lt;='Assumptions and Catalog'!$C$57,((D363+E363)*C363-G363)*'Assumptions and Catalog'!$H$57+'Assumptions and Catalog'!$E$57+'Assumptions and Catalog'!$F$57,"Out of range")))))))),IF(((D363+E363)*C363-G363)&lt;='Assumptions and Catalog'!$C$60,((D363+E363)*C363-G363)*'Assumptions and Catalog'!$H$60+'Assumptions and Catalog'!$E$60+'Assumptions and Catalog'!$F$60,IF(((D363+E363)*C363-G363)&lt;='Assumptions and Catalog'!$C$61,((D363+E363)*C363-G363)*'Assumptions and Catalog'!$H$61+'Assumptions and Catalog'!$E$61+'Assumptions and Catalog'!$F$61,IF(((D363+E363)*C363-G363)&lt;='Assumptions and Catalog'!$C$62,((D363+E363)*C363-G363)*'Assumptions and Catalog'!$H$62+'Assumptions and Catalog'!$E$62+'Assumptions and Catalog'!$F$62,IF(((D363+E363)*C363-G363)&lt;='Assumptions and Catalog'!$C$63,((D363+E363)*C363-G363)*'Assumptions and Catalog'!$H$63+'Assumptions and Catalog'!$E$63+'Assumptions and Catalog'!$F$63,IF(((D363+E363)*C363-G363)&lt;='Assumptions and Catalog'!$C$64,((D363+E363)*C363-G363)*'Assumptions and Catalog'!$H$64+'Assumptions and Catalog'!$E$64+'Assumptions and Catalog'!$F$64,IF(((D363+E363)*C363-G363)&lt;='Assumptions and Catalog'!$C$65,((D363+E363)*C363-G363)*'Assumptions and Catalog'!$H$65+'Assumptions and Catalog'!$E$65+'Assumptions and Catalog'!$F$65,"Out of range")))))))))*(1+'Assumptions and Catalog'!$C$8)^(A363-1),0)</f>
        <v>3730.13325192456</v>
      </c>
      <c r="R363" s="5" t="n">
        <f>IF(AND('Assumptions and Catalog'!$C$19&gt;0,A363&gt;='Assumptions and Catalog'!$C$19),A363-'Assumptions and Catalog'!$C$19,A363-1)</f>
        <v>6</v>
      </c>
      <c r="S363" s="5" t="n">
        <f>F363+L363-(D363+E363)*C363-J363-K363-0</f>
        <v>0</v>
      </c>
      <c r="T363" s="5"/>
      <c r="U363" s="5"/>
    </row>
    <row r="364" ht="23.100000381469727" customHeight="1">
      <c r="A364" s="5" t="n">
        <v>17</v>
      </c>
      <c r="B364" s="5" t="n">
        <v>12</v>
      </c>
      <c r="C364" s="5" t="n">
        <f>DAY(DATE('Assumptions and Catalog'!$C$24+A364-1,B364+1,0))</f>
        <v>31</v>
      </c>
      <c r="D364" s="5" t="n">
        <f>IF(ISNUMBER(Inputs!$L$5),Inputs!$L$5*Inputs!$L$6,0)</f>
        <v>40.35</v>
      </c>
      <c r="E364" s="5" t="n">
        <f>IF(ISNUMBER(Inputs!$L$5),Inputs!$L$5-D364,0)</f>
        <v>40.35</v>
      </c>
      <c r="F364" s="5" t="n">
        <f>C$51*INDEX('Solar Production'!$D$20:$D$31,B364)*C364*(1-'Assumptions and Catalog'!$C$10)^(A364-1)</f>
        <v>1059.08192338292</v>
      </c>
      <c r="G364" s="5" t="n">
        <f>MIN(F364,D364*C364)</f>
        <v>1059.08192338292</v>
      </c>
      <c r="H364" s="5" t="n">
        <f>I364/('Assumptions and Catalog'!$C$11*'Assumptions and Catalog'!$C$12)</f>
        <v>0</v>
      </c>
      <c r="I364" s="5" t="n">
        <f>0</f>
        <v>0</v>
      </c>
      <c r="J364" s="5" t="n">
        <f>MAX(F364-G364-H364,0)</f>
        <v>0</v>
      </c>
      <c r="K364" s="5" t="n">
        <f>H364-I364</f>
        <v>0</v>
      </c>
      <c r="L364" s="5" t="n">
        <f>(D364+E364)*C364-G364-I364+0+0</f>
        <v>1442.61807661708</v>
      </c>
      <c r="M364" s="5" t="n">
        <f>IF(ISNUMBER(Inputs!$L$5),(IF(Inputs!$L$9="Actual flat rate",((D364+E364)*C364)*Inputs!$L$10,IF(Inputs!$C$9="Residential",IF(((D364+E364)*C364)&lt;='Assumptions and Catalog'!$C$50,((D364+E364)*C364)*'Assumptions and Catalog'!$H$50+'Assumptions and Catalog'!$E$50+'Assumptions and Catalog'!$F$50,IF(((D364+E364)*C364)&lt;='Assumptions and Catalog'!$C$51,((D364+E364)*C364)*'Assumptions and Catalog'!$H$51+'Assumptions and Catalog'!$E$51+'Assumptions and Catalog'!$F$51,IF(((D364+E364)*C364)&lt;='Assumptions and Catalog'!$C$52,((D364+E364)*C364)*'Assumptions and Catalog'!$H$52+'Assumptions and Catalog'!$E$52+'Assumptions and Catalog'!$F$52,IF(((D364+E364)*C364)&lt;='Assumptions and Catalog'!$C$53,((D364+E364)*C364)*'Assumptions and Catalog'!$H$53+'Assumptions and Catalog'!$E$53+'Assumptions and Catalog'!$F$53,IF(((D364+E364)*C364)&lt;='Assumptions and Catalog'!$C$54,((D364+E364)*C364)*'Assumptions and Catalog'!$H$54+'Assumptions and Catalog'!$E$54+'Assumptions and Catalog'!$F$54,IF(((D364+E364)*C364)&lt;='Assumptions and Catalog'!$C$55,((D364+E364)*C364)*'Assumptions and Catalog'!$H$55+'Assumptions and Catalog'!$E$55+'Assumptions and Catalog'!$F$55,IF(((D364+E364)*C364)&lt;='Assumptions and Catalog'!$C$56,((D364+E364)*C364)*'Assumptions and Catalog'!$H$56+'Assumptions and Catalog'!$E$56+'Assumptions and Catalog'!$F$56,IF(((D364+E364)*C364)&lt;='Assumptions and Catalog'!$C$57,((D364+E364)*C364)*'Assumptions and Catalog'!$H$57+'Assumptions and Catalog'!$E$57+'Assumptions and Catalog'!$F$57,"Out of range")))))))),IF(((D364+E364)*C364)&lt;='Assumptions and Catalog'!$C$60,((D364+E364)*C364)*'Assumptions and Catalog'!$H$60+'Assumptions and Catalog'!$E$60+'Assumptions and Catalog'!$F$60,IF(((D364+E364)*C364)&lt;='Assumptions and Catalog'!$C$61,((D364+E364)*C364)*'Assumptions and Catalog'!$H$61+'Assumptions and Catalog'!$E$61+'Assumptions and Catalog'!$F$61,IF(((D364+E364)*C364)&lt;='Assumptions and Catalog'!$C$62,((D364+E364)*C364)*'Assumptions and Catalog'!$H$62+'Assumptions and Catalog'!$E$62+'Assumptions and Catalog'!$F$62,IF(((D364+E364)*C364)&lt;='Assumptions and Catalog'!$C$63,((D364+E364)*C364)*'Assumptions and Catalog'!$H$63+'Assumptions and Catalog'!$E$63+'Assumptions and Catalog'!$F$63,IF(((D364+E364)*C364)&lt;='Assumptions and Catalog'!$C$64,((D364+E364)*C364)*'Assumptions and Catalog'!$H$64+'Assumptions and Catalog'!$E$64+'Assumptions and Catalog'!$F$64,IF(((D364+E364)*C364)&lt;='Assumptions and Catalog'!$C$65,((D364+E364)*C364)*'Assumptions and Catalog'!$H$65+'Assumptions and Catalog'!$E$65+'Assumptions and Catalog'!$F$65,"Out of range")))))))))*(1+'Assumptions and Catalog'!$C$8)^(A364-1),0)</f>
        <v>7094.794</v>
      </c>
      <c r="N364" s="5" t="n">
        <f>IF(ISNUMBER(Inputs!$L$5),(IF(Inputs!$L$9="Actual flat rate",L364*Inputs!$L$10,IF(Inputs!$C$9="Residential",IF(L364&lt;='Assumptions and Catalog'!$C$50,L364*'Assumptions and Catalog'!$H$50+'Assumptions and Catalog'!$E$50+'Assumptions and Catalog'!$F$50,IF(L364&lt;='Assumptions and Catalog'!$C$51,L364*'Assumptions and Catalog'!$H$51+'Assumptions and Catalog'!$E$51+'Assumptions and Catalog'!$F$51,IF(L364&lt;='Assumptions and Catalog'!$C$52,L364*'Assumptions and Catalog'!$H$52+'Assumptions and Catalog'!$E$52+'Assumptions and Catalog'!$F$52,IF(L364&lt;='Assumptions and Catalog'!$C$53,L364*'Assumptions and Catalog'!$H$53+'Assumptions and Catalog'!$E$53+'Assumptions and Catalog'!$F$53,IF(L364&lt;='Assumptions and Catalog'!$C$54,L364*'Assumptions and Catalog'!$H$54+'Assumptions and Catalog'!$E$54+'Assumptions and Catalog'!$F$54,IF(L364&lt;='Assumptions and Catalog'!$C$55,L364*'Assumptions and Catalog'!$H$55+'Assumptions and Catalog'!$E$55+'Assumptions and Catalog'!$F$55,IF(L364&lt;='Assumptions and Catalog'!$C$56,L364*'Assumptions and Catalog'!$H$56+'Assumptions and Catalog'!$E$56+'Assumptions and Catalog'!$F$56,IF(L364&lt;='Assumptions and Catalog'!$C$57,L364*'Assumptions and Catalog'!$H$57+'Assumptions and Catalog'!$E$57+'Assumptions and Catalog'!$F$57,"Out of range")))))))),IF(L364&lt;='Assumptions and Catalog'!$C$60,L364*'Assumptions and Catalog'!$H$60+'Assumptions and Catalog'!$E$60+'Assumptions and Catalog'!$F$60,IF(L364&lt;='Assumptions and Catalog'!$C$61,L364*'Assumptions and Catalog'!$H$61+'Assumptions and Catalog'!$E$61+'Assumptions and Catalog'!$F$61,IF(L364&lt;='Assumptions and Catalog'!$C$62,L364*'Assumptions and Catalog'!$H$62+'Assumptions and Catalog'!$E$62+'Assumptions and Catalog'!$F$62,IF(L364&lt;='Assumptions and Catalog'!$C$63,L364*'Assumptions and Catalog'!$H$63+'Assumptions and Catalog'!$E$63+'Assumptions and Catalog'!$F$63,IF(L364&lt;='Assumptions and Catalog'!$C$64,L364*'Assumptions and Catalog'!$H$64+'Assumptions and Catalog'!$E$64+'Assumptions and Catalog'!$F$64,IF(L364&lt;='Assumptions and Catalog'!$C$65,L364*'Assumptions and Catalog'!$H$65+'Assumptions and Catalog'!$E$65+'Assumptions and Catalog'!$F$65,"Out of range")))))))))*(1+'Assumptions and Catalog'!$C$8)^(A364-1),0)</f>
        <v>4108.18297606018</v>
      </c>
      <c r="O364" s="5" t="n">
        <f>M364-N364</f>
        <v>2986.61102393982</v>
      </c>
      <c r="P364" s="5" t="n">
        <f>C$55*(1-J$14)*(1-'Assumptions and Catalog'!$C$23)^R364</f>
        <v>0</v>
      </c>
      <c r="Q364" s="5" t="n">
        <f>IF(ISNUMBER(Inputs!$L$5),(IF(Inputs!$L$9="Actual flat rate",((D364+E364)*C364-G364)*Inputs!$L$10,IF(Inputs!$C$9="Residential",IF(((D364+E364)*C364-G364)&lt;='Assumptions and Catalog'!$C$50,((D364+E364)*C364-G364)*'Assumptions and Catalog'!$H$50+'Assumptions and Catalog'!$E$50+'Assumptions and Catalog'!$F$50,IF(((D364+E364)*C364-G364)&lt;='Assumptions and Catalog'!$C$51,((D364+E364)*C364-G364)*'Assumptions and Catalog'!$H$51+'Assumptions and Catalog'!$E$51+'Assumptions and Catalog'!$F$51,IF(((D364+E364)*C364-G364)&lt;='Assumptions and Catalog'!$C$52,((D364+E364)*C364-G364)*'Assumptions and Catalog'!$H$52+'Assumptions and Catalog'!$E$52+'Assumptions and Catalog'!$F$52,IF(((D364+E364)*C364-G364)&lt;='Assumptions and Catalog'!$C$53,((D364+E364)*C364-G364)*'Assumptions and Catalog'!$H$53+'Assumptions and Catalog'!$E$53+'Assumptions and Catalog'!$F$53,IF(((D364+E364)*C364-G364)&lt;='Assumptions and Catalog'!$C$54,((D364+E364)*C364-G364)*'Assumptions and Catalog'!$H$54+'Assumptions and Catalog'!$E$54+'Assumptions and Catalog'!$F$54,IF(((D364+E364)*C364-G364)&lt;='Assumptions and Catalog'!$C$55,((D364+E364)*C364-G364)*'Assumptions and Catalog'!$H$55+'Assumptions and Catalog'!$E$55+'Assumptions and Catalog'!$F$55,IF(((D364+E364)*C364-G364)&lt;='Assumptions and Catalog'!$C$56,((D364+E364)*C364-G364)*'Assumptions and Catalog'!$H$56+'Assumptions and Catalog'!$E$56+'Assumptions and Catalog'!$F$56,IF(((D364+E364)*C364-G364)&lt;='Assumptions and Catalog'!$C$57,((D364+E364)*C364-G364)*'Assumptions and Catalog'!$H$57+'Assumptions and Catalog'!$E$57+'Assumptions and Catalog'!$F$57,"Out of range")))))))),IF(((D364+E364)*C364-G364)&lt;='Assumptions and Catalog'!$C$60,((D364+E364)*C364-G364)*'Assumptions and Catalog'!$H$60+'Assumptions and Catalog'!$E$60+'Assumptions and Catalog'!$F$60,IF(((D364+E364)*C364-G364)&lt;='Assumptions and Catalog'!$C$61,((D364+E364)*C364-G364)*'Assumptions and Catalog'!$H$61+'Assumptions and Catalog'!$E$61+'Assumptions and Catalog'!$F$61,IF(((D364+E364)*C364-G364)&lt;='Assumptions and Catalog'!$C$62,((D364+E364)*C364-G364)*'Assumptions and Catalog'!$H$62+'Assumptions and Catalog'!$E$62+'Assumptions and Catalog'!$F$62,IF(((D364+E364)*C364-G364)&lt;='Assumptions and Catalog'!$C$63,((D364+E364)*C364-G364)*'Assumptions and Catalog'!$H$63+'Assumptions and Catalog'!$E$63+'Assumptions and Catalog'!$F$63,IF(((D364+E364)*C364-G364)&lt;='Assumptions and Catalog'!$C$64,((D364+E364)*C364-G364)*'Assumptions and Catalog'!$H$64+'Assumptions and Catalog'!$E$64+'Assumptions and Catalog'!$F$64,IF(((D364+E364)*C364-G364)&lt;='Assumptions and Catalog'!$C$65,((D364+E364)*C364-G364)*'Assumptions and Catalog'!$H$65+'Assumptions and Catalog'!$E$65+'Assumptions and Catalog'!$F$65,"Out of range")))))))))*(1+'Assumptions and Catalog'!$C$8)^(A364-1),0)</f>
        <v>4108.18297606018</v>
      </c>
      <c r="R364" s="5" t="n">
        <f>IF(AND('Assumptions and Catalog'!$C$19&gt;0,A364&gt;='Assumptions and Catalog'!$C$19),A364-'Assumptions and Catalog'!$C$19,A364-1)</f>
        <v>6</v>
      </c>
      <c r="S364" s="5" t="n">
        <f>F364+L364-(D364+E364)*C364-J364-K364-0</f>
        <v>0</v>
      </c>
      <c r="T364" s="5"/>
      <c r="U364" s="5"/>
    </row>
    <row r="365" ht="23.100000381469727" customHeight="1">
      <c r="A365" s="5" t="n">
        <v>18</v>
      </c>
      <c r="B365" s="5" t="n">
        <v>1</v>
      </c>
      <c r="C365" s="5" t="n">
        <f>DAY(DATE('Assumptions and Catalog'!$C$24+A365-1,B365+1,0))</f>
        <v>31</v>
      </c>
      <c r="D365" s="5" t="n">
        <f>IF(ISNUMBER(Inputs!$L$5),Inputs!$L$5*Inputs!$L$6,0)</f>
        <v>40.35</v>
      </c>
      <c r="E365" s="5" t="n">
        <f>IF(ISNUMBER(Inputs!$L$5),Inputs!$L$5-D365,0)</f>
        <v>40.35</v>
      </c>
      <c r="F365" s="5" t="n">
        <f>C$51*INDEX('Solar Production'!$D$20:$D$31,B365)*C365*(1-'Assumptions and Catalog'!$C$10)^(A365-1)</f>
        <v>1061.05958019537</v>
      </c>
      <c r="G365" s="5" t="n">
        <f>MIN(F365,D365*C365)</f>
        <v>1061.05958019537</v>
      </c>
      <c r="H365" s="5" t="n">
        <f>I365/('Assumptions and Catalog'!$C$11*'Assumptions and Catalog'!$C$12)</f>
        <v>0</v>
      </c>
      <c r="I365" s="5" t="n">
        <f>0</f>
        <v>0</v>
      </c>
      <c r="J365" s="5" t="n">
        <f>MAX(F365-G365-H365,0)</f>
        <v>0</v>
      </c>
      <c r="K365" s="5" t="n">
        <f>H365-I365</f>
        <v>0</v>
      </c>
      <c r="L365" s="5" t="n">
        <f>(D365+E365)*C365-G365-I365+0+0</f>
        <v>1440.64041980463</v>
      </c>
      <c r="M365" s="5" t="n">
        <f>IF(ISNUMBER(Inputs!$L$5),(IF(Inputs!$L$9="Actual flat rate",((D365+E365)*C365)*Inputs!$L$10,IF(Inputs!$C$9="Residential",IF(((D365+E365)*C365)&lt;='Assumptions and Catalog'!$C$50,((D365+E365)*C365)*'Assumptions and Catalog'!$H$50+'Assumptions and Catalog'!$E$50+'Assumptions and Catalog'!$F$50,IF(((D365+E365)*C365)&lt;='Assumptions and Catalog'!$C$51,((D365+E365)*C365)*'Assumptions and Catalog'!$H$51+'Assumptions and Catalog'!$E$51+'Assumptions and Catalog'!$F$51,IF(((D365+E365)*C365)&lt;='Assumptions and Catalog'!$C$52,((D365+E365)*C365)*'Assumptions and Catalog'!$H$52+'Assumptions and Catalog'!$E$52+'Assumptions and Catalog'!$F$52,IF(((D365+E365)*C365)&lt;='Assumptions and Catalog'!$C$53,((D365+E365)*C365)*'Assumptions and Catalog'!$H$53+'Assumptions and Catalog'!$E$53+'Assumptions and Catalog'!$F$53,IF(((D365+E365)*C365)&lt;='Assumptions and Catalog'!$C$54,((D365+E365)*C365)*'Assumptions and Catalog'!$H$54+'Assumptions and Catalog'!$E$54+'Assumptions and Catalog'!$F$54,IF(((D365+E365)*C365)&lt;='Assumptions and Catalog'!$C$55,((D365+E365)*C365)*'Assumptions and Catalog'!$H$55+'Assumptions and Catalog'!$E$55+'Assumptions and Catalog'!$F$55,IF(((D365+E365)*C365)&lt;='Assumptions and Catalog'!$C$56,((D365+E365)*C365)*'Assumptions and Catalog'!$H$56+'Assumptions and Catalog'!$E$56+'Assumptions and Catalog'!$F$56,IF(((D365+E365)*C365)&lt;='Assumptions and Catalog'!$C$57,((D365+E365)*C365)*'Assumptions and Catalog'!$H$57+'Assumptions and Catalog'!$E$57+'Assumptions and Catalog'!$F$57,"Out of range")))))))),IF(((D365+E365)*C365)&lt;='Assumptions and Catalog'!$C$60,((D365+E365)*C365)*'Assumptions and Catalog'!$H$60+'Assumptions and Catalog'!$E$60+'Assumptions and Catalog'!$F$60,IF(((D365+E365)*C365)&lt;='Assumptions and Catalog'!$C$61,((D365+E365)*C365)*'Assumptions and Catalog'!$H$61+'Assumptions and Catalog'!$E$61+'Assumptions and Catalog'!$F$61,IF(((D365+E365)*C365)&lt;='Assumptions and Catalog'!$C$62,((D365+E365)*C365)*'Assumptions and Catalog'!$H$62+'Assumptions and Catalog'!$E$62+'Assumptions and Catalog'!$F$62,IF(((D365+E365)*C365)&lt;='Assumptions and Catalog'!$C$63,((D365+E365)*C365)*'Assumptions and Catalog'!$H$63+'Assumptions and Catalog'!$E$63+'Assumptions and Catalog'!$F$63,IF(((D365+E365)*C365)&lt;='Assumptions and Catalog'!$C$64,((D365+E365)*C365)*'Assumptions and Catalog'!$H$64+'Assumptions and Catalog'!$E$64+'Assumptions and Catalog'!$F$64,IF(((D365+E365)*C365)&lt;='Assumptions and Catalog'!$C$65,((D365+E365)*C365)*'Assumptions and Catalog'!$H$65+'Assumptions and Catalog'!$E$65+'Assumptions and Catalog'!$F$65,"Out of range")))))))))*(1+'Assumptions and Catalog'!$C$8)^(A365-1),0)</f>
        <v>7094.794</v>
      </c>
      <c r="N365" s="5" t="n">
        <f>IF(ISNUMBER(Inputs!$L$5),(IF(Inputs!$L$9="Actual flat rate",L365*Inputs!$L$10,IF(Inputs!$C$9="Residential",IF(L365&lt;='Assumptions and Catalog'!$C$50,L365*'Assumptions and Catalog'!$H$50+'Assumptions and Catalog'!$E$50+'Assumptions and Catalog'!$F$50,IF(L365&lt;='Assumptions and Catalog'!$C$51,L365*'Assumptions and Catalog'!$H$51+'Assumptions and Catalog'!$E$51+'Assumptions and Catalog'!$F$51,IF(L365&lt;='Assumptions and Catalog'!$C$52,L365*'Assumptions and Catalog'!$H$52+'Assumptions and Catalog'!$E$52+'Assumptions and Catalog'!$F$52,IF(L365&lt;='Assumptions and Catalog'!$C$53,L365*'Assumptions and Catalog'!$H$53+'Assumptions and Catalog'!$E$53+'Assumptions and Catalog'!$F$53,IF(L365&lt;='Assumptions and Catalog'!$C$54,L365*'Assumptions and Catalog'!$H$54+'Assumptions and Catalog'!$E$54+'Assumptions and Catalog'!$F$54,IF(L365&lt;='Assumptions and Catalog'!$C$55,L365*'Assumptions and Catalog'!$H$55+'Assumptions and Catalog'!$E$55+'Assumptions and Catalog'!$F$55,IF(L365&lt;='Assumptions and Catalog'!$C$56,L365*'Assumptions and Catalog'!$H$56+'Assumptions and Catalog'!$E$56+'Assumptions and Catalog'!$F$56,IF(L365&lt;='Assumptions and Catalog'!$C$57,L365*'Assumptions and Catalog'!$H$57+'Assumptions and Catalog'!$E$57+'Assumptions and Catalog'!$F$57,"Out of range")))))))),IF(L365&lt;='Assumptions and Catalog'!$C$60,L365*'Assumptions and Catalog'!$H$60+'Assumptions and Catalog'!$E$60+'Assumptions and Catalog'!$F$60,IF(L365&lt;='Assumptions and Catalog'!$C$61,L365*'Assumptions and Catalog'!$H$61+'Assumptions and Catalog'!$E$61+'Assumptions and Catalog'!$F$61,IF(L365&lt;='Assumptions and Catalog'!$C$62,L365*'Assumptions and Catalog'!$H$62+'Assumptions and Catalog'!$E$62+'Assumptions and Catalog'!$F$62,IF(L365&lt;='Assumptions and Catalog'!$C$63,L365*'Assumptions and Catalog'!$H$63+'Assumptions and Catalog'!$E$63+'Assumptions and Catalog'!$F$63,IF(L365&lt;='Assumptions and Catalog'!$C$64,L365*'Assumptions and Catalog'!$H$64+'Assumptions and Catalog'!$E$64+'Assumptions and Catalog'!$F$64,IF(L365&lt;='Assumptions and Catalog'!$C$65,L365*'Assumptions and Catalog'!$H$65+'Assumptions and Catalog'!$E$65+'Assumptions and Catalog'!$F$65,"Out of range")))))))))*(1+'Assumptions and Catalog'!$C$8)^(A365-1),0)</f>
        <v>4102.60598384906</v>
      </c>
      <c r="O365" s="5" t="n">
        <f>M365-N365</f>
        <v>2992.18801615094</v>
      </c>
      <c r="P365" s="5" t="n">
        <f>C$55*(1-J$14)*(1-'Assumptions and Catalog'!$C$23)^R365</f>
        <v>0</v>
      </c>
      <c r="Q365" s="5" t="n">
        <f>IF(ISNUMBER(Inputs!$L$5),(IF(Inputs!$L$9="Actual flat rate",((D365+E365)*C365-G365)*Inputs!$L$10,IF(Inputs!$C$9="Residential",IF(((D365+E365)*C365-G365)&lt;='Assumptions and Catalog'!$C$50,((D365+E365)*C365-G365)*'Assumptions and Catalog'!$H$50+'Assumptions and Catalog'!$E$50+'Assumptions and Catalog'!$F$50,IF(((D365+E365)*C365-G365)&lt;='Assumptions and Catalog'!$C$51,((D365+E365)*C365-G365)*'Assumptions and Catalog'!$H$51+'Assumptions and Catalog'!$E$51+'Assumptions and Catalog'!$F$51,IF(((D365+E365)*C365-G365)&lt;='Assumptions and Catalog'!$C$52,((D365+E365)*C365-G365)*'Assumptions and Catalog'!$H$52+'Assumptions and Catalog'!$E$52+'Assumptions and Catalog'!$F$52,IF(((D365+E365)*C365-G365)&lt;='Assumptions and Catalog'!$C$53,((D365+E365)*C365-G365)*'Assumptions and Catalog'!$H$53+'Assumptions and Catalog'!$E$53+'Assumptions and Catalog'!$F$53,IF(((D365+E365)*C365-G365)&lt;='Assumptions and Catalog'!$C$54,((D365+E365)*C365-G365)*'Assumptions and Catalog'!$H$54+'Assumptions and Catalog'!$E$54+'Assumptions and Catalog'!$F$54,IF(((D365+E365)*C365-G365)&lt;='Assumptions and Catalog'!$C$55,((D365+E365)*C365-G365)*'Assumptions and Catalog'!$H$55+'Assumptions and Catalog'!$E$55+'Assumptions and Catalog'!$F$55,IF(((D365+E365)*C365-G365)&lt;='Assumptions and Catalog'!$C$56,((D365+E365)*C365-G365)*'Assumptions and Catalog'!$H$56+'Assumptions and Catalog'!$E$56+'Assumptions and Catalog'!$F$56,IF(((D365+E365)*C365-G365)&lt;='Assumptions and Catalog'!$C$57,((D365+E365)*C365-G365)*'Assumptions and Catalog'!$H$57+'Assumptions and Catalog'!$E$57+'Assumptions and Catalog'!$F$57,"Out of range")))))))),IF(((D365+E365)*C365-G365)&lt;='Assumptions and Catalog'!$C$60,((D365+E365)*C365-G365)*'Assumptions and Catalog'!$H$60+'Assumptions and Catalog'!$E$60+'Assumptions and Catalog'!$F$60,IF(((D365+E365)*C365-G365)&lt;='Assumptions and Catalog'!$C$61,((D365+E365)*C365-G365)*'Assumptions and Catalog'!$H$61+'Assumptions and Catalog'!$E$61+'Assumptions and Catalog'!$F$61,IF(((D365+E365)*C365-G365)&lt;='Assumptions and Catalog'!$C$62,((D365+E365)*C365-G365)*'Assumptions and Catalog'!$H$62+'Assumptions and Catalog'!$E$62+'Assumptions and Catalog'!$F$62,IF(((D365+E365)*C365-G365)&lt;='Assumptions and Catalog'!$C$63,((D365+E365)*C365-G365)*'Assumptions and Catalog'!$H$63+'Assumptions and Catalog'!$E$63+'Assumptions and Catalog'!$F$63,IF(((D365+E365)*C365-G365)&lt;='Assumptions and Catalog'!$C$64,((D365+E365)*C365-G365)*'Assumptions and Catalog'!$H$64+'Assumptions and Catalog'!$E$64+'Assumptions and Catalog'!$F$64,IF(((D365+E365)*C365-G365)&lt;='Assumptions and Catalog'!$C$65,((D365+E365)*C365-G365)*'Assumptions and Catalog'!$H$65+'Assumptions and Catalog'!$E$65+'Assumptions and Catalog'!$F$65,"Out of range")))))))))*(1+'Assumptions and Catalog'!$C$8)^(A365-1),0)</f>
        <v>4102.60598384906</v>
      </c>
      <c r="R365" s="5" t="n">
        <f>IF(AND('Assumptions and Catalog'!$C$19&gt;0,A365&gt;='Assumptions and Catalog'!$C$19),A365-'Assumptions and Catalog'!$C$19,A365-1)</f>
        <v>7</v>
      </c>
      <c r="S365" s="5" t="n">
        <f>F365+L365-(D365+E365)*C365-J365-K365-0</f>
        <v>0</v>
      </c>
      <c r="T365" s="5"/>
      <c r="U365" s="5"/>
    </row>
    <row r="366" ht="23.100000381469727" customHeight="1">
      <c r="A366" s="5" t="n">
        <v>18</v>
      </c>
      <c r="B366" s="5" t="n">
        <v>2</v>
      </c>
      <c r="C366" s="5" t="n">
        <f>DAY(DATE('Assumptions and Catalog'!$C$24+A366-1,B366+1,0))</f>
        <v>29</v>
      </c>
      <c r="D366" s="5" t="n">
        <f>IF(ISNUMBER(Inputs!$L$5),Inputs!$L$5*Inputs!$L$6,0)</f>
        <v>40.35</v>
      </c>
      <c r="E366" s="5" t="n">
        <f>IF(ISNUMBER(Inputs!$L$5),Inputs!$L$5-D366,0)</f>
        <v>40.35</v>
      </c>
      <c r="F366" s="5" t="n">
        <f>C$51*INDEX('Solar Production'!$D$20:$D$31,B366)*C366*(1-'Assumptions and Catalog'!$C$10)^(A366-1)</f>
        <v>1083.47043766522</v>
      </c>
      <c r="G366" s="5" t="n">
        <f>MIN(F366,D366*C366)</f>
        <v>1083.47043766522</v>
      </c>
      <c r="H366" s="5" t="n">
        <f>I366/('Assumptions and Catalog'!$C$11*'Assumptions and Catalog'!$C$12)</f>
        <v>0</v>
      </c>
      <c r="I366" s="5" t="n">
        <f>0</f>
        <v>0</v>
      </c>
      <c r="J366" s="5" t="n">
        <f>MAX(F366-G366-H366,0)</f>
        <v>0</v>
      </c>
      <c r="K366" s="5" t="n">
        <f>H366-I366</f>
        <v>0</v>
      </c>
      <c r="L366" s="5" t="n">
        <f>(D366+E366)*C366-G366-I366+0+0</f>
        <v>1256.82956233478</v>
      </c>
      <c r="M366" s="5" t="n">
        <f>IF(ISNUMBER(Inputs!$L$5),(IF(Inputs!$L$9="Actual flat rate",((D366+E366)*C366)*Inputs!$L$10,IF(Inputs!$C$9="Residential",IF(((D366+E366)*C366)&lt;='Assumptions and Catalog'!$C$50,((D366+E366)*C366)*'Assumptions and Catalog'!$H$50+'Assumptions and Catalog'!$E$50+'Assumptions and Catalog'!$F$50,IF(((D366+E366)*C366)&lt;='Assumptions and Catalog'!$C$51,((D366+E366)*C366)*'Assumptions and Catalog'!$H$51+'Assumptions and Catalog'!$E$51+'Assumptions and Catalog'!$F$51,IF(((D366+E366)*C366)&lt;='Assumptions and Catalog'!$C$52,((D366+E366)*C366)*'Assumptions and Catalog'!$H$52+'Assumptions and Catalog'!$E$52+'Assumptions and Catalog'!$F$52,IF(((D366+E366)*C366)&lt;='Assumptions and Catalog'!$C$53,((D366+E366)*C366)*'Assumptions and Catalog'!$H$53+'Assumptions and Catalog'!$E$53+'Assumptions and Catalog'!$F$53,IF(((D366+E366)*C366)&lt;='Assumptions and Catalog'!$C$54,((D366+E366)*C366)*'Assumptions and Catalog'!$H$54+'Assumptions and Catalog'!$E$54+'Assumptions and Catalog'!$F$54,IF(((D366+E366)*C366)&lt;='Assumptions and Catalog'!$C$55,((D366+E366)*C366)*'Assumptions and Catalog'!$H$55+'Assumptions and Catalog'!$E$55+'Assumptions and Catalog'!$F$55,IF(((D366+E366)*C366)&lt;='Assumptions and Catalog'!$C$56,((D366+E366)*C366)*'Assumptions and Catalog'!$H$56+'Assumptions and Catalog'!$E$56+'Assumptions and Catalog'!$F$56,IF(((D366+E366)*C366)&lt;='Assumptions and Catalog'!$C$57,((D366+E366)*C366)*'Assumptions and Catalog'!$H$57+'Assumptions and Catalog'!$E$57+'Assumptions and Catalog'!$F$57,"Out of range")))))))),IF(((D366+E366)*C366)&lt;='Assumptions and Catalog'!$C$60,((D366+E366)*C366)*'Assumptions and Catalog'!$H$60+'Assumptions and Catalog'!$E$60+'Assumptions and Catalog'!$F$60,IF(((D366+E366)*C366)&lt;='Assumptions and Catalog'!$C$61,((D366+E366)*C366)*'Assumptions and Catalog'!$H$61+'Assumptions and Catalog'!$E$61+'Assumptions and Catalog'!$F$61,IF(((D366+E366)*C366)&lt;='Assumptions and Catalog'!$C$62,((D366+E366)*C366)*'Assumptions and Catalog'!$H$62+'Assumptions and Catalog'!$E$62+'Assumptions and Catalog'!$F$62,IF(((D366+E366)*C366)&lt;='Assumptions and Catalog'!$C$63,((D366+E366)*C366)*'Assumptions and Catalog'!$H$63+'Assumptions and Catalog'!$E$63+'Assumptions and Catalog'!$F$63,IF(((D366+E366)*C366)&lt;='Assumptions and Catalog'!$C$64,((D366+E366)*C366)*'Assumptions and Catalog'!$H$64+'Assumptions and Catalog'!$E$64+'Assumptions and Catalog'!$F$64,IF(((D366+E366)*C366)&lt;='Assumptions and Catalog'!$C$65,((D366+E366)*C366)*'Assumptions and Catalog'!$H$65+'Assumptions and Catalog'!$E$65+'Assumptions and Catalog'!$F$65,"Out of range")))))))))*(1+'Assumptions and Catalog'!$C$8)^(A366-1),0)</f>
        <v>6639.646</v>
      </c>
      <c r="N366" s="5" t="n">
        <f>IF(ISNUMBER(Inputs!$L$5),(IF(Inputs!$L$9="Actual flat rate",L366*Inputs!$L$10,IF(Inputs!$C$9="Residential",IF(L366&lt;='Assumptions and Catalog'!$C$50,L366*'Assumptions and Catalog'!$H$50+'Assumptions and Catalog'!$E$50+'Assumptions and Catalog'!$F$50,IF(L366&lt;='Assumptions and Catalog'!$C$51,L366*'Assumptions and Catalog'!$H$51+'Assumptions and Catalog'!$E$51+'Assumptions and Catalog'!$F$51,IF(L366&lt;='Assumptions and Catalog'!$C$52,L366*'Assumptions and Catalog'!$H$52+'Assumptions and Catalog'!$E$52+'Assumptions and Catalog'!$F$52,IF(L366&lt;='Assumptions and Catalog'!$C$53,L366*'Assumptions and Catalog'!$H$53+'Assumptions and Catalog'!$E$53+'Assumptions and Catalog'!$F$53,IF(L366&lt;='Assumptions and Catalog'!$C$54,L366*'Assumptions and Catalog'!$H$54+'Assumptions and Catalog'!$E$54+'Assumptions and Catalog'!$F$54,IF(L366&lt;='Assumptions and Catalog'!$C$55,L366*'Assumptions and Catalog'!$H$55+'Assumptions and Catalog'!$E$55+'Assumptions and Catalog'!$F$55,IF(L366&lt;='Assumptions and Catalog'!$C$56,L366*'Assumptions and Catalog'!$H$56+'Assumptions and Catalog'!$E$56+'Assumptions and Catalog'!$F$56,IF(L366&lt;='Assumptions and Catalog'!$C$57,L366*'Assumptions and Catalog'!$H$57+'Assumptions and Catalog'!$E$57+'Assumptions and Catalog'!$F$57,"Out of range")))))))),IF(L366&lt;='Assumptions and Catalog'!$C$60,L366*'Assumptions and Catalog'!$H$60+'Assumptions and Catalog'!$E$60+'Assumptions and Catalog'!$F$60,IF(L366&lt;='Assumptions and Catalog'!$C$61,L366*'Assumptions and Catalog'!$H$61+'Assumptions and Catalog'!$E$61+'Assumptions and Catalog'!$F$61,IF(L366&lt;='Assumptions and Catalog'!$C$62,L366*'Assumptions and Catalog'!$H$62+'Assumptions and Catalog'!$E$62+'Assumptions and Catalog'!$F$62,IF(L366&lt;='Assumptions and Catalog'!$C$63,L366*'Assumptions and Catalog'!$H$63+'Assumptions and Catalog'!$E$63+'Assumptions and Catalog'!$F$63,IF(L366&lt;='Assumptions and Catalog'!$C$64,L366*'Assumptions and Catalog'!$H$64+'Assumptions and Catalog'!$E$64+'Assumptions and Catalog'!$F$64,IF(L366&lt;='Assumptions and Catalog'!$C$65,L366*'Assumptions and Catalog'!$H$65+'Assumptions and Catalog'!$E$65+'Assumptions and Catalog'!$F$65,"Out of range")))))))))*(1+'Assumptions and Catalog'!$C$8)^(A366-1),0)</f>
        <v>3584.25936578408</v>
      </c>
      <c r="O366" s="5" t="n">
        <f>M366-N366</f>
        <v>3055.38663421592</v>
      </c>
      <c r="P366" s="5" t="n">
        <f>C$55*(1-J$14)*(1-'Assumptions and Catalog'!$C$23)^R366</f>
        <v>0</v>
      </c>
      <c r="Q366" s="5" t="n">
        <f>IF(ISNUMBER(Inputs!$L$5),(IF(Inputs!$L$9="Actual flat rate",((D366+E366)*C366-G366)*Inputs!$L$10,IF(Inputs!$C$9="Residential",IF(((D366+E366)*C366-G366)&lt;='Assumptions and Catalog'!$C$50,((D366+E366)*C366-G366)*'Assumptions and Catalog'!$H$50+'Assumptions and Catalog'!$E$50+'Assumptions and Catalog'!$F$50,IF(((D366+E366)*C366-G366)&lt;='Assumptions and Catalog'!$C$51,((D366+E366)*C366-G366)*'Assumptions and Catalog'!$H$51+'Assumptions and Catalog'!$E$51+'Assumptions and Catalog'!$F$51,IF(((D366+E366)*C366-G366)&lt;='Assumptions and Catalog'!$C$52,((D366+E366)*C366-G366)*'Assumptions and Catalog'!$H$52+'Assumptions and Catalog'!$E$52+'Assumptions and Catalog'!$F$52,IF(((D366+E366)*C366-G366)&lt;='Assumptions and Catalog'!$C$53,((D366+E366)*C366-G366)*'Assumptions and Catalog'!$H$53+'Assumptions and Catalog'!$E$53+'Assumptions and Catalog'!$F$53,IF(((D366+E366)*C366-G366)&lt;='Assumptions and Catalog'!$C$54,((D366+E366)*C366-G366)*'Assumptions and Catalog'!$H$54+'Assumptions and Catalog'!$E$54+'Assumptions and Catalog'!$F$54,IF(((D366+E366)*C366-G366)&lt;='Assumptions and Catalog'!$C$55,((D366+E366)*C366-G366)*'Assumptions and Catalog'!$H$55+'Assumptions and Catalog'!$E$55+'Assumptions and Catalog'!$F$55,IF(((D366+E366)*C366-G366)&lt;='Assumptions and Catalog'!$C$56,((D366+E366)*C366-G366)*'Assumptions and Catalog'!$H$56+'Assumptions and Catalog'!$E$56+'Assumptions and Catalog'!$F$56,IF(((D366+E366)*C366-G366)&lt;='Assumptions and Catalog'!$C$57,((D366+E366)*C366-G366)*'Assumptions and Catalog'!$H$57+'Assumptions and Catalog'!$E$57+'Assumptions and Catalog'!$F$57,"Out of range")))))))),IF(((D366+E366)*C366-G366)&lt;='Assumptions and Catalog'!$C$60,((D366+E366)*C366-G366)*'Assumptions and Catalog'!$H$60+'Assumptions and Catalog'!$E$60+'Assumptions and Catalog'!$F$60,IF(((D366+E366)*C366-G366)&lt;='Assumptions and Catalog'!$C$61,((D366+E366)*C366-G366)*'Assumptions and Catalog'!$H$61+'Assumptions and Catalog'!$E$61+'Assumptions and Catalog'!$F$61,IF(((D366+E366)*C366-G366)&lt;='Assumptions and Catalog'!$C$62,((D366+E366)*C366-G366)*'Assumptions and Catalog'!$H$62+'Assumptions and Catalog'!$E$62+'Assumptions and Catalog'!$F$62,IF(((D366+E366)*C366-G366)&lt;='Assumptions and Catalog'!$C$63,((D366+E366)*C366-G366)*'Assumptions and Catalog'!$H$63+'Assumptions and Catalog'!$E$63+'Assumptions and Catalog'!$F$63,IF(((D366+E366)*C366-G366)&lt;='Assumptions and Catalog'!$C$64,((D366+E366)*C366-G366)*'Assumptions and Catalog'!$H$64+'Assumptions and Catalog'!$E$64+'Assumptions and Catalog'!$F$64,IF(((D366+E366)*C366-G366)&lt;='Assumptions and Catalog'!$C$65,((D366+E366)*C366-G366)*'Assumptions and Catalog'!$H$65+'Assumptions and Catalog'!$E$65+'Assumptions and Catalog'!$F$65,"Out of range")))))))))*(1+'Assumptions and Catalog'!$C$8)^(A366-1),0)</f>
        <v>3584.25936578408</v>
      </c>
      <c r="R366" s="5" t="n">
        <f>IF(AND('Assumptions and Catalog'!$C$19&gt;0,A366&gt;='Assumptions and Catalog'!$C$19),A366-'Assumptions and Catalog'!$C$19,A366-1)</f>
        <v>7</v>
      </c>
      <c r="S366" s="5" t="n">
        <f>F366+L366-(D366+E366)*C366-J366-K366-0</f>
        <v>0</v>
      </c>
      <c r="T366" s="5"/>
      <c r="U366" s="5"/>
    </row>
    <row r="367" ht="23.100000381469727" customHeight="1">
      <c r="A367" s="5" t="n">
        <v>18</v>
      </c>
      <c r="B367" s="5" t="n">
        <v>3</v>
      </c>
      <c r="C367" s="5" t="n">
        <f>DAY(DATE('Assumptions and Catalog'!$C$24+A367-1,B367+1,0))</f>
        <v>31</v>
      </c>
      <c r="D367" s="5" t="n">
        <f>IF(ISNUMBER(Inputs!$L$5),Inputs!$L$5*Inputs!$L$6,0)</f>
        <v>40.35</v>
      </c>
      <c r="E367" s="5" t="n">
        <f>IF(ISNUMBER(Inputs!$L$5),Inputs!$L$5-D367,0)</f>
        <v>40.35</v>
      </c>
      <c r="F367" s="5" t="n">
        <f>C$51*INDEX('Solar Production'!$D$20:$D$31,B367)*C367*(1-'Assumptions and Catalog'!$C$10)^(A367-1)</f>
        <v>1301.55564345976</v>
      </c>
      <c r="G367" s="5" t="n">
        <f>MIN(F367,D367*C367)</f>
        <v>1250.85</v>
      </c>
      <c r="H367" s="5" t="n">
        <f>I367/('Assumptions and Catalog'!$C$11*'Assumptions and Catalog'!$C$12)</f>
        <v>0</v>
      </c>
      <c r="I367" s="5" t="n">
        <f>0</f>
        <v>0</v>
      </c>
      <c r="J367" s="5" t="n">
        <f>MAX(F367-G367-H367,0)</f>
        <v>50.7056434597553</v>
      </c>
      <c r="K367" s="5" t="n">
        <f>H367-I367</f>
        <v>0</v>
      </c>
      <c r="L367" s="5" t="n">
        <f>(D367+E367)*C367-G367-I367+0+0</f>
        <v>1250.85</v>
      </c>
      <c r="M367" s="5" t="n">
        <f>IF(ISNUMBER(Inputs!$L$5),(IF(Inputs!$L$9="Actual flat rate",((D367+E367)*C367)*Inputs!$L$10,IF(Inputs!$C$9="Residential",IF(((D367+E367)*C367)&lt;='Assumptions and Catalog'!$C$50,((D367+E367)*C367)*'Assumptions and Catalog'!$H$50+'Assumptions and Catalog'!$E$50+'Assumptions and Catalog'!$F$50,IF(((D367+E367)*C367)&lt;='Assumptions and Catalog'!$C$51,((D367+E367)*C367)*'Assumptions and Catalog'!$H$51+'Assumptions and Catalog'!$E$51+'Assumptions and Catalog'!$F$51,IF(((D367+E367)*C367)&lt;='Assumptions and Catalog'!$C$52,((D367+E367)*C367)*'Assumptions and Catalog'!$H$52+'Assumptions and Catalog'!$E$52+'Assumptions and Catalog'!$F$52,IF(((D367+E367)*C367)&lt;='Assumptions and Catalog'!$C$53,((D367+E367)*C367)*'Assumptions and Catalog'!$H$53+'Assumptions and Catalog'!$E$53+'Assumptions and Catalog'!$F$53,IF(((D367+E367)*C367)&lt;='Assumptions and Catalog'!$C$54,((D367+E367)*C367)*'Assumptions and Catalog'!$H$54+'Assumptions and Catalog'!$E$54+'Assumptions and Catalog'!$F$54,IF(((D367+E367)*C367)&lt;='Assumptions and Catalog'!$C$55,((D367+E367)*C367)*'Assumptions and Catalog'!$H$55+'Assumptions and Catalog'!$E$55+'Assumptions and Catalog'!$F$55,IF(((D367+E367)*C367)&lt;='Assumptions and Catalog'!$C$56,((D367+E367)*C367)*'Assumptions and Catalog'!$H$56+'Assumptions and Catalog'!$E$56+'Assumptions and Catalog'!$F$56,IF(((D367+E367)*C367)&lt;='Assumptions and Catalog'!$C$57,((D367+E367)*C367)*'Assumptions and Catalog'!$H$57+'Assumptions and Catalog'!$E$57+'Assumptions and Catalog'!$F$57,"Out of range")))))))),IF(((D367+E367)*C367)&lt;='Assumptions and Catalog'!$C$60,((D367+E367)*C367)*'Assumptions and Catalog'!$H$60+'Assumptions and Catalog'!$E$60+'Assumptions and Catalog'!$F$60,IF(((D367+E367)*C367)&lt;='Assumptions and Catalog'!$C$61,((D367+E367)*C367)*'Assumptions and Catalog'!$H$61+'Assumptions and Catalog'!$E$61+'Assumptions and Catalog'!$F$61,IF(((D367+E367)*C367)&lt;='Assumptions and Catalog'!$C$62,((D367+E367)*C367)*'Assumptions and Catalog'!$H$62+'Assumptions and Catalog'!$E$62+'Assumptions and Catalog'!$F$62,IF(((D367+E367)*C367)&lt;='Assumptions and Catalog'!$C$63,((D367+E367)*C367)*'Assumptions and Catalog'!$H$63+'Assumptions and Catalog'!$E$63+'Assumptions and Catalog'!$F$63,IF(((D367+E367)*C367)&lt;='Assumptions and Catalog'!$C$64,((D367+E367)*C367)*'Assumptions and Catalog'!$H$64+'Assumptions and Catalog'!$E$64+'Assumptions and Catalog'!$F$64,IF(((D367+E367)*C367)&lt;='Assumptions and Catalog'!$C$65,((D367+E367)*C367)*'Assumptions and Catalog'!$H$65+'Assumptions and Catalog'!$E$65+'Assumptions and Catalog'!$F$65,"Out of range")))))))))*(1+'Assumptions and Catalog'!$C$8)^(A367-1),0)</f>
        <v>7094.794</v>
      </c>
      <c r="N367" s="5" t="n">
        <f>IF(ISNUMBER(Inputs!$L$5),(IF(Inputs!$L$9="Actual flat rate",L367*Inputs!$L$10,IF(Inputs!$C$9="Residential",IF(L367&lt;='Assumptions and Catalog'!$C$50,L367*'Assumptions and Catalog'!$H$50+'Assumptions and Catalog'!$E$50+'Assumptions and Catalog'!$F$50,IF(L367&lt;='Assumptions and Catalog'!$C$51,L367*'Assumptions and Catalog'!$H$51+'Assumptions and Catalog'!$E$51+'Assumptions and Catalog'!$F$51,IF(L367&lt;='Assumptions and Catalog'!$C$52,L367*'Assumptions and Catalog'!$H$52+'Assumptions and Catalog'!$E$52+'Assumptions and Catalog'!$F$52,IF(L367&lt;='Assumptions and Catalog'!$C$53,L367*'Assumptions and Catalog'!$H$53+'Assumptions and Catalog'!$E$53+'Assumptions and Catalog'!$F$53,IF(L367&lt;='Assumptions and Catalog'!$C$54,L367*'Assumptions and Catalog'!$H$54+'Assumptions and Catalog'!$E$54+'Assumptions and Catalog'!$F$54,IF(L367&lt;='Assumptions and Catalog'!$C$55,L367*'Assumptions and Catalog'!$H$55+'Assumptions and Catalog'!$E$55+'Assumptions and Catalog'!$F$55,IF(L367&lt;='Assumptions and Catalog'!$C$56,L367*'Assumptions and Catalog'!$H$56+'Assumptions and Catalog'!$E$56+'Assumptions and Catalog'!$F$56,IF(L367&lt;='Assumptions and Catalog'!$C$57,L367*'Assumptions and Catalog'!$H$57+'Assumptions and Catalog'!$E$57+'Assumptions and Catalog'!$F$57,"Out of range")))))))),IF(L367&lt;='Assumptions and Catalog'!$C$60,L367*'Assumptions and Catalog'!$H$60+'Assumptions and Catalog'!$E$60+'Assumptions and Catalog'!$F$60,IF(L367&lt;='Assumptions and Catalog'!$C$61,L367*'Assumptions and Catalog'!$H$61+'Assumptions and Catalog'!$E$61+'Assumptions and Catalog'!$F$61,IF(L367&lt;='Assumptions and Catalog'!$C$62,L367*'Assumptions and Catalog'!$H$62+'Assumptions and Catalog'!$E$62+'Assumptions and Catalog'!$F$62,IF(L367&lt;='Assumptions and Catalog'!$C$63,L367*'Assumptions and Catalog'!$H$63+'Assumptions and Catalog'!$E$63+'Assumptions and Catalog'!$F$63,IF(L367&lt;='Assumptions and Catalog'!$C$64,L367*'Assumptions and Catalog'!$H$64+'Assumptions and Catalog'!$E$64+'Assumptions and Catalog'!$F$64,IF(L367&lt;='Assumptions and Catalog'!$C$65,L367*'Assumptions and Catalog'!$H$65+'Assumptions and Catalog'!$E$65+'Assumptions and Catalog'!$F$65,"Out of range")))))))))*(1+'Assumptions and Catalog'!$C$8)^(A367-1),0)</f>
        <v>3567.397</v>
      </c>
      <c r="O367" s="5" t="n">
        <f>M367-N367</f>
        <v>3527.397</v>
      </c>
      <c r="P367" s="5" t="n">
        <f>C$55*(1-J$14)*(1-'Assumptions and Catalog'!$C$23)^R367</f>
        <v>0</v>
      </c>
      <c r="Q367" s="5" t="n">
        <f>IF(ISNUMBER(Inputs!$L$5),(IF(Inputs!$L$9="Actual flat rate",((D367+E367)*C367-G367)*Inputs!$L$10,IF(Inputs!$C$9="Residential",IF(((D367+E367)*C367-G367)&lt;='Assumptions and Catalog'!$C$50,((D367+E367)*C367-G367)*'Assumptions and Catalog'!$H$50+'Assumptions and Catalog'!$E$50+'Assumptions and Catalog'!$F$50,IF(((D367+E367)*C367-G367)&lt;='Assumptions and Catalog'!$C$51,((D367+E367)*C367-G367)*'Assumptions and Catalog'!$H$51+'Assumptions and Catalog'!$E$51+'Assumptions and Catalog'!$F$51,IF(((D367+E367)*C367-G367)&lt;='Assumptions and Catalog'!$C$52,((D367+E367)*C367-G367)*'Assumptions and Catalog'!$H$52+'Assumptions and Catalog'!$E$52+'Assumptions and Catalog'!$F$52,IF(((D367+E367)*C367-G367)&lt;='Assumptions and Catalog'!$C$53,((D367+E367)*C367-G367)*'Assumptions and Catalog'!$H$53+'Assumptions and Catalog'!$E$53+'Assumptions and Catalog'!$F$53,IF(((D367+E367)*C367-G367)&lt;='Assumptions and Catalog'!$C$54,((D367+E367)*C367-G367)*'Assumptions and Catalog'!$H$54+'Assumptions and Catalog'!$E$54+'Assumptions and Catalog'!$F$54,IF(((D367+E367)*C367-G367)&lt;='Assumptions and Catalog'!$C$55,((D367+E367)*C367-G367)*'Assumptions and Catalog'!$H$55+'Assumptions and Catalog'!$E$55+'Assumptions and Catalog'!$F$55,IF(((D367+E367)*C367-G367)&lt;='Assumptions and Catalog'!$C$56,((D367+E367)*C367-G367)*'Assumptions and Catalog'!$H$56+'Assumptions and Catalog'!$E$56+'Assumptions and Catalog'!$F$56,IF(((D367+E367)*C367-G367)&lt;='Assumptions and Catalog'!$C$57,((D367+E367)*C367-G367)*'Assumptions and Catalog'!$H$57+'Assumptions and Catalog'!$E$57+'Assumptions and Catalog'!$F$57,"Out of range")))))))),IF(((D367+E367)*C367-G367)&lt;='Assumptions and Catalog'!$C$60,((D367+E367)*C367-G367)*'Assumptions and Catalog'!$H$60+'Assumptions and Catalog'!$E$60+'Assumptions and Catalog'!$F$60,IF(((D367+E367)*C367-G367)&lt;='Assumptions and Catalog'!$C$61,((D367+E367)*C367-G367)*'Assumptions and Catalog'!$H$61+'Assumptions and Catalog'!$E$61+'Assumptions and Catalog'!$F$61,IF(((D367+E367)*C367-G367)&lt;='Assumptions and Catalog'!$C$62,((D367+E367)*C367-G367)*'Assumptions and Catalog'!$H$62+'Assumptions and Catalog'!$E$62+'Assumptions and Catalog'!$F$62,IF(((D367+E367)*C367-G367)&lt;='Assumptions and Catalog'!$C$63,((D367+E367)*C367-G367)*'Assumptions and Catalog'!$H$63+'Assumptions and Catalog'!$E$63+'Assumptions and Catalog'!$F$63,IF(((D367+E367)*C367-G367)&lt;='Assumptions and Catalog'!$C$64,((D367+E367)*C367-G367)*'Assumptions and Catalog'!$H$64+'Assumptions and Catalog'!$E$64+'Assumptions and Catalog'!$F$64,IF(((D367+E367)*C367-G367)&lt;='Assumptions and Catalog'!$C$65,((D367+E367)*C367-G367)*'Assumptions and Catalog'!$H$65+'Assumptions and Catalog'!$E$65+'Assumptions and Catalog'!$F$65,"Out of range")))))))))*(1+'Assumptions and Catalog'!$C$8)^(A367-1),0)</f>
        <v>3567.397</v>
      </c>
      <c r="R367" s="5" t="n">
        <f>IF(AND('Assumptions and Catalog'!$C$19&gt;0,A367&gt;='Assumptions and Catalog'!$C$19),A367-'Assumptions and Catalog'!$C$19,A367-1)</f>
        <v>7</v>
      </c>
      <c r="S367" s="5" t="n">
        <f>F367+L367-(D367+E367)*C367-J367-K367-0</f>
        <v>0</v>
      </c>
      <c r="T367" s="5"/>
      <c r="U367" s="5"/>
    </row>
    <row r="368" ht="23.100000381469727" customHeight="1">
      <c r="A368" s="5" t="n">
        <v>18</v>
      </c>
      <c r="B368" s="5" t="n">
        <v>4</v>
      </c>
      <c r="C368" s="5" t="n">
        <f>DAY(DATE('Assumptions and Catalog'!$C$24+A368-1,B368+1,0))</f>
        <v>30</v>
      </c>
      <c r="D368" s="5" t="n">
        <f>IF(ISNUMBER(Inputs!$L$5),Inputs!$L$5*Inputs!$L$6,0)</f>
        <v>40.35</v>
      </c>
      <c r="E368" s="5" t="n">
        <f>IF(ISNUMBER(Inputs!$L$5),Inputs!$L$5-D368,0)</f>
        <v>40.35</v>
      </c>
      <c r="F368" s="5" t="n">
        <f>C$51*INDEX('Solar Production'!$D$20:$D$31,B368)*C368*(1-'Assumptions and Catalog'!$C$10)^(A368-1)</f>
        <v>1299.93940647545</v>
      </c>
      <c r="G368" s="5" t="n">
        <f>MIN(F368,D368*C368)</f>
        <v>1210.5</v>
      </c>
      <c r="H368" s="5" t="n">
        <f>I368/('Assumptions and Catalog'!$C$11*'Assumptions and Catalog'!$C$12)</f>
        <v>0</v>
      </c>
      <c r="I368" s="5" t="n">
        <f>0</f>
        <v>0</v>
      </c>
      <c r="J368" s="5" t="n">
        <f>MAX(F368-G368-H368,0)</f>
        <v>89.439406475452</v>
      </c>
      <c r="K368" s="5" t="n">
        <f>H368-I368</f>
        <v>0</v>
      </c>
      <c r="L368" s="5" t="n">
        <f>(D368+E368)*C368-G368-I368+0+0</f>
        <v>1210.5</v>
      </c>
      <c r="M368" s="5" t="n">
        <f>IF(ISNUMBER(Inputs!$L$5),(IF(Inputs!$L$9="Actual flat rate",((D368+E368)*C368)*Inputs!$L$10,IF(Inputs!$C$9="Residential",IF(((D368+E368)*C368)&lt;='Assumptions and Catalog'!$C$50,((D368+E368)*C368)*'Assumptions and Catalog'!$H$50+'Assumptions and Catalog'!$E$50+'Assumptions and Catalog'!$F$50,IF(((D368+E368)*C368)&lt;='Assumptions and Catalog'!$C$51,((D368+E368)*C368)*'Assumptions and Catalog'!$H$51+'Assumptions and Catalog'!$E$51+'Assumptions and Catalog'!$F$51,IF(((D368+E368)*C368)&lt;='Assumptions and Catalog'!$C$52,((D368+E368)*C368)*'Assumptions and Catalog'!$H$52+'Assumptions and Catalog'!$E$52+'Assumptions and Catalog'!$F$52,IF(((D368+E368)*C368)&lt;='Assumptions and Catalog'!$C$53,((D368+E368)*C368)*'Assumptions and Catalog'!$H$53+'Assumptions and Catalog'!$E$53+'Assumptions and Catalog'!$F$53,IF(((D368+E368)*C368)&lt;='Assumptions and Catalog'!$C$54,((D368+E368)*C368)*'Assumptions and Catalog'!$H$54+'Assumptions and Catalog'!$E$54+'Assumptions and Catalog'!$F$54,IF(((D368+E368)*C368)&lt;='Assumptions and Catalog'!$C$55,((D368+E368)*C368)*'Assumptions and Catalog'!$H$55+'Assumptions and Catalog'!$E$55+'Assumptions and Catalog'!$F$55,IF(((D368+E368)*C368)&lt;='Assumptions and Catalog'!$C$56,((D368+E368)*C368)*'Assumptions and Catalog'!$H$56+'Assumptions and Catalog'!$E$56+'Assumptions and Catalog'!$F$56,IF(((D368+E368)*C368)&lt;='Assumptions and Catalog'!$C$57,((D368+E368)*C368)*'Assumptions and Catalog'!$H$57+'Assumptions and Catalog'!$E$57+'Assumptions and Catalog'!$F$57,"Out of range")))))))),IF(((D368+E368)*C368)&lt;='Assumptions and Catalog'!$C$60,((D368+E368)*C368)*'Assumptions and Catalog'!$H$60+'Assumptions and Catalog'!$E$60+'Assumptions and Catalog'!$F$60,IF(((D368+E368)*C368)&lt;='Assumptions and Catalog'!$C$61,((D368+E368)*C368)*'Assumptions and Catalog'!$H$61+'Assumptions and Catalog'!$E$61+'Assumptions and Catalog'!$F$61,IF(((D368+E368)*C368)&lt;='Assumptions and Catalog'!$C$62,((D368+E368)*C368)*'Assumptions and Catalog'!$H$62+'Assumptions and Catalog'!$E$62+'Assumptions and Catalog'!$F$62,IF(((D368+E368)*C368)&lt;='Assumptions and Catalog'!$C$63,((D368+E368)*C368)*'Assumptions and Catalog'!$H$63+'Assumptions and Catalog'!$E$63+'Assumptions and Catalog'!$F$63,IF(((D368+E368)*C368)&lt;='Assumptions and Catalog'!$C$64,((D368+E368)*C368)*'Assumptions and Catalog'!$H$64+'Assumptions and Catalog'!$E$64+'Assumptions and Catalog'!$F$64,IF(((D368+E368)*C368)&lt;='Assumptions and Catalog'!$C$65,((D368+E368)*C368)*'Assumptions and Catalog'!$H$65+'Assumptions and Catalog'!$E$65+'Assumptions and Catalog'!$F$65,"Out of range")))))))))*(1+'Assumptions and Catalog'!$C$8)^(A368-1),0)</f>
        <v>6867.22</v>
      </c>
      <c r="N368" s="5" t="n">
        <f>IF(ISNUMBER(Inputs!$L$5),(IF(Inputs!$L$9="Actual flat rate",L368*Inputs!$L$10,IF(Inputs!$C$9="Residential",IF(L368&lt;='Assumptions and Catalog'!$C$50,L368*'Assumptions and Catalog'!$H$50+'Assumptions and Catalog'!$E$50+'Assumptions and Catalog'!$F$50,IF(L368&lt;='Assumptions and Catalog'!$C$51,L368*'Assumptions and Catalog'!$H$51+'Assumptions and Catalog'!$E$51+'Assumptions and Catalog'!$F$51,IF(L368&lt;='Assumptions and Catalog'!$C$52,L368*'Assumptions and Catalog'!$H$52+'Assumptions and Catalog'!$E$52+'Assumptions and Catalog'!$F$52,IF(L368&lt;='Assumptions and Catalog'!$C$53,L368*'Assumptions and Catalog'!$H$53+'Assumptions and Catalog'!$E$53+'Assumptions and Catalog'!$F$53,IF(L368&lt;='Assumptions and Catalog'!$C$54,L368*'Assumptions and Catalog'!$H$54+'Assumptions and Catalog'!$E$54+'Assumptions and Catalog'!$F$54,IF(L368&lt;='Assumptions and Catalog'!$C$55,L368*'Assumptions and Catalog'!$H$55+'Assumptions and Catalog'!$E$55+'Assumptions and Catalog'!$F$55,IF(L368&lt;='Assumptions and Catalog'!$C$56,L368*'Assumptions and Catalog'!$H$56+'Assumptions and Catalog'!$E$56+'Assumptions and Catalog'!$F$56,IF(L368&lt;='Assumptions and Catalog'!$C$57,L368*'Assumptions and Catalog'!$H$57+'Assumptions and Catalog'!$E$57+'Assumptions and Catalog'!$F$57,"Out of range")))))))),IF(L368&lt;='Assumptions and Catalog'!$C$60,L368*'Assumptions and Catalog'!$H$60+'Assumptions and Catalog'!$E$60+'Assumptions and Catalog'!$F$60,IF(L368&lt;='Assumptions and Catalog'!$C$61,L368*'Assumptions and Catalog'!$H$61+'Assumptions and Catalog'!$E$61+'Assumptions and Catalog'!$F$61,IF(L368&lt;='Assumptions and Catalog'!$C$62,L368*'Assumptions and Catalog'!$H$62+'Assumptions and Catalog'!$E$62+'Assumptions and Catalog'!$F$62,IF(L368&lt;='Assumptions and Catalog'!$C$63,L368*'Assumptions and Catalog'!$H$63+'Assumptions and Catalog'!$E$63+'Assumptions and Catalog'!$F$63,IF(L368&lt;='Assumptions and Catalog'!$C$64,L368*'Assumptions and Catalog'!$H$64+'Assumptions and Catalog'!$E$64+'Assumptions and Catalog'!$F$64,IF(L368&lt;='Assumptions and Catalog'!$C$65,L368*'Assumptions and Catalog'!$H$65+'Assumptions and Catalog'!$E$65+'Assumptions and Catalog'!$F$65,"Out of range")))))))))*(1+'Assumptions and Catalog'!$C$8)^(A368-1),0)</f>
        <v>3453.61</v>
      </c>
      <c r="O368" s="5" t="n">
        <f>M368-N368</f>
        <v>3413.61</v>
      </c>
      <c r="P368" s="5" t="n">
        <f>C$55*(1-J$14)*(1-'Assumptions and Catalog'!$C$23)^R368</f>
        <v>0</v>
      </c>
      <c r="Q368" s="5" t="n">
        <f>IF(ISNUMBER(Inputs!$L$5),(IF(Inputs!$L$9="Actual flat rate",((D368+E368)*C368-G368)*Inputs!$L$10,IF(Inputs!$C$9="Residential",IF(((D368+E368)*C368-G368)&lt;='Assumptions and Catalog'!$C$50,((D368+E368)*C368-G368)*'Assumptions and Catalog'!$H$50+'Assumptions and Catalog'!$E$50+'Assumptions and Catalog'!$F$50,IF(((D368+E368)*C368-G368)&lt;='Assumptions and Catalog'!$C$51,((D368+E368)*C368-G368)*'Assumptions and Catalog'!$H$51+'Assumptions and Catalog'!$E$51+'Assumptions and Catalog'!$F$51,IF(((D368+E368)*C368-G368)&lt;='Assumptions and Catalog'!$C$52,((D368+E368)*C368-G368)*'Assumptions and Catalog'!$H$52+'Assumptions and Catalog'!$E$52+'Assumptions and Catalog'!$F$52,IF(((D368+E368)*C368-G368)&lt;='Assumptions and Catalog'!$C$53,((D368+E368)*C368-G368)*'Assumptions and Catalog'!$H$53+'Assumptions and Catalog'!$E$53+'Assumptions and Catalog'!$F$53,IF(((D368+E368)*C368-G368)&lt;='Assumptions and Catalog'!$C$54,((D368+E368)*C368-G368)*'Assumptions and Catalog'!$H$54+'Assumptions and Catalog'!$E$54+'Assumptions and Catalog'!$F$54,IF(((D368+E368)*C368-G368)&lt;='Assumptions and Catalog'!$C$55,((D368+E368)*C368-G368)*'Assumptions and Catalog'!$H$55+'Assumptions and Catalog'!$E$55+'Assumptions and Catalog'!$F$55,IF(((D368+E368)*C368-G368)&lt;='Assumptions and Catalog'!$C$56,((D368+E368)*C368-G368)*'Assumptions and Catalog'!$H$56+'Assumptions and Catalog'!$E$56+'Assumptions and Catalog'!$F$56,IF(((D368+E368)*C368-G368)&lt;='Assumptions and Catalog'!$C$57,((D368+E368)*C368-G368)*'Assumptions and Catalog'!$H$57+'Assumptions and Catalog'!$E$57+'Assumptions and Catalog'!$F$57,"Out of range")))))))),IF(((D368+E368)*C368-G368)&lt;='Assumptions and Catalog'!$C$60,((D368+E368)*C368-G368)*'Assumptions and Catalog'!$H$60+'Assumptions and Catalog'!$E$60+'Assumptions and Catalog'!$F$60,IF(((D368+E368)*C368-G368)&lt;='Assumptions and Catalog'!$C$61,((D368+E368)*C368-G368)*'Assumptions and Catalog'!$H$61+'Assumptions and Catalog'!$E$61+'Assumptions and Catalog'!$F$61,IF(((D368+E368)*C368-G368)&lt;='Assumptions and Catalog'!$C$62,((D368+E368)*C368-G368)*'Assumptions and Catalog'!$H$62+'Assumptions and Catalog'!$E$62+'Assumptions and Catalog'!$F$62,IF(((D368+E368)*C368-G368)&lt;='Assumptions and Catalog'!$C$63,((D368+E368)*C368-G368)*'Assumptions and Catalog'!$H$63+'Assumptions and Catalog'!$E$63+'Assumptions and Catalog'!$F$63,IF(((D368+E368)*C368-G368)&lt;='Assumptions and Catalog'!$C$64,((D368+E368)*C368-G368)*'Assumptions and Catalog'!$H$64+'Assumptions and Catalog'!$E$64+'Assumptions and Catalog'!$F$64,IF(((D368+E368)*C368-G368)&lt;='Assumptions and Catalog'!$C$65,((D368+E368)*C368-G368)*'Assumptions and Catalog'!$H$65+'Assumptions and Catalog'!$E$65+'Assumptions and Catalog'!$F$65,"Out of range")))))))))*(1+'Assumptions and Catalog'!$C$8)^(A368-1),0)</f>
        <v>3453.61</v>
      </c>
      <c r="R368" s="5" t="n">
        <f>IF(AND('Assumptions and Catalog'!$C$19&gt;0,A368&gt;='Assumptions and Catalog'!$C$19),A368-'Assumptions and Catalog'!$C$19,A368-1)</f>
        <v>7</v>
      </c>
      <c r="S368" s="5" t="n">
        <f>F368+L368-(D368+E368)*C368-J368-K368-0</f>
        <v>0</v>
      </c>
      <c r="T368" s="5"/>
      <c r="U368" s="5"/>
    </row>
    <row r="369" ht="23.100000381469727" customHeight="1">
      <c r="A369" s="5" t="n">
        <v>18</v>
      </c>
      <c r="B369" s="5" t="n">
        <v>5</v>
      </c>
      <c r="C369" s="5" t="n">
        <f>DAY(DATE('Assumptions and Catalog'!$C$24+A369-1,B369+1,0))</f>
        <v>31</v>
      </c>
      <c r="D369" s="5" t="n">
        <f>IF(ISNUMBER(Inputs!$L$5),Inputs!$L$5*Inputs!$L$6,0)</f>
        <v>40.35</v>
      </c>
      <c r="E369" s="5" t="n">
        <f>IF(ISNUMBER(Inputs!$L$5),Inputs!$L$5-D369,0)</f>
        <v>40.35</v>
      </c>
      <c r="F369" s="5" t="n">
        <f>C$51*INDEX('Solar Production'!$D$20:$D$31,B369)*C369*(1-'Assumptions and Catalog'!$C$10)^(A369-1)</f>
        <v>1314.97041042948</v>
      </c>
      <c r="G369" s="5" t="n">
        <f>MIN(F369,D369*C369)</f>
        <v>1250.85</v>
      </c>
      <c r="H369" s="5" t="n">
        <f>I369/('Assumptions and Catalog'!$C$11*'Assumptions and Catalog'!$C$12)</f>
        <v>0</v>
      </c>
      <c r="I369" s="5" t="n">
        <f>0</f>
        <v>0</v>
      </c>
      <c r="J369" s="5" t="n">
        <f>MAX(F369-G369-H369,0)</f>
        <v>64.1204104294759</v>
      </c>
      <c r="K369" s="5" t="n">
        <f>H369-I369</f>
        <v>0</v>
      </c>
      <c r="L369" s="5" t="n">
        <f>(D369+E369)*C369-G369-I369+0+0</f>
        <v>1250.85</v>
      </c>
      <c r="M369" s="5" t="n">
        <f>IF(ISNUMBER(Inputs!$L$5),(IF(Inputs!$L$9="Actual flat rate",((D369+E369)*C369)*Inputs!$L$10,IF(Inputs!$C$9="Residential",IF(((D369+E369)*C369)&lt;='Assumptions and Catalog'!$C$50,((D369+E369)*C369)*'Assumptions and Catalog'!$H$50+'Assumptions and Catalog'!$E$50+'Assumptions and Catalog'!$F$50,IF(((D369+E369)*C369)&lt;='Assumptions and Catalog'!$C$51,((D369+E369)*C369)*'Assumptions and Catalog'!$H$51+'Assumptions and Catalog'!$E$51+'Assumptions and Catalog'!$F$51,IF(((D369+E369)*C369)&lt;='Assumptions and Catalog'!$C$52,((D369+E369)*C369)*'Assumptions and Catalog'!$H$52+'Assumptions and Catalog'!$E$52+'Assumptions and Catalog'!$F$52,IF(((D369+E369)*C369)&lt;='Assumptions and Catalog'!$C$53,((D369+E369)*C369)*'Assumptions and Catalog'!$H$53+'Assumptions and Catalog'!$E$53+'Assumptions and Catalog'!$F$53,IF(((D369+E369)*C369)&lt;='Assumptions and Catalog'!$C$54,((D369+E369)*C369)*'Assumptions and Catalog'!$H$54+'Assumptions and Catalog'!$E$54+'Assumptions and Catalog'!$F$54,IF(((D369+E369)*C369)&lt;='Assumptions and Catalog'!$C$55,((D369+E369)*C369)*'Assumptions and Catalog'!$H$55+'Assumptions and Catalog'!$E$55+'Assumptions and Catalog'!$F$55,IF(((D369+E369)*C369)&lt;='Assumptions and Catalog'!$C$56,((D369+E369)*C369)*'Assumptions and Catalog'!$H$56+'Assumptions and Catalog'!$E$56+'Assumptions and Catalog'!$F$56,IF(((D369+E369)*C369)&lt;='Assumptions and Catalog'!$C$57,((D369+E369)*C369)*'Assumptions and Catalog'!$H$57+'Assumptions and Catalog'!$E$57+'Assumptions and Catalog'!$F$57,"Out of range")))))))),IF(((D369+E369)*C369)&lt;='Assumptions and Catalog'!$C$60,((D369+E369)*C369)*'Assumptions and Catalog'!$H$60+'Assumptions and Catalog'!$E$60+'Assumptions and Catalog'!$F$60,IF(((D369+E369)*C369)&lt;='Assumptions and Catalog'!$C$61,((D369+E369)*C369)*'Assumptions and Catalog'!$H$61+'Assumptions and Catalog'!$E$61+'Assumptions and Catalog'!$F$61,IF(((D369+E369)*C369)&lt;='Assumptions and Catalog'!$C$62,((D369+E369)*C369)*'Assumptions and Catalog'!$H$62+'Assumptions and Catalog'!$E$62+'Assumptions and Catalog'!$F$62,IF(((D369+E369)*C369)&lt;='Assumptions and Catalog'!$C$63,((D369+E369)*C369)*'Assumptions and Catalog'!$H$63+'Assumptions and Catalog'!$E$63+'Assumptions and Catalog'!$F$63,IF(((D369+E369)*C369)&lt;='Assumptions and Catalog'!$C$64,((D369+E369)*C369)*'Assumptions and Catalog'!$H$64+'Assumptions and Catalog'!$E$64+'Assumptions and Catalog'!$F$64,IF(((D369+E369)*C369)&lt;='Assumptions and Catalog'!$C$65,((D369+E369)*C369)*'Assumptions and Catalog'!$H$65+'Assumptions and Catalog'!$E$65+'Assumptions and Catalog'!$F$65,"Out of range")))))))))*(1+'Assumptions and Catalog'!$C$8)^(A369-1),0)</f>
        <v>7094.794</v>
      </c>
      <c r="N369" s="5" t="n">
        <f>IF(ISNUMBER(Inputs!$L$5),(IF(Inputs!$L$9="Actual flat rate",L369*Inputs!$L$10,IF(Inputs!$C$9="Residential",IF(L369&lt;='Assumptions and Catalog'!$C$50,L369*'Assumptions and Catalog'!$H$50+'Assumptions and Catalog'!$E$50+'Assumptions and Catalog'!$F$50,IF(L369&lt;='Assumptions and Catalog'!$C$51,L369*'Assumptions and Catalog'!$H$51+'Assumptions and Catalog'!$E$51+'Assumptions and Catalog'!$F$51,IF(L369&lt;='Assumptions and Catalog'!$C$52,L369*'Assumptions and Catalog'!$H$52+'Assumptions and Catalog'!$E$52+'Assumptions and Catalog'!$F$52,IF(L369&lt;='Assumptions and Catalog'!$C$53,L369*'Assumptions and Catalog'!$H$53+'Assumptions and Catalog'!$E$53+'Assumptions and Catalog'!$F$53,IF(L369&lt;='Assumptions and Catalog'!$C$54,L369*'Assumptions and Catalog'!$H$54+'Assumptions and Catalog'!$E$54+'Assumptions and Catalog'!$F$54,IF(L369&lt;='Assumptions and Catalog'!$C$55,L369*'Assumptions and Catalog'!$H$55+'Assumptions and Catalog'!$E$55+'Assumptions and Catalog'!$F$55,IF(L369&lt;='Assumptions and Catalog'!$C$56,L369*'Assumptions and Catalog'!$H$56+'Assumptions and Catalog'!$E$56+'Assumptions and Catalog'!$F$56,IF(L369&lt;='Assumptions and Catalog'!$C$57,L369*'Assumptions and Catalog'!$H$57+'Assumptions and Catalog'!$E$57+'Assumptions and Catalog'!$F$57,"Out of range")))))))),IF(L369&lt;='Assumptions and Catalog'!$C$60,L369*'Assumptions and Catalog'!$H$60+'Assumptions and Catalog'!$E$60+'Assumptions and Catalog'!$F$60,IF(L369&lt;='Assumptions and Catalog'!$C$61,L369*'Assumptions and Catalog'!$H$61+'Assumptions and Catalog'!$E$61+'Assumptions and Catalog'!$F$61,IF(L369&lt;='Assumptions and Catalog'!$C$62,L369*'Assumptions and Catalog'!$H$62+'Assumptions and Catalog'!$E$62+'Assumptions and Catalog'!$F$62,IF(L369&lt;='Assumptions and Catalog'!$C$63,L369*'Assumptions and Catalog'!$H$63+'Assumptions and Catalog'!$E$63+'Assumptions and Catalog'!$F$63,IF(L369&lt;='Assumptions and Catalog'!$C$64,L369*'Assumptions and Catalog'!$H$64+'Assumptions and Catalog'!$E$64+'Assumptions and Catalog'!$F$64,IF(L369&lt;='Assumptions and Catalog'!$C$65,L369*'Assumptions and Catalog'!$H$65+'Assumptions and Catalog'!$E$65+'Assumptions and Catalog'!$F$65,"Out of range")))))))))*(1+'Assumptions and Catalog'!$C$8)^(A369-1),0)</f>
        <v>3567.397</v>
      </c>
      <c r="O369" s="5" t="n">
        <f>M369-N369</f>
        <v>3527.397</v>
      </c>
      <c r="P369" s="5" t="n">
        <f>C$55*(1-J$14)*(1-'Assumptions and Catalog'!$C$23)^R369</f>
        <v>0</v>
      </c>
      <c r="Q369" s="5" t="n">
        <f>IF(ISNUMBER(Inputs!$L$5),(IF(Inputs!$L$9="Actual flat rate",((D369+E369)*C369-G369)*Inputs!$L$10,IF(Inputs!$C$9="Residential",IF(((D369+E369)*C369-G369)&lt;='Assumptions and Catalog'!$C$50,((D369+E369)*C369-G369)*'Assumptions and Catalog'!$H$50+'Assumptions and Catalog'!$E$50+'Assumptions and Catalog'!$F$50,IF(((D369+E369)*C369-G369)&lt;='Assumptions and Catalog'!$C$51,((D369+E369)*C369-G369)*'Assumptions and Catalog'!$H$51+'Assumptions and Catalog'!$E$51+'Assumptions and Catalog'!$F$51,IF(((D369+E369)*C369-G369)&lt;='Assumptions and Catalog'!$C$52,((D369+E369)*C369-G369)*'Assumptions and Catalog'!$H$52+'Assumptions and Catalog'!$E$52+'Assumptions and Catalog'!$F$52,IF(((D369+E369)*C369-G369)&lt;='Assumptions and Catalog'!$C$53,((D369+E369)*C369-G369)*'Assumptions and Catalog'!$H$53+'Assumptions and Catalog'!$E$53+'Assumptions and Catalog'!$F$53,IF(((D369+E369)*C369-G369)&lt;='Assumptions and Catalog'!$C$54,((D369+E369)*C369-G369)*'Assumptions and Catalog'!$H$54+'Assumptions and Catalog'!$E$54+'Assumptions and Catalog'!$F$54,IF(((D369+E369)*C369-G369)&lt;='Assumptions and Catalog'!$C$55,((D369+E369)*C369-G369)*'Assumptions and Catalog'!$H$55+'Assumptions and Catalog'!$E$55+'Assumptions and Catalog'!$F$55,IF(((D369+E369)*C369-G369)&lt;='Assumptions and Catalog'!$C$56,((D369+E369)*C369-G369)*'Assumptions and Catalog'!$H$56+'Assumptions and Catalog'!$E$56+'Assumptions and Catalog'!$F$56,IF(((D369+E369)*C369-G369)&lt;='Assumptions and Catalog'!$C$57,((D369+E369)*C369-G369)*'Assumptions and Catalog'!$H$57+'Assumptions and Catalog'!$E$57+'Assumptions and Catalog'!$F$57,"Out of range")))))))),IF(((D369+E369)*C369-G369)&lt;='Assumptions and Catalog'!$C$60,((D369+E369)*C369-G369)*'Assumptions and Catalog'!$H$60+'Assumptions and Catalog'!$E$60+'Assumptions and Catalog'!$F$60,IF(((D369+E369)*C369-G369)&lt;='Assumptions and Catalog'!$C$61,((D369+E369)*C369-G369)*'Assumptions and Catalog'!$H$61+'Assumptions and Catalog'!$E$61+'Assumptions and Catalog'!$F$61,IF(((D369+E369)*C369-G369)&lt;='Assumptions and Catalog'!$C$62,((D369+E369)*C369-G369)*'Assumptions and Catalog'!$H$62+'Assumptions and Catalog'!$E$62+'Assumptions and Catalog'!$F$62,IF(((D369+E369)*C369-G369)&lt;='Assumptions and Catalog'!$C$63,((D369+E369)*C369-G369)*'Assumptions and Catalog'!$H$63+'Assumptions and Catalog'!$E$63+'Assumptions and Catalog'!$F$63,IF(((D369+E369)*C369-G369)&lt;='Assumptions and Catalog'!$C$64,((D369+E369)*C369-G369)*'Assumptions and Catalog'!$H$64+'Assumptions and Catalog'!$E$64+'Assumptions and Catalog'!$F$64,IF(((D369+E369)*C369-G369)&lt;='Assumptions and Catalog'!$C$65,((D369+E369)*C369-G369)*'Assumptions and Catalog'!$H$65+'Assumptions and Catalog'!$E$65+'Assumptions and Catalog'!$F$65,"Out of range")))))))))*(1+'Assumptions and Catalog'!$C$8)^(A369-1),0)</f>
        <v>3567.397</v>
      </c>
      <c r="R369" s="5" t="n">
        <f>IF(AND('Assumptions and Catalog'!$C$19&gt;0,A369&gt;='Assumptions and Catalog'!$C$19),A369-'Assumptions and Catalog'!$C$19,A369-1)</f>
        <v>7</v>
      </c>
      <c r="S369" s="5" t="n">
        <f>F369+L369-(D369+E369)*C369-J369-K369-0</f>
        <v>0</v>
      </c>
      <c r="T369" s="5"/>
      <c r="U369" s="5"/>
    </row>
    <row r="370" ht="23.100000381469727" customHeight="1">
      <c r="A370" s="5" t="n">
        <v>18</v>
      </c>
      <c r="B370" s="5" t="n">
        <v>6</v>
      </c>
      <c r="C370" s="5" t="n">
        <f>DAY(DATE('Assumptions and Catalog'!$C$24+A370-1,B370+1,0))</f>
        <v>30</v>
      </c>
      <c r="D370" s="5" t="n">
        <f>IF(ISNUMBER(Inputs!$L$5),Inputs!$L$5*Inputs!$L$6,0)</f>
        <v>40.35</v>
      </c>
      <c r="E370" s="5" t="n">
        <f>IF(ISNUMBER(Inputs!$L$5),Inputs!$L$5-D370,0)</f>
        <v>40.35</v>
      </c>
      <c r="F370" s="5" t="n">
        <f>C$51*INDEX('Solar Production'!$D$20:$D$31,B370)*C370*(1-'Assumptions and Catalog'!$C$10)^(A370-1)</f>
        <v>1281.83755225125</v>
      </c>
      <c r="G370" s="5" t="n">
        <f>MIN(F370,D370*C370)</f>
        <v>1210.5</v>
      </c>
      <c r="H370" s="5" t="n">
        <f>I370/('Assumptions and Catalog'!$C$11*'Assumptions and Catalog'!$C$12)</f>
        <v>0</v>
      </c>
      <c r="I370" s="5" t="n">
        <f>0</f>
        <v>0</v>
      </c>
      <c r="J370" s="5" t="n">
        <f>MAX(F370-G370-H370,0)</f>
        <v>71.3375522512506</v>
      </c>
      <c r="K370" s="5" t="n">
        <f>H370-I370</f>
        <v>0</v>
      </c>
      <c r="L370" s="5" t="n">
        <f>(D370+E370)*C370-G370-I370+0+0</f>
        <v>1210.5</v>
      </c>
      <c r="M370" s="5" t="n">
        <f>IF(ISNUMBER(Inputs!$L$5),(IF(Inputs!$L$9="Actual flat rate",((D370+E370)*C370)*Inputs!$L$10,IF(Inputs!$C$9="Residential",IF(((D370+E370)*C370)&lt;='Assumptions and Catalog'!$C$50,((D370+E370)*C370)*'Assumptions and Catalog'!$H$50+'Assumptions and Catalog'!$E$50+'Assumptions and Catalog'!$F$50,IF(((D370+E370)*C370)&lt;='Assumptions and Catalog'!$C$51,((D370+E370)*C370)*'Assumptions and Catalog'!$H$51+'Assumptions and Catalog'!$E$51+'Assumptions and Catalog'!$F$51,IF(((D370+E370)*C370)&lt;='Assumptions and Catalog'!$C$52,((D370+E370)*C370)*'Assumptions and Catalog'!$H$52+'Assumptions and Catalog'!$E$52+'Assumptions and Catalog'!$F$52,IF(((D370+E370)*C370)&lt;='Assumptions and Catalog'!$C$53,((D370+E370)*C370)*'Assumptions and Catalog'!$H$53+'Assumptions and Catalog'!$E$53+'Assumptions and Catalog'!$F$53,IF(((D370+E370)*C370)&lt;='Assumptions and Catalog'!$C$54,((D370+E370)*C370)*'Assumptions and Catalog'!$H$54+'Assumptions and Catalog'!$E$54+'Assumptions and Catalog'!$F$54,IF(((D370+E370)*C370)&lt;='Assumptions and Catalog'!$C$55,((D370+E370)*C370)*'Assumptions and Catalog'!$H$55+'Assumptions and Catalog'!$E$55+'Assumptions and Catalog'!$F$55,IF(((D370+E370)*C370)&lt;='Assumptions and Catalog'!$C$56,((D370+E370)*C370)*'Assumptions and Catalog'!$H$56+'Assumptions and Catalog'!$E$56+'Assumptions and Catalog'!$F$56,IF(((D370+E370)*C370)&lt;='Assumptions and Catalog'!$C$57,((D370+E370)*C370)*'Assumptions and Catalog'!$H$57+'Assumptions and Catalog'!$E$57+'Assumptions and Catalog'!$F$57,"Out of range")))))))),IF(((D370+E370)*C370)&lt;='Assumptions and Catalog'!$C$60,((D370+E370)*C370)*'Assumptions and Catalog'!$H$60+'Assumptions and Catalog'!$E$60+'Assumptions and Catalog'!$F$60,IF(((D370+E370)*C370)&lt;='Assumptions and Catalog'!$C$61,((D370+E370)*C370)*'Assumptions and Catalog'!$H$61+'Assumptions and Catalog'!$E$61+'Assumptions and Catalog'!$F$61,IF(((D370+E370)*C370)&lt;='Assumptions and Catalog'!$C$62,((D370+E370)*C370)*'Assumptions and Catalog'!$H$62+'Assumptions and Catalog'!$E$62+'Assumptions and Catalog'!$F$62,IF(((D370+E370)*C370)&lt;='Assumptions and Catalog'!$C$63,((D370+E370)*C370)*'Assumptions and Catalog'!$H$63+'Assumptions and Catalog'!$E$63+'Assumptions and Catalog'!$F$63,IF(((D370+E370)*C370)&lt;='Assumptions and Catalog'!$C$64,((D370+E370)*C370)*'Assumptions and Catalog'!$H$64+'Assumptions and Catalog'!$E$64+'Assumptions and Catalog'!$F$64,IF(((D370+E370)*C370)&lt;='Assumptions and Catalog'!$C$65,((D370+E370)*C370)*'Assumptions and Catalog'!$H$65+'Assumptions and Catalog'!$E$65+'Assumptions and Catalog'!$F$65,"Out of range")))))))))*(1+'Assumptions and Catalog'!$C$8)^(A370-1),0)</f>
        <v>6867.22</v>
      </c>
      <c r="N370" s="5" t="n">
        <f>IF(ISNUMBER(Inputs!$L$5),(IF(Inputs!$L$9="Actual flat rate",L370*Inputs!$L$10,IF(Inputs!$C$9="Residential",IF(L370&lt;='Assumptions and Catalog'!$C$50,L370*'Assumptions and Catalog'!$H$50+'Assumptions and Catalog'!$E$50+'Assumptions and Catalog'!$F$50,IF(L370&lt;='Assumptions and Catalog'!$C$51,L370*'Assumptions and Catalog'!$H$51+'Assumptions and Catalog'!$E$51+'Assumptions and Catalog'!$F$51,IF(L370&lt;='Assumptions and Catalog'!$C$52,L370*'Assumptions and Catalog'!$H$52+'Assumptions and Catalog'!$E$52+'Assumptions and Catalog'!$F$52,IF(L370&lt;='Assumptions and Catalog'!$C$53,L370*'Assumptions and Catalog'!$H$53+'Assumptions and Catalog'!$E$53+'Assumptions and Catalog'!$F$53,IF(L370&lt;='Assumptions and Catalog'!$C$54,L370*'Assumptions and Catalog'!$H$54+'Assumptions and Catalog'!$E$54+'Assumptions and Catalog'!$F$54,IF(L370&lt;='Assumptions and Catalog'!$C$55,L370*'Assumptions and Catalog'!$H$55+'Assumptions and Catalog'!$E$55+'Assumptions and Catalog'!$F$55,IF(L370&lt;='Assumptions and Catalog'!$C$56,L370*'Assumptions and Catalog'!$H$56+'Assumptions and Catalog'!$E$56+'Assumptions and Catalog'!$F$56,IF(L370&lt;='Assumptions and Catalog'!$C$57,L370*'Assumptions and Catalog'!$H$57+'Assumptions and Catalog'!$E$57+'Assumptions and Catalog'!$F$57,"Out of range")))))))),IF(L370&lt;='Assumptions and Catalog'!$C$60,L370*'Assumptions and Catalog'!$H$60+'Assumptions and Catalog'!$E$60+'Assumptions and Catalog'!$F$60,IF(L370&lt;='Assumptions and Catalog'!$C$61,L370*'Assumptions and Catalog'!$H$61+'Assumptions and Catalog'!$E$61+'Assumptions and Catalog'!$F$61,IF(L370&lt;='Assumptions and Catalog'!$C$62,L370*'Assumptions and Catalog'!$H$62+'Assumptions and Catalog'!$E$62+'Assumptions and Catalog'!$F$62,IF(L370&lt;='Assumptions and Catalog'!$C$63,L370*'Assumptions and Catalog'!$H$63+'Assumptions and Catalog'!$E$63+'Assumptions and Catalog'!$F$63,IF(L370&lt;='Assumptions and Catalog'!$C$64,L370*'Assumptions and Catalog'!$H$64+'Assumptions and Catalog'!$E$64+'Assumptions and Catalog'!$F$64,IF(L370&lt;='Assumptions and Catalog'!$C$65,L370*'Assumptions and Catalog'!$H$65+'Assumptions and Catalog'!$E$65+'Assumptions and Catalog'!$F$65,"Out of range")))))))))*(1+'Assumptions and Catalog'!$C$8)^(A370-1),0)</f>
        <v>3453.61</v>
      </c>
      <c r="O370" s="5" t="n">
        <f>M370-N370</f>
        <v>3413.61</v>
      </c>
      <c r="P370" s="5" t="n">
        <f>C$55*(1-J$14)*(1-'Assumptions and Catalog'!$C$23)^R370</f>
        <v>0</v>
      </c>
      <c r="Q370" s="5" t="n">
        <f>IF(ISNUMBER(Inputs!$L$5),(IF(Inputs!$L$9="Actual flat rate",((D370+E370)*C370-G370)*Inputs!$L$10,IF(Inputs!$C$9="Residential",IF(((D370+E370)*C370-G370)&lt;='Assumptions and Catalog'!$C$50,((D370+E370)*C370-G370)*'Assumptions and Catalog'!$H$50+'Assumptions and Catalog'!$E$50+'Assumptions and Catalog'!$F$50,IF(((D370+E370)*C370-G370)&lt;='Assumptions and Catalog'!$C$51,((D370+E370)*C370-G370)*'Assumptions and Catalog'!$H$51+'Assumptions and Catalog'!$E$51+'Assumptions and Catalog'!$F$51,IF(((D370+E370)*C370-G370)&lt;='Assumptions and Catalog'!$C$52,((D370+E370)*C370-G370)*'Assumptions and Catalog'!$H$52+'Assumptions and Catalog'!$E$52+'Assumptions and Catalog'!$F$52,IF(((D370+E370)*C370-G370)&lt;='Assumptions and Catalog'!$C$53,((D370+E370)*C370-G370)*'Assumptions and Catalog'!$H$53+'Assumptions and Catalog'!$E$53+'Assumptions and Catalog'!$F$53,IF(((D370+E370)*C370-G370)&lt;='Assumptions and Catalog'!$C$54,((D370+E370)*C370-G370)*'Assumptions and Catalog'!$H$54+'Assumptions and Catalog'!$E$54+'Assumptions and Catalog'!$F$54,IF(((D370+E370)*C370-G370)&lt;='Assumptions and Catalog'!$C$55,((D370+E370)*C370-G370)*'Assumptions and Catalog'!$H$55+'Assumptions and Catalog'!$E$55+'Assumptions and Catalog'!$F$55,IF(((D370+E370)*C370-G370)&lt;='Assumptions and Catalog'!$C$56,((D370+E370)*C370-G370)*'Assumptions and Catalog'!$H$56+'Assumptions and Catalog'!$E$56+'Assumptions and Catalog'!$F$56,IF(((D370+E370)*C370-G370)&lt;='Assumptions and Catalog'!$C$57,((D370+E370)*C370-G370)*'Assumptions and Catalog'!$H$57+'Assumptions and Catalog'!$E$57+'Assumptions and Catalog'!$F$57,"Out of range")))))))),IF(((D370+E370)*C370-G370)&lt;='Assumptions and Catalog'!$C$60,((D370+E370)*C370-G370)*'Assumptions and Catalog'!$H$60+'Assumptions and Catalog'!$E$60+'Assumptions and Catalog'!$F$60,IF(((D370+E370)*C370-G370)&lt;='Assumptions and Catalog'!$C$61,((D370+E370)*C370-G370)*'Assumptions and Catalog'!$H$61+'Assumptions and Catalog'!$E$61+'Assumptions and Catalog'!$F$61,IF(((D370+E370)*C370-G370)&lt;='Assumptions and Catalog'!$C$62,((D370+E370)*C370-G370)*'Assumptions and Catalog'!$H$62+'Assumptions and Catalog'!$E$62+'Assumptions and Catalog'!$F$62,IF(((D370+E370)*C370-G370)&lt;='Assumptions and Catalog'!$C$63,((D370+E370)*C370-G370)*'Assumptions and Catalog'!$H$63+'Assumptions and Catalog'!$E$63+'Assumptions and Catalog'!$F$63,IF(((D370+E370)*C370-G370)&lt;='Assumptions and Catalog'!$C$64,((D370+E370)*C370-G370)*'Assumptions and Catalog'!$H$64+'Assumptions and Catalog'!$E$64+'Assumptions and Catalog'!$F$64,IF(((D370+E370)*C370-G370)&lt;='Assumptions and Catalog'!$C$65,((D370+E370)*C370-G370)*'Assumptions and Catalog'!$H$65+'Assumptions and Catalog'!$E$65+'Assumptions and Catalog'!$F$65,"Out of range")))))))))*(1+'Assumptions and Catalog'!$C$8)^(A370-1),0)</f>
        <v>3453.61</v>
      </c>
      <c r="R370" s="5" t="n">
        <f>IF(AND('Assumptions and Catalog'!$C$19&gt;0,A370&gt;='Assumptions and Catalog'!$C$19),A370-'Assumptions and Catalog'!$C$19,A370-1)</f>
        <v>7</v>
      </c>
      <c r="S370" s="5" t="n">
        <f>F370+L370-(D370+E370)*C370-J370-K370-0</f>
        <v>0</v>
      </c>
      <c r="T370" s="5"/>
      <c r="U370" s="5"/>
    </row>
    <row r="371" ht="23.100000381469727" customHeight="1">
      <c r="A371" s="5" t="n">
        <v>18</v>
      </c>
      <c r="B371" s="5" t="n">
        <v>7</v>
      </c>
      <c r="C371" s="5" t="n">
        <f>DAY(DATE('Assumptions and Catalog'!$C$24+A371-1,B371+1,0))</f>
        <v>31</v>
      </c>
      <c r="D371" s="5" t="n">
        <f>IF(ISNUMBER(Inputs!$L$5),Inputs!$L$5*Inputs!$L$6,0)</f>
        <v>40.35</v>
      </c>
      <c r="E371" s="5" t="n">
        <f>IF(ISNUMBER(Inputs!$L$5),Inputs!$L$5-D371,0)</f>
        <v>40.35</v>
      </c>
      <c r="F371" s="5" t="n">
        <f>C$51*INDEX('Solar Production'!$D$20:$D$31,B371)*C371*(1-'Assumptions and Catalog'!$C$10)^(A371-1)</f>
        <v>1330.64790917722</v>
      </c>
      <c r="G371" s="5" t="n">
        <f>MIN(F371,D371*C371)</f>
        <v>1250.85</v>
      </c>
      <c r="H371" s="5" t="n">
        <f>I371/('Assumptions and Catalog'!$C$11*'Assumptions and Catalog'!$C$12)</f>
        <v>0</v>
      </c>
      <c r="I371" s="5" t="n">
        <f>0</f>
        <v>0</v>
      </c>
      <c r="J371" s="5" t="n">
        <f>MAX(F371-G371-H371,0)</f>
        <v>79.7979091772215</v>
      </c>
      <c r="K371" s="5" t="n">
        <f>H371-I371</f>
        <v>0</v>
      </c>
      <c r="L371" s="5" t="n">
        <f>(D371+E371)*C371-G371-I371+0+0</f>
        <v>1250.85</v>
      </c>
      <c r="M371" s="5" t="n">
        <f>IF(ISNUMBER(Inputs!$L$5),(IF(Inputs!$L$9="Actual flat rate",((D371+E371)*C371)*Inputs!$L$10,IF(Inputs!$C$9="Residential",IF(((D371+E371)*C371)&lt;='Assumptions and Catalog'!$C$50,((D371+E371)*C371)*'Assumptions and Catalog'!$H$50+'Assumptions and Catalog'!$E$50+'Assumptions and Catalog'!$F$50,IF(((D371+E371)*C371)&lt;='Assumptions and Catalog'!$C$51,((D371+E371)*C371)*'Assumptions and Catalog'!$H$51+'Assumptions and Catalog'!$E$51+'Assumptions and Catalog'!$F$51,IF(((D371+E371)*C371)&lt;='Assumptions and Catalog'!$C$52,((D371+E371)*C371)*'Assumptions and Catalog'!$H$52+'Assumptions and Catalog'!$E$52+'Assumptions and Catalog'!$F$52,IF(((D371+E371)*C371)&lt;='Assumptions and Catalog'!$C$53,((D371+E371)*C371)*'Assumptions and Catalog'!$H$53+'Assumptions and Catalog'!$E$53+'Assumptions and Catalog'!$F$53,IF(((D371+E371)*C371)&lt;='Assumptions and Catalog'!$C$54,((D371+E371)*C371)*'Assumptions and Catalog'!$H$54+'Assumptions and Catalog'!$E$54+'Assumptions and Catalog'!$F$54,IF(((D371+E371)*C371)&lt;='Assumptions and Catalog'!$C$55,((D371+E371)*C371)*'Assumptions and Catalog'!$H$55+'Assumptions and Catalog'!$E$55+'Assumptions and Catalog'!$F$55,IF(((D371+E371)*C371)&lt;='Assumptions and Catalog'!$C$56,((D371+E371)*C371)*'Assumptions and Catalog'!$H$56+'Assumptions and Catalog'!$E$56+'Assumptions and Catalog'!$F$56,IF(((D371+E371)*C371)&lt;='Assumptions and Catalog'!$C$57,((D371+E371)*C371)*'Assumptions and Catalog'!$H$57+'Assumptions and Catalog'!$E$57+'Assumptions and Catalog'!$F$57,"Out of range")))))))),IF(((D371+E371)*C371)&lt;='Assumptions and Catalog'!$C$60,((D371+E371)*C371)*'Assumptions and Catalog'!$H$60+'Assumptions and Catalog'!$E$60+'Assumptions and Catalog'!$F$60,IF(((D371+E371)*C371)&lt;='Assumptions and Catalog'!$C$61,((D371+E371)*C371)*'Assumptions and Catalog'!$H$61+'Assumptions and Catalog'!$E$61+'Assumptions and Catalog'!$F$61,IF(((D371+E371)*C371)&lt;='Assumptions and Catalog'!$C$62,((D371+E371)*C371)*'Assumptions and Catalog'!$H$62+'Assumptions and Catalog'!$E$62+'Assumptions and Catalog'!$F$62,IF(((D371+E371)*C371)&lt;='Assumptions and Catalog'!$C$63,((D371+E371)*C371)*'Assumptions and Catalog'!$H$63+'Assumptions and Catalog'!$E$63+'Assumptions and Catalog'!$F$63,IF(((D371+E371)*C371)&lt;='Assumptions and Catalog'!$C$64,((D371+E371)*C371)*'Assumptions and Catalog'!$H$64+'Assumptions and Catalog'!$E$64+'Assumptions and Catalog'!$F$64,IF(((D371+E371)*C371)&lt;='Assumptions and Catalog'!$C$65,((D371+E371)*C371)*'Assumptions and Catalog'!$H$65+'Assumptions and Catalog'!$E$65+'Assumptions and Catalog'!$F$65,"Out of range")))))))))*(1+'Assumptions and Catalog'!$C$8)^(A371-1),0)</f>
        <v>7094.794</v>
      </c>
      <c r="N371" s="5" t="n">
        <f>IF(ISNUMBER(Inputs!$L$5),(IF(Inputs!$L$9="Actual flat rate",L371*Inputs!$L$10,IF(Inputs!$C$9="Residential",IF(L371&lt;='Assumptions and Catalog'!$C$50,L371*'Assumptions and Catalog'!$H$50+'Assumptions and Catalog'!$E$50+'Assumptions and Catalog'!$F$50,IF(L371&lt;='Assumptions and Catalog'!$C$51,L371*'Assumptions and Catalog'!$H$51+'Assumptions and Catalog'!$E$51+'Assumptions and Catalog'!$F$51,IF(L371&lt;='Assumptions and Catalog'!$C$52,L371*'Assumptions and Catalog'!$H$52+'Assumptions and Catalog'!$E$52+'Assumptions and Catalog'!$F$52,IF(L371&lt;='Assumptions and Catalog'!$C$53,L371*'Assumptions and Catalog'!$H$53+'Assumptions and Catalog'!$E$53+'Assumptions and Catalog'!$F$53,IF(L371&lt;='Assumptions and Catalog'!$C$54,L371*'Assumptions and Catalog'!$H$54+'Assumptions and Catalog'!$E$54+'Assumptions and Catalog'!$F$54,IF(L371&lt;='Assumptions and Catalog'!$C$55,L371*'Assumptions and Catalog'!$H$55+'Assumptions and Catalog'!$E$55+'Assumptions and Catalog'!$F$55,IF(L371&lt;='Assumptions and Catalog'!$C$56,L371*'Assumptions and Catalog'!$H$56+'Assumptions and Catalog'!$E$56+'Assumptions and Catalog'!$F$56,IF(L371&lt;='Assumptions and Catalog'!$C$57,L371*'Assumptions and Catalog'!$H$57+'Assumptions and Catalog'!$E$57+'Assumptions and Catalog'!$F$57,"Out of range")))))))),IF(L371&lt;='Assumptions and Catalog'!$C$60,L371*'Assumptions and Catalog'!$H$60+'Assumptions and Catalog'!$E$60+'Assumptions and Catalog'!$F$60,IF(L371&lt;='Assumptions and Catalog'!$C$61,L371*'Assumptions and Catalog'!$H$61+'Assumptions and Catalog'!$E$61+'Assumptions and Catalog'!$F$61,IF(L371&lt;='Assumptions and Catalog'!$C$62,L371*'Assumptions and Catalog'!$H$62+'Assumptions and Catalog'!$E$62+'Assumptions and Catalog'!$F$62,IF(L371&lt;='Assumptions and Catalog'!$C$63,L371*'Assumptions and Catalog'!$H$63+'Assumptions and Catalog'!$E$63+'Assumptions and Catalog'!$F$63,IF(L371&lt;='Assumptions and Catalog'!$C$64,L371*'Assumptions and Catalog'!$H$64+'Assumptions and Catalog'!$E$64+'Assumptions and Catalog'!$F$64,IF(L371&lt;='Assumptions and Catalog'!$C$65,L371*'Assumptions and Catalog'!$H$65+'Assumptions and Catalog'!$E$65+'Assumptions and Catalog'!$F$65,"Out of range")))))))))*(1+'Assumptions and Catalog'!$C$8)^(A371-1),0)</f>
        <v>3567.397</v>
      </c>
      <c r="O371" s="5" t="n">
        <f>M371-N371</f>
        <v>3527.397</v>
      </c>
      <c r="P371" s="5" t="n">
        <f>C$55*(1-J$14)*(1-'Assumptions and Catalog'!$C$23)^R371</f>
        <v>0</v>
      </c>
      <c r="Q371" s="5" t="n">
        <f>IF(ISNUMBER(Inputs!$L$5),(IF(Inputs!$L$9="Actual flat rate",((D371+E371)*C371-G371)*Inputs!$L$10,IF(Inputs!$C$9="Residential",IF(((D371+E371)*C371-G371)&lt;='Assumptions and Catalog'!$C$50,((D371+E371)*C371-G371)*'Assumptions and Catalog'!$H$50+'Assumptions and Catalog'!$E$50+'Assumptions and Catalog'!$F$50,IF(((D371+E371)*C371-G371)&lt;='Assumptions and Catalog'!$C$51,((D371+E371)*C371-G371)*'Assumptions and Catalog'!$H$51+'Assumptions and Catalog'!$E$51+'Assumptions and Catalog'!$F$51,IF(((D371+E371)*C371-G371)&lt;='Assumptions and Catalog'!$C$52,((D371+E371)*C371-G371)*'Assumptions and Catalog'!$H$52+'Assumptions and Catalog'!$E$52+'Assumptions and Catalog'!$F$52,IF(((D371+E371)*C371-G371)&lt;='Assumptions and Catalog'!$C$53,((D371+E371)*C371-G371)*'Assumptions and Catalog'!$H$53+'Assumptions and Catalog'!$E$53+'Assumptions and Catalog'!$F$53,IF(((D371+E371)*C371-G371)&lt;='Assumptions and Catalog'!$C$54,((D371+E371)*C371-G371)*'Assumptions and Catalog'!$H$54+'Assumptions and Catalog'!$E$54+'Assumptions and Catalog'!$F$54,IF(((D371+E371)*C371-G371)&lt;='Assumptions and Catalog'!$C$55,((D371+E371)*C371-G371)*'Assumptions and Catalog'!$H$55+'Assumptions and Catalog'!$E$55+'Assumptions and Catalog'!$F$55,IF(((D371+E371)*C371-G371)&lt;='Assumptions and Catalog'!$C$56,((D371+E371)*C371-G371)*'Assumptions and Catalog'!$H$56+'Assumptions and Catalog'!$E$56+'Assumptions and Catalog'!$F$56,IF(((D371+E371)*C371-G371)&lt;='Assumptions and Catalog'!$C$57,((D371+E371)*C371-G371)*'Assumptions and Catalog'!$H$57+'Assumptions and Catalog'!$E$57+'Assumptions and Catalog'!$F$57,"Out of range")))))))),IF(((D371+E371)*C371-G371)&lt;='Assumptions and Catalog'!$C$60,((D371+E371)*C371-G371)*'Assumptions and Catalog'!$H$60+'Assumptions and Catalog'!$E$60+'Assumptions and Catalog'!$F$60,IF(((D371+E371)*C371-G371)&lt;='Assumptions and Catalog'!$C$61,((D371+E371)*C371-G371)*'Assumptions and Catalog'!$H$61+'Assumptions and Catalog'!$E$61+'Assumptions and Catalog'!$F$61,IF(((D371+E371)*C371-G371)&lt;='Assumptions and Catalog'!$C$62,((D371+E371)*C371-G371)*'Assumptions and Catalog'!$H$62+'Assumptions and Catalog'!$E$62+'Assumptions and Catalog'!$F$62,IF(((D371+E371)*C371-G371)&lt;='Assumptions and Catalog'!$C$63,((D371+E371)*C371-G371)*'Assumptions and Catalog'!$H$63+'Assumptions and Catalog'!$E$63+'Assumptions and Catalog'!$F$63,IF(((D371+E371)*C371-G371)&lt;='Assumptions and Catalog'!$C$64,((D371+E371)*C371-G371)*'Assumptions and Catalog'!$H$64+'Assumptions and Catalog'!$E$64+'Assumptions and Catalog'!$F$64,IF(((D371+E371)*C371-G371)&lt;='Assumptions and Catalog'!$C$65,((D371+E371)*C371-G371)*'Assumptions and Catalog'!$H$65+'Assumptions and Catalog'!$E$65+'Assumptions and Catalog'!$F$65,"Out of range")))))))))*(1+'Assumptions and Catalog'!$C$8)^(A371-1),0)</f>
        <v>3567.397</v>
      </c>
      <c r="R371" s="5" t="n">
        <f>IF(AND('Assumptions and Catalog'!$C$19&gt;0,A371&gt;='Assumptions and Catalog'!$C$19),A371-'Assumptions and Catalog'!$C$19,A371-1)</f>
        <v>7</v>
      </c>
      <c r="S371" s="5" t="n">
        <f>F371+L371-(D371+E371)*C371-J371-K371-0</f>
        <v>0</v>
      </c>
      <c r="T371" s="5"/>
      <c r="U371" s="5"/>
    </row>
    <row r="372" ht="23.100000381469727" customHeight="1">
      <c r="A372" s="5" t="n">
        <v>18</v>
      </c>
      <c r="B372" s="5" t="n">
        <v>8</v>
      </c>
      <c r="C372" s="5" t="n">
        <f>DAY(DATE('Assumptions and Catalog'!$C$24+A372-1,B372+1,0))</f>
        <v>31</v>
      </c>
      <c r="D372" s="5" t="n">
        <f>IF(ISNUMBER(Inputs!$L$5),Inputs!$L$5*Inputs!$L$6,0)</f>
        <v>40.35</v>
      </c>
      <c r="E372" s="5" t="n">
        <f>IF(ISNUMBER(Inputs!$L$5),Inputs!$L$5-D372,0)</f>
        <v>40.35</v>
      </c>
      <c r="F372" s="5" t="n">
        <f>C$51*INDEX('Solar Production'!$D$20:$D$31,B372)*C372*(1-'Assumptions and Catalog'!$C$10)^(A372-1)</f>
        <v>1347.94164490927</v>
      </c>
      <c r="G372" s="5" t="n">
        <f>MIN(F372,D372*C372)</f>
        <v>1250.85</v>
      </c>
      <c r="H372" s="5" t="n">
        <f>I372/('Assumptions and Catalog'!$C$11*'Assumptions and Catalog'!$C$12)</f>
        <v>0</v>
      </c>
      <c r="I372" s="5" t="n">
        <f>0</f>
        <v>0</v>
      </c>
      <c r="J372" s="5" t="n">
        <f>MAX(F372-G372-H372,0)</f>
        <v>97.0916449092713</v>
      </c>
      <c r="K372" s="5" t="n">
        <f>H372-I372</f>
        <v>0</v>
      </c>
      <c r="L372" s="5" t="n">
        <f>(D372+E372)*C372-G372-I372+0+0</f>
        <v>1250.85</v>
      </c>
      <c r="M372" s="5" t="n">
        <f>IF(ISNUMBER(Inputs!$L$5),(IF(Inputs!$L$9="Actual flat rate",((D372+E372)*C372)*Inputs!$L$10,IF(Inputs!$C$9="Residential",IF(((D372+E372)*C372)&lt;='Assumptions and Catalog'!$C$50,((D372+E372)*C372)*'Assumptions and Catalog'!$H$50+'Assumptions and Catalog'!$E$50+'Assumptions and Catalog'!$F$50,IF(((D372+E372)*C372)&lt;='Assumptions and Catalog'!$C$51,((D372+E372)*C372)*'Assumptions and Catalog'!$H$51+'Assumptions and Catalog'!$E$51+'Assumptions and Catalog'!$F$51,IF(((D372+E372)*C372)&lt;='Assumptions and Catalog'!$C$52,((D372+E372)*C372)*'Assumptions and Catalog'!$H$52+'Assumptions and Catalog'!$E$52+'Assumptions and Catalog'!$F$52,IF(((D372+E372)*C372)&lt;='Assumptions and Catalog'!$C$53,((D372+E372)*C372)*'Assumptions and Catalog'!$H$53+'Assumptions and Catalog'!$E$53+'Assumptions and Catalog'!$F$53,IF(((D372+E372)*C372)&lt;='Assumptions and Catalog'!$C$54,((D372+E372)*C372)*'Assumptions and Catalog'!$H$54+'Assumptions and Catalog'!$E$54+'Assumptions and Catalog'!$F$54,IF(((D372+E372)*C372)&lt;='Assumptions and Catalog'!$C$55,((D372+E372)*C372)*'Assumptions and Catalog'!$H$55+'Assumptions and Catalog'!$E$55+'Assumptions and Catalog'!$F$55,IF(((D372+E372)*C372)&lt;='Assumptions and Catalog'!$C$56,((D372+E372)*C372)*'Assumptions and Catalog'!$H$56+'Assumptions and Catalog'!$E$56+'Assumptions and Catalog'!$F$56,IF(((D372+E372)*C372)&lt;='Assumptions and Catalog'!$C$57,((D372+E372)*C372)*'Assumptions and Catalog'!$H$57+'Assumptions and Catalog'!$E$57+'Assumptions and Catalog'!$F$57,"Out of range")))))))),IF(((D372+E372)*C372)&lt;='Assumptions and Catalog'!$C$60,((D372+E372)*C372)*'Assumptions and Catalog'!$H$60+'Assumptions and Catalog'!$E$60+'Assumptions and Catalog'!$F$60,IF(((D372+E372)*C372)&lt;='Assumptions and Catalog'!$C$61,((D372+E372)*C372)*'Assumptions and Catalog'!$H$61+'Assumptions and Catalog'!$E$61+'Assumptions and Catalog'!$F$61,IF(((D372+E372)*C372)&lt;='Assumptions and Catalog'!$C$62,((D372+E372)*C372)*'Assumptions and Catalog'!$H$62+'Assumptions and Catalog'!$E$62+'Assumptions and Catalog'!$F$62,IF(((D372+E372)*C372)&lt;='Assumptions and Catalog'!$C$63,((D372+E372)*C372)*'Assumptions and Catalog'!$H$63+'Assumptions and Catalog'!$E$63+'Assumptions and Catalog'!$F$63,IF(((D372+E372)*C372)&lt;='Assumptions and Catalog'!$C$64,((D372+E372)*C372)*'Assumptions and Catalog'!$H$64+'Assumptions and Catalog'!$E$64+'Assumptions and Catalog'!$F$64,IF(((D372+E372)*C372)&lt;='Assumptions and Catalog'!$C$65,((D372+E372)*C372)*'Assumptions and Catalog'!$H$65+'Assumptions and Catalog'!$E$65+'Assumptions and Catalog'!$F$65,"Out of range")))))))))*(1+'Assumptions and Catalog'!$C$8)^(A372-1),0)</f>
        <v>7094.794</v>
      </c>
      <c r="N372" s="5" t="n">
        <f>IF(ISNUMBER(Inputs!$L$5),(IF(Inputs!$L$9="Actual flat rate",L372*Inputs!$L$10,IF(Inputs!$C$9="Residential",IF(L372&lt;='Assumptions and Catalog'!$C$50,L372*'Assumptions and Catalog'!$H$50+'Assumptions and Catalog'!$E$50+'Assumptions and Catalog'!$F$50,IF(L372&lt;='Assumptions and Catalog'!$C$51,L372*'Assumptions and Catalog'!$H$51+'Assumptions and Catalog'!$E$51+'Assumptions and Catalog'!$F$51,IF(L372&lt;='Assumptions and Catalog'!$C$52,L372*'Assumptions and Catalog'!$H$52+'Assumptions and Catalog'!$E$52+'Assumptions and Catalog'!$F$52,IF(L372&lt;='Assumptions and Catalog'!$C$53,L372*'Assumptions and Catalog'!$H$53+'Assumptions and Catalog'!$E$53+'Assumptions and Catalog'!$F$53,IF(L372&lt;='Assumptions and Catalog'!$C$54,L372*'Assumptions and Catalog'!$H$54+'Assumptions and Catalog'!$E$54+'Assumptions and Catalog'!$F$54,IF(L372&lt;='Assumptions and Catalog'!$C$55,L372*'Assumptions and Catalog'!$H$55+'Assumptions and Catalog'!$E$55+'Assumptions and Catalog'!$F$55,IF(L372&lt;='Assumptions and Catalog'!$C$56,L372*'Assumptions and Catalog'!$H$56+'Assumptions and Catalog'!$E$56+'Assumptions and Catalog'!$F$56,IF(L372&lt;='Assumptions and Catalog'!$C$57,L372*'Assumptions and Catalog'!$H$57+'Assumptions and Catalog'!$E$57+'Assumptions and Catalog'!$F$57,"Out of range")))))))),IF(L372&lt;='Assumptions and Catalog'!$C$60,L372*'Assumptions and Catalog'!$H$60+'Assumptions and Catalog'!$E$60+'Assumptions and Catalog'!$F$60,IF(L372&lt;='Assumptions and Catalog'!$C$61,L372*'Assumptions and Catalog'!$H$61+'Assumptions and Catalog'!$E$61+'Assumptions and Catalog'!$F$61,IF(L372&lt;='Assumptions and Catalog'!$C$62,L372*'Assumptions and Catalog'!$H$62+'Assumptions and Catalog'!$E$62+'Assumptions and Catalog'!$F$62,IF(L372&lt;='Assumptions and Catalog'!$C$63,L372*'Assumptions and Catalog'!$H$63+'Assumptions and Catalog'!$E$63+'Assumptions and Catalog'!$F$63,IF(L372&lt;='Assumptions and Catalog'!$C$64,L372*'Assumptions and Catalog'!$H$64+'Assumptions and Catalog'!$E$64+'Assumptions and Catalog'!$F$64,IF(L372&lt;='Assumptions and Catalog'!$C$65,L372*'Assumptions and Catalog'!$H$65+'Assumptions and Catalog'!$E$65+'Assumptions and Catalog'!$F$65,"Out of range")))))))))*(1+'Assumptions and Catalog'!$C$8)^(A372-1),0)</f>
        <v>3567.397</v>
      </c>
      <c r="O372" s="5" t="n">
        <f>M372-N372</f>
        <v>3527.397</v>
      </c>
      <c r="P372" s="5" t="n">
        <f>C$55*(1-J$14)*(1-'Assumptions and Catalog'!$C$23)^R372</f>
        <v>0</v>
      </c>
      <c r="Q372" s="5" t="n">
        <f>IF(ISNUMBER(Inputs!$L$5),(IF(Inputs!$L$9="Actual flat rate",((D372+E372)*C372-G372)*Inputs!$L$10,IF(Inputs!$C$9="Residential",IF(((D372+E372)*C372-G372)&lt;='Assumptions and Catalog'!$C$50,((D372+E372)*C372-G372)*'Assumptions and Catalog'!$H$50+'Assumptions and Catalog'!$E$50+'Assumptions and Catalog'!$F$50,IF(((D372+E372)*C372-G372)&lt;='Assumptions and Catalog'!$C$51,((D372+E372)*C372-G372)*'Assumptions and Catalog'!$H$51+'Assumptions and Catalog'!$E$51+'Assumptions and Catalog'!$F$51,IF(((D372+E372)*C372-G372)&lt;='Assumptions and Catalog'!$C$52,((D372+E372)*C372-G372)*'Assumptions and Catalog'!$H$52+'Assumptions and Catalog'!$E$52+'Assumptions and Catalog'!$F$52,IF(((D372+E372)*C372-G372)&lt;='Assumptions and Catalog'!$C$53,((D372+E372)*C372-G372)*'Assumptions and Catalog'!$H$53+'Assumptions and Catalog'!$E$53+'Assumptions and Catalog'!$F$53,IF(((D372+E372)*C372-G372)&lt;='Assumptions and Catalog'!$C$54,((D372+E372)*C372-G372)*'Assumptions and Catalog'!$H$54+'Assumptions and Catalog'!$E$54+'Assumptions and Catalog'!$F$54,IF(((D372+E372)*C372-G372)&lt;='Assumptions and Catalog'!$C$55,((D372+E372)*C372-G372)*'Assumptions and Catalog'!$H$55+'Assumptions and Catalog'!$E$55+'Assumptions and Catalog'!$F$55,IF(((D372+E372)*C372-G372)&lt;='Assumptions and Catalog'!$C$56,((D372+E372)*C372-G372)*'Assumptions and Catalog'!$H$56+'Assumptions and Catalog'!$E$56+'Assumptions and Catalog'!$F$56,IF(((D372+E372)*C372-G372)&lt;='Assumptions and Catalog'!$C$57,((D372+E372)*C372-G372)*'Assumptions and Catalog'!$H$57+'Assumptions and Catalog'!$E$57+'Assumptions and Catalog'!$F$57,"Out of range")))))))),IF(((D372+E372)*C372-G372)&lt;='Assumptions and Catalog'!$C$60,((D372+E372)*C372-G372)*'Assumptions and Catalog'!$H$60+'Assumptions and Catalog'!$E$60+'Assumptions and Catalog'!$F$60,IF(((D372+E372)*C372-G372)&lt;='Assumptions and Catalog'!$C$61,((D372+E372)*C372-G372)*'Assumptions and Catalog'!$H$61+'Assumptions and Catalog'!$E$61+'Assumptions and Catalog'!$F$61,IF(((D372+E372)*C372-G372)&lt;='Assumptions and Catalog'!$C$62,((D372+E372)*C372-G372)*'Assumptions and Catalog'!$H$62+'Assumptions and Catalog'!$E$62+'Assumptions and Catalog'!$F$62,IF(((D372+E372)*C372-G372)&lt;='Assumptions and Catalog'!$C$63,((D372+E372)*C372-G372)*'Assumptions and Catalog'!$H$63+'Assumptions and Catalog'!$E$63+'Assumptions and Catalog'!$F$63,IF(((D372+E372)*C372-G372)&lt;='Assumptions and Catalog'!$C$64,((D372+E372)*C372-G372)*'Assumptions and Catalog'!$H$64+'Assumptions and Catalog'!$E$64+'Assumptions and Catalog'!$F$64,IF(((D372+E372)*C372-G372)&lt;='Assumptions and Catalog'!$C$65,((D372+E372)*C372-G372)*'Assumptions and Catalog'!$H$65+'Assumptions and Catalog'!$E$65+'Assumptions and Catalog'!$F$65,"Out of range")))))))))*(1+'Assumptions and Catalog'!$C$8)^(A372-1),0)</f>
        <v>3567.397</v>
      </c>
      <c r="R372" s="5" t="n">
        <f>IF(AND('Assumptions and Catalog'!$C$19&gt;0,A372&gt;='Assumptions and Catalog'!$C$19),A372-'Assumptions and Catalog'!$C$19,A372-1)</f>
        <v>7</v>
      </c>
      <c r="S372" s="5" t="n">
        <f>F372+L372-(D372+E372)*C372-J372-K372-0</f>
        <v>0</v>
      </c>
      <c r="T372" s="5"/>
      <c r="U372" s="5"/>
    </row>
    <row r="373" ht="23.100000381469727" customHeight="1">
      <c r="A373" s="5" t="n">
        <v>18</v>
      </c>
      <c r="B373" s="5" t="n">
        <v>9</v>
      </c>
      <c r="C373" s="5" t="n">
        <f>DAY(DATE('Assumptions and Catalog'!$C$24+A373-1,B373+1,0))</f>
        <v>30</v>
      </c>
      <c r="D373" s="5" t="n">
        <f>IF(ISNUMBER(Inputs!$L$5),Inputs!$L$5*Inputs!$L$6,0)</f>
        <v>40.35</v>
      </c>
      <c r="E373" s="5" t="n">
        <f>IF(ISNUMBER(Inputs!$L$5),Inputs!$L$5-D373,0)</f>
        <v>40.35</v>
      </c>
      <c r="F373" s="5" t="n">
        <f>C$51*INDEX('Solar Production'!$D$20:$D$31,B373)*C373*(1-'Assumptions and Catalog'!$C$10)^(A373-1)</f>
        <v>1301.07077236446</v>
      </c>
      <c r="G373" s="5" t="n">
        <f>MIN(F373,D373*C373)</f>
        <v>1210.5</v>
      </c>
      <c r="H373" s="5" t="n">
        <f>I373/('Assumptions and Catalog'!$C$11*'Assumptions and Catalog'!$C$12)</f>
        <v>0</v>
      </c>
      <c r="I373" s="5" t="n">
        <f>0</f>
        <v>0</v>
      </c>
      <c r="J373" s="5" t="n">
        <f>MAX(F373-G373-H373,0)</f>
        <v>90.5707723644644</v>
      </c>
      <c r="K373" s="5" t="n">
        <f>H373-I373</f>
        <v>0</v>
      </c>
      <c r="L373" s="5" t="n">
        <f>(D373+E373)*C373-G373-I373+0+0</f>
        <v>1210.5</v>
      </c>
      <c r="M373" s="5" t="n">
        <f>IF(ISNUMBER(Inputs!$L$5),(IF(Inputs!$L$9="Actual flat rate",((D373+E373)*C373)*Inputs!$L$10,IF(Inputs!$C$9="Residential",IF(((D373+E373)*C373)&lt;='Assumptions and Catalog'!$C$50,((D373+E373)*C373)*'Assumptions and Catalog'!$H$50+'Assumptions and Catalog'!$E$50+'Assumptions and Catalog'!$F$50,IF(((D373+E373)*C373)&lt;='Assumptions and Catalog'!$C$51,((D373+E373)*C373)*'Assumptions and Catalog'!$H$51+'Assumptions and Catalog'!$E$51+'Assumptions and Catalog'!$F$51,IF(((D373+E373)*C373)&lt;='Assumptions and Catalog'!$C$52,((D373+E373)*C373)*'Assumptions and Catalog'!$H$52+'Assumptions and Catalog'!$E$52+'Assumptions and Catalog'!$F$52,IF(((D373+E373)*C373)&lt;='Assumptions and Catalog'!$C$53,((D373+E373)*C373)*'Assumptions and Catalog'!$H$53+'Assumptions and Catalog'!$E$53+'Assumptions and Catalog'!$F$53,IF(((D373+E373)*C373)&lt;='Assumptions and Catalog'!$C$54,((D373+E373)*C373)*'Assumptions and Catalog'!$H$54+'Assumptions and Catalog'!$E$54+'Assumptions and Catalog'!$F$54,IF(((D373+E373)*C373)&lt;='Assumptions and Catalog'!$C$55,((D373+E373)*C373)*'Assumptions and Catalog'!$H$55+'Assumptions and Catalog'!$E$55+'Assumptions and Catalog'!$F$55,IF(((D373+E373)*C373)&lt;='Assumptions and Catalog'!$C$56,((D373+E373)*C373)*'Assumptions and Catalog'!$H$56+'Assumptions and Catalog'!$E$56+'Assumptions and Catalog'!$F$56,IF(((D373+E373)*C373)&lt;='Assumptions and Catalog'!$C$57,((D373+E373)*C373)*'Assumptions and Catalog'!$H$57+'Assumptions and Catalog'!$E$57+'Assumptions and Catalog'!$F$57,"Out of range")))))))),IF(((D373+E373)*C373)&lt;='Assumptions and Catalog'!$C$60,((D373+E373)*C373)*'Assumptions and Catalog'!$H$60+'Assumptions and Catalog'!$E$60+'Assumptions and Catalog'!$F$60,IF(((D373+E373)*C373)&lt;='Assumptions and Catalog'!$C$61,((D373+E373)*C373)*'Assumptions and Catalog'!$H$61+'Assumptions and Catalog'!$E$61+'Assumptions and Catalog'!$F$61,IF(((D373+E373)*C373)&lt;='Assumptions and Catalog'!$C$62,((D373+E373)*C373)*'Assumptions and Catalog'!$H$62+'Assumptions and Catalog'!$E$62+'Assumptions and Catalog'!$F$62,IF(((D373+E373)*C373)&lt;='Assumptions and Catalog'!$C$63,((D373+E373)*C373)*'Assumptions and Catalog'!$H$63+'Assumptions and Catalog'!$E$63+'Assumptions and Catalog'!$F$63,IF(((D373+E373)*C373)&lt;='Assumptions and Catalog'!$C$64,((D373+E373)*C373)*'Assumptions and Catalog'!$H$64+'Assumptions and Catalog'!$E$64+'Assumptions and Catalog'!$F$64,IF(((D373+E373)*C373)&lt;='Assumptions and Catalog'!$C$65,((D373+E373)*C373)*'Assumptions and Catalog'!$H$65+'Assumptions and Catalog'!$E$65+'Assumptions and Catalog'!$F$65,"Out of range")))))))))*(1+'Assumptions and Catalog'!$C$8)^(A373-1),0)</f>
        <v>6867.22</v>
      </c>
      <c r="N373" s="5" t="n">
        <f>IF(ISNUMBER(Inputs!$L$5),(IF(Inputs!$L$9="Actual flat rate",L373*Inputs!$L$10,IF(Inputs!$C$9="Residential",IF(L373&lt;='Assumptions and Catalog'!$C$50,L373*'Assumptions and Catalog'!$H$50+'Assumptions and Catalog'!$E$50+'Assumptions and Catalog'!$F$50,IF(L373&lt;='Assumptions and Catalog'!$C$51,L373*'Assumptions and Catalog'!$H$51+'Assumptions and Catalog'!$E$51+'Assumptions and Catalog'!$F$51,IF(L373&lt;='Assumptions and Catalog'!$C$52,L373*'Assumptions and Catalog'!$H$52+'Assumptions and Catalog'!$E$52+'Assumptions and Catalog'!$F$52,IF(L373&lt;='Assumptions and Catalog'!$C$53,L373*'Assumptions and Catalog'!$H$53+'Assumptions and Catalog'!$E$53+'Assumptions and Catalog'!$F$53,IF(L373&lt;='Assumptions and Catalog'!$C$54,L373*'Assumptions and Catalog'!$H$54+'Assumptions and Catalog'!$E$54+'Assumptions and Catalog'!$F$54,IF(L373&lt;='Assumptions and Catalog'!$C$55,L373*'Assumptions and Catalog'!$H$55+'Assumptions and Catalog'!$E$55+'Assumptions and Catalog'!$F$55,IF(L373&lt;='Assumptions and Catalog'!$C$56,L373*'Assumptions and Catalog'!$H$56+'Assumptions and Catalog'!$E$56+'Assumptions and Catalog'!$F$56,IF(L373&lt;='Assumptions and Catalog'!$C$57,L373*'Assumptions and Catalog'!$H$57+'Assumptions and Catalog'!$E$57+'Assumptions and Catalog'!$F$57,"Out of range")))))))),IF(L373&lt;='Assumptions and Catalog'!$C$60,L373*'Assumptions and Catalog'!$H$60+'Assumptions and Catalog'!$E$60+'Assumptions and Catalog'!$F$60,IF(L373&lt;='Assumptions and Catalog'!$C$61,L373*'Assumptions and Catalog'!$H$61+'Assumptions and Catalog'!$E$61+'Assumptions and Catalog'!$F$61,IF(L373&lt;='Assumptions and Catalog'!$C$62,L373*'Assumptions and Catalog'!$H$62+'Assumptions and Catalog'!$E$62+'Assumptions and Catalog'!$F$62,IF(L373&lt;='Assumptions and Catalog'!$C$63,L373*'Assumptions and Catalog'!$H$63+'Assumptions and Catalog'!$E$63+'Assumptions and Catalog'!$F$63,IF(L373&lt;='Assumptions and Catalog'!$C$64,L373*'Assumptions and Catalog'!$H$64+'Assumptions and Catalog'!$E$64+'Assumptions and Catalog'!$F$64,IF(L373&lt;='Assumptions and Catalog'!$C$65,L373*'Assumptions and Catalog'!$H$65+'Assumptions and Catalog'!$E$65+'Assumptions and Catalog'!$F$65,"Out of range")))))))))*(1+'Assumptions and Catalog'!$C$8)^(A373-1),0)</f>
        <v>3453.61</v>
      </c>
      <c r="O373" s="5" t="n">
        <f>M373-N373</f>
        <v>3413.61</v>
      </c>
      <c r="P373" s="5" t="n">
        <f>C$55*(1-J$14)*(1-'Assumptions and Catalog'!$C$23)^R373</f>
        <v>0</v>
      </c>
      <c r="Q373" s="5" t="n">
        <f>IF(ISNUMBER(Inputs!$L$5),(IF(Inputs!$L$9="Actual flat rate",((D373+E373)*C373-G373)*Inputs!$L$10,IF(Inputs!$C$9="Residential",IF(((D373+E373)*C373-G373)&lt;='Assumptions and Catalog'!$C$50,((D373+E373)*C373-G373)*'Assumptions and Catalog'!$H$50+'Assumptions and Catalog'!$E$50+'Assumptions and Catalog'!$F$50,IF(((D373+E373)*C373-G373)&lt;='Assumptions and Catalog'!$C$51,((D373+E373)*C373-G373)*'Assumptions and Catalog'!$H$51+'Assumptions and Catalog'!$E$51+'Assumptions and Catalog'!$F$51,IF(((D373+E373)*C373-G373)&lt;='Assumptions and Catalog'!$C$52,((D373+E373)*C373-G373)*'Assumptions and Catalog'!$H$52+'Assumptions and Catalog'!$E$52+'Assumptions and Catalog'!$F$52,IF(((D373+E373)*C373-G373)&lt;='Assumptions and Catalog'!$C$53,((D373+E373)*C373-G373)*'Assumptions and Catalog'!$H$53+'Assumptions and Catalog'!$E$53+'Assumptions and Catalog'!$F$53,IF(((D373+E373)*C373-G373)&lt;='Assumptions and Catalog'!$C$54,((D373+E373)*C373-G373)*'Assumptions and Catalog'!$H$54+'Assumptions and Catalog'!$E$54+'Assumptions and Catalog'!$F$54,IF(((D373+E373)*C373-G373)&lt;='Assumptions and Catalog'!$C$55,((D373+E373)*C373-G373)*'Assumptions and Catalog'!$H$55+'Assumptions and Catalog'!$E$55+'Assumptions and Catalog'!$F$55,IF(((D373+E373)*C373-G373)&lt;='Assumptions and Catalog'!$C$56,((D373+E373)*C373-G373)*'Assumptions and Catalog'!$H$56+'Assumptions and Catalog'!$E$56+'Assumptions and Catalog'!$F$56,IF(((D373+E373)*C373-G373)&lt;='Assumptions and Catalog'!$C$57,((D373+E373)*C373-G373)*'Assumptions and Catalog'!$H$57+'Assumptions and Catalog'!$E$57+'Assumptions and Catalog'!$F$57,"Out of range")))))))),IF(((D373+E373)*C373-G373)&lt;='Assumptions and Catalog'!$C$60,((D373+E373)*C373-G373)*'Assumptions and Catalog'!$H$60+'Assumptions and Catalog'!$E$60+'Assumptions and Catalog'!$F$60,IF(((D373+E373)*C373-G373)&lt;='Assumptions and Catalog'!$C$61,((D373+E373)*C373-G373)*'Assumptions and Catalog'!$H$61+'Assumptions and Catalog'!$E$61+'Assumptions and Catalog'!$F$61,IF(((D373+E373)*C373-G373)&lt;='Assumptions and Catalog'!$C$62,((D373+E373)*C373-G373)*'Assumptions and Catalog'!$H$62+'Assumptions and Catalog'!$E$62+'Assumptions and Catalog'!$F$62,IF(((D373+E373)*C373-G373)&lt;='Assumptions and Catalog'!$C$63,((D373+E373)*C373-G373)*'Assumptions and Catalog'!$H$63+'Assumptions and Catalog'!$E$63+'Assumptions and Catalog'!$F$63,IF(((D373+E373)*C373-G373)&lt;='Assumptions and Catalog'!$C$64,((D373+E373)*C373-G373)*'Assumptions and Catalog'!$H$64+'Assumptions and Catalog'!$E$64+'Assumptions and Catalog'!$F$64,IF(((D373+E373)*C373-G373)&lt;='Assumptions and Catalog'!$C$65,((D373+E373)*C373-G373)*'Assumptions and Catalog'!$H$65+'Assumptions and Catalog'!$E$65+'Assumptions and Catalog'!$F$65,"Out of range")))))))))*(1+'Assumptions and Catalog'!$C$8)^(A373-1),0)</f>
        <v>3453.61</v>
      </c>
      <c r="R373" s="5" t="n">
        <f>IF(AND('Assumptions and Catalog'!$C$19&gt;0,A373&gt;='Assumptions and Catalog'!$C$19),A373-'Assumptions and Catalog'!$C$19,A373-1)</f>
        <v>7</v>
      </c>
      <c r="S373" s="5" t="n">
        <f>F373+L373-(D373+E373)*C373-J373-K373-0</f>
        <v>0</v>
      </c>
      <c r="T373" s="5"/>
      <c r="U373" s="5"/>
    </row>
    <row r="374" ht="23.100000381469727" customHeight="1">
      <c r="A374" s="5" t="n">
        <v>18</v>
      </c>
      <c r="B374" s="5" t="n">
        <v>10</v>
      </c>
      <c r="C374" s="5" t="n">
        <f>DAY(DATE('Assumptions and Catalog'!$C$24+A374-1,B374+1,0))</f>
        <v>31</v>
      </c>
      <c r="D374" s="5" t="n">
        <f>IF(ISNUMBER(Inputs!$L$5),Inputs!$L$5*Inputs!$L$6,0)</f>
        <v>40.35</v>
      </c>
      <c r="E374" s="5" t="n">
        <f>IF(ISNUMBER(Inputs!$L$5),Inputs!$L$5-D374,0)</f>
        <v>40.35</v>
      </c>
      <c r="F374" s="5" t="n">
        <f>C$51*INDEX('Solar Production'!$D$20:$D$31,B374)*C374*(1-'Assumptions and Catalog'!$C$10)^(A374-1)</f>
        <v>1248.78550592224</v>
      </c>
      <c r="G374" s="5" t="n">
        <f>MIN(F374,D374*C374)</f>
        <v>1248.78550592224</v>
      </c>
      <c r="H374" s="5" t="n">
        <f>I374/('Assumptions and Catalog'!$C$11*'Assumptions and Catalog'!$C$12)</f>
        <v>0</v>
      </c>
      <c r="I374" s="5" t="n">
        <f>0</f>
        <v>0</v>
      </c>
      <c r="J374" s="5" t="n">
        <f>MAX(F374-G374-H374,0)</f>
        <v>0</v>
      </c>
      <c r="K374" s="5" t="n">
        <f>H374-I374</f>
        <v>0</v>
      </c>
      <c r="L374" s="5" t="n">
        <f>(D374+E374)*C374-G374-I374+0+0</f>
        <v>1252.91449407776</v>
      </c>
      <c r="M374" s="5" t="n">
        <f>IF(ISNUMBER(Inputs!$L$5),(IF(Inputs!$L$9="Actual flat rate",((D374+E374)*C374)*Inputs!$L$10,IF(Inputs!$C$9="Residential",IF(((D374+E374)*C374)&lt;='Assumptions and Catalog'!$C$50,((D374+E374)*C374)*'Assumptions and Catalog'!$H$50+'Assumptions and Catalog'!$E$50+'Assumptions and Catalog'!$F$50,IF(((D374+E374)*C374)&lt;='Assumptions and Catalog'!$C$51,((D374+E374)*C374)*'Assumptions and Catalog'!$H$51+'Assumptions and Catalog'!$E$51+'Assumptions and Catalog'!$F$51,IF(((D374+E374)*C374)&lt;='Assumptions and Catalog'!$C$52,((D374+E374)*C374)*'Assumptions and Catalog'!$H$52+'Assumptions and Catalog'!$E$52+'Assumptions and Catalog'!$F$52,IF(((D374+E374)*C374)&lt;='Assumptions and Catalog'!$C$53,((D374+E374)*C374)*'Assumptions and Catalog'!$H$53+'Assumptions and Catalog'!$E$53+'Assumptions and Catalog'!$F$53,IF(((D374+E374)*C374)&lt;='Assumptions and Catalog'!$C$54,((D374+E374)*C374)*'Assumptions and Catalog'!$H$54+'Assumptions and Catalog'!$E$54+'Assumptions and Catalog'!$F$54,IF(((D374+E374)*C374)&lt;='Assumptions and Catalog'!$C$55,((D374+E374)*C374)*'Assumptions and Catalog'!$H$55+'Assumptions and Catalog'!$E$55+'Assumptions and Catalog'!$F$55,IF(((D374+E374)*C374)&lt;='Assumptions and Catalog'!$C$56,((D374+E374)*C374)*'Assumptions and Catalog'!$H$56+'Assumptions and Catalog'!$E$56+'Assumptions and Catalog'!$F$56,IF(((D374+E374)*C374)&lt;='Assumptions and Catalog'!$C$57,((D374+E374)*C374)*'Assumptions and Catalog'!$H$57+'Assumptions and Catalog'!$E$57+'Assumptions and Catalog'!$F$57,"Out of range")))))))),IF(((D374+E374)*C374)&lt;='Assumptions and Catalog'!$C$60,((D374+E374)*C374)*'Assumptions and Catalog'!$H$60+'Assumptions and Catalog'!$E$60+'Assumptions and Catalog'!$F$60,IF(((D374+E374)*C374)&lt;='Assumptions and Catalog'!$C$61,((D374+E374)*C374)*'Assumptions and Catalog'!$H$61+'Assumptions and Catalog'!$E$61+'Assumptions and Catalog'!$F$61,IF(((D374+E374)*C374)&lt;='Assumptions and Catalog'!$C$62,((D374+E374)*C374)*'Assumptions and Catalog'!$H$62+'Assumptions and Catalog'!$E$62+'Assumptions and Catalog'!$F$62,IF(((D374+E374)*C374)&lt;='Assumptions and Catalog'!$C$63,((D374+E374)*C374)*'Assumptions and Catalog'!$H$63+'Assumptions and Catalog'!$E$63+'Assumptions and Catalog'!$F$63,IF(((D374+E374)*C374)&lt;='Assumptions and Catalog'!$C$64,((D374+E374)*C374)*'Assumptions and Catalog'!$H$64+'Assumptions and Catalog'!$E$64+'Assumptions and Catalog'!$F$64,IF(((D374+E374)*C374)&lt;='Assumptions and Catalog'!$C$65,((D374+E374)*C374)*'Assumptions and Catalog'!$H$65+'Assumptions and Catalog'!$E$65+'Assumptions and Catalog'!$F$65,"Out of range")))))))))*(1+'Assumptions and Catalog'!$C$8)^(A374-1),0)</f>
        <v>7094.794</v>
      </c>
      <c r="N374" s="5" t="n">
        <f>IF(ISNUMBER(Inputs!$L$5),(IF(Inputs!$L$9="Actual flat rate",L374*Inputs!$L$10,IF(Inputs!$C$9="Residential",IF(L374&lt;='Assumptions and Catalog'!$C$50,L374*'Assumptions and Catalog'!$H$50+'Assumptions and Catalog'!$E$50+'Assumptions and Catalog'!$F$50,IF(L374&lt;='Assumptions and Catalog'!$C$51,L374*'Assumptions and Catalog'!$H$51+'Assumptions and Catalog'!$E$51+'Assumptions and Catalog'!$F$51,IF(L374&lt;='Assumptions and Catalog'!$C$52,L374*'Assumptions and Catalog'!$H$52+'Assumptions and Catalog'!$E$52+'Assumptions and Catalog'!$F$52,IF(L374&lt;='Assumptions and Catalog'!$C$53,L374*'Assumptions and Catalog'!$H$53+'Assumptions and Catalog'!$E$53+'Assumptions and Catalog'!$F$53,IF(L374&lt;='Assumptions and Catalog'!$C$54,L374*'Assumptions and Catalog'!$H$54+'Assumptions and Catalog'!$E$54+'Assumptions and Catalog'!$F$54,IF(L374&lt;='Assumptions and Catalog'!$C$55,L374*'Assumptions and Catalog'!$H$55+'Assumptions and Catalog'!$E$55+'Assumptions and Catalog'!$F$55,IF(L374&lt;='Assumptions and Catalog'!$C$56,L374*'Assumptions and Catalog'!$H$56+'Assumptions and Catalog'!$E$56+'Assumptions and Catalog'!$F$56,IF(L374&lt;='Assumptions and Catalog'!$C$57,L374*'Assumptions and Catalog'!$H$57+'Assumptions and Catalog'!$E$57+'Assumptions and Catalog'!$F$57,"Out of range")))))))),IF(L374&lt;='Assumptions and Catalog'!$C$60,L374*'Assumptions and Catalog'!$H$60+'Assumptions and Catalog'!$E$60+'Assumptions and Catalog'!$F$60,IF(L374&lt;='Assumptions and Catalog'!$C$61,L374*'Assumptions and Catalog'!$H$61+'Assumptions and Catalog'!$E$61+'Assumptions and Catalog'!$F$61,IF(L374&lt;='Assumptions and Catalog'!$C$62,L374*'Assumptions and Catalog'!$H$62+'Assumptions and Catalog'!$E$62+'Assumptions and Catalog'!$F$62,IF(L374&lt;='Assumptions and Catalog'!$C$63,L374*'Assumptions and Catalog'!$H$63+'Assumptions and Catalog'!$E$63+'Assumptions and Catalog'!$F$63,IF(L374&lt;='Assumptions and Catalog'!$C$64,L374*'Assumptions and Catalog'!$H$64+'Assumptions and Catalog'!$E$64+'Assumptions and Catalog'!$F$64,IF(L374&lt;='Assumptions and Catalog'!$C$65,L374*'Assumptions and Catalog'!$H$65+'Assumptions and Catalog'!$E$65+'Assumptions and Catalog'!$F$65,"Out of range")))))))))*(1+'Assumptions and Catalog'!$C$8)^(A374-1),0)</f>
        <v>3573.21887329928</v>
      </c>
      <c r="O374" s="5" t="n">
        <f>M374-N374</f>
        <v>3521.57512670072</v>
      </c>
      <c r="P374" s="5" t="n">
        <f>C$55*(1-J$14)*(1-'Assumptions and Catalog'!$C$23)^R374</f>
        <v>0</v>
      </c>
      <c r="Q374" s="5" t="n">
        <f>IF(ISNUMBER(Inputs!$L$5),(IF(Inputs!$L$9="Actual flat rate",((D374+E374)*C374-G374)*Inputs!$L$10,IF(Inputs!$C$9="Residential",IF(((D374+E374)*C374-G374)&lt;='Assumptions and Catalog'!$C$50,((D374+E374)*C374-G374)*'Assumptions and Catalog'!$H$50+'Assumptions and Catalog'!$E$50+'Assumptions and Catalog'!$F$50,IF(((D374+E374)*C374-G374)&lt;='Assumptions and Catalog'!$C$51,((D374+E374)*C374-G374)*'Assumptions and Catalog'!$H$51+'Assumptions and Catalog'!$E$51+'Assumptions and Catalog'!$F$51,IF(((D374+E374)*C374-G374)&lt;='Assumptions and Catalog'!$C$52,((D374+E374)*C374-G374)*'Assumptions and Catalog'!$H$52+'Assumptions and Catalog'!$E$52+'Assumptions and Catalog'!$F$52,IF(((D374+E374)*C374-G374)&lt;='Assumptions and Catalog'!$C$53,((D374+E374)*C374-G374)*'Assumptions and Catalog'!$H$53+'Assumptions and Catalog'!$E$53+'Assumptions and Catalog'!$F$53,IF(((D374+E374)*C374-G374)&lt;='Assumptions and Catalog'!$C$54,((D374+E374)*C374-G374)*'Assumptions and Catalog'!$H$54+'Assumptions and Catalog'!$E$54+'Assumptions and Catalog'!$F$54,IF(((D374+E374)*C374-G374)&lt;='Assumptions and Catalog'!$C$55,((D374+E374)*C374-G374)*'Assumptions and Catalog'!$H$55+'Assumptions and Catalog'!$E$55+'Assumptions and Catalog'!$F$55,IF(((D374+E374)*C374-G374)&lt;='Assumptions and Catalog'!$C$56,((D374+E374)*C374-G374)*'Assumptions and Catalog'!$H$56+'Assumptions and Catalog'!$E$56+'Assumptions and Catalog'!$F$56,IF(((D374+E374)*C374-G374)&lt;='Assumptions and Catalog'!$C$57,((D374+E374)*C374-G374)*'Assumptions and Catalog'!$H$57+'Assumptions and Catalog'!$E$57+'Assumptions and Catalog'!$F$57,"Out of range")))))))),IF(((D374+E374)*C374-G374)&lt;='Assumptions and Catalog'!$C$60,((D374+E374)*C374-G374)*'Assumptions and Catalog'!$H$60+'Assumptions and Catalog'!$E$60+'Assumptions and Catalog'!$F$60,IF(((D374+E374)*C374-G374)&lt;='Assumptions and Catalog'!$C$61,((D374+E374)*C374-G374)*'Assumptions and Catalog'!$H$61+'Assumptions and Catalog'!$E$61+'Assumptions and Catalog'!$F$61,IF(((D374+E374)*C374-G374)&lt;='Assumptions and Catalog'!$C$62,((D374+E374)*C374-G374)*'Assumptions and Catalog'!$H$62+'Assumptions and Catalog'!$E$62+'Assumptions and Catalog'!$F$62,IF(((D374+E374)*C374-G374)&lt;='Assumptions and Catalog'!$C$63,((D374+E374)*C374-G374)*'Assumptions and Catalog'!$H$63+'Assumptions and Catalog'!$E$63+'Assumptions and Catalog'!$F$63,IF(((D374+E374)*C374-G374)&lt;='Assumptions and Catalog'!$C$64,((D374+E374)*C374-G374)*'Assumptions and Catalog'!$H$64+'Assumptions and Catalog'!$E$64+'Assumptions and Catalog'!$F$64,IF(((D374+E374)*C374-G374)&lt;='Assumptions and Catalog'!$C$65,((D374+E374)*C374-G374)*'Assumptions and Catalog'!$H$65+'Assumptions and Catalog'!$E$65+'Assumptions and Catalog'!$F$65,"Out of range")))))))))*(1+'Assumptions and Catalog'!$C$8)^(A374-1),0)</f>
        <v>3573.21887329928</v>
      </c>
      <c r="R374" s="5" t="n">
        <f>IF(AND('Assumptions and Catalog'!$C$19&gt;0,A374&gt;='Assumptions and Catalog'!$C$19),A374-'Assumptions and Catalog'!$C$19,A374-1)</f>
        <v>7</v>
      </c>
      <c r="S374" s="5" t="n">
        <f>F374+L374-(D374+E374)*C374-J374-K374-0</f>
        <v>0</v>
      </c>
      <c r="T374" s="5"/>
      <c r="U374" s="5"/>
    </row>
    <row r="375" ht="23.100000381469727" customHeight="1">
      <c r="A375" s="5" t="n">
        <v>18</v>
      </c>
      <c r="B375" s="5" t="n">
        <v>11</v>
      </c>
      <c r="C375" s="5" t="n">
        <f>DAY(DATE('Assumptions and Catalog'!$C$24+A375-1,B375+1,0))</f>
        <v>30</v>
      </c>
      <c r="D375" s="5" t="n">
        <f>IF(ISNUMBER(Inputs!$L$5),Inputs!$L$5*Inputs!$L$6,0)</f>
        <v>40.35</v>
      </c>
      <c r="E375" s="5" t="n">
        <f>IF(ISNUMBER(Inputs!$L$5),Inputs!$L$5-D375,0)</f>
        <v>40.35</v>
      </c>
      <c r="F375" s="5" t="n">
        <f>C$51*INDEX('Solar Production'!$D$20:$D$31,B375)*C375*(1-'Assumptions and Catalog'!$C$10)^(A375-1)</f>
        <v>1106.87989870038</v>
      </c>
      <c r="G375" s="5" t="n">
        <f>MIN(F375,D375*C375)</f>
        <v>1106.87989870038</v>
      </c>
      <c r="H375" s="5" t="n">
        <f>I375/('Assumptions and Catalog'!$C$11*'Assumptions and Catalog'!$C$12)</f>
        <v>0</v>
      </c>
      <c r="I375" s="5" t="n">
        <f>0</f>
        <v>0</v>
      </c>
      <c r="J375" s="5" t="n">
        <f>MAX(F375-G375-H375,0)</f>
        <v>0</v>
      </c>
      <c r="K375" s="5" t="n">
        <f>H375-I375</f>
        <v>0</v>
      </c>
      <c r="L375" s="5" t="n">
        <f>(D375+E375)*C375-G375-I375+0+0</f>
        <v>1314.12010129962</v>
      </c>
      <c r="M375" s="5" t="n">
        <f>IF(ISNUMBER(Inputs!$L$5),(IF(Inputs!$L$9="Actual flat rate",((D375+E375)*C375)*Inputs!$L$10,IF(Inputs!$C$9="Residential",IF(((D375+E375)*C375)&lt;='Assumptions and Catalog'!$C$50,((D375+E375)*C375)*'Assumptions and Catalog'!$H$50+'Assumptions and Catalog'!$E$50+'Assumptions and Catalog'!$F$50,IF(((D375+E375)*C375)&lt;='Assumptions and Catalog'!$C$51,((D375+E375)*C375)*'Assumptions and Catalog'!$H$51+'Assumptions and Catalog'!$E$51+'Assumptions and Catalog'!$F$51,IF(((D375+E375)*C375)&lt;='Assumptions and Catalog'!$C$52,((D375+E375)*C375)*'Assumptions and Catalog'!$H$52+'Assumptions and Catalog'!$E$52+'Assumptions and Catalog'!$F$52,IF(((D375+E375)*C375)&lt;='Assumptions and Catalog'!$C$53,((D375+E375)*C375)*'Assumptions and Catalog'!$H$53+'Assumptions and Catalog'!$E$53+'Assumptions and Catalog'!$F$53,IF(((D375+E375)*C375)&lt;='Assumptions and Catalog'!$C$54,((D375+E375)*C375)*'Assumptions and Catalog'!$H$54+'Assumptions and Catalog'!$E$54+'Assumptions and Catalog'!$F$54,IF(((D375+E375)*C375)&lt;='Assumptions and Catalog'!$C$55,((D375+E375)*C375)*'Assumptions and Catalog'!$H$55+'Assumptions and Catalog'!$E$55+'Assumptions and Catalog'!$F$55,IF(((D375+E375)*C375)&lt;='Assumptions and Catalog'!$C$56,((D375+E375)*C375)*'Assumptions and Catalog'!$H$56+'Assumptions and Catalog'!$E$56+'Assumptions and Catalog'!$F$56,IF(((D375+E375)*C375)&lt;='Assumptions and Catalog'!$C$57,((D375+E375)*C375)*'Assumptions and Catalog'!$H$57+'Assumptions and Catalog'!$E$57+'Assumptions and Catalog'!$F$57,"Out of range")))))))),IF(((D375+E375)*C375)&lt;='Assumptions and Catalog'!$C$60,((D375+E375)*C375)*'Assumptions and Catalog'!$H$60+'Assumptions and Catalog'!$E$60+'Assumptions and Catalog'!$F$60,IF(((D375+E375)*C375)&lt;='Assumptions and Catalog'!$C$61,((D375+E375)*C375)*'Assumptions and Catalog'!$H$61+'Assumptions and Catalog'!$E$61+'Assumptions and Catalog'!$F$61,IF(((D375+E375)*C375)&lt;='Assumptions and Catalog'!$C$62,((D375+E375)*C375)*'Assumptions and Catalog'!$H$62+'Assumptions and Catalog'!$E$62+'Assumptions and Catalog'!$F$62,IF(((D375+E375)*C375)&lt;='Assumptions and Catalog'!$C$63,((D375+E375)*C375)*'Assumptions and Catalog'!$H$63+'Assumptions and Catalog'!$E$63+'Assumptions and Catalog'!$F$63,IF(((D375+E375)*C375)&lt;='Assumptions and Catalog'!$C$64,((D375+E375)*C375)*'Assumptions and Catalog'!$H$64+'Assumptions and Catalog'!$E$64+'Assumptions and Catalog'!$F$64,IF(((D375+E375)*C375)&lt;='Assumptions and Catalog'!$C$65,((D375+E375)*C375)*'Assumptions and Catalog'!$H$65+'Assumptions and Catalog'!$E$65+'Assumptions and Catalog'!$F$65,"Out of range")))))))))*(1+'Assumptions and Catalog'!$C$8)^(A375-1),0)</f>
        <v>6867.22</v>
      </c>
      <c r="N375" s="5" t="n">
        <f>IF(ISNUMBER(Inputs!$L$5),(IF(Inputs!$L$9="Actual flat rate",L375*Inputs!$L$10,IF(Inputs!$C$9="Residential",IF(L375&lt;='Assumptions and Catalog'!$C$50,L375*'Assumptions and Catalog'!$H$50+'Assumptions and Catalog'!$E$50+'Assumptions and Catalog'!$F$50,IF(L375&lt;='Assumptions and Catalog'!$C$51,L375*'Assumptions and Catalog'!$H$51+'Assumptions and Catalog'!$E$51+'Assumptions and Catalog'!$F$51,IF(L375&lt;='Assumptions and Catalog'!$C$52,L375*'Assumptions and Catalog'!$H$52+'Assumptions and Catalog'!$E$52+'Assumptions and Catalog'!$F$52,IF(L375&lt;='Assumptions and Catalog'!$C$53,L375*'Assumptions and Catalog'!$H$53+'Assumptions and Catalog'!$E$53+'Assumptions and Catalog'!$F$53,IF(L375&lt;='Assumptions and Catalog'!$C$54,L375*'Assumptions and Catalog'!$H$54+'Assumptions and Catalog'!$E$54+'Assumptions and Catalog'!$F$54,IF(L375&lt;='Assumptions and Catalog'!$C$55,L375*'Assumptions and Catalog'!$H$55+'Assumptions and Catalog'!$E$55+'Assumptions and Catalog'!$F$55,IF(L375&lt;='Assumptions and Catalog'!$C$56,L375*'Assumptions and Catalog'!$H$56+'Assumptions and Catalog'!$E$56+'Assumptions and Catalog'!$F$56,IF(L375&lt;='Assumptions and Catalog'!$C$57,L375*'Assumptions and Catalog'!$H$57+'Assumptions and Catalog'!$E$57+'Assumptions and Catalog'!$F$57,"Out of range")))))))),IF(L375&lt;='Assumptions and Catalog'!$C$60,L375*'Assumptions and Catalog'!$H$60+'Assumptions and Catalog'!$E$60+'Assumptions and Catalog'!$F$60,IF(L375&lt;='Assumptions and Catalog'!$C$61,L375*'Assumptions and Catalog'!$H$61+'Assumptions and Catalog'!$E$61+'Assumptions and Catalog'!$F$61,IF(L375&lt;='Assumptions and Catalog'!$C$62,L375*'Assumptions and Catalog'!$H$62+'Assumptions and Catalog'!$E$62+'Assumptions and Catalog'!$F$62,IF(L375&lt;='Assumptions and Catalog'!$C$63,L375*'Assumptions and Catalog'!$H$63+'Assumptions and Catalog'!$E$63+'Assumptions and Catalog'!$F$63,IF(L375&lt;='Assumptions and Catalog'!$C$64,L375*'Assumptions and Catalog'!$H$64+'Assumptions and Catalog'!$E$64+'Assumptions and Catalog'!$F$64,IF(L375&lt;='Assumptions and Catalog'!$C$65,L375*'Assumptions and Catalog'!$H$65+'Assumptions and Catalog'!$E$65+'Assumptions and Catalog'!$F$65,"Out of range")))))))))*(1+'Assumptions and Catalog'!$C$8)^(A375-1),0)</f>
        <v>3745.81868566494</v>
      </c>
      <c r="O375" s="5" t="n">
        <f>M375-N375</f>
        <v>3121.40131433506</v>
      </c>
      <c r="P375" s="5" t="n">
        <f>C$55*(1-J$14)*(1-'Assumptions and Catalog'!$C$23)^R375</f>
        <v>0</v>
      </c>
      <c r="Q375" s="5" t="n">
        <f>IF(ISNUMBER(Inputs!$L$5),(IF(Inputs!$L$9="Actual flat rate",((D375+E375)*C375-G375)*Inputs!$L$10,IF(Inputs!$C$9="Residential",IF(((D375+E375)*C375-G375)&lt;='Assumptions and Catalog'!$C$50,((D375+E375)*C375-G375)*'Assumptions and Catalog'!$H$50+'Assumptions and Catalog'!$E$50+'Assumptions and Catalog'!$F$50,IF(((D375+E375)*C375-G375)&lt;='Assumptions and Catalog'!$C$51,((D375+E375)*C375-G375)*'Assumptions and Catalog'!$H$51+'Assumptions and Catalog'!$E$51+'Assumptions and Catalog'!$F$51,IF(((D375+E375)*C375-G375)&lt;='Assumptions and Catalog'!$C$52,((D375+E375)*C375-G375)*'Assumptions and Catalog'!$H$52+'Assumptions and Catalog'!$E$52+'Assumptions and Catalog'!$F$52,IF(((D375+E375)*C375-G375)&lt;='Assumptions and Catalog'!$C$53,((D375+E375)*C375-G375)*'Assumptions and Catalog'!$H$53+'Assumptions and Catalog'!$E$53+'Assumptions and Catalog'!$F$53,IF(((D375+E375)*C375-G375)&lt;='Assumptions and Catalog'!$C$54,((D375+E375)*C375-G375)*'Assumptions and Catalog'!$H$54+'Assumptions and Catalog'!$E$54+'Assumptions and Catalog'!$F$54,IF(((D375+E375)*C375-G375)&lt;='Assumptions and Catalog'!$C$55,((D375+E375)*C375-G375)*'Assumptions and Catalog'!$H$55+'Assumptions and Catalog'!$E$55+'Assumptions and Catalog'!$F$55,IF(((D375+E375)*C375-G375)&lt;='Assumptions and Catalog'!$C$56,((D375+E375)*C375-G375)*'Assumptions and Catalog'!$H$56+'Assumptions and Catalog'!$E$56+'Assumptions and Catalog'!$F$56,IF(((D375+E375)*C375-G375)&lt;='Assumptions and Catalog'!$C$57,((D375+E375)*C375-G375)*'Assumptions and Catalog'!$H$57+'Assumptions and Catalog'!$E$57+'Assumptions and Catalog'!$F$57,"Out of range")))))))),IF(((D375+E375)*C375-G375)&lt;='Assumptions and Catalog'!$C$60,((D375+E375)*C375-G375)*'Assumptions and Catalog'!$H$60+'Assumptions and Catalog'!$E$60+'Assumptions and Catalog'!$F$60,IF(((D375+E375)*C375-G375)&lt;='Assumptions and Catalog'!$C$61,((D375+E375)*C375-G375)*'Assumptions and Catalog'!$H$61+'Assumptions and Catalog'!$E$61+'Assumptions and Catalog'!$F$61,IF(((D375+E375)*C375-G375)&lt;='Assumptions and Catalog'!$C$62,((D375+E375)*C375-G375)*'Assumptions and Catalog'!$H$62+'Assumptions and Catalog'!$E$62+'Assumptions and Catalog'!$F$62,IF(((D375+E375)*C375-G375)&lt;='Assumptions and Catalog'!$C$63,((D375+E375)*C375-G375)*'Assumptions and Catalog'!$H$63+'Assumptions and Catalog'!$E$63+'Assumptions and Catalog'!$F$63,IF(((D375+E375)*C375-G375)&lt;='Assumptions and Catalog'!$C$64,((D375+E375)*C375-G375)*'Assumptions and Catalog'!$H$64+'Assumptions and Catalog'!$E$64+'Assumptions and Catalog'!$F$64,IF(((D375+E375)*C375-G375)&lt;='Assumptions and Catalog'!$C$65,((D375+E375)*C375-G375)*'Assumptions and Catalog'!$H$65+'Assumptions and Catalog'!$E$65+'Assumptions and Catalog'!$F$65,"Out of range")))))))))*(1+'Assumptions and Catalog'!$C$8)^(A375-1),0)</f>
        <v>3745.81868566494</v>
      </c>
      <c r="R375" s="5" t="n">
        <f>IF(AND('Assumptions and Catalog'!$C$19&gt;0,A375&gt;='Assumptions and Catalog'!$C$19),A375-'Assumptions and Catalog'!$C$19,A375-1)</f>
        <v>7</v>
      </c>
      <c r="S375" s="5" t="n">
        <f>F375+L375-(D375+E375)*C375-J375-K375-0</f>
        <v>0</v>
      </c>
      <c r="T375" s="5"/>
      <c r="U375" s="5"/>
    </row>
    <row r="376" ht="23.100000381469727" customHeight="1">
      <c r="A376" s="5" t="n">
        <v>18</v>
      </c>
      <c r="B376" s="5" t="n">
        <v>12</v>
      </c>
      <c r="C376" s="5" t="n">
        <f>DAY(DATE('Assumptions and Catalog'!$C$24+A376-1,B376+1,0))</f>
        <v>31</v>
      </c>
      <c r="D376" s="5" t="n">
        <f>IF(ISNUMBER(Inputs!$L$5),Inputs!$L$5*Inputs!$L$6,0)</f>
        <v>40.35</v>
      </c>
      <c r="E376" s="5" t="n">
        <f>IF(ISNUMBER(Inputs!$L$5),Inputs!$L$5-D376,0)</f>
        <v>40.35</v>
      </c>
      <c r="F376" s="5" t="n">
        <f>C$51*INDEX('Solar Production'!$D$20:$D$31,B376)*C376*(1-'Assumptions and Catalog'!$C$10)^(A376-1)</f>
        <v>1053.786513766</v>
      </c>
      <c r="G376" s="5" t="n">
        <f>MIN(F376,D376*C376)</f>
        <v>1053.786513766</v>
      </c>
      <c r="H376" s="5" t="n">
        <f>I376/('Assumptions and Catalog'!$C$11*'Assumptions and Catalog'!$C$12)</f>
        <v>0</v>
      </c>
      <c r="I376" s="5" t="n">
        <f>0</f>
        <v>0</v>
      </c>
      <c r="J376" s="5" t="n">
        <f>MAX(F376-G376-H376,0)</f>
        <v>0</v>
      </c>
      <c r="K376" s="5" t="n">
        <f>H376-I376</f>
        <v>0</v>
      </c>
      <c r="L376" s="5" t="n">
        <f>(D376+E376)*C376-G376-I376+0+0</f>
        <v>1447.913486234</v>
      </c>
      <c r="M376" s="5" t="n">
        <f>IF(ISNUMBER(Inputs!$L$5),(IF(Inputs!$L$9="Actual flat rate",((D376+E376)*C376)*Inputs!$L$10,IF(Inputs!$C$9="Residential",IF(((D376+E376)*C376)&lt;='Assumptions and Catalog'!$C$50,((D376+E376)*C376)*'Assumptions and Catalog'!$H$50+'Assumptions and Catalog'!$E$50+'Assumptions and Catalog'!$F$50,IF(((D376+E376)*C376)&lt;='Assumptions and Catalog'!$C$51,((D376+E376)*C376)*'Assumptions and Catalog'!$H$51+'Assumptions and Catalog'!$E$51+'Assumptions and Catalog'!$F$51,IF(((D376+E376)*C376)&lt;='Assumptions and Catalog'!$C$52,((D376+E376)*C376)*'Assumptions and Catalog'!$H$52+'Assumptions and Catalog'!$E$52+'Assumptions and Catalog'!$F$52,IF(((D376+E376)*C376)&lt;='Assumptions and Catalog'!$C$53,((D376+E376)*C376)*'Assumptions and Catalog'!$H$53+'Assumptions and Catalog'!$E$53+'Assumptions and Catalog'!$F$53,IF(((D376+E376)*C376)&lt;='Assumptions and Catalog'!$C$54,((D376+E376)*C376)*'Assumptions and Catalog'!$H$54+'Assumptions and Catalog'!$E$54+'Assumptions and Catalog'!$F$54,IF(((D376+E376)*C376)&lt;='Assumptions and Catalog'!$C$55,((D376+E376)*C376)*'Assumptions and Catalog'!$H$55+'Assumptions and Catalog'!$E$55+'Assumptions and Catalog'!$F$55,IF(((D376+E376)*C376)&lt;='Assumptions and Catalog'!$C$56,((D376+E376)*C376)*'Assumptions and Catalog'!$H$56+'Assumptions and Catalog'!$E$56+'Assumptions and Catalog'!$F$56,IF(((D376+E376)*C376)&lt;='Assumptions and Catalog'!$C$57,((D376+E376)*C376)*'Assumptions and Catalog'!$H$57+'Assumptions and Catalog'!$E$57+'Assumptions and Catalog'!$F$57,"Out of range")))))))),IF(((D376+E376)*C376)&lt;='Assumptions and Catalog'!$C$60,((D376+E376)*C376)*'Assumptions and Catalog'!$H$60+'Assumptions and Catalog'!$E$60+'Assumptions and Catalog'!$F$60,IF(((D376+E376)*C376)&lt;='Assumptions and Catalog'!$C$61,((D376+E376)*C376)*'Assumptions and Catalog'!$H$61+'Assumptions and Catalog'!$E$61+'Assumptions and Catalog'!$F$61,IF(((D376+E376)*C376)&lt;='Assumptions and Catalog'!$C$62,((D376+E376)*C376)*'Assumptions and Catalog'!$H$62+'Assumptions and Catalog'!$E$62+'Assumptions and Catalog'!$F$62,IF(((D376+E376)*C376)&lt;='Assumptions and Catalog'!$C$63,((D376+E376)*C376)*'Assumptions and Catalog'!$H$63+'Assumptions and Catalog'!$E$63+'Assumptions and Catalog'!$F$63,IF(((D376+E376)*C376)&lt;='Assumptions and Catalog'!$C$64,((D376+E376)*C376)*'Assumptions and Catalog'!$H$64+'Assumptions and Catalog'!$E$64+'Assumptions and Catalog'!$F$64,IF(((D376+E376)*C376)&lt;='Assumptions and Catalog'!$C$65,((D376+E376)*C376)*'Assumptions and Catalog'!$H$65+'Assumptions and Catalog'!$E$65+'Assumptions and Catalog'!$F$65,"Out of range")))))))))*(1+'Assumptions and Catalog'!$C$8)^(A376-1),0)</f>
        <v>7094.794</v>
      </c>
      <c r="N376" s="5" t="n">
        <f>IF(ISNUMBER(Inputs!$L$5),(IF(Inputs!$L$9="Actual flat rate",L376*Inputs!$L$10,IF(Inputs!$C$9="Residential",IF(L376&lt;='Assumptions and Catalog'!$C$50,L376*'Assumptions and Catalog'!$H$50+'Assumptions and Catalog'!$E$50+'Assumptions and Catalog'!$F$50,IF(L376&lt;='Assumptions and Catalog'!$C$51,L376*'Assumptions and Catalog'!$H$51+'Assumptions and Catalog'!$E$51+'Assumptions and Catalog'!$F$51,IF(L376&lt;='Assumptions and Catalog'!$C$52,L376*'Assumptions and Catalog'!$H$52+'Assumptions and Catalog'!$E$52+'Assumptions and Catalog'!$F$52,IF(L376&lt;='Assumptions and Catalog'!$C$53,L376*'Assumptions and Catalog'!$H$53+'Assumptions and Catalog'!$E$53+'Assumptions and Catalog'!$F$53,IF(L376&lt;='Assumptions and Catalog'!$C$54,L376*'Assumptions and Catalog'!$H$54+'Assumptions and Catalog'!$E$54+'Assumptions and Catalog'!$F$54,IF(L376&lt;='Assumptions and Catalog'!$C$55,L376*'Assumptions and Catalog'!$H$55+'Assumptions and Catalog'!$E$55+'Assumptions and Catalog'!$F$55,IF(L376&lt;='Assumptions and Catalog'!$C$56,L376*'Assumptions and Catalog'!$H$56+'Assumptions and Catalog'!$E$56+'Assumptions and Catalog'!$F$56,IF(L376&lt;='Assumptions and Catalog'!$C$57,L376*'Assumptions and Catalog'!$H$57+'Assumptions and Catalog'!$E$57+'Assumptions and Catalog'!$F$57,"Out of range")))))))),IF(L376&lt;='Assumptions and Catalog'!$C$60,L376*'Assumptions and Catalog'!$H$60+'Assumptions and Catalog'!$E$60+'Assumptions and Catalog'!$F$60,IF(L376&lt;='Assumptions and Catalog'!$C$61,L376*'Assumptions and Catalog'!$H$61+'Assumptions and Catalog'!$E$61+'Assumptions and Catalog'!$F$61,IF(L376&lt;='Assumptions and Catalog'!$C$62,L376*'Assumptions and Catalog'!$H$62+'Assumptions and Catalog'!$E$62+'Assumptions and Catalog'!$F$62,IF(L376&lt;='Assumptions and Catalog'!$C$63,L376*'Assumptions and Catalog'!$H$63+'Assumptions and Catalog'!$E$63+'Assumptions and Catalog'!$F$63,IF(L376&lt;='Assumptions and Catalog'!$C$64,L376*'Assumptions and Catalog'!$H$64+'Assumptions and Catalog'!$E$64+'Assumptions and Catalog'!$F$64,IF(L376&lt;='Assumptions and Catalog'!$C$65,L376*'Assumptions and Catalog'!$H$65+'Assumptions and Catalog'!$E$65+'Assumptions and Catalog'!$F$65,"Out of range")))))))))*(1+'Assumptions and Catalog'!$C$8)^(A376-1),0)</f>
        <v>4123.11603117988</v>
      </c>
      <c r="O376" s="5" t="n">
        <f>M376-N376</f>
        <v>2971.67796882012</v>
      </c>
      <c r="P376" s="5" t="n">
        <f>C$55*(1-J$14)*(1-'Assumptions and Catalog'!$C$23)^R376</f>
        <v>0</v>
      </c>
      <c r="Q376" s="5" t="n">
        <f>IF(ISNUMBER(Inputs!$L$5),(IF(Inputs!$L$9="Actual flat rate",((D376+E376)*C376-G376)*Inputs!$L$10,IF(Inputs!$C$9="Residential",IF(((D376+E376)*C376-G376)&lt;='Assumptions and Catalog'!$C$50,((D376+E376)*C376-G376)*'Assumptions and Catalog'!$H$50+'Assumptions and Catalog'!$E$50+'Assumptions and Catalog'!$F$50,IF(((D376+E376)*C376-G376)&lt;='Assumptions and Catalog'!$C$51,((D376+E376)*C376-G376)*'Assumptions and Catalog'!$H$51+'Assumptions and Catalog'!$E$51+'Assumptions and Catalog'!$F$51,IF(((D376+E376)*C376-G376)&lt;='Assumptions and Catalog'!$C$52,((D376+E376)*C376-G376)*'Assumptions and Catalog'!$H$52+'Assumptions and Catalog'!$E$52+'Assumptions and Catalog'!$F$52,IF(((D376+E376)*C376-G376)&lt;='Assumptions and Catalog'!$C$53,((D376+E376)*C376-G376)*'Assumptions and Catalog'!$H$53+'Assumptions and Catalog'!$E$53+'Assumptions and Catalog'!$F$53,IF(((D376+E376)*C376-G376)&lt;='Assumptions and Catalog'!$C$54,((D376+E376)*C376-G376)*'Assumptions and Catalog'!$H$54+'Assumptions and Catalog'!$E$54+'Assumptions and Catalog'!$F$54,IF(((D376+E376)*C376-G376)&lt;='Assumptions and Catalog'!$C$55,((D376+E376)*C376-G376)*'Assumptions and Catalog'!$H$55+'Assumptions and Catalog'!$E$55+'Assumptions and Catalog'!$F$55,IF(((D376+E376)*C376-G376)&lt;='Assumptions and Catalog'!$C$56,((D376+E376)*C376-G376)*'Assumptions and Catalog'!$H$56+'Assumptions and Catalog'!$E$56+'Assumptions and Catalog'!$F$56,IF(((D376+E376)*C376-G376)&lt;='Assumptions and Catalog'!$C$57,((D376+E376)*C376-G376)*'Assumptions and Catalog'!$H$57+'Assumptions and Catalog'!$E$57+'Assumptions and Catalog'!$F$57,"Out of range")))))))),IF(((D376+E376)*C376-G376)&lt;='Assumptions and Catalog'!$C$60,((D376+E376)*C376-G376)*'Assumptions and Catalog'!$H$60+'Assumptions and Catalog'!$E$60+'Assumptions and Catalog'!$F$60,IF(((D376+E376)*C376-G376)&lt;='Assumptions and Catalog'!$C$61,((D376+E376)*C376-G376)*'Assumptions and Catalog'!$H$61+'Assumptions and Catalog'!$E$61+'Assumptions and Catalog'!$F$61,IF(((D376+E376)*C376-G376)&lt;='Assumptions and Catalog'!$C$62,((D376+E376)*C376-G376)*'Assumptions and Catalog'!$H$62+'Assumptions and Catalog'!$E$62+'Assumptions and Catalog'!$F$62,IF(((D376+E376)*C376-G376)&lt;='Assumptions and Catalog'!$C$63,((D376+E376)*C376-G376)*'Assumptions and Catalog'!$H$63+'Assumptions and Catalog'!$E$63+'Assumptions and Catalog'!$F$63,IF(((D376+E376)*C376-G376)&lt;='Assumptions and Catalog'!$C$64,((D376+E376)*C376-G376)*'Assumptions and Catalog'!$H$64+'Assumptions and Catalog'!$E$64+'Assumptions and Catalog'!$F$64,IF(((D376+E376)*C376-G376)&lt;='Assumptions and Catalog'!$C$65,((D376+E376)*C376-G376)*'Assumptions and Catalog'!$H$65+'Assumptions and Catalog'!$E$65+'Assumptions and Catalog'!$F$65,"Out of range")))))))))*(1+'Assumptions and Catalog'!$C$8)^(A376-1),0)</f>
        <v>4123.11603117988</v>
      </c>
      <c r="R376" s="5" t="n">
        <f>IF(AND('Assumptions and Catalog'!$C$19&gt;0,A376&gt;='Assumptions and Catalog'!$C$19),A376-'Assumptions and Catalog'!$C$19,A376-1)</f>
        <v>7</v>
      </c>
      <c r="S376" s="5" t="n">
        <f>F376+L376-(D376+E376)*C376-J376-K376-0</f>
        <v>0</v>
      </c>
      <c r="T376" s="5"/>
      <c r="U376" s="5"/>
    </row>
    <row r="377" ht="23.100000381469727" customHeight="1">
      <c r="A377" s="5" t="n">
        <v>19</v>
      </c>
      <c r="B377" s="5" t="n">
        <v>1</v>
      </c>
      <c r="C377" s="5" t="n">
        <f>DAY(DATE('Assumptions and Catalog'!$C$24+A377-1,B377+1,0))</f>
        <v>31</v>
      </c>
      <c r="D377" s="5" t="n">
        <f>IF(ISNUMBER(Inputs!$L$5),Inputs!$L$5*Inputs!$L$6,0)</f>
        <v>40.35</v>
      </c>
      <c r="E377" s="5" t="n">
        <f>IF(ISNUMBER(Inputs!$L$5),Inputs!$L$5-D377,0)</f>
        <v>40.35</v>
      </c>
      <c r="F377" s="5" t="n">
        <f>C$51*INDEX('Solar Production'!$D$20:$D$31,B377)*C377*(1-'Assumptions and Catalog'!$C$10)^(A377-1)</f>
        <v>1055.75428229439</v>
      </c>
      <c r="G377" s="5" t="n">
        <f>MIN(F377,D377*C377)</f>
        <v>1055.75428229439</v>
      </c>
      <c r="H377" s="5" t="n">
        <f>I377/('Assumptions and Catalog'!$C$11*'Assumptions and Catalog'!$C$12)</f>
        <v>0</v>
      </c>
      <c r="I377" s="5" t="n">
        <f>0</f>
        <v>0</v>
      </c>
      <c r="J377" s="5" t="n">
        <f>MAX(F377-G377-H377,0)</f>
        <v>0</v>
      </c>
      <c r="K377" s="5" t="n">
        <f>H377-I377</f>
        <v>0</v>
      </c>
      <c r="L377" s="5" t="n">
        <f>(D377+E377)*C377-G377-I377+0+0</f>
        <v>1445.94571770561</v>
      </c>
      <c r="M377" s="5" t="n">
        <f>IF(ISNUMBER(Inputs!$L$5),(IF(Inputs!$L$9="Actual flat rate",((D377+E377)*C377)*Inputs!$L$10,IF(Inputs!$C$9="Residential",IF(((D377+E377)*C377)&lt;='Assumptions and Catalog'!$C$50,((D377+E377)*C377)*'Assumptions and Catalog'!$H$50+'Assumptions and Catalog'!$E$50+'Assumptions and Catalog'!$F$50,IF(((D377+E377)*C377)&lt;='Assumptions and Catalog'!$C$51,((D377+E377)*C377)*'Assumptions and Catalog'!$H$51+'Assumptions and Catalog'!$E$51+'Assumptions and Catalog'!$F$51,IF(((D377+E377)*C377)&lt;='Assumptions and Catalog'!$C$52,((D377+E377)*C377)*'Assumptions and Catalog'!$H$52+'Assumptions and Catalog'!$E$52+'Assumptions and Catalog'!$F$52,IF(((D377+E377)*C377)&lt;='Assumptions and Catalog'!$C$53,((D377+E377)*C377)*'Assumptions and Catalog'!$H$53+'Assumptions and Catalog'!$E$53+'Assumptions and Catalog'!$F$53,IF(((D377+E377)*C377)&lt;='Assumptions and Catalog'!$C$54,((D377+E377)*C377)*'Assumptions and Catalog'!$H$54+'Assumptions and Catalog'!$E$54+'Assumptions and Catalog'!$F$54,IF(((D377+E377)*C377)&lt;='Assumptions and Catalog'!$C$55,((D377+E377)*C377)*'Assumptions and Catalog'!$H$55+'Assumptions and Catalog'!$E$55+'Assumptions and Catalog'!$F$55,IF(((D377+E377)*C377)&lt;='Assumptions and Catalog'!$C$56,((D377+E377)*C377)*'Assumptions and Catalog'!$H$56+'Assumptions and Catalog'!$E$56+'Assumptions and Catalog'!$F$56,IF(((D377+E377)*C377)&lt;='Assumptions and Catalog'!$C$57,((D377+E377)*C377)*'Assumptions and Catalog'!$H$57+'Assumptions and Catalog'!$E$57+'Assumptions and Catalog'!$F$57,"Out of range")))))))),IF(((D377+E377)*C377)&lt;='Assumptions and Catalog'!$C$60,((D377+E377)*C377)*'Assumptions and Catalog'!$H$60+'Assumptions and Catalog'!$E$60+'Assumptions and Catalog'!$F$60,IF(((D377+E377)*C377)&lt;='Assumptions and Catalog'!$C$61,((D377+E377)*C377)*'Assumptions and Catalog'!$H$61+'Assumptions and Catalog'!$E$61+'Assumptions and Catalog'!$F$61,IF(((D377+E377)*C377)&lt;='Assumptions and Catalog'!$C$62,((D377+E377)*C377)*'Assumptions and Catalog'!$H$62+'Assumptions and Catalog'!$E$62+'Assumptions and Catalog'!$F$62,IF(((D377+E377)*C377)&lt;='Assumptions and Catalog'!$C$63,((D377+E377)*C377)*'Assumptions and Catalog'!$H$63+'Assumptions and Catalog'!$E$63+'Assumptions and Catalog'!$F$63,IF(((D377+E377)*C377)&lt;='Assumptions and Catalog'!$C$64,((D377+E377)*C377)*'Assumptions and Catalog'!$H$64+'Assumptions and Catalog'!$E$64+'Assumptions and Catalog'!$F$64,IF(((D377+E377)*C377)&lt;='Assumptions and Catalog'!$C$65,((D377+E377)*C377)*'Assumptions and Catalog'!$H$65+'Assumptions and Catalog'!$E$65+'Assumptions and Catalog'!$F$65,"Out of range")))))))))*(1+'Assumptions and Catalog'!$C$8)^(A377-1),0)</f>
        <v>7094.794</v>
      </c>
      <c r="N377" s="5" t="n">
        <f>IF(ISNUMBER(Inputs!$L$5),(IF(Inputs!$L$9="Actual flat rate",L377*Inputs!$L$10,IF(Inputs!$C$9="Residential",IF(L377&lt;='Assumptions and Catalog'!$C$50,L377*'Assumptions and Catalog'!$H$50+'Assumptions and Catalog'!$E$50+'Assumptions and Catalog'!$F$50,IF(L377&lt;='Assumptions and Catalog'!$C$51,L377*'Assumptions and Catalog'!$H$51+'Assumptions and Catalog'!$E$51+'Assumptions and Catalog'!$F$51,IF(L377&lt;='Assumptions and Catalog'!$C$52,L377*'Assumptions and Catalog'!$H$52+'Assumptions and Catalog'!$E$52+'Assumptions and Catalog'!$F$52,IF(L377&lt;='Assumptions and Catalog'!$C$53,L377*'Assumptions and Catalog'!$H$53+'Assumptions and Catalog'!$E$53+'Assumptions and Catalog'!$F$53,IF(L377&lt;='Assumptions and Catalog'!$C$54,L377*'Assumptions and Catalog'!$H$54+'Assumptions and Catalog'!$E$54+'Assumptions and Catalog'!$F$54,IF(L377&lt;='Assumptions and Catalog'!$C$55,L377*'Assumptions and Catalog'!$H$55+'Assumptions and Catalog'!$E$55+'Assumptions and Catalog'!$F$55,IF(L377&lt;='Assumptions and Catalog'!$C$56,L377*'Assumptions and Catalog'!$H$56+'Assumptions and Catalog'!$E$56+'Assumptions and Catalog'!$F$56,IF(L377&lt;='Assumptions and Catalog'!$C$57,L377*'Assumptions and Catalog'!$H$57+'Assumptions and Catalog'!$E$57+'Assumptions and Catalog'!$F$57,"Out of range")))))))),IF(L377&lt;='Assumptions and Catalog'!$C$60,L377*'Assumptions and Catalog'!$H$60+'Assumptions and Catalog'!$E$60+'Assumptions and Catalog'!$F$60,IF(L377&lt;='Assumptions and Catalog'!$C$61,L377*'Assumptions and Catalog'!$H$61+'Assumptions and Catalog'!$E$61+'Assumptions and Catalog'!$F$61,IF(L377&lt;='Assumptions and Catalog'!$C$62,L377*'Assumptions and Catalog'!$H$62+'Assumptions and Catalog'!$E$62+'Assumptions and Catalog'!$F$62,IF(L377&lt;='Assumptions and Catalog'!$C$63,L377*'Assumptions and Catalog'!$H$63+'Assumptions and Catalog'!$E$63+'Assumptions and Catalog'!$F$63,IF(L377&lt;='Assumptions and Catalog'!$C$64,L377*'Assumptions and Catalog'!$H$64+'Assumptions and Catalog'!$E$64+'Assumptions and Catalog'!$F$64,IF(L377&lt;='Assumptions and Catalog'!$C$65,L377*'Assumptions and Catalog'!$H$65+'Assumptions and Catalog'!$E$65+'Assumptions and Catalog'!$F$65,"Out of range")))))))))*(1+'Assumptions and Catalog'!$C$8)^(A377-1),0)</f>
        <v>4117.56692392982</v>
      </c>
      <c r="O377" s="5" t="n">
        <f>M377-N377</f>
        <v>2977.22707607018</v>
      </c>
      <c r="P377" s="5" t="n">
        <f>C$55*(1-J$14)*(1-'Assumptions and Catalog'!$C$23)^R377</f>
        <v>0</v>
      </c>
      <c r="Q377" s="5" t="n">
        <f>IF(ISNUMBER(Inputs!$L$5),(IF(Inputs!$L$9="Actual flat rate",((D377+E377)*C377-G377)*Inputs!$L$10,IF(Inputs!$C$9="Residential",IF(((D377+E377)*C377-G377)&lt;='Assumptions and Catalog'!$C$50,((D377+E377)*C377-G377)*'Assumptions and Catalog'!$H$50+'Assumptions and Catalog'!$E$50+'Assumptions and Catalog'!$F$50,IF(((D377+E377)*C377-G377)&lt;='Assumptions and Catalog'!$C$51,((D377+E377)*C377-G377)*'Assumptions and Catalog'!$H$51+'Assumptions and Catalog'!$E$51+'Assumptions and Catalog'!$F$51,IF(((D377+E377)*C377-G377)&lt;='Assumptions and Catalog'!$C$52,((D377+E377)*C377-G377)*'Assumptions and Catalog'!$H$52+'Assumptions and Catalog'!$E$52+'Assumptions and Catalog'!$F$52,IF(((D377+E377)*C377-G377)&lt;='Assumptions and Catalog'!$C$53,((D377+E377)*C377-G377)*'Assumptions and Catalog'!$H$53+'Assumptions and Catalog'!$E$53+'Assumptions and Catalog'!$F$53,IF(((D377+E377)*C377-G377)&lt;='Assumptions and Catalog'!$C$54,((D377+E377)*C377-G377)*'Assumptions and Catalog'!$H$54+'Assumptions and Catalog'!$E$54+'Assumptions and Catalog'!$F$54,IF(((D377+E377)*C377-G377)&lt;='Assumptions and Catalog'!$C$55,((D377+E377)*C377-G377)*'Assumptions and Catalog'!$H$55+'Assumptions and Catalog'!$E$55+'Assumptions and Catalog'!$F$55,IF(((D377+E377)*C377-G377)&lt;='Assumptions and Catalog'!$C$56,((D377+E377)*C377-G377)*'Assumptions and Catalog'!$H$56+'Assumptions and Catalog'!$E$56+'Assumptions and Catalog'!$F$56,IF(((D377+E377)*C377-G377)&lt;='Assumptions and Catalog'!$C$57,((D377+E377)*C377-G377)*'Assumptions and Catalog'!$H$57+'Assumptions and Catalog'!$E$57+'Assumptions and Catalog'!$F$57,"Out of range")))))))),IF(((D377+E377)*C377-G377)&lt;='Assumptions and Catalog'!$C$60,((D377+E377)*C377-G377)*'Assumptions and Catalog'!$H$60+'Assumptions and Catalog'!$E$60+'Assumptions and Catalog'!$F$60,IF(((D377+E377)*C377-G377)&lt;='Assumptions and Catalog'!$C$61,((D377+E377)*C377-G377)*'Assumptions and Catalog'!$H$61+'Assumptions and Catalog'!$E$61+'Assumptions and Catalog'!$F$61,IF(((D377+E377)*C377-G377)&lt;='Assumptions and Catalog'!$C$62,((D377+E377)*C377-G377)*'Assumptions and Catalog'!$H$62+'Assumptions and Catalog'!$E$62+'Assumptions and Catalog'!$F$62,IF(((D377+E377)*C377-G377)&lt;='Assumptions and Catalog'!$C$63,((D377+E377)*C377-G377)*'Assumptions and Catalog'!$H$63+'Assumptions and Catalog'!$E$63+'Assumptions and Catalog'!$F$63,IF(((D377+E377)*C377-G377)&lt;='Assumptions and Catalog'!$C$64,((D377+E377)*C377-G377)*'Assumptions and Catalog'!$H$64+'Assumptions and Catalog'!$E$64+'Assumptions and Catalog'!$F$64,IF(((D377+E377)*C377-G377)&lt;='Assumptions and Catalog'!$C$65,((D377+E377)*C377-G377)*'Assumptions and Catalog'!$H$65+'Assumptions and Catalog'!$E$65+'Assumptions and Catalog'!$F$65,"Out of range")))))))))*(1+'Assumptions and Catalog'!$C$8)^(A377-1),0)</f>
        <v>4117.56692392982</v>
      </c>
      <c r="R377" s="5" t="n">
        <f>IF(AND('Assumptions and Catalog'!$C$19&gt;0,A377&gt;='Assumptions and Catalog'!$C$19),A377-'Assumptions and Catalog'!$C$19,A377-1)</f>
        <v>8</v>
      </c>
      <c r="S377" s="5" t="n">
        <f>F377+L377-(D377+E377)*C377-J377-K377-0</f>
        <v>0</v>
      </c>
      <c r="T377" s="5"/>
      <c r="U377" s="5"/>
    </row>
    <row r="378" ht="23.100000381469727" customHeight="1">
      <c r="A378" s="5" t="n">
        <v>19</v>
      </c>
      <c r="B378" s="5" t="n">
        <v>2</v>
      </c>
      <c r="C378" s="5" t="n">
        <f>DAY(DATE('Assumptions and Catalog'!$C$24+A378-1,B378+1,0))</f>
        <v>28</v>
      </c>
      <c r="D378" s="5" t="n">
        <f>IF(ISNUMBER(Inputs!$L$5),Inputs!$L$5*Inputs!$L$6,0)</f>
        <v>40.35</v>
      </c>
      <c r="E378" s="5" t="n">
        <f>IF(ISNUMBER(Inputs!$L$5),Inputs!$L$5-D378,0)</f>
        <v>40.35</v>
      </c>
      <c r="F378" s="5" t="n">
        <f>C$51*INDEX('Solar Production'!$D$20:$D$31,B378)*C378*(1-'Assumptions and Catalog'!$C$10)^(A378-1)</f>
        <v>1040.87884115011</v>
      </c>
      <c r="G378" s="5" t="n">
        <f>MIN(F378,D378*C378)</f>
        <v>1040.87884115011</v>
      </c>
      <c r="H378" s="5" t="n">
        <f>I378/('Assumptions and Catalog'!$C$11*'Assumptions and Catalog'!$C$12)</f>
        <v>0</v>
      </c>
      <c r="I378" s="5" t="n">
        <f>0</f>
        <v>0</v>
      </c>
      <c r="J378" s="5" t="n">
        <f>MAX(F378-G378-H378,0)</f>
        <v>0</v>
      </c>
      <c r="K378" s="5" t="n">
        <f>H378-I378</f>
        <v>0</v>
      </c>
      <c r="L378" s="5" t="n">
        <f>(D378+E378)*C378-G378-I378+0+0</f>
        <v>1218.72115884989</v>
      </c>
      <c r="M378" s="5" t="n">
        <f>IF(ISNUMBER(Inputs!$L$5),(IF(Inputs!$L$9="Actual flat rate",((D378+E378)*C378)*Inputs!$L$10,IF(Inputs!$C$9="Residential",IF(((D378+E378)*C378)&lt;='Assumptions and Catalog'!$C$50,((D378+E378)*C378)*'Assumptions and Catalog'!$H$50+'Assumptions and Catalog'!$E$50+'Assumptions and Catalog'!$F$50,IF(((D378+E378)*C378)&lt;='Assumptions and Catalog'!$C$51,((D378+E378)*C378)*'Assumptions and Catalog'!$H$51+'Assumptions and Catalog'!$E$51+'Assumptions and Catalog'!$F$51,IF(((D378+E378)*C378)&lt;='Assumptions and Catalog'!$C$52,((D378+E378)*C378)*'Assumptions and Catalog'!$H$52+'Assumptions and Catalog'!$E$52+'Assumptions and Catalog'!$F$52,IF(((D378+E378)*C378)&lt;='Assumptions and Catalog'!$C$53,((D378+E378)*C378)*'Assumptions and Catalog'!$H$53+'Assumptions and Catalog'!$E$53+'Assumptions and Catalog'!$F$53,IF(((D378+E378)*C378)&lt;='Assumptions and Catalog'!$C$54,((D378+E378)*C378)*'Assumptions and Catalog'!$H$54+'Assumptions and Catalog'!$E$54+'Assumptions and Catalog'!$F$54,IF(((D378+E378)*C378)&lt;='Assumptions and Catalog'!$C$55,((D378+E378)*C378)*'Assumptions and Catalog'!$H$55+'Assumptions and Catalog'!$E$55+'Assumptions and Catalog'!$F$55,IF(((D378+E378)*C378)&lt;='Assumptions and Catalog'!$C$56,((D378+E378)*C378)*'Assumptions and Catalog'!$H$56+'Assumptions and Catalog'!$E$56+'Assumptions and Catalog'!$F$56,IF(((D378+E378)*C378)&lt;='Assumptions and Catalog'!$C$57,((D378+E378)*C378)*'Assumptions and Catalog'!$H$57+'Assumptions and Catalog'!$E$57+'Assumptions and Catalog'!$F$57,"Out of range")))))))),IF(((D378+E378)*C378)&lt;='Assumptions and Catalog'!$C$60,((D378+E378)*C378)*'Assumptions and Catalog'!$H$60+'Assumptions and Catalog'!$E$60+'Assumptions and Catalog'!$F$60,IF(((D378+E378)*C378)&lt;='Assumptions and Catalog'!$C$61,((D378+E378)*C378)*'Assumptions and Catalog'!$H$61+'Assumptions and Catalog'!$E$61+'Assumptions and Catalog'!$F$61,IF(((D378+E378)*C378)&lt;='Assumptions and Catalog'!$C$62,((D378+E378)*C378)*'Assumptions and Catalog'!$H$62+'Assumptions and Catalog'!$E$62+'Assumptions and Catalog'!$F$62,IF(((D378+E378)*C378)&lt;='Assumptions and Catalog'!$C$63,((D378+E378)*C378)*'Assumptions and Catalog'!$H$63+'Assumptions and Catalog'!$E$63+'Assumptions and Catalog'!$F$63,IF(((D378+E378)*C378)&lt;='Assumptions and Catalog'!$C$64,((D378+E378)*C378)*'Assumptions and Catalog'!$H$64+'Assumptions and Catalog'!$E$64+'Assumptions and Catalog'!$F$64,IF(((D378+E378)*C378)&lt;='Assumptions and Catalog'!$C$65,((D378+E378)*C378)*'Assumptions and Catalog'!$H$65+'Assumptions and Catalog'!$E$65+'Assumptions and Catalog'!$F$65,"Out of range")))))))))*(1+'Assumptions and Catalog'!$C$8)^(A378-1),0)</f>
        <v>6412.072</v>
      </c>
      <c r="N378" s="5" t="n">
        <f>IF(ISNUMBER(Inputs!$L$5),(IF(Inputs!$L$9="Actual flat rate",L378*Inputs!$L$10,IF(Inputs!$C$9="Residential",IF(L378&lt;='Assumptions and Catalog'!$C$50,L378*'Assumptions and Catalog'!$H$50+'Assumptions and Catalog'!$E$50+'Assumptions and Catalog'!$F$50,IF(L378&lt;='Assumptions and Catalog'!$C$51,L378*'Assumptions and Catalog'!$H$51+'Assumptions and Catalog'!$E$51+'Assumptions and Catalog'!$F$51,IF(L378&lt;='Assumptions and Catalog'!$C$52,L378*'Assumptions and Catalog'!$H$52+'Assumptions and Catalog'!$E$52+'Assumptions and Catalog'!$F$52,IF(L378&lt;='Assumptions and Catalog'!$C$53,L378*'Assumptions and Catalog'!$H$53+'Assumptions and Catalog'!$E$53+'Assumptions and Catalog'!$F$53,IF(L378&lt;='Assumptions and Catalog'!$C$54,L378*'Assumptions and Catalog'!$H$54+'Assumptions and Catalog'!$E$54+'Assumptions and Catalog'!$F$54,IF(L378&lt;='Assumptions and Catalog'!$C$55,L378*'Assumptions and Catalog'!$H$55+'Assumptions and Catalog'!$E$55+'Assumptions and Catalog'!$F$55,IF(L378&lt;='Assumptions and Catalog'!$C$56,L378*'Assumptions and Catalog'!$H$56+'Assumptions and Catalog'!$E$56+'Assumptions and Catalog'!$F$56,IF(L378&lt;='Assumptions and Catalog'!$C$57,L378*'Assumptions and Catalog'!$H$57+'Assumptions and Catalog'!$E$57+'Assumptions and Catalog'!$F$57,"Out of range")))))))),IF(L378&lt;='Assumptions and Catalog'!$C$60,L378*'Assumptions and Catalog'!$H$60+'Assumptions and Catalog'!$E$60+'Assumptions and Catalog'!$F$60,IF(L378&lt;='Assumptions and Catalog'!$C$61,L378*'Assumptions and Catalog'!$H$61+'Assumptions and Catalog'!$E$61+'Assumptions and Catalog'!$F$61,IF(L378&lt;='Assumptions and Catalog'!$C$62,L378*'Assumptions and Catalog'!$H$62+'Assumptions and Catalog'!$E$62+'Assumptions and Catalog'!$F$62,IF(L378&lt;='Assumptions and Catalog'!$C$63,L378*'Assumptions and Catalog'!$H$63+'Assumptions and Catalog'!$E$63+'Assumptions and Catalog'!$F$63,IF(L378&lt;='Assumptions and Catalog'!$C$64,L378*'Assumptions and Catalog'!$H$64+'Assumptions and Catalog'!$E$64+'Assumptions and Catalog'!$F$64,IF(L378&lt;='Assumptions and Catalog'!$C$65,L378*'Assumptions and Catalog'!$H$65+'Assumptions and Catalog'!$E$65+'Assumptions and Catalog'!$F$65,"Out of range")))))))))*(1+'Assumptions and Catalog'!$C$8)^(A378-1),0)</f>
        <v>3476.7936679567</v>
      </c>
      <c r="O378" s="5" t="n">
        <f>M378-N378</f>
        <v>2935.2783320433</v>
      </c>
      <c r="P378" s="5" t="n">
        <f>C$55*(1-J$14)*(1-'Assumptions and Catalog'!$C$23)^R378</f>
        <v>0</v>
      </c>
      <c r="Q378" s="5" t="n">
        <f>IF(ISNUMBER(Inputs!$L$5),(IF(Inputs!$L$9="Actual flat rate",((D378+E378)*C378-G378)*Inputs!$L$10,IF(Inputs!$C$9="Residential",IF(((D378+E378)*C378-G378)&lt;='Assumptions and Catalog'!$C$50,((D378+E378)*C378-G378)*'Assumptions and Catalog'!$H$50+'Assumptions and Catalog'!$E$50+'Assumptions and Catalog'!$F$50,IF(((D378+E378)*C378-G378)&lt;='Assumptions and Catalog'!$C$51,((D378+E378)*C378-G378)*'Assumptions and Catalog'!$H$51+'Assumptions and Catalog'!$E$51+'Assumptions and Catalog'!$F$51,IF(((D378+E378)*C378-G378)&lt;='Assumptions and Catalog'!$C$52,((D378+E378)*C378-G378)*'Assumptions and Catalog'!$H$52+'Assumptions and Catalog'!$E$52+'Assumptions and Catalog'!$F$52,IF(((D378+E378)*C378-G378)&lt;='Assumptions and Catalog'!$C$53,((D378+E378)*C378-G378)*'Assumptions and Catalog'!$H$53+'Assumptions and Catalog'!$E$53+'Assumptions and Catalog'!$F$53,IF(((D378+E378)*C378-G378)&lt;='Assumptions and Catalog'!$C$54,((D378+E378)*C378-G378)*'Assumptions and Catalog'!$H$54+'Assumptions and Catalog'!$E$54+'Assumptions and Catalog'!$F$54,IF(((D378+E378)*C378-G378)&lt;='Assumptions and Catalog'!$C$55,((D378+E378)*C378-G378)*'Assumptions and Catalog'!$H$55+'Assumptions and Catalog'!$E$55+'Assumptions and Catalog'!$F$55,IF(((D378+E378)*C378-G378)&lt;='Assumptions and Catalog'!$C$56,((D378+E378)*C378-G378)*'Assumptions and Catalog'!$H$56+'Assumptions and Catalog'!$E$56+'Assumptions and Catalog'!$F$56,IF(((D378+E378)*C378-G378)&lt;='Assumptions and Catalog'!$C$57,((D378+E378)*C378-G378)*'Assumptions and Catalog'!$H$57+'Assumptions and Catalog'!$E$57+'Assumptions and Catalog'!$F$57,"Out of range")))))))),IF(((D378+E378)*C378-G378)&lt;='Assumptions and Catalog'!$C$60,((D378+E378)*C378-G378)*'Assumptions and Catalog'!$H$60+'Assumptions and Catalog'!$E$60+'Assumptions and Catalog'!$F$60,IF(((D378+E378)*C378-G378)&lt;='Assumptions and Catalog'!$C$61,((D378+E378)*C378-G378)*'Assumptions and Catalog'!$H$61+'Assumptions and Catalog'!$E$61+'Assumptions and Catalog'!$F$61,IF(((D378+E378)*C378-G378)&lt;='Assumptions and Catalog'!$C$62,((D378+E378)*C378-G378)*'Assumptions and Catalog'!$H$62+'Assumptions and Catalog'!$E$62+'Assumptions and Catalog'!$F$62,IF(((D378+E378)*C378-G378)&lt;='Assumptions and Catalog'!$C$63,((D378+E378)*C378-G378)*'Assumptions and Catalog'!$H$63+'Assumptions and Catalog'!$E$63+'Assumptions and Catalog'!$F$63,IF(((D378+E378)*C378-G378)&lt;='Assumptions and Catalog'!$C$64,((D378+E378)*C378-G378)*'Assumptions and Catalog'!$H$64+'Assumptions and Catalog'!$E$64+'Assumptions and Catalog'!$F$64,IF(((D378+E378)*C378-G378)&lt;='Assumptions and Catalog'!$C$65,((D378+E378)*C378-G378)*'Assumptions and Catalog'!$H$65+'Assumptions and Catalog'!$E$65+'Assumptions and Catalog'!$F$65,"Out of range")))))))))*(1+'Assumptions and Catalog'!$C$8)^(A378-1),0)</f>
        <v>3476.7936679567</v>
      </c>
      <c r="R378" s="5" t="n">
        <f>IF(AND('Assumptions and Catalog'!$C$19&gt;0,A378&gt;='Assumptions and Catalog'!$C$19),A378-'Assumptions and Catalog'!$C$19,A378-1)</f>
        <v>8</v>
      </c>
      <c r="S378" s="5" t="n">
        <f>F378+L378-(D378+E378)*C378-J378-K378-0</f>
        <v>0</v>
      </c>
      <c r="T378" s="5"/>
      <c r="U378" s="5"/>
    </row>
    <row r="379" ht="23.100000381469727" customHeight="1">
      <c r="A379" s="5" t="n">
        <v>19</v>
      </c>
      <c r="B379" s="5" t="n">
        <v>3</v>
      </c>
      <c r="C379" s="5" t="n">
        <f>DAY(DATE('Assumptions and Catalog'!$C$24+A379-1,B379+1,0))</f>
        <v>31</v>
      </c>
      <c r="D379" s="5" t="n">
        <f>IF(ISNUMBER(Inputs!$L$5),Inputs!$L$5*Inputs!$L$6,0)</f>
        <v>40.35</v>
      </c>
      <c r="E379" s="5" t="n">
        <f>IF(ISNUMBER(Inputs!$L$5),Inputs!$L$5-D379,0)</f>
        <v>40.35</v>
      </c>
      <c r="F379" s="5" t="n">
        <f>C$51*INDEX('Solar Production'!$D$20:$D$31,B379)*C379*(1-'Assumptions and Catalog'!$C$10)^(A379-1)</f>
        <v>1295.04786524246</v>
      </c>
      <c r="G379" s="5" t="n">
        <f>MIN(F379,D379*C379)</f>
        <v>1250.85</v>
      </c>
      <c r="H379" s="5" t="n">
        <f>I379/('Assumptions and Catalog'!$C$11*'Assumptions and Catalog'!$C$12)</f>
        <v>0</v>
      </c>
      <c r="I379" s="5" t="n">
        <f>0</f>
        <v>0</v>
      </c>
      <c r="J379" s="5" t="n">
        <f>MAX(F379-G379-H379,0)</f>
        <v>44.1978652424564</v>
      </c>
      <c r="K379" s="5" t="n">
        <f>H379-I379</f>
        <v>0</v>
      </c>
      <c r="L379" s="5" t="n">
        <f>(D379+E379)*C379-G379-I379+0+0</f>
        <v>1250.85</v>
      </c>
      <c r="M379" s="5" t="n">
        <f>IF(ISNUMBER(Inputs!$L$5),(IF(Inputs!$L$9="Actual flat rate",((D379+E379)*C379)*Inputs!$L$10,IF(Inputs!$C$9="Residential",IF(((D379+E379)*C379)&lt;='Assumptions and Catalog'!$C$50,((D379+E379)*C379)*'Assumptions and Catalog'!$H$50+'Assumptions and Catalog'!$E$50+'Assumptions and Catalog'!$F$50,IF(((D379+E379)*C379)&lt;='Assumptions and Catalog'!$C$51,((D379+E379)*C379)*'Assumptions and Catalog'!$H$51+'Assumptions and Catalog'!$E$51+'Assumptions and Catalog'!$F$51,IF(((D379+E379)*C379)&lt;='Assumptions and Catalog'!$C$52,((D379+E379)*C379)*'Assumptions and Catalog'!$H$52+'Assumptions and Catalog'!$E$52+'Assumptions and Catalog'!$F$52,IF(((D379+E379)*C379)&lt;='Assumptions and Catalog'!$C$53,((D379+E379)*C379)*'Assumptions and Catalog'!$H$53+'Assumptions and Catalog'!$E$53+'Assumptions and Catalog'!$F$53,IF(((D379+E379)*C379)&lt;='Assumptions and Catalog'!$C$54,((D379+E379)*C379)*'Assumptions and Catalog'!$H$54+'Assumptions and Catalog'!$E$54+'Assumptions and Catalog'!$F$54,IF(((D379+E379)*C379)&lt;='Assumptions and Catalog'!$C$55,((D379+E379)*C379)*'Assumptions and Catalog'!$H$55+'Assumptions and Catalog'!$E$55+'Assumptions and Catalog'!$F$55,IF(((D379+E379)*C379)&lt;='Assumptions and Catalog'!$C$56,((D379+E379)*C379)*'Assumptions and Catalog'!$H$56+'Assumptions and Catalog'!$E$56+'Assumptions and Catalog'!$F$56,IF(((D379+E379)*C379)&lt;='Assumptions and Catalog'!$C$57,((D379+E379)*C379)*'Assumptions and Catalog'!$H$57+'Assumptions and Catalog'!$E$57+'Assumptions and Catalog'!$F$57,"Out of range")))))))),IF(((D379+E379)*C379)&lt;='Assumptions and Catalog'!$C$60,((D379+E379)*C379)*'Assumptions and Catalog'!$H$60+'Assumptions and Catalog'!$E$60+'Assumptions and Catalog'!$F$60,IF(((D379+E379)*C379)&lt;='Assumptions and Catalog'!$C$61,((D379+E379)*C379)*'Assumptions and Catalog'!$H$61+'Assumptions and Catalog'!$E$61+'Assumptions and Catalog'!$F$61,IF(((D379+E379)*C379)&lt;='Assumptions and Catalog'!$C$62,((D379+E379)*C379)*'Assumptions and Catalog'!$H$62+'Assumptions and Catalog'!$E$62+'Assumptions and Catalog'!$F$62,IF(((D379+E379)*C379)&lt;='Assumptions and Catalog'!$C$63,((D379+E379)*C379)*'Assumptions and Catalog'!$H$63+'Assumptions and Catalog'!$E$63+'Assumptions and Catalog'!$F$63,IF(((D379+E379)*C379)&lt;='Assumptions and Catalog'!$C$64,((D379+E379)*C379)*'Assumptions and Catalog'!$H$64+'Assumptions and Catalog'!$E$64+'Assumptions and Catalog'!$F$64,IF(((D379+E379)*C379)&lt;='Assumptions and Catalog'!$C$65,((D379+E379)*C379)*'Assumptions and Catalog'!$H$65+'Assumptions and Catalog'!$E$65+'Assumptions and Catalog'!$F$65,"Out of range")))))))))*(1+'Assumptions and Catalog'!$C$8)^(A379-1),0)</f>
        <v>7094.794</v>
      </c>
      <c r="N379" s="5" t="n">
        <f>IF(ISNUMBER(Inputs!$L$5),(IF(Inputs!$L$9="Actual flat rate",L379*Inputs!$L$10,IF(Inputs!$C$9="Residential",IF(L379&lt;='Assumptions and Catalog'!$C$50,L379*'Assumptions and Catalog'!$H$50+'Assumptions and Catalog'!$E$50+'Assumptions and Catalog'!$F$50,IF(L379&lt;='Assumptions and Catalog'!$C$51,L379*'Assumptions and Catalog'!$H$51+'Assumptions and Catalog'!$E$51+'Assumptions and Catalog'!$F$51,IF(L379&lt;='Assumptions and Catalog'!$C$52,L379*'Assumptions and Catalog'!$H$52+'Assumptions and Catalog'!$E$52+'Assumptions and Catalog'!$F$52,IF(L379&lt;='Assumptions and Catalog'!$C$53,L379*'Assumptions and Catalog'!$H$53+'Assumptions and Catalog'!$E$53+'Assumptions and Catalog'!$F$53,IF(L379&lt;='Assumptions and Catalog'!$C$54,L379*'Assumptions and Catalog'!$H$54+'Assumptions and Catalog'!$E$54+'Assumptions and Catalog'!$F$54,IF(L379&lt;='Assumptions and Catalog'!$C$55,L379*'Assumptions and Catalog'!$H$55+'Assumptions and Catalog'!$E$55+'Assumptions and Catalog'!$F$55,IF(L379&lt;='Assumptions and Catalog'!$C$56,L379*'Assumptions and Catalog'!$H$56+'Assumptions and Catalog'!$E$56+'Assumptions and Catalog'!$F$56,IF(L379&lt;='Assumptions and Catalog'!$C$57,L379*'Assumptions and Catalog'!$H$57+'Assumptions and Catalog'!$E$57+'Assumptions and Catalog'!$F$57,"Out of range")))))))),IF(L379&lt;='Assumptions and Catalog'!$C$60,L379*'Assumptions and Catalog'!$H$60+'Assumptions and Catalog'!$E$60+'Assumptions and Catalog'!$F$60,IF(L379&lt;='Assumptions and Catalog'!$C$61,L379*'Assumptions and Catalog'!$H$61+'Assumptions and Catalog'!$E$61+'Assumptions and Catalog'!$F$61,IF(L379&lt;='Assumptions and Catalog'!$C$62,L379*'Assumptions and Catalog'!$H$62+'Assumptions and Catalog'!$E$62+'Assumptions and Catalog'!$F$62,IF(L379&lt;='Assumptions and Catalog'!$C$63,L379*'Assumptions and Catalog'!$H$63+'Assumptions and Catalog'!$E$63+'Assumptions and Catalog'!$F$63,IF(L379&lt;='Assumptions and Catalog'!$C$64,L379*'Assumptions and Catalog'!$H$64+'Assumptions and Catalog'!$E$64+'Assumptions and Catalog'!$F$64,IF(L379&lt;='Assumptions and Catalog'!$C$65,L379*'Assumptions and Catalog'!$H$65+'Assumptions and Catalog'!$E$65+'Assumptions and Catalog'!$F$65,"Out of range")))))))))*(1+'Assumptions and Catalog'!$C$8)^(A379-1),0)</f>
        <v>3567.397</v>
      </c>
      <c r="O379" s="5" t="n">
        <f>M379-N379</f>
        <v>3527.397</v>
      </c>
      <c r="P379" s="5" t="n">
        <f>C$55*(1-J$14)*(1-'Assumptions and Catalog'!$C$23)^R379</f>
        <v>0</v>
      </c>
      <c r="Q379" s="5" t="n">
        <f>IF(ISNUMBER(Inputs!$L$5),(IF(Inputs!$L$9="Actual flat rate",((D379+E379)*C379-G379)*Inputs!$L$10,IF(Inputs!$C$9="Residential",IF(((D379+E379)*C379-G379)&lt;='Assumptions and Catalog'!$C$50,((D379+E379)*C379-G379)*'Assumptions and Catalog'!$H$50+'Assumptions and Catalog'!$E$50+'Assumptions and Catalog'!$F$50,IF(((D379+E379)*C379-G379)&lt;='Assumptions and Catalog'!$C$51,((D379+E379)*C379-G379)*'Assumptions and Catalog'!$H$51+'Assumptions and Catalog'!$E$51+'Assumptions and Catalog'!$F$51,IF(((D379+E379)*C379-G379)&lt;='Assumptions and Catalog'!$C$52,((D379+E379)*C379-G379)*'Assumptions and Catalog'!$H$52+'Assumptions and Catalog'!$E$52+'Assumptions and Catalog'!$F$52,IF(((D379+E379)*C379-G379)&lt;='Assumptions and Catalog'!$C$53,((D379+E379)*C379-G379)*'Assumptions and Catalog'!$H$53+'Assumptions and Catalog'!$E$53+'Assumptions and Catalog'!$F$53,IF(((D379+E379)*C379-G379)&lt;='Assumptions and Catalog'!$C$54,((D379+E379)*C379-G379)*'Assumptions and Catalog'!$H$54+'Assumptions and Catalog'!$E$54+'Assumptions and Catalog'!$F$54,IF(((D379+E379)*C379-G379)&lt;='Assumptions and Catalog'!$C$55,((D379+E379)*C379-G379)*'Assumptions and Catalog'!$H$55+'Assumptions and Catalog'!$E$55+'Assumptions and Catalog'!$F$55,IF(((D379+E379)*C379-G379)&lt;='Assumptions and Catalog'!$C$56,((D379+E379)*C379-G379)*'Assumptions and Catalog'!$H$56+'Assumptions and Catalog'!$E$56+'Assumptions and Catalog'!$F$56,IF(((D379+E379)*C379-G379)&lt;='Assumptions and Catalog'!$C$57,((D379+E379)*C379-G379)*'Assumptions and Catalog'!$H$57+'Assumptions and Catalog'!$E$57+'Assumptions and Catalog'!$F$57,"Out of range")))))))),IF(((D379+E379)*C379-G379)&lt;='Assumptions and Catalog'!$C$60,((D379+E379)*C379-G379)*'Assumptions and Catalog'!$H$60+'Assumptions and Catalog'!$E$60+'Assumptions and Catalog'!$F$60,IF(((D379+E379)*C379-G379)&lt;='Assumptions and Catalog'!$C$61,((D379+E379)*C379-G379)*'Assumptions and Catalog'!$H$61+'Assumptions and Catalog'!$E$61+'Assumptions and Catalog'!$F$61,IF(((D379+E379)*C379-G379)&lt;='Assumptions and Catalog'!$C$62,((D379+E379)*C379-G379)*'Assumptions and Catalog'!$H$62+'Assumptions and Catalog'!$E$62+'Assumptions and Catalog'!$F$62,IF(((D379+E379)*C379-G379)&lt;='Assumptions and Catalog'!$C$63,((D379+E379)*C379-G379)*'Assumptions and Catalog'!$H$63+'Assumptions and Catalog'!$E$63+'Assumptions and Catalog'!$F$63,IF(((D379+E379)*C379-G379)&lt;='Assumptions and Catalog'!$C$64,((D379+E379)*C379-G379)*'Assumptions and Catalog'!$H$64+'Assumptions and Catalog'!$E$64+'Assumptions and Catalog'!$F$64,IF(((D379+E379)*C379-G379)&lt;='Assumptions and Catalog'!$C$65,((D379+E379)*C379-G379)*'Assumptions and Catalog'!$H$65+'Assumptions and Catalog'!$E$65+'Assumptions and Catalog'!$F$65,"Out of range")))))))))*(1+'Assumptions and Catalog'!$C$8)^(A379-1),0)</f>
        <v>3567.397</v>
      </c>
      <c r="R379" s="5" t="n">
        <f>IF(AND('Assumptions and Catalog'!$C$19&gt;0,A379&gt;='Assumptions and Catalog'!$C$19),A379-'Assumptions and Catalog'!$C$19,A379-1)</f>
        <v>8</v>
      </c>
      <c r="S379" s="5" t="n">
        <f>F379+L379-(D379+E379)*C379-J379-K379-0</f>
        <v>0</v>
      </c>
      <c r="T379" s="5"/>
      <c r="U379" s="5"/>
    </row>
    <row r="380" ht="23.100000381469727" customHeight="1">
      <c r="A380" s="5" t="n">
        <v>19</v>
      </c>
      <c r="B380" s="5" t="n">
        <v>4</v>
      </c>
      <c r="C380" s="5" t="n">
        <f>DAY(DATE('Assumptions and Catalog'!$C$24+A380-1,B380+1,0))</f>
        <v>30</v>
      </c>
      <c r="D380" s="5" t="n">
        <f>IF(ISNUMBER(Inputs!$L$5),Inputs!$L$5*Inputs!$L$6,0)</f>
        <v>40.35</v>
      </c>
      <c r="E380" s="5" t="n">
        <f>IF(ISNUMBER(Inputs!$L$5),Inputs!$L$5-D380,0)</f>
        <v>40.35</v>
      </c>
      <c r="F380" s="5" t="n">
        <f>C$51*INDEX('Solar Production'!$D$20:$D$31,B380)*C380*(1-'Assumptions and Catalog'!$C$10)^(A380-1)</f>
        <v>1293.43970944307</v>
      </c>
      <c r="G380" s="5" t="n">
        <f>MIN(F380,D380*C380)</f>
        <v>1210.5</v>
      </c>
      <c r="H380" s="5" t="n">
        <f>I380/('Assumptions and Catalog'!$C$11*'Assumptions and Catalog'!$C$12)</f>
        <v>0</v>
      </c>
      <c r="I380" s="5" t="n">
        <f>0</f>
        <v>0</v>
      </c>
      <c r="J380" s="5" t="n">
        <f>MAX(F380-G380-H380,0)</f>
        <v>82.9397094430747</v>
      </c>
      <c r="K380" s="5" t="n">
        <f>H380-I380</f>
        <v>0</v>
      </c>
      <c r="L380" s="5" t="n">
        <f>(D380+E380)*C380-G380-I380+0+0</f>
        <v>1210.5</v>
      </c>
      <c r="M380" s="5" t="n">
        <f>IF(ISNUMBER(Inputs!$L$5),(IF(Inputs!$L$9="Actual flat rate",((D380+E380)*C380)*Inputs!$L$10,IF(Inputs!$C$9="Residential",IF(((D380+E380)*C380)&lt;='Assumptions and Catalog'!$C$50,((D380+E380)*C380)*'Assumptions and Catalog'!$H$50+'Assumptions and Catalog'!$E$50+'Assumptions and Catalog'!$F$50,IF(((D380+E380)*C380)&lt;='Assumptions and Catalog'!$C$51,((D380+E380)*C380)*'Assumptions and Catalog'!$H$51+'Assumptions and Catalog'!$E$51+'Assumptions and Catalog'!$F$51,IF(((D380+E380)*C380)&lt;='Assumptions and Catalog'!$C$52,((D380+E380)*C380)*'Assumptions and Catalog'!$H$52+'Assumptions and Catalog'!$E$52+'Assumptions and Catalog'!$F$52,IF(((D380+E380)*C380)&lt;='Assumptions and Catalog'!$C$53,((D380+E380)*C380)*'Assumptions and Catalog'!$H$53+'Assumptions and Catalog'!$E$53+'Assumptions and Catalog'!$F$53,IF(((D380+E380)*C380)&lt;='Assumptions and Catalog'!$C$54,((D380+E380)*C380)*'Assumptions and Catalog'!$H$54+'Assumptions and Catalog'!$E$54+'Assumptions and Catalog'!$F$54,IF(((D380+E380)*C380)&lt;='Assumptions and Catalog'!$C$55,((D380+E380)*C380)*'Assumptions and Catalog'!$H$55+'Assumptions and Catalog'!$E$55+'Assumptions and Catalog'!$F$55,IF(((D380+E380)*C380)&lt;='Assumptions and Catalog'!$C$56,((D380+E380)*C380)*'Assumptions and Catalog'!$H$56+'Assumptions and Catalog'!$E$56+'Assumptions and Catalog'!$F$56,IF(((D380+E380)*C380)&lt;='Assumptions and Catalog'!$C$57,((D380+E380)*C380)*'Assumptions and Catalog'!$H$57+'Assumptions and Catalog'!$E$57+'Assumptions and Catalog'!$F$57,"Out of range")))))))),IF(((D380+E380)*C380)&lt;='Assumptions and Catalog'!$C$60,((D380+E380)*C380)*'Assumptions and Catalog'!$H$60+'Assumptions and Catalog'!$E$60+'Assumptions and Catalog'!$F$60,IF(((D380+E380)*C380)&lt;='Assumptions and Catalog'!$C$61,((D380+E380)*C380)*'Assumptions and Catalog'!$H$61+'Assumptions and Catalog'!$E$61+'Assumptions and Catalog'!$F$61,IF(((D380+E380)*C380)&lt;='Assumptions and Catalog'!$C$62,((D380+E380)*C380)*'Assumptions and Catalog'!$H$62+'Assumptions and Catalog'!$E$62+'Assumptions and Catalog'!$F$62,IF(((D380+E380)*C380)&lt;='Assumptions and Catalog'!$C$63,((D380+E380)*C380)*'Assumptions and Catalog'!$H$63+'Assumptions and Catalog'!$E$63+'Assumptions and Catalog'!$F$63,IF(((D380+E380)*C380)&lt;='Assumptions and Catalog'!$C$64,((D380+E380)*C380)*'Assumptions and Catalog'!$H$64+'Assumptions and Catalog'!$E$64+'Assumptions and Catalog'!$F$64,IF(((D380+E380)*C380)&lt;='Assumptions and Catalog'!$C$65,((D380+E380)*C380)*'Assumptions and Catalog'!$H$65+'Assumptions and Catalog'!$E$65+'Assumptions and Catalog'!$F$65,"Out of range")))))))))*(1+'Assumptions and Catalog'!$C$8)^(A380-1),0)</f>
        <v>6867.22</v>
      </c>
      <c r="N380" s="5" t="n">
        <f>IF(ISNUMBER(Inputs!$L$5),(IF(Inputs!$L$9="Actual flat rate",L380*Inputs!$L$10,IF(Inputs!$C$9="Residential",IF(L380&lt;='Assumptions and Catalog'!$C$50,L380*'Assumptions and Catalog'!$H$50+'Assumptions and Catalog'!$E$50+'Assumptions and Catalog'!$F$50,IF(L380&lt;='Assumptions and Catalog'!$C$51,L380*'Assumptions and Catalog'!$H$51+'Assumptions and Catalog'!$E$51+'Assumptions and Catalog'!$F$51,IF(L380&lt;='Assumptions and Catalog'!$C$52,L380*'Assumptions and Catalog'!$H$52+'Assumptions and Catalog'!$E$52+'Assumptions and Catalog'!$F$52,IF(L380&lt;='Assumptions and Catalog'!$C$53,L380*'Assumptions and Catalog'!$H$53+'Assumptions and Catalog'!$E$53+'Assumptions and Catalog'!$F$53,IF(L380&lt;='Assumptions and Catalog'!$C$54,L380*'Assumptions and Catalog'!$H$54+'Assumptions and Catalog'!$E$54+'Assumptions and Catalog'!$F$54,IF(L380&lt;='Assumptions and Catalog'!$C$55,L380*'Assumptions and Catalog'!$H$55+'Assumptions and Catalog'!$E$55+'Assumptions and Catalog'!$F$55,IF(L380&lt;='Assumptions and Catalog'!$C$56,L380*'Assumptions and Catalog'!$H$56+'Assumptions and Catalog'!$E$56+'Assumptions and Catalog'!$F$56,IF(L380&lt;='Assumptions and Catalog'!$C$57,L380*'Assumptions and Catalog'!$H$57+'Assumptions and Catalog'!$E$57+'Assumptions and Catalog'!$F$57,"Out of range")))))))),IF(L380&lt;='Assumptions and Catalog'!$C$60,L380*'Assumptions and Catalog'!$H$60+'Assumptions and Catalog'!$E$60+'Assumptions and Catalog'!$F$60,IF(L380&lt;='Assumptions and Catalog'!$C$61,L380*'Assumptions and Catalog'!$H$61+'Assumptions and Catalog'!$E$61+'Assumptions and Catalog'!$F$61,IF(L380&lt;='Assumptions and Catalog'!$C$62,L380*'Assumptions and Catalog'!$H$62+'Assumptions and Catalog'!$E$62+'Assumptions and Catalog'!$F$62,IF(L380&lt;='Assumptions and Catalog'!$C$63,L380*'Assumptions and Catalog'!$H$63+'Assumptions and Catalog'!$E$63+'Assumptions and Catalog'!$F$63,IF(L380&lt;='Assumptions and Catalog'!$C$64,L380*'Assumptions and Catalog'!$H$64+'Assumptions and Catalog'!$E$64+'Assumptions and Catalog'!$F$64,IF(L380&lt;='Assumptions and Catalog'!$C$65,L380*'Assumptions and Catalog'!$H$65+'Assumptions and Catalog'!$E$65+'Assumptions and Catalog'!$F$65,"Out of range")))))))))*(1+'Assumptions and Catalog'!$C$8)^(A380-1),0)</f>
        <v>3453.61</v>
      </c>
      <c r="O380" s="5" t="n">
        <f>M380-N380</f>
        <v>3413.61</v>
      </c>
      <c r="P380" s="5" t="n">
        <f>C$55*(1-J$14)*(1-'Assumptions and Catalog'!$C$23)^R380</f>
        <v>0</v>
      </c>
      <c r="Q380" s="5" t="n">
        <f>IF(ISNUMBER(Inputs!$L$5),(IF(Inputs!$L$9="Actual flat rate",((D380+E380)*C380-G380)*Inputs!$L$10,IF(Inputs!$C$9="Residential",IF(((D380+E380)*C380-G380)&lt;='Assumptions and Catalog'!$C$50,((D380+E380)*C380-G380)*'Assumptions and Catalog'!$H$50+'Assumptions and Catalog'!$E$50+'Assumptions and Catalog'!$F$50,IF(((D380+E380)*C380-G380)&lt;='Assumptions and Catalog'!$C$51,((D380+E380)*C380-G380)*'Assumptions and Catalog'!$H$51+'Assumptions and Catalog'!$E$51+'Assumptions and Catalog'!$F$51,IF(((D380+E380)*C380-G380)&lt;='Assumptions and Catalog'!$C$52,((D380+E380)*C380-G380)*'Assumptions and Catalog'!$H$52+'Assumptions and Catalog'!$E$52+'Assumptions and Catalog'!$F$52,IF(((D380+E380)*C380-G380)&lt;='Assumptions and Catalog'!$C$53,((D380+E380)*C380-G380)*'Assumptions and Catalog'!$H$53+'Assumptions and Catalog'!$E$53+'Assumptions and Catalog'!$F$53,IF(((D380+E380)*C380-G380)&lt;='Assumptions and Catalog'!$C$54,((D380+E380)*C380-G380)*'Assumptions and Catalog'!$H$54+'Assumptions and Catalog'!$E$54+'Assumptions and Catalog'!$F$54,IF(((D380+E380)*C380-G380)&lt;='Assumptions and Catalog'!$C$55,((D380+E380)*C380-G380)*'Assumptions and Catalog'!$H$55+'Assumptions and Catalog'!$E$55+'Assumptions and Catalog'!$F$55,IF(((D380+E380)*C380-G380)&lt;='Assumptions and Catalog'!$C$56,((D380+E380)*C380-G380)*'Assumptions and Catalog'!$H$56+'Assumptions and Catalog'!$E$56+'Assumptions and Catalog'!$F$56,IF(((D380+E380)*C380-G380)&lt;='Assumptions and Catalog'!$C$57,((D380+E380)*C380-G380)*'Assumptions and Catalog'!$H$57+'Assumptions and Catalog'!$E$57+'Assumptions and Catalog'!$F$57,"Out of range")))))))),IF(((D380+E380)*C380-G380)&lt;='Assumptions and Catalog'!$C$60,((D380+E380)*C380-G380)*'Assumptions and Catalog'!$H$60+'Assumptions and Catalog'!$E$60+'Assumptions and Catalog'!$F$60,IF(((D380+E380)*C380-G380)&lt;='Assumptions and Catalog'!$C$61,((D380+E380)*C380-G380)*'Assumptions and Catalog'!$H$61+'Assumptions and Catalog'!$E$61+'Assumptions and Catalog'!$F$61,IF(((D380+E380)*C380-G380)&lt;='Assumptions and Catalog'!$C$62,((D380+E380)*C380-G380)*'Assumptions and Catalog'!$H$62+'Assumptions and Catalog'!$E$62+'Assumptions and Catalog'!$F$62,IF(((D380+E380)*C380-G380)&lt;='Assumptions and Catalog'!$C$63,((D380+E380)*C380-G380)*'Assumptions and Catalog'!$H$63+'Assumptions and Catalog'!$E$63+'Assumptions and Catalog'!$F$63,IF(((D380+E380)*C380-G380)&lt;='Assumptions and Catalog'!$C$64,((D380+E380)*C380-G380)*'Assumptions and Catalog'!$H$64+'Assumptions and Catalog'!$E$64+'Assumptions and Catalog'!$F$64,IF(((D380+E380)*C380-G380)&lt;='Assumptions and Catalog'!$C$65,((D380+E380)*C380-G380)*'Assumptions and Catalog'!$H$65+'Assumptions and Catalog'!$E$65+'Assumptions and Catalog'!$F$65,"Out of range")))))))))*(1+'Assumptions and Catalog'!$C$8)^(A380-1),0)</f>
        <v>3453.61</v>
      </c>
      <c r="R380" s="5" t="n">
        <f>IF(AND('Assumptions and Catalog'!$C$19&gt;0,A380&gt;='Assumptions and Catalog'!$C$19),A380-'Assumptions and Catalog'!$C$19,A380-1)</f>
        <v>8</v>
      </c>
      <c r="S380" s="5" t="n">
        <f>F380+L380-(D380+E380)*C380-J380-K380-0</f>
        <v>0</v>
      </c>
      <c r="T380" s="5"/>
      <c r="U380" s="5"/>
    </row>
    <row r="381" ht="23.100000381469727" customHeight="1">
      <c r="A381" s="5" t="n">
        <v>19</v>
      </c>
      <c r="B381" s="5" t="n">
        <v>5</v>
      </c>
      <c r="C381" s="5" t="n">
        <f>DAY(DATE('Assumptions and Catalog'!$C$24+A381-1,B381+1,0))</f>
        <v>31</v>
      </c>
      <c r="D381" s="5" t="n">
        <f>IF(ISNUMBER(Inputs!$L$5),Inputs!$L$5*Inputs!$L$6,0)</f>
        <v>40.35</v>
      </c>
      <c r="E381" s="5" t="n">
        <f>IF(ISNUMBER(Inputs!$L$5),Inputs!$L$5-D381,0)</f>
        <v>40.35</v>
      </c>
      <c r="F381" s="5" t="n">
        <f>C$51*INDEX('Solar Production'!$D$20:$D$31,B381)*C381*(1-'Assumptions and Catalog'!$C$10)^(A381-1)</f>
        <v>1308.39555837733</v>
      </c>
      <c r="G381" s="5" t="n">
        <f>MIN(F381,D381*C381)</f>
        <v>1250.85</v>
      </c>
      <c r="H381" s="5" t="n">
        <f>I381/('Assumptions and Catalog'!$C$11*'Assumptions and Catalog'!$C$12)</f>
        <v>0</v>
      </c>
      <c r="I381" s="5" t="n">
        <f>0</f>
        <v>0</v>
      </c>
      <c r="J381" s="5" t="n">
        <f>MAX(F381-G381-H381,0)</f>
        <v>57.5455583773287</v>
      </c>
      <c r="K381" s="5" t="n">
        <f>H381-I381</f>
        <v>0</v>
      </c>
      <c r="L381" s="5" t="n">
        <f>(D381+E381)*C381-G381-I381+0+0</f>
        <v>1250.85</v>
      </c>
      <c r="M381" s="5" t="n">
        <f>IF(ISNUMBER(Inputs!$L$5),(IF(Inputs!$L$9="Actual flat rate",((D381+E381)*C381)*Inputs!$L$10,IF(Inputs!$C$9="Residential",IF(((D381+E381)*C381)&lt;='Assumptions and Catalog'!$C$50,((D381+E381)*C381)*'Assumptions and Catalog'!$H$50+'Assumptions and Catalog'!$E$50+'Assumptions and Catalog'!$F$50,IF(((D381+E381)*C381)&lt;='Assumptions and Catalog'!$C$51,((D381+E381)*C381)*'Assumptions and Catalog'!$H$51+'Assumptions and Catalog'!$E$51+'Assumptions and Catalog'!$F$51,IF(((D381+E381)*C381)&lt;='Assumptions and Catalog'!$C$52,((D381+E381)*C381)*'Assumptions and Catalog'!$H$52+'Assumptions and Catalog'!$E$52+'Assumptions and Catalog'!$F$52,IF(((D381+E381)*C381)&lt;='Assumptions and Catalog'!$C$53,((D381+E381)*C381)*'Assumptions and Catalog'!$H$53+'Assumptions and Catalog'!$E$53+'Assumptions and Catalog'!$F$53,IF(((D381+E381)*C381)&lt;='Assumptions and Catalog'!$C$54,((D381+E381)*C381)*'Assumptions and Catalog'!$H$54+'Assumptions and Catalog'!$E$54+'Assumptions and Catalog'!$F$54,IF(((D381+E381)*C381)&lt;='Assumptions and Catalog'!$C$55,((D381+E381)*C381)*'Assumptions and Catalog'!$H$55+'Assumptions and Catalog'!$E$55+'Assumptions and Catalog'!$F$55,IF(((D381+E381)*C381)&lt;='Assumptions and Catalog'!$C$56,((D381+E381)*C381)*'Assumptions and Catalog'!$H$56+'Assumptions and Catalog'!$E$56+'Assumptions and Catalog'!$F$56,IF(((D381+E381)*C381)&lt;='Assumptions and Catalog'!$C$57,((D381+E381)*C381)*'Assumptions and Catalog'!$H$57+'Assumptions and Catalog'!$E$57+'Assumptions and Catalog'!$F$57,"Out of range")))))))),IF(((D381+E381)*C381)&lt;='Assumptions and Catalog'!$C$60,((D381+E381)*C381)*'Assumptions and Catalog'!$H$60+'Assumptions and Catalog'!$E$60+'Assumptions and Catalog'!$F$60,IF(((D381+E381)*C381)&lt;='Assumptions and Catalog'!$C$61,((D381+E381)*C381)*'Assumptions and Catalog'!$H$61+'Assumptions and Catalog'!$E$61+'Assumptions and Catalog'!$F$61,IF(((D381+E381)*C381)&lt;='Assumptions and Catalog'!$C$62,((D381+E381)*C381)*'Assumptions and Catalog'!$H$62+'Assumptions and Catalog'!$E$62+'Assumptions and Catalog'!$F$62,IF(((D381+E381)*C381)&lt;='Assumptions and Catalog'!$C$63,((D381+E381)*C381)*'Assumptions and Catalog'!$H$63+'Assumptions and Catalog'!$E$63+'Assumptions and Catalog'!$F$63,IF(((D381+E381)*C381)&lt;='Assumptions and Catalog'!$C$64,((D381+E381)*C381)*'Assumptions and Catalog'!$H$64+'Assumptions and Catalog'!$E$64+'Assumptions and Catalog'!$F$64,IF(((D381+E381)*C381)&lt;='Assumptions and Catalog'!$C$65,((D381+E381)*C381)*'Assumptions and Catalog'!$H$65+'Assumptions and Catalog'!$E$65+'Assumptions and Catalog'!$F$65,"Out of range")))))))))*(1+'Assumptions and Catalog'!$C$8)^(A381-1),0)</f>
        <v>7094.794</v>
      </c>
      <c r="N381" s="5" t="n">
        <f>IF(ISNUMBER(Inputs!$L$5),(IF(Inputs!$L$9="Actual flat rate",L381*Inputs!$L$10,IF(Inputs!$C$9="Residential",IF(L381&lt;='Assumptions and Catalog'!$C$50,L381*'Assumptions and Catalog'!$H$50+'Assumptions and Catalog'!$E$50+'Assumptions and Catalog'!$F$50,IF(L381&lt;='Assumptions and Catalog'!$C$51,L381*'Assumptions and Catalog'!$H$51+'Assumptions and Catalog'!$E$51+'Assumptions and Catalog'!$F$51,IF(L381&lt;='Assumptions and Catalog'!$C$52,L381*'Assumptions and Catalog'!$H$52+'Assumptions and Catalog'!$E$52+'Assumptions and Catalog'!$F$52,IF(L381&lt;='Assumptions and Catalog'!$C$53,L381*'Assumptions and Catalog'!$H$53+'Assumptions and Catalog'!$E$53+'Assumptions and Catalog'!$F$53,IF(L381&lt;='Assumptions and Catalog'!$C$54,L381*'Assumptions and Catalog'!$H$54+'Assumptions and Catalog'!$E$54+'Assumptions and Catalog'!$F$54,IF(L381&lt;='Assumptions and Catalog'!$C$55,L381*'Assumptions and Catalog'!$H$55+'Assumptions and Catalog'!$E$55+'Assumptions and Catalog'!$F$55,IF(L381&lt;='Assumptions and Catalog'!$C$56,L381*'Assumptions and Catalog'!$H$56+'Assumptions and Catalog'!$E$56+'Assumptions and Catalog'!$F$56,IF(L381&lt;='Assumptions and Catalog'!$C$57,L381*'Assumptions and Catalog'!$H$57+'Assumptions and Catalog'!$E$57+'Assumptions and Catalog'!$F$57,"Out of range")))))))),IF(L381&lt;='Assumptions and Catalog'!$C$60,L381*'Assumptions and Catalog'!$H$60+'Assumptions and Catalog'!$E$60+'Assumptions and Catalog'!$F$60,IF(L381&lt;='Assumptions and Catalog'!$C$61,L381*'Assumptions and Catalog'!$H$61+'Assumptions and Catalog'!$E$61+'Assumptions and Catalog'!$F$61,IF(L381&lt;='Assumptions and Catalog'!$C$62,L381*'Assumptions and Catalog'!$H$62+'Assumptions and Catalog'!$E$62+'Assumptions and Catalog'!$F$62,IF(L381&lt;='Assumptions and Catalog'!$C$63,L381*'Assumptions and Catalog'!$H$63+'Assumptions and Catalog'!$E$63+'Assumptions and Catalog'!$F$63,IF(L381&lt;='Assumptions and Catalog'!$C$64,L381*'Assumptions and Catalog'!$H$64+'Assumptions and Catalog'!$E$64+'Assumptions and Catalog'!$F$64,IF(L381&lt;='Assumptions and Catalog'!$C$65,L381*'Assumptions and Catalog'!$H$65+'Assumptions and Catalog'!$E$65+'Assumptions and Catalog'!$F$65,"Out of range")))))))))*(1+'Assumptions and Catalog'!$C$8)^(A381-1),0)</f>
        <v>3567.397</v>
      </c>
      <c r="O381" s="5" t="n">
        <f>M381-N381</f>
        <v>3527.397</v>
      </c>
      <c r="P381" s="5" t="n">
        <f>C$55*(1-J$14)*(1-'Assumptions and Catalog'!$C$23)^R381</f>
        <v>0</v>
      </c>
      <c r="Q381" s="5" t="n">
        <f>IF(ISNUMBER(Inputs!$L$5),(IF(Inputs!$L$9="Actual flat rate",((D381+E381)*C381-G381)*Inputs!$L$10,IF(Inputs!$C$9="Residential",IF(((D381+E381)*C381-G381)&lt;='Assumptions and Catalog'!$C$50,((D381+E381)*C381-G381)*'Assumptions and Catalog'!$H$50+'Assumptions and Catalog'!$E$50+'Assumptions and Catalog'!$F$50,IF(((D381+E381)*C381-G381)&lt;='Assumptions and Catalog'!$C$51,((D381+E381)*C381-G381)*'Assumptions and Catalog'!$H$51+'Assumptions and Catalog'!$E$51+'Assumptions and Catalog'!$F$51,IF(((D381+E381)*C381-G381)&lt;='Assumptions and Catalog'!$C$52,((D381+E381)*C381-G381)*'Assumptions and Catalog'!$H$52+'Assumptions and Catalog'!$E$52+'Assumptions and Catalog'!$F$52,IF(((D381+E381)*C381-G381)&lt;='Assumptions and Catalog'!$C$53,((D381+E381)*C381-G381)*'Assumptions and Catalog'!$H$53+'Assumptions and Catalog'!$E$53+'Assumptions and Catalog'!$F$53,IF(((D381+E381)*C381-G381)&lt;='Assumptions and Catalog'!$C$54,((D381+E381)*C381-G381)*'Assumptions and Catalog'!$H$54+'Assumptions and Catalog'!$E$54+'Assumptions and Catalog'!$F$54,IF(((D381+E381)*C381-G381)&lt;='Assumptions and Catalog'!$C$55,((D381+E381)*C381-G381)*'Assumptions and Catalog'!$H$55+'Assumptions and Catalog'!$E$55+'Assumptions and Catalog'!$F$55,IF(((D381+E381)*C381-G381)&lt;='Assumptions and Catalog'!$C$56,((D381+E381)*C381-G381)*'Assumptions and Catalog'!$H$56+'Assumptions and Catalog'!$E$56+'Assumptions and Catalog'!$F$56,IF(((D381+E381)*C381-G381)&lt;='Assumptions and Catalog'!$C$57,((D381+E381)*C381-G381)*'Assumptions and Catalog'!$H$57+'Assumptions and Catalog'!$E$57+'Assumptions and Catalog'!$F$57,"Out of range")))))))),IF(((D381+E381)*C381-G381)&lt;='Assumptions and Catalog'!$C$60,((D381+E381)*C381-G381)*'Assumptions and Catalog'!$H$60+'Assumptions and Catalog'!$E$60+'Assumptions and Catalog'!$F$60,IF(((D381+E381)*C381-G381)&lt;='Assumptions and Catalog'!$C$61,((D381+E381)*C381-G381)*'Assumptions and Catalog'!$H$61+'Assumptions and Catalog'!$E$61+'Assumptions and Catalog'!$F$61,IF(((D381+E381)*C381-G381)&lt;='Assumptions and Catalog'!$C$62,((D381+E381)*C381-G381)*'Assumptions and Catalog'!$H$62+'Assumptions and Catalog'!$E$62+'Assumptions and Catalog'!$F$62,IF(((D381+E381)*C381-G381)&lt;='Assumptions and Catalog'!$C$63,((D381+E381)*C381-G381)*'Assumptions and Catalog'!$H$63+'Assumptions and Catalog'!$E$63+'Assumptions and Catalog'!$F$63,IF(((D381+E381)*C381-G381)&lt;='Assumptions and Catalog'!$C$64,((D381+E381)*C381-G381)*'Assumptions and Catalog'!$H$64+'Assumptions and Catalog'!$E$64+'Assumptions and Catalog'!$F$64,IF(((D381+E381)*C381-G381)&lt;='Assumptions and Catalog'!$C$65,((D381+E381)*C381-G381)*'Assumptions and Catalog'!$H$65+'Assumptions and Catalog'!$E$65+'Assumptions and Catalog'!$F$65,"Out of range")))))))))*(1+'Assumptions and Catalog'!$C$8)^(A381-1),0)</f>
        <v>3567.397</v>
      </c>
      <c r="R381" s="5" t="n">
        <f>IF(AND('Assumptions and Catalog'!$C$19&gt;0,A381&gt;='Assumptions and Catalog'!$C$19),A381-'Assumptions and Catalog'!$C$19,A381-1)</f>
        <v>8</v>
      </c>
      <c r="S381" s="5" t="n">
        <f>F381+L381-(D381+E381)*C381-J381-K381-0</f>
        <v>0</v>
      </c>
      <c r="T381" s="5"/>
      <c r="U381" s="5"/>
    </row>
    <row r="382" ht="23.100000381469727" customHeight="1">
      <c r="A382" s="5" t="n">
        <v>19</v>
      </c>
      <c r="B382" s="5" t="n">
        <v>6</v>
      </c>
      <c r="C382" s="5" t="n">
        <f>DAY(DATE('Assumptions and Catalog'!$C$24+A382-1,B382+1,0))</f>
        <v>30</v>
      </c>
      <c r="D382" s="5" t="n">
        <f>IF(ISNUMBER(Inputs!$L$5),Inputs!$L$5*Inputs!$L$6,0)</f>
        <v>40.35</v>
      </c>
      <c r="E382" s="5" t="n">
        <f>IF(ISNUMBER(Inputs!$L$5),Inputs!$L$5-D382,0)</f>
        <v>40.35</v>
      </c>
      <c r="F382" s="5" t="n">
        <f>C$51*INDEX('Solar Production'!$D$20:$D$31,B382)*C382*(1-'Assumptions and Catalog'!$C$10)^(A382-1)</f>
        <v>1275.42836448999</v>
      </c>
      <c r="G382" s="5" t="n">
        <f>MIN(F382,D382*C382)</f>
        <v>1210.5</v>
      </c>
      <c r="H382" s="5" t="n">
        <f>I382/('Assumptions and Catalog'!$C$11*'Assumptions and Catalog'!$C$12)</f>
        <v>0</v>
      </c>
      <c r="I382" s="5" t="n">
        <f>0</f>
        <v>0</v>
      </c>
      <c r="J382" s="5" t="n">
        <f>MAX(F382-G382-H382,0)</f>
        <v>64.9283644899945</v>
      </c>
      <c r="K382" s="5" t="n">
        <f>H382-I382</f>
        <v>0</v>
      </c>
      <c r="L382" s="5" t="n">
        <f>(D382+E382)*C382-G382-I382+0+0</f>
        <v>1210.5</v>
      </c>
      <c r="M382" s="5" t="n">
        <f>IF(ISNUMBER(Inputs!$L$5),(IF(Inputs!$L$9="Actual flat rate",((D382+E382)*C382)*Inputs!$L$10,IF(Inputs!$C$9="Residential",IF(((D382+E382)*C382)&lt;='Assumptions and Catalog'!$C$50,((D382+E382)*C382)*'Assumptions and Catalog'!$H$50+'Assumptions and Catalog'!$E$50+'Assumptions and Catalog'!$F$50,IF(((D382+E382)*C382)&lt;='Assumptions and Catalog'!$C$51,((D382+E382)*C382)*'Assumptions and Catalog'!$H$51+'Assumptions and Catalog'!$E$51+'Assumptions and Catalog'!$F$51,IF(((D382+E382)*C382)&lt;='Assumptions and Catalog'!$C$52,((D382+E382)*C382)*'Assumptions and Catalog'!$H$52+'Assumptions and Catalog'!$E$52+'Assumptions and Catalog'!$F$52,IF(((D382+E382)*C382)&lt;='Assumptions and Catalog'!$C$53,((D382+E382)*C382)*'Assumptions and Catalog'!$H$53+'Assumptions and Catalog'!$E$53+'Assumptions and Catalog'!$F$53,IF(((D382+E382)*C382)&lt;='Assumptions and Catalog'!$C$54,((D382+E382)*C382)*'Assumptions and Catalog'!$H$54+'Assumptions and Catalog'!$E$54+'Assumptions and Catalog'!$F$54,IF(((D382+E382)*C382)&lt;='Assumptions and Catalog'!$C$55,((D382+E382)*C382)*'Assumptions and Catalog'!$H$55+'Assumptions and Catalog'!$E$55+'Assumptions and Catalog'!$F$55,IF(((D382+E382)*C382)&lt;='Assumptions and Catalog'!$C$56,((D382+E382)*C382)*'Assumptions and Catalog'!$H$56+'Assumptions and Catalog'!$E$56+'Assumptions and Catalog'!$F$56,IF(((D382+E382)*C382)&lt;='Assumptions and Catalog'!$C$57,((D382+E382)*C382)*'Assumptions and Catalog'!$H$57+'Assumptions and Catalog'!$E$57+'Assumptions and Catalog'!$F$57,"Out of range")))))))),IF(((D382+E382)*C382)&lt;='Assumptions and Catalog'!$C$60,((D382+E382)*C382)*'Assumptions and Catalog'!$H$60+'Assumptions and Catalog'!$E$60+'Assumptions and Catalog'!$F$60,IF(((D382+E382)*C382)&lt;='Assumptions and Catalog'!$C$61,((D382+E382)*C382)*'Assumptions and Catalog'!$H$61+'Assumptions and Catalog'!$E$61+'Assumptions and Catalog'!$F$61,IF(((D382+E382)*C382)&lt;='Assumptions and Catalog'!$C$62,((D382+E382)*C382)*'Assumptions and Catalog'!$H$62+'Assumptions and Catalog'!$E$62+'Assumptions and Catalog'!$F$62,IF(((D382+E382)*C382)&lt;='Assumptions and Catalog'!$C$63,((D382+E382)*C382)*'Assumptions and Catalog'!$H$63+'Assumptions and Catalog'!$E$63+'Assumptions and Catalog'!$F$63,IF(((D382+E382)*C382)&lt;='Assumptions and Catalog'!$C$64,((D382+E382)*C382)*'Assumptions and Catalog'!$H$64+'Assumptions and Catalog'!$E$64+'Assumptions and Catalog'!$F$64,IF(((D382+E382)*C382)&lt;='Assumptions and Catalog'!$C$65,((D382+E382)*C382)*'Assumptions and Catalog'!$H$65+'Assumptions and Catalog'!$E$65+'Assumptions and Catalog'!$F$65,"Out of range")))))))))*(1+'Assumptions and Catalog'!$C$8)^(A382-1),0)</f>
        <v>6867.22</v>
      </c>
      <c r="N382" s="5" t="n">
        <f>IF(ISNUMBER(Inputs!$L$5),(IF(Inputs!$L$9="Actual flat rate",L382*Inputs!$L$10,IF(Inputs!$C$9="Residential",IF(L382&lt;='Assumptions and Catalog'!$C$50,L382*'Assumptions and Catalog'!$H$50+'Assumptions and Catalog'!$E$50+'Assumptions and Catalog'!$F$50,IF(L382&lt;='Assumptions and Catalog'!$C$51,L382*'Assumptions and Catalog'!$H$51+'Assumptions and Catalog'!$E$51+'Assumptions and Catalog'!$F$51,IF(L382&lt;='Assumptions and Catalog'!$C$52,L382*'Assumptions and Catalog'!$H$52+'Assumptions and Catalog'!$E$52+'Assumptions and Catalog'!$F$52,IF(L382&lt;='Assumptions and Catalog'!$C$53,L382*'Assumptions and Catalog'!$H$53+'Assumptions and Catalog'!$E$53+'Assumptions and Catalog'!$F$53,IF(L382&lt;='Assumptions and Catalog'!$C$54,L382*'Assumptions and Catalog'!$H$54+'Assumptions and Catalog'!$E$54+'Assumptions and Catalog'!$F$54,IF(L382&lt;='Assumptions and Catalog'!$C$55,L382*'Assumptions and Catalog'!$H$55+'Assumptions and Catalog'!$E$55+'Assumptions and Catalog'!$F$55,IF(L382&lt;='Assumptions and Catalog'!$C$56,L382*'Assumptions and Catalog'!$H$56+'Assumptions and Catalog'!$E$56+'Assumptions and Catalog'!$F$56,IF(L382&lt;='Assumptions and Catalog'!$C$57,L382*'Assumptions and Catalog'!$H$57+'Assumptions and Catalog'!$E$57+'Assumptions and Catalog'!$F$57,"Out of range")))))))),IF(L382&lt;='Assumptions and Catalog'!$C$60,L382*'Assumptions and Catalog'!$H$60+'Assumptions and Catalog'!$E$60+'Assumptions and Catalog'!$F$60,IF(L382&lt;='Assumptions and Catalog'!$C$61,L382*'Assumptions and Catalog'!$H$61+'Assumptions and Catalog'!$E$61+'Assumptions and Catalog'!$F$61,IF(L382&lt;='Assumptions and Catalog'!$C$62,L382*'Assumptions and Catalog'!$H$62+'Assumptions and Catalog'!$E$62+'Assumptions and Catalog'!$F$62,IF(L382&lt;='Assumptions and Catalog'!$C$63,L382*'Assumptions and Catalog'!$H$63+'Assumptions and Catalog'!$E$63+'Assumptions and Catalog'!$F$63,IF(L382&lt;='Assumptions and Catalog'!$C$64,L382*'Assumptions and Catalog'!$H$64+'Assumptions and Catalog'!$E$64+'Assumptions and Catalog'!$F$64,IF(L382&lt;='Assumptions and Catalog'!$C$65,L382*'Assumptions and Catalog'!$H$65+'Assumptions and Catalog'!$E$65+'Assumptions and Catalog'!$F$65,"Out of range")))))))))*(1+'Assumptions and Catalog'!$C$8)^(A382-1),0)</f>
        <v>3453.61</v>
      </c>
      <c r="O382" s="5" t="n">
        <f>M382-N382</f>
        <v>3413.61</v>
      </c>
      <c r="P382" s="5" t="n">
        <f>C$55*(1-J$14)*(1-'Assumptions and Catalog'!$C$23)^R382</f>
        <v>0</v>
      </c>
      <c r="Q382" s="5" t="n">
        <f>IF(ISNUMBER(Inputs!$L$5),(IF(Inputs!$L$9="Actual flat rate",((D382+E382)*C382-G382)*Inputs!$L$10,IF(Inputs!$C$9="Residential",IF(((D382+E382)*C382-G382)&lt;='Assumptions and Catalog'!$C$50,((D382+E382)*C382-G382)*'Assumptions and Catalog'!$H$50+'Assumptions and Catalog'!$E$50+'Assumptions and Catalog'!$F$50,IF(((D382+E382)*C382-G382)&lt;='Assumptions and Catalog'!$C$51,((D382+E382)*C382-G382)*'Assumptions and Catalog'!$H$51+'Assumptions and Catalog'!$E$51+'Assumptions and Catalog'!$F$51,IF(((D382+E382)*C382-G382)&lt;='Assumptions and Catalog'!$C$52,((D382+E382)*C382-G382)*'Assumptions and Catalog'!$H$52+'Assumptions and Catalog'!$E$52+'Assumptions and Catalog'!$F$52,IF(((D382+E382)*C382-G382)&lt;='Assumptions and Catalog'!$C$53,((D382+E382)*C382-G382)*'Assumptions and Catalog'!$H$53+'Assumptions and Catalog'!$E$53+'Assumptions and Catalog'!$F$53,IF(((D382+E382)*C382-G382)&lt;='Assumptions and Catalog'!$C$54,((D382+E382)*C382-G382)*'Assumptions and Catalog'!$H$54+'Assumptions and Catalog'!$E$54+'Assumptions and Catalog'!$F$54,IF(((D382+E382)*C382-G382)&lt;='Assumptions and Catalog'!$C$55,((D382+E382)*C382-G382)*'Assumptions and Catalog'!$H$55+'Assumptions and Catalog'!$E$55+'Assumptions and Catalog'!$F$55,IF(((D382+E382)*C382-G382)&lt;='Assumptions and Catalog'!$C$56,((D382+E382)*C382-G382)*'Assumptions and Catalog'!$H$56+'Assumptions and Catalog'!$E$56+'Assumptions and Catalog'!$F$56,IF(((D382+E382)*C382-G382)&lt;='Assumptions and Catalog'!$C$57,((D382+E382)*C382-G382)*'Assumptions and Catalog'!$H$57+'Assumptions and Catalog'!$E$57+'Assumptions and Catalog'!$F$57,"Out of range")))))))),IF(((D382+E382)*C382-G382)&lt;='Assumptions and Catalog'!$C$60,((D382+E382)*C382-G382)*'Assumptions and Catalog'!$H$60+'Assumptions and Catalog'!$E$60+'Assumptions and Catalog'!$F$60,IF(((D382+E382)*C382-G382)&lt;='Assumptions and Catalog'!$C$61,((D382+E382)*C382-G382)*'Assumptions and Catalog'!$H$61+'Assumptions and Catalog'!$E$61+'Assumptions and Catalog'!$F$61,IF(((D382+E382)*C382-G382)&lt;='Assumptions and Catalog'!$C$62,((D382+E382)*C382-G382)*'Assumptions and Catalog'!$H$62+'Assumptions and Catalog'!$E$62+'Assumptions and Catalog'!$F$62,IF(((D382+E382)*C382-G382)&lt;='Assumptions and Catalog'!$C$63,((D382+E382)*C382-G382)*'Assumptions and Catalog'!$H$63+'Assumptions and Catalog'!$E$63+'Assumptions and Catalog'!$F$63,IF(((D382+E382)*C382-G382)&lt;='Assumptions and Catalog'!$C$64,((D382+E382)*C382-G382)*'Assumptions and Catalog'!$H$64+'Assumptions and Catalog'!$E$64+'Assumptions and Catalog'!$F$64,IF(((D382+E382)*C382-G382)&lt;='Assumptions and Catalog'!$C$65,((D382+E382)*C382-G382)*'Assumptions and Catalog'!$H$65+'Assumptions and Catalog'!$E$65+'Assumptions and Catalog'!$F$65,"Out of range")))))))))*(1+'Assumptions and Catalog'!$C$8)^(A382-1),0)</f>
        <v>3453.61</v>
      </c>
      <c r="R382" s="5" t="n">
        <f>IF(AND('Assumptions and Catalog'!$C$19&gt;0,A382&gt;='Assumptions and Catalog'!$C$19),A382-'Assumptions and Catalog'!$C$19,A382-1)</f>
        <v>8</v>
      </c>
      <c r="S382" s="5" t="n">
        <f>F382+L382-(D382+E382)*C382-J382-K382-0</f>
        <v>0</v>
      </c>
      <c r="T382" s="5"/>
      <c r="U382" s="5"/>
    </row>
    <row r="383" ht="23.100000381469727" customHeight="1">
      <c r="A383" s="5" t="n">
        <v>19</v>
      </c>
      <c r="B383" s="5" t="n">
        <v>7</v>
      </c>
      <c r="C383" s="5" t="n">
        <f>DAY(DATE('Assumptions and Catalog'!$C$24+A383-1,B383+1,0))</f>
        <v>31</v>
      </c>
      <c r="D383" s="5" t="n">
        <f>IF(ISNUMBER(Inputs!$L$5),Inputs!$L$5*Inputs!$L$6,0)</f>
        <v>40.35</v>
      </c>
      <c r="E383" s="5" t="n">
        <f>IF(ISNUMBER(Inputs!$L$5),Inputs!$L$5-D383,0)</f>
        <v>40.35</v>
      </c>
      <c r="F383" s="5" t="n">
        <f>C$51*INDEX('Solar Production'!$D$20:$D$31,B383)*C383*(1-'Assumptions and Catalog'!$C$10)^(A383-1)</f>
        <v>1323.99466963134</v>
      </c>
      <c r="G383" s="5" t="n">
        <f>MIN(F383,D383*C383)</f>
        <v>1250.85</v>
      </c>
      <c r="H383" s="5" t="n">
        <f>I383/('Assumptions and Catalog'!$C$11*'Assumptions and Catalog'!$C$12)</f>
        <v>0</v>
      </c>
      <c r="I383" s="5" t="n">
        <f>0</f>
        <v>0</v>
      </c>
      <c r="J383" s="5" t="n">
        <f>MAX(F383-G383-H383,0)</f>
        <v>73.1446696313356</v>
      </c>
      <c r="K383" s="5" t="n">
        <f>H383-I383</f>
        <v>0</v>
      </c>
      <c r="L383" s="5" t="n">
        <f>(D383+E383)*C383-G383-I383+0+0</f>
        <v>1250.85</v>
      </c>
      <c r="M383" s="5" t="n">
        <f>IF(ISNUMBER(Inputs!$L$5),(IF(Inputs!$L$9="Actual flat rate",((D383+E383)*C383)*Inputs!$L$10,IF(Inputs!$C$9="Residential",IF(((D383+E383)*C383)&lt;='Assumptions and Catalog'!$C$50,((D383+E383)*C383)*'Assumptions and Catalog'!$H$50+'Assumptions and Catalog'!$E$50+'Assumptions and Catalog'!$F$50,IF(((D383+E383)*C383)&lt;='Assumptions and Catalog'!$C$51,((D383+E383)*C383)*'Assumptions and Catalog'!$H$51+'Assumptions and Catalog'!$E$51+'Assumptions and Catalog'!$F$51,IF(((D383+E383)*C383)&lt;='Assumptions and Catalog'!$C$52,((D383+E383)*C383)*'Assumptions and Catalog'!$H$52+'Assumptions and Catalog'!$E$52+'Assumptions and Catalog'!$F$52,IF(((D383+E383)*C383)&lt;='Assumptions and Catalog'!$C$53,((D383+E383)*C383)*'Assumptions and Catalog'!$H$53+'Assumptions and Catalog'!$E$53+'Assumptions and Catalog'!$F$53,IF(((D383+E383)*C383)&lt;='Assumptions and Catalog'!$C$54,((D383+E383)*C383)*'Assumptions and Catalog'!$H$54+'Assumptions and Catalog'!$E$54+'Assumptions and Catalog'!$F$54,IF(((D383+E383)*C383)&lt;='Assumptions and Catalog'!$C$55,((D383+E383)*C383)*'Assumptions and Catalog'!$H$55+'Assumptions and Catalog'!$E$55+'Assumptions and Catalog'!$F$55,IF(((D383+E383)*C383)&lt;='Assumptions and Catalog'!$C$56,((D383+E383)*C383)*'Assumptions and Catalog'!$H$56+'Assumptions and Catalog'!$E$56+'Assumptions and Catalog'!$F$56,IF(((D383+E383)*C383)&lt;='Assumptions and Catalog'!$C$57,((D383+E383)*C383)*'Assumptions and Catalog'!$H$57+'Assumptions and Catalog'!$E$57+'Assumptions and Catalog'!$F$57,"Out of range")))))))),IF(((D383+E383)*C383)&lt;='Assumptions and Catalog'!$C$60,((D383+E383)*C383)*'Assumptions and Catalog'!$H$60+'Assumptions and Catalog'!$E$60+'Assumptions and Catalog'!$F$60,IF(((D383+E383)*C383)&lt;='Assumptions and Catalog'!$C$61,((D383+E383)*C383)*'Assumptions and Catalog'!$H$61+'Assumptions and Catalog'!$E$61+'Assumptions and Catalog'!$F$61,IF(((D383+E383)*C383)&lt;='Assumptions and Catalog'!$C$62,((D383+E383)*C383)*'Assumptions and Catalog'!$H$62+'Assumptions and Catalog'!$E$62+'Assumptions and Catalog'!$F$62,IF(((D383+E383)*C383)&lt;='Assumptions and Catalog'!$C$63,((D383+E383)*C383)*'Assumptions and Catalog'!$H$63+'Assumptions and Catalog'!$E$63+'Assumptions and Catalog'!$F$63,IF(((D383+E383)*C383)&lt;='Assumptions and Catalog'!$C$64,((D383+E383)*C383)*'Assumptions and Catalog'!$H$64+'Assumptions and Catalog'!$E$64+'Assumptions and Catalog'!$F$64,IF(((D383+E383)*C383)&lt;='Assumptions and Catalog'!$C$65,((D383+E383)*C383)*'Assumptions and Catalog'!$H$65+'Assumptions and Catalog'!$E$65+'Assumptions and Catalog'!$F$65,"Out of range")))))))))*(1+'Assumptions and Catalog'!$C$8)^(A383-1),0)</f>
        <v>7094.794</v>
      </c>
      <c r="N383" s="5" t="n">
        <f>IF(ISNUMBER(Inputs!$L$5),(IF(Inputs!$L$9="Actual flat rate",L383*Inputs!$L$10,IF(Inputs!$C$9="Residential",IF(L383&lt;='Assumptions and Catalog'!$C$50,L383*'Assumptions and Catalog'!$H$50+'Assumptions and Catalog'!$E$50+'Assumptions and Catalog'!$F$50,IF(L383&lt;='Assumptions and Catalog'!$C$51,L383*'Assumptions and Catalog'!$H$51+'Assumptions and Catalog'!$E$51+'Assumptions and Catalog'!$F$51,IF(L383&lt;='Assumptions and Catalog'!$C$52,L383*'Assumptions and Catalog'!$H$52+'Assumptions and Catalog'!$E$52+'Assumptions and Catalog'!$F$52,IF(L383&lt;='Assumptions and Catalog'!$C$53,L383*'Assumptions and Catalog'!$H$53+'Assumptions and Catalog'!$E$53+'Assumptions and Catalog'!$F$53,IF(L383&lt;='Assumptions and Catalog'!$C$54,L383*'Assumptions and Catalog'!$H$54+'Assumptions and Catalog'!$E$54+'Assumptions and Catalog'!$F$54,IF(L383&lt;='Assumptions and Catalog'!$C$55,L383*'Assumptions and Catalog'!$H$55+'Assumptions and Catalog'!$E$55+'Assumptions and Catalog'!$F$55,IF(L383&lt;='Assumptions and Catalog'!$C$56,L383*'Assumptions and Catalog'!$H$56+'Assumptions and Catalog'!$E$56+'Assumptions and Catalog'!$F$56,IF(L383&lt;='Assumptions and Catalog'!$C$57,L383*'Assumptions and Catalog'!$H$57+'Assumptions and Catalog'!$E$57+'Assumptions and Catalog'!$F$57,"Out of range")))))))),IF(L383&lt;='Assumptions and Catalog'!$C$60,L383*'Assumptions and Catalog'!$H$60+'Assumptions and Catalog'!$E$60+'Assumptions and Catalog'!$F$60,IF(L383&lt;='Assumptions and Catalog'!$C$61,L383*'Assumptions and Catalog'!$H$61+'Assumptions and Catalog'!$E$61+'Assumptions and Catalog'!$F$61,IF(L383&lt;='Assumptions and Catalog'!$C$62,L383*'Assumptions and Catalog'!$H$62+'Assumptions and Catalog'!$E$62+'Assumptions and Catalog'!$F$62,IF(L383&lt;='Assumptions and Catalog'!$C$63,L383*'Assumptions and Catalog'!$H$63+'Assumptions and Catalog'!$E$63+'Assumptions and Catalog'!$F$63,IF(L383&lt;='Assumptions and Catalog'!$C$64,L383*'Assumptions and Catalog'!$H$64+'Assumptions and Catalog'!$E$64+'Assumptions and Catalog'!$F$64,IF(L383&lt;='Assumptions and Catalog'!$C$65,L383*'Assumptions and Catalog'!$H$65+'Assumptions and Catalog'!$E$65+'Assumptions and Catalog'!$F$65,"Out of range")))))))))*(1+'Assumptions and Catalog'!$C$8)^(A383-1),0)</f>
        <v>3567.397</v>
      </c>
      <c r="O383" s="5" t="n">
        <f>M383-N383</f>
        <v>3527.397</v>
      </c>
      <c r="P383" s="5" t="n">
        <f>C$55*(1-J$14)*(1-'Assumptions and Catalog'!$C$23)^R383</f>
        <v>0</v>
      </c>
      <c r="Q383" s="5" t="n">
        <f>IF(ISNUMBER(Inputs!$L$5),(IF(Inputs!$L$9="Actual flat rate",((D383+E383)*C383-G383)*Inputs!$L$10,IF(Inputs!$C$9="Residential",IF(((D383+E383)*C383-G383)&lt;='Assumptions and Catalog'!$C$50,((D383+E383)*C383-G383)*'Assumptions and Catalog'!$H$50+'Assumptions and Catalog'!$E$50+'Assumptions and Catalog'!$F$50,IF(((D383+E383)*C383-G383)&lt;='Assumptions and Catalog'!$C$51,((D383+E383)*C383-G383)*'Assumptions and Catalog'!$H$51+'Assumptions and Catalog'!$E$51+'Assumptions and Catalog'!$F$51,IF(((D383+E383)*C383-G383)&lt;='Assumptions and Catalog'!$C$52,((D383+E383)*C383-G383)*'Assumptions and Catalog'!$H$52+'Assumptions and Catalog'!$E$52+'Assumptions and Catalog'!$F$52,IF(((D383+E383)*C383-G383)&lt;='Assumptions and Catalog'!$C$53,((D383+E383)*C383-G383)*'Assumptions and Catalog'!$H$53+'Assumptions and Catalog'!$E$53+'Assumptions and Catalog'!$F$53,IF(((D383+E383)*C383-G383)&lt;='Assumptions and Catalog'!$C$54,((D383+E383)*C383-G383)*'Assumptions and Catalog'!$H$54+'Assumptions and Catalog'!$E$54+'Assumptions and Catalog'!$F$54,IF(((D383+E383)*C383-G383)&lt;='Assumptions and Catalog'!$C$55,((D383+E383)*C383-G383)*'Assumptions and Catalog'!$H$55+'Assumptions and Catalog'!$E$55+'Assumptions and Catalog'!$F$55,IF(((D383+E383)*C383-G383)&lt;='Assumptions and Catalog'!$C$56,((D383+E383)*C383-G383)*'Assumptions and Catalog'!$H$56+'Assumptions and Catalog'!$E$56+'Assumptions and Catalog'!$F$56,IF(((D383+E383)*C383-G383)&lt;='Assumptions and Catalog'!$C$57,((D383+E383)*C383-G383)*'Assumptions and Catalog'!$H$57+'Assumptions and Catalog'!$E$57+'Assumptions and Catalog'!$F$57,"Out of range")))))))),IF(((D383+E383)*C383-G383)&lt;='Assumptions and Catalog'!$C$60,((D383+E383)*C383-G383)*'Assumptions and Catalog'!$H$60+'Assumptions and Catalog'!$E$60+'Assumptions and Catalog'!$F$60,IF(((D383+E383)*C383-G383)&lt;='Assumptions and Catalog'!$C$61,((D383+E383)*C383-G383)*'Assumptions and Catalog'!$H$61+'Assumptions and Catalog'!$E$61+'Assumptions and Catalog'!$F$61,IF(((D383+E383)*C383-G383)&lt;='Assumptions and Catalog'!$C$62,((D383+E383)*C383-G383)*'Assumptions and Catalog'!$H$62+'Assumptions and Catalog'!$E$62+'Assumptions and Catalog'!$F$62,IF(((D383+E383)*C383-G383)&lt;='Assumptions and Catalog'!$C$63,((D383+E383)*C383-G383)*'Assumptions and Catalog'!$H$63+'Assumptions and Catalog'!$E$63+'Assumptions and Catalog'!$F$63,IF(((D383+E383)*C383-G383)&lt;='Assumptions and Catalog'!$C$64,((D383+E383)*C383-G383)*'Assumptions and Catalog'!$H$64+'Assumptions and Catalog'!$E$64+'Assumptions and Catalog'!$F$64,IF(((D383+E383)*C383-G383)&lt;='Assumptions and Catalog'!$C$65,((D383+E383)*C383-G383)*'Assumptions and Catalog'!$H$65+'Assumptions and Catalog'!$E$65+'Assumptions and Catalog'!$F$65,"Out of range")))))))))*(1+'Assumptions and Catalog'!$C$8)^(A383-1),0)</f>
        <v>3567.397</v>
      </c>
      <c r="R383" s="5" t="n">
        <f>IF(AND('Assumptions and Catalog'!$C$19&gt;0,A383&gt;='Assumptions and Catalog'!$C$19),A383-'Assumptions and Catalog'!$C$19,A383-1)</f>
        <v>8</v>
      </c>
      <c r="S383" s="5" t="n">
        <f>F383+L383-(D383+E383)*C383-J383-K383-0</f>
        <v>0</v>
      </c>
      <c r="T383" s="5"/>
      <c r="U383" s="5"/>
    </row>
    <row r="384" ht="23.100000381469727" customHeight="1">
      <c r="A384" s="5" t="n">
        <v>19</v>
      </c>
      <c r="B384" s="5" t="n">
        <v>8</v>
      </c>
      <c r="C384" s="5" t="n">
        <f>DAY(DATE('Assumptions and Catalog'!$C$24+A384-1,B384+1,0))</f>
        <v>31</v>
      </c>
      <c r="D384" s="5" t="n">
        <f>IF(ISNUMBER(Inputs!$L$5),Inputs!$L$5*Inputs!$L$6,0)</f>
        <v>40.35</v>
      </c>
      <c r="E384" s="5" t="n">
        <f>IF(ISNUMBER(Inputs!$L$5),Inputs!$L$5-D384,0)</f>
        <v>40.35</v>
      </c>
      <c r="F384" s="5" t="n">
        <f>C$51*INDEX('Solar Production'!$D$20:$D$31,B384)*C384*(1-'Assumptions and Catalog'!$C$10)^(A384-1)</f>
        <v>1341.20193668473</v>
      </c>
      <c r="G384" s="5" t="n">
        <f>MIN(F384,D384*C384)</f>
        <v>1250.85</v>
      </c>
      <c r="H384" s="5" t="n">
        <f>I384/('Assumptions and Catalog'!$C$11*'Assumptions and Catalog'!$C$12)</f>
        <v>0</v>
      </c>
      <c r="I384" s="5" t="n">
        <f>0</f>
        <v>0</v>
      </c>
      <c r="J384" s="5" t="n">
        <f>MAX(F384-G384-H384,0)</f>
        <v>90.3519366847249</v>
      </c>
      <c r="K384" s="5" t="n">
        <f>H384-I384</f>
        <v>0</v>
      </c>
      <c r="L384" s="5" t="n">
        <f>(D384+E384)*C384-G384-I384+0+0</f>
        <v>1250.85</v>
      </c>
      <c r="M384" s="5" t="n">
        <f>IF(ISNUMBER(Inputs!$L$5),(IF(Inputs!$L$9="Actual flat rate",((D384+E384)*C384)*Inputs!$L$10,IF(Inputs!$C$9="Residential",IF(((D384+E384)*C384)&lt;='Assumptions and Catalog'!$C$50,((D384+E384)*C384)*'Assumptions and Catalog'!$H$50+'Assumptions and Catalog'!$E$50+'Assumptions and Catalog'!$F$50,IF(((D384+E384)*C384)&lt;='Assumptions and Catalog'!$C$51,((D384+E384)*C384)*'Assumptions and Catalog'!$H$51+'Assumptions and Catalog'!$E$51+'Assumptions and Catalog'!$F$51,IF(((D384+E384)*C384)&lt;='Assumptions and Catalog'!$C$52,((D384+E384)*C384)*'Assumptions and Catalog'!$H$52+'Assumptions and Catalog'!$E$52+'Assumptions and Catalog'!$F$52,IF(((D384+E384)*C384)&lt;='Assumptions and Catalog'!$C$53,((D384+E384)*C384)*'Assumptions and Catalog'!$H$53+'Assumptions and Catalog'!$E$53+'Assumptions and Catalog'!$F$53,IF(((D384+E384)*C384)&lt;='Assumptions and Catalog'!$C$54,((D384+E384)*C384)*'Assumptions and Catalog'!$H$54+'Assumptions and Catalog'!$E$54+'Assumptions and Catalog'!$F$54,IF(((D384+E384)*C384)&lt;='Assumptions and Catalog'!$C$55,((D384+E384)*C384)*'Assumptions and Catalog'!$H$55+'Assumptions and Catalog'!$E$55+'Assumptions and Catalog'!$F$55,IF(((D384+E384)*C384)&lt;='Assumptions and Catalog'!$C$56,((D384+E384)*C384)*'Assumptions and Catalog'!$H$56+'Assumptions and Catalog'!$E$56+'Assumptions and Catalog'!$F$56,IF(((D384+E384)*C384)&lt;='Assumptions and Catalog'!$C$57,((D384+E384)*C384)*'Assumptions and Catalog'!$H$57+'Assumptions and Catalog'!$E$57+'Assumptions and Catalog'!$F$57,"Out of range")))))))),IF(((D384+E384)*C384)&lt;='Assumptions and Catalog'!$C$60,((D384+E384)*C384)*'Assumptions and Catalog'!$H$60+'Assumptions and Catalog'!$E$60+'Assumptions and Catalog'!$F$60,IF(((D384+E384)*C384)&lt;='Assumptions and Catalog'!$C$61,((D384+E384)*C384)*'Assumptions and Catalog'!$H$61+'Assumptions and Catalog'!$E$61+'Assumptions and Catalog'!$F$61,IF(((D384+E384)*C384)&lt;='Assumptions and Catalog'!$C$62,((D384+E384)*C384)*'Assumptions and Catalog'!$H$62+'Assumptions and Catalog'!$E$62+'Assumptions and Catalog'!$F$62,IF(((D384+E384)*C384)&lt;='Assumptions and Catalog'!$C$63,((D384+E384)*C384)*'Assumptions and Catalog'!$H$63+'Assumptions and Catalog'!$E$63+'Assumptions and Catalog'!$F$63,IF(((D384+E384)*C384)&lt;='Assumptions and Catalog'!$C$64,((D384+E384)*C384)*'Assumptions and Catalog'!$H$64+'Assumptions and Catalog'!$E$64+'Assumptions and Catalog'!$F$64,IF(((D384+E384)*C384)&lt;='Assumptions and Catalog'!$C$65,((D384+E384)*C384)*'Assumptions and Catalog'!$H$65+'Assumptions and Catalog'!$E$65+'Assumptions and Catalog'!$F$65,"Out of range")))))))))*(1+'Assumptions and Catalog'!$C$8)^(A384-1),0)</f>
        <v>7094.794</v>
      </c>
      <c r="N384" s="5" t="n">
        <f>IF(ISNUMBER(Inputs!$L$5),(IF(Inputs!$L$9="Actual flat rate",L384*Inputs!$L$10,IF(Inputs!$C$9="Residential",IF(L384&lt;='Assumptions and Catalog'!$C$50,L384*'Assumptions and Catalog'!$H$50+'Assumptions and Catalog'!$E$50+'Assumptions and Catalog'!$F$50,IF(L384&lt;='Assumptions and Catalog'!$C$51,L384*'Assumptions and Catalog'!$H$51+'Assumptions and Catalog'!$E$51+'Assumptions and Catalog'!$F$51,IF(L384&lt;='Assumptions and Catalog'!$C$52,L384*'Assumptions and Catalog'!$H$52+'Assumptions and Catalog'!$E$52+'Assumptions and Catalog'!$F$52,IF(L384&lt;='Assumptions and Catalog'!$C$53,L384*'Assumptions and Catalog'!$H$53+'Assumptions and Catalog'!$E$53+'Assumptions and Catalog'!$F$53,IF(L384&lt;='Assumptions and Catalog'!$C$54,L384*'Assumptions and Catalog'!$H$54+'Assumptions and Catalog'!$E$54+'Assumptions and Catalog'!$F$54,IF(L384&lt;='Assumptions and Catalog'!$C$55,L384*'Assumptions and Catalog'!$H$55+'Assumptions and Catalog'!$E$55+'Assumptions and Catalog'!$F$55,IF(L384&lt;='Assumptions and Catalog'!$C$56,L384*'Assumptions and Catalog'!$H$56+'Assumptions and Catalog'!$E$56+'Assumptions and Catalog'!$F$56,IF(L384&lt;='Assumptions and Catalog'!$C$57,L384*'Assumptions and Catalog'!$H$57+'Assumptions and Catalog'!$E$57+'Assumptions and Catalog'!$F$57,"Out of range")))))))),IF(L384&lt;='Assumptions and Catalog'!$C$60,L384*'Assumptions and Catalog'!$H$60+'Assumptions and Catalog'!$E$60+'Assumptions and Catalog'!$F$60,IF(L384&lt;='Assumptions and Catalog'!$C$61,L384*'Assumptions and Catalog'!$H$61+'Assumptions and Catalog'!$E$61+'Assumptions and Catalog'!$F$61,IF(L384&lt;='Assumptions and Catalog'!$C$62,L384*'Assumptions and Catalog'!$H$62+'Assumptions and Catalog'!$E$62+'Assumptions and Catalog'!$F$62,IF(L384&lt;='Assumptions and Catalog'!$C$63,L384*'Assumptions and Catalog'!$H$63+'Assumptions and Catalog'!$E$63+'Assumptions and Catalog'!$F$63,IF(L384&lt;='Assumptions and Catalog'!$C$64,L384*'Assumptions and Catalog'!$H$64+'Assumptions and Catalog'!$E$64+'Assumptions and Catalog'!$F$64,IF(L384&lt;='Assumptions and Catalog'!$C$65,L384*'Assumptions and Catalog'!$H$65+'Assumptions and Catalog'!$E$65+'Assumptions and Catalog'!$F$65,"Out of range")))))))))*(1+'Assumptions and Catalog'!$C$8)^(A384-1),0)</f>
        <v>3567.397</v>
      </c>
      <c r="O384" s="5" t="n">
        <f>M384-N384</f>
        <v>3527.397</v>
      </c>
      <c r="P384" s="5" t="n">
        <f>C$55*(1-J$14)*(1-'Assumptions and Catalog'!$C$23)^R384</f>
        <v>0</v>
      </c>
      <c r="Q384" s="5" t="n">
        <f>IF(ISNUMBER(Inputs!$L$5),(IF(Inputs!$L$9="Actual flat rate",((D384+E384)*C384-G384)*Inputs!$L$10,IF(Inputs!$C$9="Residential",IF(((D384+E384)*C384-G384)&lt;='Assumptions and Catalog'!$C$50,((D384+E384)*C384-G384)*'Assumptions and Catalog'!$H$50+'Assumptions and Catalog'!$E$50+'Assumptions and Catalog'!$F$50,IF(((D384+E384)*C384-G384)&lt;='Assumptions and Catalog'!$C$51,((D384+E384)*C384-G384)*'Assumptions and Catalog'!$H$51+'Assumptions and Catalog'!$E$51+'Assumptions and Catalog'!$F$51,IF(((D384+E384)*C384-G384)&lt;='Assumptions and Catalog'!$C$52,((D384+E384)*C384-G384)*'Assumptions and Catalog'!$H$52+'Assumptions and Catalog'!$E$52+'Assumptions and Catalog'!$F$52,IF(((D384+E384)*C384-G384)&lt;='Assumptions and Catalog'!$C$53,((D384+E384)*C384-G384)*'Assumptions and Catalog'!$H$53+'Assumptions and Catalog'!$E$53+'Assumptions and Catalog'!$F$53,IF(((D384+E384)*C384-G384)&lt;='Assumptions and Catalog'!$C$54,((D384+E384)*C384-G384)*'Assumptions and Catalog'!$H$54+'Assumptions and Catalog'!$E$54+'Assumptions and Catalog'!$F$54,IF(((D384+E384)*C384-G384)&lt;='Assumptions and Catalog'!$C$55,((D384+E384)*C384-G384)*'Assumptions and Catalog'!$H$55+'Assumptions and Catalog'!$E$55+'Assumptions and Catalog'!$F$55,IF(((D384+E384)*C384-G384)&lt;='Assumptions and Catalog'!$C$56,((D384+E384)*C384-G384)*'Assumptions and Catalog'!$H$56+'Assumptions and Catalog'!$E$56+'Assumptions and Catalog'!$F$56,IF(((D384+E384)*C384-G384)&lt;='Assumptions and Catalog'!$C$57,((D384+E384)*C384-G384)*'Assumptions and Catalog'!$H$57+'Assumptions and Catalog'!$E$57+'Assumptions and Catalog'!$F$57,"Out of range")))))))),IF(((D384+E384)*C384-G384)&lt;='Assumptions and Catalog'!$C$60,((D384+E384)*C384-G384)*'Assumptions and Catalog'!$H$60+'Assumptions and Catalog'!$E$60+'Assumptions and Catalog'!$F$60,IF(((D384+E384)*C384-G384)&lt;='Assumptions and Catalog'!$C$61,((D384+E384)*C384-G384)*'Assumptions and Catalog'!$H$61+'Assumptions and Catalog'!$E$61+'Assumptions and Catalog'!$F$61,IF(((D384+E384)*C384-G384)&lt;='Assumptions and Catalog'!$C$62,((D384+E384)*C384-G384)*'Assumptions and Catalog'!$H$62+'Assumptions and Catalog'!$E$62+'Assumptions and Catalog'!$F$62,IF(((D384+E384)*C384-G384)&lt;='Assumptions and Catalog'!$C$63,((D384+E384)*C384-G384)*'Assumptions and Catalog'!$H$63+'Assumptions and Catalog'!$E$63+'Assumptions and Catalog'!$F$63,IF(((D384+E384)*C384-G384)&lt;='Assumptions and Catalog'!$C$64,((D384+E384)*C384-G384)*'Assumptions and Catalog'!$H$64+'Assumptions and Catalog'!$E$64+'Assumptions and Catalog'!$F$64,IF(((D384+E384)*C384-G384)&lt;='Assumptions and Catalog'!$C$65,((D384+E384)*C384-G384)*'Assumptions and Catalog'!$H$65+'Assumptions and Catalog'!$E$65+'Assumptions and Catalog'!$F$65,"Out of range")))))))))*(1+'Assumptions and Catalog'!$C$8)^(A384-1),0)</f>
        <v>3567.397</v>
      </c>
      <c r="R384" s="5" t="n">
        <f>IF(AND('Assumptions and Catalog'!$C$19&gt;0,A384&gt;='Assumptions and Catalog'!$C$19),A384-'Assumptions and Catalog'!$C$19,A384-1)</f>
        <v>8</v>
      </c>
      <c r="S384" s="5" t="n">
        <f>F384+L384-(D384+E384)*C384-J384-K384-0</f>
        <v>0</v>
      </c>
      <c r="T384" s="5"/>
      <c r="U384" s="5"/>
    </row>
    <row r="385" ht="23.100000381469727" customHeight="1">
      <c r="A385" s="5" t="n">
        <v>19</v>
      </c>
      <c r="B385" s="5" t="n">
        <v>9</v>
      </c>
      <c r="C385" s="5" t="n">
        <f>DAY(DATE('Assumptions and Catalog'!$C$24+A385-1,B385+1,0))</f>
        <v>30</v>
      </c>
      <c r="D385" s="5" t="n">
        <f>IF(ISNUMBER(Inputs!$L$5),Inputs!$L$5*Inputs!$L$6,0)</f>
        <v>40.35</v>
      </c>
      <c r="E385" s="5" t="n">
        <f>IF(ISNUMBER(Inputs!$L$5),Inputs!$L$5-D385,0)</f>
        <v>40.35</v>
      </c>
      <c r="F385" s="5" t="n">
        <f>C$51*INDEX('Solar Production'!$D$20:$D$31,B385)*C385*(1-'Assumptions and Catalog'!$C$10)^(A385-1)</f>
        <v>1294.56541850264</v>
      </c>
      <c r="G385" s="5" t="n">
        <f>MIN(F385,D385*C385)</f>
        <v>1210.5</v>
      </c>
      <c r="H385" s="5" t="n">
        <f>I385/('Assumptions and Catalog'!$C$11*'Assumptions and Catalog'!$C$12)</f>
        <v>0</v>
      </c>
      <c r="I385" s="5" t="n">
        <f>0</f>
        <v>0</v>
      </c>
      <c r="J385" s="5" t="n">
        <f>MAX(F385-G385-H385,0)</f>
        <v>84.0654185026419</v>
      </c>
      <c r="K385" s="5" t="n">
        <f>H385-I385</f>
        <v>0</v>
      </c>
      <c r="L385" s="5" t="n">
        <f>(D385+E385)*C385-G385-I385+0+0</f>
        <v>1210.5</v>
      </c>
      <c r="M385" s="5" t="n">
        <f>IF(ISNUMBER(Inputs!$L$5),(IF(Inputs!$L$9="Actual flat rate",((D385+E385)*C385)*Inputs!$L$10,IF(Inputs!$C$9="Residential",IF(((D385+E385)*C385)&lt;='Assumptions and Catalog'!$C$50,((D385+E385)*C385)*'Assumptions and Catalog'!$H$50+'Assumptions and Catalog'!$E$50+'Assumptions and Catalog'!$F$50,IF(((D385+E385)*C385)&lt;='Assumptions and Catalog'!$C$51,((D385+E385)*C385)*'Assumptions and Catalog'!$H$51+'Assumptions and Catalog'!$E$51+'Assumptions and Catalog'!$F$51,IF(((D385+E385)*C385)&lt;='Assumptions and Catalog'!$C$52,((D385+E385)*C385)*'Assumptions and Catalog'!$H$52+'Assumptions and Catalog'!$E$52+'Assumptions and Catalog'!$F$52,IF(((D385+E385)*C385)&lt;='Assumptions and Catalog'!$C$53,((D385+E385)*C385)*'Assumptions and Catalog'!$H$53+'Assumptions and Catalog'!$E$53+'Assumptions and Catalog'!$F$53,IF(((D385+E385)*C385)&lt;='Assumptions and Catalog'!$C$54,((D385+E385)*C385)*'Assumptions and Catalog'!$H$54+'Assumptions and Catalog'!$E$54+'Assumptions and Catalog'!$F$54,IF(((D385+E385)*C385)&lt;='Assumptions and Catalog'!$C$55,((D385+E385)*C385)*'Assumptions and Catalog'!$H$55+'Assumptions and Catalog'!$E$55+'Assumptions and Catalog'!$F$55,IF(((D385+E385)*C385)&lt;='Assumptions and Catalog'!$C$56,((D385+E385)*C385)*'Assumptions and Catalog'!$H$56+'Assumptions and Catalog'!$E$56+'Assumptions and Catalog'!$F$56,IF(((D385+E385)*C385)&lt;='Assumptions and Catalog'!$C$57,((D385+E385)*C385)*'Assumptions and Catalog'!$H$57+'Assumptions and Catalog'!$E$57+'Assumptions and Catalog'!$F$57,"Out of range")))))))),IF(((D385+E385)*C385)&lt;='Assumptions and Catalog'!$C$60,((D385+E385)*C385)*'Assumptions and Catalog'!$H$60+'Assumptions and Catalog'!$E$60+'Assumptions and Catalog'!$F$60,IF(((D385+E385)*C385)&lt;='Assumptions and Catalog'!$C$61,((D385+E385)*C385)*'Assumptions and Catalog'!$H$61+'Assumptions and Catalog'!$E$61+'Assumptions and Catalog'!$F$61,IF(((D385+E385)*C385)&lt;='Assumptions and Catalog'!$C$62,((D385+E385)*C385)*'Assumptions and Catalog'!$H$62+'Assumptions and Catalog'!$E$62+'Assumptions and Catalog'!$F$62,IF(((D385+E385)*C385)&lt;='Assumptions and Catalog'!$C$63,((D385+E385)*C385)*'Assumptions and Catalog'!$H$63+'Assumptions and Catalog'!$E$63+'Assumptions and Catalog'!$F$63,IF(((D385+E385)*C385)&lt;='Assumptions and Catalog'!$C$64,((D385+E385)*C385)*'Assumptions and Catalog'!$H$64+'Assumptions and Catalog'!$E$64+'Assumptions and Catalog'!$F$64,IF(((D385+E385)*C385)&lt;='Assumptions and Catalog'!$C$65,((D385+E385)*C385)*'Assumptions and Catalog'!$H$65+'Assumptions and Catalog'!$E$65+'Assumptions and Catalog'!$F$65,"Out of range")))))))))*(1+'Assumptions and Catalog'!$C$8)^(A385-1),0)</f>
        <v>6867.22</v>
      </c>
      <c r="N385" s="5" t="n">
        <f>IF(ISNUMBER(Inputs!$L$5),(IF(Inputs!$L$9="Actual flat rate",L385*Inputs!$L$10,IF(Inputs!$C$9="Residential",IF(L385&lt;='Assumptions and Catalog'!$C$50,L385*'Assumptions and Catalog'!$H$50+'Assumptions and Catalog'!$E$50+'Assumptions and Catalog'!$F$50,IF(L385&lt;='Assumptions and Catalog'!$C$51,L385*'Assumptions and Catalog'!$H$51+'Assumptions and Catalog'!$E$51+'Assumptions and Catalog'!$F$51,IF(L385&lt;='Assumptions and Catalog'!$C$52,L385*'Assumptions and Catalog'!$H$52+'Assumptions and Catalog'!$E$52+'Assumptions and Catalog'!$F$52,IF(L385&lt;='Assumptions and Catalog'!$C$53,L385*'Assumptions and Catalog'!$H$53+'Assumptions and Catalog'!$E$53+'Assumptions and Catalog'!$F$53,IF(L385&lt;='Assumptions and Catalog'!$C$54,L385*'Assumptions and Catalog'!$H$54+'Assumptions and Catalog'!$E$54+'Assumptions and Catalog'!$F$54,IF(L385&lt;='Assumptions and Catalog'!$C$55,L385*'Assumptions and Catalog'!$H$55+'Assumptions and Catalog'!$E$55+'Assumptions and Catalog'!$F$55,IF(L385&lt;='Assumptions and Catalog'!$C$56,L385*'Assumptions and Catalog'!$H$56+'Assumptions and Catalog'!$E$56+'Assumptions and Catalog'!$F$56,IF(L385&lt;='Assumptions and Catalog'!$C$57,L385*'Assumptions and Catalog'!$H$57+'Assumptions and Catalog'!$E$57+'Assumptions and Catalog'!$F$57,"Out of range")))))))),IF(L385&lt;='Assumptions and Catalog'!$C$60,L385*'Assumptions and Catalog'!$H$60+'Assumptions and Catalog'!$E$60+'Assumptions and Catalog'!$F$60,IF(L385&lt;='Assumptions and Catalog'!$C$61,L385*'Assumptions and Catalog'!$H$61+'Assumptions and Catalog'!$E$61+'Assumptions and Catalog'!$F$61,IF(L385&lt;='Assumptions and Catalog'!$C$62,L385*'Assumptions and Catalog'!$H$62+'Assumptions and Catalog'!$E$62+'Assumptions and Catalog'!$F$62,IF(L385&lt;='Assumptions and Catalog'!$C$63,L385*'Assumptions and Catalog'!$H$63+'Assumptions and Catalog'!$E$63+'Assumptions and Catalog'!$F$63,IF(L385&lt;='Assumptions and Catalog'!$C$64,L385*'Assumptions and Catalog'!$H$64+'Assumptions and Catalog'!$E$64+'Assumptions and Catalog'!$F$64,IF(L385&lt;='Assumptions and Catalog'!$C$65,L385*'Assumptions and Catalog'!$H$65+'Assumptions and Catalog'!$E$65+'Assumptions and Catalog'!$F$65,"Out of range")))))))))*(1+'Assumptions and Catalog'!$C$8)^(A385-1),0)</f>
        <v>3453.61</v>
      </c>
      <c r="O385" s="5" t="n">
        <f>M385-N385</f>
        <v>3413.61</v>
      </c>
      <c r="P385" s="5" t="n">
        <f>C$55*(1-J$14)*(1-'Assumptions and Catalog'!$C$23)^R385</f>
        <v>0</v>
      </c>
      <c r="Q385" s="5" t="n">
        <f>IF(ISNUMBER(Inputs!$L$5),(IF(Inputs!$L$9="Actual flat rate",((D385+E385)*C385-G385)*Inputs!$L$10,IF(Inputs!$C$9="Residential",IF(((D385+E385)*C385-G385)&lt;='Assumptions and Catalog'!$C$50,((D385+E385)*C385-G385)*'Assumptions and Catalog'!$H$50+'Assumptions and Catalog'!$E$50+'Assumptions and Catalog'!$F$50,IF(((D385+E385)*C385-G385)&lt;='Assumptions and Catalog'!$C$51,((D385+E385)*C385-G385)*'Assumptions and Catalog'!$H$51+'Assumptions and Catalog'!$E$51+'Assumptions and Catalog'!$F$51,IF(((D385+E385)*C385-G385)&lt;='Assumptions and Catalog'!$C$52,((D385+E385)*C385-G385)*'Assumptions and Catalog'!$H$52+'Assumptions and Catalog'!$E$52+'Assumptions and Catalog'!$F$52,IF(((D385+E385)*C385-G385)&lt;='Assumptions and Catalog'!$C$53,((D385+E385)*C385-G385)*'Assumptions and Catalog'!$H$53+'Assumptions and Catalog'!$E$53+'Assumptions and Catalog'!$F$53,IF(((D385+E385)*C385-G385)&lt;='Assumptions and Catalog'!$C$54,((D385+E385)*C385-G385)*'Assumptions and Catalog'!$H$54+'Assumptions and Catalog'!$E$54+'Assumptions and Catalog'!$F$54,IF(((D385+E385)*C385-G385)&lt;='Assumptions and Catalog'!$C$55,((D385+E385)*C385-G385)*'Assumptions and Catalog'!$H$55+'Assumptions and Catalog'!$E$55+'Assumptions and Catalog'!$F$55,IF(((D385+E385)*C385-G385)&lt;='Assumptions and Catalog'!$C$56,((D385+E385)*C385-G385)*'Assumptions and Catalog'!$H$56+'Assumptions and Catalog'!$E$56+'Assumptions and Catalog'!$F$56,IF(((D385+E385)*C385-G385)&lt;='Assumptions and Catalog'!$C$57,((D385+E385)*C385-G385)*'Assumptions and Catalog'!$H$57+'Assumptions and Catalog'!$E$57+'Assumptions and Catalog'!$F$57,"Out of range")))))))),IF(((D385+E385)*C385-G385)&lt;='Assumptions and Catalog'!$C$60,((D385+E385)*C385-G385)*'Assumptions and Catalog'!$H$60+'Assumptions and Catalog'!$E$60+'Assumptions and Catalog'!$F$60,IF(((D385+E385)*C385-G385)&lt;='Assumptions and Catalog'!$C$61,((D385+E385)*C385-G385)*'Assumptions and Catalog'!$H$61+'Assumptions and Catalog'!$E$61+'Assumptions and Catalog'!$F$61,IF(((D385+E385)*C385-G385)&lt;='Assumptions and Catalog'!$C$62,((D385+E385)*C385-G385)*'Assumptions and Catalog'!$H$62+'Assumptions and Catalog'!$E$62+'Assumptions and Catalog'!$F$62,IF(((D385+E385)*C385-G385)&lt;='Assumptions and Catalog'!$C$63,((D385+E385)*C385-G385)*'Assumptions and Catalog'!$H$63+'Assumptions and Catalog'!$E$63+'Assumptions and Catalog'!$F$63,IF(((D385+E385)*C385-G385)&lt;='Assumptions and Catalog'!$C$64,((D385+E385)*C385-G385)*'Assumptions and Catalog'!$H$64+'Assumptions and Catalog'!$E$64+'Assumptions and Catalog'!$F$64,IF(((D385+E385)*C385-G385)&lt;='Assumptions and Catalog'!$C$65,((D385+E385)*C385-G385)*'Assumptions and Catalog'!$H$65+'Assumptions and Catalog'!$E$65+'Assumptions and Catalog'!$F$65,"Out of range")))))))))*(1+'Assumptions and Catalog'!$C$8)^(A385-1),0)</f>
        <v>3453.61</v>
      </c>
      <c r="R385" s="5" t="n">
        <f>IF(AND('Assumptions and Catalog'!$C$19&gt;0,A385&gt;='Assumptions and Catalog'!$C$19),A385-'Assumptions and Catalog'!$C$19,A385-1)</f>
        <v>8</v>
      </c>
      <c r="S385" s="5" t="n">
        <f>F385+L385-(D385+E385)*C385-J385-K385-0</f>
        <v>0</v>
      </c>
      <c r="T385" s="5"/>
      <c r="U385" s="5"/>
    </row>
    <row r="386" ht="23.100000381469727" customHeight="1">
      <c r="A386" s="5" t="n">
        <v>19</v>
      </c>
      <c r="B386" s="5" t="n">
        <v>10</v>
      </c>
      <c r="C386" s="5" t="n">
        <f>DAY(DATE('Assumptions and Catalog'!$C$24+A386-1,B386+1,0))</f>
        <v>31</v>
      </c>
      <c r="D386" s="5" t="n">
        <f>IF(ISNUMBER(Inputs!$L$5),Inputs!$L$5*Inputs!$L$6,0)</f>
        <v>40.35</v>
      </c>
      <c r="E386" s="5" t="n">
        <f>IF(ISNUMBER(Inputs!$L$5),Inputs!$L$5-D386,0)</f>
        <v>40.35</v>
      </c>
      <c r="F386" s="5" t="n">
        <f>C$51*INDEX('Solar Production'!$D$20:$D$31,B386)*C386*(1-'Assumptions and Catalog'!$C$10)^(A386-1)</f>
        <v>1242.54157839263</v>
      </c>
      <c r="G386" s="5" t="n">
        <f>MIN(F386,D386*C386)</f>
        <v>1242.54157839263</v>
      </c>
      <c r="H386" s="5" t="n">
        <f>I386/('Assumptions and Catalog'!$C$11*'Assumptions and Catalog'!$C$12)</f>
        <v>0</v>
      </c>
      <c r="I386" s="5" t="n">
        <f>0</f>
        <v>0</v>
      </c>
      <c r="J386" s="5" t="n">
        <f>MAX(F386-G386-H386,0)</f>
        <v>0</v>
      </c>
      <c r="K386" s="5" t="n">
        <f>H386-I386</f>
        <v>0</v>
      </c>
      <c r="L386" s="5" t="n">
        <f>(D386+E386)*C386-G386-I386+0+0</f>
        <v>1259.15842160737</v>
      </c>
      <c r="M386" s="5" t="n">
        <f>IF(ISNUMBER(Inputs!$L$5),(IF(Inputs!$L$9="Actual flat rate",((D386+E386)*C386)*Inputs!$L$10,IF(Inputs!$C$9="Residential",IF(((D386+E386)*C386)&lt;='Assumptions and Catalog'!$C$50,((D386+E386)*C386)*'Assumptions and Catalog'!$H$50+'Assumptions and Catalog'!$E$50+'Assumptions and Catalog'!$F$50,IF(((D386+E386)*C386)&lt;='Assumptions and Catalog'!$C$51,((D386+E386)*C386)*'Assumptions and Catalog'!$H$51+'Assumptions and Catalog'!$E$51+'Assumptions and Catalog'!$F$51,IF(((D386+E386)*C386)&lt;='Assumptions and Catalog'!$C$52,((D386+E386)*C386)*'Assumptions and Catalog'!$H$52+'Assumptions and Catalog'!$E$52+'Assumptions and Catalog'!$F$52,IF(((D386+E386)*C386)&lt;='Assumptions and Catalog'!$C$53,((D386+E386)*C386)*'Assumptions and Catalog'!$H$53+'Assumptions and Catalog'!$E$53+'Assumptions and Catalog'!$F$53,IF(((D386+E386)*C386)&lt;='Assumptions and Catalog'!$C$54,((D386+E386)*C386)*'Assumptions and Catalog'!$H$54+'Assumptions and Catalog'!$E$54+'Assumptions and Catalog'!$F$54,IF(((D386+E386)*C386)&lt;='Assumptions and Catalog'!$C$55,((D386+E386)*C386)*'Assumptions and Catalog'!$H$55+'Assumptions and Catalog'!$E$55+'Assumptions and Catalog'!$F$55,IF(((D386+E386)*C386)&lt;='Assumptions and Catalog'!$C$56,((D386+E386)*C386)*'Assumptions and Catalog'!$H$56+'Assumptions and Catalog'!$E$56+'Assumptions and Catalog'!$F$56,IF(((D386+E386)*C386)&lt;='Assumptions and Catalog'!$C$57,((D386+E386)*C386)*'Assumptions and Catalog'!$H$57+'Assumptions and Catalog'!$E$57+'Assumptions and Catalog'!$F$57,"Out of range")))))))),IF(((D386+E386)*C386)&lt;='Assumptions and Catalog'!$C$60,((D386+E386)*C386)*'Assumptions and Catalog'!$H$60+'Assumptions and Catalog'!$E$60+'Assumptions and Catalog'!$F$60,IF(((D386+E386)*C386)&lt;='Assumptions and Catalog'!$C$61,((D386+E386)*C386)*'Assumptions and Catalog'!$H$61+'Assumptions and Catalog'!$E$61+'Assumptions and Catalog'!$F$61,IF(((D386+E386)*C386)&lt;='Assumptions and Catalog'!$C$62,((D386+E386)*C386)*'Assumptions and Catalog'!$H$62+'Assumptions and Catalog'!$E$62+'Assumptions and Catalog'!$F$62,IF(((D386+E386)*C386)&lt;='Assumptions and Catalog'!$C$63,((D386+E386)*C386)*'Assumptions and Catalog'!$H$63+'Assumptions and Catalog'!$E$63+'Assumptions and Catalog'!$F$63,IF(((D386+E386)*C386)&lt;='Assumptions and Catalog'!$C$64,((D386+E386)*C386)*'Assumptions and Catalog'!$H$64+'Assumptions and Catalog'!$E$64+'Assumptions and Catalog'!$F$64,IF(((D386+E386)*C386)&lt;='Assumptions and Catalog'!$C$65,((D386+E386)*C386)*'Assumptions and Catalog'!$H$65+'Assumptions and Catalog'!$E$65+'Assumptions and Catalog'!$F$65,"Out of range")))))))))*(1+'Assumptions and Catalog'!$C$8)^(A386-1),0)</f>
        <v>7094.794</v>
      </c>
      <c r="N386" s="5" t="n">
        <f>IF(ISNUMBER(Inputs!$L$5),(IF(Inputs!$L$9="Actual flat rate",L386*Inputs!$L$10,IF(Inputs!$C$9="Residential",IF(L386&lt;='Assumptions and Catalog'!$C$50,L386*'Assumptions and Catalog'!$H$50+'Assumptions and Catalog'!$E$50+'Assumptions and Catalog'!$F$50,IF(L386&lt;='Assumptions and Catalog'!$C$51,L386*'Assumptions and Catalog'!$H$51+'Assumptions and Catalog'!$E$51+'Assumptions and Catalog'!$F$51,IF(L386&lt;='Assumptions and Catalog'!$C$52,L386*'Assumptions and Catalog'!$H$52+'Assumptions and Catalog'!$E$52+'Assumptions and Catalog'!$F$52,IF(L386&lt;='Assumptions and Catalog'!$C$53,L386*'Assumptions and Catalog'!$H$53+'Assumptions and Catalog'!$E$53+'Assumptions and Catalog'!$F$53,IF(L386&lt;='Assumptions and Catalog'!$C$54,L386*'Assumptions and Catalog'!$H$54+'Assumptions and Catalog'!$E$54+'Assumptions and Catalog'!$F$54,IF(L386&lt;='Assumptions and Catalog'!$C$55,L386*'Assumptions and Catalog'!$H$55+'Assumptions and Catalog'!$E$55+'Assumptions and Catalog'!$F$55,IF(L386&lt;='Assumptions and Catalog'!$C$56,L386*'Assumptions and Catalog'!$H$56+'Assumptions and Catalog'!$E$56+'Assumptions and Catalog'!$F$56,IF(L386&lt;='Assumptions and Catalog'!$C$57,L386*'Assumptions and Catalog'!$H$57+'Assumptions and Catalog'!$E$57+'Assumptions and Catalog'!$F$57,"Out of range")))))))),IF(L386&lt;='Assumptions and Catalog'!$C$60,L386*'Assumptions and Catalog'!$H$60+'Assumptions and Catalog'!$E$60+'Assumptions and Catalog'!$F$60,IF(L386&lt;='Assumptions and Catalog'!$C$61,L386*'Assumptions and Catalog'!$H$61+'Assumptions and Catalog'!$E$61+'Assumptions and Catalog'!$F$61,IF(L386&lt;='Assumptions and Catalog'!$C$62,L386*'Assumptions and Catalog'!$H$62+'Assumptions and Catalog'!$E$62+'Assumptions and Catalog'!$F$62,IF(L386&lt;='Assumptions and Catalog'!$C$63,L386*'Assumptions and Catalog'!$H$63+'Assumptions and Catalog'!$E$63+'Assumptions and Catalog'!$F$63,IF(L386&lt;='Assumptions and Catalog'!$C$64,L386*'Assumptions and Catalog'!$H$64+'Assumptions and Catalog'!$E$64+'Assumptions and Catalog'!$F$64,IF(L386&lt;='Assumptions and Catalog'!$C$65,L386*'Assumptions and Catalog'!$H$65+'Assumptions and Catalog'!$E$65+'Assumptions and Catalog'!$F$65,"Out of range")))))))))*(1+'Assumptions and Catalog'!$C$8)^(A386-1),0)</f>
        <v>3590.82674893279</v>
      </c>
      <c r="O386" s="5" t="n">
        <f>M386-N386</f>
        <v>3503.96725106721</v>
      </c>
      <c r="P386" s="5" t="n">
        <f>C$55*(1-J$14)*(1-'Assumptions and Catalog'!$C$23)^R386</f>
        <v>0</v>
      </c>
      <c r="Q386" s="5" t="n">
        <f>IF(ISNUMBER(Inputs!$L$5),(IF(Inputs!$L$9="Actual flat rate",((D386+E386)*C386-G386)*Inputs!$L$10,IF(Inputs!$C$9="Residential",IF(((D386+E386)*C386-G386)&lt;='Assumptions and Catalog'!$C$50,((D386+E386)*C386-G386)*'Assumptions and Catalog'!$H$50+'Assumptions and Catalog'!$E$50+'Assumptions and Catalog'!$F$50,IF(((D386+E386)*C386-G386)&lt;='Assumptions and Catalog'!$C$51,((D386+E386)*C386-G386)*'Assumptions and Catalog'!$H$51+'Assumptions and Catalog'!$E$51+'Assumptions and Catalog'!$F$51,IF(((D386+E386)*C386-G386)&lt;='Assumptions and Catalog'!$C$52,((D386+E386)*C386-G386)*'Assumptions and Catalog'!$H$52+'Assumptions and Catalog'!$E$52+'Assumptions and Catalog'!$F$52,IF(((D386+E386)*C386-G386)&lt;='Assumptions and Catalog'!$C$53,((D386+E386)*C386-G386)*'Assumptions and Catalog'!$H$53+'Assumptions and Catalog'!$E$53+'Assumptions and Catalog'!$F$53,IF(((D386+E386)*C386-G386)&lt;='Assumptions and Catalog'!$C$54,((D386+E386)*C386-G386)*'Assumptions and Catalog'!$H$54+'Assumptions and Catalog'!$E$54+'Assumptions and Catalog'!$F$54,IF(((D386+E386)*C386-G386)&lt;='Assumptions and Catalog'!$C$55,((D386+E386)*C386-G386)*'Assumptions and Catalog'!$H$55+'Assumptions and Catalog'!$E$55+'Assumptions and Catalog'!$F$55,IF(((D386+E386)*C386-G386)&lt;='Assumptions and Catalog'!$C$56,((D386+E386)*C386-G386)*'Assumptions and Catalog'!$H$56+'Assumptions and Catalog'!$E$56+'Assumptions and Catalog'!$F$56,IF(((D386+E386)*C386-G386)&lt;='Assumptions and Catalog'!$C$57,((D386+E386)*C386-G386)*'Assumptions and Catalog'!$H$57+'Assumptions and Catalog'!$E$57+'Assumptions and Catalog'!$F$57,"Out of range")))))))),IF(((D386+E386)*C386-G386)&lt;='Assumptions and Catalog'!$C$60,((D386+E386)*C386-G386)*'Assumptions and Catalog'!$H$60+'Assumptions and Catalog'!$E$60+'Assumptions and Catalog'!$F$60,IF(((D386+E386)*C386-G386)&lt;='Assumptions and Catalog'!$C$61,((D386+E386)*C386-G386)*'Assumptions and Catalog'!$H$61+'Assumptions and Catalog'!$E$61+'Assumptions and Catalog'!$F$61,IF(((D386+E386)*C386-G386)&lt;='Assumptions and Catalog'!$C$62,((D386+E386)*C386-G386)*'Assumptions and Catalog'!$H$62+'Assumptions and Catalog'!$E$62+'Assumptions and Catalog'!$F$62,IF(((D386+E386)*C386-G386)&lt;='Assumptions and Catalog'!$C$63,((D386+E386)*C386-G386)*'Assumptions and Catalog'!$H$63+'Assumptions and Catalog'!$E$63+'Assumptions and Catalog'!$F$63,IF(((D386+E386)*C386-G386)&lt;='Assumptions and Catalog'!$C$64,((D386+E386)*C386-G386)*'Assumptions and Catalog'!$H$64+'Assumptions and Catalog'!$E$64+'Assumptions and Catalog'!$F$64,IF(((D386+E386)*C386-G386)&lt;='Assumptions and Catalog'!$C$65,((D386+E386)*C386-G386)*'Assumptions and Catalog'!$H$65+'Assumptions and Catalog'!$E$65+'Assumptions and Catalog'!$F$65,"Out of range")))))))))*(1+'Assumptions and Catalog'!$C$8)^(A386-1),0)</f>
        <v>3590.82674893279</v>
      </c>
      <c r="R386" s="5" t="n">
        <f>IF(AND('Assumptions and Catalog'!$C$19&gt;0,A386&gt;='Assumptions and Catalog'!$C$19),A386-'Assumptions and Catalog'!$C$19,A386-1)</f>
        <v>8</v>
      </c>
      <c r="S386" s="5" t="n">
        <f>F386+L386-(D386+E386)*C386-J386-K386-0</f>
        <v>0</v>
      </c>
      <c r="T386" s="5"/>
      <c r="U386" s="5"/>
    </row>
    <row r="387" ht="23.100000381469727" customHeight="1">
      <c r="A387" s="5" t="n">
        <v>19</v>
      </c>
      <c r="B387" s="5" t="n">
        <v>11</v>
      </c>
      <c r="C387" s="5" t="n">
        <f>DAY(DATE('Assumptions and Catalog'!$C$24+A387-1,B387+1,0))</f>
        <v>30</v>
      </c>
      <c r="D387" s="5" t="n">
        <f>IF(ISNUMBER(Inputs!$L$5),Inputs!$L$5*Inputs!$L$6,0)</f>
        <v>40.35</v>
      </c>
      <c r="E387" s="5" t="n">
        <f>IF(ISNUMBER(Inputs!$L$5),Inputs!$L$5-D387,0)</f>
        <v>40.35</v>
      </c>
      <c r="F387" s="5" t="n">
        <f>C$51*INDEX('Solar Production'!$D$20:$D$31,B387)*C387*(1-'Assumptions and Catalog'!$C$10)^(A387-1)</f>
        <v>1101.34549920688</v>
      </c>
      <c r="G387" s="5" t="n">
        <f>MIN(F387,D387*C387)</f>
        <v>1101.34549920688</v>
      </c>
      <c r="H387" s="5" t="n">
        <f>I387/('Assumptions and Catalog'!$C$11*'Assumptions and Catalog'!$C$12)</f>
        <v>0</v>
      </c>
      <c r="I387" s="5" t="n">
        <f>0</f>
        <v>0</v>
      </c>
      <c r="J387" s="5" t="n">
        <f>MAX(F387-G387-H387,0)</f>
        <v>0</v>
      </c>
      <c r="K387" s="5" t="n">
        <f>H387-I387</f>
        <v>0</v>
      </c>
      <c r="L387" s="5" t="n">
        <f>(D387+E387)*C387-G387-I387+0+0</f>
        <v>1319.65450079312</v>
      </c>
      <c r="M387" s="5" t="n">
        <f>IF(ISNUMBER(Inputs!$L$5),(IF(Inputs!$L$9="Actual flat rate",((D387+E387)*C387)*Inputs!$L$10,IF(Inputs!$C$9="Residential",IF(((D387+E387)*C387)&lt;='Assumptions and Catalog'!$C$50,((D387+E387)*C387)*'Assumptions and Catalog'!$H$50+'Assumptions and Catalog'!$E$50+'Assumptions and Catalog'!$F$50,IF(((D387+E387)*C387)&lt;='Assumptions and Catalog'!$C$51,((D387+E387)*C387)*'Assumptions and Catalog'!$H$51+'Assumptions and Catalog'!$E$51+'Assumptions and Catalog'!$F$51,IF(((D387+E387)*C387)&lt;='Assumptions and Catalog'!$C$52,((D387+E387)*C387)*'Assumptions and Catalog'!$H$52+'Assumptions and Catalog'!$E$52+'Assumptions and Catalog'!$F$52,IF(((D387+E387)*C387)&lt;='Assumptions and Catalog'!$C$53,((D387+E387)*C387)*'Assumptions and Catalog'!$H$53+'Assumptions and Catalog'!$E$53+'Assumptions and Catalog'!$F$53,IF(((D387+E387)*C387)&lt;='Assumptions and Catalog'!$C$54,((D387+E387)*C387)*'Assumptions and Catalog'!$H$54+'Assumptions and Catalog'!$E$54+'Assumptions and Catalog'!$F$54,IF(((D387+E387)*C387)&lt;='Assumptions and Catalog'!$C$55,((D387+E387)*C387)*'Assumptions and Catalog'!$H$55+'Assumptions and Catalog'!$E$55+'Assumptions and Catalog'!$F$55,IF(((D387+E387)*C387)&lt;='Assumptions and Catalog'!$C$56,((D387+E387)*C387)*'Assumptions and Catalog'!$H$56+'Assumptions and Catalog'!$E$56+'Assumptions and Catalog'!$F$56,IF(((D387+E387)*C387)&lt;='Assumptions and Catalog'!$C$57,((D387+E387)*C387)*'Assumptions and Catalog'!$H$57+'Assumptions and Catalog'!$E$57+'Assumptions and Catalog'!$F$57,"Out of range")))))))),IF(((D387+E387)*C387)&lt;='Assumptions and Catalog'!$C$60,((D387+E387)*C387)*'Assumptions and Catalog'!$H$60+'Assumptions and Catalog'!$E$60+'Assumptions and Catalog'!$F$60,IF(((D387+E387)*C387)&lt;='Assumptions and Catalog'!$C$61,((D387+E387)*C387)*'Assumptions and Catalog'!$H$61+'Assumptions and Catalog'!$E$61+'Assumptions and Catalog'!$F$61,IF(((D387+E387)*C387)&lt;='Assumptions and Catalog'!$C$62,((D387+E387)*C387)*'Assumptions and Catalog'!$H$62+'Assumptions and Catalog'!$E$62+'Assumptions and Catalog'!$F$62,IF(((D387+E387)*C387)&lt;='Assumptions and Catalog'!$C$63,((D387+E387)*C387)*'Assumptions and Catalog'!$H$63+'Assumptions and Catalog'!$E$63+'Assumptions and Catalog'!$F$63,IF(((D387+E387)*C387)&lt;='Assumptions and Catalog'!$C$64,((D387+E387)*C387)*'Assumptions and Catalog'!$H$64+'Assumptions and Catalog'!$E$64+'Assumptions and Catalog'!$F$64,IF(((D387+E387)*C387)&lt;='Assumptions and Catalog'!$C$65,((D387+E387)*C387)*'Assumptions and Catalog'!$H$65+'Assumptions and Catalog'!$E$65+'Assumptions and Catalog'!$F$65,"Out of range")))))))))*(1+'Assumptions and Catalog'!$C$8)^(A387-1),0)</f>
        <v>6867.22</v>
      </c>
      <c r="N387" s="5" t="n">
        <f>IF(ISNUMBER(Inputs!$L$5),(IF(Inputs!$L$9="Actual flat rate",L387*Inputs!$L$10,IF(Inputs!$C$9="Residential",IF(L387&lt;='Assumptions and Catalog'!$C$50,L387*'Assumptions and Catalog'!$H$50+'Assumptions and Catalog'!$E$50+'Assumptions and Catalog'!$F$50,IF(L387&lt;='Assumptions and Catalog'!$C$51,L387*'Assumptions and Catalog'!$H$51+'Assumptions and Catalog'!$E$51+'Assumptions and Catalog'!$F$51,IF(L387&lt;='Assumptions and Catalog'!$C$52,L387*'Assumptions and Catalog'!$H$52+'Assumptions and Catalog'!$E$52+'Assumptions and Catalog'!$F$52,IF(L387&lt;='Assumptions and Catalog'!$C$53,L387*'Assumptions and Catalog'!$H$53+'Assumptions and Catalog'!$E$53+'Assumptions and Catalog'!$F$53,IF(L387&lt;='Assumptions and Catalog'!$C$54,L387*'Assumptions and Catalog'!$H$54+'Assumptions and Catalog'!$E$54+'Assumptions and Catalog'!$F$54,IF(L387&lt;='Assumptions and Catalog'!$C$55,L387*'Assumptions and Catalog'!$H$55+'Assumptions and Catalog'!$E$55+'Assumptions and Catalog'!$F$55,IF(L387&lt;='Assumptions and Catalog'!$C$56,L387*'Assumptions and Catalog'!$H$56+'Assumptions and Catalog'!$E$56+'Assumptions and Catalog'!$F$56,IF(L387&lt;='Assumptions and Catalog'!$C$57,L387*'Assumptions and Catalog'!$H$57+'Assumptions and Catalog'!$E$57+'Assumptions and Catalog'!$F$57,"Out of range")))))))),IF(L387&lt;='Assumptions and Catalog'!$C$60,L387*'Assumptions and Catalog'!$H$60+'Assumptions and Catalog'!$E$60+'Assumptions and Catalog'!$F$60,IF(L387&lt;='Assumptions and Catalog'!$C$61,L387*'Assumptions and Catalog'!$H$61+'Assumptions and Catalog'!$E$61+'Assumptions and Catalog'!$F$61,IF(L387&lt;='Assumptions and Catalog'!$C$62,L387*'Assumptions and Catalog'!$H$62+'Assumptions and Catalog'!$E$62+'Assumptions and Catalog'!$F$62,IF(L387&lt;='Assumptions and Catalog'!$C$63,L387*'Assumptions and Catalog'!$H$63+'Assumptions and Catalog'!$E$63+'Assumptions and Catalog'!$F$63,IF(L387&lt;='Assumptions and Catalog'!$C$64,L387*'Assumptions and Catalog'!$H$64+'Assumptions and Catalog'!$E$64+'Assumptions and Catalog'!$F$64,IF(L387&lt;='Assumptions and Catalog'!$C$65,L387*'Assumptions and Catalog'!$H$65+'Assumptions and Catalog'!$E$65+'Assumptions and Catalog'!$F$65,"Out of range")))))))))*(1+'Assumptions and Catalog'!$C$8)^(A387-1),0)</f>
        <v>3761.42569223661</v>
      </c>
      <c r="O387" s="5" t="n">
        <f>M387-N387</f>
        <v>3105.79430776339</v>
      </c>
      <c r="P387" s="5" t="n">
        <f>C$55*(1-J$14)*(1-'Assumptions and Catalog'!$C$23)^R387</f>
        <v>0</v>
      </c>
      <c r="Q387" s="5" t="n">
        <f>IF(ISNUMBER(Inputs!$L$5),(IF(Inputs!$L$9="Actual flat rate",((D387+E387)*C387-G387)*Inputs!$L$10,IF(Inputs!$C$9="Residential",IF(((D387+E387)*C387-G387)&lt;='Assumptions and Catalog'!$C$50,((D387+E387)*C387-G387)*'Assumptions and Catalog'!$H$50+'Assumptions and Catalog'!$E$50+'Assumptions and Catalog'!$F$50,IF(((D387+E387)*C387-G387)&lt;='Assumptions and Catalog'!$C$51,((D387+E387)*C387-G387)*'Assumptions and Catalog'!$H$51+'Assumptions and Catalog'!$E$51+'Assumptions and Catalog'!$F$51,IF(((D387+E387)*C387-G387)&lt;='Assumptions and Catalog'!$C$52,((D387+E387)*C387-G387)*'Assumptions and Catalog'!$H$52+'Assumptions and Catalog'!$E$52+'Assumptions and Catalog'!$F$52,IF(((D387+E387)*C387-G387)&lt;='Assumptions and Catalog'!$C$53,((D387+E387)*C387-G387)*'Assumptions and Catalog'!$H$53+'Assumptions and Catalog'!$E$53+'Assumptions and Catalog'!$F$53,IF(((D387+E387)*C387-G387)&lt;='Assumptions and Catalog'!$C$54,((D387+E387)*C387-G387)*'Assumptions and Catalog'!$H$54+'Assumptions and Catalog'!$E$54+'Assumptions and Catalog'!$F$54,IF(((D387+E387)*C387-G387)&lt;='Assumptions and Catalog'!$C$55,((D387+E387)*C387-G387)*'Assumptions and Catalog'!$H$55+'Assumptions and Catalog'!$E$55+'Assumptions and Catalog'!$F$55,IF(((D387+E387)*C387-G387)&lt;='Assumptions and Catalog'!$C$56,((D387+E387)*C387-G387)*'Assumptions and Catalog'!$H$56+'Assumptions and Catalog'!$E$56+'Assumptions and Catalog'!$F$56,IF(((D387+E387)*C387-G387)&lt;='Assumptions and Catalog'!$C$57,((D387+E387)*C387-G387)*'Assumptions and Catalog'!$H$57+'Assumptions and Catalog'!$E$57+'Assumptions and Catalog'!$F$57,"Out of range")))))))),IF(((D387+E387)*C387-G387)&lt;='Assumptions and Catalog'!$C$60,((D387+E387)*C387-G387)*'Assumptions and Catalog'!$H$60+'Assumptions and Catalog'!$E$60+'Assumptions and Catalog'!$F$60,IF(((D387+E387)*C387-G387)&lt;='Assumptions and Catalog'!$C$61,((D387+E387)*C387-G387)*'Assumptions and Catalog'!$H$61+'Assumptions and Catalog'!$E$61+'Assumptions and Catalog'!$F$61,IF(((D387+E387)*C387-G387)&lt;='Assumptions and Catalog'!$C$62,((D387+E387)*C387-G387)*'Assumptions and Catalog'!$H$62+'Assumptions and Catalog'!$E$62+'Assumptions and Catalog'!$F$62,IF(((D387+E387)*C387-G387)&lt;='Assumptions and Catalog'!$C$63,((D387+E387)*C387-G387)*'Assumptions and Catalog'!$H$63+'Assumptions and Catalog'!$E$63+'Assumptions and Catalog'!$F$63,IF(((D387+E387)*C387-G387)&lt;='Assumptions and Catalog'!$C$64,((D387+E387)*C387-G387)*'Assumptions and Catalog'!$H$64+'Assumptions and Catalog'!$E$64+'Assumptions and Catalog'!$F$64,IF(((D387+E387)*C387-G387)&lt;='Assumptions and Catalog'!$C$65,((D387+E387)*C387-G387)*'Assumptions and Catalog'!$H$65+'Assumptions and Catalog'!$E$65+'Assumptions and Catalog'!$F$65,"Out of range")))))))))*(1+'Assumptions and Catalog'!$C$8)^(A387-1),0)</f>
        <v>3761.42569223661</v>
      </c>
      <c r="R387" s="5" t="n">
        <f>IF(AND('Assumptions and Catalog'!$C$19&gt;0,A387&gt;='Assumptions and Catalog'!$C$19),A387-'Assumptions and Catalog'!$C$19,A387-1)</f>
        <v>8</v>
      </c>
      <c r="S387" s="5" t="n">
        <f>F387+L387-(D387+E387)*C387-J387-K387-0</f>
        <v>0</v>
      </c>
      <c r="T387" s="5"/>
      <c r="U387" s="5"/>
    </row>
    <row r="388" ht="23.100000381469727" customHeight="1">
      <c r="A388" s="5" t="n">
        <v>19</v>
      </c>
      <c r="B388" s="5" t="n">
        <v>12</v>
      </c>
      <c r="C388" s="5" t="n">
        <f>DAY(DATE('Assumptions and Catalog'!$C$24+A388-1,B388+1,0))</f>
        <v>31</v>
      </c>
      <c r="D388" s="5" t="n">
        <f>IF(ISNUMBER(Inputs!$L$5),Inputs!$L$5*Inputs!$L$6,0)</f>
        <v>40.35</v>
      </c>
      <c r="E388" s="5" t="n">
        <f>IF(ISNUMBER(Inputs!$L$5),Inputs!$L$5-D388,0)</f>
        <v>40.35</v>
      </c>
      <c r="F388" s="5" t="n">
        <f>C$51*INDEX('Solar Production'!$D$20:$D$31,B388)*C388*(1-'Assumptions and Catalog'!$C$10)^(A388-1)</f>
        <v>1048.51758119717</v>
      </c>
      <c r="G388" s="5" t="n">
        <f>MIN(F388,D388*C388)</f>
        <v>1048.51758119717</v>
      </c>
      <c r="H388" s="5" t="n">
        <f>I388/('Assumptions and Catalog'!$C$11*'Assumptions and Catalog'!$C$12)</f>
        <v>0</v>
      </c>
      <c r="I388" s="5" t="n">
        <f>0</f>
        <v>0</v>
      </c>
      <c r="J388" s="5" t="n">
        <f>MAX(F388-G388-H388,0)</f>
        <v>0</v>
      </c>
      <c r="K388" s="5" t="n">
        <f>H388-I388</f>
        <v>0</v>
      </c>
      <c r="L388" s="5" t="n">
        <f>(D388+E388)*C388-G388-I388+0+0</f>
        <v>1453.18241880283</v>
      </c>
      <c r="M388" s="5" t="n">
        <f>IF(ISNUMBER(Inputs!$L$5),(IF(Inputs!$L$9="Actual flat rate",((D388+E388)*C388)*Inputs!$L$10,IF(Inputs!$C$9="Residential",IF(((D388+E388)*C388)&lt;='Assumptions and Catalog'!$C$50,((D388+E388)*C388)*'Assumptions and Catalog'!$H$50+'Assumptions and Catalog'!$E$50+'Assumptions and Catalog'!$F$50,IF(((D388+E388)*C388)&lt;='Assumptions and Catalog'!$C$51,((D388+E388)*C388)*'Assumptions and Catalog'!$H$51+'Assumptions and Catalog'!$E$51+'Assumptions and Catalog'!$F$51,IF(((D388+E388)*C388)&lt;='Assumptions and Catalog'!$C$52,((D388+E388)*C388)*'Assumptions and Catalog'!$H$52+'Assumptions and Catalog'!$E$52+'Assumptions and Catalog'!$F$52,IF(((D388+E388)*C388)&lt;='Assumptions and Catalog'!$C$53,((D388+E388)*C388)*'Assumptions and Catalog'!$H$53+'Assumptions and Catalog'!$E$53+'Assumptions and Catalog'!$F$53,IF(((D388+E388)*C388)&lt;='Assumptions and Catalog'!$C$54,((D388+E388)*C388)*'Assumptions and Catalog'!$H$54+'Assumptions and Catalog'!$E$54+'Assumptions and Catalog'!$F$54,IF(((D388+E388)*C388)&lt;='Assumptions and Catalog'!$C$55,((D388+E388)*C388)*'Assumptions and Catalog'!$H$55+'Assumptions and Catalog'!$E$55+'Assumptions and Catalog'!$F$55,IF(((D388+E388)*C388)&lt;='Assumptions and Catalog'!$C$56,((D388+E388)*C388)*'Assumptions and Catalog'!$H$56+'Assumptions and Catalog'!$E$56+'Assumptions and Catalog'!$F$56,IF(((D388+E388)*C388)&lt;='Assumptions and Catalog'!$C$57,((D388+E388)*C388)*'Assumptions and Catalog'!$H$57+'Assumptions and Catalog'!$E$57+'Assumptions and Catalog'!$F$57,"Out of range")))))))),IF(((D388+E388)*C388)&lt;='Assumptions and Catalog'!$C$60,((D388+E388)*C388)*'Assumptions and Catalog'!$H$60+'Assumptions and Catalog'!$E$60+'Assumptions and Catalog'!$F$60,IF(((D388+E388)*C388)&lt;='Assumptions and Catalog'!$C$61,((D388+E388)*C388)*'Assumptions and Catalog'!$H$61+'Assumptions and Catalog'!$E$61+'Assumptions and Catalog'!$F$61,IF(((D388+E388)*C388)&lt;='Assumptions and Catalog'!$C$62,((D388+E388)*C388)*'Assumptions and Catalog'!$H$62+'Assumptions and Catalog'!$E$62+'Assumptions and Catalog'!$F$62,IF(((D388+E388)*C388)&lt;='Assumptions and Catalog'!$C$63,((D388+E388)*C388)*'Assumptions and Catalog'!$H$63+'Assumptions and Catalog'!$E$63+'Assumptions and Catalog'!$F$63,IF(((D388+E388)*C388)&lt;='Assumptions and Catalog'!$C$64,((D388+E388)*C388)*'Assumptions and Catalog'!$H$64+'Assumptions and Catalog'!$E$64+'Assumptions and Catalog'!$F$64,IF(((D388+E388)*C388)&lt;='Assumptions and Catalog'!$C$65,((D388+E388)*C388)*'Assumptions and Catalog'!$H$65+'Assumptions and Catalog'!$E$65+'Assumptions and Catalog'!$F$65,"Out of range")))))))))*(1+'Assumptions and Catalog'!$C$8)^(A388-1),0)</f>
        <v>7094.794</v>
      </c>
      <c r="N388" s="5" t="n">
        <f>IF(ISNUMBER(Inputs!$L$5),(IF(Inputs!$L$9="Actual flat rate",L388*Inputs!$L$10,IF(Inputs!$C$9="Residential",IF(L388&lt;='Assumptions and Catalog'!$C$50,L388*'Assumptions and Catalog'!$H$50+'Assumptions and Catalog'!$E$50+'Assumptions and Catalog'!$F$50,IF(L388&lt;='Assumptions and Catalog'!$C$51,L388*'Assumptions and Catalog'!$H$51+'Assumptions and Catalog'!$E$51+'Assumptions and Catalog'!$F$51,IF(L388&lt;='Assumptions and Catalog'!$C$52,L388*'Assumptions and Catalog'!$H$52+'Assumptions and Catalog'!$E$52+'Assumptions and Catalog'!$F$52,IF(L388&lt;='Assumptions and Catalog'!$C$53,L388*'Assumptions and Catalog'!$H$53+'Assumptions and Catalog'!$E$53+'Assumptions and Catalog'!$F$53,IF(L388&lt;='Assumptions and Catalog'!$C$54,L388*'Assumptions and Catalog'!$H$54+'Assumptions and Catalog'!$E$54+'Assumptions and Catalog'!$F$54,IF(L388&lt;='Assumptions and Catalog'!$C$55,L388*'Assumptions and Catalog'!$H$55+'Assumptions and Catalog'!$E$55+'Assumptions and Catalog'!$F$55,IF(L388&lt;='Assumptions and Catalog'!$C$56,L388*'Assumptions and Catalog'!$H$56+'Assumptions and Catalog'!$E$56+'Assumptions and Catalog'!$F$56,IF(L388&lt;='Assumptions and Catalog'!$C$57,L388*'Assumptions and Catalog'!$H$57+'Assumptions and Catalog'!$E$57+'Assumptions and Catalog'!$F$57,"Out of range")))))))),IF(L388&lt;='Assumptions and Catalog'!$C$60,L388*'Assumptions and Catalog'!$H$60+'Assumptions and Catalog'!$E$60+'Assumptions and Catalog'!$F$60,IF(L388&lt;='Assumptions and Catalog'!$C$61,L388*'Assumptions and Catalog'!$H$61+'Assumptions and Catalog'!$E$61+'Assumptions and Catalog'!$F$61,IF(L388&lt;='Assumptions and Catalog'!$C$62,L388*'Assumptions and Catalog'!$H$62+'Assumptions and Catalog'!$E$62+'Assumptions and Catalog'!$F$62,IF(L388&lt;='Assumptions and Catalog'!$C$63,L388*'Assumptions and Catalog'!$H$63+'Assumptions and Catalog'!$E$63+'Assumptions and Catalog'!$F$63,IF(L388&lt;='Assumptions and Catalog'!$C$64,L388*'Assumptions and Catalog'!$H$64+'Assumptions and Catalog'!$E$64+'Assumptions and Catalog'!$F$64,IF(L388&lt;='Assumptions and Catalog'!$C$65,L388*'Assumptions and Catalog'!$H$65+'Assumptions and Catalog'!$E$65+'Assumptions and Catalog'!$F$65,"Out of range")))))))))*(1+'Assumptions and Catalog'!$C$8)^(A388-1),0)</f>
        <v>4137.97442102398</v>
      </c>
      <c r="O388" s="5" t="n">
        <f>M388-N388</f>
        <v>2956.81957897602</v>
      </c>
      <c r="P388" s="5" t="n">
        <f>C$55*(1-J$14)*(1-'Assumptions and Catalog'!$C$23)^R388</f>
        <v>0</v>
      </c>
      <c r="Q388" s="5" t="n">
        <f>IF(ISNUMBER(Inputs!$L$5),(IF(Inputs!$L$9="Actual flat rate",((D388+E388)*C388-G388)*Inputs!$L$10,IF(Inputs!$C$9="Residential",IF(((D388+E388)*C388-G388)&lt;='Assumptions and Catalog'!$C$50,((D388+E388)*C388-G388)*'Assumptions and Catalog'!$H$50+'Assumptions and Catalog'!$E$50+'Assumptions and Catalog'!$F$50,IF(((D388+E388)*C388-G388)&lt;='Assumptions and Catalog'!$C$51,((D388+E388)*C388-G388)*'Assumptions and Catalog'!$H$51+'Assumptions and Catalog'!$E$51+'Assumptions and Catalog'!$F$51,IF(((D388+E388)*C388-G388)&lt;='Assumptions and Catalog'!$C$52,((D388+E388)*C388-G388)*'Assumptions and Catalog'!$H$52+'Assumptions and Catalog'!$E$52+'Assumptions and Catalog'!$F$52,IF(((D388+E388)*C388-G388)&lt;='Assumptions and Catalog'!$C$53,((D388+E388)*C388-G388)*'Assumptions and Catalog'!$H$53+'Assumptions and Catalog'!$E$53+'Assumptions and Catalog'!$F$53,IF(((D388+E388)*C388-G388)&lt;='Assumptions and Catalog'!$C$54,((D388+E388)*C388-G388)*'Assumptions and Catalog'!$H$54+'Assumptions and Catalog'!$E$54+'Assumptions and Catalog'!$F$54,IF(((D388+E388)*C388-G388)&lt;='Assumptions and Catalog'!$C$55,((D388+E388)*C388-G388)*'Assumptions and Catalog'!$H$55+'Assumptions and Catalog'!$E$55+'Assumptions and Catalog'!$F$55,IF(((D388+E388)*C388-G388)&lt;='Assumptions and Catalog'!$C$56,((D388+E388)*C388-G388)*'Assumptions and Catalog'!$H$56+'Assumptions and Catalog'!$E$56+'Assumptions and Catalog'!$F$56,IF(((D388+E388)*C388-G388)&lt;='Assumptions and Catalog'!$C$57,((D388+E388)*C388-G388)*'Assumptions and Catalog'!$H$57+'Assumptions and Catalog'!$E$57+'Assumptions and Catalog'!$F$57,"Out of range")))))))),IF(((D388+E388)*C388-G388)&lt;='Assumptions and Catalog'!$C$60,((D388+E388)*C388-G388)*'Assumptions and Catalog'!$H$60+'Assumptions and Catalog'!$E$60+'Assumptions and Catalog'!$F$60,IF(((D388+E388)*C388-G388)&lt;='Assumptions and Catalog'!$C$61,((D388+E388)*C388-G388)*'Assumptions and Catalog'!$H$61+'Assumptions and Catalog'!$E$61+'Assumptions and Catalog'!$F$61,IF(((D388+E388)*C388-G388)&lt;='Assumptions and Catalog'!$C$62,((D388+E388)*C388-G388)*'Assumptions and Catalog'!$H$62+'Assumptions and Catalog'!$E$62+'Assumptions and Catalog'!$F$62,IF(((D388+E388)*C388-G388)&lt;='Assumptions and Catalog'!$C$63,((D388+E388)*C388-G388)*'Assumptions and Catalog'!$H$63+'Assumptions and Catalog'!$E$63+'Assumptions and Catalog'!$F$63,IF(((D388+E388)*C388-G388)&lt;='Assumptions and Catalog'!$C$64,((D388+E388)*C388-G388)*'Assumptions and Catalog'!$H$64+'Assumptions and Catalog'!$E$64+'Assumptions and Catalog'!$F$64,IF(((D388+E388)*C388-G388)&lt;='Assumptions and Catalog'!$C$65,((D388+E388)*C388-G388)*'Assumptions and Catalog'!$H$65+'Assumptions and Catalog'!$E$65+'Assumptions and Catalog'!$F$65,"Out of range")))))))))*(1+'Assumptions and Catalog'!$C$8)^(A388-1),0)</f>
        <v>4137.97442102398</v>
      </c>
      <c r="R388" s="5" t="n">
        <f>IF(AND('Assumptions and Catalog'!$C$19&gt;0,A388&gt;='Assumptions and Catalog'!$C$19),A388-'Assumptions and Catalog'!$C$19,A388-1)</f>
        <v>8</v>
      </c>
      <c r="S388" s="5" t="n">
        <f>F388+L388-(D388+E388)*C388-J388-K388-0</f>
        <v>0</v>
      </c>
      <c r="T388" s="5"/>
      <c r="U388" s="5"/>
    </row>
    <row r="389" ht="23.100000381469727" customHeight="1">
      <c r="A389" s="5" t="n">
        <v>20</v>
      </c>
      <c r="B389" s="5" t="n">
        <v>1</v>
      </c>
      <c r="C389" s="5" t="n">
        <f>DAY(DATE('Assumptions and Catalog'!$C$24+A389-1,B389+1,0))</f>
        <v>31</v>
      </c>
      <c r="D389" s="5" t="n">
        <f>IF(ISNUMBER(Inputs!$L$5),Inputs!$L$5*Inputs!$L$6,0)</f>
        <v>40.35</v>
      </c>
      <c r="E389" s="5" t="n">
        <f>IF(ISNUMBER(Inputs!$L$5),Inputs!$L$5-D389,0)</f>
        <v>40.35</v>
      </c>
      <c r="F389" s="5" t="n">
        <f>C$51*INDEX('Solar Production'!$D$20:$D$31,B389)*C389*(1-'Assumptions and Catalog'!$C$10)^(A389-1)</f>
        <v>1050.47551088292</v>
      </c>
      <c r="G389" s="5" t="n">
        <f>MIN(F389,D389*C389)</f>
        <v>1050.47551088292</v>
      </c>
      <c r="H389" s="5" t="n">
        <f>I389/('Assumptions and Catalog'!$C$11*'Assumptions and Catalog'!$C$12)</f>
        <v>0</v>
      </c>
      <c r="I389" s="5" t="n">
        <f>0</f>
        <v>0</v>
      </c>
      <c r="J389" s="5" t="n">
        <f>MAX(F389-G389-H389,0)</f>
        <v>0</v>
      </c>
      <c r="K389" s="5" t="n">
        <f>H389-I389</f>
        <v>0</v>
      </c>
      <c r="L389" s="5" t="n">
        <f>(D389+E389)*C389-G389-I389+0+0</f>
        <v>1451.22448911708</v>
      </c>
      <c r="M389" s="5" t="n">
        <f>IF(ISNUMBER(Inputs!$L$5),(IF(Inputs!$L$9="Actual flat rate",((D389+E389)*C389)*Inputs!$L$10,IF(Inputs!$C$9="Residential",IF(((D389+E389)*C389)&lt;='Assumptions and Catalog'!$C$50,((D389+E389)*C389)*'Assumptions and Catalog'!$H$50+'Assumptions and Catalog'!$E$50+'Assumptions and Catalog'!$F$50,IF(((D389+E389)*C389)&lt;='Assumptions and Catalog'!$C$51,((D389+E389)*C389)*'Assumptions and Catalog'!$H$51+'Assumptions and Catalog'!$E$51+'Assumptions and Catalog'!$F$51,IF(((D389+E389)*C389)&lt;='Assumptions and Catalog'!$C$52,((D389+E389)*C389)*'Assumptions and Catalog'!$H$52+'Assumptions and Catalog'!$E$52+'Assumptions and Catalog'!$F$52,IF(((D389+E389)*C389)&lt;='Assumptions and Catalog'!$C$53,((D389+E389)*C389)*'Assumptions and Catalog'!$H$53+'Assumptions and Catalog'!$E$53+'Assumptions and Catalog'!$F$53,IF(((D389+E389)*C389)&lt;='Assumptions and Catalog'!$C$54,((D389+E389)*C389)*'Assumptions and Catalog'!$H$54+'Assumptions and Catalog'!$E$54+'Assumptions and Catalog'!$F$54,IF(((D389+E389)*C389)&lt;='Assumptions and Catalog'!$C$55,((D389+E389)*C389)*'Assumptions and Catalog'!$H$55+'Assumptions and Catalog'!$E$55+'Assumptions and Catalog'!$F$55,IF(((D389+E389)*C389)&lt;='Assumptions and Catalog'!$C$56,((D389+E389)*C389)*'Assumptions and Catalog'!$H$56+'Assumptions and Catalog'!$E$56+'Assumptions and Catalog'!$F$56,IF(((D389+E389)*C389)&lt;='Assumptions and Catalog'!$C$57,((D389+E389)*C389)*'Assumptions and Catalog'!$H$57+'Assumptions and Catalog'!$E$57+'Assumptions and Catalog'!$F$57,"Out of range")))))))),IF(((D389+E389)*C389)&lt;='Assumptions and Catalog'!$C$60,((D389+E389)*C389)*'Assumptions and Catalog'!$H$60+'Assumptions and Catalog'!$E$60+'Assumptions and Catalog'!$F$60,IF(((D389+E389)*C389)&lt;='Assumptions and Catalog'!$C$61,((D389+E389)*C389)*'Assumptions and Catalog'!$H$61+'Assumptions and Catalog'!$E$61+'Assumptions and Catalog'!$F$61,IF(((D389+E389)*C389)&lt;='Assumptions and Catalog'!$C$62,((D389+E389)*C389)*'Assumptions and Catalog'!$H$62+'Assumptions and Catalog'!$E$62+'Assumptions and Catalog'!$F$62,IF(((D389+E389)*C389)&lt;='Assumptions and Catalog'!$C$63,((D389+E389)*C389)*'Assumptions and Catalog'!$H$63+'Assumptions and Catalog'!$E$63+'Assumptions and Catalog'!$F$63,IF(((D389+E389)*C389)&lt;='Assumptions and Catalog'!$C$64,((D389+E389)*C389)*'Assumptions and Catalog'!$H$64+'Assumptions and Catalog'!$E$64+'Assumptions and Catalog'!$F$64,IF(((D389+E389)*C389)&lt;='Assumptions and Catalog'!$C$65,((D389+E389)*C389)*'Assumptions and Catalog'!$H$65+'Assumptions and Catalog'!$E$65+'Assumptions and Catalog'!$F$65,"Out of range")))))))))*(1+'Assumptions and Catalog'!$C$8)^(A389-1),0)</f>
        <v>7094.794</v>
      </c>
      <c r="N389" s="5" t="n">
        <f>IF(ISNUMBER(Inputs!$L$5),(IF(Inputs!$L$9="Actual flat rate",L389*Inputs!$L$10,IF(Inputs!$C$9="Residential",IF(L389&lt;='Assumptions and Catalog'!$C$50,L389*'Assumptions and Catalog'!$H$50+'Assumptions and Catalog'!$E$50+'Assumptions and Catalog'!$F$50,IF(L389&lt;='Assumptions and Catalog'!$C$51,L389*'Assumptions and Catalog'!$H$51+'Assumptions and Catalog'!$E$51+'Assumptions and Catalog'!$F$51,IF(L389&lt;='Assumptions and Catalog'!$C$52,L389*'Assumptions and Catalog'!$H$52+'Assumptions and Catalog'!$E$52+'Assumptions and Catalog'!$F$52,IF(L389&lt;='Assumptions and Catalog'!$C$53,L389*'Assumptions and Catalog'!$H$53+'Assumptions and Catalog'!$E$53+'Assumptions and Catalog'!$F$53,IF(L389&lt;='Assumptions and Catalog'!$C$54,L389*'Assumptions and Catalog'!$H$54+'Assumptions and Catalog'!$E$54+'Assumptions and Catalog'!$F$54,IF(L389&lt;='Assumptions and Catalog'!$C$55,L389*'Assumptions and Catalog'!$H$55+'Assumptions and Catalog'!$E$55+'Assumptions and Catalog'!$F$55,IF(L389&lt;='Assumptions and Catalog'!$C$56,L389*'Assumptions and Catalog'!$H$56+'Assumptions and Catalog'!$E$56+'Assumptions and Catalog'!$F$56,IF(L389&lt;='Assumptions and Catalog'!$C$57,L389*'Assumptions and Catalog'!$H$57+'Assumptions and Catalog'!$E$57+'Assumptions and Catalog'!$F$57,"Out of range")))))))),IF(L389&lt;='Assumptions and Catalog'!$C$60,L389*'Assumptions and Catalog'!$H$60+'Assumptions and Catalog'!$E$60+'Assumptions and Catalog'!$F$60,IF(L389&lt;='Assumptions and Catalog'!$C$61,L389*'Assumptions and Catalog'!$H$61+'Assumptions and Catalog'!$E$61+'Assumptions and Catalog'!$F$61,IF(L389&lt;='Assumptions and Catalog'!$C$62,L389*'Assumptions and Catalog'!$H$62+'Assumptions and Catalog'!$E$62+'Assumptions and Catalog'!$F$62,IF(L389&lt;='Assumptions and Catalog'!$C$63,L389*'Assumptions and Catalog'!$H$63+'Assumptions and Catalog'!$E$63+'Assumptions and Catalog'!$F$63,IF(L389&lt;='Assumptions and Catalog'!$C$64,L389*'Assumptions and Catalog'!$H$64+'Assumptions and Catalog'!$E$64+'Assumptions and Catalog'!$F$64,IF(L389&lt;='Assumptions and Catalog'!$C$65,L389*'Assumptions and Catalog'!$H$65+'Assumptions and Catalog'!$E$65+'Assumptions and Catalog'!$F$65,"Out of range")))))))))*(1+'Assumptions and Catalog'!$C$8)^(A389-1),0)</f>
        <v>4132.45305931017</v>
      </c>
      <c r="O389" s="5" t="n">
        <f>M389-N389</f>
        <v>2962.34094068983</v>
      </c>
      <c r="P389" s="5" t="n">
        <f>C$55*(1-J$14)*(1-'Assumptions and Catalog'!$C$23)^R389</f>
        <v>0</v>
      </c>
      <c r="Q389" s="5" t="n">
        <f>IF(ISNUMBER(Inputs!$L$5),(IF(Inputs!$L$9="Actual flat rate",((D389+E389)*C389-G389)*Inputs!$L$10,IF(Inputs!$C$9="Residential",IF(((D389+E389)*C389-G389)&lt;='Assumptions and Catalog'!$C$50,((D389+E389)*C389-G389)*'Assumptions and Catalog'!$H$50+'Assumptions and Catalog'!$E$50+'Assumptions and Catalog'!$F$50,IF(((D389+E389)*C389-G389)&lt;='Assumptions and Catalog'!$C$51,((D389+E389)*C389-G389)*'Assumptions and Catalog'!$H$51+'Assumptions and Catalog'!$E$51+'Assumptions and Catalog'!$F$51,IF(((D389+E389)*C389-G389)&lt;='Assumptions and Catalog'!$C$52,((D389+E389)*C389-G389)*'Assumptions and Catalog'!$H$52+'Assumptions and Catalog'!$E$52+'Assumptions and Catalog'!$F$52,IF(((D389+E389)*C389-G389)&lt;='Assumptions and Catalog'!$C$53,((D389+E389)*C389-G389)*'Assumptions and Catalog'!$H$53+'Assumptions and Catalog'!$E$53+'Assumptions and Catalog'!$F$53,IF(((D389+E389)*C389-G389)&lt;='Assumptions and Catalog'!$C$54,((D389+E389)*C389-G389)*'Assumptions and Catalog'!$H$54+'Assumptions and Catalog'!$E$54+'Assumptions and Catalog'!$F$54,IF(((D389+E389)*C389-G389)&lt;='Assumptions and Catalog'!$C$55,((D389+E389)*C389-G389)*'Assumptions and Catalog'!$H$55+'Assumptions and Catalog'!$E$55+'Assumptions and Catalog'!$F$55,IF(((D389+E389)*C389-G389)&lt;='Assumptions and Catalog'!$C$56,((D389+E389)*C389-G389)*'Assumptions and Catalog'!$H$56+'Assumptions and Catalog'!$E$56+'Assumptions and Catalog'!$F$56,IF(((D389+E389)*C389-G389)&lt;='Assumptions and Catalog'!$C$57,((D389+E389)*C389-G389)*'Assumptions and Catalog'!$H$57+'Assumptions and Catalog'!$E$57+'Assumptions and Catalog'!$F$57,"Out of range")))))))),IF(((D389+E389)*C389-G389)&lt;='Assumptions and Catalog'!$C$60,((D389+E389)*C389-G389)*'Assumptions and Catalog'!$H$60+'Assumptions and Catalog'!$E$60+'Assumptions and Catalog'!$F$60,IF(((D389+E389)*C389-G389)&lt;='Assumptions and Catalog'!$C$61,((D389+E389)*C389-G389)*'Assumptions and Catalog'!$H$61+'Assumptions and Catalog'!$E$61+'Assumptions and Catalog'!$F$61,IF(((D389+E389)*C389-G389)&lt;='Assumptions and Catalog'!$C$62,((D389+E389)*C389-G389)*'Assumptions and Catalog'!$H$62+'Assumptions and Catalog'!$E$62+'Assumptions and Catalog'!$F$62,IF(((D389+E389)*C389-G389)&lt;='Assumptions and Catalog'!$C$63,((D389+E389)*C389-G389)*'Assumptions and Catalog'!$H$63+'Assumptions and Catalog'!$E$63+'Assumptions and Catalog'!$F$63,IF(((D389+E389)*C389-G389)&lt;='Assumptions and Catalog'!$C$64,((D389+E389)*C389-G389)*'Assumptions and Catalog'!$H$64+'Assumptions and Catalog'!$E$64+'Assumptions and Catalog'!$F$64,IF(((D389+E389)*C389-G389)&lt;='Assumptions and Catalog'!$C$65,((D389+E389)*C389-G389)*'Assumptions and Catalog'!$H$65+'Assumptions and Catalog'!$E$65+'Assumptions and Catalog'!$F$65,"Out of range")))))))))*(1+'Assumptions and Catalog'!$C$8)^(A389-1),0)</f>
        <v>4132.45305931017</v>
      </c>
      <c r="R389" s="5" t="n">
        <f>IF(AND('Assumptions and Catalog'!$C$19&gt;0,A389&gt;='Assumptions and Catalog'!$C$19),A389-'Assumptions and Catalog'!$C$19,A389-1)</f>
        <v>9</v>
      </c>
      <c r="S389" s="5" t="n">
        <f>F389+L389-(D389+E389)*C389-J389-K389-0</f>
        <v>0</v>
      </c>
      <c r="T389" s="5"/>
      <c r="U389" s="5"/>
    </row>
    <row r="390" ht="23.100000381469727" customHeight="1">
      <c r="A390" s="5" t="n">
        <v>20</v>
      </c>
      <c r="B390" s="5" t="n">
        <v>2</v>
      </c>
      <c r="C390" s="5" t="n">
        <f>DAY(DATE('Assumptions and Catalog'!$C$24+A390-1,B390+1,0))</f>
        <v>28</v>
      </c>
      <c r="D390" s="5" t="n">
        <f>IF(ISNUMBER(Inputs!$L$5),Inputs!$L$5*Inputs!$L$6,0)</f>
        <v>40.35</v>
      </c>
      <c r="E390" s="5" t="n">
        <f>IF(ISNUMBER(Inputs!$L$5),Inputs!$L$5-D390,0)</f>
        <v>40.35</v>
      </c>
      <c r="F390" s="5" t="n">
        <f>C$51*INDEX('Solar Production'!$D$20:$D$31,B390)*C390*(1-'Assumptions and Catalog'!$C$10)^(A390-1)</f>
        <v>1035.67444694436</v>
      </c>
      <c r="G390" s="5" t="n">
        <f>MIN(F390,D390*C390)</f>
        <v>1035.67444694436</v>
      </c>
      <c r="H390" s="5" t="n">
        <f>I390/('Assumptions and Catalog'!$C$11*'Assumptions and Catalog'!$C$12)</f>
        <v>0</v>
      </c>
      <c r="I390" s="5" t="n">
        <f>0</f>
        <v>0</v>
      </c>
      <c r="J390" s="5" t="n">
        <f>MAX(F390-G390-H390,0)</f>
        <v>0</v>
      </c>
      <c r="K390" s="5" t="n">
        <f>H390-I390</f>
        <v>0</v>
      </c>
      <c r="L390" s="5" t="n">
        <f>(D390+E390)*C390-G390-I390+0+0</f>
        <v>1223.92555305564</v>
      </c>
      <c r="M390" s="5" t="n">
        <f>IF(ISNUMBER(Inputs!$L$5),(IF(Inputs!$L$9="Actual flat rate",((D390+E390)*C390)*Inputs!$L$10,IF(Inputs!$C$9="Residential",IF(((D390+E390)*C390)&lt;='Assumptions and Catalog'!$C$50,((D390+E390)*C390)*'Assumptions and Catalog'!$H$50+'Assumptions and Catalog'!$E$50+'Assumptions and Catalog'!$F$50,IF(((D390+E390)*C390)&lt;='Assumptions and Catalog'!$C$51,((D390+E390)*C390)*'Assumptions and Catalog'!$H$51+'Assumptions and Catalog'!$E$51+'Assumptions and Catalog'!$F$51,IF(((D390+E390)*C390)&lt;='Assumptions and Catalog'!$C$52,((D390+E390)*C390)*'Assumptions and Catalog'!$H$52+'Assumptions and Catalog'!$E$52+'Assumptions and Catalog'!$F$52,IF(((D390+E390)*C390)&lt;='Assumptions and Catalog'!$C$53,((D390+E390)*C390)*'Assumptions and Catalog'!$H$53+'Assumptions and Catalog'!$E$53+'Assumptions and Catalog'!$F$53,IF(((D390+E390)*C390)&lt;='Assumptions and Catalog'!$C$54,((D390+E390)*C390)*'Assumptions and Catalog'!$H$54+'Assumptions and Catalog'!$E$54+'Assumptions and Catalog'!$F$54,IF(((D390+E390)*C390)&lt;='Assumptions and Catalog'!$C$55,((D390+E390)*C390)*'Assumptions and Catalog'!$H$55+'Assumptions and Catalog'!$E$55+'Assumptions and Catalog'!$F$55,IF(((D390+E390)*C390)&lt;='Assumptions and Catalog'!$C$56,((D390+E390)*C390)*'Assumptions and Catalog'!$H$56+'Assumptions and Catalog'!$E$56+'Assumptions and Catalog'!$F$56,IF(((D390+E390)*C390)&lt;='Assumptions and Catalog'!$C$57,((D390+E390)*C390)*'Assumptions and Catalog'!$H$57+'Assumptions and Catalog'!$E$57+'Assumptions and Catalog'!$F$57,"Out of range")))))))),IF(((D390+E390)*C390)&lt;='Assumptions and Catalog'!$C$60,((D390+E390)*C390)*'Assumptions and Catalog'!$H$60+'Assumptions and Catalog'!$E$60+'Assumptions and Catalog'!$F$60,IF(((D390+E390)*C390)&lt;='Assumptions and Catalog'!$C$61,((D390+E390)*C390)*'Assumptions and Catalog'!$H$61+'Assumptions and Catalog'!$E$61+'Assumptions and Catalog'!$F$61,IF(((D390+E390)*C390)&lt;='Assumptions and Catalog'!$C$62,((D390+E390)*C390)*'Assumptions and Catalog'!$H$62+'Assumptions and Catalog'!$E$62+'Assumptions and Catalog'!$F$62,IF(((D390+E390)*C390)&lt;='Assumptions and Catalog'!$C$63,((D390+E390)*C390)*'Assumptions and Catalog'!$H$63+'Assumptions and Catalog'!$E$63+'Assumptions and Catalog'!$F$63,IF(((D390+E390)*C390)&lt;='Assumptions and Catalog'!$C$64,((D390+E390)*C390)*'Assumptions and Catalog'!$H$64+'Assumptions and Catalog'!$E$64+'Assumptions and Catalog'!$F$64,IF(((D390+E390)*C390)&lt;='Assumptions and Catalog'!$C$65,((D390+E390)*C390)*'Assumptions and Catalog'!$H$65+'Assumptions and Catalog'!$E$65+'Assumptions and Catalog'!$F$65,"Out of range")))))))))*(1+'Assumptions and Catalog'!$C$8)^(A390-1),0)</f>
        <v>6412.072</v>
      </c>
      <c r="N390" s="5" t="n">
        <f>IF(ISNUMBER(Inputs!$L$5),(IF(Inputs!$L$9="Actual flat rate",L390*Inputs!$L$10,IF(Inputs!$C$9="Residential",IF(L390&lt;='Assumptions and Catalog'!$C$50,L390*'Assumptions and Catalog'!$H$50+'Assumptions and Catalog'!$E$50+'Assumptions and Catalog'!$F$50,IF(L390&lt;='Assumptions and Catalog'!$C$51,L390*'Assumptions and Catalog'!$H$51+'Assumptions and Catalog'!$E$51+'Assumptions and Catalog'!$F$51,IF(L390&lt;='Assumptions and Catalog'!$C$52,L390*'Assumptions and Catalog'!$H$52+'Assumptions and Catalog'!$E$52+'Assumptions and Catalog'!$F$52,IF(L390&lt;='Assumptions and Catalog'!$C$53,L390*'Assumptions and Catalog'!$H$53+'Assumptions and Catalog'!$E$53+'Assumptions and Catalog'!$F$53,IF(L390&lt;='Assumptions and Catalog'!$C$54,L390*'Assumptions and Catalog'!$H$54+'Assumptions and Catalog'!$E$54+'Assumptions and Catalog'!$F$54,IF(L390&lt;='Assumptions and Catalog'!$C$55,L390*'Assumptions and Catalog'!$H$55+'Assumptions and Catalog'!$E$55+'Assumptions and Catalog'!$F$55,IF(L390&lt;='Assumptions and Catalog'!$C$56,L390*'Assumptions and Catalog'!$H$56+'Assumptions and Catalog'!$E$56+'Assumptions and Catalog'!$F$56,IF(L390&lt;='Assumptions and Catalog'!$C$57,L390*'Assumptions and Catalog'!$H$57+'Assumptions and Catalog'!$E$57+'Assumptions and Catalog'!$F$57,"Out of range")))))))),IF(L390&lt;='Assumptions and Catalog'!$C$60,L390*'Assumptions and Catalog'!$H$60+'Assumptions and Catalog'!$E$60+'Assumptions and Catalog'!$F$60,IF(L390&lt;='Assumptions and Catalog'!$C$61,L390*'Assumptions and Catalog'!$H$61+'Assumptions and Catalog'!$E$61+'Assumptions and Catalog'!$F$61,IF(L390&lt;='Assumptions and Catalog'!$C$62,L390*'Assumptions and Catalog'!$H$62+'Assumptions and Catalog'!$E$62+'Assumptions and Catalog'!$F$62,IF(L390&lt;='Assumptions and Catalog'!$C$63,L390*'Assumptions and Catalog'!$H$63+'Assumptions and Catalog'!$E$63+'Assumptions and Catalog'!$F$63,IF(L390&lt;='Assumptions and Catalog'!$C$64,L390*'Assumptions and Catalog'!$H$64+'Assumptions and Catalog'!$E$64+'Assumptions and Catalog'!$F$64,IF(L390&lt;='Assumptions and Catalog'!$C$65,L390*'Assumptions and Catalog'!$H$65+'Assumptions and Catalog'!$E$65+'Assumptions and Catalog'!$F$65,"Out of range")))))))))*(1+'Assumptions and Catalog'!$C$8)^(A390-1),0)</f>
        <v>3491.47005961692</v>
      </c>
      <c r="O390" s="5" t="n">
        <f>M390-N390</f>
        <v>2920.60194038308</v>
      </c>
      <c r="P390" s="5" t="n">
        <f>C$55*(1-J$14)*(1-'Assumptions and Catalog'!$C$23)^R390</f>
        <v>0</v>
      </c>
      <c r="Q390" s="5" t="n">
        <f>IF(ISNUMBER(Inputs!$L$5),(IF(Inputs!$L$9="Actual flat rate",((D390+E390)*C390-G390)*Inputs!$L$10,IF(Inputs!$C$9="Residential",IF(((D390+E390)*C390-G390)&lt;='Assumptions and Catalog'!$C$50,((D390+E390)*C390-G390)*'Assumptions and Catalog'!$H$50+'Assumptions and Catalog'!$E$50+'Assumptions and Catalog'!$F$50,IF(((D390+E390)*C390-G390)&lt;='Assumptions and Catalog'!$C$51,((D390+E390)*C390-G390)*'Assumptions and Catalog'!$H$51+'Assumptions and Catalog'!$E$51+'Assumptions and Catalog'!$F$51,IF(((D390+E390)*C390-G390)&lt;='Assumptions and Catalog'!$C$52,((D390+E390)*C390-G390)*'Assumptions and Catalog'!$H$52+'Assumptions and Catalog'!$E$52+'Assumptions and Catalog'!$F$52,IF(((D390+E390)*C390-G390)&lt;='Assumptions and Catalog'!$C$53,((D390+E390)*C390-G390)*'Assumptions and Catalog'!$H$53+'Assumptions and Catalog'!$E$53+'Assumptions and Catalog'!$F$53,IF(((D390+E390)*C390-G390)&lt;='Assumptions and Catalog'!$C$54,((D390+E390)*C390-G390)*'Assumptions and Catalog'!$H$54+'Assumptions and Catalog'!$E$54+'Assumptions and Catalog'!$F$54,IF(((D390+E390)*C390-G390)&lt;='Assumptions and Catalog'!$C$55,((D390+E390)*C390-G390)*'Assumptions and Catalog'!$H$55+'Assumptions and Catalog'!$E$55+'Assumptions and Catalog'!$F$55,IF(((D390+E390)*C390-G390)&lt;='Assumptions and Catalog'!$C$56,((D390+E390)*C390-G390)*'Assumptions and Catalog'!$H$56+'Assumptions and Catalog'!$E$56+'Assumptions and Catalog'!$F$56,IF(((D390+E390)*C390-G390)&lt;='Assumptions and Catalog'!$C$57,((D390+E390)*C390-G390)*'Assumptions and Catalog'!$H$57+'Assumptions and Catalog'!$E$57+'Assumptions and Catalog'!$F$57,"Out of range")))))))),IF(((D390+E390)*C390-G390)&lt;='Assumptions and Catalog'!$C$60,((D390+E390)*C390-G390)*'Assumptions and Catalog'!$H$60+'Assumptions and Catalog'!$E$60+'Assumptions and Catalog'!$F$60,IF(((D390+E390)*C390-G390)&lt;='Assumptions and Catalog'!$C$61,((D390+E390)*C390-G390)*'Assumptions and Catalog'!$H$61+'Assumptions and Catalog'!$E$61+'Assumptions and Catalog'!$F$61,IF(((D390+E390)*C390-G390)&lt;='Assumptions and Catalog'!$C$62,((D390+E390)*C390-G390)*'Assumptions and Catalog'!$H$62+'Assumptions and Catalog'!$E$62+'Assumptions and Catalog'!$F$62,IF(((D390+E390)*C390-G390)&lt;='Assumptions and Catalog'!$C$63,((D390+E390)*C390-G390)*'Assumptions and Catalog'!$H$63+'Assumptions and Catalog'!$E$63+'Assumptions and Catalog'!$F$63,IF(((D390+E390)*C390-G390)&lt;='Assumptions and Catalog'!$C$64,((D390+E390)*C390-G390)*'Assumptions and Catalog'!$H$64+'Assumptions and Catalog'!$E$64+'Assumptions and Catalog'!$F$64,IF(((D390+E390)*C390-G390)&lt;='Assumptions and Catalog'!$C$65,((D390+E390)*C390-G390)*'Assumptions and Catalog'!$H$65+'Assumptions and Catalog'!$E$65+'Assumptions and Catalog'!$F$65,"Out of range")))))))))*(1+'Assumptions and Catalog'!$C$8)^(A390-1),0)</f>
        <v>3491.47005961692</v>
      </c>
      <c r="R390" s="5" t="n">
        <f>IF(AND('Assumptions and Catalog'!$C$19&gt;0,A390&gt;='Assumptions and Catalog'!$C$19),A390-'Assumptions and Catalog'!$C$19,A390-1)</f>
        <v>9</v>
      </c>
      <c r="S390" s="5" t="n">
        <f>F390+L390-(D390+E390)*C390-J390-K390-0</f>
        <v>0</v>
      </c>
      <c r="T390" s="5"/>
      <c r="U390" s="5"/>
    </row>
    <row r="391" ht="23.100000381469727" customHeight="1">
      <c r="A391" s="5" t="n">
        <v>20</v>
      </c>
      <c r="B391" s="5" t="n">
        <v>3</v>
      </c>
      <c r="C391" s="5" t="n">
        <f>DAY(DATE('Assumptions and Catalog'!$C$24+A391-1,B391+1,0))</f>
        <v>31</v>
      </c>
      <c r="D391" s="5" t="n">
        <f>IF(ISNUMBER(Inputs!$L$5),Inputs!$L$5*Inputs!$L$6,0)</f>
        <v>40.35</v>
      </c>
      <c r="E391" s="5" t="n">
        <f>IF(ISNUMBER(Inputs!$L$5),Inputs!$L$5-D391,0)</f>
        <v>40.35</v>
      </c>
      <c r="F391" s="5" t="n">
        <f>C$51*INDEX('Solar Production'!$D$20:$D$31,B391)*C391*(1-'Assumptions and Catalog'!$C$10)^(A391-1)</f>
        <v>1288.57262591624</v>
      </c>
      <c r="G391" s="5" t="n">
        <f>MIN(F391,D391*C391)</f>
        <v>1250.85</v>
      </c>
      <c r="H391" s="5" t="n">
        <f>I391/('Assumptions and Catalog'!$C$11*'Assumptions and Catalog'!$C$12)</f>
        <v>0</v>
      </c>
      <c r="I391" s="5" t="n">
        <f>0</f>
        <v>0</v>
      </c>
      <c r="J391" s="5" t="n">
        <f>MAX(F391-G391-H391,0)</f>
        <v>37.7226259162442</v>
      </c>
      <c r="K391" s="5" t="n">
        <f>H391-I391</f>
        <v>0</v>
      </c>
      <c r="L391" s="5" t="n">
        <f>(D391+E391)*C391-G391-I391+0+0</f>
        <v>1250.85</v>
      </c>
      <c r="M391" s="5" t="n">
        <f>IF(ISNUMBER(Inputs!$L$5),(IF(Inputs!$L$9="Actual flat rate",((D391+E391)*C391)*Inputs!$L$10,IF(Inputs!$C$9="Residential",IF(((D391+E391)*C391)&lt;='Assumptions and Catalog'!$C$50,((D391+E391)*C391)*'Assumptions and Catalog'!$H$50+'Assumptions and Catalog'!$E$50+'Assumptions and Catalog'!$F$50,IF(((D391+E391)*C391)&lt;='Assumptions and Catalog'!$C$51,((D391+E391)*C391)*'Assumptions and Catalog'!$H$51+'Assumptions and Catalog'!$E$51+'Assumptions and Catalog'!$F$51,IF(((D391+E391)*C391)&lt;='Assumptions and Catalog'!$C$52,((D391+E391)*C391)*'Assumptions and Catalog'!$H$52+'Assumptions and Catalog'!$E$52+'Assumptions and Catalog'!$F$52,IF(((D391+E391)*C391)&lt;='Assumptions and Catalog'!$C$53,((D391+E391)*C391)*'Assumptions and Catalog'!$H$53+'Assumptions and Catalog'!$E$53+'Assumptions and Catalog'!$F$53,IF(((D391+E391)*C391)&lt;='Assumptions and Catalog'!$C$54,((D391+E391)*C391)*'Assumptions and Catalog'!$H$54+'Assumptions and Catalog'!$E$54+'Assumptions and Catalog'!$F$54,IF(((D391+E391)*C391)&lt;='Assumptions and Catalog'!$C$55,((D391+E391)*C391)*'Assumptions and Catalog'!$H$55+'Assumptions and Catalog'!$E$55+'Assumptions and Catalog'!$F$55,IF(((D391+E391)*C391)&lt;='Assumptions and Catalog'!$C$56,((D391+E391)*C391)*'Assumptions and Catalog'!$H$56+'Assumptions and Catalog'!$E$56+'Assumptions and Catalog'!$F$56,IF(((D391+E391)*C391)&lt;='Assumptions and Catalog'!$C$57,((D391+E391)*C391)*'Assumptions and Catalog'!$H$57+'Assumptions and Catalog'!$E$57+'Assumptions and Catalog'!$F$57,"Out of range")))))))),IF(((D391+E391)*C391)&lt;='Assumptions and Catalog'!$C$60,((D391+E391)*C391)*'Assumptions and Catalog'!$H$60+'Assumptions and Catalog'!$E$60+'Assumptions and Catalog'!$F$60,IF(((D391+E391)*C391)&lt;='Assumptions and Catalog'!$C$61,((D391+E391)*C391)*'Assumptions and Catalog'!$H$61+'Assumptions and Catalog'!$E$61+'Assumptions and Catalog'!$F$61,IF(((D391+E391)*C391)&lt;='Assumptions and Catalog'!$C$62,((D391+E391)*C391)*'Assumptions and Catalog'!$H$62+'Assumptions and Catalog'!$E$62+'Assumptions and Catalog'!$F$62,IF(((D391+E391)*C391)&lt;='Assumptions and Catalog'!$C$63,((D391+E391)*C391)*'Assumptions and Catalog'!$H$63+'Assumptions and Catalog'!$E$63+'Assumptions and Catalog'!$F$63,IF(((D391+E391)*C391)&lt;='Assumptions and Catalog'!$C$64,((D391+E391)*C391)*'Assumptions and Catalog'!$H$64+'Assumptions and Catalog'!$E$64+'Assumptions and Catalog'!$F$64,IF(((D391+E391)*C391)&lt;='Assumptions and Catalog'!$C$65,((D391+E391)*C391)*'Assumptions and Catalog'!$H$65+'Assumptions and Catalog'!$E$65+'Assumptions and Catalog'!$F$65,"Out of range")))))))))*(1+'Assumptions and Catalog'!$C$8)^(A391-1),0)</f>
        <v>7094.794</v>
      </c>
      <c r="N391" s="5" t="n">
        <f>IF(ISNUMBER(Inputs!$L$5),(IF(Inputs!$L$9="Actual flat rate",L391*Inputs!$L$10,IF(Inputs!$C$9="Residential",IF(L391&lt;='Assumptions and Catalog'!$C$50,L391*'Assumptions and Catalog'!$H$50+'Assumptions and Catalog'!$E$50+'Assumptions and Catalog'!$F$50,IF(L391&lt;='Assumptions and Catalog'!$C$51,L391*'Assumptions and Catalog'!$H$51+'Assumptions and Catalog'!$E$51+'Assumptions and Catalog'!$F$51,IF(L391&lt;='Assumptions and Catalog'!$C$52,L391*'Assumptions and Catalog'!$H$52+'Assumptions and Catalog'!$E$52+'Assumptions and Catalog'!$F$52,IF(L391&lt;='Assumptions and Catalog'!$C$53,L391*'Assumptions and Catalog'!$H$53+'Assumptions and Catalog'!$E$53+'Assumptions and Catalog'!$F$53,IF(L391&lt;='Assumptions and Catalog'!$C$54,L391*'Assumptions and Catalog'!$H$54+'Assumptions and Catalog'!$E$54+'Assumptions and Catalog'!$F$54,IF(L391&lt;='Assumptions and Catalog'!$C$55,L391*'Assumptions and Catalog'!$H$55+'Assumptions and Catalog'!$E$55+'Assumptions and Catalog'!$F$55,IF(L391&lt;='Assumptions and Catalog'!$C$56,L391*'Assumptions and Catalog'!$H$56+'Assumptions and Catalog'!$E$56+'Assumptions and Catalog'!$F$56,IF(L391&lt;='Assumptions and Catalog'!$C$57,L391*'Assumptions and Catalog'!$H$57+'Assumptions and Catalog'!$E$57+'Assumptions and Catalog'!$F$57,"Out of range")))))))),IF(L391&lt;='Assumptions and Catalog'!$C$60,L391*'Assumptions and Catalog'!$H$60+'Assumptions and Catalog'!$E$60+'Assumptions and Catalog'!$F$60,IF(L391&lt;='Assumptions and Catalog'!$C$61,L391*'Assumptions and Catalog'!$H$61+'Assumptions and Catalog'!$E$61+'Assumptions and Catalog'!$F$61,IF(L391&lt;='Assumptions and Catalog'!$C$62,L391*'Assumptions and Catalog'!$H$62+'Assumptions and Catalog'!$E$62+'Assumptions and Catalog'!$F$62,IF(L391&lt;='Assumptions and Catalog'!$C$63,L391*'Assumptions and Catalog'!$H$63+'Assumptions and Catalog'!$E$63+'Assumptions and Catalog'!$F$63,IF(L391&lt;='Assumptions and Catalog'!$C$64,L391*'Assumptions and Catalog'!$H$64+'Assumptions and Catalog'!$E$64+'Assumptions and Catalog'!$F$64,IF(L391&lt;='Assumptions and Catalog'!$C$65,L391*'Assumptions and Catalog'!$H$65+'Assumptions and Catalog'!$E$65+'Assumptions and Catalog'!$F$65,"Out of range")))))))))*(1+'Assumptions and Catalog'!$C$8)^(A391-1),0)</f>
        <v>3567.397</v>
      </c>
      <c r="O391" s="5" t="n">
        <f>M391-N391</f>
        <v>3527.397</v>
      </c>
      <c r="P391" s="5" t="n">
        <f>C$55*(1-J$14)*(1-'Assumptions and Catalog'!$C$23)^R391</f>
        <v>0</v>
      </c>
      <c r="Q391" s="5" t="n">
        <f>IF(ISNUMBER(Inputs!$L$5),(IF(Inputs!$L$9="Actual flat rate",((D391+E391)*C391-G391)*Inputs!$L$10,IF(Inputs!$C$9="Residential",IF(((D391+E391)*C391-G391)&lt;='Assumptions and Catalog'!$C$50,((D391+E391)*C391-G391)*'Assumptions and Catalog'!$H$50+'Assumptions and Catalog'!$E$50+'Assumptions and Catalog'!$F$50,IF(((D391+E391)*C391-G391)&lt;='Assumptions and Catalog'!$C$51,((D391+E391)*C391-G391)*'Assumptions and Catalog'!$H$51+'Assumptions and Catalog'!$E$51+'Assumptions and Catalog'!$F$51,IF(((D391+E391)*C391-G391)&lt;='Assumptions and Catalog'!$C$52,((D391+E391)*C391-G391)*'Assumptions and Catalog'!$H$52+'Assumptions and Catalog'!$E$52+'Assumptions and Catalog'!$F$52,IF(((D391+E391)*C391-G391)&lt;='Assumptions and Catalog'!$C$53,((D391+E391)*C391-G391)*'Assumptions and Catalog'!$H$53+'Assumptions and Catalog'!$E$53+'Assumptions and Catalog'!$F$53,IF(((D391+E391)*C391-G391)&lt;='Assumptions and Catalog'!$C$54,((D391+E391)*C391-G391)*'Assumptions and Catalog'!$H$54+'Assumptions and Catalog'!$E$54+'Assumptions and Catalog'!$F$54,IF(((D391+E391)*C391-G391)&lt;='Assumptions and Catalog'!$C$55,((D391+E391)*C391-G391)*'Assumptions and Catalog'!$H$55+'Assumptions and Catalog'!$E$55+'Assumptions and Catalog'!$F$55,IF(((D391+E391)*C391-G391)&lt;='Assumptions and Catalog'!$C$56,((D391+E391)*C391-G391)*'Assumptions and Catalog'!$H$56+'Assumptions and Catalog'!$E$56+'Assumptions and Catalog'!$F$56,IF(((D391+E391)*C391-G391)&lt;='Assumptions and Catalog'!$C$57,((D391+E391)*C391-G391)*'Assumptions and Catalog'!$H$57+'Assumptions and Catalog'!$E$57+'Assumptions and Catalog'!$F$57,"Out of range")))))))),IF(((D391+E391)*C391-G391)&lt;='Assumptions and Catalog'!$C$60,((D391+E391)*C391-G391)*'Assumptions and Catalog'!$H$60+'Assumptions and Catalog'!$E$60+'Assumptions and Catalog'!$F$60,IF(((D391+E391)*C391-G391)&lt;='Assumptions and Catalog'!$C$61,((D391+E391)*C391-G391)*'Assumptions and Catalog'!$H$61+'Assumptions and Catalog'!$E$61+'Assumptions and Catalog'!$F$61,IF(((D391+E391)*C391-G391)&lt;='Assumptions and Catalog'!$C$62,((D391+E391)*C391-G391)*'Assumptions and Catalog'!$H$62+'Assumptions and Catalog'!$E$62+'Assumptions and Catalog'!$F$62,IF(((D391+E391)*C391-G391)&lt;='Assumptions and Catalog'!$C$63,((D391+E391)*C391-G391)*'Assumptions and Catalog'!$H$63+'Assumptions and Catalog'!$E$63+'Assumptions and Catalog'!$F$63,IF(((D391+E391)*C391-G391)&lt;='Assumptions and Catalog'!$C$64,((D391+E391)*C391-G391)*'Assumptions and Catalog'!$H$64+'Assumptions and Catalog'!$E$64+'Assumptions and Catalog'!$F$64,IF(((D391+E391)*C391-G391)&lt;='Assumptions and Catalog'!$C$65,((D391+E391)*C391-G391)*'Assumptions and Catalog'!$H$65+'Assumptions and Catalog'!$E$65+'Assumptions and Catalog'!$F$65,"Out of range")))))))))*(1+'Assumptions and Catalog'!$C$8)^(A391-1),0)</f>
        <v>3567.397</v>
      </c>
      <c r="R391" s="5" t="n">
        <f>IF(AND('Assumptions and Catalog'!$C$19&gt;0,A391&gt;='Assumptions and Catalog'!$C$19),A391-'Assumptions and Catalog'!$C$19,A391-1)</f>
        <v>9</v>
      </c>
      <c r="S391" s="5" t="n">
        <f>F391+L391-(D391+E391)*C391-J391-K391-0</f>
        <v>-2.27373675443232E-013</v>
      </c>
      <c r="T391" s="5"/>
      <c r="U391" s="5"/>
    </row>
    <row r="392" ht="23.100000381469727" customHeight="1">
      <c r="A392" s="5" t="n">
        <v>20</v>
      </c>
      <c r="B392" s="5" t="n">
        <v>4</v>
      </c>
      <c r="C392" s="5" t="n">
        <f>DAY(DATE('Assumptions and Catalog'!$C$24+A392-1,B392+1,0))</f>
        <v>30</v>
      </c>
      <c r="D392" s="5" t="n">
        <f>IF(ISNUMBER(Inputs!$L$5),Inputs!$L$5*Inputs!$L$6,0)</f>
        <v>40.35</v>
      </c>
      <c r="E392" s="5" t="n">
        <f>IF(ISNUMBER(Inputs!$L$5),Inputs!$L$5-D392,0)</f>
        <v>40.35</v>
      </c>
      <c r="F392" s="5" t="n">
        <f>C$51*INDEX('Solar Production'!$D$20:$D$31,B392)*C392*(1-'Assumptions and Catalog'!$C$10)^(A392-1)</f>
        <v>1286.97251089586</v>
      </c>
      <c r="G392" s="5" t="n">
        <f>MIN(F392,D392*C392)</f>
        <v>1210.5</v>
      </c>
      <c r="H392" s="5" t="n">
        <f>I392/('Assumptions and Catalog'!$C$11*'Assumptions and Catalog'!$C$12)</f>
        <v>0</v>
      </c>
      <c r="I392" s="5" t="n">
        <f>0</f>
        <v>0</v>
      </c>
      <c r="J392" s="5" t="n">
        <f>MAX(F392-G392-H392,0)</f>
        <v>76.4725108958592</v>
      </c>
      <c r="K392" s="5" t="n">
        <f>H392-I392</f>
        <v>0</v>
      </c>
      <c r="L392" s="5" t="n">
        <f>(D392+E392)*C392-G392-I392+0+0</f>
        <v>1210.5</v>
      </c>
      <c r="M392" s="5" t="n">
        <f>IF(ISNUMBER(Inputs!$L$5),(IF(Inputs!$L$9="Actual flat rate",((D392+E392)*C392)*Inputs!$L$10,IF(Inputs!$C$9="Residential",IF(((D392+E392)*C392)&lt;='Assumptions and Catalog'!$C$50,((D392+E392)*C392)*'Assumptions and Catalog'!$H$50+'Assumptions and Catalog'!$E$50+'Assumptions and Catalog'!$F$50,IF(((D392+E392)*C392)&lt;='Assumptions and Catalog'!$C$51,((D392+E392)*C392)*'Assumptions and Catalog'!$H$51+'Assumptions and Catalog'!$E$51+'Assumptions and Catalog'!$F$51,IF(((D392+E392)*C392)&lt;='Assumptions and Catalog'!$C$52,((D392+E392)*C392)*'Assumptions and Catalog'!$H$52+'Assumptions and Catalog'!$E$52+'Assumptions and Catalog'!$F$52,IF(((D392+E392)*C392)&lt;='Assumptions and Catalog'!$C$53,((D392+E392)*C392)*'Assumptions and Catalog'!$H$53+'Assumptions and Catalog'!$E$53+'Assumptions and Catalog'!$F$53,IF(((D392+E392)*C392)&lt;='Assumptions and Catalog'!$C$54,((D392+E392)*C392)*'Assumptions and Catalog'!$H$54+'Assumptions and Catalog'!$E$54+'Assumptions and Catalog'!$F$54,IF(((D392+E392)*C392)&lt;='Assumptions and Catalog'!$C$55,((D392+E392)*C392)*'Assumptions and Catalog'!$H$55+'Assumptions and Catalog'!$E$55+'Assumptions and Catalog'!$F$55,IF(((D392+E392)*C392)&lt;='Assumptions and Catalog'!$C$56,((D392+E392)*C392)*'Assumptions and Catalog'!$H$56+'Assumptions and Catalog'!$E$56+'Assumptions and Catalog'!$F$56,IF(((D392+E392)*C392)&lt;='Assumptions and Catalog'!$C$57,((D392+E392)*C392)*'Assumptions and Catalog'!$H$57+'Assumptions and Catalog'!$E$57+'Assumptions and Catalog'!$F$57,"Out of range")))))))),IF(((D392+E392)*C392)&lt;='Assumptions and Catalog'!$C$60,((D392+E392)*C392)*'Assumptions and Catalog'!$H$60+'Assumptions and Catalog'!$E$60+'Assumptions and Catalog'!$F$60,IF(((D392+E392)*C392)&lt;='Assumptions and Catalog'!$C$61,((D392+E392)*C392)*'Assumptions and Catalog'!$H$61+'Assumptions and Catalog'!$E$61+'Assumptions and Catalog'!$F$61,IF(((D392+E392)*C392)&lt;='Assumptions and Catalog'!$C$62,((D392+E392)*C392)*'Assumptions and Catalog'!$H$62+'Assumptions and Catalog'!$E$62+'Assumptions and Catalog'!$F$62,IF(((D392+E392)*C392)&lt;='Assumptions and Catalog'!$C$63,((D392+E392)*C392)*'Assumptions and Catalog'!$H$63+'Assumptions and Catalog'!$E$63+'Assumptions and Catalog'!$F$63,IF(((D392+E392)*C392)&lt;='Assumptions and Catalog'!$C$64,((D392+E392)*C392)*'Assumptions and Catalog'!$H$64+'Assumptions and Catalog'!$E$64+'Assumptions and Catalog'!$F$64,IF(((D392+E392)*C392)&lt;='Assumptions and Catalog'!$C$65,((D392+E392)*C392)*'Assumptions and Catalog'!$H$65+'Assumptions and Catalog'!$E$65+'Assumptions and Catalog'!$F$65,"Out of range")))))))))*(1+'Assumptions and Catalog'!$C$8)^(A392-1),0)</f>
        <v>6867.22</v>
      </c>
      <c r="N392" s="5" t="n">
        <f>IF(ISNUMBER(Inputs!$L$5),(IF(Inputs!$L$9="Actual flat rate",L392*Inputs!$L$10,IF(Inputs!$C$9="Residential",IF(L392&lt;='Assumptions and Catalog'!$C$50,L392*'Assumptions and Catalog'!$H$50+'Assumptions and Catalog'!$E$50+'Assumptions and Catalog'!$F$50,IF(L392&lt;='Assumptions and Catalog'!$C$51,L392*'Assumptions and Catalog'!$H$51+'Assumptions and Catalog'!$E$51+'Assumptions and Catalog'!$F$51,IF(L392&lt;='Assumptions and Catalog'!$C$52,L392*'Assumptions and Catalog'!$H$52+'Assumptions and Catalog'!$E$52+'Assumptions and Catalog'!$F$52,IF(L392&lt;='Assumptions and Catalog'!$C$53,L392*'Assumptions and Catalog'!$H$53+'Assumptions and Catalog'!$E$53+'Assumptions and Catalog'!$F$53,IF(L392&lt;='Assumptions and Catalog'!$C$54,L392*'Assumptions and Catalog'!$H$54+'Assumptions and Catalog'!$E$54+'Assumptions and Catalog'!$F$54,IF(L392&lt;='Assumptions and Catalog'!$C$55,L392*'Assumptions and Catalog'!$H$55+'Assumptions and Catalog'!$E$55+'Assumptions and Catalog'!$F$55,IF(L392&lt;='Assumptions and Catalog'!$C$56,L392*'Assumptions and Catalog'!$H$56+'Assumptions and Catalog'!$E$56+'Assumptions and Catalog'!$F$56,IF(L392&lt;='Assumptions and Catalog'!$C$57,L392*'Assumptions and Catalog'!$H$57+'Assumptions and Catalog'!$E$57+'Assumptions and Catalog'!$F$57,"Out of range")))))))),IF(L392&lt;='Assumptions and Catalog'!$C$60,L392*'Assumptions and Catalog'!$H$60+'Assumptions and Catalog'!$E$60+'Assumptions and Catalog'!$F$60,IF(L392&lt;='Assumptions and Catalog'!$C$61,L392*'Assumptions and Catalog'!$H$61+'Assumptions and Catalog'!$E$61+'Assumptions and Catalog'!$F$61,IF(L392&lt;='Assumptions and Catalog'!$C$62,L392*'Assumptions and Catalog'!$H$62+'Assumptions and Catalog'!$E$62+'Assumptions and Catalog'!$F$62,IF(L392&lt;='Assumptions and Catalog'!$C$63,L392*'Assumptions and Catalog'!$H$63+'Assumptions and Catalog'!$E$63+'Assumptions and Catalog'!$F$63,IF(L392&lt;='Assumptions and Catalog'!$C$64,L392*'Assumptions and Catalog'!$H$64+'Assumptions and Catalog'!$E$64+'Assumptions and Catalog'!$F$64,IF(L392&lt;='Assumptions and Catalog'!$C$65,L392*'Assumptions and Catalog'!$H$65+'Assumptions and Catalog'!$E$65+'Assumptions and Catalog'!$F$65,"Out of range")))))))))*(1+'Assumptions and Catalog'!$C$8)^(A392-1),0)</f>
        <v>3453.61</v>
      </c>
      <c r="O392" s="5" t="n">
        <f>M392-N392</f>
        <v>3413.61</v>
      </c>
      <c r="P392" s="5" t="n">
        <f>C$55*(1-J$14)*(1-'Assumptions and Catalog'!$C$23)^R392</f>
        <v>0</v>
      </c>
      <c r="Q392" s="5" t="n">
        <f>IF(ISNUMBER(Inputs!$L$5),(IF(Inputs!$L$9="Actual flat rate",((D392+E392)*C392-G392)*Inputs!$L$10,IF(Inputs!$C$9="Residential",IF(((D392+E392)*C392-G392)&lt;='Assumptions and Catalog'!$C$50,((D392+E392)*C392-G392)*'Assumptions and Catalog'!$H$50+'Assumptions and Catalog'!$E$50+'Assumptions and Catalog'!$F$50,IF(((D392+E392)*C392-G392)&lt;='Assumptions and Catalog'!$C$51,((D392+E392)*C392-G392)*'Assumptions and Catalog'!$H$51+'Assumptions and Catalog'!$E$51+'Assumptions and Catalog'!$F$51,IF(((D392+E392)*C392-G392)&lt;='Assumptions and Catalog'!$C$52,((D392+E392)*C392-G392)*'Assumptions and Catalog'!$H$52+'Assumptions and Catalog'!$E$52+'Assumptions and Catalog'!$F$52,IF(((D392+E392)*C392-G392)&lt;='Assumptions and Catalog'!$C$53,((D392+E392)*C392-G392)*'Assumptions and Catalog'!$H$53+'Assumptions and Catalog'!$E$53+'Assumptions and Catalog'!$F$53,IF(((D392+E392)*C392-G392)&lt;='Assumptions and Catalog'!$C$54,((D392+E392)*C392-G392)*'Assumptions and Catalog'!$H$54+'Assumptions and Catalog'!$E$54+'Assumptions and Catalog'!$F$54,IF(((D392+E392)*C392-G392)&lt;='Assumptions and Catalog'!$C$55,((D392+E392)*C392-G392)*'Assumptions and Catalog'!$H$55+'Assumptions and Catalog'!$E$55+'Assumptions and Catalog'!$F$55,IF(((D392+E392)*C392-G392)&lt;='Assumptions and Catalog'!$C$56,((D392+E392)*C392-G392)*'Assumptions and Catalog'!$H$56+'Assumptions and Catalog'!$E$56+'Assumptions and Catalog'!$F$56,IF(((D392+E392)*C392-G392)&lt;='Assumptions and Catalog'!$C$57,((D392+E392)*C392-G392)*'Assumptions and Catalog'!$H$57+'Assumptions and Catalog'!$E$57+'Assumptions and Catalog'!$F$57,"Out of range")))))))),IF(((D392+E392)*C392-G392)&lt;='Assumptions and Catalog'!$C$60,((D392+E392)*C392-G392)*'Assumptions and Catalog'!$H$60+'Assumptions and Catalog'!$E$60+'Assumptions and Catalog'!$F$60,IF(((D392+E392)*C392-G392)&lt;='Assumptions and Catalog'!$C$61,((D392+E392)*C392-G392)*'Assumptions and Catalog'!$H$61+'Assumptions and Catalog'!$E$61+'Assumptions and Catalog'!$F$61,IF(((D392+E392)*C392-G392)&lt;='Assumptions and Catalog'!$C$62,((D392+E392)*C392-G392)*'Assumptions and Catalog'!$H$62+'Assumptions and Catalog'!$E$62+'Assumptions and Catalog'!$F$62,IF(((D392+E392)*C392-G392)&lt;='Assumptions and Catalog'!$C$63,((D392+E392)*C392-G392)*'Assumptions and Catalog'!$H$63+'Assumptions and Catalog'!$E$63+'Assumptions and Catalog'!$F$63,IF(((D392+E392)*C392-G392)&lt;='Assumptions and Catalog'!$C$64,((D392+E392)*C392-G392)*'Assumptions and Catalog'!$H$64+'Assumptions and Catalog'!$E$64+'Assumptions and Catalog'!$F$64,IF(((D392+E392)*C392-G392)&lt;='Assumptions and Catalog'!$C$65,((D392+E392)*C392-G392)*'Assumptions and Catalog'!$H$65+'Assumptions and Catalog'!$E$65+'Assumptions and Catalog'!$F$65,"Out of range")))))))))*(1+'Assumptions and Catalog'!$C$8)^(A392-1),0)</f>
        <v>3453.61</v>
      </c>
      <c r="R392" s="5" t="n">
        <f>IF(AND('Assumptions and Catalog'!$C$19&gt;0,A392&gt;='Assumptions and Catalog'!$C$19),A392-'Assumptions and Catalog'!$C$19,A392-1)</f>
        <v>9</v>
      </c>
      <c r="S392" s="5" t="n">
        <f>F392+L392-(D392+E392)*C392-J392-K392-0</f>
        <v>0</v>
      </c>
      <c r="T392" s="5"/>
      <c r="U392" s="5"/>
    </row>
    <row r="393" ht="23.100000381469727" customHeight="1">
      <c r="A393" s="5" t="n">
        <v>20</v>
      </c>
      <c r="B393" s="5" t="n">
        <v>5</v>
      </c>
      <c r="C393" s="5" t="n">
        <f>DAY(DATE('Assumptions and Catalog'!$C$24+A393-1,B393+1,0))</f>
        <v>31</v>
      </c>
      <c r="D393" s="5" t="n">
        <f>IF(ISNUMBER(Inputs!$L$5),Inputs!$L$5*Inputs!$L$6,0)</f>
        <v>40.35</v>
      </c>
      <c r="E393" s="5" t="n">
        <f>IF(ISNUMBER(Inputs!$L$5),Inputs!$L$5-D393,0)</f>
        <v>40.35</v>
      </c>
      <c r="F393" s="5" t="n">
        <f>C$51*INDEX('Solar Production'!$D$20:$D$31,B393)*C393*(1-'Assumptions and Catalog'!$C$10)^(A393-1)</f>
        <v>1301.85358058544</v>
      </c>
      <c r="G393" s="5" t="n">
        <f>MIN(F393,D393*C393)</f>
        <v>1250.85</v>
      </c>
      <c r="H393" s="5" t="n">
        <f>I393/('Assumptions and Catalog'!$C$11*'Assumptions and Catalog'!$C$12)</f>
        <v>0</v>
      </c>
      <c r="I393" s="5" t="n">
        <f>0</f>
        <v>0</v>
      </c>
      <c r="J393" s="5" t="n">
        <f>MAX(F393-G393-H393,0)</f>
        <v>51.0035805854418</v>
      </c>
      <c r="K393" s="5" t="n">
        <f>H393-I393</f>
        <v>0</v>
      </c>
      <c r="L393" s="5" t="n">
        <f>(D393+E393)*C393-G393-I393+0+0</f>
        <v>1250.85</v>
      </c>
      <c r="M393" s="5" t="n">
        <f>IF(ISNUMBER(Inputs!$L$5),(IF(Inputs!$L$9="Actual flat rate",((D393+E393)*C393)*Inputs!$L$10,IF(Inputs!$C$9="Residential",IF(((D393+E393)*C393)&lt;='Assumptions and Catalog'!$C$50,((D393+E393)*C393)*'Assumptions and Catalog'!$H$50+'Assumptions and Catalog'!$E$50+'Assumptions and Catalog'!$F$50,IF(((D393+E393)*C393)&lt;='Assumptions and Catalog'!$C$51,((D393+E393)*C393)*'Assumptions and Catalog'!$H$51+'Assumptions and Catalog'!$E$51+'Assumptions and Catalog'!$F$51,IF(((D393+E393)*C393)&lt;='Assumptions and Catalog'!$C$52,((D393+E393)*C393)*'Assumptions and Catalog'!$H$52+'Assumptions and Catalog'!$E$52+'Assumptions and Catalog'!$F$52,IF(((D393+E393)*C393)&lt;='Assumptions and Catalog'!$C$53,((D393+E393)*C393)*'Assumptions and Catalog'!$H$53+'Assumptions and Catalog'!$E$53+'Assumptions and Catalog'!$F$53,IF(((D393+E393)*C393)&lt;='Assumptions and Catalog'!$C$54,((D393+E393)*C393)*'Assumptions and Catalog'!$H$54+'Assumptions and Catalog'!$E$54+'Assumptions and Catalog'!$F$54,IF(((D393+E393)*C393)&lt;='Assumptions and Catalog'!$C$55,((D393+E393)*C393)*'Assumptions and Catalog'!$H$55+'Assumptions and Catalog'!$E$55+'Assumptions and Catalog'!$F$55,IF(((D393+E393)*C393)&lt;='Assumptions and Catalog'!$C$56,((D393+E393)*C393)*'Assumptions and Catalog'!$H$56+'Assumptions and Catalog'!$E$56+'Assumptions and Catalog'!$F$56,IF(((D393+E393)*C393)&lt;='Assumptions and Catalog'!$C$57,((D393+E393)*C393)*'Assumptions and Catalog'!$H$57+'Assumptions and Catalog'!$E$57+'Assumptions and Catalog'!$F$57,"Out of range")))))))),IF(((D393+E393)*C393)&lt;='Assumptions and Catalog'!$C$60,((D393+E393)*C393)*'Assumptions and Catalog'!$H$60+'Assumptions and Catalog'!$E$60+'Assumptions and Catalog'!$F$60,IF(((D393+E393)*C393)&lt;='Assumptions and Catalog'!$C$61,((D393+E393)*C393)*'Assumptions and Catalog'!$H$61+'Assumptions and Catalog'!$E$61+'Assumptions and Catalog'!$F$61,IF(((D393+E393)*C393)&lt;='Assumptions and Catalog'!$C$62,((D393+E393)*C393)*'Assumptions and Catalog'!$H$62+'Assumptions and Catalog'!$E$62+'Assumptions and Catalog'!$F$62,IF(((D393+E393)*C393)&lt;='Assumptions and Catalog'!$C$63,((D393+E393)*C393)*'Assumptions and Catalog'!$H$63+'Assumptions and Catalog'!$E$63+'Assumptions and Catalog'!$F$63,IF(((D393+E393)*C393)&lt;='Assumptions and Catalog'!$C$64,((D393+E393)*C393)*'Assumptions and Catalog'!$H$64+'Assumptions and Catalog'!$E$64+'Assumptions and Catalog'!$F$64,IF(((D393+E393)*C393)&lt;='Assumptions and Catalog'!$C$65,((D393+E393)*C393)*'Assumptions and Catalog'!$H$65+'Assumptions and Catalog'!$E$65+'Assumptions and Catalog'!$F$65,"Out of range")))))))))*(1+'Assumptions and Catalog'!$C$8)^(A393-1),0)</f>
        <v>7094.794</v>
      </c>
      <c r="N393" s="5" t="n">
        <f>IF(ISNUMBER(Inputs!$L$5),(IF(Inputs!$L$9="Actual flat rate",L393*Inputs!$L$10,IF(Inputs!$C$9="Residential",IF(L393&lt;='Assumptions and Catalog'!$C$50,L393*'Assumptions and Catalog'!$H$50+'Assumptions and Catalog'!$E$50+'Assumptions and Catalog'!$F$50,IF(L393&lt;='Assumptions and Catalog'!$C$51,L393*'Assumptions and Catalog'!$H$51+'Assumptions and Catalog'!$E$51+'Assumptions and Catalog'!$F$51,IF(L393&lt;='Assumptions and Catalog'!$C$52,L393*'Assumptions and Catalog'!$H$52+'Assumptions and Catalog'!$E$52+'Assumptions and Catalog'!$F$52,IF(L393&lt;='Assumptions and Catalog'!$C$53,L393*'Assumptions and Catalog'!$H$53+'Assumptions and Catalog'!$E$53+'Assumptions and Catalog'!$F$53,IF(L393&lt;='Assumptions and Catalog'!$C$54,L393*'Assumptions and Catalog'!$H$54+'Assumptions and Catalog'!$E$54+'Assumptions and Catalog'!$F$54,IF(L393&lt;='Assumptions and Catalog'!$C$55,L393*'Assumptions and Catalog'!$H$55+'Assumptions and Catalog'!$E$55+'Assumptions and Catalog'!$F$55,IF(L393&lt;='Assumptions and Catalog'!$C$56,L393*'Assumptions and Catalog'!$H$56+'Assumptions and Catalog'!$E$56+'Assumptions and Catalog'!$F$56,IF(L393&lt;='Assumptions and Catalog'!$C$57,L393*'Assumptions and Catalog'!$H$57+'Assumptions and Catalog'!$E$57+'Assumptions and Catalog'!$F$57,"Out of range")))))))),IF(L393&lt;='Assumptions and Catalog'!$C$60,L393*'Assumptions and Catalog'!$H$60+'Assumptions and Catalog'!$E$60+'Assumptions and Catalog'!$F$60,IF(L393&lt;='Assumptions and Catalog'!$C$61,L393*'Assumptions and Catalog'!$H$61+'Assumptions and Catalog'!$E$61+'Assumptions and Catalog'!$F$61,IF(L393&lt;='Assumptions and Catalog'!$C$62,L393*'Assumptions and Catalog'!$H$62+'Assumptions and Catalog'!$E$62+'Assumptions and Catalog'!$F$62,IF(L393&lt;='Assumptions and Catalog'!$C$63,L393*'Assumptions and Catalog'!$H$63+'Assumptions and Catalog'!$E$63+'Assumptions and Catalog'!$F$63,IF(L393&lt;='Assumptions and Catalog'!$C$64,L393*'Assumptions and Catalog'!$H$64+'Assumptions and Catalog'!$E$64+'Assumptions and Catalog'!$F$64,IF(L393&lt;='Assumptions and Catalog'!$C$65,L393*'Assumptions and Catalog'!$H$65+'Assumptions and Catalog'!$E$65+'Assumptions and Catalog'!$F$65,"Out of range")))))))))*(1+'Assumptions and Catalog'!$C$8)^(A393-1),0)</f>
        <v>3567.397</v>
      </c>
      <c r="O393" s="5" t="n">
        <f>M393-N393</f>
        <v>3527.397</v>
      </c>
      <c r="P393" s="5" t="n">
        <f>C$55*(1-J$14)*(1-'Assumptions and Catalog'!$C$23)^R393</f>
        <v>0</v>
      </c>
      <c r="Q393" s="5" t="n">
        <f>IF(ISNUMBER(Inputs!$L$5),(IF(Inputs!$L$9="Actual flat rate",((D393+E393)*C393-G393)*Inputs!$L$10,IF(Inputs!$C$9="Residential",IF(((D393+E393)*C393-G393)&lt;='Assumptions and Catalog'!$C$50,((D393+E393)*C393-G393)*'Assumptions and Catalog'!$H$50+'Assumptions and Catalog'!$E$50+'Assumptions and Catalog'!$F$50,IF(((D393+E393)*C393-G393)&lt;='Assumptions and Catalog'!$C$51,((D393+E393)*C393-G393)*'Assumptions and Catalog'!$H$51+'Assumptions and Catalog'!$E$51+'Assumptions and Catalog'!$F$51,IF(((D393+E393)*C393-G393)&lt;='Assumptions and Catalog'!$C$52,((D393+E393)*C393-G393)*'Assumptions and Catalog'!$H$52+'Assumptions and Catalog'!$E$52+'Assumptions and Catalog'!$F$52,IF(((D393+E393)*C393-G393)&lt;='Assumptions and Catalog'!$C$53,((D393+E393)*C393-G393)*'Assumptions and Catalog'!$H$53+'Assumptions and Catalog'!$E$53+'Assumptions and Catalog'!$F$53,IF(((D393+E393)*C393-G393)&lt;='Assumptions and Catalog'!$C$54,((D393+E393)*C393-G393)*'Assumptions and Catalog'!$H$54+'Assumptions and Catalog'!$E$54+'Assumptions and Catalog'!$F$54,IF(((D393+E393)*C393-G393)&lt;='Assumptions and Catalog'!$C$55,((D393+E393)*C393-G393)*'Assumptions and Catalog'!$H$55+'Assumptions and Catalog'!$E$55+'Assumptions and Catalog'!$F$55,IF(((D393+E393)*C393-G393)&lt;='Assumptions and Catalog'!$C$56,((D393+E393)*C393-G393)*'Assumptions and Catalog'!$H$56+'Assumptions and Catalog'!$E$56+'Assumptions and Catalog'!$F$56,IF(((D393+E393)*C393-G393)&lt;='Assumptions and Catalog'!$C$57,((D393+E393)*C393-G393)*'Assumptions and Catalog'!$H$57+'Assumptions and Catalog'!$E$57+'Assumptions and Catalog'!$F$57,"Out of range")))))))),IF(((D393+E393)*C393-G393)&lt;='Assumptions and Catalog'!$C$60,((D393+E393)*C393-G393)*'Assumptions and Catalog'!$H$60+'Assumptions and Catalog'!$E$60+'Assumptions and Catalog'!$F$60,IF(((D393+E393)*C393-G393)&lt;='Assumptions and Catalog'!$C$61,((D393+E393)*C393-G393)*'Assumptions and Catalog'!$H$61+'Assumptions and Catalog'!$E$61+'Assumptions and Catalog'!$F$61,IF(((D393+E393)*C393-G393)&lt;='Assumptions and Catalog'!$C$62,((D393+E393)*C393-G393)*'Assumptions and Catalog'!$H$62+'Assumptions and Catalog'!$E$62+'Assumptions and Catalog'!$F$62,IF(((D393+E393)*C393-G393)&lt;='Assumptions and Catalog'!$C$63,((D393+E393)*C393-G393)*'Assumptions and Catalog'!$H$63+'Assumptions and Catalog'!$E$63+'Assumptions and Catalog'!$F$63,IF(((D393+E393)*C393-G393)&lt;='Assumptions and Catalog'!$C$64,((D393+E393)*C393-G393)*'Assumptions and Catalog'!$H$64+'Assumptions and Catalog'!$E$64+'Assumptions and Catalog'!$F$64,IF(((D393+E393)*C393-G393)&lt;='Assumptions and Catalog'!$C$65,((D393+E393)*C393-G393)*'Assumptions and Catalog'!$H$65+'Assumptions and Catalog'!$E$65+'Assumptions and Catalog'!$F$65,"Out of range")))))))))*(1+'Assumptions and Catalog'!$C$8)^(A393-1),0)</f>
        <v>3567.397</v>
      </c>
      <c r="R393" s="5" t="n">
        <f>IF(AND('Assumptions and Catalog'!$C$19&gt;0,A393&gt;='Assumptions and Catalog'!$C$19),A393-'Assumptions and Catalog'!$C$19,A393-1)</f>
        <v>9</v>
      </c>
      <c r="S393" s="5" t="n">
        <f>F393+L393-(D393+E393)*C393-J393-K393-0</f>
        <v>0</v>
      </c>
      <c r="T393" s="5"/>
      <c r="U393" s="5"/>
    </row>
    <row r="394" ht="23.100000381469727" customHeight="1">
      <c r="A394" s="5" t="n">
        <v>20</v>
      </c>
      <c r="B394" s="5" t="n">
        <v>6</v>
      </c>
      <c r="C394" s="5" t="n">
        <f>DAY(DATE('Assumptions and Catalog'!$C$24+A394-1,B394+1,0))</f>
        <v>30</v>
      </c>
      <c r="D394" s="5" t="n">
        <f>IF(ISNUMBER(Inputs!$L$5),Inputs!$L$5*Inputs!$L$6,0)</f>
        <v>40.35</v>
      </c>
      <c r="E394" s="5" t="n">
        <f>IF(ISNUMBER(Inputs!$L$5),Inputs!$L$5-D394,0)</f>
        <v>40.35</v>
      </c>
      <c r="F394" s="5" t="n">
        <f>C$51*INDEX('Solar Production'!$D$20:$D$31,B394)*C394*(1-'Assumptions and Catalog'!$C$10)^(A394-1)</f>
        <v>1269.05122266754</v>
      </c>
      <c r="G394" s="5" t="n">
        <f>MIN(F394,D394*C394)</f>
        <v>1210.5</v>
      </c>
      <c r="H394" s="5" t="n">
        <f>I394/('Assumptions and Catalog'!$C$11*'Assumptions and Catalog'!$C$12)</f>
        <v>0</v>
      </c>
      <c r="I394" s="5" t="n">
        <f>0</f>
        <v>0</v>
      </c>
      <c r="J394" s="5" t="n">
        <f>MAX(F394-G394-H394,0)</f>
        <v>58.5512226675444</v>
      </c>
      <c r="K394" s="5" t="n">
        <f>H394-I394</f>
        <v>0</v>
      </c>
      <c r="L394" s="5" t="n">
        <f>(D394+E394)*C394-G394-I394+0+0</f>
        <v>1210.5</v>
      </c>
      <c r="M394" s="5" t="n">
        <f>IF(ISNUMBER(Inputs!$L$5),(IF(Inputs!$L$9="Actual flat rate",((D394+E394)*C394)*Inputs!$L$10,IF(Inputs!$C$9="Residential",IF(((D394+E394)*C394)&lt;='Assumptions and Catalog'!$C$50,((D394+E394)*C394)*'Assumptions and Catalog'!$H$50+'Assumptions and Catalog'!$E$50+'Assumptions and Catalog'!$F$50,IF(((D394+E394)*C394)&lt;='Assumptions and Catalog'!$C$51,((D394+E394)*C394)*'Assumptions and Catalog'!$H$51+'Assumptions and Catalog'!$E$51+'Assumptions and Catalog'!$F$51,IF(((D394+E394)*C394)&lt;='Assumptions and Catalog'!$C$52,((D394+E394)*C394)*'Assumptions and Catalog'!$H$52+'Assumptions and Catalog'!$E$52+'Assumptions and Catalog'!$F$52,IF(((D394+E394)*C394)&lt;='Assumptions and Catalog'!$C$53,((D394+E394)*C394)*'Assumptions and Catalog'!$H$53+'Assumptions and Catalog'!$E$53+'Assumptions and Catalog'!$F$53,IF(((D394+E394)*C394)&lt;='Assumptions and Catalog'!$C$54,((D394+E394)*C394)*'Assumptions and Catalog'!$H$54+'Assumptions and Catalog'!$E$54+'Assumptions and Catalog'!$F$54,IF(((D394+E394)*C394)&lt;='Assumptions and Catalog'!$C$55,((D394+E394)*C394)*'Assumptions and Catalog'!$H$55+'Assumptions and Catalog'!$E$55+'Assumptions and Catalog'!$F$55,IF(((D394+E394)*C394)&lt;='Assumptions and Catalog'!$C$56,((D394+E394)*C394)*'Assumptions and Catalog'!$H$56+'Assumptions and Catalog'!$E$56+'Assumptions and Catalog'!$F$56,IF(((D394+E394)*C394)&lt;='Assumptions and Catalog'!$C$57,((D394+E394)*C394)*'Assumptions and Catalog'!$H$57+'Assumptions and Catalog'!$E$57+'Assumptions and Catalog'!$F$57,"Out of range")))))))),IF(((D394+E394)*C394)&lt;='Assumptions and Catalog'!$C$60,((D394+E394)*C394)*'Assumptions and Catalog'!$H$60+'Assumptions and Catalog'!$E$60+'Assumptions and Catalog'!$F$60,IF(((D394+E394)*C394)&lt;='Assumptions and Catalog'!$C$61,((D394+E394)*C394)*'Assumptions and Catalog'!$H$61+'Assumptions and Catalog'!$E$61+'Assumptions and Catalog'!$F$61,IF(((D394+E394)*C394)&lt;='Assumptions and Catalog'!$C$62,((D394+E394)*C394)*'Assumptions and Catalog'!$H$62+'Assumptions and Catalog'!$E$62+'Assumptions and Catalog'!$F$62,IF(((D394+E394)*C394)&lt;='Assumptions and Catalog'!$C$63,((D394+E394)*C394)*'Assumptions and Catalog'!$H$63+'Assumptions and Catalog'!$E$63+'Assumptions and Catalog'!$F$63,IF(((D394+E394)*C394)&lt;='Assumptions and Catalog'!$C$64,((D394+E394)*C394)*'Assumptions and Catalog'!$H$64+'Assumptions and Catalog'!$E$64+'Assumptions and Catalog'!$F$64,IF(((D394+E394)*C394)&lt;='Assumptions and Catalog'!$C$65,((D394+E394)*C394)*'Assumptions and Catalog'!$H$65+'Assumptions and Catalog'!$E$65+'Assumptions and Catalog'!$F$65,"Out of range")))))))))*(1+'Assumptions and Catalog'!$C$8)^(A394-1),0)</f>
        <v>6867.22</v>
      </c>
      <c r="N394" s="5" t="n">
        <f>IF(ISNUMBER(Inputs!$L$5),(IF(Inputs!$L$9="Actual flat rate",L394*Inputs!$L$10,IF(Inputs!$C$9="Residential",IF(L394&lt;='Assumptions and Catalog'!$C$50,L394*'Assumptions and Catalog'!$H$50+'Assumptions and Catalog'!$E$50+'Assumptions and Catalog'!$F$50,IF(L394&lt;='Assumptions and Catalog'!$C$51,L394*'Assumptions and Catalog'!$H$51+'Assumptions and Catalog'!$E$51+'Assumptions and Catalog'!$F$51,IF(L394&lt;='Assumptions and Catalog'!$C$52,L394*'Assumptions and Catalog'!$H$52+'Assumptions and Catalog'!$E$52+'Assumptions and Catalog'!$F$52,IF(L394&lt;='Assumptions and Catalog'!$C$53,L394*'Assumptions and Catalog'!$H$53+'Assumptions and Catalog'!$E$53+'Assumptions and Catalog'!$F$53,IF(L394&lt;='Assumptions and Catalog'!$C$54,L394*'Assumptions and Catalog'!$H$54+'Assumptions and Catalog'!$E$54+'Assumptions and Catalog'!$F$54,IF(L394&lt;='Assumptions and Catalog'!$C$55,L394*'Assumptions and Catalog'!$H$55+'Assumptions and Catalog'!$E$55+'Assumptions and Catalog'!$F$55,IF(L394&lt;='Assumptions and Catalog'!$C$56,L394*'Assumptions and Catalog'!$H$56+'Assumptions and Catalog'!$E$56+'Assumptions and Catalog'!$F$56,IF(L394&lt;='Assumptions and Catalog'!$C$57,L394*'Assumptions and Catalog'!$H$57+'Assumptions and Catalog'!$E$57+'Assumptions and Catalog'!$F$57,"Out of range")))))))),IF(L394&lt;='Assumptions and Catalog'!$C$60,L394*'Assumptions and Catalog'!$H$60+'Assumptions and Catalog'!$E$60+'Assumptions and Catalog'!$F$60,IF(L394&lt;='Assumptions and Catalog'!$C$61,L394*'Assumptions and Catalog'!$H$61+'Assumptions and Catalog'!$E$61+'Assumptions and Catalog'!$F$61,IF(L394&lt;='Assumptions and Catalog'!$C$62,L394*'Assumptions and Catalog'!$H$62+'Assumptions and Catalog'!$E$62+'Assumptions and Catalog'!$F$62,IF(L394&lt;='Assumptions and Catalog'!$C$63,L394*'Assumptions and Catalog'!$H$63+'Assumptions and Catalog'!$E$63+'Assumptions and Catalog'!$F$63,IF(L394&lt;='Assumptions and Catalog'!$C$64,L394*'Assumptions and Catalog'!$H$64+'Assumptions and Catalog'!$E$64+'Assumptions and Catalog'!$F$64,IF(L394&lt;='Assumptions and Catalog'!$C$65,L394*'Assumptions and Catalog'!$H$65+'Assumptions and Catalog'!$E$65+'Assumptions and Catalog'!$F$65,"Out of range")))))))))*(1+'Assumptions and Catalog'!$C$8)^(A394-1),0)</f>
        <v>3453.61</v>
      </c>
      <c r="O394" s="5" t="n">
        <f>M394-N394</f>
        <v>3413.61</v>
      </c>
      <c r="P394" s="5" t="n">
        <f>C$55*(1-J$14)*(1-'Assumptions and Catalog'!$C$23)^R394</f>
        <v>0</v>
      </c>
      <c r="Q394" s="5" t="n">
        <f>IF(ISNUMBER(Inputs!$L$5),(IF(Inputs!$L$9="Actual flat rate",((D394+E394)*C394-G394)*Inputs!$L$10,IF(Inputs!$C$9="Residential",IF(((D394+E394)*C394-G394)&lt;='Assumptions and Catalog'!$C$50,((D394+E394)*C394-G394)*'Assumptions and Catalog'!$H$50+'Assumptions and Catalog'!$E$50+'Assumptions and Catalog'!$F$50,IF(((D394+E394)*C394-G394)&lt;='Assumptions and Catalog'!$C$51,((D394+E394)*C394-G394)*'Assumptions and Catalog'!$H$51+'Assumptions and Catalog'!$E$51+'Assumptions and Catalog'!$F$51,IF(((D394+E394)*C394-G394)&lt;='Assumptions and Catalog'!$C$52,((D394+E394)*C394-G394)*'Assumptions and Catalog'!$H$52+'Assumptions and Catalog'!$E$52+'Assumptions and Catalog'!$F$52,IF(((D394+E394)*C394-G394)&lt;='Assumptions and Catalog'!$C$53,((D394+E394)*C394-G394)*'Assumptions and Catalog'!$H$53+'Assumptions and Catalog'!$E$53+'Assumptions and Catalog'!$F$53,IF(((D394+E394)*C394-G394)&lt;='Assumptions and Catalog'!$C$54,((D394+E394)*C394-G394)*'Assumptions and Catalog'!$H$54+'Assumptions and Catalog'!$E$54+'Assumptions and Catalog'!$F$54,IF(((D394+E394)*C394-G394)&lt;='Assumptions and Catalog'!$C$55,((D394+E394)*C394-G394)*'Assumptions and Catalog'!$H$55+'Assumptions and Catalog'!$E$55+'Assumptions and Catalog'!$F$55,IF(((D394+E394)*C394-G394)&lt;='Assumptions and Catalog'!$C$56,((D394+E394)*C394-G394)*'Assumptions and Catalog'!$H$56+'Assumptions and Catalog'!$E$56+'Assumptions and Catalog'!$F$56,IF(((D394+E394)*C394-G394)&lt;='Assumptions and Catalog'!$C$57,((D394+E394)*C394-G394)*'Assumptions and Catalog'!$H$57+'Assumptions and Catalog'!$E$57+'Assumptions and Catalog'!$F$57,"Out of range")))))))),IF(((D394+E394)*C394-G394)&lt;='Assumptions and Catalog'!$C$60,((D394+E394)*C394-G394)*'Assumptions and Catalog'!$H$60+'Assumptions and Catalog'!$E$60+'Assumptions and Catalog'!$F$60,IF(((D394+E394)*C394-G394)&lt;='Assumptions and Catalog'!$C$61,((D394+E394)*C394-G394)*'Assumptions and Catalog'!$H$61+'Assumptions and Catalog'!$E$61+'Assumptions and Catalog'!$F$61,IF(((D394+E394)*C394-G394)&lt;='Assumptions and Catalog'!$C$62,((D394+E394)*C394-G394)*'Assumptions and Catalog'!$H$62+'Assumptions and Catalog'!$E$62+'Assumptions and Catalog'!$F$62,IF(((D394+E394)*C394-G394)&lt;='Assumptions and Catalog'!$C$63,((D394+E394)*C394-G394)*'Assumptions and Catalog'!$H$63+'Assumptions and Catalog'!$E$63+'Assumptions and Catalog'!$F$63,IF(((D394+E394)*C394-G394)&lt;='Assumptions and Catalog'!$C$64,((D394+E394)*C394-G394)*'Assumptions and Catalog'!$H$64+'Assumptions and Catalog'!$E$64+'Assumptions and Catalog'!$F$64,IF(((D394+E394)*C394-G394)&lt;='Assumptions and Catalog'!$C$65,((D394+E394)*C394-G394)*'Assumptions and Catalog'!$H$65+'Assumptions and Catalog'!$E$65+'Assumptions and Catalog'!$F$65,"Out of range")))))))))*(1+'Assumptions and Catalog'!$C$8)^(A394-1),0)</f>
        <v>3453.61</v>
      </c>
      <c r="R394" s="5" t="n">
        <f>IF(AND('Assumptions and Catalog'!$C$19&gt;0,A394&gt;='Assumptions and Catalog'!$C$19),A394-'Assumptions and Catalog'!$C$19,A394-1)</f>
        <v>9</v>
      </c>
      <c r="S394" s="5" t="n">
        <f>F394+L394-(D394+E394)*C394-J394-K394-0</f>
        <v>2.27373675443232E-013</v>
      </c>
      <c r="T394" s="5"/>
      <c r="U394" s="5"/>
    </row>
    <row r="395" ht="23.100000381469727" customHeight="1">
      <c r="A395" s="5" t="n">
        <v>20</v>
      </c>
      <c r="B395" s="5" t="n">
        <v>7</v>
      </c>
      <c r="C395" s="5" t="n">
        <f>DAY(DATE('Assumptions and Catalog'!$C$24+A395-1,B395+1,0))</f>
        <v>31</v>
      </c>
      <c r="D395" s="5" t="n">
        <f>IF(ISNUMBER(Inputs!$L$5),Inputs!$L$5*Inputs!$L$6,0)</f>
        <v>40.35</v>
      </c>
      <c r="E395" s="5" t="n">
        <f>IF(ISNUMBER(Inputs!$L$5),Inputs!$L$5-D395,0)</f>
        <v>40.35</v>
      </c>
      <c r="F395" s="5" t="n">
        <f>C$51*INDEX('Solar Production'!$D$20:$D$31,B395)*C395*(1-'Assumptions and Catalog'!$C$10)^(A395-1)</f>
        <v>1317.37469628318</v>
      </c>
      <c r="G395" s="5" t="n">
        <f>MIN(F395,D395*C395)</f>
        <v>1250.85</v>
      </c>
      <c r="H395" s="5" t="n">
        <f>I395/('Assumptions and Catalog'!$C$11*'Assumptions and Catalog'!$C$12)</f>
        <v>0</v>
      </c>
      <c r="I395" s="5" t="n">
        <f>0</f>
        <v>0</v>
      </c>
      <c r="J395" s="5" t="n">
        <f>MAX(F395-G395-H395,0)</f>
        <v>66.5246962831789</v>
      </c>
      <c r="K395" s="5" t="n">
        <f>H395-I395</f>
        <v>0</v>
      </c>
      <c r="L395" s="5" t="n">
        <f>(D395+E395)*C395-G395-I395+0+0</f>
        <v>1250.85</v>
      </c>
      <c r="M395" s="5" t="n">
        <f>IF(ISNUMBER(Inputs!$L$5),(IF(Inputs!$L$9="Actual flat rate",((D395+E395)*C395)*Inputs!$L$10,IF(Inputs!$C$9="Residential",IF(((D395+E395)*C395)&lt;='Assumptions and Catalog'!$C$50,((D395+E395)*C395)*'Assumptions and Catalog'!$H$50+'Assumptions and Catalog'!$E$50+'Assumptions and Catalog'!$F$50,IF(((D395+E395)*C395)&lt;='Assumptions and Catalog'!$C$51,((D395+E395)*C395)*'Assumptions and Catalog'!$H$51+'Assumptions and Catalog'!$E$51+'Assumptions and Catalog'!$F$51,IF(((D395+E395)*C395)&lt;='Assumptions and Catalog'!$C$52,((D395+E395)*C395)*'Assumptions and Catalog'!$H$52+'Assumptions and Catalog'!$E$52+'Assumptions and Catalog'!$F$52,IF(((D395+E395)*C395)&lt;='Assumptions and Catalog'!$C$53,((D395+E395)*C395)*'Assumptions and Catalog'!$H$53+'Assumptions and Catalog'!$E$53+'Assumptions and Catalog'!$F$53,IF(((D395+E395)*C395)&lt;='Assumptions and Catalog'!$C$54,((D395+E395)*C395)*'Assumptions and Catalog'!$H$54+'Assumptions and Catalog'!$E$54+'Assumptions and Catalog'!$F$54,IF(((D395+E395)*C395)&lt;='Assumptions and Catalog'!$C$55,((D395+E395)*C395)*'Assumptions and Catalog'!$H$55+'Assumptions and Catalog'!$E$55+'Assumptions and Catalog'!$F$55,IF(((D395+E395)*C395)&lt;='Assumptions and Catalog'!$C$56,((D395+E395)*C395)*'Assumptions and Catalog'!$H$56+'Assumptions and Catalog'!$E$56+'Assumptions and Catalog'!$F$56,IF(((D395+E395)*C395)&lt;='Assumptions and Catalog'!$C$57,((D395+E395)*C395)*'Assumptions and Catalog'!$H$57+'Assumptions and Catalog'!$E$57+'Assumptions and Catalog'!$F$57,"Out of range")))))))),IF(((D395+E395)*C395)&lt;='Assumptions and Catalog'!$C$60,((D395+E395)*C395)*'Assumptions and Catalog'!$H$60+'Assumptions and Catalog'!$E$60+'Assumptions and Catalog'!$F$60,IF(((D395+E395)*C395)&lt;='Assumptions and Catalog'!$C$61,((D395+E395)*C395)*'Assumptions and Catalog'!$H$61+'Assumptions and Catalog'!$E$61+'Assumptions and Catalog'!$F$61,IF(((D395+E395)*C395)&lt;='Assumptions and Catalog'!$C$62,((D395+E395)*C395)*'Assumptions and Catalog'!$H$62+'Assumptions and Catalog'!$E$62+'Assumptions and Catalog'!$F$62,IF(((D395+E395)*C395)&lt;='Assumptions and Catalog'!$C$63,((D395+E395)*C395)*'Assumptions and Catalog'!$H$63+'Assumptions and Catalog'!$E$63+'Assumptions and Catalog'!$F$63,IF(((D395+E395)*C395)&lt;='Assumptions and Catalog'!$C$64,((D395+E395)*C395)*'Assumptions and Catalog'!$H$64+'Assumptions and Catalog'!$E$64+'Assumptions and Catalog'!$F$64,IF(((D395+E395)*C395)&lt;='Assumptions and Catalog'!$C$65,((D395+E395)*C395)*'Assumptions and Catalog'!$H$65+'Assumptions and Catalog'!$E$65+'Assumptions and Catalog'!$F$65,"Out of range")))))))))*(1+'Assumptions and Catalog'!$C$8)^(A395-1),0)</f>
        <v>7094.794</v>
      </c>
      <c r="N395" s="5" t="n">
        <f>IF(ISNUMBER(Inputs!$L$5),(IF(Inputs!$L$9="Actual flat rate",L395*Inputs!$L$10,IF(Inputs!$C$9="Residential",IF(L395&lt;='Assumptions and Catalog'!$C$50,L395*'Assumptions and Catalog'!$H$50+'Assumptions and Catalog'!$E$50+'Assumptions and Catalog'!$F$50,IF(L395&lt;='Assumptions and Catalog'!$C$51,L395*'Assumptions and Catalog'!$H$51+'Assumptions and Catalog'!$E$51+'Assumptions and Catalog'!$F$51,IF(L395&lt;='Assumptions and Catalog'!$C$52,L395*'Assumptions and Catalog'!$H$52+'Assumptions and Catalog'!$E$52+'Assumptions and Catalog'!$F$52,IF(L395&lt;='Assumptions and Catalog'!$C$53,L395*'Assumptions and Catalog'!$H$53+'Assumptions and Catalog'!$E$53+'Assumptions and Catalog'!$F$53,IF(L395&lt;='Assumptions and Catalog'!$C$54,L395*'Assumptions and Catalog'!$H$54+'Assumptions and Catalog'!$E$54+'Assumptions and Catalog'!$F$54,IF(L395&lt;='Assumptions and Catalog'!$C$55,L395*'Assumptions and Catalog'!$H$55+'Assumptions and Catalog'!$E$55+'Assumptions and Catalog'!$F$55,IF(L395&lt;='Assumptions and Catalog'!$C$56,L395*'Assumptions and Catalog'!$H$56+'Assumptions and Catalog'!$E$56+'Assumptions and Catalog'!$F$56,IF(L395&lt;='Assumptions and Catalog'!$C$57,L395*'Assumptions and Catalog'!$H$57+'Assumptions and Catalog'!$E$57+'Assumptions and Catalog'!$F$57,"Out of range")))))))),IF(L395&lt;='Assumptions and Catalog'!$C$60,L395*'Assumptions and Catalog'!$H$60+'Assumptions and Catalog'!$E$60+'Assumptions and Catalog'!$F$60,IF(L395&lt;='Assumptions and Catalog'!$C$61,L395*'Assumptions and Catalog'!$H$61+'Assumptions and Catalog'!$E$61+'Assumptions and Catalog'!$F$61,IF(L395&lt;='Assumptions and Catalog'!$C$62,L395*'Assumptions and Catalog'!$H$62+'Assumptions and Catalog'!$E$62+'Assumptions and Catalog'!$F$62,IF(L395&lt;='Assumptions and Catalog'!$C$63,L395*'Assumptions and Catalog'!$H$63+'Assumptions and Catalog'!$E$63+'Assumptions and Catalog'!$F$63,IF(L395&lt;='Assumptions and Catalog'!$C$64,L395*'Assumptions and Catalog'!$H$64+'Assumptions and Catalog'!$E$64+'Assumptions and Catalog'!$F$64,IF(L395&lt;='Assumptions and Catalog'!$C$65,L395*'Assumptions and Catalog'!$H$65+'Assumptions and Catalog'!$E$65+'Assumptions and Catalog'!$F$65,"Out of range")))))))))*(1+'Assumptions and Catalog'!$C$8)^(A395-1),0)</f>
        <v>3567.397</v>
      </c>
      <c r="O395" s="5" t="n">
        <f>M395-N395</f>
        <v>3527.397</v>
      </c>
      <c r="P395" s="5" t="n">
        <f>C$55*(1-J$14)*(1-'Assumptions and Catalog'!$C$23)^R395</f>
        <v>0</v>
      </c>
      <c r="Q395" s="5" t="n">
        <f>IF(ISNUMBER(Inputs!$L$5),(IF(Inputs!$L$9="Actual flat rate",((D395+E395)*C395-G395)*Inputs!$L$10,IF(Inputs!$C$9="Residential",IF(((D395+E395)*C395-G395)&lt;='Assumptions and Catalog'!$C$50,((D395+E395)*C395-G395)*'Assumptions and Catalog'!$H$50+'Assumptions and Catalog'!$E$50+'Assumptions and Catalog'!$F$50,IF(((D395+E395)*C395-G395)&lt;='Assumptions and Catalog'!$C$51,((D395+E395)*C395-G395)*'Assumptions and Catalog'!$H$51+'Assumptions and Catalog'!$E$51+'Assumptions and Catalog'!$F$51,IF(((D395+E395)*C395-G395)&lt;='Assumptions and Catalog'!$C$52,((D395+E395)*C395-G395)*'Assumptions and Catalog'!$H$52+'Assumptions and Catalog'!$E$52+'Assumptions and Catalog'!$F$52,IF(((D395+E395)*C395-G395)&lt;='Assumptions and Catalog'!$C$53,((D395+E395)*C395-G395)*'Assumptions and Catalog'!$H$53+'Assumptions and Catalog'!$E$53+'Assumptions and Catalog'!$F$53,IF(((D395+E395)*C395-G395)&lt;='Assumptions and Catalog'!$C$54,((D395+E395)*C395-G395)*'Assumptions and Catalog'!$H$54+'Assumptions and Catalog'!$E$54+'Assumptions and Catalog'!$F$54,IF(((D395+E395)*C395-G395)&lt;='Assumptions and Catalog'!$C$55,((D395+E395)*C395-G395)*'Assumptions and Catalog'!$H$55+'Assumptions and Catalog'!$E$55+'Assumptions and Catalog'!$F$55,IF(((D395+E395)*C395-G395)&lt;='Assumptions and Catalog'!$C$56,((D395+E395)*C395-G395)*'Assumptions and Catalog'!$H$56+'Assumptions and Catalog'!$E$56+'Assumptions and Catalog'!$F$56,IF(((D395+E395)*C395-G395)&lt;='Assumptions and Catalog'!$C$57,((D395+E395)*C395-G395)*'Assumptions and Catalog'!$H$57+'Assumptions and Catalog'!$E$57+'Assumptions and Catalog'!$F$57,"Out of range")))))))),IF(((D395+E395)*C395-G395)&lt;='Assumptions and Catalog'!$C$60,((D395+E395)*C395-G395)*'Assumptions and Catalog'!$H$60+'Assumptions and Catalog'!$E$60+'Assumptions and Catalog'!$F$60,IF(((D395+E395)*C395-G395)&lt;='Assumptions and Catalog'!$C$61,((D395+E395)*C395-G395)*'Assumptions and Catalog'!$H$61+'Assumptions and Catalog'!$E$61+'Assumptions and Catalog'!$F$61,IF(((D395+E395)*C395-G395)&lt;='Assumptions and Catalog'!$C$62,((D395+E395)*C395-G395)*'Assumptions and Catalog'!$H$62+'Assumptions and Catalog'!$E$62+'Assumptions and Catalog'!$F$62,IF(((D395+E395)*C395-G395)&lt;='Assumptions and Catalog'!$C$63,((D395+E395)*C395-G395)*'Assumptions and Catalog'!$H$63+'Assumptions and Catalog'!$E$63+'Assumptions and Catalog'!$F$63,IF(((D395+E395)*C395-G395)&lt;='Assumptions and Catalog'!$C$64,((D395+E395)*C395-G395)*'Assumptions and Catalog'!$H$64+'Assumptions and Catalog'!$E$64+'Assumptions and Catalog'!$F$64,IF(((D395+E395)*C395-G395)&lt;='Assumptions and Catalog'!$C$65,((D395+E395)*C395-G395)*'Assumptions and Catalog'!$H$65+'Assumptions and Catalog'!$E$65+'Assumptions and Catalog'!$F$65,"Out of range")))))))))*(1+'Assumptions and Catalog'!$C$8)^(A395-1),0)</f>
        <v>3567.397</v>
      </c>
      <c r="R395" s="5" t="n">
        <f>IF(AND('Assumptions and Catalog'!$C$19&gt;0,A395&gt;='Assumptions and Catalog'!$C$19),A395-'Assumptions and Catalog'!$C$19,A395-1)</f>
        <v>9</v>
      </c>
      <c r="S395" s="5" t="n">
        <f>F395+L395-(D395+E395)*C395-J395-K395-0</f>
        <v>0</v>
      </c>
      <c r="T395" s="5"/>
      <c r="U395" s="5"/>
    </row>
    <row r="396" ht="23.100000381469727" customHeight="1">
      <c r="A396" s="5" t="n">
        <v>20</v>
      </c>
      <c r="B396" s="5" t="n">
        <v>8</v>
      </c>
      <c r="C396" s="5" t="n">
        <f>DAY(DATE('Assumptions and Catalog'!$C$24+A396-1,B396+1,0))</f>
        <v>31</v>
      </c>
      <c r="D396" s="5" t="n">
        <f>IF(ISNUMBER(Inputs!$L$5),Inputs!$L$5*Inputs!$L$6,0)</f>
        <v>40.35</v>
      </c>
      <c r="E396" s="5" t="n">
        <f>IF(ISNUMBER(Inputs!$L$5),Inputs!$L$5-D396,0)</f>
        <v>40.35</v>
      </c>
      <c r="F396" s="5" t="n">
        <f>C$51*INDEX('Solar Production'!$D$20:$D$31,B396)*C396*(1-'Assumptions and Catalog'!$C$10)^(A396-1)</f>
        <v>1334.4959270013</v>
      </c>
      <c r="G396" s="5" t="n">
        <f>MIN(F396,D396*C396)</f>
        <v>1250.85</v>
      </c>
      <c r="H396" s="5" t="n">
        <f>I396/('Assumptions and Catalog'!$C$11*'Assumptions and Catalog'!$C$12)</f>
        <v>0</v>
      </c>
      <c r="I396" s="5" t="n">
        <f>0</f>
        <v>0</v>
      </c>
      <c r="J396" s="5" t="n">
        <f>MAX(F396-G396-H396,0)</f>
        <v>83.6459270013013</v>
      </c>
      <c r="K396" s="5" t="n">
        <f>H396-I396</f>
        <v>0</v>
      </c>
      <c r="L396" s="5" t="n">
        <f>(D396+E396)*C396-G396-I396+0+0</f>
        <v>1250.85</v>
      </c>
      <c r="M396" s="5" t="n">
        <f>IF(ISNUMBER(Inputs!$L$5),(IF(Inputs!$L$9="Actual flat rate",((D396+E396)*C396)*Inputs!$L$10,IF(Inputs!$C$9="Residential",IF(((D396+E396)*C396)&lt;='Assumptions and Catalog'!$C$50,((D396+E396)*C396)*'Assumptions and Catalog'!$H$50+'Assumptions and Catalog'!$E$50+'Assumptions and Catalog'!$F$50,IF(((D396+E396)*C396)&lt;='Assumptions and Catalog'!$C$51,((D396+E396)*C396)*'Assumptions and Catalog'!$H$51+'Assumptions and Catalog'!$E$51+'Assumptions and Catalog'!$F$51,IF(((D396+E396)*C396)&lt;='Assumptions and Catalog'!$C$52,((D396+E396)*C396)*'Assumptions and Catalog'!$H$52+'Assumptions and Catalog'!$E$52+'Assumptions and Catalog'!$F$52,IF(((D396+E396)*C396)&lt;='Assumptions and Catalog'!$C$53,((D396+E396)*C396)*'Assumptions and Catalog'!$H$53+'Assumptions and Catalog'!$E$53+'Assumptions and Catalog'!$F$53,IF(((D396+E396)*C396)&lt;='Assumptions and Catalog'!$C$54,((D396+E396)*C396)*'Assumptions and Catalog'!$H$54+'Assumptions and Catalog'!$E$54+'Assumptions and Catalog'!$F$54,IF(((D396+E396)*C396)&lt;='Assumptions and Catalog'!$C$55,((D396+E396)*C396)*'Assumptions and Catalog'!$H$55+'Assumptions and Catalog'!$E$55+'Assumptions and Catalog'!$F$55,IF(((D396+E396)*C396)&lt;='Assumptions and Catalog'!$C$56,((D396+E396)*C396)*'Assumptions and Catalog'!$H$56+'Assumptions and Catalog'!$E$56+'Assumptions and Catalog'!$F$56,IF(((D396+E396)*C396)&lt;='Assumptions and Catalog'!$C$57,((D396+E396)*C396)*'Assumptions and Catalog'!$H$57+'Assumptions and Catalog'!$E$57+'Assumptions and Catalog'!$F$57,"Out of range")))))))),IF(((D396+E396)*C396)&lt;='Assumptions and Catalog'!$C$60,((D396+E396)*C396)*'Assumptions and Catalog'!$H$60+'Assumptions and Catalog'!$E$60+'Assumptions and Catalog'!$F$60,IF(((D396+E396)*C396)&lt;='Assumptions and Catalog'!$C$61,((D396+E396)*C396)*'Assumptions and Catalog'!$H$61+'Assumptions and Catalog'!$E$61+'Assumptions and Catalog'!$F$61,IF(((D396+E396)*C396)&lt;='Assumptions and Catalog'!$C$62,((D396+E396)*C396)*'Assumptions and Catalog'!$H$62+'Assumptions and Catalog'!$E$62+'Assumptions and Catalog'!$F$62,IF(((D396+E396)*C396)&lt;='Assumptions and Catalog'!$C$63,((D396+E396)*C396)*'Assumptions and Catalog'!$H$63+'Assumptions and Catalog'!$E$63+'Assumptions and Catalog'!$F$63,IF(((D396+E396)*C396)&lt;='Assumptions and Catalog'!$C$64,((D396+E396)*C396)*'Assumptions and Catalog'!$H$64+'Assumptions and Catalog'!$E$64+'Assumptions and Catalog'!$F$64,IF(((D396+E396)*C396)&lt;='Assumptions and Catalog'!$C$65,((D396+E396)*C396)*'Assumptions and Catalog'!$H$65+'Assumptions and Catalog'!$E$65+'Assumptions and Catalog'!$F$65,"Out of range")))))))))*(1+'Assumptions and Catalog'!$C$8)^(A396-1),0)</f>
        <v>7094.794</v>
      </c>
      <c r="N396" s="5" t="n">
        <f>IF(ISNUMBER(Inputs!$L$5),(IF(Inputs!$L$9="Actual flat rate",L396*Inputs!$L$10,IF(Inputs!$C$9="Residential",IF(L396&lt;='Assumptions and Catalog'!$C$50,L396*'Assumptions and Catalog'!$H$50+'Assumptions and Catalog'!$E$50+'Assumptions and Catalog'!$F$50,IF(L396&lt;='Assumptions and Catalog'!$C$51,L396*'Assumptions and Catalog'!$H$51+'Assumptions and Catalog'!$E$51+'Assumptions and Catalog'!$F$51,IF(L396&lt;='Assumptions and Catalog'!$C$52,L396*'Assumptions and Catalog'!$H$52+'Assumptions and Catalog'!$E$52+'Assumptions and Catalog'!$F$52,IF(L396&lt;='Assumptions and Catalog'!$C$53,L396*'Assumptions and Catalog'!$H$53+'Assumptions and Catalog'!$E$53+'Assumptions and Catalog'!$F$53,IF(L396&lt;='Assumptions and Catalog'!$C$54,L396*'Assumptions and Catalog'!$H$54+'Assumptions and Catalog'!$E$54+'Assumptions and Catalog'!$F$54,IF(L396&lt;='Assumptions and Catalog'!$C$55,L396*'Assumptions and Catalog'!$H$55+'Assumptions and Catalog'!$E$55+'Assumptions and Catalog'!$F$55,IF(L396&lt;='Assumptions and Catalog'!$C$56,L396*'Assumptions and Catalog'!$H$56+'Assumptions and Catalog'!$E$56+'Assumptions and Catalog'!$F$56,IF(L396&lt;='Assumptions and Catalog'!$C$57,L396*'Assumptions and Catalog'!$H$57+'Assumptions and Catalog'!$E$57+'Assumptions and Catalog'!$F$57,"Out of range")))))))),IF(L396&lt;='Assumptions and Catalog'!$C$60,L396*'Assumptions and Catalog'!$H$60+'Assumptions and Catalog'!$E$60+'Assumptions and Catalog'!$F$60,IF(L396&lt;='Assumptions and Catalog'!$C$61,L396*'Assumptions and Catalog'!$H$61+'Assumptions and Catalog'!$E$61+'Assumptions and Catalog'!$F$61,IF(L396&lt;='Assumptions and Catalog'!$C$62,L396*'Assumptions and Catalog'!$H$62+'Assumptions and Catalog'!$E$62+'Assumptions and Catalog'!$F$62,IF(L396&lt;='Assumptions and Catalog'!$C$63,L396*'Assumptions and Catalog'!$H$63+'Assumptions and Catalog'!$E$63+'Assumptions and Catalog'!$F$63,IF(L396&lt;='Assumptions and Catalog'!$C$64,L396*'Assumptions and Catalog'!$H$64+'Assumptions and Catalog'!$E$64+'Assumptions and Catalog'!$F$64,IF(L396&lt;='Assumptions and Catalog'!$C$65,L396*'Assumptions and Catalog'!$H$65+'Assumptions and Catalog'!$E$65+'Assumptions and Catalog'!$F$65,"Out of range")))))))))*(1+'Assumptions and Catalog'!$C$8)^(A396-1),0)</f>
        <v>3567.397</v>
      </c>
      <c r="O396" s="5" t="n">
        <f>M396-N396</f>
        <v>3527.397</v>
      </c>
      <c r="P396" s="5" t="n">
        <f>C$55*(1-J$14)*(1-'Assumptions and Catalog'!$C$23)^R396</f>
        <v>0</v>
      </c>
      <c r="Q396" s="5" t="n">
        <f>IF(ISNUMBER(Inputs!$L$5),(IF(Inputs!$L$9="Actual flat rate",((D396+E396)*C396-G396)*Inputs!$L$10,IF(Inputs!$C$9="Residential",IF(((D396+E396)*C396-G396)&lt;='Assumptions and Catalog'!$C$50,((D396+E396)*C396-G396)*'Assumptions and Catalog'!$H$50+'Assumptions and Catalog'!$E$50+'Assumptions and Catalog'!$F$50,IF(((D396+E396)*C396-G396)&lt;='Assumptions and Catalog'!$C$51,((D396+E396)*C396-G396)*'Assumptions and Catalog'!$H$51+'Assumptions and Catalog'!$E$51+'Assumptions and Catalog'!$F$51,IF(((D396+E396)*C396-G396)&lt;='Assumptions and Catalog'!$C$52,((D396+E396)*C396-G396)*'Assumptions and Catalog'!$H$52+'Assumptions and Catalog'!$E$52+'Assumptions and Catalog'!$F$52,IF(((D396+E396)*C396-G396)&lt;='Assumptions and Catalog'!$C$53,((D396+E396)*C396-G396)*'Assumptions and Catalog'!$H$53+'Assumptions and Catalog'!$E$53+'Assumptions and Catalog'!$F$53,IF(((D396+E396)*C396-G396)&lt;='Assumptions and Catalog'!$C$54,((D396+E396)*C396-G396)*'Assumptions and Catalog'!$H$54+'Assumptions and Catalog'!$E$54+'Assumptions and Catalog'!$F$54,IF(((D396+E396)*C396-G396)&lt;='Assumptions and Catalog'!$C$55,((D396+E396)*C396-G396)*'Assumptions and Catalog'!$H$55+'Assumptions and Catalog'!$E$55+'Assumptions and Catalog'!$F$55,IF(((D396+E396)*C396-G396)&lt;='Assumptions and Catalog'!$C$56,((D396+E396)*C396-G396)*'Assumptions and Catalog'!$H$56+'Assumptions and Catalog'!$E$56+'Assumptions and Catalog'!$F$56,IF(((D396+E396)*C396-G396)&lt;='Assumptions and Catalog'!$C$57,((D396+E396)*C396-G396)*'Assumptions and Catalog'!$H$57+'Assumptions and Catalog'!$E$57+'Assumptions and Catalog'!$F$57,"Out of range")))))))),IF(((D396+E396)*C396-G396)&lt;='Assumptions and Catalog'!$C$60,((D396+E396)*C396-G396)*'Assumptions and Catalog'!$H$60+'Assumptions and Catalog'!$E$60+'Assumptions and Catalog'!$F$60,IF(((D396+E396)*C396-G396)&lt;='Assumptions and Catalog'!$C$61,((D396+E396)*C396-G396)*'Assumptions and Catalog'!$H$61+'Assumptions and Catalog'!$E$61+'Assumptions and Catalog'!$F$61,IF(((D396+E396)*C396-G396)&lt;='Assumptions and Catalog'!$C$62,((D396+E396)*C396-G396)*'Assumptions and Catalog'!$H$62+'Assumptions and Catalog'!$E$62+'Assumptions and Catalog'!$F$62,IF(((D396+E396)*C396-G396)&lt;='Assumptions and Catalog'!$C$63,((D396+E396)*C396-G396)*'Assumptions and Catalog'!$H$63+'Assumptions and Catalog'!$E$63+'Assumptions and Catalog'!$F$63,IF(((D396+E396)*C396-G396)&lt;='Assumptions and Catalog'!$C$64,((D396+E396)*C396-G396)*'Assumptions and Catalog'!$H$64+'Assumptions and Catalog'!$E$64+'Assumptions and Catalog'!$F$64,IF(((D396+E396)*C396-G396)&lt;='Assumptions and Catalog'!$C$65,((D396+E396)*C396-G396)*'Assumptions and Catalog'!$H$65+'Assumptions and Catalog'!$E$65+'Assumptions and Catalog'!$F$65,"Out of range")))))))))*(1+'Assumptions and Catalog'!$C$8)^(A396-1),0)</f>
        <v>3567.397</v>
      </c>
      <c r="R396" s="5" t="n">
        <f>IF(AND('Assumptions and Catalog'!$C$19&gt;0,A396&gt;='Assumptions and Catalog'!$C$19),A396-'Assumptions and Catalog'!$C$19,A396-1)</f>
        <v>9</v>
      </c>
      <c r="S396" s="5" t="n">
        <f>F396+L396-(D396+E396)*C396-J396-K396-0</f>
        <v>0</v>
      </c>
      <c r="T396" s="5"/>
      <c r="U396" s="5"/>
    </row>
    <row r="397" ht="23.100000381469727" customHeight="1">
      <c r="A397" s="5" t="n">
        <v>20</v>
      </c>
      <c r="B397" s="5" t="n">
        <v>9</v>
      </c>
      <c r="C397" s="5" t="n">
        <f>DAY(DATE('Assumptions and Catalog'!$C$24+A397-1,B397+1,0))</f>
        <v>30</v>
      </c>
      <c r="D397" s="5" t="n">
        <f>IF(ISNUMBER(Inputs!$L$5),Inputs!$L$5*Inputs!$L$6,0)</f>
        <v>40.35</v>
      </c>
      <c r="E397" s="5" t="n">
        <f>IF(ISNUMBER(Inputs!$L$5),Inputs!$L$5-D397,0)</f>
        <v>40.35</v>
      </c>
      <c r="F397" s="5" t="n">
        <f>C$51*INDEX('Solar Production'!$D$20:$D$31,B397)*C397*(1-'Assumptions and Catalog'!$C$10)^(A397-1)</f>
        <v>1288.09259141013</v>
      </c>
      <c r="G397" s="5" t="n">
        <f>MIN(F397,D397*C397)</f>
        <v>1210.5</v>
      </c>
      <c r="H397" s="5" t="n">
        <f>I397/('Assumptions and Catalog'!$C$11*'Assumptions and Catalog'!$C$12)</f>
        <v>0</v>
      </c>
      <c r="I397" s="5" t="n">
        <f>0</f>
        <v>0</v>
      </c>
      <c r="J397" s="5" t="n">
        <f>MAX(F397-G397-H397,0)</f>
        <v>77.5925914101288</v>
      </c>
      <c r="K397" s="5" t="n">
        <f>H397-I397</f>
        <v>0</v>
      </c>
      <c r="L397" s="5" t="n">
        <f>(D397+E397)*C397-G397-I397+0+0</f>
        <v>1210.5</v>
      </c>
      <c r="M397" s="5" t="n">
        <f>IF(ISNUMBER(Inputs!$L$5),(IF(Inputs!$L$9="Actual flat rate",((D397+E397)*C397)*Inputs!$L$10,IF(Inputs!$C$9="Residential",IF(((D397+E397)*C397)&lt;='Assumptions and Catalog'!$C$50,((D397+E397)*C397)*'Assumptions and Catalog'!$H$50+'Assumptions and Catalog'!$E$50+'Assumptions and Catalog'!$F$50,IF(((D397+E397)*C397)&lt;='Assumptions and Catalog'!$C$51,((D397+E397)*C397)*'Assumptions and Catalog'!$H$51+'Assumptions and Catalog'!$E$51+'Assumptions and Catalog'!$F$51,IF(((D397+E397)*C397)&lt;='Assumptions and Catalog'!$C$52,((D397+E397)*C397)*'Assumptions and Catalog'!$H$52+'Assumptions and Catalog'!$E$52+'Assumptions and Catalog'!$F$52,IF(((D397+E397)*C397)&lt;='Assumptions and Catalog'!$C$53,((D397+E397)*C397)*'Assumptions and Catalog'!$H$53+'Assumptions and Catalog'!$E$53+'Assumptions and Catalog'!$F$53,IF(((D397+E397)*C397)&lt;='Assumptions and Catalog'!$C$54,((D397+E397)*C397)*'Assumptions and Catalog'!$H$54+'Assumptions and Catalog'!$E$54+'Assumptions and Catalog'!$F$54,IF(((D397+E397)*C397)&lt;='Assumptions and Catalog'!$C$55,((D397+E397)*C397)*'Assumptions and Catalog'!$H$55+'Assumptions and Catalog'!$E$55+'Assumptions and Catalog'!$F$55,IF(((D397+E397)*C397)&lt;='Assumptions and Catalog'!$C$56,((D397+E397)*C397)*'Assumptions and Catalog'!$H$56+'Assumptions and Catalog'!$E$56+'Assumptions and Catalog'!$F$56,IF(((D397+E397)*C397)&lt;='Assumptions and Catalog'!$C$57,((D397+E397)*C397)*'Assumptions and Catalog'!$H$57+'Assumptions and Catalog'!$E$57+'Assumptions and Catalog'!$F$57,"Out of range")))))))),IF(((D397+E397)*C397)&lt;='Assumptions and Catalog'!$C$60,((D397+E397)*C397)*'Assumptions and Catalog'!$H$60+'Assumptions and Catalog'!$E$60+'Assumptions and Catalog'!$F$60,IF(((D397+E397)*C397)&lt;='Assumptions and Catalog'!$C$61,((D397+E397)*C397)*'Assumptions and Catalog'!$H$61+'Assumptions and Catalog'!$E$61+'Assumptions and Catalog'!$F$61,IF(((D397+E397)*C397)&lt;='Assumptions and Catalog'!$C$62,((D397+E397)*C397)*'Assumptions and Catalog'!$H$62+'Assumptions and Catalog'!$E$62+'Assumptions and Catalog'!$F$62,IF(((D397+E397)*C397)&lt;='Assumptions and Catalog'!$C$63,((D397+E397)*C397)*'Assumptions and Catalog'!$H$63+'Assumptions and Catalog'!$E$63+'Assumptions and Catalog'!$F$63,IF(((D397+E397)*C397)&lt;='Assumptions and Catalog'!$C$64,((D397+E397)*C397)*'Assumptions and Catalog'!$H$64+'Assumptions and Catalog'!$E$64+'Assumptions and Catalog'!$F$64,IF(((D397+E397)*C397)&lt;='Assumptions and Catalog'!$C$65,((D397+E397)*C397)*'Assumptions and Catalog'!$H$65+'Assumptions and Catalog'!$E$65+'Assumptions and Catalog'!$F$65,"Out of range")))))))))*(1+'Assumptions and Catalog'!$C$8)^(A397-1),0)</f>
        <v>6867.22</v>
      </c>
      <c r="N397" s="5" t="n">
        <f>IF(ISNUMBER(Inputs!$L$5),(IF(Inputs!$L$9="Actual flat rate",L397*Inputs!$L$10,IF(Inputs!$C$9="Residential",IF(L397&lt;='Assumptions and Catalog'!$C$50,L397*'Assumptions and Catalog'!$H$50+'Assumptions and Catalog'!$E$50+'Assumptions and Catalog'!$F$50,IF(L397&lt;='Assumptions and Catalog'!$C$51,L397*'Assumptions and Catalog'!$H$51+'Assumptions and Catalog'!$E$51+'Assumptions and Catalog'!$F$51,IF(L397&lt;='Assumptions and Catalog'!$C$52,L397*'Assumptions and Catalog'!$H$52+'Assumptions and Catalog'!$E$52+'Assumptions and Catalog'!$F$52,IF(L397&lt;='Assumptions and Catalog'!$C$53,L397*'Assumptions and Catalog'!$H$53+'Assumptions and Catalog'!$E$53+'Assumptions and Catalog'!$F$53,IF(L397&lt;='Assumptions and Catalog'!$C$54,L397*'Assumptions and Catalog'!$H$54+'Assumptions and Catalog'!$E$54+'Assumptions and Catalog'!$F$54,IF(L397&lt;='Assumptions and Catalog'!$C$55,L397*'Assumptions and Catalog'!$H$55+'Assumptions and Catalog'!$E$55+'Assumptions and Catalog'!$F$55,IF(L397&lt;='Assumptions and Catalog'!$C$56,L397*'Assumptions and Catalog'!$H$56+'Assumptions and Catalog'!$E$56+'Assumptions and Catalog'!$F$56,IF(L397&lt;='Assumptions and Catalog'!$C$57,L397*'Assumptions and Catalog'!$H$57+'Assumptions and Catalog'!$E$57+'Assumptions and Catalog'!$F$57,"Out of range")))))))),IF(L397&lt;='Assumptions and Catalog'!$C$60,L397*'Assumptions and Catalog'!$H$60+'Assumptions and Catalog'!$E$60+'Assumptions and Catalog'!$F$60,IF(L397&lt;='Assumptions and Catalog'!$C$61,L397*'Assumptions and Catalog'!$H$61+'Assumptions and Catalog'!$E$61+'Assumptions and Catalog'!$F$61,IF(L397&lt;='Assumptions and Catalog'!$C$62,L397*'Assumptions and Catalog'!$H$62+'Assumptions and Catalog'!$E$62+'Assumptions and Catalog'!$F$62,IF(L397&lt;='Assumptions and Catalog'!$C$63,L397*'Assumptions and Catalog'!$H$63+'Assumptions and Catalog'!$E$63+'Assumptions and Catalog'!$F$63,IF(L397&lt;='Assumptions and Catalog'!$C$64,L397*'Assumptions and Catalog'!$H$64+'Assumptions and Catalog'!$E$64+'Assumptions and Catalog'!$F$64,IF(L397&lt;='Assumptions and Catalog'!$C$65,L397*'Assumptions and Catalog'!$H$65+'Assumptions and Catalog'!$E$65+'Assumptions and Catalog'!$F$65,"Out of range")))))))))*(1+'Assumptions and Catalog'!$C$8)^(A397-1),0)</f>
        <v>3453.61</v>
      </c>
      <c r="O397" s="5" t="n">
        <f>M397-N397</f>
        <v>3413.61</v>
      </c>
      <c r="P397" s="5" t="n">
        <f>C$55*(1-J$14)*(1-'Assumptions and Catalog'!$C$23)^R397</f>
        <v>0</v>
      </c>
      <c r="Q397" s="5" t="n">
        <f>IF(ISNUMBER(Inputs!$L$5),(IF(Inputs!$L$9="Actual flat rate",((D397+E397)*C397-G397)*Inputs!$L$10,IF(Inputs!$C$9="Residential",IF(((D397+E397)*C397-G397)&lt;='Assumptions and Catalog'!$C$50,((D397+E397)*C397-G397)*'Assumptions and Catalog'!$H$50+'Assumptions and Catalog'!$E$50+'Assumptions and Catalog'!$F$50,IF(((D397+E397)*C397-G397)&lt;='Assumptions and Catalog'!$C$51,((D397+E397)*C397-G397)*'Assumptions and Catalog'!$H$51+'Assumptions and Catalog'!$E$51+'Assumptions and Catalog'!$F$51,IF(((D397+E397)*C397-G397)&lt;='Assumptions and Catalog'!$C$52,((D397+E397)*C397-G397)*'Assumptions and Catalog'!$H$52+'Assumptions and Catalog'!$E$52+'Assumptions and Catalog'!$F$52,IF(((D397+E397)*C397-G397)&lt;='Assumptions and Catalog'!$C$53,((D397+E397)*C397-G397)*'Assumptions and Catalog'!$H$53+'Assumptions and Catalog'!$E$53+'Assumptions and Catalog'!$F$53,IF(((D397+E397)*C397-G397)&lt;='Assumptions and Catalog'!$C$54,((D397+E397)*C397-G397)*'Assumptions and Catalog'!$H$54+'Assumptions and Catalog'!$E$54+'Assumptions and Catalog'!$F$54,IF(((D397+E397)*C397-G397)&lt;='Assumptions and Catalog'!$C$55,((D397+E397)*C397-G397)*'Assumptions and Catalog'!$H$55+'Assumptions and Catalog'!$E$55+'Assumptions and Catalog'!$F$55,IF(((D397+E397)*C397-G397)&lt;='Assumptions and Catalog'!$C$56,((D397+E397)*C397-G397)*'Assumptions and Catalog'!$H$56+'Assumptions and Catalog'!$E$56+'Assumptions and Catalog'!$F$56,IF(((D397+E397)*C397-G397)&lt;='Assumptions and Catalog'!$C$57,((D397+E397)*C397-G397)*'Assumptions and Catalog'!$H$57+'Assumptions and Catalog'!$E$57+'Assumptions and Catalog'!$F$57,"Out of range")))))))),IF(((D397+E397)*C397-G397)&lt;='Assumptions and Catalog'!$C$60,((D397+E397)*C397-G397)*'Assumptions and Catalog'!$H$60+'Assumptions and Catalog'!$E$60+'Assumptions and Catalog'!$F$60,IF(((D397+E397)*C397-G397)&lt;='Assumptions and Catalog'!$C$61,((D397+E397)*C397-G397)*'Assumptions and Catalog'!$H$61+'Assumptions and Catalog'!$E$61+'Assumptions and Catalog'!$F$61,IF(((D397+E397)*C397-G397)&lt;='Assumptions and Catalog'!$C$62,((D397+E397)*C397-G397)*'Assumptions and Catalog'!$H$62+'Assumptions and Catalog'!$E$62+'Assumptions and Catalog'!$F$62,IF(((D397+E397)*C397-G397)&lt;='Assumptions and Catalog'!$C$63,((D397+E397)*C397-G397)*'Assumptions and Catalog'!$H$63+'Assumptions and Catalog'!$E$63+'Assumptions and Catalog'!$F$63,IF(((D397+E397)*C397-G397)&lt;='Assumptions and Catalog'!$C$64,((D397+E397)*C397-G397)*'Assumptions and Catalog'!$H$64+'Assumptions and Catalog'!$E$64+'Assumptions and Catalog'!$F$64,IF(((D397+E397)*C397-G397)&lt;='Assumptions and Catalog'!$C$65,((D397+E397)*C397-G397)*'Assumptions and Catalog'!$H$65+'Assumptions and Catalog'!$E$65+'Assumptions and Catalog'!$F$65,"Out of range")))))))))*(1+'Assumptions and Catalog'!$C$8)^(A397-1),0)</f>
        <v>3453.61</v>
      </c>
      <c r="R397" s="5" t="n">
        <f>IF(AND('Assumptions and Catalog'!$C$19&gt;0,A397&gt;='Assumptions and Catalog'!$C$19),A397-'Assumptions and Catalog'!$C$19,A397-1)</f>
        <v>9</v>
      </c>
      <c r="S397" s="5" t="n">
        <f>F397+L397-(D397+E397)*C397-J397-K397-0</f>
        <v>0</v>
      </c>
      <c r="T397" s="5"/>
      <c r="U397" s="5"/>
    </row>
    <row r="398" ht="23.100000381469727" customHeight="1">
      <c r="A398" s="5" t="n">
        <v>20</v>
      </c>
      <c r="B398" s="5" t="n">
        <v>10</v>
      </c>
      <c r="C398" s="5" t="n">
        <f>DAY(DATE('Assumptions and Catalog'!$C$24+A398-1,B398+1,0))</f>
        <v>31</v>
      </c>
      <c r="D398" s="5" t="n">
        <f>IF(ISNUMBER(Inputs!$L$5),Inputs!$L$5*Inputs!$L$6,0)</f>
        <v>40.35</v>
      </c>
      <c r="E398" s="5" t="n">
        <f>IF(ISNUMBER(Inputs!$L$5),Inputs!$L$5-D398,0)</f>
        <v>40.35</v>
      </c>
      <c r="F398" s="5" t="n">
        <f>C$51*INDEX('Solar Production'!$D$20:$D$31,B398)*C398*(1-'Assumptions and Catalog'!$C$10)^(A398-1)</f>
        <v>1236.32887050067</v>
      </c>
      <c r="G398" s="5" t="n">
        <f>MIN(F398,D398*C398)</f>
        <v>1236.32887050067</v>
      </c>
      <c r="H398" s="5" t="n">
        <f>I398/('Assumptions and Catalog'!$C$11*'Assumptions and Catalog'!$C$12)</f>
        <v>0</v>
      </c>
      <c r="I398" s="5" t="n">
        <f>0</f>
        <v>0</v>
      </c>
      <c r="J398" s="5" t="n">
        <f>MAX(F398-G398-H398,0)</f>
        <v>0</v>
      </c>
      <c r="K398" s="5" t="n">
        <f>H398-I398</f>
        <v>0</v>
      </c>
      <c r="L398" s="5" t="n">
        <f>(D398+E398)*C398-G398-I398+0+0</f>
        <v>1265.37112949933</v>
      </c>
      <c r="M398" s="5" t="n">
        <f>IF(ISNUMBER(Inputs!$L$5),(IF(Inputs!$L$9="Actual flat rate",((D398+E398)*C398)*Inputs!$L$10,IF(Inputs!$C$9="Residential",IF(((D398+E398)*C398)&lt;='Assumptions and Catalog'!$C$50,((D398+E398)*C398)*'Assumptions and Catalog'!$H$50+'Assumptions and Catalog'!$E$50+'Assumptions and Catalog'!$F$50,IF(((D398+E398)*C398)&lt;='Assumptions and Catalog'!$C$51,((D398+E398)*C398)*'Assumptions and Catalog'!$H$51+'Assumptions and Catalog'!$E$51+'Assumptions and Catalog'!$F$51,IF(((D398+E398)*C398)&lt;='Assumptions and Catalog'!$C$52,((D398+E398)*C398)*'Assumptions and Catalog'!$H$52+'Assumptions and Catalog'!$E$52+'Assumptions and Catalog'!$F$52,IF(((D398+E398)*C398)&lt;='Assumptions and Catalog'!$C$53,((D398+E398)*C398)*'Assumptions and Catalog'!$H$53+'Assumptions and Catalog'!$E$53+'Assumptions and Catalog'!$F$53,IF(((D398+E398)*C398)&lt;='Assumptions and Catalog'!$C$54,((D398+E398)*C398)*'Assumptions and Catalog'!$H$54+'Assumptions and Catalog'!$E$54+'Assumptions and Catalog'!$F$54,IF(((D398+E398)*C398)&lt;='Assumptions and Catalog'!$C$55,((D398+E398)*C398)*'Assumptions and Catalog'!$H$55+'Assumptions and Catalog'!$E$55+'Assumptions and Catalog'!$F$55,IF(((D398+E398)*C398)&lt;='Assumptions and Catalog'!$C$56,((D398+E398)*C398)*'Assumptions and Catalog'!$H$56+'Assumptions and Catalog'!$E$56+'Assumptions and Catalog'!$F$56,IF(((D398+E398)*C398)&lt;='Assumptions and Catalog'!$C$57,((D398+E398)*C398)*'Assumptions and Catalog'!$H$57+'Assumptions and Catalog'!$E$57+'Assumptions and Catalog'!$F$57,"Out of range")))))))),IF(((D398+E398)*C398)&lt;='Assumptions and Catalog'!$C$60,((D398+E398)*C398)*'Assumptions and Catalog'!$H$60+'Assumptions and Catalog'!$E$60+'Assumptions and Catalog'!$F$60,IF(((D398+E398)*C398)&lt;='Assumptions and Catalog'!$C$61,((D398+E398)*C398)*'Assumptions and Catalog'!$H$61+'Assumptions and Catalog'!$E$61+'Assumptions and Catalog'!$F$61,IF(((D398+E398)*C398)&lt;='Assumptions and Catalog'!$C$62,((D398+E398)*C398)*'Assumptions and Catalog'!$H$62+'Assumptions and Catalog'!$E$62+'Assumptions and Catalog'!$F$62,IF(((D398+E398)*C398)&lt;='Assumptions and Catalog'!$C$63,((D398+E398)*C398)*'Assumptions and Catalog'!$H$63+'Assumptions and Catalog'!$E$63+'Assumptions and Catalog'!$F$63,IF(((D398+E398)*C398)&lt;='Assumptions and Catalog'!$C$64,((D398+E398)*C398)*'Assumptions and Catalog'!$H$64+'Assumptions and Catalog'!$E$64+'Assumptions and Catalog'!$F$64,IF(((D398+E398)*C398)&lt;='Assumptions and Catalog'!$C$65,((D398+E398)*C398)*'Assumptions and Catalog'!$H$65+'Assumptions and Catalog'!$E$65+'Assumptions and Catalog'!$F$65,"Out of range")))))))))*(1+'Assumptions and Catalog'!$C$8)^(A398-1),0)</f>
        <v>7094.794</v>
      </c>
      <c r="N398" s="5" t="n">
        <f>IF(ISNUMBER(Inputs!$L$5),(IF(Inputs!$L$9="Actual flat rate",L398*Inputs!$L$10,IF(Inputs!$C$9="Residential",IF(L398&lt;='Assumptions and Catalog'!$C$50,L398*'Assumptions and Catalog'!$H$50+'Assumptions and Catalog'!$E$50+'Assumptions and Catalog'!$F$50,IF(L398&lt;='Assumptions and Catalog'!$C$51,L398*'Assumptions and Catalog'!$H$51+'Assumptions and Catalog'!$E$51+'Assumptions and Catalog'!$F$51,IF(L398&lt;='Assumptions and Catalog'!$C$52,L398*'Assumptions and Catalog'!$H$52+'Assumptions and Catalog'!$E$52+'Assumptions and Catalog'!$F$52,IF(L398&lt;='Assumptions and Catalog'!$C$53,L398*'Assumptions and Catalog'!$H$53+'Assumptions and Catalog'!$E$53+'Assumptions and Catalog'!$F$53,IF(L398&lt;='Assumptions and Catalog'!$C$54,L398*'Assumptions and Catalog'!$H$54+'Assumptions and Catalog'!$E$54+'Assumptions and Catalog'!$F$54,IF(L398&lt;='Assumptions and Catalog'!$C$55,L398*'Assumptions and Catalog'!$H$55+'Assumptions and Catalog'!$E$55+'Assumptions and Catalog'!$F$55,IF(L398&lt;='Assumptions and Catalog'!$C$56,L398*'Assumptions and Catalog'!$H$56+'Assumptions and Catalog'!$E$56+'Assumptions and Catalog'!$F$56,IF(L398&lt;='Assumptions and Catalog'!$C$57,L398*'Assumptions and Catalog'!$H$57+'Assumptions and Catalog'!$E$57+'Assumptions and Catalog'!$F$57,"Out of range")))))))),IF(L398&lt;='Assumptions and Catalog'!$C$60,L398*'Assumptions and Catalog'!$H$60+'Assumptions and Catalog'!$E$60+'Assumptions and Catalog'!$F$60,IF(L398&lt;='Assumptions and Catalog'!$C$61,L398*'Assumptions and Catalog'!$H$61+'Assumptions and Catalog'!$E$61+'Assumptions and Catalog'!$F$61,IF(L398&lt;='Assumptions and Catalog'!$C$62,L398*'Assumptions and Catalog'!$H$62+'Assumptions and Catalog'!$E$62+'Assumptions and Catalog'!$F$62,IF(L398&lt;='Assumptions and Catalog'!$C$63,L398*'Assumptions and Catalog'!$H$63+'Assumptions and Catalog'!$E$63+'Assumptions and Catalog'!$F$63,IF(L398&lt;='Assumptions and Catalog'!$C$64,L398*'Assumptions and Catalog'!$H$64+'Assumptions and Catalog'!$E$64+'Assumptions and Catalog'!$F$64,IF(L398&lt;='Assumptions and Catalog'!$C$65,L398*'Assumptions and Catalog'!$H$65+'Assumptions and Catalog'!$E$65+'Assumptions and Catalog'!$F$65,"Out of range")))))))))*(1+'Assumptions and Catalog'!$C$8)^(A398-1),0)</f>
        <v>3608.34658518812</v>
      </c>
      <c r="O398" s="5" t="n">
        <f>M398-N398</f>
        <v>3486.44741481188</v>
      </c>
      <c r="P398" s="5" t="n">
        <f>C$55*(1-J$14)*(1-'Assumptions and Catalog'!$C$23)^R398</f>
        <v>0</v>
      </c>
      <c r="Q398" s="5" t="n">
        <f>IF(ISNUMBER(Inputs!$L$5),(IF(Inputs!$L$9="Actual flat rate",((D398+E398)*C398-G398)*Inputs!$L$10,IF(Inputs!$C$9="Residential",IF(((D398+E398)*C398-G398)&lt;='Assumptions and Catalog'!$C$50,((D398+E398)*C398-G398)*'Assumptions and Catalog'!$H$50+'Assumptions and Catalog'!$E$50+'Assumptions and Catalog'!$F$50,IF(((D398+E398)*C398-G398)&lt;='Assumptions and Catalog'!$C$51,((D398+E398)*C398-G398)*'Assumptions and Catalog'!$H$51+'Assumptions and Catalog'!$E$51+'Assumptions and Catalog'!$F$51,IF(((D398+E398)*C398-G398)&lt;='Assumptions and Catalog'!$C$52,((D398+E398)*C398-G398)*'Assumptions and Catalog'!$H$52+'Assumptions and Catalog'!$E$52+'Assumptions and Catalog'!$F$52,IF(((D398+E398)*C398-G398)&lt;='Assumptions and Catalog'!$C$53,((D398+E398)*C398-G398)*'Assumptions and Catalog'!$H$53+'Assumptions and Catalog'!$E$53+'Assumptions and Catalog'!$F$53,IF(((D398+E398)*C398-G398)&lt;='Assumptions and Catalog'!$C$54,((D398+E398)*C398-G398)*'Assumptions and Catalog'!$H$54+'Assumptions and Catalog'!$E$54+'Assumptions and Catalog'!$F$54,IF(((D398+E398)*C398-G398)&lt;='Assumptions and Catalog'!$C$55,((D398+E398)*C398-G398)*'Assumptions and Catalog'!$H$55+'Assumptions and Catalog'!$E$55+'Assumptions and Catalog'!$F$55,IF(((D398+E398)*C398-G398)&lt;='Assumptions and Catalog'!$C$56,((D398+E398)*C398-G398)*'Assumptions and Catalog'!$H$56+'Assumptions and Catalog'!$E$56+'Assumptions and Catalog'!$F$56,IF(((D398+E398)*C398-G398)&lt;='Assumptions and Catalog'!$C$57,((D398+E398)*C398-G398)*'Assumptions and Catalog'!$H$57+'Assumptions and Catalog'!$E$57+'Assumptions and Catalog'!$F$57,"Out of range")))))))),IF(((D398+E398)*C398-G398)&lt;='Assumptions and Catalog'!$C$60,((D398+E398)*C398-G398)*'Assumptions and Catalog'!$H$60+'Assumptions and Catalog'!$E$60+'Assumptions and Catalog'!$F$60,IF(((D398+E398)*C398-G398)&lt;='Assumptions and Catalog'!$C$61,((D398+E398)*C398-G398)*'Assumptions and Catalog'!$H$61+'Assumptions and Catalog'!$E$61+'Assumptions and Catalog'!$F$61,IF(((D398+E398)*C398-G398)&lt;='Assumptions and Catalog'!$C$62,((D398+E398)*C398-G398)*'Assumptions and Catalog'!$H$62+'Assumptions and Catalog'!$E$62+'Assumptions and Catalog'!$F$62,IF(((D398+E398)*C398-G398)&lt;='Assumptions and Catalog'!$C$63,((D398+E398)*C398-G398)*'Assumptions and Catalog'!$H$63+'Assumptions and Catalog'!$E$63+'Assumptions and Catalog'!$F$63,IF(((D398+E398)*C398-G398)&lt;='Assumptions and Catalog'!$C$64,((D398+E398)*C398-G398)*'Assumptions and Catalog'!$H$64+'Assumptions and Catalog'!$E$64+'Assumptions and Catalog'!$F$64,IF(((D398+E398)*C398-G398)&lt;='Assumptions and Catalog'!$C$65,((D398+E398)*C398-G398)*'Assumptions and Catalog'!$H$65+'Assumptions and Catalog'!$E$65+'Assumptions and Catalog'!$F$65,"Out of range")))))))))*(1+'Assumptions and Catalog'!$C$8)^(A398-1),0)</f>
        <v>3608.34658518812</v>
      </c>
      <c r="R398" s="5" t="n">
        <f>IF(AND('Assumptions and Catalog'!$C$19&gt;0,A398&gt;='Assumptions and Catalog'!$C$19),A398-'Assumptions and Catalog'!$C$19,A398-1)</f>
        <v>9</v>
      </c>
      <c r="S398" s="5" t="n">
        <f>F398+L398-(D398+E398)*C398-J398-K398-0</f>
        <v>0</v>
      </c>
      <c r="T398" s="5"/>
      <c r="U398" s="5"/>
    </row>
    <row r="399" ht="23.100000381469727" customHeight="1">
      <c r="A399" s="5" t="n">
        <v>20</v>
      </c>
      <c r="B399" s="5" t="n">
        <v>11</v>
      </c>
      <c r="C399" s="5" t="n">
        <f>DAY(DATE('Assumptions and Catalog'!$C$24+A399-1,B399+1,0))</f>
        <v>30</v>
      </c>
      <c r="D399" s="5" t="n">
        <f>IF(ISNUMBER(Inputs!$L$5),Inputs!$L$5*Inputs!$L$6,0)</f>
        <v>40.35</v>
      </c>
      <c r="E399" s="5" t="n">
        <f>IF(ISNUMBER(Inputs!$L$5),Inputs!$L$5-D399,0)</f>
        <v>40.35</v>
      </c>
      <c r="F399" s="5" t="n">
        <f>C$51*INDEX('Solar Production'!$D$20:$D$31,B399)*C399*(1-'Assumptions and Catalog'!$C$10)^(A399-1)</f>
        <v>1095.83877171084</v>
      </c>
      <c r="G399" s="5" t="n">
        <f>MIN(F399,D399*C399)</f>
        <v>1095.83877171084</v>
      </c>
      <c r="H399" s="5" t="n">
        <f>I399/('Assumptions and Catalog'!$C$11*'Assumptions and Catalog'!$C$12)</f>
        <v>0</v>
      </c>
      <c r="I399" s="5" t="n">
        <f>0</f>
        <v>0</v>
      </c>
      <c r="J399" s="5" t="n">
        <f>MAX(F399-G399-H399,0)</f>
        <v>0</v>
      </c>
      <c r="K399" s="5" t="n">
        <f>H399-I399</f>
        <v>0</v>
      </c>
      <c r="L399" s="5" t="n">
        <f>(D399+E399)*C399-G399-I399+0+0</f>
        <v>1325.16122828916</v>
      </c>
      <c r="M399" s="5" t="n">
        <f>IF(ISNUMBER(Inputs!$L$5),(IF(Inputs!$L$9="Actual flat rate",((D399+E399)*C399)*Inputs!$L$10,IF(Inputs!$C$9="Residential",IF(((D399+E399)*C399)&lt;='Assumptions and Catalog'!$C$50,((D399+E399)*C399)*'Assumptions and Catalog'!$H$50+'Assumptions and Catalog'!$E$50+'Assumptions and Catalog'!$F$50,IF(((D399+E399)*C399)&lt;='Assumptions and Catalog'!$C$51,((D399+E399)*C399)*'Assumptions and Catalog'!$H$51+'Assumptions and Catalog'!$E$51+'Assumptions and Catalog'!$F$51,IF(((D399+E399)*C399)&lt;='Assumptions and Catalog'!$C$52,((D399+E399)*C399)*'Assumptions and Catalog'!$H$52+'Assumptions and Catalog'!$E$52+'Assumptions and Catalog'!$F$52,IF(((D399+E399)*C399)&lt;='Assumptions and Catalog'!$C$53,((D399+E399)*C399)*'Assumptions and Catalog'!$H$53+'Assumptions and Catalog'!$E$53+'Assumptions and Catalog'!$F$53,IF(((D399+E399)*C399)&lt;='Assumptions and Catalog'!$C$54,((D399+E399)*C399)*'Assumptions and Catalog'!$H$54+'Assumptions and Catalog'!$E$54+'Assumptions and Catalog'!$F$54,IF(((D399+E399)*C399)&lt;='Assumptions and Catalog'!$C$55,((D399+E399)*C399)*'Assumptions and Catalog'!$H$55+'Assumptions and Catalog'!$E$55+'Assumptions and Catalog'!$F$55,IF(((D399+E399)*C399)&lt;='Assumptions and Catalog'!$C$56,((D399+E399)*C399)*'Assumptions and Catalog'!$H$56+'Assumptions and Catalog'!$E$56+'Assumptions and Catalog'!$F$56,IF(((D399+E399)*C399)&lt;='Assumptions and Catalog'!$C$57,((D399+E399)*C399)*'Assumptions and Catalog'!$H$57+'Assumptions and Catalog'!$E$57+'Assumptions and Catalog'!$F$57,"Out of range")))))))),IF(((D399+E399)*C399)&lt;='Assumptions and Catalog'!$C$60,((D399+E399)*C399)*'Assumptions and Catalog'!$H$60+'Assumptions and Catalog'!$E$60+'Assumptions and Catalog'!$F$60,IF(((D399+E399)*C399)&lt;='Assumptions and Catalog'!$C$61,((D399+E399)*C399)*'Assumptions and Catalog'!$H$61+'Assumptions and Catalog'!$E$61+'Assumptions and Catalog'!$F$61,IF(((D399+E399)*C399)&lt;='Assumptions and Catalog'!$C$62,((D399+E399)*C399)*'Assumptions and Catalog'!$H$62+'Assumptions and Catalog'!$E$62+'Assumptions and Catalog'!$F$62,IF(((D399+E399)*C399)&lt;='Assumptions and Catalog'!$C$63,((D399+E399)*C399)*'Assumptions and Catalog'!$H$63+'Assumptions and Catalog'!$E$63+'Assumptions and Catalog'!$F$63,IF(((D399+E399)*C399)&lt;='Assumptions and Catalog'!$C$64,((D399+E399)*C399)*'Assumptions and Catalog'!$H$64+'Assumptions and Catalog'!$E$64+'Assumptions and Catalog'!$F$64,IF(((D399+E399)*C399)&lt;='Assumptions and Catalog'!$C$65,((D399+E399)*C399)*'Assumptions and Catalog'!$H$65+'Assumptions and Catalog'!$E$65+'Assumptions and Catalog'!$F$65,"Out of range")))))))))*(1+'Assumptions and Catalog'!$C$8)^(A399-1),0)</f>
        <v>6867.22</v>
      </c>
      <c r="N399" s="5" t="n">
        <f>IF(ISNUMBER(Inputs!$L$5),(IF(Inputs!$L$9="Actual flat rate",L399*Inputs!$L$10,IF(Inputs!$C$9="Residential",IF(L399&lt;='Assumptions and Catalog'!$C$50,L399*'Assumptions and Catalog'!$H$50+'Assumptions and Catalog'!$E$50+'Assumptions and Catalog'!$F$50,IF(L399&lt;='Assumptions and Catalog'!$C$51,L399*'Assumptions and Catalog'!$H$51+'Assumptions and Catalog'!$E$51+'Assumptions and Catalog'!$F$51,IF(L399&lt;='Assumptions and Catalog'!$C$52,L399*'Assumptions and Catalog'!$H$52+'Assumptions and Catalog'!$E$52+'Assumptions and Catalog'!$F$52,IF(L399&lt;='Assumptions and Catalog'!$C$53,L399*'Assumptions and Catalog'!$H$53+'Assumptions and Catalog'!$E$53+'Assumptions and Catalog'!$F$53,IF(L399&lt;='Assumptions and Catalog'!$C$54,L399*'Assumptions and Catalog'!$H$54+'Assumptions and Catalog'!$E$54+'Assumptions and Catalog'!$F$54,IF(L399&lt;='Assumptions and Catalog'!$C$55,L399*'Assumptions and Catalog'!$H$55+'Assumptions and Catalog'!$E$55+'Assumptions and Catalog'!$F$55,IF(L399&lt;='Assumptions and Catalog'!$C$56,L399*'Assumptions and Catalog'!$H$56+'Assumptions and Catalog'!$E$56+'Assumptions and Catalog'!$F$56,IF(L399&lt;='Assumptions and Catalog'!$C$57,L399*'Assumptions and Catalog'!$H$57+'Assumptions and Catalog'!$E$57+'Assumptions and Catalog'!$F$57,"Out of range")))))))),IF(L399&lt;='Assumptions and Catalog'!$C$60,L399*'Assumptions and Catalog'!$H$60+'Assumptions and Catalog'!$E$60+'Assumptions and Catalog'!$F$60,IF(L399&lt;='Assumptions and Catalog'!$C$61,L399*'Assumptions and Catalog'!$H$61+'Assumptions and Catalog'!$E$61+'Assumptions and Catalog'!$F$61,IF(L399&lt;='Assumptions and Catalog'!$C$62,L399*'Assumptions and Catalog'!$H$62+'Assumptions and Catalog'!$E$62+'Assumptions and Catalog'!$F$62,IF(L399&lt;='Assumptions and Catalog'!$C$63,L399*'Assumptions and Catalog'!$H$63+'Assumptions and Catalog'!$E$63+'Assumptions and Catalog'!$F$63,IF(L399&lt;='Assumptions and Catalog'!$C$64,L399*'Assumptions and Catalog'!$H$64+'Assumptions and Catalog'!$E$64+'Assumptions and Catalog'!$F$64,IF(L399&lt;='Assumptions and Catalog'!$C$65,L399*'Assumptions and Catalog'!$H$65+'Assumptions and Catalog'!$E$65+'Assumptions and Catalog'!$F$65,"Out of range")))))))))*(1+'Assumptions and Catalog'!$C$8)^(A399-1),0)</f>
        <v>3776.95466377543</v>
      </c>
      <c r="O399" s="5" t="n">
        <f>M399-N399</f>
        <v>3090.26533622457</v>
      </c>
      <c r="P399" s="5" t="n">
        <f>C$55*(1-J$14)*(1-'Assumptions and Catalog'!$C$23)^R399</f>
        <v>0</v>
      </c>
      <c r="Q399" s="5" t="n">
        <f>IF(ISNUMBER(Inputs!$L$5),(IF(Inputs!$L$9="Actual flat rate",((D399+E399)*C399-G399)*Inputs!$L$10,IF(Inputs!$C$9="Residential",IF(((D399+E399)*C399-G399)&lt;='Assumptions and Catalog'!$C$50,((D399+E399)*C399-G399)*'Assumptions and Catalog'!$H$50+'Assumptions and Catalog'!$E$50+'Assumptions and Catalog'!$F$50,IF(((D399+E399)*C399-G399)&lt;='Assumptions and Catalog'!$C$51,((D399+E399)*C399-G399)*'Assumptions and Catalog'!$H$51+'Assumptions and Catalog'!$E$51+'Assumptions and Catalog'!$F$51,IF(((D399+E399)*C399-G399)&lt;='Assumptions and Catalog'!$C$52,((D399+E399)*C399-G399)*'Assumptions and Catalog'!$H$52+'Assumptions and Catalog'!$E$52+'Assumptions and Catalog'!$F$52,IF(((D399+E399)*C399-G399)&lt;='Assumptions and Catalog'!$C$53,((D399+E399)*C399-G399)*'Assumptions and Catalog'!$H$53+'Assumptions and Catalog'!$E$53+'Assumptions and Catalog'!$F$53,IF(((D399+E399)*C399-G399)&lt;='Assumptions and Catalog'!$C$54,((D399+E399)*C399-G399)*'Assumptions and Catalog'!$H$54+'Assumptions and Catalog'!$E$54+'Assumptions and Catalog'!$F$54,IF(((D399+E399)*C399-G399)&lt;='Assumptions and Catalog'!$C$55,((D399+E399)*C399-G399)*'Assumptions and Catalog'!$H$55+'Assumptions and Catalog'!$E$55+'Assumptions and Catalog'!$F$55,IF(((D399+E399)*C399-G399)&lt;='Assumptions and Catalog'!$C$56,((D399+E399)*C399-G399)*'Assumptions and Catalog'!$H$56+'Assumptions and Catalog'!$E$56+'Assumptions and Catalog'!$F$56,IF(((D399+E399)*C399-G399)&lt;='Assumptions and Catalog'!$C$57,((D399+E399)*C399-G399)*'Assumptions and Catalog'!$H$57+'Assumptions and Catalog'!$E$57+'Assumptions and Catalog'!$F$57,"Out of range")))))))),IF(((D399+E399)*C399-G399)&lt;='Assumptions and Catalog'!$C$60,((D399+E399)*C399-G399)*'Assumptions and Catalog'!$H$60+'Assumptions and Catalog'!$E$60+'Assumptions and Catalog'!$F$60,IF(((D399+E399)*C399-G399)&lt;='Assumptions and Catalog'!$C$61,((D399+E399)*C399-G399)*'Assumptions and Catalog'!$H$61+'Assumptions and Catalog'!$E$61+'Assumptions and Catalog'!$F$61,IF(((D399+E399)*C399-G399)&lt;='Assumptions and Catalog'!$C$62,((D399+E399)*C399-G399)*'Assumptions and Catalog'!$H$62+'Assumptions and Catalog'!$E$62+'Assumptions and Catalog'!$F$62,IF(((D399+E399)*C399-G399)&lt;='Assumptions and Catalog'!$C$63,((D399+E399)*C399-G399)*'Assumptions and Catalog'!$H$63+'Assumptions and Catalog'!$E$63+'Assumptions and Catalog'!$F$63,IF(((D399+E399)*C399-G399)&lt;='Assumptions and Catalog'!$C$64,((D399+E399)*C399-G399)*'Assumptions and Catalog'!$H$64+'Assumptions and Catalog'!$E$64+'Assumptions and Catalog'!$F$64,IF(((D399+E399)*C399-G399)&lt;='Assumptions and Catalog'!$C$65,((D399+E399)*C399-G399)*'Assumptions and Catalog'!$H$65+'Assumptions and Catalog'!$E$65+'Assumptions and Catalog'!$F$65,"Out of range")))))))))*(1+'Assumptions and Catalog'!$C$8)^(A399-1),0)</f>
        <v>3776.95466377543</v>
      </c>
      <c r="R399" s="5" t="n">
        <f>IF(AND('Assumptions and Catalog'!$C$19&gt;0,A399&gt;='Assumptions and Catalog'!$C$19),A399-'Assumptions and Catalog'!$C$19,A399-1)</f>
        <v>9</v>
      </c>
      <c r="S399" s="5" t="n">
        <f>F399+L399-(D399+E399)*C399-J399-K399-0</f>
        <v>0</v>
      </c>
      <c r="T399" s="5"/>
      <c r="U399" s="5"/>
    </row>
    <row r="400" ht="23.100000381469727" customHeight="1">
      <c r="A400" s="5" t="n">
        <v>20</v>
      </c>
      <c r="B400" s="5" t="n">
        <v>12</v>
      </c>
      <c r="C400" s="5" t="n">
        <f>DAY(DATE('Assumptions and Catalog'!$C$24+A400-1,B400+1,0))</f>
        <v>31</v>
      </c>
      <c r="D400" s="5" t="n">
        <f>IF(ISNUMBER(Inputs!$L$5),Inputs!$L$5*Inputs!$L$6,0)</f>
        <v>40.35</v>
      </c>
      <c r="E400" s="5" t="n">
        <f>IF(ISNUMBER(Inputs!$L$5),Inputs!$L$5-D400,0)</f>
        <v>40.35</v>
      </c>
      <c r="F400" s="5" t="n">
        <f>C$51*INDEX('Solar Production'!$D$20:$D$31,B400)*C400*(1-'Assumptions and Catalog'!$C$10)^(A400-1)</f>
        <v>1043.27499329119</v>
      </c>
      <c r="G400" s="5" t="n">
        <f>MIN(F400,D400*C400)</f>
        <v>1043.27499329119</v>
      </c>
      <c r="H400" s="5" t="n">
        <f>I400/('Assumptions and Catalog'!$C$11*'Assumptions and Catalog'!$C$12)</f>
        <v>0</v>
      </c>
      <c r="I400" s="5" t="n">
        <f>0</f>
        <v>0</v>
      </c>
      <c r="J400" s="5" t="n">
        <f>MAX(F400-G400-H400,0)</f>
        <v>0</v>
      </c>
      <c r="K400" s="5" t="n">
        <f>H400-I400</f>
        <v>0</v>
      </c>
      <c r="L400" s="5" t="n">
        <f>(D400+E400)*C400-G400-I400+0+0</f>
        <v>1458.42500670882</v>
      </c>
      <c r="M400" s="5" t="n">
        <f>IF(ISNUMBER(Inputs!$L$5),(IF(Inputs!$L$9="Actual flat rate",((D400+E400)*C400)*Inputs!$L$10,IF(Inputs!$C$9="Residential",IF(((D400+E400)*C400)&lt;='Assumptions and Catalog'!$C$50,((D400+E400)*C400)*'Assumptions and Catalog'!$H$50+'Assumptions and Catalog'!$E$50+'Assumptions and Catalog'!$F$50,IF(((D400+E400)*C400)&lt;='Assumptions and Catalog'!$C$51,((D400+E400)*C400)*'Assumptions and Catalog'!$H$51+'Assumptions and Catalog'!$E$51+'Assumptions and Catalog'!$F$51,IF(((D400+E400)*C400)&lt;='Assumptions and Catalog'!$C$52,((D400+E400)*C400)*'Assumptions and Catalog'!$H$52+'Assumptions and Catalog'!$E$52+'Assumptions and Catalog'!$F$52,IF(((D400+E400)*C400)&lt;='Assumptions and Catalog'!$C$53,((D400+E400)*C400)*'Assumptions and Catalog'!$H$53+'Assumptions and Catalog'!$E$53+'Assumptions and Catalog'!$F$53,IF(((D400+E400)*C400)&lt;='Assumptions and Catalog'!$C$54,((D400+E400)*C400)*'Assumptions and Catalog'!$H$54+'Assumptions and Catalog'!$E$54+'Assumptions and Catalog'!$F$54,IF(((D400+E400)*C400)&lt;='Assumptions and Catalog'!$C$55,((D400+E400)*C400)*'Assumptions and Catalog'!$H$55+'Assumptions and Catalog'!$E$55+'Assumptions and Catalog'!$F$55,IF(((D400+E400)*C400)&lt;='Assumptions and Catalog'!$C$56,((D400+E400)*C400)*'Assumptions and Catalog'!$H$56+'Assumptions and Catalog'!$E$56+'Assumptions and Catalog'!$F$56,IF(((D400+E400)*C400)&lt;='Assumptions and Catalog'!$C$57,((D400+E400)*C400)*'Assumptions and Catalog'!$H$57+'Assumptions and Catalog'!$E$57+'Assumptions and Catalog'!$F$57,"Out of range")))))))),IF(((D400+E400)*C400)&lt;='Assumptions and Catalog'!$C$60,((D400+E400)*C400)*'Assumptions and Catalog'!$H$60+'Assumptions and Catalog'!$E$60+'Assumptions and Catalog'!$F$60,IF(((D400+E400)*C400)&lt;='Assumptions and Catalog'!$C$61,((D400+E400)*C400)*'Assumptions and Catalog'!$H$61+'Assumptions and Catalog'!$E$61+'Assumptions and Catalog'!$F$61,IF(((D400+E400)*C400)&lt;='Assumptions and Catalog'!$C$62,((D400+E400)*C400)*'Assumptions and Catalog'!$H$62+'Assumptions and Catalog'!$E$62+'Assumptions and Catalog'!$F$62,IF(((D400+E400)*C400)&lt;='Assumptions and Catalog'!$C$63,((D400+E400)*C400)*'Assumptions and Catalog'!$H$63+'Assumptions and Catalog'!$E$63+'Assumptions and Catalog'!$F$63,IF(((D400+E400)*C400)&lt;='Assumptions and Catalog'!$C$64,((D400+E400)*C400)*'Assumptions and Catalog'!$H$64+'Assumptions and Catalog'!$E$64+'Assumptions and Catalog'!$F$64,IF(((D400+E400)*C400)&lt;='Assumptions and Catalog'!$C$65,((D400+E400)*C400)*'Assumptions and Catalog'!$H$65+'Assumptions and Catalog'!$E$65+'Assumptions and Catalog'!$F$65,"Out of range")))))))))*(1+'Assumptions and Catalog'!$C$8)^(A400-1),0)</f>
        <v>7094.794</v>
      </c>
      <c r="N400" s="5" t="n">
        <f>IF(ISNUMBER(Inputs!$L$5),(IF(Inputs!$L$9="Actual flat rate",L400*Inputs!$L$10,IF(Inputs!$C$9="Residential",IF(L400&lt;='Assumptions and Catalog'!$C$50,L400*'Assumptions and Catalog'!$H$50+'Assumptions and Catalog'!$E$50+'Assumptions and Catalog'!$F$50,IF(L400&lt;='Assumptions and Catalog'!$C$51,L400*'Assumptions and Catalog'!$H$51+'Assumptions and Catalog'!$E$51+'Assumptions and Catalog'!$F$51,IF(L400&lt;='Assumptions and Catalog'!$C$52,L400*'Assumptions and Catalog'!$H$52+'Assumptions and Catalog'!$E$52+'Assumptions and Catalog'!$F$52,IF(L400&lt;='Assumptions and Catalog'!$C$53,L400*'Assumptions and Catalog'!$H$53+'Assumptions and Catalog'!$E$53+'Assumptions and Catalog'!$F$53,IF(L400&lt;='Assumptions and Catalog'!$C$54,L400*'Assumptions and Catalog'!$H$54+'Assumptions and Catalog'!$E$54+'Assumptions and Catalog'!$F$54,IF(L400&lt;='Assumptions and Catalog'!$C$55,L400*'Assumptions and Catalog'!$H$55+'Assumptions and Catalog'!$E$55+'Assumptions and Catalog'!$F$55,IF(L400&lt;='Assumptions and Catalog'!$C$56,L400*'Assumptions and Catalog'!$H$56+'Assumptions and Catalog'!$E$56+'Assumptions and Catalog'!$F$56,IF(L400&lt;='Assumptions and Catalog'!$C$57,L400*'Assumptions and Catalog'!$H$57+'Assumptions and Catalog'!$E$57+'Assumptions and Catalog'!$F$57,"Out of range")))))))),IF(L400&lt;='Assumptions and Catalog'!$C$60,L400*'Assumptions and Catalog'!$H$60+'Assumptions and Catalog'!$E$60+'Assumptions and Catalog'!$F$60,IF(L400&lt;='Assumptions and Catalog'!$C$61,L400*'Assumptions and Catalog'!$H$61+'Assumptions and Catalog'!$E$61+'Assumptions and Catalog'!$F$61,IF(L400&lt;='Assumptions and Catalog'!$C$62,L400*'Assumptions and Catalog'!$H$62+'Assumptions and Catalog'!$E$62+'Assumptions and Catalog'!$F$62,IF(L400&lt;='Assumptions and Catalog'!$C$63,L400*'Assumptions and Catalog'!$H$63+'Assumptions and Catalog'!$E$63+'Assumptions and Catalog'!$F$63,IF(L400&lt;='Assumptions and Catalog'!$C$64,L400*'Assumptions and Catalog'!$H$64+'Assumptions and Catalog'!$E$64+'Assumptions and Catalog'!$F$64,IF(L400&lt;='Assumptions and Catalog'!$C$65,L400*'Assumptions and Catalog'!$H$65+'Assumptions and Catalog'!$E$65+'Assumptions and Catalog'!$F$65,"Out of range")))))))))*(1+'Assumptions and Catalog'!$C$8)^(A400-1),0)</f>
        <v>4152.75851891886</v>
      </c>
      <c r="O400" s="5" t="n">
        <f>M400-N400</f>
        <v>2942.03548108114</v>
      </c>
      <c r="P400" s="5" t="n">
        <f>C$55*(1-J$14)*(1-'Assumptions and Catalog'!$C$23)^R400</f>
        <v>0</v>
      </c>
      <c r="Q400" s="5" t="n">
        <f>IF(ISNUMBER(Inputs!$L$5),(IF(Inputs!$L$9="Actual flat rate",((D400+E400)*C400-G400)*Inputs!$L$10,IF(Inputs!$C$9="Residential",IF(((D400+E400)*C400-G400)&lt;='Assumptions and Catalog'!$C$50,((D400+E400)*C400-G400)*'Assumptions and Catalog'!$H$50+'Assumptions and Catalog'!$E$50+'Assumptions and Catalog'!$F$50,IF(((D400+E400)*C400-G400)&lt;='Assumptions and Catalog'!$C$51,((D400+E400)*C400-G400)*'Assumptions and Catalog'!$H$51+'Assumptions and Catalog'!$E$51+'Assumptions and Catalog'!$F$51,IF(((D400+E400)*C400-G400)&lt;='Assumptions and Catalog'!$C$52,((D400+E400)*C400-G400)*'Assumptions and Catalog'!$H$52+'Assumptions and Catalog'!$E$52+'Assumptions and Catalog'!$F$52,IF(((D400+E400)*C400-G400)&lt;='Assumptions and Catalog'!$C$53,((D400+E400)*C400-G400)*'Assumptions and Catalog'!$H$53+'Assumptions and Catalog'!$E$53+'Assumptions and Catalog'!$F$53,IF(((D400+E400)*C400-G400)&lt;='Assumptions and Catalog'!$C$54,((D400+E400)*C400-G400)*'Assumptions and Catalog'!$H$54+'Assumptions and Catalog'!$E$54+'Assumptions and Catalog'!$F$54,IF(((D400+E400)*C400-G400)&lt;='Assumptions and Catalog'!$C$55,((D400+E400)*C400-G400)*'Assumptions and Catalog'!$H$55+'Assumptions and Catalog'!$E$55+'Assumptions and Catalog'!$F$55,IF(((D400+E400)*C400-G400)&lt;='Assumptions and Catalog'!$C$56,((D400+E400)*C400-G400)*'Assumptions and Catalog'!$H$56+'Assumptions and Catalog'!$E$56+'Assumptions and Catalog'!$F$56,IF(((D400+E400)*C400-G400)&lt;='Assumptions and Catalog'!$C$57,((D400+E400)*C400-G400)*'Assumptions and Catalog'!$H$57+'Assumptions and Catalog'!$E$57+'Assumptions and Catalog'!$F$57,"Out of range")))))))),IF(((D400+E400)*C400-G400)&lt;='Assumptions and Catalog'!$C$60,((D400+E400)*C400-G400)*'Assumptions and Catalog'!$H$60+'Assumptions and Catalog'!$E$60+'Assumptions and Catalog'!$F$60,IF(((D400+E400)*C400-G400)&lt;='Assumptions and Catalog'!$C$61,((D400+E400)*C400-G400)*'Assumptions and Catalog'!$H$61+'Assumptions and Catalog'!$E$61+'Assumptions and Catalog'!$F$61,IF(((D400+E400)*C400-G400)&lt;='Assumptions and Catalog'!$C$62,((D400+E400)*C400-G400)*'Assumptions and Catalog'!$H$62+'Assumptions and Catalog'!$E$62+'Assumptions and Catalog'!$F$62,IF(((D400+E400)*C400-G400)&lt;='Assumptions and Catalog'!$C$63,((D400+E400)*C400-G400)*'Assumptions and Catalog'!$H$63+'Assumptions and Catalog'!$E$63+'Assumptions and Catalog'!$F$63,IF(((D400+E400)*C400-G400)&lt;='Assumptions and Catalog'!$C$64,((D400+E400)*C400-G400)*'Assumptions and Catalog'!$H$64+'Assumptions and Catalog'!$E$64+'Assumptions and Catalog'!$F$64,IF(((D400+E400)*C400-G400)&lt;='Assumptions and Catalog'!$C$65,((D400+E400)*C400-G400)*'Assumptions and Catalog'!$H$65+'Assumptions and Catalog'!$E$65+'Assumptions and Catalog'!$F$65,"Out of range")))))))))*(1+'Assumptions and Catalog'!$C$8)^(A400-1),0)</f>
        <v>4152.75851891886</v>
      </c>
      <c r="R400" s="5" t="n">
        <f>IF(AND('Assumptions and Catalog'!$C$19&gt;0,A400&gt;='Assumptions and Catalog'!$C$19),A400-'Assumptions and Catalog'!$C$19,A400-1)</f>
        <v>9</v>
      </c>
      <c r="S400" s="5" t="n">
        <f>F400+L400-(D400+E400)*C400-J400-K400-0</f>
        <v>0</v>
      </c>
      <c r="T400" s="5"/>
      <c r="U400" s="5"/>
    </row>
    <row r="401" ht="23.100000381469727" customHeight="1">
      <c r="A401" s="5"/>
      <c r="B401" s="5"/>
      <c r="C401" s="5"/>
      <c r="D401" s="5"/>
      <c r="E401" s="5"/>
      <c r="F401" s="5"/>
      <c r="G401" s="5"/>
      <c r="H401" s="5"/>
      <c r="I401" s="5"/>
      <c r="J401" s="5"/>
      <c r="K401" s="5"/>
      <c r="L401" s="5"/>
      <c r="M401" s="5"/>
      <c r="N401" s="5"/>
      <c r="O401" s="5"/>
      <c r="P401" s="5"/>
      <c r="Q401" s="5"/>
      <c r="R401" s="5"/>
      <c r="S401" s="5"/>
      <c r="T401" s="5"/>
      <c r="U401" s="5"/>
    </row>
    <row r="402" ht="23.100000381469727" customHeight="1">
      <c r="A402" s="5"/>
      <c r="B402" s="5"/>
      <c r="C402" s="5"/>
      <c r="D402" s="5"/>
      <c r="E402" s="5"/>
      <c r="F402" s="5"/>
      <c r="G402" s="5"/>
      <c r="H402" s="5"/>
      <c r="I402" s="5"/>
      <c r="J402" s="5"/>
      <c r="K402" s="5"/>
      <c r="L402" s="5"/>
      <c r="M402" s="5"/>
      <c r="N402" s="5"/>
      <c r="O402" s="5"/>
      <c r="P402" s="5"/>
      <c r="Q402" s="5"/>
      <c r="R402" s="5"/>
      <c r="S402" s="5"/>
      <c r="T402" s="5"/>
      <c r="U402" s="5"/>
    </row>
    <row r="403" ht="23.100000381469727" customHeight="1">
      <c r="A403" s="5"/>
      <c r="B403" s="5"/>
      <c r="C403" s="5"/>
      <c r="D403" s="5"/>
      <c r="E403" s="5"/>
      <c r="F403" s="5"/>
      <c r="G403" s="5"/>
      <c r="H403" s="5"/>
      <c r="I403" s="5"/>
      <c r="J403" s="5"/>
      <c r="K403" s="5"/>
      <c r="L403" s="5"/>
      <c r="M403" s="5"/>
      <c r="N403" s="5"/>
      <c r="O403" s="5"/>
      <c r="P403" s="5"/>
      <c r="Q403" s="5"/>
      <c r="R403" s="5"/>
      <c r="S403" s="5"/>
      <c r="T403" s="5"/>
      <c r="U403" s="5"/>
    </row>
    <row r="404" ht="23.100000381469727" customHeight="1">
      <c r="A404" s="5"/>
      <c r="B404" s="5"/>
      <c r="C404" s="5"/>
      <c r="D404" s="5"/>
      <c r="E404" s="5"/>
      <c r="F404" s="5"/>
      <c r="G404" s="5"/>
      <c r="H404" s="5"/>
      <c r="I404" s="5"/>
      <c r="J404" s="5"/>
      <c r="K404" s="5"/>
      <c r="L404" s="5"/>
      <c r="M404" s="5"/>
      <c r="N404" s="5"/>
      <c r="O404" s="5"/>
      <c r="P404" s="5"/>
      <c r="Q404" s="5"/>
      <c r="R404" s="5"/>
      <c r="S404" s="5"/>
      <c r="T404" s="5"/>
      <c r="U404" s="5"/>
    </row>
    <row r="405" ht="23.100000381469727" customHeight="1">
      <c r="A405" s="5"/>
      <c r="B405" s="5"/>
      <c r="C405" s="5"/>
      <c r="D405" s="5"/>
      <c r="E405" s="5"/>
      <c r="F405" s="5"/>
      <c r="G405" s="5"/>
      <c r="H405" s="5"/>
      <c r="I405" s="5"/>
      <c r="J405" s="5"/>
      <c r="K405" s="5"/>
      <c r="L405" s="5"/>
      <c r="M405" s="5"/>
      <c r="N405" s="5"/>
      <c r="O405" s="5"/>
      <c r="P405" s="5"/>
      <c r="Q405" s="5"/>
      <c r="R405" s="5"/>
      <c r="S405" s="5"/>
      <c r="T405" s="5"/>
      <c r="U405" s="5"/>
    </row>
    <row r="406" ht="23.100000381469727" customHeight="1">
      <c r="A406" s="5"/>
      <c r="B406" s="5"/>
      <c r="C406" s="5"/>
      <c r="D406" s="5"/>
      <c r="E406" s="5"/>
      <c r="F406" s="5"/>
      <c r="G406" s="5"/>
      <c r="H406" s="5"/>
      <c r="I406" s="5"/>
      <c r="J406" s="5"/>
      <c r="K406" s="5"/>
      <c r="L406" s="5"/>
      <c r="M406" s="5"/>
      <c r="N406" s="5"/>
      <c r="O406" s="5"/>
      <c r="P406" s="5"/>
      <c r="Q406" s="5"/>
      <c r="R406" s="5"/>
      <c r="S406" s="5"/>
      <c r="T406" s="5"/>
      <c r="U406" s="5"/>
    </row>
    <row r="407" ht="23.100000381469727" customHeight="1">
      <c r="A407" s="5"/>
      <c r="B407" s="5"/>
      <c r="C407" s="5"/>
      <c r="D407" s="5"/>
      <c r="E407" s="5"/>
      <c r="F407" s="5"/>
      <c r="G407" s="5"/>
      <c r="H407" s="5"/>
      <c r="I407" s="5"/>
      <c r="J407" s="5"/>
      <c r="K407" s="5"/>
      <c r="L407" s="5"/>
      <c r="M407" s="5"/>
      <c r="N407" s="5"/>
      <c r="O407" s="5"/>
      <c r="P407" s="5"/>
      <c r="Q407" s="5"/>
      <c r="R407" s="5"/>
      <c r="S407" s="5"/>
      <c r="T407" s="5"/>
      <c r="U407" s="5"/>
    </row>
    <row r="408" ht="30" customHeight="1">
      <c r="A408" s="23" t="inlineStr">
        <is>
          <t xml:space="preserve">Battery only — monthly calculations</t>
        </is>
      </c>
      <c r="B408" s="30"/>
      <c r="C408" s="30"/>
      <c r="D408" s="30"/>
      <c r="E408" s="30"/>
      <c r="F408" s="30"/>
      <c r="G408" s="30"/>
      <c r="H408" s="30"/>
      <c r="I408" s="30"/>
      <c r="J408" s="30"/>
      <c r="K408" s="30"/>
      <c r="L408" s="30"/>
      <c r="M408" s="30"/>
      <c r="N408" s="30"/>
      <c r="O408" s="30"/>
      <c r="P408" s="30"/>
      <c r="Q408" s="30"/>
      <c r="R408" s="30"/>
      <c r="S408" s="30"/>
      <c r="T408" s="5"/>
      <c r="U408" s="5"/>
    </row>
    <row r="409" ht="23.100000381469727" customHeight="1">
      <c r="A409" s="5"/>
      <c r="B409" s="5"/>
      <c r="C409" s="5"/>
      <c r="D409" s="5"/>
      <c r="E409" s="5"/>
      <c r="F409" s="5"/>
      <c r="G409" s="5"/>
      <c r="H409" s="5"/>
      <c r="I409" s="5"/>
      <c r="J409" s="5"/>
      <c r="K409" s="5"/>
      <c r="L409" s="5"/>
      <c r="M409" s="5"/>
      <c r="N409" s="5"/>
      <c r="O409" s="5"/>
      <c r="P409" s="5"/>
      <c r="Q409" s="5"/>
      <c r="R409" s="5"/>
      <c r="S409" s="5"/>
      <c r="T409" s="5"/>
      <c r="U409" s="5"/>
    </row>
    <row r="410" ht="44.099998474121094" customHeight="1">
      <c r="A410" s="14" t="inlineStr">
        <is>
          <t xml:space="preserve">years</t>
        </is>
      </c>
      <c r="B410" s="14" t="inlineStr">
        <is>
          <t xml:space="preserve">month</t>
        </is>
      </c>
      <c r="C410" s="14" t="inlineStr">
        <is>
          <t xml:space="preserve">Days</t>
        </is>
      </c>
      <c r="D410" s="14" t="inlineStr">
        <is>
          <t xml:space="preserve">Day load kWh/d</t>
        </is>
      </c>
      <c r="E410" s="14" t="inlineStr">
        <is>
          <t xml:space="preserve">Night load kWh/d</t>
        </is>
      </c>
      <c r="F410" s="14" t="inlineStr">
        <is>
          <t xml:space="preserve">PV kWh/mo</t>
        </is>
      </c>
      <c r="G410" s="14" t="inlineStr">
        <is>
          <t xml:space="preserve">Direct use kWh/mo</t>
        </is>
      </c>
      <c r="H410" s="14" t="inlineStr">
        <is>
          <t xml:space="preserve">Charge kWh/mo</t>
        </is>
      </c>
      <c r="I410" s="14" t="inlineStr">
        <is>
          <t xml:space="preserve">Discharge kWh/mo</t>
        </is>
      </c>
      <c r="J410" s="14" t="inlineStr">
        <is>
          <t xml:space="preserve">Unused PV kWh/mo</t>
        </is>
      </c>
      <c r="K410" s="14" t="inlineStr">
        <is>
          <t xml:space="preserve">Losses kWh/mo</t>
        </is>
      </c>
      <c r="L410" s="14" t="inlineStr">
        <is>
          <t xml:space="preserve">Grid imports kWh/mo</t>
        </is>
      </c>
      <c r="M410" s="14" t="inlineStr">
        <is>
          <t xml:space="preserve">Baseline EGP</t>
        </is>
      </c>
      <c r="N410" s="14" t="inlineStr">
        <is>
          <t xml:space="preserve">New bill EGP</t>
        </is>
      </c>
      <c r="O410" s="14" t="inlineStr">
        <is>
          <t xml:space="preserve">Bill savings EGP</t>
        </is>
      </c>
      <c r="P410" s="14" t="inlineStr">
        <is>
          <t xml:space="preserve">Operating capacity kWh</t>
        </is>
      </c>
      <c r="Q410" s="14" t="inlineStr">
        <is>
          <t xml:space="preserve">Matched PV-only bill (EGP)</t>
        </is>
      </c>
      <c r="R410" s="14" t="inlineStr">
        <is>
          <t xml:space="preserve">Battery age</t>
        </is>
      </c>
      <c r="S410" s="14" t="inlineStr">
        <is>
          <t xml:space="preserve">Balance check kWh</t>
        </is>
      </c>
      <c r="T410" s="5"/>
      <c r="U410" s="5"/>
    </row>
    <row r="411" ht="23.100000381469727" customHeight="1">
      <c r="A411" s="5" t="n">
        <v>1</v>
      </c>
      <c r="B411" s="5" t="n">
        <v>1</v>
      </c>
      <c r="C411" s="5" t="n">
        <f>DAY(DATE('Assumptions and Catalog'!$C$24+A411-1,B411+1,0))</f>
        <v>31</v>
      </c>
      <c r="D411" s="5" t="n">
        <f>IF(ISNUMBER(Inputs!$L$5),Inputs!$L$5*Inputs!$L$6,0)</f>
        <v>40.35</v>
      </c>
      <c r="E411" s="5" t="n">
        <f>IF(ISNUMBER(Inputs!$L$5),Inputs!$L$5-D411,0)</f>
        <v>40.35</v>
      </c>
      <c r="F411" s="5" t="n">
        <f>D$51*'Assumptions and Catalog'!$C$31*C411*(1-'Assumptions and Catalog'!$C$10)^(A411-1)</f>
        <v>0</v>
      </c>
      <c r="G411" s="5" t="n">
        <f>MIN(F411,D411*C411)</f>
        <v>0</v>
      </c>
      <c r="H411" s="5" t="n">
        <f>I411/('Assumptions and Catalog'!$C$11*'Assumptions and Catalog'!$C$12)</f>
        <v>0</v>
      </c>
      <c r="I411" s="5" t="n">
        <f>IF(K$15="Grid cycle",MIN(K$16,D411+E411,P411*'Assumptions and Catalog'!$C$12,D$57*(24-'Assumptions and Catalog'!$C$15),D$56*'Assumptions and Catalog'!$C$15*'Assumptions and Catalog'!$C$11*'Assumptions and Catalog'!$C$12)*C411,0)</f>
        <v>0</v>
      </c>
      <c r="J411" s="5" t="n">
        <f>MAX(F411-G411-0,0)</f>
        <v>0</v>
      </c>
      <c r="K411" s="5" t="n">
        <f>H411-I411</f>
        <v>0</v>
      </c>
      <c r="L411" s="5" t="n">
        <f>(D411+E411)*C411-G411-I411+H411+IF(D$52&gt;0,'Assumptions and Catalog'!$C$26*C411,0)</f>
        <v>2501.7</v>
      </c>
      <c r="M411" s="5" t="n">
        <f>IF(ISNUMBER(Inputs!$L$5),(IF(Inputs!$L$9="Actual flat rate",((D411+E411)*C411)*Inputs!$L$10,IF(Inputs!$C$9="Residential",IF(((D411+E411)*C411)&lt;='Assumptions and Catalog'!$C$50,((D411+E411)*C411)*'Assumptions and Catalog'!$H$50+'Assumptions and Catalog'!$E$50+'Assumptions and Catalog'!$F$50,IF(((D411+E411)*C411)&lt;='Assumptions and Catalog'!$C$51,((D411+E411)*C411)*'Assumptions and Catalog'!$H$51+'Assumptions and Catalog'!$E$51+'Assumptions and Catalog'!$F$51,IF(((D411+E411)*C411)&lt;='Assumptions and Catalog'!$C$52,((D411+E411)*C411)*'Assumptions and Catalog'!$H$52+'Assumptions and Catalog'!$E$52+'Assumptions and Catalog'!$F$52,IF(((D411+E411)*C411)&lt;='Assumptions and Catalog'!$C$53,((D411+E411)*C411)*'Assumptions and Catalog'!$H$53+'Assumptions and Catalog'!$E$53+'Assumptions and Catalog'!$F$53,IF(((D411+E411)*C411)&lt;='Assumptions and Catalog'!$C$54,((D411+E411)*C411)*'Assumptions and Catalog'!$H$54+'Assumptions and Catalog'!$E$54+'Assumptions and Catalog'!$F$54,IF(((D411+E411)*C411)&lt;='Assumptions and Catalog'!$C$55,((D411+E411)*C411)*'Assumptions and Catalog'!$H$55+'Assumptions and Catalog'!$E$55+'Assumptions and Catalog'!$F$55,IF(((D411+E411)*C411)&lt;='Assumptions and Catalog'!$C$56,((D411+E411)*C411)*'Assumptions and Catalog'!$H$56+'Assumptions and Catalog'!$E$56+'Assumptions and Catalog'!$F$56,IF(((D411+E411)*C411)&lt;='Assumptions and Catalog'!$C$57,((D411+E411)*C411)*'Assumptions and Catalog'!$H$57+'Assumptions and Catalog'!$E$57+'Assumptions and Catalog'!$F$57,"Out of range")))))))),IF(((D411+E411)*C411)&lt;='Assumptions and Catalog'!$C$60,((D411+E411)*C411)*'Assumptions and Catalog'!$H$60+'Assumptions and Catalog'!$E$60+'Assumptions and Catalog'!$F$60,IF(((D411+E411)*C411)&lt;='Assumptions and Catalog'!$C$61,((D411+E411)*C411)*'Assumptions and Catalog'!$H$61+'Assumptions and Catalog'!$E$61+'Assumptions and Catalog'!$F$61,IF(((D411+E411)*C411)&lt;='Assumptions and Catalog'!$C$62,((D411+E411)*C411)*'Assumptions and Catalog'!$H$62+'Assumptions and Catalog'!$E$62+'Assumptions and Catalog'!$F$62,IF(((D411+E411)*C411)&lt;='Assumptions and Catalog'!$C$63,((D411+E411)*C411)*'Assumptions and Catalog'!$H$63+'Assumptions and Catalog'!$E$63+'Assumptions and Catalog'!$F$63,IF(((D411+E411)*C411)&lt;='Assumptions and Catalog'!$C$64,((D411+E411)*C411)*'Assumptions and Catalog'!$H$64+'Assumptions and Catalog'!$E$64+'Assumptions and Catalog'!$F$64,IF(((D411+E411)*C411)&lt;='Assumptions and Catalog'!$C$65,((D411+E411)*C411)*'Assumptions and Catalog'!$H$65+'Assumptions and Catalog'!$E$65+'Assumptions and Catalog'!$F$65,"Out of range")))))))))*(1+'Assumptions and Catalog'!$C$8)^(A411-1),0)</f>
        <v>7094.794</v>
      </c>
      <c r="N411" s="5" t="n">
        <f>IF(ISNUMBER(Inputs!$L$5),(IF(Inputs!$L$9="Actual flat rate",L411*Inputs!$L$10,IF(Inputs!$C$9="Residential",IF(L411&lt;='Assumptions and Catalog'!$C$50,L411*'Assumptions and Catalog'!$H$50+'Assumptions and Catalog'!$E$50+'Assumptions and Catalog'!$F$50,IF(L411&lt;='Assumptions and Catalog'!$C$51,L411*'Assumptions and Catalog'!$H$51+'Assumptions and Catalog'!$E$51+'Assumptions and Catalog'!$F$51,IF(L411&lt;='Assumptions and Catalog'!$C$52,L411*'Assumptions and Catalog'!$H$52+'Assumptions and Catalog'!$E$52+'Assumptions and Catalog'!$F$52,IF(L411&lt;='Assumptions and Catalog'!$C$53,L411*'Assumptions and Catalog'!$H$53+'Assumptions and Catalog'!$E$53+'Assumptions and Catalog'!$F$53,IF(L411&lt;='Assumptions and Catalog'!$C$54,L411*'Assumptions and Catalog'!$H$54+'Assumptions and Catalog'!$E$54+'Assumptions and Catalog'!$F$54,IF(L411&lt;='Assumptions and Catalog'!$C$55,L411*'Assumptions and Catalog'!$H$55+'Assumptions and Catalog'!$E$55+'Assumptions and Catalog'!$F$55,IF(L411&lt;='Assumptions and Catalog'!$C$56,L411*'Assumptions and Catalog'!$H$56+'Assumptions and Catalog'!$E$56+'Assumptions and Catalog'!$F$56,IF(L411&lt;='Assumptions and Catalog'!$C$57,L411*'Assumptions and Catalog'!$H$57+'Assumptions and Catalog'!$E$57+'Assumptions and Catalog'!$F$57,"Out of range")))))))),IF(L411&lt;='Assumptions and Catalog'!$C$60,L411*'Assumptions and Catalog'!$H$60+'Assumptions and Catalog'!$E$60+'Assumptions and Catalog'!$F$60,IF(L411&lt;='Assumptions and Catalog'!$C$61,L411*'Assumptions and Catalog'!$H$61+'Assumptions and Catalog'!$E$61+'Assumptions and Catalog'!$F$61,IF(L411&lt;='Assumptions and Catalog'!$C$62,L411*'Assumptions and Catalog'!$H$62+'Assumptions and Catalog'!$E$62+'Assumptions and Catalog'!$F$62,IF(L411&lt;='Assumptions and Catalog'!$C$63,L411*'Assumptions and Catalog'!$H$63+'Assumptions and Catalog'!$E$63+'Assumptions and Catalog'!$F$63,IF(L411&lt;='Assumptions and Catalog'!$C$64,L411*'Assumptions and Catalog'!$H$64+'Assumptions and Catalog'!$E$64+'Assumptions and Catalog'!$F$64,IF(L411&lt;='Assumptions and Catalog'!$C$65,L411*'Assumptions and Catalog'!$H$65+'Assumptions and Catalog'!$E$65+'Assumptions and Catalog'!$F$65,"Out of range")))))))))*(1+'Assumptions and Catalog'!$C$8)^(A411-1),0)</f>
        <v>7094.794</v>
      </c>
      <c r="O411" s="5" t="n">
        <f>M411-N411</f>
        <v>0</v>
      </c>
      <c r="P411" s="5" t="n">
        <f>D$55*(1-K$14)*(1-'Assumptions and Catalog'!$C$23)^R411</f>
        <v>0</v>
      </c>
      <c r="Q411" s="5" t="n">
        <f>IF(ISNUMBER(Inputs!$L$5),(IF(Inputs!$L$9="Actual flat rate",((D411+E411)*C411-G411)*Inputs!$L$10,IF(Inputs!$C$9="Residential",IF(((D411+E411)*C411-G411)&lt;='Assumptions and Catalog'!$C$50,((D411+E411)*C411-G411)*'Assumptions and Catalog'!$H$50+'Assumptions and Catalog'!$E$50+'Assumptions and Catalog'!$F$50,IF(((D411+E411)*C411-G411)&lt;='Assumptions and Catalog'!$C$51,((D411+E411)*C411-G411)*'Assumptions and Catalog'!$H$51+'Assumptions and Catalog'!$E$51+'Assumptions and Catalog'!$F$51,IF(((D411+E411)*C411-G411)&lt;='Assumptions and Catalog'!$C$52,((D411+E411)*C411-G411)*'Assumptions and Catalog'!$H$52+'Assumptions and Catalog'!$E$52+'Assumptions and Catalog'!$F$52,IF(((D411+E411)*C411-G411)&lt;='Assumptions and Catalog'!$C$53,((D411+E411)*C411-G411)*'Assumptions and Catalog'!$H$53+'Assumptions and Catalog'!$E$53+'Assumptions and Catalog'!$F$53,IF(((D411+E411)*C411-G411)&lt;='Assumptions and Catalog'!$C$54,((D411+E411)*C411-G411)*'Assumptions and Catalog'!$H$54+'Assumptions and Catalog'!$E$54+'Assumptions and Catalog'!$F$54,IF(((D411+E411)*C411-G411)&lt;='Assumptions and Catalog'!$C$55,((D411+E411)*C411-G411)*'Assumptions and Catalog'!$H$55+'Assumptions and Catalog'!$E$55+'Assumptions and Catalog'!$F$55,IF(((D411+E411)*C411-G411)&lt;='Assumptions and Catalog'!$C$56,((D411+E411)*C411-G411)*'Assumptions and Catalog'!$H$56+'Assumptions and Catalog'!$E$56+'Assumptions and Catalog'!$F$56,IF(((D411+E411)*C411-G411)&lt;='Assumptions and Catalog'!$C$57,((D411+E411)*C411-G411)*'Assumptions and Catalog'!$H$57+'Assumptions and Catalog'!$E$57+'Assumptions and Catalog'!$F$57,"Out of range")))))))),IF(((D411+E411)*C411-G411)&lt;='Assumptions and Catalog'!$C$60,((D411+E411)*C411-G411)*'Assumptions and Catalog'!$H$60+'Assumptions and Catalog'!$E$60+'Assumptions and Catalog'!$F$60,IF(((D411+E411)*C411-G411)&lt;='Assumptions and Catalog'!$C$61,((D411+E411)*C411-G411)*'Assumptions and Catalog'!$H$61+'Assumptions and Catalog'!$E$61+'Assumptions and Catalog'!$F$61,IF(((D411+E411)*C411-G411)&lt;='Assumptions and Catalog'!$C$62,((D411+E411)*C411-G411)*'Assumptions and Catalog'!$H$62+'Assumptions and Catalog'!$E$62+'Assumptions and Catalog'!$F$62,IF(((D411+E411)*C411-G411)&lt;='Assumptions and Catalog'!$C$63,((D411+E411)*C411-G411)*'Assumptions and Catalog'!$H$63+'Assumptions and Catalog'!$E$63+'Assumptions and Catalog'!$F$63,IF(((D411+E411)*C411-G411)&lt;='Assumptions and Catalog'!$C$64,((D411+E411)*C411-G411)*'Assumptions and Catalog'!$H$64+'Assumptions and Catalog'!$E$64+'Assumptions and Catalog'!$F$64,IF(((D411+E411)*C411-G411)&lt;='Assumptions and Catalog'!$C$65,((D411+E411)*C411-G411)*'Assumptions and Catalog'!$H$65+'Assumptions and Catalog'!$E$65+'Assumptions and Catalog'!$F$65,"Out of range")))))))))*(1+'Assumptions and Catalog'!$C$8)^(A411-1),0)</f>
        <v>7094.794</v>
      </c>
      <c r="R411" s="5" t="n">
        <f>IF(AND('Assumptions and Catalog'!$C$19&gt;0,A411&gt;='Assumptions and Catalog'!$C$19),A411-'Assumptions and Catalog'!$C$19,A411-1)</f>
        <v>0</v>
      </c>
      <c r="S411" s="5" t="n">
        <f>F411+L411-(D411+E411)*C411-J411-K411-IF(D$52&gt;0,'Assumptions and Catalog'!$C$26*C411,0)</f>
        <v>0</v>
      </c>
      <c r="T411" s="5"/>
      <c r="U411" s="5"/>
    </row>
    <row r="412" ht="23.100000381469727" customHeight="1">
      <c r="A412" s="5" t="n">
        <v>1</v>
      </c>
      <c r="B412" s="5" t="n">
        <v>2</v>
      </c>
      <c r="C412" s="5" t="n">
        <f>DAY(DATE('Assumptions and Catalog'!$C$24+A412-1,B412+1,0))</f>
        <v>28</v>
      </c>
      <c r="D412" s="5" t="n">
        <f>IF(ISNUMBER(Inputs!$L$5),Inputs!$L$5*Inputs!$L$6,0)</f>
        <v>40.35</v>
      </c>
      <c r="E412" s="5" t="n">
        <f>IF(ISNUMBER(Inputs!$L$5),Inputs!$L$5-D412,0)</f>
        <v>40.35</v>
      </c>
      <c r="F412" s="5" t="n">
        <f>D$51*'Assumptions and Catalog'!$C$31*C412*(1-'Assumptions and Catalog'!$C$10)^(A412-1)</f>
        <v>0</v>
      </c>
      <c r="G412" s="5" t="n">
        <f>MIN(F412,D412*C412)</f>
        <v>0</v>
      </c>
      <c r="H412" s="5" t="n">
        <f>I412/('Assumptions and Catalog'!$C$11*'Assumptions and Catalog'!$C$12)</f>
        <v>0</v>
      </c>
      <c r="I412" s="5" t="n">
        <f>IF(K$15="Grid cycle",MIN(K$16,D412+E412,P412*'Assumptions and Catalog'!$C$12,D$57*(24-'Assumptions and Catalog'!$C$15),D$56*'Assumptions and Catalog'!$C$15*'Assumptions and Catalog'!$C$11*'Assumptions and Catalog'!$C$12)*C412,0)</f>
        <v>0</v>
      </c>
      <c r="J412" s="5" t="n">
        <f>MAX(F412-G412-0,0)</f>
        <v>0</v>
      </c>
      <c r="K412" s="5" t="n">
        <f>H412-I412</f>
        <v>0</v>
      </c>
      <c r="L412" s="5" t="n">
        <f>(D412+E412)*C412-G412-I412+H412+IF(D$52&gt;0,'Assumptions and Catalog'!$C$26*C412,0)</f>
        <v>2259.6</v>
      </c>
      <c r="M412" s="5" t="n">
        <f>IF(ISNUMBER(Inputs!$L$5),(IF(Inputs!$L$9="Actual flat rate",((D412+E412)*C412)*Inputs!$L$10,IF(Inputs!$C$9="Residential",IF(((D412+E412)*C412)&lt;='Assumptions and Catalog'!$C$50,((D412+E412)*C412)*'Assumptions and Catalog'!$H$50+'Assumptions and Catalog'!$E$50+'Assumptions and Catalog'!$F$50,IF(((D412+E412)*C412)&lt;='Assumptions and Catalog'!$C$51,((D412+E412)*C412)*'Assumptions and Catalog'!$H$51+'Assumptions and Catalog'!$E$51+'Assumptions and Catalog'!$F$51,IF(((D412+E412)*C412)&lt;='Assumptions and Catalog'!$C$52,((D412+E412)*C412)*'Assumptions and Catalog'!$H$52+'Assumptions and Catalog'!$E$52+'Assumptions and Catalog'!$F$52,IF(((D412+E412)*C412)&lt;='Assumptions and Catalog'!$C$53,((D412+E412)*C412)*'Assumptions and Catalog'!$H$53+'Assumptions and Catalog'!$E$53+'Assumptions and Catalog'!$F$53,IF(((D412+E412)*C412)&lt;='Assumptions and Catalog'!$C$54,((D412+E412)*C412)*'Assumptions and Catalog'!$H$54+'Assumptions and Catalog'!$E$54+'Assumptions and Catalog'!$F$54,IF(((D412+E412)*C412)&lt;='Assumptions and Catalog'!$C$55,((D412+E412)*C412)*'Assumptions and Catalog'!$H$55+'Assumptions and Catalog'!$E$55+'Assumptions and Catalog'!$F$55,IF(((D412+E412)*C412)&lt;='Assumptions and Catalog'!$C$56,((D412+E412)*C412)*'Assumptions and Catalog'!$H$56+'Assumptions and Catalog'!$E$56+'Assumptions and Catalog'!$F$56,IF(((D412+E412)*C412)&lt;='Assumptions and Catalog'!$C$57,((D412+E412)*C412)*'Assumptions and Catalog'!$H$57+'Assumptions and Catalog'!$E$57+'Assumptions and Catalog'!$F$57,"Out of range")))))))),IF(((D412+E412)*C412)&lt;='Assumptions and Catalog'!$C$60,((D412+E412)*C412)*'Assumptions and Catalog'!$H$60+'Assumptions and Catalog'!$E$60+'Assumptions and Catalog'!$F$60,IF(((D412+E412)*C412)&lt;='Assumptions and Catalog'!$C$61,((D412+E412)*C412)*'Assumptions and Catalog'!$H$61+'Assumptions and Catalog'!$E$61+'Assumptions and Catalog'!$F$61,IF(((D412+E412)*C412)&lt;='Assumptions and Catalog'!$C$62,((D412+E412)*C412)*'Assumptions and Catalog'!$H$62+'Assumptions and Catalog'!$E$62+'Assumptions and Catalog'!$F$62,IF(((D412+E412)*C412)&lt;='Assumptions and Catalog'!$C$63,((D412+E412)*C412)*'Assumptions and Catalog'!$H$63+'Assumptions and Catalog'!$E$63+'Assumptions and Catalog'!$F$63,IF(((D412+E412)*C412)&lt;='Assumptions and Catalog'!$C$64,((D412+E412)*C412)*'Assumptions and Catalog'!$H$64+'Assumptions and Catalog'!$E$64+'Assumptions and Catalog'!$F$64,IF(((D412+E412)*C412)&lt;='Assumptions and Catalog'!$C$65,((D412+E412)*C412)*'Assumptions and Catalog'!$H$65+'Assumptions and Catalog'!$E$65+'Assumptions and Catalog'!$F$65,"Out of range")))))))))*(1+'Assumptions and Catalog'!$C$8)^(A412-1),0)</f>
        <v>6412.072</v>
      </c>
      <c r="N412" s="5" t="n">
        <f>IF(ISNUMBER(Inputs!$L$5),(IF(Inputs!$L$9="Actual flat rate",L412*Inputs!$L$10,IF(Inputs!$C$9="Residential",IF(L412&lt;='Assumptions and Catalog'!$C$50,L412*'Assumptions and Catalog'!$H$50+'Assumptions and Catalog'!$E$50+'Assumptions and Catalog'!$F$50,IF(L412&lt;='Assumptions and Catalog'!$C$51,L412*'Assumptions and Catalog'!$H$51+'Assumptions and Catalog'!$E$51+'Assumptions and Catalog'!$F$51,IF(L412&lt;='Assumptions and Catalog'!$C$52,L412*'Assumptions and Catalog'!$H$52+'Assumptions and Catalog'!$E$52+'Assumptions and Catalog'!$F$52,IF(L412&lt;='Assumptions and Catalog'!$C$53,L412*'Assumptions and Catalog'!$H$53+'Assumptions and Catalog'!$E$53+'Assumptions and Catalog'!$F$53,IF(L412&lt;='Assumptions and Catalog'!$C$54,L412*'Assumptions and Catalog'!$H$54+'Assumptions and Catalog'!$E$54+'Assumptions and Catalog'!$F$54,IF(L412&lt;='Assumptions and Catalog'!$C$55,L412*'Assumptions and Catalog'!$H$55+'Assumptions and Catalog'!$E$55+'Assumptions and Catalog'!$F$55,IF(L412&lt;='Assumptions and Catalog'!$C$56,L412*'Assumptions and Catalog'!$H$56+'Assumptions and Catalog'!$E$56+'Assumptions and Catalog'!$F$56,IF(L412&lt;='Assumptions and Catalog'!$C$57,L412*'Assumptions and Catalog'!$H$57+'Assumptions and Catalog'!$E$57+'Assumptions and Catalog'!$F$57,"Out of range")))))))),IF(L412&lt;='Assumptions and Catalog'!$C$60,L412*'Assumptions and Catalog'!$H$60+'Assumptions and Catalog'!$E$60+'Assumptions and Catalog'!$F$60,IF(L412&lt;='Assumptions and Catalog'!$C$61,L412*'Assumptions and Catalog'!$H$61+'Assumptions and Catalog'!$E$61+'Assumptions and Catalog'!$F$61,IF(L412&lt;='Assumptions and Catalog'!$C$62,L412*'Assumptions and Catalog'!$H$62+'Assumptions and Catalog'!$E$62+'Assumptions and Catalog'!$F$62,IF(L412&lt;='Assumptions and Catalog'!$C$63,L412*'Assumptions and Catalog'!$H$63+'Assumptions and Catalog'!$E$63+'Assumptions and Catalog'!$F$63,IF(L412&lt;='Assumptions and Catalog'!$C$64,L412*'Assumptions and Catalog'!$H$64+'Assumptions and Catalog'!$E$64+'Assumptions and Catalog'!$F$64,IF(L412&lt;='Assumptions and Catalog'!$C$65,L412*'Assumptions and Catalog'!$H$65+'Assumptions and Catalog'!$E$65+'Assumptions and Catalog'!$F$65,"Out of range")))))))))*(1+'Assumptions and Catalog'!$C$8)^(A412-1),0)</f>
        <v>6412.072</v>
      </c>
      <c r="O412" s="5" t="n">
        <f>M412-N412</f>
        <v>0</v>
      </c>
      <c r="P412" s="5" t="n">
        <f>D$55*(1-K$14)*(1-'Assumptions and Catalog'!$C$23)^R412</f>
        <v>0</v>
      </c>
      <c r="Q412" s="5" t="n">
        <f>IF(ISNUMBER(Inputs!$L$5),(IF(Inputs!$L$9="Actual flat rate",((D412+E412)*C412-G412)*Inputs!$L$10,IF(Inputs!$C$9="Residential",IF(((D412+E412)*C412-G412)&lt;='Assumptions and Catalog'!$C$50,((D412+E412)*C412-G412)*'Assumptions and Catalog'!$H$50+'Assumptions and Catalog'!$E$50+'Assumptions and Catalog'!$F$50,IF(((D412+E412)*C412-G412)&lt;='Assumptions and Catalog'!$C$51,((D412+E412)*C412-G412)*'Assumptions and Catalog'!$H$51+'Assumptions and Catalog'!$E$51+'Assumptions and Catalog'!$F$51,IF(((D412+E412)*C412-G412)&lt;='Assumptions and Catalog'!$C$52,((D412+E412)*C412-G412)*'Assumptions and Catalog'!$H$52+'Assumptions and Catalog'!$E$52+'Assumptions and Catalog'!$F$52,IF(((D412+E412)*C412-G412)&lt;='Assumptions and Catalog'!$C$53,((D412+E412)*C412-G412)*'Assumptions and Catalog'!$H$53+'Assumptions and Catalog'!$E$53+'Assumptions and Catalog'!$F$53,IF(((D412+E412)*C412-G412)&lt;='Assumptions and Catalog'!$C$54,((D412+E412)*C412-G412)*'Assumptions and Catalog'!$H$54+'Assumptions and Catalog'!$E$54+'Assumptions and Catalog'!$F$54,IF(((D412+E412)*C412-G412)&lt;='Assumptions and Catalog'!$C$55,((D412+E412)*C412-G412)*'Assumptions and Catalog'!$H$55+'Assumptions and Catalog'!$E$55+'Assumptions and Catalog'!$F$55,IF(((D412+E412)*C412-G412)&lt;='Assumptions and Catalog'!$C$56,((D412+E412)*C412-G412)*'Assumptions and Catalog'!$H$56+'Assumptions and Catalog'!$E$56+'Assumptions and Catalog'!$F$56,IF(((D412+E412)*C412-G412)&lt;='Assumptions and Catalog'!$C$57,((D412+E412)*C412-G412)*'Assumptions and Catalog'!$H$57+'Assumptions and Catalog'!$E$57+'Assumptions and Catalog'!$F$57,"Out of range")))))))),IF(((D412+E412)*C412-G412)&lt;='Assumptions and Catalog'!$C$60,((D412+E412)*C412-G412)*'Assumptions and Catalog'!$H$60+'Assumptions and Catalog'!$E$60+'Assumptions and Catalog'!$F$60,IF(((D412+E412)*C412-G412)&lt;='Assumptions and Catalog'!$C$61,((D412+E412)*C412-G412)*'Assumptions and Catalog'!$H$61+'Assumptions and Catalog'!$E$61+'Assumptions and Catalog'!$F$61,IF(((D412+E412)*C412-G412)&lt;='Assumptions and Catalog'!$C$62,((D412+E412)*C412-G412)*'Assumptions and Catalog'!$H$62+'Assumptions and Catalog'!$E$62+'Assumptions and Catalog'!$F$62,IF(((D412+E412)*C412-G412)&lt;='Assumptions and Catalog'!$C$63,((D412+E412)*C412-G412)*'Assumptions and Catalog'!$H$63+'Assumptions and Catalog'!$E$63+'Assumptions and Catalog'!$F$63,IF(((D412+E412)*C412-G412)&lt;='Assumptions and Catalog'!$C$64,((D412+E412)*C412-G412)*'Assumptions and Catalog'!$H$64+'Assumptions and Catalog'!$E$64+'Assumptions and Catalog'!$F$64,IF(((D412+E412)*C412-G412)&lt;='Assumptions and Catalog'!$C$65,((D412+E412)*C412-G412)*'Assumptions and Catalog'!$H$65+'Assumptions and Catalog'!$E$65+'Assumptions and Catalog'!$F$65,"Out of range")))))))))*(1+'Assumptions and Catalog'!$C$8)^(A412-1),0)</f>
        <v>6412.072</v>
      </c>
      <c r="R412" s="5" t="n">
        <f>IF(AND('Assumptions and Catalog'!$C$19&gt;0,A412&gt;='Assumptions and Catalog'!$C$19),A412-'Assumptions and Catalog'!$C$19,A412-1)</f>
        <v>0</v>
      </c>
      <c r="S412" s="5" t="n">
        <f>F412+L412-(D412+E412)*C412-J412-K412-IF(D$52&gt;0,'Assumptions and Catalog'!$C$26*C412,0)</f>
        <v>0</v>
      </c>
      <c r="T412" s="5"/>
      <c r="U412" s="5"/>
    </row>
    <row r="413" ht="23.100000381469727" customHeight="1">
      <c r="A413" s="5" t="n">
        <v>1</v>
      </c>
      <c r="B413" s="5" t="n">
        <v>3</v>
      </c>
      <c r="C413" s="5" t="n">
        <f>DAY(DATE('Assumptions and Catalog'!$C$24+A413-1,B413+1,0))</f>
        <v>31</v>
      </c>
      <c r="D413" s="5" t="n">
        <f>IF(ISNUMBER(Inputs!$L$5),Inputs!$L$5*Inputs!$L$6,0)</f>
        <v>40.35</v>
      </c>
      <c r="E413" s="5" t="n">
        <f>IF(ISNUMBER(Inputs!$L$5),Inputs!$L$5-D413,0)</f>
        <v>40.35</v>
      </c>
      <c r="F413" s="5" t="n">
        <f>D$51*'Assumptions and Catalog'!$C$31*C413*(1-'Assumptions and Catalog'!$C$10)^(A413-1)</f>
        <v>0</v>
      </c>
      <c r="G413" s="5" t="n">
        <f>MIN(F413,D413*C413)</f>
        <v>0</v>
      </c>
      <c r="H413" s="5" t="n">
        <f>I413/('Assumptions and Catalog'!$C$11*'Assumptions and Catalog'!$C$12)</f>
        <v>0</v>
      </c>
      <c r="I413" s="5" t="n">
        <f>IF(K$15="Grid cycle",MIN(K$16,D413+E413,P413*'Assumptions and Catalog'!$C$12,D$57*(24-'Assumptions and Catalog'!$C$15),D$56*'Assumptions and Catalog'!$C$15*'Assumptions and Catalog'!$C$11*'Assumptions and Catalog'!$C$12)*C413,0)</f>
        <v>0</v>
      </c>
      <c r="J413" s="5" t="n">
        <f>MAX(F413-G413-0,0)</f>
        <v>0</v>
      </c>
      <c r="K413" s="5" t="n">
        <f>H413-I413</f>
        <v>0</v>
      </c>
      <c r="L413" s="5" t="n">
        <f>(D413+E413)*C413-G413-I413+H413+IF(D$52&gt;0,'Assumptions and Catalog'!$C$26*C413,0)</f>
        <v>2501.7</v>
      </c>
      <c r="M413" s="5" t="n">
        <f>IF(ISNUMBER(Inputs!$L$5),(IF(Inputs!$L$9="Actual flat rate",((D413+E413)*C413)*Inputs!$L$10,IF(Inputs!$C$9="Residential",IF(((D413+E413)*C413)&lt;='Assumptions and Catalog'!$C$50,((D413+E413)*C413)*'Assumptions and Catalog'!$H$50+'Assumptions and Catalog'!$E$50+'Assumptions and Catalog'!$F$50,IF(((D413+E413)*C413)&lt;='Assumptions and Catalog'!$C$51,((D413+E413)*C413)*'Assumptions and Catalog'!$H$51+'Assumptions and Catalog'!$E$51+'Assumptions and Catalog'!$F$51,IF(((D413+E413)*C413)&lt;='Assumptions and Catalog'!$C$52,((D413+E413)*C413)*'Assumptions and Catalog'!$H$52+'Assumptions and Catalog'!$E$52+'Assumptions and Catalog'!$F$52,IF(((D413+E413)*C413)&lt;='Assumptions and Catalog'!$C$53,((D413+E413)*C413)*'Assumptions and Catalog'!$H$53+'Assumptions and Catalog'!$E$53+'Assumptions and Catalog'!$F$53,IF(((D413+E413)*C413)&lt;='Assumptions and Catalog'!$C$54,((D413+E413)*C413)*'Assumptions and Catalog'!$H$54+'Assumptions and Catalog'!$E$54+'Assumptions and Catalog'!$F$54,IF(((D413+E413)*C413)&lt;='Assumptions and Catalog'!$C$55,((D413+E413)*C413)*'Assumptions and Catalog'!$H$55+'Assumptions and Catalog'!$E$55+'Assumptions and Catalog'!$F$55,IF(((D413+E413)*C413)&lt;='Assumptions and Catalog'!$C$56,((D413+E413)*C413)*'Assumptions and Catalog'!$H$56+'Assumptions and Catalog'!$E$56+'Assumptions and Catalog'!$F$56,IF(((D413+E413)*C413)&lt;='Assumptions and Catalog'!$C$57,((D413+E413)*C413)*'Assumptions and Catalog'!$H$57+'Assumptions and Catalog'!$E$57+'Assumptions and Catalog'!$F$57,"Out of range")))))))),IF(((D413+E413)*C413)&lt;='Assumptions and Catalog'!$C$60,((D413+E413)*C413)*'Assumptions and Catalog'!$H$60+'Assumptions and Catalog'!$E$60+'Assumptions and Catalog'!$F$60,IF(((D413+E413)*C413)&lt;='Assumptions and Catalog'!$C$61,((D413+E413)*C413)*'Assumptions and Catalog'!$H$61+'Assumptions and Catalog'!$E$61+'Assumptions and Catalog'!$F$61,IF(((D413+E413)*C413)&lt;='Assumptions and Catalog'!$C$62,((D413+E413)*C413)*'Assumptions and Catalog'!$H$62+'Assumptions and Catalog'!$E$62+'Assumptions and Catalog'!$F$62,IF(((D413+E413)*C413)&lt;='Assumptions and Catalog'!$C$63,((D413+E413)*C413)*'Assumptions and Catalog'!$H$63+'Assumptions and Catalog'!$E$63+'Assumptions and Catalog'!$F$63,IF(((D413+E413)*C413)&lt;='Assumptions and Catalog'!$C$64,((D413+E413)*C413)*'Assumptions and Catalog'!$H$64+'Assumptions and Catalog'!$E$64+'Assumptions and Catalog'!$F$64,IF(((D413+E413)*C413)&lt;='Assumptions and Catalog'!$C$65,((D413+E413)*C413)*'Assumptions and Catalog'!$H$65+'Assumptions and Catalog'!$E$65+'Assumptions and Catalog'!$F$65,"Out of range")))))))))*(1+'Assumptions and Catalog'!$C$8)^(A413-1),0)</f>
        <v>7094.794</v>
      </c>
      <c r="N413" s="5" t="n">
        <f>IF(ISNUMBER(Inputs!$L$5),(IF(Inputs!$L$9="Actual flat rate",L413*Inputs!$L$10,IF(Inputs!$C$9="Residential",IF(L413&lt;='Assumptions and Catalog'!$C$50,L413*'Assumptions and Catalog'!$H$50+'Assumptions and Catalog'!$E$50+'Assumptions and Catalog'!$F$50,IF(L413&lt;='Assumptions and Catalog'!$C$51,L413*'Assumptions and Catalog'!$H$51+'Assumptions and Catalog'!$E$51+'Assumptions and Catalog'!$F$51,IF(L413&lt;='Assumptions and Catalog'!$C$52,L413*'Assumptions and Catalog'!$H$52+'Assumptions and Catalog'!$E$52+'Assumptions and Catalog'!$F$52,IF(L413&lt;='Assumptions and Catalog'!$C$53,L413*'Assumptions and Catalog'!$H$53+'Assumptions and Catalog'!$E$53+'Assumptions and Catalog'!$F$53,IF(L413&lt;='Assumptions and Catalog'!$C$54,L413*'Assumptions and Catalog'!$H$54+'Assumptions and Catalog'!$E$54+'Assumptions and Catalog'!$F$54,IF(L413&lt;='Assumptions and Catalog'!$C$55,L413*'Assumptions and Catalog'!$H$55+'Assumptions and Catalog'!$E$55+'Assumptions and Catalog'!$F$55,IF(L413&lt;='Assumptions and Catalog'!$C$56,L413*'Assumptions and Catalog'!$H$56+'Assumptions and Catalog'!$E$56+'Assumptions and Catalog'!$F$56,IF(L413&lt;='Assumptions and Catalog'!$C$57,L413*'Assumptions and Catalog'!$H$57+'Assumptions and Catalog'!$E$57+'Assumptions and Catalog'!$F$57,"Out of range")))))))),IF(L413&lt;='Assumptions and Catalog'!$C$60,L413*'Assumptions and Catalog'!$H$60+'Assumptions and Catalog'!$E$60+'Assumptions and Catalog'!$F$60,IF(L413&lt;='Assumptions and Catalog'!$C$61,L413*'Assumptions and Catalog'!$H$61+'Assumptions and Catalog'!$E$61+'Assumptions and Catalog'!$F$61,IF(L413&lt;='Assumptions and Catalog'!$C$62,L413*'Assumptions and Catalog'!$H$62+'Assumptions and Catalog'!$E$62+'Assumptions and Catalog'!$F$62,IF(L413&lt;='Assumptions and Catalog'!$C$63,L413*'Assumptions and Catalog'!$H$63+'Assumptions and Catalog'!$E$63+'Assumptions and Catalog'!$F$63,IF(L413&lt;='Assumptions and Catalog'!$C$64,L413*'Assumptions and Catalog'!$H$64+'Assumptions and Catalog'!$E$64+'Assumptions and Catalog'!$F$64,IF(L413&lt;='Assumptions and Catalog'!$C$65,L413*'Assumptions and Catalog'!$H$65+'Assumptions and Catalog'!$E$65+'Assumptions and Catalog'!$F$65,"Out of range")))))))))*(1+'Assumptions and Catalog'!$C$8)^(A413-1),0)</f>
        <v>7094.794</v>
      </c>
      <c r="O413" s="5" t="n">
        <f>M413-N413</f>
        <v>0</v>
      </c>
      <c r="P413" s="5" t="n">
        <f>D$55*(1-K$14)*(1-'Assumptions and Catalog'!$C$23)^R413</f>
        <v>0</v>
      </c>
      <c r="Q413" s="5" t="n">
        <f>IF(ISNUMBER(Inputs!$L$5),(IF(Inputs!$L$9="Actual flat rate",((D413+E413)*C413-G413)*Inputs!$L$10,IF(Inputs!$C$9="Residential",IF(((D413+E413)*C413-G413)&lt;='Assumptions and Catalog'!$C$50,((D413+E413)*C413-G413)*'Assumptions and Catalog'!$H$50+'Assumptions and Catalog'!$E$50+'Assumptions and Catalog'!$F$50,IF(((D413+E413)*C413-G413)&lt;='Assumptions and Catalog'!$C$51,((D413+E413)*C413-G413)*'Assumptions and Catalog'!$H$51+'Assumptions and Catalog'!$E$51+'Assumptions and Catalog'!$F$51,IF(((D413+E413)*C413-G413)&lt;='Assumptions and Catalog'!$C$52,((D413+E413)*C413-G413)*'Assumptions and Catalog'!$H$52+'Assumptions and Catalog'!$E$52+'Assumptions and Catalog'!$F$52,IF(((D413+E413)*C413-G413)&lt;='Assumptions and Catalog'!$C$53,((D413+E413)*C413-G413)*'Assumptions and Catalog'!$H$53+'Assumptions and Catalog'!$E$53+'Assumptions and Catalog'!$F$53,IF(((D413+E413)*C413-G413)&lt;='Assumptions and Catalog'!$C$54,((D413+E413)*C413-G413)*'Assumptions and Catalog'!$H$54+'Assumptions and Catalog'!$E$54+'Assumptions and Catalog'!$F$54,IF(((D413+E413)*C413-G413)&lt;='Assumptions and Catalog'!$C$55,((D413+E413)*C413-G413)*'Assumptions and Catalog'!$H$55+'Assumptions and Catalog'!$E$55+'Assumptions and Catalog'!$F$55,IF(((D413+E413)*C413-G413)&lt;='Assumptions and Catalog'!$C$56,((D413+E413)*C413-G413)*'Assumptions and Catalog'!$H$56+'Assumptions and Catalog'!$E$56+'Assumptions and Catalog'!$F$56,IF(((D413+E413)*C413-G413)&lt;='Assumptions and Catalog'!$C$57,((D413+E413)*C413-G413)*'Assumptions and Catalog'!$H$57+'Assumptions and Catalog'!$E$57+'Assumptions and Catalog'!$F$57,"Out of range")))))))),IF(((D413+E413)*C413-G413)&lt;='Assumptions and Catalog'!$C$60,((D413+E413)*C413-G413)*'Assumptions and Catalog'!$H$60+'Assumptions and Catalog'!$E$60+'Assumptions and Catalog'!$F$60,IF(((D413+E413)*C413-G413)&lt;='Assumptions and Catalog'!$C$61,((D413+E413)*C413-G413)*'Assumptions and Catalog'!$H$61+'Assumptions and Catalog'!$E$61+'Assumptions and Catalog'!$F$61,IF(((D413+E413)*C413-G413)&lt;='Assumptions and Catalog'!$C$62,((D413+E413)*C413-G413)*'Assumptions and Catalog'!$H$62+'Assumptions and Catalog'!$E$62+'Assumptions and Catalog'!$F$62,IF(((D413+E413)*C413-G413)&lt;='Assumptions and Catalog'!$C$63,((D413+E413)*C413-G413)*'Assumptions and Catalog'!$H$63+'Assumptions and Catalog'!$E$63+'Assumptions and Catalog'!$F$63,IF(((D413+E413)*C413-G413)&lt;='Assumptions and Catalog'!$C$64,((D413+E413)*C413-G413)*'Assumptions and Catalog'!$H$64+'Assumptions and Catalog'!$E$64+'Assumptions and Catalog'!$F$64,IF(((D413+E413)*C413-G413)&lt;='Assumptions and Catalog'!$C$65,((D413+E413)*C413-G413)*'Assumptions and Catalog'!$H$65+'Assumptions and Catalog'!$E$65+'Assumptions and Catalog'!$F$65,"Out of range")))))))))*(1+'Assumptions and Catalog'!$C$8)^(A413-1),0)</f>
        <v>7094.794</v>
      </c>
      <c r="R413" s="5" t="n">
        <f>IF(AND('Assumptions and Catalog'!$C$19&gt;0,A413&gt;='Assumptions and Catalog'!$C$19),A413-'Assumptions and Catalog'!$C$19,A413-1)</f>
        <v>0</v>
      </c>
      <c r="S413" s="5" t="n">
        <f>F413+L413-(D413+E413)*C413-J413-K413-IF(D$52&gt;0,'Assumptions and Catalog'!$C$26*C413,0)</f>
        <v>0</v>
      </c>
      <c r="T413" s="5"/>
      <c r="U413" s="5"/>
    </row>
    <row r="414" ht="23.100000381469727" customHeight="1">
      <c r="A414" s="5" t="n">
        <v>1</v>
      </c>
      <c r="B414" s="5" t="n">
        <v>4</v>
      </c>
      <c r="C414" s="5" t="n">
        <f>DAY(DATE('Assumptions and Catalog'!$C$24+A414-1,B414+1,0))</f>
        <v>30</v>
      </c>
      <c r="D414" s="5" t="n">
        <f>IF(ISNUMBER(Inputs!$L$5),Inputs!$L$5*Inputs!$L$6,0)</f>
        <v>40.35</v>
      </c>
      <c r="E414" s="5" t="n">
        <f>IF(ISNUMBER(Inputs!$L$5),Inputs!$L$5-D414,0)</f>
        <v>40.35</v>
      </c>
      <c r="F414" s="5" t="n">
        <f>D$51*'Assumptions and Catalog'!$C$31*C414*(1-'Assumptions and Catalog'!$C$10)^(A414-1)</f>
        <v>0</v>
      </c>
      <c r="G414" s="5" t="n">
        <f>MIN(F414,D414*C414)</f>
        <v>0</v>
      </c>
      <c r="H414" s="5" t="n">
        <f>I414/('Assumptions and Catalog'!$C$11*'Assumptions and Catalog'!$C$12)</f>
        <v>0</v>
      </c>
      <c r="I414" s="5" t="n">
        <f>IF(K$15="Grid cycle",MIN(K$16,D414+E414,P414*'Assumptions and Catalog'!$C$12,D$57*(24-'Assumptions and Catalog'!$C$15),D$56*'Assumptions and Catalog'!$C$15*'Assumptions and Catalog'!$C$11*'Assumptions and Catalog'!$C$12)*C414,0)</f>
        <v>0</v>
      </c>
      <c r="J414" s="5" t="n">
        <f>MAX(F414-G414-0,0)</f>
        <v>0</v>
      </c>
      <c r="K414" s="5" t="n">
        <f>H414-I414</f>
        <v>0</v>
      </c>
      <c r="L414" s="5" t="n">
        <f>(D414+E414)*C414-G414-I414+H414+IF(D$52&gt;0,'Assumptions and Catalog'!$C$26*C414,0)</f>
        <v>2421</v>
      </c>
      <c r="M414" s="5" t="n">
        <f>IF(ISNUMBER(Inputs!$L$5),(IF(Inputs!$L$9="Actual flat rate",((D414+E414)*C414)*Inputs!$L$10,IF(Inputs!$C$9="Residential",IF(((D414+E414)*C414)&lt;='Assumptions and Catalog'!$C$50,((D414+E414)*C414)*'Assumptions and Catalog'!$H$50+'Assumptions and Catalog'!$E$50+'Assumptions and Catalog'!$F$50,IF(((D414+E414)*C414)&lt;='Assumptions and Catalog'!$C$51,((D414+E414)*C414)*'Assumptions and Catalog'!$H$51+'Assumptions and Catalog'!$E$51+'Assumptions and Catalog'!$F$51,IF(((D414+E414)*C414)&lt;='Assumptions and Catalog'!$C$52,((D414+E414)*C414)*'Assumptions and Catalog'!$H$52+'Assumptions and Catalog'!$E$52+'Assumptions and Catalog'!$F$52,IF(((D414+E414)*C414)&lt;='Assumptions and Catalog'!$C$53,((D414+E414)*C414)*'Assumptions and Catalog'!$H$53+'Assumptions and Catalog'!$E$53+'Assumptions and Catalog'!$F$53,IF(((D414+E414)*C414)&lt;='Assumptions and Catalog'!$C$54,((D414+E414)*C414)*'Assumptions and Catalog'!$H$54+'Assumptions and Catalog'!$E$54+'Assumptions and Catalog'!$F$54,IF(((D414+E414)*C414)&lt;='Assumptions and Catalog'!$C$55,((D414+E414)*C414)*'Assumptions and Catalog'!$H$55+'Assumptions and Catalog'!$E$55+'Assumptions and Catalog'!$F$55,IF(((D414+E414)*C414)&lt;='Assumptions and Catalog'!$C$56,((D414+E414)*C414)*'Assumptions and Catalog'!$H$56+'Assumptions and Catalog'!$E$56+'Assumptions and Catalog'!$F$56,IF(((D414+E414)*C414)&lt;='Assumptions and Catalog'!$C$57,((D414+E414)*C414)*'Assumptions and Catalog'!$H$57+'Assumptions and Catalog'!$E$57+'Assumptions and Catalog'!$F$57,"Out of range")))))))),IF(((D414+E414)*C414)&lt;='Assumptions and Catalog'!$C$60,((D414+E414)*C414)*'Assumptions and Catalog'!$H$60+'Assumptions and Catalog'!$E$60+'Assumptions and Catalog'!$F$60,IF(((D414+E414)*C414)&lt;='Assumptions and Catalog'!$C$61,((D414+E414)*C414)*'Assumptions and Catalog'!$H$61+'Assumptions and Catalog'!$E$61+'Assumptions and Catalog'!$F$61,IF(((D414+E414)*C414)&lt;='Assumptions and Catalog'!$C$62,((D414+E414)*C414)*'Assumptions and Catalog'!$H$62+'Assumptions and Catalog'!$E$62+'Assumptions and Catalog'!$F$62,IF(((D414+E414)*C414)&lt;='Assumptions and Catalog'!$C$63,((D414+E414)*C414)*'Assumptions and Catalog'!$H$63+'Assumptions and Catalog'!$E$63+'Assumptions and Catalog'!$F$63,IF(((D414+E414)*C414)&lt;='Assumptions and Catalog'!$C$64,((D414+E414)*C414)*'Assumptions and Catalog'!$H$64+'Assumptions and Catalog'!$E$64+'Assumptions and Catalog'!$F$64,IF(((D414+E414)*C414)&lt;='Assumptions and Catalog'!$C$65,((D414+E414)*C414)*'Assumptions and Catalog'!$H$65+'Assumptions and Catalog'!$E$65+'Assumptions and Catalog'!$F$65,"Out of range")))))))))*(1+'Assumptions and Catalog'!$C$8)^(A414-1),0)</f>
        <v>6867.22</v>
      </c>
      <c r="N414" s="5" t="n">
        <f>IF(ISNUMBER(Inputs!$L$5),(IF(Inputs!$L$9="Actual flat rate",L414*Inputs!$L$10,IF(Inputs!$C$9="Residential",IF(L414&lt;='Assumptions and Catalog'!$C$50,L414*'Assumptions and Catalog'!$H$50+'Assumptions and Catalog'!$E$50+'Assumptions and Catalog'!$F$50,IF(L414&lt;='Assumptions and Catalog'!$C$51,L414*'Assumptions and Catalog'!$H$51+'Assumptions and Catalog'!$E$51+'Assumptions and Catalog'!$F$51,IF(L414&lt;='Assumptions and Catalog'!$C$52,L414*'Assumptions and Catalog'!$H$52+'Assumptions and Catalog'!$E$52+'Assumptions and Catalog'!$F$52,IF(L414&lt;='Assumptions and Catalog'!$C$53,L414*'Assumptions and Catalog'!$H$53+'Assumptions and Catalog'!$E$53+'Assumptions and Catalog'!$F$53,IF(L414&lt;='Assumptions and Catalog'!$C$54,L414*'Assumptions and Catalog'!$H$54+'Assumptions and Catalog'!$E$54+'Assumptions and Catalog'!$F$54,IF(L414&lt;='Assumptions and Catalog'!$C$55,L414*'Assumptions and Catalog'!$H$55+'Assumptions and Catalog'!$E$55+'Assumptions and Catalog'!$F$55,IF(L414&lt;='Assumptions and Catalog'!$C$56,L414*'Assumptions and Catalog'!$H$56+'Assumptions and Catalog'!$E$56+'Assumptions and Catalog'!$F$56,IF(L414&lt;='Assumptions and Catalog'!$C$57,L414*'Assumptions and Catalog'!$H$57+'Assumptions and Catalog'!$E$57+'Assumptions and Catalog'!$F$57,"Out of range")))))))),IF(L414&lt;='Assumptions and Catalog'!$C$60,L414*'Assumptions and Catalog'!$H$60+'Assumptions and Catalog'!$E$60+'Assumptions and Catalog'!$F$60,IF(L414&lt;='Assumptions and Catalog'!$C$61,L414*'Assumptions and Catalog'!$H$61+'Assumptions and Catalog'!$E$61+'Assumptions and Catalog'!$F$61,IF(L414&lt;='Assumptions and Catalog'!$C$62,L414*'Assumptions and Catalog'!$H$62+'Assumptions and Catalog'!$E$62+'Assumptions and Catalog'!$F$62,IF(L414&lt;='Assumptions and Catalog'!$C$63,L414*'Assumptions and Catalog'!$H$63+'Assumptions and Catalog'!$E$63+'Assumptions and Catalog'!$F$63,IF(L414&lt;='Assumptions and Catalog'!$C$64,L414*'Assumptions and Catalog'!$H$64+'Assumptions and Catalog'!$E$64+'Assumptions and Catalog'!$F$64,IF(L414&lt;='Assumptions and Catalog'!$C$65,L414*'Assumptions and Catalog'!$H$65+'Assumptions and Catalog'!$E$65+'Assumptions and Catalog'!$F$65,"Out of range")))))))))*(1+'Assumptions and Catalog'!$C$8)^(A414-1),0)</f>
        <v>6867.22</v>
      </c>
      <c r="O414" s="5" t="n">
        <f>M414-N414</f>
        <v>0</v>
      </c>
      <c r="P414" s="5" t="n">
        <f>D$55*(1-K$14)*(1-'Assumptions and Catalog'!$C$23)^R414</f>
        <v>0</v>
      </c>
      <c r="Q414" s="5" t="n">
        <f>IF(ISNUMBER(Inputs!$L$5),(IF(Inputs!$L$9="Actual flat rate",((D414+E414)*C414-G414)*Inputs!$L$10,IF(Inputs!$C$9="Residential",IF(((D414+E414)*C414-G414)&lt;='Assumptions and Catalog'!$C$50,((D414+E414)*C414-G414)*'Assumptions and Catalog'!$H$50+'Assumptions and Catalog'!$E$50+'Assumptions and Catalog'!$F$50,IF(((D414+E414)*C414-G414)&lt;='Assumptions and Catalog'!$C$51,((D414+E414)*C414-G414)*'Assumptions and Catalog'!$H$51+'Assumptions and Catalog'!$E$51+'Assumptions and Catalog'!$F$51,IF(((D414+E414)*C414-G414)&lt;='Assumptions and Catalog'!$C$52,((D414+E414)*C414-G414)*'Assumptions and Catalog'!$H$52+'Assumptions and Catalog'!$E$52+'Assumptions and Catalog'!$F$52,IF(((D414+E414)*C414-G414)&lt;='Assumptions and Catalog'!$C$53,((D414+E414)*C414-G414)*'Assumptions and Catalog'!$H$53+'Assumptions and Catalog'!$E$53+'Assumptions and Catalog'!$F$53,IF(((D414+E414)*C414-G414)&lt;='Assumptions and Catalog'!$C$54,((D414+E414)*C414-G414)*'Assumptions and Catalog'!$H$54+'Assumptions and Catalog'!$E$54+'Assumptions and Catalog'!$F$54,IF(((D414+E414)*C414-G414)&lt;='Assumptions and Catalog'!$C$55,((D414+E414)*C414-G414)*'Assumptions and Catalog'!$H$55+'Assumptions and Catalog'!$E$55+'Assumptions and Catalog'!$F$55,IF(((D414+E414)*C414-G414)&lt;='Assumptions and Catalog'!$C$56,((D414+E414)*C414-G414)*'Assumptions and Catalog'!$H$56+'Assumptions and Catalog'!$E$56+'Assumptions and Catalog'!$F$56,IF(((D414+E414)*C414-G414)&lt;='Assumptions and Catalog'!$C$57,((D414+E414)*C414-G414)*'Assumptions and Catalog'!$H$57+'Assumptions and Catalog'!$E$57+'Assumptions and Catalog'!$F$57,"Out of range")))))))),IF(((D414+E414)*C414-G414)&lt;='Assumptions and Catalog'!$C$60,((D414+E414)*C414-G414)*'Assumptions and Catalog'!$H$60+'Assumptions and Catalog'!$E$60+'Assumptions and Catalog'!$F$60,IF(((D414+E414)*C414-G414)&lt;='Assumptions and Catalog'!$C$61,((D414+E414)*C414-G414)*'Assumptions and Catalog'!$H$61+'Assumptions and Catalog'!$E$61+'Assumptions and Catalog'!$F$61,IF(((D414+E414)*C414-G414)&lt;='Assumptions and Catalog'!$C$62,((D414+E414)*C414-G414)*'Assumptions and Catalog'!$H$62+'Assumptions and Catalog'!$E$62+'Assumptions and Catalog'!$F$62,IF(((D414+E414)*C414-G414)&lt;='Assumptions and Catalog'!$C$63,((D414+E414)*C414-G414)*'Assumptions and Catalog'!$H$63+'Assumptions and Catalog'!$E$63+'Assumptions and Catalog'!$F$63,IF(((D414+E414)*C414-G414)&lt;='Assumptions and Catalog'!$C$64,((D414+E414)*C414-G414)*'Assumptions and Catalog'!$H$64+'Assumptions and Catalog'!$E$64+'Assumptions and Catalog'!$F$64,IF(((D414+E414)*C414-G414)&lt;='Assumptions and Catalog'!$C$65,((D414+E414)*C414-G414)*'Assumptions and Catalog'!$H$65+'Assumptions and Catalog'!$E$65+'Assumptions and Catalog'!$F$65,"Out of range")))))))))*(1+'Assumptions and Catalog'!$C$8)^(A414-1),0)</f>
        <v>6867.22</v>
      </c>
      <c r="R414" s="5" t="n">
        <f>IF(AND('Assumptions and Catalog'!$C$19&gt;0,A414&gt;='Assumptions and Catalog'!$C$19),A414-'Assumptions and Catalog'!$C$19,A414-1)</f>
        <v>0</v>
      </c>
      <c r="S414" s="5" t="n">
        <f>F414+L414-(D414+E414)*C414-J414-K414-IF(D$52&gt;0,'Assumptions and Catalog'!$C$26*C414,0)</f>
        <v>0</v>
      </c>
      <c r="T414" s="5"/>
      <c r="U414" s="5"/>
    </row>
    <row r="415" ht="23.100000381469727" customHeight="1">
      <c r="A415" s="5" t="n">
        <v>1</v>
      </c>
      <c r="B415" s="5" t="n">
        <v>5</v>
      </c>
      <c r="C415" s="5" t="n">
        <f>DAY(DATE('Assumptions and Catalog'!$C$24+A415-1,B415+1,0))</f>
        <v>31</v>
      </c>
      <c r="D415" s="5" t="n">
        <f>IF(ISNUMBER(Inputs!$L$5),Inputs!$L$5*Inputs!$L$6,0)</f>
        <v>40.35</v>
      </c>
      <c r="E415" s="5" t="n">
        <f>IF(ISNUMBER(Inputs!$L$5),Inputs!$L$5-D415,0)</f>
        <v>40.35</v>
      </c>
      <c r="F415" s="5" t="n">
        <f>D$51*'Assumptions and Catalog'!$C$31*C415*(1-'Assumptions and Catalog'!$C$10)^(A415-1)</f>
        <v>0</v>
      </c>
      <c r="G415" s="5" t="n">
        <f>MIN(F415,D415*C415)</f>
        <v>0</v>
      </c>
      <c r="H415" s="5" t="n">
        <f>I415/('Assumptions and Catalog'!$C$11*'Assumptions and Catalog'!$C$12)</f>
        <v>0</v>
      </c>
      <c r="I415" s="5" t="n">
        <f>IF(K$15="Grid cycle",MIN(K$16,D415+E415,P415*'Assumptions and Catalog'!$C$12,D$57*(24-'Assumptions and Catalog'!$C$15),D$56*'Assumptions and Catalog'!$C$15*'Assumptions and Catalog'!$C$11*'Assumptions and Catalog'!$C$12)*C415,0)</f>
        <v>0</v>
      </c>
      <c r="J415" s="5" t="n">
        <f>MAX(F415-G415-0,0)</f>
        <v>0</v>
      </c>
      <c r="K415" s="5" t="n">
        <f>H415-I415</f>
        <v>0</v>
      </c>
      <c r="L415" s="5" t="n">
        <f>(D415+E415)*C415-G415-I415+H415+IF(D$52&gt;0,'Assumptions and Catalog'!$C$26*C415,0)</f>
        <v>2501.7</v>
      </c>
      <c r="M415" s="5" t="n">
        <f>IF(ISNUMBER(Inputs!$L$5),(IF(Inputs!$L$9="Actual flat rate",((D415+E415)*C415)*Inputs!$L$10,IF(Inputs!$C$9="Residential",IF(((D415+E415)*C415)&lt;='Assumptions and Catalog'!$C$50,((D415+E415)*C415)*'Assumptions and Catalog'!$H$50+'Assumptions and Catalog'!$E$50+'Assumptions and Catalog'!$F$50,IF(((D415+E415)*C415)&lt;='Assumptions and Catalog'!$C$51,((D415+E415)*C415)*'Assumptions and Catalog'!$H$51+'Assumptions and Catalog'!$E$51+'Assumptions and Catalog'!$F$51,IF(((D415+E415)*C415)&lt;='Assumptions and Catalog'!$C$52,((D415+E415)*C415)*'Assumptions and Catalog'!$H$52+'Assumptions and Catalog'!$E$52+'Assumptions and Catalog'!$F$52,IF(((D415+E415)*C415)&lt;='Assumptions and Catalog'!$C$53,((D415+E415)*C415)*'Assumptions and Catalog'!$H$53+'Assumptions and Catalog'!$E$53+'Assumptions and Catalog'!$F$53,IF(((D415+E415)*C415)&lt;='Assumptions and Catalog'!$C$54,((D415+E415)*C415)*'Assumptions and Catalog'!$H$54+'Assumptions and Catalog'!$E$54+'Assumptions and Catalog'!$F$54,IF(((D415+E415)*C415)&lt;='Assumptions and Catalog'!$C$55,((D415+E415)*C415)*'Assumptions and Catalog'!$H$55+'Assumptions and Catalog'!$E$55+'Assumptions and Catalog'!$F$55,IF(((D415+E415)*C415)&lt;='Assumptions and Catalog'!$C$56,((D415+E415)*C415)*'Assumptions and Catalog'!$H$56+'Assumptions and Catalog'!$E$56+'Assumptions and Catalog'!$F$56,IF(((D415+E415)*C415)&lt;='Assumptions and Catalog'!$C$57,((D415+E415)*C415)*'Assumptions and Catalog'!$H$57+'Assumptions and Catalog'!$E$57+'Assumptions and Catalog'!$F$57,"Out of range")))))))),IF(((D415+E415)*C415)&lt;='Assumptions and Catalog'!$C$60,((D415+E415)*C415)*'Assumptions and Catalog'!$H$60+'Assumptions and Catalog'!$E$60+'Assumptions and Catalog'!$F$60,IF(((D415+E415)*C415)&lt;='Assumptions and Catalog'!$C$61,((D415+E415)*C415)*'Assumptions and Catalog'!$H$61+'Assumptions and Catalog'!$E$61+'Assumptions and Catalog'!$F$61,IF(((D415+E415)*C415)&lt;='Assumptions and Catalog'!$C$62,((D415+E415)*C415)*'Assumptions and Catalog'!$H$62+'Assumptions and Catalog'!$E$62+'Assumptions and Catalog'!$F$62,IF(((D415+E415)*C415)&lt;='Assumptions and Catalog'!$C$63,((D415+E415)*C415)*'Assumptions and Catalog'!$H$63+'Assumptions and Catalog'!$E$63+'Assumptions and Catalog'!$F$63,IF(((D415+E415)*C415)&lt;='Assumptions and Catalog'!$C$64,((D415+E415)*C415)*'Assumptions and Catalog'!$H$64+'Assumptions and Catalog'!$E$64+'Assumptions and Catalog'!$F$64,IF(((D415+E415)*C415)&lt;='Assumptions and Catalog'!$C$65,((D415+E415)*C415)*'Assumptions and Catalog'!$H$65+'Assumptions and Catalog'!$E$65+'Assumptions and Catalog'!$F$65,"Out of range")))))))))*(1+'Assumptions and Catalog'!$C$8)^(A415-1),0)</f>
        <v>7094.794</v>
      </c>
      <c r="N415" s="5" t="n">
        <f>IF(ISNUMBER(Inputs!$L$5),(IF(Inputs!$L$9="Actual flat rate",L415*Inputs!$L$10,IF(Inputs!$C$9="Residential",IF(L415&lt;='Assumptions and Catalog'!$C$50,L415*'Assumptions and Catalog'!$H$50+'Assumptions and Catalog'!$E$50+'Assumptions and Catalog'!$F$50,IF(L415&lt;='Assumptions and Catalog'!$C$51,L415*'Assumptions and Catalog'!$H$51+'Assumptions and Catalog'!$E$51+'Assumptions and Catalog'!$F$51,IF(L415&lt;='Assumptions and Catalog'!$C$52,L415*'Assumptions and Catalog'!$H$52+'Assumptions and Catalog'!$E$52+'Assumptions and Catalog'!$F$52,IF(L415&lt;='Assumptions and Catalog'!$C$53,L415*'Assumptions and Catalog'!$H$53+'Assumptions and Catalog'!$E$53+'Assumptions and Catalog'!$F$53,IF(L415&lt;='Assumptions and Catalog'!$C$54,L415*'Assumptions and Catalog'!$H$54+'Assumptions and Catalog'!$E$54+'Assumptions and Catalog'!$F$54,IF(L415&lt;='Assumptions and Catalog'!$C$55,L415*'Assumptions and Catalog'!$H$55+'Assumptions and Catalog'!$E$55+'Assumptions and Catalog'!$F$55,IF(L415&lt;='Assumptions and Catalog'!$C$56,L415*'Assumptions and Catalog'!$H$56+'Assumptions and Catalog'!$E$56+'Assumptions and Catalog'!$F$56,IF(L415&lt;='Assumptions and Catalog'!$C$57,L415*'Assumptions and Catalog'!$H$57+'Assumptions and Catalog'!$E$57+'Assumptions and Catalog'!$F$57,"Out of range")))))))),IF(L415&lt;='Assumptions and Catalog'!$C$60,L415*'Assumptions and Catalog'!$H$60+'Assumptions and Catalog'!$E$60+'Assumptions and Catalog'!$F$60,IF(L415&lt;='Assumptions and Catalog'!$C$61,L415*'Assumptions and Catalog'!$H$61+'Assumptions and Catalog'!$E$61+'Assumptions and Catalog'!$F$61,IF(L415&lt;='Assumptions and Catalog'!$C$62,L415*'Assumptions and Catalog'!$H$62+'Assumptions and Catalog'!$E$62+'Assumptions and Catalog'!$F$62,IF(L415&lt;='Assumptions and Catalog'!$C$63,L415*'Assumptions and Catalog'!$H$63+'Assumptions and Catalog'!$E$63+'Assumptions and Catalog'!$F$63,IF(L415&lt;='Assumptions and Catalog'!$C$64,L415*'Assumptions and Catalog'!$H$64+'Assumptions and Catalog'!$E$64+'Assumptions and Catalog'!$F$64,IF(L415&lt;='Assumptions and Catalog'!$C$65,L415*'Assumptions and Catalog'!$H$65+'Assumptions and Catalog'!$E$65+'Assumptions and Catalog'!$F$65,"Out of range")))))))))*(1+'Assumptions and Catalog'!$C$8)^(A415-1),0)</f>
        <v>7094.794</v>
      </c>
      <c r="O415" s="5" t="n">
        <f>M415-N415</f>
        <v>0</v>
      </c>
      <c r="P415" s="5" t="n">
        <f>D$55*(1-K$14)*(1-'Assumptions and Catalog'!$C$23)^R415</f>
        <v>0</v>
      </c>
      <c r="Q415" s="5" t="n">
        <f>IF(ISNUMBER(Inputs!$L$5),(IF(Inputs!$L$9="Actual flat rate",((D415+E415)*C415-G415)*Inputs!$L$10,IF(Inputs!$C$9="Residential",IF(((D415+E415)*C415-G415)&lt;='Assumptions and Catalog'!$C$50,((D415+E415)*C415-G415)*'Assumptions and Catalog'!$H$50+'Assumptions and Catalog'!$E$50+'Assumptions and Catalog'!$F$50,IF(((D415+E415)*C415-G415)&lt;='Assumptions and Catalog'!$C$51,((D415+E415)*C415-G415)*'Assumptions and Catalog'!$H$51+'Assumptions and Catalog'!$E$51+'Assumptions and Catalog'!$F$51,IF(((D415+E415)*C415-G415)&lt;='Assumptions and Catalog'!$C$52,((D415+E415)*C415-G415)*'Assumptions and Catalog'!$H$52+'Assumptions and Catalog'!$E$52+'Assumptions and Catalog'!$F$52,IF(((D415+E415)*C415-G415)&lt;='Assumptions and Catalog'!$C$53,((D415+E415)*C415-G415)*'Assumptions and Catalog'!$H$53+'Assumptions and Catalog'!$E$53+'Assumptions and Catalog'!$F$53,IF(((D415+E415)*C415-G415)&lt;='Assumptions and Catalog'!$C$54,((D415+E415)*C415-G415)*'Assumptions and Catalog'!$H$54+'Assumptions and Catalog'!$E$54+'Assumptions and Catalog'!$F$54,IF(((D415+E415)*C415-G415)&lt;='Assumptions and Catalog'!$C$55,((D415+E415)*C415-G415)*'Assumptions and Catalog'!$H$55+'Assumptions and Catalog'!$E$55+'Assumptions and Catalog'!$F$55,IF(((D415+E415)*C415-G415)&lt;='Assumptions and Catalog'!$C$56,((D415+E415)*C415-G415)*'Assumptions and Catalog'!$H$56+'Assumptions and Catalog'!$E$56+'Assumptions and Catalog'!$F$56,IF(((D415+E415)*C415-G415)&lt;='Assumptions and Catalog'!$C$57,((D415+E415)*C415-G415)*'Assumptions and Catalog'!$H$57+'Assumptions and Catalog'!$E$57+'Assumptions and Catalog'!$F$57,"Out of range")))))))),IF(((D415+E415)*C415-G415)&lt;='Assumptions and Catalog'!$C$60,((D415+E415)*C415-G415)*'Assumptions and Catalog'!$H$60+'Assumptions and Catalog'!$E$60+'Assumptions and Catalog'!$F$60,IF(((D415+E415)*C415-G415)&lt;='Assumptions and Catalog'!$C$61,((D415+E415)*C415-G415)*'Assumptions and Catalog'!$H$61+'Assumptions and Catalog'!$E$61+'Assumptions and Catalog'!$F$61,IF(((D415+E415)*C415-G415)&lt;='Assumptions and Catalog'!$C$62,((D415+E415)*C415-G415)*'Assumptions and Catalog'!$H$62+'Assumptions and Catalog'!$E$62+'Assumptions and Catalog'!$F$62,IF(((D415+E415)*C415-G415)&lt;='Assumptions and Catalog'!$C$63,((D415+E415)*C415-G415)*'Assumptions and Catalog'!$H$63+'Assumptions and Catalog'!$E$63+'Assumptions and Catalog'!$F$63,IF(((D415+E415)*C415-G415)&lt;='Assumptions and Catalog'!$C$64,((D415+E415)*C415-G415)*'Assumptions and Catalog'!$H$64+'Assumptions and Catalog'!$E$64+'Assumptions and Catalog'!$F$64,IF(((D415+E415)*C415-G415)&lt;='Assumptions and Catalog'!$C$65,((D415+E415)*C415-G415)*'Assumptions and Catalog'!$H$65+'Assumptions and Catalog'!$E$65+'Assumptions and Catalog'!$F$65,"Out of range")))))))))*(1+'Assumptions and Catalog'!$C$8)^(A415-1),0)</f>
        <v>7094.794</v>
      </c>
      <c r="R415" s="5" t="n">
        <f>IF(AND('Assumptions and Catalog'!$C$19&gt;0,A415&gt;='Assumptions and Catalog'!$C$19),A415-'Assumptions and Catalog'!$C$19,A415-1)</f>
        <v>0</v>
      </c>
      <c r="S415" s="5" t="n">
        <f>F415+L415-(D415+E415)*C415-J415-K415-IF(D$52&gt;0,'Assumptions and Catalog'!$C$26*C415,0)</f>
        <v>0</v>
      </c>
      <c r="T415" s="5"/>
      <c r="U415" s="5"/>
    </row>
    <row r="416" ht="23.100000381469727" customHeight="1">
      <c r="A416" s="5" t="n">
        <v>1</v>
      </c>
      <c r="B416" s="5" t="n">
        <v>6</v>
      </c>
      <c r="C416" s="5" t="n">
        <f>DAY(DATE('Assumptions and Catalog'!$C$24+A416-1,B416+1,0))</f>
        <v>30</v>
      </c>
      <c r="D416" s="5" t="n">
        <f>IF(ISNUMBER(Inputs!$L$5),Inputs!$L$5*Inputs!$L$6,0)</f>
        <v>40.35</v>
      </c>
      <c r="E416" s="5" t="n">
        <f>IF(ISNUMBER(Inputs!$L$5),Inputs!$L$5-D416,0)</f>
        <v>40.35</v>
      </c>
      <c r="F416" s="5" t="n">
        <f>D$51*'Assumptions and Catalog'!$C$31*C416*(1-'Assumptions and Catalog'!$C$10)^(A416-1)</f>
        <v>0</v>
      </c>
      <c r="G416" s="5" t="n">
        <f>MIN(F416,D416*C416)</f>
        <v>0</v>
      </c>
      <c r="H416" s="5" t="n">
        <f>I416/('Assumptions and Catalog'!$C$11*'Assumptions and Catalog'!$C$12)</f>
        <v>0</v>
      </c>
      <c r="I416" s="5" t="n">
        <f>IF(K$15="Grid cycle",MIN(K$16,D416+E416,P416*'Assumptions and Catalog'!$C$12,D$57*(24-'Assumptions and Catalog'!$C$15),D$56*'Assumptions and Catalog'!$C$15*'Assumptions and Catalog'!$C$11*'Assumptions and Catalog'!$C$12)*C416,0)</f>
        <v>0</v>
      </c>
      <c r="J416" s="5" t="n">
        <f>MAX(F416-G416-0,0)</f>
        <v>0</v>
      </c>
      <c r="K416" s="5" t="n">
        <f>H416-I416</f>
        <v>0</v>
      </c>
      <c r="L416" s="5" t="n">
        <f>(D416+E416)*C416-G416-I416+H416+IF(D$52&gt;0,'Assumptions and Catalog'!$C$26*C416,0)</f>
        <v>2421</v>
      </c>
      <c r="M416" s="5" t="n">
        <f>IF(ISNUMBER(Inputs!$L$5),(IF(Inputs!$L$9="Actual flat rate",((D416+E416)*C416)*Inputs!$L$10,IF(Inputs!$C$9="Residential",IF(((D416+E416)*C416)&lt;='Assumptions and Catalog'!$C$50,((D416+E416)*C416)*'Assumptions and Catalog'!$H$50+'Assumptions and Catalog'!$E$50+'Assumptions and Catalog'!$F$50,IF(((D416+E416)*C416)&lt;='Assumptions and Catalog'!$C$51,((D416+E416)*C416)*'Assumptions and Catalog'!$H$51+'Assumptions and Catalog'!$E$51+'Assumptions and Catalog'!$F$51,IF(((D416+E416)*C416)&lt;='Assumptions and Catalog'!$C$52,((D416+E416)*C416)*'Assumptions and Catalog'!$H$52+'Assumptions and Catalog'!$E$52+'Assumptions and Catalog'!$F$52,IF(((D416+E416)*C416)&lt;='Assumptions and Catalog'!$C$53,((D416+E416)*C416)*'Assumptions and Catalog'!$H$53+'Assumptions and Catalog'!$E$53+'Assumptions and Catalog'!$F$53,IF(((D416+E416)*C416)&lt;='Assumptions and Catalog'!$C$54,((D416+E416)*C416)*'Assumptions and Catalog'!$H$54+'Assumptions and Catalog'!$E$54+'Assumptions and Catalog'!$F$54,IF(((D416+E416)*C416)&lt;='Assumptions and Catalog'!$C$55,((D416+E416)*C416)*'Assumptions and Catalog'!$H$55+'Assumptions and Catalog'!$E$55+'Assumptions and Catalog'!$F$55,IF(((D416+E416)*C416)&lt;='Assumptions and Catalog'!$C$56,((D416+E416)*C416)*'Assumptions and Catalog'!$H$56+'Assumptions and Catalog'!$E$56+'Assumptions and Catalog'!$F$56,IF(((D416+E416)*C416)&lt;='Assumptions and Catalog'!$C$57,((D416+E416)*C416)*'Assumptions and Catalog'!$H$57+'Assumptions and Catalog'!$E$57+'Assumptions and Catalog'!$F$57,"Out of range")))))))),IF(((D416+E416)*C416)&lt;='Assumptions and Catalog'!$C$60,((D416+E416)*C416)*'Assumptions and Catalog'!$H$60+'Assumptions and Catalog'!$E$60+'Assumptions and Catalog'!$F$60,IF(((D416+E416)*C416)&lt;='Assumptions and Catalog'!$C$61,((D416+E416)*C416)*'Assumptions and Catalog'!$H$61+'Assumptions and Catalog'!$E$61+'Assumptions and Catalog'!$F$61,IF(((D416+E416)*C416)&lt;='Assumptions and Catalog'!$C$62,((D416+E416)*C416)*'Assumptions and Catalog'!$H$62+'Assumptions and Catalog'!$E$62+'Assumptions and Catalog'!$F$62,IF(((D416+E416)*C416)&lt;='Assumptions and Catalog'!$C$63,((D416+E416)*C416)*'Assumptions and Catalog'!$H$63+'Assumptions and Catalog'!$E$63+'Assumptions and Catalog'!$F$63,IF(((D416+E416)*C416)&lt;='Assumptions and Catalog'!$C$64,((D416+E416)*C416)*'Assumptions and Catalog'!$H$64+'Assumptions and Catalog'!$E$64+'Assumptions and Catalog'!$F$64,IF(((D416+E416)*C416)&lt;='Assumptions and Catalog'!$C$65,((D416+E416)*C416)*'Assumptions and Catalog'!$H$65+'Assumptions and Catalog'!$E$65+'Assumptions and Catalog'!$F$65,"Out of range")))))))))*(1+'Assumptions and Catalog'!$C$8)^(A416-1),0)</f>
        <v>6867.22</v>
      </c>
      <c r="N416" s="5" t="n">
        <f>IF(ISNUMBER(Inputs!$L$5),(IF(Inputs!$L$9="Actual flat rate",L416*Inputs!$L$10,IF(Inputs!$C$9="Residential",IF(L416&lt;='Assumptions and Catalog'!$C$50,L416*'Assumptions and Catalog'!$H$50+'Assumptions and Catalog'!$E$50+'Assumptions and Catalog'!$F$50,IF(L416&lt;='Assumptions and Catalog'!$C$51,L416*'Assumptions and Catalog'!$H$51+'Assumptions and Catalog'!$E$51+'Assumptions and Catalog'!$F$51,IF(L416&lt;='Assumptions and Catalog'!$C$52,L416*'Assumptions and Catalog'!$H$52+'Assumptions and Catalog'!$E$52+'Assumptions and Catalog'!$F$52,IF(L416&lt;='Assumptions and Catalog'!$C$53,L416*'Assumptions and Catalog'!$H$53+'Assumptions and Catalog'!$E$53+'Assumptions and Catalog'!$F$53,IF(L416&lt;='Assumptions and Catalog'!$C$54,L416*'Assumptions and Catalog'!$H$54+'Assumptions and Catalog'!$E$54+'Assumptions and Catalog'!$F$54,IF(L416&lt;='Assumptions and Catalog'!$C$55,L416*'Assumptions and Catalog'!$H$55+'Assumptions and Catalog'!$E$55+'Assumptions and Catalog'!$F$55,IF(L416&lt;='Assumptions and Catalog'!$C$56,L416*'Assumptions and Catalog'!$H$56+'Assumptions and Catalog'!$E$56+'Assumptions and Catalog'!$F$56,IF(L416&lt;='Assumptions and Catalog'!$C$57,L416*'Assumptions and Catalog'!$H$57+'Assumptions and Catalog'!$E$57+'Assumptions and Catalog'!$F$57,"Out of range")))))))),IF(L416&lt;='Assumptions and Catalog'!$C$60,L416*'Assumptions and Catalog'!$H$60+'Assumptions and Catalog'!$E$60+'Assumptions and Catalog'!$F$60,IF(L416&lt;='Assumptions and Catalog'!$C$61,L416*'Assumptions and Catalog'!$H$61+'Assumptions and Catalog'!$E$61+'Assumptions and Catalog'!$F$61,IF(L416&lt;='Assumptions and Catalog'!$C$62,L416*'Assumptions and Catalog'!$H$62+'Assumptions and Catalog'!$E$62+'Assumptions and Catalog'!$F$62,IF(L416&lt;='Assumptions and Catalog'!$C$63,L416*'Assumptions and Catalog'!$H$63+'Assumptions and Catalog'!$E$63+'Assumptions and Catalog'!$F$63,IF(L416&lt;='Assumptions and Catalog'!$C$64,L416*'Assumptions and Catalog'!$H$64+'Assumptions and Catalog'!$E$64+'Assumptions and Catalog'!$F$64,IF(L416&lt;='Assumptions and Catalog'!$C$65,L416*'Assumptions and Catalog'!$H$65+'Assumptions and Catalog'!$E$65+'Assumptions and Catalog'!$F$65,"Out of range")))))))))*(1+'Assumptions and Catalog'!$C$8)^(A416-1),0)</f>
        <v>6867.22</v>
      </c>
      <c r="O416" s="5" t="n">
        <f>M416-N416</f>
        <v>0</v>
      </c>
      <c r="P416" s="5" t="n">
        <f>D$55*(1-K$14)*(1-'Assumptions and Catalog'!$C$23)^R416</f>
        <v>0</v>
      </c>
      <c r="Q416" s="5" t="n">
        <f>IF(ISNUMBER(Inputs!$L$5),(IF(Inputs!$L$9="Actual flat rate",((D416+E416)*C416-G416)*Inputs!$L$10,IF(Inputs!$C$9="Residential",IF(((D416+E416)*C416-G416)&lt;='Assumptions and Catalog'!$C$50,((D416+E416)*C416-G416)*'Assumptions and Catalog'!$H$50+'Assumptions and Catalog'!$E$50+'Assumptions and Catalog'!$F$50,IF(((D416+E416)*C416-G416)&lt;='Assumptions and Catalog'!$C$51,((D416+E416)*C416-G416)*'Assumptions and Catalog'!$H$51+'Assumptions and Catalog'!$E$51+'Assumptions and Catalog'!$F$51,IF(((D416+E416)*C416-G416)&lt;='Assumptions and Catalog'!$C$52,((D416+E416)*C416-G416)*'Assumptions and Catalog'!$H$52+'Assumptions and Catalog'!$E$52+'Assumptions and Catalog'!$F$52,IF(((D416+E416)*C416-G416)&lt;='Assumptions and Catalog'!$C$53,((D416+E416)*C416-G416)*'Assumptions and Catalog'!$H$53+'Assumptions and Catalog'!$E$53+'Assumptions and Catalog'!$F$53,IF(((D416+E416)*C416-G416)&lt;='Assumptions and Catalog'!$C$54,((D416+E416)*C416-G416)*'Assumptions and Catalog'!$H$54+'Assumptions and Catalog'!$E$54+'Assumptions and Catalog'!$F$54,IF(((D416+E416)*C416-G416)&lt;='Assumptions and Catalog'!$C$55,((D416+E416)*C416-G416)*'Assumptions and Catalog'!$H$55+'Assumptions and Catalog'!$E$55+'Assumptions and Catalog'!$F$55,IF(((D416+E416)*C416-G416)&lt;='Assumptions and Catalog'!$C$56,((D416+E416)*C416-G416)*'Assumptions and Catalog'!$H$56+'Assumptions and Catalog'!$E$56+'Assumptions and Catalog'!$F$56,IF(((D416+E416)*C416-G416)&lt;='Assumptions and Catalog'!$C$57,((D416+E416)*C416-G416)*'Assumptions and Catalog'!$H$57+'Assumptions and Catalog'!$E$57+'Assumptions and Catalog'!$F$57,"Out of range")))))))),IF(((D416+E416)*C416-G416)&lt;='Assumptions and Catalog'!$C$60,((D416+E416)*C416-G416)*'Assumptions and Catalog'!$H$60+'Assumptions and Catalog'!$E$60+'Assumptions and Catalog'!$F$60,IF(((D416+E416)*C416-G416)&lt;='Assumptions and Catalog'!$C$61,((D416+E416)*C416-G416)*'Assumptions and Catalog'!$H$61+'Assumptions and Catalog'!$E$61+'Assumptions and Catalog'!$F$61,IF(((D416+E416)*C416-G416)&lt;='Assumptions and Catalog'!$C$62,((D416+E416)*C416-G416)*'Assumptions and Catalog'!$H$62+'Assumptions and Catalog'!$E$62+'Assumptions and Catalog'!$F$62,IF(((D416+E416)*C416-G416)&lt;='Assumptions and Catalog'!$C$63,((D416+E416)*C416-G416)*'Assumptions and Catalog'!$H$63+'Assumptions and Catalog'!$E$63+'Assumptions and Catalog'!$F$63,IF(((D416+E416)*C416-G416)&lt;='Assumptions and Catalog'!$C$64,((D416+E416)*C416-G416)*'Assumptions and Catalog'!$H$64+'Assumptions and Catalog'!$E$64+'Assumptions and Catalog'!$F$64,IF(((D416+E416)*C416-G416)&lt;='Assumptions and Catalog'!$C$65,((D416+E416)*C416-G416)*'Assumptions and Catalog'!$H$65+'Assumptions and Catalog'!$E$65+'Assumptions and Catalog'!$F$65,"Out of range")))))))))*(1+'Assumptions and Catalog'!$C$8)^(A416-1),0)</f>
        <v>6867.22</v>
      </c>
      <c r="R416" s="5" t="n">
        <f>IF(AND('Assumptions and Catalog'!$C$19&gt;0,A416&gt;='Assumptions and Catalog'!$C$19),A416-'Assumptions and Catalog'!$C$19,A416-1)</f>
        <v>0</v>
      </c>
      <c r="S416" s="5" t="n">
        <f>F416+L416-(D416+E416)*C416-J416-K416-IF(D$52&gt;0,'Assumptions and Catalog'!$C$26*C416,0)</f>
        <v>0</v>
      </c>
      <c r="T416" s="5"/>
      <c r="U416" s="5"/>
    </row>
    <row r="417" ht="23.100000381469727" customHeight="1">
      <c r="A417" s="5" t="n">
        <v>1</v>
      </c>
      <c r="B417" s="5" t="n">
        <v>7</v>
      </c>
      <c r="C417" s="5" t="n">
        <f>DAY(DATE('Assumptions and Catalog'!$C$24+A417-1,B417+1,0))</f>
        <v>31</v>
      </c>
      <c r="D417" s="5" t="n">
        <f>IF(ISNUMBER(Inputs!$L$5),Inputs!$L$5*Inputs!$L$6,0)</f>
        <v>40.35</v>
      </c>
      <c r="E417" s="5" t="n">
        <f>IF(ISNUMBER(Inputs!$L$5),Inputs!$L$5-D417,0)</f>
        <v>40.35</v>
      </c>
      <c r="F417" s="5" t="n">
        <f>D$51*'Assumptions and Catalog'!$C$31*C417*(1-'Assumptions and Catalog'!$C$10)^(A417-1)</f>
        <v>0</v>
      </c>
      <c r="G417" s="5" t="n">
        <f>MIN(F417,D417*C417)</f>
        <v>0</v>
      </c>
      <c r="H417" s="5" t="n">
        <f>I417/('Assumptions and Catalog'!$C$11*'Assumptions and Catalog'!$C$12)</f>
        <v>0</v>
      </c>
      <c r="I417" s="5" t="n">
        <f>IF(K$15="Grid cycle",MIN(K$16,D417+E417,P417*'Assumptions and Catalog'!$C$12,D$57*(24-'Assumptions and Catalog'!$C$15),D$56*'Assumptions and Catalog'!$C$15*'Assumptions and Catalog'!$C$11*'Assumptions and Catalog'!$C$12)*C417,0)</f>
        <v>0</v>
      </c>
      <c r="J417" s="5" t="n">
        <f>MAX(F417-G417-0,0)</f>
        <v>0</v>
      </c>
      <c r="K417" s="5" t="n">
        <f>H417-I417</f>
        <v>0</v>
      </c>
      <c r="L417" s="5" t="n">
        <f>(D417+E417)*C417-G417-I417+H417+IF(D$52&gt;0,'Assumptions and Catalog'!$C$26*C417,0)</f>
        <v>2501.7</v>
      </c>
      <c r="M417" s="5" t="n">
        <f>IF(ISNUMBER(Inputs!$L$5),(IF(Inputs!$L$9="Actual flat rate",((D417+E417)*C417)*Inputs!$L$10,IF(Inputs!$C$9="Residential",IF(((D417+E417)*C417)&lt;='Assumptions and Catalog'!$C$50,((D417+E417)*C417)*'Assumptions and Catalog'!$H$50+'Assumptions and Catalog'!$E$50+'Assumptions and Catalog'!$F$50,IF(((D417+E417)*C417)&lt;='Assumptions and Catalog'!$C$51,((D417+E417)*C417)*'Assumptions and Catalog'!$H$51+'Assumptions and Catalog'!$E$51+'Assumptions and Catalog'!$F$51,IF(((D417+E417)*C417)&lt;='Assumptions and Catalog'!$C$52,((D417+E417)*C417)*'Assumptions and Catalog'!$H$52+'Assumptions and Catalog'!$E$52+'Assumptions and Catalog'!$F$52,IF(((D417+E417)*C417)&lt;='Assumptions and Catalog'!$C$53,((D417+E417)*C417)*'Assumptions and Catalog'!$H$53+'Assumptions and Catalog'!$E$53+'Assumptions and Catalog'!$F$53,IF(((D417+E417)*C417)&lt;='Assumptions and Catalog'!$C$54,((D417+E417)*C417)*'Assumptions and Catalog'!$H$54+'Assumptions and Catalog'!$E$54+'Assumptions and Catalog'!$F$54,IF(((D417+E417)*C417)&lt;='Assumptions and Catalog'!$C$55,((D417+E417)*C417)*'Assumptions and Catalog'!$H$55+'Assumptions and Catalog'!$E$55+'Assumptions and Catalog'!$F$55,IF(((D417+E417)*C417)&lt;='Assumptions and Catalog'!$C$56,((D417+E417)*C417)*'Assumptions and Catalog'!$H$56+'Assumptions and Catalog'!$E$56+'Assumptions and Catalog'!$F$56,IF(((D417+E417)*C417)&lt;='Assumptions and Catalog'!$C$57,((D417+E417)*C417)*'Assumptions and Catalog'!$H$57+'Assumptions and Catalog'!$E$57+'Assumptions and Catalog'!$F$57,"Out of range")))))))),IF(((D417+E417)*C417)&lt;='Assumptions and Catalog'!$C$60,((D417+E417)*C417)*'Assumptions and Catalog'!$H$60+'Assumptions and Catalog'!$E$60+'Assumptions and Catalog'!$F$60,IF(((D417+E417)*C417)&lt;='Assumptions and Catalog'!$C$61,((D417+E417)*C417)*'Assumptions and Catalog'!$H$61+'Assumptions and Catalog'!$E$61+'Assumptions and Catalog'!$F$61,IF(((D417+E417)*C417)&lt;='Assumptions and Catalog'!$C$62,((D417+E417)*C417)*'Assumptions and Catalog'!$H$62+'Assumptions and Catalog'!$E$62+'Assumptions and Catalog'!$F$62,IF(((D417+E417)*C417)&lt;='Assumptions and Catalog'!$C$63,((D417+E417)*C417)*'Assumptions and Catalog'!$H$63+'Assumptions and Catalog'!$E$63+'Assumptions and Catalog'!$F$63,IF(((D417+E417)*C417)&lt;='Assumptions and Catalog'!$C$64,((D417+E417)*C417)*'Assumptions and Catalog'!$H$64+'Assumptions and Catalog'!$E$64+'Assumptions and Catalog'!$F$64,IF(((D417+E417)*C417)&lt;='Assumptions and Catalog'!$C$65,((D417+E417)*C417)*'Assumptions and Catalog'!$H$65+'Assumptions and Catalog'!$E$65+'Assumptions and Catalog'!$F$65,"Out of range")))))))))*(1+'Assumptions and Catalog'!$C$8)^(A417-1),0)</f>
        <v>7094.794</v>
      </c>
      <c r="N417" s="5" t="n">
        <f>IF(ISNUMBER(Inputs!$L$5),(IF(Inputs!$L$9="Actual flat rate",L417*Inputs!$L$10,IF(Inputs!$C$9="Residential",IF(L417&lt;='Assumptions and Catalog'!$C$50,L417*'Assumptions and Catalog'!$H$50+'Assumptions and Catalog'!$E$50+'Assumptions and Catalog'!$F$50,IF(L417&lt;='Assumptions and Catalog'!$C$51,L417*'Assumptions and Catalog'!$H$51+'Assumptions and Catalog'!$E$51+'Assumptions and Catalog'!$F$51,IF(L417&lt;='Assumptions and Catalog'!$C$52,L417*'Assumptions and Catalog'!$H$52+'Assumptions and Catalog'!$E$52+'Assumptions and Catalog'!$F$52,IF(L417&lt;='Assumptions and Catalog'!$C$53,L417*'Assumptions and Catalog'!$H$53+'Assumptions and Catalog'!$E$53+'Assumptions and Catalog'!$F$53,IF(L417&lt;='Assumptions and Catalog'!$C$54,L417*'Assumptions and Catalog'!$H$54+'Assumptions and Catalog'!$E$54+'Assumptions and Catalog'!$F$54,IF(L417&lt;='Assumptions and Catalog'!$C$55,L417*'Assumptions and Catalog'!$H$55+'Assumptions and Catalog'!$E$55+'Assumptions and Catalog'!$F$55,IF(L417&lt;='Assumptions and Catalog'!$C$56,L417*'Assumptions and Catalog'!$H$56+'Assumptions and Catalog'!$E$56+'Assumptions and Catalog'!$F$56,IF(L417&lt;='Assumptions and Catalog'!$C$57,L417*'Assumptions and Catalog'!$H$57+'Assumptions and Catalog'!$E$57+'Assumptions and Catalog'!$F$57,"Out of range")))))))),IF(L417&lt;='Assumptions and Catalog'!$C$60,L417*'Assumptions and Catalog'!$H$60+'Assumptions and Catalog'!$E$60+'Assumptions and Catalog'!$F$60,IF(L417&lt;='Assumptions and Catalog'!$C$61,L417*'Assumptions and Catalog'!$H$61+'Assumptions and Catalog'!$E$61+'Assumptions and Catalog'!$F$61,IF(L417&lt;='Assumptions and Catalog'!$C$62,L417*'Assumptions and Catalog'!$H$62+'Assumptions and Catalog'!$E$62+'Assumptions and Catalog'!$F$62,IF(L417&lt;='Assumptions and Catalog'!$C$63,L417*'Assumptions and Catalog'!$H$63+'Assumptions and Catalog'!$E$63+'Assumptions and Catalog'!$F$63,IF(L417&lt;='Assumptions and Catalog'!$C$64,L417*'Assumptions and Catalog'!$H$64+'Assumptions and Catalog'!$E$64+'Assumptions and Catalog'!$F$64,IF(L417&lt;='Assumptions and Catalog'!$C$65,L417*'Assumptions and Catalog'!$H$65+'Assumptions and Catalog'!$E$65+'Assumptions and Catalog'!$F$65,"Out of range")))))))))*(1+'Assumptions and Catalog'!$C$8)^(A417-1),0)</f>
        <v>7094.794</v>
      </c>
      <c r="O417" s="5" t="n">
        <f>M417-N417</f>
        <v>0</v>
      </c>
      <c r="P417" s="5" t="n">
        <f>D$55*(1-K$14)*(1-'Assumptions and Catalog'!$C$23)^R417</f>
        <v>0</v>
      </c>
      <c r="Q417" s="5" t="n">
        <f>IF(ISNUMBER(Inputs!$L$5),(IF(Inputs!$L$9="Actual flat rate",((D417+E417)*C417-G417)*Inputs!$L$10,IF(Inputs!$C$9="Residential",IF(((D417+E417)*C417-G417)&lt;='Assumptions and Catalog'!$C$50,((D417+E417)*C417-G417)*'Assumptions and Catalog'!$H$50+'Assumptions and Catalog'!$E$50+'Assumptions and Catalog'!$F$50,IF(((D417+E417)*C417-G417)&lt;='Assumptions and Catalog'!$C$51,((D417+E417)*C417-G417)*'Assumptions and Catalog'!$H$51+'Assumptions and Catalog'!$E$51+'Assumptions and Catalog'!$F$51,IF(((D417+E417)*C417-G417)&lt;='Assumptions and Catalog'!$C$52,((D417+E417)*C417-G417)*'Assumptions and Catalog'!$H$52+'Assumptions and Catalog'!$E$52+'Assumptions and Catalog'!$F$52,IF(((D417+E417)*C417-G417)&lt;='Assumptions and Catalog'!$C$53,((D417+E417)*C417-G417)*'Assumptions and Catalog'!$H$53+'Assumptions and Catalog'!$E$53+'Assumptions and Catalog'!$F$53,IF(((D417+E417)*C417-G417)&lt;='Assumptions and Catalog'!$C$54,((D417+E417)*C417-G417)*'Assumptions and Catalog'!$H$54+'Assumptions and Catalog'!$E$54+'Assumptions and Catalog'!$F$54,IF(((D417+E417)*C417-G417)&lt;='Assumptions and Catalog'!$C$55,((D417+E417)*C417-G417)*'Assumptions and Catalog'!$H$55+'Assumptions and Catalog'!$E$55+'Assumptions and Catalog'!$F$55,IF(((D417+E417)*C417-G417)&lt;='Assumptions and Catalog'!$C$56,((D417+E417)*C417-G417)*'Assumptions and Catalog'!$H$56+'Assumptions and Catalog'!$E$56+'Assumptions and Catalog'!$F$56,IF(((D417+E417)*C417-G417)&lt;='Assumptions and Catalog'!$C$57,((D417+E417)*C417-G417)*'Assumptions and Catalog'!$H$57+'Assumptions and Catalog'!$E$57+'Assumptions and Catalog'!$F$57,"Out of range")))))))),IF(((D417+E417)*C417-G417)&lt;='Assumptions and Catalog'!$C$60,((D417+E417)*C417-G417)*'Assumptions and Catalog'!$H$60+'Assumptions and Catalog'!$E$60+'Assumptions and Catalog'!$F$60,IF(((D417+E417)*C417-G417)&lt;='Assumptions and Catalog'!$C$61,((D417+E417)*C417-G417)*'Assumptions and Catalog'!$H$61+'Assumptions and Catalog'!$E$61+'Assumptions and Catalog'!$F$61,IF(((D417+E417)*C417-G417)&lt;='Assumptions and Catalog'!$C$62,((D417+E417)*C417-G417)*'Assumptions and Catalog'!$H$62+'Assumptions and Catalog'!$E$62+'Assumptions and Catalog'!$F$62,IF(((D417+E417)*C417-G417)&lt;='Assumptions and Catalog'!$C$63,((D417+E417)*C417-G417)*'Assumptions and Catalog'!$H$63+'Assumptions and Catalog'!$E$63+'Assumptions and Catalog'!$F$63,IF(((D417+E417)*C417-G417)&lt;='Assumptions and Catalog'!$C$64,((D417+E417)*C417-G417)*'Assumptions and Catalog'!$H$64+'Assumptions and Catalog'!$E$64+'Assumptions and Catalog'!$F$64,IF(((D417+E417)*C417-G417)&lt;='Assumptions and Catalog'!$C$65,((D417+E417)*C417-G417)*'Assumptions and Catalog'!$H$65+'Assumptions and Catalog'!$E$65+'Assumptions and Catalog'!$F$65,"Out of range")))))))))*(1+'Assumptions and Catalog'!$C$8)^(A417-1),0)</f>
        <v>7094.794</v>
      </c>
      <c r="R417" s="5" t="n">
        <f>IF(AND('Assumptions and Catalog'!$C$19&gt;0,A417&gt;='Assumptions and Catalog'!$C$19),A417-'Assumptions and Catalog'!$C$19,A417-1)</f>
        <v>0</v>
      </c>
      <c r="S417" s="5" t="n">
        <f>F417+L417-(D417+E417)*C417-J417-K417-IF(D$52&gt;0,'Assumptions and Catalog'!$C$26*C417,0)</f>
        <v>0</v>
      </c>
      <c r="T417" s="5"/>
      <c r="U417" s="5"/>
    </row>
    <row r="418" ht="23.100000381469727" customHeight="1">
      <c r="A418" s="5" t="n">
        <v>1</v>
      </c>
      <c r="B418" s="5" t="n">
        <v>8</v>
      </c>
      <c r="C418" s="5" t="n">
        <f>DAY(DATE('Assumptions and Catalog'!$C$24+A418-1,B418+1,0))</f>
        <v>31</v>
      </c>
      <c r="D418" s="5" t="n">
        <f>IF(ISNUMBER(Inputs!$L$5),Inputs!$L$5*Inputs!$L$6,0)</f>
        <v>40.35</v>
      </c>
      <c r="E418" s="5" t="n">
        <f>IF(ISNUMBER(Inputs!$L$5),Inputs!$L$5-D418,0)</f>
        <v>40.35</v>
      </c>
      <c r="F418" s="5" t="n">
        <f>D$51*'Assumptions and Catalog'!$C$31*C418*(1-'Assumptions and Catalog'!$C$10)^(A418-1)</f>
        <v>0</v>
      </c>
      <c r="G418" s="5" t="n">
        <f>MIN(F418,D418*C418)</f>
        <v>0</v>
      </c>
      <c r="H418" s="5" t="n">
        <f>I418/('Assumptions and Catalog'!$C$11*'Assumptions and Catalog'!$C$12)</f>
        <v>0</v>
      </c>
      <c r="I418" s="5" t="n">
        <f>IF(K$15="Grid cycle",MIN(K$16,D418+E418,P418*'Assumptions and Catalog'!$C$12,D$57*(24-'Assumptions and Catalog'!$C$15),D$56*'Assumptions and Catalog'!$C$15*'Assumptions and Catalog'!$C$11*'Assumptions and Catalog'!$C$12)*C418,0)</f>
        <v>0</v>
      </c>
      <c r="J418" s="5" t="n">
        <f>MAX(F418-G418-0,0)</f>
        <v>0</v>
      </c>
      <c r="K418" s="5" t="n">
        <f>H418-I418</f>
        <v>0</v>
      </c>
      <c r="L418" s="5" t="n">
        <f>(D418+E418)*C418-G418-I418+H418+IF(D$52&gt;0,'Assumptions and Catalog'!$C$26*C418,0)</f>
        <v>2501.7</v>
      </c>
      <c r="M418" s="5" t="n">
        <f>IF(ISNUMBER(Inputs!$L$5),(IF(Inputs!$L$9="Actual flat rate",((D418+E418)*C418)*Inputs!$L$10,IF(Inputs!$C$9="Residential",IF(((D418+E418)*C418)&lt;='Assumptions and Catalog'!$C$50,((D418+E418)*C418)*'Assumptions and Catalog'!$H$50+'Assumptions and Catalog'!$E$50+'Assumptions and Catalog'!$F$50,IF(((D418+E418)*C418)&lt;='Assumptions and Catalog'!$C$51,((D418+E418)*C418)*'Assumptions and Catalog'!$H$51+'Assumptions and Catalog'!$E$51+'Assumptions and Catalog'!$F$51,IF(((D418+E418)*C418)&lt;='Assumptions and Catalog'!$C$52,((D418+E418)*C418)*'Assumptions and Catalog'!$H$52+'Assumptions and Catalog'!$E$52+'Assumptions and Catalog'!$F$52,IF(((D418+E418)*C418)&lt;='Assumptions and Catalog'!$C$53,((D418+E418)*C418)*'Assumptions and Catalog'!$H$53+'Assumptions and Catalog'!$E$53+'Assumptions and Catalog'!$F$53,IF(((D418+E418)*C418)&lt;='Assumptions and Catalog'!$C$54,((D418+E418)*C418)*'Assumptions and Catalog'!$H$54+'Assumptions and Catalog'!$E$54+'Assumptions and Catalog'!$F$54,IF(((D418+E418)*C418)&lt;='Assumptions and Catalog'!$C$55,((D418+E418)*C418)*'Assumptions and Catalog'!$H$55+'Assumptions and Catalog'!$E$55+'Assumptions and Catalog'!$F$55,IF(((D418+E418)*C418)&lt;='Assumptions and Catalog'!$C$56,((D418+E418)*C418)*'Assumptions and Catalog'!$H$56+'Assumptions and Catalog'!$E$56+'Assumptions and Catalog'!$F$56,IF(((D418+E418)*C418)&lt;='Assumptions and Catalog'!$C$57,((D418+E418)*C418)*'Assumptions and Catalog'!$H$57+'Assumptions and Catalog'!$E$57+'Assumptions and Catalog'!$F$57,"Out of range")))))))),IF(((D418+E418)*C418)&lt;='Assumptions and Catalog'!$C$60,((D418+E418)*C418)*'Assumptions and Catalog'!$H$60+'Assumptions and Catalog'!$E$60+'Assumptions and Catalog'!$F$60,IF(((D418+E418)*C418)&lt;='Assumptions and Catalog'!$C$61,((D418+E418)*C418)*'Assumptions and Catalog'!$H$61+'Assumptions and Catalog'!$E$61+'Assumptions and Catalog'!$F$61,IF(((D418+E418)*C418)&lt;='Assumptions and Catalog'!$C$62,((D418+E418)*C418)*'Assumptions and Catalog'!$H$62+'Assumptions and Catalog'!$E$62+'Assumptions and Catalog'!$F$62,IF(((D418+E418)*C418)&lt;='Assumptions and Catalog'!$C$63,((D418+E418)*C418)*'Assumptions and Catalog'!$H$63+'Assumptions and Catalog'!$E$63+'Assumptions and Catalog'!$F$63,IF(((D418+E418)*C418)&lt;='Assumptions and Catalog'!$C$64,((D418+E418)*C418)*'Assumptions and Catalog'!$H$64+'Assumptions and Catalog'!$E$64+'Assumptions and Catalog'!$F$64,IF(((D418+E418)*C418)&lt;='Assumptions and Catalog'!$C$65,((D418+E418)*C418)*'Assumptions and Catalog'!$H$65+'Assumptions and Catalog'!$E$65+'Assumptions and Catalog'!$F$65,"Out of range")))))))))*(1+'Assumptions and Catalog'!$C$8)^(A418-1),0)</f>
        <v>7094.794</v>
      </c>
      <c r="N418" s="5" t="n">
        <f>IF(ISNUMBER(Inputs!$L$5),(IF(Inputs!$L$9="Actual flat rate",L418*Inputs!$L$10,IF(Inputs!$C$9="Residential",IF(L418&lt;='Assumptions and Catalog'!$C$50,L418*'Assumptions and Catalog'!$H$50+'Assumptions and Catalog'!$E$50+'Assumptions and Catalog'!$F$50,IF(L418&lt;='Assumptions and Catalog'!$C$51,L418*'Assumptions and Catalog'!$H$51+'Assumptions and Catalog'!$E$51+'Assumptions and Catalog'!$F$51,IF(L418&lt;='Assumptions and Catalog'!$C$52,L418*'Assumptions and Catalog'!$H$52+'Assumptions and Catalog'!$E$52+'Assumptions and Catalog'!$F$52,IF(L418&lt;='Assumptions and Catalog'!$C$53,L418*'Assumptions and Catalog'!$H$53+'Assumptions and Catalog'!$E$53+'Assumptions and Catalog'!$F$53,IF(L418&lt;='Assumptions and Catalog'!$C$54,L418*'Assumptions and Catalog'!$H$54+'Assumptions and Catalog'!$E$54+'Assumptions and Catalog'!$F$54,IF(L418&lt;='Assumptions and Catalog'!$C$55,L418*'Assumptions and Catalog'!$H$55+'Assumptions and Catalog'!$E$55+'Assumptions and Catalog'!$F$55,IF(L418&lt;='Assumptions and Catalog'!$C$56,L418*'Assumptions and Catalog'!$H$56+'Assumptions and Catalog'!$E$56+'Assumptions and Catalog'!$F$56,IF(L418&lt;='Assumptions and Catalog'!$C$57,L418*'Assumptions and Catalog'!$H$57+'Assumptions and Catalog'!$E$57+'Assumptions and Catalog'!$F$57,"Out of range")))))))),IF(L418&lt;='Assumptions and Catalog'!$C$60,L418*'Assumptions and Catalog'!$H$60+'Assumptions and Catalog'!$E$60+'Assumptions and Catalog'!$F$60,IF(L418&lt;='Assumptions and Catalog'!$C$61,L418*'Assumptions and Catalog'!$H$61+'Assumptions and Catalog'!$E$61+'Assumptions and Catalog'!$F$61,IF(L418&lt;='Assumptions and Catalog'!$C$62,L418*'Assumptions and Catalog'!$H$62+'Assumptions and Catalog'!$E$62+'Assumptions and Catalog'!$F$62,IF(L418&lt;='Assumptions and Catalog'!$C$63,L418*'Assumptions and Catalog'!$H$63+'Assumptions and Catalog'!$E$63+'Assumptions and Catalog'!$F$63,IF(L418&lt;='Assumptions and Catalog'!$C$64,L418*'Assumptions and Catalog'!$H$64+'Assumptions and Catalog'!$E$64+'Assumptions and Catalog'!$F$64,IF(L418&lt;='Assumptions and Catalog'!$C$65,L418*'Assumptions and Catalog'!$H$65+'Assumptions and Catalog'!$E$65+'Assumptions and Catalog'!$F$65,"Out of range")))))))))*(1+'Assumptions and Catalog'!$C$8)^(A418-1),0)</f>
        <v>7094.794</v>
      </c>
      <c r="O418" s="5" t="n">
        <f>M418-N418</f>
        <v>0</v>
      </c>
      <c r="P418" s="5" t="n">
        <f>D$55*(1-K$14)*(1-'Assumptions and Catalog'!$C$23)^R418</f>
        <v>0</v>
      </c>
      <c r="Q418" s="5" t="n">
        <f>IF(ISNUMBER(Inputs!$L$5),(IF(Inputs!$L$9="Actual flat rate",((D418+E418)*C418-G418)*Inputs!$L$10,IF(Inputs!$C$9="Residential",IF(((D418+E418)*C418-G418)&lt;='Assumptions and Catalog'!$C$50,((D418+E418)*C418-G418)*'Assumptions and Catalog'!$H$50+'Assumptions and Catalog'!$E$50+'Assumptions and Catalog'!$F$50,IF(((D418+E418)*C418-G418)&lt;='Assumptions and Catalog'!$C$51,((D418+E418)*C418-G418)*'Assumptions and Catalog'!$H$51+'Assumptions and Catalog'!$E$51+'Assumptions and Catalog'!$F$51,IF(((D418+E418)*C418-G418)&lt;='Assumptions and Catalog'!$C$52,((D418+E418)*C418-G418)*'Assumptions and Catalog'!$H$52+'Assumptions and Catalog'!$E$52+'Assumptions and Catalog'!$F$52,IF(((D418+E418)*C418-G418)&lt;='Assumptions and Catalog'!$C$53,((D418+E418)*C418-G418)*'Assumptions and Catalog'!$H$53+'Assumptions and Catalog'!$E$53+'Assumptions and Catalog'!$F$53,IF(((D418+E418)*C418-G418)&lt;='Assumptions and Catalog'!$C$54,((D418+E418)*C418-G418)*'Assumptions and Catalog'!$H$54+'Assumptions and Catalog'!$E$54+'Assumptions and Catalog'!$F$54,IF(((D418+E418)*C418-G418)&lt;='Assumptions and Catalog'!$C$55,((D418+E418)*C418-G418)*'Assumptions and Catalog'!$H$55+'Assumptions and Catalog'!$E$55+'Assumptions and Catalog'!$F$55,IF(((D418+E418)*C418-G418)&lt;='Assumptions and Catalog'!$C$56,((D418+E418)*C418-G418)*'Assumptions and Catalog'!$H$56+'Assumptions and Catalog'!$E$56+'Assumptions and Catalog'!$F$56,IF(((D418+E418)*C418-G418)&lt;='Assumptions and Catalog'!$C$57,((D418+E418)*C418-G418)*'Assumptions and Catalog'!$H$57+'Assumptions and Catalog'!$E$57+'Assumptions and Catalog'!$F$57,"Out of range")))))))),IF(((D418+E418)*C418-G418)&lt;='Assumptions and Catalog'!$C$60,((D418+E418)*C418-G418)*'Assumptions and Catalog'!$H$60+'Assumptions and Catalog'!$E$60+'Assumptions and Catalog'!$F$60,IF(((D418+E418)*C418-G418)&lt;='Assumptions and Catalog'!$C$61,((D418+E418)*C418-G418)*'Assumptions and Catalog'!$H$61+'Assumptions and Catalog'!$E$61+'Assumptions and Catalog'!$F$61,IF(((D418+E418)*C418-G418)&lt;='Assumptions and Catalog'!$C$62,((D418+E418)*C418-G418)*'Assumptions and Catalog'!$H$62+'Assumptions and Catalog'!$E$62+'Assumptions and Catalog'!$F$62,IF(((D418+E418)*C418-G418)&lt;='Assumptions and Catalog'!$C$63,((D418+E418)*C418-G418)*'Assumptions and Catalog'!$H$63+'Assumptions and Catalog'!$E$63+'Assumptions and Catalog'!$F$63,IF(((D418+E418)*C418-G418)&lt;='Assumptions and Catalog'!$C$64,((D418+E418)*C418-G418)*'Assumptions and Catalog'!$H$64+'Assumptions and Catalog'!$E$64+'Assumptions and Catalog'!$F$64,IF(((D418+E418)*C418-G418)&lt;='Assumptions and Catalog'!$C$65,((D418+E418)*C418-G418)*'Assumptions and Catalog'!$H$65+'Assumptions and Catalog'!$E$65+'Assumptions and Catalog'!$F$65,"Out of range")))))))))*(1+'Assumptions and Catalog'!$C$8)^(A418-1),0)</f>
        <v>7094.794</v>
      </c>
      <c r="R418" s="5" t="n">
        <f>IF(AND('Assumptions and Catalog'!$C$19&gt;0,A418&gt;='Assumptions and Catalog'!$C$19),A418-'Assumptions and Catalog'!$C$19,A418-1)</f>
        <v>0</v>
      </c>
      <c r="S418" s="5" t="n">
        <f>F418+L418-(D418+E418)*C418-J418-K418-IF(D$52&gt;0,'Assumptions and Catalog'!$C$26*C418,0)</f>
        <v>0</v>
      </c>
      <c r="T418" s="5"/>
      <c r="U418" s="5"/>
    </row>
    <row r="419" ht="23.100000381469727" customHeight="1">
      <c r="A419" s="5" t="n">
        <v>1</v>
      </c>
      <c r="B419" s="5" t="n">
        <v>9</v>
      </c>
      <c r="C419" s="5" t="n">
        <f>DAY(DATE('Assumptions and Catalog'!$C$24+A419-1,B419+1,0))</f>
        <v>30</v>
      </c>
      <c r="D419" s="5" t="n">
        <f>IF(ISNUMBER(Inputs!$L$5),Inputs!$L$5*Inputs!$L$6,0)</f>
        <v>40.35</v>
      </c>
      <c r="E419" s="5" t="n">
        <f>IF(ISNUMBER(Inputs!$L$5),Inputs!$L$5-D419,0)</f>
        <v>40.35</v>
      </c>
      <c r="F419" s="5" t="n">
        <f>D$51*'Assumptions and Catalog'!$C$31*C419*(1-'Assumptions and Catalog'!$C$10)^(A419-1)</f>
        <v>0</v>
      </c>
      <c r="G419" s="5" t="n">
        <f>MIN(F419,D419*C419)</f>
        <v>0</v>
      </c>
      <c r="H419" s="5" t="n">
        <f>I419/('Assumptions and Catalog'!$C$11*'Assumptions and Catalog'!$C$12)</f>
        <v>0</v>
      </c>
      <c r="I419" s="5" t="n">
        <f>IF(K$15="Grid cycle",MIN(K$16,D419+E419,P419*'Assumptions and Catalog'!$C$12,D$57*(24-'Assumptions and Catalog'!$C$15),D$56*'Assumptions and Catalog'!$C$15*'Assumptions and Catalog'!$C$11*'Assumptions and Catalog'!$C$12)*C419,0)</f>
        <v>0</v>
      </c>
      <c r="J419" s="5" t="n">
        <f>MAX(F419-G419-0,0)</f>
        <v>0</v>
      </c>
      <c r="K419" s="5" t="n">
        <f>H419-I419</f>
        <v>0</v>
      </c>
      <c r="L419" s="5" t="n">
        <f>(D419+E419)*C419-G419-I419+H419+IF(D$52&gt;0,'Assumptions and Catalog'!$C$26*C419,0)</f>
        <v>2421</v>
      </c>
      <c r="M419" s="5" t="n">
        <f>IF(ISNUMBER(Inputs!$L$5),(IF(Inputs!$L$9="Actual flat rate",((D419+E419)*C419)*Inputs!$L$10,IF(Inputs!$C$9="Residential",IF(((D419+E419)*C419)&lt;='Assumptions and Catalog'!$C$50,((D419+E419)*C419)*'Assumptions and Catalog'!$H$50+'Assumptions and Catalog'!$E$50+'Assumptions and Catalog'!$F$50,IF(((D419+E419)*C419)&lt;='Assumptions and Catalog'!$C$51,((D419+E419)*C419)*'Assumptions and Catalog'!$H$51+'Assumptions and Catalog'!$E$51+'Assumptions and Catalog'!$F$51,IF(((D419+E419)*C419)&lt;='Assumptions and Catalog'!$C$52,((D419+E419)*C419)*'Assumptions and Catalog'!$H$52+'Assumptions and Catalog'!$E$52+'Assumptions and Catalog'!$F$52,IF(((D419+E419)*C419)&lt;='Assumptions and Catalog'!$C$53,((D419+E419)*C419)*'Assumptions and Catalog'!$H$53+'Assumptions and Catalog'!$E$53+'Assumptions and Catalog'!$F$53,IF(((D419+E419)*C419)&lt;='Assumptions and Catalog'!$C$54,((D419+E419)*C419)*'Assumptions and Catalog'!$H$54+'Assumptions and Catalog'!$E$54+'Assumptions and Catalog'!$F$54,IF(((D419+E419)*C419)&lt;='Assumptions and Catalog'!$C$55,((D419+E419)*C419)*'Assumptions and Catalog'!$H$55+'Assumptions and Catalog'!$E$55+'Assumptions and Catalog'!$F$55,IF(((D419+E419)*C419)&lt;='Assumptions and Catalog'!$C$56,((D419+E419)*C419)*'Assumptions and Catalog'!$H$56+'Assumptions and Catalog'!$E$56+'Assumptions and Catalog'!$F$56,IF(((D419+E419)*C419)&lt;='Assumptions and Catalog'!$C$57,((D419+E419)*C419)*'Assumptions and Catalog'!$H$57+'Assumptions and Catalog'!$E$57+'Assumptions and Catalog'!$F$57,"Out of range")))))))),IF(((D419+E419)*C419)&lt;='Assumptions and Catalog'!$C$60,((D419+E419)*C419)*'Assumptions and Catalog'!$H$60+'Assumptions and Catalog'!$E$60+'Assumptions and Catalog'!$F$60,IF(((D419+E419)*C419)&lt;='Assumptions and Catalog'!$C$61,((D419+E419)*C419)*'Assumptions and Catalog'!$H$61+'Assumptions and Catalog'!$E$61+'Assumptions and Catalog'!$F$61,IF(((D419+E419)*C419)&lt;='Assumptions and Catalog'!$C$62,((D419+E419)*C419)*'Assumptions and Catalog'!$H$62+'Assumptions and Catalog'!$E$62+'Assumptions and Catalog'!$F$62,IF(((D419+E419)*C419)&lt;='Assumptions and Catalog'!$C$63,((D419+E419)*C419)*'Assumptions and Catalog'!$H$63+'Assumptions and Catalog'!$E$63+'Assumptions and Catalog'!$F$63,IF(((D419+E419)*C419)&lt;='Assumptions and Catalog'!$C$64,((D419+E419)*C419)*'Assumptions and Catalog'!$H$64+'Assumptions and Catalog'!$E$64+'Assumptions and Catalog'!$F$64,IF(((D419+E419)*C419)&lt;='Assumptions and Catalog'!$C$65,((D419+E419)*C419)*'Assumptions and Catalog'!$H$65+'Assumptions and Catalog'!$E$65+'Assumptions and Catalog'!$F$65,"Out of range")))))))))*(1+'Assumptions and Catalog'!$C$8)^(A419-1),0)</f>
        <v>6867.22</v>
      </c>
      <c r="N419" s="5" t="n">
        <f>IF(ISNUMBER(Inputs!$L$5),(IF(Inputs!$L$9="Actual flat rate",L419*Inputs!$L$10,IF(Inputs!$C$9="Residential",IF(L419&lt;='Assumptions and Catalog'!$C$50,L419*'Assumptions and Catalog'!$H$50+'Assumptions and Catalog'!$E$50+'Assumptions and Catalog'!$F$50,IF(L419&lt;='Assumptions and Catalog'!$C$51,L419*'Assumptions and Catalog'!$H$51+'Assumptions and Catalog'!$E$51+'Assumptions and Catalog'!$F$51,IF(L419&lt;='Assumptions and Catalog'!$C$52,L419*'Assumptions and Catalog'!$H$52+'Assumptions and Catalog'!$E$52+'Assumptions and Catalog'!$F$52,IF(L419&lt;='Assumptions and Catalog'!$C$53,L419*'Assumptions and Catalog'!$H$53+'Assumptions and Catalog'!$E$53+'Assumptions and Catalog'!$F$53,IF(L419&lt;='Assumptions and Catalog'!$C$54,L419*'Assumptions and Catalog'!$H$54+'Assumptions and Catalog'!$E$54+'Assumptions and Catalog'!$F$54,IF(L419&lt;='Assumptions and Catalog'!$C$55,L419*'Assumptions and Catalog'!$H$55+'Assumptions and Catalog'!$E$55+'Assumptions and Catalog'!$F$55,IF(L419&lt;='Assumptions and Catalog'!$C$56,L419*'Assumptions and Catalog'!$H$56+'Assumptions and Catalog'!$E$56+'Assumptions and Catalog'!$F$56,IF(L419&lt;='Assumptions and Catalog'!$C$57,L419*'Assumptions and Catalog'!$H$57+'Assumptions and Catalog'!$E$57+'Assumptions and Catalog'!$F$57,"Out of range")))))))),IF(L419&lt;='Assumptions and Catalog'!$C$60,L419*'Assumptions and Catalog'!$H$60+'Assumptions and Catalog'!$E$60+'Assumptions and Catalog'!$F$60,IF(L419&lt;='Assumptions and Catalog'!$C$61,L419*'Assumptions and Catalog'!$H$61+'Assumptions and Catalog'!$E$61+'Assumptions and Catalog'!$F$61,IF(L419&lt;='Assumptions and Catalog'!$C$62,L419*'Assumptions and Catalog'!$H$62+'Assumptions and Catalog'!$E$62+'Assumptions and Catalog'!$F$62,IF(L419&lt;='Assumptions and Catalog'!$C$63,L419*'Assumptions and Catalog'!$H$63+'Assumptions and Catalog'!$E$63+'Assumptions and Catalog'!$F$63,IF(L419&lt;='Assumptions and Catalog'!$C$64,L419*'Assumptions and Catalog'!$H$64+'Assumptions and Catalog'!$E$64+'Assumptions and Catalog'!$F$64,IF(L419&lt;='Assumptions and Catalog'!$C$65,L419*'Assumptions and Catalog'!$H$65+'Assumptions and Catalog'!$E$65+'Assumptions and Catalog'!$F$65,"Out of range")))))))))*(1+'Assumptions and Catalog'!$C$8)^(A419-1),0)</f>
        <v>6867.22</v>
      </c>
      <c r="O419" s="5" t="n">
        <f>M419-N419</f>
        <v>0</v>
      </c>
      <c r="P419" s="5" t="n">
        <f>D$55*(1-K$14)*(1-'Assumptions and Catalog'!$C$23)^R419</f>
        <v>0</v>
      </c>
      <c r="Q419" s="5" t="n">
        <f>IF(ISNUMBER(Inputs!$L$5),(IF(Inputs!$L$9="Actual flat rate",((D419+E419)*C419-G419)*Inputs!$L$10,IF(Inputs!$C$9="Residential",IF(((D419+E419)*C419-G419)&lt;='Assumptions and Catalog'!$C$50,((D419+E419)*C419-G419)*'Assumptions and Catalog'!$H$50+'Assumptions and Catalog'!$E$50+'Assumptions and Catalog'!$F$50,IF(((D419+E419)*C419-G419)&lt;='Assumptions and Catalog'!$C$51,((D419+E419)*C419-G419)*'Assumptions and Catalog'!$H$51+'Assumptions and Catalog'!$E$51+'Assumptions and Catalog'!$F$51,IF(((D419+E419)*C419-G419)&lt;='Assumptions and Catalog'!$C$52,((D419+E419)*C419-G419)*'Assumptions and Catalog'!$H$52+'Assumptions and Catalog'!$E$52+'Assumptions and Catalog'!$F$52,IF(((D419+E419)*C419-G419)&lt;='Assumptions and Catalog'!$C$53,((D419+E419)*C419-G419)*'Assumptions and Catalog'!$H$53+'Assumptions and Catalog'!$E$53+'Assumptions and Catalog'!$F$53,IF(((D419+E419)*C419-G419)&lt;='Assumptions and Catalog'!$C$54,((D419+E419)*C419-G419)*'Assumptions and Catalog'!$H$54+'Assumptions and Catalog'!$E$54+'Assumptions and Catalog'!$F$54,IF(((D419+E419)*C419-G419)&lt;='Assumptions and Catalog'!$C$55,((D419+E419)*C419-G419)*'Assumptions and Catalog'!$H$55+'Assumptions and Catalog'!$E$55+'Assumptions and Catalog'!$F$55,IF(((D419+E419)*C419-G419)&lt;='Assumptions and Catalog'!$C$56,((D419+E419)*C419-G419)*'Assumptions and Catalog'!$H$56+'Assumptions and Catalog'!$E$56+'Assumptions and Catalog'!$F$56,IF(((D419+E419)*C419-G419)&lt;='Assumptions and Catalog'!$C$57,((D419+E419)*C419-G419)*'Assumptions and Catalog'!$H$57+'Assumptions and Catalog'!$E$57+'Assumptions and Catalog'!$F$57,"Out of range")))))))),IF(((D419+E419)*C419-G419)&lt;='Assumptions and Catalog'!$C$60,((D419+E419)*C419-G419)*'Assumptions and Catalog'!$H$60+'Assumptions and Catalog'!$E$60+'Assumptions and Catalog'!$F$60,IF(((D419+E419)*C419-G419)&lt;='Assumptions and Catalog'!$C$61,((D419+E419)*C419-G419)*'Assumptions and Catalog'!$H$61+'Assumptions and Catalog'!$E$61+'Assumptions and Catalog'!$F$61,IF(((D419+E419)*C419-G419)&lt;='Assumptions and Catalog'!$C$62,((D419+E419)*C419-G419)*'Assumptions and Catalog'!$H$62+'Assumptions and Catalog'!$E$62+'Assumptions and Catalog'!$F$62,IF(((D419+E419)*C419-G419)&lt;='Assumptions and Catalog'!$C$63,((D419+E419)*C419-G419)*'Assumptions and Catalog'!$H$63+'Assumptions and Catalog'!$E$63+'Assumptions and Catalog'!$F$63,IF(((D419+E419)*C419-G419)&lt;='Assumptions and Catalog'!$C$64,((D419+E419)*C419-G419)*'Assumptions and Catalog'!$H$64+'Assumptions and Catalog'!$E$64+'Assumptions and Catalog'!$F$64,IF(((D419+E419)*C419-G419)&lt;='Assumptions and Catalog'!$C$65,((D419+E419)*C419-G419)*'Assumptions and Catalog'!$H$65+'Assumptions and Catalog'!$E$65+'Assumptions and Catalog'!$F$65,"Out of range")))))))))*(1+'Assumptions and Catalog'!$C$8)^(A419-1),0)</f>
        <v>6867.22</v>
      </c>
      <c r="R419" s="5" t="n">
        <f>IF(AND('Assumptions and Catalog'!$C$19&gt;0,A419&gt;='Assumptions and Catalog'!$C$19),A419-'Assumptions and Catalog'!$C$19,A419-1)</f>
        <v>0</v>
      </c>
      <c r="S419" s="5" t="n">
        <f>F419+L419-(D419+E419)*C419-J419-K419-IF(D$52&gt;0,'Assumptions and Catalog'!$C$26*C419,0)</f>
        <v>0</v>
      </c>
      <c r="T419" s="5"/>
      <c r="U419" s="5"/>
    </row>
    <row r="420" ht="23.100000381469727" customHeight="1">
      <c r="A420" s="5" t="n">
        <v>1</v>
      </c>
      <c r="B420" s="5" t="n">
        <v>10</v>
      </c>
      <c r="C420" s="5" t="n">
        <f>DAY(DATE('Assumptions and Catalog'!$C$24+A420-1,B420+1,0))</f>
        <v>31</v>
      </c>
      <c r="D420" s="5" t="n">
        <f>IF(ISNUMBER(Inputs!$L$5),Inputs!$L$5*Inputs!$L$6,0)</f>
        <v>40.35</v>
      </c>
      <c r="E420" s="5" t="n">
        <f>IF(ISNUMBER(Inputs!$L$5),Inputs!$L$5-D420,0)</f>
        <v>40.35</v>
      </c>
      <c r="F420" s="5" t="n">
        <f>D$51*'Assumptions and Catalog'!$C$31*C420*(1-'Assumptions and Catalog'!$C$10)^(A420-1)</f>
        <v>0</v>
      </c>
      <c r="G420" s="5" t="n">
        <f>MIN(F420,D420*C420)</f>
        <v>0</v>
      </c>
      <c r="H420" s="5" t="n">
        <f>I420/('Assumptions and Catalog'!$C$11*'Assumptions and Catalog'!$C$12)</f>
        <v>0</v>
      </c>
      <c r="I420" s="5" t="n">
        <f>IF(K$15="Grid cycle",MIN(K$16,D420+E420,P420*'Assumptions and Catalog'!$C$12,D$57*(24-'Assumptions and Catalog'!$C$15),D$56*'Assumptions and Catalog'!$C$15*'Assumptions and Catalog'!$C$11*'Assumptions and Catalog'!$C$12)*C420,0)</f>
        <v>0</v>
      </c>
      <c r="J420" s="5" t="n">
        <f>MAX(F420-G420-0,0)</f>
        <v>0</v>
      </c>
      <c r="K420" s="5" t="n">
        <f>H420-I420</f>
        <v>0</v>
      </c>
      <c r="L420" s="5" t="n">
        <f>(D420+E420)*C420-G420-I420+H420+IF(D$52&gt;0,'Assumptions and Catalog'!$C$26*C420,0)</f>
        <v>2501.7</v>
      </c>
      <c r="M420" s="5" t="n">
        <f>IF(ISNUMBER(Inputs!$L$5),(IF(Inputs!$L$9="Actual flat rate",((D420+E420)*C420)*Inputs!$L$10,IF(Inputs!$C$9="Residential",IF(((D420+E420)*C420)&lt;='Assumptions and Catalog'!$C$50,((D420+E420)*C420)*'Assumptions and Catalog'!$H$50+'Assumptions and Catalog'!$E$50+'Assumptions and Catalog'!$F$50,IF(((D420+E420)*C420)&lt;='Assumptions and Catalog'!$C$51,((D420+E420)*C420)*'Assumptions and Catalog'!$H$51+'Assumptions and Catalog'!$E$51+'Assumptions and Catalog'!$F$51,IF(((D420+E420)*C420)&lt;='Assumptions and Catalog'!$C$52,((D420+E420)*C420)*'Assumptions and Catalog'!$H$52+'Assumptions and Catalog'!$E$52+'Assumptions and Catalog'!$F$52,IF(((D420+E420)*C420)&lt;='Assumptions and Catalog'!$C$53,((D420+E420)*C420)*'Assumptions and Catalog'!$H$53+'Assumptions and Catalog'!$E$53+'Assumptions and Catalog'!$F$53,IF(((D420+E420)*C420)&lt;='Assumptions and Catalog'!$C$54,((D420+E420)*C420)*'Assumptions and Catalog'!$H$54+'Assumptions and Catalog'!$E$54+'Assumptions and Catalog'!$F$54,IF(((D420+E420)*C420)&lt;='Assumptions and Catalog'!$C$55,((D420+E420)*C420)*'Assumptions and Catalog'!$H$55+'Assumptions and Catalog'!$E$55+'Assumptions and Catalog'!$F$55,IF(((D420+E420)*C420)&lt;='Assumptions and Catalog'!$C$56,((D420+E420)*C420)*'Assumptions and Catalog'!$H$56+'Assumptions and Catalog'!$E$56+'Assumptions and Catalog'!$F$56,IF(((D420+E420)*C420)&lt;='Assumptions and Catalog'!$C$57,((D420+E420)*C420)*'Assumptions and Catalog'!$H$57+'Assumptions and Catalog'!$E$57+'Assumptions and Catalog'!$F$57,"Out of range")))))))),IF(((D420+E420)*C420)&lt;='Assumptions and Catalog'!$C$60,((D420+E420)*C420)*'Assumptions and Catalog'!$H$60+'Assumptions and Catalog'!$E$60+'Assumptions and Catalog'!$F$60,IF(((D420+E420)*C420)&lt;='Assumptions and Catalog'!$C$61,((D420+E420)*C420)*'Assumptions and Catalog'!$H$61+'Assumptions and Catalog'!$E$61+'Assumptions and Catalog'!$F$61,IF(((D420+E420)*C420)&lt;='Assumptions and Catalog'!$C$62,((D420+E420)*C420)*'Assumptions and Catalog'!$H$62+'Assumptions and Catalog'!$E$62+'Assumptions and Catalog'!$F$62,IF(((D420+E420)*C420)&lt;='Assumptions and Catalog'!$C$63,((D420+E420)*C420)*'Assumptions and Catalog'!$H$63+'Assumptions and Catalog'!$E$63+'Assumptions and Catalog'!$F$63,IF(((D420+E420)*C420)&lt;='Assumptions and Catalog'!$C$64,((D420+E420)*C420)*'Assumptions and Catalog'!$H$64+'Assumptions and Catalog'!$E$64+'Assumptions and Catalog'!$F$64,IF(((D420+E420)*C420)&lt;='Assumptions and Catalog'!$C$65,((D420+E420)*C420)*'Assumptions and Catalog'!$H$65+'Assumptions and Catalog'!$E$65+'Assumptions and Catalog'!$F$65,"Out of range")))))))))*(1+'Assumptions and Catalog'!$C$8)^(A420-1),0)</f>
        <v>7094.794</v>
      </c>
      <c r="N420" s="5" t="n">
        <f>IF(ISNUMBER(Inputs!$L$5),(IF(Inputs!$L$9="Actual flat rate",L420*Inputs!$L$10,IF(Inputs!$C$9="Residential",IF(L420&lt;='Assumptions and Catalog'!$C$50,L420*'Assumptions and Catalog'!$H$50+'Assumptions and Catalog'!$E$50+'Assumptions and Catalog'!$F$50,IF(L420&lt;='Assumptions and Catalog'!$C$51,L420*'Assumptions and Catalog'!$H$51+'Assumptions and Catalog'!$E$51+'Assumptions and Catalog'!$F$51,IF(L420&lt;='Assumptions and Catalog'!$C$52,L420*'Assumptions and Catalog'!$H$52+'Assumptions and Catalog'!$E$52+'Assumptions and Catalog'!$F$52,IF(L420&lt;='Assumptions and Catalog'!$C$53,L420*'Assumptions and Catalog'!$H$53+'Assumptions and Catalog'!$E$53+'Assumptions and Catalog'!$F$53,IF(L420&lt;='Assumptions and Catalog'!$C$54,L420*'Assumptions and Catalog'!$H$54+'Assumptions and Catalog'!$E$54+'Assumptions and Catalog'!$F$54,IF(L420&lt;='Assumptions and Catalog'!$C$55,L420*'Assumptions and Catalog'!$H$55+'Assumptions and Catalog'!$E$55+'Assumptions and Catalog'!$F$55,IF(L420&lt;='Assumptions and Catalog'!$C$56,L420*'Assumptions and Catalog'!$H$56+'Assumptions and Catalog'!$E$56+'Assumptions and Catalog'!$F$56,IF(L420&lt;='Assumptions and Catalog'!$C$57,L420*'Assumptions and Catalog'!$H$57+'Assumptions and Catalog'!$E$57+'Assumptions and Catalog'!$F$57,"Out of range")))))))),IF(L420&lt;='Assumptions and Catalog'!$C$60,L420*'Assumptions and Catalog'!$H$60+'Assumptions and Catalog'!$E$60+'Assumptions and Catalog'!$F$60,IF(L420&lt;='Assumptions and Catalog'!$C$61,L420*'Assumptions and Catalog'!$H$61+'Assumptions and Catalog'!$E$61+'Assumptions and Catalog'!$F$61,IF(L420&lt;='Assumptions and Catalog'!$C$62,L420*'Assumptions and Catalog'!$H$62+'Assumptions and Catalog'!$E$62+'Assumptions and Catalog'!$F$62,IF(L420&lt;='Assumptions and Catalog'!$C$63,L420*'Assumptions and Catalog'!$H$63+'Assumptions and Catalog'!$E$63+'Assumptions and Catalog'!$F$63,IF(L420&lt;='Assumptions and Catalog'!$C$64,L420*'Assumptions and Catalog'!$H$64+'Assumptions and Catalog'!$E$64+'Assumptions and Catalog'!$F$64,IF(L420&lt;='Assumptions and Catalog'!$C$65,L420*'Assumptions and Catalog'!$H$65+'Assumptions and Catalog'!$E$65+'Assumptions and Catalog'!$F$65,"Out of range")))))))))*(1+'Assumptions and Catalog'!$C$8)^(A420-1),0)</f>
        <v>7094.794</v>
      </c>
      <c r="O420" s="5" t="n">
        <f>M420-N420</f>
        <v>0</v>
      </c>
      <c r="P420" s="5" t="n">
        <f>D$55*(1-K$14)*(1-'Assumptions and Catalog'!$C$23)^R420</f>
        <v>0</v>
      </c>
      <c r="Q420" s="5" t="n">
        <f>IF(ISNUMBER(Inputs!$L$5),(IF(Inputs!$L$9="Actual flat rate",((D420+E420)*C420-G420)*Inputs!$L$10,IF(Inputs!$C$9="Residential",IF(((D420+E420)*C420-G420)&lt;='Assumptions and Catalog'!$C$50,((D420+E420)*C420-G420)*'Assumptions and Catalog'!$H$50+'Assumptions and Catalog'!$E$50+'Assumptions and Catalog'!$F$50,IF(((D420+E420)*C420-G420)&lt;='Assumptions and Catalog'!$C$51,((D420+E420)*C420-G420)*'Assumptions and Catalog'!$H$51+'Assumptions and Catalog'!$E$51+'Assumptions and Catalog'!$F$51,IF(((D420+E420)*C420-G420)&lt;='Assumptions and Catalog'!$C$52,((D420+E420)*C420-G420)*'Assumptions and Catalog'!$H$52+'Assumptions and Catalog'!$E$52+'Assumptions and Catalog'!$F$52,IF(((D420+E420)*C420-G420)&lt;='Assumptions and Catalog'!$C$53,((D420+E420)*C420-G420)*'Assumptions and Catalog'!$H$53+'Assumptions and Catalog'!$E$53+'Assumptions and Catalog'!$F$53,IF(((D420+E420)*C420-G420)&lt;='Assumptions and Catalog'!$C$54,((D420+E420)*C420-G420)*'Assumptions and Catalog'!$H$54+'Assumptions and Catalog'!$E$54+'Assumptions and Catalog'!$F$54,IF(((D420+E420)*C420-G420)&lt;='Assumptions and Catalog'!$C$55,((D420+E420)*C420-G420)*'Assumptions and Catalog'!$H$55+'Assumptions and Catalog'!$E$55+'Assumptions and Catalog'!$F$55,IF(((D420+E420)*C420-G420)&lt;='Assumptions and Catalog'!$C$56,((D420+E420)*C420-G420)*'Assumptions and Catalog'!$H$56+'Assumptions and Catalog'!$E$56+'Assumptions and Catalog'!$F$56,IF(((D420+E420)*C420-G420)&lt;='Assumptions and Catalog'!$C$57,((D420+E420)*C420-G420)*'Assumptions and Catalog'!$H$57+'Assumptions and Catalog'!$E$57+'Assumptions and Catalog'!$F$57,"Out of range")))))))),IF(((D420+E420)*C420-G420)&lt;='Assumptions and Catalog'!$C$60,((D420+E420)*C420-G420)*'Assumptions and Catalog'!$H$60+'Assumptions and Catalog'!$E$60+'Assumptions and Catalog'!$F$60,IF(((D420+E420)*C420-G420)&lt;='Assumptions and Catalog'!$C$61,((D420+E420)*C420-G420)*'Assumptions and Catalog'!$H$61+'Assumptions and Catalog'!$E$61+'Assumptions and Catalog'!$F$61,IF(((D420+E420)*C420-G420)&lt;='Assumptions and Catalog'!$C$62,((D420+E420)*C420-G420)*'Assumptions and Catalog'!$H$62+'Assumptions and Catalog'!$E$62+'Assumptions and Catalog'!$F$62,IF(((D420+E420)*C420-G420)&lt;='Assumptions and Catalog'!$C$63,((D420+E420)*C420-G420)*'Assumptions and Catalog'!$H$63+'Assumptions and Catalog'!$E$63+'Assumptions and Catalog'!$F$63,IF(((D420+E420)*C420-G420)&lt;='Assumptions and Catalog'!$C$64,((D420+E420)*C420-G420)*'Assumptions and Catalog'!$H$64+'Assumptions and Catalog'!$E$64+'Assumptions and Catalog'!$F$64,IF(((D420+E420)*C420-G420)&lt;='Assumptions and Catalog'!$C$65,((D420+E420)*C420-G420)*'Assumptions and Catalog'!$H$65+'Assumptions and Catalog'!$E$65+'Assumptions and Catalog'!$F$65,"Out of range")))))))))*(1+'Assumptions and Catalog'!$C$8)^(A420-1),0)</f>
        <v>7094.794</v>
      </c>
      <c r="R420" s="5" t="n">
        <f>IF(AND('Assumptions and Catalog'!$C$19&gt;0,A420&gt;='Assumptions and Catalog'!$C$19),A420-'Assumptions and Catalog'!$C$19,A420-1)</f>
        <v>0</v>
      </c>
      <c r="S420" s="5" t="n">
        <f>F420+L420-(D420+E420)*C420-J420-K420-IF(D$52&gt;0,'Assumptions and Catalog'!$C$26*C420,0)</f>
        <v>0</v>
      </c>
      <c r="T420" s="5"/>
      <c r="U420" s="5"/>
    </row>
    <row r="421" ht="23.100000381469727" customHeight="1">
      <c r="A421" s="5" t="n">
        <v>1</v>
      </c>
      <c r="B421" s="5" t="n">
        <v>11</v>
      </c>
      <c r="C421" s="5" t="n">
        <f>DAY(DATE('Assumptions and Catalog'!$C$24+A421-1,B421+1,0))</f>
        <v>30</v>
      </c>
      <c r="D421" s="5" t="n">
        <f>IF(ISNUMBER(Inputs!$L$5),Inputs!$L$5*Inputs!$L$6,0)</f>
        <v>40.35</v>
      </c>
      <c r="E421" s="5" t="n">
        <f>IF(ISNUMBER(Inputs!$L$5),Inputs!$L$5-D421,0)</f>
        <v>40.35</v>
      </c>
      <c r="F421" s="5" t="n">
        <f>D$51*'Assumptions and Catalog'!$C$31*C421*(1-'Assumptions and Catalog'!$C$10)^(A421-1)</f>
        <v>0</v>
      </c>
      <c r="G421" s="5" t="n">
        <f>MIN(F421,D421*C421)</f>
        <v>0</v>
      </c>
      <c r="H421" s="5" t="n">
        <f>I421/('Assumptions and Catalog'!$C$11*'Assumptions and Catalog'!$C$12)</f>
        <v>0</v>
      </c>
      <c r="I421" s="5" t="n">
        <f>IF(K$15="Grid cycle",MIN(K$16,D421+E421,P421*'Assumptions and Catalog'!$C$12,D$57*(24-'Assumptions and Catalog'!$C$15),D$56*'Assumptions and Catalog'!$C$15*'Assumptions and Catalog'!$C$11*'Assumptions and Catalog'!$C$12)*C421,0)</f>
        <v>0</v>
      </c>
      <c r="J421" s="5" t="n">
        <f>MAX(F421-G421-0,0)</f>
        <v>0</v>
      </c>
      <c r="K421" s="5" t="n">
        <f>H421-I421</f>
        <v>0</v>
      </c>
      <c r="L421" s="5" t="n">
        <f>(D421+E421)*C421-G421-I421+H421+IF(D$52&gt;0,'Assumptions and Catalog'!$C$26*C421,0)</f>
        <v>2421</v>
      </c>
      <c r="M421" s="5" t="n">
        <f>IF(ISNUMBER(Inputs!$L$5),(IF(Inputs!$L$9="Actual flat rate",((D421+E421)*C421)*Inputs!$L$10,IF(Inputs!$C$9="Residential",IF(((D421+E421)*C421)&lt;='Assumptions and Catalog'!$C$50,((D421+E421)*C421)*'Assumptions and Catalog'!$H$50+'Assumptions and Catalog'!$E$50+'Assumptions and Catalog'!$F$50,IF(((D421+E421)*C421)&lt;='Assumptions and Catalog'!$C$51,((D421+E421)*C421)*'Assumptions and Catalog'!$H$51+'Assumptions and Catalog'!$E$51+'Assumptions and Catalog'!$F$51,IF(((D421+E421)*C421)&lt;='Assumptions and Catalog'!$C$52,((D421+E421)*C421)*'Assumptions and Catalog'!$H$52+'Assumptions and Catalog'!$E$52+'Assumptions and Catalog'!$F$52,IF(((D421+E421)*C421)&lt;='Assumptions and Catalog'!$C$53,((D421+E421)*C421)*'Assumptions and Catalog'!$H$53+'Assumptions and Catalog'!$E$53+'Assumptions and Catalog'!$F$53,IF(((D421+E421)*C421)&lt;='Assumptions and Catalog'!$C$54,((D421+E421)*C421)*'Assumptions and Catalog'!$H$54+'Assumptions and Catalog'!$E$54+'Assumptions and Catalog'!$F$54,IF(((D421+E421)*C421)&lt;='Assumptions and Catalog'!$C$55,((D421+E421)*C421)*'Assumptions and Catalog'!$H$55+'Assumptions and Catalog'!$E$55+'Assumptions and Catalog'!$F$55,IF(((D421+E421)*C421)&lt;='Assumptions and Catalog'!$C$56,((D421+E421)*C421)*'Assumptions and Catalog'!$H$56+'Assumptions and Catalog'!$E$56+'Assumptions and Catalog'!$F$56,IF(((D421+E421)*C421)&lt;='Assumptions and Catalog'!$C$57,((D421+E421)*C421)*'Assumptions and Catalog'!$H$57+'Assumptions and Catalog'!$E$57+'Assumptions and Catalog'!$F$57,"Out of range")))))))),IF(((D421+E421)*C421)&lt;='Assumptions and Catalog'!$C$60,((D421+E421)*C421)*'Assumptions and Catalog'!$H$60+'Assumptions and Catalog'!$E$60+'Assumptions and Catalog'!$F$60,IF(((D421+E421)*C421)&lt;='Assumptions and Catalog'!$C$61,((D421+E421)*C421)*'Assumptions and Catalog'!$H$61+'Assumptions and Catalog'!$E$61+'Assumptions and Catalog'!$F$61,IF(((D421+E421)*C421)&lt;='Assumptions and Catalog'!$C$62,((D421+E421)*C421)*'Assumptions and Catalog'!$H$62+'Assumptions and Catalog'!$E$62+'Assumptions and Catalog'!$F$62,IF(((D421+E421)*C421)&lt;='Assumptions and Catalog'!$C$63,((D421+E421)*C421)*'Assumptions and Catalog'!$H$63+'Assumptions and Catalog'!$E$63+'Assumptions and Catalog'!$F$63,IF(((D421+E421)*C421)&lt;='Assumptions and Catalog'!$C$64,((D421+E421)*C421)*'Assumptions and Catalog'!$H$64+'Assumptions and Catalog'!$E$64+'Assumptions and Catalog'!$F$64,IF(((D421+E421)*C421)&lt;='Assumptions and Catalog'!$C$65,((D421+E421)*C421)*'Assumptions and Catalog'!$H$65+'Assumptions and Catalog'!$E$65+'Assumptions and Catalog'!$F$65,"Out of range")))))))))*(1+'Assumptions and Catalog'!$C$8)^(A421-1),0)</f>
        <v>6867.22</v>
      </c>
      <c r="N421" s="5" t="n">
        <f>IF(ISNUMBER(Inputs!$L$5),(IF(Inputs!$L$9="Actual flat rate",L421*Inputs!$L$10,IF(Inputs!$C$9="Residential",IF(L421&lt;='Assumptions and Catalog'!$C$50,L421*'Assumptions and Catalog'!$H$50+'Assumptions and Catalog'!$E$50+'Assumptions and Catalog'!$F$50,IF(L421&lt;='Assumptions and Catalog'!$C$51,L421*'Assumptions and Catalog'!$H$51+'Assumptions and Catalog'!$E$51+'Assumptions and Catalog'!$F$51,IF(L421&lt;='Assumptions and Catalog'!$C$52,L421*'Assumptions and Catalog'!$H$52+'Assumptions and Catalog'!$E$52+'Assumptions and Catalog'!$F$52,IF(L421&lt;='Assumptions and Catalog'!$C$53,L421*'Assumptions and Catalog'!$H$53+'Assumptions and Catalog'!$E$53+'Assumptions and Catalog'!$F$53,IF(L421&lt;='Assumptions and Catalog'!$C$54,L421*'Assumptions and Catalog'!$H$54+'Assumptions and Catalog'!$E$54+'Assumptions and Catalog'!$F$54,IF(L421&lt;='Assumptions and Catalog'!$C$55,L421*'Assumptions and Catalog'!$H$55+'Assumptions and Catalog'!$E$55+'Assumptions and Catalog'!$F$55,IF(L421&lt;='Assumptions and Catalog'!$C$56,L421*'Assumptions and Catalog'!$H$56+'Assumptions and Catalog'!$E$56+'Assumptions and Catalog'!$F$56,IF(L421&lt;='Assumptions and Catalog'!$C$57,L421*'Assumptions and Catalog'!$H$57+'Assumptions and Catalog'!$E$57+'Assumptions and Catalog'!$F$57,"Out of range")))))))),IF(L421&lt;='Assumptions and Catalog'!$C$60,L421*'Assumptions and Catalog'!$H$60+'Assumptions and Catalog'!$E$60+'Assumptions and Catalog'!$F$60,IF(L421&lt;='Assumptions and Catalog'!$C$61,L421*'Assumptions and Catalog'!$H$61+'Assumptions and Catalog'!$E$61+'Assumptions and Catalog'!$F$61,IF(L421&lt;='Assumptions and Catalog'!$C$62,L421*'Assumptions and Catalog'!$H$62+'Assumptions and Catalog'!$E$62+'Assumptions and Catalog'!$F$62,IF(L421&lt;='Assumptions and Catalog'!$C$63,L421*'Assumptions and Catalog'!$H$63+'Assumptions and Catalog'!$E$63+'Assumptions and Catalog'!$F$63,IF(L421&lt;='Assumptions and Catalog'!$C$64,L421*'Assumptions and Catalog'!$H$64+'Assumptions and Catalog'!$E$64+'Assumptions and Catalog'!$F$64,IF(L421&lt;='Assumptions and Catalog'!$C$65,L421*'Assumptions and Catalog'!$H$65+'Assumptions and Catalog'!$E$65+'Assumptions and Catalog'!$F$65,"Out of range")))))))))*(1+'Assumptions and Catalog'!$C$8)^(A421-1),0)</f>
        <v>6867.22</v>
      </c>
      <c r="O421" s="5" t="n">
        <f>M421-N421</f>
        <v>0</v>
      </c>
      <c r="P421" s="5" t="n">
        <f>D$55*(1-K$14)*(1-'Assumptions and Catalog'!$C$23)^R421</f>
        <v>0</v>
      </c>
      <c r="Q421" s="5" t="n">
        <f>IF(ISNUMBER(Inputs!$L$5),(IF(Inputs!$L$9="Actual flat rate",((D421+E421)*C421-G421)*Inputs!$L$10,IF(Inputs!$C$9="Residential",IF(((D421+E421)*C421-G421)&lt;='Assumptions and Catalog'!$C$50,((D421+E421)*C421-G421)*'Assumptions and Catalog'!$H$50+'Assumptions and Catalog'!$E$50+'Assumptions and Catalog'!$F$50,IF(((D421+E421)*C421-G421)&lt;='Assumptions and Catalog'!$C$51,((D421+E421)*C421-G421)*'Assumptions and Catalog'!$H$51+'Assumptions and Catalog'!$E$51+'Assumptions and Catalog'!$F$51,IF(((D421+E421)*C421-G421)&lt;='Assumptions and Catalog'!$C$52,((D421+E421)*C421-G421)*'Assumptions and Catalog'!$H$52+'Assumptions and Catalog'!$E$52+'Assumptions and Catalog'!$F$52,IF(((D421+E421)*C421-G421)&lt;='Assumptions and Catalog'!$C$53,((D421+E421)*C421-G421)*'Assumptions and Catalog'!$H$53+'Assumptions and Catalog'!$E$53+'Assumptions and Catalog'!$F$53,IF(((D421+E421)*C421-G421)&lt;='Assumptions and Catalog'!$C$54,((D421+E421)*C421-G421)*'Assumptions and Catalog'!$H$54+'Assumptions and Catalog'!$E$54+'Assumptions and Catalog'!$F$54,IF(((D421+E421)*C421-G421)&lt;='Assumptions and Catalog'!$C$55,((D421+E421)*C421-G421)*'Assumptions and Catalog'!$H$55+'Assumptions and Catalog'!$E$55+'Assumptions and Catalog'!$F$55,IF(((D421+E421)*C421-G421)&lt;='Assumptions and Catalog'!$C$56,((D421+E421)*C421-G421)*'Assumptions and Catalog'!$H$56+'Assumptions and Catalog'!$E$56+'Assumptions and Catalog'!$F$56,IF(((D421+E421)*C421-G421)&lt;='Assumptions and Catalog'!$C$57,((D421+E421)*C421-G421)*'Assumptions and Catalog'!$H$57+'Assumptions and Catalog'!$E$57+'Assumptions and Catalog'!$F$57,"Out of range")))))))),IF(((D421+E421)*C421-G421)&lt;='Assumptions and Catalog'!$C$60,((D421+E421)*C421-G421)*'Assumptions and Catalog'!$H$60+'Assumptions and Catalog'!$E$60+'Assumptions and Catalog'!$F$60,IF(((D421+E421)*C421-G421)&lt;='Assumptions and Catalog'!$C$61,((D421+E421)*C421-G421)*'Assumptions and Catalog'!$H$61+'Assumptions and Catalog'!$E$61+'Assumptions and Catalog'!$F$61,IF(((D421+E421)*C421-G421)&lt;='Assumptions and Catalog'!$C$62,((D421+E421)*C421-G421)*'Assumptions and Catalog'!$H$62+'Assumptions and Catalog'!$E$62+'Assumptions and Catalog'!$F$62,IF(((D421+E421)*C421-G421)&lt;='Assumptions and Catalog'!$C$63,((D421+E421)*C421-G421)*'Assumptions and Catalog'!$H$63+'Assumptions and Catalog'!$E$63+'Assumptions and Catalog'!$F$63,IF(((D421+E421)*C421-G421)&lt;='Assumptions and Catalog'!$C$64,((D421+E421)*C421-G421)*'Assumptions and Catalog'!$H$64+'Assumptions and Catalog'!$E$64+'Assumptions and Catalog'!$F$64,IF(((D421+E421)*C421-G421)&lt;='Assumptions and Catalog'!$C$65,((D421+E421)*C421-G421)*'Assumptions and Catalog'!$H$65+'Assumptions and Catalog'!$E$65+'Assumptions and Catalog'!$F$65,"Out of range")))))))))*(1+'Assumptions and Catalog'!$C$8)^(A421-1),0)</f>
        <v>6867.22</v>
      </c>
      <c r="R421" s="5" t="n">
        <f>IF(AND('Assumptions and Catalog'!$C$19&gt;0,A421&gt;='Assumptions and Catalog'!$C$19),A421-'Assumptions and Catalog'!$C$19,A421-1)</f>
        <v>0</v>
      </c>
      <c r="S421" s="5" t="n">
        <f>F421+L421-(D421+E421)*C421-J421-K421-IF(D$52&gt;0,'Assumptions and Catalog'!$C$26*C421,0)</f>
        <v>0</v>
      </c>
      <c r="T421" s="5"/>
      <c r="U421" s="5"/>
    </row>
    <row r="422" ht="23.100000381469727" customHeight="1">
      <c r="A422" s="5" t="n">
        <v>1</v>
      </c>
      <c r="B422" s="5" t="n">
        <v>12</v>
      </c>
      <c r="C422" s="5" t="n">
        <f>DAY(DATE('Assumptions and Catalog'!$C$24+A422-1,B422+1,0))</f>
        <v>31</v>
      </c>
      <c r="D422" s="5" t="n">
        <f>IF(ISNUMBER(Inputs!$L$5),Inputs!$L$5*Inputs!$L$6,0)</f>
        <v>40.35</v>
      </c>
      <c r="E422" s="5" t="n">
        <f>IF(ISNUMBER(Inputs!$L$5),Inputs!$L$5-D422,0)</f>
        <v>40.35</v>
      </c>
      <c r="F422" s="5" t="n">
        <f>D$51*'Assumptions and Catalog'!$C$31*C422*(1-'Assumptions and Catalog'!$C$10)^(A422-1)</f>
        <v>0</v>
      </c>
      <c r="G422" s="5" t="n">
        <f>MIN(F422,D422*C422)</f>
        <v>0</v>
      </c>
      <c r="H422" s="5" t="n">
        <f>I422/('Assumptions and Catalog'!$C$11*'Assumptions and Catalog'!$C$12)</f>
        <v>0</v>
      </c>
      <c r="I422" s="5" t="n">
        <f>IF(K$15="Grid cycle",MIN(K$16,D422+E422,P422*'Assumptions and Catalog'!$C$12,D$57*(24-'Assumptions and Catalog'!$C$15),D$56*'Assumptions and Catalog'!$C$15*'Assumptions and Catalog'!$C$11*'Assumptions and Catalog'!$C$12)*C422,0)</f>
        <v>0</v>
      </c>
      <c r="J422" s="5" t="n">
        <f>MAX(F422-G422-0,0)</f>
        <v>0</v>
      </c>
      <c r="K422" s="5" t="n">
        <f>H422-I422</f>
        <v>0</v>
      </c>
      <c r="L422" s="5" t="n">
        <f>(D422+E422)*C422-G422-I422+H422+IF(D$52&gt;0,'Assumptions and Catalog'!$C$26*C422,0)</f>
        <v>2501.7</v>
      </c>
      <c r="M422" s="5" t="n">
        <f>IF(ISNUMBER(Inputs!$L$5),(IF(Inputs!$L$9="Actual flat rate",((D422+E422)*C422)*Inputs!$L$10,IF(Inputs!$C$9="Residential",IF(((D422+E422)*C422)&lt;='Assumptions and Catalog'!$C$50,((D422+E422)*C422)*'Assumptions and Catalog'!$H$50+'Assumptions and Catalog'!$E$50+'Assumptions and Catalog'!$F$50,IF(((D422+E422)*C422)&lt;='Assumptions and Catalog'!$C$51,((D422+E422)*C422)*'Assumptions and Catalog'!$H$51+'Assumptions and Catalog'!$E$51+'Assumptions and Catalog'!$F$51,IF(((D422+E422)*C422)&lt;='Assumptions and Catalog'!$C$52,((D422+E422)*C422)*'Assumptions and Catalog'!$H$52+'Assumptions and Catalog'!$E$52+'Assumptions and Catalog'!$F$52,IF(((D422+E422)*C422)&lt;='Assumptions and Catalog'!$C$53,((D422+E422)*C422)*'Assumptions and Catalog'!$H$53+'Assumptions and Catalog'!$E$53+'Assumptions and Catalog'!$F$53,IF(((D422+E422)*C422)&lt;='Assumptions and Catalog'!$C$54,((D422+E422)*C422)*'Assumptions and Catalog'!$H$54+'Assumptions and Catalog'!$E$54+'Assumptions and Catalog'!$F$54,IF(((D422+E422)*C422)&lt;='Assumptions and Catalog'!$C$55,((D422+E422)*C422)*'Assumptions and Catalog'!$H$55+'Assumptions and Catalog'!$E$55+'Assumptions and Catalog'!$F$55,IF(((D422+E422)*C422)&lt;='Assumptions and Catalog'!$C$56,((D422+E422)*C422)*'Assumptions and Catalog'!$H$56+'Assumptions and Catalog'!$E$56+'Assumptions and Catalog'!$F$56,IF(((D422+E422)*C422)&lt;='Assumptions and Catalog'!$C$57,((D422+E422)*C422)*'Assumptions and Catalog'!$H$57+'Assumptions and Catalog'!$E$57+'Assumptions and Catalog'!$F$57,"Out of range")))))))),IF(((D422+E422)*C422)&lt;='Assumptions and Catalog'!$C$60,((D422+E422)*C422)*'Assumptions and Catalog'!$H$60+'Assumptions and Catalog'!$E$60+'Assumptions and Catalog'!$F$60,IF(((D422+E422)*C422)&lt;='Assumptions and Catalog'!$C$61,((D422+E422)*C422)*'Assumptions and Catalog'!$H$61+'Assumptions and Catalog'!$E$61+'Assumptions and Catalog'!$F$61,IF(((D422+E422)*C422)&lt;='Assumptions and Catalog'!$C$62,((D422+E422)*C422)*'Assumptions and Catalog'!$H$62+'Assumptions and Catalog'!$E$62+'Assumptions and Catalog'!$F$62,IF(((D422+E422)*C422)&lt;='Assumptions and Catalog'!$C$63,((D422+E422)*C422)*'Assumptions and Catalog'!$H$63+'Assumptions and Catalog'!$E$63+'Assumptions and Catalog'!$F$63,IF(((D422+E422)*C422)&lt;='Assumptions and Catalog'!$C$64,((D422+E422)*C422)*'Assumptions and Catalog'!$H$64+'Assumptions and Catalog'!$E$64+'Assumptions and Catalog'!$F$64,IF(((D422+E422)*C422)&lt;='Assumptions and Catalog'!$C$65,((D422+E422)*C422)*'Assumptions and Catalog'!$H$65+'Assumptions and Catalog'!$E$65+'Assumptions and Catalog'!$F$65,"Out of range")))))))))*(1+'Assumptions and Catalog'!$C$8)^(A422-1),0)</f>
        <v>7094.794</v>
      </c>
      <c r="N422" s="5" t="n">
        <f>IF(ISNUMBER(Inputs!$L$5),(IF(Inputs!$L$9="Actual flat rate",L422*Inputs!$L$10,IF(Inputs!$C$9="Residential",IF(L422&lt;='Assumptions and Catalog'!$C$50,L422*'Assumptions and Catalog'!$H$50+'Assumptions and Catalog'!$E$50+'Assumptions and Catalog'!$F$50,IF(L422&lt;='Assumptions and Catalog'!$C$51,L422*'Assumptions and Catalog'!$H$51+'Assumptions and Catalog'!$E$51+'Assumptions and Catalog'!$F$51,IF(L422&lt;='Assumptions and Catalog'!$C$52,L422*'Assumptions and Catalog'!$H$52+'Assumptions and Catalog'!$E$52+'Assumptions and Catalog'!$F$52,IF(L422&lt;='Assumptions and Catalog'!$C$53,L422*'Assumptions and Catalog'!$H$53+'Assumptions and Catalog'!$E$53+'Assumptions and Catalog'!$F$53,IF(L422&lt;='Assumptions and Catalog'!$C$54,L422*'Assumptions and Catalog'!$H$54+'Assumptions and Catalog'!$E$54+'Assumptions and Catalog'!$F$54,IF(L422&lt;='Assumptions and Catalog'!$C$55,L422*'Assumptions and Catalog'!$H$55+'Assumptions and Catalog'!$E$55+'Assumptions and Catalog'!$F$55,IF(L422&lt;='Assumptions and Catalog'!$C$56,L422*'Assumptions and Catalog'!$H$56+'Assumptions and Catalog'!$E$56+'Assumptions and Catalog'!$F$56,IF(L422&lt;='Assumptions and Catalog'!$C$57,L422*'Assumptions and Catalog'!$H$57+'Assumptions and Catalog'!$E$57+'Assumptions and Catalog'!$F$57,"Out of range")))))))),IF(L422&lt;='Assumptions and Catalog'!$C$60,L422*'Assumptions and Catalog'!$H$60+'Assumptions and Catalog'!$E$60+'Assumptions and Catalog'!$F$60,IF(L422&lt;='Assumptions and Catalog'!$C$61,L422*'Assumptions and Catalog'!$H$61+'Assumptions and Catalog'!$E$61+'Assumptions and Catalog'!$F$61,IF(L422&lt;='Assumptions and Catalog'!$C$62,L422*'Assumptions and Catalog'!$H$62+'Assumptions and Catalog'!$E$62+'Assumptions and Catalog'!$F$62,IF(L422&lt;='Assumptions and Catalog'!$C$63,L422*'Assumptions and Catalog'!$H$63+'Assumptions and Catalog'!$E$63+'Assumptions and Catalog'!$F$63,IF(L422&lt;='Assumptions and Catalog'!$C$64,L422*'Assumptions and Catalog'!$H$64+'Assumptions and Catalog'!$E$64+'Assumptions and Catalog'!$F$64,IF(L422&lt;='Assumptions and Catalog'!$C$65,L422*'Assumptions and Catalog'!$H$65+'Assumptions and Catalog'!$E$65+'Assumptions and Catalog'!$F$65,"Out of range")))))))))*(1+'Assumptions and Catalog'!$C$8)^(A422-1),0)</f>
        <v>7094.794</v>
      </c>
      <c r="O422" s="5" t="n">
        <f>M422-N422</f>
        <v>0</v>
      </c>
      <c r="P422" s="5" t="n">
        <f>D$55*(1-K$14)*(1-'Assumptions and Catalog'!$C$23)^R422</f>
        <v>0</v>
      </c>
      <c r="Q422" s="5" t="n">
        <f>IF(ISNUMBER(Inputs!$L$5),(IF(Inputs!$L$9="Actual flat rate",((D422+E422)*C422-G422)*Inputs!$L$10,IF(Inputs!$C$9="Residential",IF(((D422+E422)*C422-G422)&lt;='Assumptions and Catalog'!$C$50,((D422+E422)*C422-G422)*'Assumptions and Catalog'!$H$50+'Assumptions and Catalog'!$E$50+'Assumptions and Catalog'!$F$50,IF(((D422+E422)*C422-G422)&lt;='Assumptions and Catalog'!$C$51,((D422+E422)*C422-G422)*'Assumptions and Catalog'!$H$51+'Assumptions and Catalog'!$E$51+'Assumptions and Catalog'!$F$51,IF(((D422+E422)*C422-G422)&lt;='Assumptions and Catalog'!$C$52,((D422+E422)*C422-G422)*'Assumptions and Catalog'!$H$52+'Assumptions and Catalog'!$E$52+'Assumptions and Catalog'!$F$52,IF(((D422+E422)*C422-G422)&lt;='Assumptions and Catalog'!$C$53,((D422+E422)*C422-G422)*'Assumptions and Catalog'!$H$53+'Assumptions and Catalog'!$E$53+'Assumptions and Catalog'!$F$53,IF(((D422+E422)*C422-G422)&lt;='Assumptions and Catalog'!$C$54,((D422+E422)*C422-G422)*'Assumptions and Catalog'!$H$54+'Assumptions and Catalog'!$E$54+'Assumptions and Catalog'!$F$54,IF(((D422+E422)*C422-G422)&lt;='Assumptions and Catalog'!$C$55,((D422+E422)*C422-G422)*'Assumptions and Catalog'!$H$55+'Assumptions and Catalog'!$E$55+'Assumptions and Catalog'!$F$55,IF(((D422+E422)*C422-G422)&lt;='Assumptions and Catalog'!$C$56,((D422+E422)*C422-G422)*'Assumptions and Catalog'!$H$56+'Assumptions and Catalog'!$E$56+'Assumptions and Catalog'!$F$56,IF(((D422+E422)*C422-G422)&lt;='Assumptions and Catalog'!$C$57,((D422+E422)*C422-G422)*'Assumptions and Catalog'!$H$57+'Assumptions and Catalog'!$E$57+'Assumptions and Catalog'!$F$57,"Out of range")))))))),IF(((D422+E422)*C422-G422)&lt;='Assumptions and Catalog'!$C$60,((D422+E422)*C422-G422)*'Assumptions and Catalog'!$H$60+'Assumptions and Catalog'!$E$60+'Assumptions and Catalog'!$F$60,IF(((D422+E422)*C422-G422)&lt;='Assumptions and Catalog'!$C$61,((D422+E422)*C422-G422)*'Assumptions and Catalog'!$H$61+'Assumptions and Catalog'!$E$61+'Assumptions and Catalog'!$F$61,IF(((D422+E422)*C422-G422)&lt;='Assumptions and Catalog'!$C$62,((D422+E422)*C422-G422)*'Assumptions and Catalog'!$H$62+'Assumptions and Catalog'!$E$62+'Assumptions and Catalog'!$F$62,IF(((D422+E422)*C422-G422)&lt;='Assumptions and Catalog'!$C$63,((D422+E422)*C422-G422)*'Assumptions and Catalog'!$H$63+'Assumptions and Catalog'!$E$63+'Assumptions and Catalog'!$F$63,IF(((D422+E422)*C422-G422)&lt;='Assumptions and Catalog'!$C$64,((D422+E422)*C422-G422)*'Assumptions and Catalog'!$H$64+'Assumptions and Catalog'!$E$64+'Assumptions and Catalog'!$F$64,IF(((D422+E422)*C422-G422)&lt;='Assumptions and Catalog'!$C$65,((D422+E422)*C422-G422)*'Assumptions and Catalog'!$H$65+'Assumptions and Catalog'!$E$65+'Assumptions and Catalog'!$F$65,"Out of range")))))))))*(1+'Assumptions and Catalog'!$C$8)^(A422-1),0)</f>
        <v>7094.794</v>
      </c>
      <c r="R422" s="5" t="n">
        <f>IF(AND('Assumptions and Catalog'!$C$19&gt;0,A422&gt;='Assumptions and Catalog'!$C$19),A422-'Assumptions and Catalog'!$C$19,A422-1)</f>
        <v>0</v>
      </c>
      <c r="S422" s="5" t="n">
        <f>F422+L422-(D422+E422)*C422-J422-K422-IF(D$52&gt;0,'Assumptions and Catalog'!$C$26*C422,0)</f>
        <v>0</v>
      </c>
      <c r="T422" s="5"/>
      <c r="U422" s="5"/>
    </row>
    <row r="423" ht="23.100000381469727" customHeight="1">
      <c r="A423" s="5" t="n">
        <v>2</v>
      </c>
      <c r="B423" s="5" t="n">
        <v>1</v>
      </c>
      <c r="C423" s="5" t="n">
        <f>DAY(DATE('Assumptions and Catalog'!$C$24+A423-1,B423+1,0))</f>
        <v>31</v>
      </c>
      <c r="D423" s="5" t="n">
        <f>IF(ISNUMBER(Inputs!$L$5),Inputs!$L$5*Inputs!$L$6,0)</f>
        <v>40.35</v>
      </c>
      <c r="E423" s="5" t="n">
        <f>IF(ISNUMBER(Inputs!$L$5),Inputs!$L$5-D423,0)</f>
        <v>40.35</v>
      </c>
      <c r="F423" s="5" t="n">
        <f>D$51*'Assumptions and Catalog'!$C$31*C423*(1-'Assumptions and Catalog'!$C$10)^(A423-1)</f>
        <v>0</v>
      </c>
      <c r="G423" s="5" t="n">
        <f>MIN(F423,D423*C423)</f>
        <v>0</v>
      </c>
      <c r="H423" s="5" t="n">
        <f>I423/('Assumptions and Catalog'!$C$11*'Assumptions and Catalog'!$C$12)</f>
        <v>0</v>
      </c>
      <c r="I423" s="5" t="n">
        <f>IF(K$15="Grid cycle",MIN(K$16,D423+E423,P423*'Assumptions and Catalog'!$C$12,D$57*(24-'Assumptions and Catalog'!$C$15),D$56*'Assumptions and Catalog'!$C$15*'Assumptions and Catalog'!$C$11*'Assumptions and Catalog'!$C$12)*C423,0)</f>
        <v>0</v>
      </c>
      <c r="J423" s="5" t="n">
        <f>MAX(F423-G423-0,0)</f>
        <v>0</v>
      </c>
      <c r="K423" s="5" t="n">
        <f>H423-I423</f>
        <v>0</v>
      </c>
      <c r="L423" s="5" t="n">
        <f>(D423+E423)*C423-G423-I423+H423+IF(D$52&gt;0,'Assumptions and Catalog'!$C$26*C423,0)</f>
        <v>2501.7</v>
      </c>
      <c r="M423" s="5" t="n">
        <f>IF(ISNUMBER(Inputs!$L$5),(IF(Inputs!$L$9="Actual flat rate",((D423+E423)*C423)*Inputs!$L$10,IF(Inputs!$C$9="Residential",IF(((D423+E423)*C423)&lt;='Assumptions and Catalog'!$C$50,((D423+E423)*C423)*'Assumptions and Catalog'!$H$50+'Assumptions and Catalog'!$E$50+'Assumptions and Catalog'!$F$50,IF(((D423+E423)*C423)&lt;='Assumptions and Catalog'!$C$51,((D423+E423)*C423)*'Assumptions and Catalog'!$H$51+'Assumptions and Catalog'!$E$51+'Assumptions and Catalog'!$F$51,IF(((D423+E423)*C423)&lt;='Assumptions and Catalog'!$C$52,((D423+E423)*C423)*'Assumptions and Catalog'!$H$52+'Assumptions and Catalog'!$E$52+'Assumptions and Catalog'!$F$52,IF(((D423+E423)*C423)&lt;='Assumptions and Catalog'!$C$53,((D423+E423)*C423)*'Assumptions and Catalog'!$H$53+'Assumptions and Catalog'!$E$53+'Assumptions and Catalog'!$F$53,IF(((D423+E423)*C423)&lt;='Assumptions and Catalog'!$C$54,((D423+E423)*C423)*'Assumptions and Catalog'!$H$54+'Assumptions and Catalog'!$E$54+'Assumptions and Catalog'!$F$54,IF(((D423+E423)*C423)&lt;='Assumptions and Catalog'!$C$55,((D423+E423)*C423)*'Assumptions and Catalog'!$H$55+'Assumptions and Catalog'!$E$55+'Assumptions and Catalog'!$F$55,IF(((D423+E423)*C423)&lt;='Assumptions and Catalog'!$C$56,((D423+E423)*C423)*'Assumptions and Catalog'!$H$56+'Assumptions and Catalog'!$E$56+'Assumptions and Catalog'!$F$56,IF(((D423+E423)*C423)&lt;='Assumptions and Catalog'!$C$57,((D423+E423)*C423)*'Assumptions and Catalog'!$H$57+'Assumptions and Catalog'!$E$57+'Assumptions and Catalog'!$F$57,"Out of range")))))))),IF(((D423+E423)*C423)&lt;='Assumptions and Catalog'!$C$60,((D423+E423)*C423)*'Assumptions and Catalog'!$H$60+'Assumptions and Catalog'!$E$60+'Assumptions and Catalog'!$F$60,IF(((D423+E423)*C423)&lt;='Assumptions and Catalog'!$C$61,((D423+E423)*C423)*'Assumptions and Catalog'!$H$61+'Assumptions and Catalog'!$E$61+'Assumptions and Catalog'!$F$61,IF(((D423+E423)*C423)&lt;='Assumptions and Catalog'!$C$62,((D423+E423)*C423)*'Assumptions and Catalog'!$H$62+'Assumptions and Catalog'!$E$62+'Assumptions and Catalog'!$F$62,IF(((D423+E423)*C423)&lt;='Assumptions and Catalog'!$C$63,((D423+E423)*C423)*'Assumptions and Catalog'!$H$63+'Assumptions and Catalog'!$E$63+'Assumptions and Catalog'!$F$63,IF(((D423+E423)*C423)&lt;='Assumptions and Catalog'!$C$64,((D423+E423)*C423)*'Assumptions and Catalog'!$H$64+'Assumptions and Catalog'!$E$64+'Assumptions and Catalog'!$F$64,IF(((D423+E423)*C423)&lt;='Assumptions and Catalog'!$C$65,((D423+E423)*C423)*'Assumptions and Catalog'!$H$65+'Assumptions and Catalog'!$E$65+'Assumptions and Catalog'!$F$65,"Out of range")))))))))*(1+'Assumptions and Catalog'!$C$8)^(A423-1),0)</f>
        <v>7094.794</v>
      </c>
      <c r="N423" s="5" t="n">
        <f>IF(ISNUMBER(Inputs!$L$5),(IF(Inputs!$L$9="Actual flat rate",L423*Inputs!$L$10,IF(Inputs!$C$9="Residential",IF(L423&lt;='Assumptions and Catalog'!$C$50,L423*'Assumptions and Catalog'!$H$50+'Assumptions and Catalog'!$E$50+'Assumptions and Catalog'!$F$50,IF(L423&lt;='Assumptions and Catalog'!$C$51,L423*'Assumptions and Catalog'!$H$51+'Assumptions and Catalog'!$E$51+'Assumptions and Catalog'!$F$51,IF(L423&lt;='Assumptions and Catalog'!$C$52,L423*'Assumptions and Catalog'!$H$52+'Assumptions and Catalog'!$E$52+'Assumptions and Catalog'!$F$52,IF(L423&lt;='Assumptions and Catalog'!$C$53,L423*'Assumptions and Catalog'!$H$53+'Assumptions and Catalog'!$E$53+'Assumptions and Catalog'!$F$53,IF(L423&lt;='Assumptions and Catalog'!$C$54,L423*'Assumptions and Catalog'!$H$54+'Assumptions and Catalog'!$E$54+'Assumptions and Catalog'!$F$54,IF(L423&lt;='Assumptions and Catalog'!$C$55,L423*'Assumptions and Catalog'!$H$55+'Assumptions and Catalog'!$E$55+'Assumptions and Catalog'!$F$55,IF(L423&lt;='Assumptions and Catalog'!$C$56,L423*'Assumptions and Catalog'!$H$56+'Assumptions and Catalog'!$E$56+'Assumptions and Catalog'!$F$56,IF(L423&lt;='Assumptions and Catalog'!$C$57,L423*'Assumptions and Catalog'!$H$57+'Assumptions and Catalog'!$E$57+'Assumptions and Catalog'!$F$57,"Out of range")))))))),IF(L423&lt;='Assumptions and Catalog'!$C$60,L423*'Assumptions and Catalog'!$H$60+'Assumptions and Catalog'!$E$60+'Assumptions and Catalog'!$F$60,IF(L423&lt;='Assumptions and Catalog'!$C$61,L423*'Assumptions and Catalog'!$H$61+'Assumptions and Catalog'!$E$61+'Assumptions and Catalog'!$F$61,IF(L423&lt;='Assumptions and Catalog'!$C$62,L423*'Assumptions and Catalog'!$H$62+'Assumptions and Catalog'!$E$62+'Assumptions and Catalog'!$F$62,IF(L423&lt;='Assumptions and Catalog'!$C$63,L423*'Assumptions and Catalog'!$H$63+'Assumptions and Catalog'!$E$63+'Assumptions and Catalog'!$F$63,IF(L423&lt;='Assumptions and Catalog'!$C$64,L423*'Assumptions and Catalog'!$H$64+'Assumptions and Catalog'!$E$64+'Assumptions and Catalog'!$F$64,IF(L423&lt;='Assumptions and Catalog'!$C$65,L423*'Assumptions and Catalog'!$H$65+'Assumptions and Catalog'!$E$65+'Assumptions and Catalog'!$F$65,"Out of range")))))))))*(1+'Assumptions and Catalog'!$C$8)^(A423-1),0)</f>
        <v>7094.794</v>
      </c>
      <c r="O423" s="5" t="n">
        <f>M423-N423</f>
        <v>0</v>
      </c>
      <c r="P423" s="5" t="n">
        <f>D$55*(1-K$14)*(1-'Assumptions and Catalog'!$C$23)^R423</f>
        <v>0</v>
      </c>
      <c r="Q423" s="5" t="n">
        <f>IF(ISNUMBER(Inputs!$L$5),(IF(Inputs!$L$9="Actual flat rate",((D423+E423)*C423-G423)*Inputs!$L$10,IF(Inputs!$C$9="Residential",IF(((D423+E423)*C423-G423)&lt;='Assumptions and Catalog'!$C$50,((D423+E423)*C423-G423)*'Assumptions and Catalog'!$H$50+'Assumptions and Catalog'!$E$50+'Assumptions and Catalog'!$F$50,IF(((D423+E423)*C423-G423)&lt;='Assumptions and Catalog'!$C$51,((D423+E423)*C423-G423)*'Assumptions and Catalog'!$H$51+'Assumptions and Catalog'!$E$51+'Assumptions and Catalog'!$F$51,IF(((D423+E423)*C423-G423)&lt;='Assumptions and Catalog'!$C$52,((D423+E423)*C423-G423)*'Assumptions and Catalog'!$H$52+'Assumptions and Catalog'!$E$52+'Assumptions and Catalog'!$F$52,IF(((D423+E423)*C423-G423)&lt;='Assumptions and Catalog'!$C$53,((D423+E423)*C423-G423)*'Assumptions and Catalog'!$H$53+'Assumptions and Catalog'!$E$53+'Assumptions and Catalog'!$F$53,IF(((D423+E423)*C423-G423)&lt;='Assumptions and Catalog'!$C$54,((D423+E423)*C423-G423)*'Assumptions and Catalog'!$H$54+'Assumptions and Catalog'!$E$54+'Assumptions and Catalog'!$F$54,IF(((D423+E423)*C423-G423)&lt;='Assumptions and Catalog'!$C$55,((D423+E423)*C423-G423)*'Assumptions and Catalog'!$H$55+'Assumptions and Catalog'!$E$55+'Assumptions and Catalog'!$F$55,IF(((D423+E423)*C423-G423)&lt;='Assumptions and Catalog'!$C$56,((D423+E423)*C423-G423)*'Assumptions and Catalog'!$H$56+'Assumptions and Catalog'!$E$56+'Assumptions and Catalog'!$F$56,IF(((D423+E423)*C423-G423)&lt;='Assumptions and Catalog'!$C$57,((D423+E423)*C423-G423)*'Assumptions and Catalog'!$H$57+'Assumptions and Catalog'!$E$57+'Assumptions and Catalog'!$F$57,"Out of range")))))))),IF(((D423+E423)*C423-G423)&lt;='Assumptions and Catalog'!$C$60,((D423+E423)*C423-G423)*'Assumptions and Catalog'!$H$60+'Assumptions and Catalog'!$E$60+'Assumptions and Catalog'!$F$60,IF(((D423+E423)*C423-G423)&lt;='Assumptions and Catalog'!$C$61,((D423+E423)*C423-G423)*'Assumptions and Catalog'!$H$61+'Assumptions and Catalog'!$E$61+'Assumptions and Catalog'!$F$61,IF(((D423+E423)*C423-G423)&lt;='Assumptions and Catalog'!$C$62,((D423+E423)*C423-G423)*'Assumptions and Catalog'!$H$62+'Assumptions and Catalog'!$E$62+'Assumptions and Catalog'!$F$62,IF(((D423+E423)*C423-G423)&lt;='Assumptions and Catalog'!$C$63,((D423+E423)*C423-G423)*'Assumptions and Catalog'!$H$63+'Assumptions and Catalog'!$E$63+'Assumptions and Catalog'!$F$63,IF(((D423+E423)*C423-G423)&lt;='Assumptions and Catalog'!$C$64,((D423+E423)*C423-G423)*'Assumptions and Catalog'!$H$64+'Assumptions and Catalog'!$E$64+'Assumptions and Catalog'!$F$64,IF(((D423+E423)*C423-G423)&lt;='Assumptions and Catalog'!$C$65,((D423+E423)*C423-G423)*'Assumptions and Catalog'!$H$65+'Assumptions and Catalog'!$E$65+'Assumptions and Catalog'!$F$65,"Out of range")))))))))*(1+'Assumptions and Catalog'!$C$8)^(A423-1),0)</f>
        <v>7094.794</v>
      </c>
      <c r="R423" s="5" t="n">
        <f>IF(AND('Assumptions and Catalog'!$C$19&gt;0,A423&gt;='Assumptions and Catalog'!$C$19),A423-'Assumptions and Catalog'!$C$19,A423-1)</f>
        <v>1</v>
      </c>
      <c r="S423" s="5" t="n">
        <f>F423+L423-(D423+E423)*C423-J423-K423-IF(D$52&gt;0,'Assumptions and Catalog'!$C$26*C423,0)</f>
        <v>0</v>
      </c>
      <c r="T423" s="5"/>
      <c r="U423" s="5"/>
    </row>
    <row r="424" ht="23.100000381469727" customHeight="1">
      <c r="A424" s="5" t="n">
        <v>2</v>
      </c>
      <c r="B424" s="5" t="n">
        <v>2</v>
      </c>
      <c r="C424" s="5" t="n">
        <f>DAY(DATE('Assumptions and Catalog'!$C$24+A424-1,B424+1,0))</f>
        <v>29</v>
      </c>
      <c r="D424" s="5" t="n">
        <f>IF(ISNUMBER(Inputs!$L$5),Inputs!$L$5*Inputs!$L$6,0)</f>
        <v>40.35</v>
      </c>
      <c r="E424" s="5" t="n">
        <f>IF(ISNUMBER(Inputs!$L$5),Inputs!$L$5-D424,0)</f>
        <v>40.35</v>
      </c>
      <c r="F424" s="5" t="n">
        <f>D$51*'Assumptions and Catalog'!$C$31*C424*(1-'Assumptions and Catalog'!$C$10)^(A424-1)</f>
        <v>0</v>
      </c>
      <c r="G424" s="5" t="n">
        <f>MIN(F424,D424*C424)</f>
        <v>0</v>
      </c>
      <c r="H424" s="5" t="n">
        <f>I424/('Assumptions and Catalog'!$C$11*'Assumptions and Catalog'!$C$12)</f>
        <v>0</v>
      </c>
      <c r="I424" s="5" t="n">
        <f>IF(K$15="Grid cycle",MIN(K$16,D424+E424,P424*'Assumptions and Catalog'!$C$12,D$57*(24-'Assumptions and Catalog'!$C$15),D$56*'Assumptions and Catalog'!$C$15*'Assumptions and Catalog'!$C$11*'Assumptions and Catalog'!$C$12)*C424,0)</f>
        <v>0</v>
      </c>
      <c r="J424" s="5" t="n">
        <f>MAX(F424-G424-0,0)</f>
        <v>0</v>
      </c>
      <c r="K424" s="5" t="n">
        <f>H424-I424</f>
        <v>0</v>
      </c>
      <c r="L424" s="5" t="n">
        <f>(D424+E424)*C424-G424-I424+H424+IF(D$52&gt;0,'Assumptions and Catalog'!$C$26*C424,0)</f>
        <v>2340.3</v>
      </c>
      <c r="M424" s="5" t="n">
        <f>IF(ISNUMBER(Inputs!$L$5),(IF(Inputs!$L$9="Actual flat rate",((D424+E424)*C424)*Inputs!$L$10,IF(Inputs!$C$9="Residential",IF(((D424+E424)*C424)&lt;='Assumptions and Catalog'!$C$50,((D424+E424)*C424)*'Assumptions and Catalog'!$H$50+'Assumptions and Catalog'!$E$50+'Assumptions and Catalog'!$F$50,IF(((D424+E424)*C424)&lt;='Assumptions and Catalog'!$C$51,((D424+E424)*C424)*'Assumptions and Catalog'!$H$51+'Assumptions and Catalog'!$E$51+'Assumptions and Catalog'!$F$51,IF(((D424+E424)*C424)&lt;='Assumptions and Catalog'!$C$52,((D424+E424)*C424)*'Assumptions and Catalog'!$H$52+'Assumptions and Catalog'!$E$52+'Assumptions and Catalog'!$F$52,IF(((D424+E424)*C424)&lt;='Assumptions and Catalog'!$C$53,((D424+E424)*C424)*'Assumptions and Catalog'!$H$53+'Assumptions and Catalog'!$E$53+'Assumptions and Catalog'!$F$53,IF(((D424+E424)*C424)&lt;='Assumptions and Catalog'!$C$54,((D424+E424)*C424)*'Assumptions and Catalog'!$H$54+'Assumptions and Catalog'!$E$54+'Assumptions and Catalog'!$F$54,IF(((D424+E424)*C424)&lt;='Assumptions and Catalog'!$C$55,((D424+E424)*C424)*'Assumptions and Catalog'!$H$55+'Assumptions and Catalog'!$E$55+'Assumptions and Catalog'!$F$55,IF(((D424+E424)*C424)&lt;='Assumptions and Catalog'!$C$56,((D424+E424)*C424)*'Assumptions and Catalog'!$H$56+'Assumptions and Catalog'!$E$56+'Assumptions and Catalog'!$F$56,IF(((D424+E424)*C424)&lt;='Assumptions and Catalog'!$C$57,((D424+E424)*C424)*'Assumptions and Catalog'!$H$57+'Assumptions and Catalog'!$E$57+'Assumptions and Catalog'!$F$57,"Out of range")))))))),IF(((D424+E424)*C424)&lt;='Assumptions and Catalog'!$C$60,((D424+E424)*C424)*'Assumptions and Catalog'!$H$60+'Assumptions and Catalog'!$E$60+'Assumptions and Catalog'!$F$60,IF(((D424+E424)*C424)&lt;='Assumptions and Catalog'!$C$61,((D424+E424)*C424)*'Assumptions and Catalog'!$H$61+'Assumptions and Catalog'!$E$61+'Assumptions and Catalog'!$F$61,IF(((D424+E424)*C424)&lt;='Assumptions and Catalog'!$C$62,((D424+E424)*C424)*'Assumptions and Catalog'!$H$62+'Assumptions and Catalog'!$E$62+'Assumptions and Catalog'!$F$62,IF(((D424+E424)*C424)&lt;='Assumptions and Catalog'!$C$63,((D424+E424)*C424)*'Assumptions and Catalog'!$H$63+'Assumptions and Catalog'!$E$63+'Assumptions and Catalog'!$F$63,IF(((D424+E424)*C424)&lt;='Assumptions and Catalog'!$C$64,((D424+E424)*C424)*'Assumptions and Catalog'!$H$64+'Assumptions and Catalog'!$E$64+'Assumptions and Catalog'!$F$64,IF(((D424+E424)*C424)&lt;='Assumptions and Catalog'!$C$65,((D424+E424)*C424)*'Assumptions and Catalog'!$H$65+'Assumptions and Catalog'!$E$65+'Assumptions and Catalog'!$F$65,"Out of range")))))))))*(1+'Assumptions and Catalog'!$C$8)^(A424-1),0)</f>
        <v>6639.646</v>
      </c>
      <c r="N424" s="5" t="n">
        <f>IF(ISNUMBER(Inputs!$L$5),(IF(Inputs!$L$9="Actual flat rate",L424*Inputs!$L$10,IF(Inputs!$C$9="Residential",IF(L424&lt;='Assumptions and Catalog'!$C$50,L424*'Assumptions and Catalog'!$H$50+'Assumptions and Catalog'!$E$50+'Assumptions and Catalog'!$F$50,IF(L424&lt;='Assumptions and Catalog'!$C$51,L424*'Assumptions and Catalog'!$H$51+'Assumptions and Catalog'!$E$51+'Assumptions and Catalog'!$F$51,IF(L424&lt;='Assumptions and Catalog'!$C$52,L424*'Assumptions and Catalog'!$H$52+'Assumptions and Catalog'!$E$52+'Assumptions and Catalog'!$F$52,IF(L424&lt;='Assumptions and Catalog'!$C$53,L424*'Assumptions and Catalog'!$H$53+'Assumptions and Catalog'!$E$53+'Assumptions and Catalog'!$F$53,IF(L424&lt;='Assumptions and Catalog'!$C$54,L424*'Assumptions and Catalog'!$H$54+'Assumptions and Catalog'!$E$54+'Assumptions and Catalog'!$F$54,IF(L424&lt;='Assumptions and Catalog'!$C$55,L424*'Assumptions and Catalog'!$H$55+'Assumptions and Catalog'!$E$55+'Assumptions and Catalog'!$F$55,IF(L424&lt;='Assumptions and Catalog'!$C$56,L424*'Assumptions and Catalog'!$H$56+'Assumptions and Catalog'!$E$56+'Assumptions and Catalog'!$F$56,IF(L424&lt;='Assumptions and Catalog'!$C$57,L424*'Assumptions and Catalog'!$H$57+'Assumptions and Catalog'!$E$57+'Assumptions and Catalog'!$F$57,"Out of range")))))))),IF(L424&lt;='Assumptions and Catalog'!$C$60,L424*'Assumptions and Catalog'!$H$60+'Assumptions and Catalog'!$E$60+'Assumptions and Catalog'!$F$60,IF(L424&lt;='Assumptions and Catalog'!$C$61,L424*'Assumptions and Catalog'!$H$61+'Assumptions and Catalog'!$E$61+'Assumptions and Catalog'!$F$61,IF(L424&lt;='Assumptions and Catalog'!$C$62,L424*'Assumptions and Catalog'!$H$62+'Assumptions and Catalog'!$E$62+'Assumptions and Catalog'!$F$62,IF(L424&lt;='Assumptions and Catalog'!$C$63,L424*'Assumptions and Catalog'!$H$63+'Assumptions and Catalog'!$E$63+'Assumptions and Catalog'!$F$63,IF(L424&lt;='Assumptions and Catalog'!$C$64,L424*'Assumptions and Catalog'!$H$64+'Assumptions and Catalog'!$E$64+'Assumptions and Catalog'!$F$64,IF(L424&lt;='Assumptions and Catalog'!$C$65,L424*'Assumptions and Catalog'!$H$65+'Assumptions and Catalog'!$E$65+'Assumptions and Catalog'!$F$65,"Out of range")))))))))*(1+'Assumptions and Catalog'!$C$8)^(A424-1),0)</f>
        <v>6639.646</v>
      </c>
      <c r="O424" s="5" t="n">
        <f>M424-N424</f>
        <v>0</v>
      </c>
      <c r="P424" s="5" t="n">
        <f>D$55*(1-K$14)*(1-'Assumptions and Catalog'!$C$23)^R424</f>
        <v>0</v>
      </c>
      <c r="Q424" s="5" t="n">
        <f>IF(ISNUMBER(Inputs!$L$5),(IF(Inputs!$L$9="Actual flat rate",((D424+E424)*C424-G424)*Inputs!$L$10,IF(Inputs!$C$9="Residential",IF(((D424+E424)*C424-G424)&lt;='Assumptions and Catalog'!$C$50,((D424+E424)*C424-G424)*'Assumptions and Catalog'!$H$50+'Assumptions and Catalog'!$E$50+'Assumptions and Catalog'!$F$50,IF(((D424+E424)*C424-G424)&lt;='Assumptions and Catalog'!$C$51,((D424+E424)*C424-G424)*'Assumptions and Catalog'!$H$51+'Assumptions and Catalog'!$E$51+'Assumptions and Catalog'!$F$51,IF(((D424+E424)*C424-G424)&lt;='Assumptions and Catalog'!$C$52,((D424+E424)*C424-G424)*'Assumptions and Catalog'!$H$52+'Assumptions and Catalog'!$E$52+'Assumptions and Catalog'!$F$52,IF(((D424+E424)*C424-G424)&lt;='Assumptions and Catalog'!$C$53,((D424+E424)*C424-G424)*'Assumptions and Catalog'!$H$53+'Assumptions and Catalog'!$E$53+'Assumptions and Catalog'!$F$53,IF(((D424+E424)*C424-G424)&lt;='Assumptions and Catalog'!$C$54,((D424+E424)*C424-G424)*'Assumptions and Catalog'!$H$54+'Assumptions and Catalog'!$E$54+'Assumptions and Catalog'!$F$54,IF(((D424+E424)*C424-G424)&lt;='Assumptions and Catalog'!$C$55,((D424+E424)*C424-G424)*'Assumptions and Catalog'!$H$55+'Assumptions and Catalog'!$E$55+'Assumptions and Catalog'!$F$55,IF(((D424+E424)*C424-G424)&lt;='Assumptions and Catalog'!$C$56,((D424+E424)*C424-G424)*'Assumptions and Catalog'!$H$56+'Assumptions and Catalog'!$E$56+'Assumptions and Catalog'!$F$56,IF(((D424+E424)*C424-G424)&lt;='Assumptions and Catalog'!$C$57,((D424+E424)*C424-G424)*'Assumptions and Catalog'!$H$57+'Assumptions and Catalog'!$E$57+'Assumptions and Catalog'!$F$57,"Out of range")))))))),IF(((D424+E424)*C424-G424)&lt;='Assumptions and Catalog'!$C$60,((D424+E424)*C424-G424)*'Assumptions and Catalog'!$H$60+'Assumptions and Catalog'!$E$60+'Assumptions and Catalog'!$F$60,IF(((D424+E424)*C424-G424)&lt;='Assumptions and Catalog'!$C$61,((D424+E424)*C424-G424)*'Assumptions and Catalog'!$H$61+'Assumptions and Catalog'!$E$61+'Assumptions and Catalog'!$F$61,IF(((D424+E424)*C424-G424)&lt;='Assumptions and Catalog'!$C$62,((D424+E424)*C424-G424)*'Assumptions and Catalog'!$H$62+'Assumptions and Catalog'!$E$62+'Assumptions and Catalog'!$F$62,IF(((D424+E424)*C424-G424)&lt;='Assumptions and Catalog'!$C$63,((D424+E424)*C424-G424)*'Assumptions and Catalog'!$H$63+'Assumptions and Catalog'!$E$63+'Assumptions and Catalog'!$F$63,IF(((D424+E424)*C424-G424)&lt;='Assumptions and Catalog'!$C$64,((D424+E424)*C424-G424)*'Assumptions and Catalog'!$H$64+'Assumptions and Catalog'!$E$64+'Assumptions and Catalog'!$F$64,IF(((D424+E424)*C424-G424)&lt;='Assumptions and Catalog'!$C$65,((D424+E424)*C424-G424)*'Assumptions and Catalog'!$H$65+'Assumptions and Catalog'!$E$65+'Assumptions and Catalog'!$F$65,"Out of range")))))))))*(1+'Assumptions and Catalog'!$C$8)^(A424-1),0)</f>
        <v>6639.646</v>
      </c>
      <c r="R424" s="5" t="n">
        <f>IF(AND('Assumptions and Catalog'!$C$19&gt;0,A424&gt;='Assumptions and Catalog'!$C$19),A424-'Assumptions and Catalog'!$C$19,A424-1)</f>
        <v>1</v>
      </c>
      <c r="S424" s="5" t="n">
        <f>F424+L424-(D424+E424)*C424-J424-K424-IF(D$52&gt;0,'Assumptions and Catalog'!$C$26*C424,0)</f>
        <v>0</v>
      </c>
      <c r="T424" s="5"/>
      <c r="U424" s="5"/>
    </row>
    <row r="425" ht="23.100000381469727" customHeight="1">
      <c r="A425" s="5" t="n">
        <v>2</v>
      </c>
      <c r="B425" s="5" t="n">
        <v>3</v>
      </c>
      <c r="C425" s="5" t="n">
        <f>DAY(DATE('Assumptions and Catalog'!$C$24+A425-1,B425+1,0))</f>
        <v>31</v>
      </c>
      <c r="D425" s="5" t="n">
        <f>IF(ISNUMBER(Inputs!$L$5),Inputs!$L$5*Inputs!$L$6,0)</f>
        <v>40.35</v>
      </c>
      <c r="E425" s="5" t="n">
        <f>IF(ISNUMBER(Inputs!$L$5),Inputs!$L$5-D425,0)</f>
        <v>40.35</v>
      </c>
      <c r="F425" s="5" t="n">
        <f>D$51*'Assumptions and Catalog'!$C$31*C425*(1-'Assumptions and Catalog'!$C$10)^(A425-1)</f>
        <v>0</v>
      </c>
      <c r="G425" s="5" t="n">
        <f>MIN(F425,D425*C425)</f>
        <v>0</v>
      </c>
      <c r="H425" s="5" t="n">
        <f>I425/('Assumptions and Catalog'!$C$11*'Assumptions and Catalog'!$C$12)</f>
        <v>0</v>
      </c>
      <c r="I425" s="5" t="n">
        <f>IF(K$15="Grid cycle",MIN(K$16,D425+E425,P425*'Assumptions and Catalog'!$C$12,D$57*(24-'Assumptions and Catalog'!$C$15),D$56*'Assumptions and Catalog'!$C$15*'Assumptions and Catalog'!$C$11*'Assumptions and Catalog'!$C$12)*C425,0)</f>
        <v>0</v>
      </c>
      <c r="J425" s="5" t="n">
        <f>MAX(F425-G425-0,0)</f>
        <v>0</v>
      </c>
      <c r="K425" s="5" t="n">
        <f>H425-I425</f>
        <v>0</v>
      </c>
      <c r="L425" s="5" t="n">
        <f>(D425+E425)*C425-G425-I425+H425+IF(D$52&gt;0,'Assumptions and Catalog'!$C$26*C425,0)</f>
        <v>2501.7</v>
      </c>
      <c r="M425" s="5" t="n">
        <f>IF(ISNUMBER(Inputs!$L$5),(IF(Inputs!$L$9="Actual flat rate",((D425+E425)*C425)*Inputs!$L$10,IF(Inputs!$C$9="Residential",IF(((D425+E425)*C425)&lt;='Assumptions and Catalog'!$C$50,((D425+E425)*C425)*'Assumptions and Catalog'!$H$50+'Assumptions and Catalog'!$E$50+'Assumptions and Catalog'!$F$50,IF(((D425+E425)*C425)&lt;='Assumptions and Catalog'!$C$51,((D425+E425)*C425)*'Assumptions and Catalog'!$H$51+'Assumptions and Catalog'!$E$51+'Assumptions and Catalog'!$F$51,IF(((D425+E425)*C425)&lt;='Assumptions and Catalog'!$C$52,((D425+E425)*C425)*'Assumptions and Catalog'!$H$52+'Assumptions and Catalog'!$E$52+'Assumptions and Catalog'!$F$52,IF(((D425+E425)*C425)&lt;='Assumptions and Catalog'!$C$53,((D425+E425)*C425)*'Assumptions and Catalog'!$H$53+'Assumptions and Catalog'!$E$53+'Assumptions and Catalog'!$F$53,IF(((D425+E425)*C425)&lt;='Assumptions and Catalog'!$C$54,((D425+E425)*C425)*'Assumptions and Catalog'!$H$54+'Assumptions and Catalog'!$E$54+'Assumptions and Catalog'!$F$54,IF(((D425+E425)*C425)&lt;='Assumptions and Catalog'!$C$55,((D425+E425)*C425)*'Assumptions and Catalog'!$H$55+'Assumptions and Catalog'!$E$55+'Assumptions and Catalog'!$F$55,IF(((D425+E425)*C425)&lt;='Assumptions and Catalog'!$C$56,((D425+E425)*C425)*'Assumptions and Catalog'!$H$56+'Assumptions and Catalog'!$E$56+'Assumptions and Catalog'!$F$56,IF(((D425+E425)*C425)&lt;='Assumptions and Catalog'!$C$57,((D425+E425)*C425)*'Assumptions and Catalog'!$H$57+'Assumptions and Catalog'!$E$57+'Assumptions and Catalog'!$F$57,"Out of range")))))))),IF(((D425+E425)*C425)&lt;='Assumptions and Catalog'!$C$60,((D425+E425)*C425)*'Assumptions and Catalog'!$H$60+'Assumptions and Catalog'!$E$60+'Assumptions and Catalog'!$F$60,IF(((D425+E425)*C425)&lt;='Assumptions and Catalog'!$C$61,((D425+E425)*C425)*'Assumptions and Catalog'!$H$61+'Assumptions and Catalog'!$E$61+'Assumptions and Catalog'!$F$61,IF(((D425+E425)*C425)&lt;='Assumptions and Catalog'!$C$62,((D425+E425)*C425)*'Assumptions and Catalog'!$H$62+'Assumptions and Catalog'!$E$62+'Assumptions and Catalog'!$F$62,IF(((D425+E425)*C425)&lt;='Assumptions and Catalog'!$C$63,((D425+E425)*C425)*'Assumptions and Catalog'!$H$63+'Assumptions and Catalog'!$E$63+'Assumptions and Catalog'!$F$63,IF(((D425+E425)*C425)&lt;='Assumptions and Catalog'!$C$64,((D425+E425)*C425)*'Assumptions and Catalog'!$H$64+'Assumptions and Catalog'!$E$64+'Assumptions and Catalog'!$F$64,IF(((D425+E425)*C425)&lt;='Assumptions and Catalog'!$C$65,((D425+E425)*C425)*'Assumptions and Catalog'!$H$65+'Assumptions and Catalog'!$E$65+'Assumptions and Catalog'!$F$65,"Out of range")))))))))*(1+'Assumptions and Catalog'!$C$8)^(A425-1),0)</f>
        <v>7094.794</v>
      </c>
      <c r="N425" s="5" t="n">
        <f>IF(ISNUMBER(Inputs!$L$5),(IF(Inputs!$L$9="Actual flat rate",L425*Inputs!$L$10,IF(Inputs!$C$9="Residential",IF(L425&lt;='Assumptions and Catalog'!$C$50,L425*'Assumptions and Catalog'!$H$50+'Assumptions and Catalog'!$E$50+'Assumptions and Catalog'!$F$50,IF(L425&lt;='Assumptions and Catalog'!$C$51,L425*'Assumptions and Catalog'!$H$51+'Assumptions and Catalog'!$E$51+'Assumptions and Catalog'!$F$51,IF(L425&lt;='Assumptions and Catalog'!$C$52,L425*'Assumptions and Catalog'!$H$52+'Assumptions and Catalog'!$E$52+'Assumptions and Catalog'!$F$52,IF(L425&lt;='Assumptions and Catalog'!$C$53,L425*'Assumptions and Catalog'!$H$53+'Assumptions and Catalog'!$E$53+'Assumptions and Catalog'!$F$53,IF(L425&lt;='Assumptions and Catalog'!$C$54,L425*'Assumptions and Catalog'!$H$54+'Assumptions and Catalog'!$E$54+'Assumptions and Catalog'!$F$54,IF(L425&lt;='Assumptions and Catalog'!$C$55,L425*'Assumptions and Catalog'!$H$55+'Assumptions and Catalog'!$E$55+'Assumptions and Catalog'!$F$55,IF(L425&lt;='Assumptions and Catalog'!$C$56,L425*'Assumptions and Catalog'!$H$56+'Assumptions and Catalog'!$E$56+'Assumptions and Catalog'!$F$56,IF(L425&lt;='Assumptions and Catalog'!$C$57,L425*'Assumptions and Catalog'!$H$57+'Assumptions and Catalog'!$E$57+'Assumptions and Catalog'!$F$57,"Out of range")))))))),IF(L425&lt;='Assumptions and Catalog'!$C$60,L425*'Assumptions and Catalog'!$H$60+'Assumptions and Catalog'!$E$60+'Assumptions and Catalog'!$F$60,IF(L425&lt;='Assumptions and Catalog'!$C$61,L425*'Assumptions and Catalog'!$H$61+'Assumptions and Catalog'!$E$61+'Assumptions and Catalog'!$F$61,IF(L425&lt;='Assumptions and Catalog'!$C$62,L425*'Assumptions and Catalog'!$H$62+'Assumptions and Catalog'!$E$62+'Assumptions and Catalog'!$F$62,IF(L425&lt;='Assumptions and Catalog'!$C$63,L425*'Assumptions and Catalog'!$H$63+'Assumptions and Catalog'!$E$63+'Assumptions and Catalog'!$F$63,IF(L425&lt;='Assumptions and Catalog'!$C$64,L425*'Assumptions and Catalog'!$H$64+'Assumptions and Catalog'!$E$64+'Assumptions and Catalog'!$F$64,IF(L425&lt;='Assumptions and Catalog'!$C$65,L425*'Assumptions and Catalog'!$H$65+'Assumptions and Catalog'!$E$65+'Assumptions and Catalog'!$F$65,"Out of range")))))))))*(1+'Assumptions and Catalog'!$C$8)^(A425-1),0)</f>
        <v>7094.794</v>
      </c>
      <c r="O425" s="5" t="n">
        <f>M425-N425</f>
        <v>0</v>
      </c>
      <c r="P425" s="5" t="n">
        <f>D$55*(1-K$14)*(1-'Assumptions and Catalog'!$C$23)^R425</f>
        <v>0</v>
      </c>
      <c r="Q425" s="5" t="n">
        <f>IF(ISNUMBER(Inputs!$L$5),(IF(Inputs!$L$9="Actual flat rate",((D425+E425)*C425-G425)*Inputs!$L$10,IF(Inputs!$C$9="Residential",IF(((D425+E425)*C425-G425)&lt;='Assumptions and Catalog'!$C$50,((D425+E425)*C425-G425)*'Assumptions and Catalog'!$H$50+'Assumptions and Catalog'!$E$50+'Assumptions and Catalog'!$F$50,IF(((D425+E425)*C425-G425)&lt;='Assumptions and Catalog'!$C$51,((D425+E425)*C425-G425)*'Assumptions and Catalog'!$H$51+'Assumptions and Catalog'!$E$51+'Assumptions and Catalog'!$F$51,IF(((D425+E425)*C425-G425)&lt;='Assumptions and Catalog'!$C$52,((D425+E425)*C425-G425)*'Assumptions and Catalog'!$H$52+'Assumptions and Catalog'!$E$52+'Assumptions and Catalog'!$F$52,IF(((D425+E425)*C425-G425)&lt;='Assumptions and Catalog'!$C$53,((D425+E425)*C425-G425)*'Assumptions and Catalog'!$H$53+'Assumptions and Catalog'!$E$53+'Assumptions and Catalog'!$F$53,IF(((D425+E425)*C425-G425)&lt;='Assumptions and Catalog'!$C$54,((D425+E425)*C425-G425)*'Assumptions and Catalog'!$H$54+'Assumptions and Catalog'!$E$54+'Assumptions and Catalog'!$F$54,IF(((D425+E425)*C425-G425)&lt;='Assumptions and Catalog'!$C$55,((D425+E425)*C425-G425)*'Assumptions and Catalog'!$H$55+'Assumptions and Catalog'!$E$55+'Assumptions and Catalog'!$F$55,IF(((D425+E425)*C425-G425)&lt;='Assumptions and Catalog'!$C$56,((D425+E425)*C425-G425)*'Assumptions and Catalog'!$H$56+'Assumptions and Catalog'!$E$56+'Assumptions and Catalog'!$F$56,IF(((D425+E425)*C425-G425)&lt;='Assumptions and Catalog'!$C$57,((D425+E425)*C425-G425)*'Assumptions and Catalog'!$H$57+'Assumptions and Catalog'!$E$57+'Assumptions and Catalog'!$F$57,"Out of range")))))))),IF(((D425+E425)*C425-G425)&lt;='Assumptions and Catalog'!$C$60,((D425+E425)*C425-G425)*'Assumptions and Catalog'!$H$60+'Assumptions and Catalog'!$E$60+'Assumptions and Catalog'!$F$60,IF(((D425+E425)*C425-G425)&lt;='Assumptions and Catalog'!$C$61,((D425+E425)*C425-G425)*'Assumptions and Catalog'!$H$61+'Assumptions and Catalog'!$E$61+'Assumptions and Catalog'!$F$61,IF(((D425+E425)*C425-G425)&lt;='Assumptions and Catalog'!$C$62,((D425+E425)*C425-G425)*'Assumptions and Catalog'!$H$62+'Assumptions and Catalog'!$E$62+'Assumptions and Catalog'!$F$62,IF(((D425+E425)*C425-G425)&lt;='Assumptions and Catalog'!$C$63,((D425+E425)*C425-G425)*'Assumptions and Catalog'!$H$63+'Assumptions and Catalog'!$E$63+'Assumptions and Catalog'!$F$63,IF(((D425+E425)*C425-G425)&lt;='Assumptions and Catalog'!$C$64,((D425+E425)*C425-G425)*'Assumptions and Catalog'!$H$64+'Assumptions and Catalog'!$E$64+'Assumptions and Catalog'!$F$64,IF(((D425+E425)*C425-G425)&lt;='Assumptions and Catalog'!$C$65,((D425+E425)*C425-G425)*'Assumptions and Catalog'!$H$65+'Assumptions and Catalog'!$E$65+'Assumptions and Catalog'!$F$65,"Out of range")))))))))*(1+'Assumptions and Catalog'!$C$8)^(A425-1),0)</f>
        <v>7094.794</v>
      </c>
      <c r="R425" s="5" t="n">
        <f>IF(AND('Assumptions and Catalog'!$C$19&gt;0,A425&gt;='Assumptions and Catalog'!$C$19),A425-'Assumptions and Catalog'!$C$19,A425-1)</f>
        <v>1</v>
      </c>
      <c r="S425" s="5" t="n">
        <f>F425+L425-(D425+E425)*C425-J425-K425-IF(D$52&gt;0,'Assumptions and Catalog'!$C$26*C425,0)</f>
        <v>0</v>
      </c>
      <c r="T425" s="5"/>
      <c r="U425" s="5"/>
    </row>
    <row r="426" ht="23.100000381469727" customHeight="1">
      <c r="A426" s="5" t="n">
        <v>2</v>
      </c>
      <c r="B426" s="5" t="n">
        <v>4</v>
      </c>
      <c r="C426" s="5" t="n">
        <f>DAY(DATE('Assumptions and Catalog'!$C$24+A426-1,B426+1,0))</f>
        <v>30</v>
      </c>
      <c r="D426" s="5" t="n">
        <f>IF(ISNUMBER(Inputs!$L$5),Inputs!$L$5*Inputs!$L$6,0)</f>
        <v>40.35</v>
      </c>
      <c r="E426" s="5" t="n">
        <f>IF(ISNUMBER(Inputs!$L$5),Inputs!$L$5-D426,0)</f>
        <v>40.35</v>
      </c>
      <c r="F426" s="5" t="n">
        <f>D$51*'Assumptions and Catalog'!$C$31*C426*(1-'Assumptions and Catalog'!$C$10)^(A426-1)</f>
        <v>0</v>
      </c>
      <c r="G426" s="5" t="n">
        <f>MIN(F426,D426*C426)</f>
        <v>0</v>
      </c>
      <c r="H426" s="5" t="n">
        <f>I426/('Assumptions and Catalog'!$C$11*'Assumptions and Catalog'!$C$12)</f>
        <v>0</v>
      </c>
      <c r="I426" s="5" t="n">
        <f>IF(K$15="Grid cycle",MIN(K$16,D426+E426,P426*'Assumptions and Catalog'!$C$12,D$57*(24-'Assumptions and Catalog'!$C$15),D$56*'Assumptions and Catalog'!$C$15*'Assumptions and Catalog'!$C$11*'Assumptions and Catalog'!$C$12)*C426,0)</f>
        <v>0</v>
      </c>
      <c r="J426" s="5" t="n">
        <f>MAX(F426-G426-0,0)</f>
        <v>0</v>
      </c>
      <c r="K426" s="5" t="n">
        <f>H426-I426</f>
        <v>0</v>
      </c>
      <c r="L426" s="5" t="n">
        <f>(D426+E426)*C426-G426-I426+H426+IF(D$52&gt;0,'Assumptions and Catalog'!$C$26*C426,0)</f>
        <v>2421</v>
      </c>
      <c r="M426" s="5" t="n">
        <f>IF(ISNUMBER(Inputs!$L$5),(IF(Inputs!$L$9="Actual flat rate",((D426+E426)*C426)*Inputs!$L$10,IF(Inputs!$C$9="Residential",IF(((D426+E426)*C426)&lt;='Assumptions and Catalog'!$C$50,((D426+E426)*C426)*'Assumptions and Catalog'!$H$50+'Assumptions and Catalog'!$E$50+'Assumptions and Catalog'!$F$50,IF(((D426+E426)*C426)&lt;='Assumptions and Catalog'!$C$51,((D426+E426)*C426)*'Assumptions and Catalog'!$H$51+'Assumptions and Catalog'!$E$51+'Assumptions and Catalog'!$F$51,IF(((D426+E426)*C426)&lt;='Assumptions and Catalog'!$C$52,((D426+E426)*C426)*'Assumptions and Catalog'!$H$52+'Assumptions and Catalog'!$E$52+'Assumptions and Catalog'!$F$52,IF(((D426+E426)*C426)&lt;='Assumptions and Catalog'!$C$53,((D426+E426)*C426)*'Assumptions and Catalog'!$H$53+'Assumptions and Catalog'!$E$53+'Assumptions and Catalog'!$F$53,IF(((D426+E426)*C426)&lt;='Assumptions and Catalog'!$C$54,((D426+E426)*C426)*'Assumptions and Catalog'!$H$54+'Assumptions and Catalog'!$E$54+'Assumptions and Catalog'!$F$54,IF(((D426+E426)*C426)&lt;='Assumptions and Catalog'!$C$55,((D426+E426)*C426)*'Assumptions and Catalog'!$H$55+'Assumptions and Catalog'!$E$55+'Assumptions and Catalog'!$F$55,IF(((D426+E426)*C426)&lt;='Assumptions and Catalog'!$C$56,((D426+E426)*C426)*'Assumptions and Catalog'!$H$56+'Assumptions and Catalog'!$E$56+'Assumptions and Catalog'!$F$56,IF(((D426+E426)*C426)&lt;='Assumptions and Catalog'!$C$57,((D426+E426)*C426)*'Assumptions and Catalog'!$H$57+'Assumptions and Catalog'!$E$57+'Assumptions and Catalog'!$F$57,"Out of range")))))))),IF(((D426+E426)*C426)&lt;='Assumptions and Catalog'!$C$60,((D426+E426)*C426)*'Assumptions and Catalog'!$H$60+'Assumptions and Catalog'!$E$60+'Assumptions and Catalog'!$F$60,IF(((D426+E426)*C426)&lt;='Assumptions and Catalog'!$C$61,((D426+E426)*C426)*'Assumptions and Catalog'!$H$61+'Assumptions and Catalog'!$E$61+'Assumptions and Catalog'!$F$61,IF(((D426+E426)*C426)&lt;='Assumptions and Catalog'!$C$62,((D426+E426)*C426)*'Assumptions and Catalog'!$H$62+'Assumptions and Catalog'!$E$62+'Assumptions and Catalog'!$F$62,IF(((D426+E426)*C426)&lt;='Assumptions and Catalog'!$C$63,((D426+E426)*C426)*'Assumptions and Catalog'!$H$63+'Assumptions and Catalog'!$E$63+'Assumptions and Catalog'!$F$63,IF(((D426+E426)*C426)&lt;='Assumptions and Catalog'!$C$64,((D426+E426)*C426)*'Assumptions and Catalog'!$H$64+'Assumptions and Catalog'!$E$64+'Assumptions and Catalog'!$F$64,IF(((D426+E426)*C426)&lt;='Assumptions and Catalog'!$C$65,((D426+E426)*C426)*'Assumptions and Catalog'!$H$65+'Assumptions and Catalog'!$E$65+'Assumptions and Catalog'!$F$65,"Out of range")))))))))*(1+'Assumptions and Catalog'!$C$8)^(A426-1),0)</f>
        <v>6867.22</v>
      </c>
      <c r="N426" s="5" t="n">
        <f>IF(ISNUMBER(Inputs!$L$5),(IF(Inputs!$L$9="Actual flat rate",L426*Inputs!$L$10,IF(Inputs!$C$9="Residential",IF(L426&lt;='Assumptions and Catalog'!$C$50,L426*'Assumptions and Catalog'!$H$50+'Assumptions and Catalog'!$E$50+'Assumptions and Catalog'!$F$50,IF(L426&lt;='Assumptions and Catalog'!$C$51,L426*'Assumptions and Catalog'!$H$51+'Assumptions and Catalog'!$E$51+'Assumptions and Catalog'!$F$51,IF(L426&lt;='Assumptions and Catalog'!$C$52,L426*'Assumptions and Catalog'!$H$52+'Assumptions and Catalog'!$E$52+'Assumptions and Catalog'!$F$52,IF(L426&lt;='Assumptions and Catalog'!$C$53,L426*'Assumptions and Catalog'!$H$53+'Assumptions and Catalog'!$E$53+'Assumptions and Catalog'!$F$53,IF(L426&lt;='Assumptions and Catalog'!$C$54,L426*'Assumptions and Catalog'!$H$54+'Assumptions and Catalog'!$E$54+'Assumptions and Catalog'!$F$54,IF(L426&lt;='Assumptions and Catalog'!$C$55,L426*'Assumptions and Catalog'!$H$55+'Assumptions and Catalog'!$E$55+'Assumptions and Catalog'!$F$55,IF(L426&lt;='Assumptions and Catalog'!$C$56,L426*'Assumptions and Catalog'!$H$56+'Assumptions and Catalog'!$E$56+'Assumptions and Catalog'!$F$56,IF(L426&lt;='Assumptions and Catalog'!$C$57,L426*'Assumptions and Catalog'!$H$57+'Assumptions and Catalog'!$E$57+'Assumptions and Catalog'!$F$57,"Out of range")))))))),IF(L426&lt;='Assumptions and Catalog'!$C$60,L426*'Assumptions and Catalog'!$H$60+'Assumptions and Catalog'!$E$60+'Assumptions and Catalog'!$F$60,IF(L426&lt;='Assumptions and Catalog'!$C$61,L426*'Assumptions and Catalog'!$H$61+'Assumptions and Catalog'!$E$61+'Assumptions and Catalog'!$F$61,IF(L426&lt;='Assumptions and Catalog'!$C$62,L426*'Assumptions and Catalog'!$H$62+'Assumptions and Catalog'!$E$62+'Assumptions and Catalog'!$F$62,IF(L426&lt;='Assumptions and Catalog'!$C$63,L426*'Assumptions and Catalog'!$H$63+'Assumptions and Catalog'!$E$63+'Assumptions and Catalog'!$F$63,IF(L426&lt;='Assumptions and Catalog'!$C$64,L426*'Assumptions and Catalog'!$H$64+'Assumptions and Catalog'!$E$64+'Assumptions and Catalog'!$F$64,IF(L426&lt;='Assumptions and Catalog'!$C$65,L426*'Assumptions and Catalog'!$H$65+'Assumptions and Catalog'!$E$65+'Assumptions and Catalog'!$F$65,"Out of range")))))))))*(1+'Assumptions and Catalog'!$C$8)^(A426-1),0)</f>
        <v>6867.22</v>
      </c>
      <c r="O426" s="5" t="n">
        <f>M426-N426</f>
        <v>0</v>
      </c>
      <c r="P426" s="5" t="n">
        <f>D$55*(1-K$14)*(1-'Assumptions and Catalog'!$C$23)^R426</f>
        <v>0</v>
      </c>
      <c r="Q426" s="5" t="n">
        <f>IF(ISNUMBER(Inputs!$L$5),(IF(Inputs!$L$9="Actual flat rate",((D426+E426)*C426-G426)*Inputs!$L$10,IF(Inputs!$C$9="Residential",IF(((D426+E426)*C426-G426)&lt;='Assumptions and Catalog'!$C$50,((D426+E426)*C426-G426)*'Assumptions and Catalog'!$H$50+'Assumptions and Catalog'!$E$50+'Assumptions and Catalog'!$F$50,IF(((D426+E426)*C426-G426)&lt;='Assumptions and Catalog'!$C$51,((D426+E426)*C426-G426)*'Assumptions and Catalog'!$H$51+'Assumptions and Catalog'!$E$51+'Assumptions and Catalog'!$F$51,IF(((D426+E426)*C426-G426)&lt;='Assumptions and Catalog'!$C$52,((D426+E426)*C426-G426)*'Assumptions and Catalog'!$H$52+'Assumptions and Catalog'!$E$52+'Assumptions and Catalog'!$F$52,IF(((D426+E426)*C426-G426)&lt;='Assumptions and Catalog'!$C$53,((D426+E426)*C426-G426)*'Assumptions and Catalog'!$H$53+'Assumptions and Catalog'!$E$53+'Assumptions and Catalog'!$F$53,IF(((D426+E426)*C426-G426)&lt;='Assumptions and Catalog'!$C$54,((D426+E426)*C426-G426)*'Assumptions and Catalog'!$H$54+'Assumptions and Catalog'!$E$54+'Assumptions and Catalog'!$F$54,IF(((D426+E426)*C426-G426)&lt;='Assumptions and Catalog'!$C$55,((D426+E426)*C426-G426)*'Assumptions and Catalog'!$H$55+'Assumptions and Catalog'!$E$55+'Assumptions and Catalog'!$F$55,IF(((D426+E426)*C426-G426)&lt;='Assumptions and Catalog'!$C$56,((D426+E426)*C426-G426)*'Assumptions and Catalog'!$H$56+'Assumptions and Catalog'!$E$56+'Assumptions and Catalog'!$F$56,IF(((D426+E426)*C426-G426)&lt;='Assumptions and Catalog'!$C$57,((D426+E426)*C426-G426)*'Assumptions and Catalog'!$H$57+'Assumptions and Catalog'!$E$57+'Assumptions and Catalog'!$F$57,"Out of range")))))))),IF(((D426+E426)*C426-G426)&lt;='Assumptions and Catalog'!$C$60,((D426+E426)*C426-G426)*'Assumptions and Catalog'!$H$60+'Assumptions and Catalog'!$E$60+'Assumptions and Catalog'!$F$60,IF(((D426+E426)*C426-G426)&lt;='Assumptions and Catalog'!$C$61,((D426+E426)*C426-G426)*'Assumptions and Catalog'!$H$61+'Assumptions and Catalog'!$E$61+'Assumptions and Catalog'!$F$61,IF(((D426+E426)*C426-G426)&lt;='Assumptions and Catalog'!$C$62,((D426+E426)*C426-G426)*'Assumptions and Catalog'!$H$62+'Assumptions and Catalog'!$E$62+'Assumptions and Catalog'!$F$62,IF(((D426+E426)*C426-G426)&lt;='Assumptions and Catalog'!$C$63,((D426+E426)*C426-G426)*'Assumptions and Catalog'!$H$63+'Assumptions and Catalog'!$E$63+'Assumptions and Catalog'!$F$63,IF(((D426+E426)*C426-G426)&lt;='Assumptions and Catalog'!$C$64,((D426+E426)*C426-G426)*'Assumptions and Catalog'!$H$64+'Assumptions and Catalog'!$E$64+'Assumptions and Catalog'!$F$64,IF(((D426+E426)*C426-G426)&lt;='Assumptions and Catalog'!$C$65,((D426+E426)*C426-G426)*'Assumptions and Catalog'!$H$65+'Assumptions and Catalog'!$E$65+'Assumptions and Catalog'!$F$65,"Out of range")))))))))*(1+'Assumptions and Catalog'!$C$8)^(A426-1),0)</f>
        <v>6867.22</v>
      </c>
      <c r="R426" s="5" t="n">
        <f>IF(AND('Assumptions and Catalog'!$C$19&gt;0,A426&gt;='Assumptions and Catalog'!$C$19),A426-'Assumptions and Catalog'!$C$19,A426-1)</f>
        <v>1</v>
      </c>
      <c r="S426" s="5" t="n">
        <f>F426+L426-(D426+E426)*C426-J426-K426-IF(D$52&gt;0,'Assumptions and Catalog'!$C$26*C426,0)</f>
        <v>0</v>
      </c>
      <c r="T426" s="5"/>
      <c r="U426" s="5"/>
    </row>
    <row r="427" ht="23.100000381469727" customHeight="1">
      <c r="A427" s="5" t="n">
        <v>2</v>
      </c>
      <c r="B427" s="5" t="n">
        <v>5</v>
      </c>
      <c r="C427" s="5" t="n">
        <f>DAY(DATE('Assumptions and Catalog'!$C$24+A427-1,B427+1,0))</f>
        <v>31</v>
      </c>
      <c r="D427" s="5" t="n">
        <f>IF(ISNUMBER(Inputs!$L$5),Inputs!$L$5*Inputs!$L$6,0)</f>
        <v>40.35</v>
      </c>
      <c r="E427" s="5" t="n">
        <f>IF(ISNUMBER(Inputs!$L$5),Inputs!$L$5-D427,0)</f>
        <v>40.35</v>
      </c>
      <c r="F427" s="5" t="n">
        <f>D$51*'Assumptions and Catalog'!$C$31*C427*(1-'Assumptions and Catalog'!$C$10)^(A427-1)</f>
        <v>0</v>
      </c>
      <c r="G427" s="5" t="n">
        <f>MIN(F427,D427*C427)</f>
        <v>0</v>
      </c>
      <c r="H427" s="5" t="n">
        <f>I427/('Assumptions and Catalog'!$C$11*'Assumptions and Catalog'!$C$12)</f>
        <v>0</v>
      </c>
      <c r="I427" s="5" t="n">
        <f>IF(K$15="Grid cycle",MIN(K$16,D427+E427,P427*'Assumptions and Catalog'!$C$12,D$57*(24-'Assumptions and Catalog'!$C$15),D$56*'Assumptions and Catalog'!$C$15*'Assumptions and Catalog'!$C$11*'Assumptions and Catalog'!$C$12)*C427,0)</f>
        <v>0</v>
      </c>
      <c r="J427" s="5" t="n">
        <f>MAX(F427-G427-0,0)</f>
        <v>0</v>
      </c>
      <c r="K427" s="5" t="n">
        <f>H427-I427</f>
        <v>0</v>
      </c>
      <c r="L427" s="5" t="n">
        <f>(D427+E427)*C427-G427-I427+H427+IF(D$52&gt;0,'Assumptions and Catalog'!$C$26*C427,0)</f>
        <v>2501.7</v>
      </c>
      <c r="M427" s="5" t="n">
        <f>IF(ISNUMBER(Inputs!$L$5),(IF(Inputs!$L$9="Actual flat rate",((D427+E427)*C427)*Inputs!$L$10,IF(Inputs!$C$9="Residential",IF(((D427+E427)*C427)&lt;='Assumptions and Catalog'!$C$50,((D427+E427)*C427)*'Assumptions and Catalog'!$H$50+'Assumptions and Catalog'!$E$50+'Assumptions and Catalog'!$F$50,IF(((D427+E427)*C427)&lt;='Assumptions and Catalog'!$C$51,((D427+E427)*C427)*'Assumptions and Catalog'!$H$51+'Assumptions and Catalog'!$E$51+'Assumptions and Catalog'!$F$51,IF(((D427+E427)*C427)&lt;='Assumptions and Catalog'!$C$52,((D427+E427)*C427)*'Assumptions and Catalog'!$H$52+'Assumptions and Catalog'!$E$52+'Assumptions and Catalog'!$F$52,IF(((D427+E427)*C427)&lt;='Assumptions and Catalog'!$C$53,((D427+E427)*C427)*'Assumptions and Catalog'!$H$53+'Assumptions and Catalog'!$E$53+'Assumptions and Catalog'!$F$53,IF(((D427+E427)*C427)&lt;='Assumptions and Catalog'!$C$54,((D427+E427)*C427)*'Assumptions and Catalog'!$H$54+'Assumptions and Catalog'!$E$54+'Assumptions and Catalog'!$F$54,IF(((D427+E427)*C427)&lt;='Assumptions and Catalog'!$C$55,((D427+E427)*C427)*'Assumptions and Catalog'!$H$55+'Assumptions and Catalog'!$E$55+'Assumptions and Catalog'!$F$55,IF(((D427+E427)*C427)&lt;='Assumptions and Catalog'!$C$56,((D427+E427)*C427)*'Assumptions and Catalog'!$H$56+'Assumptions and Catalog'!$E$56+'Assumptions and Catalog'!$F$56,IF(((D427+E427)*C427)&lt;='Assumptions and Catalog'!$C$57,((D427+E427)*C427)*'Assumptions and Catalog'!$H$57+'Assumptions and Catalog'!$E$57+'Assumptions and Catalog'!$F$57,"Out of range")))))))),IF(((D427+E427)*C427)&lt;='Assumptions and Catalog'!$C$60,((D427+E427)*C427)*'Assumptions and Catalog'!$H$60+'Assumptions and Catalog'!$E$60+'Assumptions and Catalog'!$F$60,IF(((D427+E427)*C427)&lt;='Assumptions and Catalog'!$C$61,((D427+E427)*C427)*'Assumptions and Catalog'!$H$61+'Assumptions and Catalog'!$E$61+'Assumptions and Catalog'!$F$61,IF(((D427+E427)*C427)&lt;='Assumptions and Catalog'!$C$62,((D427+E427)*C427)*'Assumptions and Catalog'!$H$62+'Assumptions and Catalog'!$E$62+'Assumptions and Catalog'!$F$62,IF(((D427+E427)*C427)&lt;='Assumptions and Catalog'!$C$63,((D427+E427)*C427)*'Assumptions and Catalog'!$H$63+'Assumptions and Catalog'!$E$63+'Assumptions and Catalog'!$F$63,IF(((D427+E427)*C427)&lt;='Assumptions and Catalog'!$C$64,((D427+E427)*C427)*'Assumptions and Catalog'!$H$64+'Assumptions and Catalog'!$E$64+'Assumptions and Catalog'!$F$64,IF(((D427+E427)*C427)&lt;='Assumptions and Catalog'!$C$65,((D427+E427)*C427)*'Assumptions and Catalog'!$H$65+'Assumptions and Catalog'!$E$65+'Assumptions and Catalog'!$F$65,"Out of range")))))))))*(1+'Assumptions and Catalog'!$C$8)^(A427-1),0)</f>
        <v>7094.794</v>
      </c>
      <c r="N427" s="5" t="n">
        <f>IF(ISNUMBER(Inputs!$L$5),(IF(Inputs!$L$9="Actual flat rate",L427*Inputs!$L$10,IF(Inputs!$C$9="Residential",IF(L427&lt;='Assumptions and Catalog'!$C$50,L427*'Assumptions and Catalog'!$H$50+'Assumptions and Catalog'!$E$50+'Assumptions and Catalog'!$F$50,IF(L427&lt;='Assumptions and Catalog'!$C$51,L427*'Assumptions and Catalog'!$H$51+'Assumptions and Catalog'!$E$51+'Assumptions and Catalog'!$F$51,IF(L427&lt;='Assumptions and Catalog'!$C$52,L427*'Assumptions and Catalog'!$H$52+'Assumptions and Catalog'!$E$52+'Assumptions and Catalog'!$F$52,IF(L427&lt;='Assumptions and Catalog'!$C$53,L427*'Assumptions and Catalog'!$H$53+'Assumptions and Catalog'!$E$53+'Assumptions and Catalog'!$F$53,IF(L427&lt;='Assumptions and Catalog'!$C$54,L427*'Assumptions and Catalog'!$H$54+'Assumptions and Catalog'!$E$54+'Assumptions and Catalog'!$F$54,IF(L427&lt;='Assumptions and Catalog'!$C$55,L427*'Assumptions and Catalog'!$H$55+'Assumptions and Catalog'!$E$55+'Assumptions and Catalog'!$F$55,IF(L427&lt;='Assumptions and Catalog'!$C$56,L427*'Assumptions and Catalog'!$H$56+'Assumptions and Catalog'!$E$56+'Assumptions and Catalog'!$F$56,IF(L427&lt;='Assumptions and Catalog'!$C$57,L427*'Assumptions and Catalog'!$H$57+'Assumptions and Catalog'!$E$57+'Assumptions and Catalog'!$F$57,"Out of range")))))))),IF(L427&lt;='Assumptions and Catalog'!$C$60,L427*'Assumptions and Catalog'!$H$60+'Assumptions and Catalog'!$E$60+'Assumptions and Catalog'!$F$60,IF(L427&lt;='Assumptions and Catalog'!$C$61,L427*'Assumptions and Catalog'!$H$61+'Assumptions and Catalog'!$E$61+'Assumptions and Catalog'!$F$61,IF(L427&lt;='Assumptions and Catalog'!$C$62,L427*'Assumptions and Catalog'!$H$62+'Assumptions and Catalog'!$E$62+'Assumptions and Catalog'!$F$62,IF(L427&lt;='Assumptions and Catalog'!$C$63,L427*'Assumptions and Catalog'!$H$63+'Assumptions and Catalog'!$E$63+'Assumptions and Catalog'!$F$63,IF(L427&lt;='Assumptions and Catalog'!$C$64,L427*'Assumptions and Catalog'!$H$64+'Assumptions and Catalog'!$E$64+'Assumptions and Catalog'!$F$64,IF(L427&lt;='Assumptions and Catalog'!$C$65,L427*'Assumptions and Catalog'!$H$65+'Assumptions and Catalog'!$E$65+'Assumptions and Catalog'!$F$65,"Out of range")))))))))*(1+'Assumptions and Catalog'!$C$8)^(A427-1),0)</f>
        <v>7094.794</v>
      </c>
      <c r="O427" s="5" t="n">
        <f>M427-N427</f>
        <v>0</v>
      </c>
      <c r="P427" s="5" t="n">
        <f>D$55*(1-K$14)*(1-'Assumptions and Catalog'!$C$23)^R427</f>
        <v>0</v>
      </c>
      <c r="Q427" s="5" t="n">
        <f>IF(ISNUMBER(Inputs!$L$5),(IF(Inputs!$L$9="Actual flat rate",((D427+E427)*C427-G427)*Inputs!$L$10,IF(Inputs!$C$9="Residential",IF(((D427+E427)*C427-G427)&lt;='Assumptions and Catalog'!$C$50,((D427+E427)*C427-G427)*'Assumptions and Catalog'!$H$50+'Assumptions and Catalog'!$E$50+'Assumptions and Catalog'!$F$50,IF(((D427+E427)*C427-G427)&lt;='Assumptions and Catalog'!$C$51,((D427+E427)*C427-G427)*'Assumptions and Catalog'!$H$51+'Assumptions and Catalog'!$E$51+'Assumptions and Catalog'!$F$51,IF(((D427+E427)*C427-G427)&lt;='Assumptions and Catalog'!$C$52,((D427+E427)*C427-G427)*'Assumptions and Catalog'!$H$52+'Assumptions and Catalog'!$E$52+'Assumptions and Catalog'!$F$52,IF(((D427+E427)*C427-G427)&lt;='Assumptions and Catalog'!$C$53,((D427+E427)*C427-G427)*'Assumptions and Catalog'!$H$53+'Assumptions and Catalog'!$E$53+'Assumptions and Catalog'!$F$53,IF(((D427+E427)*C427-G427)&lt;='Assumptions and Catalog'!$C$54,((D427+E427)*C427-G427)*'Assumptions and Catalog'!$H$54+'Assumptions and Catalog'!$E$54+'Assumptions and Catalog'!$F$54,IF(((D427+E427)*C427-G427)&lt;='Assumptions and Catalog'!$C$55,((D427+E427)*C427-G427)*'Assumptions and Catalog'!$H$55+'Assumptions and Catalog'!$E$55+'Assumptions and Catalog'!$F$55,IF(((D427+E427)*C427-G427)&lt;='Assumptions and Catalog'!$C$56,((D427+E427)*C427-G427)*'Assumptions and Catalog'!$H$56+'Assumptions and Catalog'!$E$56+'Assumptions and Catalog'!$F$56,IF(((D427+E427)*C427-G427)&lt;='Assumptions and Catalog'!$C$57,((D427+E427)*C427-G427)*'Assumptions and Catalog'!$H$57+'Assumptions and Catalog'!$E$57+'Assumptions and Catalog'!$F$57,"Out of range")))))))),IF(((D427+E427)*C427-G427)&lt;='Assumptions and Catalog'!$C$60,((D427+E427)*C427-G427)*'Assumptions and Catalog'!$H$60+'Assumptions and Catalog'!$E$60+'Assumptions and Catalog'!$F$60,IF(((D427+E427)*C427-G427)&lt;='Assumptions and Catalog'!$C$61,((D427+E427)*C427-G427)*'Assumptions and Catalog'!$H$61+'Assumptions and Catalog'!$E$61+'Assumptions and Catalog'!$F$61,IF(((D427+E427)*C427-G427)&lt;='Assumptions and Catalog'!$C$62,((D427+E427)*C427-G427)*'Assumptions and Catalog'!$H$62+'Assumptions and Catalog'!$E$62+'Assumptions and Catalog'!$F$62,IF(((D427+E427)*C427-G427)&lt;='Assumptions and Catalog'!$C$63,((D427+E427)*C427-G427)*'Assumptions and Catalog'!$H$63+'Assumptions and Catalog'!$E$63+'Assumptions and Catalog'!$F$63,IF(((D427+E427)*C427-G427)&lt;='Assumptions and Catalog'!$C$64,((D427+E427)*C427-G427)*'Assumptions and Catalog'!$H$64+'Assumptions and Catalog'!$E$64+'Assumptions and Catalog'!$F$64,IF(((D427+E427)*C427-G427)&lt;='Assumptions and Catalog'!$C$65,((D427+E427)*C427-G427)*'Assumptions and Catalog'!$H$65+'Assumptions and Catalog'!$E$65+'Assumptions and Catalog'!$F$65,"Out of range")))))))))*(1+'Assumptions and Catalog'!$C$8)^(A427-1),0)</f>
        <v>7094.794</v>
      </c>
      <c r="R427" s="5" t="n">
        <f>IF(AND('Assumptions and Catalog'!$C$19&gt;0,A427&gt;='Assumptions and Catalog'!$C$19),A427-'Assumptions and Catalog'!$C$19,A427-1)</f>
        <v>1</v>
      </c>
      <c r="S427" s="5" t="n">
        <f>F427+L427-(D427+E427)*C427-J427-K427-IF(D$52&gt;0,'Assumptions and Catalog'!$C$26*C427,0)</f>
        <v>0</v>
      </c>
      <c r="T427" s="5"/>
      <c r="U427" s="5"/>
    </row>
    <row r="428" ht="23.100000381469727" customHeight="1">
      <c r="A428" s="5" t="n">
        <v>2</v>
      </c>
      <c r="B428" s="5" t="n">
        <v>6</v>
      </c>
      <c r="C428" s="5" t="n">
        <f>DAY(DATE('Assumptions and Catalog'!$C$24+A428-1,B428+1,0))</f>
        <v>30</v>
      </c>
      <c r="D428" s="5" t="n">
        <f>IF(ISNUMBER(Inputs!$L$5),Inputs!$L$5*Inputs!$L$6,0)</f>
        <v>40.35</v>
      </c>
      <c r="E428" s="5" t="n">
        <f>IF(ISNUMBER(Inputs!$L$5),Inputs!$L$5-D428,0)</f>
        <v>40.35</v>
      </c>
      <c r="F428" s="5" t="n">
        <f>D$51*'Assumptions and Catalog'!$C$31*C428*(1-'Assumptions and Catalog'!$C$10)^(A428-1)</f>
        <v>0</v>
      </c>
      <c r="G428" s="5" t="n">
        <f>MIN(F428,D428*C428)</f>
        <v>0</v>
      </c>
      <c r="H428" s="5" t="n">
        <f>I428/('Assumptions and Catalog'!$C$11*'Assumptions and Catalog'!$C$12)</f>
        <v>0</v>
      </c>
      <c r="I428" s="5" t="n">
        <f>IF(K$15="Grid cycle",MIN(K$16,D428+E428,P428*'Assumptions and Catalog'!$C$12,D$57*(24-'Assumptions and Catalog'!$C$15),D$56*'Assumptions and Catalog'!$C$15*'Assumptions and Catalog'!$C$11*'Assumptions and Catalog'!$C$12)*C428,0)</f>
        <v>0</v>
      </c>
      <c r="J428" s="5" t="n">
        <f>MAX(F428-G428-0,0)</f>
        <v>0</v>
      </c>
      <c r="K428" s="5" t="n">
        <f>H428-I428</f>
        <v>0</v>
      </c>
      <c r="L428" s="5" t="n">
        <f>(D428+E428)*C428-G428-I428+H428+IF(D$52&gt;0,'Assumptions and Catalog'!$C$26*C428,0)</f>
        <v>2421</v>
      </c>
      <c r="M428" s="5" t="n">
        <f>IF(ISNUMBER(Inputs!$L$5),(IF(Inputs!$L$9="Actual flat rate",((D428+E428)*C428)*Inputs!$L$10,IF(Inputs!$C$9="Residential",IF(((D428+E428)*C428)&lt;='Assumptions and Catalog'!$C$50,((D428+E428)*C428)*'Assumptions and Catalog'!$H$50+'Assumptions and Catalog'!$E$50+'Assumptions and Catalog'!$F$50,IF(((D428+E428)*C428)&lt;='Assumptions and Catalog'!$C$51,((D428+E428)*C428)*'Assumptions and Catalog'!$H$51+'Assumptions and Catalog'!$E$51+'Assumptions and Catalog'!$F$51,IF(((D428+E428)*C428)&lt;='Assumptions and Catalog'!$C$52,((D428+E428)*C428)*'Assumptions and Catalog'!$H$52+'Assumptions and Catalog'!$E$52+'Assumptions and Catalog'!$F$52,IF(((D428+E428)*C428)&lt;='Assumptions and Catalog'!$C$53,((D428+E428)*C428)*'Assumptions and Catalog'!$H$53+'Assumptions and Catalog'!$E$53+'Assumptions and Catalog'!$F$53,IF(((D428+E428)*C428)&lt;='Assumptions and Catalog'!$C$54,((D428+E428)*C428)*'Assumptions and Catalog'!$H$54+'Assumptions and Catalog'!$E$54+'Assumptions and Catalog'!$F$54,IF(((D428+E428)*C428)&lt;='Assumptions and Catalog'!$C$55,((D428+E428)*C428)*'Assumptions and Catalog'!$H$55+'Assumptions and Catalog'!$E$55+'Assumptions and Catalog'!$F$55,IF(((D428+E428)*C428)&lt;='Assumptions and Catalog'!$C$56,((D428+E428)*C428)*'Assumptions and Catalog'!$H$56+'Assumptions and Catalog'!$E$56+'Assumptions and Catalog'!$F$56,IF(((D428+E428)*C428)&lt;='Assumptions and Catalog'!$C$57,((D428+E428)*C428)*'Assumptions and Catalog'!$H$57+'Assumptions and Catalog'!$E$57+'Assumptions and Catalog'!$F$57,"Out of range")))))))),IF(((D428+E428)*C428)&lt;='Assumptions and Catalog'!$C$60,((D428+E428)*C428)*'Assumptions and Catalog'!$H$60+'Assumptions and Catalog'!$E$60+'Assumptions and Catalog'!$F$60,IF(((D428+E428)*C428)&lt;='Assumptions and Catalog'!$C$61,((D428+E428)*C428)*'Assumptions and Catalog'!$H$61+'Assumptions and Catalog'!$E$61+'Assumptions and Catalog'!$F$61,IF(((D428+E428)*C428)&lt;='Assumptions and Catalog'!$C$62,((D428+E428)*C428)*'Assumptions and Catalog'!$H$62+'Assumptions and Catalog'!$E$62+'Assumptions and Catalog'!$F$62,IF(((D428+E428)*C428)&lt;='Assumptions and Catalog'!$C$63,((D428+E428)*C428)*'Assumptions and Catalog'!$H$63+'Assumptions and Catalog'!$E$63+'Assumptions and Catalog'!$F$63,IF(((D428+E428)*C428)&lt;='Assumptions and Catalog'!$C$64,((D428+E428)*C428)*'Assumptions and Catalog'!$H$64+'Assumptions and Catalog'!$E$64+'Assumptions and Catalog'!$F$64,IF(((D428+E428)*C428)&lt;='Assumptions and Catalog'!$C$65,((D428+E428)*C428)*'Assumptions and Catalog'!$H$65+'Assumptions and Catalog'!$E$65+'Assumptions and Catalog'!$F$65,"Out of range")))))))))*(1+'Assumptions and Catalog'!$C$8)^(A428-1),0)</f>
        <v>6867.22</v>
      </c>
      <c r="N428" s="5" t="n">
        <f>IF(ISNUMBER(Inputs!$L$5),(IF(Inputs!$L$9="Actual flat rate",L428*Inputs!$L$10,IF(Inputs!$C$9="Residential",IF(L428&lt;='Assumptions and Catalog'!$C$50,L428*'Assumptions and Catalog'!$H$50+'Assumptions and Catalog'!$E$50+'Assumptions and Catalog'!$F$50,IF(L428&lt;='Assumptions and Catalog'!$C$51,L428*'Assumptions and Catalog'!$H$51+'Assumptions and Catalog'!$E$51+'Assumptions and Catalog'!$F$51,IF(L428&lt;='Assumptions and Catalog'!$C$52,L428*'Assumptions and Catalog'!$H$52+'Assumptions and Catalog'!$E$52+'Assumptions and Catalog'!$F$52,IF(L428&lt;='Assumptions and Catalog'!$C$53,L428*'Assumptions and Catalog'!$H$53+'Assumptions and Catalog'!$E$53+'Assumptions and Catalog'!$F$53,IF(L428&lt;='Assumptions and Catalog'!$C$54,L428*'Assumptions and Catalog'!$H$54+'Assumptions and Catalog'!$E$54+'Assumptions and Catalog'!$F$54,IF(L428&lt;='Assumptions and Catalog'!$C$55,L428*'Assumptions and Catalog'!$H$55+'Assumptions and Catalog'!$E$55+'Assumptions and Catalog'!$F$55,IF(L428&lt;='Assumptions and Catalog'!$C$56,L428*'Assumptions and Catalog'!$H$56+'Assumptions and Catalog'!$E$56+'Assumptions and Catalog'!$F$56,IF(L428&lt;='Assumptions and Catalog'!$C$57,L428*'Assumptions and Catalog'!$H$57+'Assumptions and Catalog'!$E$57+'Assumptions and Catalog'!$F$57,"Out of range")))))))),IF(L428&lt;='Assumptions and Catalog'!$C$60,L428*'Assumptions and Catalog'!$H$60+'Assumptions and Catalog'!$E$60+'Assumptions and Catalog'!$F$60,IF(L428&lt;='Assumptions and Catalog'!$C$61,L428*'Assumptions and Catalog'!$H$61+'Assumptions and Catalog'!$E$61+'Assumptions and Catalog'!$F$61,IF(L428&lt;='Assumptions and Catalog'!$C$62,L428*'Assumptions and Catalog'!$H$62+'Assumptions and Catalog'!$E$62+'Assumptions and Catalog'!$F$62,IF(L428&lt;='Assumptions and Catalog'!$C$63,L428*'Assumptions and Catalog'!$H$63+'Assumptions and Catalog'!$E$63+'Assumptions and Catalog'!$F$63,IF(L428&lt;='Assumptions and Catalog'!$C$64,L428*'Assumptions and Catalog'!$H$64+'Assumptions and Catalog'!$E$64+'Assumptions and Catalog'!$F$64,IF(L428&lt;='Assumptions and Catalog'!$C$65,L428*'Assumptions and Catalog'!$H$65+'Assumptions and Catalog'!$E$65+'Assumptions and Catalog'!$F$65,"Out of range")))))))))*(1+'Assumptions and Catalog'!$C$8)^(A428-1),0)</f>
        <v>6867.22</v>
      </c>
      <c r="O428" s="5" t="n">
        <f>M428-N428</f>
        <v>0</v>
      </c>
      <c r="P428" s="5" t="n">
        <f>D$55*(1-K$14)*(1-'Assumptions and Catalog'!$C$23)^R428</f>
        <v>0</v>
      </c>
      <c r="Q428" s="5" t="n">
        <f>IF(ISNUMBER(Inputs!$L$5),(IF(Inputs!$L$9="Actual flat rate",((D428+E428)*C428-G428)*Inputs!$L$10,IF(Inputs!$C$9="Residential",IF(((D428+E428)*C428-G428)&lt;='Assumptions and Catalog'!$C$50,((D428+E428)*C428-G428)*'Assumptions and Catalog'!$H$50+'Assumptions and Catalog'!$E$50+'Assumptions and Catalog'!$F$50,IF(((D428+E428)*C428-G428)&lt;='Assumptions and Catalog'!$C$51,((D428+E428)*C428-G428)*'Assumptions and Catalog'!$H$51+'Assumptions and Catalog'!$E$51+'Assumptions and Catalog'!$F$51,IF(((D428+E428)*C428-G428)&lt;='Assumptions and Catalog'!$C$52,((D428+E428)*C428-G428)*'Assumptions and Catalog'!$H$52+'Assumptions and Catalog'!$E$52+'Assumptions and Catalog'!$F$52,IF(((D428+E428)*C428-G428)&lt;='Assumptions and Catalog'!$C$53,((D428+E428)*C428-G428)*'Assumptions and Catalog'!$H$53+'Assumptions and Catalog'!$E$53+'Assumptions and Catalog'!$F$53,IF(((D428+E428)*C428-G428)&lt;='Assumptions and Catalog'!$C$54,((D428+E428)*C428-G428)*'Assumptions and Catalog'!$H$54+'Assumptions and Catalog'!$E$54+'Assumptions and Catalog'!$F$54,IF(((D428+E428)*C428-G428)&lt;='Assumptions and Catalog'!$C$55,((D428+E428)*C428-G428)*'Assumptions and Catalog'!$H$55+'Assumptions and Catalog'!$E$55+'Assumptions and Catalog'!$F$55,IF(((D428+E428)*C428-G428)&lt;='Assumptions and Catalog'!$C$56,((D428+E428)*C428-G428)*'Assumptions and Catalog'!$H$56+'Assumptions and Catalog'!$E$56+'Assumptions and Catalog'!$F$56,IF(((D428+E428)*C428-G428)&lt;='Assumptions and Catalog'!$C$57,((D428+E428)*C428-G428)*'Assumptions and Catalog'!$H$57+'Assumptions and Catalog'!$E$57+'Assumptions and Catalog'!$F$57,"Out of range")))))))),IF(((D428+E428)*C428-G428)&lt;='Assumptions and Catalog'!$C$60,((D428+E428)*C428-G428)*'Assumptions and Catalog'!$H$60+'Assumptions and Catalog'!$E$60+'Assumptions and Catalog'!$F$60,IF(((D428+E428)*C428-G428)&lt;='Assumptions and Catalog'!$C$61,((D428+E428)*C428-G428)*'Assumptions and Catalog'!$H$61+'Assumptions and Catalog'!$E$61+'Assumptions and Catalog'!$F$61,IF(((D428+E428)*C428-G428)&lt;='Assumptions and Catalog'!$C$62,((D428+E428)*C428-G428)*'Assumptions and Catalog'!$H$62+'Assumptions and Catalog'!$E$62+'Assumptions and Catalog'!$F$62,IF(((D428+E428)*C428-G428)&lt;='Assumptions and Catalog'!$C$63,((D428+E428)*C428-G428)*'Assumptions and Catalog'!$H$63+'Assumptions and Catalog'!$E$63+'Assumptions and Catalog'!$F$63,IF(((D428+E428)*C428-G428)&lt;='Assumptions and Catalog'!$C$64,((D428+E428)*C428-G428)*'Assumptions and Catalog'!$H$64+'Assumptions and Catalog'!$E$64+'Assumptions and Catalog'!$F$64,IF(((D428+E428)*C428-G428)&lt;='Assumptions and Catalog'!$C$65,((D428+E428)*C428-G428)*'Assumptions and Catalog'!$H$65+'Assumptions and Catalog'!$E$65+'Assumptions and Catalog'!$F$65,"Out of range")))))))))*(1+'Assumptions and Catalog'!$C$8)^(A428-1),0)</f>
        <v>6867.22</v>
      </c>
      <c r="R428" s="5" t="n">
        <f>IF(AND('Assumptions and Catalog'!$C$19&gt;0,A428&gt;='Assumptions and Catalog'!$C$19),A428-'Assumptions and Catalog'!$C$19,A428-1)</f>
        <v>1</v>
      </c>
      <c r="S428" s="5" t="n">
        <f>F428+L428-(D428+E428)*C428-J428-K428-IF(D$52&gt;0,'Assumptions and Catalog'!$C$26*C428,0)</f>
        <v>0</v>
      </c>
      <c r="T428" s="5"/>
      <c r="U428" s="5"/>
    </row>
    <row r="429" ht="23.100000381469727" customHeight="1">
      <c r="A429" s="5" t="n">
        <v>2</v>
      </c>
      <c r="B429" s="5" t="n">
        <v>7</v>
      </c>
      <c r="C429" s="5" t="n">
        <f>DAY(DATE('Assumptions and Catalog'!$C$24+A429-1,B429+1,0))</f>
        <v>31</v>
      </c>
      <c r="D429" s="5" t="n">
        <f>IF(ISNUMBER(Inputs!$L$5),Inputs!$L$5*Inputs!$L$6,0)</f>
        <v>40.35</v>
      </c>
      <c r="E429" s="5" t="n">
        <f>IF(ISNUMBER(Inputs!$L$5),Inputs!$L$5-D429,0)</f>
        <v>40.35</v>
      </c>
      <c r="F429" s="5" t="n">
        <f>D$51*'Assumptions and Catalog'!$C$31*C429*(1-'Assumptions and Catalog'!$C$10)^(A429-1)</f>
        <v>0</v>
      </c>
      <c r="G429" s="5" t="n">
        <f>MIN(F429,D429*C429)</f>
        <v>0</v>
      </c>
      <c r="H429" s="5" t="n">
        <f>I429/('Assumptions and Catalog'!$C$11*'Assumptions and Catalog'!$C$12)</f>
        <v>0</v>
      </c>
      <c r="I429" s="5" t="n">
        <f>IF(K$15="Grid cycle",MIN(K$16,D429+E429,P429*'Assumptions and Catalog'!$C$12,D$57*(24-'Assumptions and Catalog'!$C$15),D$56*'Assumptions and Catalog'!$C$15*'Assumptions and Catalog'!$C$11*'Assumptions and Catalog'!$C$12)*C429,0)</f>
        <v>0</v>
      </c>
      <c r="J429" s="5" t="n">
        <f>MAX(F429-G429-0,0)</f>
        <v>0</v>
      </c>
      <c r="K429" s="5" t="n">
        <f>H429-I429</f>
        <v>0</v>
      </c>
      <c r="L429" s="5" t="n">
        <f>(D429+E429)*C429-G429-I429+H429+IF(D$52&gt;0,'Assumptions and Catalog'!$C$26*C429,0)</f>
        <v>2501.7</v>
      </c>
      <c r="M429" s="5" t="n">
        <f>IF(ISNUMBER(Inputs!$L$5),(IF(Inputs!$L$9="Actual flat rate",((D429+E429)*C429)*Inputs!$L$10,IF(Inputs!$C$9="Residential",IF(((D429+E429)*C429)&lt;='Assumptions and Catalog'!$C$50,((D429+E429)*C429)*'Assumptions and Catalog'!$H$50+'Assumptions and Catalog'!$E$50+'Assumptions and Catalog'!$F$50,IF(((D429+E429)*C429)&lt;='Assumptions and Catalog'!$C$51,((D429+E429)*C429)*'Assumptions and Catalog'!$H$51+'Assumptions and Catalog'!$E$51+'Assumptions and Catalog'!$F$51,IF(((D429+E429)*C429)&lt;='Assumptions and Catalog'!$C$52,((D429+E429)*C429)*'Assumptions and Catalog'!$H$52+'Assumptions and Catalog'!$E$52+'Assumptions and Catalog'!$F$52,IF(((D429+E429)*C429)&lt;='Assumptions and Catalog'!$C$53,((D429+E429)*C429)*'Assumptions and Catalog'!$H$53+'Assumptions and Catalog'!$E$53+'Assumptions and Catalog'!$F$53,IF(((D429+E429)*C429)&lt;='Assumptions and Catalog'!$C$54,((D429+E429)*C429)*'Assumptions and Catalog'!$H$54+'Assumptions and Catalog'!$E$54+'Assumptions and Catalog'!$F$54,IF(((D429+E429)*C429)&lt;='Assumptions and Catalog'!$C$55,((D429+E429)*C429)*'Assumptions and Catalog'!$H$55+'Assumptions and Catalog'!$E$55+'Assumptions and Catalog'!$F$55,IF(((D429+E429)*C429)&lt;='Assumptions and Catalog'!$C$56,((D429+E429)*C429)*'Assumptions and Catalog'!$H$56+'Assumptions and Catalog'!$E$56+'Assumptions and Catalog'!$F$56,IF(((D429+E429)*C429)&lt;='Assumptions and Catalog'!$C$57,((D429+E429)*C429)*'Assumptions and Catalog'!$H$57+'Assumptions and Catalog'!$E$57+'Assumptions and Catalog'!$F$57,"Out of range")))))))),IF(((D429+E429)*C429)&lt;='Assumptions and Catalog'!$C$60,((D429+E429)*C429)*'Assumptions and Catalog'!$H$60+'Assumptions and Catalog'!$E$60+'Assumptions and Catalog'!$F$60,IF(((D429+E429)*C429)&lt;='Assumptions and Catalog'!$C$61,((D429+E429)*C429)*'Assumptions and Catalog'!$H$61+'Assumptions and Catalog'!$E$61+'Assumptions and Catalog'!$F$61,IF(((D429+E429)*C429)&lt;='Assumptions and Catalog'!$C$62,((D429+E429)*C429)*'Assumptions and Catalog'!$H$62+'Assumptions and Catalog'!$E$62+'Assumptions and Catalog'!$F$62,IF(((D429+E429)*C429)&lt;='Assumptions and Catalog'!$C$63,((D429+E429)*C429)*'Assumptions and Catalog'!$H$63+'Assumptions and Catalog'!$E$63+'Assumptions and Catalog'!$F$63,IF(((D429+E429)*C429)&lt;='Assumptions and Catalog'!$C$64,((D429+E429)*C429)*'Assumptions and Catalog'!$H$64+'Assumptions and Catalog'!$E$64+'Assumptions and Catalog'!$F$64,IF(((D429+E429)*C429)&lt;='Assumptions and Catalog'!$C$65,((D429+E429)*C429)*'Assumptions and Catalog'!$H$65+'Assumptions and Catalog'!$E$65+'Assumptions and Catalog'!$F$65,"Out of range")))))))))*(1+'Assumptions and Catalog'!$C$8)^(A429-1),0)</f>
        <v>7094.794</v>
      </c>
      <c r="N429" s="5" t="n">
        <f>IF(ISNUMBER(Inputs!$L$5),(IF(Inputs!$L$9="Actual flat rate",L429*Inputs!$L$10,IF(Inputs!$C$9="Residential",IF(L429&lt;='Assumptions and Catalog'!$C$50,L429*'Assumptions and Catalog'!$H$50+'Assumptions and Catalog'!$E$50+'Assumptions and Catalog'!$F$50,IF(L429&lt;='Assumptions and Catalog'!$C$51,L429*'Assumptions and Catalog'!$H$51+'Assumptions and Catalog'!$E$51+'Assumptions and Catalog'!$F$51,IF(L429&lt;='Assumptions and Catalog'!$C$52,L429*'Assumptions and Catalog'!$H$52+'Assumptions and Catalog'!$E$52+'Assumptions and Catalog'!$F$52,IF(L429&lt;='Assumptions and Catalog'!$C$53,L429*'Assumptions and Catalog'!$H$53+'Assumptions and Catalog'!$E$53+'Assumptions and Catalog'!$F$53,IF(L429&lt;='Assumptions and Catalog'!$C$54,L429*'Assumptions and Catalog'!$H$54+'Assumptions and Catalog'!$E$54+'Assumptions and Catalog'!$F$54,IF(L429&lt;='Assumptions and Catalog'!$C$55,L429*'Assumptions and Catalog'!$H$55+'Assumptions and Catalog'!$E$55+'Assumptions and Catalog'!$F$55,IF(L429&lt;='Assumptions and Catalog'!$C$56,L429*'Assumptions and Catalog'!$H$56+'Assumptions and Catalog'!$E$56+'Assumptions and Catalog'!$F$56,IF(L429&lt;='Assumptions and Catalog'!$C$57,L429*'Assumptions and Catalog'!$H$57+'Assumptions and Catalog'!$E$57+'Assumptions and Catalog'!$F$57,"Out of range")))))))),IF(L429&lt;='Assumptions and Catalog'!$C$60,L429*'Assumptions and Catalog'!$H$60+'Assumptions and Catalog'!$E$60+'Assumptions and Catalog'!$F$60,IF(L429&lt;='Assumptions and Catalog'!$C$61,L429*'Assumptions and Catalog'!$H$61+'Assumptions and Catalog'!$E$61+'Assumptions and Catalog'!$F$61,IF(L429&lt;='Assumptions and Catalog'!$C$62,L429*'Assumptions and Catalog'!$H$62+'Assumptions and Catalog'!$E$62+'Assumptions and Catalog'!$F$62,IF(L429&lt;='Assumptions and Catalog'!$C$63,L429*'Assumptions and Catalog'!$H$63+'Assumptions and Catalog'!$E$63+'Assumptions and Catalog'!$F$63,IF(L429&lt;='Assumptions and Catalog'!$C$64,L429*'Assumptions and Catalog'!$H$64+'Assumptions and Catalog'!$E$64+'Assumptions and Catalog'!$F$64,IF(L429&lt;='Assumptions and Catalog'!$C$65,L429*'Assumptions and Catalog'!$H$65+'Assumptions and Catalog'!$E$65+'Assumptions and Catalog'!$F$65,"Out of range")))))))))*(1+'Assumptions and Catalog'!$C$8)^(A429-1),0)</f>
        <v>7094.794</v>
      </c>
      <c r="O429" s="5" t="n">
        <f>M429-N429</f>
        <v>0</v>
      </c>
      <c r="P429" s="5" t="n">
        <f>D$55*(1-K$14)*(1-'Assumptions and Catalog'!$C$23)^R429</f>
        <v>0</v>
      </c>
      <c r="Q429" s="5" t="n">
        <f>IF(ISNUMBER(Inputs!$L$5),(IF(Inputs!$L$9="Actual flat rate",((D429+E429)*C429-G429)*Inputs!$L$10,IF(Inputs!$C$9="Residential",IF(((D429+E429)*C429-G429)&lt;='Assumptions and Catalog'!$C$50,((D429+E429)*C429-G429)*'Assumptions and Catalog'!$H$50+'Assumptions and Catalog'!$E$50+'Assumptions and Catalog'!$F$50,IF(((D429+E429)*C429-G429)&lt;='Assumptions and Catalog'!$C$51,((D429+E429)*C429-G429)*'Assumptions and Catalog'!$H$51+'Assumptions and Catalog'!$E$51+'Assumptions and Catalog'!$F$51,IF(((D429+E429)*C429-G429)&lt;='Assumptions and Catalog'!$C$52,((D429+E429)*C429-G429)*'Assumptions and Catalog'!$H$52+'Assumptions and Catalog'!$E$52+'Assumptions and Catalog'!$F$52,IF(((D429+E429)*C429-G429)&lt;='Assumptions and Catalog'!$C$53,((D429+E429)*C429-G429)*'Assumptions and Catalog'!$H$53+'Assumptions and Catalog'!$E$53+'Assumptions and Catalog'!$F$53,IF(((D429+E429)*C429-G429)&lt;='Assumptions and Catalog'!$C$54,((D429+E429)*C429-G429)*'Assumptions and Catalog'!$H$54+'Assumptions and Catalog'!$E$54+'Assumptions and Catalog'!$F$54,IF(((D429+E429)*C429-G429)&lt;='Assumptions and Catalog'!$C$55,((D429+E429)*C429-G429)*'Assumptions and Catalog'!$H$55+'Assumptions and Catalog'!$E$55+'Assumptions and Catalog'!$F$55,IF(((D429+E429)*C429-G429)&lt;='Assumptions and Catalog'!$C$56,((D429+E429)*C429-G429)*'Assumptions and Catalog'!$H$56+'Assumptions and Catalog'!$E$56+'Assumptions and Catalog'!$F$56,IF(((D429+E429)*C429-G429)&lt;='Assumptions and Catalog'!$C$57,((D429+E429)*C429-G429)*'Assumptions and Catalog'!$H$57+'Assumptions and Catalog'!$E$57+'Assumptions and Catalog'!$F$57,"Out of range")))))))),IF(((D429+E429)*C429-G429)&lt;='Assumptions and Catalog'!$C$60,((D429+E429)*C429-G429)*'Assumptions and Catalog'!$H$60+'Assumptions and Catalog'!$E$60+'Assumptions and Catalog'!$F$60,IF(((D429+E429)*C429-G429)&lt;='Assumptions and Catalog'!$C$61,((D429+E429)*C429-G429)*'Assumptions and Catalog'!$H$61+'Assumptions and Catalog'!$E$61+'Assumptions and Catalog'!$F$61,IF(((D429+E429)*C429-G429)&lt;='Assumptions and Catalog'!$C$62,((D429+E429)*C429-G429)*'Assumptions and Catalog'!$H$62+'Assumptions and Catalog'!$E$62+'Assumptions and Catalog'!$F$62,IF(((D429+E429)*C429-G429)&lt;='Assumptions and Catalog'!$C$63,((D429+E429)*C429-G429)*'Assumptions and Catalog'!$H$63+'Assumptions and Catalog'!$E$63+'Assumptions and Catalog'!$F$63,IF(((D429+E429)*C429-G429)&lt;='Assumptions and Catalog'!$C$64,((D429+E429)*C429-G429)*'Assumptions and Catalog'!$H$64+'Assumptions and Catalog'!$E$64+'Assumptions and Catalog'!$F$64,IF(((D429+E429)*C429-G429)&lt;='Assumptions and Catalog'!$C$65,((D429+E429)*C429-G429)*'Assumptions and Catalog'!$H$65+'Assumptions and Catalog'!$E$65+'Assumptions and Catalog'!$F$65,"Out of range")))))))))*(1+'Assumptions and Catalog'!$C$8)^(A429-1),0)</f>
        <v>7094.794</v>
      </c>
      <c r="R429" s="5" t="n">
        <f>IF(AND('Assumptions and Catalog'!$C$19&gt;0,A429&gt;='Assumptions and Catalog'!$C$19),A429-'Assumptions and Catalog'!$C$19,A429-1)</f>
        <v>1</v>
      </c>
      <c r="S429" s="5" t="n">
        <f>F429+L429-(D429+E429)*C429-J429-K429-IF(D$52&gt;0,'Assumptions and Catalog'!$C$26*C429,0)</f>
        <v>0</v>
      </c>
      <c r="T429" s="5"/>
      <c r="U429" s="5"/>
    </row>
    <row r="430" ht="23.100000381469727" customHeight="1">
      <c r="A430" s="5" t="n">
        <v>2</v>
      </c>
      <c r="B430" s="5" t="n">
        <v>8</v>
      </c>
      <c r="C430" s="5" t="n">
        <f>DAY(DATE('Assumptions and Catalog'!$C$24+A430-1,B430+1,0))</f>
        <v>31</v>
      </c>
      <c r="D430" s="5" t="n">
        <f>IF(ISNUMBER(Inputs!$L$5),Inputs!$L$5*Inputs!$L$6,0)</f>
        <v>40.35</v>
      </c>
      <c r="E430" s="5" t="n">
        <f>IF(ISNUMBER(Inputs!$L$5),Inputs!$L$5-D430,0)</f>
        <v>40.35</v>
      </c>
      <c r="F430" s="5" t="n">
        <f>D$51*'Assumptions and Catalog'!$C$31*C430*(1-'Assumptions and Catalog'!$C$10)^(A430-1)</f>
        <v>0</v>
      </c>
      <c r="G430" s="5" t="n">
        <f>MIN(F430,D430*C430)</f>
        <v>0</v>
      </c>
      <c r="H430" s="5" t="n">
        <f>I430/('Assumptions and Catalog'!$C$11*'Assumptions and Catalog'!$C$12)</f>
        <v>0</v>
      </c>
      <c r="I430" s="5" t="n">
        <f>IF(K$15="Grid cycle",MIN(K$16,D430+E430,P430*'Assumptions and Catalog'!$C$12,D$57*(24-'Assumptions and Catalog'!$C$15),D$56*'Assumptions and Catalog'!$C$15*'Assumptions and Catalog'!$C$11*'Assumptions and Catalog'!$C$12)*C430,0)</f>
        <v>0</v>
      </c>
      <c r="J430" s="5" t="n">
        <f>MAX(F430-G430-0,0)</f>
        <v>0</v>
      </c>
      <c r="K430" s="5" t="n">
        <f>H430-I430</f>
        <v>0</v>
      </c>
      <c r="L430" s="5" t="n">
        <f>(D430+E430)*C430-G430-I430+H430+IF(D$52&gt;0,'Assumptions and Catalog'!$C$26*C430,0)</f>
        <v>2501.7</v>
      </c>
      <c r="M430" s="5" t="n">
        <f>IF(ISNUMBER(Inputs!$L$5),(IF(Inputs!$L$9="Actual flat rate",((D430+E430)*C430)*Inputs!$L$10,IF(Inputs!$C$9="Residential",IF(((D430+E430)*C430)&lt;='Assumptions and Catalog'!$C$50,((D430+E430)*C430)*'Assumptions and Catalog'!$H$50+'Assumptions and Catalog'!$E$50+'Assumptions and Catalog'!$F$50,IF(((D430+E430)*C430)&lt;='Assumptions and Catalog'!$C$51,((D430+E430)*C430)*'Assumptions and Catalog'!$H$51+'Assumptions and Catalog'!$E$51+'Assumptions and Catalog'!$F$51,IF(((D430+E430)*C430)&lt;='Assumptions and Catalog'!$C$52,((D430+E430)*C430)*'Assumptions and Catalog'!$H$52+'Assumptions and Catalog'!$E$52+'Assumptions and Catalog'!$F$52,IF(((D430+E430)*C430)&lt;='Assumptions and Catalog'!$C$53,((D430+E430)*C430)*'Assumptions and Catalog'!$H$53+'Assumptions and Catalog'!$E$53+'Assumptions and Catalog'!$F$53,IF(((D430+E430)*C430)&lt;='Assumptions and Catalog'!$C$54,((D430+E430)*C430)*'Assumptions and Catalog'!$H$54+'Assumptions and Catalog'!$E$54+'Assumptions and Catalog'!$F$54,IF(((D430+E430)*C430)&lt;='Assumptions and Catalog'!$C$55,((D430+E430)*C430)*'Assumptions and Catalog'!$H$55+'Assumptions and Catalog'!$E$55+'Assumptions and Catalog'!$F$55,IF(((D430+E430)*C430)&lt;='Assumptions and Catalog'!$C$56,((D430+E430)*C430)*'Assumptions and Catalog'!$H$56+'Assumptions and Catalog'!$E$56+'Assumptions and Catalog'!$F$56,IF(((D430+E430)*C430)&lt;='Assumptions and Catalog'!$C$57,((D430+E430)*C430)*'Assumptions and Catalog'!$H$57+'Assumptions and Catalog'!$E$57+'Assumptions and Catalog'!$F$57,"Out of range")))))))),IF(((D430+E430)*C430)&lt;='Assumptions and Catalog'!$C$60,((D430+E430)*C430)*'Assumptions and Catalog'!$H$60+'Assumptions and Catalog'!$E$60+'Assumptions and Catalog'!$F$60,IF(((D430+E430)*C430)&lt;='Assumptions and Catalog'!$C$61,((D430+E430)*C430)*'Assumptions and Catalog'!$H$61+'Assumptions and Catalog'!$E$61+'Assumptions and Catalog'!$F$61,IF(((D430+E430)*C430)&lt;='Assumptions and Catalog'!$C$62,((D430+E430)*C430)*'Assumptions and Catalog'!$H$62+'Assumptions and Catalog'!$E$62+'Assumptions and Catalog'!$F$62,IF(((D430+E430)*C430)&lt;='Assumptions and Catalog'!$C$63,((D430+E430)*C430)*'Assumptions and Catalog'!$H$63+'Assumptions and Catalog'!$E$63+'Assumptions and Catalog'!$F$63,IF(((D430+E430)*C430)&lt;='Assumptions and Catalog'!$C$64,((D430+E430)*C430)*'Assumptions and Catalog'!$H$64+'Assumptions and Catalog'!$E$64+'Assumptions and Catalog'!$F$64,IF(((D430+E430)*C430)&lt;='Assumptions and Catalog'!$C$65,((D430+E430)*C430)*'Assumptions and Catalog'!$H$65+'Assumptions and Catalog'!$E$65+'Assumptions and Catalog'!$F$65,"Out of range")))))))))*(1+'Assumptions and Catalog'!$C$8)^(A430-1),0)</f>
        <v>7094.794</v>
      </c>
      <c r="N430" s="5" t="n">
        <f>IF(ISNUMBER(Inputs!$L$5),(IF(Inputs!$L$9="Actual flat rate",L430*Inputs!$L$10,IF(Inputs!$C$9="Residential",IF(L430&lt;='Assumptions and Catalog'!$C$50,L430*'Assumptions and Catalog'!$H$50+'Assumptions and Catalog'!$E$50+'Assumptions and Catalog'!$F$50,IF(L430&lt;='Assumptions and Catalog'!$C$51,L430*'Assumptions and Catalog'!$H$51+'Assumptions and Catalog'!$E$51+'Assumptions and Catalog'!$F$51,IF(L430&lt;='Assumptions and Catalog'!$C$52,L430*'Assumptions and Catalog'!$H$52+'Assumptions and Catalog'!$E$52+'Assumptions and Catalog'!$F$52,IF(L430&lt;='Assumptions and Catalog'!$C$53,L430*'Assumptions and Catalog'!$H$53+'Assumptions and Catalog'!$E$53+'Assumptions and Catalog'!$F$53,IF(L430&lt;='Assumptions and Catalog'!$C$54,L430*'Assumptions and Catalog'!$H$54+'Assumptions and Catalog'!$E$54+'Assumptions and Catalog'!$F$54,IF(L430&lt;='Assumptions and Catalog'!$C$55,L430*'Assumptions and Catalog'!$H$55+'Assumptions and Catalog'!$E$55+'Assumptions and Catalog'!$F$55,IF(L430&lt;='Assumptions and Catalog'!$C$56,L430*'Assumptions and Catalog'!$H$56+'Assumptions and Catalog'!$E$56+'Assumptions and Catalog'!$F$56,IF(L430&lt;='Assumptions and Catalog'!$C$57,L430*'Assumptions and Catalog'!$H$57+'Assumptions and Catalog'!$E$57+'Assumptions and Catalog'!$F$57,"Out of range")))))))),IF(L430&lt;='Assumptions and Catalog'!$C$60,L430*'Assumptions and Catalog'!$H$60+'Assumptions and Catalog'!$E$60+'Assumptions and Catalog'!$F$60,IF(L430&lt;='Assumptions and Catalog'!$C$61,L430*'Assumptions and Catalog'!$H$61+'Assumptions and Catalog'!$E$61+'Assumptions and Catalog'!$F$61,IF(L430&lt;='Assumptions and Catalog'!$C$62,L430*'Assumptions and Catalog'!$H$62+'Assumptions and Catalog'!$E$62+'Assumptions and Catalog'!$F$62,IF(L430&lt;='Assumptions and Catalog'!$C$63,L430*'Assumptions and Catalog'!$H$63+'Assumptions and Catalog'!$E$63+'Assumptions and Catalog'!$F$63,IF(L430&lt;='Assumptions and Catalog'!$C$64,L430*'Assumptions and Catalog'!$H$64+'Assumptions and Catalog'!$E$64+'Assumptions and Catalog'!$F$64,IF(L430&lt;='Assumptions and Catalog'!$C$65,L430*'Assumptions and Catalog'!$H$65+'Assumptions and Catalog'!$E$65+'Assumptions and Catalog'!$F$65,"Out of range")))))))))*(1+'Assumptions and Catalog'!$C$8)^(A430-1),0)</f>
        <v>7094.794</v>
      </c>
      <c r="O430" s="5" t="n">
        <f>M430-N430</f>
        <v>0</v>
      </c>
      <c r="P430" s="5" t="n">
        <f>D$55*(1-K$14)*(1-'Assumptions and Catalog'!$C$23)^R430</f>
        <v>0</v>
      </c>
      <c r="Q430" s="5" t="n">
        <f>IF(ISNUMBER(Inputs!$L$5),(IF(Inputs!$L$9="Actual flat rate",((D430+E430)*C430-G430)*Inputs!$L$10,IF(Inputs!$C$9="Residential",IF(((D430+E430)*C430-G430)&lt;='Assumptions and Catalog'!$C$50,((D430+E430)*C430-G430)*'Assumptions and Catalog'!$H$50+'Assumptions and Catalog'!$E$50+'Assumptions and Catalog'!$F$50,IF(((D430+E430)*C430-G430)&lt;='Assumptions and Catalog'!$C$51,((D430+E430)*C430-G430)*'Assumptions and Catalog'!$H$51+'Assumptions and Catalog'!$E$51+'Assumptions and Catalog'!$F$51,IF(((D430+E430)*C430-G430)&lt;='Assumptions and Catalog'!$C$52,((D430+E430)*C430-G430)*'Assumptions and Catalog'!$H$52+'Assumptions and Catalog'!$E$52+'Assumptions and Catalog'!$F$52,IF(((D430+E430)*C430-G430)&lt;='Assumptions and Catalog'!$C$53,((D430+E430)*C430-G430)*'Assumptions and Catalog'!$H$53+'Assumptions and Catalog'!$E$53+'Assumptions and Catalog'!$F$53,IF(((D430+E430)*C430-G430)&lt;='Assumptions and Catalog'!$C$54,((D430+E430)*C430-G430)*'Assumptions and Catalog'!$H$54+'Assumptions and Catalog'!$E$54+'Assumptions and Catalog'!$F$54,IF(((D430+E430)*C430-G430)&lt;='Assumptions and Catalog'!$C$55,((D430+E430)*C430-G430)*'Assumptions and Catalog'!$H$55+'Assumptions and Catalog'!$E$55+'Assumptions and Catalog'!$F$55,IF(((D430+E430)*C430-G430)&lt;='Assumptions and Catalog'!$C$56,((D430+E430)*C430-G430)*'Assumptions and Catalog'!$H$56+'Assumptions and Catalog'!$E$56+'Assumptions and Catalog'!$F$56,IF(((D430+E430)*C430-G430)&lt;='Assumptions and Catalog'!$C$57,((D430+E430)*C430-G430)*'Assumptions and Catalog'!$H$57+'Assumptions and Catalog'!$E$57+'Assumptions and Catalog'!$F$57,"Out of range")))))))),IF(((D430+E430)*C430-G430)&lt;='Assumptions and Catalog'!$C$60,((D430+E430)*C430-G430)*'Assumptions and Catalog'!$H$60+'Assumptions and Catalog'!$E$60+'Assumptions and Catalog'!$F$60,IF(((D430+E430)*C430-G430)&lt;='Assumptions and Catalog'!$C$61,((D430+E430)*C430-G430)*'Assumptions and Catalog'!$H$61+'Assumptions and Catalog'!$E$61+'Assumptions and Catalog'!$F$61,IF(((D430+E430)*C430-G430)&lt;='Assumptions and Catalog'!$C$62,((D430+E430)*C430-G430)*'Assumptions and Catalog'!$H$62+'Assumptions and Catalog'!$E$62+'Assumptions and Catalog'!$F$62,IF(((D430+E430)*C430-G430)&lt;='Assumptions and Catalog'!$C$63,((D430+E430)*C430-G430)*'Assumptions and Catalog'!$H$63+'Assumptions and Catalog'!$E$63+'Assumptions and Catalog'!$F$63,IF(((D430+E430)*C430-G430)&lt;='Assumptions and Catalog'!$C$64,((D430+E430)*C430-G430)*'Assumptions and Catalog'!$H$64+'Assumptions and Catalog'!$E$64+'Assumptions and Catalog'!$F$64,IF(((D430+E430)*C430-G430)&lt;='Assumptions and Catalog'!$C$65,((D430+E430)*C430-G430)*'Assumptions and Catalog'!$H$65+'Assumptions and Catalog'!$E$65+'Assumptions and Catalog'!$F$65,"Out of range")))))))))*(1+'Assumptions and Catalog'!$C$8)^(A430-1),0)</f>
        <v>7094.794</v>
      </c>
      <c r="R430" s="5" t="n">
        <f>IF(AND('Assumptions and Catalog'!$C$19&gt;0,A430&gt;='Assumptions and Catalog'!$C$19),A430-'Assumptions and Catalog'!$C$19,A430-1)</f>
        <v>1</v>
      </c>
      <c r="S430" s="5" t="n">
        <f>F430+L430-(D430+E430)*C430-J430-K430-IF(D$52&gt;0,'Assumptions and Catalog'!$C$26*C430,0)</f>
        <v>0</v>
      </c>
      <c r="T430" s="5"/>
      <c r="U430" s="5"/>
    </row>
    <row r="431" ht="23.100000381469727" customHeight="1">
      <c r="A431" s="5" t="n">
        <v>2</v>
      </c>
      <c r="B431" s="5" t="n">
        <v>9</v>
      </c>
      <c r="C431" s="5" t="n">
        <f>DAY(DATE('Assumptions and Catalog'!$C$24+A431-1,B431+1,0))</f>
        <v>30</v>
      </c>
      <c r="D431" s="5" t="n">
        <f>IF(ISNUMBER(Inputs!$L$5),Inputs!$L$5*Inputs!$L$6,0)</f>
        <v>40.35</v>
      </c>
      <c r="E431" s="5" t="n">
        <f>IF(ISNUMBER(Inputs!$L$5),Inputs!$L$5-D431,0)</f>
        <v>40.35</v>
      </c>
      <c r="F431" s="5" t="n">
        <f>D$51*'Assumptions and Catalog'!$C$31*C431*(1-'Assumptions and Catalog'!$C$10)^(A431-1)</f>
        <v>0</v>
      </c>
      <c r="G431" s="5" t="n">
        <f>MIN(F431,D431*C431)</f>
        <v>0</v>
      </c>
      <c r="H431" s="5" t="n">
        <f>I431/('Assumptions and Catalog'!$C$11*'Assumptions and Catalog'!$C$12)</f>
        <v>0</v>
      </c>
      <c r="I431" s="5" t="n">
        <f>IF(K$15="Grid cycle",MIN(K$16,D431+E431,P431*'Assumptions and Catalog'!$C$12,D$57*(24-'Assumptions and Catalog'!$C$15),D$56*'Assumptions and Catalog'!$C$15*'Assumptions and Catalog'!$C$11*'Assumptions and Catalog'!$C$12)*C431,0)</f>
        <v>0</v>
      </c>
      <c r="J431" s="5" t="n">
        <f>MAX(F431-G431-0,0)</f>
        <v>0</v>
      </c>
      <c r="K431" s="5" t="n">
        <f>H431-I431</f>
        <v>0</v>
      </c>
      <c r="L431" s="5" t="n">
        <f>(D431+E431)*C431-G431-I431+H431+IF(D$52&gt;0,'Assumptions and Catalog'!$C$26*C431,0)</f>
        <v>2421</v>
      </c>
      <c r="M431" s="5" t="n">
        <f>IF(ISNUMBER(Inputs!$L$5),(IF(Inputs!$L$9="Actual flat rate",((D431+E431)*C431)*Inputs!$L$10,IF(Inputs!$C$9="Residential",IF(((D431+E431)*C431)&lt;='Assumptions and Catalog'!$C$50,((D431+E431)*C431)*'Assumptions and Catalog'!$H$50+'Assumptions and Catalog'!$E$50+'Assumptions and Catalog'!$F$50,IF(((D431+E431)*C431)&lt;='Assumptions and Catalog'!$C$51,((D431+E431)*C431)*'Assumptions and Catalog'!$H$51+'Assumptions and Catalog'!$E$51+'Assumptions and Catalog'!$F$51,IF(((D431+E431)*C431)&lt;='Assumptions and Catalog'!$C$52,((D431+E431)*C431)*'Assumptions and Catalog'!$H$52+'Assumptions and Catalog'!$E$52+'Assumptions and Catalog'!$F$52,IF(((D431+E431)*C431)&lt;='Assumptions and Catalog'!$C$53,((D431+E431)*C431)*'Assumptions and Catalog'!$H$53+'Assumptions and Catalog'!$E$53+'Assumptions and Catalog'!$F$53,IF(((D431+E431)*C431)&lt;='Assumptions and Catalog'!$C$54,((D431+E431)*C431)*'Assumptions and Catalog'!$H$54+'Assumptions and Catalog'!$E$54+'Assumptions and Catalog'!$F$54,IF(((D431+E431)*C431)&lt;='Assumptions and Catalog'!$C$55,((D431+E431)*C431)*'Assumptions and Catalog'!$H$55+'Assumptions and Catalog'!$E$55+'Assumptions and Catalog'!$F$55,IF(((D431+E431)*C431)&lt;='Assumptions and Catalog'!$C$56,((D431+E431)*C431)*'Assumptions and Catalog'!$H$56+'Assumptions and Catalog'!$E$56+'Assumptions and Catalog'!$F$56,IF(((D431+E431)*C431)&lt;='Assumptions and Catalog'!$C$57,((D431+E431)*C431)*'Assumptions and Catalog'!$H$57+'Assumptions and Catalog'!$E$57+'Assumptions and Catalog'!$F$57,"Out of range")))))))),IF(((D431+E431)*C431)&lt;='Assumptions and Catalog'!$C$60,((D431+E431)*C431)*'Assumptions and Catalog'!$H$60+'Assumptions and Catalog'!$E$60+'Assumptions and Catalog'!$F$60,IF(((D431+E431)*C431)&lt;='Assumptions and Catalog'!$C$61,((D431+E431)*C431)*'Assumptions and Catalog'!$H$61+'Assumptions and Catalog'!$E$61+'Assumptions and Catalog'!$F$61,IF(((D431+E431)*C431)&lt;='Assumptions and Catalog'!$C$62,((D431+E431)*C431)*'Assumptions and Catalog'!$H$62+'Assumptions and Catalog'!$E$62+'Assumptions and Catalog'!$F$62,IF(((D431+E431)*C431)&lt;='Assumptions and Catalog'!$C$63,((D431+E431)*C431)*'Assumptions and Catalog'!$H$63+'Assumptions and Catalog'!$E$63+'Assumptions and Catalog'!$F$63,IF(((D431+E431)*C431)&lt;='Assumptions and Catalog'!$C$64,((D431+E431)*C431)*'Assumptions and Catalog'!$H$64+'Assumptions and Catalog'!$E$64+'Assumptions and Catalog'!$F$64,IF(((D431+E431)*C431)&lt;='Assumptions and Catalog'!$C$65,((D431+E431)*C431)*'Assumptions and Catalog'!$H$65+'Assumptions and Catalog'!$E$65+'Assumptions and Catalog'!$F$65,"Out of range")))))))))*(1+'Assumptions and Catalog'!$C$8)^(A431-1),0)</f>
        <v>6867.22</v>
      </c>
      <c r="N431" s="5" t="n">
        <f>IF(ISNUMBER(Inputs!$L$5),(IF(Inputs!$L$9="Actual flat rate",L431*Inputs!$L$10,IF(Inputs!$C$9="Residential",IF(L431&lt;='Assumptions and Catalog'!$C$50,L431*'Assumptions and Catalog'!$H$50+'Assumptions and Catalog'!$E$50+'Assumptions and Catalog'!$F$50,IF(L431&lt;='Assumptions and Catalog'!$C$51,L431*'Assumptions and Catalog'!$H$51+'Assumptions and Catalog'!$E$51+'Assumptions and Catalog'!$F$51,IF(L431&lt;='Assumptions and Catalog'!$C$52,L431*'Assumptions and Catalog'!$H$52+'Assumptions and Catalog'!$E$52+'Assumptions and Catalog'!$F$52,IF(L431&lt;='Assumptions and Catalog'!$C$53,L431*'Assumptions and Catalog'!$H$53+'Assumptions and Catalog'!$E$53+'Assumptions and Catalog'!$F$53,IF(L431&lt;='Assumptions and Catalog'!$C$54,L431*'Assumptions and Catalog'!$H$54+'Assumptions and Catalog'!$E$54+'Assumptions and Catalog'!$F$54,IF(L431&lt;='Assumptions and Catalog'!$C$55,L431*'Assumptions and Catalog'!$H$55+'Assumptions and Catalog'!$E$55+'Assumptions and Catalog'!$F$55,IF(L431&lt;='Assumptions and Catalog'!$C$56,L431*'Assumptions and Catalog'!$H$56+'Assumptions and Catalog'!$E$56+'Assumptions and Catalog'!$F$56,IF(L431&lt;='Assumptions and Catalog'!$C$57,L431*'Assumptions and Catalog'!$H$57+'Assumptions and Catalog'!$E$57+'Assumptions and Catalog'!$F$57,"Out of range")))))))),IF(L431&lt;='Assumptions and Catalog'!$C$60,L431*'Assumptions and Catalog'!$H$60+'Assumptions and Catalog'!$E$60+'Assumptions and Catalog'!$F$60,IF(L431&lt;='Assumptions and Catalog'!$C$61,L431*'Assumptions and Catalog'!$H$61+'Assumptions and Catalog'!$E$61+'Assumptions and Catalog'!$F$61,IF(L431&lt;='Assumptions and Catalog'!$C$62,L431*'Assumptions and Catalog'!$H$62+'Assumptions and Catalog'!$E$62+'Assumptions and Catalog'!$F$62,IF(L431&lt;='Assumptions and Catalog'!$C$63,L431*'Assumptions and Catalog'!$H$63+'Assumptions and Catalog'!$E$63+'Assumptions and Catalog'!$F$63,IF(L431&lt;='Assumptions and Catalog'!$C$64,L431*'Assumptions and Catalog'!$H$64+'Assumptions and Catalog'!$E$64+'Assumptions and Catalog'!$F$64,IF(L431&lt;='Assumptions and Catalog'!$C$65,L431*'Assumptions and Catalog'!$H$65+'Assumptions and Catalog'!$E$65+'Assumptions and Catalog'!$F$65,"Out of range")))))))))*(1+'Assumptions and Catalog'!$C$8)^(A431-1),0)</f>
        <v>6867.22</v>
      </c>
      <c r="O431" s="5" t="n">
        <f>M431-N431</f>
        <v>0</v>
      </c>
      <c r="P431" s="5" t="n">
        <f>D$55*(1-K$14)*(1-'Assumptions and Catalog'!$C$23)^R431</f>
        <v>0</v>
      </c>
      <c r="Q431" s="5" t="n">
        <f>IF(ISNUMBER(Inputs!$L$5),(IF(Inputs!$L$9="Actual flat rate",((D431+E431)*C431-G431)*Inputs!$L$10,IF(Inputs!$C$9="Residential",IF(((D431+E431)*C431-G431)&lt;='Assumptions and Catalog'!$C$50,((D431+E431)*C431-G431)*'Assumptions and Catalog'!$H$50+'Assumptions and Catalog'!$E$50+'Assumptions and Catalog'!$F$50,IF(((D431+E431)*C431-G431)&lt;='Assumptions and Catalog'!$C$51,((D431+E431)*C431-G431)*'Assumptions and Catalog'!$H$51+'Assumptions and Catalog'!$E$51+'Assumptions and Catalog'!$F$51,IF(((D431+E431)*C431-G431)&lt;='Assumptions and Catalog'!$C$52,((D431+E431)*C431-G431)*'Assumptions and Catalog'!$H$52+'Assumptions and Catalog'!$E$52+'Assumptions and Catalog'!$F$52,IF(((D431+E431)*C431-G431)&lt;='Assumptions and Catalog'!$C$53,((D431+E431)*C431-G431)*'Assumptions and Catalog'!$H$53+'Assumptions and Catalog'!$E$53+'Assumptions and Catalog'!$F$53,IF(((D431+E431)*C431-G431)&lt;='Assumptions and Catalog'!$C$54,((D431+E431)*C431-G431)*'Assumptions and Catalog'!$H$54+'Assumptions and Catalog'!$E$54+'Assumptions and Catalog'!$F$54,IF(((D431+E431)*C431-G431)&lt;='Assumptions and Catalog'!$C$55,((D431+E431)*C431-G431)*'Assumptions and Catalog'!$H$55+'Assumptions and Catalog'!$E$55+'Assumptions and Catalog'!$F$55,IF(((D431+E431)*C431-G431)&lt;='Assumptions and Catalog'!$C$56,((D431+E431)*C431-G431)*'Assumptions and Catalog'!$H$56+'Assumptions and Catalog'!$E$56+'Assumptions and Catalog'!$F$56,IF(((D431+E431)*C431-G431)&lt;='Assumptions and Catalog'!$C$57,((D431+E431)*C431-G431)*'Assumptions and Catalog'!$H$57+'Assumptions and Catalog'!$E$57+'Assumptions and Catalog'!$F$57,"Out of range")))))))),IF(((D431+E431)*C431-G431)&lt;='Assumptions and Catalog'!$C$60,((D431+E431)*C431-G431)*'Assumptions and Catalog'!$H$60+'Assumptions and Catalog'!$E$60+'Assumptions and Catalog'!$F$60,IF(((D431+E431)*C431-G431)&lt;='Assumptions and Catalog'!$C$61,((D431+E431)*C431-G431)*'Assumptions and Catalog'!$H$61+'Assumptions and Catalog'!$E$61+'Assumptions and Catalog'!$F$61,IF(((D431+E431)*C431-G431)&lt;='Assumptions and Catalog'!$C$62,((D431+E431)*C431-G431)*'Assumptions and Catalog'!$H$62+'Assumptions and Catalog'!$E$62+'Assumptions and Catalog'!$F$62,IF(((D431+E431)*C431-G431)&lt;='Assumptions and Catalog'!$C$63,((D431+E431)*C431-G431)*'Assumptions and Catalog'!$H$63+'Assumptions and Catalog'!$E$63+'Assumptions and Catalog'!$F$63,IF(((D431+E431)*C431-G431)&lt;='Assumptions and Catalog'!$C$64,((D431+E431)*C431-G431)*'Assumptions and Catalog'!$H$64+'Assumptions and Catalog'!$E$64+'Assumptions and Catalog'!$F$64,IF(((D431+E431)*C431-G431)&lt;='Assumptions and Catalog'!$C$65,((D431+E431)*C431-G431)*'Assumptions and Catalog'!$H$65+'Assumptions and Catalog'!$E$65+'Assumptions and Catalog'!$F$65,"Out of range")))))))))*(1+'Assumptions and Catalog'!$C$8)^(A431-1),0)</f>
        <v>6867.22</v>
      </c>
      <c r="R431" s="5" t="n">
        <f>IF(AND('Assumptions and Catalog'!$C$19&gt;0,A431&gt;='Assumptions and Catalog'!$C$19),A431-'Assumptions and Catalog'!$C$19,A431-1)</f>
        <v>1</v>
      </c>
      <c r="S431" s="5" t="n">
        <f>F431+L431-(D431+E431)*C431-J431-K431-IF(D$52&gt;0,'Assumptions and Catalog'!$C$26*C431,0)</f>
        <v>0</v>
      </c>
      <c r="T431" s="5"/>
      <c r="U431" s="5"/>
    </row>
    <row r="432" ht="23.100000381469727" customHeight="1">
      <c r="A432" s="5" t="n">
        <v>2</v>
      </c>
      <c r="B432" s="5" t="n">
        <v>10</v>
      </c>
      <c r="C432" s="5" t="n">
        <f>DAY(DATE('Assumptions and Catalog'!$C$24+A432-1,B432+1,0))</f>
        <v>31</v>
      </c>
      <c r="D432" s="5" t="n">
        <f>IF(ISNUMBER(Inputs!$L$5),Inputs!$L$5*Inputs!$L$6,0)</f>
        <v>40.35</v>
      </c>
      <c r="E432" s="5" t="n">
        <f>IF(ISNUMBER(Inputs!$L$5),Inputs!$L$5-D432,0)</f>
        <v>40.35</v>
      </c>
      <c r="F432" s="5" t="n">
        <f>D$51*'Assumptions and Catalog'!$C$31*C432*(1-'Assumptions and Catalog'!$C$10)^(A432-1)</f>
        <v>0</v>
      </c>
      <c r="G432" s="5" t="n">
        <f>MIN(F432,D432*C432)</f>
        <v>0</v>
      </c>
      <c r="H432" s="5" t="n">
        <f>I432/('Assumptions and Catalog'!$C$11*'Assumptions and Catalog'!$C$12)</f>
        <v>0</v>
      </c>
      <c r="I432" s="5" t="n">
        <f>IF(K$15="Grid cycle",MIN(K$16,D432+E432,P432*'Assumptions and Catalog'!$C$12,D$57*(24-'Assumptions and Catalog'!$C$15),D$56*'Assumptions and Catalog'!$C$15*'Assumptions and Catalog'!$C$11*'Assumptions and Catalog'!$C$12)*C432,0)</f>
        <v>0</v>
      </c>
      <c r="J432" s="5" t="n">
        <f>MAX(F432-G432-0,0)</f>
        <v>0</v>
      </c>
      <c r="K432" s="5" t="n">
        <f>H432-I432</f>
        <v>0</v>
      </c>
      <c r="L432" s="5" t="n">
        <f>(D432+E432)*C432-G432-I432+H432+IF(D$52&gt;0,'Assumptions and Catalog'!$C$26*C432,0)</f>
        <v>2501.7</v>
      </c>
      <c r="M432" s="5" t="n">
        <f>IF(ISNUMBER(Inputs!$L$5),(IF(Inputs!$L$9="Actual flat rate",((D432+E432)*C432)*Inputs!$L$10,IF(Inputs!$C$9="Residential",IF(((D432+E432)*C432)&lt;='Assumptions and Catalog'!$C$50,((D432+E432)*C432)*'Assumptions and Catalog'!$H$50+'Assumptions and Catalog'!$E$50+'Assumptions and Catalog'!$F$50,IF(((D432+E432)*C432)&lt;='Assumptions and Catalog'!$C$51,((D432+E432)*C432)*'Assumptions and Catalog'!$H$51+'Assumptions and Catalog'!$E$51+'Assumptions and Catalog'!$F$51,IF(((D432+E432)*C432)&lt;='Assumptions and Catalog'!$C$52,((D432+E432)*C432)*'Assumptions and Catalog'!$H$52+'Assumptions and Catalog'!$E$52+'Assumptions and Catalog'!$F$52,IF(((D432+E432)*C432)&lt;='Assumptions and Catalog'!$C$53,((D432+E432)*C432)*'Assumptions and Catalog'!$H$53+'Assumptions and Catalog'!$E$53+'Assumptions and Catalog'!$F$53,IF(((D432+E432)*C432)&lt;='Assumptions and Catalog'!$C$54,((D432+E432)*C432)*'Assumptions and Catalog'!$H$54+'Assumptions and Catalog'!$E$54+'Assumptions and Catalog'!$F$54,IF(((D432+E432)*C432)&lt;='Assumptions and Catalog'!$C$55,((D432+E432)*C432)*'Assumptions and Catalog'!$H$55+'Assumptions and Catalog'!$E$55+'Assumptions and Catalog'!$F$55,IF(((D432+E432)*C432)&lt;='Assumptions and Catalog'!$C$56,((D432+E432)*C432)*'Assumptions and Catalog'!$H$56+'Assumptions and Catalog'!$E$56+'Assumptions and Catalog'!$F$56,IF(((D432+E432)*C432)&lt;='Assumptions and Catalog'!$C$57,((D432+E432)*C432)*'Assumptions and Catalog'!$H$57+'Assumptions and Catalog'!$E$57+'Assumptions and Catalog'!$F$57,"Out of range")))))))),IF(((D432+E432)*C432)&lt;='Assumptions and Catalog'!$C$60,((D432+E432)*C432)*'Assumptions and Catalog'!$H$60+'Assumptions and Catalog'!$E$60+'Assumptions and Catalog'!$F$60,IF(((D432+E432)*C432)&lt;='Assumptions and Catalog'!$C$61,((D432+E432)*C432)*'Assumptions and Catalog'!$H$61+'Assumptions and Catalog'!$E$61+'Assumptions and Catalog'!$F$61,IF(((D432+E432)*C432)&lt;='Assumptions and Catalog'!$C$62,((D432+E432)*C432)*'Assumptions and Catalog'!$H$62+'Assumptions and Catalog'!$E$62+'Assumptions and Catalog'!$F$62,IF(((D432+E432)*C432)&lt;='Assumptions and Catalog'!$C$63,((D432+E432)*C432)*'Assumptions and Catalog'!$H$63+'Assumptions and Catalog'!$E$63+'Assumptions and Catalog'!$F$63,IF(((D432+E432)*C432)&lt;='Assumptions and Catalog'!$C$64,((D432+E432)*C432)*'Assumptions and Catalog'!$H$64+'Assumptions and Catalog'!$E$64+'Assumptions and Catalog'!$F$64,IF(((D432+E432)*C432)&lt;='Assumptions and Catalog'!$C$65,((D432+E432)*C432)*'Assumptions and Catalog'!$H$65+'Assumptions and Catalog'!$E$65+'Assumptions and Catalog'!$F$65,"Out of range")))))))))*(1+'Assumptions and Catalog'!$C$8)^(A432-1),0)</f>
        <v>7094.794</v>
      </c>
      <c r="N432" s="5" t="n">
        <f>IF(ISNUMBER(Inputs!$L$5),(IF(Inputs!$L$9="Actual flat rate",L432*Inputs!$L$10,IF(Inputs!$C$9="Residential",IF(L432&lt;='Assumptions and Catalog'!$C$50,L432*'Assumptions and Catalog'!$H$50+'Assumptions and Catalog'!$E$50+'Assumptions and Catalog'!$F$50,IF(L432&lt;='Assumptions and Catalog'!$C$51,L432*'Assumptions and Catalog'!$H$51+'Assumptions and Catalog'!$E$51+'Assumptions and Catalog'!$F$51,IF(L432&lt;='Assumptions and Catalog'!$C$52,L432*'Assumptions and Catalog'!$H$52+'Assumptions and Catalog'!$E$52+'Assumptions and Catalog'!$F$52,IF(L432&lt;='Assumptions and Catalog'!$C$53,L432*'Assumptions and Catalog'!$H$53+'Assumptions and Catalog'!$E$53+'Assumptions and Catalog'!$F$53,IF(L432&lt;='Assumptions and Catalog'!$C$54,L432*'Assumptions and Catalog'!$H$54+'Assumptions and Catalog'!$E$54+'Assumptions and Catalog'!$F$54,IF(L432&lt;='Assumptions and Catalog'!$C$55,L432*'Assumptions and Catalog'!$H$55+'Assumptions and Catalog'!$E$55+'Assumptions and Catalog'!$F$55,IF(L432&lt;='Assumptions and Catalog'!$C$56,L432*'Assumptions and Catalog'!$H$56+'Assumptions and Catalog'!$E$56+'Assumptions and Catalog'!$F$56,IF(L432&lt;='Assumptions and Catalog'!$C$57,L432*'Assumptions and Catalog'!$H$57+'Assumptions and Catalog'!$E$57+'Assumptions and Catalog'!$F$57,"Out of range")))))))),IF(L432&lt;='Assumptions and Catalog'!$C$60,L432*'Assumptions and Catalog'!$H$60+'Assumptions and Catalog'!$E$60+'Assumptions and Catalog'!$F$60,IF(L432&lt;='Assumptions and Catalog'!$C$61,L432*'Assumptions and Catalog'!$H$61+'Assumptions and Catalog'!$E$61+'Assumptions and Catalog'!$F$61,IF(L432&lt;='Assumptions and Catalog'!$C$62,L432*'Assumptions and Catalog'!$H$62+'Assumptions and Catalog'!$E$62+'Assumptions and Catalog'!$F$62,IF(L432&lt;='Assumptions and Catalog'!$C$63,L432*'Assumptions and Catalog'!$H$63+'Assumptions and Catalog'!$E$63+'Assumptions and Catalog'!$F$63,IF(L432&lt;='Assumptions and Catalog'!$C$64,L432*'Assumptions and Catalog'!$H$64+'Assumptions and Catalog'!$E$64+'Assumptions and Catalog'!$F$64,IF(L432&lt;='Assumptions and Catalog'!$C$65,L432*'Assumptions and Catalog'!$H$65+'Assumptions and Catalog'!$E$65+'Assumptions and Catalog'!$F$65,"Out of range")))))))))*(1+'Assumptions and Catalog'!$C$8)^(A432-1),0)</f>
        <v>7094.794</v>
      </c>
      <c r="O432" s="5" t="n">
        <f>M432-N432</f>
        <v>0</v>
      </c>
      <c r="P432" s="5" t="n">
        <f>D$55*(1-K$14)*(1-'Assumptions and Catalog'!$C$23)^R432</f>
        <v>0</v>
      </c>
      <c r="Q432" s="5" t="n">
        <f>IF(ISNUMBER(Inputs!$L$5),(IF(Inputs!$L$9="Actual flat rate",((D432+E432)*C432-G432)*Inputs!$L$10,IF(Inputs!$C$9="Residential",IF(((D432+E432)*C432-G432)&lt;='Assumptions and Catalog'!$C$50,((D432+E432)*C432-G432)*'Assumptions and Catalog'!$H$50+'Assumptions and Catalog'!$E$50+'Assumptions and Catalog'!$F$50,IF(((D432+E432)*C432-G432)&lt;='Assumptions and Catalog'!$C$51,((D432+E432)*C432-G432)*'Assumptions and Catalog'!$H$51+'Assumptions and Catalog'!$E$51+'Assumptions and Catalog'!$F$51,IF(((D432+E432)*C432-G432)&lt;='Assumptions and Catalog'!$C$52,((D432+E432)*C432-G432)*'Assumptions and Catalog'!$H$52+'Assumptions and Catalog'!$E$52+'Assumptions and Catalog'!$F$52,IF(((D432+E432)*C432-G432)&lt;='Assumptions and Catalog'!$C$53,((D432+E432)*C432-G432)*'Assumptions and Catalog'!$H$53+'Assumptions and Catalog'!$E$53+'Assumptions and Catalog'!$F$53,IF(((D432+E432)*C432-G432)&lt;='Assumptions and Catalog'!$C$54,((D432+E432)*C432-G432)*'Assumptions and Catalog'!$H$54+'Assumptions and Catalog'!$E$54+'Assumptions and Catalog'!$F$54,IF(((D432+E432)*C432-G432)&lt;='Assumptions and Catalog'!$C$55,((D432+E432)*C432-G432)*'Assumptions and Catalog'!$H$55+'Assumptions and Catalog'!$E$55+'Assumptions and Catalog'!$F$55,IF(((D432+E432)*C432-G432)&lt;='Assumptions and Catalog'!$C$56,((D432+E432)*C432-G432)*'Assumptions and Catalog'!$H$56+'Assumptions and Catalog'!$E$56+'Assumptions and Catalog'!$F$56,IF(((D432+E432)*C432-G432)&lt;='Assumptions and Catalog'!$C$57,((D432+E432)*C432-G432)*'Assumptions and Catalog'!$H$57+'Assumptions and Catalog'!$E$57+'Assumptions and Catalog'!$F$57,"Out of range")))))))),IF(((D432+E432)*C432-G432)&lt;='Assumptions and Catalog'!$C$60,((D432+E432)*C432-G432)*'Assumptions and Catalog'!$H$60+'Assumptions and Catalog'!$E$60+'Assumptions and Catalog'!$F$60,IF(((D432+E432)*C432-G432)&lt;='Assumptions and Catalog'!$C$61,((D432+E432)*C432-G432)*'Assumptions and Catalog'!$H$61+'Assumptions and Catalog'!$E$61+'Assumptions and Catalog'!$F$61,IF(((D432+E432)*C432-G432)&lt;='Assumptions and Catalog'!$C$62,((D432+E432)*C432-G432)*'Assumptions and Catalog'!$H$62+'Assumptions and Catalog'!$E$62+'Assumptions and Catalog'!$F$62,IF(((D432+E432)*C432-G432)&lt;='Assumptions and Catalog'!$C$63,((D432+E432)*C432-G432)*'Assumptions and Catalog'!$H$63+'Assumptions and Catalog'!$E$63+'Assumptions and Catalog'!$F$63,IF(((D432+E432)*C432-G432)&lt;='Assumptions and Catalog'!$C$64,((D432+E432)*C432-G432)*'Assumptions and Catalog'!$H$64+'Assumptions and Catalog'!$E$64+'Assumptions and Catalog'!$F$64,IF(((D432+E432)*C432-G432)&lt;='Assumptions and Catalog'!$C$65,((D432+E432)*C432-G432)*'Assumptions and Catalog'!$H$65+'Assumptions and Catalog'!$E$65+'Assumptions and Catalog'!$F$65,"Out of range")))))))))*(1+'Assumptions and Catalog'!$C$8)^(A432-1),0)</f>
        <v>7094.794</v>
      </c>
      <c r="R432" s="5" t="n">
        <f>IF(AND('Assumptions and Catalog'!$C$19&gt;0,A432&gt;='Assumptions and Catalog'!$C$19),A432-'Assumptions and Catalog'!$C$19,A432-1)</f>
        <v>1</v>
      </c>
      <c r="S432" s="5" t="n">
        <f>F432+L432-(D432+E432)*C432-J432-K432-IF(D$52&gt;0,'Assumptions and Catalog'!$C$26*C432,0)</f>
        <v>0</v>
      </c>
      <c r="T432" s="5"/>
      <c r="U432" s="5"/>
    </row>
    <row r="433" ht="23.100000381469727" customHeight="1">
      <c r="A433" s="5" t="n">
        <v>2</v>
      </c>
      <c r="B433" s="5" t="n">
        <v>11</v>
      </c>
      <c r="C433" s="5" t="n">
        <f>DAY(DATE('Assumptions and Catalog'!$C$24+A433-1,B433+1,0))</f>
        <v>30</v>
      </c>
      <c r="D433" s="5" t="n">
        <f>IF(ISNUMBER(Inputs!$L$5),Inputs!$L$5*Inputs!$L$6,0)</f>
        <v>40.35</v>
      </c>
      <c r="E433" s="5" t="n">
        <f>IF(ISNUMBER(Inputs!$L$5),Inputs!$L$5-D433,0)</f>
        <v>40.35</v>
      </c>
      <c r="F433" s="5" t="n">
        <f>D$51*'Assumptions and Catalog'!$C$31*C433*(1-'Assumptions and Catalog'!$C$10)^(A433-1)</f>
        <v>0</v>
      </c>
      <c r="G433" s="5" t="n">
        <f>MIN(F433,D433*C433)</f>
        <v>0</v>
      </c>
      <c r="H433" s="5" t="n">
        <f>I433/('Assumptions and Catalog'!$C$11*'Assumptions and Catalog'!$C$12)</f>
        <v>0</v>
      </c>
      <c r="I433" s="5" t="n">
        <f>IF(K$15="Grid cycle",MIN(K$16,D433+E433,P433*'Assumptions and Catalog'!$C$12,D$57*(24-'Assumptions and Catalog'!$C$15),D$56*'Assumptions and Catalog'!$C$15*'Assumptions and Catalog'!$C$11*'Assumptions and Catalog'!$C$12)*C433,0)</f>
        <v>0</v>
      </c>
      <c r="J433" s="5" t="n">
        <f>MAX(F433-G433-0,0)</f>
        <v>0</v>
      </c>
      <c r="K433" s="5" t="n">
        <f>H433-I433</f>
        <v>0</v>
      </c>
      <c r="L433" s="5" t="n">
        <f>(D433+E433)*C433-G433-I433+H433+IF(D$52&gt;0,'Assumptions and Catalog'!$C$26*C433,0)</f>
        <v>2421</v>
      </c>
      <c r="M433" s="5" t="n">
        <f>IF(ISNUMBER(Inputs!$L$5),(IF(Inputs!$L$9="Actual flat rate",((D433+E433)*C433)*Inputs!$L$10,IF(Inputs!$C$9="Residential",IF(((D433+E433)*C433)&lt;='Assumptions and Catalog'!$C$50,((D433+E433)*C433)*'Assumptions and Catalog'!$H$50+'Assumptions and Catalog'!$E$50+'Assumptions and Catalog'!$F$50,IF(((D433+E433)*C433)&lt;='Assumptions and Catalog'!$C$51,((D433+E433)*C433)*'Assumptions and Catalog'!$H$51+'Assumptions and Catalog'!$E$51+'Assumptions and Catalog'!$F$51,IF(((D433+E433)*C433)&lt;='Assumptions and Catalog'!$C$52,((D433+E433)*C433)*'Assumptions and Catalog'!$H$52+'Assumptions and Catalog'!$E$52+'Assumptions and Catalog'!$F$52,IF(((D433+E433)*C433)&lt;='Assumptions and Catalog'!$C$53,((D433+E433)*C433)*'Assumptions and Catalog'!$H$53+'Assumptions and Catalog'!$E$53+'Assumptions and Catalog'!$F$53,IF(((D433+E433)*C433)&lt;='Assumptions and Catalog'!$C$54,((D433+E433)*C433)*'Assumptions and Catalog'!$H$54+'Assumptions and Catalog'!$E$54+'Assumptions and Catalog'!$F$54,IF(((D433+E433)*C433)&lt;='Assumptions and Catalog'!$C$55,((D433+E433)*C433)*'Assumptions and Catalog'!$H$55+'Assumptions and Catalog'!$E$55+'Assumptions and Catalog'!$F$55,IF(((D433+E433)*C433)&lt;='Assumptions and Catalog'!$C$56,((D433+E433)*C433)*'Assumptions and Catalog'!$H$56+'Assumptions and Catalog'!$E$56+'Assumptions and Catalog'!$F$56,IF(((D433+E433)*C433)&lt;='Assumptions and Catalog'!$C$57,((D433+E433)*C433)*'Assumptions and Catalog'!$H$57+'Assumptions and Catalog'!$E$57+'Assumptions and Catalog'!$F$57,"Out of range")))))))),IF(((D433+E433)*C433)&lt;='Assumptions and Catalog'!$C$60,((D433+E433)*C433)*'Assumptions and Catalog'!$H$60+'Assumptions and Catalog'!$E$60+'Assumptions and Catalog'!$F$60,IF(((D433+E433)*C433)&lt;='Assumptions and Catalog'!$C$61,((D433+E433)*C433)*'Assumptions and Catalog'!$H$61+'Assumptions and Catalog'!$E$61+'Assumptions and Catalog'!$F$61,IF(((D433+E433)*C433)&lt;='Assumptions and Catalog'!$C$62,((D433+E433)*C433)*'Assumptions and Catalog'!$H$62+'Assumptions and Catalog'!$E$62+'Assumptions and Catalog'!$F$62,IF(((D433+E433)*C433)&lt;='Assumptions and Catalog'!$C$63,((D433+E433)*C433)*'Assumptions and Catalog'!$H$63+'Assumptions and Catalog'!$E$63+'Assumptions and Catalog'!$F$63,IF(((D433+E433)*C433)&lt;='Assumptions and Catalog'!$C$64,((D433+E433)*C433)*'Assumptions and Catalog'!$H$64+'Assumptions and Catalog'!$E$64+'Assumptions and Catalog'!$F$64,IF(((D433+E433)*C433)&lt;='Assumptions and Catalog'!$C$65,((D433+E433)*C433)*'Assumptions and Catalog'!$H$65+'Assumptions and Catalog'!$E$65+'Assumptions and Catalog'!$F$65,"Out of range")))))))))*(1+'Assumptions and Catalog'!$C$8)^(A433-1),0)</f>
        <v>6867.22</v>
      </c>
      <c r="N433" s="5" t="n">
        <f>IF(ISNUMBER(Inputs!$L$5),(IF(Inputs!$L$9="Actual flat rate",L433*Inputs!$L$10,IF(Inputs!$C$9="Residential",IF(L433&lt;='Assumptions and Catalog'!$C$50,L433*'Assumptions and Catalog'!$H$50+'Assumptions and Catalog'!$E$50+'Assumptions and Catalog'!$F$50,IF(L433&lt;='Assumptions and Catalog'!$C$51,L433*'Assumptions and Catalog'!$H$51+'Assumptions and Catalog'!$E$51+'Assumptions and Catalog'!$F$51,IF(L433&lt;='Assumptions and Catalog'!$C$52,L433*'Assumptions and Catalog'!$H$52+'Assumptions and Catalog'!$E$52+'Assumptions and Catalog'!$F$52,IF(L433&lt;='Assumptions and Catalog'!$C$53,L433*'Assumptions and Catalog'!$H$53+'Assumptions and Catalog'!$E$53+'Assumptions and Catalog'!$F$53,IF(L433&lt;='Assumptions and Catalog'!$C$54,L433*'Assumptions and Catalog'!$H$54+'Assumptions and Catalog'!$E$54+'Assumptions and Catalog'!$F$54,IF(L433&lt;='Assumptions and Catalog'!$C$55,L433*'Assumptions and Catalog'!$H$55+'Assumptions and Catalog'!$E$55+'Assumptions and Catalog'!$F$55,IF(L433&lt;='Assumptions and Catalog'!$C$56,L433*'Assumptions and Catalog'!$H$56+'Assumptions and Catalog'!$E$56+'Assumptions and Catalog'!$F$56,IF(L433&lt;='Assumptions and Catalog'!$C$57,L433*'Assumptions and Catalog'!$H$57+'Assumptions and Catalog'!$E$57+'Assumptions and Catalog'!$F$57,"Out of range")))))))),IF(L433&lt;='Assumptions and Catalog'!$C$60,L433*'Assumptions and Catalog'!$H$60+'Assumptions and Catalog'!$E$60+'Assumptions and Catalog'!$F$60,IF(L433&lt;='Assumptions and Catalog'!$C$61,L433*'Assumptions and Catalog'!$H$61+'Assumptions and Catalog'!$E$61+'Assumptions and Catalog'!$F$61,IF(L433&lt;='Assumptions and Catalog'!$C$62,L433*'Assumptions and Catalog'!$H$62+'Assumptions and Catalog'!$E$62+'Assumptions and Catalog'!$F$62,IF(L433&lt;='Assumptions and Catalog'!$C$63,L433*'Assumptions and Catalog'!$H$63+'Assumptions and Catalog'!$E$63+'Assumptions and Catalog'!$F$63,IF(L433&lt;='Assumptions and Catalog'!$C$64,L433*'Assumptions and Catalog'!$H$64+'Assumptions and Catalog'!$E$64+'Assumptions and Catalog'!$F$64,IF(L433&lt;='Assumptions and Catalog'!$C$65,L433*'Assumptions and Catalog'!$H$65+'Assumptions and Catalog'!$E$65+'Assumptions and Catalog'!$F$65,"Out of range")))))))))*(1+'Assumptions and Catalog'!$C$8)^(A433-1),0)</f>
        <v>6867.22</v>
      </c>
      <c r="O433" s="5" t="n">
        <f>M433-N433</f>
        <v>0</v>
      </c>
      <c r="P433" s="5" t="n">
        <f>D$55*(1-K$14)*(1-'Assumptions and Catalog'!$C$23)^R433</f>
        <v>0</v>
      </c>
      <c r="Q433" s="5" t="n">
        <f>IF(ISNUMBER(Inputs!$L$5),(IF(Inputs!$L$9="Actual flat rate",((D433+E433)*C433-G433)*Inputs!$L$10,IF(Inputs!$C$9="Residential",IF(((D433+E433)*C433-G433)&lt;='Assumptions and Catalog'!$C$50,((D433+E433)*C433-G433)*'Assumptions and Catalog'!$H$50+'Assumptions and Catalog'!$E$50+'Assumptions and Catalog'!$F$50,IF(((D433+E433)*C433-G433)&lt;='Assumptions and Catalog'!$C$51,((D433+E433)*C433-G433)*'Assumptions and Catalog'!$H$51+'Assumptions and Catalog'!$E$51+'Assumptions and Catalog'!$F$51,IF(((D433+E433)*C433-G433)&lt;='Assumptions and Catalog'!$C$52,((D433+E433)*C433-G433)*'Assumptions and Catalog'!$H$52+'Assumptions and Catalog'!$E$52+'Assumptions and Catalog'!$F$52,IF(((D433+E433)*C433-G433)&lt;='Assumptions and Catalog'!$C$53,((D433+E433)*C433-G433)*'Assumptions and Catalog'!$H$53+'Assumptions and Catalog'!$E$53+'Assumptions and Catalog'!$F$53,IF(((D433+E433)*C433-G433)&lt;='Assumptions and Catalog'!$C$54,((D433+E433)*C433-G433)*'Assumptions and Catalog'!$H$54+'Assumptions and Catalog'!$E$54+'Assumptions and Catalog'!$F$54,IF(((D433+E433)*C433-G433)&lt;='Assumptions and Catalog'!$C$55,((D433+E433)*C433-G433)*'Assumptions and Catalog'!$H$55+'Assumptions and Catalog'!$E$55+'Assumptions and Catalog'!$F$55,IF(((D433+E433)*C433-G433)&lt;='Assumptions and Catalog'!$C$56,((D433+E433)*C433-G433)*'Assumptions and Catalog'!$H$56+'Assumptions and Catalog'!$E$56+'Assumptions and Catalog'!$F$56,IF(((D433+E433)*C433-G433)&lt;='Assumptions and Catalog'!$C$57,((D433+E433)*C433-G433)*'Assumptions and Catalog'!$H$57+'Assumptions and Catalog'!$E$57+'Assumptions and Catalog'!$F$57,"Out of range")))))))),IF(((D433+E433)*C433-G433)&lt;='Assumptions and Catalog'!$C$60,((D433+E433)*C433-G433)*'Assumptions and Catalog'!$H$60+'Assumptions and Catalog'!$E$60+'Assumptions and Catalog'!$F$60,IF(((D433+E433)*C433-G433)&lt;='Assumptions and Catalog'!$C$61,((D433+E433)*C433-G433)*'Assumptions and Catalog'!$H$61+'Assumptions and Catalog'!$E$61+'Assumptions and Catalog'!$F$61,IF(((D433+E433)*C433-G433)&lt;='Assumptions and Catalog'!$C$62,((D433+E433)*C433-G433)*'Assumptions and Catalog'!$H$62+'Assumptions and Catalog'!$E$62+'Assumptions and Catalog'!$F$62,IF(((D433+E433)*C433-G433)&lt;='Assumptions and Catalog'!$C$63,((D433+E433)*C433-G433)*'Assumptions and Catalog'!$H$63+'Assumptions and Catalog'!$E$63+'Assumptions and Catalog'!$F$63,IF(((D433+E433)*C433-G433)&lt;='Assumptions and Catalog'!$C$64,((D433+E433)*C433-G433)*'Assumptions and Catalog'!$H$64+'Assumptions and Catalog'!$E$64+'Assumptions and Catalog'!$F$64,IF(((D433+E433)*C433-G433)&lt;='Assumptions and Catalog'!$C$65,((D433+E433)*C433-G433)*'Assumptions and Catalog'!$H$65+'Assumptions and Catalog'!$E$65+'Assumptions and Catalog'!$F$65,"Out of range")))))))))*(1+'Assumptions and Catalog'!$C$8)^(A433-1),0)</f>
        <v>6867.22</v>
      </c>
      <c r="R433" s="5" t="n">
        <f>IF(AND('Assumptions and Catalog'!$C$19&gt;0,A433&gt;='Assumptions and Catalog'!$C$19),A433-'Assumptions and Catalog'!$C$19,A433-1)</f>
        <v>1</v>
      </c>
      <c r="S433" s="5" t="n">
        <f>F433+L433-(D433+E433)*C433-J433-K433-IF(D$52&gt;0,'Assumptions and Catalog'!$C$26*C433,0)</f>
        <v>0</v>
      </c>
      <c r="T433" s="5"/>
      <c r="U433" s="5"/>
    </row>
    <row r="434" ht="23.100000381469727" customHeight="1">
      <c r="A434" s="5" t="n">
        <v>2</v>
      </c>
      <c r="B434" s="5" t="n">
        <v>12</v>
      </c>
      <c r="C434" s="5" t="n">
        <f>DAY(DATE('Assumptions and Catalog'!$C$24+A434-1,B434+1,0))</f>
        <v>31</v>
      </c>
      <c r="D434" s="5" t="n">
        <f>IF(ISNUMBER(Inputs!$L$5),Inputs!$L$5*Inputs!$L$6,0)</f>
        <v>40.35</v>
      </c>
      <c r="E434" s="5" t="n">
        <f>IF(ISNUMBER(Inputs!$L$5),Inputs!$L$5-D434,0)</f>
        <v>40.35</v>
      </c>
      <c r="F434" s="5" t="n">
        <f>D$51*'Assumptions and Catalog'!$C$31*C434*(1-'Assumptions and Catalog'!$C$10)^(A434-1)</f>
        <v>0</v>
      </c>
      <c r="G434" s="5" t="n">
        <f>MIN(F434,D434*C434)</f>
        <v>0</v>
      </c>
      <c r="H434" s="5" t="n">
        <f>I434/('Assumptions and Catalog'!$C$11*'Assumptions and Catalog'!$C$12)</f>
        <v>0</v>
      </c>
      <c r="I434" s="5" t="n">
        <f>IF(K$15="Grid cycle",MIN(K$16,D434+E434,P434*'Assumptions and Catalog'!$C$12,D$57*(24-'Assumptions and Catalog'!$C$15),D$56*'Assumptions and Catalog'!$C$15*'Assumptions and Catalog'!$C$11*'Assumptions and Catalog'!$C$12)*C434,0)</f>
        <v>0</v>
      </c>
      <c r="J434" s="5" t="n">
        <f>MAX(F434-G434-0,0)</f>
        <v>0</v>
      </c>
      <c r="K434" s="5" t="n">
        <f>H434-I434</f>
        <v>0</v>
      </c>
      <c r="L434" s="5" t="n">
        <f>(D434+E434)*C434-G434-I434+H434+IF(D$52&gt;0,'Assumptions and Catalog'!$C$26*C434,0)</f>
        <v>2501.7</v>
      </c>
      <c r="M434" s="5" t="n">
        <f>IF(ISNUMBER(Inputs!$L$5),(IF(Inputs!$L$9="Actual flat rate",((D434+E434)*C434)*Inputs!$L$10,IF(Inputs!$C$9="Residential",IF(((D434+E434)*C434)&lt;='Assumptions and Catalog'!$C$50,((D434+E434)*C434)*'Assumptions and Catalog'!$H$50+'Assumptions and Catalog'!$E$50+'Assumptions and Catalog'!$F$50,IF(((D434+E434)*C434)&lt;='Assumptions and Catalog'!$C$51,((D434+E434)*C434)*'Assumptions and Catalog'!$H$51+'Assumptions and Catalog'!$E$51+'Assumptions and Catalog'!$F$51,IF(((D434+E434)*C434)&lt;='Assumptions and Catalog'!$C$52,((D434+E434)*C434)*'Assumptions and Catalog'!$H$52+'Assumptions and Catalog'!$E$52+'Assumptions and Catalog'!$F$52,IF(((D434+E434)*C434)&lt;='Assumptions and Catalog'!$C$53,((D434+E434)*C434)*'Assumptions and Catalog'!$H$53+'Assumptions and Catalog'!$E$53+'Assumptions and Catalog'!$F$53,IF(((D434+E434)*C434)&lt;='Assumptions and Catalog'!$C$54,((D434+E434)*C434)*'Assumptions and Catalog'!$H$54+'Assumptions and Catalog'!$E$54+'Assumptions and Catalog'!$F$54,IF(((D434+E434)*C434)&lt;='Assumptions and Catalog'!$C$55,((D434+E434)*C434)*'Assumptions and Catalog'!$H$55+'Assumptions and Catalog'!$E$55+'Assumptions and Catalog'!$F$55,IF(((D434+E434)*C434)&lt;='Assumptions and Catalog'!$C$56,((D434+E434)*C434)*'Assumptions and Catalog'!$H$56+'Assumptions and Catalog'!$E$56+'Assumptions and Catalog'!$F$56,IF(((D434+E434)*C434)&lt;='Assumptions and Catalog'!$C$57,((D434+E434)*C434)*'Assumptions and Catalog'!$H$57+'Assumptions and Catalog'!$E$57+'Assumptions and Catalog'!$F$57,"Out of range")))))))),IF(((D434+E434)*C434)&lt;='Assumptions and Catalog'!$C$60,((D434+E434)*C434)*'Assumptions and Catalog'!$H$60+'Assumptions and Catalog'!$E$60+'Assumptions and Catalog'!$F$60,IF(((D434+E434)*C434)&lt;='Assumptions and Catalog'!$C$61,((D434+E434)*C434)*'Assumptions and Catalog'!$H$61+'Assumptions and Catalog'!$E$61+'Assumptions and Catalog'!$F$61,IF(((D434+E434)*C434)&lt;='Assumptions and Catalog'!$C$62,((D434+E434)*C434)*'Assumptions and Catalog'!$H$62+'Assumptions and Catalog'!$E$62+'Assumptions and Catalog'!$F$62,IF(((D434+E434)*C434)&lt;='Assumptions and Catalog'!$C$63,((D434+E434)*C434)*'Assumptions and Catalog'!$H$63+'Assumptions and Catalog'!$E$63+'Assumptions and Catalog'!$F$63,IF(((D434+E434)*C434)&lt;='Assumptions and Catalog'!$C$64,((D434+E434)*C434)*'Assumptions and Catalog'!$H$64+'Assumptions and Catalog'!$E$64+'Assumptions and Catalog'!$F$64,IF(((D434+E434)*C434)&lt;='Assumptions and Catalog'!$C$65,((D434+E434)*C434)*'Assumptions and Catalog'!$H$65+'Assumptions and Catalog'!$E$65+'Assumptions and Catalog'!$F$65,"Out of range")))))))))*(1+'Assumptions and Catalog'!$C$8)^(A434-1),0)</f>
        <v>7094.794</v>
      </c>
      <c r="N434" s="5" t="n">
        <f>IF(ISNUMBER(Inputs!$L$5),(IF(Inputs!$L$9="Actual flat rate",L434*Inputs!$L$10,IF(Inputs!$C$9="Residential",IF(L434&lt;='Assumptions and Catalog'!$C$50,L434*'Assumptions and Catalog'!$H$50+'Assumptions and Catalog'!$E$50+'Assumptions and Catalog'!$F$50,IF(L434&lt;='Assumptions and Catalog'!$C$51,L434*'Assumptions and Catalog'!$H$51+'Assumptions and Catalog'!$E$51+'Assumptions and Catalog'!$F$51,IF(L434&lt;='Assumptions and Catalog'!$C$52,L434*'Assumptions and Catalog'!$H$52+'Assumptions and Catalog'!$E$52+'Assumptions and Catalog'!$F$52,IF(L434&lt;='Assumptions and Catalog'!$C$53,L434*'Assumptions and Catalog'!$H$53+'Assumptions and Catalog'!$E$53+'Assumptions and Catalog'!$F$53,IF(L434&lt;='Assumptions and Catalog'!$C$54,L434*'Assumptions and Catalog'!$H$54+'Assumptions and Catalog'!$E$54+'Assumptions and Catalog'!$F$54,IF(L434&lt;='Assumptions and Catalog'!$C$55,L434*'Assumptions and Catalog'!$H$55+'Assumptions and Catalog'!$E$55+'Assumptions and Catalog'!$F$55,IF(L434&lt;='Assumptions and Catalog'!$C$56,L434*'Assumptions and Catalog'!$H$56+'Assumptions and Catalog'!$E$56+'Assumptions and Catalog'!$F$56,IF(L434&lt;='Assumptions and Catalog'!$C$57,L434*'Assumptions and Catalog'!$H$57+'Assumptions and Catalog'!$E$57+'Assumptions and Catalog'!$F$57,"Out of range")))))))),IF(L434&lt;='Assumptions and Catalog'!$C$60,L434*'Assumptions and Catalog'!$H$60+'Assumptions and Catalog'!$E$60+'Assumptions and Catalog'!$F$60,IF(L434&lt;='Assumptions and Catalog'!$C$61,L434*'Assumptions and Catalog'!$H$61+'Assumptions and Catalog'!$E$61+'Assumptions and Catalog'!$F$61,IF(L434&lt;='Assumptions and Catalog'!$C$62,L434*'Assumptions and Catalog'!$H$62+'Assumptions and Catalog'!$E$62+'Assumptions and Catalog'!$F$62,IF(L434&lt;='Assumptions and Catalog'!$C$63,L434*'Assumptions and Catalog'!$H$63+'Assumptions and Catalog'!$E$63+'Assumptions and Catalog'!$F$63,IF(L434&lt;='Assumptions and Catalog'!$C$64,L434*'Assumptions and Catalog'!$H$64+'Assumptions and Catalog'!$E$64+'Assumptions and Catalog'!$F$64,IF(L434&lt;='Assumptions and Catalog'!$C$65,L434*'Assumptions and Catalog'!$H$65+'Assumptions and Catalog'!$E$65+'Assumptions and Catalog'!$F$65,"Out of range")))))))))*(1+'Assumptions and Catalog'!$C$8)^(A434-1),0)</f>
        <v>7094.794</v>
      </c>
      <c r="O434" s="5" t="n">
        <f>M434-N434</f>
        <v>0</v>
      </c>
      <c r="P434" s="5" t="n">
        <f>D$55*(1-K$14)*(1-'Assumptions and Catalog'!$C$23)^R434</f>
        <v>0</v>
      </c>
      <c r="Q434" s="5" t="n">
        <f>IF(ISNUMBER(Inputs!$L$5),(IF(Inputs!$L$9="Actual flat rate",((D434+E434)*C434-G434)*Inputs!$L$10,IF(Inputs!$C$9="Residential",IF(((D434+E434)*C434-G434)&lt;='Assumptions and Catalog'!$C$50,((D434+E434)*C434-G434)*'Assumptions and Catalog'!$H$50+'Assumptions and Catalog'!$E$50+'Assumptions and Catalog'!$F$50,IF(((D434+E434)*C434-G434)&lt;='Assumptions and Catalog'!$C$51,((D434+E434)*C434-G434)*'Assumptions and Catalog'!$H$51+'Assumptions and Catalog'!$E$51+'Assumptions and Catalog'!$F$51,IF(((D434+E434)*C434-G434)&lt;='Assumptions and Catalog'!$C$52,((D434+E434)*C434-G434)*'Assumptions and Catalog'!$H$52+'Assumptions and Catalog'!$E$52+'Assumptions and Catalog'!$F$52,IF(((D434+E434)*C434-G434)&lt;='Assumptions and Catalog'!$C$53,((D434+E434)*C434-G434)*'Assumptions and Catalog'!$H$53+'Assumptions and Catalog'!$E$53+'Assumptions and Catalog'!$F$53,IF(((D434+E434)*C434-G434)&lt;='Assumptions and Catalog'!$C$54,((D434+E434)*C434-G434)*'Assumptions and Catalog'!$H$54+'Assumptions and Catalog'!$E$54+'Assumptions and Catalog'!$F$54,IF(((D434+E434)*C434-G434)&lt;='Assumptions and Catalog'!$C$55,((D434+E434)*C434-G434)*'Assumptions and Catalog'!$H$55+'Assumptions and Catalog'!$E$55+'Assumptions and Catalog'!$F$55,IF(((D434+E434)*C434-G434)&lt;='Assumptions and Catalog'!$C$56,((D434+E434)*C434-G434)*'Assumptions and Catalog'!$H$56+'Assumptions and Catalog'!$E$56+'Assumptions and Catalog'!$F$56,IF(((D434+E434)*C434-G434)&lt;='Assumptions and Catalog'!$C$57,((D434+E434)*C434-G434)*'Assumptions and Catalog'!$H$57+'Assumptions and Catalog'!$E$57+'Assumptions and Catalog'!$F$57,"Out of range")))))))),IF(((D434+E434)*C434-G434)&lt;='Assumptions and Catalog'!$C$60,((D434+E434)*C434-G434)*'Assumptions and Catalog'!$H$60+'Assumptions and Catalog'!$E$60+'Assumptions and Catalog'!$F$60,IF(((D434+E434)*C434-G434)&lt;='Assumptions and Catalog'!$C$61,((D434+E434)*C434-G434)*'Assumptions and Catalog'!$H$61+'Assumptions and Catalog'!$E$61+'Assumptions and Catalog'!$F$61,IF(((D434+E434)*C434-G434)&lt;='Assumptions and Catalog'!$C$62,((D434+E434)*C434-G434)*'Assumptions and Catalog'!$H$62+'Assumptions and Catalog'!$E$62+'Assumptions and Catalog'!$F$62,IF(((D434+E434)*C434-G434)&lt;='Assumptions and Catalog'!$C$63,((D434+E434)*C434-G434)*'Assumptions and Catalog'!$H$63+'Assumptions and Catalog'!$E$63+'Assumptions and Catalog'!$F$63,IF(((D434+E434)*C434-G434)&lt;='Assumptions and Catalog'!$C$64,((D434+E434)*C434-G434)*'Assumptions and Catalog'!$H$64+'Assumptions and Catalog'!$E$64+'Assumptions and Catalog'!$F$64,IF(((D434+E434)*C434-G434)&lt;='Assumptions and Catalog'!$C$65,((D434+E434)*C434-G434)*'Assumptions and Catalog'!$H$65+'Assumptions and Catalog'!$E$65+'Assumptions and Catalog'!$F$65,"Out of range")))))))))*(1+'Assumptions and Catalog'!$C$8)^(A434-1),0)</f>
        <v>7094.794</v>
      </c>
      <c r="R434" s="5" t="n">
        <f>IF(AND('Assumptions and Catalog'!$C$19&gt;0,A434&gt;='Assumptions and Catalog'!$C$19),A434-'Assumptions and Catalog'!$C$19,A434-1)</f>
        <v>1</v>
      </c>
      <c r="S434" s="5" t="n">
        <f>F434+L434-(D434+E434)*C434-J434-K434-IF(D$52&gt;0,'Assumptions and Catalog'!$C$26*C434,0)</f>
        <v>0</v>
      </c>
      <c r="T434" s="5"/>
      <c r="U434" s="5"/>
    </row>
    <row r="435" ht="23.100000381469727" customHeight="1">
      <c r="A435" s="5" t="n">
        <v>3</v>
      </c>
      <c r="B435" s="5" t="n">
        <v>1</v>
      </c>
      <c r="C435" s="5" t="n">
        <f>DAY(DATE('Assumptions and Catalog'!$C$24+A435-1,B435+1,0))</f>
        <v>31</v>
      </c>
      <c r="D435" s="5" t="n">
        <f>IF(ISNUMBER(Inputs!$L$5),Inputs!$L$5*Inputs!$L$6,0)</f>
        <v>40.35</v>
      </c>
      <c r="E435" s="5" t="n">
        <f>IF(ISNUMBER(Inputs!$L$5),Inputs!$L$5-D435,0)</f>
        <v>40.35</v>
      </c>
      <c r="F435" s="5" t="n">
        <f>D$51*'Assumptions and Catalog'!$C$31*C435*(1-'Assumptions and Catalog'!$C$10)^(A435-1)</f>
        <v>0</v>
      </c>
      <c r="G435" s="5" t="n">
        <f>MIN(F435,D435*C435)</f>
        <v>0</v>
      </c>
      <c r="H435" s="5" t="n">
        <f>I435/('Assumptions and Catalog'!$C$11*'Assumptions and Catalog'!$C$12)</f>
        <v>0</v>
      </c>
      <c r="I435" s="5" t="n">
        <f>IF(K$15="Grid cycle",MIN(K$16,D435+E435,P435*'Assumptions and Catalog'!$C$12,D$57*(24-'Assumptions and Catalog'!$C$15),D$56*'Assumptions and Catalog'!$C$15*'Assumptions and Catalog'!$C$11*'Assumptions and Catalog'!$C$12)*C435,0)</f>
        <v>0</v>
      </c>
      <c r="J435" s="5" t="n">
        <f>MAX(F435-G435-0,0)</f>
        <v>0</v>
      </c>
      <c r="K435" s="5" t="n">
        <f>H435-I435</f>
        <v>0</v>
      </c>
      <c r="L435" s="5" t="n">
        <f>(D435+E435)*C435-G435-I435+H435+IF(D$52&gt;0,'Assumptions and Catalog'!$C$26*C435,0)</f>
        <v>2501.7</v>
      </c>
      <c r="M435" s="5" t="n">
        <f>IF(ISNUMBER(Inputs!$L$5),(IF(Inputs!$L$9="Actual flat rate",((D435+E435)*C435)*Inputs!$L$10,IF(Inputs!$C$9="Residential",IF(((D435+E435)*C435)&lt;='Assumptions and Catalog'!$C$50,((D435+E435)*C435)*'Assumptions and Catalog'!$H$50+'Assumptions and Catalog'!$E$50+'Assumptions and Catalog'!$F$50,IF(((D435+E435)*C435)&lt;='Assumptions and Catalog'!$C$51,((D435+E435)*C435)*'Assumptions and Catalog'!$H$51+'Assumptions and Catalog'!$E$51+'Assumptions and Catalog'!$F$51,IF(((D435+E435)*C435)&lt;='Assumptions and Catalog'!$C$52,((D435+E435)*C435)*'Assumptions and Catalog'!$H$52+'Assumptions and Catalog'!$E$52+'Assumptions and Catalog'!$F$52,IF(((D435+E435)*C435)&lt;='Assumptions and Catalog'!$C$53,((D435+E435)*C435)*'Assumptions and Catalog'!$H$53+'Assumptions and Catalog'!$E$53+'Assumptions and Catalog'!$F$53,IF(((D435+E435)*C435)&lt;='Assumptions and Catalog'!$C$54,((D435+E435)*C435)*'Assumptions and Catalog'!$H$54+'Assumptions and Catalog'!$E$54+'Assumptions and Catalog'!$F$54,IF(((D435+E435)*C435)&lt;='Assumptions and Catalog'!$C$55,((D435+E435)*C435)*'Assumptions and Catalog'!$H$55+'Assumptions and Catalog'!$E$55+'Assumptions and Catalog'!$F$55,IF(((D435+E435)*C435)&lt;='Assumptions and Catalog'!$C$56,((D435+E435)*C435)*'Assumptions and Catalog'!$H$56+'Assumptions and Catalog'!$E$56+'Assumptions and Catalog'!$F$56,IF(((D435+E435)*C435)&lt;='Assumptions and Catalog'!$C$57,((D435+E435)*C435)*'Assumptions and Catalog'!$H$57+'Assumptions and Catalog'!$E$57+'Assumptions and Catalog'!$F$57,"Out of range")))))))),IF(((D435+E435)*C435)&lt;='Assumptions and Catalog'!$C$60,((D435+E435)*C435)*'Assumptions and Catalog'!$H$60+'Assumptions and Catalog'!$E$60+'Assumptions and Catalog'!$F$60,IF(((D435+E435)*C435)&lt;='Assumptions and Catalog'!$C$61,((D435+E435)*C435)*'Assumptions and Catalog'!$H$61+'Assumptions and Catalog'!$E$61+'Assumptions and Catalog'!$F$61,IF(((D435+E435)*C435)&lt;='Assumptions and Catalog'!$C$62,((D435+E435)*C435)*'Assumptions and Catalog'!$H$62+'Assumptions and Catalog'!$E$62+'Assumptions and Catalog'!$F$62,IF(((D435+E435)*C435)&lt;='Assumptions and Catalog'!$C$63,((D435+E435)*C435)*'Assumptions and Catalog'!$H$63+'Assumptions and Catalog'!$E$63+'Assumptions and Catalog'!$F$63,IF(((D435+E435)*C435)&lt;='Assumptions and Catalog'!$C$64,((D435+E435)*C435)*'Assumptions and Catalog'!$H$64+'Assumptions and Catalog'!$E$64+'Assumptions and Catalog'!$F$64,IF(((D435+E435)*C435)&lt;='Assumptions and Catalog'!$C$65,((D435+E435)*C435)*'Assumptions and Catalog'!$H$65+'Assumptions and Catalog'!$E$65+'Assumptions and Catalog'!$F$65,"Out of range")))))))))*(1+'Assumptions and Catalog'!$C$8)^(A435-1),0)</f>
        <v>7094.794</v>
      </c>
      <c r="N435" s="5" t="n">
        <f>IF(ISNUMBER(Inputs!$L$5),(IF(Inputs!$L$9="Actual flat rate",L435*Inputs!$L$10,IF(Inputs!$C$9="Residential",IF(L435&lt;='Assumptions and Catalog'!$C$50,L435*'Assumptions and Catalog'!$H$50+'Assumptions and Catalog'!$E$50+'Assumptions and Catalog'!$F$50,IF(L435&lt;='Assumptions and Catalog'!$C$51,L435*'Assumptions and Catalog'!$H$51+'Assumptions and Catalog'!$E$51+'Assumptions and Catalog'!$F$51,IF(L435&lt;='Assumptions and Catalog'!$C$52,L435*'Assumptions and Catalog'!$H$52+'Assumptions and Catalog'!$E$52+'Assumptions and Catalog'!$F$52,IF(L435&lt;='Assumptions and Catalog'!$C$53,L435*'Assumptions and Catalog'!$H$53+'Assumptions and Catalog'!$E$53+'Assumptions and Catalog'!$F$53,IF(L435&lt;='Assumptions and Catalog'!$C$54,L435*'Assumptions and Catalog'!$H$54+'Assumptions and Catalog'!$E$54+'Assumptions and Catalog'!$F$54,IF(L435&lt;='Assumptions and Catalog'!$C$55,L435*'Assumptions and Catalog'!$H$55+'Assumptions and Catalog'!$E$55+'Assumptions and Catalog'!$F$55,IF(L435&lt;='Assumptions and Catalog'!$C$56,L435*'Assumptions and Catalog'!$H$56+'Assumptions and Catalog'!$E$56+'Assumptions and Catalog'!$F$56,IF(L435&lt;='Assumptions and Catalog'!$C$57,L435*'Assumptions and Catalog'!$H$57+'Assumptions and Catalog'!$E$57+'Assumptions and Catalog'!$F$57,"Out of range")))))))),IF(L435&lt;='Assumptions and Catalog'!$C$60,L435*'Assumptions and Catalog'!$H$60+'Assumptions and Catalog'!$E$60+'Assumptions and Catalog'!$F$60,IF(L435&lt;='Assumptions and Catalog'!$C$61,L435*'Assumptions and Catalog'!$H$61+'Assumptions and Catalog'!$E$61+'Assumptions and Catalog'!$F$61,IF(L435&lt;='Assumptions and Catalog'!$C$62,L435*'Assumptions and Catalog'!$H$62+'Assumptions and Catalog'!$E$62+'Assumptions and Catalog'!$F$62,IF(L435&lt;='Assumptions and Catalog'!$C$63,L435*'Assumptions and Catalog'!$H$63+'Assumptions and Catalog'!$E$63+'Assumptions and Catalog'!$F$63,IF(L435&lt;='Assumptions and Catalog'!$C$64,L435*'Assumptions and Catalog'!$H$64+'Assumptions and Catalog'!$E$64+'Assumptions and Catalog'!$F$64,IF(L435&lt;='Assumptions and Catalog'!$C$65,L435*'Assumptions and Catalog'!$H$65+'Assumptions and Catalog'!$E$65+'Assumptions and Catalog'!$F$65,"Out of range")))))))))*(1+'Assumptions and Catalog'!$C$8)^(A435-1),0)</f>
        <v>7094.794</v>
      </c>
      <c r="O435" s="5" t="n">
        <f>M435-N435</f>
        <v>0</v>
      </c>
      <c r="P435" s="5" t="n">
        <f>D$55*(1-K$14)*(1-'Assumptions and Catalog'!$C$23)^R435</f>
        <v>0</v>
      </c>
      <c r="Q435" s="5" t="n">
        <f>IF(ISNUMBER(Inputs!$L$5),(IF(Inputs!$L$9="Actual flat rate",((D435+E435)*C435-G435)*Inputs!$L$10,IF(Inputs!$C$9="Residential",IF(((D435+E435)*C435-G435)&lt;='Assumptions and Catalog'!$C$50,((D435+E435)*C435-G435)*'Assumptions and Catalog'!$H$50+'Assumptions and Catalog'!$E$50+'Assumptions and Catalog'!$F$50,IF(((D435+E435)*C435-G435)&lt;='Assumptions and Catalog'!$C$51,((D435+E435)*C435-G435)*'Assumptions and Catalog'!$H$51+'Assumptions and Catalog'!$E$51+'Assumptions and Catalog'!$F$51,IF(((D435+E435)*C435-G435)&lt;='Assumptions and Catalog'!$C$52,((D435+E435)*C435-G435)*'Assumptions and Catalog'!$H$52+'Assumptions and Catalog'!$E$52+'Assumptions and Catalog'!$F$52,IF(((D435+E435)*C435-G435)&lt;='Assumptions and Catalog'!$C$53,((D435+E435)*C435-G435)*'Assumptions and Catalog'!$H$53+'Assumptions and Catalog'!$E$53+'Assumptions and Catalog'!$F$53,IF(((D435+E435)*C435-G435)&lt;='Assumptions and Catalog'!$C$54,((D435+E435)*C435-G435)*'Assumptions and Catalog'!$H$54+'Assumptions and Catalog'!$E$54+'Assumptions and Catalog'!$F$54,IF(((D435+E435)*C435-G435)&lt;='Assumptions and Catalog'!$C$55,((D435+E435)*C435-G435)*'Assumptions and Catalog'!$H$55+'Assumptions and Catalog'!$E$55+'Assumptions and Catalog'!$F$55,IF(((D435+E435)*C435-G435)&lt;='Assumptions and Catalog'!$C$56,((D435+E435)*C435-G435)*'Assumptions and Catalog'!$H$56+'Assumptions and Catalog'!$E$56+'Assumptions and Catalog'!$F$56,IF(((D435+E435)*C435-G435)&lt;='Assumptions and Catalog'!$C$57,((D435+E435)*C435-G435)*'Assumptions and Catalog'!$H$57+'Assumptions and Catalog'!$E$57+'Assumptions and Catalog'!$F$57,"Out of range")))))))),IF(((D435+E435)*C435-G435)&lt;='Assumptions and Catalog'!$C$60,((D435+E435)*C435-G435)*'Assumptions and Catalog'!$H$60+'Assumptions and Catalog'!$E$60+'Assumptions and Catalog'!$F$60,IF(((D435+E435)*C435-G435)&lt;='Assumptions and Catalog'!$C$61,((D435+E435)*C435-G435)*'Assumptions and Catalog'!$H$61+'Assumptions and Catalog'!$E$61+'Assumptions and Catalog'!$F$61,IF(((D435+E435)*C435-G435)&lt;='Assumptions and Catalog'!$C$62,((D435+E435)*C435-G435)*'Assumptions and Catalog'!$H$62+'Assumptions and Catalog'!$E$62+'Assumptions and Catalog'!$F$62,IF(((D435+E435)*C435-G435)&lt;='Assumptions and Catalog'!$C$63,((D435+E435)*C435-G435)*'Assumptions and Catalog'!$H$63+'Assumptions and Catalog'!$E$63+'Assumptions and Catalog'!$F$63,IF(((D435+E435)*C435-G435)&lt;='Assumptions and Catalog'!$C$64,((D435+E435)*C435-G435)*'Assumptions and Catalog'!$H$64+'Assumptions and Catalog'!$E$64+'Assumptions and Catalog'!$F$64,IF(((D435+E435)*C435-G435)&lt;='Assumptions and Catalog'!$C$65,((D435+E435)*C435-G435)*'Assumptions and Catalog'!$H$65+'Assumptions and Catalog'!$E$65+'Assumptions and Catalog'!$F$65,"Out of range")))))))))*(1+'Assumptions and Catalog'!$C$8)^(A435-1),0)</f>
        <v>7094.794</v>
      </c>
      <c r="R435" s="5" t="n">
        <f>IF(AND('Assumptions and Catalog'!$C$19&gt;0,A435&gt;='Assumptions and Catalog'!$C$19),A435-'Assumptions and Catalog'!$C$19,A435-1)</f>
        <v>2</v>
      </c>
      <c r="S435" s="5" t="n">
        <f>F435+L435-(D435+E435)*C435-J435-K435-IF(D$52&gt;0,'Assumptions and Catalog'!$C$26*C435,0)</f>
        <v>0</v>
      </c>
      <c r="T435" s="5"/>
      <c r="U435" s="5"/>
    </row>
    <row r="436" ht="23.100000381469727" customHeight="1">
      <c r="A436" s="5" t="n">
        <v>3</v>
      </c>
      <c r="B436" s="5" t="n">
        <v>2</v>
      </c>
      <c r="C436" s="5" t="n">
        <f>DAY(DATE('Assumptions and Catalog'!$C$24+A436-1,B436+1,0))</f>
        <v>28</v>
      </c>
      <c r="D436" s="5" t="n">
        <f>IF(ISNUMBER(Inputs!$L$5),Inputs!$L$5*Inputs!$L$6,0)</f>
        <v>40.35</v>
      </c>
      <c r="E436" s="5" t="n">
        <f>IF(ISNUMBER(Inputs!$L$5),Inputs!$L$5-D436,0)</f>
        <v>40.35</v>
      </c>
      <c r="F436" s="5" t="n">
        <f>D$51*'Assumptions and Catalog'!$C$31*C436*(1-'Assumptions and Catalog'!$C$10)^(A436-1)</f>
        <v>0</v>
      </c>
      <c r="G436" s="5" t="n">
        <f>MIN(F436,D436*C436)</f>
        <v>0</v>
      </c>
      <c r="H436" s="5" t="n">
        <f>I436/('Assumptions and Catalog'!$C$11*'Assumptions and Catalog'!$C$12)</f>
        <v>0</v>
      </c>
      <c r="I436" s="5" t="n">
        <f>IF(K$15="Grid cycle",MIN(K$16,D436+E436,P436*'Assumptions and Catalog'!$C$12,D$57*(24-'Assumptions and Catalog'!$C$15),D$56*'Assumptions and Catalog'!$C$15*'Assumptions and Catalog'!$C$11*'Assumptions and Catalog'!$C$12)*C436,0)</f>
        <v>0</v>
      </c>
      <c r="J436" s="5" t="n">
        <f>MAX(F436-G436-0,0)</f>
        <v>0</v>
      </c>
      <c r="K436" s="5" t="n">
        <f>H436-I436</f>
        <v>0</v>
      </c>
      <c r="L436" s="5" t="n">
        <f>(D436+E436)*C436-G436-I436+H436+IF(D$52&gt;0,'Assumptions and Catalog'!$C$26*C436,0)</f>
        <v>2259.6</v>
      </c>
      <c r="M436" s="5" t="n">
        <f>IF(ISNUMBER(Inputs!$L$5),(IF(Inputs!$L$9="Actual flat rate",((D436+E436)*C436)*Inputs!$L$10,IF(Inputs!$C$9="Residential",IF(((D436+E436)*C436)&lt;='Assumptions and Catalog'!$C$50,((D436+E436)*C436)*'Assumptions and Catalog'!$H$50+'Assumptions and Catalog'!$E$50+'Assumptions and Catalog'!$F$50,IF(((D436+E436)*C436)&lt;='Assumptions and Catalog'!$C$51,((D436+E436)*C436)*'Assumptions and Catalog'!$H$51+'Assumptions and Catalog'!$E$51+'Assumptions and Catalog'!$F$51,IF(((D436+E436)*C436)&lt;='Assumptions and Catalog'!$C$52,((D436+E436)*C436)*'Assumptions and Catalog'!$H$52+'Assumptions and Catalog'!$E$52+'Assumptions and Catalog'!$F$52,IF(((D436+E436)*C436)&lt;='Assumptions and Catalog'!$C$53,((D436+E436)*C436)*'Assumptions and Catalog'!$H$53+'Assumptions and Catalog'!$E$53+'Assumptions and Catalog'!$F$53,IF(((D436+E436)*C436)&lt;='Assumptions and Catalog'!$C$54,((D436+E436)*C436)*'Assumptions and Catalog'!$H$54+'Assumptions and Catalog'!$E$54+'Assumptions and Catalog'!$F$54,IF(((D436+E436)*C436)&lt;='Assumptions and Catalog'!$C$55,((D436+E436)*C436)*'Assumptions and Catalog'!$H$55+'Assumptions and Catalog'!$E$55+'Assumptions and Catalog'!$F$55,IF(((D436+E436)*C436)&lt;='Assumptions and Catalog'!$C$56,((D436+E436)*C436)*'Assumptions and Catalog'!$H$56+'Assumptions and Catalog'!$E$56+'Assumptions and Catalog'!$F$56,IF(((D436+E436)*C436)&lt;='Assumptions and Catalog'!$C$57,((D436+E436)*C436)*'Assumptions and Catalog'!$H$57+'Assumptions and Catalog'!$E$57+'Assumptions and Catalog'!$F$57,"Out of range")))))))),IF(((D436+E436)*C436)&lt;='Assumptions and Catalog'!$C$60,((D436+E436)*C436)*'Assumptions and Catalog'!$H$60+'Assumptions and Catalog'!$E$60+'Assumptions and Catalog'!$F$60,IF(((D436+E436)*C436)&lt;='Assumptions and Catalog'!$C$61,((D436+E436)*C436)*'Assumptions and Catalog'!$H$61+'Assumptions and Catalog'!$E$61+'Assumptions and Catalog'!$F$61,IF(((D436+E436)*C436)&lt;='Assumptions and Catalog'!$C$62,((D436+E436)*C436)*'Assumptions and Catalog'!$H$62+'Assumptions and Catalog'!$E$62+'Assumptions and Catalog'!$F$62,IF(((D436+E436)*C436)&lt;='Assumptions and Catalog'!$C$63,((D436+E436)*C436)*'Assumptions and Catalog'!$H$63+'Assumptions and Catalog'!$E$63+'Assumptions and Catalog'!$F$63,IF(((D436+E436)*C436)&lt;='Assumptions and Catalog'!$C$64,((D436+E436)*C436)*'Assumptions and Catalog'!$H$64+'Assumptions and Catalog'!$E$64+'Assumptions and Catalog'!$F$64,IF(((D436+E436)*C436)&lt;='Assumptions and Catalog'!$C$65,((D436+E436)*C436)*'Assumptions and Catalog'!$H$65+'Assumptions and Catalog'!$E$65+'Assumptions and Catalog'!$F$65,"Out of range")))))))))*(1+'Assumptions and Catalog'!$C$8)^(A436-1),0)</f>
        <v>6412.072</v>
      </c>
      <c r="N436" s="5" t="n">
        <f>IF(ISNUMBER(Inputs!$L$5),(IF(Inputs!$L$9="Actual flat rate",L436*Inputs!$L$10,IF(Inputs!$C$9="Residential",IF(L436&lt;='Assumptions and Catalog'!$C$50,L436*'Assumptions and Catalog'!$H$50+'Assumptions and Catalog'!$E$50+'Assumptions and Catalog'!$F$50,IF(L436&lt;='Assumptions and Catalog'!$C$51,L436*'Assumptions and Catalog'!$H$51+'Assumptions and Catalog'!$E$51+'Assumptions and Catalog'!$F$51,IF(L436&lt;='Assumptions and Catalog'!$C$52,L436*'Assumptions and Catalog'!$H$52+'Assumptions and Catalog'!$E$52+'Assumptions and Catalog'!$F$52,IF(L436&lt;='Assumptions and Catalog'!$C$53,L436*'Assumptions and Catalog'!$H$53+'Assumptions and Catalog'!$E$53+'Assumptions and Catalog'!$F$53,IF(L436&lt;='Assumptions and Catalog'!$C$54,L436*'Assumptions and Catalog'!$H$54+'Assumptions and Catalog'!$E$54+'Assumptions and Catalog'!$F$54,IF(L436&lt;='Assumptions and Catalog'!$C$55,L436*'Assumptions and Catalog'!$H$55+'Assumptions and Catalog'!$E$55+'Assumptions and Catalog'!$F$55,IF(L436&lt;='Assumptions and Catalog'!$C$56,L436*'Assumptions and Catalog'!$H$56+'Assumptions and Catalog'!$E$56+'Assumptions and Catalog'!$F$56,IF(L436&lt;='Assumptions and Catalog'!$C$57,L436*'Assumptions and Catalog'!$H$57+'Assumptions and Catalog'!$E$57+'Assumptions and Catalog'!$F$57,"Out of range")))))))),IF(L436&lt;='Assumptions and Catalog'!$C$60,L436*'Assumptions and Catalog'!$H$60+'Assumptions and Catalog'!$E$60+'Assumptions and Catalog'!$F$60,IF(L436&lt;='Assumptions and Catalog'!$C$61,L436*'Assumptions and Catalog'!$H$61+'Assumptions and Catalog'!$E$61+'Assumptions and Catalog'!$F$61,IF(L436&lt;='Assumptions and Catalog'!$C$62,L436*'Assumptions and Catalog'!$H$62+'Assumptions and Catalog'!$E$62+'Assumptions and Catalog'!$F$62,IF(L436&lt;='Assumptions and Catalog'!$C$63,L436*'Assumptions and Catalog'!$H$63+'Assumptions and Catalog'!$E$63+'Assumptions and Catalog'!$F$63,IF(L436&lt;='Assumptions and Catalog'!$C$64,L436*'Assumptions and Catalog'!$H$64+'Assumptions and Catalog'!$E$64+'Assumptions and Catalog'!$F$64,IF(L436&lt;='Assumptions and Catalog'!$C$65,L436*'Assumptions and Catalog'!$H$65+'Assumptions and Catalog'!$E$65+'Assumptions and Catalog'!$F$65,"Out of range")))))))))*(1+'Assumptions and Catalog'!$C$8)^(A436-1),0)</f>
        <v>6412.072</v>
      </c>
      <c r="O436" s="5" t="n">
        <f>M436-N436</f>
        <v>0</v>
      </c>
      <c r="P436" s="5" t="n">
        <f>D$55*(1-K$14)*(1-'Assumptions and Catalog'!$C$23)^R436</f>
        <v>0</v>
      </c>
      <c r="Q436" s="5" t="n">
        <f>IF(ISNUMBER(Inputs!$L$5),(IF(Inputs!$L$9="Actual flat rate",((D436+E436)*C436-G436)*Inputs!$L$10,IF(Inputs!$C$9="Residential",IF(((D436+E436)*C436-G436)&lt;='Assumptions and Catalog'!$C$50,((D436+E436)*C436-G436)*'Assumptions and Catalog'!$H$50+'Assumptions and Catalog'!$E$50+'Assumptions and Catalog'!$F$50,IF(((D436+E436)*C436-G436)&lt;='Assumptions and Catalog'!$C$51,((D436+E436)*C436-G436)*'Assumptions and Catalog'!$H$51+'Assumptions and Catalog'!$E$51+'Assumptions and Catalog'!$F$51,IF(((D436+E436)*C436-G436)&lt;='Assumptions and Catalog'!$C$52,((D436+E436)*C436-G436)*'Assumptions and Catalog'!$H$52+'Assumptions and Catalog'!$E$52+'Assumptions and Catalog'!$F$52,IF(((D436+E436)*C436-G436)&lt;='Assumptions and Catalog'!$C$53,((D436+E436)*C436-G436)*'Assumptions and Catalog'!$H$53+'Assumptions and Catalog'!$E$53+'Assumptions and Catalog'!$F$53,IF(((D436+E436)*C436-G436)&lt;='Assumptions and Catalog'!$C$54,((D436+E436)*C436-G436)*'Assumptions and Catalog'!$H$54+'Assumptions and Catalog'!$E$54+'Assumptions and Catalog'!$F$54,IF(((D436+E436)*C436-G436)&lt;='Assumptions and Catalog'!$C$55,((D436+E436)*C436-G436)*'Assumptions and Catalog'!$H$55+'Assumptions and Catalog'!$E$55+'Assumptions and Catalog'!$F$55,IF(((D436+E436)*C436-G436)&lt;='Assumptions and Catalog'!$C$56,((D436+E436)*C436-G436)*'Assumptions and Catalog'!$H$56+'Assumptions and Catalog'!$E$56+'Assumptions and Catalog'!$F$56,IF(((D436+E436)*C436-G436)&lt;='Assumptions and Catalog'!$C$57,((D436+E436)*C436-G436)*'Assumptions and Catalog'!$H$57+'Assumptions and Catalog'!$E$57+'Assumptions and Catalog'!$F$57,"Out of range")))))))),IF(((D436+E436)*C436-G436)&lt;='Assumptions and Catalog'!$C$60,((D436+E436)*C436-G436)*'Assumptions and Catalog'!$H$60+'Assumptions and Catalog'!$E$60+'Assumptions and Catalog'!$F$60,IF(((D436+E436)*C436-G436)&lt;='Assumptions and Catalog'!$C$61,((D436+E436)*C436-G436)*'Assumptions and Catalog'!$H$61+'Assumptions and Catalog'!$E$61+'Assumptions and Catalog'!$F$61,IF(((D436+E436)*C436-G436)&lt;='Assumptions and Catalog'!$C$62,((D436+E436)*C436-G436)*'Assumptions and Catalog'!$H$62+'Assumptions and Catalog'!$E$62+'Assumptions and Catalog'!$F$62,IF(((D436+E436)*C436-G436)&lt;='Assumptions and Catalog'!$C$63,((D436+E436)*C436-G436)*'Assumptions and Catalog'!$H$63+'Assumptions and Catalog'!$E$63+'Assumptions and Catalog'!$F$63,IF(((D436+E436)*C436-G436)&lt;='Assumptions and Catalog'!$C$64,((D436+E436)*C436-G436)*'Assumptions and Catalog'!$H$64+'Assumptions and Catalog'!$E$64+'Assumptions and Catalog'!$F$64,IF(((D436+E436)*C436-G436)&lt;='Assumptions and Catalog'!$C$65,((D436+E436)*C436-G436)*'Assumptions and Catalog'!$H$65+'Assumptions and Catalog'!$E$65+'Assumptions and Catalog'!$F$65,"Out of range")))))))))*(1+'Assumptions and Catalog'!$C$8)^(A436-1),0)</f>
        <v>6412.072</v>
      </c>
      <c r="R436" s="5" t="n">
        <f>IF(AND('Assumptions and Catalog'!$C$19&gt;0,A436&gt;='Assumptions and Catalog'!$C$19),A436-'Assumptions and Catalog'!$C$19,A436-1)</f>
        <v>2</v>
      </c>
      <c r="S436" s="5" t="n">
        <f>F436+L436-(D436+E436)*C436-J436-K436-IF(D$52&gt;0,'Assumptions and Catalog'!$C$26*C436,0)</f>
        <v>0</v>
      </c>
      <c r="T436" s="5"/>
      <c r="U436" s="5"/>
    </row>
    <row r="437" ht="23.100000381469727" customHeight="1">
      <c r="A437" s="5" t="n">
        <v>3</v>
      </c>
      <c r="B437" s="5" t="n">
        <v>3</v>
      </c>
      <c r="C437" s="5" t="n">
        <f>DAY(DATE('Assumptions and Catalog'!$C$24+A437-1,B437+1,0))</f>
        <v>31</v>
      </c>
      <c r="D437" s="5" t="n">
        <f>IF(ISNUMBER(Inputs!$L$5),Inputs!$L$5*Inputs!$L$6,0)</f>
        <v>40.35</v>
      </c>
      <c r="E437" s="5" t="n">
        <f>IF(ISNUMBER(Inputs!$L$5),Inputs!$L$5-D437,0)</f>
        <v>40.35</v>
      </c>
      <c r="F437" s="5" t="n">
        <f>D$51*'Assumptions and Catalog'!$C$31*C437*(1-'Assumptions and Catalog'!$C$10)^(A437-1)</f>
        <v>0</v>
      </c>
      <c r="G437" s="5" t="n">
        <f>MIN(F437,D437*C437)</f>
        <v>0</v>
      </c>
      <c r="H437" s="5" t="n">
        <f>I437/('Assumptions and Catalog'!$C$11*'Assumptions and Catalog'!$C$12)</f>
        <v>0</v>
      </c>
      <c r="I437" s="5" t="n">
        <f>IF(K$15="Grid cycle",MIN(K$16,D437+E437,P437*'Assumptions and Catalog'!$C$12,D$57*(24-'Assumptions and Catalog'!$C$15),D$56*'Assumptions and Catalog'!$C$15*'Assumptions and Catalog'!$C$11*'Assumptions and Catalog'!$C$12)*C437,0)</f>
        <v>0</v>
      </c>
      <c r="J437" s="5" t="n">
        <f>MAX(F437-G437-0,0)</f>
        <v>0</v>
      </c>
      <c r="K437" s="5" t="n">
        <f>H437-I437</f>
        <v>0</v>
      </c>
      <c r="L437" s="5" t="n">
        <f>(D437+E437)*C437-G437-I437+H437+IF(D$52&gt;0,'Assumptions and Catalog'!$C$26*C437,0)</f>
        <v>2501.7</v>
      </c>
      <c r="M437" s="5" t="n">
        <f>IF(ISNUMBER(Inputs!$L$5),(IF(Inputs!$L$9="Actual flat rate",((D437+E437)*C437)*Inputs!$L$10,IF(Inputs!$C$9="Residential",IF(((D437+E437)*C437)&lt;='Assumptions and Catalog'!$C$50,((D437+E437)*C437)*'Assumptions and Catalog'!$H$50+'Assumptions and Catalog'!$E$50+'Assumptions and Catalog'!$F$50,IF(((D437+E437)*C437)&lt;='Assumptions and Catalog'!$C$51,((D437+E437)*C437)*'Assumptions and Catalog'!$H$51+'Assumptions and Catalog'!$E$51+'Assumptions and Catalog'!$F$51,IF(((D437+E437)*C437)&lt;='Assumptions and Catalog'!$C$52,((D437+E437)*C437)*'Assumptions and Catalog'!$H$52+'Assumptions and Catalog'!$E$52+'Assumptions and Catalog'!$F$52,IF(((D437+E437)*C437)&lt;='Assumptions and Catalog'!$C$53,((D437+E437)*C437)*'Assumptions and Catalog'!$H$53+'Assumptions and Catalog'!$E$53+'Assumptions and Catalog'!$F$53,IF(((D437+E437)*C437)&lt;='Assumptions and Catalog'!$C$54,((D437+E437)*C437)*'Assumptions and Catalog'!$H$54+'Assumptions and Catalog'!$E$54+'Assumptions and Catalog'!$F$54,IF(((D437+E437)*C437)&lt;='Assumptions and Catalog'!$C$55,((D437+E437)*C437)*'Assumptions and Catalog'!$H$55+'Assumptions and Catalog'!$E$55+'Assumptions and Catalog'!$F$55,IF(((D437+E437)*C437)&lt;='Assumptions and Catalog'!$C$56,((D437+E437)*C437)*'Assumptions and Catalog'!$H$56+'Assumptions and Catalog'!$E$56+'Assumptions and Catalog'!$F$56,IF(((D437+E437)*C437)&lt;='Assumptions and Catalog'!$C$57,((D437+E437)*C437)*'Assumptions and Catalog'!$H$57+'Assumptions and Catalog'!$E$57+'Assumptions and Catalog'!$F$57,"Out of range")))))))),IF(((D437+E437)*C437)&lt;='Assumptions and Catalog'!$C$60,((D437+E437)*C437)*'Assumptions and Catalog'!$H$60+'Assumptions and Catalog'!$E$60+'Assumptions and Catalog'!$F$60,IF(((D437+E437)*C437)&lt;='Assumptions and Catalog'!$C$61,((D437+E437)*C437)*'Assumptions and Catalog'!$H$61+'Assumptions and Catalog'!$E$61+'Assumptions and Catalog'!$F$61,IF(((D437+E437)*C437)&lt;='Assumptions and Catalog'!$C$62,((D437+E437)*C437)*'Assumptions and Catalog'!$H$62+'Assumptions and Catalog'!$E$62+'Assumptions and Catalog'!$F$62,IF(((D437+E437)*C437)&lt;='Assumptions and Catalog'!$C$63,((D437+E437)*C437)*'Assumptions and Catalog'!$H$63+'Assumptions and Catalog'!$E$63+'Assumptions and Catalog'!$F$63,IF(((D437+E437)*C437)&lt;='Assumptions and Catalog'!$C$64,((D437+E437)*C437)*'Assumptions and Catalog'!$H$64+'Assumptions and Catalog'!$E$64+'Assumptions and Catalog'!$F$64,IF(((D437+E437)*C437)&lt;='Assumptions and Catalog'!$C$65,((D437+E437)*C437)*'Assumptions and Catalog'!$H$65+'Assumptions and Catalog'!$E$65+'Assumptions and Catalog'!$F$65,"Out of range")))))))))*(1+'Assumptions and Catalog'!$C$8)^(A437-1),0)</f>
        <v>7094.794</v>
      </c>
      <c r="N437" s="5" t="n">
        <f>IF(ISNUMBER(Inputs!$L$5),(IF(Inputs!$L$9="Actual flat rate",L437*Inputs!$L$10,IF(Inputs!$C$9="Residential",IF(L437&lt;='Assumptions and Catalog'!$C$50,L437*'Assumptions and Catalog'!$H$50+'Assumptions and Catalog'!$E$50+'Assumptions and Catalog'!$F$50,IF(L437&lt;='Assumptions and Catalog'!$C$51,L437*'Assumptions and Catalog'!$H$51+'Assumptions and Catalog'!$E$51+'Assumptions and Catalog'!$F$51,IF(L437&lt;='Assumptions and Catalog'!$C$52,L437*'Assumptions and Catalog'!$H$52+'Assumptions and Catalog'!$E$52+'Assumptions and Catalog'!$F$52,IF(L437&lt;='Assumptions and Catalog'!$C$53,L437*'Assumptions and Catalog'!$H$53+'Assumptions and Catalog'!$E$53+'Assumptions and Catalog'!$F$53,IF(L437&lt;='Assumptions and Catalog'!$C$54,L437*'Assumptions and Catalog'!$H$54+'Assumptions and Catalog'!$E$54+'Assumptions and Catalog'!$F$54,IF(L437&lt;='Assumptions and Catalog'!$C$55,L437*'Assumptions and Catalog'!$H$55+'Assumptions and Catalog'!$E$55+'Assumptions and Catalog'!$F$55,IF(L437&lt;='Assumptions and Catalog'!$C$56,L437*'Assumptions and Catalog'!$H$56+'Assumptions and Catalog'!$E$56+'Assumptions and Catalog'!$F$56,IF(L437&lt;='Assumptions and Catalog'!$C$57,L437*'Assumptions and Catalog'!$H$57+'Assumptions and Catalog'!$E$57+'Assumptions and Catalog'!$F$57,"Out of range")))))))),IF(L437&lt;='Assumptions and Catalog'!$C$60,L437*'Assumptions and Catalog'!$H$60+'Assumptions and Catalog'!$E$60+'Assumptions and Catalog'!$F$60,IF(L437&lt;='Assumptions and Catalog'!$C$61,L437*'Assumptions and Catalog'!$H$61+'Assumptions and Catalog'!$E$61+'Assumptions and Catalog'!$F$61,IF(L437&lt;='Assumptions and Catalog'!$C$62,L437*'Assumptions and Catalog'!$H$62+'Assumptions and Catalog'!$E$62+'Assumptions and Catalog'!$F$62,IF(L437&lt;='Assumptions and Catalog'!$C$63,L437*'Assumptions and Catalog'!$H$63+'Assumptions and Catalog'!$E$63+'Assumptions and Catalog'!$F$63,IF(L437&lt;='Assumptions and Catalog'!$C$64,L437*'Assumptions and Catalog'!$H$64+'Assumptions and Catalog'!$E$64+'Assumptions and Catalog'!$F$64,IF(L437&lt;='Assumptions and Catalog'!$C$65,L437*'Assumptions and Catalog'!$H$65+'Assumptions and Catalog'!$E$65+'Assumptions and Catalog'!$F$65,"Out of range")))))))))*(1+'Assumptions and Catalog'!$C$8)^(A437-1),0)</f>
        <v>7094.794</v>
      </c>
      <c r="O437" s="5" t="n">
        <f>M437-N437</f>
        <v>0</v>
      </c>
      <c r="P437" s="5" t="n">
        <f>D$55*(1-K$14)*(1-'Assumptions and Catalog'!$C$23)^R437</f>
        <v>0</v>
      </c>
      <c r="Q437" s="5" t="n">
        <f>IF(ISNUMBER(Inputs!$L$5),(IF(Inputs!$L$9="Actual flat rate",((D437+E437)*C437-G437)*Inputs!$L$10,IF(Inputs!$C$9="Residential",IF(((D437+E437)*C437-G437)&lt;='Assumptions and Catalog'!$C$50,((D437+E437)*C437-G437)*'Assumptions and Catalog'!$H$50+'Assumptions and Catalog'!$E$50+'Assumptions and Catalog'!$F$50,IF(((D437+E437)*C437-G437)&lt;='Assumptions and Catalog'!$C$51,((D437+E437)*C437-G437)*'Assumptions and Catalog'!$H$51+'Assumptions and Catalog'!$E$51+'Assumptions and Catalog'!$F$51,IF(((D437+E437)*C437-G437)&lt;='Assumptions and Catalog'!$C$52,((D437+E437)*C437-G437)*'Assumptions and Catalog'!$H$52+'Assumptions and Catalog'!$E$52+'Assumptions and Catalog'!$F$52,IF(((D437+E437)*C437-G437)&lt;='Assumptions and Catalog'!$C$53,((D437+E437)*C437-G437)*'Assumptions and Catalog'!$H$53+'Assumptions and Catalog'!$E$53+'Assumptions and Catalog'!$F$53,IF(((D437+E437)*C437-G437)&lt;='Assumptions and Catalog'!$C$54,((D437+E437)*C437-G437)*'Assumptions and Catalog'!$H$54+'Assumptions and Catalog'!$E$54+'Assumptions and Catalog'!$F$54,IF(((D437+E437)*C437-G437)&lt;='Assumptions and Catalog'!$C$55,((D437+E437)*C437-G437)*'Assumptions and Catalog'!$H$55+'Assumptions and Catalog'!$E$55+'Assumptions and Catalog'!$F$55,IF(((D437+E437)*C437-G437)&lt;='Assumptions and Catalog'!$C$56,((D437+E437)*C437-G437)*'Assumptions and Catalog'!$H$56+'Assumptions and Catalog'!$E$56+'Assumptions and Catalog'!$F$56,IF(((D437+E437)*C437-G437)&lt;='Assumptions and Catalog'!$C$57,((D437+E437)*C437-G437)*'Assumptions and Catalog'!$H$57+'Assumptions and Catalog'!$E$57+'Assumptions and Catalog'!$F$57,"Out of range")))))))),IF(((D437+E437)*C437-G437)&lt;='Assumptions and Catalog'!$C$60,((D437+E437)*C437-G437)*'Assumptions and Catalog'!$H$60+'Assumptions and Catalog'!$E$60+'Assumptions and Catalog'!$F$60,IF(((D437+E437)*C437-G437)&lt;='Assumptions and Catalog'!$C$61,((D437+E437)*C437-G437)*'Assumptions and Catalog'!$H$61+'Assumptions and Catalog'!$E$61+'Assumptions and Catalog'!$F$61,IF(((D437+E437)*C437-G437)&lt;='Assumptions and Catalog'!$C$62,((D437+E437)*C437-G437)*'Assumptions and Catalog'!$H$62+'Assumptions and Catalog'!$E$62+'Assumptions and Catalog'!$F$62,IF(((D437+E437)*C437-G437)&lt;='Assumptions and Catalog'!$C$63,((D437+E437)*C437-G437)*'Assumptions and Catalog'!$H$63+'Assumptions and Catalog'!$E$63+'Assumptions and Catalog'!$F$63,IF(((D437+E437)*C437-G437)&lt;='Assumptions and Catalog'!$C$64,((D437+E437)*C437-G437)*'Assumptions and Catalog'!$H$64+'Assumptions and Catalog'!$E$64+'Assumptions and Catalog'!$F$64,IF(((D437+E437)*C437-G437)&lt;='Assumptions and Catalog'!$C$65,((D437+E437)*C437-G437)*'Assumptions and Catalog'!$H$65+'Assumptions and Catalog'!$E$65+'Assumptions and Catalog'!$F$65,"Out of range")))))))))*(1+'Assumptions and Catalog'!$C$8)^(A437-1),0)</f>
        <v>7094.794</v>
      </c>
      <c r="R437" s="5" t="n">
        <f>IF(AND('Assumptions and Catalog'!$C$19&gt;0,A437&gt;='Assumptions and Catalog'!$C$19),A437-'Assumptions and Catalog'!$C$19,A437-1)</f>
        <v>2</v>
      </c>
      <c r="S437" s="5" t="n">
        <f>F437+L437-(D437+E437)*C437-J437-K437-IF(D$52&gt;0,'Assumptions and Catalog'!$C$26*C437,0)</f>
        <v>0</v>
      </c>
      <c r="T437" s="5"/>
      <c r="U437" s="5"/>
    </row>
    <row r="438" ht="23.100000381469727" customHeight="1">
      <c r="A438" s="5" t="n">
        <v>3</v>
      </c>
      <c r="B438" s="5" t="n">
        <v>4</v>
      </c>
      <c r="C438" s="5" t="n">
        <f>DAY(DATE('Assumptions and Catalog'!$C$24+A438-1,B438+1,0))</f>
        <v>30</v>
      </c>
      <c r="D438" s="5" t="n">
        <f>IF(ISNUMBER(Inputs!$L$5),Inputs!$L$5*Inputs!$L$6,0)</f>
        <v>40.35</v>
      </c>
      <c r="E438" s="5" t="n">
        <f>IF(ISNUMBER(Inputs!$L$5),Inputs!$L$5-D438,0)</f>
        <v>40.35</v>
      </c>
      <c r="F438" s="5" t="n">
        <f>D$51*'Assumptions and Catalog'!$C$31*C438*(1-'Assumptions and Catalog'!$C$10)^(A438-1)</f>
        <v>0</v>
      </c>
      <c r="G438" s="5" t="n">
        <f>MIN(F438,D438*C438)</f>
        <v>0</v>
      </c>
      <c r="H438" s="5" t="n">
        <f>I438/('Assumptions and Catalog'!$C$11*'Assumptions and Catalog'!$C$12)</f>
        <v>0</v>
      </c>
      <c r="I438" s="5" t="n">
        <f>IF(K$15="Grid cycle",MIN(K$16,D438+E438,P438*'Assumptions and Catalog'!$C$12,D$57*(24-'Assumptions and Catalog'!$C$15),D$56*'Assumptions and Catalog'!$C$15*'Assumptions and Catalog'!$C$11*'Assumptions and Catalog'!$C$12)*C438,0)</f>
        <v>0</v>
      </c>
      <c r="J438" s="5" t="n">
        <f>MAX(F438-G438-0,0)</f>
        <v>0</v>
      </c>
      <c r="K438" s="5" t="n">
        <f>H438-I438</f>
        <v>0</v>
      </c>
      <c r="L438" s="5" t="n">
        <f>(D438+E438)*C438-G438-I438+H438+IF(D$52&gt;0,'Assumptions and Catalog'!$C$26*C438,0)</f>
        <v>2421</v>
      </c>
      <c r="M438" s="5" t="n">
        <f>IF(ISNUMBER(Inputs!$L$5),(IF(Inputs!$L$9="Actual flat rate",((D438+E438)*C438)*Inputs!$L$10,IF(Inputs!$C$9="Residential",IF(((D438+E438)*C438)&lt;='Assumptions and Catalog'!$C$50,((D438+E438)*C438)*'Assumptions and Catalog'!$H$50+'Assumptions and Catalog'!$E$50+'Assumptions and Catalog'!$F$50,IF(((D438+E438)*C438)&lt;='Assumptions and Catalog'!$C$51,((D438+E438)*C438)*'Assumptions and Catalog'!$H$51+'Assumptions and Catalog'!$E$51+'Assumptions and Catalog'!$F$51,IF(((D438+E438)*C438)&lt;='Assumptions and Catalog'!$C$52,((D438+E438)*C438)*'Assumptions and Catalog'!$H$52+'Assumptions and Catalog'!$E$52+'Assumptions and Catalog'!$F$52,IF(((D438+E438)*C438)&lt;='Assumptions and Catalog'!$C$53,((D438+E438)*C438)*'Assumptions and Catalog'!$H$53+'Assumptions and Catalog'!$E$53+'Assumptions and Catalog'!$F$53,IF(((D438+E438)*C438)&lt;='Assumptions and Catalog'!$C$54,((D438+E438)*C438)*'Assumptions and Catalog'!$H$54+'Assumptions and Catalog'!$E$54+'Assumptions and Catalog'!$F$54,IF(((D438+E438)*C438)&lt;='Assumptions and Catalog'!$C$55,((D438+E438)*C438)*'Assumptions and Catalog'!$H$55+'Assumptions and Catalog'!$E$55+'Assumptions and Catalog'!$F$55,IF(((D438+E438)*C438)&lt;='Assumptions and Catalog'!$C$56,((D438+E438)*C438)*'Assumptions and Catalog'!$H$56+'Assumptions and Catalog'!$E$56+'Assumptions and Catalog'!$F$56,IF(((D438+E438)*C438)&lt;='Assumptions and Catalog'!$C$57,((D438+E438)*C438)*'Assumptions and Catalog'!$H$57+'Assumptions and Catalog'!$E$57+'Assumptions and Catalog'!$F$57,"Out of range")))))))),IF(((D438+E438)*C438)&lt;='Assumptions and Catalog'!$C$60,((D438+E438)*C438)*'Assumptions and Catalog'!$H$60+'Assumptions and Catalog'!$E$60+'Assumptions and Catalog'!$F$60,IF(((D438+E438)*C438)&lt;='Assumptions and Catalog'!$C$61,((D438+E438)*C438)*'Assumptions and Catalog'!$H$61+'Assumptions and Catalog'!$E$61+'Assumptions and Catalog'!$F$61,IF(((D438+E438)*C438)&lt;='Assumptions and Catalog'!$C$62,((D438+E438)*C438)*'Assumptions and Catalog'!$H$62+'Assumptions and Catalog'!$E$62+'Assumptions and Catalog'!$F$62,IF(((D438+E438)*C438)&lt;='Assumptions and Catalog'!$C$63,((D438+E438)*C438)*'Assumptions and Catalog'!$H$63+'Assumptions and Catalog'!$E$63+'Assumptions and Catalog'!$F$63,IF(((D438+E438)*C438)&lt;='Assumptions and Catalog'!$C$64,((D438+E438)*C438)*'Assumptions and Catalog'!$H$64+'Assumptions and Catalog'!$E$64+'Assumptions and Catalog'!$F$64,IF(((D438+E438)*C438)&lt;='Assumptions and Catalog'!$C$65,((D438+E438)*C438)*'Assumptions and Catalog'!$H$65+'Assumptions and Catalog'!$E$65+'Assumptions and Catalog'!$F$65,"Out of range")))))))))*(1+'Assumptions and Catalog'!$C$8)^(A438-1),0)</f>
        <v>6867.22</v>
      </c>
      <c r="N438" s="5" t="n">
        <f>IF(ISNUMBER(Inputs!$L$5),(IF(Inputs!$L$9="Actual flat rate",L438*Inputs!$L$10,IF(Inputs!$C$9="Residential",IF(L438&lt;='Assumptions and Catalog'!$C$50,L438*'Assumptions and Catalog'!$H$50+'Assumptions and Catalog'!$E$50+'Assumptions and Catalog'!$F$50,IF(L438&lt;='Assumptions and Catalog'!$C$51,L438*'Assumptions and Catalog'!$H$51+'Assumptions and Catalog'!$E$51+'Assumptions and Catalog'!$F$51,IF(L438&lt;='Assumptions and Catalog'!$C$52,L438*'Assumptions and Catalog'!$H$52+'Assumptions and Catalog'!$E$52+'Assumptions and Catalog'!$F$52,IF(L438&lt;='Assumptions and Catalog'!$C$53,L438*'Assumptions and Catalog'!$H$53+'Assumptions and Catalog'!$E$53+'Assumptions and Catalog'!$F$53,IF(L438&lt;='Assumptions and Catalog'!$C$54,L438*'Assumptions and Catalog'!$H$54+'Assumptions and Catalog'!$E$54+'Assumptions and Catalog'!$F$54,IF(L438&lt;='Assumptions and Catalog'!$C$55,L438*'Assumptions and Catalog'!$H$55+'Assumptions and Catalog'!$E$55+'Assumptions and Catalog'!$F$55,IF(L438&lt;='Assumptions and Catalog'!$C$56,L438*'Assumptions and Catalog'!$H$56+'Assumptions and Catalog'!$E$56+'Assumptions and Catalog'!$F$56,IF(L438&lt;='Assumptions and Catalog'!$C$57,L438*'Assumptions and Catalog'!$H$57+'Assumptions and Catalog'!$E$57+'Assumptions and Catalog'!$F$57,"Out of range")))))))),IF(L438&lt;='Assumptions and Catalog'!$C$60,L438*'Assumptions and Catalog'!$H$60+'Assumptions and Catalog'!$E$60+'Assumptions and Catalog'!$F$60,IF(L438&lt;='Assumptions and Catalog'!$C$61,L438*'Assumptions and Catalog'!$H$61+'Assumptions and Catalog'!$E$61+'Assumptions and Catalog'!$F$61,IF(L438&lt;='Assumptions and Catalog'!$C$62,L438*'Assumptions and Catalog'!$H$62+'Assumptions and Catalog'!$E$62+'Assumptions and Catalog'!$F$62,IF(L438&lt;='Assumptions and Catalog'!$C$63,L438*'Assumptions and Catalog'!$H$63+'Assumptions and Catalog'!$E$63+'Assumptions and Catalog'!$F$63,IF(L438&lt;='Assumptions and Catalog'!$C$64,L438*'Assumptions and Catalog'!$H$64+'Assumptions and Catalog'!$E$64+'Assumptions and Catalog'!$F$64,IF(L438&lt;='Assumptions and Catalog'!$C$65,L438*'Assumptions and Catalog'!$H$65+'Assumptions and Catalog'!$E$65+'Assumptions and Catalog'!$F$65,"Out of range")))))))))*(1+'Assumptions and Catalog'!$C$8)^(A438-1),0)</f>
        <v>6867.22</v>
      </c>
      <c r="O438" s="5" t="n">
        <f>M438-N438</f>
        <v>0</v>
      </c>
      <c r="P438" s="5" t="n">
        <f>D$55*(1-K$14)*(1-'Assumptions and Catalog'!$C$23)^R438</f>
        <v>0</v>
      </c>
      <c r="Q438" s="5" t="n">
        <f>IF(ISNUMBER(Inputs!$L$5),(IF(Inputs!$L$9="Actual flat rate",((D438+E438)*C438-G438)*Inputs!$L$10,IF(Inputs!$C$9="Residential",IF(((D438+E438)*C438-G438)&lt;='Assumptions and Catalog'!$C$50,((D438+E438)*C438-G438)*'Assumptions and Catalog'!$H$50+'Assumptions and Catalog'!$E$50+'Assumptions and Catalog'!$F$50,IF(((D438+E438)*C438-G438)&lt;='Assumptions and Catalog'!$C$51,((D438+E438)*C438-G438)*'Assumptions and Catalog'!$H$51+'Assumptions and Catalog'!$E$51+'Assumptions and Catalog'!$F$51,IF(((D438+E438)*C438-G438)&lt;='Assumptions and Catalog'!$C$52,((D438+E438)*C438-G438)*'Assumptions and Catalog'!$H$52+'Assumptions and Catalog'!$E$52+'Assumptions and Catalog'!$F$52,IF(((D438+E438)*C438-G438)&lt;='Assumptions and Catalog'!$C$53,((D438+E438)*C438-G438)*'Assumptions and Catalog'!$H$53+'Assumptions and Catalog'!$E$53+'Assumptions and Catalog'!$F$53,IF(((D438+E438)*C438-G438)&lt;='Assumptions and Catalog'!$C$54,((D438+E438)*C438-G438)*'Assumptions and Catalog'!$H$54+'Assumptions and Catalog'!$E$54+'Assumptions and Catalog'!$F$54,IF(((D438+E438)*C438-G438)&lt;='Assumptions and Catalog'!$C$55,((D438+E438)*C438-G438)*'Assumptions and Catalog'!$H$55+'Assumptions and Catalog'!$E$55+'Assumptions and Catalog'!$F$55,IF(((D438+E438)*C438-G438)&lt;='Assumptions and Catalog'!$C$56,((D438+E438)*C438-G438)*'Assumptions and Catalog'!$H$56+'Assumptions and Catalog'!$E$56+'Assumptions and Catalog'!$F$56,IF(((D438+E438)*C438-G438)&lt;='Assumptions and Catalog'!$C$57,((D438+E438)*C438-G438)*'Assumptions and Catalog'!$H$57+'Assumptions and Catalog'!$E$57+'Assumptions and Catalog'!$F$57,"Out of range")))))))),IF(((D438+E438)*C438-G438)&lt;='Assumptions and Catalog'!$C$60,((D438+E438)*C438-G438)*'Assumptions and Catalog'!$H$60+'Assumptions and Catalog'!$E$60+'Assumptions and Catalog'!$F$60,IF(((D438+E438)*C438-G438)&lt;='Assumptions and Catalog'!$C$61,((D438+E438)*C438-G438)*'Assumptions and Catalog'!$H$61+'Assumptions and Catalog'!$E$61+'Assumptions and Catalog'!$F$61,IF(((D438+E438)*C438-G438)&lt;='Assumptions and Catalog'!$C$62,((D438+E438)*C438-G438)*'Assumptions and Catalog'!$H$62+'Assumptions and Catalog'!$E$62+'Assumptions and Catalog'!$F$62,IF(((D438+E438)*C438-G438)&lt;='Assumptions and Catalog'!$C$63,((D438+E438)*C438-G438)*'Assumptions and Catalog'!$H$63+'Assumptions and Catalog'!$E$63+'Assumptions and Catalog'!$F$63,IF(((D438+E438)*C438-G438)&lt;='Assumptions and Catalog'!$C$64,((D438+E438)*C438-G438)*'Assumptions and Catalog'!$H$64+'Assumptions and Catalog'!$E$64+'Assumptions and Catalog'!$F$64,IF(((D438+E438)*C438-G438)&lt;='Assumptions and Catalog'!$C$65,((D438+E438)*C438-G438)*'Assumptions and Catalog'!$H$65+'Assumptions and Catalog'!$E$65+'Assumptions and Catalog'!$F$65,"Out of range")))))))))*(1+'Assumptions and Catalog'!$C$8)^(A438-1),0)</f>
        <v>6867.22</v>
      </c>
      <c r="R438" s="5" t="n">
        <f>IF(AND('Assumptions and Catalog'!$C$19&gt;0,A438&gt;='Assumptions and Catalog'!$C$19),A438-'Assumptions and Catalog'!$C$19,A438-1)</f>
        <v>2</v>
      </c>
      <c r="S438" s="5" t="n">
        <f>F438+L438-(D438+E438)*C438-J438-K438-IF(D$52&gt;0,'Assumptions and Catalog'!$C$26*C438,0)</f>
        <v>0</v>
      </c>
      <c r="T438" s="5"/>
      <c r="U438" s="5"/>
    </row>
    <row r="439" ht="23.100000381469727" customHeight="1">
      <c r="A439" s="5" t="n">
        <v>3</v>
      </c>
      <c r="B439" s="5" t="n">
        <v>5</v>
      </c>
      <c r="C439" s="5" t="n">
        <f>DAY(DATE('Assumptions and Catalog'!$C$24+A439-1,B439+1,0))</f>
        <v>31</v>
      </c>
      <c r="D439" s="5" t="n">
        <f>IF(ISNUMBER(Inputs!$L$5),Inputs!$L$5*Inputs!$L$6,0)</f>
        <v>40.35</v>
      </c>
      <c r="E439" s="5" t="n">
        <f>IF(ISNUMBER(Inputs!$L$5),Inputs!$L$5-D439,0)</f>
        <v>40.35</v>
      </c>
      <c r="F439" s="5" t="n">
        <f>D$51*'Assumptions and Catalog'!$C$31*C439*(1-'Assumptions and Catalog'!$C$10)^(A439-1)</f>
        <v>0</v>
      </c>
      <c r="G439" s="5" t="n">
        <f>MIN(F439,D439*C439)</f>
        <v>0</v>
      </c>
      <c r="H439" s="5" t="n">
        <f>I439/('Assumptions and Catalog'!$C$11*'Assumptions and Catalog'!$C$12)</f>
        <v>0</v>
      </c>
      <c r="I439" s="5" t="n">
        <f>IF(K$15="Grid cycle",MIN(K$16,D439+E439,P439*'Assumptions and Catalog'!$C$12,D$57*(24-'Assumptions and Catalog'!$C$15),D$56*'Assumptions and Catalog'!$C$15*'Assumptions and Catalog'!$C$11*'Assumptions and Catalog'!$C$12)*C439,0)</f>
        <v>0</v>
      </c>
      <c r="J439" s="5" t="n">
        <f>MAX(F439-G439-0,0)</f>
        <v>0</v>
      </c>
      <c r="K439" s="5" t="n">
        <f>H439-I439</f>
        <v>0</v>
      </c>
      <c r="L439" s="5" t="n">
        <f>(D439+E439)*C439-G439-I439+H439+IF(D$52&gt;0,'Assumptions and Catalog'!$C$26*C439,0)</f>
        <v>2501.7</v>
      </c>
      <c r="M439" s="5" t="n">
        <f>IF(ISNUMBER(Inputs!$L$5),(IF(Inputs!$L$9="Actual flat rate",((D439+E439)*C439)*Inputs!$L$10,IF(Inputs!$C$9="Residential",IF(((D439+E439)*C439)&lt;='Assumptions and Catalog'!$C$50,((D439+E439)*C439)*'Assumptions and Catalog'!$H$50+'Assumptions and Catalog'!$E$50+'Assumptions and Catalog'!$F$50,IF(((D439+E439)*C439)&lt;='Assumptions and Catalog'!$C$51,((D439+E439)*C439)*'Assumptions and Catalog'!$H$51+'Assumptions and Catalog'!$E$51+'Assumptions and Catalog'!$F$51,IF(((D439+E439)*C439)&lt;='Assumptions and Catalog'!$C$52,((D439+E439)*C439)*'Assumptions and Catalog'!$H$52+'Assumptions and Catalog'!$E$52+'Assumptions and Catalog'!$F$52,IF(((D439+E439)*C439)&lt;='Assumptions and Catalog'!$C$53,((D439+E439)*C439)*'Assumptions and Catalog'!$H$53+'Assumptions and Catalog'!$E$53+'Assumptions and Catalog'!$F$53,IF(((D439+E439)*C439)&lt;='Assumptions and Catalog'!$C$54,((D439+E439)*C439)*'Assumptions and Catalog'!$H$54+'Assumptions and Catalog'!$E$54+'Assumptions and Catalog'!$F$54,IF(((D439+E439)*C439)&lt;='Assumptions and Catalog'!$C$55,((D439+E439)*C439)*'Assumptions and Catalog'!$H$55+'Assumptions and Catalog'!$E$55+'Assumptions and Catalog'!$F$55,IF(((D439+E439)*C439)&lt;='Assumptions and Catalog'!$C$56,((D439+E439)*C439)*'Assumptions and Catalog'!$H$56+'Assumptions and Catalog'!$E$56+'Assumptions and Catalog'!$F$56,IF(((D439+E439)*C439)&lt;='Assumptions and Catalog'!$C$57,((D439+E439)*C439)*'Assumptions and Catalog'!$H$57+'Assumptions and Catalog'!$E$57+'Assumptions and Catalog'!$F$57,"Out of range")))))))),IF(((D439+E439)*C439)&lt;='Assumptions and Catalog'!$C$60,((D439+E439)*C439)*'Assumptions and Catalog'!$H$60+'Assumptions and Catalog'!$E$60+'Assumptions and Catalog'!$F$60,IF(((D439+E439)*C439)&lt;='Assumptions and Catalog'!$C$61,((D439+E439)*C439)*'Assumptions and Catalog'!$H$61+'Assumptions and Catalog'!$E$61+'Assumptions and Catalog'!$F$61,IF(((D439+E439)*C439)&lt;='Assumptions and Catalog'!$C$62,((D439+E439)*C439)*'Assumptions and Catalog'!$H$62+'Assumptions and Catalog'!$E$62+'Assumptions and Catalog'!$F$62,IF(((D439+E439)*C439)&lt;='Assumptions and Catalog'!$C$63,((D439+E439)*C439)*'Assumptions and Catalog'!$H$63+'Assumptions and Catalog'!$E$63+'Assumptions and Catalog'!$F$63,IF(((D439+E439)*C439)&lt;='Assumptions and Catalog'!$C$64,((D439+E439)*C439)*'Assumptions and Catalog'!$H$64+'Assumptions and Catalog'!$E$64+'Assumptions and Catalog'!$F$64,IF(((D439+E439)*C439)&lt;='Assumptions and Catalog'!$C$65,((D439+E439)*C439)*'Assumptions and Catalog'!$H$65+'Assumptions and Catalog'!$E$65+'Assumptions and Catalog'!$F$65,"Out of range")))))))))*(1+'Assumptions and Catalog'!$C$8)^(A439-1),0)</f>
        <v>7094.794</v>
      </c>
      <c r="N439" s="5" t="n">
        <f>IF(ISNUMBER(Inputs!$L$5),(IF(Inputs!$L$9="Actual flat rate",L439*Inputs!$L$10,IF(Inputs!$C$9="Residential",IF(L439&lt;='Assumptions and Catalog'!$C$50,L439*'Assumptions and Catalog'!$H$50+'Assumptions and Catalog'!$E$50+'Assumptions and Catalog'!$F$50,IF(L439&lt;='Assumptions and Catalog'!$C$51,L439*'Assumptions and Catalog'!$H$51+'Assumptions and Catalog'!$E$51+'Assumptions and Catalog'!$F$51,IF(L439&lt;='Assumptions and Catalog'!$C$52,L439*'Assumptions and Catalog'!$H$52+'Assumptions and Catalog'!$E$52+'Assumptions and Catalog'!$F$52,IF(L439&lt;='Assumptions and Catalog'!$C$53,L439*'Assumptions and Catalog'!$H$53+'Assumptions and Catalog'!$E$53+'Assumptions and Catalog'!$F$53,IF(L439&lt;='Assumptions and Catalog'!$C$54,L439*'Assumptions and Catalog'!$H$54+'Assumptions and Catalog'!$E$54+'Assumptions and Catalog'!$F$54,IF(L439&lt;='Assumptions and Catalog'!$C$55,L439*'Assumptions and Catalog'!$H$55+'Assumptions and Catalog'!$E$55+'Assumptions and Catalog'!$F$55,IF(L439&lt;='Assumptions and Catalog'!$C$56,L439*'Assumptions and Catalog'!$H$56+'Assumptions and Catalog'!$E$56+'Assumptions and Catalog'!$F$56,IF(L439&lt;='Assumptions and Catalog'!$C$57,L439*'Assumptions and Catalog'!$H$57+'Assumptions and Catalog'!$E$57+'Assumptions and Catalog'!$F$57,"Out of range")))))))),IF(L439&lt;='Assumptions and Catalog'!$C$60,L439*'Assumptions and Catalog'!$H$60+'Assumptions and Catalog'!$E$60+'Assumptions and Catalog'!$F$60,IF(L439&lt;='Assumptions and Catalog'!$C$61,L439*'Assumptions and Catalog'!$H$61+'Assumptions and Catalog'!$E$61+'Assumptions and Catalog'!$F$61,IF(L439&lt;='Assumptions and Catalog'!$C$62,L439*'Assumptions and Catalog'!$H$62+'Assumptions and Catalog'!$E$62+'Assumptions and Catalog'!$F$62,IF(L439&lt;='Assumptions and Catalog'!$C$63,L439*'Assumptions and Catalog'!$H$63+'Assumptions and Catalog'!$E$63+'Assumptions and Catalog'!$F$63,IF(L439&lt;='Assumptions and Catalog'!$C$64,L439*'Assumptions and Catalog'!$H$64+'Assumptions and Catalog'!$E$64+'Assumptions and Catalog'!$F$64,IF(L439&lt;='Assumptions and Catalog'!$C$65,L439*'Assumptions and Catalog'!$H$65+'Assumptions and Catalog'!$E$65+'Assumptions and Catalog'!$F$65,"Out of range")))))))))*(1+'Assumptions and Catalog'!$C$8)^(A439-1),0)</f>
        <v>7094.794</v>
      </c>
      <c r="O439" s="5" t="n">
        <f>M439-N439</f>
        <v>0</v>
      </c>
      <c r="P439" s="5" t="n">
        <f>D$55*(1-K$14)*(1-'Assumptions and Catalog'!$C$23)^R439</f>
        <v>0</v>
      </c>
      <c r="Q439" s="5" t="n">
        <f>IF(ISNUMBER(Inputs!$L$5),(IF(Inputs!$L$9="Actual flat rate",((D439+E439)*C439-G439)*Inputs!$L$10,IF(Inputs!$C$9="Residential",IF(((D439+E439)*C439-G439)&lt;='Assumptions and Catalog'!$C$50,((D439+E439)*C439-G439)*'Assumptions and Catalog'!$H$50+'Assumptions and Catalog'!$E$50+'Assumptions and Catalog'!$F$50,IF(((D439+E439)*C439-G439)&lt;='Assumptions and Catalog'!$C$51,((D439+E439)*C439-G439)*'Assumptions and Catalog'!$H$51+'Assumptions and Catalog'!$E$51+'Assumptions and Catalog'!$F$51,IF(((D439+E439)*C439-G439)&lt;='Assumptions and Catalog'!$C$52,((D439+E439)*C439-G439)*'Assumptions and Catalog'!$H$52+'Assumptions and Catalog'!$E$52+'Assumptions and Catalog'!$F$52,IF(((D439+E439)*C439-G439)&lt;='Assumptions and Catalog'!$C$53,((D439+E439)*C439-G439)*'Assumptions and Catalog'!$H$53+'Assumptions and Catalog'!$E$53+'Assumptions and Catalog'!$F$53,IF(((D439+E439)*C439-G439)&lt;='Assumptions and Catalog'!$C$54,((D439+E439)*C439-G439)*'Assumptions and Catalog'!$H$54+'Assumptions and Catalog'!$E$54+'Assumptions and Catalog'!$F$54,IF(((D439+E439)*C439-G439)&lt;='Assumptions and Catalog'!$C$55,((D439+E439)*C439-G439)*'Assumptions and Catalog'!$H$55+'Assumptions and Catalog'!$E$55+'Assumptions and Catalog'!$F$55,IF(((D439+E439)*C439-G439)&lt;='Assumptions and Catalog'!$C$56,((D439+E439)*C439-G439)*'Assumptions and Catalog'!$H$56+'Assumptions and Catalog'!$E$56+'Assumptions and Catalog'!$F$56,IF(((D439+E439)*C439-G439)&lt;='Assumptions and Catalog'!$C$57,((D439+E439)*C439-G439)*'Assumptions and Catalog'!$H$57+'Assumptions and Catalog'!$E$57+'Assumptions and Catalog'!$F$57,"Out of range")))))))),IF(((D439+E439)*C439-G439)&lt;='Assumptions and Catalog'!$C$60,((D439+E439)*C439-G439)*'Assumptions and Catalog'!$H$60+'Assumptions and Catalog'!$E$60+'Assumptions and Catalog'!$F$60,IF(((D439+E439)*C439-G439)&lt;='Assumptions and Catalog'!$C$61,((D439+E439)*C439-G439)*'Assumptions and Catalog'!$H$61+'Assumptions and Catalog'!$E$61+'Assumptions and Catalog'!$F$61,IF(((D439+E439)*C439-G439)&lt;='Assumptions and Catalog'!$C$62,((D439+E439)*C439-G439)*'Assumptions and Catalog'!$H$62+'Assumptions and Catalog'!$E$62+'Assumptions and Catalog'!$F$62,IF(((D439+E439)*C439-G439)&lt;='Assumptions and Catalog'!$C$63,((D439+E439)*C439-G439)*'Assumptions and Catalog'!$H$63+'Assumptions and Catalog'!$E$63+'Assumptions and Catalog'!$F$63,IF(((D439+E439)*C439-G439)&lt;='Assumptions and Catalog'!$C$64,((D439+E439)*C439-G439)*'Assumptions and Catalog'!$H$64+'Assumptions and Catalog'!$E$64+'Assumptions and Catalog'!$F$64,IF(((D439+E439)*C439-G439)&lt;='Assumptions and Catalog'!$C$65,((D439+E439)*C439-G439)*'Assumptions and Catalog'!$H$65+'Assumptions and Catalog'!$E$65+'Assumptions and Catalog'!$F$65,"Out of range")))))))))*(1+'Assumptions and Catalog'!$C$8)^(A439-1),0)</f>
        <v>7094.794</v>
      </c>
      <c r="R439" s="5" t="n">
        <f>IF(AND('Assumptions and Catalog'!$C$19&gt;0,A439&gt;='Assumptions and Catalog'!$C$19),A439-'Assumptions and Catalog'!$C$19,A439-1)</f>
        <v>2</v>
      </c>
      <c r="S439" s="5" t="n">
        <f>F439+L439-(D439+E439)*C439-J439-K439-IF(D$52&gt;0,'Assumptions and Catalog'!$C$26*C439,0)</f>
        <v>0</v>
      </c>
      <c r="T439" s="5"/>
      <c r="U439" s="5"/>
    </row>
    <row r="440" ht="23.100000381469727" customHeight="1">
      <c r="A440" s="5" t="n">
        <v>3</v>
      </c>
      <c r="B440" s="5" t="n">
        <v>6</v>
      </c>
      <c r="C440" s="5" t="n">
        <f>DAY(DATE('Assumptions and Catalog'!$C$24+A440-1,B440+1,0))</f>
        <v>30</v>
      </c>
      <c r="D440" s="5" t="n">
        <f>IF(ISNUMBER(Inputs!$L$5),Inputs!$L$5*Inputs!$L$6,0)</f>
        <v>40.35</v>
      </c>
      <c r="E440" s="5" t="n">
        <f>IF(ISNUMBER(Inputs!$L$5),Inputs!$L$5-D440,0)</f>
        <v>40.35</v>
      </c>
      <c r="F440" s="5" t="n">
        <f>D$51*'Assumptions and Catalog'!$C$31*C440*(1-'Assumptions and Catalog'!$C$10)^(A440-1)</f>
        <v>0</v>
      </c>
      <c r="G440" s="5" t="n">
        <f>MIN(F440,D440*C440)</f>
        <v>0</v>
      </c>
      <c r="H440" s="5" t="n">
        <f>I440/('Assumptions and Catalog'!$C$11*'Assumptions and Catalog'!$C$12)</f>
        <v>0</v>
      </c>
      <c r="I440" s="5" t="n">
        <f>IF(K$15="Grid cycle",MIN(K$16,D440+E440,P440*'Assumptions and Catalog'!$C$12,D$57*(24-'Assumptions and Catalog'!$C$15),D$56*'Assumptions and Catalog'!$C$15*'Assumptions and Catalog'!$C$11*'Assumptions and Catalog'!$C$12)*C440,0)</f>
        <v>0</v>
      </c>
      <c r="J440" s="5" t="n">
        <f>MAX(F440-G440-0,0)</f>
        <v>0</v>
      </c>
      <c r="K440" s="5" t="n">
        <f>H440-I440</f>
        <v>0</v>
      </c>
      <c r="L440" s="5" t="n">
        <f>(D440+E440)*C440-G440-I440+H440+IF(D$52&gt;0,'Assumptions and Catalog'!$C$26*C440,0)</f>
        <v>2421</v>
      </c>
      <c r="M440" s="5" t="n">
        <f>IF(ISNUMBER(Inputs!$L$5),(IF(Inputs!$L$9="Actual flat rate",((D440+E440)*C440)*Inputs!$L$10,IF(Inputs!$C$9="Residential",IF(((D440+E440)*C440)&lt;='Assumptions and Catalog'!$C$50,((D440+E440)*C440)*'Assumptions and Catalog'!$H$50+'Assumptions and Catalog'!$E$50+'Assumptions and Catalog'!$F$50,IF(((D440+E440)*C440)&lt;='Assumptions and Catalog'!$C$51,((D440+E440)*C440)*'Assumptions and Catalog'!$H$51+'Assumptions and Catalog'!$E$51+'Assumptions and Catalog'!$F$51,IF(((D440+E440)*C440)&lt;='Assumptions and Catalog'!$C$52,((D440+E440)*C440)*'Assumptions and Catalog'!$H$52+'Assumptions and Catalog'!$E$52+'Assumptions and Catalog'!$F$52,IF(((D440+E440)*C440)&lt;='Assumptions and Catalog'!$C$53,((D440+E440)*C440)*'Assumptions and Catalog'!$H$53+'Assumptions and Catalog'!$E$53+'Assumptions and Catalog'!$F$53,IF(((D440+E440)*C440)&lt;='Assumptions and Catalog'!$C$54,((D440+E440)*C440)*'Assumptions and Catalog'!$H$54+'Assumptions and Catalog'!$E$54+'Assumptions and Catalog'!$F$54,IF(((D440+E440)*C440)&lt;='Assumptions and Catalog'!$C$55,((D440+E440)*C440)*'Assumptions and Catalog'!$H$55+'Assumptions and Catalog'!$E$55+'Assumptions and Catalog'!$F$55,IF(((D440+E440)*C440)&lt;='Assumptions and Catalog'!$C$56,((D440+E440)*C440)*'Assumptions and Catalog'!$H$56+'Assumptions and Catalog'!$E$56+'Assumptions and Catalog'!$F$56,IF(((D440+E440)*C440)&lt;='Assumptions and Catalog'!$C$57,((D440+E440)*C440)*'Assumptions and Catalog'!$H$57+'Assumptions and Catalog'!$E$57+'Assumptions and Catalog'!$F$57,"Out of range")))))))),IF(((D440+E440)*C440)&lt;='Assumptions and Catalog'!$C$60,((D440+E440)*C440)*'Assumptions and Catalog'!$H$60+'Assumptions and Catalog'!$E$60+'Assumptions and Catalog'!$F$60,IF(((D440+E440)*C440)&lt;='Assumptions and Catalog'!$C$61,((D440+E440)*C440)*'Assumptions and Catalog'!$H$61+'Assumptions and Catalog'!$E$61+'Assumptions and Catalog'!$F$61,IF(((D440+E440)*C440)&lt;='Assumptions and Catalog'!$C$62,((D440+E440)*C440)*'Assumptions and Catalog'!$H$62+'Assumptions and Catalog'!$E$62+'Assumptions and Catalog'!$F$62,IF(((D440+E440)*C440)&lt;='Assumptions and Catalog'!$C$63,((D440+E440)*C440)*'Assumptions and Catalog'!$H$63+'Assumptions and Catalog'!$E$63+'Assumptions and Catalog'!$F$63,IF(((D440+E440)*C440)&lt;='Assumptions and Catalog'!$C$64,((D440+E440)*C440)*'Assumptions and Catalog'!$H$64+'Assumptions and Catalog'!$E$64+'Assumptions and Catalog'!$F$64,IF(((D440+E440)*C440)&lt;='Assumptions and Catalog'!$C$65,((D440+E440)*C440)*'Assumptions and Catalog'!$H$65+'Assumptions and Catalog'!$E$65+'Assumptions and Catalog'!$F$65,"Out of range")))))))))*(1+'Assumptions and Catalog'!$C$8)^(A440-1),0)</f>
        <v>6867.22</v>
      </c>
      <c r="N440" s="5" t="n">
        <f>IF(ISNUMBER(Inputs!$L$5),(IF(Inputs!$L$9="Actual flat rate",L440*Inputs!$L$10,IF(Inputs!$C$9="Residential",IF(L440&lt;='Assumptions and Catalog'!$C$50,L440*'Assumptions and Catalog'!$H$50+'Assumptions and Catalog'!$E$50+'Assumptions and Catalog'!$F$50,IF(L440&lt;='Assumptions and Catalog'!$C$51,L440*'Assumptions and Catalog'!$H$51+'Assumptions and Catalog'!$E$51+'Assumptions and Catalog'!$F$51,IF(L440&lt;='Assumptions and Catalog'!$C$52,L440*'Assumptions and Catalog'!$H$52+'Assumptions and Catalog'!$E$52+'Assumptions and Catalog'!$F$52,IF(L440&lt;='Assumptions and Catalog'!$C$53,L440*'Assumptions and Catalog'!$H$53+'Assumptions and Catalog'!$E$53+'Assumptions and Catalog'!$F$53,IF(L440&lt;='Assumptions and Catalog'!$C$54,L440*'Assumptions and Catalog'!$H$54+'Assumptions and Catalog'!$E$54+'Assumptions and Catalog'!$F$54,IF(L440&lt;='Assumptions and Catalog'!$C$55,L440*'Assumptions and Catalog'!$H$55+'Assumptions and Catalog'!$E$55+'Assumptions and Catalog'!$F$55,IF(L440&lt;='Assumptions and Catalog'!$C$56,L440*'Assumptions and Catalog'!$H$56+'Assumptions and Catalog'!$E$56+'Assumptions and Catalog'!$F$56,IF(L440&lt;='Assumptions and Catalog'!$C$57,L440*'Assumptions and Catalog'!$H$57+'Assumptions and Catalog'!$E$57+'Assumptions and Catalog'!$F$57,"Out of range")))))))),IF(L440&lt;='Assumptions and Catalog'!$C$60,L440*'Assumptions and Catalog'!$H$60+'Assumptions and Catalog'!$E$60+'Assumptions and Catalog'!$F$60,IF(L440&lt;='Assumptions and Catalog'!$C$61,L440*'Assumptions and Catalog'!$H$61+'Assumptions and Catalog'!$E$61+'Assumptions and Catalog'!$F$61,IF(L440&lt;='Assumptions and Catalog'!$C$62,L440*'Assumptions and Catalog'!$H$62+'Assumptions and Catalog'!$E$62+'Assumptions and Catalog'!$F$62,IF(L440&lt;='Assumptions and Catalog'!$C$63,L440*'Assumptions and Catalog'!$H$63+'Assumptions and Catalog'!$E$63+'Assumptions and Catalog'!$F$63,IF(L440&lt;='Assumptions and Catalog'!$C$64,L440*'Assumptions and Catalog'!$H$64+'Assumptions and Catalog'!$E$64+'Assumptions and Catalog'!$F$64,IF(L440&lt;='Assumptions and Catalog'!$C$65,L440*'Assumptions and Catalog'!$H$65+'Assumptions and Catalog'!$E$65+'Assumptions and Catalog'!$F$65,"Out of range")))))))))*(1+'Assumptions and Catalog'!$C$8)^(A440-1),0)</f>
        <v>6867.22</v>
      </c>
      <c r="O440" s="5" t="n">
        <f>M440-N440</f>
        <v>0</v>
      </c>
      <c r="P440" s="5" t="n">
        <f>D$55*(1-K$14)*(1-'Assumptions and Catalog'!$C$23)^R440</f>
        <v>0</v>
      </c>
      <c r="Q440" s="5" t="n">
        <f>IF(ISNUMBER(Inputs!$L$5),(IF(Inputs!$L$9="Actual flat rate",((D440+E440)*C440-G440)*Inputs!$L$10,IF(Inputs!$C$9="Residential",IF(((D440+E440)*C440-G440)&lt;='Assumptions and Catalog'!$C$50,((D440+E440)*C440-G440)*'Assumptions and Catalog'!$H$50+'Assumptions and Catalog'!$E$50+'Assumptions and Catalog'!$F$50,IF(((D440+E440)*C440-G440)&lt;='Assumptions and Catalog'!$C$51,((D440+E440)*C440-G440)*'Assumptions and Catalog'!$H$51+'Assumptions and Catalog'!$E$51+'Assumptions and Catalog'!$F$51,IF(((D440+E440)*C440-G440)&lt;='Assumptions and Catalog'!$C$52,((D440+E440)*C440-G440)*'Assumptions and Catalog'!$H$52+'Assumptions and Catalog'!$E$52+'Assumptions and Catalog'!$F$52,IF(((D440+E440)*C440-G440)&lt;='Assumptions and Catalog'!$C$53,((D440+E440)*C440-G440)*'Assumptions and Catalog'!$H$53+'Assumptions and Catalog'!$E$53+'Assumptions and Catalog'!$F$53,IF(((D440+E440)*C440-G440)&lt;='Assumptions and Catalog'!$C$54,((D440+E440)*C440-G440)*'Assumptions and Catalog'!$H$54+'Assumptions and Catalog'!$E$54+'Assumptions and Catalog'!$F$54,IF(((D440+E440)*C440-G440)&lt;='Assumptions and Catalog'!$C$55,((D440+E440)*C440-G440)*'Assumptions and Catalog'!$H$55+'Assumptions and Catalog'!$E$55+'Assumptions and Catalog'!$F$55,IF(((D440+E440)*C440-G440)&lt;='Assumptions and Catalog'!$C$56,((D440+E440)*C440-G440)*'Assumptions and Catalog'!$H$56+'Assumptions and Catalog'!$E$56+'Assumptions and Catalog'!$F$56,IF(((D440+E440)*C440-G440)&lt;='Assumptions and Catalog'!$C$57,((D440+E440)*C440-G440)*'Assumptions and Catalog'!$H$57+'Assumptions and Catalog'!$E$57+'Assumptions and Catalog'!$F$57,"Out of range")))))))),IF(((D440+E440)*C440-G440)&lt;='Assumptions and Catalog'!$C$60,((D440+E440)*C440-G440)*'Assumptions and Catalog'!$H$60+'Assumptions and Catalog'!$E$60+'Assumptions and Catalog'!$F$60,IF(((D440+E440)*C440-G440)&lt;='Assumptions and Catalog'!$C$61,((D440+E440)*C440-G440)*'Assumptions and Catalog'!$H$61+'Assumptions and Catalog'!$E$61+'Assumptions and Catalog'!$F$61,IF(((D440+E440)*C440-G440)&lt;='Assumptions and Catalog'!$C$62,((D440+E440)*C440-G440)*'Assumptions and Catalog'!$H$62+'Assumptions and Catalog'!$E$62+'Assumptions and Catalog'!$F$62,IF(((D440+E440)*C440-G440)&lt;='Assumptions and Catalog'!$C$63,((D440+E440)*C440-G440)*'Assumptions and Catalog'!$H$63+'Assumptions and Catalog'!$E$63+'Assumptions and Catalog'!$F$63,IF(((D440+E440)*C440-G440)&lt;='Assumptions and Catalog'!$C$64,((D440+E440)*C440-G440)*'Assumptions and Catalog'!$H$64+'Assumptions and Catalog'!$E$64+'Assumptions and Catalog'!$F$64,IF(((D440+E440)*C440-G440)&lt;='Assumptions and Catalog'!$C$65,((D440+E440)*C440-G440)*'Assumptions and Catalog'!$H$65+'Assumptions and Catalog'!$E$65+'Assumptions and Catalog'!$F$65,"Out of range")))))))))*(1+'Assumptions and Catalog'!$C$8)^(A440-1),0)</f>
        <v>6867.22</v>
      </c>
      <c r="R440" s="5" t="n">
        <f>IF(AND('Assumptions and Catalog'!$C$19&gt;0,A440&gt;='Assumptions and Catalog'!$C$19),A440-'Assumptions and Catalog'!$C$19,A440-1)</f>
        <v>2</v>
      </c>
      <c r="S440" s="5" t="n">
        <f>F440+L440-(D440+E440)*C440-J440-K440-IF(D$52&gt;0,'Assumptions and Catalog'!$C$26*C440,0)</f>
        <v>0</v>
      </c>
      <c r="T440" s="5"/>
      <c r="U440" s="5"/>
    </row>
    <row r="441" ht="23.100000381469727" customHeight="1">
      <c r="A441" s="5" t="n">
        <v>3</v>
      </c>
      <c r="B441" s="5" t="n">
        <v>7</v>
      </c>
      <c r="C441" s="5" t="n">
        <f>DAY(DATE('Assumptions and Catalog'!$C$24+A441-1,B441+1,0))</f>
        <v>31</v>
      </c>
      <c r="D441" s="5" t="n">
        <f>IF(ISNUMBER(Inputs!$L$5),Inputs!$L$5*Inputs!$L$6,0)</f>
        <v>40.35</v>
      </c>
      <c r="E441" s="5" t="n">
        <f>IF(ISNUMBER(Inputs!$L$5),Inputs!$L$5-D441,0)</f>
        <v>40.35</v>
      </c>
      <c r="F441" s="5" t="n">
        <f>D$51*'Assumptions and Catalog'!$C$31*C441*(1-'Assumptions and Catalog'!$C$10)^(A441-1)</f>
        <v>0</v>
      </c>
      <c r="G441" s="5" t="n">
        <f>MIN(F441,D441*C441)</f>
        <v>0</v>
      </c>
      <c r="H441" s="5" t="n">
        <f>I441/('Assumptions and Catalog'!$C$11*'Assumptions and Catalog'!$C$12)</f>
        <v>0</v>
      </c>
      <c r="I441" s="5" t="n">
        <f>IF(K$15="Grid cycle",MIN(K$16,D441+E441,P441*'Assumptions and Catalog'!$C$12,D$57*(24-'Assumptions and Catalog'!$C$15),D$56*'Assumptions and Catalog'!$C$15*'Assumptions and Catalog'!$C$11*'Assumptions and Catalog'!$C$12)*C441,0)</f>
        <v>0</v>
      </c>
      <c r="J441" s="5" t="n">
        <f>MAX(F441-G441-0,0)</f>
        <v>0</v>
      </c>
      <c r="K441" s="5" t="n">
        <f>H441-I441</f>
        <v>0</v>
      </c>
      <c r="L441" s="5" t="n">
        <f>(D441+E441)*C441-G441-I441+H441+IF(D$52&gt;0,'Assumptions and Catalog'!$C$26*C441,0)</f>
        <v>2501.7</v>
      </c>
      <c r="M441" s="5" t="n">
        <f>IF(ISNUMBER(Inputs!$L$5),(IF(Inputs!$L$9="Actual flat rate",((D441+E441)*C441)*Inputs!$L$10,IF(Inputs!$C$9="Residential",IF(((D441+E441)*C441)&lt;='Assumptions and Catalog'!$C$50,((D441+E441)*C441)*'Assumptions and Catalog'!$H$50+'Assumptions and Catalog'!$E$50+'Assumptions and Catalog'!$F$50,IF(((D441+E441)*C441)&lt;='Assumptions and Catalog'!$C$51,((D441+E441)*C441)*'Assumptions and Catalog'!$H$51+'Assumptions and Catalog'!$E$51+'Assumptions and Catalog'!$F$51,IF(((D441+E441)*C441)&lt;='Assumptions and Catalog'!$C$52,((D441+E441)*C441)*'Assumptions and Catalog'!$H$52+'Assumptions and Catalog'!$E$52+'Assumptions and Catalog'!$F$52,IF(((D441+E441)*C441)&lt;='Assumptions and Catalog'!$C$53,((D441+E441)*C441)*'Assumptions and Catalog'!$H$53+'Assumptions and Catalog'!$E$53+'Assumptions and Catalog'!$F$53,IF(((D441+E441)*C441)&lt;='Assumptions and Catalog'!$C$54,((D441+E441)*C441)*'Assumptions and Catalog'!$H$54+'Assumptions and Catalog'!$E$54+'Assumptions and Catalog'!$F$54,IF(((D441+E441)*C441)&lt;='Assumptions and Catalog'!$C$55,((D441+E441)*C441)*'Assumptions and Catalog'!$H$55+'Assumptions and Catalog'!$E$55+'Assumptions and Catalog'!$F$55,IF(((D441+E441)*C441)&lt;='Assumptions and Catalog'!$C$56,((D441+E441)*C441)*'Assumptions and Catalog'!$H$56+'Assumptions and Catalog'!$E$56+'Assumptions and Catalog'!$F$56,IF(((D441+E441)*C441)&lt;='Assumptions and Catalog'!$C$57,((D441+E441)*C441)*'Assumptions and Catalog'!$H$57+'Assumptions and Catalog'!$E$57+'Assumptions and Catalog'!$F$57,"Out of range")))))))),IF(((D441+E441)*C441)&lt;='Assumptions and Catalog'!$C$60,((D441+E441)*C441)*'Assumptions and Catalog'!$H$60+'Assumptions and Catalog'!$E$60+'Assumptions and Catalog'!$F$60,IF(((D441+E441)*C441)&lt;='Assumptions and Catalog'!$C$61,((D441+E441)*C441)*'Assumptions and Catalog'!$H$61+'Assumptions and Catalog'!$E$61+'Assumptions and Catalog'!$F$61,IF(((D441+E441)*C441)&lt;='Assumptions and Catalog'!$C$62,((D441+E441)*C441)*'Assumptions and Catalog'!$H$62+'Assumptions and Catalog'!$E$62+'Assumptions and Catalog'!$F$62,IF(((D441+E441)*C441)&lt;='Assumptions and Catalog'!$C$63,((D441+E441)*C441)*'Assumptions and Catalog'!$H$63+'Assumptions and Catalog'!$E$63+'Assumptions and Catalog'!$F$63,IF(((D441+E441)*C441)&lt;='Assumptions and Catalog'!$C$64,((D441+E441)*C441)*'Assumptions and Catalog'!$H$64+'Assumptions and Catalog'!$E$64+'Assumptions and Catalog'!$F$64,IF(((D441+E441)*C441)&lt;='Assumptions and Catalog'!$C$65,((D441+E441)*C441)*'Assumptions and Catalog'!$H$65+'Assumptions and Catalog'!$E$65+'Assumptions and Catalog'!$F$65,"Out of range")))))))))*(1+'Assumptions and Catalog'!$C$8)^(A441-1),0)</f>
        <v>7094.794</v>
      </c>
      <c r="N441" s="5" t="n">
        <f>IF(ISNUMBER(Inputs!$L$5),(IF(Inputs!$L$9="Actual flat rate",L441*Inputs!$L$10,IF(Inputs!$C$9="Residential",IF(L441&lt;='Assumptions and Catalog'!$C$50,L441*'Assumptions and Catalog'!$H$50+'Assumptions and Catalog'!$E$50+'Assumptions and Catalog'!$F$50,IF(L441&lt;='Assumptions and Catalog'!$C$51,L441*'Assumptions and Catalog'!$H$51+'Assumptions and Catalog'!$E$51+'Assumptions and Catalog'!$F$51,IF(L441&lt;='Assumptions and Catalog'!$C$52,L441*'Assumptions and Catalog'!$H$52+'Assumptions and Catalog'!$E$52+'Assumptions and Catalog'!$F$52,IF(L441&lt;='Assumptions and Catalog'!$C$53,L441*'Assumptions and Catalog'!$H$53+'Assumptions and Catalog'!$E$53+'Assumptions and Catalog'!$F$53,IF(L441&lt;='Assumptions and Catalog'!$C$54,L441*'Assumptions and Catalog'!$H$54+'Assumptions and Catalog'!$E$54+'Assumptions and Catalog'!$F$54,IF(L441&lt;='Assumptions and Catalog'!$C$55,L441*'Assumptions and Catalog'!$H$55+'Assumptions and Catalog'!$E$55+'Assumptions and Catalog'!$F$55,IF(L441&lt;='Assumptions and Catalog'!$C$56,L441*'Assumptions and Catalog'!$H$56+'Assumptions and Catalog'!$E$56+'Assumptions and Catalog'!$F$56,IF(L441&lt;='Assumptions and Catalog'!$C$57,L441*'Assumptions and Catalog'!$H$57+'Assumptions and Catalog'!$E$57+'Assumptions and Catalog'!$F$57,"Out of range")))))))),IF(L441&lt;='Assumptions and Catalog'!$C$60,L441*'Assumptions and Catalog'!$H$60+'Assumptions and Catalog'!$E$60+'Assumptions and Catalog'!$F$60,IF(L441&lt;='Assumptions and Catalog'!$C$61,L441*'Assumptions and Catalog'!$H$61+'Assumptions and Catalog'!$E$61+'Assumptions and Catalog'!$F$61,IF(L441&lt;='Assumptions and Catalog'!$C$62,L441*'Assumptions and Catalog'!$H$62+'Assumptions and Catalog'!$E$62+'Assumptions and Catalog'!$F$62,IF(L441&lt;='Assumptions and Catalog'!$C$63,L441*'Assumptions and Catalog'!$H$63+'Assumptions and Catalog'!$E$63+'Assumptions and Catalog'!$F$63,IF(L441&lt;='Assumptions and Catalog'!$C$64,L441*'Assumptions and Catalog'!$H$64+'Assumptions and Catalog'!$E$64+'Assumptions and Catalog'!$F$64,IF(L441&lt;='Assumptions and Catalog'!$C$65,L441*'Assumptions and Catalog'!$H$65+'Assumptions and Catalog'!$E$65+'Assumptions and Catalog'!$F$65,"Out of range")))))))))*(1+'Assumptions and Catalog'!$C$8)^(A441-1),0)</f>
        <v>7094.794</v>
      </c>
      <c r="O441" s="5" t="n">
        <f>M441-N441</f>
        <v>0</v>
      </c>
      <c r="P441" s="5" t="n">
        <f>D$55*(1-K$14)*(1-'Assumptions and Catalog'!$C$23)^R441</f>
        <v>0</v>
      </c>
      <c r="Q441" s="5" t="n">
        <f>IF(ISNUMBER(Inputs!$L$5),(IF(Inputs!$L$9="Actual flat rate",((D441+E441)*C441-G441)*Inputs!$L$10,IF(Inputs!$C$9="Residential",IF(((D441+E441)*C441-G441)&lt;='Assumptions and Catalog'!$C$50,((D441+E441)*C441-G441)*'Assumptions and Catalog'!$H$50+'Assumptions and Catalog'!$E$50+'Assumptions and Catalog'!$F$50,IF(((D441+E441)*C441-G441)&lt;='Assumptions and Catalog'!$C$51,((D441+E441)*C441-G441)*'Assumptions and Catalog'!$H$51+'Assumptions and Catalog'!$E$51+'Assumptions and Catalog'!$F$51,IF(((D441+E441)*C441-G441)&lt;='Assumptions and Catalog'!$C$52,((D441+E441)*C441-G441)*'Assumptions and Catalog'!$H$52+'Assumptions and Catalog'!$E$52+'Assumptions and Catalog'!$F$52,IF(((D441+E441)*C441-G441)&lt;='Assumptions and Catalog'!$C$53,((D441+E441)*C441-G441)*'Assumptions and Catalog'!$H$53+'Assumptions and Catalog'!$E$53+'Assumptions and Catalog'!$F$53,IF(((D441+E441)*C441-G441)&lt;='Assumptions and Catalog'!$C$54,((D441+E441)*C441-G441)*'Assumptions and Catalog'!$H$54+'Assumptions and Catalog'!$E$54+'Assumptions and Catalog'!$F$54,IF(((D441+E441)*C441-G441)&lt;='Assumptions and Catalog'!$C$55,((D441+E441)*C441-G441)*'Assumptions and Catalog'!$H$55+'Assumptions and Catalog'!$E$55+'Assumptions and Catalog'!$F$55,IF(((D441+E441)*C441-G441)&lt;='Assumptions and Catalog'!$C$56,((D441+E441)*C441-G441)*'Assumptions and Catalog'!$H$56+'Assumptions and Catalog'!$E$56+'Assumptions and Catalog'!$F$56,IF(((D441+E441)*C441-G441)&lt;='Assumptions and Catalog'!$C$57,((D441+E441)*C441-G441)*'Assumptions and Catalog'!$H$57+'Assumptions and Catalog'!$E$57+'Assumptions and Catalog'!$F$57,"Out of range")))))))),IF(((D441+E441)*C441-G441)&lt;='Assumptions and Catalog'!$C$60,((D441+E441)*C441-G441)*'Assumptions and Catalog'!$H$60+'Assumptions and Catalog'!$E$60+'Assumptions and Catalog'!$F$60,IF(((D441+E441)*C441-G441)&lt;='Assumptions and Catalog'!$C$61,((D441+E441)*C441-G441)*'Assumptions and Catalog'!$H$61+'Assumptions and Catalog'!$E$61+'Assumptions and Catalog'!$F$61,IF(((D441+E441)*C441-G441)&lt;='Assumptions and Catalog'!$C$62,((D441+E441)*C441-G441)*'Assumptions and Catalog'!$H$62+'Assumptions and Catalog'!$E$62+'Assumptions and Catalog'!$F$62,IF(((D441+E441)*C441-G441)&lt;='Assumptions and Catalog'!$C$63,((D441+E441)*C441-G441)*'Assumptions and Catalog'!$H$63+'Assumptions and Catalog'!$E$63+'Assumptions and Catalog'!$F$63,IF(((D441+E441)*C441-G441)&lt;='Assumptions and Catalog'!$C$64,((D441+E441)*C441-G441)*'Assumptions and Catalog'!$H$64+'Assumptions and Catalog'!$E$64+'Assumptions and Catalog'!$F$64,IF(((D441+E441)*C441-G441)&lt;='Assumptions and Catalog'!$C$65,((D441+E441)*C441-G441)*'Assumptions and Catalog'!$H$65+'Assumptions and Catalog'!$E$65+'Assumptions and Catalog'!$F$65,"Out of range")))))))))*(1+'Assumptions and Catalog'!$C$8)^(A441-1),0)</f>
        <v>7094.794</v>
      </c>
      <c r="R441" s="5" t="n">
        <f>IF(AND('Assumptions and Catalog'!$C$19&gt;0,A441&gt;='Assumptions and Catalog'!$C$19),A441-'Assumptions and Catalog'!$C$19,A441-1)</f>
        <v>2</v>
      </c>
      <c r="S441" s="5" t="n">
        <f>F441+L441-(D441+E441)*C441-J441-K441-IF(D$52&gt;0,'Assumptions and Catalog'!$C$26*C441,0)</f>
        <v>0</v>
      </c>
      <c r="T441" s="5"/>
      <c r="U441" s="5"/>
    </row>
    <row r="442" ht="23.100000381469727" customHeight="1">
      <c r="A442" s="5" t="n">
        <v>3</v>
      </c>
      <c r="B442" s="5" t="n">
        <v>8</v>
      </c>
      <c r="C442" s="5" t="n">
        <f>DAY(DATE('Assumptions and Catalog'!$C$24+A442-1,B442+1,0))</f>
        <v>31</v>
      </c>
      <c r="D442" s="5" t="n">
        <f>IF(ISNUMBER(Inputs!$L$5),Inputs!$L$5*Inputs!$L$6,0)</f>
        <v>40.35</v>
      </c>
      <c r="E442" s="5" t="n">
        <f>IF(ISNUMBER(Inputs!$L$5),Inputs!$L$5-D442,0)</f>
        <v>40.35</v>
      </c>
      <c r="F442" s="5" t="n">
        <f>D$51*'Assumptions and Catalog'!$C$31*C442*(1-'Assumptions and Catalog'!$C$10)^(A442-1)</f>
        <v>0</v>
      </c>
      <c r="G442" s="5" t="n">
        <f>MIN(F442,D442*C442)</f>
        <v>0</v>
      </c>
      <c r="H442" s="5" t="n">
        <f>I442/('Assumptions and Catalog'!$C$11*'Assumptions and Catalog'!$C$12)</f>
        <v>0</v>
      </c>
      <c r="I442" s="5" t="n">
        <f>IF(K$15="Grid cycle",MIN(K$16,D442+E442,P442*'Assumptions and Catalog'!$C$12,D$57*(24-'Assumptions and Catalog'!$C$15),D$56*'Assumptions and Catalog'!$C$15*'Assumptions and Catalog'!$C$11*'Assumptions and Catalog'!$C$12)*C442,0)</f>
        <v>0</v>
      </c>
      <c r="J442" s="5" t="n">
        <f>MAX(F442-G442-0,0)</f>
        <v>0</v>
      </c>
      <c r="K442" s="5" t="n">
        <f>H442-I442</f>
        <v>0</v>
      </c>
      <c r="L442" s="5" t="n">
        <f>(D442+E442)*C442-G442-I442+H442+IF(D$52&gt;0,'Assumptions and Catalog'!$C$26*C442,0)</f>
        <v>2501.7</v>
      </c>
      <c r="M442" s="5" t="n">
        <f>IF(ISNUMBER(Inputs!$L$5),(IF(Inputs!$L$9="Actual flat rate",((D442+E442)*C442)*Inputs!$L$10,IF(Inputs!$C$9="Residential",IF(((D442+E442)*C442)&lt;='Assumptions and Catalog'!$C$50,((D442+E442)*C442)*'Assumptions and Catalog'!$H$50+'Assumptions and Catalog'!$E$50+'Assumptions and Catalog'!$F$50,IF(((D442+E442)*C442)&lt;='Assumptions and Catalog'!$C$51,((D442+E442)*C442)*'Assumptions and Catalog'!$H$51+'Assumptions and Catalog'!$E$51+'Assumptions and Catalog'!$F$51,IF(((D442+E442)*C442)&lt;='Assumptions and Catalog'!$C$52,((D442+E442)*C442)*'Assumptions and Catalog'!$H$52+'Assumptions and Catalog'!$E$52+'Assumptions and Catalog'!$F$52,IF(((D442+E442)*C442)&lt;='Assumptions and Catalog'!$C$53,((D442+E442)*C442)*'Assumptions and Catalog'!$H$53+'Assumptions and Catalog'!$E$53+'Assumptions and Catalog'!$F$53,IF(((D442+E442)*C442)&lt;='Assumptions and Catalog'!$C$54,((D442+E442)*C442)*'Assumptions and Catalog'!$H$54+'Assumptions and Catalog'!$E$54+'Assumptions and Catalog'!$F$54,IF(((D442+E442)*C442)&lt;='Assumptions and Catalog'!$C$55,((D442+E442)*C442)*'Assumptions and Catalog'!$H$55+'Assumptions and Catalog'!$E$55+'Assumptions and Catalog'!$F$55,IF(((D442+E442)*C442)&lt;='Assumptions and Catalog'!$C$56,((D442+E442)*C442)*'Assumptions and Catalog'!$H$56+'Assumptions and Catalog'!$E$56+'Assumptions and Catalog'!$F$56,IF(((D442+E442)*C442)&lt;='Assumptions and Catalog'!$C$57,((D442+E442)*C442)*'Assumptions and Catalog'!$H$57+'Assumptions and Catalog'!$E$57+'Assumptions and Catalog'!$F$57,"Out of range")))))))),IF(((D442+E442)*C442)&lt;='Assumptions and Catalog'!$C$60,((D442+E442)*C442)*'Assumptions and Catalog'!$H$60+'Assumptions and Catalog'!$E$60+'Assumptions and Catalog'!$F$60,IF(((D442+E442)*C442)&lt;='Assumptions and Catalog'!$C$61,((D442+E442)*C442)*'Assumptions and Catalog'!$H$61+'Assumptions and Catalog'!$E$61+'Assumptions and Catalog'!$F$61,IF(((D442+E442)*C442)&lt;='Assumptions and Catalog'!$C$62,((D442+E442)*C442)*'Assumptions and Catalog'!$H$62+'Assumptions and Catalog'!$E$62+'Assumptions and Catalog'!$F$62,IF(((D442+E442)*C442)&lt;='Assumptions and Catalog'!$C$63,((D442+E442)*C442)*'Assumptions and Catalog'!$H$63+'Assumptions and Catalog'!$E$63+'Assumptions and Catalog'!$F$63,IF(((D442+E442)*C442)&lt;='Assumptions and Catalog'!$C$64,((D442+E442)*C442)*'Assumptions and Catalog'!$H$64+'Assumptions and Catalog'!$E$64+'Assumptions and Catalog'!$F$64,IF(((D442+E442)*C442)&lt;='Assumptions and Catalog'!$C$65,((D442+E442)*C442)*'Assumptions and Catalog'!$H$65+'Assumptions and Catalog'!$E$65+'Assumptions and Catalog'!$F$65,"Out of range")))))))))*(1+'Assumptions and Catalog'!$C$8)^(A442-1),0)</f>
        <v>7094.794</v>
      </c>
      <c r="N442" s="5" t="n">
        <f>IF(ISNUMBER(Inputs!$L$5),(IF(Inputs!$L$9="Actual flat rate",L442*Inputs!$L$10,IF(Inputs!$C$9="Residential",IF(L442&lt;='Assumptions and Catalog'!$C$50,L442*'Assumptions and Catalog'!$H$50+'Assumptions and Catalog'!$E$50+'Assumptions and Catalog'!$F$50,IF(L442&lt;='Assumptions and Catalog'!$C$51,L442*'Assumptions and Catalog'!$H$51+'Assumptions and Catalog'!$E$51+'Assumptions and Catalog'!$F$51,IF(L442&lt;='Assumptions and Catalog'!$C$52,L442*'Assumptions and Catalog'!$H$52+'Assumptions and Catalog'!$E$52+'Assumptions and Catalog'!$F$52,IF(L442&lt;='Assumptions and Catalog'!$C$53,L442*'Assumptions and Catalog'!$H$53+'Assumptions and Catalog'!$E$53+'Assumptions and Catalog'!$F$53,IF(L442&lt;='Assumptions and Catalog'!$C$54,L442*'Assumptions and Catalog'!$H$54+'Assumptions and Catalog'!$E$54+'Assumptions and Catalog'!$F$54,IF(L442&lt;='Assumptions and Catalog'!$C$55,L442*'Assumptions and Catalog'!$H$55+'Assumptions and Catalog'!$E$55+'Assumptions and Catalog'!$F$55,IF(L442&lt;='Assumptions and Catalog'!$C$56,L442*'Assumptions and Catalog'!$H$56+'Assumptions and Catalog'!$E$56+'Assumptions and Catalog'!$F$56,IF(L442&lt;='Assumptions and Catalog'!$C$57,L442*'Assumptions and Catalog'!$H$57+'Assumptions and Catalog'!$E$57+'Assumptions and Catalog'!$F$57,"Out of range")))))))),IF(L442&lt;='Assumptions and Catalog'!$C$60,L442*'Assumptions and Catalog'!$H$60+'Assumptions and Catalog'!$E$60+'Assumptions and Catalog'!$F$60,IF(L442&lt;='Assumptions and Catalog'!$C$61,L442*'Assumptions and Catalog'!$H$61+'Assumptions and Catalog'!$E$61+'Assumptions and Catalog'!$F$61,IF(L442&lt;='Assumptions and Catalog'!$C$62,L442*'Assumptions and Catalog'!$H$62+'Assumptions and Catalog'!$E$62+'Assumptions and Catalog'!$F$62,IF(L442&lt;='Assumptions and Catalog'!$C$63,L442*'Assumptions and Catalog'!$H$63+'Assumptions and Catalog'!$E$63+'Assumptions and Catalog'!$F$63,IF(L442&lt;='Assumptions and Catalog'!$C$64,L442*'Assumptions and Catalog'!$H$64+'Assumptions and Catalog'!$E$64+'Assumptions and Catalog'!$F$64,IF(L442&lt;='Assumptions and Catalog'!$C$65,L442*'Assumptions and Catalog'!$H$65+'Assumptions and Catalog'!$E$65+'Assumptions and Catalog'!$F$65,"Out of range")))))))))*(1+'Assumptions and Catalog'!$C$8)^(A442-1),0)</f>
        <v>7094.794</v>
      </c>
      <c r="O442" s="5" t="n">
        <f>M442-N442</f>
        <v>0</v>
      </c>
      <c r="P442" s="5" t="n">
        <f>D$55*(1-K$14)*(1-'Assumptions and Catalog'!$C$23)^R442</f>
        <v>0</v>
      </c>
      <c r="Q442" s="5" t="n">
        <f>IF(ISNUMBER(Inputs!$L$5),(IF(Inputs!$L$9="Actual flat rate",((D442+E442)*C442-G442)*Inputs!$L$10,IF(Inputs!$C$9="Residential",IF(((D442+E442)*C442-G442)&lt;='Assumptions and Catalog'!$C$50,((D442+E442)*C442-G442)*'Assumptions and Catalog'!$H$50+'Assumptions and Catalog'!$E$50+'Assumptions and Catalog'!$F$50,IF(((D442+E442)*C442-G442)&lt;='Assumptions and Catalog'!$C$51,((D442+E442)*C442-G442)*'Assumptions and Catalog'!$H$51+'Assumptions and Catalog'!$E$51+'Assumptions and Catalog'!$F$51,IF(((D442+E442)*C442-G442)&lt;='Assumptions and Catalog'!$C$52,((D442+E442)*C442-G442)*'Assumptions and Catalog'!$H$52+'Assumptions and Catalog'!$E$52+'Assumptions and Catalog'!$F$52,IF(((D442+E442)*C442-G442)&lt;='Assumptions and Catalog'!$C$53,((D442+E442)*C442-G442)*'Assumptions and Catalog'!$H$53+'Assumptions and Catalog'!$E$53+'Assumptions and Catalog'!$F$53,IF(((D442+E442)*C442-G442)&lt;='Assumptions and Catalog'!$C$54,((D442+E442)*C442-G442)*'Assumptions and Catalog'!$H$54+'Assumptions and Catalog'!$E$54+'Assumptions and Catalog'!$F$54,IF(((D442+E442)*C442-G442)&lt;='Assumptions and Catalog'!$C$55,((D442+E442)*C442-G442)*'Assumptions and Catalog'!$H$55+'Assumptions and Catalog'!$E$55+'Assumptions and Catalog'!$F$55,IF(((D442+E442)*C442-G442)&lt;='Assumptions and Catalog'!$C$56,((D442+E442)*C442-G442)*'Assumptions and Catalog'!$H$56+'Assumptions and Catalog'!$E$56+'Assumptions and Catalog'!$F$56,IF(((D442+E442)*C442-G442)&lt;='Assumptions and Catalog'!$C$57,((D442+E442)*C442-G442)*'Assumptions and Catalog'!$H$57+'Assumptions and Catalog'!$E$57+'Assumptions and Catalog'!$F$57,"Out of range")))))))),IF(((D442+E442)*C442-G442)&lt;='Assumptions and Catalog'!$C$60,((D442+E442)*C442-G442)*'Assumptions and Catalog'!$H$60+'Assumptions and Catalog'!$E$60+'Assumptions and Catalog'!$F$60,IF(((D442+E442)*C442-G442)&lt;='Assumptions and Catalog'!$C$61,((D442+E442)*C442-G442)*'Assumptions and Catalog'!$H$61+'Assumptions and Catalog'!$E$61+'Assumptions and Catalog'!$F$61,IF(((D442+E442)*C442-G442)&lt;='Assumptions and Catalog'!$C$62,((D442+E442)*C442-G442)*'Assumptions and Catalog'!$H$62+'Assumptions and Catalog'!$E$62+'Assumptions and Catalog'!$F$62,IF(((D442+E442)*C442-G442)&lt;='Assumptions and Catalog'!$C$63,((D442+E442)*C442-G442)*'Assumptions and Catalog'!$H$63+'Assumptions and Catalog'!$E$63+'Assumptions and Catalog'!$F$63,IF(((D442+E442)*C442-G442)&lt;='Assumptions and Catalog'!$C$64,((D442+E442)*C442-G442)*'Assumptions and Catalog'!$H$64+'Assumptions and Catalog'!$E$64+'Assumptions and Catalog'!$F$64,IF(((D442+E442)*C442-G442)&lt;='Assumptions and Catalog'!$C$65,((D442+E442)*C442-G442)*'Assumptions and Catalog'!$H$65+'Assumptions and Catalog'!$E$65+'Assumptions and Catalog'!$F$65,"Out of range")))))))))*(1+'Assumptions and Catalog'!$C$8)^(A442-1),0)</f>
        <v>7094.794</v>
      </c>
      <c r="R442" s="5" t="n">
        <f>IF(AND('Assumptions and Catalog'!$C$19&gt;0,A442&gt;='Assumptions and Catalog'!$C$19),A442-'Assumptions and Catalog'!$C$19,A442-1)</f>
        <v>2</v>
      </c>
      <c r="S442" s="5" t="n">
        <f>F442+L442-(D442+E442)*C442-J442-K442-IF(D$52&gt;0,'Assumptions and Catalog'!$C$26*C442,0)</f>
        <v>0</v>
      </c>
      <c r="T442" s="5"/>
      <c r="U442" s="5"/>
    </row>
    <row r="443" ht="23.100000381469727" customHeight="1">
      <c r="A443" s="5" t="n">
        <v>3</v>
      </c>
      <c r="B443" s="5" t="n">
        <v>9</v>
      </c>
      <c r="C443" s="5" t="n">
        <f>DAY(DATE('Assumptions and Catalog'!$C$24+A443-1,B443+1,0))</f>
        <v>30</v>
      </c>
      <c r="D443" s="5" t="n">
        <f>IF(ISNUMBER(Inputs!$L$5),Inputs!$L$5*Inputs!$L$6,0)</f>
        <v>40.35</v>
      </c>
      <c r="E443" s="5" t="n">
        <f>IF(ISNUMBER(Inputs!$L$5),Inputs!$L$5-D443,0)</f>
        <v>40.35</v>
      </c>
      <c r="F443" s="5" t="n">
        <f>D$51*'Assumptions and Catalog'!$C$31*C443*(1-'Assumptions and Catalog'!$C$10)^(A443-1)</f>
        <v>0</v>
      </c>
      <c r="G443" s="5" t="n">
        <f>MIN(F443,D443*C443)</f>
        <v>0</v>
      </c>
      <c r="H443" s="5" t="n">
        <f>I443/('Assumptions and Catalog'!$C$11*'Assumptions and Catalog'!$C$12)</f>
        <v>0</v>
      </c>
      <c r="I443" s="5" t="n">
        <f>IF(K$15="Grid cycle",MIN(K$16,D443+E443,P443*'Assumptions and Catalog'!$C$12,D$57*(24-'Assumptions and Catalog'!$C$15),D$56*'Assumptions and Catalog'!$C$15*'Assumptions and Catalog'!$C$11*'Assumptions and Catalog'!$C$12)*C443,0)</f>
        <v>0</v>
      </c>
      <c r="J443" s="5" t="n">
        <f>MAX(F443-G443-0,0)</f>
        <v>0</v>
      </c>
      <c r="K443" s="5" t="n">
        <f>H443-I443</f>
        <v>0</v>
      </c>
      <c r="L443" s="5" t="n">
        <f>(D443+E443)*C443-G443-I443+H443+IF(D$52&gt;0,'Assumptions and Catalog'!$C$26*C443,0)</f>
        <v>2421</v>
      </c>
      <c r="M443" s="5" t="n">
        <f>IF(ISNUMBER(Inputs!$L$5),(IF(Inputs!$L$9="Actual flat rate",((D443+E443)*C443)*Inputs!$L$10,IF(Inputs!$C$9="Residential",IF(((D443+E443)*C443)&lt;='Assumptions and Catalog'!$C$50,((D443+E443)*C443)*'Assumptions and Catalog'!$H$50+'Assumptions and Catalog'!$E$50+'Assumptions and Catalog'!$F$50,IF(((D443+E443)*C443)&lt;='Assumptions and Catalog'!$C$51,((D443+E443)*C443)*'Assumptions and Catalog'!$H$51+'Assumptions and Catalog'!$E$51+'Assumptions and Catalog'!$F$51,IF(((D443+E443)*C443)&lt;='Assumptions and Catalog'!$C$52,((D443+E443)*C443)*'Assumptions and Catalog'!$H$52+'Assumptions and Catalog'!$E$52+'Assumptions and Catalog'!$F$52,IF(((D443+E443)*C443)&lt;='Assumptions and Catalog'!$C$53,((D443+E443)*C443)*'Assumptions and Catalog'!$H$53+'Assumptions and Catalog'!$E$53+'Assumptions and Catalog'!$F$53,IF(((D443+E443)*C443)&lt;='Assumptions and Catalog'!$C$54,((D443+E443)*C443)*'Assumptions and Catalog'!$H$54+'Assumptions and Catalog'!$E$54+'Assumptions and Catalog'!$F$54,IF(((D443+E443)*C443)&lt;='Assumptions and Catalog'!$C$55,((D443+E443)*C443)*'Assumptions and Catalog'!$H$55+'Assumptions and Catalog'!$E$55+'Assumptions and Catalog'!$F$55,IF(((D443+E443)*C443)&lt;='Assumptions and Catalog'!$C$56,((D443+E443)*C443)*'Assumptions and Catalog'!$H$56+'Assumptions and Catalog'!$E$56+'Assumptions and Catalog'!$F$56,IF(((D443+E443)*C443)&lt;='Assumptions and Catalog'!$C$57,((D443+E443)*C443)*'Assumptions and Catalog'!$H$57+'Assumptions and Catalog'!$E$57+'Assumptions and Catalog'!$F$57,"Out of range")))))))),IF(((D443+E443)*C443)&lt;='Assumptions and Catalog'!$C$60,((D443+E443)*C443)*'Assumptions and Catalog'!$H$60+'Assumptions and Catalog'!$E$60+'Assumptions and Catalog'!$F$60,IF(((D443+E443)*C443)&lt;='Assumptions and Catalog'!$C$61,((D443+E443)*C443)*'Assumptions and Catalog'!$H$61+'Assumptions and Catalog'!$E$61+'Assumptions and Catalog'!$F$61,IF(((D443+E443)*C443)&lt;='Assumptions and Catalog'!$C$62,((D443+E443)*C443)*'Assumptions and Catalog'!$H$62+'Assumptions and Catalog'!$E$62+'Assumptions and Catalog'!$F$62,IF(((D443+E443)*C443)&lt;='Assumptions and Catalog'!$C$63,((D443+E443)*C443)*'Assumptions and Catalog'!$H$63+'Assumptions and Catalog'!$E$63+'Assumptions and Catalog'!$F$63,IF(((D443+E443)*C443)&lt;='Assumptions and Catalog'!$C$64,((D443+E443)*C443)*'Assumptions and Catalog'!$H$64+'Assumptions and Catalog'!$E$64+'Assumptions and Catalog'!$F$64,IF(((D443+E443)*C443)&lt;='Assumptions and Catalog'!$C$65,((D443+E443)*C443)*'Assumptions and Catalog'!$H$65+'Assumptions and Catalog'!$E$65+'Assumptions and Catalog'!$F$65,"Out of range")))))))))*(1+'Assumptions and Catalog'!$C$8)^(A443-1),0)</f>
        <v>6867.22</v>
      </c>
      <c r="N443" s="5" t="n">
        <f>IF(ISNUMBER(Inputs!$L$5),(IF(Inputs!$L$9="Actual flat rate",L443*Inputs!$L$10,IF(Inputs!$C$9="Residential",IF(L443&lt;='Assumptions and Catalog'!$C$50,L443*'Assumptions and Catalog'!$H$50+'Assumptions and Catalog'!$E$50+'Assumptions and Catalog'!$F$50,IF(L443&lt;='Assumptions and Catalog'!$C$51,L443*'Assumptions and Catalog'!$H$51+'Assumptions and Catalog'!$E$51+'Assumptions and Catalog'!$F$51,IF(L443&lt;='Assumptions and Catalog'!$C$52,L443*'Assumptions and Catalog'!$H$52+'Assumptions and Catalog'!$E$52+'Assumptions and Catalog'!$F$52,IF(L443&lt;='Assumptions and Catalog'!$C$53,L443*'Assumptions and Catalog'!$H$53+'Assumptions and Catalog'!$E$53+'Assumptions and Catalog'!$F$53,IF(L443&lt;='Assumptions and Catalog'!$C$54,L443*'Assumptions and Catalog'!$H$54+'Assumptions and Catalog'!$E$54+'Assumptions and Catalog'!$F$54,IF(L443&lt;='Assumptions and Catalog'!$C$55,L443*'Assumptions and Catalog'!$H$55+'Assumptions and Catalog'!$E$55+'Assumptions and Catalog'!$F$55,IF(L443&lt;='Assumptions and Catalog'!$C$56,L443*'Assumptions and Catalog'!$H$56+'Assumptions and Catalog'!$E$56+'Assumptions and Catalog'!$F$56,IF(L443&lt;='Assumptions and Catalog'!$C$57,L443*'Assumptions and Catalog'!$H$57+'Assumptions and Catalog'!$E$57+'Assumptions and Catalog'!$F$57,"Out of range")))))))),IF(L443&lt;='Assumptions and Catalog'!$C$60,L443*'Assumptions and Catalog'!$H$60+'Assumptions and Catalog'!$E$60+'Assumptions and Catalog'!$F$60,IF(L443&lt;='Assumptions and Catalog'!$C$61,L443*'Assumptions and Catalog'!$H$61+'Assumptions and Catalog'!$E$61+'Assumptions and Catalog'!$F$61,IF(L443&lt;='Assumptions and Catalog'!$C$62,L443*'Assumptions and Catalog'!$H$62+'Assumptions and Catalog'!$E$62+'Assumptions and Catalog'!$F$62,IF(L443&lt;='Assumptions and Catalog'!$C$63,L443*'Assumptions and Catalog'!$H$63+'Assumptions and Catalog'!$E$63+'Assumptions and Catalog'!$F$63,IF(L443&lt;='Assumptions and Catalog'!$C$64,L443*'Assumptions and Catalog'!$H$64+'Assumptions and Catalog'!$E$64+'Assumptions and Catalog'!$F$64,IF(L443&lt;='Assumptions and Catalog'!$C$65,L443*'Assumptions and Catalog'!$H$65+'Assumptions and Catalog'!$E$65+'Assumptions and Catalog'!$F$65,"Out of range")))))))))*(1+'Assumptions and Catalog'!$C$8)^(A443-1),0)</f>
        <v>6867.22</v>
      </c>
      <c r="O443" s="5" t="n">
        <f>M443-N443</f>
        <v>0</v>
      </c>
      <c r="P443" s="5" t="n">
        <f>D$55*(1-K$14)*(1-'Assumptions and Catalog'!$C$23)^R443</f>
        <v>0</v>
      </c>
      <c r="Q443" s="5" t="n">
        <f>IF(ISNUMBER(Inputs!$L$5),(IF(Inputs!$L$9="Actual flat rate",((D443+E443)*C443-G443)*Inputs!$L$10,IF(Inputs!$C$9="Residential",IF(((D443+E443)*C443-G443)&lt;='Assumptions and Catalog'!$C$50,((D443+E443)*C443-G443)*'Assumptions and Catalog'!$H$50+'Assumptions and Catalog'!$E$50+'Assumptions and Catalog'!$F$50,IF(((D443+E443)*C443-G443)&lt;='Assumptions and Catalog'!$C$51,((D443+E443)*C443-G443)*'Assumptions and Catalog'!$H$51+'Assumptions and Catalog'!$E$51+'Assumptions and Catalog'!$F$51,IF(((D443+E443)*C443-G443)&lt;='Assumptions and Catalog'!$C$52,((D443+E443)*C443-G443)*'Assumptions and Catalog'!$H$52+'Assumptions and Catalog'!$E$52+'Assumptions and Catalog'!$F$52,IF(((D443+E443)*C443-G443)&lt;='Assumptions and Catalog'!$C$53,((D443+E443)*C443-G443)*'Assumptions and Catalog'!$H$53+'Assumptions and Catalog'!$E$53+'Assumptions and Catalog'!$F$53,IF(((D443+E443)*C443-G443)&lt;='Assumptions and Catalog'!$C$54,((D443+E443)*C443-G443)*'Assumptions and Catalog'!$H$54+'Assumptions and Catalog'!$E$54+'Assumptions and Catalog'!$F$54,IF(((D443+E443)*C443-G443)&lt;='Assumptions and Catalog'!$C$55,((D443+E443)*C443-G443)*'Assumptions and Catalog'!$H$55+'Assumptions and Catalog'!$E$55+'Assumptions and Catalog'!$F$55,IF(((D443+E443)*C443-G443)&lt;='Assumptions and Catalog'!$C$56,((D443+E443)*C443-G443)*'Assumptions and Catalog'!$H$56+'Assumptions and Catalog'!$E$56+'Assumptions and Catalog'!$F$56,IF(((D443+E443)*C443-G443)&lt;='Assumptions and Catalog'!$C$57,((D443+E443)*C443-G443)*'Assumptions and Catalog'!$H$57+'Assumptions and Catalog'!$E$57+'Assumptions and Catalog'!$F$57,"Out of range")))))))),IF(((D443+E443)*C443-G443)&lt;='Assumptions and Catalog'!$C$60,((D443+E443)*C443-G443)*'Assumptions and Catalog'!$H$60+'Assumptions and Catalog'!$E$60+'Assumptions and Catalog'!$F$60,IF(((D443+E443)*C443-G443)&lt;='Assumptions and Catalog'!$C$61,((D443+E443)*C443-G443)*'Assumptions and Catalog'!$H$61+'Assumptions and Catalog'!$E$61+'Assumptions and Catalog'!$F$61,IF(((D443+E443)*C443-G443)&lt;='Assumptions and Catalog'!$C$62,((D443+E443)*C443-G443)*'Assumptions and Catalog'!$H$62+'Assumptions and Catalog'!$E$62+'Assumptions and Catalog'!$F$62,IF(((D443+E443)*C443-G443)&lt;='Assumptions and Catalog'!$C$63,((D443+E443)*C443-G443)*'Assumptions and Catalog'!$H$63+'Assumptions and Catalog'!$E$63+'Assumptions and Catalog'!$F$63,IF(((D443+E443)*C443-G443)&lt;='Assumptions and Catalog'!$C$64,((D443+E443)*C443-G443)*'Assumptions and Catalog'!$H$64+'Assumptions and Catalog'!$E$64+'Assumptions and Catalog'!$F$64,IF(((D443+E443)*C443-G443)&lt;='Assumptions and Catalog'!$C$65,((D443+E443)*C443-G443)*'Assumptions and Catalog'!$H$65+'Assumptions and Catalog'!$E$65+'Assumptions and Catalog'!$F$65,"Out of range")))))))))*(1+'Assumptions and Catalog'!$C$8)^(A443-1),0)</f>
        <v>6867.22</v>
      </c>
      <c r="R443" s="5" t="n">
        <f>IF(AND('Assumptions and Catalog'!$C$19&gt;0,A443&gt;='Assumptions and Catalog'!$C$19),A443-'Assumptions and Catalog'!$C$19,A443-1)</f>
        <v>2</v>
      </c>
      <c r="S443" s="5" t="n">
        <f>F443+L443-(D443+E443)*C443-J443-K443-IF(D$52&gt;0,'Assumptions and Catalog'!$C$26*C443,0)</f>
        <v>0</v>
      </c>
      <c r="T443" s="5"/>
      <c r="U443" s="5"/>
    </row>
    <row r="444" ht="23.100000381469727" customHeight="1">
      <c r="A444" s="5" t="n">
        <v>3</v>
      </c>
      <c r="B444" s="5" t="n">
        <v>10</v>
      </c>
      <c r="C444" s="5" t="n">
        <f>DAY(DATE('Assumptions and Catalog'!$C$24+A444-1,B444+1,0))</f>
        <v>31</v>
      </c>
      <c r="D444" s="5" t="n">
        <f>IF(ISNUMBER(Inputs!$L$5),Inputs!$L$5*Inputs!$L$6,0)</f>
        <v>40.35</v>
      </c>
      <c r="E444" s="5" t="n">
        <f>IF(ISNUMBER(Inputs!$L$5),Inputs!$L$5-D444,0)</f>
        <v>40.35</v>
      </c>
      <c r="F444" s="5" t="n">
        <f>D$51*'Assumptions and Catalog'!$C$31*C444*(1-'Assumptions and Catalog'!$C$10)^(A444-1)</f>
        <v>0</v>
      </c>
      <c r="G444" s="5" t="n">
        <f>MIN(F444,D444*C444)</f>
        <v>0</v>
      </c>
      <c r="H444" s="5" t="n">
        <f>I444/('Assumptions and Catalog'!$C$11*'Assumptions and Catalog'!$C$12)</f>
        <v>0</v>
      </c>
      <c r="I444" s="5" t="n">
        <f>IF(K$15="Grid cycle",MIN(K$16,D444+E444,P444*'Assumptions and Catalog'!$C$12,D$57*(24-'Assumptions and Catalog'!$C$15),D$56*'Assumptions and Catalog'!$C$15*'Assumptions and Catalog'!$C$11*'Assumptions and Catalog'!$C$12)*C444,0)</f>
        <v>0</v>
      </c>
      <c r="J444" s="5" t="n">
        <f>MAX(F444-G444-0,0)</f>
        <v>0</v>
      </c>
      <c r="K444" s="5" t="n">
        <f>H444-I444</f>
        <v>0</v>
      </c>
      <c r="L444" s="5" t="n">
        <f>(D444+E444)*C444-G444-I444+H444+IF(D$52&gt;0,'Assumptions and Catalog'!$C$26*C444,0)</f>
        <v>2501.7</v>
      </c>
      <c r="M444" s="5" t="n">
        <f>IF(ISNUMBER(Inputs!$L$5),(IF(Inputs!$L$9="Actual flat rate",((D444+E444)*C444)*Inputs!$L$10,IF(Inputs!$C$9="Residential",IF(((D444+E444)*C444)&lt;='Assumptions and Catalog'!$C$50,((D444+E444)*C444)*'Assumptions and Catalog'!$H$50+'Assumptions and Catalog'!$E$50+'Assumptions and Catalog'!$F$50,IF(((D444+E444)*C444)&lt;='Assumptions and Catalog'!$C$51,((D444+E444)*C444)*'Assumptions and Catalog'!$H$51+'Assumptions and Catalog'!$E$51+'Assumptions and Catalog'!$F$51,IF(((D444+E444)*C444)&lt;='Assumptions and Catalog'!$C$52,((D444+E444)*C444)*'Assumptions and Catalog'!$H$52+'Assumptions and Catalog'!$E$52+'Assumptions and Catalog'!$F$52,IF(((D444+E444)*C444)&lt;='Assumptions and Catalog'!$C$53,((D444+E444)*C444)*'Assumptions and Catalog'!$H$53+'Assumptions and Catalog'!$E$53+'Assumptions and Catalog'!$F$53,IF(((D444+E444)*C444)&lt;='Assumptions and Catalog'!$C$54,((D444+E444)*C444)*'Assumptions and Catalog'!$H$54+'Assumptions and Catalog'!$E$54+'Assumptions and Catalog'!$F$54,IF(((D444+E444)*C444)&lt;='Assumptions and Catalog'!$C$55,((D444+E444)*C444)*'Assumptions and Catalog'!$H$55+'Assumptions and Catalog'!$E$55+'Assumptions and Catalog'!$F$55,IF(((D444+E444)*C444)&lt;='Assumptions and Catalog'!$C$56,((D444+E444)*C444)*'Assumptions and Catalog'!$H$56+'Assumptions and Catalog'!$E$56+'Assumptions and Catalog'!$F$56,IF(((D444+E444)*C444)&lt;='Assumptions and Catalog'!$C$57,((D444+E444)*C444)*'Assumptions and Catalog'!$H$57+'Assumptions and Catalog'!$E$57+'Assumptions and Catalog'!$F$57,"Out of range")))))))),IF(((D444+E444)*C444)&lt;='Assumptions and Catalog'!$C$60,((D444+E444)*C444)*'Assumptions and Catalog'!$H$60+'Assumptions and Catalog'!$E$60+'Assumptions and Catalog'!$F$60,IF(((D444+E444)*C444)&lt;='Assumptions and Catalog'!$C$61,((D444+E444)*C444)*'Assumptions and Catalog'!$H$61+'Assumptions and Catalog'!$E$61+'Assumptions and Catalog'!$F$61,IF(((D444+E444)*C444)&lt;='Assumptions and Catalog'!$C$62,((D444+E444)*C444)*'Assumptions and Catalog'!$H$62+'Assumptions and Catalog'!$E$62+'Assumptions and Catalog'!$F$62,IF(((D444+E444)*C444)&lt;='Assumptions and Catalog'!$C$63,((D444+E444)*C444)*'Assumptions and Catalog'!$H$63+'Assumptions and Catalog'!$E$63+'Assumptions and Catalog'!$F$63,IF(((D444+E444)*C444)&lt;='Assumptions and Catalog'!$C$64,((D444+E444)*C444)*'Assumptions and Catalog'!$H$64+'Assumptions and Catalog'!$E$64+'Assumptions and Catalog'!$F$64,IF(((D444+E444)*C444)&lt;='Assumptions and Catalog'!$C$65,((D444+E444)*C444)*'Assumptions and Catalog'!$H$65+'Assumptions and Catalog'!$E$65+'Assumptions and Catalog'!$F$65,"Out of range")))))))))*(1+'Assumptions and Catalog'!$C$8)^(A444-1),0)</f>
        <v>7094.794</v>
      </c>
      <c r="N444" s="5" t="n">
        <f>IF(ISNUMBER(Inputs!$L$5),(IF(Inputs!$L$9="Actual flat rate",L444*Inputs!$L$10,IF(Inputs!$C$9="Residential",IF(L444&lt;='Assumptions and Catalog'!$C$50,L444*'Assumptions and Catalog'!$H$50+'Assumptions and Catalog'!$E$50+'Assumptions and Catalog'!$F$50,IF(L444&lt;='Assumptions and Catalog'!$C$51,L444*'Assumptions and Catalog'!$H$51+'Assumptions and Catalog'!$E$51+'Assumptions and Catalog'!$F$51,IF(L444&lt;='Assumptions and Catalog'!$C$52,L444*'Assumptions and Catalog'!$H$52+'Assumptions and Catalog'!$E$52+'Assumptions and Catalog'!$F$52,IF(L444&lt;='Assumptions and Catalog'!$C$53,L444*'Assumptions and Catalog'!$H$53+'Assumptions and Catalog'!$E$53+'Assumptions and Catalog'!$F$53,IF(L444&lt;='Assumptions and Catalog'!$C$54,L444*'Assumptions and Catalog'!$H$54+'Assumptions and Catalog'!$E$54+'Assumptions and Catalog'!$F$54,IF(L444&lt;='Assumptions and Catalog'!$C$55,L444*'Assumptions and Catalog'!$H$55+'Assumptions and Catalog'!$E$55+'Assumptions and Catalog'!$F$55,IF(L444&lt;='Assumptions and Catalog'!$C$56,L444*'Assumptions and Catalog'!$H$56+'Assumptions and Catalog'!$E$56+'Assumptions and Catalog'!$F$56,IF(L444&lt;='Assumptions and Catalog'!$C$57,L444*'Assumptions and Catalog'!$H$57+'Assumptions and Catalog'!$E$57+'Assumptions and Catalog'!$F$57,"Out of range")))))))),IF(L444&lt;='Assumptions and Catalog'!$C$60,L444*'Assumptions and Catalog'!$H$60+'Assumptions and Catalog'!$E$60+'Assumptions and Catalog'!$F$60,IF(L444&lt;='Assumptions and Catalog'!$C$61,L444*'Assumptions and Catalog'!$H$61+'Assumptions and Catalog'!$E$61+'Assumptions and Catalog'!$F$61,IF(L444&lt;='Assumptions and Catalog'!$C$62,L444*'Assumptions and Catalog'!$H$62+'Assumptions and Catalog'!$E$62+'Assumptions and Catalog'!$F$62,IF(L444&lt;='Assumptions and Catalog'!$C$63,L444*'Assumptions and Catalog'!$H$63+'Assumptions and Catalog'!$E$63+'Assumptions and Catalog'!$F$63,IF(L444&lt;='Assumptions and Catalog'!$C$64,L444*'Assumptions and Catalog'!$H$64+'Assumptions and Catalog'!$E$64+'Assumptions and Catalog'!$F$64,IF(L444&lt;='Assumptions and Catalog'!$C$65,L444*'Assumptions and Catalog'!$H$65+'Assumptions and Catalog'!$E$65+'Assumptions and Catalog'!$F$65,"Out of range")))))))))*(1+'Assumptions and Catalog'!$C$8)^(A444-1),0)</f>
        <v>7094.794</v>
      </c>
      <c r="O444" s="5" t="n">
        <f>M444-N444</f>
        <v>0</v>
      </c>
      <c r="P444" s="5" t="n">
        <f>D$55*(1-K$14)*(1-'Assumptions and Catalog'!$C$23)^R444</f>
        <v>0</v>
      </c>
      <c r="Q444" s="5" t="n">
        <f>IF(ISNUMBER(Inputs!$L$5),(IF(Inputs!$L$9="Actual flat rate",((D444+E444)*C444-G444)*Inputs!$L$10,IF(Inputs!$C$9="Residential",IF(((D444+E444)*C444-G444)&lt;='Assumptions and Catalog'!$C$50,((D444+E444)*C444-G444)*'Assumptions and Catalog'!$H$50+'Assumptions and Catalog'!$E$50+'Assumptions and Catalog'!$F$50,IF(((D444+E444)*C444-G444)&lt;='Assumptions and Catalog'!$C$51,((D444+E444)*C444-G444)*'Assumptions and Catalog'!$H$51+'Assumptions and Catalog'!$E$51+'Assumptions and Catalog'!$F$51,IF(((D444+E444)*C444-G444)&lt;='Assumptions and Catalog'!$C$52,((D444+E444)*C444-G444)*'Assumptions and Catalog'!$H$52+'Assumptions and Catalog'!$E$52+'Assumptions and Catalog'!$F$52,IF(((D444+E444)*C444-G444)&lt;='Assumptions and Catalog'!$C$53,((D444+E444)*C444-G444)*'Assumptions and Catalog'!$H$53+'Assumptions and Catalog'!$E$53+'Assumptions and Catalog'!$F$53,IF(((D444+E444)*C444-G444)&lt;='Assumptions and Catalog'!$C$54,((D444+E444)*C444-G444)*'Assumptions and Catalog'!$H$54+'Assumptions and Catalog'!$E$54+'Assumptions and Catalog'!$F$54,IF(((D444+E444)*C444-G444)&lt;='Assumptions and Catalog'!$C$55,((D444+E444)*C444-G444)*'Assumptions and Catalog'!$H$55+'Assumptions and Catalog'!$E$55+'Assumptions and Catalog'!$F$55,IF(((D444+E444)*C444-G444)&lt;='Assumptions and Catalog'!$C$56,((D444+E444)*C444-G444)*'Assumptions and Catalog'!$H$56+'Assumptions and Catalog'!$E$56+'Assumptions and Catalog'!$F$56,IF(((D444+E444)*C444-G444)&lt;='Assumptions and Catalog'!$C$57,((D444+E444)*C444-G444)*'Assumptions and Catalog'!$H$57+'Assumptions and Catalog'!$E$57+'Assumptions and Catalog'!$F$57,"Out of range")))))))),IF(((D444+E444)*C444-G444)&lt;='Assumptions and Catalog'!$C$60,((D444+E444)*C444-G444)*'Assumptions and Catalog'!$H$60+'Assumptions and Catalog'!$E$60+'Assumptions and Catalog'!$F$60,IF(((D444+E444)*C444-G444)&lt;='Assumptions and Catalog'!$C$61,((D444+E444)*C444-G444)*'Assumptions and Catalog'!$H$61+'Assumptions and Catalog'!$E$61+'Assumptions and Catalog'!$F$61,IF(((D444+E444)*C444-G444)&lt;='Assumptions and Catalog'!$C$62,((D444+E444)*C444-G444)*'Assumptions and Catalog'!$H$62+'Assumptions and Catalog'!$E$62+'Assumptions and Catalog'!$F$62,IF(((D444+E444)*C444-G444)&lt;='Assumptions and Catalog'!$C$63,((D444+E444)*C444-G444)*'Assumptions and Catalog'!$H$63+'Assumptions and Catalog'!$E$63+'Assumptions and Catalog'!$F$63,IF(((D444+E444)*C444-G444)&lt;='Assumptions and Catalog'!$C$64,((D444+E444)*C444-G444)*'Assumptions and Catalog'!$H$64+'Assumptions and Catalog'!$E$64+'Assumptions and Catalog'!$F$64,IF(((D444+E444)*C444-G444)&lt;='Assumptions and Catalog'!$C$65,((D444+E444)*C444-G444)*'Assumptions and Catalog'!$H$65+'Assumptions and Catalog'!$E$65+'Assumptions and Catalog'!$F$65,"Out of range")))))))))*(1+'Assumptions and Catalog'!$C$8)^(A444-1),0)</f>
        <v>7094.794</v>
      </c>
      <c r="R444" s="5" t="n">
        <f>IF(AND('Assumptions and Catalog'!$C$19&gt;0,A444&gt;='Assumptions and Catalog'!$C$19),A444-'Assumptions and Catalog'!$C$19,A444-1)</f>
        <v>2</v>
      </c>
      <c r="S444" s="5" t="n">
        <f>F444+L444-(D444+E444)*C444-J444-K444-IF(D$52&gt;0,'Assumptions and Catalog'!$C$26*C444,0)</f>
        <v>0</v>
      </c>
      <c r="T444" s="5"/>
      <c r="U444" s="5"/>
    </row>
    <row r="445" ht="23.100000381469727" customHeight="1">
      <c r="A445" s="5" t="n">
        <v>3</v>
      </c>
      <c r="B445" s="5" t="n">
        <v>11</v>
      </c>
      <c r="C445" s="5" t="n">
        <f>DAY(DATE('Assumptions and Catalog'!$C$24+A445-1,B445+1,0))</f>
        <v>30</v>
      </c>
      <c r="D445" s="5" t="n">
        <f>IF(ISNUMBER(Inputs!$L$5),Inputs!$L$5*Inputs!$L$6,0)</f>
        <v>40.35</v>
      </c>
      <c r="E445" s="5" t="n">
        <f>IF(ISNUMBER(Inputs!$L$5),Inputs!$L$5-D445,0)</f>
        <v>40.35</v>
      </c>
      <c r="F445" s="5" t="n">
        <f>D$51*'Assumptions and Catalog'!$C$31*C445*(1-'Assumptions and Catalog'!$C$10)^(A445-1)</f>
        <v>0</v>
      </c>
      <c r="G445" s="5" t="n">
        <f>MIN(F445,D445*C445)</f>
        <v>0</v>
      </c>
      <c r="H445" s="5" t="n">
        <f>I445/('Assumptions and Catalog'!$C$11*'Assumptions and Catalog'!$C$12)</f>
        <v>0</v>
      </c>
      <c r="I445" s="5" t="n">
        <f>IF(K$15="Grid cycle",MIN(K$16,D445+E445,P445*'Assumptions and Catalog'!$C$12,D$57*(24-'Assumptions and Catalog'!$C$15),D$56*'Assumptions and Catalog'!$C$15*'Assumptions and Catalog'!$C$11*'Assumptions and Catalog'!$C$12)*C445,0)</f>
        <v>0</v>
      </c>
      <c r="J445" s="5" t="n">
        <f>MAX(F445-G445-0,0)</f>
        <v>0</v>
      </c>
      <c r="K445" s="5" t="n">
        <f>H445-I445</f>
        <v>0</v>
      </c>
      <c r="L445" s="5" t="n">
        <f>(D445+E445)*C445-G445-I445+H445+IF(D$52&gt;0,'Assumptions and Catalog'!$C$26*C445,0)</f>
        <v>2421</v>
      </c>
      <c r="M445" s="5" t="n">
        <f>IF(ISNUMBER(Inputs!$L$5),(IF(Inputs!$L$9="Actual flat rate",((D445+E445)*C445)*Inputs!$L$10,IF(Inputs!$C$9="Residential",IF(((D445+E445)*C445)&lt;='Assumptions and Catalog'!$C$50,((D445+E445)*C445)*'Assumptions and Catalog'!$H$50+'Assumptions and Catalog'!$E$50+'Assumptions and Catalog'!$F$50,IF(((D445+E445)*C445)&lt;='Assumptions and Catalog'!$C$51,((D445+E445)*C445)*'Assumptions and Catalog'!$H$51+'Assumptions and Catalog'!$E$51+'Assumptions and Catalog'!$F$51,IF(((D445+E445)*C445)&lt;='Assumptions and Catalog'!$C$52,((D445+E445)*C445)*'Assumptions and Catalog'!$H$52+'Assumptions and Catalog'!$E$52+'Assumptions and Catalog'!$F$52,IF(((D445+E445)*C445)&lt;='Assumptions and Catalog'!$C$53,((D445+E445)*C445)*'Assumptions and Catalog'!$H$53+'Assumptions and Catalog'!$E$53+'Assumptions and Catalog'!$F$53,IF(((D445+E445)*C445)&lt;='Assumptions and Catalog'!$C$54,((D445+E445)*C445)*'Assumptions and Catalog'!$H$54+'Assumptions and Catalog'!$E$54+'Assumptions and Catalog'!$F$54,IF(((D445+E445)*C445)&lt;='Assumptions and Catalog'!$C$55,((D445+E445)*C445)*'Assumptions and Catalog'!$H$55+'Assumptions and Catalog'!$E$55+'Assumptions and Catalog'!$F$55,IF(((D445+E445)*C445)&lt;='Assumptions and Catalog'!$C$56,((D445+E445)*C445)*'Assumptions and Catalog'!$H$56+'Assumptions and Catalog'!$E$56+'Assumptions and Catalog'!$F$56,IF(((D445+E445)*C445)&lt;='Assumptions and Catalog'!$C$57,((D445+E445)*C445)*'Assumptions and Catalog'!$H$57+'Assumptions and Catalog'!$E$57+'Assumptions and Catalog'!$F$57,"Out of range")))))))),IF(((D445+E445)*C445)&lt;='Assumptions and Catalog'!$C$60,((D445+E445)*C445)*'Assumptions and Catalog'!$H$60+'Assumptions and Catalog'!$E$60+'Assumptions and Catalog'!$F$60,IF(((D445+E445)*C445)&lt;='Assumptions and Catalog'!$C$61,((D445+E445)*C445)*'Assumptions and Catalog'!$H$61+'Assumptions and Catalog'!$E$61+'Assumptions and Catalog'!$F$61,IF(((D445+E445)*C445)&lt;='Assumptions and Catalog'!$C$62,((D445+E445)*C445)*'Assumptions and Catalog'!$H$62+'Assumptions and Catalog'!$E$62+'Assumptions and Catalog'!$F$62,IF(((D445+E445)*C445)&lt;='Assumptions and Catalog'!$C$63,((D445+E445)*C445)*'Assumptions and Catalog'!$H$63+'Assumptions and Catalog'!$E$63+'Assumptions and Catalog'!$F$63,IF(((D445+E445)*C445)&lt;='Assumptions and Catalog'!$C$64,((D445+E445)*C445)*'Assumptions and Catalog'!$H$64+'Assumptions and Catalog'!$E$64+'Assumptions and Catalog'!$F$64,IF(((D445+E445)*C445)&lt;='Assumptions and Catalog'!$C$65,((D445+E445)*C445)*'Assumptions and Catalog'!$H$65+'Assumptions and Catalog'!$E$65+'Assumptions and Catalog'!$F$65,"Out of range")))))))))*(1+'Assumptions and Catalog'!$C$8)^(A445-1),0)</f>
        <v>6867.22</v>
      </c>
      <c r="N445" s="5" t="n">
        <f>IF(ISNUMBER(Inputs!$L$5),(IF(Inputs!$L$9="Actual flat rate",L445*Inputs!$L$10,IF(Inputs!$C$9="Residential",IF(L445&lt;='Assumptions and Catalog'!$C$50,L445*'Assumptions and Catalog'!$H$50+'Assumptions and Catalog'!$E$50+'Assumptions and Catalog'!$F$50,IF(L445&lt;='Assumptions and Catalog'!$C$51,L445*'Assumptions and Catalog'!$H$51+'Assumptions and Catalog'!$E$51+'Assumptions and Catalog'!$F$51,IF(L445&lt;='Assumptions and Catalog'!$C$52,L445*'Assumptions and Catalog'!$H$52+'Assumptions and Catalog'!$E$52+'Assumptions and Catalog'!$F$52,IF(L445&lt;='Assumptions and Catalog'!$C$53,L445*'Assumptions and Catalog'!$H$53+'Assumptions and Catalog'!$E$53+'Assumptions and Catalog'!$F$53,IF(L445&lt;='Assumptions and Catalog'!$C$54,L445*'Assumptions and Catalog'!$H$54+'Assumptions and Catalog'!$E$54+'Assumptions and Catalog'!$F$54,IF(L445&lt;='Assumptions and Catalog'!$C$55,L445*'Assumptions and Catalog'!$H$55+'Assumptions and Catalog'!$E$55+'Assumptions and Catalog'!$F$55,IF(L445&lt;='Assumptions and Catalog'!$C$56,L445*'Assumptions and Catalog'!$H$56+'Assumptions and Catalog'!$E$56+'Assumptions and Catalog'!$F$56,IF(L445&lt;='Assumptions and Catalog'!$C$57,L445*'Assumptions and Catalog'!$H$57+'Assumptions and Catalog'!$E$57+'Assumptions and Catalog'!$F$57,"Out of range")))))))),IF(L445&lt;='Assumptions and Catalog'!$C$60,L445*'Assumptions and Catalog'!$H$60+'Assumptions and Catalog'!$E$60+'Assumptions and Catalog'!$F$60,IF(L445&lt;='Assumptions and Catalog'!$C$61,L445*'Assumptions and Catalog'!$H$61+'Assumptions and Catalog'!$E$61+'Assumptions and Catalog'!$F$61,IF(L445&lt;='Assumptions and Catalog'!$C$62,L445*'Assumptions and Catalog'!$H$62+'Assumptions and Catalog'!$E$62+'Assumptions and Catalog'!$F$62,IF(L445&lt;='Assumptions and Catalog'!$C$63,L445*'Assumptions and Catalog'!$H$63+'Assumptions and Catalog'!$E$63+'Assumptions and Catalog'!$F$63,IF(L445&lt;='Assumptions and Catalog'!$C$64,L445*'Assumptions and Catalog'!$H$64+'Assumptions and Catalog'!$E$64+'Assumptions and Catalog'!$F$64,IF(L445&lt;='Assumptions and Catalog'!$C$65,L445*'Assumptions and Catalog'!$H$65+'Assumptions and Catalog'!$E$65+'Assumptions and Catalog'!$F$65,"Out of range")))))))))*(1+'Assumptions and Catalog'!$C$8)^(A445-1),0)</f>
        <v>6867.22</v>
      </c>
      <c r="O445" s="5" t="n">
        <f>M445-N445</f>
        <v>0</v>
      </c>
      <c r="P445" s="5" t="n">
        <f>D$55*(1-K$14)*(1-'Assumptions and Catalog'!$C$23)^R445</f>
        <v>0</v>
      </c>
      <c r="Q445" s="5" t="n">
        <f>IF(ISNUMBER(Inputs!$L$5),(IF(Inputs!$L$9="Actual flat rate",((D445+E445)*C445-G445)*Inputs!$L$10,IF(Inputs!$C$9="Residential",IF(((D445+E445)*C445-G445)&lt;='Assumptions and Catalog'!$C$50,((D445+E445)*C445-G445)*'Assumptions and Catalog'!$H$50+'Assumptions and Catalog'!$E$50+'Assumptions and Catalog'!$F$50,IF(((D445+E445)*C445-G445)&lt;='Assumptions and Catalog'!$C$51,((D445+E445)*C445-G445)*'Assumptions and Catalog'!$H$51+'Assumptions and Catalog'!$E$51+'Assumptions and Catalog'!$F$51,IF(((D445+E445)*C445-G445)&lt;='Assumptions and Catalog'!$C$52,((D445+E445)*C445-G445)*'Assumptions and Catalog'!$H$52+'Assumptions and Catalog'!$E$52+'Assumptions and Catalog'!$F$52,IF(((D445+E445)*C445-G445)&lt;='Assumptions and Catalog'!$C$53,((D445+E445)*C445-G445)*'Assumptions and Catalog'!$H$53+'Assumptions and Catalog'!$E$53+'Assumptions and Catalog'!$F$53,IF(((D445+E445)*C445-G445)&lt;='Assumptions and Catalog'!$C$54,((D445+E445)*C445-G445)*'Assumptions and Catalog'!$H$54+'Assumptions and Catalog'!$E$54+'Assumptions and Catalog'!$F$54,IF(((D445+E445)*C445-G445)&lt;='Assumptions and Catalog'!$C$55,((D445+E445)*C445-G445)*'Assumptions and Catalog'!$H$55+'Assumptions and Catalog'!$E$55+'Assumptions and Catalog'!$F$55,IF(((D445+E445)*C445-G445)&lt;='Assumptions and Catalog'!$C$56,((D445+E445)*C445-G445)*'Assumptions and Catalog'!$H$56+'Assumptions and Catalog'!$E$56+'Assumptions and Catalog'!$F$56,IF(((D445+E445)*C445-G445)&lt;='Assumptions and Catalog'!$C$57,((D445+E445)*C445-G445)*'Assumptions and Catalog'!$H$57+'Assumptions and Catalog'!$E$57+'Assumptions and Catalog'!$F$57,"Out of range")))))))),IF(((D445+E445)*C445-G445)&lt;='Assumptions and Catalog'!$C$60,((D445+E445)*C445-G445)*'Assumptions and Catalog'!$H$60+'Assumptions and Catalog'!$E$60+'Assumptions and Catalog'!$F$60,IF(((D445+E445)*C445-G445)&lt;='Assumptions and Catalog'!$C$61,((D445+E445)*C445-G445)*'Assumptions and Catalog'!$H$61+'Assumptions and Catalog'!$E$61+'Assumptions and Catalog'!$F$61,IF(((D445+E445)*C445-G445)&lt;='Assumptions and Catalog'!$C$62,((D445+E445)*C445-G445)*'Assumptions and Catalog'!$H$62+'Assumptions and Catalog'!$E$62+'Assumptions and Catalog'!$F$62,IF(((D445+E445)*C445-G445)&lt;='Assumptions and Catalog'!$C$63,((D445+E445)*C445-G445)*'Assumptions and Catalog'!$H$63+'Assumptions and Catalog'!$E$63+'Assumptions and Catalog'!$F$63,IF(((D445+E445)*C445-G445)&lt;='Assumptions and Catalog'!$C$64,((D445+E445)*C445-G445)*'Assumptions and Catalog'!$H$64+'Assumptions and Catalog'!$E$64+'Assumptions and Catalog'!$F$64,IF(((D445+E445)*C445-G445)&lt;='Assumptions and Catalog'!$C$65,((D445+E445)*C445-G445)*'Assumptions and Catalog'!$H$65+'Assumptions and Catalog'!$E$65+'Assumptions and Catalog'!$F$65,"Out of range")))))))))*(1+'Assumptions and Catalog'!$C$8)^(A445-1),0)</f>
        <v>6867.22</v>
      </c>
      <c r="R445" s="5" t="n">
        <f>IF(AND('Assumptions and Catalog'!$C$19&gt;0,A445&gt;='Assumptions and Catalog'!$C$19),A445-'Assumptions and Catalog'!$C$19,A445-1)</f>
        <v>2</v>
      </c>
      <c r="S445" s="5" t="n">
        <f>F445+L445-(D445+E445)*C445-J445-K445-IF(D$52&gt;0,'Assumptions and Catalog'!$C$26*C445,0)</f>
        <v>0</v>
      </c>
      <c r="T445" s="5"/>
      <c r="U445" s="5"/>
    </row>
    <row r="446" ht="23.100000381469727" customHeight="1">
      <c r="A446" s="5" t="n">
        <v>3</v>
      </c>
      <c r="B446" s="5" t="n">
        <v>12</v>
      </c>
      <c r="C446" s="5" t="n">
        <f>DAY(DATE('Assumptions and Catalog'!$C$24+A446-1,B446+1,0))</f>
        <v>31</v>
      </c>
      <c r="D446" s="5" t="n">
        <f>IF(ISNUMBER(Inputs!$L$5),Inputs!$L$5*Inputs!$L$6,0)</f>
        <v>40.35</v>
      </c>
      <c r="E446" s="5" t="n">
        <f>IF(ISNUMBER(Inputs!$L$5),Inputs!$L$5-D446,0)</f>
        <v>40.35</v>
      </c>
      <c r="F446" s="5" t="n">
        <f>D$51*'Assumptions and Catalog'!$C$31*C446*(1-'Assumptions and Catalog'!$C$10)^(A446-1)</f>
        <v>0</v>
      </c>
      <c r="G446" s="5" t="n">
        <f>MIN(F446,D446*C446)</f>
        <v>0</v>
      </c>
      <c r="H446" s="5" t="n">
        <f>I446/('Assumptions and Catalog'!$C$11*'Assumptions and Catalog'!$C$12)</f>
        <v>0</v>
      </c>
      <c r="I446" s="5" t="n">
        <f>IF(K$15="Grid cycle",MIN(K$16,D446+E446,P446*'Assumptions and Catalog'!$C$12,D$57*(24-'Assumptions and Catalog'!$C$15),D$56*'Assumptions and Catalog'!$C$15*'Assumptions and Catalog'!$C$11*'Assumptions and Catalog'!$C$12)*C446,0)</f>
        <v>0</v>
      </c>
      <c r="J446" s="5" t="n">
        <f>MAX(F446-G446-0,0)</f>
        <v>0</v>
      </c>
      <c r="K446" s="5" t="n">
        <f>H446-I446</f>
        <v>0</v>
      </c>
      <c r="L446" s="5" t="n">
        <f>(D446+E446)*C446-G446-I446+H446+IF(D$52&gt;0,'Assumptions and Catalog'!$C$26*C446,0)</f>
        <v>2501.7</v>
      </c>
      <c r="M446" s="5" t="n">
        <f>IF(ISNUMBER(Inputs!$L$5),(IF(Inputs!$L$9="Actual flat rate",((D446+E446)*C446)*Inputs!$L$10,IF(Inputs!$C$9="Residential",IF(((D446+E446)*C446)&lt;='Assumptions and Catalog'!$C$50,((D446+E446)*C446)*'Assumptions and Catalog'!$H$50+'Assumptions and Catalog'!$E$50+'Assumptions and Catalog'!$F$50,IF(((D446+E446)*C446)&lt;='Assumptions and Catalog'!$C$51,((D446+E446)*C446)*'Assumptions and Catalog'!$H$51+'Assumptions and Catalog'!$E$51+'Assumptions and Catalog'!$F$51,IF(((D446+E446)*C446)&lt;='Assumptions and Catalog'!$C$52,((D446+E446)*C446)*'Assumptions and Catalog'!$H$52+'Assumptions and Catalog'!$E$52+'Assumptions and Catalog'!$F$52,IF(((D446+E446)*C446)&lt;='Assumptions and Catalog'!$C$53,((D446+E446)*C446)*'Assumptions and Catalog'!$H$53+'Assumptions and Catalog'!$E$53+'Assumptions and Catalog'!$F$53,IF(((D446+E446)*C446)&lt;='Assumptions and Catalog'!$C$54,((D446+E446)*C446)*'Assumptions and Catalog'!$H$54+'Assumptions and Catalog'!$E$54+'Assumptions and Catalog'!$F$54,IF(((D446+E446)*C446)&lt;='Assumptions and Catalog'!$C$55,((D446+E446)*C446)*'Assumptions and Catalog'!$H$55+'Assumptions and Catalog'!$E$55+'Assumptions and Catalog'!$F$55,IF(((D446+E446)*C446)&lt;='Assumptions and Catalog'!$C$56,((D446+E446)*C446)*'Assumptions and Catalog'!$H$56+'Assumptions and Catalog'!$E$56+'Assumptions and Catalog'!$F$56,IF(((D446+E446)*C446)&lt;='Assumptions and Catalog'!$C$57,((D446+E446)*C446)*'Assumptions and Catalog'!$H$57+'Assumptions and Catalog'!$E$57+'Assumptions and Catalog'!$F$57,"Out of range")))))))),IF(((D446+E446)*C446)&lt;='Assumptions and Catalog'!$C$60,((D446+E446)*C446)*'Assumptions and Catalog'!$H$60+'Assumptions and Catalog'!$E$60+'Assumptions and Catalog'!$F$60,IF(((D446+E446)*C446)&lt;='Assumptions and Catalog'!$C$61,((D446+E446)*C446)*'Assumptions and Catalog'!$H$61+'Assumptions and Catalog'!$E$61+'Assumptions and Catalog'!$F$61,IF(((D446+E446)*C446)&lt;='Assumptions and Catalog'!$C$62,((D446+E446)*C446)*'Assumptions and Catalog'!$H$62+'Assumptions and Catalog'!$E$62+'Assumptions and Catalog'!$F$62,IF(((D446+E446)*C446)&lt;='Assumptions and Catalog'!$C$63,((D446+E446)*C446)*'Assumptions and Catalog'!$H$63+'Assumptions and Catalog'!$E$63+'Assumptions and Catalog'!$F$63,IF(((D446+E446)*C446)&lt;='Assumptions and Catalog'!$C$64,((D446+E446)*C446)*'Assumptions and Catalog'!$H$64+'Assumptions and Catalog'!$E$64+'Assumptions and Catalog'!$F$64,IF(((D446+E446)*C446)&lt;='Assumptions and Catalog'!$C$65,((D446+E446)*C446)*'Assumptions and Catalog'!$H$65+'Assumptions and Catalog'!$E$65+'Assumptions and Catalog'!$F$65,"Out of range")))))))))*(1+'Assumptions and Catalog'!$C$8)^(A446-1),0)</f>
        <v>7094.794</v>
      </c>
      <c r="N446" s="5" t="n">
        <f>IF(ISNUMBER(Inputs!$L$5),(IF(Inputs!$L$9="Actual flat rate",L446*Inputs!$L$10,IF(Inputs!$C$9="Residential",IF(L446&lt;='Assumptions and Catalog'!$C$50,L446*'Assumptions and Catalog'!$H$50+'Assumptions and Catalog'!$E$50+'Assumptions and Catalog'!$F$50,IF(L446&lt;='Assumptions and Catalog'!$C$51,L446*'Assumptions and Catalog'!$H$51+'Assumptions and Catalog'!$E$51+'Assumptions and Catalog'!$F$51,IF(L446&lt;='Assumptions and Catalog'!$C$52,L446*'Assumptions and Catalog'!$H$52+'Assumptions and Catalog'!$E$52+'Assumptions and Catalog'!$F$52,IF(L446&lt;='Assumptions and Catalog'!$C$53,L446*'Assumptions and Catalog'!$H$53+'Assumptions and Catalog'!$E$53+'Assumptions and Catalog'!$F$53,IF(L446&lt;='Assumptions and Catalog'!$C$54,L446*'Assumptions and Catalog'!$H$54+'Assumptions and Catalog'!$E$54+'Assumptions and Catalog'!$F$54,IF(L446&lt;='Assumptions and Catalog'!$C$55,L446*'Assumptions and Catalog'!$H$55+'Assumptions and Catalog'!$E$55+'Assumptions and Catalog'!$F$55,IF(L446&lt;='Assumptions and Catalog'!$C$56,L446*'Assumptions and Catalog'!$H$56+'Assumptions and Catalog'!$E$56+'Assumptions and Catalog'!$F$56,IF(L446&lt;='Assumptions and Catalog'!$C$57,L446*'Assumptions and Catalog'!$H$57+'Assumptions and Catalog'!$E$57+'Assumptions and Catalog'!$F$57,"Out of range")))))))),IF(L446&lt;='Assumptions and Catalog'!$C$60,L446*'Assumptions and Catalog'!$H$60+'Assumptions and Catalog'!$E$60+'Assumptions and Catalog'!$F$60,IF(L446&lt;='Assumptions and Catalog'!$C$61,L446*'Assumptions and Catalog'!$H$61+'Assumptions and Catalog'!$E$61+'Assumptions and Catalog'!$F$61,IF(L446&lt;='Assumptions and Catalog'!$C$62,L446*'Assumptions and Catalog'!$H$62+'Assumptions and Catalog'!$E$62+'Assumptions and Catalog'!$F$62,IF(L446&lt;='Assumptions and Catalog'!$C$63,L446*'Assumptions and Catalog'!$H$63+'Assumptions and Catalog'!$E$63+'Assumptions and Catalog'!$F$63,IF(L446&lt;='Assumptions and Catalog'!$C$64,L446*'Assumptions and Catalog'!$H$64+'Assumptions and Catalog'!$E$64+'Assumptions and Catalog'!$F$64,IF(L446&lt;='Assumptions and Catalog'!$C$65,L446*'Assumptions and Catalog'!$H$65+'Assumptions and Catalog'!$E$65+'Assumptions and Catalog'!$F$65,"Out of range")))))))))*(1+'Assumptions and Catalog'!$C$8)^(A446-1),0)</f>
        <v>7094.794</v>
      </c>
      <c r="O446" s="5" t="n">
        <f>M446-N446</f>
        <v>0</v>
      </c>
      <c r="P446" s="5" t="n">
        <f>D$55*(1-K$14)*(1-'Assumptions and Catalog'!$C$23)^R446</f>
        <v>0</v>
      </c>
      <c r="Q446" s="5" t="n">
        <f>IF(ISNUMBER(Inputs!$L$5),(IF(Inputs!$L$9="Actual flat rate",((D446+E446)*C446-G446)*Inputs!$L$10,IF(Inputs!$C$9="Residential",IF(((D446+E446)*C446-G446)&lt;='Assumptions and Catalog'!$C$50,((D446+E446)*C446-G446)*'Assumptions and Catalog'!$H$50+'Assumptions and Catalog'!$E$50+'Assumptions and Catalog'!$F$50,IF(((D446+E446)*C446-G446)&lt;='Assumptions and Catalog'!$C$51,((D446+E446)*C446-G446)*'Assumptions and Catalog'!$H$51+'Assumptions and Catalog'!$E$51+'Assumptions and Catalog'!$F$51,IF(((D446+E446)*C446-G446)&lt;='Assumptions and Catalog'!$C$52,((D446+E446)*C446-G446)*'Assumptions and Catalog'!$H$52+'Assumptions and Catalog'!$E$52+'Assumptions and Catalog'!$F$52,IF(((D446+E446)*C446-G446)&lt;='Assumptions and Catalog'!$C$53,((D446+E446)*C446-G446)*'Assumptions and Catalog'!$H$53+'Assumptions and Catalog'!$E$53+'Assumptions and Catalog'!$F$53,IF(((D446+E446)*C446-G446)&lt;='Assumptions and Catalog'!$C$54,((D446+E446)*C446-G446)*'Assumptions and Catalog'!$H$54+'Assumptions and Catalog'!$E$54+'Assumptions and Catalog'!$F$54,IF(((D446+E446)*C446-G446)&lt;='Assumptions and Catalog'!$C$55,((D446+E446)*C446-G446)*'Assumptions and Catalog'!$H$55+'Assumptions and Catalog'!$E$55+'Assumptions and Catalog'!$F$55,IF(((D446+E446)*C446-G446)&lt;='Assumptions and Catalog'!$C$56,((D446+E446)*C446-G446)*'Assumptions and Catalog'!$H$56+'Assumptions and Catalog'!$E$56+'Assumptions and Catalog'!$F$56,IF(((D446+E446)*C446-G446)&lt;='Assumptions and Catalog'!$C$57,((D446+E446)*C446-G446)*'Assumptions and Catalog'!$H$57+'Assumptions and Catalog'!$E$57+'Assumptions and Catalog'!$F$57,"Out of range")))))))),IF(((D446+E446)*C446-G446)&lt;='Assumptions and Catalog'!$C$60,((D446+E446)*C446-G446)*'Assumptions and Catalog'!$H$60+'Assumptions and Catalog'!$E$60+'Assumptions and Catalog'!$F$60,IF(((D446+E446)*C446-G446)&lt;='Assumptions and Catalog'!$C$61,((D446+E446)*C446-G446)*'Assumptions and Catalog'!$H$61+'Assumptions and Catalog'!$E$61+'Assumptions and Catalog'!$F$61,IF(((D446+E446)*C446-G446)&lt;='Assumptions and Catalog'!$C$62,((D446+E446)*C446-G446)*'Assumptions and Catalog'!$H$62+'Assumptions and Catalog'!$E$62+'Assumptions and Catalog'!$F$62,IF(((D446+E446)*C446-G446)&lt;='Assumptions and Catalog'!$C$63,((D446+E446)*C446-G446)*'Assumptions and Catalog'!$H$63+'Assumptions and Catalog'!$E$63+'Assumptions and Catalog'!$F$63,IF(((D446+E446)*C446-G446)&lt;='Assumptions and Catalog'!$C$64,((D446+E446)*C446-G446)*'Assumptions and Catalog'!$H$64+'Assumptions and Catalog'!$E$64+'Assumptions and Catalog'!$F$64,IF(((D446+E446)*C446-G446)&lt;='Assumptions and Catalog'!$C$65,((D446+E446)*C446-G446)*'Assumptions and Catalog'!$H$65+'Assumptions and Catalog'!$E$65+'Assumptions and Catalog'!$F$65,"Out of range")))))))))*(1+'Assumptions and Catalog'!$C$8)^(A446-1),0)</f>
        <v>7094.794</v>
      </c>
      <c r="R446" s="5" t="n">
        <f>IF(AND('Assumptions and Catalog'!$C$19&gt;0,A446&gt;='Assumptions and Catalog'!$C$19),A446-'Assumptions and Catalog'!$C$19,A446-1)</f>
        <v>2</v>
      </c>
      <c r="S446" s="5" t="n">
        <f>F446+L446-(D446+E446)*C446-J446-K446-IF(D$52&gt;0,'Assumptions and Catalog'!$C$26*C446,0)</f>
        <v>0</v>
      </c>
      <c r="T446" s="5"/>
      <c r="U446" s="5"/>
    </row>
    <row r="447" ht="23.100000381469727" customHeight="1">
      <c r="A447" s="5" t="n">
        <v>4</v>
      </c>
      <c r="B447" s="5" t="n">
        <v>1</v>
      </c>
      <c r="C447" s="5" t="n">
        <f>DAY(DATE('Assumptions and Catalog'!$C$24+A447-1,B447+1,0))</f>
        <v>31</v>
      </c>
      <c r="D447" s="5" t="n">
        <f>IF(ISNUMBER(Inputs!$L$5),Inputs!$L$5*Inputs!$L$6,0)</f>
        <v>40.35</v>
      </c>
      <c r="E447" s="5" t="n">
        <f>IF(ISNUMBER(Inputs!$L$5),Inputs!$L$5-D447,0)</f>
        <v>40.35</v>
      </c>
      <c r="F447" s="5" t="n">
        <f>D$51*'Assumptions and Catalog'!$C$31*C447*(1-'Assumptions and Catalog'!$C$10)^(A447-1)</f>
        <v>0</v>
      </c>
      <c r="G447" s="5" t="n">
        <f>MIN(F447,D447*C447)</f>
        <v>0</v>
      </c>
      <c r="H447" s="5" t="n">
        <f>I447/('Assumptions and Catalog'!$C$11*'Assumptions and Catalog'!$C$12)</f>
        <v>0</v>
      </c>
      <c r="I447" s="5" t="n">
        <f>IF(K$15="Grid cycle",MIN(K$16,D447+E447,P447*'Assumptions and Catalog'!$C$12,D$57*(24-'Assumptions and Catalog'!$C$15),D$56*'Assumptions and Catalog'!$C$15*'Assumptions and Catalog'!$C$11*'Assumptions and Catalog'!$C$12)*C447,0)</f>
        <v>0</v>
      </c>
      <c r="J447" s="5" t="n">
        <f>MAX(F447-G447-0,0)</f>
        <v>0</v>
      </c>
      <c r="K447" s="5" t="n">
        <f>H447-I447</f>
        <v>0</v>
      </c>
      <c r="L447" s="5" t="n">
        <f>(D447+E447)*C447-G447-I447+H447+IF(D$52&gt;0,'Assumptions and Catalog'!$C$26*C447,0)</f>
        <v>2501.7</v>
      </c>
      <c r="M447" s="5" t="n">
        <f>IF(ISNUMBER(Inputs!$L$5),(IF(Inputs!$L$9="Actual flat rate",((D447+E447)*C447)*Inputs!$L$10,IF(Inputs!$C$9="Residential",IF(((D447+E447)*C447)&lt;='Assumptions and Catalog'!$C$50,((D447+E447)*C447)*'Assumptions and Catalog'!$H$50+'Assumptions and Catalog'!$E$50+'Assumptions and Catalog'!$F$50,IF(((D447+E447)*C447)&lt;='Assumptions and Catalog'!$C$51,((D447+E447)*C447)*'Assumptions and Catalog'!$H$51+'Assumptions and Catalog'!$E$51+'Assumptions and Catalog'!$F$51,IF(((D447+E447)*C447)&lt;='Assumptions and Catalog'!$C$52,((D447+E447)*C447)*'Assumptions and Catalog'!$H$52+'Assumptions and Catalog'!$E$52+'Assumptions and Catalog'!$F$52,IF(((D447+E447)*C447)&lt;='Assumptions and Catalog'!$C$53,((D447+E447)*C447)*'Assumptions and Catalog'!$H$53+'Assumptions and Catalog'!$E$53+'Assumptions and Catalog'!$F$53,IF(((D447+E447)*C447)&lt;='Assumptions and Catalog'!$C$54,((D447+E447)*C447)*'Assumptions and Catalog'!$H$54+'Assumptions and Catalog'!$E$54+'Assumptions and Catalog'!$F$54,IF(((D447+E447)*C447)&lt;='Assumptions and Catalog'!$C$55,((D447+E447)*C447)*'Assumptions and Catalog'!$H$55+'Assumptions and Catalog'!$E$55+'Assumptions and Catalog'!$F$55,IF(((D447+E447)*C447)&lt;='Assumptions and Catalog'!$C$56,((D447+E447)*C447)*'Assumptions and Catalog'!$H$56+'Assumptions and Catalog'!$E$56+'Assumptions and Catalog'!$F$56,IF(((D447+E447)*C447)&lt;='Assumptions and Catalog'!$C$57,((D447+E447)*C447)*'Assumptions and Catalog'!$H$57+'Assumptions and Catalog'!$E$57+'Assumptions and Catalog'!$F$57,"Out of range")))))))),IF(((D447+E447)*C447)&lt;='Assumptions and Catalog'!$C$60,((D447+E447)*C447)*'Assumptions and Catalog'!$H$60+'Assumptions and Catalog'!$E$60+'Assumptions and Catalog'!$F$60,IF(((D447+E447)*C447)&lt;='Assumptions and Catalog'!$C$61,((D447+E447)*C447)*'Assumptions and Catalog'!$H$61+'Assumptions and Catalog'!$E$61+'Assumptions and Catalog'!$F$61,IF(((D447+E447)*C447)&lt;='Assumptions and Catalog'!$C$62,((D447+E447)*C447)*'Assumptions and Catalog'!$H$62+'Assumptions and Catalog'!$E$62+'Assumptions and Catalog'!$F$62,IF(((D447+E447)*C447)&lt;='Assumptions and Catalog'!$C$63,((D447+E447)*C447)*'Assumptions and Catalog'!$H$63+'Assumptions and Catalog'!$E$63+'Assumptions and Catalog'!$F$63,IF(((D447+E447)*C447)&lt;='Assumptions and Catalog'!$C$64,((D447+E447)*C447)*'Assumptions and Catalog'!$H$64+'Assumptions and Catalog'!$E$64+'Assumptions and Catalog'!$F$64,IF(((D447+E447)*C447)&lt;='Assumptions and Catalog'!$C$65,((D447+E447)*C447)*'Assumptions and Catalog'!$H$65+'Assumptions and Catalog'!$E$65+'Assumptions and Catalog'!$F$65,"Out of range")))))))))*(1+'Assumptions and Catalog'!$C$8)^(A447-1),0)</f>
        <v>7094.794</v>
      </c>
      <c r="N447" s="5" t="n">
        <f>IF(ISNUMBER(Inputs!$L$5),(IF(Inputs!$L$9="Actual flat rate",L447*Inputs!$L$10,IF(Inputs!$C$9="Residential",IF(L447&lt;='Assumptions and Catalog'!$C$50,L447*'Assumptions and Catalog'!$H$50+'Assumptions and Catalog'!$E$50+'Assumptions and Catalog'!$F$50,IF(L447&lt;='Assumptions and Catalog'!$C$51,L447*'Assumptions and Catalog'!$H$51+'Assumptions and Catalog'!$E$51+'Assumptions and Catalog'!$F$51,IF(L447&lt;='Assumptions and Catalog'!$C$52,L447*'Assumptions and Catalog'!$H$52+'Assumptions and Catalog'!$E$52+'Assumptions and Catalog'!$F$52,IF(L447&lt;='Assumptions and Catalog'!$C$53,L447*'Assumptions and Catalog'!$H$53+'Assumptions and Catalog'!$E$53+'Assumptions and Catalog'!$F$53,IF(L447&lt;='Assumptions and Catalog'!$C$54,L447*'Assumptions and Catalog'!$H$54+'Assumptions and Catalog'!$E$54+'Assumptions and Catalog'!$F$54,IF(L447&lt;='Assumptions and Catalog'!$C$55,L447*'Assumptions and Catalog'!$H$55+'Assumptions and Catalog'!$E$55+'Assumptions and Catalog'!$F$55,IF(L447&lt;='Assumptions and Catalog'!$C$56,L447*'Assumptions and Catalog'!$H$56+'Assumptions and Catalog'!$E$56+'Assumptions and Catalog'!$F$56,IF(L447&lt;='Assumptions and Catalog'!$C$57,L447*'Assumptions and Catalog'!$H$57+'Assumptions and Catalog'!$E$57+'Assumptions and Catalog'!$F$57,"Out of range")))))))),IF(L447&lt;='Assumptions and Catalog'!$C$60,L447*'Assumptions and Catalog'!$H$60+'Assumptions and Catalog'!$E$60+'Assumptions and Catalog'!$F$60,IF(L447&lt;='Assumptions and Catalog'!$C$61,L447*'Assumptions and Catalog'!$H$61+'Assumptions and Catalog'!$E$61+'Assumptions and Catalog'!$F$61,IF(L447&lt;='Assumptions and Catalog'!$C$62,L447*'Assumptions and Catalog'!$H$62+'Assumptions and Catalog'!$E$62+'Assumptions and Catalog'!$F$62,IF(L447&lt;='Assumptions and Catalog'!$C$63,L447*'Assumptions and Catalog'!$H$63+'Assumptions and Catalog'!$E$63+'Assumptions and Catalog'!$F$63,IF(L447&lt;='Assumptions and Catalog'!$C$64,L447*'Assumptions and Catalog'!$H$64+'Assumptions and Catalog'!$E$64+'Assumptions and Catalog'!$F$64,IF(L447&lt;='Assumptions and Catalog'!$C$65,L447*'Assumptions and Catalog'!$H$65+'Assumptions and Catalog'!$E$65+'Assumptions and Catalog'!$F$65,"Out of range")))))))))*(1+'Assumptions and Catalog'!$C$8)^(A447-1),0)</f>
        <v>7094.794</v>
      </c>
      <c r="O447" s="5" t="n">
        <f>M447-N447</f>
        <v>0</v>
      </c>
      <c r="P447" s="5" t="n">
        <f>D$55*(1-K$14)*(1-'Assumptions and Catalog'!$C$23)^R447</f>
        <v>0</v>
      </c>
      <c r="Q447" s="5" t="n">
        <f>IF(ISNUMBER(Inputs!$L$5),(IF(Inputs!$L$9="Actual flat rate",((D447+E447)*C447-G447)*Inputs!$L$10,IF(Inputs!$C$9="Residential",IF(((D447+E447)*C447-G447)&lt;='Assumptions and Catalog'!$C$50,((D447+E447)*C447-G447)*'Assumptions and Catalog'!$H$50+'Assumptions and Catalog'!$E$50+'Assumptions and Catalog'!$F$50,IF(((D447+E447)*C447-G447)&lt;='Assumptions and Catalog'!$C$51,((D447+E447)*C447-G447)*'Assumptions and Catalog'!$H$51+'Assumptions and Catalog'!$E$51+'Assumptions and Catalog'!$F$51,IF(((D447+E447)*C447-G447)&lt;='Assumptions and Catalog'!$C$52,((D447+E447)*C447-G447)*'Assumptions and Catalog'!$H$52+'Assumptions and Catalog'!$E$52+'Assumptions and Catalog'!$F$52,IF(((D447+E447)*C447-G447)&lt;='Assumptions and Catalog'!$C$53,((D447+E447)*C447-G447)*'Assumptions and Catalog'!$H$53+'Assumptions and Catalog'!$E$53+'Assumptions and Catalog'!$F$53,IF(((D447+E447)*C447-G447)&lt;='Assumptions and Catalog'!$C$54,((D447+E447)*C447-G447)*'Assumptions and Catalog'!$H$54+'Assumptions and Catalog'!$E$54+'Assumptions and Catalog'!$F$54,IF(((D447+E447)*C447-G447)&lt;='Assumptions and Catalog'!$C$55,((D447+E447)*C447-G447)*'Assumptions and Catalog'!$H$55+'Assumptions and Catalog'!$E$55+'Assumptions and Catalog'!$F$55,IF(((D447+E447)*C447-G447)&lt;='Assumptions and Catalog'!$C$56,((D447+E447)*C447-G447)*'Assumptions and Catalog'!$H$56+'Assumptions and Catalog'!$E$56+'Assumptions and Catalog'!$F$56,IF(((D447+E447)*C447-G447)&lt;='Assumptions and Catalog'!$C$57,((D447+E447)*C447-G447)*'Assumptions and Catalog'!$H$57+'Assumptions and Catalog'!$E$57+'Assumptions and Catalog'!$F$57,"Out of range")))))))),IF(((D447+E447)*C447-G447)&lt;='Assumptions and Catalog'!$C$60,((D447+E447)*C447-G447)*'Assumptions and Catalog'!$H$60+'Assumptions and Catalog'!$E$60+'Assumptions and Catalog'!$F$60,IF(((D447+E447)*C447-G447)&lt;='Assumptions and Catalog'!$C$61,((D447+E447)*C447-G447)*'Assumptions and Catalog'!$H$61+'Assumptions and Catalog'!$E$61+'Assumptions and Catalog'!$F$61,IF(((D447+E447)*C447-G447)&lt;='Assumptions and Catalog'!$C$62,((D447+E447)*C447-G447)*'Assumptions and Catalog'!$H$62+'Assumptions and Catalog'!$E$62+'Assumptions and Catalog'!$F$62,IF(((D447+E447)*C447-G447)&lt;='Assumptions and Catalog'!$C$63,((D447+E447)*C447-G447)*'Assumptions and Catalog'!$H$63+'Assumptions and Catalog'!$E$63+'Assumptions and Catalog'!$F$63,IF(((D447+E447)*C447-G447)&lt;='Assumptions and Catalog'!$C$64,((D447+E447)*C447-G447)*'Assumptions and Catalog'!$H$64+'Assumptions and Catalog'!$E$64+'Assumptions and Catalog'!$F$64,IF(((D447+E447)*C447-G447)&lt;='Assumptions and Catalog'!$C$65,((D447+E447)*C447-G447)*'Assumptions and Catalog'!$H$65+'Assumptions and Catalog'!$E$65+'Assumptions and Catalog'!$F$65,"Out of range")))))))))*(1+'Assumptions and Catalog'!$C$8)^(A447-1),0)</f>
        <v>7094.794</v>
      </c>
      <c r="R447" s="5" t="n">
        <f>IF(AND('Assumptions and Catalog'!$C$19&gt;0,A447&gt;='Assumptions and Catalog'!$C$19),A447-'Assumptions and Catalog'!$C$19,A447-1)</f>
        <v>3</v>
      </c>
      <c r="S447" s="5" t="n">
        <f>F447+L447-(D447+E447)*C447-J447-K447-IF(D$52&gt;0,'Assumptions and Catalog'!$C$26*C447,0)</f>
        <v>0</v>
      </c>
      <c r="T447" s="5"/>
      <c r="U447" s="5"/>
    </row>
    <row r="448" ht="23.100000381469727" customHeight="1">
      <c r="A448" s="5" t="n">
        <v>4</v>
      </c>
      <c r="B448" s="5" t="n">
        <v>2</v>
      </c>
      <c r="C448" s="5" t="n">
        <f>DAY(DATE('Assumptions and Catalog'!$C$24+A448-1,B448+1,0))</f>
        <v>28</v>
      </c>
      <c r="D448" s="5" t="n">
        <f>IF(ISNUMBER(Inputs!$L$5),Inputs!$L$5*Inputs!$L$6,0)</f>
        <v>40.35</v>
      </c>
      <c r="E448" s="5" t="n">
        <f>IF(ISNUMBER(Inputs!$L$5),Inputs!$L$5-D448,0)</f>
        <v>40.35</v>
      </c>
      <c r="F448" s="5" t="n">
        <f>D$51*'Assumptions and Catalog'!$C$31*C448*(1-'Assumptions and Catalog'!$C$10)^(A448-1)</f>
        <v>0</v>
      </c>
      <c r="G448" s="5" t="n">
        <f>MIN(F448,D448*C448)</f>
        <v>0</v>
      </c>
      <c r="H448" s="5" t="n">
        <f>I448/('Assumptions and Catalog'!$C$11*'Assumptions and Catalog'!$C$12)</f>
        <v>0</v>
      </c>
      <c r="I448" s="5" t="n">
        <f>IF(K$15="Grid cycle",MIN(K$16,D448+E448,P448*'Assumptions and Catalog'!$C$12,D$57*(24-'Assumptions and Catalog'!$C$15),D$56*'Assumptions and Catalog'!$C$15*'Assumptions and Catalog'!$C$11*'Assumptions and Catalog'!$C$12)*C448,0)</f>
        <v>0</v>
      </c>
      <c r="J448" s="5" t="n">
        <f>MAX(F448-G448-0,0)</f>
        <v>0</v>
      </c>
      <c r="K448" s="5" t="n">
        <f>H448-I448</f>
        <v>0</v>
      </c>
      <c r="L448" s="5" t="n">
        <f>(D448+E448)*C448-G448-I448+H448+IF(D$52&gt;0,'Assumptions and Catalog'!$C$26*C448,0)</f>
        <v>2259.6</v>
      </c>
      <c r="M448" s="5" t="n">
        <f>IF(ISNUMBER(Inputs!$L$5),(IF(Inputs!$L$9="Actual flat rate",((D448+E448)*C448)*Inputs!$L$10,IF(Inputs!$C$9="Residential",IF(((D448+E448)*C448)&lt;='Assumptions and Catalog'!$C$50,((D448+E448)*C448)*'Assumptions and Catalog'!$H$50+'Assumptions and Catalog'!$E$50+'Assumptions and Catalog'!$F$50,IF(((D448+E448)*C448)&lt;='Assumptions and Catalog'!$C$51,((D448+E448)*C448)*'Assumptions and Catalog'!$H$51+'Assumptions and Catalog'!$E$51+'Assumptions and Catalog'!$F$51,IF(((D448+E448)*C448)&lt;='Assumptions and Catalog'!$C$52,((D448+E448)*C448)*'Assumptions and Catalog'!$H$52+'Assumptions and Catalog'!$E$52+'Assumptions and Catalog'!$F$52,IF(((D448+E448)*C448)&lt;='Assumptions and Catalog'!$C$53,((D448+E448)*C448)*'Assumptions and Catalog'!$H$53+'Assumptions and Catalog'!$E$53+'Assumptions and Catalog'!$F$53,IF(((D448+E448)*C448)&lt;='Assumptions and Catalog'!$C$54,((D448+E448)*C448)*'Assumptions and Catalog'!$H$54+'Assumptions and Catalog'!$E$54+'Assumptions and Catalog'!$F$54,IF(((D448+E448)*C448)&lt;='Assumptions and Catalog'!$C$55,((D448+E448)*C448)*'Assumptions and Catalog'!$H$55+'Assumptions and Catalog'!$E$55+'Assumptions and Catalog'!$F$55,IF(((D448+E448)*C448)&lt;='Assumptions and Catalog'!$C$56,((D448+E448)*C448)*'Assumptions and Catalog'!$H$56+'Assumptions and Catalog'!$E$56+'Assumptions and Catalog'!$F$56,IF(((D448+E448)*C448)&lt;='Assumptions and Catalog'!$C$57,((D448+E448)*C448)*'Assumptions and Catalog'!$H$57+'Assumptions and Catalog'!$E$57+'Assumptions and Catalog'!$F$57,"Out of range")))))))),IF(((D448+E448)*C448)&lt;='Assumptions and Catalog'!$C$60,((D448+E448)*C448)*'Assumptions and Catalog'!$H$60+'Assumptions and Catalog'!$E$60+'Assumptions and Catalog'!$F$60,IF(((D448+E448)*C448)&lt;='Assumptions and Catalog'!$C$61,((D448+E448)*C448)*'Assumptions and Catalog'!$H$61+'Assumptions and Catalog'!$E$61+'Assumptions and Catalog'!$F$61,IF(((D448+E448)*C448)&lt;='Assumptions and Catalog'!$C$62,((D448+E448)*C448)*'Assumptions and Catalog'!$H$62+'Assumptions and Catalog'!$E$62+'Assumptions and Catalog'!$F$62,IF(((D448+E448)*C448)&lt;='Assumptions and Catalog'!$C$63,((D448+E448)*C448)*'Assumptions and Catalog'!$H$63+'Assumptions and Catalog'!$E$63+'Assumptions and Catalog'!$F$63,IF(((D448+E448)*C448)&lt;='Assumptions and Catalog'!$C$64,((D448+E448)*C448)*'Assumptions and Catalog'!$H$64+'Assumptions and Catalog'!$E$64+'Assumptions and Catalog'!$F$64,IF(((D448+E448)*C448)&lt;='Assumptions and Catalog'!$C$65,((D448+E448)*C448)*'Assumptions and Catalog'!$H$65+'Assumptions and Catalog'!$E$65+'Assumptions and Catalog'!$F$65,"Out of range")))))))))*(1+'Assumptions and Catalog'!$C$8)^(A448-1),0)</f>
        <v>6412.072</v>
      </c>
      <c r="N448" s="5" t="n">
        <f>IF(ISNUMBER(Inputs!$L$5),(IF(Inputs!$L$9="Actual flat rate",L448*Inputs!$L$10,IF(Inputs!$C$9="Residential",IF(L448&lt;='Assumptions and Catalog'!$C$50,L448*'Assumptions and Catalog'!$H$50+'Assumptions and Catalog'!$E$50+'Assumptions and Catalog'!$F$50,IF(L448&lt;='Assumptions and Catalog'!$C$51,L448*'Assumptions and Catalog'!$H$51+'Assumptions and Catalog'!$E$51+'Assumptions and Catalog'!$F$51,IF(L448&lt;='Assumptions and Catalog'!$C$52,L448*'Assumptions and Catalog'!$H$52+'Assumptions and Catalog'!$E$52+'Assumptions and Catalog'!$F$52,IF(L448&lt;='Assumptions and Catalog'!$C$53,L448*'Assumptions and Catalog'!$H$53+'Assumptions and Catalog'!$E$53+'Assumptions and Catalog'!$F$53,IF(L448&lt;='Assumptions and Catalog'!$C$54,L448*'Assumptions and Catalog'!$H$54+'Assumptions and Catalog'!$E$54+'Assumptions and Catalog'!$F$54,IF(L448&lt;='Assumptions and Catalog'!$C$55,L448*'Assumptions and Catalog'!$H$55+'Assumptions and Catalog'!$E$55+'Assumptions and Catalog'!$F$55,IF(L448&lt;='Assumptions and Catalog'!$C$56,L448*'Assumptions and Catalog'!$H$56+'Assumptions and Catalog'!$E$56+'Assumptions and Catalog'!$F$56,IF(L448&lt;='Assumptions and Catalog'!$C$57,L448*'Assumptions and Catalog'!$H$57+'Assumptions and Catalog'!$E$57+'Assumptions and Catalog'!$F$57,"Out of range")))))))),IF(L448&lt;='Assumptions and Catalog'!$C$60,L448*'Assumptions and Catalog'!$H$60+'Assumptions and Catalog'!$E$60+'Assumptions and Catalog'!$F$60,IF(L448&lt;='Assumptions and Catalog'!$C$61,L448*'Assumptions and Catalog'!$H$61+'Assumptions and Catalog'!$E$61+'Assumptions and Catalog'!$F$61,IF(L448&lt;='Assumptions and Catalog'!$C$62,L448*'Assumptions and Catalog'!$H$62+'Assumptions and Catalog'!$E$62+'Assumptions and Catalog'!$F$62,IF(L448&lt;='Assumptions and Catalog'!$C$63,L448*'Assumptions and Catalog'!$H$63+'Assumptions and Catalog'!$E$63+'Assumptions and Catalog'!$F$63,IF(L448&lt;='Assumptions and Catalog'!$C$64,L448*'Assumptions and Catalog'!$H$64+'Assumptions and Catalog'!$E$64+'Assumptions and Catalog'!$F$64,IF(L448&lt;='Assumptions and Catalog'!$C$65,L448*'Assumptions and Catalog'!$H$65+'Assumptions and Catalog'!$E$65+'Assumptions and Catalog'!$F$65,"Out of range")))))))))*(1+'Assumptions and Catalog'!$C$8)^(A448-1),0)</f>
        <v>6412.072</v>
      </c>
      <c r="O448" s="5" t="n">
        <f>M448-N448</f>
        <v>0</v>
      </c>
      <c r="P448" s="5" t="n">
        <f>D$55*(1-K$14)*(1-'Assumptions and Catalog'!$C$23)^R448</f>
        <v>0</v>
      </c>
      <c r="Q448" s="5" t="n">
        <f>IF(ISNUMBER(Inputs!$L$5),(IF(Inputs!$L$9="Actual flat rate",((D448+E448)*C448-G448)*Inputs!$L$10,IF(Inputs!$C$9="Residential",IF(((D448+E448)*C448-G448)&lt;='Assumptions and Catalog'!$C$50,((D448+E448)*C448-G448)*'Assumptions and Catalog'!$H$50+'Assumptions and Catalog'!$E$50+'Assumptions and Catalog'!$F$50,IF(((D448+E448)*C448-G448)&lt;='Assumptions and Catalog'!$C$51,((D448+E448)*C448-G448)*'Assumptions and Catalog'!$H$51+'Assumptions and Catalog'!$E$51+'Assumptions and Catalog'!$F$51,IF(((D448+E448)*C448-G448)&lt;='Assumptions and Catalog'!$C$52,((D448+E448)*C448-G448)*'Assumptions and Catalog'!$H$52+'Assumptions and Catalog'!$E$52+'Assumptions and Catalog'!$F$52,IF(((D448+E448)*C448-G448)&lt;='Assumptions and Catalog'!$C$53,((D448+E448)*C448-G448)*'Assumptions and Catalog'!$H$53+'Assumptions and Catalog'!$E$53+'Assumptions and Catalog'!$F$53,IF(((D448+E448)*C448-G448)&lt;='Assumptions and Catalog'!$C$54,((D448+E448)*C448-G448)*'Assumptions and Catalog'!$H$54+'Assumptions and Catalog'!$E$54+'Assumptions and Catalog'!$F$54,IF(((D448+E448)*C448-G448)&lt;='Assumptions and Catalog'!$C$55,((D448+E448)*C448-G448)*'Assumptions and Catalog'!$H$55+'Assumptions and Catalog'!$E$55+'Assumptions and Catalog'!$F$55,IF(((D448+E448)*C448-G448)&lt;='Assumptions and Catalog'!$C$56,((D448+E448)*C448-G448)*'Assumptions and Catalog'!$H$56+'Assumptions and Catalog'!$E$56+'Assumptions and Catalog'!$F$56,IF(((D448+E448)*C448-G448)&lt;='Assumptions and Catalog'!$C$57,((D448+E448)*C448-G448)*'Assumptions and Catalog'!$H$57+'Assumptions and Catalog'!$E$57+'Assumptions and Catalog'!$F$57,"Out of range")))))))),IF(((D448+E448)*C448-G448)&lt;='Assumptions and Catalog'!$C$60,((D448+E448)*C448-G448)*'Assumptions and Catalog'!$H$60+'Assumptions and Catalog'!$E$60+'Assumptions and Catalog'!$F$60,IF(((D448+E448)*C448-G448)&lt;='Assumptions and Catalog'!$C$61,((D448+E448)*C448-G448)*'Assumptions and Catalog'!$H$61+'Assumptions and Catalog'!$E$61+'Assumptions and Catalog'!$F$61,IF(((D448+E448)*C448-G448)&lt;='Assumptions and Catalog'!$C$62,((D448+E448)*C448-G448)*'Assumptions and Catalog'!$H$62+'Assumptions and Catalog'!$E$62+'Assumptions and Catalog'!$F$62,IF(((D448+E448)*C448-G448)&lt;='Assumptions and Catalog'!$C$63,((D448+E448)*C448-G448)*'Assumptions and Catalog'!$H$63+'Assumptions and Catalog'!$E$63+'Assumptions and Catalog'!$F$63,IF(((D448+E448)*C448-G448)&lt;='Assumptions and Catalog'!$C$64,((D448+E448)*C448-G448)*'Assumptions and Catalog'!$H$64+'Assumptions and Catalog'!$E$64+'Assumptions and Catalog'!$F$64,IF(((D448+E448)*C448-G448)&lt;='Assumptions and Catalog'!$C$65,((D448+E448)*C448-G448)*'Assumptions and Catalog'!$H$65+'Assumptions and Catalog'!$E$65+'Assumptions and Catalog'!$F$65,"Out of range")))))))))*(1+'Assumptions and Catalog'!$C$8)^(A448-1),0)</f>
        <v>6412.072</v>
      </c>
      <c r="R448" s="5" t="n">
        <f>IF(AND('Assumptions and Catalog'!$C$19&gt;0,A448&gt;='Assumptions and Catalog'!$C$19),A448-'Assumptions and Catalog'!$C$19,A448-1)</f>
        <v>3</v>
      </c>
      <c r="S448" s="5" t="n">
        <f>F448+L448-(D448+E448)*C448-J448-K448-IF(D$52&gt;0,'Assumptions and Catalog'!$C$26*C448,0)</f>
        <v>0</v>
      </c>
      <c r="T448" s="5"/>
      <c r="U448" s="5"/>
    </row>
    <row r="449" ht="23.100000381469727" customHeight="1">
      <c r="A449" s="5" t="n">
        <v>4</v>
      </c>
      <c r="B449" s="5" t="n">
        <v>3</v>
      </c>
      <c r="C449" s="5" t="n">
        <f>DAY(DATE('Assumptions and Catalog'!$C$24+A449-1,B449+1,0))</f>
        <v>31</v>
      </c>
      <c r="D449" s="5" t="n">
        <f>IF(ISNUMBER(Inputs!$L$5),Inputs!$L$5*Inputs!$L$6,0)</f>
        <v>40.35</v>
      </c>
      <c r="E449" s="5" t="n">
        <f>IF(ISNUMBER(Inputs!$L$5),Inputs!$L$5-D449,0)</f>
        <v>40.35</v>
      </c>
      <c r="F449" s="5" t="n">
        <f>D$51*'Assumptions and Catalog'!$C$31*C449*(1-'Assumptions and Catalog'!$C$10)^(A449-1)</f>
        <v>0</v>
      </c>
      <c r="G449" s="5" t="n">
        <f>MIN(F449,D449*C449)</f>
        <v>0</v>
      </c>
      <c r="H449" s="5" t="n">
        <f>I449/('Assumptions and Catalog'!$C$11*'Assumptions and Catalog'!$C$12)</f>
        <v>0</v>
      </c>
      <c r="I449" s="5" t="n">
        <f>IF(K$15="Grid cycle",MIN(K$16,D449+E449,P449*'Assumptions and Catalog'!$C$12,D$57*(24-'Assumptions and Catalog'!$C$15),D$56*'Assumptions and Catalog'!$C$15*'Assumptions and Catalog'!$C$11*'Assumptions and Catalog'!$C$12)*C449,0)</f>
        <v>0</v>
      </c>
      <c r="J449" s="5" t="n">
        <f>MAX(F449-G449-0,0)</f>
        <v>0</v>
      </c>
      <c r="K449" s="5" t="n">
        <f>H449-I449</f>
        <v>0</v>
      </c>
      <c r="L449" s="5" t="n">
        <f>(D449+E449)*C449-G449-I449+H449+IF(D$52&gt;0,'Assumptions and Catalog'!$C$26*C449,0)</f>
        <v>2501.7</v>
      </c>
      <c r="M449" s="5" t="n">
        <f>IF(ISNUMBER(Inputs!$L$5),(IF(Inputs!$L$9="Actual flat rate",((D449+E449)*C449)*Inputs!$L$10,IF(Inputs!$C$9="Residential",IF(((D449+E449)*C449)&lt;='Assumptions and Catalog'!$C$50,((D449+E449)*C449)*'Assumptions and Catalog'!$H$50+'Assumptions and Catalog'!$E$50+'Assumptions and Catalog'!$F$50,IF(((D449+E449)*C449)&lt;='Assumptions and Catalog'!$C$51,((D449+E449)*C449)*'Assumptions and Catalog'!$H$51+'Assumptions and Catalog'!$E$51+'Assumptions and Catalog'!$F$51,IF(((D449+E449)*C449)&lt;='Assumptions and Catalog'!$C$52,((D449+E449)*C449)*'Assumptions and Catalog'!$H$52+'Assumptions and Catalog'!$E$52+'Assumptions and Catalog'!$F$52,IF(((D449+E449)*C449)&lt;='Assumptions and Catalog'!$C$53,((D449+E449)*C449)*'Assumptions and Catalog'!$H$53+'Assumptions and Catalog'!$E$53+'Assumptions and Catalog'!$F$53,IF(((D449+E449)*C449)&lt;='Assumptions and Catalog'!$C$54,((D449+E449)*C449)*'Assumptions and Catalog'!$H$54+'Assumptions and Catalog'!$E$54+'Assumptions and Catalog'!$F$54,IF(((D449+E449)*C449)&lt;='Assumptions and Catalog'!$C$55,((D449+E449)*C449)*'Assumptions and Catalog'!$H$55+'Assumptions and Catalog'!$E$55+'Assumptions and Catalog'!$F$55,IF(((D449+E449)*C449)&lt;='Assumptions and Catalog'!$C$56,((D449+E449)*C449)*'Assumptions and Catalog'!$H$56+'Assumptions and Catalog'!$E$56+'Assumptions and Catalog'!$F$56,IF(((D449+E449)*C449)&lt;='Assumptions and Catalog'!$C$57,((D449+E449)*C449)*'Assumptions and Catalog'!$H$57+'Assumptions and Catalog'!$E$57+'Assumptions and Catalog'!$F$57,"Out of range")))))))),IF(((D449+E449)*C449)&lt;='Assumptions and Catalog'!$C$60,((D449+E449)*C449)*'Assumptions and Catalog'!$H$60+'Assumptions and Catalog'!$E$60+'Assumptions and Catalog'!$F$60,IF(((D449+E449)*C449)&lt;='Assumptions and Catalog'!$C$61,((D449+E449)*C449)*'Assumptions and Catalog'!$H$61+'Assumptions and Catalog'!$E$61+'Assumptions and Catalog'!$F$61,IF(((D449+E449)*C449)&lt;='Assumptions and Catalog'!$C$62,((D449+E449)*C449)*'Assumptions and Catalog'!$H$62+'Assumptions and Catalog'!$E$62+'Assumptions and Catalog'!$F$62,IF(((D449+E449)*C449)&lt;='Assumptions and Catalog'!$C$63,((D449+E449)*C449)*'Assumptions and Catalog'!$H$63+'Assumptions and Catalog'!$E$63+'Assumptions and Catalog'!$F$63,IF(((D449+E449)*C449)&lt;='Assumptions and Catalog'!$C$64,((D449+E449)*C449)*'Assumptions and Catalog'!$H$64+'Assumptions and Catalog'!$E$64+'Assumptions and Catalog'!$F$64,IF(((D449+E449)*C449)&lt;='Assumptions and Catalog'!$C$65,((D449+E449)*C449)*'Assumptions and Catalog'!$H$65+'Assumptions and Catalog'!$E$65+'Assumptions and Catalog'!$F$65,"Out of range")))))))))*(1+'Assumptions and Catalog'!$C$8)^(A449-1),0)</f>
        <v>7094.794</v>
      </c>
      <c r="N449" s="5" t="n">
        <f>IF(ISNUMBER(Inputs!$L$5),(IF(Inputs!$L$9="Actual flat rate",L449*Inputs!$L$10,IF(Inputs!$C$9="Residential",IF(L449&lt;='Assumptions and Catalog'!$C$50,L449*'Assumptions and Catalog'!$H$50+'Assumptions and Catalog'!$E$50+'Assumptions and Catalog'!$F$50,IF(L449&lt;='Assumptions and Catalog'!$C$51,L449*'Assumptions and Catalog'!$H$51+'Assumptions and Catalog'!$E$51+'Assumptions and Catalog'!$F$51,IF(L449&lt;='Assumptions and Catalog'!$C$52,L449*'Assumptions and Catalog'!$H$52+'Assumptions and Catalog'!$E$52+'Assumptions and Catalog'!$F$52,IF(L449&lt;='Assumptions and Catalog'!$C$53,L449*'Assumptions and Catalog'!$H$53+'Assumptions and Catalog'!$E$53+'Assumptions and Catalog'!$F$53,IF(L449&lt;='Assumptions and Catalog'!$C$54,L449*'Assumptions and Catalog'!$H$54+'Assumptions and Catalog'!$E$54+'Assumptions and Catalog'!$F$54,IF(L449&lt;='Assumptions and Catalog'!$C$55,L449*'Assumptions and Catalog'!$H$55+'Assumptions and Catalog'!$E$55+'Assumptions and Catalog'!$F$55,IF(L449&lt;='Assumptions and Catalog'!$C$56,L449*'Assumptions and Catalog'!$H$56+'Assumptions and Catalog'!$E$56+'Assumptions and Catalog'!$F$56,IF(L449&lt;='Assumptions and Catalog'!$C$57,L449*'Assumptions and Catalog'!$H$57+'Assumptions and Catalog'!$E$57+'Assumptions and Catalog'!$F$57,"Out of range")))))))),IF(L449&lt;='Assumptions and Catalog'!$C$60,L449*'Assumptions and Catalog'!$H$60+'Assumptions and Catalog'!$E$60+'Assumptions and Catalog'!$F$60,IF(L449&lt;='Assumptions and Catalog'!$C$61,L449*'Assumptions and Catalog'!$H$61+'Assumptions and Catalog'!$E$61+'Assumptions and Catalog'!$F$61,IF(L449&lt;='Assumptions and Catalog'!$C$62,L449*'Assumptions and Catalog'!$H$62+'Assumptions and Catalog'!$E$62+'Assumptions and Catalog'!$F$62,IF(L449&lt;='Assumptions and Catalog'!$C$63,L449*'Assumptions and Catalog'!$H$63+'Assumptions and Catalog'!$E$63+'Assumptions and Catalog'!$F$63,IF(L449&lt;='Assumptions and Catalog'!$C$64,L449*'Assumptions and Catalog'!$H$64+'Assumptions and Catalog'!$E$64+'Assumptions and Catalog'!$F$64,IF(L449&lt;='Assumptions and Catalog'!$C$65,L449*'Assumptions and Catalog'!$H$65+'Assumptions and Catalog'!$E$65+'Assumptions and Catalog'!$F$65,"Out of range")))))))))*(1+'Assumptions and Catalog'!$C$8)^(A449-1),0)</f>
        <v>7094.794</v>
      </c>
      <c r="O449" s="5" t="n">
        <f>M449-N449</f>
        <v>0</v>
      </c>
      <c r="P449" s="5" t="n">
        <f>D$55*(1-K$14)*(1-'Assumptions and Catalog'!$C$23)^R449</f>
        <v>0</v>
      </c>
      <c r="Q449" s="5" t="n">
        <f>IF(ISNUMBER(Inputs!$L$5),(IF(Inputs!$L$9="Actual flat rate",((D449+E449)*C449-G449)*Inputs!$L$10,IF(Inputs!$C$9="Residential",IF(((D449+E449)*C449-G449)&lt;='Assumptions and Catalog'!$C$50,((D449+E449)*C449-G449)*'Assumptions and Catalog'!$H$50+'Assumptions and Catalog'!$E$50+'Assumptions and Catalog'!$F$50,IF(((D449+E449)*C449-G449)&lt;='Assumptions and Catalog'!$C$51,((D449+E449)*C449-G449)*'Assumptions and Catalog'!$H$51+'Assumptions and Catalog'!$E$51+'Assumptions and Catalog'!$F$51,IF(((D449+E449)*C449-G449)&lt;='Assumptions and Catalog'!$C$52,((D449+E449)*C449-G449)*'Assumptions and Catalog'!$H$52+'Assumptions and Catalog'!$E$52+'Assumptions and Catalog'!$F$52,IF(((D449+E449)*C449-G449)&lt;='Assumptions and Catalog'!$C$53,((D449+E449)*C449-G449)*'Assumptions and Catalog'!$H$53+'Assumptions and Catalog'!$E$53+'Assumptions and Catalog'!$F$53,IF(((D449+E449)*C449-G449)&lt;='Assumptions and Catalog'!$C$54,((D449+E449)*C449-G449)*'Assumptions and Catalog'!$H$54+'Assumptions and Catalog'!$E$54+'Assumptions and Catalog'!$F$54,IF(((D449+E449)*C449-G449)&lt;='Assumptions and Catalog'!$C$55,((D449+E449)*C449-G449)*'Assumptions and Catalog'!$H$55+'Assumptions and Catalog'!$E$55+'Assumptions and Catalog'!$F$55,IF(((D449+E449)*C449-G449)&lt;='Assumptions and Catalog'!$C$56,((D449+E449)*C449-G449)*'Assumptions and Catalog'!$H$56+'Assumptions and Catalog'!$E$56+'Assumptions and Catalog'!$F$56,IF(((D449+E449)*C449-G449)&lt;='Assumptions and Catalog'!$C$57,((D449+E449)*C449-G449)*'Assumptions and Catalog'!$H$57+'Assumptions and Catalog'!$E$57+'Assumptions and Catalog'!$F$57,"Out of range")))))))),IF(((D449+E449)*C449-G449)&lt;='Assumptions and Catalog'!$C$60,((D449+E449)*C449-G449)*'Assumptions and Catalog'!$H$60+'Assumptions and Catalog'!$E$60+'Assumptions and Catalog'!$F$60,IF(((D449+E449)*C449-G449)&lt;='Assumptions and Catalog'!$C$61,((D449+E449)*C449-G449)*'Assumptions and Catalog'!$H$61+'Assumptions and Catalog'!$E$61+'Assumptions and Catalog'!$F$61,IF(((D449+E449)*C449-G449)&lt;='Assumptions and Catalog'!$C$62,((D449+E449)*C449-G449)*'Assumptions and Catalog'!$H$62+'Assumptions and Catalog'!$E$62+'Assumptions and Catalog'!$F$62,IF(((D449+E449)*C449-G449)&lt;='Assumptions and Catalog'!$C$63,((D449+E449)*C449-G449)*'Assumptions and Catalog'!$H$63+'Assumptions and Catalog'!$E$63+'Assumptions and Catalog'!$F$63,IF(((D449+E449)*C449-G449)&lt;='Assumptions and Catalog'!$C$64,((D449+E449)*C449-G449)*'Assumptions and Catalog'!$H$64+'Assumptions and Catalog'!$E$64+'Assumptions and Catalog'!$F$64,IF(((D449+E449)*C449-G449)&lt;='Assumptions and Catalog'!$C$65,((D449+E449)*C449-G449)*'Assumptions and Catalog'!$H$65+'Assumptions and Catalog'!$E$65+'Assumptions and Catalog'!$F$65,"Out of range")))))))))*(1+'Assumptions and Catalog'!$C$8)^(A449-1),0)</f>
        <v>7094.794</v>
      </c>
      <c r="R449" s="5" t="n">
        <f>IF(AND('Assumptions and Catalog'!$C$19&gt;0,A449&gt;='Assumptions and Catalog'!$C$19),A449-'Assumptions and Catalog'!$C$19,A449-1)</f>
        <v>3</v>
      </c>
      <c r="S449" s="5" t="n">
        <f>F449+L449-(D449+E449)*C449-J449-K449-IF(D$52&gt;0,'Assumptions and Catalog'!$C$26*C449,0)</f>
        <v>0</v>
      </c>
      <c r="T449" s="5"/>
      <c r="U449" s="5"/>
    </row>
    <row r="450" ht="23.100000381469727" customHeight="1">
      <c r="A450" s="5" t="n">
        <v>4</v>
      </c>
      <c r="B450" s="5" t="n">
        <v>4</v>
      </c>
      <c r="C450" s="5" t="n">
        <f>DAY(DATE('Assumptions and Catalog'!$C$24+A450-1,B450+1,0))</f>
        <v>30</v>
      </c>
      <c r="D450" s="5" t="n">
        <f>IF(ISNUMBER(Inputs!$L$5),Inputs!$L$5*Inputs!$L$6,0)</f>
        <v>40.35</v>
      </c>
      <c r="E450" s="5" t="n">
        <f>IF(ISNUMBER(Inputs!$L$5),Inputs!$L$5-D450,0)</f>
        <v>40.35</v>
      </c>
      <c r="F450" s="5" t="n">
        <f>D$51*'Assumptions and Catalog'!$C$31*C450*(1-'Assumptions and Catalog'!$C$10)^(A450-1)</f>
        <v>0</v>
      </c>
      <c r="G450" s="5" t="n">
        <f>MIN(F450,D450*C450)</f>
        <v>0</v>
      </c>
      <c r="H450" s="5" t="n">
        <f>I450/('Assumptions and Catalog'!$C$11*'Assumptions and Catalog'!$C$12)</f>
        <v>0</v>
      </c>
      <c r="I450" s="5" t="n">
        <f>IF(K$15="Grid cycle",MIN(K$16,D450+E450,P450*'Assumptions and Catalog'!$C$12,D$57*(24-'Assumptions and Catalog'!$C$15),D$56*'Assumptions and Catalog'!$C$15*'Assumptions and Catalog'!$C$11*'Assumptions and Catalog'!$C$12)*C450,0)</f>
        <v>0</v>
      </c>
      <c r="J450" s="5" t="n">
        <f>MAX(F450-G450-0,0)</f>
        <v>0</v>
      </c>
      <c r="K450" s="5" t="n">
        <f>H450-I450</f>
        <v>0</v>
      </c>
      <c r="L450" s="5" t="n">
        <f>(D450+E450)*C450-G450-I450+H450+IF(D$52&gt;0,'Assumptions and Catalog'!$C$26*C450,0)</f>
        <v>2421</v>
      </c>
      <c r="M450" s="5" t="n">
        <f>IF(ISNUMBER(Inputs!$L$5),(IF(Inputs!$L$9="Actual flat rate",((D450+E450)*C450)*Inputs!$L$10,IF(Inputs!$C$9="Residential",IF(((D450+E450)*C450)&lt;='Assumptions and Catalog'!$C$50,((D450+E450)*C450)*'Assumptions and Catalog'!$H$50+'Assumptions and Catalog'!$E$50+'Assumptions and Catalog'!$F$50,IF(((D450+E450)*C450)&lt;='Assumptions and Catalog'!$C$51,((D450+E450)*C450)*'Assumptions and Catalog'!$H$51+'Assumptions and Catalog'!$E$51+'Assumptions and Catalog'!$F$51,IF(((D450+E450)*C450)&lt;='Assumptions and Catalog'!$C$52,((D450+E450)*C450)*'Assumptions and Catalog'!$H$52+'Assumptions and Catalog'!$E$52+'Assumptions and Catalog'!$F$52,IF(((D450+E450)*C450)&lt;='Assumptions and Catalog'!$C$53,((D450+E450)*C450)*'Assumptions and Catalog'!$H$53+'Assumptions and Catalog'!$E$53+'Assumptions and Catalog'!$F$53,IF(((D450+E450)*C450)&lt;='Assumptions and Catalog'!$C$54,((D450+E450)*C450)*'Assumptions and Catalog'!$H$54+'Assumptions and Catalog'!$E$54+'Assumptions and Catalog'!$F$54,IF(((D450+E450)*C450)&lt;='Assumptions and Catalog'!$C$55,((D450+E450)*C450)*'Assumptions and Catalog'!$H$55+'Assumptions and Catalog'!$E$55+'Assumptions and Catalog'!$F$55,IF(((D450+E450)*C450)&lt;='Assumptions and Catalog'!$C$56,((D450+E450)*C450)*'Assumptions and Catalog'!$H$56+'Assumptions and Catalog'!$E$56+'Assumptions and Catalog'!$F$56,IF(((D450+E450)*C450)&lt;='Assumptions and Catalog'!$C$57,((D450+E450)*C450)*'Assumptions and Catalog'!$H$57+'Assumptions and Catalog'!$E$57+'Assumptions and Catalog'!$F$57,"Out of range")))))))),IF(((D450+E450)*C450)&lt;='Assumptions and Catalog'!$C$60,((D450+E450)*C450)*'Assumptions and Catalog'!$H$60+'Assumptions and Catalog'!$E$60+'Assumptions and Catalog'!$F$60,IF(((D450+E450)*C450)&lt;='Assumptions and Catalog'!$C$61,((D450+E450)*C450)*'Assumptions and Catalog'!$H$61+'Assumptions and Catalog'!$E$61+'Assumptions and Catalog'!$F$61,IF(((D450+E450)*C450)&lt;='Assumptions and Catalog'!$C$62,((D450+E450)*C450)*'Assumptions and Catalog'!$H$62+'Assumptions and Catalog'!$E$62+'Assumptions and Catalog'!$F$62,IF(((D450+E450)*C450)&lt;='Assumptions and Catalog'!$C$63,((D450+E450)*C450)*'Assumptions and Catalog'!$H$63+'Assumptions and Catalog'!$E$63+'Assumptions and Catalog'!$F$63,IF(((D450+E450)*C450)&lt;='Assumptions and Catalog'!$C$64,((D450+E450)*C450)*'Assumptions and Catalog'!$H$64+'Assumptions and Catalog'!$E$64+'Assumptions and Catalog'!$F$64,IF(((D450+E450)*C450)&lt;='Assumptions and Catalog'!$C$65,((D450+E450)*C450)*'Assumptions and Catalog'!$H$65+'Assumptions and Catalog'!$E$65+'Assumptions and Catalog'!$F$65,"Out of range")))))))))*(1+'Assumptions and Catalog'!$C$8)^(A450-1),0)</f>
        <v>6867.22</v>
      </c>
      <c r="N450" s="5" t="n">
        <f>IF(ISNUMBER(Inputs!$L$5),(IF(Inputs!$L$9="Actual flat rate",L450*Inputs!$L$10,IF(Inputs!$C$9="Residential",IF(L450&lt;='Assumptions and Catalog'!$C$50,L450*'Assumptions and Catalog'!$H$50+'Assumptions and Catalog'!$E$50+'Assumptions and Catalog'!$F$50,IF(L450&lt;='Assumptions and Catalog'!$C$51,L450*'Assumptions and Catalog'!$H$51+'Assumptions and Catalog'!$E$51+'Assumptions and Catalog'!$F$51,IF(L450&lt;='Assumptions and Catalog'!$C$52,L450*'Assumptions and Catalog'!$H$52+'Assumptions and Catalog'!$E$52+'Assumptions and Catalog'!$F$52,IF(L450&lt;='Assumptions and Catalog'!$C$53,L450*'Assumptions and Catalog'!$H$53+'Assumptions and Catalog'!$E$53+'Assumptions and Catalog'!$F$53,IF(L450&lt;='Assumptions and Catalog'!$C$54,L450*'Assumptions and Catalog'!$H$54+'Assumptions and Catalog'!$E$54+'Assumptions and Catalog'!$F$54,IF(L450&lt;='Assumptions and Catalog'!$C$55,L450*'Assumptions and Catalog'!$H$55+'Assumptions and Catalog'!$E$55+'Assumptions and Catalog'!$F$55,IF(L450&lt;='Assumptions and Catalog'!$C$56,L450*'Assumptions and Catalog'!$H$56+'Assumptions and Catalog'!$E$56+'Assumptions and Catalog'!$F$56,IF(L450&lt;='Assumptions and Catalog'!$C$57,L450*'Assumptions and Catalog'!$H$57+'Assumptions and Catalog'!$E$57+'Assumptions and Catalog'!$F$57,"Out of range")))))))),IF(L450&lt;='Assumptions and Catalog'!$C$60,L450*'Assumptions and Catalog'!$H$60+'Assumptions and Catalog'!$E$60+'Assumptions and Catalog'!$F$60,IF(L450&lt;='Assumptions and Catalog'!$C$61,L450*'Assumptions and Catalog'!$H$61+'Assumptions and Catalog'!$E$61+'Assumptions and Catalog'!$F$61,IF(L450&lt;='Assumptions and Catalog'!$C$62,L450*'Assumptions and Catalog'!$H$62+'Assumptions and Catalog'!$E$62+'Assumptions and Catalog'!$F$62,IF(L450&lt;='Assumptions and Catalog'!$C$63,L450*'Assumptions and Catalog'!$H$63+'Assumptions and Catalog'!$E$63+'Assumptions and Catalog'!$F$63,IF(L450&lt;='Assumptions and Catalog'!$C$64,L450*'Assumptions and Catalog'!$H$64+'Assumptions and Catalog'!$E$64+'Assumptions and Catalog'!$F$64,IF(L450&lt;='Assumptions and Catalog'!$C$65,L450*'Assumptions and Catalog'!$H$65+'Assumptions and Catalog'!$E$65+'Assumptions and Catalog'!$F$65,"Out of range")))))))))*(1+'Assumptions and Catalog'!$C$8)^(A450-1),0)</f>
        <v>6867.22</v>
      </c>
      <c r="O450" s="5" t="n">
        <f>M450-N450</f>
        <v>0</v>
      </c>
      <c r="P450" s="5" t="n">
        <f>D$55*(1-K$14)*(1-'Assumptions and Catalog'!$C$23)^R450</f>
        <v>0</v>
      </c>
      <c r="Q450" s="5" t="n">
        <f>IF(ISNUMBER(Inputs!$L$5),(IF(Inputs!$L$9="Actual flat rate",((D450+E450)*C450-G450)*Inputs!$L$10,IF(Inputs!$C$9="Residential",IF(((D450+E450)*C450-G450)&lt;='Assumptions and Catalog'!$C$50,((D450+E450)*C450-G450)*'Assumptions and Catalog'!$H$50+'Assumptions and Catalog'!$E$50+'Assumptions and Catalog'!$F$50,IF(((D450+E450)*C450-G450)&lt;='Assumptions and Catalog'!$C$51,((D450+E450)*C450-G450)*'Assumptions and Catalog'!$H$51+'Assumptions and Catalog'!$E$51+'Assumptions and Catalog'!$F$51,IF(((D450+E450)*C450-G450)&lt;='Assumptions and Catalog'!$C$52,((D450+E450)*C450-G450)*'Assumptions and Catalog'!$H$52+'Assumptions and Catalog'!$E$52+'Assumptions and Catalog'!$F$52,IF(((D450+E450)*C450-G450)&lt;='Assumptions and Catalog'!$C$53,((D450+E450)*C450-G450)*'Assumptions and Catalog'!$H$53+'Assumptions and Catalog'!$E$53+'Assumptions and Catalog'!$F$53,IF(((D450+E450)*C450-G450)&lt;='Assumptions and Catalog'!$C$54,((D450+E450)*C450-G450)*'Assumptions and Catalog'!$H$54+'Assumptions and Catalog'!$E$54+'Assumptions and Catalog'!$F$54,IF(((D450+E450)*C450-G450)&lt;='Assumptions and Catalog'!$C$55,((D450+E450)*C450-G450)*'Assumptions and Catalog'!$H$55+'Assumptions and Catalog'!$E$55+'Assumptions and Catalog'!$F$55,IF(((D450+E450)*C450-G450)&lt;='Assumptions and Catalog'!$C$56,((D450+E450)*C450-G450)*'Assumptions and Catalog'!$H$56+'Assumptions and Catalog'!$E$56+'Assumptions and Catalog'!$F$56,IF(((D450+E450)*C450-G450)&lt;='Assumptions and Catalog'!$C$57,((D450+E450)*C450-G450)*'Assumptions and Catalog'!$H$57+'Assumptions and Catalog'!$E$57+'Assumptions and Catalog'!$F$57,"Out of range")))))))),IF(((D450+E450)*C450-G450)&lt;='Assumptions and Catalog'!$C$60,((D450+E450)*C450-G450)*'Assumptions and Catalog'!$H$60+'Assumptions and Catalog'!$E$60+'Assumptions and Catalog'!$F$60,IF(((D450+E450)*C450-G450)&lt;='Assumptions and Catalog'!$C$61,((D450+E450)*C450-G450)*'Assumptions and Catalog'!$H$61+'Assumptions and Catalog'!$E$61+'Assumptions and Catalog'!$F$61,IF(((D450+E450)*C450-G450)&lt;='Assumptions and Catalog'!$C$62,((D450+E450)*C450-G450)*'Assumptions and Catalog'!$H$62+'Assumptions and Catalog'!$E$62+'Assumptions and Catalog'!$F$62,IF(((D450+E450)*C450-G450)&lt;='Assumptions and Catalog'!$C$63,((D450+E450)*C450-G450)*'Assumptions and Catalog'!$H$63+'Assumptions and Catalog'!$E$63+'Assumptions and Catalog'!$F$63,IF(((D450+E450)*C450-G450)&lt;='Assumptions and Catalog'!$C$64,((D450+E450)*C450-G450)*'Assumptions and Catalog'!$H$64+'Assumptions and Catalog'!$E$64+'Assumptions and Catalog'!$F$64,IF(((D450+E450)*C450-G450)&lt;='Assumptions and Catalog'!$C$65,((D450+E450)*C450-G450)*'Assumptions and Catalog'!$H$65+'Assumptions and Catalog'!$E$65+'Assumptions and Catalog'!$F$65,"Out of range")))))))))*(1+'Assumptions and Catalog'!$C$8)^(A450-1),0)</f>
        <v>6867.22</v>
      </c>
      <c r="R450" s="5" t="n">
        <f>IF(AND('Assumptions and Catalog'!$C$19&gt;0,A450&gt;='Assumptions and Catalog'!$C$19),A450-'Assumptions and Catalog'!$C$19,A450-1)</f>
        <v>3</v>
      </c>
      <c r="S450" s="5" t="n">
        <f>F450+L450-(D450+E450)*C450-J450-K450-IF(D$52&gt;0,'Assumptions and Catalog'!$C$26*C450,0)</f>
        <v>0</v>
      </c>
      <c r="T450" s="5"/>
      <c r="U450" s="5"/>
    </row>
    <row r="451" ht="23.100000381469727" customHeight="1">
      <c r="A451" s="5" t="n">
        <v>4</v>
      </c>
      <c r="B451" s="5" t="n">
        <v>5</v>
      </c>
      <c r="C451" s="5" t="n">
        <f>DAY(DATE('Assumptions and Catalog'!$C$24+A451-1,B451+1,0))</f>
        <v>31</v>
      </c>
      <c r="D451" s="5" t="n">
        <f>IF(ISNUMBER(Inputs!$L$5),Inputs!$L$5*Inputs!$L$6,0)</f>
        <v>40.35</v>
      </c>
      <c r="E451" s="5" t="n">
        <f>IF(ISNUMBER(Inputs!$L$5),Inputs!$L$5-D451,0)</f>
        <v>40.35</v>
      </c>
      <c r="F451" s="5" t="n">
        <f>D$51*'Assumptions and Catalog'!$C$31*C451*(1-'Assumptions and Catalog'!$C$10)^(A451-1)</f>
        <v>0</v>
      </c>
      <c r="G451" s="5" t="n">
        <f>MIN(F451,D451*C451)</f>
        <v>0</v>
      </c>
      <c r="H451" s="5" t="n">
        <f>I451/('Assumptions and Catalog'!$C$11*'Assumptions and Catalog'!$C$12)</f>
        <v>0</v>
      </c>
      <c r="I451" s="5" t="n">
        <f>IF(K$15="Grid cycle",MIN(K$16,D451+E451,P451*'Assumptions and Catalog'!$C$12,D$57*(24-'Assumptions and Catalog'!$C$15),D$56*'Assumptions and Catalog'!$C$15*'Assumptions and Catalog'!$C$11*'Assumptions and Catalog'!$C$12)*C451,0)</f>
        <v>0</v>
      </c>
      <c r="J451" s="5" t="n">
        <f>MAX(F451-G451-0,0)</f>
        <v>0</v>
      </c>
      <c r="K451" s="5" t="n">
        <f>H451-I451</f>
        <v>0</v>
      </c>
      <c r="L451" s="5" t="n">
        <f>(D451+E451)*C451-G451-I451+H451+IF(D$52&gt;0,'Assumptions and Catalog'!$C$26*C451,0)</f>
        <v>2501.7</v>
      </c>
      <c r="M451" s="5" t="n">
        <f>IF(ISNUMBER(Inputs!$L$5),(IF(Inputs!$L$9="Actual flat rate",((D451+E451)*C451)*Inputs!$L$10,IF(Inputs!$C$9="Residential",IF(((D451+E451)*C451)&lt;='Assumptions and Catalog'!$C$50,((D451+E451)*C451)*'Assumptions and Catalog'!$H$50+'Assumptions and Catalog'!$E$50+'Assumptions and Catalog'!$F$50,IF(((D451+E451)*C451)&lt;='Assumptions and Catalog'!$C$51,((D451+E451)*C451)*'Assumptions and Catalog'!$H$51+'Assumptions and Catalog'!$E$51+'Assumptions and Catalog'!$F$51,IF(((D451+E451)*C451)&lt;='Assumptions and Catalog'!$C$52,((D451+E451)*C451)*'Assumptions and Catalog'!$H$52+'Assumptions and Catalog'!$E$52+'Assumptions and Catalog'!$F$52,IF(((D451+E451)*C451)&lt;='Assumptions and Catalog'!$C$53,((D451+E451)*C451)*'Assumptions and Catalog'!$H$53+'Assumptions and Catalog'!$E$53+'Assumptions and Catalog'!$F$53,IF(((D451+E451)*C451)&lt;='Assumptions and Catalog'!$C$54,((D451+E451)*C451)*'Assumptions and Catalog'!$H$54+'Assumptions and Catalog'!$E$54+'Assumptions and Catalog'!$F$54,IF(((D451+E451)*C451)&lt;='Assumptions and Catalog'!$C$55,((D451+E451)*C451)*'Assumptions and Catalog'!$H$55+'Assumptions and Catalog'!$E$55+'Assumptions and Catalog'!$F$55,IF(((D451+E451)*C451)&lt;='Assumptions and Catalog'!$C$56,((D451+E451)*C451)*'Assumptions and Catalog'!$H$56+'Assumptions and Catalog'!$E$56+'Assumptions and Catalog'!$F$56,IF(((D451+E451)*C451)&lt;='Assumptions and Catalog'!$C$57,((D451+E451)*C451)*'Assumptions and Catalog'!$H$57+'Assumptions and Catalog'!$E$57+'Assumptions and Catalog'!$F$57,"Out of range")))))))),IF(((D451+E451)*C451)&lt;='Assumptions and Catalog'!$C$60,((D451+E451)*C451)*'Assumptions and Catalog'!$H$60+'Assumptions and Catalog'!$E$60+'Assumptions and Catalog'!$F$60,IF(((D451+E451)*C451)&lt;='Assumptions and Catalog'!$C$61,((D451+E451)*C451)*'Assumptions and Catalog'!$H$61+'Assumptions and Catalog'!$E$61+'Assumptions and Catalog'!$F$61,IF(((D451+E451)*C451)&lt;='Assumptions and Catalog'!$C$62,((D451+E451)*C451)*'Assumptions and Catalog'!$H$62+'Assumptions and Catalog'!$E$62+'Assumptions and Catalog'!$F$62,IF(((D451+E451)*C451)&lt;='Assumptions and Catalog'!$C$63,((D451+E451)*C451)*'Assumptions and Catalog'!$H$63+'Assumptions and Catalog'!$E$63+'Assumptions and Catalog'!$F$63,IF(((D451+E451)*C451)&lt;='Assumptions and Catalog'!$C$64,((D451+E451)*C451)*'Assumptions and Catalog'!$H$64+'Assumptions and Catalog'!$E$64+'Assumptions and Catalog'!$F$64,IF(((D451+E451)*C451)&lt;='Assumptions and Catalog'!$C$65,((D451+E451)*C451)*'Assumptions and Catalog'!$H$65+'Assumptions and Catalog'!$E$65+'Assumptions and Catalog'!$F$65,"Out of range")))))))))*(1+'Assumptions and Catalog'!$C$8)^(A451-1),0)</f>
        <v>7094.794</v>
      </c>
      <c r="N451" s="5" t="n">
        <f>IF(ISNUMBER(Inputs!$L$5),(IF(Inputs!$L$9="Actual flat rate",L451*Inputs!$L$10,IF(Inputs!$C$9="Residential",IF(L451&lt;='Assumptions and Catalog'!$C$50,L451*'Assumptions and Catalog'!$H$50+'Assumptions and Catalog'!$E$50+'Assumptions and Catalog'!$F$50,IF(L451&lt;='Assumptions and Catalog'!$C$51,L451*'Assumptions and Catalog'!$H$51+'Assumptions and Catalog'!$E$51+'Assumptions and Catalog'!$F$51,IF(L451&lt;='Assumptions and Catalog'!$C$52,L451*'Assumptions and Catalog'!$H$52+'Assumptions and Catalog'!$E$52+'Assumptions and Catalog'!$F$52,IF(L451&lt;='Assumptions and Catalog'!$C$53,L451*'Assumptions and Catalog'!$H$53+'Assumptions and Catalog'!$E$53+'Assumptions and Catalog'!$F$53,IF(L451&lt;='Assumptions and Catalog'!$C$54,L451*'Assumptions and Catalog'!$H$54+'Assumptions and Catalog'!$E$54+'Assumptions and Catalog'!$F$54,IF(L451&lt;='Assumptions and Catalog'!$C$55,L451*'Assumptions and Catalog'!$H$55+'Assumptions and Catalog'!$E$55+'Assumptions and Catalog'!$F$55,IF(L451&lt;='Assumptions and Catalog'!$C$56,L451*'Assumptions and Catalog'!$H$56+'Assumptions and Catalog'!$E$56+'Assumptions and Catalog'!$F$56,IF(L451&lt;='Assumptions and Catalog'!$C$57,L451*'Assumptions and Catalog'!$H$57+'Assumptions and Catalog'!$E$57+'Assumptions and Catalog'!$F$57,"Out of range")))))))),IF(L451&lt;='Assumptions and Catalog'!$C$60,L451*'Assumptions and Catalog'!$H$60+'Assumptions and Catalog'!$E$60+'Assumptions and Catalog'!$F$60,IF(L451&lt;='Assumptions and Catalog'!$C$61,L451*'Assumptions and Catalog'!$H$61+'Assumptions and Catalog'!$E$61+'Assumptions and Catalog'!$F$61,IF(L451&lt;='Assumptions and Catalog'!$C$62,L451*'Assumptions and Catalog'!$H$62+'Assumptions and Catalog'!$E$62+'Assumptions and Catalog'!$F$62,IF(L451&lt;='Assumptions and Catalog'!$C$63,L451*'Assumptions and Catalog'!$H$63+'Assumptions and Catalog'!$E$63+'Assumptions and Catalog'!$F$63,IF(L451&lt;='Assumptions and Catalog'!$C$64,L451*'Assumptions and Catalog'!$H$64+'Assumptions and Catalog'!$E$64+'Assumptions and Catalog'!$F$64,IF(L451&lt;='Assumptions and Catalog'!$C$65,L451*'Assumptions and Catalog'!$H$65+'Assumptions and Catalog'!$E$65+'Assumptions and Catalog'!$F$65,"Out of range")))))))))*(1+'Assumptions and Catalog'!$C$8)^(A451-1),0)</f>
        <v>7094.794</v>
      </c>
      <c r="O451" s="5" t="n">
        <f>M451-N451</f>
        <v>0</v>
      </c>
      <c r="P451" s="5" t="n">
        <f>D$55*(1-K$14)*(1-'Assumptions and Catalog'!$C$23)^R451</f>
        <v>0</v>
      </c>
      <c r="Q451" s="5" t="n">
        <f>IF(ISNUMBER(Inputs!$L$5),(IF(Inputs!$L$9="Actual flat rate",((D451+E451)*C451-G451)*Inputs!$L$10,IF(Inputs!$C$9="Residential",IF(((D451+E451)*C451-G451)&lt;='Assumptions and Catalog'!$C$50,((D451+E451)*C451-G451)*'Assumptions and Catalog'!$H$50+'Assumptions and Catalog'!$E$50+'Assumptions and Catalog'!$F$50,IF(((D451+E451)*C451-G451)&lt;='Assumptions and Catalog'!$C$51,((D451+E451)*C451-G451)*'Assumptions and Catalog'!$H$51+'Assumptions and Catalog'!$E$51+'Assumptions and Catalog'!$F$51,IF(((D451+E451)*C451-G451)&lt;='Assumptions and Catalog'!$C$52,((D451+E451)*C451-G451)*'Assumptions and Catalog'!$H$52+'Assumptions and Catalog'!$E$52+'Assumptions and Catalog'!$F$52,IF(((D451+E451)*C451-G451)&lt;='Assumptions and Catalog'!$C$53,((D451+E451)*C451-G451)*'Assumptions and Catalog'!$H$53+'Assumptions and Catalog'!$E$53+'Assumptions and Catalog'!$F$53,IF(((D451+E451)*C451-G451)&lt;='Assumptions and Catalog'!$C$54,((D451+E451)*C451-G451)*'Assumptions and Catalog'!$H$54+'Assumptions and Catalog'!$E$54+'Assumptions and Catalog'!$F$54,IF(((D451+E451)*C451-G451)&lt;='Assumptions and Catalog'!$C$55,((D451+E451)*C451-G451)*'Assumptions and Catalog'!$H$55+'Assumptions and Catalog'!$E$55+'Assumptions and Catalog'!$F$55,IF(((D451+E451)*C451-G451)&lt;='Assumptions and Catalog'!$C$56,((D451+E451)*C451-G451)*'Assumptions and Catalog'!$H$56+'Assumptions and Catalog'!$E$56+'Assumptions and Catalog'!$F$56,IF(((D451+E451)*C451-G451)&lt;='Assumptions and Catalog'!$C$57,((D451+E451)*C451-G451)*'Assumptions and Catalog'!$H$57+'Assumptions and Catalog'!$E$57+'Assumptions and Catalog'!$F$57,"Out of range")))))))),IF(((D451+E451)*C451-G451)&lt;='Assumptions and Catalog'!$C$60,((D451+E451)*C451-G451)*'Assumptions and Catalog'!$H$60+'Assumptions and Catalog'!$E$60+'Assumptions and Catalog'!$F$60,IF(((D451+E451)*C451-G451)&lt;='Assumptions and Catalog'!$C$61,((D451+E451)*C451-G451)*'Assumptions and Catalog'!$H$61+'Assumptions and Catalog'!$E$61+'Assumptions and Catalog'!$F$61,IF(((D451+E451)*C451-G451)&lt;='Assumptions and Catalog'!$C$62,((D451+E451)*C451-G451)*'Assumptions and Catalog'!$H$62+'Assumptions and Catalog'!$E$62+'Assumptions and Catalog'!$F$62,IF(((D451+E451)*C451-G451)&lt;='Assumptions and Catalog'!$C$63,((D451+E451)*C451-G451)*'Assumptions and Catalog'!$H$63+'Assumptions and Catalog'!$E$63+'Assumptions and Catalog'!$F$63,IF(((D451+E451)*C451-G451)&lt;='Assumptions and Catalog'!$C$64,((D451+E451)*C451-G451)*'Assumptions and Catalog'!$H$64+'Assumptions and Catalog'!$E$64+'Assumptions and Catalog'!$F$64,IF(((D451+E451)*C451-G451)&lt;='Assumptions and Catalog'!$C$65,((D451+E451)*C451-G451)*'Assumptions and Catalog'!$H$65+'Assumptions and Catalog'!$E$65+'Assumptions and Catalog'!$F$65,"Out of range")))))))))*(1+'Assumptions and Catalog'!$C$8)^(A451-1),0)</f>
        <v>7094.794</v>
      </c>
      <c r="R451" s="5" t="n">
        <f>IF(AND('Assumptions and Catalog'!$C$19&gt;0,A451&gt;='Assumptions and Catalog'!$C$19),A451-'Assumptions and Catalog'!$C$19,A451-1)</f>
        <v>3</v>
      </c>
      <c r="S451" s="5" t="n">
        <f>F451+L451-(D451+E451)*C451-J451-K451-IF(D$52&gt;0,'Assumptions and Catalog'!$C$26*C451,0)</f>
        <v>0</v>
      </c>
      <c r="T451" s="5"/>
      <c r="U451" s="5"/>
    </row>
    <row r="452" ht="23.100000381469727" customHeight="1">
      <c r="A452" s="5" t="n">
        <v>4</v>
      </c>
      <c r="B452" s="5" t="n">
        <v>6</v>
      </c>
      <c r="C452" s="5" t="n">
        <f>DAY(DATE('Assumptions and Catalog'!$C$24+A452-1,B452+1,0))</f>
        <v>30</v>
      </c>
      <c r="D452" s="5" t="n">
        <f>IF(ISNUMBER(Inputs!$L$5),Inputs!$L$5*Inputs!$L$6,0)</f>
        <v>40.35</v>
      </c>
      <c r="E452" s="5" t="n">
        <f>IF(ISNUMBER(Inputs!$L$5),Inputs!$L$5-D452,0)</f>
        <v>40.35</v>
      </c>
      <c r="F452" s="5" t="n">
        <f>D$51*'Assumptions and Catalog'!$C$31*C452*(1-'Assumptions and Catalog'!$C$10)^(A452-1)</f>
        <v>0</v>
      </c>
      <c r="G452" s="5" t="n">
        <f>MIN(F452,D452*C452)</f>
        <v>0</v>
      </c>
      <c r="H452" s="5" t="n">
        <f>I452/('Assumptions and Catalog'!$C$11*'Assumptions and Catalog'!$C$12)</f>
        <v>0</v>
      </c>
      <c r="I452" s="5" t="n">
        <f>IF(K$15="Grid cycle",MIN(K$16,D452+E452,P452*'Assumptions and Catalog'!$C$12,D$57*(24-'Assumptions and Catalog'!$C$15),D$56*'Assumptions and Catalog'!$C$15*'Assumptions and Catalog'!$C$11*'Assumptions and Catalog'!$C$12)*C452,0)</f>
        <v>0</v>
      </c>
      <c r="J452" s="5" t="n">
        <f>MAX(F452-G452-0,0)</f>
        <v>0</v>
      </c>
      <c r="K452" s="5" t="n">
        <f>H452-I452</f>
        <v>0</v>
      </c>
      <c r="L452" s="5" t="n">
        <f>(D452+E452)*C452-G452-I452+H452+IF(D$52&gt;0,'Assumptions and Catalog'!$C$26*C452,0)</f>
        <v>2421</v>
      </c>
      <c r="M452" s="5" t="n">
        <f>IF(ISNUMBER(Inputs!$L$5),(IF(Inputs!$L$9="Actual flat rate",((D452+E452)*C452)*Inputs!$L$10,IF(Inputs!$C$9="Residential",IF(((D452+E452)*C452)&lt;='Assumptions and Catalog'!$C$50,((D452+E452)*C452)*'Assumptions and Catalog'!$H$50+'Assumptions and Catalog'!$E$50+'Assumptions and Catalog'!$F$50,IF(((D452+E452)*C452)&lt;='Assumptions and Catalog'!$C$51,((D452+E452)*C452)*'Assumptions and Catalog'!$H$51+'Assumptions and Catalog'!$E$51+'Assumptions and Catalog'!$F$51,IF(((D452+E452)*C452)&lt;='Assumptions and Catalog'!$C$52,((D452+E452)*C452)*'Assumptions and Catalog'!$H$52+'Assumptions and Catalog'!$E$52+'Assumptions and Catalog'!$F$52,IF(((D452+E452)*C452)&lt;='Assumptions and Catalog'!$C$53,((D452+E452)*C452)*'Assumptions and Catalog'!$H$53+'Assumptions and Catalog'!$E$53+'Assumptions and Catalog'!$F$53,IF(((D452+E452)*C452)&lt;='Assumptions and Catalog'!$C$54,((D452+E452)*C452)*'Assumptions and Catalog'!$H$54+'Assumptions and Catalog'!$E$54+'Assumptions and Catalog'!$F$54,IF(((D452+E452)*C452)&lt;='Assumptions and Catalog'!$C$55,((D452+E452)*C452)*'Assumptions and Catalog'!$H$55+'Assumptions and Catalog'!$E$55+'Assumptions and Catalog'!$F$55,IF(((D452+E452)*C452)&lt;='Assumptions and Catalog'!$C$56,((D452+E452)*C452)*'Assumptions and Catalog'!$H$56+'Assumptions and Catalog'!$E$56+'Assumptions and Catalog'!$F$56,IF(((D452+E452)*C452)&lt;='Assumptions and Catalog'!$C$57,((D452+E452)*C452)*'Assumptions and Catalog'!$H$57+'Assumptions and Catalog'!$E$57+'Assumptions and Catalog'!$F$57,"Out of range")))))))),IF(((D452+E452)*C452)&lt;='Assumptions and Catalog'!$C$60,((D452+E452)*C452)*'Assumptions and Catalog'!$H$60+'Assumptions and Catalog'!$E$60+'Assumptions and Catalog'!$F$60,IF(((D452+E452)*C452)&lt;='Assumptions and Catalog'!$C$61,((D452+E452)*C452)*'Assumptions and Catalog'!$H$61+'Assumptions and Catalog'!$E$61+'Assumptions and Catalog'!$F$61,IF(((D452+E452)*C452)&lt;='Assumptions and Catalog'!$C$62,((D452+E452)*C452)*'Assumptions and Catalog'!$H$62+'Assumptions and Catalog'!$E$62+'Assumptions and Catalog'!$F$62,IF(((D452+E452)*C452)&lt;='Assumptions and Catalog'!$C$63,((D452+E452)*C452)*'Assumptions and Catalog'!$H$63+'Assumptions and Catalog'!$E$63+'Assumptions and Catalog'!$F$63,IF(((D452+E452)*C452)&lt;='Assumptions and Catalog'!$C$64,((D452+E452)*C452)*'Assumptions and Catalog'!$H$64+'Assumptions and Catalog'!$E$64+'Assumptions and Catalog'!$F$64,IF(((D452+E452)*C452)&lt;='Assumptions and Catalog'!$C$65,((D452+E452)*C452)*'Assumptions and Catalog'!$H$65+'Assumptions and Catalog'!$E$65+'Assumptions and Catalog'!$F$65,"Out of range")))))))))*(1+'Assumptions and Catalog'!$C$8)^(A452-1),0)</f>
        <v>6867.22</v>
      </c>
      <c r="N452" s="5" t="n">
        <f>IF(ISNUMBER(Inputs!$L$5),(IF(Inputs!$L$9="Actual flat rate",L452*Inputs!$L$10,IF(Inputs!$C$9="Residential",IF(L452&lt;='Assumptions and Catalog'!$C$50,L452*'Assumptions and Catalog'!$H$50+'Assumptions and Catalog'!$E$50+'Assumptions and Catalog'!$F$50,IF(L452&lt;='Assumptions and Catalog'!$C$51,L452*'Assumptions and Catalog'!$H$51+'Assumptions and Catalog'!$E$51+'Assumptions and Catalog'!$F$51,IF(L452&lt;='Assumptions and Catalog'!$C$52,L452*'Assumptions and Catalog'!$H$52+'Assumptions and Catalog'!$E$52+'Assumptions and Catalog'!$F$52,IF(L452&lt;='Assumptions and Catalog'!$C$53,L452*'Assumptions and Catalog'!$H$53+'Assumptions and Catalog'!$E$53+'Assumptions and Catalog'!$F$53,IF(L452&lt;='Assumptions and Catalog'!$C$54,L452*'Assumptions and Catalog'!$H$54+'Assumptions and Catalog'!$E$54+'Assumptions and Catalog'!$F$54,IF(L452&lt;='Assumptions and Catalog'!$C$55,L452*'Assumptions and Catalog'!$H$55+'Assumptions and Catalog'!$E$55+'Assumptions and Catalog'!$F$55,IF(L452&lt;='Assumptions and Catalog'!$C$56,L452*'Assumptions and Catalog'!$H$56+'Assumptions and Catalog'!$E$56+'Assumptions and Catalog'!$F$56,IF(L452&lt;='Assumptions and Catalog'!$C$57,L452*'Assumptions and Catalog'!$H$57+'Assumptions and Catalog'!$E$57+'Assumptions and Catalog'!$F$57,"Out of range")))))))),IF(L452&lt;='Assumptions and Catalog'!$C$60,L452*'Assumptions and Catalog'!$H$60+'Assumptions and Catalog'!$E$60+'Assumptions and Catalog'!$F$60,IF(L452&lt;='Assumptions and Catalog'!$C$61,L452*'Assumptions and Catalog'!$H$61+'Assumptions and Catalog'!$E$61+'Assumptions and Catalog'!$F$61,IF(L452&lt;='Assumptions and Catalog'!$C$62,L452*'Assumptions and Catalog'!$H$62+'Assumptions and Catalog'!$E$62+'Assumptions and Catalog'!$F$62,IF(L452&lt;='Assumptions and Catalog'!$C$63,L452*'Assumptions and Catalog'!$H$63+'Assumptions and Catalog'!$E$63+'Assumptions and Catalog'!$F$63,IF(L452&lt;='Assumptions and Catalog'!$C$64,L452*'Assumptions and Catalog'!$H$64+'Assumptions and Catalog'!$E$64+'Assumptions and Catalog'!$F$64,IF(L452&lt;='Assumptions and Catalog'!$C$65,L452*'Assumptions and Catalog'!$H$65+'Assumptions and Catalog'!$E$65+'Assumptions and Catalog'!$F$65,"Out of range")))))))))*(1+'Assumptions and Catalog'!$C$8)^(A452-1),0)</f>
        <v>6867.22</v>
      </c>
      <c r="O452" s="5" t="n">
        <f>M452-N452</f>
        <v>0</v>
      </c>
      <c r="P452" s="5" t="n">
        <f>D$55*(1-K$14)*(1-'Assumptions and Catalog'!$C$23)^R452</f>
        <v>0</v>
      </c>
      <c r="Q452" s="5" t="n">
        <f>IF(ISNUMBER(Inputs!$L$5),(IF(Inputs!$L$9="Actual flat rate",((D452+E452)*C452-G452)*Inputs!$L$10,IF(Inputs!$C$9="Residential",IF(((D452+E452)*C452-G452)&lt;='Assumptions and Catalog'!$C$50,((D452+E452)*C452-G452)*'Assumptions and Catalog'!$H$50+'Assumptions and Catalog'!$E$50+'Assumptions and Catalog'!$F$50,IF(((D452+E452)*C452-G452)&lt;='Assumptions and Catalog'!$C$51,((D452+E452)*C452-G452)*'Assumptions and Catalog'!$H$51+'Assumptions and Catalog'!$E$51+'Assumptions and Catalog'!$F$51,IF(((D452+E452)*C452-G452)&lt;='Assumptions and Catalog'!$C$52,((D452+E452)*C452-G452)*'Assumptions and Catalog'!$H$52+'Assumptions and Catalog'!$E$52+'Assumptions and Catalog'!$F$52,IF(((D452+E452)*C452-G452)&lt;='Assumptions and Catalog'!$C$53,((D452+E452)*C452-G452)*'Assumptions and Catalog'!$H$53+'Assumptions and Catalog'!$E$53+'Assumptions and Catalog'!$F$53,IF(((D452+E452)*C452-G452)&lt;='Assumptions and Catalog'!$C$54,((D452+E452)*C452-G452)*'Assumptions and Catalog'!$H$54+'Assumptions and Catalog'!$E$54+'Assumptions and Catalog'!$F$54,IF(((D452+E452)*C452-G452)&lt;='Assumptions and Catalog'!$C$55,((D452+E452)*C452-G452)*'Assumptions and Catalog'!$H$55+'Assumptions and Catalog'!$E$55+'Assumptions and Catalog'!$F$55,IF(((D452+E452)*C452-G452)&lt;='Assumptions and Catalog'!$C$56,((D452+E452)*C452-G452)*'Assumptions and Catalog'!$H$56+'Assumptions and Catalog'!$E$56+'Assumptions and Catalog'!$F$56,IF(((D452+E452)*C452-G452)&lt;='Assumptions and Catalog'!$C$57,((D452+E452)*C452-G452)*'Assumptions and Catalog'!$H$57+'Assumptions and Catalog'!$E$57+'Assumptions and Catalog'!$F$57,"Out of range")))))))),IF(((D452+E452)*C452-G452)&lt;='Assumptions and Catalog'!$C$60,((D452+E452)*C452-G452)*'Assumptions and Catalog'!$H$60+'Assumptions and Catalog'!$E$60+'Assumptions and Catalog'!$F$60,IF(((D452+E452)*C452-G452)&lt;='Assumptions and Catalog'!$C$61,((D452+E452)*C452-G452)*'Assumptions and Catalog'!$H$61+'Assumptions and Catalog'!$E$61+'Assumptions and Catalog'!$F$61,IF(((D452+E452)*C452-G452)&lt;='Assumptions and Catalog'!$C$62,((D452+E452)*C452-G452)*'Assumptions and Catalog'!$H$62+'Assumptions and Catalog'!$E$62+'Assumptions and Catalog'!$F$62,IF(((D452+E452)*C452-G452)&lt;='Assumptions and Catalog'!$C$63,((D452+E452)*C452-G452)*'Assumptions and Catalog'!$H$63+'Assumptions and Catalog'!$E$63+'Assumptions and Catalog'!$F$63,IF(((D452+E452)*C452-G452)&lt;='Assumptions and Catalog'!$C$64,((D452+E452)*C452-G452)*'Assumptions and Catalog'!$H$64+'Assumptions and Catalog'!$E$64+'Assumptions and Catalog'!$F$64,IF(((D452+E452)*C452-G452)&lt;='Assumptions and Catalog'!$C$65,((D452+E452)*C452-G452)*'Assumptions and Catalog'!$H$65+'Assumptions and Catalog'!$E$65+'Assumptions and Catalog'!$F$65,"Out of range")))))))))*(1+'Assumptions and Catalog'!$C$8)^(A452-1),0)</f>
        <v>6867.22</v>
      </c>
      <c r="R452" s="5" t="n">
        <f>IF(AND('Assumptions and Catalog'!$C$19&gt;0,A452&gt;='Assumptions and Catalog'!$C$19),A452-'Assumptions and Catalog'!$C$19,A452-1)</f>
        <v>3</v>
      </c>
      <c r="S452" s="5" t="n">
        <f>F452+L452-(D452+E452)*C452-J452-K452-IF(D$52&gt;0,'Assumptions and Catalog'!$C$26*C452,0)</f>
        <v>0</v>
      </c>
      <c r="T452" s="5"/>
      <c r="U452" s="5"/>
    </row>
    <row r="453" ht="23.100000381469727" customHeight="1">
      <c r="A453" s="5" t="n">
        <v>4</v>
      </c>
      <c r="B453" s="5" t="n">
        <v>7</v>
      </c>
      <c r="C453" s="5" t="n">
        <f>DAY(DATE('Assumptions and Catalog'!$C$24+A453-1,B453+1,0))</f>
        <v>31</v>
      </c>
      <c r="D453" s="5" t="n">
        <f>IF(ISNUMBER(Inputs!$L$5),Inputs!$L$5*Inputs!$L$6,0)</f>
        <v>40.35</v>
      </c>
      <c r="E453" s="5" t="n">
        <f>IF(ISNUMBER(Inputs!$L$5),Inputs!$L$5-D453,0)</f>
        <v>40.35</v>
      </c>
      <c r="F453" s="5" t="n">
        <f>D$51*'Assumptions and Catalog'!$C$31*C453*(1-'Assumptions and Catalog'!$C$10)^(A453-1)</f>
        <v>0</v>
      </c>
      <c r="G453" s="5" t="n">
        <f>MIN(F453,D453*C453)</f>
        <v>0</v>
      </c>
      <c r="H453" s="5" t="n">
        <f>I453/('Assumptions and Catalog'!$C$11*'Assumptions and Catalog'!$C$12)</f>
        <v>0</v>
      </c>
      <c r="I453" s="5" t="n">
        <f>IF(K$15="Grid cycle",MIN(K$16,D453+E453,P453*'Assumptions and Catalog'!$C$12,D$57*(24-'Assumptions and Catalog'!$C$15),D$56*'Assumptions and Catalog'!$C$15*'Assumptions and Catalog'!$C$11*'Assumptions and Catalog'!$C$12)*C453,0)</f>
        <v>0</v>
      </c>
      <c r="J453" s="5" t="n">
        <f>MAX(F453-G453-0,0)</f>
        <v>0</v>
      </c>
      <c r="K453" s="5" t="n">
        <f>H453-I453</f>
        <v>0</v>
      </c>
      <c r="L453" s="5" t="n">
        <f>(D453+E453)*C453-G453-I453+H453+IF(D$52&gt;0,'Assumptions and Catalog'!$C$26*C453,0)</f>
        <v>2501.7</v>
      </c>
      <c r="M453" s="5" t="n">
        <f>IF(ISNUMBER(Inputs!$L$5),(IF(Inputs!$L$9="Actual flat rate",((D453+E453)*C453)*Inputs!$L$10,IF(Inputs!$C$9="Residential",IF(((D453+E453)*C453)&lt;='Assumptions and Catalog'!$C$50,((D453+E453)*C453)*'Assumptions and Catalog'!$H$50+'Assumptions and Catalog'!$E$50+'Assumptions and Catalog'!$F$50,IF(((D453+E453)*C453)&lt;='Assumptions and Catalog'!$C$51,((D453+E453)*C453)*'Assumptions and Catalog'!$H$51+'Assumptions and Catalog'!$E$51+'Assumptions and Catalog'!$F$51,IF(((D453+E453)*C453)&lt;='Assumptions and Catalog'!$C$52,((D453+E453)*C453)*'Assumptions and Catalog'!$H$52+'Assumptions and Catalog'!$E$52+'Assumptions and Catalog'!$F$52,IF(((D453+E453)*C453)&lt;='Assumptions and Catalog'!$C$53,((D453+E453)*C453)*'Assumptions and Catalog'!$H$53+'Assumptions and Catalog'!$E$53+'Assumptions and Catalog'!$F$53,IF(((D453+E453)*C453)&lt;='Assumptions and Catalog'!$C$54,((D453+E453)*C453)*'Assumptions and Catalog'!$H$54+'Assumptions and Catalog'!$E$54+'Assumptions and Catalog'!$F$54,IF(((D453+E453)*C453)&lt;='Assumptions and Catalog'!$C$55,((D453+E453)*C453)*'Assumptions and Catalog'!$H$55+'Assumptions and Catalog'!$E$55+'Assumptions and Catalog'!$F$55,IF(((D453+E453)*C453)&lt;='Assumptions and Catalog'!$C$56,((D453+E453)*C453)*'Assumptions and Catalog'!$H$56+'Assumptions and Catalog'!$E$56+'Assumptions and Catalog'!$F$56,IF(((D453+E453)*C453)&lt;='Assumptions and Catalog'!$C$57,((D453+E453)*C453)*'Assumptions and Catalog'!$H$57+'Assumptions and Catalog'!$E$57+'Assumptions and Catalog'!$F$57,"Out of range")))))))),IF(((D453+E453)*C453)&lt;='Assumptions and Catalog'!$C$60,((D453+E453)*C453)*'Assumptions and Catalog'!$H$60+'Assumptions and Catalog'!$E$60+'Assumptions and Catalog'!$F$60,IF(((D453+E453)*C453)&lt;='Assumptions and Catalog'!$C$61,((D453+E453)*C453)*'Assumptions and Catalog'!$H$61+'Assumptions and Catalog'!$E$61+'Assumptions and Catalog'!$F$61,IF(((D453+E453)*C453)&lt;='Assumptions and Catalog'!$C$62,((D453+E453)*C453)*'Assumptions and Catalog'!$H$62+'Assumptions and Catalog'!$E$62+'Assumptions and Catalog'!$F$62,IF(((D453+E453)*C453)&lt;='Assumptions and Catalog'!$C$63,((D453+E453)*C453)*'Assumptions and Catalog'!$H$63+'Assumptions and Catalog'!$E$63+'Assumptions and Catalog'!$F$63,IF(((D453+E453)*C453)&lt;='Assumptions and Catalog'!$C$64,((D453+E453)*C453)*'Assumptions and Catalog'!$H$64+'Assumptions and Catalog'!$E$64+'Assumptions and Catalog'!$F$64,IF(((D453+E453)*C453)&lt;='Assumptions and Catalog'!$C$65,((D453+E453)*C453)*'Assumptions and Catalog'!$H$65+'Assumptions and Catalog'!$E$65+'Assumptions and Catalog'!$F$65,"Out of range")))))))))*(1+'Assumptions and Catalog'!$C$8)^(A453-1),0)</f>
        <v>7094.794</v>
      </c>
      <c r="N453" s="5" t="n">
        <f>IF(ISNUMBER(Inputs!$L$5),(IF(Inputs!$L$9="Actual flat rate",L453*Inputs!$L$10,IF(Inputs!$C$9="Residential",IF(L453&lt;='Assumptions and Catalog'!$C$50,L453*'Assumptions and Catalog'!$H$50+'Assumptions and Catalog'!$E$50+'Assumptions and Catalog'!$F$50,IF(L453&lt;='Assumptions and Catalog'!$C$51,L453*'Assumptions and Catalog'!$H$51+'Assumptions and Catalog'!$E$51+'Assumptions and Catalog'!$F$51,IF(L453&lt;='Assumptions and Catalog'!$C$52,L453*'Assumptions and Catalog'!$H$52+'Assumptions and Catalog'!$E$52+'Assumptions and Catalog'!$F$52,IF(L453&lt;='Assumptions and Catalog'!$C$53,L453*'Assumptions and Catalog'!$H$53+'Assumptions and Catalog'!$E$53+'Assumptions and Catalog'!$F$53,IF(L453&lt;='Assumptions and Catalog'!$C$54,L453*'Assumptions and Catalog'!$H$54+'Assumptions and Catalog'!$E$54+'Assumptions and Catalog'!$F$54,IF(L453&lt;='Assumptions and Catalog'!$C$55,L453*'Assumptions and Catalog'!$H$55+'Assumptions and Catalog'!$E$55+'Assumptions and Catalog'!$F$55,IF(L453&lt;='Assumptions and Catalog'!$C$56,L453*'Assumptions and Catalog'!$H$56+'Assumptions and Catalog'!$E$56+'Assumptions and Catalog'!$F$56,IF(L453&lt;='Assumptions and Catalog'!$C$57,L453*'Assumptions and Catalog'!$H$57+'Assumptions and Catalog'!$E$57+'Assumptions and Catalog'!$F$57,"Out of range")))))))),IF(L453&lt;='Assumptions and Catalog'!$C$60,L453*'Assumptions and Catalog'!$H$60+'Assumptions and Catalog'!$E$60+'Assumptions and Catalog'!$F$60,IF(L453&lt;='Assumptions and Catalog'!$C$61,L453*'Assumptions and Catalog'!$H$61+'Assumptions and Catalog'!$E$61+'Assumptions and Catalog'!$F$61,IF(L453&lt;='Assumptions and Catalog'!$C$62,L453*'Assumptions and Catalog'!$H$62+'Assumptions and Catalog'!$E$62+'Assumptions and Catalog'!$F$62,IF(L453&lt;='Assumptions and Catalog'!$C$63,L453*'Assumptions and Catalog'!$H$63+'Assumptions and Catalog'!$E$63+'Assumptions and Catalog'!$F$63,IF(L453&lt;='Assumptions and Catalog'!$C$64,L453*'Assumptions and Catalog'!$H$64+'Assumptions and Catalog'!$E$64+'Assumptions and Catalog'!$F$64,IF(L453&lt;='Assumptions and Catalog'!$C$65,L453*'Assumptions and Catalog'!$H$65+'Assumptions and Catalog'!$E$65+'Assumptions and Catalog'!$F$65,"Out of range")))))))))*(1+'Assumptions and Catalog'!$C$8)^(A453-1),0)</f>
        <v>7094.794</v>
      </c>
      <c r="O453" s="5" t="n">
        <f>M453-N453</f>
        <v>0</v>
      </c>
      <c r="P453" s="5" t="n">
        <f>D$55*(1-K$14)*(1-'Assumptions and Catalog'!$C$23)^R453</f>
        <v>0</v>
      </c>
      <c r="Q453" s="5" t="n">
        <f>IF(ISNUMBER(Inputs!$L$5),(IF(Inputs!$L$9="Actual flat rate",((D453+E453)*C453-G453)*Inputs!$L$10,IF(Inputs!$C$9="Residential",IF(((D453+E453)*C453-G453)&lt;='Assumptions and Catalog'!$C$50,((D453+E453)*C453-G453)*'Assumptions and Catalog'!$H$50+'Assumptions and Catalog'!$E$50+'Assumptions and Catalog'!$F$50,IF(((D453+E453)*C453-G453)&lt;='Assumptions and Catalog'!$C$51,((D453+E453)*C453-G453)*'Assumptions and Catalog'!$H$51+'Assumptions and Catalog'!$E$51+'Assumptions and Catalog'!$F$51,IF(((D453+E453)*C453-G453)&lt;='Assumptions and Catalog'!$C$52,((D453+E453)*C453-G453)*'Assumptions and Catalog'!$H$52+'Assumptions and Catalog'!$E$52+'Assumptions and Catalog'!$F$52,IF(((D453+E453)*C453-G453)&lt;='Assumptions and Catalog'!$C$53,((D453+E453)*C453-G453)*'Assumptions and Catalog'!$H$53+'Assumptions and Catalog'!$E$53+'Assumptions and Catalog'!$F$53,IF(((D453+E453)*C453-G453)&lt;='Assumptions and Catalog'!$C$54,((D453+E453)*C453-G453)*'Assumptions and Catalog'!$H$54+'Assumptions and Catalog'!$E$54+'Assumptions and Catalog'!$F$54,IF(((D453+E453)*C453-G453)&lt;='Assumptions and Catalog'!$C$55,((D453+E453)*C453-G453)*'Assumptions and Catalog'!$H$55+'Assumptions and Catalog'!$E$55+'Assumptions and Catalog'!$F$55,IF(((D453+E453)*C453-G453)&lt;='Assumptions and Catalog'!$C$56,((D453+E453)*C453-G453)*'Assumptions and Catalog'!$H$56+'Assumptions and Catalog'!$E$56+'Assumptions and Catalog'!$F$56,IF(((D453+E453)*C453-G453)&lt;='Assumptions and Catalog'!$C$57,((D453+E453)*C453-G453)*'Assumptions and Catalog'!$H$57+'Assumptions and Catalog'!$E$57+'Assumptions and Catalog'!$F$57,"Out of range")))))))),IF(((D453+E453)*C453-G453)&lt;='Assumptions and Catalog'!$C$60,((D453+E453)*C453-G453)*'Assumptions and Catalog'!$H$60+'Assumptions and Catalog'!$E$60+'Assumptions and Catalog'!$F$60,IF(((D453+E453)*C453-G453)&lt;='Assumptions and Catalog'!$C$61,((D453+E453)*C453-G453)*'Assumptions and Catalog'!$H$61+'Assumptions and Catalog'!$E$61+'Assumptions and Catalog'!$F$61,IF(((D453+E453)*C453-G453)&lt;='Assumptions and Catalog'!$C$62,((D453+E453)*C453-G453)*'Assumptions and Catalog'!$H$62+'Assumptions and Catalog'!$E$62+'Assumptions and Catalog'!$F$62,IF(((D453+E453)*C453-G453)&lt;='Assumptions and Catalog'!$C$63,((D453+E453)*C453-G453)*'Assumptions and Catalog'!$H$63+'Assumptions and Catalog'!$E$63+'Assumptions and Catalog'!$F$63,IF(((D453+E453)*C453-G453)&lt;='Assumptions and Catalog'!$C$64,((D453+E453)*C453-G453)*'Assumptions and Catalog'!$H$64+'Assumptions and Catalog'!$E$64+'Assumptions and Catalog'!$F$64,IF(((D453+E453)*C453-G453)&lt;='Assumptions and Catalog'!$C$65,((D453+E453)*C453-G453)*'Assumptions and Catalog'!$H$65+'Assumptions and Catalog'!$E$65+'Assumptions and Catalog'!$F$65,"Out of range")))))))))*(1+'Assumptions and Catalog'!$C$8)^(A453-1),0)</f>
        <v>7094.794</v>
      </c>
      <c r="R453" s="5" t="n">
        <f>IF(AND('Assumptions and Catalog'!$C$19&gt;0,A453&gt;='Assumptions and Catalog'!$C$19),A453-'Assumptions and Catalog'!$C$19,A453-1)</f>
        <v>3</v>
      </c>
      <c r="S453" s="5" t="n">
        <f>F453+L453-(D453+E453)*C453-J453-K453-IF(D$52&gt;0,'Assumptions and Catalog'!$C$26*C453,0)</f>
        <v>0</v>
      </c>
      <c r="T453" s="5"/>
      <c r="U453" s="5"/>
    </row>
    <row r="454" ht="23.100000381469727" customHeight="1">
      <c r="A454" s="5" t="n">
        <v>4</v>
      </c>
      <c r="B454" s="5" t="n">
        <v>8</v>
      </c>
      <c r="C454" s="5" t="n">
        <f>DAY(DATE('Assumptions and Catalog'!$C$24+A454-1,B454+1,0))</f>
        <v>31</v>
      </c>
      <c r="D454" s="5" t="n">
        <f>IF(ISNUMBER(Inputs!$L$5),Inputs!$L$5*Inputs!$L$6,0)</f>
        <v>40.35</v>
      </c>
      <c r="E454" s="5" t="n">
        <f>IF(ISNUMBER(Inputs!$L$5),Inputs!$L$5-D454,0)</f>
        <v>40.35</v>
      </c>
      <c r="F454" s="5" t="n">
        <f>D$51*'Assumptions and Catalog'!$C$31*C454*(1-'Assumptions and Catalog'!$C$10)^(A454-1)</f>
        <v>0</v>
      </c>
      <c r="G454" s="5" t="n">
        <f>MIN(F454,D454*C454)</f>
        <v>0</v>
      </c>
      <c r="H454" s="5" t="n">
        <f>I454/('Assumptions and Catalog'!$C$11*'Assumptions and Catalog'!$C$12)</f>
        <v>0</v>
      </c>
      <c r="I454" s="5" t="n">
        <f>IF(K$15="Grid cycle",MIN(K$16,D454+E454,P454*'Assumptions and Catalog'!$C$12,D$57*(24-'Assumptions and Catalog'!$C$15),D$56*'Assumptions and Catalog'!$C$15*'Assumptions and Catalog'!$C$11*'Assumptions and Catalog'!$C$12)*C454,0)</f>
        <v>0</v>
      </c>
      <c r="J454" s="5" t="n">
        <f>MAX(F454-G454-0,0)</f>
        <v>0</v>
      </c>
      <c r="K454" s="5" t="n">
        <f>H454-I454</f>
        <v>0</v>
      </c>
      <c r="L454" s="5" t="n">
        <f>(D454+E454)*C454-G454-I454+H454+IF(D$52&gt;0,'Assumptions and Catalog'!$C$26*C454,0)</f>
        <v>2501.7</v>
      </c>
      <c r="M454" s="5" t="n">
        <f>IF(ISNUMBER(Inputs!$L$5),(IF(Inputs!$L$9="Actual flat rate",((D454+E454)*C454)*Inputs!$L$10,IF(Inputs!$C$9="Residential",IF(((D454+E454)*C454)&lt;='Assumptions and Catalog'!$C$50,((D454+E454)*C454)*'Assumptions and Catalog'!$H$50+'Assumptions and Catalog'!$E$50+'Assumptions and Catalog'!$F$50,IF(((D454+E454)*C454)&lt;='Assumptions and Catalog'!$C$51,((D454+E454)*C454)*'Assumptions and Catalog'!$H$51+'Assumptions and Catalog'!$E$51+'Assumptions and Catalog'!$F$51,IF(((D454+E454)*C454)&lt;='Assumptions and Catalog'!$C$52,((D454+E454)*C454)*'Assumptions and Catalog'!$H$52+'Assumptions and Catalog'!$E$52+'Assumptions and Catalog'!$F$52,IF(((D454+E454)*C454)&lt;='Assumptions and Catalog'!$C$53,((D454+E454)*C454)*'Assumptions and Catalog'!$H$53+'Assumptions and Catalog'!$E$53+'Assumptions and Catalog'!$F$53,IF(((D454+E454)*C454)&lt;='Assumptions and Catalog'!$C$54,((D454+E454)*C454)*'Assumptions and Catalog'!$H$54+'Assumptions and Catalog'!$E$54+'Assumptions and Catalog'!$F$54,IF(((D454+E454)*C454)&lt;='Assumptions and Catalog'!$C$55,((D454+E454)*C454)*'Assumptions and Catalog'!$H$55+'Assumptions and Catalog'!$E$55+'Assumptions and Catalog'!$F$55,IF(((D454+E454)*C454)&lt;='Assumptions and Catalog'!$C$56,((D454+E454)*C454)*'Assumptions and Catalog'!$H$56+'Assumptions and Catalog'!$E$56+'Assumptions and Catalog'!$F$56,IF(((D454+E454)*C454)&lt;='Assumptions and Catalog'!$C$57,((D454+E454)*C454)*'Assumptions and Catalog'!$H$57+'Assumptions and Catalog'!$E$57+'Assumptions and Catalog'!$F$57,"Out of range")))))))),IF(((D454+E454)*C454)&lt;='Assumptions and Catalog'!$C$60,((D454+E454)*C454)*'Assumptions and Catalog'!$H$60+'Assumptions and Catalog'!$E$60+'Assumptions and Catalog'!$F$60,IF(((D454+E454)*C454)&lt;='Assumptions and Catalog'!$C$61,((D454+E454)*C454)*'Assumptions and Catalog'!$H$61+'Assumptions and Catalog'!$E$61+'Assumptions and Catalog'!$F$61,IF(((D454+E454)*C454)&lt;='Assumptions and Catalog'!$C$62,((D454+E454)*C454)*'Assumptions and Catalog'!$H$62+'Assumptions and Catalog'!$E$62+'Assumptions and Catalog'!$F$62,IF(((D454+E454)*C454)&lt;='Assumptions and Catalog'!$C$63,((D454+E454)*C454)*'Assumptions and Catalog'!$H$63+'Assumptions and Catalog'!$E$63+'Assumptions and Catalog'!$F$63,IF(((D454+E454)*C454)&lt;='Assumptions and Catalog'!$C$64,((D454+E454)*C454)*'Assumptions and Catalog'!$H$64+'Assumptions and Catalog'!$E$64+'Assumptions and Catalog'!$F$64,IF(((D454+E454)*C454)&lt;='Assumptions and Catalog'!$C$65,((D454+E454)*C454)*'Assumptions and Catalog'!$H$65+'Assumptions and Catalog'!$E$65+'Assumptions and Catalog'!$F$65,"Out of range")))))))))*(1+'Assumptions and Catalog'!$C$8)^(A454-1),0)</f>
        <v>7094.794</v>
      </c>
      <c r="N454" s="5" t="n">
        <f>IF(ISNUMBER(Inputs!$L$5),(IF(Inputs!$L$9="Actual flat rate",L454*Inputs!$L$10,IF(Inputs!$C$9="Residential",IF(L454&lt;='Assumptions and Catalog'!$C$50,L454*'Assumptions and Catalog'!$H$50+'Assumptions and Catalog'!$E$50+'Assumptions and Catalog'!$F$50,IF(L454&lt;='Assumptions and Catalog'!$C$51,L454*'Assumptions and Catalog'!$H$51+'Assumptions and Catalog'!$E$51+'Assumptions and Catalog'!$F$51,IF(L454&lt;='Assumptions and Catalog'!$C$52,L454*'Assumptions and Catalog'!$H$52+'Assumptions and Catalog'!$E$52+'Assumptions and Catalog'!$F$52,IF(L454&lt;='Assumptions and Catalog'!$C$53,L454*'Assumptions and Catalog'!$H$53+'Assumptions and Catalog'!$E$53+'Assumptions and Catalog'!$F$53,IF(L454&lt;='Assumptions and Catalog'!$C$54,L454*'Assumptions and Catalog'!$H$54+'Assumptions and Catalog'!$E$54+'Assumptions and Catalog'!$F$54,IF(L454&lt;='Assumptions and Catalog'!$C$55,L454*'Assumptions and Catalog'!$H$55+'Assumptions and Catalog'!$E$55+'Assumptions and Catalog'!$F$55,IF(L454&lt;='Assumptions and Catalog'!$C$56,L454*'Assumptions and Catalog'!$H$56+'Assumptions and Catalog'!$E$56+'Assumptions and Catalog'!$F$56,IF(L454&lt;='Assumptions and Catalog'!$C$57,L454*'Assumptions and Catalog'!$H$57+'Assumptions and Catalog'!$E$57+'Assumptions and Catalog'!$F$57,"Out of range")))))))),IF(L454&lt;='Assumptions and Catalog'!$C$60,L454*'Assumptions and Catalog'!$H$60+'Assumptions and Catalog'!$E$60+'Assumptions and Catalog'!$F$60,IF(L454&lt;='Assumptions and Catalog'!$C$61,L454*'Assumptions and Catalog'!$H$61+'Assumptions and Catalog'!$E$61+'Assumptions and Catalog'!$F$61,IF(L454&lt;='Assumptions and Catalog'!$C$62,L454*'Assumptions and Catalog'!$H$62+'Assumptions and Catalog'!$E$62+'Assumptions and Catalog'!$F$62,IF(L454&lt;='Assumptions and Catalog'!$C$63,L454*'Assumptions and Catalog'!$H$63+'Assumptions and Catalog'!$E$63+'Assumptions and Catalog'!$F$63,IF(L454&lt;='Assumptions and Catalog'!$C$64,L454*'Assumptions and Catalog'!$H$64+'Assumptions and Catalog'!$E$64+'Assumptions and Catalog'!$F$64,IF(L454&lt;='Assumptions and Catalog'!$C$65,L454*'Assumptions and Catalog'!$H$65+'Assumptions and Catalog'!$E$65+'Assumptions and Catalog'!$F$65,"Out of range")))))))))*(1+'Assumptions and Catalog'!$C$8)^(A454-1),0)</f>
        <v>7094.794</v>
      </c>
      <c r="O454" s="5" t="n">
        <f>M454-N454</f>
        <v>0</v>
      </c>
      <c r="P454" s="5" t="n">
        <f>D$55*(1-K$14)*(1-'Assumptions and Catalog'!$C$23)^R454</f>
        <v>0</v>
      </c>
      <c r="Q454" s="5" t="n">
        <f>IF(ISNUMBER(Inputs!$L$5),(IF(Inputs!$L$9="Actual flat rate",((D454+E454)*C454-G454)*Inputs!$L$10,IF(Inputs!$C$9="Residential",IF(((D454+E454)*C454-G454)&lt;='Assumptions and Catalog'!$C$50,((D454+E454)*C454-G454)*'Assumptions and Catalog'!$H$50+'Assumptions and Catalog'!$E$50+'Assumptions and Catalog'!$F$50,IF(((D454+E454)*C454-G454)&lt;='Assumptions and Catalog'!$C$51,((D454+E454)*C454-G454)*'Assumptions and Catalog'!$H$51+'Assumptions and Catalog'!$E$51+'Assumptions and Catalog'!$F$51,IF(((D454+E454)*C454-G454)&lt;='Assumptions and Catalog'!$C$52,((D454+E454)*C454-G454)*'Assumptions and Catalog'!$H$52+'Assumptions and Catalog'!$E$52+'Assumptions and Catalog'!$F$52,IF(((D454+E454)*C454-G454)&lt;='Assumptions and Catalog'!$C$53,((D454+E454)*C454-G454)*'Assumptions and Catalog'!$H$53+'Assumptions and Catalog'!$E$53+'Assumptions and Catalog'!$F$53,IF(((D454+E454)*C454-G454)&lt;='Assumptions and Catalog'!$C$54,((D454+E454)*C454-G454)*'Assumptions and Catalog'!$H$54+'Assumptions and Catalog'!$E$54+'Assumptions and Catalog'!$F$54,IF(((D454+E454)*C454-G454)&lt;='Assumptions and Catalog'!$C$55,((D454+E454)*C454-G454)*'Assumptions and Catalog'!$H$55+'Assumptions and Catalog'!$E$55+'Assumptions and Catalog'!$F$55,IF(((D454+E454)*C454-G454)&lt;='Assumptions and Catalog'!$C$56,((D454+E454)*C454-G454)*'Assumptions and Catalog'!$H$56+'Assumptions and Catalog'!$E$56+'Assumptions and Catalog'!$F$56,IF(((D454+E454)*C454-G454)&lt;='Assumptions and Catalog'!$C$57,((D454+E454)*C454-G454)*'Assumptions and Catalog'!$H$57+'Assumptions and Catalog'!$E$57+'Assumptions and Catalog'!$F$57,"Out of range")))))))),IF(((D454+E454)*C454-G454)&lt;='Assumptions and Catalog'!$C$60,((D454+E454)*C454-G454)*'Assumptions and Catalog'!$H$60+'Assumptions and Catalog'!$E$60+'Assumptions and Catalog'!$F$60,IF(((D454+E454)*C454-G454)&lt;='Assumptions and Catalog'!$C$61,((D454+E454)*C454-G454)*'Assumptions and Catalog'!$H$61+'Assumptions and Catalog'!$E$61+'Assumptions and Catalog'!$F$61,IF(((D454+E454)*C454-G454)&lt;='Assumptions and Catalog'!$C$62,((D454+E454)*C454-G454)*'Assumptions and Catalog'!$H$62+'Assumptions and Catalog'!$E$62+'Assumptions and Catalog'!$F$62,IF(((D454+E454)*C454-G454)&lt;='Assumptions and Catalog'!$C$63,((D454+E454)*C454-G454)*'Assumptions and Catalog'!$H$63+'Assumptions and Catalog'!$E$63+'Assumptions and Catalog'!$F$63,IF(((D454+E454)*C454-G454)&lt;='Assumptions and Catalog'!$C$64,((D454+E454)*C454-G454)*'Assumptions and Catalog'!$H$64+'Assumptions and Catalog'!$E$64+'Assumptions and Catalog'!$F$64,IF(((D454+E454)*C454-G454)&lt;='Assumptions and Catalog'!$C$65,((D454+E454)*C454-G454)*'Assumptions and Catalog'!$H$65+'Assumptions and Catalog'!$E$65+'Assumptions and Catalog'!$F$65,"Out of range")))))))))*(1+'Assumptions and Catalog'!$C$8)^(A454-1),0)</f>
        <v>7094.794</v>
      </c>
      <c r="R454" s="5" t="n">
        <f>IF(AND('Assumptions and Catalog'!$C$19&gt;0,A454&gt;='Assumptions and Catalog'!$C$19),A454-'Assumptions and Catalog'!$C$19,A454-1)</f>
        <v>3</v>
      </c>
      <c r="S454" s="5" t="n">
        <f>F454+L454-(D454+E454)*C454-J454-K454-IF(D$52&gt;0,'Assumptions and Catalog'!$C$26*C454,0)</f>
        <v>0</v>
      </c>
      <c r="T454" s="5"/>
      <c r="U454" s="5"/>
    </row>
    <row r="455" ht="23.100000381469727" customHeight="1">
      <c r="A455" s="5" t="n">
        <v>4</v>
      </c>
      <c r="B455" s="5" t="n">
        <v>9</v>
      </c>
      <c r="C455" s="5" t="n">
        <f>DAY(DATE('Assumptions and Catalog'!$C$24+A455-1,B455+1,0))</f>
        <v>30</v>
      </c>
      <c r="D455" s="5" t="n">
        <f>IF(ISNUMBER(Inputs!$L$5),Inputs!$L$5*Inputs!$L$6,0)</f>
        <v>40.35</v>
      </c>
      <c r="E455" s="5" t="n">
        <f>IF(ISNUMBER(Inputs!$L$5),Inputs!$L$5-D455,0)</f>
        <v>40.35</v>
      </c>
      <c r="F455" s="5" t="n">
        <f>D$51*'Assumptions and Catalog'!$C$31*C455*(1-'Assumptions and Catalog'!$C$10)^(A455-1)</f>
        <v>0</v>
      </c>
      <c r="G455" s="5" t="n">
        <f>MIN(F455,D455*C455)</f>
        <v>0</v>
      </c>
      <c r="H455" s="5" t="n">
        <f>I455/('Assumptions and Catalog'!$C$11*'Assumptions and Catalog'!$C$12)</f>
        <v>0</v>
      </c>
      <c r="I455" s="5" t="n">
        <f>IF(K$15="Grid cycle",MIN(K$16,D455+E455,P455*'Assumptions and Catalog'!$C$12,D$57*(24-'Assumptions and Catalog'!$C$15),D$56*'Assumptions and Catalog'!$C$15*'Assumptions and Catalog'!$C$11*'Assumptions and Catalog'!$C$12)*C455,0)</f>
        <v>0</v>
      </c>
      <c r="J455" s="5" t="n">
        <f>MAX(F455-G455-0,0)</f>
        <v>0</v>
      </c>
      <c r="K455" s="5" t="n">
        <f>H455-I455</f>
        <v>0</v>
      </c>
      <c r="L455" s="5" t="n">
        <f>(D455+E455)*C455-G455-I455+H455+IF(D$52&gt;0,'Assumptions and Catalog'!$C$26*C455,0)</f>
        <v>2421</v>
      </c>
      <c r="M455" s="5" t="n">
        <f>IF(ISNUMBER(Inputs!$L$5),(IF(Inputs!$L$9="Actual flat rate",((D455+E455)*C455)*Inputs!$L$10,IF(Inputs!$C$9="Residential",IF(((D455+E455)*C455)&lt;='Assumptions and Catalog'!$C$50,((D455+E455)*C455)*'Assumptions and Catalog'!$H$50+'Assumptions and Catalog'!$E$50+'Assumptions and Catalog'!$F$50,IF(((D455+E455)*C455)&lt;='Assumptions and Catalog'!$C$51,((D455+E455)*C455)*'Assumptions and Catalog'!$H$51+'Assumptions and Catalog'!$E$51+'Assumptions and Catalog'!$F$51,IF(((D455+E455)*C455)&lt;='Assumptions and Catalog'!$C$52,((D455+E455)*C455)*'Assumptions and Catalog'!$H$52+'Assumptions and Catalog'!$E$52+'Assumptions and Catalog'!$F$52,IF(((D455+E455)*C455)&lt;='Assumptions and Catalog'!$C$53,((D455+E455)*C455)*'Assumptions and Catalog'!$H$53+'Assumptions and Catalog'!$E$53+'Assumptions and Catalog'!$F$53,IF(((D455+E455)*C455)&lt;='Assumptions and Catalog'!$C$54,((D455+E455)*C455)*'Assumptions and Catalog'!$H$54+'Assumptions and Catalog'!$E$54+'Assumptions and Catalog'!$F$54,IF(((D455+E455)*C455)&lt;='Assumptions and Catalog'!$C$55,((D455+E455)*C455)*'Assumptions and Catalog'!$H$55+'Assumptions and Catalog'!$E$55+'Assumptions and Catalog'!$F$55,IF(((D455+E455)*C455)&lt;='Assumptions and Catalog'!$C$56,((D455+E455)*C455)*'Assumptions and Catalog'!$H$56+'Assumptions and Catalog'!$E$56+'Assumptions and Catalog'!$F$56,IF(((D455+E455)*C455)&lt;='Assumptions and Catalog'!$C$57,((D455+E455)*C455)*'Assumptions and Catalog'!$H$57+'Assumptions and Catalog'!$E$57+'Assumptions and Catalog'!$F$57,"Out of range")))))))),IF(((D455+E455)*C455)&lt;='Assumptions and Catalog'!$C$60,((D455+E455)*C455)*'Assumptions and Catalog'!$H$60+'Assumptions and Catalog'!$E$60+'Assumptions and Catalog'!$F$60,IF(((D455+E455)*C455)&lt;='Assumptions and Catalog'!$C$61,((D455+E455)*C455)*'Assumptions and Catalog'!$H$61+'Assumptions and Catalog'!$E$61+'Assumptions and Catalog'!$F$61,IF(((D455+E455)*C455)&lt;='Assumptions and Catalog'!$C$62,((D455+E455)*C455)*'Assumptions and Catalog'!$H$62+'Assumptions and Catalog'!$E$62+'Assumptions and Catalog'!$F$62,IF(((D455+E455)*C455)&lt;='Assumptions and Catalog'!$C$63,((D455+E455)*C455)*'Assumptions and Catalog'!$H$63+'Assumptions and Catalog'!$E$63+'Assumptions and Catalog'!$F$63,IF(((D455+E455)*C455)&lt;='Assumptions and Catalog'!$C$64,((D455+E455)*C455)*'Assumptions and Catalog'!$H$64+'Assumptions and Catalog'!$E$64+'Assumptions and Catalog'!$F$64,IF(((D455+E455)*C455)&lt;='Assumptions and Catalog'!$C$65,((D455+E455)*C455)*'Assumptions and Catalog'!$H$65+'Assumptions and Catalog'!$E$65+'Assumptions and Catalog'!$F$65,"Out of range")))))))))*(1+'Assumptions and Catalog'!$C$8)^(A455-1),0)</f>
        <v>6867.22</v>
      </c>
      <c r="N455" s="5" t="n">
        <f>IF(ISNUMBER(Inputs!$L$5),(IF(Inputs!$L$9="Actual flat rate",L455*Inputs!$L$10,IF(Inputs!$C$9="Residential",IF(L455&lt;='Assumptions and Catalog'!$C$50,L455*'Assumptions and Catalog'!$H$50+'Assumptions and Catalog'!$E$50+'Assumptions and Catalog'!$F$50,IF(L455&lt;='Assumptions and Catalog'!$C$51,L455*'Assumptions and Catalog'!$H$51+'Assumptions and Catalog'!$E$51+'Assumptions and Catalog'!$F$51,IF(L455&lt;='Assumptions and Catalog'!$C$52,L455*'Assumptions and Catalog'!$H$52+'Assumptions and Catalog'!$E$52+'Assumptions and Catalog'!$F$52,IF(L455&lt;='Assumptions and Catalog'!$C$53,L455*'Assumptions and Catalog'!$H$53+'Assumptions and Catalog'!$E$53+'Assumptions and Catalog'!$F$53,IF(L455&lt;='Assumptions and Catalog'!$C$54,L455*'Assumptions and Catalog'!$H$54+'Assumptions and Catalog'!$E$54+'Assumptions and Catalog'!$F$54,IF(L455&lt;='Assumptions and Catalog'!$C$55,L455*'Assumptions and Catalog'!$H$55+'Assumptions and Catalog'!$E$55+'Assumptions and Catalog'!$F$55,IF(L455&lt;='Assumptions and Catalog'!$C$56,L455*'Assumptions and Catalog'!$H$56+'Assumptions and Catalog'!$E$56+'Assumptions and Catalog'!$F$56,IF(L455&lt;='Assumptions and Catalog'!$C$57,L455*'Assumptions and Catalog'!$H$57+'Assumptions and Catalog'!$E$57+'Assumptions and Catalog'!$F$57,"Out of range")))))))),IF(L455&lt;='Assumptions and Catalog'!$C$60,L455*'Assumptions and Catalog'!$H$60+'Assumptions and Catalog'!$E$60+'Assumptions and Catalog'!$F$60,IF(L455&lt;='Assumptions and Catalog'!$C$61,L455*'Assumptions and Catalog'!$H$61+'Assumptions and Catalog'!$E$61+'Assumptions and Catalog'!$F$61,IF(L455&lt;='Assumptions and Catalog'!$C$62,L455*'Assumptions and Catalog'!$H$62+'Assumptions and Catalog'!$E$62+'Assumptions and Catalog'!$F$62,IF(L455&lt;='Assumptions and Catalog'!$C$63,L455*'Assumptions and Catalog'!$H$63+'Assumptions and Catalog'!$E$63+'Assumptions and Catalog'!$F$63,IF(L455&lt;='Assumptions and Catalog'!$C$64,L455*'Assumptions and Catalog'!$H$64+'Assumptions and Catalog'!$E$64+'Assumptions and Catalog'!$F$64,IF(L455&lt;='Assumptions and Catalog'!$C$65,L455*'Assumptions and Catalog'!$H$65+'Assumptions and Catalog'!$E$65+'Assumptions and Catalog'!$F$65,"Out of range")))))))))*(1+'Assumptions and Catalog'!$C$8)^(A455-1),0)</f>
        <v>6867.22</v>
      </c>
      <c r="O455" s="5" t="n">
        <f>M455-N455</f>
        <v>0</v>
      </c>
      <c r="P455" s="5" t="n">
        <f>D$55*(1-K$14)*(1-'Assumptions and Catalog'!$C$23)^R455</f>
        <v>0</v>
      </c>
      <c r="Q455" s="5" t="n">
        <f>IF(ISNUMBER(Inputs!$L$5),(IF(Inputs!$L$9="Actual flat rate",((D455+E455)*C455-G455)*Inputs!$L$10,IF(Inputs!$C$9="Residential",IF(((D455+E455)*C455-G455)&lt;='Assumptions and Catalog'!$C$50,((D455+E455)*C455-G455)*'Assumptions and Catalog'!$H$50+'Assumptions and Catalog'!$E$50+'Assumptions and Catalog'!$F$50,IF(((D455+E455)*C455-G455)&lt;='Assumptions and Catalog'!$C$51,((D455+E455)*C455-G455)*'Assumptions and Catalog'!$H$51+'Assumptions and Catalog'!$E$51+'Assumptions and Catalog'!$F$51,IF(((D455+E455)*C455-G455)&lt;='Assumptions and Catalog'!$C$52,((D455+E455)*C455-G455)*'Assumptions and Catalog'!$H$52+'Assumptions and Catalog'!$E$52+'Assumptions and Catalog'!$F$52,IF(((D455+E455)*C455-G455)&lt;='Assumptions and Catalog'!$C$53,((D455+E455)*C455-G455)*'Assumptions and Catalog'!$H$53+'Assumptions and Catalog'!$E$53+'Assumptions and Catalog'!$F$53,IF(((D455+E455)*C455-G455)&lt;='Assumptions and Catalog'!$C$54,((D455+E455)*C455-G455)*'Assumptions and Catalog'!$H$54+'Assumptions and Catalog'!$E$54+'Assumptions and Catalog'!$F$54,IF(((D455+E455)*C455-G455)&lt;='Assumptions and Catalog'!$C$55,((D455+E455)*C455-G455)*'Assumptions and Catalog'!$H$55+'Assumptions and Catalog'!$E$55+'Assumptions and Catalog'!$F$55,IF(((D455+E455)*C455-G455)&lt;='Assumptions and Catalog'!$C$56,((D455+E455)*C455-G455)*'Assumptions and Catalog'!$H$56+'Assumptions and Catalog'!$E$56+'Assumptions and Catalog'!$F$56,IF(((D455+E455)*C455-G455)&lt;='Assumptions and Catalog'!$C$57,((D455+E455)*C455-G455)*'Assumptions and Catalog'!$H$57+'Assumptions and Catalog'!$E$57+'Assumptions and Catalog'!$F$57,"Out of range")))))))),IF(((D455+E455)*C455-G455)&lt;='Assumptions and Catalog'!$C$60,((D455+E455)*C455-G455)*'Assumptions and Catalog'!$H$60+'Assumptions and Catalog'!$E$60+'Assumptions and Catalog'!$F$60,IF(((D455+E455)*C455-G455)&lt;='Assumptions and Catalog'!$C$61,((D455+E455)*C455-G455)*'Assumptions and Catalog'!$H$61+'Assumptions and Catalog'!$E$61+'Assumptions and Catalog'!$F$61,IF(((D455+E455)*C455-G455)&lt;='Assumptions and Catalog'!$C$62,((D455+E455)*C455-G455)*'Assumptions and Catalog'!$H$62+'Assumptions and Catalog'!$E$62+'Assumptions and Catalog'!$F$62,IF(((D455+E455)*C455-G455)&lt;='Assumptions and Catalog'!$C$63,((D455+E455)*C455-G455)*'Assumptions and Catalog'!$H$63+'Assumptions and Catalog'!$E$63+'Assumptions and Catalog'!$F$63,IF(((D455+E455)*C455-G455)&lt;='Assumptions and Catalog'!$C$64,((D455+E455)*C455-G455)*'Assumptions and Catalog'!$H$64+'Assumptions and Catalog'!$E$64+'Assumptions and Catalog'!$F$64,IF(((D455+E455)*C455-G455)&lt;='Assumptions and Catalog'!$C$65,((D455+E455)*C455-G455)*'Assumptions and Catalog'!$H$65+'Assumptions and Catalog'!$E$65+'Assumptions and Catalog'!$F$65,"Out of range")))))))))*(1+'Assumptions and Catalog'!$C$8)^(A455-1),0)</f>
        <v>6867.22</v>
      </c>
      <c r="R455" s="5" t="n">
        <f>IF(AND('Assumptions and Catalog'!$C$19&gt;0,A455&gt;='Assumptions and Catalog'!$C$19),A455-'Assumptions and Catalog'!$C$19,A455-1)</f>
        <v>3</v>
      </c>
      <c r="S455" s="5" t="n">
        <f>F455+L455-(D455+E455)*C455-J455-K455-IF(D$52&gt;0,'Assumptions and Catalog'!$C$26*C455,0)</f>
        <v>0</v>
      </c>
      <c r="T455" s="5"/>
      <c r="U455" s="5"/>
    </row>
    <row r="456" ht="23.100000381469727" customHeight="1">
      <c r="A456" s="5" t="n">
        <v>4</v>
      </c>
      <c r="B456" s="5" t="n">
        <v>10</v>
      </c>
      <c r="C456" s="5" t="n">
        <f>DAY(DATE('Assumptions and Catalog'!$C$24+A456-1,B456+1,0))</f>
        <v>31</v>
      </c>
      <c r="D456" s="5" t="n">
        <f>IF(ISNUMBER(Inputs!$L$5),Inputs!$L$5*Inputs!$L$6,0)</f>
        <v>40.35</v>
      </c>
      <c r="E456" s="5" t="n">
        <f>IF(ISNUMBER(Inputs!$L$5),Inputs!$L$5-D456,0)</f>
        <v>40.35</v>
      </c>
      <c r="F456" s="5" t="n">
        <f>D$51*'Assumptions and Catalog'!$C$31*C456*(1-'Assumptions and Catalog'!$C$10)^(A456-1)</f>
        <v>0</v>
      </c>
      <c r="G456" s="5" t="n">
        <f>MIN(F456,D456*C456)</f>
        <v>0</v>
      </c>
      <c r="H456" s="5" t="n">
        <f>I456/('Assumptions and Catalog'!$C$11*'Assumptions and Catalog'!$C$12)</f>
        <v>0</v>
      </c>
      <c r="I456" s="5" t="n">
        <f>IF(K$15="Grid cycle",MIN(K$16,D456+E456,P456*'Assumptions and Catalog'!$C$12,D$57*(24-'Assumptions and Catalog'!$C$15),D$56*'Assumptions and Catalog'!$C$15*'Assumptions and Catalog'!$C$11*'Assumptions and Catalog'!$C$12)*C456,0)</f>
        <v>0</v>
      </c>
      <c r="J456" s="5" t="n">
        <f>MAX(F456-G456-0,0)</f>
        <v>0</v>
      </c>
      <c r="K456" s="5" t="n">
        <f>H456-I456</f>
        <v>0</v>
      </c>
      <c r="L456" s="5" t="n">
        <f>(D456+E456)*C456-G456-I456+H456+IF(D$52&gt;0,'Assumptions and Catalog'!$C$26*C456,0)</f>
        <v>2501.7</v>
      </c>
      <c r="M456" s="5" t="n">
        <f>IF(ISNUMBER(Inputs!$L$5),(IF(Inputs!$L$9="Actual flat rate",((D456+E456)*C456)*Inputs!$L$10,IF(Inputs!$C$9="Residential",IF(((D456+E456)*C456)&lt;='Assumptions and Catalog'!$C$50,((D456+E456)*C456)*'Assumptions and Catalog'!$H$50+'Assumptions and Catalog'!$E$50+'Assumptions and Catalog'!$F$50,IF(((D456+E456)*C456)&lt;='Assumptions and Catalog'!$C$51,((D456+E456)*C456)*'Assumptions and Catalog'!$H$51+'Assumptions and Catalog'!$E$51+'Assumptions and Catalog'!$F$51,IF(((D456+E456)*C456)&lt;='Assumptions and Catalog'!$C$52,((D456+E456)*C456)*'Assumptions and Catalog'!$H$52+'Assumptions and Catalog'!$E$52+'Assumptions and Catalog'!$F$52,IF(((D456+E456)*C456)&lt;='Assumptions and Catalog'!$C$53,((D456+E456)*C456)*'Assumptions and Catalog'!$H$53+'Assumptions and Catalog'!$E$53+'Assumptions and Catalog'!$F$53,IF(((D456+E456)*C456)&lt;='Assumptions and Catalog'!$C$54,((D456+E456)*C456)*'Assumptions and Catalog'!$H$54+'Assumptions and Catalog'!$E$54+'Assumptions and Catalog'!$F$54,IF(((D456+E456)*C456)&lt;='Assumptions and Catalog'!$C$55,((D456+E456)*C456)*'Assumptions and Catalog'!$H$55+'Assumptions and Catalog'!$E$55+'Assumptions and Catalog'!$F$55,IF(((D456+E456)*C456)&lt;='Assumptions and Catalog'!$C$56,((D456+E456)*C456)*'Assumptions and Catalog'!$H$56+'Assumptions and Catalog'!$E$56+'Assumptions and Catalog'!$F$56,IF(((D456+E456)*C456)&lt;='Assumptions and Catalog'!$C$57,((D456+E456)*C456)*'Assumptions and Catalog'!$H$57+'Assumptions and Catalog'!$E$57+'Assumptions and Catalog'!$F$57,"Out of range")))))))),IF(((D456+E456)*C456)&lt;='Assumptions and Catalog'!$C$60,((D456+E456)*C456)*'Assumptions and Catalog'!$H$60+'Assumptions and Catalog'!$E$60+'Assumptions and Catalog'!$F$60,IF(((D456+E456)*C456)&lt;='Assumptions and Catalog'!$C$61,((D456+E456)*C456)*'Assumptions and Catalog'!$H$61+'Assumptions and Catalog'!$E$61+'Assumptions and Catalog'!$F$61,IF(((D456+E456)*C456)&lt;='Assumptions and Catalog'!$C$62,((D456+E456)*C456)*'Assumptions and Catalog'!$H$62+'Assumptions and Catalog'!$E$62+'Assumptions and Catalog'!$F$62,IF(((D456+E456)*C456)&lt;='Assumptions and Catalog'!$C$63,((D456+E456)*C456)*'Assumptions and Catalog'!$H$63+'Assumptions and Catalog'!$E$63+'Assumptions and Catalog'!$F$63,IF(((D456+E456)*C456)&lt;='Assumptions and Catalog'!$C$64,((D456+E456)*C456)*'Assumptions and Catalog'!$H$64+'Assumptions and Catalog'!$E$64+'Assumptions and Catalog'!$F$64,IF(((D456+E456)*C456)&lt;='Assumptions and Catalog'!$C$65,((D456+E456)*C456)*'Assumptions and Catalog'!$H$65+'Assumptions and Catalog'!$E$65+'Assumptions and Catalog'!$F$65,"Out of range")))))))))*(1+'Assumptions and Catalog'!$C$8)^(A456-1),0)</f>
        <v>7094.794</v>
      </c>
      <c r="N456" s="5" t="n">
        <f>IF(ISNUMBER(Inputs!$L$5),(IF(Inputs!$L$9="Actual flat rate",L456*Inputs!$L$10,IF(Inputs!$C$9="Residential",IF(L456&lt;='Assumptions and Catalog'!$C$50,L456*'Assumptions and Catalog'!$H$50+'Assumptions and Catalog'!$E$50+'Assumptions and Catalog'!$F$50,IF(L456&lt;='Assumptions and Catalog'!$C$51,L456*'Assumptions and Catalog'!$H$51+'Assumptions and Catalog'!$E$51+'Assumptions and Catalog'!$F$51,IF(L456&lt;='Assumptions and Catalog'!$C$52,L456*'Assumptions and Catalog'!$H$52+'Assumptions and Catalog'!$E$52+'Assumptions and Catalog'!$F$52,IF(L456&lt;='Assumptions and Catalog'!$C$53,L456*'Assumptions and Catalog'!$H$53+'Assumptions and Catalog'!$E$53+'Assumptions and Catalog'!$F$53,IF(L456&lt;='Assumptions and Catalog'!$C$54,L456*'Assumptions and Catalog'!$H$54+'Assumptions and Catalog'!$E$54+'Assumptions and Catalog'!$F$54,IF(L456&lt;='Assumptions and Catalog'!$C$55,L456*'Assumptions and Catalog'!$H$55+'Assumptions and Catalog'!$E$55+'Assumptions and Catalog'!$F$55,IF(L456&lt;='Assumptions and Catalog'!$C$56,L456*'Assumptions and Catalog'!$H$56+'Assumptions and Catalog'!$E$56+'Assumptions and Catalog'!$F$56,IF(L456&lt;='Assumptions and Catalog'!$C$57,L456*'Assumptions and Catalog'!$H$57+'Assumptions and Catalog'!$E$57+'Assumptions and Catalog'!$F$57,"Out of range")))))))),IF(L456&lt;='Assumptions and Catalog'!$C$60,L456*'Assumptions and Catalog'!$H$60+'Assumptions and Catalog'!$E$60+'Assumptions and Catalog'!$F$60,IF(L456&lt;='Assumptions and Catalog'!$C$61,L456*'Assumptions and Catalog'!$H$61+'Assumptions and Catalog'!$E$61+'Assumptions and Catalog'!$F$61,IF(L456&lt;='Assumptions and Catalog'!$C$62,L456*'Assumptions and Catalog'!$H$62+'Assumptions and Catalog'!$E$62+'Assumptions and Catalog'!$F$62,IF(L456&lt;='Assumptions and Catalog'!$C$63,L456*'Assumptions and Catalog'!$H$63+'Assumptions and Catalog'!$E$63+'Assumptions and Catalog'!$F$63,IF(L456&lt;='Assumptions and Catalog'!$C$64,L456*'Assumptions and Catalog'!$H$64+'Assumptions and Catalog'!$E$64+'Assumptions and Catalog'!$F$64,IF(L456&lt;='Assumptions and Catalog'!$C$65,L456*'Assumptions and Catalog'!$H$65+'Assumptions and Catalog'!$E$65+'Assumptions and Catalog'!$F$65,"Out of range")))))))))*(1+'Assumptions and Catalog'!$C$8)^(A456-1),0)</f>
        <v>7094.794</v>
      </c>
      <c r="O456" s="5" t="n">
        <f>M456-N456</f>
        <v>0</v>
      </c>
      <c r="P456" s="5" t="n">
        <f>D$55*(1-K$14)*(1-'Assumptions and Catalog'!$C$23)^R456</f>
        <v>0</v>
      </c>
      <c r="Q456" s="5" t="n">
        <f>IF(ISNUMBER(Inputs!$L$5),(IF(Inputs!$L$9="Actual flat rate",((D456+E456)*C456-G456)*Inputs!$L$10,IF(Inputs!$C$9="Residential",IF(((D456+E456)*C456-G456)&lt;='Assumptions and Catalog'!$C$50,((D456+E456)*C456-G456)*'Assumptions and Catalog'!$H$50+'Assumptions and Catalog'!$E$50+'Assumptions and Catalog'!$F$50,IF(((D456+E456)*C456-G456)&lt;='Assumptions and Catalog'!$C$51,((D456+E456)*C456-G456)*'Assumptions and Catalog'!$H$51+'Assumptions and Catalog'!$E$51+'Assumptions and Catalog'!$F$51,IF(((D456+E456)*C456-G456)&lt;='Assumptions and Catalog'!$C$52,((D456+E456)*C456-G456)*'Assumptions and Catalog'!$H$52+'Assumptions and Catalog'!$E$52+'Assumptions and Catalog'!$F$52,IF(((D456+E456)*C456-G456)&lt;='Assumptions and Catalog'!$C$53,((D456+E456)*C456-G456)*'Assumptions and Catalog'!$H$53+'Assumptions and Catalog'!$E$53+'Assumptions and Catalog'!$F$53,IF(((D456+E456)*C456-G456)&lt;='Assumptions and Catalog'!$C$54,((D456+E456)*C456-G456)*'Assumptions and Catalog'!$H$54+'Assumptions and Catalog'!$E$54+'Assumptions and Catalog'!$F$54,IF(((D456+E456)*C456-G456)&lt;='Assumptions and Catalog'!$C$55,((D456+E456)*C456-G456)*'Assumptions and Catalog'!$H$55+'Assumptions and Catalog'!$E$55+'Assumptions and Catalog'!$F$55,IF(((D456+E456)*C456-G456)&lt;='Assumptions and Catalog'!$C$56,((D456+E456)*C456-G456)*'Assumptions and Catalog'!$H$56+'Assumptions and Catalog'!$E$56+'Assumptions and Catalog'!$F$56,IF(((D456+E456)*C456-G456)&lt;='Assumptions and Catalog'!$C$57,((D456+E456)*C456-G456)*'Assumptions and Catalog'!$H$57+'Assumptions and Catalog'!$E$57+'Assumptions and Catalog'!$F$57,"Out of range")))))))),IF(((D456+E456)*C456-G456)&lt;='Assumptions and Catalog'!$C$60,((D456+E456)*C456-G456)*'Assumptions and Catalog'!$H$60+'Assumptions and Catalog'!$E$60+'Assumptions and Catalog'!$F$60,IF(((D456+E456)*C456-G456)&lt;='Assumptions and Catalog'!$C$61,((D456+E456)*C456-G456)*'Assumptions and Catalog'!$H$61+'Assumptions and Catalog'!$E$61+'Assumptions and Catalog'!$F$61,IF(((D456+E456)*C456-G456)&lt;='Assumptions and Catalog'!$C$62,((D456+E456)*C456-G456)*'Assumptions and Catalog'!$H$62+'Assumptions and Catalog'!$E$62+'Assumptions and Catalog'!$F$62,IF(((D456+E456)*C456-G456)&lt;='Assumptions and Catalog'!$C$63,((D456+E456)*C456-G456)*'Assumptions and Catalog'!$H$63+'Assumptions and Catalog'!$E$63+'Assumptions and Catalog'!$F$63,IF(((D456+E456)*C456-G456)&lt;='Assumptions and Catalog'!$C$64,((D456+E456)*C456-G456)*'Assumptions and Catalog'!$H$64+'Assumptions and Catalog'!$E$64+'Assumptions and Catalog'!$F$64,IF(((D456+E456)*C456-G456)&lt;='Assumptions and Catalog'!$C$65,((D456+E456)*C456-G456)*'Assumptions and Catalog'!$H$65+'Assumptions and Catalog'!$E$65+'Assumptions and Catalog'!$F$65,"Out of range")))))))))*(1+'Assumptions and Catalog'!$C$8)^(A456-1),0)</f>
        <v>7094.794</v>
      </c>
      <c r="R456" s="5" t="n">
        <f>IF(AND('Assumptions and Catalog'!$C$19&gt;0,A456&gt;='Assumptions and Catalog'!$C$19),A456-'Assumptions and Catalog'!$C$19,A456-1)</f>
        <v>3</v>
      </c>
      <c r="S456" s="5" t="n">
        <f>F456+L456-(D456+E456)*C456-J456-K456-IF(D$52&gt;0,'Assumptions and Catalog'!$C$26*C456,0)</f>
        <v>0</v>
      </c>
      <c r="T456" s="5"/>
      <c r="U456" s="5"/>
    </row>
    <row r="457" ht="23.100000381469727" customHeight="1">
      <c r="A457" s="5" t="n">
        <v>4</v>
      </c>
      <c r="B457" s="5" t="n">
        <v>11</v>
      </c>
      <c r="C457" s="5" t="n">
        <f>DAY(DATE('Assumptions and Catalog'!$C$24+A457-1,B457+1,0))</f>
        <v>30</v>
      </c>
      <c r="D457" s="5" t="n">
        <f>IF(ISNUMBER(Inputs!$L$5),Inputs!$L$5*Inputs!$L$6,0)</f>
        <v>40.35</v>
      </c>
      <c r="E457" s="5" t="n">
        <f>IF(ISNUMBER(Inputs!$L$5),Inputs!$L$5-D457,0)</f>
        <v>40.35</v>
      </c>
      <c r="F457" s="5" t="n">
        <f>D$51*'Assumptions and Catalog'!$C$31*C457*(1-'Assumptions and Catalog'!$C$10)^(A457-1)</f>
        <v>0</v>
      </c>
      <c r="G457" s="5" t="n">
        <f>MIN(F457,D457*C457)</f>
        <v>0</v>
      </c>
      <c r="H457" s="5" t="n">
        <f>I457/('Assumptions and Catalog'!$C$11*'Assumptions and Catalog'!$C$12)</f>
        <v>0</v>
      </c>
      <c r="I457" s="5" t="n">
        <f>IF(K$15="Grid cycle",MIN(K$16,D457+E457,P457*'Assumptions and Catalog'!$C$12,D$57*(24-'Assumptions and Catalog'!$C$15),D$56*'Assumptions and Catalog'!$C$15*'Assumptions and Catalog'!$C$11*'Assumptions and Catalog'!$C$12)*C457,0)</f>
        <v>0</v>
      </c>
      <c r="J457" s="5" t="n">
        <f>MAX(F457-G457-0,0)</f>
        <v>0</v>
      </c>
      <c r="K457" s="5" t="n">
        <f>H457-I457</f>
        <v>0</v>
      </c>
      <c r="L457" s="5" t="n">
        <f>(D457+E457)*C457-G457-I457+H457+IF(D$52&gt;0,'Assumptions and Catalog'!$C$26*C457,0)</f>
        <v>2421</v>
      </c>
      <c r="M457" s="5" t="n">
        <f>IF(ISNUMBER(Inputs!$L$5),(IF(Inputs!$L$9="Actual flat rate",((D457+E457)*C457)*Inputs!$L$10,IF(Inputs!$C$9="Residential",IF(((D457+E457)*C457)&lt;='Assumptions and Catalog'!$C$50,((D457+E457)*C457)*'Assumptions and Catalog'!$H$50+'Assumptions and Catalog'!$E$50+'Assumptions and Catalog'!$F$50,IF(((D457+E457)*C457)&lt;='Assumptions and Catalog'!$C$51,((D457+E457)*C457)*'Assumptions and Catalog'!$H$51+'Assumptions and Catalog'!$E$51+'Assumptions and Catalog'!$F$51,IF(((D457+E457)*C457)&lt;='Assumptions and Catalog'!$C$52,((D457+E457)*C457)*'Assumptions and Catalog'!$H$52+'Assumptions and Catalog'!$E$52+'Assumptions and Catalog'!$F$52,IF(((D457+E457)*C457)&lt;='Assumptions and Catalog'!$C$53,((D457+E457)*C457)*'Assumptions and Catalog'!$H$53+'Assumptions and Catalog'!$E$53+'Assumptions and Catalog'!$F$53,IF(((D457+E457)*C457)&lt;='Assumptions and Catalog'!$C$54,((D457+E457)*C457)*'Assumptions and Catalog'!$H$54+'Assumptions and Catalog'!$E$54+'Assumptions and Catalog'!$F$54,IF(((D457+E457)*C457)&lt;='Assumptions and Catalog'!$C$55,((D457+E457)*C457)*'Assumptions and Catalog'!$H$55+'Assumptions and Catalog'!$E$55+'Assumptions and Catalog'!$F$55,IF(((D457+E457)*C457)&lt;='Assumptions and Catalog'!$C$56,((D457+E457)*C457)*'Assumptions and Catalog'!$H$56+'Assumptions and Catalog'!$E$56+'Assumptions and Catalog'!$F$56,IF(((D457+E457)*C457)&lt;='Assumptions and Catalog'!$C$57,((D457+E457)*C457)*'Assumptions and Catalog'!$H$57+'Assumptions and Catalog'!$E$57+'Assumptions and Catalog'!$F$57,"Out of range")))))))),IF(((D457+E457)*C457)&lt;='Assumptions and Catalog'!$C$60,((D457+E457)*C457)*'Assumptions and Catalog'!$H$60+'Assumptions and Catalog'!$E$60+'Assumptions and Catalog'!$F$60,IF(((D457+E457)*C457)&lt;='Assumptions and Catalog'!$C$61,((D457+E457)*C457)*'Assumptions and Catalog'!$H$61+'Assumptions and Catalog'!$E$61+'Assumptions and Catalog'!$F$61,IF(((D457+E457)*C457)&lt;='Assumptions and Catalog'!$C$62,((D457+E457)*C457)*'Assumptions and Catalog'!$H$62+'Assumptions and Catalog'!$E$62+'Assumptions and Catalog'!$F$62,IF(((D457+E457)*C457)&lt;='Assumptions and Catalog'!$C$63,((D457+E457)*C457)*'Assumptions and Catalog'!$H$63+'Assumptions and Catalog'!$E$63+'Assumptions and Catalog'!$F$63,IF(((D457+E457)*C457)&lt;='Assumptions and Catalog'!$C$64,((D457+E457)*C457)*'Assumptions and Catalog'!$H$64+'Assumptions and Catalog'!$E$64+'Assumptions and Catalog'!$F$64,IF(((D457+E457)*C457)&lt;='Assumptions and Catalog'!$C$65,((D457+E457)*C457)*'Assumptions and Catalog'!$H$65+'Assumptions and Catalog'!$E$65+'Assumptions and Catalog'!$F$65,"Out of range")))))))))*(1+'Assumptions and Catalog'!$C$8)^(A457-1),0)</f>
        <v>6867.22</v>
      </c>
      <c r="N457" s="5" t="n">
        <f>IF(ISNUMBER(Inputs!$L$5),(IF(Inputs!$L$9="Actual flat rate",L457*Inputs!$L$10,IF(Inputs!$C$9="Residential",IF(L457&lt;='Assumptions and Catalog'!$C$50,L457*'Assumptions and Catalog'!$H$50+'Assumptions and Catalog'!$E$50+'Assumptions and Catalog'!$F$50,IF(L457&lt;='Assumptions and Catalog'!$C$51,L457*'Assumptions and Catalog'!$H$51+'Assumptions and Catalog'!$E$51+'Assumptions and Catalog'!$F$51,IF(L457&lt;='Assumptions and Catalog'!$C$52,L457*'Assumptions and Catalog'!$H$52+'Assumptions and Catalog'!$E$52+'Assumptions and Catalog'!$F$52,IF(L457&lt;='Assumptions and Catalog'!$C$53,L457*'Assumptions and Catalog'!$H$53+'Assumptions and Catalog'!$E$53+'Assumptions and Catalog'!$F$53,IF(L457&lt;='Assumptions and Catalog'!$C$54,L457*'Assumptions and Catalog'!$H$54+'Assumptions and Catalog'!$E$54+'Assumptions and Catalog'!$F$54,IF(L457&lt;='Assumptions and Catalog'!$C$55,L457*'Assumptions and Catalog'!$H$55+'Assumptions and Catalog'!$E$55+'Assumptions and Catalog'!$F$55,IF(L457&lt;='Assumptions and Catalog'!$C$56,L457*'Assumptions and Catalog'!$H$56+'Assumptions and Catalog'!$E$56+'Assumptions and Catalog'!$F$56,IF(L457&lt;='Assumptions and Catalog'!$C$57,L457*'Assumptions and Catalog'!$H$57+'Assumptions and Catalog'!$E$57+'Assumptions and Catalog'!$F$57,"Out of range")))))))),IF(L457&lt;='Assumptions and Catalog'!$C$60,L457*'Assumptions and Catalog'!$H$60+'Assumptions and Catalog'!$E$60+'Assumptions and Catalog'!$F$60,IF(L457&lt;='Assumptions and Catalog'!$C$61,L457*'Assumptions and Catalog'!$H$61+'Assumptions and Catalog'!$E$61+'Assumptions and Catalog'!$F$61,IF(L457&lt;='Assumptions and Catalog'!$C$62,L457*'Assumptions and Catalog'!$H$62+'Assumptions and Catalog'!$E$62+'Assumptions and Catalog'!$F$62,IF(L457&lt;='Assumptions and Catalog'!$C$63,L457*'Assumptions and Catalog'!$H$63+'Assumptions and Catalog'!$E$63+'Assumptions and Catalog'!$F$63,IF(L457&lt;='Assumptions and Catalog'!$C$64,L457*'Assumptions and Catalog'!$H$64+'Assumptions and Catalog'!$E$64+'Assumptions and Catalog'!$F$64,IF(L457&lt;='Assumptions and Catalog'!$C$65,L457*'Assumptions and Catalog'!$H$65+'Assumptions and Catalog'!$E$65+'Assumptions and Catalog'!$F$65,"Out of range")))))))))*(1+'Assumptions and Catalog'!$C$8)^(A457-1),0)</f>
        <v>6867.22</v>
      </c>
      <c r="O457" s="5" t="n">
        <f>M457-N457</f>
        <v>0</v>
      </c>
      <c r="P457" s="5" t="n">
        <f>D$55*(1-K$14)*(1-'Assumptions and Catalog'!$C$23)^R457</f>
        <v>0</v>
      </c>
      <c r="Q457" s="5" t="n">
        <f>IF(ISNUMBER(Inputs!$L$5),(IF(Inputs!$L$9="Actual flat rate",((D457+E457)*C457-G457)*Inputs!$L$10,IF(Inputs!$C$9="Residential",IF(((D457+E457)*C457-G457)&lt;='Assumptions and Catalog'!$C$50,((D457+E457)*C457-G457)*'Assumptions and Catalog'!$H$50+'Assumptions and Catalog'!$E$50+'Assumptions and Catalog'!$F$50,IF(((D457+E457)*C457-G457)&lt;='Assumptions and Catalog'!$C$51,((D457+E457)*C457-G457)*'Assumptions and Catalog'!$H$51+'Assumptions and Catalog'!$E$51+'Assumptions and Catalog'!$F$51,IF(((D457+E457)*C457-G457)&lt;='Assumptions and Catalog'!$C$52,((D457+E457)*C457-G457)*'Assumptions and Catalog'!$H$52+'Assumptions and Catalog'!$E$52+'Assumptions and Catalog'!$F$52,IF(((D457+E457)*C457-G457)&lt;='Assumptions and Catalog'!$C$53,((D457+E457)*C457-G457)*'Assumptions and Catalog'!$H$53+'Assumptions and Catalog'!$E$53+'Assumptions and Catalog'!$F$53,IF(((D457+E457)*C457-G457)&lt;='Assumptions and Catalog'!$C$54,((D457+E457)*C457-G457)*'Assumptions and Catalog'!$H$54+'Assumptions and Catalog'!$E$54+'Assumptions and Catalog'!$F$54,IF(((D457+E457)*C457-G457)&lt;='Assumptions and Catalog'!$C$55,((D457+E457)*C457-G457)*'Assumptions and Catalog'!$H$55+'Assumptions and Catalog'!$E$55+'Assumptions and Catalog'!$F$55,IF(((D457+E457)*C457-G457)&lt;='Assumptions and Catalog'!$C$56,((D457+E457)*C457-G457)*'Assumptions and Catalog'!$H$56+'Assumptions and Catalog'!$E$56+'Assumptions and Catalog'!$F$56,IF(((D457+E457)*C457-G457)&lt;='Assumptions and Catalog'!$C$57,((D457+E457)*C457-G457)*'Assumptions and Catalog'!$H$57+'Assumptions and Catalog'!$E$57+'Assumptions and Catalog'!$F$57,"Out of range")))))))),IF(((D457+E457)*C457-G457)&lt;='Assumptions and Catalog'!$C$60,((D457+E457)*C457-G457)*'Assumptions and Catalog'!$H$60+'Assumptions and Catalog'!$E$60+'Assumptions and Catalog'!$F$60,IF(((D457+E457)*C457-G457)&lt;='Assumptions and Catalog'!$C$61,((D457+E457)*C457-G457)*'Assumptions and Catalog'!$H$61+'Assumptions and Catalog'!$E$61+'Assumptions and Catalog'!$F$61,IF(((D457+E457)*C457-G457)&lt;='Assumptions and Catalog'!$C$62,((D457+E457)*C457-G457)*'Assumptions and Catalog'!$H$62+'Assumptions and Catalog'!$E$62+'Assumptions and Catalog'!$F$62,IF(((D457+E457)*C457-G457)&lt;='Assumptions and Catalog'!$C$63,((D457+E457)*C457-G457)*'Assumptions and Catalog'!$H$63+'Assumptions and Catalog'!$E$63+'Assumptions and Catalog'!$F$63,IF(((D457+E457)*C457-G457)&lt;='Assumptions and Catalog'!$C$64,((D457+E457)*C457-G457)*'Assumptions and Catalog'!$H$64+'Assumptions and Catalog'!$E$64+'Assumptions and Catalog'!$F$64,IF(((D457+E457)*C457-G457)&lt;='Assumptions and Catalog'!$C$65,((D457+E457)*C457-G457)*'Assumptions and Catalog'!$H$65+'Assumptions and Catalog'!$E$65+'Assumptions and Catalog'!$F$65,"Out of range")))))))))*(1+'Assumptions and Catalog'!$C$8)^(A457-1),0)</f>
        <v>6867.22</v>
      </c>
      <c r="R457" s="5" t="n">
        <f>IF(AND('Assumptions and Catalog'!$C$19&gt;0,A457&gt;='Assumptions and Catalog'!$C$19),A457-'Assumptions and Catalog'!$C$19,A457-1)</f>
        <v>3</v>
      </c>
      <c r="S457" s="5" t="n">
        <f>F457+L457-(D457+E457)*C457-J457-K457-IF(D$52&gt;0,'Assumptions and Catalog'!$C$26*C457,0)</f>
        <v>0</v>
      </c>
      <c r="T457" s="5"/>
      <c r="U457" s="5"/>
    </row>
    <row r="458" ht="23.100000381469727" customHeight="1">
      <c r="A458" s="5" t="n">
        <v>4</v>
      </c>
      <c r="B458" s="5" t="n">
        <v>12</v>
      </c>
      <c r="C458" s="5" t="n">
        <f>DAY(DATE('Assumptions and Catalog'!$C$24+A458-1,B458+1,0))</f>
        <v>31</v>
      </c>
      <c r="D458" s="5" t="n">
        <f>IF(ISNUMBER(Inputs!$L$5),Inputs!$L$5*Inputs!$L$6,0)</f>
        <v>40.35</v>
      </c>
      <c r="E458" s="5" t="n">
        <f>IF(ISNUMBER(Inputs!$L$5),Inputs!$L$5-D458,0)</f>
        <v>40.35</v>
      </c>
      <c r="F458" s="5" t="n">
        <f>D$51*'Assumptions and Catalog'!$C$31*C458*(1-'Assumptions and Catalog'!$C$10)^(A458-1)</f>
        <v>0</v>
      </c>
      <c r="G458" s="5" t="n">
        <f>MIN(F458,D458*C458)</f>
        <v>0</v>
      </c>
      <c r="H458" s="5" t="n">
        <f>I458/('Assumptions and Catalog'!$C$11*'Assumptions and Catalog'!$C$12)</f>
        <v>0</v>
      </c>
      <c r="I458" s="5" t="n">
        <f>IF(K$15="Grid cycle",MIN(K$16,D458+E458,P458*'Assumptions and Catalog'!$C$12,D$57*(24-'Assumptions and Catalog'!$C$15),D$56*'Assumptions and Catalog'!$C$15*'Assumptions and Catalog'!$C$11*'Assumptions and Catalog'!$C$12)*C458,0)</f>
        <v>0</v>
      </c>
      <c r="J458" s="5" t="n">
        <f>MAX(F458-G458-0,0)</f>
        <v>0</v>
      </c>
      <c r="K458" s="5" t="n">
        <f>H458-I458</f>
        <v>0</v>
      </c>
      <c r="L458" s="5" t="n">
        <f>(D458+E458)*C458-G458-I458+H458+IF(D$52&gt;0,'Assumptions and Catalog'!$C$26*C458,0)</f>
        <v>2501.7</v>
      </c>
      <c r="M458" s="5" t="n">
        <f>IF(ISNUMBER(Inputs!$L$5),(IF(Inputs!$L$9="Actual flat rate",((D458+E458)*C458)*Inputs!$L$10,IF(Inputs!$C$9="Residential",IF(((D458+E458)*C458)&lt;='Assumptions and Catalog'!$C$50,((D458+E458)*C458)*'Assumptions and Catalog'!$H$50+'Assumptions and Catalog'!$E$50+'Assumptions and Catalog'!$F$50,IF(((D458+E458)*C458)&lt;='Assumptions and Catalog'!$C$51,((D458+E458)*C458)*'Assumptions and Catalog'!$H$51+'Assumptions and Catalog'!$E$51+'Assumptions and Catalog'!$F$51,IF(((D458+E458)*C458)&lt;='Assumptions and Catalog'!$C$52,((D458+E458)*C458)*'Assumptions and Catalog'!$H$52+'Assumptions and Catalog'!$E$52+'Assumptions and Catalog'!$F$52,IF(((D458+E458)*C458)&lt;='Assumptions and Catalog'!$C$53,((D458+E458)*C458)*'Assumptions and Catalog'!$H$53+'Assumptions and Catalog'!$E$53+'Assumptions and Catalog'!$F$53,IF(((D458+E458)*C458)&lt;='Assumptions and Catalog'!$C$54,((D458+E458)*C458)*'Assumptions and Catalog'!$H$54+'Assumptions and Catalog'!$E$54+'Assumptions and Catalog'!$F$54,IF(((D458+E458)*C458)&lt;='Assumptions and Catalog'!$C$55,((D458+E458)*C458)*'Assumptions and Catalog'!$H$55+'Assumptions and Catalog'!$E$55+'Assumptions and Catalog'!$F$55,IF(((D458+E458)*C458)&lt;='Assumptions and Catalog'!$C$56,((D458+E458)*C458)*'Assumptions and Catalog'!$H$56+'Assumptions and Catalog'!$E$56+'Assumptions and Catalog'!$F$56,IF(((D458+E458)*C458)&lt;='Assumptions and Catalog'!$C$57,((D458+E458)*C458)*'Assumptions and Catalog'!$H$57+'Assumptions and Catalog'!$E$57+'Assumptions and Catalog'!$F$57,"Out of range")))))))),IF(((D458+E458)*C458)&lt;='Assumptions and Catalog'!$C$60,((D458+E458)*C458)*'Assumptions and Catalog'!$H$60+'Assumptions and Catalog'!$E$60+'Assumptions and Catalog'!$F$60,IF(((D458+E458)*C458)&lt;='Assumptions and Catalog'!$C$61,((D458+E458)*C458)*'Assumptions and Catalog'!$H$61+'Assumptions and Catalog'!$E$61+'Assumptions and Catalog'!$F$61,IF(((D458+E458)*C458)&lt;='Assumptions and Catalog'!$C$62,((D458+E458)*C458)*'Assumptions and Catalog'!$H$62+'Assumptions and Catalog'!$E$62+'Assumptions and Catalog'!$F$62,IF(((D458+E458)*C458)&lt;='Assumptions and Catalog'!$C$63,((D458+E458)*C458)*'Assumptions and Catalog'!$H$63+'Assumptions and Catalog'!$E$63+'Assumptions and Catalog'!$F$63,IF(((D458+E458)*C458)&lt;='Assumptions and Catalog'!$C$64,((D458+E458)*C458)*'Assumptions and Catalog'!$H$64+'Assumptions and Catalog'!$E$64+'Assumptions and Catalog'!$F$64,IF(((D458+E458)*C458)&lt;='Assumptions and Catalog'!$C$65,((D458+E458)*C458)*'Assumptions and Catalog'!$H$65+'Assumptions and Catalog'!$E$65+'Assumptions and Catalog'!$F$65,"Out of range")))))))))*(1+'Assumptions and Catalog'!$C$8)^(A458-1),0)</f>
        <v>7094.794</v>
      </c>
      <c r="N458" s="5" t="n">
        <f>IF(ISNUMBER(Inputs!$L$5),(IF(Inputs!$L$9="Actual flat rate",L458*Inputs!$L$10,IF(Inputs!$C$9="Residential",IF(L458&lt;='Assumptions and Catalog'!$C$50,L458*'Assumptions and Catalog'!$H$50+'Assumptions and Catalog'!$E$50+'Assumptions and Catalog'!$F$50,IF(L458&lt;='Assumptions and Catalog'!$C$51,L458*'Assumptions and Catalog'!$H$51+'Assumptions and Catalog'!$E$51+'Assumptions and Catalog'!$F$51,IF(L458&lt;='Assumptions and Catalog'!$C$52,L458*'Assumptions and Catalog'!$H$52+'Assumptions and Catalog'!$E$52+'Assumptions and Catalog'!$F$52,IF(L458&lt;='Assumptions and Catalog'!$C$53,L458*'Assumptions and Catalog'!$H$53+'Assumptions and Catalog'!$E$53+'Assumptions and Catalog'!$F$53,IF(L458&lt;='Assumptions and Catalog'!$C$54,L458*'Assumptions and Catalog'!$H$54+'Assumptions and Catalog'!$E$54+'Assumptions and Catalog'!$F$54,IF(L458&lt;='Assumptions and Catalog'!$C$55,L458*'Assumptions and Catalog'!$H$55+'Assumptions and Catalog'!$E$55+'Assumptions and Catalog'!$F$55,IF(L458&lt;='Assumptions and Catalog'!$C$56,L458*'Assumptions and Catalog'!$H$56+'Assumptions and Catalog'!$E$56+'Assumptions and Catalog'!$F$56,IF(L458&lt;='Assumptions and Catalog'!$C$57,L458*'Assumptions and Catalog'!$H$57+'Assumptions and Catalog'!$E$57+'Assumptions and Catalog'!$F$57,"Out of range")))))))),IF(L458&lt;='Assumptions and Catalog'!$C$60,L458*'Assumptions and Catalog'!$H$60+'Assumptions and Catalog'!$E$60+'Assumptions and Catalog'!$F$60,IF(L458&lt;='Assumptions and Catalog'!$C$61,L458*'Assumptions and Catalog'!$H$61+'Assumptions and Catalog'!$E$61+'Assumptions and Catalog'!$F$61,IF(L458&lt;='Assumptions and Catalog'!$C$62,L458*'Assumptions and Catalog'!$H$62+'Assumptions and Catalog'!$E$62+'Assumptions and Catalog'!$F$62,IF(L458&lt;='Assumptions and Catalog'!$C$63,L458*'Assumptions and Catalog'!$H$63+'Assumptions and Catalog'!$E$63+'Assumptions and Catalog'!$F$63,IF(L458&lt;='Assumptions and Catalog'!$C$64,L458*'Assumptions and Catalog'!$H$64+'Assumptions and Catalog'!$E$64+'Assumptions and Catalog'!$F$64,IF(L458&lt;='Assumptions and Catalog'!$C$65,L458*'Assumptions and Catalog'!$H$65+'Assumptions and Catalog'!$E$65+'Assumptions and Catalog'!$F$65,"Out of range")))))))))*(1+'Assumptions and Catalog'!$C$8)^(A458-1),0)</f>
        <v>7094.794</v>
      </c>
      <c r="O458" s="5" t="n">
        <f>M458-N458</f>
        <v>0</v>
      </c>
      <c r="P458" s="5" t="n">
        <f>D$55*(1-K$14)*(1-'Assumptions and Catalog'!$C$23)^R458</f>
        <v>0</v>
      </c>
      <c r="Q458" s="5" t="n">
        <f>IF(ISNUMBER(Inputs!$L$5),(IF(Inputs!$L$9="Actual flat rate",((D458+E458)*C458-G458)*Inputs!$L$10,IF(Inputs!$C$9="Residential",IF(((D458+E458)*C458-G458)&lt;='Assumptions and Catalog'!$C$50,((D458+E458)*C458-G458)*'Assumptions and Catalog'!$H$50+'Assumptions and Catalog'!$E$50+'Assumptions and Catalog'!$F$50,IF(((D458+E458)*C458-G458)&lt;='Assumptions and Catalog'!$C$51,((D458+E458)*C458-G458)*'Assumptions and Catalog'!$H$51+'Assumptions and Catalog'!$E$51+'Assumptions and Catalog'!$F$51,IF(((D458+E458)*C458-G458)&lt;='Assumptions and Catalog'!$C$52,((D458+E458)*C458-G458)*'Assumptions and Catalog'!$H$52+'Assumptions and Catalog'!$E$52+'Assumptions and Catalog'!$F$52,IF(((D458+E458)*C458-G458)&lt;='Assumptions and Catalog'!$C$53,((D458+E458)*C458-G458)*'Assumptions and Catalog'!$H$53+'Assumptions and Catalog'!$E$53+'Assumptions and Catalog'!$F$53,IF(((D458+E458)*C458-G458)&lt;='Assumptions and Catalog'!$C$54,((D458+E458)*C458-G458)*'Assumptions and Catalog'!$H$54+'Assumptions and Catalog'!$E$54+'Assumptions and Catalog'!$F$54,IF(((D458+E458)*C458-G458)&lt;='Assumptions and Catalog'!$C$55,((D458+E458)*C458-G458)*'Assumptions and Catalog'!$H$55+'Assumptions and Catalog'!$E$55+'Assumptions and Catalog'!$F$55,IF(((D458+E458)*C458-G458)&lt;='Assumptions and Catalog'!$C$56,((D458+E458)*C458-G458)*'Assumptions and Catalog'!$H$56+'Assumptions and Catalog'!$E$56+'Assumptions and Catalog'!$F$56,IF(((D458+E458)*C458-G458)&lt;='Assumptions and Catalog'!$C$57,((D458+E458)*C458-G458)*'Assumptions and Catalog'!$H$57+'Assumptions and Catalog'!$E$57+'Assumptions and Catalog'!$F$57,"Out of range")))))))),IF(((D458+E458)*C458-G458)&lt;='Assumptions and Catalog'!$C$60,((D458+E458)*C458-G458)*'Assumptions and Catalog'!$H$60+'Assumptions and Catalog'!$E$60+'Assumptions and Catalog'!$F$60,IF(((D458+E458)*C458-G458)&lt;='Assumptions and Catalog'!$C$61,((D458+E458)*C458-G458)*'Assumptions and Catalog'!$H$61+'Assumptions and Catalog'!$E$61+'Assumptions and Catalog'!$F$61,IF(((D458+E458)*C458-G458)&lt;='Assumptions and Catalog'!$C$62,((D458+E458)*C458-G458)*'Assumptions and Catalog'!$H$62+'Assumptions and Catalog'!$E$62+'Assumptions and Catalog'!$F$62,IF(((D458+E458)*C458-G458)&lt;='Assumptions and Catalog'!$C$63,((D458+E458)*C458-G458)*'Assumptions and Catalog'!$H$63+'Assumptions and Catalog'!$E$63+'Assumptions and Catalog'!$F$63,IF(((D458+E458)*C458-G458)&lt;='Assumptions and Catalog'!$C$64,((D458+E458)*C458-G458)*'Assumptions and Catalog'!$H$64+'Assumptions and Catalog'!$E$64+'Assumptions and Catalog'!$F$64,IF(((D458+E458)*C458-G458)&lt;='Assumptions and Catalog'!$C$65,((D458+E458)*C458-G458)*'Assumptions and Catalog'!$H$65+'Assumptions and Catalog'!$E$65+'Assumptions and Catalog'!$F$65,"Out of range")))))))))*(1+'Assumptions and Catalog'!$C$8)^(A458-1),0)</f>
        <v>7094.794</v>
      </c>
      <c r="R458" s="5" t="n">
        <f>IF(AND('Assumptions and Catalog'!$C$19&gt;0,A458&gt;='Assumptions and Catalog'!$C$19),A458-'Assumptions and Catalog'!$C$19,A458-1)</f>
        <v>3</v>
      </c>
      <c r="S458" s="5" t="n">
        <f>F458+L458-(D458+E458)*C458-J458-K458-IF(D$52&gt;0,'Assumptions and Catalog'!$C$26*C458,0)</f>
        <v>0</v>
      </c>
      <c r="T458" s="5"/>
      <c r="U458" s="5"/>
    </row>
    <row r="459" ht="23.100000381469727" customHeight="1">
      <c r="A459" s="5" t="n">
        <v>5</v>
      </c>
      <c r="B459" s="5" t="n">
        <v>1</v>
      </c>
      <c r="C459" s="5" t="n">
        <f>DAY(DATE('Assumptions and Catalog'!$C$24+A459-1,B459+1,0))</f>
        <v>31</v>
      </c>
      <c r="D459" s="5" t="n">
        <f>IF(ISNUMBER(Inputs!$L$5),Inputs!$L$5*Inputs!$L$6,0)</f>
        <v>40.35</v>
      </c>
      <c r="E459" s="5" t="n">
        <f>IF(ISNUMBER(Inputs!$L$5),Inputs!$L$5-D459,0)</f>
        <v>40.35</v>
      </c>
      <c r="F459" s="5" t="n">
        <f>D$51*'Assumptions and Catalog'!$C$31*C459*(1-'Assumptions and Catalog'!$C$10)^(A459-1)</f>
        <v>0</v>
      </c>
      <c r="G459" s="5" t="n">
        <f>MIN(F459,D459*C459)</f>
        <v>0</v>
      </c>
      <c r="H459" s="5" t="n">
        <f>I459/('Assumptions and Catalog'!$C$11*'Assumptions and Catalog'!$C$12)</f>
        <v>0</v>
      </c>
      <c r="I459" s="5" t="n">
        <f>IF(K$15="Grid cycle",MIN(K$16,D459+E459,P459*'Assumptions and Catalog'!$C$12,D$57*(24-'Assumptions and Catalog'!$C$15),D$56*'Assumptions and Catalog'!$C$15*'Assumptions and Catalog'!$C$11*'Assumptions and Catalog'!$C$12)*C459,0)</f>
        <v>0</v>
      </c>
      <c r="J459" s="5" t="n">
        <f>MAX(F459-G459-0,0)</f>
        <v>0</v>
      </c>
      <c r="K459" s="5" t="n">
        <f>H459-I459</f>
        <v>0</v>
      </c>
      <c r="L459" s="5" t="n">
        <f>(D459+E459)*C459-G459-I459+H459+IF(D$52&gt;0,'Assumptions and Catalog'!$C$26*C459,0)</f>
        <v>2501.7</v>
      </c>
      <c r="M459" s="5" t="n">
        <f>IF(ISNUMBER(Inputs!$L$5),(IF(Inputs!$L$9="Actual flat rate",((D459+E459)*C459)*Inputs!$L$10,IF(Inputs!$C$9="Residential",IF(((D459+E459)*C459)&lt;='Assumptions and Catalog'!$C$50,((D459+E459)*C459)*'Assumptions and Catalog'!$H$50+'Assumptions and Catalog'!$E$50+'Assumptions and Catalog'!$F$50,IF(((D459+E459)*C459)&lt;='Assumptions and Catalog'!$C$51,((D459+E459)*C459)*'Assumptions and Catalog'!$H$51+'Assumptions and Catalog'!$E$51+'Assumptions and Catalog'!$F$51,IF(((D459+E459)*C459)&lt;='Assumptions and Catalog'!$C$52,((D459+E459)*C459)*'Assumptions and Catalog'!$H$52+'Assumptions and Catalog'!$E$52+'Assumptions and Catalog'!$F$52,IF(((D459+E459)*C459)&lt;='Assumptions and Catalog'!$C$53,((D459+E459)*C459)*'Assumptions and Catalog'!$H$53+'Assumptions and Catalog'!$E$53+'Assumptions and Catalog'!$F$53,IF(((D459+E459)*C459)&lt;='Assumptions and Catalog'!$C$54,((D459+E459)*C459)*'Assumptions and Catalog'!$H$54+'Assumptions and Catalog'!$E$54+'Assumptions and Catalog'!$F$54,IF(((D459+E459)*C459)&lt;='Assumptions and Catalog'!$C$55,((D459+E459)*C459)*'Assumptions and Catalog'!$H$55+'Assumptions and Catalog'!$E$55+'Assumptions and Catalog'!$F$55,IF(((D459+E459)*C459)&lt;='Assumptions and Catalog'!$C$56,((D459+E459)*C459)*'Assumptions and Catalog'!$H$56+'Assumptions and Catalog'!$E$56+'Assumptions and Catalog'!$F$56,IF(((D459+E459)*C459)&lt;='Assumptions and Catalog'!$C$57,((D459+E459)*C459)*'Assumptions and Catalog'!$H$57+'Assumptions and Catalog'!$E$57+'Assumptions and Catalog'!$F$57,"Out of range")))))))),IF(((D459+E459)*C459)&lt;='Assumptions and Catalog'!$C$60,((D459+E459)*C459)*'Assumptions and Catalog'!$H$60+'Assumptions and Catalog'!$E$60+'Assumptions and Catalog'!$F$60,IF(((D459+E459)*C459)&lt;='Assumptions and Catalog'!$C$61,((D459+E459)*C459)*'Assumptions and Catalog'!$H$61+'Assumptions and Catalog'!$E$61+'Assumptions and Catalog'!$F$61,IF(((D459+E459)*C459)&lt;='Assumptions and Catalog'!$C$62,((D459+E459)*C459)*'Assumptions and Catalog'!$H$62+'Assumptions and Catalog'!$E$62+'Assumptions and Catalog'!$F$62,IF(((D459+E459)*C459)&lt;='Assumptions and Catalog'!$C$63,((D459+E459)*C459)*'Assumptions and Catalog'!$H$63+'Assumptions and Catalog'!$E$63+'Assumptions and Catalog'!$F$63,IF(((D459+E459)*C459)&lt;='Assumptions and Catalog'!$C$64,((D459+E459)*C459)*'Assumptions and Catalog'!$H$64+'Assumptions and Catalog'!$E$64+'Assumptions and Catalog'!$F$64,IF(((D459+E459)*C459)&lt;='Assumptions and Catalog'!$C$65,((D459+E459)*C459)*'Assumptions and Catalog'!$H$65+'Assumptions and Catalog'!$E$65+'Assumptions and Catalog'!$F$65,"Out of range")))))))))*(1+'Assumptions and Catalog'!$C$8)^(A459-1),0)</f>
        <v>7094.794</v>
      </c>
      <c r="N459" s="5" t="n">
        <f>IF(ISNUMBER(Inputs!$L$5),(IF(Inputs!$L$9="Actual flat rate",L459*Inputs!$L$10,IF(Inputs!$C$9="Residential",IF(L459&lt;='Assumptions and Catalog'!$C$50,L459*'Assumptions and Catalog'!$H$50+'Assumptions and Catalog'!$E$50+'Assumptions and Catalog'!$F$50,IF(L459&lt;='Assumptions and Catalog'!$C$51,L459*'Assumptions and Catalog'!$H$51+'Assumptions and Catalog'!$E$51+'Assumptions and Catalog'!$F$51,IF(L459&lt;='Assumptions and Catalog'!$C$52,L459*'Assumptions and Catalog'!$H$52+'Assumptions and Catalog'!$E$52+'Assumptions and Catalog'!$F$52,IF(L459&lt;='Assumptions and Catalog'!$C$53,L459*'Assumptions and Catalog'!$H$53+'Assumptions and Catalog'!$E$53+'Assumptions and Catalog'!$F$53,IF(L459&lt;='Assumptions and Catalog'!$C$54,L459*'Assumptions and Catalog'!$H$54+'Assumptions and Catalog'!$E$54+'Assumptions and Catalog'!$F$54,IF(L459&lt;='Assumptions and Catalog'!$C$55,L459*'Assumptions and Catalog'!$H$55+'Assumptions and Catalog'!$E$55+'Assumptions and Catalog'!$F$55,IF(L459&lt;='Assumptions and Catalog'!$C$56,L459*'Assumptions and Catalog'!$H$56+'Assumptions and Catalog'!$E$56+'Assumptions and Catalog'!$F$56,IF(L459&lt;='Assumptions and Catalog'!$C$57,L459*'Assumptions and Catalog'!$H$57+'Assumptions and Catalog'!$E$57+'Assumptions and Catalog'!$F$57,"Out of range")))))))),IF(L459&lt;='Assumptions and Catalog'!$C$60,L459*'Assumptions and Catalog'!$H$60+'Assumptions and Catalog'!$E$60+'Assumptions and Catalog'!$F$60,IF(L459&lt;='Assumptions and Catalog'!$C$61,L459*'Assumptions and Catalog'!$H$61+'Assumptions and Catalog'!$E$61+'Assumptions and Catalog'!$F$61,IF(L459&lt;='Assumptions and Catalog'!$C$62,L459*'Assumptions and Catalog'!$H$62+'Assumptions and Catalog'!$E$62+'Assumptions and Catalog'!$F$62,IF(L459&lt;='Assumptions and Catalog'!$C$63,L459*'Assumptions and Catalog'!$H$63+'Assumptions and Catalog'!$E$63+'Assumptions and Catalog'!$F$63,IF(L459&lt;='Assumptions and Catalog'!$C$64,L459*'Assumptions and Catalog'!$H$64+'Assumptions and Catalog'!$E$64+'Assumptions and Catalog'!$F$64,IF(L459&lt;='Assumptions and Catalog'!$C$65,L459*'Assumptions and Catalog'!$H$65+'Assumptions and Catalog'!$E$65+'Assumptions and Catalog'!$F$65,"Out of range")))))))))*(1+'Assumptions and Catalog'!$C$8)^(A459-1),0)</f>
        <v>7094.794</v>
      </c>
      <c r="O459" s="5" t="n">
        <f>M459-N459</f>
        <v>0</v>
      </c>
      <c r="P459" s="5" t="n">
        <f>D$55*(1-K$14)*(1-'Assumptions and Catalog'!$C$23)^R459</f>
        <v>0</v>
      </c>
      <c r="Q459" s="5" t="n">
        <f>IF(ISNUMBER(Inputs!$L$5),(IF(Inputs!$L$9="Actual flat rate",((D459+E459)*C459-G459)*Inputs!$L$10,IF(Inputs!$C$9="Residential",IF(((D459+E459)*C459-G459)&lt;='Assumptions and Catalog'!$C$50,((D459+E459)*C459-G459)*'Assumptions and Catalog'!$H$50+'Assumptions and Catalog'!$E$50+'Assumptions and Catalog'!$F$50,IF(((D459+E459)*C459-G459)&lt;='Assumptions and Catalog'!$C$51,((D459+E459)*C459-G459)*'Assumptions and Catalog'!$H$51+'Assumptions and Catalog'!$E$51+'Assumptions and Catalog'!$F$51,IF(((D459+E459)*C459-G459)&lt;='Assumptions and Catalog'!$C$52,((D459+E459)*C459-G459)*'Assumptions and Catalog'!$H$52+'Assumptions and Catalog'!$E$52+'Assumptions and Catalog'!$F$52,IF(((D459+E459)*C459-G459)&lt;='Assumptions and Catalog'!$C$53,((D459+E459)*C459-G459)*'Assumptions and Catalog'!$H$53+'Assumptions and Catalog'!$E$53+'Assumptions and Catalog'!$F$53,IF(((D459+E459)*C459-G459)&lt;='Assumptions and Catalog'!$C$54,((D459+E459)*C459-G459)*'Assumptions and Catalog'!$H$54+'Assumptions and Catalog'!$E$54+'Assumptions and Catalog'!$F$54,IF(((D459+E459)*C459-G459)&lt;='Assumptions and Catalog'!$C$55,((D459+E459)*C459-G459)*'Assumptions and Catalog'!$H$55+'Assumptions and Catalog'!$E$55+'Assumptions and Catalog'!$F$55,IF(((D459+E459)*C459-G459)&lt;='Assumptions and Catalog'!$C$56,((D459+E459)*C459-G459)*'Assumptions and Catalog'!$H$56+'Assumptions and Catalog'!$E$56+'Assumptions and Catalog'!$F$56,IF(((D459+E459)*C459-G459)&lt;='Assumptions and Catalog'!$C$57,((D459+E459)*C459-G459)*'Assumptions and Catalog'!$H$57+'Assumptions and Catalog'!$E$57+'Assumptions and Catalog'!$F$57,"Out of range")))))))),IF(((D459+E459)*C459-G459)&lt;='Assumptions and Catalog'!$C$60,((D459+E459)*C459-G459)*'Assumptions and Catalog'!$H$60+'Assumptions and Catalog'!$E$60+'Assumptions and Catalog'!$F$60,IF(((D459+E459)*C459-G459)&lt;='Assumptions and Catalog'!$C$61,((D459+E459)*C459-G459)*'Assumptions and Catalog'!$H$61+'Assumptions and Catalog'!$E$61+'Assumptions and Catalog'!$F$61,IF(((D459+E459)*C459-G459)&lt;='Assumptions and Catalog'!$C$62,((D459+E459)*C459-G459)*'Assumptions and Catalog'!$H$62+'Assumptions and Catalog'!$E$62+'Assumptions and Catalog'!$F$62,IF(((D459+E459)*C459-G459)&lt;='Assumptions and Catalog'!$C$63,((D459+E459)*C459-G459)*'Assumptions and Catalog'!$H$63+'Assumptions and Catalog'!$E$63+'Assumptions and Catalog'!$F$63,IF(((D459+E459)*C459-G459)&lt;='Assumptions and Catalog'!$C$64,((D459+E459)*C459-G459)*'Assumptions and Catalog'!$H$64+'Assumptions and Catalog'!$E$64+'Assumptions and Catalog'!$F$64,IF(((D459+E459)*C459-G459)&lt;='Assumptions and Catalog'!$C$65,((D459+E459)*C459-G459)*'Assumptions and Catalog'!$H$65+'Assumptions and Catalog'!$E$65+'Assumptions and Catalog'!$F$65,"Out of range")))))))))*(1+'Assumptions and Catalog'!$C$8)^(A459-1),0)</f>
        <v>7094.794</v>
      </c>
      <c r="R459" s="5" t="n">
        <f>IF(AND('Assumptions and Catalog'!$C$19&gt;0,A459&gt;='Assumptions and Catalog'!$C$19),A459-'Assumptions and Catalog'!$C$19,A459-1)</f>
        <v>4</v>
      </c>
      <c r="S459" s="5" t="n">
        <f>F459+L459-(D459+E459)*C459-J459-K459-IF(D$52&gt;0,'Assumptions and Catalog'!$C$26*C459,0)</f>
        <v>0</v>
      </c>
      <c r="T459" s="5"/>
      <c r="U459" s="5"/>
    </row>
    <row r="460" ht="23.100000381469727" customHeight="1">
      <c r="A460" s="5" t="n">
        <v>5</v>
      </c>
      <c r="B460" s="5" t="n">
        <v>2</v>
      </c>
      <c r="C460" s="5" t="n">
        <f>DAY(DATE('Assumptions and Catalog'!$C$24+A460-1,B460+1,0))</f>
        <v>28</v>
      </c>
      <c r="D460" s="5" t="n">
        <f>IF(ISNUMBER(Inputs!$L$5),Inputs!$L$5*Inputs!$L$6,0)</f>
        <v>40.35</v>
      </c>
      <c r="E460" s="5" t="n">
        <f>IF(ISNUMBER(Inputs!$L$5),Inputs!$L$5-D460,0)</f>
        <v>40.35</v>
      </c>
      <c r="F460" s="5" t="n">
        <f>D$51*'Assumptions and Catalog'!$C$31*C460*(1-'Assumptions and Catalog'!$C$10)^(A460-1)</f>
        <v>0</v>
      </c>
      <c r="G460" s="5" t="n">
        <f>MIN(F460,D460*C460)</f>
        <v>0</v>
      </c>
      <c r="H460" s="5" t="n">
        <f>I460/('Assumptions and Catalog'!$C$11*'Assumptions and Catalog'!$C$12)</f>
        <v>0</v>
      </c>
      <c r="I460" s="5" t="n">
        <f>IF(K$15="Grid cycle",MIN(K$16,D460+E460,P460*'Assumptions and Catalog'!$C$12,D$57*(24-'Assumptions and Catalog'!$C$15),D$56*'Assumptions and Catalog'!$C$15*'Assumptions and Catalog'!$C$11*'Assumptions and Catalog'!$C$12)*C460,0)</f>
        <v>0</v>
      </c>
      <c r="J460" s="5" t="n">
        <f>MAX(F460-G460-0,0)</f>
        <v>0</v>
      </c>
      <c r="K460" s="5" t="n">
        <f>H460-I460</f>
        <v>0</v>
      </c>
      <c r="L460" s="5" t="n">
        <f>(D460+E460)*C460-G460-I460+H460+IF(D$52&gt;0,'Assumptions and Catalog'!$C$26*C460,0)</f>
        <v>2259.6</v>
      </c>
      <c r="M460" s="5" t="n">
        <f>IF(ISNUMBER(Inputs!$L$5),(IF(Inputs!$L$9="Actual flat rate",((D460+E460)*C460)*Inputs!$L$10,IF(Inputs!$C$9="Residential",IF(((D460+E460)*C460)&lt;='Assumptions and Catalog'!$C$50,((D460+E460)*C460)*'Assumptions and Catalog'!$H$50+'Assumptions and Catalog'!$E$50+'Assumptions and Catalog'!$F$50,IF(((D460+E460)*C460)&lt;='Assumptions and Catalog'!$C$51,((D460+E460)*C460)*'Assumptions and Catalog'!$H$51+'Assumptions and Catalog'!$E$51+'Assumptions and Catalog'!$F$51,IF(((D460+E460)*C460)&lt;='Assumptions and Catalog'!$C$52,((D460+E460)*C460)*'Assumptions and Catalog'!$H$52+'Assumptions and Catalog'!$E$52+'Assumptions and Catalog'!$F$52,IF(((D460+E460)*C460)&lt;='Assumptions and Catalog'!$C$53,((D460+E460)*C460)*'Assumptions and Catalog'!$H$53+'Assumptions and Catalog'!$E$53+'Assumptions and Catalog'!$F$53,IF(((D460+E460)*C460)&lt;='Assumptions and Catalog'!$C$54,((D460+E460)*C460)*'Assumptions and Catalog'!$H$54+'Assumptions and Catalog'!$E$54+'Assumptions and Catalog'!$F$54,IF(((D460+E460)*C460)&lt;='Assumptions and Catalog'!$C$55,((D460+E460)*C460)*'Assumptions and Catalog'!$H$55+'Assumptions and Catalog'!$E$55+'Assumptions and Catalog'!$F$55,IF(((D460+E460)*C460)&lt;='Assumptions and Catalog'!$C$56,((D460+E460)*C460)*'Assumptions and Catalog'!$H$56+'Assumptions and Catalog'!$E$56+'Assumptions and Catalog'!$F$56,IF(((D460+E460)*C460)&lt;='Assumptions and Catalog'!$C$57,((D460+E460)*C460)*'Assumptions and Catalog'!$H$57+'Assumptions and Catalog'!$E$57+'Assumptions and Catalog'!$F$57,"Out of range")))))))),IF(((D460+E460)*C460)&lt;='Assumptions and Catalog'!$C$60,((D460+E460)*C460)*'Assumptions and Catalog'!$H$60+'Assumptions and Catalog'!$E$60+'Assumptions and Catalog'!$F$60,IF(((D460+E460)*C460)&lt;='Assumptions and Catalog'!$C$61,((D460+E460)*C460)*'Assumptions and Catalog'!$H$61+'Assumptions and Catalog'!$E$61+'Assumptions and Catalog'!$F$61,IF(((D460+E460)*C460)&lt;='Assumptions and Catalog'!$C$62,((D460+E460)*C460)*'Assumptions and Catalog'!$H$62+'Assumptions and Catalog'!$E$62+'Assumptions and Catalog'!$F$62,IF(((D460+E460)*C460)&lt;='Assumptions and Catalog'!$C$63,((D460+E460)*C460)*'Assumptions and Catalog'!$H$63+'Assumptions and Catalog'!$E$63+'Assumptions and Catalog'!$F$63,IF(((D460+E460)*C460)&lt;='Assumptions and Catalog'!$C$64,((D460+E460)*C460)*'Assumptions and Catalog'!$H$64+'Assumptions and Catalog'!$E$64+'Assumptions and Catalog'!$F$64,IF(((D460+E460)*C460)&lt;='Assumptions and Catalog'!$C$65,((D460+E460)*C460)*'Assumptions and Catalog'!$H$65+'Assumptions and Catalog'!$E$65+'Assumptions and Catalog'!$F$65,"Out of range")))))))))*(1+'Assumptions and Catalog'!$C$8)^(A460-1),0)</f>
        <v>6412.072</v>
      </c>
      <c r="N460" s="5" t="n">
        <f>IF(ISNUMBER(Inputs!$L$5),(IF(Inputs!$L$9="Actual flat rate",L460*Inputs!$L$10,IF(Inputs!$C$9="Residential",IF(L460&lt;='Assumptions and Catalog'!$C$50,L460*'Assumptions and Catalog'!$H$50+'Assumptions and Catalog'!$E$50+'Assumptions and Catalog'!$F$50,IF(L460&lt;='Assumptions and Catalog'!$C$51,L460*'Assumptions and Catalog'!$H$51+'Assumptions and Catalog'!$E$51+'Assumptions and Catalog'!$F$51,IF(L460&lt;='Assumptions and Catalog'!$C$52,L460*'Assumptions and Catalog'!$H$52+'Assumptions and Catalog'!$E$52+'Assumptions and Catalog'!$F$52,IF(L460&lt;='Assumptions and Catalog'!$C$53,L460*'Assumptions and Catalog'!$H$53+'Assumptions and Catalog'!$E$53+'Assumptions and Catalog'!$F$53,IF(L460&lt;='Assumptions and Catalog'!$C$54,L460*'Assumptions and Catalog'!$H$54+'Assumptions and Catalog'!$E$54+'Assumptions and Catalog'!$F$54,IF(L460&lt;='Assumptions and Catalog'!$C$55,L460*'Assumptions and Catalog'!$H$55+'Assumptions and Catalog'!$E$55+'Assumptions and Catalog'!$F$55,IF(L460&lt;='Assumptions and Catalog'!$C$56,L460*'Assumptions and Catalog'!$H$56+'Assumptions and Catalog'!$E$56+'Assumptions and Catalog'!$F$56,IF(L460&lt;='Assumptions and Catalog'!$C$57,L460*'Assumptions and Catalog'!$H$57+'Assumptions and Catalog'!$E$57+'Assumptions and Catalog'!$F$57,"Out of range")))))))),IF(L460&lt;='Assumptions and Catalog'!$C$60,L460*'Assumptions and Catalog'!$H$60+'Assumptions and Catalog'!$E$60+'Assumptions and Catalog'!$F$60,IF(L460&lt;='Assumptions and Catalog'!$C$61,L460*'Assumptions and Catalog'!$H$61+'Assumptions and Catalog'!$E$61+'Assumptions and Catalog'!$F$61,IF(L460&lt;='Assumptions and Catalog'!$C$62,L460*'Assumptions and Catalog'!$H$62+'Assumptions and Catalog'!$E$62+'Assumptions and Catalog'!$F$62,IF(L460&lt;='Assumptions and Catalog'!$C$63,L460*'Assumptions and Catalog'!$H$63+'Assumptions and Catalog'!$E$63+'Assumptions and Catalog'!$F$63,IF(L460&lt;='Assumptions and Catalog'!$C$64,L460*'Assumptions and Catalog'!$H$64+'Assumptions and Catalog'!$E$64+'Assumptions and Catalog'!$F$64,IF(L460&lt;='Assumptions and Catalog'!$C$65,L460*'Assumptions and Catalog'!$H$65+'Assumptions and Catalog'!$E$65+'Assumptions and Catalog'!$F$65,"Out of range")))))))))*(1+'Assumptions and Catalog'!$C$8)^(A460-1),0)</f>
        <v>6412.072</v>
      </c>
      <c r="O460" s="5" t="n">
        <f>M460-N460</f>
        <v>0</v>
      </c>
      <c r="P460" s="5" t="n">
        <f>D$55*(1-K$14)*(1-'Assumptions and Catalog'!$C$23)^R460</f>
        <v>0</v>
      </c>
      <c r="Q460" s="5" t="n">
        <f>IF(ISNUMBER(Inputs!$L$5),(IF(Inputs!$L$9="Actual flat rate",((D460+E460)*C460-G460)*Inputs!$L$10,IF(Inputs!$C$9="Residential",IF(((D460+E460)*C460-G460)&lt;='Assumptions and Catalog'!$C$50,((D460+E460)*C460-G460)*'Assumptions and Catalog'!$H$50+'Assumptions and Catalog'!$E$50+'Assumptions and Catalog'!$F$50,IF(((D460+E460)*C460-G460)&lt;='Assumptions and Catalog'!$C$51,((D460+E460)*C460-G460)*'Assumptions and Catalog'!$H$51+'Assumptions and Catalog'!$E$51+'Assumptions and Catalog'!$F$51,IF(((D460+E460)*C460-G460)&lt;='Assumptions and Catalog'!$C$52,((D460+E460)*C460-G460)*'Assumptions and Catalog'!$H$52+'Assumptions and Catalog'!$E$52+'Assumptions and Catalog'!$F$52,IF(((D460+E460)*C460-G460)&lt;='Assumptions and Catalog'!$C$53,((D460+E460)*C460-G460)*'Assumptions and Catalog'!$H$53+'Assumptions and Catalog'!$E$53+'Assumptions and Catalog'!$F$53,IF(((D460+E460)*C460-G460)&lt;='Assumptions and Catalog'!$C$54,((D460+E460)*C460-G460)*'Assumptions and Catalog'!$H$54+'Assumptions and Catalog'!$E$54+'Assumptions and Catalog'!$F$54,IF(((D460+E460)*C460-G460)&lt;='Assumptions and Catalog'!$C$55,((D460+E460)*C460-G460)*'Assumptions and Catalog'!$H$55+'Assumptions and Catalog'!$E$55+'Assumptions and Catalog'!$F$55,IF(((D460+E460)*C460-G460)&lt;='Assumptions and Catalog'!$C$56,((D460+E460)*C460-G460)*'Assumptions and Catalog'!$H$56+'Assumptions and Catalog'!$E$56+'Assumptions and Catalog'!$F$56,IF(((D460+E460)*C460-G460)&lt;='Assumptions and Catalog'!$C$57,((D460+E460)*C460-G460)*'Assumptions and Catalog'!$H$57+'Assumptions and Catalog'!$E$57+'Assumptions and Catalog'!$F$57,"Out of range")))))))),IF(((D460+E460)*C460-G460)&lt;='Assumptions and Catalog'!$C$60,((D460+E460)*C460-G460)*'Assumptions and Catalog'!$H$60+'Assumptions and Catalog'!$E$60+'Assumptions and Catalog'!$F$60,IF(((D460+E460)*C460-G460)&lt;='Assumptions and Catalog'!$C$61,((D460+E460)*C460-G460)*'Assumptions and Catalog'!$H$61+'Assumptions and Catalog'!$E$61+'Assumptions and Catalog'!$F$61,IF(((D460+E460)*C460-G460)&lt;='Assumptions and Catalog'!$C$62,((D460+E460)*C460-G460)*'Assumptions and Catalog'!$H$62+'Assumptions and Catalog'!$E$62+'Assumptions and Catalog'!$F$62,IF(((D460+E460)*C460-G460)&lt;='Assumptions and Catalog'!$C$63,((D460+E460)*C460-G460)*'Assumptions and Catalog'!$H$63+'Assumptions and Catalog'!$E$63+'Assumptions and Catalog'!$F$63,IF(((D460+E460)*C460-G460)&lt;='Assumptions and Catalog'!$C$64,((D460+E460)*C460-G460)*'Assumptions and Catalog'!$H$64+'Assumptions and Catalog'!$E$64+'Assumptions and Catalog'!$F$64,IF(((D460+E460)*C460-G460)&lt;='Assumptions and Catalog'!$C$65,((D460+E460)*C460-G460)*'Assumptions and Catalog'!$H$65+'Assumptions and Catalog'!$E$65+'Assumptions and Catalog'!$F$65,"Out of range")))))))))*(1+'Assumptions and Catalog'!$C$8)^(A460-1),0)</f>
        <v>6412.072</v>
      </c>
      <c r="R460" s="5" t="n">
        <f>IF(AND('Assumptions and Catalog'!$C$19&gt;0,A460&gt;='Assumptions and Catalog'!$C$19),A460-'Assumptions and Catalog'!$C$19,A460-1)</f>
        <v>4</v>
      </c>
      <c r="S460" s="5" t="n">
        <f>F460+L460-(D460+E460)*C460-J460-K460-IF(D$52&gt;0,'Assumptions and Catalog'!$C$26*C460,0)</f>
        <v>0</v>
      </c>
      <c r="T460" s="5"/>
      <c r="U460" s="5"/>
    </row>
    <row r="461" ht="23.100000381469727" customHeight="1">
      <c r="A461" s="5" t="n">
        <v>5</v>
      </c>
      <c r="B461" s="5" t="n">
        <v>3</v>
      </c>
      <c r="C461" s="5" t="n">
        <f>DAY(DATE('Assumptions and Catalog'!$C$24+A461-1,B461+1,0))</f>
        <v>31</v>
      </c>
      <c r="D461" s="5" t="n">
        <f>IF(ISNUMBER(Inputs!$L$5),Inputs!$L$5*Inputs!$L$6,0)</f>
        <v>40.35</v>
      </c>
      <c r="E461" s="5" t="n">
        <f>IF(ISNUMBER(Inputs!$L$5),Inputs!$L$5-D461,0)</f>
        <v>40.35</v>
      </c>
      <c r="F461" s="5" t="n">
        <f>D$51*'Assumptions and Catalog'!$C$31*C461*(1-'Assumptions and Catalog'!$C$10)^(A461-1)</f>
        <v>0</v>
      </c>
      <c r="G461" s="5" t="n">
        <f>MIN(F461,D461*C461)</f>
        <v>0</v>
      </c>
      <c r="H461" s="5" t="n">
        <f>I461/('Assumptions and Catalog'!$C$11*'Assumptions and Catalog'!$C$12)</f>
        <v>0</v>
      </c>
      <c r="I461" s="5" t="n">
        <f>IF(K$15="Grid cycle",MIN(K$16,D461+E461,P461*'Assumptions and Catalog'!$C$12,D$57*(24-'Assumptions and Catalog'!$C$15),D$56*'Assumptions and Catalog'!$C$15*'Assumptions and Catalog'!$C$11*'Assumptions and Catalog'!$C$12)*C461,0)</f>
        <v>0</v>
      </c>
      <c r="J461" s="5" t="n">
        <f>MAX(F461-G461-0,0)</f>
        <v>0</v>
      </c>
      <c r="K461" s="5" t="n">
        <f>H461-I461</f>
        <v>0</v>
      </c>
      <c r="L461" s="5" t="n">
        <f>(D461+E461)*C461-G461-I461+H461+IF(D$52&gt;0,'Assumptions and Catalog'!$C$26*C461,0)</f>
        <v>2501.7</v>
      </c>
      <c r="M461" s="5" t="n">
        <f>IF(ISNUMBER(Inputs!$L$5),(IF(Inputs!$L$9="Actual flat rate",((D461+E461)*C461)*Inputs!$L$10,IF(Inputs!$C$9="Residential",IF(((D461+E461)*C461)&lt;='Assumptions and Catalog'!$C$50,((D461+E461)*C461)*'Assumptions and Catalog'!$H$50+'Assumptions and Catalog'!$E$50+'Assumptions and Catalog'!$F$50,IF(((D461+E461)*C461)&lt;='Assumptions and Catalog'!$C$51,((D461+E461)*C461)*'Assumptions and Catalog'!$H$51+'Assumptions and Catalog'!$E$51+'Assumptions and Catalog'!$F$51,IF(((D461+E461)*C461)&lt;='Assumptions and Catalog'!$C$52,((D461+E461)*C461)*'Assumptions and Catalog'!$H$52+'Assumptions and Catalog'!$E$52+'Assumptions and Catalog'!$F$52,IF(((D461+E461)*C461)&lt;='Assumptions and Catalog'!$C$53,((D461+E461)*C461)*'Assumptions and Catalog'!$H$53+'Assumptions and Catalog'!$E$53+'Assumptions and Catalog'!$F$53,IF(((D461+E461)*C461)&lt;='Assumptions and Catalog'!$C$54,((D461+E461)*C461)*'Assumptions and Catalog'!$H$54+'Assumptions and Catalog'!$E$54+'Assumptions and Catalog'!$F$54,IF(((D461+E461)*C461)&lt;='Assumptions and Catalog'!$C$55,((D461+E461)*C461)*'Assumptions and Catalog'!$H$55+'Assumptions and Catalog'!$E$55+'Assumptions and Catalog'!$F$55,IF(((D461+E461)*C461)&lt;='Assumptions and Catalog'!$C$56,((D461+E461)*C461)*'Assumptions and Catalog'!$H$56+'Assumptions and Catalog'!$E$56+'Assumptions and Catalog'!$F$56,IF(((D461+E461)*C461)&lt;='Assumptions and Catalog'!$C$57,((D461+E461)*C461)*'Assumptions and Catalog'!$H$57+'Assumptions and Catalog'!$E$57+'Assumptions and Catalog'!$F$57,"Out of range")))))))),IF(((D461+E461)*C461)&lt;='Assumptions and Catalog'!$C$60,((D461+E461)*C461)*'Assumptions and Catalog'!$H$60+'Assumptions and Catalog'!$E$60+'Assumptions and Catalog'!$F$60,IF(((D461+E461)*C461)&lt;='Assumptions and Catalog'!$C$61,((D461+E461)*C461)*'Assumptions and Catalog'!$H$61+'Assumptions and Catalog'!$E$61+'Assumptions and Catalog'!$F$61,IF(((D461+E461)*C461)&lt;='Assumptions and Catalog'!$C$62,((D461+E461)*C461)*'Assumptions and Catalog'!$H$62+'Assumptions and Catalog'!$E$62+'Assumptions and Catalog'!$F$62,IF(((D461+E461)*C461)&lt;='Assumptions and Catalog'!$C$63,((D461+E461)*C461)*'Assumptions and Catalog'!$H$63+'Assumptions and Catalog'!$E$63+'Assumptions and Catalog'!$F$63,IF(((D461+E461)*C461)&lt;='Assumptions and Catalog'!$C$64,((D461+E461)*C461)*'Assumptions and Catalog'!$H$64+'Assumptions and Catalog'!$E$64+'Assumptions and Catalog'!$F$64,IF(((D461+E461)*C461)&lt;='Assumptions and Catalog'!$C$65,((D461+E461)*C461)*'Assumptions and Catalog'!$H$65+'Assumptions and Catalog'!$E$65+'Assumptions and Catalog'!$F$65,"Out of range")))))))))*(1+'Assumptions and Catalog'!$C$8)^(A461-1),0)</f>
        <v>7094.794</v>
      </c>
      <c r="N461" s="5" t="n">
        <f>IF(ISNUMBER(Inputs!$L$5),(IF(Inputs!$L$9="Actual flat rate",L461*Inputs!$L$10,IF(Inputs!$C$9="Residential",IF(L461&lt;='Assumptions and Catalog'!$C$50,L461*'Assumptions and Catalog'!$H$50+'Assumptions and Catalog'!$E$50+'Assumptions and Catalog'!$F$50,IF(L461&lt;='Assumptions and Catalog'!$C$51,L461*'Assumptions and Catalog'!$H$51+'Assumptions and Catalog'!$E$51+'Assumptions and Catalog'!$F$51,IF(L461&lt;='Assumptions and Catalog'!$C$52,L461*'Assumptions and Catalog'!$H$52+'Assumptions and Catalog'!$E$52+'Assumptions and Catalog'!$F$52,IF(L461&lt;='Assumptions and Catalog'!$C$53,L461*'Assumptions and Catalog'!$H$53+'Assumptions and Catalog'!$E$53+'Assumptions and Catalog'!$F$53,IF(L461&lt;='Assumptions and Catalog'!$C$54,L461*'Assumptions and Catalog'!$H$54+'Assumptions and Catalog'!$E$54+'Assumptions and Catalog'!$F$54,IF(L461&lt;='Assumptions and Catalog'!$C$55,L461*'Assumptions and Catalog'!$H$55+'Assumptions and Catalog'!$E$55+'Assumptions and Catalog'!$F$55,IF(L461&lt;='Assumptions and Catalog'!$C$56,L461*'Assumptions and Catalog'!$H$56+'Assumptions and Catalog'!$E$56+'Assumptions and Catalog'!$F$56,IF(L461&lt;='Assumptions and Catalog'!$C$57,L461*'Assumptions and Catalog'!$H$57+'Assumptions and Catalog'!$E$57+'Assumptions and Catalog'!$F$57,"Out of range")))))))),IF(L461&lt;='Assumptions and Catalog'!$C$60,L461*'Assumptions and Catalog'!$H$60+'Assumptions and Catalog'!$E$60+'Assumptions and Catalog'!$F$60,IF(L461&lt;='Assumptions and Catalog'!$C$61,L461*'Assumptions and Catalog'!$H$61+'Assumptions and Catalog'!$E$61+'Assumptions and Catalog'!$F$61,IF(L461&lt;='Assumptions and Catalog'!$C$62,L461*'Assumptions and Catalog'!$H$62+'Assumptions and Catalog'!$E$62+'Assumptions and Catalog'!$F$62,IF(L461&lt;='Assumptions and Catalog'!$C$63,L461*'Assumptions and Catalog'!$H$63+'Assumptions and Catalog'!$E$63+'Assumptions and Catalog'!$F$63,IF(L461&lt;='Assumptions and Catalog'!$C$64,L461*'Assumptions and Catalog'!$H$64+'Assumptions and Catalog'!$E$64+'Assumptions and Catalog'!$F$64,IF(L461&lt;='Assumptions and Catalog'!$C$65,L461*'Assumptions and Catalog'!$H$65+'Assumptions and Catalog'!$E$65+'Assumptions and Catalog'!$F$65,"Out of range")))))))))*(1+'Assumptions and Catalog'!$C$8)^(A461-1),0)</f>
        <v>7094.794</v>
      </c>
      <c r="O461" s="5" t="n">
        <f>M461-N461</f>
        <v>0</v>
      </c>
      <c r="P461" s="5" t="n">
        <f>D$55*(1-K$14)*(1-'Assumptions and Catalog'!$C$23)^R461</f>
        <v>0</v>
      </c>
      <c r="Q461" s="5" t="n">
        <f>IF(ISNUMBER(Inputs!$L$5),(IF(Inputs!$L$9="Actual flat rate",((D461+E461)*C461-G461)*Inputs!$L$10,IF(Inputs!$C$9="Residential",IF(((D461+E461)*C461-G461)&lt;='Assumptions and Catalog'!$C$50,((D461+E461)*C461-G461)*'Assumptions and Catalog'!$H$50+'Assumptions and Catalog'!$E$50+'Assumptions and Catalog'!$F$50,IF(((D461+E461)*C461-G461)&lt;='Assumptions and Catalog'!$C$51,((D461+E461)*C461-G461)*'Assumptions and Catalog'!$H$51+'Assumptions and Catalog'!$E$51+'Assumptions and Catalog'!$F$51,IF(((D461+E461)*C461-G461)&lt;='Assumptions and Catalog'!$C$52,((D461+E461)*C461-G461)*'Assumptions and Catalog'!$H$52+'Assumptions and Catalog'!$E$52+'Assumptions and Catalog'!$F$52,IF(((D461+E461)*C461-G461)&lt;='Assumptions and Catalog'!$C$53,((D461+E461)*C461-G461)*'Assumptions and Catalog'!$H$53+'Assumptions and Catalog'!$E$53+'Assumptions and Catalog'!$F$53,IF(((D461+E461)*C461-G461)&lt;='Assumptions and Catalog'!$C$54,((D461+E461)*C461-G461)*'Assumptions and Catalog'!$H$54+'Assumptions and Catalog'!$E$54+'Assumptions and Catalog'!$F$54,IF(((D461+E461)*C461-G461)&lt;='Assumptions and Catalog'!$C$55,((D461+E461)*C461-G461)*'Assumptions and Catalog'!$H$55+'Assumptions and Catalog'!$E$55+'Assumptions and Catalog'!$F$55,IF(((D461+E461)*C461-G461)&lt;='Assumptions and Catalog'!$C$56,((D461+E461)*C461-G461)*'Assumptions and Catalog'!$H$56+'Assumptions and Catalog'!$E$56+'Assumptions and Catalog'!$F$56,IF(((D461+E461)*C461-G461)&lt;='Assumptions and Catalog'!$C$57,((D461+E461)*C461-G461)*'Assumptions and Catalog'!$H$57+'Assumptions and Catalog'!$E$57+'Assumptions and Catalog'!$F$57,"Out of range")))))))),IF(((D461+E461)*C461-G461)&lt;='Assumptions and Catalog'!$C$60,((D461+E461)*C461-G461)*'Assumptions and Catalog'!$H$60+'Assumptions and Catalog'!$E$60+'Assumptions and Catalog'!$F$60,IF(((D461+E461)*C461-G461)&lt;='Assumptions and Catalog'!$C$61,((D461+E461)*C461-G461)*'Assumptions and Catalog'!$H$61+'Assumptions and Catalog'!$E$61+'Assumptions and Catalog'!$F$61,IF(((D461+E461)*C461-G461)&lt;='Assumptions and Catalog'!$C$62,((D461+E461)*C461-G461)*'Assumptions and Catalog'!$H$62+'Assumptions and Catalog'!$E$62+'Assumptions and Catalog'!$F$62,IF(((D461+E461)*C461-G461)&lt;='Assumptions and Catalog'!$C$63,((D461+E461)*C461-G461)*'Assumptions and Catalog'!$H$63+'Assumptions and Catalog'!$E$63+'Assumptions and Catalog'!$F$63,IF(((D461+E461)*C461-G461)&lt;='Assumptions and Catalog'!$C$64,((D461+E461)*C461-G461)*'Assumptions and Catalog'!$H$64+'Assumptions and Catalog'!$E$64+'Assumptions and Catalog'!$F$64,IF(((D461+E461)*C461-G461)&lt;='Assumptions and Catalog'!$C$65,((D461+E461)*C461-G461)*'Assumptions and Catalog'!$H$65+'Assumptions and Catalog'!$E$65+'Assumptions and Catalog'!$F$65,"Out of range")))))))))*(1+'Assumptions and Catalog'!$C$8)^(A461-1),0)</f>
        <v>7094.794</v>
      </c>
      <c r="R461" s="5" t="n">
        <f>IF(AND('Assumptions and Catalog'!$C$19&gt;0,A461&gt;='Assumptions and Catalog'!$C$19),A461-'Assumptions and Catalog'!$C$19,A461-1)</f>
        <v>4</v>
      </c>
      <c r="S461" s="5" t="n">
        <f>F461+L461-(D461+E461)*C461-J461-K461-IF(D$52&gt;0,'Assumptions and Catalog'!$C$26*C461,0)</f>
        <v>0</v>
      </c>
      <c r="T461" s="5"/>
      <c r="U461" s="5"/>
    </row>
    <row r="462" ht="23.100000381469727" customHeight="1">
      <c r="A462" s="5" t="n">
        <v>5</v>
      </c>
      <c r="B462" s="5" t="n">
        <v>4</v>
      </c>
      <c r="C462" s="5" t="n">
        <f>DAY(DATE('Assumptions and Catalog'!$C$24+A462-1,B462+1,0))</f>
        <v>30</v>
      </c>
      <c r="D462" s="5" t="n">
        <f>IF(ISNUMBER(Inputs!$L$5),Inputs!$L$5*Inputs!$L$6,0)</f>
        <v>40.35</v>
      </c>
      <c r="E462" s="5" t="n">
        <f>IF(ISNUMBER(Inputs!$L$5),Inputs!$L$5-D462,0)</f>
        <v>40.35</v>
      </c>
      <c r="F462" s="5" t="n">
        <f>D$51*'Assumptions and Catalog'!$C$31*C462*(1-'Assumptions and Catalog'!$C$10)^(A462-1)</f>
        <v>0</v>
      </c>
      <c r="G462" s="5" t="n">
        <f>MIN(F462,D462*C462)</f>
        <v>0</v>
      </c>
      <c r="H462" s="5" t="n">
        <f>I462/('Assumptions and Catalog'!$C$11*'Assumptions and Catalog'!$C$12)</f>
        <v>0</v>
      </c>
      <c r="I462" s="5" t="n">
        <f>IF(K$15="Grid cycle",MIN(K$16,D462+E462,P462*'Assumptions and Catalog'!$C$12,D$57*(24-'Assumptions and Catalog'!$C$15),D$56*'Assumptions and Catalog'!$C$15*'Assumptions and Catalog'!$C$11*'Assumptions and Catalog'!$C$12)*C462,0)</f>
        <v>0</v>
      </c>
      <c r="J462" s="5" t="n">
        <f>MAX(F462-G462-0,0)</f>
        <v>0</v>
      </c>
      <c r="K462" s="5" t="n">
        <f>H462-I462</f>
        <v>0</v>
      </c>
      <c r="L462" s="5" t="n">
        <f>(D462+E462)*C462-G462-I462+H462+IF(D$52&gt;0,'Assumptions and Catalog'!$C$26*C462,0)</f>
        <v>2421</v>
      </c>
      <c r="M462" s="5" t="n">
        <f>IF(ISNUMBER(Inputs!$L$5),(IF(Inputs!$L$9="Actual flat rate",((D462+E462)*C462)*Inputs!$L$10,IF(Inputs!$C$9="Residential",IF(((D462+E462)*C462)&lt;='Assumptions and Catalog'!$C$50,((D462+E462)*C462)*'Assumptions and Catalog'!$H$50+'Assumptions and Catalog'!$E$50+'Assumptions and Catalog'!$F$50,IF(((D462+E462)*C462)&lt;='Assumptions and Catalog'!$C$51,((D462+E462)*C462)*'Assumptions and Catalog'!$H$51+'Assumptions and Catalog'!$E$51+'Assumptions and Catalog'!$F$51,IF(((D462+E462)*C462)&lt;='Assumptions and Catalog'!$C$52,((D462+E462)*C462)*'Assumptions and Catalog'!$H$52+'Assumptions and Catalog'!$E$52+'Assumptions and Catalog'!$F$52,IF(((D462+E462)*C462)&lt;='Assumptions and Catalog'!$C$53,((D462+E462)*C462)*'Assumptions and Catalog'!$H$53+'Assumptions and Catalog'!$E$53+'Assumptions and Catalog'!$F$53,IF(((D462+E462)*C462)&lt;='Assumptions and Catalog'!$C$54,((D462+E462)*C462)*'Assumptions and Catalog'!$H$54+'Assumptions and Catalog'!$E$54+'Assumptions and Catalog'!$F$54,IF(((D462+E462)*C462)&lt;='Assumptions and Catalog'!$C$55,((D462+E462)*C462)*'Assumptions and Catalog'!$H$55+'Assumptions and Catalog'!$E$55+'Assumptions and Catalog'!$F$55,IF(((D462+E462)*C462)&lt;='Assumptions and Catalog'!$C$56,((D462+E462)*C462)*'Assumptions and Catalog'!$H$56+'Assumptions and Catalog'!$E$56+'Assumptions and Catalog'!$F$56,IF(((D462+E462)*C462)&lt;='Assumptions and Catalog'!$C$57,((D462+E462)*C462)*'Assumptions and Catalog'!$H$57+'Assumptions and Catalog'!$E$57+'Assumptions and Catalog'!$F$57,"Out of range")))))))),IF(((D462+E462)*C462)&lt;='Assumptions and Catalog'!$C$60,((D462+E462)*C462)*'Assumptions and Catalog'!$H$60+'Assumptions and Catalog'!$E$60+'Assumptions and Catalog'!$F$60,IF(((D462+E462)*C462)&lt;='Assumptions and Catalog'!$C$61,((D462+E462)*C462)*'Assumptions and Catalog'!$H$61+'Assumptions and Catalog'!$E$61+'Assumptions and Catalog'!$F$61,IF(((D462+E462)*C462)&lt;='Assumptions and Catalog'!$C$62,((D462+E462)*C462)*'Assumptions and Catalog'!$H$62+'Assumptions and Catalog'!$E$62+'Assumptions and Catalog'!$F$62,IF(((D462+E462)*C462)&lt;='Assumptions and Catalog'!$C$63,((D462+E462)*C462)*'Assumptions and Catalog'!$H$63+'Assumptions and Catalog'!$E$63+'Assumptions and Catalog'!$F$63,IF(((D462+E462)*C462)&lt;='Assumptions and Catalog'!$C$64,((D462+E462)*C462)*'Assumptions and Catalog'!$H$64+'Assumptions and Catalog'!$E$64+'Assumptions and Catalog'!$F$64,IF(((D462+E462)*C462)&lt;='Assumptions and Catalog'!$C$65,((D462+E462)*C462)*'Assumptions and Catalog'!$H$65+'Assumptions and Catalog'!$E$65+'Assumptions and Catalog'!$F$65,"Out of range")))))))))*(1+'Assumptions and Catalog'!$C$8)^(A462-1),0)</f>
        <v>6867.22</v>
      </c>
      <c r="N462" s="5" t="n">
        <f>IF(ISNUMBER(Inputs!$L$5),(IF(Inputs!$L$9="Actual flat rate",L462*Inputs!$L$10,IF(Inputs!$C$9="Residential",IF(L462&lt;='Assumptions and Catalog'!$C$50,L462*'Assumptions and Catalog'!$H$50+'Assumptions and Catalog'!$E$50+'Assumptions and Catalog'!$F$50,IF(L462&lt;='Assumptions and Catalog'!$C$51,L462*'Assumptions and Catalog'!$H$51+'Assumptions and Catalog'!$E$51+'Assumptions and Catalog'!$F$51,IF(L462&lt;='Assumptions and Catalog'!$C$52,L462*'Assumptions and Catalog'!$H$52+'Assumptions and Catalog'!$E$52+'Assumptions and Catalog'!$F$52,IF(L462&lt;='Assumptions and Catalog'!$C$53,L462*'Assumptions and Catalog'!$H$53+'Assumptions and Catalog'!$E$53+'Assumptions and Catalog'!$F$53,IF(L462&lt;='Assumptions and Catalog'!$C$54,L462*'Assumptions and Catalog'!$H$54+'Assumptions and Catalog'!$E$54+'Assumptions and Catalog'!$F$54,IF(L462&lt;='Assumptions and Catalog'!$C$55,L462*'Assumptions and Catalog'!$H$55+'Assumptions and Catalog'!$E$55+'Assumptions and Catalog'!$F$55,IF(L462&lt;='Assumptions and Catalog'!$C$56,L462*'Assumptions and Catalog'!$H$56+'Assumptions and Catalog'!$E$56+'Assumptions and Catalog'!$F$56,IF(L462&lt;='Assumptions and Catalog'!$C$57,L462*'Assumptions and Catalog'!$H$57+'Assumptions and Catalog'!$E$57+'Assumptions and Catalog'!$F$57,"Out of range")))))))),IF(L462&lt;='Assumptions and Catalog'!$C$60,L462*'Assumptions and Catalog'!$H$60+'Assumptions and Catalog'!$E$60+'Assumptions and Catalog'!$F$60,IF(L462&lt;='Assumptions and Catalog'!$C$61,L462*'Assumptions and Catalog'!$H$61+'Assumptions and Catalog'!$E$61+'Assumptions and Catalog'!$F$61,IF(L462&lt;='Assumptions and Catalog'!$C$62,L462*'Assumptions and Catalog'!$H$62+'Assumptions and Catalog'!$E$62+'Assumptions and Catalog'!$F$62,IF(L462&lt;='Assumptions and Catalog'!$C$63,L462*'Assumptions and Catalog'!$H$63+'Assumptions and Catalog'!$E$63+'Assumptions and Catalog'!$F$63,IF(L462&lt;='Assumptions and Catalog'!$C$64,L462*'Assumptions and Catalog'!$H$64+'Assumptions and Catalog'!$E$64+'Assumptions and Catalog'!$F$64,IF(L462&lt;='Assumptions and Catalog'!$C$65,L462*'Assumptions and Catalog'!$H$65+'Assumptions and Catalog'!$E$65+'Assumptions and Catalog'!$F$65,"Out of range")))))))))*(1+'Assumptions and Catalog'!$C$8)^(A462-1),0)</f>
        <v>6867.22</v>
      </c>
      <c r="O462" s="5" t="n">
        <f>M462-N462</f>
        <v>0</v>
      </c>
      <c r="P462" s="5" t="n">
        <f>D$55*(1-K$14)*(1-'Assumptions and Catalog'!$C$23)^R462</f>
        <v>0</v>
      </c>
      <c r="Q462" s="5" t="n">
        <f>IF(ISNUMBER(Inputs!$L$5),(IF(Inputs!$L$9="Actual flat rate",((D462+E462)*C462-G462)*Inputs!$L$10,IF(Inputs!$C$9="Residential",IF(((D462+E462)*C462-G462)&lt;='Assumptions and Catalog'!$C$50,((D462+E462)*C462-G462)*'Assumptions and Catalog'!$H$50+'Assumptions and Catalog'!$E$50+'Assumptions and Catalog'!$F$50,IF(((D462+E462)*C462-G462)&lt;='Assumptions and Catalog'!$C$51,((D462+E462)*C462-G462)*'Assumptions and Catalog'!$H$51+'Assumptions and Catalog'!$E$51+'Assumptions and Catalog'!$F$51,IF(((D462+E462)*C462-G462)&lt;='Assumptions and Catalog'!$C$52,((D462+E462)*C462-G462)*'Assumptions and Catalog'!$H$52+'Assumptions and Catalog'!$E$52+'Assumptions and Catalog'!$F$52,IF(((D462+E462)*C462-G462)&lt;='Assumptions and Catalog'!$C$53,((D462+E462)*C462-G462)*'Assumptions and Catalog'!$H$53+'Assumptions and Catalog'!$E$53+'Assumptions and Catalog'!$F$53,IF(((D462+E462)*C462-G462)&lt;='Assumptions and Catalog'!$C$54,((D462+E462)*C462-G462)*'Assumptions and Catalog'!$H$54+'Assumptions and Catalog'!$E$54+'Assumptions and Catalog'!$F$54,IF(((D462+E462)*C462-G462)&lt;='Assumptions and Catalog'!$C$55,((D462+E462)*C462-G462)*'Assumptions and Catalog'!$H$55+'Assumptions and Catalog'!$E$55+'Assumptions and Catalog'!$F$55,IF(((D462+E462)*C462-G462)&lt;='Assumptions and Catalog'!$C$56,((D462+E462)*C462-G462)*'Assumptions and Catalog'!$H$56+'Assumptions and Catalog'!$E$56+'Assumptions and Catalog'!$F$56,IF(((D462+E462)*C462-G462)&lt;='Assumptions and Catalog'!$C$57,((D462+E462)*C462-G462)*'Assumptions and Catalog'!$H$57+'Assumptions and Catalog'!$E$57+'Assumptions and Catalog'!$F$57,"Out of range")))))))),IF(((D462+E462)*C462-G462)&lt;='Assumptions and Catalog'!$C$60,((D462+E462)*C462-G462)*'Assumptions and Catalog'!$H$60+'Assumptions and Catalog'!$E$60+'Assumptions and Catalog'!$F$60,IF(((D462+E462)*C462-G462)&lt;='Assumptions and Catalog'!$C$61,((D462+E462)*C462-G462)*'Assumptions and Catalog'!$H$61+'Assumptions and Catalog'!$E$61+'Assumptions and Catalog'!$F$61,IF(((D462+E462)*C462-G462)&lt;='Assumptions and Catalog'!$C$62,((D462+E462)*C462-G462)*'Assumptions and Catalog'!$H$62+'Assumptions and Catalog'!$E$62+'Assumptions and Catalog'!$F$62,IF(((D462+E462)*C462-G462)&lt;='Assumptions and Catalog'!$C$63,((D462+E462)*C462-G462)*'Assumptions and Catalog'!$H$63+'Assumptions and Catalog'!$E$63+'Assumptions and Catalog'!$F$63,IF(((D462+E462)*C462-G462)&lt;='Assumptions and Catalog'!$C$64,((D462+E462)*C462-G462)*'Assumptions and Catalog'!$H$64+'Assumptions and Catalog'!$E$64+'Assumptions and Catalog'!$F$64,IF(((D462+E462)*C462-G462)&lt;='Assumptions and Catalog'!$C$65,((D462+E462)*C462-G462)*'Assumptions and Catalog'!$H$65+'Assumptions and Catalog'!$E$65+'Assumptions and Catalog'!$F$65,"Out of range")))))))))*(1+'Assumptions and Catalog'!$C$8)^(A462-1),0)</f>
        <v>6867.22</v>
      </c>
      <c r="R462" s="5" t="n">
        <f>IF(AND('Assumptions and Catalog'!$C$19&gt;0,A462&gt;='Assumptions and Catalog'!$C$19),A462-'Assumptions and Catalog'!$C$19,A462-1)</f>
        <v>4</v>
      </c>
      <c r="S462" s="5" t="n">
        <f>F462+L462-(D462+E462)*C462-J462-K462-IF(D$52&gt;0,'Assumptions and Catalog'!$C$26*C462,0)</f>
        <v>0</v>
      </c>
      <c r="T462" s="5"/>
      <c r="U462" s="5"/>
    </row>
    <row r="463" ht="23.100000381469727" customHeight="1">
      <c r="A463" s="5" t="n">
        <v>5</v>
      </c>
      <c r="B463" s="5" t="n">
        <v>5</v>
      </c>
      <c r="C463" s="5" t="n">
        <f>DAY(DATE('Assumptions and Catalog'!$C$24+A463-1,B463+1,0))</f>
        <v>31</v>
      </c>
      <c r="D463" s="5" t="n">
        <f>IF(ISNUMBER(Inputs!$L$5),Inputs!$L$5*Inputs!$L$6,0)</f>
        <v>40.35</v>
      </c>
      <c r="E463" s="5" t="n">
        <f>IF(ISNUMBER(Inputs!$L$5),Inputs!$L$5-D463,0)</f>
        <v>40.35</v>
      </c>
      <c r="F463" s="5" t="n">
        <f>D$51*'Assumptions and Catalog'!$C$31*C463*(1-'Assumptions and Catalog'!$C$10)^(A463-1)</f>
        <v>0</v>
      </c>
      <c r="G463" s="5" t="n">
        <f>MIN(F463,D463*C463)</f>
        <v>0</v>
      </c>
      <c r="H463" s="5" t="n">
        <f>I463/('Assumptions and Catalog'!$C$11*'Assumptions and Catalog'!$C$12)</f>
        <v>0</v>
      </c>
      <c r="I463" s="5" t="n">
        <f>IF(K$15="Grid cycle",MIN(K$16,D463+E463,P463*'Assumptions and Catalog'!$C$12,D$57*(24-'Assumptions and Catalog'!$C$15),D$56*'Assumptions and Catalog'!$C$15*'Assumptions and Catalog'!$C$11*'Assumptions and Catalog'!$C$12)*C463,0)</f>
        <v>0</v>
      </c>
      <c r="J463" s="5" t="n">
        <f>MAX(F463-G463-0,0)</f>
        <v>0</v>
      </c>
      <c r="K463" s="5" t="n">
        <f>H463-I463</f>
        <v>0</v>
      </c>
      <c r="L463" s="5" t="n">
        <f>(D463+E463)*C463-G463-I463+H463+IF(D$52&gt;0,'Assumptions and Catalog'!$C$26*C463,0)</f>
        <v>2501.7</v>
      </c>
      <c r="M463" s="5" t="n">
        <f>IF(ISNUMBER(Inputs!$L$5),(IF(Inputs!$L$9="Actual flat rate",((D463+E463)*C463)*Inputs!$L$10,IF(Inputs!$C$9="Residential",IF(((D463+E463)*C463)&lt;='Assumptions and Catalog'!$C$50,((D463+E463)*C463)*'Assumptions and Catalog'!$H$50+'Assumptions and Catalog'!$E$50+'Assumptions and Catalog'!$F$50,IF(((D463+E463)*C463)&lt;='Assumptions and Catalog'!$C$51,((D463+E463)*C463)*'Assumptions and Catalog'!$H$51+'Assumptions and Catalog'!$E$51+'Assumptions and Catalog'!$F$51,IF(((D463+E463)*C463)&lt;='Assumptions and Catalog'!$C$52,((D463+E463)*C463)*'Assumptions and Catalog'!$H$52+'Assumptions and Catalog'!$E$52+'Assumptions and Catalog'!$F$52,IF(((D463+E463)*C463)&lt;='Assumptions and Catalog'!$C$53,((D463+E463)*C463)*'Assumptions and Catalog'!$H$53+'Assumptions and Catalog'!$E$53+'Assumptions and Catalog'!$F$53,IF(((D463+E463)*C463)&lt;='Assumptions and Catalog'!$C$54,((D463+E463)*C463)*'Assumptions and Catalog'!$H$54+'Assumptions and Catalog'!$E$54+'Assumptions and Catalog'!$F$54,IF(((D463+E463)*C463)&lt;='Assumptions and Catalog'!$C$55,((D463+E463)*C463)*'Assumptions and Catalog'!$H$55+'Assumptions and Catalog'!$E$55+'Assumptions and Catalog'!$F$55,IF(((D463+E463)*C463)&lt;='Assumptions and Catalog'!$C$56,((D463+E463)*C463)*'Assumptions and Catalog'!$H$56+'Assumptions and Catalog'!$E$56+'Assumptions and Catalog'!$F$56,IF(((D463+E463)*C463)&lt;='Assumptions and Catalog'!$C$57,((D463+E463)*C463)*'Assumptions and Catalog'!$H$57+'Assumptions and Catalog'!$E$57+'Assumptions and Catalog'!$F$57,"Out of range")))))))),IF(((D463+E463)*C463)&lt;='Assumptions and Catalog'!$C$60,((D463+E463)*C463)*'Assumptions and Catalog'!$H$60+'Assumptions and Catalog'!$E$60+'Assumptions and Catalog'!$F$60,IF(((D463+E463)*C463)&lt;='Assumptions and Catalog'!$C$61,((D463+E463)*C463)*'Assumptions and Catalog'!$H$61+'Assumptions and Catalog'!$E$61+'Assumptions and Catalog'!$F$61,IF(((D463+E463)*C463)&lt;='Assumptions and Catalog'!$C$62,((D463+E463)*C463)*'Assumptions and Catalog'!$H$62+'Assumptions and Catalog'!$E$62+'Assumptions and Catalog'!$F$62,IF(((D463+E463)*C463)&lt;='Assumptions and Catalog'!$C$63,((D463+E463)*C463)*'Assumptions and Catalog'!$H$63+'Assumptions and Catalog'!$E$63+'Assumptions and Catalog'!$F$63,IF(((D463+E463)*C463)&lt;='Assumptions and Catalog'!$C$64,((D463+E463)*C463)*'Assumptions and Catalog'!$H$64+'Assumptions and Catalog'!$E$64+'Assumptions and Catalog'!$F$64,IF(((D463+E463)*C463)&lt;='Assumptions and Catalog'!$C$65,((D463+E463)*C463)*'Assumptions and Catalog'!$H$65+'Assumptions and Catalog'!$E$65+'Assumptions and Catalog'!$F$65,"Out of range")))))))))*(1+'Assumptions and Catalog'!$C$8)^(A463-1),0)</f>
        <v>7094.794</v>
      </c>
      <c r="N463" s="5" t="n">
        <f>IF(ISNUMBER(Inputs!$L$5),(IF(Inputs!$L$9="Actual flat rate",L463*Inputs!$L$10,IF(Inputs!$C$9="Residential",IF(L463&lt;='Assumptions and Catalog'!$C$50,L463*'Assumptions and Catalog'!$H$50+'Assumptions and Catalog'!$E$50+'Assumptions and Catalog'!$F$50,IF(L463&lt;='Assumptions and Catalog'!$C$51,L463*'Assumptions and Catalog'!$H$51+'Assumptions and Catalog'!$E$51+'Assumptions and Catalog'!$F$51,IF(L463&lt;='Assumptions and Catalog'!$C$52,L463*'Assumptions and Catalog'!$H$52+'Assumptions and Catalog'!$E$52+'Assumptions and Catalog'!$F$52,IF(L463&lt;='Assumptions and Catalog'!$C$53,L463*'Assumptions and Catalog'!$H$53+'Assumptions and Catalog'!$E$53+'Assumptions and Catalog'!$F$53,IF(L463&lt;='Assumptions and Catalog'!$C$54,L463*'Assumptions and Catalog'!$H$54+'Assumptions and Catalog'!$E$54+'Assumptions and Catalog'!$F$54,IF(L463&lt;='Assumptions and Catalog'!$C$55,L463*'Assumptions and Catalog'!$H$55+'Assumptions and Catalog'!$E$55+'Assumptions and Catalog'!$F$55,IF(L463&lt;='Assumptions and Catalog'!$C$56,L463*'Assumptions and Catalog'!$H$56+'Assumptions and Catalog'!$E$56+'Assumptions and Catalog'!$F$56,IF(L463&lt;='Assumptions and Catalog'!$C$57,L463*'Assumptions and Catalog'!$H$57+'Assumptions and Catalog'!$E$57+'Assumptions and Catalog'!$F$57,"Out of range")))))))),IF(L463&lt;='Assumptions and Catalog'!$C$60,L463*'Assumptions and Catalog'!$H$60+'Assumptions and Catalog'!$E$60+'Assumptions and Catalog'!$F$60,IF(L463&lt;='Assumptions and Catalog'!$C$61,L463*'Assumptions and Catalog'!$H$61+'Assumptions and Catalog'!$E$61+'Assumptions and Catalog'!$F$61,IF(L463&lt;='Assumptions and Catalog'!$C$62,L463*'Assumptions and Catalog'!$H$62+'Assumptions and Catalog'!$E$62+'Assumptions and Catalog'!$F$62,IF(L463&lt;='Assumptions and Catalog'!$C$63,L463*'Assumptions and Catalog'!$H$63+'Assumptions and Catalog'!$E$63+'Assumptions and Catalog'!$F$63,IF(L463&lt;='Assumptions and Catalog'!$C$64,L463*'Assumptions and Catalog'!$H$64+'Assumptions and Catalog'!$E$64+'Assumptions and Catalog'!$F$64,IF(L463&lt;='Assumptions and Catalog'!$C$65,L463*'Assumptions and Catalog'!$H$65+'Assumptions and Catalog'!$E$65+'Assumptions and Catalog'!$F$65,"Out of range")))))))))*(1+'Assumptions and Catalog'!$C$8)^(A463-1),0)</f>
        <v>7094.794</v>
      </c>
      <c r="O463" s="5" t="n">
        <f>M463-N463</f>
        <v>0</v>
      </c>
      <c r="P463" s="5" t="n">
        <f>D$55*(1-K$14)*(1-'Assumptions and Catalog'!$C$23)^R463</f>
        <v>0</v>
      </c>
      <c r="Q463" s="5" t="n">
        <f>IF(ISNUMBER(Inputs!$L$5),(IF(Inputs!$L$9="Actual flat rate",((D463+E463)*C463-G463)*Inputs!$L$10,IF(Inputs!$C$9="Residential",IF(((D463+E463)*C463-G463)&lt;='Assumptions and Catalog'!$C$50,((D463+E463)*C463-G463)*'Assumptions and Catalog'!$H$50+'Assumptions and Catalog'!$E$50+'Assumptions and Catalog'!$F$50,IF(((D463+E463)*C463-G463)&lt;='Assumptions and Catalog'!$C$51,((D463+E463)*C463-G463)*'Assumptions and Catalog'!$H$51+'Assumptions and Catalog'!$E$51+'Assumptions and Catalog'!$F$51,IF(((D463+E463)*C463-G463)&lt;='Assumptions and Catalog'!$C$52,((D463+E463)*C463-G463)*'Assumptions and Catalog'!$H$52+'Assumptions and Catalog'!$E$52+'Assumptions and Catalog'!$F$52,IF(((D463+E463)*C463-G463)&lt;='Assumptions and Catalog'!$C$53,((D463+E463)*C463-G463)*'Assumptions and Catalog'!$H$53+'Assumptions and Catalog'!$E$53+'Assumptions and Catalog'!$F$53,IF(((D463+E463)*C463-G463)&lt;='Assumptions and Catalog'!$C$54,((D463+E463)*C463-G463)*'Assumptions and Catalog'!$H$54+'Assumptions and Catalog'!$E$54+'Assumptions and Catalog'!$F$54,IF(((D463+E463)*C463-G463)&lt;='Assumptions and Catalog'!$C$55,((D463+E463)*C463-G463)*'Assumptions and Catalog'!$H$55+'Assumptions and Catalog'!$E$55+'Assumptions and Catalog'!$F$55,IF(((D463+E463)*C463-G463)&lt;='Assumptions and Catalog'!$C$56,((D463+E463)*C463-G463)*'Assumptions and Catalog'!$H$56+'Assumptions and Catalog'!$E$56+'Assumptions and Catalog'!$F$56,IF(((D463+E463)*C463-G463)&lt;='Assumptions and Catalog'!$C$57,((D463+E463)*C463-G463)*'Assumptions and Catalog'!$H$57+'Assumptions and Catalog'!$E$57+'Assumptions and Catalog'!$F$57,"Out of range")))))))),IF(((D463+E463)*C463-G463)&lt;='Assumptions and Catalog'!$C$60,((D463+E463)*C463-G463)*'Assumptions and Catalog'!$H$60+'Assumptions and Catalog'!$E$60+'Assumptions and Catalog'!$F$60,IF(((D463+E463)*C463-G463)&lt;='Assumptions and Catalog'!$C$61,((D463+E463)*C463-G463)*'Assumptions and Catalog'!$H$61+'Assumptions and Catalog'!$E$61+'Assumptions and Catalog'!$F$61,IF(((D463+E463)*C463-G463)&lt;='Assumptions and Catalog'!$C$62,((D463+E463)*C463-G463)*'Assumptions and Catalog'!$H$62+'Assumptions and Catalog'!$E$62+'Assumptions and Catalog'!$F$62,IF(((D463+E463)*C463-G463)&lt;='Assumptions and Catalog'!$C$63,((D463+E463)*C463-G463)*'Assumptions and Catalog'!$H$63+'Assumptions and Catalog'!$E$63+'Assumptions and Catalog'!$F$63,IF(((D463+E463)*C463-G463)&lt;='Assumptions and Catalog'!$C$64,((D463+E463)*C463-G463)*'Assumptions and Catalog'!$H$64+'Assumptions and Catalog'!$E$64+'Assumptions and Catalog'!$F$64,IF(((D463+E463)*C463-G463)&lt;='Assumptions and Catalog'!$C$65,((D463+E463)*C463-G463)*'Assumptions and Catalog'!$H$65+'Assumptions and Catalog'!$E$65+'Assumptions and Catalog'!$F$65,"Out of range")))))))))*(1+'Assumptions and Catalog'!$C$8)^(A463-1),0)</f>
        <v>7094.794</v>
      </c>
      <c r="R463" s="5" t="n">
        <f>IF(AND('Assumptions and Catalog'!$C$19&gt;0,A463&gt;='Assumptions and Catalog'!$C$19),A463-'Assumptions and Catalog'!$C$19,A463-1)</f>
        <v>4</v>
      </c>
      <c r="S463" s="5" t="n">
        <f>F463+L463-(D463+E463)*C463-J463-K463-IF(D$52&gt;0,'Assumptions and Catalog'!$C$26*C463,0)</f>
        <v>0</v>
      </c>
      <c r="T463" s="5"/>
      <c r="U463" s="5"/>
    </row>
    <row r="464" ht="23.100000381469727" customHeight="1">
      <c r="A464" s="5" t="n">
        <v>5</v>
      </c>
      <c r="B464" s="5" t="n">
        <v>6</v>
      </c>
      <c r="C464" s="5" t="n">
        <f>DAY(DATE('Assumptions and Catalog'!$C$24+A464-1,B464+1,0))</f>
        <v>30</v>
      </c>
      <c r="D464" s="5" t="n">
        <f>IF(ISNUMBER(Inputs!$L$5),Inputs!$L$5*Inputs!$L$6,0)</f>
        <v>40.35</v>
      </c>
      <c r="E464" s="5" t="n">
        <f>IF(ISNUMBER(Inputs!$L$5),Inputs!$L$5-D464,0)</f>
        <v>40.35</v>
      </c>
      <c r="F464" s="5" t="n">
        <f>D$51*'Assumptions and Catalog'!$C$31*C464*(1-'Assumptions and Catalog'!$C$10)^(A464-1)</f>
        <v>0</v>
      </c>
      <c r="G464" s="5" t="n">
        <f>MIN(F464,D464*C464)</f>
        <v>0</v>
      </c>
      <c r="H464" s="5" t="n">
        <f>I464/('Assumptions and Catalog'!$C$11*'Assumptions and Catalog'!$C$12)</f>
        <v>0</v>
      </c>
      <c r="I464" s="5" t="n">
        <f>IF(K$15="Grid cycle",MIN(K$16,D464+E464,P464*'Assumptions and Catalog'!$C$12,D$57*(24-'Assumptions and Catalog'!$C$15),D$56*'Assumptions and Catalog'!$C$15*'Assumptions and Catalog'!$C$11*'Assumptions and Catalog'!$C$12)*C464,0)</f>
        <v>0</v>
      </c>
      <c r="J464" s="5" t="n">
        <f>MAX(F464-G464-0,0)</f>
        <v>0</v>
      </c>
      <c r="K464" s="5" t="n">
        <f>H464-I464</f>
        <v>0</v>
      </c>
      <c r="L464" s="5" t="n">
        <f>(D464+E464)*C464-G464-I464+H464+IF(D$52&gt;0,'Assumptions and Catalog'!$C$26*C464,0)</f>
        <v>2421</v>
      </c>
      <c r="M464" s="5" t="n">
        <f>IF(ISNUMBER(Inputs!$L$5),(IF(Inputs!$L$9="Actual flat rate",((D464+E464)*C464)*Inputs!$L$10,IF(Inputs!$C$9="Residential",IF(((D464+E464)*C464)&lt;='Assumptions and Catalog'!$C$50,((D464+E464)*C464)*'Assumptions and Catalog'!$H$50+'Assumptions and Catalog'!$E$50+'Assumptions and Catalog'!$F$50,IF(((D464+E464)*C464)&lt;='Assumptions and Catalog'!$C$51,((D464+E464)*C464)*'Assumptions and Catalog'!$H$51+'Assumptions and Catalog'!$E$51+'Assumptions and Catalog'!$F$51,IF(((D464+E464)*C464)&lt;='Assumptions and Catalog'!$C$52,((D464+E464)*C464)*'Assumptions and Catalog'!$H$52+'Assumptions and Catalog'!$E$52+'Assumptions and Catalog'!$F$52,IF(((D464+E464)*C464)&lt;='Assumptions and Catalog'!$C$53,((D464+E464)*C464)*'Assumptions and Catalog'!$H$53+'Assumptions and Catalog'!$E$53+'Assumptions and Catalog'!$F$53,IF(((D464+E464)*C464)&lt;='Assumptions and Catalog'!$C$54,((D464+E464)*C464)*'Assumptions and Catalog'!$H$54+'Assumptions and Catalog'!$E$54+'Assumptions and Catalog'!$F$54,IF(((D464+E464)*C464)&lt;='Assumptions and Catalog'!$C$55,((D464+E464)*C464)*'Assumptions and Catalog'!$H$55+'Assumptions and Catalog'!$E$55+'Assumptions and Catalog'!$F$55,IF(((D464+E464)*C464)&lt;='Assumptions and Catalog'!$C$56,((D464+E464)*C464)*'Assumptions and Catalog'!$H$56+'Assumptions and Catalog'!$E$56+'Assumptions and Catalog'!$F$56,IF(((D464+E464)*C464)&lt;='Assumptions and Catalog'!$C$57,((D464+E464)*C464)*'Assumptions and Catalog'!$H$57+'Assumptions and Catalog'!$E$57+'Assumptions and Catalog'!$F$57,"Out of range")))))))),IF(((D464+E464)*C464)&lt;='Assumptions and Catalog'!$C$60,((D464+E464)*C464)*'Assumptions and Catalog'!$H$60+'Assumptions and Catalog'!$E$60+'Assumptions and Catalog'!$F$60,IF(((D464+E464)*C464)&lt;='Assumptions and Catalog'!$C$61,((D464+E464)*C464)*'Assumptions and Catalog'!$H$61+'Assumptions and Catalog'!$E$61+'Assumptions and Catalog'!$F$61,IF(((D464+E464)*C464)&lt;='Assumptions and Catalog'!$C$62,((D464+E464)*C464)*'Assumptions and Catalog'!$H$62+'Assumptions and Catalog'!$E$62+'Assumptions and Catalog'!$F$62,IF(((D464+E464)*C464)&lt;='Assumptions and Catalog'!$C$63,((D464+E464)*C464)*'Assumptions and Catalog'!$H$63+'Assumptions and Catalog'!$E$63+'Assumptions and Catalog'!$F$63,IF(((D464+E464)*C464)&lt;='Assumptions and Catalog'!$C$64,((D464+E464)*C464)*'Assumptions and Catalog'!$H$64+'Assumptions and Catalog'!$E$64+'Assumptions and Catalog'!$F$64,IF(((D464+E464)*C464)&lt;='Assumptions and Catalog'!$C$65,((D464+E464)*C464)*'Assumptions and Catalog'!$H$65+'Assumptions and Catalog'!$E$65+'Assumptions and Catalog'!$F$65,"Out of range")))))))))*(1+'Assumptions and Catalog'!$C$8)^(A464-1),0)</f>
        <v>6867.22</v>
      </c>
      <c r="N464" s="5" t="n">
        <f>IF(ISNUMBER(Inputs!$L$5),(IF(Inputs!$L$9="Actual flat rate",L464*Inputs!$L$10,IF(Inputs!$C$9="Residential",IF(L464&lt;='Assumptions and Catalog'!$C$50,L464*'Assumptions and Catalog'!$H$50+'Assumptions and Catalog'!$E$50+'Assumptions and Catalog'!$F$50,IF(L464&lt;='Assumptions and Catalog'!$C$51,L464*'Assumptions and Catalog'!$H$51+'Assumptions and Catalog'!$E$51+'Assumptions and Catalog'!$F$51,IF(L464&lt;='Assumptions and Catalog'!$C$52,L464*'Assumptions and Catalog'!$H$52+'Assumptions and Catalog'!$E$52+'Assumptions and Catalog'!$F$52,IF(L464&lt;='Assumptions and Catalog'!$C$53,L464*'Assumptions and Catalog'!$H$53+'Assumptions and Catalog'!$E$53+'Assumptions and Catalog'!$F$53,IF(L464&lt;='Assumptions and Catalog'!$C$54,L464*'Assumptions and Catalog'!$H$54+'Assumptions and Catalog'!$E$54+'Assumptions and Catalog'!$F$54,IF(L464&lt;='Assumptions and Catalog'!$C$55,L464*'Assumptions and Catalog'!$H$55+'Assumptions and Catalog'!$E$55+'Assumptions and Catalog'!$F$55,IF(L464&lt;='Assumptions and Catalog'!$C$56,L464*'Assumptions and Catalog'!$H$56+'Assumptions and Catalog'!$E$56+'Assumptions and Catalog'!$F$56,IF(L464&lt;='Assumptions and Catalog'!$C$57,L464*'Assumptions and Catalog'!$H$57+'Assumptions and Catalog'!$E$57+'Assumptions and Catalog'!$F$57,"Out of range")))))))),IF(L464&lt;='Assumptions and Catalog'!$C$60,L464*'Assumptions and Catalog'!$H$60+'Assumptions and Catalog'!$E$60+'Assumptions and Catalog'!$F$60,IF(L464&lt;='Assumptions and Catalog'!$C$61,L464*'Assumptions and Catalog'!$H$61+'Assumptions and Catalog'!$E$61+'Assumptions and Catalog'!$F$61,IF(L464&lt;='Assumptions and Catalog'!$C$62,L464*'Assumptions and Catalog'!$H$62+'Assumptions and Catalog'!$E$62+'Assumptions and Catalog'!$F$62,IF(L464&lt;='Assumptions and Catalog'!$C$63,L464*'Assumptions and Catalog'!$H$63+'Assumptions and Catalog'!$E$63+'Assumptions and Catalog'!$F$63,IF(L464&lt;='Assumptions and Catalog'!$C$64,L464*'Assumptions and Catalog'!$H$64+'Assumptions and Catalog'!$E$64+'Assumptions and Catalog'!$F$64,IF(L464&lt;='Assumptions and Catalog'!$C$65,L464*'Assumptions and Catalog'!$H$65+'Assumptions and Catalog'!$E$65+'Assumptions and Catalog'!$F$65,"Out of range")))))))))*(1+'Assumptions and Catalog'!$C$8)^(A464-1),0)</f>
        <v>6867.22</v>
      </c>
      <c r="O464" s="5" t="n">
        <f>M464-N464</f>
        <v>0</v>
      </c>
      <c r="P464" s="5" t="n">
        <f>D$55*(1-K$14)*(1-'Assumptions and Catalog'!$C$23)^R464</f>
        <v>0</v>
      </c>
      <c r="Q464" s="5" t="n">
        <f>IF(ISNUMBER(Inputs!$L$5),(IF(Inputs!$L$9="Actual flat rate",((D464+E464)*C464-G464)*Inputs!$L$10,IF(Inputs!$C$9="Residential",IF(((D464+E464)*C464-G464)&lt;='Assumptions and Catalog'!$C$50,((D464+E464)*C464-G464)*'Assumptions and Catalog'!$H$50+'Assumptions and Catalog'!$E$50+'Assumptions and Catalog'!$F$50,IF(((D464+E464)*C464-G464)&lt;='Assumptions and Catalog'!$C$51,((D464+E464)*C464-G464)*'Assumptions and Catalog'!$H$51+'Assumptions and Catalog'!$E$51+'Assumptions and Catalog'!$F$51,IF(((D464+E464)*C464-G464)&lt;='Assumptions and Catalog'!$C$52,((D464+E464)*C464-G464)*'Assumptions and Catalog'!$H$52+'Assumptions and Catalog'!$E$52+'Assumptions and Catalog'!$F$52,IF(((D464+E464)*C464-G464)&lt;='Assumptions and Catalog'!$C$53,((D464+E464)*C464-G464)*'Assumptions and Catalog'!$H$53+'Assumptions and Catalog'!$E$53+'Assumptions and Catalog'!$F$53,IF(((D464+E464)*C464-G464)&lt;='Assumptions and Catalog'!$C$54,((D464+E464)*C464-G464)*'Assumptions and Catalog'!$H$54+'Assumptions and Catalog'!$E$54+'Assumptions and Catalog'!$F$54,IF(((D464+E464)*C464-G464)&lt;='Assumptions and Catalog'!$C$55,((D464+E464)*C464-G464)*'Assumptions and Catalog'!$H$55+'Assumptions and Catalog'!$E$55+'Assumptions and Catalog'!$F$55,IF(((D464+E464)*C464-G464)&lt;='Assumptions and Catalog'!$C$56,((D464+E464)*C464-G464)*'Assumptions and Catalog'!$H$56+'Assumptions and Catalog'!$E$56+'Assumptions and Catalog'!$F$56,IF(((D464+E464)*C464-G464)&lt;='Assumptions and Catalog'!$C$57,((D464+E464)*C464-G464)*'Assumptions and Catalog'!$H$57+'Assumptions and Catalog'!$E$57+'Assumptions and Catalog'!$F$57,"Out of range")))))))),IF(((D464+E464)*C464-G464)&lt;='Assumptions and Catalog'!$C$60,((D464+E464)*C464-G464)*'Assumptions and Catalog'!$H$60+'Assumptions and Catalog'!$E$60+'Assumptions and Catalog'!$F$60,IF(((D464+E464)*C464-G464)&lt;='Assumptions and Catalog'!$C$61,((D464+E464)*C464-G464)*'Assumptions and Catalog'!$H$61+'Assumptions and Catalog'!$E$61+'Assumptions and Catalog'!$F$61,IF(((D464+E464)*C464-G464)&lt;='Assumptions and Catalog'!$C$62,((D464+E464)*C464-G464)*'Assumptions and Catalog'!$H$62+'Assumptions and Catalog'!$E$62+'Assumptions and Catalog'!$F$62,IF(((D464+E464)*C464-G464)&lt;='Assumptions and Catalog'!$C$63,((D464+E464)*C464-G464)*'Assumptions and Catalog'!$H$63+'Assumptions and Catalog'!$E$63+'Assumptions and Catalog'!$F$63,IF(((D464+E464)*C464-G464)&lt;='Assumptions and Catalog'!$C$64,((D464+E464)*C464-G464)*'Assumptions and Catalog'!$H$64+'Assumptions and Catalog'!$E$64+'Assumptions and Catalog'!$F$64,IF(((D464+E464)*C464-G464)&lt;='Assumptions and Catalog'!$C$65,((D464+E464)*C464-G464)*'Assumptions and Catalog'!$H$65+'Assumptions and Catalog'!$E$65+'Assumptions and Catalog'!$F$65,"Out of range")))))))))*(1+'Assumptions and Catalog'!$C$8)^(A464-1),0)</f>
        <v>6867.22</v>
      </c>
      <c r="R464" s="5" t="n">
        <f>IF(AND('Assumptions and Catalog'!$C$19&gt;0,A464&gt;='Assumptions and Catalog'!$C$19),A464-'Assumptions and Catalog'!$C$19,A464-1)</f>
        <v>4</v>
      </c>
      <c r="S464" s="5" t="n">
        <f>F464+L464-(D464+E464)*C464-J464-K464-IF(D$52&gt;0,'Assumptions and Catalog'!$C$26*C464,0)</f>
        <v>0</v>
      </c>
      <c r="T464" s="5"/>
      <c r="U464" s="5"/>
    </row>
    <row r="465" ht="23.100000381469727" customHeight="1">
      <c r="A465" s="5" t="n">
        <v>5</v>
      </c>
      <c r="B465" s="5" t="n">
        <v>7</v>
      </c>
      <c r="C465" s="5" t="n">
        <f>DAY(DATE('Assumptions and Catalog'!$C$24+A465-1,B465+1,0))</f>
        <v>31</v>
      </c>
      <c r="D465" s="5" t="n">
        <f>IF(ISNUMBER(Inputs!$L$5),Inputs!$L$5*Inputs!$L$6,0)</f>
        <v>40.35</v>
      </c>
      <c r="E465" s="5" t="n">
        <f>IF(ISNUMBER(Inputs!$L$5),Inputs!$L$5-D465,0)</f>
        <v>40.35</v>
      </c>
      <c r="F465" s="5" t="n">
        <f>D$51*'Assumptions and Catalog'!$C$31*C465*(1-'Assumptions and Catalog'!$C$10)^(A465-1)</f>
        <v>0</v>
      </c>
      <c r="G465" s="5" t="n">
        <f>MIN(F465,D465*C465)</f>
        <v>0</v>
      </c>
      <c r="H465" s="5" t="n">
        <f>I465/('Assumptions and Catalog'!$C$11*'Assumptions and Catalog'!$C$12)</f>
        <v>0</v>
      </c>
      <c r="I465" s="5" t="n">
        <f>IF(K$15="Grid cycle",MIN(K$16,D465+E465,P465*'Assumptions and Catalog'!$C$12,D$57*(24-'Assumptions and Catalog'!$C$15),D$56*'Assumptions and Catalog'!$C$15*'Assumptions and Catalog'!$C$11*'Assumptions and Catalog'!$C$12)*C465,0)</f>
        <v>0</v>
      </c>
      <c r="J465" s="5" t="n">
        <f>MAX(F465-G465-0,0)</f>
        <v>0</v>
      </c>
      <c r="K465" s="5" t="n">
        <f>H465-I465</f>
        <v>0</v>
      </c>
      <c r="L465" s="5" t="n">
        <f>(D465+E465)*C465-G465-I465+H465+IF(D$52&gt;0,'Assumptions and Catalog'!$C$26*C465,0)</f>
        <v>2501.7</v>
      </c>
      <c r="M465" s="5" t="n">
        <f>IF(ISNUMBER(Inputs!$L$5),(IF(Inputs!$L$9="Actual flat rate",((D465+E465)*C465)*Inputs!$L$10,IF(Inputs!$C$9="Residential",IF(((D465+E465)*C465)&lt;='Assumptions and Catalog'!$C$50,((D465+E465)*C465)*'Assumptions and Catalog'!$H$50+'Assumptions and Catalog'!$E$50+'Assumptions and Catalog'!$F$50,IF(((D465+E465)*C465)&lt;='Assumptions and Catalog'!$C$51,((D465+E465)*C465)*'Assumptions and Catalog'!$H$51+'Assumptions and Catalog'!$E$51+'Assumptions and Catalog'!$F$51,IF(((D465+E465)*C465)&lt;='Assumptions and Catalog'!$C$52,((D465+E465)*C465)*'Assumptions and Catalog'!$H$52+'Assumptions and Catalog'!$E$52+'Assumptions and Catalog'!$F$52,IF(((D465+E465)*C465)&lt;='Assumptions and Catalog'!$C$53,((D465+E465)*C465)*'Assumptions and Catalog'!$H$53+'Assumptions and Catalog'!$E$53+'Assumptions and Catalog'!$F$53,IF(((D465+E465)*C465)&lt;='Assumptions and Catalog'!$C$54,((D465+E465)*C465)*'Assumptions and Catalog'!$H$54+'Assumptions and Catalog'!$E$54+'Assumptions and Catalog'!$F$54,IF(((D465+E465)*C465)&lt;='Assumptions and Catalog'!$C$55,((D465+E465)*C465)*'Assumptions and Catalog'!$H$55+'Assumptions and Catalog'!$E$55+'Assumptions and Catalog'!$F$55,IF(((D465+E465)*C465)&lt;='Assumptions and Catalog'!$C$56,((D465+E465)*C465)*'Assumptions and Catalog'!$H$56+'Assumptions and Catalog'!$E$56+'Assumptions and Catalog'!$F$56,IF(((D465+E465)*C465)&lt;='Assumptions and Catalog'!$C$57,((D465+E465)*C465)*'Assumptions and Catalog'!$H$57+'Assumptions and Catalog'!$E$57+'Assumptions and Catalog'!$F$57,"Out of range")))))))),IF(((D465+E465)*C465)&lt;='Assumptions and Catalog'!$C$60,((D465+E465)*C465)*'Assumptions and Catalog'!$H$60+'Assumptions and Catalog'!$E$60+'Assumptions and Catalog'!$F$60,IF(((D465+E465)*C465)&lt;='Assumptions and Catalog'!$C$61,((D465+E465)*C465)*'Assumptions and Catalog'!$H$61+'Assumptions and Catalog'!$E$61+'Assumptions and Catalog'!$F$61,IF(((D465+E465)*C465)&lt;='Assumptions and Catalog'!$C$62,((D465+E465)*C465)*'Assumptions and Catalog'!$H$62+'Assumptions and Catalog'!$E$62+'Assumptions and Catalog'!$F$62,IF(((D465+E465)*C465)&lt;='Assumptions and Catalog'!$C$63,((D465+E465)*C465)*'Assumptions and Catalog'!$H$63+'Assumptions and Catalog'!$E$63+'Assumptions and Catalog'!$F$63,IF(((D465+E465)*C465)&lt;='Assumptions and Catalog'!$C$64,((D465+E465)*C465)*'Assumptions and Catalog'!$H$64+'Assumptions and Catalog'!$E$64+'Assumptions and Catalog'!$F$64,IF(((D465+E465)*C465)&lt;='Assumptions and Catalog'!$C$65,((D465+E465)*C465)*'Assumptions and Catalog'!$H$65+'Assumptions and Catalog'!$E$65+'Assumptions and Catalog'!$F$65,"Out of range")))))))))*(1+'Assumptions and Catalog'!$C$8)^(A465-1),0)</f>
        <v>7094.794</v>
      </c>
      <c r="N465" s="5" t="n">
        <f>IF(ISNUMBER(Inputs!$L$5),(IF(Inputs!$L$9="Actual flat rate",L465*Inputs!$L$10,IF(Inputs!$C$9="Residential",IF(L465&lt;='Assumptions and Catalog'!$C$50,L465*'Assumptions and Catalog'!$H$50+'Assumptions and Catalog'!$E$50+'Assumptions and Catalog'!$F$50,IF(L465&lt;='Assumptions and Catalog'!$C$51,L465*'Assumptions and Catalog'!$H$51+'Assumptions and Catalog'!$E$51+'Assumptions and Catalog'!$F$51,IF(L465&lt;='Assumptions and Catalog'!$C$52,L465*'Assumptions and Catalog'!$H$52+'Assumptions and Catalog'!$E$52+'Assumptions and Catalog'!$F$52,IF(L465&lt;='Assumptions and Catalog'!$C$53,L465*'Assumptions and Catalog'!$H$53+'Assumptions and Catalog'!$E$53+'Assumptions and Catalog'!$F$53,IF(L465&lt;='Assumptions and Catalog'!$C$54,L465*'Assumptions and Catalog'!$H$54+'Assumptions and Catalog'!$E$54+'Assumptions and Catalog'!$F$54,IF(L465&lt;='Assumptions and Catalog'!$C$55,L465*'Assumptions and Catalog'!$H$55+'Assumptions and Catalog'!$E$55+'Assumptions and Catalog'!$F$55,IF(L465&lt;='Assumptions and Catalog'!$C$56,L465*'Assumptions and Catalog'!$H$56+'Assumptions and Catalog'!$E$56+'Assumptions and Catalog'!$F$56,IF(L465&lt;='Assumptions and Catalog'!$C$57,L465*'Assumptions and Catalog'!$H$57+'Assumptions and Catalog'!$E$57+'Assumptions and Catalog'!$F$57,"Out of range")))))))),IF(L465&lt;='Assumptions and Catalog'!$C$60,L465*'Assumptions and Catalog'!$H$60+'Assumptions and Catalog'!$E$60+'Assumptions and Catalog'!$F$60,IF(L465&lt;='Assumptions and Catalog'!$C$61,L465*'Assumptions and Catalog'!$H$61+'Assumptions and Catalog'!$E$61+'Assumptions and Catalog'!$F$61,IF(L465&lt;='Assumptions and Catalog'!$C$62,L465*'Assumptions and Catalog'!$H$62+'Assumptions and Catalog'!$E$62+'Assumptions and Catalog'!$F$62,IF(L465&lt;='Assumptions and Catalog'!$C$63,L465*'Assumptions and Catalog'!$H$63+'Assumptions and Catalog'!$E$63+'Assumptions and Catalog'!$F$63,IF(L465&lt;='Assumptions and Catalog'!$C$64,L465*'Assumptions and Catalog'!$H$64+'Assumptions and Catalog'!$E$64+'Assumptions and Catalog'!$F$64,IF(L465&lt;='Assumptions and Catalog'!$C$65,L465*'Assumptions and Catalog'!$H$65+'Assumptions and Catalog'!$E$65+'Assumptions and Catalog'!$F$65,"Out of range")))))))))*(1+'Assumptions and Catalog'!$C$8)^(A465-1),0)</f>
        <v>7094.794</v>
      </c>
      <c r="O465" s="5" t="n">
        <f>M465-N465</f>
        <v>0</v>
      </c>
      <c r="P465" s="5" t="n">
        <f>D$55*(1-K$14)*(1-'Assumptions and Catalog'!$C$23)^R465</f>
        <v>0</v>
      </c>
      <c r="Q465" s="5" t="n">
        <f>IF(ISNUMBER(Inputs!$L$5),(IF(Inputs!$L$9="Actual flat rate",((D465+E465)*C465-G465)*Inputs!$L$10,IF(Inputs!$C$9="Residential",IF(((D465+E465)*C465-G465)&lt;='Assumptions and Catalog'!$C$50,((D465+E465)*C465-G465)*'Assumptions and Catalog'!$H$50+'Assumptions and Catalog'!$E$50+'Assumptions and Catalog'!$F$50,IF(((D465+E465)*C465-G465)&lt;='Assumptions and Catalog'!$C$51,((D465+E465)*C465-G465)*'Assumptions and Catalog'!$H$51+'Assumptions and Catalog'!$E$51+'Assumptions and Catalog'!$F$51,IF(((D465+E465)*C465-G465)&lt;='Assumptions and Catalog'!$C$52,((D465+E465)*C465-G465)*'Assumptions and Catalog'!$H$52+'Assumptions and Catalog'!$E$52+'Assumptions and Catalog'!$F$52,IF(((D465+E465)*C465-G465)&lt;='Assumptions and Catalog'!$C$53,((D465+E465)*C465-G465)*'Assumptions and Catalog'!$H$53+'Assumptions and Catalog'!$E$53+'Assumptions and Catalog'!$F$53,IF(((D465+E465)*C465-G465)&lt;='Assumptions and Catalog'!$C$54,((D465+E465)*C465-G465)*'Assumptions and Catalog'!$H$54+'Assumptions and Catalog'!$E$54+'Assumptions and Catalog'!$F$54,IF(((D465+E465)*C465-G465)&lt;='Assumptions and Catalog'!$C$55,((D465+E465)*C465-G465)*'Assumptions and Catalog'!$H$55+'Assumptions and Catalog'!$E$55+'Assumptions and Catalog'!$F$55,IF(((D465+E465)*C465-G465)&lt;='Assumptions and Catalog'!$C$56,((D465+E465)*C465-G465)*'Assumptions and Catalog'!$H$56+'Assumptions and Catalog'!$E$56+'Assumptions and Catalog'!$F$56,IF(((D465+E465)*C465-G465)&lt;='Assumptions and Catalog'!$C$57,((D465+E465)*C465-G465)*'Assumptions and Catalog'!$H$57+'Assumptions and Catalog'!$E$57+'Assumptions and Catalog'!$F$57,"Out of range")))))))),IF(((D465+E465)*C465-G465)&lt;='Assumptions and Catalog'!$C$60,((D465+E465)*C465-G465)*'Assumptions and Catalog'!$H$60+'Assumptions and Catalog'!$E$60+'Assumptions and Catalog'!$F$60,IF(((D465+E465)*C465-G465)&lt;='Assumptions and Catalog'!$C$61,((D465+E465)*C465-G465)*'Assumptions and Catalog'!$H$61+'Assumptions and Catalog'!$E$61+'Assumptions and Catalog'!$F$61,IF(((D465+E465)*C465-G465)&lt;='Assumptions and Catalog'!$C$62,((D465+E465)*C465-G465)*'Assumptions and Catalog'!$H$62+'Assumptions and Catalog'!$E$62+'Assumptions and Catalog'!$F$62,IF(((D465+E465)*C465-G465)&lt;='Assumptions and Catalog'!$C$63,((D465+E465)*C465-G465)*'Assumptions and Catalog'!$H$63+'Assumptions and Catalog'!$E$63+'Assumptions and Catalog'!$F$63,IF(((D465+E465)*C465-G465)&lt;='Assumptions and Catalog'!$C$64,((D465+E465)*C465-G465)*'Assumptions and Catalog'!$H$64+'Assumptions and Catalog'!$E$64+'Assumptions and Catalog'!$F$64,IF(((D465+E465)*C465-G465)&lt;='Assumptions and Catalog'!$C$65,((D465+E465)*C465-G465)*'Assumptions and Catalog'!$H$65+'Assumptions and Catalog'!$E$65+'Assumptions and Catalog'!$F$65,"Out of range")))))))))*(1+'Assumptions and Catalog'!$C$8)^(A465-1),0)</f>
        <v>7094.794</v>
      </c>
      <c r="R465" s="5" t="n">
        <f>IF(AND('Assumptions and Catalog'!$C$19&gt;0,A465&gt;='Assumptions and Catalog'!$C$19),A465-'Assumptions and Catalog'!$C$19,A465-1)</f>
        <v>4</v>
      </c>
      <c r="S465" s="5" t="n">
        <f>F465+L465-(D465+E465)*C465-J465-K465-IF(D$52&gt;0,'Assumptions and Catalog'!$C$26*C465,0)</f>
        <v>0</v>
      </c>
      <c r="T465" s="5"/>
      <c r="U465" s="5"/>
    </row>
    <row r="466" ht="23.100000381469727" customHeight="1">
      <c r="A466" s="5" t="n">
        <v>5</v>
      </c>
      <c r="B466" s="5" t="n">
        <v>8</v>
      </c>
      <c r="C466" s="5" t="n">
        <f>DAY(DATE('Assumptions and Catalog'!$C$24+A466-1,B466+1,0))</f>
        <v>31</v>
      </c>
      <c r="D466" s="5" t="n">
        <f>IF(ISNUMBER(Inputs!$L$5),Inputs!$L$5*Inputs!$L$6,0)</f>
        <v>40.35</v>
      </c>
      <c r="E466" s="5" t="n">
        <f>IF(ISNUMBER(Inputs!$L$5),Inputs!$L$5-D466,0)</f>
        <v>40.35</v>
      </c>
      <c r="F466" s="5" t="n">
        <f>D$51*'Assumptions and Catalog'!$C$31*C466*(1-'Assumptions and Catalog'!$C$10)^(A466-1)</f>
        <v>0</v>
      </c>
      <c r="G466" s="5" t="n">
        <f>MIN(F466,D466*C466)</f>
        <v>0</v>
      </c>
      <c r="H466" s="5" t="n">
        <f>I466/('Assumptions and Catalog'!$C$11*'Assumptions and Catalog'!$C$12)</f>
        <v>0</v>
      </c>
      <c r="I466" s="5" t="n">
        <f>IF(K$15="Grid cycle",MIN(K$16,D466+E466,P466*'Assumptions and Catalog'!$C$12,D$57*(24-'Assumptions and Catalog'!$C$15),D$56*'Assumptions and Catalog'!$C$15*'Assumptions and Catalog'!$C$11*'Assumptions and Catalog'!$C$12)*C466,0)</f>
        <v>0</v>
      </c>
      <c r="J466" s="5" t="n">
        <f>MAX(F466-G466-0,0)</f>
        <v>0</v>
      </c>
      <c r="K466" s="5" t="n">
        <f>H466-I466</f>
        <v>0</v>
      </c>
      <c r="L466" s="5" t="n">
        <f>(D466+E466)*C466-G466-I466+H466+IF(D$52&gt;0,'Assumptions and Catalog'!$C$26*C466,0)</f>
        <v>2501.7</v>
      </c>
      <c r="M466" s="5" t="n">
        <f>IF(ISNUMBER(Inputs!$L$5),(IF(Inputs!$L$9="Actual flat rate",((D466+E466)*C466)*Inputs!$L$10,IF(Inputs!$C$9="Residential",IF(((D466+E466)*C466)&lt;='Assumptions and Catalog'!$C$50,((D466+E466)*C466)*'Assumptions and Catalog'!$H$50+'Assumptions and Catalog'!$E$50+'Assumptions and Catalog'!$F$50,IF(((D466+E466)*C466)&lt;='Assumptions and Catalog'!$C$51,((D466+E466)*C466)*'Assumptions and Catalog'!$H$51+'Assumptions and Catalog'!$E$51+'Assumptions and Catalog'!$F$51,IF(((D466+E466)*C466)&lt;='Assumptions and Catalog'!$C$52,((D466+E466)*C466)*'Assumptions and Catalog'!$H$52+'Assumptions and Catalog'!$E$52+'Assumptions and Catalog'!$F$52,IF(((D466+E466)*C466)&lt;='Assumptions and Catalog'!$C$53,((D466+E466)*C466)*'Assumptions and Catalog'!$H$53+'Assumptions and Catalog'!$E$53+'Assumptions and Catalog'!$F$53,IF(((D466+E466)*C466)&lt;='Assumptions and Catalog'!$C$54,((D466+E466)*C466)*'Assumptions and Catalog'!$H$54+'Assumptions and Catalog'!$E$54+'Assumptions and Catalog'!$F$54,IF(((D466+E466)*C466)&lt;='Assumptions and Catalog'!$C$55,((D466+E466)*C466)*'Assumptions and Catalog'!$H$55+'Assumptions and Catalog'!$E$55+'Assumptions and Catalog'!$F$55,IF(((D466+E466)*C466)&lt;='Assumptions and Catalog'!$C$56,((D466+E466)*C466)*'Assumptions and Catalog'!$H$56+'Assumptions and Catalog'!$E$56+'Assumptions and Catalog'!$F$56,IF(((D466+E466)*C466)&lt;='Assumptions and Catalog'!$C$57,((D466+E466)*C466)*'Assumptions and Catalog'!$H$57+'Assumptions and Catalog'!$E$57+'Assumptions and Catalog'!$F$57,"Out of range")))))))),IF(((D466+E466)*C466)&lt;='Assumptions and Catalog'!$C$60,((D466+E466)*C466)*'Assumptions and Catalog'!$H$60+'Assumptions and Catalog'!$E$60+'Assumptions and Catalog'!$F$60,IF(((D466+E466)*C466)&lt;='Assumptions and Catalog'!$C$61,((D466+E466)*C466)*'Assumptions and Catalog'!$H$61+'Assumptions and Catalog'!$E$61+'Assumptions and Catalog'!$F$61,IF(((D466+E466)*C466)&lt;='Assumptions and Catalog'!$C$62,((D466+E466)*C466)*'Assumptions and Catalog'!$H$62+'Assumptions and Catalog'!$E$62+'Assumptions and Catalog'!$F$62,IF(((D466+E466)*C466)&lt;='Assumptions and Catalog'!$C$63,((D466+E466)*C466)*'Assumptions and Catalog'!$H$63+'Assumptions and Catalog'!$E$63+'Assumptions and Catalog'!$F$63,IF(((D466+E466)*C466)&lt;='Assumptions and Catalog'!$C$64,((D466+E466)*C466)*'Assumptions and Catalog'!$H$64+'Assumptions and Catalog'!$E$64+'Assumptions and Catalog'!$F$64,IF(((D466+E466)*C466)&lt;='Assumptions and Catalog'!$C$65,((D466+E466)*C466)*'Assumptions and Catalog'!$H$65+'Assumptions and Catalog'!$E$65+'Assumptions and Catalog'!$F$65,"Out of range")))))))))*(1+'Assumptions and Catalog'!$C$8)^(A466-1),0)</f>
        <v>7094.794</v>
      </c>
      <c r="N466" s="5" t="n">
        <f>IF(ISNUMBER(Inputs!$L$5),(IF(Inputs!$L$9="Actual flat rate",L466*Inputs!$L$10,IF(Inputs!$C$9="Residential",IF(L466&lt;='Assumptions and Catalog'!$C$50,L466*'Assumptions and Catalog'!$H$50+'Assumptions and Catalog'!$E$50+'Assumptions and Catalog'!$F$50,IF(L466&lt;='Assumptions and Catalog'!$C$51,L466*'Assumptions and Catalog'!$H$51+'Assumptions and Catalog'!$E$51+'Assumptions and Catalog'!$F$51,IF(L466&lt;='Assumptions and Catalog'!$C$52,L466*'Assumptions and Catalog'!$H$52+'Assumptions and Catalog'!$E$52+'Assumptions and Catalog'!$F$52,IF(L466&lt;='Assumptions and Catalog'!$C$53,L466*'Assumptions and Catalog'!$H$53+'Assumptions and Catalog'!$E$53+'Assumptions and Catalog'!$F$53,IF(L466&lt;='Assumptions and Catalog'!$C$54,L466*'Assumptions and Catalog'!$H$54+'Assumptions and Catalog'!$E$54+'Assumptions and Catalog'!$F$54,IF(L466&lt;='Assumptions and Catalog'!$C$55,L466*'Assumptions and Catalog'!$H$55+'Assumptions and Catalog'!$E$55+'Assumptions and Catalog'!$F$55,IF(L466&lt;='Assumptions and Catalog'!$C$56,L466*'Assumptions and Catalog'!$H$56+'Assumptions and Catalog'!$E$56+'Assumptions and Catalog'!$F$56,IF(L466&lt;='Assumptions and Catalog'!$C$57,L466*'Assumptions and Catalog'!$H$57+'Assumptions and Catalog'!$E$57+'Assumptions and Catalog'!$F$57,"Out of range")))))))),IF(L466&lt;='Assumptions and Catalog'!$C$60,L466*'Assumptions and Catalog'!$H$60+'Assumptions and Catalog'!$E$60+'Assumptions and Catalog'!$F$60,IF(L466&lt;='Assumptions and Catalog'!$C$61,L466*'Assumptions and Catalog'!$H$61+'Assumptions and Catalog'!$E$61+'Assumptions and Catalog'!$F$61,IF(L466&lt;='Assumptions and Catalog'!$C$62,L466*'Assumptions and Catalog'!$H$62+'Assumptions and Catalog'!$E$62+'Assumptions and Catalog'!$F$62,IF(L466&lt;='Assumptions and Catalog'!$C$63,L466*'Assumptions and Catalog'!$H$63+'Assumptions and Catalog'!$E$63+'Assumptions and Catalog'!$F$63,IF(L466&lt;='Assumptions and Catalog'!$C$64,L466*'Assumptions and Catalog'!$H$64+'Assumptions and Catalog'!$E$64+'Assumptions and Catalog'!$F$64,IF(L466&lt;='Assumptions and Catalog'!$C$65,L466*'Assumptions and Catalog'!$H$65+'Assumptions and Catalog'!$E$65+'Assumptions and Catalog'!$F$65,"Out of range")))))))))*(1+'Assumptions and Catalog'!$C$8)^(A466-1),0)</f>
        <v>7094.794</v>
      </c>
      <c r="O466" s="5" t="n">
        <f>M466-N466</f>
        <v>0</v>
      </c>
      <c r="P466" s="5" t="n">
        <f>D$55*(1-K$14)*(1-'Assumptions and Catalog'!$C$23)^R466</f>
        <v>0</v>
      </c>
      <c r="Q466" s="5" t="n">
        <f>IF(ISNUMBER(Inputs!$L$5),(IF(Inputs!$L$9="Actual flat rate",((D466+E466)*C466-G466)*Inputs!$L$10,IF(Inputs!$C$9="Residential",IF(((D466+E466)*C466-G466)&lt;='Assumptions and Catalog'!$C$50,((D466+E466)*C466-G466)*'Assumptions and Catalog'!$H$50+'Assumptions and Catalog'!$E$50+'Assumptions and Catalog'!$F$50,IF(((D466+E466)*C466-G466)&lt;='Assumptions and Catalog'!$C$51,((D466+E466)*C466-G466)*'Assumptions and Catalog'!$H$51+'Assumptions and Catalog'!$E$51+'Assumptions and Catalog'!$F$51,IF(((D466+E466)*C466-G466)&lt;='Assumptions and Catalog'!$C$52,((D466+E466)*C466-G466)*'Assumptions and Catalog'!$H$52+'Assumptions and Catalog'!$E$52+'Assumptions and Catalog'!$F$52,IF(((D466+E466)*C466-G466)&lt;='Assumptions and Catalog'!$C$53,((D466+E466)*C466-G466)*'Assumptions and Catalog'!$H$53+'Assumptions and Catalog'!$E$53+'Assumptions and Catalog'!$F$53,IF(((D466+E466)*C466-G466)&lt;='Assumptions and Catalog'!$C$54,((D466+E466)*C466-G466)*'Assumptions and Catalog'!$H$54+'Assumptions and Catalog'!$E$54+'Assumptions and Catalog'!$F$54,IF(((D466+E466)*C466-G466)&lt;='Assumptions and Catalog'!$C$55,((D466+E466)*C466-G466)*'Assumptions and Catalog'!$H$55+'Assumptions and Catalog'!$E$55+'Assumptions and Catalog'!$F$55,IF(((D466+E466)*C466-G466)&lt;='Assumptions and Catalog'!$C$56,((D466+E466)*C466-G466)*'Assumptions and Catalog'!$H$56+'Assumptions and Catalog'!$E$56+'Assumptions and Catalog'!$F$56,IF(((D466+E466)*C466-G466)&lt;='Assumptions and Catalog'!$C$57,((D466+E466)*C466-G466)*'Assumptions and Catalog'!$H$57+'Assumptions and Catalog'!$E$57+'Assumptions and Catalog'!$F$57,"Out of range")))))))),IF(((D466+E466)*C466-G466)&lt;='Assumptions and Catalog'!$C$60,((D466+E466)*C466-G466)*'Assumptions and Catalog'!$H$60+'Assumptions and Catalog'!$E$60+'Assumptions and Catalog'!$F$60,IF(((D466+E466)*C466-G466)&lt;='Assumptions and Catalog'!$C$61,((D466+E466)*C466-G466)*'Assumptions and Catalog'!$H$61+'Assumptions and Catalog'!$E$61+'Assumptions and Catalog'!$F$61,IF(((D466+E466)*C466-G466)&lt;='Assumptions and Catalog'!$C$62,((D466+E466)*C466-G466)*'Assumptions and Catalog'!$H$62+'Assumptions and Catalog'!$E$62+'Assumptions and Catalog'!$F$62,IF(((D466+E466)*C466-G466)&lt;='Assumptions and Catalog'!$C$63,((D466+E466)*C466-G466)*'Assumptions and Catalog'!$H$63+'Assumptions and Catalog'!$E$63+'Assumptions and Catalog'!$F$63,IF(((D466+E466)*C466-G466)&lt;='Assumptions and Catalog'!$C$64,((D466+E466)*C466-G466)*'Assumptions and Catalog'!$H$64+'Assumptions and Catalog'!$E$64+'Assumptions and Catalog'!$F$64,IF(((D466+E466)*C466-G466)&lt;='Assumptions and Catalog'!$C$65,((D466+E466)*C466-G466)*'Assumptions and Catalog'!$H$65+'Assumptions and Catalog'!$E$65+'Assumptions and Catalog'!$F$65,"Out of range")))))))))*(1+'Assumptions and Catalog'!$C$8)^(A466-1),0)</f>
        <v>7094.794</v>
      </c>
      <c r="R466" s="5" t="n">
        <f>IF(AND('Assumptions and Catalog'!$C$19&gt;0,A466&gt;='Assumptions and Catalog'!$C$19),A466-'Assumptions and Catalog'!$C$19,A466-1)</f>
        <v>4</v>
      </c>
      <c r="S466" s="5" t="n">
        <f>F466+L466-(D466+E466)*C466-J466-K466-IF(D$52&gt;0,'Assumptions and Catalog'!$C$26*C466,0)</f>
        <v>0</v>
      </c>
      <c r="T466" s="5"/>
      <c r="U466" s="5"/>
    </row>
    <row r="467" ht="23.100000381469727" customHeight="1">
      <c r="A467" s="5" t="n">
        <v>5</v>
      </c>
      <c r="B467" s="5" t="n">
        <v>9</v>
      </c>
      <c r="C467" s="5" t="n">
        <f>DAY(DATE('Assumptions and Catalog'!$C$24+A467-1,B467+1,0))</f>
        <v>30</v>
      </c>
      <c r="D467" s="5" t="n">
        <f>IF(ISNUMBER(Inputs!$L$5),Inputs!$L$5*Inputs!$L$6,0)</f>
        <v>40.35</v>
      </c>
      <c r="E467" s="5" t="n">
        <f>IF(ISNUMBER(Inputs!$L$5),Inputs!$L$5-D467,0)</f>
        <v>40.35</v>
      </c>
      <c r="F467" s="5" t="n">
        <f>D$51*'Assumptions and Catalog'!$C$31*C467*(1-'Assumptions and Catalog'!$C$10)^(A467-1)</f>
        <v>0</v>
      </c>
      <c r="G467" s="5" t="n">
        <f>MIN(F467,D467*C467)</f>
        <v>0</v>
      </c>
      <c r="H467" s="5" t="n">
        <f>I467/('Assumptions and Catalog'!$C$11*'Assumptions and Catalog'!$C$12)</f>
        <v>0</v>
      </c>
      <c r="I467" s="5" t="n">
        <f>IF(K$15="Grid cycle",MIN(K$16,D467+E467,P467*'Assumptions and Catalog'!$C$12,D$57*(24-'Assumptions and Catalog'!$C$15),D$56*'Assumptions and Catalog'!$C$15*'Assumptions and Catalog'!$C$11*'Assumptions and Catalog'!$C$12)*C467,0)</f>
        <v>0</v>
      </c>
      <c r="J467" s="5" t="n">
        <f>MAX(F467-G467-0,0)</f>
        <v>0</v>
      </c>
      <c r="K467" s="5" t="n">
        <f>H467-I467</f>
        <v>0</v>
      </c>
      <c r="L467" s="5" t="n">
        <f>(D467+E467)*C467-G467-I467+H467+IF(D$52&gt;0,'Assumptions and Catalog'!$C$26*C467,0)</f>
        <v>2421</v>
      </c>
      <c r="M467" s="5" t="n">
        <f>IF(ISNUMBER(Inputs!$L$5),(IF(Inputs!$L$9="Actual flat rate",((D467+E467)*C467)*Inputs!$L$10,IF(Inputs!$C$9="Residential",IF(((D467+E467)*C467)&lt;='Assumptions and Catalog'!$C$50,((D467+E467)*C467)*'Assumptions and Catalog'!$H$50+'Assumptions and Catalog'!$E$50+'Assumptions and Catalog'!$F$50,IF(((D467+E467)*C467)&lt;='Assumptions and Catalog'!$C$51,((D467+E467)*C467)*'Assumptions and Catalog'!$H$51+'Assumptions and Catalog'!$E$51+'Assumptions and Catalog'!$F$51,IF(((D467+E467)*C467)&lt;='Assumptions and Catalog'!$C$52,((D467+E467)*C467)*'Assumptions and Catalog'!$H$52+'Assumptions and Catalog'!$E$52+'Assumptions and Catalog'!$F$52,IF(((D467+E467)*C467)&lt;='Assumptions and Catalog'!$C$53,((D467+E467)*C467)*'Assumptions and Catalog'!$H$53+'Assumptions and Catalog'!$E$53+'Assumptions and Catalog'!$F$53,IF(((D467+E467)*C467)&lt;='Assumptions and Catalog'!$C$54,((D467+E467)*C467)*'Assumptions and Catalog'!$H$54+'Assumptions and Catalog'!$E$54+'Assumptions and Catalog'!$F$54,IF(((D467+E467)*C467)&lt;='Assumptions and Catalog'!$C$55,((D467+E467)*C467)*'Assumptions and Catalog'!$H$55+'Assumptions and Catalog'!$E$55+'Assumptions and Catalog'!$F$55,IF(((D467+E467)*C467)&lt;='Assumptions and Catalog'!$C$56,((D467+E467)*C467)*'Assumptions and Catalog'!$H$56+'Assumptions and Catalog'!$E$56+'Assumptions and Catalog'!$F$56,IF(((D467+E467)*C467)&lt;='Assumptions and Catalog'!$C$57,((D467+E467)*C467)*'Assumptions and Catalog'!$H$57+'Assumptions and Catalog'!$E$57+'Assumptions and Catalog'!$F$57,"Out of range")))))))),IF(((D467+E467)*C467)&lt;='Assumptions and Catalog'!$C$60,((D467+E467)*C467)*'Assumptions and Catalog'!$H$60+'Assumptions and Catalog'!$E$60+'Assumptions and Catalog'!$F$60,IF(((D467+E467)*C467)&lt;='Assumptions and Catalog'!$C$61,((D467+E467)*C467)*'Assumptions and Catalog'!$H$61+'Assumptions and Catalog'!$E$61+'Assumptions and Catalog'!$F$61,IF(((D467+E467)*C467)&lt;='Assumptions and Catalog'!$C$62,((D467+E467)*C467)*'Assumptions and Catalog'!$H$62+'Assumptions and Catalog'!$E$62+'Assumptions and Catalog'!$F$62,IF(((D467+E467)*C467)&lt;='Assumptions and Catalog'!$C$63,((D467+E467)*C467)*'Assumptions and Catalog'!$H$63+'Assumptions and Catalog'!$E$63+'Assumptions and Catalog'!$F$63,IF(((D467+E467)*C467)&lt;='Assumptions and Catalog'!$C$64,((D467+E467)*C467)*'Assumptions and Catalog'!$H$64+'Assumptions and Catalog'!$E$64+'Assumptions and Catalog'!$F$64,IF(((D467+E467)*C467)&lt;='Assumptions and Catalog'!$C$65,((D467+E467)*C467)*'Assumptions and Catalog'!$H$65+'Assumptions and Catalog'!$E$65+'Assumptions and Catalog'!$F$65,"Out of range")))))))))*(1+'Assumptions and Catalog'!$C$8)^(A467-1),0)</f>
        <v>6867.22</v>
      </c>
      <c r="N467" s="5" t="n">
        <f>IF(ISNUMBER(Inputs!$L$5),(IF(Inputs!$L$9="Actual flat rate",L467*Inputs!$L$10,IF(Inputs!$C$9="Residential",IF(L467&lt;='Assumptions and Catalog'!$C$50,L467*'Assumptions and Catalog'!$H$50+'Assumptions and Catalog'!$E$50+'Assumptions and Catalog'!$F$50,IF(L467&lt;='Assumptions and Catalog'!$C$51,L467*'Assumptions and Catalog'!$H$51+'Assumptions and Catalog'!$E$51+'Assumptions and Catalog'!$F$51,IF(L467&lt;='Assumptions and Catalog'!$C$52,L467*'Assumptions and Catalog'!$H$52+'Assumptions and Catalog'!$E$52+'Assumptions and Catalog'!$F$52,IF(L467&lt;='Assumptions and Catalog'!$C$53,L467*'Assumptions and Catalog'!$H$53+'Assumptions and Catalog'!$E$53+'Assumptions and Catalog'!$F$53,IF(L467&lt;='Assumptions and Catalog'!$C$54,L467*'Assumptions and Catalog'!$H$54+'Assumptions and Catalog'!$E$54+'Assumptions and Catalog'!$F$54,IF(L467&lt;='Assumptions and Catalog'!$C$55,L467*'Assumptions and Catalog'!$H$55+'Assumptions and Catalog'!$E$55+'Assumptions and Catalog'!$F$55,IF(L467&lt;='Assumptions and Catalog'!$C$56,L467*'Assumptions and Catalog'!$H$56+'Assumptions and Catalog'!$E$56+'Assumptions and Catalog'!$F$56,IF(L467&lt;='Assumptions and Catalog'!$C$57,L467*'Assumptions and Catalog'!$H$57+'Assumptions and Catalog'!$E$57+'Assumptions and Catalog'!$F$57,"Out of range")))))))),IF(L467&lt;='Assumptions and Catalog'!$C$60,L467*'Assumptions and Catalog'!$H$60+'Assumptions and Catalog'!$E$60+'Assumptions and Catalog'!$F$60,IF(L467&lt;='Assumptions and Catalog'!$C$61,L467*'Assumptions and Catalog'!$H$61+'Assumptions and Catalog'!$E$61+'Assumptions and Catalog'!$F$61,IF(L467&lt;='Assumptions and Catalog'!$C$62,L467*'Assumptions and Catalog'!$H$62+'Assumptions and Catalog'!$E$62+'Assumptions and Catalog'!$F$62,IF(L467&lt;='Assumptions and Catalog'!$C$63,L467*'Assumptions and Catalog'!$H$63+'Assumptions and Catalog'!$E$63+'Assumptions and Catalog'!$F$63,IF(L467&lt;='Assumptions and Catalog'!$C$64,L467*'Assumptions and Catalog'!$H$64+'Assumptions and Catalog'!$E$64+'Assumptions and Catalog'!$F$64,IF(L467&lt;='Assumptions and Catalog'!$C$65,L467*'Assumptions and Catalog'!$H$65+'Assumptions and Catalog'!$E$65+'Assumptions and Catalog'!$F$65,"Out of range")))))))))*(1+'Assumptions and Catalog'!$C$8)^(A467-1),0)</f>
        <v>6867.22</v>
      </c>
      <c r="O467" s="5" t="n">
        <f>M467-N467</f>
        <v>0</v>
      </c>
      <c r="P467" s="5" t="n">
        <f>D$55*(1-K$14)*(1-'Assumptions and Catalog'!$C$23)^R467</f>
        <v>0</v>
      </c>
      <c r="Q467" s="5" t="n">
        <f>IF(ISNUMBER(Inputs!$L$5),(IF(Inputs!$L$9="Actual flat rate",((D467+E467)*C467-G467)*Inputs!$L$10,IF(Inputs!$C$9="Residential",IF(((D467+E467)*C467-G467)&lt;='Assumptions and Catalog'!$C$50,((D467+E467)*C467-G467)*'Assumptions and Catalog'!$H$50+'Assumptions and Catalog'!$E$50+'Assumptions and Catalog'!$F$50,IF(((D467+E467)*C467-G467)&lt;='Assumptions and Catalog'!$C$51,((D467+E467)*C467-G467)*'Assumptions and Catalog'!$H$51+'Assumptions and Catalog'!$E$51+'Assumptions and Catalog'!$F$51,IF(((D467+E467)*C467-G467)&lt;='Assumptions and Catalog'!$C$52,((D467+E467)*C467-G467)*'Assumptions and Catalog'!$H$52+'Assumptions and Catalog'!$E$52+'Assumptions and Catalog'!$F$52,IF(((D467+E467)*C467-G467)&lt;='Assumptions and Catalog'!$C$53,((D467+E467)*C467-G467)*'Assumptions and Catalog'!$H$53+'Assumptions and Catalog'!$E$53+'Assumptions and Catalog'!$F$53,IF(((D467+E467)*C467-G467)&lt;='Assumptions and Catalog'!$C$54,((D467+E467)*C467-G467)*'Assumptions and Catalog'!$H$54+'Assumptions and Catalog'!$E$54+'Assumptions and Catalog'!$F$54,IF(((D467+E467)*C467-G467)&lt;='Assumptions and Catalog'!$C$55,((D467+E467)*C467-G467)*'Assumptions and Catalog'!$H$55+'Assumptions and Catalog'!$E$55+'Assumptions and Catalog'!$F$55,IF(((D467+E467)*C467-G467)&lt;='Assumptions and Catalog'!$C$56,((D467+E467)*C467-G467)*'Assumptions and Catalog'!$H$56+'Assumptions and Catalog'!$E$56+'Assumptions and Catalog'!$F$56,IF(((D467+E467)*C467-G467)&lt;='Assumptions and Catalog'!$C$57,((D467+E467)*C467-G467)*'Assumptions and Catalog'!$H$57+'Assumptions and Catalog'!$E$57+'Assumptions and Catalog'!$F$57,"Out of range")))))))),IF(((D467+E467)*C467-G467)&lt;='Assumptions and Catalog'!$C$60,((D467+E467)*C467-G467)*'Assumptions and Catalog'!$H$60+'Assumptions and Catalog'!$E$60+'Assumptions and Catalog'!$F$60,IF(((D467+E467)*C467-G467)&lt;='Assumptions and Catalog'!$C$61,((D467+E467)*C467-G467)*'Assumptions and Catalog'!$H$61+'Assumptions and Catalog'!$E$61+'Assumptions and Catalog'!$F$61,IF(((D467+E467)*C467-G467)&lt;='Assumptions and Catalog'!$C$62,((D467+E467)*C467-G467)*'Assumptions and Catalog'!$H$62+'Assumptions and Catalog'!$E$62+'Assumptions and Catalog'!$F$62,IF(((D467+E467)*C467-G467)&lt;='Assumptions and Catalog'!$C$63,((D467+E467)*C467-G467)*'Assumptions and Catalog'!$H$63+'Assumptions and Catalog'!$E$63+'Assumptions and Catalog'!$F$63,IF(((D467+E467)*C467-G467)&lt;='Assumptions and Catalog'!$C$64,((D467+E467)*C467-G467)*'Assumptions and Catalog'!$H$64+'Assumptions and Catalog'!$E$64+'Assumptions and Catalog'!$F$64,IF(((D467+E467)*C467-G467)&lt;='Assumptions and Catalog'!$C$65,((D467+E467)*C467-G467)*'Assumptions and Catalog'!$H$65+'Assumptions and Catalog'!$E$65+'Assumptions and Catalog'!$F$65,"Out of range")))))))))*(1+'Assumptions and Catalog'!$C$8)^(A467-1),0)</f>
        <v>6867.22</v>
      </c>
      <c r="R467" s="5" t="n">
        <f>IF(AND('Assumptions and Catalog'!$C$19&gt;0,A467&gt;='Assumptions and Catalog'!$C$19),A467-'Assumptions and Catalog'!$C$19,A467-1)</f>
        <v>4</v>
      </c>
      <c r="S467" s="5" t="n">
        <f>F467+L467-(D467+E467)*C467-J467-K467-IF(D$52&gt;0,'Assumptions and Catalog'!$C$26*C467,0)</f>
        <v>0</v>
      </c>
      <c r="T467" s="5"/>
      <c r="U467" s="5"/>
    </row>
    <row r="468" ht="23.100000381469727" customHeight="1">
      <c r="A468" s="5" t="n">
        <v>5</v>
      </c>
      <c r="B468" s="5" t="n">
        <v>10</v>
      </c>
      <c r="C468" s="5" t="n">
        <f>DAY(DATE('Assumptions and Catalog'!$C$24+A468-1,B468+1,0))</f>
        <v>31</v>
      </c>
      <c r="D468" s="5" t="n">
        <f>IF(ISNUMBER(Inputs!$L$5),Inputs!$L$5*Inputs!$L$6,0)</f>
        <v>40.35</v>
      </c>
      <c r="E468" s="5" t="n">
        <f>IF(ISNUMBER(Inputs!$L$5),Inputs!$L$5-D468,0)</f>
        <v>40.35</v>
      </c>
      <c r="F468" s="5" t="n">
        <f>D$51*'Assumptions and Catalog'!$C$31*C468*(1-'Assumptions and Catalog'!$C$10)^(A468-1)</f>
        <v>0</v>
      </c>
      <c r="G468" s="5" t="n">
        <f>MIN(F468,D468*C468)</f>
        <v>0</v>
      </c>
      <c r="H468" s="5" t="n">
        <f>I468/('Assumptions and Catalog'!$C$11*'Assumptions and Catalog'!$C$12)</f>
        <v>0</v>
      </c>
      <c r="I468" s="5" t="n">
        <f>IF(K$15="Grid cycle",MIN(K$16,D468+E468,P468*'Assumptions and Catalog'!$C$12,D$57*(24-'Assumptions and Catalog'!$C$15),D$56*'Assumptions and Catalog'!$C$15*'Assumptions and Catalog'!$C$11*'Assumptions and Catalog'!$C$12)*C468,0)</f>
        <v>0</v>
      </c>
      <c r="J468" s="5" t="n">
        <f>MAX(F468-G468-0,0)</f>
        <v>0</v>
      </c>
      <c r="K468" s="5" t="n">
        <f>H468-I468</f>
        <v>0</v>
      </c>
      <c r="L468" s="5" t="n">
        <f>(D468+E468)*C468-G468-I468+H468+IF(D$52&gt;0,'Assumptions and Catalog'!$C$26*C468,0)</f>
        <v>2501.7</v>
      </c>
      <c r="M468" s="5" t="n">
        <f>IF(ISNUMBER(Inputs!$L$5),(IF(Inputs!$L$9="Actual flat rate",((D468+E468)*C468)*Inputs!$L$10,IF(Inputs!$C$9="Residential",IF(((D468+E468)*C468)&lt;='Assumptions and Catalog'!$C$50,((D468+E468)*C468)*'Assumptions and Catalog'!$H$50+'Assumptions and Catalog'!$E$50+'Assumptions and Catalog'!$F$50,IF(((D468+E468)*C468)&lt;='Assumptions and Catalog'!$C$51,((D468+E468)*C468)*'Assumptions and Catalog'!$H$51+'Assumptions and Catalog'!$E$51+'Assumptions and Catalog'!$F$51,IF(((D468+E468)*C468)&lt;='Assumptions and Catalog'!$C$52,((D468+E468)*C468)*'Assumptions and Catalog'!$H$52+'Assumptions and Catalog'!$E$52+'Assumptions and Catalog'!$F$52,IF(((D468+E468)*C468)&lt;='Assumptions and Catalog'!$C$53,((D468+E468)*C468)*'Assumptions and Catalog'!$H$53+'Assumptions and Catalog'!$E$53+'Assumptions and Catalog'!$F$53,IF(((D468+E468)*C468)&lt;='Assumptions and Catalog'!$C$54,((D468+E468)*C468)*'Assumptions and Catalog'!$H$54+'Assumptions and Catalog'!$E$54+'Assumptions and Catalog'!$F$54,IF(((D468+E468)*C468)&lt;='Assumptions and Catalog'!$C$55,((D468+E468)*C468)*'Assumptions and Catalog'!$H$55+'Assumptions and Catalog'!$E$55+'Assumptions and Catalog'!$F$55,IF(((D468+E468)*C468)&lt;='Assumptions and Catalog'!$C$56,((D468+E468)*C468)*'Assumptions and Catalog'!$H$56+'Assumptions and Catalog'!$E$56+'Assumptions and Catalog'!$F$56,IF(((D468+E468)*C468)&lt;='Assumptions and Catalog'!$C$57,((D468+E468)*C468)*'Assumptions and Catalog'!$H$57+'Assumptions and Catalog'!$E$57+'Assumptions and Catalog'!$F$57,"Out of range")))))))),IF(((D468+E468)*C468)&lt;='Assumptions and Catalog'!$C$60,((D468+E468)*C468)*'Assumptions and Catalog'!$H$60+'Assumptions and Catalog'!$E$60+'Assumptions and Catalog'!$F$60,IF(((D468+E468)*C468)&lt;='Assumptions and Catalog'!$C$61,((D468+E468)*C468)*'Assumptions and Catalog'!$H$61+'Assumptions and Catalog'!$E$61+'Assumptions and Catalog'!$F$61,IF(((D468+E468)*C468)&lt;='Assumptions and Catalog'!$C$62,((D468+E468)*C468)*'Assumptions and Catalog'!$H$62+'Assumptions and Catalog'!$E$62+'Assumptions and Catalog'!$F$62,IF(((D468+E468)*C468)&lt;='Assumptions and Catalog'!$C$63,((D468+E468)*C468)*'Assumptions and Catalog'!$H$63+'Assumptions and Catalog'!$E$63+'Assumptions and Catalog'!$F$63,IF(((D468+E468)*C468)&lt;='Assumptions and Catalog'!$C$64,((D468+E468)*C468)*'Assumptions and Catalog'!$H$64+'Assumptions and Catalog'!$E$64+'Assumptions and Catalog'!$F$64,IF(((D468+E468)*C468)&lt;='Assumptions and Catalog'!$C$65,((D468+E468)*C468)*'Assumptions and Catalog'!$H$65+'Assumptions and Catalog'!$E$65+'Assumptions and Catalog'!$F$65,"Out of range")))))))))*(1+'Assumptions and Catalog'!$C$8)^(A468-1),0)</f>
        <v>7094.794</v>
      </c>
      <c r="N468" s="5" t="n">
        <f>IF(ISNUMBER(Inputs!$L$5),(IF(Inputs!$L$9="Actual flat rate",L468*Inputs!$L$10,IF(Inputs!$C$9="Residential",IF(L468&lt;='Assumptions and Catalog'!$C$50,L468*'Assumptions and Catalog'!$H$50+'Assumptions and Catalog'!$E$50+'Assumptions and Catalog'!$F$50,IF(L468&lt;='Assumptions and Catalog'!$C$51,L468*'Assumptions and Catalog'!$H$51+'Assumptions and Catalog'!$E$51+'Assumptions and Catalog'!$F$51,IF(L468&lt;='Assumptions and Catalog'!$C$52,L468*'Assumptions and Catalog'!$H$52+'Assumptions and Catalog'!$E$52+'Assumptions and Catalog'!$F$52,IF(L468&lt;='Assumptions and Catalog'!$C$53,L468*'Assumptions and Catalog'!$H$53+'Assumptions and Catalog'!$E$53+'Assumptions and Catalog'!$F$53,IF(L468&lt;='Assumptions and Catalog'!$C$54,L468*'Assumptions and Catalog'!$H$54+'Assumptions and Catalog'!$E$54+'Assumptions and Catalog'!$F$54,IF(L468&lt;='Assumptions and Catalog'!$C$55,L468*'Assumptions and Catalog'!$H$55+'Assumptions and Catalog'!$E$55+'Assumptions and Catalog'!$F$55,IF(L468&lt;='Assumptions and Catalog'!$C$56,L468*'Assumptions and Catalog'!$H$56+'Assumptions and Catalog'!$E$56+'Assumptions and Catalog'!$F$56,IF(L468&lt;='Assumptions and Catalog'!$C$57,L468*'Assumptions and Catalog'!$H$57+'Assumptions and Catalog'!$E$57+'Assumptions and Catalog'!$F$57,"Out of range")))))))),IF(L468&lt;='Assumptions and Catalog'!$C$60,L468*'Assumptions and Catalog'!$H$60+'Assumptions and Catalog'!$E$60+'Assumptions and Catalog'!$F$60,IF(L468&lt;='Assumptions and Catalog'!$C$61,L468*'Assumptions and Catalog'!$H$61+'Assumptions and Catalog'!$E$61+'Assumptions and Catalog'!$F$61,IF(L468&lt;='Assumptions and Catalog'!$C$62,L468*'Assumptions and Catalog'!$H$62+'Assumptions and Catalog'!$E$62+'Assumptions and Catalog'!$F$62,IF(L468&lt;='Assumptions and Catalog'!$C$63,L468*'Assumptions and Catalog'!$H$63+'Assumptions and Catalog'!$E$63+'Assumptions and Catalog'!$F$63,IF(L468&lt;='Assumptions and Catalog'!$C$64,L468*'Assumptions and Catalog'!$H$64+'Assumptions and Catalog'!$E$64+'Assumptions and Catalog'!$F$64,IF(L468&lt;='Assumptions and Catalog'!$C$65,L468*'Assumptions and Catalog'!$H$65+'Assumptions and Catalog'!$E$65+'Assumptions and Catalog'!$F$65,"Out of range")))))))))*(1+'Assumptions and Catalog'!$C$8)^(A468-1),0)</f>
        <v>7094.794</v>
      </c>
      <c r="O468" s="5" t="n">
        <f>M468-N468</f>
        <v>0</v>
      </c>
      <c r="P468" s="5" t="n">
        <f>D$55*(1-K$14)*(1-'Assumptions and Catalog'!$C$23)^R468</f>
        <v>0</v>
      </c>
      <c r="Q468" s="5" t="n">
        <f>IF(ISNUMBER(Inputs!$L$5),(IF(Inputs!$L$9="Actual flat rate",((D468+E468)*C468-G468)*Inputs!$L$10,IF(Inputs!$C$9="Residential",IF(((D468+E468)*C468-G468)&lt;='Assumptions and Catalog'!$C$50,((D468+E468)*C468-G468)*'Assumptions and Catalog'!$H$50+'Assumptions and Catalog'!$E$50+'Assumptions and Catalog'!$F$50,IF(((D468+E468)*C468-G468)&lt;='Assumptions and Catalog'!$C$51,((D468+E468)*C468-G468)*'Assumptions and Catalog'!$H$51+'Assumptions and Catalog'!$E$51+'Assumptions and Catalog'!$F$51,IF(((D468+E468)*C468-G468)&lt;='Assumptions and Catalog'!$C$52,((D468+E468)*C468-G468)*'Assumptions and Catalog'!$H$52+'Assumptions and Catalog'!$E$52+'Assumptions and Catalog'!$F$52,IF(((D468+E468)*C468-G468)&lt;='Assumptions and Catalog'!$C$53,((D468+E468)*C468-G468)*'Assumptions and Catalog'!$H$53+'Assumptions and Catalog'!$E$53+'Assumptions and Catalog'!$F$53,IF(((D468+E468)*C468-G468)&lt;='Assumptions and Catalog'!$C$54,((D468+E468)*C468-G468)*'Assumptions and Catalog'!$H$54+'Assumptions and Catalog'!$E$54+'Assumptions and Catalog'!$F$54,IF(((D468+E468)*C468-G468)&lt;='Assumptions and Catalog'!$C$55,((D468+E468)*C468-G468)*'Assumptions and Catalog'!$H$55+'Assumptions and Catalog'!$E$55+'Assumptions and Catalog'!$F$55,IF(((D468+E468)*C468-G468)&lt;='Assumptions and Catalog'!$C$56,((D468+E468)*C468-G468)*'Assumptions and Catalog'!$H$56+'Assumptions and Catalog'!$E$56+'Assumptions and Catalog'!$F$56,IF(((D468+E468)*C468-G468)&lt;='Assumptions and Catalog'!$C$57,((D468+E468)*C468-G468)*'Assumptions and Catalog'!$H$57+'Assumptions and Catalog'!$E$57+'Assumptions and Catalog'!$F$57,"Out of range")))))))),IF(((D468+E468)*C468-G468)&lt;='Assumptions and Catalog'!$C$60,((D468+E468)*C468-G468)*'Assumptions and Catalog'!$H$60+'Assumptions and Catalog'!$E$60+'Assumptions and Catalog'!$F$60,IF(((D468+E468)*C468-G468)&lt;='Assumptions and Catalog'!$C$61,((D468+E468)*C468-G468)*'Assumptions and Catalog'!$H$61+'Assumptions and Catalog'!$E$61+'Assumptions and Catalog'!$F$61,IF(((D468+E468)*C468-G468)&lt;='Assumptions and Catalog'!$C$62,((D468+E468)*C468-G468)*'Assumptions and Catalog'!$H$62+'Assumptions and Catalog'!$E$62+'Assumptions and Catalog'!$F$62,IF(((D468+E468)*C468-G468)&lt;='Assumptions and Catalog'!$C$63,((D468+E468)*C468-G468)*'Assumptions and Catalog'!$H$63+'Assumptions and Catalog'!$E$63+'Assumptions and Catalog'!$F$63,IF(((D468+E468)*C468-G468)&lt;='Assumptions and Catalog'!$C$64,((D468+E468)*C468-G468)*'Assumptions and Catalog'!$H$64+'Assumptions and Catalog'!$E$64+'Assumptions and Catalog'!$F$64,IF(((D468+E468)*C468-G468)&lt;='Assumptions and Catalog'!$C$65,((D468+E468)*C468-G468)*'Assumptions and Catalog'!$H$65+'Assumptions and Catalog'!$E$65+'Assumptions and Catalog'!$F$65,"Out of range")))))))))*(1+'Assumptions and Catalog'!$C$8)^(A468-1),0)</f>
        <v>7094.794</v>
      </c>
      <c r="R468" s="5" t="n">
        <f>IF(AND('Assumptions and Catalog'!$C$19&gt;0,A468&gt;='Assumptions and Catalog'!$C$19),A468-'Assumptions and Catalog'!$C$19,A468-1)</f>
        <v>4</v>
      </c>
      <c r="S468" s="5" t="n">
        <f>F468+L468-(D468+E468)*C468-J468-K468-IF(D$52&gt;0,'Assumptions and Catalog'!$C$26*C468,0)</f>
        <v>0</v>
      </c>
      <c r="T468" s="5"/>
      <c r="U468" s="5"/>
    </row>
    <row r="469" ht="23.100000381469727" customHeight="1">
      <c r="A469" s="5" t="n">
        <v>5</v>
      </c>
      <c r="B469" s="5" t="n">
        <v>11</v>
      </c>
      <c r="C469" s="5" t="n">
        <f>DAY(DATE('Assumptions and Catalog'!$C$24+A469-1,B469+1,0))</f>
        <v>30</v>
      </c>
      <c r="D469" s="5" t="n">
        <f>IF(ISNUMBER(Inputs!$L$5),Inputs!$L$5*Inputs!$L$6,0)</f>
        <v>40.35</v>
      </c>
      <c r="E469" s="5" t="n">
        <f>IF(ISNUMBER(Inputs!$L$5),Inputs!$L$5-D469,0)</f>
        <v>40.35</v>
      </c>
      <c r="F469" s="5" t="n">
        <f>D$51*'Assumptions and Catalog'!$C$31*C469*(1-'Assumptions and Catalog'!$C$10)^(A469-1)</f>
        <v>0</v>
      </c>
      <c r="G469" s="5" t="n">
        <f>MIN(F469,D469*C469)</f>
        <v>0</v>
      </c>
      <c r="H469" s="5" t="n">
        <f>I469/('Assumptions and Catalog'!$C$11*'Assumptions and Catalog'!$C$12)</f>
        <v>0</v>
      </c>
      <c r="I469" s="5" t="n">
        <f>IF(K$15="Grid cycle",MIN(K$16,D469+E469,P469*'Assumptions and Catalog'!$C$12,D$57*(24-'Assumptions and Catalog'!$C$15),D$56*'Assumptions and Catalog'!$C$15*'Assumptions and Catalog'!$C$11*'Assumptions and Catalog'!$C$12)*C469,0)</f>
        <v>0</v>
      </c>
      <c r="J469" s="5" t="n">
        <f>MAX(F469-G469-0,0)</f>
        <v>0</v>
      </c>
      <c r="K469" s="5" t="n">
        <f>H469-I469</f>
        <v>0</v>
      </c>
      <c r="L469" s="5" t="n">
        <f>(D469+E469)*C469-G469-I469+H469+IF(D$52&gt;0,'Assumptions and Catalog'!$C$26*C469,0)</f>
        <v>2421</v>
      </c>
      <c r="M469" s="5" t="n">
        <f>IF(ISNUMBER(Inputs!$L$5),(IF(Inputs!$L$9="Actual flat rate",((D469+E469)*C469)*Inputs!$L$10,IF(Inputs!$C$9="Residential",IF(((D469+E469)*C469)&lt;='Assumptions and Catalog'!$C$50,((D469+E469)*C469)*'Assumptions and Catalog'!$H$50+'Assumptions and Catalog'!$E$50+'Assumptions and Catalog'!$F$50,IF(((D469+E469)*C469)&lt;='Assumptions and Catalog'!$C$51,((D469+E469)*C469)*'Assumptions and Catalog'!$H$51+'Assumptions and Catalog'!$E$51+'Assumptions and Catalog'!$F$51,IF(((D469+E469)*C469)&lt;='Assumptions and Catalog'!$C$52,((D469+E469)*C469)*'Assumptions and Catalog'!$H$52+'Assumptions and Catalog'!$E$52+'Assumptions and Catalog'!$F$52,IF(((D469+E469)*C469)&lt;='Assumptions and Catalog'!$C$53,((D469+E469)*C469)*'Assumptions and Catalog'!$H$53+'Assumptions and Catalog'!$E$53+'Assumptions and Catalog'!$F$53,IF(((D469+E469)*C469)&lt;='Assumptions and Catalog'!$C$54,((D469+E469)*C469)*'Assumptions and Catalog'!$H$54+'Assumptions and Catalog'!$E$54+'Assumptions and Catalog'!$F$54,IF(((D469+E469)*C469)&lt;='Assumptions and Catalog'!$C$55,((D469+E469)*C469)*'Assumptions and Catalog'!$H$55+'Assumptions and Catalog'!$E$55+'Assumptions and Catalog'!$F$55,IF(((D469+E469)*C469)&lt;='Assumptions and Catalog'!$C$56,((D469+E469)*C469)*'Assumptions and Catalog'!$H$56+'Assumptions and Catalog'!$E$56+'Assumptions and Catalog'!$F$56,IF(((D469+E469)*C469)&lt;='Assumptions and Catalog'!$C$57,((D469+E469)*C469)*'Assumptions and Catalog'!$H$57+'Assumptions and Catalog'!$E$57+'Assumptions and Catalog'!$F$57,"Out of range")))))))),IF(((D469+E469)*C469)&lt;='Assumptions and Catalog'!$C$60,((D469+E469)*C469)*'Assumptions and Catalog'!$H$60+'Assumptions and Catalog'!$E$60+'Assumptions and Catalog'!$F$60,IF(((D469+E469)*C469)&lt;='Assumptions and Catalog'!$C$61,((D469+E469)*C469)*'Assumptions and Catalog'!$H$61+'Assumptions and Catalog'!$E$61+'Assumptions and Catalog'!$F$61,IF(((D469+E469)*C469)&lt;='Assumptions and Catalog'!$C$62,((D469+E469)*C469)*'Assumptions and Catalog'!$H$62+'Assumptions and Catalog'!$E$62+'Assumptions and Catalog'!$F$62,IF(((D469+E469)*C469)&lt;='Assumptions and Catalog'!$C$63,((D469+E469)*C469)*'Assumptions and Catalog'!$H$63+'Assumptions and Catalog'!$E$63+'Assumptions and Catalog'!$F$63,IF(((D469+E469)*C469)&lt;='Assumptions and Catalog'!$C$64,((D469+E469)*C469)*'Assumptions and Catalog'!$H$64+'Assumptions and Catalog'!$E$64+'Assumptions and Catalog'!$F$64,IF(((D469+E469)*C469)&lt;='Assumptions and Catalog'!$C$65,((D469+E469)*C469)*'Assumptions and Catalog'!$H$65+'Assumptions and Catalog'!$E$65+'Assumptions and Catalog'!$F$65,"Out of range")))))))))*(1+'Assumptions and Catalog'!$C$8)^(A469-1),0)</f>
        <v>6867.22</v>
      </c>
      <c r="N469" s="5" t="n">
        <f>IF(ISNUMBER(Inputs!$L$5),(IF(Inputs!$L$9="Actual flat rate",L469*Inputs!$L$10,IF(Inputs!$C$9="Residential",IF(L469&lt;='Assumptions and Catalog'!$C$50,L469*'Assumptions and Catalog'!$H$50+'Assumptions and Catalog'!$E$50+'Assumptions and Catalog'!$F$50,IF(L469&lt;='Assumptions and Catalog'!$C$51,L469*'Assumptions and Catalog'!$H$51+'Assumptions and Catalog'!$E$51+'Assumptions and Catalog'!$F$51,IF(L469&lt;='Assumptions and Catalog'!$C$52,L469*'Assumptions and Catalog'!$H$52+'Assumptions and Catalog'!$E$52+'Assumptions and Catalog'!$F$52,IF(L469&lt;='Assumptions and Catalog'!$C$53,L469*'Assumptions and Catalog'!$H$53+'Assumptions and Catalog'!$E$53+'Assumptions and Catalog'!$F$53,IF(L469&lt;='Assumptions and Catalog'!$C$54,L469*'Assumptions and Catalog'!$H$54+'Assumptions and Catalog'!$E$54+'Assumptions and Catalog'!$F$54,IF(L469&lt;='Assumptions and Catalog'!$C$55,L469*'Assumptions and Catalog'!$H$55+'Assumptions and Catalog'!$E$55+'Assumptions and Catalog'!$F$55,IF(L469&lt;='Assumptions and Catalog'!$C$56,L469*'Assumptions and Catalog'!$H$56+'Assumptions and Catalog'!$E$56+'Assumptions and Catalog'!$F$56,IF(L469&lt;='Assumptions and Catalog'!$C$57,L469*'Assumptions and Catalog'!$H$57+'Assumptions and Catalog'!$E$57+'Assumptions and Catalog'!$F$57,"Out of range")))))))),IF(L469&lt;='Assumptions and Catalog'!$C$60,L469*'Assumptions and Catalog'!$H$60+'Assumptions and Catalog'!$E$60+'Assumptions and Catalog'!$F$60,IF(L469&lt;='Assumptions and Catalog'!$C$61,L469*'Assumptions and Catalog'!$H$61+'Assumptions and Catalog'!$E$61+'Assumptions and Catalog'!$F$61,IF(L469&lt;='Assumptions and Catalog'!$C$62,L469*'Assumptions and Catalog'!$H$62+'Assumptions and Catalog'!$E$62+'Assumptions and Catalog'!$F$62,IF(L469&lt;='Assumptions and Catalog'!$C$63,L469*'Assumptions and Catalog'!$H$63+'Assumptions and Catalog'!$E$63+'Assumptions and Catalog'!$F$63,IF(L469&lt;='Assumptions and Catalog'!$C$64,L469*'Assumptions and Catalog'!$H$64+'Assumptions and Catalog'!$E$64+'Assumptions and Catalog'!$F$64,IF(L469&lt;='Assumptions and Catalog'!$C$65,L469*'Assumptions and Catalog'!$H$65+'Assumptions and Catalog'!$E$65+'Assumptions and Catalog'!$F$65,"Out of range")))))))))*(1+'Assumptions and Catalog'!$C$8)^(A469-1),0)</f>
        <v>6867.22</v>
      </c>
      <c r="O469" s="5" t="n">
        <f>M469-N469</f>
        <v>0</v>
      </c>
      <c r="P469" s="5" t="n">
        <f>D$55*(1-K$14)*(1-'Assumptions and Catalog'!$C$23)^R469</f>
        <v>0</v>
      </c>
      <c r="Q469" s="5" t="n">
        <f>IF(ISNUMBER(Inputs!$L$5),(IF(Inputs!$L$9="Actual flat rate",((D469+E469)*C469-G469)*Inputs!$L$10,IF(Inputs!$C$9="Residential",IF(((D469+E469)*C469-G469)&lt;='Assumptions and Catalog'!$C$50,((D469+E469)*C469-G469)*'Assumptions and Catalog'!$H$50+'Assumptions and Catalog'!$E$50+'Assumptions and Catalog'!$F$50,IF(((D469+E469)*C469-G469)&lt;='Assumptions and Catalog'!$C$51,((D469+E469)*C469-G469)*'Assumptions and Catalog'!$H$51+'Assumptions and Catalog'!$E$51+'Assumptions and Catalog'!$F$51,IF(((D469+E469)*C469-G469)&lt;='Assumptions and Catalog'!$C$52,((D469+E469)*C469-G469)*'Assumptions and Catalog'!$H$52+'Assumptions and Catalog'!$E$52+'Assumptions and Catalog'!$F$52,IF(((D469+E469)*C469-G469)&lt;='Assumptions and Catalog'!$C$53,((D469+E469)*C469-G469)*'Assumptions and Catalog'!$H$53+'Assumptions and Catalog'!$E$53+'Assumptions and Catalog'!$F$53,IF(((D469+E469)*C469-G469)&lt;='Assumptions and Catalog'!$C$54,((D469+E469)*C469-G469)*'Assumptions and Catalog'!$H$54+'Assumptions and Catalog'!$E$54+'Assumptions and Catalog'!$F$54,IF(((D469+E469)*C469-G469)&lt;='Assumptions and Catalog'!$C$55,((D469+E469)*C469-G469)*'Assumptions and Catalog'!$H$55+'Assumptions and Catalog'!$E$55+'Assumptions and Catalog'!$F$55,IF(((D469+E469)*C469-G469)&lt;='Assumptions and Catalog'!$C$56,((D469+E469)*C469-G469)*'Assumptions and Catalog'!$H$56+'Assumptions and Catalog'!$E$56+'Assumptions and Catalog'!$F$56,IF(((D469+E469)*C469-G469)&lt;='Assumptions and Catalog'!$C$57,((D469+E469)*C469-G469)*'Assumptions and Catalog'!$H$57+'Assumptions and Catalog'!$E$57+'Assumptions and Catalog'!$F$57,"Out of range")))))))),IF(((D469+E469)*C469-G469)&lt;='Assumptions and Catalog'!$C$60,((D469+E469)*C469-G469)*'Assumptions and Catalog'!$H$60+'Assumptions and Catalog'!$E$60+'Assumptions and Catalog'!$F$60,IF(((D469+E469)*C469-G469)&lt;='Assumptions and Catalog'!$C$61,((D469+E469)*C469-G469)*'Assumptions and Catalog'!$H$61+'Assumptions and Catalog'!$E$61+'Assumptions and Catalog'!$F$61,IF(((D469+E469)*C469-G469)&lt;='Assumptions and Catalog'!$C$62,((D469+E469)*C469-G469)*'Assumptions and Catalog'!$H$62+'Assumptions and Catalog'!$E$62+'Assumptions and Catalog'!$F$62,IF(((D469+E469)*C469-G469)&lt;='Assumptions and Catalog'!$C$63,((D469+E469)*C469-G469)*'Assumptions and Catalog'!$H$63+'Assumptions and Catalog'!$E$63+'Assumptions and Catalog'!$F$63,IF(((D469+E469)*C469-G469)&lt;='Assumptions and Catalog'!$C$64,((D469+E469)*C469-G469)*'Assumptions and Catalog'!$H$64+'Assumptions and Catalog'!$E$64+'Assumptions and Catalog'!$F$64,IF(((D469+E469)*C469-G469)&lt;='Assumptions and Catalog'!$C$65,((D469+E469)*C469-G469)*'Assumptions and Catalog'!$H$65+'Assumptions and Catalog'!$E$65+'Assumptions and Catalog'!$F$65,"Out of range")))))))))*(1+'Assumptions and Catalog'!$C$8)^(A469-1),0)</f>
        <v>6867.22</v>
      </c>
      <c r="R469" s="5" t="n">
        <f>IF(AND('Assumptions and Catalog'!$C$19&gt;0,A469&gt;='Assumptions and Catalog'!$C$19),A469-'Assumptions and Catalog'!$C$19,A469-1)</f>
        <v>4</v>
      </c>
      <c r="S469" s="5" t="n">
        <f>F469+L469-(D469+E469)*C469-J469-K469-IF(D$52&gt;0,'Assumptions and Catalog'!$C$26*C469,0)</f>
        <v>0</v>
      </c>
      <c r="T469" s="5"/>
      <c r="U469" s="5"/>
    </row>
    <row r="470" ht="23.100000381469727" customHeight="1">
      <c r="A470" s="5" t="n">
        <v>5</v>
      </c>
      <c r="B470" s="5" t="n">
        <v>12</v>
      </c>
      <c r="C470" s="5" t="n">
        <f>DAY(DATE('Assumptions and Catalog'!$C$24+A470-1,B470+1,0))</f>
        <v>31</v>
      </c>
      <c r="D470" s="5" t="n">
        <f>IF(ISNUMBER(Inputs!$L$5),Inputs!$L$5*Inputs!$L$6,0)</f>
        <v>40.35</v>
      </c>
      <c r="E470" s="5" t="n">
        <f>IF(ISNUMBER(Inputs!$L$5),Inputs!$L$5-D470,0)</f>
        <v>40.35</v>
      </c>
      <c r="F470" s="5" t="n">
        <f>D$51*'Assumptions and Catalog'!$C$31*C470*(1-'Assumptions and Catalog'!$C$10)^(A470-1)</f>
        <v>0</v>
      </c>
      <c r="G470" s="5" t="n">
        <f>MIN(F470,D470*C470)</f>
        <v>0</v>
      </c>
      <c r="H470" s="5" t="n">
        <f>I470/('Assumptions and Catalog'!$C$11*'Assumptions and Catalog'!$C$12)</f>
        <v>0</v>
      </c>
      <c r="I470" s="5" t="n">
        <f>IF(K$15="Grid cycle",MIN(K$16,D470+E470,P470*'Assumptions and Catalog'!$C$12,D$57*(24-'Assumptions and Catalog'!$C$15),D$56*'Assumptions and Catalog'!$C$15*'Assumptions and Catalog'!$C$11*'Assumptions and Catalog'!$C$12)*C470,0)</f>
        <v>0</v>
      </c>
      <c r="J470" s="5" t="n">
        <f>MAX(F470-G470-0,0)</f>
        <v>0</v>
      </c>
      <c r="K470" s="5" t="n">
        <f>H470-I470</f>
        <v>0</v>
      </c>
      <c r="L470" s="5" t="n">
        <f>(D470+E470)*C470-G470-I470+H470+IF(D$52&gt;0,'Assumptions and Catalog'!$C$26*C470,0)</f>
        <v>2501.7</v>
      </c>
      <c r="M470" s="5" t="n">
        <f>IF(ISNUMBER(Inputs!$L$5),(IF(Inputs!$L$9="Actual flat rate",((D470+E470)*C470)*Inputs!$L$10,IF(Inputs!$C$9="Residential",IF(((D470+E470)*C470)&lt;='Assumptions and Catalog'!$C$50,((D470+E470)*C470)*'Assumptions and Catalog'!$H$50+'Assumptions and Catalog'!$E$50+'Assumptions and Catalog'!$F$50,IF(((D470+E470)*C470)&lt;='Assumptions and Catalog'!$C$51,((D470+E470)*C470)*'Assumptions and Catalog'!$H$51+'Assumptions and Catalog'!$E$51+'Assumptions and Catalog'!$F$51,IF(((D470+E470)*C470)&lt;='Assumptions and Catalog'!$C$52,((D470+E470)*C470)*'Assumptions and Catalog'!$H$52+'Assumptions and Catalog'!$E$52+'Assumptions and Catalog'!$F$52,IF(((D470+E470)*C470)&lt;='Assumptions and Catalog'!$C$53,((D470+E470)*C470)*'Assumptions and Catalog'!$H$53+'Assumptions and Catalog'!$E$53+'Assumptions and Catalog'!$F$53,IF(((D470+E470)*C470)&lt;='Assumptions and Catalog'!$C$54,((D470+E470)*C470)*'Assumptions and Catalog'!$H$54+'Assumptions and Catalog'!$E$54+'Assumptions and Catalog'!$F$54,IF(((D470+E470)*C470)&lt;='Assumptions and Catalog'!$C$55,((D470+E470)*C470)*'Assumptions and Catalog'!$H$55+'Assumptions and Catalog'!$E$55+'Assumptions and Catalog'!$F$55,IF(((D470+E470)*C470)&lt;='Assumptions and Catalog'!$C$56,((D470+E470)*C470)*'Assumptions and Catalog'!$H$56+'Assumptions and Catalog'!$E$56+'Assumptions and Catalog'!$F$56,IF(((D470+E470)*C470)&lt;='Assumptions and Catalog'!$C$57,((D470+E470)*C470)*'Assumptions and Catalog'!$H$57+'Assumptions and Catalog'!$E$57+'Assumptions and Catalog'!$F$57,"Out of range")))))))),IF(((D470+E470)*C470)&lt;='Assumptions and Catalog'!$C$60,((D470+E470)*C470)*'Assumptions and Catalog'!$H$60+'Assumptions and Catalog'!$E$60+'Assumptions and Catalog'!$F$60,IF(((D470+E470)*C470)&lt;='Assumptions and Catalog'!$C$61,((D470+E470)*C470)*'Assumptions and Catalog'!$H$61+'Assumptions and Catalog'!$E$61+'Assumptions and Catalog'!$F$61,IF(((D470+E470)*C470)&lt;='Assumptions and Catalog'!$C$62,((D470+E470)*C470)*'Assumptions and Catalog'!$H$62+'Assumptions and Catalog'!$E$62+'Assumptions and Catalog'!$F$62,IF(((D470+E470)*C470)&lt;='Assumptions and Catalog'!$C$63,((D470+E470)*C470)*'Assumptions and Catalog'!$H$63+'Assumptions and Catalog'!$E$63+'Assumptions and Catalog'!$F$63,IF(((D470+E470)*C470)&lt;='Assumptions and Catalog'!$C$64,((D470+E470)*C470)*'Assumptions and Catalog'!$H$64+'Assumptions and Catalog'!$E$64+'Assumptions and Catalog'!$F$64,IF(((D470+E470)*C470)&lt;='Assumptions and Catalog'!$C$65,((D470+E470)*C470)*'Assumptions and Catalog'!$H$65+'Assumptions and Catalog'!$E$65+'Assumptions and Catalog'!$F$65,"Out of range")))))))))*(1+'Assumptions and Catalog'!$C$8)^(A470-1),0)</f>
        <v>7094.794</v>
      </c>
      <c r="N470" s="5" t="n">
        <f>IF(ISNUMBER(Inputs!$L$5),(IF(Inputs!$L$9="Actual flat rate",L470*Inputs!$L$10,IF(Inputs!$C$9="Residential",IF(L470&lt;='Assumptions and Catalog'!$C$50,L470*'Assumptions and Catalog'!$H$50+'Assumptions and Catalog'!$E$50+'Assumptions and Catalog'!$F$50,IF(L470&lt;='Assumptions and Catalog'!$C$51,L470*'Assumptions and Catalog'!$H$51+'Assumptions and Catalog'!$E$51+'Assumptions and Catalog'!$F$51,IF(L470&lt;='Assumptions and Catalog'!$C$52,L470*'Assumptions and Catalog'!$H$52+'Assumptions and Catalog'!$E$52+'Assumptions and Catalog'!$F$52,IF(L470&lt;='Assumptions and Catalog'!$C$53,L470*'Assumptions and Catalog'!$H$53+'Assumptions and Catalog'!$E$53+'Assumptions and Catalog'!$F$53,IF(L470&lt;='Assumptions and Catalog'!$C$54,L470*'Assumptions and Catalog'!$H$54+'Assumptions and Catalog'!$E$54+'Assumptions and Catalog'!$F$54,IF(L470&lt;='Assumptions and Catalog'!$C$55,L470*'Assumptions and Catalog'!$H$55+'Assumptions and Catalog'!$E$55+'Assumptions and Catalog'!$F$55,IF(L470&lt;='Assumptions and Catalog'!$C$56,L470*'Assumptions and Catalog'!$H$56+'Assumptions and Catalog'!$E$56+'Assumptions and Catalog'!$F$56,IF(L470&lt;='Assumptions and Catalog'!$C$57,L470*'Assumptions and Catalog'!$H$57+'Assumptions and Catalog'!$E$57+'Assumptions and Catalog'!$F$57,"Out of range")))))))),IF(L470&lt;='Assumptions and Catalog'!$C$60,L470*'Assumptions and Catalog'!$H$60+'Assumptions and Catalog'!$E$60+'Assumptions and Catalog'!$F$60,IF(L470&lt;='Assumptions and Catalog'!$C$61,L470*'Assumptions and Catalog'!$H$61+'Assumptions and Catalog'!$E$61+'Assumptions and Catalog'!$F$61,IF(L470&lt;='Assumptions and Catalog'!$C$62,L470*'Assumptions and Catalog'!$H$62+'Assumptions and Catalog'!$E$62+'Assumptions and Catalog'!$F$62,IF(L470&lt;='Assumptions and Catalog'!$C$63,L470*'Assumptions and Catalog'!$H$63+'Assumptions and Catalog'!$E$63+'Assumptions and Catalog'!$F$63,IF(L470&lt;='Assumptions and Catalog'!$C$64,L470*'Assumptions and Catalog'!$H$64+'Assumptions and Catalog'!$E$64+'Assumptions and Catalog'!$F$64,IF(L470&lt;='Assumptions and Catalog'!$C$65,L470*'Assumptions and Catalog'!$H$65+'Assumptions and Catalog'!$E$65+'Assumptions and Catalog'!$F$65,"Out of range")))))))))*(1+'Assumptions and Catalog'!$C$8)^(A470-1),0)</f>
        <v>7094.794</v>
      </c>
      <c r="O470" s="5" t="n">
        <f>M470-N470</f>
        <v>0</v>
      </c>
      <c r="P470" s="5" t="n">
        <f>D$55*(1-K$14)*(1-'Assumptions and Catalog'!$C$23)^R470</f>
        <v>0</v>
      </c>
      <c r="Q470" s="5" t="n">
        <f>IF(ISNUMBER(Inputs!$L$5),(IF(Inputs!$L$9="Actual flat rate",((D470+E470)*C470-G470)*Inputs!$L$10,IF(Inputs!$C$9="Residential",IF(((D470+E470)*C470-G470)&lt;='Assumptions and Catalog'!$C$50,((D470+E470)*C470-G470)*'Assumptions and Catalog'!$H$50+'Assumptions and Catalog'!$E$50+'Assumptions and Catalog'!$F$50,IF(((D470+E470)*C470-G470)&lt;='Assumptions and Catalog'!$C$51,((D470+E470)*C470-G470)*'Assumptions and Catalog'!$H$51+'Assumptions and Catalog'!$E$51+'Assumptions and Catalog'!$F$51,IF(((D470+E470)*C470-G470)&lt;='Assumptions and Catalog'!$C$52,((D470+E470)*C470-G470)*'Assumptions and Catalog'!$H$52+'Assumptions and Catalog'!$E$52+'Assumptions and Catalog'!$F$52,IF(((D470+E470)*C470-G470)&lt;='Assumptions and Catalog'!$C$53,((D470+E470)*C470-G470)*'Assumptions and Catalog'!$H$53+'Assumptions and Catalog'!$E$53+'Assumptions and Catalog'!$F$53,IF(((D470+E470)*C470-G470)&lt;='Assumptions and Catalog'!$C$54,((D470+E470)*C470-G470)*'Assumptions and Catalog'!$H$54+'Assumptions and Catalog'!$E$54+'Assumptions and Catalog'!$F$54,IF(((D470+E470)*C470-G470)&lt;='Assumptions and Catalog'!$C$55,((D470+E470)*C470-G470)*'Assumptions and Catalog'!$H$55+'Assumptions and Catalog'!$E$55+'Assumptions and Catalog'!$F$55,IF(((D470+E470)*C470-G470)&lt;='Assumptions and Catalog'!$C$56,((D470+E470)*C470-G470)*'Assumptions and Catalog'!$H$56+'Assumptions and Catalog'!$E$56+'Assumptions and Catalog'!$F$56,IF(((D470+E470)*C470-G470)&lt;='Assumptions and Catalog'!$C$57,((D470+E470)*C470-G470)*'Assumptions and Catalog'!$H$57+'Assumptions and Catalog'!$E$57+'Assumptions and Catalog'!$F$57,"Out of range")))))))),IF(((D470+E470)*C470-G470)&lt;='Assumptions and Catalog'!$C$60,((D470+E470)*C470-G470)*'Assumptions and Catalog'!$H$60+'Assumptions and Catalog'!$E$60+'Assumptions and Catalog'!$F$60,IF(((D470+E470)*C470-G470)&lt;='Assumptions and Catalog'!$C$61,((D470+E470)*C470-G470)*'Assumptions and Catalog'!$H$61+'Assumptions and Catalog'!$E$61+'Assumptions and Catalog'!$F$61,IF(((D470+E470)*C470-G470)&lt;='Assumptions and Catalog'!$C$62,((D470+E470)*C470-G470)*'Assumptions and Catalog'!$H$62+'Assumptions and Catalog'!$E$62+'Assumptions and Catalog'!$F$62,IF(((D470+E470)*C470-G470)&lt;='Assumptions and Catalog'!$C$63,((D470+E470)*C470-G470)*'Assumptions and Catalog'!$H$63+'Assumptions and Catalog'!$E$63+'Assumptions and Catalog'!$F$63,IF(((D470+E470)*C470-G470)&lt;='Assumptions and Catalog'!$C$64,((D470+E470)*C470-G470)*'Assumptions and Catalog'!$H$64+'Assumptions and Catalog'!$E$64+'Assumptions and Catalog'!$F$64,IF(((D470+E470)*C470-G470)&lt;='Assumptions and Catalog'!$C$65,((D470+E470)*C470-G470)*'Assumptions and Catalog'!$H$65+'Assumptions and Catalog'!$E$65+'Assumptions and Catalog'!$F$65,"Out of range")))))))))*(1+'Assumptions and Catalog'!$C$8)^(A470-1),0)</f>
        <v>7094.794</v>
      </c>
      <c r="R470" s="5" t="n">
        <f>IF(AND('Assumptions and Catalog'!$C$19&gt;0,A470&gt;='Assumptions and Catalog'!$C$19),A470-'Assumptions and Catalog'!$C$19,A470-1)</f>
        <v>4</v>
      </c>
      <c r="S470" s="5" t="n">
        <f>F470+L470-(D470+E470)*C470-J470-K470-IF(D$52&gt;0,'Assumptions and Catalog'!$C$26*C470,0)</f>
        <v>0</v>
      </c>
      <c r="T470" s="5"/>
      <c r="U470" s="5"/>
    </row>
    <row r="471" ht="23.100000381469727" customHeight="1">
      <c r="A471" s="5" t="n">
        <v>6</v>
      </c>
      <c r="B471" s="5" t="n">
        <v>1</v>
      </c>
      <c r="C471" s="5" t="n">
        <f>DAY(DATE('Assumptions and Catalog'!$C$24+A471-1,B471+1,0))</f>
        <v>31</v>
      </c>
      <c r="D471" s="5" t="n">
        <f>IF(ISNUMBER(Inputs!$L$5),Inputs!$L$5*Inputs!$L$6,0)</f>
        <v>40.35</v>
      </c>
      <c r="E471" s="5" t="n">
        <f>IF(ISNUMBER(Inputs!$L$5),Inputs!$L$5-D471,0)</f>
        <v>40.35</v>
      </c>
      <c r="F471" s="5" t="n">
        <f>D$51*'Assumptions and Catalog'!$C$31*C471*(1-'Assumptions and Catalog'!$C$10)^(A471-1)</f>
        <v>0</v>
      </c>
      <c r="G471" s="5" t="n">
        <f>MIN(F471,D471*C471)</f>
        <v>0</v>
      </c>
      <c r="H471" s="5" t="n">
        <f>I471/('Assumptions and Catalog'!$C$11*'Assumptions and Catalog'!$C$12)</f>
        <v>0</v>
      </c>
      <c r="I471" s="5" t="n">
        <f>IF(K$15="Grid cycle",MIN(K$16,D471+E471,P471*'Assumptions and Catalog'!$C$12,D$57*(24-'Assumptions and Catalog'!$C$15),D$56*'Assumptions and Catalog'!$C$15*'Assumptions and Catalog'!$C$11*'Assumptions and Catalog'!$C$12)*C471,0)</f>
        <v>0</v>
      </c>
      <c r="J471" s="5" t="n">
        <f>MAX(F471-G471-0,0)</f>
        <v>0</v>
      </c>
      <c r="K471" s="5" t="n">
        <f>H471-I471</f>
        <v>0</v>
      </c>
      <c r="L471" s="5" t="n">
        <f>(D471+E471)*C471-G471-I471+H471+IF(D$52&gt;0,'Assumptions and Catalog'!$C$26*C471,0)</f>
        <v>2501.7</v>
      </c>
      <c r="M471" s="5" t="n">
        <f>IF(ISNUMBER(Inputs!$L$5),(IF(Inputs!$L$9="Actual flat rate",((D471+E471)*C471)*Inputs!$L$10,IF(Inputs!$C$9="Residential",IF(((D471+E471)*C471)&lt;='Assumptions and Catalog'!$C$50,((D471+E471)*C471)*'Assumptions and Catalog'!$H$50+'Assumptions and Catalog'!$E$50+'Assumptions and Catalog'!$F$50,IF(((D471+E471)*C471)&lt;='Assumptions and Catalog'!$C$51,((D471+E471)*C471)*'Assumptions and Catalog'!$H$51+'Assumptions and Catalog'!$E$51+'Assumptions and Catalog'!$F$51,IF(((D471+E471)*C471)&lt;='Assumptions and Catalog'!$C$52,((D471+E471)*C471)*'Assumptions and Catalog'!$H$52+'Assumptions and Catalog'!$E$52+'Assumptions and Catalog'!$F$52,IF(((D471+E471)*C471)&lt;='Assumptions and Catalog'!$C$53,((D471+E471)*C471)*'Assumptions and Catalog'!$H$53+'Assumptions and Catalog'!$E$53+'Assumptions and Catalog'!$F$53,IF(((D471+E471)*C471)&lt;='Assumptions and Catalog'!$C$54,((D471+E471)*C471)*'Assumptions and Catalog'!$H$54+'Assumptions and Catalog'!$E$54+'Assumptions and Catalog'!$F$54,IF(((D471+E471)*C471)&lt;='Assumptions and Catalog'!$C$55,((D471+E471)*C471)*'Assumptions and Catalog'!$H$55+'Assumptions and Catalog'!$E$55+'Assumptions and Catalog'!$F$55,IF(((D471+E471)*C471)&lt;='Assumptions and Catalog'!$C$56,((D471+E471)*C471)*'Assumptions and Catalog'!$H$56+'Assumptions and Catalog'!$E$56+'Assumptions and Catalog'!$F$56,IF(((D471+E471)*C471)&lt;='Assumptions and Catalog'!$C$57,((D471+E471)*C471)*'Assumptions and Catalog'!$H$57+'Assumptions and Catalog'!$E$57+'Assumptions and Catalog'!$F$57,"Out of range")))))))),IF(((D471+E471)*C471)&lt;='Assumptions and Catalog'!$C$60,((D471+E471)*C471)*'Assumptions and Catalog'!$H$60+'Assumptions and Catalog'!$E$60+'Assumptions and Catalog'!$F$60,IF(((D471+E471)*C471)&lt;='Assumptions and Catalog'!$C$61,((D471+E471)*C471)*'Assumptions and Catalog'!$H$61+'Assumptions and Catalog'!$E$61+'Assumptions and Catalog'!$F$61,IF(((D471+E471)*C471)&lt;='Assumptions and Catalog'!$C$62,((D471+E471)*C471)*'Assumptions and Catalog'!$H$62+'Assumptions and Catalog'!$E$62+'Assumptions and Catalog'!$F$62,IF(((D471+E471)*C471)&lt;='Assumptions and Catalog'!$C$63,((D471+E471)*C471)*'Assumptions and Catalog'!$H$63+'Assumptions and Catalog'!$E$63+'Assumptions and Catalog'!$F$63,IF(((D471+E471)*C471)&lt;='Assumptions and Catalog'!$C$64,((D471+E471)*C471)*'Assumptions and Catalog'!$H$64+'Assumptions and Catalog'!$E$64+'Assumptions and Catalog'!$F$64,IF(((D471+E471)*C471)&lt;='Assumptions and Catalog'!$C$65,((D471+E471)*C471)*'Assumptions and Catalog'!$H$65+'Assumptions and Catalog'!$E$65+'Assumptions and Catalog'!$F$65,"Out of range")))))))))*(1+'Assumptions and Catalog'!$C$8)^(A471-1),0)</f>
        <v>7094.794</v>
      </c>
      <c r="N471" s="5" t="n">
        <f>IF(ISNUMBER(Inputs!$L$5),(IF(Inputs!$L$9="Actual flat rate",L471*Inputs!$L$10,IF(Inputs!$C$9="Residential",IF(L471&lt;='Assumptions and Catalog'!$C$50,L471*'Assumptions and Catalog'!$H$50+'Assumptions and Catalog'!$E$50+'Assumptions and Catalog'!$F$50,IF(L471&lt;='Assumptions and Catalog'!$C$51,L471*'Assumptions and Catalog'!$H$51+'Assumptions and Catalog'!$E$51+'Assumptions and Catalog'!$F$51,IF(L471&lt;='Assumptions and Catalog'!$C$52,L471*'Assumptions and Catalog'!$H$52+'Assumptions and Catalog'!$E$52+'Assumptions and Catalog'!$F$52,IF(L471&lt;='Assumptions and Catalog'!$C$53,L471*'Assumptions and Catalog'!$H$53+'Assumptions and Catalog'!$E$53+'Assumptions and Catalog'!$F$53,IF(L471&lt;='Assumptions and Catalog'!$C$54,L471*'Assumptions and Catalog'!$H$54+'Assumptions and Catalog'!$E$54+'Assumptions and Catalog'!$F$54,IF(L471&lt;='Assumptions and Catalog'!$C$55,L471*'Assumptions and Catalog'!$H$55+'Assumptions and Catalog'!$E$55+'Assumptions and Catalog'!$F$55,IF(L471&lt;='Assumptions and Catalog'!$C$56,L471*'Assumptions and Catalog'!$H$56+'Assumptions and Catalog'!$E$56+'Assumptions and Catalog'!$F$56,IF(L471&lt;='Assumptions and Catalog'!$C$57,L471*'Assumptions and Catalog'!$H$57+'Assumptions and Catalog'!$E$57+'Assumptions and Catalog'!$F$57,"Out of range")))))))),IF(L471&lt;='Assumptions and Catalog'!$C$60,L471*'Assumptions and Catalog'!$H$60+'Assumptions and Catalog'!$E$60+'Assumptions and Catalog'!$F$60,IF(L471&lt;='Assumptions and Catalog'!$C$61,L471*'Assumptions and Catalog'!$H$61+'Assumptions and Catalog'!$E$61+'Assumptions and Catalog'!$F$61,IF(L471&lt;='Assumptions and Catalog'!$C$62,L471*'Assumptions and Catalog'!$H$62+'Assumptions and Catalog'!$E$62+'Assumptions and Catalog'!$F$62,IF(L471&lt;='Assumptions and Catalog'!$C$63,L471*'Assumptions and Catalog'!$H$63+'Assumptions and Catalog'!$E$63+'Assumptions and Catalog'!$F$63,IF(L471&lt;='Assumptions and Catalog'!$C$64,L471*'Assumptions and Catalog'!$H$64+'Assumptions and Catalog'!$E$64+'Assumptions and Catalog'!$F$64,IF(L471&lt;='Assumptions and Catalog'!$C$65,L471*'Assumptions and Catalog'!$H$65+'Assumptions and Catalog'!$E$65+'Assumptions and Catalog'!$F$65,"Out of range")))))))))*(1+'Assumptions and Catalog'!$C$8)^(A471-1),0)</f>
        <v>7094.794</v>
      </c>
      <c r="O471" s="5" t="n">
        <f>M471-N471</f>
        <v>0</v>
      </c>
      <c r="P471" s="5" t="n">
        <f>D$55*(1-K$14)*(1-'Assumptions and Catalog'!$C$23)^R471</f>
        <v>0</v>
      </c>
      <c r="Q471" s="5" t="n">
        <f>IF(ISNUMBER(Inputs!$L$5),(IF(Inputs!$L$9="Actual flat rate",((D471+E471)*C471-G471)*Inputs!$L$10,IF(Inputs!$C$9="Residential",IF(((D471+E471)*C471-G471)&lt;='Assumptions and Catalog'!$C$50,((D471+E471)*C471-G471)*'Assumptions and Catalog'!$H$50+'Assumptions and Catalog'!$E$50+'Assumptions and Catalog'!$F$50,IF(((D471+E471)*C471-G471)&lt;='Assumptions and Catalog'!$C$51,((D471+E471)*C471-G471)*'Assumptions and Catalog'!$H$51+'Assumptions and Catalog'!$E$51+'Assumptions and Catalog'!$F$51,IF(((D471+E471)*C471-G471)&lt;='Assumptions and Catalog'!$C$52,((D471+E471)*C471-G471)*'Assumptions and Catalog'!$H$52+'Assumptions and Catalog'!$E$52+'Assumptions and Catalog'!$F$52,IF(((D471+E471)*C471-G471)&lt;='Assumptions and Catalog'!$C$53,((D471+E471)*C471-G471)*'Assumptions and Catalog'!$H$53+'Assumptions and Catalog'!$E$53+'Assumptions and Catalog'!$F$53,IF(((D471+E471)*C471-G471)&lt;='Assumptions and Catalog'!$C$54,((D471+E471)*C471-G471)*'Assumptions and Catalog'!$H$54+'Assumptions and Catalog'!$E$54+'Assumptions and Catalog'!$F$54,IF(((D471+E471)*C471-G471)&lt;='Assumptions and Catalog'!$C$55,((D471+E471)*C471-G471)*'Assumptions and Catalog'!$H$55+'Assumptions and Catalog'!$E$55+'Assumptions and Catalog'!$F$55,IF(((D471+E471)*C471-G471)&lt;='Assumptions and Catalog'!$C$56,((D471+E471)*C471-G471)*'Assumptions and Catalog'!$H$56+'Assumptions and Catalog'!$E$56+'Assumptions and Catalog'!$F$56,IF(((D471+E471)*C471-G471)&lt;='Assumptions and Catalog'!$C$57,((D471+E471)*C471-G471)*'Assumptions and Catalog'!$H$57+'Assumptions and Catalog'!$E$57+'Assumptions and Catalog'!$F$57,"Out of range")))))))),IF(((D471+E471)*C471-G471)&lt;='Assumptions and Catalog'!$C$60,((D471+E471)*C471-G471)*'Assumptions and Catalog'!$H$60+'Assumptions and Catalog'!$E$60+'Assumptions and Catalog'!$F$60,IF(((D471+E471)*C471-G471)&lt;='Assumptions and Catalog'!$C$61,((D471+E471)*C471-G471)*'Assumptions and Catalog'!$H$61+'Assumptions and Catalog'!$E$61+'Assumptions and Catalog'!$F$61,IF(((D471+E471)*C471-G471)&lt;='Assumptions and Catalog'!$C$62,((D471+E471)*C471-G471)*'Assumptions and Catalog'!$H$62+'Assumptions and Catalog'!$E$62+'Assumptions and Catalog'!$F$62,IF(((D471+E471)*C471-G471)&lt;='Assumptions and Catalog'!$C$63,((D471+E471)*C471-G471)*'Assumptions and Catalog'!$H$63+'Assumptions and Catalog'!$E$63+'Assumptions and Catalog'!$F$63,IF(((D471+E471)*C471-G471)&lt;='Assumptions and Catalog'!$C$64,((D471+E471)*C471-G471)*'Assumptions and Catalog'!$H$64+'Assumptions and Catalog'!$E$64+'Assumptions and Catalog'!$F$64,IF(((D471+E471)*C471-G471)&lt;='Assumptions and Catalog'!$C$65,((D471+E471)*C471-G471)*'Assumptions and Catalog'!$H$65+'Assumptions and Catalog'!$E$65+'Assumptions and Catalog'!$F$65,"Out of range")))))))))*(1+'Assumptions and Catalog'!$C$8)^(A471-1),0)</f>
        <v>7094.794</v>
      </c>
      <c r="R471" s="5" t="n">
        <f>IF(AND('Assumptions and Catalog'!$C$19&gt;0,A471&gt;='Assumptions and Catalog'!$C$19),A471-'Assumptions and Catalog'!$C$19,A471-1)</f>
        <v>5</v>
      </c>
      <c r="S471" s="5" t="n">
        <f>F471+L471-(D471+E471)*C471-J471-K471-IF(D$52&gt;0,'Assumptions and Catalog'!$C$26*C471,0)</f>
        <v>0</v>
      </c>
      <c r="T471" s="5"/>
      <c r="U471" s="5"/>
    </row>
    <row r="472" ht="23.100000381469727" customHeight="1">
      <c r="A472" s="5" t="n">
        <v>6</v>
      </c>
      <c r="B472" s="5" t="n">
        <v>2</v>
      </c>
      <c r="C472" s="5" t="n">
        <f>DAY(DATE('Assumptions and Catalog'!$C$24+A472-1,B472+1,0))</f>
        <v>29</v>
      </c>
      <c r="D472" s="5" t="n">
        <f>IF(ISNUMBER(Inputs!$L$5),Inputs!$L$5*Inputs!$L$6,0)</f>
        <v>40.35</v>
      </c>
      <c r="E472" s="5" t="n">
        <f>IF(ISNUMBER(Inputs!$L$5),Inputs!$L$5-D472,0)</f>
        <v>40.35</v>
      </c>
      <c r="F472" s="5" t="n">
        <f>D$51*'Assumptions and Catalog'!$C$31*C472*(1-'Assumptions and Catalog'!$C$10)^(A472-1)</f>
        <v>0</v>
      </c>
      <c r="G472" s="5" t="n">
        <f>MIN(F472,D472*C472)</f>
        <v>0</v>
      </c>
      <c r="H472" s="5" t="n">
        <f>I472/('Assumptions and Catalog'!$C$11*'Assumptions and Catalog'!$C$12)</f>
        <v>0</v>
      </c>
      <c r="I472" s="5" t="n">
        <f>IF(K$15="Grid cycle",MIN(K$16,D472+E472,P472*'Assumptions and Catalog'!$C$12,D$57*(24-'Assumptions and Catalog'!$C$15),D$56*'Assumptions and Catalog'!$C$15*'Assumptions and Catalog'!$C$11*'Assumptions and Catalog'!$C$12)*C472,0)</f>
        <v>0</v>
      </c>
      <c r="J472" s="5" t="n">
        <f>MAX(F472-G472-0,0)</f>
        <v>0</v>
      </c>
      <c r="K472" s="5" t="n">
        <f>H472-I472</f>
        <v>0</v>
      </c>
      <c r="L472" s="5" t="n">
        <f>(D472+E472)*C472-G472-I472+H472+IF(D$52&gt;0,'Assumptions and Catalog'!$C$26*C472,0)</f>
        <v>2340.3</v>
      </c>
      <c r="M472" s="5" t="n">
        <f>IF(ISNUMBER(Inputs!$L$5),(IF(Inputs!$L$9="Actual flat rate",((D472+E472)*C472)*Inputs!$L$10,IF(Inputs!$C$9="Residential",IF(((D472+E472)*C472)&lt;='Assumptions and Catalog'!$C$50,((D472+E472)*C472)*'Assumptions and Catalog'!$H$50+'Assumptions and Catalog'!$E$50+'Assumptions and Catalog'!$F$50,IF(((D472+E472)*C472)&lt;='Assumptions and Catalog'!$C$51,((D472+E472)*C472)*'Assumptions and Catalog'!$H$51+'Assumptions and Catalog'!$E$51+'Assumptions and Catalog'!$F$51,IF(((D472+E472)*C472)&lt;='Assumptions and Catalog'!$C$52,((D472+E472)*C472)*'Assumptions and Catalog'!$H$52+'Assumptions and Catalog'!$E$52+'Assumptions and Catalog'!$F$52,IF(((D472+E472)*C472)&lt;='Assumptions and Catalog'!$C$53,((D472+E472)*C472)*'Assumptions and Catalog'!$H$53+'Assumptions and Catalog'!$E$53+'Assumptions and Catalog'!$F$53,IF(((D472+E472)*C472)&lt;='Assumptions and Catalog'!$C$54,((D472+E472)*C472)*'Assumptions and Catalog'!$H$54+'Assumptions and Catalog'!$E$54+'Assumptions and Catalog'!$F$54,IF(((D472+E472)*C472)&lt;='Assumptions and Catalog'!$C$55,((D472+E472)*C472)*'Assumptions and Catalog'!$H$55+'Assumptions and Catalog'!$E$55+'Assumptions and Catalog'!$F$55,IF(((D472+E472)*C472)&lt;='Assumptions and Catalog'!$C$56,((D472+E472)*C472)*'Assumptions and Catalog'!$H$56+'Assumptions and Catalog'!$E$56+'Assumptions and Catalog'!$F$56,IF(((D472+E472)*C472)&lt;='Assumptions and Catalog'!$C$57,((D472+E472)*C472)*'Assumptions and Catalog'!$H$57+'Assumptions and Catalog'!$E$57+'Assumptions and Catalog'!$F$57,"Out of range")))))))),IF(((D472+E472)*C472)&lt;='Assumptions and Catalog'!$C$60,((D472+E472)*C472)*'Assumptions and Catalog'!$H$60+'Assumptions and Catalog'!$E$60+'Assumptions and Catalog'!$F$60,IF(((D472+E472)*C472)&lt;='Assumptions and Catalog'!$C$61,((D472+E472)*C472)*'Assumptions and Catalog'!$H$61+'Assumptions and Catalog'!$E$61+'Assumptions and Catalog'!$F$61,IF(((D472+E472)*C472)&lt;='Assumptions and Catalog'!$C$62,((D472+E472)*C472)*'Assumptions and Catalog'!$H$62+'Assumptions and Catalog'!$E$62+'Assumptions and Catalog'!$F$62,IF(((D472+E472)*C472)&lt;='Assumptions and Catalog'!$C$63,((D472+E472)*C472)*'Assumptions and Catalog'!$H$63+'Assumptions and Catalog'!$E$63+'Assumptions and Catalog'!$F$63,IF(((D472+E472)*C472)&lt;='Assumptions and Catalog'!$C$64,((D472+E472)*C472)*'Assumptions and Catalog'!$H$64+'Assumptions and Catalog'!$E$64+'Assumptions and Catalog'!$F$64,IF(((D472+E472)*C472)&lt;='Assumptions and Catalog'!$C$65,((D472+E472)*C472)*'Assumptions and Catalog'!$H$65+'Assumptions and Catalog'!$E$65+'Assumptions and Catalog'!$F$65,"Out of range")))))))))*(1+'Assumptions and Catalog'!$C$8)^(A472-1),0)</f>
        <v>6639.646</v>
      </c>
      <c r="N472" s="5" t="n">
        <f>IF(ISNUMBER(Inputs!$L$5),(IF(Inputs!$L$9="Actual flat rate",L472*Inputs!$L$10,IF(Inputs!$C$9="Residential",IF(L472&lt;='Assumptions and Catalog'!$C$50,L472*'Assumptions and Catalog'!$H$50+'Assumptions and Catalog'!$E$50+'Assumptions and Catalog'!$F$50,IF(L472&lt;='Assumptions and Catalog'!$C$51,L472*'Assumptions and Catalog'!$H$51+'Assumptions and Catalog'!$E$51+'Assumptions and Catalog'!$F$51,IF(L472&lt;='Assumptions and Catalog'!$C$52,L472*'Assumptions and Catalog'!$H$52+'Assumptions and Catalog'!$E$52+'Assumptions and Catalog'!$F$52,IF(L472&lt;='Assumptions and Catalog'!$C$53,L472*'Assumptions and Catalog'!$H$53+'Assumptions and Catalog'!$E$53+'Assumptions and Catalog'!$F$53,IF(L472&lt;='Assumptions and Catalog'!$C$54,L472*'Assumptions and Catalog'!$H$54+'Assumptions and Catalog'!$E$54+'Assumptions and Catalog'!$F$54,IF(L472&lt;='Assumptions and Catalog'!$C$55,L472*'Assumptions and Catalog'!$H$55+'Assumptions and Catalog'!$E$55+'Assumptions and Catalog'!$F$55,IF(L472&lt;='Assumptions and Catalog'!$C$56,L472*'Assumptions and Catalog'!$H$56+'Assumptions and Catalog'!$E$56+'Assumptions and Catalog'!$F$56,IF(L472&lt;='Assumptions and Catalog'!$C$57,L472*'Assumptions and Catalog'!$H$57+'Assumptions and Catalog'!$E$57+'Assumptions and Catalog'!$F$57,"Out of range")))))))),IF(L472&lt;='Assumptions and Catalog'!$C$60,L472*'Assumptions and Catalog'!$H$60+'Assumptions and Catalog'!$E$60+'Assumptions and Catalog'!$F$60,IF(L472&lt;='Assumptions and Catalog'!$C$61,L472*'Assumptions and Catalog'!$H$61+'Assumptions and Catalog'!$E$61+'Assumptions and Catalog'!$F$61,IF(L472&lt;='Assumptions and Catalog'!$C$62,L472*'Assumptions and Catalog'!$H$62+'Assumptions and Catalog'!$E$62+'Assumptions and Catalog'!$F$62,IF(L472&lt;='Assumptions and Catalog'!$C$63,L472*'Assumptions and Catalog'!$H$63+'Assumptions and Catalog'!$E$63+'Assumptions and Catalog'!$F$63,IF(L472&lt;='Assumptions and Catalog'!$C$64,L472*'Assumptions and Catalog'!$H$64+'Assumptions and Catalog'!$E$64+'Assumptions and Catalog'!$F$64,IF(L472&lt;='Assumptions and Catalog'!$C$65,L472*'Assumptions and Catalog'!$H$65+'Assumptions and Catalog'!$E$65+'Assumptions and Catalog'!$F$65,"Out of range")))))))))*(1+'Assumptions and Catalog'!$C$8)^(A472-1),0)</f>
        <v>6639.646</v>
      </c>
      <c r="O472" s="5" t="n">
        <f>M472-N472</f>
        <v>0</v>
      </c>
      <c r="P472" s="5" t="n">
        <f>D$55*(1-K$14)*(1-'Assumptions and Catalog'!$C$23)^R472</f>
        <v>0</v>
      </c>
      <c r="Q472" s="5" t="n">
        <f>IF(ISNUMBER(Inputs!$L$5),(IF(Inputs!$L$9="Actual flat rate",((D472+E472)*C472-G472)*Inputs!$L$10,IF(Inputs!$C$9="Residential",IF(((D472+E472)*C472-G472)&lt;='Assumptions and Catalog'!$C$50,((D472+E472)*C472-G472)*'Assumptions and Catalog'!$H$50+'Assumptions and Catalog'!$E$50+'Assumptions and Catalog'!$F$50,IF(((D472+E472)*C472-G472)&lt;='Assumptions and Catalog'!$C$51,((D472+E472)*C472-G472)*'Assumptions and Catalog'!$H$51+'Assumptions and Catalog'!$E$51+'Assumptions and Catalog'!$F$51,IF(((D472+E472)*C472-G472)&lt;='Assumptions and Catalog'!$C$52,((D472+E472)*C472-G472)*'Assumptions and Catalog'!$H$52+'Assumptions and Catalog'!$E$52+'Assumptions and Catalog'!$F$52,IF(((D472+E472)*C472-G472)&lt;='Assumptions and Catalog'!$C$53,((D472+E472)*C472-G472)*'Assumptions and Catalog'!$H$53+'Assumptions and Catalog'!$E$53+'Assumptions and Catalog'!$F$53,IF(((D472+E472)*C472-G472)&lt;='Assumptions and Catalog'!$C$54,((D472+E472)*C472-G472)*'Assumptions and Catalog'!$H$54+'Assumptions and Catalog'!$E$54+'Assumptions and Catalog'!$F$54,IF(((D472+E472)*C472-G472)&lt;='Assumptions and Catalog'!$C$55,((D472+E472)*C472-G472)*'Assumptions and Catalog'!$H$55+'Assumptions and Catalog'!$E$55+'Assumptions and Catalog'!$F$55,IF(((D472+E472)*C472-G472)&lt;='Assumptions and Catalog'!$C$56,((D472+E472)*C472-G472)*'Assumptions and Catalog'!$H$56+'Assumptions and Catalog'!$E$56+'Assumptions and Catalog'!$F$56,IF(((D472+E472)*C472-G472)&lt;='Assumptions and Catalog'!$C$57,((D472+E472)*C472-G472)*'Assumptions and Catalog'!$H$57+'Assumptions and Catalog'!$E$57+'Assumptions and Catalog'!$F$57,"Out of range")))))))),IF(((D472+E472)*C472-G472)&lt;='Assumptions and Catalog'!$C$60,((D472+E472)*C472-G472)*'Assumptions and Catalog'!$H$60+'Assumptions and Catalog'!$E$60+'Assumptions and Catalog'!$F$60,IF(((D472+E472)*C472-G472)&lt;='Assumptions and Catalog'!$C$61,((D472+E472)*C472-G472)*'Assumptions and Catalog'!$H$61+'Assumptions and Catalog'!$E$61+'Assumptions and Catalog'!$F$61,IF(((D472+E472)*C472-G472)&lt;='Assumptions and Catalog'!$C$62,((D472+E472)*C472-G472)*'Assumptions and Catalog'!$H$62+'Assumptions and Catalog'!$E$62+'Assumptions and Catalog'!$F$62,IF(((D472+E472)*C472-G472)&lt;='Assumptions and Catalog'!$C$63,((D472+E472)*C472-G472)*'Assumptions and Catalog'!$H$63+'Assumptions and Catalog'!$E$63+'Assumptions and Catalog'!$F$63,IF(((D472+E472)*C472-G472)&lt;='Assumptions and Catalog'!$C$64,((D472+E472)*C472-G472)*'Assumptions and Catalog'!$H$64+'Assumptions and Catalog'!$E$64+'Assumptions and Catalog'!$F$64,IF(((D472+E472)*C472-G472)&lt;='Assumptions and Catalog'!$C$65,((D472+E472)*C472-G472)*'Assumptions and Catalog'!$H$65+'Assumptions and Catalog'!$E$65+'Assumptions and Catalog'!$F$65,"Out of range")))))))))*(1+'Assumptions and Catalog'!$C$8)^(A472-1),0)</f>
        <v>6639.646</v>
      </c>
      <c r="R472" s="5" t="n">
        <f>IF(AND('Assumptions and Catalog'!$C$19&gt;0,A472&gt;='Assumptions and Catalog'!$C$19),A472-'Assumptions and Catalog'!$C$19,A472-1)</f>
        <v>5</v>
      </c>
      <c r="S472" s="5" t="n">
        <f>F472+L472-(D472+E472)*C472-J472-K472-IF(D$52&gt;0,'Assumptions and Catalog'!$C$26*C472,0)</f>
        <v>0</v>
      </c>
      <c r="T472" s="5"/>
      <c r="U472" s="5"/>
    </row>
    <row r="473" ht="23.100000381469727" customHeight="1">
      <c r="A473" s="5" t="n">
        <v>6</v>
      </c>
      <c r="B473" s="5" t="n">
        <v>3</v>
      </c>
      <c r="C473" s="5" t="n">
        <f>DAY(DATE('Assumptions and Catalog'!$C$24+A473-1,B473+1,0))</f>
        <v>31</v>
      </c>
      <c r="D473" s="5" t="n">
        <f>IF(ISNUMBER(Inputs!$L$5),Inputs!$L$5*Inputs!$L$6,0)</f>
        <v>40.35</v>
      </c>
      <c r="E473" s="5" t="n">
        <f>IF(ISNUMBER(Inputs!$L$5),Inputs!$L$5-D473,0)</f>
        <v>40.35</v>
      </c>
      <c r="F473" s="5" t="n">
        <f>D$51*'Assumptions and Catalog'!$C$31*C473*(1-'Assumptions and Catalog'!$C$10)^(A473-1)</f>
        <v>0</v>
      </c>
      <c r="G473" s="5" t="n">
        <f>MIN(F473,D473*C473)</f>
        <v>0</v>
      </c>
      <c r="H473" s="5" t="n">
        <f>I473/('Assumptions and Catalog'!$C$11*'Assumptions and Catalog'!$C$12)</f>
        <v>0</v>
      </c>
      <c r="I473" s="5" t="n">
        <f>IF(K$15="Grid cycle",MIN(K$16,D473+E473,P473*'Assumptions and Catalog'!$C$12,D$57*(24-'Assumptions and Catalog'!$C$15),D$56*'Assumptions and Catalog'!$C$15*'Assumptions and Catalog'!$C$11*'Assumptions and Catalog'!$C$12)*C473,0)</f>
        <v>0</v>
      </c>
      <c r="J473" s="5" t="n">
        <f>MAX(F473-G473-0,0)</f>
        <v>0</v>
      </c>
      <c r="K473" s="5" t="n">
        <f>H473-I473</f>
        <v>0</v>
      </c>
      <c r="L473" s="5" t="n">
        <f>(D473+E473)*C473-G473-I473+H473+IF(D$52&gt;0,'Assumptions and Catalog'!$C$26*C473,0)</f>
        <v>2501.7</v>
      </c>
      <c r="M473" s="5" t="n">
        <f>IF(ISNUMBER(Inputs!$L$5),(IF(Inputs!$L$9="Actual flat rate",((D473+E473)*C473)*Inputs!$L$10,IF(Inputs!$C$9="Residential",IF(((D473+E473)*C473)&lt;='Assumptions and Catalog'!$C$50,((D473+E473)*C473)*'Assumptions and Catalog'!$H$50+'Assumptions and Catalog'!$E$50+'Assumptions and Catalog'!$F$50,IF(((D473+E473)*C473)&lt;='Assumptions and Catalog'!$C$51,((D473+E473)*C473)*'Assumptions and Catalog'!$H$51+'Assumptions and Catalog'!$E$51+'Assumptions and Catalog'!$F$51,IF(((D473+E473)*C473)&lt;='Assumptions and Catalog'!$C$52,((D473+E473)*C473)*'Assumptions and Catalog'!$H$52+'Assumptions and Catalog'!$E$52+'Assumptions and Catalog'!$F$52,IF(((D473+E473)*C473)&lt;='Assumptions and Catalog'!$C$53,((D473+E473)*C473)*'Assumptions and Catalog'!$H$53+'Assumptions and Catalog'!$E$53+'Assumptions and Catalog'!$F$53,IF(((D473+E473)*C473)&lt;='Assumptions and Catalog'!$C$54,((D473+E473)*C473)*'Assumptions and Catalog'!$H$54+'Assumptions and Catalog'!$E$54+'Assumptions and Catalog'!$F$54,IF(((D473+E473)*C473)&lt;='Assumptions and Catalog'!$C$55,((D473+E473)*C473)*'Assumptions and Catalog'!$H$55+'Assumptions and Catalog'!$E$55+'Assumptions and Catalog'!$F$55,IF(((D473+E473)*C473)&lt;='Assumptions and Catalog'!$C$56,((D473+E473)*C473)*'Assumptions and Catalog'!$H$56+'Assumptions and Catalog'!$E$56+'Assumptions and Catalog'!$F$56,IF(((D473+E473)*C473)&lt;='Assumptions and Catalog'!$C$57,((D473+E473)*C473)*'Assumptions and Catalog'!$H$57+'Assumptions and Catalog'!$E$57+'Assumptions and Catalog'!$F$57,"Out of range")))))))),IF(((D473+E473)*C473)&lt;='Assumptions and Catalog'!$C$60,((D473+E473)*C473)*'Assumptions and Catalog'!$H$60+'Assumptions and Catalog'!$E$60+'Assumptions and Catalog'!$F$60,IF(((D473+E473)*C473)&lt;='Assumptions and Catalog'!$C$61,((D473+E473)*C473)*'Assumptions and Catalog'!$H$61+'Assumptions and Catalog'!$E$61+'Assumptions and Catalog'!$F$61,IF(((D473+E473)*C473)&lt;='Assumptions and Catalog'!$C$62,((D473+E473)*C473)*'Assumptions and Catalog'!$H$62+'Assumptions and Catalog'!$E$62+'Assumptions and Catalog'!$F$62,IF(((D473+E473)*C473)&lt;='Assumptions and Catalog'!$C$63,((D473+E473)*C473)*'Assumptions and Catalog'!$H$63+'Assumptions and Catalog'!$E$63+'Assumptions and Catalog'!$F$63,IF(((D473+E473)*C473)&lt;='Assumptions and Catalog'!$C$64,((D473+E473)*C473)*'Assumptions and Catalog'!$H$64+'Assumptions and Catalog'!$E$64+'Assumptions and Catalog'!$F$64,IF(((D473+E473)*C473)&lt;='Assumptions and Catalog'!$C$65,((D473+E473)*C473)*'Assumptions and Catalog'!$H$65+'Assumptions and Catalog'!$E$65+'Assumptions and Catalog'!$F$65,"Out of range")))))))))*(1+'Assumptions and Catalog'!$C$8)^(A473-1),0)</f>
        <v>7094.794</v>
      </c>
      <c r="N473" s="5" t="n">
        <f>IF(ISNUMBER(Inputs!$L$5),(IF(Inputs!$L$9="Actual flat rate",L473*Inputs!$L$10,IF(Inputs!$C$9="Residential",IF(L473&lt;='Assumptions and Catalog'!$C$50,L473*'Assumptions and Catalog'!$H$50+'Assumptions and Catalog'!$E$50+'Assumptions and Catalog'!$F$50,IF(L473&lt;='Assumptions and Catalog'!$C$51,L473*'Assumptions and Catalog'!$H$51+'Assumptions and Catalog'!$E$51+'Assumptions and Catalog'!$F$51,IF(L473&lt;='Assumptions and Catalog'!$C$52,L473*'Assumptions and Catalog'!$H$52+'Assumptions and Catalog'!$E$52+'Assumptions and Catalog'!$F$52,IF(L473&lt;='Assumptions and Catalog'!$C$53,L473*'Assumptions and Catalog'!$H$53+'Assumptions and Catalog'!$E$53+'Assumptions and Catalog'!$F$53,IF(L473&lt;='Assumptions and Catalog'!$C$54,L473*'Assumptions and Catalog'!$H$54+'Assumptions and Catalog'!$E$54+'Assumptions and Catalog'!$F$54,IF(L473&lt;='Assumptions and Catalog'!$C$55,L473*'Assumptions and Catalog'!$H$55+'Assumptions and Catalog'!$E$55+'Assumptions and Catalog'!$F$55,IF(L473&lt;='Assumptions and Catalog'!$C$56,L473*'Assumptions and Catalog'!$H$56+'Assumptions and Catalog'!$E$56+'Assumptions and Catalog'!$F$56,IF(L473&lt;='Assumptions and Catalog'!$C$57,L473*'Assumptions and Catalog'!$H$57+'Assumptions and Catalog'!$E$57+'Assumptions and Catalog'!$F$57,"Out of range")))))))),IF(L473&lt;='Assumptions and Catalog'!$C$60,L473*'Assumptions and Catalog'!$H$60+'Assumptions and Catalog'!$E$60+'Assumptions and Catalog'!$F$60,IF(L473&lt;='Assumptions and Catalog'!$C$61,L473*'Assumptions and Catalog'!$H$61+'Assumptions and Catalog'!$E$61+'Assumptions and Catalog'!$F$61,IF(L473&lt;='Assumptions and Catalog'!$C$62,L473*'Assumptions and Catalog'!$H$62+'Assumptions and Catalog'!$E$62+'Assumptions and Catalog'!$F$62,IF(L473&lt;='Assumptions and Catalog'!$C$63,L473*'Assumptions and Catalog'!$H$63+'Assumptions and Catalog'!$E$63+'Assumptions and Catalog'!$F$63,IF(L473&lt;='Assumptions and Catalog'!$C$64,L473*'Assumptions and Catalog'!$H$64+'Assumptions and Catalog'!$E$64+'Assumptions and Catalog'!$F$64,IF(L473&lt;='Assumptions and Catalog'!$C$65,L473*'Assumptions and Catalog'!$H$65+'Assumptions and Catalog'!$E$65+'Assumptions and Catalog'!$F$65,"Out of range")))))))))*(1+'Assumptions and Catalog'!$C$8)^(A473-1),0)</f>
        <v>7094.794</v>
      </c>
      <c r="O473" s="5" t="n">
        <f>M473-N473</f>
        <v>0</v>
      </c>
      <c r="P473" s="5" t="n">
        <f>D$55*(1-K$14)*(1-'Assumptions and Catalog'!$C$23)^R473</f>
        <v>0</v>
      </c>
      <c r="Q473" s="5" t="n">
        <f>IF(ISNUMBER(Inputs!$L$5),(IF(Inputs!$L$9="Actual flat rate",((D473+E473)*C473-G473)*Inputs!$L$10,IF(Inputs!$C$9="Residential",IF(((D473+E473)*C473-G473)&lt;='Assumptions and Catalog'!$C$50,((D473+E473)*C473-G473)*'Assumptions and Catalog'!$H$50+'Assumptions and Catalog'!$E$50+'Assumptions and Catalog'!$F$50,IF(((D473+E473)*C473-G473)&lt;='Assumptions and Catalog'!$C$51,((D473+E473)*C473-G473)*'Assumptions and Catalog'!$H$51+'Assumptions and Catalog'!$E$51+'Assumptions and Catalog'!$F$51,IF(((D473+E473)*C473-G473)&lt;='Assumptions and Catalog'!$C$52,((D473+E473)*C473-G473)*'Assumptions and Catalog'!$H$52+'Assumptions and Catalog'!$E$52+'Assumptions and Catalog'!$F$52,IF(((D473+E473)*C473-G473)&lt;='Assumptions and Catalog'!$C$53,((D473+E473)*C473-G473)*'Assumptions and Catalog'!$H$53+'Assumptions and Catalog'!$E$53+'Assumptions and Catalog'!$F$53,IF(((D473+E473)*C473-G473)&lt;='Assumptions and Catalog'!$C$54,((D473+E473)*C473-G473)*'Assumptions and Catalog'!$H$54+'Assumptions and Catalog'!$E$54+'Assumptions and Catalog'!$F$54,IF(((D473+E473)*C473-G473)&lt;='Assumptions and Catalog'!$C$55,((D473+E473)*C473-G473)*'Assumptions and Catalog'!$H$55+'Assumptions and Catalog'!$E$55+'Assumptions and Catalog'!$F$55,IF(((D473+E473)*C473-G473)&lt;='Assumptions and Catalog'!$C$56,((D473+E473)*C473-G473)*'Assumptions and Catalog'!$H$56+'Assumptions and Catalog'!$E$56+'Assumptions and Catalog'!$F$56,IF(((D473+E473)*C473-G473)&lt;='Assumptions and Catalog'!$C$57,((D473+E473)*C473-G473)*'Assumptions and Catalog'!$H$57+'Assumptions and Catalog'!$E$57+'Assumptions and Catalog'!$F$57,"Out of range")))))))),IF(((D473+E473)*C473-G473)&lt;='Assumptions and Catalog'!$C$60,((D473+E473)*C473-G473)*'Assumptions and Catalog'!$H$60+'Assumptions and Catalog'!$E$60+'Assumptions and Catalog'!$F$60,IF(((D473+E473)*C473-G473)&lt;='Assumptions and Catalog'!$C$61,((D473+E473)*C473-G473)*'Assumptions and Catalog'!$H$61+'Assumptions and Catalog'!$E$61+'Assumptions and Catalog'!$F$61,IF(((D473+E473)*C473-G473)&lt;='Assumptions and Catalog'!$C$62,((D473+E473)*C473-G473)*'Assumptions and Catalog'!$H$62+'Assumptions and Catalog'!$E$62+'Assumptions and Catalog'!$F$62,IF(((D473+E473)*C473-G473)&lt;='Assumptions and Catalog'!$C$63,((D473+E473)*C473-G473)*'Assumptions and Catalog'!$H$63+'Assumptions and Catalog'!$E$63+'Assumptions and Catalog'!$F$63,IF(((D473+E473)*C473-G473)&lt;='Assumptions and Catalog'!$C$64,((D473+E473)*C473-G473)*'Assumptions and Catalog'!$H$64+'Assumptions and Catalog'!$E$64+'Assumptions and Catalog'!$F$64,IF(((D473+E473)*C473-G473)&lt;='Assumptions and Catalog'!$C$65,((D473+E473)*C473-G473)*'Assumptions and Catalog'!$H$65+'Assumptions and Catalog'!$E$65+'Assumptions and Catalog'!$F$65,"Out of range")))))))))*(1+'Assumptions and Catalog'!$C$8)^(A473-1),0)</f>
        <v>7094.794</v>
      </c>
      <c r="R473" s="5" t="n">
        <f>IF(AND('Assumptions and Catalog'!$C$19&gt;0,A473&gt;='Assumptions and Catalog'!$C$19),A473-'Assumptions and Catalog'!$C$19,A473-1)</f>
        <v>5</v>
      </c>
      <c r="S473" s="5" t="n">
        <f>F473+L473-(D473+E473)*C473-J473-K473-IF(D$52&gt;0,'Assumptions and Catalog'!$C$26*C473,0)</f>
        <v>0</v>
      </c>
      <c r="T473" s="5"/>
      <c r="U473" s="5"/>
    </row>
    <row r="474" ht="23.100000381469727" customHeight="1">
      <c r="A474" s="5" t="n">
        <v>6</v>
      </c>
      <c r="B474" s="5" t="n">
        <v>4</v>
      </c>
      <c r="C474" s="5" t="n">
        <f>DAY(DATE('Assumptions and Catalog'!$C$24+A474-1,B474+1,0))</f>
        <v>30</v>
      </c>
      <c r="D474" s="5" t="n">
        <f>IF(ISNUMBER(Inputs!$L$5),Inputs!$L$5*Inputs!$L$6,0)</f>
        <v>40.35</v>
      </c>
      <c r="E474" s="5" t="n">
        <f>IF(ISNUMBER(Inputs!$L$5),Inputs!$L$5-D474,0)</f>
        <v>40.35</v>
      </c>
      <c r="F474" s="5" t="n">
        <f>D$51*'Assumptions and Catalog'!$C$31*C474*(1-'Assumptions and Catalog'!$C$10)^(A474-1)</f>
        <v>0</v>
      </c>
      <c r="G474" s="5" t="n">
        <f>MIN(F474,D474*C474)</f>
        <v>0</v>
      </c>
      <c r="H474" s="5" t="n">
        <f>I474/('Assumptions and Catalog'!$C$11*'Assumptions and Catalog'!$C$12)</f>
        <v>0</v>
      </c>
      <c r="I474" s="5" t="n">
        <f>IF(K$15="Grid cycle",MIN(K$16,D474+E474,P474*'Assumptions and Catalog'!$C$12,D$57*(24-'Assumptions and Catalog'!$C$15),D$56*'Assumptions and Catalog'!$C$15*'Assumptions and Catalog'!$C$11*'Assumptions and Catalog'!$C$12)*C474,0)</f>
        <v>0</v>
      </c>
      <c r="J474" s="5" t="n">
        <f>MAX(F474-G474-0,0)</f>
        <v>0</v>
      </c>
      <c r="K474" s="5" t="n">
        <f>H474-I474</f>
        <v>0</v>
      </c>
      <c r="L474" s="5" t="n">
        <f>(D474+E474)*C474-G474-I474+H474+IF(D$52&gt;0,'Assumptions and Catalog'!$C$26*C474,0)</f>
        <v>2421</v>
      </c>
      <c r="M474" s="5" t="n">
        <f>IF(ISNUMBER(Inputs!$L$5),(IF(Inputs!$L$9="Actual flat rate",((D474+E474)*C474)*Inputs!$L$10,IF(Inputs!$C$9="Residential",IF(((D474+E474)*C474)&lt;='Assumptions and Catalog'!$C$50,((D474+E474)*C474)*'Assumptions and Catalog'!$H$50+'Assumptions and Catalog'!$E$50+'Assumptions and Catalog'!$F$50,IF(((D474+E474)*C474)&lt;='Assumptions and Catalog'!$C$51,((D474+E474)*C474)*'Assumptions and Catalog'!$H$51+'Assumptions and Catalog'!$E$51+'Assumptions and Catalog'!$F$51,IF(((D474+E474)*C474)&lt;='Assumptions and Catalog'!$C$52,((D474+E474)*C474)*'Assumptions and Catalog'!$H$52+'Assumptions and Catalog'!$E$52+'Assumptions and Catalog'!$F$52,IF(((D474+E474)*C474)&lt;='Assumptions and Catalog'!$C$53,((D474+E474)*C474)*'Assumptions and Catalog'!$H$53+'Assumptions and Catalog'!$E$53+'Assumptions and Catalog'!$F$53,IF(((D474+E474)*C474)&lt;='Assumptions and Catalog'!$C$54,((D474+E474)*C474)*'Assumptions and Catalog'!$H$54+'Assumptions and Catalog'!$E$54+'Assumptions and Catalog'!$F$54,IF(((D474+E474)*C474)&lt;='Assumptions and Catalog'!$C$55,((D474+E474)*C474)*'Assumptions and Catalog'!$H$55+'Assumptions and Catalog'!$E$55+'Assumptions and Catalog'!$F$55,IF(((D474+E474)*C474)&lt;='Assumptions and Catalog'!$C$56,((D474+E474)*C474)*'Assumptions and Catalog'!$H$56+'Assumptions and Catalog'!$E$56+'Assumptions and Catalog'!$F$56,IF(((D474+E474)*C474)&lt;='Assumptions and Catalog'!$C$57,((D474+E474)*C474)*'Assumptions and Catalog'!$H$57+'Assumptions and Catalog'!$E$57+'Assumptions and Catalog'!$F$57,"Out of range")))))))),IF(((D474+E474)*C474)&lt;='Assumptions and Catalog'!$C$60,((D474+E474)*C474)*'Assumptions and Catalog'!$H$60+'Assumptions and Catalog'!$E$60+'Assumptions and Catalog'!$F$60,IF(((D474+E474)*C474)&lt;='Assumptions and Catalog'!$C$61,((D474+E474)*C474)*'Assumptions and Catalog'!$H$61+'Assumptions and Catalog'!$E$61+'Assumptions and Catalog'!$F$61,IF(((D474+E474)*C474)&lt;='Assumptions and Catalog'!$C$62,((D474+E474)*C474)*'Assumptions and Catalog'!$H$62+'Assumptions and Catalog'!$E$62+'Assumptions and Catalog'!$F$62,IF(((D474+E474)*C474)&lt;='Assumptions and Catalog'!$C$63,((D474+E474)*C474)*'Assumptions and Catalog'!$H$63+'Assumptions and Catalog'!$E$63+'Assumptions and Catalog'!$F$63,IF(((D474+E474)*C474)&lt;='Assumptions and Catalog'!$C$64,((D474+E474)*C474)*'Assumptions and Catalog'!$H$64+'Assumptions and Catalog'!$E$64+'Assumptions and Catalog'!$F$64,IF(((D474+E474)*C474)&lt;='Assumptions and Catalog'!$C$65,((D474+E474)*C474)*'Assumptions and Catalog'!$H$65+'Assumptions and Catalog'!$E$65+'Assumptions and Catalog'!$F$65,"Out of range")))))))))*(1+'Assumptions and Catalog'!$C$8)^(A474-1),0)</f>
        <v>6867.22</v>
      </c>
      <c r="N474" s="5" t="n">
        <f>IF(ISNUMBER(Inputs!$L$5),(IF(Inputs!$L$9="Actual flat rate",L474*Inputs!$L$10,IF(Inputs!$C$9="Residential",IF(L474&lt;='Assumptions and Catalog'!$C$50,L474*'Assumptions and Catalog'!$H$50+'Assumptions and Catalog'!$E$50+'Assumptions and Catalog'!$F$50,IF(L474&lt;='Assumptions and Catalog'!$C$51,L474*'Assumptions and Catalog'!$H$51+'Assumptions and Catalog'!$E$51+'Assumptions and Catalog'!$F$51,IF(L474&lt;='Assumptions and Catalog'!$C$52,L474*'Assumptions and Catalog'!$H$52+'Assumptions and Catalog'!$E$52+'Assumptions and Catalog'!$F$52,IF(L474&lt;='Assumptions and Catalog'!$C$53,L474*'Assumptions and Catalog'!$H$53+'Assumptions and Catalog'!$E$53+'Assumptions and Catalog'!$F$53,IF(L474&lt;='Assumptions and Catalog'!$C$54,L474*'Assumptions and Catalog'!$H$54+'Assumptions and Catalog'!$E$54+'Assumptions and Catalog'!$F$54,IF(L474&lt;='Assumptions and Catalog'!$C$55,L474*'Assumptions and Catalog'!$H$55+'Assumptions and Catalog'!$E$55+'Assumptions and Catalog'!$F$55,IF(L474&lt;='Assumptions and Catalog'!$C$56,L474*'Assumptions and Catalog'!$H$56+'Assumptions and Catalog'!$E$56+'Assumptions and Catalog'!$F$56,IF(L474&lt;='Assumptions and Catalog'!$C$57,L474*'Assumptions and Catalog'!$H$57+'Assumptions and Catalog'!$E$57+'Assumptions and Catalog'!$F$57,"Out of range")))))))),IF(L474&lt;='Assumptions and Catalog'!$C$60,L474*'Assumptions and Catalog'!$H$60+'Assumptions and Catalog'!$E$60+'Assumptions and Catalog'!$F$60,IF(L474&lt;='Assumptions and Catalog'!$C$61,L474*'Assumptions and Catalog'!$H$61+'Assumptions and Catalog'!$E$61+'Assumptions and Catalog'!$F$61,IF(L474&lt;='Assumptions and Catalog'!$C$62,L474*'Assumptions and Catalog'!$H$62+'Assumptions and Catalog'!$E$62+'Assumptions and Catalog'!$F$62,IF(L474&lt;='Assumptions and Catalog'!$C$63,L474*'Assumptions and Catalog'!$H$63+'Assumptions and Catalog'!$E$63+'Assumptions and Catalog'!$F$63,IF(L474&lt;='Assumptions and Catalog'!$C$64,L474*'Assumptions and Catalog'!$H$64+'Assumptions and Catalog'!$E$64+'Assumptions and Catalog'!$F$64,IF(L474&lt;='Assumptions and Catalog'!$C$65,L474*'Assumptions and Catalog'!$H$65+'Assumptions and Catalog'!$E$65+'Assumptions and Catalog'!$F$65,"Out of range")))))))))*(1+'Assumptions and Catalog'!$C$8)^(A474-1),0)</f>
        <v>6867.22</v>
      </c>
      <c r="O474" s="5" t="n">
        <f>M474-N474</f>
        <v>0</v>
      </c>
      <c r="P474" s="5" t="n">
        <f>D$55*(1-K$14)*(1-'Assumptions and Catalog'!$C$23)^R474</f>
        <v>0</v>
      </c>
      <c r="Q474" s="5" t="n">
        <f>IF(ISNUMBER(Inputs!$L$5),(IF(Inputs!$L$9="Actual flat rate",((D474+E474)*C474-G474)*Inputs!$L$10,IF(Inputs!$C$9="Residential",IF(((D474+E474)*C474-G474)&lt;='Assumptions and Catalog'!$C$50,((D474+E474)*C474-G474)*'Assumptions and Catalog'!$H$50+'Assumptions and Catalog'!$E$50+'Assumptions and Catalog'!$F$50,IF(((D474+E474)*C474-G474)&lt;='Assumptions and Catalog'!$C$51,((D474+E474)*C474-G474)*'Assumptions and Catalog'!$H$51+'Assumptions and Catalog'!$E$51+'Assumptions and Catalog'!$F$51,IF(((D474+E474)*C474-G474)&lt;='Assumptions and Catalog'!$C$52,((D474+E474)*C474-G474)*'Assumptions and Catalog'!$H$52+'Assumptions and Catalog'!$E$52+'Assumptions and Catalog'!$F$52,IF(((D474+E474)*C474-G474)&lt;='Assumptions and Catalog'!$C$53,((D474+E474)*C474-G474)*'Assumptions and Catalog'!$H$53+'Assumptions and Catalog'!$E$53+'Assumptions and Catalog'!$F$53,IF(((D474+E474)*C474-G474)&lt;='Assumptions and Catalog'!$C$54,((D474+E474)*C474-G474)*'Assumptions and Catalog'!$H$54+'Assumptions and Catalog'!$E$54+'Assumptions and Catalog'!$F$54,IF(((D474+E474)*C474-G474)&lt;='Assumptions and Catalog'!$C$55,((D474+E474)*C474-G474)*'Assumptions and Catalog'!$H$55+'Assumptions and Catalog'!$E$55+'Assumptions and Catalog'!$F$55,IF(((D474+E474)*C474-G474)&lt;='Assumptions and Catalog'!$C$56,((D474+E474)*C474-G474)*'Assumptions and Catalog'!$H$56+'Assumptions and Catalog'!$E$56+'Assumptions and Catalog'!$F$56,IF(((D474+E474)*C474-G474)&lt;='Assumptions and Catalog'!$C$57,((D474+E474)*C474-G474)*'Assumptions and Catalog'!$H$57+'Assumptions and Catalog'!$E$57+'Assumptions and Catalog'!$F$57,"Out of range")))))))),IF(((D474+E474)*C474-G474)&lt;='Assumptions and Catalog'!$C$60,((D474+E474)*C474-G474)*'Assumptions and Catalog'!$H$60+'Assumptions and Catalog'!$E$60+'Assumptions and Catalog'!$F$60,IF(((D474+E474)*C474-G474)&lt;='Assumptions and Catalog'!$C$61,((D474+E474)*C474-G474)*'Assumptions and Catalog'!$H$61+'Assumptions and Catalog'!$E$61+'Assumptions and Catalog'!$F$61,IF(((D474+E474)*C474-G474)&lt;='Assumptions and Catalog'!$C$62,((D474+E474)*C474-G474)*'Assumptions and Catalog'!$H$62+'Assumptions and Catalog'!$E$62+'Assumptions and Catalog'!$F$62,IF(((D474+E474)*C474-G474)&lt;='Assumptions and Catalog'!$C$63,((D474+E474)*C474-G474)*'Assumptions and Catalog'!$H$63+'Assumptions and Catalog'!$E$63+'Assumptions and Catalog'!$F$63,IF(((D474+E474)*C474-G474)&lt;='Assumptions and Catalog'!$C$64,((D474+E474)*C474-G474)*'Assumptions and Catalog'!$H$64+'Assumptions and Catalog'!$E$64+'Assumptions and Catalog'!$F$64,IF(((D474+E474)*C474-G474)&lt;='Assumptions and Catalog'!$C$65,((D474+E474)*C474-G474)*'Assumptions and Catalog'!$H$65+'Assumptions and Catalog'!$E$65+'Assumptions and Catalog'!$F$65,"Out of range")))))))))*(1+'Assumptions and Catalog'!$C$8)^(A474-1),0)</f>
        <v>6867.22</v>
      </c>
      <c r="R474" s="5" t="n">
        <f>IF(AND('Assumptions and Catalog'!$C$19&gt;0,A474&gt;='Assumptions and Catalog'!$C$19),A474-'Assumptions and Catalog'!$C$19,A474-1)</f>
        <v>5</v>
      </c>
      <c r="S474" s="5" t="n">
        <f>F474+L474-(D474+E474)*C474-J474-K474-IF(D$52&gt;0,'Assumptions and Catalog'!$C$26*C474,0)</f>
        <v>0</v>
      </c>
      <c r="T474" s="5"/>
      <c r="U474" s="5"/>
    </row>
    <row r="475" ht="23.100000381469727" customHeight="1">
      <c r="A475" s="5" t="n">
        <v>6</v>
      </c>
      <c r="B475" s="5" t="n">
        <v>5</v>
      </c>
      <c r="C475" s="5" t="n">
        <f>DAY(DATE('Assumptions and Catalog'!$C$24+A475-1,B475+1,0))</f>
        <v>31</v>
      </c>
      <c r="D475" s="5" t="n">
        <f>IF(ISNUMBER(Inputs!$L$5),Inputs!$L$5*Inputs!$L$6,0)</f>
        <v>40.35</v>
      </c>
      <c r="E475" s="5" t="n">
        <f>IF(ISNUMBER(Inputs!$L$5),Inputs!$L$5-D475,0)</f>
        <v>40.35</v>
      </c>
      <c r="F475" s="5" t="n">
        <f>D$51*'Assumptions and Catalog'!$C$31*C475*(1-'Assumptions and Catalog'!$C$10)^(A475-1)</f>
        <v>0</v>
      </c>
      <c r="G475" s="5" t="n">
        <f>MIN(F475,D475*C475)</f>
        <v>0</v>
      </c>
      <c r="H475" s="5" t="n">
        <f>I475/('Assumptions and Catalog'!$C$11*'Assumptions and Catalog'!$C$12)</f>
        <v>0</v>
      </c>
      <c r="I475" s="5" t="n">
        <f>IF(K$15="Grid cycle",MIN(K$16,D475+E475,P475*'Assumptions and Catalog'!$C$12,D$57*(24-'Assumptions and Catalog'!$C$15),D$56*'Assumptions and Catalog'!$C$15*'Assumptions and Catalog'!$C$11*'Assumptions and Catalog'!$C$12)*C475,0)</f>
        <v>0</v>
      </c>
      <c r="J475" s="5" t="n">
        <f>MAX(F475-G475-0,0)</f>
        <v>0</v>
      </c>
      <c r="K475" s="5" t="n">
        <f>H475-I475</f>
        <v>0</v>
      </c>
      <c r="L475" s="5" t="n">
        <f>(D475+E475)*C475-G475-I475+H475+IF(D$52&gt;0,'Assumptions and Catalog'!$C$26*C475,0)</f>
        <v>2501.7</v>
      </c>
      <c r="M475" s="5" t="n">
        <f>IF(ISNUMBER(Inputs!$L$5),(IF(Inputs!$L$9="Actual flat rate",((D475+E475)*C475)*Inputs!$L$10,IF(Inputs!$C$9="Residential",IF(((D475+E475)*C475)&lt;='Assumptions and Catalog'!$C$50,((D475+E475)*C475)*'Assumptions and Catalog'!$H$50+'Assumptions and Catalog'!$E$50+'Assumptions and Catalog'!$F$50,IF(((D475+E475)*C475)&lt;='Assumptions and Catalog'!$C$51,((D475+E475)*C475)*'Assumptions and Catalog'!$H$51+'Assumptions and Catalog'!$E$51+'Assumptions and Catalog'!$F$51,IF(((D475+E475)*C475)&lt;='Assumptions and Catalog'!$C$52,((D475+E475)*C475)*'Assumptions and Catalog'!$H$52+'Assumptions and Catalog'!$E$52+'Assumptions and Catalog'!$F$52,IF(((D475+E475)*C475)&lt;='Assumptions and Catalog'!$C$53,((D475+E475)*C475)*'Assumptions and Catalog'!$H$53+'Assumptions and Catalog'!$E$53+'Assumptions and Catalog'!$F$53,IF(((D475+E475)*C475)&lt;='Assumptions and Catalog'!$C$54,((D475+E475)*C475)*'Assumptions and Catalog'!$H$54+'Assumptions and Catalog'!$E$54+'Assumptions and Catalog'!$F$54,IF(((D475+E475)*C475)&lt;='Assumptions and Catalog'!$C$55,((D475+E475)*C475)*'Assumptions and Catalog'!$H$55+'Assumptions and Catalog'!$E$55+'Assumptions and Catalog'!$F$55,IF(((D475+E475)*C475)&lt;='Assumptions and Catalog'!$C$56,((D475+E475)*C475)*'Assumptions and Catalog'!$H$56+'Assumptions and Catalog'!$E$56+'Assumptions and Catalog'!$F$56,IF(((D475+E475)*C475)&lt;='Assumptions and Catalog'!$C$57,((D475+E475)*C475)*'Assumptions and Catalog'!$H$57+'Assumptions and Catalog'!$E$57+'Assumptions and Catalog'!$F$57,"Out of range")))))))),IF(((D475+E475)*C475)&lt;='Assumptions and Catalog'!$C$60,((D475+E475)*C475)*'Assumptions and Catalog'!$H$60+'Assumptions and Catalog'!$E$60+'Assumptions and Catalog'!$F$60,IF(((D475+E475)*C475)&lt;='Assumptions and Catalog'!$C$61,((D475+E475)*C475)*'Assumptions and Catalog'!$H$61+'Assumptions and Catalog'!$E$61+'Assumptions and Catalog'!$F$61,IF(((D475+E475)*C475)&lt;='Assumptions and Catalog'!$C$62,((D475+E475)*C475)*'Assumptions and Catalog'!$H$62+'Assumptions and Catalog'!$E$62+'Assumptions and Catalog'!$F$62,IF(((D475+E475)*C475)&lt;='Assumptions and Catalog'!$C$63,((D475+E475)*C475)*'Assumptions and Catalog'!$H$63+'Assumptions and Catalog'!$E$63+'Assumptions and Catalog'!$F$63,IF(((D475+E475)*C475)&lt;='Assumptions and Catalog'!$C$64,((D475+E475)*C475)*'Assumptions and Catalog'!$H$64+'Assumptions and Catalog'!$E$64+'Assumptions and Catalog'!$F$64,IF(((D475+E475)*C475)&lt;='Assumptions and Catalog'!$C$65,((D475+E475)*C475)*'Assumptions and Catalog'!$H$65+'Assumptions and Catalog'!$E$65+'Assumptions and Catalog'!$F$65,"Out of range")))))))))*(1+'Assumptions and Catalog'!$C$8)^(A475-1),0)</f>
        <v>7094.794</v>
      </c>
      <c r="N475" s="5" t="n">
        <f>IF(ISNUMBER(Inputs!$L$5),(IF(Inputs!$L$9="Actual flat rate",L475*Inputs!$L$10,IF(Inputs!$C$9="Residential",IF(L475&lt;='Assumptions and Catalog'!$C$50,L475*'Assumptions and Catalog'!$H$50+'Assumptions and Catalog'!$E$50+'Assumptions and Catalog'!$F$50,IF(L475&lt;='Assumptions and Catalog'!$C$51,L475*'Assumptions and Catalog'!$H$51+'Assumptions and Catalog'!$E$51+'Assumptions and Catalog'!$F$51,IF(L475&lt;='Assumptions and Catalog'!$C$52,L475*'Assumptions and Catalog'!$H$52+'Assumptions and Catalog'!$E$52+'Assumptions and Catalog'!$F$52,IF(L475&lt;='Assumptions and Catalog'!$C$53,L475*'Assumptions and Catalog'!$H$53+'Assumptions and Catalog'!$E$53+'Assumptions and Catalog'!$F$53,IF(L475&lt;='Assumptions and Catalog'!$C$54,L475*'Assumptions and Catalog'!$H$54+'Assumptions and Catalog'!$E$54+'Assumptions and Catalog'!$F$54,IF(L475&lt;='Assumptions and Catalog'!$C$55,L475*'Assumptions and Catalog'!$H$55+'Assumptions and Catalog'!$E$55+'Assumptions and Catalog'!$F$55,IF(L475&lt;='Assumptions and Catalog'!$C$56,L475*'Assumptions and Catalog'!$H$56+'Assumptions and Catalog'!$E$56+'Assumptions and Catalog'!$F$56,IF(L475&lt;='Assumptions and Catalog'!$C$57,L475*'Assumptions and Catalog'!$H$57+'Assumptions and Catalog'!$E$57+'Assumptions and Catalog'!$F$57,"Out of range")))))))),IF(L475&lt;='Assumptions and Catalog'!$C$60,L475*'Assumptions and Catalog'!$H$60+'Assumptions and Catalog'!$E$60+'Assumptions and Catalog'!$F$60,IF(L475&lt;='Assumptions and Catalog'!$C$61,L475*'Assumptions and Catalog'!$H$61+'Assumptions and Catalog'!$E$61+'Assumptions and Catalog'!$F$61,IF(L475&lt;='Assumptions and Catalog'!$C$62,L475*'Assumptions and Catalog'!$H$62+'Assumptions and Catalog'!$E$62+'Assumptions and Catalog'!$F$62,IF(L475&lt;='Assumptions and Catalog'!$C$63,L475*'Assumptions and Catalog'!$H$63+'Assumptions and Catalog'!$E$63+'Assumptions and Catalog'!$F$63,IF(L475&lt;='Assumptions and Catalog'!$C$64,L475*'Assumptions and Catalog'!$H$64+'Assumptions and Catalog'!$E$64+'Assumptions and Catalog'!$F$64,IF(L475&lt;='Assumptions and Catalog'!$C$65,L475*'Assumptions and Catalog'!$H$65+'Assumptions and Catalog'!$E$65+'Assumptions and Catalog'!$F$65,"Out of range")))))))))*(1+'Assumptions and Catalog'!$C$8)^(A475-1),0)</f>
        <v>7094.794</v>
      </c>
      <c r="O475" s="5" t="n">
        <f>M475-N475</f>
        <v>0</v>
      </c>
      <c r="P475" s="5" t="n">
        <f>D$55*(1-K$14)*(1-'Assumptions and Catalog'!$C$23)^R475</f>
        <v>0</v>
      </c>
      <c r="Q475" s="5" t="n">
        <f>IF(ISNUMBER(Inputs!$L$5),(IF(Inputs!$L$9="Actual flat rate",((D475+E475)*C475-G475)*Inputs!$L$10,IF(Inputs!$C$9="Residential",IF(((D475+E475)*C475-G475)&lt;='Assumptions and Catalog'!$C$50,((D475+E475)*C475-G475)*'Assumptions and Catalog'!$H$50+'Assumptions and Catalog'!$E$50+'Assumptions and Catalog'!$F$50,IF(((D475+E475)*C475-G475)&lt;='Assumptions and Catalog'!$C$51,((D475+E475)*C475-G475)*'Assumptions and Catalog'!$H$51+'Assumptions and Catalog'!$E$51+'Assumptions and Catalog'!$F$51,IF(((D475+E475)*C475-G475)&lt;='Assumptions and Catalog'!$C$52,((D475+E475)*C475-G475)*'Assumptions and Catalog'!$H$52+'Assumptions and Catalog'!$E$52+'Assumptions and Catalog'!$F$52,IF(((D475+E475)*C475-G475)&lt;='Assumptions and Catalog'!$C$53,((D475+E475)*C475-G475)*'Assumptions and Catalog'!$H$53+'Assumptions and Catalog'!$E$53+'Assumptions and Catalog'!$F$53,IF(((D475+E475)*C475-G475)&lt;='Assumptions and Catalog'!$C$54,((D475+E475)*C475-G475)*'Assumptions and Catalog'!$H$54+'Assumptions and Catalog'!$E$54+'Assumptions and Catalog'!$F$54,IF(((D475+E475)*C475-G475)&lt;='Assumptions and Catalog'!$C$55,((D475+E475)*C475-G475)*'Assumptions and Catalog'!$H$55+'Assumptions and Catalog'!$E$55+'Assumptions and Catalog'!$F$55,IF(((D475+E475)*C475-G475)&lt;='Assumptions and Catalog'!$C$56,((D475+E475)*C475-G475)*'Assumptions and Catalog'!$H$56+'Assumptions and Catalog'!$E$56+'Assumptions and Catalog'!$F$56,IF(((D475+E475)*C475-G475)&lt;='Assumptions and Catalog'!$C$57,((D475+E475)*C475-G475)*'Assumptions and Catalog'!$H$57+'Assumptions and Catalog'!$E$57+'Assumptions and Catalog'!$F$57,"Out of range")))))))),IF(((D475+E475)*C475-G475)&lt;='Assumptions and Catalog'!$C$60,((D475+E475)*C475-G475)*'Assumptions and Catalog'!$H$60+'Assumptions and Catalog'!$E$60+'Assumptions and Catalog'!$F$60,IF(((D475+E475)*C475-G475)&lt;='Assumptions and Catalog'!$C$61,((D475+E475)*C475-G475)*'Assumptions and Catalog'!$H$61+'Assumptions and Catalog'!$E$61+'Assumptions and Catalog'!$F$61,IF(((D475+E475)*C475-G475)&lt;='Assumptions and Catalog'!$C$62,((D475+E475)*C475-G475)*'Assumptions and Catalog'!$H$62+'Assumptions and Catalog'!$E$62+'Assumptions and Catalog'!$F$62,IF(((D475+E475)*C475-G475)&lt;='Assumptions and Catalog'!$C$63,((D475+E475)*C475-G475)*'Assumptions and Catalog'!$H$63+'Assumptions and Catalog'!$E$63+'Assumptions and Catalog'!$F$63,IF(((D475+E475)*C475-G475)&lt;='Assumptions and Catalog'!$C$64,((D475+E475)*C475-G475)*'Assumptions and Catalog'!$H$64+'Assumptions and Catalog'!$E$64+'Assumptions and Catalog'!$F$64,IF(((D475+E475)*C475-G475)&lt;='Assumptions and Catalog'!$C$65,((D475+E475)*C475-G475)*'Assumptions and Catalog'!$H$65+'Assumptions and Catalog'!$E$65+'Assumptions and Catalog'!$F$65,"Out of range")))))))))*(1+'Assumptions and Catalog'!$C$8)^(A475-1),0)</f>
        <v>7094.794</v>
      </c>
      <c r="R475" s="5" t="n">
        <f>IF(AND('Assumptions and Catalog'!$C$19&gt;0,A475&gt;='Assumptions and Catalog'!$C$19),A475-'Assumptions and Catalog'!$C$19,A475-1)</f>
        <v>5</v>
      </c>
      <c r="S475" s="5" t="n">
        <f>F475+L475-(D475+E475)*C475-J475-K475-IF(D$52&gt;0,'Assumptions and Catalog'!$C$26*C475,0)</f>
        <v>0</v>
      </c>
      <c r="T475" s="5"/>
      <c r="U475" s="5"/>
    </row>
    <row r="476" ht="23.100000381469727" customHeight="1">
      <c r="A476" s="5" t="n">
        <v>6</v>
      </c>
      <c r="B476" s="5" t="n">
        <v>6</v>
      </c>
      <c r="C476" s="5" t="n">
        <f>DAY(DATE('Assumptions and Catalog'!$C$24+A476-1,B476+1,0))</f>
        <v>30</v>
      </c>
      <c r="D476" s="5" t="n">
        <f>IF(ISNUMBER(Inputs!$L$5),Inputs!$L$5*Inputs!$L$6,0)</f>
        <v>40.35</v>
      </c>
      <c r="E476" s="5" t="n">
        <f>IF(ISNUMBER(Inputs!$L$5),Inputs!$L$5-D476,0)</f>
        <v>40.35</v>
      </c>
      <c r="F476" s="5" t="n">
        <f>D$51*'Assumptions and Catalog'!$C$31*C476*(1-'Assumptions and Catalog'!$C$10)^(A476-1)</f>
        <v>0</v>
      </c>
      <c r="G476" s="5" t="n">
        <f>MIN(F476,D476*C476)</f>
        <v>0</v>
      </c>
      <c r="H476" s="5" t="n">
        <f>I476/('Assumptions and Catalog'!$C$11*'Assumptions and Catalog'!$C$12)</f>
        <v>0</v>
      </c>
      <c r="I476" s="5" t="n">
        <f>IF(K$15="Grid cycle",MIN(K$16,D476+E476,P476*'Assumptions and Catalog'!$C$12,D$57*(24-'Assumptions and Catalog'!$C$15),D$56*'Assumptions and Catalog'!$C$15*'Assumptions and Catalog'!$C$11*'Assumptions and Catalog'!$C$12)*C476,0)</f>
        <v>0</v>
      </c>
      <c r="J476" s="5" t="n">
        <f>MAX(F476-G476-0,0)</f>
        <v>0</v>
      </c>
      <c r="K476" s="5" t="n">
        <f>H476-I476</f>
        <v>0</v>
      </c>
      <c r="L476" s="5" t="n">
        <f>(D476+E476)*C476-G476-I476+H476+IF(D$52&gt;0,'Assumptions and Catalog'!$C$26*C476,0)</f>
        <v>2421</v>
      </c>
      <c r="M476" s="5" t="n">
        <f>IF(ISNUMBER(Inputs!$L$5),(IF(Inputs!$L$9="Actual flat rate",((D476+E476)*C476)*Inputs!$L$10,IF(Inputs!$C$9="Residential",IF(((D476+E476)*C476)&lt;='Assumptions and Catalog'!$C$50,((D476+E476)*C476)*'Assumptions and Catalog'!$H$50+'Assumptions and Catalog'!$E$50+'Assumptions and Catalog'!$F$50,IF(((D476+E476)*C476)&lt;='Assumptions and Catalog'!$C$51,((D476+E476)*C476)*'Assumptions and Catalog'!$H$51+'Assumptions and Catalog'!$E$51+'Assumptions and Catalog'!$F$51,IF(((D476+E476)*C476)&lt;='Assumptions and Catalog'!$C$52,((D476+E476)*C476)*'Assumptions and Catalog'!$H$52+'Assumptions and Catalog'!$E$52+'Assumptions and Catalog'!$F$52,IF(((D476+E476)*C476)&lt;='Assumptions and Catalog'!$C$53,((D476+E476)*C476)*'Assumptions and Catalog'!$H$53+'Assumptions and Catalog'!$E$53+'Assumptions and Catalog'!$F$53,IF(((D476+E476)*C476)&lt;='Assumptions and Catalog'!$C$54,((D476+E476)*C476)*'Assumptions and Catalog'!$H$54+'Assumptions and Catalog'!$E$54+'Assumptions and Catalog'!$F$54,IF(((D476+E476)*C476)&lt;='Assumptions and Catalog'!$C$55,((D476+E476)*C476)*'Assumptions and Catalog'!$H$55+'Assumptions and Catalog'!$E$55+'Assumptions and Catalog'!$F$55,IF(((D476+E476)*C476)&lt;='Assumptions and Catalog'!$C$56,((D476+E476)*C476)*'Assumptions and Catalog'!$H$56+'Assumptions and Catalog'!$E$56+'Assumptions and Catalog'!$F$56,IF(((D476+E476)*C476)&lt;='Assumptions and Catalog'!$C$57,((D476+E476)*C476)*'Assumptions and Catalog'!$H$57+'Assumptions and Catalog'!$E$57+'Assumptions and Catalog'!$F$57,"Out of range")))))))),IF(((D476+E476)*C476)&lt;='Assumptions and Catalog'!$C$60,((D476+E476)*C476)*'Assumptions and Catalog'!$H$60+'Assumptions and Catalog'!$E$60+'Assumptions and Catalog'!$F$60,IF(((D476+E476)*C476)&lt;='Assumptions and Catalog'!$C$61,((D476+E476)*C476)*'Assumptions and Catalog'!$H$61+'Assumptions and Catalog'!$E$61+'Assumptions and Catalog'!$F$61,IF(((D476+E476)*C476)&lt;='Assumptions and Catalog'!$C$62,((D476+E476)*C476)*'Assumptions and Catalog'!$H$62+'Assumptions and Catalog'!$E$62+'Assumptions and Catalog'!$F$62,IF(((D476+E476)*C476)&lt;='Assumptions and Catalog'!$C$63,((D476+E476)*C476)*'Assumptions and Catalog'!$H$63+'Assumptions and Catalog'!$E$63+'Assumptions and Catalog'!$F$63,IF(((D476+E476)*C476)&lt;='Assumptions and Catalog'!$C$64,((D476+E476)*C476)*'Assumptions and Catalog'!$H$64+'Assumptions and Catalog'!$E$64+'Assumptions and Catalog'!$F$64,IF(((D476+E476)*C476)&lt;='Assumptions and Catalog'!$C$65,((D476+E476)*C476)*'Assumptions and Catalog'!$H$65+'Assumptions and Catalog'!$E$65+'Assumptions and Catalog'!$F$65,"Out of range")))))))))*(1+'Assumptions and Catalog'!$C$8)^(A476-1),0)</f>
        <v>6867.22</v>
      </c>
      <c r="N476" s="5" t="n">
        <f>IF(ISNUMBER(Inputs!$L$5),(IF(Inputs!$L$9="Actual flat rate",L476*Inputs!$L$10,IF(Inputs!$C$9="Residential",IF(L476&lt;='Assumptions and Catalog'!$C$50,L476*'Assumptions and Catalog'!$H$50+'Assumptions and Catalog'!$E$50+'Assumptions and Catalog'!$F$50,IF(L476&lt;='Assumptions and Catalog'!$C$51,L476*'Assumptions and Catalog'!$H$51+'Assumptions and Catalog'!$E$51+'Assumptions and Catalog'!$F$51,IF(L476&lt;='Assumptions and Catalog'!$C$52,L476*'Assumptions and Catalog'!$H$52+'Assumptions and Catalog'!$E$52+'Assumptions and Catalog'!$F$52,IF(L476&lt;='Assumptions and Catalog'!$C$53,L476*'Assumptions and Catalog'!$H$53+'Assumptions and Catalog'!$E$53+'Assumptions and Catalog'!$F$53,IF(L476&lt;='Assumptions and Catalog'!$C$54,L476*'Assumptions and Catalog'!$H$54+'Assumptions and Catalog'!$E$54+'Assumptions and Catalog'!$F$54,IF(L476&lt;='Assumptions and Catalog'!$C$55,L476*'Assumptions and Catalog'!$H$55+'Assumptions and Catalog'!$E$55+'Assumptions and Catalog'!$F$55,IF(L476&lt;='Assumptions and Catalog'!$C$56,L476*'Assumptions and Catalog'!$H$56+'Assumptions and Catalog'!$E$56+'Assumptions and Catalog'!$F$56,IF(L476&lt;='Assumptions and Catalog'!$C$57,L476*'Assumptions and Catalog'!$H$57+'Assumptions and Catalog'!$E$57+'Assumptions and Catalog'!$F$57,"Out of range")))))))),IF(L476&lt;='Assumptions and Catalog'!$C$60,L476*'Assumptions and Catalog'!$H$60+'Assumptions and Catalog'!$E$60+'Assumptions and Catalog'!$F$60,IF(L476&lt;='Assumptions and Catalog'!$C$61,L476*'Assumptions and Catalog'!$H$61+'Assumptions and Catalog'!$E$61+'Assumptions and Catalog'!$F$61,IF(L476&lt;='Assumptions and Catalog'!$C$62,L476*'Assumptions and Catalog'!$H$62+'Assumptions and Catalog'!$E$62+'Assumptions and Catalog'!$F$62,IF(L476&lt;='Assumptions and Catalog'!$C$63,L476*'Assumptions and Catalog'!$H$63+'Assumptions and Catalog'!$E$63+'Assumptions and Catalog'!$F$63,IF(L476&lt;='Assumptions and Catalog'!$C$64,L476*'Assumptions and Catalog'!$H$64+'Assumptions and Catalog'!$E$64+'Assumptions and Catalog'!$F$64,IF(L476&lt;='Assumptions and Catalog'!$C$65,L476*'Assumptions and Catalog'!$H$65+'Assumptions and Catalog'!$E$65+'Assumptions and Catalog'!$F$65,"Out of range")))))))))*(1+'Assumptions and Catalog'!$C$8)^(A476-1),0)</f>
        <v>6867.22</v>
      </c>
      <c r="O476" s="5" t="n">
        <f>M476-N476</f>
        <v>0</v>
      </c>
      <c r="P476" s="5" t="n">
        <f>D$55*(1-K$14)*(1-'Assumptions and Catalog'!$C$23)^R476</f>
        <v>0</v>
      </c>
      <c r="Q476" s="5" t="n">
        <f>IF(ISNUMBER(Inputs!$L$5),(IF(Inputs!$L$9="Actual flat rate",((D476+E476)*C476-G476)*Inputs!$L$10,IF(Inputs!$C$9="Residential",IF(((D476+E476)*C476-G476)&lt;='Assumptions and Catalog'!$C$50,((D476+E476)*C476-G476)*'Assumptions and Catalog'!$H$50+'Assumptions and Catalog'!$E$50+'Assumptions and Catalog'!$F$50,IF(((D476+E476)*C476-G476)&lt;='Assumptions and Catalog'!$C$51,((D476+E476)*C476-G476)*'Assumptions and Catalog'!$H$51+'Assumptions and Catalog'!$E$51+'Assumptions and Catalog'!$F$51,IF(((D476+E476)*C476-G476)&lt;='Assumptions and Catalog'!$C$52,((D476+E476)*C476-G476)*'Assumptions and Catalog'!$H$52+'Assumptions and Catalog'!$E$52+'Assumptions and Catalog'!$F$52,IF(((D476+E476)*C476-G476)&lt;='Assumptions and Catalog'!$C$53,((D476+E476)*C476-G476)*'Assumptions and Catalog'!$H$53+'Assumptions and Catalog'!$E$53+'Assumptions and Catalog'!$F$53,IF(((D476+E476)*C476-G476)&lt;='Assumptions and Catalog'!$C$54,((D476+E476)*C476-G476)*'Assumptions and Catalog'!$H$54+'Assumptions and Catalog'!$E$54+'Assumptions and Catalog'!$F$54,IF(((D476+E476)*C476-G476)&lt;='Assumptions and Catalog'!$C$55,((D476+E476)*C476-G476)*'Assumptions and Catalog'!$H$55+'Assumptions and Catalog'!$E$55+'Assumptions and Catalog'!$F$55,IF(((D476+E476)*C476-G476)&lt;='Assumptions and Catalog'!$C$56,((D476+E476)*C476-G476)*'Assumptions and Catalog'!$H$56+'Assumptions and Catalog'!$E$56+'Assumptions and Catalog'!$F$56,IF(((D476+E476)*C476-G476)&lt;='Assumptions and Catalog'!$C$57,((D476+E476)*C476-G476)*'Assumptions and Catalog'!$H$57+'Assumptions and Catalog'!$E$57+'Assumptions and Catalog'!$F$57,"Out of range")))))))),IF(((D476+E476)*C476-G476)&lt;='Assumptions and Catalog'!$C$60,((D476+E476)*C476-G476)*'Assumptions and Catalog'!$H$60+'Assumptions and Catalog'!$E$60+'Assumptions and Catalog'!$F$60,IF(((D476+E476)*C476-G476)&lt;='Assumptions and Catalog'!$C$61,((D476+E476)*C476-G476)*'Assumptions and Catalog'!$H$61+'Assumptions and Catalog'!$E$61+'Assumptions and Catalog'!$F$61,IF(((D476+E476)*C476-G476)&lt;='Assumptions and Catalog'!$C$62,((D476+E476)*C476-G476)*'Assumptions and Catalog'!$H$62+'Assumptions and Catalog'!$E$62+'Assumptions and Catalog'!$F$62,IF(((D476+E476)*C476-G476)&lt;='Assumptions and Catalog'!$C$63,((D476+E476)*C476-G476)*'Assumptions and Catalog'!$H$63+'Assumptions and Catalog'!$E$63+'Assumptions and Catalog'!$F$63,IF(((D476+E476)*C476-G476)&lt;='Assumptions and Catalog'!$C$64,((D476+E476)*C476-G476)*'Assumptions and Catalog'!$H$64+'Assumptions and Catalog'!$E$64+'Assumptions and Catalog'!$F$64,IF(((D476+E476)*C476-G476)&lt;='Assumptions and Catalog'!$C$65,((D476+E476)*C476-G476)*'Assumptions and Catalog'!$H$65+'Assumptions and Catalog'!$E$65+'Assumptions and Catalog'!$F$65,"Out of range")))))))))*(1+'Assumptions and Catalog'!$C$8)^(A476-1),0)</f>
        <v>6867.22</v>
      </c>
      <c r="R476" s="5" t="n">
        <f>IF(AND('Assumptions and Catalog'!$C$19&gt;0,A476&gt;='Assumptions and Catalog'!$C$19),A476-'Assumptions and Catalog'!$C$19,A476-1)</f>
        <v>5</v>
      </c>
      <c r="S476" s="5" t="n">
        <f>F476+L476-(D476+E476)*C476-J476-K476-IF(D$52&gt;0,'Assumptions and Catalog'!$C$26*C476,0)</f>
        <v>0</v>
      </c>
      <c r="T476" s="5"/>
      <c r="U476" s="5"/>
    </row>
    <row r="477" ht="23.100000381469727" customHeight="1">
      <c r="A477" s="5" t="n">
        <v>6</v>
      </c>
      <c r="B477" s="5" t="n">
        <v>7</v>
      </c>
      <c r="C477" s="5" t="n">
        <f>DAY(DATE('Assumptions and Catalog'!$C$24+A477-1,B477+1,0))</f>
        <v>31</v>
      </c>
      <c r="D477" s="5" t="n">
        <f>IF(ISNUMBER(Inputs!$L$5),Inputs!$L$5*Inputs!$L$6,0)</f>
        <v>40.35</v>
      </c>
      <c r="E477" s="5" t="n">
        <f>IF(ISNUMBER(Inputs!$L$5),Inputs!$L$5-D477,0)</f>
        <v>40.35</v>
      </c>
      <c r="F477" s="5" t="n">
        <f>D$51*'Assumptions and Catalog'!$C$31*C477*(1-'Assumptions and Catalog'!$C$10)^(A477-1)</f>
        <v>0</v>
      </c>
      <c r="G477" s="5" t="n">
        <f>MIN(F477,D477*C477)</f>
        <v>0</v>
      </c>
      <c r="H477" s="5" t="n">
        <f>I477/('Assumptions and Catalog'!$C$11*'Assumptions and Catalog'!$C$12)</f>
        <v>0</v>
      </c>
      <c r="I477" s="5" t="n">
        <f>IF(K$15="Grid cycle",MIN(K$16,D477+E477,P477*'Assumptions and Catalog'!$C$12,D$57*(24-'Assumptions and Catalog'!$C$15),D$56*'Assumptions and Catalog'!$C$15*'Assumptions and Catalog'!$C$11*'Assumptions and Catalog'!$C$12)*C477,0)</f>
        <v>0</v>
      </c>
      <c r="J477" s="5" t="n">
        <f>MAX(F477-G477-0,0)</f>
        <v>0</v>
      </c>
      <c r="K477" s="5" t="n">
        <f>H477-I477</f>
        <v>0</v>
      </c>
      <c r="L477" s="5" t="n">
        <f>(D477+E477)*C477-G477-I477+H477+IF(D$52&gt;0,'Assumptions and Catalog'!$C$26*C477,0)</f>
        <v>2501.7</v>
      </c>
      <c r="M477" s="5" t="n">
        <f>IF(ISNUMBER(Inputs!$L$5),(IF(Inputs!$L$9="Actual flat rate",((D477+E477)*C477)*Inputs!$L$10,IF(Inputs!$C$9="Residential",IF(((D477+E477)*C477)&lt;='Assumptions and Catalog'!$C$50,((D477+E477)*C477)*'Assumptions and Catalog'!$H$50+'Assumptions and Catalog'!$E$50+'Assumptions and Catalog'!$F$50,IF(((D477+E477)*C477)&lt;='Assumptions and Catalog'!$C$51,((D477+E477)*C477)*'Assumptions and Catalog'!$H$51+'Assumptions and Catalog'!$E$51+'Assumptions and Catalog'!$F$51,IF(((D477+E477)*C477)&lt;='Assumptions and Catalog'!$C$52,((D477+E477)*C477)*'Assumptions and Catalog'!$H$52+'Assumptions and Catalog'!$E$52+'Assumptions and Catalog'!$F$52,IF(((D477+E477)*C477)&lt;='Assumptions and Catalog'!$C$53,((D477+E477)*C477)*'Assumptions and Catalog'!$H$53+'Assumptions and Catalog'!$E$53+'Assumptions and Catalog'!$F$53,IF(((D477+E477)*C477)&lt;='Assumptions and Catalog'!$C$54,((D477+E477)*C477)*'Assumptions and Catalog'!$H$54+'Assumptions and Catalog'!$E$54+'Assumptions and Catalog'!$F$54,IF(((D477+E477)*C477)&lt;='Assumptions and Catalog'!$C$55,((D477+E477)*C477)*'Assumptions and Catalog'!$H$55+'Assumptions and Catalog'!$E$55+'Assumptions and Catalog'!$F$55,IF(((D477+E477)*C477)&lt;='Assumptions and Catalog'!$C$56,((D477+E477)*C477)*'Assumptions and Catalog'!$H$56+'Assumptions and Catalog'!$E$56+'Assumptions and Catalog'!$F$56,IF(((D477+E477)*C477)&lt;='Assumptions and Catalog'!$C$57,((D477+E477)*C477)*'Assumptions and Catalog'!$H$57+'Assumptions and Catalog'!$E$57+'Assumptions and Catalog'!$F$57,"Out of range")))))))),IF(((D477+E477)*C477)&lt;='Assumptions and Catalog'!$C$60,((D477+E477)*C477)*'Assumptions and Catalog'!$H$60+'Assumptions and Catalog'!$E$60+'Assumptions and Catalog'!$F$60,IF(((D477+E477)*C477)&lt;='Assumptions and Catalog'!$C$61,((D477+E477)*C477)*'Assumptions and Catalog'!$H$61+'Assumptions and Catalog'!$E$61+'Assumptions and Catalog'!$F$61,IF(((D477+E477)*C477)&lt;='Assumptions and Catalog'!$C$62,((D477+E477)*C477)*'Assumptions and Catalog'!$H$62+'Assumptions and Catalog'!$E$62+'Assumptions and Catalog'!$F$62,IF(((D477+E477)*C477)&lt;='Assumptions and Catalog'!$C$63,((D477+E477)*C477)*'Assumptions and Catalog'!$H$63+'Assumptions and Catalog'!$E$63+'Assumptions and Catalog'!$F$63,IF(((D477+E477)*C477)&lt;='Assumptions and Catalog'!$C$64,((D477+E477)*C477)*'Assumptions and Catalog'!$H$64+'Assumptions and Catalog'!$E$64+'Assumptions and Catalog'!$F$64,IF(((D477+E477)*C477)&lt;='Assumptions and Catalog'!$C$65,((D477+E477)*C477)*'Assumptions and Catalog'!$H$65+'Assumptions and Catalog'!$E$65+'Assumptions and Catalog'!$F$65,"Out of range")))))))))*(1+'Assumptions and Catalog'!$C$8)^(A477-1),0)</f>
        <v>7094.794</v>
      </c>
      <c r="N477" s="5" t="n">
        <f>IF(ISNUMBER(Inputs!$L$5),(IF(Inputs!$L$9="Actual flat rate",L477*Inputs!$L$10,IF(Inputs!$C$9="Residential",IF(L477&lt;='Assumptions and Catalog'!$C$50,L477*'Assumptions and Catalog'!$H$50+'Assumptions and Catalog'!$E$50+'Assumptions and Catalog'!$F$50,IF(L477&lt;='Assumptions and Catalog'!$C$51,L477*'Assumptions and Catalog'!$H$51+'Assumptions and Catalog'!$E$51+'Assumptions and Catalog'!$F$51,IF(L477&lt;='Assumptions and Catalog'!$C$52,L477*'Assumptions and Catalog'!$H$52+'Assumptions and Catalog'!$E$52+'Assumptions and Catalog'!$F$52,IF(L477&lt;='Assumptions and Catalog'!$C$53,L477*'Assumptions and Catalog'!$H$53+'Assumptions and Catalog'!$E$53+'Assumptions and Catalog'!$F$53,IF(L477&lt;='Assumptions and Catalog'!$C$54,L477*'Assumptions and Catalog'!$H$54+'Assumptions and Catalog'!$E$54+'Assumptions and Catalog'!$F$54,IF(L477&lt;='Assumptions and Catalog'!$C$55,L477*'Assumptions and Catalog'!$H$55+'Assumptions and Catalog'!$E$55+'Assumptions and Catalog'!$F$55,IF(L477&lt;='Assumptions and Catalog'!$C$56,L477*'Assumptions and Catalog'!$H$56+'Assumptions and Catalog'!$E$56+'Assumptions and Catalog'!$F$56,IF(L477&lt;='Assumptions and Catalog'!$C$57,L477*'Assumptions and Catalog'!$H$57+'Assumptions and Catalog'!$E$57+'Assumptions and Catalog'!$F$57,"Out of range")))))))),IF(L477&lt;='Assumptions and Catalog'!$C$60,L477*'Assumptions and Catalog'!$H$60+'Assumptions and Catalog'!$E$60+'Assumptions and Catalog'!$F$60,IF(L477&lt;='Assumptions and Catalog'!$C$61,L477*'Assumptions and Catalog'!$H$61+'Assumptions and Catalog'!$E$61+'Assumptions and Catalog'!$F$61,IF(L477&lt;='Assumptions and Catalog'!$C$62,L477*'Assumptions and Catalog'!$H$62+'Assumptions and Catalog'!$E$62+'Assumptions and Catalog'!$F$62,IF(L477&lt;='Assumptions and Catalog'!$C$63,L477*'Assumptions and Catalog'!$H$63+'Assumptions and Catalog'!$E$63+'Assumptions and Catalog'!$F$63,IF(L477&lt;='Assumptions and Catalog'!$C$64,L477*'Assumptions and Catalog'!$H$64+'Assumptions and Catalog'!$E$64+'Assumptions and Catalog'!$F$64,IF(L477&lt;='Assumptions and Catalog'!$C$65,L477*'Assumptions and Catalog'!$H$65+'Assumptions and Catalog'!$E$65+'Assumptions and Catalog'!$F$65,"Out of range")))))))))*(1+'Assumptions and Catalog'!$C$8)^(A477-1),0)</f>
        <v>7094.794</v>
      </c>
      <c r="O477" s="5" t="n">
        <f>M477-N477</f>
        <v>0</v>
      </c>
      <c r="P477" s="5" t="n">
        <f>D$55*(1-K$14)*(1-'Assumptions and Catalog'!$C$23)^R477</f>
        <v>0</v>
      </c>
      <c r="Q477" s="5" t="n">
        <f>IF(ISNUMBER(Inputs!$L$5),(IF(Inputs!$L$9="Actual flat rate",((D477+E477)*C477-G477)*Inputs!$L$10,IF(Inputs!$C$9="Residential",IF(((D477+E477)*C477-G477)&lt;='Assumptions and Catalog'!$C$50,((D477+E477)*C477-G477)*'Assumptions and Catalog'!$H$50+'Assumptions and Catalog'!$E$50+'Assumptions and Catalog'!$F$50,IF(((D477+E477)*C477-G477)&lt;='Assumptions and Catalog'!$C$51,((D477+E477)*C477-G477)*'Assumptions and Catalog'!$H$51+'Assumptions and Catalog'!$E$51+'Assumptions and Catalog'!$F$51,IF(((D477+E477)*C477-G477)&lt;='Assumptions and Catalog'!$C$52,((D477+E477)*C477-G477)*'Assumptions and Catalog'!$H$52+'Assumptions and Catalog'!$E$52+'Assumptions and Catalog'!$F$52,IF(((D477+E477)*C477-G477)&lt;='Assumptions and Catalog'!$C$53,((D477+E477)*C477-G477)*'Assumptions and Catalog'!$H$53+'Assumptions and Catalog'!$E$53+'Assumptions and Catalog'!$F$53,IF(((D477+E477)*C477-G477)&lt;='Assumptions and Catalog'!$C$54,((D477+E477)*C477-G477)*'Assumptions and Catalog'!$H$54+'Assumptions and Catalog'!$E$54+'Assumptions and Catalog'!$F$54,IF(((D477+E477)*C477-G477)&lt;='Assumptions and Catalog'!$C$55,((D477+E477)*C477-G477)*'Assumptions and Catalog'!$H$55+'Assumptions and Catalog'!$E$55+'Assumptions and Catalog'!$F$55,IF(((D477+E477)*C477-G477)&lt;='Assumptions and Catalog'!$C$56,((D477+E477)*C477-G477)*'Assumptions and Catalog'!$H$56+'Assumptions and Catalog'!$E$56+'Assumptions and Catalog'!$F$56,IF(((D477+E477)*C477-G477)&lt;='Assumptions and Catalog'!$C$57,((D477+E477)*C477-G477)*'Assumptions and Catalog'!$H$57+'Assumptions and Catalog'!$E$57+'Assumptions and Catalog'!$F$57,"Out of range")))))))),IF(((D477+E477)*C477-G477)&lt;='Assumptions and Catalog'!$C$60,((D477+E477)*C477-G477)*'Assumptions and Catalog'!$H$60+'Assumptions and Catalog'!$E$60+'Assumptions and Catalog'!$F$60,IF(((D477+E477)*C477-G477)&lt;='Assumptions and Catalog'!$C$61,((D477+E477)*C477-G477)*'Assumptions and Catalog'!$H$61+'Assumptions and Catalog'!$E$61+'Assumptions and Catalog'!$F$61,IF(((D477+E477)*C477-G477)&lt;='Assumptions and Catalog'!$C$62,((D477+E477)*C477-G477)*'Assumptions and Catalog'!$H$62+'Assumptions and Catalog'!$E$62+'Assumptions and Catalog'!$F$62,IF(((D477+E477)*C477-G477)&lt;='Assumptions and Catalog'!$C$63,((D477+E477)*C477-G477)*'Assumptions and Catalog'!$H$63+'Assumptions and Catalog'!$E$63+'Assumptions and Catalog'!$F$63,IF(((D477+E477)*C477-G477)&lt;='Assumptions and Catalog'!$C$64,((D477+E477)*C477-G477)*'Assumptions and Catalog'!$H$64+'Assumptions and Catalog'!$E$64+'Assumptions and Catalog'!$F$64,IF(((D477+E477)*C477-G477)&lt;='Assumptions and Catalog'!$C$65,((D477+E477)*C477-G477)*'Assumptions and Catalog'!$H$65+'Assumptions and Catalog'!$E$65+'Assumptions and Catalog'!$F$65,"Out of range")))))))))*(1+'Assumptions and Catalog'!$C$8)^(A477-1),0)</f>
        <v>7094.794</v>
      </c>
      <c r="R477" s="5" t="n">
        <f>IF(AND('Assumptions and Catalog'!$C$19&gt;0,A477&gt;='Assumptions and Catalog'!$C$19),A477-'Assumptions and Catalog'!$C$19,A477-1)</f>
        <v>5</v>
      </c>
      <c r="S477" s="5" t="n">
        <f>F477+L477-(D477+E477)*C477-J477-K477-IF(D$52&gt;0,'Assumptions and Catalog'!$C$26*C477,0)</f>
        <v>0</v>
      </c>
      <c r="T477" s="5"/>
      <c r="U477" s="5"/>
    </row>
    <row r="478" ht="23.100000381469727" customHeight="1">
      <c r="A478" s="5" t="n">
        <v>6</v>
      </c>
      <c r="B478" s="5" t="n">
        <v>8</v>
      </c>
      <c r="C478" s="5" t="n">
        <f>DAY(DATE('Assumptions and Catalog'!$C$24+A478-1,B478+1,0))</f>
        <v>31</v>
      </c>
      <c r="D478" s="5" t="n">
        <f>IF(ISNUMBER(Inputs!$L$5),Inputs!$L$5*Inputs!$L$6,0)</f>
        <v>40.35</v>
      </c>
      <c r="E478" s="5" t="n">
        <f>IF(ISNUMBER(Inputs!$L$5),Inputs!$L$5-D478,0)</f>
        <v>40.35</v>
      </c>
      <c r="F478" s="5" t="n">
        <f>D$51*'Assumptions and Catalog'!$C$31*C478*(1-'Assumptions and Catalog'!$C$10)^(A478-1)</f>
        <v>0</v>
      </c>
      <c r="G478" s="5" t="n">
        <f>MIN(F478,D478*C478)</f>
        <v>0</v>
      </c>
      <c r="H478" s="5" t="n">
        <f>I478/('Assumptions and Catalog'!$C$11*'Assumptions and Catalog'!$C$12)</f>
        <v>0</v>
      </c>
      <c r="I478" s="5" t="n">
        <f>IF(K$15="Grid cycle",MIN(K$16,D478+E478,P478*'Assumptions and Catalog'!$C$12,D$57*(24-'Assumptions and Catalog'!$C$15),D$56*'Assumptions and Catalog'!$C$15*'Assumptions and Catalog'!$C$11*'Assumptions and Catalog'!$C$12)*C478,0)</f>
        <v>0</v>
      </c>
      <c r="J478" s="5" t="n">
        <f>MAX(F478-G478-0,0)</f>
        <v>0</v>
      </c>
      <c r="K478" s="5" t="n">
        <f>H478-I478</f>
        <v>0</v>
      </c>
      <c r="L478" s="5" t="n">
        <f>(D478+E478)*C478-G478-I478+H478+IF(D$52&gt;0,'Assumptions and Catalog'!$C$26*C478,0)</f>
        <v>2501.7</v>
      </c>
      <c r="M478" s="5" t="n">
        <f>IF(ISNUMBER(Inputs!$L$5),(IF(Inputs!$L$9="Actual flat rate",((D478+E478)*C478)*Inputs!$L$10,IF(Inputs!$C$9="Residential",IF(((D478+E478)*C478)&lt;='Assumptions and Catalog'!$C$50,((D478+E478)*C478)*'Assumptions and Catalog'!$H$50+'Assumptions and Catalog'!$E$50+'Assumptions and Catalog'!$F$50,IF(((D478+E478)*C478)&lt;='Assumptions and Catalog'!$C$51,((D478+E478)*C478)*'Assumptions and Catalog'!$H$51+'Assumptions and Catalog'!$E$51+'Assumptions and Catalog'!$F$51,IF(((D478+E478)*C478)&lt;='Assumptions and Catalog'!$C$52,((D478+E478)*C478)*'Assumptions and Catalog'!$H$52+'Assumptions and Catalog'!$E$52+'Assumptions and Catalog'!$F$52,IF(((D478+E478)*C478)&lt;='Assumptions and Catalog'!$C$53,((D478+E478)*C478)*'Assumptions and Catalog'!$H$53+'Assumptions and Catalog'!$E$53+'Assumptions and Catalog'!$F$53,IF(((D478+E478)*C478)&lt;='Assumptions and Catalog'!$C$54,((D478+E478)*C478)*'Assumptions and Catalog'!$H$54+'Assumptions and Catalog'!$E$54+'Assumptions and Catalog'!$F$54,IF(((D478+E478)*C478)&lt;='Assumptions and Catalog'!$C$55,((D478+E478)*C478)*'Assumptions and Catalog'!$H$55+'Assumptions and Catalog'!$E$55+'Assumptions and Catalog'!$F$55,IF(((D478+E478)*C478)&lt;='Assumptions and Catalog'!$C$56,((D478+E478)*C478)*'Assumptions and Catalog'!$H$56+'Assumptions and Catalog'!$E$56+'Assumptions and Catalog'!$F$56,IF(((D478+E478)*C478)&lt;='Assumptions and Catalog'!$C$57,((D478+E478)*C478)*'Assumptions and Catalog'!$H$57+'Assumptions and Catalog'!$E$57+'Assumptions and Catalog'!$F$57,"Out of range")))))))),IF(((D478+E478)*C478)&lt;='Assumptions and Catalog'!$C$60,((D478+E478)*C478)*'Assumptions and Catalog'!$H$60+'Assumptions and Catalog'!$E$60+'Assumptions and Catalog'!$F$60,IF(((D478+E478)*C478)&lt;='Assumptions and Catalog'!$C$61,((D478+E478)*C478)*'Assumptions and Catalog'!$H$61+'Assumptions and Catalog'!$E$61+'Assumptions and Catalog'!$F$61,IF(((D478+E478)*C478)&lt;='Assumptions and Catalog'!$C$62,((D478+E478)*C478)*'Assumptions and Catalog'!$H$62+'Assumptions and Catalog'!$E$62+'Assumptions and Catalog'!$F$62,IF(((D478+E478)*C478)&lt;='Assumptions and Catalog'!$C$63,((D478+E478)*C478)*'Assumptions and Catalog'!$H$63+'Assumptions and Catalog'!$E$63+'Assumptions and Catalog'!$F$63,IF(((D478+E478)*C478)&lt;='Assumptions and Catalog'!$C$64,((D478+E478)*C478)*'Assumptions and Catalog'!$H$64+'Assumptions and Catalog'!$E$64+'Assumptions and Catalog'!$F$64,IF(((D478+E478)*C478)&lt;='Assumptions and Catalog'!$C$65,((D478+E478)*C478)*'Assumptions and Catalog'!$H$65+'Assumptions and Catalog'!$E$65+'Assumptions and Catalog'!$F$65,"Out of range")))))))))*(1+'Assumptions and Catalog'!$C$8)^(A478-1),0)</f>
        <v>7094.794</v>
      </c>
      <c r="N478" s="5" t="n">
        <f>IF(ISNUMBER(Inputs!$L$5),(IF(Inputs!$L$9="Actual flat rate",L478*Inputs!$L$10,IF(Inputs!$C$9="Residential",IF(L478&lt;='Assumptions and Catalog'!$C$50,L478*'Assumptions and Catalog'!$H$50+'Assumptions and Catalog'!$E$50+'Assumptions and Catalog'!$F$50,IF(L478&lt;='Assumptions and Catalog'!$C$51,L478*'Assumptions and Catalog'!$H$51+'Assumptions and Catalog'!$E$51+'Assumptions and Catalog'!$F$51,IF(L478&lt;='Assumptions and Catalog'!$C$52,L478*'Assumptions and Catalog'!$H$52+'Assumptions and Catalog'!$E$52+'Assumptions and Catalog'!$F$52,IF(L478&lt;='Assumptions and Catalog'!$C$53,L478*'Assumptions and Catalog'!$H$53+'Assumptions and Catalog'!$E$53+'Assumptions and Catalog'!$F$53,IF(L478&lt;='Assumptions and Catalog'!$C$54,L478*'Assumptions and Catalog'!$H$54+'Assumptions and Catalog'!$E$54+'Assumptions and Catalog'!$F$54,IF(L478&lt;='Assumptions and Catalog'!$C$55,L478*'Assumptions and Catalog'!$H$55+'Assumptions and Catalog'!$E$55+'Assumptions and Catalog'!$F$55,IF(L478&lt;='Assumptions and Catalog'!$C$56,L478*'Assumptions and Catalog'!$H$56+'Assumptions and Catalog'!$E$56+'Assumptions and Catalog'!$F$56,IF(L478&lt;='Assumptions and Catalog'!$C$57,L478*'Assumptions and Catalog'!$H$57+'Assumptions and Catalog'!$E$57+'Assumptions and Catalog'!$F$57,"Out of range")))))))),IF(L478&lt;='Assumptions and Catalog'!$C$60,L478*'Assumptions and Catalog'!$H$60+'Assumptions and Catalog'!$E$60+'Assumptions and Catalog'!$F$60,IF(L478&lt;='Assumptions and Catalog'!$C$61,L478*'Assumptions and Catalog'!$H$61+'Assumptions and Catalog'!$E$61+'Assumptions and Catalog'!$F$61,IF(L478&lt;='Assumptions and Catalog'!$C$62,L478*'Assumptions and Catalog'!$H$62+'Assumptions and Catalog'!$E$62+'Assumptions and Catalog'!$F$62,IF(L478&lt;='Assumptions and Catalog'!$C$63,L478*'Assumptions and Catalog'!$H$63+'Assumptions and Catalog'!$E$63+'Assumptions and Catalog'!$F$63,IF(L478&lt;='Assumptions and Catalog'!$C$64,L478*'Assumptions and Catalog'!$H$64+'Assumptions and Catalog'!$E$64+'Assumptions and Catalog'!$F$64,IF(L478&lt;='Assumptions and Catalog'!$C$65,L478*'Assumptions and Catalog'!$H$65+'Assumptions and Catalog'!$E$65+'Assumptions and Catalog'!$F$65,"Out of range")))))))))*(1+'Assumptions and Catalog'!$C$8)^(A478-1),0)</f>
        <v>7094.794</v>
      </c>
      <c r="O478" s="5" t="n">
        <f>M478-N478</f>
        <v>0</v>
      </c>
      <c r="P478" s="5" t="n">
        <f>D$55*(1-K$14)*(1-'Assumptions and Catalog'!$C$23)^R478</f>
        <v>0</v>
      </c>
      <c r="Q478" s="5" t="n">
        <f>IF(ISNUMBER(Inputs!$L$5),(IF(Inputs!$L$9="Actual flat rate",((D478+E478)*C478-G478)*Inputs!$L$10,IF(Inputs!$C$9="Residential",IF(((D478+E478)*C478-G478)&lt;='Assumptions and Catalog'!$C$50,((D478+E478)*C478-G478)*'Assumptions and Catalog'!$H$50+'Assumptions and Catalog'!$E$50+'Assumptions and Catalog'!$F$50,IF(((D478+E478)*C478-G478)&lt;='Assumptions and Catalog'!$C$51,((D478+E478)*C478-G478)*'Assumptions and Catalog'!$H$51+'Assumptions and Catalog'!$E$51+'Assumptions and Catalog'!$F$51,IF(((D478+E478)*C478-G478)&lt;='Assumptions and Catalog'!$C$52,((D478+E478)*C478-G478)*'Assumptions and Catalog'!$H$52+'Assumptions and Catalog'!$E$52+'Assumptions and Catalog'!$F$52,IF(((D478+E478)*C478-G478)&lt;='Assumptions and Catalog'!$C$53,((D478+E478)*C478-G478)*'Assumptions and Catalog'!$H$53+'Assumptions and Catalog'!$E$53+'Assumptions and Catalog'!$F$53,IF(((D478+E478)*C478-G478)&lt;='Assumptions and Catalog'!$C$54,((D478+E478)*C478-G478)*'Assumptions and Catalog'!$H$54+'Assumptions and Catalog'!$E$54+'Assumptions and Catalog'!$F$54,IF(((D478+E478)*C478-G478)&lt;='Assumptions and Catalog'!$C$55,((D478+E478)*C478-G478)*'Assumptions and Catalog'!$H$55+'Assumptions and Catalog'!$E$55+'Assumptions and Catalog'!$F$55,IF(((D478+E478)*C478-G478)&lt;='Assumptions and Catalog'!$C$56,((D478+E478)*C478-G478)*'Assumptions and Catalog'!$H$56+'Assumptions and Catalog'!$E$56+'Assumptions and Catalog'!$F$56,IF(((D478+E478)*C478-G478)&lt;='Assumptions and Catalog'!$C$57,((D478+E478)*C478-G478)*'Assumptions and Catalog'!$H$57+'Assumptions and Catalog'!$E$57+'Assumptions and Catalog'!$F$57,"Out of range")))))))),IF(((D478+E478)*C478-G478)&lt;='Assumptions and Catalog'!$C$60,((D478+E478)*C478-G478)*'Assumptions and Catalog'!$H$60+'Assumptions and Catalog'!$E$60+'Assumptions and Catalog'!$F$60,IF(((D478+E478)*C478-G478)&lt;='Assumptions and Catalog'!$C$61,((D478+E478)*C478-G478)*'Assumptions and Catalog'!$H$61+'Assumptions and Catalog'!$E$61+'Assumptions and Catalog'!$F$61,IF(((D478+E478)*C478-G478)&lt;='Assumptions and Catalog'!$C$62,((D478+E478)*C478-G478)*'Assumptions and Catalog'!$H$62+'Assumptions and Catalog'!$E$62+'Assumptions and Catalog'!$F$62,IF(((D478+E478)*C478-G478)&lt;='Assumptions and Catalog'!$C$63,((D478+E478)*C478-G478)*'Assumptions and Catalog'!$H$63+'Assumptions and Catalog'!$E$63+'Assumptions and Catalog'!$F$63,IF(((D478+E478)*C478-G478)&lt;='Assumptions and Catalog'!$C$64,((D478+E478)*C478-G478)*'Assumptions and Catalog'!$H$64+'Assumptions and Catalog'!$E$64+'Assumptions and Catalog'!$F$64,IF(((D478+E478)*C478-G478)&lt;='Assumptions and Catalog'!$C$65,((D478+E478)*C478-G478)*'Assumptions and Catalog'!$H$65+'Assumptions and Catalog'!$E$65+'Assumptions and Catalog'!$F$65,"Out of range")))))))))*(1+'Assumptions and Catalog'!$C$8)^(A478-1),0)</f>
        <v>7094.794</v>
      </c>
      <c r="R478" s="5" t="n">
        <f>IF(AND('Assumptions and Catalog'!$C$19&gt;0,A478&gt;='Assumptions and Catalog'!$C$19),A478-'Assumptions and Catalog'!$C$19,A478-1)</f>
        <v>5</v>
      </c>
      <c r="S478" s="5" t="n">
        <f>F478+L478-(D478+E478)*C478-J478-K478-IF(D$52&gt;0,'Assumptions and Catalog'!$C$26*C478,0)</f>
        <v>0</v>
      </c>
      <c r="T478" s="5"/>
      <c r="U478" s="5"/>
    </row>
    <row r="479" ht="23.100000381469727" customHeight="1">
      <c r="A479" s="5" t="n">
        <v>6</v>
      </c>
      <c r="B479" s="5" t="n">
        <v>9</v>
      </c>
      <c r="C479" s="5" t="n">
        <f>DAY(DATE('Assumptions and Catalog'!$C$24+A479-1,B479+1,0))</f>
        <v>30</v>
      </c>
      <c r="D479" s="5" t="n">
        <f>IF(ISNUMBER(Inputs!$L$5),Inputs!$L$5*Inputs!$L$6,0)</f>
        <v>40.35</v>
      </c>
      <c r="E479" s="5" t="n">
        <f>IF(ISNUMBER(Inputs!$L$5),Inputs!$L$5-D479,0)</f>
        <v>40.35</v>
      </c>
      <c r="F479" s="5" t="n">
        <f>D$51*'Assumptions and Catalog'!$C$31*C479*(1-'Assumptions and Catalog'!$C$10)^(A479-1)</f>
        <v>0</v>
      </c>
      <c r="G479" s="5" t="n">
        <f>MIN(F479,D479*C479)</f>
        <v>0</v>
      </c>
      <c r="H479" s="5" t="n">
        <f>I479/('Assumptions and Catalog'!$C$11*'Assumptions and Catalog'!$C$12)</f>
        <v>0</v>
      </c>
      <c r="I479" s="5" t="n">
        <f>IF(K$15="Grid cycle",MIN(K$16,D479+E479,P479*'Assumptions and Catalog'!$C$12,D$57*(24-'Assumptions and Catalog'!$C$15),D$56*'Assumptions and Catalog'!$C$15*'Assumptions and Catalog'!$C$11*'Assumptions and Catalog'!$C$12)*C479,0)</f>
        <v>0</v>
      </c>
      <c r="J479" s="5" t="n">
        <f>MAX(F479-G479-0,0)</f>
        <v>0</v>
      </c>
      <c r="K479" s="5" t="n">
        <f>H479-I479</f>
        <v>0</v>
      </c>
      <c r="L479" s="5" t="n">
        <f>(D479+E479)*C479-G479-I479+H479+IF(D$52&gt;0,'Assumptions and Catalog'!$C$26*C479,0)</f>
        <v>2421</v>
      </c>
      <c r="M479" s="5" t="n">
        <f>IF(ISNUMBER(Inputs!$L$5),(IF(Inputs!$L$9="Actual flat rate",((D479+E479)*C479)*Inputs!$L$10,IF(Inputs!$C$9="Residential",IF(((D479+E479)*C479)&lt;='Assumptions and Catalog'!$C$50,((D479+E479)*C479)*'Assumptions and Catalog'!$H$50+'Assumptions and Catalog'!$E$50+'Assumptions and Catalog'!$F$50,IF(((D479+E479)*C479)&lt;='Assumptions and Catalog'!$C$51,((D479+E479)*C479)*'Assumptions and Catalog'!$H$51+'Assumptions and Catalog'!$E$51+'Assumptions and Catalog'!$F$51,IF(((D479+E479)*C479)&lt;='Assumptions and Catalog'!$C$52,((D479+E479)*C479)*'Assumptions and Catalog'!$H$52+'Assumptions and Catalog'!$E$52+'Assumptions and Catalog'!$F$52,IF(((D479+E479)*C479)&lt;='Assumptions and Catalog'!$C$53,((D479+E479)*C479)*'Assumptions and Catalog'!$H$53+'Assumptions and Catalog'!$E$53+'Assumptions and Catalog'!$F$53,IF(((D479+E479)*C479)&lt;='Assumptions and Catalog'!$C$54,((D479+E479)*C479)*'Assumptions and Catalog'!$H$54+'Assumptions and Catalog'!$E$54+'Assumptions and Catalog'!$F$54,IF(((D479+E479)*C479)&lt;='Assumptions and Catalog'!$C$55,((D479+E479)*C479)*'Assumptions and Catalog'!$H$55+'Assumptions and Catalog'!$E$55+'Assumptions and Catalog'!$F$55,IF(((D479+E479)*C479)&lt;='Assumptions and Catalog'!$C$56,((D479+E479)*C479)*'Assumptions and Catalog'!$H$56+'Assumptions and Catalog'!$E$56+'Assumptions and Catalog'!$F$56,IF(((D479+E479)*C479)&lt;='Assumptions and Catalog'!$C$57,((D479+E479)*C479)*'Assumptions and Catalog'!$H$57+'Assumptions and Catalog'!$E$57+'Assumptions and Catalog'!$F$57,"Out of range")))))))),IF(((D479+E479)*C479)&lt;='Assumptions and Catalog'!$C$60,((D479+E479)*C479)*'Assumptions and Catalog'!$H$60+'Assumptions and Catalog'!$E$60+'Assumptions and Catalog'!$F$60,IF(((D479+E479)*C479)&lt;='Assumptions and Catalog'!$C$61,((D479+E479)*C479)*'Assumptions and Catalog'!$H$61+'Assumptions and Catalog'!$E$61+'Assumptions and Catalog'!$F$61,IF(((D479+E479)*C479)&lt;='Assumptions and Catalog'!$C$62,((D479+E479)*C479)*'Assumptions and Catalog'!$H$62+'Assumptions and Catalog'!$E$62+'Assumptions and Catalog'!$F$62,IF(((D479+E479)*C479)&lt;='Assumptions and Catalog'!$C$63,((D479+E479)*C479)*'Assumptions and Catalog'!$H$63+'Assumptions and Catalog'!$E$63+'Assumptions and Catalog'!$F$63,IF(((D479+E479)*C479)&lt;='Assumptions and Catalog'!$C$64,((D479+E479)*C479)*'Assumptions and Catalog'!$H$64+'Assumptions and Catalog'!$E$64+'Assumptions and Catalog'!$F$64,IF(((D479+E479)*C479)&lt;='Assumptions and Catalog'!$C$65,((D479+E479)*C479)*'Assumptions and Catalog'!$H$65+'Assumptions and Catalog'!$E$65+'Assumptions and Catalog'!$F$65,"Out of range")))))))))*(1+'Assumptions and Catalog'!$C$8)^(A479-1),0)</f>
        <v>6867.22</v>
      </c>
      <c r="N479" s="5" t="n">
        <f>IF(ISNUMBER(Inputs!$L$5),(IF(Inputs!$L$9="Actual flat rate",L479*Inputs!$L$10,IF(Inputs!$C$9="Residential",IF(L479&lt;='Assumptions and Catalog'!$C$50,L479*'Assumptions and Catalog'!$H$50+'Assumptions and Catalog'!$E$50+'Assumptions and Catalog'!$F$50,IF(L479&lt;='Assumptions and Catalog'!$C$51,L479*'Assumptions and Catalog'!$H$51+'Assumptions and Catalog'!$E$51+'Assumptions and Catalog'!$F$51,IF(L479&lt;='Assumptions and Catalog'!$C$52,L479*'Assumptions and Catalog'!$H$52+'Assumptions and Catalog'!$E$52+'Assumptions and Catalog'!$F$52,IF(L479&lt;='Assumptions and Catalog'!$C$53,L479*'Assumptions and Catalog'!$H$53+'Assumptions and Catalog'!$E$53+'Assumptions and Catalog'!$F$53,IF(L479&lt;='Assumptions and Catalog'!$C$54,L479*'Assumptions and Catalog'!$H$54+'Assumptions and Catalog'!$E$54+'Assumptions and Catalog'!$F$54,IF(L479&lt;='Assumptions and Catalog'!$C$55,L479*'Assumptions and Catalog'!$H$55+'Assumptions and Catalog'!$E$55+'Assumptions and Catalog'!$F$55,IF(L479&lt;='Assumptions and Catalog'!$C$56,L479*'Assumptions and Catalog'!$H$56+'Assumptions and Catalog'!$E$56+'Assumptions and Catalog'!$F$56,IF(L479&lt;='Assumptions and Catalog'!$C$57,L479*'Assumptions and Catalog'!$H$57+'Assumptions and Catalog'!$E$57+'Assumptions and Catalog'!$F$57,"Out of range")))))))),IF(L479&lt;='Assumptions and Catalog'!$C$60,L479*'Assumptions and Catalog'!$H$60+'Assumptions and Catalog'!$E$60+'Assumptions and Catalog'!$F$60,IF(L479&lt;='Assumptions and Catalog'!$C$61,L479*'Assumptions and Catalog'!$H$61+'Assumptions and Catalog'!$E$61+'Assumptions and Catalog'!$F$61,IF(L479&lt;='Assumptions and Catalog'!$C$62,L479*'Assumptions and Catalog'!$H$62+'Assumptions and Catalog'!$E$62+'Assumptions and Catalog'!$F$62,IF(L479&lt;='Assumptions and Catalog'!$C$63,L479*'Assumptions and Catalog'!$H$63+'Assumptions and Catalog'!$E$63+'Assumptions and Catalog'!$F$63,IF(L479&lt;='Assumptions and Catalog'!$C$64,L479*'Assumptions and Catalog'!$H$64+'Assumptions and Catalog'!$E$64+'Assumptions and Catalog'!$F$64,IF(L479&lt;='Assumptions and Catalog'!$C$65,L479*'Assumptions and Catalog'!$H$65+'Assumptions and Catalog'!$E$65+'Assumptions and Catalog'!$F$65,"Out of range")))))))))*(1+'Assumptions and Catalog'!$C$8)^(A479-1),0)</f>
        <v>6867.22</v>
      </c>
      <c r="O479" s="5" t="n">
        <f>M479-N479</f>
        <v>0</v>
      </c>
      <c r="P479" s="5" t="n">
        <f>D$55*(1-K$14)*(1-'Assumptions and Catalog'!$C$23)^R479</f>
        <v>0</v>
      </c>
      <c r="Q479" s="5" t="n">
        <f>IF(ISNUMBER(Inputs!$L$5),(IF(Inputs!$L$9="Actual flat rate",((D479+E479)*C479-G479)*Inputs!$L$10,IF(Inputs!$C$9="Residential",IF(((D479+E479)*C479-G479)&lt;='Assumptions and Catalog'!$C$50,((D479+E479)*C479-G479)*'Assumptions and Catalog'!$H$50+'Assumptions and Catalog'!$E$50+'Assumptions and Catalog'!$F$50,IF(((D479+E479)*C479-G479)&lt;='Assumptions and Catalog'!$C$51,((D479+E479)*C479-G479)*'Assumptions and Catalog'!$H$51+'Assumptions and Catalog'!$E$51+'Assumptions and Catalog'!$F$51,IF(((D479+E479)*C479-G479)&lt;='Assumptions and Catalog'!$C$52,((D479+E479)*C479-G479)*'Assumptions and Catalog'!$H$52+'Assumptions and Catalog'!$E$52+'Assumptions and Catalog'!$F$52,IF(((D479+E479)*C479-G479)&lt;='Assumptions and Catalog'!$C$53,((D479+E479)*C479-G479)*'Assumptions and Catalog'!$H$53+'Assumptions and Catalog'!$E$53+'Assumptions and Catalog'!$F$53,IF(((D479+E479)*C479-G479)&lt;='Assumptions and Catalog'!$C$54,((D479+E479)*C479-G479)*'Assumptions and Catalog'!$H$54+'Assumptions and Catalog'!$E$54+'Assumptions and Catalog'!$F$54,IF(((D479+E479)*C479-G479)&lt;='Assumptions and Catalog'!$C$55,((D479+E479)*C479-G479)*'Assumptions and Catalog'!$H$55+'Assumptions and Catalog'!$E$55+'Assumptions and Catalog'!$F$55,IF(((D479+E479)*C479-G479)&lt;='Assumptions and Catalog'!$C$56,((D479+E479)*C479-G479)*'Assumptions and Catalog'!$H$56+'Assumptions and Catalog'!$E$56+'Assumptions and Catalog'!$F$56,IF(((D479+E479)*C479-G479)&lt;='Assumptions and Catalog'!$C$57,((D479+E479)*C479-G479)*'Assumptions and Catalog'!$H$57+'Assumptions and Catalog'!$E$57+'Assumptions and Catalog'!$F$57,"Out of range")))))))),IF(((D479+E479)*C479-G479)&lt;='Assumptions and Catalog'!$C$60,((D479+E479)*C479-G479)*'Assumptions and Catalog'!$H$60+'Assumptions and Catalog'!$E$60+'Assumptions and Catalog'!$F$60,IF(((D479+E479)*C479-G479)&lt;='Assumptions and Catalog'!$C$61,((D479+E479)*C479-G479)*'Assumptions and Catalog'!$H$61+'Assumptions and Catalog'!$E$61+'Assumptions and Catalog'!$F$61,IF(((D479+E479)*C479-G479)&lt;='Assumptions and Catalog'!$C$62,((D479+E479)*C479-G479)*'Assumptions and Catalog'!$H$62+'Assumptions and Catalog'!$E$62+'Assumptions and Catalog'!$F$62,IF(((D479+E479)*C479-G479)&lt;='Assumptions and Catalog'!$C$63,((D479+E479)*C479-G479)*'Assumptions and Catalog'!$H$63+'Assumptions and Catalog'!$E$63+'Assumptions and Catalog'!$F$63,IF(((D479+E479)*C479-G479)&lt;='Assumptions and Catalog'!$C$64,((D479+E479)*C479-G479)*'Assumptions and Catalog'!$H$64+'Assumptions and Catalog'!$E$64+'Assumptions and Catalog'!$F$64,IF(((D479+E479)*C479-G479)&lt;='Assumptions and Catalog'!$C$65,((D479+E479)*C479-G479)*'Assumptions and Catalog'!$H$65+'Assumptions and Catalog'!$E$65+'Assumptions and Catalog'!$F$65,"Out of range")))))))))*(1+'Assumptions and Catalog'!$C$8)^(A479-1),0)</f>
        <v>6867.22</v>
      </c>
      <c r="R479" s="5" t="n">
        <f>IF(AND('Assumptions and Catalog'!$C$19&gt;0,A479&gt;='Assumptions and Catalog'!$C$19),A479-'Assumptions and Catalog'!$C$19,A479-1)</f>
        <v>5</v>
      </c>
      <c r="S479" s="5" t="n">
        <f>F479+L479-(D479+E479)*C479-J479-K479-IF(D$52&gt;0,'Assumptions and Catalog'!$C$26*C479,0)</f>
        <v>0</v>
      </c>
      <c r="T479" s="5"/>
      <c r="U479" s="5"/>
    </row>
    <row r="480" ht="23.100000381469727" customHeight="1">
      <c r="A480" s="5" t="n">
        <v>6</v>
      </c>
      <c r="B480" s="5" t="n">
        <v>10</v>
      </c>
      <c r="C480" s="5" t="n">
        <f>DAY(DATE('Assumptions and Catalog'!$C$24+A480-1,B480+1,0))</f>
        <v>31</v>
      </c>
      <c r="D480" s="5" t="n">
        <f>IF(ISNUMBER(Inputs!$L$5),Inputs!$L$5*Inputs!$L$6,0)</f>
        <v>40.35</v>
      </c>
      <c r="E480" s="5" t="n">
        <f>IF(ISNUMBER(Inputs!$L$5),Inputs!$L$5-D480,0)</f>
        <v>40.35</v>
      </c>
      <c r="F480" s="5" t="n">
        <f>D$51*'Assumptions and Catalog'!$C$31*C480*(1-'Assumptions and Catalog'!$C$10)^(A480-1)</f>
        <v>0</v>
      </c>
      <c r="G480" s="5" t="n">
        <f>MIN(F480,D480*C480)</f>
        <v>0</v>
      </c>
      <c r="H480" s="5" t="n">
        <f>I480/('Assumptions and Catalog'!$C$11*'Assumptions and Catalog'!$C$12)</f>
        <v>0</v>
      </c>
      <c r="I480" s="5" t="n">
        <f>IF(K$15="Grid cycle",MIN(K$16,D480+E480,P480*'Assumptions and Catalog'!$C$12,D$57*(24-'Assumptions and Catalog'!$C$15),D$56*'Assumptions and Catalog'!$C$15*'Assumptions and Catalog'!$C$11*'Assumptions and Catalog'!$C$12)*C480,0)</f>
        <v>0</v>
      </c>
      <c r="J480" s="5" t="n">
        <f>MAX(F480-G480-0,0)</f>
        <v>0</v>
      </c>
      <c r="K480" s="5" t="n">
        <f>H480-I480</f>
        <v>0</v>
      </c>
      <c r="L480" s="5" t="n">
        <f>(D480+E480)*C480-G480-I480+H480+IF(D$52&gt;0,'Assumptions and Catalog'!$C$26*C480,0)</f>
        <v>2501.7</v>
      </c>
      <c r="M480" s="5" t="n">
        <f>IF(ISNUMBER(Inputs!$L$5),(IF(Inputs!$L$9="Actual flat rate",((D480+E480)*C480)*Inputs!$L$10,IF(Inputs!$C$9="Residential",IF(((D480+E480)*C480)&lt;='Assumptions and Catalog'!$C$50,((D480+E480)*C480)*'Assumptions and Catalog'!$H$50+'Assumptions and Catalog'!$E$50+'Assumptions and Catalog'!$F$50,IF(((D480+E480)*C480)&lt;='Assumptions and Catalog'!$C$51,((D480+E480)*C480)*'Assumptions and Catalog'!$H$51+'Assumptions and Catalog'!$E$51+'Assumptions and Catalog'!$F$51,IF(((D480+E480)*C480)&lt;='Assumptions and Catalog'!$C$52,((D480+E480)*C480)*'Assumptions and Catalog'!$H$52+'Assumptions and Catalog'!$E$52+'Assumptions and Catalog'!$F$52,IF(((D480+E480)*C480)&lt;='Assumptions and Catalog'!$C$53,((D480+E480)*C480)*'Assumptions and Catalog'!$H$53+'Assumptions and Catalog'!$E$53+'Assumptions and Catalog'!$F$53,IF(((D480+E480)*C480)&lt;='Assumptions and Catalog'!$C$54,((D480+E480)*C480)*'Assumptions and Catalog'!$H$54+'Assumptions and Catalog'!$E$54+'Assumptions and Catalog'!$F$54,IF(((D480+E480)*C480)&lt;='Assumptions and Catalog'!$C$55,((D480+E480)*C480)*'Assumptions and Catalog'!$H$55+'Assumptions and Catalog'!$E$55+'Assumptions and Catalog'!$F$55,IF(((D480+E480)*C480)&lt;='Assumptions and Catalog'!$C$56,((D480+E480)*C480)*'Assumptions and Catalog'!$H$56+'Assumptions and Catalog'!$E$56+'Assumptions and Catalog'!$F$56,IF(((D480+E480)*C480)&lt;='Assumptions and Catalog'!$C$57,((D480+E480)*C480)*'Assumptions and Catalog'!$H$57+'Assumptions and Catalog'!$E$57+'Assumptions and Catalog'!$F$57,"Out of range")))))))),IF(((D480+E480)*C480)&lt;='Assumptions and Catalog'!$C$60,((D480+E480)*C480)*'Assumptions and Catalog'!$H$60+'Assumptions and Catalog'!$E$60+'Assumptions and Catalog'!$F$60,IF(((D480+E480)*C480)&lt;='Assumptions and Catalog'!$C$61,((D480+E480)*C480)*'Assumptions and Catalog'!$H$61+'Assumptions and Catalog'!$E$61+'Assumptions and Catalog'!$F$61,IF(((D480+E480)*C480)&lt;='Assumptions and Catalog'!$C$62,((D480+E480)*C480)*'Assumptions and Catalog'!$H$62+'Assumptions and Catalog'!$E$62+'Assumptions and Catalog'!$F$62,IF(((D480+E480)*C480)&lt;='Assumptions and Catalog'!$C$63,((D480+E480)*C480)*'Assumptions and Catalog'!$H$63+'Assumptions and Catalog'!$E$63+'Assumptions and Catalog'!$F$63,IF(((D480+E480)*C480)&lt;='Assumptions and Catalog'!$C$64,((D480+E480)*C480)*'Assumptions and Catalog'!$H$64+'Assumptions and Catalog'!$E$64+'Assumptions and Catalog'!$F$64,IF(((D480+E480)*C480)&lt;='Assumptions and Catalog'!$C$65,((D480+E480)*C480)*'Assumptions and Catalog'!$H$65+'Assumptions and Catalog'!$E$65+'Assumptions and Catalog'!$F$65,"Out of range")))))))))*(1+'Assumptions and Catalog'!$C$8)^(A480-1),0)</f>
        <v>7094.794</v>
      </c>
      <c r="N480" s="5" t="n">
        <f>IF(ISNUMBER(Inputs!$L$5),(IF(Inputs!$L$9="Actual flat rate",L480*Inputs!$L$10,IF(Inputs!$C$9="Residential",IF(L480&lt;='Assumptions and Catalog'!$C$50,L480*'Assumptions and Catalog'!$H$50+'Assumptions and Catalog'!$E$50+'Assumptions and Catalog'!$F$50,IF(L480&lt;='Assumptions and Catalog'!$C$51,L480*'Assumptions and Catalog'!$H$51+'Assumptions and Catalog'!$E$51+'Assumptions and Catalog'!$F$51,IF(L480&lt;='Assumptions and Catalog'!$C$52,L480*'Assumptions and Catalog'!$H$52+'Assumptions and Catalog'!$E$52+'Assumptions and Catalog'!$F$52,IF(L480&lt;='Assumptions and Catalog'!$C$53,L480*'Assumptions and Catalog'!$H$53+'Assumptions and Catalog'!$E$53+'Assumptions and Catalog'!$F$53,IF(L480&lt;='Assumptions and Catalog'!$C$54,L480*'Assumptions and Catalog'!$H$54+'Assumptions and Catalog'!$E$54+'Assumptions and Catalog'!$F$54,IF(L480&lt;='Assumptions and Catalog'!$C$55,L480*'Assumptions and Catalog'!$H$55+'Assumptions and Catalog'!$E$55+'Assumptions and Catalog'!$F$55,IF(L480&lt;='Assumptions and Catalog'!$C$56,L480*'Assumptions and Catalog'!$H$56+'Assumptions and Catalog'!$E$56+'Assumptions and Catalog'!$F$56,IF(L480&lt;='Assumptions and Catalog'!$C$57,L480*'Assumptions and Catalog'!$H$57+'Assumptions and Catalog'!$E$57+'Assumptions and Catalog'!$F$57,"Out of range")))))))),IF(L480&lt;='Assumptions and Catalog'!$C$60,L480*'Assumptions and Catalog'!$H$60+'Assumptions and Catalog'!$E$60+'Assumptions and Catalog'!$F$60,IF(L480&lt;='Assumptions and Catalog'!$C$61,L480*'Assumptions and Catalog'!$H$61+'Assumptions and Catalog'!$E$61+'Assumptions and Catalog'!$F$61,IF(L480&lt;='Assumptions and Catalog'!$C$62,L480*'Assumptions and Catalog'!$H$62+'Assumptions and Catalog'!$E$62+'Assumptions and Catalog'!$F$62,IF(L480&lt;='Assumptions and Catalog'!$C$63,L480*'Assumptions and Catalog'!$H$63+'Assumptions and Catalog'!$E$63+'Assumptions and Catalog'!$F$63,IF(L480&lt;='Assumptions and Catalog'!$C$64,L480*'Assumptions and Catalog'!$H$64+'Assumptions and Catalog'!$E$64+'Assumptions and Catalog'!$F$64,IF(L480&lt;='Assumptions and Catalog'!$C$65,L480*'Assumptions and Catalog'!$H$65+'Assumptions and Catalog'!$E$65+'Assumptions and Catalog'!$F$65,"Out of range")))))))))*(1+'Assumptions and Catalog'!$C$8)^(A480-1),0)</f>
        <v>7094.794</v>
      </c>
      <c r="O480" s="5" t="n">
        <f>M480-N480</f>
        <v>0</v>
      </c>
      <c r="P480" s="5" t="n">
        <f>D$55*(1-K$14)*(1-'Assumptions and Catalog'!$C$23)^R480</f>
        <v>0</v>
      </c>
      <c r="Q480" s="5" t="n">
        <f>IF(ISNUMBER(Inputs!$L$5),(IF(Inputs!$L$9="Actual flat rate",((D480+E480)*C480-G480)*Inputs!$L$10,IF(Inputs!$C$9="Residential",IF(((D480+E480)*C480-G480)&lt;='Assumptions and Catalog'!$C$50,((D480+E480)*C480-G480)*'Assumptions and Catalog'!$H$50+'Assumptions and Catalog'!$E$50+'Assumptions and Catalog'!$F$50,IF(((D480+E480)*C480-G480)&lt;='Assumptions and Catalog'!$C$51,((D480+E480)*C480-G480)*'Assumptions and Catalog'!$H$51+'Assumptions and Catalog'!$E$51+'Assumptions and Catalog'!$F$51,IF(((D480+E480)*C480-G480)&lt;='Assumptions and Catalog'!$C$52,((D480+E480)*C480-G480)*'Assumptions and Catalog'!$H$52+'Assumptions and Catalog'!$E$52+'Assumptions and Catalog'!$F$52,IF(((D480+E480)*C480-G480)&lt;='Assumptions and Catalog'!$C$53,((D480+E480)*C480-G480)*'Assumptions and Catalog'!$H$53+'Assumptions and Catalog'!$E$53+'Assumptions and Catalog'!$F$53,IF(((D480+E480)*C480-G480)&lt;='Assumptions and Catalog'!$C$54,((D480+E480)*C480-G480)*'Assumptions and Catalog'!$H$54+'Assumptions and Catalog'!$E$54+'Assumptions and Catalog'!$F$54,IF(((D480+E480)*C480-G480)&lt;='Assumptions and Catalog'!$C$55,((D480+E480)*C480-G480)*'Assumptions and Catalog'!$H$55+'Assumptions and Catalog'!$E$55+'Assumptions and Catalog'!$F$55,IF(((D480+E480)*C480-G480)&lt;='Assumptions and Catalog'!$C$56,((D480+E480)*C480-G480)*'Assumptions and Catalog'!$H$56+'Assumptions and Catalog'!$E$56+'Assumptions and Catalog'!$F$56,IF(((D480+E480)*C480-G480)&lt;='Assumptions and Catalog'!$C$57,((D480+E480)*C480-G480)*'Assumptions and Catalog'!$H$57+'Assumptions and Catalog'!$E$57+'Assumptions and Catalog'!$F$57,"Out of range")))))))),IF(((D480+E480)*C480-G480)&lt;='Assumptions and Catalog'!$C$60,((D480+E480)*C480-G480)*'Assumptions and Catalog'!$H$60+'Assumptions and Catalog'!$E$60+'Assumptions and Catalog'!$F$60,IF(((D480+E480)*C480-G480)&lt;='Assumptions and Catalog'!$C$61,((D480+E480)*C480-G480)*'Assumptions and Catalog'!$H$61+'Assumptions and Catalog'!$E$61+'Assumptions and Catalog'!$F$61,IF(((D480+E480)*C480-G480)&lt;='Assumptions and Catalog'!$C$62,((D480+E480)*C480-G480)*'Assumptions and Catalog'!$H$62+'Assumptions and Catalog'!$E$62+'Assumptions and Catalog'!$F$62,IF(((D480+E480)*C480-G480)&lt;='Assumptions and Catalog'!$C$63,((D480+E480)*C480-G480)*'Assumptions and Catalog'!$H$63+'Assumptions and Catalog'!$E$63+'Assumptions and Catalog'!$F$63,IF(((D480+E480)*C480-G480)&lt;='Assumptions and Catalog'!$C$64,((D480+E480)*C480-G480)*'Assumptions and Catalog'!$H$64+'Assumptions and Catalog'!$E$64+'Assumptions and Catalog'!$F$64,IF(((D480+E480)*C480-G480)&lt;='Assumptions and Catalog'!$C$65,((D480+E480)*C480-G480)*'Assumptions and Catalog'!$H$65+'Assumptions and Catalog'!$E$65+'Assumptions and Catalog'!$F$65,"Out of range")))))))))*(1+'Assumptions and Catalog'!$C$8)^(A480-1),0)</f>
        <v>7094.794</v>
      </c>
      <c r="R480" s="5" t="n">
        <f>IF(AND('Assumptions and Catalog'!$C$19&gt;0,A480&gt;='Assumptions and Catalog'!$C$19),A480-'Assumptions and Catalog'!$C$19,A480-1)</f>
        <v>5</v>
      </c>
      <c r="S480" s="5" t="n">
        <f>F480+L480-(D480+E480)*C480-J480-K480-IF(D$52&gt;0,'Assumptions and Catalog'!$C$26*C480,0)</f>
        <v>0</v>
      </c>
      <c r="T480" s="5"/>
      <c r="U480" s="5"/>
    </row>
    <row r="481" ht="23.100000381469727" customHeight="1">
      <c r="A481" s="5" t="n">
        <v>6</v>
      </c>
      <c r="B481" s="5" t="n">
        <v>11</v>
      </c>
      <c r="C481" s="5" t="n">
        <f>DAY(DATE('Assumptions and Catalog'!$C$24+A481-1,B481+1,0))</f>
        <v>30</v>
      </c>
      <c r="D481" s="5" t="n">
        <f>IF(ISNUMBER(Inputs!$L$5),Inputs!$L$5*Inputs!$L$6,0)</f>
        <v>40.35</v>
      </c>
      <c r="E481" s="5" t="n">
        <f>IF(ISNUMBER(Inputs!$L$5),Inputs!$L$5-D481,0)</f>
        <v>40.35</v>
      </c>
      <c r="F481" s="5" t="n">
        <f>D$51*'Assumptions and Catalog'!$C$31*C481*(1-'Assumptions and Catalog'!$C$10)^(A481-1)</f>
        <v>0</v>
      </c>
      <c r="G481" s="5" t="n">
        <f>MIN(F481,D481*C481)</f>
        <v>0</v>
      </c>
      <c r="H481" s="5" t="n">
        <f>I481/('Assumptions and Catalog'!$C$11*'Assumptions and Catalog'!$C$12)</f>
        <v>0</v>
      </c>
      <c r="I481" s="5" t="n">
        <f>IF(K$15="Grid cycle",MIN(K$16,D481+E481,P481*'Assumptions and Catalog'!$C$12,D$57*(24-'Assumptions and Catalog'!$C$15),D$56*'Assumptions and Catalog'!$C$15*'Assumptions and Catalog'!$C$11*'Assumptions and Catalog'!$C$12)*C481,0)</f>
        <v>0</v>
      </c>
      <c r="J481" s="5" t="n">
        <f>MAX(F481-G481-0,0)</f>
        <v>0</v>
      </c>
      <c r="K481" s="5" t="n">
        <f>H481-I481</f>
        <v>0</v>
      </c>
      <c r="L481" s="5" t="n">
        <f>(D481+E481)*C481-G481-I481+H481+IF(D$52&gt;0,'Assumptions and Catalog'!$C$26*C481,0)</f>
        <v>2421</v>
      </c>
      <c r="M481" s="5" t="n">
        <f>IF(ISNUMBER(Inputs!$L$5),(IF(Inputs!$L$9="Actual flat rate",((D481+E481)*C481)*Inputs!$L$10,IF(Inputs!$C$9="Residential",IF(((D481+E481)*C481)&lt;='Assumptions and Catalog'!$C$50,((D481+E481)*C481)*'Assumptions and Catalog'!$H$50+'Assumptions and Catalog'!$E$50+'Assumptions and Catalog'!$F$50,IF(((D481+E481)*C481)&lt;='Assumptions and Catalog'!$C$51,((D481+E481)*C481)*'Assumptions and Catalog'!$H$51+'Assumptions and Catalog'!$E$51+'Assumptions and Catalog'!$F$51,IF(((D481+E481)*C481)&lt;='Assumptions and Catalog'!$C$52,((D481+E481)*C481)*'Assumptions and Catalog'!$H$52+'Assumptions and Catalog'!$E$52+'Assumptions and Catalog'!$F$52,IF(((D481+E481)*C481)&lt;='Assumptions and Catalog'!$C$53,((D481+E481)*C481)*'Assumptions and Catalog'!$H$53+'Assumptions and Catalog'!$E$53+'Assumptions and Catalog'!$F$53,IF(((D481+E481)*C481)&lt;='Assumptions and Catalog'!$C$54,((D481+E481)*C481)*'Assumptions and Catalog'!$H$54+'Assumptions and Catalog'!$E$54+'Assumptions and Catalog'!$F$54,IF(((D481+E481)*C481)&lt;='Assumptions and Catalog'!$C$55,((D481+E481)*C481)*'Assumptions and Catalog'!$H$55+'Assumptions and Catalog'!$E$55+'Assumptions and Catalog'!$F$55,IF(((D481+E481)*C481)&lt;='Assumptions and Catalog'!$C$56,((D481+E481)*C481)*'Assumptions and Catalog'!$H$56+'Assumptions and Catalog'!$E$56+'Assumptions and Catalog'!$F$56,IF(((D481+E481)*C481)&lt;='Assumptions and Catalog'!$C$57,((D481+E481)*C481)*'Assumptions and Catalog'!$H$57+'Assumptions and Catalog'!$E$57+'Assumptions and Catalog'!$F$57,"Out of range")))))))),IF(((D481+E481)*C481)&lt;='Assumptions and Catalog'!$C$60,((D481+E481)*C481)*'Assumptions and Catalog'!$H$60+'Assumptions and Catalog'!$E$60+'Assumptions and Catalog'!$F$60,IF(((D481+E481)*C481)&lt;='Assumptions and Catalog'!$C$61,((D481+E481)*C481)*'Assumptions and Catalog'!$H$61+'Assumptions and Catalog'!$E$61+'Assumptions and Catalog'!$F$61,IF(((D481+E481)*C481)&lt;='Assumptions and Catalog'!$C$62,((D481+E481)*C481)*'Assumptions and Catalog'!$H$62+'Assumptions and Catalog'!$E$62+'Assumptions and Catalog'!$F$62,IF(((D481+E481)*C481)&lt;='Assumptions and Catalog'!$C$63,((D481+E481)*C481)*'Assumptions and Catalog'!$H$63+'Assumptions and Catalog'!$E$63+'Assumptions and Catalog'!$F$63,IF(((D481+E481)*C481)&lt;='Assumptions and Catalog'!$C$64,((D481+E481)*C481)*'Assumptions and Catalog'!$H$64+'Assumptions and Catalog'!$E$64+'Assumptions and Catalog'!$F$64,IF(((D481+E481)*C481)&lt;='Assumptions and Catalog'!$C$65,((D481+E481)*C481)*'Assumptions and Catalog'!$H$65+'Assumptions and Catalog'!$E$65+'Assumptions and Catalog'!$F$65,"Out of range")))))))))*(1+'Assumptions and Catalog'!$C$8)^(A481-1),0)</f>
        <v>6867.22</v>
      </c>
      <c r="N481" s="5" t="n">
        <f>IF(ISNUMBER(Inputs!$L$5),(IF(Inputs!$L$9="Actual flat rate",L481*Inputs!$L$10,IF(Inputs!$C$9="Residential",IF(L481&lt;='Assumptions and Catalog'!$C$50,L481*'Assumptions and Catalog'!$H$50+'Assumptions and Catalog'!$E$50+'Assumptions and Catalog'!$F$50,IF(L481&lt;='Assumptions and Catalog'!$C$51,L481*'Assumptions and Catalog'!$H$51+'Assumptions and Catalog'!$E$51+'Assumptions and Catalog'!$F$51,IF(L481&lt;='Assumptions and Catalog'!$C$52,L481*'Assumptions and Catalog'!$H$52+'Assumptions and Catalog'!$E$52+'Assumptions and Catalog'!$F$52,IF(L481&lt;='Assumptions and Catalog'!$C$53,L481*'Assumptions and Catalog'!$H$53+'Assumptions and Catalog'!$E$53+'Assumptions and Catalog'!$F$53,IF(L481&lt;='Assumptions and Catalog'!$C$54,L481*'Assumptions and Catalog'!$H$54+'Assumptions and Catalog'!$E$54+'Assumptions and Catalog'!$F$54,IF(L481&lt;='Assumptions and Catalog'!$C$55,L481*'Assumptions and Catalog'!$H$55+'Assumptions and Catalog'!$E$55+'Assumptions and Catalog'!$F$55,IF(L481&lt;='Assumptions and Catalog'!$C$56,L481*'Assumptions and Catalog'!$H$56+'Assumptions and Catalog'!$E$56+'Assumptions and Catalog'!$F$56,IF(L481&lt;='Assumptions and Catalog'!$C$57,L481*'Assumptions and Catalog'!$H$57+'Assumptions and Catalog'!$E$57+'Assumptions and Catalog'!$F$57,"Out of range")))))))),IF(L481&lt;='Assumptions and Catalog'!$C$60,L481*'Assumptions and Catalog'!$H$60+'Assumptions and Catalog'!$E$60+'Assumptions and Catalog'!$F$60,IF(L481&lt;='Assumptions and Catalog'!$C$61,L481*'Assumptions and Catalog'!$H$61+'Assumptions and Catalog'!$E$61+'Assumptions and Catalog'!$F$61,IF(L481&lt;='Assumptions and Catalog'!$C$62,L481*'Assumptions and Catalog'!$H$62+'Assumptions and Catalog'!$E$62+'Assumptions and Catalog'!$F$62,IF(L481&lt;='Assumptions and Catalog'!$C$63,L481*'Assumptions and Catalog'!$H$63+'Assumptions and Catalog'!$E$63+'Assumptions and Catalog'!$F$63,IF(L481&lt;='Assumptions and Catalog'!$C$64,L481*'Assumptions and Catalog'!$H$64+'Assumptions and Catalog'!$E$64+'Assumptions and Catalog'!$F$64,IF(L481&lt;='Assumptions and Catalog'!$C$65,L481*'Assumptions and Catalog'!$H$65+'Assumptions and Catalog'!$E$65+'Assumptions and Catalog'!$F$65,"Out of range")))))))))*(1+'Assumptions and Catalog'!$C$8)^(A481-1),0)</f>
        <v>6867.22</v>
      </c>
      <c r="O481" s="5" t="n">
        <f>M481-N481</f>
        <v>0</v>
      </c>
      <c r="P481" s="5" t="n">
        <f>D$55*(1-K$14)*(1-'Assumptions and Catalog'!$C$23)^R481</f>
        <v>0</v>
      </c>
      <c r="Q481" s="5" t="n">
        <f>IF(ISNUMBER(Inputs!$L$5),(IF(Inputs!$L$9="Actual flat rate",((D481+E481)*C481-G481)*Inputs!$L$10,IF(Inputs!$C$9="Residential",IF(((D481+E481)*C481-G481)&lt;='Assumptions and Catalog'!$C$50,((D481+E481)*C481-G481)*'Assumptions and Catalog'!$H$50+'Assumptions and Catalog'!$E$50+'Assumptions and Catalog'!$F$50,IF(((D481+E481)*C481-G481)&lt;='Assumptions and Catalog'!$C$51,((D481+E481)*C481-G481)*'Assumptions and Catalog'!$H$51+'Assumptions and Catalog'!$E$51+'Assumptions and Catalog'!$F$51,IF(((D481+E481)*C481-G481)&lt;='Assumptions and Catalog'!$C$52,((D481+E481)*C481-G481)*'Assumptions and Catalog'!$H$52+'Assumptions and Catalog'!$E$52+'Assumptions and Catalog'!$F$52,IF(((D481+E481)*C481-G481)&lt;='Assumptions and Catalog'!$C$53,((D481+E481)*C481-G481)*'Assumptions and Catalog'!$H$53+'Assumptions and Catalog'!$E$53+'Assumptions and Catalog'!$F$53,IF(((D481+E481)*C481-G481)&lt;='Assumptions and Catalog'!$C$54,((D481+E481)*C481-G481)*'Assumptions and Catalog'!$H$54+'Assumptions and Catalog'!$E$54+'Assumptions and Catalog'!$F$54,IF(((D481+E481)*C481-G481)&lt;='Assumptions and Catalog'!$C$55,((D481+E481)*C481-G481)*'Assumptions and Catalog'!$H$55+'Assumptions and Catalog'!$E$55+'Assumptions and Catalog'!$F$55,IF(((D481+E481)*C481-G481)&lt;='Assumptions and Catalog'!$C$56,((D481+E481)*C481-G481)*'Assumptions and Catalog'!$H$56+'Assumptions and Catalog'!$E$56+'Assumptions and Catalog'!$F$56,IF(((D481+E481)*C481-G481)&lt;='Assumptions and Catalog'!$C$57,((D481+E481)*C481-G481)*'Assumptions and Catalog'!$H$57+'Assumptions and Catalog'!$E$57+'Assumptions and Catalog'!$F$57,"Out of range")))))))),IF(((D481+E481)*C481-G481)&lt;='Assumptions and Catalog'!$C$60,((D481+E481)*C481-G481)*'Assumptions and Catalog'!$H$60+'Assumptions and Catalog'!$E$60+'Assumptions and Catalog'!$F$60,IF(((D481+E481)*C481-G481)&lt;='Assumptions and Catalog'!$C$61,((D481+E481)*C481-G481)*'Assumptions and Catalog'!$H$61+'Assumptions and Catalog'!$E$61+'Assumptions and Catalog'!$F$61,IF(((D481+E481)*C481-G481)&lt;='Assumptions and Catalog'!$C$62,((D481+E481)*C481-G481)*'Assumptions and Catalog'!$H$62+'Assumptions and Catalog'!$E$62+'Assumptions and Catalog'!$F$62,IF(((D481+E481)*C481-G481)&lt;='Assumptions and Catalog'!$C$63,((D481+E481)*C481-G481)*'Assumptions and Catalog'!$H$63+'Assumptions and Catalog'!$E$63+'Assumptions and Catalog'!$F$63,IF(((D481+E481)*C481-G481)&lt;='Assumptions and Catalog'!$C$64,((D481+E481)*C481-G481)*'Assumptions and Catalog'!$H$64+'Assumptions and Catalog'!$E$64+'Assumptions and Catalog'!$F$64,IF(((D481+E481)*C481-G481)&lt;='Assumptions and Catalog'!$C$65,((D481+E481)*C481-G481)*'Assumptions and Catalog'!$H$65+'Assumptions and Catalog'!$E$65+'Assumptions and Catalog'!$F$65,"Out of range")))))))))*(1+'Assumptions and Catalog'!$C$8)^(A481-1),0)</f>
        <v>6867.22</v>
      </c>
      <c r="R481" s="5" t="n">
        <f>IF(AND('Assumptions and Catalog'!$C$19&gt;0,A481&gt;='Assumptions and Catalog'!$C$19),A481-'Assumptions and Catalog'!$C$19,A481-1)</f>
        <v>5</v>
      </c>
      <c r="S481" s="5" t="n">
        <f>F481+L481-(D481+E481)*C481-J481-K481-IF(D$52&gt;0,'Assumptions and Catalog'!$C$26*C481,0)</f>
        <v>0</v>
      </c>
      <c r="T481" s="5"/>
      <c r="U481" s="5"/>
    </row>
    <row r="482" ht="23.100000381469727" customHeight="1">
      <c r="A482" s="5" t="n">
        <v>6</v>
      </c>
      <c r="B482" s="5" t="n">
        <v>12</v>
      </c>
      <c r="C482" s="5" t="n">
        <f>DAY(DATE('Assumptions and Catalog'!$C$24+A482-1,B482+1,0))</f>
        <v>31</v>
      </c>
      <c r="D482" s="5" t="n">
        <f>IF(ISNUMBER(Inputs!$L$5),Inputs!$L$5*Inputs!$L$6,0)</f>
        <v>40.35</v>
      </c>
      <c r="E482" s="5" t="n">
        <f>IF(ISNUMBER(Inputs!$L$5),Inputs!$L$5-D482,0)</f>
        <v>40.35</v>
      </c>
      <c r="F482" s="5" t="n">
        <f>D$51*'Assumptions and Catalog'!$C$31*C482*(1-'Assumptions and Catalog'!$C$10)^(A482-1)</f>
        <v>0</v>
      </c>
      <c r="G482" s="5" t="n">
        <f>MIN(F482,D482*C482)</f>
        <v>0</v>
      </c>
      <c r="H482" s="5" t="n">
        <f>I482/('Assumptions and Catalog'!$C$11*'Assumptions and Catalog'!$C$12)</f>
        <v>0</v>
      </c>
      <c r="I482" s="5" t="n">
        <f>IF(K$15="Grid cycle",MIN(K$16,D482+E482,P482*'Assumptions and Catalog'!$C$12,D$57*(24-'Assumptions and Catalog'!$C$15),D$56*'Assumptions and Catalog'!$C$15*'Assumptions and Catalog'!$C$11*'Assumptions and Catalog'!$C$12)*C482,0)</f>
        <v>0</v>
      </c>
      <c r="J482" s="5" t="n">
        <f>MAX(F482-G482-0,0)</f>
        <v>0</v>
      </c>
      <c r="K482" s="5" t="n">
        <f>H482-I482</f>
        <v>0</v>
      </c>
      <c r="L482" s="5" t="n">
        <f>(D482+E482)*C482-G482-I482+H482+IF(D$52&gt;0,'Assumptions and Catalog'!$C$26*C482,0)</f>
        <v>2501.7</v>
      </c>
      <c r="M482" s="5" t="n">
        <f>IF(ISNUMBER(Inputs!$L$5),(IF(Inputs!$L$9="Actual flat rate",((D482+E482)*C482)*Inputs!$L$10,IF(Inputs!$C$9="Residential",IF(((D482+E482)*C482)&lt;='Assumptions and Catalog'!$C$50,((D482+E482)*C482)*'Assumptions and Catalog'!$H$50+'Assumptions and Catalog'!$E$50+'Assumptions and Catalog'!$F$50,IF(((D482+E482)*C482)&lt;='Assumptions and Catalog'!$C$51,((D482+E482)*C482)*'Assumptions and Catalog'!$H$51+'Assumptions and Catalog'!$E$51+'Assumptions and Catalog'!$F$51,IF(((D482+E482)*C482)&lt;='Assumptions and Catalog'!$C$52,((D482+E482)*C482)*'Assumptions and Catalog'!$H$52+'Assumptions and Catalog'!$E$52+'Assumptions and Catalog'!$F$52,IF(((D482+E482)*C482)&lt;='Assumptions and Catalog'!$C$53,((D482+E482)*C482)*'Assumptions and Catalog'!$H$53+'Assumptions and Catalog'!$E$53+'Assumptions and Catalog'!$F$53,IF(((D482+E482)*C482)&lt;='Assumptions and Catalog'!$C$54,((D482+E482)*C482)*'Assumptions and Catalog'!$H$54+'Assumptions and Catalog'!$E$54+'Assumptions and Catalog'!$F$54,IF(((D482+E482)*C482)&lt;='Assumptions and Catalog'!$C$55,((D482+E482)*C482)*'Assumptions and Catalog'!$H$55+'Assumptions and Catalog'!$E$55+'Assumptions and Catalog'!$F$55,IF(((D482+E482)*C482)&lt;='Assumptions and Catalog'!$C$56,((D482+E482)*C482)*'Assumptions and Catalog'!$H$56+'Assumptions and Catalog'!$E$56+'Assumptions and Catalog'!$F$56,IF(((D482+E482)*C482)&lt;='Assumptions and Catalog'!$C$57,((D482+E482)*C482)*'Assumptions and Catalog'!$H$57+'Assumptions and Catalog'!$E$57+'Assumptions and Catalog'!$F$57,"Out of range")))))))),IF(((D482+E482)*C482)&lt;='Assumptions and Catalog'!$C$60,((D482+E482)*C482)*'Assumptions and Catalog'!$H$60+'Assumptions and Catalog'!$E$60+'Assumptions and Catalog'!$F$60,IF(((D482+E482)*C482)&lt;='Assumptions and Catalog'!$C$61,((D482+E482)*C482)*'Assumptions and Catalog'!$H$61+'Assumptions and Catalog'!$E$61+'Assumptions and Catalog'!$F$61,IF(((D482+E482)*C482)&lt;='Assumptions and Catalog'!$C$62,((D482+E482)*C482)*'Assumptions and Catalog'!$H$62+'Assumptions and Catalog'!$E$62+'Assumptions and Catalog'!$F$62,IF(((D482+E482)*C482)&lt;='Assumptions and Catalog'!$C$63,((D482+E482)*C482)*'Assumptions and Catalog'!$H$63+'Assumptions and Catalog'!$E$63+'Assumptions and Catalog'!$F$63,IF(((D482+E482)*C482)&lt;='Assumptions and Catalog'!$C$64,((D482+E482)*C482)*'Assumptions and Catalog'!$H$64+'Assumptions and Catalog'!$E$64+'Assumptions and Catalog'!$F$64,IF(((D482+E482)*C482)&lt;='Assumptions and Catalog'!$C$65,((D482+E482)*C482)*'Assumptions and Catalog'!$H$65+'Assumptions and Catalog'!$E$65+'Assumptions and Catalog'!$F$65,"Out of range")))))))))*(1+'Assumptions and Catalog'!$C$8)^(A482-1),0)</f>
        <v>7094.794</v>
      </c>
      <c r="N482" s="5" t="n">
        <f>IF(ISNUMBER(Inputs!$L$5),(IF(Inputs!$L$9="Actual flat rate",L482*Inputs!$L$10,IF(Inputs!$C$9="Residential",IF(L482&lt;='Assumptions and Catalog'!$C$50,L482*'Assumptions and Catalog'!$H$50+'Assumptions and Catalog'!$E$50+'Assumptions and Catalog'!$F$50,IF(L482&lt;='Assumptions and Catalog'!$C$51,L482*'Assumptions and Catalog'!$H$51+'Assumptions and Catalog'!$E$51+'Assumptions and Catalog'!$F$51,IF(L482&lt;='Assumptions and Catalog'!$C$52,L482*'Assumptions and Catalog'!$H$52+'Assumptions and Catalog'!$E$52+'Assumptions and Catalog'!$F$52,IF(L482&lt;='Assumptions and Catalog'!$C$53,L482*'Assumptions and Catalog'!$H$53+'Assumptions and Catalog'!$E$53+'Assumptions and Catalog'!$F$53,IF(L482&lt;='Assumptions and Catalog'!$C$54,L482*'Assumptions and Catalog'!$H$54+'Assumptions and Catalog'!$E$54+'Assumptions and Catalog'!$F$54,IF(L482&lt;='Assumptions and Catalog'!$C$55,L482*'Assumptions and Catalog'!$H$55+'Assumptions and Catalog'!$E$55+'Assumptions and Catalog'!$F$55,IF(L482&lt;='Assumptions and Catalog'!$C$56,L482*'Assumptions and Catalog'!$H$56+'Assumptions and Catalog'!$E$56+'Assumptions and Catalog'!$F$56,IF(L482&lt;='Assumptions and Catalog'!$C$57,L482*'Assumptions and Catalog'!$H$57+'Assumptions and Catalog'!$E$57+'Assumptions and Catalog'!$F$57,"Out of range")))))))),IF(L482&lt;='Assumptions and Catalog'!$C$60,L482*'Assumptions and Catalog'!$H$60+'Assumptions and Catalog'!$E$60+'Assumptions and Catalog'!$F$60,IF(L482&lt;='Assumptions and Catalog'!$C$61,L482*'Assumptions and Catalog'!$H$61+'Assumptions and Catalog'!$E$61+'Assumptions and Catalog'!$F$61,IF(L482&lt;='Assumptions and Catalog'!$C$62,L482*'Assumptions and Catalog'!$H$62+'Assumptions and Catalog'!$E$62+'Assumptions and Catalog'!$F$62,IF(L482&lt;='Assumptions and Catalog'!$C$63,L482*'Assumptions and Catalog'!$H$63+'Assumptions and Catalog'!$E$63+'Assumptions and Catalog'!$F$63,IF(L482&lt;='Assumptions and Catalog'!$C$64,L482*'Assumptions and Catalog'!$H$64+'Assumptions and Catalog'!$E$64+'Assumptions and Catalog'!$F$64,IF(L482&lt;='Assumptions and Catalog'!$C$65,L482*'Assumptions and Catalog'!$H$65+'Assumptions and Catalog'!$E$65+'Assumptions and Catalog'!$F$65,"Out of range")))))))))*(1+'Assumptions and Catalog'!$C$8)^(A482-1),0)</f>
        <v>7094.794</v>
      </c>
      <c r="O482" s="5" t="n">
        <f>M482-N482</f>
        <v>0</v>
      </c>
      <c r="P482" s="5" t="n">
        <f>D$55*(1-K$14)*(1-'Assumptions and Catalog'!$C$23)^R482</f>
        <v>0</v>
      </c>
      <c r="Q482" s="5" t="n">
        <f>IF(ISNUMBER(Inputs!$L$5),(IF(Inputs!$L$9="Actual flat rate",((D482+E482)*C482-G482)*Inputs!$L$10,IF(Inputs!$C$9="Residential",IF(((D482+E482)*C482-G482)&lt;='Assumptions and Catalog'!$C$50,((D482+E482)*C482-G482)*'Assumptions and Catalog'!$H$50+'Assumptions and Catalog'!$E$50+'Assumptions and Catalog'!$F$50,IF(((D482+E482)*C482-G482)&lt;='Assumptions and Catalog'!$C$51,((D482+E482)*C482-G482)*'Assumptions and Catalog'!$H$51+'Assumptions and Catalog'!$E$51+'Assumptions and Catalog'!$F$51,IF(((D482+E482)*C482-G482)&lt;='Assumptions and Catalog'!$C$52,((D482+E482)*C482-G482)*'Assumptions and Catalog'!$H$52+'Assumptions and Catalog'!$E$52+'Assumptions and Catalog'!$F$52,IF(((D482+E482)*C482-G482)&lt;='Assumptions and Catalog'!$C$53,((D482+E482)*C482-G482)*'Assumptions and Catalog'!$H$53+'Assumptions and Catalog'!$E$53+'Assumptions and Catalog'!$F$53,IF(((D482+E482)*C482-G482)&lt;='Assumptions and Catalog'!$C$54,((D482+E482)*C482-G482)*'Assumptions and Catalog'!$H$54+'Assumptions and Catalog'!$E$54+'Assumptions and Catalog'!$F$54,IF(((D482+E482)*C482-G482)&lt;='Assumptions and Catalog'!$C$55,((D482+E482)*C482-G482)*'Assumptions and Catalog'!$H$55+'Assumptions and Catalog'!$E$55+'Assumptions and Catalog'!$F$55,IF(((D482+E482)*C482-G482)&lt;='Assumptions and Catalog'!$C$56,((D482+E482)*C482-G482)*'Assumptions and Catalog'!$H$56+'Assumptions and Catalog'!$E$56+'Assumptions and Catalog'!$F$56,IF(((D482+E482)*C482-G482)&lt;='Assumptions and Catalog'!$C$57,((D482+E482)*C482-G482)*'Assumptions and Catalog'!$H$57+'Assumptions and Catalog'!$E$57+'Assumptions and Catalog'!$F$57,"Out of range")))))))),IF(((D482+E482)*C482-G482)&lt;='Assumptions and Catalog'!$C$60,((D482+E482)*C482-G482)*'Assumptions and Catalog'!$H$60+'Assumptions and Catalog'!$E$60+'Assumptions and Catalog'!$F$60,IF(((D482+E482)*C482-G482)&lt;='Assumptions and Catalog'!$C$61,((D482+E482)*C482-G482)*'Assumptions and Catalog'!$H$61+'Assumptions and Catalog'!$E$61+'Assumptions and Catalog'!$F$61,IF(((D482+E482)*C482-G482)&lt;='Assumptions and Catalog'!$C$62,((D482+E482)*C482-G482)*'Assumptions and Catalog'!$H$62+'Assumptions and Catalog'!$E$62+'Assumptions and Catalog'!$F$62,IF(((D482+E482)*C482-G482)&lt;='Assumptions and Catalog'!$C$63,((D482+E482)*C482-G482)*'Assumptions and Catalog'!$H$63+'Assumptions and Catalog'!$E$63+'Assumptions and Catalog'!$F$63,IF(((D482+E482)*C482-G482)&lt;='Assumptions and Catalog'!$C$64,((D482+E482)*C482-G482)*'Assumptions and Catalog'!$H$64+'Assumptions and Catalog'!$E$64+'Assumptions and Catalog'!$F$64,IF(((D482+E482)*C482-G482)&lt;='Assumptions and Catalog'!$C$65,((D482+E482)*C482-G482)*'Assumptions and Catalog'!$H$65+'Assumptions and Catalog'!$E$65+'Assumptions and Catalog'!$F$65,"Out of range")))))))))*(1+'Assumptions and Catalog'!$C$8)^(A482-1),0)</f>
        <v>7094.794</v>
      </c>
      <c r="R482" s="5" t="n">
        <f>IF(AND('Assumptions and Catalog'!$C$19&gt;0,A482&gt;='Assumptions and Catalog'!$C$19),A482-'Assumptions and Catalog'!$C$19,A482-1)</f>
        <v>5</v>
      </c>
      <c r="S482" s="5" t="n">
        <f>F482+L482-(D482+E482)*C482-J482-K482-IF(D$52&gt;0,'Assumptions and Catalog'!$C$26*C482,0)</f>
        <v>0</v>
      </c>
      <c r="T482" s="5"/>
      <c r="U482" s="5"/>
    </row>
    <row r="483" ht="23.100000381469727" customHeight="1">
      <c r="A483" s="5" t="n">
        <v>7</v>
      </c>
      <c r="B483" s="5" t="n">
        <v>1</v>
      </c>
      <c r="C483" s="5" t="n">
        <f>DAY(DATE('Assumptions and Catalog'!$C$24+A483-1,B483+1,0))</f>
        <v>31</v>
      </c>
      <c r="D483" s="5" t="n">
        <f>IF(ISNUMBER(Inputs!$L$5),Inputs!$L$5*Inputs!$L$6,0)</f>
        <v>40.35</v>
      </c>
      <c r="E483" s="5" t="n">
        <f>IF(ISNUMBER(Inputs!$L$5),Inputs!$L$5-D483,0)</f>
        <v>40.35</v>
      </c>
      <c r="F483" s="5" t="n">
        <f>D$51*'Assumptions and Catalog'!$C$31*C483*(1-'Assumptions and Catalog'!$C$10)^(A483-1)</f>
        <v>0</v>
      </c>
      <c r="G483" s="5" t="n">
        <f>MIN(F483,D483*C483)</f>
        <v>0</v>
      </c>
      <c r="H483" s="5" t="n">
        <f>I483/('Assumptions and Catalog'!$C$11*'Assumptions and Catalog'!$C$12)</f>
        <v>0</v>
      </c>
      <c r="I483" s="5" t="n">
        <f>IF(K$15="Grid cycle",MIN(K$16,D483+E483,P483*'Assumptions and Catalog'!$C$12,D$57*(24-'Assumptions and Catalog'!$C$15),D$56*'Assumptions and Catalog'!$C$15*'Assumptions and Catalog'!$C$11*'Assumptions and Catalog'!$C$12)*C483,0)</f>
        <v>0</v>
      </c>
      <c r="J483" s="5" t="n">
        <f>MAX(F483-G483-0,0)</f>
        <v>0</v>
      </c>
      <c r="K483" s="5" t="n">
        <f>H483-I483</f>
        <v>0</v>
      </c>
      <c r="L483" s="5" t="n">
        <f>(D483+E483)*C483-G483-I483+H483+IF(D$52&gt;0,'Assumptions and Catalog'!$C$26*C483,0)</f>
        <v>2501.7</v>
      </c>
      <c r="M483" s="5" t="n">
        <f>IF(ISNUMBER(Inputs!$L$5),(IF(Inputs!$L$9="Actual flat rate",((D483+E483)*C483)*Inputs!$L$10,IF(Inputs!$C$9="Residential",IF(((D483+E483)*C483)&lt;='Assumptions and Catalog'!$C$50,((D483+E483)*C483)*'Assumptions and Catalog'!$H$50+'Assumptions and Catalog'!$E$50+'Assumptions and Catalog'!$F$50,IF(((D483+E483)*C483)&lt;='Assumptions and Catalog'!$C$51,((D483+E483)*C483)*'Assumptions and Catalog'!$H$51+'Assumptions and Catalog'!$E$51+'Assumptions and Catalog'!$F$51,IF(((D483+E483)*C483)&lt;='Assumptions and Catalog'!$C$52,((D483+E483)*C483)*'Assumptions and Catalog'!$H$52+'Assumptions and Catalog'!$E$52+'Assumptions and Catalog'!$F$52,IF(((D483+E483)*C483)&lt;='Assumptions and Catalog'!$C$53,((D483+E483)*C483)*'Assumptions and Catalog'!$H$53+'Assumptions and Catalog'!$E$53+'Assumptions and Catalog'!$F$53,IF(((D483+E483)*C483)&lt;='Assumptions and Catalog'!$C$54,((D483+E483)*C483)*'Assumptions and Catalog'!$H$54+'Assumptions and Catalog'!$E$54+'Assumptions and Catalog'!$F$54,IF(((D483+E483)*C483)&lt;='Assumptions and Catalog'!$C$55,((D483+E483)*C483)*'Assumptions and Catalog'!$H$55+'Assumptions and Catalog'!$E$55+'Assumptions and Catalog'!$F$55,IF(((D483+E483)*C483)&lt;='Assumptions and Catalog'!$C$56,((D483+E483)*C483)*'Assumptions and Catalog'!$H$56+'Assumptions and Catalog'!$E$56+'Assumptions and Catalog'!$F$56,IF(((D483+E483)*C483)&lt;='Assumptions and Catalog'!$C$57,((D483+E483)*C483)*'Assumptions and Catalog'!$H$57+'Assumptions and Catalog'!$E$57+'Assumptions and Catalog'!$F$57,"Out of range")))))))),IF(((D483+E483)*C483)&lt;='Assumptions and Catalog'!$C$60,((D483+E483)*C483)*'Assumptions and Catalog'!$H$60+'Assumptions and Catalog'!$E$60+'Assumptions and Catalog'!$F$60,IF(((D483+E483)*C483)&lt;='Assumptions and Catalog'!$C$61,((D483+E483)*C483)*'Assumptions and Catalog'!$H$61+'Assumptions and Catalog'!$E$61+'Assumptions and Catalog'!$F$61,IF(((D483+E483)*C483)&lt;='Assumptions and Catalog'!$C$62,((D483+E483)*C483)*'Assumptions and Catalog'!$H$62+'Assumptions and Catalog'!$E$62+'Assumptions and Catalog'!$F$62,IF(((D483+E483)*C483)&lt;='Assumptions and Catalog'!$C$63,((D483+E483)*C483)*'Assumptions and Catalog'!$H$63+'Assumptions and Catalog'!$E$63+'Assumptions and Catalog'!$F$63,IF(((D483+E483)*C483)&lt;='Assumptions and Catalog'!$C$64,((D483+E483)*C483)*'Assumptions and Catalog'!$H$64+'Assumptions and Catalog'!$E$64+'Assumptions and Catalog'!$F$64,IF(((D483+E483)*C483)&lt;='Assumptions and Catalog'!$C$65,((D483+E483)*C483)*'Assumptions and Catalog'!$H$65+'Assumptions and Catalog'!$E$65+'Assumptions and Catalog'!$F$65,"Out of range")))))))))*(1+'Assumptions and Catalog'!$C$8)^(A483-1),0)</f>
        <v>7094.794</v>
      </c>
      <c r="N483" s="5" t="n">
        <f>IF(ISNUMBER(Inputs!$L$5),(IF(Inputs!$L$9="Actual flat rate",L483*Inputs!$L$10,IF(Inputs!$C$9="Residential",IF(L483&lt;='Assumptions and Catalog'!$C$50,L483*'Assumptions and Catalog'!$H$50+'Assumptions and Catalog'!$E$50+'Assumptions and Catalog'!$F$50,IF(L483&lt;='Assumptions and Catalog'!$C$51,L483*'Assumptions and Catalog'!$H$51+'Assumptions and Catalog'!$E$51+'Assumptions and Catalog'!$F$51,IF(L483&lt;='Assumptions and Catalog'!$C$52,L483*'Assumptions and Catalog'!$H$52+'Assumptions and Catalog'!$E$52+'Assumptions and Catalog'!$F$52,IF(L483&lt;='Assumptions and Catalog'!$C$53,L483*'Assumptions and Catalog'!$H$53+'Assumptions and Catalog'!$E$53+'Assumptions and Catalog'!$F$53,IF(L483&lt;='Assumptions and Catalog'!$C$54,L483*'Assumptions and Catalog'!$H$54+'Assumptions and Catalog'!$E$54+'Assumptions and Catalog'!$F$54,IF(L483&lt;='Assumptions and Catalog'!$C$55,L483*'Assumptions and Catalog'!$H$55+'Assumptions and Catalog'!$E$55+'Assumptions and Catalog'!$F$55,IF(L483&lt;='Assumptions and Catalog'!$C$56,L483*'Assumptions and Catalog'!$H$56+'Assumptions and Catalog'!$E$56+'Assumptions and Catalog'!$F$56,IF(L483&lt;='Assumptions and Catalog'!$C$57,L483*'Assumptions and Catalog'!$H$57+'Assumptions and Catalog'!$E$57+'Assumptions and Catalog'!$F$57,"Out of range")))))))),IF(L483&lt;='Assumptions and Catalog'!$C$60,L483*'Assumptions and Catalog'!$H$60+'Assumptions and Catalog'!$E$60+'Assumptions and Catalog'!$F$60,IF(L483&lt;='Assumptions and Catalog'!$C$61,L483*'Assumptions and Catalog'!$H$61+'Assumptions and Catalog'!$E$61+'Assumptions and Catalog'!$F$61,IF(L483&lt;='Assumptions and Catalog'!$C$62,L483*'Assumptions and Catalog'!$H$62+'Assumptions and Catalog'!$E$62+'Assumptions and Catalog'!$F$62,IF(L483&lt;='Assumptions and Catalog'!$C$63,L483*'Assumptions and Catalog'!$H$63+'Assumptions and Catalog'!$E$63+'Assumptions and Catalog'!$F$63,IF(L483&lt;='Assumptions and Catalog'!$C$64,L483*'Assumptions and Catalog'!$H$64+'Assumptions and Catalog'!$E$64+'Assumptions and Catalog'!$F$64,IF(L483&lt;='Assumptions and Catalog'!$C$65,L483*'Assumptions and Catalog'!$H$65+'Assumptions and Catalog'!$E$65+'Assumptions and Catalog'!$F$65,"Out of range")))))))))*(1+'Assumptions and Catalog'!$C$8)^(A483-1),0)</f>
        <v>7094.794</v>
      </c>
      <c r="O483" s="5" t="n">
        <f>M483-N483</f>
        <v>0</v>
      </c>
      <c r="P483" s="5" t="n">
        <f>D$55*(1-K$14)*(1-'Assumptions and Catalog'!$C$23)^R483</f>
        <v>0</v>
      </c>
      <c r="Q483" s="5" t="n">
        <f>IF(ISNUMBER(Inputs!$L$5),(IF(Inputs!$L$9="Actual flat rate",((D483+E483)*C483-G483)*Inputs!$L$10,IF(Inputs!$C$9="Residential",IF(((D483+E483)*C483-G483)&lt;='Assumptions and Catalog'!$C$50,((D483+E483)*C483-G483)*'Assumptions and Catalog'!$H$50+'Assumptions and Catalog'!$E$50+'Assumptions and Catalog'!$F$50,IF(((D483+E483)*C483-G483)&lt;='Assumptions and Catalog'!$C$51,((D483+E483)*C483-G483)*'Assumptions and Catalog'!$H$51+'Assumptions and Catalog'!$E$51+'Assumptions and Catalog'!$F$51,IF(((D483+E483)*C483-G483)&lt;='Assumptions and Catalog'!$C$52,((D483+E483)*C483-G483)*'Assumptions and Catalog'!$H$52+'Assumptions and Catalog'!$E$52+'Assumptions and Catalog'!$F$52,IF(((D483+E483)*C483-G483)&lt;='Assumptions and Catalog'!$C$53,((D483+E483)*C483-G483)*'Assumptions and Catalog'!$H$53+'Assumptions and Catalog'!$E$53+'Assumptions and Catalog'!$F$53,IF(((D483+E483)*C483-G483)&lt;='Assumptions and Catalog'!$C$54,((D483+E483)*C483-G483)*'Assumptions and Catalog'!$H$54+'Assumptions and Catalog'!$E$54+'Assumptions and Catalog'!$F$54,IF(((D483+E483)*C483-G483)&lt;='Assumptions and Catalog'!$C$55,((D483+E483)*C483-G483)*'Assumptions and Catalog'!$H$55+'Assumptions and Catalog'!$E$55+'Assumptions and Catalog'!$F$55,IF(((D483+E483)*C483-G483)&lt;='Assumptions and Catalog'!$C$56,((D483+E483)*C483-G483)*'Assumptions and Catalog'!$H$56+'Assumptions and Catalog'!$E$56+'Assumptions and Catalog'!$F$56,IF(((D483+E483)*C483-G483)&lt;='Assumptions and Catalog'!$C$57,((D483+E483)*C483-G483)*'Assumptions and Catalog'!$H$57+'Assumptions and Catalog'!$E$57+'Assumptions and Catalog'!$F$57,"Out of range")))))))),IF(((D483+E483)*C483-G483)&lt;='Assumptions and Catalog'!$C$60,((D483+E483)*C483-G483)*'Assumptions and Catalog'!$H$60+'Assumptions and Catalog'!$E$60+'Assumptions and Catalog'!$F$60,IF(((D483+E483)*C483-G483)&lt;='Assumptions and Catalog'!$C$61,((D483+E483)*C483-G483)*'Assumptions and Catalog'!$H$61+'Assumptions and Catalog'!$E$61+'Assumptions and Catalog'!$F$61,IF(((D483+E483)*C483-G483)&lt;='Assumptions and Catalog'!$C$62,((D483+E483)*C483-G483)*'Assumptions and Catalog'!$H$62+'Assumptions and Catalog'!$E$62+'Assumptions and Catalog'!$F$62,IF(((D483+E483)*C483-G483)&lt;='Assumptions and Catalog'!$C$63,((D483+E483)*C483-G483)*'Assumptions and Catalog'!$H$63+'Assumptions and Catalog'!$E$63+'Assumptions and Catalog'!$F$63,IF(((D483+E483)*C483-G483)&lt;='Assumptions and Catalog'!$C$64,((D483+E483)*C483-G483)*'Assumptions and Catalog'!$H$64+'Assumptions and Catalog'!$E$64+'Assumptions and Catalog'!$F$64,IF(((D483+E483)*C483-G483)&lt;='Assumptions and Catalog'!$C$65,((D483+E483)*C483-G483)*'Assumptions and Catalog'!$H$65+'Assumptions and Catalog'!$E$65+'Assumptions and Catalog'!$F$65,"Out of range")))))))))*(1+'Assumptions and Catalog'!$C$8)^(A483-1),0)</f>
        <v>7094.794</v>
      </c>
      <c r="R483" s="5" t="n">
        <f>IF(AND('Assumptions and Catalog'!$C$19&gt;0,A483&gt;='Assumptions and Catalog'!$C$19),A483-'Assumptions and Catalog'!$C$19,A483-1)</f>
        <v>6</v>
      </c>
      <c r="S483" s="5" t="n">
        <f>F483+L483-(D483+E483)*C483-J483-K483-IF(D$52&gt;0,'Assumptions and Catalog'!$C$26*C483,0)</f>
        <v>0</v>
      </c>
      <c r="T483" s="5"/>
      <c r="U483" s="5"/>
    </row>
    <row r="484" ht="23.100000381469727" customHeight="1">
      <c r="A484" s="5" t="n">
        <v>7</v>
      </c>
      <c r="B484" s="5" t="n">
        <v>2</v>
      </c>
      <c r="C484" s="5" t="n">
        <f>DAY(DATE('Assumptions and Catalog'!$C$24+A484-1,B484+1,0))</f>
        <v>28</v>
      </c>
      <c r="D484" s="5" t="n">
        <f>IF(ISNUMBER(Inputs!$L$5),Inputs!$L$5*Inputs!$L$6,0)</f>
        <v>40.35</v>
      </c>
      <c r="E484" s="5" t="n">
        <f>IF(ISNUMBER(Inputs!$L$5),Inputs!$L$5-D484,0)</f>
        <v>40.35</v>
      </c>
      <c r="F484" s="5" t="n">
        <f>D$51*'Assumptions and Catalog'!$C$31*C484*(1-'Assumptions and Catalog'!$C$10)^(A484-1)</f>
        <v>0</v>
      </c>
      <c r="G484" s="5" t="n">
        <f>MIN(F484,D484*C484)</f>
        <v>0</v>
      </c>
      <c r="H484" s="5" t="n">
        <f>I484/('Assumptions and Catalog'!$C$11*'Assumptions and Catalog'!$C$12)</f>
        <v>0</v>
      </c>
      <c r="I484" s="5" t="n">
        <f>IF(K$15="Grid cycle",MIN(K$16,D484+E484,P484*'Assumptions and Catalog'!$C$12,D$57*(24-'Assumptions and Catalog'!$C$15),D$56*'Assumptions and Catalog'!$C$15*'Assumptions and Catalog'!$C$11*'Assumptions and Catalog'!$C$12)*C484,0)</f>
        <v>0</v>
      </c>
      <c r="J484" s="5" t="n">
        <f>MAX(F484-G484-0,0)</f>
        <v>0</v>
      </c>
      <c r="K484" s="5" t="n">
        <f>H484-I484</f>
        <v>0</v>
      </c>
      <c r="L484" s="5" t="n">
        <f>(D484+E484)*C484-G484-I484+H484+IF(D$52&gt;0,'Assumptions and Catalog'!$C$26*C484,0)</f>
        <v>2259.6</v>
      </c>
      <c r="M484" s="5" t="n">
        <f>IF(ISNUMBER(Inputs!$L$5),(IF(Inputs!$L$9="Actual flat rate",((D484+E484)*C484)*Inputs!$L$10,IF(Inputs!$C$9="Residential",IF(((D484+E484)*C484)&lt;='Assumptions and Catalog'!$C$50,((D484+E484)*C484)*'Assumptions and Catalog'!$H$50+'Assumptions and Catalog'!$E$50+'Assumptions and Catalog'!$F$50,IF(((D484+E484)*C484)&lt;='Assumptions and Catalog'!$C$51,((D484+E484)*C484)*'Assumptions and Catalog'!$H$51+'Assumptions and Catalog'!$E$51+'Assumptions and Catalog'!$F$51,IF(((D484+E484)*C484)&lt;='Assumptions and Catalog'!$C$52,((D484+E484)*C484)*'Assumptions and Catalog'!$H$52+'Assumptions and Catalog'!$E$52+'Assumptions and Catalog'!$F$52,IF(((D484+E484)*C484)&lt;='Assumptions and Catalog'!$C$53,((D484+E484)*C484)*'Assumptions and Catalog'!$H$53+'Assumptions and Catalog'!$E$53+'Assumptions and Catalog'!$F$53,IF(((D484+E484)*C484)&lt;='Assumptions and Catalog'!$C$54,((D484+E484)*C484)*'Assumptions and Catalog'!$H$54+'Assumptions and Catalog'!$E$54+'Assumptions and Catalog'!$F$54,IF(((D484+E484)*C484)&lt;='Assumptions and Catalog'!$C$55,((D484+E484)*C484)*'Assumptions and Catalog'!$H$55+'Assumptions and Catalog'!$E$55+'Assumptions and Catalog'!$F$55,IF(((D484+E484)*C484)&lt;='Assumptions and Catalog'!$C$56,((D484+E484)*C484)*'Assumptions and Catalog'!$H$56+'Assumptions and Catalog'!$E$56+'Assumptions and Catalog'!$F$56,IF(((D484+E484)*C484)&lt;='Assumptions and Catalog'!$C$57,((D484+E484)*C484)*'Assumptions and Catalog'!$H$57+'Assumptions and Catalog'!$E$57+'Assumptions and Catalog'!$F$57,"Out of range")))))))),IF(((D484+E484)*C484)&lt;='Assumptions and Catalog'!$C$60,((D484+E484)*C484)*'Assumptions and Catalog'!$H$60+'Assumptions and Catalog'!$E$60+'Assumptions and Catalog'!$F$60,IF(((D484+E484)*C484)&lt;='Assumptions and Catalog'!$C$61,((D484+E484)*C484)*'Assumptions and Catalog'!$H$61+'Assumptions and Catalog'!$E$61+'Assumptions and Catalog'!$F$61,IF(((D484+E484)*C484)&lt;='Assumptions and Catalog'!$C$62,((D484+E484)*C484)*'Assumptions and Catalog'!$H$62+'Assumptions and Catalog'!$E$62+'Assumptions and Catalog'!$F$62,IF(((D484+E484)*C484)&lt;='Assumptions and Catalog'!$C$63,((D484+E484)*C484)*'Assumptions and Catalog'!$H$63+'Assumptions and Catalog'!$E$63+'Assumptions and Catalog'!$F$63,IF(((D484+E484)*C484)&lt;='Assumptions and Catalog'!$C$64,((D484+E484)*C484)*'Assumptions and Catalog'!$H$64+'Assumptions and Catalog'!$E$64+'Assumptions and Catalog'!$F$64,IF(((D484+E484)*C484)&lt;='Assumptions and Catalog'!$C$65,((D484+E484)*C484)*'Assumptions and Catalog'!$H$65+'Assumptions and Catalog'!$E$65+'Assumptions and Catalog'!$F$65,"Out of range")))))))))*(1+'Assumptions and Catalog'!$C$8)^(A484-1),0)</f>
        <v>6412.072</v>
      </c>
      <c r="N484" s="5" t="n">
        <f>IF(ISNUMBER(Inputs!$L$5),(IF(Inputs!$L$9="Actual flat rate",L484*Inputs!$L$10,IF(Inputs!$C$9="Residential",IF(L484&lt;='Assumptions and Catalog'!$C$50,L484*'Assumptions and Catalog'!$H$50+'Assumptions and Catalog'!$E$50+'Assumptions and Catalog'!$F$50,IF(L484&lt;='Assumptions and Catalog'!$C$51,L484*'Assumptions and Catalog'!$H$51+'Assumptions and Catalog'!$E$51+'Assumptions and Catalog'!$F$51,IF(L484&lt;='Assumptions and Catalog'!$C$52,L484*'Assumptions and Catalog'!$H$52+'Assumptions and Catalog'!$E$52+'Assumptions and Catalog'!$F$52,IF(L484&lt;='Assumptions and Catalog'!$C$53,L484*'Assumptions and Catalog'!$H$53+'Assumptions and Catalog'!$E$53+'Assumptions and Catalog'!$F$53,IF(L484&lt;='Assumptions and Catalog'!$C$54,L484*'Assumptions and Catalog'!$H$54+'Assumptions and Catalog'!$E$54+'Assumptions and Catalog'!$F$54,IF(L484&lt;='Assumptions and Catalog'!$C$55,L484*'Assumptions and Catalog'!$H$55+'Assumptions and Catalog'!$E$55+'Assumptions and Catalog'!$F$55,IF(L484&lt;='Assumptions and Catalog'!$C$56,L484*'Assumptions and Catalog'!$H$56+'Assumptions and Catalog'!$E$56+'Assumptions and Catalog'!$F$56,IF(L484&lt;='Assumptions and Catalog'!$C$57,L484*'Assumptions and Catalog'!$H$57+'Assumptions and Catalog'!$E$57+'Assumptions and Catalog'!$F$57,"Out of range")))))))),IF(L484&lt;='Assumptions and Catalog'!$C$60,L484*'Assumptions and Catalog'!$H$60+'Assumptions and Catalog'!$E$60+'Assumptions and Catalog'!$F$60,IF(L484&lt;='Assumptions and Catalog'!$C$61,L484*'Assumptions and Catalog'!$H$61+'Assumptions and Catalog'!$E$61+'Assumptions and Catalog'!$F$61,IF(L484&lt;='Assumptions and Catalog'!$C$62,L484*'Assumptions and Catalog'!$H$62+'Assumptions and Catalog'!$E$62+'Assumptions and Catalog'!$F$62,IF(L484&lt;='Assumptions and Catalog'!$C$63,L484*'Assumptions and Catalog'!$H$63+'Assumptions and Catalog'!$E$63+'Assumptions and Catalog'!$F$63,IF(L484&lt;='Assumptions and Catalog'!$C$64,L484*'Assumptions and Catalog'!$H$64+'Assumptions and Catalog'!$E$64+'Assumptions and Catalog'!$F$64,IF(L484&lt;='Assumptions and Catalog'!$C$65,L484*'Assumptions and Catalog'!$H$65+'Assumptions and Catalog'!$E$65+'Assumptions and Catalog'!$F$65,"Out of range")))))))))*(1+'Assumptions and Catalog'!$C$8)^(A484-1),0)</f>
        <v>6412.072</v>
      </c>
      <c r="O484" s="5" t="n">
        <f>M484-N484</f>
        <v>0</v>
      </c>
      <c r="P484" s="5" t="n">
        <f>D$55*(1-K$14)*(1-'Assumptions and Catalog'!$C$23)^R484</f>
        <v>0</v>
      </c>
      <c r="Q484" s="5" t="n">
        <f>IF(ISNUMBER(Inputs!$L$5),(IF(Inputs!$L$9="Actual flat rate",((D484+E484)*C484-G484)*Inputs!$L$10,IF(Inputs!$C$9="Residential",IF(((D484+E484)*C484-G484)&lt;='Assumptions and Catalog'!$C$50,((D484+E484)*C484-G484)*'Assumptions and Catalog'!$H$50+'Assumptions and Catalog'!$E$50+'Assumptions and Catalog'!$F$50,IF(((D484+E484)*C484-G484)&lt;='Assumptions and Catalog'!$C$51,((D484+E484)*C484-G484)*'Assumptions and Catalog'!$H$51+'Assumptions and Catalog'!$E$51+'Assumptions and Catalog'!$F$51,IF(((D484+E484)*C484-G484)&lt;='Assumptions and Catalog'!$C$52,((D484+E484)*C484-G484)*'Assumptions and Catalog'!$H$52+'Assumptions and Catalog'!$E$52+'Assumptions and Catalog'!$F$52,IF(((D484+E484)*C484-G484)&lt;='Assumptions and Catalog'!$C$53,((D484+E484)*C484-G484)*'Assumptions and Catalog'!$H$53+'Assumptions and Catalog'!$E$53+'Assumptions and Catalog'!$F$53,IF(((D484+E484)*C484-G484)&lt;='Assumptions and Catalog'!$C$54,((D484+E484)*C484-G484)*'Assumptions and Catalog'!$H$54+'Assumptions and Catalog'!$E$54+'Assumptions and Catalog'!$F$54,IF(((D484+E484)*C484-G484)&lt;='Assumptions and Catalog'!$C$55,((D484+E484)*C484-G484)*'Assumptions and Catalog'!$H$55+'Assumptions and Catalog'!$E$55+'Assumptions and Catalog'!$F$55,IF(((D484+E484)*C484-G484)&lt;='Assumptions and Catalog'!$C$56,((D484+E484)*C484-G484)*'Assumptions and Catalog'!$H$56+'Assumptions and Catalog'!$E$56+'Assumptions and Catalog'!$F$56,IF(((D484+E484)*C484-G484)&lt;='Assumptions and Catalog'!$C$57,((D484+E484)*C484-G484)*'Assumptions and Catalog'!$H$57+'Assumptions and Catalog'!$E$57+'Assumptions and Catalog'!$F$57,"Out of range")))))))),IF(((D484+E484)*C484-G484)&lt;='Assumptions and Catalog'!$C$60,((D484+E484)*C484-G484)*'Assumptions and Catalog'!$H$60+'Assumptions and Catalog'!$E$60+'Assumptions and Catalog'!$F$60,IF(((D484+E484)*C484-G484)&lt;='Assumptions and Catalog'!$C$61,((D484+E484)*C484-G484)*'Assumptions and Catalog'!$H$61+'Assumptions and Catalog'!$E$61+'Assumptions and Catalog'!$F$61,IF(((D484+E484)*C484-G484)&lt;='Assumptions and Catalog'!$C$62,((D484+E484)*C484-G484)*'Assumptions and Catalog'!$H$62+'Assumptions and Catalog'!$E$62+'Assumptions and Catalog'!$F$62,IF(((D484+E484)*C484-G484)&lt;='Assumptions and Catalog'!$C$63,((D484+E484)*C484-G484)*'Assumptions and Catalog'!$H$63+'Assumptions and Catalog'!$E$63+'Assumptions and Catalog'!$F$63,IF(((D484+E484)*C484-G484)&lt;='Assumptions and Catalog'!$C$64,((D484+E484)*C484-G484)*'Assumptions and Catalog'!$H$64+'Assumptions and Catalog'!$E$64+'Assumptions and Catalog'!$F$64,IF(((D484+E484)*C484-G484)&lt;='Assumptions and Catalog'!$C$65,((D484+E484)*C484-G484)*'Assumptions and Catalog'!$H$65+'Assumptions and Catalog'!$E$65+'Assumptions and Catalog'!$F$65,"Out of range")))))))))*(1+'Assumptions and Catalog'!$C$8)^(A484-1),0)</f>
        <v>6412.072</v>
      </c>
      <c r="R484" s="5" t="n">
        <f>IF(AND('Assumptions and Catalog'!$C$19&gt;0,A484&gt;='Assumptions and Catalog'!$C$19),A484-'Assumptions and Catalog'!$C$19,A484-1)</f>
        <v>6</v>
      </c>
      <c r="S484" s="5" t="n">
        <f>F484+L484-(D484+E484)*C484-J484-K484-IF(D$52&gt;0,'Assumptions and Catalog'!$C$26*C484,0)</f>
        <v>0</v>
      </c>
      <c r="T484" s="5"/>
      <c r="U484" s="5"/>
    </row>
    <row r="485" ht="23.100000381469727" customHeight="1">
      <c r="A485" s="5" t="n">
        <v>7</v>
      </c>
      <c r="B485" s="5" t="n">
        <v>3</v>
      </c>
      <c r="C485" s="5" t="n">
        <f>DAY(DATE('Assumptions and Catalog'!$C$24+A485-1,B485+1,0))</f>
        <v>31</v>
      </c>
      <c r="D485" s="5" t="n">
        <f>IF(ISNUMBER(Inputs!$L$5),Inputs!$L$5*Inputs!$L$6,0)</f>
        <v>40.35</v>
      </c>
      <c r="E485" s="5" t="n">
        <f>IF(ISNUMBER(Inputs!$L$5),Inputs!$L$5-D485,0)</f>
        <v>40.35</v>
      </c>
      <c r="F485" s="5" t="n">
        <f>D$51*'Assumptions and Catalog'!$C$31*C485*(1-'Assumptions and Catalog'!$C$10)^(A485-1)</f>
        <v>0</v>
      </c>
      <c r="G485" s="5" t="n">
        <f>MIN(F485,D485*C485)</f>
        <v>0</v>
      </c>
      <c r="H485" s="5" t="n">
        <f>I485/('Assumptions and Catalog'!$C$11*'Assumptions and Catalog'!$C$12)</f>
        <v>0</v>
      </c>
      <c r="I485" s="5" t="n">
        <f>IF(K$15="Grid cycle",MIN(K$16,D485+E485,P485*'Assumptions and Catalog'!$C$12,D$57*(24-'Assumptions and Catalog'!$C$15),D$56*'Assumptions and Catalog'!$C$15*'Assumptions and Catalog'!$C$11*'Assumptions and Catalog'!$C$12)*C485,0)</f>
        <v>0</v>
      </c>
      <c r="J485" s="5" t="n">
        <f>MAX(F485-G485-0,0)</f>
        <v>0</v>
      </c>
      <c r="K485" s="5" t="n">
        <f>H485-I485</f>
        <v>0</v>
      </c>
      <c r="L485" s="5" t="n">
        <f>(D485+E485)*C485-G485-I485+H485+IF(D$52&gt;0,'Assumptions and Catalog'!$C$26*C485,0)</f>
        <v>2501.7</v>
      </c>
      <c r="M485" s="5" t="n">
        <f>IF(ISNUMBER(Inputs!$L$5),(IF(Inputs!$L$9="Actual flat rate",((D485+E485)*C485)*Inputs!$L$10,IF(Inputs!$C$9="Residential",IF(((D485+E485)*C485)&lt;='Assumptions and Catalog'!$C$50,((D485+E485)*C485)*'Assumptions and Catalog'!$H$50+'Assumptions and Catalog'!$E$50+'Assumptions and Catalog'!$F$50,IF(((D485+E485)*C485)&lt;='Assumptions and Catalog'!$C$51,((D485+E485)*C485)*'Assumptions and Catalog'!$H$51+'Assumptions and Catalog'!$E$51+'Assumptions and Catalog'!$F$51,IF(((D485+E485)*C485)&lt;='Assumptions and Catalog'!$C$52,((D485+E485)*C485)*'Assumptions and Catalog'!$H$52+'Assumptions and Catalog'!$E$52+'Assumptions and Catalog'!$F$52,IF(((D485+E485)*C485)&lt;='Assumptions and Catalog'!$C$53,((D485+E485)*C485)*'Assumptions and Catalog'!$H$53+'Assumptions and Catalog'!$E$53+'Assumptions and Catalog'!$F$53,IF(((D485+E485)*C485)&lt;='Assumptions and Catalog'!$C$54,((D485+E485)*C485)*'Assumptions and Catalog'!$H$54+'Assumptions and Catalog'!$E$54+'Assumptions and Catalog'!$F$54,IF(((D485+E485)*C485)&lt;='Assumptions and Catalog'!$C$55,((D485+E485)*C485)*'Assumptions and Catalog'!$H$55+'Assumptions and Catalog'!$E$55+'Assumptions and Catalog'!$F$55,IF(((D485+E485)*C485)&lt;='Assumptions and Catalog'!$C$56,((D485+E485)*C485)*'Assumptions and Catalog'!$H$56+'Assumptions and Catalog'!$E$56+'Assumptions and Catalog'!$F$56,IF(((D485+E485)*C485)&lt;='Assumptions and Catalog'!$C$57,((D485+E485)*C485)*'Assumptions and Catalog'!$H$57+'Assumptions and Catalog'!$E$57+'Assumptions and Catalog'!$F$57,"Out of range")))))))),IF(((D485+E485)*C485)&lt;='Assumptions and Catalog'!$C$60,((D485+E485)*C485)*'Assumptions and Catalog'!$H$60+'Assumptions and Catalog'!$E$60+'Assumptions and Catalog'!$F$60,IF(((D485+E485)*C485)&lt;='Assumptions and Catalog'!$C$61,((D485+E485)*C485)*'Assumptions and Catalog'!$H$61+'Assumptions and Catalog'!$E$61+'Assumptions and Catalog'!$F$61,IF(((D485+E485)*C485)&lt;='Assumptions and Catalog'!$C$62,((D485+E485)*C485)*'Assumptions and Catalog'!$H$62+'Assumptions and Catalog'!$E$62+'Assumptions and Catalog'!$F$62,IF(((D485+E485)*C485)&lt;='Assumptions and Catalog'!$C$63,((D485+E485)*C485)*'Assumptions and Catalog'!$H$63+'Assumptions and Catalog'!$E$63+'Assumptions and Catalog'!$F$63,IF(((D485+E485)*C485)&lt;='Assumptions and Catalog'!$C$64,((D485+E485)*C485)*'Assumptions and Catalog'!$H$64+'Assumptions and Catalog'!$E$64+'Assumptions and Catalog'!$F$64,IF(((D485+E485)*C485)&lt;='Assumptions and Catalog'!$C$65,((D485+E485)*C485)*'Assumptions and Catalog'!$H$65+'Assumptions and Catalog'!$E$65+'Assumptions and Catalog'!$F$65,"Out of range")))))))))*(1+'Assumptions and Catalog'!$C$8)^(A485-1),0)</f>
        <v>7094.794</v>
      </c>
      <c r="N485" s="5" t="n">
        <f>IF(ISNUMBER(Inputs!$L$5),(IF(Inputs!$L$9="Actual flat rate",L485*Inputs!$L$10,IF(Inputs!$C$9="Residential",IF(L485&lt;='Assumptions and Catalog'!$C$50,L485*'Assumptions and Catalog'!$H$50+'Assumptions and Catalog'!$E$50+'Assumptions and Catalog'!$F$50,IF(L485&lt;='Assumptions and Catalog'!$C$51,L485*'Assumptions and Catalog'!$H$51+'Assumptions and Catalog'!$E$51+'Assumptions and Catalog'!$F$51,IF(L485&lt;='Assumptions and Catalog'!$C$52,L485*'Assumptions and Catalog'!$H$52+'Assumptions and Catalog'!$E$52+'Assumptions and Catalog'!$F$52,IF(L485&lt;='Assumptions and Catalog'!$C$53,L485*'Assumptions and Catalog'!$H$53+'Assumptions and Catalog'!$E$53+'Assumptions and Catalog'!$F$53,IF(L485&lt;='Assumptions and Catalog'!$C$54,L485*'Assumptions and Catalog'!$H$54+'Assumptions and Catalog'!$E$54+'Assumptions and Catalog'!$F$54,IF(L485&lt;='Assumptions and Catalog'!$C$55,L485*'Assumptions and Catalog'!$H$55+'Assumptions and Catalog'!$E$55+'Assumptions and Catalog'!$F$55,IF(L485&lt;='Assumptions and Catalog'!$C$56,L485*'Assumptions and Catalog'!$H$56+'Assumptions and Catalog'!$E$56+'Assumptions and Catalog'!$F$56,IF(L485&lt;='Assumptions and Catalog'!$C$57,L485*'Assumptions and Catalog'!$H$57+'Assumptions and Catalog'!$E$57+'Assumptions and Catalog'!$F$57,"Out of range")))))))),IF(L485&lt;='Assumptions and Catalog'!$C$60,L485*'Assumptions and Catalog'!$H$60+'Assumptions and Catalog'!$E$60+'Assumptions and Catalog'!$F$60,IF(L485&lt;='Assumptions and Catalog'!$C$61,L485*'Assumptions and Catalog'!$H$61+'Assumptions and Catalog'!$E$61+'Assumptions and Catalog'!$F$61,IF(L485&lt;='Assumptions and Catalog'!$C$62,L485*'Assumptions and Catalog'!$H$62+'Assumptions and Catalog'!$E$62+'Assumptions and Catalog'!$F$62,IF(L485&lt;='Assumptions and Catalog'!$C$63,L485*'Assumptions and Catalog'!$H$63+'Assumptions and Catalog'!$E$63+'Assumptions and Catalog'!$F$63,IF(L485&lt;='Assumptions and Catalog'!$C$64,L485*'Assumptions and Catalog'!$H$64+'Assumptions and Catalog'!$E$64+'Assumptions and Catalog'!$F$64,IF(L485&lt;='Assumptions and Catalog'!$C$65,L485*'Assumptions and Catalog'!$H$65+'Assumptions and Catalog'!$E$65+'Assumptions and Catalog'!$F$65,"Out of range")))))))))*(1+'Assumptions and Catalog'!$C$8)^(A485-1),0)</f>
        <v>7094.794</v>
      </c>
      <c r="O485" s="5" t="n">
        <f>M485-N485</f>
        <v>0</v>
      </c>
      <c r="P485" s="5" t="n">
        <f>D$55*(1-K$14)*(1-'Assumptions and Catalog'!$C$23)^R485</f>
        <v>0</v>
      </c>
      <c r="Q485" s="5" t="n">
        <f>IF(ISNUMBER(Inputs!$L$5),(IF(Inputs!$L$9="Actual flat rate",((D485+E485)*C485-G485)*Inputs!$L$10,IF(Inputs!$C$9="Residential",IF(((D485+E485)*C485-G485)&lt;='Assumptions and Catalog'!$C$50,((D485+E485)*C485-G485)*'Assumptions and Catalog'!$H$50+'Assumptions and Catalog'!$E$50+'Assumptions and Catalog'!$F$50,IF(((D485+E485)*C485-G485)&lt;='Assumptions and Catalog'!$C$51,((D485+E485)*C485-G485)*'Assumptions and Catalog'!$H$51+'Assumptions and Catalog'!$E$51+'Assumptions and Catalog'!$F$51,IF(((D485+E485)*C485-G485)&lt;='Assumptions and Catalog'!$C$52,((D485+E485)*C485-G485)*'Assumptions and Catalog'!$H$52+'Assumptions and Catalog'!$E$52+'Assumptions and Catalog'!$F$52,IF(((D485+E485)*C485-G485)&lt;='Assumptions and Catalog'!$C$53,((D485+E485)*C485-G485)*'Assumptions and Catalog'!$H$53+'Assumptions and Catalog'!$E$53+'Assumptions and Catalog'!$F$53,IF(((D485+E485)*C485-G485)&lt;='Assumptions and Catalog'!$C$54,((D485+E485)*C485-G485)*'Assumptions and Catalog'!$H$54+'Assumptions and Catalog'!$E$54+'Assumptions and Catalog'!$F$54,IF(((D485+E485)*C485-G485)&lt;='Assumptions and Catalog'!$C$55,((D485+E485)*C485-G485)*'Assumptions and Catalog'!$H$55+'Assumptions and Catalog'!$E$55+'Assumptions and Catalog'!$F$55,IF(((D485+E485)*C485-G485)&lt;='Assumptions and Catalog'!$C$56,((D485+E485)*C485-G485)*'Assumptions and Catalog'!$H$56+'Assumptions and Catalog'!$E$56+'Assumptions and Catalog'!$F$56,IF(((D485+E485)*C485-G485)&lt;='Assumptions and Catalog'!$C$57,((D485+E485)*C485-G485)*'Assumptions and Catalog'!$H$57+'Assumptions and Catalog'!$E$57+'Assumptions and Catalog'!$F$57,"Out of range")))))))),IF(((D485+E485)*C485-G485)&lt;='Assumptions and Catalog'!$C$60,((D485+E485)*C485-G485)*'Assumptions and Catalog'!$H$60+'Assumptions and Catalog'!$E$60+'Assumptions and Catalog'!$F$60,IF(((D485+E485)*C485-G485)&lt;='Assumptions and Catalog'!$C$61,((D485+E485)*C485-G485)*'Assumptions and Catalog'!$H$61+'Assumptions and Catalog'!$E$61+'Assumptions and Catalog'!$F$61,IF(((D485+E485)*C485-G485)&lt;='Assumptions and Catalog'!$C$62,((D485+E485)*C485-G485)*'Assumptions and Catalog'!$H$62+'Assumptions and Catalog'!$E$62+'Assumptions and Catalog'!$F$62,IF(((D485+E485)*C485-G485)&lt;='Assumptions and Catalog'!$C$63,((D485+E485)*C485-G485)*'Assumptions and Catalog'!$H$63+'Assumptions and Catalog'!$E$63+'Assumptions and Catalog'!$F$63,IF(((D485+E485)*C485-G485)&lt;='Assumptions and Catalog'!$C$64,((D485+E485)*C485-G485)*'Assumptions and Catalog'!$H$64+'Assumptions and Catalog'!$E$64+'Assumptions and Catalog'!$F$64,IF(((D485+E485)*C485-G485)&lt;='Assumptions and Catalog'!$C$65,((D485+E485)*C485-G485)*'Assumptions and Catalog'!$H$65+'Assumptions and Catalog'!$E$65+'Assumptions and Catalog'!$F$65,"Out of range")))))))))*(1+'Assumptions and Catalog'!$C$8)^(A485-1),0)</f>
        <v>7094.794</v>
      </c>
      <c r="R485" s="5" t="n">
        <f>IF(AND('Assumptions and Catalog'!$C$19&gt;0,A485&gt;='Assumptions and Catalog'!$C$19),A485-'Assumptions and Catalog'!$C$19,A485-1)</f>
        <v>6</v>
      </c>
      <c r="S485" s="5" t="n">
        <f>F485+L485-(D485+E485)*C485-J485-K485-IF(D$52&gt;0,'Assumptions and Catalog'!$C$26*C485,0)</f>
        <v>0</v>
      </c>
      <c r="T485" s="5"/>
      <c r="U485" s="5"/>
    </row>
    <row r="486" ht="23.100000381469727" customHeight="1">
      <c r="A486" s="5" t="n">
        <v>7</v>
      </c>
      <c r="B486" s="5" t="n">
        <v>4</v>
      </c>
      <c r="C486" s="5" t="n">
        <f>DAY(DATE('Assumptions and Catalog'!$C$24+A486-1,B486+1,0))</f>
        <v>30</v>
      </c>
      <c r="D486" s="5" t="n">
        <f>IF(ISNUMBER(Inputs!$L$5),Inputs!$L$5*Inputs!$L$6,0)</f>
        <v>40.35</v>
      </c>
      <c r="E486" s="5" t="n">
        <f>IF(ISNUMBER(Inputs!$L$5),Inputs!$L$5-D486,0)</f>
        <v>40.35</v>
      </c>
      <c r="F486" s="5" t="n">
        <f>D$51*'Assumptions and Catalog'!$C$31*C486*(1-'Assumptions and Catalog'!$C$10)^(A486-1)</f>
        <v>0</v>
      </c>
      <c r="G486" s="5" t="n">
        <f>MIN(F486,D486*C486)</f>
        <v>0</v>
      </c>
      <c r="H486" s="5" t="n">
        <f>I486/('Assumptions and Catalog'!$C$11*'Assumptions and Catalog'!$C$12)</f>
        <v>0</v>
      </c>
      <c r="I486" s="5" t="n">
        <f>IF(K$15="Grid cycle",MIN(K$16,D486+E486,P486*'Assumptions and Catalog'!$C$12,D$57*(24-'Assumptions and Catalog'!$C$15),D$56*'Assumptions and Catalog'!$C$15*'Assumptions and Catalog'!$C$11*'Assumptions and Catalog'!$C$12)*C486,0)</f>
        <v>0</v>
      </c>
      <c r="J486" s="5" t="n">
        <f>MAX(F486-G486-0,0)</f>
        <v>0</v>
      </c>
      <c r="K486" s="5" t="n">
        <f>H486-I486</f>
        <v>0</v>
      </c>
      <c r="L486" s="5" t="n">
        <f>(D486+E486)*C486-G486-I486+H486+IF(D$52&gt;0,'Assumptions and Catalog'!$C$26*C486,0)</f>
        <v>2421</v>
      </c>
      <c r="M486" s="5" t="n">
        <f>IF(ISNUMBER(Inputs!$L$5),(IF(Inputs!$L$9="Actual flat rate",((D486+E486)*C486)*Inputs!$L$10,IF(Inputs!$C$9="Residential",IF(((D486+E486)*C486)&lt;='Assumptions and Catalog'!$C$50,((D486+E486)*C486)*'Assumptions and Catalog'!$H$50+'Assumptions and Catalog'!$E$50+'Assumptions and Catalog'!$F$50,IF(((D486+E486)*C486)&lt;='Assumptions and Catalog'!$C$51,((D486+E486)*C486)*'Assumptions and Catalog'!$H$51+'Assumptions and Catalog'!$E$51+'Assumptions and Catalog'!$F$51,IF(((D486+E486)*C486)&lt;='Assumptions and Catalog'!$C$52,((D486+E486)*C486)*'Assumptions and Catalog'!$H$52+'Assumptions and Catalog'!$E$52+'Assumptions and Catalog'!$F$52,IF(((D486+E486)*C486)&lt;='Assumptions and Catalog'!$C$53,((D486+E486)*C486)*'Assumptions and Catalog'!$H$53+'Assumptions and Catalog'!$E$53+'Assumptions and Catalog'!$F$53,IF(((D486+E486)*C486)&lt;='Assumptions and Catalog'!$C$54,((D486+E486)*C486)*'Assumptions and Catalog'!$H$54+'Assumptions and Catalog'!$E$54+'Assumptions and Catalog'!$F$54,IF(((D486+E486)*C486)&lt;='Assumptions and Catalog'!$C$55,((D486+E486)*C486)*'Assumptions and Catalog'!$H$55+'Assumptions and Catalog'!$E$55+'Assumptions and Catalog'!$F$55,IF(((D486+E486)*C486)&lt;='Assumptions and Catalog'!$C$56,((D486+E486)*C486)*'Assumptions and Catalog'!$H$56+'Assumptions and Catalog'!$E$56+'Assumptions and Catalog'!$F$56,IF(((D486+E486)*C486)&lt;='Assumptions and Catalog'!$C$57,((D486+E486)*C486)*'Assumptions and Catalog'!$H$57+'Assumptions and Catalog'!$E$57+'Assumptions and Catalog'!$F$57,"Out of range")))))))),IF(((D486+E486)*C486)&lt;='Assumptions and Catalog'!$C$60,((D486+E486)*C486)*'Assumptions and Catalog'!$H$60+'Assumptions and Catalog'!$E$60+'Assumptions and Catalog'!$F$60,IF(((D486+E486)*C486)&lt;='Assumptions and Catalog'!$C$61,((D486+E486)*C486)*'Assumptions and Catalog'!$H$61+'Assumptions and Catalog'!$E$61+'Assumptions and Catalog'!$F$61,IF(((D486+E486)*C486)&lt;='Assumptions and Catalog'!$C$62,((D486+E486)*C486)*'Assumptions and Catalog'!$H$62+'Assumptions and Catalog'!$E$62+'Assumptions and Catalog'!$F$62,IF(((D486+E486)*C486)&lt;='Assumptions and Catalog'!$C$63,((D486+E486)*C486)*'Assumptions and Catalog'!$H$63+'Assumptions and Catalog'!$E$63+'Assumptions and Catalog'!$F$63,IF(((D486+E486)*C486)&lt;='Assumptions and Catalog'!$C$64,((D486+E486)*C486)*'Assumptions and Catalog'!$H$64+'Assumptions and Catalog'!$E$64+'Assumptions and Catalog'!$F$64,IF(((D486+E486)*C486)&lt;='Assumptions and Catalog'!$C$65,((D486+E486)*C486)*'Assumptions and Catalog'!$H$65+'Assumptions and Catalog'!$E$65+'Assumptions and Catalog'!$F$65,"Out of range")))))))))*(1+'Assumptions and Catalog'!$C$8)^(A486-1),0)</f>
        <v>6867.22</v>
      </c>
      <c r="N486" s="5" t="n">
        <f>IF(ISNUMBER(Inputs!$L$5),(IF(Inputs!$L$9="Actual flat rate",L486*Inputs!$L$10,IF(Inputs!$C$9="Residential",IF(L486&lt;='Assumptions and Catalog'!$C$50,L486*'Assumptions and Catalog'!$H$50+'Assumptions and Catalog'!$E$50+'Assumptions and Catalog'!$F$50,IF(L486&lt;='Assumptions and Catalog'!$C$51,L486*'Assumptions and Catalog'!$H$51+'Assumptions and Catalog'!$E$51+'Assumptions and Catalog'!$F$51,IF(L486&lt;='Assumptions and Catalog'!$C$52,L486*'Assumptions and Catalog'!$H$52+'Assumptions and Catalog'!$E$52+'Assumptions and Catalog'!$F$52,IF(L486&lt;='Assumptions and Catalog'!$C$53,L486*'Assumptions and Catalog'!$H$53+'Assumptions and Catalog'!$E$53+'Assumptions and Catalog'!$F$53,IF(L486&lt;='Assumptions and Catalog'!$C$54,L486*'Assumptions and Catalog'!$H$54+'Assumptions and Catalog'!$E$54+'Assumptions and Catalog'!$F$54,IF(L486&lt;='Assumptions and Catalog'!$C$55,L486*'Assumptions and Catalog'!$H$55+'Assumptions and Catalog'!$E$55+'Assumptions and Catalog'!$F$55,IF(L486&lt;='Assumptions and Catalog'!$C$56,L486*'Assumptions and Catalog'!$H$56+'Assumptions and Catalog'!$E$56+'Assumptions and Catalog'!$F$56,IF(L486&lt;='Assumptions and Catalog'!$C$57,L486*'Assumptions and Catalog'!$H$57+'Assumptions and Catalog'!$E$57+'Assumptions and Catalog'!$F$57,"Out of range")))))))),IF(L486&lt;='Assumptions and Catalog'!$C$60,L486*'Assumptions and Catalog'!$H$60+'Assumptions and Catalog'!$E$60+'Assumptions and Catalog'!$F$60,IF(L486&lt;='Assumptions and Catalog'!$C$61,L486*'Assumptions and Catalog'!$H$61+'Assumptions and Catalog'!$E$61+'Assumptions and Catalog'!$F$61,IF(L486&lt;='Assumptions and Catalog'!$C$62,L486*'Assumptions and Catalog'!$H$62+'Assumptions and Catalog'!$E$62+'Assumptions and Catalog'!$F$62,IF(L486&lt;='Assumptions and Catalog'!$C$63,L486*'Assumptions and Catalog'!$H$63+'Assumptions and Catalog'!$E$63+'Assumptions and Catalog'!$F$63,IF(L486&lt;='Assumptions and Catalog'!$C$64,L486*'Assumptions and Catalog'!$H$64+'Assumptions and Catalog'!$E$64+'Assumptions and Catalog'!$F$64,IF(L486&lt;='Assumptions and Catalog'!$C$65,L486*'Assumptions and Catalog'!$H$65+'Assumptions and Catalog'!$E$65+'Assumptions and Catalog'!$F$65,"Out of range")))))))))*(1+'Assumptions and Catalog'!$C$8)^(A486-1),0)</f>
        <v>6867.22</v>
      </c>
      <c r="O486" s="5" t="n">
        <f>M486-N486</f>
        <v>0</v>
      </c>
      <c r="P486" s="5" t="n">
        <f>D$55*(1-K$14)*(1-'Assumptions and Catalog'!$C$23)^R486</f>
        <v>0</v>
      </c>
      <c r="Q486" s="5" t="n">
        <f>IF(ISNUMBER(Inputs!$L$5),(IF(Inputs!$L$9="Actual flat rate",((D486+E486)*C486-G486)*Inputs!$L$10,IF(Inputs!$C$9="Residential",IF(((D486+E486)*C486-G486)&lt;='Assumptions and Catalog'!$C$50,((D486+E486)*C486-G486)*'Assumptions and Catalog'!$H$50+'Assumptions and Catalog'!$E$50+'Assumptions and Catalog'!$F$50,IF(((D486+E486)*C486-G486)&lt;='Assumptions and Catalog'!$C$51,((D486+E486)*C486-G486)*'Assumptions and Catalog'!$H$51+'Assumptions and Catalog'!$E$51+'Assumptions and Catalog'!$F$51,IF(((D486+E486)*C486-G486)&lt;='Assumptions and Catalog'!$C$52,((D486+E486)*C486-G486)*'Assumptions and Catalog'!$H$52+'Assumptions and Catalog'!$E$52+'Assumptions and Catalog'!$F$52,IF(((D486+E486)*C486-G486)&lt;='Assumptions and Catalog'!$C$53,((D486+E486)*C486-G486)*'Assumptions and Catalog'!$H$53+'Assumptions and Catalog'!$E$53+'Assumptions and Catalog'!$F$53,IF(((D486+E486)*C486-G486)&lt;='Assumptions and Catalog'!$C$54,((D486+E486)*C486-G486)*'Assumptions and Catalog'!$H$54+'Assumptions and Catalog'!$E$54+'Assumptions and Catalog'!$F$54,IF(((D486+E486)*C486-G486)&lt;='Assumptions and Catalog'!$C$55,((D486+E486)*C486-G486)*'Assumptions and Catalog'!$H$55+'Assumptions and Catalog'!$E$55+'Assumptions and Catalog'!$F$55,IF(((D486+E486)*C486-G486)&lt;='Assumptions and Catalog'!$C$56,((D486+E486)*C486-G486)*'Assumptions and Catalog'!$H$56+'Assumptions and Catalog'!$E$56+'Assumptions and Catalog'!$F$56,IF(((D486+E486)*C486-G486)&lt;='Assumptions and Catalog'!$C$57,((D486+E486)*C486-G486)*'Assumptions and Catalog'!$H$57+'Assumptions and Catalog'!$E$57+'Assumptions and Catalog'!$F$57,"Out of range")))))))),IF(((D486+E486)*C486-G486)&lt;='Assumptions and Catalog'!$C$60,((D486+E486)*C486-G486)*'Assumptions and Catalog'!$H$60+'Assumptions and Catalog'!$E$60+'Assumptions and Catalog'!$F$60,IF(((D486+E486)*C486-G486)&lt;='Assumptions and Catalog'!$C$61,((D486+E486)*C486-G486)*'Assumptions and Catalog'!$H$61+'Assumptions and Catalog'!$E$61+'Assumptions and Catalog'!$F$61,IF(((D486+E486)*C486-G486)&lt;='Assumptions and Catalog'!$C$62,((D486+E486)*C486-G486)*'Assumptions and Catalog'!$H$62+'Assumptions and Catalog'!$E$62+'Assumptions and Catalog'!$F$62,IF(((D486+E486)*C486-G486)&lt;='Assumptions and Catalog'!$C$63,((D486+E486)*C486-G486)*'Assumptions and Catalog'!$H$63+'Assumptions and Catalog'!$E$63+'Assumptions and Catalog'!$F$63,IF(((D486+E486)*C486-G486)&lt;='Assumptions and Catalog'!$C$64,((D486+E486)*C486-G486)*'Assumptions and Catalog'!$H$64+'Assumptions and Catalog'!$E$64+'Assumptions and Catalog'!$F$64,IF(((D486+E486)*C486-G486)&lt;='Assumptions and Catalog'!$C$65,((D486+E486)*C486-G486)*'Assumptions and Catalog'!$H$65+'Assumptions and Catalog'!$E$65+'Assumptions and Catalog'!$F$65,"Out of range")))))))))*(1+'Assumptions and Catalog'!$C$8)^(A486-1),0)</f>
        <v>6867.22</v>
      </c>
      <c r="R486" s="5" t="n">
        <f>IF(AND('Assumptions and Catalog'!$C$19&gt;0,A486&gt;='Assumptions and Catalog'!$C$19),A486-'Assumptions and Catalog'!$C$19,A486-1)</f>
        <v>6</v>
      </c>
      <c r="S486" s="5" t="n">
        <f>F486+L486-(D486+E486)*C486-J486-K486-IF(D$52&gt;0,'Assumptions and Catalog'!$C$26*C486,0)</f>
        <v>0</v>
      </c>
      <c r="T486" s="5"/>
      <c r="U486" s="5"/>
    </row>
    <row r="487" ht="23.100000381469727" customHeight="1">
      <c r="A487" s="5" t="n">
        <v>7</v>
      </c>
      <c r="B487" s="5" t="n">
        <v>5</v>
      </c>
      <c r="C487" s="5" t="n">
        <f>DAY(DATE('Assumptions and Catalog'!$C$24+A487-1,B487+1,0))</f>
        <v>31</v>
      </c>
      <c r="D487" s="5" t="n">
        <f>IF(ISNUMBER(Inputs!$L$5),Inputs!$L$5*Inputs!$L$6,0)</f>
        <v>40.35</v>
      </c>
      <c r="E487" s="5" t="n">
        <f>IF(ISNUMBER(Inputs!$L$5),Inputs!$L$5-D487,0)</f>
        <v>40.35</v>
      </c>
      <c r="F487" s="5" t="n">
        <f>D$51*'Assumptions and Catalog'!$C$31*C487*(1-'Assumptions and Catalog'!$C$10)^(A487-1)</f>
        <v>0</v>
      </c>
      <c r="G487" s="5" t="n">
        <f>MIN(F487,D487*C487)</f>
        <v>0</v>
      </c>
      <c r="H487" s="5" t="n">
        <f>I487/('Assumptions and Catalog'!$C$11*'Assumptions and Catalog'!$C$12)</f>
        <v>0</v>
      </c>
      <c r="I487" s="5" t="n">
        <f>IF(K$15="Grid cycle",MIN(K$16,D487+E487,P487*'Assumptions and Catalog'!$C$12,D$57*(24-'Assumptions and Catalog'!$C$15),D$56*'Assumptions and Catalog'!$C$15*'Assumptions and Catalog'!$C$11*'Assumptions and Catalog'!$C$12)*C487,0)</f>
        <v>0</v>
      </c>
      <c r="J487" s="5" t="n">
        <f>MAX(F487-G487-0,0)</f>
        <v>0</v>
      </c>
      <c r="K487" s="5" t="n">
        <f>H487-I487</f>
        <v>0</v>
      </c>
      <c r="L487" s="5" t="n">
        <f>(D487+E487)*C487-G487-I487+H487+IF(D$52&gt;0,'Assumptions and Catalog'!$C$26*C487,0)</f>
        <v>2501.7</v>
      </c>
      <c r="M487" s="5" t="n">
        <f>IF(ISNUMBER(Inputs!$L$5),(IF(Inputs!$L$9="Actual flat rate",((D487+E487)*C487)*Inputs!$L$10,IF(Inputs!$C$9="Residential",IF(((D487+E487)*C487)&lt;='Assumptions and Catalog'!$C$50,((D487+E487)*C487)*'Assumptions and Catalog'!$H$50+'Assumptions and Catalog'!$E$50+'Assumptions and Catalog'!$F$50,IF(((D487+E487)*C487)&lt;='Assumptions and Catalog'!$C$51,((D487+E487)*C487)*'Assumptions and Catalog'!$H$51+'Assumptions and Catalog'!$E$51+'Assumptions and Catalog'!$F$51,IF(((D487+E487)*C487)&lt;='Assumptions and Catalog'!$C$52,((D487+E487)*C487)*'Assumptions and Catalog'!$H$52+'Assumptions and Catalog'!$E$52+'Assumptions and Catalog'!$F$52,IF(((D487+E487)*C487)&lt;='Assumptions and Catalog'!$C$53,((D487+E487)*C487)*'Assumptions and Catalog'!$H$53+'Assumptions and Catalog'!$E$53+'Assumptions and Catalog'!$F$53,IF(((D487+E487)*C487)&lt;='Assumptions and Catalog'!$C$54,((D487+E487)*C487)*'Assumptions and Catalog'!$H$54+'Assumptions and Catalog'!$E$54+'Assumptions and Catalog'!$F$54,IF(((D487+E487)*C487)&lt;='Assumptions and Catalog'!$C$55,((D487+E487)*C487)*'Assumptions and Catalog'!$H$55+'Assumptions and Catalog'!$E$55+'Assumptions and Catalog'!$F$55,IF(((D487+E487)*C487)&lt;='Assumptions and Catalog'!$C$56,((D487+E487)*C487)*'Assumptions and Catalog'!$H$56+'Assumptions and Catalog'!$E$56+'Assumptions and Catalog'!$F$56,IF(((D487+E487)*C487)&lt;='Assumptions and Catalog'!$C$57,((D487+E487)*C487)*'Assumptions and Catalog'!$H$57+'Assumptions and Catalog'!$E$57+'Assumptions and Catalog'!$F$57,"Out of range")))))))),IF(((D487+E487)*C487)&lt;='Assumptions and Catalog'!$C$60,((D487+E487)*C487)*'Assumptions and Catalog'!$H$60+'Assumptions and Catalog'!$E$60+'Assumptions and Catalog'!$F$60,IF(((D487+E487)*C487)&lt;='Assumptions and Catalog'!$C$61,((D487+E487)*C487)*'Assumptions and Catalog'!$H$61+'Assumptions and Catalog'!$E$61+'Assumptions and Catalog'!$F$61,IF(((D487+E487)*C487)&lt;='Assumptions and Catalog'!$C$62,((D487+E487)*C487)*'Assumptions and Catalog'!$H$62+'Assumptions and Catalog'!$E$62+'Assumptions and Catalog'!$F$62,IF(((D487+E487)*C487)&lt;='Assumptions and Catalog'!$C$63,((D487+E487)*C487)*'Assumptions and Catalog'!$H$63+'Assumptions and Catalog'!$E$63+'Assumptions and Catalog'!$F$63,IF(((D487+E487)*C487)&lt;='Assumptions and Catalog'!$C$64,((D487+E487)*C487)*'Assumptions and Catalog'!$H$64+'Assumptions and Catalog'!$E$64+'Assumptions and Catalog'!$F$64,IF(((D487+E487)*C487)&lt;='Assumptions and Catalog'!$C$65,((D487+E487)*C487)*'Assumptions and Catalog'!$H$65+'Assumptions and Catalog'!$E$65+'Assumptions and Catalog'!$F$65,"Out of range")))))))))*(1+'Assumptions and Catalog'!$C$8)^(A487-1),0)</f>
        <v>7094.794</v>
      </c>
      <c r="N487" s="5" t="n">
        <f>IF(ISNUMBER(Inputs!$L$5),(IF(Inputs!$L$9="Actual flat rate",L487*Inputs!$L$10,IF(Inputs!$C$9="Residential",IF(L487&lt;='Assumptions and Catalog'!$C$50,L487*'Assumptions and Catalog'!$H$50+'Assumptions and Catalog'!$E$50+'Assumptions and Catalog'!$F$50,IF(L487&lt;='Assumptions and Catalog'!$C$51,L487*'Assumptions and Catalog'!$H$51+'Assumptions and Catalog'!$E$51+'Assumptions and Catalog'!$F$51,IF(L487&lt;='Assumptions and Catalog'!$C$52,L487*'Assumptions and Catalog'!$H$52+'Assumptions and Catalog'!$E$52+'Assumptions and Catalog'!$F$52,IF(L487&lt;='Assumptions and Catalog'!$C$53,L487*'Assumptions and Catalog'!$H$53+'Assumptions and Catalog'!$E$53+'Assumptions and Catalog'!$F$53,IF(L487&lt;='Assumptions and Catalog'!$C$54,L487*'Assumptions and Catalog'!$H$54+'Assumptions and Catalog'!$E$54+'Assumptions and Catalog'!$F$54,IF(L487&lt;='Assumptions and Catalog'!$C$55,L487*'Assumptions and Catalog'!$H$55+'Assumptions and Catalog'!$E$55+'Assumptions and Catalog'!$F$55,IF(L487&lt;='Assumptions and Catalog'!$C$56,L487*'Assumptions and Catalog'!$H$56+'Assumptions and Catalog'!$E$56+'Assumptions and Catalog'!$F$56,IF(L487&lt;='Assumptions and Catalog'!$C$57,L487*'Assumptions and Catalog'!$H$57+'Assumptions and Catalog'!$E$57+'Assumptions and Catalog'!$F$57,"Out of range")))))))),IF(L487&lt;='Assumptions and Catalog'!$C$60,L487*'Assumptions and Catalog'!$H$60+'Assumptions and Catalog'!$E$60+'Assumptions and Catalog'!$F$60,IF(L487&lt;='Assumptions and Catalog'!$C$61,L487*'Assumptions and Catalog'!$H$61+'Assumptions and Catalog'!$E$61+'Assumptions and Catalog'!$F$61,IF(L487&lt;='Assumptions and Catalog'!$C$62,L487*'Assumptions and Catalog'!$H$62+'Assumptions and Catalog'!$E$62+'Assumptions and Catalog'!$F$62,IF(L487&lt;='Assumptions and Catalog'!$C$63,L487*'Assumptions and Catalog'!$H$63+'Assumptions and Catalog'!$E$63+'Assumptions and Catalog'!$F$63,IF(L487&lt;='Assumptions and Catalog'!$C$64,L487*'Assumptions and Catalog'!$H$64+'Assumptions and Catalog'!$E$64+'Assumptions and Catalog'!$F$64,IF(L487&lt;='Assumptions and Catalog'!$C$65,L487*'Assumptions and Catalog'!$H$65+'Assumptions and Catalog'!$E$65+'Assumptions and Catalog'!$F$65,"Out of range")))))))))*(1+'Assumptions and Catalog'!$C$8)^(A487-1),0)</f>
        <v>7094.794</v>
      </c>
      <c r="O487" s="5" t="n">
        <f>M487-N487</f>
        <v>0</v>
      </c>
      <c r="P487" s="5" t="n">
        <f>D$55*(1-K$14)*(1-'Assumptions and Catalog'!$C$23)^R487</f>
        <v>0</v>
      </c>
      <c r="Q487" s="5" t="n">
        <f>IF(ISNUMBER(Inputs!$L$5),(IF(Inputs!$L$9="Actual flat rate",((D487+E487)*C487-G487)*Inputs!$L$10,IF(Inputs!$C$9="Residential",IF(((D487+E487)*C487-G487)&lt;='Assumptions and Catalog'!$C$50,((D487+E487)*C487-G487)*'Assumptions and Catalog'!$H$50+'Assumptions and Catalog'!$E$50+'Assumptions and Catalog'!$F$50,IF(((D487+E487)*C487-G487)&lt;='Assumptions and Catalog'!$C$51,((D487+E487)*C487-G487)*'Assumptions and Catalog'!$H$51+'Assumptions and Catalog'!$E$51+'Assumptions and Catalog'!$F$51,IF(((D487+E487)*C487-G487)&lt;='Assumptions and Catalog'!$C$52,((D487+E487)*C487-G487)*'Assumptions and Catalog'!$H$52+'Assumptions and Catalog'!$E$52+'Assumptions and Catalog'!$F$52,IF(((D487+E487)*C487-G487)&lt;='Assumptions and Catalog'!$C$53,((D487+E487)*C487-G487)*'Assumptions and Catalog'!$H$53+'Assumptions and Catalog'!$E$53+'Assumptions and Catalog'!$F$53,IF(((D487+E487)*C487-G487)&lt;='Assumptions and Catalog'!$C$54,((D487+E487)*C487-G487)*'Assumptions and Catalog'!$H$54+'Assumptions and Catalog'!$E$54+'Assumptions and Catalog'!$F$54,IF(((D487+E487)*C487-G487)&lt;='Assumptions and Catalog'!$C$55,((D487+E487)*C487-G487)*'Assumptions and Catalog'!$H$55+'Assumptions and Catalog'!$E$55+'Assumptions and Catalog'!$F$55,IF(((D487+E487)*C487-G487)&lt;='Assumptions and Catalog'!$C$56,((D487+E487)*C487-G487)*'Assumptions and Catalog'!$H$56+'Assumptions and Catalog'!$E$56+'Assumptions and Catalog'!$F$56,IF(((D487+E487)*C487-G487)&lt;='Assumptions and Catalog'!$C$57,((D487+E487)*C487-G487)*'Assumptions and Catalog'!$H$57+'Assumptions and Catalog'!$E$57+'Assumptions and Catalog'!$F$57,"Out of range")))))))),IF(((D487+E487)*C487-G487)&lt;='Assumptions and Catalog'!$C$60,((D487+E487)*C487-G487)*'Assumptions and Catalog'!$H$60+'Assumptions and Catalog'!$E$60+'Assumptions and Catalog'!$F$60,IF(((D487+E487)*C487-G487)&lt;='Assumptions and Catalog'!$C$61,((D487+E487)*C487-G487)*'Assumptions and Catalog'!$H$61+'Assumptions and Catalog'!$E$61+'Assumptions and Catalog'!$F$61,IF(((D487+E487)*C487-G487)&lt;='Assumptions and Catalog'!$C$62,((D487+E487)*C487-G487)*'Assumptions and Catalog'!$H$62+'Assumptions and Catalog'!$E$62+'Assumptions and Catalog'!$F$62,IF(((D487+E487)*C487-G487)&lt;='Assumptions and Catalog'!$C$63,((D487+E487)*C487-G487)*'Assumptions and Catalog'!$H$63+'Assumptions and Catalog'!$E$63+'Assumptions and Catalog'!$F$63,IF(((D487+E487)*C487-G487)&lt;='Assumptions and Catalog'!$C$64,((D487+E487)*C487-G487)*'Assumptions and Catalog'!$H$64+'Assumptions and Catalog'!$E$64+'Assumptions and Catalog'!$F$64,IF(((D487+E487)*C487-G487)&lt;='Assumptions and Catalog'!$C$65,((D487+E487)*C487-G487)*'Assumptions and Catalog'!$H$65+'Assumptions and Catalog'!$E$65+'Assumptions and Catalog'!$F$65,"Out of range")))))))))*(1+'Assumptions and Catalog'!$C$8)^(A487-1),0)</f>
        <v>7094.794</v>
      </c>
      <c r="R487" s="5" t="n">
        <f>IF(AND('Assumptions and Catalog'!$C$19&gt;0,A487&gt;='Assumptions and Catalog'!$C$19),A487-'Assumptions and Catalog'!$C$19,A487-1)</f>
        <v>6</v>
      </c>
      <c r="S487" s="5" t="n">
        <f>F487+L487-(D487+E487)*C487-J487-K487-IF(D$52&gt;0,'Assumptions and Catalog'!$C$26*C487,0)</f>
        <v>0</v>
      </c>
      <c r="T487" s="5"/>
      <c r="U487" s="5"/>
    </row>
    <row r="488" ht="23.100000381469727" customHeight="1">
      <c r="A488" s="5" t="n">
        <v>7</v>
      </c>
      <c r="B488" s="5" t="n">
        <v>6</v>
      </c>
      <c r="C488" s="5" t="n">
        <f>DAY(DATE('Assumptions and Catalog'!$C$24+A488-1,B488+1,0))</f>
        <v>30</v>
      </c>
      <c r="D488" s="5" t="n">
        <f>IF(ISNUMBER(Inputs!$L$5),Inputs!$L$5*Inputs!$L$6,0)</f>
        <v>40.35</v>
      </c>
      <c r="E488" s="5" t="n">
        <f>IF(ISNUMBER(Inputs!$L$5),Inputs!$L$5-D488,0)</f>
        <v>40.35</v>
      </c>
      <c r="F488" s="5" t="n">
        <f>D$51*'Assumptions and Catalog'!$C$31*C488*(1-'Assumptions and Catalog'!$C$10)^(A488-1)</f>
        <v>0</v>
      </c>
      <c r="G488" s="5" t="n">
        <f>MIN(F488,D488*C488)</f>
        <v>0</v>
      </c>
      <c r="H488" s="5" t="n">
        <f>I488/('Assumptions and Catalog'!$C$11*'Assumptions and Catalog'!$C$12)</f>
        <v>0</v>
      </c>
      <c r="I488" s="5" t="n">
        <f>IF(K$15="Grid cycle",MIN(K$16,D488+E488,P488*'Assumptions and Catalog'!$C$12,D$57*(24-'Assumptions and Catalog'!$C$15),D$56*'Assumptions and Catalog'!$C$15*'Assumptions and Catalog'!$C$11*'Assumptions and Catalog'!$C$12)*C488,0)</f>
        <v>0</v>
      </c>
      <c r="J488" s="5" t="n">
        <f>MAX(F488-G488-0,0)</f>
        <v>0</v>
      </c>
      <c r="K488" s="5" t="n">
        <f>H488-I488</f>
        <v>0</v>
      </c>
      <c r="L488" s="5" t="n">
        <f>(D488+E488)*C488-G488-I488+H488+IF(D$52&gt;0,'Assumptions and Catalog'!$C$26*C488,0)</f>
        <v>2421</v>
      </c>
      <c r="M488" s="5" t="n">
        <f>IF(ISNUMBER(Inputs!$L$5),(IF(Inputs!$L$9="Actual flat rate",((D488+E488)*C488)*Inputs!$L$10,IF(Inputs!$C$9="Residential",IF(((D488+E488)*C488)&lt;='Assumptions and Catalog'!$C$50,((D488+E488)*C488)*'Assumptions and Catalog'!$H$50+'Assumptions and Catalog'!$E$50+'Assumptions and Catalog'!$F$50,IF(((D488+E488)*C488)&lt;='Assumptions and Catalog'!$C$51,((D488+E488)*C488)*'Assumptions and Catalog'!$H$51+'Assumptions and Catalog'!$E$51+'Assumptions and Catalog'!$F$51,IF(((D488+E488)*C488)&lt;='Assumptions and Catalog'!$C$52,((D488+E488)*C488)*'Assumptions and Catalog'!$H$52+'Assumptions and Catalog'!$E$52+'Assumptions and Catalog'!$F$52,IF(((D488+E488)*C488)&lt;='Assumptions and Catalog'!$C$53,((D488+E488)*C488)*'Assumptions and Catalog'!$H$53+'Assumptions and Catalog'!$E$53+'Assumptions and Catalog'!$F$53,IF(((D488+E488)*C488)&lt;='Assumptions and Catalog'!$C$54,((D488+E488)*C488)*'Assumptions and Catalog'!$H$54+'Assumptions and Catalog'!$E$54+'Assumptions and Catalog'!$F$54,IF(((D488+E488)*C488)&lt;='Assumptions and Catalog'!$C$55,((D488+E488)*C488)*'Assumptions and Catalog'!$H$55+'Assumptions and Catalog'!$E$55+'Assumptions and Catalog'!$F$55,IF(((D488+E488)*C488)&lt;='Assumptions and Catalog'!$C$56,((D488+E488)*C488)*'Assumptions and Catalog'!$H$56+'Assumptions and Catalog'!$E$56+'Assumptions and Catalog'!$F$56,IF(((D488+E488)*C488)&lt;='Assumptions and Catalog'!$C$57,((D488+E488)*C488)*'Assumptions and Catalog'!$H$57+'Assumptions and Catalog'!$E$57+'Assumptions and Catalog'!$F$57,"Out of range")))))))),IF(((D488+E488)*C488)&lt;='Assumptions and Catalog'!$C$60,((D488+E488)*C488)*'Assumptions and Catalog'!$H$60+'Assumptions and Catalog'!$E$60+'Assumptions and Catalog'!$F$60,IF(((D488+E488)*C488)&lt;='Assumptions and Catalog'!$C$61,((D488+E488)*C488)*'Assumptions and Catalog'!$H$61+'Assumptions and Catalog'!$E$61+'Assumptions and Catalog'!$F$61,IF(((D488+E488)*C488)&lt;='Assumptions and Catalog'!$C$62,((D488+E488)*C488)*'Assumptions and Catalog'!$H$62+'Assumptions and Catalog'!$E$62+'Assumptions and Catalog'!$F$62,IF(((D488+E488)*C488)&lt;='Assumptions and Catalog'!$C$63,((D488+E488)*C488)*'Assumptions and Catalog'!$H$63+'Assumptions and Catalog'!$E$63+'Assumptions and Catalog'!$F$63,IF(((D488+E488)*C488)&lt;='Assumptions and Catalog'!$C$64,((D488+E488)*C488)*'Assumptions and Catalog'!$H$64+'Assumptions and Catalog'!$E$64+'Assumptions and Catalog'!$F$64,IF(((D488+E488)*C488)&lt;='Assumptions and Catalog'!$C$65,((D488+E488)*C488)*'Assumptions and Catalog'!$H$65+'Assumptions and Catalog'!$E$65+'Assumptions and Catalog'!$F$65,"Out of range")))))))))*(1+'Assumptions and Catalog'!$C$8)^(A488-1),0)</f>
        <v>6867.22</v>
      </c>
      <c r="N488" s="5" t="n">
        <f>IF(ISNUMBER(Inputs!$L$5),(IF(Inputs!$L$9="Actual flat rate",L488*Inputs!$L$10,IF(Inputs!$C$9="Residential",IF(L488&lt;='Assumptions and Catalog'!$C$50,L488*'Assumptions and Catalog'!$H$50+'Assumptions and Catalog'!$E$50+'Assumptions and Catalog'!$F$50,IF(L488&lt;='Assumptions and Catalog'!$C$51,L488*'Assumptions and Catalog'!$H$51+'Assumptions and Catalog'!$E$51+'Assumptions and Catalog'!$F$51,IF(L488&lt;='Assumptions and Catalog'!$C$52,L488*'Assumptions and Catalog'!$H$52+'Assumptions and Catalog'!$E$52+'Assumptions and Catalog'!$F$52,IF(L488&lt;='Assumptions and Catalog'!$C$53,L488*'Assumptions and Catalog'!$H$53+'Assumptions and Catalog'!$E$53+'Assumptions and Catalog'!$F$53,IF(L488&lt;='Assumptions and Catalog'!$C$54,L488*'Assumptions and Catalog'!$H$54+'Assumptions and Catalog'!$E$54+'Assumptions and Catalog'!$F$54,IF(L488&lt;='Assumptions and Catalog'!$C$55,L488*'Assumptions and Catalog'!$H$55+'Assumptions and Catalog'!$E$55+'Assumptions and Catalog'!$F$55,IF(L488&lt;='Assumptions and Catalog'!$C$56,L488*'Assumptions and Catalog'!$H$56+'Assumptions and Catalog'!$E$56+'Assumptions and Catalog'!$F$56,IF(L488&lt;='Assumptions and Catalog'!$C$57,L488*'Assumptions and Catalog'!$H$57+'Assumptions and Catalog'!$E$57+'Assumptions and Catalog'!$F$57,"Out of range")))))))),IF(L488&lt;='Assumptions and Catalog'!$C$60,L488*'Assumptions and Catalog'!$H$60+'Assumptions and Catalog'!$E$60+'Assumptions and Catalog'!$F$60,IF(L488&lt;='Assumptions and Catalog'!$C$61,L488*'Assumptions and Catalog'!$H$61+'Assumptions and Catalog'!$E$61+'Assumptions and Catalog'!$F$61,IF(L488&lt;='Assumptions and Catalog'!$C$62,L488*'Assumptions and Catalog'!$H$62+'Assumptions and Catalog'!$E$62+'Assumptions and Catalog'!$F$62,IF(L488&lt;='Assumptions and Catalog'!$C$63,L488*'Assumptions and Catalog'!$H$63+'Assumptions and Catalog'!$E$63+'Assumptions and Catalog'!$F$63,IF(L488&lt;='Assumptions and Catalog'!$C$64,L488*'Assumptions and Catalog'!$H$64+'Assumptions and Catalog'!$E$64+'Assumptions and Catalog'!$F$64,IF(L488&lt;='Assumptions and Catalog'!$C$65,L488*'Assumptions and Catalog'!$H$65+'Assumptions and Catalog'!$E$65+'Assumptions and Catalog'!$F$65,"Out of range")))))))))*(1+'Assumptions and Catalog'!$C$8)^(A488-1),0)</f>
        <v>6867.22</v>
      </c>
      <c r="O488" s="5" t="n">
        <f>M488-N488</f>
        <v>0</v>
      </c>
      <c r="P488" s="5" t="n">
        <f>D$55*(1-K$14)*(1-'Assumptions and Catalog'!$C$23)^R488</f>
        <v>0</v>
      </c>
      <c r="Q488" s="5" t="n">
        <f>IF(ISNUMBER(Inputs!$L$5),(IF(Inputs!$L$9="Actual flat rate",((D488+E488)*C488-G488)*Inputs!$L$10,IF(Inputs!$C$9="Residential",IF(((D488+E488)*C488-G488)&lt;='Assumptions and Catalog'!$C$50,((D488+E488)*C488-G488)*'Assumptions and Catalog'!$H$50+'Assumptions and Catalog'!$E$50+'Assumptions and Catalog'!$F$50,IF(((D488+E488)*C488-G488)&lt;='Assumptions and Catalog'!$C$51,((D488+E488)*C488-G488)*'Assumptions and Catalog'!$H$51+'Assumptions and Catalog'!$E$51+'Assumptions and Catalog'!$F$51,IF(((D488+E488)*C488-G488)&lt;='Assumptions and Catalog'!$C$52,((D488+E488)*C488-G488)*'Assumptions and Catalog'!$H$52+'Assumptions and Catalog'!$E$52+'Assumptions and Catalog'!$F$52,IF(((D488+E488)*C488-G488)&lt;='Assumptions and Catalog'!$C$53,((D488+E488)*C488-G488)*'Assumptions and Catalog'!$H$53+'Assumptions and Catalog'!$E$53+'Assumptions and Catalog'!$F$53,IF(((D488+E488)*C488-G488)&lt;='Assumptions and Catalog'!$C$54,((D488+E488)*C488-G488)*'Assumptions and Catalog'!$H$54+'Assumptions and Catalog'!$E$54+'Assumptions and Catalog'!$F$54,IF(((D488+E488)*C488-G488)&lt;='Assumptions and Catalog'!$C$55,((D488+E488)*C488-G488)*'Assumptions and Catalog'!$H$55+'Assumptions and Catalog'!$E$55+'Assumptions and Catalog'!$F$55,IF(((D488+E488)*C488-G488)&lt;='Assumptions and Catalog'!$C$56,((D488+E488)*C488-G488)*'Assumptions and Catalog'!$H$56+'Assumptions and Catalog'!$E$56+'Assumptions and Catalog'!$F$56,IF(((D488+E488)*C488-G488)&lt;='Assumptions and Catalog'!$C$57,((D488+E488)*C488-G488)*'Assumptions and Catalog'!$H$57+'Assumptions and Catalog'!$E$57+'Assumptions and Catalog'!$F$57,"Out of range")))))))),IF(((D488+E488)*C488-G488)&lt;='Assumptions and Catalog'!$C$60,((D488+E488)*C488-G488)*'Assumptions and Catalog'!$H$60+'Assumptions and Catalog'!$E$60+'Assumptions and Catalog'!$F$60,IF(((D488+E488)*C488-G488)&lt;='Assumptions and Catalog'!$C$61,((D488+E488)*C488-G488)*'Assumptions and Catalog'!$H$61+'Assumptions and Catalog'!$E$61+'Assumptions and Catalog'!$F$61,IF(((D488+E488)*C488-G488)&lt;='Assumptions and Catalog'!$C$62,((D488+E488)*C488-G488)*'Assumptions and Catalog'!$H$62+'Assumptions and Catalog'!$E$62+'Assumptions and Catalog'!$F$62,IF(((D488+E488)*C488-G488)&lt;='Assumptions and Catalog'!$C$63,((D488+E488)*C488-G488)*'Assumptions and Catalog'!$H$63+'Assumptions and Catalog'!$E$63+'Assumptions and Catalog'!$F$63,IF(((D488+E488)*C488-G488)&lt;='Assumptions and Catalog'!$C$64,((D488+E488)*C488-G488)*'Assumptions and Catalog'!$H$64+'Assumptions and Catalog'!$E$64+'Assumptions and Catalog'!$F$64,IF(((D488+E488)*C488-G488)&lt;='Assumptions and Catalog'!$C$65,((D488+E488)*C488-G488)*'Assumptions and Catalog'!$H$65+'Assumptions and Catalog'!$E$65+'Assumptions and Catalog'!$F$65,"Out of range")))))))))*(1+'Assumptions and Catalog'!$C$8)^(A488-1),0)</f>
        <v>6867.22</v>
      </c>
      <c r="R488" s="5" t="n">
        <f>IF(AND('Assumptions and Catalog'!$C$19&gt;0,A488&gt;='Assumptions and Catalog'!$C$19),A488-'Assumptions and Catalog'!$C$19,A488-1)</f>
        <v>6</v>
      </c>
      <c r="S488" s="5" t="n">
        <f>F488+L488-(D488+E488)*C488-J488-K488-IF(D$52&gt;0,'Assumptions and Catalog'!$C$26*C488,0)</f>
        <v>0</v>
      </c>
      <c r="T488" s="5"/>
      <c r="U488" s="5"/>
    </row>
    <row r="489" ht="23.100000381469727" customHeight="1">
      <c r="A489" s="5" t="n">
        <v>7</v>
      </c>
      <c r="B489" s="5" t="n">
        <v>7</v>
      </c>
      <c r="C489" s="5" t="n">
        <f>DAY(DATE('Assumptions and Catalog'!$C$24+A489-1,B489+1,0))</f>
        <v>31</v>
      </c>
      <c r="D489" s="5" t="n">
        <f>IF(ISNUMBER(Inputs!$L$5),Inputs!$L$5*Inputs!$L$6,0)</f>
        <v>40.35</v>
      </c>
      <c r="E489" s="5" t="n">
        <f>IF(ISNUMBER(Inputs!$L$5),Inputs!$L$5-D489,0)</f>
        <v>40.35</v>
      </c>
      <c r="F489" s="5" t="n">
        <f>D$51*'Assumptions and Catalog'!$C$31*C489*(1-'Assumptions and Catalog'!$C$10)^(A489-1)</f>
        <v>0</v>
      </c>
      <c r="G489" s="5" t="n">
        <f>MIN(F489,D489*C489)</f>
        <v>0</v>
      </c>
      <c r="H489" s="5" t="n">
        <f>I489/('Assumptions and Catalog'!$C$11*'Assumptions and Catalog'!$C$12)</f>
        <v>0</v>
      </c>
      <c r="I489" s="5" t="n">
        <f>IF(K$15="Grid cycle",MIN(K$16,D489+E489,P489*'Assumptions and Catalog'!$C$12,D$57*(24-'Assumptions and Catalog'!$C$15),D$56*'Assumptions and Catalog'!$C$15*'Assumptions and Catalog'!$C$11*'Assumptions and Catalog'!$C$12)*C489,0)</f>
        <v>0</v>
      </c>
      <c r="J489" s="5" t="n">
        <f>MAX(F489-G489-0,0)</f>
        <v>0</v>
      </c>
      <c r="K489" s="5" t="n">
        <f>H489-I489</f>
        <v>0</v>
      </c>
      <c r="L489" s="5" t="n">
        <f>(D489+E489)*C489-G489-I489+H489+IF(D$52&gt;0,'Assumptions and Catalog'!$C$26*C489,0)</f>
        <v>2501.7</v>
      </c>
      <c r="M489" s="5" t="n">
        <f>IF(ISNUMBER(Inputs!$L$5),(IF(Inputs!$L$9="Actual flat rate",((D489+E489)*C489)*Inputs!$L$10,IF(Inputs!$C$9="Residential",IF(((D489+E489)*C489)&lt;='Assumptions and Catalog'!$C$50,((D489+E489)*C489)*'Assumptions and Catalog'!$H$50+'Assumptions and Catalog'!$E$50+'Assumptions and Catalog'!$F$50,IF(((D489+E489)*C489)&lt;='Assumptions and Catalog'!$C$51,((D489+E489)*C489)*'Assumptions and Catalog'!$H$51+'Assumptions and Catalog'!$E$51+'Assumptions and Catalog'!$F$51,IF(((D489+E489)*C489)&lt;='Assumptions and Catalog'!$C$52,((D489+E489)*C489)*'Assumptions and Catalog'!$H$52+'Assumptions and Catalog'!$E$52+'Assumptions and Catalog'!$F$52,IF(((D489+E489)*C489)&lt;='Assumptions and Catalog'!$C$53,((D489+E489)*C489)*'Assumptions and Catalog'!$H$53+'Assumptions and Catalog'!$E$53+'Assumptions and Catalog'!$F$53,IF(((D489+E489)*C489)&lt;='Assumptions and Catalog'!$C$54,((D489+E489)*C489)*'Assumptions and Catalog'!$H$54+'Assumptions and Catalog'!$E$54+'Assumptions and Catalog'!$F$54,IF(((D489+E489)*C489)&lt;='Assumptions and Catalog'!$C$55,((D489+E489)*C489)*'Assumptions and Catalog'!$H$55+'Assumptions and Catalog'!$E$55+'Assumptions and Catalog'!$F$55,IF(((D489+E489)*C489)&lt;='Assumptions and Catalog'!$C$56,((D489+E489)*C489)*'Assumptions and Catalog'!$H$56+'Assumptions and Catalog'!$E$56+'Assumptions and Catalog'!$F$56,IF(((D489+E489)*C489)&lt;='Assumptions and Catalog'!$C$57,((D489+E489)*C489)*'Assumptions and Catalog'!$H$57+'Assumptions and Catalog'!$E$57+'Assumptions and Catalog'!$F$57,"Out of range")))))))),IF(((D489+E489)*C489)&lt;='Assumptions and Catalog'!$C$60,((D489+E489)*C489)*'Assumptions and Catalog'!$H$60+'Assumptions and Catalog'!$E$60+'Assumptions and Catalog'!$F$60,IF(((D489+E489)*C489)&lt;='Assumptions and Catalog'!$C$61,((D489+E489)*C489)*'Assumptions and Catalog'!$H$61+'Assumptions and Catalog'!$E$61+'Assumptions and Catalog'!$F$61,IF(((D489+E489)*C489)&lt;='Assumptions and Catalog'!$C$62,((D489+E489)*C489)*'Assumptions and Catalog'!$H$62+'Assumptions and Catalog'!$E$62+'Assumptions and Catalog'!$F$62,IF(((D489+E489)*C489)&lt;='Assumptions and Catalog'!$C$63,((D489+E489)*C489)*'Assumptions and Catalog'!$H$63+'Assumptions and Catalog'!$E$63+'Assumptions and Catalog'!$F$63,IF(((D489+E489)*C489)&lt;='Assumptions and Catalog'!$C$64,((D489+E489)*C489)*'Assumptions and Catalog'!$H$64+'Assumptions and Catalog'!$E$64+'Assumptions and Catalog'!$F$64,IF(((D489+E489)*C489)&lt;='Assumptions and Catalog'!$C$65,((D489+E489)*C489)*'Assumptions and Catalog'!$H$65+'Assumptions and Catalog'!$E$65+'Assumptions and Catalog'!$F$65,"Out of range")))))))))*(1+'Assumptions and Catalog'!$C$8)^(A489-1),0)</f>
        <v>7094.794</v>
      </c>
      <c r="N489" s="5" t="n">
        <f>IF(ISNUMBER(Inputs!$L$5),(IF(Inputs!$L$9="Actual flat rate",L489*Inputs!$L$10,IF(Inputs!$C$9="Residential",IF(L489&lt;='Assumptions and Catalog'!$C$50,L489*'Assumptions and Catalog'!$H$50+'Assumptions and Catalog'!$E$50+'Assumptions and Catalog'!$F$50,IF(L489&lt;='Assumptions and Catalog'!$C$51,L489*'Assumptions and Catalog'!$H$51+'Assumptions and Catalog'!$E$51+'Assumptions and Catalog'!$F$51,IF(L489&lt;='Assumptions and Catalog'!$C$52,L489*'Assumptions and Catalog'!$H$52+'Assumptions and Catalog'!$E$52+'Assumptions and Catalog'!$F$52,IF(L489&lt;='Assumptions and Catalog'!$C$53,L489*'Assumptions and Catalog'!$H$53+'Assumptions and Catalog'!$E$53+'Assumptions and Catalog'!$F$53,IF(L489&lt;='Assumptions and Catalog'!$C$54,L489*'Assumptions and Catalog'!$H$54+'Assumptions and Catalog'!$E$54+'Assumptions and Catalog'!$F$54,IF(L489&lt;='Assumptions and Catalog'!$C$55,L489*'Assumptions and Catalog'!$H$55+'Assumptions and Catalog'!$E$55+'Assumptions and Catalog'!$F$55,IF(L489&lt;='Assumptions and Catalog'!$C$56,L489*'Assumptions and Catalog'!$H$56+'Assumptions and Catalog'!$E$56+'Assumptions and Catalog'!$F$56,IF(L489&lt;='Assumptions and Catalog'!$C$57,L489*'Assumptions and Catalog'!$H$57+'Assumptions and Catalog'!$E$57+'Assumptions and Catalog'!$F$57,"Out of range")))))))),IF(L489&lt;='Assumptions and Catalog'!$C$60,L489*'Assumptions and Catalog'!$H$60+'Assumptions and Catalog'!$E$60+'Assumptions and Catalog'!$F$60,IF(L489&lt;='Assumptions and Catalog'!$C$61,L489*'Assumptions and Catalog'!$H$61+'Assumptions and Catalog'!$E$61+'Assumptions and Catalog'!$F$61,IF(L489&lt;='Assumptions and Catalog'!$C$62,L489*'Assumptions and Catalog'!$H$62+'Assumptions and Catalog'!$E$62+'Assumptions and Catalog'!$F$62,IF(L489&lt;='Assumptions and Catalog'!$C$63,L489*'Assumptions and Catalog'!$H$63+'Assumptions and Catalog'!$E$63+'Assumptions and Catalog'!$F$63,IF(L489&lt;='Assumptions and Catalog'!$C$64,L489*'Assumptions and Catalog'!$H$64+'Assumptions and Catalog'!$E$64+'Assumptions and Catalog'!$F$64,IF(L489&lt;='Assumptions and Catalog'!$C$65,L489*'Assumptions and Catalog'!$H$65+'Assumptions and Catalog'!$E$65+'Assumptions and Catalog'!$F$65,"Out of range")))))))))*(1+'Assumptions and Catalog'!$C$8)^(A489-1),0)</f>
        <v>7094.794</v>
      </c>
      <c r="O489" s="5" t="n">
        <f>M489-N489</f>
        <v>0</v>
      </c>
      <c r="P489" s="5" t="n">
        <f>D$55*(1-K$14)*(1-'Assumptions and Catalog'!$C$23)^R489</f>
        <v>0</v>
      </c>
      <c r="Q489" s="5" t="n">
        <f>IF(ISNUMBER(Inputs!$L$5),(IF(Inputs!$L$9="Actual flat rate",((D489+E489)*C489-G489)*Inputs!$L$10,IF(Inputs!$C$9="Residential",IF(((D489+E489)*C489-G489)&lt;='Assumptions and Catalog'!$C$50,((D489+E489)*C489-G489)*'Assumptions and Catalog'!$H$50+'Assumptions and Catalog'!$E$50+'Assumptions and Catalog'!$F$50,IF(((D489+E489)*C489-G489)&lt;='Assumptions and Catalog'!$C$51,((D489+E489)*C489-G489)*'Assumptions and Catalog'!$H$51+'Assumptions and Catalog'!$E$51+'Assumptions and Catalog'!$F$51,IF(((D489+E489)*C489-G489)&lt;='Assumptions and Catalog'!$C$52,((D489+E489)*C489-G489)*'Assumptions and Catalog'!$H$52+'Assumptions and Catalog'!$E$52+'Assumptions and Catalog'!$F$52,IF(((D489+E489)*C489-G489)&lt;='Assumptions and Catalog'!$C$53,((D489+E489)*C489-G489)*'Assumptions and Catalog'!$H$53+'Assumptions and Catalog'!$E$53+'Assumptions and Catalog'!$F$53,IF(((D489+E489)*C489-G489)&lt;='Assumptions and Catalog'!$C$54,((D489+E489)*C489-G489)*'Assumptions and Catalog'!$H$54+'Assumptions and Catalog'!$E$54+'Assumptions and Catalog'!$F$54,IF(((D489+E489)*C489-G489)&lt;='Assumptions and Catalog'!$C$55,((D489+E489)*C489-G489)*'Assumptions and Catalog'!$H$55+'Assumptions and Catalog'!$E$55+'Assumptions and Catalog'!$F$55,IF(((D489+E489)*C489-G489)&lt;='Assumptions and Catalog'!$C$56,((D489+E489)*C489-G489)*'Assumptions and Catalog'!$H$56+'Assumptions and Catalog'!$E$56+'Assumptions and Catalog'!$F$56,IF(((D489+E489)*C489-G489)&lt;='Assumptions and Catalog'!$C$57,((D489+E489)*C489-G489)*'Assumptions and Catalog'!$H$57+'Assumptions and Catalog'!$E$57+'Assumptions and Catalog'!$F$57,"Out of range")))))))),IF(((D489+E489)*C489-G489)&lt;='Assumptions and Catalog'!$C$60,((D489+E489)*C489-G489)*'Assumptions and Catalog'!$H$60+'Assumptions and Catalog'!$E$60+'Assumptions and Catalog'!$F$60,IF(((D489+E489)*C489-G489)&lt;='Assumptions and Catalog'!$C$61,((D489+E489)*C489-G489)*'Assumptions and Catalog'!$H$61+'Assumptions and Catalog'!$E$61+'Assumptions and Catalog'!$F$61,IF(((D489+E489)*C489-G489)&lt;='Assumptions and Catalog'!$C$62,((D489+E489)*C489-G489)*'Assumptions and Catalog'!$H$62+'Assumptions and Catalog'!$E$62+'Assumptions and Catalog'!$F$62,IF(((D489+E489)*C489-G489)&lt;='Assumptions and Catalog'!$C$63,((D489+E489)*C489-G489)*'Assumptions and Catalog'!$H$63+'Assumptions and Catalog'!$E$63+'Assumptions and Catalog'!$F$63,IF(((D489+E489)*C489-G489)&lt;='Assumptions and Catalog'!$C$64,((D489+E489)*C489-G489)*'Assumptions and Catalog'!$H$64+'Assumptions and Catalog'!$E$64+'Assumptions and Catalog'!$F$64,IF(((D489+E489)*C489-G489)&lt;='Assumptions and Catalog'!$C$65,((D489+E489)*C489-G489)*'Assumptions and Catalog'!$H$65+'Assumptions and Catalog'!$E$65+'Assumptions and Catalog'!$F$65,"Out of range")))))))))*(1+'Assumptions and Catalog'!$C$8)^(A489-1),0)</f>
        <v>7094.794</v>
      </c>
      <c r="R489" s="5" t="n">
        <f>IF(AND('Assumptions and Catalog'!$C$19&gt;0,A489&gt;='Assumptions and Catalog'!$C$19),A489-'Assumptions and Catalog'!$C$19,A489-1)</f>
        <v>6</v>
      </c>
      <c r="S489" s="5" t="n">
        <f>F489+L489-(D489+E489)*C489-J489-K489-IF(D$52&gt;0,'Assumptions and Catalog'!$C$26*C489,0)</f>
        <v>0</v>
      </c>
      <c r="T489" s="5"/>
      <c r="U489" s="5"/>
    </row>
    <row r="490" ht="23.100000381469727" customHeight="1">
      <c r="A490" s="5" t="n">
        <v>7</v>
      </c>
      <c r="B490" s="5" t="n">
        <v>8</v>
      </c>
      <c r="C490" s="5" t="n">
        <f>DAY(DATE('Assumptions and Catalog'!$C$24+A490-1,B490+1,0))</f>
        <v>31</v>
      </c>
      <c r="D490" s="5" t="n">
        <f>IF(ISNUMBER(Inputs!$L$5),Inputs!$L$5*Inputs!$L$6,0)</f>
        <v>40.35</v>
      </c>
      <c r="E490" s="5" t="n">
        <f>IF(ISNUMBER(Inputs!$L$5),Inputs!$L$5-D490,0)</f>
        <v>40.35</v>
      </c>
      <c r="F490" s="5" t="n">
        <f>D$51*'Assumptions and Catalog'!$C$31*C490*(1-'Assumptions and Catalog'!$C$10)^(A490-1)</f>
        <v>0</v>
      </c>
      <c r="G490" s="5" t="n">
        <f>MIN(F490,D490*C490)</f>
        <v>0</v>
      </c>
      <c r="H490" s="5" t="n">
        <f>I490/('Assumptions and Catalog'!$C$11*'Assumptions and Catalog'!$C$12)</f>
        <v>0</v>
      </c>
      <c r="I490" s="5" t="n">
        <f>IF(K$15="Grid cycle",MIN(K$16,D490+E490,P490*'Assumptions and Catalog'!$C$12,D$57*(24-'Assumptions and Catalog'!$C$15),D$56*'Assumptions and Catalog'!$C$15*'Assumptions and Catalog'!$C$11*'Assumptions and Catalog'!$C$12)*C490,0)</f>
        <v>0</v>
      </c>
      <c r="J490" s="5" t="n">
        <f>MAX(F490-G490-0,0)</f>
        <v>0</v>
      </c>
      <c r="K490" s="5" t="n">
        <f>H490-I490</f>
        <v>0</v>
      </c>
      <c r="L490" s="5" t="n">
        <f>(D490+E490)*C490-G490-I490+H490+IF(D$52&gt;0,'Assumptions and Catalog'!$C$26*C490,0)</f>
        <v>2501.7</v>
      </c>
      <c r="M490" s="5" t="n">
        <f>IF(ISNUMBER(Inputs!$L$5),(IF(Inputs!$L$9="Actual flat rate",((D490+E490)*C490)*Inputs!$L$10,IF(Inputs!$C$9="Residential",IF(((D490+E490)*C490)&lt;='Assumptions and Catalog'!$C$50,((D490+E490)*C490)*'Assumptions and Catalog'!$H$50+'Assumptions and Catalog'!$E$50+'Assumptions and Catalog'!$F$50,IF(((D490+E490)*C490)&lt;='Assumptions and Catalog'!$C$51,((D490+E490)*C490)*'Assumptions and Catalog'!$H$51+'Assumptions and Catalog'!$E$51+'Assumptions and Catalog'!$F$51,IF(((D490+E490)*C490)&lt;='Assumptions and Catalog'!$C$52,((D490+E490)*C490)*'Assumptions and Catalog'!$H$52+'Assumptions and Catalog'!$E$52+'Assumptions and Catalog'!$F$52,IF(((D490+E490)*C490)&lt;='Assumptions and Catalog'!$C$53,((D490+E490)*C490)*'Assumptions and Catalog'!$H$53+'Assumptions and Catalog'!$E$53+'Assumptions and Catalog'!$F$53,IF(((D490+E490)*C490)&lt;='Assumptions and Catalog'!$C$54,((D490+E490)*C490)*'Assumptions and Catalog'!$H$54+'Assumptions and Catalog'!$E$54+'Assumptions and Catalog'!$F$54,IF(((D490+E490)*C490)&lt;='Assumptions and Catalog'!$C$55,((D490+E490)*C490)*'Assumptions and Catalog'!$H$55+'Assumptions and Catalog'!$E$55+'Assumptions and Catalog'!$F$55,IF(((D490+E490)*C490)&lt;='Assumptions and Catalog'!$C$56,((D490+E490)*C490)*'Assumptions and Catalog'!$H$56+'Assumptions and Catalog'!$E$56+'Assumptions and Catalog'!$F$56,IF(((D490+E490)*C490)&lt;='Assumptions and Catalog'!$C$57,((D490+E490)*C490)*'Assumptions and Catalog'!$H$57+'Assumptions and Catalog'!$E$57+'Assumptions and Catalog'!$F$57,"Out of range")))))))),IF(((D490+E490)*C490)&lt;='Assumptions and Catalog'!$C$60,((D490+E490)*C490)*'Assumptions and Catalog'!$H$60+'Assumptions and Catalog'!$E$60+'Assumptions and Catalog'!$F$60,IF(((D490+E490)*C490)&lt;='Assumptions and Catalog'!$C$61,((D490+E490)*C490)*'Assumptions and Catalog'!$H$61+'Assumptions and Catalog'!$E$61+'Assumptions and Catalog'!$F$61,IF(((D490+E490)*C490)&lt;='Assumptions and Catalog'!$C$62,((D490+E490)*C490)*'Assumptions and Catalog'!$H$62+'Assumptions and Catalog'!$E$62+'Assumptions and Catalog'!$F$62,IF(((D490+E490)*C490)&lt;='Assumptions and Catalog'!$C$63,((D490+E490)*C490)*'Assumptions and Catalog'!$H$63+'Assumptions and Catalog'!$E$63+'Assumptions and Catalog'!$F$63,IF(((D490+E490)*C490)&lt;='Assumptions and Catalog'!$C$64,((D490+E490)*C490)*'Assumptions and Catalog'!$H$64+'Assumptions and Catalog'!$E$64+'Assumptions and Catalog'!$F$64,IF(((D490+E490)*C490)&lt;='Assumptions and Catalog'!$C$65,((D490+E490)*C490)*'Assumptions and Catalog'!$H$65+'Assumptions and Catalog'!$E$65+'Assumptions and Catalog'!$F$65,"Out of range")))))))))*(1+'Assumptions and Catalog'!$C$8)^(A490-1),0)</f>
        <v>7094.794</v>
      </c>
      <c r="N490" s="5" t="n">
        <f>IF(ISNUMBER(Inputs!$L$5),(IF(Inputs!$L$9="Actual flat rate",L490*Inputs!$L$10,IF(Inputs!$C$9="Residential",IF(L490&lt;='Assumptions and Catalog'!$C$50,L490*'Assumptions and Catalog'!$H$50+'Assumptions and Catalog'!$E$50+'Assumptions and Catalog'!$F$50,IF(L490&lt;='Assumptions and Catalog'!$C$51,L490*'Assumptions and Catalog'!$H$51+'Assumptions and Catalog'!$E$51+'Assumptions and Catalog'!$F$51,IF(L490&lt;='Assumptions and Catalog'!$C$52,L490*'Assumptions and Catalog'!$H$52+'Assumptions and Catalog'!$E$52+'Assumptions and Catalog'!$F$52,IF(L490&lt;='Assumptions and Catalog'!$C$53,L490*'Assumptions and Catalog'!$H$53+'Assumptions and Catalog'!$E$53+'Assumptions and Catalog'!$F$53,IF(L490&lt;='Assumptions and Catalog'!$C$54,L490*'Assumptions and Catalog'!$H$54+'Assumptions and Catalog'!$E$54+'Assumptions and Catalog'!$F$54,IF(L490&lt;='Assumptions and Catalog'!$C$55,L490*'Assumptions and Catalog'!$H$55+'Assumptions and Catalog'!$E$55+'Assumptions and Catalog'!$F$55,IF(L490&lt;='Assumptions and Catalog'!$C$56,L490*'Assumptions and Catalog'!$H$56+'Assumptions and Catalog'!$E$56+'Assumptions and Catalog'!$F$56,IF(L490&lt;='Assumptions and Catalog'!$C$57,L490*'Assumptions and Catalog'!$H$57+'Assumptions and Catalog'!$E$57+'Assumptions and Catalog'!$F$57,"Out of range")))))))),IF(L490&lt;='Assumptions and Catalog'!$C$60,L490*'Assumptions and Catalog'!$H$60+'Assumptions and Catalog'!$E$60+'Assumptions and Catalog'!$F$60,IF(L490&lt;='Assumptions and Catalog'!$C$61,L490*'Assumptions and Catalog'!$H$61+'Assumptions and Catalog'!$E$61+'Assumptions and Catalog'!$F$61,IF(L490&lt;='Assumptions and Catalog'!$C$62,L490*'Assumptions and Catalog'!$H$62+'Assumptions and Catalog'!$E$62+'Assumptions and Catalog'!$F$62,IF(L490&lt;='Assumptions and Catalog'!$C$63,L490*'Assumptions and Catalog'!$H$63+'Assumptions and Catalog'!$E$63+'Assumptions and Catalog'!$F$63,IF(L490&lt;='Assumptions and Catalog'!$C$64,L490*'Assumptions and Catalog'!$H$64+'Assumptions and Catalog'!$E$64+'Assumptions and Catalog'!$F$64,IF(L490&lt;='Assumptions and Catalog'!$C$65,L490*'Assumptions and Catalog'!$H$65+'Assumptions and Catalog'!$E$65+'Assumptions and Catalog'!$F$65,"Out of range")))))))))*(1+'Assumptions and Catalog'!$C$8)^(A490-1),0)</f>
        <v>7094.794</v>
      </c>
      <c r="O490" s="5" t="n">
        <f>M490-N490</f>
        <v>0</v>
      </c>
      <c r="P490" s="5" t="n">
        <f>D$55*(1-K$14)*(1-'Assumptions and Catalog'!$C$23)^R490</f>
        <v>0</v>
      </c>
      <c r="Q490" s="5" t="n">
        <f>IF(ISNUMBER(Inputs!$L$5),(IF(Inputs!$L$9="Actual flat rate",((D490+E490)*C490-G490)*Inputs!$L$10,IF(Inputs!$C$9="Residential",IF(((D490+E490)*C490-G490)&lt;='Assumptions and Catalog'!$C$50,((D490+E490)*C490-G490)*'Assumptions and Catalog'!$H$50+'Assumptions and Catalog'!$E$50+'Assumptions and Catalog'!$F$50,IF(((D490+E490)*C490-G490)&lt;='Assumptions and Catalog'!$C$51,((D490+E490)*C490-G490)*'Assumptions and Catalog'!$H$51+'Assumptions and Catalog'!$E$51+'Assumptions and Catalog'!$F$51,IF(((D490+E490)*C490-G490)&lt;='Assumptions and Catalog'!$C$52,((D490+E490)*C490-G490)*'Assumptions and Catalog'!$H$52+'Assumptions and Catalog'!$E$52+'Assumptions and Catalog'!$F$52,IF(((D490+E490)*C490-G490)&lt;='Assumptions and Catalog'!$C$53,((D490+E490)*C490-G490)*'Assumptions and Catalog'!$H$53+'Assumptions and Catalog'!$E$53+'Assumptions and Catalog'!$F$53,IF(((D490+E490)*C490-G490)&lt;='Assumptions and Catalog'!$C$54,((D490+E490)*C490-G490)*'Assumptions and Catalog'!$H$54+'Assumptions and Catalog'!$E$54+'Assumptions and Catalog'!$F$54,IF(((D490+E490)*C490-G490)&lt;='Assumptions and Catalog'!$C$55,((D490+E490)*C490-G490)*'Assumptions and Catalog'!$H$55+'Assumptions and Catalog'!$E$55+'Assumptions and Catalog'!$F$55,IF(((D490+E490)*C490-G490)&lt;='Assumptions and Catalog'!$C$56,((D490+E490)*C490-G490)*'Assumptions and Catalog'!$H$56+'Assumptions and Catalog'!$E$56+'Assumptions and Catalog'!$F$56,IF(((D490+E490)*C490-G490)&lt;='Assumptions and Catalog'!$C$57,((D490+E490)*C490-G490)*'Assumptions and Catalog'!$H$57+'Assumptions and Catalog'!$E$57+'Assumptions and Catalog'!$F$57,"Out of range")))))))),IF(((D490+E490)*C490-G490)&lt;='Assumptions and Catalog'!$C$60,((D490+E490)*C490-G490)*'Assumptions and Catalog'!$H$60+'Assumptions and Catalog'!$E$60+'Assumptions and Catalog'!$F$60,IF(((D490+E490)*C490-G490)&lt;='Assumptions and Catalog'!$C$61,((D490+E490)*C490-G490)*'Assumptions and Catalog'!$H$61+'Assumptions and Catalog'!$E$61+'Assumptions and Catalog'!$F$61,IF(((D490+E490)*C490-G490)&lt;='Assumptions and Catalog'!$C$62,((D490+E490)*C490-G490)*'Assumptions and Catalog'!$H$62+'Assumptions and Catalog'!$E$62+'Assumptions and Catalog'!$F$62,IF(((D490+E490)*C490-G490)&lt;='Assumptions and Catalog'!$C$63,((D490+E490)*C490-G490)*'Assumptions and Catalog'!$H$63+'Assumptions and Catalog'!$E$63+'Assumptions and Catalog'!$F$63,IF(((D490+E490)*C490-G490)&lt;='Assumptions and Catalog'!$C$64,((D490+E490)*C490-G490)*'Assumptions and Catalog'!$H$64+'Assumptions and Catalog'!$E$64+'Assumptions and Catalog'!$F$64,IF(((D490+E490)*C490-G490)&lt;='Assumptions and Catalog'!$C$65,((D490+E490)*C490-G490)*'Assumptions and Catalog'!$H$65+'Assumptions and Catalog'!$E$65+'Assumptions and Catalog'!$F$65,"Out of range")))))))))*(1+'Assumptions and Catalog'!$C$8)^(A490-1),0)</f>
        <v>7094.794</v>
      </c>
      <c r="R490" s="5" t="n">
        <f>IF(AND('Assumptions and Catalog'!$C$19&gt;0,A490&gt;='Assumptions and Catalog'!$C$19),A490-'Assumptions and Catalog'!$C$19,A490-1)</f>
        <v>6</v>
      </c>
      <c r="S490" s="5" t="n">
        <f>F490+L490-(D490+E490)*C490-J490-K490-IF(D$52&gt;0,'Assumptions and Catalog'!$C$26*C490,0)</f>
        <v>0</v>
      </c>
      <c r="T490" s="5"/>
      <c r="U490" s="5"/>
    </row>
    <row r="491" ht="23.100000381469727" customHeight="1">
      <c r="A491" s="5" t="n">
        <v>7</v>
      </c>
      <c r="B491" s="5" t="n">
        <v>9</v>
      </c>
      <c r="C491" s="5" t="n">
        <f>DAY(DATE('Assumptions and Catalog'!$C$24+A491-1,B491+1,0))</f>
        <v>30</v>
      </c>
      <c r="D491" s="5" t="n">
        <f>IF(ISNUMBER(Inputs!$L$5),Inputs!$L$5*Inputs!$L$6,0)</f>
        <v>40.35</v>
      </c>
      <c r="E491" s="5" t="n">
        <f>IF(ISNUMBER(Inputs!$L$5),Inputs!$L$5-D491,0)</f>
        <v>40.35</v>
      </c>
      <c r="F491" s="5" t="n">
        <f>D$51*'Assumptions and Catalog'!$C$31*C491*(1-'Assumptions and Catalog'!$C$10)^(A491-1)</f>
        <v>0</v>
      </c>
      <c r="G491" s="5" t="n">
        <f>MIN(F491,D491*C491)</f>
        <v>0</v>
      </c>
      <c r="H491" s="5" t="n">
        <f>I491/('Assumptions and Catalog'!$C$11*'Assumptions and Catalog'!$C$12)</f>
        <v>0</v>
      </c>
      <c r="I491" s="5" t="n">
        <f>IF(K$15="Grid cycle",MIN(K$16,D491+E491,P491*'Assumptions and Catalog'!$C$12,D$57*(24-'Assumptions and Catalog'!$C$15),D$56*'Assumptions and Catalog'!$C$15*'Assumptions and Catalog'!$C$11*'Assumptions and Catalog'!$C$12)*C491,0)</f>
        <v>0</v>
      </c>
      <c r="J491" s="5" t="n">
        <f>MAX(F491-G491-0,0)</f>
        <v>0</v>
      </c>
      <c r="K491" s="5" t="n">
        <f>H491-I491</f>
        <v>0</v>
      </c>
      <c r="L491" s="5" t="n">
        <f>(D491+E491)*C491-G491-I491+H491+IF(D$52&gt;0,'Assumptions and Catalog'!$C$26*C491,0)</f>
        <v>2421</v>
      </c>
      <c r="M491" s="5" t="n">
        <f>IF(ISNUMBER(Inputs!$L$5),(IF(Inputs!$L$9="Actual flat rate",((D491+E491)*C491)*Inputs!$L$10,IF(Inputs!$C$9="Residential",IF(((D491+E491)*C491)&lt;='Assumptions and Catalog'!$C$50,((D491+E491)*C491)*'Assumptions and Catalog'!$H$50+'Assumptions and Catalog'!$E$50+'Assumptions and Catalog'!$F$50,IF(((D491+E491)*C491)&lt;='Assumptions and Catalog'!$C$51,((D491+E491)*C491)*'Assumptions and Catalog'!$H$51+'Assumptions and Catalog'!$E$51+'Assumptions and Catalog'!$F$51,IF(((D491+E491)*C491)&lt;='Assumptions and Catalog'!$C$52,((D491+E491)*C491)*'Assumptions and Catalog'!$H$52+'Assumptions and Catalog'!$E$52+'Assumptions and Catalog'!$F$52,IF(((D491+E491)*C491)&lt;='Assumptions and Catalog'!$C$53,((D491+E491)*C491)*'Assumptions and Catalog'!$H$53+'Assumptions and Catalog'!$E$53+'Assumptions and Catalog'!$F$53,IF(((D491+E491)*C491)&lt;='Assumptions and Catalog'!$C$54,((D491+E491)*C491)*'Assumptions and Catalog'!$H$54+'Assumptions and Catalog'!$E$54+'Assumptions and Catalog'!$F$54,IF(((D491+E491)*C491)&lt;='Assumptions and Catalog'!$C$55,((D491+E491)*C491)*'Assumptions and Catalog'!$H$55+'Assumptions and Catalog'!$E$55+'Assumptions and Catalog'!$F$55,IF(((D491+E491)*C491)&lt;='Assumptions and Catalog'!$C$56,((D491+E491)*C491)*'Assumptions and Catalog'!$H$56+'Assumptions and Catalog'!$E$56+'Assumptions and Catalog'!$F$56,IF(((D491+E491)*C491)&lt;='Assumptions and Catalog'!$C$57,((D491+E491)*C491)*'Assumptions and Catalog'!$H$57+'Assumptions and Catalog'!$E$57+'Assumptions and Catalog'!$F$57,"Out of range")))))))),IF(((D491+E491)*C491)&lt;='Assumptions and Catalog'!$C$60,((D491+E491)*C491)*'Assumptions and Catalog'!$H$60+'Assumptions and Catalog'!$E$60+'Assumptions and Catalog'!$F$60,IF(((D491+E491)*C491)&lt;='Assumptions and Catalog'!$C$61,((D491+E491)*C491)*'Assumptions and Catalog'!$H$61+'Assumptions and Catalog'!$E$61+'Assumptions and Catalog'!$F$61,IF(((D491+E491)*C491)&lt;='Assumptions and Catalog'!$C$62,((D491+E491)*C491)*'Assumptions and Catalog'!$H$62+'Assumptions and Catalog'!$E$62+'Assumptions and Catalog'!$F$62,IF(((D491+E491)*C491)&lt;='Assumptions and Catalog'!$C$63,((D491+E491)*C491)*'Assumptions and Catalog'!$H$63+'Assumptions and Catalog'!$E$63+'Assumptions and Catalog'!$F$63,IF(((D491+E491)*C491)&lt;='Assumptions and Catalog'!$C$64,((D491+E491)*C491)*'Assumptions and Catalog'!$H$64+'Assumptions and Catalog'!$E$64+'Assumptions and Catalog'!$F$64,IF(((D491+E491)*C491)&lt;='Assumptions and Catalog'!$C$65,((D491+E491)*C491)*'Assumptions and Catalog'!$H$65+'Assumptions and Catalog'!$E$65+'Assumptions and Catalog'!$F$65,"Out of range")))))))))*(1+'Assumptions and Catalog'!$C$8)^(A491-1),0)</f>
        <v>6867.22</v>
      </c>
      <c r="N491" s="5" t="n">
        <f>IF(ISNUMBER(Inputs!$L$5),(IF(Inputs!$L$9="Actual flat rate",L491*Inputs!$L$10,IF(Inputs!$C$9="Residential",IF(L491&lt;='Assumptions and Catalog'!$C$50,L491*'Assumptions and Catalog'!$H$50+'Assumptions and Catalog'!$E$50+'Assumptions and Catalog'!$F$50,IF(L491&lt;='Assumptions and Catalog'!$C$51,L491*'Assumptions and Catalog'!$H$51+'Assumptions and Catalog'!$E$51+'Assumptions and Catalog'!$F$51,IF(L491&lt;='Assumptions and Catalog'!$C$52,L491*'Assumptions and Catalog'!$H$52+'Assumptions and Catalog'!$E$52+'Assumptions and Catalog'!$F$52,IF(L491&lt;='Assumptions and Catalog'!$C$53,L491*'Assumptions and Catalog'!$H$53+'Assumptions and Catalog'!$E$53+'Assumptions and Catalog'!$F$53,IF(L491&lt;='Assumptions and Catalog'!$C$54,L491*'Assumptions and Catalog'!$H$54+'Assumptions and Catalog'!$E$54+'Assumptions and Catalog'!$F$54,IF(L491&lt;='Assumptions and Catalog'!$C$55,L491*'Assumptions and Catalog'!$H$55+'Assumptions and Catalog'!$E$55+'Assumptions and Catalog'!$F$55,IF(L491&lt;='Assumptions and Catalog'!$C$56,L491*'Assumptions and Catalog'!$H$56+'Assumptions and Catalog'!$E$56+'Assumptions and Catalog'!$F$56,IF(L491&lt;='Assumptions and Catalog'!$C$57,L491*'Assumptions and Catalog'!$H$57+'Assumptions and Catalog'!$E$57+'Assumptions and Catalog'!$F$57,"Out of range")))))))),IF(L491&lt;='Assumptions and Catalog'!$C$60,L491*'Assumptions and Catalog'!$H$60+'Assumptions and Catalog'!$E$60+'Assumptions and Catalog'!$F$60,IF(L491&lt;='Assumptions and Catalog'!$C$61,L491*'Assumptions and Catalog'!$H$61+'Assumptions and Catalog'!$E$61+'Assumptions and Catalog'!$F$61,IF(L491&lt;='Assumptions and Catalog'!$C$62,L491*'Assumptions and Catalog'!$H$62+'Assumptions and Catalog'!$E$62+'Assumptions and Catalog'!$F$62,IF(L491&lt;='Assumptions and Catalog'!$C$63,L491*'Assumptions and Catalog'!$H$63+'Assumptions and Catalog'!$E$63+'Assumptions and Catalog'!$F$63,IF(L491&lt;='Assumptions and Catalog'!$C$64,L491*'Assumptions and Catalog'!$H$64+'Assumptions and Catalog'!$E$64+'Assumptions and Catalog'!$F$64,IF(L491&lt;='Assumptions and Catalog'!$C$65,L491*'Assumptions and Catalog'!$H$65+'Assumptions and Catalog'!$E$65+'Assumptions and Catalog'!$F$65,"Out of range")))))))))*(1+'Assumptions and Catalog'!$C$8)^(A491-1),0)</f>
        <v>6867.22</v>
      </c>
      <c r="O491" s="5" t="n">
        <f>M491-N491</f>
        <v>0</v>
      </c>
      <c r="P491" s="5" t="n">
        <f>D$55*(1-K$14)*(1-'Assumptions and Catalog'!$C$23)^R491</f>
        <v>0</v>
      </c>
      <c r="Q491" s="5" t="n">
        <f>IF(ISNUMBER(Inputs!$L$5),(IF(Inputs!$L$9="Actual flat rate",((D491+E491)*C491-G491)*Inputs!$L$10,IF(Inputs!$C$9="Residential",IF(((D491+E491)*C491-G491)&lt;='Assumptions and Catalog'!$C$50,((D491+E491)*C491-G491)*'Assumptions and Catalog'!$H$50+'Assumptions and Catalog'!$E$50+'Assumptions and Catalog'!$F$50,IF(((D491+E491)*C491-G491)&lt;='Assumptions and Catalog'!$C$51,((D491+E491)*C491-G491)*'Assumptions and Catalog'!$H$51+'Assumptions and Catalog'!$E$51+'Assumptions and Catalog'!$F$51,IF(((D491+E491)*C491-G491)&lt;='Assumptions and Catalog'!$C$52,((D491+E491)*C491-G491)*'Assumptions and Catalog'!$H$52+'Assumptions and Catalog'!$E$52+'Assumptions and Catalog'!$F$52,IF(((D491+E491)*C491-G491)&lt;='Assumptions and Catalog'!$C$53,((D491+E491)*C491-G491)*'Assumptions and Catalog'!$H$53+'Assumptions and Catalog'!$E$53+'Assumptions and Catalog'!$F$53,IF(((D491+E491)*C491-G491)&lt;='Assumptions and Catalog'!$C$54,((D491+E491)*C491-G491)*'Assumptions and Catalog'!$H$54+'Assumptions and Catalog'!$E$54+'Assumptions and Catalog'!$F$54,IF(((D491+E491)*C491-G491)&lt;='Assumptions and Catalog'!$C$55,((D491+E491)*C491-G491)*'Assumptions and Catalog'!$H$55+'Assumptions and Catalog'!$E$55+'Assumptions and Catalog'!$F$55,IF(((D491+E491)*C491-G491)&lt;='Assumptions and Catalog'!$C$56,((D491+E491)*C491-G491)*'Assumptions and Catalog'!$H$56+'Assumptions and Catalog'!$E$56+'Assumptions and Catalog'!$F$56,IF(((D491+E491)*C491-G491)&lt;='Assumptions and Catalog'!$C$57,((D491+E491)*C491-G491)*'Assumptions and Catalog'!$H$57+'Assumptions and Catalog'!$E$57+'Assumptions and Catalog'!$F$57,"Out of range")))))))),IF(((D491+E491)*C491-G491)&lt;='Assumptions and Catalog'!$C$60,((D491+E491)*C491-G491)*'Assumptions and Catalog'!$H$60+'Assumptions and Catalog'!$E$60+'Assumptions and Catalog'!$F$60,IF(((D491+E491)*C491-G491)&lt;='Assumptions and Catalog'!$C$61,((D491+E491)*C491-G491)*'Assumptions and Catalog'!$H$61+'Assumptions and Catalog'!$E$61+'Assumptions and Catalog'!$F$61,IF(((D491+E491)*C491-G491)&lt;='Assumptions and Catalog'!$C$62,((D491+E491)*C491-G491)*'Assumptions and Catalog'!$H$62+'Assumptions and Catalog'!$E$62+'Assumptions and Catalog'!$F$62,IF(((D491+E491)*C491-G491)&lt;='Assumptions and Catalog'!$C$63,((D491+E491)*C491-G491)*'Assumptions and Catalog'!$H$63+'Assumptions and Catalog'!$E$63+'Assumptions and Catalog'!$F$63,IF(((D491+E491)*C491-G491)&lt;='Assumptions and Catalog'!$C$64,((D491+E491)*C491-G491)*'Assumptions and Catalog'!$H$64+'Assumptions and Catalog'!$E$64+'Assumptions and Catalog'!$F$64,IF(((D491+E491)*C491-G491)&lt;='Assumptions and Catalog'!$C$65,((D491+E491)*C491-G491)*'Assumptions and Catalog'!$H$65+'Assumptions and Catalog'!$E$65+'Assumptions and Catalog'!$F$65,"Out of range")))))))))*(1+'Assumptions and Catalog'!$C$8)^(A491-1),0)</f>
        <v>6867.22</v>
      </c>
      <c r="R491" s="5" t="n">
        <f>IF(AND('Assumptions and Catalog'!$C$19&gt;0,A491&gt;='Assumptions and Catalog'!$C$19),A491-'Assumptions and Catalog'!$C$19,A491-1)</f>
        <v>6</v>
      </c>
      <c r="S491" s="5" t="n">
        <f>F491+L491-(D491+E491)*C491-J491-K491-IF(D$52&gt;0,'Assumptions and Catalog'!$C$26*C491,0)</f>
        <v>0</v>
      </c>
      <c r="T491" s="5"/>
      <c r="U491" s="5"/>
    </row>
    <row r="492" ht="23.100000381469727" customHeight="1">
      <c r="A492" s="5" t="n">
        <v>7</v>
      </c>
      <c r="B492" s="5" t="n">
        <v>10</v>
      </c>
      <c r="C492" s="5" t="n">
        <f>DAY(DATE('Assumptions and Catalog'!$C$24+A492-1,B492+1,0))</f>
        <v>31</v>
      </c>
      <c r="D492" s="5" t="n">
        <f>IF(ISNUMBER(Inputs!$L$5),Inputs!$L$5*Inputs!$L$6,0)</f>
        <v>40.35</v>
      </c>
      <c r="E492" s="5" t="n">
        <f>IF(ISNUMBER(Inputs!$L$5),Inputs!$L$5-D492,0)</f>
        <v>40.35</v>
      </c>
      <c r="F492" s="5" t="n">
        <f>D$51*'Assumptions and Catalog'!$C$31*C492*(1-'Assumptions and Catalog'!$C$10)^(A492-1)</f>
        <v>0</v>
      </c>
      <c r="G492" s="5" t="n">
        <f>MIN(F492,D492*C492)</f>
        <v>0</v>
      </c>
      <c r="H492" s="5" t="n">
        <f>I492/('Assumptions and Catalog'!$C$11*'Assumptions and Catalog'!$C$12)</f>
        <v>0</v>
      </c>
      <c r="I492" s="5" t="n">
        <f>IF(K$15="Grid cycle",MIN(K$16,D492+E492,P492*'Assumptions and Catalog'!$C$12,D$57*(24-'Assumptions and Catalog'!$C$15),D$56*'Assumptions and Catalog'!$C$15*'Assumptions and Catalog'!$C$11*'Assumptions and Catalog'!$C$12)*C492,0)</f>
        <v>0</v>
      </c>
      <c r="J492" s="5" t="n">
        <f>MAX(F492-G492-0,0)</f>
        <v>0</v>
      </c>
      <c r="K492" s="5" t="n">
        <f>H492-I492</f>
        <v>0</v>
      </c>
      <c r="L492" s="5" t="n">
        <f>(D492+E492)*C492-G492-I492+H492+IF(D$52&gt;0,'Assumptions and Catalog'!$C$26*C492,0)</f>
        <v>2501.7</v>
      </c>
      <c r="M492" s="5" t="n">
        <f>IF(ISNUMBER(Inputs!$L$5),(IF(Inputs!$L$9="Actual flat rate",((D492+E492)*C492)*Inputs!$L$10,IF(Inputs!$C$9="Residential",IF(((D492+E492)*C492)&lt;='Assumptions and Catalog'!$C$50,((D492+E492)*C492)*'Assumptions and Catalog'!$H$50+'Assumptions and Catalog'!$E$50+'Assumptions and Catalog'!$F$50,IF(((D492+E492)*C492)&lt;='Assumptions and Catalog'!$C$51,((D492+E492)*C492)*'Assumptions and Catalog'!$H$51+'Assumptions and Catalog'!$E$51+'Assumptions and Catalog'!$F$51,IF(((D492+E492)*C492)&lt;='Assumptions and Catalog'!$C$52,((D492+E492)*C492)*'Assumptions and Catalog'!$H$52+'Assumptions and Catalog'!$E$52+'Assumptions and Catalog'!$F$52,IF(((D492+E492)*C492)&lt;='Assumptions and Catalog'!$C$53,((D492+E492)*C492)*'Assumptions and Catalog'!$H$53+'Assumptions and Catalog'!$E$53+'Assumptions and Catalog'!$F$53,IF(((D492+E492)*C492)&lt;='Assumptions and Catalog'!$C$54,((D492+E492)*C492)*'Assumptions and Catalog'!$H$54+'Assumptions and Catalog'!$E$54+'Assumptions and Catalog'!$F$54,IF(((D492+E492)*C492)&lt;='Assumptions and Catalog'!$C$55,((D492+E492)*C492)*'Assumptions and Catalog'!$H$55+'Assumptions and Catalog'!$E$55+'Assumptions and Catalog'!$F$55,IF(((D492+E492)*C492)&lt;='Assumptions and Catalog'!$C$56,((D492+E492)*C492)*'Assumptions and Catalog'!$H$56+'Assumptions and Catalog'!$E$56+'Assumptions and Catalog'!$F$56,IF(((D492+E492)*C492)&lt;='Assumptions and Catalog'!$C$57,((D492+E492)*C492)*'Assumptions and Catalog'!$H$57+'Assumptions and Catalog'!$E$57+'Assumptions and Catalog'!$F$57,"Out of range")))))))),IF(((D492+E492)*C492)&lt;='Assumptions and Catalog'!$C$60,((D492+E492)*C492)*'Assumptions and Catalog'!$H$60+'Assumptions and Catalog'!$E$60+'Assumptions and Catalog'!$F$60,IF(((D492+E492)*C492)&lt;='Assumptions and Catalog'!$C$61,((D492+E492)*C492)*'Assumptions and Catalog'!$H$61+'Assumptions and Catalog'!$E$61+'Assumptions and Catalog'!$F$61,IF(((D492+E492)*C492)&lt;='Assumptions and Catalog'!$C$62,((D492+E492)*C492)*'Assumptions and Catalog'!$H$62+'Assumptions and Catalog'!$E$62+'Assumptions and Catalog'!$F$62,IF(((D492+E492)*C492)&lt;='Assumptions and Catalog'!$C$63,((D492+E492)*C492)*'Assumptions and Catalog'!$H$63+'Assumptions and Catalog'!$E$63+'Assumptions and Catalog'!$F$63,IF(((D492+E492)*C492)&lt;='Assumptions and Catalog'!$C$64,((D492+E492)*C492)*'Assumptions and Catalog'!$H$64+'Assumptions and Catalog'!$E$64+'Assumptions and Catalog'!$F$64,IF(((D492+E492)*C492)&lt;='Assumptions and Catalog'!$C$65,((D492+E492)*C492)*'Assumptions and Catalog'!$H$65+'Assumptions and Catalog'!$E$65+'Assumptions and Catalog'!$F$65,"Out of range")))))))))*(1+'Assumptions and Catalog'!$C$8)^(A492-1),0)</f>
        <v>7094.794</v>
      </c>
      <c r="N492" s="5" t="n">
        <f>IF(ISNUMBER(Inputs!$L$5),(IF(Inputs!$L$9="Actual flat rate",L492*Inputs!$L$10,IF(Inputs!$C$9="Residential",IF(L492&lt;='Assumptions and Catalog'!$C$50,L492*'Assumptions and Catalog'!$H$50+'Assumptions and Catalog'!$E$50+'Assumptions and Catalog'!$F$50,IF(L492&lt;='Assumptions and Catalog'!$C$51,L492*'Assumptions and Catalog'!$H$51+'Assumptions and Catalog'!$E$51+'Assumptions and Catalog'!$F$51,IF(L492&lt;='Assumptions and Catalog'!$C$52,L492*'Assumptions and Catalog'!$H$52+'Assumptions and Catalog'!$E$52+'Assumptions and Catalog'!$F$52,IF(L492&lt;='Assumptions and Catalog'!$C$53,L492*'Assumptions and Catalog'!$H$53+'Assumptions and Catalog'!$E$53+'Assumptions and Catalog'!$F$53,IF(L492&lt;='Assumptions and Catalog'!$C$54,L492*'Assumptions and Catalog'!$H$54+'Assumptions and Catalog'!$E$54+'Assumptions and Catalog'!$F$54,IF(L492&lt;='Assumptions and Catalog'!$C$55,L492*'Assumptions and Catalog'!$H$55+'Assumptions and Catalog'!$E$55+'Assumptions and Catalog'!$F$55,IF(L492&lt;='Assumptions and Catalog'!$C$56,L492*'Assumptions and Catalog'!$H$56+'Assumptions and Catalog'!$E$56+'Assumptions and Catalog'!$F$56,IF(L492&lt;='Assumptions and Catalog'!$C$57,L492*'Assumptions and Catalog'!$H$57+'Assumptions and Catalog'!$E$57+'Assumptions and Catalog'!$F$57,"Out of range")))))))),IF(L492&lt;='Assumptions and Catalog'!$C$60,L492*'Assumptions and Catalog'!$H$60+'Assumptions and Catalog'!$E$60+'Assumptions and Catalog'!$F$60,IF(L492&lt;='Assumptions and Catalog'!$C$61,L492*'Assumptions and Catalog'!$H$61+'Assumptions and Catalog'!$E$61+'Assumptions and Catalog'!$F$61,IF(L492&lt;='Assumptions and Catalog'!$C$62,L492*'Assumptions and Catalog'!$H$62+'Assumptions and Catalog'!$E$62+'Assumptions and Catalog'!$F$62,IF(L492&lt;='Assumptions and Catalog'!$C$63,L492*'Assumptions and Catalog'!$H$63+'Assumptions and Catalog'!$E$63+'Assumptions and Catalog'!$F$63,IF(L492&lt;='Assumptions and Catalog'!$C$64,L492*'Assumptions and Catalog'!$H$64+'Assumptions and Catalog'!$E$64+'Assumptions and Catalog'!$F$64,IF(L492&lt;='Assumptions and Catalog'!$C$65,L492*'Assumptions and Catalog'!$H$65+'Assumptions and Catalog'!$E$65+'Assumptions and Catalog'!$F$65,"Out of range")))))))))*(1+'Assumptions and Catalog'!$C$8)^(A492-1),0)</f>
        <v>7094.794</v>
      </c>
      <c r="O492" s="5" t="n">
        <f>M492-N492</f>
        <v>0</v>
      </c>
      <c r="P492" s="5" t="n">
        <f>D$55*(1-K$14)*(1-'Assumptions and Catalog'!$C$23)^R492</f>
        <v>0</v>
      </c>
      <c r="Q492" s="5" t="n">
        <f>IF(ISNUMBER(Inputs!$L$5),(IF(Inputs!$L$9="Actual flat rate",((D492+E492)*C492-G492)*Inputs!$L$10,IF(Inputs!$C$9="Residential",IF(((D492+E492)*C492-G492)&lt;='Assumptions and Catalog'!$C$50,((D492+E492)*C492-G492)*'Assumptions and Catalog'!$H$50+'Assumptions and Catalog'!$E$50+'Assumptions and Catalog'!$F$50,IF(((D492+E492)*C492-G492)&lt;='Assumptions and Catalog'!$C$51,((D492+E492)*C492-G492)*'Assumptions and Catalog'!$H$51+'Assumptions and Catalog'!$E$51+'Assumptions and Catalog'!$F$51,IF(((D492+E492)*C492-G492)&lt;='Assumptions and Catalog'!$C$52,((D492+E492)*C492-G492)*'Assumptions and Catalog'!$H$52+'Assumptions and Catalog'!$E$52+'Assumptions and Catalog'!$F$52,IF(((D492+E492)*C492-G492)&lt;='Assumptions and Catalog'!$C$53,((D492+E492)*C492-G492)*'Assumptions and Catalog'!$H$53+'Assumptions and Catalog'!$E$53+'Assumptions and Catalog'!$F$53,IF(((D492+E492)*C492-G492)&lt;='Assumptions and Catalog'!$C$54,((D492+E492)*C492-G492)*'Assumptions and Catalog'!$H$54+'Assumptions and Catalog'!$E$54+'Assumptions and Catalog'!$F$54,IF(((D492+E492)*C492-G492)&lt;='Assumptions and Catalog'!$C$55,((D492+E492)*C492-G492)*'Assumptions and Catalog'!$H$55+'Assumptions and Catalog'!$E$55+'Assumptions and Catalog'!$F$55,IF(((D492+E492)*C492-G492)&lt;='Assumptions and Catalog'!$C$56,((D492+E492)*C492-G492)*'Assumptions and Catalog'!$H$56+'Assumptions and Catalog'!$E$56+'Assumptions and Catalog'!$F$56,IF(((D492+E492)*C492-G492)&lt;='Assumptions and Catalog'!$C$57,((D492+E492)*C492-G492)*'Assumptions and Catalog'!$H$57+'Assumptions and Catalog'!$E$57+'Assumptions and Catalog'!$F$57,"Out of range")))))))),IF(((D492+E492)*C492-G492)&lt;='Assumptions and Catalog'!$C$60,((D492+E492)*C492-G492)*'Assumptions and Catalog'!$H$60+'Assumptions and Catalog'!$E$60+'Assumptions and Catalog'!$F$60,IF(((D492+E492)*C492-G492)&lt;='Assumptions and Catalog'!$C$61,((D492+E492)*C492-G492)*'Assumptions and Catalog'!$H$61+'Assumptions and Catalog'!$E$61+'Assumptions and Catalog'!$F$61,IF(((D492+E492)*C492-G492)&lt;='Assumptions and Catalog'!$C$62,((D492+E492)*C492-G492)*'Assumptions and Catalog'!$H$62+'Assumptions and Catalog'!$E$62+'Assumptions and Catalog'!$F$62,IF(((D492+E492)*C492-G492)&lt;='Assumptions and Catalog'!$C$63,((D492+E492)*C492-G492)*'Assumptions and Catalog'!$H$63+'Assumptions and Catalog'!$E$63+'Assumptions and Catalog'!$F$63,IF(((D492+E492)*C492-G492)&lt;='Assumptions and Catalog'!$C$64,((D492+E492)*C492-G492)*'Assumptions and Catalog'!$H$64+'Assumptions and Catalog'!$E$64+'Assumptions and Catalog'!$F$64,IF(((D492+E492)*C492-G492)&lt;='Assumptions and Catalog'!$C$65,((D492+E492)*C492-G492)*'Assumptions and Catalog'!$H$65+'Assumptions and Catalog'!$E$65+'Assumptions and Catalog'!$F$65,"Out of range")))))))))*(1+'Assumptions and Catalog'!$C$8)^(A492-1),0)</f>
        <v>7094.794</v>
      </c>
      <c r="R492" s="5" t="n">
        <f>IF(AND('Assumptions and Catalog'!$C$19&gt;0,A492&gt;='Assumptions and Catalog'!$C$19),A492-'Assumptions and Catalog'!$C$19,A492-1)</f>
        <v>6</v>
      </c>
      <c r="S492" s="5" t="n">
        <f>F492+L492-(D492+E492)*C492-J492-K492-IF(D$52&gt;0,'Assumptions and Catalog'!$C$26*C492,0)</f>
        <v>0</v>
      </c>
      <c r="T492" s="5"/>
      <c r="U492" s="5"/>
    </row>
    <row r="493" ht="23.100000381469727" customHeight="1">
      <c r="A493" s="5" t="n">
        <v>7</v>
      </c>
      <c r="B493" s="5" t="n">
        <v>11</v>
      </c>
      <c r="C493" s="5" t="n">
        <f>DAY(DATE('Assumptions and Catalog'!$C$24+A493-1,B493+1,0))</f>
        <v>30</v>
      </c>
      <c r="D493" s="5" t="n">
        <f>IF(ISNUMBER(Inputs!$L$5),Inputs!$L$5*Inputs!$L$6,0)</f>
        <v>40.35</v>
      </c>
      <c r="E493" s="5" t="n">
        <f>IF(ISNUMBER(Inputs!$L$5),Inputs!$L$5-D493,0)</f>
        <v>40.35</v>
      </c>
      <c r="F493" s="5" t="n">
        <f>D$51*'Assumptions and Catalog'!$C$31*C493*(1-'Assumptions and Catalog'!$C$10)^(A493-1)</f>
        <v>0</v>
      </c>
      <c r="G493" s="5" t="n">
        <f>MIN(F493,D493*C493)</f>
        <v>0</v>
      </c>
      <c r="H493" s="5" t="n">
        <f>I493/('Assumptions and Catalog'!$C$11*'Assumptions and Catalog'!$C$12)</f>
        <v>0</v>
      </c>
      <c r="I493" s="5" t="n">
        <f>IF(K$15="Grid cycle",MIN(K$16,D493+E493,P493*'Assumptions and Catalog'!$C$12,D$57*(24-'Assumptions and Catalog'!$C$15),D$56*'Assumptions and Catalog'!$C$15*'Assumptions and Catalog'!$C$11*'Assumptions and Catalog'!$C$12)*C493,0)</f>
        <v>0</v>
      </c>
      <c r="J493" s="5" t="n">
        <f>MAX(F493-G493-0,0)</f>
        <v>0</v>
      </c>
      <c r="K493" s="5" t="n">
        <f>H493-I493</f>
        <v>0</v>
      </c>
      <c r="L493" s="5" t="n">
        <f>(D493+E493)*C493-G493-I493+H493+IF(D$52&gt;0,'Assumptions and Catalog'!$C$26*C493,0)</f>
        <v>2421</v>
      </c>
      <c r="M493" s="5" t="n">
        <f>IF(ISNUMBER(Inputs!$L$5),(IF(Inputs!$L$9="Actual flat rate",((D493+E493)*C493)*Inputs!$L$10,IF(Inputs!$C$9="Residential",IF(((D493+E493)*C493)&lt;='Assumptions and Catalog'!$C$50,((D493+E493)*C493)*'Assumptions and Catalog'!$H$50+'Assumptions and Catalog'!$E$50+'Assumptions and Catalog'!$F$50,IF(((D493+E493)*C493)&lt;='Assumptions and Catalog'!$C$51,((D493+E493)*C493)*'Assumptions and Catalog'!$H$51+'Assumptions and Catalog'!$E$51+'Assumptions and Catalog'!$F$51,IF(((D493+E493)*C493)&lt;='Assumptions and Catalog'!$C$52,((D493+E493)*C493)*'Assumptions and Catalog'!$H$52+'Assumptions and Catalog'!$E$52+'Assumptions and Catalog'!$F$52,IF(((D493+E493)*C493)&lt;='Assumptions and Catalog'!$C$53,((D493+E493)*C493)*'Assumptions and Catalog'!$H$53+'Assumptions and Catalog'!$E$53+'Assumptions and Catalog'!$F$53,IF(((D493+E493)*C493)&lt;='Assumptions and Catalog'!$C$54,((D493+E493)*C493)*'Assumptions and Catalog'!$H$54+'Assumptions and Catalog'!$E$54+'Assumptions and Catalog'!$F$54,IF(((D493+E493)*C493)&lt;='Assumptions and Catalog'!$C$55,((D493+E493)*C493)*'Assumptions and Catalog'!$H$55+'Assumptions and Catalog'!$E$55+'Assumptions and Catalog'!$F$55,IF(((D493+E493)*C493)&lt;='Assumptions and Catalog'!$C$56,((D493+E493)*C493)*'Assumptions and Catalog'!$H$56+'Assumptions and Catalog'!$E$56+'Assumptions and Catalog'!$F$56,IF(((D493+E493)*C493)&lt;='Assumptions and Catalog'!$C$57,((D493+E493)*C493)*'Assumptions and Catalog'!$H$57+'Assumptions and Catalog'!$E$57+'Assumptions and Catalog'!$F$57,"Out of range")))))))),IF(((D493+E493)*C493)&lt;='Assumptions and Catalog'!$C$60,((D493+E493)*C493)*'Assumptions and Catalog'!$H$60+'Assumptions and Catalog'!$E$60+'Assumptions and Catalog'!$F$60,IF(((D493+E493)*C493)&lt;='Assumptions and Catalog'!$C$61,((D493+E493)*C493)*'Assumptions and Catalog'!$H$61+'Assumptions and Catalog'!$E$61+'Assumptions and Catalog'!$F$61,IF(((D493+E493)*C493)&lt;='Assumptions and Catalog'!$C$62,((D493+E493)*C493)*'Assumptions and Catalog'!$H$62+'Assumptions and Catalog'!$E$62+'Assumptions and Catalog'!$F$62,IF(((D493+E493)*C493)&lt;='Assumptions and Catalog'!$C$63,((D493+E493)*C493)*'Assumptions and Catalog'!$H$63+'Assumptions and Catalog'!$E$63+'Assumptions and Catalog'!$F$63,IF(((D493+E493)*C493)&lt;='Assumptions and Catalog'!$C$64,((D493+E493)*C493)*'Assumptions and Catalog'!$H$64+'Assumptions and Catalog'!$E$64+'Assumptions and Catalog'!$F$64,IF(((D493+E493)*C493)&lt;='Assumptions and Catalog'!$C$65,((D493+E493)*C493)*'Assumptions and Catalog'!$H$65+'Assumptions and Catalog'!$E$65+'Assumptions and Catalog'!$F$65,"Out of range")))))))))*(1+'Assumptions and Catalog'!$C$8)^(A493-1),0)</f>
        <v>6867.22</v>
      </c>
      <c r="N493" s="5" t="n">
        <f>IF(ISNUMBER(Inputs!$L$5),(IF(Inputs!$L$9="Actual flat rate",L493*Inputs!$L$10,IF(Inputs!$C$9="Residential",IF(L493&lt;='Assumptions and Catalog'!$C$50,L493*'Assumptions and Catalog'!$H$50+'Assumptions and Catalog'!$E$50+'Assumptions and Catalog'!$F$50,IF(L493&lt;='Assumptions and Catalog'!$C$51,L493*'Assumptions and Catalog'!$H$51+'Assumptions and Catalog'!$E$51+'Assumptions and Catalog'!$F$51,IF(L493&lt;='Assumptions and Catalog'!$C$52,L493*'Assumptions and Catalog'!$H$52+'Assumptions and Catalog'!$E$52+'Assumptions and Catalog'!$F$52,IF(L493&lt;='Assumptions and Catalog'!$C$53,L493*'Assumptions and Catalog'!$H$53+'Assumptions and Catalog'!$E$53+'Assumptions and Catalog'!$F$53,IF(L493&lt;='Assumptions and Catalog'!$C$54,L493*'Assumptions and Catalog'!$H$54+'Assumptions and Catalog'!$E$54+'Assumptions and Catalog'!$F$54,IF(L493&lt;='Assumptions and Catalog'!$C$55,L493*'Assumptions and Catalog'!$H$55+'Assumptions and Catalog'!$E$55+'Assumptions and Catalog'!$F$55,IF(L493&lt;='Assumptions and Catalog'!$C$56,L493*'Assumptions and Catalog'!$H$56+'Assumptions and Catalog'!$E$56+'Assumptions and Catalog'!$F$56,IF(L493&lt;='Assumptions and Catalog'!$C$57,L493*'Assumptions and Catalog'!$H$57+'Assumptions and Catalog'!$E$57+'Assumptions and Catalog'!$F$57,"Out of range")))))))),IF(L493&lt;='Assumptions and Catalog'!$C$60,L493*'Assumptions and Catalog'!$H$60+'Assumptions and Catalog'!$E$60+'Assumptions and Catalog'!$F$60,IF(L493&lt;='Assumptions and Catalog'!$C$61,L493*'Assumptions and Catalog'!$H$61+'Assumptions and Catalog'!$E$61+'Assumptions and Catalog'!$F$61,IF(L493&lt;='Assumptions and Catalog'!$C$62,L493*'Assumptions and Catalog'!$H$62+'Assumptions and Catalog'!$E$62+'Assumptions and Catalog'!$F$62,IF(L493&lt;='Assumptions and Catalog'!$C$63,L493*'Assumptions and Catalog'!$H$63+'Assumptions and Catalog'!$E$63+'Assumptions and Catalog'!$F$63,IF(L493&lt;='Assumptions and Catalog'!$C$64,L493*'Assumptions and Catalog'!$H$64+'Assumptions and Catalog'!$E$64+'Assumptions and Catalog'!$F$64,IF(L493&lt;='Assumptions and Catalog'!$C$65,L493*'Assumptions and Catalog'!$H$65+'Assumptions and Catalog'!$E$65+'Assumptions and Catalog'!$F$65,"Out of range")))))))))*(1+'Assumptions and Catalog'!$C$8)^(A493-1),0)</f>
        <v>6867.22</v>
      </c>
      <c r="O493" s="5" t="n">
        <f>M493-N493</f>
        <v>0</v>
      </c>
      <c r="P493" s="5" t="n">
        <f>D$55*(1-K$14)*(1-'Assumptions and Catalog'!$C$23)^R493</f>
        <v>0</v>
      </c>
      <c r="Q493" s="5" t="n">
        <f>IF(ISNUMBER(Inputs!$L$5),(IF(Inputs!$L$9="Actual flat rate",((D493+E493)*C493-G493)*Inputs!$L$10,IF(Inputs!$C$9="Residential",IF(((D493+E493)*C493-G493)&lt;='Assumptions and Catalog'!$C$50,((D493+E493)*C493-G493)*'Assumptions and Catalog'!$H$50+'Assumptions and Catalog'!$E$50+'Assumptions and Catalog'!$F$50,IF(((D493+E493)*C493-G493)&lt;='Assumptions and Catalog'!$C$51,((D493+E493)*C493-G493)*'Assumptions and Catalog'!$H$51+'Assumptions and Catalog'!$E$51+'Assumptions and Catalog'!$F$51,IF(((D493+E493)*C493-G493)&lt;='Assumptions and Catalog'!$C$52,((D493+E493)*C493-G493)*'Assumptions and Catalog'!$H$52+'Assumptions and Catalog'!$E$52+'Assumptions and Catalog'!$F$52,IF(((D493+E493)*C493-G493)&lt;='Assumptions and Catalog'!$C$53,((D493+E493)*C493-G493)*'Assumptions and Catalog'!$H$53+'Assumptions and Catalog'!$E$53+'Assumptions and Catalog'!$F$53,IF(((D493+E493)*C493-G493)&lt;='Assumptions and Catalog'!$C$54,((D493+E493)*C493-G493)*'Assumptions and Catalog'!$H$54+'Assumptions and Catalog'!$E$54+'Assumptions and Catalog'!$F$54,IF(((D493+E493)*C493-G493)&lt;='Assumptions and Catalog'!$C$55,((D493+E493)*C493-G493)*'Assumptions and Catalog'!$H$55+'Assumptions and Catalog'!$E$55+'Assumptions and Catalog'!$F$55,IF(((D493+E493)*C493-G493)&lt;='Assumptions and Catalog'!$C$56,((D493+E493)*C493-G493)*'Assumptions and Catalog'!$H$56+'Assumptions and Catalog'!$E$56+'Assumptions and Catalog'!$F$56,IF(((D493+E493)*C493-G493)&lt;='Assumptions and Catalog'!$C$57,((D493+E493)*C493-G493)*'Assumptions and Catalog'!$H$57+'Assumptions and Catalog'!$E$57+'Assumptions and Catalog'!$F$57,"Out of range")))))))),IF(((D493+E493)*C493-G493)&lt;='Assumptions and Catalog'!$C$60,((D493+E493)*C493-G493)*'Assumptions and Catalog'!$H$60+'Assumptions and Catalog'!$E$60+'Assumptions and Catalog'!$F$60,IF(((D493+E493)*C493-G493)&lt;='Assumptions and Catalog'!$C$61,((D493+E493)*C493-G493)*'Assumptions and Catalog'!$H$61+'Assumptions and Catalog'!$E$61+'Assumptions and Catalog'!$F$61,IF(((D493+E493)*C493-G493)&lt;='Assumptions and Catalog'!$C$62,((D493+E493)*C493-G493)*'Assumptions and Catalog'!$H$62+'Assumptions and Catalog'!$E$62+'Assumptions and Catalog'!$F$62,IF(((D493+E493)*C493-G493)&lt;='Assumptions and Catalog'!$C$63,((D493+E493)*C493-G493)*'Assumptions and Catalog'!$H$63+'Assumptions and Catalog'!$E$63+'Assumptions and Catalog'!$F$63,IF(((D493+E493)*C493-G493)&lt;='Assumptions and Catalog'!$C$64,((D493+E493)*C493-G493)*'Assumptions and Catalog'!$H$64+'Assumptions and Catalog'!$E$64+'Assumptions and Catalog'!$F$64,IF(((D493+E493)*C493-G493)&lt;='Assumptions and Catalog'!$C$65,((D493+E493)*C493-G493)*'Assumptions and Catalog'!$H$65+'Assumptions and Catalog'!$E$65+'Assumptions and Catalog'!$F$65,"Out of range")))))))))*(1+'Assumptions and Catalog'!$C$8)^(A493-1),0)</f>
        <v>6867.22</v>
      </c>
      <c r="R493" s="5" t="n">
        <f>IF(AND('Assumptions and Catalog'!$C$19&gt;0,A493&gt;='Assumptions and Catalog'!$C$19),A493-'Assumptions and Catalog'!$C$19,A493-1)</f>
        <v>6</v>
      </c>
      <c r="S493" s="5" t="n">
        <f>F493+L493-(D493+E493)*C493-J493-K493-IF(D$52&gt;0,'Assumptions and Catalog'!$C$26*C493,0)</f>
        <v>0</v>
      </c>
      <c r="T493" s="5"/>
      <c r="U493" s="5"/>
    </row>
    <row r="494" ht="23.100000381469727" customHeight="1">
      <c r="A494" s="5" t="n">
        <v>7</v>
      </c>
      <c r="B494" s="5" t="n">
        <v>12</v>
      </c>
      <c r="C494" s="5" t="n">
        <f>DAY(DATE('Assumptions and Catalog'!$C$24+A494-1,B494+1,0))</f>
        <v>31</v>
      </c>
      <c r="D494" s="5" t="n">
        <f>IF(ISNUMBER(Inputs!$L$5),Inputs!$L$5*Inputs!$L$6,0)</f>
        <v>40.35</v>
      </c>
      <c r="E494" s="5" t="n">
        <f>IF(ISNUMBER(Inputs!$L$5),Inputs!$L$5-D494,0)</f>
        <v>40.35</v>
      </c>
      <c r="F494" s="5" t="n">
        <f>D$51*'Assumptions and Catalog'!$C$31*C494*(1-'Assumptions and Catalog'!$C$10)^(A494-1)</f>
        <v>0</v>
      </c>
      <c r="G494" s="5" t="n">
        <f>MIN(F494,D494*C494)</f>
        <v>0</v>
      </c>
      <c r="H494" s="5" t="n">
        <f>I494/('Assumptions and Catalog'!$C$11*'Assumptions and Catalog'!$C$12)</f>
        <v>0</v>
      </c>
      <c r="I494" s="5" t="n">
        <f>IF(K$15="Grid cycle",MIN(K$16,D494+E494,P494*'Assumptions and Catalog'!$C$12,D$57*(24-'Assumptions and Catalog'!$C$15),D$56*'Assumptions and Catalog'!$C$15*'Assumptions and Catalog'!$C$11*'Assumptions and Catalog'!$C$12)*C494,0)</f>
        <v>0</v>
      </c>
      <c r="J494" s="5" t="n">
        <f>MAX(F494-G494-0,0)</f>
        <v>0</v>
      </c>
      <c r="K494" s="5" t="n">
        <f>H494-I494</f>
        <v>0</v>
      </c>
      <c r="L494" s="5" t="n">
        <f>(D494+E494)*C494-G494-I494+H494+IF(D$52&gt;0,'Assumptions and Catalog'!$C$26*C494,0)</f>
        <v>2501.7</v>
      </c>
      <c r="M494" s="5" t="n">
        <f>IF(ISNUMBER(Inputs!$L$5),(IF(Inputs!$L$9="Actual flat rate",((D494+E494)*C494)*Inputs!$L$10,IF(Inputs!$C$9="Residential",IF(((D494+E494)*C494)&lt;='Assumptions and Catalog'!$C$50,((D494+E494)*C494)*'Assumptions and Catalog'!$H$50+'Assumptions and Catalog'!$E$50+'Assumptions and Catalog'!$F$50,IF(((D494+E494)*C494)&lt;='Assumptions and Catalog'!$C$51,((D494+E494)*C494)*'Assumptions and Catalog'!$H$51+'Assumptions and Catalog'!$E$51+'Assumptions and Catalog'!$F$51,IF(((D494+E494)*C494)&lt;='Assumptions and Catalog'!$C$52,((D494+E494)*C494)*'Assumptions and Catalog'!$H$52+'Assumptions and Catalog'!$E$52+'Assumptions and Catalog'!$F$52,IF(((D494+E494)*C494)&lt;='Assumptions and Catalog'!$C$53,((D494+E494)*C494)*'Assumptions and Catalog'!$H$53+'Assumptions and Catalog'!$E$53+'Assumptions and Catalog'!$F$53,IF(((D494+E494)*C494)&lt;='Assumptions and Catalog'!$C$54,((D494+E494)*C494)*'Assumptions and Catalog'!$H$54+'Assumptions and Catalog'!$E$54+'Assumptions and Catalog'!$F$54,IF(((D494+E494)*C494)&lt;='Assumptions and Catalog'!$C$55,((D494+E494)*C494)*'Assumptions and Catalog'!$H$55+'Assumptions and Catalog'!$E$55+'Assumptions and Catalog'!$F$55,IF(((D494+E494)*C494)&lt;='Assumptions and Catalog'!$C$56,((D494+E494)*C494)*'Assumptions and Catalog'!$H$56+'Assumptions and Catalog'!$E$56+'Assumptions and Catalog'!$F$56,IF(((D494+E494)*C494)&lt;='Assumptions and Catalog'!$C$57,((D494+E494)*C494)*'Assumptions and Catalog'!$H$57+'Assumptions and Catalog'!$E$57+'Assumptions and Catalog'!$F$57,"Out of range")))))))),IF(((D494+E494)*C494)&lt;='Assumptions and Catalog'!$C$60,((D494+E494)*C494)*'Assumptions and Catalog'!$H$60+'Assumptions and Catalog'!$E$60+'Assumptions and Catalog'!$F$60,IF(((D494+E494)*C494)&lt;='Assumptions and Catalog'!$C$61,((D494+E494)*C494)*'Assumptions and Catalog'!$H$61+'Assumptions and Catalog'!$E$61+'Assumptions and Catalog'!$F$61,IF(((D494+E494)*C494)&lt;='Assumptions and Catalog'!$C$62,((D494+E494)*C494)*'Assumptions and Catalog'!$H$62+'Assumptions and Catalog'!$E$62+'Assumptions and Catalog'!$F$62,IF(((D494+E494)*C494)&lt;='Assumptions and Catalog'!$C$63,((D494+E494)*C494)*'Assumptions and Catalog'!$H$63+'Assumptions and Catalog'!$E$63+'Assumptions and Catalog'!$F$63,IF(((D494+E494)*C494)&lt;='Assumptions and Catalog'!$C$64,((D494+E494)*C494)*'Assumptions and Catalog'!$H$64+'Assumptions and Catalog'!$E$64+'Assumptions and Catalog'!$F$64,IF(((D494+E494)*C494)&lt;='Assumptions and Catalog'!$C$65,((D494+E494)*C494)*'Assumptions and Catalog'!$H$65+'Assumptions and Catalog'!$E$65+'Assumptions and Catalog'!$F$65,"Out of range")))))))))*(1+'Assumptions and Catalog'!$C$8)^(A494-1),0)</f>
        <v>7094.794</v>
      </c>
      <c r="N494" s="5" t="n">
        <f>IF(ISNUMBER(Inputs!$L$5),(IF(Inputs!$L$9="Actual flat rate",L494*Inputs!$L$10,IF(Inputs!$C$9="Residential",IF(L494&lt;='Assumptions and Catalog'!$C$50,L494*'Assumptions and Catalog'!$H$50+'Assumptions and Catalog'!$E$50+'Assumptions and Catalog'!$F$50,IF(L494&lt;='Assumptions and Catalog'!$C$51,L494*'Assumptions and Catalog'!$H$51+'Assumptions and Catalog'!$E$51+'Assumptions and Catalog'!$F$51,IF(L494&lt;='Assumptions and Catalog'!$C$52,L494*'Assumptions and Catalog'!$H$52+'Assumptions and Catalog'!$E$52+'Assumptions and Catalog'!$F$52,IF(L494&lt;='Assumptions and Catalog'!$C$53,L494*'Assumptions and Catalog'!$H$53+'Assumptions and Catalog'!$E$53+'Assumptions and Catalog'!$F$53,IF(L494&lt;='Assumptions and Catalog'!$C$54,L494*'Assumptions and Catalog'!$H$54+'Assumptions and Catalog'!$E$54+'Assumptions and Catalog'!$F$54,IF(L494&lt;='Assumptions and Catalog'!$C$55,L494*'Assumptions and Catalog'!$H$55+'Assumptions and Catalog'!$E$55+'Assumptions and Catalog'!$F$55,IF(L494&lt;='Assumptions and Catalog'!$C$56,L494*'Assumptions and Catalog'!$H$56+'Assumptions and Catalog'!$E$56+'Assumptions and Catalog'!$F$56,IF(L494&lt;='Assumptions and Catalog'!$C$57,L494*'Assumptions and Catalog'!$H$57+'Assumptions and Catalog'!$E$57+'Assumptions and Catalog'!$F$57,"Out of range")))))))),IF(L494&lt;='Assumptions and Catalog'!$C$60,L494*'Assumptions and Catalog'!$H$60+'Assumptions and Catalog'!$E$60+'Assumptions and Catalog'!$F$60,IF(L494&lt;='Assumptions and Catalog'!$C$61,L494*'Assumptions and Catalog'!$H$61+'Assumptions and Catalog'!$E$61+'Assumptions and Catalog'!$F$61,IF(L494&lt;='Assumptions and Catalog'!$C$62,L494*'Assumptions and Catalog'!$H$62+'Assumptions and Catalog'!$E$62+'Assumptions and Catalog'!$F$62,IF(L494&lt;='Assumptions and Catalog'!$C$63,L494*'Assumptions and Catalog'!$H$63+'Assumptions and Catalog'!$E$63+'Assumptions and Catalog'!$F$63,IF(L494&lt;='Assumptions and Catalog'!$C$64,L494*'Assumptions and Catalog'!$H$64+'Assumptions and Catalog'!$E$64+'Assumptions and Catalog'!$F$64,IF(L494&lt;='Assumptions and Catalog'!$C$65,L494*'Assumptions and Catalog'!$H$65+'Assumptions and Catalog'!$E$65+'Assumptions and Catalog'!$F$65,"Out of range")))))))))*(1+'Assumptions and Catalog'!$C$8)^(A494-1),0)</f>
        <v>7094.794</v>
      </c>
      <c r="O494" s="5" t="n">
        <f>M494-N494</f>
        <v>0</v>
      </c>
      <c r="P494" s="5" t="n">
        <f>D$55*(1-K$14)*(1-'Assumptions and Catalog'!$C$23)^R494</f>
        <v>0</v>
      </c>
      <c r="Q494" s="5" t="n">
        <f>IF(ISNUMBER(Inputs!$L$5),(IF(Inputs!$L$9="Actual flat rate",((D494+E494)*C494-G494)*Inputs!$L$10,IF(Inputs!$C$9="Residential",IF(((D494+E494)*C494-G494)&lt;='Assumptions and Catalog'!$C$50,((D494+E494)*C494-G494)*'Assumptions and Catalog'!$H$50+'Assumptions and Catalog'!$E$50+'Assumptions and Catalog'!$F$50,IF(((D494+E494)*C494-G494)&lt;='Assumptions and Catalog'!$C$51,((D494+E494)*C494-G494)*'Assumptions and Catalog'!$H$51+'Assumptions and Catalog'!$E$51+'Assumptions and Catalog'!$F$51,IF(((D494+E494)*C494-G494)&lt;='Assumptions and Catalog'!$C$52,((D494+E494)*C494-G494)*'Assumptions and Catalog'!$H$52+'Assumptions and Catalog'!$E$52+'Assumptions and Catalog'!$F$52,IF(((D494+E494)*C494-G494)&lt;='Assumptions and Catalog'!$C$53,((D494+E494)*C494-G494)*'Assumptions and Catalog'!$H$53+'Assumptions and Catalog'!$E$53+'Assumptions and Catalog'!$F$53,IF(((D494+E494)*C494-G494)&lt;='Assumptions and Catalog'!$C$54,((D494+E494)*C494-G494)*'Assumptions and Catalog'!$H$54+'Assumptions and Catalog'!$E$54+'Assumptions and Catalog'!$F$54,IF(((D494+E494)*C494-G494)&lt;='Assumptions and Catalog'!$C$55,((D494+E494)*C494-G494)*'Assumptions and Catalog'!$H$55+'Assumptions and Catalog'!$E$55+'Assumptions and Catalog'!$F$55,IF(((D494+E494)*C494-G494)&lt;='Assumptions and Catalog'!$C$56,((D494+E494)*C494-G494)*'Assumptions and Catalog'!$H$56+'Assumptions and Catalog'!$E$56+'Assumptions and Catalog'!$F$56,IF(((D494+E494)*C494-G494)&lt;='Assumptions and Catalog'!$C$57,((D494+E494)*C494-G494)*'Assumptions and Catalog'!$H$57+'Assumptions and Catalog'!$E$57+'Assumptions and Catalog'!$F$57,"Out of range")))))))),IF(((D494+E494)*C494-G494)&lt;='Assumptions and Catalog'!$C$60,((D494+E494)*C494-G494)*'Assumptions and Catalog'!$H$60+'Assumptions and Catalog'!$E$60+'Assumptions and Catalog'!$F$60,IF(((D494+E494)*C494-G494)&lt;='Assumptions and Catalog'!$C$61,((D494+E494)*C494-G494)*'Assumptions and Catalog'!$H$61+'Assumptions and Catalog'!$E$61+'Assumptions and Catalog'!$F$61,IF(((D494+E494)*C494-G494)&lt;='Assumptions and Catalog'!$C$62,((D494+E494)*C494-G494)*'Assumptions and Catalog'!$H$62+'Assumptions and Catalog'!$E$62+'Assumptions and Catalog'!$F$62,IF(((D494+E494)*C494-G494)&lt;='Assumptions and Catalog'!$C$63,((D494+E494)*C494-G494)*'Assumptions and Catalog'!$H$63+'Assumptions and Catalog'!$E$63+'Assumptions and Catalog'!$F$63,IF(((D494+E494)*C494-G494)&lt;='Assumptions and Catalog'!$C$64,((D494+E494)*C494-G494)*'Assumptions and Catalog'!$H$64+'Assumptions and Catalog'!$E$64+'Assumptions and Catalog'!$F$64,IF(((D494+E494)*C494-G494)&lt;='Assumptions and Catalog'!$C$65,((D494+E494)*C494-G494)*'Assumptions and Catalog'!$H$65+'Assumptions and Catalog'!$E$65+'Assumptions and Catalog'!$F$65,"Out of range")))))))))*(1+'Assumptions and Catalog'!$C$8)^(A494-1),0)</f>
        <v>7094.794</v>
      </c>
      <c r="R494" s="5" t="n">
        <f>IF(AND('Assumptions and Catalog'!$C$19&gt;0,A494&gt;='Assumptions and Catalog'!$C$19),A494-'Assumptions and Catalog'!$C$19,A494-1)</f>
        <v>6</v>
      </c>
      <c r="S494" s="5" t="n">
        <f>F494+L494-(D494+E494)*C494-J494-K494-IF(D$52&gt;0,'Assumptions and Catalog'!$C$26*C494,0)</f>
        <v>0</v>
      </c>
      <c r="T494" s="5"/>
      <c r="U494" s="5"/>
    </row>
    <row r="495" ht="23.100000381469727" customHeight="1">
      <c r="A495" s="5" t="n">
        <v>8</v>
      </c>
      <c r="B495" s="5" t="n">
        <v>1</v>
      </c>
      <c r="C495" s="5" t="n">
        <f>DAY(DATE('Assumptions and Catalog'!$C$24+A495-1,B495+1,0))</f>
        <v>31</v>
      </c>
      <c r="D495" s="5" t="n">
        <f>IF(ISNUMBER(Inputs!$L$5),Inputs!$L$5*Inputs!$L$6,0)</f>
        <v>40.35</v>
      </c>
      <c r="E495" s="5" t="n">
        <f>IF(ISNUMBER(Inputs!$L$5),Inputs!$L$5-D495,0)</f>
        <v>40.35</v>
      </c>
      <c r="F495" s="5" t="n">
        <f>D$51*'Assumptions and Catalog'!$C$31*C495*(1-'Assumptions and Catalog'!$C$10)^(A495-1)</f>
        <v>0</v>
      </c>
      <c r="G495" s="5" t="n">
        <f>MIN(F495,D495*C495)</f>
        <v>0</v>
      </c>
      <c r="H495" s="5" t="n">
        <f>I495/('Assumptions and Catalog'!$C$11*'Assumptions and Catalog'!$C$12)</f>
        <v>0</v>
      </c>
      <c r="I495" s="5" t="n">
        <f>IF(K$15="Grid cycle",MIN(K$16,D495+E495,P495*'Assumptions and Catalog'!$C$12,D$57*(24-'Assumptions and Catalog'!$C$15),D$56*'Assumptions and Catalog'!$C$15*'Assumptions and Catalog'!$C$11*'Assumptions and Catalog'!$C$12)*C495,0)</f>
        <v>0</v>
      </c>
      <c r="J495" s="5" t="n">
        <f>MAX(F495-G495-0,0)</f>
        <v>0</v>
      </c>
      <c r="K495" s="5" t="n">
        <f>H495-I495</f>
        <v>0</v>
      </c>
      <c r="L495" s="5" t="n">
        <f>(D495+E495)*C495-G495-I495+H495+IF(D$52&gt;0,'Assumptions and Catalog'!$C$26*C495,0)</f>
        <v>2501.7</v>
      </c>
      <c r="M495" s="5" t="n">
        <f>IF(ISNUMBER(Inputs!$L$5),(IF(Inputs!$L$9="Actual flat rate",((D495+E495)*C495)*Inputs!$L$10,IF(Inputs!$C$9="Residential",IF(((D495+E495)*C495)&lt;='Assumptions and Catalog'!$C$50,((D495+E495)*C495)*'Assumptions and Catalog'!$H$50+'Assumptions and Catalog'!$E$50+'Assumptions and Catalog'!$F$50,IF(((D495+E495)*C495)&lt;='Assumptions and Catalog'!$C$51,((D495+E495)*C495)*'Assumptions and Catalog'!$H$51+'Assumptions and Catalog'!$E$51+'Assumptions and Catalog'!$F$51,IF(((D495+E495)*C495)&lt;='Assumptions and Catalog'!$C$52,((D495+E495)*C495)*'Assumptions and Catalog'!$H$52+'Assumptions and Catalog'!$E$52+'Assumptions and Catalog'!$F$52,IF(((D495+E495)*C495)&lt;='Assumptions and Catalog'!$C$53,((D495+E495)*C495)*'Assumptions and Catalog'!$H$53+'Assumptions and Catalog'!$E$53+'Assumptions and Catalog'!$F$53,IF(((D495+E495)*C495)&lt;='Assumptions and Catalog'!$C$54,((D495+E495)*C495)*'Assumptions and Catalog'!$H$54+'Assumptions and Catalog'!$E$54+'Assumptions and Catalog'!$F$54,IF(((D495+E495)*C495)&lt;='Assumptions and Catalog'!$C$55,((D495+E495)*C495)*'Assumptions and Catalog'!$H$55+'Assumptions and Catalog'!$E$55+'Assumptions and Catalog'!$F$55,IF(((D495+E495)*C495)&lt;='Assumptions and Catalog'!$C$56,((D495+E495)*C495)*'Assumptions and Catalog'!$H$56+'Assumptions and Catalog'!$E$56+'Assumptions and Catalog'!$F$56,IF(((D495+E495)*C495)&lt;='Assumptions and Catalog'!$C$57,((D495+E495)*C495)*'Assumptions and Catalog'!$H$57+'Assumptions and Catalog'!$E$57+'Assumptions and Catalog'!$F$57,"Out of range")))))))),IF(((D495+E495)*C495)&lt;='Assumptions and Catalog'!$C$60,((D495+E495)*C495)*'Assumptions and Catalog'!$H$60+'Assumptions and Catalog'!$E$60+'Assumptions and Catalog'!$F$60,IF(((D495+E495)*C495)&lt;='Assumptions and Catalog'!$C$61,((D495+E495)*C495)*'Assumptions and Catalog'!$H$61+'Assumptions and Catalog'!$E$61+'Assumptions and Catalog'!$F$61,IF(((D495+E495)*C495)&lt;='Assumptions and Catalog'!$C$62,((D495+E495)*C495)*'Assumptions and Catalog'!$H$62+'Assumptions and Catalog'!$E$62+'Assumptions and Catalog'!$F$62,IF(((D495+E495)*C495)&lt;='Assumptions and Catalog'!$C$63,((D495+E495)*C495)*'Assumptions and Catalog'!$H$63+'Assumptions and Catalog'!$E$63+'Assumptions and Catalog'!$F$63,IF(((D495+E495)*C495)&lt;='Assumptions and Catalog'!$C$64,((D495+E495)*C495)*'Assumptions and Catalog'!$H$64+'Assumptions and Catalog'!$E$64+'Assumptions and Catalog'!$F$64,IF(((D495+E495)*C495)&lt;='Assumptions and Catalog'!$C$65,((D495+E495)*C495)*'Assumptions and Catalog'!$H$65+'Assumptions and Catalog'!$E$65+'Assumptions and Catalog'!$F$65,"Out of range")))))))))*(1+'Assumptions and Catalog'!$C$8)^(A495-1),0)</f>
        <v>7094.794</v>
      </c>
      <c r="N495" s="5" t="n">
        <f>IF(ISNUMBER(Inputs!$L$5),(IF(Inputs!$L$9="Actual flat rate",L495*Inputs!$L$10,IF(Inputs!$C$9="Residential",IF(L495&lt;='Assumptions and Catalog'!$C$50,L495*'Assumptions and Catalog'!$H$50+'Assumptions and Catalog'!$E$50+'Assumptions and Catalog'!$F$50,IF(L495&lt;='Assumptions and Catalog'!$C$51,L495*'Assumptions and Catalog'!$H$51+'Assumptions and Catalog'!$E$51+'Assumptions and Catalog'!$F$51,IF(L495&lt;='Assumptions and Catalog'!$C$52,L495*'Assumptions and Catalog'!$H$52+'Assumptions and Catalog'!$E$52+'Assumptions and Catalog'!$F$52,IF(L495&lt;='Assumptions and Catalog'!$C$53,L495*'Assumptions and Catalog'!$H$53+'Assumptions and Catalog'!$E$53+'Assumptions and Catalog'!$F$53,IF(L495&lt;='Assumptions and Catalog'!$C$54,L495*'Assumptions and Catalog'!$H$54+'Assumptions and Catalog'!$E$54+'Assumptions and Catalog'!$F$54,IF(L495&lt;='Assumptions and Catalog'!$C$55,L495*'Assumptions and Catalog'!$H$55+'Assumptions and Catalog'!$E$55+'Assumptions and Catalog'!$F$55,IF(L495&lt;='Assumptions and Catalog'!$C$56,L495*'Assumptions and Catalog'!$H$56+'Assumptions and Catalog'!$E$56+'Assumptions and Catalog'!$F$56,IF(L495&lt;='Assumptions and Catalog'!$C$57,L495*'Assumptions and Catalog'!$H$57+'Assumptions and Catalog'!$E$57+'Assumptions and Catalog'!$F$57,"Out of range")))))))),IF(L495&lt;='Assumptions and Catalog'!$C$60,L495*'Assumptions and Catalog'!$H$60+'Assumptions and Catalog'!$E$60+'Assumptions and Catalog'!$F$60,IF(L495&lt;='Assumptions and Catalog'!$C$61,L495*'Assumptions and Catalog'!$H$61+'Assumptions and Catalog'!$E$61+'Assumptions and Catalog'!$F$61,IF(L495&lt;='Assumptions and Catalog'!$C$62,L495*'Assumptions and Catalog'!$H$62+'Assumptions and Catalog'!$E$62+'Assumptions and Catalog'!$F$62,IF(L495&lt;='Assumptions and Catalog'!$C$63,L495*'Assumptions and Catalog'!$H$63+'Assumptions and Catalog'!$E$63+'Assumptions and Catalog'!$F$63,IF(L495&lt;='Assumptions and Catalog'!$C$64,L495*'Assumptions and Catalog'!$H$64+'Assumptions and Catalog'!$E$64+'Assumptions and Catalog'!$F$64,IF(L495&lt;='Assumptions and Catalog'!$C$65,L495*'Assumptions and Catalog'!$H$65+'Assumptions and Catalog'!$E$65+'Assumptions and Catalog'!$F$65,"Out of range")))))))))*(1+'Assumptions and Catalog'!$C$8)^(A495-1),0)</f>
        <v>7094.794</v>
      </c>
      <c r="O495" s="5" t="n">
        <f>M495-N495</f>
        <v>0</v>
      </c>
      <c r="P495" s="5" t="n">
        <f>D$55*(1-K$14)*(1-'Assumptions and Catalog'!$C$23)^R495</f>
        <v>0</v>
      </c>
      <c r="Q495" s="5" t="n">
        <f>IF(ISNUMBER(Inputs!$L$5),(IF(Inputs!$L$9="Actual flat rate",((D495+E495)*C495-G495)*Inputs!$L$10,IF(Inputs!$C$9="Residential",IF(((D495+E495)*C495-G495)&lt;='Assumptions and Catalog'!$C$50,((D495+E495)*C495-G495)*'Assumptions and Catalog'!$H$50+'Assumptions and Catalog'!$E$50+'Assumptions and Catalog'!$F$50,IF(((D495+E495)*C495-G495)&lt;='Assumptions and Catalog'!$C$51,((D495+E495)*C495-G495)*'Assumptions and Catalog'!$H$51+'Assumptions and Catalog'!$E$51+'Assumptions and Catalog'!$F$51,IF(((D495+E495)*C495-G495)&lt;='Assumptions and Catalog'!$C$52,((D495+E495)*C495-G495)*'Assumptions and Catalog'!$H$52+'Assumptions and Catalog'!$E$52+'Assumptions and Catalog'!$F$52,IF(((D495+E495)*C495-G495)&lt;='Assumptions and Catalog'!$C$53,((D495+E495)*C495-G495)*'Assumptions and Catalog'!$H$53+'Assumptions and Catalog'!$E$53+'Assumptions and Catalog'!$F$53,IF(((D495+E495)*C495-G495)&lt;='Assumptions and Catalog'!$C$54,((D495+E495)*C495-G495)*'Assumptions and Catalog'!$H$54+'Assumptions and Catalog'!$E$54+'Assumptions and Catalog'!$F$54,IF(((D495+E495)*C495-G495)&lt;='Assumptions and Catalog'!$C$55,((D495+E495)*C495-G495)*'Assumptions and Catalog'!$H$55+'Assumptions and Catalog'!$E$55+'Assumptions and Catalog'!$F$55,IF(((D495+E495)*C495-G495)&lt;='Assumptions and Catalog'!$C$56,((D495+E495)*C495-G495)*'Assumptions and Catalog'!$H$56+'Assumptions and Catalog'!$E$56+'Assumptions and Catalog'!$F$56,IF(((D495+E495)*C495-G495)&lt;='Assumptions and Catalog'!$C$57,((D495+E495)*C495-G495)*'Assumptions and Catalog'!$H$57+'Assumptions and Catalog'!$E$57+'Assumptions and Catalog'!$F$57,"Out of range")))))))),IF(((D495+E495)*C495-G495)&lt;='Assumptions and Catalog'!$C$60,((D495+E495)*C495-G495)*'Assumptions and Catalog'!$H$60+'Assumptions and Catalog'!$E$60+'Assumptions and Catalog'!$F$60,IF(((D495+E495)*C495-G495)&lt;='Assumptions and Catalog'!$C$61,((D495+E495)*C495-G495)*'Assumptions and Catalog'!$H$61+'Assumptions and Catalog'!$E$61+'Assumptions and Catalog'!$F$61,IF(((D495+E495)*C495-G495)&lt;='Assumptions and Catalog'!$C$62,((D495+E495)*C495-G495)*'Assumptions and Catalog'!$H$62+'Assumptions and Catalog'!$E$62+'Assumptions and Catalog'!$F$62,IF(((D495+E495)*C495-G495)&lt;='Assumptions and Catalog'!$C$63,((D495+E495)*C495-G495)*'Assumptions and Catalog'!$H$63+'Assumptions and Catalog'!$E$63+'Assumptions and Catalog'!$F$63,IF(((D495+E495)*C495-G495)&lt;='Assumptions and Catalog'!$C$64,((D495+E495)*C495-G495)*'Assumptions and Catalog'!$H$64+'Assumptions and Catalog'!$E$64+'Assumptions and Catalog'!$F$64,IF(((D495+E495)*C495-G495)&lt;='Assumptions and Catalog'!$C$65,((D495+E495)*C495-G495)*'Assumptions and Catalog'!$H$65+'Assumptions and Catalog'!$E$65+'Assumptions and Catalog'!$F$65,"Out of range")))))))))*(1+'Assumptions and Catalog'!$C$8)^(A495-1),0)</f>
        <v>7094.794</v>
      </c>
      <c r="R495" s="5" t="n">
        <f>IF(AND('Assumptions and Catalog'!$C$19&gt;0,A495&gt;='Assumptions and Catalog'!$C$19),A495-'Assumptions and Catalog'!$C$19,A495-1)</f>
        <v>7</v>
      </c>
      <c r="S495" s="5" t="n">
        <f>F495+L495-(D495+E495)*C495-J495-K495-IF(D$52&gt;0,'Assumptions and Catalog'!$C$26*C495,0)</f>
        <v>0</v>
      </c>
      <c r="T495" s="5"/>
      <c r="U495" s="5"/>
    </row>
    <row r="496" ht="23.100000381469727" customHeight="1">
      <c r="A496" s="5" t="n">
        <v>8</v>
      </c>
      <c r="B496" s="5" t="n">
        <v>2</v>
      </c>
      <c r="C496" s="5" t="n">
        <f>DAY(DATE('Assumptions and Catalog'!$C$24+A496-1,B496+1,0))</f>
        <v>28</v>
      </c>
      <c r="D496" s="5" t="n">
        <f>IF(ISNUMBER(Inputs!$L$5),Inputs!$L$5*Inputs!$L$6,0)</f>
        <v>40.35</v>
      </c>
      <c r="E496" s="5" t="n">
        <f>IF(ISNUMBER(Inputs!$L$5),Inputs!$L$5-D496,0)</f>
        <v>40.35</v>
      </c>
      <c r="F496" s="5" t="n">
        <f>D$51*'Assumptions and Catalog'!$C$31*C496*(1-'Assumptions and Catalog'!$C$10)^(A496-1)</f>
        <v>0</v>
      </c>
      <c r="G496" s="5" t="n">
        <f>MIN(F496,D496*C496)</f>
        <v>0</v>
      </c>
      <c r="H496" s="5" t="n">
        <f>I496/('Assumptions and Catalog'!$C$11*'Assumptions and Catalog'!$C$12)</f>
        <v>0</v>
      </c>
      <c r="I496" s="5" t="n">
        <f>IF(K$15="Grid cycle",MIN(K$16,D496+E496,P496*'Assumptions and Catalog'!$C$12,D$57*(24-'Assumptions and Catalog'!$C$15),D$56*'Assumptions and Catalog'!$C$15*'Assumptions and Catalog'!$C$11*'Assumptions and Catalog'!$C$12)*C496,0)</f>
        <v>0</v>
      </c>
      <c r="J496" s="5" t="n">
        <f>MAX(F496-G496-0,0)</f>
        <v>0</v>
      </c>
      <c r="K496" s="5" t="n">
        <f>H496-I496</f>
        <v>0</v>
      </c>
      <c r="L496" s="5" t="n">
        <f>(D496+E496)*C496-G496-I496+H496+IF(D$52&gt;0,'Assumptions and Catalog'!$C$26*C496,0)</f>
        <v>2259.6</v>
      </c>
      <c r="M496" s="5" t="n">
        <f>IF(ISNUMBER(Inputs!$L$5),(IF(Inputs!$L$9="Actual flat rate",((D496+E496)*C496)*Inputs!$L$10,IF(Inputs!$C$9="Residential",IF(((D496+E496)*C496)&lt;='Assumptions and Catalog'!$C$50,((D496+E496)*C496)*'Assumptions and Catalog'!$H$50+'Assumptions and Catalog'!$E$50+'Assumptions and Catalog'!$F$50,IF(((D496+E496)*C496)&lt;='Assumptions and Catalog'!$C$51,((D496+E496)*C496)*'Assumptions and Catalog'!$H$51+'Assumptions and Catalog'!$E$51+'Assumptions and Catalog'!$F$51,IF(((D496+E496)*C496)&lt;='Assumptions and Catalog'!$C$52,((D496+E496)*C496)*'Assumptions and Catalog'!$H$52+'Assumptions and Catalog'!$E$52+'Assumptions and Catalog'!$F$52,IF(((D496+E496)*C496)&lt;='Assumptions and Catalog'!$C$53,((D496+E496)*C496)*'Assumptions and Catalog'!$H$53+'Assumptions and Catalog'!$E$53+'Assumptions and Catalog'!$F$53,IF(((D496+E496)*C496)&lt;='Assumptions and Catalog'!$C$54,((D496+E496)*C496)*'Assumptions and Catalog'!$H$54+'Assumptions and Catalog'!$E$54+'Assumptions and Catalog'!$F$54,IF(((D496+E496)*C496)&lt;='Assumptions and Catalog'!$C$55,((D496+E496)*C496)*'Assumptions and Catalog'!$H$55+'Assumptions and Catalog'!$E$55+'Assumptions and Catalog'!$F$55,IF(((D496+E496)*C496)&lt;='Assumptions and Catalog'!$C$56,((D496+E496)*C496)*'Assumptions and Catalog'!$H$56+'Assumptions and Catalog'!$E$56+'Assumptions and Catalog'!$F$56,IF(((D496+E496)*C496)&lt;='Assumptions and Catalog'!$C$57,((D496+E496)*C496)*'Assumptions and Catalog'!$H$57+'Assumptions and Catalog'!$E$57+'Assumptions and Catalog'!$F$57,"Out of range")))))))),IF(((D496+E496)*C496)&lt;='Assumptions and Catalog'!$C$60,((D496+E496)*C496)*'Assumptions and Catalog'!$H$60+'Assumptions and Catalog'!$E$60+'Assumptions and Catalog'!$F$60,IF(((D496+E496)*C496)&lt;='Assumptions and Catalog'!$C$61,((D496+E496)*C496)*'Assumptions and Catalog'!$H$61+'Assumptions and Catalog'!$E$61+'Assumptions and Catalog'!$F$61,IF(((D496+E496)*C496)&lt;='Assumptions and Catalog'!$C$62,((D496+E496)*C496)*'Assumptions and Catalog'!$H$62+'Assumptions and Catalog'!$E$62+'Assumptions and Catalog'!$F$62,IF(((D496+E496)*C496)&lt;='Assumptions and Catalog'!$C$63,((D496+E496)*C496)*'Assumptions and Catalog'!$H$63+'Assumptions and Catalog'!$E$63+'Assumptions and Catalog'!$F$63,IF(((D496+E496)*C496)&lt;='Assumptions and Catalog'!$C$64,((D496+E496)*C496)*'Assumptions and Catalog'!$H$64+'Assumptions and Catalog'!$E$64+'Assumptions and Catalog'!$F$64,IF(((D496+E496)*C496)&lt;='Assumptions and Catalog'!$C$65,((D496+E496)*C496)*'Assumptions and Catalog'!$H$65+'Assumptions and Catalog'!$E$65+'Assumptions and Catalog'!$F$65,"Out of range")))))))))*(1+'Assumptions and Catalog'!$C$8)^(A496-1),0)</f>
        <v>6412.072</v>
      </c>
      <c r="N496" s="5" t="n">
        <f>IF(ISNUMBER(Inputs!$L$5),(IF(Inputs!$L$9="Actual flat rate",L496*Inputs!$L$10,IF(Inputs!$C$9="Residential",IF(L496&lt;='Assumptions and Catalog'!$C$50,L496*'Assumptions and Catalog'!$H$50+'Assumptions and Catalog'!$E$50+'Assumptions and Catalog'!$F$50,IF(L496&lt;='Assumptions and Catalog'!$C$51,L496*'Assumptions and Catalog'!$H$51+'Assumptions and Catalog'!$E$51+'Assumptions and Catalog'!$F$51,IF(L496&lt;='Assumptions and Catalog'!$C$52,L496*'Assumptions and Catalog'!$H$52+'Assumptions and Catalog'!$E$52+'Assumptions and Catalog'!$F$52,IF(L496&lt;='Assumptions and Catalog'!$C$53,L496*'Assumptions and Catalog'!$H$53+'Assumptions and Catalog'!$E$53+'Assumptions and Catalog'!$F$53,IF(L496&lt;='Assumptions and Catalog'!$C$54,L496*'Assumptions and Catalog'!$H$54+'Assumptions and Catalog'!$E$54+'Assumptions and Catalog'!$F$54,IF(L496&lt;='Assumptions and Catalog'!$C$55,L496*'Assumptions and Catalog'!$H$55+'Assumptions and Catalog'!$E$55+'Assumptions and Catalog'!$F$55,IF(L496&lt;='Assumptions and Catalog'!$C$56,L496*'Assumptions and Catalog'!$H$56+'Assumptions and Catalog'!$E$56+'Assumptions and Catalog'!$F$56,IF(L496&lt;='Assumptions and Catalog'!$C$57,L496*'Assumptions and Catalog'!$H$57+'Assumptions and Catalog'!$E$57+'Assumptions and Catalog'!$F$57,"Out of range")))))))),IF(L496&lt;='Assumptions and Catalog'!$C$60,L496*'Assumptions and Catalog'!$H$60+'Assumptions and Catalog'!$E$60+'Assumptions and Catalog'!$F$60,IF(L496&lt;='Assumptions and Catalog'!$C$61,L496*'Assumptions and Catalog'!$H$61+'Assumptions and Catalog'!$E$61+'Assumptions and Catalog'!$F$61,IF(L496&lt;='Assumptions and Catalog'!$C$62,L496*'Assumptions and Catalog'!$H$62+'Assumptions and Catalog'!$E$62+'Assumptions and Catalog'!$F$62,IF(L496&lt;='Assumptions and Catalog'!$C$63,L496*'Assumptions and Catalog'!$H$63+'Assumptions and Catalog'!$E$63+'Assumptions and Catalog'!$F$63,IF(L496&lt;='Assumptions and Catalog'!$C$64,L496*'Assumptions and Catalog'!$H$64+'Assumptions and Catalog'!$E$64+'Assumptions and Catalog'!$F$64,IF(L496&lt;='Assumptions and Catalog'!$C$65,L496*'Assumptions and Catalog'!$H$65+'Assumptions and Catalog'!$E$65+'Assumptions and Catalog'!$F$65,"Out of range")))))))))*(1+'Assumptions and Catalog'!$C$8)^(A496-1),0)</f>
        <v>6412.072</v>
      </c>
      <c r="O496" s="5" t="n">
        <f>M496-N496</f>
        <v>0</v>
      </c>
      <c r="P496" s="5" t="n">
        <f>D$55*(1-K$14)*(1-'Assumptions and Catalog'!$C$23)^R496</f>
        <v>0</v>
      </c>
      <c r="Q496" s="5" t="n">
        <f>IF(ISNUMBER(Inputs!$L$5),(IF(Inputs!$L$9="Actual flat rate",((D496+E496)*C496-G496)*Inputs!$L$10,IF(Inputs!$C$9="Residential",IF(((D496+E496)*C496-G496)&lt;='Assumptions and Catalog'!$C$50,((D496+E496)*C496-G496)*'Assumptions and Catalog'!$H$50+'Assumptions and Catalog'!$E$50+'Assumptions and Catalog'!$F$50,IF(((D496+E496)*C496-G496)&lt;='Assumptions and Catalog'!$C$51,((D496+E496)*C496-G496)*'Assumptions and Catalog'!$H$51+'Assumptions and Catalog'!$E$51+'Assumptions and Catalog'!$F$51,IF(((D496+E496)*C496-G496)&lt;='Assumptions and Catalog'!$C$52,((D496+E496)*C496-G496)*'Assumptions and Catalog'!$H$52+'Assumptions and Catalog'!$E$52+'Assumptions and Catalog'!$F$52,IF(((D496+E496)*C496-G496)&lt;='Assumptions and Catalog'!$C$53,((D496+E496)*C496-G496)*'Assumptions and Catalog'!$H$53+'Assumptions and Catalog'!$E$53+'Assumptions and Catalog'!$F$53,IF(((D496+E496)*C496-G496)&lt;='Assumptions and Catalog'!$C$54,((D496+E496)*C496-G496)*'Assumptions and Catalog'!$H$54+'Assumptions and Catalog'!$E$54+'Assumptions and Catalog'!$F$54,IF(((D496+E496)*C496-G496)&lt;='Assumptions and Catalog'!$C$55,((D496+E496)*C496-G496)*'Assumptions and Catalog'!$H$55+'Assumptions and Catalog'!$E$55+'Assumptions and Catalog'!$F$55,IF(((D496+E496)*C496-G496)&lt;='Assumptions and Catalog'!$C$56,((D496+E496)*C496-G496)*'Assumptions and Catalog'!$H$56+'Assumptions and Catalog'!$E$56+'Assumptions and Catalog'!$F$56,IF(((D496+E496)*C496-G496)&lt;='Assumptions and Catalog'!$C$57,((D496+E496)*C496-G496)*'Assumptions and Catalog'!$H$57+'Assumptions and Catalog'!$E$57+'Assumptions and Catalog'!$F$57,"Out of range")))))))),IF(((D496+E496)*C496-G496)&lt;='Assumptions and Catalog'!$C$60,((D496+E496)*C496-G496)*'Assumptions and Catalog'!$H$60+'Assumptions and Catalog'!$E$60+'Assumptions and Catalog'!$F$60,IF(((D496+E496)*C496-G496)&lt;='Assumptions and Catalog'!$C$61,((D496+E496)*C496-G496)*'Assumptions and Catalog'!$H$61+'Assumptions and Catalog'!$E$61+'Assumptions and Catalog'!$F$61,IF(((D496+E496)*C496-G496)&lt;='Assumptions and Catalog'!$C$62,((D496+E496)*C496-G496)*'Assumptions and Catalog'!$H$62+'Assumptions and Catalog'!$E$62+'Assumptions and Catalog'!$F$62,IF(((D496+E496)*C496-G496)&lt;='Assumptions and Catalog'!$C$63,((D496+E496)*C496-G496)*'Assumptions and Catalog'!$H$63+'Assumptions and Catalog'!$E$63+'Assumptions and Catalog'!$F$63,IF(((D496+E496)*C496-G496)&lt;='Assumptions and Catalog'!$C$64,((D496+E496)*C496-G496)*'Assumptions and Catalog'!$H$64+'Assumptions and Catalog'!$E$64+'Assumptions and Catalog'!$F$64,IF(((D496+E496)*C496-G496)&lt;='Assumptions and Catalog'!$C$65,((D496+E496)*C496-G496)*'Assumptions and Catalog'!$H$65+'Assumptions and Catalog'!$E$65+'Assumptions and Catalog'!$F$65,"Out of range")))))))))*(1+'Assumptions and Catalog'!$C$8)^(A496-1),0)</f>
        <v>6412.072</v>
      </c>
      <c r="R496" s="5" t="n">
        <f>IF(AND('Assumptions and Catalog'!$C$19&gt;0,A496&gt;='Assumptions and Catalog'!$C$19),A496-'Assumptions and Catalog'!$C$19,A496-1)</f>
        <v>7</v>
      </c>
      <c r="S496" s="5" t="n">
        <f>F496+L496-(D496+E496)*C496-J496-K496-IF(D$52&gt;0,'Assumptions and Catalog'!$C$26*C496,0)</f>
        <v>0</v>
      </c>
      <c r="T496" s="5"/>
      <c r="U496" s="5"/>
    </row>
    <row r="497" ht="23.100000381469727" customHeight="1">
      <c r="A497" s="5" t="n">
        <v>8</v>
      </c>
      <c r="B497" s="5" t="n">
        <v>3</v>
      </c>
      <c r="C497" s="5" t="n">
        <f>DAY(DATE('Assumptions and Catalog'!$C$24+A497-1,B497+1,0))</f>
        <v>31</v>
      </c>
      <c r="D497" s="5" t="n">
        <f>IF(ISNUMBER(Inputs!$L$5),Inputs!$L$5*Inputs!$L$6,0)</f>
        <v>40.35</v>
      </c>
      <c r="E497" s="5" t="n">
        <f>IF(ISNUMBER(Inputs!$L$5),Inputs!$L$5-D497,0)</f>
        <v>40.35</v>
      </c>
      <c r="F497" s="5" t="n">
        <f>D$51*'Assumptions and Catalog'!$C$31*C497*(1-'Assumptions and Catalog'!$C$10)^(A497-1)</f>
        <v>0</v>
      </c>
      <c r="G497" s="5" t="n">
        <f>MIN(F497,D497*C497)</f>
        <v>0</v>
      </c>
      <c r="H497" s="5" t="n">
        <f>I497/('Assumptions and Catalog'!$C$11*'Assumptions and Catalog'!$C$12)</f>
        <v>0</v>
      </c>
      <c r="I497" s="5" t="n">
        <f>IF(K$15="Grid cycle",MIN(K$16,D497+E497,P497*'Assumptions and Catalog'!$C$12,D$57*(24-'Assumptions and Catalog'!$C$15),D$56*'Assumptions and Catalog'!$C$15*'Assumptions and Catalog'!$C$11*'Assumptions and Catalog'!$C$12)*C497,0)</f>
        <v>0</v>
      </c>
      <c r="J497" s="5" t="n">
        <f>MAX(F497-G497-0,0)</f>
        <v>0</v>
      </c>
      <c r="K497" s="5" t="n">
        <f>H497-I497</f>
        <v>0</v>
      </c>
      <c r="L497" s="5" t="n">
        <f>(D497+E497)*C497-G497-I497+H497+IF(D$52&gt;0,'Assumptions and Catalog'!$C$26*C497,0)</f>
        <v>2501.7</v>
      </c>
      <c r="M497" s="5" t="n">
        <f>IF(ISNUMBER(Inputs!$L$5),(IF(Inputs!$L$9="Actual flat rate",((D497+E497)*C497)*Inputs!$L$10,IF(Inputs!$C$9="Residential",IF(((D497+E497)*C497)&lt;='Assumptions and Catalog'!$C$50,((D497+E497)*C497)*'Assumptions and Catalog'!$H$50+'Assumptions and Catalog'!$E$50+'Assumptions and Catalog'!$F$50,IF(((D497+E497)*C497)&lt;='Assumptions and Catalog'!$C$51,((D497+E497)*C497)*'Assumptions and Catalog'!$H$51+'Assumptions and Catalog'!$E$51+'Assumptions and Catalog'!$F$51,IF(((D497+E497)*C497)&lt;='Assumptions and Catalog'!$C$52,((D497+E497)*C497)*'Assumptions and Catalog'!$H$52+'Assumptions and Catalog'!$E$52+'Assumptions and Catalog'!$F$52,IF(((D497+E497)*C497)&lt;='Assumptions and Catalog'!$C$53,((D497+E497)*C497)*'Assumptions and Catalog'!$H$53+'Assumptions and Catalog'!$E$53+'Assumptions and Catalog'!$F$53,IF(((D497+E497)*C497)&lt;='Assumptions and Catalog'!$C$54,((D497+E497)*C497)*'Assumptions and Catalog'!$H$54+'Assumptions and Catalog'!$E$54+'Assumptions and Catalog'!$F$54,IF(((D497+E497)*C497)&lt;='Assumptions and Catalog'!$C$55,((D497+E497)*C497)*'Assumptions and Catalog'!$H$55+'Assumptions and Catalog'!$E$55+'Assumptions and Catalog'!$F$55,IF(((D497+E497)*C497)&lt;='Assumptions and Catalog'!$C$56,((D497+E497)*C497)*'Assumptions and Catalog'!$H$56+'Assumptions and Catalog'!$E$56+'Assumptions and Catalog'!$F$56,IF(((D497+E497)*C497)&lt;='Assumptions and Catalog'!$C$57,((D497+E497)*C497)*'Assumptions and Catalog'!$H$57+'Assumptions and Catalog'!$E$57+'Assumptions and Catalog'!$F$57,"Out of range")))))))),IF(((D497+E497)*C497)&lt;='Assumptions and Catalog'!$C$60,((D497+E497)*C497)*'Assumptions and Catalog'!$H$60+'Assumptions and Catalog'!$E$60+'Assumptions and Catalog'!$F$60,IF(((D497+E497)*C497)&lt;='Assumptions and Catalog'!$C$61,((D497+E497)*C497)*'Assumptions and Catalog'!$H$61+'Assumptions and Catalog'!$E$61+'Assumptions and Catalog'!$F$61,IF(((D497+E497)*C497)&lt;='Assumptions and Catalog'!$C$62,((D497+E497)*C497)*'Assumptions and Catalog'!$H$62+'Assumptions and Catalog'!$E$62+'Assumptions and Catalog'!$F$62,IF(((D497+E497)*C497)&lt;='Assumptions and Catalog'!$C$63,((D497+E497)*C497)*'Assumptions and Catalog'!$H$63+'Assumptions and Catalog'!$E$63+'Assumptions and Catalog'!$F$63,IF(((D497+E497)*C497)&lt;='Assumptions and Catalog'!$C$64,((D497+E497)*C497)*'Assumptions and Catalog'!$H$64+'Assumptions and Catalog'!$E$64+'Assumptions and Catalog'!$F$64,IF(((D497+E497)*C497)&lt;='Assumptions and Catalog'!$C$65,((D497+E497)*C497)*'Assumptions and Catalog'!$H$65+'Assumptions and Catalog'!$E$65+'Assumptions and Catalog'!$F$65,"Out of range")))))))))*(1+'Assumptions and Catalog'!$C$8)^(A497-1),0)</f>
        <v>7094.794</v>
      </c>
      <c r="N497" s="5" t="n">
        <f>IF(ISNUMBER(Inputs!$L$5),(IF(Inputs!$L$9="Actual flat rate",L497*Inputs!$L$10,IF(Inputs!$C$9="Residential",IF(L497&lt;='Assumptions and Catalog'!$C$50,L497*'Assumptions and Catalog'!$H$50+'Assumptions and Catalog'!$E$50+'Assumptions and Catalog'!$F$50,IF(L497&lt;='Assumptions and Catalog'!$C$51,L497*'Assumptions and Catalog'!$H$51+'Assumptions and Catalog'!$E$51+'Assumptions and Catalog'!$F$51,IF(L497&lt;='Assumptions and Catalog'!$C$52,L497*'Assumptions and Catalog'!$H$52+'Assumptions and Catalog'!$E$52+'Assumptions and Catalog'!$F$52,IF(L497&lt;='Assumptions and Catalog'!$C$53,L497*'Assumptions and Catalog'!$H$53+'Assumptions and Catalog'!$E$53+'Assumptions and Catalog'!$F$53,IF(L497&lt;='Assumptions and Catalog'!$C$54,L497*'Assumptions and Catalog'!$H$54+'Assumptions and Catalog'!$E$54+'Assumptions and Catalog'!$F$54,IF(L497&lt;='Assumptions and Catalog'!$C$55,L497*'Assumptions and Catalog'!$H$55+'Assumptions and Catalog'!$E$55+'Assumptions and Catalog'!$F$55,IF(L497&lt;='Assumptions and Catalog'!$C$56,L497*'Assumptions and Catalog'!$H$56+'Assumptions and Catalog'!$E$56+'Assumptions and Catalog'!$F$56,IF(L497&lt;='Assumptions and Catalog'!$C$57,L497*'Assumptions and Catalog'!$H$57+'Assumptions and Catalog'!$E$57+'Assumptions and Catalog'!$F$57,"Out of range")))))))),IF(L497&lt;='Assumptions and Catalog'!$C$60,L497*'Assumptions and Catalog'!$H$60+'Assumptions and Catalog'!$E$60+'Assumptions and Catalog'!$F$60,IF(L497&lt;='Assumptions and Catalog'!$C$61,L497*'Assumptions and Catalog'!$H$61+'Assumptions and Catalog'!$E$61+'Assumptions and Catalog'!$F$61,IF(L497&lt;='Assumptions and Catalog'!$C$62,L497*'Assumptions and Catalog'!$H$62+'Assumptions and Catalog'!$E$62+'Assumptions and Catalog'!$F$62,IF(L497&lt;='Assumptions and Catalog'!$C$63,L497*'Assumptions and Catalog'!$H$63+'Assumptions and Catalog'!$E$63+'Assumptions and Catalog'!$F$63,IF(L497&lt;='Assumptions and Catalog'!$C$64,L497*'Assumptions and Catalog'!$H$64+'Assumptions and Catalog'!$E$64+'Assumptions and Catalog'!$F$64,IF(L497&lt;='Assumptions and Catalog'!$C$65,L497*'Assumptions and Catalog'!$H$65+'Assumptions and Catalog'!$E$65+'Assumptions and Catalog'!$F$65,"Out of range")))))))))*(1+'Assumptions and Catalog'!$C$8)^(A497-1),0)</f>
        <v>7094.794</v>
      </c>
      <c r="O497" s="5" t="n">
        <f>M497-N497</f>
        <v>0</v>
      </c>
      <c r="P497" s="5" t="n">
        <f>D$55*(1-K$14)*(1-'Assumptions and Catalog'!$C$23)^R497</f>
        <v>0</v>
      </c>
      <c r="Q497" s="5" t="n">
        <f>IF(ISNUMBER(Inputs!$L$5),(IF(Inputs!$L$9="Actual flat rate",((D497+E497)*C497-G497)*Inputs!$L$10,IF(Inputs!$C$9="Residential",IF(((D497+E497)*C497-G497)&lt;='Assumptions and Catalog'!$C$50,((D497+E497)*C497-G497)*'Assumptions and Catalog'!$H$50+'Assumptions and Catalog'!$E$50+'Assumptions and Catalog'!$F$50,IF(((D497+E497)*C497-G497)&lt;='Assumptions and Catalog'!$C$51,((D497+E497)*C497-G497)*'Assumptions and Catalog'!$H$51+'Assumptions and Catalog'!$E$51+'Assumptions and Catalog'!$F$51,IF(((D497+E497)*C497-G497)&lt;='Assumptions and Catalog'!$C$52,((D497+E497)*C497-G497)*'Assumptions and Catalog'!$H$52+'Assumptions and Catalog'!$E$52+'Assumptions and Catalog'!$F$52,IF(((D497+E497)*C497-G497)&lt;='Assumptions and Catalog'!$C$53,((D497+E497)*C497-G497)*'Assumptions and Catalog'!$H$53+'Assumptions and Catalog'!$E$53+'Assumptions and Catalog'!$F$53,IF(((D497+E497)*C497-G497)&lt;='Assumptions and Catalog'!$C$54,((D497+E497)*C497-G497)*'Assumptions and Catalog'!$H$54+'Assumptions and Catalog'!$E$54+'Assumptions and Catalog'!$F$54,IF(((D497+E497)*C497-G497)&lt;='Assumptions and Catalog'!$C$55,((D497+E497)*C497-G497)*'Assumptions and Catalog'!$H$55+'Assumptions and Catalog'!$E$55+'Assumptions and Catalog'!$F$55,IF(((D497+E497)*C497-G497)&lt;='Assumptions and Catalog'!$C$56,((D497+E497)*C497-G497)*'Assumptions and Catalog'!$H$56+'Assumptions and Catalog'!$E$56+'Assumptions and Catalog'!$F$56,IF(((D497+E497)*C497-G497)&lt;='Assumptions and Catalog'!$C$57,((D497+E497)*C497-G497)*'Assumptions and Catalog'!$H$57+'Assumptions and Catalog'!$E$57+'Assumptions and Catalog'!$F$57,"Out of range")))))))),IF(((D497+E497)*C497-G497)&lt;='Assumptions and Catalog'!$C$60,((D497+E497)*C497-G497)*'Assumptions and Catalog'!$H$60+'Assumptions and Catalog'!$E$60+'Assumptions and Catalog'!$F$60,IF(((D497+E497)*C497-G497)&lt;='Assumptions and Catalog'!$C$61,((D497+E497)*C497-G497)*'Assumptions and Catalog'!$H$61+'Assumptions and Catalog'!$E$61+'Assumptions and Catalog'!$F$61,IF(((D497+E497)*C497-G497)&lt;='Assumptions and Catalog'!$C$62,((D497+E497)*C497-G497)*'Assumptions and Catalog'!$H$62+'Assumptions and Catalog'!$E$62+'Assumptions and Catalog'!$F$62,IF(((D497+E497)*C497-G497)&lt;='Assumptions and Catalog'!$C$63,((D497+E497)*C497-G497)*'Assumptions and Catalog'!$H$63+'Assumptions and Catalog'!$E$63+'Assumptions and Catalog'!$F$63,IF(((D497+E497)*C497-G497)&lt;='Assumptions and Catalog'!$C$64,((D497+E497)*C497-G497)*'Assumptions and Catalog'!$H$64+'Assumptions and Catalog'!$E$64+'Assumptions and Catalog'!$F$64,IF(((D497+E497)*C497-G497)&lt;='Assumptions and Catalog'!$C$65,((D497+E497)*C497-G497)*'Assumptions and Catalog'!$H$65+'Assumptions and Catalog'!$E$65+'Assumptions and Catalog'!$F$65,"Out of range")))))))))*(1+'Assumptions and Catalog'!$C$8)^(A497-1),0)</f>
        <v>7094.794</v>
      </c>
      <c r="R497" s="5" t="n">
        <f>IF(AND('Assumptions and Catalog'!$C$19&gt;0,A497&gt;='Assumptions and Catalog'!$C$19),A497-'Assumptions and Catalog'!$C$19,A497-1)</f>
        <v>7</v>
      </c>
      <c r="S497" s="5" t="n">
        <f>F497+L497-(D497+E497)*C497-J497-K497-IF(D$52&gt;0,'Assumptions and Catalog'!$C$26*C497,0)</f>
        <v>0</v>
      </c>
      <c r="T497" s="5"/>
      <c r="U497" s="5"/>
    </row>
    <row r="498" ht="23.100000381469727" customHeight="1">
      <c r="A498" s="5" t="n">
        <v>8</v>
      </c>
      <c r="B498" s="5" t="n">
        <v>4</v>
      </c>
      <c r="C498" s="5" t="n">
        <f>DAY(DATE('Assumptions and Catalog'!$C$24+A498-1,B498+1,0))</f>
        <v>30</v>
      </c>
      <c r="D498" s="5" t="n">
        <f>IF(ISNUMBER(Inputs!$L$5),Inputs!$L$5*Inputs!$L$6,0)</f>
        <v>40.35</v>
      </c>
      <c r="E498" s="5" t="n">
        <f>IF(ISNUMBER(Inputs!$L$5),Inputs!$L$5-D498,0)</f>
        <v>40.35</v>
      </c>
      <c r="F498" s="5" t="n">
        <f>D$51*'Assumptions and Catalog'!$C$31*C498*(1-'Assumptions and Catalog'!$C$10)^(A498-1)</f>
        <v>0</v>
      </c>
      <c r="G498" s="5" t="n">
        <f>MIN(F498,D498*C498)</f>
        <v>0</v>
      </c>
      <c r="H498" s="5" t="n">
        <f>I498/('Assumptions and Catalog'!$C$11*'Assumptions and Catalog'!$C$12)</f>
        <v>0</v>
      </c>
      <c r="I498" s="5" t="n">
        <f>IF(K$15="Grid cycle",MIN(K$16,D498+E498,P498*'Assumptions and Catalog'!$C$12,D$57*(24-'Assumptions and Catalog'!$C$15),D$56*'Assumptions and Catalog'!$C$15*'Assumptions and Catalog'!$C$11*'Assumptions and Catalog'!$C$12)*C498,0)</f>
        <v>0</v>
      </c>
      <c r="J498" s="5" t="n">
        <f>MAX(F498-G498-0,0)</f>
        <v>0</v>
      </c>
      <c r="K498" s="5" t="n">
        <f>H498-I498</f>
        <v>0</v>
      </c>
      <c r="L498" s="5" t="n">
        <f>(D498+E498)*C498-G498-I498+H498+IF(D$52&gt;0,'Assumptions and Catalog'!$C$26*C498,0)</f>
        <v>2421</v>
      </c>
      <c r="M498" s="5" t="n">
        <f>IF(ISNUMBER(Inputs!$L$5),(IF(Inputs!$L$9="Actual flat rate",((D498+E498)*C498)*Inputs!$L$10,IF(Inputs!$C$9="Residential",IF(((D498+E498)*C498)&lt;='Assumptions and Catalog'!$C$50,((D498+E498)*C498)*'Assumptions and Catalog'!$H$50+'Assumptions and Catalog'!$E$50+'Assumptions and Catalog'!$F$50,IF(((D498+E498)*C498)&lt;='Assumptions and Catalog'!$C$51,((D498+E498)*C498)*'Assumptions and Catalog'!$H$51+'Assumptions and Catalog'!$E$51+'Assumptions and Catalog'!$F$51,IF(((D498+E498)*C498)&lt;='Assumptions and Catalog'!$C$52,((D498+E498)*C498)*'Assumptions and Catalog'!$H$52+'Assumptions and Catalog'!$E$52+'Assumptions and Catalog'!$F$52,IF(((D498+E498)*C498)&lt;='Assumptions and Catalog'!$C$53,((D498+E498)*C498)*'Assumptions and Catalog'!$H$53+'Assumptions and Catalog'!$E$53+'Assumptions and Catalog'!$F$53,IF(((D498+E498)*C498)&lt;='Assumptions and Catalog'!$C$54,((D498+E498)*C498)*'Assumptions and Catalog'!$H$54+'Assumptions and Catalog'!$E$54+'Assumptions and Catalog'!$F$54,IF(((D498+E498)*C498)&lt;='Assumptions and Catalog'!$C$55,((D498+E498)*C498)*'Assumptions and Catalog'!$H$55+'Assumptions and Catalog'!$E$55+'Assumptions and Catalog'!$F$55,IF(((D498+E498)*C498)&lt;='Assumptions and Catalog'!$C$56,((D498+E498)*C498)*'Assumptions and Catalog'!$H$56+'Assumptions and Catalog'!$E$56+'Assumptions and Catalog'!$F$56,IF(((D498+E498)*C498)&lt;='Assumptions and Catalog'!$C$57,((D498+E498)*C498)*'Assumptions and Catalog'!$H$57+'Assumptions and Catalog'!$E$57+'Assumptions and Catalog'!$F$57,"Out of range")))))))),IF(((D498+E498)*C498)&lt;='Assumptions and Catalog'!$C$60,((D498+E498)*C498)*'Assumptions and Catalog'!$H$60+'Assumptions and Catalog'!$E$60+'Assumptions and Catalog'!$F$60,IF(((D498+E498)*C498)&lt;='Assumptions and Catalog'!$C$61,((D498+E498)*C498)*'Assumptions and Catalog'!$H$61+'Assumptions and Catalog'!$E$61+'Assumptions and Catalog'!$F$61,IF(((D498+E498)*C498)&lt;='Assumptions and Catalog'!$C$62,((D498+E498)*C498)*'Assumptions and Catalog'!$H$62+'Assumptions and Catalog'!$E$62+'Assumptions and Catalog'!$F$62,IF(((D498+E498)*C498)&lt;='Assumptions and Catalog'!$C$63,((D498+E498)*C498)*'Assumptions and Catalog'!$H$63+'Assumptions and Catalog'!$E$63+'Assumptions and Catalog'!$F$63,IF(((D498+E498)*C498)&lt;='Assumptions and Catalog'!$C$64,((D498+E498)*C498)*'Assumptions and Catalog'!$H$64+'Assumptions and Catalog'!$E$64+'Assumptions and Catalog'!$F$64,IF(((D498+E498)*C498)&lt;='Assumptions and Catalog'!$C$65,((D498+E498)*C498)*'Assumptions and Catalog'!$H$65+'Assumptions and Catalog'!$E$65+'Assumptions and Catalog'!$F$65,"Out of range")))))))))*(1+'Assumptions and Catalog'!$C$8)^(A498-1),0)</f>
        <v>6867.22</v>
      </c>
      <c r="N498" s="5" t="n">
        <f>IF(ISNUMBER(Inputs!$L$5),(IF(Inputs!$L$9="Actual flat rate",L498*Inputs!$L$10,IF(Inputs!$C$9="Residential",IF(L498&lt;='Assumptions and Catalog'!$C$50,L498*'Assumptions and Catalog'!$H$50+'Assumptions and Catalog'!$E$50+'Assumptions and Catalog'!$F$50,IF(L498&lt;='Assumptions and Catalog'!$C$51,L498*'Assumptions and Catalog'!$H$51+'Assumptions and Catalog'!$E$51+'Assumptions and Catalog'!$F$51,IF(L498&lt;='Assumptions and Catalog'!$C$52,L498*'Assumptions and Catalog'!$H$52+'Assumptions and Catalog'!$E$52+'Assumptions and Catalog'!$F$52,IF(L498&lt;='Assumptions and Catalog'!$C$53,L498*'Assumptions and Catalog'!$H$53+'Assumptions and Catalog'!$E$53+'Assumptions and Catalog'!$F$53,IF(L498&lt;='Assumptions and Catalog'!$C$54,L498*'Assumptions and Catalog'!$H$54+'Assumptions and Catalog'!$E$54+'Assumptions and Catalog'!$F$54,IF(L498&lt;='Assumptions and Catalog'!$C$55,L498*'Assumptions and Catalog'!$H$55+'Assumptions and Catalog'!$E$55+'Assumptions and Catalog'!$F$55,IF(L498&lt;='Assumptions and Catalog'!$C$56,L498*'Assumptions and Catalog'!$H$56+'Assumptions and Catalog'!$E$56+'Assumptions and Catalog'!$F$56,IF(L498&lt;='Assumptions and Catalog'!$C$57,L498*'Assumptions and Catalog'!$H$57+'Assumptions and Catalog'!$E$57+'Assumptions and Catalog'!$F$57,"Out of range")))))))),IF(L498&lt;='Assumptions and Catalog'!$C$60,L498*'Assumptions and Catalog'!$H$60+'Assumptions and Catalog'!$E$60+'Assumptions and Catalog'!$F$60,IF(L498&lt;='Assumptions and Catalog'!$C$61,L498*'Assumptions and Catalog'!$H$61+'Assumptions and Catalog'!$E$61+'Assumptions and Catalog'!$F$61,IF(L498&lt;='Assumptions and Catalog'!$C$62,L498*'Assumptions and Catalog'!$H$62+'Assumptions and Catalog'!$E$62+'Assumptions and Catalog'!$F$62,IF(L498&lt;='Assumptions and Catalog'!$C$63,L498*'Assumptions and Catalog'!$H$63+'Assumptions and Catalog'!$E$63+'Assumptions and Catalog'!$F$63,IF(L498&lt;='Assumptions and Catalog'!$C$64,L498*'Assumptions and Catalog'!$H$64+'Assumptions and Catalog'!$E$64+'Assumptions and Catalog'!$F$64,IF(L498&lt;='Assumptions and Catalog'!$C$65,L498*'Assumptions and Catalog'!$H$65+'Assumptions and Catalog'!$E$65+'Assumptions and Catalog'!$F$65,"Out of range")))))))))*(1+'Assumptions and Catalog'!$C$8)^(A498-1),0)</f>
        <v>6867.22</v>
      </c>
      <c r="O498" s="5" t="n">
        <f>M498-N498</f>
        <v>0</v>
      </c>
      <c r="P498" s="5" t="n">
        <f>D$55*(1-K$14)*(1-'Assumptions and Catalog'!$C$23)^R498</f>
        <v>0</v>
      </c>
      <c r="Q498" s="5" t="n">
        <f>IF(ISNUMBER(Inputs!$L$5),(IF(Inputs!$L$9="Actual flat rate",((D498+E498)*C498-G498)*Inputs!$L$10,IF(Inputs!$C$9="Residential",IF(((D498+E498)*C498-G498)&lt;='Assumptions and Catalog'!$C$50,((D498+E498)*C498-G498)*'Assumptions and Catalog'!$H$50+'Assumptions and Catalog'!$E$50+'Assumptions and Catalog'!$F$50,IF(((D498+E498)*C498-G498)&lt;='Assumptions and Catalog'!$C$51,((D498+E498)*C498-G498)*'Assumptions and Catalog'!$H$51+'Assumptions and Catalog'!$E$51+'Assumptions and Catalog'!$F$51,IF(((D498+E498)*C498-G498)&lt;='Assumptions and Catalog'!$C$52,((D498+E498)*C498-G498)*'Assumptions and Catalog'!$H$52+'Assumptions and Catalog'!$E$52+'Assumptions and Catalog'!$F$52,IF(((D498+E498)*C498-G498)&lt;='Assumptions and Catalog'!$C$53,((D498+E498)*C498-G498)*'Assumptions and Catalog'!$H$53+'Assumptions and Catalog'!$E$53+'Assumptions and Catalog'!$F$53,IF(((D498+E498)*C498-G498)&lt;='Assumptions and Catalog'!$C$54,((D498+E498)*C498-G498)*'Assumptions and Catalog'!$H$54+'Assumptions and Catalog'!$E$54+'Assumptions and Catalog'!$F$54,IF(((D498+E498)*C498-G498)&lt;='Assumptions and Catalog'!$C$55,((D498+E498)*C498-G498)*'Assumptions and Catalog'!$H$55+'Assumptions and Catalog'!$E$55+'Assumptions and Catalog'!$F$55,IF(((D498+E498)*C498-G498)&lt;='Assumptions and Catalog'!$C$56,((D498+E498)*C498-G498)*'Assumptions and Catalog'!$H$56+'Assumptions and Catalog'!$E$56+'Assumptions and Catalog'!$F$56,IF(((D498+E498)*C498-G498)&lt;='Assumptions and Catalog'!$C$57,((D498+E498)*C498-G498)*'Assumptions and Catalog'!$H$57+'Assumptions and Catalog'!$E$57+'Assumptions and Catalog'!$F$57,"Out of range")))))))),IF(((D498+E498)*C498-G498)&lt;='Assumptions and Catalog'!$C$60,((D498+E498)*C498-G498)*'Assumptions and Catalog'!$H$60+'Assumptions and Catalog'!$E$60+'Assumptions and Catalog'!$F$60,IF(((D498+E498)*C498-G498)&lt;='Assumptions and Catalog'!$C$61,((D498+E498)*C498-G498)*'Assumptions and Catalog'!$H$61+'Assumptions and Catalog'!$E$61+'Assumptions and Catalog'!$F$61,IF(((D498+E498)*C498-G498)&lt;='Assumptions and Catalog'!$C$62,((D498+E498)*C498-G498)*'Assumptions and Catalog'!$H$62+'Assumptions and Catalog'!$E$62+'Assumptions and Catalog'!$F$62,IF(((D498+E498)*C498-G498)&lt;='Assumptions and Catalog'!$C$63,((D498+E498)*C498-G498)*'Assumptions and Catalog'!$H$63+'Assumptions and Catalog'!$E$63+'Assumptions and Catalog'!$F$63,IF(((D498+E498)*C498-G498)&lt;='Assumptions and Catalog'!$C$64,((D498+E498)*C498-G498)*'Assumptions and Catalog'!$H$64+'Assumptions and Catalog'!$E$64+'Assumptions and Catalog'!$F$64,IF(((D498+E498)*C498-G498)&lt;='Assumptions and Catalog'!$C$65,((D498+E498)*C498-G498)*'Assumptions and Catalog'!$H$65+'Assumptions and Catalog'!$E$65+'Assumptions and Catalog'!$F$65,"Out of range")))))))))*(1+'Assumptions and Catalog'!$C$8)^(A498-1),0)</f>
        <v>6867.22</v>
      </c>
      <c r="R498" s="5" t="n">
        <f>IF(AND('Assumptions and Catalog'!$C$19&gt;0,A498&gt;='Assumptions and Catalog'!$C$19),A498-'Assumptions and Catalog'!$C$19,A498-1)</f>
        <v>7</v>
      </c>
      <c r="S498" s="5" t="n">
        <f>F498+L498-(D498+E498)*C498-J498-K498-IF(D$52&gt;0,'Assumptions and Catalog'!$C$26*C498,0)</f>
        <v>0</v>
      </c>
      <c r="T498" s="5"/>
      <c r="U498" s="5"/>
    </row>
    <row r="499" ht="23.100000381469727" customHeight="1">
      <c r="A499" s="5" t="n">
        <v>8</v>
      </c>
      <c r="B499" s="5" t="n">
        <v>5</v>
      </c>
      <c r="C499" s="5" t="n">
        <f>DAY(DATE('Assumptions and Catalog'!$C$24+A499-1,B499+1,0))</f>
        <v>31</v>
      </c>
      <c r="D499" s="5" t="n">
        <f>IF(ISNUMBER(Inputs!$L$5),Inputs!$L$5*Inputs!$L$6,0)</f>
        <v>40.35</v>
      </c>
      <c r="E499" s="5" t="n">
        <f>IF(ISNUMBER(Inputs!$L$5),Inputs!$L$5-D499,0)</f>
        <v>40.35</v>
      </c>
      <c r="F499" s="5" t="n">
        <f>D$51*'Assumptions and Catalog'!$C$31*C499*(1-'Assumptions and Catalog'!$C$10)^(A499-1)</f>
        <v>0</v>
      </c>
      <c r="G499" s="5" t="n">
        <f>MIN(F499,D499*C499)</f>
        <v>0</v>
      </c>
      <c r="H499" s="5" t="n">
        <f>I499/('Assumptions and Catalog'!$C$11*'Assumptions and Catalog'!$C$12)</f>
        <v>0</v>
      </c>
      <c r="I499" s="5" t="n">
        <f>IF(K$15="Grid cycle",MIN(K$16,D499+E499,P499*'Assumptions and Catalog'!$C$12,D$57*(24-'Assumptions and Catalog'!$C$15),D$56*'Assumptions and Catalog'!$C$15*'Assumptions and Catalog'!$C$11*'Assumptions and Catalog'!$C$12)*C499,0)</f>
        <v>0</v>
      </c>
      <c r="J499" s="5" t="n">
        <f>MAX(F499-G499-0,0)</f>
        <v>0</v>
      </c>
      <c r="K499" s="5" t="n">
        <f>H499-I499</f>
        <v>0</v>
      </c>
      <c r="L499" s="5" t="n">
        <f>(D499+E499)*C499-G499-I499+H499+IF(D$52&gt;0,'Assumptions and Catalog'!$C$26*C499,0)</f>
        <v>2501.7</v>
      </c>
      <c r="M499" s="5" t="n">
        <f>IF(ISNUMBER(Inputs!$L$5),(IF(Inputs!$L$9="Actual flat rate",((D499+E499)*C499)*Inputs!$L$10,IF(Inputs!$C$9="Residential",IF(((D499+E499)*C499)&lt;='Assumptions and Catalog'!$C$50,((D499+E499)*C499)*'Assumptions and Catalog'!$H$50+'Assumptions and Catalog'!$E$50+'Assumptions and Catalog'!$F$50,IF(((D499+E499)*C499)&lt;='Assumptions and Catalog'!$C$51,((D499+E499)*C499)*'Assumptions and Catalog'!$H$51+'Assumptions and Catalog'!$E$51+'Assumptions and Catalog'!$F$51,IF(((D499+E499)*C499)&lt;='Assumptions and Catalog'!$C$52,((D499+E499)*C499)*'Assumptions and Catalog'!$H$52+'Assumptions and Catalog'!$E$52+'Assumptions and Catalog'!$F$52,IF(((D499+E499)*C499)&lt;='Assumptions and Catalog'!$C$53,((D499+E499)*C499)*'Assumptions and Catalog'!$H$53+'Assumptions and Catalog'!$E$53+'Assumptions and Catalog'!$F$53,IF(((D499+E499)*C499)&lt;='Assumptions and Catalog'!$C$54,((D499+E499)*C499)*'Assumptions and Catalog'!$H$54+'Assumptions and Catalog'!$E$54+'Assumptions and Catalog'!$F$54,IF(((D499+E499)*C499)&lt;='Assumptions and Catalog'!$C$55,((D499+E499)*C499)*'Assumptions and Catalog'!$H$55+'Assumptions and Catalog'!$E$55+'Assumptions and Catalog'!$F$55,IF(((D499+E499)*C499)&lt;='Assumptions and Catalog'!$C$56,((D499+E499)*C499)*'Assumptions and Catalog'!$H$56+'Assumptions and Catalog'!$E$56+'Assumptions and Catalog'!$F$56,IF(((D499+E499)*C499)&lt;='Assumptions and Catalog'!$C$57,((D499+E499)*C499)*'Assumptions and Catalog'!$H$57+'Assumptions and Catalog'!$E$57+'Assumptions and Catalog'!$F$57,"Out of range")))))))),IF(((D499+E499)*C499)&lt;='Assumptions and Catalog'!$C$60,((D499+E499)*C499)*'Assumptions and Catalog'!$H$60+'Assumptions and Catalog'!$E$60+'Assumptions and Catalog'!$F$60,IF(((D499+E499)*C499)&lt;='Assumptions and Catalog'!$C$61,((D499+E499)*C499)*'Assumptions and Catalog'!$H$61+'Assumptions and Catalog'!$E$61+'Assumptions and Catalog'!$F$61,IF(((D499+E499)*C499)&lt;='Assumptions and Catalog'!$C$62,((D499+E499)*C499)*'Assumptions and Catalog'!$H$62+'Assumptions and Catalog'!$E$62+'Assumptions and Catalog'!$F$62,IF(((D499+E499)*C499)&lt;='Assumptions and Catalog'!$C$63,((D499+E499)*C499)*'Assumptions and Catalog'!$H$63+'Assumptions and Catalog'!$E$63+'Assumptions and Catalog'!$F$63,IF(((D499+E499)*C499)&lt;='Assumptions and Catalog'!$C$64,((D499+E499)*C499)*'Assumptions and Catalog'!$H$64+'Assumptions and Catalog'!$E$64+'Assumptions and Catalog'!$F$64,IF(((D499+E499)*C499)&lt;='Assumptions and Catalog'!$C$65,((D499+E499)*C499)*'Assumptions and Catalog'!$H$65+'Assumptions and Catalog'!$E$65+'Assumptions and Catalog'!$F$65,"Out of range")))))))))*(1+'Assumptions and Catalog'!$C$8)^(A499-1),0)</f>
        <v>7094.794</v>
      </c>
      <c r="N499" s="5" t="n">
        <f>IF(ISNUMBER(Inputs!$L$5),(IF(Inputs!$L$9="Actual flat rate",L499*Inputs!$L$10,IF(Inputs!$C$9="Residential",IF(L499&lt;='Assumptions and Catalog'!$C$50,L499*'Assumptions and Catalog'!$H$50+'Assumptions and Catalog'!$E$50+'Assumptions and Catalog'!$F$50,IF(L499&lt;='Assumptions and Catalog'!$C$51,L499*'Assumptions and Catalog'!$H$51+'Assumptions and Catalog'!$E$51+'Assumptions and Catalog'!$F$51,IF(L499&lt;='Assumptions and Catalog'!$C$52,L499*'Assumptions and Catalog'!$H$52+'Assumptions and Catalog'!$E$52+'Assumptions and Catalog'!$F$52,IF(L499&lt;='Assumptions and Catalog'!$C$53,L499*'Assumptions and Catalog'!$H$53+'Assumptions and Catalog'!$E$53+'Assumptions and Catalog'!$F$53,IF(L499&lt;='Assumptions and Catalog'!$C$54,L499*'Assumptions and Catalog'!$H$54+'Assumptions and Catalog'!$E$54+'Assumptions and Catalog'!$F$54,IF(L499&lt;='Assumptions and Catalog'!$C$55,L499*'Assumptions and Catalog'!$H$55+'Assumptions and Catalog'!$E$55+'Assumptions and Catalog'!$F$55,IF(L499&lt;='Assumptions and Catalog'!$C$56,L499*'Assumptions and Catalog'!$H$56+'Assumptions and Catalog'!$E$56+'Assumptions and Catalog'!$F$56,IF(L499&lt;='Assumptions and Catalog'!$C$57,L499*'Assumptions and Catalog'!$H$57+'Assumptions and Catalog'!$E$57+'Assumptions and Catalog'!$F$57,"Out of range")))))))),IF(L499&lt;='Assumptions and Catalog'!$C$60,L499*'Assumptions and Catalog'!$H$60+'Assumptions and Catalog'!$E$60+'Assumptions and Catalog'!$F$60,IF(L499&lt;='Assumptions and Catalog'!$C$61,L499*'Assumptions and Catalog'!$H$61+'Assumptions and Catalog'!$E$61+'Assumptions and Catalog'!$F$61,IF(L499&lt;='Assumptions and Catalog'!$C$62,L499*'Assumptions and Catalog'!$H$62+'Assumptions and Catalog'!$E$62+'Assumptions and Catalog'!$F$62,IF(L499&lt;='Assumptions and Catalog'!$C$63,L499*'Assumptions and Catalog'!$H$63+'Assumptions and Catalog'!$E$63+'Assumptions and Catalog'!$F$63,IF(L499&lt;='Assumptions and Catalog'!$C$64,L499*'Assumptions and Catalog'!$H$64+'Assumptions and Catalog'!$E$64+'Assumptions and Catalog'!$F$64,IF(L499&lt;='Assumptions and Catalog'!$C$65,L499*'Assumptions and Catalog'!$H$65+'Assumptions and Catalog'!$E$65+'Assumptions and Catalog'!$F$65,"Out of range")))))))))*(1+'Assumptions and Catalog'!$C$8)^(A499-1),0)</f>
        <v>7094.794</v>
      </c>
      <c r="O499" s="5" t="n">
        <f>M499-N499</f>
        <v>0</v>
      </c>
      <c r="P499" s="5" t="n">
        <f>D$55*(1-K$14)*(1-'Assumptions and Catalog'!$C$23)^R499</f>
        <v>0</v>
      </c>
      <c r="Q499" s="5" t="n">
        <f>IF(ISNUMBER(Inputs!$L$5),(IF(Inputs!$L$9="Actual flat rate",((D499+E499)*C499-G499)*Inputs!$L$10,IF(Inputs!$C$9="Residential",IF(((D499+E499)*C499-G499)&lt;='Assumptions and Catalog'!$C$50,((D499+E499)*C499-G499)*'Assumptions and Catalog'!$H$50+'Assumptions and Catalog'!$E$50+'Assumptions and Catalog'!$F$50,IF(((D499+E499)*C499-G499)&lt;='Assumptions and Catalog'!$C$51,((D499+E499)*C499-G499)*'Assumptions and Catalog'!$H$51+'Assumptions and Catalog'!$E$51+'Assumptions and Catalog'!$F$51,IF(((D499+E499)*C499-G499)&lt;='Assumptions and Catalog'!$C$52,((D499+E499)*C499-G499)*'Assumptions and Catalog'!$H$52+'Assumptions and Catalog'!$E$52+'Assumptions and Catalog'!$F$52,IF(((D499+E499)*C499-G499)&lt;='Assumptions and Catalog'!$C$53,((D499+E499)*C499-G499)*'Assumptions and Catalog'!$H$53+'Assumptions and Catalog'!$E$53+'Assumptions and Catalog'!$F$53,IF(((D499+E499)*C499-G499)&lt;='Assumptions and Catalog'!$C$54,((D499+E499)*C499-G499)*'Assumptions and Catalog'!$H$54+'Assumptions and Catalog'!$E$54+'Assumptions and Catalog'!$F$54,IF(((D499+E499)*C499-G499)&lt;='Assumptions and Catalog'!$C$55,((D499+E499)*C499-G499)*'Assumptions and Catalog'!$H$55+'Assumptions and Catalog'!$E$55+'Assumptions and Catalog'!$F$55,IF(((D499+E499)*C499-G499)&lt;='Assumptions and Catalog'!$C$56,((D499+E499)*C499-G499)*'Assumptions and Catalog'!$H$56+'Assumptions and Catalog'!$E$56+'Assumptions and Catalog'!$F$56,IF(((D499+E499)*C499-G499)&lt;='Assumptions and Catalog'!$C$57,((D499+E499)*C499-G499)*'Assumptions and Catalog'!$H$57+'Assumptions and Catalog'!$E$57+'Assumptions and Catalog'!$F$57,"Out of range")))))))),IF(((D499+E499)*C499-G499)&lt;='Assumptions and Catalog'!$C$60,((D499+E499)*C499-G499)*'Assumptions and Catalog'!$H$60+'Assumptions and Catalog'!$E$60+'Assumptions and Catalog'!$F$60,IF(((D499+E499)*C499-G499)&lt;='Assumptions and Catalog'!$C$61,((D499+E499)*C499-G499)*'Assumptions and Catalog'!$H$61+'Assumptions and Catalog'!$E$61+'Assumptions and Catalog'!$F$61,IF(((D499+E499)*C499-G499)&lt;='Assumptions and Catalog'!$C$62,((D499+E499)*C499-G499)*'Assumptions and Catalog'!$H$62+'Assumptions and Catalog'!$E$62+'Assumptions and Catalog'!$F$62,IF(((D499+E499)*C499-G499)&lt;='Assumptions and Catalog'!$C$63,((D499+E499)*C499-G499)*'Assumptions and Catalog'!$H$63+'Assumptions and Catalog'!$E$63+'Assumptions and Catalog'!$F$63,IF(((D499+E499)*C499-G499)&lt;='Assumptions and Catalog'!$C$64,((D499+E499)*C499-G499)*'Assumptions and Catalog'!$H$64+'Assumptions and Catalog'!$E$64+'Assumptions and Catalog'!$F$64,IF(((D499+E499)*C499-G499)&lt;='Assumptions and Catalog'!$C$65,((D499+E499)*C499-G499)*'Assumptions and Catalog'!$H$65+'Assumptions and Catalog'!$E$65+'Assumptions and Catalog'!$F$65,"Out of range")))))))))*(1+'Assumptions and Catalog'!$C$8)^(A499-1),0)</f>
        <v>7094.794</v>
      </c>
      <c r="R499" s="5" t="n">
        <f>IF(AND('Assumptions and Catalog'!$C$19&gt;0,A499&gt;='Assumptions and Catalog'!$C$19),A499-'Assumptions and Catalog'!$C$19,A499-1)</f>
        <v>7</v>
      </c>
      <c r="S499" s="5" t="n">
        <f>F499+L499-(D499+E499)*C499-J499-K499-IF(D$52&gt;0,'Assumptions and Catalog'!$C$26*C499,0)</f>
        <v>0</v>
      </c>
      <c r="T499" s="5"/>
      <c r="U499" s="5"/>
    </row>
    <row r="500" ht="23.100000381469727" customHeight="1">
      <c r="A500" s="5" t="n">
        <v>8</v>
      </c>
      <c r="B500" s="5" t="n">
        <v>6</v>
      </c>
      <c r="C500" s="5" t="n">
        <f>DAY(DATE('Assumptions and Catalog'!$C$24+A500-1,B500+1,0))</f>
        <v>30</v>
      </c>
      <c r="D500" s="5" t="n">
        <f>IF(ISNUMBER(Inputs!$L$5),Inputs!$L$5*Inputs!$L$6,0)</f>
        <v>40.35</v>
      </c>
      <c r="E500" s="5" t="n">
        <f>IF(ISNUMBER(Inputs!$L$5),Inputs!$L$5-D500,0)</f>
        <v>40.35</v>
      </c>
      <c r="F500" s="5" t="n">
        <f>D$51*'Assumptions and Catalog'!$C$31*C500*(1-'Assumptions and Catalog'!$C$10)^(A500-1)</f>
        <v>0</v>
      </c>
      <c r="G500" s="5" t="n">
        <f>MIN(F500,D500*C500)</f>
        <v>0</v>
      </c>
      <c r="H500" s="5" t="n">
        <f>I500/('Assumptions and Catalog'!$C$11*'Assumptions and Catalog'!$C$12)</f>
        <v>0</v>
      </c>
      <c r="I500" s="5" t="n">
        <f>IF(K$15="Grid cycle",MIN(K$16,D500+E500,P500*'Assumptions and Catalog'!$C$12,D$57*(24-'Assumptions and Catalog'!$C$15),D$56*'Assumptions and Catalog'!$C$15*'Assumptions and Catalog'!$C$11*'Assumptions and Catalog'!$C$12)*C500,0)</f>
        <v>0</v>
      </c>
      <c r="J500" s="5" t="n">
        <f>MAX(F500-G500-0,0)</f>
        <v>0</v>
      </c>
      <c r="K500" s="5" t="n">
        <f>H500-I500</f>
        <v>0</v>
      </c>
      <c r="L500" s="5" t="n">
        <f>(D500+E500)*C500-G500-I500+H500+IF(D$52&gt;0,'Assumptions and Catalog'!$C$26*C500,0)</f>
        <v>2421</v>
      </c>
      <c r="M500" s="5" t="n">
        <f>IF(ISNUMBER(Inputs!$L$5),(IF(Inputs!$L$9="Actual flat rate",((D500+E500)*C500)*Inputs!$L$10,IF(Inputs!$C$9="Residential",IF(((D500+E500)*C500)&lt;='Assumptions and Catalog'!$C$50,((D500+E500)*C500)*'Assumptions and Catalog'!$H$50+'Assumptions and Catalog'!$E$50+'Assumptions and Catalog'!$F$50,IF(((D500+E500)*C500)&lt;='Assumptions and Catalog'!$C$51,((D500+E500)*C500)*'Assumptions and Catalog'!$H$51+'Assumptions and Catalog'!$E$51+'Assumptions and Catalog'!$F$51,IF(((D500+E500)*C500)&lt;='Assumptions and Catalog'!$C$52,((D500+E500)*C500)*'Assumptions and Catalog'!$H$52+'Assumptions and Catalog'!$E$52+'Assumptions and Catalog'!$F$52,IF(((D500+E500)*C500)&lt;='Assumptions and Catalog'!$C$53,((D500+E500)*C500)*'Assumptions and Catalog'!$H$53+'Assumptions and Catalog'!$E$53+'Assumptions and Catalog'!$F$53,IF(((D500+E500)*C500)&lt;='Assumptions and Catalog'!$C$54,((D500+E500)*C500)*'Assumptions and Catalog'!$H$54+'Assumptions and Catalog'!$E$54+'Assumptions and Catalog'!$F$54,IF(((D500+E500)*C500)&lt;='Assumptions and Catalog'!$C$55,((D500+E500)*C500)*'Assumptions and Catalog'!$H$55+'Assumptions and Catalog'!$E$55+'Assumptions and Catalog'!$F$55,IF(((D500+E500)*C500)&lt;='Assumptions and Catalog'!$C$56,((D500+E500)*C500)*'Assumptions and Catalog'!$H$56+'Assumptions and Catalog'!$E$56+'Assumptions and Catalog'!$F$56,IF(((D500+E500)*C500)&lt;='Assumptions and Catalog'!$C$57,((D500+E500)*C500)*'Assumptions and Catalog'!$H$57+'Assumptions and Catalog'!$E$57+'Assumptions and Catalog'!$F$57,"Out of range")))))))),IF(((D500+E500)*C500)&lt;='Assumptions and Catalog'!$C$60,((D500+E500)*C500)*'Assumptions and Catalog'!$H$60+'Assumptions and Catalog'!$E$60+'Assumptions and Catalog'!$F$60,IF(((D500+E500)*C500)&lt;='Assumptions and Catalog'!$C$61,((D500+E500)*C500)*'Assumptions and Catalog'!$H$61+'Assumptions and Catalog'!$E$61+'Assumptions and Catalog'!$F$61,IF(((D500+E500)*C500)&lt;='Assumptions and Catalog'!$C$62,((D500+E500)*C500)*'Assumptions and Catalog'!$H$62+'Assumptions and Catalog'!$E$62+'Assumptions and Catalog'!$F$62,IF(((D500+E500)*C500)&lt;='Assumptions and Catalog'!$C$63,((D500+E500)*C500)*'Assumptions and Catalog'!$H$63+'Assumptions and Catalog'!$E$63+'Assumptions and Catalog'!$F$63,IF(((D500+E500)*C500)&lt;='Assumptions and Catalog'!$C$64,((D500+E500)*C500)*'Assumptions and Catalog'!$H$64+'Assumptions and Catalog'!$E$64+'Assumptions and Catalog'!$F$64,IF(((D500+E500)*C500)&lt;='Assumptions and Catalog'!$C$65,((D500+E500)*C500)*'Assumptions and Catalog'!$H$65+'Assumptions and Catalog'!$E$65+'Assumptions and Catalog'!$F$65,"Out of range")))))))))*(1+'Assumptions and Catalog'!$C$8)^(A500-1),0)</f>
        <v>6867.22</v>
      </c>
      <c r="N500" s="5" t="n">
        <f>IF(ISNUMBER(Inputs!$L$5),(IF(Inputs!$L$9="Actual flat rate",L500*Inputs!$L$10,IF(Inputs!$C$9="Residential",IF(L500&lt;='Assumptions and Catalog'!$C$50,L500*'Assumptions and Catalog'!$H$50+'Assumptions and Catalog'!$E$50+'Assumptions and Catalog'!$F$50,IF(L500&lt;='Assumptions and Catalog'!$C$51,L500*'Assumptions and Catalog'!$H$51+'Assumptions and Catalog'!$E$51+'Assumptions and Catalog'!$F$51,IF(L500&lt;='Assumptions and Catalog'!$C$52,L500*'Assumptions and Catalog'!$H$52+'Assumptions and Catalog'!$E$52+'Assumptions and Catalog'!$F$52,IF(L500&lt;='Assumptions and Catalog'!$C$53,L500*'Assumptions and Catalog'!$H$53+'Assumptions and Catalog'!$E$53+'Assumptions and Catalog'!$F$53,IF(L500&lt;='Assumptions and Catalog'!$C$54,L500*'Assumptions and Catalog'!$H$54+'Assumptions and Catalog'!$E$54+'Assumptions and Catalog'!$F$54,IF(L500&lt;='Assumptions and Catalog'!$C$55,L500*'Assumptions and Catalog'!$H$55+'Assumptions and Catalog'!$E$55+'Assumptions and Catalog'!$F$55,IF(L500&lt;='Assumptions and Catalog'!$C$56,L500*'Assumptions and Catalog'!$H$56+'Assumptions and Catalog'!$E$56+'Assumptions and Catalog'!$F$56,IF(L500&lt;='Assumptions and Catalog'!$C$57,L500*'Assumptions and Catalog'!$H$57+'Assumptions and Catalog'!$E$57+'Assumptions and Catalog'!$F$57,"Out of range")))))))),IF(L500&lt;='Assumptions and Catalog'!$C$60,L500*'Assumptions and Catalog'!$H$60+'Assumptions and Catalog'!$E$60+'Assumptions and Catalog'!$F$60,IF(L500&lt;='Assumptions and Catalog'!$C$61,L500*'Assumptions and Catalog'!$H$61+'Assumptions and Catalog'!$E$61+'Assumptions and Catalog'!$F$61,IF(L500&lt;='Assumptions and Catalog'!$C$62,L500*'Assumptions and Catalog'!$H$62+'Assumptions and Catalog'!$E$62+'Assumptions and Catalog'!$F$62,IF(L500&lt;='Assumptions and Catalog'!$C$63,L500*'Assumptions and Catalog'!$H$63+'Assumptions and Catalog'!$E$63+'Assumptions and Catalog'!$F$63,IF(L500&lt;='Assumptions and Catalog'!$C$64,L500*'Assumptions and Catalog'!$H$64+'Assumptions and Catalog'!$E$64+'Assumptions and Catalog'!$F$64,IF(L500&lt;='Assumptions and Catalog'!$C$65,L500*'Assumptions and Catalog'!$H$65+'Assumptions and Catalog'!$E$65+'Assumptions and Catalog'!$F$65,"Out of range")))))))))*(1+'Assumptions and Catalog'!$C$8)^(A500-1),0)</f>
        <v>6867.22</v>
      </c>
      <c r="O500" s="5" t="n">
        <f>M500-N500</f>
        <v>0</v>
      </c>
      <c r="P500" s="5" t="n">
        <f>D$55*(1-K$14)*(1-'Assumptions and Catalog'!$C$23)^R500</f>
        <v>0</v>
      </c>
      <c r="Q500" s="5" t="n">
        <f>IF(ISNUMBER(Inputs!$L$5),(IF(Inputs!$L$9="Actual flat rate",((D500+E500)*C500-G500)*Inputs!$L$10,IF(Inputs!$C$9="Residential",IF(((D500+E500)*C500-G500)&lt;='Assumptions and Catalog'!$C$50,((D500+E500)*C500-G500)*'Assumptions and Catalog'!$H$50+'Assumptions and Catalog'!$E$50+'Assumptions and Catalog'!$F$50,IF(((D500+E500)*C500-G500)&lt;='Assumptions and Catalog'!$C$51,((D500+E500)*C500-G500)*'Assumptions and Catalog'!$H$51+'Assumptions and Catalog'!$E$51+'Assumptions and Catalog'!$F$51,IF(((D500+E500)*C500-G500)&lt;='Assumptions and Catalog'!$C$52,((D500+E500)*C500-G500)*'Assumptions and Catalog'!$H$52+'Assumptions and Catalog'!$E$52+'Assumptions and Catalog'!$F$52,IF(((D500+E500)*C500-G500)&lt;='Assumptions and Catalog'!$C$53,((D500+E500)*C500-G500)*'Assumptions and Catalog'!$H$53+'Assumptions and Catalog'!$E$53+'Assumptions and Catalog'!$F$53,IF(((D500+E500)*C500-G500)&lt;='Assumptions and Catalog'!$C$54,((D500+E500)*C500-G500)*'Assumptions and Catalog'!$H$54+'Assumptions and Catalog'!$E$54+'Assumptions and Catalog'!$F$54,IF(((D500+E500)*C500-G500)&lt;='Assumptions and Catalog'!$C$55,((D500+E500)*C500-G500)*'Assumptions and Catalog'!$H$55+'Assumptions and Catalog'!$E$55+'Assumptions and Catalog'!$F$55,IF(((D500+E500)*C500-G500)&lt;='Assumptions and Catalog'!$C$56,((D500+E500)*C500-G500)*'Assumptions and Catalog'!$H$56+'Assumptions and Catalog'!$E$56+'Assumptions and Catalog'!$F$56,IF(((D500+E500)*C500-G500)&lt;='Assumptions and Catalog'!$C$57,((D500+E500)*C500-G500)*'Assumptions and Catalog'!$H$57+'Assumptions and Catalog'!$E$57+'Assumptions and Catalog'!$F$57,"Out of range")))))))),IF(((D500+E500)*C500-G500)&lt;='Assumptions and Catalog'!$C$60,((D500+E500)*C500-G500)*'Assumptions and Catalog'!$H$60+'Assumptions and Catalog'!$E$60+'Assumptions and Catalog'!$F$60,IF(((D500+E500)*C500-G500)&lt;='Assumptions and Catalog'!$C$61,((D500+E500)*C500-G500)*'Assumptions and Catalog'!$H$61+'Assumptions and Catalog'!$E$61+'Assumptions and Catalog'!$F$61,IF(((D500+E500)*C500-G500)&lt;='Assumptions and Catalog'!$C$62,((D500+E500)*C500-G500)*'Assumptions and Catalog'!$H$62+'Assumptions and Catalog'!$E$62+'Assumptions and Catalog'!$F$62,IF(((D500+E500)*C500-G500)&lt;='Assumptions and Catalog'!$C$63,((D500+E500)*C500-G500)*'Assumptions and Catalog'!$H$63+'Assumptions and Catalog'!$E$63+'Assumptions and Catalog'!$F$63,IF(((D500+E500)*C500-G500)&lt;='Assumptions and Catalog'!$C$64,((D500+E500)*C500-G500)*'Assumptions and Catalog'!$H$64+'Assumptions and Catalog'!$E$64+'Assumptions and Catalog'!$F$64,IF(((D500+E500)*C500-G500)&lt;='Assumptions and Catalog'!$C$65,((D500+E500)*C500-G500)*'Assumptions and Catalog'!$H$65+'Assumptions and Catalog'!$E$65+'Assumptions and Catalog'!$F$65,"Out of range")))))))))*(1+'Assumptions and Catalog'!$C$8)^(A500-1),0)</f>
        <v>6867.22</v>
      </c>
      <c r="R500" s="5" t="n">
        <f>IF(AND('Assumptions and Catalog'!$C$19&gt;0,A500&gt;='Assumptions and Catalog'!$C$19),A500-'Assumptions and Catalog'!$C$19,A500-1)</f>
        <v>7</v>
      </c>
      <c r="S500" s="5" t="n">
        <f>F500+L500-(D500+E500)*C500-J500-K500-IF(D$52&gt;0,'Assumptions and Catalog'!$C$26*C500,0)</f>
        <v>0</v>
      </c>
      <c r="T500" s="5"/>
      <c r="U500" s="5"/>
    </row>
    <row r="501" ht="23.100000381469727" customHeight="1">
      <c r="A501" s="5" t="n">
        <v>8</v>
      </c>
      <c r="B501" s="5" t="n">
        <v>7</v>
      </c>
      <c r="C501" s="5" t="n">
        <f>DAY(DATE('Assumptions and Catalog'!$C$24+A501-1,B501+1,0))</f>
        <v>31</v>
      </c>
      <c r="D501" s="5" t="n">
        <f>IF(ISNUMBER(Inputs!$L$5),Inputs!$L$5*Inputs!$L$6,0)</f>
        <v>40.35</v>
      </c>
      <c r="E501" s="5" t="n">
        <f>IF(ISNUMBER(Inputs!$L$5),Inputs!$L$5-D501,0)</f>
        <v>40.35</v>
      </c>
      <c r="F501" s="5" t="n">
        <f>D$51*'Assumptions and Catalog'!$C$31*C501*(1-'Assumptions and Catalog'!$C$10)^(A501-1)</f>
        <v>0</v>
      </c>
      <c r="G501" s="5" t="n">
        <f>MIN(F501,D501*C501)</f>
        <v>0</v>
      </c>
      <c r="H501" s="5" t="n">
        <f>I501/('Assumptions and Catalog'!$C$11*'Assumptions and Catalog'!$C$12)</f>
        <v>0</v>
      </c>
      <c r="I501" s="5" t="n">
        <f>IF(K$15="Grid cycle",MIN(K$16,D501+E501,P501*'Assumptions and Catalog'!$C$12,D$57*(24-'Assumptions and Catalog'!$C$15),D$56*'Assumptions and Catalog'!$C$15*'Assumptions and Catalog'!$C$11*'Assumptions and Catalog'!$C$12)*C501,0)</f>
        <v>0</v>
      </c>
      <c r="J501" s="5" t="n">
        <f>MAX(F501-G501-0,0)</f>
        <v>0</v>
      </c>
      <c r="K501" s="5" t="n">
        <f>H501-I501</f>
        <v>0</v>
      </c>
      <c r="L501" s="5" t="n">
        <f>(D501+E501)*C501-G501-I501+H501+IF(D$52&gt;0,'Assumptions and Catalog'!$C$26*C501,0)</f>
        <v>2501.7</v>
      </c>
      <c r="M501" s="5" t="n">
        <f>IF(ISNUMBER(Inputs!$L$5),(IF(Inputs!$L$9="Actual flat rate",((D501+E501)*C501)*Inputs!$L$10,IF(Inputs!$C$9="Residential",IF(((D501+E501)*C501)&lt;='Assumptions and Catalog'!$C$50,((D501+E501)*C501)*'Assumptions and Catalog'!$H$50+'Assumptions and Catalog'!$E$50+'Assumptions and Catalog'!$F$50,IF(((D501+E501)*C501)&lt;='Assumptions and Catalog'!$C$51,((D501+E501)*C501)*'Assumptions and Catalog'!$H$51+'Assumptions and Catalog'!$E$51+'Assumptions and Catalog'!$F$51,IF(((D501+E501)*C501)&lt;='Assumptions and Catalog'!$C$52,((D501+E501)*C501)*'Assumptions and Catalog'!$H$52+'Assumptions and Catalog'!$E$52+'Assumptions and Catalog'!$F$52,IF(((D501+E501)*C501)&lt;='Assumptions and Catalog'!$C$53,((D501+E501)*C501)*'Assumptions and Catalog'!$H$53+'Assumptions and Catalog'!$E$53+'Assumptions and Catalog'!$F$53,IF(((D501+E501)*C501)&lt;='Assumptions and Catalog'!$C$54,((D501+E501)*C501)*'Assumptions and Catalog'!$H$54+'Assumptions and Catalog'!$E$54+'Assumptions and Catalog'!$F$54,IF(((D501+E501)*C501)&lt;='Assumptions and Catalog'!$C$55,((D501+E501)*C501)*'Assumptions and Catalog'!$H$55+'Assumptions and Catalog'!$E$55+'Assumptions and Catalog'!$F$55,IF(((D501+E501)*C501)&lt;='Assumptions and Catalog'!$C$56,((D501+E501)*C501)*'Assumptions and Catalog'!$H$56+'Assumptions and Catalog'!$E$56+'Assumptions and Catalog'!$F$56,IF(((D501+E501)*C501)&lt;='Assumptions and Catalog'!$C$57,((D501+E501)*C501)*'Assumptions and Catalog'!$H$57+'Assumptions and Catalog'!$E$57+'Assumptions and Catalog'!$F$57,"Out of range")))))))),IF(((D501+E501)*C501)&lt;='Assumptions and Catalog'!$C$60,((D501+E501)*C501)*'Assumptions and Catalog'!$H$60+'Assumptions and Catalog'!$E$60+'Assumptions and Catalog'!$F$60,IF(((D501+E501)*C501)&lt;='Assumptions and Catalog'!$C$61,((D501+E501)*C501)*'Assumptions and Catalog'!$H$61+'Assumptions and Catalog'!$E$61+'Assumptions and Catalog'!$F$61,IF(((D501+E501)*C501)&lt;='Assumptions and Catalog'!$C$62,((D501+E501)*C501)*'Assumptions and Catalog'!$H$62+'Assumptions and Catalog'!$E$62+'Assumptions and Catalog'!$F$62,IF(((D501+E501)*C501)&lt;='Assumptions and Catalog'!$C$63,((D501+E501)*C501)*'Assumptions and Catalog'!$H$63+'Assumptions and Catalog'!$E$63+'Assumptions and Catalog'!$F$63,IF(((D501+E501)*C501)&lt;='Assumptions and Catalog'!$C$64,((D501+E501)*C501)*'Assumptions and Catalog'!$H$64+'Assumptions and Catalog'!$E$64+'Assumptions and Catalog'!$F$64,IF(((D501+E501)*C501)&lt;='Assumptions and Catalog'!$C$65,((D501+E501)*C501)*'Assumptions and Catalog'!$H$65+'Assumptions and Catalog'!$E$65+'Assumptions and Catalog'!$F$65,"Out of range")))))))))*(1+'Assumptions and Catalog'!$C$8)^(A501-1),0)</f>
        <v>7094.794</v>
      </c>
      <c r="N501" s="5" t="n">
        <f>IF(ISNUMBER(Inputs!$L$5),(IF(Inputs!$L$9="Actual flat rate",L501*Inputs!$L$10,IF(Inputs!$C$9="Residential",IF(L501&lt;='Assumptions and Catalog'!$C$50,L501*'Assumptions and Catalog'!$H$50+'Assumptions and Catalog'!$E$50+'Assumptions and Catalog'!$F$50,IF(L501&lt;='Assumptions and Catalog'!$C$51,L501*'Assumptions and Catalog'!$H$51+'Assumptions and Catalog'!$E$51+'Assumptions and Catalog'!$F$51,IF(L501&lt;='Assumptions and Catalog'!$C$52,L501*'Assumptions and Catalog'!$H$52+'Assumptions and Catalog'!$E$52+'Assumptions and Catalog'!$F$52,IF(L501&lt;='Assumptions and Catalog'!$C$53,L501*'Assumptions and Catalog'!$H$53+'Assumptions and Catalog'!$E$53+'Assumptions and Catalog'!$F$53,IF(L501&lt;='Assumptions and Catalog'!$C$54,L501*'Assumptions and Catalog'!$H$54+'Assumptions and Catalog'!$E$54+'Assumptions and Catalog'!$F$54,IF(L501&lt;='Assumptions and Catalog'!$C$55,L501*'Assumptions and Catalog'!$H$55+'Assumptions and Catalog'!$E$55+'Assumptions and Catalog'!$F$55,IF(L501&lt;='Assumptions and Catalog'!$C$56,L501*'Assumptions and Catalog'!$H$56+'Assumptions and Catalog'!$E$56+'Assumptions and Catalog'!$F$56,IF(L501&lt;='Assumptions and Catalog'!$C$57,L501*'Assumptions and Catalog'!$H$57+'Assumptions and Catalog'!$E$57+'Assumptions and Catalog'!$F$57,"Out of range")))))))),IF(L501&lt;='Assumptions and Catalog'!$C$60,L501*'Assumptions and Catalog'!$H$60+'Assumptions and Catalog'!$E$60+'Assumptions and Catalog'!$F$60,IF(L501&lt;='Assumptions and Catalog'!$C$61,L501*'Assumptions and Catalog'!$H$61+'Assumptions and Catalog'!$E$61+'Assumptions and Catalog'!$F$61,IF(L501&lt;='Assumptions and Catalog'!$C$62,L501*'Assumptions and Catalog'!$H$62+'Assumptions and Catalog'!$E$62+'Assumptions and Catalog'!$F$62,IF(L501&lt;='Assumptions and Catalog'!$C$63,L501*'Assumptions and Catalog'!$H$63+'Assumptions and Catalog'!$E$63+'Assumptions and Catalog'!$F$63,IF(L501&lt;='Assumptions and Catalog'!$C$64,L501*'Assumptions and Catalog'!$H$64+'Assumptions and Catalog'!$E$64+'Assumptions and Catalog'!$F$64,IF(L501&lt;='Assumptions and Catalog'!$C$65,L501*'Assumptions and Catalog'!$H$65+'Assumptions and Catalog'!$E$65+'Assumptions and Catalog'!$F$65,"Out of range")))))))))*(1+'Assumptions and Catalog'!$C$8)^(A501-1),0)</f>
        <v>7094.794</v>
      </c>
      <c r="O501" s="5" t="n">
        <f>M501-N501</f>
        <v>0</v>
      </c>
      <c r="P501" s="5" t="n">
        <f>D$55*(1-K$14)*(1-'Assumptions and Catalog'!$C$23)^R501</f>
        <v>0</v>
      </c>
      <c r="Q501" s="5" t="n">
        <f>IF(ISNUMBER(Inputs!$L$5),(IF(Inputs!$L$9="Actual flat rate",((D501+E501)*C501-G501)*Inputs!$L$10,IF(Inputs!$C$9="Residential",IF(((D501+E501)*C501-G501)&lt;='Assumptions and Catalog'!$C$50,((D501+E501)*C501-G501)*'Assumptions and Catalog'!$H$50+'Assumptions and Catalog'!$E$50+'Assumptions and Catalog'!$F$50,IF(((D501+E501)*C501-G501)&lt;='Assumptions and Catalog'!$C$51,((D501+E501)*C501-G501)*'Assumptions and Catalog'!$H$51+'Assumptions and Catalog'!$E$51+'Assumptions and Catalog'!$F$51,IF(((D501+E501)*C501-G501)&lt;='Assumptions and Catalog'!$C$52,((D501+E501)*C501-G501)*'Assumptions and Catalog'!$H$52+'Assumptions and Catalog'!$E$52+'Assumptions and Catalog'!$F$52,IF(((D501+E501)*C501-G501)&lt;='Assumptions and Catalog'!$C$53,((D501+E501)*C501-G501)*'Assumptions and Catalog'!$H$53+'Assumptions and Catalog'!$E$53+'Assumptions and Catalog'!$F$53,IF(((D501+E501)*C501-G501)&lt;='Assumptions and Catalog'!$C$54,((D501+E501)*C501-G501)*'Assumptions and Catalog'!$H$54+'Assumptions and Catalog'!$E$54+'Assumptions and Catalog'!$F$54,IF(((D501+E501)*C501-G501)&lt;='Assumptions and Catalog'!$C$55,((D501+E501)*C501-G501)*'Assumptions and Catalog'!$H$55+'Assumptions and Catalog'!$E$55+'Assumptions and Catalog'!$F$55,IF(((D501+E501)*C501-G501)&lt;='Assumptions and Catalog'!$C$56,((D501+E501)*C501-G501)*'Assumptions and Catalog'!$H$56+'Assumptions and Catalog'!$E$56+'Assumptions and Catalog'!$F$56,IF(((D501+E501)*C501-G501)&lt;='Assumptions and Catalog'!$C$57,((D501+E501)*C501-G501)*'Assumptions and Catalog'!$H$57+'Assumptions and Catalog'!$E$57+'Assumptions and Catalog'!$F$57,"Out of range")))))))),IF(((D501+E501)*C501-G501)&lt;='Assumptions and Catalog'!$C$60,((D501+E501)*C501-G501)*'Assumptions and Catalog'!$H$60+'Assumptions and Catalog'!$E$60+'Assumptions and Catalog'!$F$60,IF(((D501+E501)*C501-G501)&lt;='Assumptions and Catalog'!$C$61,((D501+E501)*C501-G501)*'Assumptions and Catalog'!$H$61+'Assumptions and Catalog'!$E$61+'Assumptions and Catalog'!$F$61,IF(((D501+E501)*C501-G501)&lt;='Assumptions and Catalog'!$C$62,((D501+E501)*C501-G501)*'Assumptions and Catalog'!$H$62+'Assumptions and Catalog'!$E$62+'Assumptions and Catalog'!$F$62,IF(((D501+E501)*C501-G501)&lt;='Assumptions and Catalog'!$C$63,((D501+E501)*C501-G501)*'Assumptions and Catalog'!$H$63+'Assumptions and Catalog'!$E$63+'Assumptions and Catalog'!$F$63,IF(((D501+E501)*C501-G501)&lt;='Assumptions and Catalog'!$C$64,((D501+E501)*C501-G501)*'Assumptions and Catalog'!$H$64+'Assumptions and Catalog'!$E$64+'Assumptions and Catalog'!$F$64,IF(((D501+E501)*C501-G501)&lt;='Assumptions and Catalog'!$C$65,((D501+E501)*C501-G501)*'Assumptions and Catalog'!$H$65+'Assumptions and Catalog'!$E$65+'Assumptions and Catalog'!$F$65,"Out of range")))))))))*(1+'Assumptions and Catalog'!$C$8)^(A501-1),0)</f>
        <v>7094.794</v>
      </c>
      <c r="R501" s="5" t="n">
        <f>IF(AND('Assumptions and Catalog'!$C$19&gt;0,A501&gt;='Assumptions and Catalog'!$C$19),A501-'Assumptions and Catalog'!$C$19,A501-1)</f>
        <v>7</v>
      </c>
      <c r="S501" s="5" t="n">
        <f>F501+L501-(D501+E501)*C501-J501-K501-IF(D$52&gt;0,'Assumptions and Catalog'!$C$26*C501,0)</f>
        <v>0</v>
      </c>
      <c r="T501" s="5"/>
      <c r="U501" s="5"/>
    </row>
    <row r="502" ht="23.100000381469727" customHeight="1">
      <c r="A502" s="5" t="n">
        <v>8</v>
      </c>
      <c r="B502" s="5" t="n">
        <v>8</v>
      </c>
      <c r="C502" s="5" t="n">
        <f>DAY(DATE('Assumptions and Catalog'!$C$24+A502-1,B502+1,0))</f>
        <v>31</v>
      </c>
      <c r="D502" s="5" t="n">
        <f>IF(ISNUMBER(Inputs!$L$5),Inputs!$L$5*Inputs!$L$6,0)</f>
        <v>40.35</v>
      </c>
      <c r="E502" s="5" t="n">
        <f>IF(ISNUMBER(Inputs!$L$5),Inputs!$L$5-D502,0)</f>
        <v>40.35</v>
      </c>
      <c r="F502" s="5" t="n">
        <f>D$51*'Assumptions and Catalog'!$C$31*C502*(1-'Assumptions and Catalog'!$C$10)^(A502-1)</f>
        <v>0</v>
      </c>
      <c r="G502" s="5" t="n">
        <f>MIN(F502,D502*C502)</f>
        <v>0</v>
      </c>
      <c r="H502" s="5" t="n">
        <f>I502/('Assumptions and Catalog'!$C$11*'Assumptions and Catalog'!$C$12)</f>
        <v>0</v>
      </c>
      <c r="I502" s="5" t="n">
        <f>IF(K$15="Grid cycle",MIN(K$16,D502+E502,P502*'Assumptions and Catalog'!$C$12,D$57*(24-'Assumptions and Catalog'!$C$15),D$56*'Assumptions and Catalog'!$C$15*'Assumptions and Catalog'!$C$11*'Assumptions and Catalog'!$C$12)*C502,0)</f>
        <v>0</v>
      </c>
      <c r="J502" s="5" t="n">
        <f>MAX(F502-G502-0,0)</f>
        <v>0</v>
      </c>
      <c r="K502" s="5" t="n">
        <f>H502-I502</f>
        <v>0</v>
      </c>
      <c r="L502" s="5" t="n">
        <f>(D502+E502)*C502-G502-I502+H502+IF(D$52&gt;0,'Assumptions and Catalog'!$C$26*C502,0)</f>
        <v>2501.7</v>
      </c>
      <c r="M502" s="5" t="n">
        <f>IF(ISNUMBER(Inputs!$L$5),(IF(Inputs!$L$9="Actual flat rate",((D502+E502)*C502)*Inputs!$L$10,IF(Inputs!$C$9="Residential",IF(((D502+E502)*C502)&lt;='Assumptions and Catalog'!$C$50,((D502+E502)*C502)*'Assumptions and Catalog'!$H$50+'Assumptions and Catalog'!$E$50+'Assumptions and Catalog'!$F$50,IF(((D502+E502)*C502)&lt;='Assumptions and Catalog'!$C$51,((D502+E502)*C502)*'Assumptions and Catalog'!$H$51+'Assumptions and Catalog'!$E$51+'Assumptions and Catalog'!$F$51,IF(((D502+E502)*C502)&lt;='Assumptions and Catalog'!$C$52,((D502+E502)*C502)*'Assumptions and Catalog'!$H$52+'Assumptions and Catalog'!$E$52+'Assumptions and Catalog'!$F$52,IF(((D502+E502)*C502)&lt;='Assumptions and Catalog'!$C$53,((D502+E502)*C502)*'Assumptions and Catalog'!$H$53+'Assumptions and Catalog'!$E$53+'Assumptions and Catalog'!$F$53,IF(((D502+E502)*C502)&lt;='Assumptions and Catalog'!$C$54,((D502+E502)*C502)*'Assumptions and Catalog'!$H$54+'Assumptions and Catalog'!$E$54+'Assumptions and Catalog'!$F$54,IF(((D502+E502)*C502)&lt;='Assumptions and Catalog'!$C$55,((D502+E502)*C502)*'Assumptions and Catalog'!$H$55+'Assumptions and Catalog'!$E$55+'Assumptions and Catalog'!$F$55,IF(((D502+E502)*C502)&lt;='Assumptions and Catalog'!$C$56,((D502+E502)*C502)*'Assumptions and Catalog'!$H$56+'Assumptions and Catalog'!$E$56+'Assumptions and Catalog'!$F$56,IF(((D502+E502)*C502)&lt;='Assumptions and Catalog'!$C$57,((D502+E502)*C502)*'Assumptions and Catalog'!$H$57+'Assumptions and Catalog'!$E$57+'Assumptions and Catalog'!$F$57,"Out of range")))))))),IF(((D502+E502)*C502)&lt;='Assumptions and Catalog'!$C$60,((D502+E502)*C502)*'Assumptions and Catalog'!$H$60+'Assumptions and Catalog'!$E$60+'Assumptions and Catalog'!$F$60,IF(((D502+E502)*C502)&lt;='Assumptions and Catalog'!$C$61,((D502+E502)*C502)*'Assumptions and Catalog'!$H$61+'Assumptions and Catalog'!$E$61+'Assumptions and Catalog'!$F$61,IF(((D502+E502)*C502)&lt;='Assumptions and Catalog'!$C$62,((D502+E502)*C502)*'Assumptions and Catalog'!$H$62+'Assumptions and Catalog'!$E$62+'Assumptions and Catalog'!$F$62,IF(((D502+E502)*C502)&lt;='Assumptions and Catalog'!$C$63,((D502+E502)*C502)*'Assumptions and Catalog'!$H$63+'Assumptions and Catalog'!$E$63+'Assumptions and Catalog'!$F$63,IF(((D502+E502)*C502)&lt;='Assumptions and Catalog'!$C$64,((D502+E502)*C502)*'Assumptions and Catalog'!$H$64+'Assumptions and Catalog'!$E$64+'Assumptions and Catalog'!$F$64,IF(((D502+E502)*C502)&lt;='Assumptions and Catalog'!$C$65,((D502+E502)*C502)*'Assumptions and Catalog'!$H$65+'Assumptions and Catalog'!$E$65+'Assumptions and Catalog'!$F$65,"Out of range")))))))))*(1+'Assumptions and Catalog'!$C$8)^(A502-1),0)</f>
        <v>7094.794</v>
      </c>
      <c r="N502" s="5" t="n">
        <f>IF(ISNUMBER(Inputs!$L$5),(IF(Inputs!$L$9="Actual flat rate",L502*Inputs!$L$10,IF(Inputs!$C$9="Residential",IF(L502&lt;='Assumptions and Catalog'!$C$50,L502*'Assumptions and Catalog'!$H$50+'Assumptions and Catalog'!$E$50+'Assumptions and Catalog'!$F$50,IF(L502&lt;='Assumptions and Catalog'!$C$51,L502*'Assumptions and Catalog'!$H$51+'Assumptions and Catalog'!$E$51+'Assumptions and Catalog'!$F$51,IF(L502&lt;='Assumptions and Catalog'!$C$52,L502*'Assumptions and Catalog'!$H$52+'Assumptions and Catalog'!$E$52+'Assumptions and Catalog'!$F$52,IF(L502&lt;='Assumptions and Catalog'!$C$53,L502*'Assumptions and Catalog'!$H$53+'Assumptions and Catalog'!$E$53+'Assumptions and Catalog'!$F$53,IF(L502&lt;='Assumptions and Catalog'!$C$54,L502*'Assumptions and Catalog'!$H$54+'Assumptions and Catalog'!$E$54+'Assumptions and Catalog'!$F$54,IF(L502&lt;='Assumptions and Catalog'!$C$55,L502*'Assumptions and Catalog'!$H$55+'Assumptions and Catalog'!$E$55+'Assumptions and Catalog'!$F$55,IF(L502&lt;='Assumptions and Catalog'!$C$56,L502*'Assumptions and Catalog'!$H$56+'Assumptions and Catalog'!$E$56+'Assumptions and Catalog'!$F$56,IF(L502&lt;='Assumptions and Catalog'!$C$57,L502*'Assumptions and Catalog'!$H$57+'Assumptions and Catalog'!$E$57+'Assumptions and Catalog'!$F$57,"Out of range")))))))),IF(L502&lt;='Assumptions and Catalog'!$C$60,L502*'Assumptions and Catalog'!$H$60+'Assumptions and Catalog'!$E$60+'Assumptions and Catalog'!$F$60,IF(L502&lt;='Assumptions and Catalog'!$C$61,L502*'Assumptions and Catalog'!$H$61+'Assumptions and Catalog'!$E$61+'Assumptions and Catalog'!$F$61,IF(L502&lt;='Assumptions and Catalog'!$C$62,L502*'Assumptions and Catalog'!$H$62+'Assumptions and Catalog'!$E$62+'Assumptions and Catalog'!$F$62,IF(L502&lt;='Assumptions and Catalog'!$C$63,L502*'Assumptions and Catalog'!$H$63+'Assumptions and Catalog'!$E$63+'Assumptions and Catalog'!$F$63,IF(L502&lt;='Assumptions and Catalog'!$C$64,L502*'Assumptions and Catalog'!$H$64+'Assumptions and Catalog'!$E$64+'Assumptions and Catalog'!$F$64,IF(L502&lt;='Assumptions and Catalog'!$C$65,L502*'Assumptions and Catalog'!$H$65+'Assumptions and Catalog'!$E$65+'Assumptions and Catalog'!$F$65,"Out of range")))))))))*(1+'Assumptions and Catalog'!$C$8)^(A502-1),0)</f>
        <v>7094.794</v>
      </c>
      <c r="O502" s="5" t="n">
        <f>M502-N502</f>
        <v>0</v>
      </c>
      <c r="P502" s="5" t="n">
        <f>D$55*(1-K$14)*(1-'Assumptions and Catalog'!$C$23)^R502</f>
        <v>0</v>
      </c>
      <c r="Q502" s="5" t="n">
        <f>IF(ISNUMBER(Inputs!$L$5),(IF(Inputs!$L$9="Actual flat rate",((D502+E502)*C502-G502)*Inputs!$L$10,IF(Inputs!$C$9="Residential",IF(((D502+E502)*C502-G502)&lt;='Assumptions and Catalog'!$C$50,((D502+E502)*C502-G502)*'Assumptions and Catalog'!$H$50+'Assumptions and Catalog'!$E$50+'Assumptions and Catalog'!$F$50,IF(((D502+E502)*C502-G502)&lt;='Assumptions and Catalog'!$C$51,((D502+E502)*C502-G502)*'Assumptions and Catalog'!$H$51+'Assumptions and Catalog'!$E$51+'Assumptions and Catalog'!$F$51,IF(((D502+E502)*C502-G502)&lt;='Assumptions and Catalog'!$C$52,((D502+E502)*C502-G502)*'Assumptions and Catalog'!$H$52+'Assumptions and Catalog'!$E$52+'Assumptions and Catalog'!$F$52,IF(((D502+E502)*C502-G502)&lt;='Assumptions and Catalog'!$C$53,((D502+E502)*C502-G502)*'Assumptions and Catalog'!$H$53+'Assumptions and Catalog'!$E$53+'Assumptions and Catalog'!$F$53,IF(((D502+E502)*C502-G502)&lt;='Assumptions and Catalog'!$C$54,((D502+E502)*C502-G502)*'Assumptions and Catalog'!$H$54+'Assumptions and Catalog'!$E$54+'Assumptions and Catalog'!$F$54,IF(((D502+E502)*C502-G502)&lt;='Assumptions and Catalog'!$C$55,((D502+E502)*C502-G502)*'Assumptions and Catalog'!$H$55+'Assumptions and Catalog'!$E$55+'Assumptions and Catalog'!$F$55,IF(((D502+E502)*C502-G502)&lt;='Assumptions and Catalog'!$C$56,((D502+E502)*C502-G502)*'Assumptions and Catalog'!$H$56+'Assumptions and Catalog'!$E$56+'Assumptions and Catalog'!$F$56,IF(((D502+E502)*C502-G502)&lt;='Assumptions and Catalog'!$C$57,((D502+E502)*C502-G502)*'Assumptions and Catalog'!$H$57+'Assumptions and Catalog'!$E$57+'Assumptions and Catalog'!$F$57,"Out of range")))))))),IF(((D502+E502)*C502-G502)&lt;='Assumptions and Catalog'!$C$60,((D502+E502)*C502-G502)*'Assumptions and Catalog'!$H$60+'Assumptions and Catalog'!$E$60+'Assumptions and Catalog'!$F$60,IF(((D502+E502)*C502-G502)&lt;='Assumptions and Catalog'!$C$61,((D502+E502)*C502-G502)*'Assumptions and Catalog'!$H$61+'Assumptions and Catalog'!$E$61+'Assumptions and Catalog'!$F$61,IF(((D502+E502)*C502-G502)&lt;='Assumptions and Catalog'!$C$62,((D502+E502)*C502-G502)*'Assumptions and Catalog'!$H$62+'Assumptions and Catalog'!$E$62+'Assumptions and Catalog'!$F$62,IF(((D502+E502)*C502-G502)&lt;='Assumptions and Catalog'!$C$63,((D502+E502)*C502-G502)*'Assumptions and Catalog'!$H$63+'Assumptions and Catalog'!$E$63+'Assumptions and Catalog'!$F$63,IF(((D502+E502)*C502-G502)&lt;='Assumptions and Catalog'!$C$64,((D502+E502)*C502-G502)*'Assumptions and Catalog'!$H$64+'Assumptions and Catalog'!$E$64+'Assumptions and Catalog'!$F$64,IF(((D502+E502)*C502-G502)&lt;='Assumptions and Catalog'!$C$65,((D502+E502)*C502-G502)*'Assumptions and Catalog'!$H$65+'Assumptions and Catalog'!$E$65+'Assumptions and Catalog'!$F$65,"Out of range")))))))))*(1+'Assumptions and Catalog'!$C$8)^(A502-1),0)</f>
        <v>7094.794</v>
      </c>
      <c r="R502" s="5" t="n">
        <f>IF(AND('Assumptions and Catalog'!$C$19&gt;0,A502&gt;='Assumptions and Catalog'!$C$19),A502-'Assumptions and Catalog'!$C$19,A502-1)</f>
        <v>7</v>
      </c>
      <c r="S502" s="5" t="n">
        <f>F502+L502-(D502+E502)*C502-J502-K502-IF(D$52&gt;0,'Assumptions and Catalog'!$C$26*C502,0)</f>
        <v>0</v>
      </c>
      <c r="T502" s="5"/>
      <c r="U502" s="5"/>
    </row>
    <row r="503" ht="23.100000381469727" customHeight="1">
      <c r="A503" s="5" t="n">
        <v>8</v>
      </c>
      <c r="B503" s="5" t="n">
        <v>9</v>
      </c>
      <c r="C503" s="5" t="n">
        <f>DAY(DATE('Assumptions and Catalog'!$C$24+A503-1,B503+1,0))</f>
        <v>30</v>
      </c>
      <c r="D503" s="5" t="n">
        <f>IF(ISNUMBER(Inputs!$L$5),Inputs!$L$5*Inputs!$L$6,0)</f>
        <v>40.35</v>
      </c>
      <c r="E503" s="5" t="n">
        <f>IF(ISNUMBER(Inputs!$L$5),Inputs!$L$5-D503,0)</f>
        <v>40.35</v>
      </c>
      <c r="F503" s="5" t="n">
        <f>D$51*'Assumptions and Catalog'!$C$31*C503*(1-'Assumptions and Catalog'!$C$10)^(A503-1)</f>
        <v>0</v>
      </c>
      <c r="G503" s="5" t="n">
        <f>MIN(F503,D503*C503)</f>
        <v>0</v>
      </c>
      <c r="H503" s="5" t="n">
        <f>I503/('Assumptions and Catalog'!$C$11*'Assumptions and Catalog'!$C$12)</f>
        <v>0</v>
      </c>
      <c r="I503" s="5" t="n">
        <f>IF(K$15="Grid cycle",MIN(K$16,D503+E503,P503*'Assumptions and Catalog'!$C$12,D$57*(24-'Assumptions and Catalog'!$C$15),D$56*'Assumptions and Catalog'!$C$15*'Assumptions and Catalog'!$C$11*'Assumptions and Catalog'!$C$12)*C503,0)</f>
        <v>0</v>
      </c>
      <c r="J503" s="5" t="n">
        <f>MAX(F503-G503-0,0)</f>
        <v>0</v>
      </c>
      <c r="K503" s="5" t="n">
        <f>H503-I503</f>
        <v>0</v>
      </c>
      <c r="L503" s="5" t="n">
        <f>(D503+E503)*C503-G503-I503+H503+IF(D$52&gt;0,'Assumptions and Catalog'!$C$26*C503,0)</f>
        <v>2421</v>
      </c>
      <c r="M503" s="5" t="n">
        <f>IF(ISNUMBER(Inputs!$L$5),(IF(Inputs!$L$9="Actual flat rate",((D503+E503)*C503)*Inputs!$L$10,IF(Inputs!$C$9="Residential",IF(((D503+E503)*C503)&lt;='Assumptions and Catalog'!$C$50,((D503+E503)*C503)*'Assumptions and Catalog'!$H$50+'Assumptions and Catalog'!$E$50+'Assumptions and Catalog'!$F$50,IF(((D503+E503)*C503)&lt;='Assumptions and Catalog'!$C$51,((D503+E503)*C503)*'Assumptions and Catalog'!$H$51+'Assumptions and Catalog'!$E$51+'Assumptions and Catalog'!$F$51,IF(((D503+E503)*C503)&lt;='Assumptions and Catalog'!$C$52,((D503+E503)*C503)*'Assumptions and Catalog'!$H$52+'Assumptions and Catalog'!$E$52+'Assumptions and Catalog'!$F$52,IF(((D503+E503)*C503)&lt;='Assumptions and Catalog'!$C$53,((D503+E503)*C503)*'Assumptions and Catalog'!$H$53+'Assumptions and Catalog'!$E$53+'Assumptions and Catalog'!$F$53,IF(((D503+E503)*C503)&lt;='Assumptions and Catalog'!$C$54,((D503+E503)*C503)*'Assumptions and Catalog'!$H$54+'Assumptions and Catalog'!$E$54+'Assumptions and Catalog'!$F$54,IF(((D503+E503)*C503)&lt;='Assumptions and Catalog'!$C$55,((D503+E503)*C503)*'Assumptions and Catalog'!$H$55+'Assumptions and Catalog'!$E$55+'Assumptions and Catalog'!$F$55,IF(((D503+E503)*C503)&lt;='Assumptions and Catalog'!$C$56,((D503+E503)*C503)*'Assumptions and Catalog'!$H$56+'Assumptions and Catalog'!$E$56+'Assumptions and Catalog'!$F$56,IF(((D503+E503)*C503)&lt;='Assumptions and Catalog'!$C$57,((D503+E503)*C503)*'Assumptions and Catalog'!$H$57+'Assumptions and Catalog'!$E$57+'Assumptions and Catalog'!$F$57,"Out of range")))))))),IF(((D503+E503)*C503)&lt;='Assumptions and Catalog'!$C$60,((D503+E503)*C503)*'Assumptions and Catalog'!$H$60+'Assumptions and Catalog'!$E$60+'Assumptions and Catalog'!$F$60,IF(((D503+E503)*C503)&lt;='Assumptions and Catalog'!$C$61,((D503+E503)*C503)*'Assumptions and Catalog'!$H$61+'Assumptions and Catalog'!$E$61+'Assumptions and Catalog'!$F$61,IF(((D503+E503)*C503)&lt;='Assumptions and Catalog'!$C$62,((D503+E503)*C503)*'Assumptions and Catalog'!$H$62+'Assumptions and Catalog'!$E$62+'Assumptions and Catalog'!$F$62,IF(((D503+E503)*C503)&lt;='Assumptions and Catalog'!$C$63,((D503+E503)*C503)*'Assumptions and Catalog'!$H$63+'Assumptions and Catalog'!$E$63+'Assumptions and Catalog'!$F$63,IF(((D503+E503)*C503)&lt;='Assumptions and Catalog'!$C$64,((D503+E503)*C503)*'Assumptions and Catalog'!$H$64+'Assumptions and Catalog'!$E$64+'Assumptions and Catalog'!$F$64,IF(((D503+E503)*C503)&lt;='Assumptions and Catalog'!$C$65,((D503+E503)*C503)*'Assumptions and Catalog'!$H$65+'Assumptions and Catalog'!$E$65+'Assumptions and Catalog'!$F$65,"Out of range")))))))))*(1+'Assumptions and Catalog'!$C$8)^(A503-1),0)</f>
        <v>6867.22</v>
      </c>
      <c r="N503" s="5" t="n">
        <f>IF(ISNUMBER(Inputs!$L$5),(IF(Inputs!$L$9="Actual flat rate",L503*Inputs!$L$10,IF(Inputs!$C$9="Residential",IF(L503&lt;='Assumptions and Catalog'!$C$50,L503*'Assumptions and Catalog'!$H$50+'Assumptions and Catalog'!$E$50+'Assumptions and Catalog'!$F$50,IF(L503&lt;='Assumptions and Catalog'!$C$51,L503*'Assumptions and Catalog'!$H$51+'Assumptions and Catalog'!$E$51+'Assumptions and Catalog'!$F$51,IF(L503&lt;='Assumptions and Catalog'!$C$52,L503*'Assumptions and Catalog'!$H$52+'Assumptions and Catalog'!$E$52+'Assumptions and Catalog'!$F$52,IF(L503&lt;='Assumptions and Catalog'!$C$53,L503*'Assumptions and Catalog'!$H$53+'Assumptions and Catalog'!$E$53+'Assumptions and Catalog'!$F$53,IF(L503&lt;='Assumptions and Catalog'!$C$54,L503*'Assumptions and Catalog'!$H$54+'Assumptions and Catalog'!$E$54+'Assumptions and Catalog'!$F$54,IF(L503&lt;='Assumptions and Catalog'!$C$55,L503*'Assumptions and Catalog'!$H$55+'Assumptions and Catalog'!$E$55+'Assumptions and Catalog'!$F$55,IF(L503&lt;='Assumptions and Catalog'!$C$56,L503*'Assumptions and Catalog'!$H$56+'Assumptions and Catalog'!$E$56+'Assumptions and Catalog'!$F$56,IF(L503&lt;='Assumptions and Catalog'!$C$57,L503*'Assumptions and Catalog'!$H$57+'Assumptions and Catalog'!$E$57+'Assumptions and Catalog'!$F$57,"Out of range")))))))),IF(L503&lt;='Assumptions and Catalog'!$C$60,L503*'Assumptions and Catalog'!$H$60+'Assumptions and Catalog'!$E$60+'Assumptions and Catalog'!$F$60,IF(L503&lt;='Assumptions and Catalog'!$C$61,L503*'Assumptions and Catalog'!$H$61+'Assumptions and Catalog'!$E$61+'Assumptions and Catalog'!$F$61,IF(L503&lt;='Assumptions and Catalog'!$C$62,L503*'Assumptions and Catalog'!$H$62+'Assumptions and Catalog'!$E$62+'Assumptions and Catalog'!$F$62,IF(L503&lt;='Assumptions and Catalog'!$C$63,L503*'Assumptions and Catalog'!$H$63+'Assumptions and Catalog'!$E$63+'Assumptions and Catalog'!$F$63,IF(L503&lt;='Assumptions and Catalog'!$C$64,L503*'Assumptions and Catalog'!$H$64+'Assumptions and Catalog'!$E$64+'Assumptions and Catalog'!$F$64,IF(L503&lt;='Assumptions and Catalog'!$C$65,L503*'Assumptions and Catalog'!$H$65+'Assumptions and Catalog'!$E$65+'Assumptions and Catalog'!$F$65,"Out of range")))))))))*(1+'Assumptions and Catalog'!$C$8)^(A503-1),0)</f>
        <v>6867.22</v>
      </c>
      <c r="O503" s="5" t="n">
        <f>M503-N503</f>
        <v>0</v>
      </c>
      <c r="P503" s="5" t="n">
        <f>D$55*(1-K$14)*(1-'Assumptions and Catalog'!$C$23)^R503</f>
        <v>0</v>
      </c>
      <c r="Q503" s="5" t="n">
        <f>IF(ISNUMBER(Inputs!$L$5),(IF(Inputs!$L$9="Actual flat rate",((D503+E503)*C503-G503)*Inputs!$L$10,IF(Inputs!$C$9="Residential",IF(((D503+E503)*C503-G503)&lt;='Assumptions and Catalog'!$C$50,((D503+E503)*C503-G503)*'Assumptions and Catalog'!$H$50+'Assumptions and Catalog'!$E$50+'Assumptions and Catalog'!$F$50,IF(((D503+E503)*C503-G503)&lt;='Assumptions and Catalog'!$C$51,((D503+E503)*C503-G503)*'Assumptions and Catalog'!$H$51+'Assumptions and Catalog'!$E$51+'Assumptions and Catalog'!$F$51,IF(((D503+E503)*C503-G503)&lt;='Assumptions and Catalog'!$C$52,((D503+E503)*C503-G503)*'Assumptions and Catalog'!$H$52+'Assumptions and Catalog'!$E$52+'Assumptions and Catalog'!$F$52,IF(((D503+E503)*C503-G503)&lt;='Assumptions and Catalog'!$C$53,((D503+E503)*C503-G503)*'Assumptions and Catalog'!$H$53+'Assumptions and Catalog'!$E$53+'Assumptions and Catalog'!$F$53,IF(((D503+E503)*C503-G503)&lt;='Assumptions and Catalog'!$C$54,((D503+E503)*C503-G503)*'Assumptions and Catalog'!$H$54+'Assumptions and Catalog'!$E$54+'Assumptions and Catalog'!$F$54,IF(((D503+E503)*C503-G503)&lt;='Assumptions and Catalog'!$C$55,((D503+E503)*C503-G503)*'Assumptions and Catalog'!$H$55+'Assumptions and Catalog'!$E$55+'Assumptions and Catalog'!$F$55,IF(((D503+E503)*C503-G503)&lt;='Assumptions and Catalog'!$C$56,((D503+E503)*C503-G503)*'Assumptions and Catalog'!$H$56+'Assumptions and Catalog'!$E$56+'Assumptions and Catalog'!$F$56,IF(((D503+E503)*C503-G503)&lt;='Assumptions and Catalog'!$C$57,((D503+E503)*C503-G503)*'Assumptions and Catalog'!$H$57+'Assumptions and Catalog'!$E$57+'Assumptions and Catalog'!$F$57,"Out of range")))))))),IF(((D503+E503)*C503-G503)&lt;='Assumptions and Catalog'!$C$60,((D503+E503)*C503-G503)*'Assumptions and Catalog'!$H$60+'Assumptions and Catalog'!$E$60+'Assumptions and Catalog'!$F$60,IF(((D503+E503)*C503-G503)&lt;='Assumptions and Catalog'!$C$61,((D503+E503)*C503-G503)*'Assumptions and Catalog'!$H$61+'Assumptions and Catalog'!$E$61+'Assumptions and Catalog'!$F$61,IF(((D503+E503)*C503-G503)&lt;='Assumptions and Catalog'!$C$62,((D503+E503)*C503-G503)*'Assumptions and Catalog'!$H$62+'Assumptions and Catalog'!$E$62+'Assumptions and Catalog'!$F$62,IF(((D503+E503)*C503-G503)&lt;='Assumptions and Catalog'!$C$63,((D503+E503)*C503-G503)*'Assumptions and Catalog'!$H$63+'Assumptions and Catalog'!$E$63+'Assumptions and Catalog'!$F$63,IF(((D503+E503)*C503-G503)&lt;='Assumptions and Catalog'!$C$64,((D503+E503)*C503-G503)*'Assumptions and Catalog'!$H$64+'Assumptions and Catalog'!$E$64+'Assumptions and Catalog'!$F$64,IF(((D503+E503)*C503-G503)&lt;='Assumptions and Catalog'!$C$65,((D503+E503)*C503-G503)*'Assumptions and Catalog'!$H$65+'Assumptions and Catalog'!$E$65+'Assumptions and Catalog'!$F$65,"Out of range")))))))))*(1+'Assumptions and Catalog'!$C$8)^(A503-1),0)</f>
        <v>6867.22</v>
      </c>
      <c r="R503" s="5" t="n">
        <f>IF(AND('Assumptions and Catalog'!$C$19&gt;0,A503&gt;='Assumptions and Catalog'!$C$19),A503-'Assumptions and Catalog'!$C$19,A503-1)</f>
        <v>7</v>
      </c>
      <c r="S503" s="5" t="n">
        <f>F503+L503-(D503+E503)*C503-J503-K503-IF(D$52&gt;0,'Assumptions and Catalog'!$C$26*C503,0)</f>
        <v>0</v>
      </c>
      <c r="T503" s="5"/>
      <c r="U503" s="5"/>
    </row>
    <row r="504" ht="23.100000381469727" customHeight="1">
      <c r="A504" s="5" t="n">
        <v>8</v>
      </c>
      <c r="B504" s="5" t="n">
        <v>10</v>
      </c>
      <c r="C504" s="5" t="n">
        <f>DAY(DATE('Assumptions and Catalog'!$C$24+A504-1,B504+1,0))</f>
        <v>31</v>
      </c>
      <c r="D504" s="5" t="n">
        <f>IF(ISNUMBER(Inputs!$L$5),Inputs!$L$5*Inputs!$L$6,0)</f>
        <v>40.35</v>
      </c>
      <c r="E504" s="5" t="n">
        <f>IF(ISNUMBER(Inputs!$L$5),Inputs!$L$5-D504,0)</f>
        <v>40.35</v>
      </c>
      <c r="F504" s="5" t="n">
        <f>D$51*'Assumptions and Catalog'!$C$31*C504*(1-'Assumptions and Catalog'!$C$10)^(A504-1)</f>
        <v>0</v>
      </c>
      <c r="G504" s="5" t="n">
        <f>MIN(F504,D504*C504)</f>
        <v>0</v>
      </c>
      <c r="H504" s="5" t="n">
        <f>I504/('Assumptions and Catalog'!$C$11*'Assumptions and Catalog'!$C$12)</f>
        <v>0</v>
      </c>
      <c r="I504" s="5" t="n">
        <f>IF(K$15="Grid cycle",MIN(K$16,D504+E504,P504*'Assumptions and Catalog'!$C$12,D$57*(24-'Assumptions and Catalog'!$C$15),D$56*'Assumptions and Catalog'!$C$15*'Assumptions and Catalog'!$C$11*'Assumptions and Catalog'!$C$12)*C504,0)</f>
        <v>0</v>
      </c>
      <c r="J504" s="5" t="n">
        <f>MAX(F504-G504-0,0)</f>
        <v>0</v>
      </c>
      <c r="K504" s="5" t="n">
        <f>H504-I504</f>
        <v>0</v>
      </c>
      <c r="L504" s="5" t="n">
        <f>(D504+E504)*C504-G504-I504+H504+IF(D$52&gt;0,'Assumptions and Catalog'!$C$26*C504,0)</f>
        <v>2501.7</v>
      </c>
      <c r="M504" s="5" t="n">
        <f>IF(ISNUMBER(Inputs!$L$5),(IF(Inputs!$L$9="Actual flat rate",((D504+E504)*C504)*Inputs!$L$10,IF(Inputs!$C$9="Residential",IF(((D504+E504)*C504)&lt;='Assumptions and Catalog'!$C$50,((D504+E504)*C504)*'Assumptions and Catalog'!$H$50+'Assumptions and Catalog'!$E$50+'Assumptions and Catalog'!$F$50,IF(((D504+E504)*C504)&lt;='Assumptions and Catalog'!$C$51,((D504+E504)*C504)*'Assumptions and Catalog'!$H$51+'Assumptions and Catalog'!$E$51+'Assumptions and Catalog'!$F$51,IF(((D504+E504)*C504)&lt;='Assumptions and Catalog'!$C$52,((D504+E504)*C504)*'Assumptions and Catalog'!$H$52+'Assumptions and Catalog'!$E$52+'Assumptions and Catalog'!$F$52,IF(((D504+E504)*C504)&lt;='Assumptions and Catalog'!$C$53,((D504+E504)*C504)*'Assumptions and Catalog'!$H$53+'Assumptions and Catalog'!$E$53+'Assumptions and Catalog'!$F$53,IF(((D504+E504)*C504)&lt;='Assumptions and Catalog'!$C$54,((D504+E504)*C504)*'Assumptions and Catalog'!$H$54+'Assumptions and Catalog'!$E$54+'Assumptions and Catalog'!$F$54,IF(((D504+E504)*C504)&lt;='Assumptions and Catalog'!$C$55,((D504+E504)*C504)*'Assumptions and Catalog'!$H$55+'Assumptions and Catalog'!$E$55+'Assumptions and Catalog'!$F$55,IF(((D504+E504)*C504)&lt;='Assumptions and Catalog'!$C$56,((D504+E504)*C504)*'Assumptions and Catalog'!$H$56+'Assumptions and Catalog'!$E$56+'Assumptions and Catalog'!$F$56,IF(((D504+E504)*C504)&lt;='Assumptions and Catalog'!$C$57,((D504+E504)*C504)*'Assumptions and Catalog'!$H$57+'Assumptions and Catalog'!$E$57+'Assumptions and Catalog'!$F$57,"Out of range")))))))),IF(((D504+E504)*C504)&lt;='Assumptions and Catalog'!$C$60,((D504+E504)*C504)*'Assumptions and Catalog'!$H$60+'Assumptions and Catalog'!$E$60+'Assumptions and Catalog'!$F$60,IF(((D504+E504)*C504)&lt;='Assumptions and Catalog'!$C$61,((D504+E504)*C504)*'Assumptions and Catalog'!$H$61+'Assumptions and Catalog'!$E$61+'Assumptions and Catalog'!$F$61,IF(((D504+E504)*C504)&lt;='Assumptions and Catalog'!$C$62,((D504+E504)*C504)*'Assumptions and Catalog'!$H$62+'Assumptions and Catalog'!$E$62+'Assumptions and Catalog'!$F$62,IF(((D504+E504)*C504)&lt;='Assumptions and Catalog'!$C$63,((D504+E504)*C504)*'Assumptions and Catalog'!$H$63+'Assumptions and Catalog'!$E$63+'Assumptions and Catalog'!$F$63,IF(((D504+E504)*C504)&lt;='Assumptions and Catalog'!$C$64,((D504+E504)*C504)*'Assumptions and Catalog'!$H$64+'Assumptions and Catalog'!$E$64+'Assumptions and Catalog'!$F$64,IF(((D504+E504)*C504)&lt;='Assumptions and Catalog'!$C$65,((D504+E504)*C504)*'Assumptions and Catalog'!$H$65+'Assumptions and Catalog'!$E$65+'Assumptions and Catalog'!$F$65,"Out of range")))))))))*(1+'Assumptions and Catalog'!$C$8)^(A504-1),0)</f>
        <v>7094.794</v>
      </c>
      <c r="N504" s="5" t="n">
        <f>IF(ISNUMBER(Inputs!$L$5),(IF(Inputs!$L$9="Actual flat rate",L504*Inputs!$L$10,IF(Inputs!$C$9="Residential",IF(L504&lt;='Assumptions and Catalog'!$C$50,L504*'Assumptions and Catalog'!$H$50+'Assumptions and Catalog'!$E$50+'Assumptions and Catalog'!$F$50,IF(L504&lt;='Assumptions and Catalog'!$C$51,L504*'Assumptions and Catalog'!$H$51+'Assumptions and Catalog'!$E$51+'Assumptions and Catalog'!$F$51,IF(L504&lt;='Assumptions and Catalog'!$C$52,L504*'Assumptions and Catalog'!$H$52+'Assumptions and Catalog'!$E$52+'Assumptions and Catalog'!$F$52,IF(L504&lt;='Assumptions and Catalog'!$C$53,L504*'Assumptions and Catalog'!$H$53+'Assumptions and Catalog'!$E$53+'Assumptions and Catalog'!$F$53,IF(L504&lt;='Assumptions and Catalog'!$C$54,L504*'Assumptions and Catalog'!$H$54+'Assumptions and Catalog'!$E$54+'Assumptions and Catalog'!$F$54,IF(L504&lt;='Assumptions and Catalog'!$C$55,L504*'Assumptions and Catalog'!$H$55+'Assumptions and Catalog'!$E$55+'Assumptions and Catalog'!$F$55,IF(L504&lt;='Assumptions and Catalog'!$C$56,L504*'Assumptions and Catalog'!$H$56+'Assumptions and Catalog'!$E$56+'Assumptions and Catalog'!$F$56,IF(L504&lt;='Assumptions and Catalog'!$C$57,L504*'Assumptions and Catalog'!$H$57+'Assumptions and Catalog'!$E$57+'Assumptions and Catalog'!$F$57,"Out of range")))))))),IF(L504&lt;='Assumptions and Catalog'!$C$60,L504*'Assumptions and Catalog'!$H$60+'Assumptions and Catalog'!$E$60+'Assumptions and Catalog'!$F$60,IF(L504&lt;='Assumptions and Catalog'!$C$61,L504*'Assumptions and Catalog'!$H$61+'Assumptions and Catalog'!$E$61+'Assumptions and Catalog'!$F$61,IF(L504&lt;='Assumptions and Catalog'!$C$62,L504*'Assumptions and Catalog'!$H$62+'Assumptions and Catalog'!$E$62+'Assumptions and Catalog'!$F$62,IF(L504&lt;='Assumptions and Catalog'!$C$63,L504*'Assumptions and Catalog'!$H$63+'Assumptions and Catalog'!$E$63+'Assumptions and Catalog'!$F$63,IF(L504&lt;='Assumptions and Catalog'!$C$64,L504*'Assumptions and Catalog'!$H$64+'Assumptions and Catalog'!$E$64+'Assumptions and Catalog'!$F$64,IF(L504&lt;='Assumptions and Catalog'!$C$65,L504*'Assumptions and Catalog'!$H$65+'Assumptions and Catalog'!$E$65+'Assumptions and Catalog'!$F$65,"Out of range")))))))))*(1+'Assumptions and Catalog'!$C$8)^(A504-1),0)</f>
        <v>7094.794</v>
      </c>
      <c r="O504" s="5" t="n">
        <f>M504-N504</f>
        <v>0</v>
      </c>
      <c r="P504" s="5" t="n">
        <f>D$55*(1-K$14)*(1-'Assumptions and Catalog'!$C$23)^R504</f>
        <v>0</v>
      </c>
      <c r="Q504" s="5" t="n">
        <f>IF(ISNUMBER(Inputs!$L$5),(IF(Inputs!$L$9="Actual flat rate",((D504+E504)*C504-G504)*Inputs!$L$10,IF(Inputs!$C$9="Residential",IF(((D504+E504)*C504-G504)&lt;='Assumptions and Catalog'!$C$50,((D504+E504)*C504-G504)*'Assumptions and Catalog'!$H$50+'Assumptions and Catalog'!$E$50+'Assumptions and Catalog'!$F$50,IF(((D504+E504)*C504-G504)&lt;='Assumptions and Catalog'!$C$51,((D504+E504)*C504-G504)*'Assumptions and Catalog'!$H$51+'Assumptions and Catalog'!$E$51+'Assumptions and Catalog'!$F$51,IF(((D504+E504)*C504-G504)&lt;='Assumptions and Catalog'!$C$52,((D504+E504)*C504-G504)*'Assumptions and Catalog'!$H$52+'Assumptions and Catalog'!$E$52+'Assumptions and Catalog'!$F$52,IF(((D504+E504)*C504-G504)&lt;='Assumptions and Catalog'!$C$53,((D504+E504)*C504-G504)*'Assumptions and Catalog'!$H$53+'Assumptions and Catalog'!$E$53+'Assumptions and Catalog'!$F$53,IF(((D504+E504)*C504-G504)&lt;='Assumptions and Catalog'!$C$54,((D504+E504)*C504-G504)*'Assumptions and Catalog'!$H$54+'Assumptions and Catalog'!$E$54+'Assumptions and Catalog'!$F$54,IF(((D504+E504)*C504-G504)&lt;='Assumptions and Catalog'!$C$55,((D504+E504)*C504-G504)*'Assumptions and Catalog'!$H$55+'Assumptions and Catalog'!$E$55+'Assumptions and Catalog'!$F$55,IF(((D504+E504)*C504-G504)&lt;='Assumptions and Catalog'!$C$56,((D504+E504)*C504-G504)*'Assumptions and Catalog'!$H$56+'Assumptions and Catalog'!$E$56+'Assumptions and Catalog'!$F$56,IF(((D504+E504)*C504-G504)&lt;='Assumptions and Catalog'!$C$57,((D504+E504)*C504-G504)*'Assumptions and Catalog'!$H$57+'Assumptions and Catalog'!$E$57+'Assumptions and Catalog'!$F$57,"Out of range")))))))),IF(((D504+E504)*C504-G504)&lt;='Assumptions and Catalog'!$C$60,((D504+E504)*C504-G504)*'Assumptions and Catalog'!$H$60+'Assumptions and Catalog'!$E$60+'Assumptions and Catalog'!$F$60,IF(((D504+E504)*C504-G504)&lt;='Assumptions and Catalog'!$C$61,((D504+E504)*C504-G504)*'Assumptions and Catalog'!$H$61+'Assumptions and Catalog'!$E$61+'Assumptions and Catalog'!$F$61,IF(((D504+E504)*C504-G504)&lt;='Assumptions and Catalog'!$C$62,((D504+E504)*C504-G504)*'Assumptions and Catalog'!$H$62+'Assumptions and Catalog'!$E$62+'Assumptions and Catalog'!$F$62,IF(((D504+E504)*C504-G504)&lt;='Assumptions and Catalog'!$C$63,((D504+E504)*C504-G504)*'Assumptions and Catalog'!$H$63+'Assumptions and Catalog'!$E$63+'Assumptions and Catalog'!$F$63,IF(((D504+E504)*C504-G504)&lt;='Assumptions and Catalog'!$C$64,((D504+E504)*C504-G504)*'Assumptions and Catalog'!$H$64+'Assumptions and Catalog'!$E$64+'Assumptions and Catalog'!$F$64,IF(((D504+E504)*C504-G504)&lt;='Assumptions and Catalog'!$C$65,((D504+E504)*C504-G504)*'Assumptions and Catalog'!$H$65+'Assumptions and Catalog'!$E$65+'Assumptions and Catalog'!$F$65,"Out of range")))))))))*(1+'Assumptions and Catalog'!$C$8)^(A504-1),0)</f>
        <v>7094.794</v>
      </c>
      <c r="R504" s="5" t="n">
        <f>IF(AND('Assumptions and Catalog'!$C$19&gt;0,A504&gt;='Assumptions and Catalog'!$C$19),A504-'Assumptions and Catalog'!$C$19,A504-1)</f>
        <v>7</v>
      </c>
      <c r="S504" s="5" t="n">
        <f>F504+L504-(D504+E504)*C504-J504-K504-IF(D$52&gt;0,'Assumptions and Catalog'!$C$26*C504,0)</f>
        <v>0</v>
      </c>
      <c r="T504" s="5"/>
      <c r="U504" s="5"/>
    </row>
    <row r="505" ht="23.100000381469727" customHeight="1">
      <c r="A505" s="5" t="n">
        <v>8</v>
      </c>
      <c r="B505" s="5" t="n">
        <v>11</v>
      </c>
      <c r="C505" s="5" t="n">
        <f>DAY(DATE('Assumptions and Catalog'!$C$24+A505-1,B505+1,0))</f>
        <v>30</v>
      </c>
      <c r="D505" s="5" t="n">
        <f>IF(ISNUMBER(Inputs!$L$5),Inputs!$L$5*Inputs!$L$6,0)</f>
        <v>40.35</v>
      </c>
      <c r="E505" s="5" t="n">
        <f>IF(ISNUMBER(Inputs!$L$5),Inputs!$L$5-D505,0)</f>
        <v>40.35</v>
      </c>
      <c r="F505" s="5" t="n">
        <f>D$51*'Assumptions and Catalog'!$C$31*C505*(1-'Assumptions and Catalog'!$C$10)^(A505-1)</f>
        <v>0</v>
      </c>
      <c r="G505" s="5" t="n">
        <f>MIN(F505,D505*C505)</f>
        <v>0</v>
      </c>
      <c r="H505" s="5" t="n">
        <f>I505/('Assumptions and Catalog'!$C$11*'Assumptions and Catalog'!$C$12)</f>
        <v>0</v>
      </c>
      <c r="I505" s="5" t="n">
        <f>IF(K$15="Grid cycle",MIN(K$16,D505+E505,P505*'Assumptions and Catalog'!$C$12,D$57*(24-'Assumptions and Catalog'!$C$15),D$56*'Assumptions and Catalog'!$C$15*'Assumptions and Catalog'!$C$11*'Assumptions and Catalog'!$C$12)*C505,0)</f>
        <v>0</v>
      </c>
      <c r="J505" s="5" t="n">
        <f>MAX(F505-G505-0,0)</f>
        <v>0</v>
      </c>
      <c r="K505" s="5" t="n">
        <f>H505-I505</f>
        <v>0</v>
      </c>
      <c r="L505" s="5" t="n">
        <f>(D505+E505)*C505-G505-I505+H505+IF(D$52&gt;0,'Assumptions and Catalog'!$C$26*C505,0)</f>
        <v>2421</v>
      </c>
      <c r="M505" s="5" t="n">
        <f>IF(ISNUMBER(Inputs!$L$5),(IF(Inputs!$L$9="Actual flat rate",((D505+E505)*C505)*Inputs!$L$10,IF(Inputs!$C$9="Residential",IF(((D505+E505)*C505)&lt;='Assumptions and Catalog'!$C$50,((D505+E505)*C505)*'Assumptions and Catalog'!$H$50+'Assumptions and Catalog'!$E$50+'Assumptions and Catalog'!$F$50,IF(((D505+E505)*C505)&lt;='Assumptions and Catalog'!$C$51,((D505+E505)*C505)*'Assumptions and Catalog'!$H$51+'Assumptions and Catalog'!$E$51+'Assumptions and Catalog'!$F$51,IF(((D505+E505)*C505)&lt;='Assumptions and Catalog'!$C$52,((D505+E505)*C505)*'Assumptions and Catalog'!$H$52+'Assumptions and Catalog'!$E$52+'Assumptions and Catalog'!$F$52,IF(((D505+E505)*C505)&lt;='Assumptions and Catalog'!$C$53,((D505+E505)*C505)*'Assumptions and Catalog'!$H$53+'Assumptions and Catalog'!$E$53+'Assumptions and Catalog'!$F$53,IF(((D505+E505)*C505)&lt;='Assumptions and Catalog'!$C$54,((D505+E505)*C505)*'Assumptions and Catalog'!$H$54+'Assumptions and Catalog'!$E$54+'Assumptions and Catalog'!$F$54,IF(((D505+E505)*C505)&lt;='Assumptions and Catalog'!$C$55,((D505+E505)*C505)*'Assumptions and Catalog'!$H$55+'Assumptions and Catalog'!$E$55+'Assumptions and Catalog'!$F$55,IF(((D505+E505)*C505)&lt;='Assumptions and Catalog'!$C$56,((D505+E505)*C505)*'Assumptions and Catalog'!$H$56+'Assumptions and Catalog'!$E$56+'Assumptions and Catalog'!$F$56,IF(((D505+E505)*C505)&lt;='Assumptions and Catalog'!$C$57,((D505+E505)*C505)*'Assumptions and Catalog'!$H$57+'Assumptions and Catalog'!$E$57+'Assumptions and Catalog'!$F$57,"Out of range")))))))),IF(((D505+E505)*C505)&lt;='Assumptions and Catalog'!$C$60,((D505+E505)*C505)*'Assumptions and Catalog'!$H$60+'Assumptions and Catalog'!$E$60+'Assumptions and Catalog'!$F$60,IF(((D505+E505)*C505)&lt;='Assumptions and Catalog'!$C$61,((D505+E505)*C505)*'Assumptions and Catalog'!$H$61+'Assumptions and Catalog'!$E$61+'Assumptions and Catalog'!$F$61,IF(((D505+E505)*C505)&lt;='Assumptions and Catalog'!$C$62,((D505+E505)*C505)*'Assumptions and Catalog'!$H$62+'Assumptions and Catalog'!$E$62+'Assumptions and Catalog'!$F$62,IF(((D505+E505)*C505)&lt;='Assumptions and Catalog'!$C$63,((D505+E505)*C505)*'Assumptions and Catalog'!$H$63+'Assumptions and Catalog'!$E$63+'Assumptions and Catalog'!$F$63,IF(((D505+E505)*C505)&lt;='Assumptions and Catalog'!$C$64,((D505+E505)*C505)*'Assumptions and Catalog'!$H$64+'Assumptions and Catalog'!$E$64+'Assumptions and Catalog'!$F$64,IF(((D505+E505)*C505)&lt;='Assumptions and Catalog'!$C$65,((D505+E505)*C505)*'Assumptions and Catalog'!$H$65+'Assumptions and Catalog'!$E$65+'Assumptions and Catalog'!$F$65,"Out of range")))))))))*(1+'Assumptions and Catalog'!$C$8)^(A505-1),0)</f>
        <v>6867.22</v>
      </c>
      <c r="N505" s="5" t="n">
        <f>IF(ISNUMBER(Inputs!$L$5),(IF(Inputs!$L$9="Actual flat rate",L505*Inputs!$L$10,IF(Inputs!$C$9="Residential",IF(L505&lt;='Assumptions and Catalog'!$C$50,L505*'Assumptions and Catalog'!$H$50+'Assumptions and Catalog'!$E$50+'Assumptions and Catalog'!$F$50,IF(L505&lt;='Assumptions and Catalog'!$C$51,L505*'Assumptions and Catalog'!$H$51+'Assumptions and Catalog'!$E$51+'Assumptions and Catalog'!$F$51,IF(L505&lt;='Assumptions and Catalog'!$C$52,L505*'Assumptions and Catalog'!$H$52+'Assumptions and Catalog'!$E$52+'Assumptions and Catalog'!$F$52,IF(L505&lt;='Assumptions and Catalog'!$C$53,L505*'Assumptions and Catalog'!$H$53+'Assumptions and Catalog'!$E$53+'Assumptions and Catalog'!$F$53,IF(L505&lt;='Assumptions and Catalog'!$C$54,L505*'Assumptions and Catalog'!$H$54+'Assumptions and Catalog'!$E$54+'Assumptions and Catalog'!$F$54,IF(L505&lt;='Assumptions and Catalog'!$C$55,L505*'Assumptions and Catalog'!$H$55+'Assumptions and Catalog'!$E$55+'Assumptions and Catalog'!$F$55,IF(L505&lt;='Assumptions and Catalog'!$C$56,L505*'Assumptions and Catalog'!$H$56+'Assumptions and Catalog'!$E$56+'Assumptions and Catalog'!$F$56,IF(L505&lt;='Assumptions and Catalog'!$C$57,L505*'Assumptions and Catalog'!$H$57+'Assumptions and Catalog'!$E$57+'Assumptions and Catalog'!$F$57,"Out of range")))))))),IF(L505&lt;='Assumptions and Catalog'!$C$60,L505*'Assumptions and Catalog'!$H$60+'Assumptions and Catalog'!$E$60+'Assumptions and Catalog'!$F$60,IF(L505&lt;='Assumptions and Catalog'!$C$61,L505*'Assumptions and Catalog'!$H$61+'Assumptions and Catalog'!$E$61+'Assumptions and Catalog'!$F$61,IF(L505&lt;='Assumptions and Catalog'!$C$62,L505*'Assumptions and Catalog'!$H$62+'Assumptions and Catalog'!$E$62+'Assumptions and Catalog'!$F$62,IF(L505&lt;='Assumptions and Catalog'!$C$63,L505*'Assumptions and Catalog'!$H$63+'Assumptions and Catalog'!$E$63+'Assumptions and Catalog'!$F$63,IF(L505&lt;='Assumptions and Catalog'!$C$64,L505*'Assumptions and Catalog'!$H$64+'Assumptions and Catalog'!$E$64+'Assumptions and Catalog'!$F$64,IF(L505&lt;='Assumptions and Catalog'!$C$65,L505*'Assumptions and Catalog'!$H$65+'Assumptions and Catalog'!$E$65+'Assumptions and Catalog'!$F$65,"Out of range")))))))))*(1+'Assumptions and Catalog'!$C$8)^(A505-1),0)</f>
        <v>6867.22</v>
      </c>
      <c r="O505" s="5" t="n">
        <f>M505-N505</f>
        <v>0</v>
      </c>
      <c r="P505" s="5" t="n">
        <f>D$55*(1-K$14)*(1-'Assumptions and Catalog'!$C$23)^R505</f>
        <v>0</v>
      </c>
      <c r="Q505" s="5" t="n">
        <f>IF(ISNUMBER(Inputs!$L$5),(IF(Inputs!$L$9="Actual flat rate",((D505+E505)*C505-G505)*Inputs!$L$10,IF(Inputs!$C$9="Residential",IF(((D505+E505)*C505-G505)&lt;='Assumptions and Catalog'!$C$50,((D505+E505)*C505-G505)*'Assumptions and Catalog'!$H$50+'Assumptions and Catalog'!$E$50+'Assumptions and Catalog'!$F$50,IF(((D505+E505)*C505-G505)&lt;='Assumptions and Catalog'!$C$51,((D505+E505)*C505-G505)*'Assumptions and Catalog'!$H$51+'Assumptions and Catalog'!$E$51+'Assumptions and Catalog'!$F$51,IF(((D505+E505)*C505-G505)&lt;='Assumptions and Catalog'!$C$52,((D505+E505)*C505-G505)*'Assumptions and Catalog'!$H$52+'Assumptions and Catalog'!$E$52+'Assumptions and Catalog'!$F$52,IF(((D505+E505)*C505-G505)&lt;='Assumptions and Catalog'!$C$53,((D505+E505)*C505-G505)*'Assumptions and Catalog'!$H$53+'Assumptions and Catalog'!$E$53+'Assumptions and Catalog'!$F$53,IF(((D505+E505)*C505-G505)&lt;='Assumptions and Catalog'!$C$54,((D505+E505)*C505-G505)*'Assumptions and Catalog'!$H$54+'Assumptions and Catalog'!$E$54+'Assumptions and Catalog'!$F$54,IF(((D505+E505)*C505-G505)&lt;='Assumptions and Catalog'!$C$55,((D505+E505)*C505-G505)*'Assumptions and Catalog'!$H$55+'Assumptions and Catalog'!$E$55+'Assumptions and Catalog'!$F$55,IF(((D505+E505)*C505-G505)&lt;='Assumptions and Catalog'!$C$56,((D505+E505)*C505-G505)*'Assumptions and Catalog'!$H$56+'Assumptions and Catalog'!$E$56+'Assumptions and Catalog'!$F$56,IF(((D505+E505)*C505-G505)&lt;='Assumptions and Catalog'!$C$57,((D505+E505)*C505-G505)*'Assumptions and Catalog'!$H$57+'Assumptions and Catalog'!$E$57+'Assumptions and Catalog'!$F$57,"Out of range")))))))),IF(((D505+E505)*C505-G505)&lt;='Assumptions and Catalog'!$C$60,((D505+E505)*C505-G505)*'Assumptions and Catalog'!$H$60+'Assumptions and Catalog'!$E$60+'Assumptions and Catalog'!$F$60,IF(((D505+E505)*C505-G505)&lt;='Assumptions and Catalog'!$C$61,((D505+E505)*C505-G505)*'Assumptions and Catalog'!$H$61+'Assumptions and Catalog'!$E$61+'Assumptions and Catalog'!$F$61,IF(((D505+E505)*C505-G505)&lt;='Assumptions and Catalog'!$C$62,((D505+E505)*C505-G505)*'Assumptions and Catalog'!$H$62+'Assumptions and Catalog'!$E$62+'Assumptions and Catalog'!$F$62,IF(((D505+E505)*C505-G505)&lt;='Assumptions and Catalog'!$C$63,((D505+E505)*C505-G505)*'Assumptions and Catalog'!$H$63+'Assumptions and Catalog'!$E$63+'Assumptions and Catalog'!$F$63,IF(((D505+E505)*C505-G505)&lt;='Assumptions and Catalog'!$C$64,((D505+E505)*C505-G505)*'Assumptions and Catalog'!$H$64+'Assumptions and Catalog'!$E$64+'Assumptions and Catalog'!$F$64,IF(((D505+E505)*C505-G505)&lt;='Assumptions and Catalog'!$C$65,((D505+E505)*C505-G505)*'Assumptions and Catalog'!$H$65+'Assumptions and Catalog'!$E$65+'Assumptions and Catalog'!$F$65,"Out of range")))))))))*(1+'Assumptions and Catalog'!$C$8)^(A505-1),0)</f>
        <v>6867.22</v>
      </c>
      <c r="R505" s="5" t="n">
        <f>IF(AND('Assumptions and Catalog'!$C$19&gt;0,A505&gt;='Assumptions and Catalog'!$C$19),A505-'Assumptions and Catalog'!$C$19,A505-1)</f>
        <v>7</v>
      </c>
      <c r="S505" s="5" t="n">
        <f>F505+L505-(D505+E505)*C505-J505-K505-IF(D$52&gt;0,'Assumptions and Catalog'!$C$26*C505,0)</f>
        <v>0</v>
      </c>
      <c r="T505" s="5"/>
      <c r="U505" s="5"/>
    </row>
    <row r="506" ht="23.100000381469727" customHeight="1">
      <c r="A506" s="5" t="n">
        <v>8</v>
      </c>
      <c r="B506" s="5" t="n">
        <v>12</v>
      </c>
      <c r="C506" s="5" t="n">
        <f>DAY(DATE('Assumptions and Catalog'!$C$24+A506-1,B506+1,0))</f>
        <v>31</v>
      </c>
      <c r="D506" s="5" t="n">
        <f>IF(ISNUMBER(Inputs!$L$5),Inputs!$L$5*Inputs!$L$6,0)</f>
        <v>40.35</v>
      </c>
      <c r="E506" s="5" t="n">
        <f>IF(ISNUMBER(Inputs!$L$5),Inputs!$L$5-D506,0)</f>
        <v>40.35</v>
      </c>
      <c r="F506" s="5" t="n">
        <f>D$51*'Assumptions and Catalog'!$C$31*C506*(1-'Assumptions and Catalog'!$C$10)^(A506-1)</f>
        <v>0</v>
      </c>
      <c r="G506" s="5" t="n">
        <f>MIN(F506,D506*C506)</f>
        <v>0</v>
      </c>
      <c r="H506" s="5" t="n">
        <f>I506/('Assumptions and Catalog'!$C$11*'Assumptions and Catalog'!$C$12)</f>
        <v>0</v>
      </c>
      <c r="I506" s="5" t="n">
        <f>IF(K$15="Grid cycle",MIN(K$16,D506+E506,P506*'Assumptions and Catalog'!$C$12,D$57*(24-'Assumptions and Catalog'!$C$15),D$56*'Assumptions and Catalog'!$C$15*'Assumptions and Catalog'!$C$11*'Assumptions and Catalog'!$C$12)*C506,0)</f>
        <v>0</v>
      </c>
      <c r="J506" s="5" t="n">
        <f>MAX(F506-G506-0,0)</f>
        <v>0</v>
      </c>
      <c r="K506" s="5" t="n">
        <f>H506-I506</f>
        <v>0</v>
      </c>
      <c r="L506" s="5" t="n">
        <f>(D506+E506)*C506-G506-I506+H506+IF(D$52&gt;0,'Assumptions and Catalog'!$C$26*C506,0)</f>
        <v>2501.7</v>
      </c>
      <c r="M506" s="5" t="n">
        <f>IF(ISNUMBER(Inputs!$L$5),(IF(Inputs!$L$9="Actual flat rate",((D506+E506)*C506)*Inputs!$L$10,IF(Inputs!$C$9="Residential",IF(((D506+E506)*C506)&lt;='Assumptions and Catalog'!$C$50,((D506+E506)*C506)*'Assumptions and Catalog'!$H$50+'Assumptions and Catalog'!$E$50+'Assumptions and Catalog'!$F$50,IF(((D506+E506)*C506)&lt;='Assumptions and Catalog'!$C$51,((D506+E506)*C506)*'Assumptions and Catalog'!$H$51+'Assumptions and Catalog'!$E$51+'Assumptions and Catalog'!$F$51,IF(((D506+E506)*C506)&lt;='Assumptions and Catalog'!$C$52,((D506+E506)*C506)*'Assumptions and Catalog'!$H$52+'Assumptions and Catalog'!$E$52+'Assumptions and Catalog'!$F$52,IF(((D506+E506)*C506)&lt;='Assumptions and Catalog'!$C$53,((D506+E506)*C506)*'Assumptions and Catalog'!$H$53+'Assumptions and Catalog'!$E$53+'Assumptions and Catalog'!$F$53,IF(((D506+E506)*C506)&lt;='Assumptions and Catalog'!$C$54,((D506+E506)*C506)*'Assumptions and Catalog'!$H$54+'Assumptions and Catalog'!$E$54+'Assumptions and Catalog'!$F$54,IF(((D506+E506)*C506)&lt;='Assumptions and Catalog'!$C$55,((D506+E506)*C506)*'Assumptions and Catalog'!$H$55+'Assumptions and Catalog'!$E$55+'Assumptions and Catalog'!$F$55,IF(((D506+E506)*C506)&lt;='Assumptions and Catalog'!$C$56,((D506+E506)*C506)*'Assumptions and Catalog'!$H$56+'Assumptions and Catalog'!$E$56+'Assumptions and Catalog'!$F$56,IF(((D506+E506)*C506)&lt;='Assumptions and Catalog'!$C$57,((D506+E506)*C506)*'Assumptions and Catalog'!$H$57+'Assumptions and Catalog'!$E$57+'Assumptions and Catalog'!$F$57,"Out of range")))))))),IF(((D506+E506)*C506)&lt;='Assumptions and Catalog'!$C$60,((D506+E506)*C506)*'Assumptions and Catalog'!$H$60+'Assumptions and Catalog'!$E$60+'Assumptions and Catalog'!$F$60,IF(((D506+E506)*C506)&lt;='Assumptions and Catalog'!$C$61,((D506+E506)*C506)*'Assumptions and Catalog'!$H$61+'Assumptions and Catalog'!$E$61+'Assumptions and Catalog'!$F$61,IF(((D506+E506)*C506)&lt;='Assumptions and Catalog'!$C$62,((D506+E506)*C506)*'Assumptions and Catalog'!$H$62+'Assumptions and Catalog'!$E$62+'Assumptions and Catalog'!$F$62,IF(((D506+E506)*C506)&lt;='Assumptions and Catalog'!$C$63,((D506+E506)*C506)*'Assumptions and Catalog'!$H$63+'Assumptions and Catalog'!$E$63+'Assumptions and Catalog'!$F$63,IF(((D506+E506)*C506)&lt;='Assumptions and Catalog'!$C$64,((D506+E506)*C506)*'Assumptions and Catalog'!$H$64+'Assumptions and Catalog'!$E$64+'Assumptions and Catalog'!$F$64,IF(((D506+E506)*C506)&lt;='Assumptions and Catalog'!$C$65,((D506+E506)*C506)*'Assumptions and Catalog'!$H$65+'Assumptions and Catalog'!$E$65+'Assumptions and Catalog'!$F$65,"Out of range")))))))))*(1+'Assumptions and Catalog'!$C$8)^(A506-1),0)</f>
        <v>7094.794</v>
      </c>
      <c r="N506" s="5" t="n">
        <f>IF(ISNUMBER(Inputs!$L$5),(IF(Inputs!$L$9="Actual flat rate",L506*Inputs!$L$10,IF(Inputs!$C$9="Residential",IF(L506&lt;='Assumptions and Catalog'!$C$50,L506*'Assumptions and Catalog'!$H$50+'Assumptions and Catalog'!$E$50+'Assumptions and Catalog'!$F$50,IF(L506&lt;='Assumptions and Catalog'!$C$51,L506*'Assumptions and Catalog'!$H$51+'Assumptions and Catalog'!$E$51+'Assumptions and Catalog'!$F$51,IF(L506&lt;='Assumptions and Catalog'!$C$52,L506*'Assumptions and Catalog'!$H$52+'Assumptions and Catalog'!$E$52+'Assumptions and Catalog'!$F$52,IF(L506&lt;='Assumptions and Catalog'!$C$53,L506*'Assumptions and Catalog'!$H$53+'Assumptions and Catalog'!$E$53+'Assumptions and Catalog'!$F$53,IF(L506&lt;='Assumptions and Catalog'!$C$54,L506*'Assumptions and Catalog'!$H$54+'Assumptions and Catalog'!$E$54+'Assumptions and Catalog'!$F$54,IF(L506&lt;='Assumptions and Catalog'!$C$55,L506*'Assumptions and Catalog'!$H$55+'Assumptions and Catalog'!$E$55+'Assumptions and Catalog'!$F$55,IF(L506&lt;='Assumptions and Catalog'!$C$56,L506*'Assumptions and Catalog'!$H$56+'Assumptions and Catalog'!$E$56+'Assumptions and Catalog'!$F$56,IF(L506&lt;='Assumptions and Catalog'!$C$57,L506*'Assumptions and Catalog'!$H$57+'Assumptions and Catalog'!$E$57+'Assumptions and Catalog'!$F$57,"Out of range")))))))),IF(L506&lt;='Assumptions and Catalog'!$C$60,L506*'Assumptions and Catalog'!$H$60+'Assumptions and Catalog'!$E$60+'Assumptions and Catalog'!$F$60,IF(L506&lt;='Assumptions and Catalog'!$C$61,L506*'Assumptions and Catalog'!$H$61+'Assumptions and Catalog'!$E$61+'Assumptions and Catalog'!$F$61,IF(L506&lt;='Assumptions and Catalog'!$C$62,L506*'Assumptions and Catalog'!$H$62+'Assumptions and Catalog'!$E$62+'Assumptions and Catalog'!$F$62,IF(L506&lt;='Assumptions and Catalog'!$C$63,L506*'Assumptions and Catalog'!$H$63+'Assumptions and Catalog'!$E$63+'Assumptions and Catalog'!$F$63,IF(L506&lt;='Assumptions and Catalog'!$C$64,L506*'Assumptions and Catalog'!$H$64+'Assumptions and Catalog'!$E$64+'Assumptions and Catalog'!$F$64,IF(L506&lt;='Assumptions and Catalog'!$C$65,L506*'Assumptions and Catalog'!$H$65+'Assumptions and Catalog'!$E$65+'Assumptions and Catalog'!$F$65,"Out of range")))))))))*(1+'Assumptions and Catalog'!$C$8)^(A506-1),0)</f>
        <v>7094.794</v>
      </c>
      <c r="O506" s="5" t="n">
        <f>M506-N506</f>
        <v>0</v>
      </c>
      <c r="P506" s="5" t="n">
        <f>D$55*(1-K$14)*(1-'Assumptions and Catalog'!$C$23)^R506</f>
        <v>0</v>
      </c>
      <c r="Q506" s="5" t="n">
        <f>IF(ISNUMBER(Inputs!$L$5),(IF(Inputs!$L$9="Actual flat rate",((D506+E506)*C506-G506)*Inputs!$L$10,IF(Inputs!$C$9="Residential",IF(((D506+E506)*C506-G506)&lt;='Assumptions and Catalog'!$C$50,((D506+E506)*C506-G506)*'Assumptions and Catalog'!$H$50+'Assumptions and Catalog'!$E$50+'Assumptions and Catalog'!$F$50,IF(((D506+E506)*C506-G506)&lt;='Assumptions and Catalog'!$C$51,((D506+E506)*C506-G506)*'Assumptions and Catalog'!$H$51+'Assumptions and Catalog'!$E$51+'Assumptions and Catalog'!$F$51,IF(((D506+E506)*C506-G506)&lt;='Assumptions and Catalog'!$C$52,((D506+E506)*C506-G506)*'Assumptions and Catalog'!$H$52+'Assumptions and Catalog'!$E$52+'Assumptions and Catalog'!$F$52,IF(((D506+E506)*C506-G506)&lt;='Assumptions and Catalog'!$C$53,((D506+E506)*C506-G506)*'Assumptions and Catalog'!$H$53+'Assumptions and Catalog'!$E$53+'Assumptions and Catalog'!$F$53,IF(((D506+E506)*C506-G506)&lt;='Assumptions and Catalog'!$C$54,((D506+E506)*C506-G506)*'Assumptions and Catalog'!$H$54+'Assumptions and Catalog'!$E$54+'Assumptions and Catalog'!$F$54,IF(((D506+E506)*C506-G506)&lt;='Assumptions and Catalog'!$C$55,((D506+E506)*C506-G506)*'Assumptions and Catalog'!$H$55+'Assumptions and Catalog'!$E$55+'Assumptions and Catalog'!$F$55,IF(((D506+E506)*C506-G506)&lt;='Assumptions and Catalog'!$C$56,((D506+E506)*C506-G506)*'Assumptions and Catalog'!$H$56+'Assumptions and Catalog'!$E$56+'Assumptions and Catalog'!$F$56,IF(((D506+E506)*C506-G506)&lt;='Assumptions and Catalog'!$C$57,((D506+E506)*C506-G506)*'Assumptions and Catalog'!$H$57+'Assumptions and Catalog'!$E$57+'Assumptions and Catalog'!$F$57,"Out of range")))))))),IF(((D506+E506)*C506-G506)&lt;='Assumptions and Catalog'!$C$60,((D506+E506)*C506-G506)*'Assumptions and Catalog'!$H$60+'Assumptions and Catalog'!$E$60+'Assumptions and Catalog'!$F$60,IF(((D506+E506)*C506-G506)&lt;='Assumptions and Catalog'!$C$61,((D506+E506)*C506-G506)*'Assumptions and Catalog'!$H$61+'Assumptions and Catalog'!$E$61+'Assumptions and Catalog'!$F$61,IF(((D506+E506)*C506-G506)&lt;='Assumptions and Catalog'!$C$62,((D506+E506)*C506-G506)*'Assumptions and Catalog'!$H$62+'Assumptions and Catalog'!$E$62+'Assumptions and Catalog'!$F$62,IF(((D506+E506)*C506-G506)&lt;='Assumptions and Catalog'!$C$63,((D506+E506)*C506-G506)*'Assumptions and Catalog'!$H$63+'Assumptions and Catalog'!$E$63+'Assumptions and Catalog'!$F$63,IF(((D506+E506)*C506-G506)&lt;='Assumptions and Catalog'!$C$64,((D506+E506)*C506-G506)*'Assumptions and Catalog'!$H$64+'Assumptions and Catalog'!$E$64+'Assumptions and Catalog'!$F$64,IF(((D506+E506)*C506-G506)&lt;='Assumptions and Catalog'!$C$65,((D506+E506)*C506-G506)*'Assumptions and Catalog'!$H$65+'Assumptions and Catalog'!$E$65+'Assumptions and Catalog'!$F$65,"Out of range")))))))))*(1+'Assumptions and Catalog'!$C$8)^(A506-1),0)</f>
        <v>7094.794</v>
      </c>
      <c r="R506" s="5" t="n">
        <f>IF(AND('Assumptions and Catalog'!$C$19&gt;0,A506&gt;='Assumptions and Catalog'!$C$19),A506-'Assumptions and Catalog'!$C$19,A506-1)</f>
        <v>7</v>
      </c>
      <c r="S506" s="5" t="n">
        <f>F506+L506-(D506+E506)*C506-J506-K506-IF(D$52&gt;0,'Assumptions and Catalog'!$C$26*C506,0)</f>
        <v>0</v>
      </c>
      <c r="T506" s="5"/>
      <c r="U506" s="5"/>
    </row>
    <row r="507" ht="23.100000381469727" customHeight="1">
      <c r="A507" s="5" t="n">
        <v>9</v>
      </c>
      <c r="B507" s="5" t="n">
        <v>1</v>
      </c>
      <c r="C507" s="5" t="n">
        <f>DAY(DATE('Assumptions and Catalog'!$C$24+A507-1,B507+1,0))</f>
        <v>31</v>
      </c>
      <c r="D507" s="5" t="n">
        <f>IF(ISNUMBER(Inputs!$L$5),Inputs!$L$5*Inputs!$L$6,0)</f>
        <v>40.35</v>
      </c>
      <c r="E507" s="5" t="n">
        <f>IF(ISNUMBER(Inputs!$L$5),Inputs!$L$5-D507,0)</f>
        <v>40.35</v>
      </c>
      <c r="F507" s="5" t="n">
        <f>D$51*'Assumptions and Catalog'!$C$31*C507*(1-'Assumptions and Catalog'!$C$10)^(A507-1)</f>
        <v>0</v>
      </c>
      <c r="G507" s="5" t="n">
        <f>MIN(F507,D507*C507)</f>
        <v>0</v>
      </c>
      <c r="H507" s="5" t="n">
        <f>I507/('Assumptions and Catalog'!$C$11*'Assumptions and Catalog'!$C$12)</f>
        <v>0</v>
      </c>
      <c r="I507" s="5" t="n">
        <f>IF(K$15="Grid cycle",MIN(K$16,D507+E507,P507*'Assumptions and Catalog'!$C$12,D$57*(24-'Assumptions and Catalog'!$C$15),D$56*'Assumptions and Catalog'!$C$15*'Assumptions and Catalog'!$C$11*'Assumptions and Catalog'!$C$12)*C507,0)</f>
        <v>0</v>
      </c>
      <c r="J507" s="5" t="n">
        <f>MAX(F507-G507-0,0)</f>
        <v>0</v>
      </c>
      <c r="K507" s="5" t="n">
        <f>H507-I507</f>
        <v>0</v>
      </c>
      <c r="L507" s="5" t="n">
        <f>(D507+E507)*C507-G507-I507+H507+IF(D$52&gt;0,'Assumptions and Catalog'!$C$26*C507,0)</f>
        <v>2501.7</v>
      </c>
      <c r="M507" s="5" t="n">
        <f>IF(ISNUMBER(Inputs!$L$5),(IF(Inputs!$L$9="Actual flat rate",((D507+E507)*C507)*Inputs!$L$10,IF(Inputs!$C$9="Residential",IF(((D507+E507)*C507)&lt;='Assumptions and Catalog'!$C$50,((D507+E507)*C507)*'Assumptions and Catalog'!$H$50+'Assumptions and Catalog'!$E$50+'Assumptions and Catalog'!$F$50,IF(((D507+E507)*C507)&lt;='Assumptions and Catalog'!$C$51,((D507+E507)*C507)*'Assumptions and Catalog'!$H$51+'Assumptions and Catalog'!$E$51+'Assumptions and Catalog'!$F$51,IF(((D507+E507)*C507)&lt;='Assumptions and Catalog'!$C$52,((D507+E507)*C507)*'Assumptions and Catalog'!$H$52+'Assumptions and Catalog'!$E$52+'Assumptions and Catalog'!$F$52,IF(((D507+E507)*C507)&lt;='Assumptions and Catalog'!$C$53,((D507+E507)*C507)*'Assumptions and Catalog'!$H$53+'Assumptions and Catalog'!$E$53+'Assumptions and Catalog'!$F$53,IF(((D507+E507)*C507)&lt;='Assumptions and Catalog'!$C$54,((D507+E507)*C507)*'Assumptions and Catalog'!$H$54+'Assumptions and Catalog'!$E$54+'Assumptions and Catalog'!$F$54,IF(((D507+E507)*C507)&lt;='Assumptions and Catalog'!$C$55,((D507+E507)*C507)*'Assumptions and Catalog'!$H$55+'Assumptions and Catalog'!$E$55+'Assumptions and Catalog'!$F$55,IF(((D507+E507)*C507)&lt;='Assumptions and Catalog'!$C$56,((D507+E507)*C507)*'Assumptions and Catalog'!$H$56+'Assumptions and Catalog'!$E$56+'Assumptions and Catalog'!$F$56,IF(((D507+E507)*C507)&lt;='Assumptions and Catalog'!$C$57,((D507+E507)*C507)*'Assumptions and Catalog'!$H$57+'Assumptions and Catalog'!$E$57+'Assumptions and Catalog'!$F$57,"Out of range")))))))),IF(((D507+E507)*C507)&lt;='Assumptions and Catalog'!$C$60,((D507+E507)*C507)*'Assumptions and Catalog'!$H$60+'Assumptions and Catalog'!$E$60+'Assumptions and Catalog'!$F$60,IF(((D507+E507)*C507)&lt;='Assumptions and Catalog'!$C$61,((D507+E507)*C507)*'Assumptions and Catalog'!$H$61+'Assumptions and Catalog'!$E$61+'Assumptions and Catalog'!$F$61,IF(((D507+E507)*C507)&lt;='Assumptions and Catalog'!$C$62,((D507+E507)*C507)*'Assumptions and Catalog'!$H$62+'Assumptions and Catalog'!$E$62+'Assumptions and Catalog'!$F$62,IF(((D507+E507)*C507)&lt;='Assumptions and Catalog'!$C$63,((D507+E507)*C507)*'Assumptions and Catalog'!$H$63+'Assumptions and Catalog'!$E$63+'Assumptions and Catalog'!$F$63,IF(((D507+E507)*C507)&lt;='Assumptions and Catalog'!$C$64,((D507+E507)*C507)*'Assumptions and Catalog'!$H$64+'Assumptions and Catalog'!$E$64+'Assumptions and Catalog'!$F$64,IF(((D507+E507)*C507)&lt;='Assumptions and Catalog'!$C$65,((D507+E507)*C507)*'Assumptions and Catalog'!$H$65+'Assumptions and Catalog'!$E$65+'Assumptions and Catalog'!$F$65,"Out of range")))))))))*(1+'Assumptions and Catalog'!$C$8)^(A507-1),0)</f>
        <v>7094.794</v>
      </c>
      <c r="N507" s="5" t="n">
        <f>IF(ISNUMBER(Inputs!$L$5),(IF(Inputs!$L$9="Actual flat rate",L507*Inputs!$L$10,IF(Inputs!$C$9="Residential",IF(L507&lt;='Assumptions and Catalog'!$C$50,L507*'Assumptions and Catalog'!$H$50+'Assumptions and Catalog'!$E$50+'Assumptions and Catalog'!$F$50,IF(L507&lt;='Assumptions and Catalog'!$C$51,L507*'Assumptions and Catalog'!$H$51+'Assumptions and Catalog'!$E$51+'Assumptions and Catalog'!$F$51,IF(L507&lt;='Assumptions and Catalog'!$C$52,L507*'Assumptions and Catalog'!$H$52+'Assumptions and Catalog'!$E$52+'Assumptions and Catalog'!$F$52,IF(L507&lt;='Assumptions and Catalog'!$C$53,L507*'Assumptions and Catalog'!$H$53+'Assumptions and Catalog'!$E$53+'Assumptions and Catalog'!$F$53,IF(L507&lt;='Assumptions and Catalog'!$C$54,L507*'Assumptions and Catalog'!$H$54+'Assumptions and Catalog'!$E$54+'Assumptions and Catalog'!$F$54,IF(L507&lt;='Assumptions and Catalog'!$C$55,L507*'Assumptions and Catalog'!$H$55+'Assumptions and Catalog'!$E$55+'Assumptions and Catalog'!$F$55,IF(L507&lt;='Assumptions and Catalog'!$C$56,L507*'Assumptions and Catalog'!$H$56+'Assumptions and Catalog'!$E$56+'Assumptions and Catalog'!$F$56,IF(L507&lt;='Assumptions and Catalog'!$C$57,L507*'Assumptions and Catalog'!$H$57+'Assumptions and Catalog'!$E$57+'Assumptions and Catalog'!$F$57,"Out of range")))))))),IF(L507&lt;='Assumptions and Catalog'!$C$60,L507*'Assumptions and Catalog'!$H$60+'Assumptions and Catalog'!$E$60+'Assumptions and Catalog'!$F$60,IF(L507&lt;='Assumptions and Catalog'!$C$61,L507*'Assumptions and Catalog'!$H$61+'Assumptions and Catalog'!$E$61+'Assumptions and Catalog'!$F$61,IF(L507&lt;='Assumptions and Catalog'!$C$62,L507*'Assumptions and Catalog'!$H$62+'Assumptions and Catalog'!$E$62+'Assumptions and Catalog'!$F$62,IF(L507&lt;='Assumptions and Catalog'!$C$63,L507*'Assumptions and Catalog'!$H$63+'Assumptions and Catalog'!$E$63+'Assumptions and Catalog'!$F$63,IF(L507&lt;='Assumptions and Catalog'!$C$64,L507*'Assumptions and Catalog'!$H$64+'Assumptions and Catalog'!$E$64+'Assumptions and Catalog'!$F$64,IF(L507&lt;='Assumptions and Catalog'!$C$65,L507*'Assumptions and Catalog'!$H$65+'Assumptions and Catalog'!$E$65+'Assumptions and Catalog'!$F$65,"Out of range")))))))))*(1+'Assumptions and Catalog'!$C$8)^(A507-1),0)</f>
        <v>7094.794</v>
      </c>
      <c r="O507" s="5" t="n">
        <f>M507-N507</f>
        <v>0</v>
      </c>
      <c r="P507" s="5" t="n">
        <f>D$55*(1-K$14)*(1-'Assumptions and Catalog'!$C$23)^R507</f>
        <v>0</v>
      </c>
      <c r="Q507" s="5" t="n">
        <f>IF(ISNUMBER(Inputs!$L$5),(IF(Inputs!$L$9="Actual flat rate",((D507+E507)*C507-G507)*Inputs!$L$10,IF(Inputs!$C$9="Residential",IF(((D507+E507)*C507-G507)&lt;='Assumptions and Catalog'!$C$50,((D507+E507)*C507-G507)*'Assumptions and Catalog'!$H$50+'Assumptions and Catalog'!$E$50+'Assumptions and Catalog'!$F$50,IF(((D507+E507)*C507-G507)&lt;='Assumptions and Catalog'!$C$51,((D507+E507)*C507-G507)*'Assumptions and Catalog'!$H$51+'Assumptions and Catalog'!$E$51+'Assumptions and Catalog'!$F$51,IF(((D507+E507)*C507-G507)&lt;='Assumptions and Catalog'!$C$52,((D507+E507)*C507-G507)*'Assumptions and Catalog'!$H$52+'Assumptions and Catalog'!$E$52+'Assumptions and Catalog'!$F$52,IF(((D507+E507)*C507-G507)&lt;='Assumptions and Catalog'!$C$53,((D507+E507)*C507-G507)*'Assumptions and Catalog'!$H$53+'Assumptions and Catalog'!$E$53+'Assumptions and Catalog'!$F$53,IF(((D507+E507)*C507-G507)&lt;='Assumptions and Catalog'!$C$54,((D507+E507)*C507-G507)*'Assumptions and Catalog'!$H$54+'Assumptions and Catalog'!$E$54+'Assumptions and Catalog'!$F$54,IF(((D507+E507)*C507-G507)&lt;='Assumptions and Catalog'!$C$55,((D507+E507)*C507-G507)*'Assumptions and Catalog'!$H$55+'Assumptions and Catalog'!$E$55+'Assumptions and Catalog'!$F$55,IF(((D507+E507)*C507-G507)&lt;='Assumptions and Catalog'!$C$56,((D507+E507)*C507-G507)*'Assumptions and Catalog'!$H$56+'Assumptions and Catalog'!$E$56+'Assumptions and Catalog'!$F$56,IF(((D507+E507)*C507-G507)&lt;='Assumptions and Catalog'!$C$57,((D507+E507)*C507-G507)*'Assumptions and Catalog'!$H$57+'Assumptions and Catalog'!$E$57+'Assumptions and Catalog'!$F$57,"Out of range")))))))),IF(((D507+E507)*C507-G507)&lt;='Assumptions and Catalog'!$C$60,((D507+E507)*C507-G507)*'Assumptions and Catalog'!$H$60+'Assumptions and Catalog'!$E$60+'Assumptions and Catalog'!$F$60,IF(((D507+E507)*C507-G507)&lt;='Assumptions and Catalog'!$C$61,((D507+E507)*C507-G507)*'Assumptions and Catalog'!$H$61+'Assumptions and Catalog'!$E$61+'Assumptions and Catalog'!$F$61,IF(((D507+E507)*C507-G507)&lt;='Assumptions and Catalog'!$C$62,((D507+E507)*C507-G507)*'Assumptions and Catalog'!$H$62+'Assumptions and Catalog'!$E$62+'Assumptions and Catalog'!$F$62,IF(((D507+E507)*C507-G507)&lt;='Assumptions and Catalog'!$C$63,((D507+E507)*C507-G507)*'Assumptions and Catalog'!$H$63+'Assumptions and Catalog'!$E$63+'Assumptions and Catalog'!$F$63,IF(((D507+E507)*C507-G507)&lt;='Assumptions and Catalog'!$C$64,((D507+E507)*C507-G507)*'Assumptions and Catalog'!$H$64+'Assumptions and Catalog'!$E$64+'Assumptions and Catalog'!$F$64,IF(((D507+E507)*C507-G507)&lt;='Assumptions and Catalog'!$C$65,((D507+E507)*C507-G507)*'Assumptions and Catalog'!$H$65+'Assumptions and Catalog'!$E$65+'Assumptions and Catalog'!$F$65,"Out of range")))))))))*(1+'Assumptions and Catalog'!$C$8)^(A507-1),0)</f>
        <v>7094.794</v>
      </c>
      <c r="R507" s="5" t="n">
        <f>IF(AND('Assumptions and Catalog'!$C$19&gt;0,A507&gt;='Assumptions and Catalog'!$C$19),A507-'Assumptions and Catalog'!$C$19,A507-1)</f>
        <v>8</v>
      </c>
      <c r="S507" s="5" t="n">
        <f>F507+L507-(D507+E507)*C507-J507-K507-IF(D$52&gt;0,'Assumptions and Catalog'!$C$26*C507,0)</f>
        <v>0</v>
      </c>
      <c r="T507" s="5"/>
      <c r="U507" s="5"/>
    </row>
    <row r="508" ht="23.100000381469727" customHeight="1">
      <c r="A508" s="5" t="n">
        <v>9</v>
      </c>
      <c r="B508" s="5" t="n">
        <v>2</v>
      </c>
      <c r="C508" s="5" t="n">
        <f>DAY(DATE('Assumptions and Catalog'!$C$24+A508-1,B508+1,0))</f>
        <v>28</v>
      </c>
      <c r="D508" s="5" t="n">
        <f>IF(ISNUMBER(Inputs!$L$5),Inputs!$L$5*Inputs!$L$6,0)</f>
        <v>40.35</v>
      </c>
      <c r="E508" s="5" t="n">
        <f>IF(ISNUMBER(Inputs!$L$5),Inputs!$L$5-D508,0)</f>
        <v>40.35</v>
      </c>
      <c r="F508" s="5" t="n">
        <f>D$51*'Assumptions and Catalog'!$C$31*C508*(1-'Assumptions and Catalog'!$C$10)^(A508-1)</f>
        <v>0</v>
      </c>
      <c r="G508" s="5" t="n">
        <f>MIN(F508,D508*C508)</f>
        <v>0</v>
      </c>
      <c r="H508" s="5" t="n">
        <f>I508/('Assumptions and Catalog'!$C$11*'Assumptions and Catalog'!$C$12)</f>
        <v>0</v>
      </c>
      <c r="I508" s="5" t="n">
        <f>IF(K$15="Grid cycle",MIN(K$16,D508+E508,P508*'Assumptions and Catalog'!$C$12,D$57*(24-'Assumptions and Catalog'!$C$15),D$56*'Assumptions and Catalog'!$C$15*'Assumptions and Catalog'!$C$11*'Assumptions and Catalog'!$C$12)*C508,0)</f>
        <v>0</v>
      </c>
      <c r="J508" s="5" t="n">
        <f>MAX(F508-G508-0,0)</f>
        <v>0</v>
      </c>
      <c r="K508" s="5" t="n">
        <f>H508-I508</f>
        <v>0</v>
      </c>
      <c r="L508" s="5" t="n">
        <f>(D508+E508)*C508-G508-I508+H508+IF(D$52&gt;0,'Assumptions and Catalog'!$C$26*C508,0)</f>
        <v>2259.6</v>
      </c>
      <c r="M508" s="5" t="n">
        <f>IF(ISNUMBER(Inputs!$L$5),(IF(Inputs!$L$9="Actual flat rate",((D508+E508)*C508)*Inputs!$L$10,IF(Inputs!$C$9="Residential",IF(((D508+E508)*C508)&lt;='Assumptions and Catalog'!$C$50,((D508+E508)*C508)*'Assumptions and Catalog'!$H$50+'Assumptions and Catalog'!$E$50+'Assumptions and Catalog'!$F$50,IF(((D508+E508)*C508)&lt;='Assumptions and Catalog'!$C$51,((D508+E508)*C508)*'Assumptions and Catalog'!$H$51+'Assumptions and Catalog'!$E$51+'Assumptions and Catalog'!$F$51,IF(((D508+E508)*C508)&lt;='Assumptions and Catalog'!$C$52,((D508+E508)*C508)*'Assumptions and Catalog'!$H$52+'Assumptions and Catalog'!$E$52+'Assumptions and Catalog'!$F$52,IF(((D508+E508)*C508)&lt;='Assumptions and Catalog'!$C$53,((D508+E508)*C508)*'Assumptions and Catalog'!$H$53+'Assumptions and Catalog'!$E$53+'Assumptions and Catalog'!$F$53,IF(((D508+E508)*C508)&lt;='Assumptions and Catalog'!$C$54,((D508+E508)*C508)*'Assumptions and Catalog'!$H$54+'Assumptions and Catalog'!$E$54+'Assumptions and Catalog'!$F$54,IF(((D508+E508)*C508)&lt;='Assumptions and Catalog'!$C$55,((D508+E508)*C508)*'Assumptions and Catalog'!$H$55+'Assumptions and Catalog'!$E$55+'Assumptions and Catalog'!$F$55,IF(((D508+E508)*C508)&lt;='Assumptions and Catalog'!$C$56,((D508+E508)*C508)*'Assumptions and Catalog'!$H$56+'Assumptions and Catalog'!$E$56+'Assumptions and Catalog'!$F$56,IF(((D508+E508)*C508)&lt;='Assumptions and Catalog'!$C$57,((D508+E508)*C508)*'Assumptions and Catalog'!$H$57+'Assumptions and Catalog'!$E$57+'Assumptions and Catalog'!$F$57,"Out of range")))))))),IF(((D508+E508)*C508)&lt;='Assumptions and Catalog'!$C$60,((D508+E508)*C508)*'Assumptions and Catalog'!$H$60+'Assumptions and Catalog'!$E$60+'Assumptions and Catalog'!$F$60,IF(((D508+E508)*C508)&lt;='Assumptions and Catalog'!$C$61,((D508+E508)*C508)*'Assumptions and Catalog'!$H$61+'Assumptions and Catalog'!$E$61+'Assumptions and Catalog'!$F$61,IF(((D508+E508)*C508)&lt;='Assumptions and Catalog'!$C$62,((D508+E508)*C508)*'Assumptions and Catalog'!$H$62+'Assumptions and Catalog'!$E$62+'Assumptions and Catalog'!$F$62,IF(((D508+E508)*C508)&lt;='Assumptions and Catalog'!$C$63,((D508+E508)*C508)*'Assumptions and Catalog'!$H$63+'Assumptions and Catalog'!$E$63+'Assumptions and Catalog'!$F$63,IF(((D508+E508)*C508)&lt;='Assumptions and Catalog'!$C$64,((D508+E508)*C508)*'Assumptions and Catalog'!$H$64+'Assumptions and Catalog'!$E$64+'Assumptions and Catalog'!$F$64,IF(((D508+E508)*C508)&lt;='Assumptions and Catalog'!$C$65,((D508+E508)*C508)*'Assumptions and Catalog'!$H$65+'Assumptions and Catalog'!$E$65+'Assumptions and Catalog'!$F$65,"Out of range")))))))))*(1+'Assumptions and Catalog'!$C$8)^(A508-1),0)</f>
        <v>6412.072</v>
      </c>
      <c r="N508" s="5" t="n">
        <f>IF(ISNUMBER(Inputs!$L$5),(IF(Inputs!$L$9="Actual flat rate",L508*Inputs!$L$10,IF(Inputs!$C$9="Residential",IF(L508&lt;='Assumptions and Catalog'!$C$50,L508*'Assumptions and Catalog'!$H$50+'Assumptions and Catalog'!$E$50+'Assumptions and Catalog'!$F$50,IF(L508&lt;='Assumptions and Catalog'!$C$51,L508*'Assumptions and Catalog'!$H$51+'Assumptions and Catalog'!$E$51+'Assumptions and Catalog'!$F$51,IF(L508&lt;='Assumptions and Catalog'!$C$52,L508*'Assumptions and Catalog'!$H$52+'Assumptions and Catalog'!$E$52+'Assumptions and Catalog'!$F$52,IF(L508&lt;='Assumptions and Catalog'!$C$53,L508*'Assumptions and Catalog'!$H$53+'Assumptions and Catalog'!$E$53+'Assumptions and Catalog'!$F$53,IF(L508&lt;='Assumptions and Catalog'!$C$54,L508*'Assumptions and Catalog'!$H$54+'Assumptions and Catalog'!$E$54+'Assumptions and Catalog'!$F$54,IF(L508&lt;='Assumptions and Catalog'!$C$55,L508*'Assumptions and Catalog'!$H$55+'Assumptions and Catalog'!$E$55+'Assumptions and Catalog'!$F$55,IF(L508&lt;='Assumptions and Catalog'!$C$56,L508*'Assumptions and Catalog'!$H$56+'Assumptions and Catalog'!$E$56+'Assumptions and Catalog'!$F$56,IF(L508&lt;='Assumptions and Catalog'!$C$57,L508*'Assumptions and Catalog'!$H$57+'Assumptions and Catalog'!$E$57+'Assumptions and Catalog'!$F$57,"Out of range")))))))),IF(L508&lt;='Assumptions and Catalog'!$C$60,L508*'Assumptions and Catalog'!$H$60+'Assumptions and Catalog'!$E$60+'Assumptions and Catalog'!$F$60,IF(L508&lt;='Assumptions and Catalog'!$C$61,L508*'Assumptions and Catalog'!$H$61+'Assumptions and Catalog'!$E$61+'Assumptions and Catalog'!$F$61,IF(L508&lt;='Assumptions and Catalog'!$C$62,L508*'Assumptions and Catalog'!$H$62+'Assumptions and Catalog'!$E$62+'Assumptions and Catalog'!$F$62,IF(L508&lt;='Assumptions and Catalog'!$C$63,L508*'Assumptions and Catalog'!$H$63+'Assumptions and Catalog'!$E$63+'Assumptions and Catalog'!$F$63,IF(L508&lt;='Assumptions and Catalog'!$C$64,L508*'Assumptions and Catalog'!$H$64+'Assumptions and Catalog'!$E$64+'Assumptions and Catalog'!$F$64,IF(L508&lt;='Assumptions and Catalog'!$C$65,L508*'Assumptions and Catalog'!$H$65+'Assumptions and Catalog'!$E$65+'Assumptions and Catalog'!$F$65,"Out of range")))))))))*(1+'Assumptions and Catalog'!$C$8)^(A508-1),0)</f>
        <v>6412.072</v>
      </c>
      <c r="O508" s="5" t="n">
        <f>M508-N508</f>
        <v>0</v>
      </c>
      <c r="P508" s="5" t="n">
        <f>D$55*(1-K$14)*(1-'Assumptions and Catalog'!$C$23)^R508</f>
        <v>0</v>
      </c>
      <c r="Q508" s="5" t="n">
        <f>IF(ISNUMBER(Inputs!$L$5),(IF(Inputs!$L$9="Actual flat rate",((D508+E508)*C508-G508)*Inputs!$L$10,IF(Inputs!$C$9="Residential",IF(((D508+E508)*C508-G508)&lt;='Assumptions and Catalog'!$C$50,((D508+E508)*C508-G508)*'Assumptions and Catalog'!$H$50+'Assumptions and Catalog'!$E$50+'Assumptions and Catalog'!$F$50,IF(((D508+E508)*C508-G508)&lt;='Assumptions and Catalog'!$C$51,((D508+E508)*C508-G508)*'Assumptions and Catalog'!$H$51+'Assumptions and Catalog'!$E$51+'Assumptions and Catalog'!$F$51,IF(((D508+E508)*C508-G508)&lt;='Assumptions and Catalog'!$C$52,((D508+E508)*C508-G508)*'Assumptions and Catalog'!$H$52+'Assumptions and Catalog'!$E$52+'Assumptions and Catalog'!$F$52,IF(((D508+E508)*C508-G508)&lt;='Assumptions and Catalog'!$C$53,((D508+E508)*C508-G508)*'Assumptions and Catalog'!$H$53+'Assumptions and Catalog'!$E$53+'Assumptions and Catalog'!$F$53,IF(((D508+E508)*C508-G508)&lt;='Assumptions and Catalog'!$C$54,((D508+E508)*C508-G508)*'Assumptions and Catalog'!$H$54+'Assumptions and Catalog'!$E$54+'Assumptions and Catalog'!$F$54,IF(((D508+E508)*C508-G508)&lt;='Assumptions and Catalog'!$C$55,((D508+E508)*C508-G508)*'Assumptions and Catalog'!$H$55+'Assumptions and Catalog'!$E$55+'Assumptions and Catalog'!$F$55,IF(((D508+E508)*C508-G508)&lt;='Assumptions and Catalog'!$C$56,((D508+E508)*C508-G508)*'Assumptions and Catalog'!$H$56+'Assumptions and Catalog'!$E$56+'Assumptions and Catalog'!$F$56,IF(((D508+E508)*C508-G508)&lt;='Assumptions and Catalog'!$C$57,((D508+E508)*C508-G508)*'Assumptions and Catalog'!$H$57+'Assumptions and Catalog'!$E$57+'Assumptions and Catalog'!$F$57,"Out of range")))))))),IF(((D508+E508)*C508-G508)&lt;='Assumptions and Catalog'!$C$60,((D508+E508)*C508-G508)*'Assumptions and Catalog'!$H$60+'Assumptions and Catalog'!$E$60+'Assumptions and Catalog'!$F$60,IF(((D508+E508)*C508-G508)&lt;='Assumptions and Catalog'!$C$61,((D508+E508)*C508-G508)*'Assumptions and Catalog'!$H$61+'Assumptions and Catalog'!$E$61+'Assumptions and Catalog'!$F$61,IF(((D508+E508)*C508-G508)&lt;='Assumptions and Catalog'!$C$62,((D508+E508)*C508-G508)*'Assumptions and Catalog'!$H$62+'Assumptions and Catalog'!$E$62+'Assumptions and Catalog'!$F$62,IF(((D508+E508)*C508-G508)&lt;='Assumptions and Catalog'!$C$63,((D508+E508)*C508-G508)*'Assumptions and Catalog'!$H$63+'Assumptions and Catalog'!$E$63+'Assumptions and Catalog'!$F$63,IF(((D508+E508)*C508-G508)&lt;='Assumptions and Catalog'!$C$64,((D508+E508)*C508-G508)*'Assumptions and Catalog'!$H$64+'Assumptions and Catalog'!$E$64+'Assumptions and Catalog'!$F$64,IF(((D508+E508)*C508-G508)&lt;='Assumptions and Catalog'!$C$65,((D508+E508)*C508-G508)*'Assumptions and Catalog'!$H$65+'Assumptions and Catalog'!$E$65+'Assumptions and Catalog'!$F$65,"Out of range")))))))))*(1+'Assumptions and Catalog'!$C$8)^(A508-1),0)</f>
        <v>6412.072</v>
      </c>
      <c r="R508" s="5" t="n">
        <f>IF(AND('Assumptions and Catalog'!$C$19&gt;0,A508&gt;='Assumptions and Catalog'!$C$19),A508-'Assumptions and Catalog'!$C$19,A508-1)</f>
        <v>8</v>
      </c>
      <c r="S508" s="5" t="n">
        <f>F508+L508-(D508+E508)*C508-J508-K508-IF(D$52&gt;0,'Assumptions and Catalog'!$C$26*C508,0)</f>
        <v>0</v>
      </c>
      <c r="T508" s="5"/>
      <c r="U508" s="5"/>
    </row>
    <row r="509" ht="23.100000381469727" customHeight="1">
      <c r="A509" s="5" t="n">
        <v>9</v>
      </c>
      <c r="B509" s="5" t="n">
        <v>3</v>
      </c>
      <c r="C509" s="5" t="n">
        <f>DAY(DATE('Assumptions and Catalog'!$C$24+A509-1,B509+1,0))</f>
        <v>31</v>
      </c>
      <c r="D509" s="5" t="n">
        <f>IF(ISNUMBER(Inputs!$L$5),Inputs!$L$5*Inputs!$L$6,0)</f>
        <v>40.35</v>
      </c>
      <c r="E509" s="5" t="n">
        <f>IF(ISNUMBER(Inputs!$L$5),Inputs!$L$5-D509,0)</f>
        <v>40.35</v>
      </c>
      <c r="F509" s="5" t="n">
        <f>D$51*'Assumptions and Catalog'!$C$31*C509*(1-'Assumptions and Catalog'!$C$10)^(A509-1)</f>
        <v>0</v>
      </c>
      <c r="G509" s="5" t="n">
        <f>MIN(F509,D509*C509)</f>
        <v>0</v>
      </c>
      <c r="H509" s="5" t="n">
        <f>I509/('Assumptions and Catalog'!$C$11*'Assumptions and Catalog'!$C$12)</f>
        <v>0</v>
      </c>
      <c r="I509" s="5" t="n">
        <f>IF(K$15="Grid cycle",MIN(K$16,D509+E509,P509*'Assumptions and Catalog'!$C$12,D$57*(24-'Assumptions and Catalog'!$C$15),D$56*'Assumptions and Catalog'!$C$15*'Assumptions and Catalog'!$C$11*'Assumptions and Catalog'!$C$12)*C509,0)</f>
        <v>0</v>
      </c>
      <c r="J509" s="5" t="n">
        <f>MAX(F509-G509-0,0)</f>
        <v>0</v>
      </c>
      <c r="K509" s="5" t="n">
        <f>H509-I509</f>
        <v>0</v>
      </c>
      <c r="L509" s="5" t="n">
        <f>(D509+E509)*C509-G509-I509+H509+IF(D$52&gt;0,'Assumptions and Catalog'!$C$26*C509,0)</f>
        <v>2501.7</v>
      </c>
      <c r="M509" s="5" t="n">
        <f>IF(ISNUMBER(Inputs!$L$5),(IF(Inputs!$L$9="Actual flat rate",((D509+E509)*C509)*Inputs!$L$10,IF(Inputs!$C$9="Residential",IF(((D509+E509)*C509)&lt;='Assumptions and Catalog'!$C$50,((D509+E509)*C509)*'Assumptions and Catalog'!$H$50+'Assumptions and Catalog'!$E$50+'Assumptions and Catalog'!$F$50,IF(((D509+E509)*C509)&lt;='Assumptions and Catalog'!$C$51,((D509+E509)*C509)*'Assumptions and Catalog'!$H$51+'Assumptions and Catalog'!$E$51+'Assumptions and Catalog'!$F$51,IF(((D509+E509)*C509)&lt;='Assumptions and Catalog'!$C$52,((D509+E509)*C509)*'Assumptions and Catalog'!$H$52+'Assumptions and Catalog'!$E$52+'Assumptions and Catalog'!$F$52,IF(((D509+E509)*C509)&lt;='Assumptions and Catalog'!$C$53,((D509+E509)*C509)*'Assumptions and Catalog'!$H$53+'Assumptions and Catalog'!$E$53+'Assumptions and Catalog'!$F$53,IF(((D509+E509)*C509)&lt;='Assumptions and Catalog'!$C$54,((D509+E509)*C509)*'Assumptions and Catalog'!$H$54+'Assumptions and Catalog'!$E$54+'Assumptions and Catalog'!$F$54,IF(((D509+E509)*C509)&lt;='Assumptions and Catalog'!$C$55,((D509+E509)*C509)*'Assumptions and Catalog'!$H$55+'Assumptions and Catalog'!$E$55+'Assumptions and Catalog'!$F$55,IF(((D509+E509)*C509)&lt;='Assumptions and Catalog'!$C$56,((D509+E509)*C509)*'Assumptions and Catalog'!$H$56+'Assumptions and Catalog'!$E$56+'Assumptions and Catalog'!$F$56,IF(((D509+E509)*C509)&lt;='Assumptions and Catalog'!$C$57,((D509+E509)*C509)*'Assumptions and Catalog'!$H$57+'Assumptions and Catalog'!$E$57+'Assumptions and Catalog'!$F$57,"Out of range")))))))),IF(((D509+E509)*C509)&lt;='Assumptions and Catalog'!$C$60,((D509+E509)*C509)*'Assumptions and Catalog'!$H$60+'Assumptions and Catalog'!$E$60+'Assumptions and Catalog'!$F$60,IF(((D509+E509)*C509)&lt;='Assumptions and Catalog'!$C$61,((D509+E509)*C509)*'Assumptions and Catalog'!$H$61+'Assumptions and Catalog'!$E$61+'Assumptions and Catalog'!$F$61,IF(((D509+E509)*C509)&lt;='Assumptions and Catalog'!$C$62,((D509+E509)*C509)*'Assumptions and Catalog'!$H$62+'Assumptions and Catalog'!$E$62+'Assumptions and Catalog'!$F$62,IF(((D509+E509)*C509)&lt;='Assumptions and Catalog'!$C$63,((D509+E509)*C509)*'Assumptions and Catalog'!$H$63+'Assumptions and Catalog'!$E$63+'Assumptions and Catalog'!$F$63,IF(((D509+E509)*C509)&lt;='Assumptions and Catalog'!$C$64,((D509+E509)*C509)*'Assumptions and Catalog'!$H$64+'Assumptions and Catalog'!$E$64+'Assumptions and Catalog'!$F$64,IF(((D509+E509)*C509)&lt;='Assumptions and Catalog'!$C$65,((D509+E509)*C509)*'Assumptions and Catalog'!$H$65+'Assumptions and Catalog'!$E$65+'Assumptions and Catalog'!$F$65,"Out of range")))))))))*(1+'Assumptions and Catalog'!$C$8)^(A509-1),0)</f>
        <v>7094.794</v>
      </c>
      <c r="N509" s="5" t="n">
        <f>IF(ISNUMBER(Inputs!$L$5),(IF(Inputs!$L$9="Actual flat rate",L509*Inputs!$L$10,IF(Inputs!$C$9="Residential",IF(L509&lt;='Assumptions and Catalog'!$C$50,L509*'Assumptions and Catalog'!$H$50+'Assumptions and Catalog'!$E$50+'Assumptions and Catalog'!$F$50,IF(L509&lt;='Assumptions and Catalog'!$C$51,L509*'Assumptions and Catalog'!$H$51+'Assumptions and Catalog'!$E$51+'Assumptions and Catalog'!$F$51,IF(L509&lt;='Assumptions and Catalog'!$C$52,L509*'Assumptions and Catalog'!$H$52+'Assumptions and Catalog'!$E$52+'Assumptions and Catalog'!$F$52,IF(L509&lt;='Assumptions and Catalog'!$C$53,L509*'Assumptions and Catalog'!$H$53+'Assumptions and Catalog'!$E$53+'Assumptions and Catalog'!$F$53,IF(L509&lt;='Assumptions and Catalog'!$C$54,L509*'Assumptions and Catalog'!$H$54+'Assumptions and Catalog'!$E$54+'Assumptions and Catalog'!$F$54,IF(L509&lt;='Assumptions and Catalog'!$C$55,L509*'Assumptions and Catalog'!$H$55+'Assumptions and Catalog'!$E$55+'Assumptions and Catalog'!$F$55,IF(L509&lt;='Assumptions and Catalog'!$C$56,L509*'Assumptions and Catalog'!$H$56+'Assumptions and Catalog'!$E$56+'Assumptions and Catalog'!$F$56,IF(L509&lt;='Assumptions and Catalog'!$C$57,L509*'Assumptions and Catalog'!$H$57+'Assumptions and Catalog'!$E$57+'Assumptions and Catalog'!$F$57,"Out of range")))))))),IF(L509&lt;='Assumptions and Catalog'!$C$60,L509*'Assumptions and Catalog'!$H$60+'Assumptions and Catalog'!$E$60+'Assumptions and Catalog'!$F$60,IF(L509&lt;='Assumptions and Catalog'!$C$61,L509*'Assumptions and Catalog'!$H$61+'Assumptions and Catalog'!$E$61+'Assumptions and Catalog'!$F$61,IF(L509&lt;='Assumptions and Catalog'!$C$62,L509*'Assumptions and Catalog'!$H$62+'Assumptions and Catalog'!$E$62+'Assumptions and Catalog'!$F$62,IF(L509&lt;='Assumptions and Catalog'!$C$63,L509*'Assumptions and Catalog'!$H$63+'Assumptions and Catalog'!$E$63+'Assumptions and Catalog'!$F$63,IF(L509&lt;='Assumptions and Catalog'!$C$64,L509*'Assumptions and Catalog'!$H$64+'Assumptions and Catalog'!$E$64+'Assumptions and Catalog'!$F$64,IF(L509&lt;='Assumptions and Catalog'!$C$65,L509*'Assumptions and Catalog'!$H$65+'Assumptions and Catalog'!$E$65+'Assumptions and Catalog'!$F$65,"Out of range")))))))))*(1+'Assumptions and Catalog'!$C$8)^(A509-1),0)</f>
        <v>7094.794</v>
      </c>
      <c r="O509" s="5" t="n">
        <f>M509-N509</f>
        <v>0</v>
      </c>
      <c r="P509" s="5" t="n">
        <f>D$55*(1-K$14)*(1-'Assumptions and Catalog'!$C$23)^R509</f>
        <v>0</v>
      </c>
      <c r="Q509" s="5" t="n">
        <f>IF(ISNUMBER(Inputs!$L$5),(IF(Inputs!$L$9="Actual flat rate",((D509+E509)*C509-G509)*Inputs!$L$10,IF(Inputs!$C$9="Residential",IF(((D509+E509)*C509-G509)&lt;='Assumptions and Catalog'!$C$50,((D509+E509)*C509-G509)*'Assumptions and Catalog'!$H$50+'Assumptions and Catalog'!$E$50+'Assumptions and Catalog'!$F$50,IF(((D509+E509)*C509-G509)&lt;='Assumptions and Catalog'!$C$51,((D509+E509)*C509-G509)*'Assumptions and Catalog'!$H$51+'Assumptions and Catalog'!$E$51+'Assumptions and Catalog'!$F$51,IF(((D509+E509)*C509-G509)&lt;='Assumptions and Catalog'!$C$52,((D509+E509)*C509-G509)*'Assumptions and Catalog'!$H$52+'Assumptions and Catalog'!$E$52+'Assumptions and Catalog'!$F$52,IF(((D509+E509)*C509-G509)&lt;='Assumptions and Catalog'!$C$53,((D509+E509)*C509-G509)*'Assumptions and Catalog'!$H$53+'Assumptions and Catalog'!$E$53+'Assumptions and Catalog'!$F$53,IF(((D509+E509)*C509-G509)&lt;='Assumptions and Catalog'!$C$54,((D509+E509)*C509-G509)*'Assumptions and Catalog'!$H$54+'Assumptions and Catalog'!$E$54+'Assumptions and Catalog'!$F$54,IF(((D509+E509)*C509-G509)&lt;='Assumptions and Catalog'!$C$55,((D509+E509)*C509-G509)*'Assumptions and Catalog'!$H$55+'Assumptions and Catalog'!$E$55+'Assumptions and Catalog'!$F$55,IF(((D509+E509)*C509-G509)&lt;='Assumptions and Catalog'!$C$56,((D509+E509)*C509-G509)*'Assumptions and Catalog'!$H$56+'Assumptions and Catalog'!$E$56+'Assumptions and Catalog'!$F$56,IF(((D509+E509)*C509-G509)&lt;='Assumptions and Catalog'!$C$57,((D509+E509)*C509-G509)*'Assumptions and Catalog'!$H$57+'Assumptions and Catalog'!$E$57+'Assumptions and Catalog'!$F$57,"Out of range")))))))),IF(((D509+E509)*C509-G509)&lt;='Assumptions and Catalog'!$C$60,((D509+E509)*C509-G509)*'Assumptions and Catalog'!$H$60+'Assumptions and Catalog'!$E$60+'Assumptions and Catalog'!$F$60,IF(((D509+E509)*C509-G509)&lt;='Assumptions and Catalog'!$C$61,((D509+E509)*C509-G509)*'Assumptions and Catalog'!$H$61+'Assumptions and Catalog'!$E$61+'Assumptions and Catalog'!$F$61,IF(((D509+E509)*C509-G509)&lt;='Assumptions and Catalog'!$C$62,((D509+E509)*C509-G509)*'Assumptions and Catalog'!$H$62+'Assumptions and Catalog'!$E$62+'Assumptions and Catalog'!$F$62,IF(((D509+E509)*C509-G509)&lt;='Assumptions and Catalog'!$C$63,((D509+E509)*C509-G509)*'Assumptions and Catalog'!$H$63+'Assumptions and Catalog'!$E$63+'Assumptions and Catalog'!$F$63,IF(((D509+E509)*C509-G509)&lt;='Assumptions and Catalog'!$C$64,((D509+E509)*C509-G509)*'Assumptions and Catalog'!$H$64+'Assumptions and Catalog'!$E$64+'Assumptions and Catalog'!$F$64,IF(((D509+E509)*C509-G509)&lt;='Assumptions and Catalog'!$C$65,((D509+E509)*C509-G509)*'Assumptions and Catalog'!$H$65+'Assumptions and Catalog'!$E$65+'Assumptions and Catalog'!$F$65,"Out of range")))))))))*(1+'Assumptions and Catalog'!$C$8)^(A509-1),0)</f>
        <v>7094.794</v>
      </c>
      <c r="R509" s="5" t="n">
        <f>IF(AND('Assumptions and Catalog'!$C$19&gt;0,A509&gt;='Assumptions and Catalog'!$C$19),A509-'Assumptions and Catalog'!$C$19,A509-1)</f>
        <v>8</v>
      </c>
      <c r="S509" s="5" t="n">
        <f>F509+L509-(D509+E509)*C509-J509-K509-IF(D$52&gt;0,'Assumptions and Catalog'!$C$26*C509,0)</f>
        <v>0</v>
      </c>
      <c r="T509" s="5"/>
      <c r="U509" s="5"/>
    </row>
    <row r="510" ht="23.100000381469727" customHeight="1">
      <c r="A510" s="5" t="n">
        <v>9</v>
      </c>
      <c r="B510" s="5" t="n">
        <v>4</v>
      </c>
      <c r="C510" s="5" t="n">
        <f>DAY(DATE('Assumptions and Catalog'!$C$24+A510-1,B510+1,0))</f>
        <v>30</v>
      </c>
      <c r="D510" s="5" t="n">
        <f>IF(ISNUMBER(Inputs!$L$5),Inputs!$L$5*Inputs!$L$6,0)</f>
        <v>40.35</v>
      </c>
      <c r="E510" s="5" t="n">
        <f>IF(ISNUMBER(Inputs!$L$5),Inputs!$L$5-D510,0)</f>
        <v>40.35</v>
      </c>
      <c r="F510" s="5" t="n">
        <f>D$51*'Assumptions and Catalog'!$C$31*C510*(1-'Assumptions and Catalog'!$C$10)^(A510-1)</f>
        <v>0</v>
      </c>
      <c r="G510" s="5" t="n">
        <f>MIN(F510,D510*C510)</f>
        <v>0</v>
      </c>
      <c r="H510" s="5" t="n">
        <f>I510/('Assumptions and Catalog'!$C$11*'Assumptions and Catalog'!$C$12)</f>
        <v>0</v>
      </c>
      <c r="I510" s="5" t="n">
        <f>IF(K$15="Grid cycle",MIN(K$16,D510+E510,P510*'Assumptions and Catalog'!$C$12,D$57*(24-'Assumptions and Catalog'!$C$15),D$56*'Assumptions and Catalog'!$C$15*'Assumptions and Catalog'!$C$11*'Assumptions and Catalog'!$C$12)*C510,0)</f>
        <v>0</v>
      </c>
      <c r="J510" s="5" t="n">
        <f>MAX(F510-G510-0,0)</f>
        <v>0</v>
      </c>
      <c r="K510" s="5" t="n">
        <f>H510-I510</f>
        <v>0</v>
      </c>
      <c r="L510" s="5" t="n">
        <f>(D510+E510)*C510-G510-I510+H510+IF(D$52&gt;0,'Assumptions and Catalog'!$C$26*C510,0)</f>
        <v>2421</v>
      </c>
      <c r="M510" s="5" t="n">
        <f>IF(ISNUMBER(Inputs!$L$5),(IF(Inputs!$L$9="Actual flat rate",((D510+E510)*C510)*Inputs!$L$10,IF(Inputs!$C$9="Residential",IF(((D510+E510)*C510)&lt;='Assumptions and Catalog'!$C$50,((D510+E510)*C510)*'Assumptions and Catalog'!$H$50+'Assumptions and Catalog'!$E$50+'Assumptions and Catalog'!$F$50,IF(((D510+E510)*C510)&lt;='Assumptions and Catalog'!$C$51,((D510+E510)*C510)*'Assumptions and Catalog'!$H$51+'Assumptions and Catalog'!$E$51+'Assumptions and Catalog'!$F$51,IF(((D510+E510)*C510)&lt;='Assumptions and Catalog'!$C$52,((D510+E510)*C510)*'Assumptions and Catalog'!$H$52+'Assumptions and Catalog'!$E$52+'Assumptions and Catalog'!$F$52,IF(((D510+E510)*C510)&lt;='Assumptions and Catalog'!$C$53,((D510+E510)*C510)*'Assumptions and Catalog'!$H$53+'Assumptions and Catalog'!$E$53+'Assumptions and Catalog'!$F$53,IF(((D510+E510)*C510)&lt;='Assumptions and Catalog'!$C$54,((D510+E510)*C510)*'Assumptions and Catalog'!$H$54+'Assumptions and Catalog'!$E$54+'Assumptions and Catalog'!$F$54,IF(((D510+E510)*C510)&lt;='Assumptions and Catalog'!$C$55,((D510+E510)*C510)*'Assumptions and Catalog'!$H$55+'Assumptions and Catalog'!$E$55+'Assumptions and Catalog'!$F$55,IF(((D510+E510)*C510)&lt;='Assumptions and Catalog'!$C$56,((D510+E510)*C510)*'Assumptions and Catalog'!$H$56+'Assumptions and Catalog'!$E$56+'Assumptions and Catalog'!$F$56,IF(((D510+E510)*C510)&lt;='Assumptions and Catalog'!$C$57,((D510+E510)*C510)*'Assumptions and Catalog'!$H$57+'Assumptions and Catalog'!$E$57+'Assumptions and Catalog'!$F$57,"Out of range")))))))),IF(((D510+E510)*C510)&lt;='Assumptions and Catalog'!$C$60,((D510+E510)*C510)*'Assumptions and Catalog'!$H$60+'Assumptions and Catalog'!$E$60+'Assumptions and Catalog'!$F$60,IF(((D510+E510)*C510)&lt;='Assumptions and Catalog'!$C$61,((D510+E510)*C510)*'Assumptions and Catalog'!$H$61+'Assumptions and Catalog'!$E$61+'Assumptions and Catalog'!$F$61,IF(((D510+E510)*C510)&lt;='Assumptions and Catalog'!$C$62,((D510+E510)*C510)*'Assumptions and Catalog'!$H$62+'Assumptions and Catalog'!$E$62+'Assumptions and Catalog'!$F$62,IF(((D510+E510)*C510)&lt;='Assumptions and Catalog'!$C$63,((D510+E510)*C510)*'Assumptions and Catalog'!$H$63+'Assumptions and Catalog'!$E$63+'Assumptions and Catalog'!$F$63,IF(((D510+E510)*C510)&lt;='Assumptions and Catalog'!$C$64,((D510+E510)*C510)*'Assumptions and Catalog'!$H$64+'Assumptions and Catalog'!$E$64+'Assumptions and Catalog'!$F$64,IF(((D510+E510)*C510)&lt;='Assumptions and Catalog'!$C$65,((D510+E510)*C510)*'Assumptions and Catalog'!$H$65+'Assumptions and Catalog'!$E$65+'Assumptions and Catalog'!$F$65,"Out of range")))))))))*(1+'Assumptions and Catalog'!$C$8)^(A510-1),0)</f>
        <v>6867.22</v>
      </c>
      <c r="N510" s="5" t="n">
        <f>IF(ISNUMBER(Inputs!$L$5),(IF(Inputs!$L$9="Actual flat rate",L510*Inputs!$L$10,IF(Inputs!$C$9="Residential",IF(L510&lt;='Assumptions and Catalog'!$C$50,L510*'Assumptions and Catalog'!$H$50+'Assumptions and Catalog'!$E$50+'Assumptions and Catalog'!$F$50,IF(L510&lt;='Assumptions and Catalog'!$C$51,L510*'Assumptions and Catalog'!$H$51+'Assumptions and Catalog'!$E$51+'Assumptions and Catalog'!$F$51,IF(L510&lt;='Assumptions and Catalog'!$C$52,L510*'Assumptions and Catalog'!$H$52+'Assumptions and Catalog'!$E$52+'Assumptions and Catalog'!$F$52,IF(L510&lt;='Assumptions and Catalog'!$C$53,L510*'Assumptions and Catalog'!$H$53+'Assumptions and Catalog'!$E$53+'Assumptions and Catalog'!$F$53,IF(L510&lt;='Assumptions and Catalog'!$C$54,L510*'Assumptions and Catalog'!$H$54+'Assumptions and Catalog'!$E$54+'Assumptions and Catalog'!$F$54,IF(L510&lt;='Assumptions and Catalog'!$C$55,L510*'Assumptions and Catalog'!$H$55+'Assumptions and Catalog'!$E$55+'Assumptions and Catalog'!$F$55,IF(L510&lt;='Assumptions and Catalog'!$C$56,L510*'Assumptions and Catalog'!$H$56+'Assumptions and Catalog'!$E$56+'Assumptions and Catalog'!$F$56,IF(L510&lt;='Assumptions and Catalog'!$C$57,L510*'Assumptions and Catalog'!$H$57+'Assumptions and Catalog'!$E$57+'Assumptions and Catalog'!$F$57,"Out of range")))))))),IF(L510&lt;='Assumptions and Catalog'!$C$60,L510*'Assumptions and Catalog'!$H$60+'Assumptions and Catalog'!$E$60+'Assumptions and Catalog'!$F$60,IF(L510&lt;='Assumptions and Catalog'!$C$61,L510*'Assumptions and Catalog'!$H$61+'Assumptions and Catalog'!$E$61+'Assumptions and Catalog'!$F$61,IF(L510&lt;='Assumptions and Catalog'!$C$62,L510*'Assumptions and Catalog'!$H$62+'Assumptions and Catalog'!$E$62+'Assumptions and Catalog'!$F$62,IF(L510&lt;='Assumptions and Catalog'!$C$63,L510*'Assumptions and Catalog'!$H$63+'Assumptions and Catalog'!$E$63+'Assumptions and Catalog'!$F$63,IF(L510&lt;='Assumptions and Catalog'!$C$64,L510*'Assumptions and Catalog'!$H$64+'Assumptions and Catalog'!$E$64+'Assumptions and Catalog'!$F$64,IF(L510&lt;='Assumptions and Catalog'!$C$65,L510*'Assumptions and Catalog'!$H$65+'Assumptions and Catalog'!$E$65+'Assumptions and Catalog'!$F$65,"Out of range")))))))))*(1+'Assumptions and Catalog'!$C$8)^(A510-1),0)</f>
        <v>6867.22</v>
      </c>
      <c r="O510" s="5" t="n">
        <f>M510-N510</f>
        <v>0</v>
      </c>
      <c r="P510" s="5" t="n">
        <f>D$55*(1-K$14)*(1-'Assumptions and Catalog'!$C$23)^R510</f>
        <v>0</v>
      </c>
      <c r="Q510" s="5" t="n">
        <f>IF(ISNUMBER(Inputs!$L$5),(IF(Inputs!$L$9="Actual flat rate",((D510+E510)*C510-G510)*Inputs!$L$10,IF(Inputs!$C$9="Residential",IF(((D510+E510)*C510-G510)&lt;='Assumptions and Catalog'!$C$50,((D510+E510)*C510-G510)*'Assumptions and Catalog'!$H$50+'Assumptions and Catalog'!$E$50+'Assumptions and Catalog'!$F$50,IF(((D510+E510)*C510-G510)&lt;='Assumptions and Catalog'!$C$51,((D510+E510)*C510-G510)*'Assumptions and Catalog'!$H$51+'Assumptions and Catalog'!$E$51+'Assumptions and Catalog'!$F$51,IF(((D510+E510)*C510-G510)&lt;='Assumptions and Catalog'!$C$52,((D510+E510)*C510-G510)*'Assumptions and Catalog'!$H$52+'Assumptions and Catalog'!$E$52+'Assumptions and Catalog'!$F$52,IF(((D510+E510)*C510-G510)&lt;='Assumptions and Catalog'!$C$53,((D510+E510)*C510-G510)*'Assumptions and Catalog'!$H$53+'Assumptions and Catalog'!$E$53+'Assumptions and Catalog'!$F$53,IF(((D510+E510)*C510-G510)&lt;='Assumptions and Catalog'!$C$54,((D510+E510)*C510-G510)*'Assumptions and Catalog'!$H$54+'Assumptions and Catalog'!$E$54+'Assumptions and Catalog'!$F$54,IF(((D510+E510)*C510-G510)&lt;='Assumptions and Catalog'!$C$55,((D510+E510)*C510-G510)*'Assumptions and Catalog'!$H$55+'Assumptions and Catalog'!$E$55+'Assumptions and Catalog'!$F$55,IF(((D510+E510)*C510-G510)&lt;='Assumptions and Catalog'!$C$56,((D510+E510)*C510-G510)*'Assumptions and Catalog'!$H$56+'Assumptions and Catalog'!$E$56+'Assumptions and Catalog'!$F$56,IF(((D510+E510)*C510-G510)&lt;='Assumptions and Catalog'!$C$57,((D510+E510)*C510-G510)*'Assumptions and Catalog'!$H$57+'Assumptions and Catalog'!$E$57+'Assumptions and Catalog'!$F$57,"Out of range")))))))),IF(((D510+E510)*C510-G510)&lt;='Assumptions and Catalog'!$C$60,((D510+E510)*C510-G510)*'Assumptions and Catalog'!$H$60+'Assumptions and Catalog'!$E$60+'Assumptions and Catalog'!$F$60,IF(((D510+E510)*C510-G510)&lt;='Assumptions and Catalog'!$C$61,((D510+E510)*C510-G510)*'Assumptions and Catalog'!$H$61+'Assumptions and Catalog'!$E$61+'Assumptions and Catalog'!$F$61,IF(((D510+E510)*C510-G510)&lt;='Assumptions and Catalog'!$C$62,((D510+E510)*C510-G510)*'Assumptions and Catalog'!$H$62+'Assumptions and Catalog'!$E$62+'Assumptions and Catalog'!$F$62,IF(((D510+E510)*C510-G510)&lt;='Assumptions and Catalog'!$C$63,((D510+E510)*C510-G510)*'Assumptions and Catalog'!$H$63+'Assumptions and Catalog'!$E$63+'Assumptions and Catalog'!$F$63,IF(((D510+E510)*C510-G510)&lt;='Assumptions and Catalog'!$C$64,((D510+E510)*C510-G510)*'Assumptions and Catalog'!$H$64+'Assumptions and Catalog'!$E$64+'Assumptions and Catalog'!$F$64,IF(((D510+E510)*C510-G510)&lt;='Assumptions and Catalog'!$C$65,((D510+E510)*C510-G510)*'Assumptions and Catalog'!$H$65+'Assumptions and Catalog'!$E$65+'Assumptions and Catalog'!$F$65,"Out of range")))))))))*(1+'Assumptions and Catalog'!$C$8)^(A510-1),0)</f>
        <v>6867.22</v>
      </c>
      <c r="R510" s="5" t="n">
        <f>IF(AND('Assumptions and Catalog'!$C$19&gt;0,A510&gt;='Assumptions and Catalog'!$C$19),A510-'Assumptions and Catalog'!$C$19,A510-1)</f>
        <v>8</v>
      </c>
      <c r="S510" s="5" t="n">
        <f>F510+L510-(D510+E510)*C510-J510-K510-IF(D$52&gt;0,'Assumptions and Catalog'!$C$26*C510,0)</f>
        <v>0</v>
      </c>
      <c r="T510" s="5"/>
      <c r="U510" s="5"/>
    </row>
    <row r="511" ht="23.100000381469727" customHeight="1">
      <c r="A511" s="5" t="n">
        <v>9</v>
      </c>
      <c r="B511" s="5" t="n">
        <v>5</v>
      </c>
      <c r="C511" s="5" t="n">
        <f>DAY(DATE('Assumptions and Catalog'!$C$24+A511-1,B511+1,0))</f>
        <v>31</v>
      </c>
      <c r="D511" s="5" t="n">
        <f>IF(ISNUMBER(Inputs!$L$5),Inputs!$L$5*Inputs!$L$6,0)</f>
        <v>40.35</v>
      </c>
      <c r="E511" s="5" t="n">
        <f>IF(ISNUMBER(Inputs!$L$5),Inputs!$L$5-D511,0)</f>
        <v>40.35</v>
      </c>
      <c r="F511" s="5" t="n">
        <f>D$51*'Assumptions and Catalog'!$C$31*C511*(1-'Assumptions and Catalog'!$C$10)^(A511-1)</f>
        <v>0</v>
      </c>
      <c r="G511" s="5" t="n">
        <f>MIN(F511,D511*C511)</f>
        <v>0</v>
      </c>
      <c r="H511" s="5" t="n">
        <f>I511/('Assumptions and Catalog'!$C$11*'Assumptions and Catalog'!$C$12)</f>
        <v>0</v>
      </c>
      <c r="I511" s="5" t="n">
        <f>IF(K$15="Grid cycle",MIN(K$16,D511+E511,P511*'Assumptions and Catalog'!$C$12,D$57*(24-'Assumptions and Catalog'!$C$15),D$56*'Assumptions and Catalog'!$C$15*'Assumptions and Catalog'!$C$11*'Assumptions and Catalog'!$C$12)*C511,0)</f>
        <v>0</v>
      </c>
      <c r="J511" s="5" t="n">
        <f>MAX(F511-G511-0,0)</f>
        <v>0</v>
      </c>
      <c r="K511" s="5" t="n">
        <f>H511-I511</f>
        <v>0</v>
      </c>
      <c r="L511" s="5" t="n">
        <f>(D511+E511)*C511-G511-I511+H511+IF(D$52&gt;0,'Assumptions and Catalog'!$C$26*C511,0)</f>
        <v>2501.7</v>
      </c>
      <c r="M511" s="5" t="n">
        <f>IF(ISNUMBER(Inputs!$L$5),(IF(Inputs!$L$9="Actual flat rate",((D511+E511)*C511)*Inputs!$L$10,IF(Inputs!$C$9="Residential",IF(((D511+E511)*C511)&lt;='Assumptions and Catalog'!$C$50,((D511+E511)*C511)*'Assumptions and Catalog'!$H$50+'Assumptions and Catalog'!$E$50+'Assumptions and Catalog'!$F$50,IF(((D511+E511)*C511)&lt;='Assumptions and Catalog'!$C$51,((D511+E511)*C511)*'Assumptions and Catalog'!$H$51+'Assumptions and Catalog'!$E$51+'Assumptions and Catalog'!$F$51,IF(((D511+E511)*C511)&lt;='Assumptions and Catalog'!$C$52,((D511+E511)*C511)*'Assumptions and Catalog'!$H$52+'Assumptions and Catalog'!$E$52+'Assumptions and Catalog'!$F$52,IF(((D511+E511)*C511)&lt;='Assumptions and Catalog'!$C$53,((D511+E511)*C511)*'Assumptions and Catalog'!$H$53+'Assumptions and Catalog'!$E$53+'Assumptions and Catalog'!$F$53,IF(((D511+E511)*C511)&lt;='Assumptions and Catalog'!$C$54,((D511+E511)*C511)*'Assumptions and Catalog'!$H$54+'Assumptions and Catalog'!$E$54+'Assumptions and Catalog'!$F$54,IF(((D511+E511)*C511)&lt;='Assumptions and Catalog'!$C$55,((D511+E511)*C511)*'Assumptions and Catalog'!$H$55+'Assumptions and Catalog'!$E$55+'Assumptions and Catalog'!$F$55,IF(((D511+E511)*C511)&lt;='Assumptions and Catalog'!$C$56,((D511+E511)*C511)*'Assumptions and Catalog'!$H$56+'Assumptions and Catalog'!$E$56+'Assumptions and Catalog'!$F$56,IF(((D511+E511)*C511)&lt;='Assumptions and Catalog'!$C$57,((D511+E511)*C511)*'Assumptions and Catalog'!$H$57+'Assumptions and Catalog'!$E$57+'Assumptions and Catalog'!$F$57,"Out of range")))))))),IF(((D511+E511)*C511)&lt;='Assumptions and Catalog'!$C$60,((D511+E511)*C511)*'Assumptions and Catalog'!$H$60+'Assumptions and Catalog'!$E$60+'Assumptions and Catalog'!$F$60,IF(((D511+E511)*C511)&lt;='Assumptions and Catalog'!$C$61,((D511+E511)*C511)*'Assumptions and Catalog'!$H$61+'Assumptions and Catalog'!$E$61+'Assumptions and Catalog'!$F$61,IF(((D511+E511)*C511)&lt;='Assumptions and Catalog'!$C$62,((D511+E511)*C511)*'Assumptions and Catalog'!$H$62+'Assumptions and Catalog'!$E$62+'Assumptions and Catalog'!$F$62,IF(((D511+E511)*C511)&lt;='Assumptions and Catalog'!$C$63,((D511+E511)*C511)*'Assumptions and Catalog'!$H$63+'Assumptions and Catalog'!$E$63+'Assumptions and Catalog'!$F$63,IF(((D511+E511)*C511)&lt;='Assumptions and Catalog'!$C$64,((D511+E511)*C511)*'Assumptions and Catalog'!$H$64+'Assumptions and Catalog'!$E$64+'Assumptions and Catalog'!$F$64,IF(((D511+E511)*C511)&lt;='Assumptions and Catalog'!$C$65,((D511+E511)*C511)*'Assumptions and Catalog'!$H$65+'Assumptions and Catalog'!$E$65+'Assumptions and Catalog'!$F$65,"Out of range")))))))))*(1+'Assumptions and Catalog'!$C$8)^(A511-1),0)</f>
        <v>7094.794</v>
      </c>
      <c r="N511" s="5" t="n">
        <f>IF(ISNUMBER(Inputs!$L$5),(IF(Inputs!$L$9="Actual flat rate",L511*Inputs!$L$10,IF(Inputs!$C$9="Residential",IF(L511&lt;='Assumptions and Catalog'!$C$50,L511*'Assumptions and Catalog'!$H$50+'Assumptions and Catalog'!$E$50+'Assumptions and Catalog'!$F$50,IF(L511&lt;='Assumptions and Catalog'!$C$51,L511*'Assumptions and Catalog'!$H$51+'Assumptions and Catalog'!$E$51+'Assumptions and Catalog'!$F$51,IF(L511&lt;='Assumptions and Catalog'!$C$52,L511*'Assumptions and Catalog'!$H$52+'Assumptions and Catalog'!$E$52+'Assumptions and Catalog'!$F$52,IF(L511&lt;='Assumptions and Catalog'!$C$53,L511*'Assumptions and Catalog'!$H$53+'Assumptions and Catalog'!$E$53+'Assumptions and Catalog'!$F$53,IF(L511&lt;='Assumptions and Catalog'!$C$54,L511*'Assumptions and Catalog'!$H$54+'Assumptions and Catalog'!$E$54+'Assumptions and Catalog'!$F$54,IF(L511&lt;='Assumptions and Catalog'!$C$55,L511*'Assumptions and Catalog'!$H$55+'Assumptions and Catalog'!$E$55+'Assumptions and Catalog'!$F$55,IF(L511&lt;='Assumptions and Catalog'!$C$56,L511*'Assumptions and Catalog'!$H$56+'Assumptions and Catalog'!$E$56+'Assumptions and Catalog'!$F$56,IF(L511&lt;='Assumptions and Catalog'!$C$57,L511*'Assumptions and Catalog'!$H$57+'Assumptions and Catalog'!$E$57+'Assumptions and Catalog'!$F$57,"Out of range")))))))),IF(L511&lt;='Assumptions and Catalog'!$C$60,L511*'Assumptions and Catalog'!$H$60+'Assumptions and Catalog'!$E$60+'Assumptions and Catalog'!$F$60,IF(L511&lt;='Assumptions and Catalog'!$C$61,L511*'Assumptions and Catalog'!$H$61+'Assumptions and Catalog'!$E$61+'Assumptions and Catalog'!$F$61,IF(L511&lt;='Assumptions and Catalog'!$C$62,L511*'Assumptions and Catalog'!$H$62+'Assumptions and Catalog'!$E$62+'Assumptions and Catalog'!$F$62,IF(L511&lt;='Assumptions and Catalog'!$C$63,L511*'Assumptions and Catalog'!$H$63+'Assumptions and Catalog'!$E$63+'Assumptions and Catalog'!$F$63,IF(L511&lt;='Assumptions and Catalog'!$C$64,L511*'Assumptions and Catalog'!$H$64+'Assumptions and Catalog'!$E$64+'Assumptions and Catalog'!$F$64,IF(L511&lt;='Assumptions and Catalog'!$C$65,L511*'Assumptions and Catalog'!$H$65+'Assumptions and Catalog'!$E$65+'Assumptions and Catalog'!$F$65,"Out of range")))))))))*(1+'Assumptions and Catalog'!$C$8)^(A511-1),0)</f>
        <v>7094.794</v>
      </c>
      <c r="O511" s="5" t="n">
        <f>M511-N511</f>
        <v>0</v>
      </c>
      <c r="P511" s="5" t="n">
        <f>D$55*(1-K$14)*(1-'Assumptions and Catalog'!$C$23)^R511</f>
        <v>0</v>
      </c>
      <c r="Q511" s="5" t="n">
        <f>IF(ISNUMBER(Inputs!$L$5),(IF(Inputs!$L$9="Actual flat rate",((D511+E511)*C511-G511)*Inputs!$L$10,IF(Inputs!$C$9="Residential",IF(((D511+E511)*C511-G511)&lt;='Assumptions and Catalog'!$C$50,((D511+E511)*C511-G511)*'Assumptions and Catalog'!$H$50+'Assumptions and Catalog'!$E$50+'Assumptions and Catalog'!$F$50,IF(((D511+E511)*C511-G511)&lt;='Assumptions and Catalog'!$C$51,((D511+E511)*C511-G511)*'Assumptions and Catalog'!$H$51+'Assumptions and Catalog'!$E$51+'Assumptions and Catalog'!$F$51,IF(((D511+E511)*C511-G511)&lt;='Assumptions and Catalog'!$C$52,((D511+E511)*C511-G511)*'Assumptions and Catalog'!$H$52+'Assumptions and Catalog'!$E$52+'Assumptions and Catalog'!$F$52,IF(((D511+E511)*C511-G511)&lt;='Assumptions and Catalog'!$C$53,((D511+E511)*C511-G511)*'Assumptions and Catalog'!$H$53+'Assumptions and Catalog'!$E$53+'Assumptions and Catalog'!$F$53,IF(((D511+E511)*C511-G511)&lt;='Assumptions and Catalog'!$C$54,((D511+E511)*C511-G511)*'Assumptions and Catalog'!$H$54+'Assumptions and Catalog'!$E$54+'Assumptions and Catalog'!$F$54,IF(((D511+E511)*C511-G511)&lt;='Assumptions and Catalog'!$C$55,((D511+E511)*C511-G511)*'Assumptions and Catalog'!$H$55+'Assumptions and Catalog'!$E$55+'Assumptions and Catalog'!$F$55,IF(((D511+E511)*C511-G511)&lt;='Assumptions and Catalog'!$C$56,((D511+E511)*C511-G511)*'Assumptions and Catalog'!$H$56+'Assumptions and Catalog'!$E$56+'Assumptions and Catalog'!$F$56,IF(((D511+E511)*C511-G511)&lt;='Assumptions and Catalog'!$C$57,((D511+E511)*C511-G511)*'Assumptions and Catalog'!$H$57+'Assumptions and Catalog'!$E$57+'Assumptions and Catalog'!$F$57,"Out of range")))))))),IF(((D511+E511)*C511-G511)&lt;='Assumptions and Catalog'!$C$60,((D511+E511)*C511-G511)*'Assumptions and Catalog'!$H$60+'Assumptions and Catalog'!$E$60+'Assumptions and Catalog'!$F$60,IF(((D511+E511)*C511-G511)&lt;='Assumptions and Catalog'!$C$61,((D511+E511)*C511-G511)*'Assumptions and Catalog'!$H$61+'Assumptions and Catalog'!$E$61+'Assumptions and Catalog'!$F$61,IF(((D511+E511)*C511-G511)&lt;='Assumptions and Catalog'!$C$62,((D511+E511)*C511-G511)*'Assumptions and Catalog'!$H$62+'Assumptions and Catalog'!$E$62+'Assumptions and Catalog'!$F$62,IF(((D511+E511)*C511-G511)&lt;='Assumptions and Catalog'!$C$63,((D511+E511)*C511-G511)*'Assumptions and Catalog'!$H$63+'Assumptions and Catalog'!$E$63+'Assumptions and Catalog'!$F$63,IF(((D511+E511)*C511-G511)&lt;='Assumptions and Catalog'!$C$64,((D511+E511)*C511-G511)*'Assumptions and Catalog'!$H$64+'Assumptions and Catalog'!$E$64+'Assumptions and Catalog'!$F$64,IF(((D511+E511)*C511-G511)&lt;='Assumptions and Catalog'!$C$65,((D511+E511)*C511-G511)*'Assumptions and Catalog'!$H$65+'Assumptions and Catalog'!$E$65+'Assumptions and Catalog'!$F$65,"Out of range")))))))))*(1+'Assumptions and Catalog'!$C$8)^(A511-1),0)</f>
        <v>7094.794</v>
      </c>
      <c r="R511" s="5" t="n">
        <f>IF(AND('Assumptions and Catalog'!$C$19&gt;0,A511&gt;='Assumptions and Catalog'!$C$19),A511-'Assumptions and Catalog'!$C$19,A511-1)</f>
        <v>8</v>
      </c>
      <c r="S511" s="5" t="n">
        <f>F511+L511-(D511+E511)*C511-J511-K511-IF(D$52&gt;0,'Assumptions and Catalog'!$C$26*C511,0)</f>
        <v>0</v>
      </c>
      <c r="T511" s="5"/>
      <c r="U511" s="5"/>
    </row>
    <row r="512" ht="23.100000381469727" customHeight="1">
      <c r="A512" s="5" t="n">
        <v>9</v>
      </c>
      <c r="B512" s="5" t="n">
        <v>6</v>
      </c>
      <c r="C512" s="5" t="n">
        <f>DAY(DATE('Assumptions and Catalog'!$C$24+A512-1,B512+1,0))</f>
        <v>30</v>
      </c>
      <c r="D512" s="5" t="n">
        <f>IF(ISNUMBER(Inputs!$L$5),Inputs!$L$5*Inputs!$L$6,0)</f>
        <v>40.35</v>
      </c>
      <c r="E512" s="5" t="n">
        <f>IF(ISNUMBER(Inputs!$L$5),Inputs!$L$5-D512,0)</f>
        <v>40.35</v>
      </c>
      <c r="F512" s="5" t="n">
        <f>D$51*'Assumptions and Catalog'!$C$31*C512*(1-'Assumptions and Catalog'!$C$10)^(A512-1)</f>
        <v>0</v>
      </c>
      <c r="G512" s="5" t="n">
        <f>MIN(F512,D512*C512)</f>
        <v>0</v>
      </c>
      <c r="H512" s="5" t="n">
        <f>I512/('Assumptions and Catalog'!$C$11*'Assumptions and Catalog'!$C$12)</f>
        <v>0</v>
      </c>
      <c r="I512" s="5" t="n">
        <f>IF(K$15="Grid cycle",MIN(K$16,D512+E512,P512*'Assumptions and Catalog'!$C$12,D$57*(24-'Assumptions and Catalog'!$C$15),D$56*'Assumptions and Catalog'!$C$15*'Assumptions and Catalog'!$C$11*'Assumptions and Catalog'!$C$12)*C512,0)</f>
        <v>0</v>
      </c>
      <c r="J512" s="5" t="n">
        <f>MAX(F512-G512-0,0)</f>
        <v>0</v>
      </c>
      <c r="K512" s="5" t="n">
        <f>H512-I512</f>
        <v>0</v>
      </c>
      <c r="L512" s="5" t="n">
        <f>(D512+E512)*C512-G512-I512+H512+IF(D$52&gt;0,'Assumptions and Catalog'!$C$26*C512,0)</f>
        <v>2421</v>
      </c>
      <c r="M512" s="5" t="n">
        <f>IF(ISNUMBER(Inputs!$L$5),(IF(Inputs!$L$9="Actual flat rate",((D512+E512)*C512)*Inputs!$L$10,IF(Inputs!$C$9="Residential",IF(((D512+E512)*C512)&lt;='Assumptions and Catalog'!$C$50,((D512+E512)*C512)*'Assumptions and Catalog'!$H$50+'Assumptions and Catalog'!$E$50+'Assumptions and Catalog'!$F$50,IF(((D512+E512)*C512)&lt;='Assumptions and Catalog'!$C$51,((D512+E512)*C512)*'Assumptions and Catalog'!$H$51+'Assumptions and Catalog'!$E$51+'Assumptions and Catalog'!$F$51,IF(((D512+E512)*C512)&lt;='Assumptions and Catalog'!$C$52,((D512+E512)*C512)*'Assumptions and Catalog'!$H$52+'Assumptions and Catalog'!$E$52+'Assumptions and Catalog'!$F$52,IF(((D512+E512)*C512)&lt;='Assumptions and Catalog'!$C$53,((D512+E512)*C512)*'Assumptions and Catalog'!$H$53+'Assumptions and Catalog'!$E$53+'Assumptions and Catalog'!$F$53,IF(((D512+E512)*C512)&lt;='Assumptions and Catalog'!$C$54,((D512+E512)*C512)*'Assumptions and Catalog'!$H$54+'Assumptions and Catalog'!$E$54+'Assumptions and Catalog'!$F$54,IF(((D512+E512)*C512)&lt;='Assumptions and Catalog'!$C$55,((D512+E512)*C512)*'Assumptions and Catalog'!$H$55+'Assumptions and Catalog'!$E$55+'Assumptions and Catalog'!$F$55,IF(((D512+E512)*C512)&lt;='Assumptions and Catalog'!$C$56,((D512+E512)*C512)*'Assumptions and Catalog'!$H$56+'Assumptions and Catalog'!$E$56+'Assumptions and Catalog'!$F$56,IF(((D512+E512)*C512)&lt;='Assumptions and Catalog'!$C$57,((D512+E512)*C512)*'Assumptions and Catalog'!$H$57+'Assumptions and Catalog'!$E$57+'Assumptions and Catalog'!$F$57,"Out of range")))))))),IF(((D512+E512)*C512)&lt;='Assumptions and Catalog'!$C$60,((D512+E512)*C512)*'Assumptions and Catalog'!$H$60+'Assumptions and Catalog'!$E$60+'Assumptions and Catalog'!$F$60,IF(((D512+E512)*C512)&lt;='Assumptions and Catalog'!$C$61,((D512+E512)*C512)*'Assumptions and Catalog'!$H$61+'Assumptions and Catalog'!$E$61+'Assumptions and Catalog'!$F$61,IF(((D512+E512)*C512)&lt;='Assumptions and Catalog'!$C$62,((D512+E512)*C512)*'Assumptions and Catalog'!$H$62+'Assumptions and Catalog'!$E$62+'Assumptions and Catalog'!$F$62,IF(((D512+E512)*C512)&lt;='Assumptions and Catalog'!$C$63,((D512+E512)*C512)*'Assumptions and Catalog'!$H$63+'Assumptions and Catalog'!$E$63+'Assumptions and Catalog'!$F$63,IF(((D512+E512)*C512)&lt;='Assumptions and Catalog'!$C$64,((D512+E512)*C512)*'Assumptions and Catalog'!$H$64+'Assumptions and Catalog'!$E$64+'Assumptions and Catalog'!$F$64,IF(((D512+E512)*C512)&lt;='Assumptions and Catalog'!$C$65,((D512+E512)*C512)*'Assumptions and Catalog'!$H$65+'Assumptions and Catalog'!$E$65+'Assumptions and Catalog'!$F$65,"Out of range")))))))))*(1+'Assumptions and Catalog'!$C$8)^(A512-1),0)</f>
        <v>6867.22</v>
      </c>
      <c r="N512" s="5" t="n">
        <f>IF(ISNUMBER(Inputs!$L$5),(IF(Inputs!$L$9="Actual flat rate",L512*Inputs!$L$10,IF(Inputs!$C$9="Residential",IF(L512&lt;='Assumptions and Catalog'!$C$50,L512*'Assumptions and Catalog'!$H$50+'Assumptions and Catalog'!$E$50+'Assumptions and Catalog'!$F$50,IF(L512&lt;='Assumptions and Catalog'!$C$51,L512*'Assumptions and Catalog'!$H$51+'Assumptions and Catalog'!$E$51+'Assumptions and Catalog'!$F$51,IF(L512&lt;='Assumptions and Catalog'!$C$52,L512*'Assumptions and Catalog'!$H$52+'Assumptions and Catalog'!$E$52+'Assumptions and Catalog'!$F$52,IF(L512&lt;='Assumptions and Catalog'!$C$53,L512*'Assumptions and Catalog'!$H$53+'Assumptions and Catalog'!$E$53+'Assumptions and Catalog'!$F$53,IF(L512&lt;='Assumptions and Catalog'!$C$54,L512*'Assumptions and Catalog'!$H$54+'Assumptions and Catalog'!$E$54+'Assumptions and Catalog'!$F$54,IF(L512&lt;='Assumptions and Catalog'!$C$55,L512*'Assumptions and Catalog'!$H$55+'Assumptions and Catalog'!$E$55+'Assumptions and Catalog'!$F$55,IF(L512&lt;='Assumptions and Catalog'!$C$56,L512*'Assumptions and Catalog'!$H$56+'Assumptions and Catalog'!$E$56+'Assumptions and Catalog'!$F$56,IF(L512&lt;='Assumptions and Catalog'!$C$57,L512*'Assumptions and Catalog'!$H$57+'Assumptions and Catalog'!$E$57+'Assumptions and Catalog'!$F$57,"Out of range")))))))),IF(L512&lt;='Assumptions and Catalog'!$C$60,L512*'Assumptions and Catalog'!$H$60+'Assumptions and Catalog'!$E$60+'Assumptions and Catalog'!$F$60,IF(L512&lt;='Assumptions and Catalog'!$C$61,L512*'Assumptions and Catalog'!$H$61+'Assumptions and Catalog'!$E$61+'Assumptions and Catalog'!$F$61,IF(L512&lt;='Assumptions and Catalog'!$C$62,L512*'Assumptions and Catalog'!$H$62+'Assumptions and Catalog'!$E$62+'Assumptions and Catalog'!$F$62,IF(L512&lt;='Assumptions and Catalog'!$C$63,L512*'Assumptions and Catalog'!$H$63+'Assumptions and Catalog'!$E$63+'Assumptions and Catalog'!$F$63,IF(L512&lt;='Assumptions and Catalog'!$C$64,L512*'Assumptions and Catalog'!$H$64+'Assumptions and Catalog'!$E$64+'Assumptions and Catalog'!$F$64,IF(L512&lt;='Assumptions and Catalog'!$C$65,L512*'Assumptions and Catalog'!$H$65+'Assumptions and Catalog'!$E$65+'Assumptions and Catalog'!$F$65,"Out of range")))))))))*(1+'Assumptions and Catalog'!$C$8)^(A512-1),0)</f>
        <v>6867.22</v>
      </c>
      <c r="O512" s="5" t="n">
        <f>M512-N512</f>
        <v>0</v>
      </c>
      <c r="P512" s="5" t="n">
        <f>D$55*(1-K$14)*(1-'Assumptions and Catalog'!$C$23)^R512</f>
        <v>0</v>
      </c>
      <c r="Q512" s="5" t="n">
        <f>IF(ISNUMBER(Inputs!$L$5),(IF(Inputs!$L$9="Actual flat rate",((D512+E512)*C512-G512)*Inputs!$L$10,IF(Inputs!$C$9="Residential",IF(((D512+E512)*C512-G512)&lt;='Assumptions and Catalog'!$C$50,((D512+E512)*C512-G512)*'Assumptions and Catalog'!$H$50+'Assumptions and Catalog'!$E$50+'Assumptions and Catalog'!$F$50,IF(((D512+E512)*C512-G512)&lt;='Assumptions and Catalog'!$C$51,((D512+E512)*C512-G512)*'Assumptions and Catalog'!$H$51+'Assumptions and Catalog'!$E$51+'Assumptions and Catalog'!$F$51,IF(((D512+E512)*C512-G512)&lt;='Assumptions and Catalog'!$C$52,((D512+E512)*C512-G512)*'Assumptions and Catalog'!$H$52+'Assumptions and Catalog'!$E$52+'Assumptions and Catalog'!$F$52,IF(((D512+E512)*C512-G512)&lt;='Assumptions and Catalog'!$C$53,((D512+E512)*C512-G512)*'Assumptions and Catalog'!$H$53+'Assumptions and Catalog'!$E$53+'Assumptions and Catalog'!$F$53,IF(((D512+E512)*C512-G512)&lt;='Assumptions and Catalog'!$C$54,((D512+E512)*C512-G512)*'Assumptions and Catalog'!$H$54+'Assumptions and Catalog'!$E$54+'Assumptions and Catalog'!$F$54,IF(((D512+E512)*C512-G512)&lt;='Assumptions and Catalog'!$C$55,((D512+E512)*C512-G512)*'Assumptions and Catalog'!$H$55+'Assumptions and Catalog'!$E$55+'Assumptions and Catalog'!$F$55,IF(((D512+E512)*C512-G512)&lt;='Assumptions and Catalog'!$C$56,((D512+E512)*C512-G512)*'Assumptions and Catalog'!$H$56+'Assumptions and Catalog'!$E$56+'Assumptions and Catalog'!$F$56,IF(((D512+E512)*C512-G512)&lt;='Assumptions and Catalog'!$C$57,((D512+E512)*C512-G512)*'Assumptions and Catalog'!$H$57+'Assumptions and Catalog'!$E$57+'Assumptions and Catalog'!$F$57,"Out of range")))))))),IF(((D512+E512)*C512-G512)&lt;='Assumptions and Catalog'!$C$60,((D512+E512)*C512-G512)*'Assumptions and Catalog'!$H$60+'Assumptions and Catalog'!$E$60+'Assumptions and Catalog'!$F$60,IF(((D512+E512)*C512-G512)&lt;='Assumptions and Catalog'!$C$61,((D512+E512)*C512-G512)*'Assumptions and Catalog'!$H$61+'Assumptions and Catalog'!$E$61+'Assumptions and Catalog'!$F$61,IF(((D512+E512)*C512-G512)&lt;='Assumptions and Catalog'!$C$62,((D512+E512)*C512-G512)*'Assumptions and Catalog'!$H$62+'Assumptions and Catalog'!$E$62+'Assumptions and Catalog'!$F$62,IF(((D512+E512)*C512-G512)&lt;='Assumptions and Catalog'!$C$63,((D512+E512)*C512-G512)*'Assumptions and Catalog'!$H$63+'Assumptions and Catalog'!$E$63+'Assumptions and Catalog'!$F$63,IF(((D512+E512)*C512-G512)&lt;='Assumptions and Catalog'!$C$64,((D512+E512)*C512-G512)*'Assumptions and Catalog'!$H$64+'Assumptions and Catalog'!$E$64+'Assumptions and Catalog'!$F$64,IF(((D512+E512)*C512-G512)&lt;='Assumptions and Catalog'!$C$65,((D512+E512)*C512-G512)*'Assumptions and Catalog'!$H$65+'Assumptions and Catalog'!$E$65+'Assumptions and Catalog'!$F$65,"Out of range")))))))))*(1+'Assumptions and Catalog'!$C$8)^(A512-1),0)</f>
        <v>6867.22</v>
      </c>
      <c r="R512" s="5" t="n">
        <f>IF(AND('Assumptions and Catalog'!$C$19&gt;0,A512&gt;='Assumptions and Catalog'!$C$19),A512-'Assumptions and Catalog'!$C$19,A512-1)</f>
        <v>8</v>
      </c>
      <c r="S512" s="5" t="n">
        <f>F512+L512-(D512+E512)*C512-J512-K512-IF(D$52&gt;0,'Assumptions and Catalog'!$C$26*C512,0)</f>
        <v>0</v>
      </c>
      <c r="T512" s="5"/>
      <c r="U512" s="5"/>
    </row>
    <row r="513" ht="23.100000381469727" customHeight="1">
      <c r="A513" s="5" t="n">
        <v>9</v>
      </c>
      <c r="B513" s="5" t="n">
        <v>7</v>
      </c>
      <c r="C513" s="5" t="n">
        <f>DAY(DATE('Assumptions and Catalog'!$C$24+A513-1,B513+1,0))</f>
        <v>31</v>
      </c>
      <c r="D513" s="5" t="n">
        <f>IF(ISNUMBER(Inputs!$L$5),Inputs!$L$5*Inputs!$L$6,0)</f>
        <v>40.35</v>
      </c>
      <c r="E513" s="5" t="n">
        <f>IF(ISNUMBER(Inputs!$L$5),Inputs!$L$5-D513,0)</f>
        <v>40.35</v>
      </c>
      <c r="F513" s="5" t="n">
        <f>D$51*'Assumptions and Catalog'!$C$31*C513*(1-'Assumptions and Catalog'!$C$10)^(A513-1)</f>
        <v>0</v>
      </c>
      <c r="G513" s="5" t="n">
        <f>MIN(F513,D513*C513)</f>
        <v>0</v>
      </c>
      <c r="H513" s="5" t="n">
        <f>I513/('Assumptions and Catalog'!$C$11*'Assumptions and Catalog'!$C$12)</f>
        <v>0</v>
      </c>
      <c r="I513" s="5" t="n">
        <f>IF(K$15="Grid cycle",MIN(K$16,D513+E513,P513*'Assumptions and Catalog'!$C$12,D$57*(24-'Assumptions and Catalog'!$C$15),D$56*'Assumptions and Catalog'!$C$15*'Assumptions and Catalog'!$C$11*'Assumptions and Catalog'!$C$12)*C513,0)</f>
        <v>0</v>
      </c>
      <c r="J513" s="5" t="n">
        <f>MAX(F513-G513-0,0)</f>
        <v>0</v>
      </c>
      <c r="K513" s="5" t="n">
        <f>H513-I513</f>
        <v>0</v>
      </c>
      <c r="L513" s="5" t="n">
        <f>(D513+E513)*C513-G513-I513+H513+IF(D$52&gt;0,'Assumptions and Catalog'!$C$26*C513,0)</f>
        <v>2501.7</v>
      </c>
      <c r="M513" s="5" t="n">
        <f>IF(ISNUMBER(Inputs!$L$5),(IF(Inputs!$L$9="Actual flat rate",((D513+E513)*C513)*Inputs!$L$10,IF(Inputs!$C$9="Residential",IF(((D513+E513)*C513)&lt;='Assumptions and Catalog'!$C$50,((D513+E513)*C513)*'Assumptions and Catalog'!$H$50+'Assumptions and Catalog'!$E$50+'Assumptions and Catalog'!$F$50,IF(((D513+E513)*C513)&lt;='Assumptions and Catalog'!$C$51,((D513+E513)*C513)*'Assumptions and Catalog'!$H$51+'Assumptions and Catalog'!$E$51+'Assumptions and Catalog'!$F$51,IF(((D513+E513)*C513)&lt;='Assumptions and Catalog'!$C$52,((D513+E513)*C513)*'Assumptions and Catalog'!$H$52+'Assumptions and Catalog'!$E$52+'Assumptions and Catalog'!$F$52,IF(((D513+E513)*C513)&lt;='Assumptions and Catalog'!$C$53,((D513+E513)*C513)*'Assumptions and Catalog'!$H$53+'Assumptions and Catalog'!$E$53+'Assumptions and Catalog'!$F$53,IF(((D513+E513)*C513)&lt;='Assumptions and Catalog'!$C$54,((D513+E513)*C513)*'Assumptions and Catalog'!$H$54+'Assumptions and Catalog'!$E$54+'Assumptions and Catalog'!$F$54,IF(((D513+E513)*C513)&lt;='Assumptions and Catalog'!$C$55,((D513+E513)*C513)*'Assumptions and Catalog'!$H$55+'Assumptions and Catalog'!$E$55+'Assumptions and Catalog'!$F$55,IF(((D513+E513)*C513)&lt;='Assumptions and Catalog'!$C$56,((D513+E513)*C513)*'Assumptions and Catalog'!$H$56+'Assumptions and Catalog'!$E$56+'Assumptions and Catalog'!$F$56,IF(((D513+E513)*C513)&lt;='Assumptions and Catalog'!$C$57,((D513+E513)*C513)*'Assumptions and Catalog'!$H$57+'Assumptions and Catalog'!$E$57+'Assumptions and Catalog'!$F$57,"Out of range")))))))),IF(((D513+E513)*C513)&lt;='Assumptions and Catalog'!$C$60,((D513+E513)*C513)*'Assumptions and Catalog'!$H$60+'Assumptions and Catalog'!$E$60+'Assumptions and Catalog'!$F$60,IF(((D513+E513)*C513)&lt;='Assumptions and Catalog'!$C$61,((D513+E513)*C513)*'Assumptions and Catalog'!$H$61+'Assumptions and Catalog'!$E$61+'Assumptions and Catalog'!$F$61,IF(((D513+E513)*C513)&lt;='Assumptions and Catalog'!$C$62,((D513+E513)*C513)*'Assumptions and Catalog'!$H$62+'Assumptions and Catalog'!$E$62+'Assumptions and Catalog'!$F$62,IF(((D513+E513)*C513)&lt;='Assumptions and Catalog'!$C$63,((D513+E513)*C513)*'Assumptions and Catalog'!$H$63+'Assumptions and Catalog'!$E$63+'Assumptions and Catalog'!$F$63,IF(((D513+E513)*C513)&lt;='Assumptions and Catalog'!$C$64,((D513+E513)*C513)*'Assumptions and Catalog'!$H$64+'Assumptions and Catalog'!$E$64+'Assumptions and Catalog'!$F$64,IF(((D513+E513)*C513)&lt;='Assumptions and Catalog'!$C$65,((D513+E513)*C513)*'Assumptions and Catalog'!$H$65+'Assumptions and Catalog'!$E$65+'Assumptions and Catalog'!$F$65,"Out of range")))))))))*(1+'Assumptions and Catalog'!$C$8)^(A513-1),0)</f>
        <v>7094.794</v>
      </c>
      <c r="N513" s="5" t="n">
        <f>IF(ISNUMBER(Inputs!$L$5),(IF(Inputs!$L$9="Actual flat rate",L513*Inputs!$L$10,IF(Inputs!$C$9="Residential",IF(L513&lt;='Assumptions and Catalog'!$C$50,L513*'Assumptions and Catalog'!$H$50+'Assumptions and Catalog'!$E$50+'Assumptions and Catalog'!$F$50,IF(L513&lt;='Assumptions and Catalog'!$C$51,L513*'Assumptions and Catalog'!$H$51+'Assumptions and Catalog'!$E$51+'Assumptions and Catalog'!$F$51,IF(L513&lt;='Assumptions and Catalog'!$C$52,L513*'Assumptions and Catalog'!$H$52+'Assumptions and Catalog'!$E$52+'Assumptions and Catalog'!$F$52,IF(L513&lt;='Assumptions and Catalog'!$C$53,L513*'Assumptions and Catalog'!$H$53+'Assumptions and Catalog'!$E$53+'Assumptions and Catalog'!$F$53,IF(L513&lt;='Assumptions and Catalog'!$C$54,L513*'Assumptions and Catalog'!$H$54+'Assumptions and Catalog'!$E$54+'Assumptions and Catalog'!$F$54,IF(L513&lt;='Assumptions and Catalog'!$C$55,L513*'Assumptions and Catalog'!$H$55+'Assumptions and Catalog'!$E$55+'Assumptions and Catalog'!$F$55,IF(L513&lt;='Assumptions and Catalog'!$C$56,L513*'Assumptions and Catalog'!$H$56+'Assumptions and Catalog'!$E$56+'Assumptions and Catalog'!$F$56,IF(L513&lt;='Assumptions and Catalog'!$C$57,L513*'Assumptions and Catalog'!$H$57+'Assumptions and Catalog'!$E$57+'Assumptions and Catalog'!$F$57,"Out of range")))))))),IF(L513&lt;='Assumptions and Catalog'!$C$60,L513*'Assumptions and Catalog'!$H$60+'Assumptions and Catalog'!$E$60+'Assumptions and Catalog'!$F$60,IF(L513&lt;='Assumptions and Catalog'!$C$61,L513*'Assumptions and Catalog'!$H$61+'Assumptions and Catalog'!$E$61+'Assumptions and Catalog'!$F$61,IF(L513&lt;='Assumptions and Catalog'!$C$62,L513*'Assumptions and Catalog'!$H$62+'Assumptions and Catalog'!$E$62+'Assumptions and Catalog'!$F$62,IF(L513&lt;='Assumptions and Catalog'!$C$63,L513*'Assumptions and Catalog'!$H$63+'Assumptions and Catalog'!$E$63+'Assumptions and Catalog'!$F$63,IF(L513&lt;='Assumptions and Catalog'!$C$64,L513*'Assumptions and Catalog'!$H$64+'Assumptions and Catalog'!$E$64+'Assumptions and Catalog'!$F$64,IF(L513&lt;='Assumptions and Catalog'!$C$65,L513*'Assumptions and Catalog'!$H$65+'Assumptions and Catalog'!$E$65+'Assumptions and Catalog'!$F$65,"Out of range")))))))))*(1+'Assumptions and Catalog'!$C$8)^(A513-1),0)</f>
        <v>7094.794</v>
      </c>
      <c r="O513" s="5" t="n">
        <f>M513-N513</f>
        <v>0</v>
      </c>
      <c r="P513" s="5" t="n">
        <f>D$55*(1-K$14)*(1-'Assumptions and Catalog'!$C$23)^R513</f>
        <v>0</v>
      </c>
      <c r="Q513" s="5" t="n">
        <f>IF(ISNUMBER(Inputs!$L$5),(IF(Inputs!$L$9="Actual flat rate",((D513+E513)*C513-G513)*Inputs!$L$10,IF(Inputs!$C$9="Residential",IF(((D513+E513)*C513-G513)&lt;='Assumptions and Catalog'!$C$50,((D513+E513)*C513-G513)*'Assumptions and Catalog'!$H$50+'Assumptions and Catalog'!$E$50+'Assumptions and Catalog'!$F$50,IF(((D513+E513)*C513-G513)&lt;='Assumptions and Catalog'!$C$51,((D513+E513)*C513-G513)*'Assumptions and Catalog'!$H$51+'Assumptions and Catalog'!$E$51+'Assumptions and Catalog'!$F$51,IF(((D513+E513)*C513-G513)&lt;='Assumptions and Catalog'!$C$52,((D513+E513)*C513-G513)*'Assumptions and Catalog'!$H$52+'Assumptions and Catalog'!$E$52+'Assumptions and Catalog'!$F$52,IF(((D513+E513)*C513-G513)&lt;='Assumptions and Catalog'!$C$53,((D513+E513)*C513-G513)*'Assumptions and Catalog'!$H$53+'Assumptions and Catalog'!$E$53+'Assumptions and Catalog'!$F$53,IF(((D513+E513)*C513-G513)&lt;='Assumptions and Catalog'!$C$54,((D513+E513)*C513-G513)*'Assumptions and Catalog'!$H$54+'Assumptions and Catalog'!$E$54+'Assumptions and Catalog'!$F$54,IF(((D513+E513)*C513-G513)&lt;='Assumptions and Catalog'!$C$55,((D513+E513)*C513-G513)*'Assumptions and Catalog'!$H$55+'Assumptions and Catalog'!$E$55+'Assumptions and Catalog'!$F$55,IF(((D513+E513)*C513-G513)&lt;='Assumptions and Catalog'!$C$56,((D513+E513)*C513-G513)*'Assumptions and Catalog'!$H$56+'Assumptions and Catalog'!$E$56+'Assumptions and Catalog'!$F$56,IF(((D513+E513)*C513-G513)&lt;='Assumptions and Catalog'!$C$57,((D513+E513)*C513-G513)*'Assumptions and Catalog'!$H$57+'Assumptions and Catalog'!$E$57+'Assumptions and Catalog'!$F$57,"Out of range")))))))),IF(((D513+E513)*C513-G513)&lt;='Assumptions and Catalog'!$C$60,((D513+E513)*C513-G513)*'Assumptions and Catalog'!$H$60+'Assumptions and Catalog'!$E$60+'Assumptions and Catalog'!$F$60,IF(((D513+E513)*C513-G513)&lt;='Assumptions and Catalog'!$C$61,((D513+E513)*C513-G513)*'Assumptions and Catalog'!$H$61+'Assumptions and Catalog'!$E$61+'Assumptions and Catalog'!$F$61,IF(((D513+E513)*C513-G513)&lt;='Assumptions and Catalog'!$C$62,((D513+E513)*C513-G513)*'Assumptions and Catalog'!$H$62+'Assumptions and Catalog'!$E$62+'Assumptions and Catalog'!$F$62,IF(((D513+E513)*C513-G513)&lt;='Assumptions and Catalog'!$C$63,((D513+E513)*C513-G513)*'Assumptions and Catalog'!$H$63+'Assumptions and Catalog'!$E$63+'Assumptions and Catalog'!$F$63,IF(((D513+E513)*C513-G513)&lt;='Assumptions and Catalog'!$C$64,((D513+E513)*C513-G513)*'Assumptions and Catalog'!$H$64+'Assumptions and Catalog'!$E$64+'Assumptions and Catalog'!$F$64,IF(((D513+E513)*C513-G513)&lt;='Assumptions and Catalog'!$C$65,((D513+E513)*C513-G513)*'Assumptions and Catalog'!$H$65+'Assumptions and Catalog'!$E$65+'Assumptions and Catalog'!$F$65,"Out of range")))))))))*(1+'Assumptions and Catalog'!$C$8)^(A513-1),0)</f>
        <v>7094.794</v>
      </c>
      <c r="R513" s="5" t="n">
        <f>IF(AND('Assumptions and Catalog'!$C$19&gt;0,A513&gt;='Assumptions and Catalog'!$C$19),A513-'Assumptions and Catalog'!$C$19,A513-1)</f>
        <v>8</v>
      </c>
      <c r="S513" s="5" t="n">
        <f>F513+L513-(D513+E513)*C513-J513-K513-IF(D$52&gt;0,'Assumptions and Catalog'!$C$26*C513,0)</f>
        <v>0</v>
      </c>
      <c r="T513" s="5"/>
      <c r="U513" s="5"/>
    </row>
    <row r="514" ht="23.100000381469727" customHeight="1">
      <c r="A514" s="5" t="n">
        <v>9</v>
      </c>
      <c r="B514" s="5" t="n">
        <v>8</v>
      </c>
      <c r="C514" s="5" t="n">
        <f>DAY(DATE('Assumptions and Catalog'!$C$24+A514-1,B514+1,0))</f>
        <v>31</v>
      </c>
      <c r="D514" s="5" t="n">
        <f>IF(ISNUMBER(Inputs!$L$5),Inputs!$L$5*Inputs!$L$6,0)</f>
        <v>40.35</v>
      </c>
      <c r="E514" s="5" t="n">
        <f>IF(ISNUMBER(Inputs!$L$5),Inputs!$L$5-D514,0)</f>
        <v>40.35</v>
      </c>
      <c r="F514" s="5" t="n">
        <f>D$51*'Assumptions and Catalog'!$C$31*C514*(1-'Assumptions and Catalog'!$C$10)^(A514-1)</f>
        <v>0</v>
      </c>
      <c r="G514" s="5" t="n">
        <f>MIN(F514,D514*C514)</f>
        <v>0</v>
      </c>
      <c r="H514" s="5" t="n">
        <f>I514/('Assumptions and Catalog'!$C$11*'Assumptions and Catalog'!$C$12)</f>
        <v>0</v>
      </c>
      <c r="I514" s="5" t="n">
        <f>IF(K$15="Grid cycle",MIN(K$16,D514+E514,P514*'Assumptions and Catalog'!$C$12,D$57*(24-'Assumptions and Catalog'!$C$15),D$56*'Assumptions and Catalog'!$C$15*'Assumptions and Catalog'!$C$11*'Assumptions and Catalog'!$C$12)*C514,0)</f>
        <v>0</v>
      </c>
      <c r="J514" s="5" t="n">
        <f>MAX(F514-G514-0,0)</f>
        <v>0</v>
      </c>
      <c r="K514" s="5" t="n">
        <f>H514-I514</f>
        <v>0</v>
      </c>
      <c r="L514" s="5" t="n">
        <f>(D514+E514)*C514-G514-I514+H514+IF(D$52&gt;0,'Assumptions and Catalog'!$C$26*C514,0)</f>
        <v>2501.7</v>
      </c>
      <c r="M514" s="5" t="n">
        <f>IF(ISNUMBER(Inputs!$L$5),(IF(Inputs!$L$9="Actual flat rate",((D514+E514)*C514)*Inputs!$L$10,IF(Inputs!$C$9="Residential",IF(((D514+E514)*C514)&lt;='Assumptions and Catalog'!$C$50,((D514+E514)*C514)*'Assumptions and Catalog'!$H$50+'Assumptions and Catalog'!$E$50+'Assumptions and Catalog'!$F$50,IF(((D514+E514)*C514)&lt;='Assumptions and Catalog'!$C$51,((D514+E514)*C514)*'Assumptions and Catalog'!$H$51+'Assumptions and Catalog'!$E$51+'Assumptions and Catalog'!$F$51,IF(((D514+E514)*C514)&lt;='Assumptions and Catalog'!$C$52,((D514+E514)*C514)*'Assumptions and Catalog'!$H$52+'Assumptions and Catalog'!$E$52+'Assumptions and Catalog'!$F$52,IF(((D514+E514)*C514)&lt;='Assumptions and Catalog'!$C$53,((D514+E514)*C514)*'Assumptions and Catalog'!$H$53+'Assumptions and Catalog'!$E$53+'Assumptions and Catalog'!$F$53,IF(((D514+E514)*C514)&lt;='Assumptions and Catalog'!$C$54,((D514+E514)*C514)*'Assumptions and Catalog'!$H$54+'Assumptions and Catalog'!$E$54+'Assumptions and Catalog'!$F$54,IF(((D514+E514)*C514)&lt;='Assumptions and Catalog'!$C$55,((D514+E514)*C514)*'Assumptions and Catalog'!$H$55+'Assumptions and Catalog'!$E$55+'Assumptions and Catalog'!$F$55,IF(((D514+E514)*C514)&lt;='Assumptions and Catalog'!$C$56,((D514+E514)*C514)*'Assumptions and Catalog'!$H$56+'Assumptions and Catalog'!$E$56+'Assumptions and Catalog'!$F$56,IF(((D514+E514)*C514)&lt;='Assumptions and Catalog'!$C$57,((D514+E514)*C514)*'Assumptions and Catalog'!$H$57+'Assumptions and Catalog'!$E$57+'Assumptions and Catalog'!$F$57,"Out of range")))))))),IF(((D514+E514)*C514)&lt;='Assumptions and Catalog'!$C$60,((D514+E514)*C514)*'Assumptions and Catalog'!$H$60+'Assumptions and Catalog'!$E$60+'Assumptions and Catalog'!$F$60,IF(((D514+E514)*C514)&lt;='Assumptions and Catalog'!$C$61,((D514+E514)*C514)*'Assumptions and Catalog'!$H$61+'Assumptions and Catalog'!$E$61+'Assumptions and Catalog'!$F$61,IF(((D514+E514)*C514)&lt;='Assumptions and Catalog'!$C$62,((D514+E514)*C514)*'Assumptions and Catalog'!$H$62+'Assumptions and Catalog'!$E$62+'Assumptions and Catalog'!$F$62,IF(((D514+E514)*C514)&lt;='Assumptions and Catalog'!$C$63,((D514+E514)*C514)*'Assumptions and Catalog'!$H$63+'Assumptions and Catalog'!$E$63+'Assumptions and Catalog'!$F$63,IF(((D514+E514)*C514)&lt;='Assumptions and Catalog'!$C$64,((D514+E514)*C514)*'Assumptions and Catalog'!$H$64+'Assumptions and Catalog'!$E$64+'Assumptions and Catalog'!$F$64,IF(((D514+E514)*C514)&lt;='Assumptions and Catalog'!$C$65,((D514+E514)*C514)*'Assumptions and Catalog'!$H$65+'Assumptions and Catalog'!$E$65+'Assumptions and Catalog'!$F$65,"Out of range")))))))))*(1+'Assumptions and Catalog'!$C$8)^(A514-1),0)</f>
        <v>7094.794</v>
      </c>
      <c r="N514" s="5" t="n">
        <f>IF(ISNUMBER(Inputs!$L$5),(IF(Inputs!$L$9="Actual flat rate",L514*Inputs!$L$10,IF(Inputs!$C$9="Residential",IF(L514&lt;='Assumptions and Catalog'!$C$50,L514*'Assumptions and Catalog'!$H$50+'Assumptions and Catalog'!$E$50+'Assumptions and Catalog'!$F$50,IF(L514&lt;='Assumptions and Catalog'!$C$51,L514*'Assumptions and Catalog'!$H$51+'Assumptions and Catalog'!$E$51+'Assumptions and Catalog'!$F$51,IF(L514&lt;='Assumptions and Catalog'!$C$52,L514*'Assumptions and Catalog'!$H$52+'Assumptions and Catalog'!$E$52+'Assumptions and Catalog'!$F$52,IF(L514&lt;='Assumptions and Catalog'!$C$53,L514*'Assumptions and Catalog'!$H$53+'Assumptions and Catalog'!$E$53+'Assumptions and Catalog'!$F$53,IF(L514&lt;='Assumptions and Catalog'!$C$54,L514*'Assumptions and Catalog'!$H$54+'Assumptions and Catalog'!$E$54+'Assumptions and Catalog'!$F$54,IF(L514&lt;='Assumptions and Catalog'!$C$55,L514*'Assumptions and Catalog'!$H$55+'Assumptions and Catalog'!$E$55+'Assumptions and Catalog'!$F$55,IF(L514&lt;='Assumptions and Catalog'!$C$56,L514*'Assumptions and Catalog'!$H$56+'Assumptions and Catalog'!$E$56+'Assumptions and Catalog'!$F$56,IF(L514&lt;='Assumptions and Catalog'!$C$57,L514*'Assumptions and Catalog'!$H$57+'Assumptions and Catalog'!$E$57+'Assumptions and Catalog'!$F$57,"Out of range")))))))),IF(L514&lt;='Assumptions and Catalog'!$C$60,L514*'Assumptions and Catalog'!$H$60+'Assumptions and Catalog'!$E$60+'Assumptions and Catalog'!$F$60,IF(L514&lt;='Assumptions and Catalog'!$C$61,L514*'Assumptions and Catalog'!$H$61+'Assumptions and Catalog'!$E$61+'Assumptions and Catalog'!$F$61,IF(L514&lt;='Assumptions and Catalog'!$C$62,L514*'Assumptions and Catalog'!$H$62+'Assumptions and Catalog'!$E$62+'Assumptions and Catalog'!$F$62,IF(L514&lt;='Assumptions and Catalog'!$C$63,L514*'Assumptions and Catalog'!$H$63+'Assumptions and Catalog'!$E$63+'Assumptions and Catalog'!$F$63,IF(L514&lt;='Assumptions and Catalog'!$C$64,L514*'Assumptions and Catalog'!$H$64+'Assumptions and Catalog'!$E$64+'Assumptions and Catalog'!$F$64,IF(L514&lt;='Assumptions and Catalog'!$C$65,L514*'Assumptions and Catalog'!$H$65+'Assumptions and Catalog'!$E$65+'Assumptions and Catalog'!$F$65,"Out of range")))))))))*(1+'Assumptions and Catalog'!$C$8)^(A514-1),0)</f>
        <v>7094.794</v>
      </c>
      <c r="O514" s="5" t="n">
        <f>M514-N514</f>
        <v>0</v>
      </c>
      <c r="P514" s="5" t="n">
        <f>D$55*(1-K$14)*(1-'Assumptions and Catalog'!$C$23)^R514</f>
        <v>0</v>
      </c>
      <c r="Q514" s="5" t="n">
        <f>IF(ISNUMBER(Inputs!$L$5),(IF(Inputs!$L$9="Actual flat rate",((D514+E514)*C514-G514)*Inputs!$L$10,IF(Inputs!$C$9="Residential",IF(((D514+E514)*C514-G514)&lt;='Assumptions and Catalog'!$C$50,((D514+E514)*C514-G514)*'Assumptions and Catalog'!$H$50+'Assumptions and Catalog'!$E$50+'Assumptions and Catalog'!$F$50,IF(((D514+E514)*C514-G514)&lt;='Assumptions and Catalog'!$C$51,((D514+E514)*C514-G514)*'Assumptions and Catalog'!$H$51+'Assumptions and Catalog'!$E$51+'Assumptions and Catalog'!$F$51,IF(((D514+E514)*C514-G514)&lt;='Assumptions and Catalog'!$C$52,((D514+E514)*C514-G514)*'Assumptions and Catalog'!$H$52+'Assumptions and Catalog'!$E$52+'Assumptions and Catalog'!$F$52,IF(((D514+E514)*C514-G514)&lt;='Assumptions and Catalog'!$C$53,((D514+E514)*C514-G514)*'Assumptions and Catalog'!$H$53+'Assumptions and Catalog'!$E$53+'Assumptions and Catalog'!$F$53,IF(((D514+E514)*C514-G514)&lt;='Assumptions and Catalog'!$C$54,((D514+E514)*C514-G514)*'Assumptions and Catalog'!$H$54+'Assumptions and Catalog'!$E$54+'Assumptions and Catalog'!$F$54,IF(((D514+E514)*C514-G514)&lt;='Assumptions and Catalog'!$C$55,((D514+E514)*C514-G514)*'Assumptions and Catalog'!$H$55+'Assumptions and Catalog'!$E$55+'Assumptions and Catalog'!$F$55,IF(((D514+E514)*C514-G514)&lt;='Assumptions and Catalog'!$C$56,((D514+E514)*C514-G514)*'Assumptions and Catalog'!$H$56+'Assumptions and Catalog'!$E$56+'Assumptions and Catalog'!$F$56,IF(((D514+E514)*C514-G514)&lt;='Assumptions and Catalog'!$C$57,((D514+E514)*C514-G514)*'Assumptions and Catalog'!$H$57+'Assumptions and Catalog'!$E$57+'Assumptions and Catalog'!$F$57,"Out of range")))))))),IF(((D514+E514)*C514-G514)&lt;='Assumptions and Catalog'!$C$60,((D514+E514)*C514-G514)*'Assumptions and Catalog'!$H$60+'Assumptions and Catalog'!$E$60+'Assumptions and Catalog'!$F$60,IF(((D514+E514)*C514-G514)&lt;='Assumptions and Catalog'!$C$61,((D514+E514)*C514-G514)*'Assumptions and Catalog'!$H$61+'Assumptions and Catalog'!$E$61+'Assumptions and Catalog'!$F$61,IF(((D514+E514)*C514-G514)&lt;='Assumptions and Catalog'!$C$62,((D514+E514)*C514-G514)*'Assumptions and Catalog'!$H$62+'Assumptions and Catalog'!$E$62+'Assumptions and Catalog'!$F$62,IF(((D514+E514)*C514-G514)&lt;='Assumptions and Catalog'!$C$63,((D514+E514)*C514-G514)*'Assumptions and Catalog'!$H$63+'Assumptions and Catalog'!$E$63+'Assumptions and Catalog'!$F$63,IF(((D514+E514)*C514-G514)&lt;='Assumptions and Catalog'!$C$64,((D514+E514)*C514-G514)*'Assumptions and Catalog'!$H$64+'Assumptions and Catalog'!$E$64+'Assumptions and Catalog'!$F$64,IF(((D514+E514)*C514-G514)&lt;='Assumptions and Catalog'!$C$65,((D514+E514)*C514-G514)*'Assumptions and Catalog'!$H$65+'Assumptions and Catalog'!$E$65+'Assumptions and Catalog'!$F$65,"Out of range")))))))))*(1+'Assumptions and Catalog'!$C$8)^(A514-1),0)</f>
        <v>7094.794</v>
      </c>
      <c r="R514" s="5" t="n">
        <f>IF(AND('Assumptions and Catalog'!$C$19&gt;0,A514&gt;='Assumptions and Catalog'!$C$19),A514-'Assumptions and Catalog'!$C$19,A514-1)</f>
        <v>8</v>
      </c>
      <c r="S514" s="5" t="n">
        <f>F514+L514-(D514+E514)*C514-J514-K514-IF(D$52&gt;0,'Assumptions and Catalog'!$C$26*C514,0)</f>
        <v>0</v>
      </c>
      <c r="T514" s="5"/>
      <c r="U514" s="5"/>
    </row>
    <row r="515" ht="23.100000381469727" customHeight="1">
      <c r="A515" s="5" t="n">
        <v>9</v>
      </c>
      <c r="B515" s="5" t="n">
        <v>9</v>
      </c>
      <c r="C515" s="5" t="n">
        <f>DAY(DATE('Assumptions and Catalog'!$C$24+A515-1,B515+1,0))</f>
        <v>30</v>
      </c>
      <c r="D515" s="5" t="n">
        <f>IF(ISNUMBER(Inputs!$L$5),Inputs!$L$5*Inputs!$L$6,0)</f>
        <v>40.35</v>
      </c>
      <c r="E515" s="5" t="n">
        <f>IF(ISNUMBER(Inputs!$L$5),Inputs!$L$5-D515,0)</f>
        <v>40.35</v>
      </c>
      <c r="F515" s="5" t="n">
        <f>D$51*'Assumptions and Catalog'!$C$31*C515*(1-'Assumptions and Catalog'!$C$10)^(A515-1)</f>
        <v>0</v>
      </c>
      <c r="G515" s="5" t="n">
        <f>MIN(F515,D515*C515)</f>
        <v>0</v>
      </c>
      <c r="H515" s="5" t="n">
        <f>I515/('Assumptions and Catalog'!$C$11*'Assumptions and Catalog'!$C$12)</f>
        <v>0</v>
      </c>
      <c r="I515" s="5" t="n">
        <f>IF(K$15="Grid cycle",MIN(K$16,D515+E515,P515*'Assumptions and Catalog'!$C$12,D$57*(24-'Assumptions and Catalog'!$C$15),D$56*'Assumptions and Catalog'!$C$15*'Assumptions and Catalog'!$C$11*'Assumptions and Catalog'!$C$12)*C515,0)</f>
        <v>0</v>
      </c>
      <c r="J515" s="5" t="n">
        <f>MAX(F515-G515-0,0)</f>
        <v>0</v>
      </c>
      <c r="K515" s="5" t="n">
        <f>H515-I515</f>
        <v>0</v>
      </c>
      <c r="L515" s="5" t="n">
        <f>(D515+E515)*C515-G515-I515+H515+IF(D$52&gt;0,'Assumptions and Catalog'!$C$26*C515,0)</f>
        <v>2421</v>
      </c>
      <c r="M515" s="5" t="n">
        <f>IF(ISNUMBER(Inputs!$L$5),(IF(Inputs!$L$9="Actual flat rate",((D515+E515)*C515)*Inputs!$L$10,IF(Inputs!$C$9="Residential",IF(((D515+E515)*C515)&lt;='Assumptions and Catalog'!$C$50,((D515+E515)*C515)*'Assumptions and Catalog'!$H$50+'Assumptions and Catalog'!$E$50+'Assumptions and Catalog'!$F$50,IF(((D515+E515)*C515)&lt;='Assumptions and Catalog'!$C$51,((D515+E515)*C515)*'Assumptions and Catalog'!$H$51+'Assumptions and Catalog'!$E$51+'Assumptions and Catalog'!$F$51,IF(((D515+E515)*C515)&lt;='Assumptions and Catalog'!$C$52,((D515+E515)*C515)*'Assumptions and Catalog'!$H$52+'Assumptions and Catalog'!$E$52+'Assumptions and Catalog'!$F$52,IF(((D515+E515)*C515)&lt;='Assumptions and Catalog'!$C$53,((D515+E515)*C515)*'Assumptions and Catalog'!$H$53+'Assumptions and Catalog'!$E$53+'Assumptions and Catalog'!$F$53,IF(((D515+E515)*C515)&lt;='Assumptions and Catalog'!$C$54,((D515+E515)*C515)*'Assumptions and Catalog'!$H$54+'Assumptions and Catalog'!$E$54+'Assumptions and Catalog'!$F$54,IF(((D515+E515)*C515)&lt;='Assumptions and Catalog'!$C$55,((D515+E515)*C515)*'Assumptions and Catalog'!$H$55+'Assumptions and Catalog'!$E$55+'Assumptions and Catalog'!$F$55,IF(((D515+E515)*C515)&lt;='Assumptions and Catalog'!$C$56,((D515+E515)*C515)*'Assumptions and Catalog'!$H$56+'Assumptions and Catalog'!$E$56+'Assumptions and Catalog'!$F$56,IF(((D515+E515)*C515)&lt;='Assumptions and Catalog'!$C$57,((D515+E515)*C515)*'Assumptions and Catalog'!$H$57+'Assumptions and Catalog'!$E$57+'Assumptions and Catalog'!$F$57,"Out of range")))))))),IF(((D515+E515)*C515)&lt;='Assumptions and Catalog'!$C$60,((D515+E515)*C515)*'Assumptions and Catalog'!$H$60+'Assumptions and Catalog'!$E$60+'Assumptions and Catalog'!$F$60,IF(((D515+E515)*C515)&lt;='Assumptions and Catalog'!$C$61,((D515+E515)*C515)*'Assumptions and Catalog'!$H$61+'Assumptions and Catalog'!$E$61+'Assumptions and Catalog'!$F$61,IF(((D515+E515)*C515)&lt;='Assumptions and Catalog'!$C$62,((D515+E515)*C515)*'Assumptions and Catalog'!$H$62+'Assumptions and Catalog'!$E$62+'Assumptions and Catalog'!$F$62,IF(((D515+E515)*C515)&lt;='Assumptions and Catalog'!$C$63,((D515+E515)*C515)*'Assumptions and Catalog'!$H$63+'Assumptions and Catalog'!$E$63+'Assumptions and Catalog'!$F$63,IF(((D515+E515)*C515)&lt;='Assumptions and Catalog'!$C$64,((D515+E515)*C515)*'Assumptions and Catalog'!$H$64+'Assumptions and Catalog'!$E$64+'Assumptions and Catalog'!$F$64,IF(((D515+E515)*C515)&lt;='Assumptions and Catalog'!$C$65,((D515+E515)*C515)*'Assumptions and Catalog'!$H$65+'Assumptions and Catalog'!$E$65+'Assumptions and Catalog'!$F$65,"Out of range")))))))))*(1+'Assumptions and Catalog'!$C$8)^(A515-1),0)</f>
        <v>6867.22</v>
      </c>
      <c r="N515" s="5" t="n">
        <f>IF(ISNUMBER(Inputs!$L$5),(IF(Inputs!$L$9="Actual flat rate",L515*Inputs!$L$10,IF(Inputs!$C$9="Residential",IF(L515&lt;='Assumptions and Catalog'!$C$50,L515*'Assumptions and Catalog'!$H$50+'Assumptions and Catalog'!$E$50+'Assumptions and Catalog'!$F$50,IF(L515&lt;='Assumptions and Catalog'!$C$51,L515*'Assumptions and Catalog'!$H$51+'Assumptions and Catalog'!$E$51+'Assumptions and Catalog'!$F$51,IF(L515&lt;='Assumptions and Catalog'!$C$52,L515*'Assumptions and Catalog'!$H$52+'Assumptions and Catalog'!$E$52+'Assumptions and Catalog'!$F$52,IF(L515&lt;='Assumptions and Catalog'!$C$53,L515*'Assumptions and Catalog'!$H$53+'Assumptions and Catalog'!$E$53+'Assumptions and Catalog'!$F$53,IF(L515&lt;='Assumptions and Catalog'!$C$54,L515*'Assumptions and Catalog'!$H$54+'Assumptions and Catalog'!$E$54+'Assumptions and Catalog'!$F$54,IF(L515&lt;='Assumptions and Catalog'!$C$55,L515*'Assumptions and Catalog'!$H$55+'Assumptions and Catalog'!$E$55+'Assumptions and Catalog'!$F$55,IF(L515&lt;='Assumptions and Catalog'!$C$56,L515*'Assumptions and Catalog'!$H$56+'Assumptions and Catalog'!$E$56+'Assumptions and Catalog'!$F$56,IF(L515&lt;='Assumptions and Catalog'!$C$57,L515*'Assumptions and Catalog'!$H$57+'Assumptions and Catalog'!$E$57+'Assumptions and Catalog'!$F$57,"Out of range")))))))),IF(L515&lt;='Assumptions and Catalog'!$C$60,L515*'Assumptions and Catalog'!$H$60+'Assumptions and Catalog'!$E$60+'Assumptions and Catalog'!$F$60,IF(L515&lt;='Assumptions and Catalog'!$C$61,L515*'Assumptions and Catalog'!$H$61+'Assumptions and Catalog'!$E$61+'Assumptions and Catalog'!$F$61,IF(L515&lt;='Assumptions and Catalog'!$C$62,L515*'Assumptions and Catalog'!$H$62+'Assumptions and Catalog'!$E$62+'Assumptions and Catalog'!$F$62,IF(L515&lt;='Assumptions and Catalog'!$C$63,L515*'Assumptions and Catalog'!$H$63+'Assumptions and Catalog'!$E$63+'Assumptions and Catalog'!$F$63,IF(L515&lt;='Assumptions and Catalog'!$C$64,L515*'Assumptions and Catalog'!$H$64+'Assumptions and Catalog'!$E$64+'Assumptions and Catalog'!$F$64,IF(L515&lt;='Assumptions and Catalog'!$C$65,L515*'Assumptions and Catalog'!$H$65+'Assumptions and Catalog'!$E$65+'Assumptions and Catalog'!$F$65,"Out of range")))))))))*(1+'Assumptions and Catalog'!$C$8)^(A515-1),0)</f>
        <v>6867.22</v>
      </c>
      <c r="O515" s="5" t="n">
        <f>M515-N515</f>
        <v>0</v>
      </c>
      <c r="P515" s="5" t="n">
        <f>D$55*(1-K$14)*(1-'Assumptions and Catalog'!$C$23)^R515</f>
        <v>0</v>
      </c>
      <c r="Q515" s="5" t="n">
        <f>IF(ISNUMBER(Inputs!$L$5),(IF(Inputs!$L$9="Actual flat rate",((D515+E515)*C515-G515)*Inputs!$L$10,IF(Inputs!$C$9="Residential",IF(((D515+E515)*C515-G515)&lt;='Assumptions and Catalog'!$C$50,((D515+E515)*C515-G515)*'Assumptions and Catalog'!$H$50+'Assumptions and Catalog'!$E$50+'Assumptions and Catalog'!$F$50,IF(((D515+E515)*C515-G515)&lt;='Assumptions and Catalog'!$C$51,((D515+E515)*C515-G515)*'Assumptions and Catalog'!$H$51+'Assumptions and Catalog'!$E$51+'Assumptions and Catalog'!$F$51,IF(((D515+E515)*C515-G515)&lt;='Assumptions and Catalog'!$C$52,((D515+E515)*C515-G515)*'Assumptions and Catalog'!$H$52+'Assumptions and Catalog'!$E$52+'Assumptions and Catalog'!$F$52,IF(((D515+E515)*C515-G515)&lt;='Assumptions and Catalog'!$C$53,((D515+E515)*C515-G515)*'Assumptions and Catalog'!$H$53+'Assumptions and Catalog'!$E$53+'Assumptions and Catalog'!$F$53,IF(((D515+E515)*C515-G515)&lt;='Assumptions and Catalog'!$C$54,((D515+E515)*C515-G515)*'Assumptions and Catalog'!$H$54+'Assumptions and Catalog'!$E$54+'Assumptions and Catalog'!$F$54,IF(((D515+E515)*C515-G515)&lt;='Assumptions and Catalog'!$C$55,((D515+E515)*C515-G515)*'Assumptions and Catalog'!$H$55+'Assumptions and Catalog'!$E$55+'Assumptions and Catalog'!$F$55,IF(((D515+E515)*C515-G515)&lt;='Assumptions and Catalog'!$C$56,((D515+E515)*C515-G515)*'Assumptions and Catalog'!$H$56+'Assumptions and Catalog'!$E$56+'Assumptions and Catalog'!$F$56,IF(((D515+E515)*C515-G515)&lt;='Assumptions and Catalog'!$C$57,((D515+E515)*C515-G515)*'Assumptions and Catalog'!$H$57+'Assumptions and Catalog'!$E$57+'Assumptions and Catalog'!$F$57,"Out of range")))))))),IF(((D515+E515)*C515-G515)&lt;='Assumptions and Catalog'!$C$60,((D515+E515)*C515-G515)*'Assumptions and Catalog'!$H$60+'Assumptions and Catalog'!$E$60+'Assumptions and Catalog'!$F$60,IF(((D515+E515)*C515-G515)&lt;='Assumptions and Catalog'!$C$61,((D515+E515)*C515-G515)*'Assumptions and Catalog'!$H$61+'Assumptions and Catalog'!$E$61+'Assumptions and Catalog'!$F$61,IF(((D515+E515)*C515-G515)&lt;='Assumptions and Catalog'!$C$62,((D515+E515)*C515-G515)*'Assumptions and Catalog'!$H$62+'Assumptions and Catalog'!$E$62+'Assumptions and Catalog'!$F$62,IF(((D515+E515)*C515-G515)&lt;='Assumptions and Catalog'!$C$63,((D515+E515)*C515-G515)*'Assumptions and Catalog'!$H$63+'Assumptions and Catalog'!$E$63+'Assumptions and Catalog'!$F$63,IF(((D515+E515)*C515-G515)&lt;='Assumptions and Catalog'!$C$64,((D515+E515)*C515-G515)*'Assumptions and Catalog'!$H$64+'Assumptions and Catalog'!$E$64+'Assumptions and Catalog'!$F$64,IF(((D515+E515)*C515-G515)&lt;='Assumptions and Catalog'!$C$65,((D515+E515)*C515-G515)*'Assumptions and Catalog'!$H$65+'Assumptions and Catalog'!$E$65+'Assumptions and Catalog'!$F$65,"Out of range")))))))))*(1+'Assumptions and Catalog'!$C$8)^(A515-1),0)</f>
        <v>6867.22</v>
      </c>
      <c r="R515" s="5" t="n">
        <f>IF(AND('Assumptions and Catalog'!$C$19&gt;0,A515&gt;='Assumptions and Catalog'!$C$19),A515-'Assumptions and Catalog'!$C$19,A515-1)</f>
        <v>8</v>
      </c>
      <c r="S515" s="5" t="n">
        <f>F515+L515-(D515+E515)*C515-J515-K515-IF(D$52&gt;0,'Assumptions and Catalog'!$C$26*C515,0)</f>
        <v>0</v>
      </c>
      <c r="T515" s="5"/>
      <c r="U515" s="5"/>
    </row>
    <row r="516" ht="23.100000381469727" customHeight="1">
      <c r="A516" s="5" t="n">
        <v>9</v>
      </c>
      <c r="B516" s="5" t="n">
        <v>10</v>
      </c>
      <c r="C516" s="5" t="n">
        <f>DAY(DATE('Assumptions and Catalog'!$C$24+A516-1,B516+1,0))</f>
        <v>31</v>
      </c>
      <c r="D516" s="5" t="n">
        <f>IF(ISNUMBER(Inputs!$L$5),Inputs!$L$5*Inputs!$L$6,0)</f>
        <v>40.35</v>
      </c>
      <c r="E516" s="5" t="n">
        <f>IF(ISNUMBER(Inputs!$L$5),Inputs!$L$5-D516,0)</f>
        <v>40.35</v>
      </c>
      <c r="F516" s="5" t="n">
        <f>D$51*'Assumptions and Catalog'!$C$31*C516*(1-'Assumptions and Catalog'!$C$10)^(A516-1)</f>
        <v>0</v>
      </c>
      <c r="G516" s="5" t="n">
        <f>MIN(F516,D516*C516)</f>
        <v>0</v>
      </c>
      <c r="H516" s="5" t="n">
        <f>I516/('Assumptions and Catalog'!$C$11*'Assumptions and Catalog'!$C$12)</f>
        <v>0</v>
      </c>
      <c r="I516" s="5" t="n">
        <f>IF(K$15="Grid cycle",MIN(K$16,D516+E516,P516*'Assumptions and Catalog'!$C$12,D$57*(24-'Assumptions and Catalog'!$C$15),D$56*'Assumptions and Catalog'!$C$15*'Assumptions and Catalog'!$C$11*'Assumptions and Catalog'!$C$12)*C516,0)</f>
        <v>0</v>
      </c>
      <c r="J516" s="5" t="n">
        <f>MAX(F516-G516-0,0)</f>
        <v>0</v>
      </c>
      <c r="K516" s="5" t="n">
        <f>H516-I516</f>
        <v>0</v>
      </c>
      <c r="L516" s="5" t="n">
        <f>(D516+E516)*C516-G516-I516+H516+IF(D$52&gt;0,'Assumptions and Catalog'!$C$26*C516,0)</f>
        <v>2501.7</v>
      </c>
      <c r="M516" s="5" t="n">
        <f>IF(ISNUMBER(Inputs!$L$5),(IF(Inputs!$L$9="Actual flat rate",((D516+E516)*C516)*Inputs!$L$10,IF(Inputs!$C$9="Residential",IF(((D516+E516)*C516)&lt;='Assumptions and Catalog'!$C$50,((D516+E516)*C516)*'Assumptions and Catalog'!$H$50+'Assumptions and Catalog'!$E$50+'Assumptions and Catalog'!$F$50,IF(((D516+E516)*C516)&lt;='Assumptions and Catalog'!$C$51,((D516+E516)*C516)*'Assumptions and Catalog'!$H$51+'Assumptions and Catalog'!$E$51+'Assumptions and Catalog'!$F$51,IF(((D516+E516)*C516)&lt;='Assumptions and Catalog'!$C$52,((D516+E516)*C516)*'Assumptions and Catalog'!$H$52+'Assumptions and Catalog'!$E$52+'Assumptions and Catalog'!$F$52,IF(((D516+E516)*C516)&lt;='Assumptions and Catalog'!$C$53,((D516+E516)*C516)*'Assumptions and Catalog'!$H$53+'Assumptions and Catalog'!$E$53+'Assumptions and Catalog'!$F$53,IF(((D516+E516)*C516)&lt;='Assumptions and Catalog'!$C$54,((D516+E516)*C516)*'Assumptions and Catalog'!$H$54+'Assumptions and Catalog'!$E$54+'Assumptions and Catalog'!$F$54,IF(((D516+E516)*C516)&lt;='Assumptions and Catalog'!$C$55,((D516+E516)*C516)*'Assumptions and Catalog'!$H$55+'Assumptions and Catalog'!$E$55+'Assumptions and Catalog'!$F$55,IF(((D516+E516)*C516)&lt;='Assumptions and Catalog'!$C$56,((D516+E516)*C516)*'Assumptions and Catalog'!$H$56+'Assumptions and Catalog'!$E$56+'Assumptions and Catalog'!$F$56,IF(((D516+E516)*C516)&lt;='Assumptions and Catalog'!$C$57,((D516+E516)*C516)*'Assumptions and Catalog'!$H$57+'Assumptions and Catalog'!$E$57+'Assumptions and Catalog'!$F$57,"Out of range")))))))),IF(((D516+E516)*C516)&lt;='Assumptions and Catalog'!$C$60,((D516+E516)*C516)*'Assumptions and Catalog'!$H$60+'Assumptions and Catalog'!$E$60+'Assumptions and Catalog'!$F$60,IF(((D516+E516)*C516)&lt;='Assumptions and Catalog'!$C$61,((D516+E516)*C516)*'Assumptions and Catalog'!$H$61+'Assumptions and Catalog'!$E$61+'Assumptions and Catalog'!$F$61,IF(((D516+E516)*C516)&lt;='Assumptions and Catalog'!$C$62,((D516+E516)*C516)*'Assumptions and Catalog'!$H$62+'Assumptions and Catalog'!$E$62+'Assumptions and Catalog'!$F$62,IF(((D516+E516)*C516)&lt;='Assumptions and Catalog'!$C$63,((D516+E516)*C516)*'Assumptions and Catalog'!$H$63+'Assumptions and Catalog'!$E$63+'Assumptions and Catalog'!$F$63,IF(((D516+E516)*C516)&lt;='Assumptions and Catalog'!$C$64,((D516+E516)*C516)*'Assumptions and Catalog'!$H$64+'Assumptions and Catalog'!$E$64+'Assumptions and Catalog'!$F$64,IF(((D516+E516)*C516)&lt;='Assumptions and Catalog'!$C$65,((D516+E516)*C516)*'Assumptions and Catalog'!$H$65+'Assumptions and Catalog'!$E$65+'Assumptions and Catalog'!$F$65,"Out of range")))))))))*(1+'Assumptions and Catalog'!$C$8)^(A516-1),0)</f>
        <v>7094.794</v>
      </c>
      <c r="N516" s="5" t="n">
        <f>IF(ISNUMBER(Inputs!$L$5),(IF(Inputs!$L$9="Actual flat rate",L516*Inputs!$L$10,IF(Inputs!$C$9="Residential",IF(L516&lt;='Assumptions and Catalog'!$C$50,L516*'Assumptions and Catalog'!$H$50+'Assumptions and Catalog'!$E$50+'Assumptions and Catalog'!$F$50,IF(L516&lt;='Assumptions and Catalog'!$C$51,L516*'Assumptions and Catalog'!$H$51+'Assumptions and Catalog'!$E$51+'Assumptions and Catalog'!$F$51,IF(L516&lt;='Assumptions and Catalog'!$C$52,L516*'Assumptions and Catalog'!$H$52+'Assumptions and Catalog'!$E$52+'Assumptions and Catalog'!$F$52,IF(L516&lt;='Assumptions and Catalog'!$C$53,L516*'Assumptions and Catalog'!$H$53+'Assumptions and Catalog'!$E$53+'Assumptions and Catalog'!$F$53,IF(L516&lt;='Assumptions and Catalog'!$C$54,L516*'Assumptions and Catalog'!$H$54+'Assumptions and Catalog'!$E$54+'Assumptions and Catalog'!$F$54,IF(L516&lt;='Assumptions and Catalog'!$C$55,L516*'Assumptions and Catalog'!$H$55+'Assumptions and Catalog'!$E$55+'Assumptions and Catalog'!$F$55,IF(L516&lt;='Assumptions and Catalog'!$C$56,L516*'Assumptions and Catalog'!$H$56+'Assumptions and Catalog'!$E$56+'Assumptions and Catalog'!$F$56,IF(L516&lt;='Assumptions and Catalog'!$C$57,L516*'Assumptions and Catalog'!$H$57+'Assumptions and Catalog'!$E$57+'Assumptions and Catalog'!$F$57,"Out of range")))))))),IF(L516&lt;='Assumptions and Catalog'!$C$60,L516*'Assumptions and Catalog'!$H$60+'Assumptions and Catalog'!$E$60+'Assumptions and Catalog'!$F$60,IF(L516&lt;='Assumptions and Catalog'!$C$61,L516*'Assumptions and Catalog'!$H$61+'Assumptions and Catalog'!$E$61+'Assumptions and Catalog'!$F$61,IF(L516&lt;='Assumptions and Catalog'!$C$62,L516*'Assumptions and Catalog'!$H$62+'Assumptions and Catalog'!$E$62+'Assumptions and Catalog'!$F$62,IF(L516&lt;='Assumptions and Catalog'!$C$63,L516*'Assumptions and Catalog'!$H$63+'Assumptions and Catalog'!$E$63+'Assumptions and Catalog'!$F$63,IF(L516&lt;='Assumptions and Catalog'!$C$64,L516*'Assumptions and Catalog'!$H$64+'Assumptions and Catalog'!$E$64+'Assumptions and Catalog'!$F$64,IF(L516&lt;='Assumptions and Catalog'!$C$65,L516*'Assumptions and Catalog'!$H$65+'Assumptions and Catalog'!$E$65+'Assumptions and Catalog'!$F$65,"Out of range")))))))))*(1+'Assumptions and Catalog'!$C$8)^(A516-1),0)</f>
        <v>7094.794</v>
      </c>
      <c r="O516" s="5" t="n">
        <f>M516-N516</f>
        <v>0</v>
      </c>
      <c r="P516" s="5" t="n">
        <f>D$55*(1-K$14)*(1-'Assumptions and Catalog'!$C$23)^R516</f>
        <v>0</v>
      </c>
      <c r="Q516" s="5" t="n">
        <f>IF(ISNUMBER(Inputs!$L$5),(IF(Inputs!$L$9="Actual flat rate",((D516+E516)*C516-G516)*Inputs!$L$10,IF(Inputs!$C$9="Residential",IF(((D516+E516)*C516-G516)&lt;='Assumptions and Catalog'!$C$50,((D516+E516)*C516-G516)*'Assumptions and Catalog'!$H$50+'Assumptions and Catalog'!$E$50+'Assumptions and Catalog'!$F$50,IF(((D516+E516)*C516-G516)&lt;='Assumptions and Catalog'!$C$51,((D516+E516)*C516-G516)*'Assumptions and Catalog'!$H$51+'Assumptions and Catalog'!$E$51+'Assumptions and Catalog'!$F$51,IF(((D516+E516)*C516-G516)&lt;='Assumptions and Catalog'!$C$52,((D516+E516)*C516-G516)*'Assumptions and Catalog'!$H$52+'Assumptions and Catalog'!$E$52+'Assumptions and Catalog'!$F$52,IF(((D516+E516)*C516-G516)&lt;='Assumptions and Catalog'!$C$53,((D516+E516)*C516-G516)*'Assumptions and Catalog'!$H$53+'Assumptions and Catalog'!$E$53+'Assumptions and Catalog'!$F$53,IF(((D516+E516)*C516-G516)&lt;='Assumptions and Catalog'!$C$54,((D516+E516)*C516-G516)*'Assumptions and Catalog'!$H$54+'Assumptions and Catalog'!$E$54+'Assumptions and Catalog'!$F$54,IF(((D516+E516)*C516-G516)&lt;='Assumptions and Catalog'!$C$55,((D516+E516)*C516-G516)*'Assumptions and Catalog'!$H$55+'Assumptions and Catalog'!$E$55+'Assumptions and Catalog'!$F$55,IF(((D516+E516)*C516-G516)&lt;='Assumptions and Catalog'!$C$56,((D516+E516)*C516-G516)*'Assumptions and Catalog'!$H$56+'Assumptions and Catalog'!$E$56+'Assumptions and Catalog'!$F$56,IF(((D516+E516)*C516-G516)&lt;='Assumptions and Catalog'!$C$57,((D516+E516)*C516-G516)*'Assumptions and Catalog'!$H$57+'Assumptions and Catalog'!$E$57+'Assumptions and Catalog'!$F$57,"Out of range")))))))),IF(((D516+E516)*C516-G516)&lt;='Assumptions and Catalog'!$C$60,((D516+E516)*C516-G516)*'Assumptions and Catalog'!$H$60+'Assumptions and Catalog'!$E$60+'Assumptions and Catalog'!$F$60,IF(((D516+E516)*C516-G516)&lt;='Assumptions and Catalog'!$C$61,((D516+E516)*C516-G516)*'Assumptions and Catalog'!$H$61+'Assumptions and Catalog'!$E$61+'Assumptions and Catalog'!$F$61,IF(((D516+E516)*C516-G516)&lt;='Assumptions and Catalog'!$C$62,((D516+E516)*C516-G516)*'Assumptions and Catalog'!$H$62+'Assumptions and Catalog'!$E$62+'Assumptions and Catalog'!$F$62,IF(((D516+E516)*C516-G516)&lt;='Assumptions and Catalog'!$C$63,((D516+E516)*C516-G516)*'Assumptions and Catalog'!$H$63+'Assumptions and Catalog'!$E$63+'Assumptions and Catalog'!$F$63,IF(((D516+E516)*C516-G516)&lt;='Assumptions and Catalog'!$C$64,((D516+E516)*C516-G516)*'Assumptions and Catalog'!$H$64+'Assumptions and Catalog'!$E$64+'Assumptions and Catalog'!$F$64,IF(((D516+E516)*C516-G516)&lt;='Assumptions and Catalog'!$C$65,((D516+E516)*C516-G516)*'Assumptions and Catalog'!$H$65+'Assumptions and Catalog'!$E$65+'Assumptions and Catalog'!$F$65,"Out of range")))))))))*(1+'Assumptions and Catalog'!$C$8)^(A516-1),0)</f>
        <v>7094.794</v>
      </c>
      <c r="R516" s="5" t="n">
        <f>IF(AND('Assumptions and Catalog'!$C$19&gt;0,A516&gt;='Assumptions and Catalog'!$C$19),A516-'Assumptions and Catalog'!$C$19,A516-1)</f>
        <v>8</v>
      </c>
      <c r="S516" s="5" t="n">
        <f>F516+L516-(D516+E516)*C516-J516-K516-IF(D$52&gt;0,'Assumptions and Catalog'!$C$26*C516,0)</f>
        <v>0</v>
      </c>
      <c r="T516" s="5"/>
      <c r="U516" s="5"/>
    </row>
    <row r="517" ht="23.100000381469727" customHeight="1">
      <c r="A517" s="5" t="n">
        <v>9</v>
      </c>
      <c r="B517" s="5" t="n">
        <v>11</v>
      </c>
      <c r="C517" s="5" t="n">
        <f>DAY(DATE('Assumptions and Catalog'!$C$24+A517-1,B517+1,0))</f>
        <v>30</v>
      </c>
      <c r="D517" s="5" t="n">
        <f>IF(ISNUMBER(Inputs!$L$5),Inputs!$L$5*Inputs!$L$6,0)</f>
        <v>40.35</v>
      </c>
      <c r="E517" s="5" t="n">
        <f>IF(ISNUMBER(Inputs!$L$5),Inputs!$L$5-D517,0)</f>
        <v>40.35</v>
      </c>
      <c r="F517" s="5" t="n">
        <f>D$51*'Assumptions and Catalog'!$C$31*C517*(1-'Assumptions and Catalog'!$C$10)^(A517-1)</f>
        <v>0</v>
      </c>
      <c r="G517" s="5" t="n">
        <f>MIN(F517,D517*C517)</f>
        <v>0</v>
      </c>
      <c r="H517" s="5" t="n">
        <f>I517/('Assumptions and Catalog'!$C$11*'Assumptions and Catalog'!$C$12)</f>
        <v>0</v>
      </c>
      <c r="I517" s="5" t="n">
        <f>IF(K$15="Grid cycle",MIN(K$16,D517+E517,P517*'Assumptions and Catalog'!$C$12,D$57*(24-'Assumptions and Catalog'!$C$15),D$56*'Assumptions and Catalog'!$C$15*'Assumptions and Catalog'!$C$11*'Assumptions and Catalog'!$C$12)*C517,0)</f>
        <v>0</v>
      </c>
      <c r="J517" s="5" t="n">
        <f>MAX(F517-G517-0,0)</f>
        <v>0</v>
      </c>
      <c r="K517" s="5" t="n">
        <f>H517-I517</f>
        <v>0</v>
      </c>
      <c r="L517" s="5" t="n">
        <f>(D517+E517)*C517-G517-I517+H517+IF(D$52&gt;0,'Assumptions and Catalog'!$C$26*C517,0)</f>
        <v>2421</v>
      </c>
      <c r="M517" s="5" t="n">
        <f>IF(ISNUMBER(Inputs!$L$5),(IF(Inputs!$L$9="Actual flat rate",((D517+E517)*C517)*Inputs!$L$10,IF(Inputs!$C$9="Residential",IF(((D517+E517)*C517)&lt;='Assumptions and Catalog'!$C$50,((D517+E517)*C517)*'Assumptions and Catalog'!$H$50+'Assumptions and Catalog'!$E$50+'Assumptions and Catalog'!$F$50,IF(((D517+E517)*C517)&lt;='Assumptions and Catalog'!$C$51,((D517+E517)*C517)*'Assumptions and Catalog'!$H$51+'Assumptions and Catalog'!$E$51+'Assumptions and Catalog'!$F$51,IF(((D517+E517)*C517)&lt;='Assumptions and Catalog'!$C$52,((D517+E517)*C517)*'Assumptions and Catalog'!$H$52+'Assumptions and Catalog'!$E$52+'Assumptions and Catalog'!$F$52,IF(((D517+E517)*C517)&lt;='Assumptions and Catalog'!$C$53,((D517+E517)*C517)*'Assumptions and Catalog'!$H$53+'Assumptions and Catalog'!$E$53+'Assumptions and Catalog'!$F$53,IF(((D517+E517)*C517)&lt;='Assumptions and Catalog'!$C$54,((D517+E517)*C517)*'Assumptions and Catalog'!$H$54+'Assumptions and Catalog'!$E$54+'Assumptions and Catalog'!$F$54,IF(((D517+E517)*C517)&lt;='Assumptions and Catalog'!$C$55,((D517+E517)*C517)*'Assumptions and Catalog'!$H$55+'Assumptions and Catalog'!$E$55+'Assumptions and Catalog'!$F$55,IF(((D517+E517)*C517)&lt;='Assumptions and Catalog'!$C$56,((D517+E517)*C517)*'Assumptions and Catalog'!$H$56+'Assumptions and Catalog'!$E$56+'Assumptions and Catalog'!$F$56,IF(((D517+E517)*C517)&lt;='Assumptions and Catalog'!$C$57,((D517+E517)*C517)*'Assumptions and Catalog'!$H$57+'Assumptions and Catalog'!$E$57+'Assumptions and Catalog'!$F$57,"Out of range")))))))),IF(((D517+E517)*C517)&lt;='Assumptions and Catalog'!$C$60,((D517+E517)*C517)*'Assumptions and Catalog'!$H$60+'Assumptions and Catalog'!$E$60+'Assumptions and Catalog'!$F$60,IF(((D517+E517)*C517)&lt;='Assumptions and Catalog'!$C$61,((D517+E517)*C517)*'Assumptions and Catalog'!$H$61+'Assumptions and Catalog'!$E$61+'Assumptions and Catalog'!$F$61,IF(((D517+E517)*C517)&lt;='Assumptions and Catalog'!$C$62,((D517+E517)*C517)*'Assumptions and Catalog'!$H$62+'Assumptions and Catalog'!$E$62+'Assumptions and Catalog'!$F$62,IF(((D517+E517)*C517)&lt;='Assumptions and Catalog'!$C$63,((D517+E517)*C517)*'Assumptions and Catalog'!$H$63+'Assumptions and Catalog'!$E$63+'Assumptions and Catalog'!$F$63,IF(((D517+E517)*C517)&lt;='Assumptions and Catalog'!$C$64,((D517+E517)*C517)*'Assumptions and Catalog'!$H$64+'Assumptions and Catalog'!$E$64+'Assumptions and Catalog'!$F$64,IF(((D517+E517)*C517)&lt;='Assumptions and Catalog'!$C$65,((D517+E517)*C517)*'Assumptions and Catalog'!$H$65+'Assumptions and Catalog'!$E$65+'Assumptions and Catalog'!$F$65,"Out of range")))))))))*(1+'Assumptions and Catalog'!$C$8)^(A517-1),0)</f>
        <v>6867.22</v>
      </c>
      <c r="N517" s="5" t="n">
        <f>IF(ISNUMBER(Inputs!$L$5),(IF(Inputs!$L$9="Actual flat rate",L517*Inputs!$L$10,IF(Inputs!$C$9="Residential",IF(L517&lt;='Assumptions and Catalog'!$C$50,L517*'Assumptions and Catalog'!$H$50+'Assumptions and Catalog'!$E$50+'Assumptions and Catalog'!$F$50,IF(L517&lt;='Assumptions and Catalog'!$C$51,L517*'Assumptions and Catalog'!$H$51+'Assumptions and Catalog'!$E$51+'Assumptions and Catalog'!$F$51,IF(L517&lt;='Assumptions and Catalog'!$C$52,L517*'Assumptions and Catalog'!$H$52+'Assumptions and Catalog'!$E$52+'Assumptions and Catalog'!$F$52,IF(L517&lt;='Assumptions and Catalog'!$C$53,L517*'Assumptions and Catalog'!$H$53+'Assumptions and Catalog'!$E$53+'Assumptions and Catalog'!$F$53,IF(L517&lt;='Assumptions and Catalog'!$C$54,L517*'Assumptions and Catalog'!$H$54+'Assumptions and Catalog'!$E$54+'Assumptions and Catalog'!$F$54,IF(L517&lt;='Assumptions and Catalog'!$C$55,L517*'Assumptions and Catalog'!$H$55+'Assumptions and Catalog'!$E$55+'Assumptions and Catalog'!$F$55,IF(L517&lt;='Assumptions and Catalog'!$C$56,L517*'Assumptions and Catalog'!$H$56+'Assumptions and Catalog'!$E$56+'Assumptions and Catalog'!$F$56,IF(L517&lt;='Assumptions and Catalog'!$C$57,L517*'Assumptions and Catalog'!$H$57+'Assumptions and Catalog'!$E$57+'Assumptions and Catalog'!$F$57,"Out of range")))))))),IF(L517&lt;='Assumptions and Catalog'!$C$60,L517*'Assumptions and Catalog'!$H$60+'Assumptions and Catalog'!$E$60+'Assumptions and Catalog'!$F$60,IF(L517&lt;='Assumptions and Catalog'!$C$61,L517*'Assumptions and Catalog'!$H$61+'Assumptions and Catalog'!$E$61+'Assumptions and Catalog'!$F$61,IF(L517&lt;='Assumptions and Catalog'!$C$62,L517*'Assumptions and Catalog'!$H$62+'Assumptions and Catalog'!$E$62+'Assumptions and Catalog'!$F$62,IF(L517&lt;='Assumptions and Catalog'!$C$63,L517*'Assumptions and Catalog'!$H$63+'Assumptions and Catalog'!$E$63+'Assumptions and Catalog'!$F$63,IF(L517&lt;='Assumptions and Catalog'!$C$64,L517*'Assumptions and Catalog'!$H$64+'Assumptions and Catalog'!$E$64+'Assumptions and Catalog'!$F$64,IF(L517&lt;='Assumptions and Catalog'!$C$65,L517*'Assumptions and Catalog'!$H$65+'Assumptions and Catalog'!$E$65+'Assumptions and Catalog'!$F$65,"Out of range")))))))))*(1+'Assumptions and Catalog'!$C$8)^(A517-1),0)</f>
        <v>6867.22</v>
      </c>
      <c r="O517" s="5" t="n">
        <f>M517-N517</f>
        <v>0</v>
      </c>
      <c r="P517" s="5" t="n">
        <f>D$55*(1-K$14)*(1-'Assumptions and Catalog'!$C$23)^R517</f>
        <v>0</v>
      </c>
      <c r="Q517" s="5" t="n">
        <f>IF(ISNUMBER(Inputs!$L$5),(IF(Inputs!$L$9="Actual flat rate",((D517+E517)*C517-G517)*Inputs!$L$10,IF(Inputs!$C$9="Residential",IF(((D517+E517)*C517-G517)&lt;='Assumptions and Catalog'!$C$50,((D517+E517)*C517-G517)*'Assumptions and Catalog'!$H$50+'Assumptions and Catalog'!$E$50+'Assumptions and Catalog'!$F$50,IF(((D517+E517)*C517-G517)&lt;='Assumptions and Catalog'!$C$51,((D517+E517)*C517-G517)*'Assumptions and Catalog'!$H$51+'Assumptions and Catalog'!$E$51+'Assumptions and Catalog'!$F$51,IF(((D517+E517)*C517-G517)&lt;='Assumptions and Catalog'!$C$52,((D517+E517)*C517-G517)*'Assumptions and Catalog'!$H$52+'Assumptions and Catalog'!$E$52+'Assumptions and Catalog'!$F$52,IF(((D517+E517)*C517-G517)&lt;='Assumptions and Catalog'!$C$53,((D517+E517)*C517-G517)*'Assumptions and Catalog'!$H$53+'Assumptions and Catalog'!$E$53+'Assumptions and Catalog'!$F$53,IF(((D517+E517)*C517-G517)&lt;='Assumptions and Catalog'!$C$54,((D517+E517)*C517-G517)*'Assumptions and Catalog'!$H$54+'Assumptions and Catalog'!$E$54+'Assumptions and Catalog'!$F$54,IF(((D517+E517)*C517-G517)&lt;='Assumptions and Catalog'!$C$55,((D517+E517)*C517-G517)*'Assumptions and Catalog'!$H$55+'Assumptions and Catalog'!$E$55+'Assumptions and Catalog'!$F$55,IF(((D517+E517)*C517-G517)&lt;='Assumptions and Catalog'!$C$56,((D517+E517)*C517-G517)*'Assumptions and Catalog'!$H$56+'Assumptions and Catalog'!$E$56+'Assumptions and Catalog'!$F$56,IF(((D517+E517)*C517-G517)&lt;='Assumptions and Catalog'!$C$57,((D517+E517)*C517-G517)*'Assumptions and Catalog'!$H$57+'Assumptions and Catalog'!$E$57+'Assumptions and Catalog'!$F$57,"Out of range")))))))),IF(((D517+E517)*C517-G517)&lt;='Assumptions and Catalog'!$C$60,((D517+E517)*C517-G517)*'Assumptions and Catalog'!$H$60+'Assumptions and Catalog'!$E$60+'Assumptions and Catalog'!$F$60,IF(((D517+E517)*C517-G517)&lt;='Assumptions and Catalog'!$C$61,((D517+E517)*C517-G517)*'Assumptions and Catalog'!$H$61+'Assumptions and Catalog'!$E$61+'Assumptions and Catalog'!$F$61,IF(((D517+E517)*C517-G517)&lt;='Assumptions and Catalog'!$C$62,((D517+E517)*C517-G517)*'Assumptions and Catalog'!$H$62+'Assumptions and Catalog'!$E$62+'Assumptions and Catalog'!$F$62,IF(((D517+E517)*C517-G517)&lt;='Assumptions and Catalog'!$C$63,((D517+E517)*C517-G517)*'Assumptions and Catalog'!$H$63+'Assumptions and Catalog'!$E$63+'Assumptions and Catalog'!$F$63,IF(((D517+E517)*C517-G517)&lt;='Assumptions and Catalog'!$C$64,((D517+E517)*C517-G517)*'Assumptions and Catalog'!$H$64+'Assumptions and Catalog'!$E$64+'Assumptions and Catalog'!$F$64,IF(((D517+E517)*C517-G517)&lt;='Assumptions and Catalog'!$C$65,((D517+E517)*C517-G517)*'Assumptions and Catalog'!$H$65+'Assumptions and Catalog'!$E$65+'Assumptions and Catalog'!$F$65,"Out of range")))))))))*(1+'Assumptions and Catalog'!$C$8)^(A517-1),0)</f>
        <v>6867.22</v>
      </c>
      <c r="R517" s="5" t="n">
        <f>IF(AND('Assumptions and Catalog'!$C$19&gt;0,A517&gt;='Assumptions and Catalog'!$C$19),A517-'Assumptions and Catalog'!$C$19,A517-1)</f>
        <v>8</v>
      </c>
      <c r="S517" s="5" t="n">
        <f>F517+L517-(D517+E517)*C517-J517-K517-IF(D$52&gt;0,'Assumptions and Catalog'!$C$26*C517,0)</f>
        <v>0</v>
      </c>
      <c r="T517" s="5"/>
      <c r="U517" s="5"/>
    </row>
    <row r="518" ht="23.100000381469727" customHeight="1">
      <c r="A518" s="5" t="n">
        <v>9</v>
      </c>
      <c r="B518" s="5" t="n">
        <v>12</v>
      </c>
      <c r="C518" s="5" t="n">
        <f>DAY(DATE('Assumptions and Catalog'!$C$24+A518-1,B518+1,0))</f>
        <v>31</v>
      </c>
      <c r="D518" s="5" t="n">
        <f>IF(ISNUMBER(Inputs!$L$5),Inputs!$L$5*Inputs!$L$6,0)</f>
        <v>40.35</v>
      </c>
      <c r="E518" s="5" t="n">
        <f>IF(ISNUMBER(Inputs!$L$5),Inputs!$L$5-D518,0)</f>
        <v>40.35</v>
      </c>
      <c r="F518" s="5" t="n">
        <f>D$51*'Assumptions and Catalog'!$C$31*C518*(1-'Assumptions and Catalog'!$C$10)^(A518-1)</f>
        <v>0</v>
      </c>
      <c r="G518" s="5" t="n">
        <f>MIN(F518,D518*C518)</f>
        <v>0</v>
      </c>
      <c r="H518" s="5" t="n">
        <f>I518/('Assumptions and Catalog'!$C$11*'Assumptions and Catalog'!$C$12)</f>
        <v>0</v>
      </c>
      <c r="I518" s="5" t="n">
        <f>IF(K$15="Grid cycle",MIN(K$16,D518+E518,P518*'Assumptions and Catalog'!$C$12,D$57*(24-'Assumptions and Catalog'!$C$15),D$56*'Assumptions and Catalog'!$C$15*'Assumptions and Catalog'!$C$11*'Assumptions and Catalog'!$C$12)*C518,0)</f>
        <v>0</v>
      </c>
      <c r="J518" s="5" t="n">
        <f>MAX(F518-G518-0,0)</f>
        <v>0</v>
      </c>
      <c r="K518" s="5" t="n">
        <f>H518-I518</f>
        <v>0</v>
      </c>
      <c r="L518" s="5" t="n">
        <f>(D518+E518)*C518-G518-I518+H518+IF(D$52&gt;0,'Assumptions and Catalog'!$C$26*C518,0)</f>
        <v>2501.7</v>
      </c>
      <c r="M518" s="5" t="n">
        <f>IF(ISNUMBER(Inputs!$L$5),(IF(Inputs!$L$9="Actual flat rate",((D518+E518)*C518)*Inputs!$L$10,IF(Inputs!$C$9="Residential",IF(((D518+E518)*C518)&lt;='Assumptions and Catalog'!$C$50,((D518+E518)*C518)*'Assumptions and Catalog'!$H$50+'Assumptions and Catalog'!$E$50+'Assumptions and Catalog'!$F$50,IF(((D518+E518)*C518)&lt;='Assumptions and Catalog'!$C$51,((D518+E518)*C518)*'Assumptions and Catalog'!$H$51+'Assumptions and Catalog'!$E$51+'Assumptions and Catalog'!$F$51,IF(((D518+E518)*C518)&lt;='Assumptions and Catalog'!$C$52,((D518+E518)*C518)*'Assumptions and Catalog'!$H$52+'Assumptions and Catalog'!$E$52+'Assumptions and Catalog'!$F$52,IF(((D518+E518)*C518)&lt;='Assumptions and Catalog'!$C$53,((D518+E518)*C518)*'Assumptions and Catalog'!$H$53+'Assumptions and Catalog'!$E$53+'Assumptions and Catalog'!$F$53,IF(((D518+E518)*C518)&lt;='Assumptions and Catalog'!$C$54,((D518+E518)*C518)*'Assumptions and Catalog'!$H$54+'Assumptions and Catalog'!$E$54+'Assumptions and Catalog'!$F$54,IF(((D518+E518)*C518)&lt;='Assumptions and Catalog'!$C$55,((D518+E518)*C518)*'Assumptions and Catalog'!$H$55+'Assumptions and Catalog'!$E$55+'Assumptions and Catalog'!$F$55,IF(((D518+E518)*C518)&lt;='Assumptions and Catalog'!$C$56,((D518+E518)*C518)*'Assumptions and Catalog'!$H$56+'Assumptions and Catalog'!$E$56+'Assumptions and Catalog'!$F$56,IF(((D518+E518)*C518)&lt;='Assumptions and Catalog'!$C$57,((D518+E518)*C518)*'Assumptions and Catalog'!$H$57+'Assumptions and Catalog'!$E$57+'Assumptions and Catalog'!$F$57,"Out of range")))))))),IF(((D518+E518)*C518)&lt;='Assumptions and Catalog'!$C$60,((D518+E518)*C518)*'Assumptions and Catalog'!$H$60+'Assumptions and Catalog'!$E$60+'Assumptions and Catalog'!$F$60,IF(((D518+E518)*C518)&lt;='Assumptions and Catalog'!$C$61,((D518+E518)*C518)*'Assumptions and Catalog'!$H$61+'Assumptions and Catalog'!$E$61+'Assumptions and Catalog'!$F$61,IF(((D518+E518)*C518)&lt;='Assumptions and Catalog'!$C$62,((D518+E518)*C518)*'Assumptions and Catalog'!$H$62+'Assumptions and Catalog'!$E$62+'Assumptions and Catalog'!$F$62,IF(((D518+E518)*C518)&lt;='Assumptions and Catalog'!$C$63,((D518+E518)*C518)*'Assumptions and Catalog'!$H$63+'Assumptions and Catalog'!$E$63+'Assumptions and Catalog'!$F$63,IF(((D518+E518)*C518)&lt;='Assumptions and Catalog'!$C$64,((D518+E518)*C518)*'Assumptions and Catalog'!$H$64+'Assumptions and Catalog'!$E$64+'Assumptions and Catalog'!$F$64,IF(((D518+E518)*C518)&lt;='Assumptions and Catalog'!$C$65,((D518+E518)*C518)*'Assumptions and Catalog'!$H$65+'Assumptions and Catalog'!$E$65+'Assumptions and Catalog'!$F$65,"Out of range")))))))))*(1+'Assumptions and Catalog'!$C$8)^(A518-1),0)</f>
        <v>7094.794</v>
      </c>
      <c r="N518" s="5" t="n">
        <f>IF(ISNUMBER(Inputs!$L$5),(IF(Inputs!$L$9="Actual flat rate",L518*Inputs!$L$10,IF(Inputs!$C$9="Residential",IF(L518&lt;='Assumptions and Catalog'!$C$50,L518*'Assumptions and Catalog'!$H$50+'Assumptions and Catalog'!$E$50+'Assumptions and Catalog'!$F$50,IF(L518&lt;='Assumptions and Catalog'!$C$51,L518*'Assumptions and Catalog'!$H$51+'Assumptions and Catalog'!$E$51+'Assumptions and Catalog'!$F$51,IF(L518&lt;='Assumptions and Catalog'!$C$52,L518*'Assumptions and Catalog'!$H$52+'Assumptions and Catalog'!$E$52+'Assumptions and Catalog'!$F$52,IF(L518&lt;='Assumptions and Catalog'!$C$53,L518*'Assumptions and Catalog'!$H$53+'Assumptions and Catalog'!$E$53+'Assumptions and Catalog'!$F$53,IF(L518&lt;='Assumptions and Catalog'!$C$54,L518*'Assumptions and Catalog'!$H$54+'Assumptions and Catalog'!$E$54+'Assumptions and Catalog'!$F$54,IF(L518&lt;='Assumptions and Catalog'!$C$55,L518*'Assumptions and Catalog'!$H$55+'Assumptions and Catalog'!$E$55+'Assumptions and Catalog'!$F$55,IF(L518&lt;='Assumptions and Catalog'!$C$56,L518*'Assumptions and Catalog'!$H$56+'Assumptions and Catalog'!$E$56+'Assumptions and Catalog'!$F$56,IF(L518&lt;='Assumptions and Catalog'!$C$57,L518*'Assumptions and Catalog'!$H$57+'Assumptions and Catalog'!$E$57+'Assumptions and Catalog'!$F$57,"Out of range")))))))),IF(L518&lt;='Assumptions and Catalog'!$C$60,L518*'Assumptions and Catalog'!$H$60+'Assumptions and Catalog'!$E$60+'Assumptions and Catalog'!$F$60,IF(L518&lt;='Assumptions and Catalog'!$C$61,L518*'Assumptions and Catalog'!$H$61+'Assumptions and Catalog'!$E$61+'Assumptions and Catalog'!$F$61,IF(L518&lt;='Assumptions and Catalog'!$C$62,L518*'Assumptions and Catalog'!$H$62+'Assumptions and Catalog'!$E$62+'Assumptions and Catalog'!$F$62,IF(L518&lt;='Assumptions and Catalog'!$C$63,L518*'Assumptions and Catalog'!$H$63+'Assumptions and Catalog'!$E$63+'Assumptions and Catalog'!$F$63,IF(L518&lt;='Assumptions and Catalog'!$C$64,L518*'Assumptions and Catalog'!$H$64+'Assumptions and Catalog'!$E$64+'Assumptions and Catalog'!$F$64,IF(L518&lt;='Assumptions and Catalog'!$C$65,L518*'Assumptions and Catalog'!$H$65+'Assumptions and Catalog'!$E$65+'Assumptions and Catalog'!$F$65,"Out of range")))))))))*(1+'Assumptions and Catalog'!$C$8)^(A518-1),0)</f>
        <v>7094.794</v>
      </c>
      <c r="O518" s="5" t="n">
        <f>M518-N518</f>
        <v>0</v>
      </c>
      <c r="P518" s="5" t="n">
        <f>D$55*(1-K$14)*(1-'Assumptions and Catalog'!$C$23)^R518</f>
        <v>0</v>
      </c>
      <c r="Q518" s="5" t="n">
        <f>IF(ISNUMBER(Inputs!$L$5),(IF(Inputs!$L$9="Actual flat rate",((D518+E518)*C518-G518)*Inputs!$L$10,IF(Inputs!$C$9="Residential",IF(((D518+E518)*C518-G518)&lt;='Assumptions and Catalog'!$C$50,((D518+E518)*C518-G518)*'Assumptions and Catalog'!$H$50+'Assumptions and Catalog'!$E$50+'Assumptions and Catalog'!$F$50,IF(((D518+E518)*C518-G518)&lt;='Assumptions and Catalog'!$C$51,((D518+E518)*C518-G518)*'Assumptions and Catalog'!$H$51+'Assumptions and Catalog'!$E$51+'Assumptions and Catalog'!$F$51,IF(((D518+E518)*C518-G518)&lt;='Assumptions and Catalog'!$C$52,((D518+E518)*C518-G518)*'Assumptions and Catalog'!$H$52+'Assumptions and Catalog'!$E$52+'Assumptions and Catalog'!$F$52,IF(((D518+E518)*C518-G518)&lt;='Assumptions and Catalog'!$C$53,((D518+E518)*C518-G518)*'Assumptions and Catalog'!$H$53+'Assumptions and Catalog'!$E$53+'Assumptions and Catalog'!$F$53,IF(((D518+E518)*C518-G518)&lt;='Assumptions and Catalog'!$C$54,((D518+E518)*C518-G518)*'Assumptions and Catalog'!$H$54+'Assumptions and Catalog'!$E$54+'Assumptions and Catalog'!$F$54,IF(((D518+E518)*C518-G518)&lt;='Assumptions and Catalog'!$C$55,((D518+E518)*C518-G518)*'Assumptions and Catalog'!$H$55+'Assumptions and Catalog'!$E$55+'Assumptions and Catalog'!$F$55,IF(((D518+E518)*C518-G518)&lt;='Assumptions and Catalog'!$C$56,((D518+E518)*C518-G518)*'Assumptions and Catalog'!$H$56+'Assumptions and Catalog'!$E$56+'Assumptions and Catalog'!$F$56,IF(((D518+E518)*C518-G518)&lt;='Assumptions and Catalog'!$C$57,((D518+E518)*C518-G518)*'Assumptions and Catalog'!$H$57+'Assumptions and Catalog'!$E$57+'Assumptions and Catalog'!$F$57,"Out of range")))))))),IF(((D518+E518)*C518-G518)&lt;='Assumptions and Catalog'!$C$60,((D518+E518)*C518-G518)*'Assumptions and Catalog'!$H$60+'Assumptions and Catalog'!$E$60+'Assumptions and Catalog'!$F$60,IF(((D518+E518)*C518-G518)&lt;='Assumptions and Catalog'!$C$61,((D518+E518)*C518-G518)*'Assumptions and Catalog'!$H$61+'Assumptions and Catalog'!$E$61+'Assumptions and Catalog'!$F$61,IF(((D518+E518)*C518-G518)&lt;='Assumptions and Catalog'!$C$62,((D518+E518)*C518-G518)*'Assumptions and Catalog'!$H$62+'Assumptions and Catalog'!$E$62+'Assumptions and Catalog'!$F$62,IF(((D518+E518)*C518-G518)&lt;='Assumptions and Catalog'!$C$63,((D518+E518)*C518-G518)*'Assumptions and Catalog'!$H$63+'Assumptions and Catalog'!$E$63+'Assumptions and Catalog'!$F$63,IF(((D518+E518)*C518-G518)&lt;='Assumptions and Catalog'!$C$64,((D518+E518)*C518-G518)*'Assumptions and Catalog'!$H$64+'Assumptions and Catalog'!$E$64+'Assumptions and Catalog'!$F$64,IF(((D518+E518)*C518-G518)&lt;='Assumptions and Catalog'!$C$65,((D518+E518)*C518-G518)*'Assumptions and Catalog'!$H$65+'Assumptions and Catalog'!$E$65+'Assumptions and Catalog'!$F$65,"Out of range")))))))))*(1+'Assumptions and Catalog'!$C$8)^(A518-1),0)</f>
        <v>7094.794</v>
      </c>
      <c r="R518" s="5" t="n">
        <f>IF(AND('Assumptions and Catalog'!$C$19&gt;0,A518&gt;='Assumptions and Catalog'!$C$19),A518-'Assumptions and Catalog'!$C$19,A518-1)</f>
        <v>8</v>
      </c>
      <c r="S518" s="5" t="n">
        <f>F518+L518-(D518+E518)*C518-J518-K518-IF(D$52&gt;0,'Assumptions and Catalog'!$C$26*C518,0)</f>
        <v>0</v>
      </c>
      <c r="T518" s="5"/>
      <c r="U518" s="5"/>
    </row>
    <row r="519" ht="23.100000381469727" customHeight="1">
      <c r="A519" s="5" t="n">
        <v>10</v>
      </c>
      <c r="B519" s="5" t="n">
        <v>1</v>
      </c>
      <c r="C519" s="5" t="n">
        <f>DAY(DATE('Assumptions and Catalog'!$C$24+A519-1,B519+1,0))</f>
        <v>31</v>
      </c>
      <c r="D519" s="5" t="n">
        <f>IF(ISNUMBER(Inputs!$L$5),Inputs!$L$5*Inputs!$L$6,0)</f>
        <v>40.35</v>
      </c>
      <c r="E519" s="5" t="n">
        <f>IF(ISNUMBER(Inputs!$L$5),Inputs!$L$5-D519,0)</f>
        <v>40.35</v>
      </c>
      <c r="F519" s="5" t="n">
        <f>D$51*'Assumptions and Catalog'!$C$31*C519*(1-'Assumptions and Catalog'!$C$10)^(A519-1)</f>
        <v>0</v>
      </c>
      <c r="G519" s="5" t="n">
        <f>MIN(F519,D519*C519)</f>
        <v>0</v>
      </c>
      <c r="H519" s="5" t="n">
        <f>I519/('Assumptions and Catalog'!$C$11*'Assumptions and Catalog'!$C$12)</f>
        <v>0</v>
      </c>
      <c r="I519" s="5" t="n">
        <f>IF(K$15="Grid cycle",MIN(K$16,D519+E519,P519*'Assumptions and Catalog'!$C$12,D$57*(24-'Assumptions and Catalog'!$C$15),D$56*'Assumptions and Catalog'!$C$15*'Assumptions and Catalog'!$C$11*'Assumptions and Catalog'!$C$12)*C519,0)</f>
        <v>0</v>
      </c>
      <c r="J519" s="5" t="n">
        <f>MAX(F519-G519-0,0)</f>
        <v>0</v>
      </c>
      <c r="K519" s="5" t="n">
        <f>H519-I519</f>
        <v>0</v>
      </c>
      <c r="L519" s="5" t="n">
        <f>(D519+E519)*C519-G519-I519+H519+IF(D$52&gt;0,'Assumptions and Catalog'!$C$26*C519,0)</f>
        <v>2501.7</v>
      </c>
      <c r="M519" s="5" t="n">
        <f>IF(ISNUMBER(Inputs!$L$5),(IF(Inputs!$L$9="Actual flat rate",((D519+E519)*C519)*Inputs!$L$10,IF(Inputs!$C$9="Residential",IF(((D519+E519)*C519)&lt;='Assumptions and Catalog'!$C$50,((D519+E519)*C519)*'Assumptions and Catalog'!$H$50+'Assumptions and Catalog'!$E$50+'Assumptions and Catalog'!$F$50,IF(((D519+E519)*C519)&lt;='Assumptions and Catalog'!$C$51,((D519+E519)*C519)*'Assumptions and Catalog'!$H$51+'Assumptions and Catalog'!$E$51+'Assumptions and Catalog'!$F$51,IF(((D519+E519)*C519)&lt;='Assumptions and Catalog'!$C$52,((D519+E519)*C519)*'Assumptions and Catalog'!$H$52+'Assumptions and Catalog'!$E$52+'Assumptions and Catalog'!$F$52,IF(((D519+E519)*C519)&lt;='Assumptions and Catalog'!$C$53,((D519+E519)*C519)*'Assumptions and Catalog'!$H$53+'Assumptions and Catalog'!$E$53+'Assumptions and Catalog'!$F$53,IF(((D519+E519)*C519)&lt;='Assumptions and Catalog'!$C$54,((D519+E519)*C519)*'Assumptions and Catalog'!$H$54+'Assumptions and Catalog'!$E$54+'Assumptions and Catalog'!$F$54,IF(((D519+E519)*C519)&lt;='Assumptions and Catalog'!$C$55,((D519+E519)*C519)*'Assumptions and Catalog'!$H$55+'Assumptions and Catalog'!$E$55+'Assumptions and Catalog'!$F$55,IF(((D519+E519)*C519)&lt;='Assumptions and Catalog'!$C$56,((D519+E519)*C519)*'Assumptions and Catalog'!$H$56+'Assumptions and Catalog'!$E$56+'Assumptions and Catalog'!$F$56,IF(((D519+E519)*C519)&lt;='Assumptions and Catalog'!$C$57,((D519+E519)*C519)*'Assumptions and Catalog'!$H$57+'Assumptions and Catalog'!$E$57+'Assumptions and Catalog'!$F$57,"Out of range")))))))),IF(((D519+E519)*C519)&lt;='Assumptions and Catalog'!$C$60,((D519+E519)*C519)*'Assumptions and Catalog'!$H$60+'Assumptions and Catalog'!$E$60+'Assumptions and Catalog'!$F$60,IF(((D519+E519)*C519)&lt;='Assumptions and Catalog'!$C$61,((D519+E519)*C519)*'Assumptions and Catalog'!$H$61+'Assumptions and Catalog'!$E$61+'Assumptions and Catalog'!$F$61,IF(((D519+E519)*C519)&lt;='Assumptions and Catalog'!$C$62,((D519+E519)*C519)*'Assumptions and Catalog'!$H$62+'Assumptions and Catalog'!$E$62+'Assumptions and Catalog'!$F$62,IF(((D519+E519)*C519)&lt;='Assumptions and Catalog'!$C$63,((D519+E519)*C519)*'Assumptions and Catalog'!$H$63+'Assumptions and Catalog'!$E$63+'Assumptions and Catalog'!$F$63,IF(((D519+E519)*C519)&lt;='Assumptions and Catalog'!$C$64,((D519+E519)*C519)*'Assumptions and Catalog'!$H$64+'Assumptions and Catalog'!$E$64+'Assumptions and Catalog'!$F$64,IF(((D519+E519)*C519)&lt;='Assumptions and Catalog'!$C$65,((D519+E519)*C519)*'Assumptions and Catalog'!$H$65+'Assumptions and Catalog'!$E$65+'Assumptions and Catalog'!$F$65,"Out of range")))))))))*(1+'Assumptions and Catalog'!$C$8)^(A519-1),0)</f>
        <v>7094.794</v>
      </c>
      <c r="N519" s="5" t="n">
        <f>IF(ISNUMBER(Inputs!$L$5),(IF(Inputs!$L$9="Actual flat rate",L519*Inputs!$L$10,IF(Inputs!$C$9="Residential",IF(L519&lt;='Assumptions and Catalog'!$C$50,L519*'Assumptions and Catalog'!$H$50+'Assumptions and Catalog'!$E$50+'Assumptions and Catalog'!$F$50,IF(L519&lt;='Assumptions and Catalog'!$C$51,L519*'Assumptions and Catalog'!$H$51+'Assumptions and Catalog'!$E$51+'Assumptions and Catalog'!$F$51,IF(L519&lt;='Assumptions and Catalog'!$C$52,L519*'Assumptions and Catalog'!$H$52+'Assumptions and Catalog'!$E$52+'Assumptions and Catalog'!$F$52,IF(L519&lt;='Assumptions and Catalog'!$C$53,L519*'Assumptions and Catalog'!$H$53+'Assumptions and Catalog'!$E$53+'Assumptions and Catalog'!$F$53,IF(L519&lt;='Assumptions and Catalog'!$C$54,L519*'Assumptions and Catalog'!$H$54+'Assumptions and Catalog'!$E$54+'Assumptions and Catalog'!$F$54,IF(L519&lt;='Assumptions and Catalog'!$C$55,L519*'Assumptions and Catalog'!$H$55+'Assumptions and Catalog'!$E$55+'Assumptions and Catalog'!$F$55,IF(L519&lt;='Assumptions and Catalog'!$C$56,L519*'Assumptions and Catalog'!$H$56+'Assumptions and Catalog'!$E$56+'Assumptions and Catalog'!$F$56,IF(L519&lt;='Assumptions and Catalog'!$C$57,L519*'Assumptions and Catalog'!$H$57+'Assumptions and Catalog'!$E$57+'Assumptions and Catalog'!$F$57,"Out of range")))))))),IF(L519&lt;='Assumptions and Catalog'!$C$60,L519*'Assumptions and Catalog'!$H$60+'Assumptions and Catalog'!$E$60+'Assumptions and Catalog'!$F$60,IF(L519&lt;='Assumptions and Catalog'!$C$61,L519*'Assumptions and Catalog'!$H$61+'Assumptions and Catalog'!$E$61+'Assumptions and Catalog'!$F$61,IF(L519&lt;='Assumptions and Catalog'!$C$62,L519*'Assumptions and Catalog'!$H$62+'Assumptions and Catalog'!$E$62+'Assumptions and Catalog'!$F$62,IF(L519&lt;='Assumptions and Catalog'!$C$63,L519*'Assumptions and Catalog'!$H$63+'Assumptions and Catalog'!$E$63+'Assumptions and Catalog'!$F$63,IF(L519&lt;='Assumptions and Catalog'!$C$64,L519*'Assumptions and Catalog'!$H$64+'Assumptions and Catalog'!$E$64+'Assumptions and Catalog'!$F$64,IF(L519&lt;='Assumptions and Catalog'!$C$65,L519*'Assumptions and Catalog'!$H$65+'Assumptions and Catalog'!$E$65+'Assumptions and Catalog'!$F$65,"Out of range")))))))))*(1+'Assumptions and Catalog'!$C$8)^(A519-1),0)</f>
        <v>7094.794</v>
      </c>
      <c r="O519" s="5" t="n">
        <f>M519-N519</f>
        <v>0</v>
      </c>
      <c r="P519" s="5" t="n">
        <f>D$55*(1-K$14)*(1-'Assumptions and Catalog'!$C$23)^R519</f>
        <v>0</v>
      </c>
      <c r="Q519" s="5" t="n">
        <f>IF(ISNUMBER(Inputs!$L$5),(IF(Inputs!$L$9="Actual flat rate",((D519+E519)*C519-G519)*Inputs!$L$10,IF(Inputs!$C$9="Residential",IF(((D519+E519)*C519-G519)&lt;='Assumptions and Catalog'!$C$50,((D519+E519)*C519-G519)*'Assumptions and Catalog'!$H$50+'Assumptions and Catalog'!$E$50+'Assumptions and Catalog'!$F$50,IF(((D519+E519)*C519-G519)&lt;='Assumptions and Catalog'!$C$51,((D519+E519)*C519-G519)*'Assumptions and Catalog'!$H$51+'Assumptions and Catalog'!$E$51+'Assumptions and Catalog'!$F$51,IF(((D519+E519)*C519-G519)&lt;='Assumptions and Catalog'!$C$52,((D519+E519)*C519-G519)*'Assumptions and Catalog'!$H$52+'Assumptions and Catalog'!$E$52+'Assumptions and Catalog'!$F$52,IF(((D519+E519)*C519-G519)&lt;='Assumptions and Catalog'!$C$53,((D519+E519)*C519-G519)*'Assumptions and Catalog'!$H$53+'Assumptions and Catalog'!$E$53+'Assumptions and Catalog'!$F$53,IF(((D519+E519)*C519-G519)&lt;='Assumptions and Catalog'!$C$54,((D519+E519)*C519-G519)*'Assumptions and Catalog'!$H$54+'Assumptions and Catalog'!$E$54+'Assumptions and Catalog'!$F$54,IF(((D519+E519)*C519-G519)&lt;='Assumptions and Catalog'!$C$55,((D519+E519)*C519-G519)*'Assumptions and Catalog'!$H$55+'Assumptions and Catalog'!$E$55+'Assumptions and Catalog'!$F$55,IF(((D519+E519)*C519-G519)&lt;='Assumptions and Catalog'!$C$56,((D519+E519)*C519-G519)*'Assumptions and Catalog'!$H$56+'Assumptions and Catalog'!$E$56+'Assumptions and Catalog'!$F$56,IF(((D519+E519)*C519-G519)&lt;='Assumptions and Catalog'!$C$57,((D519+E519)*C519-G519)*'Assumptions and Catalog'!$H$57+'Assumptions and Catalog'!$E$57+'Assumptions and Catalog'!$F$57,"Out of range")))))))),IF(((D519+E519)*C519-G519)&lt;='Assumptions and Catalog'!$C$60,((D519+E519)*C519-G519)*'Assumptions and Catalog'!$H$60+'Assumptions and Catalog'!$E$60+'Assumptions and Catalog'!$F$60,IF(((D519+E519)*C519-G519)&lt;='Assumptions and Catalog'!$C$61,((D519+E519)*C519-G519)*'Assumptions and Catalog'!$H$61+'Assumptions and Catalog'!$E$61+'Assumptions and Catalog'!$F$61,IF(((D519+E519)*C519-G519)&lt;='Assumptions and Catalog'!$C$62,((D519+E519)*C519-G519)*'Assumptions and Catalog'!$H$62+'Assumptions and Catalog'!$E$62+'Assumptions and Catalog'!$F$62,IF(((D519+E519)*C519-G519)&lt;='Assumptions and Catalog'!$C$63,((D519+E519)*C519-G519)*'Assumptions and Catalog'!$H$63+'Assumptions and Catalog'!$E$63+'Assumptions and Catalog'!$F$63,IF(((D519+E519)*C519-G519)&lt;='Assumptions and Catalog'!$C$64,((D519+E519)*C519-G519)*'Assumptions and Catalog'!$H$64+'Assumptions and Catalog'!$E$64+'Assumptions and Catalog'!$F$64,IF(((D519+E519)*C519-G519)&lt;='Assumptions and Catalog'!$C$65,((D519+E519)*C519-G519)*'Assumptions and Catalog'!$H$65+'Assumptions and Catalog'!$E$65+'Assumptions and Catalog'!$F$65,"Out of range")))))))))*(1+'Assumptions and Catalog'!$C$8)^(A519-1),0)</f>
        <v>7094.794</v>
      </c>
      <c r="R519" s="5" t="n">
        <f>IF(AND('Assumptions and Catalog'!$C$19&gt;0,A519&gt;='Assumptions and Catalog'!$C$19),A519-'Assumptions and Catalog'!$C$19,A519-1)</f>
        <v>9</v>
      </c>
      <c r="S519" s="5" t="n">
        <f>F519+L519-(D519+E519)*C519-J519-K519-IF(D$52&gt;0,'Assumptions and Catalog'!$C$26*C519,0)</f>
        <v>0</v>
      </c>
      <c r="T519" s="5"/>
      <c r="U519" s="5"/>
    </row>
    <row r="520" ht="23.100000381469727" customHeight="1">
      <c r="A520" s="5" t="n">
        <v>10</v>
      </c>
      <c r="B520" s="5" t="n">
        <v>2</v>
      </c>
      <c r="C520" s="5" t="n">
        <f>DAY(DATE('Assumptions and Catalog'!$C$24+A520-1,B520+1,0))</f>
        <v>29</v>
      </c>
      <c r="D520" s="5" t="n">
        <f>IF(ISNUMBER(Inputs!$L$5),Inputs!$L$5*Inputs!$L$6,0)</f>
        <v>40.35</v>
      </c>
      <c r="E520" s="5" t="n">
        <f>IF(ISNUMBER(Inputs!$L$5),Inputs!$L$5-D520,0)</f>
        <v>40.35</v>
      </c>
      <c r="F520" s="5" t="n">
        <f>D$51*'Assumptions and Catalog'!$C$31*C520*(1-'Assumptions and Catalog'!$C$10)^(A520-1)</f>
        <v>0</v>
      </c>
      <c r="G520" s="5" t="n">
        <f>MIN(F520,D520*C520)</f>
        <v>0</v>
      </c>
      <c r="H520" s="5" t="n">
        <f>I520/('Assumptions and Catalog'!$C$11*'Assumptions and Catalog'!$C$12)</f>
        <v>0</v>
      </c>
      <c r="I520" s="5" t="n">
        <f>IF(K$15="Grid cycle",MIN(K$16,D520+E520,P520*'Assumptions and Catalog'!$C$12,D$57*(24-'Assumptions and Catalog'!$C$15),D$56*'Assumptions and Catalog'!$C$15*'Assumptions and Catalog'!$C$11*'Assumptions and Catalog'!$C$12)*C520,0)</f>
        <v>0</v>
      </c>
      <c r="J520" s="5" t="n">
        <f>MAX(F520-G520-0,0)</f>
        <v>0</v>
      </c>
      <c r="K520" s="5" t="n">
        <f>H520-I520</f>
        <v>0</v>
      </c>
      <c r="L520" s="5" t="n">
        <f>(D520+E520)*C520-G520-I520+H520+IF(D$52&gt;0,'Assumptions and Catalog'!$C$26*C520,0)</f>
        <v>2340.3</v>
      </c>
      <c r="M520" s="5" t="n">
        <f>IF(ISNUMBER(Inputs!$L$5),(IF(Inputs!$L$9="Actual flat rate",((D520+E520)*C520)*Inputs!$L$10,IF(Inputs!$C$9="Residential",IF(((D520+E520)*C520)&lt;='Assumptions and Catalog'!$C$50,((D520+E520)*C520)*'Assumptions and Catalog'!$H$50+'Assumptions and Catalog'!$E$50+'Assumptions and Catalog'!$F$50,IF(((D520+E520)*C520)&lt;='Assumptions and Catalog'!$C$51,((D520+E520)*C520)*'Assumptions and Catalog'!$H$51+'Assumptions and Catalog'!$E$51+'Assumptions and Catalog'!$F$51,IF(((D520+E520)*C520)&lt;='Assumptions and Catalog'!$C$52,((D520+E520)*C520)*'Assumptions and Catalog'!$H$52+'Assumptions and Catalog'!$E$52+'Assumptions and Catalog'!$F$52,IF(((D520+E520)*C520)&lt;='Assumptions and Catalog'!$C$53,((D520+E520)*C520)*'Assumptions and Catalog'!$H$53+'Assumptions and Catalog'!$E$53+'Assumptions and Catalog'!$F$53,IF(((D520+E520)*C520)&lt;='Assumptions and Catalog'!$C$54,((D520+E520)*C520)*'Assumptions and Catalog'!$H$54+'Assumptions and Catalog'!$E$54+'Assumptions and Catalog'!$F$54,IF(((D520+E520)*C520)&lt;='Assumptions and Catalog'!$C$55,((D520+E520)*C520)*'Assumptions and Catalog'!$H$55+'Assumptions and Catalog'!$E$55+'Assumptions and Catalog'!$F$55,IF(((D520+E520)*C520)&lt;='Assumptions and Catalog'!$C$56,((D520+E520)*C520)*'Assumptions and Catalog'!$H$56+'Assumptions and Catalog'!$E$56+'Assumptions and Catalog'!$F$56,IF(((D520+E520)*C520)&lt;='Assumptions and Catalog'!$C$57,((D520+E520)*C520)*'Assumptions and Catalog'!$H$57+'Assumptions and Catalog'!$E$57+'Assumptions and Catalog'!$F$57,"Out of range")))))))),IF(((D520+E520)*C520)&lt;='Assumptions and Catalog'!$C$60,((D520+E520)*C520)*'Assumptions and Catalog'!$H$60+'Assumptions and Catalog'!$E$60+'Assumptions and Catalog'!$F$60,IF(((D520+E520)*C520)&lt;='Assumptions and Catalog'!$C$61,((D520+E520)*C520)*'Assumptions and Catalog'!$H$61+'Assumptions and Catalog'!$E$61+'Assumptions and Catalog'!$F$61,IF(((D520+E520)*C520)&lt;='Assumptions and Catalog'!$C$62,((D520+E520)*C520)*'Assumptions and Catalog'!$H$62+'Assumptions and Catalog'!$E$62+'Assumptions and Catalog'!$F$62,IF(((D520+E520)*C520)&lt;='Assumptions and Catalog'!$C$63,((D520+E520)*C520)*'Assumptions and Catalog'!$H$63+'Assumptions and Catalog'!$E$63+'Assumptions and Catalog'!$F$63,IF(((D520+E520)*C520)&lt;='Assumptions and Catalog'!$C$64,((D520+E520)*C520)*'Assumptions and Catalog'!$H$64+'Assumptions and Catalog'!$E$64+'Assumptions and Catalog'!$F$64,IF(((D520+E520)*C520)&lt;='Assumptions and Catalog'!$C$65,((D520+E520)*C520)*'Assumptions and Catalog'!$H$65+'Assumptions and Catalog'!$E$65+'Assumptions and Catalog'!$F$65,"Out of range")))))))))*(1+'Assumptions and Catalog'!$C$8)^(A520-1),0)</f>
        <v>6639.646</v>
      </c>
      <c r="N520" s="5" t="n">
        <f>IF(ISNUMBER(Inputs!$L$5),(IF(Inputs!$L$9="Actual flat rate",L520*Inputs!$L$10,IF(Inputs!$C$9="Residential",IF(L520&lt;='Assumptions and Catalog'!$C$50,L520*'Assumptions and Catalog'!$H$50+'Assumptions and Catalog'!$E$50+'Assumptions and Catalog'!$F$50,IF(L520&lt;='Assumptions and Catalog'!$C$51,L520*'Assumptions and Catalog'!$H$51+'Assumptions and Catalog'!$E$51+'Assumptions and Catalog'!$F$51,IF(L520&lt;='Assumptions and Catalog'!$C$52,L520*'Assumptions and Catalog'!$H$52+'Assumptions and Catalog'!$E$52+'Assumptions and Catalog'!$F$52,IF(L520&lt;='Assumptions and Catalog'!$C$53,L520*'Assumptions and Catalog'!$H$53+'Assumptions and Catalog'!$E$53+'Assumptions and Catalog'!$F$53,IF(L520&lt;='Assumptions and Catalog'!$C$54,L520*'Assumptions and Catalog'!$H$54+'Assumptions and Catalog'!$E$54+'Assumptions and Catalog'!$F$54,IF(L520&lt;='Assumptions and Catalog'!$C$55,L520*'Assumptions and Catalog'!$H$55+'Assumptions and Catalog'!$E$55+'Assumptions and Catalog'!$F$55,IF(L520&lt;='Assumptions and Catalog'!$C$56,L520*'Assumptions and Catalog'!$H$56+'Assumptions and Catalog'!$E$56+'Assumptions and Catalog'!$F$56,IF(L520&lt;='Assumptions and Catalog'!$C$57,L520*'Assumptions and Catalog'!$H$57+'Assumptions and Catalog'!$E$57+'Assumptions and Catalog'!$F$57,"Out of range")))))))),IF(L520&lt;='Assumptions and Catalog'!$C$60,L520*'Assumptions and Catalog'!$H$60+'Assumptions and Catalog'!$E$60+'Assumptions and Catalog'!$F$60,IF(L520&lt;='Assumptions and Catalog'!$C$61,L520*'Assumptions and Catalog'!$H$61+'Assumptions and Catalog'!$E$61+'Assumptions and Catalog'!$F$61,IF(L520&lt;='Assumptions and Catalog'!$C$62,L520*'Assumptions and Catalog'!$H$62+'Assumptions and Catalog'!$E$62+'Assumptions and Catalog'!$F$62,IF(L520&lt;='Assumptions and Catalog'!$C$63,L520*'Assumptions and Catalog'!$H$63+'Assumptions and Catalog'!$E$63+'Assumptions and Catalog'!$F$63,IF(L520&lt;='Assumptions and Catalog'!$C$64,L520*'Assumptions and Catalog'!$H$64+'Assumptions and Catalog'!$E$64+'Assumptions and Catalog'!$F$64,IF(L520&lt;='Assumptions and Catalog'!$C$65,L520*'Assumptions and Catalog'!$H$65+'Assumptions and Catalog'!$E$65+'Assumptions and Catalog'!$F$65,"Out of range")))))))))*(1+'Assumptions and Catalog'!$C$8)^(A520-1),0)</f>
        <v>6639.646</v>
      </c>
      <c r="O520" s="5" t="n">
        <f>M520-N520</f>
        <v>0</v>
      </c>
      <c r="P520" s="5" t="n">
        <f>D$55*(1-K$14)*(1-'Assumptions and Catalog'!$C$23)^R520</f>
        <v>0</v>
      </c>
      <c r="Q520" s="5" t="n">
        <f>IF(ISNUMBER(Inputs!$L$5),(IF(Inputs!$L$9="Actual flat rate",((D520+E520)*C520-G520)*Inputs!$L$10,IF(Inputs!$C$9="Residential",IF(((D520+E520)*C520-G520)&lt;='Assumptions and Catalog'!$C$50,((D520+E520)*C520-G520)*'Assumptions and Catalog'!$H$50+'Assumptions and Catalog'!$E$50+'Assumptions and Catalog'!$F$50,IF(((D520+E520)*C520-G520)&lt;='Assumptions and Catalog'!$C$51,((D520+E520)*C520-G520)*'Assumptions and Catalog'!$H$51+'Assumptions and Catalog'!$E$51+'Assumptions and Catalog'!$F$51,IF(((D520+E520)*C520-G520)&lt;='Assumptions and Catalog'!$C$52,((D520+E520)*C520-G520)*'Assumptions and Catalog'!$H$52+'Assumptions and Catalog'!$E$52+'Assumptions and Catalog'!$F$52,IF(((D520+E520)*C520-G520)&lt;='Assumptions and Catalog'!$C$53,((D520+E520)*C520-G520)*'Assumptions and Catalog'!$H$53+'Assumptions and Catalog'!$E$53+'Assumptions and Catalog'!$F$53,IF(((D520+E520)*C520-G520)&lt;='Assumptions and Catalog'!$C$54,((D520+E520)*C520-G520)*'Assumptions and Catalog'!$H$54+'Assumptions and Catalog'!$E$54+'Assumptions and Catalog'!$F$54,IF(((D520+E520)*C520-G520)&lt;='Assumptions and Catalog'!$C$55,((D520+E520)*C520-G520)*'Assumptions and Catalog'!$H$55+'Assumptions and Catalog'!$E$55+'Assumptions and Catalog'!$F$55,IF(((D520+E520)*C520-G520)&lt;='Assumptions and Catalog'!$C$56,((D520+E520)*C520-G520)*'Assumptions and Catalog'!$H$56+'Assumptions and Catalog'!$E$56+'Assumptions and Catalog'!$F$56,IF(((D520+E520)*C520-G520)&lt;='Assumptions and Catalog'!$C$57,((D520+E520)*C520-G520)*'Assumptions and Catalog'!$H$57+'Assumptions and Catalog'!$E$57+'Assumptions and Catalog'!$F$57,"Out of range")))))))),IF(((D520+E520)*C520-G520)&lt;='Assumptions and Catalog'!$C$60,((D520+E520)*C520-G520)*'Assumptions and Catalog'!$H$60+'Assumptions and Catalog'!$E$60+'Assumptions and Catalog'!$F$60,IF(((D520+E520)*C520-G520)&lt;='Assumptions and Catalog'!$C$61,((D520+E520)*C520-G520)*'Assumptions and Catalog'!$H$61+'Assumptions and Catalog'!$E$61+'Assumptions and Catalog'!$F$61,IF(((D520+E520)*C520-G520)&lt;='Assumptions and Catalog'!$C$62,((D520+E520)*C520-G520)*'Assumptions and Catalog'!$H$62+'Assumptions and Catalog'!$E$62+'Assumptions and Catalog'!$F$62,IF(((D520+E520)*C520-G520)&lt;='Assumptions and Catalog'!$C$63,((D520+E520)*C520-G520)*'Assumptions and Catalog'!$H$63+'Assumptions and Catalog'!$E$63+'Assumptions and Catalog'!$F$63,IF(((D520+E520)*C520-G520)&lt;='Assumptions and Catalog'!$C$64,((D520+E520)*C520-G520)*'Assumptions and Catalog'!$H$64+'Assumptions and Catalog'!$E$64+'Assumptions and Catalog'!$F$64,IF(((D520+E520)*C520-G520)&lt;='Assumptions and Catalog'!$C$65,((D520+E520)*C520-G520)*'Assumptions and Catalog'!$H$65+'Assumptions and Catalog'!$E$65+'Assumptions and Catalog'!$F$65,"Out of range")))))))))*(1+'Assumptions and Catalog'!$C$8)^(A520-1),0)</f>
        <v>6639.646</v>
      </c>
      <c r="R520" s="5" t="n">
        <f>IF(AND('Assumptions and Catalog'!$C$19&gt;0,A520&gt;='Assumptions and Catalog'!$C$19),A520-'Assumptions and Catalog'!$C$19,A520-1)</f>
        <v>9</v>
      </c>
      <c r="S520" s="5" t="n">
        <f>F520+L520-(D520+E520)*C520-J520-K520-IF(D$52&gt;0,'Assumptions and Catalog'!$C$26*C520,0)</f>
        <v>0</v>
      </c>
      <c r="T520" s="5"/>
      <c r="U520" s="5"/>
    </row>
    <row r="521" ht="23.100000381469727" customHeight="1">
      <c r="A521" s="5" t="n">
        <v>10</v>
      </c>
      <c r="B521" s="5" t="n">
        <v>3</v>
      </c>
      <c r="C521" s="5" t="n">
        <f>DAY(DATE('Assumptions and Catalog'!$C$24+A521-1,B521+1,0))</f>
        <v>31</v>
      </c>
      <c r="D521" s="5" t="n">
        <f>IF(ISNUMBER(Inputs!$L$5),Inputs!$L$5*Inputs!$L$6,0)</f>
        <v>40.35</v>
      </c>
      <c r="E521" s="5" t="n">
        <f>IF(ISNUMBER(Inputs!$L$5),Inputs!$L$5-D521,0)</f>
        <v>40.35</v>
      </c>
      <c r="F521" s="5" t="n">
        <f>D$51*'Assumptions and Catalog'!$C$31*C521*(1-'Assumptions and Catalog'!$C$10)^(A521-1)</f>
        <v>0</v>
      </c>
      <c r="G521" s="5" t="n">
        <f>MIN(F521,D521*C521)</f>
        <v>0</v>
      </c>
      <c r="H521" s="5" t="n">
        <f>I521/('Assumptions and Catalog'!$C$11*'Assumptions and Catalog'!$C$12)</f>
        <v>0</v>
      </c>
      <c r="I521" s="5" t="n">
        <f>IF(K$15="Grid cycle",MIN(K$16,D521+E521,P521*'Assumptions and Catalog'!$C$12,D$57*(24-'Assumptions and Catalog'!$C$15),D$56*'Assumptions and Catalog'!$C$15*'Assumptions and Catalog'!$C$11*'Assumptions and Catalog'!$C$12)*C521,0)</f>
        <v>0</v>
      </c>
      <c r="J521" s="5" t="n">
        <f>MAX(F521-G521-0,0)</f>
        <v>0</v>
      </c>
      <c r="K521" s="5" t="n">
        <f>H521-I521</f>
        <v>0</v>
      </c>
      <c r="L521" s="5" t="n">
        <f>(D521+E521)*C521-G521-I521+H521+IF(D$52&gt;0,'Assumptions and Catalog'!$C$26*C521,0)</f>
        <v>2501.7</v>
      </c>
      <c r="M521" s="5" t="n">
        <f>IF(ISNUMBER(Inputs!$L$5),(IF(Inputs!$L$9="Actual flat rate",((D521+E521)*C521)*Inputs!$L$10,IF(Inputs!$C$9="Residential",IF(((D521+E521)*C521)&lt;='Assumptions and Catalog'!$C$50,((D521+E521)*C521)*'Assumptions and Catalog'!$H$50+'Assumptions and Catalog'!$E$50+'Assumptions and Catalog'!$F$50,IF(((D521+E521)*C521)&lt;='Assumptions and Catalog'!$C$51,((D521+E521)*C521)*'Assumptions and Catalog'!$H$51+'Assumptions and Catalog'!$E$51+'Assumptions and Catalog'!$F$51,IF(((D521+E521)*C521)&lt;='Assumptions and Catalog'!$C$52,((D521+E521)*C521)*'Assumptions and Catalog'!$H$52+'Assumptions and Catalog'!$E$52+'Assumptions and Catalog'!$F$52,IF(((D521+E521)*C521)&lt;='Assumptions and Catalog'!$C$53,((D521+E521)*C521)*'Assumptions and Catalog'!$H$53+'Assumptions and Catalog'!$E$53+'Assumptions and Catalog'!$F$53,IF(((D521+E521)*C521)&lt;='Assumptions and Catalog'!$C$54,((D521+E521)*C521)*'Assumptions and Catalog'!$H$54+'Assumptions and Catalog'!$E$54+'Assumptions and Catalog'!$F$54,IF(((D521+E521)*C521)&lt;='Assumptions and Catalog'!$C$55,((D521+E521)*C521)*'Assumptions and Catalog'!$H$55+'Assumptions and Catalog'!$E$55+'Assumptions and Catalog'!$F$55,IF(((D521+E521)*C521)&lt;='Assumptions and Catalog'!$C$56,((D521+E521)*C521)*'Assumptions and Catalog'!$H$56+'Assumptions and Catalog'!$E$56+'Assumptions and Catalog'!$F$56,IF(((D521+E521)*C521)&lt;='Assumptions and Catalog'!$C$57,((D521+E521)*C521)*'Assumptions and Catalog'!$H$57+'Assumptions and Catalog'!$E$57+'Assumptions and Catalog'!$F$57,"Out of range")))))))),IF(((D521+E521)*C521)&lt;='Assumptions and Catalog'!$C$60,((D521+E521)*C521)*'Assumptions and Catalog'!$H$60+'Assumptions and Catalog'!$E$60+'Assumptions and Catalog'!$F$60,IF(((D521+E521)*C521)&lt;='Assumptions and Catalog'!$C$61,((D521+E521)*C521)*'Assumptions and Catalog'!$H$61+'Assumptions and Catalog'!$E$61+'Assumptions and Catalog'!$F$61,IF(((D521+E521)*C521)&lt;='Assumptions and Catalog'!$C$62,((D521+E521)*C521)*'Assumptions and Catalog'!$H$62+'Assumptions and Catalog'!$E$62+'Assumptions and Catalog'!$F$62,IF(((D521+E521)*C521)&lt;='Assumptions and Catalog'!$C$63,((D521+E521)*C521)*'Assumptions and Catalog'!$H$63+'Assumptions and Catalog'!$E$63+'Assumptions and Catalog'!$F$63,IF(((D521+E521)*C521)&lt;='Assumptions and Catalog'!$C$64,((D521+E521)*C521)*'Assumptions and Catalog'!$H$64+'Assumptions and Catalog'!$E$64+'Assumptions and Catalog'!$F$64,IF(((D521+E521)*C521)&lt;='Assumptions and Catalog'!$C$65,((D521+E521)*C521)*'Assumptions and Catalog'!$H$65+'Assumptions and Catalog'!$E$65+'Assumptions and Catalog'!$F$65,"Out of range")))))))))*(1+'Assumptions and Catalog'!$C$8)^(A521-1),0)</f>
        <v>7094.794</v>
      </c>
      <c r="N521" s="5" t="n">
        <f>IF(ISNUMBER(Inputs!$L$5),(IF(Inputs!$L$9="Actual flat rate",L521*Inputs!$L$10,IF(Inputs!$C$9="Residential",IF(L521&lt;='Assumptions and Catalog'!$C$50,L521*'Assumptions and Catalog'!$H$50+'Assumptions and Catalog'!$E$50+'Assumptions and Catalog'!$F$50,IF(L521&lt;='Assumptions and Catalog'!$C$51,L521*'Assumptions and Catalog'!$H$51+'Assumptions and Catalog'!$E$51+'Assumptions and Catalog'!$F$51,IF(L521&lt;='Assumptions and Catalog'!$C$52,L521*'Assumptions and Catalog'!$H$52+'Assumptions and Catalog'!$E$52+'Assumptions and Catalog'!$F$52,IF(L521&lt;='Assumptions and Catalog'!$C$53,L521*'Assumptions and Catalog'!$H$53+'Assumptions and Catalog'!$E$53+'Assumptions and Catalog'!$F$53,IF(L521&lt;='Assumptions and Catalog'!$C$54,L521*'Assumptions and Catalog'!$H$54+'Assumptions and Catalog'!$E$54+'Assumptions and Catalog'!$F$54,IF(L521&lt;='Assumptions and Catalog'!$C$55,L521*'Assumptions and Catalog'!$H$55+'Assumptions and Catalog'!$E$55+'Assumptions and Catalog'!$F$55,IF(L521&lt;='Assumptions and Catalog'!$C$56,L521*'Assumptions and Catalog'!$H$56+'Assumptions and Catalog'!$E$56+'Assumptions and Catalog'!$F$56,IF(L521&lt;='Assumptions and Catalog'!$C$57,L521*'Assumptions and Catalog'!$H$57+'Assumptions and Catalog'!$E$57+'Assumptions and Catalog'!$F$57,"Out of range")))))))),IF(L521&lt;='Assumptions and Catalog'!$C$60,L521*'Assumptions and Catalog'!$H$60+'Assumptions and Catalog'!$E$60+'Assumptions and Catalog'!$F$60,IF(L521&lt;='Assumptions and Catalog'!$C$61,L521*'Assumptions and Catalog'!$H$61+'Assumptions and Catalog'!$E$61+'Assumptions and Catalog'!$F$61,IF(L521&lt;='Assumptions and Catalog'!$C$62,L521*'Assumptions and Catalog'!$H$62+'Assumptions and Catalog'!$E$62+'Assumptions and Catalog'!$F$62,IF(L521&lt;='Assumptions and Catalog'!$C$63,L521*'Assumptions and Catalog'!$H$63+'Assumptions and Catalog'!$E$63+'Assumptions and Catalog'!$F$63,IF(L521&lt;='Assumptions and Catalog'!$C$64,L521*'Assumptions and Catalog'!$H$64+'Assumptions and Catalog'!$E$64+'Assumptions and Catalog'!$F$64,IF(L521&lt;='Assumptions and Catalog'!$C$65,L521*'Assumptions and Catalog'!$H$65+'Assumptions and Catalog'!$E$65+'Assumptions and Catalog'!$F$65,"Out of range")))))))))*(1+'Assumptions and Catalog'!$C$8)^(A521-1),0)</f>
        <v>7094.794</v>
      </c>
      <c r="O521" s="5" t="n">
        <f>M521-N521</f>
        <v>0</v>
      </c>
      <c r="P521" s="5" t="n">
        <f>D$55*(1-K$14)*(1-'Assumptions and Catalog'!$C$23)^R521</f>
        <v>0</v>
      </c>
      <c r="Q521" s="5" t="n">
        <f>IF(ISNUMBER(Inputs!$L$5),(IF(Inputs!$L$9="Actual flat rate",((D521+E521)*C521-G521)*Inputs!$L$10,IF(Inputs!$C$9="Residential",IF(((D521+E521)*C521-G521)&lt;='Assumptions and Catalog'!$C$50,((D521+E521)*C521-G521)*'Assumptions and Catalog'!$H$50+'Assumptions and Catalog'!$E$50+'Assumptions and Catalog'!$F$50,IF(((D521+E521)*C521-G521)&lt;='Assumptions and Catalog'!$C$51,((D521+E521)*C521-G521)*'Assumptions and Catalog'!$H$51+'Assumptions and Catalog'!$E$51+'Assumptions and Catalog'!$F$51,IF(((D521+E521)*C521-G521)&lt;='Assumptions and Catalog'!$C$52,((D521+E521)*C521-G521)*'Assumptions and Catalog'!$H$52+'Assumptions and Catalog'!$E$52+'Assumptions and Catalog'!$F$52,IF(((D521+E521)*C521-G521)&lt;='Assumptions and Catalog'!$C$53,((D521+E521)*C521-G521)*'Assumptions and Catalog'!$H$53+'Assumptions and Catalog'!$E$53+'Assumptions and Catalog'!$F$53,IF(((D521+E521)*C521-G521)&lt;='Assumptions and Catalog'!$C$54,((D521+E521)*C521-G521)*'Assumptions and Catalog'!$H$54+'Assumptions and Catalog'!$E$54+'Assumptions and Catalog'!$F$54,IF(((D521+E521)*C521-G521)&lt;='Assumptions and Catalog'!$C$55,((D521+E521)*C521-G521)*'Assumptions and Catalog'!$H$55+'Assumptions and Catalog'!$E$55+'Assumptions and Catalog'!$F$55,IF(((D521+E521)*C521-G521)&lt;='Assumptions and Catalog'!$C$56,((D521+E521)*C521-G521)*'Assumptions and Catalog'!$H$56+'Assumptions and Catalog'!$E$56+'Assumptions and Catalog'!$F$56,IF(((D521+E521)*C521-G521)&lt;='Assumptions and Catalog'!$C$57,((D521+E521)*C521-G521)*'Assumptions and Catalog'!$H$57+'Assumptions and Catalog'!$E$57+'Assumptions and Catalog'!$F$57,"Out of range")))))))),IF(((D521+E521)*C521-G521)&lt;='Assumptions and Catalog'!$C$60,((D521+E521)*C521-G521)*'Assumptions and Catalog'!$H$60+'Assumptions and Catalog'!$E$60+'Assumptions and Catalog'!$F$60,IF(((D521+E521)*C521-G521)&lt;='Assumptions and Catalog'!$C$61,((D521+E521)*C521-G521)*'Assumptions and Catalog'!$H$61+'Assumptions and Catalog'!$E$61+'Assumptions and Catalog'!$F$61,IF(((D521+E521)*C521-G521)&lt;='Assumptions and Catalog'!$C$62,((D521+E521)*C521-G521)*'Assumptions and Catalog'!$H$62+'Assumptions and Catalog'!$E$62+'Assumptions and Catalog'!$F$62,IF(((D521+E521)*C521-G521)&lt;='Assumptions and Catalog'!$C$63,((D521+E521)*C521-G521)*'Assumptions and Catalog'!$H$63+'Assumptions and Catalog'!$E$63+'Assumptions and Catalog'!$F$63,IF(((D521+E521)*C521-G521)&lt;='Assumptions and Catalog'!$C$64,((D521+E521)*C521-G521)*'Assumptions and Catalog'!$H$64+'Assumptions and Catalog'!$E$64+'Assumptions and Catalog'!$F$64,IF(((D521+E521)*C521-G521)&lt;='Assumptions and Catalog'!$C$65,((D521+E521)*C521-G521)*'Assumptions and Catalog'!$H$65+'Assumptions and Catalog'!$E$65+'Assumptions and Catalog'!$F$65,"Out of range")))))))))*(1+'Assumptions and Catalog'!$C$8)^(A521-1),0)</f>
        <v>7094.794</v>
      </c>
      <c r="R521" s="5" t="n">
        <f>IF(AND('Assumptions and Catalog'!$C$19&gt;0,A521&gt;='Assumptions and Catalog'!$C$19),A521-'Assumptions and Catalog'!$C$19,A521-1)</f>
        <v>9</v>
      </c>
      <c r="S521" s="5" t="n">
        <f>F521+L521-(D521+E521)*C521-J521-K521-IF(D$52&gt;0,'Assumptions and Catalog'!$C$26*C521,0)</f>
        <v>0</v>
      </c>
      <c r="T521" s="5"/>
      <c r="U521" s="5"/>
    </row>
    <row r="522" ht="23.100000381469727" customHeight="1">
      <c r="A522" s="5" t="n">
        <v>10</v>
      </c>
      <c r="B522" s="5" t="n">
        <v>4</v>
      </c>
      <c r="C522" s="5" t="n">
        <f>DAY(DATE('Assumptions and Catalog'!$C$24+A522-1,B522+1,0))</f>
        <v>30</v>
      </c>
      <c r="D522" s="5" t="n">
        <f>IF(ISNUMBER(Inputs!$L$5),Inputs!$L$5*Inputs!$L$6,0)</f>
        <v>40.35</v>
      </c>
      <c r="E522" s="5" t="n">
        <f>IF(ISNUMBER(Inputs!$L$5),Inputs!$L$5-D522,0)</f>
        <v>40.35</v>
      </c>
      <c r="F522" s="5" t="n">
        <f>D$51*'Assumptions and Catalog'!$C$31*C522*(1-'Assumptions and Catalog'!$C$10)^(A522-1)</f>
        <v>0</v>
      </c>
      <c r="G522" s="5" t="n">
        <f>MIN(F522,D522*C522)</f>
        <v>0</v>
      </c>
      <c r="H522" s="5" t="n">
        <f>I522/('Assumptions and Catalog'!$C$11*'Assumptions and Catalog'!$C$12)</f>
        <v>0</v>
      </c>
      <c r="I522" s="5" t="n">
        <f>IF(K$15="Grid cycle",MIN(K$16,D522+E522,P522*'Assumptions and Catalog'!$C$12,D$57*(24-'Assumptions and Catalog'!$C$15),D$56*'Assumptions and Catalog'!$C$15*'Assumptions and Catalog'!$C$11*'Assumptions and Catalog'!$C$12)*C522,0)</f>
        <v>0</v>
      </c>
      <c r="J522" s="5" t="n">
        <f>MAX(F522-G522-0,0)</f>
        <v>0</v>
      </c>
      <c r="K522" s="5" t="n">
        <f>H522-I522</f>
        <v>0</v>
      </c>
      <c r="L522" s="5" t="n">
        <f>(D522+E522)*C522-G522-I522+H522+IF(D$52&gt;0,'Assumptions and Catalog'!$C$26*C522,0)</f>
        <v>2421</v>
      </c>
      <c r="M522" s="5" t="n">
        <f>IF(ISNUMBER(Inputs!$L$5),(IF(Inputs!$L$9="Actual flat rate",((D522+E522)*C522)*Inputs!$L$10,IF(Inputs!$C$9="Residential",IF(((D522+E522)*C522)&lt;='Assumptions and Catalog'!$C$50,((D522+E522)*C522)*'Assumptions and Catalog'!$H$50+'Assumptions and Catalog'!$E$50+'Assumptions and Catalog'!$F$50,IF(((D522+E522)*C522)&lt;='Assumptions and Catalog'!$C$51,((D522+E522)*C522)*'Assumptions and Catalog'!$H$51+'Assumptions and Catalog'!$E$51+'Assumptions and Catalog'!$F$51,IF(((D522+E522)*C522)&lt;='Assumptions and Catalog'!$C$52,((D522+E522)*C522)*'Assumptions and Catalog'!$H$52+'Assumptions and Catalog'!$E$52+'Assumptions and Catalog'!$F$52,IF(((D522+E522)*C522)&lt;='Assumptions and Catalog'!$C$53,((D522+E522)*C522)*'Assumptions and Catalog'!$H$53+'Assumptions and Catalog'!$E$53+'Assumptions and Catalog'!$F$53,IF(((D522+E522)*C522)&lt;='Assumptions and Catalog'!$C$54,((D522+E522)*C522)*'Assumptions and Catalog'!$H$54+'Assumptions and Catalog'!$E$54+'Assumptions and Catalog'!$F$54,IF(((D522+E522)*C522)&lt;='Assumptions and Catalog'!$C$55,((D522+E522)*C522)*'Assumptions and Catalog'!$H$55+'Assumptions and Catalog'!$E$55+'Assumptions and Catalog'!$F$55,IF(((D522+E522)*C522)&lt;='Assumptions and Catalog'!$C$56,((D522+E522)*C522)*'Assumptions and Catalog'!$H$56+'Assumptions and Catalog'!$E$56+'Assumptions and Catalog'!$F$56,IF(((D522+E522)*C522)&lt;='Assumptions and Catalog'!$C$57,((D522+E522)*C522)*'Assumptions and Catalog'!$H$57+'Assumptions and Catalog'!$E$57+'Assumptions and Catalog'!$F$57,"Out of range")))))))),IF(((D522+E522)*C522)&lt;='Assumptions and Catalog'!$C$60,((D522+E522)*C522)*'Assumptions and Catalog'!$H$60+'Assumptions and Catalog'!$E$60+'Assumptions and Catalog'!$F$60,IF(((D522+E522)*C522)&lt;='Assumptions and Catalog'!$C$61,((D522+E522)*C522)*'Assumptions and Catalog'!$H$61+'Assumptions and Catalog'!$E$61+'Assumptions and Catalog'!$F$61,IF(((D522+E522)*C522)&lt;='Assumptions and Catalog'!$C$62,((D522+E522)*C522)*'Assumptions and Catalog'!$H$62+'Assumptions and Catalog'!$E$62+'Assumptions and Catalog'!$F$62,IF(((D522+E522)*C522)&lt;='Assumptions and Catalog'!$C$63,((D522+E522)*C522)*'Assumptions and Catalog'!$H$63+'Assumptions and Catalog'!$E$63+'Assumptions and Catalog'!$F$63,IF(((D522+E522)*C522)&lt;='Assumptions and Catalog'!$C$64,((D522+E522)*C522)*'Assumptions and Catalog'!$H$64+'Assumptions and Catalog'!$E$64+'Assumptions and Catalog'!$F$64,IF(((D522+E522)*C522)&lt;='Assumptions and Catalog'!$C$65,((D522+E522)*C522)*'Assumptions and Catalog'!$H$65+'Assumptions and Catalog'!$E$65+'Assumptions and Catalog'!$F$65,"Out of range")))))))))*(1+'Assumptions and Catalog'!$C$8)^(A522-1),0)</f>
        <v>6867.22</v>
      </c>
      <c r="N522" s="5" t="n">
        <f>IF(ISNUMBER(Inputs!$L$5),(IF(Inputs!$L$9="Actual flat rate",L522*Inputs!$L$10,IF(Inputs!$C$9="Residential",IF(L522&lt;='Assumptions and Catalog'!$C$50,L522*'Assumptions and Catalog'!$H$50+'Assumptions and Catalog'!$E$50+'Assumptions and Catalog'!$F$50,IF(L522&lt;='Assumptions and Catalog'!$C$51,L522*'Assumptions and Catalog'!$H$51+'Assumptions and Catalog'!$E$51+'Assumptions and Catalog'!$F$51,IF(L522&lt;='Assumptions and Catalog'!$C$52,L522*'Assumptions and Catalog'!$H$52+'Assumptions and Catalog'!$E$52+'Assumptions and Catalog'!$F$52,IF(L522&lt;='Assumptions and Catalog'!$C$53,L522*'Assumptions and Catalog'!$H$53+'Assumptions and Catalog'!$E$53+'Assumptions and Catalog'!$F$53,IF(L522&lt;='Assumptions and Catalog'!$C$54,L522*'Assumptions and Catalog'!$H$54+'Assumptions and Catalog'!$E$54+'Assumptions and Catalog'!$F$54,IF(L522&lt;='Assumptions and Catalog'!$C$55,L522*'Assumptions and Catalog'!$H$55+'Assumptions and Catalog'!$E$55+'Assumptions and Catalog'!$F$55,IF(L522&lt;='Assumptions and Catalog'!$C$56,L522*'Assumptions and Catalog'!$H$56+'Assumptions and Catalog'!$E$56+'Assumptions and Catalog'!$F$56,IF(L522&lt;='Assumptions and Catalog'!$C$57,L522*'Assumptions and Catalog'!$H$57+'Assumptions and Catalog'!$E$57+'Assumptions and Catalog'!$F$57,"Out of range")))))))),IF(L522&lt;='Assumptions and Catalog'!$C$60,L522*'Assumptions and Catalog'!$H$60+'Assumptions and Catalog'!$E$60+'Assumptions and Catalog'!$F$60,IF(L522&lt;='Assumptions and Catalog'!$C$61,L522*'Assumptions and Catalog'!$H$61+'Assumptions and Catalog'!$E$61+'Assumptions and Catalog'!$F$61,IF(L522&lt;='Assumptions and Catalog'!$C$62,L522*'Assumptions and Catalog'!$H$62+'Assumptions and Catalog'!$E$62+'Assumptions and Catalog'!$F$62,IF(L522&lt;='Assumptions and Catalog'!$C$63,L522*'Assumptions and Catalog'!$H$63+'Assumptions and Catalog'!$E$63+'Assumptions and Catalog'!$F$63,IF(L522&lt;='Assumptions and Catalog'!$C$64,L522*'Assumptions and Catalog'!$H$64+'Assumptions and Catalog'!$E$64+'Assumptions and Catalog'!$F$64,IF(L522&lt;='Assumptions and Catalog'!$C$65,L522*'Assumptions and Catalog'!$H$65+'Assumptions and Catalog'!$E$65+'Assumptions and Catalog'!$F$65,"Out of range")))))))))*(1+'Assumptions and Catalog'!$C$8)^(A522-1),0)</f>
        <v>6867.22</v>
      </c>
      <c r="O522" s="5" t="n">
        <f>M522-N522</f>
        <v>0</v>
      </c>
      <c r="P522" s="5" t="n">
        <f>D$55*(1-K$14)*(1-'Assumptions and Catalog'!$C$23)^R522</f>
        <v>0</v>
      </c>
      <c r="Q522" s="5" t="n">
        <f>IF(ISNUMBER(Inputs!$L$5),(IF(Inputs!$L$9="Actual flat rate",((D522+E522)*C522-G522)*Inputs!$L$10,IF(Inputs!$C$9="Residential",IF(((D522+E522)*C522-G522)&lt;='Assumptions and Catalog'!$C$50,((D522+E522)*C522-G522)*'Assumptions and Catalog'!$H$50+'Assumptions and Catalog'!$E$50+'Assumptions and Catalog'!$F$50,IF(((D522+E522)*C522-G522)&lt;='Assumptions and Catalog'!$C$51,((D522+E522)*C522-G522)*'Assumptions and Catalog'!$H$51+'Assumptions and Catalog'!$E$51+'Assumptions and Catalog'!$F$51,IF(((D522+E522)*C522-G522)&lt;='Assumptions and Catalog'!$C$52,((D522+E522)*C522-G522)*'Assumptions and Catalog'!$H$52+'Assumptions and Catalog'!$E$52+'Assumptions and Catalog'!$F$52,IF(((D522+E522)*C522-G522)&lt;='Assumptions and Catalog'!$C$53,((D522+E522)*C522-G522)*'Assumptions and Catalog'!$H$53+'Assumptions and Catalog'!$E$53+'Assumptions and Catalog'!$F$53,IF(((D522+E522)*C522-G522)&lt;='Assumptions and Catalog'!$C$54,((D522+E522)*C522-G522)*'Assumptions and Catalog'!$H$54+'Assumptions and Catalog'!$E$54+'Assumptions and Catalog'!$F$54,IF(((D522+E522)*C522-G522)&lt;='Assumptions and Catalog'!$C$55,((D522+E522)*C522-G522)*'Assumptions and Catalog'!$H$55+'Assumptions and Catalog'!$E$55+'Assumptions and Catalog'!$F$55,IF(((D522+E522)*C522-G522)&lt;='Assumptions and Catalog'!$C$56,((D522+E522)*C522-G522)*'Assumptions and Catalog'!$H$56+'Assumptions and Catalog'!$E$56+'Assumptions and Catalog'!$F$56,IF(((D522+E522)*C522-G522)&lt;='Assumptions and Catalog'!$C$57,((D522+E522)*C522-G522)*'Assumptions and Catalog'!$H$57+'Assumptions and Catalog'!$E$57+'Assumptions and Catalog'!$F$57,"Out of range")))))))),IF(((D522+E522)*C522-G522)&lt;='Assumptions and Catalog'!$C$60,((D522+E522)*C522-G522)*'Assumptions and Catalog'!$H$60+'Assumptions and Catalog'!$E$60+'Assumptions and Catalog'!$F$60,IF(((D522+E522)*C522-G522)&lt;='Assumptions and Catalog'!$C$61,((D522+E522)*C522-G522)*'Assumptions and Catalog'!$H$61+'Assumptions and Catalog'!$E$61+'Assumptions and Catalog'!$F$61,IF(((D522+E522)*C522-G522)&lt;='Assumptions and Catalog'!$C$62,((D522+E522)*C522-G522)*'Assumptions and Catalog'!$H$62+'Assumptions and Catalog'!$E$62+'Assumptions and Catalog'!$F$62,IF(((D522+E522)*C522-G522)&lt;='Assumptions and Catalog'!$C$63,((D522+E522)*C522-G522)*'Assumptions and Catalog'!$H$63+'Assumptions and Catalog'!$E$63+'Assumptions and Catalog'!$F$63,IF(((D522+E522)*C522-G522)&lt;='Assumptions and Catalog'!$C$64,((D522+E522)*C522-G522)*'Assumptions and Catalog'!$H$64+'Assumptions and Catalog'!$E$64+'Assumptions and Catalog'!$F$64,IF(((D522+E522)*C522-G522)&lt;='Assumptions and Catalog'!$C$65,((D522+E522)*C522-G522)*'Assumptions and Catalog'!$H$65+'Assumptions and Catalog'!$E$65+'Assumptions and Catalog'!$F$65,"Out of range")))))))))*(1+'Assumptions and Catalog'!$C$8)^(A522-1),0)</f>
        <v>6867.22</v>
      </c>
      <c r="R522" s="5" t="n">
        <f>IF(AND('Assumptions and Catalog'!$C$19&gt;0,A522&gt;='Assumptions and Catalog'!$C$19),A522-'Assumptions and Catalog'!$C$19,A522-1)</f>
        <v>9</v>
      </c>
      <c r="S522" s="5" t="n">
        <f>F522+L522-(D522+E522)*C522-J522-K522-IF(D$52&gt;0,'Assumptions and Catalog'!$C$26*C522,0)</f>
        <v>0</v>
      </c>
      <c r="T522" s="5"/>
      <c r="U522" s="5"/>
    </row>
    <row r="523" ht="23.100000381469727" customHeight="1">
      <c r="A523" s="5" t="n">
        <v>10</v>
      </c>
      <c r="B523" s="5" t="n">
        <v>5</v>
      </c>
      <c r="C523" s="5" t="n">
        <f>DAY(DATE('Assumptions and Catalog'!$C$24+A523-1,B523+1,0))</f>
        <v>31</v>
      </c>
      <c r="D523" s="5" t="n">
        <f>IF(ISNUMBER(Inputs!$L$5),Inputs!$L$5*Inputs!$L$6,0)</f>
        <v>40.35</v>
      </c>
      <c r="E523" s="5" t="n">
        <f>IF(ISNUMBER(Inputs!$L$5),Inputs!$L$5-D523,0)</f>
        <v>40.35</v>
      </c>
      <c r="F523" s="5" t="n">
        <f>D$51*'Assumptions and Catalog'!$C$31*C523*(1-'Assumptions and Catalog'!$C$10)^(A523-1)</f>
        <v>0</v>
      </c>
      <c r="G523" s="5" t="n">
        <f>MIN(F523,D523*C523)</f>
        <v>0</v>
      </c>
      <c r="H523" s="5" t="n">
        <f>I523/('Assumptions and Catalog'!$C$11*'Assumptions and Catalog'!$C$12)</f>
        <v>0</v>
      </c>
      <c r="I523" s="5" t="n">
        <f>IF(K$15="Grid cycle",MIN(K$16,D523+E523,P523*'Assumptions and Catalog'!$C$12,D$57*(24-'Assumptions and Catalog'!$C$15),D$56*'Assumptions and Catalog'!$C$15*'Assumptions and Catalog'!$C$11*'Assumptions and Catalog'!$C$12)*C523,0)</f>
        <v>0</v>
      </c>
      <c r="J523" s="5" t="n">
        <f>MAX(F523-G523-0,0)</f>
        <v>0</v>
      </c>
      <c r="K523" s="5" t="n">
        <f>H523-I523</f>
        <v>0</v>
      </c>
      <c r="L523" s="5" t="n">
        <f>(D523+E523)*C523-G523-I523+H523+IF(D$52&gt;0,'Assumptions and Catalog'!$C$26*C523,0)</f>
        <v>2501.7</v>
      </c>
      <c r="M523" s="5" t="n">
        <f>IF(ISNUMBER(Inputs!$L$5),(IF(Inputs!$L$9="Actual flat rate",((D523+E523)*C523)*Inputs!$L$10,IF(Inputs!$C$9="Residential",IF(((D523+E523)*C523)&lt;='Assumptions and Catalog'!$C$50,((D523+E523)*C523)*'Assumptions and Catalog'!$H$50+'Assumptions and Catalog'!$E$50+'Assumptions and Catalog'!$F$50,IF(((D523+E523)*C523)&lt;='Assumptions and Catalog'!$C$51,((D523+E523)*C523)*'Assumptions and Catalog'!$H$51+'Assumptions and Catalog'!$E$51+'Assumptions and Catalog'!$F$51,IF(((D523+E523)*C523)&lt;='Assumptions and Catalog'!$C$52,((D523+E523)*C523)*'Assumptions and Catalog'!$H$52+'Assumptions and Catalog'!$E$52+'Assumptions and Catalog'!$F$52,IF(((D523+E523)*C523)&lt;='Assumptions and Catalog'!$C$53,((D523+E523)*C523)*'Assumptions and Catalog'!$H$53+'Assumptions and Catalog'!$E$53+'Assumptions and Catalog'!$F$53,IF(((D523+E523)*C523)&lt;='Assumptions and Catalog'!$C$54,((D523+E523)*C523)*'Assumptions and Catalog'!$H$54+'Assumptions and Catalog'!$E$54+'Assumptions and Catalog'!$F$54,IF(((D523+E523)*C523)&lt;='Assumptions and Catalog'!$C$55,((D523+E523)*C523)*'Assumptions and Catalog'!$H$55+'Assumptions and Catalog'!$E$55+'Assumptions and Catalog'!$F$55,IF(((D523+E523)*C523)&lt;='Assumptions and Catalog'!$C$56,((D523+E523)*C523)*'Assumptions and Catalog'!$H$56+'Assumptions and Catalog'!$E$56+'Assumptions and Catalog'!$F$56,IF(((D523+E523)*C523)&lt;='Assumptions and Catalog'!$C$57,((D523+E523)*C523)*'Assumptions and Catalog'!$H$57+'Assumptions and Catalog'!$E$57+'Assumptions and Catalog'!$F$57,"Out of range")))))))),IF(((D523+E523)*C523)&lt;='Assumptions and Catalog'!$C$60,((D523+E523)*C523)*'Assumptions and Catalog'!$H$60+'Assumptions and Catalog'!$E$60+'Assumptions and Catalog'!$F$60,IF(((D523+E523)*C523)&lt;='Assumptions and Catalog'!$C$61,((D523+E523)*C523)*'Assumptions and Catalog'!$H$61+'Assumptions and Catalog'!$E$61+'Assumptions and Catalog'!$F$61,IF(((D523+E523)*C523)&lt;='Assumptions and Catalog'!$C$62,((D523+E523)*C523)*'Assumptions and Catalog'!$H$62+'Assumptions and Catalog'!$E$62+'Assumptions and Catalog'!$F$62,IF(((D523+E523)*C523)&lt;='Assumptions and Catalog'!$C$63,((D523+E523)*C523)*'Assumptions and Catalog'!$H$63+'Assumptions and Catalog'!$E$63+'Assumptions and Catalog'!$F$63,IF(((D523+E523)*C523)&lt;='Assumptions and Catalog'!$C$64,((D523+E523)*C523)*'Assumptions and Catalog'!$H$64+'Assumptions and Catalog'!$E$64+'Assumptions and Catalog'!$F$64,IF(((D523+E523)*C523)&lt;='Assumptions and Catalog'!$C$65,((D523+E523)*C523)*'Assumptions and Catalog'!$H$65+'Assumptions and Catalog'!$E$65+'Assumptions and Catalog'!$F$65,"Out of range")))))))))*(1+'Assumptions and Catalog'!$C$8)^(A523-1),0)</f>
        <v>7094.794</v>
      </c>
      <c r="N523" s="5" t="n">
        <f>IF(ISNUMBER(Inputs!$L$5),(IF(Inputs!$L$9="Actual flat rate",L523*Inputs!$L$10,IF(Inputs!$C$9="Residential",IF(L523&lt;='Assumptions and Catalog'!$C$50,L523*'Assumptions and Catalog'!$H$50+'Assumptions and Catalog'!$E$50+'Assumptions and Catalog'!$F$50,IF(L523&lt;='Assumptions and Catalog'!$C$51,L523*'Assumptions and Catalog'!$H$51+'Assumptions and Catalog'!$E$51+'Assumptions and Catalog'!$F$51,IF(L523&lt;='Assumptions and Catalog'!$C$52,L523*'Assumptions and Catalog'!$H$52+'Assumptions and Catalog'!$E$52+'Assumptions and Catalog'!$F$52,IF(L523&lt;='Assumptions and Catalog'!$C$53,L523*'Assumptions and Catalog'!$H$53+'Assumptions and Catalog'!$E$53+'Assumptions and Catalog'!$F$53,IF(L523&lt;='Assumptions and Catalog'!$C$54,L523*'Assumptions and Catalog'!$H$54+'Assumptions and Catalog'!$E$54+'Assumptions and Catalog'!$F$54,IF(L523&lt;='Assumptions and Catalog'!$C$55,L523*'Assumptions and Catalog'!$H$55+'Assumptions and Catalog'!$E$55+'Assumptions and Catalog'!$F$55,IF(L523&lt;='Assumptions and Catalog'!$C$56,L523*'Assumptions and Catalog'!$H$56+'Assumptions and Catalog'!$E$56+'Assumptions and Catalog'!$F$56,IF(L523&lt;='Assumptions and Catalog'!$C$57,L523*'Assumptions and Catalog'!$H$57+'Assumptions and Catalog'!$E$57+'Assumptions and Catalog'!$F$57,"Out of range")))))))),IF(L523&lt;='Assumptions and Catalog'!$C$60,L523*'Assumptions and Catalog'!$H$60+'Assumptions and Catalog'!$E$60+'Assumptions and Catalog'!$F$60,IF(L523&lt;='Assumptions and Catalog'!$C$61,L523*'Assumptions and Catalog'!$H$61+'Assumptions and Catalog'!$E$61+'Assumptions and Catalog'!$F$61,IF(L523&lt;='Assumptions and Catalog'!$C$62,L523*'Assumptions and Catalog'!$H$62+'Assumptions and Catalog'!$E$62+'Assumptions and Catalog'!$F$62,IF(L523&lt;='Assumptions and Catalog'!$C$63,L523*'Assumptions and Catalog'!$H$63+'Assumptions and Catalog'!$E$63+'Assumptions and Catalog'!$F$63,IF(L523&lt;='Assumptions and Catalog'!$C$64,L523*'Assumptions and Catalog'!$H$64+'Assumptions and Catalog'!$E$64+'Assumptions and Catalog'!$F$64,IF(L523&lt;='Assumptions and Catalog'!$C$65,L523*'Assumptions and Catalog'!$H$65+'Assumptions and Catalog'!$E$65+'Assumptions and Catalog'!$F$65,"Out of range")))))))))*(1+'Assumptions and Catalog'!$C$8)^(A523-1),0)</f>
        <v>7094.794</v>
      </c>
      <c r="O523" s="5" t="n">
        <f>M523-N523</f>
        <v>0</v>
      </c>
      <c r="P523" s="5" t="n">
        <f>D$55*(1-K$14)*(1-'Assumptions and Catalog'!$C$23)^R523</f>
        <v>0</v>
      </c>
      <c r="Q523" s="5" t="n">
        <f>IF(ISNUMBER(Inputs!$L$5),(IF(Inputs!$L$9="Actual flat rate",((D523+E523)*C523-G523)*Inputs!$L$10,IF(Inputs!$C$9="Residential",IF(((D523+E523)*C523-G523)&lt;='Assumptions and Catalog'!$C$50,((D523+E523)*C523-G523)*'Assumptions and Catalog'!$H$50+'Assumptions and Catalog'!$E$50+'Assumptions and Catalog'!$F$50,IF(((D523+E523)*C523-G523)&lt;='Assumptions and Catalog'!$C$51,((D523+E523)*C523-G523)*'Assumptions and Catalog'!$H$51+'Assumptions and Catalog'!$E$51+'Assumptions and Catalog'!$F$51,IF(((D523+E523)*C523-G523)&lt;='Assumptions and Catalog'!$C$52,((D523+E523)*C523-G523)*'Assumptions and Catalog'!$H$52+'Assumptions and Catalog'!$E$52+'Assumptions and Catalog'!$F$52,IF(((D523+E523)*C523-G523)&lt;='Assumptions and Catalog'!$C$53,((D523+E523)*C523-G523)*'Assumptions and Catalog'!$H$53+'Assumptions and Catalog'!$E$53+'Assumptions and Catalog'!$F$53,IF(((D523+E523)*C523-G523)&lt;='Assumptions and Catalog'!$C$54,((D523+E523)*C523-G523)*'Assumptions and Catalog'!$H$54+'Assumptions and Catalog'!$E$54+'Assumptions and Catalog'!$F$54,IF(((D523+E523)*C523-G523)&lt;='Assumptions and Catalog'!$C$55,((D523+E523)*C523-G523)*'Assumptions and Catalog'!$H$55+'Assumptions and Catalog'!$E$55+'Assumptions and Catalog'!$F$55,IF(((D523+E523)*C523-G523)&lt;='Assumptions and Catalog'!$C$56,((D523+E523)*C523-G523)*'Assumptions and Catalog'!$H$56+'Assumptions and Catalog'!$E$56+'Assumptions and Catalog'!$F$56,IF(((D523+E523)*C523-G523)&lt;='Assumptions and Catalog'!$C$57,((D523+E523)*C523-G523)*'Assumptions and Catalog'!$H$57+'Assumptions and Catalog'!$E$57+'Assumptions and Catalog'!$F$57,"Out of range")))))))),IF(((D523+E523)*C523-G523)&lt;='Assumptions and Catalog'!$C$60,((D523+E523)*C523-G523)*'Assumptions and Catalog'!$H$60+'Assumptions and Catalog'!$E$60+'Assumptions and Catalog'!$F$60,IF(((D523+E523)*C523-G523)&lt;='Assumptions and Catalog'!$C$61,((D523+E523)*C523-G523)*'Assumptions and Catalog'!$H$61+'Assumptions and Catalog'!$E$61+'Assumptions and Catalog'!$F$61,IF(((D523+E523)*C523-G523)&lt;='Assumptions and Catalog'!$C$62,((D523+E523)*C523-G523)*'Assumptions and Catalog'!$H$62+'Assumptions and Catalog'!$E$62+'Assumptions and Catalog'!$F$62,IF(((D523+E523)*C523-G523)&lt;='Assumptions and Catalog'!$C$63,((D523+E523)*C523-G523)*'Assumptions and Catalog'!$H$63+'Assumptions and Catalog'!$E$63+'Assumptions and Catalog'!$F$63,IF(((D523+E523)*C523-G523)&lt;='Assumptions and Catalog'!$C$64,((D523+E523)*C523-G523)*'Assumptions and Catalog'!$H$64+'Assumptions and Catalog'!$E$64+'Assumptions and Catalog'!$F$64,IF(((D523+E523)*C523-G523)&lt;='Assumptions and Catalog'!$C$65,((D523+E523)*C523-G523)*'Assumptions and Catalog'!$H$65+'Assumptions and Catalog'!$E$65+'Assumptions and Catalog'!$F$65,"Out of range")))))))))*(1+'Assumptions and Catalog'!$C$8)^(A523-1),0)</f>
        <v>7094.794</v>
      </c>
      <c r="R523" s="5" t="n">
        <f>IF(AND('Assumptions and Catalog'!$C$19&gt;0,A523&gt;='Assumptions and Catalog'!$C$19),A523-'Assumptions and Catalog'!$C$19,A523-1)</f>
        <v>9</v>
      </c>
      <c r="S523" s="5" t="n">
        <f>F523+L523-(D523+E523)*C523-J523-K523-IF(D$52&gt;0,'Assumptions and Catalog'!$C$26*C523,0)</f>
        <v>0</v>
      </c>
      <c r="T523" s="5"/>
      <c r="U523" s="5"/>
    </row>
    <row r="524" ht="23.100000381469727" customHeight="1">
      <c r="A524" s="5" t="n">
        <v>10</v>
      </c>
      <c r="B524" s="5" t="n">
        <v>6</v>
      </c>
      <c r="C524" s="5" t="n">
        <f>DAY(DATE('Assumptions and Catalog'!$C$24+A524-1,B524+1,0))</f>
        <v>30</v>
      </c>
      <c r="D524" s="5" t="n">
        <f>IF(ISNUMBER(Inputs!$L$5),Inputs!$L$5*Inputs!$L$6,0)</f>
        <v>40.35</v>
      </c>
      <c r="E524" s="5" t="n">
        <f>IF(ISNUMBER(Inputs!$L$5),Inputs!$L$5-D524,0)</f>
        <v>40.35</v>
      </c>
      <c r="F524" s="5" t="n">
        <f>D$51*'Assumptions and Catalog'!$C$31*C524*(1-'Assumptions and Catalog'!$C$10)^(A524-1)</f>
        <v>0</v>
      </c>
      <c r="G524" s="5" t="n">
        <f>MIN(F524,D524*C524)</f>
        <v>0</v>
      </c>
      <c r="H524" s="5" t="n">
        <f>I524/('Assumptions and Catalog'!$C$11*'Assumptions and Catalog'!$C$12)</f>
        <v>0</v>
      </c>
      <c r="I524" s="5" t="n">
        <f>IF(K$15="Grid cycle",MIN(K$16,D524+E524,P524*'Assumptions and Catalog'!$C$12,D$57*(24-'Assumptions and Catalog'!$C$15),D$56*'Assumptions and Catalog'!$C$15*'Assumptions and Catalog'!$C$11*'Assumptions and Catalog'!$C$12)*C524,0)</f>
        <v>0</v>
      </c>
      <c r="J524" s="5" t="n">
        <f>MAX(F524-G524-0,0)</f>
        <v>0</v>
      </c>
      <c r="K524" s="5" t="n">
        <f>H524-I524</f>
        <v>0</v>
      </c>
      <c r="L524" s="5" t="n">
        <f>(D524+E524)*C524-G524-I524+H524+IF(D$52&gt;0,'Assumptions and Catalog'!$C$26*C524,0)</f>
        <v>2421</v>
      </c>
      <c r="M524" s="5" t="n">
        <f>IF(ISNUMBER(Inputs!$L$5),(IF(Inputs!$L$9="Actual flat rate",((D524+E524)*C524)*Inputs!$L$10,IF(Inputs!$C$9="Residential",IF(((D524+E524)*C524)&lt;='Assumptions and Catalog'!$C$50,((D524+E524)*C524)*'Assumptions and Catalog'!$H$50+'Assumptions and Catalog'!$E$50+'Assumptions and Catalog'!$F$50,IF(((D524+E524)*C524)&lt;='Assumptions and Catalog'!$C$51,((D524+E524)*C524)*'Assumptions and Catalog'!$H$51+'Assumptions and Catalog'!$E$51+'Assumptions and Catalog'!$F$51,IF(((D524+E524)*C524)&lt;='Assumptions and Catalog'!$C$52,((D524+E524)*C524)*'Assumptions and Catalog'!$H$52+'Assumptions and Catalog'!$E$52+'Assumptions and Catalog'!$F$52,IF(((D524+E524)*C524)&lt;='Assumptions and Catalog'!$C$53,((D524+E524)*C524)*'Assumptions and Catalog'!$H$53+'Assumptions and Catalog'!$E$53+'Assumptions and Catalog'!$F$53,IF(((D524+E524)*C524)&lt;='Assumptions and Catalog'!$C$54,((D524+E524)*C524)*'Assumptions and Catalog'!$H$54+'Assumptions and Catalog'!$E$54+'Assumptions and Catalog'!$F$54,IF(((D524+E524)*C524)&lt;='Assumptions and Catalog'!$C$55,((D524+E524)*C524)*'Assumptions and Catalog'!$H$55+'Assumptions and Catalog'!$E$55+'Assumptions and Catalog'!$F$55,IF(((D524+E524)*C524)&lt;='Assumptions and Catalog'!$C$56,((D524+E524)*C524)*'Assumptions and Catalog'!$H$56+'Assumptions and Catalog'!$E$56+'Assumptions and Catalog'!$F$56,IF(((D524+E524)*C524)&lt;='Assumptions and Catalog'!$C$57,((D524+E524)*C524)*'Assumptions and Catalog'!$H$57+'Assumptions and Catalog'!$E$57+'Assumptions and Catalog'!$F$57,"Out of range")))))))),IF(((D524+E524)*C524)&lt;='Assumptions and Catalog'!$C$60,((D524+E524)*C524)*'Assumptions and Catalog'!$H$60+'Assumptions and Catalog'!$E$60+'Assumptions and Catalog'!$F$60,IF(((D524+E524)*C524)&lt;='Assumptions and Catalog'!$C$61,((D524+E524)*C524)*'Assumptions and Catalog'!$H$61+'Assumptions and Catalog'!$E$61+'Assumptions and Catalog'!$F$61,IF(((D524+E524)*C524)&lt;='Assumptions and Catalog'!$C$62,((D524+E524)*C524)*'Assumptions and Catalog'!$H$62+'Assumptions and Catalog'!$E$62+'Assumptions and Catalog'!$F$62,IF(((D524+E524)*C524)&lt;='Assumptions and Catalog'!$C$63,((D524+E524)*C524)*'Assumptions and Catalog'!$H$63+'Assumptions and Catalog'!$E$63+'Assumptions and Catalog'!$F$63,IF(((D524+E524)*C524)&lt;='Assumptions and Catalog'!$C$64,((D524+E524)*C524)*'Assumptions and Catalog'!$H$64+'Assumptions and Catalog'!$E$64+'Assumptions and Catalog'!$F$64,IF(((D524+E524)*C524)&lt;='Assumptions and Catalog'!$C$65,((D524+E524)*C524)*'Assumptions and Catalog'!$H$65+'Assumptions and Catalog'!$E$65+'Assumptions and Catalog'!$F$65,"Out of range")))))))))*(1+'Assumptions and Catalog'!$C$8)^(A524-1),0)</f>
        <v>6867.22</v>
      </c>
      <c r="N524" s="5" t="n">
        <f>IF(ISNUMBER(Inputs!$L$5),(IF(Inputs!$L$9="Actual flat rate",L524*Inputs!$L$10,IF(Inputs!$C$9="Residential",IF(L524&lt;='Assumptions and Catalog'!$C$50,L524*'Assumptions and Catalog'!$H$50+'Assumptions and Catalog'!$E$50+'Assumptions and Catalog'!$F$50,IF(L524&lt;='Assumptions and Catalog'!$C$51,L524*'Assumptions and Catalog'!$H$51+'Assumptions and Catalog'!$E$51+'Assumptions and Catalog'!$F$51,IF(L524&lt;='Assumptions and Catalog'!$C$52,L524*'Assumptions and Catalog'!$H$52+'Assumptions and Catalog'!$E$52+'Assumptions and Catalog'!$F$52,IF(L524&lt;='Assumptions and Catalog'!$C$53,L524*'Assumptions and Catalog'!$H$53+'Assumptions and Catalog'!$E$53+'Assumptions and Catalog'!$F$53,IF(L524&lt;='Assumptions and Catalog'!$C$54,L524*'Assumptions and Catalog'!$H$54+'Assumptions and Catalog'!$E$54+'Assumptions and Catalog'!$F$54,IF(L524&lt;='Assumptions and Catalog'!$C$55,L524*'Assumptions and Catalog'!$H$55+'Assumptions and Catalog'!$E$55+'Assumptions and Catalog'!$F$55,IF(L524&lt;='Assumptions and Catalog'!$C$56,L524*'Assumptions and Catalog'!$H$56+'Assumptions and Catalog'!$E$56+'Assumptions and Catalog'!$F$56,IF(L524&lt;='Assumptions and Catalog'!$C$57,L524*'Assumptions and Catalog'!$H$57+'Assumptions and Catalog'!$E$57+'Assumptions and Catalog'!$F$57,"Out of range")))))))),IF(L524&lt;='Assumptions and Catalog'!$C$60,L524*'Assumptions and Catalog'!$H$60+'Assumptions and Catalog'!$E$60+'Assumptions and Catalog'!$F$60,IF(L524&lt;='Assumptions and Catalog'!$C$61,L524*'Assumptions and Catalog'!$H$61+'Assumptions and Catalog'!$E$61+'Assumptions and Catalog'!$F$61,IF(L524&lt;='Assumptions and Catalog'!$C$62,L524*'Assumptions and Catalog'!$H$62+'Assumptions and Catalog'!$E$62+'Assumptions and Catalog'!$F$62,IF(L524&lt;='Assumptions and Catalog'!$C$63,L524*'Assumptions and Catalog'!$H$63+'Assumptions and Catalog'!$E$63+'Assumptions and Catalog'!$F$63,IF(L524&lt;='Assumptions and Catalog'!$C$64,L524*'Assumptions and Catalog'!$H$64+'Assumptions and Catalog'!$E$64+'Assumptions and Catalog'!$F$64,IF(L524&lt;='Assumptions and Catalog'!$C$65,L524*'Assumptions and Catalog'!$H$65+'Assumptions and Catalog'!$E$65+'Assumptions and Catalog'!$F$65,"Out of range")))))))))*(1+'Assumptions and Catalog'!$C$8)^(A524-1),0)</f>
        <v>6867.22</v>
      </c>
      <c r="O524" s="5" t="n">
        <f>M524-N524</f>
        <v>0</v>
      </c>
      <c r="P524" s="5" t="n">
        <f>D$55*(1-K$14)*(1-'Assumptions and Catalog'!$C$23)^R524</f>
        <v>0</v>
      </c>
      <c r="Q524" s="5" t="n">
        <f>IF(ISNUMBER(Inputs!$L$5),(IF(Inputs!$L$9="Actual flat rate",((D524+E524)*C524-G524)*Inputs!$L$10,IF(Inputs!$C$9="Residential",IF(((D524+E524)*C524-G524)&lt;='Assumptions and Catalog'!$C$50,((D524+E524)*C524-G524)*'Assumptions and Catalog'!$H$50+'Assumptions and Catalog'!$E$50+'Assumptions and Catalog'!$F$50,IF(((D524+E524)*C524-G524)&lt;='Assumptions and Catalog'!$C$51,((D524+E524)*C524-G524)*'Assumptions and Catalog'!$H$51+'Assumptions and Catalog'!$E$51+'Assumptions and Catalog'!$F$51,IF(((D524+E524)*C524-G524)&lt;='Assumptions and Catalog'!$C$52,((D524+E524)*C524-G524)*'Assumptions and Catalog'!$H$52+'Assumptions and Catalog'!$E$52+'Assumptions and Catalog'!$F$52,IF(((D524+E524)*C524-G524)&lt;='Assumptions and Catalog'!$C$53,((D524+E524)*C524-G524)*'Assumptions and Catalog'!$H$53+'Assumptions and Catalog'!$E$53+'Assumptions and Catalog'!$F$53,IF(((D524+E524)*C524-G524)&lt;='Assumptions and Catalog'!$C$54,((D524+E524)*C524-G524)*'Assumptions and Catalog'!$H$54+'Assumptions and Catalog'!$E$54+'Assumptions and Catalog'!$F$54,IF(((D524+E524)*C524-G524)&lt;='Assumptions and Catalog'!$C$55,((D524+E524)*C524-G524)*'Assumptions and Catalog'!$H$55+'Assumptions and Catalog'!$E$55+'Assumptions and Catalog'!$F$55,IF(((D524+E524)*C524-G524)&lt;='Assumptions and Catalog'!$C$56,((D524+E524)*C524-G524)*'Assumptions and Catalog'!$H$56+'Assumptions and Catalog'!$E$56+'Assumptions and Catalog'!$F$56,IF(((D524+E524)*C524-G524)&lt;='Assumptions and Catalog'!$C$57,((D524+E524)*C524-G524)*'Assumptions and Catalog'!$H$57+'Assumptions and Catalog'!$E$57+'Assumptions and Catalog'!$F$57,"Out of range")))))))),IF(((D524+E524)*C524-G524)&lt;='Assumptions and Catalog'!$C$60,((D524+E524)*C524-G524)*'Assumptions and Catalog'!$H$60+'Assumptions and Catalog'!$E$60+'Assumptions and Catalog'!$F$60,IF(((D524+E524)*C524-G524)&lt;='Assumptions and Catalog'!$C$61,((D524+E524)*C524-G524)*'Assumptions and Catalog'!$H$61+'Assumptions and Catalog'!$E$61+'Assumptions and Catalog'!$F$61,IF(((D524+E524)*C524-G524)&lt;='Assumptions and Catalog'!$C$62,((D524+E524)*C524-G524)*'Assumptions and Catalog'!$H$62+'Assumptions and Catalog'!$E$62+'Assumptions and Catalog'!$F$62,IF(((D524+E524)*C524-G524)&lt;='Assumptions and Catalog'!$C$63,((D524+E524)*C524-G524)*'Assumptions and Catalog'!$H$63+'Assumptions and Catalog'!$E$63+'Assumptions and Catalog'!$F$63,IF(((D524+E524)*C524-G524)&lt;='Assumptions and Catalog'!$C$64,((D524+E524)*C524-G524)*'Assumptions and Catalog'!$H$64+'Assumptions and Catalog'!$E$64+'Assumptions and Catalog'!$F$64,IF(((D524+E524)*C524-G524)&lt;='Assumptions and Catalog'!$C$65,((D524+E524)*C524-G524)*'Assumptions and Catalog'!$H$65+'Assumptions and Catalog'!$E$65+'Assumptions and Catalog'!$F$65,"Out of range")))))))))*(1+'Assumptions and Catalog'!$C$8)^(A524-1),0)</f>
        <v>6867.22</v>
      </c>
      <c r="R524" s="5" t="n">
        <f>IF(AND('Assumptions and Catalog'!$C$19&gt;0,A524&gt;='Assumptions and Catalog'!$C$19),A524-'Assumptions and Catalog'!$C$19,A524-1)</f>
        <v>9</v>
      </c>
      <c r="S524" s="5" t="n">
        <f>F524+L524-(D524+E524)*C524-J524-K524-IF(D$52&gt;0,'Assumptions and Catalog'!$C$26*C524,0)</f>
        <v>0</v>
      </c>
      <c r="T524" s="5"/>
      <c r="U524" s="5"/>
    </row>
    <row r="525" ht="23.100000381469727" customHeight="1">
      <c r="A525" s="5" t="n">
        <v>10</v>
      </c>
      <c r="B525" s="5" t="n">
        <v>7</v>
      </c>
      <c r="C525" s="5" t="n">
        <f>DAY(DATE('Assumptions and Catalog'!$C$24+A525-1,B525+1,0))</f>
        <v>31</v>
      </c>
      <c r="D525" s="5" t="n">
        <f>IF(ISNUMBER(Inputs!$L$5),Inputs!$L$5*Inputs!$L$6,0)</f>
        <v>40.35</v>
      </c>
      <c r="E525" s="5" t="n">
        <f>IF(ISNUMBER(Inputs!$L$5),Inputs!$L$5-D525,0)</f>
        <v>40.35</v>
      </c>
      <c r="F525" s="5" t="n">
        <f>D$51*'Assumptions and Catalog'!$C$31*C525*(1-'Assumptions and Catalog'!$C$10)^(A525-1)</f>
        <v>0</v>
      </c>
      <c r="G525" s="5" t="n">
        <f>MIN(F525,D525*C525)</f>
        <v>0</v>
      </c>
      <c r="H525" s="5" t="n">
        <f>I525/('Assumptions and Catalog'!$C$11*'Assumptions and Catalog'!$C$12)</f>
        <v>0</v>
      </c>
      <c r="I525" s="5" t="n">
        <f>IF(K$15="Grid cycle",MIN(K$16,D525+E525,P525*'Assumptions and Catalog'!$C$12,D$57*(24-'Assumptions and Catalog'!$C$15),D$56*'Assumptions and Catalog'!$C$15*'Assumptions and Catalog'!$C$11*'Assumptions and Catalog'!$C$12)*C525,0)</f>
        <v>0</v>
      </c>
      <c r="J525" s="5" t="n">
        <f>MAX(F525-G525-0,0)</f>
        <v>0</v>
      </c>
      <c r="K525" s="5" t="n">
        <f>H525-I525</f>
        <v>0</v>
      </c>
      <c r="L525" s="5" t="n">
        <f>(D525+E525)*C525-G525-I525+H525+IF(D$52&gt;0,'Assumptions and Catalog'!$C$26*C525,0)</f>
        <v>2501.7</v>
      </c>
      <c r="M525" s="5" t="n">
        <f>IF(ISNUMBER(Inputs!$L$5),(IF(Inputs!$L$9="Actual flat rate",((D525+E525)*C525)*Inputs!$L$10,IF(Inputs!$C$9="Residential",IF(((D525+E525)*C525)&lt;='Assumptions and Catalog'!$C$50,((D525+E525)*C525)*'Assumptions and Catalog'!$H$50+'Assumptions and Catalog'!$E$50+'Assumptions and Catalog'!$F$50,IF(((D525+E525)*C525)&lt;='Assumptions and Catalog'!$C$51,((D525+E525)*C525)*'Assumptions and Catalog'!$H$51+'Assumptions and Catalog'!$E$51+'Assumptions and Catalog'!$F$51,IF(((D525+E525)*C525)&lt;='Assumptions and Catalog'!$C$52,((D525+E525)*C525)*'Assumptions and Catalog'!$H$52+'Assumptions and Catalog'!$E$52+'Assumptions and Catalog'!$F$52,IF(((D525+E525)*C525)&lt;='Assumptions and Catalog'!$C$53,((D525+E525)*C525)*'Assumptions and Catalog'!$H$53+'Assumptions and Catalog'!$E$53+'Assumptions and Catalog'!$F$53,IF(((D525+E525)*C525)&lt;='Assumptions and Catalog'!$C$54,((D525+E525)*C525)*'Assumptions and Catalog'!$H$54+'Assumptions and Catalog'!$E$54+'Assumptions and Catalog'!$F$54,IF(((D525+E525)*C525)&lt;='Assumptions and Catalog'!$C$55,((D525+E525)*C525)*'Assumptions and Catalog'!$H$55+'Assumptions and Catalog'!$E$55+'Assumptions and Catalog'!$F$55,IF(((D525+E525)*C525)&lt;='Assumptions and Catalog'!$C$56,((D525+E525)*C525)*'Assumptions and Catalog'!$H$56+'Assumptions and Catalog'!$E$56+'Assumptions and Catalog'!$F$56,IF(((D525+E525)*C525)&lt;='Assumptions and Catalog'!$C$57,((D525+E525)*C525)*'Assumptions and Catalog'!$H$57+'Assumptions and Catalog'!$E$57+'Assumptions and Catalog'!$F$57,"Out of range")))))))),IF(((D525+E525)*C525)&lt;='Assumptions and Catalog'!$C$60,((D525+E525)*C525)*'Assumptions and Catalog'!$H$60+'Assumptions and Catalog'!$E$60+'Assumptions and Catalog'!$F$60,IF(((D525+E525)*C525)&lt;='Assumptions and Catalog'!$C$61,((D525+E525)*C525)*'Assumptions and Catalog'!$H$61+'Assumptions and Catalog'!$E$61+'Assumptions and Catalog'!$F$61,IF(((D525+E525)*C525)&lt;='Assumptions and Catalog'!$C$62,((D525+E525)*C525)*'Assumptions and Catalog'!$H$62+'Assumptions and Catalog'!$E$62+'Assumptions and Catalog'!$F$62,IF(((D525+E525)*C525)&lt;='Assumptions and Catalog'!$C$63,((D525+E525)*C525)*'Assumptions and Catalog'!$H$63+'Assumptions and Catalog'!$E$63+'Assumptions and Catalog'!$F$63,IF(((D525+E525)*C525)&lt;='Assumptions and Catalog'!$C$64,((D525+E525)*C525)*'Assumptions and Catalog'!$H$64+'Assumptions and Catalog'!$E$64+'Assumptions and Catalog'!$F$64,IF(((D525+E525)*C525)&lt;='Assumptions and Catalog'!$C$65,((D525+E525)*C525)*'Assumptions and Catalog'!$H$65+'Assumptions and Catalog'!$E$65+'Assumptions and Catalog'!$F$65,"Out of range")))))))))*(1+'Assumptions and Catalog'!$C$8)^(A525-1),0)</f>
        <v>7094.794</v>
      </c>
      <c r="N525" s="5" t="n">
        <f>IF(ISNUMBER(Inputs!$L$5),(IF(Inputs!$L$9="Actual flat rate",L525*Inputs!$L$10,IF(Inputs!$C$9="Residential",IF(L525&lt;='Assumptions and Catalog'!$C$50,L525*'Assumptions and Catalog'!$H$50+'Assumptions and Catalog'!$E$50+'Assumptions and Catalog'!$F$50,IF(L525&lt;='Assumptions and Catalog'!$C$51,L525*'Assumptions and Catalog'!$H$51+'Assumptions and Catalog'!$E$51+'Assumptions and Catalog'!$F$51,IF(L525&lt;='Assumptions and Catalog'!$C$52,L525*'Assumptions and Catalog'!$H$52+'Assumptions and Catalog'!$E$52+'Assumptions and Catalog'!$F$52,IF(L525&lt;='Assumptions and Catalog'!$C$53,L525*'Assumptions and Catalog'!$H$53+'Assumptions and Catalog'!$E$53+'Assumptions and Catalog'!$F$53,IF(L525&lt;='Assumptions and Catalog'!$C$54,L525*'Assumptions and Catalog'!$H$54+'Assumptions and Catalog'!$E$54+'Assumptions and Catalog'!$F$54,IF(L525&lt;='Assumptions and Catalog'!$C$55,L525*'Assumptions and Catalog'!$H$55+'Assumptions and Catalog'!$E$55+'Assumptions and Catalog'!$F$55,IF(L525&lt;='Assumptions and Catalog'!$C$56,L525*'Assumptions and Catalog'!$H$56+'Assumptions and Catalog'!$E$56+'Assumptions and Catalog'!$F$56,IF(L525&lt;='Assumptions and Catalog'!$C$57,L525*'Assumptions and Catalog'!$H$57+'Assumptions and Catalog'!$E$57+'Assumptions and Catalog'!$F$57,"Out of range")))))))),IF(L525&lt;='Assumptions and Catalog'!$C$60,L525*'Assumptions and Catalog'!$H$60+'Assumptions and Catalog'!$E$60+'Assumptions and Catalog'!$F$60,IF(L525&lt;='Assumptions and Catalog'!$C$61,L525*'Assumptions and Catalog'!$H$61+'Assumptions and Catalog'!$E$61+'Assumptions and Catalog'!$F$61,IF(L525&lt;='Assumptions and Catalog'!$C$62,L525*'Assumptions and Catalog'!$H$62+'Assumptions and Catalog'!$E$62+'Assumptions and Catalog'!$F$62,IF(L525&lt;='Assumptions and Catalog'!$C$63,L525*'Assumptions and Catalog'!$H$63+'Assumptions and Catalog'!$E$63+'Assumptions and Catalog'!$F$63,IF(L525&lt;='Assumptions and Catalog'!$C$64,L525*'Assumptions and Catalog'!$H$64+'Assumptions and Catalog'!$E$64+'Assumptions and Catalog'!$F$64,IF(L525&lt;='Assumptions and Catalog'!$C$65,L525*'Assumptions and Catalog'!$H$65+'Assumptions and Catalog'!$E$65+'Assumptions and Catalog'!$F$65,"Out of range")))))))))*(1+'Assumptions and Catalog'!$C$8)^(A525-1),0)</f>
        <v>7094.794</v>
      </c>
      <c r="O525" s="5" t="n">
        <f>M525-N525</f>
        <v>0</v>
      </c>
      <c r="P525" s="5" t="n">
        <f>D$55*(1-K$14)*(1-'Assumptions and Catalog'!$C$23)^R525</f>
        <v>0</v>
      </c>
      <c r="Q525" s="5" t="n">
        <f>IF(ISNUMBER(Inputs!$L$5),(IF(Inputs!$L$9="Actual flat rate",((D525+E525)*C525-G525)*Inputs!$L$10,IF(Inputs!$C$9="Residential",IF(((D525+E525)*C525-G525)&lt;='Assumptions and Catalog'!$C$50,((D525+E525)*C525-G525)*'Assumptions and Catalog'!$H$50+'Assumptions and Catalog'!$E$50+'Assumptions and Catalog'!$F$50,IF(((D525+E525)*C525-G525)&lt;='Assumptions and Catalog'!$C$51,((D525+E525)*C525-G525)*'Assumptions and Catalog'!$H$51+'Assumptions and Catalog'!$E$51+'Assumptions and Catalog'!$F$51,IF(((D525+E525)*C525-G525)&lt;='Assumptions and Catalog'!$C$52,((D525+E525)*C525-G525)*'Assumptions and Catalog'!$H$52+'Assumptions and Catalog'!$E$52+'Assumptions and Catalog'!$F$52,IF(((D525+E525)*C525-G525)&lt;='Assumptions and Catalog'!$C$53,((D525+E525)*C525-G525)*'Assumptions and Catalog'!$H$53+'Assumptions and Catalog'!$E$53+'Assumptions and Catalog'!$F$53,IF(((D525+E525)*C525-G525)&lt;='Assumptions and Catalog'!$C$54,((D525+E525)*C525-G525)*'Assumptions and Catalog'!$H$54+'Assumptions and Catalog'!$E$54+'Assumptions and Catalog'!$F$54,IF(((D525+E525)*C525-G525)&lt;='Assumptions and Catalog'!$C$55,((D525+E525)*C525-G525)*'Assumptions and Catalog'!$H$55+'Assumptions and Catalog'!$E$55+'Assumptions and Catalog'!$F$55,IF(((D525+E525)*C525-G525)&lt;='Assumptions and Catalog'!$C$56,((D525+E525)*C525-G525)*'Assumptions and Catalog'!$H$56+'Assumptions and Catalog'!$E$56+'Assumptions and Catalog'!$F$56,IF(((D525+E525)*C525-G525)&lt;='Assumptions and Catalog'!$C$57,((D525+E525)*C525-G525)*'Assumptions and Catalog'!$H$57+'Assumptions and Catalog'!$E$57+'Assumptions and Catalog'!$F$57,"Out of range")))))))),IF(((D525+E525)*C525-G525)&lt;='Assumptions and Catalog'!$C$60,((D525+E525)*C525-G525)*'Assumptions and Catalog'!$H$60+'Assumptions and Catalog'!$E$60+'Assumptions and Catalog'!$F$60,IF(((D525+E525)*C525-G525)&lt;='Assumptions and Catalog'!$C$61,((D525+E525)*C525-G525)*'Assumptions and Catalog'!$H$61+'Assumptions and Catalog'!$E$61+'Assumptions and Catalog'!$F$61,IF(((D525+E525)*C525-G525)&lt;='Assumptions and Catalog'!$C$62,((D525+E525)*C525-G525)*'Assumptions and Catalog'!$H$62+'Assumptions and Catalog'!$E$62+'Assumptions and Catalog'!$F$62,IF(((D525+E525)*C525-G525)&lt;='Assumptions and Catalog'!$C$63,((D525+E525)*C525-G525)*'Assumptions and Catalog'!$H$63+'Assumptions and Catalog'!$E$63+'Assumptions and Catalog'!$F$63,IF(((D525+E525)*C525-G525)&lt;='Assumptions and Catalog'!$C$64,((D525+E525)*C525-G525)*'Assumptions and Catalog'!$H$64+'Assumptions and Catalog'!$E$64+'Assumptions and Catalog'!$F$64,IF(((D525+E525)*C525-G525)&lt;='Assumptions and Catalog'!$C$65,((D525+E525)*C525-G525)*'Assumptions and Catalog'!$H$65+'Assumptions and Catalog'!$E$65+'Assumptions and Catalog'!$F$65,"Out of range")))))))))*(1+'Assumptions and Catalog'!$C$8)^(A525-1),0)</f>
        <v>7094.794</v>
      </c>
      <c r="R525" s="5" t="n">
        <f>IF(AND('Assumptions and Catalog'!$C$19&gt;0,A525&gt;='Assumptions and Catalog'!$C$19),A525-'Assumptions and Catalog'!$C$19,A525-1)</f>
        <v>9</v>
      </c>
      <c r="S525" s="5" t="n">
        <f>F525+L525-(D525+E525)*C525-J525-K525-IF(D$52&gt;0,'Assumptions and Catalog'!$C$26*C525,0)</f>
        <v>0</v>
      </c>
      <c r="T525" s="5"/>
      <c r="U525" s="5"/>
    </row>
    <row r="526" ht="23.100000381469727" customHeight="1">
      <c r="A526" s="5" t="n">
        <v>10</v>
      </c>
      <c r="B526" s="5" t="n">
        <v>8</v>
      </c>
      <c r="C526" s="5" t="n">
        <f>DAY(DATE('Assumptions and Catalog'!$C$24+A526-1,B526+1,0))</f>
        <v>31</v>
      </c>
      <c r="D526" s="5" t="n">
        <f>IF(ISNUMBER(Inputs!$L$5),Inputs!$L$5*Inputs!$L$6,0)</f>
        <v>40.35</v>
      </c>
      <c r="E526" s="5" t="n">
        <f>IF(ISNUMBER(Inputs!$L$5),Inputs!$L$5-D526,0)</f>
        <v>40.35</v>
      </c>
      <c r="F526" s="5" t="n">
        <f>D$51*'Assumptions and Catalog'!$C$31*C526*(1-'Assumptions and Catalog'!$C$10)^(A526-1)</f>
        <v>0</v>
      </c>
      <c r="G526" s="5" t="n">
        <f>MIN(F526,D526*C526)</f>
        <v>0</v>
      </c>
      <c r="H526" s="5" t="n">
        <f>I526/('Assumptions and Catalog'!$C$11*'Assumptions and Catalog'!$C$12)</f>
        <v>0</v>
      </c>
      <c r="I526" s="5" t="n">
        <f>IF(K$15="Grid cycle",MIN(K$16,D526+E526,P526*'Assumptions and Catalog'!$C$12,D$57*(24-'Assumptions and Catalog'!$C$15),D$56*'Assumptions and Catalog'!$C$15*'Assumptions and Catalog'!$C$11*'Assumptions and Catalog'!$C$12)*C526,0)</f>
        <v>0</v>
      </c>
      <c r="J526" s="5" t="n">
        <f>MAX(F526-G526-0,0)</f>
        <v>0</v>
      </c>
      <c r="K526" s="5" t="n">
        <f>H526-I526</f>
        <v>0</v>
      </c>
      <c r="L526" s="5" t="n">
        <f>(D526+E526)*C526-G526-I526+H526+IF(D$52&gt;0,'Assumptions and Catalog'!$C$26*C526,0)</f>
        <v>2501.7</v>
      </c>
      <c r="M526" s="5" t="n">
        <f>IF(ISNUMBER(Inputs!$L$5),(IF(Inputs!$L$9="Actual flat rate",((D526+E526)*C526)*Inputs!$L$10,IF(Inputs!$C$9="Residential",IF(((D526+E526)*C526)&lt;='Assumptions and Catalog'!$C$50,((D526+E526)*C526)*'Assumptions and Catalog'!$H$50+'Assumptions and Catalog'!$E$50+'Assumptions and Catalog'!$F$50,IF(((D526+E526)*C526)&lt;='Assumptions and Catalog'!$C$51,((D526+E526)*C526)*'Assumptions and Catalog'!$H$51+'Assumptions and Catalog'!$E$51+'Assumptions and Catalog'!$F$51,IF(((D526+E526)*C526)&lt;='Assumptions and Catalog'!$C$52,((D526+E526)*C526)*'Assumptions and Catalog'!$H$52+'Assumptions and Catalog'!$E$52+'Assumptions and Catalog'!$F$52,IF(((D526+E526)*C526)&lt;='Assumptions and Catalog'!$C$53,((D526+E526)*C526)*'Assumptions and Catalog'!$H$53+'Assumptions and Catalog'!$E$53+'Assumptions and Catalog'!$F$53,IF(((D526+E526)*C526)&lt;='Assumptions and Catalog'!$C$54,((D526+E526)*C526)*'Assumptions and Catalog'!$H$54+'Assumptions and Catalog'!$E$54+'Assumptions and Catalog'!$F$54,IF(((D526+E526)*C526)&lt;='Assumptions and Catalog'!$C$55,((D526+E526)*C526)*'Assumptions and Catalog'!$H$55+'Assumptions and Catalog'!$E$55+'Assumptions and Catalog'!$F$55,IF(((D526+E526)*C526)&lt;='Assumptions and Catalog'!$C$56,((D526+E526)*C526)*'Assumptions and Catalog'!$H$56+'Assumptions and Catalog'!$E$56+'Assumptions and Catalog'!$F$56,IF(((D526+E526)*C526)&lt;='Assumptions and Catalog'!$C$57,((D526+E526)*C526)*'Assumptions and Catalog'!$H$57+'Assumptions and Catalog'!$E$57+'Assumptions and Catalog'!$F$57,"Out of range")))))))),IF(((D526+E526)*C526)&lt;='Assumptions and Catalog'!$C$60,((D526+E526)*C526)*'Assumptions and Catalog'!$H$60+'Assumptions and Catalog'!$E$60+'Assumptions and Catalog'!$F$60,IF(((D526+E526)*C526)&lt;='Assumptions and Catalog'!$C$61,((D526+E526)*C526)*'Assumptions and Catalog'!$H$61+'Assumptions and Catalog'!$E$61+'Assumptions and Catalog'!$F$61,IF(((D526+E526)*C526)&lt;='Assumptions and Catalog'!$C$62,((D526+E526)*C526)*'Assumptions and Catalog'!$H$62+'Assumptions and Catalog'!$E$62+'Assumptions and Catalog'!$F$62,IF(((D526+E526)*C526)&lt;='Assumptions and Catalog'!$C$63,((D526+E526)*C526)*'Assumptions and Catalog'!$H$63+'Assumptions and Catalog'!$E$63+'Assumptions and Catalog'!$F$63,IF(((D526+E526)*C526)&lt;='Assumptions and Catalog'!$C$64,((D526+E526)*C526)*'Assumptions and Catalog'!$H$64+'Assumptions and Catalog'!$E$64+'Assumptions and Catalog'!$F$64,IF(((D526+E526)*C526)&lt;='Assumptions and Catalog'!$C$65,((D526+E526)*C526)*'Assumptions and Catalog'!$H$65+'Assumptions and Catalog'!$E$65+'Assumptions and Catalog'!$F$65,"Out of range")))))))))*(1+'Assumptions and Catalog'!$C$8)^(A526-1),0)</f>
        <v>7094.794</v>
      </c>
      <c r="N526" s="5" t="n">
        <f>IF(ISNUMBER(Inputs!$L$5),(IF(Inputs!$L$9="Actual flat rate",L526*Inputs!$L$10,IF(Inputs!$C$9="Residential",IF(L526&lt;='Assumptions and Catalog'!$C$50,L526*'Assumptions and Catalog'!$H$50+'Assumptions and Catalog'!$E$50+'Assumptions and Catalog'!$F$50,IF(L526&lt;='Assumptions and Catalog'!$C$51,L526*'Assumptions and Catalog'!$H$51+'Assumptions and Catalog'!$E$51+'Assumptions and Catalog'!$F$51,IF(L526&lt;='Assumptions and Catalog'!$C$52,L526*'Assumptions and Catalog'!$H$52+'Assumptions and Catalog'!$E$52+'Assumptions and Catalog'!$F$52,IF(L526&lt;='Assumptions and Catalog'!$C$53,L526*'Assumptions and Catalog'!$H$53+'Assumptions and Catalog'!$E$53+'Assumptions and Catalog'!$F$53,IF(L526&lt;='Assumptions and Catalog'!$C$54,L526*'Assumptions and Catalog'!$H$54+'Assumptions and Catalog'!$E$54+'Assumptions and Catalog'!$F$54,IF(L526&lt;='Assumptions and Catalog'!$C$55,L526*'Assumptions and Catalog'!$H$55+'Assumptions and Catalog'!$E$55+'Assumptions and Catalog'!$F$55,IF(L526&lt;='Assumptions and Catalog'!$C$56,L526*'Assumptions and Catalog'!$H$56+'Assumptions and Catalog'!$E$56+'Assumptions and Catalog'!$F$56,IF(L526&lt;='Assumptions and Catalog'!$C$57,L526*'Assumptions and Catalog'!$H$57+'Assumptions and Catalog'!$E$57+'Assumptions and Catalog'!$F$57,"Out of range")))))))),IF(L526&lt;='Assumptions and Catalog'!$C$60,L526*'Assumptions and Catalog'!$H$60+'Assumptions and Catalog'!$E$60+'Assumptions and Catalog'!$F$60,IF(L526&lt;='Assumptions and Catalog'!$C$61,L526*'Assumptions and Catalog'!$H$61+'Assumptions and Catalog'!$E$61+'Assumptions and Catalog'!$F$61,IF(L526&lt;='Assumptions and Catalog'!$C$62,L526*'Assumptions and Catalog'!$H$62+'Assumptions and Catalog'!$E$62+'Assumptions and Catalog'!$F$62,IF(L526&lt;='Assumptions and Catalog'!$C$63,L526*'Assumptions and Catalog'!$H$63+'Assumptions and Catalog'!$E$63+'Assumptions and Catalog'!$F$63,IF(L526&lt;='Assumptions and Catalog'!$C$64,L526*'Assumptions and Catalog'!$H$64+'Assumptions and Catalog'!$E$64+'Assumptions and Catalog'!$F$64,IF(L526&lt;='Assumptions and Catalog'!$C$65,L526*'Assumptions and Catalog'!$H$65+'Assumptions and Catalog'!$E$65+'Assumptions and Catalog'!$F$65,"Out of range")))))))))*(1+'Assumptions and Catalog'!$C$8)^(A526-1),0)</f>
        <v>7094.794</v>
      </c>
      <c r="O526" s="5" t="n">
        <f>M526-N526</f>
        <v>0</v>
      </c>
      <c r="P526" s="5" t="n">
        <f>D$55*(1-K$14)*(1-'Assumptions and Catalog'!$C$23)^R526</f>
        <v>0</v>
      </c>
      <c r="Q526" s="5" t="n">
        <f>IF(ISNUMBER(Inputs!$L$5),(IF(Inputs!$L$9="Actual flat rate",((D526+E526)*C526-G526)*Inputs!$L$10,IF(Inputs!$C$9="Residential",IF(((D526+E526)*C526-G526)&lt;='Assumptions and Catalog'!$C$50,((D526+E526)*C526-G526)*'Assumptions and Catalog'!$H$50+'Assumptions and Catalog'!$E$50+'Assumptions and Catalog'!$F$50,IF(((D526+E526)*C526-G526)&lt;='Assumptions and Catalog'!$C$51,((D526+E526)*C526-G526)*'Assumptions and Catalog'!$H$51+'Assumptions and Catalog'!$E$51+'Assumptions and Catalog'!$F$51,IF(((D526+E526)*C526-G526)&lt;='Assumptions and Catalog'!$C$52,((D526+E526)*C526-G526)*'Assumptions and Catalog'!$H$52+'Assumptions and Catalog'!$E$52+'Assumptions and Catalog'!$F$52,IF(((D526+E526)*C526-G526)&lt;='Assumptions and Catalog'!$C$53,((D526+E526)*C526-G526)*'Assumptions and Catalog'!$H$53+'Assumptions and Catalog'!$E$53+'Assumptions and Catalog'!$F$53,IF(((D526+E526)*C526-G526)&lt;='Assumptions and Catalog'!$C$54,((D526+E526)*C526-G526)*'Assumptions and Catalog'!$H$54+'Assumptions and Catalog'!$E$54+'Assumptions and Catalog'!$F$54,IF(((D526+E526)*C526-G526)&lt;='Assumptions and Catalog'!$C$55,((D526+E526)*C526-G526)*'Assumptions and Catalog'!$H$55+'Assumptions and Catalog'!$E$55+'Assumptions and Catalog'!$F$55,IF(((D526+E526)*C526-G526)&lt;='Assumptions and Catalog'!$C$56,((D526+E526)*C526-G526)*'Assumptions and Catalog'!$H$56+'Assumptions and Catalog'!$E$56+'Assumptions and Catalog'!$F$56,IF(((D526+E526)*C526-G526)&lt;='Assumptions and Catalog'!$C$57,((D526+E526)*C526-G526)*'Assumptions and Catalog'!$H$57+'Assumptions and Catalog'!$E$57+'Assumptions and Catalog'!$F$57,"Out of range")))))))),IF(((D526+E526)*C526-G526)&lt;='Assumptions and Catalog'!$C$60,((D526+E526)*C526-G526)*'Assumptions and Catalog'!$H$60+'Assumptions and Catalog'!$E$60+'Assumptions and Catalog'!$F$60,IF(((D526+E526)*C526-G526)&lt;='Assumptions and Catalog'!$C$61,((D526+E526)*C526-G526)*'Assumptions and Catalog'!$H$61+'Assumptions and Catalog'!$E$61+'Assumptions and Catalog'!$F$61,IF(((D526+E526)*C526-G526)&lt;='Assumptions and Catalog'!$C$62,((D526+E526)*C526-G526)*'Assumptions and Catalog'!$H$62+'Assumptions and Catalog'!$E$62+'Assumptions and Catalog'!$F$62,IF(((D526+E526)*C526-G526)&lt;='Assumptions and Catalog'!$C$63,((D526+E526)*C526-G526)*'Assumptions and Catalog'!$H$63+'Assumptions and Catalog'!$E$63+'Assumptions and Catalog'!$F$63,IF(((D526+E526)*C526-G526)&lt;='Assumptions and Catalog'!$C$64,((D526+E526)*C526-G526)*'Assumptions and Catalog'!$H$64+'Assumptions and Catalog'!$E$64+'Assumptions and Catalog'!$F$64,IF(((D526+E526)*C526-G526)&lt;='Assumptions and Catalog'!$C$65,((D526+E526)*C526-G526)*'Assumptions and Catalog'!$H$65+'Assumptions and Catalog'!$E$65+'Assumptions and Catalog'!$F$65,"Out of range")))))))))*(1+'Assumptions and Catalog'!$C$8)^(A526-1),0)</f>
        <v>7094.794</v>
      </c>
      <c r="R526" s="5" t="n">
        <f>IF(AND('Assumptions and Catalog'!$C$19&gt;0,A526&gt;='Assumptions and Catalog'!$C$19),A526-'Assumptions and Catalog'!$C$19,A526-1)</f>
        <v>9</v>
      </c>
      <c r="S526" s="5" t="n">
        <f>F526+L526-(D526+E526)*C526-J526-K526-IF(D$52&gt;0,'Assumptions and Catalog'!$C$26*C526,0)</f>
        <v>0</v>
      </c>
      <c r="T526" s="5"/>
      <c r="U526" s="5"/>
    </row>
    <row r="527" ht="23.100000381469727" customHeight="1">
      <c r="A527" s="5" t="n">
        <v>10</v>
      </c>
      <c r="B527" s="5" t="n">
        <v>9</v>
      </c>
      <c r="C527" s="5" t="n">
        <f>DAY(DATE('Assumptions and Catalog'!$C$24+A527-1,B527+1,0))</f>
        <v>30</v>
      </c>
      <c r="D527" s="5" t="n">
        <f>IF(ISNUMBER(Inputs!$L$5),Inputs!$L$5*Inputs!$L$6,0)</f>
        <v>40.35</v>
      </c>
      <c r="E527" s="5" t="n">
        <f>IF(ISNUMBER(Inputs!$L$5),Inputs!$L$5-D527,0)</f>
        <v>40.35</v>
      </c>
      <c r="F527" s="5" t="n">
        <f>D$51*'Assumptions and Catalog'!$C$31*C527*(1-'Assumptions and Catalog'!$C$10)^(A527-1)</f>
        <v>0</v>
      </c>
      <c r="G527" s="5" t="n">
        <f>MIN(F527,D527*C527)</f>
        <v>0</v>
      </c>
      <c r="H527" s="5" t="n">
        <f>I527/('Assumptions and Catalog'!$C$11*'Assumptions and Catalog'!$C$12)</f>
        <v>0</v>
      </c>
      <c r="I527" s="5" t="n">
        <f>IF(K$15="Grid cycle",MIN(K$16,D527+E527,P527*'Assumptions and Catalog'!$C$12,D$57*(24-'Assumptions and Catalog'!$C$15),D$56*'Assumptions and Catalog'!$C$15*'Assumptions and Catalog'!$C$11*'Assumptions and Catalog'!$C$12)*C527,0)</f>
        <v>0</v>
      </c>
      <c r="J527" s="5" t="n">
        <f>MAX(F527-G527-0,0)</f>
        <v>0</v>
      </c>
      <c r="K527" s="5" t="n">
        <f>H527-I527</f>
        <v>0</v>
      </c>
      <c r="L527" s="5" t="n">
        <f>(D527+E527)*C527-G527-I527+H527+IF(D$52&gt;0,'Assumptions and Catalog'!$C$26*C527,0)</f>
        <v>2421</v>
      </c>
      <c r="M527" s="5" t="n">
        <f>IF(ISNUMBER(Inputs!$L$5),(IF(Inputs!$L$9="Actual flat rate",((D527+E527)*C527)*Inputs!$L$10,IF(Inputs!$C$9="Residential",IF(((D527+E527)*C527)&lt;='Assumptions and Catalog'!$C$50,((D527+E527)*C527)*'Assumptions and Catalog'!$H$50+'Assumptions and Catalog'!$E$50+'Assumptions and Catalog'!$F$50,IF(((D527+E527)*C527)&lt;='Assumptions and Catalog'!$C$51,((D527+E527)*C527)*'Assumptions and Catalog'!$H$51+'Assumptions and Catalog'!$E$51+'Assumptions and Catalog'!$F$51,IF(((D527+E527)*C527)&lt;='Assumptions and Catalog'!$C$52,((D527+E527)*C527)*'Assumptions and Catalog'!$H$52+'Assumptions and Catalog'!$E$52+'Assumptions and Catalog'!$F$52,IF(((D527+E527)*C527)&lt;='Assumptions and Catalog'!$C$53,((D527+E527)*C527)*'Assumptions and Catalog'!$H$53+'Assumptions and Catalog'!$E$53+'Assumptions and Catalog'!$F$53,IF(((D527+E527)*C527)&lt;='Assumptions and Catalog'!$C$54,((D527+E527)*C527)*'Assumptions and Catalog'!$H$54+'Assumptions and Catalog'!$E$54+'Assumptions and Catalog'!$F$54,IF(((D527+E527)*C527)&lt;='Assumptions and Catalog'!$C$55,((D527+E527)*C527)*'Assumptions and Catalog'!$H$55+'Assumptions and Catalog'!$E$55+'Assumptions and Catalog'!$F$55,IF(((D527+E527)*C527)&lt;='Assumptions and Catalog'!$C$56,((D527+E527)*C527)*'Assumptions and Catalog'!$H$56+'Assumptions and Catalog'!$E$56+'Assumptions and Catalog'!$F$56,IF(((D527+E527)*C527)&lt;='Assumptions and Catalog'!$C$57,((D527+E527)*C527)*'Assumptions and Catalog'!$H$57+'Assumptions and Catalog'!$E$57+'Assumptions and Catalog'!$F$57,"Out of range")))))))),IF(((D527+E527)*C527)&lt;='Assumptions and Catalog'!$C$60,((D527+E527)*C527)*'Assumptions and Catalog'!$H$60+'Assumptions and Catalog'!$E$60+'Assumptions and Catalog'!$F$60,IF(((D527+E527)*C527)&lt;='Assumptions and Catalog'!$C$61,((D527+E527)*C527)*'Assumptions and Catalog'!$H$61+'Assumptions and Catalog'!$E$61+'Assumptions and Catalog'!$F$61,IF(((D527+E527)*C527)&lt;='Assumptions and Catalog'!$C$62,((D527+E527)*C527)*'Assumptions and Catalog'!$H$62+'Assumptions and Catalog'!$E$62+'Assumptions and Catalog'!$F$62,IF(((D527+E527)*C527)&lt;='Assumptions and Catalog'!$C$63,((D527+E527)*C527)*'Assumptions and Catalog'!$H$63+'Assumptions and Catalog'!$E$63+'Assumptions and Catalog'!$F$63,IF(((D527+E527)*C527)&lt;='Assumptions and Catalog'!$C$64,((D527+E527)*C527)*'Assumptions and Catalog'!$H$64+'Assumptions and Catalog'!$E$64+'Assumptions and Catalog'!$F$64,IF(((D527+E527)*C527)&lt;='Assumptions and Catalog'!$C$65,((D527+E527)*C527)*'Assumptions and Catalog'!$H$65+'Assumptions and Catalog'!$E$65+'Assumptions and Catalog'!$F$65,"Out of range")))))))))*(1+'Assumptions and Catalog'!$C$8)^(A527-1),0)</f>
        <v>6867.22</v>
      </c>
      <c r="N527" s="5" t="n">
        <f>IF(ISNUMBER(Inputs!$L$5),(IF(Inputs!$L$9="Actual flat rate",L527*Inputs!$L$10,IF(Inputs!$C$9="Residential",IF(L527&lt;='Assumptions and Catalog'!$C$50,L527*'Assumptions and Catalog'!$H$50+'Assumptions and Catalog'!$E$50+'Assumptions and Catalog'!$F$50,IF(L527&lt;='Assumptions and Catalog'!$C$51,L527*'Assumptions and Catalog'!$H$51+'Assumptions and Catalog'!$E$51+'Assumptions and Catalog'!$F$51,IF(L527&lt;='Assumptions and Catalog'!$C$52,L527*'Assumptions and Catalog'!$H$52+'Assumptions and Catalog'!$E$52+'Assumptions and Catalog'!$F$52,IF(L527&lt;='Assumptions and Catalog'!$C$53,L527*'Assumptions and Catalog'!$H$53+'Assumptions and Catalog'!$E$53+'Assumptions and Catalog'!$F$53,IF(L527&lt;='Assumptions and Catalog'!$C$54,L527*'Assumptions and Catalog'!$H$54+'Assumptions and Catalog'!$E$54+'Assumptions and Catalog'!$F$54,IF(L527&lt;='Assumptions and Catalog'!$C$55,L527*'Assumptions and Catalog'!$H$55+'Assumptions and Catalog'!$E$55+'Assumptions and Catalog'!$F$55,IF(L527&lt;='Assumptions and Catalog'!$C$56,L527*'Assumptions and Catalog'!$H$56+'Assumptions and Catalog'!$E$56+'Assumptions and Catalog'!$F$56,IF(L527&lt;='Assumptions and Catalog'!$C$57,L527*'Assumptions and Catalog'!$H$57+'Assumptions and Catalog'!$E$57+'Assumptions and Catalog'!$F$57,"Out of range")))))))),IF(L527&lt;='Assumptions and Catalog'!$C$60,L527*'Assumptions and Catalog'!$H$60+'Assumptions and Catalog'!$E$60+'Assumptions and Catalog'!$F$60,IF(L527&lt;='Assumptions and Catalog'!$C$61,L527*'Assumptions and Catalog'!$H$61+'Assumptions and Catalog'!$E$61+'Assumptions and Catalog'!$F$61,IF(L527&lt;='Assumptions and Catalog'!$C$62,L527*'Assumptions and Catalog'!$H$62+'Assumptions and Catalog'!$E$62+'Assumptions and Catalog'!$F$62,IF(L527&lt;='Assumptions and Catalog'!$C$63,L527*'Assumptions and Catalog'!$H$63+'Assumptions and Catalog'!$E$63+'Assumptions and Catalog'!$F$63,IF(L527&lt;='Assumptions and Catalog'!$C$64,L527*'Assumptions and Catalog'!$H$64+'Assumptions and Catalog'!$E$64+'Assumptions and Catalog'!$F$64,IF(L527&lt;='Assumptions and Catalog'!$C$65,L527*'Assumptions and Catalog'!$H$65+'Assumptions and Catalog'!$E$65+'Assumptions and Catalog'!$F$65,"Out of range")))))))))*(1+'Assumptions and Catalog'!$C$8)^(A527-1),0)</f>
        <v>6867.22</v>
      </c>
      <c r="O527" s="5" t="n">
        <f>M527-N527</f>
        <v>0</v>
      </c>
      <c r="P527" s="5" t="n">
        <f>D$55*(1-K$14)*(1-'Assumptions and Catalog'!$C$23)^R527</f>
        <v>0</v>
      </c>
      <c r="Q527" s="5" t="n">
        <f>IF(ISNUMBER(Inputs!$L$5),(IF(Inputs!$L$9="Actual flat rate",((D527+E527)*C527-G527)*Inputs!$L$10,IF(Inputs!$C$9="Residential",IF(((D527+E527)*C527-G527)&lt;='Assumptions and Catalog'!$C$50,((D527+E527)*C527-G527)*'Assumptions and Catalog'!$H$50+'Assumptions and Catalog'!$E$50+'Assumptions and Catalog'!$F$50,IF(((D527+E527)*C527-G527)&lt;='Assumptions and Catalog'!$C$51,((D527+E527)*C527-G527)*'Assumptions and Catalog'!$H$51+'Assumptions and Catalog'!$E$51+'Assumptions and Catalog'!$F$51,IF(((D527+E527)*C527-G527)&lt;='Assumptions and Catalog'!$C$52,((D527+E527)*C527-G527)*'Assumptions and Catalog'!$H$52+'Assumptions and Catalog'!$E$52+'Assumptions and Catalog'!$F$52,IF(((D527+E527)*C527-G527)&lt;='Assumptions and Catalog'!$C$53,((D527+E527)*C527-G527)*'Assumptions and Catalog'!$H$53+'Assumptions and Catalog'!$E$53+'Assumptions and Catalog'!$F$53,IF(((D527+E527)*C527-G527)&lt;='Assumptions and Catalog'!$C$54,((D527+E527)*C527-G527)*'Assumptions and Catalog'!$H$54+'Assumptions and Catalog'!$E$54+'Assumptions and Catalog'!$F$54,IF(((D527+E527)*C527-G527)&lt;='Assumptions and Catalog'!$C$55,((D527+E527)*C527-G527)*'Assumptions and Catalog'!$H$55+'Assumptions and Catalog'!$E$55+'Assumptions and Catalog'!$F$55,IF(((D527+E527)*C527-G527)&lt;='Assumptions and Catalog'!$C$56,((D527+E527)*C527-G527)*'Assumptions and Catalog'!$H$56+'Assumptions and Catalog'!$E$56+'Assumptions and Catalog'!$F$56,IF(((D527+E527)*C527-G527)&lt;='Assumptions and Catalog'!$C$57,((D527+E527)*C527-G527)*'Assumptions and Catalog'!$H$57+'Assumptions and Catalog'!$E$57+'Assumptions and Catalog'!$F$57,"Out of range")))))))),IF(((D527+E527)*C527-G527)&lt;='Assumptions and Catalog'!$C$60,((D527+E527)*C527-G527)*'Assumptions and Catalog'!$H$60+'Assumptions and Catalog'!$E$60+'Assumptions and Catalog'!$F$60,IF(((D527+E527)*C527-G527)&lt;='Assumptions and Catalog'!$C$61,((D527+E527)*C527-G527)*'Assumptions and Catalog'!$H$61+'Assumptions and Catalog'!$E$61+'Assumptions and Catalog'!$F$61,IF(((D527+E527)*C527-G527)&lt;='Assumptions and Catalog'!$C$62,((D527+E527)*C527-G527)*'Assumptions and Catalog'!$H$62+'Assumptions and Catalog'!$E$62+'Assumptions and Catalog'!$F$62,IF(((D527+E527)*C527-G527)&lt;='Assumptions and Catalog'!$C$63,((D527+E527)*C527-G527)*'Assumptions and Catalog'!$H$63+'Assumptions and Catalog'!$E$63+'Assumptions and Catalog'!$F$63,IF(((D527+E527)*C527-G527)&lt;='Assumptions and Catalog'!$C$64,((D527+E527)*C527-G527)*'Assumptions and Catalog'!$H$64+'Assumptions and Catalog'!$E$64+'Assumptions and Catalog'!$F$64,IF(((D527+E527)*C527-G527)&lt;='Assumptions and Catalog'!$C$65,((D527+E527)*C527-G527)*'Assumptions and Catalog'!$H$65+'Assumptions and Catalog'!$E$65+'Assumptions and Catalog'!$F$65,"Out of range")))))))))*(1+'Assumptions and Catalog'!$C$8)^(A527-1),0)</f>
        <v>6867.22</v>
      </c>
      <c r="R527" s="5" t="n">
        <f>IF(AND('Assumptions and Catalog'!$C$19&gt;0,A527&gt;='Assumptions and Catalog'!$C$19),A527-'Assumptions and Catalog'!$C$19,A527-1)</f>
        <v>9</v>
      </c>
      <c r="S527" s="5" t="n">
        <f>F527+L527-(D527+E527)*C527-J527-K527-IF(D$52&gt;0,'Assumptions and Catalog'!$C$26*C527,0)</f>
        <v>0</v>
      </c>
      <c r="T527" s="5"/>
      <c r="U527" s="5"/>
    </row>
    <row r="528" ht="23.100000381469727" customHeight="1">
      <c r="A528" s="5" t="n">
        <v>10</v>
      </c>
      <c r="B528" s="5" t="n">
        <v>10</v>
      </c>
      <c r="C528" s="5" t="n">
        <f>DAY(DATE('Assumptions and Catalog'!$C$24+A528-1,B528+1,0))</f>
        <v>31</v>
      </c>
      <c r="D528" s="5" t="n">
        <f>IF(ISNUMBER(Inputs!$L$5),Inputs!$L$5*Inputs!$L$6,0)</f>
        <v>40.35</v>
      </c>
      <c r="E528" s="5" t="n">
        <f>IF(ISNUMBER(Inputs!$L$5),Inputs!$L$5-D528,0)</f>
        <v>40.35</v>
      </c>
      <c r="F528" s="5" t="n">
        <f>D$51*'Assumptions and Catalog'!$C$31*C528*(1-'Assumptions and Catalog'!$C$10)^(A528-1)</f>
        <v>0</v>
      </c>
      <c r="G528" s="5" t="n">
        <f>MIN(F528,D528*C528)</f>
        <v>0</v>
      </c>
      <c r="H528" s="5" t="n">
        <f>I528/('Assumptions and Catalog'!$C$11*'Assumptions and Catalog'!$C$12)</f>
        <v>0</v>
      </c>
      <c r="I528" s="5" t="n">
        <f>IF(K$15="Grid cycle",MIN(K$16,D528+E528,P528*'Assumptions and Catalog'!$C$12,D$57*(24-'Assumptions and Catalog'!$C$15),D$56*'Assumptions and Catalog'!$C$15*'Assumptions and Catalog'!$C$11*'Assumptions and Catalog'!$C$12)*C528,0)</f>
        <v>0</v>
      </c>
      <c r="J528" s="5" t="n">
        <f>MAX(F528-G528-0,0)</f>
        <v>0</v>
      </c>
      <c r="K528" s="5" t="n">
        <f>H528-I528</f>
        <v>0</v>
      </c>
      <c r="L528" s="5" t="n">
        <f>(D528+E528)*C528-G528-I528+H528+IF(D$52&gt;0,'Assumptions and Catalog'!$C$26*C528,0)</f>
        <v>2501.7</v>
      </c>
      <c r="M528" s="5" t="n">
        <f>IF(ISNUMBER(Inputs!$L$5),(IF(Inputs!$L$9="Actual flat rate",((D528+E528)*C528)*Inputs!$L$10,IF(Inputs!$C$9="Residential",IF(((D528+E528)*C528)&lt;='Assumptions and Catalog'!$C$50,((D528+E528)*C528)*'Assumptions and Catalog'!$H$50+'Assumptions and Catalog'!$E$50+'Assumptions and Catalog'!$F$50,IF(((D528+E528)*C528)&lt;='Assumptions and Catalog'!$C$51,((D528+E528)*C528)*'Assumptions and Catalog'!$H$51+'Assumptions and Catalog'!$E$51+'Assumptions and Catalog'!$F$51,IF(((D528+E528)*C528)&lt;='Assumptions and Catalog'!$C$52,((D528+E528)*C528)*'Assumptions and Catalog'!$H$52+'Assumptions and Catalog'!$E$52+'Assumptions and Catalog'!$F$52,IF(((D528+E528)*C528)&lt;='Assumptions and Catalog'!$C$53,((D528+E528)*C528)*'Assumptions and Catalog'!$H$53+'Assumptions and Catalog'!$E$53+'Assumptions and Catalog'!$F$53,IF(((D528+E528)*C528)&lt;='Assumptions and Catalog'!$C$54,((D528+E528)*C528)*'Assumptions and Catalog'!$H$54+'Assumptions and Catalog'!$E$54+'Assumptions and Catalog'!$F$54,IF(((D528+E528)*C528)&lt;='Assumptions and Catalog'!$C$55,((D528+E528)*C528)*'Assumptions and Catalog'!$H$55+'Assumptions and Catalog'!$E$55+'Assumptions and Catalog'!$F$55,IF(((D528+E528)*C528)&lt;='Assumptions and Catalog'!$C$56,((D528+E528)*C528)*'Assumptions and Catalog'!$H$56+'Assumptions and Catalog'!$E$56+'Assumptions and Catalog'!$F$56,IF(((D528+E528)*C528)&lt;='Assumptions and Catalog'!$C$57,((D528+E528)*C528)*'Assumptions and Catalog'!$H$57+'Assumptions and Catalog'!$E$57+'Assumptions and Catalog'!$F$57,"Out of range")))))))),IF(((D528+E528)*C528)&lt;='Assumptions and Catalog'!$C$60,((D528+E528)*C528)*'Assumptions and Catalog'!$H$60+'Assumptions and Catalog'!$E$60+'Assumptions and Catalog'!$F$60,IF(((D528+E528)*C528)&lt;='Assumptions and Catalog'!$C$61,((D528+E528)*C528)*'Assumptions and Catalog'!$H$61+'Assumptions and Catalog'!$E$61+'Assumptions and Catalog'!$F$61,IF(((D528+E528)*C528)&lt;='Assumptions and Catalog'!$C$62,((D528+E528)*C528)*'Assumptions and Catalog'!$H$62+'Assumptions and Catalog'!$E$62+'Assumptions and Catalog'!$F$62,IF(((D528+E528)*C528)&lt;='Assumptions and Catalog'!$C$63,((D528+E528)*C528)*'Assumptions and Catalog'!$H$63+'Assumptions and Catalog'!$E$63+'Assumptions and Catalog'!$F$63,IF(((D528+E528)*C528)&lt;='Assumptions and Catalog'!$C$64,((D528+E528)*C528)*'Assumptions and Catalog'!$H$64+'Assumptions and Catalog'!$E$64+'Assumptions and Catalog'!$F$64,IF(((D528+E528)*C528)&lt;='Assumptions and Catalog'!$C$65,((D528+E528)*C528)*'Assumptions and Catalog'!$H$65+'Assumptions and Catalog'!$E$65+'Assumptions and Catalog'!$F$65,"Out of range")))))))))*(1+'Assumptions and Catalog'!$C$8)^(A528-1),0)</f>
        <v>7094.794</v>
      </c>
      <c r="N528" s="5" t="n">
        <f>IF(ISNUMBER(Inputs!$L$5),(IF(Inputs!$L$9="Actual flat rate",L528*Inputs!$L$10,IF(Inputs!$C$9="Residential",IF(L528&lt;='Assumptions and Catalog'!$C$50,L528*'Assumptions and Catalog'!$H$50+'Assumptions and Catalog'!$E$50+'Assumptions and Catalog'!$F$50,IF(L528&lt;='Assumptions and Catalog'!$C$51,L528*'Assumptions and Catalog'!$H$51+'Assumptions and Catalog'!$E$51+'Assumptions and Catalog'!$F$51,IF(L528&lt;='Assumptions and Catalog'!$C$52,L528*'Assumptions and Catalog'!$H$52+'Assumptions and Catalog'!$E$52+'Assumptions and Catalog'!$F$52,IF(L528&lt;='Assumptions and Catalog'!$C$53,L528*'Assumptions and Catalog'!$H$53+'Assumptions and Catalog'!$E$53+'Assumptions and Catalog'!$F$53,IF(L528&lt;='Assumptions and Catalog'!$C$54,L528*'Assumptions and Catalog'!$H$54+'Assumptions and Catalog'!$E$54+'Assumptions and Catalog'!$F$54,IF(L528&lt;='Assumptions and Catalog'!$C$55,L528*'Assumptions and Catalog'!$H$55+'Assumptions and Catalog'!$E$55+'Assumptions and Catalog'!$F$55,IF(L528&lt;='Assumptions and Catalog'!$C$56,L528*'Assumptions and Catalog'!$H$56+'Assumptions and Catalog'!$E$56+'Assumptions and Catalog'!$F$56,IF(L528&lt;='Assumptions and Catalog'!$C$57,L528*'Assumptions and Catalog'!$H$57+'Assumptions and Catalog'!$E$57+'Assumptions and Catalog'!$F$57,"Out of range")))))))),IF(L528&lt;='Assumptions and Catalog'!$C$60,L528*'Assumptions and Catalog'!$H$60+'Assumptions and Catalog'!$E$60+'Assumptions and Catalog'!$F$60,IF(L528&lt;='Assumptions and Catalog'!$C$61,L528*'Assumptions and Catalog'!$H$61+'Assumptions and Catalog'!$E$61+'Assumptions and Catalog'!$F$61,IF(L528&lt;='Assumptions and Catalog'!$C$62,L528*'Assumptions and Catalog'!$H$62+'Assumptions and Catalog'!$E$62+'Assumptions and Catalog'!$F$62,IF(L528&lt;='Assumptions and Catalog'!$C$63,L528*'Assumptions and Catalog'!$H$63+'Assumptions and Catalog'!$E$63+'Assumptions and Catalog'!$F$63,IF(L528&lt;='Assumptions and Catalog'!$C$64,L528*'Assumptions and Catalog'!$H$64+'Assumptions and Catalog'!$E$64+'Assumptions and Catalog'!$F$64,IF(L528&lt;='Assumptions and Catalog'!$C$65,L528*'Assumptions and Catalog'!$H$65+'Assumptions and Catalog'!$E$65+'Assumptions and Catalog'!$F$65,"Out of range")))))))))*(1+'Assumptions and Catalog'!$C$8)^(A528-1),0)</f>
        <v>7094.794</v>
      </c>
      <c r="O528" s="5" t="n">
        <f>M528-N528</f>
        <v>0</v>
      </c>
      <c r="P528" s="5" t="n">
        <f>D$55*(1-K$14)*(1-'Assumptions and Catalog'!$C$23)^R528</f>
        <v>0</v>
      </c>
      <c r="Q528" s="5" t="n">
        <f>IF(ISNUMBER(Inputs!$L$5),(IF(Inputs!$L$9="Actual flat rate",((D528+E528)*C528-G528)*Inputs!$L$10,IF(Inputs!$C$9="Residential",IF(((D528+E528)*C528-G528)&lt;='Assumptions and Catalog'!$C$50,((D528+E528)*C528-G528)*'Assumptions and Catalog'!$H$50+'Assumptions and Catalog'!$E$50+'Assumptions and Catalog'!$F$50,IF(((D528+E528)*C528-G528)&lt;='Assumptions and Catalog'!$C$51,((D528+E528)*C528-G528)*'Assumptions and Catalog'!$H$51+'Assumptions and Catalog'!$E$51+'Assumptions and Catalog'!$F$51,IF(((D528+E528)*C528-G528)&lt;='Assumptions and Catalog'!$C$52,((D528+E528)*C528-G528)*'Assumptions and Catalog'!$H$52+'Assumptions and Catalog'!$E$52+'Assumptions and Catalog'!$F$52,IF(((D528+E528)*C528-G528)&lt;='Assumptions and Catalog'!$C$53,((D528+E528)*C528-G528)*'Assumptions and Catalog'!$H$53+'Assumptions and Catalog'!$E$53+'Assumptions and Catalog'!$F$53,IF(((D528+E528)*C528-G528)&lt;='Assumptions and Catalog'!$C$54,((D528+E528)*C528-G528)*'Assumptions and Catalog'!$H$54+'Assumptions and Catalog'!$E$54+'Assumptions and Catalog'!$F$54,IF(((D528+E528)*C528-G528)&lt;='Assumptions and Catalog'!$C$55,((D528+E528)*C528-G528)*'Assumptions and Catalog'!$H$55+'Assumptions and Catalog'!$E$55+'Assumptions and Catalog'!$F$55,IF(((D528+E528)*C528-G528)&lt;='Assumptions and Catalog'!$C$56,((D528+E528)*C528-G528)*'Assumptions and Catalog'!$H$56+'Assumptions and Catalog'!$E$56+'Assumptions and Catalog'!$F$56,IF(((D528+E528)*C528-G528)&lt;='Assumptions and Catalog'!$C$57,((D528+E528)*C528-G528)*'Assumptions and Catalog'!$H$57+'Assumptions and Catalog'!$E$57+'Assumptions and Catalog'!$F$57,"Out of range")))))))),IF(((D528+E528)*C528-G528)&lt;='Assumptions and Catalog'!$C$60,((D528+E528)*C528-G528)*'Assumptions and Catalog'!$H$60+'Assumptions and Catalog'!$E$60+'Assumptions and Catalog'!$F$60,IF(((D528+E528)*C528-G528)&lt;='Assumptions and Catalog'!$C$61,((D528+E528)*C528-G528)*'Assumptions and Catalog'!$H$61+'Assumptions and Catalog'!$E$61+'Assumptions and Catalog'!$F$61,IF(((D528+E528)*C528-G528)&lt;='Assumptions and Catalog'!$C$62,((D528+E528)*C528-G528)*'Assumptions and Catalog'!$H$62+'Assumptions and Catalog'!$E$62+'Assumptions and Catalog'!$F$62,IF(((D528+E528)*C528-G528)&lt;='Assumptions and Catalog'!$C$63,((D528+E528)*C528-G528)*'Assumptions and Catalog'!$H$63+'Assumptions and Catalog'!$E$63+'Assumptions and Catalog'!$F$63,IF(((D528+E528)*C528-G528)&lt;='Assumptions and Catalog'!$C$64,((D528+E528)*C528-G528)*'Assumptions and Catalog'!$H$64+'Assumptions and Catalog'!$E$64+'Assumptions and Catalog'!$F$64,IF(((D528+E528)*C528-G528)&lt;='Assumptions and Catalog'!$C$65,((D528+E528)*C528-G528)*'Assumptions and Catalog'!$H$65+'Assumptions and Catalog'!$E$65+'Assumptions and Catalog'!$F$65,"Out of range")))))))))*(1+'Assumptions and Catalog'!$C$8)^(A528-1),0)</f>
        <v>7094.794</v>
      </c>
      <c r="R528" s="5" t="n">
        <f>IF(AND('Assumptions and Catalog'!$C$19&gt;0,A528&gt;='Assumptions and Catalog'!$C$19),A528-'Assumptions and Catalog'!$C$19,A528-1)</f>
        <v>9</v>
      </c>
      <c r="S528" s="5" t="n">
        <f>F528+L528-(D528+E528)*C528-J528-K528-IF(D$52&gt;0,'Assumptions and Catalog'!$C$26*C528,0)</f>
        <v>0</v>
      </c>
      <c r="T528" s="5"/>
      <c r="U528" s="5"/>
    </row>
    <row r="529" ht="23.100000381469727" customHeight="1">
      <c r="A529" s="5" t="n">
        <v>10</v>
      </c>
      <c r="B529" s="5" t="n">
        <v>11</v>
      </c>
      <c r="C529" s="5" t="n">
        <f>DAY(DATE('Assumptions and Catalog'!$C$24+A529-1,B529+1,0))</f>
        <v>30</v>
      </c>
      <c r="D529" s="5" t="n">
        <f>IF(ISNUMBER(Inputs!$L$5),Inputs!$L$5*Inputs!$L$6,0)</f>
        <v>40.35</v>
      </c>
      <c r="E529" s="5" t="n">
        <f>IF(ISNUMBER(Inputs!$L$5),Inputs!$L$5-D529,0)</f>
        <v>40.35</v>
      </c>
      <c r="F529" s="5" t="n">
        <f>D$51*'Assumptions and Catalog'!$C$31*C529*(1-'Assumptions and Catalog'!$C$10)^(A529-1)</f>
        <v>0</v>
      </c>
      <c r="G529" s="5" t="n">
        <f>MIN(F529,D529*C529)</f>
        <v>0</v>
      </c>
      <c r="H529" s="5" t="n">
        <f>I529/('Assumptions and Catalog'!$C$11*'Assumptions and Catalog'!$C$12)</f>
        <v>0</v>
      </c>
      <c r="I529" s="5" t="n">
        <f>IF(K$15="Grid cycle",MIN(K$16,D529+E529,P529*'Assumptions and Catalog'!$C$12,D$57*(24-'Assumptions and Catalog'!$C$15),D$56*'Assumptions and Catalog'!$C$15*'Assumptions and Catalog'!$C$11*'Assumptions and Catalog'!$C$12)*C529,0)</f>
        <v>0</v>
      </c>
      <c r="J529" s="5" t="n">
        <f>MAX(F529-G529-0,0)</f>
        <v>0</v>
      </c>
      <c r="K529" s="5" t="n">
        <f>H529-I529</f>
        <v>0</v>
      </c>
      <c r="L529" s="5" t="n">
        <f>(D529+E529)*C529-G529-I529+H529+IF(D$52&gt;0,'Assumptions and Catalog'!$C$26*C529,0)</f>
        <v>2421</v>
      </c>
      <c r="M529" s="5" t="n">
        <f>IF(ISNUMBER(Inputs!$L$5),(IF(Inputs!$L$9="Actual flat rate",((D529+E529)*C529)*Inputs!$L$10,IF(Inputs!$C$9="Residential",IF(((D529+E529)*C529)&lt;='Assumptions and Catalog'!$C$50,((D529+E529)*C529)*'Assumptions and Catalog'!$H$50+'Assumptions and Catalog'!$E$50+'Assumptions and Catalog'!$F$50,IF(((D529+E529)*C529)&lt;='Assumptions and Catalog'!$C$51,((D529+E529)*C529)*'Assumptions and Catalog'!$H$51+'Assumptions and Catalog'!$E$51+'Assumptions and Catalog'!$F$51,IF(((D529+E529)*C529)&lt;='Assumptions and Catalog'!$C$52,((D529+E529)*C529)*'Assumptions and Catalog'!$H$52+'Assumptions and Catalog'!$E$52+'Assumptions and Catalog'!$F$52,IF(((D529+E529)*C529)&lt;='Assumptions and Catalog'!$C$53,((D529+E529)*C529)*'Assumptions and Catalog'!$H$53+'Assumptions and Catalog'!$E$53+'Assumptions and Catalog'!$F$53,IF(((D529+E529)*C529)&lt;='Assumptions and Catalog'!$C$54,((D529+E529)*C529)*'Assumptions and Catalog'!$H$54+'Assumptions and Catalog'!$E$54+'Assumptions and Catalog'!$F$54,IF(((D529+E529)*C529)&lt;='Assumptions and Catalog'!$C$55,((D529+E529)*C529)*'Assumptions and Catalog'!$H$55+'Assumptions and Catalog'!$E$55+'Assumptions and Catalog'!$F$55,IF(((D529+E529)*C529)&lt;='Assumptions and Catalog'!$C$56,((D529+E529)*C529)*'Assumptions and Catalog'!$H$56+'Assumptions and Catalog'!$E$56+'Assumptions and Catalog'!$F$56,IF(((D529+E529)*C529)&lt;='Assumptions and Catalog'!$C$57,((D529+E529)*C529)*'Assumptions and Catalog'!$H$57+'Assumptions and Catalog'!$E$57+'Assumptions and Catalog'!$F$57,"Out of range")))))))),IF(((D529+E529)*C529)&lt;='Assumptions and Catalog'!$C$60,((D529+E529)*C529)*'Assumptions and Catalog'!$H$60+'Assumptions and Catalog'!$E$60+'Assumptions and Catalog'!$F$60,IF(((D529+E529)*C529)&lt;='Assumptions and Catalog'!$C$61,((D529+E529)*C529)*'Assumptions and Catalog'!$H$61+'Assumptions and Catalog'!$E$61+'Assumptions and Catalog'!$F$61,IF(((D529+E529)*C529)&lt;='Assumptions and Catalog'!$C$62,((D529+E529)*C529)*'Assumptions and Catalog'!$H$62+'Assumptions and Catalog'!$E$62+'Assumptions and Catalog'!$F$62,IF(((D529+E529)*C529)&lt;='Assumptions and Catalog'!$C$63,((D529+E529)*C529)*'Assumptions and Catalog'!$H$63+'Assumptions and Catalog'!$E$63+'Assumptions and Catalog'!$F$63,IF(((D529+E529)*C529)&lt;='Assumptions and Catalog'!$C$64,((D529+E529)*C529)*'Assumptions and Catalog'!$H$64+'Assumptions and Catalog'!$E$64+'Assumptions and Catalog'!$F$64,IF(((D529+E529)*C529)&lt;='Assumptions and Catalog'!$C$65,((D529+E529)*C529)*'Assumptions and Catalog'!$H$65+'Assumptions and Catalog'!$E$65+'Assumptions and Catalog'!$F$65,"Out of range")))))))))*(1+'Assumptions and Catalog'!$C$8)^(A529-1),0)</f>
        <v>6867.22</v>
      </c>
      <c r="N529" s="5" t="n">
        <f>IF(ISNUMBER(Inputs!$L$5),(IF(Inputs!$L$9="Actual flat rate",L529*Inputs!$L$10,IF(Inputs!$C$9="Residential",IF(L529&lt;='Assumptions and Catalog'!$C$50,L529*'Assumptions and Catalog'!$H$50+'Assumptions and Catalog'!$E$50+'Assumptions and Catalog'!$F$50,IF(L529&lt;='Assumptions and Catalog'!$C$51,L529*'Assumptions and Catalog'!$H$51+'Assumptions and Catalog'!$E$51+'Assumptions and Catalog'!$F$51,IF(L529&lt;='Assumptions and Catalog'!$C$52,L529*'Assumptions and Catalog'!$H$52+'Assumptions and Catalog'!$E$52+'Assumptions and Catalog'!$F$52,IF(L529&lt;='Assumptions and Catalog'!$C$53,L529*'Assumptions and Catalog'!$H$53+'Assumptions and Catalog'!$E$53+'Assumptions and Catalog'!$F$53,IF(L529&lt;='Assumptions and Catalog'!$C$54,L529*'Assumptions and Catalog'!$H$54+'Assumptions and Catalog'!$E$54+'Assumptions and Catalog'!$F$54,IF(L529&lt;='Assumptions and Catalog'!$C$55,L529*'Assumptions and Catalog'!$H$55+'Assumptions and Catalog'!$E$55+'Assumptions and Catalog'!$F$55,IF(L529&lt;='Assumptions and Catalog'!$C$56,L529*'Assumptions and Catalog'!$H$56+'Assumptions and Catalog'!$E$56+'Assumptions and Catalog'!$F$56,IF(L529&lt;='Assumptions and Catalog'!$C$57,L529*'Assumptions and Catalog'!$H$57+'Assumptions and Catalog'!$E$57+'Assumptions and Catalog'!$F$57,"Out of range")))))))),IF(L529&lt;='Assumptions and Catalog'!$C$60,L529*'Assumptions and Catalog'!$H$60+'Assumptions and Catalog'!$E$60+'Assumptions and Catalog'!$F$60,IF(L529&lt;='Assumptions and Catalog'!$C$61,L529*'Assumptions and Catalog'!$H$61+'Assumptions and Catalog'!$E$61+'Assumptions and Catalog'!$F$61,IF(L529&lt;='Assumptions and Catalog'!$C$62,L529*'Assumptions and Catalog'!$H$62+'Assumptions and Catalog'!$E$62+'Assumptions and Catalog'!$F$62,IF(L529&lt;='Assumptions and Catalog'!$C$63,L529*'Assumptions and Catalog'!$H$63+'Assumptions and Catalog'!$E$63+'Assumptions and Catalog'!$F$63,IF(L529&lt;='Assumptions and Catalog'!$C$64,L529*'Assumptions and Catalog'!$H$64+'Assumptions and Catalog'!$E$64+'Assumptions and Catalog'!$F$64,IF(L529&lt;='Assumptions and Catalog'!$C$65,L529*'Assumptions and Catalog'!$H$65+'Assumptions and Catalog'!$E$65+'Assumptions and Catalog'!$F$65,"Out of range")))))))))*(1+'Assumptions and Catalog'!$C$8)^(A529-1),0)</f>
        <v>6867.22</v>
      </c>
      <c r="O529" s="5" t="n">
        <f>M529-N529</f>
        <v>0</v>
      </c>
      <c r="P529" s="5" t="n">
        <f>D$55*(1-K$14)*(1-'Assumptions and Catalog'!$C$23)^R529</f>
        <v>0</v>
      </c>
      <c r="Q529" s="5" t="n">
        <f>IF(ISNUMBER(Inputs!$L$5),(IF(Inputs!$L$9="Actual flat rate",((D529+E529)*C529-G529)*Inputs!$L$10,IF(Inputs!$C$9="Residential",IF(((D529+E529)*C529-G529)&lt;='Assumptions and Catalog'!$C$50,((D529+E529)*C529-G529)*'Assumptions and Catalog'!$H$50+'Assumptions and Catalog'!$E$50+'Assumptions and Catalog'!$F$50,IF(((D529+E529)*C529-G529)&lt;='Assumptions and Catalog'!$C$51,((D529+E529)*C529-G529)*'Assumptions and Catalog'!$H$51+'Assumptions and Catalog'!$E$51+'Assumptions and Catalog'!$F$51,IF(((D529+E529)*C529-G529)&lt;='Assumptions and Catalog'!$C$52,((D529+E529)*C529-G529)*'Assumptions and Catalog'!$H$52+'Assumptions and Catalog'!$E$52+'Assumptions and Catalog'!$F$52,IF(((D529+E529)*C529-G529)&lt;='Assumptions and Catalog'!$C$53,((D529+E529)*C529-G529)*'Assumptions and Catalog'!$H$53+'Assumptions and Catalog'!$E$53+'Assumptions and Catalog'!$F$53,IF(((D529+E529)*C529-G529)&lt;='Assumptions and Catalog'!$C$54,((D529+E529)*C529-G529)*'Assumptions and Catalog'!$H$54+'Assumptions and Catalog'!$E$54+'Assumptions and Catalog'!$F$54,IF(((D529+E529)*C529-G529)&lt;='Assumptions and Catalog'!$C$55,((D529+E529)*C529-G529)*'Assumptions and Catalog'!$H$55+'Assumptions and Catalog'!$E$55+'Assumptions and Catalog'!$F$55,IF(((D529+E529)*C529-G529)&lt;='Assumptions and Catalog'!$C$56,((D529+E529)*C529-G529)*'Assumptions and Catalog'!$H$56+'Assumptions and Catalog'!$E$56+'Assumptions and Catalog'!$F$56,IF(((D529+E529)*C529-G529)&lt;='Assumptions and Catalog'!$C$57,((D529+E529)*C529-G529)*'Assumptions and Catalog'!$H$57+'Assumptions and Catalog'!$E$57+'Assumptions and Catalog'!$F$57,"Out of range")))))))),IF(((D529+E529)*C529-G529)&lt;='Assumptions and Catalog'!$C$60,((D529+E529)*C529-G529)*'Assumptions and Catalog'!$H$60+'Assumptions and Catalog'!$E$60+'Assumptions and Catalog'!$F$60,IF(((D529+E529)*C529-G529)&lt;='Assumptions and Catalog'!$C$61,((D529+E529)*C529-G529)*'Assumptions and Catalog'!$H$61+'Assumptions and Catalog'!$E$61+'Assumptions and Catalog'!$F$61,IF(((D529+E529)*C529-G529)&lt;='Assumptions and Catalog'!$C$62,((D529+E529)*C529-G529)*'Assumptions and Catalog'!$H$62+'Assumptions and Catalog'!$E$62+'Assumptions and Catalog'!$F$62,IF(((D529+E529)*C529-G529)&lt;='Assumptions and Catalog'!$C$63,((D529+E529)*C529-G529)*'Assumptions and Catalog'!$H$63+'Assumptions and Catalog'!$E$63+'Assumptions and Catalog'!$F$63,IF(((D529+E529)*C529-G529)&lt;='Assumptions and Catalog'!$C$64,((D529+E529)*C529-G529)*'Assumptions and Catalog'!$H$64+'Assumptions and Catalog'!$E$64+'Assumptions and Catalog'!$F$64,IF(((D529+E529)*C529-G529)&lt;='Assumptions and Catalog'!$C$65,((D529+E529)*C529-G529)*'Assumptions and Catalog'!$H$65+'Assumptions and Catalog'!$E$65+'Assumptions and Catalog'!$F$65,"Out of range")))))))))*(1+'Assumptions and Catalog'!$C$8)^(A529-1),0)</f>
        <v>6867.22</v>
      </c>
      <c r="R529" s="5" t="n">
        <f>IF(AND('Assumptions and Catalog'!$C$19&gt;0,A529&gt;='Assumptions and Catalog'!$C$19),A529-'Assumptions and Catalog'!$C$19,A529-1)</f>
        <v>9</v>
      </c>
      <c r="S529" s="5" t="n">
        <f>F529+L529-(D529+E529)*C529-J529-K529-IF(D$52&gt;0,'Assumptions and Catalog'!$C$26*C529,0)</f>
        <v>0</v>
      </c>
      <c r="T529" s="5"/>
      <c r="U529" s="5"/>
    </row>
    <row r="530" ht="23.100000381469727" customHeight="1">
      <c r="A530" s="5" t="n">
        <v>10</v>
      </c>
      <c r="B530" s="5" t="n">
        <v>12</v>
      </c>
      <c r="C530" s="5" t="n">
        <f>DAY(DATE('Assumptions and Catalog'!$C$24+A530-1,B530+1,0))</f>
        <v>31</v>
      </c>
      <c r="D530" s="5" t="n">
        <f>IF(ISNUMBER(Inputs!$L$5),Inputs!$L$5*Inputs!$L$6,0)</f>
        <v>40.35</v>
      </c>
      <c r="E530" s="5" t="n">
        <f>IF(ISNUMBER(Inputs!$L$5),Inputs!$L$5-D530,0)</f>
        <v>40.35</v>
      </c>
      <c r="F530" s="5" t="n">
        <f>D$51*'Assumptions and Catalog'!$C$31*C530*(1-'Assumptions and Catalog'!$C$10)^(A530-1)</f>
        <v>0</v>
      </c>
      <c r="G530" s="5" t="n">
        <f>MIN(F530,D530*C530)</f>
        <v>0</v>
      </c>
      <c r="H530" s="5" t="n">
        <f>I530/('Assumptions and Catalog'!$C$11*'Assumptions and Catalog'!$C$12)</f>
        <v>0</v>
      </c>
      <c r="I530" s="5" t="n">
        <f>IF(K$15="Grid cycle",MIN(K$16,D530+E530,P530*'Assumptions and Catalog'!$C$12,D$57*(24-'Assumptions and Catalog'!$C$15),D$56*'Assumptions and Catalog'!$C$15*'Assumptions and Catalog'!$C$11*'Assumptions and Catalog'!$C$12)*C530,0)</f>
        <v>0</v>
      </c>
      <c r="J530" s="5" t="n">
        <f>MAX(F530-G530-0,0)</f>
        <v>0</v>
      </c>
      <c r="K530" s="5" t="n">
        <f>H530-I530</f>
        <v>0</v>
      </c>
      <c r="L530" s="5" t="n">
        <f>(D530+E530)*C530-G530-I530+H530+IF(D$52&gt;0,'Assumptions and Catalog'!$C$26*C530,0)</f>
        <v>2501.7</v>
      </c>
      <c r="M530" s="5" t="n">
        <f>IF(ISNUMBER(Inputs!$L$5),(IF(Inputs!$L$9="Actual flat rate",((D530+E530)*C530)*Inputs!$L$10,IF(Inputs!$C$9="Residential",IF(((D530+E530)*C530)&lt;='Assumptions and Catalog'!$C$50,((D530+E530)*C530)*'Assumptions and Catalog'!$H$50+'Assumptions and Catalog'!$E$50+'Assumptions and Catalog'!$F$50,IF(((D530+E530)*C530)&lt;='Assumptions and Catalog'!$C$51,((D530+E530)*C530)*'Assumptions and Catalog'!$H$51+'Assumptions and Catalog'!$E$51+'Assumptions and Catalog'!$F$51,IF(((D530+E530)*C530)&lt;='Assumptions and Catalog'!$C$52,((D530+E530)*C530)*'Assumptions and Catalog'!$H$52+'Assumptions and Catalog'!$E$52+'Assumptions and Catalog'!$F$52,IF(((D530+E530)*C530)&lt;='Assumptions and Catalog'!$C$53,((D530+E530)*C530)*'Assumptions and Catalog'!$H$53+'Assumptions and Catalog'!$E$53+'Assumptions and Catalog'!$F$53,IF(((D530+E530)*C530)&lt;='Assumptions and Catalog'!$C$54,((D530+E530)*C530)*'Assumptions and Catalog'!$H$54+'Assumptions and Catalog'!$E$54+'Assumptions and Catalog'!$F$54,IF(((D530+E530)*C530)&lt;='Assumptions and Catalog'!$C$55,((D530+E530)*C530)*'Assumptions and Catalog'!$H$55+'Assumptions and Catalog'!$E$55+'Assumptions and Catalog'!$F$55,IF(((D530+E530)*C530)&lt;='Assumptions and Catalog'!$C$56,((D530+E530)*C530)*'Assumptions and Catalog'!$H$56+'Assumptions and Catalog'!$E$56+'Assumptions and Catalog'!$F$56,IF(((D530+E530)*C530)&lt;='Assumptions and Catalog'!$C$57,((D530+E530)*C530)*'Assumptions and Catalog'!$H$57+'Assumptions and Catalog'!$E$57+'Assumptions and Catalog'!$F$57,"Out of range")))))))),IF(((D530+E530)*C530)&lt;='Assumptions and Catalog'!$C$60,((D530+E530)*C530)*'Assumptions and Catalog'!$H$60+'Assumptions and Catalog'!$E$60+'Assumptions and Catalog'!$F$60,IF(((D530+E530)*C530)&lt;='Assumptions and Catalog'!$C$61,((D530+E530)*C530)*'Assumptions and Catalog'!$H$61+'Assumptions and Catalog'!$E$61+'Assumptions and Catalog'!$F$61,IF(((D530+E530)*C530)&lt;='Assumptions and Catalog'!$C$62,((D530+E530)*C530)*'Assumptions and Catalog'!$H$62+'Assumptions and Catalog'!$E$62+'Assumptions and Catalog'!$F$62,IF(((D530+E530)*C530)&lt;='Assumptions and Catalog'!$C$63,((D530+E530)*C530)*'Assumptions and Catalog'!$H$63+'Assumptions and Catalog'!$E$63+'Assumptions and Catalog'!$F$63,IF(((D530+E530)*C530)&lt;='Assumptions and Catalog'!$C$64,((D530+E530)*C530)*'Assumptions and Catalog'!$H$64+'Assumptions and Catalog'!$E$64+'Assumptions and Catalog'!$F$64,IF(((D530+E530)*C530)&lt;='Assumptions and Catalog'!$C$65,((D530+E530)*C530)*'Assumptions and Catalog'!$H$65+'Assumptions and Catalog'!$E$65+'Assumptions and Catalog'!$F$65,"Out of range")))))))))*(1+'Assumptions and Catalog'!$C$8)^(A530-1),0)</f>
        <v>7094.794</v>
      </c>
      <c r="N530" s="5" t="n">
        <f>IF(ISNUMBER(Inputs!$L$5),(IF(Inputs!$L$9="Actual flat rate",L530*Inputs!$L$10,IF(Inputs!$C$9="Residential",IF(L530&lt;='Assumptions and Catalog'!$C$50,L530*'Assumptions and Catalog'!$H$50+'Assumptions and Catalog'!$E$50+'Assumptions and Catalog'!$F$50,IF(L530&lt;='Assumptions and Catalog'!$C$51,L530*'Assumptions and Catalog'!$H$51+'Assumptions and Catalog'!$E$51+'Assumptions and Catalog'!$F$51,IF(L530&lt;='Assumptions and Catalog'!$C$52,L530*'Assumptions and Catalog'!$H$52+'Assumptions and Catalog'!$E$52+'Assumptions and Catalog'!$F$52,IF(L530&lt;='Assumptions and Catalog'!$C$53,L530*'Assumptions and Catalog'!$H$53+'Assumptions and Catalog'!$E$53+'Assumptions and Catalog'!$F$53,IF(L530&lt;='Assumptions and Catalog'!$C$54,L530*'Assumptions and Catalog'!$H$54+'Assumptions and Catalog'!$E$54+'Assumptions and Catalog'!$F$54,IF(L530&lt;='Assumptions and Catalog'!$C$55,L530*'Assumptions and Catalog'!$H$55+'Assumptions and Catalog'!$E$55+'Assumptions and Catalog'!$F$55,IF(L530&lt;='Assumptions and Catalog'!$C$56,L530*'Assumptions and Catalog'!$H$56+'Assumptions and Catalog'!$E$56+'Assumptions and Catalog'!$F$56,IF(L530&lt;='Assumptions and Catalog'!$C$57,L530*'Assumptions and Catalog'!$H$57+'Assumptions and Catalog'!$E$57+'Assumptions and Catalog'!$F$57,"Out of range")))))))),IF(L530&lt;='Assumptions and Catalog'!$C$60,L530*'Assumptions and Catalog'!$H$60+'Assumptions and Catalog'!$E$60+'Assumptions and Catalog'!$F$60,IF(L530&lt;='Assumptions and Catalog'!$C$61,L530*'Assumptions and Catalog'!$H$61+'Assumptions and Catalog'!$E$61+'Assumptions and Catalog'!$F$61,IF(L530&lt;='Assumptions and Catalog'!$C$62,L530*'Assumptions and Catalog'!$H$62+'Assumptions and Catalog'!$E$62+'Assumptions and Catalog'!$F$62,IF(L530&lt;='Assumptions and Catalog'!$C$63,L530*'Assumptions and Catalog'!$H$63+'Assumptions and Catalog'!$E$63+'Assumptions and Catalog'!$F$63,IF(L530&lt;='Assumptions and Catalog'!$C$64,L530*'Assumptions and Catalog'!$H$64+'Assumptions and Catalog'!$E$64+'Assumptions and Catalog'!$F$64,IF(L530&lt;='Assumptions and Catalog'!$C$65,L530*'Assumptions and Catalog'!$H$65+'Assumptions and Catalog'!$E$65+'Assumptions and Catalog'!$F$65,"Out of range")))))))))*(1+'Assumptions and Catalog'!$C$8)^(A530-1),0)</f>
        <v>7094.794</v>
      </c>
      <c r="O530" s="5" t="n">
        <f>M530-N530</f>
        <v>0</v>
      </c>
      <c r="P530" s="5" t="n">
        <f>D$55*(1-K$14)*(1-'Assumptions and Catalog'!$C$23)^R530</f>
        <v>0</v>
      </c>
      <c r="Q530" s="5" t="n">
        <f>IF(ISNUMBER(Inputs!$L$5),(IF(Inputs!$L$9="Actual flat rate",((D530+E530)*C530-G530)*Inputs!$L$10,IF(Inputs!$C$9="Residential",IF(((D530+E530)*C530-G530)&lt;='Assumptions and Catalog'!$C$50,((D530+E530)*C530-G530)*'Assumptions and Catalog'!$H$50+'Assumptions and Catalog'!$E$50+'Assumptions and Catalog'!$F$50,IF(((D530+E530)*C530-G530)&lt;='Assumptions and Catalog'!$C$51,((D530+E530)*C530-G530)*'Assumptions and Catalog'!$H$51+'Assumptions and Catalog'!$E$51+'Assumptions and Catalog'!$F$51,IF(((D530+E530)*C530-G530)&lt;='Assumptions and Catalog'!$C$52,((D530+E530)*C530-G530)*'Assumptions and Catalog'!$H$52+'Assumptions and Catalog'!$E$52+'Assumptions and Catalog'!$F$52,IF(((D530+E530)*C530-G530)&lt;='Assumptions and Catalog'!$C$53,((D530+E530)*C530-G530)*'Assumptions and Catalog'!$H$53+'Assumptions and Catalog'!$E$53+'Assumptions and Catalog'!$F$53,IF(((D530+E530)*C530-G530)&lt;='Assumptions and Catalog'!$C$54,((D530+E530)*C530-G530)*'Assumptions and Catalog'!$H$54+'Assumptions and Catalog'!$E$54+'Assumptions and Catalog'!$F$54,IF(((D530+E530)*C530-G530)&lt;='Assumptions and Catalog'!$C$55,((D530+E530)*C530-G530)*'Assumptions and Catalog'!$H$55+'Assumptions and Catalog'!$E$55+'Assumptions and Catalog'!$F$55,IF(((D530+E530)*C530-G530)&lt;='Assumptions and Catalog'!$C$56,((D530+E530)*C530-G530)*'Assumptions and Catalog'!$H$56+'Assumptions and Catalog'!$E$56+'Assumptions and Catalog'!$F$56,IF(((D530+E530)*C530-G530)&lt;='Assumptions and Catalog'!$C$57,((D530+E530)*C530-G530)*'Assumptions and Catalog'!$H$57+'Assumptions and Catalog'!$E$57+'Assumptions and Catalog'!$F$57,"Out of range")))))))),IF(((D530+E530)*C530-G530)&lt;='Assumptions and Catalog'!$C$60,((D530+E530)*C530-G530)*'Assumptions and Catalog'!$H$60+'Assumptions and Catalog'!$E$60+'Assumptions and Catalog'!$F$60,IF(((D530+E530)*C530-G530)&lt;='Assumptions and Catalog'!$C$61,((D530+E530)*C530-G530)*'Assumptions and Catalog'!$H$61+'Assumptions and Catalog'!$E$61+'Assumptions and Catalog'!$F$61,IF(((D530+E530)*C530-G530)&lt;='Assumptions and Catalog'!$C$62,((D530+E530)*C530-G530)*'Assumptions and Catalog'!$H$62+'Assumptions and Catalog'!$E$62+'Assumptions and Catalog'!$F$62,IF(((D530+E530)*C530-G530)&lt;='Assumptions and Catalog'!$C$63,((D530+E530)*C530-G530)*'Assumptions and Catalog'!$H$63+'Assumptions and Catalog'!$E$63+'Assumptions and Catalog'!$F$63,IF(((D530+E530)*C530-G530)&lt;='Assumptions and Catalog'!$C$64,((D530+E530)*C530-G530)*'Assumptions and Catalog'!$H$64+'Assumptions and Catalog'!$E$64+'Assumptions and Catalog'!$F$64,IF(((D530+E530)*C530-G530)&lt;='Assumptions and Catalog'!$C$65,((D530+E530)*C530-G530)*'Assumptions and Catalog'!$H$65+'Assumptions and Catalog'!$E$65+'Assumptions and Catalog'!$F$65,"Out of range")))))))))*(1+'Assumptions and Catalog'!$C$8)^(A530-1),0)</f>
        <v>7094.794</v>
      </c>
      <c r="R530" s="5" t="n">
        <f>IF(AND('Assumptions and Catalog'!$C$19&gt;0,A530&gt;='Assumptions and Catalog'!$C$19),A530-'Assumptions and Catalog'!$C$19,A530-1)</f>
        <v>9</v>
      </c>
      <c r="S530" s="5" t="n">
        <f>F530+L530-(D530+E530)*C530-J530-K530-IF(D$52&gt;0,'Assumptions and Catalog'!$C$26*C530,0)</f>
        <v>0</v>
      </c>
      <c r="T530" s="5"/>
      <c r="U530" s="5"/>
    </row>
    <row r="531" ht="23.100000381469727" customHeight="1">
      <c r="A531" s="5" t="n">
        <v>11</v>
      </c>
      <c r="B531" s="5" t="n">
        <v>1</v>
      </c>
      <c r="C531" s="5" t="n">
        <f>DAY(DATE('Assumptions and Catalog'!$C$24+A531-1,B531+1,0))</f>
        <v>31</v>
      </c>
      <c r="D531" s="5" t="n">
        <f>IF(ISNUMBER(Inputs!$L$5),Inputs!$L$5*Inputs!$L$6,0)</f>
        <v>40.35</v>
      </c>
      <c r="E531" s="5" t="n">
        <f>IF(ISNUMBER(Inputs!$L$5),Inputs!$L$5-D531,0)</f>
        <v>40.35</v>
      </c>
      <c r="F531" s="5" t="n">
        <f>D$51*'Assumptions and Catalog'!$C$31*C531*(1-'Assumptions and Catalog'!$C$10)^(A531-1)</f>
        <v>0</v>
      </c>
      <c r="G531" s="5" t="n">
        <f>MIN(F531,D531*C531)</f>
        <v>0</v>
      </c>
      <c r="H531" s="5" t="n">
        <f>I531/('Assumptions and Catalog'!$C$11*'Assumptions and Catalog'!$C$12)</f>
        <v>0</v>
      </c>
      <c r="I531" s="5" t="n">
        <f>IF(K$15="Grid cycle",MIN(K$16,D531+E531,P531*'Assumptions and Catalog'!$C$12,D$57*(24-'Assumptions and Catalog'!$C$15),D$56*'Assumptions and Catalog'!$C$15*'Assumptions and Catalog'!$C$11*'Assumptions and Catalog'!$C$12)*C531,0)</f>
        <v>0</v>
      </c>
      <c r="J531" s="5" t="n">
        <f>MAX(F531-G531-0,0)</f>
        <v>0</v>
      </c>
      <c r="K531" s="5" t="n">
        <f>H531-I531</f>
        <v>0</v>
      </c>
      <c r="L531" s="5" t="n">
        <f>(D531+E531)*C531-G531-I531+H531+IF(D$52&gt;0,'Assumptions and Catalog'!$C$26*C531,0)</f>
        <v>2501.7</v>
      </c>
      <c r="M531" s="5" t="n">
        <f>IF(ISNUMBER(Inputs!$L$5),(IF(Inputs!$L$9="Actual flat rate",((D531+E531)*C531)*Inputs!$L$10,IF(Inputs!$C$9="Residential",IF(((D531+E531)*C531)&lt;='Assumptions and Catalog'!$C$50,((D531+E531)*C531)*'Assumptions and Catalog'!$H$50+'Assumptions and Catalog'!$E$50+'Assumptions and Catalog'!$F$50,IF(((D531+E531)*C531)&lt;='Assumptions and Catalog'!$C$51,((D531+E531)*C531)*'Assumptions and Catalog'!$H$51+'Assumptions and Catalog'!$E$51+'Assumptions and Catalog'!$F$51,IF(((D531+E531)*C531)&lt;='Assumptions and Catalog'!$C$52,((D531+E531)*C531)*'Assumptions and Catalog'!$H$52+'Assumptions and Catalog'!$E$52+'Assumptions and Catalog'!$F$52,IF(((D531+E531)*C531)&lt;='Assumptions and Catalog'!$C$53,((D531+E531)*C531)*'Assumptions and Catalog'!$H$53+'Assumptions and Catalog'!$E$53+'Assumptions and Catalog'!$F$53,IF(((D531+E531)*C531)&lt;='Assumptions and Catalog'!$C$54,((D531+E531)*C531)*'Assumptions and Catalog'!$H$54+'Assumptions and Catalog'!$E$54+'Assumptions and Catalog'!$F$54,IF(((D531+E531)*C531)&lt;='Assumptions and Catalog'!$C$55,((D531+E531)*C531)*'Assumptions and Catalog'!$H$55+'Assumptions and Catalog'!$E$55+'Assumptions and Catalog'!$F$55,IF(((D531+E531)*C531)&lt;='Assumptions and Catalog'!$C$56,((D531+E531)*C531)*'Assumptions and Catalog'!$H$56+'Assumptions and Catalog'!$E$56+'Assumptions and Catalog'!$F$56,IF(((D531+E531)*C531)&lt;='Assumptions and Catalog'!$C$57,((D531+E531)*C531)*'Assumptions and Catalog'!$H$57+'Assumptions and Catalog'!$E$57+'Assumptions and Catalog'!$F$57,"Out of range")))))))),IF(((D531+E531)*C531)&lt;='Assumptions and Catalog'!$C$60,((D531+E531)*C531)*'Assumptions and Catalog'!$H$60+'Assumptions and Catalog'!$E$60+'Assumptions and Catalog'!$F$60,IF(((D531+E531)*C531)&lt;='Assumptions and Catalog'!$C$61,((D531+E531)*C531)*'Assumptions and Catalog'!$H$61+'Assumptions and Catalog'!$E$61+'Assumptions and Catalog'!$F$61,IF(((D531+E531)*C531)&lt;='Assumptions and Catalog'!$C$62,((D531+E531)*C531)*'Assumptions and Catalog'!$H$62+'Assumptions and Catalog'!$E$62+'Assumptions and Catalog'!$F$62,IF(((D531+E531)*C531)&lt;='Assumptions and Catalog'!$C$63,((D531+E531)*C531)*'Assumptions and Catalog'!$H$63+'Assumptions and Catalog'!$E$63+'Assumptions and Catalog'!$F$63,IF(((D531+E531)*C531)&lt;='Assumptions and Catalog'!$C$64,((D531+E531)*C531)*'Assumptions and Catalog'!$H$64+'Assumptions and Catalog'!$E$64+'Assumptions and Catalog'!$F$64,IF(((D531+E531)*C531)&lt;='Assumptions and Catalog'!$C$65,((D531+E531)*C531)*'Assumptions and Catalog'!$H$65+'Assumptions and Catalog'!$E$65+'Assumptions and Catalog'!$F$65,"Out of range")))))))))*(1+'Assumptions and Catalog'!$C$8)^(A531-1),0)</f>
        <v>7094.794</v>
      </c>
      <c r="N531" s="5" t="n">
        <f>IF(ISNUMBER(Inputs!$L$5),(IF(Inputs!$L$9="Actual flat rate",L531*Inputs!$L$10,IF(Inputs!$C$9="Residential",IF(L531&lt;='Assumptions and Catalog'!$C$50,L531*'Assumptions and Catalog'!$H$50+'Assumptions and Catalog'!$E$50+'Assumptions and Catalog'!$F$50,IF(L531&lt;='Assumptions and Catalog'!$C$51,L531*'Assumptions and Catalog'!$H$51+'Assumptions and Catalog'!$E$51+'Assumptions and Catalog'!$F$51,IF(L531&lt;='Assumptions and Catalog'!$C$52,L531*'Assumptions and Catalog'!$H$52+'Assumptions and Catalog'!$E$52+'Assumptions and Catalog'!$F$52,IF(L531&lt;='Assumptions and Catalog'!$C$53,L531*'Assumptions and Catalog'!$H$53+'Assumptions and Catalog'!$E$53+'Assumptions and Catalog'!$F$53,IF(L531&lt;='Assumptions and Catalog'!$C$54,L531*'Assumptions and Catalog'!$H$54+'Assumptions and Catalog'!$E$54+'Assumptions and Catalog'!$F$54,IF(L531&lt;='Assumptions and Catalog'!$C$55,L531*'Assumptions and Catalog'!$H$55+'Assumptions and Catalog'!$E$55+'Assumptions and Catalog'!$F$55,IF(L531&lt;='Assumptions and Catalog'!$C$56,L531*'Assumptions and Catalog'!$H$56+'Assumptions and Catalog'!$E$56+'Assumptions and Catalog'!$F$56,IF(L531&lt;='Assumptions and Catalog'!$C$57,L531*'Assumptions and Catalog'!$H$57+'Assumptions and Catalog'!$E$57+'Assumptions and Catalog'!$F$57,"Out of range")))))))),IF(L531&lt;='Assumptions and Catalog'!$C$60,L531*'Assumptions and Catalog'!$H$60+'Assumptions and Catalog'!$E$60+'Assumptions and Catalog'!$F$60,IF(L531&lt;='Assumptions and Catalog'!$C$61,L531*'Assumptions and Catalog'!$H$61+'Assumptions and Catalog'!$E$61+'Assumptions and Catalog'!$F$61,IF(L531&lt;='Assumptions and Catalog'!$C$62,L531*'Assumptions and Catalog'!$H$62+'Assumptions and Catalog'!$E$62+'Assumptions and Catalog'!$F$62,IF(L531&lt;='Assumptions and Catalog'!$C$63,L531*'Assumptions and Catalog'!$H$63+'Assumptions and Catalog'!$E$63+'Assumptions and Catalog'!$F$63,IF(L531&lt;='Assumptions and Catalog'!$C$64,L531*'Assumptions and Catalog'!$H$64+'Assumptions and Catalog'!$E$64+'Assumptions and Catalog'!$F$64,IF(L531&lt;='Assumptions and Catalog'!$C$65,L531*'Assumptions and Catalog'!$H$65+'Assumptions and Catalog'!$E$65+'Assumptions and Catalog'!$F$65,"Out of range")))))))))*(1+'Assumptions and Catalog'!$C$8)^(A531-1),0)</f>
        <v>7094.794</v>
      </c>
      <c r="O531" s="5" t="n">
        <f>M531-N531</f>
        <v>0</v>
      </c>
      <c r="P531" s="5" t="n">
        <f>D$55*(1-K$14)*(1-'Assumptions and Catalog'!$C$23)^R531</f>
        <v>0</v>
      </c>
      <c r="Q531" s="5" t="n">
        <f>IF(ISNUMBER(Inputs!$L$5),(IF(Inputs!$L$9="Actual flat rate",((D531+E531)*C531-G531)*Inputs!$L$10,IF(Inputs!$C$9="Residential",IF(((D531+E531)*C531-G531)&lt;='Assumptions and Catalog'!$C$50,((D531+E531)*C531-G531)*'Assumptions and Catalog'!$H$50+'Assumptions and Catalog'!$E$50+'Assumptions and Catalog'!$F$50,IF(((D531+E531)*C531-G531)&lt;='Assumptions and Catalog'!$C$51,((D531+E531)*C531-G531)*'Assumptions and Catalog'!$H$51+'Assumptions and Catalog'!$E$51+'Assumptions and Catalog'!$F$51,IF(((D531+E531)*C531-G531)&lt;='Assumptions and Catalog'!$C$52,((D531+E531)*C531-G531)*'Assumptions and Catalog'!$H$52+'Assumptions and Catalog'!$E$52+'Assumptions and Catalog'!$F$52,IF(((D531+E531)*C531-G531)&lt;='Assumptions and Catalog'!$C$53,((D531+E531)*C531-G531)*'Assumptions and Catalog'!$H$53+'Assumptions and Catalog'!$E$53+'Assumptions and Catalog'!$F$53,IF(((D531+E531)*C531-G531)&lt;='Assumptions and Catalog'!$C$54,((D531+E531)*C531-G531)*'Assumptions and Catalog'!$H$54+'Assumptions and Catalog'!$E$54+'Assumptions and Catalog'!$F$54,IF(((D531+E531)*C531-G531)&lt;='Assumptions and Catalog'!$C$55,((D531+E531)*C531-G531)*'Assumptions and Catalog'!$H$55+'Assumptions and Catalog'!$E$55+'Assumptions and Catalog'!$F$55,IF(((D531+E531)*C531-G531)&lt;='Assumptions and Catalog'!$C$56,((D531+E531)*C531-G531)*'Assumptions and Catalog'!$H$56+'Assumptions and Catalog'!$E$56+'Assumptions and Catalog'!$F$56,IF(((D531+E531)*C531-G531)&lt;='Assumptions and Catalog'!$C$57,((D531+E531)*C531-G531)*'Assumptions and Catalog'!$H$57+'Assumptions and Catalog'!$E$57+'Assumptions and Catalog'!$F$57,"Out of range")))))))),IF(((D531+E531)*C531-G531)&lt;='Assumptions and Catalog'!$C$60,((D531+E531)*C531-G531)*'Assumptions and Catalog'!$H$60+'Assumptions and Catalog'!$E$60+'Assumptions and Catalog'!$F$60,IF(((D531+E531)*C531-G531)&lt;='Assumptions and Catalog'!$C$61,((D531+E531)*C531-G531)*'Assumptions and Catalog'!$H$61+'Assumptions and Catalog'!$E$61+'Assumptions and Catalog'!$F$61,IF(((D531+E531)*C531-G531)&lt;='Assumptions and Catalog'!$C$62,((D531+E531)*C531-G531)*'Assumptions and Catalog'!$H$62+'Assumptions and Catalog'!$E$62+'Assumptions and Catalog'!$F$62,IF(((D531+E531)*C531-G531)&lt;='Assumptions and Catalog'!$C$63,((D531+E531)*C531-G531)*'Assumptions and Catalog'!$H$63+'Assumptions and Catalog'!$E$63+'Assumptions and Catalog'!$F$63,IF(((D531+E531)*C531-G531)&lt;='Assumptions and Catalog'!$C$64,((D531+E531)*C531-G531)*'Assumptions and Catalog'!$H$64+'Assumptions and Catalog'!$E$64+'Assumptions and Catalog'!$F$64,IF(((D531+E531)*C531-G531)&lt;='Assumptions and Catalog'!$C$65,((D531+E531)*C531-G531)*'Assumptions and Catalog'!$H$65+'Assumptions and Catalog'!$E$65+'Assumptions and Catalog'!$F$65,"Out of range")))))))))*(1+'Assumptions and Catalog'!$C$8)^(A531-1),0)</f>
        <v>7094.794</v>
      </c>
      <c r="R531" s="5" t="n">
        <f>IF(AND('Assumptions and Catalog'!$C$19&gt;0,A531&gt;='Assumptions and Catalog'!$C$19),A531-'Assumptions and Catalog'!$C$19,A531-1)</f>
        <v>0</v>
      </c>
      <c r="S531" s="5" t="n">
        <f>F531+L531-(D531+E531)*C531-J531-K531-IF(D$52&gt;0,'Assumptions and Catalog'!$C$26*C531,0)</f>
        <v>0</v>
      </c>
      <c r="T531" s="5"/>
      <c r="U531" s="5"/>
    </row>
    <row r="532" ht="23.100000381469727" customHeight="1">
      <c r="A532" s="5" t="n">
        <v>11</v>
      </c>
      <c r="B532" s="5" t="n">
        <v>2</v>
      </c>
      <c r="C532" s="5" t="n">
        <f>DAY(DATE('Assumptions and Catalog'!$C$24+A532-1,B532+1,0))</f>
        <v>28</v>
      </c>
      <c r="D532" s="5" t="n">
        <f>IF(ISNUMBER(Inputs!$L$5),Inputs!$L$5*Inputs!$L$6,0)</f>
        <v>40.35</v>
      </c>
      <c r="E532" s="5" t="n">
        <f>IF(ISNUMBER(Inputs!$L$5),Inputs!$L$5-D532,0)</f>
        <v>40.35</v>
      </c>
      <c r="F532" s="5" t="n">
        <f>D$51*'Assumptions and Catalog'!$C$31*C532*(1-'Assumptions and Catalog'!$C$10)^(A532-1)</f>
        <v>0</v>
      </c>
      <c r="G532" s="5" t="n">
        <f>MIN(F532,D532*C532)</f>
        <v>0</v>
      </c>
      <c r="H532" s="5" t="n">
        <f>I532/('Assumptions and Catalog'!$C$11*'Assumptions and Catalog'!$C$12)</f>
        <v>0</v>
      </c>
      <c r="I532" s="5" t="n">
        <f>IF(K$15="Grid cycle",MIN(K$16,D532+E532,P532*'Assumptions and Catalog'!$C$12,D$57*(24-'Assumptions and Catalog'!$C$15),D$56*'Assumptions and Catalog'!$C$15*'Assumptions and Catalog'!$C$11*'Assumptions and Catalog'!$C$12)*C532,0)</f>
        <v>0</v>
      </c>
      <c r="J532" s="5" t="n">
        <f>MAX(F532-G532-0,0)</f>
        <v>0</v>
      </c>
      <c r="K532" s="5" t="n">
        <f>H532-I532</f>
        <v>0</v>
      </c>
      <c r="L532" s="5" t="n">
        <f>(D532+E532)*C532-G532-I532+H532+IF(D$52&gt;0,'Assumptions and Catalog'!$C$26*C532,0)</f>
        <v>2259.6</v>
      </c>
      <c r="M532" s="5" t="n">
        <f>IF(ISNUMBER(Inputs!$L$5),(IF(Inputs!$L$9="Actual flat rate",((D532+E532)*C532)*Inputs!$L$10,IF(Inputs!$C$9="Residential",IF(((D532+E532)*C532)&lt;='Assumptions and Catalog'!$C$50,((D532+E532)*C532)*'Assumptions and Catalog'!$H$50+'Assumptions and Catalog'!$E$50+'Assumptions and Catalog'!$F$50,IF(((D532+E532)*C532)&lt;='Assumptions and Catalog'!$C$51,((D532+E532)*C532)*'Assumptions and Catalog'!$H$51+'Assumptions and Catalog'!$E$51+'Assumptions and Catalog'!$F$51,IF(((D532+E532)*C532)&lt;='Assumptions and Catalog'!$C$52,((D532+E532)*C532)*'Assumptions and Catalog'!$H$52+'Assumptions and Catalog'!$E$52+'Assumptions and Catalog'!$F$52,IF(((D532+E532)*C532)&lt;='Assumptions and Catalog'!$C$53,((D532+E532)*C532)*'Assumptions and Catalog'!$H$53+'Assumptions and Catalog'!$E$53+'Assumptions and Catalog'!$F$53,IF(((D532+E532)*C532)&lt;='Assumptions and Catalog'!$C$54,((D532+E532)*C532)*'Assumptions and Catalog'!$H$54+'Assumptions and Catalog'!$E$54+'Assumptions and Catalog'!$F$54,IF(((D532+E532)*C532)&lt;='Assumptions and Catalog'!$C$55,((D532+E532)*C532)*'Assumptions and Catalog'!$H$55+'Assumptions and Catalog'!$E$55+'Assumptions and Catalog'!$F$55,IF(((D532+E532)*C532)&lt;='Assumptions and Catalog'!$C$56,((D532+E532)*C532)*'Assumptions and Catalog'!$H$56+'Assumptions and Catalog'!$E$56+'Assumptions and Catalog'!$F$56,IF(((D532+E532)*C532)&lt;='Assumptions and Catalog'!$C$57,((D532+E532)*C532)*'Assumptions and Catalog'!$H$57+'Assumptions and Catalog'!$E$57+'Assumptions and Catalog'!$F$57,"Out of range")))))))),IF(((D532+E532)*C532)&lt;='Assumptions and Catalog'!$C$60,((D532+E532)*C532)*'Assumptions and Catalog'!$H$60+'Assumptions and Catalog'!$E$60+'Assumptions and Catalog'!$F$60,IF(((D532+E532)*C532)&lt;='Assumptions and Catalog'!$C$61,((D532+E532)*C532)*'Assumptions and Catalog'!$H$61+'Assumptions and Catalog'!$E$61+'Assumptions and Catalog'!$F$61,IF(((D532+E532)*C532)&lt;='Assumptions and Catalog'!$C$62,((D532+E532)*C532)*'Assumptions and Catalog'!$H$62+'Assumptions and Catalog'!$E$62+'Assumptions and Catalog'!$F$62,IF(((D532+E532)*C532)&lt;='Assumptions and Catalog'!$C$63,((D532+E532)*C532)*'Assumptions and Catalog'!$H$63+'Assumptions and Catalog'!$E$63+'Assumptions and Catalog'!$F$63,IF(((D532+E532)*C532)&lt;='Assumptions and Catalog'!$C$64,((D532+E532)*C532)*'Assumptions and Catalog'!$H$64+'Assumptions and Catalog'!$E$64+'Assumptions and Catalog'!$F$64,IF(((D532+E532)*C532)&lt;='Assumptions and Catalog'!$C$65,((D532+E532)*C532)*'Assumptions and Catalog'!$H$65+'Assumptions and Catalog'!$E$65+'Assumptions and Catalog'!$F$65,"Out of range")))))))))*(1+'Assumptions and Catalog'!$C$8)^(A532-1),0)</f>
        <v>6412.072</v>
      </c>
      <c r="N532" s="5" t="n">
        <f>IF(ISNUMBER(Inputs!$L$5),(IF(Inputs!$L$9="Actual flat rate",L532*Inputs!$L$10,IF(Inputs!$C$9="Residential",IF(L532&lt;='Assumptions and Catalog'!$C$50,L532*'Assumptions and Catalog'!$H$50+'Assumptions and Catalog'!$E$50+'Assumptions and Catalog'!$F$50,IF(L532&lt;='Assumptions and Catalog'!$C$51,L532*'Assumptions and Catalog'!$H$51+'Assumptions and Catalog'!$E$51+'Assumptions and Catalog'!$F$51,IF(L532&lt;='Assumptions and Catalog'!$C$52,L532*'Assumptions and Catalog'!$H$52+'Assumptions and Catalog'!$E$52+'Assumptions and Catalog'!$F$52,IF(L532&lt;='Assumptions and Catalog'!$C$53,L532*'Assumptions and Catalog'!$H$53+'Assumptions and Catalog'!$E$53+'Assumptions and Catalog'!$F$53,IF(L532&lt;='Assumptions and Catalog'!$C$54,L532*'Assumptions and Catalog'!$H$54+'Assumptions and Catalog'!$E$54+'Assumptions and Catalog'!$F$54,IF(L532&lt;='Assumptions and Catalog'!$C$55,L532*'Assumptions and Catalog'!$H$55+'Assumptions and Catalog'!$E$55+'Assumptions and Catalog'!$F$55,IF(L532&lt;='Assumptions and Catalog'!$C$56,L532*'Assumptions and Catalog'!$H$56+'Assumptions and Catalog'!$E$56+'Assumptions and Catalog'!$F$56,IF(L532&lt;='Assumptions and Catalog'!$C$57,L532*'Assumptions and Catalog'!$H$57+'Assumptions and Catalog'!$E$57+'Assumptions and Catalog'!$F$57,"Out of range")))))))),IF(L532&lt;='Assumptions and Catalog'!$C$60,L532*'Assumptions and Catalog'!$H$60+'Assumptions and Catalog'!$E$60+'Assumptions and Catalog'!$F$60,IF(L532&lt;='Assumptions and Catalog'!$C$61,L532*'Assumptions and Catalog'!$H$61+'Assumptions and Catalog'!$E$61+'Assumptions and Catalog'!$F$61,IF(L532&lt;='Assumptions and Catalog'!$C$62,L532*'Assumptions and Catalog'!$H$62+'Assumptions and Catalog'!$E$62+'Assumptions and Catalog'!$F$62,IF(L532&lt;='Assumptions and Catalog'!$C$63,L532*'Assumptions and Catalog'!$H$63+'Assumptions and Catalog'!$E$63+'Assumptions and Catalog'!$F$63,IF(L532&lt;='Assumptions and Catalog'!$C$64,L532*'Assumptions and Catalog'!$H$64+'Assumptions and Catalog'!$E$64+'Assumptions and Catalog'!$F$64,IF(L532&lt;='Assumptions and Catalog'!$C$65,L532*'Assumptions and Catalog'!$H$65+'Assumptions and Catalog'!$E$65+'Assumptions and Catalog'!$F$65,"Out of range")))))))))*(1+'Assumptions and Catalog'!$C$8)^(A532-1),0)</f>
        <v>6412.072</v>
      </c>
      <c r="O532" s="5" t="n">
        <f>M532-N532</f>
        <v>0</v>
      </c>
      <c r="P532" s="5" t="n">
        <f>D$55*(1-K$14)*(1-'Assumptions and Catalog'!$C$23)^R532</f>
        <v>0</v>
      </c>
      <c r="Q532" s="5" t="n">
        <f>IF(ISNUMBER(Inputs!$L$5),(IF(Inputs!$L$9="Actual flat rate",((D532+E532)*C532-G532)*Inputs!$L$10,IF(Inputs!$C$9="Residential",IF(((D532+E532)*C532-G532)&lt;='Assumptions and Catalog'!$C$50,((D532+E532)*C532-G532)*'Assumptions and Catalog'!$H$50+'Assumptions and Catalog'!$E$50+'Assumptions and Catalog'!$F$50,IF(((D532+E532)*C532-G532)&lt;='Assumptions and Catalog'!$C$51,((D532+E532)*C532-G532)*'Assumptions and Catalog'!$H$51+'Assumptions and Catalog'!$E$51+'Assumptions and Catalog'!$F$51,IF(((D532+E532)*C532-G532)&lt;='Assumptions and Catalog'!$C$52,((D532+E532)*C532-G532)*'Assumptions and Catalog'!$H$52+'Assumptions and Catalog'!$E$52+'Assumptions and Catalog'!$F$52,IF(((D532+E532)*C532-G532)&lt;='Assumptions and Catalog'!$C$53,((D532+E532)*C532-G532)*'Assumptions and Catalog'!$H$53+'Assumptions and Catalog'!$E$53+'Assumptions and Catalog'!$F$53,IF(((D532+E532)*C532-G532)&lt;='Assumptions and Catalog'!$C$54,((D532+E532)*C532-G532)*'Assumptions and Catalog'!$H$54+'Assumptions and Catalog'!$E$54+'Assumptions and Catalog'!$F$54,IF(((D532+E532)*C532-G532)&lt;='Assumptions and Catalog'!$C$55,((D532+E532)*C532-G532)*'Assumptions and Catalog'!$H$55+'Assumptions and Catalog'!$E$55+'Assumptions and Catalog'!$F$55,IF(((D532+E532)*C532-G532)&lt;='Assumptions and Catalog'!$C$56,((D532+E532)*C532-G532)*'Assumptions and Catalog'!$H$56+'Assumptions and Catalog'!$E$56+'Assumptions and Catalog'!$F$56,IF(((D532+E532)*C532-G532)&lt;='Assumptions and Catalog'!$C$57,((D532+E532)*C532-G532)*'Assumptions and Catalog'!$H$57+'Assumptions and Catalog'!$E$57+'Assumptions and Catalog'!$F$57,"Out of range")))))))),IF(((D532+E532)*C532-G532)&lt;='Assumptions and Catalog'!$C$60,((D532+E532)*C532-G532)*'Assumptions and Catalog'!$H$60+'Assumptions and Catalog'!$E$60+'Assumptions and Catalog'!$F$60,IF(((D532+E532)*C532-G532)&lt;='Assumptions and Catalog'!$C$61,((D532+E532)*C532-G532)*'Assumptions and Catalog'!$H$61+'Assumptions and Catalog'!$E$61+'Assumptions and Catalog'!$F$61,IF(((D532+E532)*C532-G532)&lt;='Assumptions and Catalog'!$C$62,((D532+E532)*C532-G532)*'Assumptions and Catalog'!$H$62+'Assumptions and Catalog'!$E$62+'Assumptions and Catalog'!$F$62,IF(((D532+E532)*C532-G532)&lt;='Assumptions and Catalog'!$C$63,((D532+E532)*C532-G532)*'Assumptions and Catalog'!$H$63+'Assumptions and Catalog'!$E$63+'Assumptions and Catalog'!$F$63,IF(((D532+E532)*C532-G532)&lt;='Assumptions and Catalog'!$C$64,((D532+E532)*C532-G532)*'Assumptions and Catalog'!$H$64+'Assumptions and Catalog'!$E$64+'Assumptions and Catalog'!$F$64,IF(((D532+E532)*C532-G532)&lt;='Assumptions and Catalog'!$C$65,((D532+E532)*C532-G532)*'Assumptions and Catalog'!$H$65+'Assumptions and Catalog'!$E$65+'Assumptions and Catalog'!$F$65,"Out of range")))))))))*(1+'Assumptions and Catalog'!$C$8)^(A532-1),0)</f>
        <v>6412.072</v>
      </c>
      <c r="R532" s="5" t="n">
        <f>IF(AND('Assumptions and Catalog'!$C$19&gt;0,A532&gt;='Assumptions and Catalog'!$C$19),A532-'Assumptions and Catalog'!$C$19,A532-1)</f>
        <v>0</v>
      </c>
      <c r="S532" s="5" t="n">
        <f>F532+L532-(D532+E532)*C532-J532-K532-IF(D$52&gt;0,'Assumptions and Catalog'!$C$26*C532,0)</f>
        <v>0</v>
      </c>
      <c r="T532" s="5"/>
      <c r="U532" s="5"/>
    </row>
    <row r="533" ht="23.100000381469727" customHeight="1">
      <c r="A533" s="5" t="n">
        <v>11</v>
      </c>
      <c r="B533" s="5" t="n">
        <v>3</v>
      </c>
      <c r="C533" s="5" t="n">
        <f>DAY(DATE('Assumptions and Catalog'!$C$24+A533-1,B533+1,0))</f>
        <v>31</v>
      </c>
      <c r="D533" s="5" t="n">
        <f>IF(ISNUMBER(Inputs!$L$5),Inputs!$L$5*Inputs!$L$6,0)</f>
        <v>40.35</v>
      </c>
      <c r="E533" s="5" t="n">
        <f>IF(ISNUMBER(Inputs!$L$5),Inputs!$L$5-D533,0)</f>
        <v>40.35</v>
      </c>
      <c r="F533" s="5" t="n">
        <f>D$51*'Assumptions and Catalog'!$C$31*C533*(1-'Assumptions and Catalog'!$C$10)^(A533-1)</f>
        <v>0</v>
      </c>
      <c r="G533" s="5" t="n">
        <f>MIN(F533,D533*C533)</f>
        <v>0</v>
      </c>
      <c r="H533" s="5" t="n">
        <f>I533/('Assumptions and Catalog'!$C$11*'Assumptions and Catalog'!$C$12)</f>
        <v>0</v>
      </c>
      <c r="I533" s="5" t="n">
        <f>IF(K$15="Grid cycle",MIN(K$16,D533+E533,P533*'Assumptions and Catalog'!$C$12,D$57*(24-'Assumptions and Catalog'!$C$15),D$56*'Assumptions and Catalog'!$C$15*'Assumptions and Catalog'!$C$11*'Assumptions and Catalog'!$C$12)*C533,0)</f>
        <v>0</v>
      </c>
      <c r="J533" s="5" t="n">
        <f>MAX(F533-G533-0,0)</f>
        <v>0</v>
      </c>
      <c r="K533" s="5" t="n">
        <f>H533-I533</f>
        <v>0</v>
      </c>
      <c r="L533" s="5" t="n">
        <f>(D533+E533)*C533-G533-I533+H533+IF(D$52&gt;0,'Assumptions and Catalog'!$C$26*C533,0)</f>
        <v>2501.7</v>
      </c>
      <c r="M533" s="5" t="n">
        <f>IF(ISNUMBER(Inputs!$L$5),(IF(Inputs!$L$9="Actual flat rate",((D533+E533)*C533)*Inputs!$L$10,IF(Inputs!$C$9="Residential",IF(((D533+E533)*C533)&lt;='Assumptions and Catalog'!$C$50,((D533+E533)*C533)*'Assumptions and Catalog'!$H$50+'Assumptions and Catalog'!$E$50+'Assumptions and Catalog'!$F$50,IF(((D533+E533)*C533)&lt;='Assumptions and Catalog'!$C$51,((D533+E533)*C533)*'Assumptions and Catalog'!$H$51+'Assumptions and Catalog'!$E$51+'Assumptions and Catalog'!$F$51,IF(((D533+E533)*C533)&lt;='Assumptions and Catalog'!$C$52,((D533+E533)*C533)*'Assumptions and Catalog'!$H$52+'Assumptions and Catalog'!$E$52+'Assumptions and Catalog'!$F$52,IF(((D533+E533)*C533)&lt;='Assumptions and Catalog'!$C$53,((D533+E533)*C533)*'Assumptions and Catalog'!$H$53+'Assumptions and Catalog'!$E$53+'Assumptions and Catalog'!$F$53,IF(((D533+E533)*C533)&lt;='Assumptions and Catalog'!$C$54,((D533+E533)*C533)*'Assumptions and Catalog'!$H$54+'Assumptions and Catalog'!$E$54+'Assumptions and Catalog'!$F$54,IF(((D533+E533)*C533)&lt;='Assumptions and Catalog'!$C$55,((D533+E533)*C533)*'Assumptions and Catalog'!$H$55+'Assumptions and Catalog'!$E$55+'Assumptions and Catalog'!$F$55,IF(((D533+E533)*C533)&lt;='Assumptions and Catalog'!$C$56,((D533+E533)*C533)*'Assumptions and Catalog'!$H$56+'Assumptions and Catalog'!$E$56+'Assumptions and Catalog'!$F$56,IF(((D533+E533)*C533)&lt;='Assumptions and Catalog'!$C$57,((D533+E533)*C533)*'Assumptions and Catalog'!$H$57+'Assumptions and Catalog'!$E$57+'Assumptions and Catalog'!$F$57,"Out of range")))))))),IF(((D533+E533)*C533)&lt;='Assumptions and Catalog'!$C$60,((D533+E533)*C533)*'Assumptions and Catalog'!$H$60+'Assumptions and Catalog'!$E$60+'Assumptions and Catalog'!$F$60,IF(((D533+E533)*C533)&lt;='Assumptions and Catalog'!$C$61,((D533+E533)*C533)*'Assumptions and Catalog'!$H$61+'Assumptions and Catalog'!$E$61+'Assumptions and Catalog'!$F$61,IF(((D533+E533)*C533)&lt;='Assumptions and Catalog'!$C$62,((D533+E533)*C533)*'Assumptions and Catalog'!$H$62+'Assumptions and Catalog'!$E$62+'Assumptions and Catalog'!$F$62,IF(((D533+E533)*C533)&lt;='Assumptions and Catalog'!$C$63,((D533+E533)*C533)*'Assumptions and Catalog'!$H$63+'Assumptions and Catalog'!$E$63+'Assumptions and Catalog'!$F$63,IF(((D533+E533)*C533)&lt;='Assumptions and Catalog'!$C$64,((D533+E533)*C533)*'Assumptions and Catalog'!$H$64+'Assumptions and Catalog'!$E$64+'Assumptions and Catalog'!$F$64,IF(((D533+E533)*C533)&lt;='Assumptions and Catalog'!$C$65,((D533+E533)*C533)*'Assumptions and Catalog'!$H$65+'Assumptions and Catalog'!$E$65+'Assumptions and Catalog'!$F$65,"Out of range")))))))))*(1+'Assumptions and Catalog'!$C$8)^(A533-1),0)</f>
        <v>7094.794</v>
      </c>
      <c r="N533" s="5" t="n">
        <f>IF(ISNUMBER(Inputs!$L$5),(IF(Inputs!$L$9="Actual flat rate",L533*Inputs!$L$10,IF(Inputs!$C$9="Residential",IF(L533&lt;='Assumptions and Catalog'!$C$50,L533*'Assumptions and Catalog'!$H$50+'Assumptions and Catalog'!$E$50+'Assumptions and Catalog'!$F$50,IF(L533&lt;='Assumptions and Catalog'!$C$51,L533*'Assumptions and Catalog'!$H$51+'Assumptions and Catalog'!$E$51+'Assumptions and Catalog'!$F$51,IF(L533&lt;='Assumptions and Catalog'!$C$52,L533*'Assumptions and Catalog'!$H$52+'Assumptions and Catalog'!$E$52+'Assumptions and Catalog'!$F$52,IF(L533&lt;='Assumptions and Catalog'!$C$53,L533*'Assumptions and Catalog'!$H$53+'Assumptions and Catalog'!$E$53+'Assumptions and Catalog'!$F$53,IF(L533&lt;='Assumptions and Catalog'!$C$54,L533*'Assumptions and Catalog'!$H$54+'Assumptions and Catalog'!$E$54+'Assumptions and Catalog'!$F$54,IF(L533&lt;='Assumptions and Catalog'!$C$55,L533*'Assumptions and Catalog'!$H$55+'Assumptions and Catalog'!$E$55+'Assumptions and Catalog'!$F$55,IF(L533&lt;='Assumptions and Catalog'!$C$56,L533*'Assumptions and Catalog'!$H$56+'Assumptions and Catalog'!$E$56+'Assumptions and Catalog'!$F$56,IF(L533&lt;='Assumptions and Catalog'!$C$57,L533*'Assumptions and Catalog'!$H$57+'Assumptions and Catalog'!$E$57+'Assumptions and Catalog'!$F$57,"Out of range")))))))),IF(L533&lt;='Assumptions and Catalog'!$C$60,L533*'Assumptions and Catalog'!$H$60+'Assumptions and Catalog'!$E$60+'Assumptions and Catalog'!$F$60,IF(L533&lt;='Assumptions and Catalog'!$C$61,L533*'Assumptions and Catalog'!$H$61+'Assumptions and Catalog'!$E$61+'Assumptions and Catalog'!$F$61,IF(L533&lt;='Assumptions and Catalog'!$C$62,L533*'Assumptions and Catalog'!$H$62+'Assumptions and Catalog'!$E$62+'Assumptions and Catalog'!$F$62,IF(L533&lt;='Assumptions and Catalog'!$C$63,L533*'Assumptions and Catalog'!$H$63+'Assumptions and Catalog'!$E$63+'Assumptions and Catalog'!$F$63,IF(L533&lt;='Assumptions and Catalog'!$C$64,L533*'Assumptions and Catalog'!$H$64+'Assumptions and Catalog'!$E$64+'Assumptions and Catalog'!$F$64,IF(L533&lt;='Assumptions and Catalog'!$C$65,L533*'Assumptions and Catalog'!$H$65+'Assumptions and Catalog'!$E$65+'Assumptions and Catalog'!$F$65,"Out of range")))))))))*(1+'Assumptions and Catalog'!$C$8)^(A533-1),0)</f>
        <v>7094.794</v>
      </c>
      <c r="O533" s="5" t="n">
        <f>M533-N533</f>
        <v>0</v>
      </c>
      <c r="P533" s="5" t="n">
        <f>D$55*(1-K$14)*(1-'Assumptions and Catalog'!$C$23)^R533</f>
        <v>0</v>
      </c>
      <c r="Q533" s="5" t="n">
        <f>IF(ISNUMBER(Inputs!$L$5),(IF(Inputs!$L$9="Actual flat rate",((D533+E533)*C533-G533)*Inputs!$L$10,IF(Inputs!$C$9="Residential",IF(((D533+E533)*C533-G533)&lt;='Assumptions and Catalog'!$C$50,((D533+E533)*C533-G533)*'Assumptions and Catalog'!$H$50+'Assumptions and Catalog'!$E$50+'Assumptions and Catalog'!$F$50,IF(((D533+E533)*C533-G533)&lt;='Assumptions and Catalog'!$C$51,((D533+E533)*C533-G533)*'Assumptions and Catalog'!$H$51+'Assumptions and Catalog'!$E$51+'Assumptions and Catalog'!$F$51,IF(((D533+E533)*C533-G533)&lt;='Assumptions and Catalog'!$C$52,((D533+E533)*C533-G533)*'Assumptions and Catalog'!$H$52+'Assumptions and Catalog'!$E$52+'Assumptions and Catalog'!$F$52,IF(((D533+E533)*C533-G533)&lt;='Assumptions and Catalog'!$C$53,((D533+E533)*C533-G533)*'Assumptions and Catalog'!$H$53+'Assumptions and Catalog'!$E$53+'Assumptions and Catalog'!$F$53,IF(((D533+E533)*C533-G533)&lt;='Assumptions and Catalog'!$C$54,((D533+E533)*C533-G533)*'Assumptions and Catalog'!$H$54+'Assumptions and Catalog'!$E$54+'Assumptions and Catalog'!$F$54,IF(((D533+E533)*C533-G533)&lt;='Assumptions and Catalog'!$C$55,((D533+E533)*C533-G533)*'Assumptions and Catalog'!$H$55+'Assumptions and Catalog'!$E$55+'Assumptions and Catalog'!$F$55,IF(((D533+E533)*C533-G533)&lt;='Assumptions and Catalog'!$C$56,((D533+E533)*C533-G533)*'Assumptions and Catalog'!$H$56+'Assumptions and Catalog'!$E$56+'Assumptions and Catalog'!$F$56,IF(((D533+E533)*C533-G533)&lt;='Assumptions and Catalog'!$C$57,((D533+E533)*C533-G533)*'Assumptions and Catalog'!$H$57+'Assumptions and Catalog'!$E$57+'Assumptions and Catalog'!$F$57,"Out of range")))))))),IF(((D533+E533)*C533-G533)&lt;='Assumptions and Catalog'!$C$60,((D533+E533)*C533-G533)*'Assumptions and Catalog'!$H$60+'Assumptions and Catalog'!$E$60+'Assumptions and Catalog'!$F$60,IF(((D533+E533)*C533-G533)&lt;='Assumptions and Catalog'!$C$61,((D533+E533)*C533-G533)*'Assumptions and Catalog'!$H$61+'Assumptions and Catalog'!$E$61+'Assumptions and Catalog'!$F$61,IF(((D533+E533)*C533-G533)&lt;='Assumptions and Catalog'!$C$62,((D533+E533)*C533-G533)*'Assumptions and Catalog'!$H$62+'Assumptions and Catalog'!$E$62+'Assumptions and Catalog'!$F$62,IF(((D533+E533)*C533-G533)&lt;='Assumptions and Catalog'!$C$63,((D533+E533)*C533-G533)*'Assumptions and Catalog'!$H$63+'Assumptions and Catalog'!$E$63+'Assumptions and Catalog'!$F$63,IF(((D533+E533)*C533-G533)&lt;='Assumptions and Catalog'!$C$64,((D533+E533)*C533-G533)*'Assumptions and Catalog'!$H$64+'Assumptions and Catalog'!$E$64+'Assumptions and Catalog'!$F$64,IF(((D533+E533)*C533-G533)&lt;='Assumptions and Catalog'!$C$65,((D533+E533)*C533-G533)*'Assumptions and Catalog'!$H$65+'Assumptions and Catalog'!$E$65+'Assumptions and Catalog'!$F$65,"Out of range")))))))))*(1+'Assumptions and Catalog'!$C$8)^(A533-1),0)</f>
        <v>7094.794</v>
      </c>
      <c r="R533" s="5" t="n">
        <f>IF(AND('Assumptions and Catalog'!$C$19&gt;0,A533&gt;='Assumptions and Catalog'!$C$19),A533-'Assumptions and Catalog'!$C$19,A533-1)</f>
        <v>0</v>
      </c>
      <c r="S533" s="5" t="n">
        <f>F533+L533-(D533+E533)*C533-J533-K533-IF(D$52&gt;0,'Assumptions and Catalog'!$C$26*C533,0)</f>
        <v>0</v>
      </c>
      <c r="T533" s="5"/>
      <c r="U533" s="5"/>
    </row>
    <row r="534" ht="23.100000381469727" customHeight="1">
      <c r="A534" s="5" t="n">
        <v>11</v>
      </c>
      <c r="B534" s="5" t="n">
        <v>4</v>
      </c>
      <c r="C534" s="5" t="n">
        <f>DAY(DATE('Assumptions and Catalog'!$C$24+A534-1,B534+1,0))</f>
        <v>30</v>
      </c>
      <c r="D534" s="5" t="n">
        <f>IF(ISNUMBER(Inputs!$L$5),Inputs!$L$5*Inputs!$L$6,0)</f>
        <v>40.35</v>
      </c>
      <c r="E534" s="5" t="n">
        <f>IF(ISNUMBER(Inputs!$L$5),Inputs!$L$5-D534,0)</f>
        <v>40.35</v>
      </c>
      <c r="F534" s="5" t="n">
        <f>D$51*'Assumptions and Catalog'!$C$31*C534*(1-'Assumptions and Catalog'!$C$10)^(A534-1)</f>
        <v>0</v>
      </c>
      <c r="G534" s="5" t="n">
        <f>MIN(F534,D534*C534)</f>
        <v>0</v>
      </c>
      <c r="H534" s="5" t="n">
        <f>I534/('Assumptions and Catalog'!$C$11*'Assumptions and Catalog'!$C$12)</f>
        <v>0</v>
      </c>
      <c r="I534" s="5" t="n">
        <f>IF(K$15="Grid cycle",MIN(K$16,D534+E534,P534*'Assumptions and Catalog'!$C$12,D$57*(24-'Assumptions and Catalog'!$C$15),D$56*'Assumptions and Catalog'!$C$15*'Assumptions and Catalog'!$C$11*'Assumptions and Catalog'!$C$12)*C534,0)</f>
        <v>0</v>
      </c>
      <c r="J534" s="5" t="n">
        <f>MAX(F534-G534-0,0)</f>
        <v>0</v>
      </c>
      <c r="K534" s="5" t="n">
        <f>H534-I534</f>
        <v>0</v>
      </c>
      <c r="L534" s="5" t="n">
        <f>(D534+E534)*C534-G534-I534+H534+IF(D$52&gt;0,'Assumptions and Catalog'!$C$26*C534,0)</f>
        <v>2421</v>
      </c>
      <c r="M534" s="5" t="n">
        <f>IF(ISNUMBER(Inputs!$L$5),(IF(Inputs!$L$9="Actual flat rate",((D534+E534)*C534)*Inputs!$L$10,IF(Inputs!$C$9="Residential",IF(((D534+E534)*C534)&lt;='Assumptions and Catalog'!$C$50,((D534+E534)*C534)*'Assumptions and Catalog'!$H$50+'Assumptions and Catalog'!$E$50+'Assumptions and Catalog'!$F$50,IF(((D534+E534)*C534)&lt;='Assumptions and Catalog'!$C$51,((D534+E534)*C534)*'Assumptions and Catalog'!$H$51+'Assumptions and Catalog'!$E$51+'Assumptions and Catalog'!$F$51,IF(((D534+E534)*C534)&lt;='Assumptions and Catalog'!$C$52,((D534+E534)*C534)*'Assumptions and Catalog'!$H$52+'Assumptions and Catalog'!$E$52+'Assumptions and Catalog'!$F$52,IF(((D534+E534)*C534)&lt;='Assumptions and Catalog'!$C$53,((D534+E534)*C534)*'Assumptions and Catalog'!$H$53+'Assumptions and Catalog'!$E$53+'Assumptions and Catalog'!$F$53,IF(((D534+E534)*C534)&lt;='Assumptions and Catalog'!$C$54,((D534+E534)*C534)*'Assumptions and Catalog'!$H$54+'Assumptions and Catalog'!$E$54+'Assumptions and Catalog'!$F$54,IF(((D534+E534)*C534)&lt;='Assumptions and Catalog'!$C$55,((D534+E534)*C534)*'Assumptions and Catalog'!$H$55+'Assumptions and Catalog'!$E$55+'Assumptions and Catalog'!$F$55,IF(((D534+E534)*C534)&lt;='Assumptions and Catalog'!$C$56,((D534+E534)*C534)*'Assumptions and Catalog'!$H$56+'Assumptions and Catalog'!$E$56+'Assumptions and Catalog'!$F$56,IF(((D534+E534)*C534)&lt;='Assumptions and Catalog'!$C$57,((D534+E534)*C534)*'Assumptions and Catalog'!$H$57+'Assumptions and Catalog'!$E$57+'Assumptions and Catalog'!$F$57,"Out of range")))))))),IF(((D534+E534)*C534)&lt;='Assumptions and Catalog'!$C$60,((D534+E534)*C534)*'Assumptions and Catalog'!$H$60+'Assumptions and Catalog'!$E$60+'Assumptions and Catalog'!$F$60,IF(((D534+E534)*C534)&lt;='Assumptions and Catalog'!$C$61,((D534+E534)*C534)*'Assumptions and Catalog'!$H$61+'Assumptions and Catalog'!$E$61+'Assumptions and Catalog'!$F$61,IF(((D534+E534)*C534)&lt;='Assumptions and Catalog'!$C$62,((D534+E534)*C534)*'Assumptions and Catalog'!$H$62+'Assumptions and Catalog'!$E$62+'Assumptions and Catalog'!$F$62,IF(((D534+E534)*C534)&lt;='Assumptions and Catalog'!$C$63,((D534+E534)*C534)*'Assumptions and Catalog'!$H$63+'Assumptions and Catalog'!$E$63+'Assumptions and Catalog'!$F$63,IF(((D534+E534)*C534)&lt;='Assumptions and Catalog'!$C$64,((D534+E534)*C534)*'Assumptions and Catalog'!$H$64+'Assumptions and Catalog'!$E$64+'Assumptions and Catalog'!$F$64,IF(((D534+E534)*C534)&lt;='Assumptions and Catalog'!$C$65,((D534+E534)*C534)*'Assumptions and Catalog'!$H$65+'Assumptions and Catalog'!$E$65+'Assumptions and Catalog'!$F$65,"Out of range")))))))))*(1+'Assumptions and Catalog'!$C$8)^(A534-1),0)</f>
        <v>6867.22</v>
      </c>
      <c r="N534" s="5" t="n">
        <f>IF(ISNUMBER(Inputs!$L$5),(IF(Inputs!$L$9="Actual flat rate",L534*Inputs!$L$10,IF(Inputs!$C$9="Residential",IF(L534&lt;='Assumptions and Catalog'!$C$50,L534*'Assumptions and Catalog'!$H$50+'Assumptions and Catalog'!$E$50+'Assumptions and Catalog'!$F$50,IF(L534&lt;='Assumptions and Catalog'!$C$51,L534*'Assumptions and Catalog'!$H$51+'Assumptions and Catalog'!$E$51+'Assumptions and Catalog'!$F$51,IF(L534&lt;='Assumptions and Catalog'!$C$52,L534*'Assumptions and Catalog'!$H$52+'Assumptions and Catalog'!$E$52+'Assumptions and Catalog'!$F$52,IF(L534&lt;='Assumptions and Catalog'!$C$53,L534*'Assumptions and Catalog'!$H$53+'Assumptions and Catalog'!$E$53+'Assumptions and Catalog'!$F$53,IF(L534&lt;='Assumptions and Catalog'!$C$54,L534*'Assumptions and Catalog'!$H$54+'Assumptions and Catalog'!$E$54+'Assumptions and Catalog'!$F$54,IF(L534&lt;='Assumptions and Catalog'!$C$55,L534*'Assumptions and Catalog'!$H$55+'Assumptions and Catalog'!$E$55+'Assumptions and Catalog'!$F$55,IF(L534&lt;='Assumptions and Catalog'!$C$56,L534*'Assumptions and Catalog'!$H$56+'Assumptions and Catalog'!$E$56+'Assumptions and Catalog'!$F$56,IF(L534&lt;='Assumptions and Catalog'!$C$57,L534*'Assumptions and Catalog'!$H$57+'Assumptions and Catalog'!$E$57+'Assumptions and Catalog'!$F$57,"Out of range")))))))),IF(L534&lt;='Assumptions and Catalog'!$C$60,L534*'Assumptions and Catalog'!$H$60+'Assumptions and Catalog'!$E$60+'Assumptions and Catalog'!$F$60,IF(L534&lt;='Assumptions and Catalog'!$C$61,L534*'Assumptions and Catalog'!$H$61+'Assumptions and Catalog'!$E$61+'Assumptions and Catalog'!$F$61,IF(L534&lt;='Assumptions and Catalog'!$C$62,L534*'Assumptions and Catalog'!$H$62+'Assumptions and Catalog'!$E$62+'Assumptions and Catalog'!$F$62,IF(L534&lt;='Assumptions and Catalog'!$C$63,L534*'Assumptions and Catalog'!$H$63+'Assumptions and Catalog'!$E$63+'Assumptions and Catalog'!$F$63,IF(L534&lt;='Assumptions and Catalog'!$C$64,L534*'Assumptions and Catalog'!$H$64+'Assumptions and Catalog'!$E$64+'Assumptions and Catalog'!$F$64,IF(L534&lt;='Assumptions and Catalog'!$C$65,L534*'Assumptions and Catalog'!$H$65+'Assumptions and Catalog'!$E$65+'Assumptions and Catalog'!$F$65,"Out of range")))))))))*(1+'Assumptions and Catalog'!$C$8)^(A534-1),0)</f>
        <v>6867.22</v>
      </c>
      <c r="O534" s="5" t="n">
        <f>M534-N534</f>
        <v>0</v>
      </c>
      <c r="P534" s="5" t="n">
        <f>D$55*(1-K$14)*(1-'Assumptions and Catalog'!$C$23)^R534</f>
        <v>0</v>
      </c>
      <c r="Q534" s="5" t="n">
        <f>IF(ISNUMBER(Inputs!$L$5),(IF(Inputs!$L$9="Actual flat rate",((D534+E534)*C534-G534)*Inputs!$L$10,IF(Inputs!$C$9="Residential",IF(((D534+E534)*C534-G534)&lt;='Assumptions and Catalog'!$C$50,((D534+E534)*C534-G534)*'Assumptions and Catalog'!$H$50+'Assumptions and Catalog'!$E$50+'Assumptions and Catalog'!$F$50,IF(((D534+E534)*C534-G534)&lt;='Assumptions and Catalog'!$C$51,((D534+E534)*C534-G534)*'Assumptions and Catalog'!$H$51+'Assumptions and Catalog'!$E$51+'Assumptions and Catalog'!$F$51,IF(((D534+E534)*C534-G534)&lt;='Assumptions and Catalog'!$C$52,((D534+E534)*C534-G534)*'Assumptions and Catalog'!$H$52+'Assumptions and Catalog'!$E$52+'Assumptions and Catalog'!$F$52,IF(((D534+E534)*C534-G534)&lt;='Assumptions and Catalog'!$C$53,((D534+E534)*C534-G534)*'Assumptions and Catalog'!$H$53+'Assumptions and Catalog'!$E$53+'Assumptions and Catalog'!$F$53,IF(((D534+E534)*C534-G534)&lt;='Assumptions and Catalog'!$C$54,((D534+E534)*C534-G534)*'Assumptions and Catalog'!$H$54+'Assumptions and Catalog'!$E$54+'Assumptions and Catalog'!$F$54,IF(((D534+E534)*C534-G534)&lt;='Assumptions and Catalog'!$C$55,((D534+E534)*C534-G534)*'Assumptions and Catalog'!$H$55+'Assumptions and Catalog'!$E$55+'Assumptions and Catalog'!$F$55,IF(((D534+E534)*C534-G534)&lt;='Assumptions and Catalog'!$C$56,((D534+E534)*C534-G534)*'Assumptions and Catalog'!$H$56+'Assumptions and Catalog'!$E$56+'Assumptions and Catalog'!$F$56,IF(((D534+E534)*C534-G534)&lt;='Assumptions and Catalog'!$C$57,((D534+E534)*C534-G534)*'Assumptions and Catalog'!$H$57+'Assumptions and Catalog'!$E$57+'Assumptions and Catalog'!$F$57,"Out of range")))))))),IF(((D534+E534)*C534-G534)&lt;='Assumptions and Catalog'!$C$60,((D534+E534)*C534-G534)*'Assumptions and Catalog'!$H$60+'Assumptions and Catalog'!$E$60+'Assumptions and Catalog'!$F$60,IF(((D534+E534)*C534-G534)&lt;='Assumptions and Catalog'!$C$61,((D534+E534)*C534-G534)*'Assumptions and Catalog'!$H$61+'Assumptions and Catalog'!$E$61+'Assumptions and Catalog'!$F$61,IF(((D534+E534)*C534-G534)&lt;='Assumptions and Catalog'!$C$62,((D534+E534)*C534-G534)*'Assumptions and Catalog'!$H$62+'Assumptions and Catalog'!$E$62+'Assumptions and Catalog'!$F$62,IF(((D534+E534)*C534-G534)&lt;='Assumptions and Catalog'!$C$63,((D534+E534)*C534-G534)*'Assumptions and Catalog'!$H$63+'Assumptions and Catalog'!$E$63+'Assumptions and Catalog'!$F$63,IF(((D534+E534)*C534-G534)&lt;='Assumptions and Catalog'!$C$64,((D534+E534)*C534-G534)*'Assumptions and Catalog'!$H$64+'Assumptions and Catalog'!$E$64+'Assumptions and Catalog'!$F$64,IF(((D534+E534)*C534-G534)&lt;='Assumptions and Catalog'!$C$65,((D534+E534)*C534-G534)*'Assumptions and Catalog'!$H$65+'Assumptions and Catalog'!$E$65+'Assumptions and Catalog'!$F$65,"Out of range")))))))))*(1+'Assumptions and Catalog'!$C$8)^(A534-1),0)</f>
        <v>6867.22</v>
      </c>
      <c r="R534" s="5" t="n">
        <f>IF(AND('Assumptions and Catalog'!$C$19&gt;0,A534&gt;='Assumptions and Catalog'!$C$19),A534-'Assumptions and Catalog'!$C$19,A534-1)</f>
        <v>0</v>
      </c>
      <c r="S534" s="5" t="n">
        <f>F534+L534-(D534+E534)*C534-J534-K534-IF(D$52&gt;0,'Assumptions and Catalog'!$C$26*C534,0)</f>
        <v>0</v>
      </c>
      <c r="T534" s="5"/>
      <c r="U534" s="5"/>
    </row>
    <row r="535" ht="23.100000381469727" customHeight="1">
      <c r="A535" s="5" t="n">
        <v>11</v>
      </c>
      <c r="B535" s="5" t="n">
        <v>5</v>
      </c>
      <c r="C535" s="5" t="n">
        <f>DAY(DATE('Assumptions and Catalog'!$C$24+A535-1,B535+1,0))</f>
        <v>31</v>
      </c>
      <c r="D535" s="5" t="n">
        <f>IF(ISNUMBER(Inputs!$L$5),Inputs!$L$5*Inputs!$L$6,0)</f>
        <v>40.35</v>
      </c>
      <c r="E535" s="5" t="n">
        <f>IF(ISNUMBER(Inputs!$L$5),Inputs!$L$5-D535,0)</f>
        <v>40.35</v>
      </c>
      <c r="F535" s="5" t="n">
        <f>D$51*'Assumptions and Catalog'!$C$31*C535*(1-'Assumptions and Catalog'!$C$10)^(A535-1)</f>
        <v>0</v>
      </c>
      <c r="G535" s="5" t="n">
        <f>MIN(F535,D535*C535)</f>
        <v>0</v>
      </c>
      <c r="H535" s="5" t="n">
        <f>I535/('Assumptions and Catalog'!$C$11*'Assumptions and Catalog'!$C$12)</f>
        <v>0</v>
      </c>
      <c r="I535" s="5" t="n">
        <f>IF(K$15="Grid cycle",MIN(K$16,D535+E535,P535*'Assumptions and Catalog'!$C$12,D$57*(24-'Assumptions and Catalog'!$C$15),D$56*'Assumptions and Catalog'!$C$15*'Assumptions and Catalog'!$C$11*'Assumptions and Catalog'!$C$12)*C535,0)</f>
        <v>0</v>
      </c>
      <c r="J535" s="5" t="n">
        <f>MAX(F535-G535-0,0)</f>
        <v>0</v>
      </c>
      <c r="K535" s="5" t="n">
        <f>H535-I535</f>
        <v>0</v>
      </c>
      <c r="L535" s="5" t="n">
        <f>(D535+E535)*C535-G535-I535+H535+IF(D$52&gt;0,'Assumptions and Catalog'!$C$26*C535,0)</f>
        <v>2501.7</v>
      </c>
      <c r="M535" s="5" t="n">
        <f>IF(ISNUMBER(Inputs!$L$5),(IF(Inputs!$L$9="Actual flat rate",((D535+E535)*C535)*Inputs!$L$10,IF(Inputs!$C$9="Residential",IF(((D535+E535)*C535)&lt;='Assumptions and Catalog'!$C$50,((D535+E535)*C535)*'Assumptions and Catalog'!$H$50+'Assumptions and Catalog'!$E$50+'Assumptions and Catalog'!$F$50,IF(((D535+E535)*C535)&lt;='Assumptions and Catalog'!$C$51,((D535+E535)*C535)*'Assumptions and Catalog'!$H$51+'Assumptions and Catalog'!$E$51+'Assumptions and Catalog'!$F$51,IF(((D535+E535)*C535)&lt;='Assumptions and Catalog'!$C$52,((D535+E535)*C535)*'Assumptions and Catalog'!$H$52+'Assumptions and Catalog'!$E$52+'Assumptions and Catalog'!$F$52,IF(((D535+E535)*C535)&lt;='Assumptions and Catalog'!$C$53,((D535+E535)*C535)*'Assumptions and Catalog'!$H$53+'Assumptions and Catalog'!$E$53+'Assumptions and Catalog'!$F$53,IF(((D535+E535)*C535)&lt;='Assumptions and Catalog'!$C$54,((D535+E535)*C535)*'Assumptions and Catalog'!$H$54+'Assumptions and Catalog'!$E$54+'Assumptions and Catalog'!$F$54,IF(((D535+E535)*C535)&lt;='Assumptions and Catalog'!$C$55,((D535+E535)*C535)*'Assumptions and Catalog'!$H$55+'Assumptions and Catalog'!$E$55+'Assumptions and Catalog'!$F$55,IF(((D535+E535)*C535)&lt;='Assumptions and Catalog'!$C$56,((D535+E535)*C535)*'Assumptions and Catalog'!$H$56+'Assumptions and Catalog'!$E$56+'Assumptions and Catalog'!$F$56,IF(((D535+E535)*C535)&lt;='Assumptions and Catalog'!$C$57,((D535+E535)*C535)*'Assumptions and Catalog'!$H$57+'Assumptions and Catalog'!$E$57+'Assumptions and Catalog'!$F$57,"Out of range")))))))),IF(((D535+E535)*C535)&lt;='Assumptions and Catalog'!$C$60,((D535+E535)*C535)*'Assumptions and Catalog'!$H$60+'Assumptions and Catalog'!$E$60+'Assumptions and Catalog'!$F$60,IF(((D535+E535)*C535)&lt;='Assumptions and Catalog'!$C$61,((D535+E535)*C535)*'Assumptions and Catalog'!$H$61+'Assumptions and Catalog'!$E$61+'Assumptions and Catalog'!$F$61,IF(((D535+E535)*C535)&lt;='Assumptions and Catalog'!$C$62,((D535+E535)*C535)*'Assumptions and Catalog'!$H$62+'Assumptions and Catalog'!$E$62+'Assumptions and Catalog'!$F$62,IF(((D535+E535)*C535)&lt;='Assumptions and Catalog'!$C$63,((D535+E535)*C535)*'Assumptions and Catalog'!$H$63+'Assumptions and Catalog'!$E$63+'Assumptions and Catalog'!$F$63,IF(((D535+E535)*C535)&lt;='Assumptions and Catalog'!$C$64,((D535+E535)*C535)*'Assumptions and Catalog'!$H$64+'Assumptions and Catalog'!$E$64+'Assumptions and Catalog'!$F$64,IF(((D535+E535)*C535)&lt;='Assumptions and Catalog'!$C$65,((D535+E535)*C535)*'Assumptions and Catalog'!$H$65+'Assumptions and Catalog'!$E$65+'Assumptions and Catalog'!$F$65,"Out of range")))))))))*(1+'Assumptions and Catalog'!$C$8)^(A535-1),0)</f>
        <v>7094.794</v>
      </c>
      <c r="N535" s="5" t="n">
        <f>IF(ISNUMBER(Inputs!$L$5),(IF(Inputs!$L$9="Actual flat rate",L535*Inputs!$L$10,IF(Inputs!$C$9="Residential",IF(L535&lt;='Assumptions and Catalog'!$C$50,L535*'Assumptions and Catalog'!$H$50+'Assumptions and Catalog'!$E$50+'Assumptions and Catalog'!$F$50,IF(L535&lt;='Assumptions and Catalog'!$C$51,L535*'Assumptions and Catalog'!$H$51+'Assumptions and Catalog'!$E$51+'Assumptions and Catalog'!$F$51,IF(L535&lt;='Assumptions and Catalog'!$C$52,L535*'Assumptions and Catalog'!$H$52+'Assumptions and Catalog'!$E$52+'Assumptions and Catalog'!$F$52,IF(L535&lt;='Assumptions and Catalog'!$C$53,L535*'Assumptions and Catalog'!$H$53+'Assumptions and Catalog'!$E$53+'Assumptions and Catalog'!$F$53,IF(L535&lt;='Assumptions and Catalog'!$C$54,L535*'Assumptions and Catalog'!$H$54+'Assumptions and Catalog'!$E$54+'Assumptions and Catalog'!$F$54,IF(L535&lt;='Assumptions and Catalog'!$C$55,L535*'Assumptions and Catalog'!$H$55+'Assumptions and Catalog'!$E$55+'Assumptions and Catalog'!$F$55,IF(L535&lt;='Assumptions and Catalog'!$C$56,L535*'Assumptions and Catalog'!$H$56+'Assumptions and Catalog'!$E$56+'Assumptions and Catalog'!$F$56,IF(L535&lt;='Assumptions and Catalog'!$C$57,L535*'Assumptions and Catalog'!$H$57+'Assumptions and Catalog'!$E$57+'Assumptions and Catalog'!$F$57,"Out of range")))))))),IF(L535&lt;='Assumptions and Catalog'!$C$60,L535*'Assumptions and Catalog'!$H$60+'Assumptions and Catalog'!$E$60+'Assumptions and Catalog'!$F$60,IF(L535&lt;='Assumptions and Catalog'!$C$61,L535*'Assumptions and Catalog'!$H$61+'Assumptions and Catalog'!$E$61+'Assumptions and Catalog'!$F$61,IF(L535&lt;='Assumptions and Catalog'!$C$62,L535*'Assumptions and Catalog'!$H$62+'Assumptions and Catalog'!$E$62+'Assumptions and Catalog'!$F$62,IF(L535&lt;='Assumptions and Catalog'!$C$63,L535*'Assumptions and Catalog'!$H$63+'Assumptions and Catalog'!$E$63+'Assumptions and Catalog'!$F$63,IF(L535&lt;='Assumptions and Catalog'!$C$64,L535*'Assumptions and Catalog'!$H$64+'Assumptions and Catalog'!$E$64+'Assumptions and Catalog'!$F$64,IF(L535&lt;='Assumptions and Catalog'!$C$65,L535*'Assumptions and Catalog'!$H$65+'Assumptions and Catalog'!$E$65+'Assumptions and Catalog'!$F$65,"Out of range")))))))))*(1+'Assumptions and Catalog'!$C$8)^(A535-1),0)</f>
        <v>7094.794</v>
      </c>
      <c r="O535" s="5" t="n">
        <f>M535-N535</f>
        <v>0</v>
      </c>
      <c r="P535" s="5" t="n">
        <f>D$55*(1-K$14)*(1-'Assumptions and Catalog'!$C$23)^R535</f>
        <v>0</v>
      </c>
      <c r="Q535" s="5" t="n">
        <f>IF(ISNUMBER(Inputs!$L$5),(IF(Inputs!$L$9="Actual flat rate",((D535+E535)*C535-G535)*Inputs!$L$10,IF(Inputs!$C$9="Residential",IF(((D535+E535)*C535-G535)&lt;='Assumptions and Catalog'!$C$50,((D535+E535)*C535-G535)*'Assumptions and Catalog'!$H$50+'Assumptions and Catalog'!$E$50+'Assumptions and Catalog'!$F$50,IF(((D535+E535)*C535-G535)&lt;='Assumptions and Catalog'!$C$51,((D535+E535)*C535-G535)*'Assumptions and Catalog'!$H$51+'Assumptions and Catalog'!$E$51+'Assumptions and Catalog'!$F$51,IF(((D535+E535)*C535-G535)&lt;='Assumptions and Catalog'!$C$52,((D535+E535)*C535-G535)*'Assumptions and Catalog'!$H$52+'Assumptions and Catalog'!$E$52+'Assumptions and Catalog'!$F$52,IF(((D535+E535)*C535-G535)&lt;='Assumptions and Catalog'!$C$53,((D535+E535)*C535-G535)*'Assumptions and Catalog'!$H$53+'Assumptions and Catalog'!$E$53+'Assumptions and Catalog'!$F$53,IF(((D535+E535)*C535-G535)&lt;='Assumptions and Catalog'!$C$54,((D535+E535)*C535-G535)*'Assumptions and Catalog'!$H$54+'Assumptions and Catalog'!$E$54+'Assumptions and Catalog'!$F$54,IF(((D535+E535)*C535-G535)&lt;='Assumptions and Catalog'!$C$55,((D535+E535)*C535-G535)*'Assumptions and Catalog'!$H$55+'Assumptions and Catalog'!$E$55+'Assumptions and Catalog'!$F$55,IF(((D535+E535)*C535-G535)&lt;='Assumptions and Catalog'!$C$56,((D535+E535)*C535-G535)*'Assumptions and Catalog'!$H$56+'Assumptions and Catalog'!$E$56+'Assumptions and Catalog'!$F$56,IF(((D535+E535)*C535-G535)&lt;='Assumptions and Catalog'!$C$57,((D535+E535)*C535-G535)*'Assumptions and Catalog'!$H$57+'Assumptions and Catalog'!$E$57+'Assumptions and Catalog'!$F$57,"Out of range")))))))),IF(((D535+E535)*C535-G535)&lt;='Assumptions and Catalog'!$C$60,((D535+E535)*C535-G535)*'Assumptions and Catalog'!$H$60+'Assumptions and Catalog'!$E$60+'Assumptions and Catalog'!$F$60,IF(((D535+E535)*C535-G535)&lt;='Assumptions and Catalog'!$C$61,((D535+E535)*C535-G535)*'Assumptions and Catalog'!$H$61+'Assumptions and Catalog'!$E$61+'Assumptions and Catalog'!$F$61,IF(((D535+E535)*C535-G535)&lt;='Assumptions and Catalog'!$C$62,((D535+E535)*C535-G535)*'Assumptions and Catalog'!$H$62+'Assumptions and Catalog'!$E$62+'Assumptions and Catalog'!$F$62,IF(((D535+E535)*C535-G535)&lt;='Assumptions and Catalog'!$C$63,((D535+E535)*C535-G535)*'Assumptions and Catalog'!$H$63+'Assumptions and Catalog'!$E$63+'Assumptions and Catalog'!$F$63,IF(((D535+E535)*C535-G535)&lt;='Assumptions and Catalog'!$C$64,((D535+E535)*C535-G535)*'Assumptions and Catalog'!$H$64+'Assumptions and Catalog'!$E$64+'Assumptions and Catalog'!$F$64,IF(((D535+E535)*C535-G535)&lt;='Assumptions and Catalog'!$C$65,((D535+E535)*C535-G535)*'Assumptions and Catalog'!$H$65+'Assumptions and Catalog'!$E$65+'Assumptions and Catalog'!$F$65,"Out of range")))))))))*(1+'Assumptions and Catalog'!$C$8)^(A535-1),0)</f>
        <v>7094.794</v>
      </c>
      <c r="R535" s="5" t="n">
        <f>IF(AND('Assumptions and Catalog'!$C$19&gt;0,A535&gt;='Assumptions and Catalog'!$C$19),A535-'Assumptions and Catalog'!$C$19,A535-1)</f>
        <v>0</v>
      </c>
      <c r="S535" s="5" t="n">
        <f>F535+L535-(D535+E535)*C535-J535-K535-IF(D$52&gt;0,'Assumptions and Catalog'!$C$26*C535,0)</f>
        <v>0</v>
      </c>
      <c r="T535" s="5"/>
      <c r="U535" s="5"/>
    </row>
    <row r="536" ht="23.100000381469727" customHeight="1">
      <c r="A536" s="5" t="n">
        <v>11</v>
      </c>
      <c r="B536" s="5" t="n">
        <v>6</v>
      </c>
      <c r="C536" s="5" t="n">
        <f>DAY(DATE('Assumptions and Catalog'!$C$24+A536-1,B536+1,0))</f>
        <v>30</v>
      </c>
      <c r="D536" s="5" t="n">
        <f>IF(ISNUMBER(Inputs!$L$5),Inputs!$L$5*Inputs!$L$6,0)</f>
        <v>40.35</v>
      </c>
      <c r="E536" s="5" t="n">
        <f>IF(ISNUMBER(Inputs!$L$5),Inputs!$L$5-D536,0)</f>
        <v>40.35</v>
      </c>
      <c r="F536" s="5" t="n">
        <f>D$51*'Assumptions and Catalog'!$C$31*C536*(1-'Assumptions and Catalog'!$C$10)^(A536-1)</f>
        <v>0</v>
      </c>
      <c r="G536" s="5" t="n">
        <f>MIN(F536,D536*C536)</f>
        <v>0</v>
      </c>
      <c r="H536" s="5" t="n">
        <f>I536/('Assumptions and Catalog'!$C$11*'Assumptions and Catalog'!$C$12)</f>
        <v>0</v>
      </c>
      <c r="I536" s="5" t="n">
        <f>IF(K$15="Grid cycle",MIN(K$16,D536+E536,P536*'Assumptions and Catalog'!$C$12,D$57*(24-'Assumptions and Catalog'!$C$15),D$56*'Assumptions and Catalog'!$C$15*'Assumptions and Catalog'!$C$11*'Assumptions and Catalog'!$C$12)*C536,0)</f>
        <v>0</v>
      </c>
      <c r="J536" s="5" t="n">
        <f>MAX(F536-G536-0,0)</f>
        <v>0</v>
      </c>
      <c r="K536" s="5" t="n">
        <f>H536-I536</f>
        <v>0</v>
      </c>
      <c r="L536" s="5" t="n">
        <f>(D536+E536)*C536-G536-I536+H536+IF(D$52&gt;0,'Assumptions and Catalog'!$C$26*C536,0)</f>
        <v>2421</v>
      </c>
      <c r="M536" s="5" t="n">
        <f>IF(ISNUMBER(Inputs!$L$5),(IF(Inputs!$L$9="Actual flat rate",((D536+E536)*C536)*Inputs!$L$10,IF(Inputs!$C$9="Residential",IF(((D536+E536)*C536)&lt;='Assumptions and Catalog'!$C$50,((D536+E536)*C536)*'Assumptions and Catalog'!$H$50+'Assumptions and Catalog'!$E$50+'Assumptions and Catalog'!$F$50,IF(((D536+E536)*C536)&lt;='Assumptions and Catalog'!$C$51,((D536+E536)*C536)*'Assumptions and Catalog'!$H$51+'Assumptions and Catalog'!$E$51+'Assumptions and Catalog'!$F$51,IF(((D536+E536)*C536)&lt;='Assumptions and Catalog'!$C$52,((D536+E536)*C536)*'Assumptions and Catalog'!$H$52+'Assumptions and Catalog'!$E$52+'Assumptions and Catalog'!$F$52,IF(((D536+E536)*C536)&lt;='Assumptions and Catalog'!$C$53,((D536+E536)*C536)*'Assumptions and Catalog'!$H$53+'Assumptions and Catalog'!$E$53+'Assumptions and Catalog'!$F$53,IF(((D536+E536)*C536)&lt;='Assumptions and Catalog'!$C$54,((D536+E536)*C536)*'Assumptions and Catalog'!$H$54+'Assumptions and Catalog'!$E$54+'Assumptions and Catalog'!$F$54,IF(((D536+E536)*C536)&lt;='Assumptions and Catalog'!$C$55,((D536+E536)*C536)*'Assumptions and Catalog'!$H$55+'Assumptions and Catalog'!$E$55+'Assumptions and Catalog'!$F$55,IF(((D536+E536)*C536)&lt;='Assumptions and Catalog'!$C$56,((D536+E536)*C536)*'Assumptions and Catalog'!$H$56+'Assumptions and Catalog'!$E$56+'Assumptions and Catalog'!$F$56,IF(((D536+E536)*C536)&lt;='Assumptions and Catalog'!$C$57,((D536+E536)*C536)*'Assumptions and Catalog'!$H$57+'Assumptions and Catalog'!$E$57+'Assumptions and Catalog'!$F$57,"Out of range")))))))),IF(((D536+E536)*C536)&lt;='Assumptions and Catalog'!$C$60,((D536+E536)*C536)*'Assumptions and Catalog'!$H$60+'Assumptions and Catalog'!$E$60+'Assumptions and Catalog'!$F$60,IF(((D536+E536)*C536)&lt;='Assumptions and Catalog'!$C$61,((D536+E536)*C536)*'Assumptions and Catalog'!$H$61+'Assumptions and Catalog'!$E$61+'Assumptions and Catalog'!$F$61,IF(((D536+E536)*C536)&lt;='Assumptions and Catalog'!$C$62,((D536+E536)*C536)*'Assumptions and Catalog'!$H$62+'Assumptions and Catalog'!$E$62+'Assumptions and Catalog'!$F$62,IF(((D536+E536)*C536)&lt;='Assumptions and Catalog'!$C$63,((D536+E536)*C536)*'Assumptions and Catalog'!$H$63+'Assumptions and Catalog'!$E$63+'Assumptions and Catalog'!$F$63,IF(((D536+E536)*C536)&lt;='Assumptions and Catalog'!$C$64,((D536+E536)*C536)*'Assumptions and Catalog'!$H$64+'Assumptions and Catalog'!$E$64+'Assumptions and Catalog'!$F$64,IF(((D536+E536)*C536)&lt;='Assumptions and Catalog'!$C$65,((D536+E536)*C536)*'Assumptions and Catalog'!$H$65+'Assumptions and Catalog'!$E$65+'Assumptions and Catalog'!$F$65,"Out of range")))))))))*(1+'Assumptions and Catalog'!$C$8)^(A536-1),0)</f>
        <v>6867.22</v>
      </c>
      <c r="N536" s="5" t="n">
        <f>IF(ISNUMBER(Inputs!$L$5),(IF(Inputs!$L$9="Actual flat rate",L536*Inputs!$L$10,IF(Inputs!$C$9="Residential",IF(L536&lt;='Assumptions and Catalog'!$C$50,L536*'Assumptions and Catalog'!$H$50+'Assumptions and Catalog'!$E$50+'Assumptions and Catalog'!$F$50,IF(L536&lt;='Assumptions and Catalog'!$C$51,L536*'Assumptions and Catalog'!$H$51+'Assumptions and Catalog'!$E$51+'Assumptions and Catalog'!$F$51,IF(L536&lt;='Assumptions and Catalog'!$C$52,L536*'Assumptions and Catalog'!$H$52+'Assumptions and Catalog'!$E$52+'Assumptions and Catalog'!$F$52,IF(L536&lt;='Assumptions and Catalog'!$C$53,L536*'Assumptions and Catalog'!$H$53+'Assumptions and Catalog'!$E$53+'Assumptions and Catalog'!$F$53,IF(L536&lt;='Assumptions and Catalog'!$C$54,L536*'Assumptions and Catalog'!$H$54+'Assumptions and Catalog'!$E$54+'Assumptions and Catalog'!$F$54,IF(L536&lt;='Assumptions and Catalog'!$C$55,L536*'Assumptions and Catalog'!$H$55+'Assumptions and Catalog'!$E$55+'Assumptions and Catalog'!$F$55,IF(L536&lt;='Assumptions and Catalog'!$C$56,L536*'Assumptions and Catalog'!$H$56+'Assumptions and Catalog'!$E$56+'Assumptions and Catalog'!$F$56,IF(L536&lt;='Assumptions and Catalog'!$C$57,L536*'Assumptions and Catalog'!$H$57+'Assumptions and Catalog'!$E$57+'Assumptions and Catalog'!$F$57,"Out of range")))))))),IF(L536&lt;='Assumptions and Catalog'!$C$60,L536*'Assumptions and Catalog'!$H$60+'Assumptions and Catalog'!$E$60+'Assumptions and Catalog'!$F$60,IF(L536&lt;='Assumptions and Catalog'!$C$61,L536*'Assumptions and Catalog'!$H$61+'Assumptions and Catalog'!$E$61+'Assumptions and Catalog'!$F$61,IF(L536&lt;='Assumptions and Catalog'!$C$62,L536*'Assumptions and Catalog'!$H$62+'Assumptions and Catalog'!$E$62+'Assumptions and Catalog'!$F$62,IF(L536&lt;='Assumptions and Catalog'!$C$63,L536*'Assumptions and Catalog'!$H$63+'Assumptions and Catalog'!$E$63+'Assumptions and Catalog'!$F$63,IF(L536&lt;='Assumptions and Catalog'!$C$64,L536*'Assumptions and Catalog'!$H$64+'Assumptions and Catalog'!$E$64+'Assumptions and Catalog'!$F$64,IF(L536&lt;='Assumptions and Catalog'!$C$65,L536*'Assumptions and Catalog'!$H$65+'Assumptions and Catalog'!$E$65+'Assumptions and Catalog'!$F$65,"Out of range")))))))))*(1+'Assumptions and Catalog'!$C$8)^(A536-1),0)</f>
        <v>6867.22</v>
      </c>
      <c r="O536" s="5" t="n">
        <f>M536-N536</f>
        <v>0</v>
      </c>
      <c r="P536" s="5" t="n">
        <f>D$55*(1-K$14)*(1-'Assumptions and Catalog'!$C$23)^R536</f>
        <v>0</v>
      </c>
      <c r="Q536" s="5" t="n">
        <f>IF(ISNUMBER(Inputs!$L$5),(IF(Inputs!$L$9="Actual flat rate",((D536+E536)*C536-G536)*Inputs!$L$10,IF(Inputs!$C$9="Residential",IF(((D536+E536)*C536-G536)&lt;='Assumptions and Catalog'!$C$50,((D536+E536)*C536-G536)*'Assumptions and Catalog'!$H$50+'Assumptions and Catalog'!$E$50+'Assumptions and Catalog'!$F$50,IF(((D536+E536)*C536-G536)&lt;='Assumptions and Catalog'!$C$51,((D536+E536)*C536-G536)*'Assumptions and Catalog'!$H$51+'Assumptions and Catalog'!$E$51+'Assumptions and Catalog'!$F$51,IF(((D536+E536)*C536-G536)&lt;='Assumptions and Catalog'!$C$52,((D536+E536)*C536-G536)*'Assumptions and Catalog'!$H$52+'Assumptions and Catalog'!$E$52+'Assumptions and Catalog'!$F$52,IF(((D536+E536)*C536-G536)&lt;='Assumptions and Catalog'!$C$53,((D536+E536)*C536-G536)*'Assumptions and Catalog'!$H$53+'Assumptions and Catalog'!$E$53+'Assumptions and Catalog'!$F$53,IF(((D536+E536)*C536-G536)&lt;='Assumptions and Catalog'!$C$54,((D536+E536)*C536-G536)*'Assumptions and Catalog'!$H$54+'Assumptions and Catalog'!$E$54+'Assumptions and Catalog'!$F$54,IF(((D536+E536)*C536-G536)&lt;='Assumptions and Catalog'!$C$55,((D536+E536)*C536-G536)*'Assumptions and Catalog'!$H$55+'Assumptions and Catalog'!$E$55+'Assumptions and Catalog'!$F$55,IF(((D536+E536)*C536-G536)&lt;='Assumptions and Catalog'!$C$56,((D536+E536)*C536-G536)*'Assumptions and Catalog'!$H$56+'Assumptions and Catalog'!$E$56+'Assumptions and Catalog'!$F$56,IF(((D536+E536)*C536-G536)&lt;='Assumptions and Catalog'!$C$57,((D536+E536)*C536-G536)*'Assumptions and Catalog'!$H$57+'Assumptions and Catalog'!$E$57+'Assumptions and Catalog'!$F$57,"Out of range")))))))),IF(((D536+E536)*C536-G536)&lt;='Assumptions and Catalog'!$C$60,((D536+E536)*C536-G536)*'Assumptions and Catalog'!$H$60+'Assumptions and Catalog'!$E$60+'Assumptions and Catalog'!$F$60,IF(((D536+E536)*C536-G536)&lt;='Assumptions and Catalog'!$C$61,((D536+E536)*C536-G536)*'Assumptions and Catalog'!$H$61+'Assumptions and Catalog'!$E$61+'Assumptions and Catalog'!$F$61,IF(((D536+E536)*C536-G536)&lt;='Assumptions and Catalog'!$C$62,((D536+E536)*C536-G536)*'Assumptions and Catalog'!$H$62+'Assumptions and Catalog'!$E$62+'Assumptions and Catalog'!$F$62,IF(((D536+E536)*C536-G536)&lt;='Assumptions and Catalog'!$C$63,((D536+E536)*C536-G536)*'Assumptions and Catalog'!$H$63+'Assumptions and Catalog'!$E$63+'Assumptions and Catalog'!$F$63,IF(((D536+E536)*C536-G536)&lt;='Assumptions and Catalog'!$C$64,((D536+E536)*C536-G536)*'Assumptions and Catalog'!$H$64+'Assumptions and Catalog'!$E$64+'Assumptions and Catalog'!$F$64,IF(((D536+E536)*C536-G536)&lt;='Assumptions and Catalog'!$C$65,((D536+E536)*C536-G536)*'Assumptions and Catalog'!$H$65+'Assumptions and Catalog'!$E$65+'Assumptions and Catalog'!$F$65,"Out of range")))))))))*(1+'Assumptions and Catalog'!$C$8)^(A536-1),0)</f>
        <v>6867.22</v>
      </c>
      <c r="R536" s="5" t="n">
        <f>IF(AND('Assumptions and Catalog'!$C$19&gt;0,A536&gt;='Assumptions and Catalog'!$C$19),A536-'Assumptions and Catalog'!$C$19,A536-1)</f>
        <v>0</v>
      </c>
      <c r="S536" s="5" t="n">
        <f>F536+L536-(D536+E536)*C536-J536-K536-IF(D$52&gt;0,'Assumptions and Catalog'!$C$26*C536,0)</f>
        <v>0</v>
      </c>
      <c r="T536" s="5"/>
      <c r="U536" s="5"/>
    </row>
    <row r="537" ht="23.100000381469727" customHeight="1">
      <c r="A537" s="5" t="n">
        <v>11</v>
      </c>
      <c r="B537" s="5" t="n">
        <v>7</v>
      </c>
      <c r="C537" s="5" t="n">
        <f>DAY(DATE('Assumptions and Catalog'!$C$24+A537-1,B537+1,0))</f>
        <v>31</v>
      </c>
      <c r="D537" s="5" t="n">
        <f>IF(ISNUMBER(Inputs!$L$5),Inputs!$L$5*Inputs!$L$6,0)</f>
        <v>40.35</v>
      </c>
      <c r="E537" s="5" t="n">
        <f>IF(ISNUMBER(Inputs!$L$5),Inputs!$L$5-D537,0)</f>
        <v>40.35</v>
      </c>
      <c r="F537" s="5" t="n">
        <f>D$51*'Assumptions and Catalog'!$C$31*C537*(1-'Assumptions and Catalog'!$C$10)^(A537-1)</f>
        <v>0</v>
      </c>
      <c r="G537" s="5" t="n">
        <f>MIN(F537,D537*C537)</f>
        <v>0</v>
      </c>
      <c r="H537" s="5" t="n">
        <f>I537/('Assumptions and Catalog'!$C$11*'Assumptions and Catalog'!$C$12)</f>
        <v>0</v>
      </c>
      <c r="I537" s="5" t="n">
        <f>IF(K$15="Grid cycle",MIN(K$16,D537+E537,P537*'Assumptions and Catalog'!$C$12,D$57*(24-'Assumptions and Catalog'!$C$15),D$56*'Assumptions and Catalog'!$C$15*'Assumptions and Catalog'!$C$11*'Assumptions and Catalog'!$C$12)*C537,0)</f>
        <v>0</v>
      </c>
      <c r="J537" s="5" t="n">
        <f>MAX(F537-G537-0,0)</f>
        <v>0</v>
      </c>
      <c r="K537" s="5" t="n">
        <f>H537-I537</f>
        <v>0</v>
      </c>
      <c r="L537" s="5" t="n">
        <f>(D537+E537)*C537-G537-I537+H537+IF(D$52&gt;0,'Assumptions and Catalog'!$C$26*C537,0)</f>
        <v>2501.7</v>
      </c>
      <c r="M537" s="5" t="n">
        <f>IF(ISNUMBER(Inputs!$L$5),(IF(Inputs!$L$9="Actual flat rate",((D537+E537)*C537)*Inputs!$L$10,IF(Inputs!$C$9="Residential",IF(((D537+E537)*C537)&lt;='Assumptions and Catalog'!$C$50,((D537+E537)*C537)*'Assumptions and Catalog'!$H$50+'Assumptions and Catalog'!$E$50+'Assumptions and Catalog'!$F$50,IF(((D537+E537)*C537)&lt;='Assumptions and Catalog'!$C$51,((D537+E537)*C537)*'Assumptions and Catalog'!$H$51+'Assumptions and Catalog'!$E$51+'Assumptions and Catalog'!$F$51,IF(((D537+E537)*C537)&lt;='Assumptions and Catalog'!$C$52,((D537+E537)*C537)*'Assumptions and Catalog'!$H$52+'Assumptions and Catalog'!$E$52+'Assumptions and Catalog'!$F$52,IF(((D537+E537)*C537)&lt;='Assumptions and Catalog'!$C$53,((D537+E537)*C537)*'Assumptions and Catalog'!$H$53+'Assumptions and Catalog'!$E$53+'Assumptions and Catalog'!$F$53,IF(((D537+E537)*C537)&lt;='Assumptions and Catalog'!$C$54,((D537+E537)*C537)*'Assumptions and Catalog'!$H$54+'Assumptions and Catalog'!$E$54+'Assumptions and Catalog'!$F$54,IF(((D537+E537)*C537)&lt;='Assumptions and Catalog'!$C$55,((D537+E537)*C537)*'Assumptions and Catalog'!$H$55+'Assumptions and Catalog'!$E$55+'Assumptions and Catalog'!$F$55,IF(((D537+E537)*C537)&lt;='Assumptions and Catalog'!$C$56,((D537+E537)*C537)*'Assumptions and Catalog'!$H$56+'Assumptions and Catalog'!$E$56+'Assumptions and Catalog'!$F$56,IF(((D537+E537)*C537)&lt;='Assumptions and Catalog'!$C$57,((D537+E537)*C537)*'Assumptions and Catalog'!$H$57+'Assumptions and Catalog'!$E$57+'Assumptions and Catalog'!$F$57,"Out of range")))))))),IF(((D537+E537)*C537)&lt;='Assumptions and Catalog'!$C$60,((D537+E537)*C537)*'Assumptions and Catalog'!$H$60+'Assumptions and Catalog'!$E$60+'Assumptions and Catalog'!$F$60,IF(((D537+E537)*C537)&lt;='Assumptions and Catalog'!$C$61,((D537+E537)*C537)*'Assumptions and Catalog'!$H$61+'Assumptions and Catalog'!$E$61+'Assumptions and Catalog'!$F$61,IF(((D537+E537)*C537)&lt;='Assumptions and Catalog'!$C$62,((D537+E537)*C537)*'Assumptions and Catalog'!$H$62+'Assumptions and Catalog'!$E$62+'Assumptions and Catalog'!$F$62,IF(((D537+E537)*C537)&lt;='Assumptions and Catalog'!$C$63,((D537+E537)*C537)*'Assumptions and Catalog'!$H$63+'Assumptions and Catalog'!$E$63+'Assumptions and Catalog'!$F$63,IF(((D537+E537)*C537)&lt;='Assumptions and Catalog'!$C$64,((D537+E537)*C537)*'Assumptions and Catalog'!$H$64+'Assumptions and Catalog'!$E$64+'Assumptions and Catalog'!$F$64,IF(((D537+E537)*C537)&lt;='Assumptions and Catalog'!$C$65,((D537+E537)*C537)*'Assumptions and Catalog'!$H$65+'Assumptions and Catalog'!$E$65+'Assumptions and Catalog'!$F$65,"Out of range")))))))))*(1+'Assumptions and Catalog'!$C$8)^(A537-1),0)</f>
        <v>7094.794</v>
      </c>
      <c r="N537" s="5" t="n">
        <f>IF(ISNUMBER(Inputs!$L$5),(IF(Inputs!$L$9="Actual flat rate",L537*Inputs!$L$10,IF(Inputs!$C$9="Residential",IF(L537&lt;='Assumptions and Catalog'!$C$50,L537*'Assumptions and Catalog'!$H$50+'Assumptions and Catalog'!$E$50+'Assumptions and Catalog'!$F$50,IF(L537&lt;='Assumptions and Catalog'!$C$51,L537*'Assumptions and Catalog'!$H$51+'Assumptions and Catalog'!$E$51+'Assumptions and Catalog'!$F$51,IF(L537&lt;='Assumptions and Catalog'!$C$52,L537*'Assumptions and Catalog'!$H$52+'Assumptions and Catalog'!$E$52+'Assumptions and Catalog'!$F$52,IF(L537&lt;='Assumptions and Catalog'!$C$53,L537*'Assumptions and Catalog'!$H$53+'Assumptions and Catalog'!$E$53+'Assumptions and Catalog'!$F$53,IF(L537&lt;='Assumptions and Catalog'!$C$54,L537*'Assumptions and Catalog'!$H$54+'Assumptions and Catalog'!$E$54+'Assumptions and Catalog'!$F$54,IF(L537&lt;='Assumptions and Catalog'!$C$55,L537*'Assumptions and Catalog'!$H$55+'Assumptions and Catalog'!$E$55+'Assumptions and Catalog'!$F$55,IF(L537&lt;='Assumptions and Catalog'!$C$56,L537*'Assumptions and Catalog'!$H$56+'Assumptions and Catalog'!$E$56+'Assumptions and Catalog'!$F$56,IF(L537&lt;='Assumptions and Catalog'!$C$57,L537*'Assumptions and Catalog'!$H$57+'Assumptions and Catalog'!$E$57+'Assumptions and Catalog'!$F$57,"Out of range")))))))),IF(L537&lt;='Assumptions and Catalog'!$C$60,L537*'Assumptions and Catalog'!$H$60+'Assumptions and Catalog'!$E$60+'Assumptions and Catalog'!$F$60,IF(L537&lt;='Assumptions and Catalog'!$C$61,L537*'Assumptions and Catalog'!$H$61+'Assumptions and Catalog'!$E$61+'Assumptions and Catalog'!$F$61,IF(L537&lt;='Assumptions and Catalog'!$C$62,L537*'Assumptions and Catalog'!$H$62+'Assumptions and Catalog'!$E$62+'Assumptions and Catalog'!$F$62,IF(L537&lt;='Assumptions and Catalog'!$C$63,L537*'Assumptions and Catalog'!$H$63+'Assumptions and Catalog'!$E$63+'Assumptions and Catalog'!$F$63,IF(L537&lt;='Assumptions and Catalog'!$C$64,L537*'Assumptions and Catalog'!$H$64+'Assumptions and Catalog'!$E$64+'Assumptions and Catalog'!$F$64,IF(L537&lt;='Assumptions and Catalog'!$C$65,L537*'Assumptions and Catalog'!$H$65+'Assumptions and Catalog'!$E$65+'Assumptions and Catalog'!$F$65,"Out of range")))))))))*(1+'Assumptions and Catalog'!$C$8)^(A537-1),0)</f>
        <v>7094.794</v>
      </c>
      <c r="O537" s="5" t="n">
        <f>M537-N537</f>
        <v>0</v>
      </c>
      <c r="P537" s="5" t="n">
        <f>D$55*(1-K$14)*(1-'Assumptions and Catalog'!$C$23)^R537</f>
        <v>0</v>
      </c>
      <c r="Q537" s="5" t="n">
        <f>IF(ISNUMBER(Inputs!$L$5),(IF(Inputs!$L$9="Actual flat rate",((D537+E537)*C537-G537)*Inputs!$L$10,IF(Inputs!$C$9="Residential",IF(((D537+E537)*C537-G537)&lt;='Assumptions and Catalog'!$C$50,((D537+E537)*C537-G537)*'Assumptions and Catalog'!$H$50+'Assumptions and Catalog'!$E$50+'Assumptions and Catalog'!$F$50,IF(((D537+E537)*C537-G537)&lt;='Assumptions and Catalog'!$C$51,((D537+E537)*C537-G537)*'Assumptions and Catalog'!$H$51+'Assumptions and Catalog'!$E$51+'Assumptions and Catalog'!$F$51,IF(((D537+E537)*C537-G537)&lt;='Assumptions and Catalog'!$C$52,((D537+E537)*C537-G537)*'Assumptions and Catalog'!$H$52+'Assumptions and Catalog'!$E$52+'Assumptions and Catalog'!$F$52,IF(((D537+E537)*C537-G537)&lt;='Assumptions and Catalog'!$C$53,((D537+E537)*C537-G537)*'Assumptions and Catalog'!$H$53+'Assumptions and Catalog'!$E$53+'Assumptions and Catalog'!$F$53,IF(((D537+E537)*C537-G537)&lt;='Assumptions and Catalog'!$C$54,((D537+E537)*C537-G537)*'Assumptions and Catalog'!$H$54+'Assumptions and Catalog'!$E$54+'Assumptions and Catalog'!$F$54,IF(((D537+E537)*C537-G537)&lt;='Assumptions and Catalog'!$C$55,((D537+E537)*C537-G537)*'Assumptions and Catalog'!$H$55+'Assumptions and Catalog'!$E$55+'Assumptions and Catalog'!$F$55,IF(((D537+E537)*C537-G537)&lt;='Assumptions and Catalog'!$C$56,((D537+E537)*C537-G537)*'Assumptions and Catalog'!$H$56+'Assumptions and Catalog'!$E$56+'Assumptions and Catalog'!$F$56,IF(((D537+E537)*C537-G537)&lt;='Assumptions and Catalog'!$C$57,((D537+E537)*C537-G537)*'Assumptions and Catalog'!$H$57+'Assumptions and Catalog'!$E$57+'Assumptions and Catalog'!$F$57,"Out of range")))))))),IF(((D537+E537)*C537-G537)&lt;='Assumptions and Catalog'!$C$60,((D537+E537)*C537-G537)*'Assumptions and Catalog'!$H$60+'Assumptions and Catalog'!$E$60+'Assumptions and Catalog'!$F$60,IF(((D537+E537)*C537-G537)&lt;='Assumptions and Catalog'!$C$61,((D537+E537)*C537-G537)*'Assumptions and Catalog'!$H$61+'Assumptions and Catalog'!$E$61+'Assumptions and Catalog'!$F$61,IF(((D537+E537)*C537-G537)&lt;='Assumptions and Catalog'!$C$62,((D537+E537)*C537-G537)*'Assumptions and Catalog'!$H$62+'Assumptions and Catalog'!$E$62+'Assumptions and Catalog'!$F$62,IF(((D537+E537)*C537-G537)&lt;='Assumptions and Catalog'!$C$63,((D537+E537)*C537-G537)*'Assumptions and Catalog'!$H$63+'Assumptions and Catalog'!$E$63+'Assumptions and Catalog'!$F$63,IF(((D537+E537)*C537-G537)&lt;='Assumptions and Catalog'!$C$64,((D537+E537)*C537-G537)*'Assumptions and Catalog'!$H$64+'Assumptions and Catalog'!$E$64+'Assumptions and Catalog'!$F$64,IF(((D537+E537)*C537-G537)&lt;='Assumptions and Catalog'!$C$65,((D537+E537)*C537-G537)*'Assumptions and Catalog'!$H$65+'Assumptions and Catalog'!$E$65+'Assumptions and Catalog'!$F$65,"Out of range")))))))))*(1+'Assumptions and Catalog'!$C$8)^(A537-1),0)</f>
        <v>7094.794</v>
      </c>
      <c r="R537" s="5" t="n">
        <f>IF(AND('Assumptions and Catalog'!$C$19&gt;0,A537&gt;='Assumptions and Catalog'!$C$19),A537-'Assumptions and Catalog'!$C$19,A537-1)</f>
        <v>0</v>
      </c>
      <c r="S537" s="5" t="n">
        <f>F537+L537-(D537+E537)*C537-J537-K537-IF(D$52&gt;0,'Assumptions and Catalog'!$C$26*C537,0)</f>
        <v>0</v>
      </c>
      <c r="T537" s="5"/>
      <c r="U537" s="5"/>
    </row>
    <row r="538" ht="23.100000381469727" customHeight="1">
      <c r="A538" s="5" t="n">
        <v>11</v>
      </c>
      <c r="B538" s="5" t="n">
        <v>8</v>
      </c>
      <c r="C538" s="5" t="n">
        <f>DAY(DATE('Assumptions and Catalog'!$C$24+A538-1,B538+1,0))</f>
        <v>31</v>
      </c>
      <c r="D538" s="5" t="n">
        <f>IF(ISNUMBER(Inputs!$L$5),Inputs!$L$5*Inputs!$L$6,0)</f>
        <v>40.35</v>
      </c>
      <c r="E538" s="5" t="n">
        <f>IF(ISNUMBER(Inputs!$L$5),Inputs!$L$5-D538,0)</f>
        <v>40.35</v>
      </c>
      <c r="F538" s="5" t="n">
        <f>D$51*'Assumptions and Catalog'!$C$31*C538*(1-'Assumptions and Catalog'!$C$10)^(A538-1)</f>
        <v>0</v>
      </c>
      <c r="G538" s="5" t="n">
        <f>MIN(F538,D538*C538)</f>
        <v>0</v>
      </c>
      <c r="H538" s="5" t="n">
        <f>I538/('Assumptions and Catalog'!$C$11*'Assumptions and Catalog'!$C$12)</f>
        <v>0</v>
      </c>
      <c r="I538" s="5" t="n">
        <f>IF(K$15="Grid cycle",MIN(K$16,D538+E538,P538*'Assumptions and Catalog'!$C$12,D$57*(24-'Assumptions and Catalog'!$C$15),D$56*'Assumptions and Catalog'!$C$15*'Assumptions and Catalog'!$C$11*'Assumptions and Catalog'!$C$12)*C538,0)</f>
        <v>0</v>
      </c>
      <c r="J538" s="5" t="n">
        <f>MAX(F538-G538-0,0)</f>
        <v>0</v>
      </c>
      <c r="K538" s="5" t="n">
        <f>H538-I538</f>
        <v>0</v>
      </c>
      <c r="L538" s="5" t="n">
        <f>(D538+E538)*C538-G538-I538+H538+IF(D$52&gt;0,'Assumptions and Catalog'!$C$26*C538,0)</f>
        <v>2501.7</v>
      </c>
      <c r="M538" s="5" t="n">
        <f>IF(ISNUMBER(Inputs!$L$5),(IF(Inputs!$L$9="Actual flat rate",((D538+E538)*C538)*Inputs!$L$10,IF(Inputs!$C$9="Residential",IF(((D538+E538)*C538)&lt;='Assumptions and Catalog'!$C$50,((D538+E538)*C538)*'Assumptions and Catalog'!$H$50+'Assumptions and Catalog'!$E$50+'Assumptions and Catalog'!$F$50,IF(((D538+E538)*C538)&lt;='Assumptions and Catalog'!$C$51,((D538+E538)*C538)*'Assumptions and Catalog'!$H$51+'Assumptions and Catalog'!$E$51+'Assumptions and Catalog'!$F$51,IF(((D538+E538)*C538)&lt;='Assumptions and Catalog'!$C$52,((D538+E538)*C538)*'Assumptions and Catalog'!$H$52+'Assumptions and Catalog'!$E$52+'Assumptions and Catalog'!$F$52,IF(((D538+E538)*C538)&lt;='Assumptions and Catalog'!$C$53,((D538+E538)*C538)*'Assumptions and Catalog'!$H$53+'Assumptions and Catalog'!$E$53+'Assumptions and Catalog'!$F$53,IF(((D538+E538)*C538)&lt;='Assumptions and Catalog'!$C$54,((D538+E538)*C538)*'Assumptions and Catalog'!$H$54+'Assumptions and Catalog'!$E$54+'Assumptions and Catalog'!$F$54,IF(((D538+E538)*C538)&lt;='Assumptions and Catalog'!$C$55,((D538+E538)*C538)*'Assumptions and Catalog'!$H$55+'Assumptions and Catalog'!$E$55+'Assumptions and Catalog'!$F$55,IF(((D538+E538)*C538)&lt;='Assumptions and Catalog'!$C$56,((D538+E538)*C538)*'Assumptions and Catalog'!$H$56+'Assumptions and Catalog'!$E$56+'Assumptions and Catalog'!$F$56,IF(((D538+E538)*C538)&lt;='Assumptions and Catalog'!$C$57,((D538+E538)*C538)*'Assumptions and Catalog'!$H$57+'Assumptions and Catalog'!$E$57+'Assumptions and Catalog'!$F$57,"Out of range")))))))),IF(((D538+E538)*C538)&lt;='Assumptions and Catalog'!$C$60,((D538+E538)*C538)*'Assumptions and Catalog'!$H$60+'Assumptions and Catalog'!$E$60+'Assumptions and Catalog'!$F$60,IF(((D538+E538)*C538)&lt;='Assumptions and Catalog'!$C$61,((D538+E538)*C538)*'Assumptions and Catalog'!$H$61+'Assumptions and Catalog'!$E$61+'Assumptions and Catalog'!$F$61,IF(((D538+E538)*C538)&lt;='Assumptions and Catalog'!$C$62,((D538+E538)*C538)*'Assumptions and Catalog'!$H$62+'Assumptions and Catalog'!$E$62+'Assumptions and Catalog'!$F$62,IF(((D538+E538)*C538)&lt;='Assumptions and Catalog'!$C$63,((D538+E538)*C538)*'Assumptions and Catalog'!$H$63+'Assumptions and Catalog'!$E$63+'Assumptions and Catalog'!$F$63,IF(((D538+E538)*C538)&lt;='Assumptions and Catalog'!$C$64,((D538+E538)*C538)*'Assumptions and Catalog'!$H$64+'Assumptions and Catalog'!$E$64+'Assumptions and Catalog'!$F$64,IF(((D538+E538)*C538)&lt;='Assumptions and Catalog'!$C$65,((D538+E538)*C538)*'Assumptions and Catalog'!$H$65+'Assumptions and Catalog'!$E$65+'Assumptions and Catalog'!$F$65,"Out of range")))))))))*(1+'Assumptions and Catalog'!$C$8)^(A538-1),0)</f>
        <v>7094.794</v>
      </c>
      <c r="N538" s="5" t="n">
        <f>IF(ISNUMBER(Inputs!$L$5),(IF(Inputs!$L$9="Actual flat rate",L538*Inputs!$L$10,IF(Inputs!$C$9="Residential",IF(L538&lt;='Assumptions and Catalog'!$C$50,L538*'Assumptions and Catalog'!$H$50+'Assumptions and Catalog'!$E$50+'Assumptions and Catalog'!$F$50,IF(L538&lt;='Assumptions and Catalog'!$C$51,L538*'Assumptions and Catalog'!$H$51+'Assumptions and Catalog'!$E$51+'Assumptions and Catalog'!$F$51,IF(L538&lt;='Assumptions and Catalog'!$C$52,L538*'Assumptions and Catalog'!$H$52+'Assumptions and Catalog'!$E$52+'Assumptions and Catalog'!$F$52,IF(L538&lt;='Assumptions and Catalog'!$C$53,L538*'Assumptions and Catalog'!$H$53+'Assumptions and Catalog'!$E$53+'Assumptions and Catalog'!$F$53,IF(L538&lt;='Assumptions and Catalog'!$C$54,L538*'Assumptions and Catalog'!$H$54+'Assumptions and Catalog'!$E$54+'Assumptions and Catalog'!$F$54,IF(L538&lt;='Assumptions and Catalog'!$C$55,L538*'Assumptions and Catalog'!$H$55+'Assumptions and Catalog'!$E$55+'Assumptions and Catalog'!$F$55,IF(L538&lt;='Assumptions and Catalog'!$C$56,L538*'Assumptions and Catalog'!$H$56+'Assumptions and Catalog'!$E$56+'Assumptions and Catalog'!$F$56,IF(L538&lt;='Assumptions and Catalog'!$C$57,L538*'Assumptions and Catalog'!$H$57+'Assumptions and Catalog'!$E$57+'Assumptions and Catalog'!$F$57,"Out of range")))))))),IF(L538&lt;='Assumptions and Catalog'!$C$60,L538*'Assumptions and Catalog'!$H$60+'Assumptions and Catalog'!$E$60+'Assumptions and Catalog'!$F$60,IF(L538&lt;='Assumptions and Catalog'!$C$61,L538*'Assumptions and Catalog'!$H$61+'Assumptions and Catalog'!$E$61+'Assumptions and Catalog'!$F$61,IF(L538&lt;='Assumptions and Catalog'!$C$62,L538*'Assumptions and Catalog'!$H$62+'Assumptions and Catalog'!$E$62+'Assumptions and Catalog'!$F$62,IF(L538&lt;='Assumptions and Catalog'!$C$63,L538*'Assumptions and Catalog'!$H$63+'Assumptions and Catalog'!$E$63+'Assumptions and Catalog'!$F$63,IF(L538&lt;='Assumptions and Catalog'!$C$64,L538*'Assumptions and Catalog'!$H$64+'Assumptions and Catalog'!$E$64+'Assumptions and Catalog'!$F$64,IF(L538&lt;='Assumptions and Catalog'!$C$65,L538*'Assumptions and Catalog'!$H$65+'Assumptions and Catalog'!$E$65+'Assumptions and Catalog'!$F$65,"Out of range")))))))))*(1+'Assumptions and Catalog'!$C$8)^(A538-1),0)</f>
        <v>7094.794</v>
      </c>
      <c r="O538" s="5" t="n">
        <f>M538-N538</f>
        <v>0</v>
      </c>
      <c r="P538" s="5" t="n">
        <f>D$55*(1-K$14)*(1-'Assumptions and Catalog'!$C$23)^R538</f>
        <v>0</v>
      </c>
      <c r="Q538" s="5" t="n">
        <f>IF(ISNUMBER(Inputs!$L$5),(IF(Inputs!$L$9="Actual flat rate",((D538+E538)*C538-G538)*Inputs!$L$10,IF(Inputs!$C$9="Residential",IF(((D538+E538)*C538-G538)&lt;='Assumptions and Catalog'!$C$50,((D538+E538)*C538-G538)*'Assumptions and Catalog'!$H$50+'Assumptions and Catalog'!$E$50+'Assumptions and Catalog'!$F$50,IF(((D538+E538)*C538-G538)&lt;='Assumptions and Catalog'!$C$51,((D538+E538)*C538-G538)*'Assumptions and Catalog'!$H$51+'Assumptions and Catalog'!$E$51+'Assumptions and Catalog'!$F$51,IF(((D538+E538)*C538-G538)&lt;='Assumptions and Catalog'!$C$52,((D538+E538)*C538-G538)*'Assumptions and Catalog'!$H$52+'Assumptions and Catalog'!$E$52+'Assumptions and Catalog'!$F$52,IF(((D538+E538)*C538-G538)&lt;='Assumptions and Catalog'!$C$53,((D538+E538)*C538-G538)*'Assumptions and Catalog'!$H$53+'Assumptions and Catalog'!$E$53+'Assumptions and Catalog'!$F$53,IF(((D538+E538)*C538-G538)&lt;='Assumptions and Catalog'!$C$54,((D538+E538)*C538-G538)*'Assumptions and Catalog'!$H$54+'Assumptions and Catalog'!$E$54+'Assumptions and Catalog'!$F$54,IF(((D538+E538)*C538-G538)&lt;='Assumptions and Catalog'!$C$55,((D538+E538)*C538-G538)*'Assumptions and Catalog'!$H$55+'Assumptions and Catalog'!$E$55+'Assumptions and Catalog'!$F$55,IF(((D538+E538)*C538-G538)&lt;='Assumptions and Catalog'!$C$56,((D538+E538)*C538-G538)*'Assumptions and Catalog'!$H$56+'Assumptions and Catalog'!$E$56+'Assumptions and Catalog'!$F$56,IF(((D538+E538)*C538-G538)&lt;='Assumptions and Catalog'!$C$57,((D538+E538)*C538-G538)*'Assumptions and Catalog'!$H$57+'Assumptions and Catalog'!$E$57+'Assumptions and Catalog'!$F$57,"Out of range")))))))),IF(((D538+E538)*C538-G538)&lt;='Assumptions and Catalog'!$C$60,((D538+E538)*C538-G538)*'Assumptions and Catalog'!$H$60+'Assumptions and Catalog'!$E$60+'Assumptions and Catalog'!$F$60,IF(((D538+E538)*C538-G538)&lt;='Assumptions and Catalog'!$C$61,((D538+E538)*C538-G538)*'Assumptions and Catalog'!$H$61+'Assumptions and Catalog'!$E$61+'Assumptions and Catalog'!$F$61,IF(((D538+E538)*C538-G538)&lt;='Assumptions and Catalog'!$C$62,((D538+E538)*C538-G538)*'Assumptions and Catalog'!$H$62+'Assumptions and Catalog'!$E$62+'Assumptions and Catalog'!$F$62,IF(((D538+E538)*C538-G538)&lt;='Assumptions and Catalog'!$C$63,((D538+E538)*C538-G538)*'Assumptions and Catalog'!$H$63+'Assumptions and Catalog'!$E$63+'Assumptions and Catalog'!$F$63,IF(((D538+E538)*C538-G538)&lt;='Assumptions and Catalog'!$C$64,((D538+E538)*C538-G538)*'Assumptions and Catalog'!$H$64+'Assumptions and Catalog'!$E$64+'Assumptions and Catalog'!$F$64,IF(((D538+E538)*C538-G538)&lt;='Assumptions and Catalog'!$C$65,((D538+E538)*C538-G538)*'Assumptions and Catalog'!$H$65+'Assumptions and Catalog'!$E$65+'Assumptions and Catalog'!$F$65,"Out of range")))))))))*(1+'Assumptions and Catalog'!$C$8)^(A538-1),0)</f>
        <v>7094.794</v>
      </c>
      <c r="R538" s="5" t="n">
        <f>IF(AND('Assumptions and Catalog'!$C$19&gt;0,A538&gt;='Assumptions and Catalog'!$C$19),A538-'Assumptions and Catalog'!$C$19,A538-1)</f>
        <v>0</v>
      </c>
      <c r="S538" s="5" t="n">
        <f>F538+L538-(D538+E538)*C538-J538-K538-IF(D$52&gt;0,'Assumptions and Catalog'!$C$26*C538,0)</f>
        <v>0</v>
      </c>
      <c r="T538" s="5"/>
      <c r="U538" s="5"/>
    </row>
    <row r="539" ht="23.100000381469727" customHeight="1">
      <c r="A539" s="5" t="n">
        <v>11</v>
      </c>
      <c r="B539" s="5" t="n">
        <v>9</v>
      </c>
      <c r="C539" s="5" t="n">
        <f>DAY(DATE('Assumptions and Catalog'!$C$24+A539-1,B539+1,0))</f>
        <v>30</v>
      </c>
      <c r="D539" s="5" t="n">
        <f>IF(ISNUMBER(Inputs!$L$5),Inputs!$L$5*Inputs!$L$6,0)</f>
        <v>40.35</v>
      </c>
      <c r="E539" s="5" t="n">
        <f>IF(ISNUMBER(Inputs!$L$5),Inputs!$L$5-D539,0)</f>
        <v>40.35</v>
      </c>
      <c r="F539" s="5" t="n">
        <f>D$51*'Assumptions and Catalog'!$C$31*C539*(1-'Assumptions and Catalog'!$C$10)^(A539-1)</f>
        <v>0</v>
      </c>
      <c r="G539" s="5" t="n">
        <f>MIN(F539,D539*C539)</f>
        <v>0</v>
      </c>
      <c r="H539" s="5" t="n">
        <f>I539/('Assumptions and Catalog'!$C$11*'Assumptions and Catalog'!$C$12)</f>
        <v>0</v>
      </c>
      <c r="I539" s="5" t="n">
        <f>IF(K$15="Grid cycle",MIN(K$16,D539+E539,P539*'Assumptions and Catalog'!$C$12,D$57*(24-'Assumptions and Catalog'!$C$15),D$56*'Assumptions and Catalog'!$C$15*'Assumptions and Catalog'!$C$11*'Assumptions and Catalog'!$C$12)*C539,0)</f>
        <v>0</v>
      </c>
      <c r="J539" s="5" t="n">
        <f>MAX(F539-G539-0,0)</f>
        <v>0</v>
      </c>
      <c r="K539" s="5" t="n">
        <f>H539-I539</f>
        <v>0</v>
      </c>
      <c r="L539" s="5" t="n">
        <f>(D539+E539)*C539-G539-I539+H539+IF(D$52&gt;0,'Assumptions and Catalog'!$C$26*C539,0)</f>
        <v>2421</v>
      </c>
      <c r="M539" s="5" t="n">
        <f>IF(ISNUMBER(Inputs!$L$5),(IF(Inputs!$L$9="Actual flat rate",((D539+E539)*C539)*Inputs!$L$10,IF(Inputs!$C$9="Residential",IF(((D539+E539)*C539)&lt;='Assumptions and Catalog'!$C$50,((D539+E539)*C539)*'Assumptions and Catalog'!$H$50+'Assumptions and Catalog'!$E$50+'Assumptions and Catalog'!$F$50,IF(((D539+E539)*C539)&lt;='Assumptions and Catalog'!$C$51,((D539+E539)*C539)*'Assumptions and Catalog'!$H$51+'Assumptions and Catalog'!$E$51+'Assumptions and Catalog'!$F$51,IF(((D539+E539)*C539)&lt;='Assumptions and Catalog'!$C$52,((D539+E539)*C539)*'Assumptions and Catalog'!$H$52+'Assumptions and Catalog'!$E$52+'Assumptions and Catalog'!$F$52,IF(((D539+E539)*C539)&lt;='Assumptions and Catalog'!$C$53,((D539+E539)*C539)*'Assumptions and Catalog'!$H$53+'Assumptions and Catalog'!$E$53+'Assumptions and Catalog'!$F$53,IF(((D539+E539)*C539)&lt;='Assumptions and Catalog'!$C$54,((D539+E539)*C539)*'Assumptions and Catalog'!$H$54+'Assumptions and Catalog'!$E$54+'Assumptions and Catalog'!$F$54,IF(((D539+E539)*C539)&lt;='Assumptions and Catalog'!$C$55,((D539+E539)*C539)*'Assumptions and Catalog'!$H$55+'Assumptions and Catalog'!$E$55+'Assumptions and Catalog'!$F$55,IF(((D539+E539)*C539)&lt;='Assumptions and Catalog'!$C$56,((D539+E539)*C539)*'Assumptions and Catalog'!$H$56+'Assumptions and Catalog'!$E$56+'Assumptions and Catalog'!$F$56,IF(((D539+E539)*C539)&lt;='Assumptions and Catalog'!$C$57,((D539+E539)*C539)*'Assumptions and Catalog'!$H$57+'Assumptions and Catalog'!$E$57+'Assumptions and Catalog'!$F$57,"Out of range")))))))),IF(((D539+E539)*C539)&lt;='Assumptions and Catalog'!$C$60,((D539+E539)*C539)*'Assumptions and Catalog'!$H$60+'Assumptions and Catalog'!$E$60+'Assumptions and Catalog'!$F$60,IF(((D539+E539)*C539)&lt;='Assumptions and Catalog'!$C$61,((D539+E539)*C539)*'Assumptions and Catalog'!$H$61+'Assumptions and Catalog'!$E$61+'Assumptions and Catalog'!$F$61,IF(((D539+E539)*C539)&lt;='Assumptions and Catalog'!$C$62,((D539+E539)*C539)*'Assumptions and Catalog'!$H$62+'Assumptions and Catalog'!$E$62+'Assumptions and Catalog'!$F$62,IF(((D539+E539)*C539)&lt;='Assumptions and Catalog'!$C$63,((D539+E539)*C539)*'Assumptions and Catalog'!$H$63+'Assumptions and Catalog'!$E$63+'Assumptions and Catalog'!$F$63,IF(((D539+E539)*C539)&lt;='Assumptions and Catalog'!$C$64,((D539+E539)*C539)*'Assumptions and Catalog'!$H$64+'Assumptions and Catalog'!$E$64+'Assumptions and Catalog'!$F$64,IF(((D539+E539)*C539)&lt;='Assumptions and Catalog'!$C$65,((D539+E539)*C539)*'Assumptions and Catalog'!$H$65+'Assumptions and Catalog'!$E$65+'Assumptions and Catalog'!$F$65,"Out of range")))))))))*(1+'Assumptions and Catalog'!$C$8)^(A539-1),0)</f>
        <v>6867.22</v>
      </c>
      <c r="N539" s="5" t="n">
        <f>IF(ISNUMBER(Inputs!$L$5),(IF(Inputs!$L$9="Actual flat rate",L539*Inputs!$L$10,IF(Inputs!$C$9="Residential",IF(L539&lt;='Assumptions and Catalog'!$C$50,L539*'Assumptions and Catalog'!$H$50+'Assumptions and Catalog'!$E$50+'Assumptions and Catalog'!$F$50,IF(L539&lt;='Assumptions and Catalog'!$C$51,L539*'Assumptions and Catalog'!$H$51+'Assumptions and Catalog'!$E$51+'Assumptions and Catalog'!$F$51,IF(L539&lt;='Assumptions and Catalog'!$C$52,L539*'Assumptions and Catalog'!$H$52+'Assumptions and Catalog'!$E$52+'Assumptions and Catalog'!$F$52,IF(L539&lt;='Assumptions and Catalog'!$C$53,L539*'Assumptions and Catalog'!$H$53+'Assumptions and Catalog'!$E$53+'Assumptions and Catalog'!$F$53,IF(L539&lt;='Assumptions and Catalog'!$C$54,L539*'Assumptions and Catalog'!$H$54+'Assumptions and Catalog'!$E$54+'Assumptions and Catalog'!$F$54,IF(L539&lt;='Assumptions and Catalog'!$C$55,L539*'Assumptions and Catalog'!$H$55+'Assumptions and Catalog'!$E$55+'Assumptions and Catalog'!$F$55,IF(L539&lt;='Assumptions and Catalog'!$C$56,L539*'Assumptions and Catalog'!$H$56+'Assumptions and Catalog'!$E$56+'Assumptions and Catalog'!$F$56,IF(L539&lt;='Assumptions and Catalog'!$C$57,L539*'Assumptions and Catalog'!$H$57+'Assumptions and Catalog'!$E$57+'Assumptions and Catalog'!$F$57,"Out of range")))))))),IF(L539&lt;='Assumptions and Catalog'!$C$60,L539*'Assumptions and Catalog'!$H$60+'Assumptions and Catalog'!$E$60+'Assumptions and Catalog'!$F$60,IF(L539&lt;='Assumptions and Catalog'!$C$61,L539*'Assumptions and Catalog'!$H$61+'Assumptions and Catalog'!$E$61+'Assumptions and Catalog'!$F$61,IF(L539&lt;='Assumptions and Catalog'!$C$62,L539*'Assumptions and Catalog'!$H$62+'Assumptions and Catalog'!$E$62+'Assumptions and Catalog'!$F$62,IF(L539&lt;='Assumptions and Catalog'!$C$63,L539*'Assumptions and Catalog'!$H$63+'Assumptions and Catalog'!$E$63+'Assumptions and Catalog'!$F$63,IF(L539&lt;='Assumptions and Catalog'!$C$64,L539*'Assumptions and Catalog'!$H$64+'Assumptions and Catalog'!$E$64+'Assumptions and Catalog'!$F$64,IF(L539&lt;='Assumptions and Catalog'!$C$65,L539*'Assumptions and Catalog'!$H$65+'Assumptions and Catalog'!$E$65+'Assumptions and Catalog'!$F$65,"Out of range")))))))))*(1+'Assumptions and Catalog'!$C$8)^(A539-1),0)</f>
        <v>6867.22</v>
      </c>
      <c r="O539" s="5" t="n">
        <f>M539-N539</f>
        <v>0</v>
      </c>
      <c r="P539" s="5" t="n">
        <f>D$55*(1-K$14)*(1-'Assumptions and Catalog'!$C$23)^R539</f>
        <v>0</v>
      </c>
      <c r="Q539" s="5" t="n">
        <f>IF(ISNUMBER(Inputs!$L$5),(IF(Inputs!$L$9="Actual flat rate",((D539+E539)*C539-G539)*Inputs!$L$10,IF(Inputs!$C$9="Residential",IF(((D539+E539)*C539-G539)&lt;='Assumptions and Catalog'!$C$50,((D539+E539)*C539-G539)*'Assumptions and Catalog'!$H$50+'Assumptions and Catalog'!$E$50+'Assumptions and Catalog'!$F$50,IF(((D539+E539)*C539-G539)&lt;='Assumptions and Catalog'!$C$51,((D539+E539)*C539-G539)*'Assumptions and Catalog'!$H$51+'Assumptions and Catalog'!$E$51+'Assumptions and Catalog'!$F$51,IF(((D539+E539)*C539-G539)&lt;='Assumptions and Catalog'!$C$52,((D539+E539)*C539-G539)*'Assumptions and Catalog'!$H$52+'Assumptions and Catalog'!$E$52+'Assumptions and Catalog'!$F$52,IF(((D539+E539)*C539-G539)&lt;='Assumptions and Catalog'!$C$53,((D539+E539)*C539-G539)*'Assumptions and Catalog'!$H$53+'Assumptions and Catalog'!$E$53+'Assumptions and Catalog'!$F$53,IF(((D539+E539)*C539-G539)&lt;='Assumptions and Catalog'!$C$54,((D539+E539)*C539-G539)*'Assumptions and Catalog'!$H$54+'Assumptions and Catalog'!$E$54+'Assumptions and Catalog'!$F$54,IF(((D539+E539)*C539-G539)&lt;='Assumptions and Catalog'!$C$55,((D539+E539)*C539-G539)*'Assumptions and Catalog'!$H$55+'Assumptions and Catalog'!$E$55+'Assumptions and Catalog'!$F$55,IF(((D539+E539)*C539-G539)&lt;='Assumptions and Catalog'!$C$56,((D539+E539)*C539-G539)*'Assumptions and Catalog'!$H$56+'Assumptions and Catalog'!$E$56+'Assumptions and Catalog'!$F$56,IF(((D539+E539)*C539-G539)&lt;='Assumptions and Catalog'!$C$57,((D539+E539)*C539-G539)*'Assumptions and Catalog'!$H$57+'Assumptions and Catalog'!$E$57+'Assumptions and Catalog'!$F$57,"Out of range")))))))),IF(((D539+E539)*C539-G539)&lt;='Assumptions and Catalog'!$C$60,((D539+E539)*C539-G539)*'Assumptions and Catalog'!$H$60+'Assumptions and Catalog'!$E$60+'Assumptions and Catalog'!$F$60,IF(((D539+E539)*C539-G539)&lt;='Assumptions and Catalog'!$C$61,((D539+E539)*C539-G539)*'Assumptions and Catalog'!$H$61+'Assumptions and Catalog'!$E$61+'Assumptions and Catalog'!$F$61,IF(((D539+E539)*C539-G539)&lt;='Assumptions and Catalog'!$C$62,((D539+E539)*C539-G539)*'Assumptions and Catalog'!$H$62+'Assumptions and Catalog'!$E$62+'Assumptions and Catalog'!$F$62,IF(((D539+E539)*C539-G539)&lt;='Assumptions and Catalog'!$C$63,((D539+E539)*C539-G539)*'Assumptions and Catalog'!$H$63+'Assumptions and Catalog'!$E$63+'Assumptions and Catalog'!$F$63,IF(((D539+E539)*C539-G539)&lt;='Assumptions and Catalog'!$C$64,((D539+E539)*C539-G539)*'Assumptions and Catalog'!$H$64+'Assumptions and Catalog'!$E$64+'Assumptions and Catalog'!$F$64,IF(((D539+E539)*C539-G539)&lt;='Assumptions and Catalog'!$C$65,((D539+E539)*C539-G539)*'Assumptions and Catalog'!$H$65+'Assumptions and Catalog'!$E$65+'Assumptions and Catalog'!$F$65,"Out of range")))))))))*(1+'Assumptions and Catalog'!$C$8)^(A539-1),0)</f>
        <v>6867.22</v>
      </c>
      <c r="R539" s="5" t="n">
        <f>IF(AND('Assumptions and Catalog'!$C$19&gt;0,A539&gt;='Assumptions and Catalog'!$C$19),A539-'Assumptions and Catalog'!$C$19,A539-1)</f>
        <v>0</v>
      </c>
      <c r="S539" s="5" t="n">
        <f>F539+L539-(D539+E539)*C539-J539-K539-IF(D$52&gt;0,'Assumptions and Catalog'!$C$26*C539,0)</f>
        <v>0</v>
      </c>
      <c r="T539" s="5"/>
      <c r="U539" s="5"/>
    </row>
    <row r="540" ht="23.100000381469727" customHeight="1">
      <c r="A540" s="5" t="n">
        <v>11</v>
      </c>
      <c r="B540" s="5" t="n">
        <v>10</v>
      </c>
      <c r="C540" s="5" t="n">
        <f>DAY(DATE('Assumptions and Catalog'!$C$24+A540-1,B540+1,0))</f>
        <v>31</v>
      </c>
      <c r="D540" s="5" t="n">
        <f>IF(ISNUMBER(Inputs!$L$5),Inputs!$L$5*Inputs!$L$6,0)</f>
        <v>40.35</v>
      </c>
      <c r="E540" s="5" t="n">
        <f>IF(ISNUMBER(Inputs!$L$5),Inputs!$L$5-D540,0)</f>
        <v>40.35</v>
      </c>
      <c r="F540" s="5" t="n">
        <f>D$51*'Assumptions and Catalog'!$C$31*C540*(1-'Assumptions and Catalog'!$C$10)^(A540-1)</f>
        <v>0</v>
      </c>
      <c r="G540" s="5" t="n">
        <f>MIN(F540,D540*C540)</f>
        <v>0</v>
      </c>
      <c r="H540" s="5" t="n">
        <f>I540/('Assumptions and Catalog'!$C$11*'Assumptions and Catalog'!$C$12)</f>
        <v>0</v>
      </c>
      <c r="I540" s="5" t="n">
        <f>IF(K$15="Grid cycle",MIN(K$16,D540+E540,P540*'Assumptions and Catalog'!$C$12,D$57*(24-'Assumptions and Catalog'!$C$15),D$56*'Assumptions and Catalog'!$C$15*'Assumptions and Catalog'!$C$11*'Assumptions and Catalog'!$C$12)*C540,0)</f>
        <v>0</v>
      </c>
      <c r="J540" s="5" t="n">
        <f>MAX(F540-G540-0,0)</f>
        <v>0</v>
      </c>
      <c r="K540" s="5" t="n">
        <f>H540-I540</f>
        <v>0</v>
      </c>
      <c r="L540" s="5" t="n">
        <f>(D540+E540)*C540-G540-I540+H540+IF(D$52&gt;0,'Assumptions and Catalog'!$C$26*C540,0)</f>
        <v>2501.7</v>
      </c>
      <c r="M540" s="5" t="n">
        <f>IF(ISNUMBER(Inputs!$L$5),(IF(Inputs!$L$9="Actual flat rate",((D540+E540)*C540)*Inputs!$L$10,IF(Inputs!$C$9="Residential",IF(((D540+E540)*C540)&lt;='Assumptions and Catalog'!$C$50,((D540+E540)*C540)*'Assumptions and Catalog'!$H$50+'Assumptions and Catalog'!$E$50+'Assumptions and Catalog'!$F$50,IF(((D540+E540)*C540)&lt;='Assumptions and Catalog'!$C$51,((D540+E540)*C540)*'Assumptions and Catalog'!$H$51+'Assumptions and Catalog'!$E$51+'Assumptions and Catalog'!$F$51,IF(((D540+E540)*C540)&lt;='Assumptions and Catalog'!$C$52,((D540+E540)*C540)*'Assumptions and Catalog'!$H$52+'Assumptions and Catalog'!$E$52+'Assumptions and Catalog'!$F$52,IF(((D540+E540)*C540)&lt;='Assumptions and Catalog'!$C$53,((D540+E540)*C540)*'Assumptions and Catalog'!$H$53+'Assumptions and Catalog'!$E$53+'Assumptions and Catalog'!$F$53,IF(((D540+E540)*C540)&lt;='Assumptions and Catalog'!$C$54,((D540+E540)*C540)*'Assumptions and Catalog'!$H$54+'Assumptions and Catalog'!$E$54+'Assumptions and Catalog'!$F$54,IF(((D540+E540)*C540)&lt;='Assumptions and Catalog'!$C$55,((D540+E540)*C540)*'Assumptions and Catalog'!$H$55+'Assumptions and Catalog'!$E$55+'Assumptions and Catalog'!$F$55,IF(((D540+E540)*C540)&lt;='Assumptions and Catalog'!$C$56,((D540+E540)*C540)*'Assumptions and Catalog'!$H$56+'Assumptions and Catalog'!$E$56+'Assumptions and Catalog'!$F$56,IF(((D540+E540)*C540)&lt;='Assumptions and Catalog'!$C$57,((D540+E540)*C540)*'Assumptions and Catalog'!$H$57+'Assumptions and Catalog'!$E$57+'Assumptions and Catalog'!$F$57,"Out of range")))))))),IF(((D540+E540)*C540)&lt;='Assumptions and Catalog'!$C$60,((D540+E540)*C540)*'Assumptions and Catalog'!$H$60+'Assumptions and Catalog'!$E$60+'Assumptions and Catalog'!$F$60,IF(((D540+E540)*C540)&lt;='Assumptions and Catalog'!$C$61,((D540+E540)*C540)*'Assumptions and Catalog'!$H$61+'Assumptions and Catalog'!$E$61+'Assumptions and Catalog'!$F$61,IF(((D540+E540)*C540)&lt;='Assumptions and Catalog'!$C$62,((D540+E540)*C540)*'Assumptions and Catalog'!$H$62+'Assumptions and Catalog'!$E$62+'Assumptions and Catalog'!$F$62,IF(((D540+E540)*C540)&lt;='Assumptions and Catalog'!$C$63,((D540+E540)*C540)*'Assumptions and Catalog'!$H$63+'Assumptions and Catalog'!$E$63+'Assumptions and Catalog'!$F$63,IF(((D540+E540)*C540)&lt;='Assumptions and Catalog'!$C$64,((D540+E540)*C540)*'Assumptions and Catalog'!$H$64+'Assumptions and Catalog'!$E$64+'Assumptions and Catalog'!$F$64,IF(((D540+E540)*C540)&lt;='Assumptions and Catalog'!$C$65,((D540+E540)*C540)*'Assumptions and Catalog'!$H$65+'Assumptions and Catalog'!$E$65+'Assumptions and Catalog'!$F$65,"Out of range")))))))))*(1+'Assumptions and Catalog'!$C$8)^(A540-1),0)</f>
        <v>7094.794</v>
      </c>
      <c r="N540" s="5" t="n">
        <f>IF(ISNUMBER(Inputs!$L$5),(IF(Inputs!$L$9="Actual flat rate",L540*Inputs!$L$10,IF(Inputs!$C$9="Residential",IF(L540&lt;='Assumptions and Catalog'!$C$50,L540*'Assumptions and Catalog'!$H$50+'Assumptions and Catalog'!$E$50+'Assumptions and Catalog'!$F$50,IF(L540&lt;='Assumptions and Catalog'!$C$51,L540*'Assumptions and Catalog'!$H$51+'Assumptions and Catalog'!$E$51+'Assumptions and Catalog'!$F$51,IF(L540&lt;='Assumptions and Catalog'!$C$52,L540*'Assumptions and Catalog'!$H$52+'Assumptions and Catalog'!$E$52+'Assumptions and Catalog'!$F$52,IF(L540&lt;='Assumptions and Catalog'!$C$53,L540*'Assumptions and Catalog'!$H$53+'Assumptions and Catalog'!$E$53+'Assumptions and Catalog'!$F$53,IF(L540&lt;='Assumptions and Catalog'!$C$54,L540*'Assumptions and Catalog'!$H$54+'Assumptions and Catalog'!$E$54+'Assumptions and Catalog'!$F$54,IF(L540&lt;='Assumptions and Catalog'!$C$55,L540*'Assumptions and Catalog'!$H$55+'Assumptions and Catalog'!$E$55+'Assumptions and Catalog'!$F$55,IF(L540&lt;='Assumptions and Catalog'!$C$56,L540*'Assumptions and Catalog'!$H$56+'Assumptions and Catalog'!$E$56+'Assumptions and Catalog'!$F$56,IF(L540&lt;='Assumptions and Catalog'!$C$57,L540*'Assumptions and Catalog'!$H$57+'Assumptions and Catalog'!$E$57+'Assumptions and Catalog'!$F$57,"Out of range")))))))),IF(L540&lt;='Assumptions and Catalog'!$C$60,L540*'Assumptions and Catalog'!$H$60+'Assumptions and Catalog'!$E$60+'Assumptions and Catalog'!$F$60,IF(L540&lt;='Assumptions and Catalog'!$C$61,L540*'Assumptions and Catalog'!$H$61+'Assumptions and Catalog'!$E$61+'Assumptions and Catalog'!$F$61,IF(L540&lt;='Assumptions and Catalog'!$C$62,L540*'Assumptions and Catalog'!$H$62+'Assumptions and Catalog'!$E$62+'Assumptions and Catalog'!$F$62,IF(L540&lt;='Assumptions and Catalog'!$C$63,L540*'Assumptions and Catalog'!$H$63+'Assumptions and Catalog'!$E$63+'Assumptions and Catalog'!$F$63,IF(L540&lt;='Assumptions and Catalog'!$C$64,L540*'Assumptions and Catalog'!$H$64+'Assumptions and Catalog'!$E$64+'Assumptions and Catalog'!$F$64,IF(L540&lt;='Assumptions and Catalog'!$C$65,L540*'Assumptions and Catalog'!$H$65+'Assumptions and Catalog'!$E$65+'Assumptions and Catalog'!$F$65,"Out of range")))))))))*(1+'Assumptions and Catalog'!$C$8)^(A540-1),0)</f>
        <v>7094.794</v>
      </c>
      <c r="O540" s="5" t="n">
        <f>M540-N540</f>
        <v>0</v>
      </c>
      <c r="P540" s="5" t="n">
        <f>D$55*(1-K$14)*(1-'Assumptions and Catalog'!$C$23)^R540</f>
        <v>0</v>
      </c>
      <c r="Q540" s="5" t="n">
        <f>IF(ISNUMBER(Inputs!$L$5),(IF(Inputs!$L$9="Actual flat rate",((D540+E540)*C540-G540)*Inputs!$L$10,IF(Inputs!$C$9="Residential",IF(((D540+E540)*C540-G540)&lt;='Assumptions and Catalog'!$C$50,((D540+E540)*C540-G540)*'Assumptions and Catalog'!$H$50+'Assumptions and Catalog'!$E$50+'Assumptions and Catalog'!$F$50,IF(((D540+E540)*C540-G540)&lt;='Assumptions and Catalog'!$C$51,((D540+E540)*C540-G540)*'Assumptions and Catalog'!$H$51+'Assumptions and Catalog'!$E$51+'Assumptions and Catalog'!$F$51,IF(((D540+E540)*C540-G540)&lt;='Assumptions and Catalog'!$C$52,((D540+E540)*C540-G540)*'Assumptions and Catalog'!$H$52+'Assumptions and Catalog'!$E$52+'Assumptions and Catalog'!$F$52,IF(((D540+E540)*C540-G540)&lt;='Assumptions and Catalog'!$C$53,((D540+E540)*C540-G540)*'Assumptions and Catalog'!$H$53+'Assumptions and Catalog'!$E$53+'Assumptions and Catalog'!$F$53,IF(((D540+E540)*C540-G540)&lt;='Assumptions and Catalog'!$C$54,((D540+E540)*C540-G540)*'Assumptions and Catalog'!$H$54+'Assumptions and Catalog'!$E$54+'Assumptions and Catalog'!$F$54,IF(((D540+E540)*C540-G540)&lt;='Assumptions and Catalog'!$C$55,((D540+E540)*C540-G540)*'Assumptions and Catalog'!$H$55+'Assumptions and Catalog'!$E$55+'Assumptions and Catalog'!$F$55,IF(((D540+E540)*C540-G540)&lt;='Assumptions and Catalog'!$C$56,((D540+E540)*C540-G540)*'Assumptions and Catalog'!$H$56+'Assumptions and Catalog'!$E$56+'Assumptions and Catalog'!$F$56,IF(((D540+E540)*C540-G540)&lt;='Assumptions and Catalog'!$C$57,((D540+E540)*C540-G540)*'Assumptions and Catalog'!$H$57+'Assumptions and Catalog'!$E$57+'Assumptions and Catalog'!$F$57,"Out of range")))))))),IF(((D540+E540)*C540-G540)&lt;='Assumptions and Catalog'!$C$60,((D540+E540)*C540-G540)*'Assumptions and Catalog'!$H$60+'Assumptions and Catalog'!$E$60+'Assumptions and Catalog'!$F$60,IF(((D540+E540)*C540-G540)&lt;='Assumptions and Catalog'!$C$61,((D540+E540)*C540-G540)*'Assumptions and Catalog'!$H$61+'Assumptions and Catalog'!$E$61+'Assumptions and Catalog'!$F$61,IF(((D540+E540)*C540-G540)&lt;='Assumptions and Catalog'!$C$62,((D540+E540)*C540-G540)*'Assumptions and Catalog'!$H$62+'Assumptions and Catalog'!$E$62+'Assumptions and Catalog'!$F$62,IF(((D540+E540)*C540-G540)&lt;='Assumptions and Catalog'!$C$63,((D540+E540)*C540-G540)*'Assumptions and Catalog'!$H$63+'Assumptions and Catalog'!$E$63+'Assumptions and Catalog'!$F$63,IF(((D540+E540)*C540-G540)&lt;='Assumptions and Catalog'!$C$64,((D540+E540)*C540-G540)*'Assumptions and Catalog'!$H$64+'Assumptions and Catalog'!$E$64+'Assumptions and Catalog'!$F$64,IF(((D540+E540)*C540-G540)&lt;='Assumptions and Catalog'!$C$65,((D540+E540)*C540-G540)*'Assumptions and Catalog'!$H$65+'Assumptions and Catalog'!$E$65+'Assumptions and Catalog'!$F$65,"Out of range")))))))))*(1+'Assumptions and Catalog'!$C$8)^(A540-1),0)</f>
        <v>7094.794</v>
      </c>
      <c r="R540" s="5" t="n">
        <f>IF(AND('Assumptions and Catalog'!$C$19&gt;0,A540&gt;='Assumptions and Catalog'!$C$19),A540-'Assumptions and Catalog'!$C$19,A540-1)</f>
        <v>0</v>
      </c>
      <c r="S540" s="5" t="n">
        <f>F540+L540-(D540+E540)*C540-J540-K540-IF(D$52&gt;0,'Assumptions and Catalog'!$C$26*C540,0)</f>
        <v>0</v>
      </c>
      <c r="T540" s="5"/>
      <c r="U540" s="5"/>
    </row>
    <row r="541" ht="23.100000381469727" customHeight="1">
      <c r="A541" s="5" t="n">
        <v>11</v>
      </c>
      <c r="B541" s="5" t="n">
        <v>11</v>
      </c>
      <c r="C541" s="5" t="n">
        <f>DAY(DATE('Assumptions and Catalog'!$C$24+A541-1,B541+1,0))</f>
        <v>30</v>
      </c>
      <c r="D541" s="5" t="n">
        <f>IF(ISNUMBER(Inputs!$L$5),Inputs!$L$5*Inputs!$L$6,0)</f>
        <v>40.35</v>
      </c>
      <c r="E541" s="5" t="n">
        <f>IF(ISNUMBER(Inputs!$L$5),Inputs!$L$5-D541,0)</f>
        <v>40.35</v>
      </c>
      <c r="F541" s="5" t="n">
        <f>D$51*'Assumptions and Catalog'!$C$31*C541*(1-'Assumptions and Catalog'!$C$10)^(A541-1)</f>
        <v>0</v>
      </c>
      <c r="G541" s="5" t="n">
        <f>MIN(F541,D541*C541)</f>
        <v>0</v>
      </c>
      <c r="H541" s="5" t="n">
        <f>I541/('Assumptions and Catalog'!$C$11*'Assumptions and Catalog'!$C$12)</f>
        <v>0</v>
      </c>
      <c r="I541" s="5" t="n">
        <f>IF(K$15="Grid cycle",MIN(K$16,D541+E541,P541*'Assumptions and Catalog'!$C$12,D$57*(24-'Assumptions and Catalog'!$C$15),D$56*'Assumptions and Catalog'!$C$15*'Assumptions and Catalog'!$C$11*'Assumptions and Catalog'!$C$12)*C541,0)</f>
        <v>0</v>
      </c>
      <c r="J541" s="5" t="n">
        <f>MAX(F541-G541-0,0)</f>
        <v>0</v>
      </c>
      <c r="K541" s="5" t="n">
        <f>H541-I541</f>
        <v>0</v>
      </c>
      <c r="L541" s="5" t="n">
        <f>(D541+E541)*C541-G541-I541+H541+IF(D$52&gt;0,'Assumptions and Catalog'!$C$26*C541,0)</f>
        <v>2421</v>
      </c>
      <c r="M541" s="5" t="n">
        <f>IF(ISNUMBER(Inputs!$L$5),(IF(Inputs!$L$9="Actual flat rate",((D541+E541)*C541)*Inputs!$L$10,IF(Inputs!$C$9="Residential",IF(((D541+E541)*C541)&lt;='Assumptions and Catalog'!$C$50,((D541+E541)*C541)*'Assumptions and Catalog'!$H$50+'Assumptions and Catalog'!$E$50+'Assumptions and Catalog'!$F$50,IF(((D541+E541)*C541)&lt;='Assumptions and Catalog'!$C$51,((D541+E541)*C541)*'Assumptions and Catalog'!$H$51+'Assumptions and Catalog'!$E$51+'Assumptions and Catalog'!$F$51,IF(((D541+E541)*C541)&lt;='Assumptions and Catalog'!$C$52,((D541+E541)*C541)*'Assumptions and Catalog'!$H$52+'Assumptions and Catalog'!$E$52+'Assumptions and Catalog'!$F$52,IF(((D541+E541)*C541)&lt;='Assumptions and Catalog'!$C$53,((D541+E541)*C541)*'Assumptions and Catalog'!$H$53+'Assumptions and Catalog'!$E$53+'Assumptions and Catalog'!$F$53,IF(((D541+E541)*C541)&lt;='Assumptions and Catalog'!$C$54,((D541+E541)*C541)*'Assumptions and Catalog'!$H$54+'Assumptions and Catalog'!$E$54+'Assumptions and Catalog'!$F$54,IF(((D541+E541)*C541)&lt;='Assumptions and Catalog'!$C$55,((D541+E541)*C541)*'Assumptions and Catalog'!$H$55+'Assumptions and Catalog'!$E$55+'Assumptions and Catalog'!$F$55,IF(((D541+E541)*C541)&lt;='Assumptions and Catalog'!$C$56,((D541+E541)*C541)*'Assumptions and Catalog'!$H$56+'Assumptions and Catalog'!$E$56+'Assumptions and Catalog'!$F$56,IF(((D541+E541)*C541)&lt;='Assumptions and Catalog'!$C$57,((D541+E541)*C541)*'Assumptions and Catalog'!$H$57+'Assumptions and Catalog'!$E$57+'Assumptions and Catalog'!$F$57,"Out of range")))))))),IF(((D541+E541)*C541)&lt;='Assumptions and Catalog'!$C$60,((D541+E541)*C541)*'Assumptions and Catalog'!$H$60+'Assumptions and Catalog'!$E$60+'Assumptions and Catalog'!$F$60,IF(((D541+E541)*C541)&lt;='Assumptions and Catalog'!$C$61,((D541+E541)*C541)*'Assumptions and Catalog'!$H$61+'Assumptions and Catalog'!$E$61+'Assumptions and Catalog'!$F$61,IF(((D541+E541)*C541)&lt;='Assumptions and Catalog'!$C$62,((D541+E541)*C541)*'Assumptions and Catalog'!$H$62+'Assumptions and Catalog'!$E$62+'Assumptions and Catalog'!$F$62,IF(((D541+E541)*C541)&lt;='Assumptions and Catalog'!$C$63,((D541+E541)*C541)*'Assumptions and Catalog'!$H$63+'Assumptions and Catalog'!$E$63+'Assumptions and Catalog'!$F$63,IF(((D541+E541)*C541)&lt;='Assumptions and Catalog'!$C$64,((D541+E541)*C541)*'Assumptions and Catalog'!$H$64+'Assumptions and Catalog'!$E$64+'Assumptions and Catalog'!$F$64,IF(((D541+E541)*C541)&lt;='Assumptions and Catalog'!$C$65,((D541+E541)*C541)*'Assumptions and Catalog'!$H$65+'Assumptions and Catalog'!$E$65+'Assumptions and Catalog'!$F$65,"Out of range")))))))))*(1+'Assumptions and Catalog'!$C$8)^(A541-1),0)</f>
        <v>6867.22</v>
      </c>
      <c r="N541" s="5" t="n">
        <f>IF(ISNUMBER(Inputs!$L$5),(IF(Inputs!$L$9="Actual flat rate",L541*Inputs!$L$10,IF(Inputs!$C$9="Residential",IF(L541&lt;='Assumptions and Catalog'!$C$50,L541*'Assumptions and Catalog'!$H$50+'Assumptions and Catalog'!$E$50+'Assumptions and Catalog'!$F$50,IF(L541&lt;='Assumptions and Catalog'!$C$51,L541*'Assumptions and Catalog'!$H$51+'Assumptions and Catalog'!$E$51+'Assumptions and Catalog'!$F$51,IF(L541&lt;='Assumptions and Catalog'!$C$52,L541*'Assumptions and Catalog'!$H$52+'Assumptions and Catalog'!$E$52+'Assumptions and Catalog'!$F$52,IF(L541&lt;='Assumptions and Catalog'!$C$53,L541*'Assumptions and Catalog'!$H$53+'Assumptions and Catalog'!$E$53+'Assumptions and Catalog'!$F$53,IF(L541&lt;='Assumptions and Catalog'!$C$54,L541*'Assumptions and Catalog'!$H$54+'Assumptions and Catalog'!$E$54+'Assumptions and Catalog'!$F$54,IF(L541&lt;='Assumptions and Catalog'!$C$55,L541*'Assumptions and Catalog'!$H$55+'Assumptions and Catalog'!$E$55+'Assumptions and Catalog'!$F$55,IF(L541&lt;='Assumptions and Catalog'!$C$56,L541*'Assumptions and Catalog'!$H$56+'Assumptions and Catalog'!$E$56+'Assumptions and Catalog'!$F$56,IF(L541&lt;='Assumptions and Catalog'!$C$57,L541*'Assumptions and Catalog'!$H$57+'Assumptions and Catalog'!$E$57+'Assumptions and Catalog'!$F$57,"Out of range")))))))),IF(L541&lt;='Assumptions and Catalog'!$C$60,L541*'Assumptions and Catalog'!$H$60+'Assumptions and Catalog'!$E$60+'Assumptions and Catalog'!$F$60,IF(L541&lt;='Assumptions and Catalog'!$C$61,L541*'Assumptions and Catalog'!$H$61+'Assumptions and Catalog'!$E$61+'Assumptions and Catalog'!$F$61,IF(L541&lt;='Assumptions and Catalog'!$C$62,L541*'Assumptions and Catalog'!$H$62+'Assumptions and Catalog'!$E$62+'Assumptions and Catalog'!$F$62,IF(L541&lt;='Assumptions and Catalog'!$C$63,L541*'Assumptions and Catalog'!$H$63+'Assumptions and Catalog'!$E$63+'Assumptions and Catalog'!$F$63,IF(L541&lt;='Assumptions and Catalog'!$C$64,L541*'Assumptions and Catalog'!$H$64+'Assumptions and Catalog'!$E$64+'Assumptions and Catalog'!$F$64,IF(L541&lt;='Assumptions and Catalog'!$C$65,L541*'Assumptions and Catalog'!$H$65+'Assumptions and Catalog'!$E$65+'Assumptions and Catalog'!$F$65,"Out of range")))))))))*(1+'Assumptions and Catalog'!$C$8)^(A541-1),0)</f>
        <v>6867.22</v>
      </c>
      <c r="O541" s="5" t="n">
        <f>M541-N541</f>
        <v>0</v>
      </c>
      <c r="P541" s="5" t="n">
        <f>D$55*(1-K$14)*(1-'Assumptions and Catalog'!$C$23)^R541</f>
        <v>0</v>
      </c>
      <c r="Q541" s="5" t="n">
        <f>IF(ISNUMBER(Inputs!$L$5),(IF(Inputs!$L$9="Actual flat rate",((D541+E541)*C541-G541)*Inputs!$L$10,IF(Inputs!$C$9="Residential",IF(((D541+E541)*C541-G541)&lt;='Assumptions and Catalog'!$C$50,((D541+E541)*C541-G541)*'Assumptions and Catalog'!$H$50+'Assumptions and Catalog'!$E$50+'Assumptions and Catalog'!$F$50,IF(((D541+E541)*C541-G541)&lt;='Assumptions and Catalog'!$C$51,((D541+E541)*C541-G541)*'Assumptions and Catalog'!$H$51+'Assumptions and Catalog'!$E$51+'Assumptions and Catalog'!$F$51,IF(((D541+E541)*C541-G541)&lt;='Assumptions and Catalog'!$C$52,((D541+E541)*C541-G541)*'Assumptions and Catalog'!$H$52+'Assumptions and Catalog'!$E$52+'Assumptions and Catalog'!$F$52,IF(((D541+E541)*C541-G541)&lt;='Assumptions and Catalog'!$C$53,((D541+E541)*C541-G541)*'Assumptions and Catalog'!$H$53+'Assumptions and Catalog'!$E$53+'Assumptions and Catalog'!$F$53,IF(((D541+E541)*C541-G541)&lt;='Assumptions and Catalog'!$C$54,((D541+E541)*C541-G541)*'Assumptions and Catalog'!$H$54+'Assumptions and Catalog'!$E$54+'Assumptions and Catalog'!$F$54,IF(((D541+E541)*C541-G541)&lt;='Assumptions and Catalog'!$C$55,((D541+E541)*C541-G541)*'Assumptions and Catalog'!$H$55+'Assumptions and Catalog'!$E$55+'Assumptions and Catalog'!$F$55,IF(((D541+E541)*C541-G541)&lt;='Assumptions and Catalog'!$C$56,((D541+E541)*C541-G541)*'Assumptions and Catalog'!$H$56+'Assumptions and Catalog'!$E$56+'Assumptions and Catalog'!$F$56,IF(((D541+E541)*C541-G541)&lt;='Assumptions and Catalog'!$C$57,((D541+E541)*C541-G541)*'Assumptions and Catalog'!$H$57+'Assumptions and Catalog'!$E$57+'Assumptions and Catalog'!$F$57,"Out of range")))))))),IF(((D541+E541)*C541-G541)&lt;='Assumptions and Catalog'!$C$60,((D541+E541)*C541-G541)*'Assumptions and Catalog'!$H$60+'Assumptions and Catalog'!$E$60+'Assumptions and Catalog'!$F$60,IF(((D541+E541)*C541-G541)&lt;='Assumptions and Catalog'!$C$61,((D541+E541)*C541-G541)*'Assumptions and Catalog'!$H$61+'Assumptions and Catalog'!$E$61+'Assumptions and Catalog'!$F$61,IF(((D541+E541)*C541-G541)&lt;='Assumptions and Catalog'!$C$62,((D541+E541)*C541-G541)*'Assumptions and Catalog'!$H$62+'Assumptions and Catalog'!$E$62+'Assumptions and Catalog'!$F$62,IF(((D541+E541)*C541-G541)&lt;='Assumptions and Catalog'!$C$63,((D541+E541)*C541-G541)*'Assumptions and Catalog'!$H$63+'Assumptions and Catalog'!$E$63+'Assumptions and Catalog'!$F$63,IF(((D541+E541)*C541-G541)&lt;='Assumptions and Catalog'!$C$64,((D541+E541)*C541-G541)*'Assumptions and Catalog'!$H$64+'Assumptions and Catalog'!$E$64+'Assumptions and Catalog'!$F$64,IF(((D541+E541)*C541-G541)&lt;='Assumptions and Catalog'!$C$65,((D541+E541)*C541-G541)*'Assumptions and Catalog'!$H$65+'Assumptions and Catalog'!$E$65+'Assumptions and Catalog'!$F$65,"Out of range")))))))))*(1+'Assumptions and Catalog'!$C$8)^(A541-1),0)</f>
        <v>6867.22</v>
      </c>
      <c r="R541" s="5" t="n">
        <f>IF(AND('Assumptions and Catalog'!$C$19&gt;0,A541&gt;='Assumptions and Catalog'!$C$19),A541-'Assumptions and Catalog'!$C$19,A541-1)</f>
        <v>0</v>
      </c>
      <c r="S541" s="5" t="n">
        <f>F541+L541-(D541+E541)*C541-J541-K541-IF(D$52&gt;0,'Assumptions and Catalog'!$C$26*C541,0)</f>
        <v>0</v>
      </c>
      <c r="T541" s="5"/>
      <c r="U541" s="5"/>
    </row>
    <row r="542" ht="23.100000381469727" customHeight="1">
      <c r="A542" s="5" t="n">
        <v>11</v>
      </c>
      <c r="B542" s="5" t="n">
        <v>12</v>
      </c>
      <c r="C542" s="5" t="n">
        <f>DAY(DATE('Assumptions and Catalog'!$C$24+A542-1,B542+1,0))</f>
        <v>31</v>
      </c>
      <c r="D542" s="5" t="n">
        <f>IF(ISNUMBER(Inputs!$L$5),Inputs!$L$5*Inputs!$L$6,0)</f>
        <v>40.35</v>
      </c>
      <c r="E542" s="5" t="n">
        <f>IF(ISNUMBER(Inputs!$L$5),Inputs!$L$5-D542,0)</f>
        <v>40.35</v>
      </c>
      <c r="F542" s="5" t="n">
        <f>D$51*'Assumptions and Catalog'!$C$31*C542*(1-'Assumptions and Catalog'!$C$10)^(A542-1)</f>
        <v>0</v>
      </c>
      <c r="G542" s="5" t="n">
        <f>MIN(F542,D542*C542)</f>
        <v>0</v>
      </c>
      <c r="H542" s="5" t="n">
        <f>I542/('Assumptions and Catalog'!$C$11*'Assumptions and Catalog'!$C$12)</f>
        <v>0</v>
      </c>
      <c r="I542" s="5" t="n">
        <f>IF(K$15="Grid cycle",MIN(K$16,D542+E542,P542*'Assumptions and Catalog'!$C$12,D$57*(24-'Assumptions and Catalog'!$C$15),D$56*'Assumptions and Catalog'!$C$15*'Assumptions and Catalog'!$C$11*'Assumptions and Catalog'!$C$12)*C542,0)</f>
        <v>0</v>
      </c>
      <c r="J542" s="5" t="n">
        <f>MAX(F542-G542-0,0)</f>
        <v>0</v>
      </c>
      <c r="K542" s="5" t="n">
        <f>H542-I542</f>
        <v>0</v>
      </c>
      <c r="L542" s="5" t="n">
        <f>(D542+E542)*C542-G542-I542+H542+IF(D$52&gt;0,'Assumptions and Catalog'!$C$26*C542,0)</f>
        <v>2501.7</v>
      </c>
      <c r="M542" s="5" t="n">
        <f>IF(ISNUMBER(Inputs!$L$5),(IF(Inputs!$L$9="Actual flat rate",((D542+E542)*C542)*Inputs!$L$10,IF(Inputs!$C$9="Residential",IF(((D542+E542)*C542)&lt;='Assumptions and Catalog'!$C$50,((D542+E542)*C542)*'Assumptions and Catalog'!$H$50+'Assumptions and Catalog'!$E$50+'Assumptions and Catalog'!$F$50,IF(((D542+E542)*C542)&lt;='Assumptions and Catalog'!$C$51,((D542+E542)*C542)*'Assumptions and Catalog'!$H$51+'Assumptions and Catalog'!$E$51+'Assumptions and Catalog'!$F$51,IF(((D542+E542)*C542)&lt;='Assumptions and Catalog'!$C$52,((D542+E542)*C542)*'Assumptions and Catalog'!$H$52+'Assumptions and Catalog'!$E$52+'Assumptions and Catalog'!$F$52,IF(((D542+E542)*C542)&lt;='Assumptions and Catalog'!$C$53,((D542+E542)*C542)*'Assumptions and Catalog'!$H$53+'Assumptions and Catalog'!$E$53+'Assumptions and Catalog'!$F$53,IF(((D542+E542)*C542)&lt;='Assumptions and Catalog'!$C$54,((D542+E542)*C542)*'Assumptions and Catalog'!$H$54+'Assumptions and Catalog'!$E$54+'Assumptions and Catalog'!$F$54,IF(((D542+E542)*C542)&lt;='Assumptions and Catalog'!$C$55,((D542+E542)*C542)*'Assumptions and Catalog'!$H$55+'Assumptions and Catalog'!$E$55+'Assumptions and Catalog'!$F$55,IF(((D542+E542)*C542)&lt;='Assumptions and Catalog'!$C$56,((D542+E542)*C542)*'Assumptions and Catalog'!$H$56+'Assumptions and Catalog'!$E$56+'Assumptions and Catalog'!$F$56,IF(((D542+E542)*C542)&lt;='Assumptions and Catalog'!$C$57,((D542+E542)*C542)*'Assumptions and Catalog'!$H$57+'Assumptions and Catalog'!$E$57+'Assumptions and Catalog'!$F$57,"Out of range")))))))),IF(((D542+E542)*C542)&lt;='Assumptions and Catalog'!$C$60,((D542+E542)*C542)*'Assumptions and Catalog'!$H$60+'Assumptions and Catalog'!$E$60+'Assumptions and Catalog'!$F$60,IF(((D542+E542)*C542)&lt;='Assumptions and Catalog'!$C$61,((D542+E542)*C542)*'Assumptions and Catalog'!$H$61+'Assumptions and Catalog'!$E$61+'Assumptions and Catalog'!$F$61,IF(((D542+E542)*C542)&lt;='Assumptions and Catalog'!$C$62,((D542+E542)*C542)*'Assumptions and Catalog'!$H$62+'Assumptions and Catalog'!$E$62+'Assumptions and Catalog'!$F$62,IF(((D542+E542)*C542)&lt;='Assumptions and Catalog'!$C$63,((D542+E542)*C542)*'Assumptions and Catalog'!$H$63+'Assumptions and Catalog'!$E$63+'Assumptions and Catalog'!$F$63,IF(((D542+E542)*C542)&lt;='Assumptions and Catalog'!$C$64,((D542+E542)*C542)*'Assumptions and Catalog'!$H$64+'Assumptions and Catalog'!$E$64+'Assumptions and Catalog'!$F$64,IF(((D542+E542)*C542)&lt;='Assumptions and Catalog'!$C$65,((D542+E542)*C542)*'Assumptions and Catalog'!$H$65+'Assumptions and Catalog'!$E$65+'Assumptions and Catalog'!$F$65,"Out of range")))))))))*(1+'Assumptions and Catalog'!$C$8)^(A542-1),0)</f>
        <v>7094.794</v>
      </c>
      <c r="N542" s="5" t="n">
        <f>IF(ISNUMBER(Inputs!$L$5),(IF(Inputs!$L$9="Actual flat rate",L542*Inputs!$L$10,IF(Inputs!$C$9="Residential",IF(L542&lt;='Assumptions and Catalog'!$C$50,L542*'Assumptions and Catalog'!$H$50+'Assumptions and Catalog'!$E$50+'Assumptions and Catalog'!$F$50,IF(L542&lt;='Assumptions and Catalog'!$C$51,L542*'Assumptions and Catalog'!$H$51+'Assumptions and Catalog'!$E$51+'Assumptions and Catalog'!$F$51,IF(L542&lt;='Assumptions and Catalog'!$C$52,L542*'Assumptions and Catalog'!$H$52+'Assumptions and Catalog'!$E$52+'Assumptions and Catalog'!$F$52,IF(L542&lt;='Assumptions and Catalog'!$C$53,L542*'Assumptions and Catalog'!$H$53+'Assumptions and Catalog'!$E$53+'Assumptions and Catalog'!$F$53,IF(L542&lt;='Assumptions and Catalog'!$C$54,L542*'Assumptions and Catalog'!$H$54+'Assumptions and Catalog'!$E$54+'Assumptions and Catalog'!$F$54,IF(L542&lt;='Assumptions and Catalog'!$C$55,L542*'Assumptions and Catalog'!$H$55+'Assumptions and Catalog'!$E$55+'Assumptions and Catalog'!$F$55,IF(L542&lt;='Assumptions and Catalog'!$C$56,L542*'Assumptions and Catalog'!$H$56+'Assumptions and Catalog'!$E$56+'Assumptions and Catalog'!$F$56,IF(L542&lt;='Assumptions and Catalog'!$C$57,L542*'Assumptions and Catalog'!$H$57+'Assumptions and Catalog'!$E$57+'Assumptions and Catalog'!$F$57,"Out of range")))))))),IF(L542&lt;='Assumptions and Catalog'!$C$60,L542*'Assumptions and Catalog'!$H$60+'Assumptions and Catalog'!$E$60+'Assumptions and Catalog'!$F$60,IF(L542&lt;='Assumptions and Catalog'!$C$61,L542*'Assumptions and Catalog'!$H$61+'Assumptions and Catalog'!$E$61+'Assumptions and Catalog'!$F$61,IF(L542&lt;='Assumptions and Catalog'!$C$62,L542*'Assumptions and Catalog'!$H$62+'Assumptions and Catalog'!$E$62+'Assumptions and Catalog'!$F$62,IF(L542&lt;='Assumptions and Catalog'!$C$63,L542*'Assumptions and Catalog'!$H$63+'Assumptions and Catalog'!$E$63+'Assumptions and Catalog'!$F$63,IF(L542&lt;='Assumptions and Catalog'!$C$64,L542*'Assumptions and Catalog'!$H$64+'Assumptions and Catalog'!$E$64+'Assumptions and Catalog'!$F$64,IF(L542&lt;='Assumptions and Catalog'!$C$65,L542*'Assumptions and Catalog'!$H$65+'Assumptions and Catalog'!$E$65+'Assumptions and Catalog'!$F$65,"Out of range")))))))))*(1+'Assumptions and Catalog'!$C$8)^(A542-1),0)</f>
        <v>7094.794</v>
      </c>
      <c r="O542" s="5" t="n">
        <f>M542-N542</f>
        <v>0</v>
      </c>
      <c r="P542" s="5" t="n">
        <f>D$55*(1-K$14)*(1-'Assumptions and Catalog'!$C$23)^R542</f>
        <v>0</v>
      </c>
      <c r="Q542" s="5" t="n">
        <f>IF(ISNUMBER(Inputs!$L$5),(IF(Inputs!$L$9="Actual flat rate",((D542+E542)*C542-G542)*Inputs!$L$10,IF(Inputs!$C$9="Residential",IF(((D542+E542)*C542-G542)&lt;='Assumptions and Catalog'!$C$50,((D542+E542)*C542-G542)*'Assumptions and Catalog'!$H$50+'Assumptions and Catalog'!$E$50+'Assumptions and Catalog'!$F$50,IF(((D542+E542)*C542-G542)&lt;='Assumptions and Catalog'!$C$51,((D542+E542)*C542-G542)*'Assumptions and Catalog'!$H$51+'Assumptions and Catalog'!$E$51+'Assumptions and Catalog'!$F$51,IF(((D542+E542)*C542-G542)&lt;='Assumptions and Catalog'!$C$52,((D542+E542)*C542-G542)*'Assumptions and Catalog'!$H$52+'Assumptions and Catalog'!$E$52+'Assumptions and Catalog'!$F$52,IF(((D542+E542)*C542-G542)&lt;='Assumptions and Catalog'!$C$53,((D542+E542)*C542-G542)*'Assumptions and Catalog'!$H$53+'Assumptions and Catalog'!$E$53+'Assumptions and Catalog'!$F$53,IF(((D542+E542)*C542-G542)&lt;='Assumptions and Catalog'!$C$54,((D542+E542)*C542-G542)*'Assumptions and Catalog'!$H$54+'Assumptions and Catalog'!$E$54+'Assumptions and Catalog'!$F$54,IF(((D542+E542)*C542-G542)&lt;='Assumptions and Catalog'!$C$55,((D542+E542)*C542-G542)*'Assumptions and Catalog'!$H$55+'Assumptions and Catalog'!$E$55+'Assumptions and Catalog'!$F$55,IF(((D542+E542)*C542-G542)&lt;='Assumptions and Catalog'!$C$56,((D542+E542)*C542-G542)*'Assumptions and Catalog'!$H$56+'Assumptions and Catalog'!$E$56+'Assumptions and Catalog'!$F$56,IF(((D542+E542)*C542-G542)&lt;='Assumptions and Catalog'!$C$57,((D542+E542)*C542-G542)*'Assumptions and Catalog'!$H$57+'Assumptions and Catalog'!$E$57+'Assumptions and Catalog'!$F$57,"Out of range")))))))),IF(((D542+E542)*C542-G542)&lt;='Assumptions and Catalog'!$C$60,((D542+E542)*C542-G542)*'Assumptions and Catalog'!$H$60+'Assumptions and Catalog'!$E$60+'Assumptions and Catalog'!$F$60,IF(((D542+E542)*C542-G542)&lt;='Assumptions and Catalog'!$C$61,((D542+E542)*C542-G542)*'Assumptions and Catalog'!$H$61+'Assumptions and Catalog'!$E$61+'Assumptions and Catalog'!$F$61,IF(((D542+E542)*C542-G542)&lt;='Assumptions and Catalog'!$C$62,((D542+E542)*C542-G542)*'Assumptions and Catalog'!$H$62+'Assumptions and Catalog'!$E$62+'Assumptions and Catalog'!$F$62,IF(((D542+E542)*C542-G542)&lt;='Assumptions and Catalog'!$C$63,((D542+E542)*C542-G542)*'Assumptions and Catalog'!$H$63+'Assumptions and Catalog'!$E$63+'Assumptions and Catalog'!$F$63,IF(((D542+E542)*C542-G542)&lt;='Assumptions and Catalog'!$C$64,((D542+E542)*C542-G542)*'Assumptions and Catalog'!$H$64+'Assumptions and Catalog'!$E$64+'Assumptions and Catalog'!$F$64,IF(((D542+E542)*C542-G542)&lt;='Assumptions and Catalog'!$C$65,((D542+E542)*C542-G542)*'Assumptions and Catalog'!$H$65+'Assumptions and Catalog'!$E$65+'Assumptions and Catalog'!$F$65,"Out of range")))))))))*(1+'Assumptions and Catalog'!$C$8)^(A542-1),0)</f>
        <v>7094.794</v>
      </c>
      <c r="R542" s="5" t="n">
        <f>IF(AND('Assumptions and Catalog'!$C$19&gt;0,A542&gt;='Assumptions and Catalog'!$C$19),A542-'Assumptions and Catalog'!$C$19,A542-1)</f>
        <v>0</v>
      </c>
      <c r="S542" s="5" t="n">
        <f>F542+L542-(D542+E542)*C542-J542-K542-IF(D$52&gt;0,'Assumptions and Catalog'!$C$26*C542,0)</f>
        <v>0</v>
      </c>
      <c r="T542" s="5"/>
      <c r="U542" s="5"/>
    </row>
    <row r="543" ht="23.100000381469727" customHeight="1">
      <c r="A543" s="5" t="n">
        <v>12</v>
      </c>
      <c r="B543" s="5" t="n">
        <v>1</v>
      </c>
      <c r="C543" s="5" t="n">
        <f>DAY(DATE('Assumptions and Catalog'!$C$24+A543-1,B543+1,0))</f>
        <v>31</v>
      </c>
      <c r="D543" s="5" t="n">
        <f>IF(ISNUMBER(Inputs!$L$5),Inputs!$L$5*Inputs!$L$6,0)</f>
        <v>40.35</v>
      </c>
      <c r="E543" s="5" t="n">
        <f>IF(ISNUMBER(Inputs!$L$5),Inputs!$L$5-D543,0)</f>
        <v>40.35</v>
      </c>
      <c r="F543" s="5" t="n">
        <f>D$51*'Assumptions and Catalog'!$C$31*C543*(1-'Assumptions and Catalog'!$C$10)^(A543-1)</f>
        <v>0</v>
      </c>
      <c r="G543" s="5" t="n">
        <f>MIN(F543,D543*C543)</f>
        <v>0</v>
      </c>
      <c r="H543" s="5" t="n">
        <f>I543/('Assumptions and Catalog'!$C$11*'Assumptions and Catalog'!$C$12)</f>
        <v>0</v>
      </c>
      <c r="I543" s="5" t="n">
        <f>IF(K$15="Grid cycle",MIN(K$16,D543+E543,P543*'Assumptions and Catalog'!$C$12,D$57*(24-'Assumptions and Catalog'!$C$15),D$56*'Assumptions and Catalog'!$C$15*'Assumptions and Catalog'!$C$11*'Assumptions and Catalog'!$C$12)*C543,0)</f>
        <v>0</v>
      </c>
      <c r="J543" s="5" t="n">
        <f>MAX(F543-G543-0,0)</f>
        <v>0</v>
      </c>
      <c r="K543" s="5" t="n">
        <f>H543-I543</f>
        <v>0</v>
      </c>
      <c r="L543" s="5" t="n">
        <f>(D543+E543)*C543-G543-I543+H543+IF(D$52&gt;0,'Assumptions and Catalog'!$C$26*C543,0)</f>
        <v>2501.7</v>
      </c>
      <c r="M543" s="5" t="n">
        <f>IF(ISNUMBER(Inputs!$L$5),(IF(Inputs!$L$9="Actual flat rate",((D543+E543)*C543)*Inputs!$L$10,IF(Inputs!$C$9="Residential",IF(((D543+E543)*C543)&lt;='Assumptions and Catalog'!$C$50,((D543+E543)*C543)*'Assumptions and Catalog'!$H$50+'Assumptions and Catalog'!$E$50+'Assumptions and Catalog'!$F$50,IF(((D543+E543)*C543)&lt;='Assumptions and Catalog'!$C$51,((D543+E543)*C543)*'Assumptions and Catalog'!$H$51+'Assumptions and Catalog'!$E$51+'Assumptions and Catalog'!$F$51,IF(((D543+E543)*C543)&lt;='Assumptions and Catalog'!$C$52,((D543+E543)*C543)*'Assumptions and Catalog'!$H$52+'Assumptions and Catalog'!$E$52+'Assumptions and Catalog'!$F$52,IF(((D543+E543)*C543)&lt;='Assumptions and Catalog'!$C$53,((D543+E543)*C543)*'Assumptions and Catalog'!$H$53+'Assumptions and Catalog'!$E$53+'Assumptions and Catalog'!$F$53,IF(((D543+E543)*C543)&lt;='Assumptions and Catalog'!$C$54,((D543+E543)*C543)*'Assumptions and Catalog'!$H$54+'Assumptions and Catalog'!$E$54+'Assumptions and Catalog'!$F$54,IF(((D543+E543)*C543)&lt;='Assumptions and Catalog'!$C$55,((D543+E543)*C543)*'Assumptions and Catalog'!$H$55+'Assumptions and Catalog'!$E$55+'Assumptions and Catalog'!$F$55,IF(((D543+E543)*C543)&lt;='Assumptions and Catalog'!$C$56,((D543+E543)*C543)*'Assumptions and Catalog'!$H$56+'Assumptions and Catalog'!$E$56+'Assumptions and Catalog'!$F$56,IF(((D543+E543)*C543)&lt;='Assumptions and Catalog'!$C$57,((D543+E543)*C543)*'Assumptions and Catalog'!$H$57+'Assumptions and Catalog'!$E$57+'Assumptions and Catalog'!$F$57,"Out of range")))))))),IF(((D543+E543)*C543)&lt;='Assumptions and Catalog'!$C$60,((D543+E543)*C543)*'Assumptions and Catalog'!$H$60+'Assumptions and Catalog'!$E$60+'Assumptions and Catalog'!$F$60,IF(((D543+E543)*C543)&lt;='Assumptions and Catalog'!$C$61,((D543+E543)*C543)*'Assumptions and Catalog'!$H$61+'Assumptions and Catalog'!$E$61+'Assumptions and Catalog'!$F$61,IF(((D543+E543)*C543)&lt;='Assumptions and Catalog'!$C$62,((D543+E543)*C543)*'Assumptions and Catalog'!$H$62+'Assumptions and Catalog'!$E$62+'Assumptions and Catalog'!$F$62,IF(((D543+E543)*C543)&lt;='Assumptions and Catalog'!$C$63,((D543+E543)*C543)*'Assumptions and Catalog'!$H$63+'Assumptions and Catalog'!$E$63+'Assumptions and Catalog'!$F$63,IF(((D543+E543)*C543)&lt;='Assumptions and Catalog'!$C$64,((D543+E543)*C543)*'Assumptions and Catalog'!$H$64+'Assumptions and Catalog'!$E$64+'Assumptions and Catalog'!$F$64,IF(((D543+E543)*C543)&lt;='Assumptions and Catalog'!$C$65,((D543+E543)*C543)*'Assumptions and Catalog'!$H$65+'Assumptions and Catalog'!$E$65+'Assumptions and Catalog'!$F$65,"Out of range")))))))))*(1+'Assumptions and Catalog'!$C$8)^(A543-1),0)</f>
        <v>7094.794</v>
      </c>
      <c r="N543" s="5" t="n">
        <f>IF(ISNUMBER(Inputs!$L$5),(IF(Inputs!$L$9="Actual flat rate",L543*Inputs!$L$10,IF(Inputs!$C$9="Residential",IF(L543&lt;='Assumptions and Catalog'!$C$50,L543*'Assumptions and Catalog'!$H$50+'Assumptions and Catalog'!$E$50+'Assumptions and Catalog'!$F$50,IF(L543&lt;='Assumptions and Catalog'!$C$51,L543*'Assumptions and Catalog'!$H$51+'Assumptions and Catalog'!$E$51+'Assumptions and Catalog'!$F$51,IF(L543&lt;='Assumptions and Catalog'!$C$52,L543*'Assumptions and Catalog'!$H$52+'Assumptions and Catalog'!$E$52+'Assumptions and Catalog'!$F$52,IF(L543&lt;='Assumptions and Catalog'!$C$53,L543*'Assumptions and Catalog'!$H$53+'Assumptions and Catalog'!$E$53+'Assumptions and Catalog'!$F$53,IF(L543&lt;='Assumptions and Catalog'!$C$54,L543*'Assumptions and Catalog'!$H$54+'Assumptions and Catalog'!$E$54+'Assumptions and Catalog'!$F$54,IF(L543&lt;='Assumptions and Catalog'!$C$55,L543*'Assumptions and Catalog'!$H$55+'Assumptions and Catalog'!$E$55+'Assumptions and Catalog'!$F$55,IF(L543&lt;='Assumptions and Catalog'!$C$56,L543*'Assumptions and Catalog'!$H$56+'Assumptions and Catalog'!$E$56+'Assumptions and Catalog'!$F$56,IF(L543&lt;='Assumptions and Catalog'!$C$57,L543*'Assumptions and Catalog'!$H$57+'Assumptions and Catalog'!$E$57+'Assumptions and Catalog'!$F$57,"Out of range")))))))),IF(L543&lt;='Assumptions and Catalog'!$C$60,L543*'Assumptions and Catalog'!$H$60+'Assumptions and Catalog'!$E$60+'Assumptions and Catalog'!$F$60,IF(L543&lt;='Assumptions and Catalog'!$C$61,L543*'Assumptions and Catalog'!$H$61+'Assumptions and Catalog'!$E$61+'Assumptions and Catalog'!$F$61,IF(L543&lt;='Assumptions and Catalog'!$C$62,L543*'Assumptions and Catalog'!$H$62+'Assumptions and Catalog'!$E$62+'Assumptions and Catalog'!$F$62,IF(L543&lt;='Assumptions and Catalog'!$C$63,L543*'Assumptions and Catalog'!$H$63+'Assumptions and Catalog'!$E$63+'Assumptions and Catalog'!$F$63,IF(L543&lt;='Assumptions and Catalog'!$C$64,L543*'Assumptions and Catalog'!$H$64+'Assumptions and Catalog'!$E$64+'Assumptions and Catalog'!$F$64,IF(L543&lt;='Assumptions and Catalog'!$C$65,L543*'Assumptions and Catalog'!$H$65+'Assumptions and Catalog'!$E$65+'Assumptions and Catalog'!$F$65,"Out of range")))))))))*(1+'Assumptions and Catalog'!$C$8)^(A543-1),0)</f>
        <v>7094.794</v>
      </c>
      <c r="O543" s="5" t="n">
        <f>M543-N543</f>
        <v>0</v>
      </c>
      <c r="P543" s="5" t="n">
        <f>D$55*(1-K$14)*(1-'Assumptions and Catalog'!$C$23)^R543</f>
        <v>0</v>
      </c>
      <c r="Q543" s="5" t="n">
        <f>IF(ISNUMBER(Inputs!$L$5),(IF(Inputs!$L$9="Actual flat rate",((D543+E543)*C543-G543)*Inputs!$L$10,IF(Inputs!$C$9="Residential",IF(((D543+E543)*C543-G543)&lt;='Assumptions and Catalog'!$C$50,((D543+E543)*C543-G543)*'Assumptions and Catalog'!$H$50+'Assumptions and Catalog'!$E$50+'Assumptions and Catalog'!$F$50,IF(((D543+E543)*C543-G543)&lt;='Assumptions and Catalog'!$C$51,((D543+E543)*C543-G543)*'Assumptions and Catalog'!$H$51+'Assumptions and Catalog'!$E$51+'Assumptions and Catalog'!$F$51,IF(((D543+E543)*C543-G543)&lt;='Assumptions and Catalog'!$C$52,((D543+E543)*C543-G543)*'Assumptions and Catalog'!$H$52+'Assumptions and Catalog'!$E$52+'Assumptions and Catalog'!$F$52,IF(((D543+E543)*C543-G543)&lt;='Assumptions and Catalog'!$C$53,((D543+E543)*C543-G543)*'Assumptions and Catalog'!$H$53+'Assumptions and Catalog'!$E$53+'Assumptions and Catalog'!$F$53,IF(((D543+E543)*C543-G543)&lt;='Assumptions and Catalog'!$C$54,((D543+E543)*C543-G543)*'Assumptions and Catalog'!$H$54+'Assumptions and Catalog'!$E$54+'Assumptions and Catalog'!$F$54,IF(((D543+E543)*C543-G543)&lt;='Assumptions and Catalog'!$C$55,((D543+E543)*C543-G543)*'Assumptions and Catalog'!$H$55+'Assumptions and Catalog'!$E$55+'Assumptions and Catalog'!$F$55,IF(((D543+E543)*C543-G543)&lt;='Assumptions and Catalog'!$C$56,((D543+E543)*C543-G543)*'Assumptions and Catalog'!$H$56+'Assumptions and Catalog'!$E$56+'Assumptions and Catalog'!$F$56,IF(((D543+E543)*C543-G543)&lt;='Assumptions and Catalog'!$C$57,((D543+E543)*C543-G543)*'Assumptions and Catalog'!$H$57+'Assumptions and Catalog'!$E$57+'Assumptions and Catalog'!$F$57,"Out of range")))))))),IF(((D543+E543)*C543-G543)&lt;='Assumptions and Catalog'!$C$60,((D543+E543)*C543-G543)*'Assumptions and Catalog'!$H$60+'Assumptions and Catalog'!$E$60+'Assumptions and Catalog'!$F$60,IF(((D543+E543)*C543-G543)&lt;='Assumptions and Catalog'!$C$61,((D543+E543)*C543-G543)*'Assumptions and Catalog'!$H$61+'Assumptions and Catalog'!$E$61+'Assumptions and Catalog'!$F$61,IF(((D543+E543)*C543-G543)&lt;='Assumptions and Catalog'!$C$62,((D543+E543)*C543-G543)*'Assumptions and Catalog'!$H$62+'Assumptions and Catalog'!$E$62+'Assumptions and Catalog'!$F$62,IF(((D543+E543)*C543-G543)&lt;='Assumptions and Catalog'!$C$63,((D543+E543)*C543-G543)*'Assumptions and Catalog'!$H$63+'Assumptions and Catalog'!$E$63+'Assumptions and Catalog'!$F$63,IF(((D543+E543)*C543-G543)&lt;='Assumptions and Catalog'!$C$64,((D543+E543)*C543-G543)*'Assumptions and Catalog'!$H$64+'Assumptions and Catalog'!$E$64+'Assumptions and Catalog'!$F$64,IF(((D543+E543)*C543-G543)&lt;='Assumptions and Catalog'!$C$65,((D543+E543)*C543-G543)*'Assumptions and Catalog'!$H$65+'Assumptions and Catalog'!$E$65+'Assumptions and Catalog'!$F$65,"Out of range")))))))))*(1+'Assumptions and Catalog'!$C$8)^(A543-1),0)</f>
        <v>7094.794</v>
      </c>
      <c r="R543" s="5" t="n">
        <f>IF(AND('Assumptions and Catalog'!$C$19&gt;0,A543&gt;='Assumptions and Catalog'!$C$19),A543-'Assumptions and Catalog'!$C$19,A543-1)</f>
        <v>1</v>
      </c>
      <c r="S543" s="5" t="n">
        <f>F543+L543-(D543+E543)*C543-J543-K543-IF(D$52&gt;0,'Assumptions and Catalog'!$C$26*C543,0)</f>
        <v>0</v>
      </c>
      <c r="T543" s="5"/>
      <c r="U543" s="5"/>
    </row>
    <row r="544" ht="23.100000381469727" customHeight="1">
      <c r="A544" s="5" t="n">
        <v>12</v>
      </c>
      <c r="B544" s="5" t="n">
        <v>2</v>
      </c>
      <c r="C544" s="5" t="n">
        <f>DAY(DATE('Assumptions and Catalog'!$C$24+A544-1,B544+1,0))</f>
        <v>28</v>
      </c>
      <c r="D544" s="5" t="n">
        <f>IF(ISNUMBER(Inputs!$L$5),Inputs!$L$5*Inputs!$L$6,0)</f>
        <v>40.35</v>
      </c>
      <c r="E544" s="5" t="n">
        <f>IF(ISNUMBER(Inputs!$L$5),Inputs!$L$5-D544,0)</f>
        <v>40.35</v>
      </c>
      <c r="F544" s="5" t="n">
        <f>D$51*'Assumptions and Catalog'!$C$31*C544*(1-'Assumptions and Catalog'!$C$10)^(A544-1)</f>
        <v>0</v>
      </c>
      <c r="G544" s="5" t="n">
        <f>MIN(F544,D544*C544)</f>
        <v>0</v>
      </c>
      <c r="H544" s="5" t="n">
        <f>I544/('Assumptions and Catalog'!$C$11*'Assumptions and Catalog'!$C$12)</f>
        <v>0</v>
      </c>
      <c r="I544" s="5" t="n">
        <f>IF(K$15="Grid cycle",MIN(K$16,D544+E544,P544*'Assumptions and Catalog'!$C$12,D$57*(24-'Assumptions and Catalog'!$C$15),D$56*'Assumptions and Catalog'!$C$15*'Assumptions and Catalog'!$C$11*'Assumptions and Catalog'!$C$12)*C544,0)</f>
        <v>0</v>
      </c>
      <c r="J544" s="5" t="n">
        <f>MAX(F544-G544-0,0)</f>
        <v>0</v>
      </c>
      <c r="K544" s="5" t="n">
        <f>H544-I544</f>
        <v>0</v>
      </c>
      <c r="L544" s="5" t="n">
        <f>(D544+E544)*C544-G544-I544+H544+IF(D$52&gt;0,'Assumptions and Catalog'!$C$26*C544,0)</f>
        <v>2259.6</v>
      </c>
      <c r="M544" s="5" t="n">
        <f>IF(ISNUMBER(Inputs!$L$5),(IF(Inputs!$L$9="Actual flat rate",((D544+E544)*C544)*Inputs!$L$10,IF(Inputs!$C$9="Residential",IF(((D544+E544)*C544)&lt;='Assumptions and Catalog'!$C$50,((D544+E544)*C544)*'Assumptions and Catalog'!$H$50+'Assumptions and Catalog'!$E$50+'Assumptions and Catalog'!$F$50,IF(((D544+E544)*C544)&lt;='Assumptions and Catalog'!$C$51,((D544+E544)*C544)*'Assumptions and Catalog'!$H$51+'Assumptions and Catalog'!$E$51+'Assumptions and Catalog'!$F$51,IF(((D544+E544)*C544)&lt;='Assumptions and Catalog'!$C$52,((D544+E544)*C544)*'Assumptions and Catalog'!$H$52+'Assumptions and Catalog'!$E$52+'Assumptions and Catalog'!$F$52,IF(((D544+E544)*C544)&lt;='Assumptions and Catalog'!$C$53,((D544+E544)*C544)*'Assumptions and Catalog'!$H$53+'Assumptions and Catalog'!$E$53+'Assumptions and Catalog'!$F$53,IF(((D544+E544)*C544)&lt;='Assumptions and Catalog'!$C$54,((D544+E544)*C544)*'Assumptions and Catalog'!$H$54+'Assumptions and Catalog'!$E$54+'Assumptions and Catalog'!$F$54,IF(((D544+E544)*C544)&lt;='Assumptions and Catalog'!$C$55,((D544+E544)*C544)*'Assumptions and Catalog'!$H$55+'Assumptions and Catalog'!$E$55+'Assumptions and Catalog'!$F$55,IF(((D544+E544)*C544)&lt;='Assumptions and Catalog'!$C$56,((D544+E544)*C544)*'Assumptions and Catalog'!$H$56+'Assumptions and Catalog'!$E$56+'Assumptions and Catalog'!$F$56,IF(((D544+E544)*C544)&lt;='Assumptions and Catalog'!$C$57,((D544+E544)*C544)*'Assumptions and Catalog'!$H$57+'Assumptions and Catalog'!$E$57+'Assumptions and Catalog'!$F$57,"Out of range")))))))),IF(((D544+E544)*C544)&lt;='Assumptions and Catalog'!$C$60,((D544+E544)*C544)*'Assumptions and Catalog'!$H$60+'Assumptions and Catalog'!$E$60+'Assumptions and Catalog'!$F$60,IF(((D544+E544)*C544)&lt;='Assumptions and Catalog'!$C$61,((D544+E544)*C544)*'Assumptions and Catalog'!$H$61+'Assumptions and Catalog'!$E$61+'Assumptions and Catalog'!$F$61,IF(((D544+E544)*C544)&lt;='Assumptions and Catalog'!$C$62,((D544+E544)*C544)*'Assumptions and Catalog'!$H$62+'Assumptions and Catalog'!$E$62+'Assumptions and Catalog'!$F$62,IF(((D544+E544)*C544)&lt;='Assumptions and Catalog'!$C$63,((D544+E544)*C544)*'Assumptions and Catalog'!$H$63+'Assumptions and Catalog'!$E$63+'Assumptions and Catalog'!$F$63,IF(((D544+E544)*C544)&lt;='Assumptions and Catalog'!$C$64,((D544+E544)*C544)*'Assumptions and Catalog'!$H$64+'Assumptions and Catalog'!$E$64+'Assumptions and Catalog'!$F$64,IF(((D544+E544)*C544)&lt;='Assumptions and Catalog'!$C$65,((D544+E544)*C544)*'Assumptions and Catalog'!$H$65+'Assumptions and Catalog'!$E$65+'Assumptions and Catalog'!$F$65,"Out of range")))))))))*(1+'Assumptions and Catalog'!$C$8)^(A544-1),0)</f>
        <v>6412.072</v>
      </c>
      <c r="N544" s="5" t="n">
        <f>IF(ISNUMBER(Inputs!$L$5),(IF(Inputs!$L$9="Actual flat rate",L544*Inputs!$L$10,IF(Inputs!$C$9="Residential",IF(L544&lt;='Assumptions and Catalog'!$C$50,L544*'Assumptions and Catalog'!$H$50+'Assumptions and Catalog'!$E$50+'Assumptions and Catalog'!$F$50,IF(L544&lt;='Assumptions and Catalog'!$C$51,L544*'Assumptions and Catalog'!$H$51+'Assumptions and Catalog'!$E$51+'Assumptions and Catalog'!$F$51,IF(L544&lt;='Assumptions and Catalog'!$C$52,L544*'Assumptions and Catalog'!$H$52+'Assumptions and Catalog'!$E$52+'Assumptions and Catalog'!$F$52,IF(L544&lt;='Assumptions and Catalog'!$C$53,L544*'Assumptions and Catalog'!$H$53+'Assumptions and Catalog'!$E$53+'Assumptions and Catalog'!$F$53,IF(L544&lt;='Assumptions and Catalog'!$C$54,L544*'Assumptions and Catalog'!$H$54+'Assumptions and Catalog'!$E$54+'Assumptions and Catalog'!$F$54,IF(L544&lt;='Assumptions and Catalog'!$C$55,L544*'Assumptions and Catalog'!$H$55+'Assumptions and Catalog'!$E$55+'Assumptions and Catalog'!$F$55,IF(L544&lt;='Assumptions and Catalog'!$C$56,L544*'Assumptions and Catalog'!$H$56+'Assumptions and Catalog'!$E$56+'Assumptions and Catalog'!$F$56,IF(L544&lt;='Assumptions and Catalog'!$C$57,L544*'Assumptions and Catalog'!$H$57+'Assumptions and Catalog'!$E$57+'Assumptions and Catalog'!$F$57,"Out of range")))))))),IF(L544&lt;='Assumptions and Catalog'!$C$60,L544*'Assumptions and Catalog'!$H$60+'Assumptions and Catalog'!$E$60+'Assumptions and Catalog'!$F$60,IF(L544&lt;='Assumptions and Catalog'!$C$61,L544*'Assumptions and Catalog'!$H$61+'Assumptions and Catalog'!$E$61+'Assumptions and Catalog'!$F$61,IF(L544&lt;='Assumptions and Catalog'!$C$62,L544*'Assumptions and Catalog'!$H$62+'Assumptions and Catalog'!$E$62+'Assumptions and Catalog'!$F$62,IF(L544&lt;='Assumptions and Catalog'!$C$63,L544*'Assumptions and Catalog'!$H$63+'Assumptions and Catalog'!$E$63+'Assumptions and Catalog'!$F$63,IF(L544&lt;='Assumptions and Catalog'!$C$64,L544*'Assumptions and Catalog'!$H$64+'Assumptions and Catalog'!$E$64+'Assumptions and Catalog'!$F$64,IF(L544&lt;='Assumptions and Catalog'!$C$65,L544*'Assumptions and Catalog'!$H$65+'Assumptions and Catalog'!$E$65+'Assumptions and Catalog'!$F$65,"Out of range")))))))))*(1+'Assumptions and Catalog'!$C$8)^(A544-1),0)</f>
        <v>6412.072</v>
      </c>
      <c r="O544" s="5" t="n">
        <f>M544-N544</f>
        <v>0</v>
      </c>
      <c r="P544" s="5" t="n">
        <f>D$55*(1-K$14)*(1-'Assumptions and Catalog'!$C$23)^R544</f>
        <v>0</v>
      </c>
      <c r="Q544" s="5" t="n">
        <f>IF(ISNUMBER(Inputs!$L$5),(IF(Inputs!$L$9="Actual flat rate",((D544+E544)*C544-G544)*Inputs!$L$10,IF(Inputs!$C$9="Residential",IF(((D544+E544)*C544-G544)&lt;='Assumptions and Catalog'!$C$50,((D544+E544)*C544-G544)*'Assumptions and Catalog'!$H$50+'Assumptions and Catalog'!$E$50+'Assumptions and Catalog'!$F$50,IF(((D544+E544)*C544-G544)&lt;='Assumptions and Catalog'!$C$51,((D544+E544)*C544-G544)*'Assumptions and Catalog'!$H$51+'Assumptions and Catalog'!$E$51+'Assumptions and Catalog'!$F$51,IF(((D544+E544)*C544-G544)&lt;='Assumptions and Catalog'!$C$52,((D544+E544)*C544-G544)*'Assumptions and Catalog'!$H$52+'Assumptions and Catalog'!$E$52+'Assumptions and Catalog'!$F$52,IF(((D544+E544)*C544-G544)&lt;='Assumptions and Catalog'!$C$53,((D544+E544)*C544-G544)*'Assumptions and Catalog'!$H$53+'Assumptions and Catalog'!$E$53+'Assumptions and Catalog'!$F$53,IF(((D544+E544)*C544-G544)&lt;='Assumptions and Catalog'!$C$54,((D544+E544)*C544-G544)*'Assumptions and Catalog'!$H$54+'Assumptions and Catalog'!$E$54+'Assumptions and Catalog'!$F$54,IF(((D544+E544)*C544-G544)&lt;='Assumptions and Catalog'!$C$55,((D544+E544)*C544-G544)*'Assumptions and Catalog'!$H$55+'Assumptions and Catalog'!$E$55+'Assumptions and Catalog'!$F$55,IF(((D544+E544)*C544-G544)&lt;='Assumptions and Catalog'!$C$56,((D544+E544)*C544-G544)*'Assumptions and Catalog'!$H$56+'Assumptions and Catalog'!$E$56+'Assumptions and Catalog'!$F$56,IF(((D544+E544)*C544-G544)&lt;='Assumptions and Catalog'!$C$57,((D544+E544)*C544-G544)*'Assumptions and Catalog'!$H$57+'Assumptions and Catalog'!$E$57+'Assumptions and Catalog'!$F$57,"Out of range")))))))),IF(((D544+E544)*C544-G544)&lt;='Assumptions and Catalog'!$C$60,((D544+E544)*C544-G544)*'Assumptions and Catalog'!$H$60+'Assumptions and Catalog'!$E$60+'Assumptions and Catalog'!$F$60,IF(((D544+E544)*C544-G544)&lt;='Assumptions and Catalog'!$C$61,((D544+E544)*C544-G544)*'Assumptions and Catalog'!$H$61+'Assumptions and Catalog'!$E$61+'Assumptions and Catalog'!$F$61,IF(((D544+E544)*C544-G544)&lt;='Assumptions and Catalog'!$C$62,((D544+E544)*C544-G544)*'Assumptions and Catalog'!$H$62+'Assumptions and Catalog'!$E$62+'Assumptions and Catalog'!$F$62,IF(((D544+E544)*C544-G544)&lt;='Assumptions and Catalog'!$C$63,((D544+E544)*C544-G544)*'Assumptions and Catalog'!$H$63+'Assumptions and Catalog'!$E$63+'Assumptions and Catalog'!$F$63,IF(((D544+E544)*C544-G544)&lt;='Assumptions and Catalog'!$C$64,((D544+E544)*C544-G544)*'Assumptions and Catalog'!$H$64+'Assumptions and Catalog'!$E$64+'Assumptions and Catalog'!$F$64,IF(((D544+E544)*C544-G544)&lt;='Assumptions and Catalog'!$C$65,((D544+E544)*C544-G544)*'Assumptions and Catalog'!$H$65+'Assumptions and Catalog'!$E$65+'Assumptions and Catalog'!$F$65,"Out of range")))))))))*(1+'Assumptions and Catalog'!$C$8)^(A544-1),0)</f>
        <v>6412.072</v>
      </c>
      <c r="R544" s="5" t="n">
        <f>IF(AND('Assumptions and Catalog'!$C$19&gt;0,A544&gt;='Assumptions and Catalog'!$C$19),A544-'Assumptions and Catalog'!$C$19,A544-1)</f>
        <v>1</v>
      </c>
      <c r="S544" s="5" t="n">
        <f>F544+L544-(D544+E544)*C544-J544-K544-IF(D$52&gt;0,'Assumptions and Catalog'!$C$26*C544,0)</f>
        <v>0</v>
      </c>
      <c r="T544" s="5"/>
      <c r="U544" s="5"/>
    </row>
    <row r="545" ht="23.100000381469727" customHeight="1">
      <c r="A545" s="5" t="n">
        <v>12</v>
      </c>
      <c r="B545" s="5" t="n">
        <v>3</v>
      </c>
      <c r="C545" s="5" t="n">
        <f>DAY(DATE('Assumptions and Catalog'!$C$24+A545-1,B545+1,0))</f>
        <v>31</v>
      </c>
      <c r="D545" s="5" t="n">
        <f>IF(ISNUMBER(Inputs!$L$5),Inputs!$L$5*Inputs!$L$6,0)</f>
        <v>40.35</v>
      </c>
      <c r="E545" s="5" t="n">
        <f>IF(ISNUMBER(Inputs!$L$5),Inputs!$L$5-D545,0)</f>
        <v>40.35</v>
      </c>
      <c r="F545" s="5" t="n">
        <f>D$51*'Assumptions and Catalog'!$C$31*C545*(1-'Assumptions and Catalog'!$C$10)^(A545-1)</f>
        <v>0</v>
      </c>
      <c r="G545" s="5" t="n">
        <f>MIN(F545,D545*C545)</f>
        <v>0</v>
      </c>
      <c r="H545" s="5" t="n">
        <f>I545/('Assumptions and Catalog'!$C$11*'Assumptions and Catalog'!$C$12)</f>
        <v>0</v>
      </c>
      <c r="I545" s="5" t="n">
        <f>IF(K$15="Grid cycle",MIN(K$16,D545+E545,P545*'Assumptions and Catalog'!$C$12,D$57*(24-'Assumptions and Catalog'!$C$15),D$56*'Assumptions and Catalog'!$C$15*'Assumptions and Catalog'!$C$11*'Assumptions and Catalog'!$C$12)*C545,0)</f>
        <v>0</v>
      </c>
      <c r="J545" s="5" t="n">
        <f>MAX(F545-G545-0,0)</f>
        <v>0</v>
      </c>
      <c r="K545" s="5" t="n">
        <f>H545-I545</f>
        <v>0</v>
      </c>
      <c r="L545" s="5" t="n">
        <f>(D545+E545)*C545-G545-I545+H545+IF(D$52&gt;0,'Assumptions and Catalog'!$C$26*C545,0)</f>
        <v>2501.7</v>
      </c>
      <c r="M545" s="5" t="n">
        <f>IF(ISNUMBER(Inputs!$L$5),(IF(Inputs!$L$9="Actual flat rate",((D545+E545)*C545)*Inputs!$L$10,IF(Inputs!$C$9="Residential",IF(((D545+E545)*C545)&lt;='Assumptions and Catalog'!$C$50,((D545+E545)*C545)*'Assumptions and Catalog'!$H$50+'Assumptions and Catalog'!$E$50+'Assumptions and Catalog'!$F$50,IF(((D545+E545)*C545)&lt;='Assumptions and Catalog'!$C$51,((D545+E545)*C545)*'Assumptions and Catalog'!$H$51+'Assumptions and Catalog'!$E$51+'Assumptions and Catalog'!$F$51,IF(((D545+E545)*C545)&lt;='Assumptions and Catalog'!$C$52,((D545+E545)*C545)*'Assumptions and Catalog'!$H$52+'Assumptions and Catalog'!$E$52+'Assumptions and Catalog'!$F$52,IF(((D545+E545)*C545)&lt;='Assumptions and Catalog'!$C$53,((D545+E545)*C545)*'Assumptions and Catalog'!$H$53+'Assumptions and Catalog'!$E$53+'Assumptions and Catalog'!$F$53,IF(((D545+E545)*C545)&lt;='Assumptions and Catalog'!$C$54,((D545+E545)*C545)*'Assumptions and Catalog'!$H$54+'Assumptions and Catalog'!$E$54+'Assumptions and Catalog'!$F$54,IF(((D545+E545)*C545)&lt;='Assumptions and Catalog'!$C$55,((D545+E545)*C545)*'Assumptions and Catalog'!$H$55+'Assumptions and Catalog'!$E$55+'Assumptions and Catalog'!$F$55,IF(((D545+E545)*C545)&lt;='Assumptions and Catalog'!$C$56,((D545+E545)*C545)*'Assumptions and Catalog'!$H$56+'Assumptions and Catalog'!$E$56+'Assumptions and Catalog'!$F$56,IF(((D545+E545)*C545)&lt;='Assumptions and Catalog'!$C$57,((D545+E545)*C545)*'Assumptions and Catalog'!$H$57+'Assumptions and Catalog'!$E$57+'Assumptions and Catalog'!$F$57,"Out of range")))))))),IF(((D545+E545)*C545)&lt;='Assumptions and Catalog'!$C$60,((D545+E545)*C545)*'Assumptions and Catalog'!$H$60+'Assumptions and Catalog'!$E$60+'Assumptions and Catalog'!$F$60,IF(((D545+E545)*C545)&lt;='Assumptions and Catalog'!$C$61,((D545+E545)*C545)*'Assumptions and Catalog'!$H$61+'Assumptions and Catalog'!$E$61+'Assumptions and Catalog'!$F$61,IF(((D545+E545)*C545)&lt;='Assumptions and Catalog'!$C$62,((D545+E545)*C545)*'Assumptions and Catalog'!$H$62+'Assumptions and Catalog'!$E$62+'Assumptions and Catalog'!$F$62,IF(((D545+E545)*C545)&lt;='Assumptions and Catalog'!$C$63,((D545+E545)*C545)*'Assumptions and Catalog'!$H$63+'Assumptions and Catalog'!$E$63+'Assumptions and Catalog'!$F$63,IF(((D545+E545)*C545)&lt;='Assumptions and Catalog'!$C$64,((D545+E545)*C545)*'Assumptions and Catalog'!$H$64+'Assumptions and Catalog'!$E$64+'Assumptions and Catalog'!$F$64,IF(((D545+E545)*C545)&lt;='Assumptions and Catalog'!$C$65,((D545+E545)*C545)*'Assumptions and Catalog'!$H$65+'Assumptions and Catalog'!$E$65+'Assumptions and Catalog'!$F$65,"Out of range")))))))))*(1+'Assumptions and Catalog'!$C$8)^(A545-1),0)</f>
        <v>7094.794</v>
      </c>
      <c r="N545" s="5" t="n">
        <f>IF(ISNUMBER(Inputs!$L$5),(IF(Inputs!$L$9="Actual flat rate",L545*Inputs!$L$10,IF(Inputs!$C$9="Residential",IF(L545&lt;='Assumptions and Catalog'!$C$50,L545*'Assumptions and Catalog'!$H$50+'Assumptions and Catalog'!$E$50+'Assumptions and Catalog'!$F$50,IF(L545&lt;='Assumptions and Catalog'!$C$51,L545*'Assumptions and Catalog'!$H$51+'Assumptions and Catalog'!$E$51+'Assumptions and Catalog'!$F$51,IF(L545&lt;='Assumptions and Catalog'!$C$52,L545*'Assumptions and Catalog'!$H$52+'Assumptions and Catalog'!$E$52+'Assumptions and Catalog'!$F$52,IF(L545&lt;='Assumptions and Catalog'!$C$53,L545*'Assumptions and Catalog'!$H$53+'Assumptions and Catalog'!$E$53+'Assumptions and Catalog'!$F$53,IF(L545&lt;='Assumptions and Catalog'!$C$54,L545*'Assumptions and Catalog'!$H$54+'Assumptions and Catalog'!$E$54+'Assumptions and Catalog'!$F$54,IF(L545&lt;='Assumptions and Catalog'!$C$55,L545*'Assumptions and Catalog'!$H$55+'Assumptions and Catalog'!$E$55+'Assumptions and Catalog'!$F$55,IF(L545&lt;='Assumptions and Catalog'!$C$56,L545*'Assumptions and Catalog'!$H$56+'Assumptions and Catalog'!$E$56+'Assumptions and Catalog'!$F$56,IF(L545&lt;='Assumptions and Catalog'!$C$57,L545*'Assumptions and Catalog'!$H$57+'Assumptions and Catalog'!$E$57+'Assumptions and Catalog'!$F$57,"Out of range")))))))),IF(L545&lt;='Assumptions and Catalog'!$C$60,L545*'Assumptions and Catalog'!$H$60+'Assumptions and Catalog'!$E$60+'Assumptions and Catalog'!$F$60,IF(L545&lt;='Assumptions and Catalog'!$C$61,L545*'Assumptions and Catalog'!$H$61+'Assumptions and Catalog'!$E$61+'Assumptions and Catalog'!$F$61,IF(L545&lt;='Assumptions and Catalog'!$C$62,L545*'Assumptions and Catalog'!$H$62+'Assumptions and Catalog'!$E$62+'Assumptions and Catalog'!$F$62,IF(L545&lt;='Assumptions and Catalog'!$C$63,L545*'Assumptions and Catalog'!$H$63+'Assumptions and Catalog'!$E$63+'Assumptions and Catalog'!$F$63,IF(L545&lt;='Assumptions and Catalog'!$C$64,L545*'Assumptions and Catalog'!$H$64+'Assumptions and Catalog'!$E$64+'Assumptions and Catalog'!$F$64,IF(L545&lt;='Assumptions and Catalog'!$C$65,L545*'Assumptions and Catalog'!$H$65+'Assumptions and Catalog'!$E$65+'Assumptions and Catalog'!$F$65,"Out of range")))))))))*(1+'Assumptions and Catalog'!$C$8)^(A545-1),0)</f>
        <v>7094.794</v>
      </c>
      <c r="O545" s="5" t="n">
        <f>M545-N545</f>
        <v>0</v>
      </c>
      <c r="P545" s="5" t="n">
        <f>D$55*(1-K$14)*(1-'Assumptions and Catalog'!$C$23)^R545</f>
        <v>0</v>
      </c>
      <c r="Q545" s="5" t="n">
        <f>IF(ISNUMBER(Inputs!$L$5),(IF(Inputs!$L$9="Actual flat rate",((D545+E545)*C545-G545)*Inputs!$L$10,IF(Inputs!$C$9="Residential",IF(((D545+E545)*C545-G545)&lt;='Assumptions and Catalog'!$C$50,((D545+E545)*C545-G545)*'Assumptions and Catalog'!$H$50+'Assumptions and Catalog'!$E$50+'Assumptions and Catalog'!$F$50,IF(((D545+E545)*C545-G545)&lt;='Assumptions and Catalog'!$C$51,((D545+E545)*C545-G545)*'Assumptions and Catalog'!$H$51+'Assumptions and Catalog'!$E$51+'Assumptions and Catalog'!$F$51,IF(((D545+E545)*C545-G545)&lt;='Assumptions and Catalog'!$C$52,((D545+E545)*C545-G545)*'Assumptions and Catalog'!$H$52+'Assumptions and Catalog'!$E$52+'Assumptions and Catalog'!$F$52,IF(((D545+E545)*C545-G545)&lt;='Assumptions and Catalog'!$C$53,((D545+E545)*C545-G545)*'Assumptions and Catalog'!$H$53+'Assumptions and Catalog'!$E$53+'Assumptions and Catalog'!$F$53,IF(((D545+E545)*C545-G545)&lt;='Assumptions and Catalog'!$C$54,((D545+E545)*C545-G545)*'Assumptions and Catalog'!$H$54+'Assumptions and Catalog'!$E$54+'Assumptions and Catalog'!$F$54,IF(((D545+E545)*C545-G545)&lt;='Assumptions and Catalog'!$C$55,((D545+E545)*C545-G545)*'Assumptions and Catalog'!$H$55+'Assumptions and Catalog'!$E$55+'Assumptions and Catalog'!$F$55,IF(((D545+E545)*C545-G545)&lt;='Assumptions and Catalog'!$C$56,((D545+E545)*C545-G545)*'Assumptions and Catalog'!$H$56+'Assumptions and Catalog'!$E$56+'Assumptions and Catalog'!$F$56,IF(((D545+E545)*C545-G545)&lt;='Assumptions and Catalog'!$C$57,((D545+E545)*C545-G545)*'Assumptions and Catalog'!$H$57+'Assumptions and Catalog'!$E$57+'Assumptions and Catalog'!$F$57,"Out of range")))))))),IF(((D545+E545)*C545-G545)&lt;='Assumptions and Catalog'!$C$60,((D545+E545)*C545-G545)*'Assumptions and Catalog'!$H$60+'Assumptions and Catalog'!$E$60+'Assumptions and Catalog'!$F$60,IF(((D545+E545)*C545-G545)&lt;='Assumptions and Catalog'!$C$61,((D545+E545)*C545-G545)*'Assumptions and Catalog'!$H$61+'Assumptions and Catalog'!$E$61+'Assumptions and Catalog'!$F$61,IF(((D545+E545)*C545-G545)&lt;='Assumptions and Catalog'!$C$62,((D545+E545)*C545-G545)*'Assumptions and Catalog'!$H$62+'Assumptions and Catalog'!$E$62+'Assumptions and Catalog'!$F$62,IF(((D545+E545)*C545-G545)&lt;='Assumptions and Catalog'!$C$63,((D545+E545)*C545-G545)*'Assumptions and Catalog'!$H$63+'Assumptions and Catalog'!$E$63+'Assumptions and Catalog'!$F$63,IF(((D545+E545)*C545-G545)&lt;='Assumptions and Catalog'!$C$64,((D545+E545)*C545-G545)*'Assumptions and Catalog'!$H$64+'Assumptions and Catalog'!$E$64+'Assumptions and Catalog'!$F$64,IF(((D545+E545)*C545-G545)&lt;='Assumptions and Catalog'!$C$65,((D545+E545)*C545-G545)*'Assumptions and Catalog'!$H$65+'Assumptions and Catalog'!$E$65+'Assumptions and Catalog'!$F$65,"Out of range")))))))))*(1+'Assumptions and Catalog'!$C$8)^(A545-1),0)</f>
        <v>7094.794</v>
      </c>
      <c r="R545" s="5" t="n">
        <f>IF(AND('Assumptions and Catalog'!$C$19&gt;0,A545&gt;='Assumptions and Catalog'!$C$19),A545-'Assumptions and Catalog'!$C$19,A545-1)</f>
        <v>1</v>
      </c>
      <c r="S545" s="5" t="n">
        <f>F545+L545-(D545+E545)*C545-J545-K545-IF(D$52&gt;0,'Assumptions and Catalog'!$C$26*C545,0)</f>
        <v>0</v>
      </c>
      <c r="T545" s="5"/>
      <c r="U545" s="5"/>
    </row>
    <row r="546" ht="23.100000381469727" customHeight="1">
      <c r="A546" s="5" t="n">
        <v>12</v>
      </c>
      <c r="B546" s="5" t="n">
        <v>4</v>
      </c>
      <c r="C546" s="5" t="n">
        <f>DAY(DATE('Assumptions and Catalog'!$C$24+A546-1,B546+1,0))</f>
        <v>30</v>
      </c>
      <c r="D546" s="5" t="n">
        <f>IF(ISNUMBER(Inputs!$L$5),Inputs!$L$5*Inputs!$L$6,0)</f>
        <v>40.35</v>
      </c>
      <c r="E546" s="5" t="n">
        <f>IF(ISNUMBER(Inputs!$L$5),Inputs!$L$5-D546,0)</f>
        <v>40.35</v>
      </c>
      <c r="F546" s="5" t="n">
        <f>D$51*'Assumptions and Catalog'!$C$31*C546*(1-'Assumptions and Catalog'!$C$10)^(A546-1)</f>
        <v>0</v>
      </c>
      <c r="G546" s="5" t="n">
        <f>MIN(F546,D546*C546)</f>
        <v>0</v>
      </c>
      <c r="H546" s="5" t="n">
        <f>I546/('Assumptions and Catalog'!$C$11*'Assumptions and Catalog'!$C$12)</f>
        <v>0</v>
      </c>
      <c r="I546" s="5" t="n">
        <f>IF(K$15="Grid cycle",MIN(K$16,D546+E546,P546*'Assumptions and Catalog'!$C$12,D$57*(24-'Assumptions and Catalog'!$C$15),D$56*'Assumptions and Catalog'!$C$15*'Assumptions and Catalog'!$C$11*'Assumptions and Catalog'!$C$12)*C546,0)</f>
        <v>0</v>
      </c>
      <c r="J546" s="5" t="n">
        <f>MAX(F546-G546-0,0)</f>
        <v>0</v>
      </c>
      <c r="K546" s="5" t="n">
        <f>H546-I546</f>
        <v>0</v>
      </c>
      <c r="L546" s="5" t="n">
        <f>(D546+E546)*C546-G546-I546+H546+IF(D$52&gt;0,'Assumptions and Catalog'!$C$26*C546,0)</f>
        <v>2421</v>
      </c>
      <c r="M546" s="5" t="n">
        <f>IF(ISNUMBER(Inputs!$L$5),(IF(Inputs!$L$9="Actual flat rate",((D546+E546)*C546)*Inputs!$L$10,IF(Inputs!$C$9="Residential",IF(((D546+E546)*C546)&lt;='Assumptions and Catalog'!$C$50,((D546+E546)*C546)*'Assumptions and Catalog'!$H$50+'Assumptions and Catalog'!$E$50+'Assumptions and Catalog'!$F$50,IF(((D546+E546)*C546)&lt;='Assumptions and Catalog'!$C$51,((D546+E546)*C546)*'Assumptions and Catalog'!$H$51+'Assumptions and Catalog'!$E$51+'Assumptions and Catalog'!$F$51,IF(((D546+E546)*C546)&lt;='Assumptions and Catalog'!$C$52,((D546+E546)*C546)*'Assumptions and Catalog'!$H$52+'Assumptions and Catalog'!$E$52+'Assumptions and Catalog'!$F$52,IF(((D546+E546)*C546)&lt;='Assumptions and Catalog'!$C$53,((D546+E546)*C546)*'Assumptions and Catalog'!$H$53+'Assumptions and Catalog'!$E$53+'Assumptions and Catalog'!$F$53,IF(((D546+E546)*C546)&lt;='Assumptions and Catalog'!$C$54,((D546+E546)*C546)*'Assumptions and Catalog'!$H$54+'Assumptions and Catalog'!$E$54+'Assumptions and Catalog'!$F$54,IF(((D546+E546)*C546)&lt;='Assumptions and Catalog'!$C$55,((D546+E546)*C546)*'Assumptions and Catalog'!$H$55+'Assumptions and Catalog'!$E$55+'Assumptions and Catalog'!$F$55,IF(((D546+E546)*C546)&lt;='Assumptions and Catalog'!$C$56,((D546+E546)*C546)*'Assumptions and Catalog'!$H$56+'Assumptions and Catalog'!$E$56+'Assumptions and Catalog'!$F$56,IF(((D546+E546)*C546)&lt;='Assumptions and Catalog'!$C$57,((D546+E546)*C546)*'Assumptions and Catalog'!$H$57+'Assumptions and Catalog'!$E$57+'Assumptions and Catalog'!$F$57,"Out of range")))))))),IF(((D546+E546)*C546)&lt;='Assumptions and Catalog'!$C$60,((D546+E546)*C546)*'Assumptions and Catalog'!$H$60+'Assumptions and Catalog'!$E$60+'Assumptions and Catalog'!$F$60,IF(((D546+E546)*C546)&lt;='Assumptions and Catalog'!$C$61,((D546+E546)*C546)*'Assumptions and Catalog'!$H$61+'Assumptions and Catalog'!$E$61+'Assumptions and Catalog'!$F$61,IF(((D546+E546)*C546)&lt;='Assumptions and Catalog'!$C$62,((D546+E546)*C546)*'Assumptions and Catalog'!$H$62+'Assumptions and Catalog'!$E$62+'Assumptions and Catalog'!$F$62,IF(((D546+E546)*C546)&lt;='Assumptions and Catalog'!$C$63,((D546+E546)*C546)*'Assumptions and Catalog'!$H$63+'Assumptions and Catalog'!$E$63+'Assumptions and Catalog'!$F$63,IF(((D546+E546)*C546)&lt;='Assumptions and Catalog'!$C$64,((D546+E546)*C546)*'Assumptions and Catalog'!$H$64+'Assumptions and Catalog'!$E$64+'Assumptions and Catalog'!$F$64,IF(((D546+E546)*C546)&lt;='Assumptions and Catalog'!$C$65,((D546+E546)*C546)*'Assumptions and Catalog'!$H$65+'Assumptions and Catalog'!$E$65+'Assumptions and Catalog'!$F$65,"Out of range")))))))))*(1+'Assumptions and Catalog'!$C$8)^(A546-1),0)</f>
        <v>6867.22</v>
      </c>
      <c r="N546" s="5" t="n">
        <f>IF(ISNUMBER(Inputs!$L$5),(IF(Inputs!$L$9="Actual flat rate",L546*Inputs!$L$10,IF(Inputs!$C$9="Residential",IF(L546&lt;='Assumptions and Catalog'!$C$50,L546*'Assumptions and Catalog'!$H$50+'Assumptions and Catalog'!$E$50+'Assumptions and Catalog'!$F$50,IF(L546&lt;='Assumptions and Catalog'!$C$51,L546*'Assumptions and Catalog'!$H$51+'Assumptions and Catalog'!$E$51+'Assumptions and Catalog'!$F$51,IF(L546&lt;='Assumptions and Catalog'!$C$52,L546*'Assumptions and Catalog'!$H$52+'Assumptions and Catalog'!$E$52+'Assumptions and Catalog'!$F$52,IF(L546&lt;='Assumptions and Catalog'!$C$53,L546*'Assumptions and Catalog'!$H$53+'Assumptions and Catalog'!$E$53+'Assumptions and Catalog'!$F$53,IF(L546&lt;='Assumptions and Catalog'!$C$54,L546*'Assumptions and Catalog'!$H$54+'Assumptions and Catalog'!$E$54+'Assumptions and Catalog'!$F$54,IF(L546&lt;='Assumptions and Catalog'!$C$55,L546*'Assumptions and Catalog'!$H$55+'Assumptions and Catalog'!$E$55+'Assumptions and Catalog'!$F$55,IF(L546&lt;='Assumptions and Catalog'!$C$56,L546*'Assumptions and Catalog'!$H$56+'Assumptions and Catalog'!$E$56+'Assumptions and Catalog'!$F$56,IF(L546&lt;='Assumptions and Catalog'!$C$57,L546*'Assumptions and Catalog'!$H$57+'Assumptions and Catalog'!$E$57+'Assumptions and Catalog'!$F$57,"Out of range")))))))),IF(L546&lt;='Assumptions and Catalog'!$C$60,L546*'Assumptions and Catalog'!$H$60+'Assumptions and Catalog'!$E$60+'Assumptions and Catalog'!$F$60,IF(L546&lt;='Assumptions and Catalog'!$C$61,L546*'Assumptions and Catalog'!$H$61+'Assumptions and Catalog'!$E$61+'Assumptions and Catalog'!$F$61,IF(L546&lt;='Assumptions and Catalog'!$C$62,L546*'Assumptions and Catalog'!$H$62+'Assumptions and Catalog'!$E$62+'Assumptions and Catalog'!$F$62,IF(L546&lt;='Assumptions and Catalog'!$C$63,L546*'Assumptions and Catalog'!$H$63+'Assumptions and Catalog'!$E$63+'Assumptions and Catalog'!$F$63,IF(L546&lt;='Assumptions and Catalog'!$C$64,L546*'Assumptions and Catalog'!$H$64+'Assumptions and Catalog'!$E$64+'Assumptions and Catalog'!$F$64,IF(L546&lt;='Assumptions and Catalog'!$C$65,L546*'Assumptions and Catalog'!$H$65+'Assumptions and Catalog'!$E$65+'Assumptions and Catalog'!$F$65,"Out of range")))))))))*(1+'Assumptions and Catalog'!$C$8)^(A546-1),0)</f>
        <v>6867.22</v>
      </c>
      <c r="O546" s="5" t="n">
        <f>M546-N546</f>
        <v>0</v>
      </c>
      <c r="P546" s="5" t="n">
        <f>D$55*(1-K$14)*(1-'Assumptions and Catalog'!$C$23)^R546</f>
        <v>0</v>
      </c>
      <c r="Q546" s="5" t="n">
        <f>IF(ISNUMBER(Inputs!$L$5),(IF(Inputs!$L$9="Actual flat rate",((D546+E546)*C546-G546)*Inputs!$L$10,IF(Inputs!$C$9="Residential",IF(((D546+E546)*C546-G546)&lt;='Assumptions and Catalog'!$C$50,((D546+E546)*C546-G546)*'Assumptions and Catalog'!$H$50+'Assumptions and Catalog'!$E$50+'Assumptions and Catalog'!$F$50,IF(((D546+E546)*C546-G546)&lt;='Assumptions and Catalog'!$C$51,((D546+E546)*C546-G546)*'Assumptions and Catalog'!$H$51+'Assumptions and Catalog'!$E$51+'Assumptions and Catalog'!$F$51,IF(((D546+E546)*C546-G546)&lt;='Assumptions and Catalog'!$C$52,((D546+E546)*C546-G546)*'Assumptions and Catalog'!$H$52+'Assumptions and Catalog'!$E$52+'Assumptions and Catalog'!$F$52,IF(((D546+E546)*C546-G546)&lt;='Assumptions and Catalog'!$C$53,((D546+E546)*C546-G546)*'Assumptions and Catalog'!$H$53+'Assumptions and Catalog'!$E$53+'Assumptions and Catalog'!$F$53,IF(((D546+E546)*C546-G546)&lt;='Assumptions and Catalog'!$C$54,((D546+E546)*C546-G546)*'Assumptions and Catalog'!$H$54+'Assumptions and Catalog'!$E$54+'Assumptions and Catalog'!$F$54,IF(((D546+E546)*C546-G546)&lt;='Assumptions and Catalog'!$C$55,((D546+E546)*C546-G546)*'Assumptions and Catalog'!$H$55+'Assumptions and Catalog'!$E$55+'Assumptions and Catalog'!$F$55,IF(((D546+E546)*C546-G546)&lt;='Assumptions and Catalog'!$C$56,((D546+E546)*C546-G546)*'Assumptions and Catalog'!$H$56+'Assumptions and Catalog'!$E$56+'Assumptions and Catalog'!$F$56,IF(((D546+E546)*C546-G546)&lt;='Assumptions and Catalog'!$C$57,((D546+E546)*C546-G546)*'Assumptions and Catalog'!$H$57+'Assumptions and Catalog'!$E$57+'Assumptions and Catalog'!$F$57,"Out of range")))))))),IF(((D546+E546)*C546-G546)&lt;='Assumptions and Catalog'!$C$60,((D546+E546)*C546-G546)*'Assumptions and Catalog'!$H$60+'Assumptions and Catalog'!$E$60+'Assumptions and Catalog'!$F$60,IF(((D546+E546)*C546-G546)&lt;='Assumptions and Catalog'!$C$61,((D546+E546)*C546-G546)*'Assumptions and Catalog'!$H$61+'Assumptions and Catalog'!$E$61+'Assumptions and Catalog'!$F$61,IF(((D546+E546)*C546-G546)&lt;='Assumptions and Catalog'!$C$62,((D546+E546)*C546-G546)*'Assumptions and Catalog'!$H$62+'Assumptions and Catalog'!$E$62+'Assumptions and Catalog'!$F$62,IF(((D546+E546)*C546-G546)&lt;='Assumptions and Catalog'!$C$63,((D546+E546)*C546-G546)*'Assumptions and Catalog'!$H$63+'Assumptions and Catalog'!$E$63+'Assumptions and Catalog'!$F$63,IF(((D546+E546)*C546-G546)&lt;='Assumptions and Catalog'!$C$64,((D546+E546)*C546-G546)*'Assumptions and Catalog'!$H$64+'Assumptions and Catalog'!$E$64+'Assumptions and Catalog'!$F$64,IF(((D546+E546)*C546-G546)&lt;='Assumptions and Catalog'!$C$65,((D546+E546)*C546-G546)*'Assumptions and Catalog'!$H$65+'Assumptions and Catalog'!$E$65+'Assumptions and Catalog'!$F$65,"Out of range")))))))))*(1+'Assumptions and Catalog'!$C$8)^(A546-1),0)</f>
        <v>6867.22</v>
      </c>
      <c r="R546" s="5" t="n">
        <f>IF(AND('Assumptions and Catalog'!$C$19&gt;0,A546&gt;='Assumptions and Catalog'!$C$19),A546-'Assumptions and Catalog'!$C$19,A546-1)</f>
        <v>1</v>
      </c>
      <c r="S546" s="5" t="n">
        <f>F546+L546-(D546+E546)*C546-J546-K546-IF(D$52&gt;0,'Assumptions and Catalog'!$C$26*C546,0)</f>
        <v>0</v>
      </c>
      <c r="T546" s="5"/>
      <c r="U546" s="5"/>
    </row>
    <row r="547" ht="23.100000381469727" customHeight="1">
      <c r="A547" s="5" t="n">
        <v>12</v>
      </c>
      <c r="B547" s="5" t="n">
        <v>5</v>
      </c>
      <c r="C547" s="5" t="n">
        <f>DAY(DATE('Assumptions and Catalog'!$C$24+A547-1,B547+1,0))</f>
        <v>31</v>
      </c>
      <c r="D547" s="5" t="n">
        <f>IF(ISNUMBER(Inputs!$L$5),Inputs!$L$5*Inputs!$L$6,0)</f>
        <v>40.35</v>
      </c>
      <c r="E547" s="5" t="n">
        <f>IF(ISNUMBER(Inputs!$L$5),Inputs!$L$5-D547,0)</f>
        <v>40.35</v>
      </c>
      <c r="F547" s="5" t="n">
        <f>D$51*'Assumptions and Catalog'!$C$31*C547*(1-'Assumptions and Catalog'!$C$10)^(A547-1)</f>
        <v>0</v>
      </c>
      <c r="G547" s="5" t="n">
        <f>MIN(F547,D547*C547)</f>
        <v>0</v>
      </c>
      <c r="H547" s="5" t="n">
        <f>I547/('Assumptions and Catalog'!$C$11*'Assumptions and Catalog'!$C$12)</f>
        <v>0</v>
      </c>
      <c r="I547" s="5" t="n">
        <f>IF(K$15="Grid cycle",MIN(K$16,D547+E547,P547*'Assumptions and Catalog'!$C$12,D$57*(24-'Assumptions and Catalog'!$C$15),D$56*'Assumptions and Catalog'!$C$15*'Assumptions and Catalog'!$C$11*'Assumptions and Catalog'!$C$12)*C547,0)</f>
        <v>0</v>
      </c>
      <c r="J547" s="5" t="n">
        <f>MAX(F547-G547-0,0)</f>
        <v>0</v>
      </c>
      <c r="K547" s="5" t="n">
        <f>H547-I547</f>
        <v>0</v>
      </c>
      <c r="L547" s="5" t="n">
        <f>(D547+E547)*C547-G547-I547+H547+IF(D$52&gt;0,'Assumptions and Catalog'!$C$26*C547,0)</f>
        <v>2501.7</v>
      </c>
      <c r="M547" s="5" t="n">
        <f>IF(ISNUMBER(Inputs!$L$5),(IF(Inputs!$L$9="Actual flat rate",((D547+E547)*C547)*Inputs!$L$10,IF(Inputs!$C$9="Residential",IF(((D547+E547)*C547)&lt;='Assumptions and Catalog'!$C$50,((D547+E547)*C547)*'Assumptions and Catalog'!$H$50+'Assumptions and Catalog'!$E$50+'Assumptions and Catalog'!$F$50,IF(((D547+E547)*C547)&lt;='Assumptions and Catalog'!$C$51,((D547+E547)*C547)*'Assumptions and Catalog'!$H$51+'Assumptions and Catalog'!$E$51+'Assumptions and Catalog'!$F$51,IF(((D547+E547)*C547)&lt;='Assumptions and Catalog'!$C$52,((D547+E547)*C547)*'Assumptions and Catalog'!$H$52+'Assumptions and Catalog'!$E$52+'Assumptions and Catalog'!$F$52,IF(((D547+E547)*C547)&lt;='Assumptions and Catalog'!$C$53,((D547+E547)*C547)*'Assumptions and Catalog'!$H$53+'Assumptions and Catalog'!$E$53+'Assumptions and Catalog'!$F$53,IF(((D547+E547)*C547)&lt;='Assumptions and Catalog'!$C$54,((D547+E547)*C547)*'Assumptions and Catalog'!$H$54+'Assumptions and Catalog'!$E$54+'Assumptions and Catalog'!$F$54,IF(((D547+E547)*C547)&lt;='Assumptions and Catalog'!$C$55,((D547+E547)*C547)*'Assumptions and Catalog'!$H$55+'Assumptions and Catalog'!$E$55+'Assumptions and Catalog'!$F$55,IF(((D547+E547)*C547)&lt;='Assumptions and Catalog'!$C$56,((D547+E547)*C547)*'Assumptions and Catalog'!$H$56+'Assumptions and Catalog'!$E$56+'Assumptions and Catalog'!$F$56,IF(((D547+E547)*C547)&lt;='Assumptions and Catalog'!$C$57,((D547+E547)*C547)*'Assumptions and Catalog'!$H$57+'Assumptions and Catalog'!$E$57+'Assumptions and Catalog'!$F$57,"Out of range")))))))),IF(((D547+E547)*C547)&lt;='Assumptions and Catalog'!$C$60,((D547+E547)*C547)*'Assumptions and Catalog'!$H$60+'Assumptions and Catalog'!$E$60+'Assumptions and Catalog'!$F$60,IF(((D547+E547)*C547)&lt;='Assumptions and Catalog'!$C$61,((D547+E547)*C547)*'Assumptions and Catalog'!$H$61+'Assumptions and Catalog'!$E$61+'Assumptions and Catalog'!$F$61,IF(((D547+E547)*C547)&lt;='Assumptions and Catalog'!$C$62,((D547+E547)*C547)*'Assumptions and Catalog'!$H$62+'Assumptions and Catalog'!$E$62+'Assumptions and Catalog'!$F$62,IF(((D547+E547)*C547)&lt;='Assumptions and Catalog'!$C$63,((D547+E547)*C547)*'Assumptions and Catalog'!$H$63+'Assumptions and Catalog'!$E$63+'Assumptions and Catalog'!$F$63,IF(((D547+E547)*C547)&lt;='Assumptions and Catalog'!$C$64,((D547+E547)*C547)*'Assumptions and Catalog'!$H$64+'Assumptions and Catalog'!$E$64+'Assumptions and Catalog'!$F$64,IF(((D547+E547)*C547)&lt;='Assumptions and Catalog'!$C$65,((D547+E547)*C547)*'Assumptions and Catalog'!$H$65+'Assumptions and Catalog'!$E$65+'Assumptions and Catalog'!$F$65,"Out of range")))))))))*(1+'Assumptions and Catalog'!$C$8)^(A547-1),0)</f>
        <v>7094.794</v>
      </c>
      <c r="N547" s="5" t="n">
        <f>IF(ISNUMBER(Inputs!$L$5),(IF(Inputs!$L$9="Actual flat rate",L547*Inputs!$L$10,IF(Inputs!$C$9="Residential",IF(L547&lt;='Assumptions and Catalog'!$C$50,L547*'Assumptions and Catalog'!$H$50+'Assumptions and Catalog'!$E$50+'Assumptions and Catalog'!$F$50,IF(L547&lt;='Assumptions and Catalog'!$C$51,L547*'Assumptions and Catalog'!$H$51+'Assumptions and Catalog'!$E$51+'Assumptions and Catalog'!$F$51,IF(L547&lt;='Assumptions and Catalog'!$C$52,L547*'Assumptions and Catalog'!$H$52+'Assumptions and Catalog'!$E$52+'Assumptions and Catalog'!$F$52,IF(L547&lt;='Assumptions and Catalog'!$C$53,L547*'Assumptions and Catalog'!$H$53+'Assumptions and Catalog'!$E$53+'Assumptions and Catalog'!$F$53,IF(L547&lt;='Assumptions and Catalog'!$C$54,L547*'Assumptions and Catalog'!$H$54+'Assumptions and Catalog'!$E$54+'Assumptions and Catalog'!$F$54,IF(L547&lt;='Assumptions and Catalog'!$C$55,L547*'Assumptions and Catalog'!$H$55+'Assumptions and Catalog'!$E$55+'Assumptions and Catalog'!$F$55,IF(L547&lt;='Assumptions and Catalog'!$C$56,L547*'Assumptions and Catalog'!$H$56+'Assumptions and Catalog'!$E$56+'Assumptions and Catalog'!$F$56,IF(L547&lt;='Assumptions and Catalog'!$C$57,L547*'Assumptions and Catalog'!$H$57+'Assumptions and Catalog'!$E$57+'Assumptions and Catalog'!$F$57,"Out of range")))))))),IF(L547&lt;='Assumptions and Catalog'!$C$60,L547*'Assumptions and Catalog'!$H$60+'Assumptions and Catalog'!$E$60+'Assumptions and Catalog'!$F$60,IF(L547&lt;='Assumptions and Catalog'!$C$61,L547*'Assumptions and Catalog'!$H$61+'Assumptions and Catalog'!$E$61+'Assumptions and Catalog'!$F$61,IF(L547&lt;='Assumptions and Catalog'!$C$62,L547*'Assumptions and Catalog'!$H$62+'Assumptions and Catalog'!$E$62+'Assumptions and Catalog'!$F$62,IF(L547&lt;='Assumptions and Catalog'!$C$63,L547*'Assumptions and Catalog'!$H$63+'Assumptions and Catalog'!$E$63+'Assumptions and Catalog'!$F$63,IF(L547&lt;='Assumptions and Catalog'!$C$64,L547*'Assumptions and Catalog'!$H$64+'Assumptions and Catalog'!$E$64+'Assumptions and Catalog'!$F$64,IF(L547&lt;='Assumptions and Catalog'!$C$65,L547*'Assumptions and Catalog'!$H$65+'Assumptions and Catalog'!$E$65+'Assumptions and Catalog'!$F$65,"Out of range")))))))))*(1+'Assumptions and Catalog'!$C$8)^(A547-1),0)</f>
        <v>7094.794</v>
      </c>
      <c r="O547" s="5" t="n">
        <f>M547-N547</f>
        <v>0</v>
      </c>
      <c r="P547" s="5" t="n">
        <f>D$55*(1-K$14)*(1-'Assumptions and Catalog'!$C$23)^R547</f>
        <v>0</v>
      </c>
      <c r="Q547" s="5" t="n">
        <f>IF(ISNUMBER(Inputs!$L$5),(IF(Inputs!$L$9="Actual flat rate",((D547+E547)*C547-G547)*Inputs!$L$10,IF(Inputs!$C$9="Residential",IF(((D547+E547)*C547-G547)&lt;='Assumptions and Catalog'!$C$50,((D547+E547)*C547-G547)*'Assumptions and Catalog'!$H$50+'Assumptions and Catalog'!$E$50+'Assumptions and Catalog'!$F$50,IF(((D547+E547)*C547-G547)&lt;='Assumptions and Catalog'!$C$51,((D547+E547)*C547-G547)*'Assumptions and Catalog'!$H$51+'Assumptions and Catalog'!$E$51+'Assumptions and Catalog'!$F$51,IF(((D547+E547)*C547-G547)&lt;='Assumptions and Catalog'!$C$52,((D547+E547)*C547-G547)*'Assumptions and Catalog'!$H$52+'Assumptions and Catalog'!$E$52+'Assumptions and Catalog'!$F$52,IF(((D547+E547)*C547-G547)&lt;='Assumptions and Catalog'!$C$53,((D547+E547)*C547-G547)*'Assumptions and Catalog'!$H$53+'Assumptions and Catalog'!$E$53+'Assumptions and Catalog'!$F$53,IF(((D547+E547)*C547-G547)&lt;='Assumptions and Catalog'!$C$54,((D547+E547)*C547-G547)*'Assumptions and Catalog'!$H$54+'Assumptions and Catalog'!$E$54+'Assumptions and Catalog'!$F$54,IF(((D547+E547)*C547-G547)&lt;='Assumptions and Catalog'!$C$55,((D547+E547)*C547-G547)*'Assumptions and Catalog'!$H$55+'Assumptions and Catalog'!$E$55+'Assumptions and Catalog'!$F$55,IF(((D547+E547)*C547-G547)&lt;='Assumptions and Catalog'!$C$56,((D547+E547)*C547-G547)*'Assumptions and Catalog'!$H$56+'Assumptions and Catalog'!$E$56+'Assumptions and Catalog'!$F$56,IF(((D547+E547)*C547-G547)&lt;='Assumptions and Catalog'!$C$57,((D547+E547)*C547-G547)*'Assumptions and Catalog'!$H$57+'Assumptions and Catalog'!$E$57+'Assumptions and Catalog'!$F$57,"Out of range")))))))),IF(((D547+E547)*C547-G547)&lt;='Assumptions and Catalog'!$C$60,((D547+E547)*C547-G547)*'Assumptions and Catalog'!$H$60+'Assumptions and Catalog'!$E$60+'Assumptions and Catalog'!$F$60,IF(((D547+E547)*C547-G547)&lt;='Assumptions and Catalog'!$C$61,((D547+E547)*C547-G547)*'Assumptions and Catalog'!$H$61+'Assumptions and Catalog'!$E$61+'Assumptions and Catalog'!$F$61,IF(((D547+E547)*C547-G547)&lt;='Assumptions and Catalog'!$C$62,((D547+E547)*C547-G547)*'Assumptions and Catalog'!$H$62+'Assumptions and Catalog'!$E$62+'Assumptions and Catalog'!$F$62,IF(((D547+E547)*C547-G547)&lt;='Assumptions and Catalog'!$C$63,((D547+E547)*C547-G547)*'Assumptions and Catalog'!$H$63+'Assumptions and Catalog'!$E$63+'Assumptions and Catalog'!$F$63,IF(((D547+E547)*C547-G547)&lt;='Assumptions and Catalog'!$C$64,((D547+E547)*C547-G547)*'Assumptions and Catalog'!$H$64+'Assumptions and Catalog'!$E$64+'Assumptions and Catalog'!$F$64,IF(((D547+E547)*C547-G547)&lt;='Assumptions and Catalog'!$C$65,((D547+E547)*C547-G547)*'Assumptions and Catalog'!$H$65+'Assumptions and Catalog'!$E$65+'Assumptions and Catalog'!$F$65,"Out of range")))))))))*(1+'Assumptions and Catalog'!$C$8)^(A547-1),0)</f>
        <v>7094.794</v>
      </c>
      <c r="R547" s="5" t="n">
        <f>IF(AND('Assumptions and Catalog'!$C$19&gt;0,A547&gt;='Assumptions and Catalog'!$C$19),A547-'Assumptions and Catalog'!$C$19,A547-1)</f>
        <v>1</v>
      </c>
      <c r="S547" s="5" t="n">
        <f>F547+L547-(D547+E547)*C547-J547-K547-IF(D$52&gt;0,'Assumptions and Catalog'!$C$26*C547,0)</f>
        <v>0</v>
      </c>
      <c r="T547" s="5"/>
      <c r="U547" s="5"/>
    </row>
    <row r="548" ht="23.100000381469727" customHeight="1">
      <c r="A548" s="5" t="n">
        <v>12</v>
      </c>
      <c r="B548" s="5" t="n">
        <v>6</v>
      </c>
      <c r="C548" s="5" t="n">
        <f>DAY(DATE('Assumptions and Catalog'!$C$24+A548-1,B548+1,0))</f>
        <v>30</v>
      </c>
      <c r="D548" s="5" t="n">
        <f>IF(ISNUMBER(Inputs!$L$5),Inputs!$L$5*Inputs!$L$6,0)</f>
        <v>40.35</v>
      </c>
      <c r="E548" s="5" t="n">
        <f>IF(ISNUMBER(Inputs!$L$5),Inputs!$L$5-D548,0)</f>
        <v>40.35</v>
      </c>
      <c r="F548" s="5" t="n">
        <f>D$51*'Assumptions and Catalog'!$C$31*C548*(1-'Assumptions and Catalog'!$C$10)^(A548-1)</f>
        <v>0</v>
      </c>
      <c r="G548" s="5" t="n">
        <f>MIN(F548,D548*C548)</f>
        <v>0</v>
      </c>
      <c r="H548" s="5" t="n">
        <f>I548/('Assumptions and Catalog'!$C$11*'Assumptions and Catalog'!$C$12)</f>
        <v>0</v>
      </c>
      <c r="I548" s="5" t="n">
        <f>IF(K$15="Grid cycle",MIN(K$16,D548+E548,P548*'Assumptions and Catalog'!$C$12,D$57*(24-'Assumptions and Catalog'!$C$15),D$56*'Assumptions and Catalog'!$C$15*'Assumptions and Catalog'!$C$11*'Assumptions and Catalog'!$C$12)*C548,0)</f>
        <v>0</v>
      </c>
      <c r="J548" s="5" t="n">
        <f>MAX(F548-G548-0,0)</f>
        <v>0</v>
      </c>
      <c r="K548" s="5" t="n">
        <f>H548-I548</f>
        <v>0</v>
      </c>
      <c r="L548" s="5" t="n">
        <f>(D548+E548)*C548-G548-I548+H548+IF(D$52&gt;0,'Assumptions and Catalog'!$C$26*C548,0)</f>
        <v>2421</v>
      </c>
      <c r="M548" s="5" t="n">
        <f>IF(ISNUMBER(Inputs!$L$5),(IF(Inputs!$L$9="Actual flat rate",((D548+E548)*C548)*Inputs!$L$10,IF(Inputs!$C$9="Residential",IF(((D548+E548)*C548)&lt;='Assumptions and Catalog'!$C$50,((D548+E548)*C548)*'Assumptions and Catalog'!$H$50+'Assumptions and Catalog'!$E$50+'Assumptions and Catalog'!$F$50,IF(((D548+E548)*C548)&lt;='Assumptions and Catalog'!$C$51,((D548+E548)*C548)*'Assumptions and Catalog'!$H$51+'Assumptions and Catalog'!$E$51+'Assumptions and Catalog'!$F$51,IF(((D548+E548)*C548)&lt;='Assumptions and Catalog'!$C$52,((D548+E548)*C548)*'Assumptions and Catalog'!$H$52+'Assumptions and Catalog'!$E$52+'Assumptions and Catalog'!$F$52,IF(((D548+E548)*C548)&lt;='Assumptions and Catalog'!$C$53,((D548+E548)*C548)*'Assumptions and Catalog'!$H$53+'Assumptions and Catalog'!$E$53+'Assumptions and Catalog'!$F$53,IF(((D548+E548)*C548)&lt;='Assumptions and Catalog'!$C$54,((D548+E548)*C548)*'Assumptions and Catalog'!$H$54+'Assumptions and Catalog'!$E$54+'Assumptions and Catalog'!$F$54,IF(((D548+E548)*C548)&lt;='Assumptions and Catalog'!$C$55,((D548+E548)*C548)*'Assumptions and Catalog'!$H$55+'Assumptions and Catalog'!$E$55+'Assumptions and Catalog'!$F$55,IF(((D548+E548)*C548)&lt;='Assumptions and Catalog'!$C$56,((D548+E548)*C548)*'Assumptions and Catalog'!$H$56+'Assumptions and Catalog'!$E$56+'Assumptions and Catalog'!$F$56,IF(((D548+E548)*C548)&lt;='Assumptions and Catalog'!$C$57,((D548+E548)*C548)*'Assumptions and Catalog'!$H$57+'Assumptions and Catalog'!$E$57+'Assumptions and Catalog'!$F$57,"Out of range")))))))),IF(((D548+E548)*C548)&lt;='Assumptions and Catalog'!$C$60,((D548+E548)*C548)*'Assumptions and Catalog'!$H$60+'Assumptions and Catalog'!$E$60+'Assumptions and Catalog'!$F$60,IF(((D548+E548)*C548)&lt;='Assumptions and Catalog'!$C$61,((D548+E548)*C548)*'Assumptions and Catalog'!$H$61+'Assumptions and Catalog'!$E$61+'Assumptions and Catalog'!$F$61,IF(((D548+E548)*C548)&lt;='Assumptions and Catalog'!$C$62,((D548+E548)*C548)*'Assumptions and Catalog'!$H$62+'Assumptions and Catalog'!$E$62+'Assumptions and Catalog'!$F$62,IF(((D548+E548)*C548)&lt;='Assumptions and Catalog'!$C$63,((D548+E548)*C548)*'Assumptions and Catalog'!$H$63+'Assumptions and Catalog'!$E$63+'Assumptions and Catalog'!$F$63,IF(((D548+E548)*C548)&lt;='Assumptions and Catalog'!$C$64,((D548+E548)*C548)*'Assumptions and Catalog'!$H$64+'Assumptions and Catalog'!$E$64+'Assumptions and Catalog'!$F$64,IF(((D548+E548)*C548)&lt;='Assumptions and Catalog'!$C$65,((D548+E548)*C548)*'Assumptions and Catalog'!$H$65+'Assumptions and Catalog'!$E$65+'Assumptions and Catalog'!$F$65,"Out of range")))))))))*(1+'Assumptions and Catalog'!$C$8)^(A548-1),0)</f>
        <v>6867.22</v>
      </c>
      <c r="N548" s="5" t="n">
        <f>IF(ISNUMBER(Inputs!$L$5),(IF(Inputs!$L$9="Actual flat rate",L548*Inputs!$L$10,IF(Inputs!$C$9="Residential",IF(L548&lt;='Assumptions and Catalog'!$C$50,L548*'Assumptions and Catalog'!$H$50+'Assumptions and Catalog'!$E$50+'Assumptions and Catalog'!$F$50,IF(L548&lt;='Assumptions and Catalog'!$C$51,L548*'Assumptions and Catalog'!$H$51+'Assumptions and Catalog'!$E$51+'Assumptions and Catalog'!$F$51,IF(L548&lt;='Assumptions and Catalog'!$C$52,L548*'Assumptions and Catalog'!$H$52+'Assumptions and Catalog'!$E$52+'Assumptions and Catalog'!$F$52,IF(L548&lt;='Assumptions and Catalog'!$C$53,L548*'Assumptions and Catalog'!$H$53+'Assumptions and Catalog'!$E$53+'Assumptions and Catalog'!$F$53,IF(L548&lt;='Assumptions and Catalog'!$C$54,L548*'Assumptions and Catalog'!$H$54+'Assumptions and Catalog'!$E$54+'Assumptions and Catalog'!$F$54,IF(L548&lt;='Assumptions and Catalog'!$C$55,L548*'Assumptions and Catalog'!$H$55+'Assumptions and Catalog'!$E$55+'Assumptions and Catalog'!$F$55,IF(L548&lt;='Assumptions and Catalog'!$C$56,L548*'Assumptions and Catalog'!$H$56+'Assumptions and Catalog'!$E$56+'Assumptions and Catalog'!$F$56,IF(L548&lt;='Assumptions and Catalog'!$C$57,L548*'Assumptions and Catalog'!$H$57+'Assumptions and Catalog'!$E$57+'Assumptions and Catalog'!$F$57,"Out of range")))))))),IF(L548&lt;='Assumptions and Catalog'!$C$60,L548*'Assumptions and Catalog'!$H$60+'Assumptions and Catalog'!$E$60+'Assumptions and Catalog'!$F$60,IF(L548&lt;='Assumptions and Catalog'!$C$61,L548*'Assumptions and Catalog'!$H$61+'Assumptions and Catalog'!$E$61+'Assumptions and Catalog'!$F$61,IF(L548&lt;='Assumptions and Catalog'!$C$62,L548*'Assumptions and Catalog'!$H$62+'Assumptions and Catalog'!$E$62+'Assumptions and Catalog'!$F$62,IF(L548&lt;='Assumptions and Catalog'!$C$63,L548*'Assumptions and Catalog'!$H$63+'Assumptions and Catalog'!$E$63+'Assumptions and Catalog'!$F$63,IF(L548&lt;='Assumptions and Catalog'!$C$64,L548*'Assumptions and Catalog'!$H$64+'Assumptions and Catalog'!$E$64+'Assumptions and Catalog'!$F$64,IF(L548&lt;='Assumptions and Catalog'!$C$65,L548*'Assumptions and Catalog'!$H$65+'Assumptions and Catalog'!$E$65+'Assumptions and Catalog'!$F$65,"Out of range")))))))))*(1+'Assumptions and Catalog'!$C$8)^(A548-1),0)</f>
        <v>6867.22</v>
      </c>
      <c r="O548" s="5" t="n">
        <f>M548-N548</f>
        <v>0</v>
      </c>
      <c r="P548" s="5" t="n">
        <f>D$55*(1-K$14)*(1-'Assumptions and Catalog'!$C$23)^R548</f>
        <v>0</v>
      </c>
      <c r="Q548" s="5" t="n">
        <f>IF(ISNUMBER(Inputs!$L$5),(IF(Inputs!$L$9="Actual flat rate",((D548+E548)*C548-G548)*Inputs!$L$10,IF(Inputs!$C$9="Residential",IF(((D548+E548)*C548-G548)&lt;='Assumptions and Catalog'!$C$50,((D548+E548)*C548-G548)*'Assumptions and Catalog'!$H$50+'Assumptions and Catalog'!$E$50+'Assumptions and Catalog'!$F$50,IF(((D548+E548)*C548-G548)&lt;='Assumptions and Catalog'!$C$51,((D548+E548)*C548-G548)*'Assumptions and Catalog'!$H$51+'Assumptions and Catalog'!$E$51+'Assumptions and Catalog'!$F$51,IF(((D548+E548)*C548-G548)&lt;='Assumptions and Catalog'!$C$52,((D548+E548)*C548-G548)*'Assumptions and Catalog'!$H$52+'Assumptions and Catalog'!$E$52+'Assumptions and Catalog'!$F$52,IF(((D548+E548)*C548-G548)&lt;='Assumptions and Catalog'!$C$53,((D548+E548)*C548-G548)*'Assumptions and Catalog'!$H$53+'Assumptions and Catalog'!$E$53+'Assumptions and Catalog'!$F$53,IF(((D548+E548)*C548-G548)&lt;='Assumptions and Catalog'!$C$54,((D548+E548)*C548-G548)*'Assumptions and Catalog'!$H$54+'Assumptions and Catalog'!$E$54+'Assumptions and Catalog'!$F$54,IF(((D548+E548)*C548-G548)&lt;='Assumptions and Catalog'!$C$55,((D548+E548)*C548-G548)*'Assumptions and Catalog'!$H$55+'Assumptions and Catalog'!$E$55+'Assumptions and Catalog'!$F$55,IF(((D548+E548)*C548-G548)&lt;='Assumptions and Catalog'!$C$56,((D548+E548)*C548-G548)*'Assumptions and Catalog'!$H$56+'Assumptions and Catalog'!$E$56+'Assumptions and Catalog'!$F$56,IF(((D548+E548)*C548-G548)&lt;='Assumptions and Catalog'!$C$57,((D548+E548)*C548-G548)*'Assumptions and Catalog'!$H$57+'Assumptions and Catalog'!$E$57+'Assumptions and Catalog'!$F$57,"Out of range")))))))),IF(((D548+E548)*C548-G548)&lt;='Assumptions and Catalog'!$C$60,((D548+E548)*C548-G548)*'Assumptions and Catalog'!$H$60+'Assumptions and Catalog'!$E$60+'Assumptions and Catalog'!$F$60,IF(((D548+E548)*C548-G548)&lt;='Assumptions and Catalog'!$C$61,((D548+E548)*C548-G548)*'Assumptions and Catalog'!$H$61+'Assumptions and Catalog'!$E$61+'Assumptions and Catalog'!$F$61,IF(((D548+E548)*C548-G548)&lt;='Assumptions and Catalog'!$C$62,((D548+E548)*C548-G548)*'Assumptions and Catalog'!$H$62+'Assumptions and Catalog'!$E$62+'Assumptions and Catalog'!$F$62,IF(((D548+E548)*C548-G548)&lt;='Assumptions and Catalog'!$C$63,((D548+E548)*C548-G548)*'Assumptions and Catalog'!$H$63+'Assumptions and Catalog'!$E$63+'Assumptions and Catalog'!$F$63,IF(((D548+E548)*C548-G548)&lt;='Assumptions and Catalog'!$C$64,((D548+E548)*C548-G548)*'Assumptions and Catalog'!$H$64+'Assumptions and Catalog'!$E$64+'Assumptions and Catalog'!$F$64,IF(((D548+E548)*C548-G548)&lt;='Assumptions and Catalog'!$C$65,((D548+E548)*C548-G548)*'Assumptions and Catalog'!$H$65+'Assumptions and Catalog'!$E$65+'Assumptions and Catalog'!$F$65,"Out of range")))))))))*(1+'Assumptions and Catalog'!$C$8)^(A548-1),0)</f>
        <v>6867.22</v>
      </c>
      <c r="R548" s="5" t="n">
        <f>IF(AND('Assumptions and Catalog'!$C$19&gt;0,A548&gt;='Assumptions and Catalog'!$C$19),A548-'Assumptions and Catalog'!$C$19,A548-1)</f>
        <v>1</v>
      </c>
      <c r="S548" s="5" t="n">
        <f>F548+L548-(D548+E548)*C548-J548-K548-IF(D$52&gt;0,'Assumptions and Catalog'!$C$26*C548,0)</f>
        <v>0</v>
      </c>
      <c r="T548" s="5"/>
      <c r="U548" s="5"/>
    </row>
    <row r="549" ht="23.100000381469727" customHeight="1">
      <c r="A549" s="5" t="n">
        <v>12</v>
      </c>
      <c r="B549" s="5" t="n">
        <v>7</v>
      </c>
      <c r="C549" s="5" t="n">
        <f>DAY(DATE('Assumptions and Catalog'!$C$24+A549-1,B549+1,0))</f>
        <v>31</v>
      </c>
      <c r="D549" s="5" t="n">
        <f>IF(ISNUMBER(Inputs!$L$5),Inputs!$L$5*Inputs!$L$6,0)</f>
        <v>40.35</v>
      </c>
      <c r="E549" s="5" t="n">
        <f>IF(ISNUMBER(Inputs!$L$5),Inputs!$L$5-D549,0)</f>
        <v>40.35</v>
      </c>
      <c r="F549" s="5" t="n">
        <f>D$51*'Assumptions and Catalog'!$C$31*C549*(1-'Assumptions and Catalog'!$C$10)^(A549-1)</f>
        <v>0</v>
      </c>
      <c r="G549" s="5" t="n">
        <f>MIN(F549,D549*C549)</f>
        <v>0</v>
      </c>
      <c r="H549" s="5" t="n">
        <f>I549/('Assumptions and Catalog'!$C$11*'Assumptions and Catalog'!$C$12)</f>
        <v>0</v>
      </c>
      <c r="I549" s="5" t="n">
        <f>IF(K$15="Grid cycle",MIN(K$16,D549+E549,P549*'Assumptions and Catalog'!$C$12,D$57*(24-'Assumptions and Catalog'!$C$15),D$56*'Assumptions and Catalog'!$C$15*'Assumptions and Catalog'!$C$11*'Assumptions and Catalog'!$C$12)*C549,0)</f>
        <v>0</v>
      </c>
      <c r="J549" s="5" t="n">
        <f>MAX(F549-G549-0,0)</f>
        <v>0</v>
      </c>
      <c r="K549" s="5" t="n">
        <f>H549-I549</f>
        <v>0</v>
      </c>
      <c r="L549" s="5" t="n">
        <f>(D549+E549)*C549-G549-I549+H549+IF(D$52&gt;0,'Assumptions and Catalog'!$C$26*C549,0)</f>
        <v>2501.7</v>
      </c>
      <c r="M549" s="5" t="n">
        <f>IF(ISNUMBER(Inputs!$L$5),(IF(Inputs!$L$9="Actual flat rate",((D549+E549)*C549)*Inputs!$L$10,IF(Inputs!$C$9="Residential",IF(((D549+E549)*C549)&lt;='Assumptions and Catalog'!$C$50,((D549+E549)*C549)*'Assumptions and Catalog'!$H$50+'Assumptions and Catalog'!$E$50+'Assumptions and Catalog'!$F$50,IF(((D549+E549)*C549)&lt;='Assumptions and Catalog'!$C$51,((D549+E549)*C549)*'Assumptions and Catalog'!$H$51+'Assumptions and Catalog'!$E$51+'Assumptions and Catalog'!$F$51,IF(((D549+E549)*C549)&lt;='Assumptions and Catalog'!$C$52,((D549+E549)*C549)*'Assumptions and Catalog'!$H$52+'Assumptions and Catalog'!$E$52+'Assumptions and Catalog'!$F$52,IF(((D549+E549)*C549)&lt;='Assumptions and Catalog'!$C$53,((D549+E549)*C549)*'Assumptions and Catalog'!$H$53+'Assumptions and Catalog'!$E$53+'Assumptions and Catalog'!$F$53,IF(((D549+E549)*C549)&lt;='Assumptions and Catalog'!$C$54,((D549+E549)*C549)*'Assumptions and Catalog'!$H$54+'Assumptions and Catalog'!$E$54+'Assumptions and Catalog'!$F$54,IF(((D549+E549)*C549)&lt;='Assumptions and Catalog'!$C$55,((D549+E549)*C549)*'Assumptions and Catalog'!$H$55+'Assumptions and Catalog'!$E$55+'Assumptions and Catalog'!$F$55,IF(((D549+E549)*C549)&lt;='Assumptions and Catalog'!$C$56,((D549+E549)*C549)*'Assumptions and Catalog'!$H$56+'Assumptions and Catalog'!$E$56+'Assumptions and Catalog'!$F$56,IF(((D549+E549)*C549)&lt;='Assumptions and Catalog'!$C$57,((D549+E549)*C549)*'Assumptions and Catalog'!$H$57+'Assumptions and Catalog'!$E$57+'Assumptions and Catalog'!$F$57,"Out of range")))))))),IF(((D549+E549)*C549)&lt;='Assumptions and Catalog'!$C$60,((D549+E549)*C549)*'Assumptions and Catalog'!$H$60+'Assumptions and Catalog'!$E$60+'Assumptions and Catalog'!$F$60,IF(((D549+E549)*C549)&lt;='Assumptions and Catalog'!$C$61,((D549+E549)*C549)*'Assumptions and Catalog'!$H$61+'Assumptions and Catalog'!$E$61+'Assumptions and Catalog'!$F$61,IF(((D549+E549)*C549)&lt;='Assumptions and Catalog'!$C$62,((D549+E549)*C549)*'Assumptions and Catalog'!$H$62+'Assumptions and Catalog'!$E$62+'Assumptions and Catalog'!$F$62,IF(((D549+E549)*C549)&lt;='Assumptions and Catalog'!$C$63,((D549+E549)*C549)*'Assumptions and Catalog'!$H$63+'Assumptions and Catalog'!$E$63+'Assumptions and Catalog'!$F$63,IF(((D549+E549)*C549)&lt;='Assumptions and Catalog'!$C$64,((D549+E549)*C549)*'Assumptions and Catalog'!$H$64+'Assumptions and Catalog'!$E$64+'Assumptions and Catalog'!$F$64,IF(((D549+E549)*C549)&lt;='Assumptions and Catalog'!$C$65,((D549+E549)*C549)*'Assumptions and Catalog'!$H$65+'Assumptions and Catalog'!$E$65+'Assumptions and Catalog'!$F$65,"Out of range")))))))))*(1+'Assumptions and Catalog'!$C$8)^(A549-1),0)</f>
        <v>7094.794</v>
      </c>
      <c r="N549" s="5" t="n">
        <f>IF(ISNUMBER(Inputs!$L$5),(IF(Inputs!$L$9="Actual flat rate",L549*Inputs!$L$10,IF(Inputs!$C$9="Residential",IF(L549&lt;='Assumptions and Catalog'!$C$50,L549*'Assumptions and Catalog'!$H$50+'Assumptions and Catalog'!$E$50+'Assumptions and Catalog'!$F$50,IF(L549&lt;='Assumptions and Catalog'!$C$51,L549*'Assumptions and Catalog'!$H$51+'Assumptions and Catalog'!$E$51+'Assumptions and Catalog'!$F$51,IF(L549&lt;='Assumptions and Catalog'!$C$52,L549*'Assumptions and Catalog'!$H$52+'Assumptions and Catalog'!$E$52+'Assumptions and Catalog'!$F$52,IF(L549&lt;='Assumptions and Catalog'!$C$53,L549*'Assumptions and Catalog'!$H$53+'Assumptions and Catalog'!$E$53+'Assumptions and Catalog'!$F$53,IF(L549&lt;='Assumptions and Catalog'!$C$54,L549*'Assumptions and Catalog'!$H$54+'Assumptions and Catalog'!$E$54+'Assumptions and Catalog'!$F$54,IF(L549&lt;='Assumptions and Catalog'!$C$55,L549*'Assumptions and Catalog'!$H$55+'Assumptions and Catalog'!$E$55+'Assumptions and Catalog'!$F$55,IF(L549&lt;='Assumptions and Catalog'!$C$56,L549*'Assumptions and Catalog'!$H$56+'Assumptions and Catalog'!$E$56+'Assumptions and Catalog'!$F$56,IF(L549&lt;='Assumptions and Catalog'!$C$57,L549*'Assumptions and Catalog'!$H$57+'Assumptions and Catalog'!$E$57+'Assumptions and Catalog'!$F$57,"Out of range")))))))),IF(L549&lt;='Assumptions and Catalog'!$C$60,L549*'Assumptions and Catalog'!$H$60+'Assumptions and Catalog'!$E$60+'Assumptions and Catalog'!$F$60,IF(L549&lt;='Assumptions and Catalog'!$C$61,L549*'Assumptions and Catalog'!$H$61+'Assumptions and Catalog'!$E$61+'Assumptions and Catalog'!$F$61,IF(L549&lt;='Assumptions and Catalog'!$C$62,L549*'Assumptions and Catalog'!$H$62+'Assumptions and Catalog'!$E$62+'Assumptions and Catalog'!$F$62,IF(L549&lt;='Assumptions and Catalog'!$C$63,L549*'Assumptions and Catalog'!$H$63+'Assumptions and Catalog'!$E$63+'Assumptions and Catalog'!$F$63,IF(L549&lt;='Assumptions and Catalog'!$C$64,L549*'Assumptions and Catalog'!$H$64+'Assumptions and Catalog'!$E$64+'Assumptions and Catalog'!$F$64,IF(L549&lt;='Assumptions and Catalog'!$C$65,L549*'Assumptions and Catalog'!$H$65+'Assumptions and Catalog'!$E$65+'Assumptions and Catalog'!$F$65,"Out of range")))))))))*(1+'Assumptions and Catalog'!$C$8)^(A549-1),0)</f>
        <v>7094.794</v>
      </c>
      <c r="O549" s="5" t="n">
        <f>M549-N549</f>
        <v>0</v>
      </c>
      <c r="P549" s="5" t="n">
        <f>D$55*(1-K$14)*(1-'Assumptions and Catalog'!$C$23)^R549</f>
        <v>0</v>
      </c>
      <c r="Q549" s="5" t="n">
        <f>IF(ISNUMBER(Inputs!$L$5),(IF(Inputs!$L$9="Actual flat rate",((D549+E549)*C549-G549)*Inputs!$L$10,IF(Inputs!$C$9="Residential",IF(((D549+E549)*C549-G549)&lt;='Assumptions and Catalog'!$C$50,((D549+E549)*C549-G549)*'Assumptions and Catalog'!$H$50+'Assumptions and Catalog'!$E$50+'Assumptions and Catalog'!$F$50,IF(((D549+E549)*C549-G549)&lt;='Assumptions and Catalog'!$C$51,((D549+E549)*C549-G549)*'Assumptions and Catalog'!$H$51+'Assumptions and Catalog'!$E$51+'Assumptions and Catalog'!$F$51,IF(((D549+E549)*C549-G549)&lt;='Assumptions and Catalog'!$C$52,((D549+E549)*C549-G549)*'Assumptions and Catalog'!$H$52+'Assumptions and Catalog'!$E$52+'Assumptions and Catalog'!$F$52,IF(((D549+E549)*C549-G549)&lt;='Assumptions and Catalog'!$C$53,((D549+E549)*C549-G549)*'Assumptions and Catalog'!$H$53+'Assumptions and Catalog'!$E$53+'Assumptions and Catalog'!$F$53,IF(((D549+E549)*C549-G549)&lt;='Assumptions and Catalog'!$C$54,((D549+E549)*C549-G549)*'Assumptions and Catalog'!$H$54+'Assumptions and Catalog'!$E$54+'Assumptions and Catalog'!$F$54,IF(((D549+E549)*C549-G549)&lt;='Assumptions and Catalog'!$C$55,((D549+E549)*C549-G549)*'Assumptions and Catalog'!$H$55+'Assumptions and Catalog'!$E$55+'Assumptions and Catalog'!$F$55,IF(((D549+E549)*C549-G549)&lt;='Assumptions and Catalog'!$C$56,((D549+E549)*C549-G549)*'Assumptions and Catalog'!$H$56+'Assumptions and Catalog'!$E$56+'Assumptions and Catalog'!$F$56,IF(((D549+E549)*C549-G549)&lt;='Assumptions and Catalog'!$C$57,((D549+E549)*C549-G549)*'Assumptions and Catalog'!$H$57+'Assumptions and Catalog'!$E$57+'Assumptions and Catalog'!$F$57,"Out of range")))))))),IF(((D549+E549)*C549-G549)&lt;='Assumptions and Catalog'!$C$60,((D549+E549)*C549-G549)*'Assumptions and Catalog'!$H$60+'Assumptions and Catalog'!$E$60+'Assumptions and Catalog'!$F$60,IF(((D549+E549)*C549-G549)&lt;='Assumptions and Catalog'!$C$61,((D549+E549)*C549-G549)*'Assumptions and Catalog'!$H$61+'Assumptions and Catalog'!$E$61+'Assumptions and Catalog'!$F$61,IF(((D549+E549)*C549-G549)&lt;='Assumptions and Catalog'!$C$62,((D549+E549)*C549-G549)*'Assumptions and Catalog'!$H$62+'Assumptions and Catalog'!$E$62+'Assumptions and Catalog'!$F$62,IF(((D549+E549)*C549-G549)&lt;='Assumptions and Catalog'!$C$63,((D549+E549)*C549-G549)*'Assumptions and Catalog'!$H$63+'Assumptions and Catalog'!$E$63+'Assumptions and Catalog'!$F$63,IF(((D549+E549)*C549-G549)&lt;='Assumptions and Catalog'!$C$64,((D549+E549)*C549-G549)*'Assumptions and Catalog'!$H$64+'Assumptions and Catalog'!$E$64+'Assumptions and Catalog'!$F$64,IF(((D549+E549)*C549-G549)&lt;='Assumptions and Catalog'!$C$65,((D549+E549)*C549-G549)*'Assumptions and Catalog'!$H$65+'Assumptions and Catalog'!$E$65+'Assumptions and Catalog'!$F$65,"Out of range")))))))))*(1+'Assumptions and Catalog'!$C$8)^(A549-1),0)</f>
        <v>7094.794</v>
      </c>
      <c r="R549" s="5" t="n">
        <f>IF(AND('Assumptions and Catalog'!$C$19&gt;0,A549&gt;='Assumptions and Catalog'!$C$19),A549-'Assumptions and Catalog'!$C$19,A549-1)</f>
        <v>1</v>
      </c>
      <c r="S549" s="5" t="n">
        <f>F549+L549-(D549+E549)*C549-J549-K549-IF(D$52&gt;0,'Assumptions and Catalog'!$C$26*C549,0)</f>
        <v>0</v>
      </c>
      <c r="T549" s="5"/>
      <c r="U549" s="5"/>
    </row>
    <row r="550" ht="23.100000381469727" customHeight="1">
      <c r="A550" s="5" t="n">
        <v>12</v>
      </c>
      <c r="B550" s="5" t="n">
        <v>8</v>
      </c>
      <c r="C550" s="5" t="n">
        <f>DAY(DATE('Assumptions and Catalog'!$C$24+A550-1,B550+1,0))</f>
        <v>31</v>
      </c>
      <c r="D550" s="5" t="n">
        <f>IF(ISNUMBER(Inputs!$L$5),Inputs!$L$5*Inputs!$L$6,0)</f>
        <v>40.35</v>
      </c>
      <c r="E550" s="5" t="n">
        <f>IF(ISNUMBER(Inputs!$L$5),Inputs!$L$5-D550,0)</f>
        <v>40.35</v>
      </c>
      <c r="F550" s="5" t="n">
        <f>D$51*'Assumptions and Catalog'!$C$31*C550*(1-'Assumptions and Catalog'!$C$10)^(A550-1)</f>
        <v>0</v>
      </c>
      <c r="G550" s="5" t="n">
        <f>MIN(F550,D550*C550)</f>
        <v>0</v>
      </c>
      <c r="H550" s="5" t="n">
        <f>I550/('Assumptions and Catalog'!$C$11*'Assumptions and Catalog'!$C$12)</f>
        <v>0</v>
      </c>
      <c r="I550" s="5" t="n">
        <f>IF(K$15="Grid cycle",MIN(K$16,D550+E550,P550*'Assumptions and Catalog'!$C$12,D$57*(24-'Assumptions and Catalog'!$C$15),D$56*'Assumptions and Catalog'!$C$15*'Assumptions and Catalog'!$C$11*'Assumptions and Catalog'!$C$12)*C550,0)</f>
        <v>0</v>
      </c>
      <c r="J550" s="5" t="n">
        <f>MAX(F550-G550-0,0)</f>
        <v>0</v>
      </c>
      <c r="K550" s="5" t="n">
        <f>H550-I550</f>
        <v>0</v>
      </c>
      <c r="L550" s="5" t="n">
        <f>(D550+E550)*C550-G550-I550+H550+IF(D$52&gt;0,'Assumptions and Catalog'!$C$26*C550,0)</f>
        <v>2501.7</v>
      </c>
      <c r="M550" s="5" t="n">
        <f>IF(ISNUMBER(Inputs!$L$5),(IF(Inputs!$L$9="Actual flat rate",((D550+E550)*C550)*Inputs!$L$10,IF(Inputs!$C$9="Residential",IF(((D550+E550)*C550)&lt;='Assumptions and Catalog'!$C$50,((D550+E550)*C550)*'Assumptions and Catalog'!$H$50+'Assumptions and Catalog'!$E$50+'Assumptions and Catalog'!$F$50,IF(((D550+E550)*C550)&lt;='Assumptions and Catalog'!$C$51,((D550+E550)*C550)*'Assumptions and Catalog'!$H$51+'Assumptions and Catalog'!$E$51+'Assumptions and Catalog'!$F$51,IF(((D550+E550)*C550)&lt;='Assumptions and Catalog'!$C$52,((D550+E550)*C550)*'Assumptions and Catalog'!$H$52+'Assumptions and Catalog'!$E$52+'Assumptions and Catalog'!$F$52,IF(((D550+E550)*C550)&lt;='Assumptions and Catalog'!$C$53,((D550+E550)*C550)*'Assumptions and Catalog'!$H$53+'Assumptions and Catalog'!$E$53+'Assumptions and Catalog'!$F$53,IF(((D550+E550)*C550)&lt;='Assumptions and Catalog'!$C$54,((D550+E550)*C550)*'Assumptions and Catalog'!$H$54+'Assumptions and Catalog'!$E$54+'Assumptions and Catalog'!$F$54,IF(((D550+E550)*C550)&lt;='Assumptions and Catalog'!$C$55,((D550+E550)*C550)*'Assumptions and Catalog'!$H$55+'Assumptions and Catalog'!$E$55+'Assumptions and Catalog'!$F$55,IF(((D550+E550)*C550)&lt;='Assumptions and Catalog'!$C$56,((D550+E550)*C550)*'Assumptions and Catalog'!$H$56+'Assumptions and Catalog'!$E$56+'Assumptions and Catalog'!$F$56,IF(((D550+E550)*C550)&lt;='Assumptions and Catalog'!$C$57,((D550+E550)*C550)*'Assumptions and Catalog'!$H$57+'Assumptions and Catalog'!$E$57+'Assumptions and Catalog'!$F$57,"Out of range")))))))),IF(((D550+E550)*C550)&lt;='Assumptions and Catalog'!$C$60,((D550+E550)*C550)*'Assumptions and Catalog'!$H$60+'Assumptions and Catalog'!$E$60+'Assumptions and Catalog'!$F$60,IF(((D550+E550)*C550)&lt;='Assumptions and Catalog'!$C$61,((D550+E550)*C550)*'Assumptions and Catalog'!$H$61+'Assumptions and Catalog'!$E$61+'Assumptions and Catalog'!$F$61,IF(((D550+E550)*C550)&lt;='Assumptions and Catalog'!$C$62,((D550+E550)*C550)*'Assumptions and Catalog'!$H$62+'Assumptions and Catalog'!$E$62+'Assumptions and Catalog'!$F$62,IF(((D550+E550)*C550)&lt;='Assumptions and Catalog'!$C$63,((D550+E550)*C550)*'Assumptions and Catalog'!$H$63+'Assumptions and Catalog'!$E$63+'Assumptions and Catalog'!$F$63,IF(((D550+E550)*C550)&lt;='Assumptions and Catalog'!$C$64,((D550+E550)*C550)*'Assumptions and Catalog'!$H$64+'Assumptions and Catalog'!$E$64+'Assumptions and Catalog'!$F$64,IF(((D550+E550)*C550)&lt;='Assumptions and Catalog'!$C$65,((D550+E550)*C550)*'Assumptions and Catalog'!$H$65+'Assumptions and Catalog'!$E$65+'Assumptions and Catalog'!$F$65,"Out of range")))))))))*(1+'Assumptions and Catalog'!$C$8)^(A550-1),0)</f>
        <v>7094.794</v>
      </c>
      <c r="N550" s="5" t="n">
        <f>IF(ISNUMBER(Inputs!$L$5),(IF(Inputs!$L$9="Actual flat rate",L550*Inputs!$L$10,IF(Inputs!$C$9="Residential",IF(L550&lt;='Assumptions and Catalog'!$C$50,L550*'Assumptions and Catalog'!$H$50+'Assumptions and Catalog'!$E$50+'Assumptions and Catalog'!$F$50,IF(L550&lt;='Assumptions and Catalog'!$C$51,L550*'Assumptions and Catalog'!$H$51+'Assumptions and Catalog'!$E$51+'Assumptions and Catalog'!$F$51,IF(L550&lt;='Assumptions and Catalog'!$C$52,L550*'Assumptions and Catalog'!$H$52+'Assumptions and Catalog'!$E$52+'Assumptions and Catalog'!$F$52,IF(L550&lt;='Assumptions and Catalog'!$C$53,L550*'Assumptions and Catalog'!$H$53+'Assumptions and Catalog'!$E$53+'Assumptions and Catalog'!$F$53,IF(L550&lt;='Assumptions and Catalog'!$C$54,L550*'Assumptions and Catalog'!$H$54+'Assumptions and Catalog'!$E$54+'Assumptions and Catalog'!$F$54,IF(L550&lt;='Assumptions and Catalog'!$C$55,L550*'Assumptions and Catalog'!$H$55+'Assumptions and Catalog'!$E$55+'Assumptions and Catalog'!$F$55,IF(L550&lt;='Assumptions and Catalog'!$C$56,L550*'Assumptions and Catalog'!$H$56+'Assumptions and Catalog'!$E$56+'Assumptions and Catalog'!$F$56,IF(L550&lt;='Assumptions and Catalog'!$C$57,L550*'Assumptions and Catalog'!$H$57+'Assumptions and Catalog'!$E$57+'Assumptions and Catalog'!$F$57,"Out of range")))))))),IF(L550&lt;='Assumptions and Catalog'!$C$60,L550*'Assumptions and Catalog'!$H$60+'Assumptions and Catalog'!$E$60+'Assumptions and Catalog'!$F$60,IF(L550&lt;='Assumptions and Catalog'!$C$61,L550*'Assumptions and Catalog'!$H$61+'Assumptions and Catalog'!$E$61+'Assumptions and Catalog'!$F$61,IF(L550&lt;='Assumptions and Catalog'!$C$62,L550*'Assumptions and Catalog'!$H$62+'Assumptions and Catalog'!$E$62+'Assumptions and Catalog'!$F$62,IF(L550&lt;='Assumptions and Catalog'!$C$63,L550*'Assumptions and Catalog'!$H$63+'Assumptions and Catalog'!$E$63+'Assumptions and Catalog'!$F$63,IF(L550&lt;='Assumptions and Catalog'!$C$64,L550*'Assumptions and Catalog'!$H$64+'Assumptions and Catalog'!$E$64+'Assumptions and Catalog'!$F$64,IF(L550&lt;='Assumptions and Catalog'!$C$65,L550*'Assumptions and Catalog'!$H$65+'Assumptions and Catalog'!$E$65+'Assumptions and Catalog'!$F$65,"Out of range")))))))))*(1+'Assumptions and Catalog'!$C$8)^(A550-1),0)</f>
        <v>7094.794</v>
      </c>
      <c r="O550" s="5" t="n">
        <f>M550-N550</f>
        <v>0</v>
      </c>
      <c r="P550" s="5" t="n">
        <f>D$55*(1-K$14)*(1-'Assumptions and Catalog'!$C$23)^R550</f>
        <v>0</v>
      </c>
      <c r="Q550" s="5" t="n">
        <f>IF(ISNUMBER(Inputs!$L$5),(IF(Inputs!$L$9="Actual flat rate",((D550+E550)*C550-G550)*Inputs!$L$10,IF(Inputs!$C$9="Residential",IF(((D550+E550)*C550-G550)&lt;='Assumptions and Catalog'!$C$50,((D550+E550)*C550-G550)*'Assumptions and Catalog'!$H$50+'Assumptions and Catalog'!$E$50+'Assumptions and Catalog'!$F$50,IF(((D550+E550)*C550-G550)&lt;='Assumptions and Catalog'!$C$51,((D550+E550)*C550-G550)*'Assumptions and Catalog'!$H$51+'Assumptions and Catalog'!$E$51+'Assumptions and Catalog'!$F$51,IF(((D550+E550)*C550-G550)&lt;='Assumptions and Catalog'!$C$52,((D550+E550)*C550-G550)*'Assumptions and Catalog'!$H$52+'Assumptions and Catalog'!$E$52+'Assumptions and Catalog'!$F$52,IF(((D550+E550)*C550-G550)&lt;='Assumptions and Catalog'!$C$53,((D550+E550)*C550-G550)*'Assumptions and Catalog'!$H$53+'Assumptions and Catalog'!$E$53+'Assumptions and Catalog'!$F$53,IF(((D550+E550)*C550-G550)&lt;='Assumptions and Catalog'!$C$54,((D550+E550)*C550-G550)*'Assumptions and Catalog'!$H$54+'Assumptions and Catalog'!$E$54+'Assumptions and Catalog'!$F$54,IF(((D550+E550)*C550-G550)&lt;='Assumptions and Catalog'!$C$55,((D550+E550)*C550-G550)*'Assumptions and Catalog'!$H$55+'Assumptions and Catalog'!$E$55+'Assumptions and Catalog'!$F$55,IF(((D550+E550)*C550-G550)&lt;='Assumptions and Catalog'!$C$56,((D550+E550)*C550-G550)*'Assumptions and Catalog'!$H$56+'Assumptions and Catalog'!$E$56+'Assumptions and Catalog'!$F$56,IF(((D550+E550)*C550-G550)&lt;='Assumptions and Catalog'!$C$57,((D550+E550)*C550-G550)*'Assumptions and Catalog'!$H$57+'Assumptions and Catalog'!$E$57+'Assumptions and Catalog'!$F$57,"Out of range")))))))),IF(((D550+E550)*C550-G550)&lt;='Assumptions and Catalog'!$C$60,((D550+E550)*C550-G550)*'Assumptions and Catalog'!$H$60+'Assumptions and Catalog'!$E$60+'Assumptions and Catalog'!$F$60,IF(((D550+E550)*C550-G550)&lt;='Assumptions and Catalog'!$C$61,((D550+E550)*C550-G550)*'Assumptions and Catalog'!$H$61+'Assumptions and Catalog'!$E$61+'Assumptions and Catalog'!$F$61,IF(((D550+E550)*C550-G550)&lt;='Assumptions and Catalog'!$C$62,((D550+E550)*C550-G550)*'Assumptions and Catalog'!$H$62+'Assumptions and Catalog'!$E$62+'Assumptions and Catalog'!$F$62,IF(((D550+E550)*C550-G550)&lt;='Assumptions and Catalog'!$C$63,((D550+E550)*C550-G550)*'Assumptions and Catalog'!$H$63+'Assumptions and Catalog'!$E$63+'Assumptions and Catalog'!$F$63,IF(((D550+E550)*C550-G550)&lt;='Assumptions and Catalog'!$C$64,((D550+E550)*C550-G550)*'Assumptions and Catalog'!$H$64+'Assumptions and Catalog'!$E$64+'Assumptions and Catalog'!$F$64,IF(((D550+E550)*C550-G550)&lt;='Assumptions and Catalog'!$C$65,((D550+E550)*C550-G550)*'Assumptions and Catalog'!$H$65+'Assumptions and Catalog'!$E$65+'Assumptions and Catalog'!$F$65,"Out of range")))))))))*(1+'Assumptions and Catalog'!$C$8)^(A550-1),0)</f>
        <v>7094.794</v>
      </c>
      <c r="R550" s="5" t="n">
        <f>IF(AND('Assumptions and Catalog'!$C$19&gt;0,A550&gt;='Assumptions and Catalog'!$C$19),A550-'Assumptions and Catalog'!$C$19,A550-1)</f>
        <v>1</v>
      </c>
      <c r="S550" s="5" t="n">
        <f>F550+L550-(D550+E550)*C550-J550-K550-IF(D$52&gt;0,'Assumptions and Catalog'!$C$26*C550,0)</f>
        <v>0</v>
      </c>
      <c r="T550" s="5"/>
      <c r="U550" s="5"/>
    </row>
    <row r="551" ht="23.100000381469727" customHeight="1">
      <c r="A551" s="5" t="n">
        <v>12</v>
      </c>
      <c r="B551" s="5" t="n">
        <v>9</v>
      </c>
      <c r="C551" s="5" t="n">
        <f>DAY(DATE('Assumptions and Catalog'!$C$24+A551-1,B551+1,0))</f>
        <v>30</v>
      </c>
      <c r="D551" s="5" t="n">
        <f>IF(ISNUMBER(Inputs!$L$5),Inputs!$L$5*Inputs!$L$6,0)</f>
        <v>40.35</v>
      </c>
      <c r="E551" s="5" t="n">
        <f>IF(ISNUMBER(Inputs!$L$5),Inputs!$L$5-D551,0)</f>
        <v>40.35</v>
      </c>
      <c r="F551" s="5" t="n">
        <f>D$51*'Assumptions and Catalog'!$C$31*C551*(1-'Assumptions and Catalog'!$C$10)^(A551-1)</f>
        <v>0</v>
      </c>
      <c r="G551" s="5" t="n">
        <f>MIN(F551,D551*C551)</f>
        <v>0</v>
      </c>
      <c r="H551" s="5" t="n">
        <f>I551/('Assumptions and Catalog'!$C$11*'Assumptions and Catalog'!$C$12)</f>
        <v>0</v>
      </c>
      <c r="I551" s="5" t="n">
        <f>IF(K$15="Grid cycle",MIN(K$16,D551+E551,P551*'Assumptions and Catalog'!$C$12,D$57*(24-'Assumptions and Catalog'!$C$15),D$56*'Assumptions and Catalog'!$C$15*'Assumptions and Catalog'!$C$11*'Assumptions and Catalog'!$C$12)*C551,0)</f>
        <v>0</v>
      </c>
      <c r="J551" s="5" t="n">
        <f>MAX(F551-G551-0,0)</f>
        <v>0</v>
      </c>
      <c r="K551" s="5" t="n">
        <f>H551-I551</f>
        <v>0</v>
      </c>
      <c r="L551" s="5" t="n">
        <f>(D551+E551)*C551-G551-I551+H551+IF(D$52&gt;0,'Assumptions and Catalog'!$C$26*C551,0)</f>
        <v>2421</v>
      </c>
      <c r="M551" s="5" t="n">
        <f>IF(ISNUMBER(Inputs!$L$5),(IF(Inputs!$L$9="Actual flat rate",((D551+E551)*C551)*Inputs!$L$10,IF(Inputs!$C$9="Residential",IF(((D551+E551)*C551)&lt;='Assumptions and Catalog'!$C$50,((D551+E551)*C551)*'Assumptions and Catalog'!$H$50+'Assumptions and Catalog'!$E$50+'Assumptions and Catalog'!$F$50,IF(((D551+E551)*C551)&lt;='Assumptions and Catalog'!$C$51,((D551+E551)*C551)*'Assumptions and Catalog'!$H$51+'Assumptions and Catalog'!$E$51+'Assumptions and Catalog'!$F$51,IF(((D551+E551)*C551)&lt;='Assumptions and Catalog'!$C$52,((D551+E551)*C551)*'Assumptions and Catalog'!$H$52+'Assumptions and Catalog'!$E$52+'Assumptions and Catalog'!$F$52,IF(((D551+E551)*C551)&lt;='Assumptions and Catalog'!$C$53,((D551+E551)*C551)*'Assumptions and Catalog'!$H$53+'Assumptions and Catalog'!$E$53+'Assumptions and Catalog'!$F$53,IF(((D551+E551)*C551)&lt;='Assumptions and Catalog'!$C$54,((D551+E551)*C551)*'Assumptions and Catalog'!$H$54+'Assumptions and Catalog'!$E$54+'Assumptions and Catalog'!$F$54,IF(((D551+E551)*C551)&lt;='Assumptions and Catalog'!$C$55,((D551+E551)*C551)*'Assumptions and Catalog'!$H$55+'Assumptions and Catalog'!$E$55+'Assumptions and Catalog'!$F$55,IF(((D551+E551)*C551)&lt;='Assumptions and Catalog'!$C$56,((D551+E551)*C551)*'Assumptions and Catalog'!$H$56+'Assumptions and Catalog'!$E$56+'Assumptions and Catalog'!$F$56,IF(((D551+E551)*C551)&lt;='Assumptions and Catalog'!$C$57,((D551+E551)*C551)*'Assumptions and Catalog'!$H$57+'Assumptions and Catalog'!$E$57+'Assumptions and Catalog'!$F$57,"Out of range")))))))),IF(((D551+E551)*C551)&lt;='Assumptions and Catalog'!$C$60,((D551+E551)*C551)*'Assumptions and Catalog'!$H$60+'Assumptions and Catalog'!$E$60+'Assumptions and Catalog'!$F$60,IF(((D551+E551)*C551)&lt;='Assumptions and Catalog'!$C$61,((D551+E551)*C551)*'Assumptions and Catalog'!$H$61+'Assumptions and Catalog'!$E$61+'Assumptions and Catalog'!$F$61,IF(((D551+E551)*C551)&lt;='Assumptions and Catalog'!$C$62,((D551+E551)*C551)*'Assumptions and Catalog'!$H$62+'Assumptions and Catalog'!$E$62+'Assumptions and Catalog'!$F$62,IF(((D551+E551)*C551)&lt;='Assumptions and Catalog'!$C$63,((D551+E551)*C551)*'Assumptions and Catalog'!$H$63+'Assumptions and Catalog'!$E$63+'Assumptions and Catalog'!$F$63,IF(((D551+E551)*C551)&lt;='Assumptions and Catalog'!$C$64,((D551+E551)*C551)*'Assumptions and Catalog'!$H$64+'Assumptions and Catalog'!$E$64+'Assumptions and Catalog'!$F$64,IF(((D551+E551)*C551)&lt;='Assumptions and Catalog'!$C$65,((D551+E551)*C551)*'Assumptions and Catalog'!$H$65+'Assumptions and Catalog'!$E$65+'Assumptions and Catalog'!$F$65,"Out of range")))))))))*(1+'Assumptions and Catalog'!$C$8)^(A551-1),0)</f>
        <v>6867.22</v>
      </c>
      <c r="N551" s="5" t="n">
        <f>IF(ISNUMBER(Inputs!$L$5),(IF(Inputs!$L$9="Actual flat rate",L551*Inputs!$L$10,IF(Inputs!$C$9="Residential",IF(L551&lt;='Assumptions and Catalog'!$C$50,L551*'Assumptions and Catalog'!$H$50+'Assumptions and Catalog'!$E$50+'Assumptions and Catalog'!$F$50,IF(L551&lt;='Assumptions and Catalog'!$C$51,L551*'Assumptions and Catalog'!$H$51+'Assumptions and Catalog'!$E$51+'Assumptions and Catalog'!$F$51,IF(L551&lt;='Assumptions and Catalog'!$C$52,L551*'Assumptions and Catalog'!$H$52+'Assumptions and Catalog'!$E$52+'Assumptions and Catalog'!$F$52,IF(L551&lt;='Assumptions and Catalog'!$C$53,L551*'Assumptions and Catalog'!$H$53+'Assumptions and Catalog'!$E$53+'Assumptions and Catalog'!$F$53,IF(L551&lt;='Assumptions and Catalog'!$C$54,L551*'Assumptions and Catalog'!$H$54+'Assumptions and Catalog'!$E$54+'Assumptions and Catalog'!$F$54,IF(L551&lt;='Assumptions and Catalog'!$C$55,L551*'Assumptions and Catalog'!$H$55+'Assumptions and Catalog'!$E$55+'Assumptions and Catalog'!$F$55,IF(L551&lt;='Assumptions and Catalog'!$C$56,L551*'Assumptions and Catalog'!$H$56+'Assumptions and Catalog'!$E$56+'Assumptions and Catalog'!$F$56,IF(L551&lt;='Assumptions and Catalog'!$C$57,L551*'Assumptions and Catalog'!$H$57+'Assumptions and Catalog'!$E$57+'Assumptions and Catalog'!$F$57,"Out of range")))))))),IF(L551&lt;='Assumptions and Catalog'!$C$60,L551*'Assumptions and Catalog'!$H$60+'Assumptions and Catalog'!$E$60+'Assumptions and Catalog'!$F$60,IF(L551&lt;='Assumptions and Catalog'!$C$61,L551*'Assumptions and Catalog'!$H$61+'Assumptions and Catalog'!$E$61+'Assumptions and Catalog'!$F$61,IF(L551&lt;='Assumptions and Catalog'!$C$62,L551*'Assumptions and Catalog'!$H$62+'Assumptions and Catalog'!$E$62+'Assumptions and Catalog'!$F$62,IF(L551&lt;='Assumptions and Catalog'!$C$63,L551*'Assumptions and Catalog'!$H$63+'Assumptions and Catalog'!$E$63+'Assumptions and Catalog'!$F$63,IF(L551&lt;='Assumptions and Catalog'!$C$64,L551*'Assumptions and Catalog'!$H$64+'Assumptions and Catalog'!$E$64+'Assumptions and Catalog'!$F$64,IF(L551&lt;='Assumptions and Catalog'!$C$65,L551*'Assumptions and Catalog'!$H$65+'Assumptions and Catalog'!$E$65+'Assumptions and Catalog'!$F$65,"Out of range")))))))))*(1+'Assumptions and Catalog'!$C$8)^(A551-1),0)</f>
        <v>6867.22</v>
      </c>
      <c r="O551" s="5" t="n">
        <f>M551-N551</f>
        <v>0</v>
      </c>
      <c r="P551" s="5" t="n">
        <f>D$55*(1-K$14)*(1-'Assumptions and Catalog'!$C$23)^R551</f>
        <v>0</v>
      </c>
      <c r="Q551" s="5" t="n">
        <f>IF(ISNUMBER(Inputs!$L$5),(IF(Inputs!$L$9="Actual flat rate",((D551+E551)*C551-G551)*Inputs!$L$10,IF(Inputs!$C$9="Residential",IF(((D551+E551)*C551-G551)&lt;='Assumptions and Catalog'!$C$50,((D551+E551)*C551-G551)*'Assumptions and Catalog'!$H$50+'Assumptions and Catalog'!$E$50+'Assumptions and Catalog'!$F$50,IF(((D551+E551)*C551-G551)&lt;='Assumptions and Catalog'!$C$51,((D551+E551)*C551-G551)*'Assumptions and Catalog'!$H$51+'Assumptions and Catalog'!$E$51+'Assumptions and Catalog'!$F$51,IF(((D551+E551)*C551-G551)&lt;='Assumptions and Catalog'!$C$52,((D551+E551)*C551-G551)*'Assumptions and Catalog'!$H$52+'Assumptions and Catalog'!$E$52+'Assumptions and Catalog'!$F$52,IF(((D551+E551)*C551-G551)&lt;='Assumptions and Catalog'!$C$53,((D551+E551)*C551-G551)*'Assumptions and Catalog'!$H$53+'Assumptions and Catalog'!$E$53+'Assumptions and Catalog'!$F$53,IF(((D551+E551)*C551-G551)&lt;='Assumptions and Catalog'!$C$54,((D551+E551)*C551-G551)*'Assumptions and Catalog'!$H$54+'Assumptions and Catalog'!$E$54+'Assumptions and Catalog'!$F$54,IF(((D551+E551)*C551-G551)&lt;='Assumptions and Catalog'!$C$55,((D551+E551)*C551-G551)*'Assumptions and Catalog'!$H$55+'Assumptions and Catalog'!$E$55+'Assumptions and Catalog'!$F$55,IF(((D551+E551)*C551-G551)&lt;='Assumptions and Catalog'!$C$56,((D551+E551)*C551-G551)*'Assumptions and Catalog'!$H$56+'Assumptions and Catalog'!$E$56+'Assumptions and Catalog'!$F$56,IF(((D551+E551)*C551-G551)&lt;='Assumptions and Catalog'!$C$57,((D551+E551)*C551-G551)*'Assumptions and Catalog'!$H$57+'Assumptions and Catalog'!$E$57+'Assumptions and Catalog'!$F$57,"Out of range")))))))),IF(((D551+E551)*C551-G551)&lt;='Assumptions and Catalog'!$C$60,((D551+E551)*C551-G551)*'Assumptions and Catalog'!$H$60+'Assumptions and Catalog'!$E$60+'Assumptions and Catalog'!$F$60,IF(((D551+E551)*C551-G551)&lt;='Assumptions and Catalog'!$C$61,((D551+E551)*C551-G551)*'Assumptions and Catalog'!$H$61+'Assumptions and Catalog'!$E$61+'Assumptions and Catalog'!$F$61,IF(((D551+E551)*C551-G551)&lt;='Assumptions and Catalog'!$C$62,((D551+E551)*C551-G551)*'Assumptions and Catalog'!$H$62+'Assumptions and Catalog'!$E$62+'Assumptions and Catalog'!$F$62,IF(((D551+E551)*C551-G551)&lt;='Assumptions and Catalog'!$C$63,((D551+E551)*C551-G551)*'Assumptions and Catalog'!$H$63+'Assumptions and Catalog'!$E$63+'Assumptions and Catalog'!$F$63,IF(((D551+E551)*C551-G551)&lt;='Assumptions and Catalog'!$C$64,((D551+E551)*C551-G551)*'Assumptions and Catalog'!$H$64+'Assumptions and Catalog'!$E$64+'Assumptions and Catalog'!$F$64,IF(((D551+E551)*C551-G551)&lt;='Assumptions and Catalog'!$C$65,((D551+E551)*C551-G551)*'Assumptions and Catalog'!$H$65+'Assumptions and Catalog'!$E$65+'Assumptions and Catalog'!$F$65,"Out of range")))))))))*(1+'Assumptions and Catalog'!$C$8)^(A551-1),0)</f>
        <v>6867.22</v>
      </c>
      <c r="R551" s="5" t="n">
        <f>IF(AND('Assumptions and Catalog'!$C$19&gt;0,A551&gt;='Assumptions and Catalog'!$C$19),A551-'Assumptions and Catalog'!$C$19,A551-1)</f>
        <v>1</v>
      </c>
      <c r="S551" s="5" t="n">
        <f>F551+L551-(D551+E551)*C551-J551-K551-IF(D$52&gt;0,'Assumptions and Catalog'!$C$26*C551,0)</f>
        <v>0</v>
      </c>
      <c r="T551" s="5"/>
      <c r="U551" s="5"/>
    </row>
    <row r="552" ht="23.100000381469727" customHeight="1">
      <c r="A552" s="5" t="n">
        <v>12</v>
      </c>
      <c r="B552" s="5" t="n">
        <v>10</v>
      </c>
      <c r="C552" s="5" t="n">
        <f>DAY(DATE('Assumptions and Catalog'!$C$24+A552-1,B552+1,0))</f>
        <v>31</v>
      </c>
      <c r="D552" s="5" t="n">
        <f>IF(ISNUMBER(Inputs!$L$5),Inputs!$L$5*Inputs!$L$6,0)</f>
        <v>40.35</v>
      </c>
      <c r="E552" s="5" t="n">
        <f>IF(ISNUMBER(Inputs!$L$5),Inputs!$L$5-D552,0)</f>
        <v>40.35</v>
      </c>
      <c r="F552" s="5" t="n">
        <f>D$51*'Assumptions and Catalog'!$C$31*C552*(1-'Assumptions and Catalog'!$C$10)^(A552-1)</f>
        <v>0</v>
      </c>
      <c r="G552" s="5" t="n">
        <f>MIN(F552,D552*C552)</f>
        <v>0</v>
      </c>
      <c r="H552" s="5" t="n">
        <f>I552/('Assumptions and Catalog'!$C$11*'Assumptions and Catalog'!$C$12)</f>
        <v>0</v>
      </c>
      <c r="I552" s="5" t="n">
        <f>IF(K$15="Grid cycle",MIN(K$16,D552+E552,P552*'Assumptions and Catalog'!$C$12,D$57*(24-'Assumptions and Catalog'!$C$15),D$56*'Assumptions and Catalog'!$C$15*'Assumptions and Catalog'!$C$11*'Assumptions and Catalog'!$C$12)*C552,0)</f>
        <v>0</v>
      </c>
      <c r="J552" s="5" t="n">
        <f>MAX(F552-G552-0,0)</f>
        <v>0</v>
      </c>
      <c r="K552" s="5" t="n">
        <f>H552-I552</f>
        <v>0</v>
      </c>
      <c r="L552" s="5" t="n">
        <f>(D552+E552)*C552-G552-I552+H552+IF(D$52&gt;0,'Assumptions and Catalog'!$C$26*C552,0)</f>
        <v>2501.7</v>
      </c>
      <c r="M552" s="5" t="n">
        <f>IF(ISNUMBER(Inputs!$L$5),(IF(Inputs!$L$9="Actual flat rate",((D552+E552)*C552)*Inputs!$L$10,IF(Inputs!$C$9="Residential",IF(((D552+E552)*C552)&lt;='Assumptions and Catalog'!$C$50,((D552+E552)*C552)*'Assumptions and Catalog'!$H$50+'Assumptions and Catalog'!$E$50+'Assumptions and Catalog'!$F$50,IF(((D552+E552)*C552)&lt;='Assumptions and Catalog'!$C$51,((D552+E552)*C552)*'Assumptions and Catalog'!$H$51+'Assumptions and Catalog'!$E$51+'Assumptions and Catalog'!$F$51,IF(((D552+E552)*C552)&lt;='Assumptions and Catalog'!$C$52,((D552+E552)*C552)*'Assumptions and Catalog'!$H$52+'Assumptions and Catalog'!$E$52+'Assumptions and Catalog'!$F$52,IF(((D552+E552)*C552)&lt;='Assumptions and Catalog'!$C$53,((D552+E552)*C552)*'Assumptions and Catalog'!$H$53+'Assumptions and Catalog'!$E$53+'Assumptions and Catalog'!$F$53,IF(((D552+E552)*C552)&lt;='Assumptions and Catalog'!$C$54,((D552+E552)*C552)*'Assumptions and Catalog'!$H$54+'Assumptions and Catalog'!$E$54+'Assumptions and Catalog'!$F$54,IF(((D552+E552)*C552)&lt;='Assumptions and Catalog'!$C$55,((D552+E552)*C552)*'Assumptions and Catalog'!$H$55+'Assumptions and Catalog'!$E$55+'Assumptions and Catalog'!$F$55,IF(((D552+E552)*C552)&lt;='Assumptions and Catalog'!$C$56,((D552+E552)*C552)*'Assumptions and Catalog'!$H$56+'Assumptions and Catalog'!$E$56+'Assumptions and Catalog'!$F$56,IF(((D552+E552)*C552)&lt;='Assumptions and Catalog'!$C$57,((D552+E552)*C552)*'Assumptions and Catalog'!$H$57+'Assumptions and Catalog'!$E$57+'Assumptions and Catalog'!$F$57,"Out of range")))))))),IF(((D552+E552)*C552)&lt;='Assumptions and Catalog'!$C$60,((D552+E552)*C552)*'Assumptions and Catalog'!$H$60+'Assumptions and Catalog'!$E$60+'Assumptions and Catalog'!$F$60,IF(((D552+E552)*C552)&lt;='Assumptions and Catalog'!$C$61,((D552+E552)*C552)*'Assumptions and Catalog'!$H$61+'Assumptions and Catalog'!$E$61+'Assumptions and Catalog'!$F$61,IF(((D552+E552)*C552)&lt;='Assumptions and Catalog'!$C$62,((D552+E552)*C552)*'Assumptions and Catalog'!$H$62+'Assumptions and Catalog'!$E$62+'Assumptions and Catalog'!$F$62,IF(((D552+E552)*C552)&lt;='Assumptions and Catalog'!$C$63,((D552+E552)*C552)*'Assumptions and Catalog'!$H$63+'Assumptions and Catalog'!$E$63+'Assumptions and Catalog'!$F$63,IF(((D552+E552)*C552)&lt;='Assumptions and Catalog'!$C$64,((D552+E552)*C552)*'Assumptions and Catalog'!$H$64+'Assumptions and Catalog'!$E$64+'Assumptions and Catalog'!$F$64,IF(((D552+E552)*C552)&lt;='Assumptions and Catalog'!$C$65,((D552+E552)*C552)*'Assumptions and Catalog'!$H$65+'Assumptions and Catalog'!$E$65+'Assumptions and Catalog'!$F$65,"Out of range")))))))))*(1+'Assumptions and Catalog'!$C$8)^(A552-1),0)</f>
        <v>7094.794</v>
      </c>
      <c r="N552" s="5" t="n">
        <f>IF(ISNUMBER(Inputs!$L$5),(IF(Inputs!$L$9="Actual flat rate",L552*Inputs!$L$10,IF(Inputs!$C$9="Residential",IF(L552&lt;='Assumptions and Catalog'!$C$50,L552*'Assumptions and Catalog'!$H$50+'Assumptions and Catalog'!$E$50+'Assumptions and Catalog'!$F$50,IF(L552&lt;='Assumptions and Catalog'!$C$51,L552*'Assumptions and Catalog'!$H$51+'Assumptions and Catalog'!$E$51+'Assumptions and Catalog'!$F$51,IF(L552&lt;='Assumptions and Catalog'!$C$52,L552*'Assumptions and Catalog'!$H$52+'Assumptions and Catalog'!$E$52+'Assumptions and Catalog'!$F$52,IF(L552&lt;='Assumptions and Catalog'!$C$53,L552*'Assumptions and Catalog'!$H$53+'Assumptions and Catalog'!$E$53+'Assumptions and Catalog'!$F$53,IF(L552&lt;='Assumptions and Catalog'!$C$54,L552*'Assumptions and Catalog'!$H$54+'Assumptions and Catalog'!$E$54+'Assumptions and Catalog'!$F$54,IF(L552&lt;='Assumptions and Catalog'!$C$55,L552*'Assumptions and Catalog'!$H$55+'Assumptions and Catalog'!$E$55+'Assumptions and Catalog'!$F$55,IF(L552&lt;='Assumptions and Catalog'!$C$56,L552*'Assumptions and Catalog'!$H$56+'Assumptions and Catalog'!$E$56+'Assumptions and Catalog'!$F$56,IF(L552&lt;='Assumptions and Catalog'!$C$57,L552*'Assumptions and Catalog'!$H$57+'Assumptions and Catalog'!$E$57+'Assumptions and Catalog'!$F$57,"Out of range")))))))),IF(L552&lt;='Assumptions and Catalog'!$C$60,L552*'Assumptions and Catalog'!$H$60+'Assumptions and Catalog'!$E$60+'Assumptions and Catalog'!$F$60,IF(L552&lt;='Assumptions and Catalog'!$C$61,L552*'Assumptions and Catalog'!$H$61+'Assumptions and Catalog'!$E$61+'Assumptions and Catalog'!$F$61,IF(L552&lt;='Assumptions and Catalog'!$C$62,L552*'Assumptions and Catalog'!$H$62+'Assumptions and Catalog'!$E$62+'Assumptions and Catalog'!$F$62,IF(L552&lt;='Assumptions and Catalog'!$C$63,L552*'Assumptions and Catalog'!$H$63+'Assumptions and Catalog'!$E$63+'Assumptions and Catalog'!$F$63,IF(L552&lt;='Assumptions and Catalog'!$C$64,L552*'Assumptions and Catalog'!$H$64+'Assumptions and Catalog'!$E$64+'Assumptions and Catalog'!$F$64,IF(L552&lt;='Assumptions and Catalog'!$C$65,L552*'Assumptions and Catalog'!$H$65+'Assumptions and Catalog'!$E$65+'Assumptions and Catalog'!$F$65,"Out of range")))))))))*(1+'Assumptions and Catalog'!$C$8)^(A552-1),0)</f>
        <v>7094.794</v>
      </c>
      <c r="O552" s="5" t="n">
        <f>M552-N552</f>
        <v>0</v>
      </c>
      <c r="P552" s="5" t="n">
        <f>D$55*(1-K$14)*(1-'Assumptions and Catalog'!$C$23)^R552</f>
        <v>0</v>
      </c>
      <c r="Q552" s="5" t="n">
        <f>IF(ISNUMBER(Inputs!$L$5),(IF(Inputs!$L$9="Actual flat rate",((D552+E552)*C552-G552)*Inputs!$L$10,IF(Inputs!$C$9="Residential",IF(((D552+E552)*C552-G552)&lt;='Assumptions and Catalog'!$C$50,((D552+E552)*C552-G552)*'Assumptions and Catalog'!$H$50+'Assumptions and Catalog'!$E$50+'Assumptions and Catalog'!$F$50,IF(((D552+E552)*C552-G552)&lt;='Assumptions and Catalog'!$C$51,((D552+E552)*C552-G552)*'Assumptions and Catalog'!$H$51+'Assumptions and Catalog'!$E$51+'Assumptions and Catalog'!$F$51,IF(((D552+E552)*C552-G552)&lt;='Assumptions and Catalog'!$C$52,((D552+E552)*C552-G552)*'Assumptions and Catalog'!$H$52+'Assumptions and Catalog'!$E$52+'Assumptions and Catalog'!$F$52,IF(((D552+E552)*C552-G552)&lt;='Assumptions and Catalog'!$C$53,((D552+E552)*C552-G552)*'Assumptions and Catalog'!$H$53+'Assumptions and Catalog'!$E$53+'Assumptions and Catalog'!$F$53,IF(((D552+E552)*C552-G552)&lt;='Assumptions and Catalog'!$C$54,((D552+E552)*C552-G552)*'Assumptions and Catalog'!$H$54+'Assumptions and Catalog'!$E$54+'Assumptions and Catalog'!$F$54,IF(((D552+E552)*C552-G552)&lt;='Assumptions and Catalog'!$C$55,((D552+E552)*C552-G552)*'Assumptions and Catalog'!$H$55+'Assumptions and Catalog'!$E$55+'Assumptions and Catalog'!$F$55,IF(((D552+E552)*C552-G552)&lt;='Assumptions and Catalog'!$C$56,((D552+E552)*C552-G552)*'Assumptions and Catalog'!$H$56+'Assumptions and Catalog'!$E$56+'Assumptions and Catalog'!$F$56,IF(((D552+E552)*C552-G552)&lt;='Assumptions and Catalog'!$C$57,((D552+E552)*C552-G552)*'Assumptions and Catalog'!$H$57+'Assumptions and Catalog'!$E$57+'Assumptions and Catalog'!$F$57,"Out of range")))))))),IF(((D552+E552)*C552-G552)&lt;='Assumptions and Catalog'!$C$60,((D552+E552)*C552-G552)*'Assumptions and Catalog'!$H$60+'Assumptions and Catalog'!$E$60+'Assumptions and Catalog'!$F$60,IF(((D552+E552)*C552-G552)&lt;='Assumptions and Catalog'!$C$61,((D552+E552)*C552-G552)*'Assumptions and Catalog'!$H$61+'Assumptions and Catalog'!$E$61+'Assumptions and Catalog'!$F$61,IF(((D552+E552)*C552-G552)&lt;='Assumptions and Catalog'!$C$62,((D552+E552)*C552-G552)*'Assumptions and Catalog'!$H$62+'Assumptions and Catalog'!$E$62+'Assumptions and Catalog'!$F$62,IF(((D552+E552)*C552-G552)&lt;='Assumptions and Catalog'!$C$63,((D552+E552)*C552-G552)*'Assumptions and Catalog'!$H$63+'Assumptions and Catalog'!$E$63+'Assumptions and Catalog'!$F$63,IF(((D552+E552)*C552-G552)&lt;='Assumptions and Catalog'!$C$64,((D552+E552)*C552-G552)*'Assumptions and Catalog'!$H$64+'Assumptions and Catalog'!$E$64+'Assumptions and Catalog'!$F$64,IF(((D552+E552)*C552-G552)&lt;='Assumptions and Catalog'!$C$65,((D552+E552)*C552-G552)*'Assumptions and Catalog'!$H$65+'Assumptions and Catalog'!$E$65+'Assumptions and Catalog'!$F$65,"Out of range")))))))))*(1+'Assumptions and Catalog'!$C$8)^(A552-1),0)</f>
        <v>7094.794</v>
      </c>
      <c r="R552" s="5" t="n">
        <f>IF(AND('Assumptions and Catalog'!$C$19&gt;0,A552&gt;='Assumptions and Catalog'!$C$19),A552-'Assumptions and Catalog'!$C$19,A552-1)</f>
        <v>1</v>
      </c>
      <c r="S552" s="5" t="n">
        <f>F552+L552-(D552+E552)*C552-J552-K552-IF(D$52&gt;0,'Assumptions and Catalog'!$C$26*C552,0)</f>
        <v>0</v>
      </c>
      <c r="T552" s="5"/>
      <c r="U552" s="5"/>
    </row>
    <row r="553" ht="23.100000381469727" customHeight="1">
      <c r="A553" s="5" t="n">
        <v>12</v>
      </c>
      <c r="B553" s="5" t="n">
        <v>11</v>
      </c>
      <c r="C553" s="5" t="n">
        <f>DAY(DATE('Assumptions and Catalog'!$C$24+A553-1,B553+1,0))</f>
        <v>30</v>
      </c>
      <c r="D553" s="5" t="n">
        <f>IF(ISNUMBER(Inputs!$L$5),Inputs!$L$5*Inputs!$L$6,0)</f>
        <v>40.35</v>
      </c>
      <c r="E553" s="5" t="n">
        <f>IF(ISNUMBER(Inputs!$L$5),Inputs!$L$5-D553,0)</f>
        <v>40.35</v>
      </c>
      <c r="F553" s="5" t="n">
        <f>D$51*'Assumptions and Catalog'!$C$31*C553*(1-'Assumptions and Catalog'!$C$10)^(A553-1)</f>
        <v>0</v>
      </c>
      <c r="G553" s="5" t="n">
        <f>MIN(F553,D553*C553)</f>
        <v>0</v>
      </c>
      <c r="H553" s="5" t="n">
        <f>I553/('Assumptions and Catalog'!$C$11*'Assumptions and Catalog'!$C$12)</f>
        <v>0</v>
      </c>
      <c r="I553" s="5" t="n">
        <f>IF(K$15="Grid cycle",MIN(K$16,D553+E553,P553*'Assumptions and Catalog'!$C$12,D$57*(24-'Assumptions and Catalog'!$C$15),D$56*'Assumptions and Catalog'!$C$15*'Assumptions and Catalog'!$C$11*'Assumptions and Catalog'!$C$12)*C553,0)</f>
        <v>0</v>
      </c>
      <c r="J553" s="5" t="n">
        <f>MAX(F553-G553-0,0)</f>
        <v>0</v>
      </c>
      <c r="K553" s="5" t="n">
        <f>H553-I553</f>
        <v>0</v>
      </c>
      <c r="L553" s="5" t="n">
        <f>(D553+E553)*C553-G553-I553+H553+IF(D$52&gt;0,'Assumptions and Catalog'!$C$26*C553,0)</f>
        <v>2421</v>
      </c>
      <c r="M553" s="5" t="n">
        <f>IF(ISNUMBER(Inputs!$L$5),(IF(Inputs!$L$9="Actual flat rate",((D553+E553)*C553)*Inputs!$L$10,IF(Inputs!$C$9="Residential",IF(((D553+E553)*C553)&lt;='Assumptions and Catalog'!$C$50,((D553+E553)*C553)*'Assumptions and Catalog'!$H$50+'Assumptions and Catalog'!$E$50+'Assumptions and Catalog'!$F$50,IF(((D553+E553)*C553)&lt;='Assumptions and Catalog'!$C$51,((D553+E553)*C553)*'Assumptions and Catalog'!$H$51+'Assumptions and Catalog'!$E$51+'Assumptions and Catalog'!$F$51,IF(((D553+E553)*C553)&lt;='Assumptions and Catalog'!$C$52,((D553+E553)*C553)*'Assumptions and Catalog'!$H$52+'Assumptions and Catalog'!$E$52+'Assumptions and Catalog'!$F$52,IF(((D553+E553)*C553)&lt;='Assumptions and Catalog'!$C$53,((D553+E553)*C553)*'Assumptions and Catalog'!$H$53+'Assumptions and Catalog'!$E$53+'Assumptions and Catalog'!$F$53,IF(((D553+E553)*C553)&lt;='Assumptions and Catalog'!$C$54,((D553+E553)*C553)*'Assumptions and Catalog'!$H$54+'Assumptions and Catalog'!$E$54+'Assumptions and Catalog'!$F$54,IF(((D553+E553)*C553)&lt;='Assumptions and Catalog'!$C$55,((D553+E553)*C553)*'Assumptions and Catalog'!$H$55+'Assumptions and Catalog'!$E$55+'Assumptions and Catalog'!$F$55,IF(((D553+E553)*C553)&lt;='Assumptions and Catalog'!$C$56,((D553+E553)*C553)*'Assumptions and Catalog'!$H$56+'Assumptions and Catalog'!$E$56+'Assumptions and Catalog'!$F$56,IF(((D553+E553)*C553)&lt;='Assumptions and Catalog'!$C$57,((D553+E553)*C553)*'Assumptions and Catalog'!$H$57+'Assumptions and Catalog'!$E$57+'Assumptions and Catalog'!$F$57,"Out of range")))))))),IF(((D553+E553)*C553)&lt;='Assumptions and Catalog'!$C$60,((D553+E553)*C553)*'Assumptions and Catalog'!$H$60+'Assumptions and Catalog'!$E$60+'Assumptions and Catalog'!$F$60,IF(((D553+E553)*C553)&lt;='Assumptions and Catalog'!$C$61,((D553+E553)*C553)*'Assumptions and Catalog'!$H$61+'Assumptions and Catalog'!$E$61+'Assumptions and Catalog'!$F$61,IF(((D553+E553)*C553)&lt;='Assumptions and Catalog'!$C$62,((D553+E553)*C553)*'Assumptions and Catalog'!$H$62+'Assumptions and Catalog'!$E$62+'Assumptions and Catalog'!$F$62,IF(((D553+E553)*C553)&lt;='Assumptions and Catalog'!$C$63,((D553+E553)*C553)*'Assumptions and Catalog'!$H$63+'Assumptions and Catalog'!$E$63+'Assumptions and Catalog'!$F$63,IF(((D553+E553)*C553)&lt;='Assumptions and Catalog'!$C$64,((D553+E553)*C553)*'Assumptions and Catalog'!$H$64+'Assumptions and Catalog'!$E$64+'Assumptions and Catalog'!$F$64,IF(((D553+E553)*C553)&lt;='Assumptions and Catalog'!$C$65,((D553+E553)*C553)*'Assumptions and Catalog'!$H$65+'Assumptions and Catalog'!$E$65+'Assumptions and Catalog'!$F$65,"Out of range")))))))))*(1+'Assumptions and Catalog'!$C$8)^(A553-1),0)</f>
        <v>6867.22</v>
      </c>
      <c r="N553" s="5" t="n">
        <f>IF(ISNUMBER(Inputs!$L$5),(IF(Inputs!$L$9="Actual flat rate",L553*Inputs!$L$10,IF(Inputs!$C$9="Residential",IF(L553&lt;='Assumptions and Catalog'!$C$50,L553*'Assumptions and Catalog'!$H$50+'Assumptions and Catalog'!$E$50+'Assumptions and Catalog'!$F$50,IF(L553&lt;='Assumptions and Catalog'!$C$51,L553*'Assumptions and Catalog'!$H$51+'Assumptions and Catalog'!$E$51+'Assumptions and Catalog'!$F$51,IF(L553&lt;='Assumptions and Catalog'!$C$52,L553*'Assumptions and Catalog'!$H$52+'Assumptions and Catalog'!$E$52+'Assumptions and Catalog'!$F$52,IF(L553&lt;='Assumptions and Catalog'!$C$53,L553*'Assumptions and Catalog'!$H$53+'Assumptions and Catalog'!$E$53+'Assumptions and Catalog'!$F$53,IF(L553&lt;='Assumptions and Catalog'!$C$54,L553*'Assumptions and Catalog'!$H$54+'Assumptions and Catalog'!$E$54+'Assumptions and Catalog'!$F$54,IF(L553&lt;='Assumptions and Catalog'!$C$55,L553*'Assumptions and Catalog'!$H$55+'Assumptions and Catalog'!$E$55+'Assumptions and Catalog'!$F$55,IF(L553&lt;='Assumptions and Catalog'!$C$56,L553*'Assumptions and Catalog'!$H$56+'Assumptions and Catalog'!$E$56+'Assumptions and Catalog'!$F$56,IF(L553&lt;='Assumptions and Catalog'!$C$57,L553*'Assumptions and Catalog'!$H$57+'Assumptions and Catalog'!$E$57+'Assumptions and Catalog'!$F$57,"Out of range")))))))),IF(L553&lt;='Assumptions and Catalog'!$C$60,L553*'Assumptions and Catalog'!$H$60+'Assumptions and Catalog'!$E$60+'Assumptions and Catalog'!$F$60,IF(L553&lt;='Assumptions and Catalog'!$C$61,L553*'Assumptions and Catalog'!$H$61+'Assumptions and Catalog'!$E$61+'Assumptions and Catalog'!$F$61,IF(L553&lt;='Assumptions and Catalog'!$C$62,L553*'Assumptions and Catalog'!$H$62+'Assumptions and Catalog'!$E$62+'Assumptions and Catalog'!$F$62,IF(L553&lt;='Assumptions and Catalog'!$C$63,L553*'Assumptions and Catalog'!$H$63+'Assumptions and Catalog'!$E$63+'Assumptions and Catalog'!$F$63,IF(L553&lt;='Assumptions and Catalog'!$C$64,L553*'Assumptions and Catalog'!$H$64+'Assumptions and Catalog'!$E$64+'Assumptions and Catalog'!$F$64,IF(L553&lt;='Assumptions and Catalog'!$C$65,L553*'Assumptions and Catalog'!$H$65+'Assumptions and Catalog'!$E$65+'Assumptions and Catalog'!$F$65,"Out of range")))))))))*(1+'Assumptions and Catalog'!$C$8)^(A553-1),0)</f>
        <v>6867.22</v>
      </c>
      <c r="O553" s="5" t="n">
        <f>M553-N553</f>
        <v>0</v>
      </c>
      <c r="P553" s="5" t="n">
        <f>D$55*(1-K$14)*(1-'Assumptions and Catalog'!$C$23)^R553</f>
        <v>0</v>
      </c>
      <c r="Q553" s="5" t="n">
        <f>IF(ISNUMBER(Inputs!$L$5),(IF(Inputs!$L$9="Actual flat rate",((D553+E553)*C553-G553)*Inputs!$L$10,IF(Inputs!$C$9="Residential",IF(((D553+E553)*C553-G553)&lt;='Assumptions and Catalog'!$C$50,((D553+E553)*C553-G553)*'Assumptions and Catalog'!$H$50+'Assumptions and Catalog'!$E$50+'Assumptions and Catalog'!$F$50,IF(((D553+E553)*C553-G553)&lt;='Assumptions and Catalog'!$C$51,((D553+E553)*C553-G553)*'Assumptions and Catalog'!$H$51+'Assumptions and Catalog'!$E$51+'Assumptions and Catalog'!$F$51,IF(((D553+E553)*C553-G553)&lt;='Assumptions and Catalog'!$C$52,((D553+E553)*C553-G553)*'Assumptions and Catalog'!$H$52+'Assumptions and Catalog'!$E$52+'Assumptions and Catalog'!$F$52,IF(((D553+E553)*C553-G553)&lt;='Assumptions and Catalog'!$C$53,((D553+E553)*C553-G553)*'Assumptions and Catalog'!$H$53+'Assumptions and Catalog'!$E$53+'Assumptions and Catalog'!$F$53,IF(((D553+E553)*C553-G553)&lt;='Assumptions and Catalog'!$C$54,((D553+E553)*C553-G553)*'Assumptions and Catalog'!$H$54+'Assumptions and Catalog'!$E$54+'Assumptions and Catalog'!$F$54,IF(((D553+E553)*C553-G553)&lt;='Assumptions and Catalog'!$C$55,((D553+E553)*C553-G553)*'Assumptions and Catalog'!$H$55+'Assumptions and Catalog'!$E$55+'Assumptions and Catalog'!$F$55,IF(((D553+E553)*C553-G553)&lt;='Assumptions and Catalog'!$C$56,((D553+E553)*C553-G553)*'Assumptions and Catalog'!$H$56+'Assumptions and Catalog'!$E$56+'Assumptions and Catalog'!$F$56,IF(((D553+E553)*C553-G553)&lt;='Assumptions and Catalog'!$C$57,((D553+E553)*C553-G553)*'Assumptions and Catalog'!$H$57+'Assumptions and Catalog'!$E$57+'Assumptions and Catalog'!$F$57,"Out of range")))))))),IF(((D553+E553)*C553-G553)&lt;='Assumptions and Catalog'!$C$60,((D553+E553)*C553-G553)*'Assumptions and Catalog'!$H$60+'Assumptions and Catalog'!$E$60+'Assumptions and Catalog'!$F$60,IF(((D553+E553)*C553-G553)&lt;='Assumptions and Catalog'!$C$61,((D553+E553)*C553-G553)*'Assumptions and Catalog'!$H$61+'Assumptions and Catalog'!$E$61+'Assumptions and Catalog'!$F$61,IF(((D553+E553)*C553-G553)&lt;='Assumptions and Catalog'!$C$62,((D553+E553)*C553-G553)*'Assumptions and Catalog'!$H$62+'Assumptions and Catalog'!$E$62+'Assumptions and Catalog'!$F$62,IF(((D553+E553)*C553-G553)&lt;='Assumptions and Catalog'!$C$63,((D553+E553)*C553-G553)*'Assumptions and Catalog'!$H$63+'Assumptions and Catalog'!$E$63+'Assumptions and Catalog'!$F$63,IF(((D553+E553)*C553-G553)&lt;='Assumptions and Catalog'!$C$64,((D553+E553)*C553-G553)*'Assumptions and Catalog'!$H$64+'Assumptions and Catalog'!$E$64+'Assumptions and Catalog'!$F$64,IF(((D553+E553)*C553-G553)&lt;='Assumptions and Catalog'!$C$65,((D553+E553)*C553-G553)*'Assumptions and Catalog'!$H$65+'Assumptions and Catalog'!$E$65+'Assumptions and Catalog'!$F$65,"Out of range")))))))))*(1+'Assumptions and Catalog'!$C$8)^(A553-1),0)</f>
        <v>6867.22</v>
      </c>
      <c r="R553" s="5" t="n">
        <f>IF(AND('Assumptions and Catalog'!$C$19&gt;0,A553&gt;='Assumptions and Catalog'!$C$19),A553-'Assumptions and Catalog'!$C$19,A553-1)</f>
        <v>1</v>
      </c>
      <c r="S553" s="5" t="n">
        <f>F553+L553-(D553+E553)*C553-J553-K553-IF(D$52&gt;0,'Assumptions and Catalog'!$C$26*C553,0)</f>
        <v>0</v>
      </c>
      <c r="T553" s="5"/>
      <c r="U553" s="5"/>
    </row>
    <row r="554" ht="23.100000381469727" customHeight="1">
      <c r="A554" s="5" t="n">
        <v>12</v>
      </c>
      <c r="B554" s="5" t="n">
        <v>12</v>
      </c>
      <c r="C554" s="5" t="n">
        <f>DAY(DATE('Assumptions and Catalog'!$C$24+A554-1,B554+1,0))</f>
        <v>31</v>
      </c>
      <c r="D554" s="5" t="n">
        <f>IF(ISNUMBER(Inputs!$L$5),Inputs!$L$5*Inputs!$L$6,0)</f>
        <v>40.35</v>
      </c>
      <c r="E554" s="5" t="n">
        <f>IF(ISNUMBER(Inputs!$L$5),Inputs!$L$5-D554,0)</f>
        <v>40.35</v>
      </c>
      <c r="F554" s="5" t="n">
        <f>D$51*'Assumptions and Catalog'!$C$31*C554*(1-'Assumptions and Catalog'!$C$10)^(A554-1)</f>
        <v>0</v>
      </c>
      <c r="G554" s="5" t="n">
        <f>MIN(F554,D554*C554)</f>
        <v>0</v>
      </c>
      <c r="H554" s="5" t="n">
        <f>I554/('Assumptions and Catalog'!$C$11*'Assumptions and Catalog'!$C$12)</f>
        <v>0</v>
      </c>
      <c r="I554" s="5" t="n">
        <f>IF(K$15="Grid cycle",MIN(K$16,D554+E554,P554*'Assumptions and Catalog'!$C$12,D$57*(24-'Assumptions and Catalog'!$C$15),D$56*'Assumptions and Catalog'!$C$15*'Assumptions and Catalog'!$C$11*'Assumptions and Catalog'!$C$12)*C554,0)</f>
        <v>0</v>
      </c>
      <c r="J554" s="5" t="n">
        <f>MAX(F554-G554-0,0)</f>
        <v>0</v>
      </c>
      <c r="K554" s="5" t="n">
        <f>H554-I554</f>
        <v>0</v>
      </c>
      <c r="L554" s="5" t="n">
        <f>(D554+E554)*C554-G554-I554+H554+IF(D$52&gt;0,'Assumptions and Catalog'!$C$26*C554,0)</f>
        <v>2501.7</v>
      </c>
      <c r="M554" s="5" t="n">
        <f>IF(ISNUMBER(Inputs!$L$5),(IF(Inputs!$L$9="Actual flat rate",((D554+E554)*C554)*Inputs!$L$10,IF(Inputs!$C$9="Residential",IF(((D554+E554)*C554)&lt;='Assumptions and Catalog'!$C$50,((D554+E554)*C554)*'Assumptions and Catalog'!$H$50+'Assumptions and Catalog'!$E$50+'Assumptions and Catalog'!$F$50,IF(((D554+E554)*C554)&lt;='Assumptions and Catalog'!$C$51,((D554+E554)*C554)*'Assumptions and Catalog'!$H$51+'Assumptions and Catalog'!$E$51+'Assumptions and Catalog'!$F$51,IF(((D554+E554)*C554)&lt;='Assumptions and Catalog'!$C$52,((D554+E554)*C554)*'Assumptions and Catalog'!$H$52+'Assumptions and Catalog'!$E$52+'Assumptions and Catalog'!$F$52,IF(((D554+E554)*C554)&lt;='Assumptions and Catalog'!$C$53,((D554+E554)*C554)*'Assumptions and Catalog'!$H$53+'Assumptions and Catalog'!$E$53+'Assumptions and Catalog'!$F$53,IF(((D554+E554)*C554)&lt;='Assumptions and Catalog'!$C$54,((D554+E554)*C554)*'Assumptions and Catalog'!$H$54+'Assumptions and Catalog'!$E$54+'Assumptions and Catalog'!$F$54,IF(((D554+E554)*C554)&lt;='Assumptions and Catalog'!$C$55,((D554+E554)*C554)*'Assumptions and Catalog'!$H$55+'Assumptions and Catalog'!$E$55+'Assumptions and Catalog'!$F$55,IF(((D554+E554)*C554)&lt;='Assumptions and Catalog'!$C$56,((D554+E554)*C554)*'Assumptions and Catalog'!$H$56+'Assumptions and Catalog'!$E$56+'Assumptions and Catalog'!$F$56,IF(((D554+E554)*C554)&lt;='Assumptions and Catalog'!$C$57,((D554+E554)*C554)*'Assumptions and Catalog'!$H$57+'Assumptions and Catalog'!$E$57+'Assumptions and Catalog'!$F$57,"Out of range")))))))),IF(((D554+E554)*C554)&lt;='Assumptions and Catalog'!$C$60,((D554+E554)*C554)*'Assumptions and Catalog'!$H$60+'Assumptions and Catalog'!$E$60+'Assumptions and Catalog'!$F$60,IF(((D554+E554)*C554)&lt;='Assumptions and Catalog'!$C$61,((D554+E554)*C554)*'Assumptions and Catalog'!$H$61+'Assumptions and Catalog'!$E$61+'Assumptions and Catalog'!$F$61,IF(((D554+E554)*C554)&lt;='Assumptions and Catalog'!$C$62,((D554+E554)*C554)*'Assumptions and Catalog'!$H$62+'Assumptions and Catalog'!$E$62+'Assumptions and Catalog'!$F$62,IF(((D554+E554)*C554)&lt;='Assumptions and Catalog'!$C$63,((D554+E554)*C554)*'Assumptions and Catalog'!$H$63+'Assumptions and Catalog'!$E$63+'Assumptions and Catalog'!$F$63,IF(((D554+E554)*C554)&lt;='Assumptions and Catalog'!$C$64,((D554+E554)*C554)*'Assumptions and Catalog'!$H$64+'Assumptions and Catalog'!$E$64+'Assumptions and Catalog'!$F$64,IF(((D554+E554)*C554)&lt;='Assumptions and Catalog'!$C$65,((D554+E554)*C554)*'Assumptions and Catalog'!$H$65+'Assumptions and Catalog'!$E$65+'Assumptions and Catalog'!$F$65,"Out of range")))))))))*(1+'Assumptions and Catalog'!$C$8)^(A554-1),0)</f>
        <v>7094.794</v>
      </c>
      <c r="N554" s="5" t="n">
        <f>IF(ISNUMBER(Inputs!$L$5),(IF(Inputs!$L$9="Actual flat rate",L554*Inputs!$L$10,IF(Inputs!$C$9="Residential",IF(L554&lt;='Assumptions and Catalog'!$C$50,L554*'Assumptions and Catalog'!$H$50+'Assumptions and Catalog'!$E$50+'Assumptions and Catalog'!$F$50,IF(L554&lt;='Assumptions and Catalog'!$C$51,L554*'Assumptions and Catalog'!$H$51+'Assumptions and Catalog'!$E$51+'Assumptions and Catalog'!$F$51,IF(L554&lt;='Assumptions and Catalog'!$C$52,L554*'Assumptions and Catalog'!$H$52+'Assumptions and Catalog'!$E$52+'Assumptions and Catalog'!$F$52,IF(L554&lt;='Assumptions and Catalog'!$C$53,L554*'Assumptions and Catalog'!$H$53+'Assumptions and Catalog'!$E$53+'Assumptions and Catalog'!$F$53,IF(L554&lt;='Assumptions and Catalog'!$C$54,L554*'Assumptions and Catalog'!$H$54+'Assumptions and Catalog'!$E$54+'Assumptions and Catalog'!$F$54,IF(L554&lt;='Assumptions and Catalog'!$C$55,L554*'Assumptions and Catalog'!$H$55+'Assumptions and Catalog'!$E$55+'Assumptions and Catalog'!$F$55,IF(L554&lt;='Assumptions and Catalog'!$C$56,L554*'Assumptions and Catalog'!$H$56+'Assumptions and Catalog'!$E$56+'Assumptions and Catalog'!$F$56,IF(L554&lt;='Assumptions and Catalog'!$C$57,L554*'Assumptions and Catalog'!$H$57+'Assumptions and Catalog'!$E$57+'Assumptions and Catalog'!$F$57,"Out of range")))))))),IF(L554&lt;='Assumptions and Catalog'!$C$60,L554*'Assumptions and Catalog'!$H$60+'Assumptions and Catalog'!$E$60+'Assumptions and Catalog'!$F$60,IF(L554&lt;='Assumptions and Catalog'!$C$61,L554*'Assumptions and Catalog'!$H$61+'Assumptions and Catalog'!$E$61+'Assumptions and Catalog'!$F$61,IF(L554&lt;='Assumptions and Catalog'!$C$62,L554*'Assumptions and Catalog'!$H$62+'Assumptions and Catalog'!$E$62+'Assumptions and Catalog'!$F$62,IF(L554&lt;='Assumptions and Catalog'!$C$63,L554*'Assumptions and Catalog'!$H$63+'Assumptions and Catalog'!$E$63+'Assumptions and Catalog'!$F$63,IF(L554&lt;='Assumptions and Catalog'!$C$64,L554*'Assumptions and Catalog'!$H$64+'Assumptions and Catalog'!$E$64+'Assumptions and Catalog'!$F$64,IF(L554&lt;='Assumptions and Catalog'!$C$65,L554*'Assumptions and Catalog'!$H$65+'Assumptions and Catalog'!$E$65+'Assumptions and Catalog'!$F$65,"Out of range")))))))))*(1+'Assumptions and Catalog'!$C$8)^(A554-1),0)</f>
        <v>7094.794</v>
      </c>
      <c r="O554" s="5" t="n">
        <f>M554-N554</f>
        <v>0</v>
      </c>
      <c r="P554" s="5" t="n">
        <f>D$55*(1-K$14)*(1-'Assumptions and Catalog'!$C$23)^R554</f>
        <v>0</v>
      </c>
      <c r="Q554" s="5" t="n">
        <f>IF(ISNUMBER(Inputs!$L$5),(IF(Inputs!$L$9="Actual flat rate",((D554+E554)*C554-G554)*Inputs!$L$10,IF(Inputs!$C$9="Residential",IF(((D554+E554)*C554-G554)&lt;='Assumptions and Catalog'!$C$50,((D554+E554)*C554-G554)*'Assumptions and Catalog'!$H$50+'Assumptions and Catalog'!$E$50+'Assumptions and Catalog'!$F$50,IF(((D554+E554)*C554-G554)&lt;='Assumptions and Catalog'!$C$51,((D554+E554)*C554-G554)*'Assumptions and Catalog'!$H$51+'Assumptions and Catalog'!$E$51+'Assumptions and Catalog'!$F$51,IF(((D554+E554)*C554-G554)&lt;='Assumptions and Catalog'!$C$52,((D554+E554)*C554-G554)*'Assumptions and Catalog'!$H$52+'Assumptions and Catalog'!$E$52+'Assumptions and Catalog'!$F$52,IF(((D554+E554)*C554-G554)&lt;='Assumptions and Catalog'!$C$53,((D554+E554)*C554-G554)*'Assumptions and Catalog'!$H$53+'Assumptions and Catalog'!$E$53+'Assumptions and Catalog'!$F$53,IF(((D554+E554)*C554-G554)&lt;='Assumptions and Catalog'!$C$54,((D554+E554)*C554-G554)*'Assumptions and Catalog'!$H$54+'Assumptions and Catalog'!$E$54+'Assumptions and Catalog'!$F$54,IF(((D554+E554)*C554-G554)&lt;='Assumptions and Catalog'!$C$55,((D554+E554)*C554-G554)*'Assumptions and Catalog'!$H$55+'Assumptions and Catalog'!$E$55+'Assumptions and Catalog'!$F$55,IF(((D554+E554)*C554-G554)&lt;='Assumptions and Catalog'!$C$56,((D554+E554)*C554-G554)*'Assumptions and Catalog'!$H$56+'Assumptions and Catalog'!$E$56+'Assumptions and Catalog'!$F$56,IF(((D554+E554)*C554-G554)&lt;='Assumptions and Catalog'!$C$57,((D554+E554)*C554-G554)*'Assumptions and Catalog'!$H$57+'Assumptions and Catalog'!$E$57+'Assumptions and Catalog'!$F$57,"Out of range")))))))),IF(((D554+E554)*C554-G554)&lt;='Assumptions and Catalog'!$C$60,((D554+E554)*C554-G554)*'Assumptions and Catalog'!$H$60+'Assumptions and Catalog'!$E$60+'Assumptions and Catalog'!$F$60,IF(((D554+E554)*C554-G554)&lt;='Assumptions and Catalog'!$C$61,((D554+E554)*C554-G554)*'Assumptions and Catalog'!$H$61+'Assumptions and Catalog'!$E$61+'Assumptions and Catalog'!$F$61,IF(((D554+E554)*C554-G554)&lt;='Assumptions and Catalog'!$C$62,((D554+E554)*C554-G554)*'Assumptions and Catalog'!$H$62+'Assumptions and Catalog'!$E$62+'Assumptions and Catalog'!$F$62,IF(((D554+E554)*C554-G554)&lt;='Assumptions and Catalog'!$C$63,((D554+E554)*C554-G554)*'Assumptions and Catalog'!$H$63+'Assumptions and Catalog'!$E$63+'Assumptions and Catalog'!$F$63,IF(((D554+E554)*C554-G554)&lt;='Assumptions and Catalog'!$C$64,((D554+E554)*C554-G554)*'Assumptions and Catalog'!$H$64+'Assumptions and Catalog'!$E$64+'Assumptions and Catalog'!$F$64,IF(((D554+E554)*C554-G554)&lt;='Assumptions and Catalog'!$C$65,((D554+E554)*C554-G554)*'Assumptions and Catalog'!$H$65+'Assumptions and Catalog'!$E$65+'Assumptions and Catalog'!$F$65,"Out of range")))))))))*(1+'Assumptions and Catalog'!$C$8)^(A554-1),0)</f>
        <v>7094.794</v>
      </c>
      <c r="R554" s="5" t="n">
        <f>IF(AND('Assumptions and Catalog'!$C$19&gt;0,A554&gt;='Assumptions and Catalog'!$C$19),A554-'Assumptions and Catalog'!$C$19,A554-1)</f>
        <v>1</v>
      </c>
      <c r="S554" s="5" t="n">
        <f>F554+L554-(D554+E554)*C554-J554-K554-IF(D$52&gt;0,'Assumptions and Catalog'!$C$26*C554,0)</f>
        <v>0</v>
      </c>
      <c r="T554" s="5"/>
      <c r="U554" s="5"/>
    </row>
    <row r="555" ht="23.100000381469727" customHeight="1">
      <c r="A555" s="5" t="n">
        <v>13</v>
      </c>
      <c r="B555" s="5" t="n">
        <v>1</v>
      </c>
      <c r="C555" s="5" t="n">
        <f>DAY(DATE('Assumptions and Catalog'!$C$24+A555-1,B555+1,0))</f>
        <v>31</v>
      </c>
      <c r="D555" s="5" t="n">
        <f>IF(ISNUMBER(Inputs!$L$5),Inputs!$L$5*Inputs!$L$6,0)</f>
        <v>40.35</v>
      </c>
      <c r="E555" s="5" t="n">
        <f>IF(ISNUMBER(Inputs!$L$5),Inputs!$L$5-D555,0)</f>
        <v>40.35</v>
      </c>
      <c r="F555" s="5" t="n">
        <f>D$51*'Assumptions and Catalog'!$C$31*C555*(1-'Assumptions and Catalog'!$C$10)^(A555-1)</f>
        <v>0</v>
      </c>
      <c r="G555" s="5" t="n">
        <f>MIN(F555,D555*C555)</f>
        <v>0</v>
      </c>
      <c r="H555" s="5" t="n">
        <f>I555/('Assumptions and Catalog'!$C$11*'Assumptions and Catalog'!$C$12)</f>
        <v>0</v>
      </c>
      <c r="I555" s="5" t="n">
        <f>IF(K$15="Grid cycle",MIN(K$16,D555+E555,P555*'Assumptions and Catalog'!$C$12,D$57*(24-'Assumptions and Catalog'!$C$15),D$56*'Assumptions and Catalog'!$C$15*'Assumptions and Catalog'!$C$11*'Assumptions and Catalog'!$C$12)*C555,0)</f>
        <v>0</v>
      </c>
      <c r="J555" s="5" t="n">
        <f>MAX(F555-G555-0,0)</f>
        <v>0</v>
      </c>
      <c r="K555" s="5" t="n">
        <f>H555-I555</f>
        <v>0</v>
      </c>
      <c r="L555" s="5" t="n">
        <f>(D555+E555)*C555-G555-I555+H555+IF(D$52&gt;0,'Assumptions and Catalog'!$C$26*C555,0)</f>
        <v>2501.7</v>
      </c>
      <c r="M555" s="5" t="n">
        <f>IF(ISNUMBER(Inputs!$L$5),(IF(Inputs!$L$9="Actual flat rate",((D555+E555)*C555)*Inputs!$L$10,IF(Inputs!$C$9="Residential",IF(((D555+E555)*C555)&lt;='Assumptions and Catalog'!$C$50,((D555+E555)*C555)*'Assumptions and Catalog'!$H$50+'Assumptions and Catalog'!$E$50+'Assumptions and Catalog'!$F$50,IF(((D555+E555)*C555)&lt;='Assumptions and Catalog'!$C$51,((D555+E555)*C555)*'Assumptions and Catalog'!$H$51+'Assumptions and Catalog'!$E$51+'Assumptions and Catalog'!$F$51,IF(((D555+E555)*C555)&lt;='Assumptions and Catalog'!$C$52,((D555+E555)*C555)*'Assumptions and Catalog'!$H$52+'Assumptions and Catalog'!$E$52+'Assumptions and Catalog'!$F$52,IF(((D555+E555)*C555)&lt;='Assumptions and Catalog'!$C$53,((D555+E555)*C555)*'Assumptions and Catalog'!$H$53+'Assumptions and Catalog'!$E$53+'Assumptions and Catalog'!$F$53,IF(((D555+E555)*C555)&lt;='Assumptions and Catalog'!$C$54,((D555+E555)*C555)*'Assumptions and Catalog'!$H$54+'Assumptions and Catalog'!$E$54+'Assumptions and Catalog'!$F$54,IF(((D555+E555)*C555)&lt;='Assumptions and Catalog'!$C$55,((D555+E555)*C555)*'Assumptions and Catalog'!$H$55+'Assumptions and Catalog'!$E$55+'Assumptions and Catalog'!$F$55,IF(((D555+E555)*C555)&lt;='Assumptions and Catalog'!$C$56,((D555+E555)*C555)*'Assumptions and Catalog'!$H$56+'Assumptions and Catalog'!$E$56+'Assumptions and Catalog'!$F$56,IF(((D555+E555)*C555)&lt;='Assumptions and Catalog'!$C$57,((D555+E555)*C555)*'Assumptions and Catalog'!$H$57+'Assumptions and Catalog'!$E$57+'Assumptions and Catalog'!$F$57,"Out of range")))))))),IF(((D555+E555)*C555)&lt;='Assumptions and Catalog'!$C$60,((D555+E555)*C555)*'Assumptions and Catalog'!$H$60+'Assumptions and Catalog'!$E$60+'Assumptions and Catalog'!$F$60,IF(((D555+E555)*C555)&lt;='Assumptions and Catalog'!$C$61,((D555+E555)*C555)*'Assumptions and Catalog'!$H$61+'Assumptions and Catalog'!$E$61+'Assumptions and Catalog'!$F$61,IF(((D555+E555)*C555)&lt;='Assumptions and Catalog'!$C$62,((D555+E555)*C555)*'Assumptions and Catalog'!$H$62+'Assumptions and Catalog'!$E$62+'Assumptions and Catalog'!$F$62,IF(((D555+E555)*C555)&lt;='Assumptions and Catalog'!$C$63,((D555+E555)*C555)*'Assumptions and Catalog'!$H$63+'Assumptions and Catalog'!$E$63+'Assumptions and Catalog'!$F$63,IF(((D555+E555)*C555)&lt;='Assumptions and Catalog'!$C$64,((D555+E555)*C555)*'Assumptions and Catalog'!$H$64+'Assumptions and Catalog'!$E$64+'Assumptions and Catalog'!$F$64,IF(((D555+E555)*C555)&lt;='Assumptions and Catalog'!$C$65,((D555+E555)*C555)*'Assumptions and Catalog'!$H$65+'Assumptions and Catalog'!$E$65+'Assumptions and Catalog'!$F$65,"Out of range")))))))))*(1+'Assumptions and Catalog'!$C$8)^(A555-1),0)</f>
        <v>7094.794</v>
      </c>
      <c r="N555" s="5" t="n">
        <f>IF(ISNUMBER(Inputs!$L$5),(IF(Inputs!$L$9="Actual flat rate",L555*Inputs!$L$10,IF(Inputs!$C$9="Residential",IF(L555&lt;='Assumptions and Catalog'!$C$50,L555*'Assumptions and Catalog'!$H$50+'Assumptions and Catalog'!$E$50+'Assumptions and Catalog'!$F$50,IF(L555&lt;='Assumptions and Catalog'!$C$51,L555*'Assumptions and Catalog'!$H$51+'Assumptions and Catalog'!$E$51+'Assumptions and Catalog'!$F$51,IF(L555&lt;='Assumptions and Catalog'!$C$52,L555*'Assumptions and Catalog'!$H$52+'Assumptions and Catalog'!$E$52+'Assumptions and Catalog'!$F$52,IF(L555&lt;='Assumptions and Catalog'!$C$53,L555*'Assumptions and Catalog'!$H$53+'Assumptions and Catalog'!$E$53+'Assumptions and Catalog'!$F$53,IF(L555&lt;='Assumptions and Catalog'!$C$54,L555*'Assumptions and Catalog'!$H$54+'Assumptions and Catalog'!$E$54+'Assumptions and Catalog'!$F$54,IF(L555&lt;='Assumptions and Catalog'!$C$55,L555*'Assumptions and Catalog'!$H$55+'Assumptions and Catalog'!$E$55+'Assumptions and Catalog'!$F$55,IF(L555&lt;='Assumptions and Catalog'!$C$56,L555*'Assumptions and Catalog'!$H$56+'Assumptions and Catalog'!$E$56+'Assumptions and Catalog'!$F$56,IF(L555&lt;='Assumptions and Catalog'!$C$57,L555*'Assumptions and Catalog'!$H$57+'Assumptions and Catalog'!$E$57+'Assumptions and Catalog'!$F$57,"Out of range")))))))),IF(L555&lt;='Assumptions and Catalog'!$C$60,L555*'Assumptions and Catalog'!$H$60+'Assumptions and Catalog'!$E$60+'Assumptions and Catalog'!$F$60,IF(L555&lt;='Assumptions and Catalog'!$C$61,L555*'Assumptions and Catalog'!$H$61+'Assumptions and Catalog'!$E$61+'Assumptions and Catalog'!$F$61,IF(L555&lt;='Assumptions and Catalog'!$C$62,L555*'Assumptions and Catalog'!$H$62+'Assumptions and Catalog'!$E$62+'Assumptions and Catalog'!$F$62,IF(L555&lt;='Assumptions and Catalog'!$C$63,L555*'Assumptions and Catalog'!$H$63+'Assumptions and Catalog'!$E$63+'Assumptions and Catalog'!$F$63,IF(L555&lt;='Assumptions and Catalog'!$C$64,L555*'Assumptions and Catalog'!$H$64+'Assumptions and Catalog'!$E$64+'Assumptions and Catalog'!$F$64,IF(L555&lt;='Assumptions and Catalog'!$C$65,L555*'Assumptions and Catalog'!$H$65+'Assumptions and Catalog'!$E$65+'Assumptions and Catalog'!$F$65,"Out of range")))))))))*(1+'Assumptions and Catalog'!$C$8)^(A555-1),0)</f>
        <v>7094.794</v>
      </c>
      <c r="O555" s="5" t="n">
        <f>M555-N555</f>
        <v>0</v>
      </c>
      <c r="P555" s="5" t="n">
        <f>D$55*(1-K$14)*(1-'Assumptions and Catalog'!$C$23)^R555</f>
        <v>0</v>
      </c>
      <c r="Q555" s="5" t="n">
        <f>IF(ISNUMBER(Inputs!$L$5),(IF(Inputs!$L$9="Actual flat rate",((D555+E555)*C555-G555)*Inputs!$L$10,IF(Inputs!$C$9="Residential",IF(((D555+E555)*C555-G555)&lt;='Assumptions and Catalog'!$C$50,((D555+E555)*C555-G555)*'Assumptions and Catalog'!$H$50+'Assumptions and Catalog'!$E$50+'Assumptions and Catalog'!$F$50,IF(((D555+E555)*C555-G555)&lt;='Assumptions and Catalog'!$C$51,((D555+E555)*C555-G555)*'Assumptions and Catalog'!$H$51+'Assumptions and Catalog'!$E$51+'Assumptions and Catalog'!$F$51,IF(((D555+E555)*C555-G555)&lt;='Assumptions and Catalog'!$C$52,((D555+E555)*C555-G555)*'Assumptions and Catalog'!$H$52+'Assumptions and Catalog'!$E$52+'Assumptions and Catalog'!$F$52,IF(((D555+E555)*C555-G555)&lt;='Assumptions and Catalog'!$C$53,((D555+E555)*C555-G555)*'Assumptions and Catalog'!$H$53+'Assumptions and Catalog'!$E$53+'Assumptions and Catalog'!$F$53,IF(((D555+E555)*C555-G555)&lt;='Assumptions and Catalog'!$C$54,((D555+E555)*C555-G555)*'Assumptions and Catalog'!$H$54+'Assumptions and Catalog'!$E$54+'Assumptions and Catalog'!$F$54,IF(((D555+E555)*C555-G555)&lt;='Assumptions and Catalog'!$C$55,((D555+E555)*C555-G555)*'Assumptions and Catalog'!$H$55+'Assumptions and Catalog'!$E$55+'Assumptions and Catalog'!$F$55,IF(((D555+E555)*C555-G555)&lt;='Assumptions and Catalog'!$C$56,((D555+E555)*C555-G555)*'Assumptions and Catalog'!$H$56+'Assumptions and Catalog'!$E$56+'Assumptions and Catalog'!$F$56,IF(((D555+E555)*C555-G555)&lt;='Assumptions and Catalog'!$C$57,((D555+E555)*C555-G555)*'Assumptions and Catalog'!$H$57+'Assumptions and Catalog'!$E$57+'Assumptions and Catalog'!$F$57,"Out of range")))))))),IF(((D555+E555)*C555-G555)&lt;='Assumptions and Catalog'!$C$60,((D555+E555)*C555-G555)*'Assumptions and Catalog'!$H$60+'Assumptions and Catalog'!$E$60+'Assumptions and Catalog'!$F$60,IF(((D555+E555)*C555-G555)&lt;='Assumptions and Catalog'!$C$61,((D555+E555)*C555-G555)*'Assumptions and Catalog'!$H$61+'Assumptions and Catalog'!$E$61+'Assumptions and Catalog'!$F$61,IF(((D555+E555)*C555-G555)&lt;='Assumptions and Catalog'!$C$62,((D555+E555)*C555-G555)*'Assumptions and Catalog'!$H$62+'Assumptions and Catalog'!$E$62+'Assumptions and Catalog'!$F$62,IF(((D555+E555)*C555-G555)&lt;='Assumptions and Catalog'!$C$63,((D555+E555)*C555-G555)*'Assumptions and Catalog'!$H$63+'Assumptions and Catalog'!$E$63+'Assumptions and Catalog'!$F$63,IF(((D555+E555)*C555-G555)&lt;='Assumptions and Catalog'!$C$64,((D555+E555)*C555-G555)*'Assumptions and Catalog'!$H$64+'Assumptions and Catalog'!$E$64+'Assumptions and Catalog'!$F$64,IF(((D555+E555)*C555-G555)&lt;='Assumptions and Catalog'!$C$65,((D555+E555)*C555-G555)*'Assumptions and Catalog'!$H$65+'Assumptions and Catalog'!$E$65+'Assumptions and Catalog'!$F$65,"Out of range")))))))))*(1+'Assumptions and Catalog'!$C$8)^(A555-1),0)</f>
        <v>7094.794</v>
      </c>
      <c r="R555" s="5" t="n">
        <f>IF(AND('Assumptions and Catalog'!$C$19&gt;0,A555&gt;='Assumptions and Catalog'!$C$19),A555-'Assumptions and Catalog'!$C$19,A555-1)</f>
        <v>2</v>
      </c>
      <c r="S555" s="5" t="n">
        <f>F555+L555-(D555+E555)*C555-J555-K555-IF(D$52&gt;0,'Assumptions and Catalog'!$C$26*C555,0)</f>
        <v>0</v>
      </c>
      <c r="T555" s="5"/>
      <c r="U555" s="5"/>
    </row>
    <row r="556" ht="23.100000381469727" customHeight="1">
      <c r="A556" s="5" t="n">
        <v>13</v>
      </c>
      <c r="B556" s="5" t="n">
        <v>2</v>
      </c>
      <c r="C556" s="5" t="n">
        <f>DAY(DATE('Assumptions and Catalog'!$C$24+A556-1,B556+1,0))</f>
        <v>28</v>
      </c>
      <c r="D556" s="5" t="n">
        <f>IF(ISNUMBER(Inputs!$L$5),Inputs!$L$5*Inputs!$L$6,0)</f>
        <v>40.35</v>
      </c>
      <c r="E556" s="5" t="n">
        <f>IF(ISNUMBER(Inputs!$L$5),Inputs!$L$5-D556,0)</f>
        <v>40.35</v>
      </c>
      <c r="F556" s="5" t="n">
        <f>D$51*'Assumptions and Catalog'!$C$31*C556*(1-'Assumptions and Catalog'!$C$10)^(A556-1)</f>
        <v>0</v>
      </c>
      <c r="G556" s="5" t="n">
        <f>MIN(F556,D556*C556)</f>
        <v>0</v>
      </c>
      <c r="H556" s="5" t="n">
        <f>I556/('Assumptions and Catalog'!$C$11*'Assumptions and Catalog'!$C$12)</f>
        <v>0</v>
      </c>
      <c r="I556" s="5" t="n">
        <f>IF(K$15="Grid cycle",MIN(K$16,D556+E556,P556*'Assumptions and Catalog'!$C$12,D$57*(24-'Assumptions and Catalog'!$C$15),D$56*'Assumptions and Catalog'!$C$15*'Assumptions and Catalog'!$C$11*'Assumptions and Catalog'!$C$12)*C556,0)</f>
        <v>0</v>
      </c>
      <c r="J556" s="5" t="n">
        <f>MAX(F556-G556-0,0)</f>
        <v>0</v>
      </c>
      <c r="K556" s="5" t="n">
        <f>H556-I556</f>
        <v>0</v>
      </c>
      <c r="L556" s="5" t="n">
        <f>(D556+E556)*C556-G556-I556+H556+IF(D$52&gt;0,'Assumptions and Catalog'!$C$26*C556,0)</f>
        <v>2259.6</v>
      </c>
      <c r="M556" s="5" t="n">
        <f>IF(ISNUMBER(Inputs!$L$5),(IF(Inputs!$L$9="Actual flat rate",((D556+E556)*C556)*Inputs!$L$10,IF(Inputs!$C$9="Residential",IF(((D556+E556)*C556)&lt;='Assumptions and Catalog'!$C$50,((D556+E556)*C556)*'Assumptions and Catalog'!$H$50+'Assumptions and Catalog'!$E$50+'Assumptions and Catalog'!$F$50,IF(((D556+E556)*C556)&lt;='Assumptions and Catalog'!$C$51,((D556+E556)*C556)*'Assumptions and Catalog'!$H$51+'Assumptions and Catalog'!$E$51+'Assumptions and Catalog'!$F$51,IF(((D556+E556)*C556)&lt;='Assumptions and Catalog'!$C$52,((D556+E556)*C556)*'Assumptions and Catalog'!$H$52+'Assumptions and Catalog'!$E$52+'Assumptions and Catalog'!$F$52,IF(((D556+E556)*C556)&lt;='Assumptions and Catalog'!$C$53,((D556+E556)*C556)*'Assumptions and Catalog'!$H$53+'Assumptions and Catalog'!$E$53+'Assumptions and Catalog'!$F$53,IF(((D556+E556)*C556)&lt;='Assumptions and Catalog'!$C$54,((D556+E556)*C556)*'Assumptions and Catalog'!$H$54+'Assumptions and Catalog'!$E$54+'Assumptions and Catalog'!$F$54,IF(((D556+E556)*C556)&lt;='Assumptions and Catalog'!$C$55,((D556+E556)*C556)*'Assumptions and Catalog'!$H$55+'Assumptions and Catalog'!$E$55+'Assumptions and Catalog'!$F$55,IF(((D556+E556)*C556)&lt;='Assumptions and Catalog'!$C$56,((D556+E556)*C556)*'Assumptions and Catalog'!$H$56+'Assumptions and Catalog'!$E$56+'Assumptions and Catalog'!$F$56,IF(((D556+E556)*C556)&lt;='Assumptions and Catalog'!$C$57,((D556+E556)*C556)*'Assumptions and Catalog'!$H$57+'Assumptions and Catalog'!$E$57+'Assumptions and Catalog'!$F$57,"Out of range")))))))),IF(((D556+E556)*C556)&lt;='Assumptions and Catalog'!$C$60,((D556+E556)*C556)*'Assumptions and Catalog'!$H$60+'Assumptions and Catalog'!$E$60+'Assumptions and Catalog'!$F$60,IF(((D556+E556)*C556)&lt;='Assumptions and Catalog'!$C$61,((D556+E556)*C556)*'Assumptions and Catalog'!$H$61+'Assumptions and Catalog'!$E$61+'Assumptions and Catalog'!$F$61,IF(((D556+E556)*C556)&lt;='Assumptions and Catalog'!$C$62,((D556+E556)*C556)*'Assumptions and Catalog'!$H$62+'Assumptions and Catalog'!$E$62+'Assumptions and Catalog'!$F$62,IF(((D556+E556)*C556)&lt;='Assumptions and Catalog'!$C$63,((D556+E556)*C556)*'Assumptions and Catalog'!$H$63+'Assumptions and Catalog'!$E$63+'Assumptions and Catalog'!$F$63,IF(((D556+E556)*C556)&lt;='Assumptions and Catalog'!$C$64,((D556+E556)*C556)*'Assumptions and Catalog'!$H$64+'Assumptions and Catalog'!$E$64+'Assumptions and Catalog'!$F$64,IF(((D556+E556)*C556)&lt;='Assumptions and Catalog'!$C$65,((D556+E556)*C556)*'Assumptions and Catalog'!$H$65+'Assumptions and Catalog'!$E$65+'Assumptions and Catalog'!$F$65,"Out of range")))))))))*(1+'Assumptions and Catalog'!$C$8)^(A556-1),0)</f>
        <v>6412.072</v>
      </c>
      <c r="N556" s="5" t="n">
        <f>IF(ISNUMBER(Inputs!$L$5),(IF(Inputs!$L$9="Actual flat rate",L556*Inputs!$L$10,IF(Inputs!$C$9="Residential",IF(L556&lt;='Assumptions and Catalog'!$C$50,L556*'Assumptions and Catalog'!$H$50+'Assumptions and Catalog'!$E$50+'Assumptions and Catalog'!$F$50,IF(L556&lt;='Assumptions and Catalog'!$C$51,L556*'Assumptions and Catalog'!$H$51+'Assumptions and Catalog'!$E$51+'Assumptions and Catalog'!$F$51,IF(L556&lt;='Assumptions and Catalog'!$C$52,L556*'Assumptions and Catalog'!$H$52+'Assumptions and Catalog'!$E$52+'Assumptions and Catalog'!$F$52,IF(L556&lt;='Assumptions and Catalog'!$C$53,L556*'Assumptions and Catalog'!$H$53+'Assumptions and Catalog'!$E$53+'Assumptions and Catalog'!$F$53,IF(L556&lt;='Assumptions and Catalog'!$C$54,L556*'Assumptions and Catalog'!$H$54+'Assumptions and Catalog'!$E$54+'Assumptions and Catalog'!$F$54,IF(L556&lt;='Assumptions and Catalog'!$C$55,L556*'Assumptions and Catalog'!$H$55+'Assumptions and Catalog'!$E$55+'Assumptions and Catalog'!$F$55,IF(L556&lt;='Assumptions and Catalog'!$C$56,L556*'Assumptions and Catalog'!$H$56+'Assumptions and Catalog'!$E$56+'Assumptions and Catalog'!$F$56,IF(L556&lt;='Assumptions and Catalog'!$C$57,L556*'Assumptions and Catalog'!$H$57+'Assumptions and Catalog'!$E$57+'Assumptions and Catalog'!$F$57,"Out of range")))))))),IF(L556&lt;='Assumptions and Catalog'!$C$60,L556*'Assumptions and Catalog'!$H$60+'Assumptions and Catalog'!$E$60+'Assumptions and Catalog'!$F$60,IF(L556&lt;='Assumptions and Catalog'!$C$61,L556*'Assumptions and Catalog'!$H$61+'Assumptions and Catalog'!$E$61+'Assumptions and Catalog'!$F$61,IF(L556&lt;='Assumptions and Catalog'!$C$62,L556*'Assumptions and Catalog'!$H$62+'Assumptions and Catalog'!$E$62+'Assumptions and Catalog'!$F$62,IF(L556&lt;='Assumptions and Catalog'!$C$63,L556*'Assumptions and Catalog'!$H$63+'Assumptions and Catalog'!$E$63+'Assumptions and Catalog'!$F$63,IF(L556&lt;='Assumptions and Catalog'!$C$64,L556*'Assumptions and Catalog'!$H$64+'Assumptions and Catalog'!$E$64+'Assumptions and Catalog'!$F$64,IF(L556&lt;='Assumptions and Catalog'!$C$65,L556*'Assumptions and Catalog'!$H$65+'Assumptions and Catalog'!$E$65+'Assumptions and Catalog'!$F$65,"Out of range")))))))))*(1+'Assumptions and Catalog'!$C$8)^(A556-1),0)</f>
        <v>6412.072</v>
      </c>
      <c r="O556" s="5" t="n">
        <f>M556-N556</f>
        <v>0</v>
      </c>
      <c r="P556" s="5" t="n">
        <f>D$55*(1-K$14)*(1-'Assumptions and Catalog'!$C$23)^R556</f>
        <v>0</v>
      </c>
      <c r="Q556" s="5" t="n">
        <f>IF(ISNUMBER(Inputs!$L$5),(IF(Inputs!$L$9="Actual flat rate",((D556+E556)*C556-G556)*Inputs!$L$10,IF(Inputs!$C$9="Residential",IF(((D556+E556)*C556-G556)&lt;='Assumptions and Catalog'!$C$50,((D556+E556)*C556-G556)*'Assumptions and Catalog'!$H$50+'Assumptions and Catalog'!$E$50+'Assumptions and Catalog'!$F$50,IF(((D556+E556)*C556-G556)&lt;='Assumptions and Catalog'!$C$51,((D556+E556)*C556-G556)*'Assumptions and Catalog'!$H$51+'Assumptions and Catalog'!$E$51+'Assumptions and Catalog'!$F$51,IF(((D556+E556)*C556-G556)&lt;='Assumptions and Catalog'!$C$52,((D556+E556)*C556-G556)*'Assumptions and Catalog'!$H$52+'Assumptions and Catalog'!$E$52+'Assumptions and Catalog'!$F$52,IF(((D556+E556)*C556-G556)&lt;='Assumptions and Catalog'!$C$53,((D556+E556)*C556-G556)*'Assumptions and Catalog'!$H$53+'Assumptions and Catalog'!$E$53+'Assumptions and Catalog'!$F$53,IF(((D556+E556)*C556-G556)&lt;='Assumptions and Catalog'!$C$54,((D556+E556)*C556-G556)*'Assumptions and Catalog'!$H$54+'Assumptions and Catalog'!$E$54+'Assumptions and Catalog'!$F$54,IF(((D556+E556)*C556-G556)&lt;='Assumptions and Catalog'!$C$55,((D556+E556)*C556-G556)*'Assumptions and Catalog'!$H$55+'Assumptions and Catalog'!$E$55+'Assumptions and Catalog'!$F$55,IF(((D556+E556)*C556-G556)&lt;='Assumptions and Catalog'!$C$56,((D556+E556)*C556-G556)*'Assumptions and Catalog'!$H$56+'Assumptions and Catalog'!$E$56+'Assumptions and Catalog'!$F$56,IF(((D556+E556)*C556-G556)&lt;='Assumptions and Catalog'!$C$57,((D556+E556)*C556-G556)*'Assumptions and Catalog'!$H$57+'Assumptions and Catalog'!$E$57+'Assumptions and Catalog'!$F$57,"Out of range")))))))),IF(((D556+E556)*C556-G556)&lt;='Assumptions and Catalog'!$C$60,((D556+E556)*C556-G556)*'Assumptions and Catalog'!$H$60+'Assumptions and Catalog'!$E$60+'Assumptions and Catalog'!$F$60,IF(((D556+E556)*C556-G556)&lt;='Assumptions and Catalog'!$C$61,((D556+E556)*C556-G556)*'Assumptions and Catalog'!$H$61+'Assumptions and Catalog'!$E$61+'Assumptions and Catalog'!$F$61,IF(((D556+E556)*C556-G556)&lt;='Assumptions and Catalog'!$C$62,((D556+E556)*C556-G556)*'Assumptions and Catalog'!$H$62+'Assumptions and Catalog'!$E$62+'Assumptions and Catalog'!$F$62,IF(((D556+E556)*C556-G556)&lt;='Assumptions and Catalog'!$C$63,((D556+E556)*C556-G556)*'Assumptions and Catalog'!$H$63+'Assumptions and Catalog'!$E$63+'Assumptions and Catalog'!$F$63,IF(((D556+E556)*C556-G556)&lt;='Assumptions and Catalog'!$C$64,((D556+E556)*C556-G556)*'Assumptions and Catalog'!$H$64+'Assumptions and Catalog'!$E$64+'Assumptions and Catalog'!$F$64,IF(((D556+E556)*C556-G556)&lt;='Assumptions and Catalog'!$C$65,((D556+E556)*C556-G556)*'Assumptions and Catalog'!$H$65+'Assumptions and Catalog'!$E$65+'Assumptions and Catalog'!$F$65,"Out of range")))))))))*(1+'Assumptions and Catalog'!$C$8)^(A556-1),0)</f>
        <v>6412.072</v>
      </c>
      <c r="R556" s="5" t="n">
        <f>IF(AND('Assumptions and Catalog'!$C$19&gt;0,A556&gt;='Assumptions and Catalog'!$C$19),A556-'Assumptions and Catalog'!$C$19,A556-1)</f>
        <v>2</v>
      </c>
      <c r="S556" s="5" t="n">
        <f>F556+L556-(D556+E556)*C556-J556-K556-IF(D$52&gt;0,'Assumptions and Catalog'!$C$26*C556,0)</f>
        <v>0</v>
      </c>
      <c r="T556" s="5"/>
      <c r="U556" s="5"/>
    </row>
    <row r="557" ht="23.100000381469727" customHeight="1">
      <c r="A557" s="5" t="n">
        <v>13</v>
      </c>
      <c r="B557" s="5" t="n">
        <v>3</v>
      </c>
      <c r="C557" s="5" t="n">
        <f>DAY(DATE('Assumptions and Catalog'!$C$24+A557-1,B557+1,0))</f>
        <v>31</v>
      </c>
      <c r="D557" s="5" t="n">
        <f>IF(ISNUMBER(Inputs!$L$5),Inputs!$L$5*Inputs!$L$6,0)</f>
        <v>40.35</v>
      </c>
      <c r="E557" s="5" t="n">
        <f>IF(ISNUMBER(Inputs!$L$5),Inputs!$L$5-D557,0)</f>
        <v>40.35</v>
      </c>
      <c r="F557" s="5" t="n">
        <f>D$51*'Assumptions and Catalog'!$C$31*C557*(1-'Assumptions and Catalog'!$C$10)^(A557-1)</f>
        <v>0</v>
      </c>
      <c r="G557" s="5" t="n">
        <f>MIN(F557,D557*C557)</f>
        <v>0</v>
      </c>
      <c r="H557" s="5" t="n">
        <f>I557/('Assumptions and Catalog'!$C$11*'Assumptions and Catalog'!$C$12)</f>
        <v>0</v>
      </c>
      <c r="I557" s="5" t="n">
        <f>IF(K$15="Grid cycle",MIN(K$16,D557+E557,P557*'Assumptions and Catalog'!$C$12,D$57*(24-'Assumptions and Catalog'!$C$15),D$56*'Assumptions and Catalog'!$C$15*'Assumptions and Catalog'!$C$11*'Assumptions and Catalog'!$C$12)*C557,0)</f>
        <v>0</v>
      </c>
      <c r="J557" s="5" t="n">
        <f>MAX(F557-G557-0,0)</f>
        <v>0</v>
      </c>
      <c r="K557" s="5" t="n">
        <f>H557-I557</f>
        <v>0</v>
      </c>
      <c r="L557" s="5" t="n">
        <f>(D557+E557)*C557-G557-I557+H557+IF(D$52&gt;0,'Assumptions and Catalog'!$C$26*C557,0)</f>
        <v>2501.7</v>
      </c>
      <c r="M557" s="5" t="n">
        <f>IF(ISNUMBER(Inputs!$L$5),(IF(Inputs!$L$9="Actual flat rate",((D557+E557)*C557)*Inputs!$L$10,IF(Inputs!$C$9="Residential",IF(((D557+E557)*C557)&lt;='Assumptions and Catalog'!$C$50,((D557+E557)*C557)*'Assumptions and Catalog'!$H$50+'Assumptions and Catalog'!$E$50+'Assumptions and Catalog'!$F$50,IF(((D557+E557)*C557)&lt;='Assumptions and Catalog'!$C$51,((D557+E557)*C557)*'Assumptions and Catalog'!$H$51+'Assumptions and Catalog'!$E$51+'Assumptions and Catalog'!$F$51,IF(((D557+E557)*C557)&lt;='Assumptions and Catalog'!$C$52,((D557+E557)*C557)*'Assumptions and Catalog'!$H$52+'Assumptions and Catalog'!$E$52+'Assumptions and Catalog'!$F$52,IF(((D557+E557)*C557)&lt;='Assumptions and Catalog'!$C$53,((D557+E557)*C557)*'Assumptions and Catalog'!$H$53+'Assumptions and Catalog'!$E$53+'Assumptions and Catalog'!$F$53,IF(((D557+E557)*C557)&lt;='Assumptions and Catalog'!$C$54,((D557+E557)*C557)*'Assumptions and Catalog'!$H$54+'Assumptions and Catalog'!$E$54+'Assumptions and Catalog'!$F$54,IF(((D557+E557)*C557)&lt;='Assumptions and Catalog'!$C$55,((D557+E557)*C557)*'Assumptions and Catalog'!$H$55+'Assumptions and Catalog'!$E$55+'Assumptions and Catalog'!$F$55,IF(((D557+E557)*C557)&lt;='Assumptions and Catalog'!$C$56,((D557+E557)*C557)*'Assumptions and Catalog'!$H$56+'Assumptions and Catalog'!$E$56+'Assumptions and Catalog'!$F$56,IF(((D557+E557)*C557)&lt;='Assumptions and Catalog'!$C$57,((D557+E557)*C557)*'Assumptions and Catalog'!$H$57+'Assumptions and Catalog'!$E$57+'Assumptions and Catalog'!$F$57,"Out of range")))))))),IF(((D557+E557)*C557)&lt;='Assumptions and Catalog'!$C$60,((D557+E557)*C557)*'Assumptions and Catalog'!$H$60+'Assumptions and Catalog'!$E$60+'Assumptions and Catalog'!$F$60,IF(((D557+E557)*C557)&lt;='Assumptions and Catalog'!$C$61,((D557+E557)*C557)*'Assumptions and Catalog'!$H$61+'Assumptions and Catalog'!$E$61+'Assumptions and Catalog'!$F$61,IF(((D557+E557)*C557)&lt;='Assumptions and Catalog'!$C$62,((D557+E557)*C557)*'Assumptions and Catalog'!$H$62+'Assumptions and Catalog'!$E$62+'Assumptions and Catalog'!$F$62,IF(((D557+E557)*C557)&lt;='Assumptions and Catalog'!$C$63,((D557+E557)*C557)*'Assumptions and Catalog'!$H$63+'Assumptions and Catalog'!$E$63+'Assumptions and Catalog'!$F$63,IF(((D557+E557)*C557)&lt;='Assumptions and Catalog'!$C$64,((D557+E557)*C557)*'Assumptions and Catalog'!$H$64+'Assumptions and Catalog'!$E$64+'Assumptions and Catalog'!$F$64,IF(((D557+E557)*C557)&lt;='Assumptions and Catalog'!$C$65,((D557+E557)*C557)*'Assumptions and Catalog'!$H$65+'Assumptions and Catalog'!$E$65+'Assumptions and Catalog'!$F$65,"Out of range")))))))))*(1+'Assumptions and Catalog'!$C$8)^(A557-1),0)</f>
        <v>7094.794</v>
      </c>
      <c r="N557" s="5" t="n">
        <f>IF(ISNUMBER(Inputs!$L$5),(IF(Inputs!$L$9="Actual flat rate",L557*Inputs!$L$10,IF(Inputs!$C$9="Residential",IF(L557&lt;='Assumptions and Catalog'!$C$50,L557*'Assumptions and Catalog'!$H$50+'Assumptions and Catalog'!$E$50+'Assumptions and Catalog'!$F$50,IF(L557&lt;='Assumptions and Catalog'!$C$51,L557*'Assumptions and Catalog'!$H$51+'Assumptions and Catalog'!$E$51+'Assumptions and Catalog'!$F$51,IF(L557&lt;='Assumptions and Catalog'!$C$52,L557*'Assumptions and Catalog'!$H$52+'Assumptions and Catalog'!$E$52+'Assumptions and Catalog'!$F$52,IF(L557&lt;='Assumptions and Catalog'!$C$53,L557*'Assumptions and Catalog'!$H$53+'Assumptions and Catalog'!$E$53+'Assumptions and Catalog'!$F$53,IF(L557&lt;='Assumptions and Catalog'!$C$54,L557*'Assumptions and Catalog'!$H$54+'Assumptions and Catalog'!$E$54+'Assumptions and Catalog'!$F$54,IF(L557&lt;='Assumptions and Catalog'!$C$55,L557*'Assumptions and Catalog'!$H$55+'Assumptions and Catalog'!$E$55+'Assumptions and Catalog'!$F$55,IF(L557&lt;='Assumptions and Catalog'!$C$56,L557*'Assumptions and Catalog'!$H$56+'Assumptions and Catalog'!$E$56+'Assumptions and Catalog'!$F$56,IF(L557&lt;='Assumptions and Catalog'!$C$57,L557*'Assumptions and Catalog'!$H$57+'Assumptions and Catalog'!$E$57+'Assumptions and Catalog'!$F$57,"Out of range")))))))),IF(L557&lt;='Assumptions and Catalog'!$C$60,L557*'Assumptions and Catalog'!$H$60+'Assumptions and Catalog'!$E$60+'Assumptions and Catalog'!$F$60,IF(L557&lt;='Assumptions and Catalog'!$C$61,L557*'Assumptions and Catalog'!$H$61+'Assumptions and Catalog'!$E$61+'Assumptions and Catalog'!$F$61,IF(L557&lt;='Assumptions and Catalog'!$C$62,L557*'Assumptions and Catalog'!$H$62+'Assumptions and Catalog'!$E$62+'Assumptions and Catalog'!$F$62,IF(L557&lt;='Assumptions and Catalog'!$C$63,L557*'Assumptions and Catalog'!$H$63+'Assumptions and Catalog'!$E$63+'Assumptions and Catalog'!$F$63,IF(L557&lt;='Assumptions and Catalog'!$C$64,L557*'Assumptions and Catalog'!$H$64+'Assumptions and Catalog'!$E$64+'Assumptions and Catalog'!$F$64,IF(L557&lt;='Assumptions and Catalog'!$C$65,L557*'Assumptions and Catalog'!$H$65+'Assumptions and Catalog'!$E$65+'Assumptions and Catalog'!$F$65,"Out of range")))))))))*(1+'Assumptions and Catalog'!$C$8)^(A557-1),0)</f>
        <v>7094.794</v>
      </c>
      <c r="O557" s="5" t="n">
        <f>M557-N557</f>
        <v>0</v>
      </c>
      <c r="P557" s="5" t="n">
        <f>D$55*(1-K$14)*(1-'Assumptions and Catalog'!$C$23)^R557</f>
        <v>0</v>
      </c>
      <c r="Q557" s="5" t="n">
        <f>IF(ISNUMBER(Inputs!$L$5),(IF(Inputs!$L$9="Actual flat rate",((D557+E557)*C557-G557)*Inputs!$L$10,IF(Inputs!$C$9="Residential",IF(((D557+E557)*C557-G557)&lt;='Assumptions and Catalog'!$C$50,((D557+E557)*C557-G557)*'Assumptions and Catalog'!$H$50+'Assumptions and Catalog'!$E$50+'Assumptions and Catalog'!$F$50,IF(((D557+E557)*C557-G557)&lt;='Assumptions and Catalog'!$C$51,((D557+E557)*C557-G557)*'Assumptions and Catalog'!$H$51+'Assumptions and Catalog'!$E$51+'Assumptions and Catalog'!$F$51,IF(((D557+E557)*C557-G557)&lt;='Assumptions and Catalog'!$C$52,((D557+E557)*C557-G557)*'Assumptions and Catalog'!$H$52+'Assumptions and Catalog'!$E$52+'Assumptions and Catalog'!$F$52,IF(((D557+E557)*C557-G557)&lt;='Assumptions and Catalog'!$C$53,((D557+E557)*C557-G557)*'Assumptions and Catalog'!$H$53+'Assumptions and Catalog'!$E$53+'Assumptions and Catalog'!$F$53,IF(((D557+E557)*C557-G557)&lt;='Assumptions and Catalog'!$C$54,((D557+E557)*C557-G557)*'Assumptions and Catalog'!$H$54+'Assumptions and Catalog'!$E$54+'Assumptions and Catalog'!$F$54,IF(((D557+E557)*C557-G557)&lt;='Assumptions and Catalog'!$C$55,((D557+E557)*C557-G557)*'Assumptions and Catalog'!$H$55+'Assumptions and Catalog'!$E$55+'Assumptions and Catalog'!$F$55,IF(((D557+E557)*C557-G557)&lt;='Assumptions and Catalog'!$C$56,((D557+E557)*C557-G557)*'Assumptions and Catalog'!$H$56+'Assumptions and Catalog'!$E$56+'Assumptions and Catalog'!$F$56,IF(((D557+E557)*C557-G557)&lt;='Assumptions and Catalog'!$C$57,((D557+E557)*C557-G557)*'Assumptions and Catalog'!$H$57+'Assumptions and Catalog'!$E$57+'Assumptions and Catalog'!$F$57,"Out of range")))))))),IF(((D557+E557)*C557-G557)&lt;='Assumptions and Catalog'!$C$60,((D557+E557)*C557-G557)*'Assumptions and Catalog'!$H$60+'Assumptions and Catalog'!$E$60+'Assumptions and Catalog'!$F$60,IF(((D557+E557)*C557-G557)&lt;='Assumptions and Catalog'!$C$61,((D557+E557)*C557-G557)*'Assumptions and Catalog'!$H$61+'Assumptions and Catalog'!$E$61+'Assumptions and Catalog'!$F$61,IF(((D557+E557)*C557-G557)&lt;='Assumptions and Catalog'!$C$62,((D557+E557)*C557-G557)*'Assumptions and Catalog'!$H$62+'Assumptions and Catalog'!$E$62+'Assumptions and Catalog'!$F$62,IF(((D557+E557)*C557-G557)&lt;='Assumptions and Catalog'!$C$63,((D557+E557)*C557-G557)*'Assumptions and Catalog'!$H$63+'Assumptions and Catalog'!$E$63+'Assumptions and Catalog'!$F$63,IF(((D557+E557)*C557-G557)&lt;='Assumptions and Catalog'!$C$64,((D557+E557)*C557-G557)*'Assumptions and Catalog'!$H$64+'Assumptions and Catalog'!$E$64+'Assumptions and Catalog'!$F$64,IF(((D557+E557)*C557-G557)&lt;='Assumptions and Catalog'!$C$65,((D557+E557)*C557-G557)*'Assumptions and Catalog'!$H$65+'Assumptions and Catalog'!$E$65+'Assumptions and Catalog'!$F$65,"Out of range")))))))))*(1+'Assumptions and Catalog'!$C$8)^(A557-1),0)</f>
        <v>7094.794</v>
      </c>
      <c r="R557" s="5" t="n">
        <f>IF(AND('Assumptions and Catalog'!$C$19&gt;0,A557&gt;='Assumptions and Catalog'!$C$19),A557-'Assumptions and Catalog'!$C$19,A557-1)</f>
        <v>2</v>
      </c>
      <c r="S557" s="5" t="n">
        <f>F557+L557-(D557+E557)*C557-J557-K557-IF(D$52&gt;0,'Assumptions and Catalog'!$C$26*C557,0)</f>
        <v>0</v>
      </c>
      <c r="T557" s="5"/>
      <c r="U557" s="5"/>
    </row>
    <row r="558" ht="23.100000381469727" customHeight="1">
      <c r="A558" s="5" t="n">
        <v>13</v>
      </c>
      <c r="B558" s="5" t="n">
        <v>4</v>
      </c>
      <c r="C558" s="5" t="n">
        <f>DAY(DATE('Assumptions and Catalog'!$C$24+A558-1,B558+1,0))</f>
        <v>30</v>
      </c>
      <c r="D558" s="5" t="n">
        <f>IF(ISNUMBER(Inputs!$L$5),Inputs!$L$5*Inputs!$L$6,0)</f>
        <v>40.35</v>
      </c>
      <c r="E558" s="5" t="n">
        <f>IF(ISNUMBER(Inputs!$L$5),Inputs!$L$5-D558,0)</f>
        <v>40.35</v>
      </c>
      <c r="F558" s="5" t="n">
        <f>D$51*'Assumptions and Catalog'!$C$31*C558*(1-'Assumptions and Catalog'!$C$10)^(A558-1)</f>
        <v>0</v>
      </c>
      <c r="G558" s="5" t="n">
        <f>MIN(F558,D558*C558)</f>
        <v>0</v>
      </c>
      <c r="H558" s="5" t="n">
        <f>I558/('Assumptions and Catalog'!$C$11*'Assumptions and Catalog'!$C$12)</f>
        <v>0</v>
      </c>
      <c r="I558" s="5" t="n">
        <f>IF(K$15="Grid cycle",MIN(K$16,D558+E558,P558*'Assumptions and Catalog'!$C$12,D$57*(24-'Assumptions and Catalog'!$C$15),D$56*'Assumptions and Catalog'!$C$15*'Assumptions and Catalog'!$C$11*'Assumptions and Catalog'!$C$12)*C558,0)</f>
        <v>0</v>
      </c>
      <c r="J558" s="5" t="n">
        <f>MAX(F558-G558-0,0)</f>
        <v>0</v>
      </c>
      <c r="K558" s="5" t="n">
        <f>H558-I558</f>
        <v>0</v>
      </c>
      <c r="L558" s="5" t="n">
        <f>(D558+E558)*C558-G558-I558+H558+IF(D$52&gt;0,'Assumptions and Catalog'!$C$26*C558,0)</f>
        <v>2421</v>
      </c>
      <c r="M558" s="5" t="n">
        <f>IF(ISNUMBER(Inputs!$L$5),(IF(Inputs!$L$9="Actual flat rate",((D558+E558)*C558)*Inputs!$L$10,IF(Inputs!$C$9="Residential",IF(((D558+E558)*C558)&lt;='Assumptions and Catalog'!$C$50,((D558+E558)*C558)*'Assumptions and Catalog'!$H$50+'Assumptions and Catalog'!$E$50+'Assumptions and Catalog'!$F$50,IF(((D558+E558)*C558)&lt;='Assumptions and Catalog'!$C$51,((D558+E558)*C558)*'Assumptions and Catalog'!$H$51+'Assumptions and Catalog'!$E$51+'Assumptions and Catalog'!$F$51,IF(((D558+E558)*C558)&lt;='Assumptions and Catalog'!$C$52,((D558+E558)*C558)*'Assumptions and Catalog'!$H$52+'Assumptions and Catalog'!$E$52+'Assumptions and Catalog'!$F$52,IF(((D558+E558)*C558)&lt;='Assumptions and Catalog'!$C$53,((D558+E558)*C558)*'Assumptions and Catalog'!$H$53+'Assumptions and Catalog'!$E$53+'Assumptions and Catalog'!$F$53,IF(((D558+E558)*C558)&lt;='Assumptions and Catalog'!$C$54,((D558+E558)*C558)*'Assumptions and Catalog'!$H$54+'Assumptions and Catalog'!$E$54+'Assumptions and Catalog'!$F$54,IF(((D558+E558)*C558)&lt;='Assumptions and Catalog'!$C$55,((D558+E558)*C558)*'Assumptions and Catalog'!$H$55+'Assumptions and Catalog'!$E$55+'Assumptions and Catalog'!$F$55,IF(((D558+E558)*C558)&lt;='Assumptions and Catalog'!$C$56,((D558+E558)*C558)*'Assumptions and Catalog'!$H$56+'Assumptions and Catalog'!$E$56+'Assumptions and Catalog'!$F$56,IF(((D558+E558)*C558)&lt;='Assumptions and Catalog'!$C$57,((D558+E558)*C558)*'Assumptions and Catalog'!$H$57+'Assumptions and Catalog'!$E$57+'Assumptions and Catalog'!$F$57,"Out of range")))))))),IF(((D558+E558)*C558)&lt;='Assumptions and Catalog'!$C$60,((D558+E558)*C558)*'Assumptions and Catalog'!$H$60+'Assumptions and Catalog'!$E$60+'Assumptions and Catalog'!$F$60,IF(((D558+E558)*C558)&lt;='Assumptions and Catalog'!$C$61,((D558+E558)*C558)*'Assumptions and Catalog'!$H$61+'Assumptions and Catalog'!$E$61+'Assumptions and Catalog'!$F$61,IF(((D558+E558)*C558)&lt;='Assumptions and Catalog'!$C$62,((D558+E558)*C558)*'Assumptions and Catalog'!$H$62+'Assumptions and Catalog'!$E$62+'Assumptions and Catalog'!$F$62,IF(((D558+E558)*C558)&lt;='Assumptions and Catalog'!$C$63,((D558+E558)*C558)*'Assumptions and Catalog'!$H$63+'Assumptions and Catalog'!$E$63+'Assumptions and Catalog'!$F$63,IF(((D558+E558)*C558)&lt;='Assumptions and Catalog'!$C$64,((D558+E558)*C558)*'Assumptions and Catalog'!$H$64+'Assumptions and Catalog'!$E$64+'Assumptions and Catalog'!$F$64,IF(((D558+E558)*C558)&lt;='Assumptions and Catalog'!$C$65,((D558+E558)*C558)*'Assumptions and Catalog'!$H$65+'Assumptions and Catalog'!$E$65+'Assumptions and Catalog'!$F$65,"Out of range")))))))))*(1+'Assumptions and Catalog'!$C$8)^(A558-1),0)</f>
        <v>6867.22</v>
      </c>
      <c r="N558" s="5" t="n">
        <f>IF(ISNUMBER(Inputs!$L$5),(IF(Inputs!$L$9="Actual flat rate",L558*Inputs!$L$10,IF(Inputs!$C$9="Residential",IF(L558&lt;='Assumptions and Catalog'!$C$50,L558*'Assumptions and Catalog'!$H$50+'Assumptions and Catalog'!$E$50+'Assumptions and Catalog'!$F$50,IF(L558&lt;='Assumptions and Catalog'!$C$51,L558*'Assumptions and Catalog'!$H$51+'Assumptions and Catalog'!$E$51+'Assumptions and Catalog'!$F$51,IF(L558&lt;='Assumptions and Catalog'!$C$52,L558*'Assumptions and Catalog'!$H$52+'Assumptions and Catalog'!$E$52+'Assumptions and Catalog'!$F$52,IF(L558&lt;='Assumptions and Catalog'!$C$53,L558*'Assumptions and Catalog'!$H$53+'Assumptions and Catalog'!$E$53+'Assumptions and Catalog'!$F$53,IF(L558&lt;='Assumptions and Catalog'!$C$54,L558*'Assumptions and Catalog'!$H$54+'Assumptions and Catalog'!$E$54+'Assumptions and Catalog'!$F$54,IF(L558&lt;='Assumptions and Catalog'!$C$55,L558*'Assumptions and Catalog'!$H$55+'Assumptions and Catalog'!$E$55+'Assumptions and Catalog'!$F$55,IF(L558&lt;='Assumptions and Catalog'!$C$56,L558*'Assumptions and Catalog'!$H$56+'Assumptions and Catalog'!$E$56+'Assumptions and Catalog'!$F$56,IF(L558&lt;='Assumptions and Catalog'!$C$57,L558*'Assumptions and Catalog'!$H$57+'Assumptions and Catalog'!$E$57+'Assumptions and Catalog'!$F$57,"Out of range")))))))),IF(L558&lt;='Assumptions and Catalog'!$C$60,L558*'Assumptions and Catalog'!$H$60+'Assumptions and Catalog'!$E$60+'Assumptions and Catalog'!$F$60,IF(L558&lt;='Assumptions and Catalog'!$C$61,L558*'Assumptions and Catalog'!$H$61+'Assumptions and Catalog'!$E$61+'Assumptions and Catalog'!$F$61,IF(L558&lt;='Assumptions and Catalog'!$C$62,L558*'Assumptions and Catalog'!$H$62+'Assumptions and Catalog'!$E$62+'Assumptions and Catalog'!$F$62,IF(L558&lt;='Assumptions and Catalog'!$C$63,L558*'Assumptions and Catalog'!$H$63+'Assumptions and Catalog'!$E$63+'Assumptions and Catalog'!$F$63,IF(L558&lt;='Assumptions and Catalog'!$C$64,L558*'Assumptions and Catalog'!$H$64+'Assumptions and Catalog'!$E$64+'Assumptions and Catalog'!$F$64,IF(L558&lt;='Assumptions and Catalog'!$C$65,L558*'Assumptions and Catalog'!$H$65+'Assumptions and Catalog'!$E$65+'Assumptions and Catalog'!$F$65,"Out of range")))))))))*(1+'Assumptions and Catalog'!$C$8)^(A558-1),0)</f>
        <v>6867.22</v>
      </c>
      <c r="O558" s="5" t="n">
        <f>M558-N558</f>
        <v>0</v>
      </c>
      <c r="P558" s="5" t="n">
        <f>D$55*(1-K$14)*(1-'Assumptions and Catalog'!$C$23)^R558</f>
        <v>0</v>
      </c>
      <c r="Q558" s="5" t="n">
        <f>IF(ISNUMBER(Inputs!$L$5),(IF(Inputs!$L$9="Actual flat rate",((D558+E558)*C558-G558)*Inputs!$L$10,IF(Inputs!$C$9="Residential",IF(((D558+E558)*C558-G558)&lt;='Assumptions and Catalog'!$C$50,((D558+E558)*C558-G558)*'Assumptions and Catalog'!$H$50+'Assumptions and Catalog'!$E$50+'Assumptions and Catalog'!$F$50,IF(((D558+E558)*C558-G558)&lt;='Assumptions and Catalog'!$C$51,((D558+E558)*C558-G558)*'Assumptions and Catalog'!$H$51+'Assumptions and Catalog'!$E$51+'Assumptions and Catalog'!$F$51,IF(((D558+E558)*C558-G558)&lt;='Assumptions and Catalog'!$C$52,((D558+E558)*C558-G558)*'Assumptions and Catalog'!$H$52+'Assumptions and Catalog'!$E$52+'Assumptions and Catalog'!$F$52,IF(((D558+E558)*C558-G558)&lt;='Assumptions and Catalog'!$C$53,((D558+E558)*C558-G558)*'Assumptions and Catalog'!$H$53+'Assumptions and Catalog'!$E$53+'Assumptions and Catalog'!$F$53,IF(((D558+E558)*C558-G558)&lt;='Assumptions and Catalog'!$C$54,((D558+E558)*C558-G558)*'Assumptions and Catalog'!$H$54+'Assumptions and Catalog'!$E$54+'Assumptions and Catalog'!$F$54,IF(((D558+E558)*C558-G558)&lt;='Assumptions and Catalog'!$C$55,((D558+E558)*C558-G558)*'Assumptions and Catalog'!$H$55+'Assumptions and Catalog'!$E$55+'Assumptions and Catalog'!$F$55,IF(((D558+E558)*C558-G558)&lt;='Assumptions and Catalog'!$C$56,((D558+E558)*C558-G558)*'Assumptions and Catalog'!$H$56+'Assumptions and Catalog'!$E$56+'Assumptions and Catalog'!$F$56,IF(((D558+E558)*C558-G558)&lt;='Assumptions and Catalog'!$C$57,((D558+E558)*C558-G558)*'Assumptions and Catalog'!$H$57+'Assumptions and Catalog'!$E$57+'Assumptions and Catalog'!$F$57,"Out of range")))))))),IF(((D558+E558)*C558-G558)&lt;='Assumptions and Catalog'!$C$60,((D558+E558)*C558-G558)*'Assumptions and Catalog'!$H$60+'Assumptions and Catalog'!$E$60+'Assumptions and Catalog'!$F$60,IF(((D558+E558)*C558-G558)&lt;='Assumptions and Catalog'!$C$61,((D558+E558)*C558-G558)*'Assumptions and Catalog'!$H$61+'Assumptions and Catalog'!$E$61+'Assumptions and Catalog'!$F$61,IF(((D558+E558)*C558-G558)&lt;='Assumptions and Catalog'!$C$62,((D558+E558)*C558-G558)*'Assumptions and Catalog'!$H$62+'Assumptions and Catalog'!$E$62+'Assumptions and Catalog'!$F$62,IF(((D558+E558)*C558-G558)&lt;='Assumptions and Catalog'!$C$63,((D558+E558)*C558-G558)*'Assumptions and Catalog'!$H$63+'Assumptions and Catalog'!$E$63+'Assumptions and Catalog'!$F$63,IF(((D558+E558)*C558-G558)&lt;='Assumptions and Catalog'!$C$64,((D558+E558)*C558-G558)*'Assumptions and Catalog'!$H$64+'Assumptions and Catalog'!$E$64+'Assumptions and Catalog'!$F$64,IF(((D558+E558)*C558-G558)&lt;='Assumptions and Catalog'!$C$65,((D558+E558)*C558-G558)*'Assumptions and Catalog'!$H$65+'Assumptions and Catalog'!$E$65+'Assumptions and Catalog'!$F$65,"Out of range")))))))))*(1+'Assumptions and Catalog'!$C$8)^(A558-1),0)</f>
        <v>6867.22</v>
      </c>
      <c r="R558" s="5" t="n">
        <f>IF(AND('Assumptions and Catalog'!$C$19&gt;0,A558&gt;='Assumptions and Catalog'!$C$19),A558-'Assumptions and Catalog'!$C$19,A558-1)</f>
        <v>2</v>
      </c>
      <c r="S558" s="5" t="n">
        <f>F558+L558-(D558+E558)*C558-J558-K558-IF(D$52&gt;0,'Assumptions and Catalog'!$C$26*C558,0)</f>
        <v>0</v>
      </c>
      <c r="T558" s="5"/>
      <c r="U558" s="5"/>
    </row>
    <row r="559" ht="23.100000381469727" customHeight="1">
      <c r="A559" s="5" t="n">
        <v>13</v>
      </c>
      <c r="B559" s="5" t="n">
        <v>5</v>
      </c>
      <c r="C559" s="5" t="n">
        <f>DAY(DATE('Assumptions and Catalog'!$C$24+A559-1,B559+1,0))</f>
        <v>31</v>
      </c>
      <c r="D559" s="5" t="n">
        <f>IF(ISNUMBER(Inputs!$L$5),Inputs!$L$5*Inputs!$L$6,0)</f>
        <v>40.35</v>
      </c>
      <c r="E559" s="5" t="n">
        <f>IF(ISNUMBER(Inputs!$L$5),Inputs!$L$5-D559,0)</f>
        <v>40.35</v>
      </c>
      <c r="F559" s="5" t="n">
        <f>D$51*'Assumptions and Catalog'!$C$31*C559*(1-'Assumptions and Catalog'!$C$10)^(A559-1)</f>
        <v>0</v>
      </c>
      <c r="G559" s="5" t="n">
        <f>MIN(F559,D559*C559)</f>
        <v>0</v>
      </c>
      <c r="H559" s="5" t="n">
        <f>I559/('Assumptions and Catalog'!$C$11*'Assumptions and Catalog'!$C$12)</f>
        <v>0</v>
      </c>
      <c r="I559" s="5" t="n">
        <f>IF(K$15="Grid cycle",MIN(K$16,D559+E559,P559*'Assumptions and Catalog'!$C$12,D$57*(24-'Assumptions and Catalog'!$C$15),D$56*'Assumptions and Catalog'!$C$15*'Assumptions and Catalog'!$C$11*'Assumptions and Catalog'!$C$12)*C559,0)</f>
        <v>0</v>
      </c>
      <c r="J559" s="5" t="n">
        <f>MAX(F559-G559-0,0)</f>
        <v>0</v>
      </c>
      <c r="K559" s="5" t="n">
        <f>H559-I559</f>
        <v>0</v>
      </c>
      <c r="L559" s="5" t="n">
        <f>(D559+E559)*C559-G559-I559+H559+IF(D$52&gt;0,'Assumptions and Catalog'!$C$26*C559,0)</f>
        <v>2501.7</v>
      </c>
      <c r="M559" s="5" t="n">
        <f>IF(ISNUMBER(Inputs!$L$5),(IF(Inputs!$L$9="Actual flat rate",((D559+E559)*C559)*Inputs!$L$10,IF(Inputs!$C$9="Residential",IF(((D559+E559)*C559)&lt;='Assumptions and Catalog'!$C$50,((D559+E559)*C559)*'Assumptions and Catalog'!$H$50+'Assumptions and Catalog'!$E$50+'Assumptions and Catalog'!$F$50,IF(((D559+E559)*C559)&lt;='Assumptions and Catalog'!$C$51,((D559+E559)*C559)*'Assumptions and Catalog'!$H$51+'Assumptions and Catalog'!$E$51+'Assumptions and Catalog'!$F$51,IF(((D559+E559)*C559)&lt;='Assumptions and Catalog'!$C$52,((D559+E559)*C559)*'Assumptions and Catalog'!$H$52+'Assumptions and Catalog'!$E$52+'Assumptions and Catalog'!$F$52,IF(((D559+E559)*C559)&lt;='Assumptions and Catalog'!$C$53,((D559+E559)*C559)*'Assumptions and Catalog'!$H$53+'Assumptions and Catalog'!$E$53+'Assumptions and Catalog'!$F$53,IF(((D559+E559)*C559)&lt;='Assumptions and Catalog'!$C$54,((D559+E559)*C559)*'Assumptions and Catalog'!$H$54+'Assumptions and Catalog'!$E$54+'Assumptions and Catalog'!$F$54,IF(((D559+E559)*C559)&lt;='Assumptions and Catalog'!$C$55,((D559+E559)*C559)*'Assumptions and Catalog'!$H$55+'Assumptions and Catalog'!$E$55+'Assumptions and Catalog'!$F$55,IF(((D559+E559)*C559)&lt;='Assumptions and Catalog'!$C$56,((D559+E559)*C559)*'Assumptions and Catalog'!$H$56+'Assumptions and Catalog'!$E$56+'Assumptions and Catalog'!$F$56,IF(((D559+E559)*C559)&lt;='Assumptions and Catalog'!$C$57,((D559+E559)*C559)*'Assumptions and Catalog'!$H$57+'Assumptions and Catalog'!$E$57+'Assumptions and Catalog'!$F$57,"Out of range")))))))),IF(((D559+E559)*C559)&lt;='Assumptions and Catalog'!$C$60,((D559+E559)*C559)*'Assumptions and Catalog'!$H$60+'Assumptions and Catalog'!$E$60+'Assumptions and Catalog'!$F$60,IF(((D559+E559)*C559)&lt;='Assumptions and Catalog'!$C$61,((D559+E559)*C559)*'Assumptions and Catalog'!$H$61+'Assumptions and Catalog'!$E$61+'Assumptions and Catalog'!$F$61,IF(((D559+E559)*C559)&lt;='Assumptions and Catalog'!$C$62,((D559+E559)*C559)*'Assumptions and Catalog'!$H$62+'Assumptions and Catalog'!$E$62+'Assumptions and Catalog'!$F$62,IF(((D559+E559)*C559)&lt;='Assumptions and Catalog'!$C$63,((D559+E559)*C559)*'Assumptions and Catalog'!$H$63+'Assumptions and Catalog'!$E$63+'Assumptions and Catalog'!$F$63,IF(((D559+E559)*C559)&lt;='Assumptions and Catalog'!$C$64,((D559+E559)*C559)*'Assumptions and Catalog'!$H$64+'Assumptions and Catalog'!$E$64+'Assumptions and Catalog'!$F$64,IF(((D559+E559)*C559)&lt;='Assumptions and Catalog'!$C$65,((D559+E559)*C559)*'Assumptions and Catalog'!$H$65+'Assumptions and Catalog'!$E$65+'Assumptions and Catalog'!$F$65,"Out of range")))))))))*(1+'Assumptions and Catalog'!$C$8)^(A559-1),0)</f>
        <v>7094.794</v>
      </c>
      <c r="N559" s="5" t="n">
        <f>IF(ISNUMBER(Inputs!$L$5),(IF(Inputs!$L$9="Actual flat rate",L559*Inputs!$L$10,IF(Inputs!$C$9="Residential",IF(L559&lt;='Assumptions and Catalog'!$C$50,L559*'Assumptions and Catalog'!$H$50+'Assumptions and Catalog'!$E$50+'Assumptions and Catalog'!$F$50,IF(L559&lt;='Assumptions and Catalog'!$C$51,L559*'Assumptions and Catalog'!$H$51+'Assumptions and Catalog'!$E$51+'Assumptions and Catalog'!$F$51,IF(L559&lt;='Assumptions and Catalog'!$C$52,L559*'Assumptions and Catalog'!$H$52+'Assumptions and Catalog'!$E$52+'Assumptions and Catalog'!$F$52,IF(L559&lt;='Assumptions and Catalog'!$C$53,L559*'Assumptions and Catalog'!$H$53+'Assumptions and Catalog'!$E$53+'Assumptions and Catalog'!$F$53,IF(L559&lt;='Assumptions and Catalog'!$C$54,L559*'Assumptions and Catalog'!$H$54+'Assumptions and Catalog'!$E$54+'Assumptions and Catalog'!$F$54,IF(L559&lt;='Assumptions and Catalog'!$C$55,L559*'Assumptions and Catalog'!$H$55+'Assumptions and Catalog'!$E$55+'Assumptions and Catalog'!$F$55,IF(L559&lt;='Assumptions and Catalog'!$C$56,L559*'Assumptions and Catalog'!$H$56+'Assumptions and Catalog'!$E$56+'Assumptions and Catalog'!$F$56,IF(L559&lt;='Assumptions and Catalog'!$C$57,L559*'Assumptions and Catalog'!$H$57+'Assumptions and Catalog'!$E$57+'Assumptions and Catalog'!$F$57,"Out of range")))))))),IF(L559&lt;='Assumptions and Catalog'!$C$60,L559*'Assumptions and Catalog'!$H$60+'Assumptions and Catalog'!$E$60+'Assumptions and Catalog'!$F$60,IF(L559&lt;='Assumptions and Catalog'!$C$61,L559*'Assumptions and Catalog'!$H$61+'Assumptions and Catalog'!$E$61+'Assumptions and Catalog'!$F$61,IF(L559&lt;='Assumptions and Catalog'!$C$62,L559*'Assumptions and Catalog'!$H$62+'Assumptions and Catalog'!$E$62+'Assumptions and Catalog'!$F$62,IF(L559&lt;='Assumptions and Catalog'!$C$63,L559*'Assumptions and Catalog'!$H$63+'Assumptions and Catalog'!$E$63+'Assumptions and Catalog'!$F$63,IF(L559&lt;='Assumptions and Catalog'!$C$64,L559*'Assumptions and Catalog'!$H$64+'Assumptions and Catalog'!$E$64+'Assumptions and Catalog'!$F$64,IF(L559&lt;='Assumptions and Catalog'!$C$65,L559*'Assumptions and Catalog'!$H$65+'Assumptions and Catalog'!$E$65+'Assumptions and Catalog'!$F$65,"Out of range")))))))))*(1+'Assumptions and Catalog'!$C$8)^(A559-1),0)</f>
        <v>7094.794</v>
      </c>
      <c r="O559" s="5" t="n">
        <f>M559-N559</f>
        <v>0</v>
      </c>
      <c r="P559" s="5" t="n">
        <f>D$55*(1-K$14)*(1-'Assumptions and Catalog'!$C$23)^R559</f>
        <v>0</v>
      </c>
      <c r="Q559" s="5" t="n">
        <f>IF(ISNUMBER(Inputs!$L$5),(IF(Inputs!$L$9="Actual flat rate",((D559+E559)*C559-G559)*Inputs!$L$10,IF(Inputs!$C$9="Residential",IF(((D559+E559)*C559-G559)&lt;='Assumptions and Catalog'!$C$50,((D559+E559)*C559-G559)*'Assumptions and Catalog'!$H$50+'Assumptions and Catalog'!$E$50+'Assumptions and Catalog'!$F$50,IF(((D559+E559)*C559-G559)&lt;='Assumptions and Catalog'!$C$51,((D559+E559)*C559-G559)*'Assumptions and Catalog'!$H$51+'Assumptions and Catalog'!$E$51+'Assumptions and Catalog'!$F$51,IF(((D559+E559)*C559-G559)&lt;='Assumptions and Catalog'!$C$52,((D559+E559)*C559-G559)*'Assumptions and Catalog'!$H$52+'Assumptions and Catalog'!$E$52+'Assumptions and Catalog'!$F$52,IF(((D559+E559)*C559-G559)&lt;='Assumptions and Catalog'!$C$53,((D559+E559)*C559-G559)*'Assumptions and Catalog'!$H$53+'Assumptions and Catalog'!$E$53+'Assumptions and Catalog'!$F$53,IF(((D559+E559)*C559-G559)&lt;='Assumptions and Catalog'!$C$54,((D559+E559)*C559-G559)*'Assumptions and Catalog'!$H$54+'Assumptions and Catalog'!$E$54+'Assumptions and Catalog'!$F$54,IF(((D559+E559)*C559-G559)&lt;='Assumptions and Catalog'!$C$55,((D559+E559)*C559-G559)*'Assumptions and Catalog'!$H$55+'Assumptions and Catalog'!$E$55+'Assumptions and Catalog'!$F$55,IF(((D559+E559)*C559-G559)&lt;='Assumptions and Catalog'!$C$56,((D559+E559)*C559-G559)*'Assumptions and Catalog'!$H$56+'Assumptions and Catalog'!$E$56+'Assumptions and Catalog'!$F$56,IF(((D559+E559)*C559-G559)&lt;='Assumptions and Catalog'!$C$57,((D559+E559)*C559-G559)*'Assumptions and Catalog'!$H$57+'Assumptions and Catalog'!$E$57+'Assumptions and Catalog'!$F$57,"Out of range")))))))),IF(((D559+E559)*C559-G559)&lt;='Assumptions and Catalog'!$C$60,((D559+E559)*C559-G559)*'Assumptions and Catalog'!$H$60+'Assumptions and Catalog'!$E$60+'Assumptions and Catalog'!$F$60,IF(((D559+E559)*C559-G559)&lt;='Assumptions and Catalog'!$C$61,((D559+E559)*C559-G559)*'Assumptions and Catalog'!$H$61+'Assumptions and Catalog'!$E$61+'Assumptions and Catalog'!$F$61,IF(((D559+E559)*C559-G559)&lt;='Assumptions and Catalog'!$C$62,((D559+E559)*C559-G559)*'Assumptions and Catalog'!$H$62+'Assumptions and Catalog'!$E$62+'Assumptions and Catalog'!$F$62,IF(((D559+E559)*C559-G559)&lt;='Assumptions and Catalog'!$C$63,((D559+E559)*C559-G559)*'Assumptions and Catalog'!$H$63+'Assumptions and Catalog'!$E$63+'Assumptions and Catalog'!$F$63,IF(((D559+E559)*C559-G559)&lt;='Assumptions and Catalog'!$C$64,((D559+E559)*C559-G559)*'Assumptions and Catalog'!$H$64+'Assumptions and Catalog'!$E$64+'Assumptions and Catalog'!$F$64,IF(((D559+E559)*C559-G559)&lt;='Assumptions and Catalog'!$C$65,((D559+E559)*C559-G559)*'Assumptions and Catalog'!$H$65+'Assumptions and Catalog'!$E$65+'Assumptions and Catalog'!$F$65,"Out of range")))))))))*(1+'Assumptions and Catalog'!$C$8)^(A559-1),0)</f>
        <v>7094.794</v>
      </c>
      <c r="R559" s="5" t="n">
        <f>IF(AND('Assumptions and Catalog'!$C$19&gt;0,A559&gt;='Assumptions and Catalog'!$C$19),A559-'Assumptions and Catalog'!$C$19,A559-1)</f>
        <v>2</v>
      </c>
      <c r="S559" s="5" t="n">
        <f>F559+L559-(D559+E559)*C559-J559-K559-IF(D$52&gt;0,'Assumptions and Catalog'!$C$26*C559,0)</f>
        <v>0</v>
      </c>
      <c r="T559" s="5"/>
      <c r="U559" s="5"/>
    </row>
    <row r="560" ht="23.100000381469727" customHeight="1">
      <c r="A560" s="5" t="n">
        <v>13</v>
      </c>
      <c r="B560" s="5" t="n">
        <v>6</v>
      </c>
      <c r="C560" s="5" t="n">
        <f>DAY(DATE('Assumptions and Catalog'!$C$24+A560-1,B560+1,0))</f>
        <v>30</v>
      </c>
      <c r="D560" s="5" t="n">
        <f>IF(ISNUMBER(Inputs!$L$5),Inputs!$L$5*Inputs!$L$6,0)</f>
        <v>40.35</v>
      </c>
      <c r="E560" s="5" t="n">
        <f>IF(ISNUMBER(Inputs!$L$5),Inputs!$L$5-D560,0)</f>
        <v>40.35</v>
      </c>
      <c r="F560" s="5" t="n">
        <f>D$51*'Assumptions and Catalog'!$C$31*C560*(1-'Assumptions and Catalog'!$C$10)^(A560-1)</f>
        <v>0</v>
      </c>
      <c r="G560" s="5" t="n">
        <f>MIN(F560,D560*C560)</f>
        <v>0</v>
      </c>
      <c r="H560" s="5" t="n">
        <f>I560/('Assumptions and Catalog'!$C$11*'Assumptions and Catalog'!$C$12)</f>
        <v>0</v>
      </c>
      <c r="I560" s="5" t="n">
        <f>IF(K$15="Grid cycle",MIN(K$16,D560+E560,P560*'Assumptions and Catalog'!$C$12,D$57*(24-'Assumptions and Catalog'!$C$15),D$56*'Assumptions and Catalog'!$C$15*'Assumptions and Catalog'!$C$11*'Assumptions and Catalog'!$C$12)*C560,0)</f>
        <v>0</v>
      </c>
      <c r="J560" s="5" t="n">
        <f>MAX(F560-G560-0,0)</f>
        <v>0</v>
      </c>
      <c r="K560" s="5" t="n">
        <f>H560-I560</f>
        <v>0</v>
      </c>
      <c r="L560" s="5" t="n">
        <f>(D560+E560)*C560-G560-I560+H560+IF(D$52&gt;0,'Assumptions and Catalog'!$C$26*C560,0)</f>
        <v>2421</v>
      </c>
      <c r="M560" s="5" t="n">
        <f>IF(ISNUMBER(Inputs!$L$5),(IF(Inputs!$L$9="Actual flat rate",((D560+E560)*C560)*Inputs!$L$10,IF(Inputs!$C$9="Residential",IF(((D560+E560)*C560)&lt;='Assumptions and Catalog'!$C$50,((D560+E560)*C560)*'Assumptions and Catalog'!$H$50+'Assumptions and Catalog'!$E$50+'Assumptions and Catalog'!$F$50,IF(((D560+E560)*C560)&lt;='Assumptions and Catalog'!$C$51,((D560+E560)*C560)*'Assumptions and Catalog'!$H$51+'Assumptions and Catalog'!$E$51+'Assumptions and Catalog'!$F$51,IF(((D560+E560)*C560)&lt;='Assumptions and Catalog'!$C$52,((D560+E560)*C560)*'Assumptions and Catalog'!$H$52+'Assumptions and Catalog'!$E$52+'Assumptions and Catalog'!$F$52,IF(((D560+E560)*C560)&lt;='Assumptions and Catalog'!$C$53,((D560+E560)*C560)*'Assumptions and Catalog'!$H$53+'Assumptions and Catalog'!$E$53+'Assumptions and Catalog'!$F$53,IF(((D560+E560)*C560)&lt;='Assumptions and Catalog'!$C$54,((D560+E560)*C560)*'Assumptions and Catalog'!$H$54+'Assumptions and Catalog'!$E$54+'Assumptions and Catalog'!$F$54,IF(((D560+E560)*C560)&lt;='Assumptions and Catalog'!$C$55,((D560+E560)*C560)*'Assumptions and Catalog'!$H$55+'Assumptions and Catalog'!$E$55+'Assumptions and Catalog'!$F$55,IF(((D560+E560)*C560)&lt;='Assumptions and Catalog'!$C$56,((D560+E560)*C560)*'Assumptions and Catalog'!$H$56+'Assumptions and Catalog'!$E$56+'Assumptions and Catalog'!$F$56,IF(((D560+E560)*C560)&lt;='Assumptions and Catalog'!$C$57,((D560+E560)*C560)*'Assumptions and Catalog'!$H$57+'Assumptions and Catalog'!$E$57+'Assumptions and Catalog'!$F$57,"Out of range")))))))),IF(((D560+E560)*C560)&lt;='Assumptions and Catalog'!$C$60,((D560+E560)*C560)*'Assumptions and Catalog'!$H$60+'Assumptions and Catalog'!$E$60+'Assumptions and Catalog'!$F$60,IF(((D560+E560)*C560)&lt;='Assumptions and Catalog'!$C$61,((D560+E560)*C560)*'Assumptions and Catalog'!$H$61+'Assumptions and Catalog'!$E$61+'Assumptions and Catalog'!$F$61,IF(((D560+E560)*C560)&lt;='Assumptions and Catalog'!$C$62,((D560+E560)*C560)*'Assumptions and Catalog'!$H$62+'Assumptions and Catalog'!$E$62+'Assumptions and Catalog'!$F$62,IF(((D560+E560)*C560)&lt;='Assumptions and Catalog'!$C$63,((D560+E560)*C560)*'Assumptions and Catalog'!$H$63+'Assumptions and Catalog'!$E$63+'Assumptions and Catalog'!$F$63,IF(((D560+E560)*C560)&lt;='Assumptions and Catalog'!$C$64,((D560+E560)*C560)*'Assumptions and Catalog'!$H$64+'Assumptions and Catalog'!$E$64+'Assumptions and Catalog'!$F$64,IF(((D560+E560)*C560)&lt;='Assumptions and Catalog'!$C$65,((D560+E560)*C560)*'Assumptions and Catalog'!$H$65+'Assumptions and Catalog'!$E$65+'Assumptions and Catalog'!$F$65,"Out of range")))))))))*(1+'Assumptions and Catalog'!$C$8)^(A560-1),0)</f>
        <v>6867.22</v>
      </c>
      <c r="N560" s="5" t="n">
        <f>IF(ISNUMBER(Inputs!$L$5),(IF(Inputs!$L$9="Actual flat rate",L560*Inputs!$L$10,IF(Inputs!$C$9="Residential",IF(L560&lt;='Assumptions and Catalog'!$C$50,L560*'Assumptions and Catalog'!$H$50+'Assumptions and Catalog'!$E$50+'Assumptions and Catalog'!$F$50,IF(L560&lt;='Assumptions and Catalog'!$C$51,L560*'Assumptions and Catalog'!$H$51+'Assumptions and Catalog'!$E$51+'Assumptions and Catalog'!$F$51,IF(L560&lt;='Assumptions and Catalog'!$C$52,L560*'Assumptions and Catalog'!$H$52+'Assumptions and Catalog'!$E$52+'Assumptions and Catalog'!$F$52,IF(L560&lt;='Assumptions and Catalog'!$C$53,L560*'Assumptions and Catalog'!$H$53+'Assumptions and Catalog'!$E$53+'Assumptions and Catalog'!$F$53,IF(L560&lt;='Assumptions and Catalog'!$C$54,L560*'Assumptions and Catalog'!$H$54+'Assumptions and Catalog'!$E$54+'Assumptions and Catalog'!$F$54,IF(L560&lt;='Assumptions and Catalog'!$C$55,L560*'Assumptions and Catalog'!$H$55+'Assumptions and Catalog'!$E$55+'Assumptions and Catalog'!$F$55,IF(L560&lt;='Assumptions and Catalog'!$C$56,L560*'Assumptions and Catalog'!$H$56+'Assumptions and Catalog'!$E$56+'Assumptions and Catalog'!$F$56,IF(L560&lt;='Assumptions and Catalog'!$C$57,L560*'Assumptions and Catalog'!$H$57+'Assumptions and Catalog'!$E$57+'Assumptions and Catalog'!$F$57,"Out of range")))))))),IF(L560&lt;='Assumptions and Catalog'!$C$60,L560*'Assumptions and Catalog'!$H$60+'Assumptions and Catalog'!$E$60+'Assumptions and Catalog'!$F$60,IF(L560&lt;='Assumptions and Catalog'!$C$61,L560*'Assumptions and Catalog'!$H$61+'Assumptions and Catalog'!$E$61+'Assumptions and Catalog'!$F$61,IF(L560&lt;='Assumptions and Catalog'!$C$62,L560*'Assumptions and Catalog'!$H$62+'Assumptions and Catalog'!$E$62+'Assumptions and Catalog'!$F$62,IF(L560&lt;='Assumptions and Catalog'!$C$63,L560*'Assumptions and Catalog'!$H$63+'Assumptions and Catalog'!$E$63+'Assumptions and Catalog'!$F$63,IF(L560&lt;='Assumptions and Catalog'!$C$64,L560*'Assumptions and Catalog'!$H$64+'Assumptions and Catalog'!$E$64+'Assumptions and Catalog'!$F$64,IF(L560&lt;='Assumptions and Catalog'!$C$65,L560*'Assumptions and Catalog'!$H$65+'Assumptions and Catalog'!$E$65+'Assumptions and Catalog'!$F$65,"Out of range")))))))))*(1+'Assumptions and Catalog'!$C$8)^(A560-1),0)</f>
        <v>6867.22</v>
      </c>
      <c r="O560" s="5" t="n">
        <f>M560-N560</f>
        <v>0</v>
      </c>
      <c r="P560" s="5" t="n">
        <f>D$55*(1-K$14)*(1-'Assumptions and Catalog'!$C$23)^R560</f>
        <v>0</v>
      </c>
      <c r="Q560" s="5" t="n">
        <f>IF(ISNUMBER(Inputs!$L$5),(IF(Inputs!$L$9="Actual flat rate",((D560+E560)*C560-G560)*Inputs!$L$10,IF(Inputs!$C$9="Residential",IF(((D560+E560)*C560-G560)&lt;='Assumptions and Catalog'!$C$50,((D560+E560)*C560-G560)*'Assumptions and Catalog'!$H$50+'Assumptions and Catalog'!$E$50+'Assumptions and Catalog'!$F$50,IF(((D560+E560)*C560-G560)&lt;='Assumptions and Catalog'!$C$51,((D560+E560)*C560-G560)*'Assumptions and Catalog'!$H$51+'Assumptions and Catalog'!$E$51+'Assumptions and Catalog'!$F$51,IF(((D560+E560)*C560-G560)&lt;='Assumptions and Catalog'!$C$52,((D560+E560)*C560-G560)*'Assumptions and Catalog'!$H$52+'Assumptions and Catalog'!$E$52+'Assumptions and Catalog'!$F$52,IF(((D560+E560)*C560-G560)&lt;='Assumptions and Catalog'!$C$53,((D560+E560)*C560-G560)*'Assumptions and Catalog'!$H$53+'Assumptions and Catalog'!$E$53+'Assumptions and Catalog'!$F$53,IF(((D560+E560)*C560-G560)&lt;='Assumptions and Catalog'!$C$54,((D560+E560)*C560-G560)*'Assumptions and Catalog'!$H$54+'Assumptions and Catalog'!$E$54+'Assumptions and Catalog'!$F$54,IF(((D560+E560)*C560-G560)&lt;='Assumptions and Catalog'!$C$55,((D560+E560)*C560-G560)*'Assumptions and Catalog'!$H$55+'Assumptions and Catalog'!$E$55+'Assumptions and Catalog'!$F$55,IF(((D560+E560)*C560-G560)&lt;='Assumptions and Catalog'!$C$56,((D560+E560)*C560-G560)*'Assumptions and Catalog'!$H$56+'Assumptions and Catalog'!$E$56+'Assumptions and Catalog'!$F$56,IF(((D560+E560)*C560-G560)&lt;='Assumptions and Catalog'!$C$57,((D560+E560)*C560-G560)*'Assumptions and Catalog'!$H$57+'Assumptions and Catalog'!$E$57+'Assumptions and Catalog'!$F$57,"Out of range")))))))),IF(((D560+E560)*C560-G560)&lt;='Assumptions and Catalog'!$C$60,((D560+E560)*C560-G560)*'Assumptions and Catalog'!$H$60+'Assumptions and Catalog'!$E$60+'Assumptions and Catalog'!$F$60,IF(((D560+E560)*C560-G560)&lt;='Assumptions and Catalog'!$C$61,((D560+E560)*C560-G560)*'Assumptions and Catalog'!$H$61+'Assumptions and Catalog'!$E$61+'Assumptions and Catalog'!$F$61,IF(((D560+E560)*C560-G560)&lt;='Assumptions and Catalog'!$C$62,((D560+E560)*C560-G560)*'Assumptions and Catalog'!$H$62+'Assumptions and Catalog'!$E$62+'Assumptions and Catalog'!$F$62,IF(((D560+E560)*C560-G560)&lt;='Assumptions and Catalog'!$C$63,((D560+E560)*C560-G560)*'Assumptions and Catalog'!$H$63+'Assumptions and Catalog'!$E$63+'Assumptions and Catalog'!$F$63,IF(((D560+E560)*C560-G560)&lt;='Assumptions and Catalog'!$C$64,((D560+E560)*C560-G560)*'Assumptions and Catalog'!$H$64+'Assumptions and Catalog'!$E$64+'Assumptions and Catalog'!$F$64,IF(((D560+E560)*C560-G560)&lt;='Assumptions and Catalog'!$C$65,((D560+E560)*C560-G560)*'Assumptions and Catalog'!$H$65+'Assumptions and Catalog'!$E$65+'Assumptions and Catalog'!$F$65,"Out of range")))))))))*(1+'Assumptions and Catalog'!$C$8)^(A560-1),0)</f>
        <v>6867.22</v>
      </c>
      <c r="R560" s="5" t="n">
        <f>IF(AND('Assumptions and Catalog'!$C$19&gt;0,A560&gt;='Assumptions and Catalog'!$C$19),A560-'Assumptions and Catalog'!$C$19,A560-1)</f>
        <v>2</v>
      </c>
      <c r="S560" s="5" t="n">
        <f>F560+L560-(D560+E560)*C560-J560-K560-IF(D$52&gt;0,'Assumptions and Catalog'!$C$26*C560,0)</f>
        <v>0</v>
      </c>
      <c r="T560" s="5"/>
      <c r="U560" s="5"/>
    </row>
    <row r="561" ht="23.100000381469727" customHeight="1">
      <c r="A561" s="5" t="n">
        <v>13</v>
      </c>
      <c r="B561" s="5" t="n">
        <v>7</v>
      </c>
      <c r="C561" s="5" t="n">
        <f>DAY(DATE('Assumptions and Catalog'!$C$24+A561-1,B561+1,0))</f>
        <v>31</v>
      </c>
      <c r="D561" s="5" t="n">
        <f>IF(ISNUMBER(Inputs!$L$5),Inputs!$L$5*Inputs!$L$6,0)</f>
        <v>40.35</v>
      </c>
      <c r="E561" s="5" t="n">
        <f>IF(ISNUMBER(Inputs!$L$5),Inputs!$L$5-D561,0)</f>
        <v>40.35</v>
      </c>
      <c r="F561" s="5" t="n">
        <f>D$51*'Assumptions and Catalog'!$C$31*C561*(1-'Assumptions and Catalog'!$C$10)^(A561-1)</f>
        <v>0</v>
      </c>
      <c r="G561" s="5" t="n">
        <f>MIN(F561,D561*C561)</f>
        <v>0</v>
      </c>
      <c r="H561" s="5" t="n">
        <f>I561/('Assumptions and Catalog'!$C$11*'Assumptions and Catalog'!$C$12)</f>
        <v>0</v>
      </c>
      <c r="I561" s="5" t="n">
        <f>IF(K$15="Grid cycle",MIN(K$16,D561+E561,P561*'Assumptions and Catalog'!$C$12,D$57*(24-'Assumptions and Catalog'!$C$15),D$56*'Assumptions and Catalog'!$C$15*'Assumptions and Catalog'!$C$11*'Assumptions and Catalog'!$C$12)*C561,0)</f>
        <v>0</v>
      </c>
      <c r="J561" s="5" t="n">
        <f>MAX(F561-G561-0,0)</f>
        <v>0</v>
      </c>
      <c r="K561" s="5" t="n">
        <f>H561-I561</f>
        <v>0</v>
      </c>
      <c r="L561" s="5" t="n">
        <f>(D561+E561)*C561-G561-I561+H561+IF(D$52&gt;0,'Assumptions and Catalog'!$C$26*C561,0)</f>
        <v>2501.7</v>
      </c>
      <c r="M561" s="5" t="n">
        <f>IF(ISNUMBER(Inputs!$L$5),(IF(Inputs!$L$9="Actual flat rate",((D561+E561)*C561)*Inputs!$L$10,IF(Inputs!$C$9="Residential",IF(((D561+E561)*C561)&lt;='Assumptions and Catalog'!$C$50,((D561+E561)*C561)*'Assumptions and Catalog'!$H$50+'Assumptions and Catalog'!$E$50+'Assumptions and Catalog'!$F$50,IF(((D561+E561)*C561)&lt;='Assumptions and Catalog'!$C$51,((D561+E561)*C561)*'Assumptions and Catalog'!$H$51+'Assumptions and Catalog'!$E$51+'Assumptions and Catalog'!$F$51,IF(((D561+E561)*C561)&lt;='Assumptions and Catalog'!$C$52,((D561+E561)*C561)*'Assumptions and Catalog'!$H$52+'Assumptions and Catalog'!$E$52+'Assumptions and Catalog'!$F$52,IF(((D561+E561)*C561)&lt;='Assumptions and Catalog'!$C$53,((D561+E561)*C561)*'Assumptions and Catalog'!$H$53+'Assumptions and Catalog'!$E$53+'Assumptions and Catalog'!$F$53,IF(((D561+E561)*C561)&lt;='Assumptions and Catalog'!$C$54,((D561+E561)*C561)*'Assumptions and Catalog'!$H$54+'Assumptions and Catalog'!$E$54+'Assumptions and Catalog'!$F$54,IF(((D561+E561)*C561)&lt;='Assumptions and Catalog'!$C$55,((D561+E561)*C561)*'Assumptions and Catalog'!$H$55+'Assumptions and Catalog'!$E$55+'Assumptions and Catalog'!$F$55,IF(((D561+E561)*C561)&lt;='Assumptions and Catalog'!$C$56,((D561+E561)*C561)*'Assumptions and Catalog'!$H$56+'Assumptions and Catalog'!$E$56+'Assumptions and Catalog'!$F$56,IF(((D561+E561)*C561)&lt;='Assumptions and Catalog'!$C$57,((D561+E561)*C561)*'Assumptions and Catalog'!$H$57+'Assumptions and Catalog'!$E$57+'Assumptions and Catalog'!$F$57,"Out of range")))))))),IF(((D561+E561)*C561)&lt;='Assumptions and Catalog'!$C$60,((D561+E561)*C561)*'Assumptions and Catalog'!$H$60+'Assumptions and Catalog'!$E$60+'Assumptions and Catalog'!$F$60,IF(((D561+E561)*C561)&lt;='Assumptions and Catalog'!$C$61,((D561+E561)*C561)*'Assumptions and Catalog'!$H$61+'Assumptions and Catalog'!$E$61+'Assumptions and Catalog'!$F$61,IF(((D561+E561)*C561)&lt;='Assumptions and Catalog'!$C$62,((D561+E561)*C561)*'Assumptions and Catalog'!$H$62+'Assumptions and Catalog'!$E$62+'Assumptions and Catalog'!$F$62,IF(((D561+E561)*C561)&lt;='Assumptions and Catalog'!$C$63,((D561+E561)*C561)*'Assumptions and Catalog'!$H$63+'Assumptions and Catalog'!$E$63+'Assumptions and Catalog'!$F$63,IF(((D561+E561)*C561)&lt;='Assumptions and Catalog'!$C$64,((D561+E561)*C561)*'Assumptions and Catalog'!$H$64+'Assumptions and Catalog'!$E$64+'Assumptions and Catalog'!$F$64,IF(((D561+E561)*C561)&lt;='Assumptions and Catalog'!$C$65,((D561+E561)*C561)*'Assumptions and Catalog'!$H$65+'Assumptions and Catalog'!$E$65+'Assumptions and Catalog'!$F$65,"Out of range")))))))))*(1+'Assumptions and Catalog'!$C$8)^(A561-1),0)</f>
        <v>7094.794</v>
      </c>
      <c r="N561" s="5" t="n">
        <f>IF(ISNUMBER(Inputs!$L$5),(IF(Inputs!$L$9="Actual flat rate",L561*Inputs!$L$10,IF(Inputs!$C$9="Residential",IF(L561&lt;='Assumptions and Catalog'!$C$50,L561*'Assumptions and Catalog'!$H$50+'Assumptions and Catalog'!$E$50+'Assumptions and Catalog'!$F$50,IF(L561&lt;='Assumptions and Catalog'!$C$51,L561*'Assumptions and Catalog'!$H$51+'Assumptions and Catalog'!$E$51+'Assumptions and Catalog'!$F$51,IF(L561&lt;='Assumptions and Catalog'!$C$52,L561*'Assumptions and Catalog'!$H$52+'Assumptions and Catalog'!$E$52+'Assumptions and Catalog'!$F$52,IF(L561&lt;='Assumptions and Catalog'!$C$53,L561*'Assumptions and Catalog'!$H$53+'Assumptions and Catalog'!$E$53+'Assumptions and Catalog'!$F$53,IF(L561&lt;='Assumptions and Catalog'!$C$54,L561*'Assumptions and Catalog'!$H$54+'Assumptions and Catalog'!$E$54+'Assumptions and Catalog'!$F$54,IF(L561&lt;='Assumptions and Catalog'!$C$55,L561*'Assumptions and Catalog'!$H$55+'Assumptions and Catalog'!$E$55+'Assumptions and Catalog'!$F$55,IF(L561&lt;='Assumptions and Catalog'!$C$56,L561*'Assumptions and Catalog'!$H$56+'Assumptions and Catalog'!$E$56+'Assumptions and Catalog'!$F$56,IF(L561&lt;='Assumptions and Catalog'!$C$57,L561*'Assumptions and Catalog'!$H$57+'Assumptions and Catalog'!$E$57+'Assumptions and Catalog'!$F$57,"Out of range")))))))),IF(L561&lt;='Assumptions and Catalog'!$C$60,L561*'Assumptions and Catalog'!$H$60+'Assumptions and Catalog'!$E$60+'Assumptions and Catalog'!$F$60,IF(L561&lt;='Assumptions and Catalog'!$C$61,L561*'Assumptions and Catalog'!$H$61+'Assumptions and Catalog'!$E$61+'Assumptions and Catalog'!$F$61,IF(L561&lt;='Assumptions and Catalog'!$C$62,L561*'Assumptions and Catalog'!$H$62+'Assumptions and Catalog'!$E$62+'Assumptions and Catalog'!$F$62,IF(L561&lt;='Assumptions and Catalog'!$C$63,L561*'Assumptions and Catalog'!$H$63+'Assumptions and Catalog'!$E$63+'Assumptions and Catalog'!$F$63,IF(L561&lt;='Assumptions and Catalog'!$C$64,L561*'Assumptions and Catalog'!$H$64+'Assumptions and Catalog'!$E$64+'Assumptions and Catalog'!$F$64,IF(L561&lt;='Assumptions and Catalog'!$C$65,L561*'Assumptions and Catalog'!$H$65+'Assumptions and Catalog'!$E$65+'Assumptions and Catalog'!$F$65,"Out of range")))))))))*(1+'Assumptions and Catalog'!$C$8)^(A561-1),0)</f>
        <v>7094.794</v>
      </c>
      <c r="O561" s="5" t="n">
        <f>M561-N561</f>
        <v>0</v>
      </c>
      <c r="P561" s="5" t="n">
        <f>D$55*(1-K$14)*(1-'Assumptions and Catalog'!$C$23)^R561</f>
        <v>0</v>
      </c>
      <c r="Q561" s="5" t="n">
        <f>IF(ISNUMBER(Inputs!$L$5),(IF(Inputs!$L$9="Actual flat rate",((D561+E561)*C561-G561)*Inputs!$L$10,IF(Inputs!$C$9="Residential",IF(((D561+E561)*C561-G561)&lt;='Assumptions and Catalog'!$C$50,((D561+E561)*C561-G561)*'Assumptions and Catalog'!$H$50+'Assumptions and Catalog'!$E$50+'Assumptions and Catalog'!$F$50,IF(((D561+E561)*C561-G561)&lt;='Assumptions and Catalog'!$C$51,((D561+E561)*C561-G561)*'Assumptions and Catalog'!$H$51+'Assumptions and Catalog'!$E$51+'Assumptions and Catalog'!$F$51,IF(((D561+E561)*C561-G561)&lt;='Assumptions and Catalog'!$C$52,((D561+E561)*C561-G561)*'Assumptions and Catalog'!$H$52+'Assumptions and Catalog'!$E$52+'Assumptions and Catalog'!$F$52,IF(((D561+E561)*C561-G561)&lt;='Assumptions and Catalog'!$C$53,((D561+E561)*C561-G561)*'Assumptions and Catalog'!$H$53+'Assumptions and Catalog'!$E$53+'Assumptions and Catalog'!$F$53,IF(((D561+E561)*C561-G561)&lt;='Assumptions and Catalog'!$C$54,((D561+E561)*C561-G561)*'Assumptions and Catalog'!$H$54+'Assumptions and Catalog'!$E$54+'Assumptions and Catalog'!$F$54,IF(((D561+E561)*C561-G561)&lt;='Assumptions and Catalog'!$C$55,((D561+E561)*C561-G561)*'Assumptions and Catalog'!$H$55+'Assumptions and Catalog'!$E$55+'Assumptions and Catalog'!$F$55,IF(((D561+E561)*C561-G561)&lt;='Assumptions and Catalog'!$C$56,((D561+E561)*C561-G561)*'Assumptions and Catalog'!$H$56+'Assumptions and Catalog'!$E$56+'Assumptions and Catalog'!$F$56,IF(((D561+E561)*C561-G561)&lt;='Assumptions and Catalog'!$C$57,((D561+E561)*C561-G561)*'Assumptions and Catalog'!$H$57+'Assumptions and Catalog'!$E$57+'Assumptions and Catalog'!$F$57,"Out of range")))))))),IF(((D561+E561)*C561-G561)&lt;='Assumptions and Catalog'!$C$60,((D561+E561)*C561-G561)*'Assumptions and Catalog'!$H$60+'Assumptions and Catalog'!$E$60+'Assumptions and Catalog'!$F$60,IF(((D561+E561)*C561-G561)&lt;='Assumptions and Catalog'!$C$61,((D561+E561)*C561-G561)*'Assumptions and Catalog'!$H$61+'Assumptions and Catalog'!$E$61+'Assumptions and Catalog'!$F$61,IF(((D561+E561)*C561-G561)&lt;='Assumptions and Catalog'!$C$62,((D561+E561)*C561-G561)*'Assumptions and Catalog'!$H$62+'Assumptions and Catalog'!$E$62+'Assumptions and Catalog'!$F$62,IF(((D561+E561)*C561-G561)&lt;='Assumptions and Catalog'!$C$63,((D561+E561)*C561-G561)*'Assumptions and Catalog'!$H$63+'Assumptions and Catalog'!$E$63+'Assumptions and Catalog'!$F$63,IF(((D561+E561)*C561-G561)&lt;='Assumptions and Catalog'!$C$64,((D561+E561)*C561-G561)*'Assumptions and Catalog'!$H$64+'Assumptions and Catalog'!$E$64+'Assumptions and Catalog'!$F$64,IF(((D561+E561)*C561-G561)&lt;='Assumptions and Catalog'!$C$65,((D561+E561)*C561-G561)*'Assumptions and Catalog'!$H$65+'Assumptions and Catalog'!$E$65+'Assumptions and Catalog'!$F$65,"Out of range")))))))))*(1+'Assumptions and Catalog'!$C$8)^(A561-1),0)</f>
        <v>7094.794</v>
      </c>
      <c r="R561" s="5" t="n">
        <f>IF(AND('Assumptions and Catalog'!$C$19&gt;0,A561&gt;='Assumptions and Catalog'!$C$19),A561-'Assumptions and Catalog'!$C$19,A561-1)</f>
        <v>2</v>
      </c>
      <c r="S561" s="5" t="n">
        <f>F561+L561-(D561+E561)*C561-J561-K561-IF(D$52&gt;0,'Assumptions and Catalog'!$C$26*C561,0)</f>
        <v>0</v>
      </c>
      <c r="T561" s="5"/>
      <c r="U561" s="5"/>
    </row>
    <row r="562" ht="23.100000381469727" customHeight="1">
      <c r="A562" s="5" t="n">
        <v>13</v>
      </c>
      <c r="B562" s="5" t="n">
        <v>8</v>
      </c>
      <c r="C562" s="5" t="n">
        <f>DAY(DATE('Assumptions and Catalog'!$C$24+A562-1,B562+1,0))</f>
        <v>31</v>
      </c>
      <c r="D562" s="5" t="n">
        <f>IF(ISNUMBER(Inputs!$L$5),Inputs!$L$5*Inputs!$L$6,0)</f>
        <v>40.35</v>
      </c>
      <c r="E562" s="5" t="n">
        <f>IF(ISNUMBER(Inputs!$L$5),Inputs!$L$5-D562,0)</f>
        <v>40.35</v>
      </c>
      <c r="F562" s="5" t="n">
        <f>D$51*'Assumptions and Catalog'!$C$31*C562*(1-'Assumptions and Catalog'!$C$10)^(A562-1)</f>
        <v>0</v>
      </c>
      <c r="G562" s="5" t="n">
        <f>MIN(F562,D562*C562)</f>
        <v>0</v>
      </c>
      <c r="H562" s="5" t="n">
        <f>I562/('Assumptions and Catalog'!$C$11*'Assumptions and Catalog'!$C$12)</f>
        <v>0</v>
      </c>
      <c r="I562" s="5" t="n">
        <f>IF(K$15="Grid cycle",MIN(K$16,D562+E562,P562*'Assumptions and Catalog'!$C$12,D$57*(24-'Assumptions and Catalog'!$C$15),D$56*'Assumptions and Catalog'!$C$15*'Assumptions and Catalog'!$C$11*'Assumptions and Catalog'!$C$12)*C562,0)</f>
        <v>0</v>
      </c>
      <c r="J562" s="5" t="n">
        <f>MAX(F562-G562-0,0)</f>
        <v>0</v>
      </c>
      <c r="K562" s="5" t="n">
        <f>H562-I562</f>
        <v>0</v>
      </c>
      <c r="L562" s="5" t="n">
        <f>(D562+E562)*C562-G562-I562+H562+IF(D$52&gt;0,'Assumptions and Catalog'!$C$26*C562,0)</f>
        <v>2501.7</v>
      </c>
      <c r="M562" s="5" t="n">
        <f>IF(ISNUMBER(Inputs!$L$5),(IF(Inputs!$L$9="Actual flat rate",((D562+E562)*C562)*Inputs!$L$10,IF(Inputs!$C$9="Residential",IF(((D562+E562)*C562)&lt;='Assumptions and Catalog'!$C$50,((D562+E562)*C562)*'Assumptions and Catalog'!$H$50+'Assumptions and Catalog'!$E$50+'Assumptions and Catalog'!$F$50,IF(((D562+E562)*C562)&lt;='Assumptions and Catalog'!$C$51,((D562+E562)*C562)*'Assumptions and Catalog'!$H$51+'Assumptions and Catalog'!$E$51+'Assumptions and Catalog'!$F$51,IF(((D562+E562)*C562)&lt;='Assumptions and Catalog'!$C$52,((D562+E562)*C562)*'Assumptions and Catalog'!$H$52+'Assumptions and Catalog'!$E$52+'Assumptions and Catalog'!$F$52,IF(((D562+E562)*C562)&lt;='Assumptions and Catalog'!$C$53,((D562+E562)*C562)*'Assumptions and Catalog'!$H$53+'Assumptions and Catalog'!$E$53+'Assumptions and Catalog'!$F$53,IF(((D562+E562)*C562)&lt;='Assumptions and Catalog'!$C$54,((D562+E562)*C562)*'Assumptions and Catalog'!$H$54+'Assumptions and Catalog'!$E$54+'Assumptions and Catalog'!$F$54,IF(((D562+E562)*C562)&lt;='Assumptions and Catalog'!$C$55,((D562+E562)*C562)*'Assumptions and Catalog'!$H$55+'Assumptions and Catalog'!$E$55+'Assumptions and Catalog'!$F$55,IF(((D562+E562)*C562)&lt;='Assumptions and Catalog'!$C$56,((D562+E562)*C562)*'Assumptions and Catalog'!$H$56+'Assumptions and Catalog'!$E$56+'Assumptions and Catalog'!$F$56,IF(((D562+E562)*C562)&lt;='Assumptions and Catalog'!$C$57,((D562+E562)*C562)*'Assumptions and Catalog'!$H$57+'Assumptions and Catalog'!$E$57+'Assumptions and Catalog'!$F$57,"Out of range")))))))),IF(((D562+E562)*C562)&lt;='Assumptions and Catalog'!$C$60,((D562+E562)*C562)*'Assumptions and Catalog'!$H$60+'Assumptions and Catalog'!$E$60+'Assumptions and Catalog'!$F$60,IF(((D562+E562)*C562)&lt;='Assumptions and Catalog'!$C$61,((D562+E562)*C562)*'Assumptions and Catalog'!$H$61+'Assumptions and Catalog'!$E$61+'Assumptions and Catalog'!$F$61,IF(((D562+E562)*C562)&lt;='Assumptions and Catalog'!$C$62,((D562+E562)*C562)*'Assumptions and Catalog'!$H$62+'Assumptions and Catalog'!$E$62+'Assumptions and Catalog'!$F$62,IF(((D562+E562)*C562)&lt;='Assumptions and Catalog'!$C$63,((D562+E562)*C562)*'Assumptions and Catalog'!$H$63+'Assumptions and Catalog'!$E$63+'Assumptions and Catalog'!$F$63,IF(((D562+E562)*C562)&lt;='Assumptions and Catalog'!$C$64,((D562+E562)*C562)*'Assumptions and Catalog'!$H$64+'Assumptions and Catalog'!$E$64+'Assumptions and Catalog'!$F$64,IF(((D562+E562)*C562)&lt;='Assumptions and Catalog'!$C$65,((D562+E562)*C562)*'Assumptions and Catalog'!$H$65+'Assumptions and Catalog'!$E$65+'Assumptions and Catalog'!$F$65,"Out of range")))))))))*(1+'Assumptions and Catalog'!$C$8)^(A562-1),0)</f>
        <v>7094.794</v>
      </c>
      <c r="N562" s="5" t="n">
        <f>IF(ISNUMBER(Inputs!$L$5),(IF(Inputs!$L$9="Actual flat rate",L562*Inputs!$L$10,IF(Inputs!$C$9="Residential",IF(L562&lt;='Assumptions and Catalog'!$C$50,L562*'Assumptions and Catalog'!$H$50+'Assumptions and Catalog'!$E$50+'Assumptions and Catalog'!$F$50,IF(L562&lt;='Assumptions and Catalog'!$C$51,L562*'Assumptions and Catalog'!$H$51+'Assumptions and Catalog'!$E$51+'Assumptions and Catalog'!$F$51,IF(L562&lt;='Assumptions and Catalog'!$C$52,L562*'Assumptions and Catalog'!$H$52+'Assumptions and Catalog'!$E$52+'Assumptions and Catalog'!$F$52,IF(L562&lt;='Assumptions and Catalog'!$C$53,L562*'Assumptions and Catalog'!$H$53+'Assumptions and Catalog'!$E$53+'Assumptions and Catalog'!$F$53,IF(L562&lt;='Assumptions and Catalog'!$C$54,L562*'Assumptions and Catalog'!$H$54+'Assumptions and Catalog'!$E$54+'Assumptions and Catalog'!$F$54,IF(L562&lt;='Assumptions and Catalog'!$C$55,L562*'Assumptions and Catalog'!$H$55+'Assumptions and Catalog'!$E$55+'Assumptions and Catalog'!$F$55,IF(L562&lt;='Assumptions and Catalog'!$C$56,L562*'Assumptions and Catalog'!$H$56+'Assumptions and Catalog'!$E$56+'Assumptions and Catalog'!$F$56,IF(L562&lt;='Assumptions and Catalog'!$C$57,L562*'Assumptions and Catalog'!$H$57+'Assumptions and Catalog'!$E$57+'Assumptions and Catalog'!$F$57,"Out of range")))))))),IF(L562&lt;='Assumptions and Catalog'!$C$60,L562*'Assumptions and Catalog'!$H$60+'Assumptions and Catalog'!$E$60+'Assumptions and Catalog'!$F$60,IF(L562&lt;='Assumptions and Catalog'!$C$61,L562*'Assumptions and Catalog'!$H$61+'Assumptions and Catalog'!$E$61+'Assumptions and Catalog'!$F$61,IF(L562&lt;='Assumptions and Catalog'!$C$62,L562*'Assumptions and Catalog'!$H$62+'Assumptions and Catalog'!$E$62+'Assumptions and Catalog'!$F$62,IF(L562&lt;='Assumptions and Catalog'!$C$63,L562*'Assumptions and Catalog'!$H$63+'Assumptions and Catalog'!$E$63+'Assumptions and Catalog'!$F$63,IF(L562&lt;='Assumptions and Catalog'!$C$64,L562*'Assumptions and Catalog'!$H$64+'Assumptions and Catalog'!$E$64+'Assumptions and Catalog'!$F$64,IF(L562&lt;='Assumptions and Catalog'!$C$65,L562*'Assumptions and Catalog'!$H$65+'Assumptions and Catalog'!$E$65+'Assumptions and Catalog'!$F$65,"Out of range")))))))))*(1+'Assumptions and Catalog'!$C$8)^(A562-1),0)</f>
        <v>7094.794</v>
      </c>
      <c r="O562" s="5" t="n">
        <f>M562-N562</f>
        <v>0</v>
      </c>
      <c r="P562" s="5" t="n">
        <f>D$55*(1-K$14)*(1-'Assumptions and Catalog'!$C$23)^R562</f>
        <v>0</v>
      </c>
      <c r="Q562" s="5" t="n">
        <f>IF(ISNUMBER(Inputs!$L$5),(IF(Inputs!$L$9="Actual flat rate",((D562+E562)*C562-G562)*Inputs!$L$10,IF(Inputs!$C$9="Residential",IF(((D562+E562)*C562-G562)&lt;='Assumptions and Catalog'!$C$50,((D562+E562)*C562-G562)*'Assumptions and Catalog'!$H$50+'Assumptions and Catalog'!$E$50+'Assumptions and Catalog'!$F$50,IF(((D562+E562)*C562-G562)&lt;='Assumptions and Catalog'!$C$51,((D562+E562)*C562-G562)*'Assumptions and Catalog'!$H$51+'Assumptions and Catalog'!$E$51+'Assumptions and Catalog'!$F$51,IF(((D562+E562)*C562-G562)&lt;='Assumptions and Catalog'!$C$52,((D562+E562)*C562-G562)*'Assumptions and Catalog'!$H$52+'Assumptions and Catalog'!$E$52+'Assumptions and Catalog'!$F$52,IF(((D562+E562)*C562-G562)&lt;='Assumptions and Catalog'!$C$53,((D562+E562)*C562-G562)*'Assumptions and Catalog'!$H$53+'Assumptions and Catalog'!$E$53+'Assumptions and Catalog'!$F$53,IF(((D562+E562)*C562-G562)&lt;='Assumptions and Catalog'!$C$54,((D562+E562)*C562-G562)*'Assumptions and Catalog'!$H$54+'Assumptions and Catalog'!$E$54+'Assumptions and Catalog'!$F$54,IF(((D562+E562)*C562-G562)&lt;='Assumptions and Catalog'!$C$55,((D562+E562)*C562-G562)*'Assumptions and Catalog'!$H$55+'Assumptions and Catalog'!$E$55+'Assumptions and Catalog'!$F$55,IF(((D562+E562)*C562-G562)&lt;='Assumptions and Catalog'!$C$56,((D562+E562)*C562-G562)*'Assumptions and Catalog'!$H$56+'Assumptions and Catalog'!$E$56+'Assumptions and Catalog'!$F$56,IF(((D562+E562)*C562-G562)&lt;='Assumptions and Catalog'!$C$57,((D562+E562)*C562-G562)*'Assumptions and Catalog'!$H$57+'Assumptions and Catalog'!$E$57+'Assumptions and Catalog'!$F$57,"Out of range")))))))),IF(((D562+E562)*C562-G562)&lt;='Assumptions and Catalog'!$C$60,((D562+E562)*C562-G562)*'Assumptions and Catalog'!$H$60+'Assumptions and Catalog'!$E$60+'Assumptions and Catalog'!$F$60,IF(((D562+E562)*C562-G562)&lt;='Assumptions and Catalog'!$C$61,((D562+E562)*C562-G562)*'Assumptions and Catalog'!$H$61+'Assumptions and Catalog'!$E$61+'Assumptions and Catalog'!$F$61,IF(((D562+E562)*C562-G562)&lt;='Assumptions and Catalog'!$C$62,((D562+E562)*C562-G562)*'Assumptions and Catalog'!$H$62+'Assumptions and Catalog'!$E$62+'Assumptions and Catalog'!$F$62,IF(((D562+E562)*C562-G562)&lt;='Assumptions and Catalog'!$C$63,((D562+E562)*C562-G562)*'Assumptions and Catalog'!$H$63+'Assumptions and Catalog'!$E$63+'Assumptions and Catalog'!$F$63,IF(((D562+E562)*C562-G562)&lt;='Assumptions and Catalog'!$C$64,((D562+E562)*C562-G562)*'Assumptions and Catalog'!$H$64+'Assumptions and Catalog'!$E$64+'Assumptions and Catalog'!$F$64,IF(((D562+E562)*C562-G562)&lt;='Assumptions and Catalog'!$C$65,((D562+E562)*C562-G562)*'Assumptions and Catalog'!$H$65+'Assumptions and Catalog'!$E$65+'Assumptions and Catalog'!$F$65,"Out of range")))))))))*(1+'Assumptions and Catalog'!$C$8)^(A562-1),0)</f>
        <v>7094.794</v>
      </c>
      <c r="R562" s="5" t="n">
        <f>IF(AND('Assumptions and Catalog'!$C$19&gt;0,A562&gt;='Assumptions and Catalog'!$C$19),A562-'Assumptions and Catalog'!$C$19,A562-1)</f>
        <v>2</v>
      </c>
      <c r="S562" s="5" t="n">
        <f>F562+L562-(D562+E562)*C562-J562-K562-IF(D$52&gt;0,'Assumptions and Catalog'!$C$26*C562,0)</f>
        <v>0</v>
      </c>
      <c r="T562" s="5"/>
      <c r="U562" s="5"/>
    </row>
    <row r="563" ht="23.100000381469727" customHeight="1">
      <c r="A563" s="5" t="n">
        <v>13</v>
      </c>
      <c r="B563" s="5" t="n">
        <v>9</v>
      </c>
      <c r="C563" s="5" t="n">
        <f>DAY(DATE('Assumptions and Catalog'!$C$24+A563-1,B563+1,0))</f>
        <v>30</v>
      </c>
      <c r="D563" s="5" t="n">
        <f>IF(ISNUMBER(Inputs!$L$5),Inputs!$L$5*Inputs!$L$6,0)</f>
        <v>40.35</v>
      </c>
      <c r="E563" s="5" t="n">
        <f>IF(ISNUMBER(Inputs!$L$5),Inputs!$L$5-D563,0)</f>
        <v>40.35</v>
      </c>
      <c r="F563" s="5" t="n">
        <f>D$51*'Assumptions and Catalog'!$C$31*C563*(1-'Assumptions and Catalog'!$C$10)^(A563-1)</f>
        <v>0</v>
      </c>
      <c r="G563" s="5" t="n">
        <f>MIN(F563,D563*C563)</f>
        <v>0</v>
      </c>
      <c r="H563" s="5" t="n">
        <f>I563/('Assumptions and Catalog'!$C$11*'Assumptions and Catalog'!$C$12)</f>
        <v>0</v>
      </c>
      <c r="I563" s="5" t="n">
        <f>IF(K$15="Grid cycle",MIN(K$16,D563+E563,P563*'Assumptions and Catalog'!$C$12,D$57*(24-'Assumptions and Catalog'!$C$15),D$56*'Assumptions and Catalog'!$C$15*'Assumptions and Catalog'!$C$11*'Assumptions and Catalog'!$C$12)*C563,0)</f>
        <v>0</v>
      </c>
      <c r="J563" s="5" t="n">
        <f>MAX(F563-G563-0,0)</f>
        <v>0</v>
      </c>
      <c r="K563" s="5" t="n">
        <f>H563-I563</f>
        <v>0</v>
      </c>
      <c r="L563" s="5" t="n">
        <f>(D563+E563)*C563-G563-I563+H563+IF(D$52&gt;0,'Assumptions and Catalog'!$C$26*C563,0)</f>
        <v>2421</v>
      </c>
      <c r="M563" s="5" t="n">
        <f>IF(ISNUMBER(Inputs!$L$5),(IF(Inputs!$L$9="Actual flat rate",((D563+E563)*C563)*Inputs!$L$10,IF(Inputs!$C$9="Residential",IF(((D563+E563)*C563)&lt;='Assumptions and Catalog'!$C$50,((D563+E563)*C563)*'Assumptions and Catalog'!$H$50+'Assumptions and Catalog'!$E$50+'Assumptions and Catalog'!$F$50,IF(((D563+E563)*C563)&lt;='Assumptions and Catalog'!$C$51,((D563+E563)*C563)*'Assumptions and Catalog'!$H$51+'Assumptions and Catalog'!$E$51+'Assumptions and Catalog'!$F$51,IF(((D563+E563)*C563)&lt;='Assumptions and Catalog'!$C$52,((D563+E563)*C563)*'Assumptions and Catalog'!$H$52+'Assumptions and Catalog'!$E$52+'Assumptions and Catalog'!$F$52,IF(((D563+E563)*C563)&lt;='Assumptions and Catalog'!$C$53,((D563+E563)*C563)*'Assumptions and Catalog'!$H$53+'Assumptions and Catalog'!$E$53+'Assumptions and Catalog'!$F$53,IF(((D563+E563)*C563)&lt;='Assumptions and Catalog'!$C$54,((D563+E563)*C563)*'Assumptions and Catalog'!$H$54+'Assumptions and Catalog'!$E$54+'Assumptions and Catalog'!$F$54,IF(((D563+E563)*C563)&lt;='Assumptions and Catalog'!$C$55,((D563+E563)*C563)*'Assumptions and Catalog'!$H$55+'Assumptions and Catalog'!$E$55+'Assumptions and Catalog'!$F$55,IF(((D563+E563)*C563)&lt;='Assumptions and Catalog'!$C$56,((D563+E563)*C563)*'Assumptions and Catalog'!$H$56+'Assumptions and Catalog'!$E$56+'Assumptions and Catalog'!$F$56,IF(((D563+E563)*C563)&lt;='Assumptions and Catalog'!$C$57,((D563+E563)*C563)*'Assumptions and Catalog'!$H$57+'Assumptions and Catalog'!$E$57+'Assumptions and Catalog'!$F$57,"Out of range")))))))),IF(((D563+E563)*C563)&lt;='Assumptions and Catalog'!$C$60,((D563+E563)*C563)*'Assumptions and Catalog'!$H$60+'Assumptions and Catalog'!$E$60+'Assumptions and Catalog'!$F$60,IF(((D563+E563)*C563)&lt;='Assumptions and Catalog'!$C$61,((D563+E563)*C563)*'Assumptions and Catalog'!$H$61+'Assumptions and Catalog'!$E$61+'Assumptions and Catalog'!$F$61,IF(((D563+E563)*C563)&lt;='Assumptions and Catalog'!$C$62,((D563+E563)*C563)*'Assumptions and Catalog'!$H$62+'Assumptions and Catalog'!$E$62+'Assumptions and Catalog'!$F$62,IF(((D563+E563)*C563)&lt;='Assumptions and Catalog'!$C$63,((D563+E563)*C563)*'Assumptions and Catalog'!$H$63+'Assumptions and Catalog'!$E$63+'Assumptions and Catalog'!$F$63,IF(((D563+E563)*C563)&lt;='Assumptions and Catalog'!$C$64,((D563+E563)*C563)*'Assumptions and Catalog'!$H$64+'Assumptions and Catalog'!$E$64+'Assumptions and Catalog'!$F$64,IF(((D563+E563)*C563)&lt;='Assumptions and Catalog'!$C$65,((D563+E563)*C563)*'Assumptions and Catalog'!$H$65+'Assumptions and Catalog'!$E$65+'Assumptions and Catalog'!$F$65,"Out of range")))))))))*(1+'Assumptions and Catalog'!$C$8)^(A563-1),0)</f>
        <v>6867.22</v>
      </c>
      <c r="N563" s="5" t="n">
        <f>IF(ISNUMBER(Inputs!$L$5),(IF(Inputs!$L$9="Actual flat rate",L563*Inputs!$L$10,IF(Inputs!$C$9="Residential",IF(L563&lt;='Assumptions and Catalog'!$C$50,L563*'Assumptions and Catalog'!$H$50+'Assumptions and Catalog'!$E$50+'Assumptions and Catalog'!$F$50,IF(L563&lt;='Assumptions and Catalog'!$C$51,L563*'Assumptions and Catalog'!$H$51+'Assumptions and Catalog'!$E$51+'Assumptions and Catalog'!$F$51,IF(L563&lt;='Assumptions and Catalog'!$C$52,L563*'Assumptions and Catalog'!$H$52+'Assumptions and Catalog'!$E$52+'Assumptions and Catalog'!$F$52,IF(L563&lt;='Assumptions and Catalog'!$C$53,L563*'Assumptions and Catalog'!$H$53+'Assumptions and Catalog'!$E$53+'Assumptions and Catalog'!$F$53,IF(L563&lt;='Assumptions and Catalog'!$C$54,L563*'Assumptions and Catalog'!$H$54+'Assumptions and Catalog'!$E$54+'Assumptions and Catalog'!$F$54,IF(L563&lt;='Assumptions and Catalog'!$C$55,L563*'Assumptions and Catalog'!$H$55+'Assumptions and Catalog'!$E$55+'Assumptions and Catalog'!$F$55,IF(L563&lt;='Assumptions and Catalog'!$C$56,L563*'Assumptions and Catalog'!$H$56+'Assumptions and Catalog'!$E$56+'Assumptions and Catalog'!$F$56,IF(L563&lt;='Assumptions and Catalog'!$C$57,L563*'Assumptions and Catalog'!$H$57+'Assumptions and Catalog'!$E$57+'Assumptions and Catalog'!$F$57,"Out of range")))))))),IF(L563&lt;='Assumptions and Catalog'!$C$60,L563*'Assumptions and Catalog'!$H$60+'Assumptions and Catalog'!$E$60+'Assumptions and Catalog'!$F$60,IF(L563&lt;='Assumptions and Catalog'!$C$61,L563*'Assumptions and Catalog'!$H$61+'Assumptions and Catalog'!$E$61+'Assumptions and Catalog'!$F$61,IF(L563&lt;='Assumptions and Catalog'!$C$62,L563*'Assumptions and Catalog'!$H$62+'Assumptions and Catalog'!$E$62+'Assumptions and Catalog'!$F$62,IF(L563&lt;='Assumptions and Catalog'!$C$63,L563*'Assumptions and Catalog'!$H$63+'Assumptions and Catalog'!$E$63+'Assumptions and Catalog'!$F$63,IF(L563&lt;='Assumptions and Catalog'!$C$64,L563*'Assumptions and Catalog'!$H$64+'Assumptions and Catalog'!$E$64+'Assumptions and Catalog'!$F$64,IF(L563&lt;='Assumptions and Catalog'!$C$65,L563*'Assumptions and Catalog'!$H$65+'Assumptions and Catalog'!$E$65+'Assumptions and Catalog'!$F$65,"Out of range")))))))))*(1+'Assumptions and Catalog'!$C$8)^(A563-1),0)</f>
        <v>6867.22</v>
      </c>
      <c r="O563" s="5" t="n">
        <f>M563-N563</f>
        <v>0</v>
      </c>
      <c r="P563" s="5" t="n">
        <f>D$55*(1-K$14)*(1-'Assumptions and Catalog'!$C$23)^R563</f>
        <v>0</v>
      </c>
      <c r="Q563" s="5" t="n">
        <f>IF(ISNUMBER(Inputs!$L$5),(IF(Inputs!$L$9="Actual flat rate",((D563+E563)*C563-G563)*Inputs!$L$10,IF(Inputs!$C$9="Residential",IF(((D563+E563)*C563-G563)&lt;='Assumptions and Catalog'!$C$50,((D563+E563)*C563-G563)*'Assumptions and Catalog'!$H$50+'Assumptions and Catalog'!$E$50+'Assumptions and Catalog'!$F$50,IF(((D563+E563)*C563-G563)&lt;='Assumptions and Catalog'!$C$51,((D563+E563)*C563-G563)*'Assumptions and Catalog'!$H$51+'Assumptions and Catalog'!$E$51+'Assumptions and Catalog'!$F$51,IF(((D563+E563)*C563-G563)&lt;='Assumptions and Catalog'!$C$52,((D563+E563)*C563-G563)*'Assumptions and Catalog'!$H$52+'Assumptions and Catalog'!$E$52+'Assumptions and Catalog'!$F$52,IF(((D563+E563)*C563-G563)&lt;='Assumptions and Catalog'!$C$53,((D563+E563)*C563-G563)*'Assumptions and Catalog'!$H$53+'Assumptions and Catalog'!$E$53+'Assumptions and Catalog'!$F$53,IF(((D563+E563)*C563-G563)&lt;='Assumptions and Catalog'!$C$54,((D563+E563)*C563-G563)*'Assumptions and Catalog'!$H$54+'Assumptions and Catalog'!$E$54+'Assumptions and Catalog'!$F$54,IF(((D563+E563)*C563-G563)&lt;='Assumptions and Catalog'!$C$55,((D563+E563)*C563-G563)*'Assumptions and Catalog'!$H$55+'Assumptions and Catalog'!$E$55+'Assumptions and Catalog'!$F$55,IF(((D563+E563)*C563-G563)&lt;='Assumptions and Catalog'!$C$56,((D563+E563)*C563-G563)*'Assumptions and Catalog'!$H$56+'Assumptions and Catalog'!$E$56+'Assumptions and Catalog'!$F$56,IF(((D563+E563)*C563-G563)&lt;='Assumptions and Catalog'!$C$57,((D563+E563)*C563-G563)*'Assumptions and Catalog'!$H$57+'Assumptions and Catalog'!$E$57+'Assumptions and Catalog'!$F$57,"Out of range")))))))),IF(((D563+E563)*C563-G563)&lt;='Assumptions and Catalog'!$C$60,((D563+E563)*C563-G563)*'Assumptions and Catalog'!$H$60+'Assumptions and Catalog'!$E$60+'Assumptions and Catalog'!$F$60,IF(((D563+E563)*C563-G563)&lt;='Assumptions and Catalog'!$C$61,((D563+E563)*C563-G563)*'Assumptions and Catalog'!$H$61+'Assumptions and Catalog'!$E$61+'Assumptions and Catalog'!$F$61,IF(((D563+E563)*C563-G563)&lt;='Assumptions and Catalog'!$C$62,((D563+E563)*C563-G563)*'Assumptions and Catalog'!$H$62+'Assumptions and Catalog'!$E$62+'Assumptions and Catalog'!$F$62,IF(((D563+E563)*C563-G563)&lt;='Assumptions and Catalog'!$C$63,((D563+E563)*C563-G563)*'Assumptions and Catalog'!$H$63+'Assumptions and Catalog'!$E$63+'Assumptions and Catalog'!$F$63,IF(((D563+E563)*C563-G563)&lt;='Assumptions and Catalog'!$C$64,((D563+E563)*C563-G563)*'Assumptions and Catalog'!$H$64+'Assumptions and Catalog'!$E$64+'Assumptions and Catalog'!$F$64,IF(((D563+E563)*C563-G563)&lt;='Assumptions and Catalog'!$C$65,((D563+E563)*C563-G563)*'Assumptions and Catalog'!$H$65+'Assumptions and Catalog'!$E$65+'Assumptions and Catalog'!$F$65,"Out of range")))))))))*(1+'Assumptions and Catalog'!$C$8)^(A563-1),0)</f>
        <v>6867.22</v>
      </c>
      <c r="R563" s="5" t="n">
        <f>IF(AND('Assumptions and Catalog'!$C$19&gt;0,A563&gt;='Assumptions and Catalog'!$C$19),A563-'Assumptions and Catalog'!$C$19,A563-1)</f>
        <v>2</v>
      </c>
      <c r="S563" s="5" t="n">
        <f>F563+L563-(D563+E563)*C563-J563-K563-IF(D$52&gt;0,'Assumptions and Catalog'!$C$26*C563,0)</f>
        <v>0</v>
      </c>
      <c r="T563" s="5"/>
      <c r="U563" s="5"/>
    </row>
    <row r="564" ht="23.100000381469727" customHeight="1">
      <c r="A564" s="5" t="n">
        <v>13</v>
      </c>
      <c r="B564" s="5" t="n">
        <v>10</v>
      </c>
      <c r="C564" s="5" t="n">
        <f>DAY(DATE('Assumptions and Catalog'!$C$24+A564-1,B564+1,0))</f>
        <v>31</v>
      </c>
      <c r="D564" s="5" t="n">
        <f>IF(ISNUMBER(Inputs!$L$5),Inputs!$L$5*Inputs!$L$6,0)</f>
        <v>40.35</v>
      </c>
      <c r="E564" s="5" t="n">
        <f>IF(ISNUMBER(Inputs!$L$5),Inputs!$L$5-D564,0)</f>
        <v>40.35</v>
      </c>
      <c r="F564" s="5" t="n">
        <f>D$51*'Assumptions and Catalog'!$C$31*C564*(1-'Assumptions and Catalog'!$C$10)^(A564-1)</f>
        <v>0</v>
      </c>
      <c r="G564" s="5" t="n">
        <f>MIN(F564,D564*C564)</f>
        <v>0</v>
      </c>
      <c r="H564" s="5" t="n">
        <f>I564/('Assumptions and Catalog'!$C$11*'Assumptions and Catalog'!$C$12)</f>
        <v>0</v>
      </c>
      <c r="I564" s="5" t="n">
        <f>IF(K$15="Grid cycle",MIN(K$16,D564+E564,P564*'Assumptions and Catalog'!$C$12,D$57*(24-'Assumptions and Catalog'!$C$15),D$56*'Assumptions and Catalog'!$C$15*'Assumptions and Catalog'!$C$11*'Assumptions and Catalog'!$C$12)*C564,0)</f>
        <v>0</v>
      </c>
      <c r="J564" s="5" t="n">
        <f>MAX(F564-G564-0,0)</f>
        <v>0</v>
      </c>
      <c r="K564" s="5" t="n">
        <f>H564-I564</f>
        <v>0</v>
      </c>
      <c r="L564" s="5" t="n">
        <f>(D564+E564)*C564-G564-I564+H564+IF(D$52&gt;0,'Assumptions and Catalog'!$C$26*C564,0)</f>
        <v>2501.7</v>
      </c>
      <c r="M564" s="5" t="n">
        <f>IF(ISNUMBER(Inputs!$L$5),(IF(Inputs!$L$9="Actual flat rate",((D564+E564)*C564)*Inputs!$L$10,IF(Inputs!$C$9="Residential",IF(((D564+E564)*C564)&lt;='Assumptions and Catalog'!$C$50,((D564+E564)*C564)*'Assumptions and Catalog'!$H$50+'Assumptions and Catalog'!$E$50+'Assumptions and Catalog'!$F$50,IF(((D564+E564)*C564)&lt;='Assumptions and Catalog'!$C$51,((D564+E564)*C564)*'Assumptions and Catalog'!$H$51+'Assumptions and Catalog'!$E$51+'Assumptions and Catalog'!$F$51,IF(((D564+E564)*C564)&lt;='Assumptions and Catalog'!$C$52,((D564+E564)*C564)*'Assumptions and Catalog'!$H$52+'Assumptions and Catalog'!$E$52+'Assumptions and Catalog'!$F$52,IF(((D564+E564)*C564)&lt;='Assumptions and Catalog'!$C$53,((D564+E564)*C564)*'Assumptions and Catalog'!$H$53+'Assumptions and Catalog'!$E$53+'Assumptions and Catalog'!$F$53,IF(((D564+E564)*C564)&lt;='Assumptions and Catalog'!$C$54,((D564+E564)*C564)*'Assumptions and Catalog'!$H$54+'Assumptions and Catalog'!$E$54+'Assumptions and Catalog'!$F$54,IF(((D564+E564)*C564)&lt;='Assumptions and Catalog'!$C$55,((D564+E564)*C564)*'Assumptions and Catalog'!$H$55+'Assumptions and Catalog'!$E$55+'Assumptions and Catalog'!$F$55,IF(((D564+E564)*C564)&lt;='Assumptions and Catalog'!$C$56,((D564+E564)*C564)*'Assumptions and Catalog'!$H$56+'Assumptions and Catalog'!$E$56+'Assumptions and Catalog'!$F$56,IF(((D564+E564)*C564)&lt;='Assumptions and Catalog'!$C$57,((D564+E564)*C564)*'Assumptions and Catalog'!$H$57+'Assumptions and Catalog'!$E$57+'Assumptions and Catalog'!$F$57,"Out of range")))))))),IF(((D564+E564)*C564)&lt;='Assumptions and Catalog'!$C$60,((D564+E564)*C564)*'Assumptions and Catalog'!$H$60+'Assumptions and Catalog'!$E$60+'Assumptions and Catalog'!$F$60,IF(((D564+E564)*C564)&lt;='Assumptions and Catalog'!$C$61,((D564+E564)*C564)*'Assumptions and Catalog'!$H$61+'Assumptions and Catalog'!$E$61+'Assumptions and Catalog'!$F$61,IF(((D564+E564)*C564)&lt;='Assumptions and Catalog'!$C$62,((D564+E564)*C564)*'Assumptions and Catalog'!$H$62+'Assumptions and Catalog'!$E$62+'Assumptions and Catalog'!$F$62,IF(((D564+E564)*C564)&lt;='Assumptions and Catalog'!$C$63,((D564+E564)*C564)*'Assumptions and Catalog'!$H$63+'Assumptions and Catalog'!$E$63+'Assumptions and Catalog'!$F$63,IF(((D564+E564)*C564)&lt;='Assumptions and Catalog'!$C$64,((D564+E564)*C564)*'Assumptions and Catalog'!$H$64+'Assumptions and Catalog'!$E$64+'Assumptions and Catalog'!$F$64,IF(((D564+E564)*C564)&lt;='Assumptions and Catalog'!$C$65,((D564+E564)*C564)*'Assumptions and Catalog'!$H$65+'Assumptions and Catalog'!$E$65+'Assumptions and Catalog'!$F$65,"Out of range")))))))))*(1+'Assumptions and Catalog'!$C$8)^(A564-1),0)</f>
        <v>7094.794</v>
      </c>
      <c r="N564" s="5" t="n">
        <f>IF(ISNUMBER(Inputs!$L$5),(IF(Inputs!$L$9="Actual flat rate",L564*Inputs!$L$10,IF(Inputs!$C$9="Residential",IF(L564&lt;='Assumptions and Catalog'!$C$50,L564*'Assumptions and Catalog'!$H$50+'Assumptions and Catalog'!$E$50+'Assumptions and Catalog'!$F$50,IF(L564&lt;='Assumptions and Catalog'!$C$51,L564*'Assumptions and Catalog'!$H$51+'Assumptions and Catalog'!$E$51+'Assumptions and Catalog'!$F$51,IF(L564&lt;='Assumptions and Catalog'!$C$52,L564*'Assumptions and Catalog'!$H$52+'Assumptions and Catalog'!$E$52+'Assumptions and Catalog'!$F$52,IF(L564&lt;='Assumptions and Catalog'!$C$53,L564*'Assumptions and Catalog'!$H$53+'Assumptions and Catalog'!$E$53+'Assumptions and Catalog'!$F$53,IF(L564&lt;='Assumptions and Catalog'!$C$54,L564*'Assumptions and Catalog'!$H$54+'Assumptions and Catalog'!$E$54+'Assumptions and Catalog'!$F$54,IF(L564&lt;='Assumptions and Catalog'!$C$55,L564*'Assumptions and Catalog'!$H$55+'Assumptions and Catalog'!$E$55+'Assumptions and Catalog'!$F$55,IF(L564&lt;='Assumptions and Catalog'!$C$56,L564*'Assumptions and Catalog'!$H$56+'Assumptions and Catalog'!$E$56+'Assumptions and Catalog'!$F$56,IF(L564&lt;='Assumptions and Catalog'!$C$57,L564*'Assumptions and Catalog'!$H$57+'Assumptions and Catalog'!$E$57+'Assumptions and Catalog'!$F$57,"Out of range")))))))),IF(L564&lt;='Assumptions and Catalog'!$C$60,L564*'Assumptions and Catalog'!$H$60+'Assumptions and Catalog'!$E$60+'Assumptions and Catalog'!$F$60,IF(L564&lt;='Assumptions and Catalog'!$C$61,L564*'Assumptions and Catalog'!$H$61+'Assumptions and Catalog'!$E$61+'Assumptions and Catalog'!$F$61,IF(L564&lt;='Assumptions and Catalog'!$C$62,L564*'Assumptions and Catalog'!$H$62+'Assumptions and Catalog'!$E$62+'Assumptions and Catalog'!$F$62,IF(L564&lt;='Assumptions and Catalog'!$C$63,L564*'Assumptions and Catalog'!$H$63+'Assumptions and Catalog'!$E$63+'Assumptions and Catalog'!$F$63,IF(L564&lt;='Assumptions and Catalog'!$C$64,L564*'Assumptions and Catalog'!$H$64+'Assumptions and Catalog'!$E$64+'Assumptions and Catalog'!$F$64,IF(L564&lt;='Assumptions and Catalog'!$C$65,L564*'Assumptions and Catalog'!$H$65+'Assumptions and Catalog'!$E$65+'Assumptions and Catalog'!$F$65,"Out of range")))))))))*(1+'Assumptions and Catalog'!$C$8)^(A564-1),0)</f>
        <v>7094.794</v>
      </c>
      <c r="O564" s="5" t="n">
        <f>M564-N564</f>
        <v>0</v>
      </c>
      <c r="P564" s="5" t="n">
        <f>D$55*(1-K$14)*(1-'Assumptions and Catalog'!$C$23)^R564</f>
        <v>0</v>
      </c>
      <c r="Q564" s="5" t="n">
        <f>IF(ISNUMBER(Inputs!$L$5),(IF(Inputs!$L$9="Actual flat rate",((D564+E564)*C564-G564)*Inputs!$L$10,IF(Inputs!$C$9="Residential",IF(((D564+E564)*C564-G564)&lt;='Assumptions and Catalog'!$C$50,((D564+E564)*C564-G564)*'Assumptions and Catalog'!$H$50+'Assumptions and Catalog'!$E$50+'Assumptions and Catalog'!$F$50,IF(((D564+E564)*C564-G564)&lt;='Assumptions and Catalog'!$C$51,((D564+E564)*C564-G564)*'Assumptions and Catalog'!$H$51+'Assumptions and Catalog'!$E$51+'Assumptions and Catalog'!$F$51,IF(((D564+E564)*C564-G564)&lt;='Assumptions and Catalog'!$C$52,((D564+E564)*C564-G564)*'Assumptions and Catalog'!$H$52+'Assumptions and Catalog'!$E$52+'Assumptions and Catalog'!$F$52,IF(((D564+E564)*C564-G564)&lt;='Assumptions and Catalog'!$C$53,((D564+E564)*C564-G564)*'Assumptions and Catalog'!$H$53+'Assumptions and Catalog'!$E$53+'Assumptions and Catalog'!$F$53,IF(((D564+E564)*C564-G564)&lt;='Assumptions and Catalog'!$C$54,((D564+E564)*C564-G564)*'Assumptions and Catalog'!$H$54+'Assumptions and Catalog'!$E$54+'Assumptions and Catalog'!$F$54,IF(((D564+E564)*C564-G564)&lt;='Assumptions and Catalog'!$C$55,((D564+E564)*C564-G564)*'Assumptions and Catalog'!$H$55+'Assumptions and Catalog'!$E$55+'Assumptions and Catalog'!$F$55,IF(((D564+E564)*C564-G564)&lt;='Assumptions and Catalog'!$C$56,((D564+E564)*C564-G564)*'Assumptions and Catalog'!$H$56+'Assumptions and Catalog'!$E$56+'Assumptions and Catalog'!$F$56,IF(((D564+E564)*C564-G564)&lt;='Assumptions and Catalog'!$C$57,((D564+E564)*C564-G564)*'Assumptions and Catalog'!$H$57+'Assumptions and Catalog'!$E$57+'Assumptions and Catalog'!$F$57,"Out of range")))))))),IF(((D564+E564)*C564-G564)&lt;='Assumptions and Catalog'!$C$60,((D564+E564)*C564-G564)*'Assumptions and Catalog'!$H$60+'Assumptions and Catalog'!$E$60+'Assumptions and Catalog'!$F$60,IF(((D564+E564)*C564-G564)&lt;='Assumptions and Catalog'!$C$61,((D564+E564)*C564-G564)*'Assumptions and Catalog'!$H$61+'Assumptions and Catalog'!$E$61+'Assumptions and Catalog'!$F$61,IF(((D564+E564)*C564-G564)&lt;='Assumptions and Catalog'!$C$62,((D564+E564)*C564-G564)*'Assumptions and Catalog'!$H$62+'Assumptions and Catalog'!$E$62+'Assumptions and Catalog'!$F$62,IF(((D564+E564)*C564-G564)&lt;='Assumptions and Catalog'!$C$63,((D564+E564)*C564-G564)*'Assumptions and Catalog'!$H$63+'Assumptions and Catalog'!$E$63+'Assumptions and Catalog'!$F$63,IF(((D564+E564)*C564-G564)&lt;='Assumptions and Catalog'!$C$64,((D564+E564)*C564-G564)*'Assumptions and Catalog'!$H$64+'Assumptions and Catalog'!$E$64+'Assumptions and Catalog'!$F$64,IF(((D564+E564)*C564-G564)&lt;='Assumptions and Catalog'!$C$65,((D564+E564)*C564-G564)*'Assumptions and Catalog'!$H$65+'Assumptions and Catalog'!$E$65+'Assumptions and Catalog'!$F$65,"Out of range")))))))))*(1+'Assumptions and Catalog'!$C$8)^(A564-1),0)</f>
        <v>7094.794</v>
      </c>
      <c r="R564" s="5" t="n">
        <f>IF(AND('Assumptions and Catalog'!$C$19&gt;0,A564&gt;='Assumptions and Catalog'!$C$19),A564-'Assumptions and Catalog'!$C$19,A564-1)</f>
        <v>2</v>
      </c>
      <c r="S564" s="5" t="n">
        <f>F564+L564-(D564+E564)*C564-J564-K564-IF(D$52&gt;0,'Assumptions and Catalog'!$C$26*C564,0)</f>
        <v>0</v>
      </c>
      <c r="T564" s="5"/>
      <c r="U564" s="5"/>
    </row>
    <row r="565" ht="23.100000381469727" customHeight="1">
      <c r="A565" s="5" t="n">
        <v>13</v>
      </c>
      <c r="B565" s="5" t="n">
        <v>11</v>
      </c>
      <c r="C565" s="5" t="n">
        <f>DAY(DATE('Assumptions and Catalog'!$C$24+A565-1,B565+1,0))</f>
        <v>30</v>
      </c>
      <c r="D565" s="5" t="n">
        <f>IF(ISNUMBER(Inputs!$L$5),Inputs!$L$5*Inputs!$L$6,0)</f>
        <v>40.35</v>
      </c>
      <c r="E565" s="5" t="n">
        <f>IF(ISNUMBER(Inputs!$L$5),Inputs!$L$5-D565,0)</f>
        <v>40.35</v>
      </c>
      <c r="F565" s="5" t="n">
        <f>D$51*'Assumptions and Catalog'!$C$31*C565*(1-'Assumptions and Catalog'!$C$10)^(A565-1)</f>
        <v>0</v>
      </c>
      <c r="G565" s="5" t="n">
        <f>MIN(F565,D565*C565)</f>
        <v>0</v>
      </c>
      <c r="H565" s="5" t="n">
        <f>I565/('Assumptions and Catalog'!$C$11*'Assumptions and Catalog'!$C$12)</f>
        <v>0</v>
      </c>
      <c r="I565" s="5" t="n">
        <f>IF(K$15="Grid cycle",MIN(K$16,D565+E565,P565*'Assumptions and Catalog'!$C$12,D$57*(24-'Assumptions and Catalog'!$C$15),D$56*'Assumptions and Catalog'!$C$15*'Assumptions and Catalog'!$C$11*'Assumptions and Catalog'!$C$12)*C565,0)</f>
        <v>0</v>
      </c>
      <c r="J565" s="5" t="n">
        <f>MAX(F565-G565-0,0)</f>
        <v>0</v>
      </c>
      <c r="K565" s="5" t="n">
        <f>H565-I565</f>
        <v>0</v>
      </c>
      <c r="L565" s="5" t="n">
        <f>(D565+E565)*C565-G565-I565+H565+IF(D$52&gt;0,'Assumptions and Catalog'!$C$26*C565,0)</f>
        <v>2421</v>
      </c>
      <c r="M565" s="5" t="n">
        <f>IF(ISNUMBER(Inputs!$L$5),(IF(Inputs!$L$9="Actual flat rate",((D565+E565)*C565)*Inputs!$L$10,IF(Inputs!$C$9="Residential",IF(((D565+E565)*C565)&lt;='Assumptions and Catalog'!$C$50,((D565+E565)*C565)*'Assumptions and Catalog'!$H$50+'Assumptions and Catalog'!$E$50+'Assumptions and Catalog'!$F$50,IF(((D565+E565)*C565)&lt;='Assumptions and Catalog'!$C$51,((D565+E565)*C565)*'Assumptions and Catalog'!$H$51+'Assumptions and Catalog'!$E$51+'Assumptions and Catalog'!$F$51,IF(((D565+E565)*C565)&lt;='Assumptions and Catalog'!$C$52,((D565+E565)*C565)*'Assumptions and Catalog'!$H$52+'Assumptions and Catalog'!$E$52+'Assumptions and Catalog'!$F$52,IF(((D565+E565)*C565)&lt;='Assumptions and Catalog'!$C$53,((D565+E565)*C565)*'Assumptions and Catalog'!$H$53+'Assumptions and Catalog'!$E$53+'Assumptions and Catalog'!$F$53,IF(((D565+E565)*C565)&lt;='Assumptions and Catalog'!$C$54,((D565+E565)*C565)*'Assumptions and Catalog'!$H$54+'Assumptions and Catalog'!$E$54+'Assumptions and Catalog'!$F$54,IF(((D565+E565)*C565)&lt;='Assumptions and Catalog'!$C$55,((D565+E565)*C565)*'Assumptions and Catalog'!$H$55+'Assumptions and Catalog'!$E$55+'Assumptions and Catalog'!$F$55,IF(((D565+E565)*C565)&lt;='Assumptions and Catalog'!$C$56,((D565+E565)*C565)*'Assumptions and Catalog'!$H$56+'Assumptions and Catalog'!$E$56+'Assumptions and Catalog'!$F$56,IF(((D565+E565)*C565)&lt;='Assumptions and Catalog'!$C$57,((D565+E565)*C565)*'Assumptions and Catalog'!$H$57+'Assumptions and Catalog'!$E$57+'Assumptions and Catalog'!$F$57,"Out of range")))))))),IF(((D565+E565)*C565)&lt;='Assumptions and Catalog'!$C$60,((D565+E565)*C565)*'Assumptions and Catalog'!$H$60+'Assumptions and Catalog'!$E$60+'Assumptions and Catalog'!$F$60,IF(((D565+E565)*C565)&lt;='Assumptions and Catalog'!$C$61,((D565+E565)*C565)*'Assumptions and Catalog'!$H$61+'Assumptions and Catalog'!$E$61+'Assumptions and Catalog'!$F$61,IF(((D565+E565)*C565)&lt;='Assumptions and Catalog'!$C$62,((D565+E565)*C565)*'Assumptions and Catalog'!$H$62+'Assumptions and Catalog'!$E$62+'Assumptions and Catalog'!$F$62,IF(((D565+E565)*C565)&lt;='Assumptions and Catalog'!$C$63,((D565+E565)*C565)*'Assumptions and Catalog'!$H$63+'Assumptions and Catalog'!$E$63+'Assumptions and Catalog'!$F$63,IF(((D565+E565)*C565)&lt;='Assumptions and Catalog'!$C$64,((D565+E565)*C565)*'Assumptions and Catalog'!$H$64+'Assumptions and Catalog'!$E$64+'Assumptions and Catalog'!$F$64,IF(((D565+E565)*C565)&lt;='Assumptions and Catalog'!$C$65,((D565+E565)*C565)*'Assumptions and Catalog'!$H$65+'Assumptions and Catalog'!$E$65+'Assumptions and Catalog'!$F$65,"Out of range")))))))))*(1+'Assumptions and Catalog'!$C$8)^(A565-1),0)</f>
        <v>6867.22</v>
      </c>
      <c r="N565" s="5" t="n">
        <f>IF(ISNUMBER(Inputs!$L$5),(IF(Inputs!$L$9="Actual flat rate",L565*Inputs!$L$10,IF(Inputs!$C$9="Residential",IF(L565&lt;='Assumptions and Catalog'!$C$50,L565*'Assumptions and Catalog'!$H$50+'Assumptions and Catalog'!$E$50+'Assumptions and Catalog'!$F$50,IF(L565&lt;='Assumptions and Catalog'!$C$51,L565*'Assumptions and Catalog'!$H$51+'Assumptions and Catalog'!$E$51+'Assumptions and Catalog'!$F$51,IF(L565&lt;='Assumptions and Catalog'!$C$52,L565*'Assumptions and Catalog'!$H$52+'Assumptions and Catalog'!$E$52+'Assumptions and Catalog'!$F$52,IF(L565&lt;='Assumptions and Catalog'!$C$53,L565*'Assumptions and Catalog'!$H$53+'Assumptions and Catalog'!$E$53+'Assumptions and Catalog'!$F$53,IF(L565&lt;='Assumptions and Catalog'!$C$54,L565*'Assumptions and Catalog'!$H$54+'Assumptions and Catalog'!$E$54+'Assumptions and Catalog'!$F$54,IF(L565&lt;='Assumptions and Catalog'!$C$55,L565*'Assumptions and Catalog'!$H$55+'Assumptions and Catalog'!$E$55+'Assumptions and Catalog'!$F$55,IF(L565&lt;='Assumptions and Catalog'!$C$56,L565*'Assumptions and Catalog'!$H$56+'Assumptions and Catalog'!$E$56+'Assumptions and Catalog'!$F$56,IF(L565&lt;='Assumptions and Catalog'!$C$57,L565*'Assumptions and Catalog'!$H$57+'Assumptions and Catalog'!$E$57+'Assumptions and Catalog'!$F$57,"Out of range")))))))),IF(L565&lt;='Assumptions and Catalog'!$C$60,L565*'Assumptions and Catalog'!$H$60+'Assumptions and Catalog'!$E$60+'Assumptions and Catalog'!$F$60,IF(L565&lt;='Assumptions and Catalog'!$C$61,L565*'Assumptions and Catalog'!$H$61+'Assumptions and Catalog'!$E$61+'Assumptions and Catalog'!$F$61,IF(L565&lt;='Assumptions and Catalog'!$C$62,L565*'Assumptions and Catalog'!$H$62+'Assumptions and Catalog'!$E$62+'Assumptions and Catalog'!$F$62,IF(L565&lt;='Assumptions and Catalog'!$C$63,L565*'Assumptions and Catalog'!$H$63+'Assumptions and Catalog'!$E$63+'Assumptions and Catalog'!$F$63,IF(L565&lt;='Assumptions and Catalog'!$C$64,L565*'Assumptions and Catalog'!$H$64+'Assumptions and Catalog'!$E$64+'Assumptions and Catalog'!$F$64,IF(L565&lt;='Assumptions and Catalog'!$C$65,L565*'Assumptions and Catalog'!$H$65+'Assumptions and Catalog'!$E$65+'Assumptions and Catalog'!$F$65,"Out of range")))))))))*(1+'Assumptions and Catalog'!$C$8)^(A565-1),0)</f>
        <v>6867.22</v>
      </c>
      <c r="O565" s="5" t="n">
        <f>M565-N565</f>
        <v>0</v>
      </c>
      <c r="P565" s="5" t="n">
        <f>D$55*(1-K$14)*(1-'Assumptions and Catalog'!$C$23)^R565</f>
        <v>0</v>
      </c>
      <c r="Q565" s="5" t="n">
        <f>IF(ISNUMBER(Inputs!$L$5),(IF(Inputs!$L$9="Actual flat rate",((D565+E565)*C565-G565)*Inputs!$L$10,IF(Inputs!$C$9="Residential",IF(((D565+E565)*C565-G565)&lt;='Assumptions and Catalog'!$C$50,((D565+E565)*C565-G565)*'Assumptions and Catalog'!$H$50+'Assumptions and Catalog'!$E$50+'Assumptions and Catalog'!$F$50,IF(((D565+E565)*C565-G565)&lt;='Assumptions and Catalog'!$C$51,((D565+E565)*C565-G565)*'Assumptions and Catalog'!$H$51+'Assumptions and Catalog'!$E$51+'Assumptions and Catalog'!$F$51,IF(((D565+E565)*C565-G565)&lt;='Assumptions and Catalog'!$C$52,((D565+E565)*C565-G565)*'Assumptions and Catalog'!$H$52+'Assumptions and Catalog'!$E$52+'Assumptions and Catalog'!$F$52,IF(((D565+E565)*C565-G565)&lt;='Assumptions and Catalog'!$C$53,((D565+E565)*C565-G565)*'Assumptions and Catalog'!$H$53+'Assumptions and Catalog'!$E$53+'Assumptions and Catalog'!$F$53,IF(((D565+E565)*C565-G565)&lt;='Assumptions and Catalog'!$C$54,((D565+E565)*C565-G565)*'Assumptions and Catalog'!$H$54+'Assumptions and Catalog'!$E$54+'Assumptions and Catalog'!$F$54,IF(((D565+E565)*C565-G565)&lt;='Assumptions and Catalog'!$C$55,((D565+E565)*C565-G565)*'Assumptions and Catalog'!$H$55+'Assumptions and Catalog'!$E$55+'Assumptions and Catalog'!$F$55,IF(((D565+E565)*C565-G565)&lt;='Assumptions and Catalog'!$C$56,((D565+E565)*C565-G565)*'Assumptions and Catalog'!$H$56+'Assumptions and Catalog'!$E$56+'Assumptions and Catalog'!$F$56,IF(((D565+E565)*C565-G565)&lt;='Assumptions and Catalog'!$C$57,((D565+E565)*C565-G565)*'Assumptions and Catalog'!$H$57+'Assumptions and Catalog'!$E$57+'Assumptions and Catalog'!$F$57,"Out of range")))))))),IF(((D565+E565)*C565-G565)&lt;='Assumptions and Catalog'!$C$60,((D565+E565)*C565-G565)*'Assumptions and Catalog'!$H$60+'Assumptions and Catalog'!$E$60+'Assumptions and Catalog'!$F$60,IF(((D565+E565)*C565-G565)&lt;='Assumptions and Catalog'!$C$61,((D565+E565)*C565-G565)*'Assumptions and Catalog'!$H$61+'Assumptions and Catalog'!$E$61+'Assumptions and Catalog'!$F$61,IF(((D565+E565)*C565-G565)&lt;='Assumptions and Catalog'!$C$62,((D565+E565)*C565-G565)*'Assumptions and Catalog'!$H$62+'Assumptions and Catalog'!$E$62+'Assumptions and Catalog'!$F$62,IF(((D565+E565)*C565-G565)&lt;='Assumptions and Catalog'!$C$63,((D565+E565)*C565-G565)*'Assumptions and Catalog'!$H$63+'Assumptions and Catalog'!$E$63+'Assumptions and Catalog'!$F$63,IF(((D565+E565)*C565-G565)&lt;='Assumptions and Catalog'!$C$64,((D565+E565)*C565-G565)*'Assumptions and Catalog'!$H$64+'Assumptions and Catalog'!$E$64+'Assumptions and Catalog'!$F$64,IF(((D565+E565)*C565-G565)&lt;='Assumptions and Catalog'!$C$65,((D565+E565)*C565-G565)*'Assumptions and Catalog'!$H$65+'Assumptions and Catalog'!$E$65+'Assumptions and Catalog'!$F$65,"Out of range")))))))))*(1+'Assumptions and Catalog'!$C$8)^(A565-1),0)</f>
        <v>6867.22</v>
      </c>
      <c r="R565" s="5" t="n">
        <f>IF(AND('Assumptions and Catalog'!$C$19&gt;0,A565&gt;='Assumptions and Catalog'!$C$19),A565-'Assumptions and Catalog'!$C$19,A565-1)</f>
        <v>2</v>
      </c>
      <c r="S565" s="5" t="n">
        <f>F565+L565-(D565+E565)*C565-J565-K565-IF(D$52&gt;0,'Assumptions and Catalog'!$C$26*C565,0)</f>
        <v>0</v>
      </c>
      <c r="T565" s="5"/>
      <c r="U565" s="5"/>
    </row>
    <row r="566" ht="23.100000381469727" customHeight="1">
      <c r="A566" s="5" t="n">
        <v>13</v>
      </c>
      <c r="B566" s="5" t="n">
        <v>12</v>
      </c>
      <c r="C566" s="5" t="n">
        <f>DAY(DATE('Assumptions and Catalog'!$C$24+A566-1,B566+1,0))</f>
        <v>31</v>
      </c>
      <c r="D566" s="5" t="n">
        <f>IF(ISNUMBER(Inputs!$L$5),Inputs!$L$5*Inputs!$L$6,0)</f>
        <v>40.35</v>
      </c>
      <c r="E566" s="5" t="n">
        <f>IF(ISNUMBER(Inputs!$L$5),Inputs!$L$5-D566,0)</f>
        <v>40.35</v>
      </c>
      <c r="F566" s="5" t="n">
        <f>D$51*'Assumptions and Catalog'!$C$31*C566*(1-'Assumptions and Catalog'!$C$10)^(A566-1)</f>
        <v>0</v>
      </c>
      <c r="G566" s="5" t="n">
        <f>MIN(F566,D566*C566)</f>
        <v>0</v>
      </c>
      <c r="H566" s="5" t="n">
        <f>I566/('Assumptions and Catalog'!$C$11*'Assumptions and Catalog'!$C$12)</f>
        <v>0</v>
      </c>
      <c r="I566" s="5" t="n">
        <f>IF(K$15="Grid cycle",MIN(K$16,D566+E566,P566*'Assumptions and Catalog'!$C$12,D$57*(24-'Assumptions and Catalog'!$C$15),D$56*'Assumptions and Catalog'!$C$15*'Assumptions and Catalog'!$C$11*'Assumptions and Catalog'!$C$12)*C566,0)</f>
        <v>0</v>
      </c>
      <c r="J566" s="5" t="n">
        <f>MAX(F566-G566-0,0)</f>
        <v>0</v>
      </c>
      <c r="K566" s="5" t="n">
        <f>H566-I566</f>
        <v>0</v>
      </c>
      <c r="L566" s="5" t="n">
        <f>(D566+E566)*C566-G566-I566+H566+IF(D$52&gt;0,'Assumptions and Catalog'!$C$26*C566,0)</f>
        <v>2501.7</v>
      </c>
      <c r="M566" s="5" t="n">
        <f>IF(ISNUMBER(Inputs!$L$5),(IF(Inputs!$L$9="Actual flat rate",((D566+E566)*C566)*Inputs!$L$10,IF(Inputs!$C$9="Residential",IF(((D566+E566)*C566)&lt;='Assumptions and Catalog'!$C$50,((D566+E566)*C566)*'Assumptions and Catalog'!$H$50+'Assumptions and Catalog'!$E$50+'Assumptions and Catalog'!$F$50,IF(((D566+E566)*C566)&lt;='Assumptions and Catalog'!$C$51,((D566+E566)*C566)*'Assumptions and Catalog'!$H$51+'Assumptions and Catalog'!$E$51+'Assumptions and Catalog'!$F$51,IF(((D566+E566)*C566)&lt;='Assumptions and Catalog'!$C$52,((D566+E566)*C566)*'Assumptions and Catalog'!$H$52+'Assumptions and Catalog'!$E$52+'Assumptions and Catalog'!$F$52,IF(((D566+E566)*C566)&lt;='Assumptions and Catalog'!$C$53,((D566+E566)*C566)*'Assumptions and Catalog'!$H$53+'Assumptions and Catalog'!$E$53+'Assumptions and Catalog'!$F$53,IF(((D566+E566)*C566)&lt;='Assumptions and Catalog'!$C$54,((D566+E566)*C566)*'Assumptions and Catalog'!$H$54+'Assumptions and Catalog'!$E$54+'Assumptions and Catalog'!$F$54,IF(((D566+E566)*C566)&lt;='Assumptions and Catalog'!$C$55,((D566+E566)*C566)*'Assumptions and Catalog'!$H$55+'Assumptions and Catalog'!$E$55+'Assumptions and Catalog'!$F$55,IF(((D566+E566)*C566)&lt;='Assumptions and Catalog'!$C$56,((D566+E566)*C566)*'Assumptions and Catalog'!$H$56+'Assumptions and Catalog'!$E$56+'Assumptions and Catalog'!$F$56,IF(((D566+E566)*C566)&lt;='Assumptions and Catalog'!$C$57,((D566+E566)*C566)*'Assumptions and Catalog'!$H$57+'Assumptions and Catalog'!$E$57+'Assumptions and Catalog'!$F$57,"Out of range")))))))),IF(((D566+E566)*C566)&lt;='Assumptions and Catalog'!$C$60,((D566+E566)*C566)*'Assumptions and Catalog'!$H$60+'Assumptions and Catalog'!$E$60+'Assumptions and Catalog'!$F$60,IF(((D566+E566)*C566)&lt;='Assumptions and Catalog'!$C$61,((D566+E566)*C566)*'Assumptions and Catalog'!$H$61+'Assumptions and Catalog'!$E$61+'Assumptions and Catalog'!$F$61,IF(((D566+E566)*C566)&lt;='Assumptions and Catalog'!$C$62,((D566+E566)*C566)*'Assumptions and Catalog'!$H$62+'Assumptions and Catalog'!$E$62+'Assumptions and Catalog'!$F$62,IF(((D566+E566)*C566)&lt;='Assumptions and Catalog'!$C$63,((D566+E566)*C566)*'Assumptions and Catalog'!$H$63+'Assumptions and Catalog'!$E$63+'Assumptions and Catalog'!$F$63,IF(((D566+E566)*C566)&lt;='Assumptions and Catalog'!$C$64,((D566+E566)*C566)*'Assumptions and Catalog'!$H$64+'Assumptions and Catalog'!$E$64+'Assumptions and Catalog'!$F$64,IF(((D566+E566)*C566)&lt;='Assumptions and Catalog'!$C$65,((D566+E566)*C566)*'Assumptions and Catalog'!$H$65+'Assumptions and Catalog'!$E$65+'Assumptions and Catalog'!$F$65,"Out of range")))))))))*(1+'Assumptions and Catalog'!$C$8)^(A566-1),0)</f>
        <v>7094.794</v>
      </c>
      <c r="N566" s="5" t="n">
        <f>IF(ISNUMBER(Inputs!$L$5),(IF(Inputs!$L$9="Actual flat rate",L566*Inputs!$L$10,IF(Inputs!$C$9="Residential",IF(L566&lt;='Assumptions and Catalog'!$C$50,L566*'Assumptions and Catalog'!$H$50+'Assumptions and Catalog'!$E$50+'Assumptions and Catalog'!$F$50,IF(L566&lt;='Assumptions and Catalog'!$C$51,L566*'Assumptions and Catalog'!$H$51+'Assumptions and Catalog'!$E$51+'Assumptions and Catalog'!$F$51,IF(L566&lt;='Assumptions and Catalog'!$C$52,L566*'Assumptions and Catalog'!$H$52+'Assumptions and Catalog'!$E$52+'Assumptions and Catalog'!$F$52,IF(L566&lt;='Assumptions and Catalog'!$C$53,L566*'Assumptions and Catalog'!$H$53+'Assumptions and Catalog'!$E$53+'Assumptions and Catalog'!$F$53,IF(L566&lt;='Assumptions and Catalog'!$C$54,L566*'Assumptions and Catalog'!$H$54+'Assumptions and Catalog'!$E$54+'Assumptions and Catalog'!$F$54,IF(L566&lt;='Assumptions and Catalog'!$C$55,L566*'Assumptions and Catalog'!$H$55+'Assumptions and Catalog'!$E$55+'Assumptions and Catalog'!$F$55,IF(L566&lt;='Assumptions and Catalog'!$C$56,L566*'Assumptions and Catalog'!$H$56+'Assumptions and Catalog'!$E$56+'Assumptions and Catalog'!$F$56,IF(L566&lt;='Assumptions and Catalog'!$C$57,L566*'Assumptions and Catalog'!$H$57+'Assumptions and Catalog'!$E$57+'Assumptions and Catalog'!$F$57,"Out of range")))))))),IF(L566&lt;='Assumptions and Catalog'!$C$60,L566*'Assumptions and Catalog'!$H$60+'Assumptions and Catalog'!$E$60+'Assumptions and Catalog'!$F$60,IF(L566&lt;='Assumptions and Catalog'!$C$61,L566*'Assumptions and Catalog'!$H$61+'Assumptions and Catalog'!$E$61+'Assumptions and Catalog'!$F$61,IF(L566&lt;='Assumptions and Catalog'!$C$62,L566*'Assumptions and Catalog'!$H$62+'Assumptions and Catalog'!$E$62+'Assumptions and Catalog'!$F$62,IF(L566&lt;='Assumptions and Catalog'!$C$63,L566*'Assumptions and Catalog'!$H$63+'Assumptions and Catalog'!$E$63+'Assumptions and Catalog'!$F$63,IF(L566&lt;='Assumptions and Catalog'!$C$64,L566*'Assumptions and Catalog'!$H$64+'Assumptions and Catalog'!$E$64+'Assumptions and Catalog'!$F$64,IF(L566&lt;='Assumptions and Catalog'!$C$65,L566*'Assumptions and Catalog'!$H$65+'Assumptions and Catalog'!$E$65+'Assumptions and Catalog'!$F$65,"Out of range")))))))))*(1+'Assumptions and Catalog'!$C$8)^(A566-1),0)</f>
        <v>7094.794</v>
      </c>
      <c r="O566" s="5" t="n">
        <f>M566-N566</f>
        <v>0</v>
      </c>
      <c r="P566" s="5" t="n">
        <f>D$55*(1-K$14)*(1-'Assumptions and Catalog'!$C$23)^R566</f>
        <v>0</v>
      </c>
      <c r="Q566" s="5" t="n">
        <f>IF(ISNUMBER(Inputs!$L$5),(IF(Inputs!$L$9="Actual flat rate",((D566+E566)*C566-G566)*Inputs!$L$10,IF(Inputs!$C$9="Residential",IF(((D566+E566)*C566-G566)&lt;='Assumptions and Catalog'!$C$50,((D566+E566)*C566-G566)*'Assumptions and Catalog'!$H$50+'Assumptions and Catalog'!$E$50+'Assumptions and Catalog'!$F$50,IF(((D566+E566)*C566-G566)&lt;='Assumptions and Catalog'!$C$51,((D566+E566)*C566-G566)*'Assumptions and Catalog'!$H$51+'Assumptions and Catalog'!$E$51+'Assumptions and Catalog'!$F$51,IF(((D566+E566)*C566-G566)&lt;='Assumptions and Catalog'!$C$52,((D566+E566)*C566-G566)*'Assumptions and Catalog'!$H$52+'Assumptions and Catalog'!$E$52+'Assumptions and Catalog'!$F$52,IF(((D566+E566)*C566-G566)&lt;='Assumptions and Catalog'!$C$53,((D566+E566)*C566-G566)*'Assumptions and Catalog'!$H$53+'Assumptions and Catalog'!$E$53+'Assumptions and Catalog'!$F$53,IF(((D566+E566)*C566-G566)&lt;='Assumptions and Catalog'!$C$54,((D566+E566)*C566-G566)*'Assumptions and Catalog'!$H$54+'Assumptions and Catalog'!$E$54+'Assumptions and Catalog'!$F$54,IF(((D566+E566)*C566-G566)&lt;='Assumptions and Catalog'!$C$55,((D566+E566)*C566-G566)*'Assumptions and Catalog'!$H$55+'Assumptions and Catalog'!$E$55+'Assumptions and Catalog'!$F$55,IF(((D566+E566)*C566-G566)&lt;='Assumptions and Catalog'!$C$56,((D566+E566)*C566-G566)*'Assumptions and Catalog'!$H$56+'Assumptions and Catalog'!$E$56+'Assumptions and Catalog'!$F$56,IF(((D566+E566)*C566-G566)&lt;='Assumptions and Catalog'!$C$57,((D566+E566)*C566-G566)*'Assumptions and Catalog'!$H$57+'Assumptions and Catalog'!$E$57+'Assumptions and Catalog'!$F$57,"Out of range")))))))),IF(((D566+E566)*C566-G566)&lt;='Assumptions and Catalog'!$C$60,((D566+E566)*C566-G566)*'Assumptions and Catalog'!$H$60+'Assumptions and Catalog'!$E$60+'Assumptions and Catalog'!$F$60,IF(((D566+E566)*C566-G566)&lt;='Assumptions and Catalog'!$C$61,((D566+E566)*C566-G566)*'Assumptions and Catalog'!$H$61+'Assumptions and Catalog'!$E$61+'Assumptions and Catalog'!$F$61,IF(((D566+E566)*C566-G566)&lt;='Assumptions and Catalog'!$C$62,((D566+E566)*C566-G566)*'Assumptions and Catalog'!$H$62+'Assumptions and Catalog'!$E$62+'Assumptions and Catalog'!$F$62,IF(((D566+E566)*C566-G566)&lt;='Assumptions and Catalog'!$C$63,((D566+E566)*C566-G566)*'Assumptions and Catalog'!$H$63+'Assumptions and Catalog'!$E$63+'Assumptions and Catalog'!$F$63,IF(((D566+E566)*C566-G566)&lt;='Assumptions and Catalog'!$C$64,((D566+E566)*C566-G566)*'Assumptions and Catalog'!$H$64+'Assumptions and Catalog'!$E$64+'Assumptions and Catalog'!$F$64,IF(((D566+E566)*C566-G566)&lt;='Assumptions and Catalog'!$C$65,((D566+E566)*C566-G566)*'Assumptions and Catalog'!$H$65+'Assumptions and Catalog'!$E$65+'Assumptions and Catalog'!$F$65,"Out of range")))))))))*(1+'Assumptions and Catalog'!$C$8)^(A566-1),0)</f>
        <v>7094.794</v>
      </c>
      <c r="R566" s="5" t="n">
        <f>IF(AND('Assumptions and Catalog'!$C$19&gt;0,A566&gt;='Assumptions and Catalog'!$C$19),A566-'Assumptions and Catalog'!$C$19,A566-1)</f>
        <v>2</v>
      </c>
      <c r="S566" s="5" t="n">
        <f>F566+L566-(D566+E566)*C566-J566-K566-IF(D$52&gt;0,'Assumptions and Catalog'!$C$26*C566,0)</f>
        <v>0</v>
      </c>
      <c r="T566" s="5"/>
      <c r="U566" s="5"/>
    </row>
    <row r="567" ht="23.100000381469727" customHeight="1">
      <c r="A567" s="5" t="n">
        <v>14</v>
      </c>
      <c r="B567" s="5" t="n">
        <v>1</v>
      </c>
      <c r="C567" s="5" t="n">
        <f>DAY(DATE('Assumptions and Catalog'!$C$24+A567-1,B567+1,0))</f>
        <v>31</v>
      </c>
      <c r="D567" s="5" t="n">
        <f>IF(ISNUMBER(Inputs!$L$5),Inputs!$L$5*Inputs!$L$6,0)</f>
        <v>40.35</v>
      </c>
      <c r="E567" s="5" t="n">
        <f>IF(ISNUMBER(Inputs!$L$5),Inputs!$L$5-D567,0)</f>
        <v>40.35</v>
      </c>
      <c r="F567" s="5" t="n">
        <f>D$51*'Assumptions and Catalog'!$C$31*C567*(1-'Assumptions and Catalog'!$C$10)^(A567-1)</f>
        <v>0</v>
      </c>
      <c r="G567" s="5" t="n">
        <f>MIN(F567,D567*C567)</f>
        <v>0</v>
      </c>
      <c r="H567" s="5" t="n">
        <f>I567/('Assumptions and Catalog'!$C$11*'Assumptions and Catalog'!$C$12)</f>
        <v>0</v>
      </c>
      <c r="I567" s="5" t="n">
        <f>IF(K$15="Grid cycle",MIN(K$16,D567+E567,P567*'Assumptions and Catalog'!$C$12,D$57*(24-'Assumptions and Catalog'!$C$15),D$56*'Assumptions and Catalog'!$C$15*'Assumptions and Catalog'!$C$11*'Assumptions and Catalog'!$C$12)*C567,0)</f>
        <v>0</v>
      </c>
      <c r="J567" s="5" t="n">
        <f>MAX(F567-G567-0,0)</f>
        <v>0</v>
      </c>
      <c r="K567" s="5" t="n">
        <f>H567-I567</f>
        <v>0</v>
      </c>
      <c r="L567" s="5" t="n">
        <f>(D567+E567)*C567-G567-I567+H567+IF(D$52&gt;0,'Assumptions and Catalog'!$C$26*C567,0)</f>
        <v>2501.7</v>
      </c>
      <c r="M567" s="5" t="n">
        <f>IF(ISNUMBER(Inputs!$L$5),(IF(Inputs!$L$9="Actual flat rate",((D567+E567)*C567)*Inputs!$L$10,IF(Inputs!$C$9="Residential",IF(((D567+E567)*C567)&lt;='Assumptions and Catalog'!$C$50,((D567+E567)*C567)*'Assumptions and Catalog'!$H$50+'Assumptions and Catalog'!$E$50+'Assumptions and Catalog'!$F$50,IF(((D567+E567)*C567)&lt;='Assumptions and Catalog'!$C$51,((D567+E567)*C567)*'Assumptions and Catalog'!$H$51+'Assumptions and Catalog'!$E$51+'Assumptions and Catalog'!$F$51,IF(((D567+E567)*C567)&lt;='Assumptions and Catalog'!$C$52,((D567+E567)*C567)*'Assumptions and Catalog'!$H$52+'Assumptions and Catalog'!$E$52+'Assumptions and Catalog'!$F$52,IF(((D567+E567)*C567)&lt;='Assumptions and Catalog'!$C$53,((D567+E567)*C567)*'Assumptions and Catalog'!$H$53+'Assumptions and Catalog'!$E$53+'Assumptions and Catalog'!$F$53,IF(((D567+E567)*C567)&lt;='Assumptions and Catalog'!$C$54,((D567+E567)*C567)*'Assumptions and Catalog'!$H$54+'Assumptions and Catalog'!$E$54+'Assumptions and Catalog'!$F$54,IF(((D567+E567)*C567)&lt;='Assumptions and Catalog'!$C$55,((D567+E567)*C567)*'Assumptions and Catalog'!$H$55+'Assumptions and Catalog'!$E$55+'Assumptions and Catalog'!$F$55,IF(((D567+E567)*C567)&lt;='Assumptions and Catalog'!$C$56,((D567+E567)*C567)*'Assumptions and Catalog'!$H$56+'Assumptions and Catalog'!$E$56+'Assumptions and Catalog'!$F$56,IF(((D567+E567)*C567)&lt;='Assumptions and Catalog'!$C$57,((D567+E567)*C567)*'Assumptions and Catalog'!$H$57+'Assumptions and Catalog'!$E$57+'Assumptions and Catalog'!$F$57,"Out of range")))))))),IF(((D567+E567)*C567)&lt;='Assumptions and Catalog'!$C$60,((D567+E567)*C567)*'Assumptions and Catalog'!$H$60+'Assumptions and Catalog'!$E$60+'Assumptions and Catalog'!$F$60,IF(((D567+E567)*C567)&lt;='Assumptions and Catalog'!$C$61,((D567+E567)*C567)*'Assumptions and Catalog'!$H$61+'Assumptions and Catalog'!$E$61+'Assumptions and Catalog'!$F$61,IF(((D567+E567)*C567)&lt;='Assumptions and Catalog'!$C$62,((D567+E567)*C567)*'Assumptions and Catalog'!$H$62+'Assumptions and Catalog'!$E$62+'Assumptions and Catalog'!$F$62,IF(((D567+E567)*C567)&lt;='Assumptions and Catalog'!$C$63,((D567+E567)*C567)*'Assumptions and Catalog'!$H$63+'Assumptions and Catalog'!$E$63+'Assumptions and Catalog'!$F$63,IF(((D567+E567)*C567)&lt;='Assumptions and Catalog'!$C$64,((D567+E567)*C567)*'Assumptions and Catalog'!$H$64+'Assumptions and Catalog'!$E$64+'Assumptions and Catalog'!$F$64,IF(((D567+E567)*C567)&lt;='Assumptions and Catalog'!$C$65,((D567+E567)*C567)*'Assumptions and Catalog'!$H$65+'Assumptions and Catalog'!$E$65+'Assumptions and Catalog'!$F$65,"Out of range")))))))))*(1+'Assumptions and Catalog'!$C$8)^(A567-1),0)</f>
        <v>7094.794</v>
      </c>
      <c r="N567" s="5" t="n">
        <f>IF(ISNUMBER(Inputs!$L$5),(IF(Inputs!$L$9="Actual flat rate",L567*Inputs!$L$10,IF(Inputs!$C$9="Residential",IF(L567&lt;='Assumptions and Catalog'!$C$50,L567*'Assumptions and Catalog'!$H$50+'Assumptions and Catalog'!$E$50+'Assumptions and Catalog'!$F$50,IF(L567&lt;='Assumptions and Catalog'!$C$51,L567*'Assumptions and Catalog'!$H$51+'Assumptions and Catalog'!$E$51+'Assumptions and Catalog'!$F$51,IF(L567&lt;='Assumptions and Catalog'!$C$52,L567*'Assumptions and Catalog'!$H$52+'Assumptions and Catalog'!$E$52+'Assumptions and Catalog'!$F$52,IF(L567&lt;='Assumptions and Catalog'!$C$53,L567*'Assumptions and Catalog'!$H$53+'Assumptions and Catalog'!$E$53+'Assumptions and Catalog'!$F$53,IF(L567&lt;='Assumptions and Catalog'!$C$54,L567*'Assumptions and Catalog'!$H$54+'Assumptions and Catalog'!$E$54+'Assumptions and Catalog'!$F$54,IF(L567&lt;='Assumptions and Catalog'!$C$55,L567*'Assumptions and Catalog'!$H$55+'Assumptions and Catalog'!$E$55+'Assumptions and Catalog'!$F$55,IF(L567&lt;='Assumptions and Catalog'!$C$56,L567*'Assumptions and Catalog'!$H$56+'Assumptions and Catalog'!$E$56+'Assumptions and Catalog'!$F$56,IF(L567&lt;='Assumptions and Catalog'!$C$57,L567*'Assumptions and Catalog'!$H$57+'Assumptions and Catalog'!$E$57+'Assumptions and Catalog'!$F$57,"Out of range")))))))),IF(L567&lt;='Assumptions and Catalog'!$C$60,L567*'Assumptions and Catalog'!$H$60+'Assumptions and Catalog'!$E$60+'Assumptions and Catalog'!$F$60,IF(L567&lt;='Assumptions and Catalog'!$C$61,L567*'Assumptions and Catalog'!$H$61+'Assumptions and Catalog'!$E$61+'Assumptions and Catalog'!$F$61,IF(L567&lt;='Assumptions and Catalog'!$C$62,L567*'Assumptions and Catalog'!$H$62+'Assumptions and Catalog'!$E$62+'Assumptions and Catalog'!$F$62,IF(L567&lt;='Assumptions and Catalog'!$C$63,L567*'Assumptions and Catalog'!$H$63+'Assumptions and Catalog'!$E$63+'Assumptions and Catalog'!$F$63,IF(L567&lt;='Assumptions and Catalog'!$C$64,L567*'Assumptions and Catalog'!$H$64+'Assumptions and Catalog'!$E$64+'Assumptions and Catalog'!$F$64,IF(L567&lt;='Assumptions and Catalog'!$C$65,L567*'Assumptions and Catalog'!$H$65+'Assumptions and Catalog'!$E$65+'Assumptions and Catalog'!$F$65,"Out of range")))))))))*(1+'Assumptions and Catalog'!$C$8)^(A567-1),0)</f>
        <v>7094.794</v>
      </c>
      <c r="O567" s="5" t="n">
        <f>M567-N567</f>
        <v>0</v>
      </c>
      <c r="P567" s="5" t="n">
        <f>D$55*(1-K$14)*(1-'Assumptions and Catalog'!$C$23)^R567</f>
        <v>0</v>
      </c>
      <c r="Q567" s="5" t="n">
        <f>IF(ISNUMBER(Inputs!$L$5),(IF(Inputs!$L$9="Actual flat rate",((D567+E567)*C567-G567)*Inputs!$L$10,IF(Inputs!$C$9="Residential",IF(((D567+E567)*C567-G567)&lt;='Assumptions and Catalog'!$C$50,((D567+E567)*C567-G567)*'Assumptions and Catalog'!$H$50+'Assumptions and Catalog'!$E$50+'Assumptions and Catalog'!$F$50,IF(((D567+E567)*C567-G567)&lt;='Assumptions and Catalog'!$C$51,((D567+E567)*C567-G567)*'Assumptions and Catalog'!$H$51+'Assumptions and Catalog'!$E$51+'Assumptions and Catalog'!$F$51,IF(((D567+E567)*C567-G567)&lt;='Assumptions and Catalog'!$C$52,((D567+E567)*C567-G567)*'Assumptions and Catalog'!$H$52+'Assumptions and Catalog'!$E$52+'Assumptions and Catalog'!$F$52,IF(((D567+E567)*C567-G567)&lt;='Assumptions and Catalog'!$C$53,((D567+E567)*C567-G567)*'Assumptions and Catalog'!$H$53+'Assumptions and Catalog'!$E$53+'Assumptions and Catalog'!$F$53,IF(((D567+E567)*C567-G567)&lt;='Assumptions and Catalog'!$C$54,((D567+E567)*C567-G567)*'Assumptions and Catalog'!$H$54+'Assumptions and Catalog'!$E$54+'Assumptions and Catalog'!$F$54,IF(((D567+E567)*C567-G567)&lt;='Assumptions and Catalog'!$C$55,((D567+E567)*C567-G567)*'Assumptions and Catalog'!$H$55+'Assumptions and Catalog'!$E$55+'Assumptions and Catalog'!$F$55,IF(((D567+E567)*C567-G567)&lt;='Assumptions and Catalog'!$C$56,((D567+E567)*C567-G567)*'Assumptions and Catalog'!$H$56+'Assumptions and Catalog'!$E$56+'Assumptions and Catalog'!$F$56,IF(((D567+E567)*C567-G567)&lt;='Assumptions and Catalog'!$C$57,((D567+E567)*C567-G567)*'Assumptions and Catalog'!$H$57+'Assumptions and Catalog'!$E$57+'Assumptions and Catalog'!$F$57,"Out of range")))))))),IF(((D567+E567)*C567-G567)&lt;='Assumptions and Catalog'!$C$60,((D567+E567)*C567-G567)*'Assumptions and Catalog'!$H$60+'Assumptions and Catalog'!$E$60+'Assumptions and Catalog'!$F$60,IF(((D567+E567)*C567-G567)&lt;='Assumptions and Catalog'!$C$61,((D567+E567)*C567-G567)*'Assumptions and Catalog'!$H$61+'Assumptions and Catalog'!$E$61+'Assumptions and Catalog'!$F$61,IF(((D567+E567)*C567-G567)&lt;='Assumptions and Catalog'!$C$62,((D567+E567)*C567-G567)*'Assumptions and Catalog'!$H$62+'Assumptions and Catalog'!$E$62+'Assumptions and Catalog'!$F$62,IF(((D567+E567)*C567-G567)&lt;='Assumptions and Catalog'!$C$63,((D567+E567)*C567-G567)*'Assumptions and Catalog'!$H$63+'Assumptions and Catalog'!$E$63+'Assumptions and Catalog'!$F$63,IF(((D567+E567)*C567-G567)&lt;='Assumptions and Catalog'!$C$64,((D567+E567)*C567-G567)*'Assumptions and Catalog'!$H$64+'Assumptions and Catalog'!$E$64+'Assumptions and Catalog'!$F$64,IF(((D567+E567)*C567-G567)&lt;='Assumptions and Catalog'!$C$65,((D567+E567)*C567-G567)*'Assumptions and Catalog'!$H$65+'Assumptions and Catalog'!$E$65+'Assumptions and Catalog'!$F$65,"Out of range")))))))))*(1+'Assumptions and Catalog'!$C$8)^(A567-1),0)</f>
        <v>7094.794</v>
      </c>
      <c r="R567" s="5" t="n">
        <f>IF(AND('Assumptions and Catalog'!$C$19&gt;0,A567&gt;='Assumptions and Catalog'!$C$19),A567-'Assumptions and Catalog'!$C$19,A567-1)</f>
        <v>3</v>
      </c>
      <c r="S567" s="5" t="n">
        <f>F567+L567-(D567+E567)*C567-J567-K567-IF(D$52&gt;0,'Assumptions and Catalog'!$C$26*C567,0)</f>
        <v>0</v>
      </c>
      <c r="T567" s="5"/>
      <c r="U567" s="5"/>
    </row>
    <row r="568" ht="23.100000381469727" customHeight="1">
      <c r="A568" s="5" t="n">
        <v>14</v>
      </c>
      <c r="B568" s="5" t="n">
        <v>2</v>
      </c>
      <c r="C568" s="5" t="n">
        <f>DAY(DATE('Assumptions and Catalog'!$C$24+A568-1,B568+1,0))</f>
        <v>29</v>
      </c>
      <c r="D568" s="5" t="n">
        <f>IF(ISNUMBER(Inputs!$L$5),Inputs!$L$5*Inputs!$L$6,0)</f>
        <v>40.35</v>
      </c>
      <c r="E568" s="5" t="n">
        <f>IF(ISNUMBER(Inputs!$L$5),Inputs!$L$5-D568,0)</f>
        <v>40.35</v>
      </c>
      <c r="F568" s="5" t="n">
        <f>D$51*'Assumptions and Catalog'!$C$31*C568*(1-'Assumptions and Catalog'!$C$10)^(A568-1)</f>
        <v>0</v>
      </c>
      <c r="G568" s="5" t="n">
        <f>MIN(F568,D568*C568)</f>
        <v>0</v>
      </c>
      <c r="H568" s="5" t="n">
        <f>I568/('Assumptions and Catalog'!$C$11*'Assumptions and Catalog'!$C$12)</f>
        <v>0</v>
      </c>
      <c r="I568" s="5" t="n">
        <f>IF(K$15="Grid cycle",MIN(K$16,D568+E568,P568*'Assumptions and Catalog'!$C$12,D$57*(24-'Assumptions and Catalog'!$C$15),D$56*'Assumptions and Catalog'!$C$15*'Assumptions and Catalog'!$C$11*'Assumptions and Catalog'!$C$12)*C568,0)</f>
        <v>0</v>
      </c>
      <c r="J568" s="5" t="n">
        <f>MAX(F568-G568-0,0)</f>
        <v>0</v>
      </c>
      <c r="K568" s="5" t="n">
        <f>H568-I568</f>
        <v>0</v>
      </c>
      <c r="L568" s="5" t="n">
        <f>(D568+E568)*C568-G568-I568+H568+IF(D$52&gt;0,'Assumptions and Catalog'!$C$26*C568,0)</f>
        <v>2340.3</v>
      </c>
      <c r="M568" s="5" t="n">
        <f>IF(ISNUMBER(Inputs!$L$5),(IF(Inputs!$L$9="Actual flat rate",((D568+E568)*C568)*Inputs!$L$10,IF(Inputs!$C$9="Residential",IF(((D568+E568)*C568)&lt;='Assumptions and Catalog'!$C$50,((D568+E568)*C568)*'Assumptions and Catalog'!$H$50+'Assumptions and Catalog'!$E$50+'Assumptions and Catalog'!$F$50,IF(((D568+E568)*C568)&lt;='Assumptions and Catalog'!$C$51,((D568+E568)*C568)*'Assumptions and Catalog'!$H$51+'Assumptions and Catalog'!$E$51+'Assumptions and Catalog'!$F$51,IF(((D568+E568)*C568)&lt;='Assumptions and Catalog'!$C$52,((D568+E568)*C568)*'Assumptions and Catalog'!$H$52+'Assumptions and Catalog'!$E$52+'Assumptions and Catalog'!$F$52,IF(((D568+E568)*C568)&lt;='Assumptions and Catalog'!$C$53,((D568+E568)*C568)*'Assumptions and Catalog'!$H$53+'Assumptions and Catalog'!$E$53+'Assumptions and Catalog'!$F$53,IF(((D568+E568)*C568)&lt;='Assumptions and Catalog'!$C$54,((D568+E568)*C568)*'Assumptions and Catalog'!$H$54+'Assumptions and Catalog'!$E$54+'Assumptions and Catalog'!$F$54,IF(((D568+E568)*C568)&lt;='Assumptions and Catalog'!$C$55,((D568+E568)*C568)*'Assumptions and Catalog'!$H$55+'Assumptions and Catalog'!$E$55+'Assumptions and Catalog'!$F$55,IF(((D568+E568)*C568)&lt;='Assumptions and Catalog'!$C$56,((D568+E568)*C568)*'Assumptions and Catalog'!$H$56+'Assumptions and Catalog'!$E$56+'Assumptions and Catalog'!$F$56,IF(((D568+E568)*C568)&lt;='Assumptions and Catalog'!$C$57,((D568+E568)*C568)*'Assumptions and Catalog'!$H$57+'Assumptions and Catalog'!$E$57+'Assumptions and Catalog'!$F$57,"Out of range")))))))),IF(((D568+E568)*C568)&lt;='Assumptions and Catalog'!$C$60,((D568+E568)*C568)*'Assumptions and Catalog'!$H$60+'Assumptions and Catalog'!$E$60+'Assumptions and Catalog'!$F$60,IF(((D568+E568)*C568)&lt;='Assumptions and Catalog'!$C$61,((D568+E568)*C568)*'Assumptions and Catalog'!$H$61+'Assumptions and Catalog'!$E$61+'Assumptions and Catalog'!$F$61,IF(((D568+E568)*C568)&lt;='Assumptions and Catalog'!$C$62,((D568+E568)*C568)*'Assumptions and Catalog'!$H$62+'Assumptions and Catalog'!$E$62+'Assumptions and Catalog'!$F$62,IF(((D568+E568)*C568)&lt;='Assumptions and Catalog'!$C$63,((D568+E568)*C568)*'Assumptions and Catalog'!$H$63+'Assumptions and Catalog'!$E$63+'Assumptions and Catalog'!$F$63,IF(((D568+E568)*C568)&lt;='Assumptions and Catalog'!$C$64,((D568+E568)*C568)*'Assumptions and Catalog'!$H$64+'Assumptions and Catalog'!$E$64+'Assumptions and Catalog'!$F$64,IF(((D568+E568)*C568)&lt;='Assumptions and Catalog'!$C$65,((D568+E568)*C568)*'Assumptions and Catalog'!$H$65+'Assumptions and Catalog'!$E$65+'Assumptions and Catalog'!$F$65,"Out of range")))))))))*(1+'Assumptions and Catalog'!$C$8)^(A568-1),0)</f>
        <v>6639.646</v>
      </c>
      <c r="N568" s="5" t="n">
        <f>IF(ISNUMBER(Inputs!$L$5),(IF(Inputs!$L$9="Actual flat rate",L568*Inputs!$L$10,IF(Inputs!$C$9="Residential",IF(L568&lt;='Assumptions and Catalog'!$C$50,L568*'Assumptions and Catalog'!$H$50+'Assumptions and Catalog'!$E$50+'Assumptions and Catalog'!$F$50,IF(L568&lt;='Assumptions and Catalog'!$C$51,L568*'Assumptions and Catalog'!$H$51+'Assumptions and Catalog'!$E$51+'Assumptions and Catalog'!$F$51,IF(L568&lt;='Assumptions and Catalog'!$C$52,L568*'Assumptions and Catalog'!$H$52+'Assumptions and Catalog'!$E$52+'Assumptions and Catalog'!$F$52,IF(L568&lt;='Assumptions and Catalog'!$C$53,L568*'Assumptions and Catalog'!$H$53+'Assumptions and Catalog'!$E$53+'Assumptions and Catalog'!$F$53,IF(L568&lt;='Assumptions and Catalog'!$C$54,L568*'Assumptions and Catalog'!$H$54+'Assumptions and Catalog'!$E$54+'Assumptions and Catalog'!$F$54,IF(L568&lt;='Assumptions and Catalog'!$C$55,L568*'Assumptions and Catalog'!$H$55+'Assumptions and Catalog'!$E$55+'Assumptions and Catalog'!$F$55,IF(L568&lt;='Assumptions and Catalog'!$C$56,L568*'Assumptions and Catalog'!$H$56+'Assumptions and Catalog'!$E$56+'Assumptions and Catalog'!$F$56,IF(L568&lt;='Assumptions and Catalog'!$C$57,L568*'Assumptions and Catalog'!$H$57+'Assumptions and Catalog'!$E$57+'Assumptions and Catalog'!$F$57,"Out of range")))))))),IF(L568&lt;='Assumptions and Catalog'!$C$60,L568*'Assumptions and Catalog'!$H$60+'Assumptions and Catalog'!$E$60+'Assumptions and Catalog'!$F$60,IF(L568&lt;='Assumptions and Catalog'!$C$61,L568*'Assumptions and Catalog'!$H$61+'Assumptions and Catalog'!$E$61+'Assumptions and Catalog'!$F$61,IF(L568&lt;='Assumptions and Catalog'!$C$62,L568*'Assumptions and Catalog'!$H$62+'Assumptions and Catalog'!$E$62+'Assumptions and Catalog'!$F$62,IF(L568&lt;='Assumptions and Catalog'!$C$63,L568*'Assumptions and Catalog'!$H$63+'Assumptions and Catalog'!$E$63+'Assumptions and Catalog'!$F$63,IF(L568&lt;='Assumptions and Catalog'!$C$64,L568*'Assumptions and Catalog'!$H$64+'Assumptions and Catalog'!$E$64+'Assumptions and Catalog'!$F$64,IF(L568&lt;='Assumptions and Catalog'!$C$65,L568*'Assumptions and Catalog'!$H$65+'Assumptions and Catalog'!$E$65+'Assumptions and Catalog'!$F$65,"Out of range")))))))))*(1+'Assumptions and Catalog'!$C$8)^(A568-1),0)</f>
        <v>6639.646</v>
      </c>
      <c r="O568" s="5" t="n">
        <f>M568-N568</f>
        <v>0</v>
      </c>
      <c r="P568" s="5" t="n">
        <f>D$55*(1-K$14)*(1-'Assumptions and Catalog'!$C$23)^R568</f>
        <v>0</v>
      </c>
      <c r="Q568" s="5" t="n">
        <f>IF(ISNUMBER(Inputs!$L$5),(IF(Inputs!$L$9="Actual flat rate",((D568+E568)*C568-G568)*Inputs!$L$10,IF(Inputs!$C$9="Residential",IF(((D568+E568)*C568-G568)&lt;='Assumptions and Catalog'!$C$50,((D568+E568)*C568-G568)*'Assumptions and Catalog'!$H$50+'Assumptions and Catalog'!$E$50+'Assumptions and Catalog'!$F$50,IF(((D568+E568)*C568-G568)&lt;='Assumptions and Catalog'!$C$51,((D568+E568)*C568-G568)*'Assumptions and Catalog'!$H$51+'Assumptions and Catalog'!$E$51+'Assumptions and Catalog'!$F$51,IF(((D568+E568)*C568-G568)&lt;='Assumptions and Catalog'!$C$52,((D568+E568)*C568-G568)*'Assumptions and Catalog'!$H$52+'Assumptions and Catalog'!$E$52+'Assumptions and Catalog'!$F$52,IF(((D568+E568)*C568-G568)&lt;='Assumptions and Catalog'!$C$53,((D568+E568)*C568-G568)*'Assumptions and Catalog'!$H$53+'Assumptions and Catalog'!$E$53+'Assumptions and Catalog'!$F$53,IF(((D568+E568)*C568-G568)&lt;='Assumptions and Catalog'!$C$54,((D568+E568)*C568-G568)*'Assumptions and Catalog'!$H$54+'Assumptions and Catalog'!$E$54+'Assumptions and Catalog'!$F$54,IF(((D568+E568)*C568-G568)&lt;='Assumptions and Catalog'!$C$55,((D568+E568)*C568-G568)*'Assumptions and Catalog'!$H$55+'Assumptions and Catalog'!$E$55+'Assumptions and Catalog'!$F$55,IF(((D568+E568)*C568-G568)&lt;='Assumptions and Catalog'!$C$56,((D568+E568)*C568-G568)*'Assumptions and Catalog'!$H$56+'Assumptions and Catalog'!$E$56+'Assumptions and Catalog'!$F$56,IF(((D568+E568)*C568-G568)&lt;='Assumptions and Catalog'!$C$57,((D568+E568)*C568-G568)*'Assumptions and Catalog'!$H$57+'Assumptions and Catalog'!$E$57+'Assumptions and Catalog'!$F$57,"Out of range")))))))),IF(((D568+E568)*C568-G568)&lt;='Assumptions and Catalog'!$C$60,((D568+E568)*C568-G568)*'Assumptions and Catalog'!$H$60+'Assumptions and Catalog'!$E$60+'Assumptions and Catalog'!$F$60,IF(((D568+E568)*C568-G568)&lt;='Assumptions and Catalog'!$C$61,((D568+E568)*C568-G568)*'Assumptions and Catalog'!$H$61+'Assumptions and Catalog'!$E$61+'Assumptions and Catalog'!$F$61,IF(((D568+E568)*C568-G568)&lt;='Assumptions and Catalog'!$C$62,((D568+E568)*C568-G568)*'Assumptions and Catalog'!$H$62+'Assumptions and Catalog'!$E$62+'Assumptions and Catalog'!$F$62,IF(((D568+E568)*C568-G568)&lt;='Assumptions and Catalog'!$C$63,((D568+E568)*C568-G568)*'Assumptions and Catalog'!$H$63+'Assumptions and Catalog'!$E$63+'Assumptions and Catalog'!$F$63,IF(((D568+E568)*C568-G568)&lt;='Assumptions and Catalog'!$C$64,((D568+E568)*C568-G568)*'Assumptions and Catalog'!$H$64+'Assumptions and Catalog'!$E$64+'Assumptions and Catalog'!$F$64,IF(((D568+E568)*C568-G568)&lt;='Assumptions and Catalog'!$C$65,((D568+E568)*C568-G568)*'Assumptions and Catalog'!$H$65+'Assumptions and Catalog'!$E$65+'Assumptions and Catalog'!$F$65,"Out of range")))))))))*(1+'Assumptions and Catalog'!$C$8)^(A568-1),0)</f>
        <v>6639.646</v>
      </c>
      <c r="R568" s="5" t="n">
        <f>IF(AND('Assumptions and Catalog'!$C$19&gt;0,A568&gt;='Assumptions and Catalog'!$C$19),A568-'Assumptions and Catalog'!$C$19,A568-1)</f>
        <v>3</v>
      </c>
      <c r="S568" s="5" t="n">
        <f>F568+L568-(D568+E568)*C568-J568-K568-IF(D$52&gt;0,'Assumptions and Catalog'!$C$26*C568,0)</f>
        <v>0</v>
      </c>
      <c r="T568" s="5"/>
      <c r="U568" s="5"/>
    </row>
    <row r="569" ht="23.100000381469727" customHeight="1">
      <c r="A569" s="5" t="n">
        <v>14</v>
      </c>
      <c r="B569" s="5" t="n">
        <v>3</v>
      </c>
      <c r="C569" s="5" t="n">
        <f>DAY(DATE('Assumptions and Catalog'!$C$24+A569-1,B569+1,0))</f>
        <v>31</v>
      </c>
      <c r="D569" s="5" t="n">
        <f>IF(ISNUMBER(Inputs!$L$5),Inputs!$L$5*Inputs!$L$6,0)</f>
        <v>40.35</v>
      </c>
      <c r="E569" s="5" t="n">
        <f>IF(ISNUMBER(Inputs!$L$5),Inputs!$L$5-D569,0)</f>
        <v>40.35</v>
      </c>
      <c r="F569" s="5" t="n">
        <f>D$51*'Assumptions and Catalog'!$C$31*C569*(1-'Assumptions and Catalog'!$C$10)^(A569-1)</f>
        <v>0</v>
      </c>
      <c r="G569" s="5" t="n">
        <f>MIN(F569,D569*C569)</f>
        <v>0</v>
      </c>
      <c r="H569" s="5" t="n">
        <f>I569/('Assumptions and Catalog'!$C$11*'Assumptions and Catalog'!$C$12)</f>
        <v>0</v>
      </c>
      <c r="I569" s="5" t="n">
        <f>IF(K$15="Grid cycle",MIN(K$16,D569+E569,P569*'Assumptions and Catalog'!$C$12,D$57*(24-'Assumptions and Catalog'!$C$15),D$56*'Assumptions and Catalog'!$C$15*'Assumptions and Catalog'!$C$11*'Assumptions and Catalog'!$C$12)*C569,0)</f>
        <v>0</v>
      </c>
      <c r="J569" s="5" t="n">
        <f>MAX(F569-G569-0,0)</f>
        <v>0</v>
      </c>
      <c r="K569" s="5" t="n">
        <f>H569-I569</f>
        <v>0</v>
      </c>
      <c r="L569" s="5" t="n">
        <f>(D569+E569)*C569-G569-I569+H569+IF(D$52&gt;0,'Assumptions and Catalog'!$C$26*C569,0)</f>
        <v>2501.7</v>
      </c>
      <c r="M569" s="5" t="n">
        <f>IF(ISNUMBER(Inputs!$L$5),(IF(Inputs!$L$9="Actual flat rate",((D569+E569)*C569)*Inputs!$L$10,IF(Inputs!$C$9="Residential",IF(((D569+E569)*C569)&lt;='Assumptions and Catalog'!$C$50,((D569+E569)*C569)*'Assumptions and Catalog'!$H$50+'Assumptions and Catalog'!$E$50+'Assumptions and Catalog'!$F$50,IF(((D569+E569)*C569)&lt;='Assumptions and Catalog'!$C$51,((D569+E569)*C569)*'Assumptions and Catalog'!$H$51+'Assumptions and Catalog'!$E$51+'Assumptions and Catalog'!$F$51,IF(((D569+E569)*C569)&lt;='Assumptions and Catalog'!$C$52,((D569+E569)*C569)*'Assumptions and Catalog'!$H$52+'Assumptions and Catalog'!$E$52+'Assumptions and Catalog'!$F$52,IF(((D569+E569)*C569)&lt;='Assumptions and Catalog'!$C$53,((D569+E569)*C569)*'Assumptions and Catalog'!$H$53+'Assumptions and Catalog'!$E$53+'Assumptions and Catalog'!$F$53,IF(((D569+E569)*C569)&lt;='Assumptions and Catalog'!$C$54,((D569+E569)*C569)*'Assumptions and Catalog'!$H$54+'Assumptions and Catalog'!$E$54+'Assumptions and Catalog'!$F$54,IF(((D569+E569)*C569)&lt;='Assumptions and Catalog'!$C$55,((D569+E569)*C569)*'Assumptions and Catalog'!$H$55+'Assumptions and Catalog'!$E$55+'Assumptions and Catalog'!$F$55,IF(((D569+E569)*C569)&lt;='Assumptions and Catalog'!$C$56,((D569+E569)*C569)*'Assumptions and Catalog'!$H$56+'Assumptions and Catalog'!$E$56+'Assumptions and Catalog'!$F$56,IF(((D569+E569)*C569)&lt;='Assumptions and Catalog'!$C$57,((D569+E569)*C569)*'Assumptions and Catalog'!$H$57+'Assumptions and Catalog'!$E$57+'Assumptions and Catalog'!$F$57,"Out of range")))))))),IF(((D569+E569)*C569)&lt;='Assumptions and Catalog'!$C$60,((D569+E569)*C569)*'Assumptions and Catalog'!$H$60+'Assumptions and Catalog'!$E$60+'Assumptions and Catalog'!$F$60,IF(((D569+E569)*C569)&lt;='Assumptions and Catalog'!$C$61,((D569+E569)*C569)*'Assumptions and Catalog'!$H$61+'Assumptions and Catalog'!$E$61+'Assumptions and Catalog'!$F$61,IF(((D569+E569)*C569)&lt;='Assumptions and Catalog'!$C$62,((D569+E569)*C569)*'Assumptions and Catalog'!$H$62+'Assumptions and Catalog'!$E$62+'Assumptions and Catalog'!$F$62,IF(((D569+E569)*C569)&lt;='Assumptions and Catalog'!$C$63,((D569+E569)*C569)*'Assumptions and Catalog'!$H$63+'Assumptions and Catalog'!$E$63+'Assumptions and Catalog'!$F$63,IF(((D569+E569)*C569)&lt;='Assumptions and Catalog'!$C$64,((D569+E569)*C569)*'Assumptions and Catalog'!$H$64+'Assumptions and Catalog'!$E$64+'Assumptions and Catalog'!$F$64,IF(((D569+E569)*C569)&lt;='Assumptions and Catalog'!$C$65,((D569+E569)*C569)*'Assumptions and Catalog'!$H$65+'Assumptions and Catalog'!$E$65+'Assumptions and Catalog'!$F$65,"Out of range")))))))))*(1+'Assumptions and Catalog'!$C$8)^(A569-1),0)</f>
        <v>7094.794</v>
      </c>
      <c r="N569" s="5" t="n">
        <f>IF(ISNUMBER(Inputs!$L$5),(IF(Inputs!$L$9="Actual flat rate",L569*Inputs!$L$10,IF(Inputs!$C$9="Residential",IF(L569&lt;='Assumptions and Catalog'!$C$50,L569*'Assumptions and Catalog'!$H$50+'Assumptions and Catalog'!$E$50+'Assumptions and Catalog'!$F$50,IF(L569&lt;='Assumptions and Catalog'!$C$51,L569*'Assumptions and Catalog'!$H$51+'Assumptions and Catalog'!$E$51+'Assumptions and Catalog'!$F$51,IF(L569&lt;='Assumptions and Catalog'!$C$52,L569*'Assumptions and Catalog'!$H$52+'Assumptions and Catalog'!$E$52+'Assumptions and Catalog'!$F$52,IF(L569&lt;='Assumptions and Catalog'!$C$53,L569*'Assumptions and Catalog'!$H$53+'Assumptions and Catalog'!$E$53+'Assumptions and Catalog'!$F$53,IF(L569&lt;='Assumptions and Catalog'!$C$54,L569*'Assumptions and Catalog'!$H$54+'Assumptions and Catalog'!$E$54+'Assumptions and Catalog'!$F$54,IF(L569&lt;='Assumptions and Catalog'!$C$55,L569*'Assumptions and Catalog'!$H$55+'Assumptions and Catalog'!$E$55+'Assumptions and Catalog'!$F$55,IF(L569&lt;='Assumptions and Catalog'!$C$56,L569*'Assumptions and Catalog'!$H$56+'Assumptions and Catalog'!$E$56+'Assumptions and Catalog'!$F$56,IF(L569&lt;='Assumptions and Catalog'!$C$57,L569*'Assumptions and Catalog'!$H$57+'Assumptions and Catalog'!$E$57+'Assumptions and Catalog'!$F$57,"Out of range")))))))),IF(L569&lt;='Assumptions and Catalog'!$C$60,L569*'Assumptions and Catalog'!$H$60+'Assumptions and Catalog'!$E$60+'Assumptions and Catalog'!$F$60,IF(L569&lt;='Assumptions and Catalog'!$C$61,L569*'Assumptions and Catalog'!$H$61+'Assumptions and Catalog'!$E$61+'Assumptions and Catalog'!$F$61,IF(L569&lt;='Assumptions and Catalog'!$C$62,L569*'Assumptions and Catalog'!$H$62+'Assumptions and Catalog'!$E$62+'Assumptions and Catalog'!$F$62,IF(L569&lt;='Assumptions and Catalog'!$C$63,L569*'Assumptions and Catalog'!$H$63+'Assumptions and Catalog'!$E$63+'Assumptions and Catalog'!$F$63,IF(L569&lt;='Assumptions and Catalog'!$C$64,L569*'Assumptions and Catalog'!$H$64+'Assumptions and Catalog'!$E$64+'Assumptions and Catalog'!$F$64,IF(L569&lt;='Assumptions and Catalog'!$C$65,L569*'Assumptions and Catalog'!$H$65+'Assumptions and Catalog'!$E$65+'Assumptions and Catalog'!$F$65,"Out of range")))))))))*(1+'Assumptions and Catalog'!$C$8)^(A569-1),0)</f>
        <v>7094.794</v>
      </c>
      <c r="O569" s="5" t="n">
        <f>M569-N569</f>
        <v>0</v>
      </c>
      <c r="P569" s="5" t="n">
        <f>D$55*(1-K$14)*(1-'Assumptions and Catalog'!$C$23)^R569</f>
        <v>0</v>
      </c>
      <c r="Q569" s="5" t="n">
        <f>IF(ISNUMBER(Inputs!$L$5),(IF(Inputs!$L$9="Actual flat rate",((D569+E569)*C569-G569)*Inputs!$L$10,IF(Inputs!$C$9="Residential",IF(((D569+E569)*C569-G569)&lt;='Assumptions and Catalog'!$C$50,((D569+E569)*C569-G569)*'Assumptions and Catalog'!$H$50+'Assumptions and Catalog'!$E$50+'Assumptions and Catalog'!$F$50,IF(((D569+E569)*C569-G569)&lt;='Assumptions and Catalog'!$C$51,((D569+E569)*C569-G569)*'Assumptions and Catalog'!$H$51+'Assumptions and Catalog'!$E$51+'Assumptions and Catalog'!$F$51,IF(((D569+E569)*C569-G569)&lt;='Assumptions and Catalog'!$C$52,((D569+E569)*C569-G569)*'Assumptions and Catalog'!$H$52+'Assumptions and Catalog'!$E$52+'Assumptions and Catalog'!$F$52,IF(((D569+E569)*C569-G569)&lt;='Assumptions and Catalog'!$C$53,((D569+E569)*C569-G569)*'Assumptions and Catalog'!$H$53+'Assumptions and Catalog'!$E$53+'Assumptions and Catalog'!$F$53,IF(((D569+E569)*C569-G569)&lt;='Assumptions and Catalog'!$C$54,((D569+E569)*C569-G569)*'Assumptions and Catalog'!$H$54+'Assumptions and Catalog'!$E$54+'Assumptions and Catalog'!$F$54,IF(((D569+E569)*C569-G569)&lt;='Assumptions and Catalog'!$C$55,((D569+E569)*C569-G569)*'Assumptions and Catalog'!$H$55+'Assumptions and Catalog'!$E$55+'Assumptions and Catalog'!$F$55,IF(((D569+E569)*C569-G569)&lt;='Assumptions and Catalog'!$C$56,((D569+E569)*C569-G569)*'Assumptions and Catalog'!$H$56+'Assumptions and Catalog'!$E$56+'Assumptions and Catalog'!$F$56,IF(((D569+E569)*C569-G569)&lt;='Assumptions and Catalog'!$C$57,((D569+E569)*C569-G569)*'Assumptions and Catalog'!$H$57+'Assumptions and Catalog'!$E$57+'Assumptions and Catalog'!$F$57,"Out of range")))))))),IF(((D569+E569)*C569-G569)&lt;='Assumptions and Catalog'!$C$60,((D569+E569)*C569-G569)*'Assumptions and Catalog'!$H$60+'Assumptions and Catalog'!$E$60+'Assumptions and Catalog'!$F$60,IF(((D569+E569)*C569-G569)&lt;='Assumptions and Catalog'!$C$61,((D569+E569)*C569-G569)*'Assumptions and Catalog'!$H$61+'Assumptions and Catalog'!$E$61+'Assumptions and Catalog'!$F$61,IF(((D569+E569)*C569-G569)&lt;='Assumptions and Catalog'!$C$62,((D569+E569)*C569-G569)*'Assumptions and Catalog'!$H$62+'Assumptions and Catalog'!$E$62+'Assumptions and Catalog'!$F$62,IF(((D569+E569)*C569-G569)&lt;='Assumptions and Catalog'!$C$63,((D569+E569)*C569-G569)*'Assumptions and Catalog'!$H$63+'Assumptions and Catalog'!$E$63+'Assumptions and Catalog'!$F$63,IF(((D569+E569)*C569-G569)&lt;='Assumptions and Catalog'!$C$64,((D569+E569)*C569-G569)*'Assumptions and Catalog'!$H$64+'Assumptions and Catalog'!$E$64+'Assumptions and Catalog'!$F$64,IF(((D569+E569)*C569-G569)&lt;='Assumptions and Catalog'!$C$65,((D569+E569)*C569-G569)*'Assumptions and Catalog'!$H$65+'Assumptions and Catalog'!$E$65+'Assumptions and Catalog'!$F$65,"Out of range")))))))))*(1+'Assumptions and Catalog'!$C$8)^(A569-1),0)</f>
        <v>7094.794</v>
      </c>
      <c r="R569" s="5" t="n">
        <f>IF(AND('Assumptions and Catalog'!$C$19&gt;0,A569&gt;='Assumptions and Catalog'!$C$19),A569-'Assumptions and Catalog'!$C$19,A569-1)</f>
        <v>3</v>
      </c>
      <c r="S569" s="5" t="n">
        <f>F569+L569-(D569+E569)*C569-J569-K569-IF(D$52&gt;0,'Assumptions and Catalog'!$C$26*C569,0)</f>
        <v>0</v>
      </c>
      <c r="T569" s="5"/>
      <c r="U569" s="5"/>
    </row>
    <row r="570" ht="23.100000381469727" customHeight="1">
      <c r="A570" s="5" t="n">
        <v>14</v>
      </c>
      <c r="B570" s="5" t="n">
        <v>4</v>
      </c>
      <c r="C570" s="5" t="n">
        <f>DAY(DATE('Assumptions and Catalog'!$C$24+A570-1,B570+1,0))</f>
        <v>30</v>
      </c>
      <c r="D570" s="5" t="n">
        <f>IF(ISNUMBER(Inputs!$L$5),Inputs!$L$5*Inputs!$L$6,0)</f>
        <v>40.35</v>
      </c>
      <c r="E570" s="5" t="n">
        <f>IF(ISNUMBER(Inputs!$L$5),Inputs!$L$5-D570,0)</f>
        <v>40.35</v>
      </c>
      <c r="F570" s="5" t="n">
        <f>D$51*'Assumptions and Catalog'!$C$31*C570*(1-'Assumptions and Catalog'!$C$10)^(A570-1)</f>
        <v>0</v>
      </c>
      <c r="G570" s="5" t="n">
        <f>MIN(F570,D570*C570)</f>
        <v>0</v>
      </c>
      <c r="H570" s="5" t="n">
        <f>I570/('Assumptions and Catalog'!$C$11*'Assumptions and Catalog'!$C$12)</f>
        <v>0</v>
      </c>
      <c r="I570" s="5" t="n">
        <f>IF(K$15="Grid cycle",MIN(K$16,D570+E570,P570*'Assumptions and Catalog'!$C$12,D$57*(24-'Assumptions and Catalog'!$C$15),D$56*'Assumptions and Catalog'!$C$15*'Assumptions and Catalog'!$C$11*'Assumptions and Catalog'!$C$12)*C570,0)</f>
        <v>0</v>
      </c>
      <c r="J570" s="5" t="n">
        <f>MAX(F570-G570-0,0)</f>
        <v>0</v>
      </c>
      <c r="K570" s="5" t="n">
        <f>H570-I570</f>
        <v>0</v>
      </c>
      <c r="L570" s="5" t="n">
        <f>(D570+E570)*C570-G570-I570+H570+IF(D$52&gt;0,'Assumptions and Catalog'!$C$26*C570,0)</f>
        <v>2421</v>
      </c>
      <c r="M570" s="5" t="n">
        <f>IF(ISNUMBER(Inputs!$L$5),(IF(Inputs!$L$9="Actual flat rate",((D570+E570)*C570)*Inputs!$L$10,IF(Inputs!$C$9="Residential",IF(((D570+E570)*C570)&lt;='Assumptions and Catalog'!$C$50,((D570+E570)*C570)*'Assumptions and Catalog'!$H$50+'Assumptions and Catalog'!$E$50+'Assumptions and Catalog'!$F$50,IF(((D570+E570)*C570)&lt;='Assumptions and Catalog'!$C$51,((D570+E570)*C570)*'Assumptions and Catalog'!$H$51+'Assumptions and Catalog'!$E$51+'Assumptions and Catalog'!$F$51,IF(((D570+E570)*C570)&lt;='Assumptions and Catalog'!$C$52,((D570+E570)*C570)*'Assumptions and Catalog'!$H$52+'Assumptions and Catalog'!$E$52+'Assumptions and Catalog'!$F$52,IF(((D570+E570)*C570)&lt;='Assumptions and Catalog'!$C$53,((D570+E570)*C570)*'Assumptions and Catalog'!$H$53+'Assumptions and Catalog'!$E$53+'Assumptions and Catalog'!$F$53,IF(((D570+E570)*C570)&lt;='Assumptions and Catalog'!$C$54,((D570+E570)*C570)*'Assumptions and Catalog'!$H$54+'Assumptions and Catalog'!$E$54+'Assumptions and Catalog'!$F$54,IF(((D570+E570)*C570)&lt;='Assumptions and Catalog'!$C$55,((D570+E570)*C570)*'Assumptions and Catalog'!$H$55+'Assumptions and Catalog'!$E$55+'Assumptions and Catalog'!$F$55,IF(((D570+E570)*C570)&lt;='Assumptions and Catalog'!$C$56,((D570+E570)*C570)*'Assumptions and Catalog'!$H$56+'Assumptions and Catalog'!$E$56+'Assumptions and Catalog'!$F$56,IF(((D570+E570)*C570)&lt;='Assumptions and Catalog'!$C$57,((D570+E570)*C570)*'Assumptions and Catalog'!$H$57+'Assumptions and Catalog'!$E$57+'Assumptions and Catalog'!$F$57,"Out of range")))))))),IF(((D570+E570)*C570)&lt;='Assumptions and Catalog'!$C$60,((D570+E570)*C570)*'Assumptions and Catalog'!$H$60+'Assumptions and Catalog'!$E$60+'Assumptions and Catalog'!$F$60,IF(((D570+E570)*C570)&lt;='Assumptions and Catalog'!$C$61,((D570+E570)*C570)*'Assumptions and Catalog'!$H$61+'Assumptions and Catalog'!$E$61+'Assumptions and Catalog'!$F$61,IF(((D570+E570)*C570)&lt;='Assumptions and Catalog'!$C$62,((D570+E570)*C570)*'Assumptions and Catalog'!$H$62+'Assumptions and Catalog'!$E$62+'Assumptions and Catalog'!$F$62,IF(((D570+E570)*C570)&lt;='Assumptions and Catalog'!$C$63,((D570+E570)*C570)*'Assumptions and Catalog'!$H$63+'Assumptions and Catalog'!$E$63+'Assumptions and Catalog'!$F$63,IF(((D570+E570)*C570)&lt;='Assumptions and Catalog'!$C$64,((D570+E570)*C570)*'Assumptions and Catalog'!$H$64+'Assumptions and Catalog'!$E$64+'Assumptions and Catalog'!$F$64,IF(((D570+E570)*C570)&lt;='Assumptions and Catalog'!$C$65,((D570+E570)*C570)*'Assumptions and Catalog'!$H$65+'Assumptions and Catalog'!$E$65+'Assumptions and Catalog'!$F$65,"Out of range")))))))))*(1+'Assumptions and Catalog'!$C$8)^(A570-1),0)</f>
        <v>6867.22</v>
      </c>
      <c r="N570" s="5" t="n">
        <f>IF(ISNUMBER(Inputs!$L$5),(IF(Inputs!$L$9="Actual flat rate",L570*Inputs!$L$10,IF(Inputs!$C$9="Residential",IF(L570&lt;='Assumptions and Catalog'!$C$50,L570*'Assumptions and Catalog'!$H$50+'Assumptions and Catalog'!$E$50+'Assumptions and Catalog'!$F$50,IF(L570&lt;='Assumptions and Catalog'!$C$51,L570*'Assumptions and Catalog'!$H$51+'Assumptions and Catalog'!$E$51+'Assumptions and Catalog'!$F$51,IF(L570&lt;='Assumptions and Catalog'!$C$52,L570*'Assumptions and Catalog'!$H$52+'Assumptions and Catalog'!$E$52+'Assumptions and Catalog'!$F$52,IF(L570&lt;='Assumptions and Catalog'!$C$53,L570*'Assumptions and Catalog'!$H$53+'Assumptions and Catalog'!$E$53+'Assumptions and Catalog'!$F$53,IF(L570&lt;='Assumptions and Catalog'!$C$54,L570*'Assumptions and Catalog'!$H$54+'Assumptions and Catalog'!$E$54+'Assumptions and Catalog'!$F$54,IF(L570&lt;='Assumptions and Catalog'!$C$55,L570*'Assumptions and Catalog'!$H$55+'Assumptions and Catalog'!$E$55+'Assumptions and Catalog'!$F$55,IF(L570&lt;='Assumptions and Catalog'!$C$56,L570*'Assumptions and Catalog'!$H$56+'Assumptions and Catalog'!$E$56+'Assumptions and Catalog'!$F$56,IF(L570&lt;='Assumptions and Catalog'!$C$57,L570*'Assumptions and Catalog'!$H$57+'Assumptions and Catalog'!$E$57+'Assumptions and Catalog'!$F$57,"Out of range")))))))),IF(L570&lt;='Assumptions and Catalog'!$C$60,L570*'Assumptions and Catalog'!$H$60+'Assumptions and Catalog'!$E$60+'Assumptions and Catalog'!$F$60,IF(L570&lt;='Assumptions and Catalog'!$C$61,L570*'Assumptions and Catalog'!$H$61+'Assumptions and Catalog'!$E$61+'Assumptions and Catalog'!$F$61,IF(L570&lt;='Assumptions and Catalog'!$C$62,L570*'Assumptions and Catalog'!$H$62+'Assumptions and Catalog'!$E$62+'Assumptions and Catalog'!$F$62,IF(L570&lt;='Assumptions and Catalog'!$C$63,L570*'Assumptions and Catalog'!$H$63+'Assumptions and Catalog'!$E$63+'Assumptions and Catalog'!$F$63,IF(L570&lt;='Assumptions and Catalog'!$C$64,L570*'Assumptions and Catalog'!$H$64+'Assumptions and Catalog'!$E$64+'Assumptions and Catalog'!$F$64,IF(L570&lt;='Assumptions and Catalog'!$C$65,L570*'Assumptions and Catalog'!$H$65+'Assumptions and Catalog'!$E$65+'Assumptions and Catalog'!$F$65,"Out of range")))))))))*(1+'Assumptions and Catalog'!$C$8)^(A570-1),0)</f>
        <v>6867.22</v>
      </c>
      <c r="O570" s="5" t="n">
        <f>M570-N570</f>
        <v>0</v>
      </c>
      <c r="P570" s="5" t="n">
        <f>D$55*(1-K$14)*(1-'Assumptions and Catalog'!$C$23)^R570</f>
        <v>0</v>
      </c>
      <c r="Q570" s="5" t="n">
        <f>IF(ISNUMBER(Inputs!$L$5),(IF(Inputs!$L$9="Actual flat rate",((D570+E570)*C570-G570)*Inputs!$L$10,IF(Inputs!$C$9="Residential",IF(((D570+E570)*C570-G570)&lt;='Assumptions and Catalog'!$C$50,((D570+E570)*C570-G570)*'Assumptions and Catalog'!$H$50+'Assumptions and Catalog'!$E$50+'Assumptions and Catalog'!$F$50,IF(((D570+E570)*C570-G570)&lt;='Assumptions and Catalog'!$C$51,((D570+E570)*C570-G570)*'Assumptions and Catalog'!$H$51+'Assumptions and Catalog'!$E$51+'Assumptions and Catalog'!$F$51,IF(((D570+E570)*C570-G570)&lt;='Assumptions and Catalog'!$C$52,((D570+E570)*C570-G570)*'Assumptions and Catalog'!$H$52+'Assumptions and Catalog'!$E$52+'Assumptions and Catalog'!$F$52,IF(((D570+E570)*C570-G570)&lt;='Assumptions and Catalog'!$C$53,((D570+E570)*C570-G570)*'Assumptions and Catalog'!$H$53+'Assumptions and Catalog'!$E$53+'Assumptions and Catalog'!$F$53,IF(((D570+E570)*C570-G570)&lt;='Assumptions and Catalog'!$C$54,((D570+E570)*C570-G570)*'Assumptions and Catalog'!$H$54+'Assumptions and Catalog'!$E$54+'Assumptions and Catalog'!$F$54,IF(((D570+E570)*C570-G570)&lt;='Assumptions and Catalog'!$C$55,((D570+E570)*C570-G570)*'Assumptions and Catalog'!$H$55+'Assumptions and Catalog'!$E$55+'Assumptions and Catalog'!$F$55,IF(((D570+E570)*C570-G570)&lt;='Assumptions and Catalog'!$C$56,((D570+E570)*C570-G570)*'Assumptions and Catalog'!$H$56+'Assumptions and Catalog'!$E$56+'Assumptions and Catalog'!$F$56,IF(((D570+E570)*C570-G570)&lt;='Assumptions and Catalog'!$C$57,((D570+E570)*C570-G570)*'Assumptions and Catalog'!$H$57+'Assumptions and Catalog'!$E$57+'Assumptions and Catalog'!$F$57,"Out of range")))))))),IF(((D570+E570)*C570-G570)&lt;='Assumptions and Catalog'!$C$60,((D570+E570)*C570-G570)*'Assumptions and Catalog'!$H$60+'Assumptions and Catalog'!$E$60+'Assumptions and Catalog'!$F$60,IF(((D570+E570)*C570-G570)&lt;='Assumptions and Catalog'!$C$61,((D570+E570)*C570-G570)*'Assumptions and Catalog'!$H$61+'Assumptions and Catalog'!$E$61+'Assumptions and Catalog'!$F$61,IF(((D570+E570)*C570-G570)&lt;='Assumptions and Catalog'!$C$62,((D570+E570)*C570-G570)*'Assumptions and Catalog'!$H$62+'Assumptions and Catalog'!$E$62+'Assumptions and Catalog'!$F$62,IF(((D570+E570)*C570-G570)&lt;='Assumptions and Catalog'!$C$63,((D570+E570)*C570-G570)*'Assumptions and Catalog'!$H$63+'Assumptions and Catalog'!$E$63+'Assumptions and Catalog'!$F$63,IF(((D570+E570)*C570-G570)&lt;='Assumptions and Catalog'!$C$64,((D570+E570)*C570-G570)*'Assumptions and Catalog'!$H$64+'Assumptions and Catalog'!$E$64+'Assumptions and Catalog'!$F$64,IF(((D570+E570)*C570-G570)&lt;='Assumptions and Catalog'!$C$65,((D570+E570)*C570-G570)*'Assumptions and Catalog'!$H$65+'Assumptions and Catalog'!$E$65+'Assumptions and Catalog'!$F$65,"Out of range")))))))))*(1+'Assumptions and Catalog'!$C$8)^(A570-1),0)</f>
        <v>6867.22</v>
      </c>
      <c r="R570" s="5" t="n">
        <f>IF(AND('Assumptions and Catalog'!$C$19&gt;0,A570&gt;='Assumptions and Catalog'!$C$19),A570-'Assumptions and Catalog'!$C$19,A570-1)</f>
        <v>3</v>
      </c>
      <c r="S570" s="5" t="n">
        <f>F570+L570-(D570+E570)*C570-J570-K570-IF(D$52&gt;0,'Assumptions and Catalog'!$C$26*C570,0)</f>
        <v>0</v>
      </c>
      <c r="T570" s="5"/>
      <c r="U570" s="5"/>
    </row>
    <row r="571" ht="23.100000381469727" customHeight="1">
      <c r="A571" s="5" t="n">
        <v>14</v>
      </c>
      <c r="B571" s="5" t="n">
        <v>5</v>
      </c>
      <c r="C571" s="5" t="n">
        <f>DAY(DATE('Assumptions and Catalog'!$C$24+A571-1,B571+1,0))</f>
        <v>31</v>
      </c>
      <c r="D571" s="5" t="n">
        <f>IF(ISNUMBER(Inputs!$L$5),Inputs!$L$5*Inputs!$L$6,0)</f>
        <v>40.35</v>
      </c>
      <c r="E571" s="5" t="n">
        <f>IF(ISNUMBER(Inputs!$L$5),Inputs!$L$5-D571,0)</f>
        <v>40.35</v>
      </c>
      <c r="F571" s="5" t="n">
        <f>D$51*'Assumptions and Catalog'!$C$31*C571*(1-'Assumptions and Catalog'!$C$10)^(A571-1)</f>
        <v>0</v>
      </c>
      <c r="G571" s="5" t="n">
        <f>MIN(F571,D571*C571)</f>
        <v>0</v>
      </c>
      <c r="H571" s="5" t="n">
        <f>I571/('Assumptions and Catalog'!$C$11*'Assumptions and Catalog'!$C$12)</f>
        <v>0</v>
      </c>
      <c r="I571" s="5" t="n">
        <f>IF(K$15="Grid cycle",MIN(K$16,D571+E571,P571*'Assumptions and Catalog'!$C$12,D$57*(24-'Assumptions and Catalog'!$C$15),D$56*'Assumptions and Catalog'!$C$15*'Assumptions and Catalog'!$C$11*'Assumptions and Catalog'!$C$12)*C571,0)</f>
        <v>0</v>
      </c>
      <c r="J571" s="5" t="n">
        <f>MAX(F571-G571-0,0)</f>
        <v>0</v>
      </c>
      <c r="K571" s="5" t="n">
        <f>H571-I571</f>
        <v>0</v>
      </c>
      <c r="L571" s="5" t="n">
        <f>(D571+E571)*C571-G571-I571+H571+IF(D$52&gt;0,'Assumptions and Catalog'!$C$26*C571,0)</f>
        <v>2501.7</v>
      </c>
      <c r="M571" s="5" t="n">
        <f>IF(ISNUMBER(Inputs!$L$5),(IF(Inputs!$L$9="Actual flat rate",((D571+E571)*C571)*Inputs!$L$10,IF(Inputs!$C$9="Residential",IF(((D571+E571)*C571)&lt;='Assumptions and Catalog'!$C$50,((D571+E571)*C571)*'Assumptions and Catalog'!$H$50+'Assumptions and Catalog'!$E$50+'Assumptions and Catalog'!$F$50,IF(((D571+E571)*C571)&lt;='Assumptions and Catalog'!$C$51,((D571+E571)*C571)*'Assumptions and Catalog'!$H$51+'Assumptions and Catalog'!$E$51+'Assumptions and Catalog'!$F$51,IF(((D571+E571)*C571)&lt;='Assumptions and Catalog'!$C$52,((D571+E571)*C571)*'Assumptions and Catalog'!$H$52+'Assumptions and Catalog'!$E$52+'Assumptions and Catalog'!$F$52,IF(((D571+E571)*C571)&lt;='Assumptions and Catalog'!$C$53,((D571+E571)*C571)*'Assumptions and Catalog'!$H$53+'Assumptions and Catalog'!$E$53+'Assumptions and Catalog'!$F$53,IF(((D571+E571)*C571)&lt;='Assumptions and Catalog'!$C$54,((D571+E571)*C571)*'Assumptions and Catalog'!$H$54+'Assumptions and Catalog'!$E$54+'Assumptions and Catalog'!$F$54,IF(((D571+E571)*C571)&lt;='Assumptions and Catalog'!$C$55,((D571+E571)*C571)*'Assumptions and Catalog'!$H$55+'Assumptions and Catalog'!$E$55+'Assumptions and Catalog'!$F$55,IF(((D571+E571)*C571)&lt;='Assumptions and Catalog'!$C$56,((D571+E571)*C571)*'Assumptions and Catalog'!$H$56+'Assumptions and Catalog'!$E$56+'Assumptions and Catalog'!$F$56,IF(((D571+E571)*C571)&lt;='Assumptions and Catalog'!$C$57,((D571+E571)*C571)*'Assumptions and Catalog'!$H$57+'Assumptions and Catalog'!$E$57+'Assumptions and Catalog'!$F$57,"Out of range")))))))),IF(((D571+E571)*C571)&lt;='Assumptions and Catalog'!$C$60,((D571+E571)*C571)*'Assumptions and Catalog'!$H$60+'Assumptions and Catalog'!$E$60+'Assumptions and Catalog'!$F$60,IF(((D571+E571)*C571)&lt;='Assumptions and Catalog'!$C$61,((D571+E571)*C571)*'Assumptions and Catalog'!$H$61+'Assumptions and Catalog'!$E$61+'Assumptions and Catalog'!$F$61,IF(((D571+E571)*C571)&lt;='Assumptions and Catalog'!$C$62,((D571+E571)*C571)*'Assumptions and Catalog'!$H$62+'Assumptions and Catalog'!$E$62+'Assumptions and Catalog'!$F$62,IF(((D571+E571)*C571)&lt;='Assumptions and Catalog'!$C$63,((D571+E571)*C571)*'Assumptions and Catalog'!$H$63+'Assumptions and Catalog'!$E$63+'Assumptions and Catalog'!$F$63,IF(((D571+E571)*C571)&lt;='Assumptions and Catalog'!$C$64,((D571+E571)*C571)*'Assumptions and Catalog'!$H$64+'Assumptions and Catalog'!$E$64+'Assumptions and Catalog'!$F$64,IF(((D571+E571)*C571)&lt;='Assumptions and Catalog'!$C$65,((D571+E571)*C571)*'Assumptions and Catalog'!$H$65+'Assumptions and Catalog'!$E$65+'Assumptions and Catalog'!$F$65,"Out of range")))))))))*(1+'Assumptions and Catalog'!$C$8)^(A571-1),0)</f>
        <v>7094.794</v>
      </c>
      <c r="N571" s="5" t="n">
        <f>IF(ISNUMBER(Inputs!$L$5),(IF(Inputs!$L$9="Actual flat rate",L571*Inputs!$L$10,IF(Inputs!$C$9="Residential",IF(L571&lt;='Assumptions and Catalog'!$C$50,L571*'Assumptions and Catalog'!$H$50+'Assumptions and Catalog'!$E$50+'Assumptions and Catalog'!$F$50,IF(L571&lt;='Assumptions and Catalog'!$C$51,L571*'Assumptions and Catalog'!$H$51+'Assumptions and Catalog'!$E$51+'Assumptions and Catalog'!$F$51,IF(L571&lt;='Assumptions and Catalog'!$C$52,L571*'Assumptions and Catalog'!$H$52+'Assumptions and Catalog'!$E$52+'Assumptions and Catalog'!$F$52,IF(L571&lt;='Assumptions and Catalog'!$C$53,L571*'Assumptions and Catalog'!$H$53+'Assumptions and Catalog'!$E$53+'Assumptions and Catalog'!$F$53,IF(L571&lt;='Assumptions and Catalog'!$C$54,L571*'Assumptions and Catalog'!$H$54+'Assumptions and Catalog'!$E$54+'Assumptions and Catalog'!$F$54,IF(L571&lt;='Assumptions and Catalog'!$C$55,L571*'Assumptions and Catalog'!$H$55+'Assumptions and Catalog'!$E$55+'Assumptions and Catalog'!$F$55,IF(L571&lt;='Assumptions and Catalog'!$C$56,L571*'Assumptions and Catalog'!$H$56+'Assumptions and Catalog'!$E$56+'Assumptions and Catalog'!$F$56,IF(L571&lt;='Assumptions and Catalog'!$C$57,L571*'Assumptions and Catalog'!$H$57+'Assumptions and Catalog'!$E$57+'Assumptions and Catalog'!$F$57,"Out of range")))))))),IF(L571&lt;='Assumptions and Catalog'!$C$60,L571*'Assumptions and Catalog'!$H$60+'Assumptions and Catalog'!$E$60+'Assumptions and Catalog'!$F$60,IF(L571&lt;='Assumptions and Catalog'!$C$61,L571*'Assumptions and Catalog'!$H$61+'Assumptions and Catalog'!$E$61+'Assumptions and Catalog'!$F$61,IF(L571&lt;='Assumptions and Catalog'!$C$62,L571*'Assumptions and Catalog'!$H$62+'Assumptions and Catalog'!$E$62+'Assumptions and Catalog'!$F$62,IF(L571&lt;='Assumptions and Catalog'!$C$63,L571*'Assumptions and Catalog'!$H$63+'Assumptions and Catalog'!$E$63+'Assumptions and Catalog'!$F$63,IF(L571&lt;='Assumptions and Catalog'!$C$64,L571*'Assumptions and Catalog'!$H$64+'Assumptions and Catalog'!$E$64+'Assumptions and Catalog'!$F$64,IF(L571&lt;='Assumptions and Catalog'!$C$65,L571*'Assumptions and Catalog'!$H$65+'Assumptions and Catalog'!$E$65+'Assumptions and Catalog'!$F$65,"Out of range")))))))))*(1+'Assumptions and Catalog'!$C$8)^(A571-1),0)</f>
        <v>7094.794</v>
      </c>
      <c r="O571" s="5" t="n">
        <f>M571-N571</f>
        <v>0</v>
      </c>
      <c r="P571" s="5" t="n">
        <f>D$55*(1-K$14)*(1-'Assumptions and Catalog'!$C$23)^R571</f>
        <v>0</v>
      </c>
      <c r="Q571" s="5" t="n">
        <f>IF(ISNUMBER(Inputs!$L$5),(IF(Inputs!$L$9="Actual flat rate",((D571+E571)*C571-G571)*Inputs!$L$10,IF(Inputs!$C$9="Residential",IF(((D571+E571)*C571-G571)&lt;='Assumptions and Catalog'!$C$50,((D571+E571)*C571-G571)*'Assumptions and Catalog'!$H$50+'Assumptions and Catalog'!$E$50+'Assumptions and Catalog'!$F$50,IF(((D571+E571)*C571-G571)&lt;='Assumptions and Catalog'!$C$51,((D571+E571)*C571-G571)*'Assumptions and Catalog'!$H$51+'Assumptions and Catalog'!$E$51+'Assumptions and Catalog'!$F$51,IF(((D571+E571)*C571-G571)&lt;='Assumptions and Catalog'!$C$52,((D571+E571)*C571-G571)*'Assumptions and Catalog'!$H$52+'Assumptions and Catalog'!$E$52+'Assumptions and Catalog'!$F$52,IF(((D571+E571)*C571-G571)&lt;='Assumptions and Catalog'!$C$53,((D571+E571)*C571-G571)*'Assumptions and Catalog'!$H$53+'Assumptions and Catalog'!$E$53+'Assumptions and Catalog'!$F$53,IF(((D571+E571)*C571-G571)&lt;='Assumptions and Catalog'!$C$54,((D571+E571)*C571-G571)*'Assumptions and Catalog'!$H$54+'Assumptions and Catalog'!$E$54+'Assumptions and Catalog'!$F$54,IF(((D571+E571)*C571-G571)&lt;='Assumptions and Catalog'!$C$55,((D571+E571)*C571-G571)*'Assumptions and Catalog'!$H$55+'Assumptions and Catalog'!$E$55+'Assumptions and Catalog'!$F$55,IF(((D571+E571)*C571-G571)&lt;='Assumptions and Catalog'!$C$56,((D571+E571)*C571-G571)*'Assumptions and Catalog'!$H$56+'Assumptions and Catalog'!$E$56+'Assumptions and Catalog'!$F$56,IF(((D571+E571)*C571-G571)&lt;='Assumptions and Catalog'!$C$57,((D571+E571)*C571-G571)*'Assumptions and Catalog'!$H$57+'Assumptions and Catalog'!$E$57+'Assumptions and Catalog'!$F$57,"Out of range")))))))),IF(((D571+E571)*C571-G571)&lt;='Assumptions and Catalog'!$C$60,((D571+E571)*C571-G571)*'Assumptions and Catalog'!$H$60+'Assumptions and Catalog'!$E$60+'Assumptions and Catalog'!$F$60,IF(((D571+E571)*C571-G571)&lt;='Assumptions and Catalog'!$C$61,((D571+E571)*C571-G571)*'Assumptions and Catalog'!$H$61+'Assumptions and Catalog'!$E$61+'Assumptions and Catalog'!$F$61,IF(((D571+E571)*C571-G571)&lt;='Assumptions and Catalog'!$C$62,((D571+E571)*C571-G571)*'Assumptions and Catalog'!$H$62+'Assumptions and Catalog'!$E$62+'Assumptions and Catalog'!$F$62,IF(((D571+E571)*C571-G571)&lt;='Assumptions and Catalog'!$C$63,((D571+E571)*C571-G571)*'Assumptions and Catalog'!$H$63+'Assumptions and Catalog'!$E$63+'Assumptions and Catalog'!$F$63,IF(((D571+E571)*C571-G571)&lt;='Assumptions and Catalog'!$C$64,((D571+E571)*C571-G571)*'Assumptions and Catalog'!$H$64+'Assumptions and Catalog'!$E$64+'Assumptions and Catalog'!$F$64,IF(((D571+E571)*C571-G571)&lt;='Assumptions and Catalog'!$C$65,((D571+E571)*C571-G571)*'Assumptions and Catalog'!$H$65+'Assumptions and Catalog'!$E$65+'Assumptions and Catalog'!$F$65,"Out of range")))))))))*(1+'Assumptions and Catalog'!$C$8)^(A571-1),0)</f>
        <v>7094.794</v>
      </c>
      <c r="R571" s="5" t="n">
        <f>IF(AND('Assumptions and Catalog'!$C$19&gt;0,A571&gt;='Assumptions and Catalog'!$C$19),A571-'Assumptions and Catalog'!$C$19,A571-1)</f>
        <v>3</v>
      </c>
      <c r="S571" s="5" t="n">
        <f>F571+L571-(D571+E571)*C571-J571-K571-IF(D$52&gt;0,'Assumptions and Catalog'!$C$26*C571,0)</f>
        <v>0</v>
      </c>
      <c r="T571" s="5"/>
      <c r="U571" s="5"/>
    </row>
    <row r="572" ht="23.100000381469727" customHeight="1">
      <c r="A572" s="5" t="n">
        <v>14</v>
      </c>
      <c r="B572" s="5" t="n">
        <v>6</v>
      </c>
      <c r="C572" s="5" t="n">
        <f>DAY(DATE('Assumptions and Catalog'!$C$24+A572-1,B572+1,0))</f>
        <v>30</v>
      </c>
      <c r="D572" s="5" t="n">
        <f>IF(ISNUMBER(Inputs!$L$5),Inputs!$L$5*Inputs!$L$6,0)</f>
        <v>40.35</v>
      </c>
      <c r="E572" s="5" t="n">
        <f>IF(ISNUMBER(Inputs!$L$5),Inputs!$L$5-D572,0)</f>
        <v>40.35</v>
      </c>
      <c r="F572" s="5" t="n">
        <f>D$51*'Assumptions and Catalog'!$C$31*C572*(1-'Assumptions and Catalog'!$C$10)^(A572-1)</f>
        <v>0</v>
      </c>
      <c r="G572" s="5" t="n">
        <f>MIN(F572,D572*C572)</f>
        <v>0</v>
      </c>
      <c r="H572" s="5" t="n">
        <f>I572/('Assumptions and Catalog'!$C$11*'Assumptions and Catalog'!$C$12)</f>
        <v>0</v>
      </c>
      <c r="I572" s="5" t="n">
        <f>IF(K$15="Grid cycle",MIN(K$16,D572+E572,P572*'Assumptions and Catalog'!$C$12,D$57*(24-'Assumptions and Catalog'!$C$15),D$56*'Assumptions and Catalog'!$C$15*'Assumptions and Catalog'!$C$11*'Assumptions and Catalog'!$C$12)*C572,0)</f>
        <v>0</v>
      </c>
      <c r="J572" s="5" t="n">
        <f>MAX(F572-G572-0,0)</f>
        <v>0</v>
      </c>
      <c r="K572" s="5" t="n">
        <f>H572-I572</f>
        <v>0</v>
      </c>
      <c r="L572" s="5" t="n">
        <f>(D572+E572)*C572-G572-I572+H572+IF(D$52&gt;0,'Assumptions and Catalog'!$C$26*C572,0)</f>
        <v>2421</v>
      </c>
      <c r="M572" s="5" t="n">
        <f>IF(ISNUMBER(Inputs!$L$5),(IF(Inputs!$L$9="Actual flat rate",((D572+E572)*C572)*Inputs!$L$10,IF(Inputs!$C$9="Residential",IF(((D572+E572)*C572)&lt;='Assumptions and Catalog'!$C$50,((D572+E572)*C572)*'Assumptions and Catalog'!$H$50+'Assumptions and Catalog'!$E$50+'Assumptions and Catalog'!$F$50,IF(((D572+E572)*C572)&lt;='Assumptions and Catalog'!$C$51,((D572+E572)*C572)*'Assumptions and Catalog'!$H$51+'Assumptions and Catalog'!$E$51+'Assumptions and Catalog'!$F$51,IF(((D572+E572)*C572)&lt;='Assumptions and Catalog'!$C$52,((D572+E572)*C572)*'Assumptions and Catalog'!$H$52+'Assumptions and Catalog'!$E$52+'Assumptions and Catalog'!$F$52,IF(((D572+E572)*C572)&lt;='Assumptions and Catalog'!$C$53,((D572+E572)*C572)*'Assumptions and Catalog'!$H$53+'Assumptions and Catalog'!$E$53+'Assumptions and Catalog'!$F$53,IF(((D572+E572)*C572)&lt;='Assumptions and Catalog'!$C$54,((D572+E572)*C572)*'Assumptions and Catalog'!$H$54+'Assumptions and Catalog'!$E$54+'Assumptions and Catalog'!$F$54,IF(((D572+E572)*C572)&lt;='Assumptions and Catalog'!$C$55,((D572+E572)*C572)*'Assumptions and Catalog'!$H$55+'Assumptions and Catalog'!$E$55+'Assumptions and Catalog'!$F$55,IF(((D572+E572)*C572)&lt;='Assumptions and Catalog'!$C$56,((D572+E572)*C572)*'Assumptions and Catalog'!$H$56+'Assumptions and Catalog'!$E$56+'Assumptions and Catalog'!$F$56,IF(((D572+E572)*C572)&lt;='Assumptions and Catalog'!$C$57,((D572+E572)*C572)*'Assumptions and Catalog'!$H$57+'Assumptions and Catalog'!$E$57+'Assumptions and Catalog'!$F$57,"Out of range")))))))),IF(((D572+E572)*C572)&lt;='Assumptions and Catalog'!$C$60,((D572+E572)*C572)*'Assumptions and Catalog'!$H$60+'Assumptions and Catalog'!$E$60+'Assumptions and Catalog'!$F$60,IF(((D572+E572)*C572)&lt;='Assumptions and Catalog'!$C$61,((D572+E572)*C572)*'Assumptions and Catalog'!$H$61+'Assumptions and Catalog'!$E$61+'Assumptions and Catalog'!$F$61,IF(((D572+E572)*C572)&lt;='Assumptions and Catalog'!$C$62,((D572+E572)*C572)*'Assumptions and Catalog'!$H$62+'Assumptions and Catalog'!$E$62+'Assumptions and Catalog'!$F$62,IF(((D572+E572)*C572)&lt;='Assumptions and Catalog'!$C$63,((D572+E572)*C572)*'Assumptions and Catalog'!$H$63+'Assumptions and Catalog'!$E$63+'Assumptions and Catalog'!$F$63,IF(((D572+E572)*C572)&lt;='Assumptions and Catalog'!$C$64,((D572+E572)*C572)*'Assumptions and Catalog'!$H$64+'Assumptions and Catalog'!$E$64+'Assumptions and Catalog'!$F$64,IF(((D572+E572)*C572)&lt;='Assumptions and Catalog'!$C$65,((D572+E572)*C572)*'Assumptions and Catalog'!$H$65+'Assumptions and Catalog'!$E$65+'Assumptions and Catalog'!$F$65,"Out of range")))))))))*(1+'Assumptions and Catalog'!$C$8)^(A572-1),0)</f>
        <v>6867.22</v>
      </c>
      <c r="N572" s="5" t="n">
        <f>IF(ISNUMBER(Inputs!$L$5),(IF(Inputs!$L$9="Actual flat rate",L572*Inputs!$L$10,IF(Inputs!$C$9="Residential",IF(L572&lt;='Assumptions and Catalog'!$C$50,L572*'Assumptions and Catalog'!$H$50+'Assumptions and Catalog'!$E$50+'Assumptions and Catalog'!$F$50,IF(L572&lt;='Assumptions and Catalog'!$C$51,L572*'Assumptions and Catalog'!$H$51+'Assumptions and Catalog'!$E$51+'Assumptions and Catalog'!$F$51,IF(L572&lt;='Assumptions and Catalog'!$C$52,L572*'Assumptions and Catalog'!$H$52+'Assumptions and Catalog'!$E$52+'Assumptions and Catalog'!$F$52,IF(L572&lt;='Assumptions and Catalog'!$C$53,L572*'Assumptions and Catalog'!$H$53+'Assumptions and Catalog'!$E$53+'Assumptions and Catalog'!$F$53,IF(L572&lt;='Assumptions and Catalog'!$C$54,L572*'Assumptions and Catalog'!$H$54+'Assumptions and Catalog'!$E$54+'Assumptions and Catalog'!$F$54,IF(L572&lt;='Assumptions and Catalog'!$C$55,L572*'Assumptions and Catalog'!$H$55+'Assumptions and Catalog'!$E$55+'Assumptions and Catalog'!$F$55,IF(L572&lt;='Assumptions and Catalog'!$C$56,L572*'Assumptions and Catalog'!$H$56+'Assumptions and Catalog'!$E$56+'Assumptions and Catalog'!$F$56,IF(L572&lt;='Assumptions and Catalog'!$C$57,L572*'Assumptions and Catalog'!$H$57+'Assumptions and Catalog'!$E$57+'Assumptions and Catalog'!$F$57,"Out of range")))))))),IF(L572&lt;='Assumptions and Catalog'!$C$60,L572*'Assumptions and Catalog'!$H$60+'Assumptions and Catalog'!$E$60+'Assumptions and Catalog'!$F$60,IF(L572&lt;='Assumptions and Catalog'!$C$61,L572*'Assumptions and Catalog'!$H$61+'Assumptions and Catalog'!$E$61+'Assumptions and Catalog'!$F$61,IF(L572&lt;='Assumptions and Catalog'!$C$62,L572*'Assumptions and Catalog'!$H$62+'Assumptions and Catalog'!$E$62+'Assumptions and Catalog'!$F$62,IF(L572&lt;='Assumptions and Catalog'!$C$63,L572*'Assumptions and Catalog'!$H$63+'Assumptions and Catalog'!$E$63+'Assumptions and Catalog'!$F$63,IF(L572&lt;='Assumptions and Catalog'!$C$64,L572*'Assumptions and Catalog'!$H$64+'Assumptions and Catalog'!$E$64+'Assumptions and Catalog'!$F$64,IF(L572&lt;='Assumptions and Catalog'!$C$65,L572*'Assumptions and Catalog'!$H$65+'Assumptions and Catalog'!$E$65+'Assumptions and Catalog'!$F$65,"Out of range")))))))))*(1+'Assumptions and Catalog'!$C$8)^(A572-1),0)</f>
        <v>6867.22</v>
      </c>
      <c r="O572" s="5" t="n">
        <f>M572-N572</f>
        <v>0</v>
      </c>
      <c r="P572" s="5" t="n">
        <f>D$55*(1-K$14)*(1-'Assumptions and Catalog'!$C$23)^R572</f>
        <v>0</v>
      </c>
      <c r="Q572" s="5" t="n">
        <f>IF(ISNUMBER(Inputs!$L$5),(IF(Inputs!$L$9="Actual flat rate",((D572+E572)*C572-G572)*Inputs!$L$10,IF(Inputs!$C$9="Residential",IF(((D572+E572)*C572-G572)&lt;='Assumptions and Catalog'!$C$50,((D572+E572)*C572-G572)*'Assumptions and Catalog'!$H$50+'Assumptions and Catalog'!$E$50+'Assumptions and Catalog'!$F$50,IF(((D572+E572)*C572-G572)&lt;='Assumptions and Catalog'!$C$51,((D572+E572)*C572-G572)*'Assumptions and Catalog'!$H$51+'Assumptions and Catalog'!$E$51+'Assumptions and Catalog'!$F$51,IF(((D572+E572)*C572-G572)&lt;='Assumptions and Catalog'!$C$52,((D572+E572)*C572-G572)*'Assumptions and Catalog'!$H$52+'Assumptions and Catalog'!$E$52+'Assumptions and Catalog'!$F$52,IF(((D572+E572)*C572-G572)&lt;='Assumptions and Catalog'!$C$53,((D572+E572)*C572-G572)*'Assumptions and Catalog'!$H$53+'Assumptions and Catalog'!$E$53+'Assumptions and Catalog'!$F$53,IF(((D572+E572)*C572-G572)&lt;='Assumptions and Catalog'!$C$54,((D572+E572)*C572-G572)*'Assumptions and Catalog'!$H$54+'Assumptions and Catalog'!$E$54+'Assumptions and Catalog'!$F$54,IF(((D572+E572)*C572-G572)&lt;='Assumptions and Catalog'!$C$55,((D572+E572)*C572-G572)*'Assumptions and Catalog'!$H$55+'Assumptions and Catalog'!$E$55+'Assumptions and Catalog'!$F$55,IF(((D572+E572)*C572-G572)&lt;='Assumptions and Catalog'!$C$56,((D572+E572)*C572-G572)*'Assumptions and Catalog'!$H$56+'Assumptions and Catalog'!$E$56+'Assumptions and Catalog'!$F$56,IF(((D572+E572)*C572-G572)&lt;='Assumptions and Catalog'!$C$57,((D572+E572)*C572-G572)*'Assumptions and Catalog'!$H$57+'Assumptions and Catalog'!$E$57+'Assumptions and Catalog'!$F$57,"Out of range")))))))),IF(((D572+E572)*C572-G572)&lt;='Assumptions and Catalog'!$C$60,((D572+E572)*C572-G572)*'Assumptions and Catalog'!$H$60+'Assumptions and Catalog'!$E$60+'Assumptions and Catalog'!$F$60,IF(((D572+E572)*C572-G572)&lt;='Assumptions and Catalog'!$C$61,((D572+E572)*C572-G572)*'Assumptions and Catalog'!$H$61+'Assumptions and Catalog'!$E$61+'Assumptions and Catalog'!$F$61,IF(((D572+E572)*C572-G572)&lt;='Assumptions and Catalog'!$C$62,((D572+E572)*C572-G572)*'Assumptions and Catalog'!$H$62+'Assumptions and Catalog'!$E$62+'Assumptions and Catalog'!$F$62,IF(((D572+E572)*C572-G572)&lt;='Assumptions and Catalog'!$C$63,((D572+E572)*C572-G572)*'Assumptions and Catalog'!$H$63+'Assumptions and Catalog'!$E$63+'Assumptions and Catalog'!$F$63,IF(((D572+E572)*C572-G572)&lt;='Assumptions and Catalog'!$C$64,((D572+E572)*C572-G572)*'Assumptions and Catalog'!$H$64+'Assumptions and Catalog'!$E$64+'Assumptions and Catalog'!$F$64,IF(((D572+E572)*C572-G572)&lt;='Assumptions and Catalog'!$C$65,((D572+E572)*C572-G572)*'Assumptions and Catalog'!$H$65+'Assumptions and Catalog'!$E$65+'Assumptions and Catalog'!$F$65,"Out of range")))))))))*(1+'Assumptions and Catalog'!$C$8)^(A572-1),0)</f>
        <v>6867.22</v>
      </c>
      <c r="R572" s="5" t="n">
        <f>IF(AND('Assumptions and Catalog'!$C$19&gt;0,A572&gt;='Assumptions and Catalog'!$C$19),A572-'Assumptions and Catalog'!$C$19,A572-1)</f>
        <v>3</v>
      </c>
      <c r="S572" s="5" t="n">
        <f>F572+L572-(D572+E572)*C572-J572-K572-IF(D$52&gt;0,'Assumptions and Catalog'!$C$26*C572,0)</f>
        <v>0</v>
      </c>
      <c r="T572" s="5"/>
      <c r="U572" s="5"/>
    </row>
    <row r="573" ht="23.100000381469727" customHeight="1">
      <c r="A573" s="5" t="n">
        <v>14</v>
      </c>
      <c r="B573" s="5" t="n">
        <v>7</v>
      </c>
      <c r="C573" s="5" t="n">
        <f>DAY(DATE('Assumptions and Catalog'!$C$24+A573-1,B573+1,0))</f>
        <v>31</v>
      </c>
      <c r="D573" s="5" t="n">
        <f>IF(ISNUMBER(Inputs!$L$5),Inputs!$L$5*Inputs!$L$6,0)</f>
        <v>40.35</v>
      </c>
      <c r="E573" s="5" t="n">
        <f>IF(ISNUMBER(Inputs!$L$5),Inputs!$L$5-D573,0)</f>
        <v>40.35</v>
      </c>
      <c r="F573" s="5" t="n">
        <f>D$51*'Assumptions and Catalog'!$C$31*C573*(1-'Assumptions and Catalog'!$C$10)^(A573-1)</f>
        <v>0</v>
      </c>
      <c r="G573" s="5" t="n">
        <f>MIN(F573,D573*C573)</f>
        <v>0</v>
      </c>
      <c r="H573" s="5" t="n">
        <f>I573/('Assumptions and Catalog'!$C$11*'Assumptions and Catalog'!$C$12)</f>
        <v>0</v>
      </c>
      <c r="I573" s="5" t="n">
        <f>IF(K$15="Grid cycle",MIN(K$16,D573+E573,P573*'Assumptions and Catalog'!$C$12,D$57*(24-'Assumptions and Catalog'!$C$15),D$56*'Assumptions and Catalog'!$C$15*'Assumptions and Catalog'!$C$11*'Assumptions and Catalog'!$C$12)*C573,0)</f>
        <v>0</v>
      </c>
      <c r="J573" s="5" t="n">
        <f>MAX(F573-G573-0,0)</f>
        <v>0</v>
      </c>
      <c r="K573" s="5" t="n">
        <f>H573-I573</f>
        <v>0</v>
      </c>
      <c r="L573" s="5" t="n">
        <f>(D573+E573)*C573-G573-I573+H573+IF(D$52&gt;0,'Assumptions and Catalog'!$C$26*C573,0)</f>
        <v>2501.7</v>
      </c>
      <c r="M573" s="5" t="n">
        <f>IF(ISNUMBER(Inputs!$L$5),(IF(Inputs!$L$9="Actual flat rate",((D573+E573)*C573)*Inputs!$L$10,IF(Inputs!$C$9="Residential",IF(((D573+E573)*C573)&lt;='Assumptions and Catalog'!$C$50,((D573+E573)*C573)*'Assumptions and Catalog'!$H$50+'Assumptions and Catalog'!$E$50+'Assumptions and Catalog'!$F$50,IF(((D573+E573)*C573)&lt;='Assumptions and Catalog'!$C$51,((D573+E573)*C573)*'Assumptions and Catalog'!$H$51+'Assumptions and Catalog'!$E$51+'Assumptions and Catalog'!$F$51,IF(((D573+E573)*C573)&lt;='Assumptions and Catalog'!$C$52,((D573+E573)*C573)*'Assumptions and Catalog'!$H$52+'Assumptions and Catalog'!$E$52+'Assumptions and Catalog'!$F$52,IF(((D573+E573)*C573)&lt;='Assumptions and Catalog'!$C$53,((D573+E573)*C573)*'Assumptions and Catalog'!$H$53+'Assumptions and Catalog'!$E$53+'Assumptions and Catalog'!$F$53,IF(((D573+E573)*C573)&lt;='Assumptions and Catalog'!$C$54,((D573+E573)*C573)*'Assumptions and Catalog'!$H$54+'Assumptions and Catalog'!$E$54+'Assumptions and Catalog'!$F$54,IF(((D573+E573)*C573)&lt;='Assumptions and Catalog'!$C$55,((D573+E573)*C573)*'Assumptions and Catalog'!$H$55+'Assumptions and Catalog'!$E$55+'Assumptions and Catalog'!$F$55,IF(((D573+E573)*C573)&lt;='Assumptions and Catalog'!$C$56,((D573+E573)*C573)*'Assumptions and Catalog'!$H$56+'Assumptions and Catalog'!$E$56+'Assumptions and Catalog'!$F$56,IF(((D573+E573)*C573)&lt;='Assumptions and Catalog'!$C$57,((D573+E573)*C573)*'Assumptions and Catalog'!$H$57+'Assumptions and Catalog'!$E$57+'Assumptions and Catalog'!$F$57,"Out of range")))))))),IF(((D573+E573)*C573)&lt;='Assumptions and Catalog'!$C$60,((D573+E573)*C573)*'Assumptions and Catalog'!$H$60+'Assumptions and Catalog'!$E$60+'Assumptions and Catalog'!$F$60,IF(((D573+E573)*C573)&lt;='Assumptions and Catalog'!$C$61,((D573+E573)*C573)*'Assumptions and Catalog'!$H$61+'Assumptions and Catalog'!$E$61+'Assumptions and Catalog'!$F$61,IF(((D573+E573)*C573)&lt;='Assumptions and Catalog'!$C$62,((D573+E573)*C573)*'Assumptions and Catalog'!$H$62+'Assumptions and Catalog'!$E$62+'Assumptions and Catalog'!$F$62,IF(((D573+E573)*C573)&lt;='Assumptions and Catalog'!$C$63,((D573+E573)*C573)*'Assumptions and Catalog'!$H$63+'Assumptions and Catalog'!$E$63+'Assumptions and Catalog'!$F$63,IF(((D573+E573)*C573)&lt;='Assumptions and Catalog'!$C$64,((D573+E573)*C573)*'Assumptions and Catalog'!$H$64+'Assumptions and Catalog'!$E$64+'Assumptions and Catalog'!$F$64,IF(((D573+E573)*C573)&lt;='Assumptions and Catalog'!$C$65,((D573+E573)*C573)*'Assumptions and Catalog'!$H$65+'Assumptions and Catalog'!$E$65+'Assumptions and Catalog'!$F$65,"Out of range")))))))))*(1+'Assumptions and Catalog'!$C$8)^(A573-1),0)</f>
        <v>7094.794</v>
      </c>
      <c r="N573" s="5" t="n">
        <f>IF(ISNUMBER(Inputs!$L$5),(IF(Inputs!$L$9="Actual flat rate",L573*Inputs!$L$10,IF(Inputs!$C$9="Residential",IF(L573&lt;='Assumptions and Catalog'!$C$50,L573*'Assumptions and Catalog'!$H$50+'Assumptions and Catalog'!$E$50+'Assumptions and Catalog'!$F$50,IF(L573&lt;='Assumptions and Catalog'!$C$51,L573*'Assumptions and Catalog'!$H$51+'Assumptions and Catalog'!$E$51+'Assumptions and Catalog'!$F$51,IF(L573&lt;='Assumptions and Catalog'!$C$52,L573*'Assumptions and Catalog'!$H$52+'Assumptions and Catalog'!$E$52+'Assumptions and Catalog'!$F$52,IF(L573&lt;='Assumptions and Catalog'!$C$53,L573*'Assumptions and Catalog'!$H$53+'Assumptions and Catalog'!$E$53+'Assumptions and Catalog'!$F$53,IF(L573&lt;='Assumptions and Catalog'!$C$54,L573*'Assumptions and Catalog'!$H$54+'Assumptions and Catalog'!$E$54+'Assumptions and Catalog'!$F$54,IF(L573&lt;='Assumptions and Catalog'!$C$55,L573*'Assumptions and Catalog'!$H$55+'Assumptions and Catalog'!$E$55+'Assumptions and Catalog'!$F$55,IF(L573&lt;='Assumptions and Catalog'!$C$56,L573*'Assumptions and Catalog'!$H$56+'Assumptions and Catalog'!$E$56+'Assumptions and Catalog'!$F$56,IF(L573&lt;='Assumptions and Catalog'!$C$57,L573*'Assumptions and Catalog'!$H$57+'Assumptions and Catalog'!$E$57+'Assumptions and Catalog'!$F$57,"Out of range")))))))),IF(L573&lt;='Assumptions and Catalog'!$C$60,L573*'Assumptions and Catalog'!$H$60+'Assumptions and Catalog'!$E$60+'Assumptions and Catalog'!$F$60,IF(L573&lt;='Assumptions and Catalog'!$C$61,L573*'Assumptions and Catalog'!$H$61+'Assumptions and Catalog'!$E$61+'Assumptions and Catalog'!$F$61,IF(L573&lt;='Assumptions and Catalog'!$C$62,L573*'Assumptions and Catalog'!$H$62+'Assumptions and Catalog'!$E$62+'Assumptions and Catalog'!$F$62,IF(L573&lt;='Assumptions and Catalog'!$C$63,L573*'Assumptions and Catalog'!$H$63+'Assumptions and Catalog'!$E$63+'Assumptions and Catalog'!$F$63,IF(L573&lt;='Assumptions and Catalog'!$C$64,L573*'Assumptions and Catalog'!$H$64+'Assumptions and Catalog'!$E$64+'Assumptions and Catalog'!$F$64,IF(L573&lt;='Assumptions and Catalog'!$C$65,L573*'Assumptions and Catalog'!$H$65+'Assumptions and Catalog'!$E$65+'Assumptions and Catalog'!$F$65,"Out of range")))))))))*(1+'Assumptions and Catalog'!$C$8)^(A573-1),0)</f>
        <v>7094.794</v>
      </c>
      <c r="O573" s="5" t="n">
        <f>M573-N573</f>
        <v>0</v>
      </c>
      <c r="P573" s="5" t="n">
        <f>D$55*(1-K$14)*(1-'Assumptions and Catalog'!$C$23)^R573</f>
        <v>0</v>
      </c>
      <c r="Q573" s="5" t="n">
        <f>IF(ISNUMBER(Inputs!$L$5),(IF(Inputs!$L$9="Actual flat rate",((D573+E573)*C573-G573)*Inputs!$L$10,IF(Inputs!$C$9="Residential",IF(((D573+E573)*C573-G573)&lt;='Assumptions and Catalog'!$C$50,((D573+E573)*C573-G573)*'Assumptions and Catalog'!$H$50+'Assumptions and Catalog'!$E$50+'Assumptions and Catalog'!$F$50,IF(((D573+E573)*C573-G573)&lt;='Assumptions and Catalog'!$C$51,((D573+E573)*C573-G573)*'Assumptions and Catalog'!$H$51+'Assumptions and Catalog'!$E$51+'Assumptions and Catalog'!$F$51,IF(((D573+E573)*C573-G573)&lt;='Assumptions and Catalog'!$C$52,((D573+E573)*C573-G573)*'Assumptions and Catalog'!$H$52+'Assumptions and Catalog'!$E$52+'Assumptions and Catalog'!$F$52,IF(((D573+E573)*C573-G573)&lt;='Assumptions and Catalog'!$C$53,((D573+E573)*C573-G573)*'Assumptions and Catalog'!$H$53+'Assumptions and Catalog'!$E$53+'Assumptions and Catalog'!$F$53,IF(((D573+E573)*C573-G573)&lt;='Assumptions and Catalog'!$C$54,((D573+E573)*C573-G573)*'Assumptions and Catalog'!$H$54+'Assumptions and Catalog'!$E$54+'Assumptions and Catalog'!$F$54,IF(((D573+E573)*C573-G573)&lt;='Assumptions and Catalog'!$C$55,((D573+E573)*C573-G573)*'Assumptions and Catalog'!$H$55+'Assumptions and Catalog'!$E$55+'Assumptions and Catalog'!$F$55,IF(((D573+E573)*C573-G573)&lt;='Assumptions and Catalog'!$C$56,((D573+E573)*C573-G573)*'Assumptions and Catalog'!$H$56+'Assumptions and Catalog'!$E$56+'Assumptions and Catalog'!$F$56,IF(((D573+E573)*C573-G573)&lt;='Assumptions and Catalog'!$C$57,((D573+E573)*C573-G573)*'Assumptions and Catalog'!$H$57+'Assumptions and Catalog'!$E$57+'Assumptions and Catalog'!$F$57,"Out of range")))))))),IF(((D573+E573)*C573-G573)&lt;='Assumptions and Catalog'!$C$60,((D573+E573)*C573-G573)*'Assumptions and Catalog'!$H$60+'Assumptions and Catalog'!$E$60+'Assumptions and Catalog'!$F$60,IF(((D573+E573)*C573-G573)&lt;='Assumptions and Catalog'!$C$61,((D573+E573)*C573-G573)*'Assumptions and Catalog'!$H$61+'Assumptions and Catalog'!$E$61+'Assumptions and Catalog'!$F$61,IF(((D573+E573)*C573-G573)&lt;='Assumptions and Catalog'!$C$62,((D573+E573)*C573-G573)*'Assumptions and Catalog'!$H$62+'Assumptions and Catalog'!$E$62+'Assumptions and Catalog'!$F$62,IF(((D573+E573)*C573-G573)&lt;='Assumptions and Catalog'!$C$63,((D573+E573)*C573-G573)*'Assumptions and Catalog'!$H$63+'Assumptions and Catalog'!$E$63+'Assumptions and Catalog'!$F$63,IF(((D573+E573)*C573-G573)&lt;='Assumptions and Catalog'!$C$64,((D573+E573)*C573-G573)*'Assumptions and Catalog'!$H$64+'Assumptions and Catalog'!$E$64+'Assumptions and Catalog'!$F$64,IF(((D573+E573)*C573-G573)&lt;='Assumptions and Catalog'!$C$65,((D573+E573)*C573-G573)*'Assumptions and Catalog'!$H$65+'Assumptions and Catalog'!$E$65+'Assumptions and Catalog'!$F$65,"Out of range")))))))))*(1+'Assumptions and Catalog'!$C$8)^(A573-1),0)</f>
        <v>7094.794</v>
      </c>
      <c r="R573" s="5" t="n">
        <f>IF(AND('Assumptions and Catalog'!$C$19&gt;0,A573&gt;='Assumptions and Catalog'!$C$19),A573-'Assumptions and Catalog'!$C$19,A573-1)</f>
        <v>3</v>
      </c>
      <c r="S573" s="5" t="n">
        <f>F573+L573-(D573+E573)*C573-J573-K573-IF(D$52&gt;0,'Assumptions and Catalog'!$C$26*C573,0)</f>
        <v>0</v>
      </c>
      <c r="T573" s="5"/>
      <c r="U573" s="5"/>
    </row>
    <row r="574" ht="23.100000381469727" customHeight="1">
      <c r="A574" s="5" t="n">
        <v>14</v>
      </c>
      <c r="B574" s="5" t="n">
        <v>8</v>
      </c>
      <c r="C574" s="5" t="n">
        <f>DAY(DATE('Assumptions and Catalog'!$C$24+A574-1,B574+1,0))</f>
        <v>31</v>
      </c>
      <c r="D574" s="5" t="n">
        <f>IF(ISNUMBER(Inputs!$L$5),Inputs!$L$5*Inputs!$L$6,0)</f>
        <v>40.35</v>
      </c>
      <c r="E574" s="5" t="n">
        <f>IF(ISNUMBER(Inputs!$L$5),Inputs!$L$5-D574,0)</f>
        <v>40.35</v>
      </c>
      <c r="F574" s="5" t="n">
        <f>D$51*'Assumptions and Catalog'!$C$31*C574*(1-'Assumptions and Catalog'!$C$10)^(A574-1)</f>
        <v>0</v>
      </c>
      <c r="G574" s="5" t="n">
        <f>MIN(F574,D574*C574)</f>
        <v>0</v>
      </c>
      <c r="H574" s="5" t="n">
        <f>I574/('Assumptions and Catalog'!$C$11*'Assumptions and Catalog'!$C$12)</f>
        <v>0</v>
      </c>
      <c r="I574" s="5" t="n">
        <f>IF(K$15="Grid cycle",MIN(K$16,D574+E574,P574*'Assumptions and Catalog'!$C$12,D$57*(24-'Assumptions and Catalog'!$C$15),D$56*'Assumptions and Catalog'!$C$15*'Assumptions and Catalog'!$C$11*'Assumptions and Catalog'!$C$12)*C574,0)</f>
        <v>0</v>
      </c>
      <c r="J574" s="5" t="n">
        <f>MAX(F574-G574-0,0)</f>
        <v>0</v>
      </c>
      <c r="K574" s="5" t="n">
        <f>H574-I574</f>
        <v>0</v>
      </c>
      <c r="L574" s="5" t="n">
        <f>(D574+E574)*C574-G574-I574+H574+IF(D$52&gt;0,'Assumptions and Catalog'!$C$26*C574,0)</f>
        <v>2501.7</v>
      </c>
      <c r="M574" s="5" t="n">
        <f>IF(ISNUMBER(Inputs!$L$5),(IF(Inputs!$L$9="Actual flat rate",((D574+E574)*C574)*Inputs!$L$10,IF(Inputs!$C$9="Residential",IF(((D574+E574)*C574)&lt;='Assumptions and Catalog'!$C$50,((D574+E574)*C574)*'Assumptions and Catalog'!$H$50+'Assumptions and Catalog'!$E$50+'Assumptions and Catalog'!$F$50,IF(((D574+E574)*C574)&lt;='Assumptions and Catalog'!$C$51,((D574+E574)*C574)*'Assumptions and Catalog'!$H$51+'Assumptions and Catalog'!$E$51+'Assumptions and Catalog'!$F$51,IF(((D574+E574)*C574)&lt;='Assumptions and Catalog'!$C$52,((D574+E574)*C574)*'Assumptions and Catalog'!$H$52+'Assumptions and Catalog'!$E$52+'Assumptions and Catalog'!$F$52,IF(((D574+E574)*C574)&lt;='Assumptions and Catalog'!$C$53,((D574+E574)*C574)*'Assumptions and Catalog'!$H$53+'Assumptions and Catalog'!$E$53+'Assumptions and Catalog'!$F$53,IF(((D574+E574)*C574)&lt;='Assumptions and Catalog'!$C$54,((D574+E574)*C574)*'Assumptions and Catalog'!$H$54+'Assumptions and Catalog'!$E$54+'Assumptions and Catalog'!$F$54,IF(((D574+E574)*C574)&lt;='Assumptions and Catalog'!$C$55,((D574+E574)*C574)*'Assumptions and Catalog'!$H$55+'Assumptions and Catalog'!$E$55+'Assumptions and Catalog'!$F$55,IF(((D574+E574)*C574)&lt;='Assumptions and Catalog'!$C$56,((D574+E574)*C574)*'Assumptions and Catalog'!$H$56+'Assumptions and Catalog'!$E$56+'Assumptions and Catalog'!$F$56,IF(((D574+E574)*C574)&lt;='Assumptions and Catalog'!$C$57,((D574+E574)*C574)*'Assumptions and Catalog'!$H$57+'Assumptions and Catalog'!$E$57+'Assumptions and Catalog'!$F$57,"Out of range")))))))),IF(((D574+E574)*C574)&lt;='Assumptions and Catalog'!$C$60,((D574+E574)*C574)*'Assumptions and Catalog'!$H$60+'Assumptions and Catalog'!$E$60+'Assumptions and Catalog'!$F$60,IF(((D574+E574)*C574)&lt;='Assumptions and Catalog'!$C$61,((D574+E574)*C574)*'Assumptions and Catalog'!$H$61+'Assumptions and Catalog'!$E$61+'Assumptions and Catalog'!$F$61,IF(((D574+E574)*C574)&lt;='Assumptions and Catalog'!$C$62,((D574+E574)*C574)*'Assumptions and Catalog'!$H$62+'Assumptions and Catalog'!$E$62+'Assumptions and Catalog'!$F$62,IF(((D574+E574)*C574)&lt;='Assumptions and Catalog'!$C$63,((D574+E574)*C574)*'Assumptions and Catalog'!$H$63+'Assumptions and Catalog'!$E$63+'Assumptions and Catalog'!$F$63,IF(((D574+E574)*C574)&lt;='Assumptions and Catalog'!$C$64,((D574+E574)*C574)*'Assumptions and Catalog'!$H$64+'Assumptions and Catalog'!$E$64+'Assumptions and Catalog'!$F$64,IF(((D574+E574)*C574)&lt;='Assumptions and Catalog'!$C$65,((D574+E574)*C574)*'Assumptions and Catalog'!$H$65+'Assumptions and Catalog'!$E$65+'Assumptions and Catalog'!$F$65,"Out of range")))))))))*(1+'Assumptions and Catalog'!$C$8)^(A574-1),0)</f>
        <v>7094.794</v>
      </c>
      <c r="N574" s="5" t="n">
        <f>IF(ISNUMBER(Inputs!$L$5),(IF(Inputs!$L$9="Actual flat rate",L574*Inputs!$L$10,IF(Inputs!$C$9="Residential",IF(L574&lt;='Assumptions and Catalog'!$C$50,L574*'Assumptions and Catalog'!$H$50+'Assumptions and Catalog'!$E$50+'Assumptions and Catalog'!$F$50,IF(L574&lt;='Assumptions and Catalog'!$C$51,L574*'Assumptions and Catalog'!$H$51+'Assumptions and Catalog'!$E$51+'Assumptions and Catalog'!$F$51,IF(L574&lt;='Assumptions and Catalog'!$C$52,L574*'Assumptions and Catalog'!$H$52+'Assumptions and Catalog'!$E$52+'Assumptions and Catalog'!$F$52,IF(L574&lt;='Assumptions and Catalog'!$C$53,L574*'Assumptions and Catalog'!$H$53+'Assumptions and Catalog'!$E$53+'Assumptions and Catalog'!$F$53,IF(L574&lt;='Assumptions and Catalog'!$C$54,L574*'Assumptions and Catalog'!$H$54+'Assumptions and Catalog'!$E$54+'Assumptions and Catalog'!$F$54,IF(L574&lt;='Assumptions and Catalog'!$C$55,L574*'Assumptions and Catalog'!$H$55+'Assumptions and Catalog'!$E$55+'Assumptions and Catalog'!$F$55,IF(L574&lt;='Assumptions and Catalog'!$C$56,L574*'Assumptions and Catalog'!$H$56+'Assumptions and Catalog'!$E$56+'Assumptions and Catalog'!$F$56,IF(L574&lt;='Assumptions and Catalog'!$C$57,L574*'Assumptions and Catalog'!$H$57+'Assumptions and Catalog'!$E$57+'Assumptions and Catalog'!$F$57,"Out of range")))))))),IF(L574&lt;='Assumptions and Catalog'!$C$60,L574*'Assumptions and Catalog'!$H$60+'Assumptions and Catalog'!$E$60+'Assumptions and Catalog'!$F$60,IF(L574&lt;='Assumptions and Catalog'!$C$61,L574*'Assumptions and Catalog'!$H$61+'Assumptions and Catalog'!$E$61+'Assumptions and Catalog'!$F$61,IF(L574&lt;='Assumptions and Catalog'!$C$62,L574*'Assumptions and Catalog'!$H$62+'Assumptions and Catalog'!$E$62+'Assumptions and Catalog'!$F$62,IF(L574&lt;='Assumptions and Catalog'!$C$63,L574*'Assumptions and Catalog'!$H$63+'Assumptions and Catalog'!$E$63+'Assumptions and Catalog'!$F$63,IF(L574&lt;='Assumptions and Catalog'!$C$64,L574*'Assumptions and Catalog'!$H$64+'Assumptions and Catalog'!$E$64+'Assumptions and Catalog'!$F$64,IF(L574&lt;='Assumptions and Catalog'!$C$65,L574*'Assumptions and Catalog'!$H$65+'Assumptions and Catalog'!$E$65+'Assumptions and Catalog'!$F$65,"Out of range")))))))))*(1+'Assumptions and Catalog'!$C$8)^(A574-1),0)</f>
        <v>7094.794</v>
      </c>
      <c r="O574" s="5" t="n">
        <f>M574-N574</f>
        <v>0</v>
      </c>
      <c r="P574" s="5" t="n">
        <f>D$55*(1-K$14)*(1-'Assumptions and Catalog'!$C$23)^R574</f>
        <v>0</v>
      </c>
      <c r="Q574" s="5" t="n">
        <f>IF(ISNUMBER(Inputs!$L$5),(IF(Inputs!$L$9="Actual flat rate",((D574+E574)*C574-G574)*Inputs!$L$10,IF(Inputs!$C$9="Residential",IF(((D574+E574)*C574-G574)&lt;='Assumptions and Catalog'!$C$50,((D574+E574)*C574-G574)*'Assumptions and Catalog'!$H$50+'Assumptions and Catalog'!$E$50+'Assumptions and Catalog'!$F$50,IF(((D574+E574)*C574-G574)&lt;='Assumptions and Catalog'!$C$51,((D574+E574)*C574-G574)*'Assumptions and Catalog'!$H$51+'Assumptions and Catalog'!$E$51+'Assumptions and Catalog'!$F$51,IF(((D574+E574)*C574-G574)&lt;='Assumptions and Catalog'!$C$52,((D574+E574)*C574-G574)*'Assumptions and Catalog'!$H$52+'Assumptions and Catalog'!$E$52+'Assumptions and Catalog'!$F$52,IF(((D574+E574)*C574-G574)&lt;='Assumptions and Catalog'!$C$53,((D574+E574)*C574-G574)*'Assumptions and Catalog'!$H$53+'Assumptions and Catalog'!$E$53+'Assumptions and Catalog'!$F$53,IF(((D574+E574)*C574-G574)&lt;='Assumptions and Catalog'!$C$54,((D574+E574)*C574-G574)*'Assumptions and Catalog'!$H$54+'Assumptions and Catalog'!$E$54+'Assumptions and Catalog'!$F$54,IF(((D574+E574)*C574-G574)&lt;='Assumptions and Catalog'!$C$55,((D574+E574)*C574-G574)*'Assumptions and Catalog'!$H$55+'Assumptions and Catalog'!$E$55+'Assumptions and Catalog'!$F$55,IF(((D574+E574)*C574-G574)&lt;='Assumptions and Catalog'!$C$56,((D574+E574)*C574-G574)*'Assumptions and Catalog'!$H$56+'Assumptions and Catalog'!$E$56+'Assumptions and Catalog'!$F$56,IF(((D574+E574)*C574-G574)&lt;='Assumptions and Catalog'!$C$57,((D574+E574)*C574-G574)*'Assumptions and Catalog'!$H$57+'Assumptions and Catalog'!$E$57+'Assumptions and Catalog'!$F$57,"Out of range")))))))),IF(((D574+E574)*C574-G574)&lt;='Assumptions and Catalog'!$C$60,((D574+E574)*C574-G574)*'Assumptions and Catalog'!$H$60+'Assumptions and Catalog'!$E$60+'Assumptions and Catalog'!$F$60,IF(((D574+E574)*C574-G574)&lt;='Assumptions and Catalog'!$C$61,((D574+E574)*C574-G574)*'Assumptions and Catalog'!$H$61+'Assumptions and Catalog'!$E$61+'Assumptions and Catalog'!$F$61,IF(((D574+E574)*C574-G574)&lt;='Assumptions and Catalog'!$C$62,((D574+E574)*C574-G574)*'Assumptions and Catalog'!$H$62+'Assumptions and Catalog'!$E$62+'Assumptions and Catalog'!$F$62,IF(((D574+E574)*C574-G574)&lt;='Assumptions and Catalog'!$C$63,((D574+E574)*C574-G574)*'Assumptions and Catalog'!$H$63+'Assumptions and Catalog'!$E$63+'Assumptions and Catalog'!$F$63,IF(((D574+E574)*C574-G574)&lt;='Assumptions and Catalog'!$C$64,((D574+E574)*C574-G574)*'Assumptions and Catalog'!$H$64+'Assumptions and Catalog'!$E$64+'Assumptions and Catalog'!$F$64,IF(((D574+E574)*C574-G574)&lt;='Assumptions and Catalog'!$C$65,((D574+E574)*C574-G574)*'Assumptions and Catalog'!$H$65+'Assumptions and Catalog'!$E$65+'Assumptions and Catalog'!$F$65,"Out of range")))))))))*(1+'Assumptions and Catalog'!$C$8)^(A574-1),0)</f>
        <v>7094.794</v>
      </c>
      <c r="R574" s="5" t="n">
        <f>IF(AND('Assumptions and Catalog'!$C$19&gt;0,A574&gt;='Assumptions and Catalog'!$C$19),A574-'Assumptions and Catalog'!$C$19,A574-1)</f>
        <v>3</v>
      </c>
      <c r="S574" s="5" t="n">
        <f>F574+L574-(D574+E574)*C574-J574-K574-IF(D$52&gt;0,'Assumptions and Catalog'!$C$26*C574,0)</f>
        <v>0</v>
      </c>
      <c r="T574" s="5"/>
      <c r="U574" s="5"/>
    </row>
    <row r="575" ht="23.100000381469727" customHeight="1">
      <c r="A575" s="5" t="n">
        <v>14</v>
      </c>
      <c r="B575" s="5" t="n">
        <v>9</v>
      </c>
      <c r="C575" s="5" t="n">
        <f>DAY(DATE('Assumptions and Catalog'!$C$24+A575-1,B575+1,0))</f>
        <v>30</v>
      </c>
      <c r="D575" s="5" t="n">
        <f>IF(ISNUMBER(Inputs!$L$5),Inputs!$L$5*Inputs!$L$6,0)</f>
        <v>40.35</v>
      </c>
      <c r="E575" s="5" t="n">
        <f>IF(ISNUMBER(Inputs!$L$5),Inputs!$L$5-D575,0)</f>
        <v>40.35</v>
      </c>
      <c r="F575" s="5" t="n">
        <f>D$51*'Assumptions and Catalog'!$C$31*C575*(1-'Assumptions and Catalog'!$C$10)^(A575-1)</f>
        <v>0</v>
      </c>
      <c r="G575" s="5" t="n">
        <f>MIN(F575,D575*C575)</f>
        <v>0</v>
      </c>
      <c r="H575" s="5" t="n">
        <f>I575/('Assumptions and Catalog'!$C$11*'Assumptions and Catalog'!$C$12)</f>
        <v>0</v>
      </c>
      <c r="I575" s="5" t="n">
        <f>IF(K$15="Grid cycle",MIN(K$16,D575+E575,P575*'Assumptions and Catalog'!$C$12,D$57*(24-'Assumptions and Catalog'!$C$15),D$56*'Assumptions and Catalog'!$C$15*'Assumptions and Catalog'!$C$11*'Assumptions and Catalog'!$C$12)*C575,0)</f>
        <v>0</v>
      </c>
      <c r="J575" s="5" t="n">
        <f>MAX(F575-G575-0,0)</f>
        <v>0</v>
      </c>
      <c r="K575" s="5" t="n">
        <f>H575-I575</f>
        <v>0</v>
      </c>
      <c r="L575" s="5" t="n">
        <f>(D575+E575)*C575-G575-I575+H575+IF(D$52&gt;0,'Assumptions and Catalog'!$C$26*C575,0)</f>
        <v>2421</v>
      </c>
      <c r="M575" s="5" t="n">
        <f>IF(ISNUMBER(Inputs!$L$5),(IF(Inputs!$L$9="Actual flat rate",((D575+E575)*C575)*Inputs!$L$10,IF(Inputs!$C$9="Residential",IF(((D575+E575)*C575)&lt;='Assumptions and Catalog'!$C$50,((D575+E575)*C575)*'Assumptions and Catalog'!$H$50+'Assumptions and Catalog'!$E$50+'Assumptions and Catalog'!$F$50,IF(((D575+E575)*C575)&lt;='Assumptions and Catalog'!$C$51,((D575+E575)*C575)*'Assumptions and Catalog'!$H$51+'Assumptions and Catalog'!$E$51+'Assumptions and Catalog'!$F$51,IF(((D575+E575)*C575)&lt;='Assumptions and Catalog'!$C$52,((D575+E575)*C575)*'Assumptions and Catalog'!$H$52+'Assumptions and Catalog'!$E$52+'Assumptions and Catalog'!$F$52,IF(((D575+E575)*C575)&lt;='Assumptions and Catalog'!$C$53,((D575+E575)*C575)*'Assumptions and Catalog'!$H$53+'Assumptions and Catalog'!$E$53+'Assumptions and Catalog'!$F$53,IF(((D575+E575)*C575)&lt;='Assumptions and Catalog'!$C$54,((D575+E575)*C575)*'Assumptions and Catalog'!$H$54+'Assumptions and Catalog'!$E$54+'Assumptions and Catalog'!$F$54,IF(((D575+E575)*C575)&lt;='Assumptions and Catalog'!$C$55,((D575+E575)*C575)*'Assumptions and Catalog'!$H$55+'Assumptions and Catalog'!$E$55+'Assumptions and Catalog'!$F$55,IF(((D575+E575)*C575)&lt;='Assumptions and Catalog'!$C$56,((D575+E575)*C575)*'Assumptions and Catalog'!$H$56+'Assumptions and Catalog'!$E$56+'Assumptions and Catalog'!$F$56,IF(((D575+E575)*C575)&lt;='Assumptions and Catalog'!$C$57,((D575+E575)*C575)*'Assumptions and Catalog'!$H$57+'Assumptions and Catalog'!$E$57+'Assumptions and Catalog'!$F$57,"Out of range")))))))),IF(((D575+E575)*C575)&lt;='Assumptions and Catalog'!$C$60,((D575+E575)*C575)*'Assumptions and Catalog'!$H$60+'Assumptions and Catalog'!$E$60+'Assumptions and Catalog'!$F$60,IF(((D575+E575)*C575)&lt;='Assumptions and Catalog'!$C$61,((D575+E575)*C575)*'Assumptions and Catalog'!$H$61+'Assumptions and Catalog'!$E$61+'Assumptions and Catalog'!$F$61,IF(((D575+E575)*C575)&lt;='Assumptions and Catalog'!$C$62,((D575+E575)*C575)*'Assumptions and Catalog'!$H$62+'Assumptions and Catalog'!$E$62+'Assumptions and Catalog'!$F$62,IF(((D575+E575)*C575)&lt;='Assumptions and Catalog'!$C$63,((D575+E575)*C575)*'Assumptions and Catalog'!$H$63+'Assumptions and Catalog'!$E$63+'Assumptions and Catalog'!$F$63,IF(((D575+E575)*C575)&lt;='Assumptions and Catalog'!$C$64,((D575+E575)*C575)*'Assumptions and Catalog'!$H$64+'Assumptions and Catalog'!$E$64+'Assumptions and Catalog'!$F$64,IF(((D575+E575)*C575)&lt;='Assumptions and Catalog'!$C$65,((D575+E575)*C575)*'Assumptions and Catalog'!$H$65+'Assumptions and Catalog'!$E$65+'Assumptions and Catalog'!$F$65,"Out of range")))))))))*(1+'Assumptions and Catalog'!$C$8)^(A575-1),0)</f>
        <v>6867.22</v>
      </c>
      <c r="N575" s="5" t="n">
        <f>IF(ISNUMBER(Inputs!$L$5),(IF(Inputs!$L$9="Actual flat rate",L575*Inputs!$L$10,IF(Inputs!$C$9="Residential",IF(L575&lt;='Assumptions and Catalog'!$C$50,L575*'Assumptions and Catalog'!$H$50+'Assumptions and Catalog'!$E$50+'Assumptions and Catalog'!$F$50,IF(L575&lt;='Assumptions and Catalog'!$C$51,L575*'Assumptions and Catalog'!$H$51+'Assumptions and Catalog'!$E$51+'Assumptions and Catalog'!$F$51,IF(L575&lt;='Assumptions and Catalog'!$C$52,L575*'Assumptions and Catalog'!$H$52+'Assumptions and Catalog'!$E$52+'Assumptions and Catalog'!$F$52,IF(L575&lt;='Assumptions and Catalog'!$C$53,L575*'Assumptions and Catalog'!$H$53+'Assumptions and Catalog'!$E$53+'Assumptions and Catalog'!$F$53,IF(L575&lt;='Assumptions and Catalog'!$C$54,L575*'Assumptions and Catalog'!$H$54+'Assumptions and Catalog'!$E$54+'Assumptions and Catalog'!$F$54,IF(L575&lt;='Assumptions and Catalog'!$C$55,L575*'Assumptions and Catalog'!$H$55+'Assumptions and Catalog'!$E$55+'Assumptions and Catalog'!$F$55,IF(L575&lt;='Assumptions and Catalog'!$C$56,L575*'Assumptions and Catalog'!$H$56+'Assumptions and Catalog'!$E$56+'Assumptions and Catalog'!$F$56,IF(L575&lt;='Assumptions and Catalog'!$C$57,L575*'Assumptions and Catalog'!$H$57+'Assumptions and Catalog'!$E$57+'Assumptions and Catalog'!$F$57,"Out of range")))))))),IF(L575&lt;='Assumptions and Catalog'!$C$60,L575*'Assumptions and Catalog'!$H$60+'Assumptions and Catalog'!$E$60+'Assumptions and Catalog'!$F$60,IF(L575&lt;='Assumptions and Catalog'!$C$61,L575*'Assumptions and Catalog'!$H$61+'Assumptions and Catalog'!$E$61+'Assumptions and Catalog'!$F$61,IF(L575&lt;='Assumptions and Catalog'!$C$62,L575*'Assumptions and Catalog'!$H$62+'Assumptions and Catalog'!$E$62+'Assumptions and Catalog'!$F$62,IF(L575&lt;='Assumptions and Catalog'!$C$63,L575*'Assumptions and Catalog'!$H$63+'Assumptions and Catalog'!$E$63+'Assumptions and Catalog'!$F$63,IF(L575&lt;='Assumptions and Catalog'!$C$64,L575*'Assumptions and Catalog'!$H$64+'Assumptions and Catalog'!$E$64+'Assumptions and Catalog'!$F$64,IF(L575&lt;='Assumptions and Catalog'!$C$65,L575*'Assumptions and Catalog'!$H$65+'Assumptions and Catalog'!$E$65+'Assumptions and Catalog'!$F$65,"Out of range")))))))))*(1+'Assumptions and Catalog'!$C$8)^(A575-1),0)</f>
        <v>6867.22</v>
      </c>
      <c r="O575" s="5" t="n">
        <f>M575-N575</f>
        <v>0</v>
      </c>
      <c r="P575" s="5" t="n">
        <f>D$55*(1-K$14)*(1-'Assumptions and Catalog'!$C$23)^R575</f>
        <v>0</v>
      </c>
      <c r="Q575" s="5" t="n">
        <f>IF(ISNUMBER(Inputs!$L$5),(IF(Inputs!$L$9="Actual flat rate",((D575+E575)*C575-G575)*Inputs!$L$10,IF(Inputs!$C$9="Residential",IF(((D575+E575)*C575-G575)&lt;='Assumptions and Catalog'!$C$50,((D575+E575)*C575-G575)*'Assumptions and Catalog'!$H$50+'Assumptions and Catalog'!$E$50+'Assumptions and Catalog'!$F$50,IF(((D575+E575)*C575-G575)&lt;='Assumptions and Catalog'!$C$51,((D575+E575)*C575-G575)*'Assumptions and Catalog'!$H$51+'Assumptions and Catalog'!$E$51+'Assumptions and Catalog'!$F$51,IF(((D575+E575)*C575-G575)&lt;='Assumptions and Catalog'!$C$52,((D575+E575)*C575-G575)*'Assumptions and Catalog'!$H$52+'Assumptions and Catalog'!$E$52+'Assumptions and Catalog'!$F$52,IF(((D575+E575)*C575-G575)&lt;='Assumptions and Catalog'!$C$53,((D575+E575)*C575-G575)*'Assumptions and Catalog'!$H$53+'Assumptions and Catalog'!$E$53+'Assumptions and Catalog'!$F$53,IF(((D575+E575)*C575-G575)&lt;='Assumptions and Catalog'!$C$54,((D575+E575)*C575-G575)*'Assumptions and Catalog'!$H$54+'Assumptions and Catalog'!$E$54+'Assumptions and Catalog'!$F$54,IF(((D575+E575)*C575-G575)&lt;='Assumptions and Catalog'!$C$55,((D575+E575)*C575-G575)*'Assumptions and Catalog'!$H$55+'Assumptions and Catalog'!$E$55+'Assumptions and Catalog'!$F$55,IF(((D575+E575)*C575-G575)&lt;='Assumptions and Catalog'!$C$56,((D575+E575)*C575-G575)*'Assumptions and Catalog'!$H$56+'Assumptions and Catalog'!$E$56+'Assumptions and Catalog'!$F$56,IF(((D575+E575)*C575-G575)&lt;='Assumptions and Catalog'!$C$57,((D575+E575)*C575-G575)*'Assumptions and Catalog'!$H$57+'Assumptions and Catalog'!$E$57+'Assumptions and Catalog'!$F$57,"Out of range")))))))),IF(((D575+E575)*C575-G575)&lt;='Assumptions and Catalog'!$C$60,((D575+E575)*C575-G575)*'Assumptions and Catalog'!$H$60+'Assumptions and Catalog'!$E$60+'Assumptions and Catalog'!$F$60,IF(((D575+E575)*C575-G575)&lt;='Assumptions and Catalog'!$C$61,((D575+E575)*C575-G575)*'Assumptions and Catalog'!$H$61+'Assumptions and Catalog'!$E$61+'Assumptions and Catalog'!$F$61,IF(((D575+E575)*C575-G575)&lt;='Assumptions and Catalog'!$C$62,((D575+E575)*C575-G575)*'Assumptions and Catalog'!$H$62+'Assumptions and Catalog'!$E$62+'Assumptions and Catalog'!$F$62,IF(((D575+E575)*C575-G575)&lt;='Assumptions and Catalog'!$C$63,((D575+E575)*C575-G575)*'Assumptions and Catalog'!$H$63+'Assumptions and Catalog'!$E$63+'Assumptions and Catalog'!$F$63,IF(((D575+E575)*C575-G575)&lt;='Assumptions and Catalog'!$C$64,((D575+E575)*C575-G575)*'Assumptions and Catalog'!$H$64+'Assumptions and Catalog'!$E$64+'Assumptions and Catalog'!$F$64,IF(((D575+E575)*C575-G575)&lt;='Assumptions and Catalog'!$C$65,((D575+E575)*C575-G575)*'Assumptions and Catalog'!$H$65+'Assumptions and Catalog'!$E$65+'Assumptions and Catalog'!$F$65,"Out of range")))))))))*(1+'Assumptions and Catalog'!$C$8)^(A575-1),0)</f>
        <v>6867.22</v>
      </c>
      <c r="R575" s="5" t="n">
        <f>IF(AND('Assumptions and Catalog'!$C$19&gt;0,A575&gt;='Assumptions and Catalog'!$C$19),A575-'Assumptions and Catalog'!$C$19,A575-1)</f>
        <v>3</v>
      </c>
      <c r="S575" s="5" t="n">
        <f>F575+L575-(D575+E575)*C575-J575-K575-IF(D$52&gt;0,'Assumptions and Catalog'!$C$26*C575,0)</f>
        <v>0</v>
      </c>
      <c r="T575" s="5"/>
      <c r="U575" s="5"/>
    </row>
    <row r="576" ht="23.100000381469727" customHeight="1">
      <c r="A576" s="5" t="n">
        <v>14</v>
      </c>
      <c r="B576" s="5" t="n">
        <v>10</v>
      </c>
      <c r="C576" s="5" t="n">
        <f>DAY(DATE('Assumptions and Catalog'!$C$24+A576-1,B576+1,0))</f>
        <v>31</v>
      </c>
      <c r="D576" s="5" t="n">
        <f>IF(ISNUMBER(Inputs!$L$5),Inputs!$L$5*Inputs!$L$6,0)</f>
        <v>40.35</v>
      </c>
      <c r="E576" s="5" t="n">
        <f>IF(ISNUMBER(Inputs!$L$5),Inputs!$L$5-D576,0)</f>
        <v>40.35</v>
      </c>
      <c r="F576" s="5" t="n">
        <f>D$51*'Assumptions and Catalog'!$C$31*C576*(1-'Assumptions and Catalog'!$C$10)^(A576-1)</f>
        <v>0</v>
      </c>
      <c r="G576" s="5" t="n">
        <f>MIN(F576,D576*C576)</f>
        <v>0</v>
      </c>
      <c r="H576" s="5" t="n">
        <f>I576/('Assumptions and Catalog'!$C$11*'Assumptions and Catalog'!$C$12)</f>
        <v>0</v>
      </c>
      <c r="I576" s="5" t="n">
        <f>IF(K$15="Grid cycle",MIN(K$16,D576+E576,P576*'Assumptions and Catalog'!$C$12,D$57*(24-'Assumptions and Catalog'!$C$15),D$56*'Assumptions and Catalog'!$C$15*'Assumptions and Catalog'!$C$11*'Assumptions and Catalog'!$C$12)*C576,0)</f>
        <v>0</v>
      </c>
      <c r="J576" s="5" t="n">
        <f>MAX(F576-G576-0,0)</f>
        <v>0</v>
      </c>
      <c r="K576" s="5" t="n">
        <f>H576-I576</f>
        <v>0</v>
      </c>
      <c r="L576" s="5" t="n">
        <f>(D576+E576)*C576-G576-I576+H576+IF(D$52&gt;0,'Assumptions and Catalog'!$C$26*C576,0)</f>
        <v>2501.7</v>
      </c>
      <c r="M576" s="5" t="n">
        <f>IF(ISNUMBER(Inputs!$L$5),(IF(Inputs!$L$9="Actual flat rate",((D576+E576)*C576)*Inputs!$L$10,IF(Inputs!$C$9="Residential",IF(((D576+E576)*C576)&lt;='Assumptions and Catalog'!$C$50,((D576+E576)*C576)*'Assumptions and Catalog'!$H$50+'Assumptions and Catalog'!$E$50+'Assumptions and Catalog'!$F$50,IF(((D576+E576)*C576)&lt;='Assumptions and Catalog'!$C$51,((D576+E576)*C576)*'Assumptions and Catalog'!$H$51+'Assumptions and Catalog'!$E$51+'Assumptions and Catalog'!$F$51,IF(((D576+E576)*C576)&lt;='Assumptions and Catalog'!$C$52,((D576+E576)*C576)*'Assumptions and Catalog'!$H$52+'Assumptions and Catalog'!$E$52+'Assumptions and Catalog'!$F$52,IF(((D576+E576)*C576)&lt;='Assumptions and Catalog'!$C$53,((D576+E576)*C576)*'Assumptions and Catalog'!$H$53+'Assumptions and Catalog'!$E$53+'Assumptions and Catalog'!$F$53,IF(((D576+E576)*C576)&lt;='Assumptions and Catalog'!$C$54,((D576+E576)*C576)*'Assumptions and Catalog'!$H$54+'Assumptions and Catalog'!$E$54+'Assumptions and Catalog'!$F$54,IF(((D576+E576)*C576)&lt;='Assumptions and Catalog'!$C$55,((D576+E576)*C576)*'Assumptions and Catalog'!$H$55+'Assumptions and Catalog'!$E$55+'Assumptions and Catalog'!$F$55,IF(((D576+E576)*C576)&lt;='Assumptions and Catalog'!$C$56,((D576+E576)*C576)*'Assumptions and Catalog'!$H$56+'Assumptions and Catalog'!$E$56+'Assumptions and Catalog'!$F$56,IF(((D576+E576)*C576)&lt;='Assumptions and Catalog'!$C$57,((D576+E576)*C576)*'Assumptions and Catalog'!$H$57+'Assumptions and Catalog'!$E$57+'Assumptions and Catalog'!$F$57,"Out of range")))))))),IF(((D576+E576)*C576)&lt;='Assumptions and Catalog'!$C$60,((D576+E576)*C576)*'Assumptions and Catalog'!$H$60+'Assumptions and Catalog'!$E$60+'Assumptions and Catalog'!$F$60,IF(((D576+E576)*C576)&lt;='Assumptions and Catalog'!$C$61,((D576+E576)*C576)*'Assumptions and Catalog'!$H$61+'Assumptions and Catalog'!$E$61+'Assumptions and Catalog'!$F$61,IF(((D576+E576)*C576)&lt;='Assumptions and Catalog'!$C$62,((D576+E576)*C576)*'Assumptions and Catalog'!$H$62+'Assumptions and Catalog'!$E$62+'Assumptions and Catalog'!$F$62,IF(((D576+E576)*C576)&lt;='Assumptions and Catalog'!$C$63,((D576+E576)*C576)*'Assumptions and Catalog'!$H$63+'Assumptions and Catalog'!$E$63+'Assumptions and Catalog'!$F$63,IF(((D576+E576)*C576)&lt;='Assumptions and Catalog'!$C$64,((D576+E576)*C576)*'Assumptions and Catalog'!$H$64+'Assumptions and Catalog'!$E$64+'Assumptions and Catalog'!$F$64,IF(((D576+E576)*C576)&lt;='Assumptions and Catalog'!$C$65,((D576+E576)*C576)*'Assumptions and Catalog'!$H$65+'Assumptions and Catalog'!$E$65+'Assumptions and Catalog'!$F$65,"Out of range")))))))))*(1+'Assumptions and Catalog'!$C$8)^(A576-1),0)</f>
        <v>7094.794</v>
      </c>
      <c r="N576" s="5" t="n">
        <f>IF(ISNUMBER(Inputs!$L$5),(IF(Inputs!$L$9="Actual flat rate",L576*Inputs!$L$10,IF(Inputs!$C$9="Residential",IF(L576&lt;='Assumptions and Catalog'!$C$50,L576*'Assumptions and Catalog'!$H$50+'Assumptions and Catalog'!$E$50+'Assumptions and Catalog'!$F$50,IF(L576&lt;='Assumptions and Catalog'!$C$51,L576*'Assumptions and Catalog'!$H$51+'Assumptions and Catalog'!$E$51+'Assumptions and Catalog'!$F$51,IF(L576&lt;='Assumptions and Catalog'!$C$52,L576*'Assumptions and Catalog'!$H$52+'Assumptions and Catalog'!$E$52+'Assumptions and Catalog'!$F$52,IF(L576&lt;='Assumptions and Catalog'!$C$53,L576*'Assumptions and Catalog'!$H$53+'Assumptions and Catalog'!$E$53+'Assumptions and Catalog'!$F$53,IF(L576&lt;='Assumptions and Catalog'!$C$54,L576*'Assumptions and Catalog'!$H$54+'Assumptions and Catalog'!$E$54+'Assumptions and Catalog'!$F$54,IF(L576&lt;='Assumptions and Catalog'!$C$55,L576*'Assumptions and Catalog'!$H$55+'Assumptions and Catalog'!$E$55+'Assumptions and Catalog'!$F$55,IF(L576&lt;='Assumptions and Catalog'!$C$56,L576*'Assumptions and Catalog'!$H$56+'Assumptions and Catalog'!$E$56+'Assumptions and Catalog'!$F$56,IF(L576&lt;='Assumptions and Catalog'!$C$57,L576*'Assumptions and Catalog'!$H$57+'Assumptions and Catalog'!$E$57+'Assumptions and Catalog'!$F$57,"Out of range")))))))),IF(L576&lt;='Assumptions and Catalog'!$C$60,L576*'Assumptions and Catalog'!$H$60+'Assumptions and Catalog'!$E$60+'Assumptions and Catalog'!$F$60,IF(L576&lt;='Assumptions and Catalog'!$C$61,L576*'Assumptions and Catalog'!$H$61+'Assumptions and Catalog'!$E$61+'Assumptions and Catalog'!$F$61,IF(L576&lt;='Assumptions and Catalog'!$C$62,L576*'Assumptions and Catalog'!$H$62+'Assumptions and Catalog'!$E$62+'Assumptions and Catalog'!$F$62,IF(L576&lt;='Assumptions and Catalog'!$C$63,L576*'Assumptions and Catalog'!$H$63+'Assumptions and Catalog'!$E$63+'Assumptions and Catalog'!$F$63,IF(L576&lt;='Assumptions and Catalog'!$C$64,L576*'Assumptions and Catalog'!$H$64+'Assumptions and Catalog'!$E$64+'Assumptions and Catalog'!$F$64,IF(L576&lt;='Assumptions and Catalog'!$C$65,L576*'Assumptions and Catalog'!$H$65+'Assumptions and Catalog'!$E$65+'Assumptions and Catalog'!$F$65,"Out of range")))))))))*(1+'Assumptions and Catalog'!$C$8)^(A576-1),0)</f>
        <v>7094.794</v>
      </c>
      <c r="O576" s="5" t="n">
        <f>M576-N576</f>
        <v>0</v>
      </c>
      <c r="P576" s="5" t="n">
        <f>D$55*(1-K$14)*(1-'Assumptions and Catalog'!$C$23)^R576</f>
        <v>0</v>
      </c>
      <c r="Q576" s="5" t="n">
        <f>IF(ISNUMBER(Inputs!$L$5),(IF(Inputs!$L$9="Actual flat rate",((D576+E576)*C576-G576)*Inputs!$L$10,IF(Inputs!$C$9="Residential",IF(((D576+E576)*C576-G576)&lt;='Assumptions and Catalog'!$C$50,((D576+E576)*C576-G576)*'Assumptions and Catalog'!$H$50+'Assumptions and Catalog'!$E$50+'Assumptions and Catalog'!$F$50,IF(((D576+E576)*C576-G576)&lt;='Assumptions and Catalog'!$C$51,((D576+E576)*C576-G576)*'Assumptions and Catalog'!$H$51+'Assumptions and Catalog'!$E$51+'Assumptions and Catalog'!$F$51,IF(((D576+E576)*C576-G576)&lt;='Assumptions and Catalog'!$C$52,((D576+E576)*C576-G576)*'Assumptions and Catalog'!$H$52+'Assumptions and Catalog'!$E$52+'Assumptions and Catalog'!$F$52,IF(((D576+E576)*C576-G576)&lt;='Assumptions and Catalog'!$C$53,((D576+E576)*C576-G576)*'Assumptions and Catalog'!$H$53+'Assumptions and Catalog'!$E$53+'Assumptions and Catalog'!$F$53,IF(((D576+E576)*C576-G576)&lt;='Assumptions and Catalog'!$C$54,((D576+E576)*C576-G576)*'Assumptions and Catalog'!$H$54+'Assumptions and Catalog'!$E$54+'Assumptions and Catalog'!$F$54,IF(((D576+E576)*C576-G576)&lt;='Assumptions and Catalog'!$C$55,((D576+E576)*C576-G576)*'Assumptions and Catalog'!$H$55+'Assumptions and Catalog'!$E$55+'Assumptions and Catalog'!$F$55,IF(((D576+E576)*C576-G576)&lt;='Assumptions and Catalog'!$C$56,((D576+E576)*C576-G576)*'Assumptions and Catalog'!$H$56+'Assumptions and Catalog'!$E$56+'Assumptions and Catalog'!$F$56,IF(((D576+E576)*C576-G576)&lt;='Assumptions and Catalog'!$C$57,((D576+E576)*C576-G576)*'Assumptions and Catalog'!$H$57+'Assumptions and Catalog'!$E$57+'Assumptions and Catalog'!$F$57,"Out of range")))))))),IF(((D576+E576)*C576-G576)&lt;='Assumptions and Catalog'!$C$60,((D576+E576)*C576-G576)*'Assumptions and Catalog'!$H$60+'Assumptions and Catalog'!$E$60+'Assumptions and Catalog'!$F$60,IF(((D576+E576)*C576-G576)&lt;='Assumptions and Catalog'!$C$61,((D576+E576)*C576-G576)*'Assumptions and Catalog'!$H$61+'Assumptions and Catalog'!$E$61+'Assumptions and Catalog'!$F$61,IF(((D576+E576)*C576-G576)&lt;='Assumptions and Catalog'!$C$62,((D576+E576)*C576-G576)*'Assumptions and Catalog'!$H$62+'Assumptions and Catalog'!$E$62+'Assumptions and Catalog'!$F$62,IF(((D576+E576)*C576-G576)&lt;='Assumptions and Catalog'!$C$63,((D576+E576)*C576-G576)*'Assumptions and Catalog'!$H$63+'Assumptions and Catalog'!$E$63+'Assumptions and Catalog'!$F$63,IF(((D576+E576)*C576-G576)&lt;='Assumptions and Catalog'!$C$64,((D576+E576)*C576-G576)*'Assumptions and Catalog'!$H$64+'Assumptions and Catalog'!$E$64+'Assumptions and Catalog'!$F$64,IF(((D576+E576)*C576-G576)&lt;='Assumptions and Catalog'!$C$65,((D576+E576)*C576-G576)*'Assumptions and Catalog'!$H$65+'Assumptions and Catalog'!$E$65+'Assumptions and Catalog'!$F$65,"Out of range")))))))))*(1+'Assumptions and Catalog'!$C$8)^(A576-1),0)</f>
        <v>7094.794</v>
      </c>
      <c r="R576" s="5" t="n">
        <f>IF(AND('Assumptions and Catalog'!$C$19&gt;0,A576&gt;='Assumptions and Catalog'!$C$19),A576-'Assumptions and Catalog'!$C$19,A576-1)</f>
        <v>3</v>
      </c>
      <c r="S576" s="5" t="n">
        <f>F576+L576-(D576+E576)*C576-J576-K576-IF(D$52&gt;0,'Assumptions and Catalog'!$C$26*C576,0)</f>
        <v>0</v>
      </c>
      <c r="T576" s="5"/>
      <c r="U576" s="5"/>
    </row>
    <row r="577" ht="23.100000381469727" customHeight="1">
      <c r="A577" s="5" t="n">
        <v>14</v>
      </c>
      <c r="B577" s="5" t="n">
        <v>11</v>
      </c>
      <c r="C577" s="5" t="n">
        <f>DAY(DATE('Assumptions and Catalog'!$C$24+A577-1,B577+1,0))</f>
        <v>30</v>
      </c>
      <c r="D577" s="5" t="n">
        <f>IF(ISNUMBER(Inputs!$L$5),Inputs!$L$5*Inputs!$L$6,0)</f>
        <v>40.35</v>
      </c>
      <c r="E577" s="5" t="n">
        <f>IF(ISNUMBER(Inputs!$L$5),Inputs!$L$5-D577,0)</f>
        <v>40.35</v>
      </c>
      <c r="F577" s="5" t="n">
        <f>D$51*'Assumptions and Catalog'!$C$31*C577*(1-'Assumptions and Catalog'!$C$10)^(A577-1)</f>
        <v>0</v>
      </c>
      <c r="G577" s="5" t="n">
        <f>MIN(F577,D577*C577)</f>
        <v>0</v>
      </c>
      <c r="H577" s="5" t="n">
        <f>I577/('Assumptions and Catalog'!$C$11*'Assumptions and Catalog'!$C$12)</f>
        <v>0</v>
      </c>
      <c r="I577" s="5" t="n">
        <f>IF(K$15="Grid cycle",MIN(K$16,D577+E577,P577*'Assumptions and Catalog'!$C$12,D$57*(24-'Assumptions and Catalog'!$C$15),D$56*'Assumptions and Catalog'!$C$15*'Assumptions and Catalog'!$C$11*'Assumptions and Catalog'!$C$12)*C577,0)</f>
        <v>0</v>
      </c>
      <c r="J577" s="5" t="n">
        <f>MAX(F577-G577-0,0)</f>
        <v>0</v>
      </c>
      <c r="K577" s="5" t="n">
        <f>H577-I577</f>
        <v>0</v>
      </c>
      <c r="L577" s="5" t="n">
        <f>(D577+E577)*C577-G577-I577+H577+IF(D$52&gt;0,'Assumptions and Catalog'!$C$26*C577,0)</f>
        <v>2421</v>
      </c>
      <c r="M577" s="5" t="n">
        <f>IF(ISNUMBER(Inputs!$L$5),(IF(Inputs!$L$9="Actual flat rate",((D577+E577)*C577)*Inputs!$L$10,IF(Inputs!$C$9="Residential",IF(((D577+E577)*C577)&lt;='Assumptions and Catalog'!$C$50,((D577+E577)*C577)*'Assumptions and Catalog'!$H$50+'Assumptions and Catalog'!$E$50+'Assumptions and Catalog'!$F$50,IF(((D577+E577)*C577)&lt;='Assumptions and Catalog'!$C$51,((D577+E577)*C577)*'Assumptions and Catalog'!$H$51+'Assumptions and Catalog'!$E$51+'Assumptions and Catalog'!$F$51,IF(((D577+E577)*C577)&lt;='Assumptions and Catalog'!$C$52,((D577+E577)*C577)*'Assumptions and Catalog'!$H$52+'Assumptions and Catalog'!$E$52+'Assumptions and Catalog'!$F$52,IF(((D577+E577)*C577)&lt;='Assumptions and Catalog'!$C$53,((D577+E577)*C577)*'Assumptions and Catalog'!$H$53+'Assumptions and Catalog'!$E$53+'Assumptions and Catalog'!$F$53,IF(((D577+E577)*C577)&lt;='Assumptions and Catalog'!$C$54,((D577+E577)*C577)*'Assumptions and Catalog'!$H$54+'Assumptions and Catalog'!$E$54+'Assumptions and Catalog'!$F$54,IF(((D577+E577)*C577)&lt;='Assumptions and Catalog'!$C$55,((D577+E577)*C577)*'Assumptions and Catalog'!$H$55+'Assumptions and Catalog'!$E$55+'Assumptions and Catalog'!$F$55,IF(((D577+E577)*C577)&lt;='Assumptions and Catalog'!$C$56,((D577+E577)*C577)*'Assumptions and Catalog'!$H$56+'Assumptions and Catalog'!$E$56+'Assumptions and Catalog'!$F$56,IF(((D577+E577)*C577)&lt;='Assumptions and Catalog'!$C$57,((D577+E577)*C577)*'Assumptions and Catalog'!$H$57+'Assumptions and Catalog'!$E$57+'Assumptions and Catalog'!$F$57,"Out of range")))))))),IF(((D577+E577)*C577)&lt;='Assumptions and Catalog'!$C$60,((D577+E577)*C577)*'Assumptions and Catalog'!$H$60+'Assumptions and Catalog'!$E$60+'Assumptions and Catalog'!$F$60,IF(((D577+E577)*C577)&lt;='Assumptions and Catalog'!$C$61,((D577+E577)*C577)*'Assumptions and Catalog'!$H$61+'Assumptions and Catalog'!$E$61+'Assumptions and Catalog'!$F$61,IF(((D577+E577)*C577)&lt;='Assumptions and Catalog'!$C$62,((D577+E577)*C577)*'Assumptions and Catalog'!$H$62+'Assumptions and Catalog'!$E$62+'Assumptions and Catalog'!$F$62,IF(((D577+E577)*C577)&lt;='Assumptions and Catalog'!$C$63,((D577+E577)*C577)*'Assumptions and Catalog'!$H$63+'Assumptions and Catalog'!$E$63+'Assumptions and Catalog'!$F$63,IF(((D577+E577)*C577)&lt;='Assumptions and Catalog'!$C$64,((D577+E577)*C577)*'Assumptions and Catalog'!$H$64+'Assumptions and Catalog'!$E$64+'Assumptions and Catalog'!$F$64,IF(((D577+E577)*C577)&lt;='Assumptions and Catalog'!$C$65,((D577+E577)*C577)*'Assumptions and Catalog'!$H$65+'Assumptions and Catalog'!$E$65+'Assumptions and Catalog'!$F$65,"Out of range")))))))))*(1+'Assumptions and Catalog'!$C$8)^(A577-1),0)</f>
        <v>6867.22</v>
      </c>
      <c r="N577" s="5" t="n">
        <f>IF(ISNUMBER(Inputs!$L$5),(IF(Inputs!$L$9="Actual flat rate",L577*Inputs!$L$10,IF(Inputs!$C$9="Residential",IF(L577&lt;='Assumptions and Catalog'!$C$50,L577*'Assumptions and Catalog'!$H$50+'Assumptions and Catalog'!$E$50+'Assumptions and Catalog'!$F$50,IF(L577&lt;='Assumptions and Catalog'!$C$51,L577*'Assumptions and Catalog'!$H$51+'Assumptions and Catalog'!$E$51+'Assumptions and Catalog'!$F$51,IF(L577&lt;='Assumptions and Catalog'!$C$52,L577*'Assumptions and Catalog'!$H$52+'Assumptions and Catalog'!$E$52+'Assumptions and Catalog'!$F$52,IF(L577&lt;='Assumptions and Catalog'!$C$53,L577*'Assumptions and Catalog'!$H$53+'Assumptions and Catalog'!$E$53+'Assumptions and Catalog'!$F$53,IF(L577&lt;='Assumptions and Catalog'!$C$54,L577*'Assumptions and Catalog'!$H$54+'Assumptions and Catalog'!$E$54+'Assumptions and Catalog'!$F$54,IF(L577&lt;='Assumptions and Catalog'!$C$55,L577*'Assumptions and Catalog'!$H$55+'Assumptions and Catalog'!$E$55+'Assumptions and Catalog'!$F$55,IF(L577&lt;='Assumptions and Catalog'!$C$56,L577*'Assumptions and Catalog'!$H$56+'Assumptions and Catalog'!$E$56+'Assumptions and Catalog'!$F$56,IF(L577&lt;='Assumptions and Catalog'!$C$57,L577*'Assumptions and Catalog'!$H$57+'Assumptions and Catalog'!$E$57+'Assumptions and Catalog'!$F$57,"Out of range")))))))),IF(L577&lt;='Assumptions and Catalog'!$C$60,L577*'Assumptions and Catalog'!$H$60+'Assumptions and Catalog'!$E$60+'Assumptions and Catalog'!$F$60,IF(L577&lt;='Assumptions and Catalog'!$C$61,L577*'Assumptions and Catalog'!$H$61+'Assumptions and Catalog'!$E$61+'Assumptions and Catalog'!$F$61,IF(L577&lt;='Assumptions and Catalog'!$C$62,L577*'Assumptions and Catalog'!$H$62+'Assumptions and Catalog'!$E$62+'Assumptions and Catalog'!$F$62,IF(L577&lt;='Assumptions and Catalog'!$C$63,L577*'Assumptions and Catalog'!$H$63+'Assumptions and Catalog'!$E$63+'Assumptions and Catalog'!$F$63,IF(L577&lt;='Assumptions and Catalog'!$C$64,L577*'Assumptions and Catalog'!$H$64+'Assumptions and Catalog'!$E$64+'Assumptions and Catalog'!$F$64,IF(L577&lt;='Assumptions and Catalog'!$C$65,L577*'Assumptions and Catalog'!$H$65+'Assumptions and Catalog'!$E$65+'Assumptions and Catalog'!$F$65,"Out of range")))))))))*(1+'Assumptions and Catalog'!$C$8)^(A577-1),0)</f>
        <v>6867.22</v>
      </c>
      <c r="O577" s="5" t="n">
        <f>M577-N577</f>
        <v>0</v>
      </c>
      <c r="P577" s="5" t="n">
        <f>D$55*(1-K$14)*(1-'Assumptions and Catalog'!$C$23)^R577</f>
        <v>0</v>
      </c>
      <c r="Q577" s="5" t="n">
        <f>IF(ISNUMBER(Inputs!$L$5),(IF(Inputs!$L$9="Actual flat rate",((D577+E577)*C577-G577)*Inputs!$L$10,IF(Inputs!$C$9="Residential",IF(((D577+E577)*C577-G577)&lt;='Assumptions and Catalog'!$C$50,((D577+E577)*C577-G577)*'Assumptions and Catalog'!$H$50+'Assumptions and Catalog'!$E$50+'Assumptions and Catalog'!$F$50,IF(((D577+E577)*C577-G577)&lt;='Assumptions and Catalog'!$C$51,((D577+E577)*C577-G577)*'Assumptions and Catalog'!$H$51+'Assumptions and Catalog'!$E$51+'Assumptions and Catalog'!$F$51,IF(((D577+E577)*C577-G577)&lt;='Assumptions and Catalog'!$C$52,((D577+E577)*C577-G577)*'Assumptions and Catalog'!$H$52+'Assumptions and Catalog'!$E$52+'Assumptions and Catalog'!$F$52,IF(((D577+E577)*C577-G577)&lt;='Assumptions and Catalog'!$C$53,((D577+E577)*C577-G577)*'Assumptions and Catalog'!$H$53+'Assumptions and Catalog'!$E$53+'Assumptions and Catalog'!$F$53,IF(((D577+E577)*C577-G577)&lt;='Assumptions and Catalog'!$C$54,((D577+E577)*C577-G577)*'Assumptions and Catalog'!$H$54+'Assumptions and Catalog'!$E$54+'Assumptions and Catalog'!$F$54,IF(((D577+E577)*C577-G577)&lt;='Assumptions and Catalog'!$C$55,((D577+E577)*C577-G577)*'Assumptions and Catalog'!$H$55+'Assumptions and Catalog'!$E$55+'Assumptions and Catalog'!$F$55,IF(((D577+E577)*C577-G577)&lt;='Assumptions and Catalog'!$C$56,((D577+E577)*C577-G577)*'Assumptions and Catalog'!$H$56+'Assumptions and Catalog'!$E$56+'Assumptions and Catalog'!$F$56,IF(((D577+E577)*C577-G577)&lt;='Assumptions and Catalog'!$C$57,((D577+E577)*C577-G577)*'Assumptions and Catalog'!$H$57+'Assumptions and Catalog'!$E$57+'Assumptions and Catalog'!$F$57,"Out of range")))))))),IF(((D577+E577)*C577-G577)&lt;='Assumptions and Catalog'!$C$60,((D577+E577)*C577-G577)*'Assumptions and Catalog'!$H$60+'Assumptions and Catalog'!$E$60+'Assumptions and Catalog'!$F$60,IF(((D577+E577)*C577-G577)&lt;='Assumptions and Catalog'!$C$61,((D577+E577)*C577-G577)*'Assumptions and Catalog'!$H$61+'Assumptions and Catalog'!$E$61+'Assumptions and Catalog'!$F$61,IF(((D577+E577)*C577-G577)&lt;='Assumptions and Catalog'!$C$62,((D577+E577)*C577-G577)*'Assumptions and Catalog'!$H$62+'Assumptions and Catalog'!$E$62+'Assumptions and Catalog'!$F$62,IF(((D577+E577)*C577-G577)&lt;='Assumptions and Catalog'!$C$63,((D577+E577)*C577-G577)*'Assumptions and Catalog'!$H$63+'Assumptions and Catalog'!$E$63+'Assumptions and Catalog'!$F$63,IF(((D577+E577)*C577-G577)&lt;='Assumptions and Catalog'!$C$64,((D577+E577)*C577-G577)*'Assumptions and Catalog'!$H$64+'Assumptions and Catalog'!$E$64+'Assumptions and Catalog'!$F$64,IF(((D577+E577)*C577-G577)&lt;='Assumptions and Catalog'!$C$65,((D577+E577)*C577-G577)*'Assumptions and Catalog'!$H$65+'Assumptions and Catalog'!$E$65+'Assumptions and Catalog'!$F$65,"Out of range")))))))))*(1+'Assumptions and Catalog'!$C$8)^(A577-1),0)</f>
        <v>6867.22</v>
      </c>
      <c r="R577" s="5" t="n">
        <f>IF(AND('Assumptions and Catalog'!$C$19&gt;0,A577&gt;='Assumptions and Catalog'!$C$19),A577-'Assumptions and Catalog'!$C$19,A577-1)</f>
        <v>3</v>
      </c>
      <c r="S577" s="5" t="n">
        <f>F577+L577-(D577+E577)*C577-J577-K577-IF(D$52&gt;0,'Assumptions and Catalog'!$C$26*C577,0)</f>
        <v>0</v>
      </c>
      <c r="T577" s="5"/>
      <c r="U577" s="5"/>
    </row>
    <row r="578" ht="23.100000381469727" customHeight="1">
      <c r="A578" s="5" t="n">
        <v>14</v>
      </c>
      <c r="B578" s="5" t="n">
        <v>12</v>
      </c>
      <c r="C578" s="5" t="n">
        <f>DAY(DATE('Assumptions and Catalog'!$C$24+A578-1,B578+1,0))</f>
        <v>31</v>
      </c>
      <c r="D578" s="5" t="n">
        <f>IF(ISNUMBER(Inputs!$L$5),Inputs!$L$5*Inputs!$L$6,0)</f>
        <v>40.35</v>
      </c>
      <c r="E578" s="5" t="n">
        <f>IF(ISNUMBER(Inputs!$L$5),Inputs!$L$5-D578,0)</f>
        <v>40.35</v>
      </c>
      <c r="F578" s="5" t="n">
        <f>D$51*'Assumptions and Catalog'!$C$31*C578*(1-'Assumptions and Catalog'!$C$10)^(A578-1)</f>
        <v>0</v>
      </c>
      <c r="G578" s="5" t="n">
        <f>MIN(F578,D578*C578)</f>
        <v>0</v>
      </c>
      <c r="H578" s="5" t="n">
        <f>I578/('Assumptions and Catalog'!$C$11*'Assumptions and Catalog'!$C$12)</f>
        <v>0</v>
      </c>
      <c r="I578" s="5" t="n">
        <f>IF(K$15="Grid cycle",MIN(K$16,D578+E578,P578*'Assumptions and Catalog'!$C$12,D$57*(24-'Assumptions and Catalog'!$C$15),D$56*'Assumptions and Catalog'!$C$15*'Assumptions and Catalog'!$C$11*'Assumptions and Catalog'!$C$12)*C578,0)</f>
        <v>0</v>
      </c>
      <c r="J578" s="5" t="n">
        <f>MAX(F578-G578-0,0)</f>
        <v>0</v>
      </c>
      <c r="K578" s="5" t="n">
        <f>H578-I578</f>
        <v>0</v>
      </c>
      <c r="L578" s="5" t="n">
        <f>(D578+E578)*C578-G578-I578+H578+IF(D$52&gt;0,'Assumptions and Catalog'!$C$26*C578,0)</f>
        <v>2501.7</v>
      </c>
      <c r="M578" s="5" t="n">
        <f>IF(ISNUMBER(Inputs!$L$5),(IF(Inputs!$L$9="Actual flat rate",((D578+E578)*C578)*Inputs!$L$10,IF(Inputs!$C$9="Residential",IF(((D578+E578)*C578)&lt;='Assumptions and Catalog'!$C$50,((D578+E578)*C578)*'Assumptions and Catalog'!$H$50+'Assumptions and Catalog'!$E$50+'Assumptions and Catalog'!$F$50,IF(((D578+E578)*C578)&lt;='Assumptions and Catalog'!$C$51,((D578+E578)*C578)*'Assumptions and Catalog'!$H$51+'Assumptions and Catalog'!$E$51+'Assumptions and Catalog'!$F$51,IF(((D578+E578)*C578)&lt;='Assumptions and Catalog'!$C$52,((D578+E578)*C578)*'Assumptions and Catalog'!$H$52+'Assumptions and Catalog'!$E$52+'Assumptions and Catalog'!$F$52,IF(((D578+E578)*C578)&lt;='Assumptions and Catalog'!$C$53,((D578+E578)*C578)*'Assumptions and Catalog'!$H$53+'Assumptions and Catalog'!$E$53+'Assumptions and Catalog'!$F$53,IF(((D578+E578)*C578)&lt;='Assumptions and Catalog'!$C$54,((D578+E578)*C578)*'Assumptions and Catalog'!$H$54+'Assumptions and Catalog'!$E$54+'Assumptions and Catalog'!$F$54,IF(((D578+E578)*C578)&lt;='Assumptions and Catalog'!$C$55,((D578+E578)*C578)*'Assumptions and Catalog'!$H$55+'Assumptions and Catalog'!$E$55+'Assumptions and Catalog'!$F$55,IF(((D578+E578)*C578)&lt;='Assumptions and Catalog'!$C$56,((D578+E578)*C578)*'Assumptions and Catalog'!$H$56+'Assumptions and Catalog'!$E$56+'Assumptions and Catalog'!$F$56,IF(((D578+E578)*C578)&lt;='Assumptions and Catalog'!$C$57,((D578+E578)*C578)*'Assumptions and Catalog'!$H$57+'Assumptions and Catalog'!$E$57+'Assumptions and Catalog'!$F$57,"Out of range")))))))),IF(((D578+E578)*C578)&lt;='Assumptions and Catalog'!$C$60,((D578+E578)*C578)*'Assumptions and Catalog'!$H$60+'Assumptions and Catalog'!$E$60+'Assumptions and Catalog'!$F$60,IF(((D578+E578)*C578)&lt;='Assumptions and Catalog'!$C$61,((D578+E578)*C578)*'Assumptions and Catalog'!$H$61+'Assumptions and Catalog'!$E$61+'Assumptions and Catalog'!$F$61,IF(((D578+E578)*C578)&lt;='Assumptions and Catalog'!$C$62,((D578+E578)*C578)*'Assumptions and Catalog'!$H$62+'Assumptions and Catalog'!$E$62+'Assumptions and Catalog'!$F$62,IF(((D578+E578)*C578)&lt;='Assumptions and Catalog'!$C$63,((D578+E578)*C578)*'Assumptions and Catalog'!$H$63+'Assumptions and Catalog'!$E$63+'Assumptions and Catalog'!$F$63,IF(((D578+E578)*C578)&lt;='Assumptions and Catalog'!$C$64,((D578+E578)*C578)*'Assumptions and Catalog'!$H$64+'Assumptions and Catalog'!$E$64+'Assumptions and Catalog'!$F$64,IF(((D578+E578)*C578)&lt;='Assumptions and Catalog'!$C$65,((D578+E578)*C578)*'Assumptions and Catalog'!$H$65+'Assumptions and Catalog'!$E$65+'Assumptions and Catalog'!$F$65,"Out of range")))))))))*(1+'Assumptions and Catalog'!$C$8)^(A578-1),0)</f>
        <v>7094.794</v>
      </c>
      <c r="N578" s="5" t="n">
        <f>IF(ISNUMBER(Inputs!$L$5),(IF(Inputs!$L$9="Actual flat rate",L578*Inputs!$L$10,IF(Inputs!$C$9="Residential",IF(L578&lt;='Assumptions and Catalog'!$C$50,L578*'Assumptions and Catalog'!$H$50+'Assumptions and Catalog'!$E$50+'Assumptions and Catalog'!$F$50,IF(L578&lt;='Assumptions and Catalog'!$C$51,L578*'Assumptions and Catalog'!$H$51+'Assumptions and Catalog'!$E$51+'Assumptions and Catalog'!$F$51,IF(L578&lt;='Assumptions and Catalog'!$C$52,L578*'Assumptions and Catalog'!$H$52+'Assumptions and Catalog'!$E$52+'Assumptions and Catalog'!$F$52,IF(L578&lt;='Assumptions and Catalog'!$C$53,L578*'Assumptions and Catalog'!$H$53+'Assumptions and Catalog'!$E$53+'Assumptions and Catalog'!$F$53,IF(L578&lt;='Assumptions and Catalog'!$C$54,L578*'Assumptions and Catalog'!$H$54+'Assumptions and Catalog'!$E$54+'Assumptions and Catalog'!$F$54,IF(L578&lt;='Assumptions and Catalog'!$C$55,L578*'Assumptions and Catalog'!$H$55+'Assumptions and Catalog'!$E$55+'Assumptions and Catalog'!$F$55,IF(L578&lt;='Assumptions and Catalog'!$C$56,L578*'Assumptions and Catalog'!$H$56+'Assumptions and Catalog'!$E$56+'Assumptions and Catalog'!$F$56,IF(L578&lt;='Assumptions and Catalog'!$C$57,L578*'Assumptions and Catalog'!$H$57+'Assumptions and Catalog'!$E$57+'Assumptions and Catalog'!$F$57,"Out of range")))))))),IF(L578&lt;='Assumptions and Catalog'!$C$60,L578*'Assumptions and Catalog'!$H$60+'Assumptions and Catalog'!$E$60+'Assumptions and Catalog'!$F$60,IF(L578&lt;='Assumptions and Catalog'!$C$61,L578*'Assumptions and Catalog'!$H$61+'Assumptions and Catalog'!$E$61+'Assumptions and Catalog'!$F$61,IF(L578&lt;='Assumptions and Catalog'!$C$62,L578*'Assumptions and Catalog'!$H$62+'Assumptions and Catalog'!$E$62+'Assumptions and Catalog'!$F$62,IF(L578&lt;='Assumptions and Catalog'!$C$63,L578*'Assumptions and Catalog'!$H$63+'Assumptions and Catalog'!$E$63+'Assumptions and Catalog'!$F$63,IF(L578&lt;='Assumptions and Catalog'!$C$64,L578*'Assumptions and Catalog'!$H$64+'Assumptions and Catalog'!$E$64+'Assumptions and Catalog'!$F$64,IF(L578&lt;='Assumptions and Catalog'!$C$65,L578*'Assumptions and Catalog'!$H$65+'Assumptions and Catalog'!$E$65+'Assumptions and Catalog'!$F$65,"Out of range")))))))))*(1+'Assumptions and Catalog'!$C$8)^(A578-1),0)</f>
        <v>7094.794</v>
      </c>
      <c r="O578" s="5" t="n">
        <f>M578-N578</f>
        <v>0</v>
      </c>
      <c r="P578" s="5" t="n">
        <f>D$55*(1-K$14)*(1-'Assumptions and Catalog'!$C$23)^R578</f>
        <v>0</v>
      </c>
      <c r="Q578" s="5" t="n">
        <f>IF(ISNUMBER(Inputs!$L$5),(IF(Inputs!$L$9="Actual flat rate",((D578+E578)*C578-G578)*Inputs!$L$10,IF(Inputs!$C$9="Residential",IF(((D578+E578)*C578-G578)&lt;='Assumptions and Catalog'!$C$50,((D578+E578)*C578-G578)*'Assumptions and Catalog'!$H$50+'Assumptions and Catalog'!$E$50+'Assumptions and Catalog'!$F$50,IF(((D578+E578)*C578-G578)&lt;='Assumptions and Catalog'!$C$51,((D578+E578)*C578-G578)*'Assumptions and Catalog'!$H$51+'Assumptions and Catalog'!$E$51+'Assumptions and Catalog'!$F$51,IF(((D578+E578)*C578-G578)&lt;='Assumptions and Catalog'!$C$52,((D578+E578)*C578-G578)*'Assumptions and Catalog'!$H$52+'Assumptions and Catalog'!$E$52+'Assumptions and Catalog'!$F$52,IF(((D578+E578)*C578-G578)&lt;='Assumptions and Catalog'!$C$53,((D578+E578)*C578-G578)*'Assumptions and Catalog'!$H$53+'Assumptions and Catalog'!$E$53+'Assumptions and Catalog'!$F$53,IF(((D578+E578)*C578-G578)&lt;='Assumptions and Catalog'!$C$54,((D578+E578)*C578-G578)*'Assumptions and Catalog'!$H$54+'Assumptions and Catalog'!$E$54+'Assumptions and Catalog'!$F$54,IF(((D578+E578)*C578-G578)&lt;='Assumptions and Catalog'!$C$55,((D578+E578)*C578-G578)*'Assumptions and Catalog'!$H$55+'Assumptions and Catalog'!$E$55+'Assumptions and Catalog'!$F$55,IF(((D578+E578)*C578-G578)&lt;='Assumptions and Catalog'!$C$56,((D578+E578)*C578-G578)*'Assumptions and Catalog'!$H$56+'Assumptions and Catalog'!$E$56+'Assumptions and Catalog'!$F$56,IF(((D578+E578)*C578-G578)&lt;='Assumptions and Catalog'!$C$57,((D578+E578)*C578-G578)*'Assumptions and Catalog'!$H$57+'Assumptions and Catalog'!$E$57+'Assumptions and Catalog'!$F$57,"Out of range")))))))),IF(((D578+E578)*C578-G578)&lt;='Assumptions and Catalog'!$C$60,((D578+E578)*C578-G578)*'Assumptions and Catalog'!$H$60+'Assumptions and Catalog'!$E$60+'Assumptions and Catalog'!$F$60,IF(((D578+E578)*C578-G578)&lt;='Assumptions and Catalog'!$C$61,((D578+E578)*C578-G578)*'Assumptions and Catalog'!$H$61+'Assumptions and Catalog'!$E$61+'Assumptions and Catalog'!$F$61,IF(((D578+E578)*C578-G578)&lt;='Assumptions and Catalog'!$C$62,((D578+E578)*C578-G578)*'Assumptions and Catalog'!$H$62+'Assumptions and Catalog'!$E$62+'Assumptions and Catalog'!$F$62,IF(((D578+E578)*C578-G578)&lt;='Assumptions and Catalog'!$C$63,((D578+E578)*C578-G578)*'Assumptions and Catalog'!$H$63+'Assumptions and Catalog'!$E$63+'Assumptions and Catalog'!$F$63,IF(((D578+E578)*C578-G578)&lt;='Assumptions and Catalog'!$C$64,((D578+E578)*C578-G578)*'Assumptions and Catalog'!$H$64+'Assumptions and Catalog'!$E$64+'Assumptions and Catalog'!$F$64,IF(((D578+E578)*C578-G578)&lt;='Assumptions and Catalog'!$C$65,((D578+E578)*C578-G578)*'Assumptions and Catalog'!$H$65+'Assumptions and Catalog'!$E$65+'Assumptions and Catalog'!$F$65,"Out of range")))))))))*(1+'Assumptions and Catalog'!$C$8)^(A578-1),0)</f>
        <v>7094.794</v>
      </c>
      <c r="R578" s="5" t="n">
        <f>IF(AND('Assumptions and Catalog'!$C$19&gt;0,A578&gt;='Assumptions and Catalog'!$C$19),A578-'Assumptions and Catalog'!$C$19,A578-1)</f>
        <v>3</v>
      </c>
      <c r="S578" s="5" t="n">
        <f>F578+L578-(D578+E578)*C578-J578-K578-IF(D$52&gt;0,'Assumptions and Catalog'!$C$26*C578,0)</f>
        <v>0</v>
      </c>
      <c r="T578" s="5"/>
      <c r="U578" s="5"/>
    </row>
    <row r="579" ht="23.100000381469727" customHeight="1">
      <c r="A579" s="5" t="n">
        <v>15</v>
      </c>
      <c r="B579" s="5" t="n">
        <v>1</v>
      </c>
      <c r="C579" s="5" t="n">
        <f>DAY(DATE('Assumptions and Catalog'!$C$24+A579-1,B579+1,0))</f>
        <v>31</v>
      </c>
      <c r="D579" s="5" t="n">
        <f>IF(ISNUMBER(Inputs!$L$5),Inputs!$L$5*Inputs!$L$6,0)</f>
        <v>40.35</v>
      </c>
      <c r="E579" s="5" t="n">
        <f>IF(ISNUMBER(Inputs!$L$5),Inputs!$L$5-D579,0)</f>
        <v>40.35</v>
      </c>
      <c r="F579" s="5" t="n">
        <f>D$51*'Assumptions and Catalog'!$C$31*C579*(1-'Assumptions and Catalog'!$C$10)^(A579-1)</f>
        <v>0</v>
      </c>
      <c r="G579" s="5" t="n">
        <f>MIN(F579,D579*C579)</f>
        <v>0</v>
      </c>
      <c r="H579" s="5" t="n">
        <f>I579/('Assumptions and Catalog'!$C$11*'Assumptions and Catalog'!$C$12)</f>
        <v>0</v>
      </c>
      <c r="I579" s="5" t="n">
        <f>IF(K$15="Grid cycle",MIN(K$16,D579+E579,P579*'Assumptions and Catalog'!$C$12,D$57*(24-'Assumptions and Catalog'!$C$15),D$56*'Assumptions and Catalog'!$C$15*'Assumptions and Catalog'!$C$11*'Assumptions and Catalog'!$C$12)*C579,0)</f>
        <v>0</v>
      </c>
      <c r="J579" s="5" t="n">
        <f>MAX(F579-G579-0,0)</f>
        <v>0</v>
      </c>
      <c r="K579" s="5" t="n">
        <f>H579-I579</f>
        <v>0</v>
      </c>
      <c r="L579" s="5" t="n">
        <f>(D579+E579)*C579-G579-I579+H579+IF(D$52&gt;0,'Assumptions and Catalog'!$C$26*C579,0)</f>
        <v>2501.7</v>
      </c>
      <c r="M579" s="5" t="n">
        <f>IF(ISNUMBER(Inputs!$L$5),(IF(Inputs!$L$9="Actual flat rate",((D579+E579)*C579)*Inputs!$L$10,IF(Inputs!$C$9="Residential",IF(((D579+E579)*C579)&lt;='Assumptions and Catalog'!$C$50,((D579+E579)*C579)*'Assumptions and Catalog'!$H$50+'Assumptions and Catalog'!$E$50+'Assumptions and Catalog'!$F$50,IF(((D579+E579)*C579)&lt;='Assumptions and Catalog'!$C$51,((D579+E579)*C579)*'Assumptions and Catalog'!$H$51+'Assumptions and Catalog'!$E$51+'Assumptions and Catalog'!$F$51,IF(((D579+E579)*C579)&lt;='Assumptions and Catalog'!$C$52,((D579+E579)*C579)*'Assumptions and Catalog'!$H$52+'Assumptions and Catalog'!$E$52+'Assumptions and Catalog'!$F$52,IF(((D579+E579)*C579)&lt;='Assumptions and Catalog'!$C$53,((D579+E579)*C579)*'Assumptions and Catalog'!$H$53+'Assumptions and Catalog'!$E$53+'Assumptions and Catalog'!$F$53,IF(((D579+E579)*C579)&lt;='Assumptions and Catalog'!$C$54,((D579+E579)*C579)*'Assumptions and Catalog'!$H$54+'Assumptions and Catalog'!$E$54+'Assumptions and Catalog'!$F$54,IF(((D579+E579)*C579)&lt;='Assumptions and Catalog'!$C$55,((D579+E579)*C579)*'Assumptions and Catalog'!$H$55+'Assumptions and Catalog'!$E$55+'Assumptions and Catalog'!$F$55,IF(((D579+E579)*C579)&lt;='Assumptions and Catalog'!$C$56,((D579+E579)*C579)*'Assumptions and Catalog'!$H$56+'Assumptions and Catalog'!$E$56+'Assumptions and Catalog'!$F$56,IF(((D579+E579)*C579)&lt;='Assumptions and Catalog'!$C$57,((D579+E579)*C579)*'Assumptions and Catalog'!$H$57+'Assumptions and Catalog'!$E$57+'Assumptions and Catalog'!$F$57,"Out of range")))))))),IF(((D579+E579)*C579)&lt;='Assumptions and Catalog'!$C$60,((D579+E579)*C579)*'Assumptions and Catalog'!$H$60+'Assumptions and Catalog'!$E$60+'Assumptions and Catalog'!$F$60,IF(((D579+E579)*C579)&lt;='Assumptions and Catalog'!$C$61,((D579+E579)*C579)*'Assumptions and Catalog'!$H$61+'Assumptions and Catalog'!$E$61+'Assumptions and Catalog'!$F$61,IF(((D579+E579)*C579)&lt;='Assumptions and Catalog'!$C$62,((D579+E579)*C579)*'Assumptions and Catalog'!$H$62+'Assumptions and Catalog'!$E$62+'Assumptions and Catalog'!$F$62,IF(((D579+E579)*C579)&lt;='Assumptions and Catalog'!$C$63,((D579+E579)*C579)*'Assumptions and Catalog'!$H$63+'Assumptions and Catalog'!$E$63+'Assumptions and Catalog'!$F$63,IF(((D579+E579)*C579)&lt;='Assumptions and Catalog'!$C$64,((D579+E579)*C579)*'Assumptions and Catalog'!$H$64+'Assumptions and Catalog'!$E$64+'Assumptions and Catalog'!$F$64,IF(((D579+E579)*C579)&lt;='Assumptions and Catalog'!$C$65,((D579+E579)*C579)*'Assumptions and Catalog'!$H$65+'Assumptions and Catalog'!$E$65+'Assumptions and Catalog'!$F$65,"Out of range")))))))))*(1+'Assumptions and Catalog'!$C$8)^(A579-1),0)</f>
        <v>7094.794</v>
      </c>
      <c r="N579" s="5" t="n">
        <f>IF(ISNUMBER(Inputs!$L$5),(IF(Inputs!$L$9="Actual flat rate",L579*Inputs!$L$10,IF(Inputs!$C$9="Residential",IF(L579&lt;='Assumptions and Catalog'!$C$50,L579*'Assumptions and Catalog'!$H$50+'Assumptions and Catalog'!$E$50+'Assumptions and Catalog'!$F$50,IF(L579&lt;='Assumptions and Catalog'!$C$51,L579*'Assumptions and Catalog'!$H$51+'Assumptions and Catalog'!$E$51+'Assumptions and Catalog'!$F$51,IF(L579&lt;='Assumptions and Catalog'!$C$52,L579*'Assumptions and Catalog'!$H$52+'Assumptions and Catalog'!$E$52+'Assumptions and Catalog'!$F$52,IF(L579&lt;='Assumptions and Catalog'!$C$53,L579*'Assumptions and Catalog'!$H$53+'Assumptions and Catalog'!$E$53+'Assumptions and Catalog'!$F$53,IF(L579&lt;='Assumptions and Catalog'!$C$54,L579*'Assumptions and Catalog'!$H$54+'Assumptions and Catalog'!$E$54+'Assumptions and Catalog'!$F$54,IF(L579&lt;='Assumptions and Catalog'!$C$55,L579*'Assumptions and Catalog'!$H$55+'Assumptions and Catalog'!$E$55+'Assumptions and Catalog'!$F$55,IF(L579&lt;='Assumptions and Catalog'!$C$56,L579*'Assumptions and Catalog'!$H$56+'Assumptions and Catalog'!$E$56+'Assumptions and Catalog'!$F$56,IF(L579&lt;='Assumptions and Catalog'!$C$57,L579*'Assumptions and Catalog'!$H$57+'Assumptions and Catalog'!$E$57+'Assumptions and Catalog'!$F$57,"Out of range")))))))),IF(L579&lt;='Assumptions and Catalog'!$C$60,L579*'Assumptions and Catalog'!$H$60+'Assumptions and Catalog'!$E$60+'Assumptions and Catalog'!$F$60,IF(L579&lt;='Assumptions and Catalog'!$C$61,L579*'Assumptions and Catalog'!$H$61+'Assumptions and Catalog'!$E$61+'Assumptions and Catalog'!$F$61,IF(L579&lt;='Assumptions and Catalog'!$C$62,L579*'Assumptions and Catalog'!$H$62+'Assumptions and Catalog'!$E$62+'Assumptions and Catalog'!$F$62,IF(L579&lt;='Assumptions and Catalog'!$C$63,L579*'Assumptions and Catalog'!$H$63+'Assumptions and Catalog'!$E$63+'Assumptions and Catalog'!$F$63,IF(L579&lt;='Assumptions and Catalog'!$C$64,L579*'Assumptions and Catalog'!$H$64+'Assumptions and Catalog'!$E$64+'Assumptions and Catalog'!$F$64,IF(L579&lt;='Assumptions and Catalog'!$C$65,L579*'Assumptions and Catalog'!$H$65+'Assumptions and Catalog'!$E$65+'Assumptions and Catalog'!$F$65,"Out of range")))))))))*(1+'Assumptions and Catalog'!$C$8)^(A579-1),0)</f>
        <v>7094.794</v>
      </c>
      <c r="O579" s="5" t="n">
        <f>M579-N579</f>
        <v>0</v>
      </c>
      <c r="P579" s="5" t="n">
        <f>D$55*(1-K$14)*(1-'Assumptions and Catalog'!$C$23)^R579</f>
        <v>0</v>
      </c>
      <c r="Q579" s="5" t="n">
        <f>IF(ISNUMBER(Inputs!$L$5),(IF(Inputs!$L$9="Actual flat rate",((D579+E579)*C579-G579)*Inputs!$L$10,IF(Inputs!$C$9="Residential",IF(((D579+E579)*C579-G579)&lt;='Assumptions and Catalog'!$C$50,((D579+E579)*C579-G579)*'Assumptions and Catalog'!$H$50+'Assumptions and Catalog'!$E$50+'Assumptions and Catalog'!$F$50,IF(((D579+E579)*C579-G579)&lt;='Assumptions and Catalog'!$C$51,((D579+E579)*C579-G579)*'Assumptions and Catalog'!$H$51+'Assumptions and Catalog'!$E$51+'Assumptions and Catalog'!$F$51,IF(((D579+E579)*C579-G579)&lt;='Assumptions and Catalog'!$C$52,((D579+E579)*C579-G579)*'Assumptions and Catalog'!$H$52+'Assumptions and Catalog'!$E$52+'Assumptions and Catalog'!$F$52,IF(((D579+E579)*C579-G579)&lt;='Assumptions and Catalog'!$C$53,((D579+E579)*C579-G579)*'Assumptions and Catalog'!$H$53+'Assumptions and Catalog'!$E$53+'Assumptions and Catalog'!$F$53,IF(((D579+E579)*C579-G579)&lt;='Assumptions and Catalog'!$C$54,((D579+E579)*C579-G579)*'Assumptions and Catalog'!$H$54+'Assumptions and Catalog'!$E$54+'Assumptions and Catalog'!$F$54,IF(((D579+E579)*C579-G579)&lt;='Assumptions and Catalog'!$C$55,((D579+E579)*C579-G579)*'Assumptions and Catalog'!$H$55+'Assumptions and Catalog'!$E$55+'Assumptions and Catalog'!$F$55,IF(((D579+E579)*C579-G579)&lt;='Assumptions and Catalog'!$C$56,((D579+E579)*C579-G579)*'Assumptions and Catalog'!$H$56+'Assumptions and Catalog'!$E$56+'Assumptions and Catalog'!$F$56,IF(((D579+E579)*C579-G579)&lt;='Assumptions and Catalog'!$C$57,((D579+E579)*C579-G579)*'Assumptions and Catalog'!$H$57+'Assumptions and Catalog'!$E$57+'Assumptions and Catalog'!$F$57,"Out of range")))))))),IF(((D579+E579)*C579-G579)&lt;='Assumptions and Catalog'!$C$60,((D579+E579)*C579-G579)*'Assumptions and Catalog'!$H$60+'Assumptions and Catalog'!$E$60+'Assumptions and Catalog'!$F$60,IF(((D579+E579)*C579-G579)&lt;='Assumptions and Catalog'!$C$61,((D579+E579)*C579-G579)*'Assumptions and Catalog'!$H$61+'Assumptions and Catalog'!$E$61+'Assumptions and Catalog'!$F$61,IF(((D579+E579)*C579-G579)&lt;='Assumptions and Catalog'!$C$62,((D579+E579)*C579-G579)*'Assumptions and Catalog'!$H$62+'Assumptions and Catalog'!$E$62+'Assumptions and Catalog'!$F$62,IF(((D579+E579)*C579-G579)&lt;='Assumptions and Catalog'!$C$63,((D579+E579)*C579-G579)*'Assumptions and Catalog'!$H$63+'Assumptions and Catalog'!$E$63+'Assumptions and Catalog'!$F$63,IF(((D579+E579)*C579-G579)&lt;='Assumptions and Catalog'!$C$64,((D579+E579)*C579-G579)*'Assumptions and Catalog'!$H$64+'Assumptions and Catalog'!$E$64+'Assumptions and Catalog'!$F$64,IF(((D579+E579)*C579-G579)&lt;='Assumptions and Catalog'!$C$65,((D579+E579)*C579-G579)*'Assumptions and Catalog'!$H$65+'Assumptions and Catalog'!$E$65+'Assumptions and Catalog'!$F$65,"Out of range")))))))))*(1+'Assumptions and Catalog'!$C$8)^(A579-1),0)</f>
        <v>7094.794</v>
      </c>
      <c r="R579" s="5" t="n">
        <f>IF(AND('Assumptions and Catalog'!$C$19&gt;0,A579&gt;='Assumptions and Catalog'!$C$19),A579-'Assumptions and Catalog'!$C$19,A579-1)</f>
        <v>4</v>
      </c>
      <c r="S579" s="5" t="n">
        <f>F579+L579-(D579+E579)*C579-J579-K579-IF(D$52&gt;0,'Assumptions and Catalog'!$C$26*C579,0)</f>
        <v>0</v>
      </c>
      <c r="T579" s="5"/>
      <c r="U579" s="5"/>
    </row>
    <row r="580" ht="23.100000381469727" customHeight="1">
      <c r="A580" s="5" t="n">
        <v>15</v>
      </c>
      <c r="B580" s="5" t="n">
        <v>2</v>
      </c>
      <c r="C580" s="5" t="n">
        <f>DAY(DATE('Assumptions and Catalog'!$C$24+A580-1,B580+1,0))</f>
        <v>28</v>
      </c>
      <c r="D580" s="5" t="n">
        <f>IF(ISNUMBER(Inputs!$L$5),Inputs!$L$5*Inputs!$L$6,0)</f>
        <v>40.35</v>
      </c>
      <c r="E580" s="5" t="n">
        <f>IF(ISNUMBER(Inputs!$L$5),Inputs!$L$5-D580,0)</f>
        <v>40.35</v>
      </c>
      <c r="F580" s="5" t="n">
        <f>D$51*'Assumptions and Catalog'!$C$31*C580*(1-'Assumptions and Catalog'!$C$10)^(A580-1)</f>
        <v>0</v>
      </c>
      <c r="G580" s="5" t="n">
        <f>MIN(F580,D580*C580)</f>
        <v>0</v>
      </c>
      <c r="H580" s="5" t="n">
        <f>I580/('Assumptions and Catalog'!$C$11*'Assumptions and Catalog'!$C$12)</f>
        <v>0</v>
      </c>
      <c r="I580" s="5" t="n">
        <f>IF(K$15="Grid cycle",MIN(K$16,D580+E580,P580*'Assumptions and Catalog'!$C$12,D$57*(24-'Assumptions and Catalog'!$C$15),D$56*'Assumptions and Catalog'!$C$15*'Assumptions and Catalog'!$C$11*'Assumptions and Catalog'!$C$12)*C580,0)</f>
        <v>0</v>
      </c>
      <c r="J580" s="5" t="n">
        <f>MAX(F580-G580-0,0)</f>
        <v>0</v>
      </c>
      <c r="K580" s="5" t="n">
        <f>H580-I580</f>
        <v>0</v>
      </c>
      <c r="L580" s="5" t="n">
        <f>(D580+E580)*C580-G580-I580+H580+IF(D$52&gt;0,'Assumptions and Catalog'!$C$26*C580,0)</f>
        <v>2259.6</v>
      </c>
      <c r="M580" s="5" t="n">
        <f>IF(ISNUMBER(Inputs!$L$5),(IF(Inputs!$L$9="Actual flat rate",((D580+E580)*C580)*Inputs!$L$10,IF(Inputs!$C$9="Residential",IF(((D580+E580)*C580)&lt;='Assumptions and Catalog'!$C$50,((D580+E580)*C580)*'Assumptions and Catalog'!$H$50+'Assumptions and Catalog'!$E$50+'Assumptions and Catalog'!$F$50,IF(((D580+E580)*C580)&lt;='Assumptions and Catalog'!$C$51,((D580+E580)*C580)*'Assumptions and Catalog'!$H$51+'Assumptions and Catalog'!$E$51+'Assumptions and Catalog'!$F$51,IF(((D580+E580)*C580)&lt;='Assumptions and Catalog'!$C$52,((D580+E580)*C580)*'Assumptions and Catalog'!$H$52+'Assumptions and Catalog'!$E$52+'Assumptions and Catalog'!$F$52,IF(((D580+E580)*C580)&lt;='Assumptions and Catalog'!$C$53,((D580+E580)*C580)*'Assumptions and Catalog'!$H$53+'Assumptions and Catalog'!$E$53+'Assumptions and Catalog'!$F$53,IF(((D580+E580)*C580)&lt;='Assumptions and Catalog'!$C$54,((D580+E580)*C580)*'Assumptions and Catalog'!$H$54+'Assumptions and Catalog'!$E$54+'Assumptions and Catalog'!$F$54,IF(((D580+E580)*C580)&lt;='Assumptions and Catalog'!$C$55,((D580+E580)*C580)*'Assumptions and Catalog'!$H$55+'Assumptions and Catalog'!$E$55+'Assumptions and Catalog'!$F$55,IF(((D580+E580)*C580)&lt;='Assumptions and Catalog'!$C$56,((D580+E580)*C580)*'Assumptions and Catalog'!$H$56+'Assumptions and Catalog'!$E$56+'Assumptions and Catalog'!$F$56,IF(((D580+E580)*C580)&lt;='Assumptions and Catalog'!$C$57,((D580+E580)*C580)*'Assumptions and Catalog'!$H$57+'Assumptions and Catalog'!$E$57+'Assumptions and Catalog'!$F$57,"Out of range")))))))),IF(((D580+E580)*C580)&lt;='Assumptions and Catalog'!$C$60,((D580+E580)*C580)*'Assumptions and Catalog'!$H$60+'Assumptions and Catalog'!$E$60+'Assumptions and Catalog'!$F$60,IF(((D580+E580)*C580)&lt;='Assumptions and Catalog'!$C$61,((D580+E580)*C580)*'Assumptions and Catalog'!$H$61+'Assumptions and Catalog'!$E$61+'Assumptions and Catalog'!$F$61,IF(((D580+E580)*C580)&lt;='Assumptions and Catalog'!$C$62,((D580+E580)*C580)*'Assumptions and Catalog'!$H$62+'Assumptions and Catalog'!$E$62+'Assumptions and Catalog'!$F$62,IF(((D580+E580)*C580)&lt;='Assumptions and Catalog'!$C$63,((D580+E580)*C580)*'Assumptions and Catalog'!$H$63+'Assumptions and Catalog'!$E$63+'Assumptions and Catalog'!$F$63,IF(((D580+E580)*C580)&lt;='Assumptions and Catalog'!$C$64,((D580+E580)*C580)*'Assumptions and Catalog'!$H$64+'Assumptions and Catalog'!$E$64+'Assumptions and Catalog'!$F$64,IF(((D580+E580)*C580)&lt;='Assumptions and Catalog'!$C$65,((D580+E580)*C580)*'Assumptions and Catalog'!$H$65+'Assumptions and Catalog'!$E$65+'Assumptions and Catalog'!$F$65,"Out of range")))))))))*(1+'Assumptions and Catalog'!$C$8)^(A580-1),0)</f>
        <v>6412.072</v>
      </c>
      <c r="N580" s="5" t="n">
        <f>IF(ISNUMBER(Inputs!$L$5),(IF(Inputs!$L$9="Actual flat rate",L580*Inputs!$L$10,IF(Inputs!$C$9="Residential",IF(L580&lt;='Assumptions and Catalog'!$C$50,L580*'Assumptions and Catalog'!$H$50+'Assumptions and Catalog'!$E$50+'Assumptions and Catalog'!$F$50,IF(L580&lt;='Assumptions and Catalog'!$C$51,L580*'Assumptions and Catalog'!$H$51+'Assumptions and Catalog'!$E$51+'Assumptions and Catalog'!$F$51,IF(L580&lt;='Assumptions and Catalog'!$C$52,L580*'Assumptions and Catalog'!$H$52+'Assumptions and Catalog'!$E$52+'Assumptions and Catalog'!$F$52,IF(L580&lt;='Assumptions and Catalog'!$C$53,L580*'Assumptions and Catalog'!$H$53+'Assumptions and Catalog'!$E$53+'Assumptions and Catalog'!$F$53,IF(L580&lt;='Assumptions and Catalog'!$C$54,L580*'Assumptions and Catalog'!$H$54+'Assumptions and Catalog'!$E$54+'Assumptions and Catalog'!$F$54,IF(L580&lt;='Assumptions and Catalog'!$C$55,L580*'Assumptions and Catalog'!$H$55+'Assumptions and Catalog'!$E$55+'Assumptions and Catalog'!$F$55,IF(L580&lt;='Assumptions and Catalog'!$C$56,L580*'Assumptions and Catalog'!$H$56+'Assumptions and Catalog'!$E$56+'Assumptions and Catalog'!$F$56,IF(L580&lt;='Assumptions and Catalog'!$C$57,L580*'Assumptions and Catalog'!$H$57+'Assumptions and Catalog'!$E$57+'Assumptions and Catalog'!$F$57,"Out of range")))))))),IF(L580&lt;='Assumptions and Catalog'!$C$60,L580*'Assumptions and Catalog'!$H$60+'Assumptions and Catalog'!$E$60+'Assumptions and Catalog'!$F$60,IF(L580&lt;='Assumptions and Catalog'!$C$61,L580*'Assumptions and Catalog'!$H$61+'Assumptions and Catalog'!$E$61+'Assumptions and Catalog'!$F$61,IF(L580&lt;='Assumptions and Catalog'!$C$62,L580*'Assumptions and Catalog'!$H$62+'Assumptions and Catalog'!$E$62+'Assumptions and Catalog'!$F$62,IF(L580&lt;='Assumptions and Catalog'!$C$63,L580*'Assumptions and Catalog'!$H$63+'Assumptions and Catalog'!$E$63+'Assumptions and Catalog'!$F$63,IF(L580&lt;='Assumptions and Catalog'!$C$64,L580*'Assumptions and Catalog'!$H$64+'Assumptions and Catalog'!$E$64+'Assumptions and Catalog'!$F$64,IF(L580&lt;='Assumptions and Catalog'!$C$65,L580*'Assumptions and Catalog'!$H$65+'Assumptions and Catalog'!$E$65+'Assumptions and Catalog'!$F$65,"Out of range")))))))))*(1+'Assumptions and Catalog'!$C$8)^(A580-1),0)</f>
        <v>6412.072</v>
      </c>
      <c r="O580" s="5" t="n">
        <f>M580-N580</f>
        <v>0</v>
      </c>
      <c r="P580" s="5" t="n">
        <f>D$55*(1-K$14)*(1-'Assumptions and Catalog'!$C$23)^R580</f>
        <v>0</v>
      </c>
      <c r="Q580" s="5" t="n">
        <f>IF(ISNUMBER(Inputs!$L$5),(IF(Inputs!$L$9="Actual flat rate",((D580+E580)*C580-G580)*Inputs!$L$10,IF(Inputs!$C$9="Residential",IF(((D580+E580)*C580-G580)&lt;='Assumptions and Catalog'!$C$50,((D580+E580)*C580-G580)*'Assumptions and Catalog'!$H$50+'Assumptions and Catalog'!$E$50+'Assumptions and Catalog'!$F$50,IF(((D580+E580)*C580-G580)&lt;='Assumptions and Catalog'!$C$51,((D580+E580)*C580-G580)*'Assumptions and Catalog'!$H$51+'Assumptions and Catalog'!$E$51+'Assumptions and Catalog'!$F$51,IF(((D580+E580)*C580-G580)&lt;='Assumptions and Catalog'!$C$52,((D580+E580)*C580-G580)*'Assumptions and Catalog'!$H$52+'Assumptions and Catalog'!$E$52+'Assumptions and Catalog'!$F$52,IF(((D580+E580)*C580-G580)&lt;='Assumptions and Catalog'!$C$53,((D580+E580)*C580-G580)*'Assumptions and Catalog'!$H$53+'Assumptions and Catalog'!$E$53+'Assumptions and Catalog'!$F$53,IF(((D580+E580)*C580-G580)&lt;='Assumptions and Catalog'!$C$54,((D580+E580)*C580-G580)*'Assumptions and Catalog'!$H$54+'Assumptions and Catalog'!$E$54+'Assumptions and Catalog'!$F$54,IF(((D580+E580)*C580-G580)&lt;='Assumptions and Catalog'!$C$55,((D580+E580)*C580-G580)*'Assumptions and Catalog'!$H$55+'Assumptions and Catalog'!$E$55+'Assumptions and Catalog'!$F$55,IF(((D580+E580)*C580-G580)&lt;='Assumptions and Catalog'!$C$56,((D580+E580)*C580-G580)*'Assumptions and Catalog'!$H$56+'Assumptions and Catalog'!$E$56+'Assumptions and Catalog'!$F$56,IF(((D580+E580)*C580-G580)&lt;='Assumptions and Catalog'!$C$57,((D580+E580)*C580-G580)*'Assumptions and Catalog'!$H$57+'Assumptions and Catalog'!$E$57+'Assumptions and Catalog'!$F$57,"Out of range")))))))),IF(((D580+E580)*C580-G580)&lt;='Assumptions and Catalog'!$C$60,((D580+E580)*C580-G580)*'Assumptions and Catalog'!$H$60+'Assumptions and Catalog'!$E$60+'Assumptions and Catalog'!$F$60,IF(((D580+E580)*C580-G580)&lt;='Assumptions and Catalog'!$C$61,((D580+E580)*C580-G580)*'Assumptions and Catalog'!$H$61+'Assumptions and Catalog'!$E$61+'Assumptions and Catalog'!$F$61,IF(((D580+E580)*C580-G580)&lt;='Assumptions and Catalog'!$C$62,((D580+E580)*C580-G580)*'Assumptions and Catalog'!$H$62+'Assumptions and Catalog'!$E$62+'Assumptions and Catalog'!$F$62,IF(((D580+E580)*C580-G580)&lt;='Assumptions and Catalog'!$C$63,((D580+E580)*C580-G580)*'Assumptions and Catalog'!$H$63+'Assumptions and Catalog'!$E$63+'Assumptions and Catalog'!$F$63,IF(((D580+E580)*C580-G580)&lt;='Assumptions and Catalog'!$C$64,((D580+E580)*C580-G580)*'Assumptions and Catalog'!$H$64+'Assumptions and Catalog'!$E$64+'Assumptions and Catalog'!$F$64,IF(((D580+E580)*C580-G580)&lt;='Assumptions and Catalog'!$C$65,((D580+E580)*C580-G580)*'Assumptions and Catalog'!$H$65+'Assumptions and Catalog'!$E$65+'Assumptions and Catalog'!$F$65,"Out of range")))))))))*(1+'Assumptions and Catalog'!$C$8)^(A580-1),0)</f>
        <v>6412.072</v>
      </c>
      <c r="R580" s="5" t="n">
        <f>IF(AND('Assumptions and Catalog'!$C$19&gt;0,A580&gt;='Assumptions and Catalog'!$C$19),A580-'Assumptions and Catalog'!$C$19,A580-1)</f>
        <v>4</v>
      </c>
      <c r="S580" s="5" t="n">
        <f>F580+L580-(D580+E580)*C580-J580-K580-IF(D$52&gt;0,'Assumptions and Catalog'!$C$26*C580,0)</f>
        <v>0</v>
      </c>
      <c r="T580" s="5"/>
      <c r="U580" s="5"/>
    </row>
    <row r="581" ht="23.100000381469727" customHeight="1">
      <c r="A581" s="5" t="n">
        <v>15</v>
      </c>
      <c r="B581" s="5" t="n">
        <v>3</v>
      </c>
      <c r="C581" s="5" t="n">
        <f>DAY(DATE('Assumptions and Catalog'!$C$24+A581-1,B581+1,0))</f>
        <v>31</v>
      </c>
      <c r="D581" s="5" t="n">
        <f>IF(ISNUMBER(Inputs!$L$5),Inputs!$L$5*Inputs!$L$6,0)</f>
        <v>40.35</v>
      </c>
      <c r="E581" s="5" t="n">
        <f>IF(ISNUMBER(Inputs!$L$5),Inputs!$L$5-D581,0)</f>
        <v>40.35</v>
      </c>
      <c r="F581" s="5" t="n">
        <f>D$51*'Assumptions and Catalog'!$C$31*C581*(1-'Assumptions and Catalog'!$C$10)^(A581-1)</f>
        <v>0</v>
      </c>
      <c r="G581" s="5" t="n">
        <f>MIN(F581,D581*C581)</f>
        <v>0</v>
      </c>
      <c r="H581" s="5" t="n">
        <f>I581/('Assumptions and Catalog'!$C$11*'Assumptions and Catalog'!$C$12)</f>
        <v>0</v>
      </c>
      <c r="I581" s="5" t="n">
        <f>IF(K$15="Grid cycle",MIN(K$16,D581+E581,P581*'Assumptions and Catalog'!$C$12,D$57*(24-'Assumptions and Catalog'!$C$15),D$56*'Assumptions and Catalog'!$C$15*'Assumptions and Catalog'!$C$11*'Assumptions and Catalog'!$C$12)*C581,0)</f>
        <v>0</v>
      </c>
      <c r="J581" s="5" t="n">
        <f>MAX(F581-G581-0,0)</f>
        <v>0</v>
      </c>
      <c r="K581" s="5" t="n">
        <f>H581-I581</f>
        <v>0</v>
      </c>
      <c r="L581" s="5" t="n">
        <f>(D581+E581)*C581-G581-I581+H581+IF(D$52&gt;0,'Assumptions and Catalog'!$C$26*C581,0)</f>
        <v>2501.7</v>
      </c>
      <c r="M581" s="5" t="n">
        <f>IF(ISNUMBER(Inputs!$L$5),(IF(Inputs!$L$9="Actual flat rate",((D581+E581)*C581)*Inputs!$L$10,IF(Inputs!$C$9="Residential",IF(((D581+E581)*C581)&lt;='Assumptions and Catalog'!$C$50,((D581+E581)*C581)*'Assumptions and Catalog'!$H$50+'Assumptions and Catalog'!$E$50+'Assumptions and Catalog'!$F$50,IF(((D581+E581)*C581)&lt;='Assumptions and Catalog'!$C$51,((D581+E581)*C581)*'Assumptions and Catalog'!$H$51+'Assumptions and Catalog'!$E$51+'Assumptions and Catalog'!$F$51,IF(((D581+E581)*C581)&lt;='Assumptions and Catalog'!$C$52,((D581+E581)*C581)*'Assumptions and Catalog'!$H$52+'Assumptions and Catalog'!$E$52+'Assumptions and Catalog'!$F$52,IF(((D581+E581)*C581)&lt;='Assumptions and Catalog'!$C$53,((D581+E581)*C581)*'Assumptions and Catalog'!$H$53+'Assumptions and Catalog'!$E$53+'Assumptions and Catalog'!$F$53,IF(((D581+E581)*C581)&lt;='Assumptions and Catalog'!$C$54,((D581+E581)*C581)*'Assumptions and Catalog'!$H$54+'Assumptions and Catalog'!$E$54+'Assumptions and Catalog'!$F$54,IF(((D581+E581)*C581)&lt;='Assumptions and Catalog'!$C$55,((D581+E581)*C581)*'Assumptions and Catalog'!$H$55+'Assumptions and Catalog'!$E$55+'Assumptions and Catalog'!$F$55,IF(((D581+E581)*C581)&lt;='Assumptions and Catalog'!$C$56,((D581+E581)*C581)*'Assumptions and Catalog'!$H$56+'Assumptions and Catalog'!$E$56+'Assumptions and Catalog'!$F$56,IF(((D581+E581)*C581)&lt;='Assumptions and Catalog'!$C$57,((D581+E581)*C581)*'Assumptions and Catalog'!$H$57+'Assumptions and Catalog'!$E$57+'Assumptions and Catalog'!$F$57,"Out of range")))))))),IF(((D581+E581)*C581)&lt;='Assumptions and Catalog'!$C$60,((D581+E581)*C581)*'Assumptions and Catalog'!$H$60+'Assumptions and Catalog'!$E$60+'Assumptions and Catalog'!$F$60,IF(((D581+E581)*C581)&lt;='Assumptions and Catalog'!$C$61,((D581+E581)*C581)*'Assumptions and Catalog'!$H$61+'Assumptions and Catalog'!$E$61+'Assumptions and Catalog'!$F$61,IF(((D581+E581)*C581)&lt;='Assumptions and Catalog'!$C$62,((D581+E581)*C581)*'Assumptions and Catalog'!$H$62+'Assumptions and Catalog'!$E$62+'Assumptions and Catalog'!$F$62,IF(((D581+E581)*C581)&lt;='Assumptions and Catalog'!$C$63,((D581+E581)*C581)*'Assumptions and Catalog'!$H$63+'Assumptions and Catalog'!$E$63+'Assumptions and Catalog'!$F$63,IF(((D581+E581)*C581)&lt;='Assumptions and Catalog'!$C$64,((D581+E581)*C581)*'Assumptions and Catalog'!$H$64+'Assumptions and Catalog'!$E$64+'Assumptions and Catalog'!$F$64,IF(((D581+E581)*C581)&lt;='Assumptions and Catalog'!$C$65,((D581+E581)*C581)*'Assumptions and Catalog'!$H$65+'Assumptions and Catalog'!$E$65+'Assumptions and Catalog'!$F$65,"Out of range")))))))))*(1+'Assumptions and Catalog'!$C$8)^(A581-1),0)</f>
        <v>7094.794</v>
      </c>
      <c r="N581" s="5" t="n">
        <f>IF(ISNUMBER(Inputs!$L$5),(IF(Inputs!$L$9="Actual flat rate",L581*Inputs!$L$10,IF(Inputs!$C$9="Residential",IF(L581&lt;='Assumptions and Catalog'!$C$50,L581*'Assumptions and Catalog'!$H$50+'Assumptions and Catalog'!$E$50+'Assumptions and Catalog'!$F$50,IF(L581&lt;='Assumptions and Catalog'!$C$51,L581*'Assumptions and Catalog'!$H$51+'Assumptions and Catalog'!$E$51+'Assumptions and Catalog'!$F$51,IF(L581&lt;='Assumptions and Catalog'!$C$52,L581*'Assumptions and Catalog'!$H$52+'Assumptions and Catalog'!$E$52+'Assumptions and Catalog'!$F$52,IF(L581&lt;='Assumptions and Catalog'!$C$53,L581*'Assumptions and Catalog'!$H$53+'Assumptions and Catalog'!$E$53+'Assumptions and Catalog'!$F$53,IF(L581&lt;='Assumptions and Catalog'!$C$54,L581*'Assumptions and Catalog'!$H$54+'Assumptions and Catalog'!$E$54+'Assumptions and Catalog'!$F$54,IF(L581&lt;='Assumptions and Catalog'!$C$55,L581*'Assumptions and Catalog'!$H$55+'Assumptions and Catalog'!$E$55+'Assumptions and Catalog'!$F$55,IF(L581&lt;='Assumptions and Catalog'!$C$56,L581*'Assumptions and Catalog'!$H$56+'Assumptions and Catalog'!$E$56+'Assumptions and Catalog'!$F$56,IF(L581&lt;='Assumptions and Catalog'!$C$57,L581*'Assumptions and Catalog'!$H$57+'Assumptions and Catalog'!$E$57+'Assumptions and Catalog'!$F$57,"Out of range")))))))),IF(L581&lt;='Assumptions and Catalog'!$C$60,L581*'Assumptions and Catalog'!$H$60+'Assumptions and Catalog'!$E$60+'Assumptions and Catalog'!$F$60,IF(L581&lt;='Assumptions and Catalog'!$C$61,L581*'Assumptions and Catalog'!$H$61+'Assumptions and Catalog'!$E$61+'Assumptions and Catalog'!$F$61,IF(L581&lt;='Assumptions and Catalog'!$C$62,L581*'Assumptions and Catalog'!$H$62+'Assumptions and Catalog'!$E$62+'Assumptions and Catalog'!$F$62,IF(L581&lt;='Assumptions and Catalog'!$C$63,L581*'Assumptions and Catalog'!$H$63+'Assumptions and Catalog'!$E$63+'Assumptions and Catalog'!$F$63,IF(L581&lt;='Assumptions and Catalog'!$C$64,L581*'Assumptions and Catalog'!$H$64+'Assumptions and Catalog'!$E$64+'Assumptions and Catalog'!$F$64,IF(L581&lt;='Assumptions and Catalog'!$C$65,L581*'Assumptions and Catalog'!$H$65+'Assumptions and Catalog'!$E$65+'Assumptions and Catalog'!$F$65,"Out of range")))))))))*(1+'Assumptions and Catalog'!$C$8)^(A581-1),0)</f>
        <v>7094.794</v>
      </c>
      <c r="O581" s="5" t="n">
        <f>M581-N581</f>
        <v>0</v>
      </c>
      <c r="P581" s="5" t="n">
        <f>D$55*(1-K$14)*(1-'Assumptions and Catalog'!$C$23)^R581</f>
        <v>0</v>
      </c>
      <c r="Q581" s="5" t="n">
        <f>IF(ISNUMBER(Inputs!$L$5),(IF(Inputs!$L$9="Actual flat rate",((D581+E581)*C581-G581)*Inputs!$L$10,IF(Inputs!$C$9="Residential",IF(((D581+E581)*C581-G581)&lt;='Assumptions and Catalog'!$C$50,((D581+E581)*C581-G581)*'Assumptions and Catalog'!$H$50+'Assumptions and Catalog'!$E$50+'Assumptions and Catalog'!$F$50,IF(((D581+E581)*C581-G581)&lt;='Assumptions and Catalog'!$C$51,((D581+E581)*C581-G581)*'Assumptions and Catalog'!$H$51+'Assumptions and Catalog'!$E$51+'Assumptions and Catalog'!$F$51,IF(((D581+E581)*C581-G581)&lt;='Assumptions and Catalog'!$C$52,((D581+E581)*C581-G581)*'Assumptions and Catalog'!$H$52+'Assumptions and Catalog'!$E$52+'Assumptions and Catalog'!$F$52,IF(((D581+E581)*C581-G581)&lt;='Assumptions and Catalog'!$C$53,((D581+E581)*C581-G581)*'Assumptions and Catalog'!$H$53+'Assumptions and Catalog'!$E$53+'Assumptions and Catalog'!$F$53,IF(((D581+E581)*C581-G581)&lt;='Assumptions and Catalog'!$C$54,((D581+E581)*C581-G581)*'Assumptions and Catalog'!$H$54+'Assumptions and Catalog'!$E$54+'Assumptions and Catalog'!$F$54,IF(((D581+E581)*C581-G581)&lt;='Assumptions and Catalog'!$C$55,((D581+E581)*C581-G581)*'Assumptions and Catalog'!$H$55+'Assumptions and Catalog'!$E$55+'Assumptions and Catalog'!$F$55,IF(((D581+E581)*C581-G581)&lt;='Assumptions and Catalog'!$C$56,((D581+E581)*C581-G581)*'Assumptions and Catalog'!$H$56+'Assumptions and Catalog'!$E$56+'Assumptions and Catalog'!$F$56,IF(((D581+E581)*C581-G581)&lt;='Assumptions and Catalog'!$C$57,((D581+E581)*C581-G581)*'Assumptions and Catalog'!$H$57+'Assumptions and Catalog'!$E$57+'Assumptions and Catalog'!$F$57,"Out of range")))))))),IF(((D581+E581)*C581-G581)&lt;='Assumptions and Catalog'!$C$60,((D581+E581)*C581-G581)*'Assumptions and Catalog'!$H$60+'Assumptions and Catalog'!$E$60+'Assumptions and Catalog'!$F$60,IF(((D581+E581)*C581-G581)&lt;='Assumptions and Catalog'!$C$61,((D581+E581)*C581-G581)*'Assumptions and Catalog'!$H$61+'Assumptions and Catalog'!$E$61+'Assumptions and Catalog'!$F$61,IF(((D581+E581)*C581-G581)&lt;='Assumptions and Catalog'!$C$62,((D581+E581)*C581-G581)*'Assumptions and Catalog'!$H$62+'Assumptions and Catalog'!$E$62+'Assumptions and Catalog'!$F$62,IF(((D581+E581)*C581-G581)&lt;='Assumptions and Catalog'!$C$63,((D581+E581)*C581-G581)*'Assumptions and Catalog'!$H$63+'Assumptions and Catalog'!$E$63+'Assumptions and Catalog'!$F$63,IF(((D581+E581)*C581-G581)&lt;='Assumptions and Catalog'!$C$64,((D581+E581)*C581-G581)*'Assumptions and Catalog'!$H$64+'Assumptions and Catalog'!$E$64+'Assumptions and Catalog'!$F$64,IF(((D581+E581)*C581-G581)&lt;='Assumptions and Catalog'!$C$65,((D581+E581)*C581-G581)*'Assumptions and Catalog'!$H$65+'Assumptions and Catalog'!$E$65+'Assumptions and Catalog'!$F$65,"Out of range")))))))))*(1+'Assumptions and Catalog'!$C$8)^(A581-1),0)</f>
        <v>7094.794</v>
      </c>
      <c r="R581" s="5" t="n">
        <f>IF(AND('Assumptions and Catalog'!$C$19&gt;0,A581&gt;='Assumptions and Catalog'!$C$19),A581-'Assumptions and Catalog'!$C$19,A581-1)</f>
        <v>4</v>
      </c>
      <c r="S581" s="5" t="n">
        <f>F581+L581-(D581+E581)*C581-J581-K581-IF(D$52&gt;0,'Assumptions and Catalog'!$C$26*C581,0)</f>
        <v>0</v>
      </c>
      <c r="T581" s="5"/>
      <c r="U581" s="5"/>
    </row>
    <row r="582" ht="23.100000381469727" customHeight="1">
      <c r="A582" s="5" t="n">
        <v>15</v>
      </c>
      <c r="B582" s="5" t="n">
        <v>4</v>
      </c>
      <c r="C582" s="5" t="n">
        <f>DAY(DATE('Assumptions and Catalog'!$C$24+A582-1,B582+1,0))</f>
        <v>30</v>
      </c>
      <c r="D582" s="5" t="n">
        <f>IF(ISNUMBER(Inputs!$L$5),Inputs!$L$5*Inputs!$L$6,0)</f>
        <v>40.35</v>
      </c>
      <c r="E582" s="5" t="n">
        <f>IF(ISNUMBER(Inputs!$L$5),Inputs!$L$5-D582,0)</f>
        <v>40.35</v>
      </c>
      <c r="F582" s="5" t="n">
        <f>D$51*'Assumptions and Catalog'!$C$31*C582*(1-'Assumptions and Catalog'!$C$10)^(A582-1)</f>
        <v>0</v>
      </c>
      <c r="G582" s="5" t="n">
        <f>MIN(F582,D582*C582)</f>
        <v>0</v>
      </c>
      <c r="H582" s="5" t="n">
        <f>I582/('Assumptions and Catalog'!$C$11*'Assumptions and Catalog'!$C$12)</f>
        <v>0</v>
      </c>
      <c r="I582" s="5" t="n">
        <f>IF(K$15="Grid cycle",MIN(K$16,D582+E582,P582*'Assumptions and Catalog'!$C$12,D$57*(24-'Assumptions and Catalog'!$C$15),D$56*'Assumptions and Catalog'!$C$15*'Assumptions and Catalog'!$C$11*'Assumptions and Catalog'!$C$12)*C582,0)</f>
        <v>0</v>
      </c>
      <c r="J582" s="5" t="n">
        <f>MAX(F582-G582-0,0)</f>
        <v>0</v>
      </c>
      <c r="K582" s="5" t="n">
        <f>H582-I582</f>
        <v>0</v>
      </c>
      <c r="L582" s="5" t="n">
        <f>(D582+E582)*C582-G582-I582+H582+IF(D$52&gt;0,'Assumptions and Catalog'!$C$26*C582,0)</f>
        <v>2421</v>
      </c>
      <c r="M582" s="5" t="n">
        <f>IF(ISNUMBER(Inputs!$L$5),(IF(Inputs!$L$9="Actual flat rate",((D582+E582)*C582)*Inputs!$L$10,IF(Inputs!$C$9="Residential",IF(((D582+E582)*C582)&lt;='Assumptions and Catalog'!$C$50,((D582+E582)*C582)*'Assumptions and Catalog'!$H$50+'Assumptions and Catalog'!$E$50+'Assumptions and Catalog'!$F$50,IF(((D582+E582)*C582)&lt;='Assumptions and Catalog'!$C$51,((D582+E582)*C582)*'Assumptions and Catalog'!$H$51+'Assumptions and Catalog'!$E$51+'Assumptions and Catalog'!$F$51,IF(((D582+E582)*C582)&lt;='Assumptions and Catalog'!$C$52,((D582+E582)*C582)*'Assumptions and Catalog'!$H$52+'Assumptions and Catalog'!$E$52+'Assumptions and Catalog'!$F$52,IF(((D582+E582)*C582)&lt;='Assumptions and Catalog'!$C$53,((D582+E582)*C582)*'Assumptions and Catalog'!$H$53+'Assumptions and Catalog'!$E$53+'Assumptions and Catalog'!$F$53,IF(((D582+E582)*C582)&lt;='Assumptions and Catalog'!$C$54,((D582+E582)*C582)*'Assumptions and Catalog'!$H$54+'Assumptions and Catalog'!$E$54+'Assumptions and Catalog'!$F$54,IF(((D582+E582)*C582)&lt;='Assumptions and Catalog'!$C$55,((D582+E582)*C582)*'Assumptions and Catalog'!$H$55+'Assumptions and Catalog'!$E$55+'Assumptions and Catalog'!$F$55,IF(((D582+E582)*C582)&lt;='Assumptions and Catalog'!$C$56,((D582+E582)*C582)*'Assumptions and Catalog'!$H$56+'Assumptions and Catalog'!$E$56+'Assumptions and Catalog'!$F$56,IF(((D582+E582)*C582)&lt;='Assumptions and Catalog'!$C$57,((D582+E582)*C582)*'Assumptions and Catalog'!$H$57+'Assumptions and Catalog'!$E$57+'Assumptions and Catalog'!$F$57,"Out of range")))))))),IF(((D582+E582)*C582)&lt;='Assumptions and Catalog'!$C$60,((D582+E582)*C582)*'Assumptions and Catalog'!$H$60+'Assumptions and Catalog'!$E$60+'Assumptions and Catalog'!$F$60,IF(((D582+E582)*C582)&lt;='Assumptions and Catalog'!$C$61,((D582+E582)*C582)*'Assumptions and Catalog'!$H$61+'Assumptions and Catalog'!$E$61+'Assumptions and Catalog'!$F$61,IF(((D582+E582)*C582)&lt;='Assumptions and Catalog'!$C$62,((D582+E582)*C582)*'Assumptions and Catalog'!$H$62+'Assumptions and Catalog'!$E$62+'Assumptions and Catalog'!$F$62,IF(((D582+E582)*C582)&lt;='Assumptions and Catalog'!$C$63,((D582+E582)*C582)*'Assumptions and Catalog'!$H$63+'Assumptions and Catalog'!$E$63+'Assumptions and Catalog'!$F$63,IF(((D582+E582)*C582)&lt;='Assumptions and Catalog'!$C$64,((D582+E582)*C582)*'Assumptions and Catalog'!$H$64+'Assumptions and Catalog'!$E$64+'Assumptions and Catalog'!$F$64,IF(((D582+E582)*C582)&lt;='Assumptions and Catalog'!$C$65,((D582+E582)*C582)*'Assumptions and Catalog'!$H$65+'Assumptions and Catalog'!$E$65+'Assumptions and Catalog'!$F$65,"Out of range")))))))))*(1+'Assumptions and Catalog'!$C$8)^(A582-1),0)</f>
        <v>6867.22</v>
      </c>
      <c r="N582" s="5" t="n">
        <f>IF(ISNUMBER(Inputs!$L$5),(IF(Inputs!$L$9="Actual flat rate",L582*Inputs!$L$10,IF(Inputs!$C$9="Residential",IF(L582&lt;='Assumptions and Catalog'!$C$50,L582*'Assumptions and Catalog'!$H$50+'Assumptions and Catalog'!$E$50+'Assumptions and Catalog'!$F$50,IF(L582&lt;='Assumptions and Catalog'!$C$51,L582*'Assumptions and Catalog'!$H$51+'Assumptions and Catalog'!$E$51+'Assumptions and Catalog'!$F$51,IF(L582&lt;='Assumptions and Catalog'!$C$52,L582*'Assumptions and Catalog'!$H$52+'Assumptions and Catalog'!$E$52+'Assumptions and Catalog'!$F$52,IF(L582&lt;='Assumptions and Catalog'!$C$53,L582*'Assumptions and Catalog'!$H$53+'Assumptions and Catalog'!$E$53+'Assumptions and Catalog'!$F$53,IF(L582&lt;='Assumptions and Catalog'!$C$54,L582*'Assumptions and Catalog'!$H$54+'Assumptions and Catalog'!$E$54+'Assumptions and Catalog'!$F$54,IF(L582&lt;='Assumptions and Catalog'!$C$55,L582*'Assumptions and Catalog'!$H$55+'Assumptions and Catalog'!$E$55+'Assumptions and Catalog'!$F$55,IF(L582&lt;='Assumptions and Catalog'!$C$56,L582*'Assumptions and Catalog'!$H$56+'Assumptions and Catalog'!$E$56+'Assumptions and Catalog'!$F$56,IF(L582&lt;='Assumptions and Catalog'!$C$57,L582*'Assumptions and Catalog'!$H$57+'Assumptions and Catalog'!$E$57+'Assumptions and Catalog'!$F$57,"Out of range")))))))),IF(L582&lt;='Assumptions and Catalog'!$C$60,L582*'Assumptions and Catalog'!$H$60+'Assumptions and Catalog'!$E$60+'Assumptions and Catalog'!$F$60,IF(L582&lt;='Assumptions and Catalog'!$C$61,L582*'Assumptions and Catalog'!$H$61+'Assumptions and Catalog'!$E$61+'Assumptions and Catalog'!$F$61,IF(L582&lt;='Assumptions and Catalog'!$C$62,L582*'Assumptions and Catalog'!$H$62+'Assumptions and Catalog'!$E$62+'Assumptions and Catalog'!$F$62,IF(L582&lt;='Assumptions and Catalog'!$C$63,L582*'Assumptions and Catalog'!$H$63+'Assumptions and Catalog'!$E$63+'Assumptions and Catalog'!$F$63,IF(L582&lt;='Assumptions and Catalog'!$C$64,L582*'Assumptions and Catalog'!$H$64+'Assumptions and Catalog'!$E$64+'Assumptions and Catalog'!$F$64,IF(L582&lt;='Assumptions and Catalog'!$C$65,L582*'Assumptions and Catalog'!$H$65+'Assumptions and Catalog'!$E$65+'Assumptions and Catalog'!$F$65,"Out of range")))))))))*(1+'Assumptions and Catalog'!$C$8)^(A582-1),0)</f>
        <v>6867.22</v>
      </c>
      <c r="O582" s="5" t="n">
        <f>M582-N582</f>
        <v>0</v>
      </c>
      <c r="P582" s="5" t="n">
        <f>D$55*(1-K$14)*(1-'Assumptions and Catalog'!$C$23)^R582</f>
        <v>0</v>
      </c>
      <c r="Q582" s="5" t="n">
        <f>IF(ISNUMBER(Inputs!$L$5),(IF(Inputs!$L$9="Actual flat rate",((D582+E582)*C582-G582)*Inputs!$L$10,IF(Inputs!$C$9="Residential",IF(((D582+E582)*C582-G582)&lt;='Assumptions and Catalog'!$C$50,((D582+E582)*C582-G582)*'Assumptions and Catalog'!$H$50+'Assumptions and Catalog'!$E$50+'Assumptions and Catalog'!$F$50,IF(((D582+E582)*C582-G582)&lt;='Assumptions and Catalog'!$C$51,((D582+E582)*C582-G582)*'Assumptions and Catalog'!$H$51+'Assumptions and Catalog'!$E$51+'Assumptions and Catalog'!$F$51,IF(((D582+E582)*C582-G582)&lt;='Assumptions and Catalog'!$C$52,((D582+E582)*C582-G582)*'Assumptions and Catalog'!$H$52+'Assumptions and Catalog'!$E$52+'Assumptions and Catalog'!$F$52,IF(((D582+E582)*C582-G582)&lt;='Assumptions and Catalog'!$C$53,((D582+E582)*C582-G582)*'Assumptions and Catalog'!$H$53+'Assumptions and Catalog'!$E$53+'Assumptions and Catalog'!$F$53,IF(((D582+E582)*C582-G582)&lt;='Assumptions and Catalog'!$C$54,((D582+E582)*C582-G582)*'Assumptions and Catalog'!$H$54+'Assumptions and Catalog'!$E$54+'Assumptions and Catalog'!$F$54,IF(((D582+E582)*C582-G582)&lt;='Assumptions and Catalog'!$C$55,((D582+E582)*C582-G582)*'Assumptions and Catalog'!$H$55+'Assumptions and Catalog'!$E$55+'Assumptions and Catalog'!$F$55,IF(((D582+E582)*C582-G582)&lt;='Assumptions and Catalog'!$C$56,((D582+E582)*C582-G582)*'Assumptions and Catalog'!$H$56+'Assumptions and Catalog'!$E$56+'Assumptions and Catalog'!$F$56,IF(((D582+E582)*C582-G582)&lt;='Assumptions and Catalog'!$C$57,((D582+E582)*C582-G582)*'Assumptions and Catalog'!$H$57+'Assumptions and Catalog'!$E$57+'Assumptions and Catalog'!$F$57,"Out of range")))))))),IF(((D582+E582)*C582-G582)&lt;='Assumptions and Catalog'!$C$60,((D582+E582)*C582-G582)*'Assumptions and Catalog'!$H$60+'Assumptions and Catalog'!$E$60+'Assumptions and Catalog'!$F$60,IF(((D582+E582)*C582-G582)&lt;='Assumptions and Catalog'!$C$61,((D582+E582)*C582-G582)*'Assumptions and Catalog'!$H$61+'Assumptions and Catalog'!$E$61+'Assumptions and Catalog'!$F$61,IF(((D582+E582)*C582-G582)&lt;='Assumptions and Catalog'!$C$62,((D582+E582)*C582-G582)*'Assumptions and Catalog'!$H$62+'Assumptions and Catalog'!$E$62+'Assumptions and Catalog'!$F$62,IF(((D582+E582)*C582-G582)&lt;='Assumptions and Catalog'!$C$63,((D582+E582)*C582-G582)*'Assumptions and Catalog'!$H$63+'Assumptions and Catalog'!$E$63+'Assumptions and Catalog'!$F$63,IF(((D582+E582)*C582-G582)&lt;='Assumptions and Catalog'!$C$64,((D582+E582)*C582-G582)*'Assumptions and Catalog'!$H$64+'Assumptions and Catalog'!$E$64+'Assumptions and Catalog'!$F$64,IF(((D582+E582)*C582-G582)&lt;='Assumptions and Catalog'!$C$65,((D582+E582)*C582-G582)*'Assumptions and Catalog'!$H$65+'Assumptions and Catalog'!$E$65+'Assumptions and Catalog'!$F$65,"Out of range")))))))))*(1+'Assumptions and Catalog'!$C$8)^(A582-1),0)</f>
        <v>6867.22</v>
      </c>
      <c r="R582" s="5" t="n">
        <f>IF(AND('Assumptions and Catalog'!$C$19&gt;0,A582&gt;='Assumptions and Catalog'!$C$19),A582-'Assumptions and Catalog'!$C$19,A582-1)</f>
        <v>4</v>
      </c>
      <c r="S582" s="5" t="n">
        <f>F582+L582-(D582+E582)*C582-J582-K582-IF(D$52&gt;0,'Assumptions and Catalog'!$C$26*C582,0)</f>
        <v>0</v>
      </c>
      <c r="T582" s="5"/>
      <c r="U582" s="5"/>
    </row>
    <row r="583" ht="23.100000381469727" customHeight="1">
      <c r="A583" s="5" t="n">
        <v>15</v>
      </c>
      <c r="B583" s="5" t="n">
        <v>5</v>
      </c>
      <c r="C583" s="5" t="n">
        <f>DAY(DATE('Assumptions and Catalog'!$C$24+A583-1,B583+1,0))</f>
        <v>31</v>
      </c>
      <c r="D583" s="5" t="n">
        <f>IF(ISNUMBER(Inputs!$L$5),Inputs!$L$5*Inputs!$L$6,0)</f>
        <v>40.35</v>
      </c>
      <c r="E583" s="5" t="n">
        <f>IF(ISNUMBER(Inputs!$L$5),Inputs!$L$5-D583,0)</f>
        <v>40.35</v>
      </c>
      <c r="F583" s="5" t="n">
        <f>D$51*'Assumptions and Catalog'!$C$31*C583*(1-'Assumptions and Catalog'!$C$10)^(A583-1)</f>
        <v>0</v>
      </c>
      <c r="G583" s="5" t="n">
        <f>MIN(F583,D583*C583)</f>
        <v>0</v>
      </c>
      <c r="H583" s="5" t="n">
        <f>I583/('Assumptions and Catalog'!$C$11*'Assumptions and Catalog'!$C$12)</f>
        <v>0</v>
      </c>
      <c r="I583" s="5" t="n">
        <f>IF(K$15="Grid cycle",MIN(K$16,D583+E583,P583*'Assumptions and Catalog'!$C$12,D$57*(24-'Assumptions and Catalog'!$C$15),D$56*'Assumptions and Catalog'!$C$15*'Assumptions and Catalog'!$C$11*'Assumptions and Catalog'!$C$12)*C583,0)</f>
        <v>0</v>
      </c>
      <c r="J583" s="5" t="n">
        <f>MAX(F583-G583-0,0)</f>
        <v>0</v>
      </c>
      <c r="K583" s="5" t="n">
        <f>H583-I583</f>
        <v>0</v>
      </c>
      <c r="L583" s="5" t="n">
        <f>(D583+E583)*C583-G583-I583+H583+IF(D$52&gt;0,'Assumptions and Catalog'!$C$26*C583,0)</f>
        <v>2501.7</v>
      </c>
      <c r="M583" s="5" t="n">
        <f>IF(ISNUMBER(Inputs!$L$5),(IF(Inputs!$L$9="Actual flat rate",((D583+E583)*C583)*Inputs!$L$10,IF(Inputs!$C$9="Residential",IF(((D583+E583)*C583)&lt;='Assumptions and Catalog'!$C$50,((D583+E583)*C583)*'Assumptions and Catalog'!$H$50+'Assumptions and Catalog'!$E$50+'Assumptions and Catalog'!$F$50,IF(((D583+E583)*C583)&lt;='Assumptions and Catalog'!$C$51,((D583+E583)*C583)*'Assumptions and Catalog'!$H$51+'Assumptions and Catalog'!$E$51+'Assumptions and Catalog'!$F$51,IF(((D583+E583)*C583)&lt;='Assumptions and Catalog'!$C$52,((D583+E583)*C583)*'Assumptions and Catalog'!$H$52+'Assumptions and Catalog'!$E$52+'Assumptions and Catalog'!$F$52,IF(((D583+E583)*C583)&lt;='Assumptions and Catalog'!$C$53,((D583+E583)*C583)*'Assumptions and Catalog'!$H$53+'Assumptions and Catalog'!$E$53+'Assumptions and Catalog'!$F$53,IF(((D583+E583)*C583)&lt;='Assumptions and Catalog'!$C$54,((D583+E583)*C583)*'Assumptions and Catalog'!$H$54+'Assumptions and Catalog'!$E$54+'Assumptions and Catalog'!$F$54,IF(((D583+E583)*C583)&lt;='Assumptions and Catalog'!$C$55,((D583+E583)*C583)*'Assumptions and Catalog'!$H$55+'Assumptions and Catalog'!$E$55+'Assumptions and Catalog'!$F$55,IF(((D583+E583)*C583)&lt;='Assumptions and Catalog'!$C$56,((D583+E583)*C583)*'Assumptions and Catalog'!$H$56+'Assumptions and Catalog'!$E$56+'Assumptions and Catalog'!$F$56,IF(((D583+E583)*C583)&lt;='Assumptions and Catalog'!$C$57,((D583+E583)*C583)*'Assumptions and Catalog'!$H$57+'Assumptions and Catalog'!$E$57+'Assumptions and Catalog'!$F$57,"Out of range")))))))),IF(((D583+E583)*C583)&lt;='Assumptions and Catalog'!$C$60,((D583+E583)*C583)*'Assumptions and Catalog'!$H$60+'Assumptions and Catalog'!$E$60+'Assumptions and Catalog'!$F$60,IF(((D583+E583)*C583)&lt;='Assumptions and Catalog'!$C$61,((D583+E583)*C583)*'Assumptions and Catalog'!$H$61+'Assumptions and Catalog'!$E$61+'Assumptions and Catalog'!$F$61,IF(((D583+E583)*C583)&lt;='Assumptions and Catalog'!$C$62,((D583+E583)*C583)*'Assumptions and Catalog'!$H$62+'Assumptions and Catalog'!$E$62+'Assumptions and Catalog'!$F$62,IF(((D583+E583)*C583)&lt;='Assumptions and Catalog'!$C$63,((D583+E583)*C583)*'Assumptions and Catalog'!$H$63+'Assumptions and Catalog'!$E$63+'Assumptions and Catalog'!$F$63,IF(((D583+E583)*C583)&lt;='Assumptions and Catalog'!$C$64,((D583+E583)*C583)*'Assumptions and Catalog'!$H$64+'Assumptions and Catalog'!$E$64+'Assumptions and Catalog'!$F$64,IF(((D583+E583)*C583)&lt;='Assumptions and Catalog'!$C$65,((D583+E583)*C583)*'Assumptions and Catalog'!$H$65+'Assumptions and Catalog'!$E$65+'Assumptions and Catalog'!$F$65,"Out of range")))))))))*(1+'Assumptions and Catalog'!$C$8)^(A583-1),0)</f>
        <v>7094.794</v>
      </c>
      <c r="N583" s="5" t="n">
        <f>IF(ISNUMBER(Inputs!$L$5),(IF(Inputs!$L$9="Actual flat rate",L583*Inputs!$L$10,IF(Inputs!$C$9="Residential",IF(L583&lt;='Assumptions and Catalog'!$C$50,L583*'Assumptions and Catalog'!$H$50+'Assumptions and Catalog'!$E$50+'Assumptions and Catalog'!$F$50,IF(L583&lt;='Assumptions and Catalog'!$C$51,L583*'Assumptions and Catalog'!$H$51+'Assumptions and Catalog'!$E$51+'Assumptions and Catalog'!$F$51,IF(L583&lt;='Assumptions and Catalog'!$C$52,L583*'Assumptions and Catalog'!$H$52+'Assumptions and Catalog'!$E$52+'Assumptions and Catalog'!$F$52,IF(L583&lt;='Assumptions and Catalog'!$C$53,L583*'Assumptions and Catalog'!$H$53+'Assumptions and Catalog'!$E$53+'Assumptions and Catalog'!$F$53,IF(L583&lt;='Assumptions and Catalog'!$C$54,L583*'Assumptions and Catalog'!$H$54+'Assumptions and Catalog'!$E$54+'Assumptions and Catalog'!$F$54,IF(L583&lt;='Assumptions and Catalog'!$C$55,L583*'Assumptions and Catalog'!$H$55+'Assumptions and Catalog'!$E$55+'Assumptions and Catalog'!$F$55,IF(L583&lt;='Assumptions and Catalog'!$C$56,L583*'Assumptions and Catalog'!$H$56+'Assumptions and Catalog'!$E$56+'Assumptions and Catalog'!$F$56,IF(L583&lt;='Assumptions and Catalog'!$C$57,L583*'Assumptions and Catalog'!$H$57+'Assumptions and Catalog'!$E$57+'Assumptions and Catalog'!$F$57,"Out of range")))))))),IF(L583&lt;='Assumptions and Catalog'!$C$60,L583*'Assumptions and Catalog'!$H$60+'Assumptions and Catalog'!$E$60+'Assumptions and Catalog'!$F$60,IF(L583&lt;='Assumptions and Catalog'!$C$61,L583*'Assumptions and Catalog'!$H$61+'Assumptions and Catalog'!$E$61+'Assumptions and Catalog'!$F$61,IF(L583&lt;='Assumptions and Catalog'!$C$62,L583*'Assumptions and Catalog'!$H$62+'Assumptions and Catalog'!$E$62+'Assumptions and Catalog'!$F$62,IF(L583&lt;='Assumptions and Catalog'!$C$63,L583*'Assumptions and Catalog'!$H$63+'Assumptions and Catalog'!$E$63+'Assumptions and Catalog'!$F$63,IF(L583&lt;='Assumptions and Catalog'!$C$64,L583*'Assumptions and Catalog'!$H$64+'Assumptions and Catalog'!$E$64+'Assumptions and Catalog'!$F$64,IF(L583&lt;='Assumptions and Catalog'!$C$65,L583*'Assumptions and Catalog'!$H$65+'Assumptions and Catalog'!$E$65+'Assumptions and Catalog'!$F$65,"Out of range")))))))))*(1+'Assumptions and Catalog'!$C$8)^(A583-1),0)</f>
        <v>7094.794</v>
      </c>
      <c r="O583" s="5" t="n">
        <f>M583-N583</f>
        <v>0</v>
      </c>
      <c r="P583" s="5" t="n">
        <f>D$55*(1-K$14)*(1-'Assumptions and Catalog'!$C$23)^R583</f>
        <v>0</v>
      </c>
      <c r="Q583" s="5" t="n">
        <f>IF(ISNUMBER(Inputs!$L$5),(IF(Inputs!$L$9="Actual flat rate",((D583+E583)*C583-G583)*Inputs!$L$10,IF(Inputs!$C$9="Residential",IF(((D583+E583)*C583-G583)&lt;='Assumptions and Catalog'!$C$50,((D583+E583)*C583-G583)*'Assumptions and Catalog'!$H$50+'Assumptions and Catalog'!$E$50+'Assumptions and Catalog'!$F$50,IF(((D583+E583)*C583-G583)&lt;='Assumptions and Catalog'!$C$51,((D583+E583)*C583-G583)*'Assumptions and Catalog'!$H$51+'Assumptions and Catalog'!$E$51+'Assumptions and Catalog'!$F$51,IF(((D583+E583)*C583-G583)&lt;='Assumptions and Catalog'!$C$52,((D583+E583)*C583-G583)*'Assumptions and Catalog'!$H$52+'Assumptions and Catalog'!$E$52+'Assumptions and Catalog'!$F$52,IF(((D583+E583)*C583-G583)&lt;='Assumptions and Catalog'!$C$53,((D583+E583)*C583-G583)*'Assumptions and Catalog'!$H$53+'Assumptions and Catalog'!$E$53+'Assumptions and Catalog'!$F$53,IF(((D583+E583)*C583-G583)&lt;='Assumptions and Catalog'!$C$54,((D583+E583)*C583-G583)*'Assumptions and Catalog'!$H$54+'Assumptions and Catalog'!$E$54+'Assumptions and Catalog'!$F$54,IF(((D583+E583)*C583-G583)&lt;='Assumptions and Catalog'!$C$55,((D583+E583)*C583-G583)*'Assumptions and Catalog'!$H$55+'Assumptions and Catalog'!$E$55+'Assumptions and Catalog'!$F$55,IF(((D583+E583)*C583-G583)&lt;='Assumptions and Catalog'!$C$56,((D583+E583)*C583-G583)*'Assumptions and Catalog'!$H$56+'Assumptions and Catalog'!$E$56+'Assumptions and Catalog'!$F$56,IF(((D583+E583)*C583-G583)&lt;='Assumptions and Catalog'!$C$57,((D583+E583)*C583-G583)*'Assumptions and Catalog'!$H$57+'Assumptions and Catalog'!$E$57+'Assumptions and Catalog'!$F$57,"Out of range")))))))),IF(((D583+E583)*C583-G583)&lt;='Assumptions and Catalog'!$C$60,((D583+E583)*C583-G583)*'Assumptions and Catalog'!$H$60+'Assumptions and Catalog'!$E$60+'Assumptions and Catalog'!$F$60,IF(((D583+E583)*C583-G583)&lt;='Assumptions and Catalog'!$C$61,((D583+E583)*C583-G583)*'Assumptions and Catalog'!$H$61+'Assumptions and Catalog'!$E$61+'Assumptions and Catalog'!$F$61,IF(((D583+E583)*C583-G583)&lt;='Assumptions and Catalog'!$C$62,((D583+E583)*C583-G583)*'Assumptions and Catalog'!$H$62+'Assumptions and Catalog'!$E$62+'Assumptions and Catalog'!$F$62,IF(((D583+E583)*C583-G583)&lt;='Assumptions and Catalog'!$C$63,((D583+E583)*C583-G583)*'Assumptions and Catalog'!$H$63+'Assumptions and Catalog'!$E$63+'Assumptions and Catalog'!$F$63,IF(((D583+E583)*C583-G583)&lt;='Assumptions and Catalog'!$C$64,((D583+E583)*C583-G583)*'Assumptions and Catalog'!$H$64+'Assumptions and Catalog'!$E$64+'Assumptions and Catalog'!$F$64,IF(((D583+E583)*C583-G583)&lt;='Assumptions and Catalog'!$C$65,((D583+E583)*C583-G583)*'Assumptions and Catalog'!$H$65+'Assumptions and Catalog'!$E$65+'Assumptions and Catalog'!$F$65,"Out of range")))))))))*(1+'Assumptions and Catalog'!$C$8)^(A583-1),0)</f>
        <v>7094.794</v>
      </c>
      <c r="R583" s="5" t="n">
        <f>IF(AND('Assumptions and Catalog'!$C$19&gt;0,A583&gt;='Assumptions and Catalog'!$C$19),A583-'Assumptions and Catalog'!$C$19,A583-1)</f>
        <v>4</v>
      </c>
      <c r="S583" s="5" t="n">
        <f>F583+L583-(D583+E583)*C583-J583-K583-IF(D$52&gt;0,'Assumptions and Catalog'!$C$26*C583,0)</f>
        <v>0</v>
      </c>
      <c r="T583" s="5"/>
      <c r="U583" s="5"/>
    </row>
    <row r="584" ht="23.100000381469727" customHeight="1">
      <c r="A584" s="5" t="n">
        <v>15</v>
      </c>
      <c r="B584" s="5" t="n">
        <v>6</v>
      </c>
      <c r="C584" s="5" t="n">
        <f>DAY(DATE('Assumptions and Catalog'!$C$24+A584-1,B584+1,0))</f>
        <v>30</v>
      </c>
      <c r="D584" s="5" t="n">
        <f>IF(ISNUMBER(Inputs!$L$5),Inputs!$L$5*Inputs!$L$6,0)</f>
        <v>40.35</v>
      </c>
      <c r="E584" s="5" t="n">
        <f>IF(ISNUMBER(Inputs!$L$5),Inputs!$L$5-D584,0)</f>
        <v>40.35</v>
      </c>
      <c r="F584" s="5" t="n">
        <f>D$51*'Assumptions and Catalog'!$C$31*C584*(1-'Assumptions and Catalog'!$C$10)^(A584-1)</f>
        <v>0</v>
      </c>
      <c r="G584" s="5" t="n">
        <f>MIN(F584,D584*C584)</f>
        <v>0</v>
      </c>
      <c r="H584" s="5" t="n">
        <f>I584/('Assumptions and Catalog'!$C$11*'Assumptions and Catalog'!$C$12)</f>
        <v>0</v>
      </c>
      <c r="I584" s="5" t="n">
        <f>IF(K$15="Grid cycle",MIN(K$16,D584+E584,P584*'Assumptions and Catalog'!$C$12,D$57*(24-'Assumptions and Catalog'!$C$15),D$56*'Assumptions and Catalog'!$C$15*'Assumptions and Catalog'!$C$11*'Assumptions and Catalog'!$C$12)*C584,0)</f>
        <v>0</v>
      </c>
      <c r="J584" s="5" t="n">
        <f>MAX(F584-G584-0,0)</f>
        <v>0</v>
      </c>
      <c r="K584" s="5" t="n">
        <f>H584-I584</f>
        <v>0</v>
      </c>
      <c r="L584" s="5" t="n">
        <f>(D584+E584)*C584-G584-I584+H584+IF(D$52&gt;0,'Assumptions and Catalog'!$C$26*C584,0)</f>
        <v>2421</v>
      </c>
      <c r="M584" s="5" t="n">
        <f>IF(ISNUMBER(Inputs!$L$5),(IF(Inputs!$L$9="Actual flat rate",((D584+E584)*C584)*Inputs!$L$10,IF(Inputs!$C$9="Residential",IF(((D584+E584)*C584)&lt;='Assumptions and Catalog'!$C$50,((D584+E584)*C584)*'Assumptions and Catalog'!$H$50+'Assumptions and Catalog'!$E$50+'Assumptions and Catalog'!$F$50,IF(((D584+E584)*C584)&lt;='Assumptions and Catalog'!$C$51,((D584+E584)*C584)*'Assumptions and Catalog'!$H$51+'Assumptions and Catalog'!$E$51+'Assumptions and Catalog'!$F$51,IF(((D584+E584)*C584)&lt;='Assumptions and Catalog'!$C$52,((D584+E584)*C584)*'Assumptions and Catalog'!$H$52+'Assumptions and Catalog'!$E$52+'Assumptions and Catalog'!$F$52,IF(((D584+E584)*C584)&lt;='Assumptions and Catalog'!$C$53,((D584+E584)*C584)*'Assumptions and Catalog'!$H$53+'Assumptions and Catalog'!$E$53+'Assumptions and Catalog'!$F$53,IF(((D584+E584)*C584)&lt;='Assumptions and Catalog'!$C$54,((D584+E584)*C584)*'Assumptions and Catalog'!$H$54+'Assumptions and Catalog'!$E$54+'Assumptions and Catalog'!$F$54,IF(((D584+E584)*C584)&lt;='Assumptions and Catalog'!$C$55,((D584+E584)*C584)*'Assumptions and Catalog'!$H$55+'Assumptions and Catalog'!$E$55+'Assumptions and Catalog'!$F$55,IF(((D584+E584)*C584)&lt;='Assumptions and Catalog'!$C$56,((D584+E584)*C584)*'Assumptions and Catalog'!$H$56+'Assumptions and Catalog'!$E$56+'Assumptions and Catalog'!$F$56,IF(((D584+E584)*C584)&lt;='Assumptions and Catalog'!$C$57,((D584+E584)*C584)*'Assumptions and Catalog'!$H$57+'Assumptions and Catalog'!$E$57+'Assumptions and Catalog'!$F$57,"Out of range")))))))),IF(((D584+E584)*C584)&lt;='Assumptions and Catalog'!$C$60,((D584+E584)*C584)*'Assumptions and Catalog'!$H$60+'Assumptions and Catalog'!$E$60+'Assumptions and Catalog'!$F$60,IF(((D584+E584)*C584)&lt;='Assumptions and Catalog'!$C$61,((D584+E584)*C584)*'Assumptions and Catalog'!$H$61+'Assumptions and Catalog'!$E$61+'Assumptions and Catalog'!$F$61,IF(((D584+E584)*C584)&lt;='Assumptions and Catalog'!$C$62,((D584+E584)*C584)*'Assumptions and Catalog'!$H$62+'Assumptions and Catalog'!$E$62+'Assumptions and Catalog'!$F$62,IF(((D584+E584)*C584)&lt;='Assumptions and Catalog'!$C$63,((D584+E584)*C584)*'Assumptions and Catalog'!$H$63+'Assumptions and Catalog'!$E$63+'Assumptions and Catalog'!$F$63,IF(((D584+E584)*C584)&lt;='Assumptions and Catalog'!$C$64,((D584+E584)*C584)*'Assumptions and Catalog'!$H$64+'Assumptions and Catalog'!$E$64+'Assumptions and Catalog'!$F$64,IF(((D584+E584)*C584)&lt;='Assumptions and Catalog'!$C$65,((D584+E584)*C584)*'Assumptions and Catalog'!$H$65+'Assumptions and Catalog'!$E$65+'Assumptions and Catalog'!$F$65,"Out of range")))))))))*(1+'Assumptions and Catalog'!$C$8)^(A584-1),0)</f>
        <v>6867.22</v>
      </c>
      <c r="N584" s="5" t="n">
        <f>IF(ISNUMBER(Inputs!$L$5),(IF(Inputs!$L$9="Actual flat rate",L584*Inputs!$L$10,IF(Inputs!$C$9="Residential",IF(L584&lt;='Assumptions and Catalog'!$C$50,L584*'Assumptions and Catalog'!$H$50+'Assumptions and Catalog'!$E$50+'Assumptions and Catalog'!$F$50,IF(L584&lt;='Assumptions and Catalog'!$C$51,L584*'Assumptions and Catalog'!$H$51+'Assumptions and Catalog'!$E$51+'Assumptions and Catalog'!$F$51,IF(L584&lt;='Assumptions and Catalog'!$C$52,L584*'Assumptions and Catalog'!$H$52+'Assumptions and Catalog'!$E$52+'Assumptions and Catalog'!$F$52,IF(L584&lt;='Assumptions and Catalog'!$C$53,L584*'Assumptions and Catalog'!$H$53+'Assumptions and Catalog'!$E$53+'Assumptions and Catalog'!$F$53,IF(L584&lt;='Assumptions and Catalog'!$C$54,L584*'Assumptions and Catalog'!$H$54+'Assumptions and Catalog'!$E$54+'Assumptions and Catalog'!$F$54,IF(L584&lt;='Assumptions and Catalog'!$C$55,L584*'Assumptions and Catalog'!$H$55+'Assumptions and Catalog'!$E$55+'Assumptions and Catalog'!$F$55,IF(L584&lt;='Assumptions and Catalog'!$C$56,L584*'Assumptions and Catalog'!$H$56+'Assumptions and Catalog'!$E$56+'Assumptions and Catalog'!$F$56,IF(L584&lt;='Assumptions and Catalog'!$C$57,L584*'Assumptions and Catalog'!$H$57+'Assumptions and Catalog'!$E$57+'Assumptions and Catalog'!$F$57,"Out of range")))))))),IF(L584&lt;='Assumptions and Catalog'!$C$60,L584*'Assumptions and Catalog'!$H$60+'Assumptions and Catalog'!$E$60+'Assumptions and Catalog'!$F$60,IF(L584&lt;='Assumptions and Catalog'!$C$61,L584*'Assumptions and Catalog'!$H$61+'Assumptions and Catalog'!$E$61+'Assumptions and Catalog'!$F$61,IF(L584&lt;='Assumptions and Catalog'!$C$62,L584*'Assumptions and Catalog'!$H$62+'Assumptions and Catalog'!$E$62+'Assumptions and Catalog'!$F$62,IF(L584&lt;='Assumptions and Catalog'!$C$63,L584*'Assumptions and Catalog'!$H$63+'Assumptions and Catalog'!$E$63+'Assumptions and Catalog'!$F$63,IF(L584&lt;='Assumptions and Catalog'!$C$64,L584*'Assumptions and Catalog'!$H$64+'Assumptions and Catalog'!$E$64+'Assumptions and Catalog'!$F$64,IF(L584&lt;='Assumptions and Catalog'!$C$65,L584*'Assumptions and Catalog'!$H$65+'Assumptions and Catalog'!$E$65+'Assumptions and Catalog'!$F$65,"Out of range")))))))))*(1+'Assumptions and Catalog'!$C$8)^(A584-1),0)</f>
        <v>6867.22</v>
      </c>
      <c r="O584" s="5" t="n">
        <f>M584-N584</f>
        <v>0</v>
      </c>
      <c r="P584" s="5" t="n">
        <f>D$55*(1-K$14)*(1-'Assumptions and Catalog'!$C$23)^R584</f>
        <v>0</v>
      </c>
      <c r="Q584" s="5" t="n">
        <f>IF(ISNUMBER(Inputs!$L$5),(IF(Inputs!$L$9="Actual flat rate",((D584+E584)*C584-G584)*Inputs!$L$10,IF(Inputs!$C$9="Residential",IF(((D584+E584)*C584-G584)&lt;='Assumptions and Catalog'!$C$50,((D584+E584)*C584-G584)*'Assumptions and Catalog'!$H$50+'Assumptions and Catalog'!$E$50+'Assumptions and Catalog'!$F$50,IF(((D584+E584)*C584-G584)&lt;='Assumptions and Catalog'!$C$51,((D584+E584)*C584-G584)*'Assumptions and Catalog'!$H$51+'Assumptions and Catalog'!$E$51+'Assumptions and Catalog'!$F$51,IF(((D584+E584)*C584-G584)&lt;='Assumptions and Catalog'!$C$52,((D584+E584)*C584-G584)*'Assumptions and Catalog'!$H$52+'Assumptions and Catalog'!$E$52+'Assumptions and Catalog'!$F$52,IF(((D584+E584)*C584-G584)&lt;='Assumptions and Catalog'!$C$53,((D584+E584)*C584-G584)*'Assumptions and Catalog'!$H$53+'Assumptions and Catalog'!$E$53+'Assumptions and Catalog'!$F$53,IF(((D584+E584)*C584-G584)&lt;='Assumptions and Catalog'!$C$54,((D584+E584)*C584-G584)*'Assumptions and Catalog'!$H$54+'Assumptions and Catalog'!$E$54+'Assumptions and Catalog'!$F$54,IF(((D584+E584)*C584-G584)&lt;='Assumptions and Catalog'!$C$55,((D584+E584)*C584-G584)*'Assumptions and Catalog'!$H$55+'Assumptions and Catalog'!$E$55+'Assumptions and Catalog'!$F$55,IF(((D584+E584)*C584-G584)&lt;='Assumptions and Catalog'!$C$56,((D584+E584)*C584-G584)*'Assumptions and Catalog'!$H$56+'Assumptions and Catalog'!$E$56+'Assumptions and Catalog'!$F$56,IF(((D584+E584)*C584-G584)&lt;='Assumptions and Catalog'!$C$57,((D584+E584)*C584-G584)*'Assumptions and Catalog'!$H$57+'Assumptions and Catalog'!$E$57+'Assumptions and Catalog'!$F$57,"Out of range")))))))),IF(((D584+E584)*C584-G584)&lt;='Assumptions and Catalog'!$C$60,((D584+E584)*C584-G584)*'Assumptions and Catalog'!$H$60+'Assumptions and Catalog'!$E$60+'Assumptions and Catalog'!$F$60,IF(((D584+E584)*C584-G584)&lt;='Assumptions and Catalog'!$C$61,((D584+E584)*C584-G584)*'Assumptions and Catalog'!$H$61+'Assumptions and Catalog'!$E$61+'Assumptions and Catalog'!$F$61,IF(((D584+E584)*C584-G584)&lt;='Assumptions and Catalog'!$C$62,((D584+E584)*C584-G584)*'Assumptions and Catalog'!$H$62+'Assumptions and Catalog'!$E$62+'Assumptions and Catalog'!$F$62,IF(((D584+E584)*C584-G584)&lt;='Assumptions and Catalog'!$C$63,((D584+E584)*C584-G584)*'Assumptions and Catalog'!$H$63+'Assumptions and Catalog'!$E$63+'Assumptions and Catalog'!$F$63,IF(((D584+E584)*C584-G584)&lt;='Assumptions and Catalog'!$C$64,((D584+E584)*C584-G584)*'Assumptions and Catalog'!$H$64+'Assumptions and Catalog'!$E$64+'Assumptions and Catalog'!$F$64,IF(((D584+E584)*C584-G584)&lt;='Assumptions and Catalog'!$C$65,((D584+E584)*C584-G584)*'Assumptions and Catalog'!$H$65+'Assumptions and Catalog'!$E$65+'Assumptions and Catalog'!$F$65,"Out of range")))))))))*(1+'Assumptions and Catalog'!$C$8)^(A584-1),0)</f>
        <v>6867.22</v>
      </c>
      <c r="R584" s="5" t="n">
        <f>IF(AND('Assumptions and Catalog'!$C$19&gt;0,A584&gt;='Assumptions and Catalog'!$C$19),A584-'Assumptions and Catalog'!$C$19,A584-1)</f>
        <v>4</v>
      </c>
      <c r="S584" s="5" t="n">
        <f>F584+L584-(D584+E584)*C584-J584-K584-IF(D$52&gt;0,'Assumptions and Catalog'!$C$26*C584,0)</f>
        <v>0</v>
      </c>
      <c r="T584" s="5"/>
      <c r="U584" s="5"/>
    </row>
    <row r="585" ht="23.100000381469727" customHeight="1">
      <c r="A585" s="5" t="n">
        <v>15</v>
      </c>
      <c r="B585" s="5" t="n">
        <v>7</v>
      </c>
      <c r="C585" s="5" t="n">
        <f>DAY(DATE('Assumptions and Catalog'!$C$24+A585-1,B585+1,0))</f>
        <v>31</v>
      </c>
      <c r="D585" s="5" t="n">
        <f>IF(ISNUMBER(Inputs!$L$5),Inputs!$L$5*Inputs!$L$6,0)</f>
        <v>40.35</v>
      </c>
      <c r="E585" s="5" t="n">
        <f>IF(ISNUMBER(Inputs!$L$5),Inputs!$L$5-D585,0)</f>
        <v>40.35</v>
      </c>
      <c r="F585" s="5" t="n">
        <f>D$51*'Assumptions and Catalog'!$C$31*C585*(1-'Assumptions and Catalog'!$C$10)^(A585-1)</f>
        <v>0</v>
      </c>
      <c r="G585" s="5" t="n">
        <f>MIN(F585,D585*C585)</f>
        <v>0</v>
      </c>
      <c r="H585" s="5" t="n">
        <f>I585/('Assumptions and Catalog'!$C$11*'Assumptions and Catalog'!$C$12)</f>
        <v>0</v>
      </c>
      <c r="I585" s="5" t="n">
        <f>IF(K$15="Grid cycle",MIN(K$16,D585+E585,P585*'Assumptions and Catalog'!$C$12,D$57*(24-'Assumptions and Catalog'!$C$15),D$56*'Assumptions and Catalog'!$C$15*'Assumptions and Catalog'!$C$11*'Assumptions and Catalog'!$C$12)*C585,0)</f>
        <v>0</v>
      </c>
      <c r="J585" s="5" t="n">
        <f>MAX(F585-G585-0,0)</f>
        <v>0</v>
      </c>
      <c r="K585" s="5" t="n">
        <f>H585-I585</f>
        <v>0</v>
      </c>
      <c r="L585" s="5" t="n">
        <f>(D585+E585)*C585-G585-I585+H585+IF(D$52&gt;0,'Assumptions and Catalog'!$C$26*C585,0)</f>
        <v>2501.7</v>
      </c>
      <c r="M585" s="5" t="n">
        <f>IF(ISNUMBER(Inputs!$L$5),(IF(Inputs!$L$9="Actual flat rate",((D585+E585)*C585)*Inputs!$L$10,IF(Inputs!$C$9="Residential",IF(((D585+E585)*C585)&lt;='Assumptions and Catalog'!$C$50,((D585+E585)*C585)*'Assumptions and Catalog'!$H$50+'Assumptions and Catalog'!$E$50+'Assumptions and Catalog'!$F$50,IF(((D585+E585)*C585)&lt;='Assumptions and Catalog'!$C$51,((D585+E585)*C585)*'Assumptions and Catalog'!$H$51+'Assumptions and Catalog'!$E$51+'Assumptions and Catalog'!$F$51,IF(((D585+E585)*C585)&lt;='Assumptions and Catalog'!$C$52,((D585+E585)*C585)*'Assumptions and Catalog'!$H$52+'Assumptions and Catalog'!$E$52+'Assumptions and Catalog'!$F$52,IF(((D585+E585)*C585)&lt;='Assumptions and Catalog'!$C$53,((D585+E585)*C585)*'Assumptions and Catalog'!$H$53+'Assumptions and Catalog'!$E$53+'Assumptions and Catalog'!$F$53,IF(((D585+E585)*C585)&lt;='Assumptions and Catalog'!$C$54,((D585+E585)*C585)*'Assumptions and Catalog'!$H$54+'Assumptions and Catalog'!$E$54+'Assumptions and Catalog'!$F$54,IF(((D585+E585)*C585)&lt;='Assumptions and Catalog'!$C$55,((D585+E585)*C585)*'Assumptions and Catalog'!$H$55+'Assumptions and Catalog'!$E$55+'Assumptions and Catalog'!$F$55,IF(((D585+E585)*C585)&lt;='Assumptions and Catalog'!$C$56,((D585+E585)*C585)*'Assumptions and Catalog'!$H$56+'Assumptions and Catalog'!$E$56+'Assumptions and Catalog'!$F$56,IF(((D585+E585)*C585)&lt;='Assumptions and Catalog'!$C$57,((D585+E585)*C585)*'Assumptions and Catalog'!$H$57+'Assumptions and Catalog'!$E$57+'Assumptions and Catalog'!$F$57,"Out of range")))))))),IF(((D585+E585)*C585)&lt;='Assumptions and Catalog'!$C$60,((D585+E585)*C585)*'Assumptions and Catalog'!$H$60+'Assumptions and Catalog'!$E$60+'Assumptions and Catalog'!$F$60,IF(((D585+E585)*C585)&lt;='Assumptions and Catalog'!$C$61,((D585+E585)*C585)*'Assumptions and Catalog'!$H$61+'Assumptions and Catalog'!$E$61+'Assumptions and Catalog'!$F$61,IF(((D585+E585)*C585)&lt;='Assumptions and Catalog'!$C$62,((D585+E585)*C585)*'Assumptions and Catalog'!$H$62+'Assumptions and Catalog'!$E$62+'Assumptions and Catalog'!$F$62,IF(((D585+E585)*C585)&lt;='Assumptions and Catalog'!$C$63,((D585+E585)*C585)*'Assumptions and Catalog'!$H$63+'Assumptions and Catalog'!$E$63+'Assumptions and Catalog'!$F$63,IF(((D585+E585)*C585)&lt;='Assumptions and Catalog'!$C$64,((D585+E585)*C585)*'Assumptions and Catalog'!$H$64+'Assumptions and Catalog'!$E$64+'Assumptions and Catalog'!$F$64,IF(((D585+E585)*C585)&lt;='Assumptions and Catalog'!$C$65,((D585+E585)*C585)*'Assumptions and Catalog'!$H$65+'Assumptions and Catalog'!$E$65+'Assumptions and Catalog'!$F$65,"Out of range")))))))))*(1+'Assumptions and Catalog'!$C$8)^(A585-1),0)</f>
        <v>7094.794</v>
      </c>
      <c r="N585" s="5" t="n">
        <f>IF(ISNUMBER(Inputs!$L$5),(IF(Inputs!$L$9="Actual flat rate",L585*Inputs!$L$10,IF(Inputs!$C$9="Residential",IF(L585&lt;='Assumptions and Catalog'!$C$50,L585*'Assumptions and Catalog'!$H$50+'Assumptions and Catalog'!$E$50+'Assumptions and Catalog'!$F$50,IF(L585&lt;='Assumptions and Catalog'!$C$51,L585*'Assumptions and Catalog'!$H$51+'Assumptions and Catalog'!$E$51+'Assumptions and Catalog'!$F$51,IF(L585&lt;='Assumptions and Catalog'!$C$52,L585*'Assumptions and Catalog'!$H$52+'Assumptions and Catalog'!$E$52+'Assumptions and Catalog'!$F$52,IF(L585&lt;='Assumptions and Catalog'!$C$53,L585*'Assumptions and Catalog'!$H$53+'Assumptions and Catalog'!$E$53+'Assumptions and Catalog'!$F$53,IF(L585&lt;='Assumptions and Catalog'!$C$54,L585*'Assumptions and Catalog'!$H$54+'Assumptions and Catalog'!$E$54+'Assumptions and Catalog'!$F$54,IF(L585&lt;='Assumptions and Catalog'!$C$55,L585*'Assumptions and Catalog'!$H$55+'Assumptions and Catalog'!$E$55+'Assumptions and Catalog'!$F$55,IF(L585&lt;='Assumptions and Catalog'!$C$56,L585*'Assumptions and Catalog'!$H$56+'Assumptions and Catalog'!$E$56+'Assumptions and Catalog'!$F$56,IF(L585&lt;='Assumptions and Catalog'!$C$57,L585*'Assumptions and Catalog'!$H$57+'Assumptions and Catalog'!$E$57+'Assumptions and Catalog'!$F$57,"Out of range")))))))),IF(L585&lt;='Assumptions and Catalog'!$C$60,L585*'Assumptions and Catalog'!$H$60+'Assumptions and Catalog'!$E$60+'Assumptions and Catalog'!$F$60,IF(L585&lt;='Assumptions and Catalog'!$C$61,L585*'Assumptions and Catalog'!$H$61+'Assumptions and Catalog'!$E$61+'Assumptions and Catalog'!$F$61,IF(L585&lt;='Assumptions and Catalog'!$C$62,L585*'Assumptions and Catalog'!$H$62+'Assumptions and Catalog'!$E$62+'Assumptions and Catalog'!$F$62,IF(L585&lt;='Assumptions and Catalog'!$C$63,L585*'Assumptions and Catalog'!$H$63+'Assumptions and Catalog'!$E$63+'Assumptions and Catalog'!$F$63,IF(L585&lt;='Assumptions and Catalog'!$C$64,L585*'Assumptions and Catalog'!$H$64+'Assumptions and Catalog'!$E$64+'Assumptions and Catalog'!$F$64,IF(L585&lt;='Assumptions and Catalog'!$C$65,L585*'Assumptions and Catalog'!$H$65+'Assumptions and Catalog'!$E$65+'Assumptions and Catalog'!$F$65,"Out of range")))))))))*(1+'Assumptions and Catalog'!$C$8)^(A585-1),0)</f>
        <v>7094.794</v>
      </c>
      <c r="O585" s="5" t="n">
        <f>M585-N585</f>
        <v>0</v>
      </c>
      <c r="P585" s="5" t="n">
        <f>D$55*(1-K$14)*(1-'Assumptions and Catalog'!$C$23)^R585</f>
        <v>0</v>
      </c>
      <c r="Q585" s="5" t="n">
        <f>IF(ISNUMBER(Inputs!$L$5),(IF(Inputs!$L$9="Actual flat rate",((D585+E585)*C585-G585)*Inputs!$L$10,IF(Inputs!$C$9="Residential",IF(((D585+E585)*C585-G585)&lt;='Assumptions and Catalog'!$C$50,((D585+E585)*C585-G585)*'Assumptions and Catalog'!$H$50+'Assumptions and Catalog'!$E$50+'Assumptions and Catalog'!$F$50,IF(((D585+E585)*C585-G585)&lt;='Assumptions and Catalog'!$C$51,((D585+E585)*C585-G585)*'Assumptions and Catalog'!$H$51+'Assumptions and Catalog'!$E$51+'Assumptions and Catalog'!$F$51,IF(((D585+E585)*C585-G585)&lt;='Assumptions and Catalog'!$C$52,((D585+E585)*C585-G585)*'Assumptions and Catalog'!$H$52+'Assumptions and Catalog'!$E$52+'Assumptions and Catalog'!$F$52,IF(((D585+E585)*C585-G585)&lt;='Assumptions and Catalog'!$C$53,((D585+E585)*C585-G585)*'Assumptions and Catalog'!$H$53+'Assumptions and Catalog'!$E$53+'Assumptions and Catalog'!$F$53,IF(((D585+E585)*C585-G585)&lt;='Assumptions and Catalog'!$C$54,((D585+E585)*C585-G585)*'Assumptions and Catalog'!$H$54+'Assumptions and Catalog'!$E$54+'Assumptions and Catalog'!$F$54,IF(((D585+E585)*C585-G585)&lt;='Assumptions and Catalog'!$C$55,((D585+E585)*C585-G585)*'Assumptions and Catalog'!$H$55+'Assumptions and Catalog'!$E$55+'Assumptions and Catalog'!$F$55,IF(((D585+E585)*C585-G585)&lt;='Assumptions and Catalog'!$C$56,((D585+E585)*C585-G585)*'Assumptions and Catalog'!$H$56+'Assumptions and Catalog'!$E$56+'Assumptions and Catalog'!$F$56,IF(((D585+E585)*C585-G585)&lt;='Assumptions and Catalog'!$C$57,((D585+E585)*C585-G585)*'Assumptions and Catalog'!$H$57+'Assumptions and Catalog'!$E$57+'Assumptions and Catalog'!$F$57,"Out of range")))))))),IF(((D585+E585)*C585-G585)&lt;='Assumptions and Catalog'!$C$60,((D585+E585)*C585-G585)*'Assumptions and Catalog'!$H$60+'Assumptions and Catalog'!$E$60+'Assumptions and Catalog'!$F$60,IF(((D585+E585)*C585-G585)&lt;='Assumptions and Catalog'!$C$61,((D585+E585)*C585-G585)*'Assumptions and Catalog'!$H$61+'Assumptions and Catalog'!$E$61+'Assumptions and Catalog'!$F$61,IF(((D585+E585)*C585-G585)&lt;='Assumptions and Catalog'!$C$62,((D585+E585)*C585-G585)*'Assumptions and Catalog'!$H$62+'Assumptions and Catalog'!$E$62+'Assumptions and Catalog'!$F$62,IF(((D585+E585)*C585-G585)&lt;='Assumptions and Catalog'!$C$63,((D585+E585)*C585-G585)*'Assumptions and Catalog'!$H$63+'Assumptions and Catalog'!$E$63+'Assumptions and Catalog'!$F$63,IF(((D585+E585)*C585-G585)&lt;='Assumptions and Catalog'!$C$64,((D585+E585)*C585-G585)*'Assumptions and Catalog'!$H$64+'Assumptions and Catalog'!$E$64+'Assumptions and Catalog'!$F$64,IF(((D585+E585)*C585-G585)&lt;='Assumptions and Catalog'!$C$65,((D585+E585)*C585-G585)*'Assumptions and Catalog'!$H$65+'Assumptions and Catalog'!$E$65+'Assumptions and Catalog'!$F$65,"Out of range")))))))))*(1+'Assumptions and Catalog'!$C$8)^(A585-1),0)</f>
        <v>7094.794</v>
      </c>
      <c r="R585" s="5" t="n">
        <f>IF(AND('Assumptions and Catalog'!$C$19&gt;0,A585&gt;='Assumptions and Catalog'!$C$19),A585-'Assumptions and Catalog'!$C$19,A585-1)</f>
        <v>4</v>
      </c>
      <c r="S585" s="5" t="n">
        <f>F585+L585-(D585+E585)*C585-J585-K585-IF(D$52&gt;0,'Assumptions and Catalog'!$C$26*C585,0)</f>
        <v>0</v>
      </c>
      <c r="T585" s="5"/>
      <c r="U585" s="5"/>
    </row>
    <row r="586" ht="23.100000381469727" customHeight="1">
      <c r="A586" s="5" t="n">
        <v>15</v>
      </c>
      <c r="B586" s="5" t="n">
        <v>8</v>
      </c>
      <c r="C586" s="5" t="n">
        <f>DAY(DATE('Assumptions and Catalog'!$C$24+A586-1,B586+1,0))</f>
        <v>31</v>
      </c>
      <c r="D586" s="5" t="n">
        <f>IF(ISNUMBER(Inputs!$L$5),Inputs!$L$5*Inputs!$L$6,0)</f>
        <v>40.35</v>
      </c>
      <c r="E586" s="5" t="n">
        <f>IF(ISNUMBER(Inputs!$L$5),Inputs!$L$5-D586,0)</f>
        <v>40.35</v>
      </c>
      <c r="F586" s="5" t="n">
        <f>D$51*'Assumptions and Catalog'!$C$31*C586*(1-'Assumptions and Catalog'!$C$10)^(A586-1)</f>
        <v>0</v>
      </c>
      <c r="G586" s="5" t="n">
        <f>MIN(F586,D586*C586)</f>
        <v>0</v>
      </c>
      <c r="H586" s="5" t="n">
        <f>I586/('Assumptions and Catalog'!$C$11*'Assumptions and Catalog'!$C$12)</f>
        <v>0</v>
      </c>
      <c r="I586" s="5" t="n">
        <f>IF(K$15="Grid cycle",MIN(K$16,D586+E586,P586*'Assumptions and Catalog'!$C$12,D$57*(24-'Assumptions and Catalog'!$C$15),D$56*'Assumptions and Catalog'!$C$15*'Assumptions and Catalog'!$C$11*'Assumptions and Catalog'!$C$12)*C586,0)</f>
        <v>0</v>
      </c>
      <c r="J586" s="5" t="n">
        <f>MAX(F586-G586-0,0)</f>
        <v>0</v>
      </c>
      <c r="K586" s="5" t="n">
        <f>H586-I586</f>
        <v>0</v>
      </c>
      <c r="L586" s="5" t="n">
        <f>(D586+E586)*C586-G586-I586+H586+IF(D$52&gt;0,'Assumptions and Catalog'!$C$26*C586,0)</f>
        <v>2501.7</v>
      </c>
      <c r="M586" s="5" t="n">
        <f>IF(ISNUMBER(Inputs!$L$5),(IF(Inputs!$L$9="Actual flat rate",((D586+E586)*C586)*Inputs!$L$10,IF(Inputs!$C$9="Residential",IF(((D586+E586)*C586)&lt;='Assumptions and Catalog'!$C$50,((D586+E586)*C586)*'Assumptions and Catalog'!$H$50+'Assumptions and Catalog'!$E$50+'Assumptions and Catalog'!$F$50,IF(((D586+E586)*C586)&lt;='Assumptions and Catalog'!$C$51,((D586+E586)*C586)*'Assumptions and Catalog'!$H$51+'Assumptions and Catalog'!$E$51+'Assumptions and Catalog'!$F$51,IF(((D586+E586)*C586)&lt;='Assumptions and Catalog'!$C$52,((D586+E586)*C586)*'Assumptions and Catalog'!$H$52+'Assumptions and Catalog'!$E$52+'Assumptions and Catalog'!$F$52,IF(((D586+E586)*C586)&lt;='Assumptions and Catalog'!$C$53,((D586+E586)*C586)*'Assumptions and Catalog'!$H$53+'Assumptions and Catalog'!$E$53+'Assumptions and Catalog'!$F$53,IF(((D586+E586)*C586)&lt;='Assumptions and Catalog'!$C$54,((D586+E586)*C586)*'Assumptions and Catalog'!$H$54+'Assumptions and Catalog'!$E$54+'Assumptions and Catalog'!$F$54,IF(((D586+E586)*C586)&lt;='Assumptions and Catalog'!$C$55,((D586+E586)*C586)*'Assumptions and Catalog'!$H$55+'Assumptions and Catalog'!$E$55+'Assumptions and Catalog'!$F$55,IF(((D586+E586)*C586)&lt;='Assumptions and Catalog'!$C$56,((D586+E586)*C586)*'Assumptions and Catalog'!$H$56+'Assumptions and Catalog'!$E$56+'Assumptions and Catalog'!$F$56,IF(((D586+E586)*C586)&lt;='Assumptions and Catalog'!$C$57,((D586+E586)*C586)*'Assumptions and Catalog'!$H$57+'Assumptions and Catalog'!$E$57+'Assumptions and Catalog'!$F$57,"Out of range")))))))),IF(((D586+E586)*C586)&lt;='Assumptions and Catalog'!$C$60,((D586+E586)*C586)*'Assumptions and Catalog'!$H$60+'Assumptions and Catalog'!$E$60+'Assumptions and Catalog'!$F$60,IF(((D586+E586)*C586)&lt;='Assumptions and Catalog'!$C$61,((D586+E586)*C586)*'Assumptions and Catalog'!$H$61+'Assumptions and Catalog'!$E$61+'Assumptions and Catalog'!$F$61,IF(((D586+E586)*C586)&lt;='Assumptions and Catalog'!$C$62,((D586+E586)*C586)*'Assumptions and Catalog'!$H$62+'Assumptions and Catalog'!$E$62+'Assumptions and Catalog'!$F$62,IF(((D586+E586)*C586)&lt;='Assumptions and Catalog'!$C$63,((D586+E586)*C586)*'Assumptions and Catalog'!$H$63+'Assumptions and Catalog'!$E$63+'Assumptions and Catalog'!$F$63,IF(((D586+E586)*C586)&lt;='Assumptions and Catalog'!$C$64,((D586+E586)*C586)*'Assumptions and Catalog'!$H$64+'Assumptions and Catalog'!$E$64+'Assumptions and Catalog'!$F$64,IF(((D586+E586)*C586)&lt;='Assumptions and Catalog'!$C$65,((D586+E586)*C586)*'Assumptions and Catalog'!$H$65+'Assumptions and Catalog'!$E$65+'Assumptions and Catalog'!$F$65,"Out of range")))))))))*(1+'Assumptions and Catalog'!$C$8)^(A586-1),0)</f>
        <v>7094.794</v>
      </c>
      <c r="N586" s="5" t="n">
        <f>IF(ISNUMBER(Inputs!$L$5),(IF(Inputs!$L$9="Actual flat rate",L586*Inputs!$L$10,IF(Inputs!$C$9="Residential",IF(L586&lt;='Assumptions and Catalog'!$C$50,L586*'Assumptions and Catalog'!$H$50+'Assumptions and Catalog'!$E$50+'Assumptions and Catalog'!$F$50,IF(L586&lt;='Assumptions and Catalog'!$C$51,L586*'Assumptions and Catalog'!$H$51+'Assumptions and Catalog'!$E$51+'Assumptions and Catalog'!$F$51,IF(L586&lt;='Assumptions and Catalog'!$C$52,L586*'Assumptions and Catalog'!$H$52+'Assumptions and Catalog'!$E$52+'Assumptions and Catalog'!$F$52,IF(L586&lt;='Assumptions and Catalog'!$C$53,L586*'Assumptions and Catalog'!$H$53+'Assumptions and Catalog'!$E$53+'Assumptions and Catalog'!$F$53,IF(L586&lt;='Assumptions and Catalog'!$C$54,L586*'Assumptions and Catalog'!$H$54+'Assumptions and Catalog'!$E$54+'Assumptions and Catalog'!$F$54,IF(L586&lt;='Assumptions and Catalog'!$C$55,L586*'Assumptions and Catalog'!$H$55+'Assumptions and Catalog'!$E$55+'Assumptions and Catalog'!$F$55,IF(L586&lt;='Assumptions and Catalog'!$C$56,L586*'Assumptions and Catalog'!$H$56+'Assumptions and Catalog'!$E$56+'Assumptions and Catalog'!$F$56,IF(L586&lt;='Assumptions and Catalog'!$C$57,L586*'Assumptions and Catalog'!$H$57+'Assumptions and Catalog'!$E$57+'Assumptions and Catalog'!$F$57,"Out of range")))))))),IF(L586&lt;='Assumptions and Catalog'!$C$60,L586*'Assumptions and Catalog'!$H$60+'Assumptions and Catalog'!$E$60+'Assumptions and Catalog'!$F$60,IF(L586&lt;='Assumptions and Catalog'!$C$61,L586*'Assumptions and Catalog'!$H$61+'Assumptions and Catalog'!$E$61+'Assumptions and Catalog'!$F$61,IF(L586&lt;='Assumptions and Catalog'!$C$62,L586*'Assumptions and Catalog'!$H$62+'Assumptions and Catalog'!$E$62+'Assumptions and Catalog'!$F$62,IF(L586&lt;='Assumptions and Catalog'!$C$63,L586*'Assumptions and Catalog'!$H$63+'Assumptions and Catalog'!$E$63+'Assumptions and Catalog'!$F$63,IF(L586&lt;='Assumptions and Catalog'!$C$64,L586*'Assumptions and Catalog'!$H$64+'Assumptions and Catalog'!$E$64+'Assumptions and Catalog'!$F$64,IF(L586&lt;='Assumptions and Catalog'!$C$65,L586*'Assumptions and Catalog'!$H$65+'Assumptions and Catalog'!$E$65+'Assumptions and Catalog'!$F$65,"Out of range")))))))))*(1+'Assumptions and Catalog'!$C$8)^(A586-1),0)</f>
        <v>7094.794</v>
      </c>
      <c r="O586" s="5" t="n">
        <f>M586-N586</f>
        <v>0</v>
      </c>
      <c r="P586" s="5" t="n">
        <f>D$55*(1-K$14)*(1-'Assumptions and Catalog'!$C$23)^R586</f>
        <v>0</v>
      </c>
      <c r="Q586" s="5" t="n">
        <f>IF(ISNUMBER(Inputs!$L$5),(IF(Inputs!$L$9="Actual flat rate",((D586+E586)*C586-G586)*Inputs!$L$10,IF(Inputs!$C$9="Residential",IF(((D586+E586)*C586-G586)&lt;='Assumptions and Catalog'!$C$50,((D586+E586)*C586-G586)*'Assumptions and Catalog'!$H$50+'Assumptions and Catalog'!$E$50+'Assumptions and Catalog'!$F$50,IF(((D586+E586)*C586-G586)&lt;='Assumptions and Catalog'!$C$51,((D586+E586)*C586-G586)*'Assumptions and Catalog'!$H$51+'Assumptions and Catalog'!$E$51+'Assumptions and Catalog'!$F$51,IF(((D586+E586)*C586-G586)&lt;='Assumptions and Catalog'!$C$52,((D586+E586)*C586-G586)*'Assumptions and Catalog'!$H$52+'Assumptions and Catalog'!$E$52+'Assumptions and Catalog'!$F$52,IF(((D586+E586)*C586-G586)&lt;='Assumptions and Catalog'!$C$53,((D586+E586)*C586-G586)*'Assumptions and Catalog'!$H$53+'Assumptions and Catalog'!$E$53+'Assumptions and Catalog'!$F$53,IF(((D586+E586)*C586-G586)&lt;='Assumptions and Catalog'!$C$54,((D586+E586)*C586-G586)*'Assumptions and Catalog'!$H$54+'Assumptions and Catalog'!$E$54+'Assumptions and Catalog'!$F$54,IF(((D586+E586)*C586-G586)&lt;='Assumptions and Catalog'!$C$55,((D586+E586)*C586-G586)*'Assumptions and Catalog'!$H$55+'Assumptions and Catalog'!$E$55+'Assumptions and Catalog'!$F$55,IF(((D586+E586)*C586-G586)&lt;='Assumptions and Catalog'!$C$56,((D586+E586)*C586-G586)*'Assumptions and Catalog'!$H$56+'Assumptions and Catalog'!$E$56+'Assumptions and Catalog'!$F$56,IF(((D586+E586)*C586-G586)&lt;='Assumptions and Catalog'!$C$57,((D586+E586)*C586-G586)*'Assumptions and Catalog'!$H$57+'Assumptions and Catalog'!$E$57+'Assumptions and Catalog'!$F$57,"Out of range")))))))),IF(((D586+E586)*C586-G586)&lt;='Assumptions and Catalog'!$C$60,((D586+E586)*C586-G586)*'Assumptions and Catalog'!$H$60+'Assumptions and Catalog'!$E$60+'Assumptions and Catalog'!$F$60,IF(((D586+E586)*C586-G586)&lt;='Assumptions and Catalog'!$C$61,((D586+E586)*C586-G586)*'Assumptions and Catalog'!$H$61+'Assumptions and Catalog'!$E$61+'Assumptions and Catalog'!$F$61,IF(((D586+E586)*C586-G586)&lt;='Assumptions and Catalog'!$C$62,((D586+E586)*C586-G586)*'Assumptions and Catalog'!$H$62+'Assumptions and Catalog'!$E$62+'Assumptions and Catalog'!$F$62,IF(((D586+E586)*C586-G586)&lt;='Assumptions and Catalog'!$C$63,((D586+E586)*C586-G586)*'Assumptions and Catalog'!$H$63+'Assumptions and Catalog'!$E$63+'Assumptions and Catalog'!$F$63,IF(((D586+E586)*C586-G586)&lt;='Assumptions and Catalog'!$C$64,((D586+E586)*C586-G586)*'Assumptions and Catalog'!$H$64+'Assumptions and Catalog'!$E$64+'Assumptions and Catalog'!$F$64,IF(((D586+E586)*C586-G586)&lt;='Assumptions and Catalog'!$C$65,((D586+E586)*C586-G586)*'Assumptions and Catalog'!$H$65+'Assumptions and Catalog'!$E$65+'Assumptions and Catalog'!$F$65,"Out of range")))))))))*(1+'Assumptions and Catalog'!$C$8)^(A586-1),0)</f>
        <v>7094.794</v>
      </c>
      <c r="R586" s="5" t="n">
        <f>IF(AND('Assumptions and Catalog'!$C$19&gt;0,A586&gt;='Assumptions and Catalog'!$C$19),A586-'Assumptions and Catalog'!$C$19,A586-1)</f>
        <v>4</v>
      </c>
      <c r="S586" s="5" t="n">
        <f>F586+L586-(D586+E586)*C586-J586-K586-IF(D$52&gt;0,'Assumptions and Catalog'!$C$26*C586,0)</f>
        <v>0</v>
      </c>
      <c r="T586" s="5"/>
      <c r="U586" s="5"/>
    </row>
    <row r="587" ht="23.100000381469727" customHeight="1">
      <c r="A587" s="5" t="n">
        <v>15</v>
      </c>
      <c r="B587" s="5" t="n">
        <v>9</v>
      </c>
      <c r="C587" s="5" t="n">
        <f>DAY(DATE('Assumptions and Catalog'!$C$24+A587-1,B587+1,0))</f>
        <v>30</v>
      </c>
      <c r="D587" s="5" t="n">
        <f>IF(ISNUMBER(Inputs!$L$5),Inputs!$L$5*Inputs!$L$6,0)</f>
        <v>40.35</v>
      </c>
      <c r="E587" s="5" t="n">
        <f>IF(ISNUMBER(Inputs!$L$5),Inputs!$L$5-D587,0)</f>
        <v>40.35</v>
      </c>
      <c r="F587" s="5" t="n">
        <f>D$51*'Assumptions and Catalog'!$C$31*C587*(1-'Assumptions and Catalog'!$C$10)^(A587-1)</f>
        <v>0</v>
      </c>
      <c r="G587" s="5" t="n">
        <f>MIN(F587,D587*C587)</f>
        <v>0</v>
      </c>
      <c r="H587" s="5" t="n">
        <f>I587/('Assumptions and Catalog'!$C$11*'Assumptions and Catalog'!$C$12)</f>
        <v>0</v>
      </c>
      <c r="I587" s="5" t="n">
        <f>IF(K$15="Grid cycle",MIN(K$16,D587+E587,P587*'Assumptions and Catalog'!$C$12,D$57*(24-'Assumptions and Catalog'!$C$15),D$56*'Assumptions and Catalog'!$C$15*'Assumptions and Catalog'!$C$11*'Assumptions and Catalog'!$C$12)*C587,0)</f>
        <v>0</v>
      </c>
      <c r="J587" s="5" t="n">
        <f>MAX(F587-G587-0,0)</f>
        <v>0</v>
      </c>
      <c r="K587" s="5" t="n">
        <f>H587-I587</f>
        <v>0</v>
      </c>
      <c r="L587" s="5" t="n">
        <f>(D587+E587)*C587-G587-I587+H587+IF(D$52&gt;0,'Assumptions and Catalog'!$C$26*C587,0)</f>
        <v>2421</v>
      </c>
      <c r="M587" s="5" t="n">
        <f>IF(ISNUMBER(Inputs!$L$5),(IF(Inputs!$L$9="Actual flat rate",((D587+E587)*C587)*Inputs!$L$10,IF(Inputs!$C$9="Residential",IF(((D587+E587)*C587)&lt;='Assumptions and Catalog'!$C$50,((D587+E587)*C587)*'Assumptions and Catalog'!$H$50+'Assumptions and Catalog'!$E$50+'Assumptions and Catalog'!$F$50,IF(((D587+E587)*C587)&lt;='Assumptions and Catalog'!$C$51,((D587+E587)*C587)*'Assumptions and Catalog'!$H$51+'Assumptions and Catalog'!$E$51+'Assumptions and Catalog'!$F$51,IF(((D587+E587)*C587)&lt;='Assumptions and Catalog'!$C$52,((D587+E587)*C587)*'Assumptions and Catalog'!$H$52+'Assumptions and Catalog'!$E$52+'Assumptions and Catalog'!$F$52,IF(((D587+E587)*C587)&lt;='Assumptions and Catalog'!$C$53,((D587+E587)*C587)*'Assumptions and Catalog'!$H$53+'Assumptions and Catalog'!$E$53+'Assumptions and Catalog'!$F$53,IF(((D587+E587)*C587)&lt;='Assumptions and Catalog'!$C$54,((D587+E587)*C587)*'Assumptions and Catalog'!$H$54+'Assumptions and Catalog'!$E$54+'Assumptions and Catalog'!$F$54,IF(((D587+E587)*C587)&lt;='Assumptions and Catalog'!$C$55,((D587+E587)*C587)*'Assumptions and Catalog'!$H$55+'Assumptions and Catalog'!$E$55+'Assumptions and Catalog'!$F$55,IF(((D587+E587)*C587)&lt;='Assumptions and Catalog'!$C$56,((D587+E587)*C587)*'Assumptions and Catalog'!$H$56+'Assumptions and Catalog'!$E$56+'Assumptions and Catalog'!$F$56,IF(((D587+E587)*C587)&lt;='Assumptions and Catalog'!$C$57,((D587+E587)*C587)*'Assumptions and Catalog'!$H$57+'Assumptions and Catalog'!$E$57+'Assumptions and Catalog'!$F$57,"Out of range")))))))),IF(((D587+E587)*C587)&lt;='Assumptions and Catalog'!$C$60,((D587+E587)*C587)*'Assumptions and Catalog'!$H$60+'Assumptions and Catalog'!$E$60+'Assumptions and Catalog'!$F$60,IF(((D587+E587)*C587)&lt;='Assumptions and Catalog'!$C$61,((D587+E587)*C587)*'Assumptions and Catalog'!$H$61+'Assumptions and Catalog'!$E$61+'Assumptions and Catalog'!$F$61,IF(((D587+E587)*C587)&lt;='Assumptions and Catalog'!$C$62,((D587+E587)*C587)*'Assumptions and Catalog'!$H$62+'Assumptions and Catalog'!$E$62+'Assumptions and Catalog'!$F$62,IF(((D587+E587)*C587)&lt;='Assumptions and Catalog'!$C$63,((D587+E587)*C587)*'Assumptions and Catalog'!$H$63+'Assumptions and Catalog'!$E$63+'Assumptions and Catalog'!$F$63,IF(((D587+E587)*C587)&lt;='Assumptions and Catalog'!$C$64,((D587+E587)*C587)*'Assumptions and Catalog'!$H$64+'Assumptions and Catalog'!$E$64+'Assumptions and Catalog'!$F$64,IF(((D587+E587)*C587)&lt;='Assumptions and Catalog'!$C$65,((D587+E587)*C587)*'Assumptions and Catalog'!$H$65+'Assumptions and Catalog'!$E$65+'Assumptions and Catalog'!$F$65,"Out of range")))))))))*(1+'Assumptions and Catalog'!$C$8)^(A587-1),0)</f>
        <v>6867.22</v>
      </c>
      <c r="N587" s="5" t="n">
        <f>IF(ISNUMBER(Inputs!$L$5),(IF(Inputs!$L$9="Actual flat rate",L587*Inputs!$L$10,IF(Inputs!$C$9="Residential",IF(L587&lt;='Assumptions and Catalog'!$C$50,L587*'Assumptions and Catalog'!$H$50+'Assumptions and Catalog'!$E$50+'Assumptions and Catalog'!$F$50,IF(L587&lt;='Assumptions and Catalog'!$C$51,L587*'Assumptions and Catalog'!$H$51+'Assumptions and Catalog'!$E$51+'Assumptions and Catalog'!$F$51,IF(L587&lt;='Assumptions and Catalog'!$C$52,L587*'Assumptions and Catalog'!$H$52+'Assumptions and Catalog'!$E$52+'Assumptions and Catalog'!$F$52,IF(L587&lt;='Assumptions and Catalog'!$C$53,L587*'Assumptions and Catalog'!$H$53+'Assumptions and Catalog'!$E$53+'Assumptions and Catalog'!$F$53,IF(L587&lt;='Assumptions and Catalog'!$C$54,L587*'Assumptions and Catalog'!$H$54+'Assumptions and Catalog'!$E$54+'Assumptions and Catalog'!$F$54,IF(L587&lt;='Assumptions and Catalog'!$C$55,L587*'Assumptions and Catalog'!$H$55+'Assumptions and Catalog'!$E$55+'Assumptions and Catalog'!$F$55,IF(L587&lt;='Assumptions and Catalog'!$C$56,L587*'Assumptions and Catalog'!$H$56+'Assumptions and Catalog'!$E$56+'Assumptions and Catalog'!$F$56,IF(L587&lt;='Assumptions and Catalog'!$C$57,L587*'Assumptions and Catalog'!$H$57+'Assumptions and Catalog'!$E$57+'Assumptions and Catalog'!$F$57,"Out of range")))))))),IF(L587&lt;='Assumptions and Catalog'!$C$60,L587*'Assumptions and Catalog'!$H$60+'Assumptions and Catalog'!$E$60+'Assumptions and Catalog'!$F$60,IF(L587&lt;='Assumptions and Catalog'!$C$61,L587*'Assumptions and Catalog'!$H$61+'Assumptions and Catalog'!$E$61+'Assumptions and Catalog'!$F$61,IF(L587&lt;='Assumptions and Catalog'!$C$62,L587*'Assumptions and Catalog'!$H$62+'Assumptions and Catalog'!$E$62+'Assumptions and Catalog'!$F$62,IF(L587&lt;='Assumptions and Catalog'!$C$63,L587*'Assumptions and Catalog'!$H$63+'Assumptions and Catalog'!$E$63+'Assumptions and Catalog'!$F$63,IF(L587&lt;='Assumptions and Catalog'!$C$64,L587*'Assumptions and Catalog'!$H$64+'Assumptions and Catalog'!$E$64+'Assumptions and Catalog'!$F$64,IF(L587&lt;='Assumptions and Catalog'!$C$65,L587*'Assumptions and Catalog'!$H$65+'Assumptions and Catalog'!$E$65+'Assumptions and Catalog'!$F$65,"Out of range")))))))))*(1+'Assumptions and Catalog'!$C$8)^(A587-1),0)</f>
        <v>6867.22</v>
      </c>
      <c r="O587" s="5" t="n">
        <f>M587-N587</f>
        <v>0</v>
      </c>
      <c r="P587" s="5" t="n">
        <f>D$55*(1-K$14)*(1-'Assumptions and Catalog'!$C$23)^R587</f>
        <v>0</v>
      </c>
      <c r="Q587" s="5" t="n">
        <f>IF(ISNUMBER(Inputs!$L$5),(IF(Inputs!$L$9="Actual flat rate",((D587+E587)*C587-G587)*Inputs!$L$10,IF(Inputs!$C$9="Residential",IF(((D587+E587)*C587-G587)&lt;='Assumptions and Catalog'!$C$50,((D587+E587)*C587-G587)*'Assumptions and Catalog'!$H$50+'Assumptions and Catalog'!$E$50+'Assumptions and Catalog'!$F$50,IF(((D587+E587)*C587-G587)&lt;='Assumptions and Catalog'!$C$51,((D587+E587)*C587-G587)*'Assumptions and Catalog'!$H$51+'Assumptions and Catalog'!$E$51+'Assumptions and Catalog'!$F$51,IF(((D587+E587)*C587-G587)&lt;='Assumptions and Catalog'!$C$52,((D587+E587)*C587-G587)*'Assumptions and Catalog'!$H$52+'Assumptions and Catalog'!$E$52+'Assumptions and Catalog'!$F$52,IF(((D587+E587)*C587-G587)&lt;='Assumptions and Catalog'!$C$53,((D587+E587)*C587-G587)*'Assumptions and Catalog'!$H$53+'Assumptions and Catalog'!$E$53+'Assumptions and Catalog'!$F$53,IF(((D587+E587)*C587-G587)&lt;='Assumptions and Catalog'!$C$54,((D587+E587)*C587-G587)*'Assumptions and Catalog'!$H$54+'Assumptions and Catalog'!$E$54+'Assumptions and Catalog'!$F$54,IF(((D587+E587)*C587-G587)&lt;='Assumptions and Catalog'!$C$55,((D587+E587)*C587-G587)*'Assumptions and Catalog'!$H$55+'Assumptions and Catalog'!$E$55+'Assumptions and Catalog'!$F$55,IF(((D587+E587)*C587-G587)&lt;='Assumptions and Catalog'!$C$56,((D587+E587)*C587-G587)*'Assumptions and Catalog'!$H$56+'Assumptions and Catalog'!$E$56+'Assumptions and Catalog'!$F$56,IF(((D587+E587)*C587-G587)&lt;='Assumptions and Catalog'!$C$57,((D587+E587)*C587-G587)*'Assumptions and Catalog'!$H$57+'Assumptions and Catalog'!$E$57+'Assumptions and Catalog'!$F$57,"Out of range")))))))),IF(((D587+E587)*C587-G587)&lt;='Assumptions and Catalog'!$C$60,((D587+E587)*C587-G587)*'Assumptions and Catalog'!$H$60+'Assumptions and Catalog'!$E$60+'Assumptions and Catalog'!$F$60,IF(((D587+E587)*C587-G587)&lt;='Assumptions and Catalog'!$C$61,((D587+E587)*C587-G587)*'Assumptions and Catalog'!$H$61+'Assumptions and Catalog'!$E$61+'Assumptions and Catalog'!$F$61,IF(((D587+E587)*C587-G587)&lt;='Assumptions and Catalog'!$C$62,((D587+E587)*C587-G587)*'Assumptions and Catalog'!$H$62+'Assumptions and Catalog'!$E$62+'Assumptions and Catalog'!$F$62,IF(((D587+E587)*C587-G587)&lt;='Assumptions and Catalog'!$C$63,((D587+E587)*C587-G587)*'Assumptions and Catalog'!$H$63+'Assumptions and Catalog'!$E$63+'Assumptions and Catalog'!$F$63,IF(((D587+E587)*C587-G587)&lt;='Assumptions and Catalog'!$C$64,((D587+E587)*C587-G587)*'Assumptions and Catalog'!$H$64+'Assumptions and Catalog'!$E$64+'Assumptions and Catalog'!$F$64,IF(((D587+E587)*C587-G587)&lt;='Assumptions and Catalog'!$C$65,((D587+E587)*C587-G587)*'Assumptions and Catalog'!$H$65+'Assumptions and Catalog'!$E$65+'Assumptions and Catalog'!$F$65,"Out of range")))))))))*(1+'Assumptions and Catalog'!$C$8)^(A587-1),0)</f>
        <v>6867.22</v>
      </c>
      <c r="R587" s="5" t="n">
        <f>IF(AND('Assumptions and Catalog'!$C$19&gt;0,A587&gt;='Assumptions and Catalog'!$C$19),A587-'Assumptions and Catalog'!$C$19,A587-1)</f>
        <v>4</v>
      </c>
      <c r="S587" s="5" t="n">
        <f>F587+L587-(D587+E587)*C587-J587-K587-IF(D$52&gt;0,'Assumptions and Catalog'!$C$26*C587,0)</f>
        <v>0</v>
      </c>
      <c r="T587" s="5"/>
      <c r="U587" s="5"/>
    </row>
    <row r="588" ht="23.100000381469727" customHeight="1">
      <c r="A588" s="5" t="n">
        <v>15</v>
      </c>
      <c r="B588" s="5" t="n">
        <v>10</v>
      </c>
      <c r="C588" s="5" t="n">
        <f>DAY(DATE('Assumptions and Catalog'!$C$24+A588-1,B588+1,0))</f>
        <v>31</v>
      </c>
      <c r="D588" s="5" t="n">
        <f>IF(ISNUMBER(Inputs!$L$5),Inputs!$L$5*Inputs!$L$6,0)</f>
        <v>40.35</v>
      </c>
      <c r="E588" s="5" t="n">
        <f>IF(ISNUMBER(Inputs!$L$5),Inputs!$L$5-D588,0)</f>
        <v>40.35</v>
      </c>
      <c r="F588" s="5" t="n">
        <f>D$51*'Assumptions and Catalog'!$C$31*C588*(1-'Assumptions and Catalog'!$C$10)^(A588-1)</f>
        <v>0</v>
      </c>
      <c r="G588" s="5" t="n">
        <f>MIN(F588,D588*C588)</f>
        <v>0</v>
      </c>
      <c r="H588" s="5" t="n">
        <f>I588/('Assumptions and Catalog'!$C$11*'Assumptions and Catalog'!$C$12)</f>
        <v>0</v>
      </c>
      <c r="I588" s="5" t="n">
        <f>IF(K$15="Grid cycle",MIN(K$16,D588+E588,P588*'Assumptions and Catalog'!$C$12,D$57*(24-'Assumptions and Catalog'!$C$15),D$56*'Assumptions and Catalog'!$C$15*'Assumptions and Catalog'!$C$11*'Assumptions and Catalog'!$C$12)*C588,0)</f>
        <v>0</v>
      </c>
      <c r="J588" s="5" t="n">
        <f>MAX(F588-G588-0,0)</f>
        <v>0</v>
      </c>
      <c r="K588" s="5" t="n">
        <f>H588-I588</f>
        <v>0</v>
      </c>
      <c r="L588" s="5" t="n">
        <f>(D588+E588)*C588-G588-I588+H588+IF(D$52&gt;0,'Assumptions and Catalog'!$C$26*C588,0)</f>
        <v>2501.7</v>
      </c>
      <c r="M588" s="5" t="n">
        <f>IF(ISNUMBER(Inputs!$L$5),(IF(Inputs!$L$9="Actual flat rate",((D588+E588)*C588)*Inputs!$L$10,IF(Inputs!$C$9="Residential",IF(((D588+E588)*C588)&lt;='Assumptions and Catalog'!$C$50,((D588+E588)*C588)*'Assumptions and Catalog'!$H$50+'Assumptions and Catalog'!$E$50+'Assumptions and Catalog'!$F$50,IF(((D588+E588)*C588)&lt;='Assumptions and Catalog'!$C$51,((D588+E588)*C588)*'Assumptions and Catalog'!$H$51+'Assumptions and Catalog'!$E$51+'Assumptions and Catalog'!$F$51,IF(((D588+E588)*C588)&lt;='Assumptions and Catalog'!$C$52,((D588+E588)*C588)*'Assumptions and Catalog'!$H$52+'Assumptions and Catalog'!$E$52+'Assumptions and Catalog'!$F$52,IF(((D588+E588)*C588)&lt;='Assumptions and Catalog'!$C$53,((D588+E588)*C588)*'Assumptions and Catalog'!$H$53+'Assumptions and Catalog'!$E$53+'Assumptions and Catalog'!$F$53,IF(((D588+E588)*C588)&lt;='Assumptions and Catalog'!$C$54,((D588+E588)*C588)*'Assumptions and Catalog'!$H$54+'Assumptions and Catalog'!$E$54+'Assumptions and Catalog'!$F$54,IF(((D588+E588)*C588)&lt;='Assumptions and Catalog'!$C$55,((D588+E588)*C588)*'Assumptions and Catalog'!$H$55+'Assumptions and Catalog'!$E$55+'Assumptions and Catalog'!$F$55,IF(((D588+E588)*C588)&lt;='Assumptions and Catalog'!$C$56,((D588+E588)*C588)*'Assumptions and Catalog'!$H$56+'Assumptions and Catalog'!$E$56+'Assumptions and Catalog'!$F$56,IF(((D588+E588)*C588)&lt;='Assumptions and Catalog'!$C$57,((D588+E588)*C588)*'Assumptions and Catalog'!$H$57+'Assumptions and Catalog'!$E$57+'Assumptions and Catalog'!$F$57,"Out of range")))))))),IF(((D588+E588)*C588)&lt;='Assumptions and Catalog'!$C$60,((D588+E588)*C588)*'Assumptions and Catalog'!$H$60+'Assumptions and Catalog'!$E$60+'Assumptions and Catalog'!$F$60,IF(((D588+E588)*C588)&lt;='Assumptions and Catalog'!$C$61,((D588+E588)*C588)*'Assumptions and Catalog'!$H$61+'Assumptions and Catalog'!$E$61+'Assumptions and Catalog'!$F$61,IF(((D588+E588)*C588)&lt;='Assumptions and Catalog'!$C$62,((D588+E588)*C588)*'Assumptions and Catalog'!$H$62+'Assumptions and Catalog'!$E$62+'Assumptions and Catalog'!$F$62,IF(((D588+E588)*C588)&lt;='Assumptions and Catalog'!$C$63,((D588+E588)*C588)*'Assumptions and Catalog'!$H$63+'Assumptions and Catalog'!$E$63+'Assumptions and Catalog'!$F$63,IF(((D588+E588)*C588)&lt;='Assumptions and Catalog'!$C$64,((D588+E588)*C588)*'Assumptions and Catalog'!$H$64+'Assumptions and Catalog'!$E$64+'Assumptions and Catalog'!$F$64,IF(((D588+E588)*C588)&lt;='Assumptions and Catalog'!$C$65,((D588+E588)*C588)*'Assumptions and Catalog'!$H$65+'Assumptions and Catalog'!$E$65+'Assumptions and Catalog'!$F$65,"Out of range")))))))))*(1+'Assumptions and Catalog'!$C$8)^(A588-1),0)</f>
        <v>7094.794</v>
      </c>
      <c r="N588" s="5" t="n">
        <f>IF(ISNUMBER(Inputs!$L$5),(IF(Inputs!$L$9="Actual flat rate",L588*Inputs!$L$10,IF(Inputs!$C$9="Residential",IF(L588&lt;='Assumptions and Catalog'!$C$50,L588*'Assumptions and Catalog'!$H$50+'Assumptions and Catalog'!$E$50+'Assumptions and Catalog'!$F$50,IF(L588&lt;='Assumptions and Catalog'!$C$51,L588*'Assumptions and Catalog'!$H$51+'Assumptions and Catalog'!$E$51+'Assumptions and Catalog'!$F$51,IF(L588&lt;='Assumptions and Catalog'!$C$52,L588*'Assumptions and Catalog'!$H$52+'Assumptions and Catalog'!$E$52+'Assumptions and Catalog'!$F$52,IF(L588&lt;='Assumptions and Catalog'!$C$53,L588*'Assumptions and Catalog'!$H$53+'Assumptions and Catalog'!$E$53+'Assumptions and Catalog'!$F$53,IF(L588&lt;='Assumptions and Catalog'!$C$54,L588*'Assumptions and Catalog'!$H$54+'Assumptions and Catalog'!$E$54+'Assumptions and Catalog'!$F$54,IF(L588&lt;='Assumptions and Catalog'!$C$55,L588*'Assumptions and Catalog'!$H$55+'Assumptions and Catalog'!$E$55+'Assumptions and Catalog'!$F$55,IF(L588&lt;='Assumptions and Catalog'!$C$56,L588*'Assumptions and Catalog'!$H$56+'Assumptions and Catalog'!$E$56+'Assumptions and Catalog'!$F$56,IF(L588&lt;='Assumptions and Catalog'!$C$57,L588*'Assumptions and Catalog'!$H$57+'Assumptions and Catalog'!$E$57+'Assumptions and Catalog'!$F$57,"Out of range")))))))),IF(L588&lt;='Assumptions and Catalog'!$C$60,L588*'Assumptions and Catalog'!$H$60+'Assumptions and Catalog'!$E$60+'Assumptions and Catalog'!$F$60,IF(L588&lt;='Assumptions and Catalog'!$C$61,L588*'Assumptions and Catalog'!$H$61+'Assumptions and Catalog'!$E$61+'Assumptions and Catalog'!$F$61,IF(L588&lt;='Assumptions and Catalog'!$C$62,L588*'Assumptions and Catalog'!$H$62+'Assumptions and Catalog'!$E$62+'Assumptions and Catalog'!$F$62,IF(L588&lt;='Assumptions and Catalog'!$C$63,L588*'Assumptions and Catalog'!$H$63+'Assumptions and Catalog'!$E$63+'Assumptions and Catalog'!$F$63,IF(L588&lt;='Assumptions and Catalog'!$C$64,L588*'Assumptions and Catalog'!$H$64+'Assumptions and Catalog'!$E$64+'Assumptions and Catalog'!$F$64,IF(L588&lt;='Assumptions and Catalog'!$C$65,L588*'Assumptions and Catalog'!$H$65+'Assumptions and Catalog'!$E$65+'Assumptions and Catalog'!$F$65,"Out of range")))))))))*(1+'Assumptions and Catalog'!$C$8)^(A588-1),0)</f>
        <v>7094.794</v>
      </c>
      <c r="O588" s="5" t="n">
        <f>M588-N588</f>
        <v>0</v>
      </c>
      <c r="P588" s="5" t="n">
        <f>D$55*(1-K$14)*(1-'Assumptions and Catalog'!$C$23)^R588</f>
        <v>0</v>
      </c>
      <c r="Q588" s="5" t="n">
        <f>IF(ISNUMBER(Inputs!$L$5),(IF(Inputs!$L$9="Actual flat rate",((D588+E588)*C588-G588)*Inputs!$L$10,IF(Inputs!$C$9="Residential",IF(((D588+E588)*C588-G588)&lt;='Assumptions and Catalog'!$C$50,((D588+E588)*C588-G588)*'Assumptions and Catalog'!$H$50+'Assumptions and Catalog'!$E$50+'Assumptions and Catalog'!$F$50,IF(((D588+E588)*C588-G588)&lt;='Assumptions and Catalog'!$C$51,((D588+E588)*C588-G588)*'Assumptions and Catalog'!$H$51+'Assumptions and Catalog'!$E$51+'Assumptions and Catalog'!$F$51,IF(((D588+E588)*C588-G588)&lt;='Assumptions and Catalog'!$C$52,((D588+E588)*C588-G588)*'Assumptions and Catalog'!$H$52+'Assumptions and Catalog'!$E$52+'Assumptions and Catalog'!$F$52,IF(((D588+E588)*C588-G588)&lt;='Assumptions and Catalog'!$C$53,((D588+E588)*C588-G588)*'Assumptions and Catalog'!$H$53+'Assumptions and Catalog'!$E$53+'Assumptions and Catalog'!$F$53,IF(((D588+E588)*C588-G588)&lt;='Assumptions and Catalog'!$C$54,((D588+E588)*C588-G588)*'Assumptions and Catalog'!$H$54+'Assumptions and Catalog'!$E$54+'Assumptions and Catalog'!$F$54,IF(((D588+E588)*C588-G588)&lt;='Assumptions and Catalog'!$C$55,((D588+E588)*C588-G588)*'Assumptions and Catalog'!$H$55+'Assumptions and Catalog'!$E$55+'Assumptions and Catalog'!$F$55,IF(((D588+E588)*C588-G588)&lt;='Assumptions and Catalog'!$C$56,((D588+E588)*C588-G588)*'Assumptions and Catalog'!$H$56+'Assumptions and Catalog'!$E$56+'Assumptions and Catalog'!$F$56,IF(((D588+E588)*C588-G588)&lt;='Assumptions and Catalog'!$C$57,((D588+E588)*C588-G588)*'Assumptions and Catalog'!$H$57+'Assumptions and Catalog'!$E$57+'Assumptions and Catalog'!$F$57,"Out of range")))))))),IF(((D588+E588)*C588-G588)&lt;='Assumptions and Catalog'!$C$60,((D588+E588)*C588-G588)*'Assumptions and Catalog'!$H$60+'Assumptions and Catalog'!$E$60+'Assumptions and Catalog'!$F$60,IF(((D588+E588)*C588-G588)&lt;='Assumptions and Catalog'!$C$61,((D588+E588)*C588-G588)*'Assumptions and Catalog'!$H$61+'Assumptions and Catalog'!$E$61+'Assumptions and Catalog'!$F$61,IF(((D588+E588)*C588-G588)&lt;='Assumptions and Catalog'!$C$62,((D588+E588)*C588-G588)*'Assumptions and Catalog'!$H$62+'Assumptions and Catalog'!$E$62+'Assumptions and Catalog'!$F$62,IF(((D588+E588)*C588-G588)&lt;='Assumptions and Catalog'!$C$63,((D588+E588)*C588-G588)*'Assumptions and Catalog'!$H$63+'Assumptions and Catalog'!$E$63+'Assumptions and Catalog'!$F$63,IF(((D588+E588)*C588-G588)&lt;='Assumptions and Catalog'!$C$64,((D588+E588)*C588-G588)*'Assumptions and Catalog'!$H$64+'Assumptions and Catalog'!$E$64+'Assumptions and Catalog'!$F$64,IF(((D588+E588)*C588-G588)&lt;='Assumptions and Catalog'!$C$65,((D588+E588)*C588-G588)*'Assumptions and Catalog'!$H$65+'Assumptions and Catalog'!$E$65+'Assumptions and Catalog'!$F$65,"Out of range")))))))))*(1+'Assumptions and Catalog'!$C$8)^(A588-1),0)</f>
        <v>7094.794</v>
      </c>
      <c r="R588" s="5" t="n">
        <f>IF(AND('Assumptions and Catalog'!$C$19&gt;0,A588&gt;='Assumptions and Catalog'!$C$19),A588-'Assumptions and Catalog'!$C$19,A588-1)</f>
        <v>4</v>
      </c>
      <c r="S588" s="5" t="n">
        <f>F588+L588-(D588+E588)*C588-J588-K588-IF(D$52&gt;0,'Assumptions and Catalog'!$C$26*C588,0)</f>
        <v>0</v>
      </c>
      <c r="T588" s="5"/>
      <c r="U588" s="5"/>
    </row>
    <row r="589" ht="23.100000381469727" customHeight="1">
      <c r="A589" s="5" t="n">
        <v>15</v>
      </c>
      <c r="B589" s="5" t="n">
        <v>11</v>
      </c>
      <c r="C589" s="5" t="n">
        <f>DAY(DATE('Assumptions and Catalog'!$C$24+A589-1,B589+1,0))</f>
        <v>30</v>
      </c>
      <c r="D589" s="5" t="n">
        <f>IF(ISNUMBER(Inputs!$L$5),Inputs!$L$5*Inputs!$L$6,0)</f>
        <v>40.35</v>
      </c>
      <c r="E589" s="5" t="n">
        <f>IF(ISNUMBER(Inputs!$L$5),Inputs!$L$5-D589,0)</f>
        <v>40.35</v>
      </c>
      <c r="F589" s="5" t="n">
        <f>D$51*'Assumptions and Catalog'!$C$31*C589*(1-'Assumptions and Catalog'!$C$10)^(A589-1)</f>
        <v>0</v>
      </c>
      <c r="G589" s="5" t="n">
        <f>MIN(F589,D589*C589)</f>
        <v>0</v>
      </c>
      <c r="H589" s="5" t="n">
        <f>I589/('Assumptions and Catalog'!$C$11*'Assumptions and Catalog'!$C$12)</f>
        <v>0</v>
      </c>
      <c r="I589" s="5" t="n">
        <f>IF(K$15="Grid cycle",MIN(K$16,D589+E589,P589*'Assumptions and Catalog'!$C$12,D$57*(24-'Assumptions and Catalog'!$C$15),D$56*'Assumptions and Catalog'!$C$15*'Assumptions and Catalog'!$C$11*'Assumptions and Catalog'!$C$12)*C589,0)</f>
        <v>0</v>
      </c>
      <c r="J589" s="5" t="n">
        <f>MAX(F589-G589-0,0)</f>
        <v>0</v>
      </c>
      <c r="K589" s="5" t="n">
        <f>H589-I589</f>
        <v>0</v>
      </c>
      <c r="L589" s="5" t="n">
        <f>(D589+E589)*C589-G589-I589+H589+IF(D$52&gt;0,'Assumptions and Catalog'!$C$26*C589,0)</f>
        <v>2421</v>
      </c>
      <c r="M589" s="5" t="n">
        <f>IF(ISNUMBER(Inputs!$L$5),(IF(Inputs!$L$9="Actual flat rate",((D589+E589)*C589)*Inputs!$L$10,IF(Inputs!$C$9="Residential",IF(((D589+E589)*C589)&lt;='Assumptions and Catalog'!$C$50,((D589+E589)*C589)*'Assumptions and Catalog'!$H$50+'Assumptions and Catalog'!$E$50+'Assumptions and Catalog'!$F$50,IF(((D589+E589)*C589)&lt;='Assumptions and Catalog'!$C$51,((D589+E589)*C589)*'Assumptions and Catalog'!$H$51+'Assumptions and Catalog'!$E$51+'Assumptions and Catalog'!$F$51,IF(((D589+E589)*C589)&lt;='Assumptions and Catalog'!$C$52,((D589+E589)*C589)*'Assumptions and Catalog'!$H$52+'Assumptions and Catalog'!$E$52+'Assumptions and Catalog'!$F$52,IF(((D589+E589)*C589)&lt;='Assumptions and Catalog'!$C$53,((D589+E589)*C589)*'Assumptions and Catalog'!$H$53+'Assumptions and Catalog'!$E$53+'Assumptions and Catalog'!$F$53,IF(((D589+E589)*C589)&lt;='Assumptions and Catalog'!$C$54,((D589+E589)*C589)*'Assumptions and Catalog'!$H$54+'Assumptions and Catalog'!$E$54+'Assumptions and Catalog'!$F$54,IF(((D589+E589)*C589)&lt;='Assumptions and Catalog'!$C$55,((D589+E589)*C589)*'Assumptions and Catalog'!$H$55+'Assumptions and Catalog'!$E$55+'Assumptions and Catalog'!$F$55,IF(((D589+E589)*C589)&lt;='Assumptions and Catalog'!$C$56,((D589+E589)*C589)*'Assumptions and Catalog'!$H$56+'Assumptions and Catalog'!$E$56+'Assumptions and Catalog'!$F$56,IF(((D589+E589)*C589)&lt;='Assumptions and Catalog'!$C$57,((D589+E589)*C589)*'Assumptions and Catalog'!$H$57+'Assumptions and Catalog'!$E$57+'Assumptions and Catalog'!$F$57,"Out of range")))))))),IF(((D589+E589)*C589)&lt;='Assumptions and Catalog'!$C$60,((D589+E589)*C589)*'Assumptions and Catalog'!$H$60+'Assumptions and Catalog'!$E$60+'Assumptions and Catalog'!$F$60,IF(((D589+E589)*C589)&lt;='Assumptions and Catalog'!$C$61,((D589+E589)*C589)*'Assumptions and Catalog'!$H$61+'Assumptions and Catalog'!$E$61+'Assumptions and Catalog'!$F$61,IF(((D589+E589)*C589)&lt;='Assumptions and Catalog'!$C$62,((D589+E589)*C589)*'Assumptions and Catalog'!$H$62+'Assumptions and Catalog'!$E$62+'Assumptions and Catalog'!$F$62,IF(((D589+E589)*C589)&lt;='Assumptions and Catalog'!$C$63,((D589+E589)*C589)*'Assumptions and Catalog'!$H$63+'Assumptions and Catalog'!$E$63+'Assumptions and Catalog'!$F$63,IF(((D589+E589)*C589)&lt;='Assumptions and Catalog'!$C$64,((D589+E589)*C589)*'Assumptions and Catalog'!$H$64+'Assumptions and Catalog'!$E$64+'Assumptions and Catalog'!$F$64,IF(((D589+E589)*C589)&lt;='Assumptions and Catalog'!$C$65,((D589+E589)*C589)*'Assumptions and Catalog'!$H$65+'Assumptions and Catalog'!$E$65+'Assumptions and Catalog'!$F$65,"Out of range")))))))))*(1+'Assumptions and Catalog'!$C$8)^(A589-1),0)</f>
        <v>6867.22</v>
      </c>
      <c r="N589" s="5" t="n">
        <f>IF(ISNUMBER(Inputs!$L$5),(IF(Inputs!$L$9="Actual flat rate",L589*Inputs!$L$10,IF(Inputs!$C$9="Residential",IF(L589&lt;='Assumptions and Catalog'!$C$50,L589*'Assumptions and Catalog'!$H$50+'Assumptions and Catalog'!$E$50+'Assumptions and Catalog'!$F$50,IF(L589&lt;='Assumptions and Catalog'!$C$51,L589*'Assumptions and Catalog'!$H$51+'Assumptions and Catalog'!$E$51+'Assumptions and Catalog'!$F$51,IF(L589&lt;='Assumptions and Catalog'!$C$52,L589*'Assumptions and Catalog'!$H$52+'Assumptions and Catalog'!$E$52+'Assumptions and Catalog'!$F$52,IF(L589&lt;='Assumptions and Catalog'!$C$53,L589*'Assumptions and Catalog'!$H$53+'Assumptions and Catalog'!$E$53+'Assumptions and Catalog'!$F$53,IF(L589&lt;='Assumptions and Catalog'!$C$54,L589*'Assumptions and Catalog'!$H$54+'Assumptions and Catalog'!$E$54+'Assumptions and Catalog'!$F$54,IF(L589&lt;='Assumptions and Catalog'!$C$55,L589*'Assumptions and Catalog'!$H$55+'Assumptions and Catalog'!$E$55+'Assumptions and Catalog'!$F$55,IF(L589&lt;='Assumptions and Catalog'!$C$56,L589*'Assumptions and Catalog'!$H$56+'Assumptions and Catalog'!$E$56+'Assumptions and Catalog'!$F$56,IF(L589&lt;='Assumptions and Catalog'!$C$57,L589*'Assumptions and Catalog'!$H$57+'Assumptions and Catalog'!$E$57+'Assumptions and Catalog'!$F$57,"Out of range")))))))),IF(L589&lt;='Assumptions and Catalog'!$C$60,L589*'Assumptions and Catalog'!$H$60+'Assumptions and Catalog'!$E$60+'Assumptions and Catalog'!$F$60,IF(L589&lt;='Assumptions and Catalog'!$C$61,L589*'Assumptions and Catalog'!$H$61+'Assumptions and Catalog'!$E$61+'Assumptions and Catalog'!$F$61,IF(L589&lt;='Assumptions and Catalog'!$C$62,L589*'Assumptions and Catalog'!$H$62+'Assumptions and Catalog'!$E$62+'Assumptions and Catalog'!$F$62,IF(L589&lt;='Assumptions and Catalog'!$C$63,L589*'Assumptions and Catalog'!$H$63+'Assumptions and Catalog'!$E$63+'Assumptions and Catalog'!$F$63,IF(L589&lt;='Assumptions and Catalog'!$C$64,L589*'Assumptions and Catalog'!$H$64+'Assumptions and Catalog'!$E$64+'Assumptions and Catalog'!$F$64,IF(L589&lt;='Assumptions and Catalog'!$C$65,L589*'Assumptions and Catalog'!$H$65+'Assumptions and Catalog'!$E$65+'Assumptions and Catalog'!$F$65,"Out of range")))))))))*(1+'Assumptions and Catalog'!$C$8)^(A589-1),0)</f>
        <v>6867.22</v>
      </c>
      <c r="O589" s="5" t="n">
        <f>M589-N589</f>
        <v>0</v>
      </c>
      <c r="P589" s="5" t="n">
        <f>D$55*(1-K$14)*(1-'Assumptions and Catalog'!$C$23)^R589</f>
        <v>0</v>
      </c>
      <c r="Q589" s="5" t="n">
        <f>IF(ISNUMBER(Inputs!$L$5),(IF(Inputs!$L$9="Actual flat rate",((D589+E589)*C589-G589)*Inputs!$L$10,IF(Inputs!$C$9="Residential",IF(((D589+E589)*C589-G589)&lt;='Assumptions and Catalog'!$C$50,((D589+E589)*C589-G589)*'Assumptions and Catalog'!$H$50+'Assumptions and Catalog'!$E$50+'Assumptions and Catalog'!$F$50,IF(((D589+E589)*C589-G589)&lt;='Assumptions and Catalog'!$C$51,((D589+E589)*C589-G589)*'Assumptions and Catalog'!$H$51+'Assumptions and Catalog'!$E$51+'Assumptions and Catalog'!$F$51,IF(((D589+E589)*C589-G589)&lt;='Assumptions and Catalog'!$C$52,((D589+E589)*C589-G589)*'Assumptions and Catalog'!$H$52+'Assumptions and Catalog'!$E$52+'Assumptions and Catalog'!$F$52,IF(((D589+E589)*C589-G589)&lt;='Assumptions and Catalog'!$C$53,((D589+E589)*C589-G589)*'Assumptions and Catalog'!$H$53+'Assumptions and Catalog'!$E$53+'Assumptions and Catalog'!$F$53,IF(((D589+E589)*C589-G589)&lt;='Assumptions and Catalog'!$C$54,((D589+E589)*C589-G589)*'Assumptions and Catalog'!$H$54+'Assumptions and Catalog'!$E$54+'Assumptions and Catalog'!$F$54,IF(((D589+E589)*C589-G589)&lt;='Assumptions and Catalog'!$C$55,((D589+E589)*C589-G589)*'Assumptions and Catalog'!$H$55+'Assumptions and Catalog'!$E$55+'Assumptions and Catalog'!$F$55,IF(((D589+E589)*C589-G589)&lt;='Assumptions and Catalog'!$C$56,((D589+E589)*C589-G589)*'Assumptions and Catalog'!$H$56+'Assumptions and Catalog'!$E$56+'Assumptions and Catalog'!$F$56,IF(((D589+E589)*C589-G589)&lt;='Assumptions and Catalog'!$C$57,((D589+E589)*C589-G589)*'Assumptions and Catalog'!$H$57+'Assumptions and Catalog'!$E$57+'Assumptions and Catalog'!$F$57,"Out of range")))))))),IF(((D589+E589)*C589-G589)&lt;='Assumptions and Catalog'!$C$60,((D589+E589)*C589-G589)*'Assumptions and Catalog'!$H$60+'Assumptions and Catalog'!$E$60+'Assumptions and Catalog'!$F$60,IF(((D589+E589)*C589-G589)&lt;='Assumptions and Catalog'!$C$61,((D589+E589)*C589-G589)*'Assumptions and Catalog'!$H$61+'Assumptions and Catalog'!$E$61+'Assumptions and Catalog'!$F$61,IF(((D589+E589)*C589-G589)&lt;='Assumptions and Catalog'!$C$62,((D589+E589)*C589-G589)*'Assumptions and Catalog'!$H$62+'Assumptions and Catalog'!$E$62+'Assumptions and Catalog'!$F$62,IF(((D589+E589)*C589-G589)&lt;='Assumptions and Catalog'!$C$63,((D589+E589)*C589-G589)*'Assumptions and Catalog'!$H$63+'Assumptions and Catalog'!$E$63+'Assumptions and Catalog'!$F$63,IF(((D589+E589)*C589-G589)&lt;='Assumptions and Catalog'!$C$64,((D589+E589)*C589-G589)*'Assumptions and Catalog'!$H$64+'Assumptions and Catalog'!$E$64+'Assumptions and Catalog'!$F$64,IF(((D589+E589)*C589-G589)&lt;='Assumptions and Catalog'!$C$65,((D589+E589)*C589-G589)*'Assumptions and Catalog'!$H$65+'Assumptions and Catalog'!$E$65+'Assumptions and Catalog'!$F$65,"Out of range")))))))))*(1+'Assumptions and Catalog'!$C$8)^(A589-1),0)</f>
        <v>6867.22</v>
      </c>
      <c r="R589" s="5" t="n">
        <f>IF(AND('Assumptions and Catalog'!$C$19&gt;0,A589&gt;='Assumptions and Catalog'!$C$19),A589-'Assumptions and Catalog'!$C$19,A589-1)</f>
        <v>4</v>
      </c>
      <c r="S589" s="5" t="n">
        <f>F589+L589-(D589+E589)*C589-J589-K589-IF(D$52&gt;0,'Assumptions and Catalog'!$C$26*C589,0)</f>
        <v>0</v>
      </c>
      <c r="T589" s="5"/>
      <c r="U589" s="5"/>
    </row>
    <row r="590" ht="23.100000381469727" customHeight="1">
      <c r="A590" s="5" t="n">
        <v>15</v>
      </c>
      <c r="B590" s="5" t="n">
        <v>12</v>
      </c>
      <c r="C590" s="5" t="n">
        <f>DAY(DATE('Assumptions and Catalog'!$C$24+A590-1,B590+1,0))</f>
        <v>31</v>
      </c>
      <c r="D590" s="5" t="n">
        <f>IF(ISNUMBER(Inputs!$L$5),Inputs!$L$5*Inputs!$L$6,0)</f>
        <v>40.35</v>
      </c>
      <c r="E590" s="5" t="n">
        <f>IF(ISNUMBER(Inputs!$L$5),Inputs!$L$5-D590,0)</f>
        <v>40.35</v>
      </c>
      <c r="F590" s="5" t="n">
        <f>D$51*'Assumptions and Catalog'!$C$31*C590*(1-'Assumptions and Catalog'!$C$10)^(A590-1)</f>
        <v>0</v>
      </c>
      <c r="G590" s="5" t="n">
        <f>MIN(F590,D590*C590)</f>
        <v>0</v>
      </c>
      <c r="H590" s="5" t="n">
        <f>I590/('Assumptions and Catalog'!$C$11*'Assumptions and Catalog'!$C$12)</f>
        <v>0</v>
      </c>
      <c r="I590" s="5" t="n">
        <f>IF(K$15="Grid cycle",MIN(K$16,D590+E590,P590*'Assumptions and Catalog'!$C$12,D$57*(24-'Assumptions and Catalog'!$C$15),D$56*'Assumptions and Catalog'!$C$15*'Assumptions and Catalog'!$C$11*'Assumptions and Catalog'!$C$12)*C590,0)</f>
        <v>0</v>
      </c>
      <c r="J590" s="5" t="n">
        <f>MAX(F590-G590-0,0)</f>
        <v>0</v>
      </c>
      <c r="K590" s="5" t="n">
        <f>H590-I590</f>
        <v>0</v>
      </c>
      <c r="L590" s="5" t="n">
        <f>(D590+E590)*C590-G590-I590+H590+IF(D$52&gt;0,'Assumptions and Catalog'!$C$26*C590,0)</f>
        <v>2501.7</v>
      </c>
      <c r="M590" s="5" t="n">
        <f>IF(ISNUMBER(Inputs!$L$5),(IF(Inputs!$L$9="Actual flat rate",((D590+E590)*C590)*Inputs!$L$10,IF(Inputs!$C$9="Residential",IF(((D590+E590)*C590)&lt;='Assumptions and Catalog'!$C$50,((D590+E590)*C590)*'Assumptions and Catalog'!$H$50+'Assumptions and Catalog'!$E$50+'Assumptions and Catalog'!$F$50,IF(((D590+E590)*C590)&lt;='Assumptions and Catalog'!$C$51,((D590+E590)*C590)*'Assumptions and Catalog'!$H$51+'Assumptions and Catalog'!$E$51+'Assumptions and Catalog'!$F$51,IF(((D590+E590)*C590)&lt;='Assumptions and Catalog'!$C$52,((D590+E590)*C590)*'Assumptions and Catalog'!$H$52+'Assumptions and Catalog'!$E$52+'Assumptions and Catalog'!$F$52,IF(((D590+E590)*C590)&lt;='Assumptions and Catalog'!$C$53,((D590+E590)*C590)*'Assumptions and Catalog'!$H$53+'Assumptions and Catalog'!$E$53+'Assumptions and Catalog'!$F$53,IF(((D590+E590)*C590)&lt;='Assumptions and Catalog'!$C$54,((D590+E590)*C590)*'Assumptions and Catalog'!$H$54+'Assumptions and Catalog'!$E$54+'Assumptions and Catalog'!$F$54,IF(((D590+E590)*C590)&lt;='Assumptions and Catalog'!$C$55,((D590+E590)*C590)*'Assumptions and Catalog'!$H$55+'Assumptions and Catalog'!$E$55+'Assumptions and Catalog'!$F$55,IF(((D590+E590)*C590)&lt;='Assumptions and Catalog'!$C$56,((D590+E590)*C590)*'Assumptions and Catalog'!$H$56+'Assumptions and Catalog'!$E$56+'Assumptions and Catalog'!$F$56,IF(((D590+E590)*C590)&lt;='Assumptions and Catalog'!$C$57,((D590+E590)*C590)*'Assumptions and Catalog'!$H$57+'Assumptions and Catalog'!$E$57+'Assumptions and Catalog'!$F$57,"Out of range")))))))),IF(((D590+E590)*C590)&lt;='Assumptions and Catalog'!$C$60,((D590+E590)*C590)*'Assumptions and Catalog'!$H$60+'Assumptions and Catalog'!$E$60+'Assumptions and Catalog'!$F$60,IF(((D590+E590)*C590)&lt;='Assumptions and Catalog'!$C$61,((D590+E590)*C590)*'Assumptions and Catalog'!$H$61+'Assumptions and Catalog'!$E$61+'Assumptions and Catalog'!$F$61,IF(((D590+E590)*C590)&lt;='Assumptions and Catalog'!$C$62,((D590+E590)*C590)*'Assumptions and Catalog'!$H$62+'Assumptions and Catalog'!$E$62+'Assumptions and Catalog'!$F$62,IF(((D590+E590)*C590)&lt;='Assumptions and Catalog'!$C$63,((D590+E590)*C590)*'Assumptions and Catalog'!$H$63+'Assumptions and Catalog'!$E$63+'Assumptions and Catalog'!$F$63,IF(((D590+E590)*C590)&lt;='Assumptions and Catalog'!$C$64,((D590+E590)*C590)*'Assumptions and Catalog'!$H$64+'Assumptions and Catalog'!$E$64+'Assumptions and Catalog'!$F$64,IF(((D590+E590)*C590)&lt;='Assumptions and Catalog'!$C$65,((D590+E590)*C590)*'Assumptions and Catalog'!$H$65+'Assumptions and Catalog'!$E$65+'Assumptions and Catalog'!$F$65,"Out of range")))))))))*(1+'Assumptions and Catalog'!$C$8)^(A590-1),0)</f>
        <v>7094.794</v>
      </c>
      <c r="N590" s="5" t="n">
        <f>IF(ISNUMBER(Inputs!$L$5),(IF(Inputs!$L$9="Actual flat rate",L590*Inputs!$L$10,IF(Inputs!$C$9="Residential",IF(L590&lt;='Assumptions and Catalog'!$C$50,L590*'Assumptions and Catalog'!$H$50+'Assumptions and Catalog'!$E$50+'Assumptions and Catalog'!$F$50,IF(L590&lt;='Assumptions and Catalog'!$C$51,L590*'Assumptions and Catalog'!$H$51+'Assumptions and Catalog'!$E$51+'Assumptions and Catalog'!$F$51,IF(L590&lt;='Assumptions and Catalog'!$C$52,L590*'Assumptions and Catalog'!$H$52+'Assumptions and Catalog'!$E$52+'Assumptions and Catalog'!$F$52,IF(L590&lt;='Assumptions and Catalog'!$C$53,L590*'Assumptions and Catalog'!$H$53+'Assumptions and Catalog'!$E$53+'Assumptions and Catalog'!$F$53,IF(L590&lt;='Assumptions and Catalog'!$C$54,L590*'Assumptions and Catalog'!$H$54+'Assumptions and Catalog'!$E$54+'Assumptions and Catalog'!$F$54,IF(L590&lt;='Assumptions and Catalog'!$C$55,L590*'Assumptions and Catalog'!$H$55+'Assumptions and Catalog'!$E$55+'Assumptions and Catalog'!$F$55,IF(L590&lt;='Assumptions and Catalog'!$C$56,L590*'Assumptions and Catalog'!$H$56+'Assumptions and Catalog'!$E$56+'Assumptions and Catalog'!$F$56,IF(L590&lt;='Assumptions and Catalog'!$C$57,L590*'Assumptions and Catalog'!$H$57+'Assumptions and Catalog'!$E$57+'Assumptions and Catalog'!$F$57,"Out of range")))))))),IF(L590&lt;='Assumptions and Catalog'!$C$60,L590*'Assumptions and Catalog'!$H$60+'Assumptions and Catalog'!$E$60+'Assumptions and Catalog'!$F$60,IF(L590&lt;='Assumptions and Catalog'!$C$61,L590*'Assumptions and Catalog'!$H$61+'Assumptions and Catalog'!$E$61+'Assumptions and Catalog'!$F$61,IF(L590&lt;='Assumptions and Catalog'!$C$62,L590*'Assumptions and Catalog'!$H$62+'Assumptions and Catalog'!$E$62+'Assumptions and Catalog'!$F$62,IF(L590&lt;='Assumptions and Catalog'!$C$63,L590*'Assumptions and Catalog'!$H$63+'Assumptions and Catalog'!$E$63+'Assumptions and Catalog'!$F$63,IF(L590&lt;='Assumptions and Catalog'!$C$64,L590*'Assumptions and Catalog'!$H$64+'Assumptions and Catalog'!$E$64+'Assumptions and Catalog'!$F$64,IF(L590&lt;='Assumptions and Catalog'!$C$65,L590*'Assumptions and Catalog'!$H$65+'Assumptions and Catalog'!$E$65+'Assumptions and Catalog'!$F$65,"Out of range")))))))))*(1+'Assumptions and Catalog'!$C$8)^(A590-1),0)</f>
        <v>7094.794</v>
      </c>
      <c r="O590" s="5" t="n">
        <f>M590-N590</f>
        <v>0</v>
      </c>
      <c r="P590" s="5" t="n">
        <f>D$55*(1-K$14)*(1-'Assumptions and Catalog'!$C$23)^R590</f>
        <v>0</v>
      </c>
      <c r="Q590" s="5" t="n">
        <f>IF(ISNUMBER(Inputs!$L$5),(IF(Inputs!$L$9="Actual flat rate",((D590+E590)*C590-G590)*Inputs!$L$10,IF(Inputs!$C$9="Residential",IF(((D590+E590)*C590-G590)&lt;='Assumptions and Catalog'!$C$50,((D590+E590)*C590-G590)*'Assumptions and Catalog'!$H$50+'Assumptions and Catalog'!$E$50+'Assumptions and Catalog'!$F$50,IF(((D590+E590)*C590-G590)&lt;='Assumptions and Catalog'!$C$51,((D590+E590)*C590-G590)*'Assumptions and Catalog'!$H$51+'Assumptions and Catalog'!$E$51+'Assumptions and Catalog'!$F$51,IF(((D590+E590)*C590-G590)&lt;='Assumptions and Catalog'!$C$52,((D590+E590)*C590-G590)*'Assumptions and Catalog'!$H$52+'Assumptions and Catalog'!$E$52+'Assumptions and Catalog'!$F$52,IF(((D590+E590)*C590-G590)&lt;='Assumptions and Catalog'!$C$53,((D590+E590)*C590-G590)*'Assumptions and Catalog'!$H$53+'Assumptions and Catalog'!$E$53+'Assumptions and Catalog'!$F$53,IF(((D590+E590)*C590-G590)&lt;='Assumptions and Catalog'!$C$54,((D590+E590)*C590-G590)*'Assumptions and Catalog'!$H$54+'Assumptions and Catalog'!$E$54+'Assumptions and Catalog'!$F$54,IF(((D590+E590)*C590-G590)&lt;='Assumptions and Catalog'!$C$55,((D590+E590)*C590-G590)*'Assumptions and Catalog'!$H$55+'Assumptions and Catalog'!$E$55+'Assumptions and Catalog'!$F$55,IF(((D590+E590)*C590-G590)&lt;='Assumptions and Catalog'!$C$56,((D590+E590)*C590-G590)*'Assumptions and Catalog'!$H$56+'Assumptions and Catalog'!$E$56+'Assumptions and Catalog'!$F$56,IF(((D590+E590)*C590-G590)&lt;='Assumptions and Catalog'!$C$57,((D590+E590)*C590-G590)*'Assumptions and Catalog'!$H$57+'Assumptions and Catalog'!$E$57+'Assumptions and Catalog'!$F$57,"Out of range")))))))),IF(((D590+E590)*C590-G590)&lt;='Assumptions and Catalog'!$C$60,((D590+E590)*C590-G590)*'Assumptions and Catalog'!$H$60+'Assumptions and Catalog'!$E$60+'Assumptions and Catalog'!$F$60,IF(((D590+E590)*C590-G590)&lt;='Assumptions and Catalog'!$C$61,((D590+E590)*C590-G590)*'Assumptions and Catalog'!$H$61+'Assumptions and Catalog'!$E$61+'Assumptions and Catalog'!$F$61,IF(((D590+E590)*C590-G590)&lt;='Assumptions and Catalog'!$C$62,((D590+E590)*C590-G590)*'Assumptions and Catalog'!$H$62+'Assumptions and Catalog'!$E$62+'Assumptions and Catalog'!$F$62,IF(((D590+E590)*C590-G590)&lt;='Assumptions and Catalog'!$C$63,((D590+E590)*C590-G590)*'Assumptions and Catalog'!$H$63+'Assumptions and Catalog'!$E$63+'Assumptions and Catalog'!$F$63,IF(((D590+E590)*C590-G590)&lt;='Assumptions and Catalog'!$C$64,((D590+E590)*C590-G590)*'Assumptions and Catalog'!$H$64+'Assumptions and Catalog'!$E$64+'Assumptions and Catalog'!$F$64,IF(((D590+E590)*C590-G590)&lt;='Assumptions and Catalog'!$C$65,((D590+E590)*C590-G590)*'Assumptions and Catalog'!$H$65+'Assumptions and Catalog'!$E$65+'Assumptions and Catalog'!$F$65,"Out of range")))))))))*(1+'Assumptions and Catalog'!$C$8)^(A590-1),0)</f>
        <v>7094.794</v>
      </c>
      <c r="R590" s="5" t="n">
        <f>IF(AND('Assumptions and Catalog'!$C$19&gt;0,A590&gt;='Assumptions and Catalog'!$C$19),A590-'Assumptions and Catalog'!$C$19,A590-1)</f>
        <v>4</v>
      </c>
      <c r="S590" s="5" t="n">
        <f>F590+L590-(D590+E590)*C590-J590-K590-IF(D$52&gt;0,'Assumptions and Catalog'!$C$26*C590,0)</f>
        <v>0</v>
      </c>
      <c r="T590" s="5"/>
      <c r="U590" s="5"/>
    </row>
    <row r="591" ht="23.100000381469727" customHeight="1">
      <c r="A591" s="5" t="n">
        <v>16</v>
      </c>
      <c r="B591" s="5" t="n">
        <v>1</v>
      </c>
      <c r="C591" s="5" t="n">
        <f>DAY(DATE('Assumptions and Catalog'!$C$24+A591-1,B591+1,0))</f>
        <v>31</v>
      </c>
      <c r="D591" s="5" t="n">
        <f>IF(ISNUMBER(Inputs!$L$5),Inputs!$L$5*Inputs!$L$6,0)</f>
        <v>40.35</v>
      </c>
      <c r="E591" s="5" t="n">
        <f>IF(ISNUMBER(Inputs!$L$5),Inputs!$L$5-D591,0)</f>
        <v>40.35</v>
      </c>
      <c r="F591" s="5" t="n">
        <f>D$51*'Assumptions and Catalog'!$C$31*C591*(1-'Assumptions and Catalog'!$C$10)^(A591-1)</f>
        <v>0</v>
      </c>
      <c r="G591" s="5" t="n">
        <f>MIN(F591,D591*C591)</f>
        <v>0</v>
      </c>
      <c r="H591" s="5" t="n">
        <f>I591/('Assumptions and Catalog'!$C$11*'Assumptions and Catalog'!$C$12)</f>
        <v>0</v>
      </c>
      <c r="I591" s="5" t="n">
        <f>IF(K$15="Grid cycle",MIN(K$16,D591+E591,P591*'Assumptions and Catalog'!$C$12,D$57*(24-'Assumptions and Catalog'!$C$15),D$56*'Assumptions and Catalog'!$C$15*'Assumptions and Catalog'!$C$11*'Assumptions and Catalog'!$C$12)*C591,0)</f>
        <v>0</v>
      </c>
      <c r="J591" s="5" t="n">
        <f>MAX(F591-G591-0,0)</f>
        <v>0</v>
      </c>
      <c r="K591" s="5" t="n">
        <f>H591-I591</f>
        <v>0</v>
      </c>
      <c r="L591" s="5" t="n">
        <f>(D591+E591)*C591-G591-I591+H591+IF(D$52&gt;0,'Assumptions and Catalog'!$C$26*C591,0)</f>
        <v>2501.7</v>
      </c>
      <c r="M591" s="5" t="n">
        <f>IF(ISNUMBER(Inputs!$L$5),(IF(Inputs!$L$9="Actual flat rate",((D591+E591)*C591)*Inputs!$L$10,IF(Inputs!$C$9="Residential",IF(((D591+E591)*C591)&lt;='Assumptions and Catalog'!$C$50,((D591+E591)*C591)*'Assumptions and Catalog'!$H$50+'Assumptions and Catalog'!$E$50+'Assumptions and Catalog'!$F$50,IF(((D591+E591)*C591)&lt;='Assumptions and Catalog'!$C$51,((D591+E591)*C591)*'Assumptions and Catalog'!$H$51+'Assumptions and Catalog'!$E$51+'Assumptions and Catalog'!$F$51,IF(((D591+E591)*C591)&lt;='Assumptions and Catalog'!$C$52,((D591+E591)*C591)*'Assumptions and Catalog'!$H$52+'Assumptions and Catalog'!$E$52+'Assumptions and Catalog'!$F$52,IF(((D591+E591)*C591)&lt;='Assumptions and Catalog'!$C$53,((D591+E591)*C591)*'Assumptions and Catalog'!$H$53+'Assumptions and Catalog'!$E$53+'Assumptions and Catalog'!$F$53,IF(((D591+E591)*C591)&lt;='Assumptions and Catalog'!$C$54,((D591+E591)*C591)*'Assumptions and Catalog'!$H$54+'Assumptions and Catalog'!$E$54+'Assumptions and Catalog'!$F$54,IF(((D591+E591)*C591)&lt;='Assumptions and Catalog'!$C$55,((D591+E591)*C591)*'Assumptions and Catalog'!$H$55+'Assumptions and Catalog'!$E$55+'Assumptions and Catalog'!$F$55,IF(((D591+E591)*C591)&lt;='Assumptions and Catalog'!$C$56,((D591+E591)*C591)*'Assumptions and Catalog'!$H$56+'Assumptions and Catalog'!$E$56+'Assumptions and Catalog'!$F$56,IF(((D591+E591)*C591)&lt;='Assumptions and Catalog'!$C$57,((D591+E591)*C591)*'Assumptions and Catalog'!$H$57+'Assumptions and Catalog'!$E$57+'Assumptions and Catalog'!$F$57,"Out of range")))))))),IF(((D591+E591)*C591)&lt;='Assumptions and Catalog'!$C$60,((D591+E591)*C591)*'Assumptions and Catalog'!$H$60+'Assumptions and Catalog'!$E$60+'Assumptions and Catalog'!$F$60,IF(((D591+E591)*C591)&lt;='Assumptions and Catalog'!$C$61,((D591+E591)*C591)*'Assumptions and Catalog'!$H$61+'Assumptions and Catalog'!$E$61+'Assumptions and Catalog'!$F$61,IF(((D591+E591)*C591)&lt;='Assumptions and Catalog'!$C$62,((D591+E591)*C591)*'Assumptions and Catalog'!$H$62+'Assumptions and Catalog'!$E$62+'Assumptions and Catalog'!$F$62,IF(((D591+E591)*C591)&lt;='Assumptions and Catalog'!$C$63,((D591+E591)*C591)*'Assumptions and Catalog'!$H$63+'Assumptions and Catalog'!$E$63+'Assumptions and Catalog'!$F$63,IF(((D591+E591)*C591)&lt;='Assumptions and Catalog'!$C$64,((D591+E591)*C591)*'Assumptions and Catalog'!$H$64+'Assumptions and Catalog'!$E$64+'Assumptions and Catalog'!$F$64,IF(((D591+E591)*C591)&lt;='Assumptions and Catalog'!$C$65,((D591+E591)*C591)*'Assumptions and Catalog'!$H$65+'Assumptions and Catalog'!$E$65+'Assumptions and Catalog'!$F$65,"Out of range")))))))))*(1+'Assumptions and Catalog'!$C$8)^(A591-1),0)</f>
        <v>7094.794</v>
      </c>
      <c r="N591" s="5" t="n">
        <f>IF(ISNUMBER(Inputs!$L$5),(IF(Inputs!$L$9="Actual flat rate",L591*Inputs!$L$10,IF(Inputs!$C$9="Residential",IF(L591&lt;='Assumptions and Catalog'!$C$50,L591*'Assumptions and Catalog'!$H$50+'Assumptions and Catalog'!$E$50+'Assumptions and Catalog'!$F$50,IF(L591&lt;='Assumptions and Catalog'!$C$51,L591*'Assumptions and Catalog'!$H$51+'Assumptions and Catalog'!$E$51+'Assumptions and Catalog'!$F$51,IF(L591&lt;='Assumptions and Catalog'!$C$52,L591*'Assumptions and Catalog'!$H$52+'Assumptions and Catalog'!$E$52+'Assumptions and Catalog'!$F$52,IF(L591&lt;='Assumptions and Catalog'!$C$53,L591*'Assumptions and Catalog'!$H$53+'Assumptions and Catalog'!$E$53+'Assumptions and Catalog'!$F$53,IF(L591&lt;='Assumptions and Catalog'!$C$54,L591*'Assumptions and Catalog'!$H$54+'Assumptions and Catalog'!$E$54+'Assumptions and Catalog'!$F$54,IF(L591&lt;='Assumptions and Catalog'!$C$55,L591*'Assumptions and Catalog'!$H$55+'Assumptions and Catalog'!$E$55+'Assumptions and Catalog'!$F$55,IF(L591&lt;='Assumptions and Catalog'!$C$56,L591*'Assumptions and Catalog'!$H$56+'Assumptions and Catalog'!$E$56+'Assumptions and Catalog'!$F$56,IF(L591&lt;='Assumptions and Catalog'!$C$57,L591*'Assumptions and Catalog'!$H$57+'Assumptions and Catalog'!$E$57+'Assumptions and Catalog'!$F$57,"Out of range")))))))),IF(L591&lt;='Assumptions and Catalog'!$C$60,L591*'Assumptions and Catalog'!$H$60+'Assumptions and Catalog'!$E$60+'Assumptions and Catalog'!$F$60,IF(L591&lt;='Assumptions and Catalog'!$C$61,L591*'Assumptions and Catalog'!$H$61+'Assumptions and Catalog'!$E$61+'Assumptions and Catalog'!$F$61,IF(L591&lt;='Assumptions and Catalog'!$C$62,L591*'Assumptions and Catalog'!$H$62+'Assumptions and Catalog'!$E$62+'Assumptions and Catalog'!$F$62,IF(L591&lt;='Assumptions and Catalog'!$C$63,L591*'Assumptions and Catalog'!$H$63+'Assumptions and Catalog'!$E$63+'Assumptions and Catalog'!$F$63,IF(L591&lt;='Assumptions and Catalog'!$C$64,L591*'Assumptions and Catalog'!$H$64+'Assumptions and Catalog'!$E$64+'Assumptions and Catalog'!$F$64,IF(L591&lt;='Assumptions and Catalog'!$C$65,L591*'Assumptions and Catalog'!$H$65+'Assumptions and Catalog'!$E$65+'Assumptions and Catalog'!$F$65,"Out of range")))))))))*(1+'Assumptions and Catalog'!$C$8)^(A591-1),0)</f>
        <v>7094.794</v>
      </c>
      <c r="O591" s="5" t="n">
        <f>M591-N591</f>
        <v>0</v>
      </c>
      <c r="P591" s="5" t="n">
        <f>D$55*(1-K$14)*(1-'Assumptions and Catalog'!$C$23)^R591</f>
        <v>0</v>
      </c>
      <c r="Q591" s="5" t="n">
        <f>IF(ISNUMBER(Inputs!$L$5),(IF(Inputs!$L$9="Actual flat rate",((D591+E591)*C591-G591)*Inputs!$L$10,IF(Inputs!$C$9="Residential",IF(((D591+E591)*C591-G591)&lt;='Assumptions and Catalog'!$C$50,((D591+E591)*C591-G591)*'Assumptions and Catalog'!$H$50+'Assumptions and Catalog'!$E$50+'Assumptions and Catalog'!$F$50,IF(((D591+E591)*C591-G591)&lt;='Assumptions and Catalog'!$C$51,((D591+E591)*C591-G591)*'Assumptions and Catalog'!$H$51+'Assumptions and Catalog'!$E$51+'Assumptions and Catalog'!$F$51,IF(((D591+E591)*C591-G591)&lt;='Assumptions and Catalog'!$C$52,((D591+E591)*C591-G591)*'Assumptions and Catalog'!$H$52+'Assumptions and Catalog'!$E$52+'Assumptions and Catalog'!$F$52,IF(((D591+E591)*C591-G591)&lt;='Assumptions and Catalog'!$C$53,((D591+E591)*C591-G591)*'Assumptions and Catalog'!$H$53+'Assumptions and Catalog'!$E$53+'Assumptions and Catalog'!$F$53,IF(((D591+E591)*C591-G591)&lt;='Assumptions and Catalog'!$C$54,((D591+E591)*C591-G591)*'Assumptions and Catalog'!$H$54+'Assumptions and Catalog'!$E$54+'Assumptions and Catalog'!$F$54,IF(((D591+E591)*C591-G591)&lt;='Assumptions and Catalog'!$C$55,((D591+E591)*C591-G591)*'Assumptions and Catalog'!$H$55+'Assumptions and Catalog'!$E$55+'Assumptions and Catalog'!$F$55,IF(((D591+E591)*C591-G591)&lt;='Assumptions and Catalog'!$C$56,((D591+E591)*C591-G591)*'Assumptions and Catalog'!$H$56+'Assumptions and Catalog'!$E$56+'Assumptions and Catalog'!$F$56,IF(((D591+E591)*C591-G591)&lt;='Assumptions and Catalog'!$C$57,((D591+E591)*C591-G591)*'Assumptions and Catalog'!$H$57+'Assumptions and Catalog'!$E$57+'Assumptions and Catalog'!$F$57,"Out of range")))))))),IF(((D591+E591)*C591-G591)&lt;='Assumptions and Catalog'!$C$60,((D591+E591)*C591-G591)*'Assumptions and Catalog'!$H$60+'Assumptions and Catalog'!$E$60+'Assumptions and Catalog'!$F$60,IF(((D591+E591)*C591-G591)&lt;='Assumptions and Catalog'!$C$61,((D591+E591)*C591-G591)*'Assumptions and Catalog'!$H$61+'Assumptions and Catalog'!$E$61+'Assumptions and Catalog'!$F$61,IF(((D591+E591)*C591-G591)&lt;='Assumptions and Catalog'!$C$62,((D591+E591)*C591-G591)*'Assumptions and Catalog'!$H$62+'Assumptions and Catalog'!$E$62+'Assumptions and Catalog'!$F$62,IF(((D591+E591)*C591-G591)&lt;='Assumptions and Catalog'!$C$63,((D591+E591)*C591-G591)*'Assumptions and Catalog'!$H$63+'Assumptions and Catalog'!$E$63+'Assumptions and Catalog'!$F$63,IF(((D591+E591)*C591-G591)&lt;='Assumptions and Catalog'!$C$64,((D591+E591)*C591-G591)*'Assumptions and Catalog'!$H$64+'Assumptions and Catalog'!$E$64+'Assumptions and Catalog'!$F$64,IF(((D591+E591)*C591-G591)&lt;='Assumptions and Catalog'!$C$65,((D591+E591)*C591-G591)*'Assumptions and Catalog'!$H$65+'Assumptions and Catalog'!$E$65+'Assumptions and Catalog'!$F$65,"Out of range")))))))))*(1+'Assumptions and Catalog'!$C$8)^(A591-1),0)</f>
        <v>7094.794</v>
      </c>
      <c r="R591" s="5" t="n">
        <f>IF(AND('Assumptions and Catalog'!$C$19&gt;0,A591&gt;='Assumptions and Catalog'!$C$19),A591-'Assumptions and Catalog'!$C$19,A591-1)</f>
        <v>5</v>
      </c>
      <c r="S591" s="5" t="n">
        <f>F591+L591-(D591+E591)*C591-J591-K591-IF(D$52&gt;0,'Assumptions and Catalog'!$C$26*C591,0)</f>
        <v>0</v>
      </c>
      <c r="T591" s="5"/>
      <c r="U591" s="5"/>
    </row>
    <row r="592" ht="23.100000381469727" customHeight="1">
      <c r="A592" s="5" t="n">
        <v>16</v>
      </c>
      <c r="B592" s="5" t="n">
        <v>2</v>
      </c>
      <c r="C592" s="5" t="n">
        <f>DAY(DATE('Assumptions and Catalog'!$C$24+A592-1,B592+1,0))</f>
        <v>28</v>
      </c>
      <c r="D592" s="5" t="n">
        <f>IF(ISNUMBER(Inputs!$L$5),Inputs!$L$5*Inputs!$L$6,0)</f>
        <v>40.35</v>
      </c>
      <c r="E592" s="5" t="n">
        <f>IF(ISNUMBER(Inputs!$L$5),Inputs!$L$5-D592,0)</f>
        <v>40.35</v>
      </c>
      <c r="F592" s="5" t="n">
        <f>D$51*'Assumptions and Catalog'!$C$31*C592*(1-'Assumptions and Catalog'!$C$10)^(A592-1)</f>
        <v>0</v>
      </c>
      <c r="G592" s="5" t="n">
        <f>MIN(F592,D592*C592)</f>
        <v>0</v>
      </c>
      <c r="H592" s="5" t="n">
        <f>I592/('Assumptions and Catalog'!$C$11*'Assumptions and Catalog'!$C$12)</f>
        <v>0</v>
      </c>
      <c r="I592" s="5" t="n">
        <f>IF(K$15="Grid cycle",MIN(K$16,D592+E592,P592*'Assumptions and Catalog'!$C$12,D$57*(24-'Assumptions and Catalog'!$C$15),D$56*'Assumptions and Catalog'!$C$15*'Assumptions and Catalog'!$C$11*'Assumptions and Catalog'!$C$12)*C592,0)</f>
        <v>0</v>
      </c>
      <c r="J592" s="5" t="n">
        <f>MAX(F592-G592-0,0)</f>
        <v>0</v>
      </c>
      <c r="K592" s="5" t="n">
        <f>H592-I592</f>
        <v>0</v>
      </c>
      <c r="L592" s="5" t="n">
        <f>(D592+E592)*C592-G592-I592+H592+IF(D$52&gt;0,'Assumptions and Catalog'!$C$26*C592,0)</f>
        <v>2259.6</v>
      </c>
      <c r="M592" s="5" t="n">
        <f>IF(ISNUMBER(Inputs!$L$5),(IF(Inputs!$L$9="Actual flat rate",((D592+E592)*C592)*Inputs!$L$10,IF(Inputs!$C$9="Residential",IF(((D592+E592)*C592)&lt;='Assumptions and Catalog'!$C$50,((D592+E592)*C592)*'Assumptions and Catalog'!$H$50+'Assumptions and Catalog'!$E$50+'Assumptions and Catalog'!$F$50,IF(((D592+E592)*C592)&lt;='Assumptions and Catalog'!$C$51,((D592+E592)*C592)*'Assumptions and Catalog'!$H$51+'Assumptions and Catalog'!$E$51+'Assumptions and Catalog'!$F$51,IF(((D592+E592)*C592)&lt;='Assumptions and Catalog'!$C$52,((D592+E592)*C592)*'Assumptions and Catalog'!$H$52+'Assumptions and Catalog'!$E$52+'Assumptions and Catalog'!$F$52,IF(((D592+E592)*C592)&lt;='Assumptions and Catalog'!$C$53,((D592+E592)*C592)*'Assumptions and Catalog'!$H$53+'Assumptions and Catalog'!$E$53+'Assumptions and Catalog'!$F$53,IF(((D592+E592)*C592)&lt;='Assumptions and Catalog'!$C$54,((D592+E592)*C592)*'Assumptions and Catalog'!$H$54+'Assumptions and Catalog'!$E$54+'Assumptions and Catalog'!$F$54,IF(((D592+E592)*C592)&lt;='Assumptions and Catalog'!$C$55,((D592+E592)*C592)*'Assumptions and Catalog'!$H$55+'Assumptions and Catalog'!$E$55+'Assumptions and Catalog'!$F$55,IF(((D592+E592)*C592)&lt;='Assumptions and Catalog'!$C$56,((D592+E592)*C592)*'Assumptions and Catalog'!$H$56+'Assumptions and Catalog'!$E$56+'Assumptions and Catalog'!$F$56,IF(((D592+E592)*C592)&lt;='Assumptions and Catalog'!$C$57,((D592+E592)*C592)*'Assumptions and Catalog'!$H$57+'Assumptions and Catalog'!$E$57+'Assumptions and Catalog'!$F$57,"Out of range")))))))),IF(((D592+E592)*C592)&lt;='Assumptions and Catalog'!$C$60,((D592+E592)*C592)*'Assumptions and Catalog'!$H$60+'Assumptions and Catalog'!$E$60+'Assumptions and Catalog'!$F$60,IF(((D592+E592)*C592)&lt;='Assumptions and Catalog'!$C$61,((D592+E592)*C592)*'Assumptions and Catalog'!$H$61+'Assumptions and Catalog'!$E$61+'Assumptions and Catalog'!$F$61,IF(((D592+E592)*C592)&lt;='Assumptions and Catalog'!$C$62,((D592+E592)*C592)*'Assumptions and Catalog'!$H$62+'Assumptions and Catalog'!$E$62+'Assumptions and Catalog'!$F$62,IF(((D592+E592)*C592)&lt;='Assumptions and Catalog'!$C$63,((D592+E592)*C592)*'Assumptions and Catalog'!$H$63+'Assumptions and Catalog'!$E$63+'Assumptions and Catalog'!$F$63,IF(((D592+E592)*C592)&lt;='Assumptions and Catalog'!$C$64,((D592+E592)*C592)*'Assumptions and Catalog'!$H$64+'Assumptions and Catalog'!$E$64+'Assumptions and Catalog'!$F$64,IF(((D592+E592)*C592)&lt;='Assumptions and Catalog'!$C$65,((D592+E592)*C592)*'Assumptions and Catalog'!$H$65+'Assumptions and Catalog'!$E$65+'Assumptions and Catalog'!$F$65,"Out of range")))))))))*(1+'Assumptions and Catalog'!$C$8)^(A592-1),0)</f>
        <v>6412.072</v>
      </c>
      <c r="N592" s="5" t="n">
        <f>IF(ISNUMBER(Inputs!$L$5),(IF(Inputs!$L$9="Actual flat rate",L592*Inputs!$L$10,IF(Inputs!$C$9="Residential",IF(L592&lt;='Assumptions and Catalog'!$C$50,L592*'Assumptions and Catalog'!$H$50+'Assumptions and Catalog'!$E$50+'Assumptions and Catalog'!$F$50,IF(L592&lt;='Assumptions and Catalog'!$C$51,L592*'Assumptions and Catalog'!$H$51+'Assumptions and Catalog'!$E$51+'Assumptions and Catalog'!$F$51,IF(L592&lt;='Assumptions and Catalog'!$C$52,L592*'Assumptions and Catalog'!$H$52+'Assumptions and Catalog'!$E$52+'Assumptions and Catalog'!$F$52,IF(L592&lt;='Assumptions and Catalog'!$C$53,L592*'Assumptions and Catalog'!$H$53+'Assumptions and Catalog'!$E$53+'Assumptions and Catalog'!$F$53,IF(L592&lt;='Assumptions and Catalog'!$C$54,L592*'Assumptions and Catalog'!$H$54+'Assumptions and Catalog'!$E$54+'Assumptions and Catalog'!$F$54,IF(L592&lt;='Assumptions and Catalog'!$C$55,L592*'Assumptions and Catalog'!$H$55+'Assumptions and Catalog'!$E$55+'Assumptions and Catalog'!$F$55,IF(L592&lt;='Assumptions and Catalog'!$C$56,L592*'Assumptions and Catalog'!$H$56+'Assumptions and Catalog'!$E$56+'Assumptions and Catalog'!$F$56,IF(L592&lt;='Assumptions and Catalog'!$C$57,L592*'Assumptions and Catalog'!$H$57+'Assumptions and Catalog'!$E$57+'Assumptions and Catalog'!$F$57,"Out of range")))))))),IF(L592&lt;='Assumptions and Catalog'!$C$60,L592*'Assumptions and Catalog'!$H$60+'Assumptions and Catalog'!$E$60+'Assumptions and Catalog'!$F$60,IF(L592&lt;='Assumptions and Catalog'!$C$61,L592*'Assumptions and Catalog'!$H$61+'Assumptions and Catalog'!$E$61+'Assumptions and Catalog'!$F$61,IF(L592&lt;='Assumptions and Catalog'!$C$62,L592*'Assumptions and Catalog'!$H$62+'Assumptions and Catalog'!$E$62+'Assumptions and Catalog'!$F$62,IF(L592&lt;='Assumptions and Catalog'!$C$63,L592*'Assumptions and Catalog'!$H$63+'Assumptions and Catalog'!$E$63+'Assumptions and Catalog'!$F$63,IF(L592&lt;='Assumptions and Catalog'!$C$64,L592*'Assumptions and Catalog'!$H$64+'Assumptions and Catalog'!$E$64+'Assumptions and Catalog'!$F$64,IF(L592&lt;='Assumptions and Catalog'!$C$65,L592*'Assumptions and Catalog'!$H$65+'Assumptions and Catalog'!$E$65+'Assumptions and Catalog'!$F$65,"Out of range")))))))))*(1+'Assumptions and Catalog'!$C$8)^(A592-1),0)</f>
        <v>6412.072</v>
      </c>
      <c r="O592" s="5" t="n">
        <f>M592-N592</f>
        <v>0</v>
      </c>
      <c r="P592" s="5" t="n">
        <f>D$55*(1-K$14)*(1-'Assumptions and Catalog'!$C$23)^R592</f>
        <v>0</v>
      </c>
      <c r="Q592" s="5" t="n">
        <f>IF(ISNUMBER(Inputs!$L$5),(IF(Inputs!$L$9="Actual flat rate",((D592+E592)*C592-G592)*Inputs!$L$10,IF(Inputs!$C$9="Residential",IF(((D592+E592)*C592-G592)&lt;='Assumptions and Catalog'!$C$50,((D592+E592)*C592-G592)*'Assumptions and Catalog'!$H$50+'Assumptions and Catalog'!$E$50+'Assumptions and Catalog'!$F$50,IF(((D592+E592)*C592-G592)&lt;='Assumptions and Catalog'!$C$51,((D592+E592)*C592-G592)*'Assumptions and Catalog'!$H$51+'Assumptions and Catalog'!$E$51+'Assumptions and Catalog'!$F$51,IF(((D592+E592)*C592-G592)&lt;='Assumptions and Catalog'!$C$52,((D592+E592)*C592-G592)*'Assumptions and Catalog'!$H$52+'Assumptions and Catalog'!$E$52+'Assumptions and Catalog'!$F$52,IF(((D592+E592)*C592-G592)&lt;='Assumptions and Catalog'!$C$53,((D592+E592)*C592-G592)*'Assumptions and Catalog'!$H$53+'Assumptions and Catalog'!$E$53+'Assumptions and Catalog'!$F$53,IF(((D592+E592)*C592-G592)&lt;='Assumptions and Catalog'!$C$54,((D592+E592)*C592-G592)*'Assumptions and Catalog'!$H$54+'Assumptions and Catalog'!$E$54+'Assumptions and Catalog'!$F$54,IF(((D592+E592)*C592-G592)&lt;='Assumptions and Catalog'!$C$55,((D592+E592)*C592-G592)*'Assumptions and Catalog'!$H$55+'Assumptions and Catalog'!$E$55+'Assumptions and Catalog'!$F$55,IF(((D592+E592)*C592-G592)&lt;='Assumptions and Catalog'!$C$56,((D592+E592)*C592-G592)*'Assumptions and Catalog'!$H$56+'Assumptions and Catalog'!$E$56+'Assumptions and Catalog'!$F$56,IF(((D592+E592)*C592-G592)&lt;='Assumptions and Catalog'!$C$57,((D592+E592)*C592-G592)*'Assumptions and Catalog'!$H$57+'Assumptions and Catalog'!$E$57+'Assumptions and Catalog'!$F$57,"Out of range")))))))),IF(((D592+E592)*C592-G592)&lt;='Assumptions and Catalog'!$C$60,((D592+E592)*C592-G592)*'Assumptions and Catalog'!$H$60+'Assumptions and Catalog'!$E$60+'Assumptions and Catalog'!$F$60,IF(((D592+E592)*C592-G592)&lt;='Assumptions and Catalog'!$C$61,((D592+E592)*C592-G592)*'Assumptions and Catalog'!$H$61+'Assumptions and Catalog'!$E$61+'Assumptions and Catalog'!$F$61,IF(((D592+E592)*C592-G592)&lt;='Assumptions and Catalog'!$C$62,((D592+E592)*C592-G592)*'Assumptions and Catalog'!$H$62+'Assumptions and Catalog'!$E$62+'Assumptions and Catalog'!$F$62,IF(((D592+E592)*C592-G592)&lt;='Assumptions and Catalog'!$C$63,((D592+E592)*C592-G592)*'Assumptions and Catalog'!$H$63+'Assumptions and Catalog'!$E$63+'Assumptions and Catalog'!$F$63,IF(((D592+E592)*C592-G592)&lt;='Assumptions and Catalog'!$C$64,((D592+E592)*C592-G592)*'Assumptions and Catalog'!$H$64+'Assumptions and Catalog'!$E$64+'Assumptions and Catalog'!$F$64,IF(((D592+E592)*C592-G592)&lt;='Assumptions and Catalog'!$C$65,((D592+E592)*C592-G592)*'Assumptions and Catalog'!$H$65+'Assumptions and Catalog'!$E$65+'Assumptions and Catalog'!$F$65,"Out of range")))))))))*(1+'Assumptions and Catalog'!$C$8)^(A592-1),0)</f>
        <v>6412.072</v>
      </c>
      <c r="R592" s="5" t="n">
        <f>IF(AND('Assumptions and Catalog'!$C$19&gt;0,A592&gt;='Assumptions and Catalog'!$C$19),A592-'Assumptions and Catalog'!$C$19,A592-1)</f>
        <v>5</v>
      </c>
      <c r="S592" s="5" t="n">
        <f>F592+L592-(D592+E592)*C592-J592-K592-IF(D$52&gt;0,'Assumptions and Catalog'!$C$26*C592,0)</f>
        <v>0</v>
      </c>
      <c r="T592" s="5"/>
      <c r="U592" s="5"/>
    </row>
    <row r="593" ht="23.100000381469727" customHeight="1">
      <c r="A593" s="5" t="n">
        <v>16</v>
      </c>
      <c r="B593" s="5" t="n">
        <v>3</v>
      </c>
      <c r="C593" s="5" t="n">
        <f>DAY(DATE('Assumptions and Catalog'!$C$24+A593-1,B593+1,0))</f>
        <v>31</v>
      </c>
      <c r="D593" s="5" t="n">
        <f>IF(ISNUMBER(Inputs!$L$5),Inputs!$L$5*Inputs!$L$6,0)</f>
        <v>40.35</v>
      </c>
      <c r="E593" s="5" t="n">
        <f>IF(ISNUMBER(Inputs!$L$5),Inputs!$L$5-D593,0)</f>
        <v>40.35</v>
      </c>
      <c r="F593" s="5" t="n">
        <f>D$51*'Assumptions and Catalog'!$C$31*C593*(1-'Assumptions and Catalog'!$C$10)^(A593-1)</f>
        <v>0</v>
      </c>
      <c r="G593" s="5" t="n">
        <f>MIN(F593,D593*C593)</f>
        <v>0</v>
      </c>
      <c r="H593" s="5" t="n">
        <f>I593/('Assumptions and Catalog'!$C$11*'Assumptions and Catalog'!$C$12)</f>
        <v>0</v>
      </c>
      <c r="I593" s="5" t="n">
        <f>IF(K$15="Grid cycle",MIN(K$16,D593+E593,P593*'Assumptions and Catalog'!$C$12,D$57*(24-'Assumptions and Catalog'!$C$15),D$56*'Assumptions and Catalog'!$C$15*'Assumptions and Catalog'!$C$11*'Assumptions and Catalog'!$C$12)*C593,0)</f>
        <v>0</v>
      </c>
      <c r="J593" s="5" t="n">
        <f>MAX(F593-G593-0,0)</f>
        <v>0</v>
      </c>
      <c r="K593" s="5" t="n">
        <f>H593-I593</f>
        <v>0</v>
      </c>
      <c r="L593" s="5" t="n">
        <f>(D593+E593)*C593-G593-I593+H593+IF(D$52&gt;0,'Assumptions and Catalog'!$C$26*C593,0)</f>
        <v>2501.7</v>
      </c>
      <c r="M593" s="5" t="n">
        <f>IF(ISNUMBER(Inputs!$L$5),(IF(Inputs!$L$9="Actual flat rate",((D593+E593)*C593)*Inputs!$L$10,IF(Inputs!$C$9="Residential",IF(((D593+E593)*C593)&lt;='Assumptions and Catalog'!$C$50,((D593+E593)*C593)*'Assumptions and Catalog'!$H$50+'Assumptions and Catalog'!$E$50+'Assumptions and Catalog'!$F$50,IF(((D593+E593)*C593)&lt;='Assumptions and Catalog'!$C$51,((D593+E593)*C593)*'Assumptions and Catalog'!$H$51+'Assumptions and Catalog'!$E$51+'Assumptions and Catalog'!$F$51,IF(((D593+E593)*C593)&lt;='Assumptions and Catalog'!$C$52,((D593+E593)*C593)*'Assumptions and Catalog'!$H$52+'Assumptions and Catalog'!$E$52+'Assumptions and Catalog'!$F$52,IF(((D593+E593)*C593)&lt;='Assumptions and Catalog'!$C$53,((D593+E593)*C593)*'Assumptions and Catalog'!$H$53+'Assumptions and Catalog'!$E$53+'Assumptions and Catalog'!$F$53,IF(((D593+E593)*C593)&lt;='Assumptions and Catalog'!$C$54,((D593+E593)*C593)*'Assumptions and Catalog'!$H$54+'Assumptions and Catalog'!$E$54+'Assumptions and Catalog'!$F$54,IF(((D593+E593)*C593)&lt;='Assumptions and Catalog'!$C$55,((D593+E593)*C593)*'Assumptions and Catalog'!$H$55+'Assumptions and Catalog'!$E$55+'Assumptions and Catalog'!$F$55,IF(((D593+E593)*C593)&lt;='Assumptions and Catalog'!$C$56,((D593+E593)*C593)*'Assumptions and Catalog'!$H$56+'Assumptions and Catalog'!$E$56+'Assumptions and Catalog'!$F$56,IF(((D593+E593)*C593)&lt;='Assumptions and Catalog'!$C$57,((D593+E593)*C593)*'Assumptions and Catalog'!$H$57+'Assumptions and Catalog'!$E$57+'Assumptions and Catalog'!$F$57,"Out of range")))))))),IF(((D593+E593)*C593)&lt;='Assumptions and Catalog'!$C$60,((D593+E593)*C593)*'Assumptions and Catalog'!$H$60+'Assumptions and Catalog'!$E$60+'Assumptions and Catalog'!$F$60,IF(((D593+E593)*C593)&lt;='Assumptions and Catalog'!$C$61,((D593+E593)*C593)*'Assumptions and Catalog'!$H$61+'Assumptions and Catalog'!$E$61+'Assumptions and Catalog'!$F$61,IF(((D593+E593)*C593)&lt;='Assumptions and Catalog'!$C$62,((D593+E593)*C593)*'Assumptions and Catalog'!$H$62+'Assumptions and Catalog'!$E$62+'Assumptions and Catalog'!$F$62,IF(((D593+E593)*C593)&lt;='Assumptions and Catalog'!$C$63,((D593+E593)*C593)*'Assumptions and Catalog'!$H$63+'Assumptions and Catalog'!$E$63+'Assumptions and Catalog'!$F$63,IF(((D593+E593)*C593)&lt;='Assumptions and Catalog'!$C$64,((D593+E593)*C593)*'Assumptions and Catalog'!$H$64+'Assumptions and Catalog'!$E$64+'Assumptions and Catalog'!$F$64,IF(((D593+E593)*C593)&lt;='Assumptions and Catalog'!$C$65,((D593+E593)*C593)*'Assumptions and Catalog'!$H$65+'Assumptions and Catalog'!$E$65+'Assumptions and Catalog'!$F$65,"Out of range")))))))))*(1+'Assumptions and Catalog'!$C$8)^(A593-1),0)</f>
        <v>7094.794</v>
      </c>
      <c r="N593" s="5" t="n">
        <f>IF(ISNUMBER(Inputs!$L$5),(IF(Inputs!$L$9="Actual flat rate",L593*Inputs!$L$10,IF(Inputs!$C$9="Residential",IF(L593&lt;='Assumptions and Catalog'!$C$50,L593*'Assumptions and Catalog'!$H$50+'Assumptions and Catalog'!$E$50+'Assumptions and Catalog'!$F$50,IF(L593&lt;='Assumptions and Catalog'!$C$51,L593*'Assumptions and Catalog'!$H$51+'Assumptions and Catalog'!$E$51+'Assumptions and Catalog'!$F$51,IF(L593&lt;='Assumptions and Catalog'!$C$52,L593*'Assumptions and Catalog'!$H$52+'Assumptions and Catalog'!$E$52+'Assumptions and Catalog'!$F$52,IF(L593&lt;='Assumptions and Catalog'!$C$53,L593*'Assumptions and Catalog'!$H$53+'Assumptions and Catalog'!$E$53+'Assumptions and Catalog'!$F$53,IF(L593&lt;='Assumptions and Catalog'!$C$54,L593*'Assumptions and Catalog'!$H$54+'Assumptions and Catalog'!$E$54+'Assumptions and Catalog'!$F$54,IF(L593&lt;='Assumptions and Catalog'!$C$55,L593*'Assumptions and Catalog'!$H$55+'Assumptions and Catalog'!$E$55+'Assumptions and Catalog'!$F$55,IF(L593&lt;='Assumptions and Catalog'!$C$56,L593*'Assumptions and Catalog'!$H$56+'Assumptions and Catalog'!$E$56+'Assumptions and Catalog'!$F$56,IF(L593&lt;='Assumptions and Catalog'!$C$57,L593*'Assumptions and Catalog'!$H$57+'Assumptions and Catalog'!$E$57+'Assumptions and Catalog'!$F$57,"Out of range")))))))),IF(L593&lt;='Assumptions and Catalog'!$C$60,L593*'Assumptions and Catalog'!$H$60+'Assumptions and Catalog'!$E$60+'Assumptions and Catalog'!$F$60,IF(L593&lt;='Assumptions and Catalog'!$C$61,L593*'Assumptions and Catalog'!$H$61+'Assumptions and Catalog'!$E$61+'Assumptions and Catalog'!$F$61,IF(L593&lt;='Assumptions and Catalog'!$C$62,L593*'Assumptions and Catalog'!$H$62+'Assumptions and Catalog'!$E$62+'Assumptions and Catalog'!$F$62,IF(L593&lt;='Assumptions and Catalog'!$C$63,L593*'Assumptions and Catalog'!$H$63+'Assumptions and Catalog'!$E$63+'Assumptions and Catalog'!$F$63,IF(L593&lt;='Assumptions and Catalog'!$C$64,L593*'Assumptions and Catalog'!$H$64+'Assumptions and Catalog'!$E$64+'Assumptions and Catalog'!$F$64,IF(L593&lt;='Assumptions and Catalog'!$C$65,L593*'Assumptions and Catalog'!$H$65+'Assumptions and Catalog'!$E$65+'Assumptions and Catalog'!$F$65,"Out of range")))))))))*(1+'Assumptions and Catalog'!$C$8)^(A593-1),0)</f>
        <v>7094.794</v>
      </c>
      <c r="O593" s="5" t="n">
        <f>M593-N593</f>
        <v>0</v>
      </c>
      <c r="P593" s="5" t="n">
        <f>D$55*(1-K$14)*(1-'Assumptions and Catalog'!$C$23)^R593</f>
        <v>0</v>
      </c>
      <c r="Q593" s="5" t="n">
        <f>IF(ISNUMBER(Inputs!$L$5),(IF(Inputs!$L$9="Actual flat rate",((D593+E593)*C593-G593)*Inputs!$L$10,IF(Inputs!$C$9="Residential",IF(((D593+E593)*C593-G593)&lt;='Assumptions and Catalog'!$C$50,((D593+E593)*C593-G593)*'Assumptions and Catalog'!$H$50+'Assumptions and Catalog'!$E$50+'Assumptions and Catalog'!$F$50,IF(((D593+E593)*C593-G593)&lt;='Assumptions and Catalog'!$C$51,((D593+E593)*C593-G593)*'Assumptions and Catalog'!$H$51+'Assumptions and Catalog'!$E$51+'Assumptions and Catalog'!$F$51,IF(((D593+E593)*C593-G593)&lt;='Assumptions and Catalog'!$C$52,((D593+E593)*C593-G593)*'Assumptions and Catalog'!$H$52+'Assumptions and Catalog'!$E$52+'Assumptions and Catalog'!$F$52,IF(((D593+E593)*C593-G593)&lt;='Assumptions and Catalog'!$C$53,((D593+E593)*C593-G593)*'Assumptions and Catalog'!$H$53+'Assumptions and Catalog'!$E$53+'Assumptions and Catalog'!$F$53,IF(((D593+E593)*C593-G593)&lt;='Assumptions and Catalog'!$C$54,((D593+E593)*C593-G593)*'Assumptions and Catalog'!$H$54+'Assumptions and Catalog'!$E$54+'Assumptions and Catalog'!$F$54,IF(((D593+E593)*C593-G593)&lt;='Assumptions and Catalog'!$C$55,((D593+E593)*C593-G593)*'Assumptions and Catalog'!$H$55+'Assumptions and Catalog'!$E$55+'Assumptions and Catalog'!$F$55,IF(((D593+E593)*C593-G593)&lt;='Assumptions and Catalog'!$C$56,((D593+E593)*C593-G593)*'Assumptions and Catalog'!$H$56+'Assumptions and Catalog'!$E$56+'Assumptions and Catalog'!$F$56,IF(((D593+E593)*C593-G593)&lt;='Assumptions and Catalog'!$C$57,((D593+E593)*C593-G593)*'Assumptions and Catalog'!$H$57+'Assumptions and Catalog'!$E$57+'Assumptions and Catalog'!$F$57,"Out of range")))))))),IF(((D593+E593)*C593-G593)&lt;='Assumptions and Catalog'!$C$60,((D593+E593)*C593-G593)*'Assumptions and Catalog'!$H$60+'Assumptions and Catalog'!$E$60+'Assumptions and Catalog'!$F$60,IF(((D593+E593)*C593-G593)&lt;='Assumptions and Catalog'!$C$61,((D593+E593)*C593-G593)*'Assumptions and Catalog'!$H$61+'Assumptions and Catalog'!$E$61+'Assumptions and Catalog'!$F$61,IF(((D593+E593)*C593-G593)&lt;='Assumptions and Catalog'!$C$62,((D593+E593)*C593-G593)*'Assumptions and Catalog'!$H$62+'Assumptions and Catalog'!$E$62+'Assumptions and Catalog'!$F$62,IF(((D593+E593)*C593-G593)&lt;='Assumptions and Catalog'!$C$63,((D593+E593)*C593-G593)*'Assumptions and Catalog'!$H$63+'Assumptions and Catalog'!$E$63+'Assumptions and Catalog'!$F$63,IF(((D593+E593)*C593-G593)&lt;='Assumptions and Catalog'!$C$64,((D593+E593)*C593-G593)*'Assumptions and Catalog'!$H$64+'Assumptions and Catalog'!$E$64+'Assumptions and Catalog'!$F$64,IF(((D593+E593)*C593-G593)&lt;='Assumptions and Catalog'!$C$65,((D593+E593)*C593-G593)*'Assumptions and Catalog'!$H$65+'Assumptions and Catalog'!$E$65+'Assumptions and Catalog'!$F$65,"Out of range")))))))))*(1+'Assumptions and Catalog'!$C$8)^(A593-1),0)</f>
        <v>7094.794</v>
      </c>
      <c r="R593" s="5" t="n">
        <f>IF(AND('Assumptions and Catalog'!$C$19&gt;0,A593&gt;='Assumptions and Catalog'!$C$19),A593-'Assumptions and Catalog'!$C$19,A593-1)</f>
        <v>5</v>
      </c>
      <c r="S593" s="5" t="n">
        <f>F593+L593-(D593+E593)*C593-J593-K593-IF(D$52&gt;0,'Assumptions and Catalog'!$C$26*C593,0)</f>
        <v>0</v>
      </c>
      <c r="T593" s="5"/>
      <c r="U593" s="5"/>
    </row>
    <row r="594" ht="23.100000381469727" customHeight="1">
      <c r="A594" s="5" t="n">
        <v>16</v>
      </c>
      <c r="B594" s="5" t="n">
        <v>4</v>
      </c>
      <c r="C594" s="5" t="n">
        <f>DAY(DATE('Assumptions and Catalog'!$C$24+A594-1,B594+1,0))</f>
        <v>30</v>
      </c>
      <c r="D594" s="5" t="n">
        <f>IF(ISNUMBER(Inputs!$L$5),Inputs!$L$5*Inputs!$L$6,0)</f>
        <v>40.35</v>
      </c>
      <c r="E594" s="5" t="n">
        <f>IF(ISNUMBER(Inputs!$L$5),Inputs!$L$5-D594,0)</f>
        <v>40.35</v>
      </c>
      <c r="F594" s="5" t="n">
        <f>D$51*'Assumptions and Catalog'!$C$31*C594*(1-'Assumptions and Catalog'!$C$10)^(A594-1)</f>
        <v>0</v>
      </c>
      <c r="G594" s="5" t="n">
        <f>MIN(F594,D594*C594)</f>
        <v>0</v>
      </c>
      <c r="H594" s="5" t="n">
        <f>I594/('Assumptions and Catalog'!$C$11*'Assumptions and Catalog'!$C$12)</f>
        <v>0</v>
      </c>
      <c r="I594" s="5" t="n">
        <f>IF(K$15="Grid cycle",MIN(K$16,D594+E594,P594*'Assumptions and Catalog'!$C$12,D$57*(24-'Assumptions and Catalog'!$C$15),D$56*'Assumptions and Catalog'!$C$15*'Assumptions and Catalog'!$C$11*'Assumptions and Catalog'!$C$12)*C594,0)</f>
        <v>0</v>
      </c>
      <c r="J594" s="5" t="n">
        <f>MAX(F594-G594-0,0)</f>
        <v>0</v>
      </c>
      <c r="K594" s="5" t="n">
        <f>H594-I594</f>
        <v>0</v>
      </c>
      <c r="L594" s="5" t="n">
        <f>(D594+E594)*C594-G594-I594+H594+IF(D$52&gt;0,'Assumptions and Catalog'!$C$26*C594,0)</f>
        <v>2421</v>
      </c>
      <c r="M594" s="5" t="n">
        <f>IF(ISNUMBER(Inputs!$L$5),(IF(Inputs!$L$9="Actual flat rate",((D594+E594)*C594)*Inputs!$L$10,IF(Inputs!$C$9="Residential",IF(((D594+E594)*C594)&lt;='Assumptions and Catalog'!$C$50,((D594+E594)*C594)*'Assumptions and Catalog'!$H$50+'Assumptions and Catalog'!$E$50+'Assumptions and Catalog'!$F$50,IF(((D594+E594)*C594)&lt;='Assumptions and Catalog'!$C$51,((D594+E594)*C594)*'Assumptions and Catalog'!$H$51+'Assumptions and Catalog'!$E$51+'Assumptions and Catalog'!$F$51,IF(((D594+E594)*C594)&lt;='Assumptions and Catalog'!$C$52,((D594+E594)*C594)*'Assumptions and Catalog'!$H$52+'Assumptions and Catalog'!$E$52+'Assumptions and Catalog'!$F$52,IF(((D594+E594)*C594)&lt;='Assumptions and Catalog'!$C$53,((D594+E594)*C594)*'Assumptions and Catalog'!$H$53+'Assumptions and Catalog'!$E$53+'Assumptions and Catalog'!$F$53,IF(((D594+E594)*C594)&lt;='Assumptions and Catalog'!$C$54,((D594+E594)*C594)*'Assumptions and Catalog'!$H$54+'Assumptions and Catalog'!$E$54+'Assumptions and Catalog'!$F$54,IF(((D594+E594)*C594)&lt;='Assumptions and Catalog'!$C$55,((D594+E594)*C594)*'Assumptions and Catalog'!$H$55+'Assumptions and Catalog'!$E$55+'Assumptions and Catalog'!$F$55,IF(((D594+E594)*C594)&lt;='Assumptions and Catalog'!$C$56,((D594+E594)*C594)*'Assumptions and Catalog'!$H$56+'Assumptions and Catalog'!$E$56+'Assumptions and Catalog'!$F$56,IF(((D594+E594)*C594)&lt;='Assumptions and Catalog'!$C$57,((D594+E594)*C594)*'Assumptions and Catalog'!$H$57+'Assumptions and Catalog'!$E$57+'Assumptions and Catalog'!$F$57,"Out of range")))))))),IF(((D594+E594)*C594)&lt;='Assumptions and Catalog'!$C$60,((D594+E594)*C594)*'Assumptions and Catalog'!$H$60+'Assumptions and Catalog'!$E$60+'Assumptions and Catalog'!$F$60,IF(((D594+E594)*C594)&lt;='Assumptions and Catalog'!$C$61,((D594+E594)*C594)*'Assumptions and Catalog'!$H$61+'Assumptions and Catalog'!$E$61+'Assumptions and Catalog'!$F$61,IF(((D594+E594)*C594)&lt;='Assumptions and Catalog'!$C$62,((D594+E594)*C594)*'Assumptions and Catalog'!$H$62+'Assumptions and Catalog'!$E$62+'Assumptions and Catalog'!$F$62,IF(((D594+E594)*C594)&lt;='Assumptions and Catalog'!$C$63,((D594+E594)*C594)*'Assumptions and Catalog'!$H$63+'Assumptions and Catalog'!$E$63+'Assumptions and Catalog'!$F$63,IF(((D594+E594)*C594)&lt;='Assumptions and Catalog'!$C$64,((D594+E594)*C594)*'Assumptions and Catalog'!$H$64+'Assumptions and Catalog'!$E$64+'Assumptions and Catalog'!$F$64,IF(((D594+E594)*C594)&lt;='Assumptions and Catalog'!$C$65,((D594+E594)*C594)*'Assumptions and Catalog'!$H$65+'Assumptions and Catalog'!$E$65+'Assumptions and Catalog'!$F$65,"Out of range")))))))))*(1+'Assumptions and Catalog'!$C$8)^(A594-1),0)</f>
        <v>6867.22</v>
      </c>
      <c r="N594" s="5" t="n">
        <f>IF(ISNUMBER(Inputs!$L$5),(IF(Inputs!$L$9="Actual flat rate",L594*Inputs!$L$10,IF(Inputs!$C$9="Residential",IF(L594&lt;='Assumptions and Catalog'!$C$50,L594*'Assumptions and Catalog'!$H$50+'Assumptions and Catalog'!$E$50+'Assumptions and Catalog'!$F$50,IF(L594&lt;='Assumptions and Catalog'!$C$51,L594*'Assumptions and Catalog'!$H$51+'Assumptions and Catalog'!$E$51+'Assumptions and Catalog'!$F$51,IF(L594&lt;='Assumptions and Catalog'!$C$52,L594*'Assumptions and Catalog'!$H$52+'Assumptions and Catalog'!$E$52+'Assumptions and Catalog'!$F$52,IF(L594&lt;='Assumptions and Catalog'!$C$53,L594*'Assumptions and Catalog'!$H$53+'Assumptions and Catalog'!$E$53+'Assumptions and Catalog'!$F$53,IF(L594&lt;='Assumptions and Catalog'!$C$54,L594*'Assumptions and Catalog'!$H$54+'Assumptions and Catalog'!$E$54+'Assumptions and Catalog'!$F$54,IF(L594&lt;='Assumptions and Catalog'!$C$55,L594*'Assumptions and Catalog'!$H$55+'Assumptions and Catalog'!$E$55+'Assumptions and Catalog'!$F$55,IF(L594&lt;='Assumptions and Catalog'!$C$56,L594*'Assumptions and Catalog'!$H$56+'Assumptions and Catalog'!$E$56+'Assumptions and Catalog'!$F$56,IF(L594&lt;='Assumptions and Catalog'!$C$57,L594*'Assumptions and Catalog'!$H$57+'Assumptions and Catalog'!$E$57+'Assumptions and Catalog'!$F$57,"Out of range")))))))),IF(L594&lt;='Assumptions and Catalog'!$C$60,L594*'Assumptions and Catalog'!$H$60+'Assumptions and Catalog'!$E$60+'Assumptions and Catalog'!$F$60,IF(L594&lt;='Assumptions and Catalog'!$C$61,L594*'Assumptions and Catalog'!$H$61+'Assumptions and Catalog'!$E$61+'Assumptions and Catalog'!$F$61,IF(L594&lt;='Assumptions and Catalog'!$C$62,L594*'Assumptions and Catalog'!$H$62+'Assumptions and Catalog'!$E$62+'Assumptions and Catalog'!$F$62,IF(L594&lt;='Assumptions and Catalog'!$C$63,L594*'Assumptions and Catalog'!$H$63+'Assumptions and Catalog'!$E$63+'Assumptions and Catalog'!$F$63,IF(L594&lt;='Assumptions and Catalog'!$C$64,L594*'Assumptions and Catalog'!$H$64+'Assumptions and Catalog'!$E$64+'Assumptions and Catalog'!$F$64,IF(L594&lt;='Assumptions and Catalog'!$C$65,L594*'Assumptions and Catalog'!$H$65+'Assumptions and Catalog'!$E$65+'Assumptions and Catalog'!$F$65,"Out of range")))))))))*(1+'Assumptions and Catalog'!$C$8)^(A594-1),0)</f>
        <v>6867.22</v>
      </c>
      <c r="O594" s="5" t="n">
        <f>M594-N594</f>
        <v>0</v>
      </c>
      <c r="P594" s="5" t="n">
        <f>D$55*(1-K$14)*(1-'Assumptions and Catalog'!$C$23)^R594</f>
        <v>0</v>
      </c>
      <c r="Q594" s="5" t="n">
        <f>IF(ISNUMBER(Inputs!$L$5),(IF(Inputs!$L$9="Actual flat rate",((D594+E594)*C594-G594)*Inputs!$L$10,IF(Inputs!$C$9="Residential",IF(((D594+E594)*C594-G594)&lt;='Assumptions and Catalog'!$C$50,((D594+E594)*C594-G594)*'Assumptions and Catalog'!$H$50+'Assumptions and Catalog'!$E$50+'Assumptions and Catalog'!$F$50,IF(((D594+E594)*C594-G594)&lt;='Assumptions and Catalog'!$C$51,((D594+E594)*C594-G594)*'Assumptions and Catalog'!$H$51+'Assumptions and Catalog'!$E$51+'Assumptions and Catalog'!$F$51,IF(((D594+E594)*C594-G594)&lt;='Assumptions and Catalog'!$C$52,((D594+E594)*C594-G594)*'Assumptions and Catalog'!$H$52+'Assumptions and Catalog'!$E$52+'Assumptions and Catalog'!$F$52,IF(((D594+E594)*C594-G594)&lt;='Assumptions and Catalog'!$C$53,((D594+E594)*C594-G594)*'Assumptions and Catalog'!$H$53+'Assumptions and Catalog'!$E$53+'Assumptions and Catalog'!$F$53,IF(((D594+E594)*C594-G594)&lt;='Assumptions and Catalog'!$C$54,((D594+E594)*C594-G594)*'Assumptions and Catalog'!$H$54+'Assumptions and Catalog'!$E$54+'Assumptions and Catalog'!$F$54,IF(((D594+E594)*C594-G594)&lt;='Assumptions and Catalog'!$C$55,((D594+E594)*C594-G594)*'Assumptions and Catalog'!$H$55+'Assumptions and Catalog'!$E$55+'Assumptions and Catalog'!$F$55,IF(((D594+E594)*C594-G594)&lt;='Assumptions and Catalog'!$C$56,((D594+E594)*C594-G594)*'Assumptions and Catalog'!$H$56+'Assumptions and Catalog'!$E$56+'Assumptions and Catalog'!$F$56,IF(((D594+E594)*C594-G594)&lt;='Assumptions and Catalog'!$C$57,((D594+E594)*C594-G594)*'Assumptions and Catalog'!$H$57+'Assumptions and Catalog'!$E$57+'Assumptions and Catalog'!$F$57,"Out of range")))))))),IF(((D594+E594)*C594-G594)&lt;='Assumptions and Catalog'!$C$60,((D594+E594)*C594-G594)*'Assumptions and Catalog'!$H$60+'Assumptions and Catalog'!$E$60+'Assumptions and Catalog'!$F$60,IF(((D594+E594)*C594-G594)&lt;='Assumptions and Catalog'!$C$61,((D594+E594)*C594-G594)*'Assumptions and Catalog'!$H$61+'Assumptions and Catalog'!$E$61+'Assumptions and Catalog'!$F$61,IF(((D594+E594)*C594-G594)&lt;='Assumptions and Catalog'!$C$62,((D594+E594)*C594-G594)*'Assumptions and Catalog'!$H$62+'Assumptions and Catalog'!$E$62+'Assumptions and Catalog'!$F$62,IF(((D594+E594)*C594-G594)&lt;='Assumptions and Catalog'!$C$63,((D594+E594)*C594-G594)*'Assumptions and Catalog'!$H$63+'Assumptions and Catalog'!$E$63+'Assumptions and Catalog'!$F$63,IF(((D594+E594)*C594-G594)&lt;='Assumptions and Catalog'!$C$64,((D594+E594)*C594-G594)*'Assumptions and Catalog'!$H$64+'Assumptions and Catalog'!$E$64+'Assumptions and Catalog'!$F$64,IF(((D594+E594)*C594-G594)&lt;='Assumptions and Catalog'!$C$65,((D594+E594)*C594-G594)*'Assumptions and Catalog'!$H$65+'Assumptions and Catalog'!$E$65+'Assumptions and Catalog'!$F$65,"Out of range")))))))))*(1+'Assumptions and Catalog'!$C$8)^(A594-1),0)</f>
        <v>6867.22</v>
      </c>
      <c r="R594" s="5" t="n">
        <f>IF(AND('Assumptions and Catalog'!$C$19&gt;0,A594&gt;='Assumptions and Catalog'!$C$19),A594-'Assumptions and Catalog'!$C$19,A594-1)</f>
        <v>5</v>
      </c>
      <c r="S594" s="5" t="n">
        <f>F594+L594-(D594+E594)*C594-J594-K594-IF(D$52&gt;0,'Assumptions and Catalog'!$C$26*C594,0)</f>
        <v>0</v>
      </c>
      <c r="T594" s="5"/>
      <c r="U594" s="5"/>
    </row>
    <row r="595" ht="23.100000381469727" customHeight="1">
      <c r="A595" s="5" t="n">
        <v>16</v>
      </c>
      <c r="B595" s="5" t="n">
        <v>5</v>
      </c>
      <c r="C595" s="5" t="n">
        <f>DAY(DATE('Assumptions and Catalog'!$C$24+A595-1,B595+1,0))</f>
        <v>31</v>
      </c>
      <c r="D595" s="5" t="n">
        <f>IF(ISNUMBER(Inputs!$L$5),Inputs!$L$5*Inputs!$L$6,0)</f>
        <v>40.35</v>
      </c>
      <c r="E595" s="5" t="n">
        <f>IF(ISNUMBER(Inputs!$L$5),Inputs!$L$5-D595,0)</f>
        <v>40.35</v>
      </c>
      <c r="F595" s="5" t="n">
        <f>D$51*'Assumptions and Catalog'!$C$31*C595*(1-'Assumptions and Catalog'!$C$10)^(A595-1)</f>
        <v>0</v>
      </c>
      <c r="G595" s="5" t="n">
        <f>MIN(F595,D595*C595)</f>
        <v>0</v>
      </c>
      <c r="H595" s="5" t="n">
        <f>I595/('Assumptions and Catalog'!$C$11*'Assumptions and Catalog'!$C$12)</f>
        <v>0</v>
      </c>
      <c r="I595" s="5" t="n">
        <f>IF(K$15="Grid cycle",MIN(K$16,D595+E595,P595*'Assumptions and Catalog'!$C$12,D$57*(24-'Assumptions and Catalog'!$C$15),D$56*'Assumptions and Catalog'!$C$15*'Assumptions and Catalog'!$C$11*'Assumptions and Catalog'!$C$12)*C595,0)</f>
        <v>0</v>
      </c>
      <c r="J595" s="5" t="n">
        <f>MAX(F595-G595-0,0)</f>
        <v>0</v>
      </c>
      <c r="K595" s="5" t="n">
        <f>H595-I595</f>
        <v>0</v>
      </c>
      <c r="L595" s="5" t="n">
        <f>(D595+E595)*C595-G595-I595+H595+IF(D$52&gt;0,'Assumptions and Catalog'!$C$26*C595,0)</f>
        <v>2501.7</v>
      </c>
      <c r="M595" s="5" t="n">
        <f>IF(ISNUMBER(Inputs!$L$5),(IF(Inputs!$L$9="Actual flat rate",((D595+E595)*C595)*Inputs!$L$10,IF(Inputs!$C$9="Residential",IF(((D595+E595)*C595)&lt;='Assumptions and Catalog'!$C$50,((D595+E595)*C595)*'Assumptions and Catalog'!$H$50+'Assumptions and Catalog'!$E$50+'Assumptions and Catalog'!$F$50,IF(((D595+E595)*C595)&lt;='Assumptions and Catalog'!$C$51,((D595+E595)*C595)*'Assumptions and Catalog'!$H$51+'Assumptions and Catalog'!$E$51+'Assumptions and Catalog'!$F$51,IF(((D595+E595)*C595)&lt;='Assumptions and Catalog'!$C$52,((D595+E595)*C595)*'Assumptions and Catalog'!$H$52+'Assumptions and Catalog'!$E$52+'Assumptions and Catalog'!$F$52,IF(((D595+E595)*C595)&lt;='Assumptions and Catalog'!$C$53,((D595+E595)*C595)*'Assumptions and Catalog'!$H$53+'Assumptions and Catalog'!$E$53+'Assumptions and Catalog'!$F$53,IF(((D595+E595)*C595)&lt;='Assumptions and Catalog'!$C$54,((D595+E595)*C595)*'Assumptions and Catalog'!$H$54+'Assumptions and Catalog'!$E$54+'Assumptions and Catalog'!$F$54,IF(((D595+E595)*C595)&lt;='Assumptions and Catalog'!$C$55,((D595+E595)*C595)*'Assumptions and Catalog'!$H$55+'Assumptions and Catalog'!$E$55+'Assumptions and Catalog'!$F$55,IF(((D595+E595)*C595)&lt;='Assumptions and Catalog'!$C$56,((D595+E595)*C595)*'Assumptions and Catalog'!$H$56+'Assumptions and Catalog'!$E$56+'Assumptions and Catalog'!$F$56,IF(((D595+E595)*C595)&lt;='Assumptions and Catalog'!$C$57,((D595+E595)*C595)*'Assumptions and Catalog'!$H$57+'Assumptions and Catalog'!$E$57+'Assumptions and Catalog'!$F$57,"Out of range")))))))),IF(((D595+E595)*C595)&lt;='Assumptions and Catalog'!$C$60,((D595+E595)*C595)*'Assumptions and Catalog'!$H$60+'Assumptions and Catalog'!$E$60+'Assumptions and Catalog'!$F$60,IF(((D595+E595)*C595)&lt;='Assumptions and Catalog'!$C$61,((D595+E595)*C595)*'Assumptions and Catalog'!$H$61+'Assumptions and Catalog'!$E$61+'Assumptions and Catalog'!$F$61,IF(((D595+E595)*C595)&lt;='Assumptions and Catalog'!$C$62,((D595+E595)*C595)*'Assumptions and Catalog'!$H$62+'Assumptions and Catalog'!$E$62+'Assumptions and Catalog'!$F$62,IF(((D595+E595)*C595)&lt;='Assumptions and Catalog'!$C$63,((D595+E595)*C595)*'Assumptions and Catalog'!$H$63+'Assumptions and Catalog'!$E$63+'Assumptions and Catalog'!$F$63,IF(((D595+E595)*C595)&lt;='Assumptions and Catalog'!$C$64,((D595+E595)*C595)*'Assumptions and Catalog'!$H$64+'Assumptions and Catalog'!$E$64+'Assumptions and Catalog'!$F$64,IF(((D595+E595)*C595)&lt;='Assumptions and Catalog'!$C$65,((D595+E595)*C595)*'Assumptions and Catalog'!$H$65+'Assumptions and Catalog'!$E$65+'Assumptions and Catalog'!$F$65,"Out of range")))))))))*(1+'Assumptions and Catalog'!$C$8)^(A595-1),0)</f>
        <v>7094.794</v>
      </c>
      <c r="N595" s="5" t="n">
        <f>IF(ISNUMBER(Inputs!$L$5),(IF(Inputs!$L$9="Actual flat rate",L595*Inputs!$L$10,IF(Inputs!$C$9="Residential",IF(L595&lt;='Assumptions and Catalog'!$C$50,L595*'Assumptions and Catalog'!$H$50+'Assumptions and Catalog'!$E$50+'Assumptions and Catalog'!$F$50,IF(L595&lt;='Assumptions and Catalog'!$C$51,L595*'Assumptions and Catalog'!$H$51+'Assumptions and Catalog'!$E$51+'Assumptions and Catalog'!$F$51,IF(L595&lt;='Assumptions and Catalog'!$C$52,L595*'Assumptions and Catalog'!$H$52+'Assumptions and Catalog'!$E$52+'Assumptions and Catalog'!$F$52,IF(L595&lt;='Assumptions and Catalog'!$C$53,L595*'Assumptions and Catalog'!$H$53+'Assumptions and Catalog'!$E$53+'Assumptions and Catalog'!$F$53,IF(L595&lt;='Assumptions and Catalog'!$C$54,L595*'Assumptions and Catalog'!$H$54+'Assumptions and Catalog'!$E$54+'Assumptions and Catalog'!$F$54,IF(L595&lt;='Assumptions and Catalog'!$C$55,L595*'Assumptions and Catalog'!$H$55+'Assumptions and Catalog'!$E$55+'Assumptions and Catalog'!$F$55,IF(L595&lt;='Assumptions and Catalog'!$C$56,L595*'Assumptions and Catalog'!$H$56+'Assumptions and Catalog'!$E$56+'Assumptions and Catalog'!$F$56,IF(L595&lt;='Assumptions and Catalog'!$C$57,L595*'Assumptions and Catalog'!$H$57+'Assumptions and Catalog'!$E$57+'Assumptions and Catalog'!$F$57,"Out of range")))))))),IF(L595&lt;='Assumptions and Catalog'!$C$60,L595*'Assumptions and Catalog'!$H$60+'Assumptions and Catalog'!$E$60+'Assumptions and Catalog'!$F$60,IF(L595&lt;='Assumptions and Catalog'!$C$61,L595*'Assumptions and Catalog'!$H$61+'Assumptions and Catalog'!$E$61+'Assumptions and Catalog'!$F$61,IF(L595&lt;='Assumptions and Catalog'!$C$62,L595*'Assumptions and Catalog'!$H$62+'Assumptions and Catalog'!$E$62+'Assumptions and Catalog'!$F$62,IF(L595&lt;='Assumptions and Catalog'!$C$63,L595*'Assumptions and Catalog'!$H$63+'Assumptions and Catalog'!$E$63+'Assumptions and Catalog'!$F$63,IF(L595&lt;='Assumptions and Catalog'!$C$64,L595*'Assumptions and Catalog'!$H$64+'Assumptions and Catalog'!$E$64+'Assumptions and Catalog'!$F$64,IF(L595&lt;='Assumptions and Catalog'!$C$65,L595*'Assumptions and Catalog'!$H$65+'Assumptions and Catalog'!$E$65+'Assumptions and Catalog'!$F$65,"Out of range")))))))))*(1+'Assumptions and Catalog'!$C$8)^(A595-1),0)</f>
        <v>7094.794</v>
      </c>
      <c r="O595" s="5" t="n">
        <f>M595-N595</f>
        <v>0</v>
      </c>
      <c r="P595" s="5" t="n">
        <f>D$55*(1-K$14)*(1-'Assumptions and Catalog'!$C$23)^R595</f>
        <v>0</v>
      </c>
      <c r="Q595" s="5" t="n">
        <f>IF(ISNUMBER(Inputs!$L$5),(IF(Inputs!$L$9="Actual flat rate",((D595+E595)*C595-G595)*Inputs!$L$10,IF(Inputs!$C$9="Residential",IF(((D595+E595)*C595-G595)&lt;='Assumptions and Catalog'!$C$50,((D595+E595)*C595-G595)*'Assumptions and Catalog'!$H$50+'Assumptions and Catalog'!$E$50+'Assumptions and Catalog'!$F$50,IF(((D595+E595)*C595-G595)&lt;='Assumptions and Catalog'!$C$51,((D595+E595)*C595-G595)*'Assumptions and Catalog'!$H$51+'Assumptions and Catalog'!$E$51+'Assumptions and Catalog'!$F$51,IF(((D595+E595)*C595-G595)&lt;='Assumptions and Catalog'!$C$52,((D595+E595)*C595-G595)*'Assumptions and Catalog'!$H$52+'Assumptions and Catalog'!$E$52+'Assumptions and Catalog'!$F$52,IF(((D595+E595)*C595-G595)&lt;='Assumptions and Catalog'!$C$53,((D595+E595)*C595-G595)*'Assumptions and Catalog'!$H$53+'Assumptions and Catalog'!$E$53+'Assumptions and Catalog'!$F$53,IF(((D595+E595)*C595-G595)&lt;='Assumptions and Catalog'!$C$54,((D595+E595)*C595-G595)*'Assumptions and Catalog'!$H$54+'Assumptions and Catalog'!$E$54+'Assumptions and Catalog'!$F$54,IF(((D595+E595)*C595-G595)&lt;='Assumptions and Catalog'!$C$55,((D595+E595)*C595-G595)*'Assumptions and Catalog'!$H$55+'Assumptions and Catalog'!$E$55+'Assumptions and Catalog'!$F$55,IF(((D595+E595)*C595-G595)&lt;='Assumptions and Catalog'!$C$56,((D595+E595)*C595-G595)*'Assumptions and Catalog'!$H$56+'Assumptions and Catalog'!$E$56+'Assumptions and Catalog'!$F$56,IF(((D595+E595)*C595-G595)&lt;='Assumptions and Catalog'!$C$57,((D595+E595)*C595-G595)*'Assumptions and Catalog'!$H$57+'Assumptions and Catalog'!$E$57+'Assumptions and Catalog'!$F$57,"Out of range")))))))),IF(((D595+E595)*C595-G595)&lt;='Assumptions and Catalog'!$C$60,((D595+E595)*C595-G595)*'Assumptions and Catalog'!$H$60+'Assumptions and Catalog'!$E$60+'Assumptions and Catalog'!$F$60,IF(((D595+E595)*C595-G595)&lt;='Assumptions and Catalog'!$C$61,((D595+E595)*C595-G595)*'Assumptions and Catalog'!$H$61+'Assumptions and Catalog'!$E$61+'Assumptions and Catalog'!$F$61,IF(((D595+E595)*C595-G595)&lt;='Assumptions and Catalog'!$C$62,((D595+E595)*C595-G595)*'Assumptions and Catalog'!$H$62+'Assumptions and Catalog'!$E$62+'Assumptions and Catalog'!$F$62,IF(((D595+E595)*C595-G595)&lt;='Assumptions and Catalog'!$C$63,((D595+E595)*C595-G595)*'Assumptions and Catalog'!$H$63+'Assumptions and Catalog'!$E$63+'Assumptions and Catalog'!$F$63,IF(((D595+E595)*C595-G595)&lt;='Assumptions and Catalog'!$C$64,((D595+E595)*C595-G595)*'Assumptions and Catalog'!$H$64+'Assumptions and Catalog'!$E$64+'Assumptions and Catalog'!$F$64,IF(((D595+E595)*C595-G595)&lt;='Assumptions and Catalog'!$C$65,((D595+E595)*C595-G595)*'Assumptions and Catalog'!$H$65+'Assumptions and Catalog'!$E$65+'Assumptions and Catalog'!$F$65,"Out of range")))))))))*(1+'Assumptions and Catalog'!$C$8)^(A595-1),0)</f>
        <v>7094.794</v>
      </c>
      <c r="R595" s="5" t="n">
        <f>IF(AND('Assumptions and Catalog'!$C$19&gt;0,A595&gt;='Assumptions and Catalog'!$C$19),A595-'Assumptions and Catalog'!$C$19,A595-1)</f>
        <v>5</v>
      </c>
      <c r="S595" s="5" t="n">
        <f>F595+L595-(D595+E595)*C595-J595-K595-IF(D$52&gt;0,'Assumptions and Catalog'!$C$26*C595,0)</f>
        <v>0</v>
      </c>
      <c r="T595" s="5"/>
      <c r="U595" s="5"/>
    </row>
    <row r="596" ht="23.100000381469727" customHeight="1">
      <c r="A596" s="5" t="n">
        <v>16</v>
      </c>
      <c r="B596" s="5" t="n">
        <v>6</v>
      </c>
      <c r="C596" s="5" t="n">
        <f>DAY(DATE('Assumptions and Catalog'!$C$24+A596-1,B596+1,0))</f>
        <v>30</v>
      </c>
      <c r="D596" s="5" t="n">
        <f>IF(ISNUMBER(Inputs!$L$5),Inputs!$L$5*Inputs!$L$6,0)</f>
        <v>40.35</v>
      </c>
      <c r="E596" s="5" t="n">
        <f>IF(ISNUMBER(Inputs!$L$5),Inputs!$L$5-D596,0)</f>
        <v>40.35</v>
      </c>
      <c r="F596" s="5" t="n">
        <f>D$51*'Assumptions and Catalog'!$C$31*C596*(1-'Assumptions and Catalog'!$C$10)^(A596-1)</f>
        <v>0</v>
      </c>
      <c r="G596" s="5" t="n">
        <f>MIN(F596,D596*C596)</f>
        <v>0</v>
      </c>
      <c r="H596" s="5" t="n">
        <f>I596/('Assumptions and Catalog'!$C$11*'Assumptions and Catalog'!$C$12)</f>
        <v>0</v>
      </c>
      <c r="I596" s="5" t="n">
        <f>IF(K$15="Grid cycle",MIN(K$16,D596+E596,P596*'Assumptions and Catalog'!$C$12,D$57*(24-'Assumptions and Catalog'!$C$15),D$56*'Assumptions and Catalog'!$C$15*'Assumptions and Catalog'!$C$11*'Assumptions and Catalog'!$C$12)*C596,0)</f>
        <v>0</v>
      </c>
      <c r="J596" s="5" t="n">
        <f>MAX(F596-G596-0,0)</f>
        <v>0</v>
      </c>
      <c r="K596" s="5" t="n">
        <f>H596-I596</f>
        <v>0</v>
      </c>
      <c r="L596" s="5" t="n">
        <f>(D596+E596)*C596-G596-I596+H596+IF(D$52&gt;0,'Assumptions and Catalog'!$C$26*C596,0)</f>
        <v>2421</v>
      </c>
      <c r="M596" s="5" t="n">
        <f>IF(ISNUMBER(Inputs!$L$5),(IF(Inputs!$L$9="Actual flat rate",((D596+E596)*C596)*Inputs!$L$10,IF(Inputs!$C$9="Residential",IF(((D596+E596)*C596)&lt;='Assumptions and Catalog'!$C$50,((D596+E596)*C596)*'Assumptions and Catalog'!$H$50+'Assumptions and Catalog'!$E$50+'Assumptions and Catalog'!$F$50,IF(((D596+E596)*C596)&lt;='Assumptions and Catalog'!$C$51,((D596+E596)*C596)*'Assumptions and Catalog'!$H$51+'Assumptions and Catalog'!$E$51+'Assumptions and Catalog'!$F$51,IF(((D596+E596)*C596)&lt;='Assumptions and Catalog'!$C$52,((D596+E596)*C596)*'Assumptions and Catalog'!$H$52+'Assumptions and Catalog'!$E$52+'Assumptions and Catalog'!$F$52,IF(((D596+E596)*C596)&lt;='Assumptions and Catalog'!$C$53,((D596+E596)*C596)*'Assumptions and Catalog'!$H$53+'Assumptions and Catalog'!$E$53+'Assumptions and Catalog'!$F$53,IF(((D596+E596)*C596)&lt;='Assumptions and Catalog'!$C$54,((D596+E596)*C596)*'Assumptions and Catalog'!$H$54+'Assumptions and Catalog'!$E$54+'Assumptions and Catalog'!$F$54,IF(((D596+E596)*C596)&lt;='Assumptions and Catalog'!$C$55,((D596+E596)*C596)*'Assumptions and Catalog'!$H$55+'Assumptions and Catalog'!$E$55+'Assumptions and Catalog'!$F$55,IF(((D596+E596)*C596)&lt;='Assumptions and Catalog'!$C$56,((D596+E596)*C596)*'Assumptions and Catalog'!$H$56+'Assumptions and Catalog'!$E$56+'Assumptions and Catalog'!$F$56,IF(((D596+E596)*C596)&lt;='Assumptions and Catalog'!$C$57,((D596+E596)*C596)*'Assumptions and Catalog'!$H$57+'Assumptions and Catalog'!$E$57+'Assumptions and Catalog'!$F$57,"Out of range")))))))),IF(((D596+E596)*C596)&lt;='Assumptions and Catalog'!$C$60,((D596+E596)*C596)*'Assumptions and Catalog'!$H$60+'Assumptions and Catalog'!$E$60+'Assumptions and Catalog'!$F$60,IF(((D596+E596)*C596)&lt;='Assumptions and Catalog'!$C$61,((D596+E596)*C596)*'Assumptions and Catalog'!$H$61+'Assumptions and Catalog'!$E$61+'Assumptions and Catalog'!$F$61,IF(((D596+E596)*C596)&lt;='Assumptions and Catalog'!$C$62,((D596+E596)*C596)*'Assumptions and Catalog'!$H$62+'Assumptions and Catalog'!$E$62+'Assumptions and Catalog'!$F$62,IF(((D596+E596)*C596)&lt;='Assumptions and Catalog'!$C$63,((D596+E596)*C596)*'Assumptions and Catalog'!$H$63+'Assumptions and Catalog'!$E$63+'Assumptions and Catalog'!$F$63,IF(((D596+E596)*C596)&lt;='Assumptions and Catalog'!$C$64,((D596+E596)*C596)*'Assumptions and Catalog'!$H$64+'Assumptions and Catalog'!$E$64+'Assumptions and Catalog'!$F$64,IF(((D596+E596)*C596)&lt;='Assumptions and Catalog'!$C$65,((D596+E596)*C596)*'Assumptions and Catalog'!$H$65+'Assumptions and Catalog'!$E$65+'Assumptions and Catalog'!$F$65,"Out of range")))))))))*(1+'Assumptions and Catalog'!$C$8)^(A596-1),0)</f>
        <v>6867.22</v>
      </c>
      <c r="N596" s="5" t="n">
        <f>IF(ISNUMBER(Inputs!$L$5),(IF(Inputs!$L$9="Actual flat rate",L596*Inputs!$L$10,IF(Inputs!$C$9="Residential",IF(L596&lt;='Assumptions and Catalog'!$C$50,L596*'Assumptions and Catalog'!$H$50+'Assumptions and Catalog'!$E$50+'Assumptions and Catalog'!$F$50,IF(L596&lt;='Assumptions and Catalog'!$C$51,L596*'Assumptions and Catalog'!$H$51+'Assumptions and Catalog'!$E$51+'Assumptions and Catalog'!$F$51,IF(L596&lt;='Assumptions and Catalog'!$C$52,L596*'Assumptions and Catalog'!$H$52+'Assumptions and Catalog'!$E$52+'Assumptions and Catalog'!$F$52,IF(L596&lt;='Assumptions and Catalog'!$C$53,L596*'Assumptions and Catalog'!$H$53+'Assumptions and Catalog'!$E$53+'Assumptions and Catalog'!$F$53,IF(L596&lt;='Assumptions and Catalog'!$C$54,L596*'Assumptions and Catalog'!$H$54+'Assumptions and Catalog'!$E$54+'Assumptions and Catalog'!$F$54,IF(L596&lt;='Assumptions and Catalog'!$C$55,L596*'Assumptions and Catalog'!$H$55+'Assumptions and Catalog'!$E$55+'Assumptions and Catalog'!$F$55,IF(L596&lt;='Assumptions and Catalog'!$C$56,L596*'Assumptions and Catalog'!$H$56+'Assumptions and Catalog'!$E$56+'Assumptions and Catalog'!$F$56,IF(L596&lt;='Assumptions and Catalog'!$C$57,L596*'Assumptions and Catalog'!$H$57+'Assumptions and Catalog'!$E$57+'Assumptions and Catalog'!$F$57,"Out of range")))))))),IF(L596&lt;='Assumptions and Catalog'!$C$60,L596*'Assumptions and Catalog'!$H$60+'Assumptions and Catalog'!$E$60+'Assumptions and Catalog'!$F$60,IF(L596&lt;='Assumptions and Catalog'!$C$61,L596*'Assumptions and Catalog'!$H$61+'Assumptions and Catalog'!$E$61+'Assumptions and Catalog'!$F$61,IF(L596&lt;='Assumptions and Catalog'!$C$62,L596*'Assumptions and Catalog'!$H$62+'Assumptions and Catalog'!$E$62+'Assumptions and Catalog'!$F$62,IF(L596&lt;='Assumptions and Catalog'!$C$63,L596*'Assumptions and Catalog'!$H$63+'Assumptions and Catalog'!$E$63+'Assumptions and Catalog'!$F$63,IF(L596&lt;='Assumptions and Catalog'!$C$64,L596*'Assumptions and Catalog'!$H$64+'Assumptions and Catalog'!$E$64+'Assumptions and Catalog'!$F$64,IF(L596&lt;='Assumptions and Catalog'!$C$65,L596*'Assumptions and Catalog'!$H$65+'Assumptions and Catalog'!$E$65+'Assumptions and Catalog'!$F$65,"Out of range")))))))))*(1+'Assumptions and Catalog'!$C$8)^(A596-1),0)</f>
        <v>6867.22</v>
      </c>
      <c r="O596" s="5" t="n">
        <f>M596-N596</f>
        <v>0</v>
      </c>
      <c r="P596" s="5" t="n">
        <f>D$55*(1-K$14)*(1-'Assumptions and Catalog'!$C$23)^R596</f>
        <v>0</v>
      </c>
      <c r="Q596" s="5" t="n">
        <f>IF(ISNUMBER(Inputs!$L$5),(IF(Inputs!$L$9="Actual flat rate",((D596+E596)*C596-G596)*Inputs!$L$10,IF(Inputs!$C$9="Residential",IF(((D596+E596)*C596-G596)&lt;='Assumptions and Catalog'!$C$50,((D596+E596)*C596-G596)*'Assumptions and Catalog'!$H$50+'Assumptions and Catalog'!$E$50+'Assumptions and Catalog'!$F$50,IF(((D596+E596)*C596-G596)&lt;='Assumptions and Catalog'!$C$51,((D596+E596)*C596-G596)*'Assumptions and Catalog'!$H$51+'Assumptions and Catalog'!$E$51+'Assumptions and Catalog'!$F$51,IF(((D596+E596)*C596-G596)&lt;='Assumptions and Catalog'!$C$52,((D596+E596)*C596-G596)*'Assumptions and Catalog'!$H$52+'Assumptions and Catalog'!$E$52+'Assumptions and Catalog'!$F$52,IF(((D596+E596)*C596-G596)&lt;='Assumptions and Catalog'!$C$53,((D596+E596)*C596-G596)*'Assumptions and Catalog'!$H$53+'Assumptions and Catalog'!$E$53+'Assumptions and Catalog'!$F$53,IF(((D596+E596)*C596-G596)&lt;='Assumptions and Catalog'!$C$54,((D596+E596)*C596-G596)*'Assumptions and Catalog'!$H$54+'Assumptions and Catalog'!$E$54+'Assumptions and Catalog'!$F$54,IF(((D596+E596)*C596-G596)&lt;='Assumptions and Catalog'!$C$55,((D596+E596)*C596-G596)*'Assumptions and Catalog'!$H$55+'Assumptions and Catalog'!$E$55+'Assumptions and Catalog'!$F$55,IF(((D596+E596)*C596-G596)&lt;='Assumptions and Catalog'!$C$56,((D596+E596)*C596-G596)*'Assumptions and Catalog'!$H$56+'Assumptions and Catalog'!$E$56+'Assumptions and Catalog'!$F$56,IF(((D596+E596)*C596-G596)&lt;='Assumptions and Catalog'!$C$57,((D596+E596)*C596-G596)*'Assumptions and Catalog'!$H$57+'Assumptions and Catalog'!$E$57+'Assumptions and Catalog'!$F$57,"Out of range")))))))),IF(((D596+E596)*C596-G596)&lt;='Assumptions and Catalog'!$C$60,((D596+E596)*C596-G596)*'Assumptions and Catalog'!$H$60+'Assumptions and Catalog'!$E$60+'Assumptions and Catalog'!$F$60,IF(((D596+E596)*C596-G596)&lt;='Assumptions and Catalog'!$C$61,((D596+E596)*C596-G596)*'Assumptions and Catalog'!$H$61+'Assumptions and Catalog'!$E$61+'Assumptions and Catalog'!$F$61,IF(((D596+E596)*C596-G596)&lt;='Assumptions and Catalog'!$C$62,((D596+E596)*C596-G596)*'Assumptions and Catalog'!$H$62+'Assumptions and Catalog'!$E$62+'Assumptions and Catalog'!$F$62,IF(((D596+E596)*C596-G596)&lt;='Assumptions and Catalog'!$C$63,((D596+E596)*C596-G596)*'Assumptions and Catalog'!$H$63+'Assumptions and Catalog'!$E$63+'Assumptions and Catalog'!$F$63,IF(((D596+E596)*C596-G596)&lt;='Assumptions and Catalog'!$C$64,((D596+E596)*C596-G596)*'Assumptions and Catalog'!$H$64+'Assumptions and Catalog'!$E$64+'Assumptions and Catalog'!$F$64,IF(((D596+E596)*C596-G596)&lt;='Assumptions and Catalog'!$C$65,((D596+E596)*C596-G596)*'Assumptions and Catalog'!$H$65+'Assumptions and Catalog'!$E$65+'Assumptions and Catalog'!$F$65,"Out of range")))))))))*(1+'Assumptions and Catalog'!$C$8)^(A596-1),0)</f>
        <v>6867.22</v>
      </c>
      <c r="R596" s="5" t="n">
        <f>IF(AND('Assumptions and Catalog'!$C$19&gt;0,A596&gt;='Assumptions and Catalog'!$C$19),A596-'Assumptions and Catalog'!$C$19,A596-1)</f>
        <v>5</v>
      </c>
      <c r="S596" s="5" t="n">
        <f>F596+L596-(D596+E596)*C596-J596-K596-IF(D$52&gt;0,'Assumptions and Catalog'!$C$26*C596,0)</f>
        <v>0</v>
      </c>
      <c r="T596" s="5"/>
      <c r="U596" s="5"/>
    </row>
    <row r="597" ht="23.100000381469727" customHeight="1">
      <c r="A597" s="5" t="n">
        <v>16</v>
      </c>
      <c r="B597" s="5" t="n">
        <v>7</v>
      </c>
      <c r="C597" s="5" t="n">
        <f>DAY(DATE('Assumptions and Catalog'!$C$24+A597-1,B597+1,0))</f>
        <v>31</v>
      </c>
      <c r="D597" s="5" t="n">
        <f>IF(ISNUMBER(Inputs!$L$5),Inputs!$L$5*Inputs!$L$6,0)</f>
        <v>40.35</v>
      </c>
      <c r="E597" s="5" t="n">
        <f>IF(ISNUMBER(Inputs!$L$5),Inputs!$L$5-D597,0)</f>
        <v>40.35</v>
      </c>
      <c r="F597" s="5" t="n">
        <f>D$51*'Assumptions and Catalog'!$C$31*C597*(1-'Assumptions and Catalog'!$C$10)^(A597-1)</f>
        <v>0</v>
      </c>
      <c r="G597" s="5" t="n">
        <f>MIN(F597,D597*C597)</f>
        <v>0</v>
      </c>
      <c r="H597" s="5" t="n">
        <f>I597/('Assumptions and Catalog'!$C$11*'Assumptions and Catalog'!$C$12)</f>
        <v>0</v>
      </c>
      <c r="I597" s="5" t="n">
        <f>IF(K$15="Grid cycle",MIN(K$16,D597+E597,P597*'Assumptions and Catalog'!$C$12,D$57*(24-'Assumptions and Catalog'!$C$15),D$56*'Assumptions and Catalog'!$C$15*'Assumptions and Catalog'!$C$11*'Assumptions and Catalog'!$C$12)*C597,0)</f>
        <v>0</v>
      </c>
      <c r="J597" s="5" t="n">
        <f>MAX(F597-G597-0,0)</f>
        <v>0</v>
      </c>
      <c r="K597" s="5" t="n">
        <f>H597-I597</f>
        <v>0</v>
      </c>
      <c r="L597" s="5" t="n">
        <f>(D597+E597)*C597-G597-I597+H597+IF(D$52&gt;0,'Assumptions and Catalog'!$C$26*C597,0)</f>
        <v>2501.7</v>
      </c>
      <c r="M597" s="5" t="n">
        <f>IF(ISNUMBER(Inputs!$L$5),(IF(Inputs!$L$9="Actual flat rate",((D597+E597)*C597)*Inputs!$L$10,IF(Inputs!$C$9="Residential",IF(((D597+E597)*C597)&lt;='Assumptions and Catalog'!$C$50,((D597+E597)*C597)*'Assumptions and Catalog'!$H$50+'Assumptions and Catalog'!$E$50+'Assumptions and Catalog'!$F$50,IF(((D597+E597)*C597)&lt;='Assumptions and Catalog'!$C$51,((D597+E597)*C597)*'Assumptions and Catalog'!$H$51+'Assumptions and Catalog'!$E$51+'Assumptions and Catalog'!$F$51,IF(((D597+E597)*C597)&lt;='Assumptions and Catalog'!$C$52,((D597+E597)*C597)*'Assumptions and Catalog'!$H$52+'Assumptions and Catalog'!$E$52+'Assumptions and Catalog'!$F$52,IF(((D597+E597)*C597)&lt;='Assumptions and Catalog'!$C$53,((D597+E597)*C597)*'Assumptions and Catalog'!$H$53+'Assumptions and Catalog'!$E$53+'Assumptions and Catalog'!$F$53,IF(((D597+E597)*C597)&lt;='Assumptions and Catalog'!$C$54,((D597+E597)*C597)*'Assumptions and Catalog'!$H$54+'Assumptions and Catalog'!$E$54+'Assumptions and Catalog'!$F$54,IF(((D597+E597)*C597)&lt;='Assumptions and Catalog'!$C$55,((D597+E597)*C597)*'Assumptions and Catalog'!$H$55+'Assumptions and Catalog'!$E$55+'Assumptions and Catalog'!$F$55,IF(((D597+E597)*C597)&lt;='Assumptions and Catalog'!$C$56,((D597+E597)*C597)*'Assumptions and Catalog'!$H$56+'Assumptions and Catalog'!$E$56+'Assumptions and Catalog'!$F$56,IF(((D597+E597)*C597)&lt;='Assumptions and Catalog'!$C$57,((D597+E597)*C597)*'Assumptions and Catalog'!$H$57+'Assumptions and Catalog'!$E$57+'Assumptions and Catalog'!$F$57,"Out of range")))))))),IF(((D597+E597)*C597)&lt;='Assumptions and Catalog'!$C$60,((D597+E597)*C597)*'Assumptions and Catalog'!$H$60+'Assumptions and Catalog'!$E$60+'Assumptions and Catalog'!$F$60,IF(((D597+E597)*C597)&lt;='Assumptions and Catalog'!$C$61,((D597+E597)*C597)*'Assumptions and Catalog'!$H$61+'Assumptions and Catalog'!$E$61+'Assumptions and Catalog'!$F$61,IF(((D597+E597)*C597)&lt;='Assumptions and Catalog'!$C$62,((D597+E597)*C597)*'Assumptions and Catalog'!$H$62+'Assumptions and Catalog'!$E$62+'Assumptions and Catalog'!$F$62,IF(((D597+E597)*C597)&lt;='Assumptions and Catalog'!$C$63,((D597+E597)*C597)*'Assumptions and Catalog'!$H$63+'Assumptions and Catalog'!$E$63+'Assumptions and Catalog'!$F$63,IF(((D597+E597)*C597)&lt;='Assumptions and Catalog'!$C$64,((D597+E597)*C597)*'Assumptions and Catalog'!$H$64+'Assumptions and Catalog'!$E$64+'Assumptions and Catalog'!$F$64,IF(((D597+E597)*C597)&lt;='Assumptions and Catalog'!$C$65,((D597+E597)*C597)*'Assumptions and Catalog'!$H$65+'Assumptions and Catalog'!$E$65+'Assumptions and Catalog'!$F$65,"Out of range")))))))))*(1+'Assumptions and Catalog'!$C$8)^(A597-1),0)</f>
        <v>7094.794</v>
      </c>
      <c r="N597" s="5" t="n">
        <f>IF(ISNUMBER(Inputs!$L$5),(IF(Inputs!$L$9="Actual flat rate",L597*Inputs!$L$10,IF(Inputs!$C$9="Residential",IF(L597&lt;='Assumptions and Catalog'!$C$50,L597*'Assumptions and Catalog'!$H$50+'Assumptions and Catalog'!$E$50+'Assumptions and Catalog'!$F$50,IF(L597&lt;='Assumptions and Catalog'!$C$51,L597*'Assumptions and Catalog'!$H$51+'Assumptions and Catalog'!$E$51+'Assumptions and Catalog'!$F$51,IF(L597&lt;='Assumptions and Catalog'!$C$52,L597*'Assumptions and Catalog'!$H$52+'Assumptions and Catalog'!$E$52+'Assumptions and Catalog'!$F$52,IF(L597&lt;='Assumptions and Catalog'!$C$53,L597*'Assumptions and Catalog'!$H$53+'Assumptions and Catalog'!$E$53+'Assumptions and Catalog'!$F$53,IF(L597&lt;='Assumptions and Catalog'!$C$54,L597*'Assumptions and Catalog'!$H$54+'Assumptions and Catalog'!$E$54+'Assumptions and Catalog'!$F$54,IF(L597&lt;='Assumptions and Catalog'!$C$55,L597*'Assumptions and Catalog'!$H$55+'Assumptions and Catalog'!$E$55+'Assumptions and Catalog'!$F$55,IF(L597&lt;='Assumptions and Catalog'!$C$56,L597*'Assumptions and Catalog'!$H$56+'Assumptions and Catalog'!$E$56+'Assumptions and Catalog'!$F$56,IF(L597&lt;='Assumptions and Catalog'!$C$57,L597*'Assumptions and Catalog'!$H$57+'Assumptions and Catalog'!$E$57+'Assumptions and Catalog'!$F$57,"Out of range")))))))),IF(L597&lt;='Assumptions and Catalog'!$C$60,L597*'Assumptions and Catalog'!$H$60+'Assumptions and Catalog'!$E$60+'Assumptions and Catalog'!$F$60,IF(L597&lt;='Assumptions and Catalog'!$C$61,L597*'Assumptions and Catalog'!$H$61+'Assumptions and Catalog'!$E$61+'Assumptions and Catalog'!$F$61,IF(L597&lt;='Assumptions and Catalog'!$C$62,L597*'Assumptions and Catalog'!$H$62+'Assumptions and Catalog'!$E$62+'Assumptions and Catalog'!$F$62,IF(L597&lt;='Assumptions and Catalog'!$C$63,L597*'Assumptions and Catalog'!$H$63+'Assumptions and Catalog'!$E$63+'Assumptions and Catalog'!$F$63,IF(L597&lt;='Assumptions and Catalog'!$C$64,L597*'Assumptions and Catalog'!$H$64+'Assumptions and Catalog'!$E$64+'Assumptions and Catalog'!$F$64,IF(L597&lt;='Assumptions and Catalog'!$C$65,L597*'Assumptions and Catalog'!$H$65+'Assumptions and Catalog'!$E$65+'Assumptions and Catalog'!$F$65,"Out of range")))))))))*(1+'Assumptions and Catalog'!$C$8)^(A597-1),0)</f>
        <v>7094.794</v>
      </c>
      <c r="O597" s="5" t="n">
        <f>M597-N597</f>
        <v>0</v>
      </c>
      <c r="P597" s="5" t="n">
        <f>D$55*(1-K$14)*(1-'Assumptions and Catalog'!$C$23)^R597</f>
        <v>0</v>
      </c>
      <c r="Q597" s="5" t="n">
        <f>IF(ISNUMBER(Inputs!$L$5),(IF(Inputs!$L$9="Actual flat rate",((D597+E597)*C597-G597)*Inputs!$L$10,IF(Inputs!$C$9="Residential",IF(((D597+E597)*C597-G597)&lt;='Assumptions and Catalog'!$C$50,((D597+E597)*C597-G597)*'Assumptions and Catalog'!$H$50+'Assumptions and Catalog'!$E$50+'Assumptions and Catalog'!$F$50,IF(((D597+E597)*C597-G597)&lt;='Assumptions and Catalog'!$C$51,((D597+E597)*C597-G597)*'Assumptions and Catalog'!$H$51+'Assumptions and Catalog'!$E$51+'Assumptions and Catalog'!$F$51,IF(((D597+E597)*C597-G597)&lt;='Assumptions and Catalog'!$C$52,((D597+E597)*C597-G597)*'Assumptions and Catalog'!$H$52+'Assumptions and Catalog'!$E$52+'Assumptions and Catalog'!$F$52,IF(((D597+E597)*C597-G597)&lt;='Assumptions and Catalog'!$C$53,((D597+E597)*C597-G597)*'Assumptions and Catalog'!$H$53+'Assumptions and Catalog'!$E$53+'Assumptions and Catalog'!$F$53,IF(((D597+E597)*C597-G597)&lt;='Assumptions and Catalog'!$C$54,((D597+E597)*C597-G597)*'Assumptions and Catalog'!$H$54+'Assumptions and Catalog'!$E$54+'Assumptions and Catalog'!$F$54,IF(((D597+E597)*C597-G597)&lt;='Assumptions and Catalog'!$C$55,((D597+E597)*C597-G597)*'Assumptions and Catalog'!$H$55+'Assumptions and Catalog'!$E$55+'Assumptions and Catalog'!$F$55,IF(((D597+E597)*C597-G597)&lt;='Assumptions and Catalog'!$C$56,((D597+E597)*C597-G597)*'Assumptions and Catalog'!$H$56+'Assumptions and Catalog'!$E$56+'Assumptions and Catalog'!$F$56,IF(((D597+E597)*C597-G597)&lt;='Assumptions and Catalog'!$C$57,((D597+E597)*C597-G597)*'Assumptions and Catalog'!$H$57+'Assumptions and Catalog'!$E$57+'Assumptions and Catalog'!$F$57,"Out of range")))))))),IF(((D597+E597)*C597-G597)&lt;='Assumptions and Catalog'!$C$60,((D597+E597)*C597-G597)*'Assumptions and Catalog'!$H$60+'Assumptions and Catalog'!$E$60+'Assumptions and Catalog'!$F$60,IF(((D597+E597)*C597-G597)&lt;='Assumptions and Catalog'!$C$61,((D597+E597)*C597-G597)*'Assumptions and Catalog'!$H$61+'Assumptions and Catalog'!$E$61+'Assumptions and Catalog'!$F$61,IF(((D597+E597)*C597-G597)&lt;='Assumptions and Catalog'!$C$62,((D597+E597)*C597-G597)*'Assumptions and Catalog'!$H$62+'Assumptions and Catalog'!$E$62+'Assumptions and Catalog'!$F$62,IF(((D597+E597)*C597-G597)&lt;='Assumptions and Catalog'!$C$63,((D597+E597)*C597-G597)*'Assumptions and Catalog'!$H$63+'Assumptions and Catalog'!$E$63+'Assumptions and Catalog'!$F$63,IF(((D597+E597)*C597-G597)&lt;='Assumptions and Catalog'!$C$64,((D597+E597)*C597-G597)*'Assumptions and Catalog'!$H$64+'Assumptions and Catalog'!$E$64+'Assumptions and Catalog'!$F$64,IF(((D597+E597)*C597-G597)&lt;='Assumptions and Catalog'!$C$65,((D597+E597)*C597-G597)*'Assumptions and Catalog'!$H$65+'Assumptions and Catalog'!$E$65+'Assumptions and Catalog'!$F$65,"Out of range")))))))))*(1+'Assumptions and Catalog'!$C$8)^(A597-1),0)</f>
        <v>7094.794</v>
      </c>
      <c r="R597" s="5" t="n">
        <f>IF(AND('Assumptions and Catalog'!$C$19&gt;0,A597&gt;='Assumptions and Catalog'!$C$19),A597-'Assumptions and Catalog'!$C$19,A597-1)</f>
        <v>5</v>
      </c>
      <c r="S597" s="5" t="n">
        <f>F597+L597-(D597+E597)*C597-J597-K597-IF(D$52&gt;0,'Assumptions and Catalog'!$C$26*C597,0)</f>
        <v>0</v>
      </c>
      <c r="T597" s="5"/>
      <c r="U597" s="5"/>
    </row>
    <row r="598" ht="23.100000381469727" customHeight="1">
      <c r="A598" s="5" t="n">
        <v>16</v>
      </c>
      <c r="B598" s="5" t="n">
        <v>8</v>
      </c>
      <c r="C598" s="5" t="n">
        <f>DAY(DATE('Assumptions and Catalog'!$C$24+A598-1,B598+1,0))</f>
        <v>31</v>
      </c>
      <c r="D598" s="5" t="n">
        <f>IF(ISNUMBER(Inputs!$L$5),Inputs!$L$5*Inputs!$L$6,0)</f>
        <v>40.35</v>
      </c>
      <c r="E598" s="5" t="n">
        <f>IF(ISNUMBER(Inputs!$L$5),Inputs!$L$5-D598,0)</f>
        <v>40.35</v>
      </c>
      <c r="F598" s="5" t="n">
        <f>D$51*'Assumptions and Catalog'!$C$31*C598*(1-'Assumptions and Catalog'!$C$10)^(A598-1)</f>
        <v>0</v>
      </c>
      <c r="G598" s="5" t="n">
        <f>MIN(F598,D598*C598)</f>
        <v>0</v>
      </c>
      <c r="H598" s="5" t="n">
        <f>I598/('Assumptions and Catalog'!$C$11*'Assumptions and Catalog'!$C$12)</f>
        <v>0</v>
      </c>
      <c r="I598" s="5" t="n">
        <f>IF(K$15="Grid cycle",MIN(K$16,D598+E598,P598*'Assumptions and Catalog'!$C$12,D$57*(24-'Assumptions and Catalog'!$C$15),D$56*'Assumptions and Catalog'!$C$15*'Assumptions and Catalog'!$C$11*'Assumptions and Catalog'!$C$12)*C598,0)</f>
        <v>0</v>
      </c>
      <c r="J598" s="5" t="n">
        <f>MAX(F598-G598-0,0)</f>
        <v>0</v>
      </c>
      <c r="K598" s="5" t="n">
        <f>H598-I598</f>
        <v>0</v>
      </c>
      <c r="L598" s="5" t="n">
        <f>(D598+E598)*C598-G598-I598+H598+IF(D$52&gt;0,'Assumptions and Catalog'!$C$26*C598,0)</f>
        <v>2501.7</v>
      </c>
      <c r="M598" s="5" t="n">
        <f>IF(ISNUMBER(Inputs!$L$5),(IF(Inputs!$L$9="Actual flat rate",((D598+E598)*C598)*Inputs!$L$10,IF(Inputs!$C$9="Residential",IF(((D598+E598)*C598)&lt;='Assumptions and Catalog'!$C$50,((D598+E598)*C598)*'Assumptions and Catalog'!$H$50+'Assumptions and Catalog'!$E$50+'Assumptions and Catalog'!$F$50,IF(((D598+E598)*C598)&lt;='Assumptions and Catalog'!$C$51,((D598+E598)*C598)*'Assumptions and Catalog'!$H$51+'Assumptions and Catalog'!$E$51+'Assumptions and Catalog'!$F$51,IF(((D598+E598)*C598)&lt;='Assumptions and Catalog'!$C$52,((D598+E598)*C598)*'Assumptions and Catalog'!$H$52+'Assumptions and Catalog'!$E$52+'Assumptions and Catalog'!$F$52,IF(((D598+E598)*C598)&lt;='Assumptions and Catalog'!$C$53,((D598+E598)*C598)*'Assumptions and Catalog'!$H$53+'Assumptions and Catalog'!$E$53+'Assumptions and Catalog'!$F$53,IF(((D598+E598)*C598)&lt;='Assumptions and Catalog'!$C$54,((D598+E598)*C598)*'Assumptions and Catalog'!$H$54+'Assumptions and Catalog'!$E$54+'Assumptions and Catalog'!$F$54,IF(((D598+E598)*C598)&lt;='Assumptions and Catalog'!$C$55,((D598+E598)*C598)*'Assumptions and Catalog'!$H$55+'Assumptions and Catalog'!$E$55+'Assumptions and Catalog'!$F$55,IF(((D598+E598)*C598)&lt;='Assumptions and Catalog'!$C$56,((D598+E598)*C598)*'Assumptions and Catalog'!$H$56+'Assumptions and Catalog'!$E$56+'Assumptions and Catalog'!$F$56,IF(((D598+E598)*C598)&lt;='Assumptions and Catalog'!$C$57,((D598+E598)*C598)*'Assumptions and Catalog'!$H$57+'Assumptions and Catalog'!$E$57+'Assumptions and Catalog'!$F$57,"Out of range")))))))),IF(((D598+E598)*C598)&lt;='Assumptions and Catalog'!$C$60,((D598+E598)*C598)*'Assumptions and Catalog'!$H$60+'Assumptions and Catalog'!$E$60+'Assumptions and Catalog'!$F$60,IF(((D598+E598)*C598)&lt;='Assumptions and Catalog'!$C$61,((D598+E598)*C598)*'Assumptions and Catalog'!$H$61+'Assumptions and Catalog'!$E$61+'Assumptions and Catalog'!$F$61,IF(((D598+E598)*C598)&lt;='Assumptions and Catalog'!$C$62,((D598+E598)*C598)*'Assumptions and Catalog'!$H$62+'Assumptions and Catalog'!$E$62+'Assumptions and Catalog'!$F$62,IF(((D598+E598)*C598)&lt;='Assumptions and Catalog'!$C$63,((D598+E598)*C598)*'Assumptions and Catalog'!$H$63+'Assumptions and Catalog'!$E$63+'Assumptions and Catalog'!$F$63,IF(((D598+E598)*C598)&lt;='Assumptions and Catalog'!$C$64,((D598+E598)*C598)*'Assumptions and Catalog'!$H$64+'Assumptions and Catalog'!$E$64+'Assumptions and Catalog'!$F$64,IF(((D598+E598)*C598)&lt;='Assumptions and Catalog'!$C$65,((D598+E598)*C598)*'Assumptions and Catalog'!$H$65+'Assumptions and Catalog'!$E$65+'Assumptions and Catalog'!$F$65,"Out of range")))))))))*(1+'Assumptions and Catalog'!$C$8)^(A598-1),0)</f>
        <v>7094.794</v>
      </c>
      <c r="N598" s="5" t="n">
        <f>IF(ISNUMBER(Inputs!$L$5),(IF(Inputs!$L$9="Actual flat rate",L598*Inputs!$L$10,IF(Inputs!$C$9="Residential",IF(L598&lt;='Assumptions and Catalog'!$C$50,L598*'Assumptions and Catalog'!$H$50+'Assumptions and Catalog'!$E$50+'Assumptions and Catalog'!$F$50,IF(L598&lt;='Assumptions and Catalog'!$C$51,L598*'Assumptions and Catalog'!$H$51+'Assumptions and Catalog'!$E$51+'Assumptions and Catalog'!$F$51,IF(L598&lt;='Assumptions and Catalog'!$C$52,L598*'Assumptions and Catalog'!$H$52+'Assumptions and Catalog'!$E$52+'Assumptions and Catalog'!$F$52,IF(L598&lt;='Assumptions and Catalog'!$C$53,L598*'Assumptions and Catalog'!$H$53+'Assumptions and Catalog'!$E$53+'Assumptions and Catalog'!$F$53,IF(L598&lt;='Assumptions and Catalog'!$C$54,L598*'Assumptions and Catalog'!$H$54+'Assumptions and Catalog'!$E$54+'Assumptions and Catalog'!$F$54,IF(L598&lt;='Assumptions and Catalog'!$C$55,L598*'Assumptions and Catalog'!$H$55+'Assumptions and Catalog'!$E$55+'Assumptions and Catalog'!$F$55,IF(L598&lt;='Assumptions and Catalog'!$C$56,L598*'Assumptions and Catalog'!$H$56+'Assumptions and Catalog'!$E$56+'Assumptions and Catalog'!$F$56,IF(L598&lt;='Assumptions and Catalog'!$C$57,L598*'Assumptions and Catalog'!$H$57+'Assumptions and Catalog'!$E$57+'Assumptions and Catalog'!$F$57,"Out of range")))))))),IF(L598&lt;='Assumptions and Catalog'!$C$60,L598*'Assumptions and Catalog'!$H$60+'Assumptions and Catalog'!$E$60+'Assumptions and Catalog'!$F$60,IF(L598&lt;='Assumptions and Catalog'!$C$61,L598*'Assumptions and Catalog'!$H$61+'Assumptions and Catalog'!$E$61+'Assumptions and Catalog'!$F$61,IF(L598&lt;='Assumptions and Catalog'!$C$62,L598*'Assumptions and Catalog'!$H$62+'Assumptions and Catalog'!$E$62+'Assumptions and Catalog'!$F$62,IF(L598&lt;='Assumptions and Catalog'!$C$63,L598*'Assumptions and Catalog'!$H$63+'Assumptions and Catalog'!$E$63+'Assumptions and Catalog'!$F$63,IF(L598&lt;='Assumptions and Catalog'!$C$64,L598*'Assumptions and Catalog'!$H$64+'Assumptions and Catalog'!$E$64+'Assumptions and Catalog'!$F$64,IF(L598&lt;='Assumptions and Catalog'!$C$65,L598*'Assumptions and Catalog'!$H$65+'Assumptions and Catalog'!$E$65+'Assumptions and Catalog'!$F$65,"Out of range")))))))))*(1+'Assumptions and Catalog'!$C$8)^(A598-1),0)</f>
        <v>7094.794</v>
      </c>
      <c r="O598" s="5" t="n">
        <f>M598-N598</f>
        <v>0</v>
      </c>
      <c r="P598" s="5" t="n">
        <f>D$55*(1-K$14)*(1-'Assumptions and Catalog'!$C$23)^R598</f>
        <v>0</v>
      </c>
      <c r="Q598" s="5" t="n">
        <f>IF(ISNUMBER(Inputs!$L$5),(IF(Inputs!$L$9="Actual flat rate",((D598+E598)*C598-G598)*Inputs!$L$10,IF(Inputs!$C$9="Residential",IF(((D598+E598)*C598-G598)&lt;='Assumptions and Catalog'!$C$50,((D598+E598)*C598-G598)*'Assumptions and Catalog'!$H$50+'Assumptions and Catalog'!$E$50+'Assumptions and Catalog'!$F$50,IF(((D598+E598)*C598-G598)&lt;='Assumptions and Catalog'!$C$51,((D598+E598)*C598-G598)*'Assumptions and Catalog'!$H$51+'Assumptions and Catalog'!$E$51+'Assumptions and Catalog'!$F$51,IF(((D598+E598)*C598-G598)&lt;='Assumptions and Catalog'!$C$52,((D598+E598)*C598-G598)*'Assumptions and Catalog'!$H$52+'Assumptions and Catalog'!$E$52+'Assumptions and Catalog'!$F$52,IF(((D598+E598)*C598-G598)&lt;='Assumptions and Catalog'!$C$53,((D598+E598)*C598-G598)*'Assumptions and Catalog'!$H$53+'Assumptions and Catalog'!$E$53+'Assumptions and Catalog'!$F$53,IF(((D598+E598)*C598-G598)&lt;='Assumptions and Catalog'!$C$54,((D598+E598)*C598-G598)*'Assumptions and Catalog'!$H$54+'Assumptions and Catalog'!$E$54+'Assumptions and Catalog'!$F$54,IF(((D598+E598)*C598-G598)&lt;='Assumptions and Catalog'!$C$55,((D598+E598)*C598-G598)*'Assumptions and Catalog'!$H$55+'Assumptions and Catalog'!$E$55+'Assumptions and Catalog'!$F$55,IF(((D598+E598)*C598-G598)&lt;='Assumptions and Catalog'!$C$56,((D598+E598)*C598-G598)*'Assumptions and Catalog'!$H$56+'Assumptions and Catalog'!$E$56+'Assumptions and Catalog'!$F$56,IF(((D598+E598)*C598-G598)&lt;='Assumptions and Catalog'!$C$57,((D598+E598)*C598-G598)*'Assumptions and Catalog'!$H$57+'Assumptions and Catalog'!$E$57+'Assumptions and Catalog'!$F$57,"Out of range")))))))),IF(((D598+E598)*C598-G598)&lt;='Assumptions and Catalog'!$C$60,((D598+E598)*C598-G598)*'Assumptions and Catalog'!$H$60+'Assumptions and Catalog'!$E$60+'Assumptions and Catalog'!$F$60,IF(((D598+E598)*C598-G598)&lt;='Assumptions and Catalog'!$C$61,((D598+E598)*C598-G598)*'Assumptions and Catalog'!$H$61+'Assumptions and Catalog'!$E$61+'Assumptions and Catalog'!$F$61,IF(((D598+E598)*C598-G598)&lt;='Assumptions and Catalog'!$C$62,((D598+E598)*C598-G598)*'Assumptions and Catalog'!$H$62+'Assumptions and Catalog'!$E$62+'Assumptions and Catalog'!$F$62,IF(((D598+E598)*C598-G598)&lt;='Assumptions and Catalog'!$C$63,((D598+E598)*C598-G598)*'Assumptions and Catalog'!$H$63+'Assumptions and Catalog'!$E$63+'Assumptions and Catalog'!$F$63,IF(((D598+E598)*C598-G598)&lt;='Assumptions and Catalog'!$C$64,((D598+E598)*C598-G598)*'Assumptions and Catalog'!$H$64+'Assumptions and Catalog'!$E$64+'Assumptions and Catalog'!$F$64,IF(((D598+E598)*C598-G598)&lt;='Assumptions and Catalog'!$C$65,((D598+E598)*C598-G598)*'Assumptions and Catalog'!$H$65+'Assumptions and Catalog'!$E$65+'Assumptions and Catalog'!$F$65,"Out of range")))))))))*(1+'Assumptions and Catalog'!$C$8)^(A598-1),0)</f>
        <v>7094.794</v>
      </c>
      <c r="R598" s="5" t="n">
        <f>IF(AND('Assumptions and Catalog'!$C$19&gt;0,A598&gt;='Assumptions and Catalog'!$C$19),A598-'Assumptions and Catalog'!$C$19,A598-1)</f>
        <v>5</v>
      </c>
      <c r="S598" s="5" t="n">
        <f>F598+L598-(D598+E598)*C598-J598-K598-IF(D$52&gt;0,'Assumptions and Catalog'!$C$26*C598,0)</f>
        <v>0</v>
      </c>
      <c r="T598" s="5"/>
      <c r="U598" s="5"/>
    </row>
    <row r="599" ht="23.100000381469727" customHeight="1">
      <c r="A599" s="5" t="n">
        <v>16</v>
      </c>
      <c r="B599" s="5" t="n">
        <v>9</v>
      </c>
      <c r="C599" s="5" t="n">
        <f>DAY(DATE('Assumptions and Catalog'!$C$24+A599-1,B599+1,0))</f>
        <v>30</v>
      </c>
      <c r="D599" s="5" t="n">
        <f>IF(ISNUMBER(Inputs!$L$5),Inputs!$L$5*Inputs!$L$6,0)</f>
        <v>40.35</v>
      </c>
      <c r="E599" s="5" t="n">
        <f>IF(ISNUMBER(Inputs!$L$5),Inputs!$L$5-D599,0)</f>
        <v>40.35</v>
      </c>
      <c r="F599" s="5" t="n">
        <f>D$51*'Assumptions and Catalog'!$C$31*C599*(1-'Assumptions and Catalog'!$C$10)^(A599-1)</f>
        <v>0</v>
      </c>
      <c r="G599" s="5" t="n">
        <f>MIN(F599,D599*C599)</f>
        <v>0</v>
      </c>
      <c r="H599" s="5" t="n">
        <f>I599/('Assumptions and Catalog'!$C$11*'Assumptions and Catalog'!$C$12)</f>
        <v>0</v>
      </c>
      <c r="I599" s="5" t="n">
        <f>IF(K$15="Grid cycle",MIN(K$16,D599+E599,P599*'Assumptions and Catalog'!$C$12,D$57*(24-'Assumptions and Catalog'!$C$15),D$56*'Assumptions and Catalog'!$C$15*'Assumptions and Catalog'!$C$11*'Assumptions and Catalog'!$C$12)*C599,0)</f>
        <v>0</v>
      </c>
      <c r="J599" s="5" t="n">
        <f>MAX(F599-G599-0,0)</f>
        <v>0</v>
      </c>
      <c r="K599" s="5" t="n">
        <f>H599-I599</f>
        <v>0</v>
      </c>
      <c r="L599" s="5" t="n">
        <f>(D599+E599)*C599-G599-I599+H599+IF(D$52&gt;0,'Assumptions and Catalog'!$C$26*C599,0)</f>
        <v>2421</v>
      </c>
      <c r="M599" s="5" t="n">
        <f>IF(ISNUMBER(Inputs!$L$5),(IF(Inputs!$L$9="Actual flat rate",((D599+E599)*C599)*Inputs!$L$10,IF(Inputs!$C$9="Residential",IF(((D599+E599)*C599)&lt;='Assumptions and Catalog'!$C$50,((D599+E599)*C599)*'Assumptions and Catalog'!$H$50+'Assumptions and Catalog'!$E$50+'Assumptions and Catalog'!$F$50,IF(((D599+E599)*C599)&lt;='Assumptions and Catalog'!$C$51,((D599+E599)*C599)*'Assumptions and Catalog'!$H$51+'Assumptions and Catalog'!$E$51+'Assumptions and Catalog'!$F$51,IF(((D599+E599)*C599)&lt;='Assumptions and Catalog'!$C$52,((D599+E599)*C599)*'Assumptions and Catalog'!$H$52+'Assumptions and Catalog'!$E$52+'Assumptions and Catalog'!$F$52,IF(((D599+E599)*C599)&lt;='Assumptions and Catalog'!$C$53,((D599+E599)*C599)*'Assumptions and Catalog'!$H$53+'Assumptions and Catalog'!$E$53+'Assumptions and Catalog'!$F$53,IF(((D599+E599)*C599)&lt;='Assumptions and Catalog'!$C$54,((D599+E599)*C599)*'Assumptions and Catalog'!$H$54+'Assumptions and Catalog'!$E$54+'Assumptions and Catalog'!$F$54,IF(((D599+E599)*C599)&lt;='Assumptions and Catalog'!$C$55,((D599+E599)*C599)*'Assumptions and Catalog'!$H$55+'Assumptions and Catalog'!$E$55+'Assumptions and Catalog'!$F$55,IF(((D599+E599)*C599)&lt;='Assumptions and Catalog'!$C$56,((D599+E599)*C599)*'Assumptions and Catalog'!$H$56+'Assumptions and Catalog'!$E$56+'Assumptions and Catalog'!$F$56,IF(((D599+E599)*C599)&lt;='Assumptions and Catalog'!$C$57,((D599+E599)*C599)*'Assumptions and Catalog'!$H$57+'Assumptions and Catalog'!$E$57+'Assumptions and Catalog'!$F$57,"Out of range")))))))),IF(((D599+E599)*C599)&lt;='Assumptions and Catalog'!$C$60,((D599+E599)*C599)*'Assumptions and Catalog'!$H$60+'Assumptions and Catalog'!$E$60+'Assumptions and Catalog'!$F$60,IF(((D599+E599)*C599)&lt;='Assumptions and Catalog'!$C$61,((D599+E599)*C599)*'Assumptions and Catalog'!$H$61+'Assumptions and Catalog'!$E$61+'Assumptions and Catalog'!$F$61,IF(((D599+E599)*C599)&lt;='Assumptions and Catalog'!$C$62,((D599+E599)*C599)*'Assumptions and Catalog'!$H$62+'Assumptions and Catalog'!$E$62+'Assumptions and Catalog'!$F$62,IF(((D599+E599)*C599)&lt;='Assumptions and Catalog'!$C$63,((D599+E599)*C599)*'Assumptions and Catalog'!$H$63+'Assumptions and Catalog'!$E$63+'Assumptions and Catalog'!$F$63,IF(((D599+E599)*C599)&lt;='Assumptions and Catalog'!$C$64,((D599+E599)*C599)*'Assumptions and Catalog'!$H$64+'Assumptions and Catalog'!$E$64+'Assumptions and Catalog'!$F$64,IF(((D599+E599)*C599)&lt;='Assumptions and Catalog'!$C$65,((D599+E599)*C599)*'Assumptions and Catalog'!$H$65+'Assumptions and Catalog'!$E$65+'Assumptions and Catalog'!$F$65,"Out of range")))))))))*(1+'Assumptions and Catalog'!$C$8)^(A599-1),0)</f>
        <v>6867.22</v>
      </c>
      <c r="N599" s="5" t="n">
        <f>IF(ISNUMBER(Inputs!$L$5),(IF(Inputs!$L$9="Actual flat rate",L599*Inputs!$L$10,IF(Inputs!$C$9="Residential",IF(L599&lt;='Assumptions and Catalog'!$C$50,L599*'Assumptions and Catalog'!$H$50+'Assumptions and Catalog'!$E$50+'Assumptions and Catalog'!$F$50,IF(L599&lt;='Assumptions and Catalog'!$C$51,L599*'Assumptions and Catalog'!$H$51+'Assumptions and Catalog'!$E$51+'Assumptions and Catalog'!$F$51,IF(L599&lt;='Assumptions and Catalog'!$C$52,L599*'Assumptions and Catalog'!$H$52+'Assumptions and Catalog'!$E$52+'Assumptions and Catalog'!$F$52,IF(L599&lt;='Assumptions and Catalog'!$C$53,L599*'Assumptions and Catalog'!$H$53+'Assumptions and Catalog'!$E$53+'Assumptions and Catalog'!$F$53,IF(L599&lt;='Assumptions and Catalog'!$C$54,L599*'Assumptions and Catalog'!$H$54+'Assumptions and Catalog'!$E$54+'Assumptions and Catalog'!$F$54,IF(L599&lt;='Assumptions and Catalog'!$C$55,L599*'Assumptions and Catalog'!$H$55+'Assumptions and Catalog'!$E$55+'Assumptions and Catalog'!$F$55,IF(L599&lt;='Assumptions and Catalog'!$C$56,L599*'Assumptions and Catalog'!$H$56+'Assumptions and Catalog'!$E$56+'Assumptions and Catalog'!$F$56,IF(L599&lt;='Assumptions and Catalog'!$C$57,L599*'Assumptions and Catalog'!$H$57+'Assumptions and Catalog'!$E$57+'Assumptions and Catalog'!$F$57,"Out of range")))))))),IF(L599&lt;='Assumptions and Catalog'!$C$60,L599*'Assumptions and Catalog'!$H$60+'Assumptions and Catalog'!$E$60+'Assumptions and Catalog'!$F$60,IF(L599&lt;='Assumptions and Catalog'!$C$61,L599*'Assumptions and Catalog'!$H$61+'Assumptions and Catalog'!$E$61+'Assumptions and Catalog'!$F$61,IF(L599&lt;='Assumptions and Catalog'!$C$62,L599*'Assumptions and Catalog'!$H$62+'Assumptions and Catalog'!$E$62+'Assumptions and Catalog'!$F$62,IF(L599&lt;='Assumptions and Catalog'!$C$63,L599*'Assumptions and Catalog'!$H$63+'Assumptions and Catalog'!$E$63+'Assumptions and Catalog'!$F$63,IF(L599&lt;='Assumptions and Catalog'!$C$64,L599*'Assumptions and Catalog'!$H$64+'Assumptions and Catalog'!$E$64+'Assumptions and Catalog'!$F$64,IF(L599&lt;='Assumptions and Catalog'!$C$65,L599*'Assumptions and Catalog'!$H$65+'Assumptions and Catalog'!$E$65+'Assumptions and Catalog'!$F$65,"Out of range")))))))))*(1+'Assumptions and Catalog'!$C$8)^(A599-1),0)</f>
        <v>6867.22</v>
      </c>
      <c r="O599" s="5" t="n">
        <f>M599-N599</f>
        <v>0</v>
      </c>
      <c r="P599" s="5" t="n">
        <f>D$55*(1-K$14)*(1-'Assumptions and Catalog'!$C$23)^R599</f>
        <v>0</v>
      </c>
      <c r="Q599" s="5" t="n">
        <f>IF(ISNUMBER(Inputs!$L$5),(IF(Inputs!$L$9="Actual flat rate",((D599+E599)*C599-G599)*Inputs!$L$10,IF(Inputs!$C$9="Residential",IF(((D599+E599)*C599-G599)&lt;='Assumptions and Catalog'!$C$50,((D599+E599)*C599-G599)*'Assumptions and Catalog'!$H$50+'Assumptions and Catalog'!$E$50+'Assumptions and Catalog'!$F$50,IF(((D599+E599)*C599-G599)&lt;='Assumptions and Catalog'!$C$51,((D599+E599)*C599-G599)*'Assumptions and Catalog'!$H$51+'Assumptions and Catalog'!$E$51+'Assumptions and Catalog'!$F$51,IF(((D599+E599)*C599-G599)&lt;='Assumptions and Catalog'!$C$52,((D599+E599)*C599-G599)*'Assumptions and Catalog'!$H$52+'Assumptions and Catalog'!$E$52+'Assumptions and Catalog'!$F$52,IF(((D599+E599)*C599-G599)&lt;='Assumptions and Catalog'!$C$53,((D599+E599)*C599-G599)*'Assumptions and Catalog'!$H$53+'Assumptions and Catalog'!$E$53+'Assumptions and Catalog'!$F$53,IF(((D599+E599)*C599-G599)&lt;='Assumptions and Catalog'!$C$54,((D599+E599)*C599-G599)*'Assumptions and Catalog'!$H$54+'Assumptions and Catalog'!$E$54+'Assumptions and Catalog'!$F$54,IF(((D599+E599)*C599-G599)&lt;='Assumptions and Catalog'!$C$55,((D599+E599)*C599-G599)*'Assumptions and Catalog'!$H$55+'Assumptions and Catalog'!$E$55+'Assumptions and Catalog'!$F$55,IF(((D599+E599)*C599-G599)&lt;='Assumptions and Catalog'!$C$56,((D599+E599)*C599-G599)*'Assumptions and Catalog'!$H$56+'Assumptions and Catalog'!$E$56+'Assumptions and Catalog'!$F$56,IF(((D599+E599)*C599-G599)&lt;='Assumptions and Catalog'!$C$57,((D599+E599)*C599-G599)*'Assumptions and Catalog'!$H$57+'Assumptions and Catalog'!$E$57+'Assumptions and Catalog'!$F$57,"Out of range")))))))),IF(((D599+E599)*C599-G599)&lt;='Assumptions and Catalog'!$C$60,((D599+E599)*C599-G599)*'Assumptions and Catalog'!$H$60+'Assumptions and Catalog'!$E$60+'Assumptions and Catalog'!$F$60,IF(((D599+E599)*C599-G599)&lt;='Assumptions and Catalog'!$C$61,((D599+E599)*C599-G599)*'Assumptions and Catalog'!$H$61+'Assumptions and Catalog'!$E$61+'Assumptions and Catalog'!$F$61,IF(((D599+E599)*C599-G599)&lt;='Assumptions and Catalog'!$C$62,((D599+E599)*C599-G599)*'Assumptions and Catalog'!$H$62+'Assumptions and Catalog'!$E$62+'Assumptions and Catalog'!$F$62,IF(((D599+E599)*C599-G599)&lt;='Assumptions and Catalog'!$C$63,((D599+E599)*C599-G599)*'Assumptions and Catalog'!$H$63+'Assumptions and Catalog'!$E$63+'Assumptions and Catalog'!$F$63,IF(((D599+E599)*C599-G599)&lt;='Assumptions and Catalog'!$C$64,((D599+E599)*C599-G599)*'Assumptions and Catalog'!$H$64+'Assumptions and Catalog'!$E$64+'Assumptions and Catalog'!$F$64,IF(((D599+E599)*C599-G599)&lt;='Assumptions and Catalog'!$C$65,((D599+E599)*C599-G599)*'Assumptions and Catalog'!$H$65+'Assumptions and Catalog'!$E$65+'Assumptions and Catalog'!$F$65,"Out of range")))))))))*(1+'Assumptions and Catalog'!$C$8)^(A599-1),0)</f>
        <v>6867.22</v>
      </c>
      <c r="R599" s="5" t="n">
        <f>IF(AND('Assumptions and Catalog'!$C$19&gt;0,A599&gt;='Assumptions and Catalog'!$C$19),A599-'Assumptions and Catalog'!$C$19,A599-1)</f>
        <v>5</v>
      </c>
      <c r="S599" s="5" t="n">
        <f>F599+L599-(D599+E599)*C599-J599-K599-IF(D$52&gt;0,'Assumptions and Catalog'!$C$26*C599,0)</f>
        <v>0</v>
      </c>
      <c r="T599" s="5"/>
      <c r="U599" s="5"/>
    </row>
    <row r="600" ht="23.100000381469727" customHeight="1">
      <c r="A600" s="5" t="n">
        <v>16</v>
      </c>
      <c r="B600" s="5" t="n">
        <v>10</v>
      </c>
      <c r="C600" s="5" t="n">
        <f>DAY(DATE('Assumptions and Catalog'!$C$24+A600-1,B600+1,0))</f>
        <v>31</v>
      </c>
      <c r="D600" s="5" t="n">
        <f>IF(ISNUMBER(Inputs!$L$5),Inputs!$L$5*Inputs!$L$6,0)</f>
        <v>40.35</v>
      </c>
      <c r="E600" s="5" t="n">
        <f>IF(ISNUMBER(Inputs!$L$5),Inputs!$L$5-D600,0)</f>
        <v>40.35</v>
      </c>
      <c r="F600" s="5" t="n">
        <f>D$51*'Assumptions and Catalog'!$C$31*C600*(1-'Assumptions and Catalog'!$C$10)^(A600-1)</f>
        <v>0</v>
      </c>
      <c r="G600" s="5" t="n">
        <f>MIN(F600,D600*C600)</f>
        <v>0</v>
      </c>
      <c r="H600" s="5" t="n">
        <f>I600/('Assumptions and Catalog'!$C$11*'Assumptions and Catalog'!$C$12)</f>
        <v>0</v>
      </c>
      <c r="I600" s="5" t="n">
        <f>IF(K$15="Grid cycle",MIN(K$16,D600+E600,P600*'Assumptions and Catalog'!$C$12,D$57*(24-'Assumptions and Catalog'!$C$15),D$56*'Assumptions and Catalog'!$C$15*'Assumptions and Catalog'!$C$11*'Assumptions and Catalog'!$C$12)*C600,0)</f>
        <v>0</v>
      </c>
      <c r="J600" s="5" t="n">
        <f>MAX(F600-G600-0,0)</f>
        <v>0</v>
      </c>
      <c r="K600" s="5" t="n">
        <f>H600-I600</f>
        <v>0</v>
      </c>
      <c r="L600" s="5" t="n">
        <f>(D600+E600)*C600-G600-I600+H600+IF(D$52&gt;0,'Assumptions and Catalog'!$C$26*C600,0)</f>
        <v>2501.7</v>
      </c>
      <c r="M600" s="5" t="n">
        <f>IF(ISNUMBER(Inputs!$L$5),(IF(Inputs!$L$9="Actual flat rate",((D600+E600)*C600)*Inputs!$L$10,IF(Inputs!$C$9="Residential",IF(((D600+E600)*C600)&lt;='Assumptions and Catalog'!$C$50,((D600+E600)*C600)*'Assumptions and Catalog'!$H$50+'Assumptions and Catalog'!$E$50+'Assumptions and Catalog'!$F$50,IF(((D600+E600)*C600)&lt;='Assumptions and Catalog'!$C$51,((D600+E600)*C600)*'Assumptions and Catalog'!$H$51+'Assumptions and Catalog'!$E$51+'Assumptions and Catalog'!$F$51,IF(((D600+E600)*C600)&lt;='Assumptions and Catalog'!$C$52,((D600+E600)*C600)*'Assumptions and Catalog'!$H$52+'Assumptions and Catalog'!$E$52+'Assumptions and Catalog'!$F$52,IF(((D600+E600)*C600)&lt;='Assumptions and Catalog'!$C$53,((D600+E600)*C600)*'Assumptions and Catalog'!$H$53+'Assumptions and Catalog'!$E$53+'Assumptions and Catalog'!$F$53,IF(((D600+E600)*C600)&lt;='Assumptions and Catalog'!$C$54,((D600+E600)*C600)*'Assumptions and Catalog'!$H$54+'Assumptions and Catalog'!$E$54+'Assumptions and Catalog'!$F$54,IF(((D600+E600)*C600)&lt;='Assumptions and Catalog'!$C$55,((D600+E600)*C600)*'Assumptions and Catalog'!$H$55+'Assumptions and Catalog'!$E$55+'Assumptions and Catalog'!$F$55,IF(((D600+E600)*C600)&lt;='Assumptions and Catalog'!$C$56,((D600+E600)*C600)*'Assumptions and Catalog'!$H$56+'Assumptions and Catalog'!$E$56+'Assumptions and Catalog'!$F$56,IF(((D600+E600)*C600)&lt;='Assumptions and Catalog'!$C$57,((D600+E600)*C600)*'Assumptions and Catalog'!$H$57+'Assumptions and Catalog'!$E$57+'Assumptions and Catalog'!$F$57,"Out of range")))))))),IF(((D600+E600)*C600)&lt;='Assumptions and Catalog'!$C$60,((D600+E600)*C600)*'Assumptions and Catalog'!$H$60+'Assumptions and Catalog'!$E$60+'Assumptions and Catalog'!$F$60,IF(((D600+E600)*C600)&lt;='Assumptions and Catalog'!$C$61,((D600+E600)*C600)*'Assumptions and Catalog'!$H$61+'Assumptions and Catalog'!$E$61+'Assumptions and Catalog'!$F$61,IF(((D600+E600)*C600)&lt;='Assumptions and Catalog'!$C$62,((D600+E600)*C600)*'Assumptions and Catalog'!$H$62+'Assumptions and Catalog'!$E$62+'Assumptions and Catalog'!$F$62,IF(((D600+E600)*C600)&lt;='Assumptions and Catalog'!$C$63,((D600+E600)*C600)*'Assumptions and Catalog'!$H$63+'Assumptions and Catalog'!$E$63+'Assumptions and Catalog'!$F$63,IF(((D600+E600)*C600)&lt;='Assumptions and Catalog'!$C$64,((D600+E600)*C600)*'Assumptions and Catalog'!$H$64+'Assumptions and Catalog'!$E$64+'Assumptions and Catalog'!$F$64,IF(((D600+E600)*C600)&lt;='Assumptions and Catalog'!$C$65,((D600+E600)*C600)*'Assumptions and Catalog'!$H$65+'Assumptions and Catalog'!$E$65+'Assumptions and Catalog'!$F$65,"Out of range")))))))))*(1+'Assumptions and Catalog'!$C$8)^(A600-1),0)</f>
        <v>7094.794</v>
      </c>
      <c r="N600" s="5" t="n">
        <f>IF(ISNUMBER(Inputs!$L$5),(IF(Inputs!$L$9="Actual flat rate",L600*Inputs!$L$10,IF(Inputs!$C$9="Residential",IF(L600&lt;='Assumptions and Catalog'!$C$50,L600*'Assumptions and Catalog'!$H$50+'Assumptions and Catalog'!$E$50+'Assumptions and Catalog'!$F$50,IF(L600&lt;='Assumptions and Catalog'!$C$51,L600*'Assumptions and Catalog'!$H$51+'Assumptions and Catalog'!$E$51+'Assumptions and Catalog'!$F$51,IF(L600&lt;='Assumptions and Catalog'!$C$52,L600*'Assumptions and Catalog'!$H$52+'Assumptions and Catalog'!$E$52+'Assumptions and Catalog'!$F$52,IF(L600&lt;='Assumptions and Catalog'!$C$53,L600*'Assumptions and Catalog'!$H$53+'Assumptions and Catalog'!$E$53+'Assumptions and Catalog'!$F$53,IF(L600&lt;='Assumptions and Catalog'!$C$54,L600*'Assumptions and Catalog'!$H$54+'Assumptions and Catalog'!$E$54+'Assumptions and Catalog'!$F$54,IF(L600&lt;='Assumptions and Catalog'!$C$55,L600*'Assumptions and Catalog'!$H$55+'Assumptions and Catalog'!$E$55+'Assumptions and Catalog'!$F$55,IF(L600&lt;='Assumptions and Catalog'!$C$56,L600*'Assumptions and Catalog'!$H$56+'Assumptions and Catalog'!$E$56+'Assumptions and Catalog'!$F$56,IF(L600&lt;='Assumptions and Catalog'!$C$57,L600*'Assumptions and Catalog'!$H$57+'Assumptions and Catalog'!$E$57+'Assumptions and Catalog'!$F$57,"Out of range")))))))),IF(L600&lt;='Assumptions and Catalog'!$C$60,L600*'Assumptions and Catalog'!$H$60+'Assumptions and Catalog'!$E$60+'Assumptions and Catalog'!$F$60,IF(L600&lt;='Assumptions and Catalog'!$C$61,L600*'Assumptions and Catalog'!$H$61+'Assumptions and Catalog'!$E$61+'Assumptions and Catalog'!$F$61,IF(L600&lt;='Assumptions and Catalog'!$C$62,L600*'Assumptions and Catalog'!$H$62+'Assumptions and Catalog'!$E$62+'Assumptions and Catalog'!$F$62,IF(L600&lt;='Assumptions and Catalog'!$C$63,L600*'Assumptions and Catalog'!$H$63+'Assumptions and Catalog'!$E$63+'Assumptions and Catalog'!$F$63,IF(L600&lt;='Assumptions and Catalog'!$C$64,L600*'Assumptions and Catalog'!$H$64+'Assumptions and Catalog'!$E$64+'Assumptions and Catalog'!$F$64,IF(L600&lt;='Assumptions and Catalog'!$C$65,L600*'Assumptions and Catalog'!$H$65+'Assumptions and Catalog'!$E$65+'Assumptions and Catalog'!$F$65,"Out of range")))))))))*(1+'Assumptions and Catalog'!$C$8)^(A600-1),0)</f>
        <v>7094.794</v>
      </c>
      <c r="O600" s="5" t="n">
        <f>M600-N600</f>
        <v>0</v>
      </c>
      <c r="P600" s="5" t="n">
        <f>D$55*(1-K$14)*(1-'Assumptions and Catalog'!$C$23)^R600</f>
        <v>0</v>
      </c>
      <c r="Q600" s="5" t="n">
        <f>IF(ISNUMBER(Inputs!$L$5),(IF(Inputs!$L$9="Actual flat rate",((D600+E600)*C600-G600)*Inputs!$L$10,IF(Inputs!$C$9="Residential",IF(((D600+E600)*C600-G600)&lt;='Assumptions and Catalog'!$C$50,((D600+E600)*C600-G600)*'Assumptions and Catalog'!$H$50+'Assumptions and Catalog'!$E$50+'Assumptions and Catalog'!$F$50,IF(((D600+E600)*C600-G600)&lt;='Assumptions and Catalog'!$C$51,((D600+E600)*C600-G600)*'Assumptions and Catalog'!$H$51+'Assumptions and Catalog'!$E$51+'Assumptions and Catalog'!$F$51,IF(((D600+E600)*C600-G600)&lt;='Assumptions and Catalog'!$C$52,((D600+E600)*C600-G600)*'Assumptions and Catalog'!$H$52+'Assumptions and Catalog'!$E$52+'Assumptions and Catalog'!$F$52,IF(((D600+E600)*C600-G600)&lt;='Assumptions and Catalog'!$C$53,((D600+E600)*C600-G600)*'Assumptions and Catalog'!$H$53+'Assumptions and Catalog'!$E$53+'Assumptions and Catalog'!$F$53,IF(((D600+E600)*C600-G600)&lt;='Assumptions and Catalog'!$C$54,((D600+E600)*C600-G600)*'Assumptions and Catalog'!$H$54+'Assumptions and Catalog'!$E$54+'Assumptions and Catalog'!$F$54,IF(((D600+E600)*C600-G600)&lt;='Assumptions and Catalog'!$C$55,((D600+E600)*C600-G600)*'Assumptions and Catalog'!$H$55+'Assumptions and Catalog'!$E$55+'Assumptions and Catalog'!$F$55,IF(((D600+E600)*C600-G600)&lt;='Assumptions and Catalog'!$C$56,((D600+E600)*C600-G600)*'Assumptions and Catalog'!$H$56+'Assumptions and Catalog'!$E$56+'Assumptions and Catalog'!$F$56,IF(((D600+E600)*C600-G600)&lt;='Assumptions and Catalog'!$C$57,((D600+E600)*C600-G600)*'Assumptions and Catalog'!$H$57+'Assumptions and Catalog'!$E$57+'Assumptions and Catalog'!$F$57,"Out of range")))))))),IF(((D600+E600)*C600-G600)&lt;='Assumptions and Catalog'!$C$60,((D600+E600)*C600-G600)*'Assumptions and Catalog'!$H$60+'Assumptions and Catalog'!$E$60+'Assumptions and Catalog'!$F$60,IF(((D600+E600)*C600-G600)&lt;='Assumptions and Catalog'!$C$61,((D600+E600)*C600-G600)*'Assumptions and Catalog'!$H$61+'Assumptions and Catalog'!$E$61+'Assumptions and Catalog'!$F$61,IF(((D600+E600)*C600-G600)&lt;='Assumptions and Catalog'!$C$62,((D600+E600)*C600-G600)*'Assumptions and Catalog'!$H$62+'Assumptions and Catalog'!$E$62+'Assumptions and Catalog'!$F$62,IF(((D600+E600)*C600-G600)&lt;='Assumptions and Catalog'!$C$63,((D600+E600)*C600-G600)*'Assumptions and Catalog'!$H$63+'Assumptions and Catalog'!$E$63+'Assumptions and Catalog'!$F$63,IF(((D600+E600)*C600-G600)&lt;='Assumptions and Catalog'!$C$64,((D600+E600)*C600-G600)*'Assumptions and Catalog'!$H$64+'Assumptions and Catalog'!$E$64+'Assumptions and Catalog'!$F$64,IF(((D600+E600)*C600-G600)&lt;='Assumptions and Catalog'!$C$65,((D600+E600)*C600-G600)*'Assumptions and Catalog'!$H$65+'Assumptions and Catalog'!$E$65+'Assumptions and Catalog'!$F$65,"Out of range")))))))))*(1+'Assumptions and Catalog'!$C$8)^(A600-1),0)</f>
        <v>7094.794</v>
      </c>
      <c r="R600" s="5" t="n">
        <f>IF(AND('Assumptions and Catalog'!$C$19&gt;0,A600&gt;='Assumptions and Catalog'!$C$19),A600-'Assumptions and Catalog'!$C$19,A600-1)</f>
        <v>5</v>
      </c>
      <c r="S600" s="5" t="n">
        <f>F600+L600-(D600+E600)*C600-J600-K600-IF(D$52&gt;0,'Assumptions and Catalog'!$C$26*C600,0)</f>
        <v>0</v>
      </c>
      <c r="T600" s="5"/>
      <c r="U600" s="5"/>
    </row>
    <row r="601" ht="23.100000381469727" customHeight="1">
      <c r="A601" s="5" t="n">
        <v>16</v>
      </c>
      <c r="B601" s="5" t="n">
        <v>11</v>
      </c>
      <c r="C601" s="5" t="n">
        <f>DAY(DATE('Assumptions and Catalog'!$C$24+A601-1,B601+1,0))</f>
        <v>30</v>
      </c>
      <c r="D601" s="5" t="n">
        <f>IF(ISNUMBER(Inputs!$L$5),Inputs!$L$5*Inputs!$L$6,0)</f>
        <v>40.35</v>
      </c>
      <c r="E601" s="5" t="n">
        <f>IF(ISNUMBER(Inputs!$L$5),Inputs!$L$5-D601,0)</f>
        <v>40.35</v>
      </c>
      <c r="F601" s="5" t="n">
        <f>D$51*'Assumptions and Catalog'!$C$31*C601*(1-'Assumptions and Catalog'!$C$10)^(A601-1)</f>
        <v>0</v>
      </c>
      <c r="G601" s="5" t="n">
        <f>MIN(F601,D601*C601)</f>
        <v>0</v>
      </c>
      <c r="H601" s="5" t="n">
        <f>I601/('Assumptions and Catalog'!$C$11*'Assumptions and Catalog'!$C$12)</f>
        <v>0</v>
      </c>
      <c r="I601" s="5" t="n">
        <f>IF(K$15="Grid cycle",MIN(K$16,D601+E601,P601*'Assumptions and Catalog'!$C$12,D$57*(24-'Assumptions and Catalog'!$C$15),D$56*'Assumptions and Catalog'!$C$15*'Assumptions and Catalog'!$C$11*'Assumptions and Catalog'!$C$12)*C601,0)</f>
        <v>0</v>
      </c>
      <c r="J601" s="5" t="n">
        <f>MAX(F601-G601-0,0)</f>
        <v>0</v>
      </c>
      <c r="K601" s="5" t="n">
        <f>H601-I601</f>
        <v>0</v>
      </c>
      <c r="L601" s="5" t="n">
        <f>(D601+E601)*C601-G601-I601+H601+IF(D$52&gt;0,'Assumptions and Catalog'!$C$26*C601,0)</f>
        <v>2421</v>
      </c>
      <c r="M601" s="5" t="n">
        <f>IF(ISNUMBER(Inputs!$L$5),(IF(Inputs!$L$9="Actual flat rate",((D601+E601)*C601)*Inputs!$L$10,IF(Inputs!$C$9="Residential",IF(((D601+E601)*C601)&lt;='Assumptions and Catalog'!$C$50,((D601+E601)*C601)*'Assumptions and Catalog'!$H$50+'Assumptions and Catalog'!$E$50+'Assumptions and Catalog'!$F$50,IF(((D601+E601)*C601)&lt;='Assumptions and Catalog'!$C$51,((D601+E601)*C601)*'Assumptions and Catalog'!$H$51+'Assumptions and Catalog'!$E$51+'Assumptions and Catalog'!$F$51,IF(((D601+E601)*C601)&lt;='Assumptions and Catalog'!$C$52,((D601+E601)*C601)*'Assumptions and Catalog'!$H$52+'Assumptions and Catalog'!$E$52+'Assumptions and Catalog'!$F$52,IF(((D601+E601)*C601)&lt;='Assumptions and Catalog'!$C$53,((D601+E601)*C601)*'Assumptions and Catalog'!$H$53+'Assumptions and Catalog'!$E$53+'Assumptions and Catalog'!$F$53,IF(((D601+E601)*C601)&lt;='Assumptions and Catalog'!$C$54,((D601+E601)*C601)*'Assumptions and Catalog'!$H$54+'Assumptions and Catalog'!$E$54+'Assumptions and Catalog'!$F$54,IF(((D601+E601)*C601)&lt;='Assumptions and Catalog'!$C$55,((D601+E601)*C601)*'Assumptions and Catalog'!$H$55+'Assumptions and Catalog'!$E$55+'Assumptions and Catalog'!$F$55,IF(((D601+E601)*C601)&lt;='Assumptions and Catalog'!$C$56,((D601+E601)*C601)*'Assumptions and Catalog'!$H$56+'Assumptions and Catalog'!$E$56+'Assumptions and Catalog'!$F$56,IF(((D601+E601)*C601)&lt;='Assumptions and Catalog'!$C$57,((D601+E601)*C601)*'Assumptions and Catalog'!$H$57+'Assumptions and Catalog'!$E$57+'Assumptions and Catalog'!$F$57,"Out of range")))))))),IF(((D601+E601)*C601)&lt;='Assumptions and Catalog'!$C$60,((D601+E601)*C601)*'Assumptions and Catalog'!$H$60+'Assumptions and Catalog'!$E$60+'Assumptions and Catalog'!$F$60,IF(((D601+E601)*C601)&lt;='Assumptions and Catalog'!$C$61,((D601+E601)*C601)*'Assumptions and Catalog'!$H$61+'Assumptions and Catalog'!$E$61+'Assumptions and Catalog'!$F$61,IF(((D601+E601)*C601)&lt;='Assumptions and Catalog'!$C$62,((D601+E601)*C601)*'Assumptions and Catalog'!$H$62+'Assumptions and Catalog'!$E$62+'Assumptions and Catalog'!$F$62,IF(((D601+E601)*C601)&lt;='Assumptions and Catalog'!$C$63,((D601+E601)*C601)*'Assumptions and Catalog'!$H$63+'Assumptions and Catalog'!$E$63+'Assumptions and Catalog'!$F$63,IF(((D601+E601)*C601)&lt;='Assumptions and Catalog'!$C$64,((D601+E601)*C601)*'Assumptions and Catalog'!$H$64+'Assumptions and Catalog'!$E$64+'Assumptions and Catalog'!$F$64,IF(((D601+E601)*C601)&lt;='Assumptions and Catalog'!$C$65,((D601+E601)*C601)*'Assumptions and Catalog'!$H$65+'Assumptions and Catalog'!$E$65+'Assumptions and Catalog'!$F$65,"Out of range")))))))))*(1+'Assumptions and Catalog'!$C$8)^(A601-1),0)</f>
        <v>6867.22</v>
      </c>
      <c r="N601" s="5" t="n">
        <f>IF(ISNUMBER(Inputs!$L$5),(IF(Inputs!$L$9="Actual flat rate",L601*Inputs!$L$10,IF(Inputs!$C$9="Residential",IF(L601&lt;='Assumptions and Catalog'!$C$50,L601*'Assumptions and Catalog'!$H$50+'Assumptions and Catalog'!$E$50+'Assumptions and Catalog'!$F$50,IF(L601&lt;='Assumptions and Catalog'!$C$51,L601*'Assumptions and Catalog'!$H$51+'Assumptions and Catalog'!$E$51+'Assumptions and Catalog'!$F$51,IF(L601&lt;='Assumptions and Catalog'!$C$52,L601*'Assumptions and Catalog'!$H$52+'Assumptions and Catalog'!$E$52+'Assumptions and Catalog'!$F$52,IF(L601&lt;='Assumptions and Catalog'!$C$53,L601*'Assumptions and Catalog'!$H$53+'Assumptions and Catalog'!$E$53+'Assumptions and Catalog'!$F$53,IF(L601&lt;='Assumptions and Catalog'!$C$54,L601*'Assumptions and Catalog'!$H$54+'Assumptions and Catalog'!$E$54+'Assumptions and Catalog'!$F$54,IF(L601&lt;='Assumptions and Catalog'!$C$55,L601*'Assumptions and Catalog'!$H$55+'Assumptions and Catalog'!$E$55+'Assumptions and Catalog'!$F$55,IF(L601&lt;='Assumptions and Catalog'!$C$56,L601*'Assumptions and Catalog'!$H$56+'Assumptions and Catalog'!$E$56+'Assumptions and Catalog'!$F$56,IF(L601&lt;='Assumptions and Catalog'!$C$57,L601*'Assumptions and Catalog'!$H$57+'Assumptions and Catalog'!$E$57+'Assumptions and Catalog'!$F$57,"Out of range")))))))),IF(L601&lt;='Assumptions and Catalog'!$C$60,L601*'Assumptions and Catalog'!$H$60+'Assumptions and Catalog'!$E$60+'Assumptions and Catalog'!$F$60,IF(L601&lt;='Assumptions and Catalog'!$C$61,L601*'Assumptions and Catalog'!$H$61+'Assumptions and Catalog'!$E$61+'Assumptions and Catalog'!$F$61,IF(L601&lt;='Assumptions and Catalog'!$C$62,L601*'Assumptions and Catalog'!$H$62+'Assumptions and Catalog'!$E$62+'Assumptions and Catalog'!$F$62,IF(L601&lt;='Assumptions and Catalog'!$C$63,L601*'Assumptions and Catalog'!$H$63+'Assumptions and Catalog'!$E$63+'Assumptions and Catalog'!$F$63,IF(L601&lt;='Assumptions and Catalog'!$C$64,L601*'Assumptions and Catalog'!$H$64+'Assumptions and Catalog'!$E$64+'Assumptions and Catalog'!$F$64,IF(L601&lt;='Assumptions and Catalog'!$C$65,L601*'Assumptions and Catalog'!$H$65+'Assumptions and Catalog'!$E$65+'Assumptions and Catalog'!$F$65,"Out of range")))))))))*(1+'Assumptions and Catalog'!$C$8)^(A601-1),0)</f>
        <v>6867.22</v>
      </c>
      <c r="O601" s="5" t="n">
        <f>M601-N601</f>
        <v>0</v>
      </c>
      <c r="P601" s="5" t="n">
        <f>D$55*(1-K$14)*(1-'Assumptions and Catalog'!$C$23)^R601</f>
        <v>0</v>
      </c>
      <c r="Q601" s="5" t="n">
        <f>IF(ISNUMBER(Inputs!$L$5),(IF(Inputs!$L$9="Actual flat rate",((D601+E601)*C601-G601)*Inputs!$L$10,IF(Inputs!$C$9="Residential",IF(((D601+E601)*C601-G601)&lt;='Assumptions and Catalog'!$C$50,((D601+E601)*C601-G601)*'Assumptions and Catalog'!$H$50+'Assumptions and Catalog'!$E$50+'Assumptions and Catalog'!$F$50,IF(((D601+E601)*C601-G601)&lt;='Assumptions and Catalog'!$C$51,((D601+E601)*C601-G601)*'Assumptions and Catalog'!$H$51+'Assumptions and Catalog'!$E$51+'Assumptions and Catalog'!$F$51,IF(((D601+E601)*C601-G601)&lt;='Assumptions and Catalog'!$C$52,((D601+E601)*C601-G601)*'Assumptions and Catalog'!$H$52+'Assumptions and Catalog'!$E$52+'Assumptions and Catalog'!$F$52,IF(((D601+E601)*C601-G601)&lt;='Assumptions and Catalog'!$C$53,((D601+E601)*C601-G601)*'Assumptions and Catalog'!$H$53+'Assumptions and Catalog'!$E$53+'Assumptions and Catalog'!$F$53,IF(((D601+E601)*C601-G601)&lt;='Assumptions and Catalog'!$C$54,((D601+E601)*C601-G601)*'Assumptions and Catalog'!$H$54+'Assumptions and Catalog'!$E$54+'Assumptions and Catalog'!$F$54,IF(((D601+E601)*C601-G601)&lt;='Assumptions and Catalog'!$C$55,((D601+E601)*C601-G601)*'Assumptions and Catalog'!$H$55+'Assumptions and Catalog'!$E$55+'Assumptions and Catalog'!$F$55,IF(((D601+E601)*C601-G601)&lt;='Assumptions and Catalog'!$C$56,((D601+E601)*C601-G601)*'Assumptions and Catalog'!$H$56+'Assumptions and Catalog'!$E$56+'Assumptions and Catalog'!$F$56,IF(((D601+E601)*C601-G601)&lt;='Assumptions and Catalog'!$C$57,((D601+E601)*C601-G601)*'Assumptions and Catalog'!$H$57+'Assumptions and Catalog'!$E$57+'Assumptions and Catalog'!$F$57,"Out of range")))))))),IF(((D601+E601)*C601-G601)&lt;='Assumptions and Catalog'!$C$60,((D601+E601)*C601-G601)*'Assumptions and Catalog'!$H$60+'Assumptions and Catalog'!$E$60+'Assumptions and Catalog'!$F$60,IF(((D601+E601)*C601-G601)&lt;='Assumptions and Catalog'!$C$61,((D601+E601)*C601-G601)*'Assumptions and Catalog'!$H$61+'Assumptions and Catalog'!$E$61+'Assumptions and Catalog'!$F$61,IF(((D601+E601)*C601-G601)&lt;='Assumptions and Catalog'!$C$62,((D601+E601)*C601-G601)*'Assumptions and Catalog'!$H$62+'Assumptions and Catalog'!$E$62+'Assumptions and Catalog'!$F$62,IF(((D601+E601)*C601-G601)&lt;='Assumptions and Catalog'!$C$63,((D601+E601)*C601-G601)*'Assumptions and Catalog'!$H$63+'Assumptions and Catalog'!$E$63+'Assumptions and Catalog'!$F$63,IF(((D601+E601)*C601-G601)&lt;='Assumptions and Catalog'!$C$64,((D601+E601)*C601-G601)*'Assumptions and Catalog'!$H$64+'Assumptions and Catalog'!$E$64+'Assumptions and Catalog'!$F$64,IF(((D601+E601)*C601-G601)&lt;='Assumptions and Catalog'!$C$65,((D601+E601)*C601-G601)*'Assumptions and Catalog'!$H$65+'Assumptions and Catalog'!$E$65+'Assumptions and Catalog'!$F$65,"Out of range")))))))))*(1+'Assumptions and Catalog'!$C$8)^(A601-1),0)</f>
        <v>6867.22</v>
      </c>
      <c r="R601" s="5" t="n">
        <f>IF(AND('Assumptions and Catalog'!$C$19&gt;0,A601&gt;='Assumptions and Catalog'!$C$19),A601-'Assumptions and Catalog'!$C$19,A601-1)</f>
        <v>5</v>
      </c>
      <c r="S601" s="5" t="n">
        <f>F601+L601-(D601+E601)*C601-J601-K601-IF(D$52&gt;0,'Assumptions and Catalog'!$C$26*C601,0)</f>
        <v>0</v>
      </c>
      <c r="T601" s="5"/>
      <c r="U601" s="5"/>
    </row>
    <row r="602" ht="23.100000381469727" customHeight="1">
      <c r="A602" s="5" t="n">
        <v>16</v>
      </c>
      <c r="B602" s="5" t="n">
        <v>12</v>
      </c>
      <c r="C602" s="5" t="n">
        <f>DAY(DATE('Assumptions and Catalog'!$C$24+A602-1,B602+1,0))</f>
        <v>31</v>
      </c>
      <c r="D602" s="5" t="n">
        <f>IF(ISNUMBER(Inputs!$L$5),Inputs!$L$5*Inputs!$L$6,0)</f>
        <v>40.35</v>
      </c>
      <c r="E602" s="5" t="n">
        <f>IF(ISNUMBER(Inputs!$L$5),Inputs!$L$5-D602,0)</f>
        <v>40.35</v>
      </c>
      <c r="F602" s="5" t="n">
        <f>D$51*'Assumptions and Catalog'!$C$31*C602*(1-'Assumptions and Catalog'!$C$10)^(A602-1)</f>
        <v>0</v>
      </c>
      <c r="G602" s="5" t="n">
        <f>MIN(F602,D602*C602)</f>
        <v>0</v>
      </c>
      <c r="H602" s="5" t="n">
        <f>I602/('Assumptions and Catalog'!$C$11*'Assumptions and Catalog'!$C$12)</f>
        <v>0</v>
      </c>
      <c r="I602" s="5" t="n">
        <f>IF(K$15="Grid cycle",MIN(K$16,D602+E602,P602*'Assumptions and Catalog'!$C$12,D$57*(24-'Assumptions and Catalog'!$C$15),D$56*'Assumptions and Catalog'!$C$15*'Assumptions and Catalog'!$C$11*'Assumptions and Catalog'!$C$12)*C602,0)</f>
        <v>0</v>
      </c>
      <c r="J602" s="5" t="n">
        <f>MAX(F602-G602-0,0)</f>
        <v>0</v>
      </c>
      <c r="K602" s="5" t="n">
        <f>H602-I602</f>
        <v>0</v>
      </c>
      <c r="L602" s="5" t="n">
        <f>(D602+E602)*C602-G602-I602+H602+IF(D$52&gt;0,'Assumptions and Catalog'!$C$26*C602,0)</f>
        <v>2501.7</v>
      </c>
      <c r="M602" s="5" t="n">
        <f>IF(ISNUMBER(Inputs!$L$5),(IF(Inputs!$L$9="Actual flat rate",((D602+E602)*C602)*Inputs!$L$10,IF(Inputs!$C$9="Residential",IF(((D602+E602)*C602)&lt;='Assumptions and Catalog'!$C$50,((D602+E602)*C602)*'Assumptions and Catalog'!$H$50+'Assumptions and Catalog'!$E$50+'Assumptions and Catalog'!$F$50,IF(((D602+E602)*C602)&lt;='Assumptions and Catalog'!$C$51,((D602+E602)*C602)*'Assumptions and Catalog'!$H$51+'Assumptions and Catalog'!$E$51+'Assumptions and Catalog'!$F$51,IF(((D602+E602)*C602)&lt;='Assumptions and Catalog'!$C$52,((D602+E602)*C602)*'Assumptions and Catalog'!$H$52+'Assumptions and Catalog'!$E$52+'Assumptions and Catalog'!$F$52,IF(((D602+E602)*C602)&lt;='Assumptions and Catalog'!$C$53,((D602+E602)*C602)*'Assumptions and Catalog'!$H$53+'Assumptions and Catalog'!$E$53+'Assumptions and Catalog'!$F$53,IF(((D602+E602)*C602)&lt;='Assumptions and Catalog'!$C$54,((D602+E602)*C602)*'Assumptions and Catalog'!$H$54+'Assumptions and Catalog'!$E$54+'Assumptions and Catalog'!$F$54,IF(((D602+E602)*C602)&lt;='Assumptions and Catalog'!$C$55,((D602+E602)*C602)*'Assumptions and Catalog'!$H$55+'Assumptions and Catalog'!$E$55+'Assumptions and Catalog'!$F$55,IF(((D602+E602)*C602)&lt;='Assumptions and Catalog'!$C$56,((D602+E602)*C602)*'Assumptions and Catalog'!$H$56+'Assumptions and Catalog'!$E$56+'Assumptions and Catalog'!$F$56,IF(((D602+E602)*C602)&lt;='Assumptions and Catalog'!$C$57,((D602+E602)*C602)*'Assumptions and Catalog'!$H$57+'Assumptions and Catalog'!$E$57+'Assumptions and Catalog'!$F$57,"Out of range")))))))),IF(((D602+E602)*C602)&lt;='Assumptions and Catalog'!$C$60,((D602+E602)*C602)*'Assumptions and Catalog'!$H$60+'Assumptions and Catalog'!$E$60+'Assumptions and Catalog'!$F$60,IF(((D602+E602)*C602)&lt;='Assumptions and Catalog'!$C$61,((D602+E602)*C602)*'Assumptions and Catalog'!$H$61+'Assumptions and Catalog'!$E$61+'Assumptions and Catalog'!$F$61,IF(((D602+E602)*C602)&lt;='Assumptions and Catalog'!$C$62,((D602+E602)*C602)*'Assumptions and Catalog'!$H$62+'Assumptions and Catalog'!$E$62+'Assumptions and Catalog'!$F$62,IF(((D602+E602)*C602)&lt;='Assumptions and Catalog'!$C$63,((D602+E602)*C602)*'Assumptions and Catalog'!$H$63+'Assumptions and Catalog'!$E$63+'Assumptions and Catalog'!$F$63,IF(((D602+E602)*C602)&lt;='Assumptions and Catalog'!$C$64,((D602+E602)*C602)*'Assumptions and Catalog'!$H$64+'Assumptions and Catalog'!$E$64+'Assumptions and Catalog'!$F$64,IF(((D602+E602)*C602)&lt;='Assumptions and Catalog'!$C$65,((D602+E602)*C602)*'Assumptions and Catalog'!$H$65+'Assumptions and Catalog'!$E$65+'Assumptions and Catalog'!$F$65,"Out of range")))))))))*(1+'Assumptions and Catalog'!$C$8)^(A602-1),0)</f>
        <v>7094.794</v>
      </c>
      <c r="N602" s="5" t="n">
        <f>IF(ISNUMBER(Inputs!$L$5),(IF(Inputs!$L$9="Actual flat rate",L602*Inputs!$L$10,IF(Inputs!$C$9="Residential",IF(L602&lt;='Assumptions and Catalog'!$C$50,L602*'Assumptions and Catalog'!$H$50+'Assumptions and Catalog'!$E$50+'Assumptions and Catalog'!$F$50,IF(L602&lt;='Assumptions and Catalog'!$C$51,L602*'Assumptions and Catalog'!$H$51+'Assumptions and Catalog'!$E$51+'Assumptions and Catalog'!$F$51,IF(L602&lt;='Assumptions and Catalog'!$C$52,L602*'Assumptions and Catalog'!$H$52+'Assumptions and Catalog'!$E$52+'Assumptions and Catalog'!$F$52,IF(L602&lt;='Assumptions and Catalog'!$C$53,L602*'Assumptions and Catalog'!$H$53+'Assumptions and Catalog'!$E$53+'Assumptions and Catalog'!$F$53,IF(L602&lt;='Assumptions and Catalog'!$C$54,L602*'Assumptions and Catalog'!$H$54+'Assumptions and Catalog'!$E$54+'Assumptions and Catalog'!$F$54,IF(L602&lt;='Assumptions and Catalog'!$C$55,L602*'Assumptions and Catalog'!$H$55+'Assumptions and Catalog'!$E$55+'Assumptions and Catalog'!$F$55,IF(L602&lt;='Assumptions and Catalog'!$C$56,L602*'Assumptions and Catalog'!$H$56+'Assumptions and Catalog'!$E$56+'Assumptions and Catalog'!$F$56,IF(L602&lt;='Assumptions and Catalog'!$C$57,L602*'Assumptions and Catalog'!$H$57+'Assumptions and Catalog'!$E$57+'Assumptions and Catalog'!$F$57,"Out of range")))))))),IF(L602&lt;='Assumptions and Catalog'!$C$60,L602*'Assumptions and Catalog'!$H$60+'Assumptions and Catalog'!$E$60+'Assumptions and Catalog'!$F$60,IF(L602&lt;='Assumptions and Catalog'!$C$61,L602*'Assumptions and Catalog'!$H$61+'Assumptions and Catalog'!$E$61+'Assumptions and Catalog'!$F$61,IF(L602&lt;='Assumptions and Catalog'!$C$62,L602*'Assumptions and Catalog'!$H$62+'Assumptions and Catalog'!$E$62+'Assumptions and Catalog'!$F$62,IF(L602&lt;='Assumptions and Catalog'!$C$63,L602*'Assumptions and Catalog'!$H$63+'Assumptions and Catalog'!$E$63+'Assumptions and Catalog'!$F$63,IF(L602&lt;='Assumptions and Catalog'!$C$64,L602*'Assumptions and Catalog'!$H$64+'Assumptions and Catalog'!$E$64+'Assumptions and Catalog'!$F$64,IF(L602&lt;='Assumptions and Catalog'!$C$65,L602*'Assumptions and Catalog'!$H$65+'Assumptions and Catalog'!$E$65+'Assumptions and Catalog'!$F$65,"Out of range")))))))))*(1+'Assumptions and Catalog'!$C$8)^(A602-1),0)</f>
        <v>7094.794</v>
      </c>
      <c r="O602" s="5" t="n">
        <f>M602-N602</f>
        <v>0</v>
      </c>
      <c r="P602" s="5" t="n">
        <f>D$55*(1-K$14)*(1-'Assumptions and Catalog'!$C$23)^R602</f>
        <v>0</v>
      </c>
      <c r="Q602" s="5" t="n">
        <f>IF(ISNUMBER(Inputs!$L$5),(IF(Inputs!$L$9="Actual flat rate",((D602+E602)*C602-G602)*Inputs!$L$10,IF(Inputs!$C$9="Residential",IF(((D602+E602)*C602-G602)&lt;='Assumptions and Catalog'!$C$50,((D602+E602)*C602-G602)*'Assumptions and Catalog'!$H$50+'Assumptions and Catalog'!$E$50+'Assumptions and Catalog'!$F$50,IF(((D602+E602)*C602-G602)&lt;='Assumptions and Catalog'!$C$51,((D602+E602)*C602-G602)*'Assumptions and Catalog'!$H$51+'Assumptions and Catalog'!$E$51+'Assumptions and Catalog'!$F$51,IF(((D602+E602)*C602-G602)&lt;='Assumptions and Catalog'!$C$52,((D602+E602)*C602-G602)*'Assumptions and Catalog'!$H$52+'Assumptions and Catalog'!$E$52+'Assumptions and Catalog'!$F$52,IF(((D602+E602)*C602-G602)&lt;='Assumptions and Catalog'!$C$53,((D602+E602)*C602-G602)*'Assumptions and Catalog'!$H$53+'Assumptions and Catalog'!$E$53+'Assumptions and Catalog'!$F$53,IF(((D602+E602)*C602-G602)&lt;='Assumptions and Catalog'!$C$54,((D602+E602)*C602-G602)*'Assumptions and Catalog'!$H$54+'Assumptions and Catalog'!$E$54+'Assumptions and Catalog'!$F$54,IF(((D602+E602)*C602-G602)&lt;='Assumptions and Catalog'!$C$55,((D602+E602)*C602-G602)*'Assumptions and Catalog'!$H$55+'Assumptions and Catalog'!$E$55+'Assumptions and Catalog'!$F$55,IF(((D602+E602)*C602-G602)&lt;='Assumptions and Catalog'!$C$56,((D602+E602)*C602-G602)*'Assumptions and Catalog'!$H$56+'Assumptions and Catalog'!$E$56+'Assumptions and Catalog'!$F$56,IF(((D602+E602)*C602-G602)&lt;='Assumptions and Catalog'!$C$57,((D602+E602)*C602-G602)*'Assumptions and Catalog'!$H$57+'Assumptions and Catalog'!$E$57+'Assumptions and Catalog'!$F$57,"Out of range")))))))),IF(((D602+E602)*C602-G602)&lt;='Assumptions and Catalog'!$C$60,((D602+E602)*C602-G602)*'Assumptions and Catalog'!$H$60+'Assumptions and Catalog'!$E$60+'Assumptions and Catalog'!$F$60,IF(((D602+E602)*C602-G602)&lt;='Assumptions and Catalog'!$C$61,((D602+E602)*C602-G602)*'Assumptions and Catalog'!$H$61+'Assumptions and Catalog'!$E$61+'Assumptions and Catalog'!$F$61,IF(((D602+E602)*C602-G602)&lt;='Assumptions and Catalog'!$C$62,((D602+E602)*C602-G602)*'Assumptions and Catalog'!$H$62+'Assumptions and Catalog'!$E$62+'Assumptions and Catalog'!$F$62,IF(((D602+E602)*C602-G602)&lt;='Assumptions and Catalog'!$C$63,((D602+E602)*C602-G602)*'Assumptions and Catalog'!$H$63+'Assumptions and Catalog'!$E$63+'Assumptions and Catalog'!$F$63,IF(((D602+E602)*C602-G602)&lt;='Assumptions and Catalog'!$C$64,((D602+E602)*C602-G602)*'Assumptions and Catalog'!$H$64+'Assumptions and Catalog'!$E$64+'Assumptions and Catalog'!$F$64,IF(((D602+E602)*C602-G602)&lt;='Assumptions and Catalog'!$C$65,((D602+E602)*C602-G602)*'Assumptions and Catalog'!$H$65+'Assumptions and Catalog'!$E$65+'Assumptions and Catalog'!$F$65,"Out of range")))))))))*(1+'Assumptions and Catalog'!$C$8)^(A602-1),0)</f>
        <v>7094.794</v>
      </c>
      <c r="R602" s="5" t="n">
        <f>IF(AND('Assumptions and Catalog'!$C$19&gt;0,A602&gt;='Assumptions and Catalog'!$C$19),A602-'Assumptions and Catalog'!$C$19,A602-1)</f>
        <v>5</v>
      </c>
      <c r="S602" s="5" t="n">
        <f>F602+L602-(D602+E602)*C602-J602-K602-IF(D$52&gt;0,'Assumptions and Catalog'!$C$26*C602,0)</f>
        <v>0</v>
      </c>
      <c r="T602" s="5"/>
      <c r="U602" s="5"/>
    </row>
    <row r="603" ht="23.100000381469727" customHeight="1">
      <c r="A603" s="5" t="n">
        <v>17</v>
      </c>
      <c r="B603" s="5" t="n">
        <v>1</v>
      </c>
      <c r="C603" s="5" t="n">
        <f>DAY(DATE('Assumptions and Catalog'!$C$24+A603-1,B603+1,0))</f>
        <v>31</v>
      </c>
      <c r="D603" s="5" t="n">
        <f>IF(ISNUMBER(Inputs!$L$5),Inputs!$L$5*Inputs!$L$6,0)</f>
        <v>40.35</v>
      </c>
      <c r="E603" s="5" t="n">
        <f>IF(ISNUMBER(Inputs!$L$5),Inputs!$L$5-D603,0)</f>
        <v>40.35</v>
      </c>
      <c r="F603" s="5" t="n">
        <f>D$51*'Assumptions and Catalog'!$C$31*C603*(1-'Assumptions and Catalog'!$C$10)^(A603-1)</f>
        <v>0</v>
      </c>
      <c r="G603" s="5" t="n">
        <f>MIN(F603,D603*C603)</f>
        <v>0</v>
      </c>
      <c r="H603" s="5" t="n">
        <f>I603/('Assumptions and Catalog'!$C$11*'Assumptions and Catalog'!$C$12)</f>
        <v>0</v>
      </c>
      <c r="I603" s="5" t="n">
        <f>IF(K$15="Grid cycle",MIN(K$16,D603+E603,P603*'Assumptions and Catalog'!$C$12,D$57*(24-'Assumptions and Catalog'!$C$15),D$56*'Assumptions and Catalog'!$C$15*'Assumptions and Catalog'!$C$11*'Assumptions and Catalog'!$C$12)*C603,0)</f>
        <v>0</v>
      </c>
      <c r="J603" s="5" t="n">
        <f>MAX(F603-G603-0,0)</f>
        <v>0</v>
      </c>
      <c r="K603" s="5" t="n">
        <f>H603-I603</f>
        <v>0</v>
      </c>
      <c r="L603" s="5" t="n">
        <f>(D603+E603)*C603-G603-I603+H603+IF(D$52&gt;0,'Assumptions and Catalog'!$C$26*C603,0)</f>
        <v>2501.7</v>
      </c>
      <c r="M603" s="5" t="n">
        <f>IF(ISNUMBER(Inputs!$L$5),(IF(Inputs!$L$9="Actual flat rate",((D603+E603)*C603)*Inputs!$L$10,IF(Inputs!$C$9="Residential",IF(((D603+E603)*C603)&lt;='Assumptions and Catalog'!$C$50,((D603+E603)*C603)*'Assumptions and Catalog'!$H$50+'Assumptions and Catalog'!$E$50+'Assumptions and Catalog'!$F$50,IF(((D603+E603)*C603)&lt;='Assumptions and Catalog'!$C$51,((D603+E603)*C603)*'Assumptions and Catalog'!$H$51+'Assumptions and Catalog'!$E$51+'Assumptions and Catalog'!$F$51,IF(((D603+E603)*C603)&lt;='Assumptions and Catalog'!$C$52,((D603+E603)*C603)*'Assumptions and Catalog'!$H$52+'Assumptions and Catalog'!$E$52+'Assumptions and Catalog'!$F$52,IF(((D603+E603)*C603)&lt;='Assumptions and Catalog'!$C$53,((D603+E603)*C603)*'Assumptions and Catalog'!$H$53+'Assumptions and Catalog'!$E$53+'Assumptions and Catalog'!$F$53,IF(((D603+E603)*C603)&lt;='Assumptions and Catalog'!$C$54,((D603+E603)*C603)*'Assumptions and Catalog'!$H$54+'Assumptions and Catalog'!$E$54+'Assumptions and Catalog'!$F$54,IF(((D603+E603)*C603)&lt;='Assumptions and Catalog'!$C$55,((D603+E603)*C603)*'Assumptions and Catalog'!$H$55+'Assumptions and Catalog'!$E$55+'Assumptions and Catalog'!$F$55,IF(((D603+E603)*C603)&lt;='Assumptions and Catalog'!$C$56,((D603+E603)*C603)*'Assumptions and Catalog'!$H$56+'Assumptions and Catalog'!$E$56+'Assumptions and Catalog'!$F$56,IF(((D603+E603)*C603)&lt;='Assumptions and Catalog'!$C$57,((D603+E603)*C603)*'Assumptions and Catalog'!$H$57+'Assumptions and Catalog'!$E$57+'Assumptions and Catalog'!$F$57,"Out of range")))))))),IF(((D603+E603)*C603)&lt;='Assumptions and Catalog'!$C$60,((D603+E603)*C603)*'Assumptions and Catalog'!$H$60+'Assumptions and Catalog'!$E$60+'Assumptions and Catalog'!$F$60,IF(((D603+E603)*C603)&lt;='Assumptions and Catalog'!$C$61,((D603+E603)*C603)*'Assumptions and Catalog'!$H$61+'Assumptions and Catalog'!$E$61+'Assumptions and Catalog'!$F$61,IF(((D603+E603)*C603)&lt;='Assumptions and Catalog'!$C$62,((D603+E603)*C603)*'Assumptions and Catalog'!$H$62+'Assumptions and Catalog'!$E$62+'Assumptions and Catalog'!$F$62,IF(((D603+E603)*C603)&lt;='Assumptions and Catalog'!$C$63,((D603+E603)*C603)*'Assumptions and Catalog'!$H$63+'Assumptions and Catalog'!$E$63+'Assumptions and Catalog'!$F$63,IF(((D603+E603)*C603)&lt;='Assumptions and Catalog'!$C$64,((D603+E603)*C603)*'Assumptions and Catalog'!$H$64+'Assumptions and Catalog'!$E$64+'Assumptions and Catalog'!$F$64,IF(((D603+E603)*C603)&lt;='Assumptions and Catalog'!$C$65,((D603+E603)*C603)*'Assumptions and Catalog'!$H$65+'Assumptions and Catalog'!$E$65+'Assumptions and Catalog'!$F$65,"Out of range")))))))))*(1+'Assumptions and Catalog'!$C$8)^(A603-1),0)</f>
        <v>7094.794</v>
      </c>
      <c r="N603" s="5" t="n">
        <f>IF(ISNUMBER(Inputs!$L$5),(IF(Inputs!$L$9="Actual flat rate",L603*Inputs!$L$10,IF(Inputs!$C$9="Residential",IF(L603&lt;='Assumptions and Catalog'!$C$50,L603*'Assumptions and Catalog'!$H$50+'Assumptions and Catalog'!$E$50+'Assumptions and Catalog'!$F$50,IF(L603&lt;='Assumptions and Catalog'!$C$51,L603*'Assumptions and Catalog'!$H$51+'Assumptions and Catalog'!$E$51+'Assumptions and Catalog'!$F$51,IF(L603&lt;='Assumptions and Catalog'!$C$52,L603*'Assumptions and Catalog'!$H$52+'Assumptions and Catalog'!$E$52+'Assumptions and Catalog'!$F$52,IF(L603&lt;='Assumptions and Catalog'!$C$53,L603*'Assumptions and Catalog'!$H$53+'Assumptions and Catalog'!$E$53+'Assumptions and Catalog'!$F$53,IF(L603&lt;='Assumptions and Catalog'!$C$54,L603*'Assumptions and Catalog'!$H$54+'Assumptions and Catalog'!$E$54+'Assumptions and Catalog'!$F$54,IF(L603&lt;='Assumptions and Catalog'!$C$55,L603*'Assumptions and Catalog'!$H$55+'Assumptions and Catalog'!$E$55+'Assumptions and Catalog'!$F$55,IF(L603&lt;='Assumptions and Catalog'!$C$56,L603*'Assumptions and Catalog'!$H$56+'Assumptions and Catalog'!$E$56+'Assumptions and Catalog'!$F$56,IF(L603&lt;='Assumptions and Catalog'!$C$57,L603*'Assumptions and Catalog'!$H$57+'Assumptions and Catalog'!$E$57+'Assumptions and Catalog'!$F$57,"Out of range")))))))),IF(L603&lt;='Assumptions and Catalog'!$C$60,L603*'Assumptions and Catalog'!$H$60+'Assumptions and Catalog'!$E$60+'Assumptions and Catalog'!$F$60,IF(L603&lt;='Assumptions and Catalog'!$C$61,L603*'Assumptions and Catalog'!$H$61+'Assumptions and Catalog'!$E$61+'Assumptions and Catalog'!$F$61,IF(L603&lt;='Assumptions and Catalog'!$C$62,L603*'Assumptions and Catalog'!$H$62+'Assumptions and Catalog'!$E$62+'Assumptions and Catalog'!$F$62,IF(L603&lt;='Assumptions and Catalog'!$C$63,L603*'Assumptions and Catalog'!$H$63+'Assumptions and Catalog'!$E$63+'Assumptions and Catalog'!$F$63,IF(L603&lt;='Assumptions and Catalog'!$C$64,L603*'Assumptions and Catalog'!$H$64+'Assumptions and Catalog'!$E$64+'Assumptions and Catalog'!$F$64,IF(L603&lt;='Assumptions and Catalog'!$C$65,L603*'Assumptions and Catalog'!$H$65+'Assumptions and Catalog'!$E$65+'Assumptions and Catalog'!$F$65,"Out of range")))))))))*(1+'Assumptions and Catalog'!$C$8)^(A603-1),0)</f>
        <v>7094.794</v>
      </c>
      <c r="O603" s="5" t="n">
        <f>M603-N603</f>
        <v>0</v>
      </c>
      <c r="P603" s="5" t="n">
        <f>D$55*(1-K$14)*(1-'Assumptions and Catalog'!$C$23)^R603</f>
        <v>0</v>
      </c>
      <c r="Q603" s="5" t="n">
        <f>IF(ISNUMBER(Inputs!$L$5),(IF(Inputs!$L$9="Actual flat rate",((D603+E603)*C603-G603)*Inputs!$L$10,IF(Inputs!$C$9="Residential",IF(((D603+E603)*C603-G603)&lt;='Assumptions and Catalog'!$C$50,((D603+E603)*C603-G603)*'Assumptions and Catalog'!$H$50+'Assumptions and Catalog'!$E$50+'Assumptions and Catalog'!$F$50,IF(((D603+E603)*C603-G603)&lt;='Assumptions and Catalog'!$C$51,((D603+E603)*C603-G603)*'Assumptions and Catalog'!$H$51+'Assumptions and Catalog'!$E$51+'Assumptions and Catalog'!$F$51,IF(((D603+E603)*C603-G603)&lt;='Assumptions and Catalog'!$C$52,((D603+E603)*C603-G603)*'Assumptions and Catalog'!$H$52+'Assumptions and Catalog'!$E$52+'Assumptions and Catalog'!$F$52,IF(((D603+E603)*C603-G603)&lt;='Assumptions and Catalog'!$C$53,((D603+E603)*C603-G603)*'Assumptions and Catalog'!$H$53+'Assumptions and Catalog'!$E$53+'Assumptions and Catalog'!$F$53,IF(((D603+E603)*C603-G603)&lt;='Assumptions and Catalog'!$C$54,((D603+E603)*C603-G603)*'Assumptions and Catalog'!$H$54+'Assumptions and Catalog'!$E$54+'Assumptions and Catalog'!$F$54,IF(((D603+E603)*C603-G603)&lt;='Assumptions and Catalog'!$C$55,((D603+E603)*C603-G603)*'Assumptions and Catalog'!$H$55+'Assumptions and Catalog'!$E$55+'Assumptions and Catalog'!$F$55,IF(((D603+E603)*C603-G603)&lt;='Assumptions and Catalog'!$C$56,((D603+E603)*C603-G603)*'Assumptions and Catalog'!$H$56+'Assumptions and Catalog'!$E$56+'Assumptions and Catalog'!$F$56,IF(((D603+E603)*C603-G603)&lt;='Assumptions and Catalog'!$C$57,((D603+E603)*C603-G603)*'Assumptions and Catalog'!$H$57+'Assumptions and Catalog'!$E$57+'Assumptions and Catalog'!$F$57,"Out of range")))))))),IF(((D603+E603)*C603-G603)&lt;='Assumptions and Catalog'!$C$60,((D603+E603)*C603-G603)*'Assumptions and Catalog'!$H$60+'Assumptions and Catalog'!$E$60+'Assumptions and Catalog'!$F$60,IF(((D603+E603)*C603-G603)&lt;='Assumptions and Catalog'!$C$61,((D603+E603)*C603-G603)*'Assumptions and Catalog'!$H$61+'Assumptions and Catalog'!$E$61+'Assumptions and Catalog'!$F$61,IF(((D603+E603)*C603-G603)&lt;='Assumptions and Catalog'!$C$62,((D603+E603)*C603-G603)*'Assumptions and Catalog'!$H$62+'Assumptions and Catalog'!$E$62+'Assumptions and Catalog'!$F$62,IF(((D603+E603)*C603-G603)&lt;='Assumptions and Catalog'!$C$63,((D603+E603)*C603-G603)*'Assumptions and Catalog'!$H$63+'Assumptions and Catalog'!$E$63+'Assumptions and Catalog'!$F$63,IF(((D603+E603)*C603-G603)&lt;='Assumptions and Catalog'!$C$64,((D603+E603)*C603-G603)*'Assumptions and Catalog'!$H$64+'Assumptions and Catalog'!$E$64+'Assumptions and Catalog'!$F$64,IF(((D603+E603)*C603-G603)&lt;='Assumptions and Catalog'!$C$65,((D603+E603)*C603-G603)*'Assumptions and Catalog'!$H$65+'Assumptions and Catalog'!$E$65+'Assumptions and Catalog'!$F$65,"Out of range")))))))))*(1+'Assumptions and Catalog'!$C$8)^(A603-1),0)</f>
        <v>7094.794</v>
      </c>
      <c r="R603" s="5" t="n">
        <f>IF(AND('Assumptions and Catalog'!$C$19&gt;0,A603&gt;='Assumptions and Catalog'!$C$19),A603-'Assumptions and Catalog'!$C$19,A603-1)</f>
        <v>6</v>
      </c>
      <c r="S603" s="5" t="n">
        <f>F603+L603-(D603+E603)*C603-J603-K603-IF(D$52&gt;0,'Assumptions and Catalog'!$C$26*C603,0)</f>
        <v>0</v>
      </c>
      <c r="T603" s="5"/>
      <c r="U603" s="5"/>
    </row>
    <row r="604" ht="23.100000381469727" customHeight="1">
      <c r="A604" s="5" t="n">
        <v>17</v>
      </c>
      <c r="B604" s="5" t="n">
        <v>2</v>
      </c>
      <c r="C604" s="5" t="n">
        <f>DAY(DATE('Assumptions and Catalog'!$C$24+A604-1,B604+1,0))</f>
        <v>28</v>
      </c>
      <c r="D604" s="5" t="n">
        <f>IF(ISNUMBER(Inputs!$L$5),Inputs!$L$5*Inputs!$L$6,0)</f>
        <v>40.35</v>
      </c>
      <c r="E604" s="5" t="n">
        <f>IF(ISNUMBER(Inputs!$L$5),Inputs!$L$5-D604,0)</f>
        <v>40.35</v>
      </c>
      <c r="F604" s="5" t="n">
        <f>D$51*'Assumptions and Catalog'!$C$31*C604*(1-'Assumptions and Catalog'!$C$10)^(A604-1)</f>
        <v>0</v>
      </c>
      <c r="G604" s="5" t="n">
        <f>MIN(F604,D604*C604)</f>
        <v>0</v>
      </c>
      <c r="H604" s="5" t="n">
        <f>I604/('Assumptions and Catalog'!$C$11*'Assumptions and Catalog'!$C$12)</f>
        <v>0</v>
      </c>
      <c r="I604" s="5" t="n">
        <f>IF(K$15="Grid cycle",MIN(K$16,D604+E604,P604*'Assumptions and Catalog'!$C$12,D$57*(24-'Assumptions and Catalog'!$C$15),D$56*'Assumptions and Catalog'!$C$15*'Assumptions and Catalog'!$C$11*'Assumptions and Catalog'!$C$12)*C604,0)</f>
        <v>0</v>
      </c>
      <c r="J604" s="5" t="n">
        <f>MAX(F604-G604-0,0)</f>
        <v>0</v>
      </c>
      <c r="K604" s="5" t="n">
        <f>H604-I604</f>
        <v>0</v>
      </c>
      <c r="L604" s="5" t="n">
        <f>(D604+E604)*C604-G604-I604+H604+IF(D$52&gt;0,'Assumptions and Catalog'!$C$26*C604,0)</f>
        <v>2259.6</v>
      </c>
      <c r="M604" s="5" t="n">
        <f>IF(ISNUMBER(Inputs!$L$5),(IF(Inputs!$L$9="Actual flat rate",((D604+E604)*C604)*Inputs!$L$10,IF(Inputs!$C$9="Residential",IF(((D604+E604)*C604)&lt;='Assumptions and Catalog'!$C$50,((D604+E604)*C604)*'Assumptions and Catalog'!$H$50+'Assumptions and Catalog'!$E$50+'Assumptions and Catalog'!$F$50,IF(((D604+E604)*C604)&lt;='Assumptions and Catalog'!$C$51,((D604+E604)*C604)*'Assumptions and Catalog'!$H$51+'Assumptions and Catalog'!$E$51+'Assumptions and Catalog'!$F$51,IF(((D604+E604)*C604)&lt;='Assumptions and Catalog'!$C$52,((D604+E604)*C604)*'Assumptions and Catalog'!$H$52+'Assumptions and Catalog'!$E$52+'Assumptions and Catalog'!$F$52,IF(((D604+E604)*C604)&lt;='Assumptions and Catalog'!$C$53,((D604+E604)*C604)*'Assumptions and Catalog'!$H$53+'Assumptions and Catalog'!$E$53+'Assumptions and Catalog'!$F$53,IF(((D604+E604)*C604)&lt;='Assumptions and Catalog'!$C$54,((D604+E604)*C604)*'Assumptions and Catalog'!$H$54+'Assumptions and Catalog'!$E$54+'Assumptions and Catalog'!$F$54,IF(((D604+E604)*C604)&lt;='Assumptions and Catalog'!$C$55,((D604+E604)*C604)*'Assumptions and Catalog'!$H$55+'Assumptions and Catalog'!$E$55+'Assumptions and Catalog'!$F$55,IF(((D604+E604)*C604)&lt;='Assumptions and Catalog'!$C$56,((D604+E604)*C604)*'Assumptions and Catalog'!$H$56+'Assumptions and Catalog'!$E$56+'Assumptions and Catalog'!$F$56,IF(((D604+E604)*C604)&lt;='Assumptions and Catalog'!$C$57,((D604+E604)*C604)*'Assumptions and Catalog'!$H$57+'Assumptions and Catalog'!$E$57+'Assumptions and Catalog'!$F$57,"Out of range")))))))),IF(((D604+E604)*C604)&lt;='Assumptions and Catalog'!$C$60,((D604+E604)*C604)*'Assumptions and Catalog'!$H$60+'Assumptions and Catalog'!$E$60+'Assumptions and Catalog'!$F$60,IF(((D604+E604)*C604)&lt;='Assumptions and Catalog'!$C$61,((D604+E604)*C604)*'Assumptions and Catalog'!$H$61+'Assumptions and Catalog'!$E$61+'Assumptions and Catalog'!$F$61,IF(((D604+E604)*C604)&lt;='Assumptions and Catalog'!$C$62,((D604+E604)*C604)*'Assumptions and Catalog'!$H$62+'Assumptions and Catalog'!$E$62+'Assumptions and Catalog'!$F$62,IF(((D604+E604)*C604)&lt;='Assumptions and Catalog'!$C$63,((D604+E604)*C604)*'Assumptions and Catalog'!$H$63+'Assumptions and Catalog'!$E$63+'Assumptions and Catalog'!$F$63,IF(((D604+E604)*C604)&lt;='Assumptions and Catalog'!$C$64,((D604+E604)*C604)*'Assumptions and Catalog'!$H$64+'Assumptions and Catalog'!$E$64+'Assumptions and Catalog'!$F$64,IF(((D604+E604)*C604)&lt;='Assumptions and Catalog'!$C$65,((D604+E604)*C604)*'Assumptions and Catalog'!$H$65+'Assumptions and Catalog'!$E$65+'Assumptions and Catalog'!$F$65,"Out of range")))))))))*(1+'Assumptions and Catalog'!$C$8)^(A604-1),0)</f>
        <v>6412.072</v>
      </c>
      <c r="N604" s="5" t="n">
        <f>IF(ISNUMBER(Inputs!$L$5),(IF(Inputs!$L$9="Actual flat rate",L604*Inputs!$L$10,IF(Inputs!$C$9="Residential",IF(L604&lt;='Assumptions and Catalog'!$C$50,L604*'Assumptions and Catalog'!$H$50+'Assumptions and Catalog'!$E$50+'Assumptions and Catalog'!$F$50,IF(L604&lt;='Assumptions and Catalog'!$C$51,L604*'Assumptions and Catalog'!$H$51+'Assumptions and Catalog'!$E$51+'Assumptions and Catalog'!$F$51,IF(L604&lt;='Assumptions and Catalog'!$C$52,L604*'Assumptions and Catalog'!$H$52+'Assumptions and Catalog'!$E$52+'Assumptions and Catalog'!$F$52,IF(L604&lt;='Assumptions and Catalog'!$C$53,L604*'Assumptions and Catalog'!$H$53+'Assumptions and Catalog'!$E$53+'Assumptions and Catalog'!$F$53,IF(L604&lt;='Assumptions and Catalog'!$C$54,L604*'Assumptions and Catalog'!$H$54+'Assumptions and Catalog'!$E$54+'Assumptions and Catalog'!$F$54,IF(L604&lt;='Assumptions and Catalog'!$C$55,L604*'Assumptions and Catalog'!$H$55+'Assumptions and Catalog'!$E$55+'Assumptions and Catalog'!$F$55,IF(L604&lt;='Assumptions and Catalog'!$C$56,L604*'Assumptions and Catalog'!$H$56+'Assumptions and Catalog'!$E$56+'Assumptions and Catalog'!$F$56,IF(L604&lt;='Assumptions and Catalog'!$C$57,L604*'Assumptions and Catalog'!$H$57+'Assumptions and Catalog'!$E$57+'Assumptions and Catalog'!$F$57,"Out of range")))))))),IF(L604&lt;='Assumptions and Catalog'!$C$60,L604*'Assumptions and Catalog'!$H$60+'Assumptions and Catalog'!$E$60+'Assumptions and Catalog'!$F$60,IF(L604&lt;='Assumptions and Catalog'!$C$61,L604*'Assumptions and Catalog'!$H$61+'Assumptions and Catalog'!$E$61+'Assumptions and Catalog'!$F$61,IF(L604&lt;='Assumptions and Catalog'!$C$62,L604*'Assumptions and Catalog'!$H$62+'Assumptions and Catalog'!$E$62+'Assumptions and Catalog'!$F$62,IF(L604&lt;='Assumptions and Catalog'!$C$63,L604*'Assumptions and Catalog'!$H$63+'Assumptions and Catalog'!$E$63+'Assumptions and Catalog'!$F$63,IF(L604&lt;='Assumptions and Catalog'!$C$64,L604*'Assumptions and Catalog'!$H$64+'Assumptions and Catalog'!$E$64+'Assumptions and Catalog'!$F$64,IF(L604&lt;='Assumptions and Catalog'!$C$65,L604*'Assumptions and Catalog'!$H$65+'Assumptions and Catalog'!$E$65+'Assumptions and Catalog'!$F$65,"Out of range")))))))))*(1+'Assumptions and Catalog'!$C$8)^(A604-1),0)</f>
        <v>6412.072</v>
      </c>
      <c r="O604" s="5" t="n">
        <f>M604-N604</f>
        <v>0</v>
      </c>
      <c r="P604" s="5" t="n">
        <f>D$55*(1-K$14)*(1-'Assumptions and Catalog'!$C$23)^R604</f>
        <v>0</v>
      </c>
      <c r="Q604" s="5" t="n">
        <f>IF(ISNUMBER(Inputs!$L$5),(IF(Inputs!$L$9="Actual flat rate",((D604+E604)*C604-G604)*Inputs!$L$10,IF(Inputs!$C$9="Residential",IF(((D604+E604)*C604-G604)&lt;='Assumptions and Catalog'!$C$50,((D604+E604)*C604-G604)*'Assumptions and Catalog'!$H$50+'Assumptions and Catalog'!$E$50+'Assumptions and Catalog'!$F$50,IF(((D604+E604)*C604-G604)&lt;='Assumptions and Catalog'!$C$51,((D604+E604)*C604-G604)*'Assumptions and Catalog'!$H$51+'Assumptions and Catalog'!$E$51+'Assumptions and Catalog'!$F$51,IF(((D604+E604)*C604-G604)&lt;='Assumptions and Catalog'!$C$52,((D604+E604)*C604-G604)*'Assumptions and Catalog'!$H$52+'Assumptions and Catalog'!$E$52+'Assumptions and Catalog'!$F$52,IF(((D604+E604)*C604-G604)&lt;='Assumptions and Catalog'!$C$53,((D604+E604)*C604-G604)*'Assumptions and Catalog'!$H$53+'Assumptions and Catalog'!$E$53+'Assumptions and Catalog'!$F$53,IF(((D604+E604)*C604-G604)&lt;='Assumptions and Catalog'!$C$54,((D604+E604)*C604-G604)*'Assumptions and Catalog'!$H$54+'Assumptions and Catalog'!$E$54+'Assumptions and Catalog'!$F$54,IF(((D604+E604)*C604-G604)&lt;='Assumptions and Catalog'!$C$55,((D604+E604)*C604-G604)*'Assumptions and Catalog'!$H$55+'Assumptions and Catalog'!$E$55+'Assumptions and Catalog'!$F$55,IF(((D604+E604)*C604-G604)&lt;='Assumptions and Catalog'!$C$56,((D604+E604)*C604-G604)*'Assumptions and Catalog'!$H$56+'Assumptions and Catalog'!$E$56+'Assumptions and Catalog'!$F$56,IF(((D604+E604)*C604-G604)&lt;='Assumptions and Catalog'!$C$57,((D604+E604)*C604-G604)*'Assumptions and Catalog'!$H$57+'Assumptions and Catalog'!$E$57+'Assumptions and Catalog'!$F$57,"Out of range")))))))),IF(((D604+E604)*C604-G604)&lt;='Assumptions and Catalog'!$C$60,((D604+E604)*C604-G604)*'Assumptions and Catalog'!$H$60+'Assumptions and Catalog'!$E$60+'Assumptions and Catalog'!$F$60,IF(((D604+E604)*C604-G604)&lt;='Assumptions and Catalog'!$C$61,((D604+E604)*C604-G604)*'Assumptions and Catalog'!$H$61+'Assumptions and Catalog'!$E$61+'Assumptions and Catalog'!$F$61,IF(((D604+E604)*C604-G604)&lt;='Assumptions and Catalog'!$C$62,((D604+E604)*C604-G604)*'Assumptions and Catalog'!$H$62+'Assumptions and Catalog'!$E$62+'Assumptions and Catalog'!$F$62,IF(((D604+E604)*C604-G604)&lt;='Assumptions and Catalog'!$C$63,((D604+E604)*C604-G604)*'Assumptions and Catalog'!$H$63+'Assumptions and Catalog'!$E$63+'Assumptions and Catalog'!$F$63,IF(((D604+E604)*C604-G604)&lt;='Assumptions and Catalog'!$C$64,((D604+E604)*C604-G604)*'Assumptions and Catalog'!$H$64+'Assumptions and Catalog'!$E$64+'Assumptions and Catalog'!$F$64,IF(((D604+E604)*C604-G604)&lt;='Assumptions and Catalog'!$C$65,((D604+E604)*C604-G604)*'Assumptions and Catalog'!$H$65+'Assumptions and Catalog'!$E$65+'Assumptions and Catalog'!$F$65,"Out of range")))))))))*(1+'Assumptions and Catalog'!$C$8)^(A604-1),0)</f>
        <v>6412.072</v>
      </c>
      <c r="R604" s="5" t="n">
        <f>IF(AND('Assumptions and Catalog'!$C$19&gt;0,A604&gt;='Assumptions and Catalog'!$C$19),A604-'Assumptions and Catalog'!$C$19,A604-1)</f>
        <v>6</v>
      </c>
      <c r="S604" s="5" t="n">
        <f>F604+L604-(D604+E604)*C604-J604-K604-IF(D$52&gt;0,'Assumptions and Catalog'!$C$26*C604,0)</f>
        <v>0</v>
      </c>
      <c r="T604" s="5"/>
      <c r="U604" s="5"/>
    </row>
    <row r="605" ht="23.100000381469727" customHeight="1">
      <c r="A605" s="5" t="n">
        <v>17</v>
      </c>
      <c r="B605" s="5" t="n">
        <v>3</v>
      </c>
      <c r="C605" s="5" t="n">
        <f>DAY(DATE('Assumptions and Catalog'!$C$24+A605-1,B605+1,0))</f>
        <v>31</v>
      </c>
      <c r="D605" s="5" t="n">
        <f>IF(ISNUMBER(Inputs!$L$5),Inputs!$L$5*Inputs!$L$6,0)</f>
        <v>40.35</v>
      </c>
      <c r="E605" s="5" t="n">
        <f>IF(ISNUMBER(Inputs!$L$5),Inputs!$L$5-D605,0)</f>
        <v>40.35</v>
      </c>
      <c r="F605" s="5" t="n">
        <f>D$51*'Assumptions and Catalog'!$C$31*C605*(1-'Assumptions and Catalog'!$C$10)^(A605-1)</f>
        <v>0</v>
      </c>
      <c r="G605" s="5" t="n">
        <f>MIN(F605,D605*C605)</f>
        <v>0</v>
      </c>
      <c r="H605" s="5" t="n">
        <f>I605/('Assumptions and Catalog'!$C$11*'Assumptions and Catalog'!$C$12)</f>
        <v>0</v>
      </c>
      <c r="I605" s="5" t="n">
        <f>IF(K$15="Grid cycle",MIN(K$16,D605+E605,P605*'Assumptions and Catalog'!$C$12,D$57*(24-'Assumptions and Catalog'!$C$15),D$56*'Assumptions and Catalog'!$C$15*'Assumptions and Catalog'!$C$11*'Assumptions and Catalog'!$C$12)*C605,0)</f>
        <v>0</v>
      </c>
      <c r="J605" s="5" t="n">
        <f>MAX(F605-G605-0,0)</f>
        <v>0</v>
      </c>
      <c r="K605" s="5" t="n">
        <f>H605-I605</f>
        <v>0</v>
      </c>
      <c r="L605" s="5" t="n">
        <f>(D605+E605)*C605-G605-I605+H605+IF(D$52&gt;0,'Assumptions and Catalog'!$C$26*C605,0)</f>
        <v>2501.7</v>
      </c>
      <c r="M605" s="5" t="n">
        <f>IF(ISNUMBER(Inputs!$L$5),(IF(Inputs!$L$9="Actual flat rate",((D605+E605)*C605)*Inputs!$L$10,IF(Inputs!$C$9="Residential",IF(((D605+E605)*C605)&lt;='Assumptions and Catalog'!$C$50,((D605+E605)*C605)*'Assumptions and Catalog'!$H$50+'Assumptions and Catalog'!$E$50+'Assumptions and Catalog'!$F$50,IF(((D605+E605)*C605)&lt;='Assumptions and Catalog'!$C$51,((D605+E605)*C605)*'Assumptions and Catalog'!$H$51+'Assumptions and Catalog'!$E$51+'Assumptions and Catalog'!$F$51,IF(((D605+E605)*C605)&lt;='Assumptions and Catalog'!$C$52,((D605+E605)*C605)*'Assumptions and Catalog'!$H$52+'Assumptions and Catalog'!$E$52+'Assumptions and Catalog'!$F$52,IF(((D605+E605)*C605)&lt;='Assumptions and Catalog'!$C$53,((D605+E605)*C605)*'Assumptions and Catalog'!$H$53+'Assumptions and Catalog'!$E$53+'Assumptions and Catalog'!$F$53,IF(((D605+E605)*C605)&lt;='Assumptions and Catalog'!$C$54,((D605+E605)*C605)*'Assumptions and Catalog'!$H$54+'Assumptions and Catalog'!$E$54+'Assumptions and Catalog'!$F$54,IF(((D605+E605)*C605)&lt;='Assumptions and Catalog'!$C$55,((D605+E605)*C605)*'Assumptions and Catalog'!$H$55+'Assumptions and Catalog'!$E$55+'Assumptions and Catalog'!$F$55,IF(((D605+E605)*C605)&lt;='Assumptions and Catalog'!$C$56,((D605+E605)*C605)*'Assumptions and Catalog'!$H$56+'Assumptions and Catalog'!$E$56+'Assumptions and Catalog'!$F$56,IF(((D605+E605)*C605)&lt;='Assumptions and Catalog'!$C$57,((D605+E605)*C605)*'Assumptions and Catalog'!$H$57+'Assumptions and Catalog'!$E$57+'Assumptions and Catalog'!$F$57,"Out of range")))))))),IF(((D605+E605)*C605)&lt;='Assumptions and Catalog'!$C$60,((D605+E605)*C605)*'Assumptions and Catalog'!$H$60+'Assumptions and Catalog'!$E$60+'Assumptions and Catalog'!$F$60,IF(((D605+E605)*C605)&lt;='Assumptions and Catalog'!$C$61,((D605+E605)*C605)*'Assumptions and Catalog'!$H$61+'Assumptions and Catalog'!$E$61+'Assumptions and Catalog'!$F$61,IF(((D605+E605)*C605)&lt;='Assumptions and Catalog'!$C$62,((D605+E605)*C605)*'Assumptions and Catalog'!$H$62+'Assumptions and Catalog'!$E$62+'Assumptions and Catalog'!$F$62,IF(((D605+E605)*C605)&lt;='Assumptions and Catalog'!$C$63,((D605+E605)*C605)*'Assumptions and Catalog'!$H$63+'Assumptions and Catalog'!$E$63+'Assumptions and Catalog'!$F$63,IF(((D605+E605)*C605)&lt;='Assumptions and Catalog'!$C$64,((D605+E605)*C605)*'Assumptions and Catalog'!$H$64+'Assumptions and Catalog'!$E$64+'Assumptions and Catalog'!$F$64,IF(((D605+E605)*C605)&lt;='Assumptions and Catalog'!$C$65,((D605+E605)*C605)*'Assumptions and Catalog'!$H$65+'Assumptions and Catalog'!$E$65+'Assumptions and Catalog'!$F$65,"Out of range")))))))))*(1+'Assumptions and Catalog'!$C$8)^(A605-1),0)</f>
        <v>7094.794</v>
      </c>
      <c r="N605" s="5" t="n">
        <f>IF(ISNUMBER(Inputs!$L$5),(IF(Inputs!$L$9="Actual flat rate",L605*Inputs!$L$10,IF(Inputs!$C$9="Residential",IF(L605&lt;='Assumptions and Catalog'!$C$50,L605*'Assumptions and Catalog'!$H$50+'Assumptions and Catalog'!$E$50+'Assumptions and Catalog'!$F$50,IF(L605&lt;='Assumptions and Catalog'!$C$51,L605*'Assumptions and Catalog'!$H$51+'Assumptions and Catalog'!$E$51+'Assumptions and Catalog'!$F$51,IF(L605&lt;='Assumptions and Catalog'!$C$52,L605*'Assumptions and Catalog'!$H$52+'Assumptions and Catalog'!$E$52+'Assumptions and Catalog'!$F$52,IF(L605&lt;='Assumptions and Catalog'!$C$53,L605*'Assumptions and Catalog'!$H$53+'Assumptions and Catalog'!$E$53+'Assumptions and Catalog'!$F$53,IF(L605&lt;='Assumptions and Catalog'!$C$54,L605*'Assumptions and Catalog'!$H$54+'Assumptions and Catalog'!$E$54+'Assumptions and Catalog'!$F$54,IF(L605&lt;='Assumptions and Catalog'!$C$55,L605*'Assumptions and Catalog'!$H$55+'Assumptions and Catalog'!$E$55+'Assumptions and Catalog'!$F$55,IF(L605&lt;='Assumptions and Catalog'!$C$56,L605*'Assumptions and Catalog'!$H$56+'Assumptions and Catalog'!$E$56+'Assumptions and Catalog'!$F$56,IF(L605&lt;='Assumptions and Catalog'!$C$57,L605*'Assumptions and Catalog'!$H$57+'Assumptions and Catalog'!$E$57+'Assumptions and Catalog'!$F$57,"Out of range")))))))),IF(L605&lt;='Assumptions and Catalog'!$C$60,L605*'Assumptions and Catalog'!$H$60+'Assumptions and Catalog'!$E$60+'Assumptions and Catalog'!$F$60,IF(L605&lt;='Assumptions and Catalog'!$C$61,L605*'Assumptions and Catalog'!$H$61+'Assumptions and Catalog'!$E$61+'Assumptions and Catalog'!$F$61,IF(L605&lt;='Assumptions and Catalog'!$C$62,L605*'Assumptions and Catalog'!$H$62+'Assumptions and Catalog'!$E$62+'Assumptions and Catalog'!$F$62,IF(L605&lt;='Assumptions and Catalog'!$C$63,L605*'Assumptions and Catalog'!$H$63+'Assumptions and Catalog'!$E$63+'Assumptions and Catalog'!$F$63,IF(L605&lt;='Assumptions and Catalog'!$C$64,L605*'Assumptions and Catalog'!$H$64+'Assumptions and Catalog'!$E$64+'Assumptions and Catalog'!$F$64,IF(L605&lt;='Assumptions and Catalog'!$C$65,L605*'Assumptions and Catalog'!$H$65+'Assumptions and Catalog'!$E$65+'Assumptions and Catalog'!$F$65,"Out of range")))))))))*(1+'Assumptions and Catalog'!$C$8)^(A605-1),0)</f>
        <v>7094.794</v>
      </c>
      <c r="O605" s="5" t="n">
        <f>M605-N605</f>
        <v>0</v>
      </c>
      <c r="P605" s="5" t="n">
        <f>D$55*(1-K$14)*(1-'Assumptions and Catalog'!$C$23)^R605</f>
        <v>0</v>
      </c>
      <c r="Q605" s="5" t="n">
        <f>IF(ISNUMBER(Inputs!$L$5),(IF(Inputs!$L$9="Actual flat rate",((D605+E605)*C605-G605)*Inputs!$L$10,IF(Inputs!$C$9="Residential",IF(((D605+E605)*C605-G605)&lt;='Assumptions and Catalog'!$C$50,((D605+E605)*C605-G605)*'Assumptions and Catalog'!$H$50+'Assumptions and Catalog'!$E$50+'Assumptions and Catalog'!$F$50,IF(((D605+E605)*C605-G605)&lt;='Assumptions and Catalog'!$C$51,((D605+E605)*C605-G605)*'Assumptions and Catalog'!$H$51+'Assumptions and Catalog'!$E$51+'Assumptions and Catalog'!$F$51,IF(((D605+E605)*C605-G605)&lt;='Assumptions and Catalog'!$C$52,((D605+E605)*C605-G605)*'Assumptions and Catalog'!$H$52+'Assumptions and Catalog'!$E$52+'Assumptions and Catalog'!$F$52,IF(((D605+E605)*C605-G605)&lt;='Assumptions and Catalog'!$C$53,((D605+E605)*C605-G605)*'Assumptions and Catalog'!$H$53+'Assumptions and Catalog'!$E$53+'Assumptions and Catalog'!$F$53,IF(((D605+E605)*C605-G605)&lt;='Assumptions and Catalog'!$C$54,((D605+E605)*C605-G605)*'Assumptions and Catalog'!$H$54+'Assumptions and Catalog'!$E$54+'Assumptions and Catalog'!$F$54,IF(((D605+E605)*C605-G605)&lt;='Assumptions and Catalog'!$C$55,((D605+E605)*C605-G605)*'Assumptions and Catalog'!$H$55+'Assumptions and Catalog'!$E$55+'Assumptions and Catalog'!$F$55,IF(((D605+E605)*C605-G605)&lt;='Assumptions and Catalog'!$C$56,((D605+E605)*C605-G605)*'Assumptions and Catalog'!$H$56+'Assumptions and Catalog'!$E$56+'Assumptions and Catalog'!$F$56,IF(((D605+E605)*C605-G605)&lt;='Assumptions and Catalog'!$C$57,((D605+E605)*C605-G605)*'Assumptions and Catalog'!$H$57+'Assumptions and Catalog'!$E$57+'Assumptions and Catalog'!$F$57,"Out of range")))))))),IF(((D605+E605)*C605-G605)&lt;='Assumptions and Catalog'!$C$60,((D605+E605)*C605-G605)*'Assumptions and Catalog'!$H$60+'Assumptions and Catalog'!$E$60+'Assumptions and Catalog'!$F$60,IF(((D605+E605)*C605-G605)&lt;='Assumptions and Catalog'!$C$61,((D605+E605)*C605-G605)*'Assumptions and Catalog'!$H$61+'Assumptions and Catalog'!$E$61+'Assumptions and Catalog'!$F$61,IF(((D605+E605)*C605-G605)&lt;='Assumptions and Catalog'!$C$62,((D605+E605)*C605-G605)*'Assumptions and Catalog'!$H$62+'Assumptions and Catalog'!$E$62+'Assumptions and Catalog'!$F$62,IF(((D605+E605)*C605-G605)&lt;='Assumptions and Catalog'!$C$63,((D605+E605)*C605-G605)*'Assumptions and Catalog'!$H$63+'Assumptions and Catalog'!$E$63+'Assumptions and Catalog'!$F$63,IF(((D605+E605)*C605-G605)&lt;='Assumptions and Catalog'!$C$64,((D605+E605)*C605-G605)*'Assumptions and Catalog'!$H$64+'Assumptions and Catalog'!$E$64+'Assumptions and Catalog'!$F$64,IF(((D605+E605)*C605-G605)&lt;='Assumptions and Catalog'!$C$65,((D605+E605)*C605-G605)*'Assumptions and Catalog'!$H$65+'Assumptions and Catalog'!$E$65+'Assumptions and Catalog'!$F$65,"Out of range")))))))))*(1+'Assumptions and Catalog'!$C$8)^(A605-1),0)</f>
        <v>7094.794</v>
      </c>
      <c r="R605" s="5" t="n">
        <f>IF(AND('Assumptions and Catalog'!$C$19&gt;0,A605&gt;='Assumptions and Catalog'!$C$19),A605-'Assumptions and Catalog'!$C$19,A605-1)</f>
        <v>6</v>
      </c>
      <c r="S605" s="5" t="n">
        <f>F605+L605-(D605+E605)*C605-J605-K605-IF(D$52&gt;0,'Assumptions and Catalog'!$C$26*C605,0)</f>
        <v>0</v>
      </c>
      <c r="T605" s="5"/>
      <c r="U605" s="5"/>
    </row>
    <row r="606" ht="23.100000381469727" customHeight="1">
      <c r="A606" s="5" t="n">
        <v>17</v>
      </c>
      <c r="B606" s="5" t="n">
        <v>4</v>
      </c>
      <c r="C606" s="5" t="n">
        <f>DAY(DATE('Assumptions and Catalog'!$C$24+A606-1,B606+1,0))</f>
        <v>30</v>
      </c>
      <c r="D606" s="5" t="n">
        <f>IF(ISNUMBER(Inputs!$L$5),Inputs!$L$5*Inputs!$L$6,0)</f>
        <v>40.35</v>
      </c>
      <c r="E606" s="5" t="n">
        <f>IF(ISNUMBER(Inputs!$L$5),Inputs!$L$5-D606,0)</f>
        <v>40.35</v>
      </c>
      <c r="F606" s="5" t="n">
        <f>D$51*'Assumptions and Catalog'!$C$31*C606*(1-'Assumptions and Catalog'!$C$10)^(A606-1)</f>
        <v>0</v>
      </c>
      <c r="G606" s="5" t="n">
        <f>MIN(F606,D606*C606)</f>
        <v>0</v>
      </c>
      <c r="H606" s="5" t="n">
        <f>I606/('Assumptions and Catalog'!$C$11*'Assumptions and Catalog'!$C$12)</f>
        <v>0</v>
      </c>
      <c r="I606" s="5" t="n">
        <f>IF(K$15="Grid cycle",MIN(K$16,D606+E606,P606*'Assumptions and Catalog'!$C$12,D$57*(24-'Assumptions and Catalog'!$C$15),D$56*'Assumptions and Catalog'!$C$15*'Assumptions and Catalog'!$C$11*'Assumptions and Catalog'!$C$12)*C606,0)</f>
        <v>0</v>
      </c>
      <c r="J606" s="5" t="n">
        <f>MAX(F606-G606-0,0)</f>
        <v>0</v>
      </c>
      <c r="K606" s="5" t="n">
        <f>H606-I606</f>
        <v>0</v>
      </c>
      <c r="L606" s="5" t="n">
        <f>(D606+E606)*C606-G606-I606+H606+IF(D$52&gt;0,'Assumptions and Catalog'!$C$26*C606,0)</f>
        <v>2421</v>
      </c>
      <c r="M606" s="5" t="n">
        <f>IF(ISNUMBER(Inputs!$L$5),(IF(Inputs!$L$9="Actual flat rate",((D606+E606)*C606)*Inputs!$L$10,IF(Inputs!$C$9="Residential",IF(((D606+E606)*C606)&lt;='Assumptions and Catalog'!$C$50,((D606+E606)*C606)*'Assumptions and Catalog'!$H$50+'Assumptions and Catalog'!$E$50+'Assumptions and Catalog'!$F$50,IF(((D606+E606)*C606)&lt;='Assumptions and Catalog'!$C$51,((D606+E606)*C606)*'Assumptions and Catalog'!$H$51+'Assumptions and Catalog'!$E$51+'Assumptions and Catalog'!$F$51,IF(((D606+E606)*C606)&lt;='Assumptions and Catalog'!$C$52,((D606+E606)*C606)*'Assumptions and Catalog'!$H$52+'Assumptions and Catalog'!$E$52+'Assumptions and Catalog'!$F$52,IF(((D606+E606)*C606)&lt;='Assumptions and Catalog'!$C$53,((D606+E606)*C606)*'Assumptions and Catalog'!$H$53+'Assumptions and Catalog'!$E$53+'Assumptions and Catalog'!$F$53,IF(((D606+E606)*C606)&lt;='Assumptions and Catalog'!$C$54,((D606+E606)*C606)*'Assumptions and Catalog'!$H$54+'Assumptions and Catalog'!$E$54+'Assumptions and Catalog'!$F$54,IF(((D606+E606)*C606)&lt;='Assumptions and Catalog'!$C$55,((D606+E606)*C606)*'Assumptions and Catalog'!$H$55+'Assumptions and Catalog'!$E$55+'Assumptions and Catalog'!$F$55,IF(((D606+E606)*C606)&lt;='Assumptions and Catalog'!$C$56,((D606+E606)*C606)*'Assumptions and Catalog'!$H$56+'Assumptions and Catalog'!$E$56+'Assumptions and Catalog'!$F$56,IF(((D606+E606)*C606)&lt;='Assumptions and Catalog'!$C$57,((D606+E606)*C606)*'Assumptions and Catalog'!$H$57+'Assumptions and Catalog'!$E$57+'Assumptions and Catalog'!$F$57,"Out of range")))))))),IF(((D606+E606)*C606)&lt;='Assumptions and Catalog'!$C$60,((D606+E606)*C606)*'Assumptions and Catalog'!$H$60+'Assumptions and Catalog'!$E$60+'Assumptions and Catalog'!$F$60,IF(((D606+E606)*C606)&lt;='Assumptions and Catalog'!$C$61,((D606+E606)*C606)*'Assumptions and Catalog'!$H$61+'Assumptions and Catalog'!$E$61+'Assumptions and Catalog'!$F$61,IF(((D606+E606)*C606)&lt;='Assumptions and Catalog'!$C$62,((D606+E606)*C606)*'Assumptions and Catalog'!$H$62+'Assumptions and Catalog'!$E$62+'Assumptions and Catalog'!$F$62,IF(((D606+E606)*C606)&lt;='Assumptions and Catalog'!$C$63,((D606+E606)*C606)*'Assumptions and Catalog'!$H$63+'Assumptions and Catalog'!$E$63+'Assumptions and Catalog'!$F$63,IF(((D606+E606)*C606)&lt;='Assumptions and Catalog'!$C$64,((D606+E606)*C606)*'Assumptions and Catalog'!$H$64+'Assumptions and Catalog'!$E$64+'Assumptions and Catalog'!$F$64,IF(((D606+E606)*C606)&lt;='Assumptions and Catalog'!$C$65,((D606+E606)*C606)*'Assumptions and Catalog'!$H$65+'Assumptions and Catalog'!$E$65+'Assumptions and Catalog'!$F$65,"Out of range")))))))))*(1+'Assumptions and Catalog'!$C$8)^(A606-1),0)</f>
        <v>6867.22</v>
      </c>
      <c r="N606" s="5" t="n">
        <f>IF(ISNUMBER(Inputs!$L$5),(IF(Inputs!$L$9="Actual flat rate",L606*Inputs!$L$10,IF(Inputs!$C$9="Residential",IF(L606&lt;='Assumptions and Catalog'!$C$50,L606*'Assumptions and Catalog'!$H$50+'Assumptions and Catalog'!$E$50+'Assumptions and Catalog'!$F$50,IF(L606&lt;='Assumptions and Catalog'!$C$51,L606*'Assumptions and Catalog'!$H$51+'Assumptions and Catalog'!$E$51+'Assumptions and Catalog'!$F$51,IF(L606&lt;='Assumptions and Catalog'!$C$52,L606*'Assumptions and Catalog'!$H$52+'Assumptions and Catalog'!$E$52+'Assumptions and Catalog'!$F$52,IF(L606&lt;='Assumptions and Catalog'!$C$53,L606*'Assumptions and Catalog'!$H$53+'Assumptions and Catalog'!$E$53+'Assumptions and Catalog'!$F$53,IF(L606&lt;='Assumptions and Catalog'!$C$54,L606*'Assumptions and Catalog'!$H$54+'Assumptions and Catalog'!$E$54+'Assumptions and Catalog'!$F$54,IF(L606&lt;='Assumptions and Catalog'!$C$55,L606*'Assumptions and Catalog'!$H$55+'Assumptions and Catalog'!$E$55+'Assumptions and Catalog'!$F$55,IF(L606&lt;='Assumptions and Catalog'!$C$56,L606*'Assumptions and Catalog'!$H$56+'Assumptions and Catalog'!$E$56+'Assumptions and Catalog'!$F$56,IF(L606&lt;='Assumptions and Catalog'!$C$57,L606*'Assumptions and Catalog'!$H$57+'Assumptions and Catalog'!$E$57+'Assumptions and Catalog'!$F$57,"Out of range")))))))),IF(L606&lt;='Assumptions and Catalog'!$C$60,L606*'Assumptions and Catalog'!$H$60+'Assumptions and Catalog'!$E$60+'Assumptions and Catalog'!$F$60,IF(L606&lt;='Assumptions and Catalog'!$C$61,L606*'Assumptions and Catalog'!$H$61+'Assumptions and Catalog'!$E$61+'Assumptions and Catalog'!$F$61,IF(L606&lt;='Assumptions and Catalog'!$C$62,L606*'Assumptions and Catalog'!$H$62+'Assumptions and Catalog'!$E$62+'Assumptions and Catalog'!$F$62,IF(L606&lt;='Assumptions and Catalog'!$C$63,L606*'Assumptions and Catalog'!$H$63+'Assumptions and Catalog'!$E$63+'Assumptions and Catalog'!$F$63,IF(L606&lt;='Assumptions and Catalog'!$C$64,L606*'Assumptions and Catalog'!$H$64+'Assumptions and Catalog'!$E$64+'Assumptions and Catalog'!$F$64,IF(L606&lt;='Assumptions and Catalog'!$C$65,L606*'Assumptions and Catalog'!$H$65+'Assumptions and Catalog'!$E$65+'Assumptions and Catalog'!$F$65,"Out of range")))))))))*(1+'Assumptions and Catalog'!$C$8)^(A606-1),0)</f>
        <v>6867.22</v>
      </c>
      <c r="O606" s="5" t="n">
        <f>M606-N606</f>
        <v>0</v>
      </c>
      <c r="P606" s="5" t="n">
        <f>D$55*(1-K$14)*(1-'Assumptions and Catalog'!$C$23)^R606</f>
        <v>0</v>
      </c>
      <c r="Q606" s="5" t="n">
        <f>IF(ISNUMBER(Inputs!$L$5),(IF(Inputs!$L$9="Actual flat rate",((D606+E606)*C606-G606)*Inputs!$L$10,IF(Inputs!$C$9="Residential",IF(((D606+E606)*C606-G606)&lt;='Assumptions and Catalog'!$C$50,((D606+E606)*C606-G606)*'Assumptions and Catalog'!$H$50+'Assumptions and Catalog'!$E$50+'Assumptions and Catalog'!$F$50,IF(((D606+E606)*C606-G606)&lt;='Assumptions and Catalog'!$C$51,((D606+E606)*C606-G606)*'Assumptions and Catalog'!$H$51+'Assumptions and Catalog'!$E$51+'Assumptions and Catalog'!$F$51,IF(((D606+E606)*C606-G606)&lt;='Assumptions and Catalog'!$C$52,((D606+E606)*C606-G606)*'Assumptions and Catalog'!$H$52+'Assumptions and Catalog'!$E$52+'Assumptions and Catalog'!$F$52,IF(((D606+E606)*C606-G606)&lt;='Assumptions and Catalog'!$C$53,((D606+E606)*C606-G606)*'Assumptions and Catalog'!$H$53+'Assumptions and Catalog'!$E$53+'Assumptions and Catalog'!$F$53,IF(((D606+E606)*C606-G606)&lt;='Assumptions and Catalog'!$C$54,((D606+E606)*C606-G606)*'Assumptions and Catalog'!$H$54+'Assumptions and Catalog'!$E$54+'Assumptions and Catalog'!$F$54,IF(((D606+E606)*C606-G606)&lt;='Assumptions and Catalog'!$C$55,((D606+E606)*C606-G606)*'Assumptions and Catalog'!$H$55+'Assumptions and Catalog'!$E$55+'Assumptions and Catalog'!$F$55,IF(((D606+E606)*C606-G606)&lt;='Assumptions and Catalog'!$C$56,((D606+E606)*C606-G606)*'Assumptions and Catalog'!$H$56+'Assumptions and Catalog'!$E$56+'Assumptions and Catalog'!$F$56,IF(((D606+E606)*C606-G606)&lt;='Assumptions and Catalog'!$C$57,((D606+E606)*C606-G606)*'Assumptions and Catalog'!$H$57+'Assumptions and Catalog'!$E$57+'Assumptions and Catalog'!$F$57,"Out of range")))))))),IF(((D606+E606)*C606-G606)&lt;='Assumptions and Catalog'!$C$60,((D606+E606)*C606-G606)*'Assumptions and Catalog'!$H$60+'Assumptions and Catalog'!$E$60+'Assumptions and Catalog'!$F$60,IF(((D606+E606)*C606-G606)&lt;='Assumptions and Catalog'!$C$61,((D606+E606)*C606-G606)*'Assumptions and Catalog'!$H$61+'Assumptions and Catalog'!$E$61+'Assumptions and Catalog'!$F$61,IF(((D606+E606)*C606-G606)&lt;='Assumptions and Catalog'!$C$62,((D606+E606)*C606-G606)*'Assumptions and Catalog'!$H$62+'Assumptions and Catalog'!$E$62+'Assumptions and Catalog'!$F$62,IF(((D606+E606)*C606-G606)&lt;='Assumptions and Catalog'!$C$63,((D606+E606)*C606-G606)*'Assumptions and Catalog'!$H$63+'Assumptions and Catalog'!$E$63+'Assumptions and Catalog'!$F$63,IF(((D606+E606)*C606-G606)&lt;='Assumptions and Catalog'!$C$64,((D606+E606)*C606-G606)*'Assumptions and Catalog'!$H$64+'Assumptions and Catalog'!$E$64+'Assumptions and Catalog'!$F$64,IF(((D606+E606)*C606-G606)&lt;='Assumptions and Catalog'!$C$65,((D606+E606)*C606-G606)*'Assumptions and Catalog'!$H$65+'Assumptions and Catalog'!$E$65+'Assumptions and Catalog'!$F$65,"Out of range")))))))))*(1+'Assumptions and Catalog'!$C$8)^(A606-1),0)</f>
        <v>6867.22</v>
      </c>
      <c r="R606" s="5" t="n">
        <f>IF(AND('Assumptions and Catalog'!$C$19&gt;0,A606&gt;='Assumptions and Catalog'!$C$19),A606-'Assumptions and Catalog'!$C$19,A606-1)</f>
        <v>6</v>
      </c>
      <c r="S606" s="5" t="n">
        <f>F606+L606-(D606+E606)*C606-J606-K606-IF(D$52&gt;0,'Assumptions and Catalog'!$C$26*C606,0)</f>
        <v>0</v>
      </c>
      <c r="T606" s="5"/>
      <c r="U606" s="5"/>
    </row>
    <row r="607" ht="23.100000381469727" customHeight="1">
      <c r="A607" s="5" t="n">
        <v>17</v>
      </c>
      <c r="B607" s="5" t="n">
        <v>5</v>
      </c>
      <c r="C607" s="5" t="n">
        <f>DAY(DATE('Assumptions and Catalog'!$C$24+A607-1,B607+1,0))</f>
        <v>31</v>
      </c>
      <c r="D607" s="5" t="n">
        <f>IF(ISNUMBER(Inputs!$L$5),Inputs!$L$5*Inputs!$L$6,0)</f>
        <v>40.35</v>
      </c>
      <c r="E607" s="5" t="n">
        <f>IF(ISNUMBER(Inputs!$L$5),Inputs!$L$5-D607,0)</f>
        <v>40.35</v>
      </c>
      <c r="F607" s="5" t="n">
        <f>D$51*'Assumptions and Catalog'!$C$31*C607*(1-'Assumptions and Catalog'!$C$10)^(A607-1)</f>
        <v>0</v>
      </c>
      <c r="G607" s="5" t="n">
        <f>MIN(F607,D607*C607)</f>
        <v>0</v>
      </c>
      <c r="H607" s="5" t="n">
        <f>I607/('Assumptions and Catalog'!$C$11*'Assumptions and Catalog'!$C$12)</f>
        <v>0</v>
      </c>
      <c r="I607" s="5" t="n">
        <f>IF(K$15="Grid cycle",MIN(K$16,D607+E607,P607*'Assumptions and Catalog'!$C$12,D$57*(24-'Assumptions and Catalog'!$C$15),D$56*'Assumptions and Catalog'!$C$15*'Assumptions and Catalog'!$C$11*'Assumptions and Catalog'!$C$12)*C607,0)</f>
        <v>0</v>
      </c>
      <c r="J607" s="5" t="n">
        <f>MAX(F607-G607-0,0)</f>
        <v>0</v>
      </c>
      <c r="K607" s="5" t="n">
        <f>H607-I607</f>
        <v>0</v>
      </c>
      <c r="L607" s="5" t="n">
        <f>(D607+E607)*C607-G607-I607+H607+IF(D$52&gt;0,'Assumptions and Catalog'!$C$26*C607,0)</f>
        <v>2501.7</v>
      </c>
      <c r="M607" s="5" t="n">
        <f>IF(ISNUMBER(Inputs!$L$5),(IF(Inputs!$L$9="Actual flat rate",((D607+E607)*C607)*Inputs!$L$10,IF(Inputs!$C$9="Residential",IF(((D607+E607)*C607)&lt;='Assumptions and Catalog'!$C$50,((D607+E607)*C607)*'Assumptions and Catalog'!$H$50+'Assumptions and Catalog'!$E$50+'Assumptions and Catalog'!$F$50,IF(((D607+E607)*C607)&lt;='Assumptions and Catalog'!$C$51,((D607+E607)*C607)*'Assumptions and Catalog'!$H$51+'Assumptions and Catalog'!$E$51+'Assumptions and Catalog'!$F$51,IF(((D607+E607)*C607)&lt;='Assumptions and Catalog'!$C$52,((D607+E607)*C607)*'Assumptions and Catalog'!$H$52+'Assumptions and Catalog'!$E$52+'Assumptions and Catalog'!$F$52,IF(((D607+E607)*C607)&lt;='Assumptions and Catalog'!$C$53,((D607+E607)*C607)*'Assumptions and Catalog'!$H$53+'Assumptions and Catalog'!$E$53+'Assumptions and Catalog'!$F$53,IF(((D607+E607)*C607)&lt;='Assumptions and Catalog'!$C$54,((D607+E607)*C607)*'Assumptions and Catalog'!$H$54+'Assumptions and Catalog'!$E$54+'Assumptions and Catalog'!$F$54,IF(((D607+E607)*C607)&lt;='Assumptions and Catalog'!$C$55,((D607+E607)*C607)*'Assumptions and Catalog'!$H$55+'Assumptions and Catalog'!$E$55+'Assumptions and Catalog'!$F$55,IF(((D607+E607)*C607)&lt;='Assumptions and Catalog'!$C$56,((D607+E607)*C607)*'Assumptions and Catalog'!$H$56+'Assumptions and Catalog'!$E$56+'Assumptions and Catalog'!$F$56,IF(((D607+E607)*C607)&lt;='Assumptions and Catalog'!$C$57,((D607+E607)*C607)*'Assumptions and Catalog'!$H$57+'Assumptions and Catalog'!$E$57+'Assumptions and Catalog'!$F$57,"Out of range")))))))),IF(((D607+E607)*C607)&lt;='Assumptions and Catalog'!$C$60,((D607+E607)*C607)*'Assumptions and Catalog'!$H$60+'Assumptions and Catalog'!$E$60+'Assumptions and Catalog'!$F$60,IF(((D607+E607)*C607)&lt;='Assumptions and Catalog'!$C$61,((D607+E607)*C607)*'Assumptions and Catalog'!$H$61+'Assumptions and Catalog'!$E$61+'Assumptions and Catalog'!$F$61,IF(((D607+E607)*C607)&lt;='Assumptions and Catalog'!$C$62,((D607+E607)*C607)*'Assumptions and Catalog'!$H$62+'Assumptions and Catalog'!$E$62+'Assumptions and Catalog'!$F$62,IF(((D607+E607)*C607)&lt;='Assumptions and Catalog'!$C$63,((D607+E607)*C607)*'Assumptions and Catalog'!$H$63+'Assumptions and Catalog'!$E$63+'Assumptions and Catalog'!$F$63,IF(((D607+E607)*C607)&lt;='Assumptions and Catalog'!$C$64,((D607+E607)*C607)*'Assumptions and Catalog'!$H$64+'Assumptions and Catalog'!$E$64+'Assumptions and Catalog'!$F$64,IF(((D607+E607)*C607)&lt;='Assumptions and Catalog'!$C$65,((D607+E607)*C607)*'Assumptions and Catalog'!$H$65+'Assumptions and Catalog'!$E$65+'Assumptions and Catalog'!$F$65,"Out of range")))))))))*(1+'Assumptions and Catalog'!$C$8)^(A607-1),0)</f>
        <v>7094.794</v>
      </c>
      <c r="N607" s="5" t="n">
        <f>IF(ISNUMBER(Inputs!$L$5),(IF(Inputs!$L$9="Actual flat rate",L607*Inputs!$L$10,IF(Inputs!$C$9="Residential",IF(L607&lt;='Assumptions and Catalog'!$C$50,L607*'Assumptions and Catalog'!$H$50+'Assumptions and Catalog'!$E$50+'Assumptions and Catalog'!$F$50,IF(L607&lt;='Assumptions and Catalog'!$C$51,L607*'Assumptions and Catalog'!$H$51+'Assumptions and Catalog'!$E$51+'Assumptions and Catalog'!$F$51,IF(L607&lt;='Assumptions and Catalog'!$C$52,L607*'Assumptions and Catalog'!$H$52+'Assumptions and Catalog'!$E$52+'Assumptions and Catalog'!$F$52,IF(L607&lt;='Assumptions and Catalog'!$C$53,L607*'Assumptions and Catalog'!$H$53+'Assumptions and Catalog'!$E$53+'Assumptions and Catalog'!$F$53,IF(L607&lt;='Assumptions and Catalog'!$C$54,L607*'Assumptions and Catalog'!$H$54+'Assumptions and Catalog'!$E$54+'Assumptions and Catalog'!$F$54,IF(L607&lt;='Assumptions and Catalog'!$C$55,L607*'Assumptions and Catalog'!$H$55+'Assumptions and Catalog'!$E$55+'Assumptions and Catalog'!$F$55,IF(L607&lt;='Assumptions and Catalog'!$C$56,L607*'Assumptions and Catalog'!$H$56+'Assumptions and Catalog'!$E$56+'Assumptions and Catalog'!$F$56,IF(L607&lt;='Assumptions and Catalog'!$C$57,L607*'Assumptions and Catalog'!$H$57+'Assumptions and Catalog'!$E$57+'Assumptions and Catalog'!$F$57,"Out of range")))))))),IF(L607&lt;='Assumptions and Catalog'!$C$60,L607*'Assumptions and Catalog'!$H$60+'Assumptions and Catalog'!$E$60+'Assumptions and Catalog'!$F$60,IF(L607&lt;='Assumptions and Catalog'!$C$61,L607*'Assumptions and Catalog'!$H$61+'Assumptions and Catalog'!$E$61+'Assumptions and Catalog'!$F$61,IF(L607&lt;='Assumptions and Catalog'!$C$62,L607*'Assumptions and Catalog'!$H$62+'Assumptions and Catalog'!$E$62+'Assumptions and Catalog'!$F$62,IF(L607&lt;='Assumptions and Catalog'!$C$63,L607*'Assumptions and Catalog'!$H$63+'Assumptions and Catalog'!$E$63+'Assumptions and Catalog'!$F$63,IF(L607&lt;='Assumptions and Catalog'!$C$64,L607*'Assumptions and Catalog'!$H$64+'Assumptions and Catalog'!$E$64+'Assumptions and Catalog'!$F$64,IF(L607&lt;='Assumptions and Catalog'!$C$65,L607*'Assumptions and Catalog'!$H$65+'Assumptions and Catalog'!$E$65+'Assumptions and Catalog'!$F$65,"Out of range")))))))))*(1+'Assumptions and Catalog'!$C$8)^(A607-1),0)</f>
        <v>7094.794</v>
      </c>
      <c r="O607" s="5" t="n">
        <f>M607-N607</f>
        <v>0</v>
      </c>
      <c r="P607" s="5" t="n">
        <f>D$55*(1-K$14)*(1-'Assumptions and Catalog'!$C$23)^R607</f>
        <v>0</v>
      </c>
      <c r="Q607" s="5" t="n">
        <f>IF(ISNUMBER(Inputs!$L$5),(IF(Inputs!$L$9="Actual flat rate",((D607+E607)*C607-G607)*Inputs!$L$10,IF(Inputs!$C$9="Residential",IF(((D607+E607)*C607-G607)&lt;='Assumptions and Catalog'!$C$50,((D607+E607)*C607-G607)*'Assumptions and Catalog'!$H$50+'Assumptions and Catalog'!$E$50+'Assumptions and Catalog'!$F$50,IF(((D607+E607)*C607-G607)&lt;='Assumptions and Catalog'!$C$51,((D607+E607)*C607-G607)*'Assumptions and Catalog'!$H$51+'Assumptions and Catalog'!$E$51+'Assumptions and Catalog'!$F$51,IF(((D607+E607)*C607-G607)&lt;='Assumptions and Catalog'!$C$52,((D607+E607)*C607-G607)*'Assumptions and Catalog'!$H$52+'Assumptions and Catalog'!$E$52+'Assumptions and Catalog'!$F$52,IF(((D607+E607)*C607-G607)&lt;='Assumptions and Catalog'!$C$53,((D607+E607)*C607-G607)*'Assumptions and Catalog'!$H$53+'Assumptions and Catalog'!$E$53+'Assumptions and Catalog'!$F$53,IF(((D607+E607)*C607-G607)&lt;='Assumptions and Catalog'!$C$54,((D607+E607)*C607-G607)*'Assumptions and Catalog'!$H$54+'Assumptions and Catalog'!$E$54+'Assumptions and Catalog'!$F$54,IF(((D607+E607)*C607-G607)&lt;='Assumptions and Catalog'!$C$55,((D607+E607)*C607-G607)*'Assumptions and Catalog'!$H$55+'Assumptions and Catalog'!$E$55+'Assumptions and Catalog'!$F$55,IF(((D607+E607)*C607-G607)&lt;='Assumptions and Catalog'!$C$56,((D607+E607)*C607-G607)*'Assumptions and Catalog'!$H$56+'Assumptions and Catalog'!$E$56+'Assumptions and Catalog'!$F$56,IF(((D607+E607)*C607-G607)&lt;='Assumptions and Catalog'!$C$57,((D607+E607)*C607-G607)*'Assumptions and Catalog'!$H$57+'Assumptions and Catalog'!$E$57+'Assumptions and Catalog'!$F$57,"Out of range")))))))),IF(((D607+E607)*C607-G607)&lt;='Assumptions and Catalog'!$C$60,((D607+E607)*C607-G607)*'Assumptions and Catalog'!$H$60+'Assumptions and Catalog'!$E$60+'Assumptions and Catalog'!$F$60,IF(((D607+E607)*C607-G607)&lt;='Assumptions and Catalog'!$C$61,((D607+E607)*C607-G607)*'Assumptions and Catalog'!$H$61+'Assumptions and Catalog'!$E$61+'Assumptions and Catalog'!$F$61,IF(((D607+E607)*C607-G607)&lt;='Assumptions and Catalog'!$C$62,((D607+E607)*C607-G607)*'Assumptions and Catalog'!$H$62+'Assumptions and Catalog'!$E$62+'Assumptions and Catalog'!$F$62,IF(((D607+E607)*C607-G607)&lt;='Assumptions and Catalog'!$C$63,((D607+E607)*C607-G607)*'Assumptions and Catalog'!$H$63+'Assumptions and Catalog'!$E$63+'Assumptions and Catalog'!$F$63,IF(((D607+E607)*C607-G607)&lt;='Assumptions and Catalog'!$C$64,((D607+E607)*C607-G607)*'Assumptions and Catalog'!$H$64+'Assumptions and Catalog'!$E$64+'Assumptions and Catalog'!$F$64,IF(((D607+E607)*C607-G607)&lt;='Assumptions and Catalog'!$C$65,((D607+E607)*C607-G607)*'Assumptions and Catalog'!$H$65+'Assumptions and Catalog'!$E$65+'Assumptions and Catalog'!$F$65,"Out of range")))))))))*(1+'Assumptions and Catalog'!$C$8)^(A607-1),0)</f>
        <v>7094.794</v>
      </c>
      <c r="R607" s="5" t="n">
        <f>IF(AND('Assumptions and Catalog'!$C$19&gt;0,A607&gt;='Assumptions and Catalog'!$C$19),A607-'Assumptions and Catalog'!$C$19,A607-1)</f>
        <v>6</v>
      </c>
      <c r="S607" s="5" t="n">
        <f>F607+L607-(D607+E607)*C607-J607-K607-IF(D$52&gt;0,'Assumptions and Catalog'!$C$26*C607,0)</f>
        <v>0</v>
      </c>
      <c r="T607" s="5"/>
      <c r="U607" s="5"/>
    </row>
    <row r="608" ht="23.100000381469727" customHeight="1">
      <c r="A608" s="5" t="n">
        <v>17</v>
      </c>
      <c r="B608" s="5" t="n">
        <v>6</v>
      </c>
      <c r="C608" s="5" t="n">
        <f>DAY(DATE('Assumptions and Catalog'!$C$24+A608-1,B608+1,0))</f>
        <v>30</v>
      </c>
      <c r="D608" s="5" t="n">
        <f>IF(ISNUMBER(Inputs!$L$5),Inputs!$L$5*Inputs!$L$6,0)</f>
        <v>40.35</v>
      </c>
      <c r="E608" s="5" t="n">
        <f>IF(ISNUMBER(Inputs!$L$5),Inputs!$L$5-D608,0)</f>
        <v>40.35</v>
      </c>
      <c r="F608" s="5" t="n">
        <f>D$51*'Assumptions and Catalog'!$C$31*C608*(1-'Assumptions and Catalog'!$C$10)^(A608-1)</f>
        <v>0</v>
      </c>
      <c r="G608" s="5" t="n">
        <f>MIN(F608,D608*C608)</f>
        <v>0</v>
      </c>
      <c r="H608" s="5" t="n">
        <f>I608/('Assumptions and Catalog'!$C$11*'Assumptions and Catalog'!$C$12)</f>
        <v>0</v>
      </c>
      <c r="I608" s="5" t="n">
        <f>IF(K$15="Grid cycle",MIN(K$16,D608+E608,P608*'Assumptions and Catalog'!$C$12,D$57*(24-'Assumptions and Catalog'!$C$15),D$56*'Assumptions and Catalog'!$C$15*'Assumptions and Catalog'!$C$11*'Assumptions and Catalog'!$C$12)*C608,0)</f>
        <v>0</v>
      </c>
      <c r="J608" s="5" t="n">
        <f>MAX(F608-G608-0,0)</f>
        <v>0</v>
      </c>
      <c r="K608" s="5" t="n">
        <f>H608-I608</f>
        <v>0</v>
      </c>
      <c r="L608" s="5" t="n">
        <f>(D608+E608)*C608-G608-I608+H608+IF(D$52&gt;0,'Assumptions and Catalog'!$C$26*C608,0)</f>
        <v>2421</v>
      </c>
      <c r="M608" s="5" t="n">
        <f>IF(ISNUMBER(Inputs!$L$5),(IF(Inputs!$L$9="Actual flat rate",((D608+E608)*C608)*Inputs!$L$10,IF(Inputs!$C$9="Residential",IF(((D608+E608)*C608)&lt;='Assumptions and Catalog'!$C$50,((D608+E608)*C608)*'Assumptions and Catalog'!$H$50+'Assumptions and Catalog'!$E$50+'Assumptions and Catalog'!$F$50,IF(((D608+E608)*C608)&lt;='Assumptions and Catalog'!$C$51,((D608+E608)*C608)*'Assumptions and Catalog'!$H$51+'Assumptions and Catalog'!$E$51+'Assumptions and Catalog'!$F$51,IF(((D608+E608)*C608)&lt;='Assumptions and Catalog'!$C$52,((D608+E608)*C608)*'Assumptions and Catalog'!$H$52+'Assumptions and Catalog'!$E$52+'Assumptions and Catalog'!$F$52,IF(((D608+E608)*C608)&lt;='Assumptions and Catalog'!$C$53,((D608+E608)*C608)*'Assumptions and Catalog'!$H$53+'Assumptions and Catalog'!$E$53+'Assumptions and Catalog'!$F$53,IF(((D608+E608)*C608)&lt;='Assumptions and Catalog'!$C$54,((D608+E608)*C608)*'Assumptions and Catalog'!$H$54+'Assumptions and Catalog'!$E$54+'Assumptions and Catalog'!$F$54,IF(((D608+E608)*C608)&lt;='Assumptions and Catalog'!$C$55,((D608+E608)*C608)*'Assumptions and Catalog'!$H$55+'Assumptions and Catalog'!$E$55+'Assumptions and Catalog'!$F$55,IF(((D608+E608)*C608)&lt;='Assumptions and Catalog'!$C$56,((D608+E608)*C608)*'Assumptions and Catalog'!$H$56+'Assumptions and Catalog'!$E$56+'Assumptions and Catalog'!$F$56,IF(((D608+E608)*C608)&lt;='Assumptions and Catalog'!$C$57,((D608+E608)*C608)*'Assumptions and Catalog'!$H$57+'Assumptions and Catalog'!$E$57+'Assumptions and Catalog'!$F$57,"Out of range")))))))),IF(((D608+E608)*C608)&lt;='Assumptions and Catalog'!$C$60,((D608+E608)*C608)*'Assumptions and Catalog'!$H$60+'Assumptions and Catalog'!$E$60+'Assumptions and Catalog'!$F$60,IF(((D608+E608)*C608)&lt;='Assumptions and Catalog'!$C$61,((D608+E608)*C608)*'Assumptions and Catalog'!$H$61+'Assumptions and Catalog'!$E$61+'Assumptions and Catalog'!$F$61,IF(((D608+E608)*C608)&lt;='Assumptions and Catalog'!$C$62,((D608+E608)*C608)*'Assumptions and Catalog'!$H$62+'Assumptions and Catalog'!$E$62+'Assumptions and Catalog'!$F$62,IF(((D608+E608)*C608)&lt;='Assumptions and Catalog'!$C$63,((D608+E608)*C608)*'Assumptions and Catalog'!$H$63+'Assumptions and Catalog'!$E$63+'Assumptions and Catalog'!$F$63,IF(((D608+E608)*C608)&lt;='Assumptions and Catalog'!$C$64,((D608+E608)*C608)*'Assumptions and Catalog'!$H$64+'Assumptions and Catalog'!$E$64+'Assumptions and Catalog'!$F$64,IF(((D608+E608)*C608)&lt;='Assumptions and Catalog'!$C$65,((D608+E608)*C608)*'Assumptions and Catalog'!$H$65+'Assumptions and Catalog'!$E$65+'Assumptions and Catalog'!$F$65,"Out of range")))))))))*(1+'Assumptions and Catalog'!$C$8)^(A608-1),0)</f>
        <v>6867.22</v>
      </c>
      <c r="N608" s="5" t="n">
        <f>IF(ISNUMBER(Inputs!$L$5),(IF(Inputs!$L$9="Actual flat rate",L608*Inputs!$L$10,IF(Inputs!$C$9="Residential",IF(L608&lt;='Assumptions and Catalog'!$C$50,L608*'Assumptions and Catalog'!$H$50+'Assumptions and Catalog'!$E$50+'Assumptions and Catalog'!$F$50,IF(L608&lt;='Assumptions and Catalog'!$C$51,L608*'Assumptions and Catalog'!$H$51+'Assumptions and Catalog'!$E$51+'Assumptions and Catalog'!$F$51,IF(L608&lt;='Assumptions and Catalog'!$C$52,L608*'Assumptions and Catalog'!$H$52+'Assumptions and Catalog'!$E$52+'Assumptions and Catalog'!$F$52,IF(L608&lt;='Assumptions and Catalog'!$C$53,L608*'Assumptions and Catalog'!$H$53+'Assumptions and Catalog'!$E$53+'Assumptions and Catalog'!$F$53,IF(L608&lt;='Assumptions and Catalog'!$C$54,L608*'Assumptions and Catalog'!$H$54+'Assumptions and Catalog'!$E$54+'Assumptions and Catalog'!$F$54,IF(L608&lt;='Assumptions and Catalog'!$C$55,L608*'Assumptions and Catalog'!$H$55+'Assumptions and Catalog'!$E$55+'Assumptions and Catalog'!$F$55,IF(L608&lt;='Assumptions and Catalog'!$C$56,L608*'Assumptions and Catalog'!$H$56+'Assumptions and Catalog'!$E$56+'Assumptions and Catalog'!$F$56,IF(L608&lt;='Assumptions and Catalog'!$C$57,L608*'Assumptions and Catalog'!$H$57+'Assumptions and Catalog'!$E$57+'Assumptions and Catalog'!$F$57,"Out of range")))))))),IF(L608&lt;='Assumptions and Catalog'!$C$60,L608*'Assumptions and Catalog'!$H$60+'Assumptions and Catalog'!$E$60+'Assumptions and Catalog'!$F$60,IF(L608&lt;='Assumptions and Catalog'!$C$61,L608*'Assumptions and Catalog'!$H$61+'Assumptions and Catalog'!$E$61+'Assumptions and Catalog'!$F$61,IF(L608&lt;='Assumptions and Catalog'!$C$62,L608*'Assumptions and Catalog'!$H$62+'Assumptions and Catalog'!$E$62+'Assumptions and Catalog'!$F$62,IF(L608&lt;='Assumptions and Catalog'!$C$63,L608*'Assumptions and Catalog'!$H$63+'Assumptions and Catalog'!$E$63+'Assumptions and Catalog'!$F$63,IF(L608&lt;='Assumptions and Catalog'!$C$64,L608*'Assumptions and Catalog'!$H$64+'Assumptions and Catalog'!$E$64+'Assumptions and Catalog'!$F$64,IF(L608&lt;='Assumptions and Catalog'!$C$65,L608*'Assumptions and Catalog'!$H$65+'Assumptions and Catalog'!$E$65+'Assumptions and Catalog'!$F$65,"Out of range")))))))))*(1+'Assumptions and Catalog'!$C$8)^(A608-1),0)</f>
        <v>6867.22</v>
      </c>
      <c r="O608" s="5" t="n">
        <f>M608-N608</f>
        <v>0</v>
      </c>
      <c r="P608" s="5" t="n">
        <f>D$55*(1-K$14)*(1-'Assumptions and Catalog'!$C$23)^R608</f>
        <v>0</v>
      </c>
      <c r="Q608" s="5" t="n">
        <f>IF(ISNUMBER(Inputs!$L$5),(IF(Inputs!$L$9="Actual flat rate",((D608+E608)*C608-G608)*Inputs!$L$10,IF(Inputs!$C$9="Residential",IF(((D608+E608)*C608-G608)&lt;='Assumptions and Catalog'!$C$50,((D608+E608)*C608-G608)*'Assumptions and Catalog'!$H$50+'Assumptions and Catalog'!$E$50+'Assumptions and Catalog'!$F$50,IF(((D608+E608)*C608-G608)&lt;='Assumptions and Catalog'!$C$51,((D608+E608)*C608-G608)*'Assumptions and Catalog'!$H$51+'Assumptions and Catalog'!$E$51+'Assumptions and Catalog'!$F$51,IF(((D608+E608)*C608-G608)&lt;='Assumptions and Catalog'!$C$52,((D608+E608)*C608-G608)*'Assumptions and Catalog'!$H$52+'Assumptions and Catalog'!$E$52+'Assumptions and Catalog'!$F$52,IF(((D608+E608)*C608-G608)&lt;='Assumptions and Catalog'!$C$53,((D608+E608)*C608-G608)*'Assumptions and Catalog'!$H$53+'Assumptions and Catalog'!$E$53+'Assumptions and Catalog'!$F$53,IF(((D608+E608)*C608-G608)&lt;='Assumptions and Catalog'!$C$54,((D608+E608)*C608-G608)*'Assumptions and Catalog'!$H$54+'Assumptions and Catalog'!$E$54+'Assumptions and Catalog'!$F$54,IF(((D608+E608)*C608-G608)&lt;='Assumptions and Catalog'!$C$55,((D608+E608)*C608-G608)*'Assumptions and Catalog'!$H$55+'Assumptions and Catalog'!$E$55+'Assumptions and Catalog'!$F$55,IF(((D608+E608)*C608-G608)&lt;='Assumptions and Catalog'!$C$56,((D608+E608)*C608-G608)*'Assumptions and Catalog'!$H$56+'Assumptions and Catalog'!$E$56+'Assumptions and Catalog'!$F$56,IF(((D608+E608)*C608-G608)&lt;='Assumptions and Catalog'!$C$57,((D608+E608)*C608-G608)*'Assumptions and Catalog'!$H$57+'Assumptions and Catalog'!$E$57+'Assumptions and Catalog'!$F$57,"Out of range")))))))),IF(((D608+E608)*C608-G608)&lt;='Assumptions and Catalog'!$C$60,((D608+E608)*C608-G608)*'Assumptions and Catalog'!$H$60+'Assumptions and Catalog'!$E$60+'Assumptions and Catalog'!$F$60,IF(((D608+E608)*C608-G608)&lt;='Assumptions and Catalog'!$C$61,((D608+E608)*C608-G608)*'Assumptions and Catalog'!$H$61+'Assumptions and Catalog'!$E$61+'Assumptions and Catalog'!$F$61,IF(((D608+E608)*C608-G608)&lt;='Assumptions and Catalog'!$C$62,((D608+E608)*C608-G608)*'Assumptions and Catalog'!$H$62+'Assumptions and Catalog'!$E$62+'Assumptions and Catalog'!$F$62,IF(((D608+E608)*C608-G608)&lt;='Assumptions and Catalog'!$C$63,((D608+E608)*C608-G608)*'Assumptions and Catalog'!$H$63+'Assumptions and Catalog'!$E$63+'Assumptions and Catalog'!$F$63,IF(((D608+E608)*C608-G608)&lt;='Assumptions and Catalog'!$C$64,((D608+E608)*C608-G608)*'Assumptions and Catalog'!$H$64+'Assumptions and Catalog'!$E$64+'Assumptions and Catalog'!$F$64,IF(((D608+E608)*C608-G608)&lt;='Assumptions and Catalog'!$C$65,((D608+E608)*C608-G608)*'Assumptions and Catalog'!$H$65+'Assumptions and Catalog'!$E$65+'Assumptions and Catalog'!$F$65,"Out of range")))))))))*(1+'Assumptions and Catalog'!$C$8)^(A608-1),0)</f>
        <v>6867.22</v>
      </c>
      <c r="R608" s="5" t="n">
        <f>IF(AND('Assumptions and Catalog'!$C$19&gt;0,A608&gt;='Assumptions and Catalog'!$C$19),A608-'Assumptions and Catalog'!$C$19,A608-1)</f>
        <v>6</v>
      </c>
      <c r="S608" s="5" t="n">
        <f>F608+L608-(D608+E608)*C608-J608-K608-IF(D$52&gt;0,'Assumptions and Catalog'!$C$26*C608,0)</f>
        <v>0</v>
      </c>
      <c r="T608" s="5"/>
      <c r="U608" s="5"/>
    </row>
    <row r="609" ht="23.100000381469727" customHeight="1">
      <c r="A609" s="5" t="n">
        <v>17</v>
      </c>
      <c r="B609" s="5" t="n">
        <v>7</v>
      </c>
      <c r="C609" s="5" t="n">
        <f>DAY(DATE('Assumptions and Catalog'!$C$24+A609-1,B609+1,0))</f>
        <v>31</v>
      </c>
      <c r="D609" s="5" t="n">
        <f>IF(ISNUMBER(Inputs!$L$5),Inputs!$L$5*Inputs!$L$6,0)</f>
        <v>40.35</v>
      </c>
      <c r="E609" s="5" t="n">
        <f>IF(ISNUMBER(Inputs!$L$5),Inputs!$L$5-D609,0)</f>
        <v>40.35</v>
      </c>
      <c r="F609" s="5" t="n">
        <f>D$51*'Assumptions and Catalog'!$C$31*C609*(1-'Assumptions and Catalog'!$C$10)^(A609-1)</f>
        <v>0</v>
      </c>
      <c r="G609" s="5" t="n">
        <f>MIN(F609,D609*C609)</f>
        <v>0</v>
      </c>
      <c r="H609" s="5" t="n">
        <f>I609/('Assumptions and Catalog'!$C$11*'Assumptions and Catalog'!$C$12)</f>
        <v>0</v>
      </c>
      <c r="I609" s="5" t="n">
        <f>IF(K$15="Grid cycle",MIN(K$16,D609+E609,P609*'Assumptions and Catalog'!$C$12,D$57*(24-'Assumptions and Catalog'!$C$15),D$56*'Assumptions and Catalog'!$C$15*'Assumptions and Catalog'!$C$11*'Assumptions and Catalog'!$C$12)*C609,0)</f>
        <v>0</v>
      </c>
      <c r="J609" s="5" t="n">
        <f>MAX(F609-G609-0,0)</f>
        <v>0</v>
      </c>
      <c r="K609" s="5" t="n">
        <f>H609-I609</f>
        <v>0</v>
      </c>
      <c r="L609" s="5" t="n">
        <f>(D609+E609)*C609-G609-I609+H609+IF(D$52&gt;0,'Assumptions and Catalog'!$C$26*C609,0)</f>
        <v>2501.7</v>
      </c>
      <c r="M609" s="5" t="n">
        <f>IF(ISNUMBER(Inputs!$L$5),(IF(Inputs!$L$9="Actual flat rate",((D609+E609)*C609)*Inputs!$L$10,IF(Inputs!$C$9="Residential",IF(((D609+E609)*C609)&lt;='Assumptions and Catalog'!$C$50,((D609+E609)*C609)*'Assumptions and Catalog'!$H$50+'Assumptions and Catalog'!$E$50+'Assumptions and Catalog'!$F$50,IF(((D609+E609)*C609)&lt;='Assumptions and Catalog'!$C$51,((D609+E609)*C609)*'Assumptions and Catalog'!$H$51+'Assumptions and Catalog'!$E$51+'Assumptions and Catalog'!$F$51,IF(((D609+E609)*C609)&lt;='Assumptions and Catalog'!$C$52,((D609+E609)*C609)*'Assumptions and Catalog'!$H$52+'Assumptions and Catalog'!$E$52+'Assumptions and Catalog'!$F$52,IF(((D609+E609)*C609)&lt;='Assumptions and Catalog'!$C$53,((D609+E609)*C609)*'Assumptions and Catalog'!$H$53+'Assumptions and Catalog'!$E$53+'Assumptions and Catalog'!$F$53,IF(((D609+E609)*C609)&lt;='Assumptions and Catalog'!$C$54,((D609+E609)*C609)*'Assumptions and Catalog'!$H$54+'Assumptions and Catalog'!$E$54+'Assumptions and Catalog'!$F$54,IF(((D609+E609)*C609)&lt;='Assumptions and Catalog'!$C$55,((D609+E609)*C609)*'Assumptions and Catalog'!$H$55+'Assumptions and Catalog'!$E$55+'Assumptions and Catalog'!$F$55,IF(((D609+E609)*C609)&lt;='Assumptions and Catalog'!$C$56,((D609+E609)*C609)*'Assumptions and Catalog'!$H$56+'Assumptions and Catalog'!$E$56+'Assumptions and Catalog'!$F$56,IF(((D609+E609)*C609)&lt;='Assumptions and Catalog'!$C$57,((D609+E609)*C609)*'Assumptions and Catalog'!$H$57+'Assumptions and Catalog'!$E$57+'Assumptions and Catalog'!$F$57,"Out of range")))))))),IF(((D609+E609)*C609)&lt;='Assumptions and Catalog'!$C$60,((D609+E609)*C609)*'Assumptions and Catalog'!$H$60+'Assumptions and Catalog'!$E$60+'Assumptions and Catalog'!$F$60,IF(((D609+E609)*C609)&lt;='Assumptions and Catalog'!$C$61,((D609+E609)*C609)*'Assumptions and Catalog'!$H$61+'Assumptions and Catalog'!$E$61+'Assumptions and Catalog'!$F$61,IF(((D609+E609)*C609)&lt;='Assumptions and Catalog'!$C$62,((D609+E609)*C609)*'Assumptions and Catalog'!$H$62+'Assumptions and Catalog'!$E$62+'Assumptions and Catalog'!$F$62,IF(((D609+E609)*C609)&lt;='Assumptions and Catalog'!$C$63,((D609+E609)*C609)*'Assumptions and Catalog'!$H$63+'Assumptions and Catalog'!$E$63+'Assumptions and Catalog'!$F$63,IF(((D609+E609)*C609)&lt;='Assumptions and Catalog'!$C$64,((D609+E609)*C609)*'Assumptions and Catalog'!$H$64+'Assumptions and Catalog'!$E$64+'Assumptions and Catalog'!$F$64,IF(((D609+E609)*C609)&lt;='Assumptions and Catalog'!$C$65,((D609+E609)*C609)*'Assumptions and Catalog'!$H$65+'Assumptions and Catalog'!$E$65+'Assumptions and Catalog'!$F$65,"Out of range")))))))))*(1+'Assumptions and Catalog'!$C$8)^(A609-1),0)</f>
        <v>7094.794</v>
      </c>
      <c r="N609" s="5" t="n">
        <f>IF(ISNUMBER(Inputs!$L$5),(IF(Inputs!$L$9="Actual flat rate",L609*Inputs!$L$10,IF(Inputs!$C$9="Residential",IF(L609&lt;='Assumptions and Catalog'!$C$50,L609*'Assumptions and Catalog'!$H$50+'Assumptions and Catalog'!$E$50+'Assumptions and Catalog'!$F$50,IF(L609&lt;='Assumptions and Catalog'!$C$51,L609*'Assumptions and Catalog'!$H$51+'Assumptions and Catalog'!$E$51+'Assumptions and Catalog'!$F$51,IF(L609&lt;='Assumptions and Catalog'!$C$52,L609*'Assumptions and Catalog'!$H$52+'Assumptions and Catalog'!$E$52+'Assumptions and Catalog'!$F$52,IF(L609&lt;='Assumptions and Catalog'!$C$53,L609*'Assumptions and Catalog'!$H$53+'Assumptions and Catalog'!$E$53+'Assumptions and Catalog'!$F$53,IF(L609&lt;='Assumptions and Catalog'!$C$54,L609*'Assumptions and Catalog'!$H$54+'Assumptions and Catalog'!$E$54+'Assumptions and Catalog'!$F$54,IF(L609&lt;='Assumptions and Catalog'!$C$55,L609*'Assumptions and Catalog'!$H$55+'Assumptions and Catalog'!$E$55+'Assumptions and Catalog'!$F$55,IF(L609&lt;='Assumptions and Catalog'!$C$56,L609*'Assumptions and Catalog'!$H$56+'Assumptions and Catalog'!$E$56+'Assumptions and Catalog'!$F$56,IF(L609&lt;='Assumptions and Catalog'!$C$57,L609*'Assumptions and Catalog'!$H$57+'Assumptions and Catalog'!$E$57+'Assumptions and Catalog'!$F$57,"Out of range")))))))),IF(L609&lt;='Assumptions and Catalog'!$C$60,L609*'Assumptions and Catalog'!$H$60+'Assumptions and Catalog'!$E$60+'Assumptions and Catalog'!$F$60,IF(L609&lt;='Assumptions and Catalog'!$C$61,L609*'Assumptions and Catalog'!$H$61+'Assumptions and Catalog'!$E$61+'Assumptions and Catalog'!$F$61,IF(L609&lt;='Assumptions and Catalog'!$C$62,L609*'Assumptions and Catalog'!$H$62+'Assumptions and Catalog'!$E$62+'Assumptions and Catalog'!$F$62,IF(L609&lt;='Assumptions and Catalog'!$C$63,L609*'Assumptions and Catalog'!$H$63+'Assumptions and Catalog'!$E$63+'Assumptions and Catalog'!$F$63,IF(L609&lt;='Assumptions and Catalog'!$C$64,L609*'Assumptions and Catalog'!$H$64+'Assumptions and Catalog'!$E$64+'Assumptions and Catalog'!$F$64,IF(L609&lt;='Assumptions and Catalog'!$C$65,L609*'Assumptions and Catalog'!$H$65+'Assumptions and Catalog'!$E$65+'Assumptions and Catalog'!$F$65,"Out of range")))))))))*(1+'Assumptions and Catalog'!$C$8)^(A609-1),0)</f>
        <v>7094.794</v>
      </c>
      <c r="O609" s="5" t="n">
        <f>M609-N609</f>
        <v>0</v>
      </c>
      <c r="P609" s="5" t="n">
        <f>D$55*(1-K$14)*(1-'Assumptions and Catalog'!$C$23)^R609</f>
        <v>0</v>
      </c>
      <c r="Q609" s="5" t="n">
        <f>IF(ISNUMBER(Inputs!$L$5),(IF(Inputs!$L$9="Actual flat rate",((D609+E609)*C609-G609)*Inputs!$L$10,IF(Inputs!$C$9="Residential",IF(((D609+E609)*C609-G609)&lt;='Assumptions and Catalog'!$C$50,((D609+E609)*C609-G609)*'Assumptions and Catalog'!$H$50+'Assumptions and Catalog'!$E$50+'Assumptions and Catalog'!$F$50,IF(((D609+E609)*C609-G609)&lt;='Assumptions and Catalog'!$C$51,((D609+E609)*C609-G609)*'Assumptions and Catalog'!$H$51+'Assumptions and Catalog'!$E$51+'Assumptions and Catalog'!$F$51,IF(((D609+E609)*C609-G609)&lt;='Assumptions and Catalog'!$C$52,((D609+E609)*C609-G609)*'Assumptions and Catalog'!$H$52+'Assumptions and Catalog'!$E$52+'Assumptions and Catalog'!$F$52,IF(((D609+E609)*C609-G609)&lt;='Assumptions and Catalog'!$C$53,((D609+E609)*C609-G609)*'Assumptions and Catalog'!$H$53+'Assumptions and Catalog'!$E$53+'Assumptions and Catalog'!$F$53,IF(((D609+E609)*C609-G609)&lt;='Assumptions and Catalog'!$C$54,((D609+E609)*C609-G609)*'Assumptions and Catalog'!$H$54+'Assumptions and Catalog'!$E$54+'Assumptions and Catalog'!$F$54,IF(((D609+E609)*C609-G609)&lt;='Assumptions and Catalog'!$C$55,((D609+E609)*C609-G609)*'Assumptions and Catalog'!$H$55+'Assumptions and Catalog'!$E$55+'Assumptions and Catalog'!$F$55,IF(((D609+E609)*C609-G609)&lt;='Assumptions and Catalog'!$C$56,((D609+E609)*C609-G609)*'Assumptions and Catalog'!$H$56+'Assumptions and Catalog'!$E$56+'Assumptions and Catalog'!$F$56,IF(((D609+E609)*C609-G609)&lt;='Assumptions and Catalog'!$C$57,((D609+E609)*C609-G609)*'Assumptions and Catalog'!$H$57+'Assumptions and Catalog'!$E$57+'Assumptions and Catalog'!$F$57,"Out of range")))))))),IF(((D609+E609)*C609-G609)&lt;='Assumptions and Catalog'!$C$60,((D609+E609)*C609-G609)*'Assumptions and Catalog'!$H$60+'Assumptions and Catalog'!$E$60+'Assumptions and Catalog'!$F$60,IF(((D609+E609)*C609-G609)&lt;='Assumptions and Catalog'!$C$61,((D609+E609)*C609-G609)*'Assumptions and Catalog'!$H$61+'Assumptions and Catalog'!$E$61+'Assumptions and Catalog'!$F$61,IF(((D609+E609)*C609-G609)&lt;='Assumptions and Catalog'!$C$62,((D609+E609)*C609-G609)*'Assumptions and Catalog'!$H$62+'Assumptions and Catalog'!$E$62+'Assumptions and Catalog'!$F$62,IF(((D609+E609)*C609-G609)&lt;='Assumptions and Catalog'!$C$63,((D609+E609)*C609-G609)*'Assumptions and Catalog'!$H$63+'Assumptions and Catalog'!$E$63+'Assumptions and Catalog'!$F$63,IF(((D609+E609)*C609-G609)&lt;='Assumptions and Catalog'!$C$64,((D609+E609)*C609-G609)*'Assumptions and Catalog'!$H$64+'Assumptions and Catalog'!$E$64+'Assumptions and Catalog'!$F$64,IF(((D609+E609)*C609-G609)&lt;='Assumptions and Catalog'!$C$65,((D609+E609)*C609-G609)*'Assumptions and Catalog'!$H$65+'Assumptions and Catalog'!$E$65+'Assumptions and Catalog'!$F$65,"Out of range")))))))))*(1+'Assumptions and Catalog'!$C$8)^(A609-1),0)</f>
        <v>7094.794</v>
      </c>
      <c r="R609" s="5" t="n">
        <f>IF(AND('Assumptions and Catalog'!$C$19&gt;0,A609&gt;='Assumptions and Catalog'!$C$19),A609-'Assumptions and Catalog'!$C$19,A609-1)</f>
        <v>6</v>
      </c>
      <c r="S609" s="5" t="n">
        <f>F609+L609-(D609+E609)*C609-J609-K609-IF(D$52&gt;0,'Assumptions and Catalog'!$C$26*C609,0)</f>
        <v>0</v>
      </c>
      <c r="T609" s="5"/>
      <c r="U609" s="5"/>
    </row>
    <row r="610" ht="23.100000381469727" customHeight="1">
      <c r="A610" s="5" t="n">
        <v>17</v>
      </c>
      <c r="B610" s="5" t="n">
        <v>8</v>
      </c>
      <c r="C610" s="5" t="n">
        <f>DAY(DATE('Assumptions and Catalog'!$C$24+A610-1,B610+1,0))</f>
        <v>31</v>
      </c>
      <c r="D610" s="5" t="n">
        <f>IF(ISNUMBER(Inputs!$L$5),Inputs!$L$5*Inputs!$L$6,0)</f>
        <v>40.35</v>
      </c>
      <c r="E610" s="5" t="n">
        <f>IF(ISNUMBER(Inputs!$L$5),Inputs!$L$5-D610,0)</f>
        <v>40.35</v>
      </c>
      <c r="F610" s="5" t="n">
        <f>D$51*'Assumptions and Catalog'!$C$31*C610*(1-'Assumptions and Catalog'!$C$10)^(A610-1)</f>
        <v>0</v>
      </c>
      <c r="G610" s="5" t="n">
        <f>MIN(F610,D610*C610)</f>
        <v>0</v>
      </c>
      <c r="H610" s="5" t="n">
        <f>I610/('Assumptions and Catalog'!$C$11*'Assumptions and Catalog'!$C$12)</f>
        <v>0</v>
      </c>
      <c r="I610" s="5" t="n">
        <f>IF(K$15="Grid cycle",MIN(K$16,D610+E610,P610*'Assumptions and Catalog'!$C$12,D$57*(24-'Assumptions and Catalog'!$C$15),D$56*'Assumptions and Catalog'!$C$15*'Assumptions and Catalog'!$C$11*'Assumptions and Catalog'!$C$12)*C610,0)</f>
        <v>0</v>
      </c>
      <c r="J610" s="5" t="n">
        <f>MAX(F610-G610-0,0)</f>
        <v>0</v>
      </c>
      <c r="K610" s="5" t="n">
        <f>H610-I610</f>
        <v>0</v>
      </c>
      <c r="L610" s="5" t="n">
        <f>(D610+E610)*C610-G610-I610+H610+IF(D$52&gt;0,'Assumptions and Catalog'!$C$26*C610,0)</f>
        <v>2501.7</v>
      </c>
      <c r="M610" s="5" t="n">
        <f>IF(ISNUMBER(Inputs!$L$5),(IF(Inputs!$L$9="Actual flat rate",((D610+E610)*C610)*Inputs!$L$10,IF(Inputs!$C$9="Residential",IF(((D610+E610)*C610)&lt;='Assumptions and Catalog'!$C$50,((D610+E610)*C610)*'Assumptions and Catalog'!$H$50+'Assumptions and Catalog'!$E$50+'Assumptions and Catalog'!$F$50,IF(((D610+E610)*C610)&lt;='Assumptions and Catalog'!$C$51,((D610+E610)*C610)*'Assumptions and Catalog'!$H$51+'Assumptions and Catalog'!$E$51+'Assumptions and Catalog'!$F$51,IF(((D610+E610)*C610)&lt;='Assumptions and Catalog'!$C$52,((D610+E610)*C610)*'Assumptions and Catalog'!$H$52+'Assumptions and Catalog'!$E$52+'Assumptions and Catalog'!$F$52,IF(((D610+E610)*C610)&lt;='Assumptions and Catalog'!$C$53,((D610+E610)*C610)*'Assumptions and Catalog'!$H$53+'Assumptions and Catalog'!$E$53+'Assumptions and Catalog'!$F$53,IF(((D610+E610)*C610)&lt;='Assumptions and Catalog'!$C$54,((D610+E610)*C610)*'Assumptions and Catalog'!$H$54+'Assumptions and Catalog'!$E$54+'Assumptions and Catalog'!$F$54,IF(((D610+E610)*C610)&lt;='Assumptions and Catalog'!$C$55,((D610+E610)*C610)*'Assumptions and Catalog'!$H$55+'Assumptions and Catalog'!$E$55+'Assumptions and Catalog'!$F$55,IF(((D610+E610)*C610)&lt;='Assumptions and Catalog'!$C$56,((D610+E610)*C610)*'Assumptions and Catalog'!$H$56+'Assumptions and Catalog'!$E$56+'Assumptions and Catalog'!$F$56,IF(((D610+E610)*C610)&lt;='Assumptions and Catalog'!$C$57,((D610+E610)*C610)*'Assumptions and Catalog'!$H$57+'Assumptions and Catalog'!$E$57+'Assumptions and Catalog'!$F$57,"Out of range")))))))),IF(((D610+E610)*C610)&lt;='Assumptions and Catalog'!$C$60,((D610+E610)*C610)*'Assumptions and Catalog'!$H$60+'Assumptions and Catalog'!$E$60+'Assumptions and Catalog'!$F$60,IF(((D610+E610)*C610)&lt;='Assumptions and Catalog'!$C$61,((D610+E610)*C610)*'Assumptions and Catalog'!$H$61+'Assumptions and Catalog'!$E$61+'Assumptions and Catalog'!$F$61,IF(((D610+E610)*C610)&lt;='Assumptions and Catalog'!$C$62,((D610+E610)*C610)*'Assumptions and Catalog'!$H$62+'Assumptions and Catalog'!$E$62+'Assumptions and Catalog'!$F$62,IF(((D610+E610)*C610)&lt;='Assumptions and Catalog'!$C$63,((D610+E610)*C610)*'Assumptions and Catalog'!$H$63+'Assumptions and Catalog'!$E$63+'Assumptions and Catalog'!$F$63,IF(((D610+E610)*C610)&lt;='Assumptions and Catalog'!$C$64,((D610+E610)*C610)*'Assumptions and Catalog'!$H$64+'Assumptions and Catalog'!$E$64+'Assumptions and Catalog'!$F$64,IF(((D610+E610)*C610)&lt;='Assumptions and Catalog'!$C$65,((D610+E610)*C610)*'Assumptions and Catalog'!$H$65+'Assumptions and Catalog'!$E$65+'Assumptions and Catalog'!$F$65,"Out of range")))))))))*(1+'Assumptions and Catalog'!$C$8)^(A610-1),0)</f>
        <v>7094.794</v>
      </c>
      <c r="N610" s="5" t="n">
        <f>IF(ISNUMBER(Inputs!$L$5),(IF(Inputs!$L$9="Actual flat rate",L610*Inputs!$L$10,IF(Inputs!$C$9="Residential",IF(L610&lt;='Assumptions and Catalog'!$C$50,L610*'Assumptions and Catalog'!$H$50+'Assumptions and Catalog'!$E$50+'Assumptions and Catalog'!$F$50,IF(L610&lt;='Assumptions and Catalog'!$C$51,L610*'Assumptions and Catalog'!$H$51+'Assumptions and Catalog'!$E$51+'Assumptions and Catalog'!$F$51,IF(L610&lt;='Assumptions and Catalog'!$C$52,L610*'Assumptions and Catalog'!$H$52+'Assumptions and Catalog'!$E$52+'Assumptions and Catalog'!$F$52,IF(L610&lt;='Assumptions and Catalog'!$C$53,L610*'Assumptions and Catalog'!$H$53+'Assumptions and Catalog'!$E$53+'Assumptions and Catalog'!$F$53,IF(L610&lt;='Assumptions and Catalog'!$C$54,L610*'Assumptions and Catalog'!$H$54+'Assumptions and Catalog'!$E$54+'Assumptions and Catalog'!$F$54,IF(L610&lt;='Assumptions and Catalog'!$C$55,L610*'Assumptions and Catalog'!$H$55+'Assumptions and Catalog'!$E$55+'Assumptions and Catalog'!$F$55,IF(L610&lt;='Assumptions and Catalog'!$C$56,L610*'Assumptions and Catalog'!$H$56+'Assumptions and Catalog'!$E$56+'Assumptions and Catalog'!$F$56,IF(L610&lt;='Assumptions and Catalog'!$C$57,L610*'Assumptions and Catalog'!$H$57+'Assumptions and Catalog'!$E$57+'Assumptions and Catalog'!$F$57,"Out of range")))))))),IF(L610&lt;='Assumptions and Catalog'!$C$60,L610*'Assumptions and Catalog'!$H$60+'Assumptions and Catalog'!$E$60+'Assumptions and Catalog'!$F$60,IF(L610&lt;='Assumptions and Catalog'!$C$61,L610*'Assumptions and Catalog'!$H$61+'Assumptions and Catalog'!$E$61+'Assumptions and Catalog'!$F$61,IF(L610&lt;='Assumptions and Catalog'!$C$62,L610*'Assumptions and Catalog'!$H$62+'Assumptions and Catalog'!$E$62+'Assumptions and Catalog'!$F$62,IF(L610&lt;='Assumptions and Catalog'!$C$63,L610*'Assumptions and Catalog'!$H$63+'Assumptions and Catalog'!$E$63+'Assumptions and Catalog'!$F$63,IF(L610&lt;='Assumptions and Catalog'!$C$64,L610*'Assumptions and Catalog'!$H$64+'Assumptions and Catalog'!$E$64+'Assumptions and Catalog'!$F$64,IF(L610&lt;='Assumptions and Catalog'!$C$65,L610*'Assumptions and Catalog'!$H$65+'Assumptions and Catalog'!$E$65+'Assumptions and Catalog'!$F$65,"Out of range")))))))))*(1+'Assumptions and Catalog'!$C$8)^(A610-1),0)</f>
        <v>7094.794</v>
      </c>
      <c r="O610" s="5" t="n">
        <f>M610-N610</f>
        <v>0</v>
      </c>
      <c r="P610" s="5" t="n">
        <f>D$55*(1-K$14)*(1-'Assumptions and Catalog'!$C$23)^R610</f>
        <v>0</v>
      </c>
      <c r="Q610" s="5" t="n">
        <f>IF(ISNUMBER(Inputs!$L$5),(IF(Inputs!$L$9="Actual flat rate",((D610+E610)*C610-G610)*Inputs!$L$10,IF(Inputs!$C$9="Residential",IF(((D610+E610)*C610-G610)&lt;='Assumptions and Catalog'!$C$50,((D610+E610)*C610-G610)*'Assumptions and Catalog'!$H$50+'Assumptions and Catalog'!$E$50+'Assumptions and Catalog'!$F$50,IF(((D610+E610)*C610-G610)&lt;='Assumptions and Catalog'!$C$51,((D610+E610)*C610-G610)*'Assumptions and Catalog'!$H$51+'Assumptions and Catalog'!$E$51+'Assumptions and Catalog'!$F$51,IF(((D610+E610)*C610-G610)&lt;='Assumptions and Catalog'!$C$52,((D610+E610)*C610-G610)*'Assumptions and Catalog'!$H$52+'Assumptions and Catalog'!$E$52+'Assumptions and Catalog'!$F$52,IF(((D610+E610)*C610-G610)&lt;='Assumptions and Catalog'!$C$53,((D610+E610)*C610-G610)*'Assumptions and Catalog'!$H$53+'Assumptions and Catalog'!$E$53+'Assumptions and Catalog'!$F$53,IF(((D610+E610)*C610-G610)&lt;='Assumptions and Catalog'!$C$54,((D610+E610)*C610-G610)*'Assumptions and Catalog'!$H$54+'Assumptions and Catalog'!$E$54+'Assumptions and Catalog'!$F$54,IF(((D610+E610)*C610-G610)&lt;='Assumptions and Catalog'!$C$55,((D610+E610)*C610-G610)*'Assumptions and Catalog'!$H$55+'Assumptions and Catalog'!$E$55+'Assumptions and Catalog'!$F$55,IF(((D610+E610)*C610-G610)&lt;='Assumptions and Catalog'!$C$56,((D610+E610)*C610-G610)*'Assumptions and Catalog'!$H$56+'Assumptions and Catalog'!$E$56+'Assumptions and Catalog'!$F$56,IF(((D610+E610)*C610-G610)&lt;='Assumptions and Catalog'!$C$57,((D610+E610)*C610-G610)*'Assumptions and Catalog'!$H$57+'Assumptions and Catalog'!$E$57+'Assumptions and Catalog'!$F$57,"Out of range")))))))),IF(((D610+E610)*C610-G610)&lt;='Assumptions and Catalog'!$C$60,((D610+E610)*C610-G610)*'Assumptions and Catalog'!$H$60+'Assumptions and Catalog'!$E$60+'Assumptions and Catalog'!$F$60,IF(((D610+E610)*C610-G610)&lt;='Assumptions and Catalog'!$C$61,((D610+E610)*C610-G610)*'Assumptions and Catalog'!$H$61+'Assumptions and Catalog'!$E$61+'Assumptions and Catalog'!$F$61,IF(((D610+E610)*C610-G610)&lt;='Assumptions and Catalog'!$C$62,((D610+E610)*C610-G610)*'Assumptions and Catalog'!$H$62+'Assumptions and Catalog'!$E$62+'Assumptions and Catalog'!$F$62,IF(((D610+E610)*C610-G610)&lt;='Assumptions and Catalog'!$C$63,((D610+E610)*C610-G610)*'Assumptions and Catalog'!$H$63+'Assumptions and Catalog'!$E$63+'Assumptions and Catalog'!$F$63,IF(((D610+E610)*C610-G610)&lt;='Assumptions and Catalog'!$C$64,((D610+E610)*C610-G610)*'Assumptions and Catalog'!$H$64+'Assumptions and Catalog'!$E$64+'Assumptions and Catalog'!$F$64,IF(((D610+E610)*C610-G610)&lt;='Assumptions and Catalog'!$C$65,((D610+E610)*C610-G610)*'Assumptions and Catalog'!$H$65+'Assumptions and Catalog'!$E$65+'Assumptions and Catalog'!$F$65,"Out of range")))))))))*(1+'Assumptions and Catalog'!$C$8)^(A610-1),0)</f>
        <v>7094.794</v>
      </c>
      <c r="R610" s="5" t="n">
        <f>IF(AND('Assumptions and Catalog'!$C$19&gt;0,A610&gt;='Assumptions and Catalog'!$C$19),A610-'Assumptions and Catalog'!$C$19,A610-1)</f>
        <v>6</v>
      </c>
      <c r="S610" s="5" t="n">
        <f>F610+L610-(D610+E610)*C610-J610-K610-IF(D$52&gt;0,'Assumptions and Catalog'!$C$26*C610,0)</f>
        <v>0</v>
      </c>
      <c r="T610" s="5"/>
      <c r="U610" s="5"/>
    </row>
    <row r="611" ht="23.100000381469727" customHeight="1">
      <c r="A611" s="5" t="n">
        <v>17</v>
      </c>
      <c r="B611" s="5" t="n">
        <v>9</v>
      </c>
      <c r="C611" s="5" t="n">
        <f>DAY(DATE('Assumptions and Catalog'!$C$24+A611-1,B611+1,0))</f>
        <v>30</v>
      </c>
      <c r="D611" s="5" t="n">
        <f>IF(ISNUMBER(Inputs!$L$5),Inputs!$L$5*Inputs!$L$6,0)</f>
        <v>40.35</v>
      </c>
      <c r="E611" s="5" t="n">
        <f>IF(ISNUMBER(Inputs!$L$5),Inputs!$L$5-D611,0)</f>
        <v>40.35</v>
      </c>
      <c r="F611" s="5" t="n">
        <f>D$51*'Assumptions and Catalog'!$C$31*C611*(1-'Assumptions and Catalog'!$C$10)^(A611-1)</f>
        <v>0</v>
      </c>
      <c r="G611" s="5" t="n">
        <f>MIN(F611,D611*C611)</f>
        <v>0</v>
      </c>
      <c r="H611" s="5" t="n">
        <f>I611/('Assumptions and Catalog'!$C$11*'Assumptions and Catalog'!$C$12)</f>
        <v>0</v>
      </c>
      <c r="I611" s="5" t="n">
        <f>IF(K$15="Grid cycle",MIN(K$16,D611+E611,P611*'Assumptions and Catalog'!$C$12,D$57*(24-'Assumptions and Catalog'!$C$15),D$56*'Assumptions and Catalog'!$C$15*'Assumptions and Catalog'!$C$11*'Assumptions and Catalog'!$C$12)*C611,0)</f>
        <v>0</v>
      </c>
      <c r="J611" s="5" t="n">
        <f>MAX(F611-G611-0,0)</f>
        <v>0</v>
      </c>
      <c r="K611" s="5" t="n">
        <f>H611-I611</f>
        <v>0</v>
      </c>
      <c r="L611" s="5" t="n">
        <f>(D611+E611)*C611-G611-I611+H611+IF(D$52&gt;0,'Assumptions and Catalog'!$C$26*C611,0)</f>
        <v>2421</v>
      </c>
      <c r="M611" s="5" t="n">
        <f>IF(ISNUMBER(Inputs!$L$5),(IF(Inputs!$L$9="Actual flat rate",((D611+E611)*C611)*Inputs!$L$10,IF(Inputs!$C$9="Residential",IF(((D611+E611)*C611)&lt;='Assumptions and Catalog'!$C$50,((D611+E611)*C611)*'Assumptions and Catalog'!$H$50+'Assumptions and Catalog'!$E$50+'Assumptions and Catalog'!$F$50,IF(((D611+E611)*C611)&lt;='Assumptions and Catalog'!$C$51,((D611+E611)*C611)*'Assumptions and Catalog'!$H$51+'Assumptions and Catalog'!$E$51+'Assumptions and Catalog'!$F$51,IF(((D611+E611)*C611)&lt;='Assumptions and Catalog'!$C$52,((D611+E611)*C611)*'Assumptions and Catalog'!$H$52+'Assumptions and Catalog'!$E$52+'Assumptions and Catalog'!$F$52,IF(((D611+E611)*C611)&lt;='Assumptions and Catalog'!$C$53,((D611+E611)*C611)*'Assumptions and Catalog'!$H$53+'Assumptions and Catalog'!$E$53+'Assumptions and Catalog'!$F$53,IF(((D611+E611)*C611)&lt;='Assumptions and Catalog'!$C$54,((D611+E611)*C611)*'Assumptions and Catalog'!$H$54+'Assumptions and Catalog'!$E$54+'Assumptions and Catalog'!$F$54,IF(((D611+E611)*C611)&lt;='Assumptions and Catalog'!$C$55,((D611+E611)*C611)*'Assumptions and Catalog'!$H$55+'Assumptions and Catalog'!$E$55+'Assumptions and Catalog'!$F$55,IF(((D611+E611)*C611)&lt;='Assumptions and Catalog'!$C$56,((D611+E611)*C611)*'Assumptions and Catalog'!$H$56+'Assumptions and Catalog'!$E$56+'Assumptions and Catalog'!$F$56,IF(((D611+E611)*C611)&lt;='Assumptions and Catalog'!$C$57,((D611+E611)*C611)*'Assumptions and Catalog'!$H$57+'Assumptions and Catalog'!$E$57+'Assumptions and Catalog'!$F$57,"Out of range")))))))),IF(((D611+E611)*C611)&lt;='Assumptions and Catalog'!$C$60,((D611+E611)*C611)*'Assumptions and Catalog'!$H$60+'Assumptions and Catalog'!$E$60+'Assumptions and Catalog'!$F$60,IF(((D611+E611)*C611)&lt;='Assumptions and Catalog'!$C$61,((D611+E611)*C611)*'Assumptions and Catalog'!$H$61+'Assumptions and Catalog'!$E$61+'Assumptions and Catalog'!$F$61,IF(((D611+E611)*C611)&lt;='Assumptions and Catalog'!$C$62,((D611+E611)*C611)*'Assumptions and Catalog'!$H$62+'Assumptions and Catalog'!$E$62+'Assumptions and Catalog'!$F$62,IF(((D611+E611)*C611)&lt;='Assumptions and Catalog'!$C$63,((D611+E611)*C611)*'Assumptions and Catalog'!$H$63+'Assumptions and Catalog'!$E$63+'Assumptions and Catalog'!$F$63,IF(((D611+E611)*C611)&lt;='Assumptions and Catalog'!$C$64,((D611+E611)*C611)*'Assumptions and Catalog'!$H$64+'Assumptions and Catalog'!$E$64+'Assumptions and Catalog'!$F$64,IF(((D611+E611)*C611)&lt;='Assumptions and Catalog'!$C$65,((D611+E611)*C611)*'Assumptions and Catalog'!$H$65+'Assumptions and Catalog'!$E$65+'Assumptions and Catalog'!$F$65,"Out of range")))))))))*(1+'Assumptions and Catalog'!$C$8)^(A611-1),0)</f>
        <v>6867.22</v>
      </c>
      <c r="N611" s="5" t="n">
        <f>IF(ISNUMBER(Inputs!$L$5),(IF(Inputs!$L$9="Actual flat rate",L611*Inputs!$L$10,IF(Inputs!$C$9="Residential",IF(L611&lt;='Assumptions and Catalog'!$C$50,L611*'Assumptions and Catalog'!$H$50+'Assumptions and Catalog'!$E$50+'Assumptions and Catalog'!$F$50,IF(L611&lt;='Assumptions and Catalog'!$C$51,L611*'Assumptions and Catalog'!$H$51+'Assumptions and Catalog'!$E$51+'Assumptions and Catalog'!$F$51,IF(L611&lt;='Assumptions and Catalog'!$C$52,L611*'Assumptions and Catalog'!$H$52+'Assumptions and Catalog'!$E$52+'Assumptions and Catalog'!$F$52,IF(L611&lt;='Assumptions and Catalog'!$C$53,L611*'Assumptions and Catalog'!$H$53+'Assumptions and Catalog'!$E$53+'Assumptions and Catalog'!$F$53,IF(L611&lt;='Assumptions and Catalog'!$C$54,L611*'Assumptions and Catalog'!$H$54+'Assumptions and Catalog'!$E$54+'Assumptions and Catalog'!$F$54,IF(L611&lt;='Assumptions and Catalog'!$C$55,L611*'Assumptions and Catalog'!$H$55+'Assumptions and Catalog'!$E$55+'Assumptions and Catalog'!$F$55,IF(L611&lt;='Assumptions and Catalog'!$C$56,L611*'Assumptions and Catalog'!$H$56+'Assumptions and Catalog'!$E$56+'Assumptions and Catalog'!$F$56,IF(L611&lt;='Assumptions and Catalog'!$C$57,L611*'Assumptions and Catalog'!$H$57+'Assumptions and Catalog'!$E$57+'Assumptions and Catalog'!$F$57,"Out of range")))))))),IF(L611&lt;='Assumptions and Catalog'!$C$60,L611*'Assumptions and Catalog'!$H$60+'Assumptions and Catalog'!$E$60+'Assumptions and Catalog'!$F$60,IF(L611&lt;='Assumptions and Catalog'!$C$61,L611*'Assumptions and Catalog'!$H$61+'Assumptions and Catalog'!$E$61+'Assumptions and Catalog'!$F$61,IF(L611&lt;='Assumptions and Catalog'!$C$62,L611*'Assumptions and Catalog'!$H$62+'Assumptions and Catalog'!$E$62+'Assumptions and Catalog'!$F$62,IF(L611&lt;='Assumptions and Catalog'!$C$63,L611*'Assumptions and Catalog'!$H$63+'Assumptions and Catalog'!$E$63+'Assumptions and Catalog'!$F$63,IF(L611&lt;='Assumptions and Catalog'!$C$64,L611*'Assumptions and Catalog'!$H$64+'Assumptions and Catalog'!$E$64+'Assumptions and Catalog'!$F$64,IF(L611&lt;='Assumptions and Catalog'!$C$65,L611*'Assumptions and Catalog'!$H$65+'Assumptions and Catalog'!$E$65+'Assumptions and Catalog'!$F$65,"Out of range")))))))))*(1+'Assumptions and Catalog'!$C$8)^(A611-1),0)</f>
        <v>6867.22</v>
      </c>
      <c r="O611" s="5" t="n">
        <f>M611-N611</f>
        <v>0</v>
      </c>
      <c r="P611" s="5" t="n">
        <f>D$55*(1-K$14)*(1-'Assumptions and Catalog'!$C$23)^R611</f>
        <v>0</v>
      </c>
      <c r="Q611" s="5" t="n">
        <f>IF(ISNUMBER(Inputs!$L$5),(IF(Inputs!$L$9="Actual flat rate",((D611+E611)*C611-G611)*Inputs!$L$10,IF(Inputs!$C$9="Residential",IF(((D611+E611)*C611-G611)&lt;='Assumptions and Catalog'!$C$50,((D611+E611)*C611-G611)*'Assumptions and Catalog'!$H$50+'Assumptions and Catalog'!$E$50+'Assumptions and Catalog'!$F$50,IF(((D611+E611)*C611-G611)&lt;='Assumptions and Catalog'!$C$51,((D611+E611)*C611-G611)*'Assumptions and Catalog'!$H$51+'Assumptions and Catalog'!$E$51+'Assumptions and Catalog'!$F$51,IF(((D611+E611)*C611-G611)&lt;='Assumptions and Catalog'!$C$52,((D611+E611)*C611-G611)*'Assumptions and Catalog'!$H$52+'Assumptions and Catalog'!$E$52+'Assumptions and Catalog'!$F$52,IF(((D611+E611)*C611-G611)&lt;='Assumptions and Catalog'!$C$53,((D611+E611)*C611-G611)*'Assumptions and Catalog'!$H$53+'Assumptions and Catalog'!$E$53+'Assumptions and Catalog'!$F$53,IF(((D611+E611)*C611-G611)&lt;='Assumptions and Catalog'!$C$54,((D611+E611)*C611-G611)*'Assumptions and Catalog'!$H$54+'Assumptions and Catalog'!$E$54+'Assumptions and Catalog'!$F$54,IF(((D611+E611)*C611-G611)&lt;='Assumptions and Catalog'!$C$55,((D611+E611)*C611-G611)*'Assumptions and Catalog'!$H$55+'Assumptions and Catalog'!$E$55+'Assumptions and Catalog'!$F$55,IF(((D611+E611)*C611-G611)&lt;='Assumptions and Catalog'!$C$56,((D611+E611)*C611-G611)*'Assumptions and Catalog'!$H$56+'Assumptions and Catalog'!$E$56+'Assumptions and Catalog'!$F$56,IF(((D611+E611)*C611-G611)&lt;='Assumptions and Catalog'!$C$57,((D611+E611)*C611-G611)*'Assumptions and Catalog'!$H$57+'Assumptions and Catalog'!$E$57+'Assumptions and Catalog'!$F$57,"Out of range")))))))),IF(((D611+E611)*C611-G611)&lt;='Assumptions and Catalog'!$C$60,((D611+E611)*C611-G611)*'Assumptions and Catalog'!$H$60+'Assumptions and Catalog'!$E$60+'Assumptions and Catalog'!$F$60,IF(((D611+E611)*C611-G611)&lt;='Assumptions and Catalog'!$C$61,((D611+E611)*C611-G611)*'Assumptions and Catalog'!$H$61+'Assumptions and Catalog'!$E$61+'Assumptions and Catalog'!$F$61,IF(((D611+E611)*C611-G611)&lt;='Assumptions and Catalog'!$C$62,((D611+E611)*C611-G611)*'Assumptions and Catalog'!$H$62+'Assumptions and Catalog'!$E$62+'Assumptions and Catalog'!$F$62,IF(((D611+E611)*C611-G611)&lt;='Assumptions and Catalog'!$C$63,((D611+E611)*C611-G611)*'Assumptions and Catalog'!$H$63+'Assumptions and Catalog'!$E$63+'Assumptions and Catalog'!$F$63,IF(((D611+E611)*C611-G611)&lt;='Assumptions and Catalog'!$C$64,((D611+E611)*C611-G611)*'Assumptions and Catalog'!$H$64+'Assumptions and Catalog'!$E$64+'Assumptions and Catalog'!$F$64,IF(((D611+E611)*C611-G611)&lt;='Assumptions and Catalog'!$C$65,((D611+E611)*C611-G611)*'Assumptions and Catalog'!$H$65+'Assumptions and Catalog'!$E$65+'Assumptions and Catalog'!$F$65,"Out of range")))))))))*(1+'Assumptions and Catalog'!$C$8)^(A611-1),0)</f>
        <v>6867.22</v>
      </c>
      <c r="R611" s="5" t="n">
        <f>IF(AND('Assumptions and Catalog'!$C$19&gt;0,A611&gt;='Assumptions and Catalog'!$C$19),A611-'Assumptions and Catalog'!$C$19,A611-1)</f>
        <v>6</v>
      </c>
      <c r="S611" s="5" t="n">
        <f>F611+L611-(D611+E611)*C611-J611-K611-IF(D$52&gt;0,'Assumptions and Catalog'!$C$26*C611,0)</f>
        <v>0</v>
      </c>
      <c r="T611" s="5"/>
      <c r="U611" s="5"/>
    </row>
    <row r="612" ht="23.100000381469727" customHeight="1">
      <c r="A612" s="5" t="n">
        <v>17</v>
      </c>
      <c r="B612" s="5" t="n">
        <v>10</v>
      </c>
      <c r="C612" s="5" t="n">
        <f>DAY(DATE('Assumptions and Catalog'!$C$24+A612-1,B612+1,0))</f>
        <v>31</v>
      </c>
      <c r="D612" s="5" t="n">
        <f>IF(ISNUMBER(Inputs!$L$5),Inputs!$L$5*Inputs!$L$6,0)</f>
        <v>40.35</v>
      </c>
      <c r="E612" s="5" t="n">
        <f>IF(ISNUMBER(Inputs!$L$5),Inputs!$L$5-D612,0)</f>
        <v>40.35</v>
      </c>
      <c r="F612" s="5" t="n">
        <f>D$51*'Assumptions and Catalog'!$C$31*C612*(1-'Assumptions and Catalog'!$C$10)^(A612-1)</f>
        <v>0</v>
      </c>
      <c r="G612" s="5" t="n">
        <f>MIN(F612,D612*C612)</f>
        <v>0</v>
      </c>
      <c r="H612" s="5" t="n">
        <f>I612/('Assumptions and Catalog'!$C$11*'Assumptions and Catalog'!$C$12)</f>
        <v>0</v>
      </c>
      <c r="I612" s="5" t="n">
        <f>IF(K$15="Grid cycle",MIN(K$16,D612+E612,P612*'Assumptions and Catalog'!$C$12,D$57*(24-'Assumptions and Catalog'!$C$15),D$56*'Assumptions and Catalog'!$C$15*'Assumptions and Catalog'!$C$11*'Assumptions and Catalog'!$C$12)*C612,0)</f>
        <v>0</v>
      </c>
      <c r="J612" s="5" t="n">
        <f>MAX(F612-G612-0,0)</f>
        <v>0</v>
      </c>
      <c r="K612" s="5" t="n">
        <f>H612-I612</f>
        <v>0</v>
      </c>
      <c r="L612" s="5" t="n">
        <f>(D612+E612)*C612-G612-I612+H612+IF(D$52&gt;0,'Assumptions and Catalog'!$C$26*C612,0)</f>
        <v>2501.7</v>
      </c>
      <c r="M612" s="5" t="n">
        <f>IF(ISNUMBER(Inputs!$L$5),(IF(Inputs!$L$9="Actual flat rate",((D612+E612)*C612)*Inputs!$L$10,IF(Inputs!$C$9="Residential",IF(((D612+E612)*C612)&lt;='Assumptions and Catalog'!$C$50,((D612+E612)*C612)*'Assumptions and Catalog'!$H$50+'Assumptions and Catalog'!$E$50+'Assumptions and Catalog'!$F$50,IF(((D612+E612)*C612)&lt;='Assumptions and Catalog'!$C$51,((D612+E612)*C612)*'Assumptions and Catalog'!$H$51+'Assumptions and Catalog'!$E$51+'Assumptions and Catalog'!$F$51,IF(((D612+E612)*C612)&lt;='Assumptions and Catalog'!$C$52,((D612+E612)*C612)*'Assumptions and Catalog'!$H$52+'Assumptions and Catalog'!$E$52+'Assumptions and Catalog'!$F$52,IF(((D612+E612)*C612)&lt;='Assumptions and Catalog'!$C$53,((D612+E612)*C612)*'Assumptions and Catalog'!$H$53+'Assumptions and Catalog'!$E$53+'Assumptions and Catalog'!$F$53,IF(((D612+E612)*C612)&lt;='Assumptions and Catalog'!$C$54,((D612+E612)*C612)*'Assumptions and Catalog'!$H$54+'Assumptions and Catalog'!$E$54+'Assumptions and Catalog'!$F$54,IF(((D612+E612)*C612)&lt;='Assumptions and Catalog'!$C$55,((D612+E612)*C612)*'Assumptions and Catalog'!$H$55+'Assumptions and Catalog'!$E$55+'Assumptions and Catalog'!$F$55,IF(((D612+E612)*C612)&lt;='Assumptions and Catalog'!$C$56,((D612+E612)*C612)*'Assumptions and Catalog'!$H$56+'Assumptions and Catalog'!$E$56+'Assumptions and Catalog'!$F$56,IF(((D612+E612)*C612)&lt;='Assumptions and Catalog'!$C$57,((D612+E612)*C612)*'Assumptions and Catalog'!$H$57+'Assumptions and Catalog'!$E$57+'Assumptions and Catalog'!$F$57,"Out of range")))))))),IF(((D612+E612)*C612)&lt;='Assumptions and Catalog'!$C$60,((D612+E612)*C612)*'Assumptions and Catalog'!$H$60+'Assumptions and Catalog'!$E$60+'Assumptions and Catalog'!$F$60,IF(((D612+E612)*C612)&lt;='Assumptions and Catalog'!$C$61,((D612+E612)*C612)*'Assumptions and Catalog'!$H$61+'Assumptions and Catalog'!$E$61+'Assumptions and Catalog'!$F$61,IF(((D612+E612)*C612)&lt;='Assumptions and Catalog'!$C$62,((D612+E612)*C612)*'Assumptions and Catalog'!$H$62+'Assumptions and Catalog'!$E$62+'Assumptions and Catalog'!$F$62,IF(((D612+E612)*C612)&lt;='Assumptions and Catalog'!$C$63,((D612+E612)*C612)*'Assumptions and Catalog'!$H$63+'Assumptions and Catalog'!$E$63+'Assumptions and Catalog'!$F$63,IF(((D612+E612)*C612)&lt;='Assumptions and Catalog'!$C$64,((D612+E612)*C612)*'Assumptions and Catalog'!$H$64+'Assumptions and Catalog'!$E$64+'Assumptions and Catalog'!$F$64,IF(((D612+E612)*C612)&lt;='Assumptions and Catalog'!$C$65,((D612+E612)*C612)*'Assumptions and Catalog'!$H$65+'Assumptions and Catalog'!$E$65+'Assumptions and Catalog'!$F$65,"Out of range")))))))))*(1+'Assumptions and Catalog'!$C$8)^(A612-1),0)</f>
        <v>7094.794</v>
      </c>
      <c r="N612" s="5" t="n">
        <f>IF(ISNUMBER(Inputs!$L$5),(IF(Inputs!$L$9="Actual flat rate",L612*Inputs!$L$10,IF(Inputs!$C$9="Residential",IF(L612&lt;='Assumptions and Catalog'!$C$50,L612*'Assumptions and Catalog'!$H$50+'Assumptions and Catalog'!$E$50+'Assumptions and Catalog'!$F$50,IF(L612&lt;='Assumptions and Catalog'!$C$51,L612*'Assumptions and Catalog'!$H$51+'Assumptions and Catalog'!$E$51+'Assumptions and Catalog'!$F$51,IF(L612&lt;='Assumptions and Catalog'!$C$52,L612*'Assumptions and Catalog'!$H$52+'Assumptions and Catalog'!$E$52+'Assumptions and Catalog'!$F$52,IF(L612&lt;='Assumptions and Catalog'!$C$53,L612*'Assumptions and Catalog'!$H$53+'Assumptions and Catalog'!$E$53+'Assumptions and Catalog'!$F$53,IF(L612&lt;='Assumptions and Catalog'!$C$54,L612*'Assumptions and Catalog'!$H$54+'Assumptions and Catalog'!$E$54+'Assumptions and Catalog'!$F$54,IF(L612&lt;='Assumptions and Catalog'!$C$55,L612*'Assumptions and Catalog'!$H$55+'Assumptions and Catalog'!$E$55+'Assumptions and Catalog'!$F$55,IF(L612&lt;='Assumptions and Catalog'!$C$56,L612*'Assumptions and Catalog'!$H$56+'Assumptions and Catalog'!$E$56+'Assumptions and Catalog'!$F$56,IF(L612&lt;='Assumptions and Catalog'!$C$57,L612*'Assumptions and Catalog'!$H$57+'Assumptions and Catalog'!$E$57+'Assumptions and Catalog'!$F$57,"Out of range")))))))),IF(L612&lt;='Assumptions and Catalog'!$C$60,L612*'Assumptions and Catalog'!$H$60+'Assumptions and Catalog'!$E$60+'Assumptions and Catalog'!$F$60,IF(L612&lt;='Assumptions and Catalog'!$C$61,L612*'Assumptions and Catalog'!$H$61+'Assumptions and Catalog'!$E$61+'Assumptions and Catalog'!$F$61,IF(L612&lt;='Assumptions and Catalog'!$C$62,L612*'Assumptions and Catalog'!$H$62+'Assumptions and Catalog'!$E$62+'Assumptions and Catalog'!$F$62,IF(L612&lt;='Assumptions and Catalog'!$C$63,L612*'Assumptions and Catalog'!$H$63+'Assumptions and Catalog'!$E$63+'Assumptions and Catalog'!$F$63,IF(L612&lt;='Assumptions and Catalog'!$C$64,L612*'Assumptions and Catalog'!$H$64+'Assumptions and Catalog'!$E$64+'Assumptions and Catalog'!$F$64,IF(L612&lt;='Assumptions and Catalog'!$C$65,L612*'Assumptions and Catalog'!$H$65+'Assumptions and Catalog'!$E$65+'Assumptions and Catalog'!$F$65,"Out of range")))))))))*(1+'Assumptions and Catalog'!$C$8)^(A612-1),0)</f>
        <v>7094.794</v>
      </c>
      <c r="O612" s="5" t="n">
        <f>M612-N612</f>
        <v>0</v>
      </c>
      <c r="P612" s="5" t="n">
        <f>D$55*(1-K$14)*(1-'Assumptions and Catalog'!$C$23)^R612</f>
        <v>0</v>
      </c>
      <c r="Q612" s="5" t="n">
        <f>IF(ISNUMBER(Inputs!$L$5),(IF(Inputs!$L$9="Actual flat rate",((D612+E612)*C612-G612)*Inputs!$L$10,IF(Inputs!$C$9="Residential",IF(((D612+E612)*C612-G612)&lt;='Assumptions and Catalog'!$C$50,((D612+E612)*C612-G612)*'Assumptions and Catalog'!$H$50+'Assumptions and Catalog'!$E$50+'Assumptions and Catalog'!$F$50,IF(((D612+E612)*C612-G612)&lt;='Assumptions and Catalog'!$C$51,((D612+E612)*C612-G612)*'Assumptions and Catalog'!$H$51+'Assumptions and Catalog'!$E$51+'Assumptions and Catalog'!$F$51,IF(((D612+E612)*C612-G612)&lt;='Assumptions and Catalog'!$C$52,((D612+E612)*C612-G612)*'Assumptions and Catalog'!$H$52+'Assumptions and Catalog'!$E$52+'Assumptions and Catalog'!$F$52,IF(((D612+E612)*C612-G612)&lt;='Assumptions and Catalog'!$C$53,((D612+E612)*C612-G612)*'Assumptions and Catalog'!$H$53+'Assumptions and Catalog'!$E$53+'Assumptions and Catalog'!$F$53,IF(((D612+E612)*C612-G612)&lt;='Assumptions and Catalog'!$C$54,((D612+E612)*C612-G612)*'Assumptions and Catalog'!$H$54+'Assumptions and Catalog'!$E$54+'Assumptions and Catalog'!$F$54,IF(((D612+E612)*C612-G612)&lt;='Assumptions and Catalog'!$C$55,((D612+E612)*C612-G612)*'Assumptions and Catalog'!$H$55+'Assumptions and Catalog'!$E$55+'Assumptions and Catalog'!$F$55,IF(((D612+E612)*C612-G612)&lt;='Assumptions and Catalog'!$C$56,((D612+E612)*C612-G612)*'Assumptions and Catalog'!$H$56+'Assumptions and Catalog'!$E$56+'Assumptions and Catalog'!$F$56,IF(((D612+E612)*C612-G612)&lt;='Assumptions and Catalog'!$C$57,((D612+E612)*C612-G612)*'Assumptions and Catalog'!$H$57+'Assumptions and Catalog'!$E$57+'Assumptions and Catalog'!$F$57,"Out of range")))))))),IF(((D612+E612)*C612-G612)&lt;='Assumptions and Catalog'!$C$60,((D612+E612)*C612-G612)*'Assumptions and Catalog'!$H$60+'Assumptions and Catalog'!$E$60+'Assumptions and Catalog'!$F$60,IF(((D612+E612)*C612-G612)&lt;='Assumptions and Catalog'!$C$61,((D612+E612)*C612-G612)*'Assumptions and Catalog'!$H$61+'Assumptions and Catalog'!$E$61+'Assumptions and Catalog'!$F$61,IF(((D612+E612)*C612-G612)&lt;='Assumptions and Catalog'!$C$62,((D612+E612)*C612-G612)*'Assumptions and Catalog'!$H$62+'Assumptions and Catalog'!$E$62+'Assumptions and Catalog'!$F$62,IF(((D612+E612)*C612-G612)&lt;='Assumptions and Catalog'!$C$63,((D612+E612)*C612-G612)*'Assumptions and Catalog'!$H$63+'Assumptions and Catalog'!$E$63+'Assumptions and Catalog'!$F$63,IF(((D612+E612)*C612-G612)&lt;='Assumptions and Catalog'!$C$64,((D612+E612)*C612-G612)*'Assumptions and Catalog'!$H$64+'Assumptions and Catalog'!$E$64+'Assumptions and Catalog'!$F$64,IF(((D612+E612)*C612-G612)&lt;='Assumptions and Catalog'!$C$65,((D612+E612)*C612-G612)*'Assumptions and Catalog'!$H$65+'Assumptions and Catalog'!$E$65+'Assumptions and Catalog'!$F$65,"Out of range")))))))))*(1+'Assumptions and Catalog'!$C$8)^(A612-1),0)</f>
        <v>7094.794</v>
      </c>
      <c r="R612" s="5" t="n">
        <f>IF(AND('Assumptions and Catalog'!$C$19&gt;0,A612&gt;='Assumptions and Catalog'!$C$19),A612-'Assumptions and Catalog'!$C$19,A612-1)</f>
        <v>6</v>
      </c>
      <c r="S612" s="5" t="n">
        <f>F612+L612-(D612+E612)*C612-J612-K612-IF(D$52&gt;0,'Assumptions and Catalog'!$C$26*C612,0)</f>
        <v>0</v>
      </c>
      <c r="T612" s="5"/>
      <c r="U612" s="5"/>
    </row>
    <row r="613" ht="23.100000381469727" customHeight="1">
      <c r="A613" s="5" t="n">
        <v>17</v>
      </c>
      <c r="B613" s="5" t="n">
        <v>11</v>
      </c>
      <c r="C613" s="5" t="n">
        <f>DAY(DATE('Assumptions and Catalog'!$C$24+A613-1,B613+1,0))</f>
        <v>30</v>
      </c>
      <c r="D613" s="5" t="n">
        <f>IF(ISNUMBER(Inputs!$L$5),Inputs!$L$5*Inputs!$L$6,0)</f>
        <v>40.35</v>
      </c>
      <c r="E613" s="5" t="n">
        <f>IF(ISNUMBER(Inputs!$L$5),Inputs!$L$5-D613,0)</f>
        <v>40.35</v>
      </c>
      <c r="F613" s="5" t="n">
        <f>D$51*'Assumptions and Catalog'!$C$31*C613*(1-'Assumptions and Catalog'!$C$10)^(A613-1)</f>
        <v>0</v>
      </c>
      <c r="G613" s="5" t="n">
        <f>MIN(F613,D613*C613)</f>
        <v>0</v>
      </c>
      <c r="H613" s="5" t="n">
        <f>I613/('Assumptions and Catalog'!$C$11*'Assumptions and Catalog'!$C$12)</f>
        <v>0</v>
      </c>
      <c r="I613" s="5" t="n">
        <f>IF(K$15="Grid cycle",MIN(K$16,D613+E613,P613*'Assumptions and Catalog'!$C$12,D$57*(24-'Assumptions and Catalog'!$C$15),D$56*'Assumptions and Catalog'!$C$15*'Assumptions and Catalog'!$C$11*'Assumptions and Catalog'!$C$12)*C613,0)</f>
        <v>0</v>
      </c>
      <c r="J613" s="5" t="n">
        <f>MAX(F613-G613-0,0)</f>
        <v>0</v>
      </c>
      <c r="K613" s="5" t="n">
        <f>H613-I613</f>
        <v>0</v>
      </c>
      <c r="L613" s="5" t="n">
        <f>(D613+E613)*C613-G613-I613+H613+IF(D$52&gt;0,'Assumptions and Catalog'!$C$26*C613,0)</f>
        <v>2421</v>
      </c>
      <c r="M613" s="5" t="n">
        <f>IF(ISNUMBER(Inputs!$L$5),(IF(Inputs!$L$9="Actual flat rate",((D613+E613)*C613)*Inputs!$L$10,IF(Inputs!$C$9="Residential",IF(((D613+E613)*C613)&lt;='Assumptions and Catalog'!$C$50,((D613+E613)*C613)*'Assumptions and Catalog'!$H$50+'Assumptions and Catalog'!$E$50+'Assumptions and Catalog'!$F$50,IF(((D613+E613)*C613)&lt;='Assumptions and Catalog'!$C$51,((D613+E613)*C613)*'Assumptions and Catalog'!$H$51+'Assumptions and Catalog'!$E$51+'Assumptions and Catalog'!$F$51,IF(((D613+E613)*C613)&lt;='Assumptions and Catalog'!$C$52,((D613+E613)*C613)*'Assumptions and Catalog'!$H$52+'Assumptions and Catalog'!$E$52+'Assumptions and Catalog'!$F$52,IF(((D613+E613)*C613)&lt;='Assumptions and Catalog'!$C$53,((D613+E613)*C613)*'Assumptions and Catalog'!$H$53+'Assumptions and Catalog'!$E$53+'Assumptions and Catalog'!$F$53,IF(((D613+E613)*C613)&lt;='Assumptions and Catalog'!$C$54,((D613+E613)*C613)*'Assumptions and Catalog'!$H$54+'Assumptions and Catalog'!$E$54+'Assumptions and Catalog'!$F$54,IF(((D613+E613)*C613)&lt;='Assumptions and Catalog'!$C$55,((D613+E613)*C613)*'Assumptions and Catalog'!$H$55+'Assumptions and Catalog'!$E$55+'Assumptions and Catalog'!$F$55,IF(((D613+E613)*C613)&lt;='Assumptions and Catalog'!$C$56,((D613+E613)*C613)*'Assumptions and Catalog'!$H$56+'Assumptions and Catalog'!$E$56+'Assumptions and Catalog'!$F$56,IF(((D613+E613)*C613)&lt;='Assumptions and Catalog'!$C$57,((D613+E613)*C613)*'Assumptions and Catalog'!$H$57+'Assumptions and Catalog'!$E$57+'Assumptions and Catalog'!$F$57,"Out of range")))))))),IF(((D613+E613)*C613)&lt;='Assumptions and Catalog'!$C$60,((D613+E613)*C613)*'Assumptions and Catalog'!$H$60+'Assumptions and Catalog'!$E$60+'Assumptions and Catalog'!$F$60,IF(((D613+E613)*C613)&lt;='Assumptions and Catalog'!$C$61,((D613+E613)*C613)*'Assumptions and Catalog'!$H$61+'Assumptions and Catalog'!$E$61+'Assumptions and Catalog'!$F$61,IF(((D613+E613)*C613)&lt;='Assumptions and Catalog'!$C$62,((D613+E613)*C613)*'Assumptions and Catalog'!$H$62+'Assumptions and Catalog'!$E$62+'Assumptions and Catalog'!$F$62,IF(((D613+E613)*C613)&lt;='Assumptions and Catalog'!$C$63,((D613+E613)*C613)*'Assumptions and Catalog'!$H$63+'Assumptions and Catalog'!$E$63+'Assumptions and Catalog'!$F$63,IF(((D613+E613)*C613)&lt;='Assumptions and Catalog'!$C$64,((D613+E613)*C613)*'Assumptions and Catalog'!$H$64+'Assumptions and Catalog'!$E$64+'Assumptions and Catalog'!$F$64,IF(((D613+E613)*C613)&lt;='Assumptions and Catalog'!$C$65,((D613+E613)*C613)*'Assumptions and Catalog'!$H$65+'Assumptions and Catalog'!$E$65+'Assumptions and Catalog'!$F$65,"Out of range")))))))))*(1+'Assumptions and Catalog'!$C$8)^(A613-1),0)</f>
        <v>6867.22</v>
      </c>
      <c r="N613" s="5" t="n">
        <f>IF(ISNUMBER(Inputs!$L$5),(IF(Inputs!$L$9="Actual flat rate",L613*Inputs!$L$10,IF(Inputs!$C$9="Residential",IF(L613&lt;='Assumptions and Catalog'!$C$50,L613*'Assumptions and Catalog'!$H$50+'Assumptions and Catalog'!$E$50+'Assumptions and Catalog'!$F$50,IF(L613&lt;='Assumptions and Catalog'!$C$51,L613*'Assumptions and Catalog'!$H$51+'Assumptions and Catalog'!$E$51+'Assumptions and Catalog'!$F$51,IF(L613&lt;='Assumptions and Catalog'!$C$52,L613*'Assumptions and Catalog'!$H$52+'Assumptions and Catalog'!$E$52+'Assumptions and Catalog'!$F$52,IF(L613&lt;='Assumptions and Catalog'!$C$53,L613*'Assumptions and Catalog'!$H$53+'Assumptions and Catalog'!$E$53+'Assumptions and Catalog'!$F$53,IF(L613&lt;='Assumptions and Catalog'!$C$54,L613*'Assumptions and Catalog'!$H$54+'Assumptions and Catalog'!$E$54+'Assumptions and Catalog'!$F$54,IF(L613&lt;='Assumptions and Catalog'!$C$55,L613*'Assumptions and Catalog'!$H$55+'Assumptions and Catalog'!$E$55+'Assumptions and Catalog'!$F$55,IF(L613&lt;='Assumptions and Catalog'!$C$56,L613*'Assumptions and Catalog'!$H$56+'Assumptions and Catalog'!$E$56+'Assumptions and Catalog'!$F$56,IF(L613&lt;='Assumptions and Catalog'!$C$57,L613*'Assumptions and Catalog'!$H$57+'Assumptions and Catalog'!$E$57+'Assumptions and Catalog'!$F$57,"Out of range")))))))),IF(L613&lt;='Assumptions and Catalog'!$C$60,L613*'Assumptions and Catalog'!$H$60+'Assumptions and Catalog'!$E$60+'Assumptions and Catalog'!$F$60,IF(L613&lt;='Assumptions and Catalog'!$C$61,L613*'Assumptions and Catalog'!$H$61+'Assumptions and Catalog'!$E$61+'Assumptions and Catalog'!$F$61,IF(L613&lt;='Assumptions and Catalog'!$C$62,L613*'Assumptions and Catalog'!$H$62+'Assumptions and Catalog'!$E$62+'Assumptions and Catalog'!$F$62,IF(L613&lt;='Assumptions and Catalog'!$C$63,L613*'Assumptions and Catalog'!$H$63+'Assumptions and Catalog'!$E$63+'Assumptions and Catalog'!$F$63,IF(L613&lt;='Assumptions and Catalog'!$C$64,L613*'Assumptions and Catalog'!$H$64+'Assumptions and Catalog'!$E$64+'Assumptions and Catalog'!$F$64,IF(L613&lt;='Assumptions and Catalog'!$C$65,L613*'Assumptions and Catalog'!$H$65+'Assumptions and Catalog'!$E$65+'Assumptions and Catalog'!$F$65,"Out of range")))))))))*(1+'Assumptions and Catalog'!$C$8)^(A613-1),0)</f>
        <v>6867.22</v>
      </c>
      <c r="O613" s="5" t="n">
        <f>M613-N613</f>
        <v>0</v>
      </c>
      <c r="P613" s="5" t="n">
        <f>D$55*(1-K$14)*(1-'Assumptions and Catalog'!$C$23)^R613</f>
        <v>0</v>
      </c>
      <c r="Q613" s="5" t="n">
        <f>IF(ISNUMBER(Inputs!$L$5),(IF(Inputs!$L$9="Actual flat rate",((D613+E613)*C613-G613)*Inputs!$L$10,IF(Inputs!$C$9="Residential",IF(((D613+E613)*C613-G613)&lt;='Assumptions and Catalog'!$C$50,((D613+E613)*C613-G613)*'Assumptions and Catalog'!$H$50+'Assumptions and Catalog'!$E$50+'Assumptions and Catalog'!$F$50,IF(((D613+E613)*C613-G613)&lt;='Assumptions and Catalog'!$C$51,((D613+E613)*C613-G613)*'Assumptions and Catalog'!$H$51+'Assumptions and Catalog'!$E$51+'Assumptions and Catalog'!$F$51,IF(((D613+E613)*C613-G613)&lt;='Assumptions and Catalog'!$C$52,((D613+E613)*C613-G613)*'Assumptions and Catalog'!$H$52+'Assumptions and Catalog'!$E$52+'Assumptions and Catalog'!$F$52,IF(((D613+E613)*C613-G613)&lt;='Assumptions and Catalog'!$C$53,((D613+E613)*C613-G613)*'Assumptions and Catalog'!$H$53+'Assumptions and Catalog'!$E$53+'Assumptions and Catalog'!$F$53,IF(((D613+E613)*C613-G613)&lt;='Assumptions and Catalog'!$C$54,((D613+E613)*C613-G613)*'Assumptions and Catalog'!$H$54+'Assumptions and Catalog'!$E$54+'Assumptions and Catalog'!$F$54,IF(((D613+E613)*C613-G613)&lt;='Assumptions and Catalog'!$C$55,((D613+E613)*C613-G613)*'Assumptions and Catalog'!$H$55+'Assumptions and Catalog'!$E$55+'Assumptions and Catalog'!$F$55,IF(((D613+E613)*C613-G613)&lt;='Assumptions and Catalog'!$C$56,((D613+E613)*C613-G613)*'Assumptions and Catalog'!$H$56+'Assumptions and Catalog'!$E$56+'Assumptions and Catalog'!$F$56,IF(((D613+E613)*C613-G613)&lt;='Assumptions and Catalog'!$C$57,((D613+E613)*C613-G613)*'Assumptions and Catalog'!$H$57+'Assumptions and Catalog'!$E$57+'Assumptions and Catalog'!$F$57,"Out of range")))))))),IF(((D613+E613)*C613-G613)&lt;='Assumptions and Catalog'!$C$60,((D613+E613)*C613-G613)*'Assumptions and Catalog'!$H$60+'Assumptions and Catalog'!$E$60+'Assumptions and Catalog'!$F$60,IF(((D613+E613)*C613-G613)&lt;='Assumptions and Catalog'!$C$61,((D613+E613)*C613-G613)*'Assumptions and Catalog'!$H$61+'Assumptions and Catalog'!$E$61+'Assumptions and Catalog'!$F$61,IF(((D613+E613)*C613-G613)&lt;='Assumptions and Catalog'!$C$62,((D613+E613)*C613-G613)*'Assumptions and Catalog'!$H$62+'Assumptions and Catalog'!$E$62+'Assumptions and Catalog'!$F$62,IF(((D613+E613)*C613-G613)&lt;='Assumptions and Catalog'!$C$63,((D613+E613)*C613-G613)*'Assumptions and Catalog'!$H$63+'Assumptions and Catalog'!$E$63+'Assumptions and Catalog'!$F$63,IF(((D613+E613)*C613-G613)&lt;='Assumptions and Catalog'!$C$64,((D613+E613)*C613-G613)*'Assumptions and Catalog'!$H$64+'Assumptions and Catalog'!$E$64+'Assumptions and Catalog'!$F$64,IF(((D613+E613)*C613-G613)&lt;='Assumptions and Catalog'!$C$65,((D613+E613)*C613-G613)*'Assumptions and Catalog'!$H$65+'Assumptions and Catalog'!$E$65+'Assumptions and Catalog'!$F$65,"Out of range")))))))))*(1+'Assumptions and Catalog'!$C$8)^(A613-1),0)</f>
        <v>6867.22</v>
      </c>
      <c r="R613" s="5" t="n">
        <f>IF(AND('Assumptions and Catalog'!$C$19&gt;0,A613&gt;='Assumptions and Catalog'!$C$19),A613-'Assumptions and Catalog'!$C$19,A613-1)</f>
        <v>6</v>
      </c>
      <c r="S613" s="5" t="n">
        <f>F613+L613-(D613+E613)*C613-J613-K613-IF(D$52&gt;0,'Assumptions and Catalog'!$C$26*C613,0)</f>
        <v>0</v>
      </c>
      <c r="T613" s="5"/>
      <c r="U613" s="5"/>
    </row>
    <row r="614" ht="23.100000381469727" customHeight="1">
      <c r="A614" s="5" t="n">
        <v>17</v>
      </c>
      <c r="B614" s="5" t="n">
        <v>12</v>
      </c>
      <c r="C614" s="5" t="n">
        <f>DAY(DATE('Assumptions and Catalog'!$C$24+A614-1,B614+1,0))</f>
        <v>31</v>
      </c>
      <c r="D614" s="5" t="n">
        <f>IF(ISNUMBER(Inputs!$L$5),Inputs!$L$5*Inputs!$L$6,0)</f>
        <v>40.35</v>
      </c>
      <c r="E614" s="5" t="n">
        <f>IF(ISNUMBER(Inputs!$L$5),Inputs!$L$5-D614,0)</f>
        <v>40.35</v>
      </c>
      <c r="F614" s="5" t="n">
        <f>D$51*'Assumptions and Catalog'!$C$31*C614*(1-'Assumptions and Catalog'!$C$10)^(A614-1)</f>
        <v>0</v>
      </c>
      <c r="G614" s="5" t="n">
        <f>MIN(F614,D614*C614)</f>
        <v>0</v>
      </c>
      <c r="H614" s="5" t="n">
        <f>I614/('Assumptions and Catalog'!$C$11*'Assumptions and Catalog'!$C$12)</f>
        <v>0</v>
      </c>
      <c r="I614" s="5" t="n">
        <f>IF(K$15="Grid cycle",MIN(K$16,D614+E614,P614*'Assumptions and Catalog'!$C$12,D$57*(24-'Assumptions and Catalog'!$C$15),D$56*'Assumptions and Catalog'!$C$15*'Assumptions and Catalog'!$C$11*'Assumptions and Catalog'!$C$12)*C614,0)</f>
        <v>0</v>
      </c>
      <c r="J614" s="5" t="n">
        <f>MAX(F614-G614-0,0)</f>
        <v>0</v>
      </c>
      <c r="K614" s="5" t="n">
        <f>H614-I614</f>
        <v>0</v>
      </c>
      <c r="L614" s="5" t="n">
        <f>(D614+E614)*C614-G614-I614+H614+IF(D$52&gt;0,'Assumptions and Catalog'!$C$26*C614,0)</f>
        <v>2501.7</v>
      </c>
      <c r="M614" s="5" t="n">
        <f>IF(ISNUMBER(Inputs!$L$5),(IF(Inputs!$L$9="Actual flat rate",((D614+E614)*C614)*Inputs!$L$10,IF(Inputs!$C$9="Residential",IF(((D614+E614)*C614)&lt;='Assumptions and Catalog'!$C$50,((D614+E614)*C614)*'Assumptions and Catalog'!$H$50+'Assumptions and Catalog'!$E$50+'Assumptions and Catalog'!$F$50,IF(((D614+E614)*C614)&lt;='Assumptions and Catalog'!$C$51,((D614+E614)*C614)*'Assumptions and Catalog'!$H$51+'Assumptions and Catalog'!$E$51+'Assumptions and Catalog'!$F$51,IF(((D614+E614)*C614)&lt;='Assumptions and Catalog'!$C$52,((D614+E614)*C614)*'Assumptions and Catalog'!$H$52+'Assumptions and Catalog'!$E$52+'Assumptions and Catalog'!$F$52,IF(((D614+E614)*C614)&lt;='Assumptions and Catalog'!$C$53,((D614+E614)*C614)*'Assumptions and Catalog'!$H$53+'Assumptions and Catalog'!$E$53+'Assumptions and Catalog'!$F$53,IF(((D614+E614)*C614)&lt;='Assumptions and Catalog'!$C$54,((D614+E614)*C614)*'Assumptions and Catalog'!$H$54+'Assumptions and Catalog'!$E$54+'Assumptions and Catalog'!$F$54,IF(((D614+E614)*C614)&lt;='Assumptions and Catalog'!$C$55,((D614+E614)*C614)*'Assumptions and Catalog'!$H$55+'Assumptions and Catalog'!$E$55+'Assumptions and Catalog'!$F$55,IF(((D614+E614)*C614)&lt;='Assumptions and Catalog'!$C$56,((D614+E614)*C614)*'Assumptions and Catalog'!$H$56+'Assumptions and Catalog'!$E$56+'Assumptions and Catalog'!$F$56,IF(((D614+E614)*C614)&lt;='Assumptions and Catalog'!$C$57,((D614+E614)*C614)*'Assumptions and Catalog'!$H$57+'Assumptions and Catalog'!$E$57+'Assumptions and Catalog'!$F$57,"Out of range")))))))),IF(((D614+E614)*C614)&lt;='Assumptions and Catalog'!$C$60,((D614+E614)*C614)*'Assumptions and Catalog'!$H$60+'Assumptions and Catalog'!$E$60+'Assumptions and Catalog'!$F$60,IF(((D614+E614)*C614)&lt;='Assumptions and Catalog'!$C$61,((D614+E614)*C614)*'Assumptions and Catalog'!$H$61+'Assumptions and Catalog'!$E$61+'Assumptions and Catalog'!$F$61,IF(((D614+E614)*C614)&lt;='Assumptions and Catalog'!$C$62,((D614+E614)*C614)*'Assumptions and Catalog'!$H$62+'Assumptions and Catalog'!$E$62+'Assumptions and Catalog'!$F$62,IF(((D614+E614)*C614)&lt;='Assumptions and Catalog'!$C$63,((D614+E614)*C614)*'Assumptions and Catalog'!$H$63+'Assumptions and Catalog'!$E$63+'Assumptions and Catalog'!$F$63,IF(((D614+E614)*C614)&lt;='Assumptions and Catalog'!$C$64,((D614+E614)*C614)*'Assumptions and Catalog'!$H$64+'Assumptions and Catalog'!$E$64+'Assumptions and Catalog'!$F$64,IF(((D614+E614)*C614)&lt;='Assumptions and Catalog'!$C$65,((D614+E614)*C614)*'Assumptions and Catalog'!$H$65+'Assumptions and Catalog'!$E$65+'Assumptions and Catalog'!$F$65,"Out of range")))))))))*(1+'Assumptions and Catalog'!$C$8)^(A614-1),0)</f>
        <v>7094.794</v>
      </c>
      <c r="N614" s="5" t="n">
        <f>IF(ISNUMBER(Inputs!$L$5),(IF(Inputs!$L$9="Actual flat rate",L614*Inputs!$L$10,IF(Inputs!$C$9="Residential",IF(L614&lt;='Assumptions and Catalog'!$C$50,L614*'Assumptions and Catalog'!$H$50+'Assumptions and Catalog'!$E$50+'Assumptions and Catalog'!$F$50,IF(L614&lt;='Assumptions and Catalog'!$C$51,L614*'Assumptions and Catalog'!$H$51+'Assumptions and Catalog'!$E$51+'Assumptions and Catalog'!$F$51,IF(L614&lt;='Assumptions and Catalog'!$C$52,L614*'Assumptions and Catalog'!$H$52+'Assumptions and Catalog'!$E$52+'Assumptions and Catalog'!$F$52,IF(L614&lt;='Assumptions and Catalog'!$C$53,L614*'Assumptions and Catalog'!$H$53+'Assumptions and Catalog'!$E$53+'Assumptions and Catalog'!$F$53,IF(L614&lt;='Assumptions and Catalog'!$C$54,L614*'Assumptions and Catalog'!$H$54+'Assumptions and Catalog'!$E$54+'Assumptions and Catalog'!$F$54,IF(L614&lt;='Assumptions and Catalog'!$C$55,L614*'Assumptions and Catalog'!$H$55+'Assumptions and Catalog'!$E$55+'Assumptions and Catalog'!$F$55,IF(L614&lt;='Assumptions and Catalog'!$C$56,L614*'Assumptions and Catalog'!$H$56+'Assumptions and Catalog'!$E$56+'Assumptions and Catalog'!$F$56,IF(L614&lt;='Assumptions and Catalog'!$C$57,L614*'Assumptions and Catalog'!$H$57+'Assumptions and Catalog'!$E$57+'Assumptions and Catalog'!$F$57,"Out of range")))))))),IF(L614&lt;='Assumptions and Catalog'!$C$60,L614*'Assumptions and Catalog'!$H$60+'Assumptions and Catalog'!$E$60+'Assumptions and Catalog'!$F$60,IF(L614&lt;='Assumptions and Catalog'!$C$61,L614*'Assumptions and Catalog'!$H$61+'Assumptions and Catalog'!$E$61+'Assumptions and Catalog'!$F$61,IF(L614&lt;='Assumptions and Catalog'!$C$62,L614*'Assumptions and Catalog'!$H$62+'Assumptions and Catalog'!$E$62+'Assumptions and Catalog'!$F$62,IF(L614&lt;='Assumptions and Catalog'!$C$63,L614*'Assumptions and Catalog'!$H$63+'Assumptions and Catalog'!$E$63+'Assumptions and Catalog'!$F$63,IF(L614&lt;='Assumptions and Catalog'!$C$64,L614*'Assumptions and Catalog'!$H$64+'Assumptions and Catalog'!$E$64+'Assumptions and Catalog'!$F$64,IF(L614&lt;='Assumptions and Catalog'!$C$65,L614*'Assumptions and Catalog'!$H$65+'Assumptions and Catalog'!$E$65+'Assumptions and Catalog'!$F$65,"Out of range")))))))))*(1+'Assumptions and Catalog'!$C$8)^(A614-1),0)</f>
        <v>7094.794</v>
      </c>
      <c r="O614" s="5" t="n">
        <f>M614-N614</f>
        <v>0</v>
      </c>
      <c r="P614" s="5" t="n">
        <f>D$55*(1-K$14)*(1-'Assumptions and Catalog'!$C$23)^R614</f>
        <v>0</v>
      </c>
      <c r="Q614" s="5" t="n">
        <f>IF(ISNUMBER(Inputs!$L$5),(IF(Inputs!$L$9="Actual flat rate",((D614+E614)*C614-G614)*Inputs!$L$10,IF(Inputs!$C$9="Residential",IF(((D614+E614)*C614-G614)&lt;='Assumptions and Catalog'!$C$50,((D614+E614)*C614-G614)*'Assumptions and Catalog'!$H$50+'Assumptions and Catalog'!$E$50+'Assumptions and Catalog'!$F$50,IF(((D614+E614)*C614-G614)&lt;='Assumptions and Catalog'!$C$51,((D614+E614)*C614-G614)*'Assumptions and Catalog'!$H$51+'Assumptions and Catalog'!$E$51+'Assumptions and Catalog'!$F$51,IF(((D614+E614)*C614-G614)&lt;='Assumptions and Catalog'!$C$52,((D614+E614)*C614-G614)*'Assumptions and Catalog'!$H$52+'Assumptions and Catalog'!$E$52+'Assumptions and Catalog'!$F$52,IF(((D614+E614)*C614-G614)&lt;='Assumptions and Catalog'!$C$53,((D614+E614)*C614-G614)*'Assumptions and Catalog'!$H$53+'Assumptions and Catalog'!$E$53+'Assumptions and Catalog'!$F$53,IF(((D614+E614)*C614-G614)&lt;='Assumptions and Catalog'!$C$54,((D614+E614)*C614-G614)*'Assumptions and Catalog'!$H$54+'Assumptions and Catalog'!$E$54+'Assumptions and Catalog'!$F$54,IF(((D614+E614)*C614-G614)&lt;='Assumptions and Catalog'!$C$55,((D614+E614)*C614-G614)*'Assumptions and Catalog'!$H$55+'Assumptions and Catalog'!$E$55+'Assumptions and Catalog'!$F$55,IF(((D614+E614)*C614-G614)&lt;='Assumptions and Catalog'!$C$56,((D614+E614)*C614-G614)*'Assumptions and Catalog'!$H$56+'Assumptions and Catalog'!$E$56+'Assumptions and Catalog'!$F$56,IF(((D614+E614)*C614-G614)&lt;='Assumptions and Catalog'!$C$57,((D614+E614)*C614-G614)*'Assumptions and Catalog'!$H$57+'Assumptions and Catalog'!$E$57+'Assumptions and Catalog'!$F$57,"Out of range")))))))),IF(((D614+E614)*C614-G614)&lt;='Assumptions and Catalog'!$C$60,((D614+E614)*C614-G614)*'Assumptions and Catalog'!$H$60+'Assumptions and Catalog'!$E$60+'Assumptions and Catalog'!$F$60,IF(((D614+E614)*C614-G614)&lt;='Assumptions and Catalog'!$C$61,((D614+E614)*C614-G614)*'Assumptions and Catalog'!$H$61+'Assumptions and Catalog'!$E$61+'Assumptions and Catalog'!$F$61,IF(((D614+E614)*C614-G614)&lt;='Assumptions and Catalog'!$C$62,((D614+E614)*C614-G614)*'Assumptions and Catalog'!$H$62+'Assumptions and Catalog'!$E$62+'Assumptions and Catalog'!$F$62,IF(((D614+E614)*C614-G614)&lt;='Assumptions and Catalog'!$C$63,((D614+E614)*C614-G614)*'Assumptions and Catalog'!$H$63+'Assumptions and Catalog'!$E$63+'Assumptions and Catalog'!$F$63,IF(((D614+E614)*C614-G614)&lt;='Assumptions and Catalog'!$C$64,((D614+E614)*C614-G614)*'Assumptions and Catalog'!$H$64+'Assumptions and Catalog'!$E$64+'Assumptions and Catalog'!$F$64,IF(((D614+E614)*C614-G614)&lt;='Assumptions and Catalog'!$C$65,((D614+E614)*C614-G614)*'Assumptions and Catalog'!$H$65+'Assumptions and Catalog'!$E$65+'Assumptions and Catalog'!$F$65,"Out of range")))))))))*(1+'Assumptions and Catalog'!$C$8)^(A614-1),0)</f>
        <v>7094.794</v>
      </c>
      <c r="R614" s="5" t="n">
        <f>IF(AND('Assumptions and Catalog'!$C$19&gt;0,A614&gt;='Assumptions and Catalog'!$C$19),A614-'Assumptions and Catalog'!$C$19,A614-1)</f>
        <v>6</v>
      </c>
      <c r="S614" s="5" t="n">
        <f>F614+L614-(D614+E614)*C614-J614-K614-IF(D$52&gt;0,'Assumptions and Catalog'!$C$26*C614,0)</f>
        <v>0</v>
      </c>
      <c r="T614" s="5"/>
      <c r="U614" s="5"/>
    </row>
    <row r="615" ht="23.100000381469727" customHeight="1">
      <c r="A615" s="5" t="n">
        <v>18</v>
      </c>
      <c r="B615" s="5" t="n">
        <v>1</v>
      </c>
      <c r="C615" s="5" t="n">
        <f>DAY(DATE('Assumptions and Catalog'!$C$24+A615-1,B615+1,0))</f>
        <v>31</v>
      </c>
      <c r="D615" s="5" t="n">
        <f>IF(ISNUMBER(Inputs!$L$5),Inputs!$L$5*Inputs!$L$6,0)</f>
        <v>40.35</v>
      </c>
      <c r="E615" s="5" t="n">
        <f>IF(ISNUMBER(Inputs!$L$5),Inputs!$L$5-D615,0)</f>
        <v>40.35</v>
      </c>
      <c r="F615" s="5" t="n">
        <f>D$51*'Assumptions and Catalog'!$C$31*C615*(1-'Assumptions and Catalog'!$C$10)^(A615-1)</f>
        <v>0</v>
      </c>
      <c r="G615" s="5" t="n">
        <f>MIN(F615,D615*C615)</f>
        <v>0</v>
      </c>
      <c r="H615" s="5" t="n">
        <f>I615/('Assumptions and Catalog'!$C$11*'Assumptions and Catalog'!$C$12)</f>
        <v>0</v>
      </c>
      <c r="I615" s="5" t="n">
        <f>IF(K$15="Grid cycle",MIN(K$16,D615+E615,P615*'Assumptions and Catalog'!$C$12,D$57*(24-'Assumptions and Catalog'!$C$15),D$56*'Assumptions and Catalog'!$C$15*'Assumptions and Catalog'!$C$11*'Assumptions and Catalog'!$C$12)*C615,0)</f>
        <v>0</v>
      </c>
      <c r="J615" s="5" t="n">
        <f>MAX(F615-G615-0,0)</f>
        <v>0</v>
      </c>
      <c r="K615" s="5" t="n">
        <f>H615-I615</f>
        <v>0</v>
      </c>
      <c r="L615" s="5" t="n">
        <f>(D615+E615)*C615-G615-I615+H615+IF(D$52&gt;0,'Assumptions and Catalog'!$C$26*C615,0)</f>
        <v>2501.7</v>
      </c>
      <c r="M615" s="5" t="n">
        <f>IF(ISNUMBER(Inputs!$L$5),(IF(Inputs!$L$9="Actual flat rate",((D615+E615)*C615)*Inputs!$L$10,IF(Inputs!$C$9="Residential",IF(((D615+E615)*C615)&lt;='Assumptions and Catalog'!$C$50,((D615+E615)*C615)*'Assumptions and Catalog'!$H$50+'Assumptions and Catalog'!$E$50+'Assumptions and Catalog'!$F$50,IF(((D615+E615)*C615)&lt;='Assumptions and Catalog'!$C$51,((D615+E615)*C615)*'Assumptions and Catalog'!$H$51+'Assumptions and Catalog'!$E$51+'Assumptions and Catalog'!$F$51,IF(((D615+E615)*C615)&lt;='Assumptions and Catalog'!$C$52,((D615+E615)*C615)*'Assumptions and Catalog'!$H$52+'Assumptions and Catalog'!$E$52+'Assumptions and Catalog'!$F$52,IF(((D615+E615)*C615)&lt;='Assumptions and Catalog'!$C$53,((D615+E615)*C615)*'Assumptions and Catalog'!$H$53+'Assumptions and Catalog'!$E$53+'Assumptions and Catalog'!$F$53,IF(((D615+E615)*C615)&lt;='Assumptions and Catalog'!$C$54,((D615+E615)*C615)*'Assumptions and Catalog'!$H$54+'Assumptions and Catalog'!$E$54+'Assumptions and Catalog'!$F$54,IF(((D615+E615)*C615)&lt;='Assumptions and Catalog'!$C$55,((D615+E615)*C615)*'Assumptions and Catalog'!$H$55+'Assumptions and Catalog'!$E$55+'Assumptions and Catalog'!$F$55,IF(((D615+E615)*C615)&lt;='Assumptions and Catalog'!$C$56,((D615+E615)*C615)*'Assumptions and Catalog'!$H$56+'Assumptions and Catalog'!$E$56+'Assumptions and Catalog'!$F$56,IF(((D615+E615)*C615)&lt;='Assumptions and Catalog'!$C$57,((D615+E615)*C615)*'Assumptions and Catalog'!$H$57+'Assumptions and Catalog'!$E$57+'Assumptions and Catalog'!$F$57,"Out of range")))))))),IF(((D615+E615)*C615)&lt;='Assumptions and Catalog'!$C$60,((D615+E615)*C615)*'Assumptions and Catalog'!$H$60+'Assumptions and Catalog'!$E$60+'Assumptions and Catalog'!$F$60,IF(((D615+E615)*C615)&lt;='Assumptions and Catalog'!$C$61,((D615+E615)*C615)*'Assumptions and Catalog'!$H$61+'Assumptions and Catalog'!$E$61+'Assumptions and Catalog'!$F$61,IF(((D615+E615)*C615)&lt;='Assumptions and Catalog'!$C$62,((D615+E615)*C615)*'Assumptions and Catalog'!$H$62+'Assumptions and Catalog'!$E$62+'Assumptions and Catalog'!$F$62,IF(((D615+E615)*C615)&lt;='Assumptions and Catalog'!$C$63,((D615+E615)*C615)*'Assumptions and Catalog'!$H$63+'Assumptions and Catalog'!$E$63+'Assumptions and Catalog'!$F$63,IF(((D615+E615)*C615)&lt;='Assumptions and Catalog'!$C$64,((D615+E615)*C615)*'Assumptions and Catalog'!$H$64+'Assumptions and Catalog'!$E$64+'Assumptions and Catalog'!$F$64,IF(((D615+E615)*C615)&lt;='Assumptions and Catalog'!$C$65,((D615+E615)*C615)*'Assumptions and Catalog'!$H$65+'Assumptions and Catalog'!$E$65+'Assumptions and Catalog'!$F$65,"Out of range")))))))))*(1+'Assumptions and Catalog'!$C$8)^(A615-1),0)</f>
        <v>7094.794</v>
      </c>
      <c r="N615" s="5" t="n">
        <f>IF(ISNUMBER(Inputs!$L$5),(IF(Inputs!$L$9="Actual flat rate",L615*Inputs!$L$10,IF(Inputs!$C$9="Residential",IF(L615&lt;='Assumptions and Catalog'!$C$50,L615*'Assumptions and Catalog'!$H$50+'Assumptions and Catalog'!$E$50+'Assumptions and Catalog'!$F$50,IF(L615&lt;='Assumptions and Catalog'!$C$51,L615*'Assumptions and Catalog'!$H$51+'Assumptions and Catalog'!$E$51+'Assumptions and Catalog'!$F$51,IF(L615&lt;='Assumptions and Catalog'!$C$52,L615*'Assumptions and Catalog'!$H$52+'Assumptions and Catalog'!$E$52+'Assumptions and Catalog'!$F$52,IF(L615&lt;='Assumptions and Catalog'!$C$53,L615*'Assumptions and Catalog'!$H$53+'Assumptions and Catalog'!$E$53+'Assumptions and Catalog'!$F$53,IF(L615&lt;='Assumptions and Catalog'!$C$54,L615*'Assumptions and Catalog'!$H$54+'Assumptions and Catalog'!$E$54+'Assumptions and Catalog'!$F$54,IF(L615&lt;='Assumptions and Catalog'!$C$55,L615*'Assumptions and Catalog'!$H$55+'Assumptions and Catalog'!$E$55+'Assumptions and Catalog'!$F$55,IF(L615&lt;='Assumptions and Catalog'!$C$56,L615*'Assumptions and Catalog'!$H$56+'Assumptions and Catalog'!$E$56+'Assumptions and Catalog'!$F$56,IF(L615&lt;='Assumptions and Catalog'!$C$57,L615*'Assumptions and Catalog'!$H$57+'Assumptions and Catalog'!$E$57+'Assumptions and Catalog'!$F$57,"Out of range")))))))),IF(L615&lt;='Assumptions and Catalog'!$C$60,L615*'Assumptions and Catalog'!$H$60+'Assumptions and Catalog'!$E$60+'Assumptions and Catalog'!$F$60,IF(L615&lt;='Assumptions and Catalog'!$C$61,L615*'Assumptions and Catalog'!$H$61+'Assumptions and Catalog'!$E$61+'Assumptions and Catalog'!$F$61,IF(L615&lt;='Assumptions and Catalog'!$C$62,L615*'Assumptions and Catalog'!$H$62+'Assumptions and Catalog'!$E$62+'Assumptions and Catalog'!$F$62,IF(L615&lt;='Assumptions and Catalog'!$C$63,L615*'Assumptions and Catalog'!$H$63+'Assumptions and Catalog'!$E$63+'Assumptions and Catalog'!$F$63,IF(L615&lt;='Assumptions and Catalog'!$C$64,L615*'Assumptions and Catalog'!$H$64+'Assumptions and Catalog'!$E$64+'Assumptions and Catalog'!$F$64,IF(L615&lt;='Assumptions and Catalog'!$C$65,L615*'Assumptions and Catalog'!$H$65+'Assumptions and Catalog'!$E$65+'Assumptions and Catalog'!$F$65,"Out of range")))))))))*(1+'Assumptions and Catalog'!$C$8)^(A615-1),0)</f>
        <v>7094.794</v>
      </c>
      <c r="O615" s="5" t="n">
        <f>M615-N615</f>
        <v>0</v>
      </c>
      <c r="P615" s="5" t="n">
        <f>D$55*(1-K$14)*(1-'Assumptions and Catalog'!$C$23)^R615</f>
        <v>0</v>
      </c>
      <c r="Q615" s="5" t="n">
        <f>IF(ISNUMBER(Inputs!$L$5),(IF(Inputs!$L$9="Actual flat rate",((D615+E615)*C615-G615)*Inputs!$L$10,IF(Inputs!$C$9="Residential",IF(((D615+E615)*C615-G615)&lt;='Assumptions and Catalog'!$C$50,((D615+E615)*C615-G615)*'Assumptions and Catalog'!$H$50+'Assumptions and Catalog'!$E$50+'Assumptions and Catalog'!$F$50,IF(((D615+E615)*C615-G615)&lt;='Assumptions and Catalog'!$C$51,((D615+E615)*C615-G615)*'Assumptions and Catalog'!$H$51+'Assumptions and Catalog'!$E$51+'Assumptions and Catalog'!$F$51,IF(((D615+E615)*C615-G615)&lt;='Assumptions and Catalog'!$C$52,((D615+E615)*C615-G615)*'Assumptions and Catalog'!$H$52+'Assumptions and Catalog'!$E$52+'Assumptions and Catalog'!$F$52,IF(((D615+E615)*C615-G615)&lt;='Assumptions and Catalog'!$C$53,((D615+E615)*C615-G615)*'Assumptions and Catalog'!$H$53+'Assumptions and Catalog'!$E$53+'Assumptions and Catalog'!$F$53,IF(((D615+E615)*C615-G615)&lt;='Assumptions and Catalog'!$C$54,((D615+E615)*C615-G615)*'Assumptions and Catalog'!$H$54+'Assumptions and Catalog'!$E$54+'Assumptions and Catalog'!$F$54,IF(((D615+E615)*C615-G615)&lt;='Assumptions and Catalog'!$C$55,((D615+E615)*C615-G615)*'Assumptions and Catalog'!$H$55+'Assumptions and Catalog'!$E$55+'Assumptions and Catalog'!$F$55,IF(((D615+E615)*C615-G615)&lt;='Assumptions and Catalog'!$C$56,((D615+E615)*C615-G615)*'Assumptions and Catalog'!$H$56+'Assumptions and Catalog'!$E$56+'Assumptions and Catalog'!$F$56,IF(((D615+E615)*C615-G615)&lt;='Assumptions and Catalog'!$C$57,((D615+E615)*C615-G615)*'Assumptions and Catalog'!$H$57+'Assumptions and Catalog'!$E$57+'Assumptions and Catalog'!$F$57,"Out of range")))))))),IF(((D615+E615)*C615-G615)&lt;='Assumptions and Catalog'!$C$60,((D615+E615)*C615-G615)*'Assumptions and Catalog'!$H$60+'Assumptions and Catalog'!$E$60+'Assumptions and Catalog'!$F$60,IF(((D615+E615)*C615-G615)&lt;='Assumptions and Catalog'!$C$61,((D615+E615)*C615-G615)*'Assumptions and Catalog'!$H$61+'Assumptions and Catalog'!$E$61+'Assumptions and Catalog'!$F$61,IF(((D615+E615)*C615-G615)&lt;='Assumptions and Catalog'!$C$62,((D615+E615)*C615-G615)*'Assumptions and Catalog'!$H$62+'Assumptions and Catalog'!$E$62+'Assumptions and Catalog'!$F$62,IF(((D615+E615)*C615-G615)&lt;='Assumptions and Catalog'!$C$63,((D615+E615)*C615-G615)*'Assumptions and Catalog'!$H$63+'Assumptions and Catalog'!$E$63+'Assumptions and Catalog'!$F$63,IF(((D615+E615)*C615-G615)&lt;='Assumptions and Catalog'!$C$64,((D615+E615)*C615-G615)*'Assumptions and Catalog'!$H$64+'Assumptions and Catalog'!$E$64+'Assumptions and Catalog'!$F$64,IF(((D615+E615)*C615-G615)&lt;='Assumptions and Catalog'!$C$65,((D615+E615)*C615-G615)*'Assumptions and Catalog'!$H$65+'Assumptions and Catalog'!$E$65+'Assumptions and Catalog'!$F$65,"Out of range")))))))))*(1+'Assumptions and Catalog'!$C$8)^(A615-1),0)</f>
        <v>7094.794</v>
      </c>
      <c r="R615" s="5" t="n">
        <f>IF(AND('Assumptions and Catalog'!$C$19&gt;0,A615&gt;='Assumptions and Catalog'!$C$19),A615-'Assumptions and Catalog'!$C$19,A615-1)</f>
        <v>7</v>
      </c>
      <c r="S615" s="5" t="n">
        <f>F615+L615-(D615+E615)*C615-J615-K615-IF(D$52&gt;0,'Assumptions and Catalog'!$C$26*C615,0)</f>
        <v>0</v>
      </c>
      <c r="T615" s="5"/>
      <c r="U615" s="5"/>
    </row>
    <row r="616" ht="23.100000381469727" customHeight="1">
      <c r="A616" s="5" t="n">
        <v>18</v>
      </c>
      <c r="B616" s="5" t="n">
        <v>2</v>
      </c>
      <c r="C616" s="5" t="n">
        <f>DAY(DATE('Assumptions and Catalog'!$C$24+A616-1,B616+1,0))</f>
        <v>29</v>
      </c>
      <c r="D616" s="5" t="n">
        <f>IF(ISNUMBER(Inputs!$L$5),Inputs!$L$5*Inputs!$L$6,0)</f>
        <v>40.35</v>
      </c>
      <c r="E616" s="5" t="n">
        <f>IF(ISNUMBER(Inputs!$L$5),Inputs!$L$5-D616,0)</f>
        <v>40.35</v>
      </c>
      <c r="F616" s="5" t="n">
        <f>D$51*'Assumptions and Catalog'!$C$31*C616*(1-'Assumptions and Catalog'!$C$10)^(A616-1)</f>
        <v>0</v>
      </c>
      <c r="G616" s="5" t="n">
        <f>MIN(F616,D616*C616)</f>
        <v>0</v>
      </c>
      <c r="H616" s="5" t="n">
        <f>I616/('Assumptions and Catalog'!$C$11*'Assumptions and Catalog'!$C$12)</f>
        <v>0</v>
      </c>
      <c r="I616" s="5" t="n">
        <f>IF(K$15="Grid cycle",MIN(K$16,D616+E616,P616*'Assumptions and Catalog'!$C$12,D$57*(24-'Assumptions and Catalog'!$C$15),D$56*'Assumptions and Catalog'!$C$15*'Assumptions and Catalog'!$C$11*'Assumptions and Catalog'!$C$12)*C616,0)</f>
        <v>0</v>
      </c>
      <c r="J616" s="5" t="n">
        <f>MAX(F616-G616-0,0)</f>
        <v>0</v>
      </c>
      <c r="K616" s="5" t="n">
        <f>H616-I616</f>
        <v>0</v>
      </c>
      <c r="L616" s="5" t="n">
        <f>(D616+E616)*C616-G616-I616+H616+IF(D$52&gt;0,'Assumptions and Catalog'!$C$26*C616,0)</f>
        <v>2340.3</v>
      </c>
      <c r="M616" s="5" t="n">
        <f>IF(ISNUMBER(Inputs!$L$5),(IF(Inputs!$L$9="Actual flat rate",((D616+E616)*C616)*Inputs!$L$10,IF(Inputs!$C$9="Residential",IF(((D616+E616)*C616)&lt;='Assumptions and Catalog'!$C$50,((D616+E616)*C616)*'Assumptions and Catalog'!$H$50+'Assumptions and Catalog'!$E$50+'Assumptions and Catalog'!$F$50,IF(((D616+E616)*C616)&lt;='Assumptions and Catalog'!$C$51,((D616+E616)*C616)*'Assumptions and Catalog'!$H$51+'Assumptions and Catalog'!$E$51+'Assumptions and Catalog'!$F$51,IF(((D616+E616)*C616)&lt;='Assumptions and Catalog'!$C$52,((D616+E616)*C616)*'Assumptions and Catalog'!$H$52+'Assumptions and Catalog'!$E$52+'Assumptions and Catalog'!$F$52,IF(((D616+E616)*C616)&lt;='Assumptions and Catalog'!$C$53,((D616+E616)*C616)*'Assumptions and Catalog'!$H$53+'Assumptions and Catalog'!$E$53+'Assumptions and Catalog'!$F$53,IF(((D616+E616)*C616)&lt;='Assumptions and Catalog'!$C$54,((D616+E616)*C616)*'Assumptions and Catalog'!$H$54+'Assumptions and Catalog'!$E$54+'Assumptions and Catalog'!$F$54,IF(((D616+E616)*C616)&lt;='Assumptions and Catalog'!$C$55,((D616+E616)*C616)*'Assumptions and Catalog'!$H$55+'Assumptions and Catalog'!$E$55+'Assumptions and Catalog'!$F$55,IF(((D616+E616)*C616)&lt;='Assumptions and Catalog'!$C$56,((D616+E616)*C616)*'Assumptions and Catalog'!$H$56+'Assumptions and Catalog'!$E$56+'Assumptions and Catalog'!$F$56,IF(((D616+E616)*C616)&lt;='Assumptions and Catalog'!$C$57,((D616+E616)*C616)*'Assumptions and Catalog'!$H$57+'Assumptions and Catalog'!$E$57+'Assumptions and Catalog'!$F$57,"Out of range")))))))),IF(((D616+E616)*C616)&lt;='Assumptions and Catalog'!$C$60,((D616+E616)*C616)*'Assumptions and Catalog'!$H$60+'Assumptions and Catalog'!$E$60+'Assumptions and Catalog'!$F$60,IF(((D616+E616)*C616)&lt;='Assumptions and Catalog'!$C$61,((D616+E616)*C616)*'Assumptions and Catalog'!$H$61+'Assumptions and Catalog'!$E$61+'Assumptions and Catalog'!$F$61,IF(((D616+E616)*C616)&lt;='Assumptions and Catalog'!$C$62,((D616+E616)*C616)*'Assumptions and Catalog'!$H$62+'Assumptions and Catalog'!$E$62+'Assumptions and Catalog'!$F$62,IF(((D616+E616)*C616)&lt;='Assumptions and Catalog'!$C$63,((D616+E616)*C616)*'Assumptions and Catalog'!$H$63+'Assumptions and Catalog'!$E$63+'Assumptions and Catalog'!$F$63,IF(((D616+E616)*C616)&lt;='Assumptions and Catalog'!$C$64,((D616+E616)*C616)*'Assumptions and Catalog'!$H$64+'Assumptions and Catalog'!$E$64+'Assumptions and Catalog'!$F$64,IF(((D616+E616)*C616)&lt;='Assumptions and Catalog'!$C$65,((D616+E616)*C616)*'Assumptions and Catalog'!$H$65+'Assumptions and Catalog'!$E$65+'Assumptions and Catalog'!$F$65,"Out of range")))))))))*(1+'Assumptions and Catalog'!$C$8)^(A616-1),0)</f>
        <v>6639.646</v>
      </c>
      <c r="N616" s="5" t="n">
        <f>IF(ISNUMBER(Inputs!$L$5),(IF(Inputs!$L$9="Actual flat rate",L616*Inputs!$L$10,IF(Inputs!$C$9="Residential",IF(L616&lt;='Assumptions and Catalog'!$C$50,L616*'Assumptions and Catalog'!$H$50+'Assumptions and Catalog'!$E$50+'Assumptions and Catalog'!$F$50,IF(L616&lt;='Assumptions and Catalog'!$C$51,L616*'Assumptions and Catalog'!$H$51+'Assumptions and Catalog'!$E$51+'Assumptions and Catalog'!$F$51,IF(L616&lt;='Assumptions and Catalog'!$C$52,L616*'Assumptions and Catalog'!$H$52+'Assumptions and Catalog'!$E$52+'Assumptions and Catalog'!$F$52,IF(L616&lt;='Assumptions and Catalog'!$C$53,L616*'Assumptions and Catalog'!$H$53+'Assumptions and Catalog'!$E$53+'Assumptions and Catalog'!$F$53,IF(L616&lt;='Assumptions and Catalog'!$C$54,L616*'Assumptions and Catalog'!$H$54+'Assumptions and Catalog'!$E$54+'Assumptions and Catalog'!$F$54,IF(L616&lt;='Assumptions and Catalog'!$C$55,L616*'Assumptions and Catalog'!$H$55+'Assumptions and Catalog'!$E$55+'Assumptions and Catalog'!$F$55,IF(L616&lt;='Assumptions and Catalog'!$C$56,L616*'Assumptions and Catalog'!$H$56+'Assumptions and Catalog'!$E$56+'Assumptions and Catalog'!$F$56,IF(L616&lt;='Assumptions and Catalog'!$C$57,L616*'Assumptions and Catalog'!$H$57+'Assumptions and Catalog'!$E$57+'Assumptions and Catalog'!$F$57,"Out of range")))))))),IF(L616&lt;='Assumptions and Catalog'!$C$60,L616*'Assumptions and Catalog'!$H$60+'Assumptions and Catalog'!$E$60+'Assumptions and Catalog'!$F$60,IF(L616&lt;='Assumptions and Catalog'!$C$61,L616*'Assumptions and Catalog'!$H$61+'Assumptions and Catalog'!$E$61+'Assumptions and Catalog'!$F$61,IF(L616&lt;='Assumptions and Catalog'!$C$62,L616*'Assumptions and Catalog'!$H$62+'Assumptions and Catalog'!$E$62+'Assumptions and Catalog'!$F$62,IF(L616&lt;='Assumptions and Catalog'!$C$63,L616*'Assumptions and Catalog'!$H$63+'Assumptions and Catalog'!$E$63+'Assumptions and Catalog'!$F$63,IF(L616&lt;='Assumptions and Catalog'!$C$64,L616*'Assumptions and Catalog'!$H$64+'Assumptions and Catalog'!$E$64+'Assumptions and Catalog'!$F$64,IF(L616&lt;='Assumptions and Catalog'!$C$65,L616*'Assumptions and Catalog'!$H$65+'Assumptions and Catalog'!$E$65+'Assumptions and Catalog'!$F$65,"Out of range")))))))))*(1+'Assumptions and Catalog'!$C$8)^(A616-1),0)</f>
        <v>6639.646</v>
      </c>
      <c r="O616" s="5" t="n">
        <f>M616-N616</f>
        <v>0</v>
      </c>
      <c r="P616" s="5" t="n">
        <f>D$55*(1-K$14)*(1-'Assumptions and Catalog'!$C$23)^R616</f>
        <v>0</v>
      </c>
      <c r="Q616" s="5" t="n">
        <f>IF(ISNUMBER(Inputs!$L$5),(IF(Inputs!$L$9="Actual flat rate",((D616+E616)*C616-G616)*Inputs!$L$10,IF(Inputs!$C$9="Residential",IF(((D616+E616)*C616-G616)&lt;='Assumptions and Catalog'!$C$50,((D616+E616)*C616-G616)*'Assumptions and Catalog'!$H$50+'Assumptions and Catalog'!$E$50+'Assumptions and Catalog'!$F$50,IF(((D616+E616)*C616-G616)&lt;='Assumptions and Catalog'!$C$51,((D616+E616)*C616-G616)*'Assumptions and Catalog'!$H$51+'Assumptions and Catalog'!$E$51+'Assumptions and Catalog'!$F$51,IF(((D616+E616)*C616-G616)&lt;='Assumptions and Catalog'!$C$52,((D616+E616)*C616-G616)*'Assumptions and Catalog'!$H$52+'Assumptions and Catalog'!$E$52+'Assumptions and Catalog'!$F$52,IF(((D616+E616)*C616-G616)&lt;='Assumptions and Catalog'!$C$53,((D616+E616)*C616-G616)*'Assumptions and Catalog'!$H$53+'Assumptions and Catalog'!$E$53+'Assumptions and Catalog'!$F$53,IF(((D616+E616)*C616-G616)&lt;='Assumptions and Catalog'!$C$54,((D616+E616)*C616-G616)*'Assumptions and Catalog'!$H$54+'Assumptions and Catalog'!$E$54+'Assumptions and Catalog'!$F$54,IF(((D616+E616)*C616-G616)&lt;='Assumptions and Catalog'!$C$55,((D616+E616)*C616-G616)*'Assumptions and Catalog'!$H$55+'Assumptions and Catalog'!$E$55+'Assumptions and Catalog'!$F$55,IF(((D616+E616)*C616-G616)&lt;='Assumptions and Catalog'!$C$56,((D616+E616)*C616-G616)*'Assumptions and Catalog'!$H$56+'Assumptions and Catalog'!$E$56+'Assumptions and Catalog'!$F$56,IF(((D616+E616)*C616-G616)&lt;='Assumptions and Catalog'!$C$57,((D616+E616)*C616-G616)*'Assumptions and Catalog'!$H$57+'Assumptions and Catalog'!$E$57+'Assumptions and Catalog'!$F$57,"Out of range")))))))),IF(((D616+E616)*C616-G616)&lt;='Assumptions and Catalog'!$C$60,((D616+E616)*C616-G616)*'Assumptions and Catalog'!$H$60+'Assumptions and Catalog'!$E$60+'Assumptions and Catalog'!$F$60,IF(((D616+E616)*C616-G616)&lt;='Assumptions and Catalog'!$C$61,((D616+E616)*C616-G616)*'Assumptions and Catalog'!$H$61+'Assumptions and Catalog'!$E$61+'Assumptions and Catalog'!$F$61,IF(((D616+E616)*C616-G616)&lt;='Assumptions and Catalog'!$C$62,((D616+E616)*C616-G616)*'Assumptions and Catalog'!$H$62+'Assumptions and Catalog'!$E$62+'Assumptions and Catalog'!$F$62,IF(((D616+E616)*C616-G616)&lt;='Assumptions and Catalog'!$C$63,((D616+E616)*C616-G616)*'Assumptions and Catalog'!$H$63+'Assumptions and Catalog'!$E$63+'Assumptions and Catalog'!$F$63,IF(((D616+E616)*C616-G616)&lt;='Assumptions and Catalog'!$C$64,((D616+E616)*C616-G616)*'Assumptions and Catalog'!$H$64+'Assumptions and Catalog'!$E$64+'Assumptions and Catalog'!$F$64,IF(((D616+E616)*C616-G616)&lt;='Assumptions and Catalog'!$C$65,((D616+E616)*C616-G616)*'Assumptions and Catalog'!$H$65+'Assumptions and Catalog'!$E$65+'Assumptions and Catalog'!$F$65,"Out of range")))))))))*(1+'Assumptions and Catalog'!$C$8)^(A616-1),0)</f>
        <v>6639.646</v>
      </c>
      <c r="R616" s="5" t="n">
        <f>IF(AND('Assumptions and Catalog'!$C$19&gt;0,A616&gt;='Assumptions and Catalog'!$C$19),A616-'Assumptions and Catalog'!$C$19,A616-1)</f>
        <v>7</v>
      </c>
      <c r="S616" s="5" t="n">
        <f>F616+L616-(D616+E616)*C616-J616-K616-IF(D$52&gt;0,'Assumptions and Catalog'!$C$26*C616,0)</f>
        <v>0</v>
      </c>
      <c r="T616" s="5"/>
      <c r="U616" s="5"/>
    </row>
    <row r="617" ht="23.100000381469727" customHeight="1">
      <c r="A617" s="5" t="n">
        <v>18</v>
      </c>
      <c r="B617" s="5" t="n">
        <v>3</v>
      </c>
      <c r="C617" s="5" t="n">
        <f>DAY(DATE('Assumptions and Catalog'!$C$24+A617-1,B617+1,0))</f>
        <v>31</v>
      </c>
      <c r="D617" s="5" t="n">
        <f>IF(ISNUMBER(Inputs!$L$5),Inputs!$L$5*Inputs!$L$6,0)</f>
        <v>40.35</v>
      </c>
      <c r="E617" s="5" t="n">
        <f>IF(ISNUMBER(Inputs!$L$5),Inputs!$L$5-D617,0)</f>
        <v>40.35</v>
      </c>
      <c r="F617" s="5" t="n">
        <f>D$51*'Assumptions and Catalog'!$C$31*C617*(1-'Assumptions and Catalog'!$C$10)^(A617-1)</f>
        <v>0</v>
      </c>
      <c r="G617" s="5" t="n">
        <f>MIN(F617,D617*C617)</f>
        <v>0</v>
      </c>
      <c r="H617" s="5" t="n">
        <f>I617/('Assumptions and Catalog'!$C$11*'Assumptions and Catalog'!$C$12)</f>
        <v>0</v>
      </c>
      <c r="I617" s="5" t="n">
        <f>IF(K$15="Grid cycle",MIN(K$16,D617+E617,P617*'Assumptions and Catalog'!$C$12,D$57*(24-'Assumptions and Catalog'!$C$15),D$56*'Assumptions and Catalog'!$C$15*'Assumptions and Catalog'!$C$11*'Assumptions and Catalog'!$C$12)*C617,0)</f>
        <v>0</v>
      </c>
      <c r="J617" s="5" t="n">
        <f>MAX(F617-G617-0,0)</f>
        <v>0</v>
      </c>
      <c r="K617" s="5" t="n">
        <f>H617-I617</f>
        <v>0</v>
      </c>
      <c r="L617" s="5" t="n">
        <f>(D617+E617)*C617-G617-I617+H617+IF(D$52&gt;0,'Assumptions and Catalog'!$C$26*C617,0)</f>
        <v>2501.7</v>
      </c>
      <c r="M617" s="5" t="n">
        <f>IF(ISNUMBER(Inputs!$L$5),(IF(Inputs!$L$9="Actual flat rate",((D617+E617)*C617)*Inputs!$L$10,IF(Inputs!$C$9="Residential",IF(((D617+E617)*C617)&lt;='Assumptions and Catalog'!$C$50,((D617+E617)*C617)*'Assumptions and Catalog'!$H$50+'Assumptions and Catalog'!$E$50+'Assumptions and Catalog'!$F$50,IF(((D617+E617)*C617)&lt;='Assumptions and Catalog'!$C$51,((D617+E617)*C617)*'Assumptions and Catalog'!$H$51+'Assumptions and Catalog'!$E$51+'Assumptions and Catalog'!$F$51,IF(((D617+E617)*C617)&lt;='Assumptions and Catalog'!$C$52,((D617+E617)*C617)*'Assumptions and Catalog'!$H$52+'Assumptions and Catalog'!$E$52+'Assumptions and Catalog'!$F$52,IF(((D617+E617)*C617)&lt;='Assumptions and Catalog'!$C$53,((D617+E617)*C617)*'Assumptions and Catalog'!$H$53+'Assumptions and Catalog'!$E$53+'Assumptions and Catalog'!$F$53,IF(((D617+E617)*C617)&lt;='Assumptions and Catalog'!$C$54,((D617+E617)*C617)*'Assumptions and Catalog'!$H$54+'Assumptions and Catalog'!$E$54+'Assumptions and Catalog'!$F$54,IF(((D617+E617)*C617)&lt;='Assumptions and Catalog'!$C$55,((D617+E617)*C617)*'Assumptions and Catalog'!$H$55+'Assumptions and Catalog'!$E$55+'Assumptions and Catalog'!$F$55,IF(((D617+E617)*C617)&lt;='Assumptions and Catalog'!$C$56,((D617+E617)*C617)*'Assumptions and Catalog'!$H$56+'Assumptions and Catalog'!$E$56+'Assumptions and Catalog'!$F$56,IF(((D617+E617)*C617)&lt;='Assumptions and Catalog'!$C$57,((D617+E617)*C617)*'Assumptions and Catalog'!$H$57+'Assumptions and Catalog'!$E$57+'Assumptions and Catalog'!$F$57,"Out of range")))))))),IF(((D617+E617)*C617)&lt;='Assumptions and Catalog'!$C$60,((D617+E617)*C617)*'Assumptions and Catalog'!$H$60+'Assumptions and Catalog'!$E$60+'Assumptions and Catalog'!$F$60,IF(((D617+E617)*C617)&lt;='Assumptions and Catalog'!$C$61,((D617+E617)*C617)*'Assumptions and Catalog'!$H$61+'Assumptions and Catalog'!$E$61+'Assumptions and Catalog'!$F$61,IF(((D617+E617)*C617)&lt;='Assumptions and Catalog'!$C$62,((D617+E617)*C617)*'Assumptions and Catalog'!$H$62+'Assumptions and Catalog'!$E$62+'Assumptions and Catalog'!$F$62,IF(((D617+E617)*C617)&lt;='Assumptions and Catalog'!$C$63,((D617+E617)*C617)*'Assumptions and Catalog'!$H$63+'Assumptions and Catalog'!$E$63+'Assumptions and Catalog'!$F$63,IF(((D617+E617)*C617)&lt;='Assumptions and Catalog'!$C$64,((D617+E617)*C617)*'Assumptions and Catalog'!$H$64+'Assumptions and Catalog'!$E$64+'Assumptions and Catalog'!$F$64,IF(((D617+E617)*C617)&lt;='Assumptions and Catalog'!$C$65,((D617+E617)*C617)*'Assumptions and Catalog'!$H$65+'Assumptions and Catalog'!$E$65+'Assumptions and Catalog'!$F$65,"Out of range")))))))))*(1+'Assumptions and Catalog'!$C$8)^(A617-1),0)</f>
        <v>7094.794</v>
      </c>
      <c r="N617" s="5" t="n">
        <f>IF(ISNUMBER(Inputs!$L$5),(IF(Inputs!$L$9="Actual flat rate",L617*Inputs!$L$10,IF(Inputs!$C$9="Residential",IF(L617&lt;='Assumptions and Catalog'!$C$50,L617*'Assumptions and Catalog'!$H$50+'Assumptions and Catalog'!$E$50+'Assumptions and Catalog'!$F$50,IF(L617&lt;='Assumptions and Catalog'!$C$51,L617*'Assumptions and Catalog'!$H$51+'Assumptions and Catalog'!$E$51+'Assumptions and Catalog'!$F$51,IF(L617&lt;='Assumptions and Catalog'!$C$52,L617*'Assumptions and Catalog'!$H$52+'Assumptions and Catalog'!$E$52+'Assumptions and Catalog'!$F$52,IF(L617&lt;='Assumptions and Catalog'!$C$53,L617*'Assumptions and Catalog'!$H$53+'Assumptions and Catalog'!$E$53+'Assumptions and Catalog'!$F$53,IF(L617&lt;='Assumptions and Catalog'!$C$54,L617*'Assumptions and Catalog'!$H$54+'Assumptions and Catalog'!$E$54+'Assumptions and Catalog'!$F$54,IF(L617&lt;='Assumptions and Catalog'!$C$55,L617*'Assumptions and Catalog'!$H$55+'Assumptions and Catalog'!$E$55+'Assumptions and Catalog'!$F$55,IF(L617&lt;='Assumptions and Catalog'!$C$56,L617*'Assumptions and Catalog'!$H$56+'Assumptions and Catalog'!$E$56+'Assumptions and Catalog'!$F$56,IF(L617&lt;='Assumptions and Catalog'!$C$57,L617*'Assumptions and Catalog'!$H$57+'Assumptions and Catalog'!$E$57+'Assumptions and Catalog'!$F$57,"Out of range")))))))),IF(L617&lt;='Assumptions and Catalog'!$C$60,L617*'Assumptions and Catalog'!$H$60+'Assumptions and Catalog'!$E$60+'Assumptions and Catalog'!$F$60,IF(L617&lt;='Assumptions and Catalog'!$C$61,L617*'Assumptions and Catalog'!$H$61+'Assumptions and Catalog'!$E$61+'Assumptions and Catalog'!$F$61,IF(L617&lt;='Assumptions and Catalog'!$C$62,L617*'Assumptions and Catalog'!$H$62+'Assumptions and Catalog'!$E$62+'Assumptions and Catalog'!$F$62,IF(L617&lt;='Assumptions and Catalog'!$C$63,L617*'Assumptions and Catalog'!$H$63+'Assumptions and Catalog'!$E$63+'Assumptions and Catalog'!$F$63,IF(L617&lt;='Assumptions and Catalog'!$C$64,L617*'Assumptions and Catalog'!$H$64+'Assumptions and Catalog'!$E$64+'Assumptions and Catalog'!$F$64,IF(L617&lt;='Assumptions and Catalog'!$C$65,L617*'Assumptions and Catalog'!$H$65+'Assumptions and Catalog'!$E$65+'Assumptions and Catalog'!$F$65,"Out of range")))))))))*(1+'Assumptions and Catalog'!$C$8)^(A617-1),0)</f>
        <v>7094.794</v>
      </c>
      <c r="O617" s="5" t="n">
        <f>M617-N617</f>
        <v>0</v>
      </c>
      <c r="P617" s="5" t="n">
        <f>D$55*(1-K$14)*(1-'Assumptions and Catalog'!$C$23)^R617</f>
        <v>0</v>
      </c>
      <c r="Q617" s="5" t="n">
        <f>IF(ISNUMBER(Inputs!$L$5),(IF(Inputs!$L$9="Actual flat rate",((D617+E617)*C617-G617)*Inputs!$L$10,IF(Inputs!$C$9="Residential",IF(((D617+E617)*C617-G617)&lt;='Assumptions and Catalog'!$C$50,((D617+E617)*C617-G617)*'Assumptions and Catalog'!$H$50+'Assumptions and Catalog'!$E$50+'Assumptions and Catalog'!$F$50,IF(((D617+E617)*C617-G617)&lt;='Assumptions and Catalog'!$C$51,((D617+E617)*C617-G617)*'Assumptions and Catalog'!$H$51+'Assumptions and Catalog'!$E$51+'Assumptions and Catalog'!$F$51,IF(((D617+E617)*C617-G617)&lt;='Assumptions and Catalog'!$C$52,((D617+E617)*C617-G617)*'Assumptions and Catalog'!$H$52+'Assumptions and Catalog'!$E$52+'Assumptions and Catalog'!$F$52,IF(((D617+E617)*C617-G617)&lt;='Assumptions and Catalog'!$C$53,((D617+E617)*C617-G617)*'Assumptions and Catalog'!$H$53+'Assumptions and Catalog'!$E$53+'Assumptions and Catalog'!$F$53,IF(((D617+E617)*C617-G617)&lt;='Assumptions and Catalog'!$C$54,((D617+E617)*C617-G617)*'Assumptions and Catalog'!$H$54+'Assumptions and Catalog'!$E$54+'Assumptions and Catalog'!$F$54,IF(((D617+E617)*C617-G617)&lt;='Assumptions and Catalog'!$C$55,((D617+E617)*C617-G617)*'Assumptions and Catalog'!$H$55+'Assumptions and Catalog'!$E$55+'Assumptions and Catalog'!$F$55,IF(((D617+E617)*C617-G617)&lt;='Assumptions and Catalog'!$C$56,((D617+E617)*C617-G617)*'Assumptions and Catalog'!$H$56+'Assumptions and Catalog'!$E$56+'Assumptions and Catalog'!$F$56,IF(((D617+E617)*C617-G617)&lt;='Assumptions and Catalog'!$C$57,((D617+E617)*C617-G617)*'Assumptions and Catalog'!$H$57+'Assumptions and Catalog'!$E$57+'Assumptions and Catalog'!$F$57,"Out of range")))))))),IF(((D617+E617)*C617-G617)&lt;='Assumptions and Catalog'!$C$60,((D617+E617)*C617-G617)*'Assumptions and Catalog'!$H$60+'Assumptions and Catalog'!$E$60+'Assumptions and Catalog'!$F$60,IF(((D617+E617)*C617-G617)&lt;='Assumptions and Catalog'!$C$61,((D617+E617)*C617-G617)*'Assumptions and Catalog'!$H$61+'Assumptions and Catalog'!$E$61+'Assumptions and Catalog'!$F$61,IF(((D617+E617)*C617-G617)&lt;='Assumptions and Catalog'!$C$62,((D617+E617)*C617-G617)*'Assumptions and Catalog'!$H$62+'Assumptions and Catalog'!$E$62+'Assumptions and Catalog'!$F$62,IF(((D617+E617)*C617-G617)&lt;='Assumptions and Catalog'!$C$63,((D617+E617)*C617-G617)*'Assumptions and Catalog'!$H$63+'Assumptions and Catalog'!$E$63+'Assumptions and Catalog'!$F$63,IF(((D617+E617)*C617-G617)&lt;='Assumptions and Catalog'!$C$64,((D617+E617)*C617-G617)*'Assumptions and Catalog'!$H$64+'Assumptions and Catalog'!$E$64+'Assumptions and Catalog'!$F$64,IF(((D617+E617)*C617-G617)&lt;='Assumptions and Catalog'!$C$65,((D617+E617)*C617-G617)*'Assumptions and Catalog'!$H$65+'Assumptions and Catalog'!$E$65+'Assumptions and Catalog'!$F$65,"Out of range")))))))))*(1+'Assumptions and Catalog'!$C$8)^(A617-1),0)</f>
        <v>7094.794</v>
      </c>
      <c r="R617" s="5" t="n">
        <f>IF(AND('Assumptions and Catalog'!$C$19&gt;0,A617&gt;='Assumptions and Catalog'!$C$19),A617-'Assumptions and Catalog'!$C$19,A617-1)</f>
        <v>7</v>
      </c>
      <c r="S617" s="5" t="n">
        <f>F617+L617-(D617+E617)*C617-J617-K617-IF(D$52&gt;0,'Assumptions and Catalog'!$C$26*C617,0)</f>
        <v>0</v>
      </c>
      <c r="T617" s="5"/>
      <c r="U617" s="5"/>
    </row>
    <row r="618" ht="23.100000381469727" customHeight="1">
      <c r="A618" s="5" t="n">
        <v>18</v>
      </c>
      <c r="B618" s="5" t="n">
        <v>4</v>
      </c>
      <c r="C618" s="5" t="n">
        <f>DAY(DATE('Assumptions and Catalog'!$C$24+A618-1,B618+1,0))</f>
        <v>30</v>
      </c>
      <c r="D618" s="5" t="n">
        <f>IF(ISNUMBER(Inputs!$L$5),Inputs!$L$5*Inputs!$L$6,0)</f>
        <v>40.35</v>
      </c>
      <c r="E618" s="5" t="n">
        <f>IF(ISNUMBER(Inputs!$L$5),Inputs!$L$5-D618,0)</f>
        <v>40.35</v>
      </c>
      <c r="F618" s="5" t="n">
        <f>D$51*'Assumptions and Catalog'!$C$31*C618*(1-'Assumptions and Catalog'!$C$10)^(A618-1)</f>
        <v>0</v>
      </c>
      <c r="G618" s="5" t="n">
        <f>MIN(F618,D618*C618)</f>
        <v>0</v>
      </c>
      <c r="H618" s="5" t="n">
        <f>I618/('Assumptions and Catalog'!$C$11*'Assumptions and Catalog'!$C$12)</f>
        <v>0</v>
      </c>
      <c r="I618" s="5" t="n">
        <f>IF(K$15="Grid cycle",MIN(K$16,D618+E618,P618*'Assumptions and Catalog'!$C$12,D$57*(24-'Assumptions and Catalog'!$C$15),D$56*'Assumptions and Catalog'!$C$15*'Assumptions and Catalog'!$C$11*'Assumptions and Catalog'!$C$12)*C618,0)</f>
        <v>0</v>
      </c>
      <c r="J618" s="5" t="n">
        <f>MAX(F618-G618-0,0)</f>
        <v>0</v>
      </c>
      <c r="K618" s="5" t="n">
        <f>H618-I618</f>
        <v>0</v>
      </c>
      <c r="L618" s="5" t="n">
        <f>(D618+E618)*C618-G618-I618+H618+IF(D$52&gt;0,'Assumptions and Catalog'!$C$26*C618,0)</f>
        <v>2421</v>
      </c>
      <c r="M618" s="5" t="n">
        <f>IF(ISNUMBER(Inputs!$L$5),(IF(Inputs!$L$9="Actual flat rate",((D618+E618)*C618)*Inputs!$L$10,IF(Inputs!$C$9="Residential",IF(((D618+E618)*C618)&lt;='Assumptions and Catalog'!$C$50,((D618+E618)*C618)*'Assumptions and Catalog'!$H$50+'Assumptions and Catalog'!$E$50+'Assumptions and Catalog'!$F$50,IF(((D618+E618)*C618)&lt;='Assumptions and Catalog'!$C$51,((D618+E618)*C618)*'Assumptions and Catalog'!$H$51+'Assumptions and Catalog'!$E$51+'Assumptions and Catalog'!$F$51,IF(((D618+E618)*C618)&lt;='Assumptions and Catalog'!$C$52,((D618+E618)*C618)*'Assumptions and Catalog'!$H$52+'Assumptions and Catalog'!$E$52+'Assumptions and Catalog'!$F$52,IF(((D618+E618)*C618)&lt;='Assumptions and Catalog'!$C$53,((D618+E618)*C618)*'Assumptions and Catalog'!$H$53+'Assumptions and Catalog'!$E$53+'Assumptions and Catalog'!$F$53,IF(((D618+E618)*C618)&lt;='Assumptions and Catalog'!$C$54,((D618+E618)*C618)*'Assumptions and Catalog'!$H$54+'Assumptions and Catalog'!$E$54+'Assumptions and Catalog'!$F$54,IF(((D618+E618)*C618)&lt;='Assumptions and Catalog'!$C$55,((D618+E618)*C618)*'Assumptions and Catalog'!$H$55+'Assumptions and Catalog'!$E$55+'Assumptions and Catalog'!$F$55,IF(((D618+E618)*C618)&lt;='Assumptions and Catalog'!$C$56,((D618+E618)*C618)*'Assumptions and Catalog'!$H$56+'Assumptions and Catalog'!$E$56+'Assumptions and Catalog'!$F$56,IF(((D618+E618)*C618)&lt;='Assumptions and Catalog'!$C$57,((D618+E618)*C618)*'Assumptions and Catalog'!$H$57+'Assumptions and Catalog'!$E$57+'Assumptions and Catalog'!$F$57,"Out of range")))))))),IF(((D618+E618)*C618)&lt;='Assumptions and Catalog'!$C$60,((D618+E618)*C618)*'Assumptions and Catalog'!$H$60+'Assumptions and Catalog'!$E$60+'Assumptions and Catalog'!$F$60,IF(((D618+E618)*C618)&lt;='Assumptions and Catalog'!$C$61,((D618+E618)*C618)*'Assumptions and Catalog'!$H$61+'Assumptions and Catalog'!$E$61+'Assumptions and Catalog'!$F$61,IF(((D618+E618)*C618)&lt;='Assumptions and Catalog'!$C$62,((D618+E618)*C618)*'Assumptions and Catalog'!$H$62+'Assumptions and Catalog'!$E$62+'Assumptions and Catalog'!$F$62,IF(((D618+E618)*C618)&lt;='Assumptions and Catalog'!$C$63,((D618+E618)*C618)*'Assumptions and Catalog'!$H$63+'Assumptions and Catalog'!$E$63+'Assumptions and Catalog'!$F$63,IF(((D618+E618)*C618)&lt;='Assumptions and Catalog'!$C$64,((D618+E618)*C618)*'Assumptions and Catalog'!$H$64+'Assumptions and Catalog'!$E$64+'Assumptions and Catalog'!$F$64,IF(((D618+E618)*C618)&lt;='Assumptions and Catalog'!$C$65,((D618+E618)*C618)*'Assumptions and Catalog'!$H$65+'Assumptions and Catalog'!$E$65+'Assumptions and Catalog'!$F$65,"Out of range")))))))))*(1+'Assumptions and Catalog'!$C$8)^(A618-1),0)</f>
        <v>6867.22</v>
      </c>
      <c r="N618" s="5" t="n">
        <f>IF(ISNUMBER(Inputs!$L$5),(IF(Inputs!$L$9="Actual flat rate",L618*Inputs!$L$10,IF(Inputs!$C$9="Residential",IF(L618&lt;='Assumptions and Catalog'!$C$50,L618*'Assumptions and Catalog'!$H$50+'Assumptions and Catalog'!$E$50+'Assumptions and Catalog'!$F$50,IF(L618&lt;='Assumptions and Catalog'!$C$51,L618*'Assumptions and Catalog'!$H$51+'Assumptions and Catalog'!$E$51+'Assumptions and Catalog'!$F$51,IF(L618&lt;='Assumptions and Catalog'!$C$52,L618*'Assumptions and Catalog'!$H$52+'Assumptions and Catalog'!$E$52+'Assumptions and Catalog'!$F$52,IF(L618&lt;='Assumptions and Catalog'!$C$53,L618*'Assumptions and Catalog'!$H$53+'Assumptions and Catalog'!$E$53+'Assumptions and Catalog'!$F$53,IF(L618&lt;='Assumptions and Catalog'!$C$54,L618*'Assumptions and Catalog'!$H$54+'Assumptions and Catalog'!$E$54+'Assumptions and Catalog'!$F$54,IF(L618&lt;='Assumptions and Catalog'!$C$55,L618*'Assumptions and Catalog'!$H$55+'Assumptions and Catalog'!$E$55+'Assumptions and Catalog'!$F$55,IF(L618&lt;='Assumptions and Catalog'!$C$56,L618*'Assumptions and Catalog'!$H$56+'Assumptions and Catalog'!$E$56+'Assumptions and Catalog'!$F$56,IF(L618&lt;='Assumptions and Catalog'!$C$57,L618*'Assumptions and Catalog'!$H$57+'Assumptions and Catalog'!$E$57+'Assumptions and Catalog'!$F$57,"Out of range")))))))),IF(L618&lt;='Assumptions and Catalog'!$C$60,L618*'Assumptions and Catalog'!$H$60+'Assumptions and Catalog'!$E$60+'Assumptions and Catalog'!$F$60,IF(L618&lt;='Assumptions and Catalog'!$C$61,L618*'Assumptions and Catalog'!$H$61+'Assumptions and Catalog'!$E$61+'Assumptions and Catalog'!$F$61,IF(L618&lt;='Assumptions and Catalog'!$C$62,L618*'Assumptions and Catalog'!$H$62+'Assumptions and Catalog'!$E$62+'Assumptions and Catalog'!$F$62,IF(L618&lt;='Assumptions and Catalog'!$C$63,L618*'Assumptions and Catalog'!$H$63+'Assumptions and Catalog'!$E$63+'Assumptions and Catalog'!$F$63,IF(L618&lt;='Assumptions and Catalog'!$C$64,L618*'Assumptions and Catalog'!$H$64+'Assumptions and Catalog'!$E$64+'Assumptions and Catalog'!$F$64,IF(L618&lt;='Assumptions and Catalog'!$C$65,L618*'Assumptions and Catalog'!$H$65+'Assumptions and Catalog'!$E$65+'Assumptions and Catalog'!$F$65,"Out of range")))))))))*(1+'Assumptions and Catalog'!$C$8)^(A618-1),0)</f>
        <v>6867.22</v>
      </c>
      <c r="O618" s="5" t="n">
        <f>M618-N618</f>
        <v>0</v>
      </c>
      <c r="P618" s="5" t="n">
        <f>D$55*(1-K$14)*(1-'Assumptions and Catalog'!$C$23)^R618</f>
        <v>0</v>
      </c>
      <c r="Q618" s="5" t="n">
        <f>IF(ISNUMBER(Inputs!$L$5),(IF(Inputs!$L$9="Actual flat rate",((D618+E618)*C618-G618)*Inputs!$L$10,IF(Inputs!$C$9="Residential",IF(((D618+E618)*C618-G618)&lt;='Assumptions and Catalog'!$C$50,((D618+E618)*C618-G618)*'Assumptions and Catalog'!$H$50+'Assumptions and Catalog'!$E$50+'Assumptions and Catalog'!$F$50,IF(((D618+E618)*C618-G618)&lt;='Assumptions and Catalog'!$C$51,((D618+E618)*C618-G618)*'Assumptions and Catalog'!$H$51+'Assumptions and Catalog'!$E$51+'Assumptions and Catalog'!$F$51,IF(((D618+E618)*C618-G618)&lt;='Assumptions and Catalog'!$C$52,((D618+E618)*C618-G618)*'Assumptions and Catalog'!$H$52+'Assumptions and Catalog'!$E$52+'Assumptions and Catalog'!$F$52,IF(((D618+E618)*C618-G618)&lt;='Assumptions and Catalog'!$C$53,((D618+E618)*C618-G618)*'Assumptions and Catalog'!$H$53+'Assumptions and Catalog'!$E$53+'Assumptions and Catalog'!$F$53,IF(((D618+E618)*C618-G618)&lt;='Assumptions and Catalog'!$C$54,((D618+E618)*C618-G618)*'Assumptions and Catalog'!$H$54+'Assumptions and Catalog'!$E$54+'Assumptions and Catalog'!$F$54,IF(((D618+E618)*C618-G618)&lt;='Assumptions and Catalog'!$C$55,((D618+E618)*C618-G618)*'Assumptions and Catalog'!$H$55+'Assumptions and Catalog'!$E$55+'Assumptions and Catalog'!$F$55,IF(((D618+E618)*C618-G618)&lt;='Assumptions and Catalog'!$C$56,((D618+E618)*C618-G618)*'Assumptions and Catalog'!$H$56+'Assumptions and Catalog'!$E$56+'Assumptions and Catalog'!$F$56,IF(((D618+E618)*C618-G618)&lt;='Assumptions and Catalog'!$C$57,((D618+E618)*C618-G618)*'Assumptions and Catalog'!$H$57+'Assumptions and Catalog'!$E$57+'Assumptions and Catalog'!$F$57,"Out of range")))))))),IF(((D618+E618)*C618-G618)&lt;='Assumptions and Catalog'!$C$60,((D618+E618)*C618-G618)*'Assumptions and Catalog'!$H$60+'Assumptions and Catalog'!$E$60+'Assumptions and Catalog'!$F$60,IF(((D618+E618)*C618-G618)&lt;='Assumptions and Catalog'!$C$61,((D618+E618)*C618-G618)*'Assumptions and Catalog'!$H$61+'Assumptions and Catalog'!$E$61+'Assumptions and Catalog'!$F$61,IF(((D618+E618)*C618-G618)&lt;='Assumptions and Catalog'!$C$62,((D618+E618)*C618-G618)*'Assumptions and Catalog'!$H$62+'Assumptions and Catalog'!$E$62+'Assumptions and Catalog'!$F$62,IF(((D618+E618)*C618-G618)&lt;='Assumptions and Catalog'!$C$63,((D618+E618)*C618-G618)*'Assumptions and Catalog'!$H$63+'Assumptions and Catalog'!$E$63+'Assumptions and Catalog'!$F$63,IF(((D618+E618)*C618-G618)&lt;='Assumptions and Catalog'!$C$64,((D618+E618)*C618-G618)*'Assumptions and Catalog'!$H$64+'Assumptions and Catalog'!$E$64+'Assumptions and Catalog'!$F$64,IF(((D618+E618)*C618-G618)&lt;='Assumptions and Catalog'!$C$65,((D618+E618)*C618-G618)*'Assumptions and Catalog'!$H$65+'Assumptions and Catalog'!$E$65+'Assumptions and Catalog'!$F$65,"Out of range")))))))))*(1+'Assumptions and Catalog'!$C$8)^(A618-1),0)</f>
        <v>6867.22</v>
      </c>
      <c r="R618" s="5" t="n">
        <f>IF(AND('Assumptions and Catalog'!$C$19&gt;0,A618&gt;='Assumptions and Catalog'!$C$19),A618-'Assumptions and Catalog'!$C$19,A618-1)</f>
        <v>7</v>
      </c>
      <c r="S618" s="5" t="n">
        <f>F618+L618-(D618+E618)*C618-J618-K618-IF(D$52&gt;0,'Assumptions and Catalog'!$C$26*C618,0)</f>
        <v>0</v>
      </c>
      <c r="T618" s="5"/>
      <c r="U618" s="5"/>
    </row>
    <row r="619" ht="23.100000381469727" customHeight="1">
      <c r="A619" s="5" t="n">
        <v>18</v>
      </c>
      <c r="B619" s="5" t="n">
        <v>5</v>
      </c>
      <c r="C619" s="5" t="n">
        <f>DAY(DATE('Assumptions and Catalog'!$C$24+A619-1,B619+1,0))</f>
        <v>31</v>
      </c>
      <c r="D619" s="5" t="n">
        <f>IF(ISNUMBER(Inputs!$L$5),Inputs!$L$5*Inputs!$L$6,0)</f>
        <v>40.35</v>
      </c>
      <c r="E619" s="5" t="n">
        <f>IF(ISNUMBER(Inputs!$L$5),Inputs!$L$5-D619,0)</f>
        <v>40.35</v>
      </c>
      <c r="F619" s="5" t="n">
        <f>D$51*'Assumptions and Catalog'!$C$31*C619*(1-'Assumptions and Catalog'!$C$10)^(A619-1)</f>
        <v>0</v>
      </c>
      <c r="G619" s="5" t="n">
        <f>MIN(F619,D619*C619)</f>
        <v>0</v>
      </c>
      <c r="H619" s="5" t="n">
        <f>I619/('Assumptions and Catalog'!$C$11*'Assumptions and Catalog'!$C$12)</f>
        <v>0</v>
      </c>
      <c r="I619" s="5" t="n">
        <f>IF(K$15="Grid cycle",MIN(K$16,D619+E619,P619*'Assumptions and Catalog'!$C$12,D$57*(24-'Assumptions and Catalog'!$C$15),D$56*'Assumptions and Catalog'!$C$15*'Assumptions and Catalog'!$C$11*'Assumptions and Catalog'!$C$12)*C619,0)</f>
        <v>0</v>
      </c>
      <c r="J619" s="5" t="n">
        <f>MAX(F619-G619-0,0)</f>
        <v>0</v>
      </c>
      <c r="K619" s="5" t="n">
        <f>H619-I619</f>
        <v>0</v>
      </c>
      <c r="L619" s="5" t="n">
        <f>(D619+E619)*C619-G619-I619+H619+IF(D$52&gt;0,'Assumptions and Catalog'!$C$26*C619,0)</f>
        <v>2501.7</v>
      </c>
      <c r="M619" s="5" t="n">
        <f>IF(ISNUMBER(Inputs!$L$5),(IF(Inputs!$L$9="Actual flat rate",((D619+E619)*C619)*Inputs!$L$10,IF(Inputs!$C$9="Residential",IF(((D619+E619)*C619)&lt;='Assumptions and Catalog'!$C$50,((D619+E619)*C619)*'Assumptions and Catalog'!$H$50+'Assumptions and Catalog'!$E$50+'Assumptions and Catalog'!$F$50,IF(((D619+E619)*C619)&lt;='Assumptions and Catalog'!$C$51,((D619+E619)*C619)*'Assumptions and Catalog'!$H$51+'Assumptions and Catalog'!$E$51+'Assumptions and Catalog'!$F$51,IF(((D619+E619)*C619)&lt;='Assumptions and Catalog'!$C$52,((D619+E619)*C619)*'Assumptions and Catalog'!$H$52+'Assumptions and Catalog'!$E$52+'Assumptions and Catalog'!$F$52,IF(((D619+E619)*C619)&lt;='Assumptions and Catalog'!$C$53,((D619+E619)*C619)*'Assumptions and Catalog'!$H$53+'Assumptions and Catalog'!$E$53+'Assumptions and Catalog'!$F$53,IF(((D619+E619)*C619)&lt;='Assumptions and Catalog'!$C$54,((D619+E619)*C619)*'Assumptions and Catalog'!$H$54+'Assumptions and Catalog'!$E$54+'Assumptions and Catalog'!$F$54,IF(((D619+E619)*C619)&lt;='Assumptions and Catalog'!$C$55,((D619+E619)*C619)*'Assumptions and Catalog'!$H$55+'Assumptions and Catalog'!$E$55+'Assumptions and Catalog'!$F$55,IF(((D619+E619)*C619)&lt;='Assumptions and Catalog'!$C$56,((D619+E619)*C619)*'Assumptions and Catalog'!$H$56+'Assumptions and Catalog'!$E$56+'Assumptions and Catalog'!$F$56,IF(((D619+E619)*C619)&lt;='Assumptions and Catalog'!$C$57,((D619+E619)*C619)*'Assumptions and Catalog'!$H$57+'Assumptions and Catalog'!$E$57+'Assumptions and Catalog'!$F$57,"Out of range")))))))),IF(((D619+E619)*C619)&lt;='Assumptions and Catalog'!$C$60,((D619+E619)*C619)*'Assumptions and Catalog'!$H$60+'Assumptions and Catalog'!$E$60+'Assumptions and Catalog'!$F$60,IF(((D619+E619)*C619)&lt;='Assumptions and Catalog'!$C$61,((D619+E619)*C619)*'Assumptions and Catalog'!$H$61+'Assumptions and Catalog'!$E$61+'Assumptions and Catalog'!$F$61,IF(((D619+E619)*C619)&lt;='Assumptions and Catalog'!$C$62,((D619+E619)*C619)*'Assumptions and Catalog'!$H$62+'Assumptions and Catalog'!$E$62+'Assumptions and Catalog'!$F$62,IF(((D619+E619)*C619)&lt;='Assumptions and Catalog'!$C$63,((D619+E619)*C619)*'Assumptions and Catalog'!$H$63+'Assumptions and Catalog'!$E$63+'Assumptions and Catalog'!$F$63,IF(((D619+E619)*C619)&lt;='Assumptions and Catalog'!$C$64,((D619+E619)*C619)*'Assumptions and Catalog'!$H$64+'Assumptions and Catalog'!$E$64+'Assumptions and Catalog'!$F$64,IF(((D619+E619)*C619)&lt;='Assumptions and Catalog'!$C$65,((D619+E619)*C619)*'Assumptions and Catalog'!$H$65+'Assumptions and Catalog'!$E$65+'Assumptions and Catalog'!$F$65,"Out of range")))))))))*(1+'Assumptions and Catalog'!$C$8)^(A619-1),0)</f>
        <v>7094.794</v>
      </c>
      <c r="N619" s="5" t="n">
        <f>IF(ISNUMBER(Inputs!$L$5),(IF(Inputs!$L$9="Actual flat rate",L619*Inputs!$L$10,IF(Inputs!$C$9="Residential",IF(L619&lt;='Assumptions and Catalog'!$C$50,L619*'Assumptions and Catalog'!$H$50+'Assumptions and Catalog'!$E$50+'Assumptions and Catalog'!$F$50,IF(L619&lt;='Assumptions and Catalog'!$C$51,L619*'Assumptions and Catalog'!$H$51+'Assumptions and Catalog'!$E$51+'Assumptions and Catalog'!$F$51,IF(L619&lt;='Assumptions and Catalog'!$C$52,L619*'Assumptions and Catalog'!$H$52+'Assumptions and Catalog'!$E$52+'Assumptions and Catalog'!$F$52,IF(L619&lt;='Assumptions and Catalog'!$C$53,L619*'Assumptions and Catalog'!$H$53+'Assumptions and Catalog'!$E$53+'Assumptions and Catalog'!$F$53,IF(L619&lt;='Assumptions and Catalog'!$C$54,L619*'Assumptions and Catalog'!$H$54+'Assumptions and Catalog'!$E$54+'Assumptions and Catalog'!$F$54,IF(L619&lt;='Assumptions and Catalog'!$C$55,L619*'Assumptions and Catalog'!$H$55+'Assumptions and Catalog'!$E$55+'Assumptions and Catalog'!$F$55,IF(L619&lt;='Assumptions and Catalog'!$C$56,L619*'Assumptions and Catalog'!$H$56+'Assumptions and Catalog'!$E$56+'Assumptions and Catalog'!$F$56,IF(L619&lt;='Assumptions and Catalog'!$C$57,L619*'Assumptions and Catalog'!$H$57+'Assumptions and Catalog'!$E$57+'Assumptions and Catalog'!$F$57,"Out of range")))))))),IF(L619&lt;='Assumptions and Catalog'!$C$60,L619*'Assumptions and Catalog'!$H$60+'Assumptions and Catalog'!$E$60+'Assumptions and Catalog'!$F$60,IF(L619&lt;='Assumptions and Catalog'!$C$61,L619*'Assumptions and Catalog'!$H$61+'Assumptions and Catalog'!$E$61+'Assumptions and Catalog'!$F$61,IF(L619&lt;='Assumptions and Catalog'!$C$62,L619*'Assumptions and Catalog'!$H$62+'Assumptions and Catalog'!$E$62+'Assumptions and Catalog'!$F$62,IF(L619&lt;='Assumptions and Catalog'!$C$63,L619*'Assumptions and Catalog'!$H$63+'Assumptions and Catalog'!$E$63+'Assumptions and Catalog'!$F$63,IF(L619&lt;='Assumptions and Catalog'!$C$64,L619*'Assumptions and Catalog'!$H$64+'Assumptions and Catalog'!$E$64+'Assumptions and Catalog'!$F$64,IF(L619&lt;='Assumptions and Catalog'!$C$65,L619*'Assumptions and Catalog'!$H$65+'Assumptions and Catalog'!$E$65+'Assumptions and Catalog'!$F$65,"Out of range")))))))))*(1+'Assumptions and Catalog'!$C$8)^(A619-1),0)</f>
        <v>7094.794</v>
      </c>
      <c r="O619" s="5" t="n">
        <f>M619-N619</f>
        <v>0</v>
      </c>
      <c r="P619" s="5" t="n">
        <f>D$55*(1-K$14)*(1-'Assumptions and Catalog'!$C$23)^R619</f>
        <v>0</v>
      </c>
      <c r="Q619" s="5" t="n">
        <f>IF(ISNUMBER(Inputs!$L$5),(IF(Inputs!$L$9="Actual flat rate",((D619+E619)*C619-G619)*Inputs!$L$10,IF(Inputs!$C$9="Residential",IF(((D619+E619)*C619-G619)&lt;='Assumptions and Catalog'!$C$50,((D619+E619)*C619-G619)*'Assumptions and Catalog'!$H$50+'Assumptions and Catalog'!$E$50+'Assumptions and Catalog'!$F$50,IF(((D619+E619)*C619-G619)&lt;='Assumptions and Catalog'!$C$51,((D619+E619)*C619-G619)*'Assumptions and Catalog'!$H$51+'Assumptions and Catalog'!$E$51+'Assumptions and Catalog'!$F$51,IF(((D619+E619)*C619-G619)&lt;='Assumptions and Catalog'!$C$52,((D619+E619)*C619-G619)*'Assumptions and Catalog'!$H$52+'Assumptions and Catalog'!$E$52+'Assumptions and Catalog'!$F$52,IF(((D619+E619)*C619-G619)&lt;='Assumptions and Catalog'!$C$53,((D619+E619)*C619-G619)*'Assumptions and Catalog'!$H$53+'Assumptions and Catalog'!$E$53+'Assumptions and Catalog'!$F$53,IF(((D619+E619)*C619-G619)&lt;='Assumptions and Catalog'!$C$54,((D619+E619)*C619-G619)*'Assumptions and Catalog'!$H$54+'Assumptions and Catalog'!$E$54+'Assumptions and Catalog'!$F$54,IF(((D619+E619)*C619-G619)&lt;='Assumptions and Catalog'!$C$55,((D619+E619)*C619-G619)*'Assumptions and Catalog'!$H$55+'Assumptions and Catalog'!$E$55+'Assumptions and Catalog'!$F$55,IF(((D619+E619)*C619-G619)&lt;='Assumptions and Catalog'!$C$56,((D619+E619)*C619-G619)*'Assumptions and Catalog'!$H$56+'Assumptions and Catalog'!$E$56+'Assumptions and Catalog'!$F$56,IF(((D619+E619)*C619-G619)&lt;='Assumptions and Catalog'!$C$57,((D619+E619)*C619-G619)*'Assumptions and Catalog'!$H$57+'Assumptions and Catalog'!$E$57+'Assumptions and Catalog'!$F$57,"Out of range")))))))),IF(((D619+E619)*C619-G619)&lt;='Assumptions and Catalog'!$C$60,((D619+E619)*C619-G619)*'Assumptions and Catalog'!$H$60+'Assumptions and Catalog'!$E$60+'Assumptions and Catalog'!$F$60,IF(((D619+E619)*C619-G619)&lt;='Assumptions and Catalog'!$C$61,((D619+E619)*C619-G619)*'Assumptions and Catalog'!$H$61+'Assumptions and Catalog'!$E$61+'Assumptions and Catalog'!$F$61,IF(((D619+E619)*C619-G619)&lt;='Assumptions and Catalog'!$C$62,((D619+E619)*C619-G619)*'Assumptions and Catalog'!$H$62+'Assumptions and Catalog'!$E$62+'Assumptions and Catalog'!$F$62,IF(((D619+E619)*C619-G619)&lt;='Assumptions and Catalog'!$C$63,((D619+E619)*C619-G619)*'Assumptions and Catalog'!$H$63+'Assumptions and Catalog'!$E$63+'Assumptions and Catalog'!$F$63,IF(((D619+E619)*C619-G619)&lt;='Assumptions and Catalog'!$C$64,((D619+E619)*C619-G619)*'Assumptions and Catalog'!$H$64+'Assumptions and Catalog'!$E$64+'Assumptions and Catalog'!$F$64,IF(((D619+E619)*C619-G619)&lt;='Assumptions and Catalog'!$C$65,((D619+E619)*C619-G619)*'Assumptions and Catalog'!$H$65+'Assumptions and Catalog'!$E$65+'Assumptions and Catalog'!$F$65,"Out of range")))))))))*(1+'Assumptions and Catalog'!$C$8)^(A619-1),0)</f>
        <v>7094.794</v>
      </c>
      <c r="R619" s="5" t="n">
        <f>IF(AND('Assumptions and Catalog'!$C$19&gt;0,A619&gt;='Assumptions and Catalog'!$C$19),A619-'Assumptions and Catalog'!$C$19,A619-1)</f>
        <v>7</v>
      </c>
      <c r="S619" s="5" t="n">
        <f>F619+L619-(D619+E619)*C619-J619-K619-IF(D$52&gt;0,'Assumptions and Catalog'!$C$26*C619,0)</f>
        <v>0</v>
      </c>
      <c r="T619" s="5"/>
      <c r="U619" s="5"/>
    </row>
    <row r="620" ht="23.100000381469727" customHeight="1">
      <c r="A620" s="5" t="n">
        <v>18</v>
      </c>
      <c r="B620" s="5" t="n">
        <v>6</v>
      </c>
      <c r="C620" s="5" t="n">
        <f>DAY(DATE('Assumptions and Catalog'!$C$24+A620-1,B620+1,0))</f>
        <v>30</v>
      </c>
      <c r="D620" s="5" t="n">
        <f>IF(ISNUMBER(Inputs!$L$5),Inputs!$L$5*Inputs!$L$6,0)</f>
        <v>40.35</v>
      </c>
      <c r="E620" s="5" t="n">
        <f>IF(ISNUMBER(Inputs!$L$5),Inputs!$L$5-D620,0)</f>
        <v>40.35</v>
      </c>
      <c r="F620" s="5" t="n">
        <f>D$51*'Assumptions and Catalog'!$C$31*C620*(1-'Assumptions and Catalog'!$C$10)^(A620-1)</f>
        <v>0</v>
      </c>
      <c r="G620" s="5" t="n">
        <f>MIN(F620,D620*C620)</f>
        <v>0</v>
      </c>
      <c r="H620" s="5" t="n">
        <f>I620/('Assumptions and Catalog'!$C$11*'Assumptions and Catalog'!$C$12)</f>
        <v>0</v>
      </c>
      <c r="I620" s="5" t="n">
        <f>IF(K$15="Grid cycle",MIN(K$16,D620+E620,P620*'Assumptions and Catalog'!$C$12,D$57*(24-'Assumptions and Catalog'!$C$15),D$56*'Assumptions and Catalog'!$C$15*'Assumptions and Catalog'!$C$11*'Assumptions and Catalog'!$C$12)*C620,0)</f>
        <v>0</v>
      </c>
      <c r="J620" s="5" t="n">
        <f>MAX(F620-G620-0,0)</f>
        <v>0</v>
      </c>
      <c r="K620" s="5" t="n">
        <f>H620-I620</f>
        <v>0</v>
      </c>
      <c r="L620" s="5" t="n">
        <f>(D620+E620)*C620-G620-I620+H620+IF(D$52&gt;0,'Assumptions and Catalog'!$C$26*C620,0)</f>
        <v>2421</v>
      </c>
      <c r="M620" s="5" t="n">
        <f>IF(ISNUMBER(Inputs!$L$5),(IF(Inputs!$L$9="Actual flat rate",((D620+E620)*C620)*Inputs!$L$10,IF(Inputs!$C$9="Residential",IF(((D620+E620)*C620)&lt;='Assumptions and Catalog'!$C$50,((D620+E620)*C620)*'Assumptions and Catalog'!$H$50+'Assumptions and Catalog'!$E$50+'Assumptions and Catalog'!$F$50,IF(((D620+E620)*C620)&lt;='Assumptions and Catalog'!$C$51,((D620+E620)*C620)*'Assumptions and Catalog'!$H$51+'Assumptions and Catalog'!$E$51+'Assumptions and Catalog'!$F$51,IF(((D620+E620)*C620)&lt;='Assumptions and Catalog'!$C$52,((D620+E620)*C620)*'Assumptions and Catalog'!$H$52+'Assumptions and Catalog'!$E$52+'Assumptions and Catalog'!$F$52,IF(((D620+E620)*C620)&lt;='Assumptions and Catalog'!$C$53,((D620+E620)*C620)*'Assumptions and Catalog'!$H$53+'Assumptions and Catalog'!$E$53+'Assumptions and Catalog'!$F$53,IF(((D620+E620)*C620)&lt;='Assumptions and Catalog'!$C$54,((D620+E620)*C620)*'Assumptions and Catalog'!$H$54+'Assumptions and Catalog'!$E$54+'Assumptions and Catalog'!$F$54,IF(((D620+E620)*C620)&lt;='Assumptions and Catalog'!$C$55,((D620+E620)*C620)*'Assumptions and Catalog'!$H$55+'Assumptions and Catalog'!$E$55+'Assumptions and Catalog'!$F$55,IF(((D620+E620)*C620)&lt;='Assumptions and Catalog'!$C$56,((D620+E620)*C620)*'Assumptions and Catalog'!$H$56+'Assumptions and Catalog'!$E$56+'Assumptions and Catalog'!$F$56,IF(((D620+E620)*C620)&lt;='Assumptions and Catalog'!$C$57,((D620+E620)*C620)*'Assumptions and Catalog'!$H$57+'Assumptions and Catalog'!$E$57+'Assumptions and Catalog'!$F$57,"Out of range")))))))),IF(((D620+E620)*C620)&lt;='Assumptions and Catalog'!$C$60,((D620+E620)*C620)*'Assumptions and Catalog'!$H$60+'Assumptions and Catalog'!$E$60+'Assumptions and Catalog'!$F$60,IF(((D620+E620)*C620)&lt;='Assumptions and Catalog'!$C$61,((D620+E620)*C620)*'Assumptions and Catalog'!$H$61+'Assumptions and Catalog'!$E$61+'Assumptions and Catalog'!$F$61,IF(((D620+E620)*C620)&lt;='Assumptions and Catalog'!$C$62,((D620+E620)*C620)*'Assumptions and Catalog'!$H$62+'Assumptions and Catalog'!$E$62+'Assumptions and Catalog'!$F$62,IF(((D620+E620)*C620)&lt;='Assumptions and Catalog'!$C$63,((D620+E620)*C620)*'Assumptions and Catalog'!$H$63+'Assumptions and Catalog'!$E$63+'Assumptions and Catalog'!$F$63,IF(((D620+E620)*C620)&lt;='Assumptions and Catalog'!$C$64,((D620+E620)*C620)*'Assumptions and Catalog'!$H$64+'Assumptions and Catalog'!$E$64+'Assumptions and Catalog'!$F$64,IF(((D620+E620)*C620)&lt;='Assumptions and Catalog'!$C$65,((D620+E620)*C620)*'Assumptions and Catalog'!$H$65+'Assumptions and Catalog'!$E$65+'Assumptions and Catalog'!$F$65,"Out of range")))))))))*(1+'Assumptions and Catalog'!$C$8)^(A620-1),0)</f>
        <v>6867.22</v>
      </c>
      <c r="N620" s="5" t="n">
        <f>IF(ISNUMBER(Inputs!$L$5),(IF(Inputs!$L$9="Actual flat rate",L620*Inputs!$L$10,IF(Inputs!$C$9="Residential",IF(L620&lt;='Assumptions and Catalog'!$C$50,L620*'Assumptions and Catalog'!$H$50+'Assumptions and Catalog'!$E$50+'Assumptions and Catalog'!$F$50,IF(L620&lt;='Assumptions and Catalog'!$C$51,L620*'Assumptions and Catalog'!$H$51+'Assumptions and Catalog'!$E$51+'Assumptions and Catalog'!$F$51,IF(L620&lt;='Assumptions and Catalog'!$C$52,L620*'Assumptions and Catalog'!$H$52+'Assumptions and Catalog'!$E$52+'Assumptions and Catalog'!$F$52,IF(L620&lt;='Assumptions and Catalog'!$C$53,L620*'Assumptions and Catalog'!$H$53+'Assumptions and Catalog'!$E$53+'Assumptions and Catalog'!$F$53,IF(L620&lt;='Assumptions and Catalog'!$C$54,L620*'Assumptions and Catalog'!$H$54+'Assumptions and Catalog'!$E$54+'Assumptions and Catalog'!$F$54,IF(L620&lt;='Assumptions and Catalog'!$C$55,L620*'Assumptions and Catalog'!$H$55+'Assumptions and Catalog'!$E$55+'Assumptions and Catalog'!$F$55,IF(L620&lt;='Assumptions and Catalog'!$C$56,L620*'Assumptions and Catalog'!$H$56+'Assumptions and Catalog'!$E$56+'Assumptions and Catalog'!$F$56,IF(L620&lt;='Assumptions and Catalog'!$C$57,L620*'Assumptions and Catalog'!$H$57+'Assumptions and Catalog'!$E$57+'Assumptions and Catalog'!$F$57,"Out of range")))))))),IF(L620&lt;='Assumptions and Catalog'!$C$60,L620*'Assumptions and Catalog'!$H$60+'Assumptions and Catalog'!$E$60+'Assumptions and Catalog'!$F$60,IF(L620&lt;='Assumptions and Catalog'!$C$61,L620*'Assumptions and Catalog'!$H$61+'Assumptions and Catalog'!$E$61+'Assumptions and Catalog'!$F$61,IF(L620&lt;='Assumptions and Catalog'!$C$62,L620*'Assumptions and Catalog'!$H$62+'Assumptions and Catalog'!$E$62+'Assumptions and Catalog'!$F$62,IF(L620&lt;='Assumptions and Catalog'!$C$63,L620*'Assumptions and Catalog'!$H$63+'Assumptions and Catalog'!$E$63+'Assumptions and Catalog'!$F$63,IF(L620&lt;='Assumptions and Catalog'!$C$64,L620*'Assumptions and Catalog'!$H$64+'Assumptions and Catalog'!$E$64+'Assumptions and Catalog'!$F$64,IF(L620&lt;='Assumptions and Catalog'!$C$65,L620*'Assumptions and Catalog'!$H$65+'Assumptions and Catalog'!$E$65+'Assumptions and Catalog'!$F$65,"Out of range")))))))))*(1+'Assumptions and Catalog'!$C$8)^(A620-1),0)</f>
        <v>6867.22</v>
      </c>
      <c r="O620" s="5" t="n">
        <f>M620-N620</f>
        <v>0</v>
      </c>
      <c r="P620" s="5" t="n">
        <f>D$55*(1-K$14)*(1-'Assumptions and Catalog'!$C$23)^R620</f>
        <v>0</v>
      </c>
      <c r="Q620" s="5" t="n">
        <f>IF(ISNUMBER(Inputs!$L$5),(IF(Inputs!$L$9="Actual flat rate",((D620+E620)*C620-G620)*Inputs!$L$10,IF(Inputs!$C$9="Residential",IF(((D620+E620)*C620-G620)&lt;='Assumptions and Catalog'!$C$50,((D620+E620)*C620-G620)*'Assumptions and Catalog'!$H$50+'Assumptions and Catalog'!$E$50+'Assumptions and Catalog'!$F$50,IF(((D620+E620)*C620-G620)&lt;='Assumptions and Catalog'!$C$51,((D620+E620)*C620-G620)*'Assumptions and Catalog'!$H$51+'Assumptions and Catalog'!$E$51+'Assumptions and Catalog'!$F$51,IF(((D620+E620)*C620-G620)&lt;='Assumptions and Catalog'!$C$52,((D620+E620)*C620-G620)*'Assumptions and Catalog'!$H$52+'Assumptions and Catalog'!$E$52+'Assumptions and Catalog'!$F$52,IF(((D620+E620)*C620-G620)&lt;='Assumptions and Catalog'!$C$53,((D620+E620)*C620-G620)*'Assumptions and Catalog'!$H$53+'Assumptions and Catalog'!$E$53+'Assumptions and Catalog'!$F$53,IF(((D620+E620)*C620-G620)&lt;='Assumptions and Catalog'!$C$54,((D620+E620)*C620-G620)*'Assumptions and Catalog'!$H$54+'Assumptions and Catalog'!$E$54+'Assumptions and Catalog'!$F$54,IF(((D620+E620)*C620-G620)&lt;='Assumptions and Catalog'!$C$55,((D620+E620)*C620-G620)*'Assumptions and Catalog'!$H$55+'Assumptions and Catalog'!$E$55+'Assumptions and Catalog'!$F$55,IF(((D620+E620)*C620-G620)&lt;='Assumptions and Catalog'!$C$56,((D620+E620)*C620-G620)*'Assumptions and Catalog'!$H$56+'Assumptions and Catalog'!$E$56+'Assumptions and Catalog'!$F$56,IF(((D620+E620)*C620-G620)&lt;='Assumptions and Catalog'!$C$57,((D620+E620)*C620-G620)*'Assumptions and Catalog'!$H$57+'Assumptions and Catalog'!$E$57+'Assumptions and Catalog'!$F$57,"Out of range")))))))),IF(((D620+E620)*C620-G620)&lt;='Assumptions and Catalog'!$C$60,((D620+E620)*C620-G620)*'Assumptions and Catalog'!$H$60+'Assumptions and Catalog'!$E$60+'Assumptions and Catalog'!$F$60,IF(((D620+E620)*C620-G620)&lt;='Assumptions and Catalog'!$C$61,((D620+E620)*C620-G620)*'Assumptions and Catalog'!$H$61+'Assumptions and Catalog'!$E$61+'Assumptions and Catalog'!$F$61,IF(((D620+E620)*C620-G620)&lt;='Assumptions and Catalog'!$C$62,((D620+E620)*C620-G620)*'Assumptions and Catalog'!$H$62+'Assumptions and Catalog'!$E$62+'Assumptions and Catalog'!$F$62,IF(((D620+E620)*C620-G620)&lt;='Assumptions and Catalog'!$C$63,((D620+E620)*C620-G620)*'Assumptions and Catalog'!$H$63+'Assumptions and Catalog'!$E$63+'Assumptions and Catalog'!$F$63,IF(((D620+E620)*C620-G620)&lt;='Assumptions and Catalog'!$C$64,((D620+E620)*C620-G620)*'Assumptions and Catalog'!$H$64+'Assumptions and Catalog'!$E$64+'Assumptions and Catalog'!$F$64,IF(((D620+E620)*C620-G620)&lt;='Assumptions and Catalog'!$C$65,((D620+E620)*C620-G620)*'Assumptions and Catalog'!$H$65+'Assumptions and Catalog'!$E$65+'Assumptions and Catalog'!$F$65,"Out of range")))))))))*(1+'Assumptions and Catalog'!$C$8)^(A620-1),0)</f>
        <v>6867.22</v>
      </c>
      <c r="R620" s="5" t="n">
        <f>IF(AND('Assumptions and Catalog'!$C$19&gt;0,A620&gt;='Assumptions and Catalog'!$C$19),A620-'Assumptions and Catalog'!$C$19,A620-1)</f>
        <v>7</v>
      </c>
      <c r="S620" s="5" t="n">
        <f>F620+L620-(D620+E620)*C620-J620-K620-IF(D$52&gt;0,'Assumptions and Catalog'!$C$26*C620,0)</f>
        <v>0</v>
      </c>
      <c r="T620" s="5"/>
      <c r="U620" s="5"/>
    </row>
    <row r="621" ht="23.100000381469727" customHeight="1">
      <c r="A621" s="5" t="n">
        <v>18</v>
      </c>
      <c r="B621" s="5" t="n">
        <v>7</v>
      </c>
      <c r="C621" s="5" t="n">
        <f>DAY(DATE('Assumptions and Catalog'!$C$24+A621-1,B621+1,0))</f>
        <v>31</v>
      </c>
      <c r="D621" s="5" t="n">
        <f>IF(ISNUMBER(Inputs!$L$5),Inputs!$L$5*Inputs!$L$6,0)</f>
        <v>40.35</v>
      </c>
      <c r="E621" s="5" t="n">
        <f>IF(ISNUMBER(Inputs!$L$5),Inputs!$L$5-D621,0)</f>
        <v>40.35</v>
      </c>
      <c r="F621" s="5" t="n">
        <f>D$51*'Assumptions and Catalog'!$C$31*C621*(1-'Assumptions and Catalog'!$C$10)^(A621-1)</f>
        <v>0</v>
      </c>
      <c r="G621" s="5" t="n">
        <f>MIN(F621,D621*C621)</f>
        <v>0</v>
      </c>
      <c r="H621" s="5" t="n">
        <f>I621/('Assumptions and Catalog'!$C$11*'Assumptions and Catalog'!$C$12)</f>
        <v>0</v>
      </c>
      <c r="I621" s="5" t="n">
        <f>IF(K$15="Grid cycle",MIN(K$16,D621+E621,P621*'Assumptions and Catalog'!$C$12,D$57*(24-'Assumptions and Catalog'!$C$15),D$56*'Assumptions and Catalog'!$C$15*'Assumptions and Catalog'!$C$11*'Assumptions and Catalog'!$C$12)*C621,0)</f>
        <v>0</v>
      </c>
      <c r="J621" s="5" t="n">
        <f>MAX(F621-G621-0,0)</f>
        <v>0</v>
      </c>
      <c r="K621" s="5" t="n">
        <f>H621-I621</f>
        <v>0</v>
      </c>
      <c r="L621" s="5" t="n">
        <f>(D621+E621)*C621-G621-I621+H621+IF(D$52&gt;0,'Assumptions and Catalog'!$C$26*C621,0)</f>
        <v>2501.7</v>
      </c>
      <c r="M621" s="5" t="n">
        <f>IF(ISNUMBER(Inputs!$L$5),(IF(Inputs!$L$9="Actual flat rate",((D621+E621)*C621)*Inputs!$L$10,IF(Inputs!$C$9="Residential",IF(((D621+E621)*C621)&lt;='Assumptions and Catalog'!$C$50,((D621+E621)*C621)*'Assumptions and Catalog'!$H$50+'Assumptions and Catalog'!$E$50+'Assumptions and Catalog'!$F$50,IF(((D621+E621)*C621)&lt;='Assumptions and Catalog'!$C$51,((D621+E621)*C621)*'Assumptions and Catalog'!$H$51+'Assumptions and Catalog'!$E$51+'Assumptions and Catalog'!$F$51,IF(((D621+E621)*C621)&lt;='Assumptions and Catalog'!$C$52,((D621+E621)*C621)*'Assumptions and Catalog'!$H$52+'Assumptions and Catalog'!$E$52+'Assumptions and Catalog'!$F$52,IF(((D621+E621)*C621)&lt;='Assumptions and Catalog'!$C$53,((D621+E621)*C621)*'Assumptions and Catalog'!$H$53+'Assumptions and Catalog'!$E$53+'Assumptions and Catalog'!$F$53,IF(((D621+E621)*C621)&lt;='Assumptions and Catalog'!$C$54,((D621+E621)*C621)*'Assumptions and Catalog'!$H$54+'Assumptions and Catalog'!$E$54+'Assumptions and Catalog'!$F$54,IF(((D621+E621)*C621)&lt;='Assumptions and Catalog'!$C$55,((D621+E621)*C621)*'Assumptions and Catalog'!$H$55+'Assumptions and Catalog'!$E$55+'Assumptions and Catalog'!$F$55,IF(((D621+E621)*C621)&lt;='Assumptions and Catalog'!$C$56,((D621+E621)*C621)*'Assumptions and Catalog'!$H$56+'Assumptions and Catalog'!$E$56+'Assumptions and Catalog'!$F$56,IF(((D621+E621)*C621)&lt;='Assumptions and Catalog'!$C$57,((D621+E621)*C621)*'Assumptions and Catalog'!$H$57+'Assumptions and Catalog'!$E$57+'Assumptions and Catalog'!$F$57,"Out of range")))))))),IF(((D621+E621)*C621)&lt;='Assumptions and Catalog'!$C$60,((D621+E621)*C621)*'Assumptions and Catalog'!$H$60+'Assumptions and Catalog'!$E$60+'Assumptions and Catalog'!$F$60,IF(((D621+E621)*C621)&lt;='Assumptions and Catalog'!$C$61,((D621+E621)*C621)*'Assumptions and Catalog'!$H$61+'Assumptions and Catalog'!$E$61+'Assumptions and Catalog'!$F$61,IF(((D621+E621)*C621)&lt;='Assumptions and Catalog'!$C$62,((D621+E621)*C621)*'Assumptions and Catalog'!$H$62+'Assumptions and Catalog'!$E$62+'Assumptions and Catalog'!$F$62,IF(((D621+E621)*C621)&lt;='Assumptions and Catalog'!$C$63,((D621+E621)*C621)*'Assumptions and Catalog'!$H$63+'Assumptions and Catalog'!$E$63+'Assumptions and Catalog'!$F$63,IF(((D621+E621)*C621)&lt;='Assumptions and Catalog'!$C$64,((D621+E621)*C621)*'Assumptions and Catalog'!$H$64+'Assumptions and Catalog'!$E$64+'Assumptions and Catalog'!$F$64,IF(((D621+E621)*C621)&lt;='Assumptions and Catalog'!$C$65,((D621+E621)*C621)*'Assumptions and Catalog'!$H$65+'Assumptions and Catalog'!$E$65+'Assumptions and Catalog'!$F$65,"Out of range")))))))))*(1+'Assumptions and Catalog'!$C$8)^(A621-1),0)</f>
        <v>7094.794</v>
      </c>
      <c r="N621" s="5" t="n">
        <f>IF(ISNUMBER(Inputs!$L$5),(IF(Inputs!$L$9="Actual flat rate",L621*Inputs!$L$10,IF(Inputs!$C$9="Residential",IF(L621&lt;='Assumptions and Catalog'!$C$50,L621*'Assumptions and Catalog'!$H$50+'Assumptions and Catalog'!$E$50+'Assumptions and Catalog'!$F$50,IF(L621&lt;='Assumptions and Catalog'!$C$51,L621*'Assumptions and Catalog'!$H$51+'Assumptions and Catalog'!$E$51+'Assumptions and Catalog'!$F$51,IF(L621&lt;='Assumptions and Catalog'!$C$52,L621*'Assumptions and Catalog'!$H$52+'Assumptions and Catalog'!$E$52+'Assumptions and Catalog'!$F$52,IF(L621&lt;='Assumptions and Catalog'!$C$53,L621*'Assumptions and Catalog'!$H$53+'Assumptions and Catalog'!$E$53+'Assumptions and Catalog'!$F$53,IF(L621&lt;='Assumptions and Catalog'!$C$54,L621*'Assumptions and Catalog'!$H$54+'Assumptions and Catalog'!$E$54+'Assumptions and Catalog'!$F$54,IF(L621&lt;='Assumptions and Catalog'!$C$55,L621*'Assumptions and Catalog'!$H$55+'Assumptions and Catalog'!$E$55+'Assumptions and Catalog'!$F$55,IF(L621&lt;='Assumptions and Catalog'!$C$56,L621*'Assumptions and Catalog'!$H$56+'Assumptions and Catalog'!$E$56+'Assumptions and Catalog'!$F$56,IF(L621&lt;='Assumptions and Catalog'!$C$57,L621*'Assumptions and Catalog'!$H$57+'Assumptions and Catalog'!$E$57+'Assumptions and Catalog'!$F$57,"Out of range")))))))),IF(L621&lt;='Assumptions and Catalog'!$C$60,L621*'Assumptions and Catalog'!$H$60+'Assumptions and Catalog'!$E$60+'Assumptions and Catalog'!$F$60,IF(L621&lt;='Assumptions and Catalog'!$C$61,L621*'Assumptions and Catalog'!$H$61+'Assumptions and Catalog'!$E$61+'Assumptions and Catalog'!$F$61,IF(L621&lt;='Assumptions and Catalog'!$C$62,L621*'Assumptions and Catalog'!$H$62+'Assumptions and Catalog'!$E$62+'Assumptions and Catalog'!$F$62,IF(L621&lt;='Assumptions and Catalog'!$C$63,L621*'Assumptions and Catalog'!$H$63+'Assumptions and Catalog'!$E$63+'Assumptions and Catalog'!$F$63,IF(L621&lt;='Assumptions and Catalog'!$C$64,L621*'Assumptions and Catalog'!$H$64+'Assumptions and Catalog'!$E$64+'Assumptions and Catalog'!$F$64,IF(L621&lt;='Assumptions and Catalog'!$C$65,L621*'Assumptions and Catalog'!$H$65+'Assumptions and Catalog'!$E$65+'Assumptions and Catalog'!$F$65,"Out of range")))))))))*(1+'Assumptions and Catalog'!$C$8)^(A621-1),0)</f>
        <v>7094.794</v>
      </c>
      <c r="O621" s="5" t="n">
        <f>M621-N621</f>
        <v>0</v>
      </c>
      <c r="P621" s="5" t="n">
        <f>D$55*(1-K$14)*(1-'Assumptions and Catalog'!$C$23)^R621</f>
        <v>0</v>
      </c>
      <c r="Q621" s="5" t="n">
        <f>IF(ISNUMBER(Inputs!$L$5),(IF(Inputs!$L$9="Actual flat rate",((D621+E621)*C621-G621)*Inputs!$L$10,IF(Inputs!$C$9="Residential",IF(((D621+E621)*C621-G621)&lt;='Assumptions and Catalog'!$C$50,((D621+E621)*C621-G621)*'Assumptions and Catalog'!$H$50+'Assumptions and Catalog'!$E$50+'Assumptions and Catalog'!$F$50,IF(((D621+E621)*C621-G621)&lt;='Assumptions and Catalog'!$C$51,((D621+E621)*C621-G621)*'Assumptions and Catalog'!$H$51+'Assumptions and Catalog'!$E$51+'Assumptions and Catalog'!$F$51,IF(((D621+E621)*C621-G621)&lt;='Assumptions and Catalog'!$C$52,((D621+E621)*C621-G621)*'Assumptions and Catalog'!$H$52+'Assumptions and Catalog'!$E$52+'Assumptions and Catalog'!$F$52,IF(((D621+E621)*C621-G621)&lt;='Assumptions and Catalog'!$C$53,((D621+E621)*C621-G621)*'Assumptions and Catalog'!$H$53+'Assumptions and Catalog'!$E$53+'Assumptions and Catalog'!$F$53,IF(((D621+E621)*C621-G621)&lt;='Assumptions and Catalog'!$C$54,((D621+E621)*C621-G621)*'Assumptions and Catalog'!$H$54+'Assumptions and Catalog'!$E$54+'Assumptions and Catalog'!$F$54,IF(((D621+E621)*C621-G621)&lt;='Assumptions and Catalog'!$C$55,((D621+E621)*C621-G621)*'Assumptions and Catalog'!$H$55+'Assumptions and Catalog'!$E$55+'Assumptions and Catalog'!$F$55,IF(((D621+E621)*C621-G621)&lt;='Assumptions and Catalog'!$C$56,((D621+E621)*C621-G621)*'Assumptions and Catalog'!$H$56+'Assumptions and Catalog'!$E$56+'Assumptions and Catalog'!$F$56,IF(((D621+E621)*C621-G621)&lt;='Assumptions and Catalog'!$C$57,((D621+E621)*C621-G621)*'Assumptions and Catalog'!$H$57+'Assumptions and Catalog'!$E$57+'Assumptions and Catalog'!$F$57,"Out of range")))))))),IF(((D621+E621)*C621-G621)&lt;='Assumptions and Catalog'!$C$60,((D621+E621)*C621-G621)*'Assumptions and Catalog'!$H$60+'Assumptions and Catalog'!$E$60+'Assumptions and Catalog'!$F$60,IF(((D621+E621)*C621-G621)&lt;='Assumptions and Catalog'!$C$61,((D621+E621)*C621-G621)*'Assumptions and Catalog'!$H$61+'Assumptions and Catalog'!$E$61+'Assumptions and Catalog'!$F$61,IF(((D621+E621)*C621-G621)&lt;='Assumptions and Catalog'!$C$62,((D621+E621)*C621-G621)*'Assumptions and Catalog'!$H$62+'Assumptions and Catalog'!$E$62+'Assumptions and Catalog'!$F$62,IF(((D621+E621)*C621-G621)&lt;='Assumptions and Catalog'!$C$63,((D621+E621)*C621-G621)*'Assumptions and Catalog'!$H$63+'Assumptions and Catalog'!$E$63+'Assumptions and Catalog'!$F$63,IF(((D621+E621)*C621-G621)&lt;='Assumptions and Catalog'!$C$64,((D621+E621)*C621-G621)*'Assumptions and Catalog'!$H$64+'Assumptions and Catalog'!$E$64+'Assumptions and Catalog'!$F$64,IF(((D621+E621)*C621-G621)&lt;='Assumptions and Catalog'!$C$65,((D621+E621)*C621-G621)*'Assumptions and Catalog'!$H$65+'Assumptions and Catalog'!$E$65+'Assumptions and Catalog'!$F$65,"Out of range")))))))))*(1+'Assumptions and Catalog'!$C$8)^(A621-1),0)</f>
        <v>7094.794</v>
      </c>
      <c r="R621" s="5" t="n">
        <f>IF(AND('Assumptions and Catalog'!$C$19&gt;0,A621&gt;='Assumptions and Catalog'!$C$19),A621-'Assumptions and Catalog'!$C$19,A621-1)</f>
        <v>7</v>
      </c>
      <c r="S621" s="5" t="n">
        <f>F621+L621-(D621+E621)*C621-J621-K621-IF(D$52&gt;0,'Assumptions and Catalog'!$C$26*C621,0)</f>
        <v>0</v>
      </c>
      <c r="T621" s="5"/>
      <c r="U621" s="5"/>
    </row>
    <row r="622" ht="23.100000381469727" customHeight="1">
      <c r="A622" s="5" t="n">
        <v>18</v>
      </c>
      <c r="B622" s="5" t="n">
        <v>8</v>
      </c>
      <c r="C622" s="5" t="n">
        <f>DAY(DATE('Assumptions and Catalog'!$C$24+A622-1,B622+1,0))</f>
        <v>31</v>
      </c>
      <c r="D622" s="5" t="n">
        <f>IF(ISNUMBER(Inputs!$L$5),Inputs!$L$5*Inputs!$L$6,0)</f>
        <v>40.35</v>
      </c>
      <c r="E622" s="5" t="n">
        <f>IF(ISNUMBER(Inputs!$L$5),Inputs!$L$5-D622,0)</f>
        <v>40.35</v>
      </c>
      <c r="F622" s="5" t="n">
        <f>D$51*'Assumptions and Catalog'!$C$31*C622*(1-'Assumptions and Catalog'!$C$10)^(A622-1)</f>
        <v>0</v>
      </c>
      <c r="G622" s="5" t="n">
        <f>MIN(F622,D622*C622)</f>
        <v>0</v>
      </c>
      <c r="H622" s="5" t="n">
        <f>I622/('Assumptions and Catalog'!$C$11*'Assumptions and Catalog'!$C$12)</f>
        <v>0</v>
      </c>
      <c r="I622" s="5" t="n">
        <f>IF(K$15="Grid cycle",MIN(K$16,D622+E622,P622*'Assumptions and Catalog'!$C$12,D$57*(24-'Assumptions and Catalog'!$C$15),D$56*'Assumptions and Catalog'!$C$15*'Assumptions and Catalog'!$C$11*'Assumptions and Catalog'!$C$12)*C622,0)</f>
        <v>0</v>
      </c>
      <c r="J622" s="5" t="n">
        <f>MAX(F622-G622-0,0)</f>
        <v>0</v>
      </c>
      <c r="K622" s="5" t="n">
        <f>H622-I622</f>
        <v>0</v>
      </c>
      <c r="L622" s="5" t="n">
        <f>(D622+E622)*C622-G622-I622+H622+IF(D$52&gt;0,'Assumptions and Catalog'!$C$26*C622,0)</f>
        <v>2501.7</v>
      </c>
      <c r="M622" s="5" t="n">
        <f>IF(ISNUMBER(Inputs!$L$5),(IF(Inputs!$L$9="Actual flat rate",((D622+E622)*C622)*Inputs!$L$10,IF(Inputs!$C$9="Residential",IF(((D622+E622)*C622)&lt;='Assumptions and Catalog'!$C$50,((D622+E622)*C622)*'Assumptions and Catalog'!$H$50+'Assumptions and Catalog'!$E$50+'Assumptions and Catalog'!$F$50,IF(((D622+E622)*C622)&lt;='Assumptions and Catalog'!$C$51,((D622+E622)*C622)*'Assumptions and Catalog'!$H$51+'Assumptions and Catalog'!$E$51+'Assumptions and Catalog'!$F$51,IF(((D622+E622)*C622)&lt;='Assumptions and Catalog'!$C$52,((D622+E622)*C622)*'Assumptions and Catalog'!$H$52+'Assumptions and Catalog'!$E$52+'Assumptions and Catalog'!$F$52,IF(((D622+E622)*C622)&lt;='Assumptions and Catalog'!$C$53,((D622+E622)*C622)*'Assumptions and Catalog'!$H$53+'Assumptions and Catalog'!$E$53+'Assumptions and Catalog'!$F$53,IF(((D622+E622)*C622)&lt;='Assumptions and Catalog'!$C$54,((D622+E622)*C622)*'Assumptions and Catalog'!$H$54+'Assumptions and Catalog'!$E$54+'Assumptions and Catalog'!$F$54,IF(((D622+E622)*C622)&lt;='Assumptions and Catalog'!$C$55,((D622+E622)*C622)*'Assumptions and Catalog'!$H$55+'Assumptions and Catalog'!$E$55+'Assumptions and Catalog'!$F$55,IF(((D622+E622)*C622)&lt;='Assumptions and Catalog'!$C$56,((D622+E622)*C622)*'Assumptions and Catalog'!$H$56+'Assumptions and Catalog'!$E$56+'Assumptions and Catalog'!$F$56,IF(((D622+E622)*C622)&lt;='Assumptions and Catalog'!$C$57,((D622+E622)*C622)*'Assumptions and Catalog'!$H$57+'Assumptions and Catalog'!$E$57+'Assumptions and Catalog'!$F$57,"Out of range")))))))),IF(((D622+E622)*C622)&lt;='Assumptions and Catalog'!$C$60,((D622+E622)*C622)*'Assumptions and Catalog'!$H$60+'Assumptions and Catalog'!$E$60+'Assumptions and Catalog'!$F$60,IF(((D622+E622)*C622)&lt;='Assumptions and Catalog'!$C$61,((D622+E622)*C622)*'Assumptions and Catalog'!$H$61+'Assumptions and Catalog'!$E$61+'Assumptions and Catalog'!$F$61,IF(((D622+E622)*C622)&lt;='Assumptions and Catalog'!$C$62,((D622+E622)*C622)*'Assumptions and Catalog'!$H$62+'Assumptions and Catalog'!$E$62+'Assumptions and Catalog'!$F$62,IF(((D622+E622)*C622)&lt;='Assumptions and Catalog'!$C$63,((D622+E622)*C622)*'Assumptions and Catalog'!$H$63+'Assumptions and Catalog'!$E$63+'Assumptions and Catalog'!$F$63,IF(((D622+E622)*C622)&lt;='Assumptions and Catalog'!$C$64,((D622+E622)*C622)*'Assumptions and Catalog'!$H$64+'Assumptions and Catalog'!$E$64+'Assumptions and Catalog'!$F$64,IF(((D622+E622)*C622)&lt;='Assumptions and Catalog'!$C$65,((D622+E622)*C622)*'Assumptions and Catalog'!$H$65+'Assumptions and Catalog'!$E$65+'Assumptions and Catalog'!$F$65,"Out of range")))))))))*(1+'Assumptions and Catalog'!$C$8)^(A622-1),0)</f>
        <v>7094.794</v>
      </c>
      <c r="N622" s="5" t="n">
        <f>IF(ISNUMBER(Inputs!$L$5),(IF(Inputs!$L$9="Actual flat rate",L622*Inputs!$L$10,IF(Inputs!$C$9="Residential",IF(L622&lt;='Assumptions and Catalog'!$C$50,L622*'Assumptions and Catalog'!$H$50+'Assumptions and Catalog'!$E$50+'Assumptions and Catalog'!$F$50,IF(L622&lt;='Assumptions and Catalog'!$C$51,L622*'Assumptions and Catalog'!$H$51+'Assumptions and Catalog'!$E$51+'Assumptions and Catalog'!$F$51,IF(L622&lt;='Assumptions and Catalog'!$C$52,L622*'Assumptions and Catalog'!$H$52+'Assumptions and Catalog'!$E$52+'Assumptions and Catalog'!$F$52,IF(L622&lt;='Assumptions and Catalog'!$C$53,L622*'Assumptions and Catalog'!$H$53+'Assumptions and Catalog'!$E$53+'Assumptions and Catalog'!$F$53,IF(L622&lt;='Assumptions and Catalog'!$C$54,L622*'Assumptions and Catalog'!$H$54+'Assumptions and Catalog'!$E$54+'Assumptions and Catalog'!$F$54,IF(L622&lt;='Assumptions and Catalog'!$C$55,L622*'Assumptions and Catalog'!$H$55+'Assumptions and Catalog'!$E$55+'Assumptions and Catalog'!$F$55,IF(L622&lt;='Assumptions and Catalog'!$C$56,L622*'Assumptions and Catalog'!$H$56+'Assumptions and Catalog'!$E$56+'Assumptions and Catalog'!$F$56,IF(L622&lt;='Assumptions and Catalog'!$C$57,L622*'Assumptions and Catalog'!$H$57+'Assumptions and Catalog'!$E$57+'Assumptions and Catalog'!$F$57,"Out of range")))))))),IF(L622&lt;='Assumptions and Catalog'!$C$60,L622*'Assumptions and Catalog'!$H$60+'Assumptions and Catalog'!$E$60+'Assumptions and Catalog'!$F$60,IF(L622&lt;='Assumptions and Catalog'!$C$61,L622*'Assumptions and Catalog'!$H$61+'Assumptions and Catalog'!$E$61+'Assumptions and Catalog'!$F$61,IF(L622&lt;='Assumptions and Catalog'!$C$62,L622*'Assumptions and Catalog'!$H$62+'Assumptions and Catalog'!$E$62+'Assumptions and Catalog'!$F$62,IF(L622&lt;='Assumptions and Catalog'!$C$63,L622*'Assumptions and Catalog'!$H$63+'Assumptions and Catalog'!$E$63+'Assumptions and Catalog'!$F$63,IF(L622&lt;='Assumptions and Catalog'!$C$64,L622*'Assumptions and Catalog'!$H$64+'Assumptions and Catalog'!$E$64+'Assumptions and Catalog'!$F$64,IF(L622&lt;='Assumptions and Catalog'!$C$65,L622*'Assumptions and Catalog'!$H$65+'Assumptions and Catalog'!$E$65+'Assumptions and Catalog'!$F$65,"Out of range")))))))))*(1+'Assumptions and Catalog'!$C$8)^(A622-1),0)</f>
        <v>7094.794</v>
      </c>
      <c r="O622" s="5" t="n">
        <f>M622-N622</f>
        <v>0</v>
      </c>
      <c r="P622" s="5" t="n">
        <f>D$55*(1-K$14)*(1-'Assumptions and Catalog'!$C$23)^R622</f>
        <v>0</v>
      </c>
      <c r="Q622" s="5" t="n">
        <f>IF(ISNUMBER(Inputs!$L$5),(IF(Inputs!$L$9="Actual flat rate",((D622+E622)*C622-G622)*Inputs!$L$10,IF(Inputs!$C$9="Residential",IF(((D622+E622)*C622-G622)&lt;='Assumptions and Catalog'!$C$50,((D622+E622)*C622-G622)*'Assumptions and Catalog'!$H$50+'Assumptions and Catalog'!$E$50+'Assumptions and Catalog'!$F$50,IF(((D622+E622)*C622-G622)&lt;='Assumptions and Catalog'!$C$51,((D622+E622)*C622-G622)*'Assumptions and Catalog'!$H$51+'Assumptions and Catalog'!$E$51+'Assumptions and Catalog'!$F$51,IF(((D622+E622)*C622-G622)&lt;='Assumptions and Catalog'!$C$52,((D622+E622)*C622-G622)*'Assumptions and Catalog'!$H$52+'Assumptions and Catalog'!$E$52+'Assumptions and Catalog'!$F$52,IF(((D622+E622)*C622-G622)&lt;='Assumptions and Catalog'!$C$53,((D622+E622)*C622-G622)*'Assumptions and Catalog'!$H$53+'Assumptions and Catalog'!$E$53+'Assumptions and Catalog'!$F$53,IF(((D622+E622)*C622-G622)&lt;='Assumptions and Catalog'!$C$54,((D622+E622)*C622-G622)*'Assumptions and Catalog'!$H$54+'Assumptions and Catalog'!$E$54+'Assumptions and Catalog'!$F$54,IF(((D622+E622)*C622-G622)&lt;='Assumptions and Catalog'!$C$55,((D622+E622)*C622-G622)*'Assumptions and Catalog'!$H$55+'Assumptions and Catalog'!$E$55+'Assumptions and Catalog'!$F$55,IF(((D622+E622)*C622-G622)&lt;='Assumptions and Catalog'!$C$56,((D622+E622)*C622-G622)*'Assumptions and Catalog'!$H$56+'Assumptions and Catalog'!$E$56+'Assumptions and Catalog'!$F$56,IF(((D622+E622)*C622-G622)&lt;='Assumptions and Catalog'!$C$57,((D622+E622)*C622-G622)*'Assumptions and Catalog'!$H$57+'Assumptions and Catalog'!$E$57+'Assumptions and Catalog'!$F$57,"Out of range")))))))),IF(((D622+E622)*C622-G622)&lt;='Assumptions and Catalog'!$C$60,((D622+E622)*C622-G622)*'Assumptions and Catalog'!$H$60+'Assumptions and Catalog'!$E$60+'Assumptions and Catalog'!$F$60,IF(((D622+E622)*C622-G622)&lt;='Assumptions and Catalog'!$C$61,((D622+E622)*C622-G622)*'Assumptions and Catalog'!$H$61+'Assumptions and Catalog'!$E$61+'Assumptions and Catalog'!$F$61,IF(((D622+E622)*C622-G622)&lt;='Assumptions and Catalog'!$C$62,((D622+E622)*C622-G622)*'Assumptions and Catalog'!$H$62+'Assumptions and Catalog'!$E$62+'Assumptions and Catalog'!$F$62,IF(((D622+E622)*C622-G622)&lt;='Assumptions and Catalog'!$C$63,((D622+E622)*C622-G622)*'Assumptions and Catalog'!$H$63+'Assumptions and Catalog'!$E$63+'Assumptions and Catalog'!$F$63,IF(((D622+E622)*C622-G622)&lt;='Assumptions and Catalog'!$C$64,((D622+E622)*C622-G622)*'Assumptions and Catalog'!$H$64+'Assumptions and Catalog'!$E$64+'Assumptions and Catalog'!$F$64,IF(((D622+E622)*C622-G622)&lt;='Assumptions and Catalog'!$C$65,((D622+E622)*C622-G622)*'Assumptions and Catalog'!$H$65+'Assumptions and Catalog'!$E$65+'Assumptions and Catalog'!$F$65,"Out of range")))))))))*(1+'Assumptions and Catalog'!$C$8)^(A622-1),0)</f>
        <v>7094.794</v>
      </c>
      <c r="R622" s="5" t="n">
        <f>IF(AND('Assumptions and Catalog'!$C$19&gt;0,A622&gt;='Assumptions and Catalog'!$C$19),A622-'Assumptions and Catalog'!$C$19,A622-1)</f>
        <v>7</v>
      </c>
      <c r="S622" s="5" t="n">
        <f>F622+L622-(D622+E622)*C622-J622-K622-IF(D$52&gt;0,'Assumptions and Catalog'!$C$26*C622,0)</f>
        <v>0</v>
      </c>
      <c r="T622" s="5"/>
      <c r="U622" s="5"/>
    </row>
    <row r="623" ht="23.100000381469727" customHeight="1">
      <c r="A623" s="5" t="n">
        <v>18</v>
      </c>
      <c r="B623" s="5" t="n">
        <v>9</v>
      </c>
      <c r="C623" s="5" t="n">
        <f>DAY(DATE('Assumptions and Catalog'!$C$24+A623-1,B623+1,0))</f>
        <v>30</v>
      </c>
      <c r="D623" s="5" t="n">
        <f>IF(ISNUMBER(Inputs!$L$5),Inputs!$L$5*Inputs!$L$6,0)</f>
        <v>40.35</v>
      </c>
      <c r="E623" s="5" t="n">
        <f>IF(ISNUMBER(Inputs!$L$5),Inputs!$L$5-D623,0)</f>
        <v>40.35</v>
      </c>
      <c r="F623" s="5" t="n">
        <f>D$51*'Assumptions and Catalog'!$C$31*C623*(1-'Assumptions and Catalog'!$C$10)^(A623-1)</f>
        <v>0</v>
      </c>
      <c r="G623" s="5" t="n">
        <f>MIN(F623,D623*C623)</f>
        <v>0</v>
      </c>
      <c r="H623" s="5" t="n">
        <f>I623/('Assumptions and Catalog'!$C$11*'Assumptions and Catalog'!$C$12)</f>
        <v>0</v>
      </c>
      <c r="I623" s="5" t="n">
        <f>IF(K$15="Grid cycle",MIN(K$16,D623+E623,P623*'Assumptions and Catalog'!$C$12,D$57*(24-'Assumptions and Catalog'!$C$15),D$56*'Assumptions and Catalog'!$C$15*'Assumptions and Catalog'!$C$11*'Assumptions and Catalog'!$C$12)*C623,0)</f>
        <v>0</v>
      </c>
      <c r="J623" s="5" t="n">
        <f>MAX(F623-G623-0,0)</f>
        <v>0</v>
      </c>
      <c r="K623" s="5" t="n">
        <f>H623-I623</f>
        <v>0</v>
      </c>
      <c r="L623" s="5" t="n">
        <f>(D623+E623)*C623-G623-I623+H623+IF(D$52&gt;0,'Assumptions and Catalog'!$C$26*C623,0)</f>
        <v>2421</v>
      </c>
      <c r="M623" s="5" t="n">
        <f>IF(ISNUMBER(Inputs!$L$5),(IF(Inputs!$L$9="Actual flat rate",((D623+E623)*C623)*Inputs!$L$10,IF(Inputs!$C$9="Residential",IF(((D623+E623)*C623)&lt;='Assumptions and Catalog'!$C$50,((D623+E623)*C623)*'Assumptions and Catalog'!$H$50+'Assumptions and Catalog'!$E$50+'Assumptions and Catalog'!$F$50,IF(((D623+E623)*C623)&lt;='Assumptions and Catalog'!$C$51,((D623+E623)*C623)*'Assumptions and Catalog'!$H$51+'Assumptions and Catalog'!$E$51+'Assumptions and Catalog'!$F$51,IF(((D623+E623)*C623)&lt;='Assumptions and Catalog'!$C$52,((D623+E623)*C623)*'Assumptions and Catalog'!$H$52+'Assumptions and Catalog'!$E$52+'Assumptions and Catalog'!$F$52,IF(((D623+E623)*C623)&lt;='Assumptions and Catalog'!$C$53,((D623+E623)*C623)*'Assumptions and Catalog'!$H$53+'Assumptions and Catalog'!$E$53+'Assumptions and Catalog'!$F$53,IF(((D623+E623)*C623)&lt;='Assumptions and Catalog'!$C$54,((D623+E623)*C623)*'Assumptions and Catalog'!$H$54+'Assumptions and Catalog'!$E$54+'Assumptions and Catalog'!$F$54,IF(((D623+E623)*C623)&lt;='Assumptions and Catalog'!$C$55,((D623+E623)*C623)*'Assumptions and Catalog'!$H$55+'Assumptions and Catalog'!$E$55+'Assumptions and Catalog'!$F$55,IF(((D623+E623)*C623)&lt;='Assumptions and Catalog'!$C$56,((D623+E623)*C623)*'Assumptions and Catalog'!$H$56+'Assumptions and Catalog'!$E$56+'Assumptions and Catalog'!$F$56,IF(((D623+E623)*C623)&lt;='Assumptions and Catalog'!$C$57,((D623+E623)*C623)*'Assumptions and Catalog'!$H$57+'Assumptions and Catalog'!$E$57+'Assumptions and Catalog'!$F$57,"Out of range")))))))),IF(((D623+E623)*C623)&lt;='Assumptions and Catalog'!$C$60,((D623+E623)*C623)*'Assumptions and Catalog'!$H$60+'Assumptions and Catalog'!$E$60+'Assumptions and Catalog'!$F$60,IF(((D623+E623)*C623)&lt;='Assumptions and Catalog'!$C$61,((D623+E623)*C623)*'Assumptions and Catalog'!$H$61+'Assumptions and Catalog'!$E$61+'Assumptions and Catalog'!$F$61,IF(((D623+E623)*C623)&lt;='Assumptions and Catalog'!$C$62,((D623+E623)*C623)*'Assumptions and Catalog'!$H$62+'Assumptions and Catalog'!$E$62+'Assumptions and Catalog'!$F$62,IF(((D623+E623)*C623)&lt;='Assumptions and Catalog'!$C$63,((D623+E623)*C623)*'Assumptions and Catalog'!$H$63+'Assumptions and Catalog'!$E$63+'Assumptions and Catalog'!$F$63,IF(((D623+E623)*C623)&lt;='Assumptions and Catalog'!$C$64,((D623+E623)*C623)*'Assumptions and Catalog'!$H$64+'Assumptions and Catalog'!$E$64+'Assumptions and Catalog'!$F$64,IF(((D623+E623)*C623)&lt;='Assumptions and Catalog'!$C$65,((D623+E623)*C623)*'Assumptions and Catalog'!$H$65+'Assumptions and Catalog'!$E$65+'Assumptions and Catalog'!$F$65,"Out of range")))))))))*(1+'Assumptions and Catalog'!$C$8)^(A623-1),0)</f>
        <v>6867.22</v>
      </c>
      <c r="N623" s="5" t="n">
        <f>IF(ISNUMBER(Inputs!$L$5),(IF(Inputs!$L$9="Actual flat rate",L623*Inputs!$L$10,IF(Inputs!$C$9="Residential",IF(L623&lt;='Assumptions and Catalog'!$C$50,L623*'Assumptions and Catalog'!$H$50+'Assumptions and Catalog'!$E$50+'Assumptions and Catalog'!$F$50,IF(L623&lt;='Assumptions and Catalog'!$C$51,L623*'Assumptions and Catalog'!$H$51+'Assumptions and Catalog'!$E$51+'Assumptions and Catalog'!$F$51,IF(L623&lt;='Assumptions and Catalog'!$C$52,L623*'Assumptions and Catalog'!$H$52+'Assumptions and Catalog'!$E$52+'Assumptions and Catalog'!$F$52,IF(L623&lt;='Assumptions and Catalog'!$C$53,L623*'Assumptions and Catalog'!$H$53+'Assumptions and Catalog'!$E$53+'Assumptions and Catalog'!$F$53,IF(L623&lt;='Assumptions and Catalog'!$C$54,L623*'Assumptions and Catalog'!$H$54+'Assumptions and Catalog'!$E$54+'Assumptions and Catalog'!$F$54,IF(L623&lt;='Assumptions and Catalog'!$C$55,L623*'Assumptions and Catalog'!$H$55+'Assumptions and Catalog'!$E$55+'Assumptions and Catalog'!$F$55,IF(L623&lt;='Assumptions and Catalog'!$C$56,L623*'Assumptions and Catalog'!$H$56+'Assumptions and Catalog'!$E$56+'Assumptions and Catalog'!$F$56,IF(L623&lt;='Assumptions and Catalog'!$C$57,L623*'Assumptions and Catalog'!$H$57+'Assumptions and Catalog'!$E$57+'Assumptions and Catalog'!$F$57,"Out of range")))))))),IF(L623&lt;='Assumptions and Catalog'!$C$60,L623*'Assumptions and Catalog'!$H$60+'Assumptions and Catalog'!$E$60+'Assumptions and Catalog'!$F$60,IF(L623&lt;='Assumptions and Catalog'!$C$61,L623*'Assumptions and Catalog'!$H$61+'Assumptions and Catalog'!$E$61+'Assumptions and Catalog'!$F$61,IF(L623&lt;='Assumptions and Catalog'!$C$62,L623*'Assumptions and Catalog'!$H$62+'Assumptions and Catalog'!$E$62+'Assumptions and Catalog'!$F$62,IF(L623&lt;='Assumptions and Catalog'!$C$63,L623*'Assumptions and Catalog'!$H$63+'Assumptions and Catalog'!$E$63+'Assumptions and Catalog'!$F$63,IF(L623&lt;='Assumptions and Catalog'!$C$64,L623*'Assumptions and Catalog'!$H$64+'Assumptions and Catalog'!$E$64+'Assumptions and Catalog'!$F$64,IF(L623&lt;='Assumptions and Catalog'!$C$65,L623*'Assumptions and Catalog'!$H$65+'Assumptions and Catalog'!$E$65+'Assumptions and Catalog'!$F$65,"Out of range")))))))))*(1+'Assumptions and Catalog'!$C$8)^(A623-1),0)</f>
        <v>6867.22</v>
      </c>
      <c r="O623" s="5" t="n">
        <f>M623-N623</f>
        <v>0</v>
      </c>
      <c r="P623" s="5" t="n">
        <f>D$55*(1-K$14)*(1-'Assumptions and Catalog'!$C$23)^R623</f>
        <v>0</v>
      </c>
      <c r="Q623" s="5" t="n">
        <f>IF(ISNUMBER(Inputs!$L$5),(IF(Inputs!$L$9="Actual flat rate",((D623+E623)*C623-G623)*Inputs!$L$10,IF(Inputs!$C$9="Residential",IF(((D623+E623)*C623-G623)&lt;='Assumptions and Catalog'!$C$50,((D623+E623)*C623-G623)*'Assumptions and Catalog'!$H$50+'Assumptions and Catalog'!$E$50+'Assumptions and Catalog'!$F$50,IF(((D623+E623)*C623-G623)&lt;='Assumptions and Catalog'!$C$51,((D623+E623)*C623-G623)*'Assumptions and Catalog'!$H$51+'Assumptions and Catalog'!$E$51+'Assumptions and Catalog'!$F$51,IF(((D623+E623)*C623-G623)&lt;='Assumptions and Catalog'!$C$52,((D623+E623)*C623-G623)*'Assumptions and Catalog'!$H$52+'Assumptions and Catalog'!$E$52+'Assumptions and Catalog'!$F$52,IF(((D623+E623)*C623-G623)&lt;='Assumptions and Catalog'!$C$53,((D623+E623)*C623-G623)*'Assumptions and Catalog'!$H$53+'Assumptions and Catalog'!$E$53+'Assumptions and Catalog'!$F$53,IF(((D623+E623)*C623-G623)&lt;='Assumptions and Catalog'!$C$54,((D623+E623)*C623-G623)*'Assumptions and Catalog'!$H$54+'Assumptions and Catalog'!$E$54+'Assumptions and Catalog'!$F$54,IF(((D623+E623)*C623-G623)&lt;='Assumptions and Catalog'!$C$55,((D623+E623)*C623-G623)*'Assumptions and Catalog'!$H$55+'Assumptions and Catalog'!$E$55+'Assumptions and Catalog'!$F$55,IF(((D623+E623)*C623-G623)&lt;='Assumptions and Catalog'!$C$56,((D623+E623)*C623-G623)*'Assumptions and Catalog'!$H$56+'Assumptions and Catalog'!$E$56+'Assumptions and Catalog'!$F$56,IF(((D623+E623)*C623-G623)&lt;='Assumptions and Catalog'!$C$57,((D623+E623)*C623-G623)*'Assumptions and Catalog'!$H$57+'Assumptions and Catalog'!$E$57+'Assumptions and Catalog'!$F$57,"Out of range")))))))),IF(((D623+E623)*C623-G623)&lt;='Assumptions and Catalog'!$C$60,((D623+E623)*C623-G623)*'Assumptions and Catalog'!$H$60+'Assumptions and Catalog'!$E$60+'Assumptions and Catalog'!$F$60,IF(((D623+E623)*C623-G623)&lt;='Assumptions and Catalog'!$C$61,((D623+E623)*C623-G623)*'Assumptions and Catalog'!$H$61+'Assumptions and Catalog'!$E$61+'Assumptions and Catalog'!$F$61,IF(((D623+E623)*C623-G623)&lt;='Assumptions and Catalog'!$C$62,((D623+E623)*C623-G623)*'Assumptions and Catalog'!$H$62+'Assumptions and Catalog'!$E$62+'Assumptions and Catalog'!$F$62,IF(((D623+E623)*C623-G623)&lt;='Assumptions and Catalog'!$C$63,((D623+E623)*C623-G623)*'Assumptions and Catalog'!$H$63+'Assumptions and Catalog'!$E$63+'Assumptions and Catalog'!$F$63,IF(((D623+E623)*C623-G623)&lt;='Assumptions and Catalog'!$C$64,((D623+E623)*C623-G623)*'Assumptions and Catalog'!$H$64+'Assumptions and Catalog'!$E$64+'Assumptions and Catalog'!$F$64,IF(((D623+E623)*C623-G623)&lt;='Assumptions and Catalog'!$C$65,((D623+E623)*C623-G623)*'Assumptions and Catalog'!$H$65+'Assumptions and Catalog'!$E$65+'Assumptions and Catalog'!$F$65,"Out of range")))))))))*(1+'Assumptions and Catalog'!$C$8)^(A623-1),0)</f>
        <v>6867.22</v>
      </c>
      <c r="R623" s="5" t="n">
        <f>IF(AND('Assumptions and Catalog'!$C$19&gt;0,A623&gt;='Assumptions and Catalog'!$C$19),A623-'Assumptions and Catalog'!$C$19,A623-1)</f>
        <v>7</v>
      </c>
      <c r="S623" s="5" t="n">
        <f>F623+L623-(D623+E623)*C623-J623-K623-IF(D$52&gt;0,'Assumptions and Catalog'!$C$26*C623,0)</f>
        <v>0</v>
      </c>
      <c r="T623" s="5"/>
      <c r="U623" s="5"/>
    </row>
    <row r="624" ht="23.100000381469727" customHeight="1">
      <c r="A624" s="5" t="n">
        <v>18</v>
      </c>
      <c r="B624" s="5" t="n">
        <v>10</v>
      </c>
      <c r="C624" s="5" t="n">
        <f>DAY(DATE('Assumptions and Catalog'!$C$24+A624-1,B624+1,0))</f>
        <v>31</v>
      </c>
      <c r="D624" s="5" t="n">
        <f>IF(ISNUMBER(Inputs!$L$5),Inputs!$L$5*Inputs!$L$6,0)</f>
        <v>40.35</v>
      </c>
      <c r="E624" s="5" t="n">
        <f>IF(ISNUMBER(Inputs!$L$5),Inputs!$L$5-D624,0)</f>
        <v>40.35</v>
      </c>
      <c r="F624" s="5" t="n">
        <f>D$51*'Assumptions and Catalog'!$C$31*C624*(1-'Assumptions and Catalog'!$C$10)^(A624-1)</f>
        <v>0</v>
      </c>
      <c r="G624" s="5" t="n">
        <f>MIN(F624,D624*C624)</f>
        <v>0</v>
      </c>
      <c r="H624" s="5" t="n">
        <f>I624/('Assumptions and Catalog'!$C$11*'Assumptions and Catalog'!$C$12)</f>
        <v>0</v>
      </c>
      <c r="I624" s="5" t="n">
        <f>IF(K$15="Grid cycle",MIN(K$16,D624+E624,P624*'Assumptions and Catalog'!$C$12,D$57*(24-'Assumptions and Catalog'!$C$15),D$56*'Assumptions and Catalog'!$C$15*'Assumptions and Catalog'!$C$11*'Assumptions and Catalog'!$C$12)*C624,0)</f>
        <v>0</v>
      </c>
      <c r="J624" s="5" t="n">
        <f>MAX(F624-G624-0,0)</f>
        <v>0</v>
      </c>
      <c r="K624" s="5" t="n">
        <f>H624-I624</f>
        <v>0</v>
      </c>
      <c r="L624" s="5" t="n">
        <f>(D624+E624)*C624-G624-I624+H624+IF(D$52&gt;0,'Assumptions and Catalog'!$C$26*C624,0)</f>
        <v>2501.7</v>
      </c>
      <c r="M624" s="5" t="n">
        <f>IF(ISNUMBER(Inputs!$L$5),(IF(Inputs!$L$9="Actual flat rate",((D624+E624)*C624)*Inputs!$L$10,IF(Inputs!$C$9="Residential",IF(((D624+E624)*C624)&lt;='Assumptions and Catalog'!$C$50,((D624+E624)*C624)*'Assumptions and Catalog'!$H$50+'Assumptions and Catalog'!$E$50+'Assumptions and Catalog'!$F$50,IF(((D624+E624)*C624)&lt;='Assumptions and Catalog'!$C$51,((D624+E624)*C624)*'Assumptions and Catalog'!$H$51+'Assumptions and Catalog'!$E$51+'Assumptions and Catalog'!$F$51,IF(((D624+E624)*C624)&lt;='Assumptions and Catalog'!$C$52,((D624+E624)*C624)*'Assumptions and Catalog'!$H$52+'Assumptions and Catalog'!$E$52+'Assumptions and Catalog'!$F$52,IF(((D624+E624)*C624)&lt;='Assumptions and Catalog'!$C$53,((D624+E624)*C624)*'Assumptions and Catalog'!$H$53+'Assumptions and Catalog'!$E$53+'Assumptions and Catalog'!$F$53,IF(((D624+E624)*C624)&lt;='Assumptions and Catalog'!$C$54,((D624+E624)*C624)*'Assumptions and Catalog'!$H$54+'Assumptions and Catalog'!$E$54+'Assumptions and Catalog'!$F$54,IF(((D624+E624)*C624)&lt;='Assumptions and Catalog'!$C$55,((D624+E624)*C624)*'Assumptions and Catalog'!$H$55+'Assumptions and Catalog'!$E$55+'Assumptions and Catalog'!$F$55,IF(((D624+E624)*C624)&lt;='Assumptions and Catalog'!$C$56,((D624+E624)*C624)*'Assumptions and Catalog'!$H$56+'Assumptions and Catalog'!$E$56+'Assumptions and Catalog'!$F$56,IF(((D624+E624)*C624)&lt;='Assumptions and Catalog'!$C$57,((D624+E624)*C624)*'Assumptions and Catalog'!$H$57+'Assumptions and Catalog'!$E$57+'Assumptions and Catalog'!$F$57,"Out of range")))))))),IF(((D624+E624)*C624)&lt;='Assumptions and Catalog'!$C$60,((D624+E624)*C624)*'Assumptions and Catalog'!$H$60+'Assumptions and Catalog'!$E$60+'Assumptions and Catalog'!$F$60,IF(((D624+E624)*C624)&lt;='Assumptions and Catalog'!$C$61,((D624+E624)*C624)*'Assumptions and Catalog'!$H$61+'Assumptions and Catalog'!$E$61+'Assumptions and Catalog'!$F$61,IF(((D624+E624)*C624)&lt;='Assumptions and Catalog'!$C$62,((D624+E624)*C624)*'Assumptions and Catalog'!$H$62+'Assumptions and Catalog'!$E$62+'Assumptions and Catalog'!$F$62,IF(((D624+E624)*C624)&lt;='Assumptions and Catalog'!$C$63,((D624+E624)*C624)*'Assumptions and Catalog'!$H$63+'Assumptions and Catalog'!$E$63+'Assumptions and Catalog'!$F$63,IF(((D624+E624)*C624)&lt;='Assumptions and Catalog'!$C$64,((D624+E624)*C624)*'Assumptions and Catalog'!$H$64+'Assumptions and Catalog'!$E$64+'Assumptions and Catalog'!$F$64,IF(((D624+E624)*C624)&lt;='Assumptions and Catalog'!$C$65,((D624+E624)*C624)*'Assumptions and Catalog'!$H$65+'Assumptions and Catalog'!$E$65+'Assumptions and Catalog'!$F$65,"Out of range")))))))))*(1+'Assumptions and Catalog'!$C$8)^(A624-1),0)</f>
        <v>7094.794</v>
      </c>
      <c r="N624" s="5" t="n">
        <f>IF(ISNUMBER(Inputs!$L$5),(IF(Inputs!$L$9="Actual flat rate",L624*Inputs!$L$10,IF(Inputs!$C$9="Residential",IF(L624&lt;='Assumptions and Catalog'!$C$50,L624*'Assumptions and Catalog'!$H$50+'Assumptions and Catalog'!$E$50+'Assumptions and Catalog'!$F$50,IF(L624&lt;='Assumptions and Catalog'!$C$51,L624*'Assumptions and Catalog'!$H$51+'Assumptions and Catalog'!$E$51+'Assumptions and Catalog'!$F$51,IF(L624&lt;='Assumptions and Catalog'!$C$52,L624*'Assumptions and Catalog'!$H$52+'Assumptions and Catalog'!$E$52+'Assumptions and Catalog'!$F$52,IF(L624&lt;='Assumptions and Catalog'!$C$53,L624*'Assumptions and Catalog'!$H$53+'Assumptions and Catalog'!$E$53+'Assumptions and Catalog'!$F$53,IF(L624&lt;='Assumptions and Catalog'!$C$54,L624*'Assumptions and Catalog'!$H$54+'Assumptions and Catalog'!$E$54+'Assumptions and Catalog'!$F$54,IF(L624&lt;='Assumptions and Catalog'!$C$55,L624*'Assumptions and Catalog'!$H$55+'Assumptions and Catalog'!$E$55+'Assumptions and Catalog'!$F$55,IF(L624&lt;='Assumptions and Catalog'!$C$56,L624*'Assumptions and Catalog'!$H$56+'Assumptions and Catalog'!$E$56+'Assumptions and Catalog'!$F$56,IF(L624&lt;='Assumptions and Catalog'!$C$57,L624*'Assumptions and Catalog'!$H$57+'Assumptions and Catalog'!$E$57+'Assumptions and Catalog'!$F$57,"Out of range")))))))),IF(L624&lt;='Assumptions and Catalog'!$C$60,L624*'Assumptions and Catalog'!$H$60+'Assumptions and Catalog'!$E$60+'Assumptions and Catalog'!$F$60,IF(L624&lt;='Assumptions and Catalog'!$C$61,L624*'Assumptions and Catalog'!$H$61+'Assumptions and Catalog'!$E$61+'Assumptions and Catalog'!$F$61,IF(L624&lt;='Assumptions and Catalog'!$C$62,L624*'Assumptions and Catalog'!$H$62+'Assumptions and Catalog'!$E$62+'Assumptions and Catalog'!$F$62,IF(L624&lt;='Assumptions and Catalog'!$C$63,L624*'Assumptions and Catalog'!$H$63+'Assumptions and Catalog'!$E$63+'Assumptions and Catalog'!$F$63,IF(L624&lt;='Assumptions and Catalog'!$C$64,L624*'Assumptions and Catalog'!$H$64+'Assumptions and Catalog'!$E$64+'Assumptions and Catalog'!$F$64,IF(L624&lt;='Assumptions and Catalog'!$C$65,L624*'Assumptions and Catalog'!$H$65+'Assumptions and Catalog'!$E$65+'Assumptions and Catalog'!$F$65,"Out of range")))))))))*(1+'Assumptions and Catalog'!$C$8)^(A624-1),0)</f>
        <v>7094.794</v>
      </c>
      <c r="O624" s="5" t="n">
        <f>M624-N624</f>
        <v>0</v>
      </c>
      <c r="P624" s="5" t="n">
        <f>D$55*(1-K$14)*(1-'Assumptions and Catalog'!$C$23)^R624</f>
        <v>0</v>
      </c>
      <c r="Q624" s="5" t="n">
        <f>IF(ISNUMBER(Inputs!$L$5),(IF(Inputs!$L$9="Actual flat rate",((D624+E624)*C624-G624)*Inputs!$L$10,IF(Inputs!$C$9="Residential",IF(((D624+E624)*C624-G624)&lt;='Assumptions and Catalog'!$C$50,((D624+E624)*C624-G624)*'Assumptions and Catalog'!$H$50+'Assumptions and Catalog'!$E$50+'Assumptions and Catalog'!$F$50,IF(((D624+E624)*C624-G624)&lt;='Assumptions and Catalog'!$C$51,((D624+E624)*C624-G624)*'Assumptions and Catalog'!$H$51+'Assumptions and Catalog'!$E$51+'Assumptions and Catalog'!$F$51,IF(((D624+E624)*C624-G624)&lt;='Assumptions and Catalog'!$C$52,((D624+E624)*C624-G624)*'Assumptions and Catalog'!$H$52+'Assumptions and Catalog'!$E$52+'Assumptions and Catalog'!$F$52,IF(((D624+E624)*C624-G624)&lt;='Assumptions and Catalog'!$C$53,((D624+E624)*C624-G624)*'Assumptions and Catalog'!$H$53+'Assumptions and Catalog'!$E$53+'Assumptions and Catalog'!$F$53,IF(((D624+E624)*C624-G624)&lt;='Assumptions and Catalog'!$C$54,((D624+E624)*C624-G624)*'Assumptions and Catalog'!$H$54+'Assumptions and Catalog'!$E$54+'Assumptions and Catalog'!$F$54,IF(((D624+E624)*C624-G624)&lt;='Assumptions and Catalog'!$C$55,((D624+E624)*C624-G624)*'Assumptions and Catalog'!$H$55+'Assumptions and Catalog'!$E$55+'Assumptions and Catalog'!$F$55,IF(((D624+E624)*C624-G624)&lt;='Assumptions and Catalog'!$C$56,((D624+E624)*C624-G624)*'Assumptions and Catalog'!$H$56+'Assumptions and Catalog'!$E$56+'Assumptions and Catalog'!$F$56,IF(((D624+E624)*C624-G624)&lt;='Assumptions and Catalog'!$C$57,((D624+E624)*C624-G624)*'Assumptions and Catalog'!$H$57+'Assumptions and Catalog'!$E$57+'Assumptions and Catalog'!$F$57,"Out of range")))))))),IF(((D624+E624)*C624-G624)&lt;='Assumptions and Catalog'!$C$60,((D624+E624)*C624-G624)*'Assumptions and Catalog'!$H$60+'Assumptions and Catalog'!$E$60+'Assumptions and Catalog'!$F$60,IF(((D624+E624)*C624-G624)&lt;='Assumptions and Catalog'!$C$61,((D624+E624)*C624-G624)*'Assumptions and Catalog'!$H$61+'Assumptions and Catalog'!$E$61+'Assumptions and Catalog'!$F$61,IF(((D624+E624)*C624-G624)&lt;='Assumptions and Catalog'!$C$62,((D624+E624)*C624-G624)*'Assumptions and Catalog'!$H$62+'Assumptions and Catalog'!$E$62+'Assumptions and Catalog'!$F$62,IF(((D624+E624)*C624-G624)&lt;='Assumptions and Catalog'!$C$63,((D624+E624)*C624-G624)*'Assumptions and Catalog'!$H$63+'Assumptions and Catalog'!$E$63+'Assumptions and Catalog'!$F$63,IF(((D624+E624)*C624-G624)&lt;='Assumptions and Catalog'!$C$64,((D624+E624)*C624-G624)*'Assumptions and Catalog'!$H$64+'Assumptions and Catalog'!$E$64+'Assumptions and Catalog'!$F$64,IF(((D624+E624)*C624-G624)&lt;='Assumptions and Catalog'!$C$65,((D624+E624)*C624-G624)*'Assumptions and Catalog'!$H$65+'Assumptions and Catalog'!$E$65+'Assumptions and Catalog'!$F$65,"Out of range")))))))))*(1+'Assumptions and Catalog'!$C$8)^(A624-1),0)</f>
        <v>7094.794</v>
      </c>
      <c r="R624" s="5" t="n">
        <f>IF(AND('Assumptions and Catalog'!$C$19&gt;0,A624&gt;='Assumptions and Catalog'!$C$19),A624-'Assumptions and Catalog'!$C$19,A624-1)</f>
        <v>7</v>
      </c>
      <c r="S624" s="5" t="n">
        <f>F624+L624-(D624+E624)*C624-J624-K624-IF(D$52&gt;0,'Assumptions and Catalog'!$C$26*C624,0)</f>
        <v>0</v>
      </c>
      <c r="T624" s="5"/>
      <c r="U624" s="5"/>
    </row>
    <row r="625" ht="23.100000381469727" customHeight="1">
      <c r="A625" s="5" t="n">
        <v>18</v>
      </c>
      <c r="B625" s="5" t="n">
        <v>11</v>
      </c>
      <c r="C625" s="5" t="n">
        <f>DAY(DATE('Assumptions and Catalog'!$C$24+A625-1,B625+1,0))</f>
        <v>30</v>
      </c>
      <c r="D625" s="5" t="n">
        <f>IF(ISNUMBER(Inputs!$L$5),Inputs!$L$5*Inputs!$L$6,0)</f>
        <v>40.35</v>
      </c>
      <c r="E625" s="5" t="n">
        <f>IF(ISNUMBER(Inputs!$L$5),Inputs!$L$5-D625,0)</f>
        <v>40.35</v>
      </c>
      <c r="F625" s="5" t="n">
        <f>D$51*'Assumptions and Catalog'!$C$31*C625*(1-'Assumptions and Catalog'!$C$10)^(A625-1)</f>
        <v>0</v>
      </c>
      <c r="G625" s="5" t="n">
        <f>MIN(F625,D625*C625)</f>
        <v>0</v>
      </c>
      <c r="H625" s="5" t="n">
        <f>I625/('Assumptions and Catalog'!$C$11*'Assumptions and Catalog'!$C$12)</f>
        <v>0</v>
      </c>
      <c r="I625" s="5" t="n">
        <f>IF(K$15="Grid cycle",MIN(K$16,D625+E625,P625*'Assumptions and Catalog'!$C$12,D$57*(24-'Assumptions and Catalog'!$C$15),D$56*'Assumptions and Catalog'!$C$15*'Assumptions and Catalog'!$C$11*'Assumptions and Catalog'!$C$12)*C625,0)</f>
        <v>0</v>
      </c>
      <c r="J625" s="5" t="n">
        <f>MAX(F625-G625-0,0)</f>
        <v>0</v>
      </c>
      <c r="K625" s="5" t="n">
        <f>H625-I625</f>
        <v>0</v>
      </c>
      <c r="L625" s="5" t="n">
        <f>(D625+E625)*C625-G625-I625+H625+IF(D$52&gt;0,'Assumptions and Catalog'!$C$26*C625,0)</f>
        <v>2421</v>
      </c>
      <c r="M625" s="5" t="n">
        <f>IF(ISNUMBER(Inputs!$L$5),(IF(Inputs!$L$9="Actual flat rate",((D625+E625)*C625)*Inputs!$L$10,IF(Inputs!$C$9="Residential",IF(((D625+E625)*C625)&lt;='Assumptions and Catalog'!$C$50,((D625+E625)*C625)*'Assumptions and Catalog'!$H$50+'Assumptions and Catalog'!$E$50+'Assumptions and Catalog'!$F$50,IF(((D625+E625)*C625)&lt;='Assumptions and Catalog'!$C$51,((D625+E625)*C625)*'Assumptions and Catalog'!$H$51+'Assumptions and Catalog'!$E$51+'Assumptions and Catalog'!$F$51,IF(((D625+E625)*C625)&lt;='Assumptions and Catalog'!$C$52,((D625+E625)*C625)*'Assumptions and Catalog'!$H$52+'Assumptions and Catalog'!$E$52+'Assumptions and Catalog'!$F$52,IF(((D625+E625)*C625)&lt;='Assumptions and Catalog'!$C$53,((D625+E625)*C625)*'Assumptions and Catalog'!$H$53+'Assumptions and Catalog'!$E$53+'Assumptions and Catalog'!$F$53,IF(((D625+E625)*C625)&lt;='Assumptions and Catalog'!$C$54,((D625+E625)*C625)*'Assumptions and Catalog'!$H$54+'Assumptions and Catalog'!$E$54+'Assumptions and Catalog'!$F$54,IF(((D625+E625)*C625)&lt;='Assumptions and Catalog'!$C$55,((D625+E625)*C625)*'Assumptions and Catalog'!$H$55+'Assumptions and Catalog'!$E$55+'Assumptions and Catalog'!$F$55,IF(((D625+E625)*C625)&lt;='Assumptions and Catalog'!$C$56,((D625+E625)*C625)*'Assumptions and Catalog'!$H$56+'Assumptions and Catalog'!$E$56+'Assumptions and Catalog'!$F$56,IF(((D625+E625)*C625)&lt;='Assumptions and Catalog'!$C$57,((D625+E625)*C625)*'Assumptions and Catalog'!$H$57+'Assumptions and Catalog'!$E$57+'Assumptions and Catalog'!$F$57,"Out of range")))))))),IF(((D625+E625)*C625)&lt;='Assumptions and Catalog'!$C$60,((D625+E625)*C625)*'Assumptions and Catalog'!$H$60+'Assumptions and Catalog'!$E$60+'Assumptions and Catalog'!$F$60,IF(((D625+E625)*C625)&lt;='Assumptions and Catalog'!$C$61,((D625+E625)*C625)*'Assumptions and Catalog'!$H$61+'Assumptions and Catalog'!$E$61+'Assumptions and Catalog'!$F$61,IF(((D625+E625)*C625)&lt;='Assumptions and Catalog'!$C$62,((D625+E625)*C625)*'Assumptions and Catalog'!$H$62+'Assumptions and Catalog'!$E$62+'Assumptions and Catalog'!$F$62,IF(((D625+E625)*C625)&lt;='Assumptions and Catalog'!$C$63,((D625+E625)*C625)*'Assumptions and Catalog'!$H$63+'Assumptions and Catalog'!$E$63+'Assumptions and Catalog'!$F$63,IF(((D625+E625)*C625)&lt;='Assumptions and Catalog'!$C$64,((D625+E625)*C625)*'Assumptions and Catalog'!$H$64+'Assumptions and Catalog'!$E$64+'Assumptions and Catalog'!$F$64,IF(((D625+E625)*C625)&lt;='Assumptions and Catalog'!$C$65,((D625+E625)*C625)*'Assumptions and Catalog'!$H$65+'Assumptions and Catalog'!$E$65+'Assumptions and Catalog'!$F$65,"Out of range")))))))))*(1+'Assumptions and Catalog'!$C$8)^(A625-1),0)</f>
        <v>6867.22</v>
      </c>
      <c r="N625" s="5" t="n">
        <f>IF(ISNUMBER(Inputs!$L$5),(IF(Inputs!$L$9="Actual flat rate",L625*Inputs!$L$10,IF(Inputs!$C$9="Residential",IF(L625&lt;='Assumptions and Catalog'!$C$50,L625*'Assumptions and Catalog'!$H$50+'Assumptions and Catalog'!$E$50+'Assumptions and Catalog'!$F$50,IF(L625&lt;='Assumptions and Catalog'!$C$51,L625*'Assumptions and Catalog'!$H$51+'Assumptions and Catalog'!$E$51+'Assumptions and Catalog'!$F$51,IF(L625&lt;='Assumptions and Catalog'!$C$52,L625*'Assumptions and Catalog'!$H$52+'Assumptions and Catalog'!$E$52+'Assumptions and Catalog'!$F$52,IF(L625&lt;='Assumptions and Catalog'!$C$53,L625*'Assumptions and Catalog'!$H$53+'Assumptions and Catalog'!$E$53+'Assumptions and Catalog'!$F$53,IF(L625&lt;='Assumptions and Catalog'!$C$54,L625*'Assumptions and Catalog'!$H$54+'Assumptions and Catalog'!$E$54+'Assumptions and Catalog'!$F$54,IF(L625&lt;='Assumptions and Catalog'!$C$55,L625*'Assumptions and Catalog'!$H$55+'Assumptions and Catalog'!$E$55+'Assumptions and Catalog'!$F$55,IF(L625&lt;='Assumptions and Catalog'!$C$56,L625*'Assumptions and Catalog'!$H$56+'Assumptions and Catalog'!$E$56+'Assumptions and Catalog'!$F$56,IF(L625&lt;='Assumptions and Catalog'!$C$57,L625*'Assumptions and Catalog'!$H$57+'Assumptions and Catalog'!$E$57+'Assumptions and Catalog'!$F$57,"Out of range")))))))),IF(L625&lt;='Assumptions and Catalog'!$C$60,L625*'Assumptions and Catalog'!$H$60+'Assumptions and Catalog'!$E$60+'Assumptions and Catalog'!$F$60,IF(L625&lt;='Assumptions and Catalog'!$C$61,L625*'Assumptions and Catalog'!$H$61+'Assumptions and Catalog'!$E$61+'Assumptions and Catalog'!$F$61,IF(L625&lt;='Assumptions and Catalog'!$C$62,L625*'Assumptions and Catalog'!$H$62+'Assumptions and Catalog'!$E$62+'Assumptions and Catalog'!$F$62,IF(L625&lt;='Assumptions and Catalog'!$C$63,L625*'Assumptions and Catalog'!$H$63+'Assumptions and Catalog'!$E$63+'Assumptions and Catalog'!$F$63,IF(L625&lt;='Assumptions and Catalog'!$C$64,L625*'Assumptions and Catalog'!$H$64+'Assumptions and Catalog'!$E$64+'Assumptions and Catalog'!$F$64,IF(L625&lt;='Assumptions and Catalog'!$C$65,L625*'Assumptions and Catalog'!$H$65+'Assumptions and Catalog'!$E$65+'Assumptions and Catalog'!$F$65,"Out of range")))))))))*(1+'Assumptions and Catalog'!$C$8)^(A625-1),0)</f>
        <v>6867.22</v>
      </c>
      <c r="O625" s="5" t="n">
        <f>M625-N625</f>
        <v>0</v>
      </c>
      <c r="P625" s="5" t="n">
        <f>D$55*(1-K$14)*(1-'Assumptions and Catalog'!$C$23)^R625</f>
        <v>0</v>
      </c>
      <c r="Q625" s="5" t="n">
        <f>IF(ISNUMBER(Inputs!$L$5),(IF(Inputs!$L$9="Actual flat rate",((D625+E625)*C625-G625)*Inputs!$L$10,IF(Inputs!$C$9="Residential",IF(((D625+E625)*C625-G625)&lt;='Assumptions and Catalog'!$C$50,((D625+E625)*C625-G625)*'Assumptions and Catalog'!$H$50+'Assumptions and Catalog'!$E$50+'Assumptions and Catalog'!$F$50,IF(((D625+E625)*C625-G625)&lt;='Assumptions and Catalog'!$C$51,((D625+E625)*C625-G625)*'Assumptions and Catalog'!$H$51+'Assumptions and Catalog'!$E$51+'Assumptions and Catalog'!$F$51,IF(((D625+E625)*C625-G625)&lt;='Assumptions and Catalog'!$C$52,((D625+E625)*C625-G625)*'Assumptions and Catalog'!$H$52+'Assumptions and Catalog'!$E$52+'Assumptions and Catalog'!$F$52,IF(((D625+E625)*C625-G625)&lt;='Assumptions and Catalog'!$C$53,((D625+E625)*C625-G625)*'Assumptions and Catalog'!$H$53+'Assumptions and Catalog'!$E$53+'Assumptions and Catalog'!$F$53,IF(((D625+E625)*C625-G625)&lt;='Assumptions and Catalog'!$C$54,((D625+E625)*C625-G625)*'Assumptions and Catalog'!$H$54+'Assumptions and Catalog'!$E$54+'Assumptions and Catalog'!$F$54,IF(((D625+E625)*C625-G625)&lt;='Assumptions and Catalog'!$C$55,((D625+E625)*C625-G625)*'Assumptions and Catalog'!$H$55+'Assumptions and Catalog'!$E$55+'Assumptions and Catalog'!$F$55,IF(((D625+E625)*C625-G625)&lt;='Assumptions and Catalog'!$C$56,((D625+E625)*C625-G625)*'Assumptions and Catalog'!$H$56+'Assumptions and Catalog'!$E$56+'Assumptions and Catalog'!$F$56,IF(((D625+E625)*C625-G625)&lt;='Assumptions and Catalog'!$C$57,((D625+E625)*C625-G625)*'Assumptions and Catalog'!$H$57+'Assumptions and Catalog'!$E$57+'Assumptions and Catalog'!$F$57,"Out of range")))))))),IF(((D625+E625)*C625-G625)&lt;='Assumptions and Catalog'!$C$60,((D625+E625)*C625-G625)*'Assumptions and Catalog'!$H$60+'Assumptions and Catalog'!$E$60+'Assumptions and Catalog'!$F$60,IF(((D625+E625)*C625-G625)&lt;='Assumptions and Catalog'!$C$61,((D625+E625)*C625-G625)*'Assumptions and Catalog'!$H$61+'Assumptions and Catalog'!$E$61+'Assumptions and Catalog'!$F$61,IF(((D625+E625)*C625-G625)&lt;='Assumptions and Catalog'!$C$62,((D625+E625)*C625-G625)*'Assumptions and Catalog'!$H$62+'Assumptions and Catalog'!$E$62+'Assumptions and Catalog'!$F$62,IF(((D625+E625)*C625-G625)&lt;='Assumptions and Catalog'!$C$63,((D625+E625)*C625-G625)*'Assumptions and Catalog'!$H$63+'Assumptions and Catalog'!$E$63+'Assumptions and Catalog'!$F$63,IF(((D625+E625)*C625-G625)&lt;='Assumptions and Catalog'!$C$64,((D625+E625)*C625-G625)*'Assumptions and Catalog'!$H$64+'Assumptions and Catalog'!$E$64+'Assumptions and Catalog'!$F$64,IF(((D625+E625)*C625-G625)&lt;='Assumptions and Catalog'!$C$65,((D625+E625)*C625-G625)*'Assumptions and Catalog'!$H$65+'Assumptions and Catalog'!$E$65+'Assumptions and Catalog'!$F$65,"Out of range")))))))))*(1+'Assumptions and Catalog'!$C$8)^(A625-1),0)</f>
        <v>6867.22</v>
      </c>
      <c r="R625" s="5" t="n">
        <f>IF(AND('Assumptions and Catalog'!$C$19&gt;0,A625&gt;='Assumptions and Catalog'!$C$19),A625-'Assumptions and Catalog'!$C$19,A625-1)</f>
        <v>7</v>
      </c>
      <c r="S625" s="5" t="n">
        <f>F625+L625-(D625+E625)*C625-J625-K625-IF(D$52&gt;0,'Assumptions and Catalog'!$C$26*C625,0)</f>
        <v>0</v>
      </c>
      <c r="T625" s="5"/>
      <c r="U625" s="5"/>
    </row>
    <row r="626" ht="23.100000381469727" customHeight="1">
      <c r="A626" s="5" t="n">
        <v>18</v>
      </c>
      <c r="B626" s="5" t="n">
        <v>12</v>
      </c>
      <c r="C626" s="5" t="n">
        <f>DAY(DATE('Assumptions and Catalog'!$C$24+A626-1,B626+1,0))</f>
        <v>31</v>
      </c>
      <c r="D626" s="5" t="n">
        <f>IF(ISNUMBER(Inputs!$L$5),Inputs!$L$5*Inputs!$L$6,0)</f>
        <v>40.35</v>
      </c>
      <c r="E626" s="5" t="n">
        <f>IF(ISNUMBER(Inputs!$L$5),Inputs!$L$5-D626,0)</f>
        <v>40.35</v>
      </c>
      <c r="F626" s="5" t="n">
        <f>D$51*'Assumptions and Catalog'!$C$31*C626*(1-'Assumptions and Catalog'!$C$10)^(A626-1)</f>
        <v>0</v>
      </c>
      <c r="G626" s="5" t="n">
        <f>MIN(F626,D626*C626)</f>
        <v>0</v>
      </c>
      <c r="H626" s="5" t="n">
        <f>I626/('Assumptions and Catalog'!$C$11*'Assumptions and Catalog'!$C$12)</f>
        <v>0</v>
      </c>
      <c r="I626" s="5" t="n">
        <f>IF(K$15="Grid cycle",MIN(K$16,D626+E626,P626*'Assumptions and Catalog'!$C$12,D$57*(24-'Assumptions and Catalog'!$C$15),D$56*'Assumptions and Catalog'!$C$15*'Assumptions and Catalog'!$C$11*'Assumptions and Catalog'!$C$12)*C626,0)</f>
        <v>0</v>
      </c>
      <c r="J626" s="5" t="n">
        <f>MAX(F626-G626-0,0)</f>
        <v>0</v>
      </c>
      <c r="K626" s="5" t="n">
        <f>H626-I626</f>
        <v>0</v>
      </c>
      <c r="L626" s="5" t="n">
        <f>(D626+E626)*C626-G626-I626+H626+IF(D$52&gt;0,'Assumptions and Catalog'!$C$26*C626,0)</f>
        <v>2501.7</v>
      </c>
      <c r="M626" s="5" t="n">
        <f>IF(ISNUMBER(Inputs!$L$5),(IF(Inputs!$L$9="Actual flat rate",((D626+E626)*C626)*Inputs!$L$10,IF(Inputs!$C$9="Residential",IF(((D626+E626)*C626)&lt;='Assumptions and Catalog'!$C$50,((D626+E626)*C626)*'Assumptions and Catalog'!$H$50+'Assumptions and Catalog'!$E$50+'Assumptions and Catalog'!$F$50,IF(((D626+E626)*C626)&lt;='Assumptions and Catalog'!$C$51,((D626+E626)*C626)*'Assumptions and Catalog'!$H$51+'Assumptions and Catalog'!$E$51+'Assumptions and Catalog'!$F$51,IF(((D626+E626)*C626)&lt;='Assumptions and Catalog'!$C$52,((D626+E626)*C626)*'Assumptions and Catalog'!$H$52+'Assumptions and Catalog'!$E$52+'Assumptions and Catalog'!$F$52,IF(((D626+E626)*C626)&lt;='Assumptions and Catalog'!$C$53,((D626+E626)*C626)*'Assumptions and Catalog'!$H$53+'Assumptions and Catalog'!$E$53+'Assumptions and Catalog'!$F$53,IF(((D626+E626)*C626)&lt;='Assumptions and Catalog'!$C$54,((D626+E626)*C626)*'Assumptions and Catalog'!$H$54+'Assumptions and Catalog'!$E$54+'Assumptions and Catalog'!$F$54,IF(((D626+E626)*C626)&lt;='Assumptions and Catalog'!$C$55,((D626+E626)*C626)*'Assumptions and Catalog'!$H$55+'Assumptions and Catalog'!$E$55+'Assumptions and Catalog'!$F$55,IF(((D626+E626)*C626)&lt;='Assumptions and Catalog'!$C$56,((D626+E626)*C626)*'Assumptions and Catalog'!$H$56+'Assumptions and Catalog'!$E$56+'Assumptions and Catalog'!$F$56,IF(((D626+E626)*C626)&lt;='Assumptions and Catalog'!$C$57,((D626+E626)*C626)*'Assumptions and Catalog'!$H$57+'Assumptions and Catalog'!$E$57+'Assumptions and Catalog'!$F$57,"Out of range")))))))),IF(((D626+E626)*C626)&lt;='Assumptions and Catalog'!$C$60,((D626+E626)*C626)*'Assumptions and Catalog'!$H$60+'Assumptions and Catalog'!$E$60+'Assumptions and Catalog'!$F$60,IF(((D626+E626)*C626)&lt;='Assumptions and Catalog'!$C$61,((D626+E626)*C626)*'Assumptions and Catalog'!$H$61+'Assumptions and Catalog'!$E$61+'Assumptions and Catalog'!$F$61,IF(((D626+E626)*C626)&lt;='Assumptions and Catalog'!$C$62,((D626+E626)*C626)*'Assumptions and Catalog'!$H$62+'Assumptions and Catalog'!$E$62+'Assumptions and Catalog'!$F$62,IF(((D626+E626)*C626)&lt;='Assumptions and Catalog'!$C$63,((D626+E626)*C626)*'Assumptions and Catalog'!$H$63+'Assumptions and Catalog'!$E$63+'Assumptions and Catalog'!$F$63,IF(((D626+E626)*C626)&lt;='Assumptions and Catalog'!$C$64,((D626+E626)*C626)*'Assumptions and Catalog'!$H$64+'Assumptions and Catalog'!$E$64+'Assumptions and Catalog'!$F$64,IF(((D626+E626)*C626)&lt;='Assumptions and Catalog'!$C$65,((D626+E626)*C626)*'Assumptions and Catalog'!$H$65+'Assumptions and Catalog'!$E$65+'Assumptions and Catalog'!$F$65,"Out of range")))))))))*(1+'Assumptions and Catalog'!$C$8)^(A626-1),0)</f>
        <v>7094.794</v>
      </c>
      <c r="N626" s="5" t="n">
        <f>IF(ISNUMBER(Inputs!$L$5),(IF(Inputs!$L$9="Actual flat rate",L626*Inputs!$L$10,IF(Inputs!$C$9="Residential",IF(L626&lt;='Assumptions and Catalog'!$C$50,L626*'Assumptions and Catalog'!$H$50+'Assumptions and Catalog'!$E$50+'Assumptions and Catalog'!$F$50,IF(L626&lt;='Assumptions and Catalog'!$C$51,L626*'Assumptions and Catalog'!$H$51+'Assumptions and Catalog'!$E$51+'Assumptions and Catalog'!$F$51,IF(L626&lt;='Assumptions and Catalog'!$C$52,L626*'Assumptions and Catalog'!$H$52+'Assumptions and Catalog'!$E$52+'Assumptions and Catalog'!$F$52,IF(L626&lt;='Assumptions and Catalog'!$C$53,L626*'Assumptions and Catalog'!$H$53+'Assumptions and Catalog'!$E$53+'Assumptions and Catalog'!$F$53,IF(L626&lt;='Assumptions and Catalog'!$C$54,L626*'Assumptions and Catalog'!$H$54+'Assumptions and Catalog'!$E$54+'Assumptions and Catalog'!$F$54,IF(L626&lt;='Assumptions and Catalog'!$C$55,L626*'Assumptions and Catalog'!$H$55+'Assumptions and Catalog'!$E$55+'Assumptions and Catalog'!$F$55,IF(L626&lt;='Assumptions and Catalog'!$C$56,L626*'Assumptions and Catalog'!$H$56+'Assumptions and Catalog'!$E$56+'Assumptions and Catalog'!$F$56,IF(L626&lt;='Assumptions and Catalog'!$C$57,L626*'Assumptions and Catalog'!$H$57+'Assumptions and Catalog'!$E$57+'Assumptions and Catalog'!$F$57,"Out of range")))))))),IF(L626&lt;='Assumptions and Catalog'!$C$60,L626*'Assumptions and Catalog'!$H$60+'Assumptions and Catalog'!$E$60+'Assumptions and Catalog'!$F$60,IF(L626&lt;='Assumptions and Catalog'!$C$61,L626*'Assumptions and Catalog'!$H$61+'Assumptions and Catalog'!$E$61+'Assumptions and Catalog'!$F$61,IF(L626&lt;='Assumptions and Catalog'!$C$62,L626*'Assumptions and Catalog'!$H$62+'Assumptions and Catalog'!$E$62+'Assumptions and Catalog'!$F$62,IF(L626&lt;='Assumptions and Catalog'!$C$63,L626*'Assumptions and Catalog'!$H$63+'Assumptions and Catalog'!$E$63+'Assumptions and Catalog'!$F$63,IF(L626&lt;='Assumptions and Catalog'!$C$64,L626*'Assumptions and Catalog'!$H$64+'Assumptions and Catalog'!$E$64+'Assumptions and Catalog'!$F$64,IF(L626&lt;='Assumptions and Catalog'!$C$65,L626*'Assumptions and Catalog'!$H$65+'Assumptions and Catalog'!$E$65+'Assumptions and Catalog'!$F$65,"Out of range")))))))))*(1+'Assumptions and Catalog'!$C$8)^(A626-1),0)</f>
        <v>7094.794</v>
      </c>
      <c r="O626" s="5" t="n">
        <f>M626-N626</f>
        <v>0</v>
      </c>
      <c r="P626" s="5" t="n">
        <f>D$55*(1-K$14)*(1-'Assumptions and Catalog'!$C$23)^R626</f>
        <v>0</v>
      </c>
      <c r="Q626" s="5" t="n">
        <f>IF(ISNUMBER(Inputs!$L$5),(IF(Inputs!$L$9="Actual flat rate",((D626+E626)*C626-G626)*Inputs!$L$10,IF(Inputs!$C$9="Residential",IF(((D626+E626)*C626-G626)&lt;='Assumptions and Catalog'!$C$50,((D626+E626)*C626-G626)*'Assumptions and Catalog'!$H$50+'Assumptions and Catalog'!$E$50+'Assumptions and Catalog'!$F$50,IF(((D626+E626)*C626-G626)&lt;='Assumptions and Catalog'!$C$51,((D626+E626)*C626-G626)*'Assumptions and Catalog'!$H$51+'Assumptions and Catalog'!$E$51+'Assumptions and Catalog'!$F$51,IF(((D626+E626)*C626-G626)&lt;='Assumptions and Catalog'!$C$52,((D626+E626)*C626-G626)*'Assumptions and Catalog'!$H$52+'Assumptions and Catalog'!$E$52+'Assumptions and Catalog'!$F$52,IF(((D626+E626)*C626-G626)&lt;='Assumptions and Catalog'!$C$53,((D626+E626)*C626-G626)*'Assumptions and Catalog'!$H$53+'Assumptions and Catalog'!$E$53+'Assumptions and Catalog'!$F$53,IF(((D626+E626)*C626-G626)&lt;='Assumptions and Catalog'!$C$54,((D626+E626)*C626-G626)*'Assumptions and Catalog'!$H$54+'Assumptions and Catalog'!$E$54+'Assumptions and Catalog'!$F$54,IF(((D626+E626)*C626-G626)&lt;='Assumptions and Catalog'!$C$55,((D626+E626)*C626-G626)*'Assumptions and Catalog'!$H$55+'Assumptions and Catalog'!$E$55+'Assumptions and Catalog'!$F$55,IF(((D626+E626)*C626-G626)&lt;='Assumptions and Catalog'!$C$56,((D626+E626)*C626-G626)*'Assumptions and Catalog'!$H$56+'Assumptions and Catalog'!$E$56+'Assumptions and Catalog'!$F$56,IF(((D626+E626)*C626-G626)&lt;='Assumptions and Catalog'!$C$57,((D626+E626)*C626-G626)*'Assumptions and Catalog'!$H$57+'Assumptions and Catalog'!$E$57+'Assumptions and Catalog'!$F$57,"Out of range")))))))),IF(((D626+E626)*C626-G626)&lt;='Assumptions and Catalog'!$C$60,((D626+E626)*C626-G626)*'Assumptions and Catalog'!$H$60+'Assumptions and Catalog'!$E$60+'Assumptions and Catalog'!$F$60,IF(((D626+E626)*C626-G626)&lt;='Assumptions and Catalog'!$C$61,((D626+E626)*C626-G626)*'Assumptions and Catalog'!$H$61+'Assumptions and Catalog'!$E$61+'Assumptions and Catalog'!$F$61,IF(((D626+E626)*C626-G626)&lt;='Assumptions and Catalog'!$C$62,((D626+E626)*C626-G626)*'Assumptions and Catalog'!$H$62+'Assumptions and Catalog'!$E$62+'Assumptions and Catalog'!$F$62,IF(((D626+E626)*C626-G626)&lt;='Assumptions and Catalog'!$C$63,((D626+E626)*C626-G626)*'Assumptions and Catalog'!$H$63+'Assumptions and Catalog'!$E$63+'Assumptions and Catalog'!$F$63,IF(((D626+E626)*C626-G626)&lt;='Assumptions and Catalog'!$C$64,((D626+E626)*C626-G626)*'Assumptions and Catalog'!$H$64+'Assumptions and Catalog'!$E$64+'Assumptions and Catalog'!$F$64,IF(((D626+E626)*C626-G626)&lt;='Assumptions and Catalog'!$C$65,((D626+E626)*C626-G626)*'Assumptions and Catalog'!$H$65+'Assumptions and Catalog'!$E$65+'Assumptions and Catalog'!$F$65,"Out of range")))))))))*(1+'Assumptions and Catalog'!$C$8)^(A626-1),0)</f>
        <v>7094.794</v>
      </c>
      <c r="R626" s="5" t="n">
        <f>IF(AND('Assumptions and Catalog'!$C$19&gt;0,A626&gt;='Assumptions and Catalog'!$C$19),A626-'Assumptions and Catalog'!$C$19,A626-1)</f>
        <v>7</v>
      </c>
      <c r="S626" s="5" t="n">
        <f>F626+L626-(D626+E626)*C626-J626-K626-IF(D$52&gt;0,'Assumptions and Catalog'!$C$26*C626,0)</f>
        <v>0</v>
      </c>
      <c r="T626" s="5"/>
      <c r="U626" s="5"/>
    </row>
    <row r="627" ht="23.100000381469727" customHeight="1">
      <c r="A627" s="5" t="n">
        <v>19</v>
      </c>
      <c r="B627" s="5" t="n">
        <v>1</v>
      </c>
      <c r="C627" s="5" t="n">
        <f>DAY(DATE('Assumptions and Catalog'!$C$24+A627-1,B627+1,0))</f>
        <v>31</v>
      </c>
      <c r="D627" s="5" t="n">
        <f>IF(ISNUMBER(Inputs!$L$5),Inputs!$L$5*Inputs!$L$6,0)</f>
        <v>40.35</v>
      </c>
      <c r="E627" s="5" t="n">
        <f>IF(ISNUMBER(Inputs!$L$5),Inputs!$L$5-D627,0)</f>
        <v>40.35</v>
      </c>
      <c r="F627" s="5" t="n">
        <f>D$51*'Assumptions and Catalog'!$C$31*C627*(1-'Assumptions and Catalog'!$C$10)^(A627-1)</f>
        <v>0</v>
      </c>
      <c r="G627" s="5" t="n">
        <f>MIN(F627,D627*C627)</f>
        <v>0</v>
      </c>
      <c r="H627" s="5" t="n">
        <f>I627/('Assumptions and Catalog'!$C$11*'Assumptions and Catalog'!$C$12)</f>
        <v>0</v>
      </c>
      <c r="I627" s="5" t="n">
        <f>IF(K$15="Grid cycle",MIN(K$16,D627+E627,P627*'Assumptions and Catalog'!$C$12,D$57*(24-'Assumptions and Catalog'!$C$15),D$56*'Assumptions and Catalog'!$C$15*'Assumptions and Catalog'!$C$11*'Assumptions and Catalog'!$C$12)*C627,0)</f>
        <v>0</v>
      </c>
      <c r="J627" s="5" t="n">
        <f>MAX(F627-G627-0,0)</f>
        <v>0</v>
      </c>
      <c r="K627" s="5" t="n">
        <f>H627-I627</f>
        <v>0</v>
      </c>
      <c r="L627" s="5" t="n">
        <f>(D627+E627)*C627-G627-I627+H627+IF(D$52&gt;0,'Assumptions and Catalog'!$C$26*C627,0)</f>
        <v>2501.7</v>
      </c>
      <c r="M627" s="5" t="n">
        <f>IF(ISNUMBER(Inputs!$L$5),(IF(Inputs!$L$9="Actual flat rate",((D627+E627)*C627)*Inputs!$L$10,IF(Inputs!$C$9="Residential",IF(((D627+E627)*C627)&lt;='Assumptions and Catalog'!$C$50,((D627+E627)*C627)*'Assumptions and Catalog'!$H$50+'Assumptions and Catalog'!$E$50+'Assumptions and Catalog'!$F$50,IF(((D627+E627)*C627)&lt;='Assumptions and Catalog'!$C$51,((D627+E627)*C627)*'Assumptions and Catalog'!$H$51+'Assumptions and Catalog'!$E$51+'Assumptions and Catalog'!$F$51,IF(((D627+E627)*C627)&lt;='Assumptions and Catalog'!$C$52,((D627+E627)*C627)*'Assumptions and Catalog'!$H$52+'Assumptions and Catalog'!$E$52+'Assumptions and Catalog'!$F$52,IF(((D627+E627)*C627)&lt;='Assumptions and Catalog'!$C$53,((D627+E627)*C627)*'Assumptions and Catalog'!$H$53+'Assumptions and Catalog'!$E$53+'Assumptions and Catalog'!$F$53,IF(((D627+E627)*C627)&lt;='Assumptions and Catalog'!$C$54,((D627+E627)*C627)*'Assumptions and Catalog'!$H$54+'Assumptions and Catalog'!$E$54+'Assumptions and Catalog'!$F$54,IF(((D627+E627)*C627)&lt;='Assumptions and Catalog'!$C$55,((D627+E627)*C627)*'Assumptions and Catalog'!$H$55+'Assumptions and Catalog'!$E$55+'Assumptions and Catalog'!$F$55,IF(((D627+E627)*C627)&lt;='Assumptions and Catalog'!$C$56,((D627+E627)*C627)*'Assumptions and Catalog'!$H$56+'Assumptions and Catalog'!$E$56+'Assumptions and Catalog'!$F$56,IF(((D627+E627)*C627)&lt;='Assumptions and Catalog'!$C$57,((D627+E627)*C627)*'Assumptions and Catalog'!$H$57+'Assumptions and Catalog'!$E$57+'Assumptions and Catalog'!$F$57,"Out of range")))))))),IF(((D627+E627)*C627)&lt;='Assumptions and Catalog'!$C$60,((D627+E627)*C627)*'Assumptions and Catalog'!$H$60+'Assumptions and Catalog'!$E$60+'Assumptions and Catalog'!$F$60,IF(((D627+E627)*C627)&lt;='Assumptions and Catalog'!$C$61,((D627+E627)*C627)*'Assumptions and Catalog'!$H$61+'Assumptions and Catalog'!$E$61+'Assumptions and Catalog'!$F$61,IF(((D627+E627)*C627)&lt;='Assumptions and Catalog'!$C$62,((D627+E627)*C627)*'Assumptions and Catalog'!$H$62+'Assumptions and Catalog'!$E$62+'Assumptions and Catalog'!$F$62,IF(((D627+E627)*C627)&lt;='Assumptions and Catalog'!$C$63,((D627+E627)*C627)*'Assumptions and Catalog'!$H$63+'Assumptions and Catalog'!$E$63+'Assumptions and Catalog'!$F$63,IF(((D627+E627)*C627)&lt;='Assumptions and Catalog'!$C$64,((D627+E627)*C627)*'Assumptions and Catalog'!$H$64+'Assumptions and Catalog'!$E$64+'Assumptions and Catalog'!$F$64,IF(((D627+E627)*C627)&lt;='Assumptions and Catalog'!$C$65,((D627+E627)*C627)*'Assumptions and Catalog'!$H$65+'Assumptions and Catalog'!$E$65+'Assumptions and Catalog'!$F$65,"Out of range")))))))))*(1+'Assumptions and Catalog'!$C$8)^(A627-1),0)</f>
        <v>7094.794</v>
      </c>
      <c r="N627" s="5" t="n">
        <f>IF(ISNUMBER(Inputs!$L$5),(IF(Inputs!$L$9="Actual flat rate",L627*Inputs!$L$10,IF(Inputs!$C$9="Residential",IF(L627&lt;='Assumptions and Catalog'!$C$50,L627*'Assumptions and Catalog'!$H$50+'Assumptions and Catalog'!$E$50+'Assumptions and Catalog'!$F$50,IF(L627&lt;='Assumptions and Catalog'!$C$51,L627*'Assumptions and Catalog'!$H$51+'Assumptions and Catalog'!$E$51+'Assumptions and Catalog'!$F$51,IF(L627&lt;='Assumptions and Catalog'!$C$52,L627*'Assumptions and Catalog'!$H$52+'Assumptions and Catalog'!$E$52+'Assumptions and Catalog'!$F$52,IF(L627&lt;='Assumptions and Catalog'!$C$53,L627*'Assumptions and Catalog'!$H$53+'Assumptions and Catalog'!$E$53+'Assumptions and Catalog'!$F$53,IF(L627&lt;='Assumptions and Catalog'!$C$54,L627*'Assumptions and Catalog'!$H$54+'Assumptions and Catalog'!$E$54+'Assumptions and Catalog'!$F$54,IF(L627&lt;='Assumptions and Catalog'!$C$55,L627*'Assumptions and Catalog'!$H$55+'Assumptions and Catalog'!$E$55+'Assumptions and Catalog'!$F$55,IF(L627&lt;='Assumptions and Catalog'!$C$56,L627*'Assumptions and Catalog'!$H$56+'Assumptions and Catalog'!$E$56+'Assumptions and Catalog'!$F$56,IF(L627&lt;='Assumptions and Catalog'!$C$57,L627*'Assumptions and Catalog'!$H$57+'Assumptions and Catalog'!$E$57+'Assumptions and Catalog'!$F$57,"Out of range")))))))),IF(L627&lt;='Assumptions and Catalog'!$C$60,L627*'Assumptions and Catalog'!$H$60+'Assumptions and Catalog'!$E$60+'Assumptions and Catalog'!$F$60,IF(L627&lt;='Assumptions and Catalog'!$C$61,L627*'Assumptions and Catalog'!$H$61+'Assumptions and Catalog'!$E$61+'Assumptions and Catalog'!$F$61,IF(L627&lt;='Assumptions and Catalog'!$C$62,L627*'Assumptions and Catalog'!$H$62+'Assumptions and Catalog'!$E$62+'Assumptions and Catalog'!$F$62,IF(L627&lt;='Assumptions and Catalog'!$C$63,L627*'Assumptions and Catalog'!$H$63+'Assumptions and Catalog'!$E$63+'Assumptions and Catalog'!$F$63,IF(L627&lt;='Assumptions and Catalog'!$C$64,L627*'Assumptions and Catalog'!$H$64+'Assumptions and Catalog'!$E$64+'Assumptions and Catalog'!$F$64,IF(L627&lt;='Assumptions and Catalog'!$C$65,L627*'Assumptions and Catalog'!$H$65+'Assumptions and Catalog'!$E$65+'Assumptions and Catalog'!$F$65,"Out of range")))))))))*(1+'Assumptions and Catalog'!$C$8)^(A627-1),0)</f>
        <v>7094.794</v>
      </c>
      <c r="O627" s="5" t="n">
        <f>M627-N627</f>
        <v>0</v>
      </c>
      <c r="P627" s="5" t="n">
        <f>D$55*(1-K$14)*(1-'Assumptions and Catalog'!$C$23)^R627</f>
        <v>0</v>
      </c>
      <c r="Q627" s="5" t="n">
        <f>IF(ISNUMBER(Inputs!$L$5),(IF(Inputs!$L$9="Actual flat rate",((D627+E627)*C627-G627)*Inputs!$L$10,IF(Inputs!$C$9="Residential",IF(((D627+E627)*C627-G627)&lt;='Assumptions and Catalog'!$C$50,((D627+E627)*C627-G627)*'Assumptions and Catalog'!$H$50+'Assumptions and Catalog'!$E$50+'Assumptions and Catalog'!$F$50,IF(((D627+E627)*C627-G627)&lt;='Assumptions and Catalog'!$C$51,((D627+E627)*C627-G627)*'Assumptions and Catalog'!$H$51+'Assumptions and Catalog'!$E$51+'Assumptions and Catalog'!$F$51,IF(((D627+E627)*C627-G627)&lt;='Assumptions and Catalog'!$C$52,((D627+E627)*C627-G627)*'Assumptions and Catalog'!$H$52+'Assumptions and Catalog'!$E$52+'Assumptions and Catalog'!$F$52,IF(((D627+E627)*C627-G627)&lt;='Assumptions and Catalog'!$C$53,((D627+E627)*C627-G627)*'Assumptions and Catalog'!$H$53+'Assumptions and Catalog'!$E$53+'Assumptions and Catalog'!$F$53,IF(((D627+E627)*C627-G627)&lt;='Assumptions and Catalog'!$C$54,((D627+E627)*C627-G627)*'Assumptions and Catalog'!$H$54+'Assumptions and Catalog'!$E$54+'Assumptions and Catalog'!$F$54,IF(((D627+E627)*C627-G627)&lt;='Assumptions and Catalog'!$C$55,((D627+E627)*C627-G627)*'Assumptions and Catalog'!$H$55+'Assumptions and Catalog'!$E$55+'Assumptions and Catalog'!$F$55,IF(((D627+E627)*C627-G627)&lt;='Assumptions and Catalog'!$C$56,((D627+E627)*C627-G627)*'Assumptions and Catalog'!$H$56+'Assumptions and Catalog'!$E$56+'Assumptions and Catalog'!$F$56,IF(((D627+E627)*C627-G627)&lt;='Assumptions and Catalog'!$C$57,((D627+E627)*C627-G627)*'Assumptions and Catalog'!$H$57+'Assumptions and Catalog'!$E$57+'Assumptions and Catalog'!$F$57,"Out of range")))))))),IF(((D627+E627)*C627-G627)&lt;='Assumptions and Catalog'!$C$60,((D627+E627)*C627-G627)*'Assumptions and Catalog'!$H$60+'Assumptions and Catalog'!$E$60+'Assumptions and Catalog'!$F$60,IF(((D627+E627)*C627-G627)&lt;='Assumptions and Catalog'!$C$61,((D627+E627)*C627-G627)*'Assumptions and Catalog'!$H$61+'Assumptions and Catalog'!$E$61+'Assumptions and Catalog'!$F$61,IF(((D627+E627)*C627-G627)&lt;='Assumptions and Catalog'!$C$62,((D627+E627)*C627-G627)*'Assumptions and Catalog'!$H$62+'Assumptions and Catalog'!$E$62+'Assumptions and Catalog'!$F$62,IF(((D627+E627)*C627-G627)&lt;='Assumptions and Catalog'!$C$63,((D627+E627)*C627-G627)*'Assumptions and Catalog'!$H$63+'Assumptions and Catalog'!$E$63+'Assumptions and Catalog'!$F$63,IF(((D627+E627)*C627-G627)&lt;='Assumptions and Catalog'!$C$64,((D627+E627)*C627-G627)*'Assumptions and Catalog'!$H$64+'Assumptions and Catalog'!$E$64+'Assumptions and Catalog'!$F$64,IF(((D627+E627)*C627-G627)&lt;='Assumptions and Catalog'!$C$65,((D627+E627)*C627-G627)*'Assumptions and Catalog'!$H$65+'Assumptions and Catalog'!$E$65+'Assumptions and Catalog'!$F$65,"Out of range")))))))))*(1+'Assumptions and Catalog'!$C$8)^(A627-1),0)</f>
        <v>7094.794</v>
      </c>
      <c r="R627" s="5" t="n">
        <f>IF(AND('Assumptions and Catalog'!$C$19&gt;0,A627&gt;='Assumptions and Catalog'!$C$19),A627-'Assumptions and Catalog'!$C$19,A627-1)</f>
        <v>8</v>
      </c>
      <c r="S627" s="5" t="n">
        <f>F627+L627-(D627+E627)*C627-J627-K627-IF(D$52&gt;0,'Assumptions and Catalog'!$C$26*C627,0)</f>
        <v>0</v>
      </c>
      <c r="T627" s="5"/>
      <c r="U627" s="5"/>
    </row>
    <row r="628" ht="23.100000381469727" customHeight="1">
      <c r="A628" s="5" t="n">
        <v>19</v>
      </c>
      <c r="B628" s="5" t="n">
        <v>2</v>
      </c>
      <c r="C628" s="5" t="n">
        <f>DAY(DATE('Assumptions and Catalog'!$C$24+A628-1,B628+1,0))</f>
        <v>28</v>
      </c>
      <c r="D628" s="5" t="n">
        <f>IF(ISNUMBER(Inputs!$L$5),Inputs!$L$5*Inputs!$L$6,0)</f>
        <v>40.35</v>
      </c>
      <c r="E628" s="5" t="n">
        <f>IF(ISNUMBER(Inputs!$L$5),Inputs!$L$5-D628,0)</f>
        <v>40.35</v>
      </c>
      <c r="F628" s="5" t="n">
        <f>D$51*'Assumptions and Catalog'!$C$31*C628*(1-'Assumptions and Catalog'!$C$10)^(A628-1)</f>
        <v>0</v>
      </c>
      <c r="G628" s="5" t="n">
        <f>MIN(F628,D628*C628)</f>
        <v>0</v>
      </c>
      <c r="H628" s="5" t="n">
        <f>I628/('Assumptions and Catalog'!$C$11*'Assumptions and Catalog'!$C$12)</f>
        <v>0</v>
      </c>
      <c r="I628" s="5" t="n">
        <f>IF(K$15="Grid cycle",MIN(K$16,D628+E628,P628*'Assumptions and Catalog'!$C$12,D$57*(24-'Assumptions and Catalog'!$C$15),D$56*'Assumptions and Catalog'!$C$15*'Assumptions and Catalog'!$C$11*'Assumptions and Catalog'!$C$12)*C628,0)</f>
        <v>0</v>
      </c>
      <c r="J628" s="5" t="n">
        <f>MAX(F628-G628-0,0)</f>
        <v>0</v>
      </c>
      <c r="K628" s="5" t="n">
        <f>H628-I628</f>
        <v>0</v>
      </c>
      <c r="L628" s="5" t="n">
        <f>(D628+E628)*C628-G628-I628+H628+IF(D$52&gt;0,'Assumptions and Catalog'!$C$26*C628,0)</f>
        <v>2259.6</v>
      </c>
      <c r="M628" s="5" t="n">
        <f>IF(ISNUMBER(Inputs!$L$5),(IF(Inputs!$L$9="Actual flat rate",((D628+E628)*C628)*Inputs!$L$10,IF(Inputs!$C$9="Residential",IF(((D628+E628)*C628)&lt;='Assumptions and Catalog'!$C$50,((D628+E628)*C628)*'Assumptions and Catalog'!$H$50+'Assumptions and Catalog'!$E$50+'Assumptions and Catalog'!$F$50,IF(((D628+E628)*C628)&lt;='Assumptions and Catalog'!$C$51,((D628+E628)*C628)*'Assumptions and Catalog'!$H$51+'Assumptions and Catalog'!$E$51+'Assumptions and Catalog'!$F$51,IF(((D628+E628)*C628)&lt;='Assumptions and Catalog'!$C$52,((D628+E628)*C628)*'Assumptions and Catalog'!$H$52+'Assumptions and Catalog'!$E$52+'Assumptions and Catalog'!$F$52,IF(((D628+E628)*C628)&lt;='Assumptions and Catalog'!$C$53,((D628+E628)*C628)*'Assumptions and Catalog'!$H$53+'Assumptions and Catalog'!$E$53+'Assumptions and Catalog'!$F$53,IF(((D628+E628)*C628)&lt;='Assumptions and Catalog'!$C$54,((D628+E628)*C628)*'Assumptions and Catalog'!$H$54+'Assumptions and Catalog'!$E$54+'Assumptions and Catalog'!$F$54,IF(((D628+E628)*C628)&lt;='Assumptions and Catalog'!$C$55,((D628+E628)*C628)*'Assumptions and Catalog'!$H$55+'Assumptions and Catalog'!$E$55+'Assumptions and Catalog'!$F$55,IF(((D628+E628)*C628)&lt;='Assumptions and Catalog'!$C$56,((D628+E628)*C628)*'Assumptions and Catalog'!$H$56+'Assumptions and Catalog'!$E$56+'Assumptions and Catalog'!$F$56,IF(((D628+E628)*C628)&lt;='Assumptions and Catalog'!$C$57,((D628+E628)*C628)*'Assumptions and Catalog'!$H$57+'Assumptions and Catalog'!$E$57+'Assumptions and Catalog'!$F$57,"Out of range")))))))),IF(((D628+E628)*C628)&lt;='Assumptions and Catalog'!$C$60,((D628+E628)*C628)*'Assumptions and Catalog'!$H$60+'Assumptions and Catalog'!$E$60+'Assumptions and Catalog'!$F$60,IF(((D628+E628)*C628)&lt;='Assumptions and Catalog'!$C$61,((D628+E628)*C628)*'Assumptions and Catalog'!$H$61+'Assumptions and Catalog'!$E$61+'Assumptions and Catalog'!$F$61,IF(((D628+E628)*C628)&lt;='Assumptions and Catalog'!$C$62,((D628+E628)*C628)*'Assumptions and Catalog'!$H$62+'Assumptions and Catalog'!$E$62+'Assumptions and Catalog'!$F$62,IF(((D628+E628)*C628)&lt;='Assumptions and Catalog'!$C$63,((D628+E628)*C628)*'Assumptions and Catalog'!$H$63+'Assumptions and Catalog'!$E$63+'Assumptions and Catalog'!$F$63,IF(((D628+E628)*C628)&lt;='Assumptions and Catalog'!$C$64,((D628+E628)*C628)*'Assumptions and Catalog'!$H$64+'Assumptions and Catalog'!$E$64+'Assumptions and Catalog'!$F$64,IF(((D628+E628)*C628)&lt;='Assumptions and Catalog'!$C$65,((D628+E628)*C628)*'Assumptions and Catalog'!$H$65+'Assumptions and Catalog'!$E$65+'Assumptions and Catalog'!$F$65,"Out of range")))))))))*(1+'Assumptions and Catalog'!$C$8)^(A628-1),0)</f>
        <v>6412.072</v>
      </c>
      <c r="N628" s="5" t="n">
        <f>IF(ISNUMBER(Inputs!$L$5),(IF(Inputs!$L$9="Actual flat rate",L628*Inputs!$L$10,IF(Inputs!$C$9="Residential",IF(L628&lt;='Assumptions and Catalog'!$C$50,L628*'Assumptions and Catalog'!$H$50+'Assumptions and Catalog'!$E$50+'Assumptions and Catalog'!$F$50,IF(L628&lt;='Assumptions and Catalog'!$C$51,L628*'Assumptions and Catalog'!$H$51+'Assumptions and Catalog'!$E$51+'Assumptions and Catalog'!$F$51,IF(L628&lt;='Assumptions and Catalog'!$C$52,L628*'Assumptions and Catalog'!$H$52+'Assumptions and Catalog'!$E$52+'Assumptions and Catalog'!$F$52,IF(L628&lt;='Assumptions and Catalog'!$C$53,L628*'Assumptions and Catalog'!$H$53+'Assumptions and Catalog'!$E$53+'Assumptions and Catalog'!$F$53,IF(L628&lt;='Assumptions and Catalog'!$C$54,L628*'Assumptions and Catalog'!$H$54+'Assumptions and Catalog'!$E$54+'Assumptions and Catalog'!$F$54,IF(L628&lt;='Assumptions and Catalog'!$C$55,L628*'Assumptions and Catalog'!$H$55+'Assumptions and Catalog'!$E$55+'Assumptions and Catalog'!$F$55,IF(L628&lt;='Assumptions and Catalog'!$C$56,L628*'Assumptions and Catalog'!$H$56+'Assumptions and Catalog'!$E$56+'Assumptions and Catalog'!$F$56,IF(L628&lt;='Assumptions and Catalog'!$C$57,L628*'Assumptions and Catalog'!$H$57+'Assumptions and Catalog'!$E$57+'Assumptions and Catalog'!$F$57,"Out of range")))))))),IF(L628&lt;='Assumptions and Catalog'!$C$60,L628*'Assumptions and Catalog'!$H$60+'Assumptions and Catalog'!$E$60+'Assumptions and Catalog'!$F$60,IF(L628&lt;='Assumptions and Catalog'!$C$61,L628*'Assumptions and Catalog'!$H$61+'Assumptions and Catalog'!$E$61+'Assumptions and Catalog'!$F$61,IF(L628&lt;='Assumptions and Catalog'!$C$62,L628*'Assumptions and Catalog'!$H$62+'Assumptions and Catalog'!$E$62+'Assumptions and Catalog'!$F$62,IF(L628&lt;='Assumptions and Catalog'!$C$63,L628*'Assumptions and Catalog'!$H$63+'Assumptions and Catalog'!$E$63+'Assumptions and Catalog'!$F$63,IF(L628&lt;='Assumptions and Catalog'!$C$64,L628*'Assumptions and Catalog'!$H$64+'Assumptions and Catalog'!$E$64+'Assumptions and Catalog'!$F$64,IF(L628&lt;='Assumptions and Catalog'!$C$65,L628*'Assumptions and Catalog'!$H$65+'Assumptions and Catalog'!$E$65+'Assumptions and Catalog'!$F$65,"Out of range")))))))))*(1+'Assumptions and Catalog'!$C$8)^(A628-1),0)</f>
        <v>6412.072</v>
      </c>
      <c r="O628" s="5" t="n">
        <f>M628-N628</f>
        <v>0</v>
      </c>
      <c r="P628" s="5" t="n">
        <f>D$55*(1-K$14)*(1-'Assumptions and Catalog'!$C$23)^R628</f>
        <v>0</v>
      </c>
      <c r="Q628" s="5" t="n">
        <f>IF(ISNUMBER(Inputs!$L$5),(IF(Inputs!$L$9="Actual flat rate",((D628+E628)*C628-G628)*Inputs!$L$10,IF(Inputs!$C$9="Residential",IF(((D628+E628)*C628-G628)&lt;='Assumptions and Catalog'!$C$50,((D628+E628)*C628-G628)*'Assumptions and Catalog'!$H$50+'Assumptions and Catalog'!$E$50+'Assumptions and Catalog'!$F$50,IF(((D628+E628)*C628-G628)&lt;='Assumptions and Catalog'!$C$51,((D628+E628)*C628-G628)*'Assumptions and Catalog'!$H$51+'Assumptions and Catalog'!$E$51+'Assumptions and Catalog'!$F$51,IF(((D628+E628)*C628-G628)&lt;='Assumptions and Catalog'!$C$52,((D628+E628)*C628-G628)*'Assumptions and Catalog'!$H$52+'Assumptions and Catalog'!$E$52+'Assumptions and Catalog'!$F$52,IF(((D628+E628)*C628-G628)&lt;='Assumptions and Catalog'!$C$53,((D628+E628)*C628-G628)*'Assumptions and Catalog'!$H$53+'Assumptions and Catalog'!$E$53+'Assumptions and Catalog'!$F$53,IF(((D628+E628)*C628-G628)&lt;='Assumptions and Catalog'!$C$54,((D628+E628)*C628-G628)*'Assumptions and Catalog'!$H$54+'Assumptions and Catalog'!$E$54+'Assumptions and Catalog'!$F$54,IF(((D628+E628)*C628-G628)&lt;='Assumptions and Catalog'!$C$55,((D628+E628)*C628-G628)*'Assumptions and Catalog'!$H$55+'Assumptions and Catalog'!$E$55+'Assumptions and Catalog'!$F$55,IF(((D628+E628)*C628-G628)&lt;='Assumptions and Catalog'!$C$56,((D628+E628)*C628-G628)*'Assumptions and Catalog'!$H$56+'Assumptions and Catalog'!$E$56+'Assumptions and Catalog'!$F$56,IF(((D628+E628)*C628-G628)&lt;='Assumptions and Catalog'!$C$57,((D628+E628)*C628-G628)*'Assumptions and Catalog'!$H$57+'Assumptions and Catalog'!$E$57+'Assumptions and Catalog'!$F$57,"Out of range")))))))),IF(((D628+E628)*C628-G628)&lt;='Assumptions and Catalog'!$C$60,((D628+E628)*C628-G628)*'Assumptions and Catalog'!$H$60+'Assumptions and Catalog'!$E$60+'Assumptions and Catalog'!$F$60,IF(((D628+E628)*C628-G628)&lt;='Assumptions and Catalog'!$C$61,((D628+E628)*C628-G628)*'Assumptions and Catalog'!$H$61+'Assumptions and Catalog'!$E$61+'Assumptions and Catalog'!$F$61,IF(((D628+E628)*C628-G628)&lt;='Assumptions and Catalog'!$C$62,((D628+E628)*C628-G628)*'Assumptions and Catalog'!$H$62+'Assumptions and Catalog'!$E$62+'Assumptions and Catalog'!$F$62,IF(((D628+E628)*C628-G628)&lt;='Assumptions and Catalog'!$C$63,((D628+E628)*C628-G628)*'Assumptions and Catalog'!$H$63+'Assumptions and Catalog'!$E$63+'Assumptions and Catalog'!$F$63,IF(((D628+E628)*C628-G628)&lt;='Assumptions and Catalog'!$C$64,((D628+E628)*C628-G628)*'Assumptions and Catalog'!$H$64+'Assumptions and Catalog'!$E$64+'Assumptions and Catalog'!$F$64,IF(((D628+E628)*C628-G628)&lt;='Assumptions and Catalog'!$C$65,((D628+E628)*C628-G628)*'Assumptions and Catalog'!$H$65+'Assumptions and Catalog'!$E$65+'Assumptions and Catalog'!$F$65,"Out of range")))))))))*(1+'Assumptions and Catalog'!$C$8)^(A628-1),0)</f>
        <v>6412.072</v>
      </c>
      <c r="R628" s="5" t="n">
        <f>IF(AND('Assumptions and Catalog'!$C$19&gt;0,A628&gt;='Assumptions and Catalog'!$C$19),A628-'Assumptions and Catalog'!$C$19,A628-1)</f>
        <v>8</v>
      </c>
      <c r="S628" s="5" t="n">
        <f>F628+L628-(D628+E628)*C628-J628-K628-IF(D$52&gt;0,'Assumptions and Catalog'!$C$26*C628,0)</f>
        <v>0</v>
      </c>
      <c r="T628" s="5"/>
      <c r="U628" s="5"/>
    </row>
    <row r="629" ht="23.100000381469727" customHeight="1">
      <c r="A629" s="5" t="n">
        <v>19</v>
      </c>
      <c r="B629" s="5" t="n">
        <v>3</v>
      </c>
      <c r="C629" s="5" t="n">
        <f>DAY(DATE('Assumptions and Catalog'!$C$24+A629-1,B629+1,0))</f>
        <v>31</v>
      </c>
      <c r="D629" s="5" t="n">
        <f>IF(ISNUMBER(Inputs!$L$5),Inputs!$L$5*Inputs!$L$6,0)</f>
        <v>40.35</v>
      </c>
      <c r="E629" s="5" t="n">
        <f>IF(ISNUMBER(Inputs!$L$5),Inputs!$L$5-D629,0)</f>
        <v>40.35</v>
      </c>
      <c r="F629" s="5" t="n">
        <f>D$51*'Assumptions and Catalog'!$C$31*C629*(1-'Assumptions and Catalog'!$C$10)^(A629-1)</f>
        <v>0</v>
      </c>
      <c r="G629" s="5" t="n">
        <f>MIN(F629,D629*C629)</f>
        <v>0</v>
      </c>
      <c r="H629" s="5" t="n">
        <f>I629/('Assumptions and Catalog'!$C$11*'Assumptions and Catalog'!$C$12)</f>
        <v>0</v>
      </c>
      <c r="I629" s="5" t="n">
        <f>IF(K$15="Grid cycle",MIN(K$16,D629+E629,P629*'Assumptions and Catalog'!$C$12,D$57*(24-'Assumptions and Catalog'!$C$15),D$56*'Assumptions and Catalog'!$C$15*'Assumptions and Catalog'!$C$11*'Assumptions and Catalog'!$C$12)*C629,0)</f>
        <v>0</v>
      </c>
      <c r="J629" s="5" t="n">
        <f>MAX(F629-G629-0,0)</f>
        <v>0</v>
      </c>
      <c r="K629" s="5" t="n">
        <f>H629-I629</f>
        <v>0</v>
      </c>
      <c r="L629" s="5" t="n">
        <f>(D629+E629)*C629-G629-I629+H629+IF(D$52&gt;0,'Assumptions and Catalog'!$C$26*C629,0)</f>
        <v>2501.7</v>
      </c>
      <c r="M629" s="5" t="n">
        <f>IF(ISNUMBER(Inputs!$L$5),(IF(Inputs!$L$9="Actual flat rate",((D629+E629)*C629)*Inputs!$L$10,IF(Inputs!$C$9="Residential",IF(((D629+E629)*C629)&lt;='Assumptions and Catalog'!$C$50,((D629+E629)*C629)*'Assumptions and Catalog'!$H$50+'Assumptions and Catalog'!$E$50+'Assumptions and Catalog'!$F$50,IF(((D629+E629)*C629)&lt;='Assumptions and Catalog'!$C$51,((D629+E629)*C629)*'Assumptions and Catalog'!$H$51+'Assumptions and Catalog'!$E$51+'Assumptions and Catalog'!$F$51,IF(((D629+E629)*C629)&lt;='Assumptions and Catalog'!$C$52,((D629+E629)*C629)*'Assumptions and Catalog'!$H$52+'Assumptions and Catalog'!$E$52+'Assumptions and Catalog'!$F$52,IF(((D629+E629)*C629)&lt;='Assumptions and Catalog'!$C$53,((D629+E629)*C629)*'Assumptions and Catalog'!$H$53+'Assumptions and Catalog'!$E$53+'Assumptions and Catalog'!$F$53,IF(((D629+E629)*C629)&lt;='Assumptions and Catalog'!$C$54,((D629+E629)*C629)*'Assumptions and Catalog'!$H$54+'Assumptions and Catalog'!$E$54+'Assumptions and Catalog'!$F$54,IF(((D629+E629)*C629)&lt;='Assumptions and Catalog'!$C$55,((D629+E629)*C629)*'Assumptions and Catalog'!$H$55+'Assumptions and Catalog'!$E$55+'Assumptions and Catalog'!$F$55,IF(((D629+E629)*C629)&lt;='Assumptions and Catalog'!$C$56,((D629+E629)*C629)*'Assumptions and Catalog'!$H$56+'Assumptions and Catalog'!$E$56+'Assumptions and Catalog'!$F$56,IF(((D629+E629)*C629)&lt;='Assumptions and Catalog'!$C$57,((D629+E629)*C629)*'Assumptions and Catalog'!$H$57+'Assumptions and Catalog'!$E$57+'Assumptions and Catalog'!$F$57,"Out of range")))))))),IF(((D629+E629)*C629)&lt;='Assumptions and Catalog'!$C$60,((D629+E629)*C629)*'Assumptions and Catalog'!$H$60+'Assumptions and Catalog'!$E$60+'Assumptions and Catalog'!$F$60,IF(((D629+E629)*C629)&lt;='Assumptions and Catalog'!$C$61,((D629+E629)*C629)*'Assumptions and Catalog'!$H$61+'Assumptions and Catalog'!$E$61+'Assumptions and Catalog'!$F$61,IF(((D629+E629)*C629)&lt;='Assumptions and Catalog'!$C$62,((D629+E629)*C629)*'Assumptions and Catalog'!$H$62+'Assumptions and Catalog'!$E$62+'Assumptions and Catalog'!$F$62,IF(((D629+E629)*C629)&lt;='Assumptions and Catalog'!$C$63,((D629+E629)*C629)*'Assumptions and Catalog'!$H$63+'Assumptions and Catalog'!$E$63+'Assumptions and Catalog'!$F$63,IF(((D629+E629)*C629)&lt;='Assumptions and Catalog'!$C$64,((D629+E629)*C629)*'Assumptions and Catalog'!$H$64+'Assumptions and Catalog'!$E$64+'Assumptions and Catalog'!$F$64,IF(((D629+E629)*C629)&lt;='Assumptions and Catalog'!$C$65,((D629+E629)*C629)*'Assumptions and Catalog'!$H$65+'Assumptions and Catalog'!$E$65+'Assumptions and Catalog'!$F$65,"Out of range")))))))))*(1+'Assumptions and Catalog'!$C$8)^(A629-1),0)</f>
        <v>7094.794</v>
      </c>
      <c r="N629" s="5" t="n">
        <f>IF(ISNUMBER(Inputs!$L$5),(IF(Inputs!$L$9="Actual flat rate",L629*Inputs!$L$10,IF(Inputs!$C$9="Residential",IF(L629&lt;='Assumptions and Catalog'!$C$50,L629*'Assumptions and Catalog'!$H$50+'Assumptions and Catalog'!$E$50+'Assumptions and Catalog'!$F$50,IF(L629&lt;='Assumptions and Catalog'!$C$51,L629*'Assumptions and Catalog'!$H$51+'Assumptions and Catalog'!$E$51+'Assumptions and Catalog'!$F$51,IF(L629&lt;='Assumptions and Catalog'!$C$52,L629*'Assumptions and Catalog'!$H$52+'Assumptions and Catalog'!$E$52+'Assumptions and Catalog'!$F$52,IF(L629&lt;='Assumptions and Catalog'!$C$53,L629*'Assumptions and Catalog'!$H$53+'Assumptions and Catalog'!$E$53+'Assumptions and Catalog'!$F$53,IF(L629&lt;='Assumptions and Catalog'!$C$54,L629*'Assumptions and Catalog'!$H$54+'Assumptions and Catalog'!$E$54+'Assumptions and Catalog'!$F$54,IF(L629&lt;='Assumptions and Catalog'!$C$55,L629*'Assumptions and Catalog'!$H$55+'Assumptions and Catalog'!$E$55+'Assumptions and Catalog'!$F$55,IF(L629&lt;='Assumptions and Catalog'!$C$56,L629*'Assumptions and Catalog'!$H$56+'Assumptions and Catalog'!$E$56+'Assumptions and Catalog'!$F$56,IF(L629&lt;='Assumptions and Catalog'!$C$57,L629*'Assumptions and Catalog'!$H$57+'Assumptions and Catalog'!$E$57+'Assumptions and Catalog'!$F$57,"Out of range")))))))),IF(L629&lt;='Assumptions and Catalog'!$C$60,L629*'Assumptions and Catalog'!$H$60+'Assumptions and Catalog'!$E$60+'Assumptions and Catalog'!$F$60,IF(L629&lt;='Assumptions and Catalog'!$C$61,L629*'Assumptions and Catalog'!$H$61+'Assumptions and Catalog'!$E$61+'Assumptions and Catalog'!$F$61,IF(L629&lt;='Assumptions and Catalog'!$C$62,L629*'Assumptions and Catalog'!$H$62+'Assumptions and Catalog'!$E$62+'Assumptions and Catalog'!$F$62,IF(L629&lt;='Assumptions and Catalog'!$C$63,L629*'Assumptions and Catalog'!$H$63+'Assumptions and Catalog'!$E$63+'Assumptions and Catalog'!$F$63,IF(L629&lt;='Assumptions and Catalog'!$C$64,L629*'Assumptions and Catalog'!$H$64+'Assumptions and Catalog'!$E$64+'Assumptions and Catalog'!$F$64,IF(L629&lt;='Assumptions and Catalog'!$C$65,L629*'Assumptions and Catalog'!$H$65+'Assumptions and Catalog'!$E$65+'Assumptions and Catalog'!$F$65,"Out of range")))))))))*(1+'Assumptions and Catalog'!$C$8)^(A629-1),0)</f>
        <v>7094.794</v>
      </c>
      <c r="O629" s="5" t="n">
        <f>M629-N629</f>
        <v>0</v>
      </c>
      <c r="P629" s="5" t="n">
        <f>D$55*(1-K$14)*(1-'Assumptions and Catalog'!$C$23)^R629</f>
        <v>0</v>
      </c>
      <c r="Q629" s="5" t="n">
        <f>IF(ISNUMBER(Inputs!$L$5),(IF(Inputs!$L$9="Actual flat rate",((D629+E629)*C629-G629)*Inputs!$L$10,IF(Inputs!$C$9="Residential",IF(((D629+E629)*C629-G629)&lt;='Assumptions and Catalog'!$C$50,((D629+E629)*C629-G629)*'Assumptions and Catalog'!$H$50+'Assumptions and Catalog'!$E$50+'Assumptions and Catalog'!$F$50,IF(((D629+E629)*C629-G629)&lt;='Assumptions and Catalog'!$C$51,((D629+E629)*C629-G629)*'Assumptions and Catalog'!$H$51+'Assumptions and Catalog'!$E$51+'Assumptions and Catalog'!$F$51,IF(((D629+E629)*C629-G629)&lt;='Assumptions and Catalog'!$C$52,((D629+E629)*C629-G629)*'Assumptions and Catalog'!$H$52+'Assumptions and Catalog'!$E$52+'Assumptions and Catalog'!$F$52,IF(((D629+E629)*C629-G629)&lt;='Assumptions and Catalog'!$C$53,((D629+E629)*C629-G629)*'Assumptions and Catalog'!$H$53+'Assumptions and Catalog'!$E$53+'Assumptions and Catalog'!$F$53,IF(((D629+E629)*C629-G629)&lt;='Assumptions and Catalog'!$C$54,((D629+E629)*C629-G629)*'Assumptions and Catalog'!$H$54+'Assumptions and Catalog'!$E$54+'Assumptions and Catalog'!$F$54,IF(((D629+E629)*C629-G629)&lt;='Assumptions and Catalog'!$C$55,((D629+E629)*C629-G629)*'Assumptions and Catalog'!$H$55+'Assumptions and Catalog'!$E$55+'Assumptions and Catalog'!$F$55,IF(((D629+E629)*C629-G629)&lt;='Assumptions and Catalog'!$C$56,((D629+E629)*C629-G629)*'Assumptions and Catalog'!$H$56+'Assumptions and Catalog'!$E$56+'Assumptions and Catalog'!$F$56,IF(((D629+E629)*C629-G629)&lt;='Assumptions and Catalog'!$C$57,((D629+E629)*C629-G629)*'Assumptions and Catalog'!$H$57+'Assumptions and Catalog'!$E$57+'Assumptions and Catalog'!$F$57,"Out of range")))))))),IF(((D629+E629)*C629-G629)&lt;='Assumptions and Catalog'!$C$60,((D629+E629)*C629-G629)*'Assumptions and Catalog'!$H$60+'Assumptions and Catalog'!$E$60+'Assumptions and Catalog'!$F$60,IF(((D629+E629)*C629-G629)&lt;='Assumptions and Catalog'!$C$61,((D629+E629)*C629-G629)*'Assumptions and Catalog'!$H$61+'Assumptions and Catalog'!$E$61+'Assumptions and Catalog'!$F$61,IF(((D629+E629)*C629-G629)&lt;='Assumptions and Catalog'!$C$62,((D629+E629)*C629-G629)*'Assumptions and Catalog'!$H$62+'Assumptions and Catalog'!$E$62+'Assumptions and Catalog'!$F$62,IF(((D629+E629)*C629-G629)&lt;='Assumptions and Catalog'!$C$63,((D629+E629)*C629-G629)*'Assumptions and Catalog'!$H$63+'Assumptions and Catalog'!$E$63+'Assumptions and Catalog'!$F$63,IF(((D629+E629)*C629-G629)&lt;='Assumptions and Catalog'!$C$64,((D629+E629)*C629-G629)*'Assumptions and Catalog'!$H$64+'Assumptions and Catalog'!$E$64+'Assumptions and Catalog'!$F$64,IF(((D629+E629)*C629-G629)&lt;='Assumptions and Catalog'!$C$65,((D629+E629)*C629-G629)*'Assumptions and Catalog'!$H$65+'Assumptions and Catalog'!$E$65+'Assumptions and Catalog'!$F$65,"Out of range")))))))))*(1+'Assumptions and Catalog'!$C$8)^(A629-1),0)</f>
        <v>7094.794</v>
      </c>
      <c r="R629" s="5" t="n">
        <f>IF(AND('Assumptions and Catalog'!$C$19&gt;0,A629&gt;='Assumptions and Catalog'!$C$19),A629-'Assumptions and Catalog'!$C$19,A629-1)</f>
        <v>8</v>
      </c>
      <c r="S629" s="5" t="n">
        <f>F629+L629-(D629+E629)*C629-J629-K629-IF(D$52&gt;0,'Assumptions and Catalog'!$C$26*C629,0)</f>
        <v>0</v>
      </c>
      <c r="T629" s="5"/>
      <c r="U629" s="5"/>
    </row>
    <row r="630" ht="23.100000381469727" customHeight="1">
      <c r="A630" s="5" t="n">
        <v>19</v>
      </c>
      <c r="B630" s="5" t="n">
        <v>4</v>
      </c>
      <c r="C630" s="5" t="n">
        <f>DAY(DATE('Assumptions and Catalog'!$C$24+A630-1,B630+1,0))</f>
        <v>30</v>
      </c>
      <c r="D630" s="5" t="n">
        <f>IF(ISNUMBER(Inputs!$L$5),Inputs!$L$5*Inputs!$L$6,0)</f>
        <v>40.35</v>
      </c>
      <c r="E630" s="5" t="n">
        <f>IF(ISNUMBER(Inputs!$L$5),Inputs!$L$5-D630,0)</f>
        <v>40.35</v>
      </c>
      <c r="F630" s="5" t="n">
        <f>D$51*'Assumptions and Catalog'!$C$31*C630*(1-'Assumptions and Catalog'!$C$10)^(A630-1)</f>
        <v>0</v>
      </c>
      <c r="G630" s="5" t="n">
        <f>MIN(F630,D630*C630)</f>
        <v>0</v>
      </c>
      <c r="H630" s="5" t="n">
        <f>I630/('Assumptions and Catalog'!$C$11*'Assumptions and Catalog'!$C$12)</f>
        <v>0</v>
      </c>
      <c r="I630" s="5" t="n">
        <f>IF(K$15="Grid cycle",MIN(K$16,D630+E630,P630*'Assumptions and Catalog'!$C$12,D$57*(24-'Assumptions and Catalog'!$C$15),D$56*'Assumptions and Catalog'!$C$15*'Assumptions and Catalog'!$C$11*'Assumptions and Catalog'!$C$12)*C630,0)</f>
        <v>0</v>
      </c>
      <c r="J630" s="5" t="n">
        <f>MAX(F630-G630-0,0)</f>
        <v>0</v>
      </c>
      <c r="K630" s="5" t="n">
        <f>H630-I630</f>
        <v>0</v>
      </c>
      <c r="L630" s="5" t="n">
        <f>(D630+E630)*C630-G630-I630+H630+IF(D$52&gt;0,'Assumptions and Catalog'!$C$26*C630,0)</f>
        <v>2421</v>
      </c>
      <c r="M630" s="5" t="n">
        <f>IF(ISNUMBER(Inputs!$L$5),(IF(Inputs!$L$9="Actual flat rate",((D630+E630)*C630)*Inputs!$L$10,IF(Inputs!$C$9="Residential",IF(((D630+E630)*C630)&lt;='Assumptions and Catalog'!$C$50,((D630+E630)*C630)*'Assumptions and Catalog'!$H$50+'Assumptions and Catalog'!$E$50+'Assumptions and Catalog'!$F$50,IF(((D630+E630)*C630)&lt;='Assumptions and Catalog'!$C$51,((D630+E630)*C630)*'Assumptions and Catalog'!$H$51+'Assumptions and Catalog'!$E$51+'Assumptions and Catalog'!$F$51,IF(((D630+E630)*C630)&lt;='Assumptions and Catalog'!$C$52,((D630+E630)*C630)*'Assumptions and Catalog'!$H$52+'Assumptions and Catalog'!$E$52+'Assumptions and Catalog'!$F$52,IF(((D630+E630)*C630)&lt;='Assumptions and Catalog'!$C$53,((D630+E630)*C630)*'Assumptions and Catalog'!$H$53+'Assumptions and Catalog'!$E$53+'Assumptions and Catalog'!$F$53,IF(((D630+E630)*C630)&lt;='Assumptions and Catalog'!$C$54,((D630+E630)*C630)*'Assumptions and Catalog'!$H$54+'Assumptions and Catalog'!$E$54+'Assumptions and Catalog'!$F$54,IF(((D630+E630)*C630)&lt;='Assumptions and Catalog'!$C$55,((D630+E630)*C630)*'Assumptions and Catalog'!$H$55+'Assumptions and Catalog'!$E$55+'Assumptions and Catalog'!$F$55,IF(((D630+E630)*C630)&lt;='Assumptions and Catalog'!$C$56,((D630+E630)*C630)*'Assumptions and Catalog'!$H$56+'Assumptions and Catalog'!$E$56+'Assumptions and Catalog'!$F$56,IF(((D630+E630)*C630)&lt;='Assumptions and Catalog'!$C$57,((D630+E630)*C630)*'Assumptions and Catalog'!$H$57+'Assumptions and Catalog'!$E$57+'Assumptions and Catalog'!$F$57,"Out of range")))))))),IF(((D630+E630)*C630)&lt;='Assumptions and Catalog'!$C$60,((D630+E630)*C630)*'Assumptions and Catalog'!$H$60+'Assumptions and Catalog'!$E$60+'Assumptions and Catalog'!$F$60,IF(((D630+E630)*C630)&lt;='Assumptions and Catalog'!$C$61,((D630+E630)*C630)*'Assumptions and Catalog'!$H$61+'Assumptions and Catalog'!$E$61+'Assumptions and Catalog'!$F$61,IF(((D630+E630)*C630)&lt;='Assumptions and Catalog'!$C$62,((D630+E630)*C630)*'Assumptions and Catalog'!$H$62+'Assumptions and Catalog'!$E$62+'Assumptions and Catalog'!$F$62,IF(((D630+E630)*C630)&lt;='Assumptions and Catalog'!$C$63,((D630+E630)*C630)*'Assumptions and Catalog'!$H$63+'Assumptions and Catalog'!$E$63+'Assumptions and Catalog'!$F$63,IF(((D630+E630)*C630)&lt;='Assumptions and Catalog'!$C$64,((D630+E630)*C630)*'Assumptions and Catalog'!$H$64+'Assumptions and Catalog'!$E$64+'Assumptions and Catalog'!$F$64,IF(((D630+E630)*C630)&lt;='Assumptions and Catalog'!$C$65,((D630+E630)*C630)*'Assumptions and Catalog'!$H$65+'Assumptions and Catalog'!$E$65+'Assumptions and Catalog'!$F$65,"Out of range")))))))))*(1+'Assumptions and Catalog'!$C$8)^(A630-1),0)</f>
        <v>6867.22</v>
      </c>
      <c r="N630" s="5" t="n">
        <f>IF(ISNUMBER(Inputs!$L$5),(IF(Inputs!$L$9="Actual flat rate",L630*Inputs!$L$10,IF(Inputs!$C$9="Residential",IF(L630&lt;='Assumptions and Catalog'!$C$50,L630*'Assumptions and Catalog'!$H$50+'Assumptions and Catalog'!$E$50+'Assumptions and Catalog'!$F$50,IF(L630&lt;='Assumptions and Catalog'!$C$51,L630*'Assumptions and Catalog'!$H$51+'Assumptions and Catalog'!$E$51+'Assumptions and Catalog'!$F$51,IF(L630&lt;='Assumptions and Catalog'!$C$52,L630*'Assumptions and Catalog'!$H$52+'Assumptions and Catalog'!$E$52+'Assumptions and Catalog'!$F$52,IF(L630&lt;='Assumptions and Catalog'!$C$53,L630*'Assumptions and Catalog'!$H$53+'Assumptions and Catalog'!$E$53+'Assumptions and Catalog'!$F$53,IF(L630&lt;='Assumptions and Catalog'!$C$54,L630*'Assumptions and Catalog'!$H$54+'Assumptions and Catalog'!$E$54+'Assumptions and Catalog'!$F$54,IF(L630&lt;='Assumptions and Catalog'!$C$55,L630*'Assumptions and Catalog'!$H$55+'Assumptions and Catalog'!$E$55+'Assumptions and Catalog'!$F$55,IF(L630&lt;='Assumptions and Catalog'!$C$56,L630*'Assumptions and Catalog'!$H$56+'Assumptions and Catalog'!$E$56+'Assumptions and Catalog'!$F$56,IF(L630&lt;='Assumptions and Catalog'!$C$57,L630*'Assumptions and Catalog'!$H$57+'Assumptions and Catalog'!$E$57+'Assumptions and Catalog'!$F$57,"Out of range")))))))),IF(L630&lt;='Assumptions and Catalog'!$C$60,L630*'Assumptions and Catalog'!$H$60+'Assumptions and Catalog'!$E$60+'Assumptions and Catalog'!$F$60,IF(L630&lt;='Assumptions and Catalog'!$C$61,L630*'Assumptions and Catalog'!$H$61+'Assumptions and Catalog'!$E$61+'Assumptions and Catalog'!$F$61,IF(L630&lt;='Assumptions and Catalog'!$C$62,L630*'Assumptions and Catalog'!$H$62+'Assumptions and Catalog'!$E$62+'Assumptions and Catalog'!$F$62,IF(L630&lt;='Assumptions and Catalog'!$C$63,L630*'Assumptions and Catalog'!$H$63+'Assumptions and Catalog'!$E$63+'Assumptions and Catalog'!$F$63,IF(L630&lt;='Assumptions and Catalog'!$C$64,L630*'Assumptions and Catalog'!$H$64+'Assumptions and Catalog'!$E$64+'Assumptions and Catalog'!$F$64,IF(L630&lt;='Assumptions and Catalog'!$C$65,L630*'Assumptions and Catalog'!$H$65+'Assumptions and Catalog'!$E$65+'Assumptions and Catalog'!$F$65,"Out of range")))))))))*(1+'Assumptions and Catalog'!$C$8)^(A630-1),0)</f>
        <v>6867.22</v>
      </c>
      <c r="O630" s="5" t="n">
        <f>M630-N630</f>
        <v>0</v>
      </c>
      <c r="P630" s="5" t="n">
        <f>D$55*(1-K$14)*(1-'Assumptions and Catalog'!$C$23)^R630</f>
        <v>0</v>
      </c>
      <c r="Q630" s="5" t="n">
        <f>IF(ISNUMBER(Inputs!$L$5),(IF(Inputs!$L$9="Actual flat rate",((D630+E630)*C630-G630)*Inputs!$L$10,IF(Inputs!$C$9="Residential",IF(((D630+E630)*C630-G630)&lt;='Assumptions and Catalog'!$C$50,((D630+E630)*C630-G630)*'Assumptions and Catalog'!$H$50+'Assumptions and Catalog'!$E$50+'Assumptions and Catalog'!$F$50,IF(((D630+E630)*C630-G630)&lt;='Assumptions and Catalog'!$C$51,((D630+E630)*C630-G630)*'Assumptions and Catalog'!$H$51+'Assumptions and Catalog'!$E$51+'Assumptions and Catalog'!$F$51,IF(((D630+E630)*C630-G630)&lt;='Assumptions and Catalog'!$C$52,((D630+E630)*C630-G630)*'Assumptions and Catalog'!$H$52+'Assumptions and Catalog'!$E$52+'Assumptions and Catalog'!$F$52,IF(((D630+E630)*C630-G630)&lt;='Assumptions and Catalog'!$C$53,((D630+E630)*C630-G630)*'Assumptions and Catalog'!$H$53+'Assumptions and Catalog'!$E$53+'Assumptions and Catalog'!$F$53,IF(((D630+E630)*C630-G630)&lt;='Assumptions and Catalog'!$C$54,((D630+E630)*C630-G630)*'Assumptions and Catalog'!$H$54+'Assumptions and Catalog'!$E$54+'Assumptions and Catalog'!$F$54,IF(((D630+E630)*C630-G630)&lt;='Assumptions and Catalog'!$C$55,((D630+E630)*C630-G630)*'Assumptions and Catalog'!$H$55+'Assumptions and Catalog'!$E$55+'Assumptions and Catalog'!$F$55,IF(((D630+E630)*C630-G630)&lt;='Assumptions and Catalog'!$C$56,((D630+E630)*C630-G630)*'Assumptions and Catalog'!$H$56+'Assumptions and Catalog'!$E$56+'Assumptions and Catalog'!$F$56,IF(((D630+E630)*C630-G630)&lt;='Assumptions and Catalog'!$C$57,((D630+E630)*C630-G630)*'Assumptions and Catalog'!$H$57+'Assumptions and Catalog'!$E$57+'Assumptions and Catalog'!$F$57,"Out of range")))))))),IF(((D630+E630)*C630-G630)&lt;='Assumptions and Catalog'!$C$60,((D630+E630)*C630-G630)*'Assumptions and Catalog'!$H$60+'Assumptions and Catalog'!$E$60+'Assumptions and Catalog'!$F$60,IF(((D630+E630)*C630-G630)&lt;='Assumptions and Catalog'!$C$61,((D630+E630)*C630-G630)*'Assumptions and Catalog'!$H$61+'Assumptions and Catalog'!$E$61+'Assumptions and Catalog'!$F$61,IF(((D630+E630)*C630-G630)&lt;='Assumptions and Catalog'!$C$62,((D630+E630)*C630-G630)*'Assumptions and Catalog'!$H$62+'Assumptions and Catalog'!$E$62+'Assumptions and Catalog'!$F$62,IF(((D630+E630)*C630-G630)&lt;='Assumptions and Catalog'!$C$63,((D630+E630)*C630-G630)*'Assumptions and Catalog'!$H$63+'Assumptions and Catalog'!$E$63+'Assumptions and Catalog'!$F$63,IF(((D630+E630)*C630-G630)&lt;='Assumptions and Catalog'!$C$64,((D630+E630)*C630-G630)*'Assumptions and Catalog'!$H$64+'Assumptions and Catalog'!$E$64+'Assumptions and Catalog'!$F$64,IF(((D630+E630)*C630-G630)&lt;='Assumptions and Catalog'!$C$65,((D630+E630)*C630-G630)*'Assumptions and Catalog'!$H$65+'Assumptions and Catalog'!$E$65+'Assumptions and Catalog'!$F$65,"Out of range")))))))))*(1+'Assumptions and Catalog'!$C$8)^(A630-1),0)</f>
        <v>6867.22</v>
      </c>
      <c r="R630" s="5" t="n">
        <f>IF(AND('Assumptions and Catalog'!$C$19&gt;0,A630&gt;='Assumptions and Catalog'!$C$19),A630-'Assumptions and Catalog'!$C$19,A630-1)</f>
        <v>8</v>
      </c>
      <c r="S630" s="5" t="n">
        <f>F630+L630-(D630+E630)*C630-J630-K630-IF(D$52&gt;0,'Assumptions and Catalog'!$C$26*C630,0)</f>
        <v>0</v>
      </c>
      <c r="T630" s="5"/>
      <c r="U630" s="5"/>
    </row>
    <row r="631" ht="23.100000381469727" customHeight="1">
      <c r="A631" s="5" t="n">
        <v>19</v>
      </c>
      <c r="B631" s="5" t="n">
        <v>5</v>
      </c>
      <c r="C631" s="5" t="n">
        <f>DAY(DATE('Assumptions and Catalog'!$C$24+A631-1,B631+1,0))</f>
        <v>31</v>
      </c>
      <c r="D631" s="5" t="n">
        <f>IF(ISNUMBER(Inputs!$L$5),Inputs!$L$5*Inputs!$L$6,0)</f>
        <v>40.35</v>
      </c>
      <c r="E631" s="5" t="n">
        <f>IF(ISNUMBER(Inputs!$L$5),Inputs!$L$5-D631,0)</f>
        <v>40.35</v>
      </c>
      <c r="F631" s="5" t="n">
        <f>D$51*'Assumptions and Catalog'!$C$31*C631*(1-'Assumptions and Catalog'!$C$10)^(A631-1)</f>
        <v>0</v>
      </c>
      <c r="G631" s="5" t="n">
        <f>MIN(F631,D631*C631)</f>
        <v>0</v>
      </c>
      <c r="H631" s="5" t="n">
        <f>I631/('Assumptions and Catalog'!$C$11*'Assumptions and Catalog'!$C$12)</f>
        <v>0</v>
      </c>
      <c r="I631" s="5" t="n">
        <f>IF(K$15="Grid cycle",MIN(K$16,D631+E631,P631*'Assumptions and Catalog'!$C$12,D$57*(24-'Assumptions and Catalog'!$C$15),D$56*'Assumptions and Catalog'!$C$15*'Assumptions and Catalog'!$C$11*'Assumptions and Catalog'!$C$12)*C631,0)</f>
        <v>0</v>
      </c>
      <c r="J631" s="5" t="n">
        <f>MAX(F631-G631-0,0)</f>
        <v>0</v>
      </c>
      <c r="K631" s="5" t="n">
        <f>H631-I631</f>
        <v>0</v>
      </c>
      <c r="L631" s="5" t="n">
        <f>(D631+E631)*C631-G631-I631+H631+IF(D$52&gt;0,'Assumptions and Catalog'!$C$26*C631,0)</f>
        <v>2501.7</v>
      </c>
      <c r="M631" s="5" t="n">
        <f>IF(ISNUMBER(Inputs!$L$5),(IF(Inputs!$L$9="Actual flat rate",((D631+E631)*C631)*Inputs!$L$10,IF(Inputs!$C$9="Residential",IF(((D631+E631)*C631)&lt;='Assumptions and Catalog'!$C$50,((D631+E631)*C631)*'Assumptions and Catalog'!$H$50+'Assumptions and Catalog'!$E$50+'Assumptions and Catalog'!$F$50,IF(((D631+E631)*C631)&lt;='Assumptions and Catalog'!$C$51,((D631+E631)*C631)*'Assumptions and Catalog'!$H$51+'Assumptions and Catalog'!$E$51+'Assumptions and Catalog'!$F$51,IF(((D631+E631)*C631)&lt;='Assumptions and Catalog'!$C$52,((D631+E631)*C631)*'Assumptions and Catalog'!$H$52+'Assumptions and Catalog'!$E$52+'Assumptions and Catalog'!$F$52,IF(((D631+E631)*C631)&lt;='Assumptions and Catalog'!$C$53,((D631+E631)*C631)*'Assumptions and Catalog'!$H$53+'Assumptions and Catalog'!$E$53+'Assumptions and Catalog'!$F$53,IF(((D631+E631)*C631)&lt;='Assumptions and Catalog'!$C$54,((D631+E631)*C631)*'Assumptions and Catalog'!$H$54+'Assumptions and Catalog'!$E$54+'Assumptions and Catalog'!$F$54,IF(((D631+E631)*C631)&lt;='Assumptions and Catalog'!$C$55,((D631+E631)*C631)*'Assumptions and Catalog'!$H$55+'Assumptions and Catalog'!$E$55+'Assumptions and Catalog'!$F$55,IF(((D631+E631)*C631)&lt;='Assumptions and Catalog'!$C$56,((D631+E631)*C631)*'Assumptions and Catalog'!$H$56+'Assumptions and Catalog'!$E$56+'Assumptions and Catalog'!$F$56,IF(((D631+E631)*C631)&lt;='Assumptions and Catalog'!$C$57,((D631+E631)*C631)*'Assumptions and Catalog'!$H$57+'Assumptions and Catalog'!$E$57+'Assumptions and Catalog'!$F$57,"Out of range")))))))),IF(((D631+E631)*C631)&lt;='Assumptions and Catalog'!$C$60,((D631+E631)*C631)*'Assumptions and Catalog'!$H$60+'Assumptions and Catalog'!$E$60+'Assumptions and Catalog'!$F$60,IF(((D631+E631)*C631)&lt;='Assumptions and Catalog'!$C$61,((D631+E631)*C631)*'Assumptions and Catalog'!$H$61+'Assumptions and Catalog'!$E$61+'Assumptions and Catalog'!$F$61,IF(((D631+E631)*C631)&lt;='Assumptions and Catalog'!$C$62,((D631+E631)*C631)*'Assumptions and Catalog'!$H$62+'Assumptions and Catalog'!$E$62+'Assumptions and Catalog'!$F$62,IF(((D631+E631)*C631)&lt;='Assumptions and Catalog'!$C$63,((D631+E631)*C631)*'Assumptions and Catalog'!$H$63+'Assumptions and Catalog'!$E$63+'Assumptions and Catalog'!$F$63,IF(((D631+E631)*C631)&lt;='Assumptions and Catalog'!$C$64,((D631+E631)*C631)*'Assumptions and Catalog'!$H$64+'Assumptions and Catalog'!$E$64+'Assumptions and Catalog'!$F$64,IF(((D631+E631)*C631)&lt;='Assumptions and Catalog'!$C$65,((D631+E631)*C631)*'Assumptions and Catalog'!$H$65+'Assumptions and Catalog'!$E$65+'Assumptions and Catalog'!$F$65,"Out of range")))))))))*(1+'Assumptions and Catalog'!$C$8)^(A631-1),0)</f>
        <v>7094.794</v>
      </c>
      <c r="N631" s="5" t="n">
        <f>IF(ISNUMBER(Inputs!$L$5),(IF(Inputs!$L$9="Actual flat rate",L631*Inputs!$L$10,IF(Inputs!$C$9="Residential",IF(L631&lt;='Assumptions and Catalog'!$C$50,L631*'Assumptions and Catalog'!$H$50+'Assumptions and Catalog'!$E$50+'Assumptions and Catalog'!$F$50,IF(L631&lt;='Assumptions and Catalog'!$C$51,L631*'Assumptions and Catalog'!$H$51+'Assumptions and Catalog'!$E$51+'Assumptions and Catalog'!$F$51,IF(L631&lt;='Assumptions and Catalog'!$C$52,L631*'Assumptions and Catalog'!$H$52+'Assumptions and Catalog'!$E$52+'Assumptions and Catalog'!$F$52,IF(L631&lt;='Assumptions and Catalog'!$C$53,L631*'Assumptions and Catalog'!$H$53+'Assumptions and Catalog'!$E$53+'Assumptions and Catalog'!$F$53,IF(L631&lt;='Assumptions and Catalog'!$C$54,L631*'Assumptions and Catalog'!$H$54+'Assumptions and Catalog'!$E$54+'Assumptions and Catalog'!$F$54,IF(L631&lt;='Assumptions and Catalog'!$C$55,L631*'Assumptions and Catalog'!$H$55+'Assumptions and Catalog'!$E$55+'Assumptions and Catalog'!$F$55,IF(L631&lt;='Assumptions and Catalog'!$C$56,L631*'Assumptions and Catalog'!$H$56+'Assumptions and Catalog'!$E$56+'Assumptions and Catalog'!$F$56,IF(L631&lt;='Assumptions and Catalog'!$C$57,L631*'Assumptions and Catalog'!$H$57+'Assumptions and Catalog'!$E$57+'Assumptions and Catalog'!$F$57,"Out of range")))))))),IF(L631&lt;='Assumptions and Catalog'!$C$60,L631*'Assumptions and Catalog'!$H$60+'Assumptions and Catalog'!$E$60+'Assumptions and Catalog'!$F$60,IF(L631&lt;='Assumptions and Catalog'!$C$61,L631*'Assumptions and Catalog'!$H$61+'Assumptions and Catalog'!$E$61+'Assumptions and Catalog'!$F$61,IF(L631&lt;='Assumptions and Catalog'!$C$62,L631*'Assumptions and Catalog'!$H$62+'Assumptions and Catalog'!$E$62+'Assumptions and Catalog'!$F$62,IF(L631&lt;='Assumptions and Catalog'!$C$63,L631*'Assumptions and Catalog'!$H$63+'Assumptions and Catalog'!$E$63+'Assumptions and Catalog'!$F$63,IF(L631&lt;='Assumptions and Catalog'!$C$64,L631*'Assumptions and Catalog'!$H$64+'Assumptions and Catalog'!$E$64+'Assumptions and Catalog'!$F$64,IF(L631&lt;='Assumptions and Catalog'!$C$65,L631*'Assumptions and Catalog'!$H$65+'Assumptions and Catalog'!$E$65+'Assumptions and Catalog'!$F$65,"Out of range")))))))))*(1+'Assumptions and Catalog'!$C$8)^(A631-1),0)</f>
        <v>7094.794</v>
      </c>
      <c r="O631" s="5" t="n">
        <f>M631-N631</f>
        <v>0</v>
      </c>
      <c r="P631" s="5" t="n">
        <f>D$55*(1-K$14)*(1-'Assumptions and Catalog'!$C$23)^R631</f>
        <v>0</v>
      </c>
      <c r="Q631" s="5" t="n">
        <f>IF(ISNUMBER(Inputs!$L$5),(IF(Inputs!$L$9="Actual flat rate",((D631+E631)*C631-G631)*Inputs!$L$10,IF(Inputs!$C$9="Residential",IF(((D631+E631)*C631-G631)&lt;='Assumptions and Catalog'!$C$50,((D631+E631)*C631-G631)*'Assumptions and Catalog'!$H$50+'Assumptions and Catalog'!$E$50+'Assumptions and Catalog'!$F$50,IF(((D631+E631)*C631-G631)&lt;='Assumptions and Catalog'!$C$51,((D631+E631)*C631-G631)*'Assumptions and Catalog'!$H$51+'Assumptions and Catalog'!$E$51+'Assumptions and Catalog'!$F$51,IF(((D631+E631)*C631-G631)&lt;='Assumptions and Catalog'!$C$52,((D631+E631)*C631-G631)*'Assumptions and Catalog'!$H$52+'Assumptions and Catalog'!$E$52+'Assumptions and Catalog'!$F$52,IF(((D631+E631)*C631-G631)&lt;='Assumptions and Catalog'!$C$53,((D631+E631)*C631-G631)*'Assumptions and Catalog'!$H$53+'Assumptions and Catalog'!$E$53+'Assumptions and Catalog'!$F$53,IF(((D631+E631)*C631-G631)&lt;='Assumptions and Catalog'!$C$54,((D631+E631)*C631-G631)*'Assumptions and Catalog'!$H$54+'Assumptions and Catalog'!$E$54+'Assumptions and Catalog'!$F$54,IF(((D631+E631)*C631-G631)&lt;='Assumptions and Catalog'!$C$55,((D631+E631)*C631-G631)*'Assumptions and Catalog'!$H$55+'Assumptions and Catalog'!$E$55+'Assumptions and Catalog'!$F$55,IF(((D631+E631)*C631-G631)&lt;='Assumptions and Catalog'!$C$56,((D631+E631)*C631-G631)*'Assumptions and Catalog'!$H$56+'Assumptions and Catalog'!$E$56+'Assumptions and Catalog'!$F$56,IF(((D631+E631)*C631-G631)&lt;='Assumptions and Catalog'!$C$57,((D631+E631)*C631-G631)*'Assumptions and Catalog'!$H$57+'Assumptions and Catalog'!$E$57+'Assumptions and Catalog'!$F$57,"Out of range")))))))),IF(((D631+E631)*C631-G631)&lt;='Assumptions and Catalog'!$C$60,((D631+E631)*C631-G631)*'Assumptions and Catalog'!$H$60+'Assumptions and Catalog'!$E$60+'Assumptions and Catalog'!$F$60,IF(((D631+E631)*C631-G631)&lt;='Assumptions and Catalog'!$C$61,((D631+E631)*C631-G631)*'Assumptions and Catalog'!$H$61+'Assumptions and Catalog'!$E$61+'Assumptions and Catalog'!$F$61,IF(((D631+E631)*C631-G631)&lt;='Assumptions and Catalog'!$C$62,((D631+E631)*C631-G631)*'Assumptions and Catalog'!$H$62+'Assumptions and Catalog'!$E$62+'Assumptions and Catalog'!$F$62,IF(((D631+E631)*C631-G631)&lt;='Assumptions and Catalog'!$C$63,((D631+E631)*C631-G631)*'Assumptions and Catalog'!$H$63+'Assumptions and Catalog'!$E$63+'Assumptions and Catalog'!$F$63,IF(((D631+E631)*C631-G631)&lt;='Assumptions and Catalog'!$C$64,((D631+E631)*C631-G631)*'Assumptions and Catalog'!$H$64+'Assumptions and Catalog'!$E$64+'Assumptions and Catalog'!$F$64,IF(((D631+E631)*C631-G631)&lt;='Assumptions and Catalog'!$C$65,((D631+E631)*C631-G631)*'Assumptions and Catalog'!$H$65+'Assumptions and Catalog'!$E$65+'Assumptions and Catalog'!$F$65,"Out of range")))))))))*(1+'Assumptions and Catalog'!$C$8)^(A631-1),0)</f>
        <v>7094.794</v>
      </c>
      <c r="R631" s="5" t="n">
        <f>IF(AND('Assumptions and Catalog'!$C$19&gt;0,A631&gt;='Assumptions and Catalog'!$C$19),A631-'Assumptions and Catalog'!$C$19,A631-1)</f>
        <v>8</v>
      </c>
      <c r="S631" s="5" t="n">
        <f>F631+L631-(D631+E631)*C631-J631-K631-IF(D$52&gt;0,'Assumptions and Catalog'!$C$26*C631,0)</f>
        <v>0</v>
      </c>
      <c r="T631" s="5"/>
      <c r="U631" s="5"/>
    </row>
    <row r="632" ht="23.100000381469727" customHeight="1">
      <c r="A632" s="5" t="n">
        <v>19</v>
      </c>
      <c r="B632" s="5" t="n">
        <v>6</v>
      </c>
      <c r="C632" s="5" t="n">
        <f>DAY(DATE('Assumptions and Catalog'!$C$24+A632-1,B632+1,0))</f>
        <v>30</v>
      </c>
      <c r="D632" s="5" t="n">
        <f>IF(ISNUMBER(Inputs!$L$5),Inputs!$L$5*Inputs!$L$6,0)</f>
        <v>40.35</v>
      </c>
      <c r="E632" s="5" t="n">
        <f>IF(ISNUMBER(Inputs!$L$5),Inputs!$L$5-D632,0)</f>
        <v>40.35</v>
      </c>
      <c r="F632" s="5" t="n">
        <f>D$51*'Assumptions and Catalog'!$C$31*C632*(1-'Assumptions and Catalog'!$C$10)^(A632-1)</f>
        <v>0</v>
      </c>
      <c r="G632" s="5" t="n">
        <f>MIN(F632,D632*C632)</f>
        <v>0</v>
      </c>
      <c r="H632" s="5" t="n">
        <f>I632/('Assumptions and Catalog'!$C$11*'Assumptions and Catalog'!$C$12)</f>
        <v>0</v>
      </c>
      <c r="I632" s="5" t="n">
        <f>IF(K$15="Grid cycle",MIN(K$16,D632+E632,P632*'Assumptions and Catalog'!$C$12,D$57*(24-'Assumptions and Catalog'!$C$15),D$56*'Assumptions and Catalog'!$C$15*'Assumptions and Catalog'!$C$11*'Assumptions and Catalog'!$C$12)*C632,0)</f>
        <v>0</v>
      </c>
      <c r="J632" s="5" t="n">
        <f>MAX(F632-G632-0,0)</f>
        <v>0</v>
      </c>
      <c r="K632" s="5" t="n">
        <f>H632-I632</f>
        <v>0</v>
      </c>
      <c r="L632" s="5" t="n">
        <f>(D632+E632)*C632-G632-I632+H632+IF(D$52&gt;0,'Assumptions and Catalog'!$C$26*C632,0)</f>
        <v>2421</v>
      </c>
      <c r="M632" s="5" t="n">
        <f>IF(ISNUMBER(Inputs!$L$5),(IF(Inputs!$L$9="Actual flat rate",((D632+E632)*C632)*Inputs!$L$10,IF(Inputs!$C$9="Residential",IF(((D632+E632)*C632)&lt;='Assumptions and Catalog'!$C$50,((D632+E632)*C632)*'Assumptions and Catalog'!$H$50+'Assumptions and Catalog'!$E$50+'Assumptions and Catalog'!$F$50,IF(((D632+E632)*C632)&lt;='Assumptions and Catalog'!$C$51,((D632+E632)*C632)*'Assumptions and Catalog'!$H$51+'Assumptions and Catalog'!$E$51+'Assumptions and Catalog'!$F$51,IF(((D632+E632)*C632)&lt;='Assumptions and Catalog'!$C$52,((D632+E632)*C632)*'Assumptions and Catalog'!$H$52+'Assumptions and Catalog'!$E$52+'Assumptions and Catalog'!$F$52,IF(((D632+E632)*C632)&lt;='Assumptions and Catalog'!$C$53,((D632+E632)*C632)*'Assumptions and Catalog'!$H$53+'Assumptions and Catalog'!$E$53+'Assumptions and Catalog'!$F$53,IF(((D632+E632)*C632)&lt;='Assumptions and Catalog'!$C$54,((D632+E632)*C632)*'Assumptions and Catalog'!$H$54+'Assumptions and Catalog'!$E$54+'Assumptions and Catalog'!$F$54,IF(((D632+E632)*C632)&lt;='Assumptions and Catalog'!$C$55,((D632+E632)*C632)*'Assumptions and Catalog'!$H$55+'Assumptions and Catalog'!$E$55+'Assumptions and Catalog'!$F$55,IF(((D632+E632)*C632)&lt;='Assumptions and Catalog'!$C$56,((D632+E632)*C632)*'Assumptions and Catalog'!$H$56+'Assumptions and Catalog'!$E$56+'Assumptions and Catalog'!$F$56,IF(((D632+E632)*C632)&lt;='Assumptions and Catalog'!$C$57,((D632+E632)*C632)*'Assumptions and Catalog'!$H$57+'Assumptions and Catalog'!$E$57+'Assumptions and Catalog'!$F$57,"Out of range")))))))),IF(((D632+E632)*C632)&lt;='Assumptions and Catalog'!$C$60,((D632+E632)*C632)*'Assumptions and Catalog'!$H$60+'Assumptions and Catalog'!$E$60+'Assumptions and Catalog'!$F$60,IF(((D632+E632)*C632)&lt;='Assumptions and Catalog'!$C$61,((D632+E632)*C632)*'Assumptions and Catalog'!$H$61+'Assumptions and Catalog'!$E$61+'Assumptions and Catalog'!$F$61,IF(((D632+E632)*C632)&lt;='Assumptions and Catalog'!$C$62,((D632+E632)*C632)*'Assumptions and Catalog'!$H$62+'Assumptions and Catalog'!$E$62+'Assumptions and Catalog'!$F$62,IF(((D632+E632)*C632)&lt;='Assumptions and Catalog'!$C$63,((D632+E632)*C632)*'Assumptions and Catalog'!$H$63+'Assumptions and Catalog'!$E$63+'Assumptions and Catalog'!$F$63,IF(((D632+E632)*C632)&lt;='Assumptions and Catalog'!$C$64,((D632+E632)*C632)*'Assumptions and Catalog'!$H$64+'Assumptions and Catalog'!$E$64+'Assumptions and Catalog'!$F$64,IF(((D632+E632)*C632)&lt;='Assumptions and Catalog'!$C$65,((D632+E632)*C632)*'Assumptions and Catalog'!$H$65+'Assumptions and Catalog'!$E$65+'Assumptions and Catalog'!$F$65,"Out of range")))))))))*(1+'Assumptions and Catalog'!$C$8)^(A632-1),0)</f>
        <v>6867.22</v>
      </c>
      <c r="N632" s="5" t="n">
        <f>IF(ISNUMBER(Inputs!$L$5),(IF(Inputs!$L$9="Actual flat rate",L632*Inputs!$L$10,IF(Inputs!$C$9="Residential",IF(L632&lt;='Assumptions and Catalog'!$C$50,L632*'Assumptions and Catalog'!$H$50+'Assumptions and Catalog'!$E$50+'Assumptions and Catalog'!$F$50,IF(L632&lt;='Assumptions and Catalog'!$C$51,L632*'Assumptions and Catalog'!$H$51+'Assumptions and Catalog'!$E$51+'Assumptions and Catalog'!$F$51,IF(L632&lt;='Assumptions and Catalog'!$C$52,L632*'Assumptions and Catalog'!$H$52+'Assumptions and Catalog'!$E$52+'Assumptions and Catalog'!$F$52,IF(L632&lt;='Assumptions and Catalog'!$C$53,L632*'Assumptions and Catalog'!$H$53+'Assumptions and Catalog'!$E$53+'Assumptions and Catalog'!$F$53,IF(L632&lt;='Assumptions and Catalog'!$C$54,L632*'Assumptions and Catalog'!$H$54+'Assumptions and Catalog'!$E$54+'Assumptions and Catalog'!$F$54,IF(L632&lt;='Assumptions and Catalog'!$C$55,L632*'Assumptions and Catalog'!$H$55+'Assumptions and Catalog'!$E$55+'Assumptions and Catalog'!$F$55,IF(L632&lt;='Assumptions and Catalog'!$C$56,L632*'Assumptions and Catalog'!$H$56+'Assumptions and Catalog'!$E$56+'Assumptions and Catalog'!$F$56,IF(L632&lt;='Assumptions and Catalog'!$C$57,L632*'Assumptions and Catalog'!$H$57+'Assumptions and Catalog'!$E$57+'Assumptions and Catalog'!$F$57,"Out of range")))))))),IF(L632&lt;='Assumptions and Catalog'!$C$60,L632*'Assumptions and Catalog'!$H$60+'Assumptions and Catalog'!$E$60+'Assumptions and Catalog'!$F$60,IF(L632&lt;='Assumptions and Catalog'!$C$61,L632*'Assumptions and Catalog'!$H$61+'Assumptions and Catalog'!$E$61+'Assumptions and Catalog'!$F$61,IF(L632&lt;='Assumptions and Catalog'!$C$62,L632*'Assumptions and Catalog'!$H$62+'Assumptions and Catalog'!$E$62+'Assumptions and Catalog'!$F$62,IF(L632&lt;='Assumptions and Catalog'!$C$63,L632*'Assumptions and Catalog'!$H$63+'Assumptions and Catalog'!$E$63+'Assumptions and Catalog'!$F$63,IF(L632&lt;='Assumptions and Catalog'!$C$64,L632*'Assumptions and Catalog'!$H$64+'Assumptions and Catalog'!$E$64+'Assumptions and Catalog'!$F$64,IF(L632&lt;='Assumptions and Catalog'!$C$65,L632*'Assumptions and Catalog'!$H$65+'Assumptions and Catalog'!$E$65+'Assumptions and Catalog'!$F$65,"Out of range")))))))))*(1+'Assumptions and Catalog'!$C$8)^(A632-1),0)</f>
        <v>6867.22</v>
      </c>
      <c r="O632" s="5" t="n">
        <f>M632-N632</f>
        <v>0</v>
      </c>
      <c r="P632" s="5" t="n">
        <f>D$55*(1-K$14)*(1-'Assumptions and Catalog'!$C$23)^R632</f>
        <v>0</v>
      </c>
      <c r="Q632" s="5" t="n">
        <f>IF(ISNUMBER(Inputs!$L$5),(IF(Inputs!$L$9="Actual flat rate",((D632+E632)*C632-G632)*Inputs!$L$10,IF(Inputs!$C$9="Residential",IF(((D632+E632)*C632-G632)&lt;='Assumptions and Catalog'!$C$50,((D632+E632)*C632-G632)*'Assumptions and Catalog'!$H$50+'Assumptions and Catalog'!$E$50+'Assumptions and Catalog'!$F$50,IF(((D632+E632)*C632-G632)&lt;='Assumptions and Catalog'!$C$51,((D632+E632)*C632-G632)*'Assumptions and Catalog'!$H$51+'Assumptions and Catalog'!$E$51+'Assumptions and Catalog'!$F$51,IF(((D632+E632)*C632-G632)&lt;='Assumptions and Catalog'!$C$52,((D632+E632)*C632-G632)*'Assumptions and Catalog'!$H$52+'Assumptions and Catalog'!$E$52+'Assumptions and Catalog'!$F$52,IF(((D632+E632)*C632-G632)&lt;='Assumptions and Catalog'!$C$53,((D632+E632)*C632-G632)*'Assumptions and Catalog'!$H$53+'Assumptions and Catalog'!$E$53+'Assumptions and Catalog'!$F$53,IF(((D632+E632)*C632-G632)&lt;='Assumptions and Catalog'!$C$54,((D632+E632)*C632-G632)*'Assumptions and Catalog'!$H$54+'Assumptions and Catalog'!$E$54+'Assumptions and Catalog'!$F$54,IF(((D632+E632)*C632-G632)&lt;='Assumptions and Catalog'!$C$55,((D632+E632)*C632-G632)*'Assumptions and Catalog'!$H$55+'Assumptions and Catalog'!$E$55+'Assumptions and Catalog'!$F$55,IF(((D632+E632)*C632-G632)&lt;='Assumptions and Catalog'!$C$56,((D632+E632)*C632-G632)*'Assumptions and Catalog'!$H$56+'Assumptions and Catalog'!$E$56+'Assumptions and Catalog'!$F$56,IF(((D632+E632)*C632-G632)&lt;='Assumptions and Catalog'!$C$57,((D632+E632)*C632-G632)*'Assumptions and Catalog'!$H$57+'Assumptions and Catalog'!$E$57+'Assumptions and Catalog'!$F$57,"Out of range")))))))),IF(((D632+E632)*C632-G632)&lt;='Assumptions and Catalog'!$C$60,((D632+E632)*C632-G632)*'Assumptions and Catalog'!$H$60+'Assumptions and Catalog'!$E$60+'Assumptions and Catalog'!$F$60,IF(((D632+E632)*C632-G632)&lt;='Assumptions and Catalog'!$C$61,((D632+E632)*C632-G632)*'Assumptions and Catalog'!$H$61+'Assumptions and Catalog'!$E$61+'Assumptions and Catalog'!$F$61,IF(((D632+E632)*C632-G632)&lt;='Assumptions and Catalog'!$C$62,((D632+E632)*C632-G632)*'Assumptions and Catalog'!$H$62+'Assumptions and Catalog'!$E$62+'Assumptions and Catalog'!$F$62,IF(((D632+E632)*C632-G632)&lt;='Assumptions and Catalog'!$C$63,((D632+E632)*C632-G632)*'Assumptions and Catalog'!$H$63+'Assumptions and Catalog'!$E$63+'Assumptions and Catalog'!$F$63,IF(((D632+E632)*C632-G632)&lt;='Assumptions and Catalog'!$C$64,((D632+E632)*C632-G632)*'Assumptions and Catalog'!$H$64+'Assumptions and Catalog'!$E$64+'Assumptions and Catalog'!$F$64,IF(((D632+E632)*C632-G632)&lt;='Assumptions and Catalog'!$C$65,((D632+E632)*C632-G632)*'Assumptions and Catalog'!$H$65+'Assumptions and Catalog'!$E$65+'Assumptions and Catalog'!$F$65,"Out of range")))))))))*(1+'Assumptions and Catalog'!$C$8)^(A632-1),0)</f>
        <v>6867.22</v>
      </c>
      <c r="R632" s="5" t="n">
        <f>IF(AND('Assumptions and Catalog'!$C$19&gt;0,A632&gt;='Assumptions and Catalog'!$C$19),A632-'Assumptions and Catalog'!$C$19,A632-1)</f>
        <v>8</v>
      </c>
      <c r="S632" s="5" t="n">
        <f>F632+L632-(D632+E632)*C632-J632-K632-IF(D$52&gt;0,'Assumptions and Catalog'!$C$26*C632,0)</f>
        <v>0</v>
      </c>
      <c r="T632" s="5"/>
      <c r="U632" s="5"/>
    </row>
    <row r="633" ht="23.100000381469727" customHeight="1">
      <c r="A633" s="5" t="n">
        <v>19</v>
      </c>
      <c r="B633" s="5" t="n">
        <v>7</v>
      </c>
      <c r="C633" s="5" t="n">
        <f>DAY(DATE('Assumptions and Catalog'!$C$24+A633-1,B633+1,0))</f>
        <v>31</v>
      </c>
      <c r="D633" s="5" t="n">
        <f>IF(ISNUMBER(Inputs!$L$5),Inputs!$L$5*Inputs!$L$6,0)</f>
        <v>40.35</v>
      </c>
      <c r="E633" s="5" t="n">
        <f>IF(ISNUMBER(Inputs!$L$5),Inputs!$L$5-D633,0)</f>
        <v>40.35</v>
      </c>
      <c r="F633" s="5" t="n">
        <f>D$51*'Assumptions and Catalog'!$C$31*C633*(1-'Assumptions and Catalog'!$C$10)^(A633-1)</f>
        <v>0</v>
      </c>
      <c r="G633" s="5" t="n">
        <f>MIN(F633,D633*C633)</f>
        <v>0</v>
      </c>
      <c r="H633" s="5" t="n">
        <f>I633/('Assumptions and Catalog'!$C$11*'Assumptions and Catalog'!$C$12)</f>
        <v>0</v>
      </c>
      <c r="I633" s="5" t="n">
        <f>IF(K$15="Grid cycle",MIN(K$16,D633+E633,P633*'Assumptions and Catalog'!$C$12,D$57*(24-'Assumptions and Catalog'!$C$15),D$56*'Assumptions and Catalog'!$C$15*'Assumptions and Catalog'!$C$11*'Assumptions and Catalog'!$C$12)*C633,0)</f>
        <v>0</v>
      </c>
      <c r="J633" s="5" t="n">
        <f>MAX(F633-G633-0,0)</f>
        <v>0</v>
      </c>
      <c r="K633" s="5" t="n">
        <f>H633-I633</f>
        <v>0</v>
      </c>
      <c r="L633" s="5" t="n">
        <f>(D633+E633)*C633-G633-I633+H633+IF(D$52&gt;0,'Assumptions and Catalog'!$C$26*C633,0)</f>
        <v>2501.7</v>
      </c>
      <c r="M633" s="5" t="n">
        <f>IF(ISNUMBER(Inputs!$L$5),(IF(Inputs!$L$9="Actual flat rate",((D633+E633)*C633)*Inputs!$L$10,IF(Inputs!$C$9="Residential",IF(((D633+E633)*C633)&lt;='Assumptions and Catalog'!$C$50,((D633+E633)*C633)*'Assumptions and Catalog'!$H$50+'Assumptions and Catalog'!$E$50+'Assumptions and Catalog'!$F$50,IF(((D633+E633)*C633)&lt;='Assumptions and Catalog'!$C$51,((D633+E633)*C633)*'Assumptions and Catalog'!$H$51+'Assumptions and Catalog'!$E$51+'Assumptions and Catalog'!$F$51,IF(((D633+E633)*C633)&lt;='Assumptions and Catalog'!$C$52,((D633+E633)*C633)*'Assumptions and Catalog'!$H$52+'Assumptions and Catalog'!$E$52+'Assumptions and Catalog'!$F$52,IF(((D633+E633)*C633)&lt;='Assumptions and Catalog'!$C$53,((D633+E633)*C633)*'Assumptions and Catalog'!$H$53+'Assumptions and Catalog'!$E$53+'Assumptions and Catalog'!$F$53,IF(((D633+E633)*C633)&lt;='Assumptions and Catalog'!$C$54,((D633+E633)*C633)*'Assumptions and Catalog'!$H$54+'Assumptions and Catalog'!$E$54+'Assumptions and Catalog'!$F$54,IF(((D633+E633)*C633)&lt;='Assumptions and Catalog'!$C$55,((D633+E633)*C633)*'Assumptions and Catalog'!$H$55+'Assumptions and Catalog'!$E$55+'Assumptions and Catalog'!$F$55,IF(((D633+E633)*C633)&lt;='Assumptions and Catalog'!$C$56,((D633+E633)*C633)*'Assumptions and Catalog'!$H$56+'Assumptions and Catalog'!$E$56+'Assumptions and Catalog'!$F$56,IF(((D633+E633)*C633)&lt;='Assumptions and Catalog'!$C$57,((D633+E633)*C633)*'Assumptions and Catalog'!$H$57+'Assumptions and Catalog'!$E$57+'Assumptions and Catalog'!$F$57,"Out of range")))))))),IF(((D633+E633)*C633)&lt;='Assumptions and Catalog'!$C$60,((D633+E633)*C633)*'Assumptions and Catalog'!$H$60+'Assumptions and Catalog'!$E$60+'Assumptions and Catalog'!$F$60,IF(((D633+E633)*C633)&lt;='Assumptions and Catalog'!$C$61,((D633+E633)*C633)*'Assumptions and Catalog'!$H$61+'Assumptions and Catalog'!$E$61+'Assumptions and Catalog'!$F$61,IF(((D633+E633)*C633)&lt;='Assumptions and Catalog'!$C$62,((D633+E633)*C633)*'Assumptions and Catalog'!$H$62+'Assumptions and Catalog'!$E$62+'Assumptions and Catalog'!$F$62,IF(((D633+E633)*C633)&lt;='Assumptions and Catalog'!$C$63,((D633+E633)*C633)*'Assumptions and Catalog'!$H$63+'Assumptions and Catalog'!$E$63+'Assumptions and Catalog'!$F$63,IF(((D633+E633)*C633)&lt;='Assumptions and Catalog'!$C$64,((D633+E633)*C633)*'Assumptions and Catalog'!$H$64+'Assumptions and Catalog'!$E$64+'Assumptions and Catalog'!$F$64,IF(((D633+E633)*C633)&lt;='Assumptions and Catalog'!$C$65,((D633+E633)*C633)*'Assumptions and Catalog'!$H$65+'Assumptions and Catalog'!$E$65+'Assumptions and Catalog'!$F$65,"Out of range")))))))))*(1+'Assumptions and Catalog'!$C$8)^(A633-1),0)</f>
        <v>7094.794</v>
      </c>
      <c r="N633" s="5" t="n">
        <f>IF(ISNUMBER(Inputs!$L$5),(IF(Inputs!$L$9="Actual flat rate",L633*Inputs!$L$10,IF(Inputs!$C$9="Residential",IF(L633&lt;='Assumptions and Catalog'!$C$50,L633*'Assumptions and Catalog'!$H$50+'Assumptions and Catalog'!$E$50+'Assumptions and Catalog'!$F$50,IF(L633&lt;='Assumptions and Catalog'!$C$51,L633*'Assumptions and Catalog'!$H$51+'Assumptions and Catalog'!$E$51+'Assumptions and Catalog'!$F$51,IF(L633&lt;='Assumptions and Catalog'!$C$52,L633*'Assumptions and Catalog'!$H$52+'Assumptions and Catalog'!$E$52+'Assumptions and Catalog'!$F$52,IF(L633&lt;='Assumptions and Catalog'!$C$53,L633*'Assumptions and Catalog'!$H$53+'Assumptions and Catalog'!$E$53+'Assumptions and Catalog'!$F$53,IF(L633&lt;='Assumptions and Catalog'!$C$54,L633*'Assumptions and Catalog'!$H$54+'Assumptions and Catalog'!$E$54+'Assumptions and Catalog'!$F$54,IF(L633&lt;='Assumptions and Catalog'!$C$55,L633*'Assumptions and Catalog'!$H$55+'Assumptions and Catalog'!$E$55+'Assumptions and Catalog'!$F$55,IF(L633&lt;='Assumptions and Catalog'!$C$56,L633*'Assumptions and Catalog'!$H$56+'Assumptions and Catalog'!$E$56+'Assumptions and Catalog'!$F$56,IF(L633&lt;='Assumptions and Catalog'!$C$57,L633*'Assumptions and Catalog'!$H$57+'Assumptions and Catalog'!$E$57+'Assumptions and Catalog'!$F$57,"Out of range")))))))),IF(L633&lt;='Assumptions and Catalog'!$C$60,L633*'Assumptions and Catalog'!$H$60+'Assumptions and Catalog'!$E$60+'Assumptions and Catalog'!$F$60,IF(L633&lt;='Assumptions and Catalog'!$C$61,L633*'Assumptions and Catalog'!$H$61+'Assumptions and Catalog'!$E$61+'Assumptions and Catalog'!$F$61,IF(L633&lt;='Assumptions and Catalog'!$C$62,L633*'Assumptions and Catalog'!$H$62+'Assumptions and Catalog'!$E$62+'Assumptions and Catalog'!$F$62,IF(L633&lt;='Assumptions and Catalog'!$C$63,L633*'Assumptions and Catalog'!$H$63+'Assumptions and Catalog'!$E$63+'Assumptions and Catalog'!$F$63,IF(L633&lt;='Assumptions and Catalog'!$C$64,L633*'Assumptions and Catalog'!$H$64+'Assumptions and Catalog'!$E$64+'Assumptions and Catalog'!$F$64,IF(L633&lt;='Assumptions and Catalog'!$C$65,L633*'Assumptions and Catalog'!$H$65+'Assumptions and Catalog'!$E$65+'Assumptions and Catalog'!$F$65,"Out of range")))))))))*(1+'Assumptions and Catalog'!$C$8)^(A633-1),0)</f>
        <v>7094.794</v>
      </c>
      <c r="O633" s="5" t="n">
        <f>M633-N633</f>
        <v>0</v>
      </c>
      <c r="P633" s="5" t="n">
        <f>D$55*(1-K$14)*(1-'Assumptions and Catalog'!$C$23)^R633</f>
        <v>0</v>
      </c>
      <c r="Q633" s="5" t="n">
        <f>IF(ISNUMBER(Inputs!$L$5),(IF(Inputs!$L$9="Actual flat rate",((D633+E633)*C633-G633)*Inputs!$L$10,IF(Inputs!$C$9="Residential",IF(((D633+E633)*C633-G633)&lt;='Assumptions and Catalog'!$C$50,((D633+E633)*C633-G633)*'Assumptions and Catalog'!$H$50+'Assumptions and Catalog'!$E$50+'Assumptions and Catalog'!$F$50,IF(((D633+E633)*C633-G633)&lt;='Assumptions and Catalog'!$C$51,((D633+E633)*C633-G633)*'Assumptions and Catalog'!$H$51+'Assumptions and Catalog'!$E$51+'Assumptions and Catalog'!$F$51,IF(((D633+E633)*C633-G633)&lt;='Assumptions and Catalog'!$C$52,((D633+E633)*C633-G633)*'Assumptions and Catalog'!$H$52+'Assumptions and Catalog'!$E$52+'Assumptions and Catalog'!$F$52,IF(((D633+E633)*C633-G633)&lt;='Assumptions and Catalog'!$C$53,((D633+E633)*C633-G633)*'Assumptions and Catalog'!$H$53+'Assumptions and Catalog'!$E$53+'Assumptions and Catalog'!$F$53,IF(((D633+E633)*C633-G633)&lt;='Assumptions and Catalog'!$C$54,((D633+E633)*C633-G633)*'Assumptions and Catalog'!$H$54+'Assumptions and Catalog'!$E$54+'Assumptions and Catalog'!$F$54,IF(((D633+E633)*C633-G633)&lt;='Assumptions and Catalog'!$C$55,((D633+E633)*C633-G633)*'Assumptions and Catalog'!$H$55+'Assumptions and Catalog'!$E$55+'Assumptions and Catalog'!$F$55,IF(((D633+E633)*C633-G633)&lt;='Assumptions and Catalog'!$C$56,((D633+E633)*C633-G633)*'Assumptions and Catalog'!$H$56+'Assumptions and Catalog'!$E$56+'Assumptions and Catalog'!$F$56,IF(((D633+E633)*C633-G633)&lt;='Assumptions and Catalog'!$C$57,((D633+E633)*C633-G633)*'Assumptions and Catalog'!$H$57+'Assumptions and Catalog'!$E$57+'Assumptions and Catalog'!$F$57,"Out of range")))))))),IF(((D633+E633)*C633-G633)&lt;='Assumptions and Catalog'!$C$60,((D633+E633)*C633-G633)*'Assumptions and Catalog'!$H$60+'Assumptions and Catalog'!$E$60+'Assumptions and Catalog'!$F$60,IF(((D633+E633)*C633-G633)&lt;='Assumptions and Catalog'!$C$61,((D633+E633)*C633-G633)*'Assumptions and Catalog'!$H$61+'Assumptions and Catalog'!$E$61+'Assumptions and Catalog'!$F$61,IF(((D633+E633)*C633-G633)&lt;='Assumptions and Catalog'!$C$62,((D633+E633)*C633-G633)*'Assumptions and Catalog'!$H$62+'Assumptions and Catalog'!$E$62+'Assumptions and Catalog'!$F$62,IF(((D633+E633)*C633-G633)&lt;='Assumptions and Catalog'!$C$63,((D633+E633)*C633-G633)*'Assumptions and Catalog'!$H$63+'Assumptions and Catalog'!$E$63+'Assumptions and Catalog'!$F$63,IF(((D633+E633)*C633-G633)&lt;='Assumptions and Catalog'!$C$64,((D633+E633)*C633-G633)*'Assumptions and Catalog'!$H$64+'Assumptions and Catalog'!$E$64+'Assumptions and Catalog'!$F$64,IF(((D633+E633)*C633-G633)&lt;='Assumptions and Catalog'!$C$65,((D633+E633)*C633-G633)*'Assumptions and Catalog'!$H$65+'Assumptions and Catalog'!$E$65+'Assumptions and Catalog'!$F$65,"Out of range")))))))))*(1+'Assumptions and Catalog'!$C$8)^(A633-1),0)</f>
        <v>7094.794</v>
      </c>
      <c r="R633" s="5" t="n">
        <f>IF(AND('Assumptions and Catalog'!$C$19&gt;0,A633&gt;='Assumptions and Catalog'!$C$19),A633-'Assumptions and Catalog'!$C$19,A633-1)</f>
        <v>8</v>
      </c>
      <c r="S633" s="5" t="n">
        <f>F633+L633-(D633+E633)*C633-J633-K633-IF(D$52&gt;0,'Assumptions and Catalog'!$C$26*C633,0)</f>
        <v>0</v>
      </c>
      <c r="T633" s="5"/>
      <c r="U633" s="5"/>
    </row>
    <row r="634" ht="23.100000381469727" customHeight="1">
      <c r="A634" s="5" t="n">
        <v>19</v>
      </c>
      <c r="B634" s="5" t="n">
        <v>8</v>
      </c>
      <c r="C634" s="5" t="n">
        <f>DAY(DATE('Assumptions and Catalog'!$C$24+A634-1,B634+1,0))</f>
        <v>31</v>
      </c>
      <c r="D634" s="5" t="n">
        <f>IF(ISNUMBER(Inputs!$L$5),Inputs!$L$5*Inputs!$L$6,0)</f>
        <v>40.35</v>
      </c>
      <c r="E634" s="5" t="n">
        <f>IF(ISNUMBER(Inputs!$L$5),Inputs!$L$5-D634,0)</f>
        <v>40.35</v>
      </c>
      <c r="F634" s="5" t="n">
        <f>D$51*'Assumptions and Catalog'!$C$31*C634*(1-'Assumptions and Catalog'!$C$10)^(A634-1)</f>
        <v>0</v>
      </c>
      <c r="G634" s="5" t="n">
        <f>MIN(F634,D634*C634)</f>
        <v>0</v>
      </c>
      <c r="H634" s="5" t="n">
        <f>I634/('Assumptions and Catalog'!$C$11*'Assumptions and Catalog'!$C$12)</f>
        <v>0</v>
      </c>
      <c r="I634" s="5" t="n">
        <f>IF(K$15="Grid cycle",MIN(K$16,D634+E634,P634*'Assumptions and Catalog'!$C$12,D$57*(24-'Assumptions and Catalog'!$C$15),D$56*'Assumptions and Catalog'!$C$15*'Assumptions and Catalog'!$C$11*'Assumptions and Catalog'!$C$12)*C634,0)</f>
        <v>0</v>
      </c>
      <c r="J634" s="5" t="n">
        <f>MAX(F634-G634-0,0)</f>
        <v>0</v>
      </c>
      <c r="K634" s="5" t="n">
        <f>H634-I634</f>
        <v>0</v>
      </c>
      <c r="L634" s="5" t="n">
        <f>(D634+E634)*C634-G634-I634+H634+IF(D$52&gt;0,'Assumptions and Catalog'!$C$26*C634,0)</f>
        <v>2501.7</v>
      </c>
      <c r="M634" s="5" t="n">
        <f>IF(ISNUMBER(Inputs!$L$5),(IF(Inputs!$L$9="Actual flat rate",((D634+E634)*C634)*Inputs!$L$10,IF(Inputs!$C$9="Residential",IF(((D634+E634)*C634)&lt;='Assumptions and Catalog'!$C$50,((D634+E634)*C634)*'Assumptions and Catalog'!$H$50+'Assumptions and Catalog'!$E$50+'Assumptions and Catalog'!$F$50,IF(((D634+E634)*C634)&lt;='Assumptions and Catalog'!$C$51,((D634+E634)*C634)*'Assumptions and Catalog'!$H$51+'Assumptions and Catalog'!$E$51+'Assumptions and Catalog'!$F$51,IF(((D634+E634)*C634)&lt;='Assumptions and Catalog'!$C$52,((D634+E634)*C634)*'Assumptions and Catalog'!$H$52+'Assumptions and Catalog'!$E$52+'Assumptions and Catalog'!$F$52,IF(((D634+E634)*C634)&lt;='Assumptions and Catalog'!$C$53,((D634+E634)*C634)*'Assumptions and Catalog'!$H$53+'Assumptions and Catalog'!$E$53+'Assumptions and Catalog'!$F$53,IF(((D634+E634)*C634)&lt;='Assumptions and Catalog'!$C$54,((D634+E634)*C634)*'Assumptions and Catalog'!$H$54+'Assumptions and Catalog'!$E$54+'Assumptions and Catalog'!$F$54,IF(((D634+E634)*C634)&lt;='Assumptions and Catalog'!$C$55,((D634+E634)*C634)*'Assumptions and Catalog'!$H$55+'Assumptions and Catalog'!$E$55+'Assumptions and Catalog'!$F$55,IF(((D634+E634)*C634)&lt;='Assumptions and Catalog'!$C$56,((D634+E634)*C634)*'Assumptions and Catalog'!$H$56+'Assumptions and Catalog'!$E$56+'Assumptions and Catalog'!$F$56,IF(((D634+E634)*C634)&lt;='Assumptions and Catalog'!$C$57,((D634+E634)*C634)*'Assumptions and Catalog'!$H$57+'Assumptions and Catalog'!$E$57+'Assumptions and Catalog'!$F$57,"Out of range")))))))),IF(((D634+E634)*C634)&lt;='Assumptions and Catalog'!$C$60,((D634+E634)*C634)*'Assumptions and Catalog'!$H$60+'Assumptions and Catalog'!$E$60+'Assumptions and Catalog'!$F$60,IF(((D634+E634)*C634)&lt;='Assumptions and Catalog'!$C$61,((D634+E634)*C634)*'Assumptions and Catalog'!$H$61+'Assumptions and Catalog'!$E$61+'Assumptions and Catalog'!$F$61,IF(((D634+E634)*C634)&lt;='Assumptions and Catalog'!$C$62,((D634+E634)*C634)*'Assumptions and Catalog'!$H$62+'Assumptions and Catalog'!$E$62+'Assumptions and Catalog'!$F$62,IF(((D634+E634)*C634)&lt;='Assumptions and Catalog'!$C$63,((D634+E634)*C634)*'Assumptions and Catalog'!$H$63+'Assumptions and Catalog'!$E$63+'Assumptions and Catalog'!$F$63,IF(((D634+E634)*C634)&lt;='Assumptions and Catalog'!$C$64,((D634+E634)*C634)*'Assumptions and Catalog'!$H$64+'Assumptions and Catalog'!$E$64+'Assumptions and Catalog'!$F$64,IF(((D634+E634)*C634)&lt;='Assumptions and Catalog'!$C$65,((D634+E634)*C634)*'Assumptions and Catalog'!$H$65+'Assumptions and Catalog'!$E$65+'Assumptions and Catalog'!$F$65,"Out of range")))))))))*(1+'Assumptions and Catalog'!$C$8)^(A634-1),0)</f>
        <v>7094.794</v>
      </c>
      <c r="N634" s="5" t="n">
        <f>IF(ISNUMBER(Inputs!$L$5),(IF(Inputs!$L$9="Actual flat rate",L634*Inputs!$L$10,IF(Inputs!$C$9="Residential",IF(L634&lt;='Assumptions and Catalog'!$C$50,L634*'Assumptions and Catalog'!$H$50+'Assumptions and Catalog'!$E$50+'Assumptions and Catalog'!$F$50,IF(L634&lt;='Assumptions and Catalog'!$C$51,L634*'Assumptions and Catalog'!$H$51+'Assumptions and Catalog'!$E$51+'Assumptions and Catalog'!$F$51,IF(L634&lt;='Assumptions and Catalog'!$C$52,L634*'Assumptions and Catalog'!$H$52+'Assumptions and Catalog'!$E$52+'Assumptions and Catalog'!$F$52,IF(L634&lt;='Assumptions and Catalog'!$C$53,L634*'Assumptions and Catalog'!$H$53+'Assumptions and Catalog'!$E$53+'Assumptions and Catalog'!$F$53,IF(L634&lt;='Assumptions and Catalog'!$C$54,L634*'Assumptions and Catalog'!$H$54+'Assumptions and Catalog'!$E$54+'Assumptions and Catalog'!$F$54,IF(L634&lt;='Assumptions and Catalog'!$C$55,L634*'Assumptions and Catalog'!$H$55+'Assumptions and Catalog'!$E$55+'Assumptions and Catalog'!$F$55,IF(L634&lt;='Assumptions and Catalog'!$C$56,L634*'Assumptions and Catalog'!$H$56+'Assumptions and Catalog'!$E$56+'Assumptions and Catalog'!$F$56,IF(L634&lt;='Assumptions and Catalog'!$C$57,L634*'Assumptions and Catalog'!$H$57+'Assumptions and Catalog'!$E$57+'Assumptions and Catalog'!$F$57,"Out of range")))))))),IF(L634&lt;='Assumptions and Catalog'!$C$60,L634*'Assumptions and Catalog'!$H$60+'Assumptions and Catalog'!$E$60+'Assumptions and Catalog'!$F$60,IF(L634&lt;='Assumptions and Catalog'!$C$61,L634*'Assumptions and Catalog'!$H$61+'Assumptions and Catalog'!$E$61+'Assumptions and Catalog'!$F$61,IF(L634&lt;='Assumptions and Catalog'!$C$62,L634*'Assumptions and Catalog'!$H$62+'Assumptions and Catalog'!$E$62+'Assumptions and Catalog'!$F$62,IF(L634&lt;='Assumptions and Catalog'!$C$63,L634*'Assumptions and Catalog'!$H$63+'Assumptions and Catalog'!$E$63+'Assumptions and Catalog'!$F$63,IF(L634&lt;='Assumptions and Catalog'!$C$64,L634*'Assumptions and Catalog'!$H$64+'Assumptions and Catalog'!$E$64+'Assumptions and Catalog'!$F$64,IF(L634&lt;='Assumptions and Catalog'!$C$65,L634*'Assumptions and Catalog'!$H$65+'Assumptions and Catalog'!$E$65+'Assumptions and Catalog'!$F$65,"Out of range")))))))))*(1+'Assumptions and Catalog'!$C$8)^(A634-1),0)</f>
        <v>7094.794</v>
      </c>
      <c r="O634" s="5" t="n">
        <f>M634-N634</f>
        <v>0</v>
      </c>
      <c r="P634" s="5" t="n">
        <f>D$55*(1-K$14)*(1-'Assumptions and Catalog'!$C$23)^R634</f>
        <v>0</v>
      </c>
      <c r="Q634" s="5" t="n">
        <f>IF(ISNUMBER(Inputs!$L$5),(IF(Inputs!$L$9="Actual flat rate",((D634+E634)*C634-G634)*Inputs!$L$10,IF(Inputs!$C$9="Residential",IF(((D634+E634)*C634-G634)&lt;='Assumptions and Catalog'!$C$50,((D634+E634)*C634-G634)*'Assumptions and Catalog'!$H$50+'Assumptions and Catalog'!$E$50+'Assumptions and Catalog'!$F$50,IF(((D634+E634)*C634-G634)&lt;='Assumptions and Catalog'!$C$51,((D634+E634)*C634-G634)*'Assumptions and Catalog'!$H$51+'Assumptions and Catalog'!$E$51+'Assumptions and Catalog'!$F$51,IF(((D634+E634)*C634-G634)&lt;='Assumptions and Catalog'!$C$52,((D634+E634)*C634-G634)*'Assumptions and Catalog'!$H$52+'Assumptions and Catalog'!$E$52+'Assumptions and Catalog'!$F$52,IF(((D634+E634)*C634-G634)&lt;='Assumptions and Catalog'!$C$53,((D634+E634)*C634-G634)*'Assumptions and Catalog'!$H$53+'Assumptions and Catalog'!$E$53+'Assumptions and Catalog'!$F$53,IF(((D634+E634)*C634-G634)&lt;='Assumptions and Catalog'!$C$54,((D634+E634)*C634-G634)*'Assumptions and Catalog'!$H$54+'Assumptions and Catalog'!$E$54+'Assumptions and Catalog'!$F$54,IF(((D634+E634)*C634-G634)&lt;='Assumptions and Catalog'!$C$55,((D634+E634)*C634-G634)*'Assumptions and Catalog'!$H$55+'Assumptions and Catalog'!$E$55+'Assumptions and Catalog'!$F$55,IF(((D634+E634)*C634-G634)&lt;='Assumptions and Catalog'!$C$56,((D634+E634)*C634-G634)*'Assumptions and Catalog'!$H$56+'Assumptions and Catalog'!$E$56+'Assumptions and Catalog'!$F$56,IF(((D634+E634)*C634-G634)&lt;='Assumptions and Catalog'!$C$57,((D634+E634)*C634-G634)*'Assumptions and Catalog'!$H$57+'Assumptions and Catalog'!$E$57+'Assumptions and Catalog'!$F$57,"Out of range")))))))),IF(((D634+E634)*C634-G634)&lt;='Assumptions and Catalog'!$C$60,((D634+E634)*C634-G634)*'Assumptions and Catalog'!$H$60+'Assumptions and Catalog'!$E$60+'Assumptions and Catalog'!$F$60,IF(((D634+E634)*C634-G634)&lt;='Assumptions and Catalog'!$C$61,((D634+E634)*C634-G634)*'Assumptions and Catalog'!$H$61+'Assumptions and Catalog'!$E$61+'Assumptions and Catalog'!$F$61,IF(((D634+E634)*C634-G634)&lt;='Assumptions and Catalog'!$C$62,((D634+E634)*C634-G634)*'Assumptions and Catalog'!$H$62+'Assumptions and Catalog'!$E$62+'Assumptions and Catalog'!$F$62,IF(((D634+E634)*C634-G634)&lt;='Assumptions and Catalog'!$C$63,((D634+E634)*C634-G634)*'Assumptions and Catalog'!$H$63+'Assumptions and Catalog'!$E$63+'Assumptions and Catalog'!$F$63,IF(((D634+E634)*C634-G634)&lt;='Assumptions and Catalog'!$C$64,((D634+E634)*C634-G634)*'Assumptions and Catalog'!$H$64+'Assumptions and Catalog'!$E$64+'Assumptions and Catalog'!$F$64,IF(((D634+E634)*C634-G634)&lt;='Assumptions and Catalog'!$C$65,((D634+E634)*C634-G634)*'Assumptions and Catalog'!$H$65+'Assumptions and Catalog'!$E$65+'Assumptions and Catalog'!$F$65,"Out of range")))))))))*(1+'Assumptions and Catalog'!$C$8)^(A634-1),0)</f>
        <v>7094.794</v>
      </c>
      <c r="R634" s="5" t="n">
        <f>IF(AND('Assumptions and Catalog'!$C$19&gt;0,A634&gt;='Assumptions and Catalog'!$C$19),A634-'Assumptions and Catalog'!$C$19,A634-1)</f>
        <v>8</v>
      </c>
      <c r="S634" s="5" t="n">
        <f>F634+L634-(D634+E634)*C634-J634-K634-IF(D$52&gt;0,'Assumptions and Catalog'!$C$26*C634,0)</f>
        <v>0</v>
      </c>
      <c r="T634" s="5"/>
      <c r="U634" s="5"/>
    </row>
    <row r="635" ht="23.100000381469727" customHeight="1">
      <c r="A635" s="5" t="n">
        <v>19</v>
      </c>
      <c r="B635" s="5" t="n">
        <v>9</v>
      </c>
      <c r="C635" s="5" t="n">
        <f>DAY(DATE('Assumptions and Catalog'!$C$24+A635-1,B635+1,0))</f>
        <v>30</v>
      </c>
      <c r="D635" s="5" t="n">
        <f>IF(ISNUMBER(Inputs!$L$5),Inputs!$L$5*Inputs!$L$6,0)</f>
        <v>40.35</v>
      </c>
      <c r="E635" s="5" t="n">
        <f>IF(ISNUMBER(Inputs!$L$5),Inputs!$L$5-D635,0)</f>
        <v>40.35</v>
      </c>
      <c r="F635" s="5" t="n">
        <f>D$51*'Assumptions and Catalog'!$C$31*C635*(1-'Assumptions and Catalog'!$C$10)^(A635-1)</f>
        <v>0</v>
      </c>
      <c r="G635" s="5" t="n">
        <f>MIN(F635,D635*C635)</f>
        <v>0</v>
      </c>
      <c r="H635" s="5" t="n">
        <f>I635/('Assumptions and Catalog'!$C$11*'Assumptions and Catalog'!$C$12)</f>
        <v>0</v>
      </c>
      <c r="I635" s="5" t="n">
        <f>IF(K$15="Grid cycle",MIN(K$16,D635+E635,P635*'Assumptions and Catalog'!$C$12,D$57*(24-'Assumptions and Catalog'!$C$15),D$56*'Assumptions and Catalog'!$C$15*'Assumptions and Catalog'!$C$11*'Assumptions and Catalog'!$C$12)*C635,0)</f>
        <v>0</v>
      </c>
      <c r="J635" s="5" t="n">
        <f>MAX(F635-G635-0,0)</f>
        <v>0</v>
      </c>
      <c r="K635" s="5" t="n">
        <f>H635-I635</f>
        <v>0</v>
      </c>
      <c r="L635" s="5" t="n">
        <f>(D635+E635)*C635-G635-I635+H635+IF(D$52&gt;0,'Assumptions and Catalog'!$C$26*C635,0)</f>
        <v>2421</v>
      </c>
      <c r="M635" s="5" t="n">
        <f>IF(ISNUMBER(Inputs!$L$5),(IF(Inputs!$L$9="Actual flat rate",((D635+E635)*C635)*Inputs!$L$10,IF(Inputs!$C$9="Residential",IF(((D635+E635)*C635)&lt;='Assumptions and Catalog'!$C$50,((D635+E635)*C635)*'Assumptions and Catalog'!$H$50+'Assumptions and Catalog'!$E$50+'Assumptions and Catalog'!$F$50,IF(((D635+E635)*C635)&lt;='Assumptions and Catalog'!$C$51,((D635+E635)*C635)*'Assumptions and Catalog'!$H$51+'Assumptions and Catalog'!$E$51+'Assumptions and Catalog'!$F$51,IF(((D635+E635)*C635)&lt;='Assumptions and Catalog'!$C$52,((D635+E635)*C635)*'Assumptions and Catalog'!$H$52+'Assumptions and Catalog'!$E$52+'Assumptions and Catalog'!$F$52,IF(((D635+E635)*C635)&lt;='Assumptions and Catalog'!$C$53,((D635+E635)*C635)*'Assumptions and Catalog'!$H$53+'Assumptions and Catalog'!$E$53+'Assumptions and Catalog'!$F$53,IF(((D635+E635)*C635)&lt;='Assumptions and Catalog'!$C$54,((D635+E635)*C635)*'Assumptions and Catalog'!$H$54+'Assumptions and Catalog'!$E$54+'Assumptions and Catalog'!$F$54,IF(((D635+E635)*C635)&lt;='Assumptions and Catalog'!$C$55,((D635+E635)*C635)*'Assumptions and Catalog'!$H$55+'Assumptions and Catalog'!$E$55+'Assumptions and Catalog'!$F$55,IF(((D635+E635)*C635)&lt;='Assumptions and Catalog'!$C$56,((D635+E635)*C635)*'Assumptions and Catalog'!$H$56+'Assumptions and Catalog'!$E$56+'Assumptions and Catalog'!$F$56,IF(((D635+E635)*C635)&lt;='Assumptions and Catalog'!$C$57,((D635+E635)*C635)*'Assumptions and Catalog'!$H$57+'Assumptions and Catalog'!$E$57+'Assumptions and Catalog'!$F$57,"Out of range")))))))),IF(((D635+E635)*C635)&lt;='Assumptions and Catalog'!$C$60,((D635+E635)*C635)*'Assumptions and Catalog'!$H$60+'Assumptions and Catalog'!$E$60+'Assumptions and Catalog'!$F$60,IF(((D635+E635)*C635)&lt;='Assumptions and Catalog'!$C$61,((D635+E635)*C635)*'Assumptions and Catalog'!$H$61+'Assumptions and Catalog'!$E$61+'Assumptions and Catalog'!$F$61,IF(((D635+E635)*C635)&lt;='Assumptions and Catalog'!$C$62,((D635+E635)*C635)*'Assumptions and Catalog'!$H$62+'Assumptions and Catalog'!$E$62+'Assumptions and Catalog'!$F$62,IF(((D635+E635)*C635)&lt;='Assumptions and Catalog'!$C$63,((D635+E635)*C635)*'Assumptions and Catalog'!$H$63+'Assumptions and Catalog'!$E$63+'Assumptions and Catalog'!$F$63,IF(((D635+E635)*C635)&lt;='Assumptions and Catalog'!$C$64,((D635+E635)*C635)*'Assumptions and Catalog'!$H$64+'Assumptions and Catalog'!$E$64+'Assumptions and Catalog'!$F$64,IF(((D635+E635)*C635)&lt;='Assumptions and Catalog'!$C$65,((D635+E635)*C635)*'Assumptions and Catalog'!$H$65+'Assumptions and Catalog'!$E$65+'Assumptions and Catalog'!$F$65,"Out of range")))))))))*(1+'Assumptions and Catalog'!$C$8)^(A635-1),0)</f>
        <v>6867.22</v>
      </c>
      <c r="N635" s="5" t="n">
        <f>IF(ISNUMBER(Inputs!$L$5),(IF(Inputs!$L$9="Actual flat rate",L635*Inputs!$L$10,IF(Inputs!$C$9="Residential",IF(L635&lt;='Assumptions and Catalog'!$C$50,L635*'Assumptions and Catalog'!$H$50+'Assumptions and Catalog'!$E$50+'Assumptions and Catalog'!$F$50,IF(L635&lt;='Assumptions and Catalog'!$C$51,L635*'Assumptions and Catalog'!$H$51+'Assumptions and Catalog'!$E$51+'Assumptions and Catalog'!$F$51,IF(L635&lt;='Assumptions and Catalog'!$C$52,L635*'Assumptions and Catalog'!$H$52+'Assumptions and Catalog'!$E$52+'Assumptions and Catalog'!$F$52,IF(L635&lt;='Assumptions and Catalog'!$C$53,L635*'Assumptions and Catalog'!$H$53+'Assumptions and Catalog'!$E$53+'Assumptions and Catalog'!$F$53,IF(L635&lt;='Assumptions and Catalog'!$C$54,L635*'Assumptions and Catalog'!$H$54+'Assumptions and Catalog'!$E$54+'Assumptions and Catalog'!$F$54,IF(L635&lt;='Assumptions and Catalog'!$C$55,L635*'Assumptions and Catalog'!$H$55+'Assumptions and Catalog'!$E$55+'Assumptions and Catalog'!$F$55,IF(L635&lt;='Assumptions and Catalog'!$C$56,L635*'Assumptions and Catalog'!$H$56+'Assumptions and Catalog'!$E$56+'Assumptions and Catalog'!$F$56,IF(L635&lt;='Assumptions and Catalog'!$C$57,L635*'Assumptions and Catalog'!$H$57+'Assumptions and Catalog'!$E$57+'Assumptions and Catalog'!$F$57,"Out of range")))))))),IF(L635&lt;='Assumptions and Catalog'!$C$60,L635*'Assumptions and Catalog'!$H$60+'Assumptions and Catalog'!$E$60+'Assumptions and Catalog'!$F$60,IF(L635&lt;='Assumptions and Catalog'!$C$61,L635*'Assumptions and Catalog'!$H$61+'Assumptions and Catalog'!$E$61+'Assumptions and Catalog'!$F$61,IF(L635&lt;='Assumptions and Catalog'!$C$62,L635*'Assumptions and Catalog'!$H$62+'Assumptions and Catalog'!$E$62+'Assumptions and Catalog'!$F$62,IF(L635&lt;='Assumptions and Catalog'!$C$63,L635*'Assumptions and Catalog'!$H$63+'Assumptions and Catalog'!$E$63+'Assumptions and Catalog'!$F$63,IF(L635&lt;='Assumptions and Catalog'!$C$64,L635*'Assumptions and Catalog'!$H$64+'Assumptions and Catalog'!$E$64+'Assumptions and Catalog'!$F$64,IF(L635&lt;='Assumptions and Catalog'!$C$65,L635*'Assumptions and Catalog'!$H$65+'Assumptions and Catalog'!$E$65+'Assumptions and Catalog'!$F$65,"Out of range")))))))))*(1+'Assumptions and Catalog'!$C$8)^(A635-1),0)</f>
        <v>6867.22</v>
      </c>
      <c r="O635" s="5" t="n">
        <f>M635-N635</f>
        <v>0</v>
      </c>
      <c r="P635" s="5" t="n">
        <f>D$55*(1-K$14)*(1-'Assumptions and Catalog'!$C$23)^R635</f>
        <v>0</v>
      </c>
      <c r="Q635" s="5" t="n">
        <f>IF(ISNUMBER(Inputs!$L$5),(IF(Inputs!$L$9="Actual flat rate",((D635+E635)*C635-G635)*Inputs!$L$10,IF(Inputs!$C$9="Residential",IF(((D635+E635)*C635-G635)&lt;='Assumptions and Catalog'!$C$50,((D635+E635)*C635-G635)*'Assumptions and Catalog'!$H$50+'Assumptions and Catalog'!$E$50+'Assumptions and Catalog'!$F$50,IF(((D635+E635)*C635-G635)&lt;='Assumptions and Catalog'!$C$51,((D635+E635)*C635-G635)*'Assumptions and Catalog'!$H$51+'Assumptions and Catalog'!$E$51+'Assumptions and Catalog'!$F$51,IF(((D635+E635)*C635-G635)&lt;='Assumptions and Catalog'!$C$52,((D635+E635)*C635-G635)*'Assumptions and Catalog'!$H$52+'Assumptions and Catalog'!$E$52+'Assumptions and Catalog'!$F$52,IF(((D635+E635)*C635-G635)&lt;='Assumptions and Catalog'!$C$53,((D635+E635)*C635-G635)*'Assumptions and Catalog'!$H$53+'Assumptions and Catalog'!$E$53+'Assumptions and Catalog'!$F$53,IF(((D635+E635)*C635-G635)&lt;='Assumptions and Catalog'!$C$54,((D635+E635)*C635-G635)*'Assumptions and Catalog'!$H$54+'Assumptions and Catalog'!$E$54+'Assumptions and Catalog'!$F$54,IF(((D635+E635)*C635-G635)&lt;='Assumptions and Catalog'!$C$55,((D635+E635)*C635-G635)*'Assumptions and Catalog'!$H$55+'Assumptions and Catalog'!$E$55+'Assumptions and Catalog'!$F$55,IF(((D635+E635)*C635-G635)&lt;='Assumptions and Catalog'!$C$56,((D635+E635)*C635-G635)*'Assumptions and Catalog'!$H$56+'Assumptions and Catalog'!$E$56+'Assumptions and Catalog'!$F$56,IF(((D635+E635)*C635-G635)&lt;='Assumptions and Catalog'!$C$57,((D635+E635)*C635-G635)*'Assumptions and Catalog'!$H$57+'Assumptions and Catalog'!$E$57+'Assumptions and Catalog'!$F$57,"Out of range")))))))),IF(((D635+E635)*C635-G635)&lt;='Assumptions and Catalog'!$C$60,((D635+E635)*C635-G635)*'Assumptions and Catalog'!$H$60+'Assumptions and Catalog'!$E$60+'Assumptions and Catalog'!$F$60,IF(((D635+E635)*C635-G635)&lt;='Assumptions and Catalog'!$C$61,((D635+E635)*C635-G635)*'Assumptions and Catalog'!$H$61+'Assumptions and Catalog'!$E$61+'Assumptions and Catalog'!$F$61,IF(((D635+E635)*C635-G635)&lt;='Assumptions and Catalog'!$C$62,((D635+E635)*C635-G635)*'Assumptions and Catalog'!$H$62+'Assumptions and Catalog'!$E$62+'Assumptions and Catalog'!$F$62,IF(((D635+E635)*C635-G635)&lt;='Assumptions and Catalog'!$C$63,((D635+E635)*C635-G635)*'Assumptions and Catalog'!$H$63+'Assumptions and Catalog'!$E$63+'Assumptions and Catalog'!$F$63,IF(((D635+E635)*C635-G635)&lt;='Assumptions and Catalog'!$C$64,((D635+E635)*C635-G635)*'Assumptions and Catalog'!$H$64+'Assumptions and Catalog'!$E$64+'Assumptions and Catalog'!$F$64,IF(((D635+E635)*C635-G635)&lt;='Assumptions and Catalog'!$C$65,((D635+E635)*C635-G635)*'Assumptions and Catalog'!$H$65+'Assumptions and Catalog'!$E$65+'Assumptions and Catalog'!$F$65,"Out of range")))))))))*(1+'Assumptions and Catalog'!$C$8)^(A635-1),0)</f>
        <v>6867.22</v>
      </c>
      <c r="R635" s="5" t="n">
        <f>IF(AND('Assumptions and Catalog'!$C$19&gt;0,A635&gt;='Assumptions and Catalog'!$C$19),A635-'Assumptions and Catalog'!$C$19,A635-1)</f>
        <v>8</v>
      </c>
      <c r="S635" s="5" t="n">
        <f>F635+L635-(D635+E635)*C635-J635-K635-IF(D$52&gt;0,'Assumptions and Catalog'!$C$26*C635,0)</f>
        <v>0</v>
      </c>
      <c r="T635" s="5"/>
      <c r="U635" s="5"/>
    </row>
    <row r="636" ht="23.100000381469727" customHeight="1">
      <c r="A636" s="5" t="n">
        <v>19</v>
      </c>
      <c r="B636" s="5" t="n">
        <v>10</v>
      </c>
      <c r="C636" s="5" t="n">
        <f>DAY(DATE('Assumptions and Catalog'!$C$24+A636-1,B636+1,0))</f>
        <v>31</v>
      </c>
      <c r="D636" s="5" t="n">
        <f>IF(ISNUMBER(Inputs!$L$5),Inputs!$L$5*Inputs!$L$6,0)</f>
        <v>40.35</v>
      </c>
      <c r="E636" s="5" t="n">
        <f>IF(ISNUMBER(Inputs!$L$5),Inputs!$L$5-D636,0)</f>
        <v>40.35</v>
      </c>
      <c r="F636" s="5" t="n">
        <f>D$51*'Assumptions and Catalog'!$C$31*C636*(1-'Assumptions and Catalog'!$C$10)^(A636-1)</f>
        <v>0</v>
      </c>
      <c r="G636" s="5" t="n">
        <f>MIN(F636,D636*C636)</f>
        <v>0</v>
      </c>
      <c r="H636" s="5" t="n">
        <f>I636/('Assumptions and Catalog'!$C$11*'Assumptions and Catalog'!$C$12)</f>
        <v>0</v>
      </c>
      <c r="I636" s="5" t="n">
        <f>IF(K$15="Grid cycle",MIN(K$16,D636+E636,P636*'Assumptions and Catalog'!$C$12,D$57*(24-'Assumptions and Catalog'!$C$15),D$56*'Assumptions and Catalog'!$C$15*'Assumptions and Catalog'!$C$11*'Assumptions and Catalog'!$C$12)*C636,0)</f>
        <v>0</v>
      </c>
      <c r="J636" s="5" t="n">
        <f>MAX(F636-G636-0,0)</f>
        <v>0</v>
      </c>
      <c r="K636" s="5" t="n">
        <f>H636-I636</f>
        <v>0</v>
      </c>
      <c r="L636" s="5" t="n">
        <f>(D636+E636)*C636-G636-I636+H636+IF(D$52&gt;0,'Assumptions and Catalog'!$C$26*C636,0)</f>
        <v>2501.7</v>
      </c>
      <c r="M636" s="5" t="n">
        <f>IF(ISNUMBER(Inputs!$L$5),(IF(Inputs!$L$9="Actual flat rate",((D636+E636)*C636)*Inputs!$L$10,IF(Inputs!$C$9="Residential",IF(((D636+E636)*C636)&lt;='Assumptions and Catalog'!$C$50,((D636+E636)*C636)*'Assumptions and Catalog'!$H$50+'Assumptions and Catalog'!$E$50+'Assumptions and Catalog'!$F$50,IF(((D636+E636)*C636)&lt;='Assumptions and Catalog'!$C$51,((D636+E636)*C636)*'Assumptions and Catalog'!$H$51+'Assumptions and Catalog'!$E$51+'Assumptions and Catalog'!$F$51,IF(((D636+E636)*C636)&lt;='Assumptions and Catalog'!$C$52,((D636+E636)*C636)*'Assumptions and Catalog'!$H$52+'Assumptions and Catalog'!$E$52+'Assumptions and Catalog'!$F$52,IF(((D636+E636)*C636)&lt;='Assumptions and Catalog'!$C$53,((D636+E636)*C636)*'Assumptions and Catalog'!$H$53+'Assumptions and Catalog'!$E$53+'Assumptions and Catalog'!$F$53,IF(((D636+E636)*C636)&lt;='Assumptions and Catalog'!$C$54,((D636+E636)*C636)*'Assumptions and Catalog'!$H$54+'Assumptions and Catalog'!$E$54+'Assumptions and Catalog'!$F$54,IF(((D636+E636)*C636)&lt;='Assumptions and Catalog'!$C$55,((D636+E636)*C636)*'Assumptions and Catalog'!$H$55+'Assumptions and Catalog'!$E$55+'Assumptions and Catalog'!$F$55,IF(((D636+E636)*C636)&lt;='Assumptions and Catalog'!$C$56,((D636+E636)*C636)*'Assumptions and Catalog'!$H$56+'Assumptions and Catalog'!$E$56+'Assumptions and Catalog'!$F$56,IF(((D636+E636)*C636)&lt;='Assumptions and Catalog'!$C$57,((D636+E636)*C636)*'Assumptions and Catalog'!$H$57+'Assumptions and Catalog'!$E$57+'Assumptions and Catalog'!$F$57,"Out of range")))))))),IF(((D636+E636)*C636)&lt;='Assumptions and Catalog'!$C$60,((D636+E636)*C636)*'Assumptions and Catalog'!$H$60+'Assumptions and Catalog'!$E$60+'Assumptions and Catalog'!$F$60,IF(((D636+E636)*C636)&lt;='Assumptions and Catalog'!$C$61,((D636+E636)*C636)*'Assumptions and Catalog'!$H$61+'Assumptions and Catalog'!$E$61+'Assumptions and Catalog'!$F$61,IF(((D636+E636)*C636)&lt;='Assumptions and Catalog'!$C$62,((D636+E636)*C636)*'Assumptions and Catalog'!$H$62+'Assumptions and Catalog'!$E$62+'Assumptions and Catalog'!$F$62,IF(((D636+E636)*C636)&lt;='Assumptions and Catalog'!$C$63,((D636+E636)*C636)*'Assumptions and Catalog'!$H$63+'Assumptions and Catalog'!$E$63+'Assumptions and Catalog'!$F$63,IF(((D636+E636)*C636)&lt;='Assumptions and Catalog'!$C$64,((D636+E636)*C636)*'Assumptions and Catalog'!$H$64+'Assumptions and Catalog'!$E$64+'Assumptions and Catalog'!$F$64,IF(((D636+E636)*C636)&lt;='Assumptions and Catalog'!$C$65,((D636+E636)*C636)*'Assumptions and Catalog'!$H$65+'Assumptions and Catalog'!$E$65+'Assumptions and Catalog'!$F$65,"Out of range")))))))))*(1+'Assumptions and Catalog'!$C$8)^(A636-1),0)</f>
        <v>7094.794</v>
      </c>
      <c r="N636" s="5" t="n">
        <f>IF(ISNUMBER(Inputs!$L$5),(IF(Inputs!$L$9="Actual flat rate",L636*Inputs!$L$10,IF(Inputs!$C$9="Residential",IF(L636&lt;='Assumptions and Catalog'!$C$50,L636*'Assumptions and Catalog'!$H$50+'Assumptions and Catalog'!$E$50+'Assumptions and Catalog'!$F$50,IF(L636&lt;='Assumptions and Catalog'!$C$51,L636*'Assumptions and Catalog'!$H$51+'Assumptions and Catalog'!$E$51+'Assumptions and Catalog'!$F$51,IF(L636&lt;='Assumptions and Catalog'!$C$52,L636*'Assumptions and Catalog'!$H$52+'Assumptions and Catalog'!$E$52+'Assumptions and Catalog'!$F$52,IF(L636&lt;='Assumptions and Catalog'!$C$53,L636*'Assumptions and Catalog'!$H$53+'Assumptions and Catalog'!$E$53+'Assumptions and Catalog'!$F$53,IF(L636&lt;='Assumptions and Catalog'!$C$54,L636*'Assumptions and Catalog'!$H$54+'Assumptions and Catalog'!$E$54+'Assumptions and Catalog'!$F$54,IF(L636&lt;='Assumptions and Catalog'!$C$55,L636*'Assumptions and Catalog'!$H$55+'Assumptions and Catalog'!$E$55+'Assumptions and Catalog'!$F$55,IF(L636&lt;='Assumptions and Catalog'!$C$56,L636*'Assumptions and Catalog'!$H$56+'Assumptions and Catalog'!$E$56+'Assumptions and Catalog'!$F$56,IF(L636&lt;='Assumptions and Catalog'!$C$57,L636*'Assumptions and Catalog'!$H$57+'Assumptions and Catalog'!$E$57+'Assumptions and Catalog'!$F$57,"Out of range")))))))),IF(L636&lt;='Assumptions and Catalog'!$C$60,L636*'Assumptions and Catalog'!$H$60+'Assumptions and Catalog'!$E$60+'Assumptions and Catalog'!$F$60,IF(L636&lt;='Assumptions and Catalog'!$C$61,L636*'Assumptions and Catalog'!$H$61+'Assumptions and Catalog'!$E$61+'Assumptions and Catalog'!$F$61,IF(L636&lt;='Assumptions and Catalog'!$C$62,L636*'Assumptions and Catalog'!$H$62+'Assumptions and Catalog'!$E$62+'Assumptions and Catalog'!$F$62,IF(L636&lt;='Assumptions and Catalog'!$C$63,L636*'Assumptions and Catalog'!$H$63+'Assumptions and Catalog'!$E$63+'Assumptions and Catalog'!$F$63,IF(L636&lt;='Assumptions and Catalog'!$C$64,L636*'Assumptions and Catalog'!$H$64+'Assumptions and Catalog'!$E$64+'Assumptions and Catalog'!$F$64,IF(L636&lt;='Assumptions and Catalog'!$C$65,L636*'Assumptions and Catalog'!$H$65+'Assumptions and Catalog'!$E$65+'Assumptions and Catalog'!$F$65,"Out of range")))))))))*(1+'Assumptions and Catalog'!$C$8)^(A636-1),0)</f>
        <v>7094.794</v>
      </c>
      <c r="O636" s="5" t="n">
        <f>M636-N636</f>
        <v>0</v>
      </c>
      <c r="P636" s="5" t="n">
        <f>D$55*(1-K$14)*(1-'Assumptions and Catalog'!$C$23)^R636</f>
        <v>0</v>
      </c>
      <c r="Q636" s="5" t="n">
        <f>IF(ISNUMBER(Inputs!$L$5),(IF(Inputs!$L$9="Actual flat rate",((D636+E636)*C636-G636)*Inputs!$L$10,IF(Inputs!$C$9="Residential",IF(((D636+E636)*C636-G636)&lt;='Assumptions and Catalog'!$C$50,((D636+E636)*C636-G636)*'Assumptions and Catalog'!$H$50+'Assumptions and Catalog'!$E$50+'Assumptions and Catalog'!$F$50,IF(((D636+E636)*C636-G636)&lt;='Assumptions and Catalog'!$C$51,((D636+E636)*C636-G636)*'Assumptions and Catalog'!$H$51+'Assumptions and Catalog'!$E$51+'Assumptions and Catalog'!$F$51,IF(((D636+E636)*C636-G636)&lt;='Assumptions and Catalog'!$C$52,((D636+E636)*C636-G636)*'Assumptions and Catalog'!$H$52+'Assumptions and Catalog'!$E$52+'Assumptions and Catalog'!$F$52,IF(((D636+E636)*C636-G636)&lt;='Assumptions and Catalog'!$C$53,((D636+E636)*C636-G636)*'Assumptions and Catalog'!$H$53+'Assumptions and Catalog'!$E$53+'Assumptions and Catalog'!$F$53,IF(((D636+E636)*C636-G636)&lt;='Assumptions and Catalog'!$C$54,((D636+E636)*C636-G636)*'Assumptions and Catalog'!$H$54+'Assumptions and Catalog'!$E$54+'Assumptions and Catalog'!$F$54,IF(((D636+E636)*C636-G636)&lt;='Assumptions and Catalog'!$C$55,((D636+E636)*C636-G636)*'Assumptions and Catalog'!$H$55+'Assumptions and Catalog'!$E$55+'Assumptions and Catalog'!$F$55,IF(((D636+E636)*C636-G636)&lt;='Assumptions and Catalog'!$C$56,((D636+E636)*C636-G636)*'Assumptions and Catalog'!$H$56+'Assumptions and Catalog'!$E$56+'Assumptions and Catalog'!$F$56,IF(((D636+E636)*C636-G636)&lt;='Assumptions and Catalog'!$C$57,((D636+E636)*C636-G636)*'Assumptions and Catalog'!$H$57+'Assumptions and Catalog'!$E$57+'Assumptions and Catalog'!$F$57,"Out of range")))))))),IF(((D636+E636)*C636-G636)&lt;='Assumptions and Catalog'!$C$60,((D636+E636)*C636-G636)*'Assumptions and Catalog'!$H$60+'Assumptions and Catalog'!$E$60+'Assumptions and Catalog'!$F$60,IF(((D636+E636)*C636-G636)&lt;='Assumptions and Catalog'!$C$61,((D636+E636)*C636-G636)*'Assumptions and Catalog'!$H$61+'Assumptions and Catalog'!$E$61+'Assumptions and Catalog'!$F$61,IF(((D636+E636)*C636-G636)&lt;='Assumptions and Catalog'!$C$62,((D636+E636)*C636-G636)*'Assumptions and Catalog'!$H$62+'Assumptions and Catalog'!$E$62+'Assumptions and Catalog'!$F$62,IF(((D636+E636)*C636-G636)&lt;='Assumptions and Catalog'!$C$63,((D636+E636)*C636-G636)*'Assumptions and Catalog'!$H$63+'Assumptions and Catalog'!$E$63+'Assumptions and Catalog'!$F$63,IF(((D636+E636)*C636-G636)&lt;='Assumptions and Catalog'!$C$64,((D636+E636)*C636-G636)*'Assumptions and Catalog'!$H$64+'Assumptions and Catalog'!$E$64+'Assumptions and Catalog'!$F$64,IF(((D636+E636)*C636-G636)&lt;='Assumptions and Catalog'!$C$65,((D636+E636)*C636-G636)*'Assumptions and Catalog'!$H$65+'Assumptions and Catalog'!$E$65+'Assumptions and Catalog'!$F$65,"Out of range")))))))))*(1+'Assumptions and Catalog'!$C$8)^(A636-1),0)</f>
        <v>7094.794</v>
      </c>
      <c r="R636" s="5" t="n">
        <f>IF(AND('Assumptions and Catalog'!$C$19&gt;0,A636&gt;='Assumptions and Catalog'!$C$19),A636-'Assumptions and Catalog'!$C$19,A636-1)</f>
        <v>8</v>
      </c>
      <c r="S636" s="5" t="n">
        <f>F636+L636-(D636+E636)*C636-J636-K636-IF(D$52&gt;0,'Assumptions and Catalog'!$C$26*C636,0)</f>
        <v>0</v>
      </c>
      <c r="T636" s="5"/>
      <c r="U636" s="5"/>
    </row>
    <row r="637" ht="23.100000381469727" customHeight="1">
      <c r="A637" s="5" t="n">
        <v>19</v>
      </c>
      <c r="B637" s="5" t="n">
        <v>11</v>
      </c>
      <c r="C637" s="5" t="n">
        <f>DAY(DATE('Assumptions and Catalog'!$C$24+A637-1,B637+1,0))</f>
        <v>30</v>
      </c>
      <c r="D637" s="5" t="n">
        <f>IF(ISNUMBER(Inputs!$L$5),Inputs!$L$5*Inputs!$L$6,0)</f>
        <v>40.35</v>
      </c>
      <c r="E637" s="5" t="n">
        <f>IF(ISNUMBER(Inputs!$L$5),Inputs!$L$5-D637,0)</f>
        <v>40.35</v>
      </c>
      <c r="F637" s="5" t="n">
        <f>D$51*'Assumptions and Catalog'!$C$31*C637*(1-'Assumptions and Catalog'!$C$10)^(A637-1)</f>
        <v>0</v>
      </c>
      <c r="G637" s="5" t="n">
        <f>MIN(F637,D637*C637)</f>
        <v>0</v>
      </c>
      <c r="H637" s="5" t="n">
        <f>I637/('Assumptions and Catalog'!$C$11*'Assumptions and Catalog'!$C$12)</f>
        <v>0</v>
      </c>
      <c r="I637" s="5" t="n">
        <f>IF(K$15="Grid cycle",MIN(K$16,D637+E637,P637*'Assumptions and Catalog'!$C$12,D$57*(24-'Assumptions and Catalog'!$C$15),D$56*'Assumptions and Catalog'!$C$15*'Assumptions and Catalog'!$C$11*'Assumptions and Catalog'!$C$12)*C637,0)</f>
        <v>0</v>
      </c>
      <c r="J637" s="5" t="n">
        <f>MAX(F637-G637-0,0)</f>
        <v>0</v>
      </c>
      <c r="K637" s="5" t="n">
        <f>H637-I637</f>
        <v>0</v>
      </c>
      <c r="L637" s="5" t="n">
        <f>(D637+E637)*C637-G637-I637+H637+IF(D$52&gt;0,'Assumptions and Catalog'!$C$26*C637,0)</f>
        <v>2421</v>
      </c>
      <c r="M637" s="5" t="n">
        <f>IF(ISNUMBER(Inputs!$L$5),(IF(Inputs!$L$9="Actual flat rate",((D637+E637)*C637)*Inputs!$L$10,IF(Inputs!$C$9="Residential",IF(((D637+E637)*C637)&lt;='Assumptions and Catalog'!$C$50,((D637+E637)*C637)*'Assumptions and Catalog'!$H$50+'Assumptions and Catalog'!$E$50+'Assumptions and Catalog'!$F$50,IF(((D637+E637)*C637)&lt;='Assumptions and Catalog'!$C$51,((D637+E637)*C637)*'Assumptions and Catalog'!$H$51+'Assumptions and Catalog'!$E$51+'Assumptions and Catalog'!$F$51,IF(((D637+E637)*C637)&lt;='Assumptions and Catalog'!$C$52,((D637+E637)*C637)*'Assumptions and Catalog'!$H$52+'Assumptions and Catalog'!$E$52+'Assumptions and Catalog'!$F$52,IF(((D637+E637)*C637)&lt;='Assumptions and Catalog'!$C$53,((D637+E637)*C637)*'Assumptions and Catalog'!$H$53+'Assumptions and Catalog'!$E$53+'Assumptions and Catalog'!$F$53,IF(((D637+E637)*C637)&lt;='Assumptions and Catalog'!$C$54,((D637+E637)*C637)*'Assumptions and Catalog'!$H$54+'Assumptions and Catalog'!$E$54+'Assumptions and Catalog'!$F$54,IF(((D637+E637)*C637)&lt;='Assumptions and Catalog'!$C$55,((D637+E637)*C637)*'Assumptions and Catalog'!$H$55+'Assumptions and Catalog'!$E$55+'Assumptions and Catalog'!$F$55,IF(((D637+E637)*C637)&lt;='Assumptions and Catalog'!$C$56,((D637+E637)*C637)*'Assumptions and Catalog'!$H$56+'Assumptions and Catalog'!$E$56+'Assumptions and Catalog'!$F$56,IF(((D637+E637)*C637)&lt;='Assumptions and Catalog'!$C$57,((D637+E637)*C637)*'Assumptions and Catalog'!$H$57+'Assumptions and Catalog'!$E$57+'Assumptions and Catalog'!$F$57,"Out of range")))))))),IF(((D637+E637)*C637)&lt;='Assumptions and Catalog'!$C$60,((D637+E637)*C637)*'Assumptions and Catalog'!$H$60+'Assumptions and Catalog'!$E$60+'Assumptions and Catalog'!$F$60,IF(((D637+E637)*C637)&lt;='Assumptions and Catalog'!$C$61,((D637+E637)*C637)*'Assumptions and Catalog'!$H$61+'Assumptions and Catalog'!$E$61+'Assumptions and Catalog'!$F$61,IF(((D637+E637)*C637)&lt;='Assumptions and Catalog'!$C$62,((D637+E637)*C637)*'Assumptions and Catalog'!$H$62+'Assumptions and Catalog'!$E$62+'Assumptions and Catalog'!$F$62,IF(((D637+E637)*C637)&lt;='Assumptions and Catalog'!$C$63,((D637+E637)*C637)*'Assumptions and Catalog'!$H$63+'Assumptions and Catalog'!$E$63+'Assumptions and Catalog'!$F$63,IF(((D637+E637)*C637)&lt;='Assumptions and Catalog'!$C$64,((D637+E637)*C637)*'Assumptions and Catalog'!$H$64+'Assumptions and Catalog'!$E$64+'Assumptions and Catalog'!$F$64,IF(((D637+E637)*C637)&lt;='Assumptions and Catalog'!$C$65,((D637+E637)*C637)*'Assumptions and Catalog'!$H$65+'Assumptions and Catalog'!$E$65+'Assumptions and Catalog'!$F$65,"Out of range")))))))))*(1+'Assumptions and Catalog'!$C$8)^(A637-1),0)</f>
        <v>6867.22</v>
      </c>
      <c r="N637" s="5" t="n">
        <f>IF(ISNUMBER(Inputs!$L$5),(IF(Inputs!$L$9="Actual flat rate",L637*Inputs!$L$10,IF(Inputs!$C$9="Residential",IF(L637&lt;='Assumptions and Catalog'!$C$50,L637*'Assumptions and Catalog'!$H$50+'Assumptions and Catalog'!$E$50+'Assumptions and Catalog'!$F$50,IF(L637&lt;='Assumptions and Catalog'!$C$51,L637*'Assumptions and Catalog'!$H$51+'Assumptions and Catalog'!$E$51+'Assumptions and Catalog'!$F$51,IF(L637&lt;='Assumptions and Catalog'!$C$52,L637*'Assumptions and Catalog'!$H$52+'Assumptions and Catalog'!$E$52+'Assumptions and Catalog'!$F$52,IF(L637&lt;='Assumptions and Catalog'!$C$53,L637*'Assumptions and Catalog'!$H$53+'Assumptions and Catalog'!$E$53+'Assumptions and Catalog'!$F$53,IF(L637&lt;='Assumptions and Catalog'!$C$54,L637*'Assumptions and Catalog'!$H$54+'Assumptions and Catalog'!$E$54+'Assumptions and Catalog'!$F$54,IF(L637&lt;='Assumptions and Catalog'!$C$55,L637*'Assumptions and Catalog'!$H$55+'Assumptions and Catalog'!$E$55+'Assumptions and Catalog'!$F$55,IF(L637&lt;='Assumptions and Catalog'!$C$56,L637*'Assumptions and Catalog'!$H$56+'Assumptions and Catalog'!$E$56+'Assumptions and Catalog'!$F$56,IF(L637&lt;='Assumptions and Catalog'!$C$57,L637*'Assumptions and Catalog'!$H$57+'Assumptions and Catalog'!$E$57+'Assumptions and Catalog'!$F$57,"Out of range")))))))),IF(L637&lt;='Assumptions and Catalog'!$C$60,L637*'Assumptions and Catalog'!$H$60+'Assumptions and Catalog'!$E$60+'Assumptions and Catalog'!$F$60,IF(L637&lt;='Assumptions and Catalog'!$C$61,L637*'Assumptions and Catalog'!$H$61+'Assumptions and Catalog'!$E$61+'Assumptions and Catalog'!$F$61,IF(L637&lt;='Assumptions and Catalog'!$C$62,L637*'Assumptions and Catalog'!$H$62+'Assumptions and Catalog'!$E$62+'Assumptions and Catalog'!$F$62,IF(L637&lt;='Assumptions and Catalog'!$C$63,L637*'Assumptions and Catalog'!$H$63+'Assumptions and Catalog'!$E$63+'Assumptions and Catalog'!$F$63,IF(L637&lt;='Assumptions and Catalog'!$C$64,L637*'Assumptions and Catalog'!$H$64+'Assumptions and Catalog'!$E$64+'Assumptions and Catalog'!$F$64,IF(L637&lt;='Assumptions and Catalog'!$C$65,L637*'Assumptions and Catalog'!$H$65+'Assumptions and Catalog'!$E$65+'Assumptions and Catalog'!$F$65,"Out of range")))))))))*(1+'Assumptions and Catalog'!$C$8)^(A637-1),0)</f>
        <v>6867.22</v>
      </c>
      <c r="O637" s="5" t="n">
        <f>M637-N637</f>
        <v>0</v>
      </c>
      <c r="P637" s="5" t="n">
        <f>D$55*(1-K$14)*(1-'Assumptions and Catalog'!$C$23)^R637</f>
        <v>0</v>
      </c>
      <c r="Q637" s="5" t="n">
        <f>IF(ISNUMBER(Inputs!$L$5),(IF(Inputs!$L$9="Actual flat rate",((D637+E637)*C637-G637)*Inputs!$L$10,IF(Inputs!$C$9="Residential",IF(((D637+E637)*C637-G637)&lt;='Assumptions and Catalog'!$C$50,((D637+E637)*C637-G637)*'Assumptions and Catalog'!$H$50+'Assumptions and Catalog'!$E$50+'Assumptions and Catalog'!$F$50,IF(((D637+E637)*C637-G637)&lt;='Assumptions and Catalog'!$C$51,((D637+E637)*C637-G637)*'Assumptions and Catalog'!$H$51+'Assumptions and Catalog'!$E$51+'Assumptions and Catalog'!$F$51,IF(((D637+E637)*C637-G637)&lt;='Assumptions and Catalog'!$C$52,((D637+E637)*C637-G637)*'Assumptions and Catalog'!$H$52+'Assumptions and Catalog'!$E$52+'Assumptions and Catalog'!$F$52,IF(((D637+E637)*C637-G637)&lt;='Assumptions and Catalog'!$C$53,((D637+E637)*C637-G637)*'Assumptions and Catalog'!$H$53+'Assumptions and Catalog'!$E$53+'Assumptions and Catalog'!$F$53,IF(((D637+E637)*C637-G637)&lt;='Assumptions and Catalog'!$C$54,((D637+E637)*C637-G637)*'Assumptions and Catalog'!$H$54+'Assumptions and Catalog'!$E$54+'Assumptions and Catalog'!$F$54,IF(((D637+E637)*C637-G637)&lt;='Assumptions and Catalog'!$C$55,((D637+E637)*C637-G637)*'Assumptions and Catalog'!$H$55+'Assumptions and Catalog'!$E$55+'Assumptions and Catalog'!$F$55,IF(((D637+E637)*C637-G637)&lt;='Assumptions and Catalog'!$C$56,((D637+E637)*C637-G637)*'Assumptions and Catalog'!$H$56+'Assumptions and Catalog'!$E$56+'Assumptions and Catalog'!$F$56,IF(((D637+E637)*C637-G637)&lt;='Assumptions and Catalog'!$C$57,((D637+E637)*C637-G637)*'Assumptions and Catalog'!$H$57+'Assumptions and Catalog'!$E$57+'Assumptions and Catalog'!$F$57,"Out of range")))))))),IF(((D637+E637)*C637-G637)&lt;='Assumptions and Catalog'!$C$60,((D637+E637)*C637-G637)*'Assumptions and Catalog'!$H$60+'Assumptions and Catalog'!$E$60+'Assumptions and Catalog'!$F$60,IF(((D637+E637)*C637-G637)&lt;='Assumptions and Catalog'!$C$61,((D637+E637)*C637-G637)*'Assumptions and Catalog'!$H$61+'Assumptions and Catalog'!$E$61+'Assumptions and Catalog'!$F$61,IF(((D637+E637)*C637-G637)&lt;='Assumptions and Catalog'!$C$62,((D637+E637)*C637-G637)*'Assumptions and Catalog'!$H$62+'Assumptions and Catalog'!$E$62+'Assumptions and Catalog'!$F$62,IF(((D637+E637)*C637-G637)&lt;='Assumptions and Catalog'!$C$63,((D637+E637)*C637-G637)*'Assumptions and Catalog'!$H$63+'Assumptions and Catalog'!$E$63+'Assumptions and Catalog'!$F$63,IF(((D637+E637)*C637-G637)&lt;='Assumptions and Catalog'!$C$64,((D637+E637)*C637-G637)*'Assumptions and Catalog'!$H$64+'Assumptions and Catalog'!$E$64+'Assumptions and Catalog'!$F$64,IF(((D637+E637)*C637-G637)&lt;='Assumptions and Catalog'!$C$65,((D637+E637)*C637-G637)*'Assumptions and Catalog'!$H$65+'Assumptions and Catalog'!$E$65+'Assumptions and Catalog'!$F$65,"Out of range")))))))))*(1+'Assumptions and Catalog'!$C$8)^(A637-1),0)</f>
        <v>6867.22</v>
      </c>
      <c r="R637" s="5" t="n">
        <f>IF(AND('Assumptions and Catalog'!$C$19&gt;0,A637&gt;='Assumptions and Catalog'!$C$19),A637-'Assumptions and Catalog'!$C$19,A637-1)</f>
        <v>8</v>
      </c>
      <c r="S637" s="5" t="n">
        <f>F637+L637-(D637+E637)*C637-J637-K637-IF(D$52&gt;0,'Assumptions and Catalog'!$C$26*C637,0)</f>
        <v>0</v>
      </c>
      <c r="T637" s="5"/>
      <c r="U637" s="5"/>
    </row>
    <row r="638" ht="23.100000381469727" customHeight="1">
      <c r="A638" s="5" t="n">
        <v>19</v>
      </c>
      <c r="B638" s="5" t="n">
        <v>12</v>
      </c>
      <c r="C638" s="5" t="n">
        <f>DAY(DATE('Assumptions and Catalog'!$C$24+A638-1,B638+1,0))</f>
        <v>31</v>
      </c>
      <c r="D638" s="5" t="n">
        <f>IF(ISNUMBER(Inputs!$L$5),Inputs!$L$5*Inputs!$L$6,0)</f>
        <v>40.35</v>
      </c>
      <c r="E638" s="5" t="n">
        <f>IF(ISNUMBER(Inputs!$L$5),Inputs!$L$5-D638,0)</f>
        <v>40.35</v>
      </c>
      <c r="F638" s="5" t="n">
        <f>D$51*'Assumptions and Catalog'!$C$31*C638*(1-'Assumptions and Catalog'!$C$10)^(A638-1)</f>
        <v>0</v>
      </c>
      <c r="G638" s="5" t="n">
        <f>MIN(F638,D638*C638)</f>
        <v>0</v>
      </c>
      <c r="H638" s="5" t="n">
        <f>I638/('Assumptions and Catalog'!$C$11*'Assumptions and Catalog'!$C$12)</f>
        <v>0</v>
      </c>
      <c r="I638" s="5" t="n">
        <f>IF(K$15="Grid cycle",MIN(K$16,D638+E638,P638*'Assumptions and Catalog'!$C$12,D$57*(24-'Assumptions and Catalog'!$C$15),D$56*'Assumptions and Catalog'!$C$15*'Assumptions and Catalog'!$C$11*'Assumptions and Catalog'!$C$12)*C638,0)</f>
        <v>0</v>
      </c>
      <c r="J638" s="5" t="n">
        <f>MAX(F638-G638-0,0)</f>
        <v>0</v>
      </c>
      <c r="K638" s="5" t="n">
        <f>H638-I638</f>
        <v>0</v>
      </c>
      <c r="L638" s="5" t="n">
        <f>(D638+E638)*C638-G638-I638+H638+IF(D$52&gt;0,'Assumptions and Catalog'!$C$26*C638,0)</f>
        <v>2501.7</v>
      </c>
      <c r="M638" s="5" t="n">
        <f>IF(ISNUMBER(Inputs!$L$5),(IF(Inputs!$L$9="Actual flat rate",((D638+E638)*C638)*Inputs!$L$10,IF(Inputs!$C$9="Residential",IF(((D638+E638)*C638)&lt;='Assumptions and Catalog'!$C$50,((D638+E638)*C638)*'Assumptions and Catalog'!$H$50+'Assumptions and Catalog'!$E$50+'Assumptions and Catalog'!$F$50,IF(((D638+E638)*C638)&lt;='Assumptions and Catalog'!$C$51,((D638+E638)*C638)*'Assumptions and Catalog'!$H$51+'Assumptions and Catalog'!$E$51+'Assumptions and Catalog'!$F$51,IF(((D638+E638)*C638)&lt;='Assumptions and Catalog'!$C$52,((D638+E638)*C638)*'Assumptions and Catalog'!$H$52+'Assumptions and Catalog'!$E$52+'Assumptions and Catalog'!$F$52,IF(((D638+E638)*C638)&lt;='Assumptions and Catalog'!$C$53,((D638+E638)*C638)*'Assumptions and Catalog'!$H$53+'Assumptions and Catalog'!$E$53+'Assumptions and Catalog'!$F$53,IF(((D638+E638)*C638)&lt;='Assumptions and Catalog'!$C$54,((D638+E638)*C638)*'Assumptions and Catalog'!$H$54+'Assumptions and Catalog'!$E$54+'Assumptions and Catalog'!$F$54,IF(((D638+E638)*C638)&lt;='Assumptions and Catalog'!$C$55,((D638+E638)*C638)*'Assumptions and Catalog'!$H$55+'Assumptions and Catalog'!$E$55+'Assumptions and Catalog'!$F$55,IF(((D638+E638)*C638)&lt;='Assumptions and Catalog'!$C$56,((D638+E638)*C638)*'Assumptions and Catalog'!$H$56+'Assumptions and Catalog'!$E$56+'Assumptions and Catalog'!$F$56,IF(((D638+E638)*C638)&lt;='Assumptions and Catalog'!$C$57,((D638+E638)*C638)*'Assumptions and Catalog'!$H$57+'Assumptions and Catalog'!$E$57+'Assumptions and Catalog'!$F$57,"Out of range")))))))),IF(((D638+E638)*C638)&lt;='Assumptions and Catalog'!$C$60,((D638+E638)*C638)*'Assumptions and Catalog'!$H$60+'Assumptions and Catalog'!$E$60+'Assumptions and Catalog'!$F$60,IF(((D638+E638)*C638)&lt;='Assumptions and Catalog'!$C$61,((D638+E638)*C638)*'Assumptions and Catalog'!$H$61+'Assumptions and Catalog'!$E$61+'Assumptions and Catalog'!$F$61,IF(((D638+E638)*C638)&lt;='Assumptions and Catalog'!$C$62,((D638+E638)*C638)*'Assumptions and Catalog'!$H$62+'Assumptions and Catalog'!$E$62+'Assumptions and Catalog'!$F$62,IF(((D638+E638)*C638)&lt;='Assumptions and Catalog'!$C$63,((D638+E638)*C638)*'Assumptions and Catalog'!$H$63+'Assumptions and Catalog'!$E$63+'Assumptions and Catalog'!$F$63,IF(((D638+E638)*C638)&lt;='Assumptions and Catalog'!$C$64,((D638+E638)*C638)*'Assumptions and Catalog'!$H$64+'Assumptions and Catalog'!$E$64+'Assumptions and Catalog'!$F$64,IF(((D638+E638)*C638)&lt;='Assumptions and Catalog'!$C$65,((D638+E638)*C638)*'Assumptions and Catalog'!$H$65+'Assumptions and Catalog'!$E$65+'Assumptions and Catalog'!$F$65,"Out of range")))))))))*(1+'Assumptions and Catalog'!$C$8)^(A638-1),0)</f>
        <v>7094.794</v>
      </c>
      <c r="N638" s="5" t="n">
        <f>IF(ISNUMBER(Inputs!$L$5),(IF(Inputs!$L$9="Actual flat rate",L638*Inputs!$L$10,IF(Inputs!$C$9="Residential",IF(L638&lt;='Assumptions and Catalog'!$C$50,L638*'Assumptions and Catalog'!$H$50+'Assumptions and Catalog'!$E$50+'Assumptions and Catalog'!$F$50,IF(L638&lt;='Assumptions and Catalog'!$C$51,L638*'Assumptions and Catalog'!$H$51+'Assumptions and Catalog'!$E$51+'Assumptions and Catalog'!$F$51,IF(L638&lt;='Assumptions and Catalog'!$C$52,L638*'Assumptions and Catalog'!$H$52+'Assumptions and Catalog'!$E$52+'Assumptions and Catalog'!$F$52,IF(L638&lt;='Assumptions and Catalog'!$C$53,L638*'Assumptions and Catalog'!$H$53+'Assumptions and Catalog'!$E$53+'Assumptions and Catalog'!$F$53,IF(L638&lt;='Assumptions and Catalog'!$C$54,L638*'Assumptions and Catalog'!$H$54+'Assumptions and Catalog'!$E$54+'Assumptions and Catalog'!$F$54,IF(L638&lt;='Assumptions and Catalog'!$C$55,L638*'Assumptions and Catalog'!$H$55+'Assumptions and Catalog'!$E$55+'Assumptions and Catalog'!$F$55,IF(L638&lt;='Assumptions and Catalog'!$C$56,L638*'Assumptions and Catalog'!$H$56+'Assumptions and Catalog'!$E$56+'Assumptions and Catalog'!$F$56,IF(L638&lt;='Assumptions and Catalog'!$C$57,L638*'Assumptions and Catalog'!$H$57+'Assumptions and Catalog'!$E$57+'Assumptions and Catalog'!$F$57,"Out of range")))))))),IF(L638&lt;='Assumptions and Catalog'!$C$60,L638*'Assumptions and Catalog'!$H$60+'Assumptions and Catalog'!$E$60+'Assumptions and Catalog'!$F$60,IF(L638&lt;='Assumptions and Catalog'!$C$61,L638*'Assumptions and Catalog'!$H$61+'Assumptions and Catalog'!$E$61+'Assumptions and Catalog'!$F$61,IF(L638&lt;='Assumptions and Catalog'!$C$62,L638*'Assumptions and Catalog'!$H$62+'Assumptions and Catalog'!$E$62+'Assumptions and Catalog'!$F$62,IF(L638&lt;='Assumptions and Catalog'!$C$63,L638*'Assumptions and Catalog'!$H$63+'Assumptions and Catalog'!$E$63+'Assumptions and Catalog'!$F$63,IF(L638&lt;='Assumptions and Catalog'!$C$64,L638*'Assumptions and Catalog'!$H$64+'Assumptions and Catalog'!$E$64+'Assumptions and Catalog'!$F$64,IF(L638&lt;='Assumptions and Catalog'!$C$65,L638*'Assumptions and Catalog'!$H$65+'Assumptions and Catalog'!$E$65+'Assumptions and Catalog'!$F$65,"Out of range")))))))))*(1+'Assumptions and Catalog'!$C$8)^(A638-1),0)</f>
        <v>7094.794</v>
      </c>
      <c r="O638" s="5" t="n">
        <f>M638-N638</f>
        <v>0</v>
      </c>
      <c r="P638" s="5" t="n">
        <f>D$55*(1-K$14)*(1-'Assumptions and Catalog'!$C$23)^R638</f>
        <v>0</v>
      </c>
      <c r="Q638" s="5" t="n">
        <f>IF(ISNUMBER(Inputs!$L$5),(IF(Inputs!$L$9="Actual flat rate",((D638+E638)*C638-G638)*Inputs!$L$10,IF(Inputs!$C$9="Residential",IF(((D638+E638)*C638-G638)&lt;='Assumptions and Catalog'!$C$50,((D638+E638)*C638-G638)*'Assumptions and Catalog'!$H$50+'Assumptions and Catalog'!$E$50+'Assumptions and Catalog'!$F$50,IF(((D638+E638)*C638-G638)&lt;='Assumptions and Catalog'!$C$51,((D638+E638)*C638-G638)*'Assumptions and Catalog'!$H$51+'Assumptions and Catalog'!$E$51+'Assumptions and Catalog'!$F$51,IF(((D638+E638)*C638-G638)&lt;='Assumptions and Catalog'!$C$52,((D638+E638)*C638-G638)*'Assumptions and Catalog'!$H$52+'Assumptions and Catalog'!$E$52+'Assumptions and Catalog'!$F$52,IF(((D638+E638)*C638-G638)&lt;='Assumptions and Catalog'!$C$53,((D638+E638)*C638-G638)*'Assumptions and Catalog'!$H$53+'Assumptions and Catalog'!$E$53+'Assumptions and Catalog'!$F$53,IF(((D638+E638)*C638-G638)&lt;='Assumptions and Catalog'!$C$54,((D638+E638)*C638-G638)*'Assumptions and Catalog'!$H$54+'Assumptions and Catalog'!$E$54+'Assumptions and Catalog'!$F$54,IF(((D638+E638)*C638-G638)&lt;='Assumptions and Catalog'!$C$55,((D638+E638)*C638-G638)*'Assumptions and Catalog'!$H$55+'Assumptions and Catalog'!$E$55+'Assumptions and Catalog'!$F$55,IF(((D638+E638)*C638-G638)&lt;='Assumptions and Catalog'!$C$56,((D638+E638)*C638-G638)*'Assumptions and Catalog'!$H$56+'Assumptions and Catalog'!$E$56+'Assumptions and Catalog'!$F$56,IF(((D638+E638)*C638-G638)&lt;='Assumptions and Catalog'!$C$57,((D638+E638)*C638-G638)*'Assumptions and Catalog'!$H$57+'Assumptions and Catalog'!$E$57+'Assumptions and Catalog'!$F$57,"Out of range")))))))),IF(((D638+E638)*C638-G638)&lt;='Assumptions and Catalog'!$C$60,((D638+E638)*C638-G638)*'Assumptions and Catalog'!$H$60+'Assumptions and Catalog'!$E$60+'Assumptions and Catalog'!$F$60,IF(((D638+E638)*C638-G638)&lt;='Assumptions and Catalog'!$C$61,((D638+E638)*C638-G638)*'Assumptions and Catalog'!$H$61+'Assumptions and Catalog'!$E$61+'Assumptions and Catalog'!$F$61,IF(((D638+E638)*C638-G638)&lt;='Assumptions and Catalog'!$C$62,((D638+E638)*C638-G638)*'Assumptions and Catalog'!$H$62+'Assumptions and Catalog'!$E$62+'Assumptions and Catalog'!$F$62,IF(((D638+E638)*C638-G638)&lt;='Assumptions and Catalog'!$C$63,((D638+E638)*C638-G638)*'Assumptions and Catalog'!$H$63+'Assumptions and Catalog'!$E$63+'Assumptions and Catalog'!$F$63,IF(((D638+E638)*C638-G638)&lt;='Assumptions and Catalog'!$C$64,((D638+E638)*C638-G638)*'Assumptions and Catalog'!$H$64+'Assumptions and Catalog'!$E$64+'Assumptions and Catalog'!$F$64,IF(((D638+E638)*C638-G638)&lt;='Assumptions and Catalog'!$C$65,((D638+E638)*C638-G638)*'Assumptions and Catalog'!$H$65+'Assumptions and Catalog'!$E$65+'Assumptions and Catalog'!$F$65,"Out of range")))))))))*(1+'Assumptions and Catalog'!$C$8)^(A638-1),0)</f>
        <v>7094.794</v>
      </c>
      <c r="R638" s="5" t="n">
        <f>IF(AND('Assumptions and Catalog'!$C$19&gt;0,A638&gt;='Assumptions and Catalog'!$C$19),A638-'Assumptions and Catalog'!$C$19,A638-1)</f>
        <v>8</v>
      </c>
      <c r="S638" s="5" t="n">
        <f>F638+L638-(D638+E638)*C638-J638-K638-IF(D$52&gt;0,'Assumptions and Catalog'!$C$26*C638,0)</f>
        <v>0</v>
      </c>
      <c r="T638" s="5"/>
      <c r="U638" s="5"/>
    </row>
    <row r="639" ht="23.100000381469727" customHeight="1">
      <c r="A639" s="5" t="n">
        <v>20</v>
      </c>
      <c r="B639" s="5" t="n">
        <v>1</v>
      </c>
      <c r="C639" s="5" t="n">
        <f>DAY(DATE('Assumptions and Catalog'!$C$24+A639-1,B639+1,0))</f>
        <v>31</v>
      </c>
      <c r="D639" s="5" t="n">
        <f>IF(ISNUMBER(Inputs!$L$5),Inputs!$L$5*Inputs!$L$6,0)</f>
        <v>40.35</v>
      </c>
      <c r="E639" s="5" t="n">
        <f>IF(ISNUMBER(Inputs!$L$5),Inputs!$L$5-D639,0)</f>
        <v>40.35</v>
      </c>
      <c r="F639" s="5" t="n">
        <f>D$51*'Assumptions and Catalog'!$C$31*C639*(1-'Assumptions and Catalog'!$C$10)^(A639-1)</f>
        <v>0</v>
      </c>
      <c r="G639" s="5" t="n">
        <f>MIN(F639,D639*C639)</f>
        <v>0</v>
      </c>
      <c r="H639" s="5" t="n">
        <f>I639/('Assumptions and Catalog'!$C$11*'Assumptions and Catalog'!$C$12)</f>
        <v>0</v>
      </c>
      <c r="I639" s="5" t="n">
        <f>IF(K$15="Grid cycle",MIN(K$16,D639+E639,P639*'Assumptions and Catalog'!$C$12,D$57*(24-'Assumptions and Catalog'!$C$15),D$56*'Assumptions and Catalog'!$C$15*'Assumptions and Catalog'!$C$11*'Assumptions and Catalog'!$C$12)*C639,0)</f>
        <v>0</v>
      </c>
      <c r="J639" s="5" t="n">
        <f>MAX(F639-G639-0,0)</f>
        <v>0</v>
      </c>
      <c r="K639" s="5" t="n">
        <f>H639-I639</f>
        <v>0</v>
      </c>
      <c r="L639" s="5" t="n">
        <f>(D639+E639)*C639-G639-I639+H639+IF(D$52&gt;0,'Assumptions and Catalog'!$C$26*C639,0)</f>
        <v>2501.7</v>
      </c>
      <c r="M639" s="5" t="n">
        <f>IF(ISNUMBER(Inputs!$L$5),(IF(Inputs!$L$9="Actual flat rate",((D639+E639)*C639)*Inputs!$L$10,IF(Inputs!$C$9="Residential",IF(((D639+E639)*C639)&lt;='Assumptions and Catalog'!$C$50,((D639+E639)*C639)*'Assumptions and Catalog'!$H$50+'Assumptions and Catalog'!$E$50+'Assumptions and Catalog'!$F$50,IF(((D639+E639)*C639)&lt;='Assumptions and Catalog'!$C$51,((D639+E639)*C639)*'Assumptions and Catalog'!$H$51+'Assumptions and Catalog'!$E$51+'Assumptions and Catalog'!$F$51,IF(((D639+E639)*C639)&lt;='Assumptions and Catalog'!$C$52,((D639+E639)*C639)*'Assumptions and Catalog'!$H$52+'Assumptions and Catalog'!$E$52+'Assumptions and Catalog'!$F$52,IF(((D639+E639)*C639)&lt;='Assumptions and Catalog'!$C$53,((D639+E639)*C639)*'Assumptions and Catalog'!$H$53+'Assumptions and Catalog'!$E$53+'Assumptions and Catalog'!$F$53,IF(((D639+E639)*C639)&lt;='Assumptions and Catalog'!$C$54,((D639+E639)*C639)*'Assumptions and Catalog'!$H$54+'Assumptions and Catalog'!$E$54+'Assumptions and Catalog'!$F$54,IF(((D639+E639)*C639)&lt;='Assumptions and Catalog'!$C$55,((D639+E639)*C639)*'Assumptions and Catalog'!$H$55+'Assumptions and Catalog'!$E$55+'Assumptions and Catalog'!$F$55,IF(((D639+E639)*C639)&lt;='Assumptions and Catalog'!$C$56,((D639+E639)*C639)*'Assumptions and Catalog'!$H$56+'Assumptions and Catalog'!$E$56+'Assumptions and Catalog'!$F$56,IF(((D639+E639)*C639)&lt;='Assumptions and Catalog'!$C$57,((D639+E639)*C639)*'Assumptions and Catalog'!$H$57+'Assumptions and Catalog'!$E$57+'Assumptions and Catalog'!$F$57,"Out of range")))))))),IF(((D639+E639)*C639)&lt;='Assumptions and Catalog'!$C$60,((D639+E639)*C639)*'Assumptions and Catalog'!$H$60+'Assumptions and Catalog'!$E$60+'Assumptions and Catalog'!$F$60,IF(((D639+E639)*C639)&lt;='Assumptions and Catalog'!$C$61,((D639+E639)*C639)*'Assumptions and Catalog'!$H$61+'Assumptions and Catalog'!$E$61+'Assumptions and Catalog'!$F$61,IF(((D639+E639)*C639)&lt;='Assumptions and Catalog'!$C$62,((D639+E639)*C639)*'Assumptions and Catalog'!$H$62+'Assumptions and Catalog'!$E$62+'Assumptions and Catalog'!$F$62,IF(((D639+E639)*C639)&lt;='Assumptions and Catalog'!$C$63,((D639+E639)*C639)*'Assumptions and Catalog'!$H$63+'Assumptions and Catalog'!$E$63+'Assumptions and Catalog'!$F$63,IF(((D639+E639)*C639)&lt;='Assumptions and Catalog'!$C$64,((D639+E639)*C639)*'Assumptions and Catalog'!$H$64+'Assumptions and Catalog'!$E$64+'Assumptions and Catalog'!$F$64,IF(((D639+E639)*C639)&lt;='Assumptions and Catalog'!$C$65,((D639+E639)*C639)*'Assumptions and Catalog'!$H$65+'Assumptions and Catalog'!$E$65+'Assumptions and Catalog'!$F$65,"Out of range")))))))))*(1+'Assumptions and Catalog'!$C$8)^(A639-1),0)</f>
        <v>7094.794</v>
      </c>
      <c r="N639" s="5" t="n">
        <f>IF(ISNUMBER(Inputs!$L$5),(IF(Inputs!$L$9="Actual flat rate",L639*Inputs!$L$10,IF(Inputs!$C$9="Residential",IF(L639&lt;='Assumptions and Catalog'!$C$50,L639*'Assumptions and Catalog'!$H$50+'Assumptions and Catalog'!$E$50+'Assumptions and Catalog'!$F$50,IF(L639&lt;='Assumptions and Catalog'!$C$51,L639*'Assumptions and Catalog'!$H$51+'Assumptions and Catalog'!$E$51+'Assumptions and Catalog'!$F$51,IF(L639&lt;='Assumptions and Catalog'!$C$52,L639*'Assumptions and Catalog'!$H$52+'Assumptions and Catalog'!$E$52+'Assumptions and Catalog'!$F$52,IF(L639&lt;='Assumptions and Catalog'!$C$53,L639*'Assumptions and Catalog'!$H$53+'Assumptions and Catalog'!$E$53+'Assumptions and Catalog'!$F$53,IF(L639&lt;='Assumptions and Catalog'!$C$54,L639*'Assumptions and Catalog'!$H$54+'Assumptions and Catalog'!$E$54+'Assumptions and Catalog'!$F$54,IF(L639&lt;='Assumptions and Catalog'!$C$55,L639*'Assumptions and Catalog'!$H$55+'Assumptions and Catalog'!$E$55+'Assumptions and Catalog'!$F$55,IF(L639&lt;='Assumptions and Catalog'!$C$56,L639*'Assumptions and Catalog'!$H$56+'Assumptions and Catalog'!$E$56+'Assumptions and Catalog'!$F$56,IF(L639&lt;='Assumptions and Catalog'!$C$57,L639*'Assumptions and Catalog'!$H$57+'Assumptions and Catalog'!$E$57+'Assumptions and Catalog'!$F$57,"Out of range")))))))),IF(L639&lt;='Assumptions and Catalog'!$C$60,L639*'Assumptions and Catalog'!$H$60+'Assumptions and Catalog'!$E$60+'Assumptions and Catalog'!$F$60,IF(L639&lt;='Assumptions and Catalog'!$C$61,L639*'Assumptions and Catalog'!$H$61+'Assumptions and Catalog'!$E$61+'Assumptions and Catalog'!$F$61,IF(L639&lt;='Assumptions and Catalog'!$C$62,L639*'Assumptions and Catalog'!$H$62+'Assumptions and Catalog'!$E$62+'Assumptions and Catalog'!$F$62,IF(L639&lt;='Assumptions and Catalog'!$C$63,L639*'Assumptions and Catalog'!$H$63+'Assumptions and Catalog'!$E$63+'Assumptions and Catalog'!$F$63,IF(L639&lt;='Assumptions and Catalog'!$C$64,L639*'Assumptions and Catalog'!$H$64+'Assumptions and Catalog'!$E$64+'Assumptions and Catalog'!$F$64,IF(L639&lt;='Assumptions and Catalog'!$C$65,L639*'Assumptions and Catalog'!$H$65+'Assumptions and Catalog'!$E$65+'Assumptions and Catalog'!$F$65,"Out of range")))))))))*(1+'Assumptions and Catalog'!$C$8)^(A639-1),0)</f>
        <v>7094.794</v>
      </c>
      <c r="O639" s="5" t="n">
        <f>M639-N639</f>
        <v>0</v>
      </c>
      <c r="P639" s="5" t="n">
        <f>D$55*(1-K$14)*(1-'Assumptions and Catalog'!$C$23)^R639</f>
        <v>0</v>
      </c>
      <c r="Q639" s="5" t="n">
        <f>IF(ISNUMBER(Inputs!$L$5),(IF(Inputs!$L$9="Actual flat rate",((D639+E639)*C639-G639)*Inputs!$L$10,IF(Inputs!$C$9="Residential",IF(((D639+E639)*C639-G639)&lt;='Assumptions and Catalog'!$C$50,((D639+E639)*C639-G639)*'Assumptions and Catalog'!$H$50+'Assumptions and Catalog'!$E$50+'Assumptions and Catalog'!$F$50,IF(((D639+E639)*C639-G639)&lt;='Assumptions and Catalog'!$C$51,((D639+E639)*C639-G639)*'Assumptions and Catalog'!$H$51+'Assumptions and Catalog'!$E$51+'Assumptions and Catalog'!$F$51,IF(((D639+E639)*C639-G639)&lt;='Assumptions and Catalog'!$C$52,((D639+E639)*C639-G639)*'Assumptions and Catalog'!$H$52+'Assumptions and Catalog'!$E$52+'Assumptions and Catalog'!$F$52,IF(((D639+E639)*C639-G639)&lt;='Assumptions and Catalog'!$C$53,((D639+E639)*C639-G639)*'Assumptions and Catalog'!$H$53+'Assumptions and Catalog'!$E$53+'Assumptions and Catalog'!$F$53,IF(((D639+E639)*C639-G639)&lt;='Assumptions and Catalog'!$C$54,((D639+E639)*C639-G639)*'Assumptions and Catalog'!$H$54+'Assumptions and Catalog'!$E$54+'Assumptions and Catalog'!$F$54,IF(((D639+E639)*C639-G639)&lt;='Assumptions and Catalog'!$C$55,((D639+E639)*C639-G639)*'Assumptions and Catalog'!$H$55+'Assumptions and Catalog'!$E$55+'Assumptions and Catalog'!$F$55,IF(((D639+E639)*C639-G639)&lt;='Assumptions and Catalog'!$C$56,((D639+E639)*C639-G639)*'Assumptions and Catalog'!$H$56+'Assumptions and Catalog'!$E$56+'Assumptions and Catalog'!$F$56,IF(((D639+E639)*C639-G639)&lt;='Assumptions and Catalog'!$C$57,((D639+E639)*C639-G639)*'Assumptions and Catalog'!$H$57+'Assumptions and Catalog'!$E$57+'Assumptions and Catalog'!$F$57,"Out of range")))))))),IF(((D639+E639)*C639-G639)&lt;='Assumptions and Catalog'!$C$60,((D639+E639)*C639-G639)*'Assumptions and Catalog'!$H$60+'Assumptions and Catalog'!$E$60+'Assumptions and Catalog'!$F$60,IF(((D639+E639)*C639-G639)&lt;='Assumptions and Catalog'!$C$61,((D639+E639)*C639-G639)*'Assumptions and Catalog'!$H$61+'Assumptions and Catalog'!$E$61+'Assumptions and Catalog'!$F$61,IF(((D639+E639)*C639-G639)&lt;='Assumptions and Catalog'!$C$62,((D639+E639)*C639-G639)*'Assumptions and Catalog'!$H$62+'Assumptions and Catalog'!$E$62+'Assumptions and Catalog'!$F$62,IF(((D639+E639)*C639-G639)&lt;='Assumptions and Catalog'!$C$63,((D639+E639)*C639-G639)*'Assumptions and Catalog'!$H$63+'Assumptions and Catalog'!$E$63+'Assumptions and Catalog'!$F$63,IF(((D639+E639)*C639-G639)&lt;='Assumptions and Catalog'!$C$64,((D639+E639)*C639-G639)*'Assumptions and Catalog'!$H$64+'Assumptions and Catalog'!$E$64+'Assumptions and Catalog'!$F$64,IF(((D639+E639)*C639-G639)&lt;='Assumptions and Catalog'!$C$65,((D639+E639)*C639-G639)*'Assumptions and Catalog'!$H$65+'Assumptions and Catalog'!$E$65+'Assumptions and Catalog'!$F$65,"Out of range")))))))))*(1+'Assumptions and Catalog'!$C$8)^(A639-1),0)</f>
        <v>7094.794</v>
      </c>
      <c r="R639" s="5" t="n">
        <f>IF(AND('Assumptions and Catalog'!$C$19&gt;0,A639&gt;='Assumptions and Catalog'!$C$19),A639-'Assumptions and Catalog'!$C$19,A639-1)</f>
        <v>9</v>
      </c>
      <c r="S639" s="5" t="n">
        <f>F639+L639-(D639+E639)*C639-J639-K639-IF(D$52&gt;0,'Assumptions and Catalog'!$C$26*C639,0)</f>
        <v>0</v>
      </c>
      <c r="T639" s="5"/>
      <c r="U639" s="5"/>
    </row>
    <row r="640" ht="23.100000381469727" customHeight="1">
      <c r="A640" s="5" t="n">
        <v>20</v>
      </c>
      <c r="B640" s="5" t="n">
        <v>2</v>
      </c>
      <c r="C640" s="5" t="n">
        <f>DAY(DATE('Assumptions and Catalog'!$C$24+A640-1,B640+1,0))</f>
        <v>28</v>
      </c>
      <c r="D640" s="5" t="n">
        <f>IF(ISNUMBER(Inputs!$L$5),Inputs!$L$5*Inputs!$L$6,0)</f>
        <v>40.35</v>
      </c>
      <c r="E640" s="5" t="n">
        <f>IF(ISNUMBER(Inputs!$L$5),Inputs!$L$5-D640,0)</f>
        <v>40.35</v>
      </c>
      <c r="F640" s="5" t="n">
        <f>D$51*'Assumptions and Catalog'!$C$31*C640*(1-'Assumptions and Catalog'!$C$10)^(A640-1)</f>
        <v>0</v>
      </c>
      <c r="G640" s="5" t="n">
        <f>MIN(F640,D640*C640)</f>
        <v>0</v>
      </c>
      <c r="H640" s="5" t="n">
        <f>I640/('Assumptions and Catalog'!$C$11*'Assumptions and Catalog'!$C$12)</f>
        <v>0</v>
      </c>
      <c r="I640" s="5" t="n">
        <f>IF(K$15="Grid cycle",MIN(K$16,D640+E640,P640*'Assumptions and Catalog'!$C$12,D$57*(24-'Assumptions and Catalog'!$C$15),D$56*'Assumptions and Catalog'!$C$15*'Assumptions and Catalog'!$C$11*'Assumptions and Catalog'!$C$12)*C640,0)</f>
        <v>0</v>
      </c>
      <c r="J640" s="5" t="n">
        <f>MAX(F640-G640-0,0)</f>
        <v>0</v>
      </c>
      <c r="K640" s="5" t="n">
        <f>H640-I640</f>
        <v>0</v>
      </c>
      <c r="L640" s="5" t="n">
        <f>(D640+E640)*C640-G640-I640+H640+IF(D$52&gt;0,'Assumptions and Catalog'!$C$26*C640,0)</f>
        <v>2259.6</v>
      </c>
      <c r="M640" s="5" t="n">
        <f>IF(ISNUMBER(Inputs!$L$5),(IF(Inputs!$L$9="Actual flat rate",((D640+E640)*C640)*Inputs!$L$10,IF(Inputs!$C$9="Residential",IF(((D640+E640)*C640)&lt;='Assumptions and Catalog'!$C$50,((D640+E640)*C640)*'Assumptions and Catalog'!$H$50+'Assumptions and Catalog'!$E$50+'Assumptions and Catalog'!$F$50,IF(((D640+E640)*C640)&lt;='Assumptions and Catalog'!$C$51,((D640+E640)*C640)*'Assumptions and Catalog'!$H$51+'Assumptions and Catalog'!$E$51+'Assumptions and Catalog'!$F$51,IF(((D640+E640)*C640)&lt;='Assumptions and Catalog'!$C$52,((D640+E640)*C640)*'Assumptions and Catalog'!$H$52+'Assumptions and Catalog'!$E$52+'Assumptions and Catalog'!$F$52,IF(((D640+E640)*C640)&lt;='Assumptions and Catalog'!$C$53,((D640+E640)*C640)*'Assumptions and Catalog'!$H$53+'Assumptions and Catalog'!$E$53+'Assumptions and Catalog'!$F$53,IF(((D640+E640)*C640)&lt;='Assumptions and Catalog'!$C$54,((D640+E640)*C640)*'Assumptions and Catalog'!$H$54+'Assumptions and Catalog'!$E$54+'Assumptions and Catalog'!$F$54,IF(((D640+E640)*C640)&lt;='Assumptions and Catalog'!$C$55,((D640+E640)*C640)*'Assumptions and Catalog'!$H$55+'Assumptions and Catalog'!$E$55+'Assumptions and Catalog'!$F$55,IF(((D640+E640)*C640)&lt;='Assumptions and Catalog'!$C$56,((D640+E640)*C640)*'Assumptions and Catalog'!$H$56+'Assumptions and Catalog'!$E$56+'Assumptions and Catalog'!$F$56,IF(((D640+E640)*C640)&lt;='Assumptions and Catalog'!$C$57,((D640+E640)*C640)*'Assumptions and Catalog'!$H$57+'Assumptions and Catalog'!$E$57+'Assumptions and Catalog'!$F$57,"Out of range")))))))),IF(((D640+E640)*C640)&lt;='Assumptions and Catalog'!$C$60,((D640+E640)*C640)*'Assumptions and Catalog'!$H$60+'Assumptions and Catalog'!$E$60+'Assumptions and Catalog'!$F$60,IF(((D640+E640)*C640)&lt;='Assumptions and Catalog'!$C$61,((D640+E640)*C640)*'Assumptions and Catalog'!$H$61+'Assumptions and Catalog'!$E$61+'Assumptions and Catalog'!$F$61,IF(((D640+E640)*C640)&lt;='Assumptions and Catalog'!$C$62,((D640+E640)*C640)*'Assumptions and Catalog'!$H$62+'Assumptions and Catalog'!$E$62+'Assumptions and Catalog'!$F$62,IF(((D640+E640)*C640)&lt;='Assumptions and Catalog'!$C$63,((D640+E640)*C640)*'Assumptions and Catalog'!$H$63+'Assumptions and Catalog'!$E$63+'Assumptions and Catalog'!$F$63,IF(((D640+E640)*C640)&lt;='Assumptions and Catalog'!$C$64,((D640+E640)*C640)*'Assumptions and Catalog'!$H$64+'Assumptions and Catalog'!$E$64+'Assumptions and Catalog'!$F$64,IF(((D640+E640)*C640)&lt;='Assumptions and Catalog'!$C$65,((D640+E640)*C640)*'Assumptions and Catalog'!$H$65+'Assumptions and Catalog'!$E$65+'Assumptions and Catalog'!$F$65,"Out of range")))))))))*(1+'Assumptions and Catalog'!$C$8)^(A640-1),0)</f>
        <v>6412.072</v>
      </c>
      <c r="N640" s="5" t="n">
        <f>IF(ISNUMBER(Inputs!$L$5),(IF(Inputs!$L$9="Actual flat rate",L640*Inputs!$L$10,IF(Inputs!$C$9="Residential",IF(L640&lt;='Assumptions and Catalog'!$C$50,L640*'Assumptions and Catalog'!$H$50+'Assumptions and Catalog'!$E$50+'Assumptions and Catalog'!$F$50,IF(L640&lt;='Assumptions and Catalog'!$C$51,L640*'Assumptions and Catalog'!$H$51+'Assumptions and Catalog'!$E$51+'Assumptions and Catalog'!$F$51,IF(L640&lt;='Assumptions and Catalog'!$C$52,L640*'Assumptions and Catalog'!$H$52+'Assumptions and Catalog'!$E$52+'Assumptions and Catalog'!$F$52,IF(L640&lt;='Assumptions and Catalog'!$C$53,L640*'Assumptions and Catalog'!$H$53+'Assumptions and Catalog'!$E$53+'Assumptions and Catalog'!$F$53,IF(L640&lt;='Assumptions and Catalog'!$C$54,L640*'Assumptions and Catalog'!$H$54+'Assumptions and Catalog'!$E$54+'Assumptions and Catalog'!$F$54,IF(L640&lt;='Assumptions and Catalog'!$C$55,L640*'Assumptions and Catalog'!$H$55+'Assumptions and Catalog'!$E$55+'Assumptions and Catalog'!$F$55,IF(L640&lt;='Assumptions and Catalog'!$C$56,L640*'Assumptions and Catalog'!$H$56+'Assumptions and Catalog'!$E$56+'Assumptions and Catalog'!$F$56,IF(L640&lt;='Assumptions and Catalog'!$C$57,L640*'Assumptions and Catalog'!$H$57+'Assumptions and Catalog'!$E$57+'Assumptions and Catalog'!$F$57,"Out of range")))))))),IF(L640&lt;='Assumptions and Catalog'!$C$60,L640*'Assumptions and Catalog'!$H$60+'Assumptions and Catalog'!$E$60+'Assumptions and Catalog'!$F$60,IF(L640&lt;='Assumptions and Catalog'!$C$61,L640*'Assumptions and Catalog'!$H$61+'Assumptions and Catalog'!$E$61+'Assumptions and Catalog'!$F$61,IF(L640&lt;='Assumptions and Catalog'!$C$62,L640*'Assumptions and Catalog'!$H$62+'Assumptions and Catalog'!$E$62+'Assumptions and Catalog'!$F$62,IF(L640&lt;='Assumptions and Catalog'!$C$63,L640*'Assumptions and Catalog'!$H$63+'Assumptions and Catalog'!$E$63+'Assumptions and Catalog'!$F$63,IF(L640&lt;='Assumptions and Catalog'!$C$64,L640*'Assumptions and Catalog'!$H$64+'Assumptions and Catalog'!$E$64+'Assumptions and Catalog'!$F$64,IF(L640&lt;='Assumptions and Catalog'!$C$65,L640*'Assumptions and Catalog'!$H$65+'Assumptions and Catalog'!$E$65+'Assumptions and Catalog'!$F$65,"Out of range")))))))))*(1+'Assumptions and Catalog'!$C$8)^(A640-1),0)</f>
        <v>6412.072</v>
      </c>
      <c r="O640" s="5" t="n">
        <f>M640-N640</f>
        <v>0</v>
      </c>
      <c r="P640" s="5" t="n">
        <f>D$55*(1-K$14)*(1-'Assumptions and Catalog'!$C$23)^R640</f>
        <v>0</v>
      </c>
      <c r="Q640" s="5" t="n">
        <f>IF(ISNUMBER(Inputs!$L$5),(IF(Inputs!$L$9="Actual flat rate",((D640+E640)*C640-G640)*Inputs!$L$10,IF(Inputs!$C$9="Residential",IF(((D640+E640)*C640-G640)&lt;='Assumptions and Catalog'!$C$50,((D640+E640)*C640-G640)*'Assumptions and Catalog'!$H$50+'Assumptions and Catalog'!$E$50+'Assumptions and Catalog'!$F$50,IF(((D640+E640)*C640-G640)&lt;='Assumptions and Catalog'!$C$51,((D640+E640)*C640-G640)*'Assumptions and Catalog'!$H$51+'Assumptions and Catalog'!$E$51+'Assumptions and Catalog'!$F$51,IF(((D640+E640)*C640-G640)&lt;='Assumptions and Catalog'!$C$52,((D640+E640)*C640-G640)*'Assumptions and Catalog'!$H$52+'Assumptions and Catalog'!$E$52+'Assumptions and Catalog'!$F$52,IF(((D640+E640)*C640-G640)&lt;='Assumptions and Catalog'!$C$53,((D640+E640)*C640-G640)*'Assumptions and Catalog'!$H$53+'Assumptions and Catalog'!$E$53+'Assumptions and Catalog'!$F$53,IF(((D640+E640)*C640-G640)&lt;='Assumptions and Catalog'!$C$54,((D640+E640)*C640-G640)*'Assumptions and Catalog'!$H$54+'Assumptions and Catalog'!$E$54+'Assumptions and Catalog'!$F$54,IF(((D640+E640)*C640-G640)&lt;='Assumptions and Catalog'!$C$55,((D640+E640)*C640-G640)*'Assumptions and Catalog'!$H$55+'Assumptions and Catalog'!$E$55+'Assumptions and Catalog'!$F$55,IF(((D640+E640)*C640-G640)&lt;='Assumptions and Catalog'!$C$56,((D640+E640)*C640-G640)*'Assumptions and Catalog'!$H$56+'Assumptions and Catalog'!$E$56+'Assumptions and Catalog'!$F$56,IF(((D640+E640)*C640-G640)&lt;='Assumptions and Catalog'!$C$57,((D640+E640)*C640-G640)*'Assumptions and Catalog'!$H$57+'Assumptions and Catalog'!$E$57+'Assumptions and Catalog'!$F$57,"Out of range")))))))),IF(((D640+E640)*C640-G640)&lt;='Assumptions and Catalog'!$C$60,((D640+E640)*C640-G640)*'Assumptions and Catalog'!$H$60+'Assumptions and Catalog'!$E$60+'Assumptions and Catalog'!$F$60,IF(((D640+E640)*C640-G640)&lt;='Assumptions and Catalog'!$C$61,((D640+E640)*C640-G640)*'Assumptions and Catalog'!$H$61+'Assumptions and Catalog'!$E$61+'Assumptions and Catalog'!$F$61,IF(((D640+E640)*C640-G640)&lt;='Assumptions and Catalog'!$C$62,((D640+E640)*C640-G640)*'Assumptions and Catalog'!$H$62+'Assumptions and Catalog'!$E$62+'Assumptions and Catalog'!$F$62,IF(((D640+E640)*C640-G640)&lt;='Assumptions and Catalog'!$C$63,((D640+E640)*C640-G640)*'Assumptions and Catalog'!$H$63+'Assumptions and Catalog'!$E$63+'Assumptions and Catalog'!$F$63,IF(((D640+E640)*C640-G640)&lt;='Assumptions and Catalog'!$C$64,((D640+E640)*C640-G640)*'Assumptions and Catalog'!$H$64+'Assumptions and Catalog'!$E$64+'Assumptions and Catalog'!$F$64,IF(((D640+E640)*C640-G640)&lt;='Assumptions and Catalog'!$C$65,((D640+E640)*C640-G640)*'Assumptions and Catalog'!$H$65+'Assumptions and Catalog'!$E$65+'Assumptions and Catalog'!$F$65,"Out of range")))))))))*(1+'Assumptions and Catalog'!$C$8)^(A640-1),0)</f>
        <v>6412.072</v>
      </c>
      <c r="R640" s="5" t="n">
        <f>IF(AND('Assumptions and Catalog'!$C$19&gt;0,A640&gt;='Assumptions and Catalog'!$C$19),A640-'Assumptions and Catalog'!$C$19,A640-1)</f>
        <v>9</v>
      </c>
      <c r="S640" s="5" t="n">
        <f>F640+L640-(D640+E640)*C640-J640-K640-IF(D$52&gt;0,'Assumptions and Catalog'!$C$26*C640,0)</f>
        <v>0</v>
      </c>
      <c r="T640" s="5"/>
      <c r="U640" s="5"/>
    </row>
    <row r="641" ht="23.100000381469727" customHeight="1">
      <c r="A641" s="5" t="n">
        <v>20</v>
      </c>
      <c r="B641" s="5" t="n">
        <v>3</v>
      </c>
      <c r="C641" s="5" t="n">
        <f>DAY(DATE('Assumptions and Catalog'!$C$24+A641-1,B641+1,0))</f>
        <v>31</v>
      </c>
      <c r="D641" s="5" t="n">
        <f>IF(ISNUMBER(Inputs!$L$5),Inputs!$L$5*Inputs!$L$6,0)</f>
        <v>40.35</v>
      </c>
      <c r="E641" s="5" t="n">
        <f>IF(ISNUMBER(Inputs!$L$5),Inputs!$L$5-D641,0)</f>
        <v>40.35</v>
      </c>
      <c r="F641" s="5" t="n">
        <f>D$51*'Assumptions and Catalog'!$C$31*C641*(1-'Assumptions and Catalog'!$C$10)^(A641-1)</f>
        <v>0</v>
      </c>
      <c r="G641" s="5" t="n">
        <f>MIN(F641,D641*C641)</f>
        <v>0</v>
      </c>
      <c r="H641" s="5" t="n">
        <f>I641/('Assumptions and Catalog'!$C$11*'Assumptions and Catalog'!$C$12)</f>
        <v>0</v>
      </c>
      <c r="I641" s="5" t="n">
        <f>IF(K$15="Grid cycle",MIN(K$16,D641+E641,P641*'Assumptions and Catalog'!$C$12,D$57*(24-'Assumptions and Catalog'!$C$15),D$56*'Assumptions and Catalog'!$C$15*'Assumptions and Catalog'!$C$11*'Assumptions and Catalog'!$C$12)*C641,0)</f>
        <v>0</v>
      </c>
      <c r="J641" s="5" t="n">
        <f>MAX(F641-G641-0,0)</f>
        <v>0</v>
      </c>
      <c r="K641" s="5" t="n">
        <f>H641-I641</f>
        <v>0</v>
      </c>
      <c r="L641" s="5" t="n">
        <f>(D641+E641)*C641-G641-I641+H641+IF(D$52&gt;0,'Assumptions and Catalog'!$C$26*C641,0)</f>
        <v>2501.7</v>
      </c>
      <c r="M641" s="5" t="n">
        <f>IF(ISNUMBER(Inputs!$L$5),(IF(Inputs!$L$9="Actual flat rate",((D641+E641)*C641)*Inputs!$L$10,IF(Inputs!$C$9="Residential",IF(((D641+E641)*C641)&lt;='Assumptions and Catalog'!$C$50,((D641+E641)*C641)*'Assumptions and Catalog'!$H$50+'Assumptions and Catalog'!$E$50+'Assumptions and Catalog'!$F$50,IF(((D641+E641)*C641)&lt;='Assumptions and Catalog'!$C$51,((D641+E641)*C641)*'Assumptions and Catalog'!$H$51+'Assumptions and Catalog'!$E$51+'Assumptions and Catalog'!$F$51,IF(((D641+E641)*C641)&lt;='Assumptions and Catalog'!$C$52,((D641+E641)*C641)*'Assumptions and Catalog'!$H$52+'Assumptions and Catalog'!$E$52+'Assumptions and Catalog'!$F$52,IF(((D641+E641)*C641)&lt;='Assumptions and Catalog'!$C$53,((D641+E641)*C641)*'Assumptions and Catalog'!$H$53+'Assumptions and Catalog'!$E$53+'Assumptions and Catalog'!$F$53,IF(((D641+E641)*C641)&lt;='Assumptions and Catalog'!$C$54,((D641+E641)*C641)*'Assumptions and Catalog'!$H$54+'Assumptions and Catalog'!$E$54+'Assumptions and Catalog'!$F$54,IF(((D641+E641)*C641)&lt;='Assumptions and Catalog'!$C$55,((D641+E641)*C641)*'Assumptions and Catalog'!$H$55+'Assumptions and Catalog'!$E$55+'Assumptions and Catalog'!$F$55,IF(((D641+E641)*C641)&lt;='Assumptions and Catalog'!$C$56,((D641+E641)*C641)*'Assumptions and Catalog'!$H$56+'Assumptions and Catalog'!$E$56+'Assumptions and Catalog'!$F$56,IF(((D641+E641)*C641)&lt;='Assumptions and Catalog'!$C$57,((D641+E641)*C641)*'Assumptions and Catalog'!$H$57+'Assumptions and Catalog'!$E$57+'Assumptions and Catalog'!$F$57,"Out of range")))))))),IF(((D641+E641)*C641)&lt;='Assumptions and Catalog'!$C$60,((D641+E641)*C641)*'Assumptions and Catalog'!$H$60+'Assumptions and Catalog'!$E$60+'Assumptions and Catalog'!$F$60,IF(((D641+E641)*C641)&lt;='Assumptions and Catalog'!$C$61,((D641+E641)*C641)*'Assumptions and Catalog'!$H$61+'Assumptions and Catalog'!$E$61+'Assumptions and Catalog'!$F$61,IF(((D641+E641)*C641)&lt;='Assumptions and Catalog'!$C$62,((D641+E641)*C641)*'Assumptions and Catalog'!$H$62+'Assumptions and Catalog'!$E$62+'Assumptions and Catalog'!$F$62,IF(((D641+E641)*C641)&lt;='Assumptions and Catalog'!$C$63,((D641+E641)*C641)*'Assumptions and Catalog'!$H$63+'Assumptions and Catalog'!$E$63+'Assumptions and Catalog'!$F$63,IF(((D641+E641)*C641)&lt;='Assumptions and Catalog'!$C$64,((D641+E641)*C641)*'Assumptions and Catalog'!$H$64+'Assumptions and Catalog'!$E$64+'Assumptions and Catalog'!$F$64,IF(((D641+E641)*C641)&lt;='Assumptions and Catalog'!$C$65,((D641+E641)*C641)*'Assumptions and Catalog'!$H$65+'Assumptions and Catalog'!$E$65+'Assumptions and Catalog'!$F$65,"Out of range")))))))))*(1+'Assumptions and Catalog'!$C$8)^(A641-1),0)</f>
        <v>7094.794</v>
      </c>
      <c r="N641" s="5" t="n">
        <f>IF(ISNUMBER(Inputs!$L$5),(IF(Inputs!$L$9="Actual flat rate",L641*Inputs!$L$10,IF(Inputs!$C$9="Residential",IF(L641&lt;='Assumptions and Catalog'!$C$50,L641*'Assumptions and Catalog'!$H$50+'Assumptions and Catalog'!$E$50+'Assumptions and Catalog'!$F$50,IF(L641&lt;='Assumptions and Catalog'!$C$51,L641*'Assumptions and Catalog'!$H$51+'Assumptions and Catalog'!$E$51+'Assumptions and Catalog'!$F$51,IF(L641&lt;='Assumptions and Catalog'!$C$52,L641*'Assumptions and Catalog'!$H$52+'Assumptions and Catalog'!$E$52+'Assumptions and Catalog'!$F$52,IF(L641&lt;='Assumptions and Catalog'!$C$53,L641*'Assumptions and Catalog'!$H$53+'Assumptions and Catalog'!$E$53+'Assumptions and Catalog'!$F$53,IF(L641&lt;='Assumptions and Catalog'!$C$54,L641*'Assumptions and Catalog'!$H$54+'Assumptions and Catalog'!$E$54+'Assumptions and Catalog'!$F$54,IF(L641&lt;='Assumptions and Catalog'!$C$55,L641*'Assumptions and Catalog'!$H$55+'Assumptions and Catalog'!$E$55+'Assumptions and Catalog'!$F$55,IF(L641&lt;='Assumptions and Catalog'!$C$56,L641*'Assumptions and Catalog'!$H$56+'Assumptions and Catalog'!$E$56+'Assumptions and Catalog'!$F$56,IF(L641&lt;='Assumptions and Catalog'!$C$57,L641*'Assumptions and Catalog'!$H$57+'Assumptions and Catalog'!$E$57+'Assumptions and Catalog'!$F$57,"Out of range")))))))),IF(L641&lt;='Assumptions and Catalog'!$C$60,L641*'Assumptions and Catalog'!$H$60+'Assumptions and Catalog'!$E$60+'Assumptions and Catalog'!$F$60,IF(L641&lt;='Assumptions and Catalog'!$C$61,L641*'Assumptions and Catalog'!$H$61+'Assumptions and Catalog'!$E$61+'Assumptions and Catalog'!$F$61,IF(L641&lt;='Assumptions and Catalog'!$C$62,L641*'Assumptions and Catalog'!$H$62+'Assumptions and Catalog'!$E$62+'Assumptions and Catalog'!$F$62,IF(L641&lt;='Assumptions and Catalog'!$C$63,L641*'Assumptions and Catalog'!$H$63+'Assumptions and Catalog'!$E$63+'Assumptions and Catalog'!$F$63,IF(L641&lt;='Assumptions and Catalog'!$C$64,L641*'Assumptions and Catalog'!$H$64+'Assumptions and Catalog'!$E$64+'Assumptions and Catalog'!$F$64,IF(L641&lt;='Assumptions and Catalog'!$C$65,L641*'Assumptions and Catalog'!$H$65+'Assumptions and Catalog'!$E$65+'Assumptions and Catalog'!$F$65,"Out of range")))))))))*(1+'Assumptions and Catalog'!$C$8)^(A641-1),0)</f>
        <v>7094.794</v>
      </c>
      <c r="O641" s="5" t="n">
        <f>M641-N641</f>
        <v>0</v>
      </c>
      <c r="P641" s="5" t="n">
        <f>D$55*(1-K$14)*(1-'Assumptions and Catalog'!$C$23)^R641</f>
        <v>0</v>
      </c>
      <c r="Q641" s="5" t="n">
        <f>IF(ISNUMBER(Inputs!$L$5),(IF(Inputs!$L$9="Actual flat rate",((D641+E641)*C641-G641)*Inputs!$L$10,IF(Inputs!$C$9="Residential",IF(((D641+E641)*C641-G641)&lt;='Assumptions and Catalog'!$C$50,((D641+E641)*C641-G641)*'Assumptions and Catalog'!$H$50+'Assumptions and Catalog'!$E$50+'Assumptions and Catalog'!$F$50,IF(((D641+E641)*C641-G641)&lt;='Assumptions and Catalog'!$C$51,((D641+E641)*C641-G641)*'Assumptions and Catalog'!$H$51+'Assumptions and Catalog'!$E$51+'Assumptions and Catalog'!$F$51,IF(((D641+E641)*C641-G641)&lt;='Assumptions and Catalog'!$C$52,((D641+E641)*C641-G641)*'Assumptions and Catalog'!$H$52+'Assumptions and Catalog'!$E$52+'Assumptions and Catalog'!$F$52,IF(((D641+E641)*C641-G641)&lt;='Assumptions and Catalog'!$C$53,((D641+E641)*C641-G641)*'Assumptions and Catalog'!$H$53+'Assumptions and Catalog'!$E$53+'Assumptions and Catalog'!$F$53,IF(((D641+E641)*C641-G641)&lt;='Assumptions and Catalog'!$C$54,((D641+E641)*C641-G641)*'Assumptions and Catalog'!$H$54+'Assumptions and Catalog'!$E$54+'Assumptions and Catalog'!$F$54,IF(((D641+E641)*C641-G641)&lt;='Assumptions and Catalog'!$C$55,((D641+E641)*C641-G641)*'Assumptions and Catalog'!$H$55+'Assumptions and Catalog'!$E$55+'Assumptions and Catalog'!$F$55,IF(((D641+E641)*C641-G641)&lt;='Assumptions and Catalog'!$C$56,((D641+E641)*C641-G641)*'Assumptions and Catalog'!$H$56+'Assumptions and Catalog'!$E$56+'Assumptions and Catalog'!$F$56,IF(((D641+E641)*C641-G641)&lt;='Assumptions and Catalog'!$C$57,((D641+E641)*C641-G641)*'Assumptions and Catalog'!$H$57+'Assumptions and Catalog'!$E$57+'Assumptions and Catalog'!$F$57,"Out of range")))))))),IF(((D641+E641)*C641-G641)&lt;='Assumptions and Catalog'!$C$60,((D641+E641)*C641-G641)*'Assumptions and Catalog'!$H$60+'Assumptions and Catalog'!$E$60+'Assumptions and Catalog'!$F$60,IF(((D641+E641)*C641-G641)&lt;='Assumptions and Catalog'!$C$61,((D641+E641)*C641-G641)*'Assumptions and Catalog'!$H$61+'Assumptions and Catalog'!$E$61+'Assumptions and Catalog'!$F$61,IF(((D641+E641)*C641-G641)&lt;='Assumptions and Catalog'!$C$62,((D641+E641)*C641-G641)*'Assumptions and Catalog'!$H$62+'Assumptions and Catalog'!$E$62+'Assumptions and Catalog'!$F$62,IF(((D641+E641)*C641-G641)&lt;='Assumptions and Catalog'!$C$63,((D641+E641)*C641-G641)*'Assumptions and Catalog'!$H$63+'Assumptions and Catalog'!$E$63+'Assumptions and Catalog'!$F$63,IF(((D641+E641)*C641-G641)&lt;='Assumptions and Catalog'!$C$64,((D641+E641)*C641-G641)*'Assumptions and Catalog'!$H$64+'Assumptions and Catalog'!$E$64+'Assumptions and Catalog'!$F$64,IF(((D641+E641)*C641-G641)&lt;='Assumptions and Catalog'!$C$65,((D641+E641)*C641-G641)*'Assumptions and Catalog'!$H$65+'Assumptions and Catalog'!$E$65+'Assumptions and Catalog'!$F$65,"Out of range")))))))))*(1+'Assumptions and Catalog'!$C$8)^(A641-1),0)</f>
        <v>7094.794</v>
      </c>
      <c r="R641" s="5" t="n">
        <f>IF(AND('Assumptions and Catalog'!$C$19&gt;0,A641&gt;='Assumptions and Catalog'!$C$19),A641-'Assumptions and Catalog'!$C$19,A641-1)</f>
        <v>9</v>
      </c>
      <c r="S641" s="5" t="n">
        <f>F641+L641-(D641+E641)*C641-J641-K641-IF(D$52&gt;0,'Assumptions and Catalog'!$C$26*C641,0)</f>
        <v>0</v>
      </c>
      <c r="T641" s="5"/>
      <c r="U641" s="5"/>
    </row>
    <row r="642" ht="23.100000381469727" customHeight="1">
      <c r="A642" s="5" t="n">
        <v>20</v>
      </c>
      <c r="B642" s="5" t="n">
        <v>4</v>
      </c>
      <c r="C642" s="5" t="n">
        <f>DAY(DATE('Assumptions and Catalog'!$C$24+A642-1,B642+1,0))</f>
        <v>30</v>
      </c>
      <c r="D642" s="5" t="n">
        <f>IF(ISNUMBER(Inputs!$L$5),Inputs!$L$5*Inputs!$L$6,0)</f>
        <v>40.35</v>
      </c>
      <c r="E642" s="5" t="n">
        <f>IF(ISNUMBER(Inputs!$L$5),Inputs!$L$5-D642,0)</f>
        <v>40.35</v>
      </c>
      <c r="F642" s="5" t="n">
        <f>D$51*'Assumptions and Catalog'!$C$31*C642*(1-'Assumptions and Catalog'!$C$10)^(A642-1)</f>
        <v>0</v>
      </c>
      <c r="G642" s="5" t="n">
        <f>MIN(F642,D642*C642)</f>
        <v>0</v>
      </c>
      <c r="H642" s="5" t="n">
        <f>I642/('Assumptions and Catalog'!$C$11*'Assumptions and Catalog'!$C$12)</f>
        <v>0</v>
      </c>
      <c r="I642" s="5" t="n">
        <f>IF(K$15="Grid cycle",MIN(K$16,D642+E642,P642*'Assumptions and Catalog'!$C$12,D$57*(24-'Assumptions and Catalog'!$C$15),D$56*'Assumptions and Catalog'!$C$15*'Assumptions and Catalog'!$C$11*'Assumptions and Catalog'!$C$12)*C642,0)</f>
        <v>0</v>
      </c>
      <c r="J642" s="5" t="n">
        <f>MAX(F642-G642-0,0)</f>
        <v>0</v>
      </c>
      <c r="K642" s="5" t="n">
        <f>H642-I642</f>
        <v>0</v>
      </c>
      <c r="L642" s="5" t="n">
        <f>(D642+E642)*C642-G642-I642+H642+IF(D$52&gt;0,'Assumptions and Catalog'!$C$26*C642,0)</f>
        <v>2421</v>
      </c>
      <c r="M642" s="5" t="n">
        <f>IF(ISNUMBER(Inputs!$L$5),(IF(Inputs!$L$9="Actual flat rate",((D642+E642)*C642)*Inputs!$L$10,IF(Inputs!$C$9="Residential",IF(((D642+E642)*C642)&lt;='Assumptions and Catalog'!$C$50,((D642+E642)*C642)*'Assumptions and Catalog'!$H$50+'Assumptions and Catalog'!$E$50+'Assumptions and Catalog'!$F$50,IF(((D642+E642)*C642)&lt;='Assumptions and Catalog'!$C$51,((D642+E642)*C642)*'Assumptions and Catalog'!$H$51+'Assumptions and Catalog'!$E$51+'Assumptions and Catalog'!$F$51,IF(((D642+E642)*C642)&lt;='Assumptions and Catalog'!$C$52,((D642+E642)*C642)*'Assumptions and Catalog'!$H$52+'Assumptions and Catalog'!$E$52+'Assumptions and Catalog'!$F$52,IF(((D642+E642)*C642)&lt;='Assumptions and Catalog'!$C$53,((D642+E642)*C642)*'Assumptions and Catalog'!$H$53+'Assumptions and Catalog'!$E$53+'Assumptions and Catalog'!$F$53,IF(((D642+E642)*C642)&lt;='Assumptions and Catalog'!$C$54,((D642+E642)*C642)*'Assumptions and Catalog'!$H$54+'Assumptions and Catalog'!$E$54+'Assumptions and Catalog'!$F$54,IF(((D642+E642)*C642)&lt;='Assumptions and Catalog'!$C$55,((D642+E642)*C642)*'Assumptions and Catalog'!$H$55+'Assumptions and Catalog'!$E$55+'Assumptions and Catalog'!$F$55,IF(((D642+E642)*C642)&lt;='Assumptions and Catalog'!$C$56,((D642+E642)*C642)*'Assumptions and Catalog'!$H$56+'Assumptions and Catalog'!$E$56+'Assumptions and Catalog'!$F$56,IF(((D642+E642)*C642)&lt;='Assumptions and Catalog'!$C$57,((D642+E642)*C642)*'Assumptions and Catalog'!$H$57+'Assumptions and Catalog'!$E$57+'Assumptions and Catalog'!$F$57,"Out of range")))))))),IF(((D642+E642)*C642)&lt;='Assumptions and Catalog'!$C$60,((D642+E642)*C642)*'Assumptions and Catalog'!$H$60+'Assumptions and Catalog'!$E$60+'Assumptions and Catalog'!$F$60,IF(((D642+E642)*C642)&lt;='Assumptions and Catalog'!$C$61,((D642+E642)*C642)*'Assumptions and Catalog'!$H$61+'Assumptions and Catalog'!$E$61+'Assumptions and Catalog'!$F$61,IF(((D642+E642)*C642)&lt;='Assumptions and Catalog'!$C$62,((D642+E642)*C642)*'Assumptions and Catalog'!$H$62+'Assumptions and Catalog'!$E$62+'Assumptions and Catalog'!$F$62,IF(((D642+E642)*C642)&lt;='Assumptions and Catalog'!$C$63,((D642+E642)*C642)*'Assumptions and Catalog'!$H$63+'Assumptions and Catalog'!$E$63+'Assumptions and Catalog'!$F$63,IF(((D642+E642)*C642)&lt;='Assumptions and Catalog'!$C$64,((D642+E642)*C642)*'Assumptions and Catalog'!$H$64+'Assumptions and Catalog'!$E$64+'Assumptions and Catalog'!$F$64,IF(((D642+E642)*C642)&lt;='Assumptions and Catalog'!$C$65,((D642+E642)*C642)*'Assumptions and Catalog'!$H$65+'Assumptions and Catalog'!$E$65+'Assumptions and Catalog'!$F$65,"Out of range")))))))))*(1+'Assumptions and Catalog'!$C$8)^(A642-1),0)</f>
        <v>6867.22</v>
      </c>
      <c r="N642" s="5" t="n">
        <f>IF(ISNUMBER(Inputs!$L$5),(IF(Inputs!$L$9="Actual flat rate",L642*Inputs!$L$10,IF(Inputs!$C$9="Residential",IF(L642&lt;='Assumptions and Catalog'!$C$50,L642*'Assumptions and Catalog'!$H$50+'Assumptions and Catalog'!$E$50+'Assumptions and Catalog'!$F$50,IF(L642&lt;='Assumptions and Catalog'!$C$51,L642*'Assumptions and Catalog'!$H$51+'Assumptions and Catalog'!$E$51+'Assumptions and Catalog'!$F$51,IF(L642&lt;='Assumptions and Catalog'!$C$52,L642*'Assumptions and Catalog'!$H$52+'Assumptions and Catalog'!$E$52+'Assumptions and Catalog'!$F$52,IF(L642&lt;='Assumptions and Catalog'!$C$53,L642*'Assumptions and Catalog'!$H$53+'Assumptions and Catalog'!$E$53+'Assumptions and Catalog'!$F$53,IF(L642&lt;='Assumptions and Catalog'!$C$54,L642*'Assumptions and Catalog'!$H$54+'Assumptions and Catalog'!$E$54+'Assumptions and Catalog'!$F$54,IF(L642&lt;='Assumptions and Catalog'!$C$55,L642*'Assumptions and Catalog'!$H$55+'Assumptions and Catalog'!$E$55+'Assumptions and Catalog'!$F$55,IF(L642&lt;='Assumptions and Catalog'!$C$56,L642*'Assumptions and Catalog'!$H$56+'Assumptions and Catalog'!$E$56+'Assumptions and Catalog'!$F$56,IF(L642&lt;='Assumptions and Catalog'!$C$57,L642*'Assumptions and Catalog'!$H$57+'Assumptions and Catalog'!$E$57+'Assumptions and Catalog'!$F$57,"Out of range")))))))),IF(L642&lt;='Assumptions and Catalog'!$C$60,L642*'Assumptions and Catalog'!$H$60+'Assumptions and Catalog'!$E$60+'Assumptions and Catalog'!$F$60,IF(L642&lt;='Assumptions and Catalog'!$C$61,L642*'Assumptions and Catalog'!$H$61+'Assumptions and Catalog'!$E$61+'Assumptions and Catalog'!$F$61,IF(L642&lt;='Assumptions and Catalog'!$C$62,L642*'Assumptions and Catalog'!$H$62+'Assumptions and Catalog'!$E$62+'Assumptions and Catalog'!$F$62,IF(L642&lt;='Assumptions and Catalog'!$C$63,L642*'Assumptions and Catalog'!$H$63+'Assumptions and Catalog'!$E$63+'Assumptions and Catalog'!$F$63,IF(L642&lt;='Assumptions and Catalog'!$C$64,L642*'Assumptions and Catalog'!$H$64+'Assumptions and Catalog'!$E$64+'Assumptions and Catalog'!$F$64,IF(L642&lt;='Assumptions and Catalog'!$C$65,L642*'Assumptions and Catalog'!$H$65+'Assumptions and Catalog'!$E$65+'Assumptions and Catalog'!$F$65,"Out of range")))))))))*(1+'Assumptions and Catalog'!$C$8)^(A642-1),0)</f>
        <v>6867.22</v>
      </c>
      <c r="O642" s="5" t="n">
        <f>M642-N642</f>
        <v>0</v>
      </c>
      <c r="P642" s="5" t="n">
        <f>D$55*(1-K$14)*(1-'Assumptions and Catalog'!$C$23)^R642</f>
        <v>0</v>
      </c>
      <c r="Q642" s="5" t="n">
        <f>IF(ISNUMBER(Inputs!$L$5),(IF(Inputs!$L$9="Actual flat rate",((D642+E642)*C642-G642)*Inputs!$L$10,IF(Inputs!$C$9="Residential",IF(((D642+E642)*C642-G642)&lt;='Assumptions and Catalog'!$C$50,((D642+E642)*C642-G642)*'Assumptions and Catalog'!$H$50+'Assumptions and Catalog'!$E$50+'Assumptions and Catalog'!$F$50,IF(((D642+E642)*C642-G642)&lt;='Assumptions and Catalog'!$C$51,((D642+E642)*C642-G642)*'Assumptions and Catalog'!$H$51+'Assumptions and Catalog'!$E$51+'Assumptions and Catalog'!$F$51,IF(((D642+E642)*C642-G642)&lt;='Assumptions and Catalog'!$C$52,((D642+E642)*C642-G642)*'Assumptions and Catalog'!$H$52+'Assumptions and Catalog'!$E$52+'Assumptions and Catalog'!$F$52,IF(((D642+E642)*C642-G642)&lt;='Assumptions and Catalog'!$C$53,((D642+E642)*C642-G642)*'Assumptions and Catalog'!$H$53+'Assumptions and Catalog'!$E$53+'Assumptions and Catalog'!$F$53,IF(((D642+E642)*C642-G642)&lt;='Assumptions and Catalog'!$C$54,((D642+E642)*C642-G642)*'Assumptions and Catalog'!$H$54+'Assumptions and Catalog'!$E$54+'Assumptions and Catalog'!$F$54,IF(((D642+E642)*C642-G642)&lt;='Assumptions and Catalog'!$C$55,((D642+E642)*C642-G642)*'Assumptions and Catalog'!$H$55+'Assumptions and Catalog'!$E$55+'Assumptions and Catalog'!$F$55,IF(((D642+E642)*C642-G642)&lt;='Assumptions and Catalog'!$C$56,((D642+E642)*C642-G642)*'Assumptions and Catalog'!$H$56+'Assumptions and Catalog'!$E$56+'Assumptions and Catalog'!$F$56,IF(((D642+E642)*C642-G642)&lt;='Assumptions and Catalog'!$C$57,((D642+E642)*C642-G642)*'Assumptions and Catalog'!$H$57+'Assumptions and Catalog'!$E$57+'Assumptions and Catalog'!$F$57,"Out of range")))))))),IF(((D642+E642)*C642-G642)&lt;='Assumptions and Catalog'!$C$60,((D642+E642)*C642-G642)*'Assumptions and Catalog'!$H$60+'Assumptions and Catalog'!$E$60+'Assumptions and Catalog'!$F$60,IF(((D642+E642)*C642-G642)&lt;='Assumptions and Catalog'!$C$61,((D642+E642)*C642-G642)*'Assumptions and Catalog'!$H$61+'Assumptions and Catalog'!$E$61+'Assumptions and Catalog'!$F$61,IF(((D642+E642)*C642-G642)&lt;='Assumptions and Catalog'!$C$62,((D642+E642)*C642-G642)*'Assumptions and Catalog'!$H$62+'Assumptions and Catalog'!$E$62+'Assumptions and Catalog'!$F$62,IF(((D642+E642)*C642-G642)&lt;='Assumptions and Catalog'!$C$63,((D642+E642)*C642-G642)*'Assumptions and Catalog'!$H$63+'Assumptions and Catalog'!$E$63+'Assumptions and Catalog'!$F$63,IF(((D642+E642)*C642-G642)&lt;='Assumptions and Catalog'!$C$64,((D642+E642)*C642-G642)*'Assumptions and Catalog'!$H$64+'Assumptions and Catalog'!$E$64+'Assumptions and Catalog'!$F$64,IF(((D642+E642)*C642-G642)&lt;='Assumptions and Catalog'!$C$65,((D642+E642)*C642-G642)*'Assumptions and Catalog'!$H$65+'Assumptions and Catalog'!$E$65+'Assumptions and Catalog'!$F$65,"Out of range")))))))))*(1+'Assumptions and Catalog'!$C$8)^(A642-1),0)</f>
        <v>6867.22</v>
      </c>
      <c r="R642" s="5" t="n">
        <f>IF(AND('Assumptions and Catalog'!$C$19&gt;0,A642&gt;='Assumptions and Catalog'!$C$19),A642-'Assumptions and Catalog'!$C$19,A642-1)</f>
        <v>9</v>
      </c>
      <c r="S642" s="5" t="n">
        <f>F642+L642-(D642+E642)*C642-J642-K642-IF(D$52&gt;0,'Assumptions and Catalog'!$C$26*C642,0)</f>
        <v>0</v>
      </c>
      <c r="T642" s="5"/>
      <c r="U642" s="5"/>
    </row>
    <row r="643" ht="23.100000381469727" customHeight="1">
      <c r="A643" s="5" t="n">
        <v>20</v>
      </c>
      <c r="B643" s="5" t="n">
        <v>5</v>
      </c>
      <c r="C643" s="5" t="n">
        <f>DAY(DATE('Assumptions and Catalog'!$C$24+A643-1,B643+1,0))</f>
        <v>31</v>
      </c>
      <c r="D643" s="5" t="n">
        <f>IF(ISNUMBER(Inputs!$L$5),Inputs!$L$5*Inputs!$L$6,0)</f>
        <v>40.35</v>
      </c>
      <c r="E643" s="5" t="n">
        <f>IF(ISNUMBER(Inputs!$L$5),Inputs!$L$5-D643,0)</f>
        <v>40.35</v>
      </c>
      <c r="F643" s="5" t="n">
        <f>D$51*'Assumptions and Catalog'!$C$31*C643*(1-'Assumptions and Catalog'!$C$10)^(A643-1)</f>
        <v>0</v>
      </c>
      <c r="G643" s="5" t="n">
        <f>MIN(F643,D643*C643)</f>
        <v>0</v>
      </c>
      <c r="H643" s="5" t="n">
        <f>I643/('Assumptions and Catalog'!$C$11*'Assumptions and Catalog'!$C$12)</f>
        <v>0</v>
      </c>
      <c r="I643" s="5" t="n">
        <f>IF(K$15="Grid cycle",MIN(K$16,D643+E643,P643*'Assumptions and Catalog'!$C$12,D$57*(24-'Assumptions and Catalog'!$C$15),D$56*'Assumptions and Catalog'!$C$15*'Assumptions and Catalog'!$C$11*'Assumptions and Catalog'!$C$12)*C643,0)</f>
        <v>0</v>
      </c>
      <c r="J643" s="5" t="n">
        <f>MAX(F643-G643-0,0)</f>
        <v>0</v>
      </c>
      <c r="K643" s="5" t="n">
        <f>H643-I643</f>
        <v>0</v>
      </c>
      <c r="L643" s="5" t="n">
        <f>(D643+E643)*C643-G643-I643+H643+IF(D$52&gt;0,'Assumptions and Catalog'!$C$26*C643,0)</f>
        <v>2501.7</v>
      </c>
      <c r="M643" s="5" t="n">
        <f>IF(ISNUMBER(Inputs!$L$5),(IF(Inputs!$L$9="Actual flat rate",((D643+E643)*C643)*Inputs!$L$10,IF(Inputs!$C$9="Residential",IF(((D643+E643)*C643)&lt;='Assumptions and Catalog'!$C$50,((D643+E643)*C643)*'Assumptions and Catalog'!$H$50+'Assumptions and Catalog'!$E$50+'Assumptions and Catalog'!$F$50,IF(((D643+E643)*C643)&lt;='Assumptions and Catalog'!$C$51,((D643+E643)*C643)*'Assumptions and Catalog'!$H$51+'Assumptions and Catalog'!$E$51+'Assumptions and Catalog'!$F$51,IF(((D643+E643)*C643)&lt;='Assumptions and Catalog'!$C$52,((D643+E643)*C643)*'Assumptions and Catalog'!$H$52+'Assumptions and Catalog'!$E$52+'Assumptions and Catalog'!$F$52,IF(((D643+E643)*C643)&lt;='Assumptions and Catalog'!$C$53,((D643+E643)*C643)*'Assumptions and Catalog'!$H$53+'Assumptions and Catalog'!$E$53+'Assumptions and Catalog'!$F$53,IF(((D643+E643)*C643)&lt;='Assumptions and Catalog'!$C$54,((D643+E643)*C643)*'Assumptions and Catalog'!$H$54+'Assumptions and Catalog'!$E$54+'Assumptions and Catalog'!$F$54,IF(((D643+E643)*C643)&lt;='Assumptions and Catalog'!$C$55,((D643+E643)*C643)*'Assumptions and Catalog'!$H$55+'Assumptions and Catalog'!$E$55+'Assumptions and Catalog'!$F$55,IF(((D643+E643)*C643)&lt;='Assumptions and Catalog'!$C$56,((D643+E643)*C643)*'Assumptions and Catalog'!$H$56+'Assumptions and Catalog'!$E$56+'Assumptions and Catalog'!$F$56,IF(((D643+E643)*C643)&lt;='Assumptions and Catalog'!$C$57,((D643+E643)*C643)*'Assumptions and Catalog'!$H$57+'Assumptions and Catalog'!$E$57+'Assumptions and Catalog'!$F$57,"Out of range")))))))),IF(((D643+E643)*C643)&lt;='Assumptions and Catalog'!$C$60,((D643+E643)*C643)*'Assumptions and Catalog'!$H$60+'Assumptions and Catalog'!$E$60+'Assumptions and Catalog'!$F$60,IF(((D643+E643)*C643)&lt;='Assumptions and Catalog'!$C$61,((D643+E643)*C643)*'Assumptions and Catalog'!$H$61+'Assumptions and Catalog'!$E$61+'Assumptions and Catalog'!$F$61,IF(((D643+E643)*C643)&lt;='Assumptions and Catalog'!$C$62,((D643+E643)*C643)*'Assumptions and Catalog'!$H$62+'Assumptions and Catalog'!$E$62+'Assumptions and Catalog'!$F$62,IF(((D643+E643)*C643)&lt;='Assumptions and Catalog'!$C$63,((D643+E643)*C643)*'Assumptions and Catalog'!$H$63+'Assumptions and Catalog'!$E$63+'Assumptions and Catalog'!$F$63,IF(((D643+E643)*C643)&lt;='Assumptions and Catalog'!$C$64,((D643+E643)*C643)*'Assumptions and Catalog'!$H$64+'Assumptions and Catalog'!$E$64+'Assumptions and Catalog'!$F$64,IF(((D643+E643)*C643)&lt;='Assumptions and Catalog'!$C$65,((D643+E643)*C643)*'Assumptions and Catalog'!$H$65+'Assumptions and Catalog'!$E$65+'Assumptions and Catalog'!$F$65,"Out of range")))))))))*(1+'Assumptions and Catalog'!$C$8)^(A643-1),0)</f>
        <v>7094.794</v>
      </c>
      <c r="N643" s="5" t="n">
        <f>IF(ISNUMBER(Inputs!$L$5),(IF(Inputs!$L$9="Actual flat rate",L643*Inputs!$L$10,IF(Inputs!$C$9="Residential",IF(L643&lt;='Assumptions and Catalog'!$C$50,L643*'Assumptions and Catalog'!$H$50+'Assumptions and Catalog'!$E$50+'Assumptions and Catalog'!$F$50,IF(L643&lt;='Assumptions and Catalog'!$C$51,L643*'Assumptions and Catalog'!$H$51+'Assumptions and Catalog'!$E$51+'Assumptions and Catalog'!$F$51,IF(L643&lt;='Assumptions and Catalog'!$C$52,L643*'Assumptions and Catalog'!$H$52+'Assumptions and Catalog'!$E$52+'Assumptions and Catalog'!$F$52,IF(L643&lt;='Assumptions and Catalog'!$C$53,L643*'Assumptions and Catalog'!$H$53+'Assumptions and Catalog'!$E$53+'Assumptions and Catalog'!$F$53,IF(L643&lt;='Assumptions and Catalog'!$C$54,L643*'Assumptions and Catalog'!$H$54+'Assumptions and Catalog'!$E$54+'Assumptions and Catalog'!$F$54,IF(L643&lt;='Assumptions and Catalog'!$C$55,L643*'Assumptions and Catalog'!$H$55+'Assumptions and Catalog'!$E$55+'Assumptions and Catalog'!$F$55,IF(L643&lt;='Assumptions and Catalog'!$C$56,L643*'Assumptions and Catalog'!$H$56+'Assumptions and Catalog'!$E$56+'Assumptions and Catalog'!$F$56,IF(L643&lt;='Assumptions and Catalog'!$C$57,L643*'Assumptions and Catalog'!$H$57+'Assumptions and Catalog'!$E$57+'Assumptions and Catalog'!$F$57,"Out of range")))))))),IF(L643&lt;='Assumptions and Catalog'!$C$60,L643*'Assumptions and Catalog'!$H$60+'Assumptions and Catalog'!$E$60+'Assumptions and Catalog'!$F$60,IF(L643&lt;='Assumptions and Catalog'!$C$61,L643*'Assumptions and Catalog'!$H$61+'Assumptions and Catalog'!$E$61+'Assumptions and Catalog'!$F$61,IF(L643&lt;='Assumptions and Catalog'!$C$62,L643*'Assumptions and Catalog'!$H$62+'Assumptions and Catalog'!$E$62+'Assumptions and Catalog'!$F$62,IF(L643&lt;='Assumptions and Catalog'!$C$63,L643*'Assumptions and Catalog'!$H$63+'Assumptions and Catalog'!$E$63+'Assumptions and Catalog'!$F$63,IF(L643&lt;='Assumptions and Catalog'!$C$64,L643*'Assumptions and Catalog'!$H$64+'Assumptions and Catalog'!$E$64+'Assumptions and Catalog'!$F$64,IF(L643&lt;='Assumptions and Catalog'!$C$65,L643*'Assumptions and Catalog'!$H$65+'Assumptions and Catalog'!$E$65+'Assumptions and Catalog'!$F$65,"Out of range")))))))))*(1+'Assumptions and Catalog'!$C$8)^(A643-1),0)</f>
        <v>7094.794</v>
      </c>
      <c r="O643" s="5" t="n">
        <f>M643-N643</f>
        <v>0</v>
      </c>
      <c r="P643" s="5" t="n">
        <f>D$55*(1-K$14)*(1-'Assumptions and Catalog'!$C$23)^R643</f>
        <v>0</v>
      </c>
      <c r="Q643" s="5" t="n">
        <f>IF(ISNUMBER(Inputs!$L$5),(IF(Inputs!$L$9="Actual flat rate",((D643+E643)*C643-G643)*Inputs!$L$10,IF(Inputs!$C$9="Residential",IF(((D643+E643)*C643-G643)&lt;='Assumptions and Catalog'!$C$50,((D643+E643)*C643-G643)*'Assumptions and Catalog'!$H$50+'Assumptions and Catalog'!$E$50+'Assumptions and Catalog'!$F$50,IF(((D643+E643)*C643-G643)&lt;='Assumptions and Catalog'!$C$51,((D643+E643)*C643-G643)*'Assumptions and Catalog'!$H$51+'Assumptions and Catalog'!$E$51+'Assumptions and Catalog'!$F$51,IF(((D643+E643)*C643-G643)&lt;='Assumptions and Catalog'!$C$52,((D643+E643)*C643-G643)*'Assumptions and Catalog'!$H$52+'Assumptions and Catalog'!$E$52+'Assumptions and Catalog'!$F$52,IF(((D643+E643)*C643-G643)&lt;='Assumptions and Catalog'!$C$53,((D643+E643)*C643-G643)*'Assumptions and Catalog'!$H$53+'Assumptions and Catalog'!$E$53+'Assumptions and Catalog'!$F$53,IF(((D643+E643)*C643-G643)&lt;='Assumptions and Catalog'!$C$54,((D643+E643)*C643-G643)*'Assumptions and Catalog'!$H$54+'Assumptions and Catalog'!$E$54+'Assumptions and Catalog'!$F$54,IF(((D643+E643)*C643-G643)&lt;='Assumptions and Catalog'!$C$55,((D643+E643)*C643-G643)*'Assumptions and Catalog'!$H$55+'Assumptions and Catalog'!$E$55+'Assumptions and Catalog'!$F$55,IF(((D643+E643)*C643-G643)&lt;='Assumptions and Catalog'!$C$56,((D643+E643)*C643-G643)*'Assumptions and Catalog'!$H$56+'Assumptions and Catalog'!$E$56+'Assumptions and Catalog'!$F$56,IF(((D643+E643)*C643-G643)&lt;='Assumptions and Catalog'!$C$57,((D643+E643)*C643-G643)*'Assumptions and Catalog'!$H$57+'Assumptions and Catalog'!$E$57+'Assumptions and Catalog'!$F$57,"Out of range")))))))),IF(((D643+E643)*C643-G643)&lt;='Assumptions and Catalog'!$C$60,((D643+E643)*C643-G643)*'Assumptions and Catalog'!$H$60+'Assumptions and Catalog'!$E$60+'Assumptions and Catalog'!$F$60,IF(((D643+E643)*C643-G643)&lt;='Assumptions and Catalog'!$C$61,((D643+E643)*C643-G643)*'Assumptions and Catalog'!$H$61+'Assumptions and Catalog'!$E$61+'Assumptions and Catalog'!$F$61,IF(((D643+E643)*C643-G643)&lt;='Assumptions and Catalog'!$C$62,((D643+E643)*C643-G643)*'Assumptions and Catalog'!$H$62+'Assumptions and Catalog'!$E$62+'Assumptions and Catalog'!$F$62,IF(((D643+E643)*C643-G643)&lt;='Assumptions and Catalog'!$C$63,((D643+E643)*C643-G643)*'Assumptions and Catalog'!$H$63+'Assumptions and Catalog'!$E$63+'Assumptions and Catalog'!$F$63,IF(((D643+E643)*C643-G643)&lt;='Assumptions and Catalog'!$C$64,((D643+E643)*C643-G643)*'Assumptions and Catalog'!$H$64+'Assumptions and Catalog'!$E$64+'Assumptions and Catalog'!$F$64,IF(((D643+E643)*C643-G643)&lt;='Assumptions and Catalog'!$C$65,((D643+E643)*C643-G643)*'Assumptions and Catalog'!$H$65+'Assumptions and Catalog'!$E$65+'Assumptions and Catalog'!$F$65,"Out of range")))))))))*(1+'Assumptions and Catalog'!$C$8)^(A643-1),0)</f>
        <v>7094.794</v>
      </c>
      <c r="R643" s="5" t="n">
        <f>IF(AND('Assumptions and Catalog'!$C$19&gt;0,A643&gt;='Assumptions and Catalog'!$C$19),A643-'Assumptions and Catalog'!$C$19,A643-1)</f>
        <v>9</v>
      </c>
      <c r="S643" s="5" t="n">
        <f>F643+L643-(D643+E643)*C643-J643-K643-IF(D$52&gt;0,'Assumptions and Catalog'!$C$26*C643,0)</f>
        <v>0</v>
      </c>
      <c r="T643" s="5"/>
      <c r="U643" s="5"/>
    </row>
    <row r="644" ht="23.100000381469727" customHeight="1">
      <c r="A644" s="5" t="n">
        <v>20</v>
      </c>
      <c r="B644" s="5" t="n">
        <v>6</v>
      </c>
      <c r="C644" s="5" t="n">
        <f>DAY(DATE('Assumptions and Catalog'!$C$24+A644-1,B644+1,0))</f>
        <v>30</v>
      </c>
      <c r="D644" s="5" t="n">
        <f>IF(ISNUMBER(Inputs!$L$5),Inputs!$L$5*Inputs!$L$6,0)</f>
        <v>40.35</v>
      </c>
      <c r="E644" s="5" t="n">
        <f>IF(ISNUMBER(Inputs!$L$5),Inputs!$L$5-D644,0)</f>
        <v>40.35</v>
      </c>
      <c r="F644" s="5" t="n">
        <f>D$51*'Assumptions and Catalog'!$C$31*C644*(1-'Assumptions and Catalog'!$C$10)^(A644-1)</f>
        <v>0</v>
      </c>
      <c r="G644" s="5" t="n">
        <f>MIN(F644,D644*C644)</f>
        <v>0</v>
      </c>
      <c r="H644" s="5" t="n">
        <f>I644/('Assumptions and Catalog'!$C$11*'Assumptions and Catalog'!$C$12)</f>
        <v>0</v>
      </c>
      <c r="I644" s="5" t="n">
        <f>IF(K$15="Grid cycle",MIN(K$16,D644+E644,P644*'Assumptions and Catalog'!$C$12,D$57*(24-'Assumptions and Catalog'!$C$15),D$56*'Assumptions and Catalog'!$C$15*'Assumptions and Catalog'!$C$11*'Assumptions and Catalog'!$C$12)*C644,0)</f>
        <v>0</v>
      </c>
      <c r="J644" s="5" t="n">
        <f>MAX(F644-G644-0,0)</f>
        <v>0</v>
      </c>
      <c r="K644" s="5" t="n">
        <f>H644-I644</f>
        <v>0</v>
      </c>
      <c r="L644" s="5" t="n">
        <f>(D644+E644)*C644-G644-I644+H644+IF(D$52&gt;0,'Assumptions and Catalog'!$C$26*C644,0)</f>
        <v>2421</v>
      </c>
      <c r="M644" s="5" t="n">
        <f>IF(ISNUMBER(Inputs!$L$5),(IF(Inputs!$L$9="Actual flat rate",((D644+E644)*C644)*Inputs!$L$10,IF(Inputs!$C$9="Residential",IF(((D644+E644)*C644)&lt;='Assumptions and Catalog'!$C$50,((D644+E644)*C644)*'Assumptions and Catalog'!$H$50+'Assumptions and Catalog'!$E$50+'Assumptions and Catalog'!$F$50,IF(((D644+E644)*C644)&lt;='Assumptions and Catalog'!$C$51,((D644+E644)*C644)*'Assumptions and Catalog'!$H$51+'Assumptions and Catalog'!$E$51+'Assumptions and Catalog'!$F$51,IF(((D644+E644)*C644)&lt;='Assumptions and Catalog'!$C$52,((D644+E644)*C644)*'Assumptions and Catalog'!$H$52+'Assumptions and Catalog'!$E$52+'Assumptions and Catalog'!$F$52,IF(((D644+E644)*C644)&lt;='Assumptions and Catalog'!$C$53,((D644+E644)*C644)*'Assumptions and Catalog'!$H$53+'Assumptions and Catalog'!$E$53+'Assumptions and Catalog'!$F$53,IF(((D644+E644)*C644)&lt;='Assumptions and Catalog'!$C$54,((D644+E644)*C644)*'Assumptions and Catalog'!$H$54+'Assumptions and Catalog'!$E$54+'Assumptions and Catalog'!$F$54,IF(((D644+E644)*C644)&lt;='Assumptions and Catalog'!$C$55,((D644+E644)*C644)*'Assumptions and Catalog'!$H$55+'Assumptions and Catalog'!$E$55+'Assumptions and Catalog'!$F$55,IF(((D644+E644)*C644)&lt;='Assumptions and Catalog'!$C$56,((D644+E644)*C644)*'Assumptions and Catalog'!$H$56+'Assumptions and Catalog'!$E$56+'Assumptions and Catalog'!$F$56,IF(((D644+E644)*C644)&lt;='Assumptions and Catalog'!$C$57,((D644+E644)*C644)*'Assumptions and Catalog'!$H$57+'Assumptions and Catalog'!$E$57+'Assumptions and Catalog'!$F$57,"Out of range")))))))),IF(((D644+E644)*C644)&lt;='Assumptions and Catalog'!$C$60,((D644+E644)*C644)*'Assumptions and Catalog'!$H$60+'Assumptions and Catalog'!$E$60+'Assumptions and Catalog'!$F$60,IF(((D644+E644)*C644)&lt;='Assumptions and Catalog'!$C$61,((D644+E644)*C644)*'Assumptions and Catalog'!$H$61+'Assumptions and Catalog'!$E$61+'Assumptions and Catalog'!$F$61,IF(((D644+E644)*C644)&lt;='Assumptions and Catalog'!$C$62,((D644+E644)*C644)*'Assumptions and Catalog'!$H$62+'Assumptions and Catalog'!$E$62+'Assumptions and Catalog'!$F$62,IF(((D644+E644)*C644)&lt;='Assumptions and Catalog'!$C$63,((D644+E644)*C644)*'Assumptions and Catalog'!$H$63+'Assumptions and Catalog'!$E$63+'Assumptions and Catalog'!$F$63,IF(((D644+E644)*C644)&lt;='Assumptions and Catalog'!$C$64,((D644+E644)*C644)*'Assumptions and Catalog'!$H$64+'Assumptions and Catalog'!$E$64+'Assumptions and Catalog'!$F$64,IF(((D644+E644)*C644)&lt;='Assumptions and Catalog'!$C$65,((D644+E644)*C644)*'Assumptions and Catalog'!$H$65+'Assumptions and Catalog'!$E$65+'Assumptions and Catalog'!$F$65,"Out of range")))))))))*(1+'Assumptions and Catalog'!$C$8)^(A644-1),0)</f>
        <v>6867.22</v>
      </c>
      <c r="N644" s="5" t="n">
        <f>IF(ISNUMBER(Inputs!$L$5),(IF(Inputs!$L$9="Actual flat rate",L644*Inputs!$L$10,IF(Inputs!$C$9="Residential",IF(L644&lt;='Assumptions and Catalog'!$C$50,L644*'Assumptions and Catalog'!$H$50+'Assumptions and Catalog'!$E$50+'Assumptions and Catalog'!$F$50,IF(L644&lt;='Assumptions and Catalog'!$C$51,L644*'Assumptions and Catalog'!$H$51+'Assumptions and Catalog'!$E$51+'Assumptions and Catalog'!$F$51,IF(L644&lt;='Assumptions and Catalog'!$C$52,L644*'Assumptions and Catalog'!$H$52+'Assumptions and Catalog'!$E$52+'Assumptions and Catalog'!$F$52,IF(L644&lt;='Assumptions and Catalog'!$C$53,L644*'Assumptions and Catalog'!$H$53+'Assumptions and Catalog'!$E$53+'Assumptions and Catalog'!$F$53,IF(L644&lt;='Assumptions and Catalog'!$C$54,L644*'Assumptions and Catalog'!$H$54+'Assumptions and Catalog'!$E$54+'Assumptions and Catalog'!$F$54,IF(L644&lt;='Assumptions and Catalog'!$C$55,L644*'Assumptions and Catalog'!$H$55+'Assumptions and Catalog'!$E$55+'Assumptions and Catalog'!$F$55,IF(L644&lt;='Assumptions and Catalog'!$C$56,L644*'Assumptions and Catalog'!$H$56+'Assumptions and Catalog'!$E$56+'Assumptions and Catalog'!$F$56,IF(L644&lt;='Assumptions and Catalog'!$C$57,L644*'Assumptions and Catalog'!$H$57+'Assumptions and Catalog'!$E$57+'Assumptions and Catalog'!$F$57,"Out of range")))))))),IF(L644&lt;='Assumptions and Catalog'!$C$60,L644*'Assumptions and Catalog'!$H$60+'Assumptions and Catalog'!$E$60+'Assumptions and Catalog'!$F$60,IF(L644&lt;='Assumptions and Catalog'!$C$61,L644*'Assumptions and Catalog'!$H$61+'Assumptions and Catalog'!$E$61+'Assumptions and Catalog'!$F$61,IF(L644&lt;='Assumptions and Catalog'!$C$62,L644*'Assumptions and Catalog'!$H$62+'Assumptions and Catalog'!$E$62+'Assumptions and Catalog'!$F$62,IF(L644&lt;='Assumptions and Catalog'!$C$63,L644*'Assumptions and Catalog'!$H$63+'Assumptions and Catalog'!$E$63+'Assumptions and Catalog'!$F$63,IF(L644&lt;='Assumptions and Catalog'!$C$64,L644*'Assumptions and Catalog'!$H$64+'Assumptions and Catalog'!$E$64+'Assumptions and Catalog'!$F$64,IF(L644&lt;='Assumptions and Catalog'!$C$65,L644*'Assumptions and Catalog'!$H$65+'Assumptions and Catalog'!$E$65+'Assumptions and Catalog'!$F$65,"Out of range")))))))))*(1+'Assumptions and Catalog'!$C$8)^(A644-1),0)</f>
        <v>6867.22</v>
      </c>
      <c r="O644" s="5" t="n">
        <f>M644-N644</f>
        <v>0</v>
      </c>
      <c r="P644" s="5" t="n">
        <f>D$55*(1-K$14)*(1-'Assumptions and Catalog'!$C$23)^R644</f>
        <v>0</v>
      </c>
      <c r="Q644" s="5" t="n">
        <f>IF(ISNUMBER(Inputs!$L$5),(IF(Inputs!$L$9="Actual flat rate",((D644+E644)*C644-G644)*Inputs!$L$10,IF(Inputs!$C$9="Residential",IF(((D644+E644)*C644-G644)&lt;='Assumptions and Catalog'!$C$50,((D644+E644)*C644-G644)*'Assumptions and Catalog'!$H$50+'Assumptions and Catalog'!$E$50+'Assumptions and Catalog'!$F$50,IF(((D644+E644)*C644-G644)&lt;='Assumptions and Catalog'!$C$51,((D644+E644)*C644-G644)*'Assumptions and Catalog'!$H$51+'Assumptions and Catalog'!$E$51+'Assumptions and Catalog'!$F$51,IF(((D644+E644)*C644-G644)&lt;='Assumptions and Catalog'!$C$52,((D644+E644)*C644-G644)*'Assumptions and Catalog'!$H$52+'Assumptions and Catalog'!$E$52+'Assumptions and Catalog'!$F$52,IF(((D644+E644)*C644-G644)&lt;='Assumptions and Catalog'!$C$53,((D644+E644)*C644-G644)*'Assumptions and Catalog'!$H$53+'Assumptions and Catalog'!$E$53+'Assumptions and Catalog'!$F$53,IF(((D644+E644)*C644-G644)&lt;='Assumptions and Catalog'!$C$54,((D644+E644)*C644-G644)*'Assumptions and Catalog'!$H$54+'Assumptions and Catalog'!$E$54+'Assumptions and Catalog'!$F$54,IF(((D644+E644)*C644-G644)&lt;='Assumptions and Catalog'!$C$55,((D644+E644)*C644-G644)*'Assumptions and Catalog'!$H$55+'Assumptions and Catalog'!$E$55+'Assumptions and Catalog'!$F$55,IF(((D644+E644)*C644-G644)&lt;='Assumptions and Catalog'!$C$56,((D644+E644)*C644-G644)*'Assumptions and Catalog'!$H$56+'Assumptions and Catalog'!$E$56+'Assumptions and Catalog'!$F$56,IF(((D644+E644)*C644-G644)&lt;='Assumptions and Catalog'!$C$57,((D644+E644)*C644-G644)*'Assumptions and Catalog'!$H$57+'Assumptions and Catalog'!$E$57+'Assumptions and Catalog'!$F$57,"Out of range")))))))),IF(((D644+E644)*C644-G644)&lt;='Assumptions and Catalog'!$C$60,((D644+E644)*C644-G644)*'Assumptions and Catalog'!$H$60+'Assumptions and Catalog'!$E$60+'Assumptions and Catalog'!$F$60,IF(((D644+E644)*C644-G644)&lt;='Assumptions and Catalog'!$C$61,((D644+E644)*C644-G644)*'Assumptions and Catalog'!$H$61+'Assumptions and Catalog'!$E$61+'Assumptions and Catalog'!$F$61,IF(((D644+E644)*C644-G644)&lt;='Assumptions and Catalog'!$C$62,((D644+E644)*C644-G644)*'Assumptions and Catalog'!$H$62+'Assumptions and Catalog'!$E$62+'Assumptions and Catalog'!$F$62,IF(((D644+E644)*C644-G644)&lt;='Assumptions and Catalog'!$C$63,((D644+E644)*C644-G644)*'Assumptions and Catalog'!$H$63+'Assumptions and Catalog'!$E$63+'Assumptions and Catalog'!$F$63,IF(((D644+E644)*C644-G644)&lt;='Assumptions and Catalog'!$C$64,((D644+E644)*C644-G644)*'Assumptions and Catalog'!$H$64+'Assumptions and Catalog'!$E$64+'Assumptions and Catalog'!$F$64,IF(((D644+E644)*C644-G644)&lt;='Assumptions and Catalog'!$C$65,((D644+E644)*C644-G644)*'Assumptions and Catalog'!$H$65+'Assumptions and Catalog'!$E$65+'Assumptions and Catalog'!$F$65,"Out of range")))))))))*(1+'Assumptions and Catalog'!$C$8)^(A644-1),0)</f>
        <v>6867.22</v>
      </c>
      <c r="R644" s="5" t="n">
        <f>IF(AND('Assumptions and Catalog'!$C$19&gt;0,A644&gt;='Assumptions and Catalog'!$C$19),A644-'Assumptions and Catalog'!$C$19,A644-1)</f>
        <v>9</v>
      </c>
      <c r="S644" s="5" t="n">
        <f>F644+L644-(D644+E644)*C644-J644-K644-IF(D$52&gt;0,'Assumptions and Catalog'!$C$26*C644,0)</f>
        <v>0</v>
      </c>
      <c r="T644" s="5"/>
      <c r="U644" s="5"/>
    </row>
    <row r="645" ht="23.100000381469727" customHeight="1">
      <c r="A645" s="5" t="n">
        <v>20</v>
      </c>
      <c r="B645" s="5" t="n">
        <v>7</v>
      </c>
      <c r="C645" s="5" t="n">
        <f>DAY(DATE('Assumptions and Catalog'!$C$24+A645-1,B645+1,0))</f>
        <v>31</v>
      </c>
      <c r="D645" s="5" t="n">
        <f>IF(ISNUMBER(Inputs!$L$5),Inputs!$L$5*Inputs!$L$6,0)</f>
        <v>40.35</v>
      </c>
      <c r="E645" s="5" t="n">
        <f>IF(ISNUMBER(Inputs!$L$5),Inputs!$L$5-D645,0)</f>
        <v>40.35</v>
      </c>
      <c r="F645" s="5" t="n">
        <f>D$51*'Assumptions and Catalog'!$C$31*C645*(1-'Assumptions and Catalog'!$C$10)^(A645-1)</f>
        <v>0</v>
      </c>
      <c r="G645" s="5" t="n">
        <f>MIN(F645,D645*C645)</f>
        <v>0</v>
      </c>
      <c r="H645" s="5" t="n">
        <f>I645/('Assumptions and Catalog'!$C$11*'Assumptions and Catalog'!$C$12)</f>
        <v>0</v>
      </c>
      <c r="I645" s="5" t="n">
        <f>IF(K$15="Grid cycle",MIN(K$16,D645+E645,P645*'Assumptions and Catalog'!$C$12,D$57*(24-'Assumptions and Catalog'!$C$15),D$56*'Assumptions and Catalog'!$C$15*'Assumptions and Catalog'!$C$11*'Assumptions and Catalog'!$C$12)*C645,0)</f>
        <v>0</v>
      </c>
      <c r="J645" s="5" t="n">
        <f>MAX(F645-G645-0,0)</f>
        <v>0</v>
      </c>
      <c r="K645" s="5" t="n">
        <f>H645-I645</f>
        <v>0</v>
      </c>
      <c r="L645" s="5" t="n">
        <f>(D645+E645)*C645-G645-I645+H645+IF(D$52&gt;0,'Assumptions and Catalog'!$C$26*C645,0)</f>
        <v>2501.7</v>
      </c>
      <c r="M645" s="5" t="n">
        <f>IF(ISNUMBER(Inputs!$L$5),(IF(Inputs!$L$9="Actual flat rate",((D645+E645)*C645)*Inputs!$L$10,IF(Inputs!$C$9="Residential",IF(((D645+E645)*C645)&lt;='Assumptions and Catalog'!$C$50,((D645+E645)*C645)*'Assumptions and Catalog'!$H$50+'Assumptions and Catalog'!$E$50+'Assumptions and Catalog'!$F$50,IF(((D645+E645)*C645)&lt;='Assumptions and Catalog'!$C$51,((D645+E645)*C645)*'Assumptions and Catalog'!$H$51+'Assumptions and Catalog'!$E$51+'Assumptions and Catalog'!$F$51,IF(((D645+E645)*C645)&lt;='Assumptions and Catalog'!$C$52,((D645+E645)*C645)*'Assumptions and Catalog'!$H$52+'Assumptions and Catalog'!$E$52+'Assumptions and Catalog'!$F$52,IF(((D645+E645)*C645)&lt;='Assumptions and Catalog'!$C$53,((D645+E645)*C645)*'Assumptions and Catalog'!$H$53+'Assumptions and Catalog'!$E$53+'Assumptions and Catalog'!$F$53,IF(((D645+E645)*C645)&lt;='Assumptions and Catalog'!$C$54,((D645+E645)*C645)*'Assumptions and Catalog'!$H$54+'Assumptions and Catalog'!$E$54+'Assumptions and Catalog'!$F$54,IF(((D645+E645)*C645)&lt;='Assumptions and Catalog'!$C$55,((D645+E645)*C645)*'Assumptions and Catalog'!$H$55+'Assumptions and Catalog'!$E$55+'Assumptions and Catalog'!$F$55,IF(((D645+E645)*C645)&lt;='Assumptions and Catalog'!$C$56,((D645+E645)*C645)*'Assumptions and Catalog'!$H$56+'Assumptions and Catalog'!$E$56+'Assumptions and Catalog'!$F$56,IF(((D645+E645)*C645)&lt;='Assumptions and Catalog'!$C$57,((D645+E645)*C645)*'Assumptions and Catalog'!$H$57+'Assumptions and Catalog'!$E$57+'Assumptions and Catalog'!$F$57,"Out of range")))))))),IF(((D645+E645)*C645)&lt;='Assumptions and Catalog'!$C$60,((D645+E645)*C645)*'Assumptions and Catalog'!$H$60+'Assumptions and Catalog'!$E$60+'Assumptions and Catalog'!$F$60,IF(((D645+E645)*C645)&lt;='Assumptions and Catalog'!$C$61,((D645+E645)*C645)*'Assumptions and Catalog'!$H$61+'Assumptions and Catalog'!$E$61+'Assumptions and Catalog'!$F$61,IF(((D645+E645)*C645)&lt;='Assumptions and Catalog'!$C$62,((D645+E645)*C645)*'Assumptions and Catalog'!$H$62+'Assumptions and Catalog'!$E$62+'Assumptions and Catalog'!$F$62,IF(((D645+E645)*C645)&lt;='Assumptions and Catalog'!$C$63,((D645+E645)*C645)*'Assumptions and Catalog'!$H$63+'Assumptions and Catalog'!$E$63+'Assumptions and Catalog'!$F$63,IF(((D645+E645)*C645)&lt;='Assumptions and Catalog'!$C$64,((D645+E645)*C645)*'Assumptions and Catalog'!$H$64+'Assumptions and Catalog'!$E$64+'Assumptions and Catalog'!$F$64,IF(((D645+E645)*C645)&lt;='Assumptions and Catalog'!$C$65,((D645+E645)*C645)*'Assumptions and Catalog'!$H$65+'Assumptions and Catalog'!$E$65+'Assumptions and Catalog'!$F$65,"Out of range")))))))))*(1+'Assumptions and Catalog'!$C$8)^(A645-1),0)</f>
        <v>7094.794</v>
      </c>
      <c r="N645" s="5" t="n">
        <f>IF(ISNUMBER(Inputs!$L$5),(IF(Inputs!$L$9="Actual flat rate",L645*Inputs!$L$10,IF(Inputs!$C$9="Residential",IF(L645&lt;='Assumptions and Catalog'!$C$50,L645*'Assumptions and Catalog'!$H$50+'Assumptions and Catalog'!$E$50+'Assumptions and Catalog'!$F$50,IF(L645&lt;='Assumptions and Catalog'!$C$51,L645*'Assumptions and Catalog'!$H$51+'Assumptions and Catalog'!$E$51+'Assumptions and Catalog'!$F$51,IF(L645&lt;='Assumptions and Catalog'!$C$52,L645*'Assumptions and Catalog'!$H$52+'Assumptions and Catalog'!$E$52+'Assumptions and Catalog'!$F$52,IF(L645&lt;='Assumptions and Catalog'!$C$53,L645*'Assumptions and Catalog'!$H$53+'Assumptions and Catalog'!$E$53+'Assumptions and Catalog'!$F$53,IF(L645&lt;='Assumptions and Catalog'!$C$54,L645*'Assumptions and Catalog'!$H$54+'Assumptions and Catalog'!$E$54+'Assumptions and Catalog'!$F$54,IF(L645&lt;='Assumptions and Catalog'!$C$55,L645*'Assumptions and Catalog'!$H$55+'Assumptions and Catalog'!$E$55+'Assumptions and Catalog'!$F$55,IF(L645&lt;='Assumptions and Catalog'!$C$56,L645*'Assumptions and Catalog'!$H$56+'Assumptions and Catalog'!$E$56+'Assumptions and Catalog'!$F$56,IF(L645&lt;='Assumptions and Catalog'!$C$57,L645*'Assumptions and Catalog'!$H$57+'Assumptions and Catalog'!$E$57+'Assumptions and Catalog'!$F$57,"Out of range")))))))),IF(L645&lt;='Assumptions and Catalog'!$C$60,L645*'Assumptions and Catalog'!$H$60+'Assumptions and Catalog'!$E$60+'Assumptions and Catalog'!$F$60,IF(L645&lt;='Assumptions and Catalog'!$C$61,L645*'Assumptions and Catalog'!$H$61+'Assumptions and Catalog'!$E$61+'Assumptions and Catalog'!$F$61,IF(L645&lt;='Assumptions and Catalog'!$C$62,L645*'Assumptions and Catalog'!$H$62+'Assumptions and Catalog'!$E$62+'Assumptions and Catalog'!$F$62,IF(L645&lt;='Assumptions and Catalog'!$C$63,L645*'Assumptions and Catalog'!$H$63+'Assumptions and Catalog'!$E$63+'Assumptions and Catalog'!$F$63,IF(L645&lt;='Assumptions and Catalog'!$C$64,L645*'Assumptions and Catalog'!$H$64+'Assumptions and Catalog'!$E$64+'Assumptions and Catalog'!$F$64,IF(L645&lt;='Assumptions and Catalog'!$C$65,L645*'Assumptions and Catalog'!$H$65+'Assumptions and Catalog'!$E$65+'Assumptions and Catalog'!$F$65,"Out of range")))))))))*(1+'Assumptions and Catalog'!$C$8)^(A645-1),0)</f>
        <v>7094.794</v>
      </c>
      <c r="O645" s="5" t="n">
        <f>M645-N645</f>
        <v>0</v>
      </c>
      <c r="P645" s="5" t="n">
        <f>D$55*(1-K$14)*(1-'Assumptions and Catalog'!$C$23)^R645</f>
        <v>0</v>
      </c>
      <c r="Q645" s="5" t="n">
        <f>IF(ISNUMBER(Inputs!$L$5),(IF(Inputs!$L$9="Actual flat rate",((D645+E645)*C645-G645)*Inputs!$L$10,IF(Inputs!$C$9="Residential",IF(((D645+E645)*C645-G645)&lt;='Assumptions and Catalog'!$C$50,((D645+E645)*C645-G645)*'Assumptions and Catalog'!$H$50+'Assumptions and Catalog'!$E$50+'Assumptions and Catalog'!$F$50,IF(((D645+E645)*C645-G645)&lt;='Assumptions and Catalog'!$C$51,((D645+E645)*C645-G645)*'Assumptions and Catalog'!$H$51+'Assumptions and Catalog'!$E$51+'Assumptions and Catalog'!$F$51,IF(((D645+E645)*C645-G645)&lt;='Assumptions and Catalog'!$C$52,((D645+E645)*C645-G645)*'Assumptions and Catalog'!$H$52+'Assumptions and Catalog'!$E$52+'Assumptions and Catalog'!$F$52,IF(((D645+E645)*C645-G645)&lt;='Assumptions and Catalog'!$C$53,((D645+E645)*C645-G645)*'Assumptions and Catalog'!$H$53+'Assumptions and Catalog'!$E$53+'Assumptions and Catalog'!$F$53,IF(((D645+E645)*C645-G645)&lt;='Assumptions and Catalog'!$C$54,((D645+E645)*C645-G645)*'Assumptions and Catalog'!$H$54+'Assumptions and Catalog'!$E$54+'Assumptions and Catalog'!$F$54,IF(((D645+E645)*C645-G645)&lt;='Assumptions and Catalog'!$C$55,((D645+E645)*C645-G645)*'Assumptions and Catalog'!$H$55+'Assumptions and Catalog'!$E$55+'Assumptions and Catalog'!$F$55,IF(((D645+E645)*C645-G645)&lt;='Assumptions and Catalog'!$C$56,((D645+E645)*C645-G645)*'Assumptions and Catalog'!$H$56+'Assumptions and Catalog'!$E$56+'Assumptions and Catalog'!$F$56,IF(((D645+E645)*C645-G645)&lt;='Assumptions and Catalog'!$C$57,((D645+E645)*C645-G645)*'Assumptions and Catalog'!$H$57+'Assumptions and Catalog'!$E$57+'Assumptions and Catalog'!$F$57,"Out of range")))))))),IF(((D645+E645)*C645-G645)&lt;='Assumptions and Catalog'!$C$60,((D645+E645)*C645-G645)*'Assumptions and Catalog'!$H$60+'Assumptions and Catalog'!$E$60+'Assumptions and Catalog'!$F$60,IF(((D645+E645)*C645-G645)&lt;='Assumptions and Catalog'!$C$61,((D645+E645)*C645-G645)*'Assumptions and Catalog'!$H$61+'Assumptions and Catalog'!$E$61+'Assumptions and Catalog'!$F$61,IF(((D645+E645)*C645-G645)&lt;='Assumptions and Catalog'!$C$62,((D645+E645)*C645-G645)*'Assumptions and Catalog'!$H$62+'Assumptions and Catalog'!$E$62+'Assumptions and Catalog'!$F$62,IF(((D645+E645)*C645-G645)&lt;='Assumptions and Catalog'!$C$63,((D645+E645)*C645-G645)*'Assumptions and Catalog'!$H$63+'Assumptions and Catalog'!$E$63+'Assumptions and Catalog'!$F$63,IF(((D645+E645)*C645-G645)&lt;='Assumptions and Catalog'!$C$64,((D645+E645)*C645-G645)*'Assumptions and Catalog'!$H$64+'Assumptions and Catalog'!$E$64+'Assumptions and Catalog'!$F$64,IF(((D645+E645)*C645-G645)&lt;='Assumptions and Catalog'!$C$65,((D645+E645)*C645-G645)*'Assumptions and Catalog'!$H$65+'Assumptions and Catalog'!$E$65+'Assumptions and Catalog'!$F$65,"Out of range")))))))))*(1+'Assumptions and Catalog'!$C$8)^(A645-1),0)</f>
        <v>7094.794</v>
      </c>
      <c r="R645" s="5" t="n">
        <f>IF(AND('Assumptions and Catalog'!$C$19&gt;0,A645&gt;='Assumptions and Catalog'!$C$19),A645-'Assumptions and Catalog'!$C$19,A645-1)</f>
        <v>9</v>
      </c>
      <c r="S645" s="5" t="n">
        <f>F645+L645-(D645+E645)*C645-J645-K645-IF(D$52&gt;0,'Assumptions and Catalog'!$C$26*C645,0)</f>
        <v>0</v>
      </c>
      <c r="T645" s="5"/>
      <c r="U645" s="5"/>
    </row>
    <row r="646" ht="23.100000381469727" customHeight="1">
      <c r="A646" s="5" t="n">
        <v>20</v>
      </c>
      <c r="B646" s="5" t="n">
        <v>8</v>
      </c>
      <c r="C646" s="5" t="n">
        <f>DAY(DATE('Assumptions and Catalog'!$C$24+A646-1,B646+1,0))</f>
        <v>31</v>
      </c>
      <c r="D646" s="5" t="n">
        <f>IF(ISNUMBER(Inputs!$L$5),Inputs!$L$5*Inputs!$L$6,0)</f>
        <v>40.35</v>
      </c>
      <c r="E646" s="5" t="n">
        <f>IF(ISNUMBER(Inputs!$L$5),Inputs!$L$5-D646,0)</f>
        <v>40.35</v>
      </c>
      <c r="F646" s="5" t="n">
        <f>D$51*'Assumptions and Catalog'!$C$31*C646*(1-'Assumptions and Catalog'!$C$10)^(A646-1)</f>
        <v>0</v>
      </c>
      <c r="G646" s="5" t="n">
        <f>MIN(F646,D646*C646)</f>
        <v>0</v>
      </c>
      <c r="H646" s="5" t="n">
        <f>I646/('Assumptions and Catalog'!$C$11*'Assumptions and Catalog'!$C$12)</f>
        <v>0</v>
      </c>
      <c r="I646" s="5" t="n">
        <f>IF(K$15="Grid cycle",MIN(K$16,D646+E646,P646*'Assumptions and Catalog'!$C$12,D$57*(24-'Assumptions and Catalog'!$C$15),D$56*'Assumptions and Catalog'!$C$15*'Assumptions and Catalog'!$C$11*'Assumptions and Catalog'!$C$12)*C646,0)</f>
        <v>0</v>
      </c>
      <c r="J646" s="5" t="n">
        <f>MAX(F646-G646-0,0)</f>
        <v>0</v>
      </c>
      <c r="K646" s="5" t="n">
        <f>H646-I646</f>
        <v>0</v>
      </c>
      <c r="L646" s="5" t="n">
        <f>(D646+E646)*C646-G646-I646+H646+IF(D$52&gt;0,'Assumptions and Catalog'!$C$26*C646,0)</f>
        <v>2501.7</v>
      </c>
      <c r="M646" s="5" t="n">
        <f>IF(ISNUMBER(Inputs!$L$5),(IF(Inputs!$L$9="Actual flat rate",((D646+E646)*C646)*Inputs!$L$10,IF(Inputs!$C$9="Residential",IF(((D646+E646)*C646)&lt;='Assumptions and Catalog'!$C$50,((D646+E646)*C646)*'Assumptions and Catalog'!$H$50+'Assumptions and Catalog'!$E$50+'Assumptions and Catalog'!$F$50,IF(((D646+E646)*C646)&lt;='Assumptions and Catalog'!$C$51,((D646+E646)*C646)*'Assumptions and Catalog'!$H$51+'Assumptions and Catalog'!$E$51+'Assumptions and Catalog'!$F$51,IF(((D646+E646)*C646)&lt;='Assumptions and Catalog'!$C$52,((D646+E646)*C646)*'Assumptions and Catalog'!$H$52+'Assumptions and Catalog'!$E$52+'Assumptions and Catalog'!$F$52,IF(((D646+E646)*C646)&lt;='Assumptions and Catalog'!$C$53,((D646+E646)*C646)*'Assumptions and Catalog'!$H$53+'Assumptions and Catalog'!$E$53+'Assumptions and Catalog'!$F$53,IF(((D646+E646)*C646)&lt;='Assumptions and Catalog'!$C$54,((D646+E646)*C646)*'Assumptions and Catalog'!$H$54+'Assumptions and Catalog'!$E$54+'Assumptions and Catalog'!$F$54,IF(((D646+E646)*C646)&lt;='Assumptions and Catalog'!$C$55,((D646+E646)*C646)*'Assumptions and Catalog'!$H$55+'Assumptions and Catalog'!$E$55+'Assumptions and Catalog'!$F$55,IF(((D646+E646)*C646)&lt;='Assumptions and Catalog'!$C$56,((D646+E646)*C646)*'Assumptions and Catalog'!$H$56+'Assumptions and Catalog'!$E$56+'Assumptions and Catalog'!$F$56,IF(((D646+E646)*C646)&lt;='Assumptions and Catalog'!$C$57,((D646+E646)*C646)*'Assumptions and Catalog'!$H$57+'Assumptions and Catalog'!$E$57+'Assumptions and Catalog'!$F$57,"Out of range")))))))),IF(((D646+E646)*C646)&lt;='Assumptions and Catalog'!$C$60,((D646+E646)*C646)*'Assumptions and Catalog'!$H$60+'Assumptions and Catalog'!$E$60+'Assumptions and Catalog'!$F$60,IF(((D646+E646)*C646)&lt;='Assumptions and Catalog'!$C$61,((D646+E646)*C646)*'Assumptions and Catalog'!$H$61+'Assumptions and Catalog'!$E$61+'Assumptions and Catalog'!$F$61,IF(((D646+E646)*C646)&lt;='Assumptions and Catalog'!$C$62,((D646+E646)*C646)*'Assumptions and Catalog'!$H$62+'Assumptions and Catalog'!$E$62+'Assumptions and Catalog'!$F$62,IF(((D646+E646)*C646)&lt;='Assumptions and Catalog'!$C$63,((D646+E646)*C646)*'Assumptions and Catalog'!$H$63+'Assumptions and Catalog'!$E$63+'Assumptions and Catalog'!$F$63,IF(((D646+E646)*C646)&lt;='Assumptions and Catalog'!$C$64,((D646+E646)*C646)*'Assumptions and Catalog'!$H$64+'Assumptions and Catalog'!$E$64+'Assumptions and Catalog'!$F$64,IF(((D646+E646)*C646)&lt;='Assumptions and Catalog'!$C$65,((D646+E646)*C646)*'Assumptions and Catalog'!$H$65+'Assumptions and Catalog'!$E$65+'Assumptions and Catalog'!$F$65,"Out of range")))))))))*(1+'Assumptions and Catalog'!$C$8)^(A646-1),0)</f>
        <v>7094.794</v>
      </c>
      <c r="N646" s="5" t="n">
        <f>IF(ISNUMBER(Inputs!$L$5),(IF(Inputs!$L$9="Actual flat rate",L646*Inputs!$L$10,IF(Inputs!$C$9="Residential",IF(L646&lt;='Assumptions and Catalog'!$C$50,L646*'Assumptions and Catalog'!$H$50+'Assumptions and Catalog'!$E$50+'Assumptions and Catalog'!$F$50,IF(L646&lt;='Assumptions and Catalog'!$C$51,L646*'Assumptions and Catalog'!$H$51+'Assumptions and Catalog'!$E$51+'Assumptions and Catalog'!$F$51,IF(L646&lt;='Assumptions and Catalog'!$C$52,L646*'Assumptions and Catalog'!$H$52+'Assumptions and Catalog'!$E$52+'Assumptions and Catalog'!$F$52,IF(L646&lt;='Assumptions and Catalog'!$C$53,L646*'Assumptions and Catalog'!$H$53+'Assumptions and Catalog'!$E$53+'Assumptions and Catalog'!$F$53,IF(L646&lt;='Assumptions and Catalog'!$C$54,L646*'Assumptions and Catalog'!$H$54+'Assumptions and Catalog'!$E$54+'Assumptions and Catalog'!$F$54,IF(L646&lt;='Assumptions and Catalog'!$C$55,L646*'Assumptions and Catalog'!$H$55+'Assumptions and Catalog'!$E$55+'Assumptions and Catalog'!$F$55,IF(L646&lt;='Assumptions and Catalog'!$C$56,L646*'Assumptions and Catalog'!$H$56+'Assumptions and Catalog'!$E$56+'Assumptions and Catalog'!$F$56,IF(L646&lt;='Assumptions and Catalog'!$C$57,L646*'Assumptions and Catalog'!$H$57+'Assumptions and Catalog'!$E$57+'Assumptions and Catalog'!$F$57,"Out of range")))))))),IF(L646&lt;='Assumptions and Catalog'!$C$60,L646*'Assumptions and Catalog'!$H$60+'Assumptions and Catalog'!$E$60+'Assumptions and Catalog'!$F$60,IF(L646&lt;='Assumptions and Catalog'!$C$61,L646*'Assumptions and Catalog'!$H$61+'Assumptions and Catalog'!$E$61+'Assumptions and Catalog'!$F$61,IF(L646&lt;='Assumptions and Catalog'!$C$62,L646*'Assumptions and Catalog'!$H$62+'Assumptions and Catalog'!$E$62+'Assumptions and Catalog'!$F$62,IF(L646&lt;='Assumptions and Catalog'!$C$63,L646*'Assumptions and Catalog'!$H$63+'Assumptions and Catalog'!$E$63+'Assumptions and Catalog'!$F$63,IF(L646&lt;='Assumptions and Catalog'!$C$64,L646*'Assumptions and Catalog'!$H$64+'Assumptions and Catalog'!$E$64+'Assumptions and Catalog'!$F$64,IF(L646&lt;='Assumptions and Catalog'!$C$65,L646*'Assumptions and Catalog'!$H$65+'Assumptions and Catalog'!$E$65+'Assumptions and Catalog'!$F$65,"Out of range")))))))))*(1+'Assumptions and Catalog'!$C$8)^(A646-1),0)</f>
        <v>7094.794</v>
      </c>
      <c r="O646" s="5" t="n">
        <f>M646-N646</f>
        <v>0</v>
      </c>
      <c r="P646" s="5" t="n">
        <f>D$55*(1-K$14)*(1-'Assumptions and Catalog'!$C$23)^R646</f>
        <v>0</v>
      </c>
      <c r="Q646" s="5" t="n">
        <f>IF(ISNUMBER(Inputs!$L$5),(IF(Inputs!$L$9="Actual flat rate",((D646+E646)*C646-G646)*Inputs!$L$10,IF(Inputs!$C$9="Residential",IF(((D646+E646)*C646-G646)&lt;='Assumptions and Catalog'!$C$50,((D646+E646)*C646-G646)*'Assumptions and Catalog'!$H$50+'Assumptions and Catalog'!$E$50+'Assumptions and Catalog'!$F$50,IF(((D646+E646)*C646-G646)&lt;='Assumptions and Catalog'!$C$51,((D646+E646)*C646-G646)*'Assumptions and Catalog'!$H$51+'Assumptions and Catalog'!$E$51+'Assumptions and Catalog'!$F$51,IF(((D646+E646)*C646-G646)&lt;='Assumptions and Catalog'!$C$52,((D646+E646)*C646-G646)*'Assumptions and Catalog'!$H$52+'Assumptions and Catalog'!$E$52+'Assumptions and Catalog'!$F$52,IF(((D646+E646)*C646-G646)&lt;='Assumptions and Catalog'!$C$53,((D646+E646)*C646-G646)*'Assumptions and Catalog'!$H$53+'Assumptions and Catalog'!$E$53+'Assumptions and Catalog'!$F$53,IF(((D646+E646)*C646-G646)&lt;='Assumptions and Catalog'!$C$54,((D646+E646)*C646-G646)*'Assumptions and Catalog'!$H$54+'Assumptions and Catalog'!$E$54+'Assumptions and Catalog'!$F$54,IF(((D646+E646)*C646-G646)&lt;='Assumptions and Catalog'!$C$55,((D646+E646)*C646-G646)*'Assumptions and Catalog'!$H$55+'Assumptions and Catalog'!$E$55+'Assumptions and Catalog'!$F$55,IF(((D646+E646)*C646-G646)&lt;='Assumptions and Catalog'!$C$56,((D646+E646)*C646-G646)*'Assumptions and Catalog'!$H$56+'Assumptions and Catalog'!$E$56+'Assumptions and Catalog'!$F$56,IF(((D646+E646)*C646-G646)&lt;='Assumptions and Catalog'!$C$57,((D646+E646)*C646-G646)*'Assumptions and Catalog'!$H$57+'Assumptions and Catalog'!$E$57+'Assumptions and Catalog'!$F$57,"Out of range")))))))),IF(((D646+E646)*C646-G646)&lt;='Assumptions and Catalog'!$C$60,((D646+E646)*C646-G646)*'Assumptions and Catalog'!$H$60+'Assumptions and Catalog'!$E$60+'Assumptions and Catalog'!$F$60,IF(((D646+E646)*C646-G646)&lt;='Assumptions and Catalog'!$C$61,((D646+E646)*C646-G646)*'Assumptions and Catalog'!$H$61+'Assumptions and Catalog'!$E$61+'Assumptions and Catalog'!$F$61,IF(((D646+E646)*C646-G646)&lt;='Assumptions and Catalog'!$C$62,((D646+E646)*C646-G646)*'Assumptions and Catalog'!$H$62+'Assumptions and Catalog'!$E$62+'Assumptions and Catalog'!$F$62,IF(((D646+E646)*C646-G646)&lt;='Assumptions and Catalog'!$C$63,((D646+E646)*C646-G646)*'Assumptions and Catalog'!$H$63+'Assumptions and Catalog'!$E$63+'Assumptions and Catalog'!$F$63,IF(((D646+E646)*C646-G646)&lt;='Assumptions and Catalog'!$C$64,((D646+E646)*C646-G646)*'Assumptions and Catalog'!$H$64+'Assumptions and Catalog'!$E$64+'Assumptions and Catalog'!$F$64,IF(((D646+E646)*C646-G646)&lt;='Assumptions and Catalog'!$C$65,((D646+E646)*C646-G646)*'Assumptions and Catalog'!$H$65+'Assumptions and Catalog'!$E$65+'Assumptions and Catalog'!$F$65,"Out of range")))))))))*(1+'Assumptions and Catalog'!$C$8)^(A646-1),0)</f>
        <v>7094.794</v>
      </c>
      <c r="R646" s="5" t="n">
        <f>IF(AND('Assumptions and Catalog'!$C$19&gt;0,A646&gt;='Assumptions and Catalog'!$C$19),A646-'Assumptions and Catalog'!$C$19,A646-1)</f>
        <v>9</v>
      </c>
      <c r="S646" s="5" t="n">
        <f>F646+L646-(D646+E646)*C646-J646-K646-IF(D$52&gt;0,'Assumptions and Catalog'!$C$26*C646,0)</f>
        <v>0</v>
      </c>
      <c r="T646" s="5"/>
      <c r="U646" s="5"/>
    </row>
    <row r="647" ht="23.100000381469727" customHeight="1">
      <c r="A647" s="5" t="n">
        <v>20</v>
      </c>
      <c r="B647" s="5" t="n">
        <v>9</v>
      </c>
      <c r="C647" s="5" t="n">
        <f>DAY(DATE('Assumptions and Catalog'!$C$24+A647-1,B647+1,0))</f>
        <v>30</v>
      </c>
      <c r="D647" s="5" t="n">
        <f>IF(ISNUMBER(Inputs!$L$5),Inputs!$L$5*Inputs!$L$6,0)</f>
        <v>40.35</v>
      </c>
      <c r="E647" s="5" t="n">
        <f>IF(ISNUMBER(Inputs!$L$5),Inputs!$L$5-D647,0)</f>
        <v>40.35</v>
      </c>
      <c r="F647" s="5" t="n">
        <f>D$51*'Assumptions and Catalog'!$C$31*C647*(1-'Assumptions and Catalog'!$C$10)^(A647-1)</f>
        <v>0</v>
      </c>
      <c r="G647" s="5" t="n">
        <f>MIN(F647,D647*C647)</f>
        <v>0</v>
      </c>
      <c r="H647" s="5" t="n">
        <f>I647/('Assumptions and Catalog'!$C$11*'Assumptions and Catalog'!$C$12)</f>
        <v>0</v>
      </c>
      <c r="I647" s="5" t="n">
        <f>IF(K$15="Grid cycle",MIN(K$16,D647+E647,P647*'Assumptions and Catalog'!$C$12,D$57*(24-'Assumptions and Catalog'!$C$15),D$56*'Assumptions and Catalog'!$C$15*'Assumptions and Catalog'!$C$11*'Assumptions and Catalog'!$C$12)*C647,0)</f>
        <v>0</v>
      </c>
      <c r="J647" s="5" t="n">
        <f>MAX(F647-G647-0,0)</f>
        <v>0</v>
      </c>
      <c r="K647" s="5" t="n">
        <f>H647-I647</f>
        <v>0</v>
      </c>
      <c r="L647" s="5" t="n">
        <f>(D647+E647)*C647-G647-I647+H647+IF(D$52&gt;0,'Assumptions and Catalog'!$C$26*C647,0)</f>
        <v>2421</v>
      </c>
      <c r="M647" s="5" t="n">
        <f>IF(ISNUMBER(Inputs!$L$5),(IF(Inputs!$L$9="Actual flat rate",((D647+E647)*C647)*Inputs!$L$10,IF(Inputs!$C$9="Residential",IF(((D647+E647)*C647)&lt;='Assumptions and Catalog'!$C$50,((D647+E647)*C647)*'Assumptions and Catalog'!$H$50+'Assumptions and Catalog'!$E$50+'Assumptions and Catalog'!$F$50,IF(((D647+E647)*C647)&lt;='Assumptions and Catalog'!$C$51,((D647+E647)*C647)*'Assumptions and Catalog'!$H$51+'Assumptions and Catalog'!$E$51+'Assumptions and Catalog'!$F$51,IF(((D647+E647)*C647)&lt;='Assumptions and Catalog'!$C$52,((D647+E647)*C647)*'Assumptions and Catalog'!$H$52+'Assumptions and Catalog'!$E$52+'Assumptions and Catalog'!$F$52,IF(((D647+E647)*C647)&lt;='Assumptions and Catalog'!$C$53,((D647+E647)*C647)*'Assumptions and Catalog'!$H$53+'Assumptions and Catalog'!$E$53+'Assumptions and Catalog'!$F$53,IF(((D647+E647)*C647)&lt;='Assumptions and Catalog'!$C$54,((D647+E647)*C647)*'Assumptions and Catalog'!$H$54+'Assumptions and Catalog'!$E$54+'Assumptions and Catalog'!$F$54,IF(((D647+E647)*C647)&lt;='Assumptions and Catalog'!$C$55,((D647+E647)*C647)*'Assumptions and Catalog'!$H$55+'Assumptions and Catalog'!$E$55+'Assumptions and Catalog'!$F$55,IF(((D647+E647)*C647)&lt;='Assumptions and Catalog'!$C$56,((D647+E647)*C647)*'Assumptions and Catalog'!$H$56+'Assumptions and Catalog'!$E$56+'Assumptions and Catalog'!$F$56,IF(((D647+E647)*C647)&lt;='Assumptions and Catalog'!$C$57,((D647+E647)*C647)*'Assumptions and Catalog'!$H$57+'Assumptions and Catalog'!$E$57+'Assumptions and Catalog'!$F$57,"Out of range")))))))),IF(((D647+E647)*C647)&lt;='Assumptions and Catalog'!$C$60,((D647+E647)*C647)*'Assumptions and Catalog'!$H$60+'Assumptions and Catalog'!$E$60+'Assumptions and Catalog'!$F$60,IF(((D647+E647)*C647)&lt;='Assumptions and Catalog'!$C$61,((D647+E647)*C647)*'Assumptions and Catalog'!$H$61+'Assumptions and Catalog'!$E$61+'Assumptions and Catalog'!$F$61,IF(((D647+E647)*C647)&lt;='Assumptions and Catalog'!$C$62,((D647+E647)*C647)*'Assumptions and Catalog'!$H$62+'Assumptions and Catalog'!$E$62+'Assumptions and Catalog'!$F$62,IF(((D647+E647)*C647)&lt;='Assumptions and Catalog'!$C$63,((D647+E647)*C647)*'Assumptions and Catalog'!$H$63+'Assumptions and Catalog'!$E$63+'Assumptions and Catalog'!$F$63,IF(((D647+E647)*C647)&lt;='Assumptions and Catalog'!$C$64,((D647+E647)*C647)*'Assumptions and Catalog'!$H$64+'Assumptions and Catalog'!$E$64+'Assumptions and Catalog'!$F$64,IF(((D647+E647)*C647)&lt;='Assumptions and Catalog'!$C$65,((D647+E647)*C647)*'Assumptions and Catalog'!$H$65+'Assumptions and Catalog'!$E$65+'Assumptions and Catalog'!$F$65,"Out of range")))))))))*(1+'Assumptions and Catalog'!$C$8)^(A647-1),0)</f>
        <v>6867.22</v>
      </c>
      <c r="N647" s="5" t="n">
        <f>IF(ISNUMBER(Inputs!$L$5),(IF(Inputs!$L$9="Actual flat rate",L647*Inputs!$L$10,IF(Inputs!$C$9="Residential",IF(L647&lt;='Assumptions and Catalog'!$C$50,L647*'Assumptions and Catalog'!$H$50+'Assumptions and Catalog'!$E$50+'Assumptions and Catalog'!$F$50,IF(L647&lt;='Assumptions and Catalog'!$C$51,L647*'Assumptions and Catalog'!$H$51+'Assumptions and Catalog'!$E$51+'Assumptions and Catalog'!$F$51,IF(L647&lt;='Assumptions and Catalog'!$C$52,L647*'Assumptions and Catalog'!$H$52+'Assumptions and Catalog'!$E$52+'Assumptions and Catalog'!$F$52,IF(L647&lt;='Assumptions and Catalog'!$C$53,L647*'Assumptions and Catalog'!$H$53+'Assumptions and Catalog'!$E$53+'Assumptions and Catalog'!$F$53,IF(L647&lt;='Assumptions and Catalog'!$C$54,L647*'Assumptions and Catalog'!$H$54+'Assumptions and Catalog'!$E$54+'Assumptions and Catalog'!$F$54,IF(L647&lt;='Assumptions and Catalog'!$C$55,L647*'Assumptions and Catalog'!$H$55+'Assumptions and Catalog'!$E$55+'Assumptions and Catalog'!$F$55,IF(L647&lt;='Assumptions and Catalog'!$C$56,L647*'Assumptions and Catalog'!$H$56+'Assumptions and Catalog'!$E$56+'Assumptions and Catalog'!$F$56,IF(L647&lt;='Assumptions and Catalog'!$C$57,L647*'Assumptions and Catalog'!$H$57+'Assumptions and Catalog'!$E$57+'Assumptions and Catalog'!$F$57,"Out of range")))))))),IF(L647&lt;='Assumptions and Catalog'!$C$60,L647*'Assumptions and Catalog'!$H$60+'Assumptions and Catalog'!$E$60+'Assumptions and Catalog'!$F$60,IF(L647&lt;='Assumptions and Catalog'!$C$61,L647*'Assumptions and Catalog'!$H$61+'Assumptions and Catalog'!$E$61+'Assumptions and Catalog'!$F$61,IF(L647&lt;='Assumptions and Catalog'!$C$62,L647*'Assumptions and Catalog'!$H$62+'Assumptions and Catalog'!$E$62+'Assumptions and Catalog'!$F$62,IF(L647&lt;='Assumptions and Catalog'!$C$63,L647*'Assumptions and Catalog'!$H$63+'Assumptions and Catalog'!$E$63+'Assumptions and Catalog'!$F$63,IF(L647&lt;='Assumptions and Catalog'!$C$64,L647*'Assumptions and Catalog'!$H$64+'Assumptions and Catalog'!$E$64+'Assumptions and Catalog'!$F$64,IF(L647&lt;='Assumptions and Catalog'!$C$65,L647*'Assumptions and Catalog'!$H$65+'Assumptions and Catalog'!$E$65+'Assumptions and Catalog'!$F$65,"Out of range")))))))))*(1+'Assumptions and Catalog'!$C$8)^(A647-1),0)</f>
        <v>6867.22</v>
      </c>
      <c r="O647" s="5" t="n">
        <f>M647-N647</f>
        <v>0</v>
      </c>
      <c r="P647" s="5" t="n">
        <f>D$55*(1-K$14)*(1-'Assumptions and Catalog'!$C$23)^R647</f>
        <v>0</v>
      </c>
      <c r="Q647" s="5" t="n">
        <f>IF(ISNUMBER(Inputs!$L$5),(IF(Inputs!$L$9="Actual flat rate",((D647+E647)*C647-G647)*Inputs!$L$10,IF(Inputs!$C$9="Residential",IF(((D647+E647)*C647-G647)&lt;='Assumptions and Catalog'!$C$50,((D647+E647)*C647-G647)*'Assumptions and Catalog'!$H$50+'Assumptions and Catalog'!$E$50+'Assumptions and Catalog'!$F$50,IF(((D647+E647)*C647-G647)&lt;='Assumptions and Catalog'!$C$51,((D647+E647)*C647-G647)*'Assumptions and Catalog'!$H$51+'Assumptions and Catalog'!$E$51+'Assumptions and Catalog'!$F$51,IF(((D647+E647)*C647-G647)&lt;='Assumptions and Catalog'!$C$52,((D647+E647)*C647-G647)*'Assumptions and Catalog'!$H$52+'Assumptions and Catalog'!$E$52+'Assumptions and Catalog'!$F$52,IF(((D647+E647)*C647-G647)&lt;='Assumptions and Catalog'!$C$53,((D647+E647)*C647-G647)*'Assumptions and Catalog'!$H$53+'Assumptions and Catalog'!$E$53+'Assumptions and Catalog'!$F$53,IF(((D647+E647)*C647-G647)&lt;='Assumptions and Catalog'!$C$54,((D647+E647)*C647-G647)*'Assumptions and Catalog'!$H$54+'Assumptions and Catalog'!$E$54+'Assumptions and Catalog'!$F$54,IF(((D647+E647)*C647-G647)&lt;='Assumptions and Catalog'!$C$55,((D647+E647)*C647-G647)*'Assumptions and Catalog'!$H$55+'Assumptions and Catalog'!$E$55+'Assumptions and Catalog'!$F$55,IF(((D647+E647)*C647-G647)&lt;='Assumptions and Catalog'!$C$56,((D647+E647)*C647-G647)*'Assumptions and Catalog'!$H$56+'Assumptions and Catalog'!$E$56+'Assumptions and Catalog'!$F$56,IF(((D647+E647)*C647-G647)&lt;='Assumptions and Catalog'!$C$57,((D647+E647)*C647-G647)*'Assumptions and Catalog'!$H$57+'Assumptions and Catalog'!$E$57+'Assumptions and Catalog'!$F$57,"Out of range")))))))),IF(((D647+E647)*C647-G647)&lt;='Assumptions and Catalog'!$C$60,((D647+E647)*C647-G647)*'Assumptions and Catalog'!$H$60+'Assumptions and Catalog'!$E$60+'Assumptions and Catalog'!$F$60,IF(((D647+E647)*C647-G647)&lt;='Assumptions and Catalog'!$C$61,((D647+E647)*C647-G647)*'Assumptions and Catalog'!$H$61+'Assumptions and Catalog'!$E$61+'Assumptions and Catalog'!$F$61,IF(((D647+E647)*C647-G647)&lt;='Assumptions and Catalog'!$C$62,((D647+E647)*C647-G647)*'Assumptions and Catalog'!$H$62+'Assumptions and Catalog'!$E$62+'Assumptions and Catalog'!$F$62,IF(((D647+E647)*C647-G647)&lt;='Assumptions and Catalog'!$C$63,((D647+E647)*C647-G647)*'Assumptions and Catalog'!$H$63+'Assumptions and Catalog'!$E$63+'Assumptions and Catalog'!$F$63,IF(((D647+E647)*C647-G647)&lt;='Assumptions and Catalog'!$C$64,((D647+E647)*C647-G647)*'Assumptions and Catalog'!$H$64+'Assumptions and Catalog'!$E$64+'Assumptions and Catalog'!$F$64,IF(((D647+E647)*C647-G647)&lt;='Assumptions and Catalog'!$C$65,((D647+E647)*C647-G647)*'Assumptions and Catalog'!$H$65+'Assumptions and Catalog'!$E$65+'Assumptions and Catalog'!$F$65,"Out of range")))))))))*(1+'Assumptions and Catalog'!$C$8)^(A647-1),0)</f>
        <v>6867.22</v>
      </c>
      <c r="R647" s="5" t="n">
        <f>IF(AND('Assumptions and Catalog'!$C$19&gt;0,A647&gt;='Assumptions and Catalog'!$C$19),A647-'Assumptions and Catalog'!$C$19,A647-1)</f>
        <v>9</v>
      </c>
      <c r="S647" s="5" t="n">
        <f>F647+L647-(D647+E647)*C647-J647-K647-IF(D$52&gt;0,'Assumptions and Catalog'!$C$26*C647,0)</f>
        <v>0</v>
      </c>
      <c r="T647" s="5"/>
      <c r="U647" s="5"/>
    </row>
    <row r="648" ht="23.100000381469727" customHeight="1">
      <c r="A648" s="5" t="n">
        <v>20</v>
      </c>
      <c r="B648" s="5" t="n">
        <v>10</v>
      </c>
      <c r="C648" s="5" t="n">
        <f>DAY(DATE('Assumptions and Catalog'!$C$24+A648-1,B648+1,0))</f>
        <v>31</v>
      </c>
      <c r="D648" s="5" t="n">
        <f>IF(ISNUMBER(Inputs!$L$5),Inputs!$L$5*Inputs!$L$6,0)</f>
        <v>40.35</v>
      </c>
      <c r="E648" s="5" t="n">
        <f>IF(ISNUMBER(Inputs!$L$5),Inputs!$L$5-D648,0)</f>
        <v>40.35</v>
      </c>
      <c r="F648" s="5" t="n">
        <f>D$51*'Assumptions and Catalog'!$C$31*C648*(1-'Assumptions and Catalog'!$C$10)^(A648-1)</f>
        <v>0</v>
      </c>
      <c r="G648" s="5" t="n">
        <f>MIN(F648,D648*C648)</f>
        <v>0</v>
      </c>
      <c r="H648" s="5" t="n">
        <f>I648/('Assumptions and Catalog'!$C$11*'Assumptions and Catalog'!$C$12)</f>
        <v>0</v>
      </c>
      <c r="I648" s="5" t="n">
        <f>IF(K$15="Grid cycle",MIN(K$16,D648+E648,P648*'Assumptions and Catalog'!$C$12,D$57*(24-'Assumptions and Catalog'!$C$15),D$56*'Assumptions and Catalog'!$C$15*'Assumptions and Catalog'!$C$11*'Assumptions and Catalog'!$C$12)*C648,0)</f>
        <v>0</v>
      </c>
      <c r="J648" s="5" t="n">
        <f>MAX(F648-G648-0,0)</f>
        <v>0</v>
      </c>
      <c r="K648" s="5" t="n">
        <f>H648-I648</f>
        <v>0</v>
      </c>
      <c r="L648" s="5" t="n">
        <f>(D648+E648)*C648-G648-I648+H648+IF(D$52&gt;0,'Assumptions and Catalog'!$C$26*C648,0)</f>
        <v>2501.7</v>
      </c>
      <c r="M648" s="5" t="n">
        <f>IF(ISNUMBER(Inputs!$L$5),(IF(Inputs!$L$9="Actual flat rate",((D648+E648)*C648)*Inputs!$L$10,IF(Inputs!$C$9="Residential",IF(((D648+E648)*C648)&lt;='Assumptions and Catalog'!$C$50,((D648+E648)*C648)*'Assumptions and Catalog'!$H$50+'Assumptions and Catalog'!$E$50+'Assumptions and Catalog'!$F$50,IF(((D648+E648)*C648)&lt;='Assumptions and Catalog'!$C$51,((D648+E648)*C648)*'Assumptions and Catalog'!$H$51+'Assumptions and Catalog'!$E$51+'Assumptions and Catalog'!$F$51,IF(((D648+E648)*C648)&lt;='Assumptions and Catalog'!$C$52,((D648+E648)*C648)*'Assumptions and Catalog'!$H$52+'Assumptions and Catalog'!$E$52+'Assumptions and Catalog'!$F$52,IF(((D648+E648)*C648)&lt;='Assumptions and Catalog'!$C$53,((D648+E648)*C648)*'Assumptions and Catalog'!$H$53+'Assumptions and Catalog'!$E$53+'Assumptions and Catalog'!$F$53,IF(((D648+E648)*C648)&lt;='Assumptions and Catalog'!$C$54,((D648+E648)*C648)*'Assumptions and Catalog'!$H$54+'Assumptions and Catalog'!$E$54+'Assumptions and Catalog'!$F$54,IF(((D648+E648)*C648)&lt;='Assumptions and Catalog'!$C$55,((D648+E648)*C648)*'Assumptions and Catalog'!$H$55+'Assumptions and Catalog'!$E$55+'Assumptions and Catalog'!$F$55,IF(((D648+E648)*C648)&lt;='Assumptions and Catalog'!$C$56,((D648+E648)*C648)*'Assumptions and Catalog'!$H$56+'Assumptions and Catalog'!$E$56+'Assumptions and Catalog'!$F$56,IF(((D648+E648)*C648)&lt;='Assumptions and Catalog'!$C$57,((D648+E648)*C648)*'Assumptions and Catalog'!$H$57+'Assumptions and Catalog'!$E$57+'Assumptions and Catalog'!$F$57,"Out of range")))))))),IF(((D648+E648)*C648)&lt;='Assumptions and Catalog'!$C$60,((D648+E648)*C648)*'Assumptions and Catalog'!$H$60+'Assumptions and Catalog'!$E$60+'Assumptions and Catalog'!$F$60,IF(((D648+E648)*C648)&lt;='Assumptions and Catalog'!$C$61,((D648+E648)*C648)*'Assumptions and Catalog'!$H$61+'Assumptions and Catalog'!$E$61+'Assumptions and Catalog'!$F$61,IF(((D648+E648)*C648)&lt;='Assumptions and Catalog'!$C$62,((D648+E648)*C648)*'Assumptions and Catalog'!$H$62+'Assumptions and Catalog'!$E$62+'Assumptions and Catalog'!$F$62,IF(((D648+E648)*C648)&lt;='Assumptions and Catalog'!$C$63,((D648+E648)*C648)*'Assumptions and Catalog'!$H$63+'Assumptions and Catalog'!$E$63+'Assumptions and Catalog'!$F$63,IF(((D648+E648)*C648)&lt;='Assumptions and Catalog'!$C$64,((D648+E648)*C648)*'Assumptions and Catalog'!$H$64+'Assumptions and Catalog'!$E$64+'Assumptions and Catalog'!$F$64,IF(((D648+E648)*C648)&lt;='Assumptions and Catalog'!$C$65,((D648+E648)*C648)*'Assumptions and Catalog'!$H$65+'Assumptions and Catalog'!$E$65+'Assumptions and Catalog'!$F$65,"Out of range")))))))))*(1+'Assumptions and Catalog'!$C$8)^(A648-1),0)</f>
        <v>7094.794</v>
      </c>
      <c r="N648" s="5" t="n">
        <f>IF(ISNUMBER(Inputs!$L$5),(IF(Inputs!$L$9="Actual flat rate",L648*Inputs!$L$10,IF(Inputs!$C$9="Residential",IF(L648&lt;='Assumptions and Catalog'!$C$50,L648*'Assumptions and Catalog'!$H$50+'Assumptions and Catalog'!$E$50+'Assumptions and Catalog'!$F$50,IF(L648&lt;='Assumptions and Catalog'!$C$51,L648*'Assumptions and Catalog'!$H$51+'Assumptions and Catalog'!$E$51+'Assumptions and Catalog'!$F$51,IF(L648&lt;='Assumptions and Catalog'!$C$52,L648*'Assumptions and Catalog'!$H$52+'Assumptions and Catalog'!$E$52+'Assumptions and Catalog'!$F$52,IF(L648&lt;='Assumptions and Catalog'!$C$53,L648*'Assumptions and Catalog'!$H$53+'Assumptions and Catalog'!$E$53+'Assumptions and Catalog'!$F$53,IF(L648&lt;='Assumptions and Catalog'!$C$54,L648*'Assumptions and Catalog'!$H$54+'Assumptions and Catalog'!$E$54+'Assumptions and Catalog'!$F$54,IF(L648&lt;='Assumptions and Catalog'!$C$55,L648*'Assumptions and Catalog'!$H$55+'Assumptions and Catalog'!$E$55+'Assumptions and Catalog'!$F$55,IF(L648&lt;='Assumptions and Catalog'!$C$56,L648*'Assumptions and Catalog'!$H$56+'Assumptions and Catalog'!$E$56+'Assumptions and Catalog'!$F$56,IF(L648&lt;='Assumptions and Catalog'!$C$57,L648*'Assumptions and Catalog'!$H$57+'Assumptions and Catalog'!$E$57+'Assumptions and Catalog'!$F$57,"Out of range")))))))),IF(L648&lt;='Assumptions and Catalog'!$C$60,L648*'Assumptions and Catalog'!$H$60+'Assumptions and Catalog'!$E$60+'Assumptions and Catalog'!$F$60,IF(L648&lt;='Assumptions and Catalog'!$C$61,L648*'Assumptions and Catalog'!$H$61+'Assumptions and Catalog'!$E$61+'Assumptions and Catalog'!$F$61,IF(L648&lt;='Assumptions and Catalog'!$C$62,L648*'Assumptions and Catalog'!$H$62+'Assumptions and Catalog'!$E$62+'Assumptions and Catalog'!$F$62,IF(L648&lt;='Assumptions and Catalog'!$C$63,L648*'Assumptions and Catalog'!$H$63+'Assumptions and Catalog'!$E$63+'Assumptions and Catalog'!$F$63,IF(L648&lt;='Assumptions and Catalog'!$C$64,L648*'Assumptions and Catalog'!$H$64+'Assumptions and Catalog'!$E$64+'Assumptions and Catalog'!$F$64,IF(L648&lt;='Assumptions and Catalog'!$C$65,L648*'Assumptions and Catalog'!$H$65+'Assumptions and Catalog'!$E$65+'Assumptions and Catalog'!$F$65,"Out of range")))))))))*(1+'Assumptions and Catalog'!$C$8)^(A648-1),0)</f>
        <v>7094.794</v>
      </c>
      <c r="O648" s="5" t="n">
        <f>M648-N648</f>
        <v>0</v>
      </c>
      <c r="P648" s="5" t="n">
        <f>D$55*(1-K$14)*(1-'Assumptions and Catalog'!$C$23)^R648</f>
        <v>0</v>
      </c>
      <c r="Q648" s="5" t="n">
        <f>IF(ISNUMBER(Inputs!$L$5),(IF(Inputs!$L$9="Actual flat rate",((D648+E648)*C648-G648)*Inputs!$L$10,IF(Inputs!$C$9="Residential",IF(((D648+E648)*C648-G648)&lt;='Assumptions and Catalog'!$C$50,((D648+E648)*C648-G648)*'Assumptions and Catalog'!$H$50+'Assumptions and Catalog'!$E$50+'Assumptions and Catalog'!$F$50,IF(((D648+E648)*C648-G648)&lt;='Assumptions and Catalog'!$C$51,((D648+E648)*C648-G648)*'Assumptions and Catalog'!$H$51+'Assumptions and Catalog'!$E$51+'Assumptions and Catalog'!$F$51,IF(((D648+E648)*C648-G648)&lt;='Assumptions and Catalog'!$C$52,((D648+E648)*C648-G648)*'Assumptions and Catalog'!$H$52+'Assumptions and Catalog'!$E$52+'Assumptions and Catalog'!$F$52,IF(((D648+E648)*C648-G648)&lt;='Assumptions and Catalog'!$C$53,((D648+E648)*C648-G648)*'Assumptions and Catalog'!$H$53+'Assumptions and Catalog'!$E$53+'Assumptions and Catalog'!$F$53,IF(((D648+E648)*C648-G648)&lt;='Assumptions and Catalog'!$C$54,((D648+E648)*C648-G648)*'Assumptions and Catalog'!$H$54+'Assumptions and Catalog'!$E$54+'Assumptions and Catalog'!$F$54,IF(((D648+E648)*C648-G648)&lt;='Assumptions and Catalog'!$C$55,((D648+E648)*C648-G648)*'Assumptions and Catalog'!$H$55+'Assumptions and Catalog'!$E$55+'Assumptions and Catalog'!$F$55,IF(((D648+E648)*C648-G648)&lt;='Assumptions and Catalog'!$C$56,((D648+E648)*C648-G648)*'Assumptions and Catalog'!$H$56+'Assumptions and Catalog'!$E$56+'Assumptions and Catalog'!$F$56,IF(((D648+E648)*C648-G648)&lt;='Assumptions and Catalog'!$C$57,((D648+E648)*C648-G648)*'Assumptions and Catalog'!$H$57+'Assumptions and Catalog'!$E$57+'Assumptions and Catalog'!$F$57,"Out of range")))))))),IF(((D648+E648)*C648-G648)&lt;='Assumptions and Catalog'!$C$60,((D648+E648)*C648-G648)*'Assumptions and Catalog'!$H$60+'Assumptions and Catalog'!$E$60+'Assumptions and Catalog'!$F$60,IF(((D648+E648)*C648-G648)&lt;='Assumptions and Catalog'!$C$61,((D648+E648)*C648-G648)*'Assumptions and Catalog'!$H$61+'Assumptions and Catalog'!$E$61+'Assumptions and Catalog'!$F$61,IF(((D648+E648)*C648-G648)&lt;='Assumptions and Catalog'!$C$62,((D648+E648)*C648-G648)*'Assumptions and Catalog'!$H$62+'Assumptions and Catalog'!$E$62+'Assumptions and Catalog'!$F$62,IF(((D648+E648)*C648-G648)&lt;='Assumptions and Catalog'!$C$63,((D648+E648)*C648-G648)*'Assumptions and Catalog'!$H$63+'Assumptions and Catalog'!$E$63+'Assumptions and Catalog'!$F$63,IF(((D648+E648)*C648-G648)&lt;='Assumptions and Catalog'!$C$64,((D648+E648)*C648-G648)*'Assumptions and Catalog'!$H$64+'Assumptions and Catalog'!$E$64+'Assumptions and Catalog'!$F$64,IF(((D648+E648)*C648-G648)&lt;='Assumptions and Catalog'!$C$65,((D648+E648)*C648-G648)*'Assumptions and Catalog'!$H$65+'Assumptions and Catalog'!$E$65+'Assumptions and Catalog'!$F$65,"Out of range")))))))))*(1+'Assumptions and Catalog'!$C$8)^(A648-1),0)</f>
        <v>7094.794</v>
      </c>
      <c r="R648" s="5" t="n">
        <f>IF(AND('Assumptions and Catalog'!$C$19&gt;0,A648&gt;='Assumptions and Catalog'!$C$19),A648-'Assumptions and Catalog'!$C$19,A648-1)</f>
        <v>9</v>
      </c>
      <c r="S648" s="5" t="n">
        <f>F648+L648-(D648+E648)*C648-J648-K648-IF(D$52&gt;0,'Assumptions and Catalog'!$C$26*C648,0)</f>
        <v>0</v>
      </c>
      <c r="T648" s="5"/>
      <c r="U648" s="5"/>
    </row>
    <row r="649" ht="23.100000381469727" customHeight="1">
      <c r="A649" s="5" t="n">
        <v>20</v>
      </c>
      <c r="B649" s="5" t="n">
        <v>11</v>
      </c>
      <c r="C649" s="5" t="n">
        <f>DAY(DATE('Assumptions and Catalog'!$C$24+A649-1,B649+1,0))</f>
        <v>30</v>
      </c>
      <c r="D649" s="5" t="n">
        <f>IF(ISNUMBER(Inputs!$L$5),Inputs!$L$5*Inputs!$L$6,0)</f>
        <v>40.35</v>
      </c>
      <c r="E649" s="5" t="n">
        <f>IF(ISNUMBER(Inputs!$L$5),Inputs!$L$5-D649,0)</f>
        <v>40.35</v>
      </c>
      <c r="F649" s="5" t="n">
        <f>D$51*'Assumptions and Catalog'!$C$31*C649*(1-'Assumptions and Catalog'!$C$10)^(A649-1)</f>
        <v>0</v>
      </c>
      <c r="G649" s="5" t="n">
        <f>MIN(F649,D649*C649)</f>
        <v>0</v>
      </c>
      <c r="H649" s="5" t="n">
        <f>I649/('Assumptions and Catalog'!$C$11*'Assumptions and Catalog'!$C$12)</f>
        <v>0</v>
      </c>
      <c r="I649" s="5" t="n">
        <f>IF(K$15="Grid cycle",MIN(K$16,D649+E649,P649*'Assumptions and Catalog'!$C$12,D$57*(24-'Assumptions and Catalog'!$C$15),D$56*'Assumptions and Catalog'!$C$15*'Assumptions and Catalog'!$C$11*'Assumptions and Catalog'!$C$12)*C649,0)</f>
        <v>0</v>
      </c>
      <c r="J649" s="5" t="n">
        <f>MAX(F649-G649-0,0)</f>
        <v>0</v>
      </c>
      <c r="K649" s="5" t="n">
        <f>H649-I649</f>
        <v>0</v>
      </c>
      <c r="L649" s="5" t="n">
        <f>(D649+E649)*C649-G649-I649+H649+IF(D$52&gt;0,'Assumptions and Catalog'!$C$26*C649,0)</f>
        <v>2421</v>
      </c>
      <c r="M649" s="5" t="n">
        <f>IF(ISNUMBER(Inputs!$L$5),(IF(Inputs!$L$9="Actual flat rate",((D649+E649)*C649)*Inputs!$L$10,IF(Inputs!$C$9="Residential",IF(((D649+E649)*C649)&lt;='Assumptions and Catalog'!$C$50,((D649+E649)*C649)*'Assumptions and Catalog'!$H$50+'Assumptions and Catalog'!$E$50+'Assumptions and Catalog'!$F$50,IF(((D649+E649)*C649)&lt;='Assumptions and Catalog'!$C$51,((D649+E649)*C649)*'Assumptions and Catalog'!$H$51+'Assumptions and Catalog'!$E$51+'Assumptions and Catalog'!$F$51,IF(((D649+E649)*C649)&lt;='Assumptions and Catalog'!$C$52,((D649+E649)*C649)*'Assumptions and Catalog'!$H$52+'Assumptions and Catalog'!$E$52+'Assumptions and Catalog'!$F$52,IF(((D649+E649)*C649)&lt;='Assumptions and Catalog'!$C$53,((D649+E649)*C649)*'Assumptions and Catalog'!$H$53+'Assumptions and Catalog'!$E$53+'Assumptions and Catalog'!$F$53,IF(((D649+E649)*C649)&lt;='Assumptions and Catalog'!$C$54,((D649+E649)*C649)*'Assumptions and Catalog'!$H$54+'Assumptions and Catalog'!$E$54+'Assumptions and Catalog'!$F$54,IF(((D649+E649)*C649)&lt;='Assumptions and Catalog'!$C$55,((D649+E649)*C649)*'Assumptions and Catalog'!$H$55+'Assumptions and Catalog'!$E$55+'Assumptions and Catalog'!$F$55,IF(((D649+E649)*C649)&lt;='Assumptions and Catalog'!$C$56,((D649+E649)*C649)*'Assumptions and Catalog'!$H$56+'Assumptions and Catalog'!$E$56+'Assumptions and Catalog'!$F$56,IF(((D649+E649)*C649)&lt;='Assumptions and Catalog'!$C$57,((D649+E649)*C649)*'Assumptions and Catalog'!$H$57+'Assumptions and Catalog'!$E$57+'Assumptions and Catalog'!$F$57,"Out of range")))))))),IF(((D649+E649)*C649)&lt;='Assumptions and Catalog'!$C$60,((D649+E649)*C649)*'Assumptions and Catalog'!$H$60+'Assumptions and Catalog'!$E$60+'Assumptions and Catalog'!$F$60,IF(((D649+E649)*C649)&lt;='Assumptions and Catalog'!$C$61,((D649+E649)*C649)*'Assumptions and Catalog'!$H$61+'Assumptions and Catalog'!$E$61+'Assumptions and Catalog'!$F$61,IF(((D649+E649)*C649)&lt;='Assumptions and Catalog'!$C$62,((D649+E649)*C649)*'Assumptions and Catalog'!$H$62+'Assumptions and Catalog'!$E$62+'Assumptions and Catalog'!$F$62,IF(((D649+E649)*C649)&lt;='Assumptions and Catalog'!$C$63,((D649+E649)*C649)*'Assumptions and Catalog'!$H$63+'Assumptions and Catalog'!$E$63+'Assumptions and Catalog'!$F$63,IF(((D649+E649)*C649)&lt;='Assumptions and Catalog'!$C$64,((D649+E649)*C649)*'Assumptions and Catalog'!$H$64+'Assumptions and Catalog'!$E$64+'Assumptions and Catalog'!$F$64,IF(((D649+E649)*C649)&lt;='Assumptions and Catalog'!$C$65,((D649+E649)*C649)*'Assumptions and Catalog'!$H$65+'Assumptions and Catalog'!$E$65+'Assumptions and Catalog'!$F$65,"Out of range")))))))))*(1+'Assumptions and Catalog'!$C$8)^(A649-1),0)</f>
        <v>6867.22</v>
      </c>
      <c r="N649" s="5" t="n">
        <f>IF(ISNUMBER(Inputs!$L$5),(IF(Inputs!$L$9="Actual flat rate",L649*Inputs!$L$10,IF(Inputs!$C$9="Residential",IF(L649&lt;='Assumptions and Catalog'!$C$50,L649*'Assumptions and Catalog'!$H$50+'Assumptions and Catalog'!$E$50+'Assumptions and Catalog'!$F$50,IF(L649&lt;='Assumptions and Catalog'!$C$51,L649*'Assumptions and Catalog'!$H$51+'Assumptions and Catalog'!$E$51+'Assumptions and Catalog'!$F$51,IF(L649&lt;='Assumptions and Catalog'!$C$52,L649*'Assumptions and Catalog'!$H$52+'Assumptions and Catalog'!$E$52+'Assumptions and Catalog'!$F$52,IF(L649&lt;='Assumptions and Catalog'!$C$53,L649*'Assumptions and Catalog'!$H$53+'Assumptions and Catalog'!$E$53+'Assumptions and Catalog'!$F$53,IF(L649&lt;='Assumptions and Catalog'!$C$54,L649*'Assumptions and Catalog'!$H$54+'Assumptions and Catalog'!$E$54+'Assumptions and Catalog'!$F$54,IF(L649&lt;='Assumptions and Catalog'!$C$55,L649*'Assumptions and Catalog'!$H$55+'Assumptions and Catalog'!$E$55+'Assumptions and Catalog'!$F$55,IF(L649&lt;='Assumptions and Catalog'!$C$56,L649*'Assumptions and Catalog'!$H$56+'Assumptions and Catalog'!$E$56+'Assumptions and Catalog'!$F$56,IF(L649&lt;='Assumptions and Catalog'!$C$57,L649*'Assumptions and Catalog'!$H$57+'Assumptions and Catalog'!$E$57+'Assumptions and Catalog'!$F$57,"Out of range")))))))),IF(L649&lt;='Assumptions and Catalog'!$C$60,L649*'Assumptions and Catalog'!$H$60+'Assumptions and Catalog'!$E$60+'Assumptions and Catalog'!$F$60,IF(L649&lt;='Assumptions and Catalog'!$C$61,L649*'Assumptions and Catalog'!$H$61+'Assumptions and Catalog'!$E$61+'Assumptions and Catalog'!$F$61,IF(L649&lt;='Assumptions and Catalog'!$C$62,L649*'Assumptions and Catalog'!$H$62+'Assumptions and Catalog'!$E$62+'Assumptions and Catalog'!$F$62,IF(L649&lt;='Assumptions and Catalog'!$C$63,L649*'Assumptions and Catalog'!$H$63+'Assumptions and Catalog'!$E$63+'Assumptions and Catalog'!$F$63,IF(L649&lt;='Assumptions and Catalog'!$C$64,L649*'Assumptions and Catalog'!$H$64+'Assumptions and Catalog'!$E$64+'Assumptions and Catalog'!$F$64,IF(L649&lt;='Assumptions and Catalog'!$C$65,L649*'Assumptions and Catalog'!$H$65+'Assumptions and Catalog'!$E$65+'Assumptions and Catalog'!$F$65,"Out of range")))))))))*(1+'Assumptions and Catalog'!$C$8)^(A649-1),0)</f>
        <v>6867.22</v>
      </c>
      <c r="O649" s="5" t="n">
        <f>M649-N649</f>
        <v>0</v>
      </c>
      <c r="P649" s="5" t="n">
        <f>D$55*(1-K$14)*(1-'Assumptions and Catalog'!$C$23)^R649</f>
        <v>0</v>
      </c>
      <c r="Q649" s="5" t="n">
        <f>IF(ISNUMBER(Inputs!$L$5),(IF(Inputs!$L$9="Actual flat rate",((D649+E649)*C649-G649)*Inputs!$L$10,IF(Inputs!$C$9="Residential",IF(((D649+E649)*C649-G649)&lt;='Assumptions and Catalog'!$C$50,((D649+E649)*C649-G649)*'Assumptions and Catalog'!$H$50+'Assumptions and Catalog'!$E$50+'Assumptions and Catalog'!$F$50,IF(((D649+E649)*C649-G649)&lt;='Assumptions and Catalog'!$C$51,((D649+E649)*C649-G649)*'Assumptions and Catalog'!$H$51+'Assumptions and Catalog'!$E$51+'Assumptions and Catalog'!$F$51,IF(((D649+E649)*C649-G649)&lt;='Assumptions and Catalog'!$C$52,((D649+E649)*C649-G649)*'Assumptions and Catalog'!$H$52+'Assumptions and Catalog'!$E$52+'Assumptions and Catalog'!$F$52,IF(((D649+E649)*C649-G649)&lt;='Assumptions and Catalog'!$C$53,((D649+E649)*C649-G649)*'Assumptions and Catalog'!$H$53+'Assumptions and Catalog'!$E$53+'Assumptions and Catalog'!$F$53,IF(((D649+E649)*C649-G649)&lt;='Assumptions and Catalog'!$C$54,((D649+E649)*C649-G649)*'Assumptions and Catalog'!$H$54+'Assumptions and Catalog'!$E$54+'Assumptions and Catalog'!$F$54,IF(((D649+E649)*C649-G649)&lt;='Assumptions and Catalog'!$C$55,((D649+E649)*C649-G649)*'Assumptions and Catalog'!$H$55+'Assumptions and Catalog'!$E$55+'Assumptions and Catalog'!$F$55,IF(((D649+E649)*C649-G649)&lt;='Assumptions and Catalog'!$C$56,((D649+E649)*C649-G649)*'Assumptions and Catalog'!$H$56+'Assumptions and Catalog'!$E$56+'Assumptions and Catalog'!$F$56,IF(((D649+E649)*C649-G649)&lt;='Assumptions and Catalog'!$C$57,((D649+E649)*C649-G649)*'Assumptions and Catalog'!$H$57+'Assumptions and Catalog'!$E$57+'Assumptions and Catalog'!$F$57,"Out of range")))))))),IF(((D649+E649)*C649-G649)&lt;='Assumptions and Catalog'!$C$60,((D649+E649)*C649-G649)*'Assumptions and Catalog'!$H$60+'Assumptions and Catalog'!$E$60+'Assumptions and Catalog'!$F$60,IF(((D649+E649)*C649-G649)&lt;='Assumptions and Catalog'!$C$61,((D649+E649)*C649-G649)*'Assumptions and Catalog'!$H$61+'Assumptions and Catalog'!$E$61+'Assumptions and Catalog'!$F$61,IF(((D649+E649)*C649-G649)&lt;='Assumptions and Catalog'!$C$62,((D649+E649)*C649-G649)*'Assumptions and Catalog'!$H$62+'Assumptions and Catalog'!$E$62+'Assumptions and Catalog'!$F$62,IF(((D649+E649)*C649-G649)&lt;='Assumptions and Catalog'!$C$63,((D649+E649)*C649-G649)*'Assumptions and Catalog'!$H$63+'Assumptions and Catalog'!$E$63+'Assumptions and Catalog'!$F$63,IF(((D649+E649)*C649-G649)&lt;='Assumptions and Catalog'!$C$64,((D649+E649)*C649-G649)*'Assumptions and Catalog'!$H$64+'Assumptions and Catalog'!$E$64+'Assumptions and Catalog'!$F$64,IF(((D649+E649)*C649-G649)&lt;='Assumptions and Catalog'!$C$65,((D649+E649)*C649-G649)*'Assumptions and Catalog'!$H$65+'Assumptions and Catalog'!$E$65+'Assumptions and Catalog'!$F$65,"Out of range")))))))))*(1+'Assumptions and Catalog'!$C$8)^(A649-1),0)</f>
        <v>6867.22</v>
      </c>
      <c r="R649" s="5" t="n">
        <f>IF(AND('Assumptions and Catalog'!$C$19&gt;0,A649&gt;='Assumptions and Catalog'!$C$19),A649-'Assumptions and Catalog'!$C$19,A649-1)</f>
        <v>9</v>
      </c>
      <c r="S649" s="5" t="n">
        <f>F649+L649-(D649+E649)*C649-J649-K649-IF(D$52&gt;0,'Assumptions and Catalog'!$C$26*C649,0)</f>
        <v>0</v>
      </c>
      <c r="T649" s="5"/>
      <c r="U649" s="5"/>
    </row>
    <row r="650" ht="23.100000381469727" customHeight="1">
      <c r="A650" s="5" t="n">
        <v>20</v>
      </c>
      <c r="B650" s="5" t="n">
        <v>12</v>
      </c>
      <c r="C650" s="5" t="n">
        <f>DAY(DATE('Assumptions and Catalog'!$C$24+A650-1,B650+1,0))</f>
        <v>31</v>
      </c>
      <c r="D650" s="5" t="n">
        <f>IF(ISNUMBER(Inputs!$L$5),Inputs!$L$5*Inputs!$L$6,0)</f>
        <v>40.35</v>
      </c>
      <c r="E650" s="5" t="n">
        <f>IF(ISNUMBER(Inputs!$L$5),Inputs!$L$5-D650,0)</f>
        <v>40.35</v>
      </c>
      <c r="F650" s="5" t="n">
        <f>D$51*'Assumptions and Catalog'!$C$31*C650*(1-'Assumptions and Catalog'!$C$10)^(A650-1)</f>
        <v>0</v>
      </c>
      <c r="G650" s="5" t="n">
        <f>MIN(F650,D650*C650)</f>
        <v>0</v>
      </c>
      <c r="H650" s="5" t="n">
        <f>I650/('Assumptions and Catalog'!$C$11*'Assumptions and Catalog'!$C$12)</f>
        <v>0</v>
      </c>
      <c r="I650" s="5" t="n">
        <f>IF(K$15="Grid cycle",MIN(K$16,D650+E650,P650*'Assumptions and Catalog'!$C$12,D$57*(24-'Assumptions and Catalog'!$C$15),D$56*'Assumptions and Catalog'!$C$15*'Assumptions and Catalog'!$C$11*'Assumptions and Catalog'!$C$12)*C650,0)</f>
        <v>0</v>
      </c>
      <c r="J650" s="5" t="n">
        <f>MAX(F650-G650-0,0)</f>
        <v>0</v>
      </c>
      <c r="K650" s="5" t="n">
        <f>H650-I650</f>
        <v>0</v>
      </c>
      <c r="L650" s="5" t="n">
        <f>(D650+E650)*C650-G650-I650+H650+IF(D$52&gt;0,'Assumptions and Catalog'!$C$26*C650,0)</f>
        <v>2501.7</v>
      </c>
      <c r="M650" s="5" t="n">
        <f>IF(ISNUMBER(Inputs!$L$5),(IF(Inputs!$L$9="Actual flat rate",((D650+E650)*C650)*Inputs!$L$10,IF(Inputs!$C$9="Residential",IF(((D650+E650)*C650)&lt;='Assumptions and Catalog'!$C$50,((D650+E650)*C650)*'Assumptions and Catalog'!$H$50+'Assumptions and Catalog'!$E$50+'Assumptions and Catalog'!$F$50,IF(((D650+E650)*C650)&lt;='Assumptions and Catalog'!$C$51,((D650+E650)*C650)*'Assumptions and Catalog'!$H$51+'Assumptions and Catalog'!$E$51+'Assumptions and Catalog'!$F$51,IF(((D650+E650)*C650)&lt;='Assumptions and Catalog'!$C$52,((D650+E650)*C650)*'Assumptions and Catalog'!$H$52+'Assumptions and Catalog'!$E$52+'Assumptions and Catalog'!$F$52,IF(((D650+E650)*C650)&lt;='Assumptions and Catalog'!$C$53,((D650+E650)*C650)*'Assumptions and Catalog'!$H$53+'Assumptions and Catalog'!$E$53+'Assumptions and Catalog'!$F$53,IF(((D650+E650)*C650)&lt;='Assumptions and Catalog'!$C$54,((D650+E650)*C650)*'Assumptions and Catalog'!$H$54+'Assumptions and Catalog'!$E$54+'Assumptions and Catalog'!$F$54,IF(((D650+E650)*C650)&lt;='Assumptions and Catalog'!$C$55,((D650+E650)*C650)*'Assumptions and Catalog'!$H$55+'Assumptions and Catalog'!$E$55+'Assumptions and Catalog'!$F$55,IF(((D650+E650)*C650)&lt;='Assumptions and Catalog'!$C$56,((D650+E650)*C650)*'Assumptions and Catalog'!$H$56+'Assumptions and Catalog'!$E$56+'Assumptions and Catalog'!$F$56,IF(((D650+E650)*C650)&lt;='Assumptions and Catalog'!$C$57,((D650+E650)*C650)*'Assumptions and Catalog'!$H$57+'Assumptions and Catalog'!$E$57+'Assumptions and Catalog'!$F$57,"Out of range")))))))),IF(((D650+E650)*C650)&lt;='Assumptions and Catalog'!$C$60,((D650+E650)*C650)*'Assumptions and Catalog'!$H$60+'Assumptions and Catalog'!$E$60+'Assumptions and Catalog'!$F$60,IF(((D650+E650)*C650)&lt;='Assumptions and Catalog'!$C$61,((D650+E650)*C650)*'Assumptions and Catalog'!$H$61+'Assumptions and Catalog'!$E$61+'Assumptions and Catalog'!$F$61,IF(((D650+E650)*C650)&lt;='Assumptions and Catalog'!$C$62,((D650+E650)*C650)*'Assumptions and Catalog'!$H$62+'Assumptions and Catalog'!$E$62+'Assumptions and Catalog'!$F$62,IF(((D650+E650)*C650)&lt;='Assumptions and Catalog'!$C$63,((D650+E650)*C650)*'Assumptions and Catalog'!$H$63+'Assumptions and Catalog'!$E$63+'Assumptions and Catalog'!$F$63,IF(((D650+E650)*C650)&lt;='Assumptions and Catalog'!$C$64,((D650+E650)*C650)*'Assumptions and Catalog'!$H$64+'Assumptions and Catalog'!$E$64+'Assumptions and Catalog'!$F$64,IF(((D650+E650)*C650)&lt;='Assumptions and Catalog'!$C$65,((D650+E650)*C650)*'Assumptions and Catalog'!$H$65+'Assumptions and Catalog'!$E$65+'Assumptions and Catalog'!$F$65,"Out of range")))))))))*(1+'Assumptions and Catalog'!$C$8)^(A650-1),0)</f>
        <v>7094.794</v>
      </c>
      <c r="N650" s="5" t="n">
        <f>IF(ISNUMBER(Inputs!$L$5),(IF(Inputs!$L$9="Actual flat rate",L650*Inputs!$L$10,IF(Inputs!$C$9="Residential",IF(L650&lt;='Assumptions and Catalog'!$C$50,L650*'Assumptions and Catalog'!$H$50+'Assumptions and Catalog'!$E$50+'Assumptions and Catalog'!$F$50,IF(L650&lt;='Assumptions and Catalog'!$C$51,L650*'Assumptions and Catalog'!$H$51+'Assumptions and Catalog'!$E$51+'Assumptions and Catalog'!$F$51,IF(L650&lt;='Assumptions and Catalog'!$C$52,L650*'Assumptions and Catalog'!$H$52+'Assumptions and Catalog'!$E$52+'Assumptions and Catalog'!$F$52,IF(L650&lt;='Assumptions and Catalog'!$C$53,L650*'Assumptions and Catalog'!$H$53+'Assumptions and Catalog'!$E$53+'Assumptions and Catalog'!$F$53,IF(L650&lt;='Assumptions and Catalog'!$C$54,L650*'Assumptions and Catalog'!$H$54+'Assumptions and Catalog'!$E$54+'Assumptions and Catalog'!$F$54,IF(L650&lt;='Assumptions and Catalog'!$C$55,L650*'Assumptions and Catalog'!$H$55+'Assumptions and Catalog'!$E$55+'Assumptions and Catalog'!$F$55,IF(L650&lt;='Assumptions and Catalog'!$C$56,L650*'Assumptions and Catalog'!$H$56+'Assumptions and Catalog'!$E$56+'Assumptions and Catalog'!$F$56,IF(L650&lt;='Assumptions and Catalog'!$C$57,L650*'Assumptions and Catalog'!$H$57+'Assumptions and Catalog'!$E$57+'Assumptions and Catalog'!$F$57,"Out of range")))))))),IF(L650&lt;='Assumptions and Catalog'!$C$60,L650*'Assumptions and Catalog'!$H$60+'Assumptions and Catalog'!$E$60+'Assumptions and Catalog'!$F$60,IF(L650&lt;='Assumptions and Catalog'!$C$61,L650*'Assumptions and Catalog'!$H$61+'Assumptions and Catalog'!$E$61+'Assumptions and Catalog'!$F$61,IF(L650&lt;='Assumptions and Catalog'!$C$62,L650*'Assumptions and Catalog'!$H$62+'Assumptions and Catalog'!$E$62+'Assumptions and Catalog'!$F$62,IF(L650&lt;='Assumptions and Catalog'!$C$63,L650*'Assumptions and Catalog'!$H$63+'Assumptions and Catalog'!$E$63+'Assumptions and Catalog'!$F$63,IF(L650&lt;='Assumptions and Catalog'!$C$64,L650*'Assumptions and Catalog'!$H$64+'Assumptions and Catalog'!$E$64+'Assumptions and Catalog'!$F$64,IF(L650&lt;='Assumptions and Catalog'!$C$65,L650*'Assumptions and Catalog'!$H$65+'Assumptions and Catalog'!$E$65+'Assumptions and Catalog'!$F$65,"Out of range")))))))))*(1+'Assumptions and Catalog'!$C$8)^(A650-1),0)</f>
        <v>7094.794</v>
      </c>
      <c r="O650" s="5" t="n">
        <f>M650-N650</f>
        <v>0</v>
      </c>
      <c r="P650" s="5" t="n">
        <f>D$55*(1-K$14)*(1-'Assumptions and Catalog'!$C$23)^R650</f>
        <v>0</v>
      </c>
      <c r="Q650" s="5" t="n">
        <f>IF(ISNUMBER(Inputs!$L$5),(IF(Inputs!$L$9="Actual flat rate",((D650+E650)*C650-G650)*Inputs!$L$10,IF(Inputs!$C$9="Residential",IF(((D650+E650)*C650-G650)&lt;='Assumptions and Catalog'!$C$50,((D650+E650)*C650-G650)*'Assumptions and Catalog'!$H$50+'Assumptions and Catalog'!$E$50+'Assumptions and Catalog'!$F$50,IF(((D650+E650)*C650-G650)&lt;='Assumptions and Catalog'!$C$51,((D650+E650)*C650-G650)*'Assumptions and Catalog'!$H$51+'Assumptions and Catalog'!$E$51+'Assumptions and Catalog'!$F$51,IF(((D650+E650)*C650-G650)&lt;='Assumptions and Catalog'!$C$52,((D650+E650)*C650-G650)*'Assumptions and Catalog'!$H$52+'Assumptions and Catalog'!$E$52+'Assumptions and Catalog'!$F$52,IF(((D650+E650)*C650-G650)&lt;='Assumptions and Catalog'!$C$53,((D650+E650)*C650-G650)*'Assumptions and Catalog'!$H$53+'Assumptions and Catalog'!$E$53+'Assumptions and Catalog'!$F$53,IF(((D650+E650)*C650-G650)&lt;='Assumptions and Catalog'!$C$54,((D650+E650)*C650-G650)*'Assumptions and Catalog'!$H$54+'Assumptions and Catalog'!$E$54+'Assumptions and Catalog'!$F$54,IF(((D650+E650)*C650-G650)&lt;='Assumptions and Catalog'!$C$55,((D650+E650)*C650-G650)*'Assumptions and Catalog'!$H$55+'Assumptions and Catalog'!$E$55+'Assumptions and Catalog'!$F$55,IF(((D650+E650)*C650-G650)&lt;='Assumptions and Catalog'!$C$56,((D650+E650)*C650-G650)*'Assumptions and Catalog'!$H$56+'Assumptions and Catalog'!$E$56+'Assumptions and Catalog'!$F$56,IF(((D650+E650)*C650-G650)&lt;='Assumptions and Catalog'!$C$57,((D650+E650)*C650-G650)*'Assumptions and Catalog'!$H$57+'Assumptions and Catalog'!$E$57+'Assumptions and Catalog'!$F$57,"Out of range")))))))),IF(((D650+E650)*C650-G650)&lt;='Assumptions and Catalog'!$C$60,((D650+E650)*C650-G650)*'Assumptions and Catalog'!$H$60+'Assumptions and Catalog'!$E$60+'Assumptions and Catalog'!$F$60,IF(((D650+E650)*C650-G650)&lt;='Assumptions and Catalog'!$C$61,((D650+E650)*C650-G650)*'Assumptions and Catalog'!$H$61+'Assumptions and Catalog'!$E$61+'Assumptions and Catalog'!$F$61,IF(((D650+E650)*C650-G650)&lt;='Assumptions and Catalog'!$C$62,((D650+E650)*C650-G650)*'Assumptions and Catalog'!$H$62+'Assumptions and Catalog'!$E$62+'Assumptions and Catalog'!$F$62,IF(((D650+E650)*C650-G650)&lt;='Assumptions and Catalog'!$C$63,((D650+E650)*C650-G650)*'Assumptions and Catalog'!$H$63+'Assumptions and Catalog'!$E$63+'Assumptions and Catalog'!$F$63,IF(((D650+E650)*C650-G650)&lt;='Assumptions and Catalog'!$C$64,((D650+E650)*C650-G650)*'Assumptions and Catalog'!$H$64+'Assumptions and Catalog'!$E$64+'Assumptions and Catalog'!$F$64,IF(((D650+E650)*C650-G650)&lt;='Assumptions and Catalog'!$C$65,((D650+E650)*C650-G650)*'Assumptions and Catalog'!$H$65+'Assumptions and Catalog'!$E$65+'Assumptions and Catalog'!$F$65,"Out of range")))))))))*(1+'Assumptions and Catalog'!$C$8)^(A650-1),0)</f>
        <v>7094.794</v>
      </c>
      <c r="R650" s="5" t="n">
        <f>IF(AND('Assumptions and Catalog'!$C$19&gt;0,A650&gt;='Assumptions and Catalog'!$C$19),A650-'Assumptions and Catalog'!$C$19,A650-1)</f>
        <v>9</v>
      </c>
      <c r="S650" s="5" t="n">
        <f>F650+L650-(D650+E650)*C650-J650-K650-IF(D$52&gt;0,'Assumptions and Catalog'!$C$26*C650,0)</f>
        <v>0</v>
      </c>
      <c r="T650" s="5"/>
      <c r="U650" s="5"/>
    </row>
    <row r="651" ht="23.100000381469727" customHeight="1">
      <c r="A651" s="5"/>
      <c r="B651" s="5"/>
      <c r="C651" s="5"/>
      <c r="D651" s="5"/>
      <c r="E651" s="5"/>
      <c r="F651" s="5"/>
      <c r="G651" s="5"/>
      <c r="H651" s="5"/>
      <c r="I651" s="5"/>
      <c r="J651" s="5"/>
      <c r="K651" s="5"/>
      <c r="L651" s="5"/>
      <c r="M651" s="5"/>
      <c r="N651" s="5"/>
      <c r="O651" s="5"/>
      <c r="P651" s="5"/>
      <c r="Q651" s="5"/>
      <c r="R651" s="5"/>
      <c r="S651" s="5"/>
      <c r="T651" s="5"/>
      <c r="U651" s="5"/>
    </row>
    <row r="652" ht="23.100000381469727" customHeight="1">
      <c r="A652" s="5"/>
      <c r="B652" s="5"/>
      <c r="C652" s="5"/>
      <c r="D652" s="5"/>
      <c r="E652" s="5"/>
      <c r="F652" s="5"/>
      <c r="G652" s="5"/>
      <c r="H652" s="5"/>
      <c r="I652" s="5"/>
      <c r="J652" s="5"/>
      <c r="K652" s="5"/>
      <c r="L652" s="5"/>
      <c r="M652" s="5"/>
      <c r="N652" s="5"/>
      <c r="O652" s="5"/>
      <c r="P652" s="5"/>
      <c r="Q652" s="5"/>
      <c r="R652" s="5"/>
      <c r="S652" s="5"/>
      <c r="T652" s="5"/>
      <c r="U652" s="5"/>
    </row>
    <row r="653" ht="23.100000381469727" customHeight="1">
      <c r="A653" s="5"/>
      <c r="B653" s="5"/>
      <c r="C653" s="5"/>
      <c r="D653" s="5"/>
      <c r="E653" s="5"/>
      <c r="F653" s="5"/>
      <c r="G653" s="5"/>
      <c r="H653" s="5"/>
      <c r="I653" s="5"/>
      <c r="J653" s="5"/>
      <c r="K653" s="5"/>
      <c r="L653" s="5"/>
      <c r="M653" s="5"/>
      <c r="N653" s="5"/>
      <c r="O653" s="5"/>
      <c r="P653" s="5"/>
      <c r="Q653" s="5"/>
      <c r="R653" s="5"/>
      <c r="S653" s="5"/>
      <c r="T653" s="5"/>
      <c r="U653" s="5"/>
    </row>
    <row r="654" ht="23.100000381469727" customHeight="1">
      <c r="A654" s="5"/>
      <c r="B654" s="5"/>
      <c r="C654" s="5"/>
      <c r="D654" s="5"/>
      <c r="E654" s="5"/>
      <c r="F654" s="5"/>
      <c r="G654" s="5"/>
      <c r="H654" s="5"/>
      <c r="I654" s="5"/>
      <c r="J654" s="5"/>
      <c r="K654" s="5"/>
      <c r="L654" s="5"/>
      <c r="M654" s="5"/>
      <c r="N654" s="5"/>
      <c r="O654" s="5"/>
      <c r="P654" s="5"/>
      <c r="Q654" s="5"/>
      <c r="R654" s="5"/>
      <c r="S654" s="5"/>
      <c r="T654" s="5"/>
      <c r="U654" s="5"/>
    </row>
    <row r="655" ht="23.100000381469727" customHeight="1">
      <c r="A655" s="5"/>
      <c r="B655" s="5"/>
      <c r="C655" s="5"/>
      <c r="D655" s="5"/>
      <c r="E655" s="5"/>
      <c r="F655" s="5"/>
      <c r="G655" s="5"/>
      <c r="H655" s="5"/>
      <c r="I655" s="5"/>
      <c r="J655" s="5"/>
      <c r="K655" s="5"/>
      <c r="L655" s="5"/>
      <c r="M655" s="5"/>
      <c r="N655" s="5"/>
      <c r="O655" s="5"/>
      <c r="P655" s="5"/>
      <c r="Q655" s="5"/>
      <c r="R655" s="5"/>
      <c r="S655" s="5"/>
      <c r="T655" s="5"/>
      <c r="U655" s="5"/>
    </row>
    <row r="656" ht="23.100000381469727" customHeight="1">
      <c r="A656" s="5"/>
      <c r="B656" s="5"/>
      <c r="C656" s="5"/>
      <c r="D656" s="5"/>
      <c r="E656" s="5"/>
      <c r="F656" s="5"/>
      <c r="G656" s="5"/>
      <c r="H656" s="5"/>
      <c r="I656" s="5"/>
      <c r="J656" s="5"/>
      <c r="K656" s="5"/>
      <c r="L656" s="5"/>
      <c r="M656" s="5"/>
      <c r="N656" s="5"/>
      <c r="O656" s="5"/>
      <c r="P656" s="5"/>
      <c r="Q656" s="5"/>
      <c r="R656" s="5"/>
      <c r="S656" s="5"/>
      <c r="T656" s="5"/>
      <c r="U656" s="5"/>
    </row>
    <row r="657" ht="23.100000381469727" customHeight="1">
      <c r="A657" s="5"/>
      <c r="B657" s="5"/>
      <c r="C657" s="5"/>
      <c r="D657" s="5"/>
      <c r="E657" s="5"/>
      <c r="F657" s="5"/>
      <c r="G657" s="5"/>
      <c r="H657" s="5"/>
      <c r="I657" s="5"/>
      <c r="J657" s="5"/>
      <c r="K657" s="5"/>
      <c r="L657" s="5"/>
      <c r="M657" s="5"/>
      <c r="N657" s="5"/>
      <c r="O657" s="5"/>
      <c r="P657" s="5"/>
      <c r="Q657" s="5"/>
      <c r="R657" s="5"/>
      <c r="S657" s="5"/>
      <c r="T657" s="5"/>
      <c r="U657" s="5"/>
    </row>
    <row r="658" ht="30" customHeight="1">
      <c r="A658" s="23" t="inlineStr">
        <is>
          <t xml:space="preserve">Solar and battery — monthly calculations</t>
        </is>
      </c>
      <c r="B658" s="30"/>
      <c r="C658" s="30"/>
      <c r="D658" s="30"/>
      <c r="E658" s="30"/>
      <c r="F658" s="30"/>
      <c r="G658" s="30"/>
      <c r="H658" s="30"/>
      <c r="I658" s="30"/>
      <c r="J658" s="30"/>
      <c r="K658" s="30"/>
      <c r="L658" s="30"/>
      <c r="M658" s="30"/>
      <c r="N658" s="30"/>
      <c r="O658" s="30"/>
      <c r="P658" s="30"/>
      <c r="Q658" s="30"/>
      <c r="R658" s="30"/>
      <c r="S658" s="30"/>
      <c r="T658" s="5"/>
      <c r="U658" s="5"/>
    </row>
    <row r="659" ht="23.100000381469727" customHeight="1">
      <c r="A659" s="5"/>
      <c r="B659" s="5"/>
      <c r="C659" s="5"/>
      <c r="D659" s="5"/>
      <c r="E659" s="5"/>
      <c r="F659" s="5"/>
      <c r="G659" s="5"/>
      <c r="H659" s="5"/>
      <c r="I659" s="5"/>
      <c r="J659" s="5"/>
      <c r="K659" s="5"/>
      <c r="L659" s="5"/>
      <c r="M659" s="5"/>
      <c r="N659" s="5"/>
      <c r="O659" s="5"/>
      <c r="P659" s="5"/>
      <c r="Q659" s="5"/>
      <c r="R659" s="5"/>
      <c r="S659" s="5"/>
      <c r="T659" s="5"/>
      <c r="U659" s="5"/>
    </row>
    <row r="660" ht="44.099998474121094" customHeight="1">
      <c r="A660" s="14" t="inlineStr">
        <is>
          <t xml:space="preserve">years</t>
        </is>
      </c>
      <c r="B660" s="14" t="inlineStr">
        <is>
          <t xml:space="preserve">month</t>
        </is>
      </c>
      <c r="C660" s="14" t="inlineStr">
        <is>
          <t xml:space="preserve">Days</t>
        </is>
      </c>
      <c r="D660" s="14" t="inlineStr">
        <is>
          <t xml:space="preserve">Day load kWh/d</t>
        </is>
      </c>
      <c r="E660" s="14" t="inlineStr">
        <is>
          <t xml:space="preserve">Night load kWh/d</t>
        </is>
      </c>
      <c r="F660" s="14" t="inlineStr">
        <is>
          <t xml:space="preserve">PV kWh/mo</t>
        </is>
      </c>
      <c r="G660" s="14" t="inlineStr">
        <is>
          <t xml:space="preserve">Direct use kWh/mo</t>
        </is>
      </c>
      <c r="H660" s="14" t="inlineStr">
        <is>
          <t xml:space="preserve">Charge kWh/mo</t>
        </is>
      </c>
      <c r="I660" s="14" t="inlineStr">
        <is>
          <t xml:space="preserve">Discharge kWh/mo</t>
        </is>
      </c>
      <c r="J660" s="14" t="inlineStr">
        <is>
          <t xml:space="preserve">Unused PV kWh/mo</t>
        </is>
      </c>
      <c r="K660" s="14" t="inlineStr">
        <is>
          <t xml:space="preserve">Losses kWh/mo</t>
        </is>
      </c>
      <c r="L660" s="14" t="inlineStr">
        <is>
          <t xml:space="preserve">Grid imports kWh/mo</t>
        </is>
      </c>
      <c r="M660" s="14" t="inlineStr">
        <is>
          <t xml:space="preserve">Baseline EGP</t>
        </is>
      </c>
      <c r="N660" s="14" t="inlineStr">
        <is>
          <t xml:space="preserve">New bill EGP</t>
        </is>
      </c>
      <c r="O660" s="14" t="inlineStr">
        <is>
          <t xml:space="preserve">Bill savings EGP</t>
        </is>
      </c>
      <c r="P660" s="14" t="inlineStr">
        <is>
          <t xml:space="preserve">Operating capacity kWh</t>
        </is>
      </c>
      <c r="Q660" s="14" t="inlineStr">
        <is>
          <t xml:space="preserve">Matched PV-only bill (EGP)</t>
        </is>
      </c>
      <c r="R660" s="14" t="inlineStr">
        <is>
          <t xml:space="preserve">Battery age</t>
        </is>
      </c>
      <c r="S660" s="14" t="inlineStr">
        <is>
          <t xml:space="preserve">Balance check kWh</t>
        </is>
      </c>
      <c r="T660" s="5"/>
      <c r="U660" s="5"/>
    </row>
    <row r="661" ht="23.100000381469727" customHeight="1">
      <c r="A661" s="5" t="n">
        <v>1</v>
      </c>
      <c r="B661" s="5" t="n">
        <v>1</v>
      </c>
      <c r="C661" s="5" t="n">
        <f>DAY(DATE('Assumptions and Catalog'!$C$24+A661-1,B661+1,0))</f>
        <v>31</v>
      </c>
      <c r="D661" s="5" t="n">
        <f>IF(ISNUMBER(Inputs!$L$5),Inputs!$L$5*Inputs!$L$6,0)</f>
        <v>40.35</v>
      </c>
      <c r="E661" s="5" t="n">
        <f>IF(ISNUMBER(Inputs!$L$5),Inputs!$L$5-D661,0)</f>
        <v>40.35</v>
      </c>
      <c r="F661" s="5" t="n">
        <f>E$51*INDEX('Solar Production'!$D$20:$D$31,B661)*C661*(1-'Assumptions and Catalog'!$C$10)^(A661-1)</f>
        <v>1444.3</v>
      </c>
      <c r="G661" s="5" t="n">
        <f>MIN(F661,D661*C661)</f>
        <v>1250.85</v>
      </c>
      <c r="H661" s="5" t="n">
        <f>I661/('Assumptions and Catalog'!$C$11*'Assumptions and Catalog'!$C$12)</f>
        <v>193.45</v>
      </c>
      <c r="I661" s="5" t="n">
        <f>MIN(E661*C661,P661*'Assumptions and Catalog'!$C$12*C661,(F661-G661)*'Assumptions and Catalog'!$C$11*'Assumptions and Catalog'!$C$12,E$56*'Assumptions and Catalog'!$C$14*'Assumptions and Catalog'!$C$11*'Assumptions and Catalog'!$C$12*C661,E$57*(24-'Assumptions and Catalog'!$C$13)*C661)</f>
        <v>183.89840625</v>
      </c>
      <c r="J661" s="5" t="n">
        <f>MAX(F661-G661-H661,0)</f>
        <v>0</v>
      </c>
      <c r="K661" s="5" t="n">
        <f>H661-I661</f>
        <v>9.55159375000002</v>
      </c>
      <c r="L661" s="5" t="n">
        <f>(D661+E661)*C661-G661-I661+0+IF(E$52&gt;0,'Assumptions and Catalog'!$C$26*C661,0)</f>
        <v>1066.95159375</v>
      </c>
      <c r="M661" s="5" t="n">
        <f>IF(ISNUMBER(Inputs!$L$5),(IF(Inputs!$L$9="Actual flat rate",((D661+E661)*C661)*Inputs!$L$10,IF(Inputs!$C$9="Residential",IF(((D661+E661)*C661)&lt;='Assumptions and Catalog'!$C$50,((D661+E661)*C661)*'Assumptions and Catalog'!$H$50+'Assumptions and Catalog'!$E$50+'Assumptions and Catalog'!$F$50,IF(((D661+E661)*C661)&lt;='Assumptions and Catalog'!$C$51,((D661+E661)*C661)*'Assumptions and Catalog'!$H$51+'Assumptions and Catalog'!$E$51+'Assumptions and Catalog'!$F$51,IF(((D661+E661)*C661)&lt;='Assumptions and Catalog'!$C$52,((D661+E661)*C661)*'Assumptions and Catalog'!$H$52+'Assumptions and Catalog'!$E$52+'Assumptions and Catalog'!$F$52,IF(((D661+E661)*C661)&lt;='Assumptions and Catalog'!$C$53,((D661+E661)*C661)*'Assumptions and Catalog'!$H$53+'Assumptions and Catalog'!$E$53+'Assumptions and Catalog'!$F$53,IF(((D661+E661)*C661)&lt;='Assumptions and Catalog'!$C$54,((D661+E661)*C661)*'Assumptions and Catalog'!$H$54+'Assumptions and Catalog'!$E$54+'Assumptions and Catalog'!$F$54,IF(((D661+E661)*C661)&lt;='Assumptions and Catalog'!$C$55,((D661+E661)*C661)*'Assumptions and Catalog'!$H$55+'Assumptions and Catalog'!$E$55+'Assumptions and Catalog'!$F$55,IF(((D661+E661)*C661)&lt;='Assumptions and Catalog'!$C$56,((D661+E661)*C661)*'Assumptions and Catalog'!$H$56+'Assumptions and Catalog'!$E$56+'Assumptions and Catalog'!$F$56,IF(((D661+E661)*C661)&lt;='Assumptions and Catalog'!$C$57,((D661+E661)*C661)*'Assumptions and Catalog'!$H$57+'Assumptions and Catalog'!$E$57+'Assumptions and Catalog'!$F$57,"Out of range")))))))),IF(((D661+E661)*C661)&lt;='Assumptions and Catalog'!$C$60,((D661+E661)*C661)*'Assumptions and Catalog'!$H$60+'Assumptions and Catalog'!$E$60+'Assumptions and Catalog'!$F$60,IF(((D661+E661)*C661)&lt;='Assumptions and Catalog'!$C$61,((D661+E661)*C661)*'Assumptions and Catalog'!$H$61+'Assumptions and Catalog'!$E$61+'Assumptions and Catalog'!$F$61,IF(((D661+E661)*C661)&lt;='Assumptions and Catalog'!$C$62,((D661+E661)*C661)*'Assumptions and Catalog'!$H$62+'Assumptions and Catalog'!$E$62+'Assumptions and Catalog'!$F$62,IF(((D661+E661)*C661)&lt;='Assumptions and Catalog'!$C$63,((D661+E661)*C661)*'Assumptions and Catalog'!$H$63+'Assumptions and Catalog'!$E$63+'Assumptions and Catalog'!$F$63,IF(((D661+E661)*C661)&lt;='Assumptions and Catalog'!$C$64,((D661+E661)*C661)*'Assumptions and Catalog'!$H$64+'Assumptions and Catalog'!$E$64+'Assumptions and Catalog'!$F$64,IF(((D661+E661)*C661)&lt;='Assumptions and Catalog'!$C$65,((D661+E661)*C661)*'Assumptions and Catalog'!$H$65+'Assumptions and Catalog'!$E$65+'Assumptions and Catalog'!$F$65,"Out of range")))))))))*(1+'Assumptions and Catalog'!$C$8)^(A661-1),0)</f>
        <v>7094.794</v>
      </c>
      <c r="N661" s="5" t="n">
        <f>IF(ISNUMBER(Inputs!$L$5),(IF(Inputs!$L$9="Actual flat rate",L661*Inputs!$L$10,IF(Inputs!$C$9="Residential",IF(L661&lt;='Assumptions and Catalog'!$C$50,L661*'Assumptions and Catalog'!$H$50+'Assumptions and Catalog'!$E$50+'Assumptions and Catalog'!$F$50,IF(L661&lt;='Assumptions and Catalog'!$C$51,L661*'Assumptions and Catalog'!$H$51+'Assumptions and Catalog'!$E$51+'Assumptions and Catalog'!$F$51,IF(L661&lt;='Assumptions and Catalog'!$C$52,L661*'Assumptions and Catalog'!$H$52+'Assumptions and Catalog'!$E$52+'Assumptions and Catalog'!$F$52,IF(L661&lt;='Assumptions and Catalog'!$C$53,L661*'Assumptions and Catalog'!$H$53+'Assumptions and Catalog'!$E$53+'Assumptions and Catalog'!$F$53,IF(L661&lt;='Assumptions and Catalog'!$C$54,L661*'Assumptions and Catalog'!$H$54+'Assumptions and Catalog'!$E$54+'Assumptions and Catalog'!$F$54,IF(L661&lt;='Assumptions and Catalog'!$C$55,L661*'Assumptions and Catalog'!$H$55+'Assumptions and Catalog'!$E$55+'Assumptions and Catalog'!$F$55,IF(L661&lt;='Assumptions and Catalog'!$C$56,L661*'Assumptions and Catalog'!$H$56+'Assumptions and Catalog'!$E$56+'Assumptions and Catalog'!$F$56,IF(L661&lt;='Assumptions and Catalog'!$C$57,L661*'Assumptions and Catalog'!$H$57+'Assumptions and Catalog'!$E$57+'Assumptions and Catalog'!$F$57,"Out of range")))))))),IF(L661&lt;='Assumptions and Catalog'!$C$60,L661*'Assumptions and Catalog'!$H$60+'Assumptions and Catalog'!$E$60+'Assumptions and Catalog'!$F$60,IF(L661&lt;='Assumptions and Catalog'!$C$61,L661*'Assumptions and Catalog'!$H$61+'Assumptions and Catalog'!$E$61+'Assumptions and Catalog'!$F$61,IF(L661&lt;='Assumptions and Catalog'!$C$62,L661*'Assumptions and Catalog'!$H$62+'Assumptions and Catalog'!$E$62+'Assumptions and Catalog'!$F$62,IF(L661&lt;='Assumptions and Catalog'!$C$63,L661*'Assumptions and Catalog'!$H$63+'Assumptions and Catalog'!$E$63+'Assumptions and Catalog'!$F$63,IF(L661&lt;='Assumptions and Catalog'!$C$64,L661*'Assumptions and Catalog'!$H$64+'Assumptions and Catalog'!$E$64+'Assumptions and Catalog'!$F$64,IF(L661&lt;='Assumptions and Catalog'!$C$65,L661*'Assumptions and Catalog'!$H$65+'Assumptions and Catalog'!$E$65+'Assumptions and Catalog'!$F$65,"Out of range")))))))))*(1+'Assumptions and Catalog'!$C$8)^(A661-1),0)</f>
        <v>3048.803494375</v>
      </c>
      <c r="O661" s="5" t="n">
        <f>M661-N661</f>
        <v>4045.990505625</v>
      </c>
      <c r="P661" s="5" t="n">
        <f>E$55*(1-L$14)*(1-'Assumptions and Catalog'!$C$23)^R661</f>
        <v>10.24</v>
      </c>
      <c r="Q661" s="5" t="n">
        <f>IF(ISNUMBER(Inputs!$L$5),(IF(Inputs!$L$9="Actual flat rate",((D661+E661)*C661-G661)*Inputs!$L$10,IF(Inputs!$C$9="Residential",IF(((D661+E661)*C661-G661)&lt;='Assumptions and Catalog'!$C$50,((D661+E661)*C661-G661)*'Assumptions and Catalog'!$H$50+'Assumptions and Catalog'!$E$50+'Assumptions and Catalog'!$F$50,IF(((D661+E661)*C661-G661)&lt;='Assumptions and Catalog'!$C$51,((D661+E661)*C661-G661)*'Assumptions and Catalog'!$H$51+'Assumptions and Catalog'!$E$51+'Assumptions and Catalog'!$F$51,IF(((D661+E661)*C661-G661)&lt;='Assumptions and Catalog'!$C$52,((D661+E661)*C661-G661)*'Assumptions and Catalog'!$H$52+'Assumptions and Catalog'!$E$52+'Assumptions and Catalog'!$F$52,IF(((D661+E661)*C661-G661)&lt;='Assumptions and Catalog'!$C$53,((D661+E661)*C661-G661)*'Assumptions and Catalog'!$H$53+'Assumptions and Catalog'!$E$53+'Assumptions and Catalog'!$F$53,IF(((D661+E661)*C661-G661)&lt;='Assumptions and Catalog'!$C$54,((D661+E661)*C661-G661)*'Assumptions and Catalog'!$H$54+'Assumptions and Catalog'!$E$54+'Assumptions and Catalog'!$F$54,IF(((D661+E661)*C661-G661)&lt;='Assumptions and Catalog'!$C$55,((D661+E661)*C661-G661)*'Assumptions and Catalog'!$H$55+'Assumptions and Catalog'!$E$55+'Assumptions and Catalog'!$F$55,IF(((D661+E661)*C661-G661)&lt;='Assumptions and Catalog'!$C$56,((D661+E661)*C661-G661)*'Assumptions and Catalog'!$H$56+'Assumptions and Catalog'!$E$56+'Assumptions and Catalog'!$F$56,IF(((D661+E661)*C661-G661)&lt;='Assumptions and Catalog'!$C$57,((D661+E661)*C661-G661)*'Assumptions and Catalog'!$H$57+'Assumptions and Catalog'!$E$57+'Assumptions and Catalog'!$F$57,"Out of range")))))))),IF(((D661+E661)*C661-G661)&lt;='Assumptions and Catalog'!$C$60,((D661+E661)*C661-G661)*'Assumptions and Catalog'!$H$60+'Assumptions and Catalog'!$E$60+'Assumptions and Catalog'!$F$60,IF(((D661+E661)*C661-G661)&lt;='Assumptions and Catalog'!$C$61,((D661+E661)*C661-G661)*'Assumptions and Catalog'!$H$61+'Assumptions and Catalog'!$E$61+'Assumptions and Catalog'!$F$61,IF(((D661+E661)*C661-G661)&lt;='Assumptions and Catalog'!$C$62,((D661+E661)*C661-G661)*'Assumptions and Catalog'!$H$62+'Assumptions and Catalog'!$E$62+'Assumptions and Catalog'!$F$62,IF(((D661+E661)*C661-G661)&lt;='Assumptions and Catalog'!$C$63,((D661+E661)*C661-G661)*'Assumptions and Catalog'!$H$63+'Assumptions and Catalog'!$E$63+'Assumptions and Catalog'!$F$63,IF(((D661+E661)*C661-G661)&lt;='Assumptions and Catalog'!$C$64,((D661+E661)*C661-G661)*'Assumptions and Catalog'!$H$64+'Assumptions and Catalog'!$E$64+'Assumptions and Catalog'!$F$64,IF(((D661+E661)*C661-G661)&lt;='Assumptions and Catalog'!$C$65,((D661+E661)*C661-G661)*'Assumptions and Catalog'!$H$65+'Assumptions and Catalog'!$E$65+'Assumptions and Catalog'!$F$65,"Out of range")))))))))*(1+'Assumptions and Catalog'!$C$8)^(A661-1),0)</f>
        <v>3567.397</v>
      </c>
      <c r="R661" s="5" t="n">
        <f>IF(AND('Assumptions and Catalog'!$C$19&gt;0,A661&gt;='Assumptions and Catalog'!$C$19),A661-'Assumptions and Catalog'!$C$19,A661-1)</f>
        <v>0</v>
      </c>
      <c r="S661" s="5" t="n">
        <f>F661+L661-(D661+E661)*C661-J661-K661-IF(E$52&gt;0,'Assumptions and Catalog'!$C$26*C661,0)</f>
        <v>-8.5265128291212E-014</v>
      </c>
      <c r="T661" s="5"/>
      <c r="U661" s="5"/>
    </row>
    <row r="662" ht="23.100000381469727" customHeight="1">
      <c r="A662" s="5" t="n">
        <v>1</v>
      </c>
      <c r="B662" s="5" t="n">
        <v>2</v>
      </c>
      <c r="C662" s="5" t="n">
        <f>DAY(DATE('Assumptions and Catalog'!$C$24+A662-1,B662+1,0))</f>
        <v>28</v>
      </c>
      <c r="D662" s="5" t="n">
        <f>IF(ISNUMBER(Inputs!$L$5),Inputs!$L$5*Inputs!$L$6,0)</f>
        <v>40.35</v>
      </c>
      <c r="E662" s="5" t="n">
        <f>IF(ISNUMBER(Inputs!$L$5),Inputs!$L$5-D662,0)</f>
        <v>40.35</v>
      </c>
      <c r="F662" s="5" t="n">
        <f>E$51*INDEX('Solar Production'!$D$20:$D$31,B662)*C662*(1-'Assumptions and Catalog'!$C$10)^(A662-1)</f>
        <v>1423.95</v>
      </c>
      <c r="G662" s="5" t="n">
        <f>MIN(F662,D662*C662)</f>
        <v>1129.8</v>
      </c>
      <c r="H662" s="5" t="n">
        <f>I662/('Assumptions and Catalog'!$C$11*'Assumptions and Catalog'!$C$12)</f>
        <v>294.071794871795</v>
      </c>
      <c r="I662" s="5" t="n">
        <f>MIN(E662*C662,P662*'Assumptions and Catalog'!$C$12*C662,(F662-G662)*'Assumptions and Catalog'!$C$11*'Assumptions and Catalog'!$C$12,E$56*'Assumptions and Catalog'!$C$14*'Assumptions and Catalog'!$C$11*'Assumptions and Catalog'!$C$12*C662,E$57*(24-'Assumptions and Catalog'!$C$13)*C662)</f>
        <v>279.552</v>
      </c>
      <c r="J662" s="5" t="n">
        <f>MAX(F662-G662-H662,0)</f>
        <v>0.0782051282049565</v>
      </c>
      <c r="K662" s="5" t="n">
        <f>H662-I662</f>
        <v>14.5197948717949</v>
      </c>
      <c r="L662" s="5" t="n">
        <f>(D662+E662)*C662-G662-I662+0+IF(E$52&gt;0,'Assumptions and Catalog'!$C$26*C662,0)</f>
        <v>850.248</v>
      </c>
      <c r="M662" s="5" t="n">
        <f>IF(ISNUMBER(Inputs!$L$5),(IF(Inputs!$L$9="Actual flat rate",((D662+E662)*C662)*Inputs!$L$10,IF(Inputs!$C$9="Residential",IF(((D662+E662)*C662)&lt;='Assumptions and Catalog'!$C$50,((D662+E662)*C662)*'Assumptions and Catalog'!$H$50+'Assumptions and Catalog'!$E$50+'Assumptions and Catalog'!$F$50,IF(((D662+E662)*C662)&lt;='Assumptions and Catalog'!$C$51,((D662+E662)*C662)*'Assumptions and Catalog'!$H$51+'Assumptions and Catalog'!$E$51+'Assumptions and Catalog'!$F$51,IF(((D662+E662)*C662)&lt;='Assumptions and Catalog'!$C$52,((D662+E662)*C662)*'Assumptions and Catalog'!$H$52+'Assumptions and Catalog'!$E$52+'Assumptions and Catalog'!$F$52,IF(((D662+E662)*C662)&lt;='Assumptions and Catalog'!$C$53,((D662+E662)*C662)*'Assumptions and Catalog'!$H$53+'Assumptions and Catalog'!$E$53+'Assumptions and Catalog'!$F$53,IF(((D662+E662)*C662)&lt;='Assumptions and Catalog'!$C$54,((D662+E662)*C662)*'Assumptions and Catalog'!$H$54+'Assumptions and Catalog'!$E$54+'Assumptions and Catalog'!$F$54,IF(((D662+E662)*C662)&lt;='Assumptions and Catalog'!$C$55,((D662+E662)*C662)*'Assumptions and Catalog'!$H$55+'Assumptions and Catalog'!$E$55+'Assumptions and Catalog'!$F$55,IF(((D662+E662)*C662)&lt;='Assumptions and Catalog'!$C$56,((D662+E662)*C662)*'Assumptions and Catalog'!$H$56+'Assumptions and Catalog'!$E$56+'Assumptions and Catalog'!$F$56,IF(((D662+E662)*C662)&lt;='Assumptions and Catalog'!$C$57,((D662+E662)*C662)*'Assumptions and Catalog'!$H$57+'Assumptions and Catalog'!$E$57+'Assumptions and Catalog'!$F$57,"Out of range")))))))),IF(((D662+E662)*C662)&lt;='Assumptions and Catalog'!$C$60,((D662+E662)*C662)*'Assumptions and Catalog'!$H$60+'Assumptions and Catalog'!$E$60+'Assumptions and Catalog'!$F$60,IF(((D662+E662)*C662)&lt;='Assumptions and Catalog'!$C$61,((D662+E662)*C662)*'Assumptions and Catalog'!$H$61+'Assumptions and Catalog'!$E$61+'Assumptions and Catalog'!$F$61,IF(((D662+E662)*C662)&lt;='Assumptions and Catalog'!$C$62,((D662+E662)*C662)*'Assumptions and Catalog'!$H$62+'Assumptions and Catalog'!$E$62+'Assumptions and Catalog'!$F$62,IF(((D662+E662)*C662)&lt;='Assumptions and Catalog'!$C$63,((D662+E662)*C662)*'Assumptions and Catalog'!$H$63+'Assumptions and Catalog'!$E$63+'Assumptions and Catalog'!$F$63,IF(((D662+E662)*C662)&lt;='Assumptions and Catalog'!$C$64,((D662+E662)*C662)*'Assumptions and Catalog'!$H$64+'Assumptions and Catalog'!$E$64+'Assumptions and Catalog'!$F$64,IF(((D662+E662)*C662)&lt;='Assumptions and Catalog'!$C$65,((D662+E662)*C662)*'Assumptions and Catalog'!$H$65+'Assumptions and Catalog'!$E$65+'Assumptions and Catalog'!$F$65,"Out of range")))))))))*(1+'Assumptions and Catalog'!$C$8)^(A662-1),0)</f>
        <v>6412.072</v>
      </c>
      <c r="N662" s="5" t="n">
        <f>IF(ISNUMBER(Inputs!$L$5),(IF(Inputs!$L$9="Actual flat rate",L662*Inputs!$L$10,IF(Inputs!$C$9="Residential",IF(L662&lt;='Assumptions and Catalog'!$C$50,L662*'Assumptions and Catalog'!$H$50+'Assumptions and Catalog'!$E$50+'Assumptions and Catalog'!$F$50,IF(L662&lt;='Assumptions and Catalog'!$C$51,L662*'Assumptions and Catalog'!$H$51+'Assumptions and Catalog'!$E$51+'Assumptions and Catalog'!$F$51,IF(L662&lt;='Assumptions and Catalog'!$C$52,L662*'Assumptions and Catalog'!$H$52+'Assumptions and Catalog'!$E$52+'Assumptions and Catalog'!$F$52,IF(L662&lt;='Assumptions and Catalog'!$C$53,L662*'Assumptions and Catalog'!$H$53+'Assumptions and Catalog'!$E$53+'Assumptions and Catalog'!$F$53,IF(L662&lt;='Assumptions and Catalog'!$C$54,L662*'Assumptions and Catalog'!$H$54+'Assumptions and Catalog'!$E$54+'Assumptions and Catalog'!$F$54,IF(L662&lt;='Assumptions and Catalog'!$C$55,L662*'Assumptions and Catalog'!$H$55+'Assumptions and Catalog'!$E$55+'Assumptions and Catalog'!$F$55,IF(L662&lt;='Assumptions and Catalog'!$C$56,L662*'Assumptions and Catalog'!$H$56+'Assumptions and Catalog'!$E$56+'Assumptions and Catalog'!$F$56,IF(L662&lt;='Assumptions and Catalog'!$C$57,L662*'Assumptions and Catalog'!$H$57+'Assumptions and Catalog'!$E$57+'Assumptions and Catalog'!$F$57,"Out of range")))))))),IF(L662&lt;='Assumptions and Catalog'!$C$60,L662*'Assumptions and Catalog'!$H$60+'Assumptions and Catalog'!$E$60+'Assumptions and Catalog'!$F$60,IF(L662&lt;='Assumptions and Catalog'!$C$61,L662*'Assumptions and Catalog'!$H$61+'Assumptions and Catalog'!$E$61+'Assumptions and Catalog'!$F$61,IF(L662&lt;='Assumptions and Catalog'!$C$62,L662*'Assumptions and Catalog'!$H$62+'Assumptions and Catalog'!$E$62+'Assumptions and Catalog'!$F$62,IF(L662&lt;='Assumptions and Catalog'!$C$63,L662*'Assumptions and Catalog'!$H$63+'Assumptions and Catalog'!$E$63+'Assumptions and Catalog'!$F$63,IF(L662&lt;='Assumptions and Catalog'!$C$64,L662*'Assumptions and Catalog'!$H$64+'Assumptions and Catalog'!$E$64+'Assumptions and Catalog'!$F$64,IF(L662&lt;='Assumptions and Catalog'!$C$65,L662*'Assumptions and Catalog'!$H$65+'Assumptions and Catalog'!$E$65+'Assumptions and Catalog'!$F$65,"Out of range")))))))))*(1+'Assumptions and Catalog'!$C$8)^(A662-1),0)</f>
        <v>2320.18696</v>
      </c>
      <c r="O662" s="5" t="n">
        <f>M662-N662</f>
        <v>4091.88504</v>
      </c>
      <c r="P662" s="5" t="n">
        <f>E$55*(1-L$14)*(1-'Assumptions and Catalog'!$C$23)^R662</f>
        <v>10.24</v>
      </c>
      <c r="Q662" s="5" t="n">
        <f>IF(ISNUMBER(Inputs!$L$5),(IF(Inputs!$L$9="Actual flat rate",((D662+E662)*C662-G662)*Inputs!$L$10,IF(Inputs!$C$9="Residential",IF(((D662+E662)*C662-G662)&lt;='Assumptions and Catalog'!$C$50,((D662+E662)*C662-G662)*'Assumptions and Catalog'!$H$50+'Assumptions and Catalog'!$E$50+'Assumptions and Catalog'!$F$50,IF(((D662+E662)*C662-G662)&lt;='Assumptions and Catalog'!$C$51,((D662+E662)*C662-G662)*'Assumptions and Catalog'!$H$51+'Assumptions and Catalog'!$E$51+'Assumptions and Catalog'!$F$51,IF(((D662+E662)*C662-G662)&lt;='Assumptions and Catalog'!$C$52,((D662+E662)*C662-G662)*'Assumptions and Catalog'!$H$52+'Assumptions and Catalog'!$E$52+'Assumptions and Catalog'!$F$52,IF(((D662+E662)*C662-G662)&lt;='Assumptions and Catalog'!$C$53,((D662+E662)*C662-G662)*'Assumptions and Catalog'!$H$53+'Assumptions and Catalog'!$E$53+'Assumptions and Catalog'!$F$53,IF(((D662+E662)*C662-G662)&lt;='Assumptions and Catalog'!$C$54,((D662+E662)*C662-G662)*'Assumptions and Catalog'!$H$54+'Assumptions and Catalog'!$E$54+'Assumptions and Catalog'!$F$54,IF(((D662+E662)*C662-G662)&lt;='Assumptions and Catalog'!$C$55,((D662+E662)*C662-G662)*'Assumptions and Catalog'!$H$55+'Assumptions and Catalog'!$E$55+'Assumptions and Catalog'!$F$55,IF(((D662+E662)*C662-G662)&lt;='Assumptions and Catalog'!$C$56,((D662+E662)*C662-G662)*'Assumptions and Catalog'!$H$56+'Assumptions and Catalog'!$E$56+'Assumptions and Catalog'!$F$56,IF(((D662+E662)*C662-G662)&lt;='Assumptions and Catalog'!$C$57,((D662+E662)*C662-G662)*'Assumptions and Catalog'!$H$57+'Assumptions and Catalog'!$E$57+'Assumptions and Catalog'!$F$57,"Out of range")))))))),IF(((D662+E662)*C662-G662)&lt;='Assumptions and Catalog'!$C$60,((D662+E662)*C662-G662)*'Assumptions and Catalog'!$H$60+'Assumptions and Catalog'!$E$60+'Assumptions and Catalog'!$F$60,IF(((D662+E662)*C662-G662)&lt;='Assumptions and Catalog'!$C$61,((D662+E662)*C662-G662)*'Assumptions and Catalog'!$H$61+'Assumptions and Catalog'!$E$61+'Assumptions and Catalog'!$F$61,IF(((D662+E662)*C662-G662)&lt;='Assumptions and Catalog'!$C$62,((D662+E662)*C662-G662)*'Assumptions and Catalog'!$H$62+'Assumptions and Catalog'!$E$62+'Assumptions and Catalog'!$F$62,IF(((D662+E662)*C662-G662)&lt;='Assumptions and Catalog'!$C$63,((D662+E662)*C662-G662)*'Assumptions and Catalog'!$H$63+'Assumptions and Catalog'!$E$63+'Assumptions and Catalog'!$F$63,IF(((D662+E662)*C662-G662)&lt;='Assumptions and Catalog'!$C$64,((D662+E662)*C662-G662)*'Assumptions and Catalog'!$H$64+'Assumptions and Catalog'!$E$64+'Assumptions and Catalog'!$F$64,IF(((D662+E662)*C662-G662)&lt;='Assumptions and Catalog'!$C$65,((D662+E662)*C662-G662)*'Assumptions and Catalog'!$H$65+'Assumptions and Catalog'!$E$65+'Assumptions and Catalog'!$F$65,"Out of range")))))))))*(1+'Assumptions and Catalog'!$C$8)^(A662-1),0)</f>
        <v>3226.036</v>
      </c>
      <c r="R662" s="5" t="n">
        <f>IF(AND('Assumptions and Catalog'!$C$19&gt;0,A662&gt;='Assumptions and Catalog'!$C$19),A662-'Assumptions and Catalog'!$C$19,A662-1)</f>
        <v>0</v>
      </c>
      <c r="S662" s="5" t="n">
        <f>F662+L662-(D662+E662)*C662-J662-K662-IF(E$52&gt;0,'Assumptions and Catalog'!$C$26*C662,0)</f>
        <v>1.13686837721616E-013</v>
      </c>
      <c r="T662" s="5"/>
      <c r="U662" s="5"/>
    </row>
    <row r="663" ht="23.100000381469727" customHeight="1">
      <c r="A663" s="5" t="n">
        <v>1</v>
      </c>
      <c r="B663" s="5" t="n">
        <v>3</v>
      </c>
      <c r="C663" s="5" t="n">
        <f>DAY(DATE('Assumptions and Catalog'!$C$24+A663-1,B663+1,0))</f>
        <v>31</v>
      </c>
      <c r="D663" s="5" t="n">
        <f>IF(ISNUMBER(Inputs!$L$5),Inputs!$L$5*Inputs!$L$6,0)</f>
        <v>40.35</v>
      </c>
      <c r="E663" s="5" t="n">
        <f>IF(ISNUMBER(Inputs!$L$5),Inputs!$L$5-D663,0)</f>
        <v>40.35</v>
      </c>
      <c r="F663" s="5" t="n">
        <f>E$51*INDEX('Solar Production'!$D$20:$D$31,B663)*C663*(1-'Assumptions and Catalog'!$C$10)^(A663-1)</f>
        <v>1771.66</v>
      </c>
      <c r="G663" s="5" t="n">
        <f>MIN(F663,D663*C663)</f>
        <v>1250.85</v>
      </c>
      <c r="H663" s="5" t="n">
        <f>I663/('Assumptions and Catalog'!$C$11*'Assumptions and Catalog'!$C$12)</f>
        <v>325.579487179487</v>
      </c>
      <c r="I663" s="5" t="n">
        <f>MIN(E663*C663,P663*'Assumptions and Catalog'!$C$12*C663,(F663-G663)*'Assumptions and Catalog'!$C$11*'Assumptions and Catalog'!$C$12,E$56*'Assumptions and Catalog'!$C$14*'Assumptions and Catalog'!$C$11*'Assumptions and Catalog'!$C$12*C663,E$57*(24-'Assumptions and Catalog'!$C$13)*C663)</f>
        <v>309.504</v>
      </c>
      <c r="J663" s="5" t="n">
        <f>MAX(F663-G663-H663,0)</f>
        <v>195.230512820512</v>
      </c>
      <c r="K663" s="5" t="n">
        <f>H663-I663</f>
        <v>16.0754871794872</v>
      </c>
      <c r="L663" s="5" t="n">
        <f>(D663+E663)*C663-G663-I663+0+IF(E$52&gt;0,'Assumptions and Catalog'!$C$26*C663,0)</f>
        <v>941.346</v>
      </c>
      <c r="M663" s="5" t="n">
        <f>IF(ISNUMBER(Inputs!$L$5),(IF(Inputs!$L$9="Actual flat rate",((D663+E663)*C663)*Inputs!$L$10,IF(Inputs!$C$9="Residential",IF(((D663+E663)*C663)&lt;='Assumptions and Catalog'!$C$50,((D663+E663)*C663)*'Assumptions and Catalog'!$H$50+'Assumptions and Catalog'!$E$50+'Assumptions and Catalog'!$F$50,IF(((D663+E663)*C663)&lt;='Assumptions and Catalog'!$C$51,((D663+E663)*C663)*'Assumptions and Catalog'!$H$51+'Assumptions and Catalog'!$E$51+'Assumptions and Catalog'!$F$51,IF(((D663+E663)*C663)&lt;='Assumptions and Catalog'!$C$52,((D663+E663)*C663)*'Assumptions and Catalog'!$H$52+'Assumptions and Catalog'!$E$52+'Assumptions and Catalog'!$F$52,IF(((D663+E663)*C663)&lt;='Assumptions and Catalog'!$C$53,((D663+E663)*C663)*'Assumptions and Catalog'!$H$53+'Assumptions and Catalog'!$E$53+'Assumptions and Catalog'!$F$53,IF(((D663+E663)*C663)&lt;='Assumptions and Catalog'!$C$54,((D663+E663)*C663)*'Assumptions and Catalog'!$H$54+'Assumptions and Catalog'!$E$54+'Assumptions and Catalog'!$F$54,IF(((D663+E663)*C663)&lt;='Assumptions and Catalog'!$C$55,((D663+E663)*C663)*'Assumptions and Catalog'!$H$55+'Assumptions and Catalog'!$E$55+'Assumptions and Catalog'!$F$55,IF(((D663+E663)*C663)&lt;='Assumptions and Catalog'!$C$56,((D663+E663)*C663)*'Assumptions and Catalog'!$H$56+'Assumptions and Catalog'!$E$56+'Assumptions and Catalog'!$F$56,IF(((D663+E663)*C663)&lt;='Assumptions and Catalog'!$C$57,((D663+E663)*C663)*'Assumptions and Catalog'!$H$57+'Assumptions and Catalog'!$E$57+'Assumptions and Catalog'!$F$57,"Out of range")))))))),IF(((D663+E663)*C663)&lt;='Assumptions and Catalog'!$C$60,((D663+E663)*C663)*'Assumptions and Catalog'!$H$60+'Assumptions and Catalog'!$E$60+'Assumptions and Catalog'!$F$60,IF(((D663+E663)*C663)&lt;='Assumptions and Catalog'!$C$61,((D663+E663)*C663)*'Assumptions and Catalog'!$H$61+'Assumptions and Catalog'!$E$61+'Assumptions and Catalog'!$F$61,IF(((D663+E663)*C663)&lt;='Assumptions and Catalog'!$C$62,((D663+E663)*C663)*'Assumptions and Catalog'!$H$62+'Assumptions and Catalog'!$E$62+'Assumptions and Catalog'!$F$62,IF(((D663+E663)*C663)&lt;='Assumptions and Catalog'!$C$63,((D663+E663)*C663)*'Assumptions and Catalog'!$H$63+'Assumptions and Catalog'!$E$63+'Assumptions and Catalog'!$F$63,IF(((D663+E663)*C663)&lt;='Assumptions and Catalog'!$C$64,((D663+E663)*C663)*'Assumptions and Catalog'!$H$64+'Assumptions and Catalog'!$E$64+'Assumptions and Catalog'!$F$64,IF(((D663+E663)*C663)&lt;='Assumptions and Catalog'!$C$65,((D663+E663)*C663)*'Assumptions and Catalog'!$H$65+'Assumptions and Catalog'!$E$65+'Assumptions and Catalog'!$F$65,"Out of range")))))))))*(1+'Assumptions and Catalog'!$C$8)^(A663-1),0)</f>
        <v>7094.794</v>
      </c>
      <c r="N663" s="5" t="n">
        <f>IF(ISNUMBER(Inputs!$L$5),(IF(Inputs!$L$9="Actual flat rate",L663*Inputs!$L$10,IF(Inputs!$C$9="Residential",IF(L663&lt;='Assumptions and Catalog'!$C$50,L663*'Assumptions and Catalog'!$H$50+'Assumptions and Catalog'!$E$50+'Assumptions and Catalog'!$F$50,IF(L663&lt;='Assumptions and Catalog'!$C$51,L663*'Assumptions and Catalog'!$H$51+'Assumptions and Catalog'!$E$51+'Assumptions and Catalog'!$F$51,IF(L663&lt;='Assumptions and Catalog'!$C$52,L663*'Assumptions and Catalog'!$H$52+'Assumptions and Catalog'!$E$52+'Assumptions and Catalog'!$F$52,IF(L663&lt;='Assumptions and Catalog'!$C$53,L663*'Assumptions and Catalog'!$H$53+'Assumptions and Catalog'!$E$53+'Assumptions and Catalog'!$F$53,IF(L663&lt;='Assumptions and Catalog'!$C$54,L663*'Assumptions and Catalog'!$H$54+'Assumptions and Catalog'!$E$54+'Assumptions and Catalog'!$F$54,IF(L663&lt;='Assumptions and Catalog'!$C$55,L663*'Assumptions and Catalog'!$H$55+'Assumptions and Catalog'!$E$55+'Assumptions and Catalog'!$F$55,IF(L663&lt;='Assumptions and Catalog'!$C$56,L663*'Assumptions and Catalog'!$H$56+'Assumptions and Catalog'!$E$56+'Assumptions and Catalog'!$F$56,IF(L663&lt;='Assumptions and Catalog'!$C$57,L663*'Assumptions and Catalog'!$H$57+'Assumptions and Catalog'!$E$57+'Assumptions and Catalog'!$F$57,"Out of range")))))))),IF(L663&lt;='Assumptions and Catalog'!$C$60,L663*'Assumptions and Catalog'!$H$60+'Assumptions and Catalog'!$E$60+'Assumptions and Catalog'!$F$60,IF(L663&lt;='Assumptions and Catalog'!$C$61,L663*'Assumptions and Catalog'!$H$61+'Assumptions and Catalog'!$E$61+'Assumptions and Catalog'!$F$61,IF(L663&lt;='Assumptions and Catalog'!$C$62,L663*'Assumptions and Catalog'!$H$62+'Assumptions and Catalog'!$E$62+'Assumptions and Catalog'!$F$62,IF(L663&lt;='Assumptions and Catalog'!$C$63,L663*'Assumptions and Catalog'!$H$63+'Assumptions and Catalog'!$E$63+'Assumptions and Catalog'!$F$63,IF(L663&lt;='Assumptions and Catalog'!$C$64,L663*'Assumptions and Catalog'!$H$64+'Assumptions and Catalog'!$E$64+'Assumptions and Catalog'!$F$64,IF(L663&lt;='Assumptions and Catalog'!$C$65,L663*'Assumptions and Catalog'!$H$65+'Assumptions and Catalog'!$E$65+'Assumptions and Catalog'!$F$65,"Out of range")))))))))*(1+'Assumptions and Catalog'!$C$8)^(A663-1),0)</f>
        <v>2572.52842</v>
      </c>
      <c r="O663" s="5" t="n">
        <f>M663-N663</f>
        <v>4522.26558</v>
      </c>
      <c r="P663" s="5" t="n">
        <f>E$55*(1-L$14)*(1-'Assumptions and Catalog'!$C$23)^R663</f>
        <v>10.24</v>
      </c>
      <c r="Q663" s="5" t="n">
        <f>IF(ISNUMBER(Inputs!$L$5),(IF(Inputs!$L$9="Actual flat rate",((D663+E663)*C663-G663)*Inputs!$L$10,IF(Inputs!$C$9="Residential",IF(((D663+E663)*C663-G663)&lt;='Assumptions and Catalog'!$C$50,((D663+E663)*C663-G663)*'Assumptions and Catalog'!$H$50+'Assumptions and Catalog'!$E$50+'Assumptions and Catalog'!$F$50,IF(((D663+E663)*C663-G663)&lt;='Assumptions and Catalog'!$C$51,((D663+E663)*C663-G663)*'Assumptions and Catalog'!$H$51+'Assumptions and Catalog'!$E$51+'Assumptions and Catalog'!$F$51,IF(((D663+E663)*C663-G663)&lt;='Assumptions and Catalog'!$C$52,((D663+E663)*C663-G663)*'Assumptions and Catalog'!$H$52+'Assumptions and Catalog'!$E$52+'Assumptions and Catalog'!$F$52,IF(((D663+E663)*C663-G663)&lt;='Assumptions and Catalog'!$C$53,((D663+E663)*C663-G663)*'Assumptions and Catalog'!$H$53+'Assumptions and Catalog'!$E$53+'Assumptions and Catalog'!$F$53,IF(((D663+E663)*C663-G663)&lt;='Assumptions and Catalog'!$C$54,((D663+E663)*C663-G663)*'Assumptions and Catalog'!$H$54+'Assumptions and Catalog'!$E$54+'Assumptions and Catalog'!$F$54,IF(((D663+E663)*C663-G663)&lt;='Assumptions and Catalog'!$C$55,((D663+E663)*C663-G663)*'Assumptions and Catalog'!$H$55+'Assumptions and Catalog'!$E$55+'Assumptions and Catalog'!$F$55,IF(((D663+E663)*C663-G663)&lt;='Assumptions and Catalog'!$C$56,((D663+E663)*C663-G663)*'Assumptions and Catalog'!$H$56+'Assumptions and Catalog'!$E$56+'Assumptions and Catalog'!$F$56,IF(((D663+E663)*C663-G663)&lt;='Assumptions and Catalog'!$C$57,((D663+E663)*C663-G663)*'Assumptions and Catalog'!$H$57+'Assumptions and Catalog'!$E$57+'Assumptions and Catalog'!$F$57,"Out of range")))))))),IF(((D663+E663)*C663-G663)&lt;='Assumptions and Catalog'!$C$60,((D663+E663)*C663-G663)*'Assumptions and Catalog'!$H$60+'Assumptions and Catalog'!$E$60+'Assumptions and Catalog'!$F$60,IF(((D663+E663)*C663-G663)&lt;='Assumptions and Catalog'!$C$61,((D663+E663)*C663-G663)*'Assumptions and Catalog'!$H$61+'Assumptions and Catalog'!$E$61+'Assumptions and Catalog'!$F$61,IF(((D663+E663)*C663-G663)&lt;='Assumptions and Catalog'!$C$62,((D663+E663)*C663-G663)*'Assumptions and Catalog'!$H$62+'Assumptions and Catalog'!$E$62+'Assumptions and Catalog'!$F$62,IF(((D663+E663)*C663-G663)&lt;='Assumptions and Catalog'!$C$63,((D663+E663)*C663-G663)*'Assumptions and Catalog'!$H$63+'Assumptions and Catalog'!$E$63+'Assumptions and Catalog'!$F$63,IF(((D663+E663)*C663-G663)&lt;='Assumptions and Catalog'!$C$64,((D663+E663)*C663-G663)*'Assumptions and Catalog'!$H$64+'Assumptions and Catalog'!$E$64+'Assumptions and Catalog'!$F$64,IF(((D663+E663)*C663-G663)&lt;='Assumptions and Catalog'!$C$65,((D663+E663)*C663-G663)*'Assumptions and Catalog'!$H$65+'Assumptions and Catalog'!$E$65+'Assumptions and Catalog'!$F$65,"Out of range")))))))))*(1+'Assumptions and Catalog'!$C$8)^(A663-1),0)</f>
        <v>3567.397</v>
      </c>
      <c r="R663" s="5" t="n">
        <f>IF(AND('Assumptions and Catalog'!$C$19&gt;0,A663&gt;='Assumptions and Catalog'!$C$19),A663-'Assumptions and Catalog'!$C$19,A663-1)</f>
        <v>0</v>
      </c>
      <c r="S663" s="5" t="n">
        <f>F663+L663-(D663+E663)*C663-J663-K663-IF(E$52&gt;0,'Assumptions and Catalog'!$C$26*C663,0)</f>
        <v>0</v>
      </c>
      <c r="T663" s="5"/>
      <c r="U663" s="5"/>
    </row>
    <row r="664" ht="23.100000381469727" customHeight="1">
      <c r="A664" s="5" t="n">
        <v>1</v>
      </c>
      <c r="B664" s="5" t="n">
        <v>4</v>
      </c>
      <c r="C664" s="5" t="n">
        <f>DAY(DATE('Assumptions and Catalog'!$C$24+A664-1,B664+1,0))</f>
        <v>30</v>
      </c>
      <c r="D664" s="5" t="n">
        <f>IF(ISNUMBER(Inputs!$L$5),Inputs!$L$5*Inputs!$L$6,0)</f>
        <v>40.35</v>
      </c>
      <c r="E664" s="5" t="n">
        <f>IF(ISNUMBER(Inputs!$L$5),Inputs!$L$5-D664,0)</f>
        <v>40.35</v>
      </c>
      <c r="F664" s="5" t="n">
        <f>E$51*INDEX('Solar Production'!$D$20:$D$31,B664)*C664*(1-'Assumptions and Catalog'!$C$10)^(A664-1)</f>
        <v>1769.46</v>
      </c>
      <c r="G664" s="5" t="n">
        <f>MIN(F664,D664*C664)</f>
        <v>1210.5</v>
      </c>
      <c r="H664" s="5" t="n">
        <f>I664/('Assumptions and Catalog'!$C$11*'Assumptions and Catalog'!$C$12)</f>
        <v>315.076923076923</v>
      </c>
      <c r="I664" s="5" t="n">
        <f>MIN(E664*C664,P664*'Assumptions and Catalog'!$C$12*C664,(F664-G664)*'Assumptions and Catalog'!$C$11*'Assumptions and Catalog'!$C$12,E$56*'Assumptions and Catalog'!$C$14*'Assumptions and Catalog'!$C$11*'Assumptions and Catalog'!$C$12*C664,E$57*(24-'Assumptions and Catalog'!$C$13)*C664)</f>
        <v>299.52</v>
      </c>
      <c r="J664" s="5" t="n">
        <f>MAX(F664-G664-H664,0)</f>
        <v>243.883076923077</v>
      </c>
      <c r="K664" s="5" t="n">
        <f>H664-I664</f>
        <v>15.5569230769231</v>
      </c>
      <c r="L664" s="5" t="n">
        <f>(D664+E664)*C664-G664-I664+0+IF(E$52&gt;0,'Assumptions and Catalog'!$C$26*C664,0)</f>
        <v>910.98</v>
      </c>
      <c r="M664" s="5" t="n">
        <f>IF(ISNUMBER(Inputs!$L$5),(IF(Inputs!$L$9="Actual flat rate",((D664+E664)*C664)*Inputs!$L$10,IF(Inputs!$C$9="Residential",IF(((D664+E664)*C664)&lt;='Assumptions and Catalog'!$C$50,((D664+E664)*C664)*'Assumptions and Catalog'!$H$50+'Assumptions and Catalog'!$E$50+'Assumptions and Catalog'!$F$50,IF(((D664+E664)*C664)&lt;='Assumptions and Catalog'!$C$51,((D664+E664)*C664)*'Assumptions and Catalog'!$H$51+'Assumptions and Catalog'!$E$51+'Assumptions and Catalog'!$F$51,IF(((D664+E664)*C664)&lt;='Assumptions and Catalog'!$C$52,((D664+E664)*C664)*'Assumptions and Catalog'!$H$52+'Assumptions and Catalog'!$E$52+'Assumptions and Catalog'!$F$52,IF(((D664+E664)*C664)&lt;='Assumptions and Catalog'!$C$53,((D664+E664)*C664)*'Assumptions and Catalog'!$H$53+'Assumptions and Catalog'!$E$53+'Assumptions and Catalog'!$F$53,IF(((D664+E664)*C664)&lt;='Assumptions and Catalog'!$C$54,((D664+E664)*C664)*'Assumptions and Catalog'!$H$54+'Assumptions and Catalog'!$E$54+'Assumptions and Catalog'!$F$54,IF(((D664+E664)*C664)&lt;='Assumptions and Catalog'!$C$55,((D664+E664)*C664)*'Assumptions and Catalog'!$H$55+'Assumptions and Catalog'!$E$55+'Assumptions and Catalog'!$F$55,IF(((D664+E664)*C664)&lt;='Assumptions and Catalog'!$C$56,((D664+E664)*C664)*'Assumptions and Catalog'!$H$56+'Assumptions and Catalog'!$E$56+'Assumptions and Catalog'!$F$56,IF(((D664+E664)*C664)&lt;='Assumptions and Catalog'!$C$57,((D664+E664)*C664)*'Assumptions and Catalog'!$H$57+'Assumptions and Catalog'!$E$57+'Assumptions and Catalog'!$F$57,"Out of range")))))))),IF(((D664+E664)*C664)&lt;='Assumptions and Catalog'!$C$60,((D664+E664)*C664)*'Assumptions and Catalog'!$H$60+'Assumptions and Catalog'!$E$60+'Assumptions and Catalog'!$F$60,IF(((D664+E664)*C664)&lt;='Assumptions and Catalog'!$C$61,((D664+E664)*C664)*'Assumptions and Catalog'!$H$61+'Assumptions and Catalog'!$E$61+'Assumptions and Catalog'!$F$61,IF(((D664+E664)*C664)&lt;='Assumptions and Catalog'!$C$62,((D664+E664)*C664)*'Assumptions and Catalog'!$H$62+'Assumptions and Catalog'!$E$62+'Assumptions and Catalog'!$F$62,IF(((D664+E664)*C664)&lt;='Assumptions and Catalog'!$C$63,((D664+E664)*C664)*'Assumptions and Catalog'!$H$63+'Assumptions and Catalog'!$E$63+'Assumptions and Catalog'!$F$63,IF(((D664+E664)*C664)&lt;='Assumptions and Catalog'!$C$64,((D664+E664)*C664)*'Assumptions and Catalog'!$H$64+'Assumptions and Catalog'!$E$64+'Assumptions and Catalog'!$F$64,IF(((D664+E664)*C664)&lt;='Assumptions and Catalog'!$C$65,((D664+E664)*C664)*'Assumptions and Catalog'!$H$65+'Assumptions and Catalog'!$E$65+'Assumptions and Catalog'!$F$65,"Out of range")))))))))*(1+'Assumptions and Catalog'!$C$8)^(A664-1),0)</f>
        <v>6867.22</v>
      </c>
      <c r="N664" s="5" t="n">
        <f>IF(ISNUMBER(Inputs!$L$5),(IF(Inputs!$L$9="Actual flat rate",L664*Inputs!$L$10,IF(Inputs!$C$9="Residential",IF(L664&lt;='Assumptions and Catalog'!$C$50,L664*'Assumptions and Catalog'!$H$50+'Assumptions and Catalog'!$E$50+'Assumptions and Catalog'!$F$50,IF(L664&lt;='Assumptions and Catalog'!$C$51,L664*'Assumptions and Catalog'!$H$51+'Assumptions and Catalog'!$E$51+'Assumptions and Catalog'!$F$51,IF(L664&lt;='Assumptions and Catalog'!$C$52,L664*'Assumptions and Catalog'!$H$52+'Assumptions and Catalog'!$E$52+'Assumptions and Catalog'!$F$52,IF(L664&lt;='Assumptions and Catalog'!$C$53,L664*'Assumptions and Catalog'!$H$53+'Assumptions and Catalog'!$E$53+'Assumptions and Catalog'!$F$53,IF(L664&lt;='Assumptions and Catalog'!$C$54,L664*'Assumptions and Catalog'!$H$54+'Assumptions and Catalog'!$E$54+'Assumptions and Catalog'!$F$54,IF(L664&lt;='Assumptions and Catalog'!$C$55,L664*'Assumptions and Catalog'!$H$55+'Assumptions and Catalog'!$E$55+'Assumptions and Catalog'!$F$55,IF(L664&lt;='Assumptions and Catalog'!$C$56,L664*'Assumptions and Catalog'!$H$56+'Assumptions and Catalog'!$E$56+'Assumptions and Catalog'!$F$56,IF(L664&lt;='Assumptions and Catalog'!$C$57,L664*'Assumptions and Catalog'!$H$57+'Assumptions and Catalog'!$E$57+'Assumptions and Catalog'!$F$57,"Out of range")))))))),IF(L664&lt;='Assumptions and Catalog'!$C$60,L664*'Assumptions and Catalog'!$H$60+'Assumptions and Catalog'!$E$60+'Assumptions and Catalog'!$F$60,IF(L664&lt;='Assumptions and Catalog'!$C$61,L664*'Assumptions and Catalog'!$H$61+'Assumptions and Catalog'!$E$61+'Assumptions and Catalog'!$F$61,IF(L664&lt;='Assumptions and Catalog'!$C$62,L664*'Assumptions and Catalog'!$H$62+'Assumptions and Catalog'!$E$62+'Assumptions and Catalog'!$F$62,IF(L664&lt;='Assumptions and Catalog'!$C$63,L664*'Assumptions and Catalog'!$H$63+'Assumptions and Catalog'!$E$63+'Assumptions and Catalog'!$F$63,IF(L664&lt;='Assumptions and Catalog'!$C$64,L664*'Assumptions and Catalog'!$H$64+'Assumptions and Catalog'!$E$64+'Assumptions and Catalog'!$F$64,IF(L664&lt;='Assumptions and Catalog'!$C$65,L664*'Assumptions and Catalog'!$H$65+'Assumptions and Catalog'!$E$65+'Assumptions and Catalog'!$F$65,"Out of range")))))))))*(1+'Assumptions and Catalog'!$C$8)^(A664-1),0)</f>
        <v>2488.4146</v>
      </c>
      <c r="O664" s="5" t="n">
        <f>M664-N664</f>
        <v>4378.8054</v>
      </c>
      <c r="P664" s="5" t="n">
        <f>E$55*(1-L$14)*(1-'Assumptions and Catalog'!$C$23)^R664</f>
        <v>10.24</v>
      </c>
      <c r="Q664" s="5" t="n">
        <f>IF(ISNUMBER(Inputs!$L$5),(IF(Inputs!$L$9="Actual flat rate",((D664+E664)*C664-G664)*Inputs!$L$10,IF(Inputs!$C$9="Residential",IF(((D664+E664)*C664-G664)&lt;='Assumptions and Catalog'!$C$50,((D664+E664)*C664-G664)*'Assumptions and Catalog'!$H$50+'Assumptions and Catalog'!$E$50+'Assumptions and Catalog'!$F$50,IF(((D664+E664)*C664-G664)&lt;='Assumptions and Catalog'!$C$51,((D664+E664)*C664-G664)*'Assumptions and Catalog'!$H$51+'Assumptions and Catalog'!$E$51+'Assumptions and Catalog'!$F$51,IF(((D664+E664)*C664-G664)&lt;='Assumptions and Catalog'!$C$52,((D664+E664)*C664-G664)*'Assumptions and Catalog'!$H$52+'Assumptions and Catalog'!$E$52+'Assumptions and Catalog'!$F$52,IF(((D664+E664)*C664-G664)&lt;='Assumptions and Catalog'!$C$53,((D664+E664)*C664-G664)*'Assumptions and Catalog'!$H$53+'Assumptions and Catalog'!$E$53+'Assumptions and Catalog'!$F$53,IF(((D664+E664)*C664-G664)&lt;='Assumptions and Catalog'!$C$54,((D664+E664)*C664-G664)*'Assumptions and Catalog'!$H$54+'Assumptions and Catalog'!$E$54+'Assumptions and Catalog'!$F$54,IF(((D664+E664)*C664-G664)&lt;='Assumptions and Catalog'!$C$55,((D664+E664)*C664-G664)*'Assumptions and Catalog'!$H$55+'Assumptions and Catalog'!$E$55+'Assumptions and Catalog'!$F$55,IF(((D664+E664)*C664-G664)&lt;='Assumptions and Catalog'!$C$56,((D664+E664)*C664-G664)*'Assumptions and Catalog'!$H$56+'Assumptions and Catalog'!$E$56+'Assumptions and Catalog'!$F$56,IF(((D664+E664)*C664-G664)&lt;='Assumptions and Catalog'!$C$57,((D664+E664)*C664-G664)*'Assumptions and Catalog'!$H$57+'Assumptions and Catalog'!$E$57+'Assumptions and Catalog'!$F$57,"Out of range")))))))),IF(((D664+E664)*C664-G664)&lt;='Assumptions and Catalog'!$C$60,((D664+E664)*C664-G664)*'Assumptions and Catalog'!$H$60+'Assumptions and Catalog'!$E$60+'Assumptions and Catalog'!$F$60,IF(((D664+E664)*C664-G664)&lt;='Assumptions and Catalog'!$C$61,((D664+E664)*C664-G664)*'Assumptions and Catalog'!$H$61+'Assumptions and Catalog'!$E$61+'Assumptions and Catalog'!$F$61,IF(((D664+E664)*C664-G664)&lt;='Assumptions and Catalog'!$C$62,((D664+E664)*C664-G664)*'Assumptions and Catalog'!$H$62+'Assumptions and Catalog'!$E$62+'Assumptions and Catalog'!$F$62,IF(((D664+E664)*C664-G664)&lt;='Assumptions and Catalog'!$C$63,((D664+E664)*C664-G664)*'Assumptions and Catalog'!$H$63+'Assumptions and Catalog'!$E$63+'Assumptions and Catalog'!$F$63,IF(((D664+E664)*C664-G664)&lt;='Assumptions and Catalog'!$C$64,((D664+E664)*C664-G664)*'Assumptions and Catalog'!$H$64+'Assumptions and Catalog'!$E$64+'Assumptions and Catalog'!$F$64,IF(((D664+E664)*C664-G664)&lt;='Assumptions and Catalog'!$C$65,((D664+E664)*C664-G664)*'Assumptions and Catalog'!$H$65+'Assumptions and Catalog'!$E$65+'Assumptions and Catalog'!$F$65,"Out of range")))))))))*(1+'Assumptions and Catalog'!$C$8)^(A664-1),0)</f>
        <v>3453.61</v>
      </c>
      <c r="R664" s="5" t="n">
        <f>IF(AND('Assumptions and Catalog'!$C$19&gt;0,A664&gt;='Assumptions and Catalog'!$C$19),A664-'Assumptions and Catalog'!$C$19,A664-1)</f>
        <v>0</v>
      </c>
      <c r="S664" s="5" t="n">
        <f>F664+L664-(D664+E664)*C664-J664-K664-IF(E$52&gt;0,'Assumptions and Catalog'!$C$26*C664,0)</f>
        <v>5.6843418860808E-014</v>
      </c>
      <c r="T664" s="5"/>
      <c r="U664" s="5"/>
    </row>
    <row r="665" ht="23.100000381469727" customHeight="1">
      <c r="A665" s="5" t="n">
        <v>1</v>
      </c>
      <c r="B665" s="5" t="n">
        <v>5</v>
      </c>
      <c r="C665" s="5" t="n">
        <f>DAY(DATE('Assumptions and Catalog'!$C$24+A665-1,B665+1,0))</f>
        <v>31</v>
      </c>
      <c r="D665" s="5" t="n">
        <f>IF(ISNUMBER(Inputs!$L$5),Inputs!$L$5*Inputs!$L$6,0)</f>
        <v>40.35</v>
      </c>
      <c r="E665" s="5" t="n">
        <f>IF(ISNUMBER(Inputs!$L$5),Inputs!$L$5-D665,0)</f>
        <v>40.35</v>
      </c>
      <c r="F665" s="5" t="n">
        <f>E$51*INDEX('Solar Production'!$D$20:$D$31,B665)*C665*(1-'Assumptions and Catalog'!$C$10)^(A665-1)</f>
        <v>1789.92</v>
      </c>
      <c r="G665" s="5" t="n">
        <f>MIN(F665,D665*C665)</f>
        <v>1250.85</v>
      </c>
      <c r="H665" s="5" t="n">
        <f>I665/('Assumptions and Catalog'!$C$11*'Assumptions and Catalog'!$C$12)</f>
        <v>325.579487179487</v>
      </c>
      <c r="I665" s="5" t="n">
        <f>MIN(E665*C665,P665*'Assumptions and Catalog'!$C$12*C665,(F665-G665)*'Assumptions and Catalog'!$C$11*'Assumptions and Catalog'!$C$12,E$56*'Assumptions and Catalog'!$C$14*'Assumptions and Catalog'!$C$11*'Assumptions and Catalog'!$C$12*C665,E$57*(24-'Assumptions and Catalog'!$C$13)*C665)</f>
        <v>309.504</v>
      </c>
      <c r="J665" s="5" t="n">
        <f>MAX(F665-G665-H665,0)</f>
        <v>213.490512820513</v>
      </c>
      <c r="K665" s="5" t="n">
        <f>H665-I665</f>
        <v>16.0754871794872</v>
      </c>
      <c r="L665" s="5" t="n">
        <f>(D665+E665)*C665-G665-I665+0+IF(E$52&gt;0,'Assumptions and Catalog'!$C$26*C665,0)</f>
        <v>941.346</v>
      </c>
      <c r="M665" s="5" t="n">
        <f>IF(ISNUMBER(Inputs!$L$5),(IF(Inputs!$L$9="Actual flat rate",((D665+E665)*C665)*Inputs!$L$10,IF(Inputs!$C$9="Residential",IF(((D665+E665)*C665)&lt;='Assumptions and Catalog'!$C$50,((D665+E665)*C665)*'Assumptions and Catalog'!$H$50+'Assumptions and Catalog'!$E$50+'Assumptions and Catalog'!$F$50,IF(((D665+E665)*C665)&lt;='Assumptions and Catalog'!$C$51,((D665+E665)*C665)*'Assumptions and Catalog'!$H$51+'Assumptions and Catalog'!$E$51+'Assumptions and Catalog'!$F$51,IF(((D665+E665)*C665)&lt;='Assumptions and Catalog'!$C$52,((D665+E665)*C665)*'Assumptions and Catalog'!$H$52+'Assumptions and Catalog'!$E$52+'Assumptions and Catalog'!$F$52,IF(((D665+E665)*C665)&lt;='Assumptions and Catalog'!$C$53,((D665+E665)*C665)*'Assumptions and Catalog'!$H$53+'Assumptions and Catalog'!$E$53+'Assumptions and Catalog'!$F$53,IF(((D665+E665)*C665)&lt;='Assumptions and Catalog'!$C$54,((D665+E665)*C665)*'Assumptions and Catalog'!$H$54+'Assumptions and Catalog'!$E$54+'Assumptions and Catalog'!$F$54,IF(((D665+E665)*C665)&lt;='Assumptions and Catalog'!$C$55,((D665+E665)*C665)*'Assumptions and Catalog'!$H$55+'Assumptions and Catalog'!$E$55+'Assumptions and Catalog'!$F$55,IF(((D665+E665)*C665)&lt;='Assumptions and Catalog'!$C$56,((D665+E665)*C665)*'Assumptions and Catalog'!$H$56+'Assumptions and Catalog'!$E$56+'Assumptions and Catalog'!$F$56,IF(((D665+E665)*C665)&lt;='Assumptions and Catalog'!$C$57,((D665+E665)*C665)*'Assumptions and Catalog'!$H$57+'Assumptions and Catalog'!$E$57+'Assumptions and Catalog'!$F$57,"Out of range")))))))),IF(((D665+E665)*C665)&lt;='Assumptions and Catalog'!$C$60,((D665+E665)*C665)*'Assumptions and Catalog'!$H$60+'Assumptions and Catalog'!$E$60+'Assumptions and Catalog'!$F$60,IF(((D665+E665)*C665)&lt;='Assumptions and Catalog'!$C$61,((D665+E665)*C665)*'Assumptions and Catalog'!$H$61+'Assumptions and Catalog'!$E$61+'Assumptions and Catalog'!$F$61,IF(((D665+E665)*C665)&lt;='Assumptions and Catalog'!$C$62,((D665+E665)*C665)*'Assumptions and Catalog'!$H$62+'Assumptions and Catalog'!$E$62+'Assumptions and Catalog'!$F$62,IF(((D665+E665)*C665)&lt;='Assumptions and Catalog'!$C$63,((D665+E665)*C665)*'Assumptions and Catalog'!$H$63+'Assumptions and Catalog'!$E$63+'Assumptions and Catalog'!$F$63,IF(((D665+E665)*C665)&lt;='Assumptions and Catalog'!$C$64,((D665+E665)*C665)*'Assumptions and Catalog'!$H$64+'Assumptions and Catalog'!$E$64+'Assumptions and Catalog'!$F$64,IF(((D665+E665)*C665)&lt;='Assumptions and Catalog'!$C$65,((D665+E665)*C665)*'Assumptions and Catalog'!$H$65+'Assumptions and Catalog'!$E$65+'Assumptions and Catalog'!$F$65,"Out of range")))))))))*(1+'Assumptions and Catalog'!$C$8)^(A665-1),0)</f>
        <v>7094.794</v>
      </c>
      <c r="N665" s="5" t="n">
        <f>IF(ISNUMBER(Inputs!$L$5),(IF(Inputs!$L$9="Actual flat rate",L665*Inputs!$L$10,IF(Inputs!$C$9="Residential",IF(L665&lt;='Assumptions and Catalog'!$C$50,L665*'Assumptions and Catalog'!$H$50+'Assumptions and Catalog'!$E$50+'Assumptions and Catalog'!$F$50,IF(L665&lt;='Assumptions and Catalog'!$C$51,L665*'Assumptions and Catalog'!$H$51+'Assumptions and Catalog'!$E$51+'Assumptions and Catalog'!$F$51,IF(L665&lt;='Assumptions and Catalog'!$C$52,L665*'Assumptions and Catalog'!$H$52+'Assumptions and Catalog'!$E$52+'Assumptions and Catalog'!$F$52,IF(L665&lt;='Assumptions and Catalog'!$C$53,L665*'Assumptions and Catalog'!$H$53+'Assumptions and Catalog'!$E$53+'Assumptions and Catalog'!$F$53,IF(L665&lt;='Assumptions and Catalog'!$C$54,L665*'Assumptions and Catalog'!$H$54+'Assumptions and Catalog'!$E$54+'Assumptions and Catalog'!$F$54,IF(L665&lt;='Assumptions and Catalog'!$C$55,L665*'Assumptions and Catalog'!$H$55+'Assumptions and Catalog'!$E$55+'Assumptions and Catalog'!$F$55,IF(L665&lt;='Assumptions and Catalog'!$C$56,L665*'Assumptions and Catalog'!$H$56+'Assumptions and Catalog'!$E$56+'Assumptions and Catalog'!$F$56,IF(L665&lt;='Assumptions and Catalog'!$C$57,L665*'Assumptions and Catalog'!$H$57+'Assumptions and Catalog'!$E$57+'Assumptions and Catalog'!$F$57,"Out of range")))))))),IF(L665&lt;='Assumptions and Catalog'!$C$60,L665*'Assumptions and Catalog'!$H$60+'Assumptions and Catalog'!$E$60+'Assumptions and Catalog'!$F$60,IF(L665&lt;='Assumptions and Catalog'!$C$61,L665*'Assumptions and Catalog'!$H$61+'Assumptions and Catalog'!$E$61+'Assumptions and Catalog'!$F$61,IF(L665&lt;='Assumptions and Catalog'!$C$62,L665*'Assumptions and Catalog'!$H$62+'Assumptions and Catalog'!$E$62+'Assumptions and Catalog'!$F$62,IF(L665&lt;='Assumptions and Catalog'!$C$63,L665*'Assumptions and Catalog'!$H$63+'Assumptions and Catalog'!$E$63+'Assumptions and Catalog'!$F$63,IF(L665&lt;='Assumptions and Catalog'!$C$64,L665*'Assumptions and Catalog'!$H$64+'Assumptions and Catalog'!$E$64+'Assumptions and Catalog'!$F$64,IF(L665&lt;='Assumptions and Catalog'!$C$65,L665*'Assumptions and Catalog'!$H$65+'Assumptions and Catalog'!$E$65+'Assumptions and Catalog'!$F$65,"Out of range")))))))))*(1+'Assumptions and Catalog'!$C$8)^(A665-1),0)</f>
        <v>2572.52842</v>
      </c>
      <c r="O665" s="5" t="n">
        <f>M665-N665</f>
        <v>4522.26558</v>
      </c>
      <c r="P665" s="5" t="n">
        <f>E$55*(1-L$14)*(1-'Assumptions and Catalog'!$C$23)^R665</f>
        <v>10.24</v>
      </c>
      <c r="Q665" s="5" t="n">
        <f>IF(ISNUMBER(Inputs!$L$5),(IF(Inputs!$L$9="Actual flat rate",((D665+E665)*C665-G665)*Inputs!$L$10,IF(Inputs!$C$9="Residential",IF(((D665+E665)*C665-G665)&lt;='Assumptions and Catalog'!$C$50,((D665+E665)*C665-G665)*'Assumptions and Catalog'!$H$50+'Assumptions and Catalog'!$E$50+'Assumptions and Catalog'!$F$50,IF(((D665+E665)*C665-G665)&lt;='Assumptions and Catalog'!$C$51,((D665+E665)*C665-G665)*'Assumptions and Catalog'!$H$51+'Assumptions and Catalog'!$E$51+'Assumptions and Catalog'!$F$51,IF(((D665+E665)*C665-G665)&lt;='Assumptions and Catalog'!$C$52,((D665+E665)*C665-G665)*'Assumptions and Catalog'!$H$52+'Assumptions and Catalog'!$E$52+'Assumptions and Catalog'!$F$52,IF(((D665+E665)*C665-G665)&lt;='Assumptions and Catalog'!$C$53,((D665+E665)*C665-G665)*'Assumptions and Catalog'!$H$53+'Assumptions and Catalog'!$E$53+'Assumptions and Catalog'!$F$53,IF(((D665+E665)*C665-G665)&lt;='Assumptions and Catalog'!$C$54,((D665+E665)*C665-G665)*'Assumptions and Catalog'!$H$54+'Assumptions and Catalog'!$E$54+'Assumptions and Catalog'!$F$54,IF(((D665+E665)*C665-G665)&lt;='Assumptions and Catalog'!$C$55,((D665+E665)*C665-G665)*'Assumptions and Catalog'!$H$55+'Assumptions and Catalog'!$E$55+'Assumptions and Catalog'!$F$55,IF(((D665+E665)*C665-G665)&lt;='Assumptions and Catalog'!$C$56,((D665+E665)*C665-G665)*'Assumptions and Catalog'!$H$56+'Assumptions and Catalog'!$E$56+'Assumptions and Catalog'!$F$56,IF(((D665+E665)*C665-G665)&lt;='Assumptions and Catalog'!$C$57,((D665+E665)*C665-G665)*'Assumptions and Catalog'!$H$57+'Assumptions and Catalog'!$E$57+'Assumptions and Catalog'!$F$57,"Out of range")))))))),IF(((D665+E665)*C665-G665)&lt;='Assumptions and Catalog'!$C$60,((D665+E665)*C665-G665)*'Assumptions and Catalog'!$H$60+'Assumptions and Catalog'!$E$60+'Assumptions and Catalog'!$F$60,IF(((D665+E665)*C665-G665)&lt;='Assumptions and Catalog'!$C$61,((D665+E665)*C665-G665)*'Assumptions and Catalog'!$H$61+'Assumptions and Catalog'!$E$61+'Assumptions and Catalog'!$F$61,IF(((D665+E665)*C665-G665)&lt;='Assumptions and Catalog'!$C$62,((D665+E665)*C665-G665)*'Assumptions and Catalog'!$H$62+'Assumptions and Catalog'!$E$62+'Assumptions and Catalog'!$F$62,IF(((D665+E665)*C665-G665)&lt;='Assumptions and Catalog'!$C$63,((D665+E665)*C665-G665)*'Assumptions and Catalog'!$H$63+'Assumptions and Catalog'!$E$63+'Assumptions and Catalog'!$F$63,IF(((D665+E665)*C665-G665)&lt;='Assumptions and Catalog'!$C$64,((D665+E665)*C665-G665)*'Assumptions and Catalog'!$H$64+'Assumptions and Catalog'!$E$64+'Assumptions and Catalog'!$F$64,IF(((D665+E665)*C665-G665)&lt;='Assumptions and Catalog'!$C$65,((D665+E665)*C665-G665)*'Assumptions and Catalog'!$H$65+'Assumptions and Catalog'!$E$65+'Assumptions and Catalog'!$F$65,"Out of range")))))))))*(1+'Assumptions and Catalog'!$C$8)^(A665-1),0)</f>
        <v>3567.397</v>
      </c>
      <c r="R665" s="5" t="n">
        <f>IF(AND('Assumptions and Catalog'!$C$19&gt;0,A665&gt;='Assumptions and Catalog'!$C$19),A665-'Assumptions and Catalog'!$C$19,A665-1)</f>
        <v>0</v>
      </c>
      <c r="S665" s="5" t="n">
        <f>F665+L665-(D665+E665)*C665-J665-K665-IF(E$52&gt;0,'Assumptions and Catalog'!$C$26*C665,0)</f>
        <v>0</v>
      </c>
      <c r="T665" s="5"/>
      <c r="U665" s="5"/>
    </row>
    <row r="666" ht="23.100000381469727" customHeight="1">
      <c r="A666" s="5" t="n">
        <v>1</v>
      </c>
      <c r="B666" s="5" t="n">
        <v>6</v>
      </c>
      <c r="C666" s="5" t="n">
        <f>DAY(DATE('Assumptions and Catalog'!$C$24+A666-1,B666+1,0))</f>
        <v>30</v>
      </c>
      <c r="D666" s="5" t="n">
        <f>IF(ISNUMBER(Inputs!$L$5),Inputs!$L$5*Inputs!$L$6,0)</f>
        <v>40.35</v>
      </c>
      <c r="E666" s="5" t="n">
        <f>IF(ISNUMBER(Inputs!$L$5),Inputs!$L$5-D666,0)</f>
        <v>40.35</v>
      </c>
      <c r="F666" s="5" t="n">
        <f>E$51*INDEX('Solar Production'!$D$20:$D$31,B666)*C666*(1-'Assumptions and Catalog'!$C$10)^(A666-1)</f>
        <v>1744.82</v>
      </c>
      <c r="G666" s="5" t="n">
        <f>MIN(F666,D666*C666)</f>
        <v>1210.5</v>
      </c>
      <c r="H666" s="5" t="n">
        <f>I666/('Assumptions and Catalog'!$C$11*'Assumptions and Catalog'!$C$12)</f>
        <v>315.076923076923</v>
      </c>
      <c r="I666" s="5" t="n">
        <f>MIN(E666*C666,P666*'Assumptions and Catalog'!$C$12*C666,(F666-G666)*'Assumptions and Catalog'!$C$11*'Assumptions and Catalog'!$C$12,E$56*'Assumptions and Catalog'!$C$14*'Assumptions and Catalog'!$C$11*'Assumptions and Catalog'!$C$12*C666,E$57*(24-'Assumptions and Catalog'!$C$13)*C666)</f>
        <v>299.52</v>
      </c>
      <c r="J666" s="5" t="n">
        <f>MAX(F666-G666-H666,0)</f>
        <v>219.243076923077</v>
      </c>
      <c r="K666" s="5" t="n">
        <f>H666-I666</f>
        <v>15.5569230769231</v>
      </c>
      <c r="L666" s="5" t="n">
        <f>(D666+E666)*C666-G666-I666+0+IF(E$52&gt;0,'Assumptions and Catalog'!$C$26*C666,0)</f>
        <v>910.98</v>
      </c>
      <c r="M666" s="5" t="n">
        <f>IF(ISNUMBER(Inputs!$L$5),(IF(Inputs!$L$9="Actual flat rate",((D666+E666)*C666)*Inputs!$L$10,IF(Inputs!$C$9="Residential",IF(((D666+E666)*C666)&lt;='Assumptions and Catalog'!$C$50,((D666+E666)*C666)*'Assumptions and Catalog'!$H$50+'Assumptions and Catalog'!$E$50+'Assumptions and Catalog'!$F$50,IF(((D666+E666)*C666)&lt;='Assumptions and Catalog'!$C$51,((D666+E666)*C666)*'Assumptions and Catalog'!$H$51+'Assumptions and Catalog'!$E$51+'Assumptions and Catalog'!$F$51,IF(((D666+E666)*C666)&lt;='Assumptions and Catalog'!$C$52,((D666+E666)*C666)*'Assumptions and Catalog'!$H$52+'Assumptions and Catalog'!$E$52+'Assumptions and Catalog'!$F$52,IF(((D666+E666)*C666)&lt;='Assumptions and Catalog'!$C$53,((D666+E666)*C666)*'Assumptions and Catalog'!$H$53+'Assumptions and Catalog'!$E$53+'Assumptions and Catalog'!$F$53,IF(((D666+E666)*C666)&lt;='Assumptions and Catalog'!$C$54,((D666+E666)*C666)*'Assumptions and Catalog'!$H$54+'Assumptions and Catalog'!$E$54+'Assumptions and Catalog'!$F$54,IF(((D666+E666)*C666)&lt;='Assumptions and Catalog'!$C$55,((D666+E666)*C666)*'Assumptions and Catalog'!$H$55+'Assumptions and Catalog'!$E$55+'Assumptions and Catalog'!$F$55,IF(((D666+E666)*C666)&lt;='Assumptions and Catalog'!$C$56,((D666+E666)*C666)*'Assumptions and Catalog'!$H$56+'Assumptions and Catalog'!$E$56+'Assumptions and Catalog'!$F$56,IF(((D666+E666)*C666)&lt;='Assumptions and Catalog'!$C$57,((D666+E666)*C666)*'Assumptions and Catalog'!$H$57+'Assumptions and Catalog'!$E$57+'Assumptions and Catalog'!$F$57,"Out of range")))))))),IF(((D666+E666)*C666)&lt;='Assumptions and Catalog'!$C$60,((D666+E666)*C666)*'Assumptions and Catalog'!$H$60+'Assumptions and Catalog'!$E$60+'Assumptions and Catalog'!$F$60,IF(((D666+E666)*C666)&lt;='Assumptions and Catalog'!$C$61,((D666+E666)*C666)*'Assumptions and Catalog'!$H$61+'Assumptions and Catalog'!$E$61+'Assumptions and Catalog'!$F$61,IF(((D666+E666)*C666)&lt;='Assumptions and Catalog'!$C$62,((D666+E666)*C666)*'Assumptions and Catalog'!$H$62+'Assumptions and Catalog'!$E$62+'Assumptions and Catalog'!$F$62,IF(((D666+E666)*C666)&lt;='Assumptions and Catalog'!$C$63,((D666+E666)*C666)*'Assumptions and Catalog'!$H$63+'Assumptions and Catalog'!$E$63+'Assumptions and Catalog'!$F$63,IF(((D666+E666)*C666)&lt;='Assumptions and Catalog'!$C$64,((D666+E666)*C666)*'Assumptions and Catalog'!$H$64+'Assumptions and Catalog'!$E$64+'Assumptions and Catalog'!$F$64,IF(((D666+E666)*C666)&lt;='Assumptions and Catalog'!$C$65,((D666+E666)*C666)*'Assumptions and Catalog'!$H$65+'Assumptions and Catalog'!$E$65+'Assumptions and Catalog'!$F$65,"Out of range")))))))))*(1+'Assumptions and Catalog'!$C$8)^(A666-1),0)</f>
        <v>6867.22</v>
      </c>
      <c r="N666" s="5" t="n">
        <f>IF(ISNUMBER(Inputs!$L$5),(IF(Inputs!$L$9="Actual flat rate",L666*Inputs!$L$10,IF(Inputs!$C$9="Residential",IF(L666&lt;='Assumptions and Catalog'!$C$50,L666*'Assumptions and Catalog'!$H$50+'Assumptions and Catalog'!$E$50+'Assumptions and Catalog'!$F$50,IF(L666&lt;='Assumptions and Catalog'!$C$51,L666*'Assumptions and Catalog'!$H$51+'Assumptions and Catalog'!$E$51+'Assumptions and Catalog'!$F$51,IF(L666&lt;='Assumptions and Catalog'!$C$52,L666*'Assumptions and Catalog'!$H$52+'Assumptions and Catalog'!$E$52+'Assumptions and Catalog'!$F$52,IF(L666&lt;='Assumptions and Catalog'!$C$53,L666*'Assumptions and Catalog'!$H$53+'Assumptions and Catalog'!$E$53+'Assumptions and Catalog'!$F$53,IF(L666&lt;='Assumptions and Catalog'!$C$54,L666*'Assumptions and Catalog'!$H$54+'Assumptions and Catalog'!$E$54+'Assumptions and Catalog'!$F$54,IF(L666&lt;='Assumptions and Catalog'!$C$55,L666*'Assumptions and Catalog'!$H$55+'Assumptions and Catalog'!$E$55+'Assumptions and Catalog'!$F$55,IF(L666&lt;='Assumptions and Catalog'!$C$56,L666*'Assumptions and Catalog'!$H$56+'Assumptions and Catalog'!$E$56+'Assumptions and Catalog'!$F$56,IF(L666&lt;='Assumptions and Catalog'!$C$57,L666*'Assumptions and Catalog'!$H$57+'Assumptions and Catalog'!$E$57+'Assumptions and Catalog'!$F$57,"Out of range")))))))),IF(L666&lt;='Assumptions and Catalog'!$C$60,L666*'Assumptions and Catalog'!$H$60+'Assumptions and Catalog'!$E$60+'Assumptions and Catalog'!$F$60,IF(L666&lt;='Assumptions and Catalog'!$C$61,L666*'Assumptions and Catalog'!$H$61+'Assumptions and Catalog'!$E$61+'Assumptions and Catalog'!$F$61,IF(L666&lt;='Assumptions and Catalog'!$C$62,L666*'Assumptions and Catalog'!$H$62+'Assumptions and Catalog'!$E$62+'Assumptions and Catalog'!$F$62,IF(L666&lt;='Assumptions and Catalog'!$C$63,L666*'Assumptions and Catalog'!$H$63+'Assumptions and Catalog'!$E$63+'Assumptions and Catalog'!$F$63,IF(L666&lt;='Assumptions and Catalog'!$C$64,L666*'Assumptions and Catalog'!$H$64+'Assumptions and Catalog'!$E$64+'Assumptions and Catalog'!$F$64,IF(L666&lt;='Assumptions and Catalog'!$C$65,L666*'Assumptions and Catalog'!$H$65+'Assumptions and Catalog'!$E$65+'Assumptions and Catalog'!$F$65,"Out of range")))))))))*(1+'Assumptions and Catalog'!$C$8)^(A666-1),0)</f>
        <v>2488.4146</v>
      </c>
      <c r="O666" s="5" t="n">
        <f>M666-N666</f>
        <v>4378.8054</v>
      </c>
      <c r="P666" s="5" t="n">
        <f>E$55*(1-L$14)*(1-'Assumptions and Catalog'!$C$23)^R666</f>
        <v>10.24</v>
      </c>
      <c r="Q666" s="5" t="n">
        <f>IF(ISNUMBER(Inputs!$L$5),(IF(Inputs!$L$9="Actual flat rate",((D666+E666)*C666-G666)*Inputs!$L$10,IF(Inputs!$C$9="Residential",IF(((D666+E666)*C666-G666)&lt;='Assumptions and Catalog'!$C$50,((D666+E666)*C666-G666)*'Assumptions and Catalog'!$H$50+'Assumptions and Catalog'!$E$50+'Assumptions and Catalog'!$F$50,IF(((D666+E666)*C666-G666)&lt;='Assumptions and Catalog'!$C$51,((D666+E666)*C666-G666)*'Assumptions and Catalog'!$H$51+'Assumptions and Catalog'!$E$51+'Assumptions and Catalog'!$F$51,IF(((D666+E666)*C666-G666)&lt;='Assumptions and Catalog'!$C$52,((D666+E666)*C666-G666)*'Assumptions and Catalog'!$H$52+'Assumptions and Catalog'!$E$52+'Assumptions and Catalog'!$F$52,IF(((D666+E666)*C666-G666)&lt;='Assumptions and Catalog'!$C$53,((D666+E666)*C666-G666)*'Assumptions and Catalog'!$H$53+'Assumptions and Catalog'!$E$53+'Assumptions and Catalog'!$F$53,IF(((D666+E666)*C666-G666)&lt;='Assumptions and Catalog'!$C$54,((D666+E666)*C666-G666)*'Assumptions and Catalog'!$H$54+'Assumptions and Catalog'!$E$54+'Assumptions and Catalog'!$F$54,IF(((D666+E666)*C666-G666)&lt;='Assumptions and Catalog'!$C$55,((D666+E666)*C666-G666)*'Assumptions and Catalog'!$H$55+'Assumptions and Catalog'!$E$55+'Assumptions and Catalog'!$F$55,IF(((D666+E666)*C666-G666)&lt;='Assumptions and Catalog'!$C$56,((D666+E666)*C666-G666)*'Assumptions and Catalog'!$H$56+'Assumptions and Catalog'!$E$56+'Assumptions and Catalog'!$F$56,IF(((D666+E666)*C666-G666)&lt;='Assumptions and Catalog'!$C$57,((D666+E666)*C666-G666)*'Assumptions and Catalog'!$H$57+'Assumptions and Catalog'!$E$57+'Assumptions and Catalog'!$F$57,"Out of range")))))))),IF(((D666+E666)*C666-G666)&lt;='Assumptions and Catalog'!$C$60,((D666+E666)*C666-G666)*'Assumptions and Catalog'!$H$60+'Assumptions and Catalog'!$E$60+'Assumptions and Catalog'!$F$60,IF(((D666+E666)*C666-G666)&lt;='Assumptions and Catalog'!$C$61,((D666+E666)*C666-G666)*'Assumptions and Catalog'!$H$61+'Assumptions and Catalog'!$E$61+'Assumptions and Catalog'!$F$61,IF(((D666+E666)*C666-G666)&lt;='Assumptions and Catalog'!$C$62,((D666+E666)*C666-G666)*'Assumptions and Catalog'!$H$62+'Assumptions and Catalog'!$E$62+'Assumptions and Catalog'!$F$62,IF(((D666+E666)*C666-G666)&lt;='Assumptions and Catalog'!$C$63,((D666+E666)*C666-G666)*'Assumptions and Catalog'!$H$63+'Assumptions and Catalog'!$E$63+'Assumptions and Catalog'!$F$63,IF(((D666+E666)*C666-G666)&lt;='Assumptions and Catalog'!$C$64,((D666+E666)*C666-G666)*'Assumptions and Catalog'!$H$64+'Assumptions and Catalog'!$E$64+'Assumptions and Catalog'!$F$64,IF(((D666+E666)*C666-G666)&lt;='Assumptions and Catalog'!$C$65,((D666+E666)*C666-G666)*'Assumptions and Catalog'!$H$65+'Assumptions and Catalog'!$E$65+'Assumptions and Catalog'!$F$65,"Out of range")))))))))*(1+'Assumptions and Catalog'!$C$8)^(A666-1),0)</f>
        <v>3453.61</v>
      </c>
      <c r="R666" s="5" t="n">
        <f>IF(AND('Assumptions and Catalog'!$C$19&gt;0,A666&gt;='Assumptions and Catalog'!$C$19),A666-'Assumptions and Catalog'!$C$19,A666-1)</f>
        <v>0</v>
      </c>
      <c r="S666" s="5" t="n">
        <f>F666+L666-(D666+E666)*C666-J666-K666-IF(E$52&gt;0,'Assumptions and Catalog'!$C$26*C666,0)</f>
        <v>5.6843418860808E-014</v>
      </c>
      <c r="T666" s="5"/>
      <c r="U666" s="5"/>
    </row>
    <row r="667" ht="23.100000381469727" customHeight="1">
      <c r="A667" s="5" t="n">
        <v>1</v>
      </c>
      <c r="B667" s="5" t="n">
        <v>7</v>
      </c>
      <c r="C667" s="5" t="n">
        <f>DAY(DATE('Assumptions and Catalog'!$C$24+A667-1,B667+1,0))</f>
        <v>31</v>
      </c>
      <c r="D667" s="5" t="n">
        <f>IF(ISNUMBER(Inputs!$L$5),Inputs!$L$5*Inputs!$L$6,0)</f>
        <v>40.35</v>
      </c>
      <c r="E667" s="5" t="n">
        <f>IF(ISNUMBER(Inputs!$L$5),Inputs!$L$5-D667,0)</f>
        <v>40.35</v>
      </c>
      <c r="F667" s="5" t="n">
        <f>E$51*INDEX('Solar Production'!$D$20:$D$31,B667)*C667*(1-'Assumptions and Catalog'!$C$10)^(A667-1)</f>
        <v>1811.26</v>
      </c>
      <c r="G667" s="5" t="n">
        <f>MIN(F667,D667*C667)</f>
        <v>1250.85</v>
      </c>
      <c r="H667" s="5" t="n">
        <f>I667/('Assumptions and Catalog'!$C$11*'Assumptions and Catalog'!$C$12)</f>
        <v>325.579487179487</v>
      </c>
      <c r="I667" s="5" t="n">
        <f>MIN(E667*C667,P667*'Assumptions and Catalog'!$C$12*C667,(F667-G667)*'Assumptions and Catalog'!$C$11*'Assumptions and Catalog'!$C$12,E$56*'Assumptions and Catalog'!$C$14*'Assumptions and Catalog'!$C$11*'Assumptions and Catalog'!$C$12*C667,E$57*(24-'Assumptions and Catalog'!$C$13)*C667)</f>
        <v>309.504</v>
      </c>
      <c r="J667" s="5" t="n">
        <f>MAX(F667-G667-H667,0)</f>
        <v>234.830512820513</v>
      </c>
      <c r="K667" s="5" t="n">
        <f>H667-I667</f>
        <v>16.0754871794872</v>
      </c>
      <c r="L667" s="5" t="n">
        <f>(D667+E667)*C667-G667-I667+0+IF(E$52&gt;0,'Assumptions and Catalog'!$C$26*C667,0)</f>
        <v>941.346</v>
      </c>
      <c r="M667" s="5" t="n">
        <f>IF(ISNUMBER(Inputs!$L$5),(IF(Inputs!$L$9="Actual flat rate",((D667+E667)*C667)*Inputs!$L$10,IF(Inputs!$C$9="Residential",IF(((D667+E667)*C667)&lt;='Assumptions and Catalog'!$C$50,((D667+E667)*C667)*'Assumptions and Catalog'!$H$50+'Assumptions and Catalog'!$E$50+'Assumptions and Catalog'!$F$50,IF(((D667+E667)*C667)&lt;='Assumptions and Catalog'!$C$51,((D667+E667)*C667)*'Assumptions and Catalog'!$H$51+'Assumptions and Catalog'!$E$51+'Assumptions and Catalog'!$F$51,IF(((D667+E667)*C667)&lt;='Assumptions and Catalog'!$C$52,((D667+E667)*C667)*'Assumptions and Catalog'!$H$52+'Assumptions and Catalog'!$E$52+'Assumptions and Catalog'!$F$52,IF(((D667+E667)*C667)&lt;='Assumptions and Catalog'!$C$53,((D667+E667)*C667)*'Assumptions and Catalog'!$H$53+'Assumptions and Catalog'!$E$53+'Assumptions and Catalog'!$F$53,IF(((D667+E667)*C667)&lt;='Assumptions and Catalog'!$C$54,((D667+E667)*C667)*'Assumptions and Catalog'!$H$54+'Assumptions and Catalog'!$E$54+'Assumptions and Catalog'!$F$54,IF(((D667+E667)*C667)&lt;='Assumptions and Catalog'!$C$55,((D667+E667)*C667)*'Assumptions and Catalog'!$H$55+'Assumptions and Catalog'!$E$55+'Assumptions and Catalog'!$F$55,IF(((D667+E667)*C667)&lt;='Assumptions and Catalog'!$C$56,((D667+E667)*C667)*'Assumptions and Catalog'!$H$56+'Assumptions and Catalog'!$E$56+'Assumptions and Catalog'!$F$56,IF(((D667+E667)*C667)&lt;='Assumptions and Catalog'!$C$57,((D667+E667)*C667)*'Assumptions and Catalog'!$H$57+'Assumptions and Catalog'!$E$57+'Assumptions and Catalog'!$F$57,"Out of range")))))))),IF(((D667+E667)*C667)&lt;='Assumptions and Catalog'!$C$60,((D667+E667)*C667)*'Assumptions and Catalog'!$H$60+'Assumptions and Catalog'!$E$60+'Assumptions and Catalog'!$F$60,IF(((D667+E667)*C667)&lt;='Assumptions and Catalog'!$C$61,((D667+E667)*C667)*'Assumptions and Catalog'!$H$61+'Assumptions and Catalog'!$E$61+'Assumptions and Catalog'!$F$61,IF(((D667+E667)*C667)&lt;='Assumptions and Catalog'!$C$62,((D667+E667)*C667)*'Assumptions and Catalog'!$H$62+'Assumptions and Catalog'!$E$62+'Assumptions and Catalog'!$F$62,IF(((D667+E667)*C667)&lt;='Assumptions and Catalog'!$C$63,((D667+E667)*C667)*'Assumptions and Catalog'!$H$63+'Assumptions and Catalog'!$E$63+'Assumptions and Catalog'!$F$63,IF(((D667+E667)*C667)&lt;='Assumptions and Catalog'!$C$64,((D667+E667)*C667)*'Assumptions and Catalog'!$H$64+'Assumptions and Catalog'!$E$64+'Assumptions and Catalog'!$F$64,IF(((D667+E667)*C667)&lt;='Assumptions and Catalog'!$C$65,((D667+E667)*C667)*'Assumptions and Catalog'!$H$65+'Assumptions and Catalog'!$E$65+'Assumptions and Catalog'!$F$65,"Out of range")))))))))*(1+'Assumptions and Catalog'!$C$8)^(A667-1),0)</f>
        <v>7094.794</v>
      </c>
      <c r="N667" s="5" t="n">
        <f>IF(ISNUMBER(Inputs!$L$5),(IF(Inputs!$L$9="Actual flat rate",L667*Inputs!$L$10,IF(Inputs!$C$9="Residential",IF(L667&lt;='Assumptions and Catalog'!$C$50,L667*'Assumptions and Catalog'!$H$50+'Assumptions and Catalog'!$E$50+'Assumptions and Catalog'!$F$50,IF(L667&lt;='Assumptions and Catalog'!$C$51,L667*'Assumptions and Catalog'!$H$51+'Assumptions and Catalog'!$E$51+'Assumptions and Catalog'!$F$51,IF(L667&lt;='Assumptions and Catalog'!$C$52,L667*'Assumptions and Catalog'!$H$52+'Assumptions and Catalog'!$E$52+'Assumptions and Catalog'!$F$52,IF(L667&lt;='Assumptions and Catalog'!$C$53,L667*'Assumptions and Catalog'!$H$53+'Assumptions and Catalog'!$E$53+'Assumptions and Catalog'!$F$53,IF(L667&lt;='Assumptions and Catalog'!$C$54,L667*'Assumptions and Catalog'!$H$54+'Assumptions and Catalog'!$E$54+'Assumptions and Catalog'!$F$54,IF(L667&lt;='Assumptions and Catalog'!$C$55,L667*'Assumptions and Catalog'!$H$55+'Assumptions and Catalog'!$E$55+'Assumptions and Catalog'!$F$55,IF(L667&lt;='Assumptions and Catalog'!$C$56,L667*'Assumptions and Catalog'!$H$56+'Assumptions and Catalog'!$E$56+'Assumptions and Catalog'!$F$56,IF(L667&lt;='Assumptions and Catalog'!$C$57,L667*'Assumptions and Catalog'!$H$57+'Assumptions and Catalog'!$E$57+'Assumptions and Catalog'!$F$57,"Out of range")))))))),IF(L667&lt;='Assumptions and Catalog'!$C$60,L667*'Assumptions and Catalog'!$H$60+'Assumptions and Catalog'!$E$60+'Assumptions and Catalog'!$F$60,IF(L667&lt;='Assumptions and Catalog'!$C$61,L667*'Assumptions and Catalog'!$H$61+'Assumptions and Catalog'!$E$61+'Assumptions and Catalog'!$F$61,IF(L667&lt;='Assumptions and Catalog'!$C$62,L667*'Assumptions and Catalog'!$H$62+'Assumptions and Catalog'!$E$62+'Assumptions and Catalog'!$F$62,IF(L667&lt;='Assumptions and Catalog'!$C$63,L667*'Assumptions and Catalog'!$H$63+'Assumptions and Catalog'!$E$63+'Assumptions and Catalog'!$F$63,IF(L667&lt;='Assumptions and Catalog'!$C$64,L667*'Assumptions and Catalog'!$H$64+'Assumptions and Catalog'!$E$64+'Assumptions and Catalog'!$F$64,IF(L667&lt;='Assumptions and Catalog'!$C$65,L667*'Assumptions and Catalog'!$H$65+'Assumptions and Catalog'!$E$65+'Assumptions and Catalog'!$F$65,"Out of range")))))))))*(1+'Assumptions and Catalog'!$C$8)^(A667-1),0)</f>
        <v>2572.52842</v>
      </c>
      <c r="O667" s="5" t="n">
        <f>M667-N667</f>
        <v>4522.26558</v>
      </c>
      <c r="P667" s="5" t="n">
        <f>E$55*(1-L$14)*(1-'Assumptions and Catalog'!$C$23)^R667</f>
        <v>10.24</v>
      </c>
      <c r="Q667" s="5" t="n">
        <f>IF(ISNUMBER(Inputs!$L$5),(IF(Inputs!$L$9="Actual flat rate",((D667+E667)*C667-G667)*Inputs!$L$10,IF(Inputs!$C$9="Residential",IF(((D667+E667)*C667-G667)&lt;='Assumptions and Catalog'!$C$50,((D667+E667)*C667-G667)*'Assumptions and Catalog'!$H$50+'Assumptions and Catalog'!$E$50+'Assumptions and Catalog'!$F$50,IF(((D667+E667)*C667-G667)&lt;='Assumptions and Catalog'!$C$51,((D667+E667)*C667-G667)*'Assumptions and Catalog'!$H$51+'Assumptions and Catalog'!$E$51+'Assumptions and Catalog'!$F$51,IF(((D667+E667)*C667-G667)&lt;='Assumptions and Catalog'!$C$52,((D667+E667)*C667-G667)*'Assumptions and Catalog'!$H$52+'Assumptions and Catalog'!$E$52+'Assumptions and Catalog'!$F$52,IF(((D667+E667)*C667-G667)&lt;='Assumptions and Catalog'!$C$53,((D667+E667)*C667-G667)*'Assumptions and Catalog'!$H$53+'Assumptions and Catalog'!$E$53+'Assumptions and Catalog'!$F$53,IF(((D667+E667)*C667-G667)&lt;='Assumptions and Catalog'!$C$54,((D667+E667)*C667-G667)*'Assumptions and Catalog'!$H$54+'Assumptions and Catalog'!$E$54+'Assumptions and Catalog'!$F$54,IF(((D667+E667)*C667-G667)&lt;='Assumptions and Catalog'!$C$55,((D667+E667)*C667-G667)*'Assumptions and Catalog'!$H$55+'Assumptions and Catalog'!$E$55+'Assumptions and Catalog'!$F$55,IF(((D667+E667)*C667-G667)&lt;='Assumptions and Catalog'!$C$56,((D667+E667)*C667-G667)*'Assumptions and Catalog'!$H$56+'Assumptions and Catalog'!$E$56+'Assumptions and Catalog'!$F$56,IF(((D667+E667)*C667-G667)&lt;='Assumptions and Catalog'!$C$57,((D667+E667)*C667-G667)*'Assumptions and Catalog'!$H$57+'Assumptions and Catalog'!$E$57+'Assumptions and Catalog'!$F$57,"Out of range")))))))),IF(((D667+E667)*C667-G667)&lt;='Assumptions and Catalog'!$C$60,((D667+E667)*C667-G667)*'Assumptions and Catalog'!$H$60+'Assumptions and Catalog'!$E$60+'Assumptions and Catalog'!$F$60,IF(((D667+E667)*C667-G667)&lt;='Assumptions and Catalog'!$C$61,((D667+E667)*C667-G667)*'Assumptions and Catalog'!$H$61+'Assumptions and Catalog'!$E$61+'Assumptions and Catalog'!$F$61,IF(((D667+E667)*C667-G667)&lt;='Assumptions and Catalog'!$C$62,((D667+E667)*C667-G667)*'Assumptions and Catalog'!$H$62+'Assumptions and Catalog'!$E$62+'Assumptions and Catalog'!$F$62,IF(((D667+E667)*C667-G667)&lt;='Assumptions and Catalog'!$C$63,((D667+E667)*C667-G667)*'Assumptions and Catalog'!$H$63+'Assumptions and Catalog'!$E$63+'Assumptions and Catalog'!$F$63,IF(((D667+E667)*C667-G667)&lt;='Assumptions and Catalog'!$C$64,((D667+E667)*C667-G667)*'Assumptions and Catalog'!$H$64+'Assumptions and Catalog'!$E$64+'Assumptions and Catalog'!$F$64,IF(((D667+E667)*C667-G667)&lt;='Assumptions and Catalog'!$C$65,((D667+E667)*C667-G667)*'Assumptions and Catalog'!$H$65+'Assumptions and Catalog'!$E$65+'Assumptions and Catalog'!$F$65,"Out of range")))))))))*(1+'Assumptions and Catalog'!$C$8)^(A667-1),0)</f>
        <v>3567.397</v>
      </c>
      <c r="R667" s="5" t="n">
        <f>IF(AND('Assumptions and Catalog'!$C$19&gt;0,A667&gt;='Assumptions and Catalog'!$C$19),A667-'Assumptions and Catalog'!$C$19,A667-1)</f>
        <v>0</v>
      </c>
      <c r="S667" s="5" t="n">
        <f>F667+L667-(D667+E667)*C667-J667-K667-IF(E$52&gt;0,'Assumptions and Catalog'!$C$26*C667,0)</f>
        <v>-2.8421709430404E-013</v>
      </c>
      <c r="T667" s="5"/>
      <c r="U667" s="5"/>
    </row>
    <row r="668" ht="23.100000381469727" customHeight="1">
      <c r="A668" s="5" t="n">
        <v>1</v>
      </c>
      <c r="B668" s="5" t="n">
        <v>8</v>
      </c>
      <c r="C668" s="5" t="n">
        <f>DAY(DATE('Assumptions and Catalog'!$C$24+A668-1,B668+1,0))</f>
        <v>31</v>
      </c>
      <c r="D668" s="5" t="n">
        <f>IF(ISNUMBER(Inputs!$L$5),Inputs!$L$5*Inputs!$L$6,0)</f>
        <v>40.35</v>
      </c>
      <c r="E668" s="5" t="n">
        <f>IF(ISNUMBER(Inputs!$L$5),Inputs!$L$5-D668,0)</f>
        <v>40.35</v>
      </c>
      <c r="F668" s="5" t="n">
        <f>E$51*INDEX('Solar Production'!$D$20:$D$31,B668)*C668*(1-'Assumptions and Catalog'!$C$10)^(A668-1)</f>
        <v>1834.8</v>
      </c>
      <c r="G668" s="5" t="n">
        <f>MIN(F668,D668*C668)</f>
        <v>1250.85</v>
      </c>
      <c r="H668" s="5" t="n">
        <f>I668/('Assumptions and Catalog'!$C$11*'Assumptions and Catalog'!$C$12)</f>
        <v>325.579487179487</v>
      </c>
      <c r="I668" s="5" t="n">
        <f>MIN(E668*C668,P668*'Assumptions and Catalog'!$C$12*C668,(F668-G668)*'Assumptions and Catalog'!$C$11*'Assumptions and Catalog'!$C$12,E$56*'Assumptions and Catalog'!$C$14*'Assumptions and Catalog'!$C$11*'Assumptions and Catalog'!$C$12*C668,E$57*(24-'Assumptions and Catalog'!$C$13)*C668)</f>
        <v>309.504</v>
      </c>
      <c r="J668" s="5" t="n">
        <f>MAX(F668-G668-H668,0)</f>
        <v>258.370512820513</v>
      </c>
      <c r="K668" s="5" t="n">
        <f>H668-I668</f>
        <v>16.0754871794872</v>
      </c>
      <c r="L668" s="5" t="n">
        <f>(D668+E668)*C668-G668-I668+0+IF(E$52&gt;0,'Assumptions and Catalog'!$C$26*C668,0)</f>
        <v>941.346</v>
      </c>
      <c r="M668" s="5" t="n">
        <f>IF(ISNUMBER(Inputs!$L$5),(IF(Inputs!$L$9="Actual flat rate",((D668+E668)*C668)*Inputs!$L$10,IF(Inputs!$C$9="Residential",IF(((D668+E668)*C668)&lt;='Assumptions and Catalog'!$C$50,((D668+E668)*C668)*'Assumptions and Catalog'!$H$50+'Assumptions and Catalog'!$E$50+'Assumptions and Catalog'!$F$50,IF(((D668+E668)*C668)&lt;='Assumptions and Catalog'!$C$51,((D668+E668)*C668)*'Assumptions and Catalog'!$H$51+'Assumptions and Catalog'!$E$51+'Assumptions and Catalog'!$F$51,IF(((D668+E668)*C668)&lt;='Assumptions and Catalog'!$C$52,((D668+E668)*C668)*'Assumptions and Catalog'!$H$52+'Assumptions and Catalog'!$E$52+'Assumptions and Catalog'!$F$52,IF(((D668+E668)*C668)&lt;='Assumptions and Catalog'!$C$53,((D668+E668)*C668)*'Assumptions and Catalog'!$H$53+'Assumptions and Catalog'!$E$53+'Assumptions and Catalog'!$F$53,IF(((D668+E668)*C668)&lt;='Assumptions and Catalog'!$C$54,((D668+E668)*C668)*'Assumptions and Catalog'!$H$54+'Assumptions and Catalog'!$E$54+'Assumptions and Catalog'!$F$54,IF(((D668+E668)*C668)&lt;='Assumptions and Catalog'!$C$55,((D668+E668)*C668)*'Assumptions and Catalog'!$H$55+'Assumptions and Catalog'!$E$55+'Assumptions and Catalog'!$F$55,IF(((D668+E668)*C668)&lt;='Assumptions and Catalog'!$C$56,((D668+E668)*C668)*'Assumptions and Catalog'!$H$56+'Assumptions and Catalog'!$E$56+'Assumptions and Catalog'!$F$56,IF(((D668+E668)*C668)&lt;='Assumptions and Catalog'!$C$57,((D668+E668)*C668)*'Assumptions and Catalog'!$H$57+'Assumptions and Catalog'!$E$57+'Assumptions and Catalog'!$F$57,"Out of range")))))))),IF(((D668+E668)*C668)&lt;='Assumptions and Catalog'!$C$60,((D668+E668)*C668)*'Assumptions and Catalog'!$H$60+'Assumptions and Catalog'!$E$60+'Assumptions and Catalog'!$F$60,IF(((D668+E668)*C668)&lt;='Assumptions and Catalog'!$C$61,((D668+E668)*C668)*'Assumptions and Catalog'!$H$61+'Assumptions and Catalog'!$E$61+'Assumptions and Catalog'!$F$61,IF(((D668+E668)*C668)&lt;='Assumptions and Catalog'!$C$62,((D668+E668)*C668)*'Assumptions and Catalog'!$H$62+'Assumptions and Catalog'!$E$62+'Assumptions and Catalog'!$F$62,IF(((D668+E668)*C668)&lt;='Assumptions and Catalog'!$C$63,((D668+E668)*C668)*'Assumptions and Catalog'!$H$63+'Assumptions and Catalog'!$E$63+'Assumptions and Catalog'!$F$63,IF(((D668+E668)*C668)&lt;='Assumptions and Catalog'!$C$64,((D668+E668)*C668)*'Assumptions and Catalog'!$H$64+'Assumptions and Catalog'!$E$64+'Assumptions and Catalog'!$F$64,IF(((D668+E668)*C668)&lt;='Assumptions and Catalog'!$C$65,((D668+E668)*C668)*'Assumptions and Catalog'!$H$65+'Assumptions and Catalog'!$E$65+'Assumptions and Catalog'!$F$65,"Out of range")))))))))*(1+'Assumptions and Catalog'!$C$8)^(A668-1),0)</f>
        <v>7094.794</v>
      </c>
      <c r="N668" s="5" t="n">
        <f>IF(ISNUMBER(Inputs!$L$5),(IF(Inputs!$L$9="Actual flat rate",L668*Inputs!$L$10,IF(Inputs!$C$9="Residential",IF(L668&lt;='Assumptions and Catalog'!$C$50,L668*'Assumptions and Catalog'!$H$50+'Assumptions and Catalog'!$E$50+'Assumptions and Catalog'!$F$50,IF(L668&lt;='Assumptions and Catalog'!$C$51,L668*'Assumptions and Catalog'!$H$51+'Assumptions and Catalog'!$E$51+'Assumptions and Catalog'!$F$51,IF(L668&lt;='Assumptions and Catalog'!$C$52,L668*'Assumptions and Catalog'!$H$52+'Assumptions and Catalog'!$E$52+'Assumptions and Catalog'!$F$52,IF(L668&lt;='Assumptions and Catalog'!$C$53,L668*'Assumptions and Catalog'!$H$53+'Assumptions and Catalog'!$E$53+'Assumptions and Catalog'!$F$53,IF(L668&lt;='Assumptions and Catalog'!$C$54,L668*'Assumptions and Catalog'!$H$54+'Assumptions and Catalog'!$E$54+'Assumptions and Catalog'!$F$54,IF(L668&lt;='Assumptions and Catalog'!$C$55,L668*'Assumptions and Catalog'!$H$55+'Assumptions and Catalog'!$E$55+'Assumptions and Catalog'!$F$55,IF(L668&lt;='Assumptions and Catalog'!$C$56,L668*'Assumptions and Catalog'!$H$56+'Assumptions and Catalog'!$E$56+'Assumptions and Catalog'!$F$56,IF(L668&lt;='Assumptions and Catalog'!$C$57,L668*'Assumptions and Catalog'!$H$57+'Assumptions and Catalog'!$E$57+'Assumptions and Catalog'!$F$57,"Out of range")))))))),IF(L668&lt;='Assumptions and Catalog'!$C$60,L668*'Assumptions and Catalog'!$H$60+'Assumptions and Catalog'!$E$60+'Assumptions and Catalog'!$F$60,IF(L668&lt;='Assumptions and Catalog'!$C$61,L668*'Assumptions and Catalog'!$H$61+'Assumptions and Catalog'!$E$61+'Assumptions and Catalog'!$F$61,IF(L668&lt;='Assumptions and Catalog'!$C$62,L668*'Assumptions and Catalog'!$H$62+'Assumptions and Catalog'!$E$62+'Assumptions and Catalog'!$F$62,IF(L668&lt;='Assumptions and Catalog'!$C$63,L668*'Assumptions and Catalog'!$H$63+'Assumptions and Catalog'!$E$63+'Assumptions and Catalog'!$F$63,IF(L668&lt;='Assumptions and Catalog'!$C$64,L668*'Assumptions and Catalog'!$H$64+'Assumptions and Catalog'!$E$64+'Assumptions and Catalog'!$F$64,IF(L668&lt;='Assumptions and Catalog'!$C$65,L668*'Assumptions and Catalog'!$H$65+'Assumptions and Catalog'!$E$65+'Assumptions and Catalog'!$F$65,"Out of range")))))))))*(1+'Assumptions and Catalog'!$C$8)^(A668-1),0)</f>
        <v>2572.52842</v>
      </c>
      <c r="O668" s="5" t="n">
        <f>M668-N668</f>
        <v>4522.26558</v>
      </c>
      <c r="P668" s="5" t="n">
        <f>E$55*(1-L$14)*(1-'Assumptions and Catalog'!$C$23)^R668</f>
        <v>10.24</v>
      </c>
      <c r="Q668" s="5" t="n">
        <f>IF(ISNUMBER(Inputs!$L$5),(IF(Inputs!$L$9="Actual flat rate",((D668+E668)*C668-G668)*Inputs!$L$10,IF(Inputs!$C$9="Residential",IF(((D668+E668)*C668-G668)&lt;='Assumptions and Catalog'!$C$50,((D668+E668)*C668-G668)*'Assumptions and Catalog'!$H$50+'Assumptions and Catalog'!$E$50+'Assumptions and Catalog'!$F$50,IF(((D668+E668)*C668-G668)&lt;='Assumptions and Catalog'!$C$51,((D668+E668)*C668-G668)*'Assumptions and Catalog'!$H$51+'Assumptions and Catalog'!$E$51+'Assumptions and Catalog'!$F$51,IF(((D668+E668)*C668-G668)&lt;='Assumptions and Catalog'!$C$52,((D668+E668)*C668-G668)*'Assumptions and Catalog'!$H$52+'Assumptions and Catalog'!$E$52+'Assumptions and Catalog'!$F$52,IF(((D668+E668)*C668-G668)&lt;='Assumptions and Catalog'!$C$53,((D668+E668)*C668-G668)*'Assumptions and Catalog'!$H$53+'Assumptions and Catalog'!$E$53+'Assumptions and Catalog'!$F$53,IF(((D668+E668)*C668-G668)&lt;='Assumptions and Catalog'!$C$54,((D668+E668)*C668-G668)*'Assumptions and Catalog'!$H$54+'Assumptions and Catalog'!$E$54+'Assumptions and Catalog'!$F$54,IF(((D668+E668)*C668-G668)&lt;='Assumptions and Catalog'!$C$55,((D668+E668)*C668-G668)*'Assumptions and Catalog'!$H$55+'Assumptions and Catalog'!$E$55+'Assumptions and Catalog'!$F$55,IF(((D668+E668)*C668-G668)&lt;='Assumptions and Catalog'!$C$56,((D668+E668)*C668-G668)*'Assumptions and Catalog'!$H$56+'Assumptions and Catalog'!$E$56+'Assumptions and Catalog'!$F$56,IF(((D668+E668)*C668-G668)&lt;='Assumptions and Catalog'!$C$57,((D668+E668)*C668-G668)*'Assumptions and Catalog'!$H$57+'Assumptions and Catalog'!$E$57+'Assumptions and Catalog'!$F$57,"Out of range")))))))),IF(((D668+E668)*C668-G668)&lt;='Assumptions and Catalog'!$C$60,((D668+E668)*C668-G668)*'Assumptions and Catalog'!$H$60+'Assumptions and Catalog'!$E$60+'Assumptions and Catalog'!$F$60,IF(((D668+E668)*C668-G668)&lt;='Assumptions and Catalog'!$C$61,((D668+E668)*C668-G668)*'Assumptions and Catalog'!$H$61+'Assumptions and Catalog'!$E$61+'Assumptions and Catalog'!$F$61,IF(((D668+E668)*C668-G668)&lt;='Assumptions and Catalog'!$C$62,((D668+E668)*C668-G668)*'Assumptions and Catalog'!$H$62+'Assumptions and Catalog'!$E$62+'Assumptions and Catalog'!$F$62,IF(((D668+E668)*C668-G668)&lt;='Assumptions and Catalog'!$C$63,((D668+E668)*C668-G668)*'Assumptions and Catalog'!$H$63+'Assumptions and Catalog'!$E$63+'Assumptions and Catalog'!$F$63,IF(((D668+E668)*C668-G668)&lt;='Assumptions and Catalog'!$C$64,((D668+E668)*C668-G668)*'Assumptions and Catalog'!$H$64+'Assumptions and Catalog'!$E$64+'Assumptions and Catalog'!$F$64,IF(((D668+E668)*C668-G668)&lt;='Assumptions and Catalog'!$C$65,((D668+E668)*C668-G668)*'Assumptions and Catalog'!$H$65+'Assumptions and Catalog'!$E$65+'Assumptions and Catalog'!$F$65,"Out of range")))))))))*(1+'Assumptions and Catalog'!$C$8)^(A668-1),0)</f>
        <v>3567.397</v>
      </c>
      <c r="R668" s="5" t="n">
        <f>IF(AND('Assumptions and Catalog'!$C$19&gt;0,A668&gt;='Assumptions and Catalog'!$C$19),A668-'Assumptions and Catalog'!$C$19,A668-1)</f>
        <v>0</v>
      </c>
      <c r="S668" s="5" t="n">
        <f>F668+L668-(D668+E668)*C668-J668-K668-IF(E$52&gt;0,'Assumptions and Catalog'!$C$26*C668,0)</f>
        <v>-2.8421709430404E-013</v>
      </c>
      <c r="T668" s="5"/>
      <c r="U668" s="5"/>
    </row>
    <row r="669" ht="23.100000381469727" customHeight="1">
      <c r="A669" s="5" t="n">
        <v>1</v>
      </c>
      <c r="B669" s="5" t="n">
        <v>9</v>
      </c>
      <c r="C669" s="5" t="n">
        <f>DAY(DATE('Assumptions and Catalog'!$C$24+A669-1,B669+1,0))</f>
        <v>30</v>
      </c>
      <c r="D669" s="5" t="n">
        <f>IF(ISNUMBER(Inputs!$L$5),Inputs!$L$5*Inputs!$L$6,0)</f>
        <v>40.35</v>
      </c>
      <c r="E669" s="5" t="n">
        <f>IF(ISNUMBER(Inputs!$L$5),Inputs!$L$5-D669,0)</f>
        <v>40.35</v>
      </c>
      <c r="F669" s="5" t="n">
        <f>E$51*INDEX('Solar Production'!$D$20:$D$31,B669)*C669*(1-'Assumptions and Catalog'!$C$10)^(A669-1)</f>
        <v>1771</v>
      </c>
      <c r="G669" s="5" t="n">
        <f>MIN(F669,D669*C669)</f>
        <v>1210.5</v>
      </c>
      <c r="H669" s="5" t="n">
        <f>I669/('Assumptions and Catalog'!$C$11*'Assumptions and Catalog'!$C$12)</f>
        <v>315.076923076923</v>
      </c>
      <c r="I669" s="5" t="n">
        <f>MIN(E669*C669,P669*'Assumptions and Catalog'!$C$12*C669,(F669-G669)*'Assumptions and Catalog'!$C$11*'Assumptions and Catalog'!$C$12,E$56*'Assumptions and Catalog'!$C$14*'Assumptions and Catalog'!$C$11*'Assumptions and Catalog'!$C$12*C669,E$57*(24-'Assumptions and Catalog'!$C$13)*C669)</f>
        <v>299.52</v>
      </c>
      <c r="J669" s="5" t="n">
        <f>MAX(F669-G669-H669,0)</f>
        <v>245.423076923077</v>
      </c>
      <c r="K669" s="5" t="n">
        <f>H669-I669</f>
        <v>15.5569230769231</v>
      </c>
      <c r="L669" s="5" t="n">
        <f>(D669+E669)*C669-G669-I669+0+IF(E$52&gt;0,'Assumptions and Catalog'!$C$26*C669,0)</f>
        <v>910.98</v>
      </c>
      <c r="M669" s="5" t="n">
        <f>IF(ISNUMBER(Inputs!$L$5),(IF(Inputs!$L$9="Actual flat rate",((D669+E669)*C669)*Inputs!$L$10,IF(Inputs!$C$9="Residential",IF(((D669+E669)*C669)&lt;='Assumptions and Catalog'!$C$50,((D669+E669)*C669)*'Assumptions and Catalog'!$H$50+'Assumptions and Catalog'!$E$50+'Assumptions and Catalog'!$F$50,IF(((D669+E669)*C669)&lt;='Assumptions and Catalog'!$C$51,((D669+E669)*C669)*'Assumptions and Catalog'!$H$51+'Assumptions and Catalog'!$E$51+'Assumptions and Catalog'!$F$51,IF(((D669+E669)*C669)&lt;='Assumptions and Catalog'!$C$52,((D669+E669)*C669)*'Assumptions and Catalog'!$H$52+'Assumptions and Catalog'!$E$52+'Assumptions and Catalog'!$F$52,IF(((D669+E669)*C669)&lt;='Assumptions and Catalog'!$C$53,((D669+E669)*C669)*'Assumptions and Catalog'!$H$53+'Assumptions and Catalog'!$E$53+'Assumptions and Catalog'!$F$53,IF(((D669+E669)*C669)&lt;='Assumptions and Catalog'!$C$54,((D669+E669)*C669)*'Assumptions and Catalog'!$H$54+'Assumptions and Catalog'!$E$54+'Assumptions and Catalog'!$F$54,IF(((D669+E669)*C669)&lt;='Assumptions and Catalog'!$C$55,((D669+E669)*C669)*'Assumptions and Catalog'!$H$55+'Assumptions and Catalog'!$E$55+'Assumptions and Catalog'!$F$55,IF(((D669+E669)*C669)&lt;='Assumptions and Catalog'!$C$56,((D669+E669)*C669)*'Assumptions and Catalog'!$H$56+'Assumptions and Catalog'!$E$56+'Assumptions and Catalog'!$F$56,IF(((D669+E669)*C669)&lt;='Assumptions and Catalog'!$C$57,((D669+E669)*C669)*'Assumptions and Catalog'!$H$57+'Assumptions and Catalog'!$E$57+'Assumptions and Catalog'!$F$57,"Out of range")))))))),IF(((D669+E669)*C669)&lt;='Assumptions and Catalog'!$C$60,((D669+E669)*C669)*'Assumptions and Catalog'!$H$60+'Assumptions and Catalog'!$E$60+'Assumptions and Catalog'!$F$60,IF(((D669+E669)*C669)&lt;='Assumptions and Catalog'!$C$61,((D669+E669)*C669)*'Assumptions and Catalog'!$H$61+'Assumptions and Catalog'!$E$61+'Assumptions and Catalog'!$F$61,IF(((D669+E669)*C669)&lt;='Assumptions and Catalog'!$C$62,((D669+E669)*C669)*'Assumptions and Catalog'!$H$62+'Assumptions and Catalog'!$E$62+'Assumptions and Catalog'!$F$62,IF(((D669+E669)*C669)&lt;='Assumptions and Catalog'!$C$63,((D669+E669)*C669)*'Assumptions and Catalog'!$H$63+'Assumptions and Catalog'!$E$63+'Assumptions and Catalog'!$F$63,IF(((D669+E669)*C669)&lt;='Assumptions and Catalog'!$C$64,((D669+E669)*C669)*'Assumptions and Catalog'!$H$64+'Assumptions and Catalog'!$E$64+'Assumptions and Catalog'!$F$64,IF(((D669+E669)*C669)&lt;='Assumptions and Catalog'!$C$65,((D669+E669)*C669)*'Assumptions and Catalog'!$H$65+'Assumptions and Catalog'!$E$65+'Assumptions and Catalog'!$F$65,"Out of range")))))))))*(1+'Assumptions and Catalog'!$C$8)^(A669-1),0)</f>
        <v>6867.22</v>
      </c>
      <c r="N669" s="5" t="n">
        <f>IF(ISNUMBER(Inputs!$L$5),(IF(Inputs!$L$9="Actual flat rate",L669*Inputs!$L$10,IF(Inputs!$C$9="Residential",IF(L669&lt;='Assumptions and Catalog'!$C$50,L669*'Assumptions and Catalog'!$H$50+'Assumptions and Catalog'!$E$50+'Assumptions and Catalog'!$F$50,IF(L669&lt;='Assumptions and Catalog'!$C$51,L669*'Assumptions and Catalog'!$H$51+'Assumptions and Catalog'!$E$51+'Assumptions and Catalog'!$F$51,IF(L669&lt;='Assumptions and Catalog'!$C$52,L669*'Assumptions and Catalog'!$H$52+'Assumptions and Catalog'!$E$52+'Assumptions and Catalog'!$F$52,IF(L669&lt;='Assumptions and Catalog'!$C$53,L669*'Assumptions and Catalog'!$H$53+'Assumptions and Catalog'!$E$53+'Assumptions and Catalog'!$F$53,IF(L669&lt;='Assumptions and Catalog'!$C$54,L669*'Assumptions and Catalog'!$H$54+'Assumptions and Catalog'!$E$54+'Assumptions and Catalog'!$F$54,IF(L669&lt;='Assumptions and Catalog'!$C$55,L669*'Assumptions and Catalog'!$H$55+'Assumptions and Catalog'!$E$55+'Assumptions and Catalog'!$F$55,IF(L669&lt;='Assumptions and Catalog'!$C$56,L669*'Assumptions and Catalog'!$H$56+'Assumptions and Catalog'!$E$56+'Assumptions and Catalog'!$F$56,IF(L669&lt;='Assumptions and Catalog'!$C$57,L669*'Assumptions and Catalog'!$H$57+'Assumptions and Catalog'!$E$57+'Assumptions and Catalog'!$F$57,"Out of range")))))))),IF(L669&lt;='Assumptions and Catalog'!$C$60,L669*'Assumptions and Catalog'!$H$60+'Assumptions and Catalog'!$E$60+'Assumptions and Catalog'!$F$60,IF(L669&lt;='Assumptions and Catalog'!$C$61,L669*'Assumptions and Catalog'!$H$61+'Assumptions and Catalog'!$E$61+'Assumptions and Catalog'!$F$61,IF(L669&lt;='Assumptions and Catalog'!$C$62,L669*'Assumptions and Catalog'!$H$62+'Assumptions and Catalog'!$E$62+'Assumptions and Catalog'!$F$62,IF(L669&lt;='Assumptions and Catalog'!$C$63,L669*'Assumptions and Catalog'!$H$63+'Assumptions and Catalog'!$E$63+'Assumptions and Catalog'!$F$63,IF(L669&lt;='Assumptions and Catalog'!$C$64,L669*'Assumptions and Catalog'!$H$64+'Assumptions and Catalog'!$E$64+'Assumptions and Catalog'!$F$64,IF(L669&lt;='Assumptions and Catalog'!$C$65,L669*'Assumptions and Catalog'!$H$65+'Assumptions and Catalog'!$E$65+'Assumptions and Catalog'!$F$65,"Out of range")))))))))*(1+'Assumptions and Catalog'!$C$8)^(A669-1),0)</f>
        <v>2488.4146</v>
      </c>
      <c r="O669" s="5" t="n">
        <f>M669-N669</f>
        <v>4378.8054</v>
      </c>
      <c r="P669" s="5" t="n">
        <f>E$55*(1-L$14)*(1-'Assumptions and Catalog'!$C$23)^R669</f>
        <v>10.24</v>
      </c>
      <c r="Q669" s="5" t="n">
        <f>IF(ISNUMBER(Inputs!$L$5),(IF(Inputs!$L$9="Actual flat rate",((D669+E669)*C669-G669)*Inputs!$L$10,IF(Inputs!$C$9="Residential",IF(((D669+E669)*C669-G669)&lt;='Assumptions and Catalog'!$C$50,((D669+E669)*C669-G669)*'Assumptions and Catalog'!$H$50+'Assumptions and Catalog'!$E$50+'Assumptions and Catalog'!$F$50,IF(((D669+E669)*C669-G669)&lt;='Assumptions and Catalog'!$C$51,((D669+E669)*C669-G669)*'Assumptions and Catalog'!$H$51+'Assumptions and Catalog'!$E$51+'Assumptions and Catalog'!$F$51,IF(((D669+E669)*C669-G669)&lt;='Assumptions and Catalog'!$C$52,((D669+E669)*C669-G669)*'Assumptions and Catalog'!$H$52+'Assumptions and Catalog'!$E$52+'Assumptions and Catalog'!$F$52,IF(((D669+E669)*C669-G669)&lt;='Assumptions and Catalog'!$C$53,((D669+E669)*C669-G669)*'Assumptions and Catalog'!$H$53+'Assumptions and Catalog'!$E$53+'Assumptions and Catalog'!$F$53,IF(((D669+E669)*C669-G669)&lt;='Assumptions and Catalog'!$C$54,((D669+E669)*C669-G669)*'Assumptions and Catalog'!$H$54+'Assumptions and Catalog'!$E$54+'Assumptions and Catalog'!$F$54,IF(((D669+E669)*C669-G669)&lt;='Assumptions and Catalog'!$C$55,((D669+E669)*C669-G669)*'Assumptions and Catalog'!$H$55+'Assumptions and Catalog'!$E$55+'Assumptions and Catalog'!$F$55,IF(((D669+E669)*C669-G669)&lt;='Assumptions and Catalog'!$C$56,((D669+E669)*C669-G669)*'Assumptions and Catalog'!$H$56+'Assumptions and Catalog'!$E$56+'Assumptions and Catalog'!$F$56,IF(((D669+E669)*C669-G669)&lt;='Assumptions and Catalog'!$C$57,((D669+E669)*C669-G669)*'Assumptions and Catalog'!$H$57+'Assumptions and Catalog'!$E$57+'Assumptions and Catalog'!$F$57,"Out of range")))))))),IF(((D669+E669)*C669-G669)&lt;='Assumptions and Catalog'!$C$60,((D669+E669)*C669-G669)*'Assumptions and Catalog'!$H$60+'Assumptions and Catalog'!$E$60+'Assumptions and Catalog'!$F$60,IF(((D669+E669)*C669-G669)&lt;='Assumptions and Catalog'!$C$61,((D669+E669)*C669-G669)*'Assumptions and Catalog'!$H$61+'Assumptions and Catalog'!$E$61+'Assumptions and Catalog'!$F$61,IF(((D669+E669)*C669-G669)&lt;='Assumptions and Catalog'!$C$62,((D669+E669)*C669-G669)*'Assumptions and Catalog'!$H$62+'Assumptions and Catalog'!$E$62+'Assumptions and Catalog'!$F$62,IF(((D669+E669)*C669-G669)&lt;='Assumptions and Catalog'!$C$63,((D669+E669)*C669-G669)*'Assumptions and Catalog'!$H$63+'Assumptions and Catalog'!$E$63+'Assumptions and Catalog'!$F$63,IF(((D669+E669)*C669-G669)&lt;='Assumptions and Catalog'!$C$64,((D669+E669)*C669-G669)*'Assumptions and Catalog'!$H$64+'Assumptions and Catalog'!$E$64+'Assumptions and Catalog'!$F$64,IF(((D669+E669)*C669-G669)&lt;='Assumptions and Catalog'!$C$65,((D669+E669)*C669-G669)*'Assumptions and Catalog'!$H$65+'Assumptions and Catalog'!$E$65+'Assumptions and Catalog'!$F$65,"Out of range")))))))))*(1+'Assumptions and Catalog'!$C$8)^(A669-1),0)</f>
        <v>3453.61</v>
      </c>
      <c r="R669" s="5" t="n">
        <f>IF(AND('Assumptions and Catalog'!$C$19&gt;0,A669&gt;='Assumptions and Catalog'!$C$19),A669-'Assumptions and Catalog'!$C$19,A669-1)</f>
        <v>0</v>
      </c>
      <c r="S669" s="5" t="n">
        <f>F669+L669-(D669+E669)*C669-J669-K669-IF(E$52&gt;0,'Assumptions and Catalog'!$C$26*C669,0)</f>
        <v>5.6843418860808E-014</v>
      </c>
      <c r="T669" s="5"/>
      <c r="U669" s="5"/>
    </row>
    <row r="670" ht="23.100000381469727" customHeight="1">
      <c r="A670" s="5" t="n">
        <v>1</v>
      </c>
      <c r="B670" s="5" t="n">
        <v>10</v>
      </c>
      <c r="C670" s="5" t="n">
        <f>DAY(DATE('Assumptions and Catalog'!$C$24+A670-1,B670+1,0))</f>
        <v>31</v>
      </c>
      <c r="D670" s="5" t="n">
        <f>IF(ISNUMBER(Inputs!$L$5),Inputs!$L$5*Inputs!$L$6,0)</f>
        <v>40.35</v>
      </c>
      <c r="E670" s="5" t="n">
        <f>IF(ISNUMBER(Inputs!$L$5),Inputs!$L$5-D670,0)</f>
        <v>40.35</v>
      </c>
      <c r="F670" s="5" t="n">
        <f>E$51*INDEX('Solar Production'!$D$20:$D$31,B670)*C670*(1-'Assumptions and Catalog'!$C$10)^(A670-1)</f>
        <v>1699.83</v>
      </c>
      <c r="G670" s="5" t="n">
        <f>MIN(F670,D670*C670)</f>
        <v>1250.85</v>
      </c>
      <c r="H670" s="5" t="n">
        <f>I670/('Assumptions and Catalog'!$C$11*'Assumptions and Catalog'!$C$12)</f>
        <v>325.579487179487</v>
      </c>
      <c r="I670" s="5" t="n">
        <f>MIN(E670*C670,P670*'Assumptions and Catalog'!$C$12*C670,(F670-G670)*'Assumptions and Catalog'!$C$11*'Assumptions and Catalog'!$C$12,E$56*'Assumptions and Catalog'!$C$14*'Assumptions and Catalog'!$C$11*'Assumptions and Catalog'!$C$12*C670,E$57*(24-'Assumptions and Catalog'!$C$13)*C670)</f>
        <v>309.504</v>
      </c>
      <c r="J670" s="5" t="n">
        <f>MAX(F670-G670-H670,0)</f>
        <v>123.400512820513</v>
      </c>
      <c r="K670" s="5" t="n">
        <f>H670-I670</f>
        <v>16.0754871794872</v>
      </c>
      <c r="L670" s="5" t="n">
        <f>(D670+E670)*C670-G670-I670+0+IF(E$52&gt;0,'Assumptions and Catalog'!$C$26*C670,0)</f>
        <v>941.346</v>
      </c>
      <c r="M670" s="5" t="n">
        <f>IF(ISNUMBER(Inputs!$L$5),(IF(Inputs!$L$9="Actual flat rate",((D670+E670)*C670)*Inputs!$L$10,IF(Inputs!$C$9="Residential",IF(((D670+E670)*C670)&lt;='Assumptions and Catalog'!$C$50,((D670+E670)*C670)*'Assumptions and Catalog'!$H$50+'Assumptions and Catalog'!$E$50+'Assumptions and Catalog'!$F$50,IF(((D670+E670)*C670)&lt;='Assumptions and Catalog'!$C$51,((D670+E670)*C670)*'Assumptions and Catalog'!$H$51+'Assumptions and Catalog'!$E$51+'Assumptions and Catalog'!$F$51,IF(((D670+E670)*C670)&lt;='Assumptions and Catalog'!$C$52,((D670+E670)*C670)*'Assumptions and Catalog'!$H$52+'Assumptions and Catalog'!$E$52+'Assumptions and Catalog'!$F$52,IF(((D670+E670)*C670)&lt;='Assumptions and Catalog'!$C$53,((D670+E670)*C670)*'Assumptions and Catalog'!$H$53+'Assumptions and Catalog'!$E$53+'Assumptions and Catalog'!$F$53,IF(((D670+E670)*C670)&lt;='Assumptions and Catalog'!$C$54,((D670+E670)*C670)*'Assumptions and Catalog'!$H$54+'Assumptions and Catalog'!$E$54+'Assumptions and Catalog'!$F$54,IF(((D670+E670)*C670)&lt;='Assumptions and Catalog'!$C$55,((D670+E670)*C670)*'Assumptions and Catalog'!$H$55+'Assumptions and Catalog'!$E$55+'Assumptions and Catalog'!$F$55,IF(((D670+E670)*C670)&lt;='Assumptions and Catalog'!$C$56,((D670+E670)*C670)*'Assumptions and Catalog'!$H$56+'Assumptions and Catalog'!$E$56+'Assumptions and Catalog'!$F$56,IF(((D670+E670)*C670)&lt;='Assumptions and Catalog'!$C$57,((D670+E670)*C670)*'Assumptions and Catalog'!$H$57+'Assumptions and Catalog'!$E$57+'Assumptions and Catalog'!$F$57,"Out of range")))))))),IF(((D670+E670)*C670)&lt;='Assumptions and Catalog'!$C$60,((D670+E670)*C670)*'Assumptions and Catalog'!$H$60+'Assumptions and Catalog'!$E$60+'Assumptions and Catalog'!$F$60,IF(((D670+E670)*C670)&lt;='Assumptions and Catalog'!$C$61,((D670+E670)*C670)*'Assumptions and Catalog'!$H$61+'Assumptions and Catalog'!$E$61+'Assumptions and Catalog'!$F$61,IF(((D670+E670)*C670)&lt;='Assumptions and Catalog'!$C$62,((D670+E670)*C670)*'Assumptions and Catalog'!$H$62+'Assumptions and Catalog'!$E$62+'Assumptions and Catalog'!$F$62,IF(((D670+E670)*C670)&lt;='Assumptions and Catalog'!$C$63,((D670+E670)*C670)*'Assumptions and Catalog'!$H$63+'Assumptions and Catalog'!$E$63+'Assumptions and Catalog'!$F$63,IF(((D670+E670)*C670)&lt;='Assumptions and Catalog'!$C$64,((D670+E670)*C670)*'Assumptions and Catalog'!$H$64+'Assumptions and Catalog'!$E$64+'Assumptions and Catalog'!$F$64,IF(((D670+E670)*C670)&lt;='Assumptions and Catalog'!$C$65,((D670+E670)*C670)*'Assumptions and Catalog'!$H$65+'Assumptions and Catalog'!$E$65+'Assumptions and Catalog'!$F$65,"Out of range")))))))))*(1+'Assumptions and Catalog'!$C$8)^(A670-1),0)</f>
        <v>7094.794</v>
      </c>
      <c r="N670" s="5" t="n">
        <f>IF(ISNUMBER(Inputs!$L$5),(IF(Inputs!$L$9="Actual flat rate",L670*Inputs!$L$10,IF(Inputs!$C$9="Residential",IF(L670&lt;='Assumptions and Catalog'!$C$50,L670*'Assumptions and Catalog'!$H$50+'Assumptions and Catalog'!$E$50+'Assumptions and Catalog'!$F$50,IF(L670&lt;='Assumptions and Catalog'!$C$51,L670*'Assumptions and Catalog'!$H$51+'Assumptions and Catalog'!$E$51+'Assumptions and Catalog'!$F$51,IF(L670&lt;='Assumptions and Catalog'!$C$52,L670*'Assumptions and Catalog'!$H$52+'Assumptions and Catalog'!$E$52+'Assumptions and Catalog'!$F$52,IF(L670&lt;='Assumptions and Catalog'!$C$53,L670*'Assumptions and Catalog'!$H$53+'Assumptions and Catalog'!$E$53+'Assumptions and Catalog'!$F$53,IF(L670&lt;='Assumptions and Catalog'!$C$54,L670*'Assumptions and Catalog'!$H$54+'Assumptions and Catalog'!$E$54+'Assumptions and Catalog'!$F$54,IF(L670&lt;='Assumptions and Catalog'!$C$55,L670*'Assumptions and Catalog'!$H$55+'Assumptions and Catalog'!$E$55+'Assumptions and Catalog'!$F$55,IF(L670&lt;='Assumptions and Catalog'!$C$56,L670*'Assumptions and Catalog'!$H$56+'Assumptions and Catalog'!$E$56+'Assumptions and Catalog'!$F$56,IF(L670&lt;='Assumptions and Catalog'!$C$57,L670*'Assumptions and Catalog'!$H$57+'Assumptions and Catalog'!$E$57+'Assumptions and Catalog'!$F$57,"Out of range")))))))),IF(L670&lt;='Assumptions and Catalog'!$C$60,L670*'Assumptions and Catalog'!$H$60+'Assumptions and Catalog'!$E$60+'Assumptions and Catalog'!$F$60,IF(L670&lt;='Assumptions and Catalog'!$C$61,L670*'Assumptions and Catalog'!$H$61+'Assumptions and Catalog'!$E$61+'Assumptions and Catalog'!$F$61,IF(L670&lt;='Assumptions and Catalog'!$C$62,L670*'Assumptions and Catalog'!$H$62+'Assumptions and Catalog'!$E$62+'Assumptions and Catalog'!$F$62,IF(L670&lt;='Assumptions and Catalog'!$C$63,L670*'Assumptions and Catalog'!$H$63+'Assumptions and Catalog'!$E$63+'Assumptions and Catalog'!$F$63,IF(L670&lt;='Assumptions and Catalog'!$C$64,L670*'Assumptions and Catalog'!$H$64+'Assumptions and Catalog'!$E$64+'Assumptions and Catalog'!$F$64,IF(L670&lt;='Assumptions and Catalog'!$C$65,L670*'Assumptions and Catalog'!$H$65+'Assumptions and Catalog'!$E$65+'Assumptions and Catalog'!$F$65,"Out of range")))))))))*(1+'Assumptions and Catalog'!$C$8)^(A670-1),0)</f>
        <v>2572.52842</v>
      </c>
      <c r="O670" s="5" t="n">
        <f>M670-N670</f>
        <v>4522.26558</v>
      </c>
      <c r="P670" s="5" t="n">
        <f>E$55*(1-L$14)*(1-'Assumptions and Catalog'!$C$23)^R670</f>
        <v>10.24</v>
      </c>
      <c r="Q670" s="5" t="n">
        <f>IF(ISNUMBER(Inputs!$L$5),(IF(Inputs!$L$9="Actual flat rate",((D670+E670)*C670-G670)*Inputs!$L$10,IF(Inputs!$C$9="Residential",IF(((D670+E670)*C670-G670)&lt;='Assumptions and Catalog'!$C$50,((D670+E670)*C670-G670)*'Assumptions and Catalog'!$H$50+'Assumptions and Catalog'!$E$50+'Assumptions and Catalog'!$F$50,IF(((D670+E670)*C670-G670)&lt;='Assumptions and Catalog'!$C$51,((D670+E670)*C670-G670)*'Assumptions and Catalog'!$H$51+'Assumptions and Catalog'!$E$51+'Assumptions and Catalog'!$F$51,IF(((D670+E670)*C670-G670)&lt;='Assumptions and Catalog'!$C$52,((D670+E670)*C670-G670)*'Assumptions and Catalog'!$H$52+'Assumptions and Catalog'!$E$52+'Assumptions and Catalog'!$F$52,IF(((D670+E670)*C670-G670)&lt;='Assumptions and Catalog'!$C$53,((D670+E670)*C670-G670)*'Assumptions and Catalog'!$H$53+'Assumptions and Catalog'!$E$53+'Assumptions and Catalog'!$F$53,IF(((D670+E670)*C670-G670)&lt;='Assumptions and Catalog'!$C$54,((D670+E670)*C670-G670)*'Assumptions and Catalog'!$H$54+'Assumptions and Catalog'!$E$54+'Assumptions and Catalog'!$F$54,IF(((D670+E670)*C670-G670)&lt;='Assumptions and Catalog'!$C$55,((D670+E670)*C670-G670)*'Assumptions and Catalog'!$H$55+'Assumptions and Catalog'!$E$55+'Assumptions and Catalog'!$F$55,IF(((D670+E670)*C670-G670)&lt;='Assumptions and Catalog'!$C$56,((D670+E670)*C670-G670)*'Assumptions and Catalog'!$H$56+'Assumptions and Catalog'!$E$56+'Assumptions and Catalog'!$F$56,IF(((D670+E670)*C670-G670)&lt;='Assumptions and Catalog'!$C$57,((D670+E670)*C670-G670)*'Assumptions and Catalog'!$H$57+'Assumptions and Catalog'!$E$57+'Assumptions and Catalog'!$F$57,"Out of range")))))))),IF(((D670+E670)*C670-G670)&lt;='Assumptions and Catalog'!$C$60,((D670+E670)*C670-G670)*'Assumptions and Catalog'!$H$60+'Assumptions and Catalog'!$E$60+'Assumptions and Catalog'!$F$60,IF(((D670+E670)*C670-G670)&lt;='Assumptions and Catalog'!$C$61,((D670+E670)*C670-G670)*'Assumptions and Catalog'!$H$61+'Assumptions and Catalog'!$E$61+'Assumptions and Catalog'!$F$61,IF(((D670+E670)*C670-G670)&lt;='Assumptions and Catalog'!$C$62,((D670+E670)*C670-G670)*'Assumptions and Catalog'!$H$62+'Assumptions and Catalog'!$E$62+'Assumptions and Catalog'!$F$62,IF(((D670+E670)*C670-G670)&lt;='Assumptions and Catalog'!$C$63,((D670+E670)*C670-G670)*'Assumptions and Catalog'!$H$63+'Assumptions and Catalog'!$E$63+'Assumptions and Catalog'!$F$63,IF(((D670+E670)*C670-G670)&lt;='Assumptions and Catalog'!$C$64,((D670+E670)*C670-G670)*'Assumptions and Catalog'!$H$64+'Assumptions and Catalog'!$E$64+'Assumptions and Catalog'!$F$64,IF(((D670+E670)*C670-G670)&lt;='Assumptions and Catalog'!$C$65,((D670+E670)*C670-G670)*'Assumptions and Catalog'!$H$65+'Assumptions and Catalog'!$E$65+'Assumptions and Catalog'!$F$65,"Out of range")))))))))*(1+'Assumptions and Catalog'!$C$8)^(A670-1),0)</f>
        <v>3567.397</v>
      </c>
      <c r="R670" s="5" t="n">
        <f>IF(AND('Assumptions and Catalog'!$C$19&gt;0,A670&gt;='Assumptions and Catalog'!$C$19),A670-'Assumptions and Catalog'!$C$19,A670-1)</f>
        <v>0</v>
      </c>
      <c r="S670" s="5" t="n">
        <f>F670+L670-(D670+E670)*C670-J670-K670-IF(E$52&gt;0,'Assumptions and Catalog'!$C$26*C670,0)</f>
        <v>1.70530256582424E-013</v>
      </c>
      <c r="T670" s="5"/>
      <c r="U670" s="5"/>
    </row>
    <row r="671" ht="23.100000381469727" customHeight="1">
      <c r="A671" s="5" t="n">
        <v>1</v>
      </c>
      <c r="B671" s="5" t="n">
        <v>11</v>
      </c>
      <c r="C671" s="5" t="n">
        <f>DAY(DATE('Assumptions and Catalog'!$C$24+A671-1,B671+1,0))</f>
        <v>30</v>
      </c>
      <c r="D671" s="5" t="n">
        <f>IF(ISNUMBER(Inputs!$L$5),Inputs!$L$5*Inputs!$L$6,0)</f>
        <v>40.35</v>
      </c>
      <c r="E671" s="5" t="n">
        <f>IF(ISNUMBER(Inputs!$L$5),Inputs!$L$5-D671,0)</f>
        <v>40.35</v>
      </c>
      <c r="F671" s="5" t="n">
        <f>E$51*INDEX('Solar Production'!$D$20:$D$31,B671)*C671*(1-'Assumptions and Catalog'!$C$10)^(A671-1)</f>
        <v>1506.67</v>
      </c>
      <c r="G671" s="5" t="n">
        <f>MIN(F671,D671*C671)</f>
        <v>1210.5</v>
      </c>
      <c r="H671" s="5" t="n">
        <f>I671/('Assumptions and Catalog'!$C$11*'Assumptions and Catalog'!$C$12)</f>
        <v>296.17</v>
      </c>
      <c r="I671" s="5" t="n">
        <f>MIN(E671*C671,P671*'Assumptions and Catalog'!$C$12*C671,(F671-G671)*'Assumptions and Catalog'!$C$11*'Assumptions and Catalog'!$C$12,E$56*'Assumptions and Catalog'!$C$14*'Assumptions and Catalog'!$C$11*'Assumptions and Catalog'!$C$12*C671,E$57*(24-'Assumptions and Catalog'!$C$13)*C671)</f>
        <v>281.54660625</v>
      </c>
      <c r="J671" s="5" t="n">
        <f>MAX(F671-G671-H671,0)</f>
        <v>0</v>
      </c>
      <c r="K671" s="5" t="n">
        <f>H671-I671</f>
        <v>14.62339375</v>
      </c>
      <c r="L671" s="5" t="n">
        <f>(D671+E671)*C671-G671-I671+0+IF(E$52&gt;0,'Assumptions and Catalog'!$C$26*C671,0)</f>
        <v>928.95339375</v>
      </c>
      <c r="M671" s="5" t="n">
        <f>IF(ISNUMBER(Inputs!$L$5),(IF(Inputs!$L$9="Actual flat rate",((D671+E671)*C671)*Inputs!$L$10,IF(Inputs!$C$9="Residential",IF(((D671+E671)*C671)&lt;='Assumptions and Catalog'!$C$50,((D671+E671)*C671)*'Assumptions and Catalog'!$H$50+'Assumptions and Catalog'!$E$50+'Assumptions and Catalog'!$F$50,IF(((D671+E671)*C671)&lt;='Assumptions and Catalog'!$C$51,((D671+E671)*C671)*'Assumptions and Catalog'!$H$51+'Assumptions and Catalog'!$E$51+'Assumptions and Catalog'!$F$51,IF(((D671+E671)*C671)&lt;='Assumptions and Catalog'!$C$52,((D671+E671)*C671)*'Assumptions and Catalog'!$H$52+'Assumptions and Catalog'!$E$52+'Assumptions and Catalog'!$F$52,IF(((D671+E671)*C671)&lt;='Assumptions and Catalog'!$C$53,((D671+E671)*C671)*'Assumptions and Catalog'!$H$53+'Assumptions and Catalog'!$E$53+'Assumptions and Catalog'!$F$53,IF(((D671+E671)*C671)&lt;='Assumptions and Catalog'!$C$54,((D671+E671)*C671)*'Assumptions and Catalog'!$H$54+'Assumptions and Catalog'!$E$54+'Assumptions and Catalog'!$F$54,IF(((D671+E671)*C671)&lt;='Assumptions and Catalog'!$C$55,((D671+E671)*C671)*'Assumptions and Catalog'!$H$55+'Assumptions and Catalog'!$E$55+'Assumptions and Catalog'!$F$55,IF(((D671+E671)*C671)&lt;='Assumptions and Catalog'!$C$56,((D671+E671)*C671)*'Assumptions and Catalog'!$H$56+'Assumptions and Catalog'!$E$56+'Assumptions and Catalog'!$F$56,IF(((D671+E671)*C671)&lt;='Assumptions and Catalog'!$C$57,((D671+E671)*C671)*'Assumptions and Catalog'!$H$57+'Assumptions and Catalog'!$E$57+'Assumptions and Catalog'!$F$57,"Out of range")))))))),IF(((D671+E671)*C671)&lt;='Assumptions and Catalog'!$C$60,((D671+E671)*C671)*'Assumptions and Catalog'!$H$60+'Assumptions and Catalog'!$E$60+'Assumptions and Catalog'!$F$60,IF(((D671+E671)*C671)&lt;='Assumptions and Catalog'!$C$61,((D671+E671)*C671)*'Assumptions and Catalog'!$H$61+'Assumptions and Catalog'!$E$61+'Assumptions and Catalog'!$F$61,IF(((D671+E671)*C671)&lt;='Assumptions and Catalog'!$C$62,((D671+E671)*C671)*'Assumptions and Catalog'!$H$62+'Assumptions and Catalog'!$E$62+'Assumptions and Catalog'!$F$62,IF(((D671+E671)*C671)&lt;='Assumptions and Catalog'!$C$63,((D671+E671)*C671)*'Assumptions and Catalog'!$H$63+'Assumptions and Catalog'!$E$63+'Assumptions and Catalog'!$F$63,IF(((D671+E671)*C671)&lt;='Assumptions and Catalog'!$C$64,((D671+E671)*C671)*'Assumptions and Catalog'!$H$64+'Assumptions and Catalog'!$E$64+'Assumptions and Catalog'!$F$64,IF(((D671+E671)*C671)&lt;='Assumptions and Catalog'!$C$65,((D671+E671)*C671)*'Assumptions and Catalog'!$H$65+'Assumptions and Catalog'!$E$65+'Assumptions and Catalog'!$F$65,"Out of range")))))))))*(1+'Assumptions and Catalog'!$C$8)^(A671-1),0)</f>
        <v>6867.22</v>
      </c>
      <c r="N671" s="5" t="n">
        <f>IF(ISNUMBER(Inputs!$L$5),(IF(Inputs!$L$9="Actual flat rate",L671*Inputs!$L$10,IF(Inputs!$C$9="Residential",IF(L671&lt;='Assumptions and Catalog'!$C$50,L671*'Assumptions and Catalog'!$H$50+'Assumptions and Catalog'!$E$50+'Assumptions and Catalog'!$F$50,IF(L671&lt;='Assumptions and Catalog'!$C$51,L671*'Assumptions and Catalog'!$H$51+'Assumptions and Catalog'!$E$51+'Assumptions and Catalog'!$F$51,IF(L671&lt;='Assumptions and Catalog'!$C$52,L671*'Assumptions and Catalog'!$H$52+'Assumptions and Catalog'!$E$52+'Assumptions and Catalog'!$F$52,IF(L671&lt;='Assumptions and Catalog'!$C$53,L671*'Assumptions and Catalog'!$H$53+'Assumptions and Catalog'!$E$53+'Assumptions and Catalog'!$F$53,IF(L671&lt;='Assumptions and Catalog'!$C$54,L671*'Assumptions and Catalog'!$H$54+'Assumptions and Catalog'!$E$54+'Assumptions and Catalog'!$F$54,IF(L671&lt;='Assumptions and Catalog'!$C$55,L671*'Assumptions and Catalog'!$H$55+'Assumptions and Catalog'!$E$55+'Assumptions and Catalog'!$F$55,IF(L671&lt;='Assumptions and Catalog'!$C$56,L671*'Assumptions and Catalog'!$H$56+'Assumptions and Catalog'!$E$56+'Assumptions and Catalog'!$F$56,IF(L671&lt;='Assumptions and Catalog'!$C$57,L671*'Assumptions and Catalog'!$H$57+'Assumptions and Catalog'!$E$57+'Assumptions and Catalog'!$F$57,"Out of range")))))))),IF(L671&lt;='Assumptions and Catalog'!$C$60,L671*'Assumptions and Catalog'!$H$60+'Assumptions and Catalog'!$E$60+'Assumptions and Catalog'!$F$60,IF(L671&lt;='Assumptions and Catalog'!$C$61,L671*'Assumptions and Catalog'!$H$61+'Assumptions and Catalog'!$E$61+'Assumptions and Catalog'!$F$61,IF(L671&lt;='Assumptions and Catalog'!$C$62,L671*'Assumptions and Catalog'!$H$62+'Assumptions and Catalog'!$E$62+'Assumptions and Catalog'!$F$62,IF(L671&lt;='Assumptions and Catalog'!$C$63,L671*'Assumptions and Catalog'!$H$63+'Assumptions and Catalog'!$E$63+'Assumptions and Catalog'!$F$63,IF(L671&lt;='Assumptions and Catalog'!$C$64,L671*'Assumptions and Catalog'!$H$64+'Assumptions and Catalog'!$E$64+'Assumptions and Catalog'!$F$64,IF(L671&lt;='Assumptions and Catalog'!$C$65,L671*'Assumptions and Catalog'!$H$65+'Assumptions and Catalog'!$E$65+'Assumptions and Catalog'!$F$65,"Out of range")))))))))*(1+'Assumptions and Catalog'!$C$8)^(A671-1),0)</f>
        <v>2538.2009006875</v>
      </c>
      <c r="O671" s="5" t="n">
        <f>M671-N671</f>
        <v>4329.0190993125</v>
      </c>
      <c r="P671" s="5" t="n">
        <f>E$55*(1-L$14)*(1-'Assumptions and Catalog'!$C$23)^R671</f>
        <v>10.24</v>
      </c>
      <c r="Q671" s="5" t="n">
        <f>IF(ISNUMBER(Inputs!$L$5),(IF(Inputs!$L$9="Actual flat rate",((D671+E671)*C671-G671)*Inputs!$L$10,IF(Inputs!$C$9="Residential",IF(((D671+E671)*C671-G671)&lt;='Assumptions and Catalog'!$C$50,((D671+E671)*C671-G671)*'Assumptions and Catalog'!$H$50+'Assumptions and Catalog'!$E$50+'Assumptions and Catalog'!$F$50,IF(((D671+E671)*C671-G671)&lt;='Assumptions and Catalog'!$C$51,((D671+E671)*C671-G671)*'Assumptions and Catalog'!$H$51+'Assumptions and Catalog'!$E$51+'Assumptions and Catalog'!$F$51,IF(((D671+E671)*C671-G671)&lt;='Assumptions and Catalog'!$C$52,((D671+E671)*C671-G671)*'Assumptions and Catalog'!$H$52+'Assumptions and Catalog'!$E$52+'Assumptions and Catalog'!$F$52,IF(((D671+E671)*C671-G671)&lt;='Assumptions and Catalog'!$C$53,((D671+E671)*C671-G671)*'Assumptions and Catalog'!$H$53+'Assumptions and Catalog'!$E$53+'Assumptions and Catalog'!$F$53,IF(((D671+E671)*C671-G671)&lt;='Assumptions and Catalog'!$C$54,((D671+E671)*C671-G671)*'Assumptions and Catalog'!$H$54+'Assumptions and Catalog'!$E$54+'Assumptions and Catalog'!$F$54,IF(((D671+E671)*C671-G671)&lt;='Assumptions and Catalog'!$C$55,((D671+E671)*C671-G671)*'Assumptions and Catalog'!$H$55+'Assumptions and Catalog'!$E$55+'Assumptions and Catalog'!$F$55,IF(((D671+E671)*C671-G671)&lt;='Assumptions and Catalog'!$C$56,((D671+E671)*C671-G671)*'Assumptions and Catalog'!$H$56+'Assumptions and Catalog'!$E$56+'Assumptions and Catalog'!$F$56,IF(((D671+E671)*C671-G671)&lt;='Assumptions and Catalog'!$C$57,((D671+E671)*C671-G671)*'Assumptions and Catalog'!$H$57+'Assumptions and Catalog'!$E$57+'Assumptions and Catalog'!$F$57,"Out of range")))))))),IF(((D671+E671)*C671-G671)&lt;='Assumptions and Catalog'!$C$60,((D671+E671)*C671-G671)*'Assumptions and Catalog'!$H$60+'Assumptions and Catalog'!$E$60+'Assumptions and Catalog'!$F$60,IF(((D671+E671)*C671-G671)&lt;='Assumptions and Catalog'!$C$61,((D671+E671)*C671-G671)*'Assumptions and Catalog'!$H$61+'Assumptions and Catalog'!$E$61+'Assumptions and Catalog'!$F$61,IF(((D671+E671)*C671-G671)&lt;='Assumptions and Catalog'!$C$62,((D671+E671)*C671-G671)*'Assumptions and Catalog'!$H$62+'Assumptions and Catalog'!$E$62+'Assumptions and Catalog'!$F$62,IF(((D671+E671)*C671-G671)&lt;='Assumptions and Catalog'!$C$63,((D671+E671)*C671-G671)*'Assumptions and Catalog'!$H$63+'Assumptions and Catalog'!$E$63+'Assumptions and Catalog'!$F$63,IF(((D671+E671)*C671-G671)&lt;='Assumptions and Catalog'!$C$64,((D671+E671)*C671-G671)*'Assumptions and Catalog'!$H$64+'Assumptions and Catalog'!$E$64+'Assumptions and Catalog'!$F$64,IF(((D671+E671)*C671-G671)&lt;='Assumptions and Catalog'!$C$65,((D671+E671)*C671-G671)*'Assumptions and Catalog'!$H$65+'Assumptions and Catalog'!$E$65+'Assumptions and Catalog'!$F$65,"Out of range")))))))))*(1+'Assumptions and Catalog'!$C$8)^(A671-1),0)</f>
        <v>3453.61</v>
      </c>
      <c r="R671" s="5" t="n">
        <f>IF(AND('Assumptions and Catalog'!$C$19&gt;0,A671&gt;='Assumptions and Catalog'!$C$19),A671-'Assumptions and Catalog'!$C$19,A671-1)</f>
        <v>0</v>
      </c>
      <c r="S671" s="5" t="n">
        <f>F671+L671-(D671+E671)*C671-J671-K671-IF(E$52&gt;0,'Assumptions and Catalog'!$C$26*C671,0)</f>
        <v>5.6843418860808E-014</v>
      </c>
      <c r="T671" s="5"/>
      <c r="U671" s="5"/>
    </row>
    <row r="672" ht="23.100000381469727" customHeight="1">
      <c r="A672" s="5" t="n">
        <v>1</v>
      </c>
      <c r="B672" s="5" t="n">
        <v>12</v>
      </c>
      <c r="C672" s="5" t="n">
        <f>DAY(DATE('Assumptions and Catalog'!$C$24+A672-1,B672+1,0))</f>
        <v>31</v>
      </c>
      <c r="D672" s="5" t="n">
        <f>IF(ISNUMBER(Inputs!$L$5),Inputs!$L$5*Inputs!$L$6,0)</f>
        <v>40.35</v>
      </c>
      <c r="E672" s="5" t="n">
        <f>IF(ISNUMBER(Inputs!$L$5),Inputs!$L$5-D672,0)</f>
        <v>40.35</v>
      </c>
      <c r="F672" s="5" t="n">
        <f>E$51*INDEX('Solar Production'!$D$20:$D$31,B672)*C672*(1-'Assumptions and Catalog'!$C$10)^(A672-1)</f>
        <v>1434.4</v>
      </c>
      <c r="G672" s="5" t="n">
        <f>MIN(F672,D672*C672)</f>
        <v>1250.85</v>
      </c>
      <c r="H672" s="5" t="n">
        <f>I672/('Assumptions and Catalog'!$C$11*'Assumptions and Catalog'!$C$12)</f>
        <v>183.55</v>
      </c>
      <c r="I672" s="5" t="n">
        <f>MIN(E672*C672,P672*'Assumptions and Catalog'!$C$12*C672,(F672-G672)*'Assumptions and Catalog'!$C$11*'Assumptions and Catalog'!$C$12,E$56*'Assumptions and Catalog'!$C$14*'Assumptions and Catalog'!$C$11*'Assumptions and Catalog'!$C$12*C672,E$57*(24-'Assumptions and Catalog'!$C$13)*C672)</f>
        <v>174.48721875</v>
      </c>
      <c r="J672" s="5" t="n">
        <f>MAX(F672-G672-H672,0)</f>
        <v>0</v>
      </c>
      <c r="K672" s="5" t="n">
        <f>H672-I672</f>
        <v>9.06278125000003</v>
      </c>
      <c r="L672" s="5" t="n">
        <f>(D672+E672)*C672-G672-I672+0+IF(E$52&gt;0,'Assumptions and Catalog'!$C$26*C672,0)</f>
        <v>1076.36278125</v>
      </c>
      <c r="M672" s="5" t="n">
        <f>IF(ISNUMBER(Inputs!$L$5),(IF(Inputs!$L$9="Actual flat rate",((D672+E672)*C672)*Inputs!$L$10,IF(Inputs!$C$9="Residential",IF(((D672+E672)*C672)&lt;='Assumptions and Catalog'!$C$50,((D672+E672)*C672)*'Assumptions and Catalog'!$H$50+'Assumptions and Catalog'!$E$50+'Assumptions and Catalog'!$F$50,IF(((D672+E672)*C672)&lt;='Assumptions and Catalog'!$C$51,((D672+E672)*C672)*'Assumptions and Catalog'!$H$51+'Assumptions and Catalog'!$E$51+'Assumptions and Catalog'!$F$51,IF(((D672+E672)*C672)&lt;='Assumptions and Catalog'!$C$52,((D672+E672)*C672)*'Assumptions and Catalog'!$H$52+'Assumptions and Catalog'!$E$52+'Assumptions and Catalog'!$F$52,IF(((D672+E672)*C672)&lt;='Assumptions and Catalog'!$C$53,((D672+E672)*C672)*'Assumptions and Catalog'!$H$53+'Assumptions and Catalog'!$E$53+'Assumptions and Catalog'!$F$53,IF(((D672+E672)*C672)&lt;='Assumptions and Catalog'!$C$54,((D672+E672)*C672)*'Assumptions and Catalog'!$H$54+'Assumptions and Catalog'!$E$54+'Assumptions and Catalog'!$F$54,IF(((D672+E672)*C672)&lt;='Assumptions and Catalog'!$C$55,((D672+E672)*C672)*'Assumptions and Catalog'!$H$55+'Assumptions and Catalog'!$E$55+'Assumptions and Catalog'!$F$55,IF(((D672+E672)*C672)&lt;='Assumptions and Catalog'!$C$56,((D672+E672)*C672)*'Assumptions and Catalog'!$H$56+'Assumptions and Catalog'!$E$56+'Assumptions and Catalog'!$F$56,IF(((D672+E672)*C672)&lt;='Assumptions and Catalog'!$C$57,((D672+E672)*C672)*'Assumptions and Catalog'!$H$57+'Assumptions and Catalog'!$E$57+'Assumptions and Catalog'!$F$57,"Out of range")))))))),IF(((D672+E672)*C672)&lt;='Assumptions and Catalog'!$C$60,((D672+E672)*C672)*'Assumptions and Catalog'!$H$60+'Assumptions and Catalog'!$E$60+'Assumptions and Catalog'!$F$60,IF(((D672+E672)*C672)&lt;='Assumptions and Catalog'!$C$61,((D672+E672)*C672)*'Assumptions and Catalog'!$H$61+'Assumptions and Catalog'!$E$61+'Assumptions and Catalog'!$F$61,IF(((D672+E672)*C672)&lt;='Assumptions and Catalog'!$C$62,((D672+E672)*C672)*'Assumptions and Catalog'!$H$62+'Assumptions and Catalog'!$E$62+'Assumptions and Catalog'!$F$62,IF(((D672+E672)*C672)&lt;='Assumptions and Catalog'!$C$63,((D672+E672)*C672)*'Assumptions and Catalog'!$H$63+'Assumptions and Catalog'!$E$63+'Assumptions and Catalog'!$F$63,IF(((D672+E672)*C672)&lt;='Assumptions and Catalog'!$C$64,((D672+E672)*C672)*'Assumptions and Catalog'!$H$64+'Assumptions and Catalog'!$E$64+'Assumptions and Catalog'!$F$64,IF(((D672+E672)*C672)&lt;='Assumptions and Catalog'!$C$65,((D672+E672)*C672)*'Assumptions and Catalog'!$H$65+'Assumptions and Catalog'!$E$65+'Assumptions and Catalog'!$F$65,"Out of range")))))))))*(1+'Assumptions and Catalog'!$C$8)^(A672-1),0)</f>
        <v>7094.794</v>
      </c>
      <c r="N672" s="5" t="n">
        <f>IF(ISNUMBER(Inputs!$L$5),(IF(Inputs!$L$9="Actual flat rate",L672*Inputs!$L$10,IF(Inputs!$C$9="Residential",IF(L672&lt;='Assumptions and Catalog'!$C$50,L672*'Assumptions and Catalog'!$H$50+'Assumptions and Catalog'!$E$50+'Assumptions and Catalog'!$F$50,IF(L672&lt;='Assumptions and Catalog'!$C$51,L672*'Assumptions and Catalog'!$H$51+'Assumptions and Catalog'!$E$51+'Assumptions and Catalog'!$F$51,IF(L672&lt;='Assumptions and Catalog'!$C$52,L672*'Assumptions and Catalog'!$H$52+'Assumptions and Catalog'!$E$52+'Assumptions and Catalog'!$F$52,IF(L672&lt;='Assumptions and Catalog'!$C$53,L672*'Assumptions and Catalog'!$H$53+'Assumptions and Catalog'!$E$53+'Assumptions and Catalog'!$F$53,IF(L672&lt;='Assumptions and Catalog'!$C$54,L672*'Assumptions and Catalog'!$H$54+'Assumptions and Catalog'!$E$54+'Assumptions and Catalog'!$F$54,IF(L672&lt;='Assumptions and Catalog'!$C$55,L672*'Assumptions and Catalog'!$H$55+'Assumptions and Catalog'!$E$55+'Assumptions and Catalog'!$F$55,IF(L672&lt;='Assumptions and Catalog'!$C$56,L672*'Assumptions and Catalog'!$H$56+'Assumptions and Catalog'!$E$56+'Assumptions and Catalog'!$F$56,IF(L672&lt;='Assumptions and Catalog'!$C$57,L672*'Assumptions and Catalog'!$H$57+'Assumptions and Catalog'!$E$57+'Assumptions and Catalog'!$F$57,"Out of range")))))))),IF(L672&lt;='Assumptions and Catalog'!$C$60,L672*'Assumptions and Catalog'!$H$60+'Assumptions and Catalog'!$E$60+'Assumptions and Catalog'!$F$60,IF(L672&lt;='Assumptions and Catalog'!$C$61,L672*'Assumptions and Catalog'!$H$61+'Assumptions and Catalog'!$E$61+'Assumptions and Catalog'!$F$61,IF(L672&lt;='Assumptions and Catalog'!$C$62,L672*'Assumptions and Catalog'!$H$62+'Assumptions and Catalog'!$E$62+'Assumptions and Catalog'!$F$62,IF(L672&lt;='Assumptions and Catalog'!$C$63,L672*'Assumptions and Catalog'!$H$63+'Assumptions and Catalog'!$E$63+'Assumptions and Catalog'!$F$63,IF(L672&lt;='Assumptions and Catalog'!$C$64,L672*'Assumptions and Catalog'!$H$64+'Assumptions and Catalog'!$E$64+'Assumptions and Catalog'!$F$64,IF(L672&lt;='Assumptions and Catalog'!$C$65,L672*'Assumptions and Catalog'!$H$65+'Assumptions and Catalog'!$E$65+'Assumptions and Catalog'!$F$65,"Out of range")))))))))*(1+'Assumptions and Catalog'!$C$8)^(A672-1),0)</f>
        <v>3075.343043125</v>
      </c>
      <c r="O672" s="5" t="n">
        <f>M672-N672</f>
        <v>4019.450956875</v>
      </c>
      <c r="P672" s="5" t="n">
        <f>E$55*(1-L$14)*(1-'Assumptions and Catalog'!$C$23)^R672</f>
        <v>10.24</v>
      </c>
      <c r="Q672" s="5" t="n">
        <f>IF(ISNUMBER(Inputs!$L$5),(IF(Inputs!$L$9="Actual flat rate",((D672+E672)*C672-G672)*Inputs!$L$10,IF(Inputs!$C$9="Residential",IF(((D672+E672)*C672-G672)&lt;='Assumptions and Catalog'!$C$50,((D672+E672)*C672-G672)*'Assumptions and Catalog'!$H$50+'Assumptions and Catalog'!$E$50+'Assumptions and Catalog'!$F$50,IF(((D672+E672)*C672-G672)&lt;='Assumptions and Catalog'!$C$51,((D672+E672)*C672-G672)*'Assumptions and Catalog'!$H$51+'Assumptions and Catalog'!$E$51+'Assumptions and Catalog'!$F$51,IF(((D672+E672)*C672-G672)&lt;='Assumptions and Catalog'!$C$52,((D672+E672)*C672-G672)*'Assumptions and Catalog'!$H$52+'Assumptions and Catalog'!$E$52+'Assumptions and Catalog'!$F$52,IF(((D672+E672)*C672-G672)&lt;='Assumptions and Catalog'!$C$53,((D672+E672)*C672-G672)*'Assumptions and Catalog'!$H$53+'Assumptions and Catalog'!$E$53+'Assumptions and Catalog'!$F$53,IF(((D672+E672)*C672-G672)&lt;='Assumptions and Catalog'!$C$54,((D672+E672)*C672-G672)*'Assumptions and Catalog'!$H$54+'Assumptions and Catalog'!$E$54+'Assumptions and Catalog'!$F$54,IF(((D672+E672)*C672-G672)&lt;='Assumptions and Catalog'!$C$55,((D672+E672)*C672-G672)*'Assumptions and Catalog'!$H$55+'Assumptions and Catalog'!$E$55+'Assumptions and Catalog'!$F$55,IF(((D672+E672)*C672-G672)&lt;='Assumptions and Catalog'!$C$56,((D672+E672)*C672-G672)*'Assumptions and Catalog'!$H$56+'Assumptions and Catalog'!$E$56+'Assumptions and Catalog'!$F$56,IF(((D672+E672)*C672-G672)&lt;='Assumptions and Catalog'!$C$57,((D672+E672)*C672-G672)*'Assumptions and Catalog'!$H$57+'Assumptions and Catalog'!$E$57+'Assumptions and Catalog'!$F$57,"Out of range")))))))),IF(((D672+E672)*C672-G672)&lt;='Assumptions and Catalog'!$C$60,((D672+E672)*C672-G672)*'Assumptions and Catalog'!$H$60+'Assumptions and Catalog'!$E$60+'Assumptions and Catalog'!$F$60,IF(((D672+E672)*C672-G672)&lt;='Assumptions and Catalog'!$C$61,((D672+E672)*C672-G672)*'Assumptions and Catalog'!$H$61+'Assumptions and Catalog'!$E$61+'Assumptions and Catalog'!$F$61,IF(((D672+E672)*C672-G672)&lt;='Assumptions and Catalog'!$C$62,((D672+E672)*C672-G672)*'Assumptions and Catalog'!$H$62+'Assumptions and Catalog'!$E$62+'Assumptions and Catalog'!$F$62,IF(((D672+E672)*C672-G672)&lt;='Assumptions and Catalog'!$C$63,((D672+E672)*C672-G672)*'Assumptions and Catalog'!$H$63+'Assumptions and Catalog'!$E$63+'Assumptions and Catalog'!$F$63,IF(((D672+E672)*C672-G672)&lt;='Assumptions and Catalog'!$C$64,((D672+E672)*C672-G672)*'Assumptions and Catalog'!$H$64+'Assumptions and Catalog'!$E$64+'Assumptions and Catalog'!$F$64,IF(((D672+E672)*C672-G672)&lt;='Assumptions and Catalog'!$C$65,((D672+E672)*C672-G672)*'Assumptions and Catalog'!$H$65+'Assumptions and Catalog'!$E$65+'Assumptions and Catalog'!$F$65,"Out of range")))))))))*(1+'Assumptions and Catalog'!$C$8)^(A672-1),0)</f>
        <v>3567.397</v>
      </c>
      <c r="R672" s="5" t="n">
        <f>IF(AND('Assumptions and Catalog'!$C$19&gt;0,A672&gt;='Assumptions and Catalog'!$C$19),A672-'Assumptions and Catalog'!$C$19,A672-1)</f>
        <v>0</v>
      </c>
      <c r="S672" s="5" t="n">
        <f>F672+L672-(D672+E672)*C672-J672-K672-IF(E$52&gt;0,'Assumptions and Catalog'!$C$26*C672,0)</f>
        <v>1.4210854715202E-013</v>
      </c>
      <c r="T672" s="5"/>
      <c r="U672" s="5"/>
    </row>
    <row r="673" ht="23.100000381469727" customHeight="1">
      <c r="A673" s="5" t="n">
        <v>2</v>
      </c>
      <c r="B673" s="5" t="n">
        <v>1</v>
      </c>
      <c r="C673" s="5" t="n">
        <f>DAY(DATE('Assumptions and Catalog'!$C$24+A673-1,B673+1,0))</f>
        <v>31</v>
      </c>
      <c r="D673" s="5" t="n">
        <f>IF(ISNUMBER(Inputs!$L$5),Inputs!$L$5*Inputs!$L$6,0)</f>
        <v>40.35</v>
      </c>
      <c r="E673" s="5" t="n">
        <f>IF(ISNUMBER(Inputs!$L$5),Inputs!$L$5-D673,0)</f>
        <v>40.35</v>
      </c>
      <c r="F673" s="5" t="n">
        <f>E$51*INDEX('Solar Production'!$D$20:$D$31,B673)*C673*(1-'Assumptions and Catalog'!$C$10)^(A673-1)</f>
        <v>1437.0785</v>
      </c>
      <c r="G673" s="5" t="n">
        <f>MIN(F673,D673*C673)</f>
        <v>1250.85</v>
      </c>
      <c r="H673" s="5" t="n">
        <f>I673/('Assumptions and Catalog'!$C$11*'Assumptions and Catalog'!$C$12)</f>
        <v>186.2285</v>
      </c>
      <c r="I673" s="5" t="n">
        <f>MIN(E673*C673,P673*'Assumptions and Catalog'!$C$12*C673,(F673-G673)*'Assumptions and Catalog'!$C$11*'Assumptions and Catalog'!$C$12,E$56*'Assumptions and Catalog'!$C$14*'Assumptions and Catalog'!$C$11*'Assumptions and Catalog'!$C$12*C673,E$57*(24-'Assumptions and Catalog'!$C$13)*C673)</f>
        <v>177.0334678125</v>
      </c>
      <c r="J673" s="5" t="n">
        <f>MAX(F673-G673-H673,0)</f>
        <v>0</v>
      </c>
      <c r="K673" s="5" t="n">
        <f>H673-I673</f>
        <v>9.1950321875</v>
      </c>
      <c r="L673" s="5" t="n">
        <f>(D673+E673)*C673-G673-I673+0+IF(E$52&gt;0,'Assumptions and Catalog'!$C$26*C673,0)</f>
        <v>1073.8165321875</v>
      </c>
      <c r="M673" s="5" t="n">
        <f>IF(ISNUMBER(Inputs!$L$5),(IF(Inputs!$L$9="Actual flat rate",((D673+E673)*C673)*Inputs!$L$10,IF(Inputs!$C$9="Residential",IF(((D673+E673)*C673)&lt;='Assumptions and Catalog'!$C$50,((D673+E673)*C673)*'Assumptions and Catalog'!$H$50+'Assumptions and Catalog'!$E$50+'Assumptions and Catalog'!$F$50,IF(((D673+E673)*C673)&lt;='Assumptions and Catalog'!$C$51,((D673+E673)*C673)*'Assumptions and Catalog'!$H$51+'Assumptions and Catalog'!$E$51+'Assumptions and Catalog'!$F$51,IF(((D673+E673)*C673)&lt;='Assumptions and Catalog'!$C$52,((D673+E673)*C673)*'Assumptions and Catalog'!$H$52+'Assumptions and Catalog'!$E$52+'Assumptions and Catalog'!$F$52,IF(((D673+E673)*C673)&lt;='Assumptions and Catalog'!$C$53,((D673+E673)*C673)*'Assumptions and Catalog'!$H$53+'Assumptions and Catalog'!$E$53+'Assumptions and Catalog'!$F$53,IF(((D673+E673)*C673)&lt;='Assumptions and Catalog'!$C$54,((D673+E673)*C673)*'Assumptions and Catalog'!$H$54+'Assumptions and Catalog'!$E$54+'Assumptions and Catalog'!$F$54,IF(((D673+E673)*C673)&lt;='Assumptions and Catalog'!$C$55,((D673+E673)*C673)*'Assumptions and Catalog'!$H$55+'Assumptions and Catalog'!$E$55+'Assumptions and Catalog'!$F$55,IF(((D673+E673)*C673)&lt;='Assumptions and Catalog'!$C$56,((D673+E673)*C673)*'Assumptions and Catalog'!$H$56+'Assumptions and Catalog'!$E$56+'Assumptions and Catalog'!$F$56,IF(((D673+E673)*C673)&lt;='Assumptions and Catalog'!$C$57,((D673+E673)*C673)*'Assumptions and Catalog'!$H$57+'Assumptions and Catalog'!$E$57+'Assumptions and Catalog'!$F$57,"Out of range")))))))),IF(((D673+E673)*C673)&lt;='Assumptions and Catalog'!$C$60,((D673+E673)*C673)*'Assumptions and Catalog'!$H$60+'Assumptions and Catalog'!$E$60+'Assumptions and Catalog'!$F$60,IF(((D673+E673)*C673)&lt;='Assumptions and Catalog'!$C$61,((D673+E673)*C673)*'Assumptions and Catalog'!$H$61+'Assumptions and Catalog'!$E$61+'Assumptions and Catalog'!$F$61,IF(((D673+E673)*C673)&lt;='Assumptions and Catalog'!$C$62,((D673+E673)*C673)*'Assumptions and Catalog'!$H$62+'Assumptions and Catalog'!$E$62+'Assumptions and Catalog'!$F$62,IF(((D673+E673)*C673)&lt;='Assumptions and Catalog'!$C$63,((D673+E673)*C673)*'Assumptions and Catalog'!$H$63+'Assumptions and Catalog'!$E$63+'Assumptions and Catalog'!$F$63,IF(((D673+E673)*C673)&lt;='Assumptions and Catalog'!$C$64,((D673+E673)*C673)*'Assumptions and Catalog'!$H$64+'Assumptions and Catalog'!$E$64+'Assumptions and Catalog'!$F$64,IF(((D673+E673)*C673)&lt;='Assumptions and Catalog'!$C$65,((D673+E673)*C673)*'Assumptions and Catalog'!$H$65+'Assumptions and Catalog'!$E$65+'Assumptions and Catalog'!$F$65,"Out of range")))))))))*(1+'Assumptions and Catalog'!$C$8)^(A673-1),0)</f>
        <v>7094.794</v>
      </c>
      <c r="N673" s="5" t="n">
        <f>IF(ISNUMBER(Inputs!$L$5),(IF(Inputs!$L$9="Actual flat rate",L673*Inputs!$L$10,IF(Inputs!$C$9="Residential",IF(L673&lt;='Assumptions and Catalog'!$C$50,L673*'Assumptions and Catalog'!$H$50+'Assumptions and Catalog'!$E$50+'Assumptions and Catalog'!$F$50,IF(L673&lt;='Assumptions and Catalog'!$C$51,L673*'Assumptions and Catalog'!$H$51+'Assumptions and Catalog'!$E$51+'Assumptions and Catalog'!$F$51,IF(L673&lt;='Assumptions and Catalog'!$C$52,L673*'Assumptions and Catalog'!$H$52+'Assumptions and Catalog'!$E$52+'Assumptions and Catalog'!$F$52,IF(L673&lt;='Assumptions and Catalog'!$C$53,L673*'Assumptions and Catalog'!$H$53+'Assumptions and Catalog'!$E$53+'Assumptions and Catalog'!$F$53,IF(L673&lt;='Assumptions and Catalog'!$C$54,L673*'Assumptions and Catalog'!$H$54+'Assumptions and Catalog'!$E$54+'Assumptions and Catalog'!$F$54,IF(L673&lt;='Assumptions and Catalog'!$C$55,L673*'Assumptions and Catalog'!$H$55+'Assumptions and Catalog'!$E$55+'Assumptions and Catalog'!$F$55,IF(L673&lt;='Assumptions and Catalog'!$C$56,L673*'Assumptions and Catalog'!$H$56+'Assumptions and Catalog'!$E$56+'Assumptions and Catalog'!$F$56,IF(L673&lt;='Assumptions and Catalog'!$C$57,L673*'Assumptions and Catalog'!$H$57+'Assumptions and Catalog'!$E$57+'Assumptions and Catalog'!$F$57,"Out of range")))))))),IF(L673&lt;='Assumptions and Catalog'!$C$60,L673*'Assumptions and Catalog'!$H$60+'Assumptions and Catalog'!$E$60+'Assumptions and Catalog'!$F$60,IF(L673&lt;='Assumptions and Catalog'!$C$61,L673*'Assumptions and Catalog'!$H$61+'Assumptions and Catalog'!$E$61+'Assumptions and Catalog'!$F$61,IF(L673&lt;='Assumptions and Catalog'!$C$62,L673*'Assumptions and Catalog'!$H$62+'Assumptions and Catalog'!$E$62+'Assumptions and Catalog'!$F$62,IF(L673&lt;='Assumptions and Catalog'!$C$63,L673*'Assumptions and Catalog'!$H$63+'Assumptions and Catalog'!$E$63+'Assumptions and Catalog'!$F$63,IF(L673&lt;='Assumptions and Catalog'!$C$64,L673*'Assumptions and Catalog'!$H$64+'Assumptions and Catalog'!$E$64+'Assumptions and Catalog'!$F$64,IF(L673&lt;='Assumptions and Catalog'!$C$65,L673*'Assumptions and Catalog'!$H$65+'Assumptions and Catalog'!$E$65+'Assumptions and Catalog'!$F$65,"Out of range")))))))))*(1+'Assumptions and Catalog'!$C$8)^(A673-1),0)</f>
        <v>3068.16262076875</v>
      </c>
      <c r="O673" s="5" t="n">
        <f>M673-N673</f>
        <v>4026.63137923125</v>
      </c>
      <c r="P673" s="5" t="n">
        <f>E$55*(1-L$14)*(1-'Assumptions and Catalog'!$C$23)^R673</f>
        <v>10.0352</v>
      </c>
      <c r="Q673" s="5" t="n">
        <f>IF(ISNUMBER(Inputs!$L$5),(IF(Inputs!$L$9="Actual flat rate",((D673+E673)*C673-G673)*Inputs!$L$10,IF(Inputs!$C$9="Residential",IF(((D673+E673)*C673-G673)&lt;='Assumptions and Catalog'!$C$50,((D673+E673)*C673-G673)*'Assumptions and Catalog'!$H$50+'Assumptions and Catalog'!$E$50+'Assumptions and Catalog'!$F$50,IF(((D673+E673)*C673-G673)&lt;='Assumptions and Catalog'!$C$51,((D673+E673)*C673-G673)*'Assumptions and Catalog'!$H$51+'Assumptions and Catalog'!$E$51+'Assumptions and Catalog'!$F$51,IF(((D673+E673)*C673-G673)&lt;='Assumptions and Catalog'!$C$52,((D673+E673)*C673-G673)*'Assumptions and Catalog'!$H$52+'Assumptions and Catalog'!$E$52+'Assumptions and Catalog'!$F$52,IF(((D673+E673)*C673-G673)&lt;='Assumptions and Catalog'!$C$53,((D673+E673)*C673-G673)*'Assumptions and Catalog'!$H$53+'Assumptions and Catalog'!$E$53+'Assumptions and Catalog'!$F$53,IF(((D673+E673)*C673-G673)&lt;='Assumptions and Catalog'!$C$54,((D673+E673)*C673-G673)*'Assumptions and Catalog'!$H$54+'Assumptions and Catalog'!$E$54+'Assumptions and Catalog'!$F$54,IF(((D673+E673)*C673-G673)&lt;='Assumptions and Catalog'!$C$55,((D673+E673)*C673-G673)*'Assumptions and Catalog'!$H$55+'Assumptions and Catalog'!$E$55+'Assumptions and Catalog'!$F$55,IF(((D673+E673)*C673-G673)&lt;='Assumptions and Catalog'!$C$56,((D673+E673)*C673-G673)*'Assumptions and Catalog'!$H$56+'Assumptions and Catalog'!$E$56+'Assumptions and Catalog'!$F$56,IF(((D673+E673)*C673-G673)&lt;='Assumptions and Catalog'!$C$57,((D673+E673)*C673-G673)*'Assumptions and Catalog'!$H$57+'Assumptions and Catalog'!$E$57+'Assumptions and Catalog'!$F$57,"Out of range")))))))),IF(((D673+E673)*C673-G673)&lt;='Assumptions and Catalog'!$C$60,((D673+E673)*C673-G673)*'Assumptions and Catalog'!$H$60+'Assumptions and Catalog'!$E$60+'Assumptions and Catalog'!$F$60,IF(((D673+E673)*C673-G673)&lt;='Assumptions and Catalog'!$C$61,((D673+E673)*C673-G673)*'Assumptions and Catalog'!$H$61+'Assumptions and Catalog'!$E$61+'Assumptions and Catalog'!$F$61,IF(((D673+E673)*C673-G673)&lt;='Assumptions and Catalog'!$C$62,((D673+E673)*C673-G673)*'Assumptions and Catalog'!$H$62+'Assumptions and Catalog'!$E$62+'Assumptions and Catalog'!$F$62,IF(((D673+E673)*C673-G673)&lt;='Assumptions and Catalog'!$C$63,((D673+E673)*C673-G673)*'Assumptions and Catalog'!$H$63+'Assumptions and Catalog'!$E$63+'Assumptions and Catalog'!$F$63,IF(((D673+E673)*C673-G673)&lt;='Assumptions and Catalog'!$C$64,((D673+E673)*C673-G673)*'Assumptions and Catalog'!$H$64+'Assumptions and Catalog'!$E$64+'Assumptions and Catalog'!$F$64,IF(((D673+E673)*C673-G673)&lt;='Assumptions and Catalog'!$C$65,((D673+E673)*C673-G673)*'Assumptions and Catalog'!$H$65+'Assumptions and Catalog'!$E$65+'Assumptions and Catalog'!$F$65,"Out of range")))))))))*(1+'Assumptions and Catalog'!$C$8)^(A673-1),0)</f>
        <v>3567.397</v>
      </c>
      <c r="R673" s="5" t="n">
        <f>IF(AND('Assumptions and Catalog'!$C$19&gt;0,A673&gt;='Assumptions and Catalog'!$C$19),A673-'Assumptions and Catalog'!$C$19,A673-1)</f>
        <v>1</v>
      </c>
      <c r="S673" s="5" t="n">
        <f>F673+L673-(D673+E673)*C673-J673-K673-IF(E$52&gt;0,'Assumptions and Catalog'!$C$26*C673,0)</f>
        <v>-3.12638803734444E-013</v>
      </c>
      <c r="T673" s="5"/>
      <c r="U673" s="5"/>
    </row>
    <row r="674" ht="23.100000381469727" customHeight="1">
      <c r="A674" s="5" t="n">
        <v>2</v>
      </c>
      <c r="B674" s="5" t="n">
        <v>2</v>
      </c>
      <c r="C674" s="5" t="n">
        <f>DAY(DATE('Assumptions and Catalog'!$C$24+A674-1,B674+1,0))</f>
        <v>29</v>
      </c>
      <c r="D674" s="5" t="n">
        <f>IF(ISNUMBER(Inputs!$L$5),Inputs!$L$5*Inputs!$L$6,0)</f>
        <v>40.35</v>
      </c>
      <c r="E674" s="5" t="n">
        <f>IF(ISNUMBER(Inputs!$L$5),Inputs!$L$5-D674,0)</f>
        <v>40.35</v>
      </c>
      <c r="F674" s="5" t="n">
        <f>E$51*INDEX('Solar Production'!$D$20:$D$31,B674)*C674*(1-'Assumptions and Catalog'!$C$10)^(A674-1)</f>
        <v>1467.43133035714</v>
      </c>
      <c r="G674" s="5" t="n">
        <f>MIN(F674,D674*C674)</f>
        <v>1170.15</v>
      </c>
      <c r="H674" s="5" t="n">
        <f>I674/('Assumptions and Catalog'!$C$11*'Assumptions and Catalog'!$C$12)</f>
        <v>297.281330357143</v>
      </c>
      <c r="I674" s="5" t="n">
        <f>MIN(E674*C674,P674*'Assumptions and Catalog'!$C$12*C674,(F674-G674)*'Assumptions and Catalog'!$C$11*'Assumptions and Catalog'!$C$12,E$56*'Assumptions and Catalog'!$C$14*'Assumptions and Catalog'!$C$11*'Assumptions and Catalog'!$C$12*C674,E$57*(24-'Assumptions and Catalog'!$C$13)*C674)</f>
        <v>282.603064670759</v>
      </c>
      <c r="J674" s="5" t="n">
        <f>MAX(F674-G674-H674,0)</f>
        <v>0</v>
      </c>
      <c r="K674" s="5" t="n">
        <f>H674-I674</f>
        <v>14.678265686384</v>
      </c>
      <c r="L674" s="5" t="n">
        <f>(D674+E674)*C674-G674-I674+0+IF(E$52&gt;0,'Assumptions and Catalog'!$C$26*C674,0)</f>
        <v>887.546935329241</v>
      </c>
      <c r="M674" s="5" t="n">
        <f>IF(ISNUMBER(Inputs!$L$5),(IF(Inputs!$L$9="Actual flat rate",((D674+E674)*C674)*Inputs!$L$10,IF(Inputs!$C$9="Residential",IF(((D674+E674)*C674)&lt;='Assumptions and Catalog'!$C$50,((D674+E674)*C674)*'Assumptions and Catalog'!$H$50+'Assumptions and Catalog'!$E$50+'Assumptions and Catalog'!$F$50,IF(((D674+E674)*C674)&lt;='Assumptions and Catalog'!$C$51,((D674+E674)*C674)*'Assumptions and Catalog'!$H$51+'Assumptions and Catalog'!$E$51+'Assumptions and Catalog'!$F$51,IF(((D674+E674)*C674)&lt;='Assumptions and Catalog'!$C$52,((D674+E674)*C674)*'Assumptions and Catalog'!$H$52+'Assumptions and Catalog'!$E$52+'Assumptions and Catalog'!$F$52,IF(((D674+E674)*C674)&lt;='Assumptions and Catalog'!$C$53,((D674+E674)*C674)*'Assumptions and Catalog'!$H$53+'Assumptions and Catalog'!$E$53+'Assumptions and Catalog'!$F$53,IF(((D674+E674)*C674)&lt;='Assumptions and Catalog'!$C$54,((D674+E674)*C674)*'Assumptions and Catalog'!$H$54+'Assumptions and Catalog'!$E$54+'Assumptions and Catalog'!$F$54,IF(((D674+E674)*C674)&lt;='Assumptions and Catalog'!$C$55,((D674+E674)*C674)*'Assumptions and Catalog'!$H$55+'Assumptions and Catalog'!$E$55+'Assumptions and Catalog'!$F$55,IF(((D674+E674)*C674)&lt;='Assumptions and Catalog'!$C$56,((D674+E674)*C674)*'Assumptions and Catalog'!$H$56+'Assumptions and Catalog'!$E$56+'Assumptions and Catalog'!$F$56,IF(((D674+E674)*C674)&lt;='Assumptions and Catalog'!$C$57,((D674+E674)*C674)*'Assumptions and Catalog'!$H$57+'Assumptions and Catalog'!$E$57+'Assumptions and Catalog'!$F$57,"Out of range")))))))),IF(((D674+E674)*C674)&lt;='Assumptions and Catalog'!$C$60,((D674+E674)*C674)*'Assumptions and Catalog'!$H$60+'Assumptions and Catalog'!$E$60+'Assumptions and Catalog'!$F$60,IF(((D674+E674)*C674)&lt;='Assumptions and Catalog'!$C$61,((D674+E674)*C674)*'Assumptions and Catalog'!$H$61+'Assumptions and Catalog'!$E$61+'Assumptions and Catalog'!$F$61,IF(((D674+E674)*C674)&lt;='Assumptions and Catalog'!$C$62,((D674+E674)*C674)*'Assumptions and Catalog'!$H$62+'Assumptions and Catalog'!$E$62+'Assumptions and Catalog'!$F$62,IF(((D674+E674)*C674)&lt;='Assumptions and Catalog'!$C$63,((D674+E674)*C674)*'Assumptions and Catalog'!$H$63+'Assumptions and Catalog'!$E$63+'Assumptions and Catalog'!$F$63,IF(((D674+E674)*C674)&lt;='Assumptions and Catalog'!$C$64,((D674+E674)*C674)*'Assumptions and Catalog'!$H$64+'Assumptions and Catalog'!$E$64+'Assumptions and Catalog'!$F$64,IF(((D674+E674)*C674)&lt;='Assumptions and Catalog'!$C$65,((D674+E674)*C674)*'Assumptions and Catalog'!$H$65+'Assumptions and Catalog'!$E$65+'Assumptions and Catalog'!$F$65,"Out of range")))))))))*(1+'Assumptions and Catalog'!$C$8)^(A674-1),0)</f>
        <v>6639.646</v>
      </c>
      <c r="N674" s="5" t="n">
        <f>IF(ISNUMBER(Inputs!$L$5),(IF(Inputs!$L$9="Actual flat rate",L674*Inputs!$L$10,IF(Inputs!$C$9="Residential",IF(L674&lt;='Assumptions and Catalog'!$C$50,L674*'Assumptions and Catalog'!$H$50+'Assumptions and Catalog'!$E$50+'Assumptions and Catalog'!$F$50,IF(L674&lt;='Assumptions and Catalog'!$C$51,L674*'Assumptions and Catalog'!$H$51+'Assumptions and Catalog'!$E$51+'Assumptions and Catalog'!$F$51,IF(L674&lt;='Assumptions and Catalog'!$C$52,L674*'Assumptions and Catalog'!$H$52+'Assumptions and Catalog'!$E$52+'Assumptions and Catalog'!$F$52,IF(L674&lt;='Assumptions and Catalog'!$C$53,L674*'Assumptions and Catalog'!$H$53+'Assumptions and Catalog'!$E$53+'Assumptions and Catalog'!$F$53,IF(L674&lt;='Assumptions and Catalog'!$C$54,L674*'Assumptions and Catalog'!$H$54+'Assumptions and Catalog'!$E$54+'Assumptions and Catalog'!$F$54,IF(L674&lt;='Assumptions and Catalog'!$C$55,L674*'Assumptions and Catalog'!$H$55+'Assumptions and Catalog'!$E$55+'Assumptions and Catalog'!$F$55,IF(L674&lt;='Assumptions and Catalog'!$C$56,L674*'Assumptions and Catalog'!$H$56+'Assumptions and Catalog'!$E$56+'Assumptions and Catalog'!$F$56,IF(L674&lt;='Assumptions and Catalog'!$C$57,L674*'Assumptions and Catalog'!$H$57+'Assumptions and Catalog'!$E$57+'Assumptions and Catalog'!$F$57,"Out of range")))))))),IF(L674&lt;='Assumptions and Catalog'!$C$60,L674*'Assumptions and Catalog'!$H$60+'Assumptions and Catalog'!$E$60+'Assumptions and Catalog'!$F$60,IF(L674&lt;='Assumptions and Catalog'!$C$61,L674*'Assumptions and Catalog'!$H$61+'Assumptions and Catalog'!$E$61+'Assumptions and Catalog'!$F$61,IF(L674&lt;='Assumptions and Catalog'!$C$62,L674*'Assumptions and Catalog'!$H$62+'Assumptions and Catalog'!$E$62+'Assumptions and Catalog'!$F$62,IF(L674&lt;='Assumptions and Catalog'!$C$63,L674*'Assumptions and Catalog'!$H$63+'Assumptions and Catalog'!$E$63+'Assumptions and Catalog'!$F$63,IF(L674&lt;='Assumptions and Catalog'!$C$64,L674*'Assumptions and Catalog'!$H$64+'Assumptions and Catalog'!$E$64+'Assumptions and Catalog'!$F$64,IF(L674&lt;='Assumptions and Catalog'!$C$65,L674*'Assumptions and Catalog'!$H$65+'Assumptions and Catalog'!$E$65+'Assumptions and Catalog'!$F$65,"Out of range")))))))))*(1+'Assumptions and Catalog'!$C$8)^(A674-1),0)</f>
        <v>2423.505010862</v>
      </c>
      <c r="O674" s="5" t="n">
        <f>M674-N674</f>
        <v>4216.140989138</v>
      </c>
      <c r="P674" s="5" t="n">
        <f>E$55*(1-L$14)*(1-'Assumptions and Catalog'!$C$23)^R674</f>
        <v>10.0352</v>
      </c>
      <c r="Q674" s="5" t="n">
        <f>IF(ISNUMBER(Inputs!$L$5),(IF(Inputs!$L$9="Actual flat rate",((D674+E674)*C674-G674)*Inputs!$L$10,IF(Inputs!$C$9="Residential",IF(((D674+E674)*C674-G674)&lt;='Assumptions and Catalog'!$C$50,((D674+E674)*C674-G674)*'Assumptions and Catalog'!$H$50+'Assumptions and Catalog'!$E$50+'Assumptions and Catalog'!$F$50,IF(((D674+E674)*C674-G674)&lt;='Assumptions and Catalog'!$C$51,((D674+E674)*C674-G674)*'Assumptions and Catalog'!$H$51+'Assumptions and Catalog'!$E$51+'Assumptions and Catalog'!$F$51,IF(((D674+E674)*C674-G674)&lt;='Assumptions and Catalog'!$C$52,((D674+E674)*C674-G674)*'Assumptions and Catalog'!$H$52+'Assumptions and Catalog'!$E$52+'Assumptions and Catalog'!$F$52,IF(((D674+E674)*C674-G674)&lt;='Assumptions and Catalog'!$C$53,((D674+E674)*C674-G674)*'Assumptions and Catalog'!$H$53+'Assumptions and Catalog'!$E$53+'Assumptions and Catalog'!$F$53,IF(((D674+E674)*C674-G674)&lt;='Assumptions and Catalog'!$C$54,((D674+E674)*C674-G674)*'Assumptions and Catalog'!$H$54+'Assumptions and Catalog'!$E$54+'Assumptions and Catalog'!$F$54,IF(((D674+E674)*C674-G674)&lt;='Assumptions and Catalog'!$C$55,((D674+E674)*C674-G674)*'Assumptions and Catalog'!$H$55+'Assumptions and Catalog'!$E$55+'Assumptions and Catalog'!$F$55,IF(((D674+E674)*C674-G674)&lt;='Assumptions and Catalog'!$C$56,((D674+E674)*C674-G674)*'Assumptions and Catalog'!$H$56+'Assumptions and Catalog'!$E$56+'Assumptions and Catalog'!$F$56,IF(((D674+E674)*C674-G674)&lt;='Assumptions and Catalog'!$C$57,((D674+E674)*C674-G674)*'Assumptions and Catalog'!$H$57+'Assumptions and Catalog'!$E$57+'Assumptions and Catalog'!$F$57,"Out of range")))))))),IF(((D674+E674)*C674-G674)&lt;='Assumptions and Catalog'!$C$60,((D674+E674)*C674-G674)*'Assumptions and Catalog'!$H$60+'Assumptions and Catalog'!$E$60+'Assumptions and Catalog'!$F$60,IF(((D674+E674)*C674-G674)&lt;='Assumptions and Catalog'!$C$61,((D674+E674)*C674-G674)*'Assumptions and Catalog'!$H$61+'Assumptions and Catalog'!$E$61+'Assumptions and Catalog'!$F$61,IF(((D674+E674)*C674-G674)&lt;='Assumptions and Catalog'!$C$62,((D674+E674)*C674-G674)*'Assumptions and Catalog'!$H$62+'Assumptions and Catalog'!$E$62+'Assumptions and Catalog'!$F$62,IF(((D674+E674)*C674-G674)&lt;='Assumptions and Catalog'!$C$63,((D674+E674)*C674-G674)*'Assumptions and Catalog'!$H$63+'Assumptions and Catalog'!$E$63+'Assumptions and Catalog'!$F$63,IF(((D674+E674)*C674-G674)&lt;='Assumptions and Catalog'!$C$64,((D674+E674)*C674-G674)*'Assumptions and Catalog'!$H$64+'Assumptions and Catalog'!$E$64+'Assumptions and Catalog'!$F$64,IF(((D674+E674)*C674-G674)&lt;='Assumptions and Catalog'!$C$65,((D674+E674)*C674-G674)*'Assumptions and Catalog'!$H$65+'Assumptions and Catalog'!$E$65+'Assumptions and Catalog'!$F$65,"Out of range")))))))))*(1+'Assumptions and Catalog'!$C$8)^(A674-1),0)</f>
        <v>3339.823</v>
      </c>
      <c r="R674" s="5" t="n">
        <f>IF(AND('Assumptions and Catalog'!$C$19&gt;0,A674&gt;='Assumptions and Catalog'!$C$19),A674-'Assumptions and Catalog'!$C$19,A674-1)</f>
        <v>1</v>
      </c>
      <c r="S674" s="5" t="n">
        <f>F674+L674-(D674+E674)*C674-J674-K674-IF(E$52&gt;0,'Assumptions and Catalog'!$C$26*C674,0)</f>
        <v>-1.13686837721616E-013</v>
      </c>
      <c r="T674" s="5"/>
      <c r="U674" s="5"/>
    </row>
    <row r="675" ht="23.100000381469727" customHeight="1">
      <c r="A675" s="5" t="n">
        <v>2</v>
      </c>
      <c r="B675" s="5" t="n">
        <v>3</v>
      </c>
      <c r="C675" s="5" t="n">
        <f>DAY(DATE('Assumptions and Catalog'!$C$24+A675-1,B675+1,0))</f>
        <v>31</v>
      </c>
      <c r="D675" s="5" t="n">
        <f>IF(ISNUMBER(Inputs!$L$5),Inputs!$L$5*Inputs!$L$6,0)</f>
        <v>40.35</v>
      </c>
      <c r="E675" s="5" t="n">
        <f>IF(ISNUMBER(Inputs!$L$5),Inputs!$L$5-D675,0)</f>
        <v>40.35</v>
      </c>
      <c r="F675" s="5" t="n">
        <f>E$51*INDEX('Solar Production'!$D$20:$D$31,B675)*C675*(1-'Assumptions and Catalog'!$C$10)^(A675-1)</f>
        <v>1762.8017</v>
      </c>
      <c r="G675" s="5" t="n">
        <f>MIN(F675,D675*C675)</f>
        <v>1250.85</v>
      </c>
      <c r="H675" s="5" t="n">
        <f>I675/('Assumptions and Catalog'!$C$11*'Assumptions and Catalog'!$C$12)</f>
        <v>319.067897435898</v>
      </c>
      <c r="I675" s="5" t="n">
        <f>MIN(E675*C675,P675*'Assumptions and Catalog'!$C$12*C675,(F675-G675)*'Assumptions and Catalog'!$C$11*'Assumptions and Catalog'!$C$12,E$56*'Assumptions and Catalog'!$C$14*'Assumptions and Catalog'!$C$11*'Assumptions and Catalog'!$C$12*C675,E$57*(24-'Assumptions and Catalog'!$C$13)*C675)</f>
        <v>303.31392</v>
      </c>
      <c r="J675" s="5" t="n">
        <f>MAX(F675-G675-H675,0)</f>
        <v>192.883802564102</v>
      </c>
      <c r="K675" s="5" t="n">
        <f>H675-I675</f>
        <v>15.7539774358975</v>
      </c>
      <c r="L675" s="5" t="n">
        <f>(D675+E675)*C675-G675-I675+0+IF(E$52&gt;0,'Assumptions and Catalog'!$C$26*C675,0)</f>
        <v>947.53608</v>
      </c>
      <c r="M675" s="5" t="n">
        <f>IF(ISNUMBER(Inputs!$L$5),(IF(Inputs!$L$9="Actual flat rate",((D675+E675)*C675)*Inputs!$L$10,IF(Inputs!$C$9="Residential",IF(((D675+E675)*C675)&lt;='Assumptions and Catalog'!$C$50,((D675+E675)*C675)*'Assumptions and Catalog'!$H$50+'Assumptions and Catalog'!$E$50+'Assumptions and Catalog'!$F$50,IF(((D675+E675)*C675)&lt;='Assumptions and Catalog'!$C$51,((D675+E675)*C675)*'Assumptions and Catalog'!$H$51+'Assumptions and Catalog'!$E$51+'Assumptions and Catalog'!$F$51,IF(((D675+E675)*C675)&lt;='Assumptions and Catalog'!$C$52,((D675+E675)*C675)*'Assumptions and Catalog'!$H$52+'Assumptions and Catalog'!$E$52+'Assumptions and Catalog'!$F$52,IF(((D675+E675)*C675)&lt;='Assumptions and Catalog'!$C$53,((D675+E675)*C675)*'Assumptions and Catalog'!$H$53+'Assumptions and Catalog'!$E$53+'Assumptions and Catalog'!$F$53,IF(((D675+E675)*C675)&lt;='Assumptions and Catalog'!$C$54,((D675+E675)*C675)*'Assumptions and Catalog'!$H$54+'Assumptions and Catalog'!$E$54+'Assumptions and Catalog'!$F$54,IF(((D675+E675)*C675)&lt;='Assumptions and Catalog'!$C$55,((D675+E675)*C675)*'Assumptions and Catalog'!$H$55+'Assumptions and Catalog'!$E$55+'Assumptions and Catalog'!$F$55,IF(((D675+E675)*C675)&lt;='Assumptions and Catalog'!$C$56,((D675+E675)*C675)*'Assumptions and Catalog'!$H$56+'Assumptions and Catalog'!$E$56+'Assumptions and Catalog'!$F$56,IF(((D675+E675)*C675)&lt;='Assumptions and Catalog'!$C$57,((D675+E675)*C675)*'Assumptions and Catalog'!$H$57+'Assumptions and Catalog'!$E$57+'Assumptions and Catalog'!$F$57,"Out of range")))))))),IF(((D675+E675)*C675)&lt;='Assumptions and Catalog'!$C$60,((D675+E675)*C675)*'Assumptions and Catalog'!$H$60+'Assumptions and Catalog'!$E$60+'Assumptions and Catalog'!$F$60,IF(((D675+E675)*C675)&lt;='Assumptions and Catalog'!$C$61,((D675+E675)*C675)*'Assumptions and Catalog'!$H$61+'Assumptions and Catalog'!$E$61+'Assumptions and Catalog'!$F$61,IF(((D675+E675)*C675)&lt;='Assumptions and Catalog'!$C$62,((D675+E675)*C675)*'Assumptions and Catalog'!$H$62+'Assumptions and Catalog'!$E$62+'Assumptions and Catalog'!$F$62,IF(((D675+E675)*C675)&lt;='Assumptions and Catalog'!$C$63,((D675+E675)*C675)*'Assumptions and Catalog'!$H$63+'Assumptions and Catalog'!$E$63+'Assumptions and Catalog'!$F$63,IF(((D675+E675)*C675)&lt;='Assumptions and Catalog'!$C$64,((D675+E675)*C675)*'Assumptions and Catalog'!$H$64+'Assumptions and Catalog'!$E$64+'Assumptions and Catalog'!$F$64,IF(((D675+E675)*C675)&lt;='Assumptions and Catalog'!$C$65,((D675+E675)*C675)*'Assumptions and Catalog'!$H$65+'Assumptions and Catalog'!$E$65+'Assumptions and Catalog'!$F$65,"Out of range")))))))))*(1+'Assumptions and Catalog'!$C$8)^(A675-1),0)</f>
        <v>7094.794</v>
      </c>
      <c r="N675" s="5" t="n">
        <f>IF(ISNUMBER(Inputs!$L$5),(IF(Inputs!$L$9="Actual flat rate",L675*Inputs!$L$10,IF(Inputs!$C$9="Residential",IF(L675&lt;='Assumptions and Catalog'!$C$50,L675*'Assumptions and Catalog'!$H$50+'Assumptions and Catalog'!$E$50+'Assumptions and Catalog'!$F$50,IF(L675&lt;='Assumptions and Catalog'!$C$51,L675*'Assumptions and Catalog'!$H$51+'Assumptions and Catalog'!$E$51+'Assumptions and Catalog'!$F$51,IF(L675&lt;='Assumptions and Catalog'!$C$52,L675*'Assumptions and Catalog'!$H$52+'Assumptions and Catalog'!$E$52+'Assumptions and Catalog'!$F$52,IF(L675&lt;='Assumptions and Catalog'!$C$53,L675*'Assumptions and Catalog'!$H$53+'Assumptions and Catalog'!$E$53+'Assumptions and Catalog'!$F$53,IF(L675&lt;='Assumptions and Catalog'!$C$54,L675*'Assumptions and Catalog'!$H$54+'Assumptions and Catalog'!$E$54+'Assumptions and Catalog'!$F$54,IF(L675&lt;='Assumptions and Catalog'!$C$55,L675*'Assumptions and Catalog'!$H$55+'Assumptions and Catalog'!$E$55+'Assumptions and Catalog'!$F$55,IF(L675&lt;='Assumptions and Catalog'!$C$56,L675*'Assumptions and Catalog'!$H$56+'Assumptions and Catalog'!$E$56+'Assumptions and Catalog'!$F$56,IF(L675&lt;='Assumptions and Catalog'!$C$57,L675*'Assumptions and Catalog'!$H$57+'Assumptions and Catalog'!$E$57+'Assumptions and Catalog'!$F$57,"Out of range")))))))),IF(L675&lt;='Assumptions and Catalog'!$C$60,L675*'Assumptions and Catalog'!$H$60+'Assumptions and Catalog'!$E$60+'Assumptions and Catalog'!$F$60,IF(L675&lt;='Assumptions and Catalog'!$C$61,L675*'Assumptions and Catalog'!$H$61+'Assumptions and Catalog'!$E$61+'Assumptions and Catalog'!$F$61,IF(L675&lt;='Assumptions and Catalog'!$C$62,L675*'Assumptions and Catalog'!$H$62+'Assumptions and Catalog'!$E$62+'Assumptions and Catalog'!$F$62,IF(L675&lt;='Assumptions and Catalog'!$C$63,L675*'Assumptions and Catalog'!$H$63+'Assumptions and Catalog'!$E$63+'Assumptions and Catalog'!$F$63,IF(L675&lt;='Assumptions and Catalog'!$C$64,L675*'Assumptions and Catalog'!$H$64+'Assumptions and Catalog'!$E$64+'Assumptions and Catalog'!$F$64,IF(L675&lt;='Assumptions and Catalog'!$C$65,L675*'Assumptions and Catalog'!$H$65+'Assumptions and Catalog'!$E$65+'Assumptions and Catalog'!$F$65,"Out of range")))))))))*(1+'Assumptions and Catalog'!$C$8)^(A675-1),0)</f>
        <v>2589.6749416</v>
      </c>
      <c r="O675" s="5" t="n">
        <f>M675-N675</f>
        <v>4505.1190584</v>
      </c>
      <c r="P675" s="5" t="n">
        <f>E$55*(1-L$14)*(1-'Assumptions and Catalog'!$C$23)^R675</f>
        <v>10.0352</v>
      </c>
      <c r="Q675" s="5" t="n">
        <f>IF(ISNUMBER(Inputs!$L$5),(IF(Inputs!$L$9="Actual flat rate",((D675+E675)*C675-G675)*Inputs!$L$10,IF(Inputs!$C$9="Residential",IF(((D675+E675)*C675-G675)&lt;='Assumptions and Catalog'!$C$50,((D675+E675)*C675-G675)*'Assumptions and Catalog'!$H$50+'Assumptions and Catalog'!$E$50+'Assumptions and Catalog'!$F$50,IF(((D675+E675)*C675-G675)&lt;='Assumptions and Catalog'!$C$51,((D675+E675)*C675-G675)*'Assumptions and Catalog'!$H$51+'Assumptions and Catalog'!$E$51+'Assumptions and Catalog'!$F$51,IF(((D675+E675)*C675-G675)&lt;='Assumptions and Catalog'!$C$52,((D675+E675)*C675-G675)*'Assumptions and Catalog'!$H$52+'Assumptions and Catalog'!$E$52+'Assumptions and Catalog'!$F$52,IF(((D675+E675)*C675-G675)&lt;='Assumptions and Catalog'!$C$53,((D675+E675)*C675-G675)*'Assumptions and Catalog'!$H$53+'Assumptions and Catalog'!$E$53+'Assumptions and Catalog'!$F$53,IF(((D675+E675)*C675-G675)&lt;='Assumptions and Catalog'!$C$54,((D675+E675)*C675-G675)*'Assumptions and Catalog'!$H$54+'Assumptions and Catalog'!$E$54+'Assumptions and Catalog'!$F$54,IF(((D675+E675)*C675-G675)&lt;='Assumptions and Catalog'!$C$55,((D675+E675)*C675-G675)*'Assumptions and Catalog'!$H$55+'Assumptions and Catalog'!$E$55+'Assumptions and Catalog'!$F$55,IF(((D675+E675)*C675-G675)&lt;='Assumptions and Catalog'!$C$56,((D675+E675)*C675-G675)*'Assumptions and Catalog'!$H$56+'Assumptions and Catalog'!$E$56+'Assumptions and Catalog'!$F$56,IF(((D675+E675)*C675-G675)&lt;='Assumptions and Catalog'!$C$57,((D675+E675)*C675-G675)*'Assumptions and Catalog'!$H$57+'Assumptions and Catalog'!$E$57+'Assumptions and Catalog'!$F$57,"Out of range")))))))),IF(((D675+E675)*C675-G675)&lt;='Assumptions and Catalog'!$C$60,((D675+E675)*C675-G675)*'Assumptions and Catalog'!$H$60+'Assumptions and Catalog'!$E$60+'Assumptions and Catalog'!$F$60,IF(((D675+E675)*C675-G675)&lt;='Assumptions and Catalog'!$C$61,((D675+E675)*C675-G675)*'Assumptions and Catalog'!$H$61+'Assumptions and Catalog'!$E$61+'Assumptions and Catalog'!$F$61,IF(((D675+E675)*C675-G675)&lt;='Assumptions and Catalog'!$C$62,((D675+E675)*C675-G675)*'Assumptions and Catalog'!$H$62+'Assumptions and Catalog'!$E$62+'Assumptions and Catalog'!$F$62,IF(((D675+E675)*C675-G675)&lt;='Assumptions and Catalog'!$C$63,((D675+E675)*C675-G675)*'Assumptions and Catalog'!$H$63+'Assumptions and Catalog'!$E$63+'Assumptions and Catalog'!$F$63,IF(((D675+E675)*C675-G675)&lt;='Assumptions and Catalog'!$C$64,((D675+E675)*C675-G675)*'Assumptions and Catalog'!$H$64+'Assumptions and Catalog'!$E$64+'Assumptions and Catalog'!$F$64,IF(((D675+E675)*C675-G675)&lt;='Assumptions and Catalog'!$C$65,((D675+E675)*C675-G675)*'Assumptions and Catalog'!$H$65+'Assumptions and Catalog'!$E$65+'Assumptions and Catalog'!$F$65,"Out of range")))))))))*(1+'Assumptions and Catalog'!$C$8)^(A675-1),0)</f>
        <v>3567.397</v>
      </c>
      <c r="R675" s="5" t="n">
        <f>IF(AND('Assumptions and Catalog'!$C$19&gt;0,A675&gt;='Assumptions and Catalog'!$C$19),A675-'Assumptions and Catalog'!$C$19,A675-1)</f>
        <v>1</v>
      </c>
      <c r="S675" s="5" t="n">
        <f>F675+L675-(D675+E675)*C675-J675-K675-IF(E$52&gt;0,'Assumptions and Catalog'!$C$26*C675,0)</f>
        <v>0</v>
      </c>
      <c r="T675" s="5"/>
      <c r="U675" s="5"/>
    </row>
    <row r="676" ht="23.100000381469727" customHeight="1">
      <c r="A676" s="5" t="n">
        <v>2</v>
      </c>
      <c r="B676" s="5" t="n">
        <v>4</v>
      </c>
      <c r="C676" s="5" t="n">
        <f>DAY(DATE('Assumptions and Catalog'!$C$24+A676-1,B676+1,0))</f>
        <v>30</v>
      </c>
      <c r="D676" s="5" t="n">
        <f>IF(ISNUMBER(Inputs!$L$5),Inputs!$L$5*Inputs!$L$6,0)</f>
        <v>40.35</v>
      </c>
      <c r="E676" s="5" t="n">
        <f>IF(ISNUMBER(Inputs!$L$5),Inputs!$L$5-D676,0)</f>
        <v>40.35</v>
      </c>
      <c r="F676" s="5" t="n">
        <f>E$51*INDEX('Solar Production'!$D$20:$D$31,B676)*C676*(1-'Assumptions and Catalog'!$C$10)^(A676-1)</f>
        <v>1760.6127</v>
      </c>
      <c r="G676" s="5" t="n">
        <f>MIN(F676,D676*C676)</f>
        <v>1210.5</v>
      </c>
      <c r="H676" s="5" t="n">
        <f>I676/('Assumptions and Catalog'!$C$11*'Assumptions and Catalog'!$C$12)</f>
        <v>308.775384615385</v>
      </c>
      <c r="I676" s="5" t="n">
        <f>MIN(E676*C676,P676*'Assumptions and Catalog'!$C$12*C676,(F676-G676)*'Assumptions and Catalog'!$C$11*'Assumptions and Catalog'!$C$12,E$56*'Assumptions and Catalog'!$C$14*'Assumptions and Catalog'!$C$11*'Assumptions and Catalog'!$C$12*C676,E$57*(24-'Assumptions and Catalog'!$C$13)*C676)</f>
        <v>293.5296</v>
      </c>
      <c r="J676" s="5" t="n">
        <f>MAX(F676-G676-H676,0)</f>
        <v>241.337315384615</v>
      </c>
      <c r="K676" s="5" t="n">
        <f>H676-I676</f>
        <v>15.2457846153847</v>
      </c>
      <c r="L676" s="5" t="n">
        <f>(D676+E676)*C676-G676-I676+0+IF(E$52&gt;0,'Assumptions and Catalog'!$C$26*C676,0)</f>
        <v>916.9704</v>
      </c>
      <c r="M676" s="5" t="n">
        <f>IF(ISNUMBER(Inputs!$L$5),(IF(Inputs!$L$9="Actual flat rate",((D676+E676)*C676)*Inputs!$L$10,IF(Inputs!$C$9="Residential",IF(((D676+E676)*C676)&lt;='Assumptions and Catalog'!$C$50,((D676+E676)*C676)*'Assumptions and Catalog'!$H$50+'Assumptions and Catalog'!$E$50+'Assumptions and Catalog'!$F$50,IF(((D676+E676)*C676)&lt;='Assumptions and Catalog'!$C$51,((D676+E676)*C676)*'Assumptions and Catalog'!$H$51+'Assumptions and Catalog'!$E$51+'Assumptions and Catalog'!$F$51,IF(((D676+E676)*C676)&lt;='Assumptions and Catalog'!$C$52,((D676+E676)*C676)*'Assumptions and Catalog'!$H$52+'Assumptions and Catalog'!$E$52+'Assumptions and Catalog'!$F$52,IF(((D676+E676)*C676)&lt;='Assumptions and Catalog'!$C$53,((D676+E676)*C676)*'Assumptions and Catalog'!$H$53+'Assumptions and Catalog'!$E$53+'Assumptions and Catalog'!$F$53,IF(((D676+E676)*C676)&lt;='Assumptions and Catalog'!$C$54,((D676+E676)*C676)*'Assumptions and Catalog'!$H$54+'Assumptions and Catalog'!$E$54+'Assumptions and Catalog'!$F$54,IF(((D676+E676)*C676)&lt;='Assumptions and Catalog'!$C$55,((D676+E676)*C676)*'Assumptions and Catalog'!$H$55+'Assumptions and Catalog'!$E$55+'Assumptions and Catalog'!$F$55,IF(((D676+E676)*C676)&lt;='Assumptions and Catalog'!$C$56,((D676+E676)*C676)*'Assumptions and Catalog'!$H$56+'Assumptions and Catalog'!$E$56+'Assumptions and Catalog'!$F$56,IF(((D676+E676)*C676)&lt;='Assumptions and Catalog'!$C$57,((D676+E676)*C676)*'Assumptions and Catalog'!$H$57+'Assumptions and Catalog'!$E$57+'Assumptions and Catalog'!$F$57,"Out of range")))))))),IF(((D676+E676)*C676)&lt;='Assumptions and Catalog'!$C$60,((D676+E676)*C676)*'Assumptions and Catalog'!$H$60+'Assumptions and Catalog'!$E$60+'Assumptions and Catalog'!$F$60,IF(((D676+E676)*C676)&lt;='Assumptions and Catalog'!$C$61,((D676+E676)*C676)*'Assumptions and Catalog'!$H$61+'Assumptions and Catalog'!$E$61+'Assumptions and Catalog'!$F$61,IF(((D676+E676)*C676)&lt;='Assumptions and Catalog'!$C$62,((D676+E676)*C676)*'Assumptions and Catalog'!$H$62+'Assumptions and Catalog'!$E$62+'Assumptions and Catalog'!$F$62,IF(((D676+E676)*C676)&lt;='Assumptions and Catalog'!$C$63,((D676+E676)*C676)*'Assumptions and Catalog'!$H$63+'Assumptions and Catalog'!$E$63+'Assumptions and Catalog'!$F$63,IF(((D676+E676)*C676)&lt;='Assumptions and Catalog'!$C$64,((D676+E676)*C676)*'Assumptions and Catalog'!$H$64+'Assumptions and Catalog'!$E$64+'Assumptions and Catalog'!$F$64,IF(((D676+E676)*C676)&lt;='Assumptions and Catalog'!$C$65,((D676+E676)*C676)*'Assumptions and Catalog'!$H$65+'Assumptions and Catalog'!$E$65+'Assumptions and Catalog'!$F$65,"Out of range")))))))))*(1+'Assumptions and Catalog'!$C$8)^(A676-1),0)</f>
        <v>6867.22</v>
      </c>
      <c r="N676" s="5" t="n">
        <f>IF(ISNUMBER(Inputs!$L$5),(IF(Inputs!$L$9="Actual flat rate",L676*Inputs!$L$10,IF(Inputs!$C$9="Residential",IF(L676&lt;='Assumptions and Catalog'!$C$50,L676*'Assumptions and Catalog'!$H$50+'Assumptions and Catalog'!$E$50+'Assumptions and Catalog'!$F$50,IF(L676&lt;='Assumptions and Catalog'!$C$51,L676*'Assumptions and Catalog'!$H$51+'Assumptions and Catalog'!$E$51+'Assumptions and Catalog'!$F$51,IF(L676&lt;='Assumptions and Catalog'!$C$52,L676*'Assumptions and Catalog'!$H$52+'Assumptions and Catalog'!$E$52+'Assumptions and Catalog'!$F$52,IF(L676&lt;='Assumptions and Catalog'!$C$53,L676*'Assumptions and Catalog'!$H$53+'Assumptions and Catalog'!$E$53+'Assumptions and Catalog'!$F$53,IF(L676&lt;='Assumptions and Catalog'!$C$54,L676*'Assumptions and Catalog'!$H$54+'Assumptions and Catalog'!$E$54+'Assumptions and Catalog'!$F$54,IF(L676&lt;='Assumptions and Catalog'!$C$55,L676*'Assumptions and Catalog'!$H$55+'Assumptions and Catalog'!$E$55+'Assumptions and Catalog'!$F$55,IF(L676&lt;='Assumptions and Catalog'!$C$56,L676*'Assumptions and Catalog'!$H$56+'Assumptions and Catalog'!$E$56+'Assumptions and Catalog'!$F$56,IF(L676&lt;='Assumptions and Catalog'!$C$57,L676*'Assumptions and Catalog'!$H$57+'Assumptions and Catalog'!$E$57+'Assumptions and Catalog'!$F$57,"Out of range")))))))),IF(L676&lt;='Assumptions and Catalog'!$C$60,L676*'Assumptions and Catalog'!$H$60+'Assumptions and Catalog'!$E$60+'Assumptions and Catalog'!$F$60,IF(L676&lt;='Assumptions and Catalog'!$C$61,L676*'Assumptions and Catalog'!$H$61+'Assumptions and Catalog'!$E$61+'Assumptions and Catalog'!$F$61,IF(L676&lt;='Assumptions and Catalog'!$C$62,L676*'Assumptions and Catalog'!$H$62+'Assumptions and Catalog'!$E$62+'Assumptions and Catalog'!$F$62,IF(L676&lt;='Assumptions and Catalog'!$C$63,L676*'Assumptions and Catalog'!$H$63+'Assumptions and Catalog'!$E$63+'Assumptions and Catalog'!$F$63,IF(L676&lt;='Assumptions and Catalog'!$C$64,L676*'Assumptions and Catalog'!$H$64+'Assumptions and Catalog'!$E$64+'Assumptions and Catalog'!$F$64,IF(L676&lt;='Assumptions and Catalog'!$C$65,L676*'Assumptions and Catalog'!$H$65+'Assumptions and Catalog'!$E$65+'Assumptions and Catalog'!$F$65,"Out of range")))))))))*(1+'Assumptions and Catalog'!$C$8)^(A676-1),0)</f>
        <v>2505.008008</v>
      </c>
      <c r="O676" s="5" t="n">
        <f>M676-N676</f>
        <v>4362.211992</v>
      </c>
      <c r="P676" s="5" t="n">
        <f>E$55*(1-L$14)*(1-'Assumptions and Catalog'!$C$23)^R676</f>
        <v>10.0352</v>
      </c>
      <c r="Q676" s="5" t="n">
        <f>IF(ISNUMBER(Inputs!$L$5),(IF(Inputs!$L$9="Actual flat rate",((D676+E676)*C676-G676)*Inputs!$L$10,IF(Inputs!$C$9="Residential",IF(((D676+E676)*C676-G676)&lt;='Assumptions and Catalog'!$C$50,((D676+E676)*C676-G676)*'Assumptions and Catalog'!$H$50+'Assumptions and Catalog'!$E$50+'Assumptions and Catalog'!$F$50,IF(((D676+E676)*C676-G676)&lt;='Assumptions and Catalog'!$C$51,((D676+E676)*C676-G676)*'Assumptions and Catalog'!$H$51+'Assumptions and Catalog'!$E$51+'Assumptions and Catalog'!$F$51,IF(((D676+E676)*C676-G676)&lt;='Assumptions and Catalog'!$C$52,((D676+E676)*C676-G676)*'Assumptions and Catalog'!$H$52+'Assumptions and Catalog'!$E$52+'Assumptions and Catalog'!$F$52,IF(((D676+E676)*C676-G676)&lt;='Assumptions and Catalog'!$C$53,((D676+E676)*C676-G676)*'Assumptions and Catalog'!$H$53+'Assumptions and Catalog'!$E$53+'Assumptions and Catalog'!$F$53,IF(((D676+E676)*C676-G676)&lt;='Assumptions and Catalog'!$C$54,((D676+E676)*C676-G676)*'Assumptions and Catalog'!$H$54+'Assumptions and Catalog'!$E$54+'Assumptions and Catalog'!$F$54,IF(((D676+E676)*C676-G676)&lt;='Assumptions and Catalog'!$C$55,((D676+E676)*C676-G676)*'Assumptions and Catalog'!$H$55+'Assumptions and Catalog'!$E$55+'Assumptions and Catalog'!$F$55,IF(((D676+E676)*C676-G676)&lt;='Assumptions and Catalog'!$C$56,((D676+E676)*C676-G676)*'Assumptions and Catalog'!$H$56+'Assumptions and Catalog'!$E$56+'Assumptions and Catalog'!$F$56,IF(((D676+E676)*C676-G676)&lt;='Assumptions and Catalog'!$C$57,((D676+E676)*C676-G676)*'Assumptions and Catalog'!$H$57+'Assumptions and Catalog'!$E$57+'Assumptions and Catalog'!$F$57,"Out of range")))))))),IF(((D676+E676)*C676-G676)&lt;='Assumptions and Catalog'!$C$60,((D676+E676)*C676-G676)*'Assumptions and Catalog'!$H$60+'Assumptions and Catalog'!$E$60+'Assumptions and Catalog'!$F$60,IF(((D676+E676)*C676-G676)&lt;='Assumptions and Catalog'!$C$61,((D676+E676)*C676-G676)*'Assumptions and Catalog'!$H$61+'Assumptions and Catalog'!$E$61+'Assumptions and Catalog'!$F$61,IF(((D676+E676)*C676-G676)&lt;='Assumptions and Catalog'!$C$62,((D676+E676)*C676-G676)*'Assumptions and Catalog'!$H$62+'Assumptions and Catalog'!$E$62+'Assumptions and Catalog'!$F$62,IF(((D676+E676)*C676-G676)&lt;='Assumptions and Catalog'!$C$63,((D676+E676)*C676-G676)*'Assumptions and Catalog'!$H$63+'Assumptions and Catalog'!$E$63+'Assumptions and Catalog'!$F$63,IF(((D676+E676)*C676-G676)&lt;='Assumptions and Catalog'!$C$64,((D676+E676)*C676-G676)*'Assumptions and Catalog'!$H$64+'Assumptions and Catalog'!$E$64+'Assumptions and Catalog'!$F$64,IF(((D676+E676)*C676-G676)&lt;='Assumptions and Catalog'!$C$65,((D676+E676)*C676-G676)*'Assumptions and Catalog'!$H$65+'Assumptions and Catalog'!$E$65+'Assumptions and Catalog'!$F$65,"Out of range")))))))))*(1+'Assumptions and Catalog'!$C$8)^(A676-1),0)</f>
        <v>3453.61</v>
      </c>
      <c r="R676" s="5" t="n">
        <f>IF(AND('Assumptions and Catalog'!$C$19&gt;0,A676&gt;='Assumptions and Catalog'!$C$19),A676-'Assumptions and Catalog'!$C$19,A676-1)</f>
        <v>1</v>
      </c>
      <c r="S676" s="5" t="n">
        <f>F676+L676-(D676+E676)*C676-J676-K676-IF(E$52&gt;0,'Assumptions and Catalog'!$C$26*C676,0)</f>
        <v>-2.8421709430404E-013</v>
      </c>
      <c r="T676" s="5"/>
      <c r="U676" s="5"/>
    </row>
    <row r="677" ht="23.100000381469727" customHeight="1">
      <c r="A677" s="5" t="n">
        <v>2</v>
      </c>
      <c r="B677" s="5" t="n">
        <v>5</v>
      </c>
      <c r="C677" s="5" t="n">
        <f>DAY(DATE('Assumptions and Catalog'!$C$24+A677-1,B677+1,0))</f>
        <v>31</v>
      </c>
      <c r="D677" s="5" t="n">
        <f>IF(ISNUMBER(Inputs!$L$5),Inputs!$L$5*Inputs!$L$6,0)</f>
        <v>40.35</v>
      </c>
      <c r="E677" s="5" t="n">
        <f>IF(ISNUMBER(Inputs!$L$5),Inputs!$L$5-D677,0)</f>
        <v>40.35</v>
      </c>
      <c r="F677" s="5" t="n">
        <f>E$51*INDEX('Solar Production'!$D$20:$D$31,B677)*C677*(1-'Assumptions and Catalog'!$C$10)^(A677-1)</f>
        <v>1780.9704</v>
      </c>
      <c r="G677" s="5" t="n">
        <f>MIN(F677,D677*C677)</f>
        <v>1250.85</v>
      </c>
      <c r="H677" s="5" t="n">
        <f>I677/('Assumptions and Catalog'!$C$11*'Assumptions and Catalog'!$C$12)</f>
        <v>319.067897435898</v>
      </c>
      <c r="I677" s="5" t="n">
        <f>MIN(E677*C677,P677*'Assumptions and Catalog'!$C$12*C677,(F677-G677)*'Assumptions and Catalog'!$C$11*'Assumptions and Catalog'!$C$12,E$56*'Assumptions and Catalog'!$C$14*'Assumptions and Catalog'!$C$11*'Assumptions and Catalog'!$C$12*C677,E$57*(24-'Assumptions and Catalog'!$C$13)*C677)</f>
        <v>303.31392</v>
      </c>
      <c r="J677" s="5" t="n">
        <f>MAX(F677-G677-H677,0)</f>
        <v>211.052502564103</v>
      </c>
      <c r="K677" s="5" t="n">
        <f>H677-I677</f>
        <v>15.7539774358975</v>
      </c>
      <c r="L677" s="5" t="n">
        <f>(D677+E677)*C677-G677-I677+0+IF(E$52&gt;0,'Assumptions and Catalog'!$C$26*C677,0)</f>
        <v>947.53608</v>
      </c>
      <c r="M677" s="5" t="n">
        <f>IF(ISNUMBER(Inputs!$L$5),(IF(Inputs!$L$9="Actual flat rate",((D677+E677)*C677)*Inputs!$L$10,IF(Inputs!$C$9="Residential",IF(((D677+E677)*C677)&lt;='Assumptions and Catalog'!$C$50,((D677+E677)*C677)*'Assumptions and Catalog'!$H$50+'Assumptions and Catalog'!$E$50+'Assumptions and Catalog'!$F$50,IF(((D677+E677)*C677)&lt;='Assumptions and Catalog'!$C$51,((D677+E677)*C677)*'Assumptions and Catalog'!$H$51+'Assumptions and Catalog'!$E$51+'Assumptions and Catalog'!$F$51,IF(((D677+E677)*C677)&lt;='Assumptions and Catalog'!$C$52,((D677+E677)*C677)*'Assumptions and Catalog'!$H$52+'Assumptions and Catalog'!$E$52+'Assumptions and Catalog'!$F$52,IF(((D677+E677)*C677)&lt;='Assumptions and Catalog'!$C$53,((D677+E677)*C677)*'Assumptions and Catalog'!$H$53+'Assumptions and Catalog'!$E$53+'Assumptions and Catalog'!$F$53,IF(((D677+E677)*C677)&lt;='Assumptions and Catalog'!$C$54,((D677+E677)*C677)*'Assumptions and Catalog'!$H$54+'Assumptions and Catalog'!$E$54+'Assumptions and Catalog'!$F$54,IF(((D677+E677)*C677)&lt;='Assumptions and Catalog'!$C$55,((D677+E677)*C677)*'Assumptions and Catalog'!$H$55+'Assumptions and Catalog'!$E$55+'Assumptions and Catalog'!$F$55,IF(((D677+E677)*C677)&lt;='Assumptions and Catalog'!$C$56,((D677+E677)*C677)*'Assumptions and Catalog'!$H$56+'Assumptions and Catalog'!$E$56+'Assumptions and Catalog'!$F$56,IF(((D677+E677)*C677)&lt;='Assumptions and Catalog'!$C$57,((D677+E677)*C677)*'Assumptions and Catalog'!$H$57+'Assumptions and Catalog'!$E$57+'Assumptions and Catalog'!$F$57,"Out of range")))))))),IF(((D677+E677)*C677)&lt;='Assumptions and Catalog'!$C$60,((D677+E677)*C677)*'Assumptions and Catalog'!$H$60+'Assumptions and Catalog'!$E$60+'Assumptions and Catalog'!$F$60,IF(((D677+E677)*C677)&lt;='Assumptions and Catalog'!$C$61,((D677+E677)*C677)*'Assumptions and Catalog'!$H$61+'Assumptions and Catalog'!$E$61+'Assumptions and Catalog'!$F$61,IF(((D677+E677)*C677)&lt;='Assumptions and Catalog'!$C$62,((D677+E677)*C677)*'Assumptions and Catalog'!$H$62+'Assumptions and Catalog'!$E$62+'Assumptions and Catalog'!$F$62,IF(((D677+E677)*C677)&lt;='Assumptions and Catalog'!$C$63,((D677+E677)*C677)*'Assumptions and Catalog'!$H$63+'Assumptions and Catalog'!$E$63+'Assumptions and Catalog'!$F$63,IF(((D677+E677)*C677)&lt;='Assumptions and Catalog'!$C$64,((D677+E677)*C677)*'Assumptions and Catalog'!$H$64+'Assumptions and Catalog'!$E$64+'Assumptions and Catalog'!$F$64,IF(((D677+E677)*C677)&lt;='Assumptions and Catalog'!$C$65,((D677+E677)*C677)*'Assumptions and Catalog'!$H$65+'Assumptions and Catalog'!$E$65+'Assumptions and Catalog'!$F$65,"Out of range")))))))))*(1+'Assumptions and Catalog'!$C$8)^(A677-1),0)</f>
        <v>7094.794</v>
      </c>
      <c r="N677" s="5" t="n">
        <f>IF(ISNUMBER(Inputs!$L$5),(IF(Inputs!$L$9="Actual flat rate",L677*Inputs!$L$10,IF(Inputs!$C$9="Residential",IF(L677&lt;='Assumptions and Catalog'!$C$50,L677*'Assumptions and Catalog'!$H$50+'Assumptions and Catalog'!$E$50+'Assumptions and Catalog'!$F$50,IF(L677&lt;='Assumptions and Catalog'!$C$51,L677*'Assumptions and Catalog'!$H$51+'Assumptions and Catalog'!$E$51+'Assumptions and Catalog'!$F$51,IF(L677&lt;='Assumptions and Catalog'!$C$52,L677*'Assumptions and Catalog'!$H$52+'Assumptions and Catalog'!$E$52+'Assumptions and Catalog'!$F$52,IF(L677&lt;='Assumptions and Catalog'!$C$53,L677*'Assumptions and Catalog'!$H$53+'Assumptions and Catalog'!$E$53+'Assumptions and Catalog'!$F$53,IF(L677&lt;='Assumptions and Catalog'!$C$54,L677*'Assumptions and Catalog'!$H$54+'Assumptions and Catalog'!$E$54+'Assumptions and Catalog'!$F$54,IF(L677&lt;='Assumptions and Catalog'!$C$55,L677*'Assumptions and Catalog'!$H$55+'Assumptions and Catalog'!$E$55+'Assumptions and Catalog'!$F$55,IF(L677&lt;='Assumptions and Catalog'!$C$56,L677*'Assumptions and Catalog'!$H$56+'Assumptions and Catalog'!$E$56+'Assumptions and Catalog'!$F$56,IF(L677&lt;='Assumptions and Catalog'!$C$57,L677*'Assumptions and Catalog'!$H$57+'Assumptions and Catalog'!$E$57+'Assumptions and Catalog'!$F$57,"Out of range")))))))),IF(L677&lt;='Assumptions and Catalog'!$C$60,L677*'Assumptions and Catalog'!$H$60+'Assumptions and Catalog'!$E$60+'Assumptions and Catalog'!$F$60,IF(L677&lt;='Assumptions and Catalog'!$C$61,L677*'Assumptions and Catalog'!$H$61+'Assumptions and Catalog'!$E$61+'Assumptions and Catalog'!$F$61,IF(L677&lt;='Assumptions and Catalog'!$C$62,L677*'Assumptions and Catalog'!$H$62+'Assumptions and Catalog'!$E$62+'Assumptions and Catalog'!$F$62,IF(L677&lt;='Assumptions and Catalog'!$C$63,L677*'Assumptions and Catalog'!$H$63+'Assumptions and Catalog'!$E$63+'Assumptions and Catalog'!$F$63,IF(L677&lt;='Assumptions and Catalog'!$C$64,L677*'Assumptions and Catalog'!$H$64+'Assumptions and Catalog'!$E$64+'Assumptions and Catalog'!$F$64,IF(L677&lt;='Assumptions and Catalog'!$C$65,L677*'Assumptions and Catalog'!$H$65+'Assumptions and Catalog'!$E$65+'Assumptions and Catalog'!$F$65,"Out of range")))))))))*(1+'Assumptions and Catalog'!$C$8)^(A677-1),0)</f>
        <v>2589.6749416</v>
      </c>
      <c r="O677" s="5" t="n">
        <f>M677-N677</f>
        <v>4505.1190584</v>
      </c>
      <c r="P677" s="5" t="n">
        <f>E$55*(1-L$14)*(1-'Assumptions and Catalog'!$C$23)^R677</f>
        <v>10.0352</v>
      </c>
      <c r="Q677" s="5" t="n">
        <f>IF(ISNUMBER(Inputs!$L$5),(IF(Inputs!$L$9="Actual flat rate",((D677+E677)*C677-G677)*Inputs!$L$10,IF(Inputs!$C$9="Residential",IF(((D677+E677)*C677-G677)&lt;='Assumptions and Catalog'!$C$50,((D677+E677)*C677-G677)*'Assumptions and Catalog'!$H$50+'Assumptions and Catalog'!$E$50+'Assumptions and Catalog'!$F$50,IF(((D677+E677)*C677-G677)&lt;='Assumptions and Catalog'!$C$51,((D677+E677)*C677-G677)*'Assumptions and Catalog'!$H$51+'Assumptions and Catalog'!$E$51+'Assumptions and Catalog'!$F$51,IF(((D677+E677)*C677-G677)&lt;='Assumptions and Catalog'!$C$52,((D677+E677)*C677-G677)*'Assumptions and Catalog'!$H$52+'Assumptions and Catalog'!$E$52+'Assumptions and Catalog'!$F$52,IF(((D677+E677)*C677-G677)&lt;='Assumptions and Catalog'!$C$53,((D677+E677)*C677-G677)*'Assumptions and Catalog'!$H$53+'Assumptions and Catalog'!$E$53+'Assumptions and Catalog'!$F$53,IF(((D677+E677)*C677-G677)&lt;='Assumptions and Catalog'!$C$54,((D677+E677)*C677-G677)*'Assumptions and Catalog'!$H$54+'Assumptions and Catalog'!$E$54+'Assumptions and Catalog'!$F$54,IF(((D677+E677)*C677-G677)&lt;='Assumptions and Catalog'!$C$55,((D677+E677)*C677-G677)*'Assumptions and Catalog'!$H$55+'Assumptions and Catalog'!$E$55+'Assumptions and Catalog'!$F$55,IF(((D677+E677)*C677-G677)&lt;='Assumptions and Catalog'!$C$56,((D677+E677)*C677-G677)*'Assumptions and Catalog'!$H$56+'Assumptions and Catalog'!$E$56+'Assumptions and Catalog'!$F$56,IF(((D677+E677)*C677-G677)&lt;='Assumptions and Catalog'!$C$57,((D677+E677)*C677-G677)*'Assumptions and Catalog'!$H$57+'Assumptions and Catalog'!$E$57+'Assumptions and Catalog'!$F$57,"Out of range")))))))),IF(((D677+E677)*C677-G677)&lt;='Assumptions and Catalog'!$C$60,((D677+E677)*C677-G677)*'Assumptions and Catalog'!$H$60+'Assumptions and Catalog'!$E$60+'Assumptions and Catalog'!$F$60,IF(((D677+E677)*C677-G677)&lt;='Assumptions and Catalog'!$C$61,((D677+E677)*C677-G677)*'Assumptions and Catalog'!$H$61+'Assumptions and Catalog'!$E$61+'Assumptions and Catalog'!$F$61,IF(((D677+E677)*C677-G677)&lt;='Assumptions and Catalog'!$C$62,((D677+E677)*C677-G677)*'Assumptions and Catalog'!$H$62+'Assumptions and Catalog'!$E$62+'Assumptions and Catalog'!$F$62,IF(((D677+E677)*C677-G677)&lt;='Assumptions and Catalog'!$C$63,((D677+E677)*C677-G677)*'Assumptions and Catalog'!$H$63+'Assumptions and Catalog'!$E$63+'Assumptions and Catalog'!$F$63,IF(((D677+E677)*C677-G677)&lt;='Assumptions and Catalog'!$C$64,((D677+E677)*C677-G677)*'Assumptions and Catalog'!$H$64+'Assumptions and Catalog'!$E$64+'Assumptions and Catalog'!$F$64,IF(((D677+E677)*C677-G677)&lt;='Assumptions and Catalog'!$C$65,((D677+E677)*C677-G677)*'Assumptions and Catalog'!$H$65+'Assumptions and Catalog'!$E$65+'Assumptions and Catalog'!$F$65,"Out of range")))))))))*(1+'Assumptions and Catalog'!$C$8)^(A677-1),0)</f>
        <v>3567.397</v>
      </c>
      <c r="R677" s="5" t="n">
        <f>IF(AND('Assumptions and Catalog'!$C$19&gt;0,A677&gt;='Assumptions and Catalog'!$C$19),A677-'Assumptions and Catalog'!$C$19,A677-1)</f>
        <v>1</v>
      </c>
      <c r="S677" s="5" t="n">
        <f>F677+L677-(D677+E677)*C677-J677-K677-IF(E$52&gt;0,'Assumptions and Catalog'!$C$26*C677,0)</f>
        <v>-2.27373675443232E-013</v>
      </c>
      <c r="T677" s="5"/>
      <c r="U677" s="5"/>
    </row>
    <row r="678" ht="23.100000381469727" customHeight="1">
      <c r="A678" s="5" t="n">
        <v>2</v>
      </c>
      <c r="B678" s="5" t="n">
        <v>6</v>
      </c>
      <c r="C678" s="5" t="n">
        <f>DAY(DATE('Assumptions and Catalog'!$C$24+A678-1,B678+1,0))</f>
        <v>30</v>
      </c>
      <c r="D678" s="5" t="n">
        <f>IF(ISNUMBER(Inputs!$L$5),Inputs!$L$5*Inputs!$L$6,0)</f>
        <v>40.35</v>
      </c>
      <c r="E678" s="5" t="n">
        <f>IF(ISNUMBER(Inputs!$L$5),Inputs!$L$5-D678,0)</f>
        <v>40.35</v>
      </c>
      <c r="F678" s="5" t="n">
        <f>E$51*INDEX('Solar Production'!$D$20:$D$31,B678)*C678*(1-'Assumptions and Catalog'!$C$10)^(A678-1)</f>
        <v>1736.0959</v>
      </c>
      <c r="G678" s="5" t="n">
        <f>MIN(F678,D678*C678)</f>
        <v>1210.5</v>
      </c>
      <c r="H678" s="5" t="n">
        <f>I678/('Assumptions and Catalog'!$C$11*'Assumptions and Catalog'!$C$12)</f>
        <v>308.775384615385</v>
      </c>
      <c r="I678" s="5" t="n">
        <f>MIN(E678*C678,P678*'Assumptions and Catalog'!$C$12*C678,(F678-G678)*'Assumptions and Catalog'!$C$11*'Assumptions and Catalog'!$C$12,E$56*'Assumptions and Catalog'!$C$14*'Assumptions and Catalog'!$C$11*'Assumptions and Catalog'!$C$12*C678,E$57*(24-'Assumptions and Catalog'!$C$13)*C678)</f>
        <v>293.5296</v>
      </c>
      <c r="J678" s="5" t="n">
        <f>MAX(F678-G678-H678,0)</f>
        <v>216.820515384616</v>
      </c>
      <c r="K678" s="5" t="n">
        <f>H678-I678</f>
        <v>15.2457846153847</v>
      </c>
      <c r="L678" s="5" t="n">
        <f>(D678+E678)*C678-G678-I678+0+IF(E$52&gt;0,'Assumptions and Catalog'!$C$26*C678,0)</f>
        <v>916.9704</v>
      </c>
      <c r="M678" s="5" t="n">
        <f>IF(ISNUMBER(Inputs!$L$5),(IF(Inputs!$L$9="Actual flat rate",((D678+E678)*C678)*Inputs!$L$10,IF(Inputs!$C$9="Residential",IF(((D678+E678)*C678)&lt;='Assumptions and Catalog'!$C$50,((D678+E678)*C678)*'Assumptions and Catalog'!$H$50+'Assumptions and Catalog'!$E$50+'Assumptions and Catalog'!$F$50,IF(((D678+E678)*C678)&lt;='Assumptions and Catalog'!$C$51,((D678+E678)*C678)*'Assumptions and Catalog'!$H$51+'Assumptions and Catalog'!$E$51+'Assumptions and Catalog'!$F$51,IF(((D678+E678)*C678)&lt;='Assumptions and Catalog'!$C$52,((D678+E678)*C678)*'Assumptions and Catalog'!$H$52+'Assumptions and Catalog'!$E$52+'Assumptions and Catalog'!$F$52,IF(((D678+E678)*C678)&lt;='Assumptions and Catalog'!$C$53,((D678+E678)*C678)*'Assumptions and Catalog'!$H$53+'Assumptions and Catalog'!$E$53+'Assumptions and Catalog'!$F$53,IF(((D678+E678)*C678)&lt;='Assumptions and Catalog'!$C$54,((D678+E678)*C678)*'Assumptions and Catalog'!$H$54+'Assumptions and Catalog'!$E$54+'Assumptions and Catalog'!$F$54,IF(((D678+E678)*C678)&lt;='Assumptions and Catalog'!$C$55,((D678+E678)*C678)*'Assumptions and Catalog'!$H$55+'Assumptions and Catalog'!$E$55+'Assumptions and Catalog'!$F$55,IF(((D678+E678)*C678)&lt;='Assumptions and Catalog'!$C$56,((D678+E678)*C678)*'Assumptions and Catalog'!$H$56+'Assumptions and Catalog'!$E$56+'Assumptions and Catalog'!$F$56,IF(((D678+E678)*C678)&lt;='Assumptions and Catalog'!$C$57,((D678+E678)*C678)*'Assumptions and Catalog'!$H$57+'Assumptions and Catalog'!$E$57+'Assumptions and Catalog'!$F$57,"Out of range")))))))),IF(((D678+E678)*C678)&lt;='Assumptions and Catalog'!$C$60,((D678+E678)*C678)*'Assumptions and Catalog'!$H$60+'Assumptions and Catalog'!$E$60+'Assumptions and Catalog'!$F$60,IF(((D678+E678)*C678)&lt;='Assumptions and Catalog'!$C$61,((D678+E678)*C678)*'Assumptions and Catalog'!$H$61+'Assumptions and Catalog'!$E$61+'Assumptions and Catalog'!$F$61,IF(((D678+E678)*C678)&lt;='Assumptions and Catalog'!$C$62,((D678+E678)*C678)*'Assumptions and Catalog'!$H$62+'Assumptions and Catalog'!$E$62+'Assumptions and Catalog'!$F$62,IF(((D678+E678)*C678)&lt;='Assumptions and Catalog'!$C$63,((D678+E678)*C678)*'Assumptions and Catalog'!$H$63+'Assumptions and Catalog'!$E$63+'Assumptions and Catalog'!$F$63,IF(((D678+E678)*C678)&lt;='Assumptions and Catalog'!$C$64,((D678+E678)*C678)*'Assumptions and Catalog'!$H$64+'Assumptions and Catalog'!$E$64+'Assumptions and Catalog'!$F$64,IF(((D678+E678)*C678)&lt;='Assumptions and Catalog'!$C$65,((D678+E678)*C678)*'Assumptions and Catalog'!$H$65+'Assumptions and Catalog'!$E$65+'Assumptions and Catalog'!$F$65,"Out of range")))))))))*(1+'Assumptions and Catalog'!$C$8)^(A678-1),0)</f>
        <v>6867.22</v>
      </c>
      <c r="N678" s="5" t="n">
        <f>IF(ISNUMBER(Inputs!$L$5),(IF(Inputs!$L$9="Actual flat rate",L678*Inputs!$L$10,IF(Inputs!$C$9="Residential",IF(L678&lt;='Assumptions and Catalog'!$C$50,L678*'Assumptions and Catalog'!$H$50+'Assumptions and Catalog'!$E$50+'Assumptions and Catalog'!$F$50,IF(L678&lt;='Assumptions and Catalog'!$C$51,L678*'Assumptions and Catalog'!$H$51+'Assumptions and Catalog'!$E$51+'Assumptions and Catalog'!$F$51,IF(L678&lt;='Assumptions and Catalog'!$C$52,L678*'Assumptions and Catalog'!$H$52+'Assumptions and Catalog'!$E$52+'Assumptions and Catalog'!$F$52,IF(L678&lt;='Assumptions and Catalog'!$C$53,L678*'Assumptions and Catalog'!$H$53+'Assumptions and Catalog'!$E$53+'Assumptions and Catalog'!$F$53,IF(L678&lt;='Assumptions and Catalog'!$C$54,L678*'Assumptions and Catalog'!$H$54+'Assumptions and Catalog'!$E$54+'Assumptions and Catalog'!$F$54,IF(L678&lt;='Assumptions and Catalog'!$C$55,L678*'Assumptions and Catalog'!$H$55+'Assumptions and Catalog'!$E$55+'Assumptions and Catalog'!$F$55,IF(L678&lt;='Assumptions and Catalog'!$C$56,L678*'Assumptions and Catalog'!$H$56+'Assumptions and Catalog'!$E$56+'Assumptions and Catalog'!$F$56,IF(L678&lt;='Assumptions and Catalog'!$C$57,L678*'Assumptions and Catalog'!$H$57+'Assumptions and Catalog'!$E$57+'Assumptions and Catalog'!$F$57,"Out of range")))))))),IF(L678&lt;='Assumptions and Catalog'!$C$60,L678*'Assumptions and Catalog'!$H$60+'Assumptions and Catalog'!$E$60+'Assumptions and Catalog'!$F$60,IF(L678&lt;='Assumptions and Catalog'!$C$61,L678*'Assumptions and Catalog'!$H$61+'Assumptions and Catalog'!$E$61+'Assumptions and Catalog'!$F$61,IF(L678&lt;='Assumptions and Catalog'!$C$62,L678*'Assumptions and Catalog'!$H$62+'Assumptions and Catalog'!$E$62+'Assumptions and Catalog'!$F$62,IF(L678&lt;='Assumptions and Catalog'!$C$63,L678*'Assumptions and Catalog'!$H$63+'Assumptions and Catalog'!$E$63+'Assumptions and Catalog'!$F$63,IF(L678&lt;='Assumptions and Catalog'!$C$64,L678*'Assumptions and Catalog'!$H$64+'Assumptions and Catalog'!$E$64+'Assumptions and Catalog'!$F$64,IF(L678&lt;='Assumptions and Catalog'!$C$65,L678*'Assumptions and Catalog'!$H$65+'Assumptions and Catalog'!$E$65+'Assumptions and Catalog'!$F$65,"Out of range")))))))))*(1+'Assumptions and Catalog'!$C$8)^(A678-1),0)</f>
        <v>2505.008008</v>
      </c>
      <c r="O678" s="5" t="n">
        <f>M678-N678</f>
        <v>4362.211992</v>
      </c>
      <c r="P678" s="5" t="n">
        <f>E$55*(1-L$14)*(1-'Assumptions and Catalog'!$C$23)^R678</f>
        <v>10.0352</v>
      </c>
      <c r="Q678" s="5" t="n">
        <f>IF(ISNUMBER(Inputs!$L$5),(IF(Inputs!$L$9="Actual flat rate",((D678+E678)*C678-G678)*Inputs!$L$10,IF(Inputs!$C$9="Residential",IF(((D678+E678)*C678-G678)&lt;='Assumptions and Catalog'!$C$50,((D678+E678)*C678-G678)*'Assumptions and Catalog'!$H$50+'Assumptions and Catalog'!$E$50+'Assumptions and Catalog'!$F$50,IF(((D678+E678)*C678-G678)&lt;='Assumptions and Catalog'!$C$51,((D678+E678)*C678-G678)*'Assumptions and Catalog'!$H$51+'Assumptions and Catalog'!$E$51+'Assumptions and Catalog'!$F$51,IF(((D678+E678)*C678-G678)&lt;='Assumptions and Catalog'!$C$52,((D678+E678)*C678-G678)*'Assumptions and Catalog'!$H$52+'Assumptions and Catalog'!$E$52+'Assumptions and Catalog'!$F$52,IF(((D678+E678)*C678-G678)&lt;='Assumptions and Catalog'!$C$53,((D678+E678)*C678-G678)*'Assumptions and Catalog'!$H$53+'Assumptions and Catalog'!$E$53+'Assumptions and Catalog'!$F$53,IF(((D678+E678)*C678-G678)&lt;='Assumptions and Catalog'!$C$54,((D678+E678)*C678-G678)*'Assumptions and Catalog'!$H$54+'Assumptions and Catalog'!$E$54+'Assumptions and Catalog'!$F$54,IF(((D678+E678)*C678-G678)&lt;='Assumptions and Catalog'!$C$55,((D678+E678)*C678-G678)*'Assumptions and Catalog'!$H$55+'Assumptions and Catalog'!$E$55+'Assumptions and Catalog'!$F$55,IF(((D678+E678)*C678-G678)&lt;='Assumptions and Catalog'!$C$56,((D678+E678)*C678-G678)*'Assumptions and Catalog'!$H$56+'Assumptions and Catalog'!$E$56+'Assumptions and Catalog'!$F$56,IF(((D678+E678)*C678-G678)&lt;='Assumptions and Catalog'!$C$57,((D678+E678)*C678-G678)*'Assumptions and Catalog'!$H$57+'Assumptions and Catalog'!$E$57+'Assumptions and Catalog'!$F$57,"Out of range")))))))),IF(((D678+E678)*C678-G678)&lt;='Assumptions and Catalog'!$C$60,((D678+E678)*C678-G678)*'Assumptions and Catalog'!$H$60+'Assumptions and Catalog'!$E$60+'Assumptions and Catalog'!$F$60,IF(((D678+E678)*C678-G678)&lt;='Assumptions and Catalog'!$C$61,((D678+E678)*C678-G678)*'Assumptions and Catalog'!$H$61+'Assumptions and Catalog'!$E$61+'Assumptions and Catalog'!$F$61,IF(((D678+E678)*C678-G678)&lt;='Assumptions and Catalog'!$C$62,((D678+E678)*C678-G678)*'Assumptions and Catalog'!$H$62+'Assumptions and Catalog'!$E$62+'Assumptions and Catalog'!$F$62,IF(((D678+E678)*C678-G678)&lt;='Assumptions and Catalog'!$C$63,((D678+E678)*C678-G678)*'Assumptions and Catalog'!$H$63+'Assumptions and Catalog'!$E$63+'Assumptions and Catalog'!$F$63,IF(((D678+E678)*C678-G678)&lt;='Assumptions and Catalog'!$C$64,((D678+E678)*C678-G678)*'Assumptions and Catalog'!$H$64+'Assumptions and Catalog'!$E$64+'Assumptions and Catalog'!$F$64,IF(((D678+E678)*C678-G678)&lt;='Assumptions and Catalog'!$C$65,((D678+E678)*C678-G678)*'Assumptions and Catalog'!$H$65+'Assumptions and Catalog'!$E$65+'Assumptions and Catalog'!$F$65,"Out of range")))))))))*(1+'Assumptions and Catalog'!$C$8)^(A678-1),0)</f>
        <v>3453.61</v>
      </c>
      <c r="R678" s="5" t="n">
        <f>IF(AND('Assumptions and Catalog'!$C$19&gt;0,A678&gt;='Assumptions and Catalog'!$C$19),A678-'Assumptions and Catalog'!$C$19,A678-1)</f>
        <v>1</v>
      </c>
      <c r="S678" s="5" t="n">
        <f>F678+L678-(D678+E678)*C678-J678-K678-IF(E$52&gt;0,'Assumptions and Catalog'!$C$26*C678,0)</f>
        <v>1.70530256582424E-013</v>
      </c>
      <c r="T678" s="5"/>
      <c r="U678" s="5"/>
    </row>
    <row r="679" ht="23.100000381469727" customHeight="1">
      <c r="A679" s="5" t="n">
        <v>2</v>
      </c>
      <c r="B679" s="5" t="n">
        <v>7</v>
      </c>
      <c r="C679" s="5" t="n">
        <f>DAY(DATE('Assumptions and Catalog'!$C$24+A679-1,B679+1,0))</f>
        <v>31</v>
      </c>
      <c r="D679" s="5" t="n">
        <f>IF(ISNUMBER(Inputs!$L$5),Inputs!$L$5*Inputs!$L$6,0)</f>
        <v>40.35</v>
      </c>
      <c r="E679" s="5" t="n">
        <f>IF(ISNUMBER(Inputs!$L$5),Inputs!$L$5-D679,0)</f>
        <v>40.35</v>
      </c>
      <c r="F679" s="5" t="n">
        <f>E$51*INDEX('Solar Production'!$D$20:$D$31,B679)*C679*(1-'Assumptions and Catalog'!$C$10)^(A679-1)</f>
        <v>1802.2037</v>
      </c>
      <c r="G679" s="5" t="n">
        <f>MIN(F679,D679*C679)</f>
        <v>1250.85</v>
      </c>
      <c r="H679" s="5" t="n">
        <f>I679/('Assumptions and Catalog'!$C$11*'Assumptions and Catalog'!$C$12)</f>
        <v>319.067897435898</v>
      </c>
      <c r="I679" s="5" t="n">
        <f>MIN(E679*C679,P679*'Assumptions and Catalog'!$C$12*C679,(F679-G679)*'Assumptions and Catalog'!$C$11*'Assumptions and Catalog'!$C$12,E$56*'Assumptions and Catalog'!$C$14*'Assumptions and Catalog'!$C$11*'Assumptions and Catalog'!$C$12*C679,E$57*(24-'Assumptions and Catalog'!$C$13)*C679)</f>
        <v>303.31392</v>
      </c>
      <c r="J679" s="5" t="n">
        <f>MAX(F679-G679-H679,0)</f>
        <v>232.285802564102</v>
      </c>
      <c r="K679" s="5" t="n">
        <f>H679-I679</f>
        <v>15.7539774358975</v>
      </c>
      <c r="L679" s="5" t="n">
        <f>(D679+E679)*C679-G679-I679+0+IF(E$52&gt;0,'Assumptions and Catalog'!$C$26*C679,0)</f>
        <v>947.53608</v>
      </c>
      <c r="M679" s="5" t="n">
        <f>IF(ISNUMBER(Inputs!$L$5),(IF(Inputs!$L$9="Actual flat rate",((D679+E679)*C679)*Inputs!$L$10,IF(Inputs!$C$9="Residential",IF(((D679+E679)*C679)&lt;='Assumptions and Catalog'!$C$50,((D679+E679)*C679)*'Assumptions and Catalog'!$H$50+'Assumptions and Catalog'!$E$50+'Assumptions and Catalog'!$F$50,IF(((D679+E679)*C679)&lt;='Assumptions and Catalog'!$C$51,((D679+E679)*C679)*'Assumptions and Catalog'!$H$51+'Assumptions and Catalog'!$E$51+'Assumptions and Catalog'!$F$51,IF(((D679+E679)*C679)&lt;='Assumptions and Catalog'!$C$52,((D679+E679)*C679)*'Assumptions and Catalog'!$H$52+'Assumptions and Catalog'!$E$52+'Assumptions and Catalog'!$F$52,IF(((D679+E679)*C679)&lt;='Assumptions and Catalog'!$C$53,((D679+E679)*C679)*'Assumptions and Catalog'!$H$53+'Assumptions and Catalog'!$E$53+'Assumptions and Catalog'!$F$53,IF(((D679+E679)*C679)&lt;='Assumptions and Catalog'!$C$54,((D679+E679)*C679)*'Assumptions and Catalog'!$H$54+'Assumptions and Catalog'!$E$54+'Assumptions and Catalog'!$F$54,IF(((D679+E679)*C679)&lt;='Assumptions and Catalog'!$C$55,((D679+E679)*C679)*'Assumptions and Catalog'!$H$55+'Assumptions and Catalog'!$E$55+'Assumptions and Catalog'!$F$55,IF(((D679+E679)*C679)&lt;='Assumptions and Catalog'!$C$56,((D679+E679)*C679)*'Assumptions and Catalog'!$H$56+'Assumptions and Catalog'!$E$56+'Assumptions and Catalog'!$F$56,IF(((D679+E679)*C679)&lt;='Assumptions and Catalog'!$C$57,((D679+E679)*C679)*'Assumptions and Catalog'!$H$57+'Assumptions and Catalog'!$E$57+'Assumptions and Catalog'!$F$57,"Out of range")))))))),IF(((D679+E679)*C679)&lt;='Assumptions and Catalog'!$C$60,((D679+E679)*C679)*'Assumptions and Catalog'!$H$60+'Assumptions and Catalog'!$E$60+'Assumptions and Catalog'!$F$60,IF(((D679+E679)*C679)&lt;='Assumptions and Catalog'!$C$61,((D679+E679)*C679)*'Assumptions and Catalog'!$H$61+'Assumptions and Catalog'!$E$61+'Assumptions and Catalog'!$F$61,IF(((D679+E679)*C679)&lt;='Assumptions and Catalog'!$C$62,((D679+E679)*C679)*'Assumptions and Catalog'!$H$62+'Assumptions and Catalog'!$E$62+'Assumptions and Catalog'!$F$62,IF(((D679+E679)*C679)&lt;='Assumptions and Catalog'!$C$63,((D679+E679)*C679)*'Assumptions and Catalog'!$H$63+'Assumptions and Catalog'!$E$63+'Assumptions and Catalog'!$F$63,IF(((D679+E679)*C679)&lt;='Assumptions and Catalog'!$C$64,((D679+E679)*C679)*'Assumptions and Catalog'!$H$64+'Assumptions and Catalog'!$E$64+'Assumptions and Catalog'!$F$64,IF(((D679+E679)*C679)&lt;='Assumptions and Catalog'!$C$65,((D679+E679)*C679)*'Assumptions and Catalog'!$H$65+'Assumptions and Catalog'!$E$65+'Assumptions and Catalog'!$F$65,"Out of range")))))))))*(1+'Assumptions and Catalog'!$C$8)^(A679-1),0)</f>
        <v>7094.794</v>
      </c>
      <c r="N679" s="5" t="n">
        <f>IF(ISNUMBER(Inputs!$L$5),(IF(Inputs!$L$9="Actual flat rate",L679*Inputs!$L$10,IF(Inputs!$C$9="Residential",IF(L679&lt;='Assumptions and Catalog'!$C$50,L679*'Assumptions and Catalog'!$H$50+'Assumptions and Catalog'!$E$50+'Assumptions and Catalog'!$F$50,IF(L679&lt;='Assumptions and Catalog'!$C$51,L679*'Assumptions and Catalog'!$H$51+'Assumptions and Catalog'!$E$51+'Assumptions and Catalog'!$F$51,IF(L679&lt;='Assumptions and Catalog'!$C$52,L679*'Assumptions and Catalog'!$H$52+'Assumptions and Catalog'!$E$52+'Assumptions and Catalog'!$F$52,IF(L679&lt;='Assumptions and Catalog'!$C$53,L679*'Assumptions and Catalog'!$H$53+'Assumptions and Catalog'!$E$53+'Assumptions and Catalog'!$F$53,IF(L679&lt;='Assumptions and Catalog'!$C$54,L679*'Assumptions and Catalog'!$H$54+'Assumptions and Catalog'!$E$54+'Assumptions and Catalog'!$F$54,IF(L679&lt;='Assumptions and Catalog'!$C$55,L679*'Assumptions and Catalog'!$H$55+'Assumptions and Catalog'!$E$55+'Assumptions and Catalog'!$F$55,IF(L679&lt;='Assumptions and Catalog'!$C$56,L679*'Assumptions and Catalog'!$H$56+'Assumptions and Catalog'!$E$56+'Assumptions and Catalog'!$F$56,IF(L679&lt;='Assumptions and Catalog'!$C$57,L679*'Assumptions and Catalog'!$H$57+'Assumptions and Catalog'!$E$57+'Assumptions and Catalog'!$F$57,"Out of range")))))))),IF(L679&lt;='Assumptions and Catalog'!$C$60,L679*'Assumptions and Catalog'!$H$60+'Assumptions and Catalog'!$E$60+'Assumptions and Catalog'!$F$60,IF(L679&lt;='Assumptions and Catalog'!$C$61,L679*'Assumptions and Catalog'!$H$61+'Assumptions and Catalog'!$E$61+'Assumptions and Catalog'!$F$61,IF(L679&lt;='Assumptions and Catalog'!$C$62,L679*'Assumptions and Catalog'!$H$62+'Assumptions and Catalog'!$E$62+'Assumptions and Catalog'!$F$62,IF(L679&lt;='Assumptions and Catalog'!$C$63,L679*'Assumptions and Catalog'!$H$63+'Assumptions and Catalog'!$E$63+'Assumptions and Catalog'!$F$63,IF(L679&lt;='Assumptions and Catalog'!$C$64,L679*'Assumptions and Catalog'!$H$64+'Assumptions and Catalog'!$E$64+'Assumptions and Catalog'!$F$64,IF(L679&lt;='Assumptions and Catalog'!$C$65,L679*'Assumptions and Catalog'!$H$65+'Assumptions and Catalog'!$E$65+'Assumptions and Catalog'!$F$65,"Out of range")))))))))*(1+'Assumptions and Catalog'!$C$8)^(A679-1),0)</f>
        <v>2589.6749416</v>
      </c>
      <c r="O679" s="5" t="n">
        <f>M679-N679</f>
        <v>4505.1190584</v>
      </c>
      <c r="P679" s="5" t="n">
        <f>E$55*(1-L$14)*(1-'Assumptions and Catalog'!$C$23)^R679</f>
        <v>10.0352</v>
      </c>
      <c r="Q679" s="5" t="n">
        <f>IF(ISNUMBER(Inputs!$L$5),(IF(Inputs!$L$9="Actual flat rate",((D679+E679)*C679-G679)*Inputs!$L$10,IF(Inputs!$C$9="Residential",IF(((D679+E679)*C679-G679)&lt;='Assumptions and Catalog'!$C$50,((D679+E679)*C679-G679)*'Assumptions and Catalog'!$H$50+'Assumptions and Catalog'!$E$50+'Assumptions and Catalog'!$F$50,IF(((D679+E679)*C679-G679)&lt;='Assumptions and Catalog'!$C$51,((D679+E679)*C679-G679)*'Assumptions and Catalog'!$H$51+'Assumptions and Catalog'!$E$51+'Assumptions and Catalog'!$F$51,IF(((D679+E679)*C679-G679)&lt;='Assumptions and Catalog'!$C$52,((D679+E679)*C679-G679)*'Assumptions and Catalog'!$H$52+'Assumptions and Catalog'!$E$52+'Assumptions and Catalog'!$F$52,IF(((D679+E679)*C679-G679)&lt;='Assumptions and Catalog'!$C$53,((D679+E679)*C679-G679)*'Assumptions and Catalog'!$H$53+'Assumptions and Catalog'!$E$53+'Assumptions and Catalog'!$F$53,IF(((D679+E679)*C679-G679)&lt;='Assumptions and Catalog'!$C$54,((D679+E679)*C679-G679)*'Assumptions and Catalog'!$H$54+'Assumptions and Catalog'!$E$54+'Assumptions and Catalog'!$F$54,IF(((D679+E679)*C679-G679)&lt;='Assumptions and Catalog'!$C$55,((D679+E679)*C679-G679)*'Assumptions and Catalog'!$H$55+'Assumptions and Catalog'!$E$55+'Assumptions and Catalog'!$F$55,IF(((D679+E679)*C679-G679)&lt;='Assumptions and Catalog'!$C$56,((D679+E679)*C679-G679)*'Assumptions and Catalog'!$H$56+'Assumptions and Catalog'!$E$56+'Assumptions and Catalog'!$F$56,IF(((D679+E679)*C679-G679)&lt;='Assumptions and Catalog'!$C$57,((D679+E679)*C679-G679)*'Assumptions and Catalog'!$H$57+'Assumptions and Catalog'!$E$57+'Assumptions and Catalog'!$F$57,"Out of range")))))))),IF(((D679+E679)*C679-G679)&lt;='Assumptions and Catalog'!$C$60,((D679+E679)*C679-G679)*'Assumptions and Catalog'!$H$60+'Assumptions and Catalog'!$E$60+'Assumptions and Catalog'!$F$60,IF(((D679+E679)*C679-G679)&lt;='Assumptions and Catalog'!$C$61,((D679+E679)*C679-G679)*'Assumptions and Catalog'!$H$61+'Assumptions and Catalog'!$E$61+'Assumptions and Catalog'!$F$61,IF(((D679+E679)*C679-G679)&lt;='Assumptions and Catalog'!$C$62,((D679+E679)*C679-G679)*'Assumptions and Catalog'!$H$62+'Assumptions and Catalog'!$E$62+'Assumptions and Catalog'!$F$62,IF(((D679+E679)*C679-G679)&lt;='Assumptions and Catalog'!$C$63,((D679+E679)*C679-G679)*'Assumptions and Catalog'!$H$63+'Assumptions and Catalog'!$E$63+'Assumptions and Catalog'!$F$63,IF(((D679+E679)*C679-G679)&lt;='Assumptions and Catalog'!$C$64,((D679+E679)*C679-G679)*'Assumptions and Catalog'!$H$64+'Assumptions and Catalog'!$E$64+'Assumptions and Catalog'!$F$64,IF(((D679+E679)*C679-G679)&lt;='Assumptions and Catalog'!$C$65,((D679+E679)*C679-G679)*'Assumptions and Catalog'!$H$65+'Assumptions and Catalog'!$E$65+'Assumptions and Catalog'!$F$65,"Out of range")))))))))*(1+'Assumptions and Catalog'!$C$8)^(A679-1),0)</f>
        <v>3567.397</v>
      </c>
      <c r="R679" s="5" t="n">
        <f>IF(AND('Assumptions and Catalog'!$C$19&gt;0,A679&gt;='Assumptions and Catalog'!$C$19),A679-'Assumptions and Catalog'!$C$19,A679-1)</f>
        <v>1</v>
      </c>
      <c r="S679" s="5" t="n">
        <f>F679+L679-(D679+E679)*C679-J679-K679-IF(E$52&gt;0,'Assumptions and Catalog'!$C$26*C679,0)</f>
        <v>-2.27373675443232E-013</v>
      </c>
      <c r="T679" s="5"/>
      <c r="U679" s="5"/>
    </row>
    <row r="680" ht="23.100000381469727" customHeight="1">
      <c r="A680" s="5" t="n">
        <v>2</v>
      </c>
      <c r="B680" s="5" t="n">
        <v>8</v>
      </c>
      <c r="C680" s="5" t="n">
        <f>DAY(DATE('Assumptions and Catalog'!$C$24+A680-1,B680+1,0))</f>
        <v>31</v>
      </c>
      <c r="D680" s="5" t="n">
        <f>IF(ISNUMBER(Inputs!$L$5),Inputs!$L$5*Inputs!$L$6,0)</f>
        <v>40.35</v>
      </c>
      <c r="E680" s="5" t="n">
        <f>IF(ISNUMBER(Inputs!$L$5),Inputs!$L$5-D680,0)</f>
        <v>40.35</v>
      </c>
      <c r="F680" s="5" t="n">
        <f>E$51*INDEX('Solar Production'!$D$20:$D$31,B680)*C680*(1-'Assumptions and Catalog'!$C$10)^(A680-1)</f>
        <v>1825.626</v>
      </c>
      <c r="G680" s="5" t="n">
        <f>MIN(F680,D680*C680)</f>
        <v>1250.85</v>
      </c>
      <c r="H680" s="5" t="n">
        <f>I680/('Assumptions and Catalog'!$C$11*'Assumptions and Catalog'!$C$12)</f>
        <v>319.067897435898</v>
      </c>
      <c r="I680" s="5" t="n">
        <f>MIN(E680*C680,P680*'Assumptions and Catalog'!$C$12*C680,(F680-G680)*'Assumptions and Catalog'!$C$11*'Assumptions and Catalog'!$C$12,E$56*'Assumptions and Catalog'!$C$14*'Assumptions and Catalog'!$C$11*'Assumptions and Catalog'!$C$12*C680,E$57*(24-'Assumptions and Catalog'!$C$13)*C680)</f>
        <v>303.31392</v>
      </c>
      <c r="J680" s="5" t="n">
        <f>MAX(F680-G680-H680,0)</f>
        <v>255.708102564102</v>
      </c>
      <c r="K680" s="5" t="n">
        <f>H680-I680</f>
        <v>15.7539774358975</v>
      </c>
      <c r="L680" s="5" t="n">
        <f>(D680+E680)*C680-G680-I680+0+IF(E$52&gt;0,'Assumptions and Catalog'!$C$26*C680,0)</f>
        <v>947.53608</v>
      </c>
      <c r="M680" s="5" t="n">
        <f>IF(ISNUMBER(Inputs!$L$5),(IF(Inputs!$L$9="Actual flat rate",((D680+E680)*C680)*Inputs!$L$10,IF(Inputs!$C$9="Residential",IF(((D680+E680)*C680)&lt;='Assumptions and Catalog'!$C$50,((D680+E680)*C680)*'Assumptions and Catalog'!$H$50+'Assumptions and Catalog'!$E$50+'Assumptions and Catalog'!$F$50,IF(((D680+E680)*C680)&lt;='Assumptions and Catalog'!$C$51,((D680+E680)*C680)*'Assumptions and Catalog'!$H$51+'Assumptions and Catalog'!$E$51+'Assumptions and Catalog'!$F$51,IF(((D680+E680)*C680)&lt;='Assumptions and Catalog'!$C$52,((D680+E680)*C680)*'Assumptions and Catalog'!$H$52+'Assumptions and Catalog'!$E$52+'Assumptions and Catalog'!$F$52,IF(((D680+E680)*C680)&lt;='Assumptions and Catalog'!$C$53,((D680+E680)*C680)*'Assumptions and Catalog'!$H$53+'Assumptions and Catalog'!$E$53+'Assumptions and Catalog'!$F$53,IF(((D680+E680)*C680)&lt;='Assumptions and Catalog'!$C$54,((D680+E680)*C680)*'Assumptions and Catalog'!$H$54+'Assumptions and Catalog'!$E$54+'Assumptions and Catalog'!$F$54,IF(((D680+E680)*C680)&lt;='Assumptions and Catalog'!$C$55,((D680+E680)*C680)*'Assumptions and Catalog'!$H$55+'Assumptions and Catalog'!$E$55+'Assumptions and Catalog'!$F$55,IF(((D680+E680)*C680)&lt;='Assumptions and Catalog'!$C$56,((D680+E680)*C680)*'Assumptions and Catalog'!$H$56+'Assumptions and Catalog'!$E$56+'Assumptions and Catalog'!$F$56,IF(((D680+E680)*C680)&lt;='Assumptions and Catalog'!$C$57,((D680+E680)*C680)*'Assumptions and Catalog'!$H$57+'Assumptions and Catalog'!$E$57+'Assumptions and Catalog'!$F$57,"Out of range")))))))),IF(((D680+E680)*C680)&lt;='Assumptions and Catalog'!$C$60,((D680+E680)*C680)*'Assumptions and Catalog'!$H$60+'Assumptions and Catalog'!$E$60+'Assumptions and Catalog'!$F$60,IF(((D680+E680)*C680)&lt;='Assumptions and Catalog'!$C$61,((D680+E680)*C680)*'Assumptions and Catalog'!$H$61+'Assumptions and Catalog'!$E$61+'Assumptions and Catalog'!$F$61,IF(((D680+E680)*C680)&lt;='Assumptions and Catalog'!$C$62,((D680+E680)*C680)*'Assumptions and Catalog'!$H$62+'Assumptions and Catalog'!$E$62+'Assumptions and Catalog'!$F$62,IF(((D680+E680)*C680)&lt;='Assumptions and Catalog'!$C$63,((D680+E680)*C680)*'Assumptions and Catalog'!$H$63+'Assumptions and Catalog'!$E$63+'Assumptions and Catalog'!$F$63,IF(((D680+E680)*C680)&lt;='Assumptions and Catalog'!$C$64,((D680+E680)*C680)*'Assumptions and Catalog'!$H$64+'Assumptions and Catalog'!$E$64+'Assumptions and Catalog'!$F$64,IF(((D680+E680)*C680)&lt;='Assumptions and Catalog'!$C$65,((D680+E680)*C680)*'Assumptions and Catalog'!$H$65+'Assumptions and Catalog'!$E$65+'Assumptions and Catalog'!$F$65,"Out of range")))))))))*(1+'Assumptions and Catalog'!$C$8)^(A680-1),0)</f>
        <v>7094.794</v>
      </c>
      <c r="N680" s="5" t="n">
        <f>IF(ISNUMBER(Inputs!$L$5),(IF(Inputs!$L$9="Actual flat rate",L680*Inputs!$L$10,IF(Inputs!$C$9="Residential",IF(L680&lt;='Assumptions and Catalog'!$C$50,L680*'Assumptions and Catalog'!$H$50+'Assumptions and Catalog'!$E$50+'Assumptions and Catalog'!$F$50,IF(L680&lt;='Assumptions and Catalog'!$C$51,L680*'Assumptions and Catalog'!$H$51+'Assumptions and Catalog'!$E$51+'Assumptions and Catalog'!$F$51,IF(L680&lt;='Assumptions and Catalog'!$C$52,L680*'Assumptions and Catalog'!$H$52+'Assumptions and Catalog'!$E$52+'Assumptions and Catalog'!$F$52,IF(L680&lt;='Assumptions and Catalog'!$C$53,L680*'Assumptions and Catalog'!$H$53+'Assumptions and Catalog'!$E$53+'Assumptions and Catalog'!$F$53,IF(L680&lt;='Assumptions and Catalog'!$C$54,L680*'Assumptions and Catalog'!$H$54+'Assumptions and Catalog'!$E$54+'Assumptions and Catalog'!$F$54,IF(L680&lt;='Assumptions and Catalog'!$C$55,L680*'Assumptions and Catalog'!$H$55+'Assumptions and Catalog'!$E$55+'Assumptions and Catalog'!$F$55,IF(L680&lt;='Assumptions and Catalog'!$C$56,L680*'Assumptions and Catalog'!$H$56+'Assumptions and Catalog'!$E$56+'Assumptions and Catalog'!$F$56,IF(L680&lt;='Assumptions and Catalog'!$C$57,L680*'Assumptions and Catalog'!$H$57+'Assumptions and Catalog'!$E$57+'Assumptions and Catalog'!$F$57,"Out of range")))))))),IF(L680&lt;='Assumptions and Catalog'!$C$60,L680*'Assumptions and Catalog'!$H$60+'Assumptions and Catalog'!$E$60+'Assumptions and Catalog'!$F$60,IF(L680&lt;='Assumptions and Catalog'!$C$61,L680*'Assumptions and Catalog'!$H$61+'Assumptions and Catalog'!$E$61+'Assumptions and Catalog'!$F$61,IF(L680&lt;='Assumptions and Catalog'!$C$62,L680*'Assumptions and Catalog'!$H$62+'Assumptions and Catalog'!$E$62+'Assumptions and Catalog'!$F$62,IF(L680&lt;='Assumptions and Catalog'!$C$63,L680*'Assumptions and Catalog'!$H$63+'Assumptions and Catalog'!$E$63+'Assumptions and Catalog'!$F$63,IF(L680&lt;='Assumptions and Catalog'!$C$64,L680*'Assumptions and Catalog'!$H$64+'Assumptions and Catalog'!$E$64+'Assumptions and Catalog'!$F$64,IF(L680&lt;='Assumptions and Catalog'!$C$65,L680*'Assumptions and Catalog'!$H$65+'Assumptions and Catalog'!$E$65+'Assumptions and Catalog'!$F$65,"Out of range")))))))))*(1+'Assumptions and Catalog'!$C$8)^(A680-1),0)</f>
        <v>2589.6749416</v>
      </c>
      <c r="O680" s="5" t="n">
        <f>M680-N680</f>
        <v>4505.1190584</v>
      </c>
      <c r="P680" s="5" t="n">
        <f>E$55*(1-L$14)*(1-'Assumptions and Catalog'!$C$23)^R680</f>
        <v>10.0352</v>
      </c>
      <c r="Q680" s="5" t="n">
        <f>IF(ISNUMBER(Inputs!$L$5),(IF(Inputs!$L$9="Actual flat rate",((D680+E680)*C680-G680)*Inputs!$L$10,IF(Inputs!$C$9="Residential",IF(((D680+E680)*C680-G680)&lt;='Assumptions and Catalog'!$C$50,((D680+E680)*C680-G680)*'Assumptions and Catalog'!$H$50+'Assumptions and Catalog'!$E$50+'Assumptions and Catalog'!$F$50,IF(((D680+E680)*C680-G680)&lt;='Assumptions and Catalog'!$C$51,((D680+E680)*C680-G680)*'Assumptions and Catalog'!$H$51+'Assumptions and Catalog'!$E$51+'Assumptions and Catalog'!$F$51,IF(((D680+E680)*C680-G680)&lt;='Assumptions and Catalog'!$C$52,((D680+E680)*C680-G680)*'Assumptions and Catalog'!$H$52+'Assumptions and Catalog'!$E$52+'Assumptions and Catalog'!$F$52,IF(((D680+E680)*C680-G680)&lt;='Assumptions and Catalog'!$C$53,((D680+E680)*C680-G680)*'Assumptions and Catalog'!$H$53+'Assumptions and Catalog'!$E$53+'Assumptions and Catalog'!$F$53,IF(((D680+E680)*C680-G680)&lt;='Assumptions and Catalog'!$C$54,((D680+E680)*C680-G680)*'Assumptions and Catalog'!$H$54+'Assumptions and Catalog'!$E$54+'Assumptions and Catalog'!$F$54,IF(((D680+E680)*C680-G680)&lt;='Assumptions and Catalog'!$C$55,((D680+E680)*C680-G680)*'Assumptions and Catalog'!$H$55+'Assumptions and Catalog'!$E$55+'Assumptions and Catalog'!$F$55,IF(((D680+E680)*C680-G680)&lt;='Assumptions and Catalog'!$C$56,((D680+E680)*C680-G680)*'Assumptions and Catalog'!$H$56+'Assumptions and Catalog'!$E$56+'Assumptions and Catalog'!$F$56,IF(((D680+E680)*C680-G680)&lt;='Assumptions and Catalog'!$C$57,((D680+E680)*C680-G680)*'Assumptions and Catalog'!$H$57+'Assumptions and Catalog'!$E$57+'Assumptions and Catalog'!$F$57,"Out of range")))))))),IF(((D680+E680)*C680-G680)&lt;='Assumptions and Catalog'!$C$60,((D680+E680)*C680-G680)*'Assumptions and Catalog'!$H$60+'Assumptions and Catalog'!$E$60+'Assumptions and Catalog'!$F$60,IF(((D680+E680)*C680-G680)&lt;='Assumptions and Catalog'!$C$61,((D680+E680)*C680-G680)*'Assumptions and Catalog'!$H$61+'Assumptions and Catalog'!$E$61+'Assumptions and Catalog'!$F$61,IF(((D680+E680)*C680-G680)&lt;='Assumptions and Catalog'!$C$62,((D680+E680)*C680-G680)*'Assumptions and Catalog'!$H$62+'Assumptions and Catalog'!$E$62+'Assumptions and Catalog'!$F$62,IF(((D680+E680)*C680-G680)&lt;='Assumptions and Catalog'!$C$63,((D680+E680)*C680-G680)*'Assumptions and Catalog'!$H$63+'Assumptions and Catalog'!$E$63+'Assumptions and Catalog'!$F$63,IF(((D680+E680)*C680-G680)&lt;='Assumptions and Catalog'!$C$64,((D680+E680)*C680-G680)*'Assumptions and Catalog'!$H$64+'Assumptions and Catalog'!$E$64+'Assumptions and Catalog'!$F$64,IF(((D680+E680)*C680-G680)&lt;='Assumptions and Catalog'!$C$65,((D680+E680)*C680-G680)*'Assumptions and Catalog'!$H$65+'Assumptions and Catalog'!$E$65+'Assumptions and Catalog'!$F$65,"Out of range")))))))))*(1+'Assumptions and Catalog'!$C$8)^(A680-1),0)</f>
        <v>3567.397</v>
      </c>
      <c r="R680" s="5" t="n">
        <f>IF(AND('Assumptions and Catalog'!$C$19&gt;0,A680&gt;='Assumptions and Catalog'!$C$19),A680-'Assumptions and Catalog'!$C$19,A680-1)</f>
        <v>1</v>
      </c>
      <c r="S680" s="5" t="n">
        <f>F680+L680-(D680+E680)*C680-J680-K680-IF(E$52&gt;0,'Assumptions and Catalog'!$C$26*C680,0)</f>
        <v>0</v>
      </c>
      <c r="T680" s="5"/>
      <c r="U680" s="5"/>
    </row>
    <row r="681" ht="23.100000381469727" customHeight="1">
      <c r="A681" s="5" t="n">
        <v>2</v>
      </c>
      <c r="B681" s="5" t="n">
        <v>9</v>
      </c>
      <c r="C681" s="5" t="n">
        <f>DAY(DATE('Assumptions and Catalog'!$C$24+A681-1,B681+1,0))</f>
        <v>30</v>
      </c>
      <c r="D681" s="5" t="n">
        <f>IF(ISNUMBER(Inputs!$L$5),Inputs!$L$5*Inputs!$L$6,0)</f>
        <v>40.35</v>
      </c>
      <c r="E681" s="5" t="n">
        <f>IF(ISNUMBER(Inputs!$L$5),Inputs!$L$5-D681,0)</f>
        <v>40.35</v>
      </c>
      <c r="F681" s="5" t="n">
        <f>E$51*INDEX('Solar Production'!$D$20:$D$31,B681)*C681*(1-'Assumptions and Catalog'!$C$10)^(A681-1)</f>
        <v>1762.145</v>
      </c>
      <c r="G681" s="5" t="n">
        <f>MIN(F681,D681*C681)</f>
        <v>1210.5</v>
      </c>
      <c r="H681" s="5" t="n">
        <f>I681/('Assumptions and Catalog'!$C$11*'Assumptions and Catalog'!$C$12)</f>
        <v>308.775384615385</v>
      </c>
      <c r="I681" s="5" t="n">
        <f>MIN(E681*C681,P681*'Assumptions and Catalog'!$C$12*C681,(F681-G681)*'Assumptions and Catalog'!$C$11*'Assumptions and Catalog'!$C$12,E$56*'Assumptions and Catalog'!$C$14*'Assumptions and Catalog'!$C$11*'Assumptions and Catalog'!$C$12*C681,E$57*(24-'Assumptions and Catalog'!$C$13)*C681)</f>
        <v>293.5296</v>
      </c>
      <c r="J681" s="5" t="n">
        <f>MAX(F681-G681-H681,0)</f>
        <v>242.869615384615</v>
      </c>
      <c r="K681" s="5" t="n">
        <f>H681-I681</f>
        <v>15.2457846153847</v>
      </c>
      <c r="L681" s="5" t="n">
        <f>(D681+E681)*C681-G681-I681+0+IF(E$52&gt;0,'Assumptions and Catalog'!$C$26*C681,0)</f>
        <v>916.9704</v>
      </c>
      <c r="M681" s="5" t="n">
        <f>IF(ISNUMBER(Inputs!$L$5),(IF(Inputs!$L$9="Actual flat rate",((D681+E681)*C681)*Inputs!$L$10,IF(Inputs!$C$9="Residential",IF(((D681+E681)*C681)&lt;='Assumptions and Catalog'!$C$50,((D681+E681)*C681)*'Assumptions and Catalog'!$H$50+'Assumptions and Catalog'!$E$50+'Assumptions and Catalog'!$F$50,IF(((D681+E681)*C681)&lt;='Assumptions and Catalog'!$C$51,((D681+E681)*C681)*'Assumptions and Catalog'!$H$51+'Assumptions and Catalog'!$E$51+'Assumptions and Catalog'!$F$51,IF(((D681+E681)*C681)&lt;='Assumptions and Catalog'!$C$52,((D681+E681)*C681)*'Assumptions and Catalog'!$H$52+'Assumptions and Catalog'!$E$52+'Assumptions and Catalog'!$F$52,IF(((D681+E681)*C681)&lt;='Assumptions and Catalog'!$C$53,((D681+E681)*C681)*'Assumptions and Catalog'!$H$53+'Assumptions and Catalog'!$E$53+'Assumptions and Catalog'!$F$53,IF(((D681+E681)*C681)&lt;='Assumptions and Catalog'!$C$54,((D681+E681)*C681)*'Assumptions and Catalog'!$H$54+'Assumptions and Catalog'!$E$54+'Assumptions and Catalog'!$F$54,IF(((D681+E681)*C681)&lt;='Assumptions and Catalog'!$C$55,((D681+E681)*C681)*'Assumptions and Catalog'!$H$55+'Assumptions and Catalog'!$E$55+'Assumptions and Catalog'!$F$55,IF(((D681+E681)*C681)&lt;='Assumptions and Catalog'!$C$56,((D681+E681)*C681)*'Assumptions and Catalog'!$H$56+'Assumptions and Catalog'!$E$56+'Assumptions and Catalog'!$F$56,IF(((D681+E681)*C681)&lt;='Assumptions and Catalog'!$C$57,((D681+E681)*C681)*'Assumptions and Catalog'!$H$57+'Assumptions and Catalog'!$E$57+'Assumptions and Catalog'!$F$57,"Out of range")))))))),IF(((D681+E681)*C681)&lt;='Assumptions and Catalog'!$C$60,((D681+E681)*C681)*'Assumptions and Catalog'!$H$60+'Assumptions and Catalog'!$E$60+'Assumptions and Catalog'!$F$60,IF(((D681+E681)*C681)&lt;='Assumptions and Catalog'!$C$61,((D681+E681)*C681)*'Assumptions and Catalog'!$H$61+'Assumptions and Catalog'!$E$61+'Assumptions and Catalog'!$F$61,IF(((D681+E681)*C681)&lt;='Assumptions and Catalog'!$C$62,((D681+E681)*C681)*'Assumptions and Catalog'!$H$62+'Assumptions and Catalog'!$E$62+'Assumptions and Catalog'!$F$62,IF(((D681+E681)*C681)&lt;='Assumptions and Catalog'!$C$63,((D681+E681)*C681)*'Assumptions and Catalog'!$H$63+'Assumptions and Catalog'!$E$63+'Assumptions and Catalog'!$F$63,IF(((D681+E681)*C681)&lt;='Assumptions and Catalog'!$C$64,((D681+E681)*C681)*'Assumptions and Catalog'!$H$64+'Assumptions and Catalog'!$E$64+'Assumptions and Catalog'!$F$64,IF(((D681+E681)*C681)&lt;='Assumptions and Catalog'!$C$65,((D681+E681)*C681)*'Assumptions and Catalog'!$H$65+'Assumptions and Catalog'!$E$65+'Assumptions and Catalog'!$F$65,"Out of range")))))))))*(1+'Assumptions and Catalog'!$C$8)^(A681-1),0)</f>
        <v>6867.22</v>
      </c>
      <c r="N681" s="5" t="n">
        <f>IF(ISNUMBER(Inputs!$L$5),(IF(Inputs!$L$9="Actual flat rate",L681*Inputs!$L$10,IF(Inputs!$C$9="Residential",IF(L681&lt;='Assumptions and Catalog'!$C$50,L681*'Assumptions and Catalog'!$H$50+'Assumptions and Catalog'!$E$50+'Assumptions and Catalog'!$F$50,IF(L681&lt;='Assumptions and Catalog'!$C$51,L681*'Assumptions and Catalog'!$H$51+'Assumptions and Catalog'!$E$51+'Assumptions and Catalog'!$F$51,IF(L681&lt;='Assumptions and Catalog'!$C$52,L681*'Assumptions and Catalog'!$H$52+'Assumptions and Catalog'!$E$52+'Assumptions and Catalog'!$F$52,IF(L681&lt;='Assumptions and Catalog'!$C$53,L681*'Assumptions and Catalog'!$H$53+'Assumptions and Catalog'!$E$53+'Assumptions and Catalog'!$F$53,IF(L681&lt;='Assumptions and Catalog'!$C$54,L681*'Assumptions and Catalog'!$H$54+'Assumptions and Catalog'!$E$54+'Assumptions and Catalog'!$F$54,IF(L681&lt;='Assumptions and Catalog'!$C$55,L681*'Assumptions and Catalog'!$H$55+'Assumptions and Catalog'!$E$55+'Assumptions and Catalog'!$F$55,IF(L681&lt;='Assumptions and Catalog'!$C$56,L681*'Assumptions and Catalog'!$H$56+'Assumptions and Catalog'!$E$56+'Assumptions and Catalog'!$F$56,IF(L681&lt;='Assumptions and Catalog'!$C$57,L681*'Assumptions and Catalog'!$H$57+'Assumptions and Catalog'!$E$57+'Assumptions and Catalog'!$F$57,"Out of range")))))))),IF(L681&lt;='Assumptions and Catalog'!$C$60,L681*'Assumptions and Catalog'!$H$60+'Assumptions and Catalog'!$E$60+'Assumptions and Catalog'!$F$60,IF(L681&lt;='Assumptions and Catalog'!$C$61,L681*'Assumptions and Catalog'!$H$61+'Assumptions and Catalog'!$E$61+'Assumptions and Catalog'!$F$61,IF(L681&lt;='Assumptions and Catalog'!$C$62,L681*'Assumptions and Catalog'!$H$62+'Assumptions and Catalog'!$E$62+'Assumptions and Catalog'!$F$62,IF(L681&lt;='Assumptions and Catalog'!$C$63,L681*'Assumptions and Catalog'!$H$63+'Assumptions and Catalog'!$E$63+'Assumptions and Catalog'!$F$63,IF(L681&lt;='Assumptions and Catalog'!$C$64,L681*'Assumptions and Catalog'!$H$64+'Assumptions and Catalog'!$E$64+'Assumptions and Catalog'!$F$64,IF(L681&lt;='Assumptions and Catalog'!$C$65,L681*'Assumptions and Catalog'!$H$65+'Assumptions and Catalog'!$E$65+'Assumptions and Catalog'!$F$65,"Out of range")))))))))*(1+'Assumptions and Catalog'!$C$8)^(A681-1),0)</f>
        <v>2505.008008</v>
      </c>
      <c r="O681" s="5" t="n">
        <f>M681-N681</f>
        <v>4362.211992</v>
      </c>
      <c r="P681" s="5" t="n">
        <f>E$55*(1-L$14)*(1-'Assumptions and Catalog'!$C$23)^R681</f>
        <v>10.0352</v>
      </c>
      <c r="Q681" s="5" t="n">
        <f>IF(ISNUMBER(Inputs!$L$5),(IF(Inputs!$L$9="Actual flat rate",((D681+E681)*C681-G681)*Inputs!$L$10,IF(Inputs!$C$9="Residential",IF(((D681+E681)*C681-G681)&lt;='Assumptions and Catalog'!$C$50,((D681+E681)*C681-G681)*'Assumptions and Catalog'!$H$50+'Assumptions and Catalog'!$E$50+'Assumptions and Catalog'!$F$50,IF(((D681+E681)*C681-G681)&lt;='Assumptions and Catalog'!$C$51,((D681+E681)*C681-G681)*'Assumptions and Catalog'!$H$51+'Assumptions and Catalog'!$E$51+'Assumptions and Catalog'!$F$51,IF(((D681+E681)*C681-G681)&lt;='Assumptions and Catalog'!$C$52,((D681+E681)*C681-G681)*'Assumptions and Catalog'!$H$52+'Assumptions and Catalog'!$E$52+'Assumptions and Catalog'!$F$52,IF(((D681+E681)*C681-G681)&lt;='Assumptions and Catalog'!$C$53,((D681+E681)*C681-G681)*'Assumptions and Catalog'!$H$53+'Assumptions and Catalog'!$E$53+'Assumptions and Catalog'!$F$53,IF(((D681+E681)*C681-G681)&lt;='Assumptions and Catalog'!$C$54,((D681+E681)*C681-G681)*'Assumptions and Catalog'!$H$54+'Assumptions and Catalog'!$E$54+'Assumptions and Catalog'!$F$54,IF(((D681+E681)*C681-G681)&lt;='Assumptions and Catalog'!$C$55,((D681+E681)*C681-G681)*'Assumptions and Catalog'!$H$55+'Assumptions and Catalog'!$E$55+'Assumptions and Catalog'!$F$55,IF(((D681+E681)*C681-G681)&lt;='Assumptions and Catalog'!$C$56,((D681+E681)*C681-G681)*'Assumptions and Catalog'!$H$56+'Assumptions and Catalog'!$E$56+'Assumptions and Catalog'!$F$56,IF(((D681+E681)*C681-G681)&lt;='Assumptions and Catalog'!$C$57,((D681+E681)*C681-G681)*'Assumptions and Catalog'!$H$57+'Assumptions and Catalog'!$E$57+'Assumptions and Catalog'!$F$57,"Out of range")))))))),IF(((D681+E681)*C681-G681)&lt;='Assumptions and Catalog'!$C$60,((D681+E681)*C681-G681)*'Assumptions and Catalog'!$H$60+'Assumptions and Catalog'!$E$60+'Assumptions and Catalog'!$F$60,IF(((D681+E681)*C681-G681)&lt;='Assumptions and Catalog'!$C$61,((D681+E681)*C681-G681)*'Assumptions and Catalog'!$H$61+'Assumptions and Catalog'!$E$61+'Assumptions and Catalog'!$F$61,IF(((D681+E681)*C681-G681)&lt;='Assumptions and Catalog'!$C$62,((D681+E681)*C681-G681)*'Assumptions and Catalog'!$H$62+'Assumptions and Catalog'!$E$62+'Assumptions and Catalog'!$F$62,IF(((D681+E681)*C681-G681)&lt;='Assumptions and Catalog'!$C$63,((D681+E681)*C681-G681)*'Assumptions and Catalog'!$H$63+'Assumptions and Catalog'!$E$63+'Assumptions and Catalog'!$F$63,IF(((D681+E681)*C681-G681)&lt;='Assumptions and Catalog'!$C$64,((D681+E681)*C681-G681)*'Assumptions and Catalog'!$H$64+'Assumptions and Catalog'!$E$64+'Assumptions and Catalog'!$F$64,IF(((D681+E681)*C681-G681)&lt;='Assumptions and Catalog'!$C$65,((D681+E681)*C681-G681)*'Assumptions and Catalog'!$H$65+'Assumptions and Catalog'!$E$65+'Assumptions and Catalog'!$F$65,"Out of range")))))))))*(1+'Assumptions and Catalog'!$C$8)^(A681-1),0)</f>
        <v>3453.61</v>
      </c>
      <c r="R681" s="5" t="n">
        <f>IF(AND('Assumptions and Catalog'!$C$19&gt;0,A681&gt;='Assumptions and Catalog'!$C$19),A681-'Assumptions and Catalog'!$C$19,A681-1)</f>
        <v>1</v>
      </c>
      <c r="S681" s="5" t="n">
        <f>F681+L681-(D681+E681)*C681-J681-K681-IF(E$52&gt;0,'Assumptions and Catalog'!$C$26*C681,0)</f>
        <v>-2.8421709430404E-013</v>
      </c>
      <c r="T681" s="5"/>
      <c r="U681" s="5"/>
    </row>
    <row r="682" ht="23.100000381469727" customHeight="1">
      <c r="A682" s="5" t="n">
        <v>2</v>
      </c>
      <c r="B682" s="5" t="n">
        <v>10</v>
      </c>
      <c r="C682" s="5" t="n">
        <f>DAY(DATE('Assumptions and Catalog'!$C$24+A682-1,B682+1,0))</f>
        <v>31</v>
      </c>
      <c r="D682" s="5" t="n">
        <f>IF(ISNUMBER(Inputs!$L$5),Inputs!$L$5*Inputs!$L$6,0)</f>
        <v>40.35</v>
      </c>
      <c r="E682" s="5" t="n">
        <f>IF(ISNUMBER(Inputs!$L$5),Inputs!$L$5-D682,0)</f>
        <v>40.35</v>
      </c>
      <c r="F682" s="5" t="n">
        <f>E$51*INDEX('Solar Production'!$D$20:$D$31,B682)*C682*(1-'Assumptions and Catalog'!$C$10)^(A682-1)</f>
        <v>1691.33085</v>
      </c>
      <c r="G682" s="5" t="n">
        <f>MIN(F682,D682*C682)</f>
        <v>1250.85</v>
      </c>
      <c r="H682" s="5" t="n">
        <f>I682/('Assumptions and Catalog'!$C$11*'Assumptions and Catalog'!$C$12)</f>
        <v>319.067897435898</v>
      </c>
      <c r="I682" s="5" t="n">
        <f>MIN(E682*C682,P682*'Assumptions and Catalog'!$C$12*C682,(F682-G682)*'Assumptions and Catalog'!$C$11*'Assumptions and Catalog'!$C$12,E$56*'Assumptions and Catalog'!$C$14*'Assumptions and Catalog'!$C$11*'Assumptions and Catalog'!$C$12*C682,E$57*(24-'Assumptions and Catalog'!$C$13)*C682)</f>
        <v>303.31392</v>
      </c>
      <c r="J682" s="5" t="n">
        <f>MAX(F682-G682-H682,0)</f>
        <v>121.412952564102</v>
      </c>
      <c r="K682" s="5" t="n">
        <f>H682-I682</f>
        <v>15.7539774358975</v>
      </c>
      <c r="L682" s="5" t="n">
        <f>(D682+E682)*C682-G682-I682+0+IF(E$52&gt;0,'Assumptions and Catalog'!$C$26*C682,0)</f>
        <v>947.53608</v>
      </c>
      <c r="M682" s="5" t="n">
        <f>IF(ISNUMBER(Inputs!$L$5),(IF(Inputs!$L$9="Actual flat rate",((D682+E682)*C682)*Inputs!$L$10,IF(Inputs!$C$9="Residential",IF(((D682+E682)*C682)&lt;='Assumptions and Catalog'!$C$50,((D682+E682)*C682)*'Assumptions and Catalog'!$H$50+'Assumptions and Catalog'!$E$50+'Assumptions and Catalog'!$F$50,IF(((D682+E682)*C682)&lt;='Assumptions and Catalog'!$C$51,((D682+E682)*C682)*'Assumptions and Catalog'!$H$51+'Assumptions and Catalog'!$E$51+'Assumptions and Catalog'!$F$51,IF(((D682+E682)*C682)&lt;='Assumptions and Catalog'!$C$52,((D682+E682)*C682)*'Assumptions and Catalog'!$H$52+'Assumptions and Catalog'!$E$52+'Assumptions and Catalog'!$F$52,IF(((D682+E682)*C682)&lt;='Assumptions and Catalog'!$C$53,((D682+E682)*C682)*'Assumptions and Catalog'!$H$53+'Assumptions and Catalog'!$E$53+'Assumptions and Catalog'!$F$53,IF(((D682+E682)*C682)&lt;='Assumptions and Catalog'!$C$54,((D682+E682)*C682)*'Assumptions and Catalog'!$H$54+'Assumptions and Catalog'!$E$54+'Assumptions and Catalog'!$F$54,IF(((D682+E682)*C682)&lt;='Assumptions and Catalog'!$C$55,((D682+E682)*C682)*'Assumptions and Catalog'!$H$55+'Assumptions and Catalog'!$E$55+'Assumptions and Catalog'!$F$55,IF(((D682+E682)*C682)&lt;='Assumptions and Catalog'!$C$56,((D682+E682)*C682)*'Assumptions and Catalog'!$H$56+'Assumptions and Catalog'!$E$56+'Assumptions and Catalog'!$F$56,IF(((D682+E682)*C682)&lt;='Assumptions and Catalog'!$C$57,((D682+E682)*C682)*'Assumptions and Catalog'!$H$57+'Assumptions and Catalog'!$E$57+'Assumptions and Catalog'!$F$57,"Out of range")))))))),IF(((D682+E682)*C682)&lt;='Assumptions and Catalog'!$C$60,((D682+E682)*C682)*'Assumptions and Catalog'!$H$60+'Assumptions and Catalog'!$E$60+'Assumptions and Catalog'!$F$60,IF(((D682+E682)*C682)&lt;='Assumptions and Catalog'!$C$61,((D682+E682)*C682)*'Assumptions and Catalog'!$H$61+'Assumptions and Catalog'!$E$61+'Assumptions and Catalog'!$F$61,IF(((D682+E682)*C682)&lt;='Assumptions and Catalog'!$C$62,((D682+E682)*C682)*'Assumptions and Catalog'!$H$62+'Assumptions and Catalog'!$E$62+'Assumptions and Catalog'!$F$62,IF(((D682+E682)*C682)&lt;='Assumptions and Catalog'!$C$63,((D682+E682)*C682)*'Assumptions and Catalog'!$H$63+'Assumptions and Catalog'!$E$63+'Assumptions and Catalog'!$F$63,IF(((D682+E682)*C682)&lt;='Assumptions and Catalog'!$C$64,((D682+E682)*C682)*'Assumptions and Catalog'!$H$64+'Assumptions and Catalog'!$E$64+'Assumptions and Catalog'!$F$64,IF(((D682+E682)*C682)&lt;='Assumptions and Catalog'!$C$65,((D682+E682)*C682)*'Assumptions and Catalog'!$H$65+'Assumptions and Catalog'!$E$65+'Assumptions and Catalog'!$F$65,"Out of range")))))))))*(1+'Assumptions and Catalog'!$C$8)^(A682-1),0)</f>
        <v>7094.794</v>
      </c>
      <c r="N682" s="5" t="n">
        <f>IF(ISNUMBER(Inputs!$L$5),(IF(Inputs!$L$9="Actual flat rate",L682*Inputs!$L$10,IF(Inputs!$C$9="Residential",IF(L682&lt;='Assumptions and Catalog'!$C$50,L682*'Assumptions and Catalog'!$H$50+'Assumptions and Catalog'!$E$50+'Assumptions and Catalog'!$F$50,IF(L682&lt;='Assumptions and Catalog'!$C$51,L682*'Assumptions and Catalog'!$H$51+'Assumptions and Catalog'!$E$51+'Assumptions and Catalog'!$F$51,IF(L682&lt;='Assumptions and Catalog'!$C$52,L682*'Assumptions and Catalog'!$H$52+'Assumptions and Catalog'!$E$52+'Assumptions and Catalog'!$F$52,IF(L682&lt;='Assumptions and Catalog'!$C$53,L682*'Assumptions and Catalog'!$H$53+'Assumptions and Catalog'!$E$53+'Assumptions and Catalog'!$F$53,IF(L682&lt;='Assumptions and Catalog'!$C$54,L682*'Assumptions and Catalog'!$H$54+'Assumptions and Catalog'!$E$54+'Assumptions and Catalog'!$F$54,IF(L682&lt;='Assumptions and Catalog'!$C$55,L682*'Assumptions and Catalog'!$H$55+'Assumptions and Catalog'!$E$55+'Assumptions and Catalog'!$F$55,IF(L682&lt;='Assumptions and Catalog'!$C$56,L682*'Assumptions and Catalog'!$H$56+'Assumptions and Catalog'!$E$56+'Assumptions and Catalog'!$F$56,IF(L682&lt;='Assumptions and Catalog'!$C$57,L682*'Assumptions and Catalog'!$H$57+'Assumptions and Catalog'!$E$57+'Assumptions and Catalog'!$F$57,"Out of range")))))))),IF(L682&lt;='Assumptions and Catalog'!$C$60,L682*'Assumptions and Catalog'!$H$60+'Assumptions and Catalog'!$E$60+'Assumptions and Catalog'!$F$60,IF(L682&lt;='Assumptions and Catalog'!$C$61,L682*'Assumptions and Catalog'!$H$61+'Assumptions and Catalog'!$E$61+'Assumptions and Catalog'!$F$61,IF(L682&lt;='Assumptions and Catalog'!$C$62,L682*'Assumptions and Catalog'!$H$62+'Assumptions and Catalog'!$E$62+'Assumptions and Catalog'!$F$62,IF(L682&lt;='Assumptions and Catalog'!$C$63,L682*'Assumptions and Catalog'!$H$63+'Assumptions and Catalog'!$E$63+'Assumptions and Catalog'!$F$63,IF(L682&lt;='Assumptions and Catalog'!$C$64,L682*'Assumptions and Catalog'!$H$64+'Assumptions and Catalog'!$E$64+'Assumptions and Catalog'!$F$64,IF(L682&lt;='Assumptions and Catalog'!$C$65,L682*'Assumptions and Catalog'!$H$65+'Assumptions and Catalog'!$E$65+'Assumptions and Catalog'!$F$65,"Out of range")))))))))*(1+'Assumptions and Catalog'!$C$8)^(A682-1),0)</f>
        <v>2589.6749416</v>
      </c>
      <c r="O682" s="5" t="n">
        <f>M682-N682</f>
        <v>4505.1190584</v>
      </c>
      <c r="P682" s="5" t="n">
        <f>E$55*(1-L$14)*(1-'Assumptions and Catalog'!$C$23)^R682</f>
        <v>10.0352</v>
      </c>
      <c r="Q682" s="5" t="n">
        <f>IF(ISNUMBER(Inputs!$L$5),(IF(Inputs!$L$9="Actual flat rate",((D682+E682)*C682-G682)*Inputs!$L$10,IF(Inputs!$C$9="Residential",IF(((D682+E682)*C682-G682)&lt;='Assumptions and Catalog'!$C$50,((D682+E682)*C682-G682)*'Assumptions and Catalog'!$H$50+'Assumptions and Catalog'!$E$50+'Assumptions and Catalog'!$F$50,IF(((D682+E682)*C682-G682)&lt;='Assumptions and Catalog'!$C$51,((D682+E682)*C682-G682)*'Assumptions and Catalog'!$H$51+'Assumptions and Catalog'!$E$51+'Assumptions and Catalog'!$F$51,IF(((D682+E682)*C682-G682)&lt;='Assumptions and Catalog'!$C$52,((D682+E682)*C682-G682)*'Assumptions and Catalog'!$H$52+'Assumptions and Catalog'!$E$52+'Assumptions and Catalog'!$F$52,IF(((D682+E682)*C682-G682)&lt;='Assumptions and Catalog'!$C$53,((D682+E682)*C682-G682)*'Assumptions and Catalog'!$H$53+'Assumptions and Catalog'!$E$53+'Assumptions and Catalog'!$F$53,IF(((D682+E682)*C682-G682)&lt;='Assumptions and Catalog'!$C$54,((D682+E682)*C682-G682)*'Assumptions and Catalog'!$H$54+'Assumptions and Catalog'!$E$54+'Assumptions and Catalog'!$F$54,IF(((D682+E682)*C682-G682)&lt;='Assumptions and Catalog'!$C$55,((D682+E682)*C682-G682)*'Assumptions and Catalog'!$H$55+'Assumptions and Catalog'!$E$55+'Assumptions and Catalog'!$F$55,IF(((D682+E682)*C682-G682)&lt;='Assumptions and Catalog'!$C$56,((D682+E682)*C682-G682)*'Assumptions and Catalog'!$H$56+'Assumptions and Catalog'!$E$56+'Assumptions and Catalog'!$F$56,IF(((D682+E682)*C682-G682)&lt;='Assumptions and Catalog'!$C$57,((D682+E682)*C682-G682)*'Assumptions and Catalog'!$H$57+'Assumptions and Catalog'!$E$57+'Assumptions and Catalog'!$F$57,"Out of range")))))))),IF(((D682+E682)*C682-G682)&lt;='Assumptions and Catalog'!$C$60,((D682+E682)*C682-G682)*'Assumptions and Catalog'!$H$60+'Assumptions and Catalog'!$E$60+'Assumptions and Catalog'!$F$60,IF(((D682+E682)*C682-G682)&lt;='Assumptions and Catalog'!$C$61,((D682+E682)*C682-G682)*'Assumptions and Catalog'!$H$61+'Assumptions and Catalog'!$E$61+'Assumptions and Catalog'!$F$61,IF(((D682+E682)*C682-G682)&lt;='Assumptions and Catalog'!$C$62,((D682+E682)*C682-G682)*'Assumptions and Catalog'!$H$62+'Assumptions and Catalog'!$E$62+'Assumptions and Catalog'!$F$62,IF(((D682+E682)*C682-G682)&lt;='Assumptions and Catalog'!$C$63,((D682+E682)*C682-G682)*'Assumptions and Catalog'!$H$63+'Assumptions and Catalog'!$E$63+'Assumptions and Catalog'!$F$63,IF(((D682+E682)*C682-G682)&lt;='Assumptions and Catalog'!$C$64,((D682+E682)*C682-G682)*'Assumptions and Catalog'!$H$64+'Assumptions and Catalog'!$E$64+'Assumptions and Catalog'!$F$64,IF(((D682+E682)*C682-G682)&lt;='Assumptions and Catalog'!$C$65,((D682+E682)*C682-G682)*'Assumptions and Catalog'!$H$65+'Assumptions and Catalog'!$E$65+'Assumptions and Catalog'!$F$65,"Out of range")))))))))*(1+'Assumptions and Catalog'!$C$8)^(A682-1),0)</f>
        <v>3567.397</v>
      </c>
      <c r="R682" s="5" t="n">
        <f>IF(AND('Assumptions and Catalog'!$C$19&gt;0,A682&gt;='Assumptions and Catalog'!$C$19),A682-'Assumptions and Catalog'!$C$19,A682-1)</f>
        <v>1</v>
      </c>
      <c r="S682" s="5" t="n">
        <f>F682+L682-(D682+E682)*C682-J682-K682-IF(E$52&gt;0,'Assumptions and Catalog'!$C$26*C682,0)</f>
        <v>0</v>
      </c>
      <c r="T682" s="5"/>
      <c r="U682" s="5"/>
    </row>
    <row r="683" ht="23.100000381469727" customHeight="1">
      <c r="A683" s="5" t="n">
        <v>2</v>
      </c>
      <c r="B683" s="5" t="n">
        <v>11</v>
      </c>
      <c r="C683" s="5" t="n">
        <f>DAY(DATE('Assumptions and Catalog'!$C$24+A683-1,B683+1,0))</f>
        <v>30</v>
      </c>
      <c r="D683" s="5" t="n">
        <f>IF(ISNUMBER(Inputs!$L$5),Inputs!$L$5*Inputs!$L$6,0)</f>
        <v>40.35</v>
      </c>
      <c r="E683" s="5" t="n">
        <f>IF(ISNUMBER(Inputs!$L$5),Inputs!$L$5-D683,0)</f>
        <v>40.35</v>
      </c>
      <c r="F683" s="5" t="n">
        <f>E$51*INDEX('Solar Production'!$D$20:$D$31,B683)*C683*(1-'Assumptions and Catalog'!$C$10)^(A683-1)</f>
        <v>1499.13665</v>
      </c>
      <c r="G683" s="5" t="n">
        <f>MIN(F683,D683*C683)</f>
        <v>1210.5</v>
      </c>
      <c r="H683" s="5" t="n">
        <f>I683/('Assumptions and Catalog'!$C$11*'Assumptions and Catalog'!$C$12)</f>
        <v>288.63665</v>
      </c>
      <c r="I683" s="5" t="n">
        <f>MIN(E683*C683,P683*'Assumptions and Catalog'!$C$12*C683,(F683-G683)*'Assumptions and Catalog'!$C$11*'Assumptions and Catalog'!$C$12,E$56*'Assumptions and Catalog'!$C$14*'Assumptions and Catalog'!$C$11*'Assumptions and Catalog'!$C$12*C683,E$57*(24-'Assumptions and Catalog'!$C$13)*C683)</f>
        <v>274.38521540625</v>
      </c>
      <c r="J683" s="5" t="n">
        <f>MAX(F683-G683-H683,0)</f>
        <v>0</v>
      </c>
      <c r="K683" s="5" t="n">
        <f>H683-I683</f>
        <v>14.25143459375</v>
      </c>
      <c r="L683" s="5" t="n">
        <f>(D683+E683)*C683-G683-I683+0+IF(E$52&gt;0,'Assumptions and Catalog'!$C$26*C683,0)</f>
        <v>936.11478459375</v>
      </c>
      <c r="M683" s="5" t="n">
        <f>IF(ISNUMBER(Inputs!$L$5),(IF(Inputs!$L$9="Actual flat rate",((D683+E683)*C683)*Inputs!$L$10,IF(Inputs!$C$9="Residential",IF(((D683+E683)*C683)&lt;='Assumptions and Catalog'!$C$50,((D683+E683)*C683)*'Assumptions and Catalog'!$H$50+'Assumptions and Catalog'!$E$50+'Assumptions and Catalog'!$F$50,IF(((D683+E683)*C683)&lt;='Assumptions and Catalog'!$C$51,((D683+E683)*C683)*'Assumptions and Catalog'!$H$51+'Assumptions and Catalog'!$E$51+'Assumptions and Catalog'!$F$51,IF(((D683+E683)*C683)&lt;='Assumptions and Catalog'!$C$52,((D683+E683)*C683)*'Assumptions and Catalog'!$H$52+'Assumptions and Catalog'!$E$52+'Assumptions and Catalog'!$F$52,IF(((D683+E683)*C683)&lt;='Assumptions and Catalog'!$C$53,((D683+E683)*C683)*'Assumptions and Catalog'!$H$53+'Assumptions and Catalog'!$E$53+'Assumptions and Catalog'!$F$53,IF(((D683+E683)*C683)&lt;='Assumptions and Catalog'!$C$54,((D683+E683)*C683)*'Assumptions and Catalog'!$H$54+'Assumptions and Catalog'!$E$54+'Assumptions and Catalog'!$F$54,IF(((D683+E683)*C683)&lt;='Assumptions and Catalog'!$C$55,((D683+E683)*C683)*'Assumptions and Catalog'!$H$55+'Assumptions and Catalog'!$E$55+'Assumptions and Catalog'!$F$55,IF(((D683+E683)*C683)&lt;='Assumptions and Catalog'!$C$56,((D683+E683)*C683)*'Assumptions and Catalog'!$H$56+'Assumptions and Catalog'!$E$56+'Assumptions and Catalog'!$F$56,IF(((D683+E683)*C683)&lt;='Assumptions and Catalog'!$C$57,((D683+E683)*C683)*'Assumptions and Catalog'!$H$57+'Assumptions and Catalog'!$E$57+'Assumptions and Catalog'!$F$57,"Out of range")))))))),IF(((D683+E683)*C683)&lt;='Assumptions and Catalog'!$C$60,((D683+E683)*C683)*'Assumptions and Catalog'!$H$60+'Assumptions and Catalog'!$E$60+'Assumptions and Catalog'!$F$60,IF(((D683+E683)*C683)&lt;='Assumptions and Catalog'!$C$61,((D683+E683)*C683)*'Assumptions and Catalog'!$H$61+'Assumptions and Catalog'!$E$61+'Assumptions and Catalog'!$F$61,IF(((D683+E683)*C683)&lt;='Assumptions and Catalog'!$C$62,((D683+E683)*C683)*'Assumptions and Catalog'!$H$62+'Assumptions and Catalog'!$E$62+'Assumptions and Catalog'!$F$62,IF(((D683+E683)*C683)&lt;='Assumptions and Catalog'!$C$63,((D683+E683)*C683)*'Assumptions and Catalog'!$H$63+'Assumptions and Catalog'!$E$63+'Assumptions and Catalog'!$F$63,IF(((D683+E683)*C683)&lt;='Assumptions and Catalog'!$C$64,((D683+E683)*C683)*'Assumptions and Catalog'!$H$64+'Assumptions and Catalog'!$E$64+'Assumptions and Catalog'!$F$64,IF(((D683+E683)*C683)&lt;='Assumptions and Catalog'!$C$65,((D683+E683)*C683)*'Assumptions and Catalog'!$H$65+'Assumptions and Catalog'!$E$65+'Assumptions and Catalog'!$F$65,"Out of range")))))))))*(1+'Assumptions and Catalog'!$C$8)^(A683-1),0)</f>
        <v>6867.22</v>
      </c>
      <c r="N683" s="5" t="n">
        <f>IF(ISNUMBER(Inputs!$L$5),(IF(Inputs!$L$9="Actual flat rate",L683*Inputs!$L$10,IF(Inputs!$C$9="Residential",IF(L683&lt;='Assumptions and Catalog'!$C$50,L683*'Assumptions and Catalog'!$H$50+'Assumptions and Catalog'!$E$50+'Assumptions and Catalog'!$F$50,IF(L683&lt;='Assumptions and Catalog'!$C$51,L683*'Assumptions and Catalog'!$H$51+'Assumptions and Catalog'!$E$51+'Assumptions and Catalog'!$F$51,IF(L683&lt;='Assumptions and Catalog'!$C$52,L683*'Assumptions and Catalog'!$H$52+'Assumptions and Catalog'!$E$52+'Assumptions and Catalog'!$F$52,IF(L683&lt;='Assumptions and Catalog'!$C$53,L683*'Assumptions and Catalog'!$H$53+'Assumptions and Catalog'!$E$53+'Assumptions and Catalog'!$F$53,IF(L683&lt;='Assumptions and Catalog'!$C$54,L683*'Assumptions and Catalog'!$H$54+'Assumptions and Catalog'!$E$54+'Assumptions and Catalog'!$F$54,IF(L683&lt;='Assumptions and Catalog'!$C$55,L683*'Assumptions and Catalog'!$H$55+'Assumptions and Catalog'!$E$55+'Assumptions and Catalog'!$F$55,IF(L683&lt;='Assumptions and Catalog'!$C$56,L683*'Assumptions and Catalog'!$H$56+'Assumptions and Catalog'!$E$56+'Assumptions and Catalog'!$F$56,IF(L683&lt;='Assumptions and Catalog'!$C$57,L683*'Assumptions and Catalog'!$H$57+'Assumptions and Catalog'!$E$57+'Assumptions and Catalog'!$F$57,"Out of range")))))))),IF(L683&lt;='Assumptions and Catalog'!$C$60,L683*'Assumptions and Catalog'!$H$60+'Assumptions and Catalog'!$E$60+'Assumptions and Catalog'!$F$60,IF(L683&lt;='Assumptions and Catalog'!$C$61,L683*'Assumptions and Catalog'!$H$61+'Assumptions and Catalog'!$E$61+'Assumptions and Catalog'!$F$61,IF(L683&lt;='Assumptions and Catalog'!$C$62,L683*'Assumptions and Catalog'!$H$62+'Assumptions and Catalog'!$E$62+'Assumptions and Catalog'!$F$62,IF(L683&lt;='Assumptions and Catalog'!$C$63,L683*'Assumptions and Catalog'!$H$63+'Assumptions and Catalog'!$E$63+'Assumptions and Catalog'!$F$63,IF(L683&lt;='Assumptions and Catalog'!$C$64,L683*'Assumptions and Catalog'!$H$64+'Assumptions and Catalog'!$E$64+'Assumptions and Catalog'!$F$64,IF(L683&lt;='Assumptions and Catalog'!$C$65,L683*'Assumptions and Catalog'!$H$65+'Assumptions and Catalog'!$E$65+'Assumptions and Catalog'!$F$65,"Out of range")))))))))*(1+'Assumptions and Catalog'!$C$8)^(A683-1),0)</f>
        <v>2558.03795332469</v>
      </c>
      <c r="O683" s="5" t="n">
        <f>M683-N683</f>
        <v>4309.18204667531</v>
      </c>
      <c r="P683" s="5" t="n">
        <f>E$55*(1-L$14)*(1-'Assumptions and Catalog'!$C$23)^R683</f>
        <v>10.0352</v>
      </c>
      <c r="Q683" s="5" t="n">
        <f>IF(ISNUMBER(Inputs!$L$5),(IF(Inputs!$L$9="Actual flat rate",((D683+E683)*C683-G683)*Inputs!$L$10,IF(Inputs!$C$9="Residential",IF(((D683+E683)*C683-G683)&lt;='Assumptions and Catalog'!$C$50,((D683+E683)*C683-G683)*'Assumptions and Catalog'!$H$50+'Assumptions and Catalog'!$E$50+'Assumptions and Catalog'!$F$50,IF(((D683+E683)*C683-G683)&lt;='Assumptions and Catalog'!$C$51,((D683+E683)*C683-G683)*'Assumptions and Catalog'!$H$51+'Assumptions and Catalog'!$E$51+'Assumptions and Catalog'!$F$51,IF(((D683+E683)*C683-G683)&lt;='Assumptions and Catalog'!$C$52,((D683+E683)*C683-G683)*'Assumptions and Catalog'!$H$52+'Assumptions and Catalog'!$E$52+'Assumptions and Catalog'!$F$52,IF(((D683+E683)*C683-G683)&lt;='Assumptions and Catalog'!$C$53,((D683+E683)*C683-G683)*'Assumptions and Catalog'!$H$53+'Assumptions and Catalog'!$E$53+'Assumptions and Catalog'!$F$53,IF(((D683+E683)*C683-G683)&lt;='Assumptions and Catalog'!$C$54,((D683+E683)*C683-G683)*'Assumptions and Catalog'!$H$54+'Assumptions and Catalog'!$E$54+'Assumptions and Catalog'!$F$54,IF(((D683+E683)*C683-G683)&lt;='Assumptions and Catalog'!$C$55,((D683+E683)*C683-G683)*'Assumptions and Catalog'!$H$55+'Assumptions and Catalog'!$E$55+'Assumptions and Catalog'!$F$55,IF(((D683+E683)*C683-G683)&lt;='Assumptions and Catalog'!$C$56,((D683+E683)*C683-G683)*'Assumptions and Catalog'!$H$56+'Assumptions and Catalog'!$E$56+'Assumptions and Catalog'!$F$56,IF(((D683+E683)*C683-G683)&lt;='Assumptions and Catalog'!$C$57,((D683+E683)*C683-G683)*'Assumptions and Catalog'!$H$57+'Assumptions and Catalog'!$E$57+'Assumptions and Catalog'!$F$57,"Out of range")))))))),IF(((D683+E683)*C683-G683)&lt;='Assumptions and Catalog'!$C$60,((D683+E683)*C683-G683)*'Assumptions and Catalog'!$H$60+'Assumptions and Catalog'!$E$60+'Assumptions and Catalog'!$F$60,IF(((D683+E683)*C683-G683)&lt;='Assumptions and Catalog'!$C$61,((D683+E683)*C683-G683)*'Assumptions and Catalog'!$H$61+'Assumptions and Catalog'!$E$61+'Assumptions and Catalog'!$F$61,IF(((D683+E683)*C683-G683)&lt;='Assumptions and Catalog'!$C$62,((D683+E683)*C683-G683)*'Assumptions and Catalog'!$H$62+'Assumptions and Catalog'!$E$62+'Assumptions and Catalog'!$F$62,IF(((D683+E683)*C683-G683)&lt;='Assumptions and Catalog'!$C$63,((D683+E683)*C683-G683)*'Assumptions and Catalog'!$H$63+'Assumptions and Catalog'!$E$63+'Assumptions and Catalog'!$F$63,IF(((D683+E683)*C683-G683)&lt;='Assumptions and Catalog'!$C$64,((D683+E683)*C683-G683)*'Assumptions and Catalog'!$H$64+'Assumptions and Catalog'!$E$64+'Assumptions and Catalog'!$F$64,IF(((D683+E683)*C683-G683)&lt;='Assumptions and Catalog'!$C$65,((D683+E683)*C683-G683)*'Assumptions and Catalog'!$H$65+'Assumptions and Catalog'!$E$65+'Assumptions and Catalog'!$F$65,"Out of range")))))))))*(1+'Assumptions and Catalog'!$C$8)^(A683-1),0)</f>
        <v>3453.61</v>
      </c>
      <c r="R683" s="5" t="n">
        <f>IF(AND('Assumptions and Catalog'!$C$19&gt;0,A683&gt;='Assumptions and Catalog'!$C$19),A683-'Assumptions and Catalog'!$C$19,A683-1)</f>
        <v>1</v>
      </c>
      <c r="S683" s="5" t="n">
        <f>F683+L683-(D683+E683)*C683-J683-K683-IF(E$52&gt;0,'Assumptions and Catalog'!$C$26*C683,0)</f>
        <v>-2.8421709430404E-013</v>
      </c>
      <c r="T683" s="5"/>
      <c r="U683" s="5"/>
    </row>
    <row r="684" ht="23.100000381469727" customHeight="1">
      <c r="A684" s="5" t="n">
        <v>2</v>
      </c>
      <c r="B684" s="5" t="n">
        <v>12</v>
      </c>
      <c r="C684" s="5" t="n">
        <f>DAY(DATE('Assumptions and Catalog'!$C$24+A684-1,B684+1,0))</f>
        <v>31</v>
      </c>
      <c r="D684" s="5" t="n">
        <f>IF(ISNUMBER(Inputs!$L$5),Inputs!$L$5*Inputs!$L$6,0)</f>
        <v>40.35</v>
      </c>
      <c r="E684" s="5" t="n">
        <f>IF(ISNUMBER(Inputs!$L$5),Inputs!$L$5-D684,0)</f>
        <v>40.35</v>
      </c>
      <c r="F684" s="5" t="n">
        <f>E$51*INDEX('Solar Production'!$D$20:$D$31,B684)*C684*(1-'Assumptions and Catalog'!$C$10)^(A684-1)</f>
        <v>1427.228</v>
      </c>
      <c r="G684" s="5" t="n">
        <f>MIN(F684,D684*C684)</f>
        <v>1250.85</v>
      </c>
      <c r="H684" s="5" t="n">
        <f>I684/('Assumptions and Catalog'!$C$11*'Assumptions and Catalog'!$C$12)</f>
        <v>176.378</v>
      </c>
      <c r="I684" s="5" t="n">
        <f>MIN(E684*C684,P684*'Assumptions and Catalog'!$C$12*C684,(F684-G684)*'Assumptions and Catalog'!$C$11*'Assumptions and Catalog'!$C$12,E$56*'Assumptions and Catalog'!$C$14*'Assumptions and Catalog'!$C$11*'Assumptions and Catalog'!$C$12*C684,E$57*(24-'Assumptions and Catalog'!$C$13)*C684)</f>
        <v>167.66933625</v>
      </c>
      <c r="J684" s="5" t="n">
        <f>MAX(F684-G684-H684,0)</f>
        <v>0</v>
      </c>
      <c r="K684" s="5" t="n">
        <f>H684-I684</f>
        <v>8.70866375000003</v>
      </c>
      <c r="L684" s="5" t="n">
        <f>(D684+E684)*C684-G684-I684+0+IF(E$52&gt;0,'Assumptions and Catalog'!$C$26*C684,0)</f>
        <v>1083.18066375</v>
      </c>
      <c r="M684" s="5" t="n">
        <f>IF(ISNUMBER(Inputs!$L$5),(IF(Inputs!$L$9="Actual flat rate",((D684+E684)*C684)*Inputs!$L$10,IF(Inputs!$C$9="Residential",IF(((D684+E684)*C684)&lt;='Assumptions and Catalog'!$C$50,((D684+E684)*C684)*'Assumptions and Catalog'!$H$50+'Assumptions and Catalog'!$E$50+'Assumptions and Catalog'!$F$50,IF(((D684+E684)*C684)&lt;='Assumptions and Catalog'!$C$51,((D684+E684)*C684)*'Assumptions and Catalog'!$H$51+'Assumptions and Catalog'!$E$51+'Assumptions and Catalog'!$F$51,IF(((D684+E684)*C684)&lt;='Assumptions and Catalog'!$C$52,((D684+E684)*C684)*'Assumptions and Catalog'!$H$52+'Assumptions and Catalog'!$E$52+'Assumptions and Catalog'!$F$52,IF(((D684+E684)*C684)&lt;='Assumptions and Catalog'!$C$53,((D684+E684)*C684)*'Assumptions and Catalog'!$H$53+'Assumptions and Catalog'!$E$53+'Assumptions and Catalog'!$F$53,IF(((D684+E684)*C684)&lt;='Assumptions and Catalog'!$C$54,((D684+E684)*C684)*'Assumptions and Catalog'!$H$54+'Assumptions and Catalog'!$E$54+'Assumptions and Catalog'!$F$54,IF(((D684+E684)*C684)&lt;='Assumptions and Catalog'!$C$55,((D684+E684)*C684)*'Assumptions and Catalog'!$H$55+'Assumptions and Catalog'!$E$55+'Assumptions and Catalog'!$F$55,IF(((D684+E684)*C684)&lt;='Assumptions and Catalog'!$C$56,((D684+E684)*C684)*'Assumptions and Catalog'!$H$56+'Assumptions and Catalog'!$E$56+'Assumptions and Catalog'!$F$56,IF(((D684+E684)*C684)&lt;='Assumptions and Catalog'!$C$57,((D684+E684)*C684)*'Assumptions and Catalog'!$H$57+'Assumptions and Catalog'!$E$57+'Assumptions and Catalog'!$F$57,"Out of range")))))))),IF(((D684+E684)*C684)&lt;='Assumptions and Catalog'!$C$60,((D684+E684)*C684)*'Assumptions and Catalog'!$H$60+'Assumptions and Catalog'!$E$60+'Assumptions and Catalog'!$F$60,IF(((D684+E684)*C684)&lt;='Assumptions and Catalog'!$C$61,((D684+E684)*C684)*'Assumptions and Catalog'!$H$61+'Assumptions and Catalog'!$E$61+'Assumptions and Catalog'!$F$61,IF(((D684+E684)*C684)&lt;='Assumptions and Catalog'!$C$62,((D684+E684)*C684)*'Assumptions and Catalog'!$H$62+'Assumptions and Catalog'!$E$62+'Assumptions and Catalog'!$F$62,IF(((D684+E684)*C684)&lt;='Assumptions and Catalog'!$C$63,((D684+E684)*C684)*'Assumptions and Catalog'!$H$63+'Assumptions and Catalog'!$E$63+'Assumptions and Catalog'!$F$63,IF(((D684+E684)*C684)&lt;='Assumptions and Catalog'!$C$64,((D684+E684)*C684)*'Assumptions and Catalog'!$H$64+'Assumptions and Catalog'!$E$64+'Assumptions and Catalog'!$F$64,IF(((D684+E684)*C684)&lt;='Assumptions and Catalog'!$C$65,((D684+E684)*C684)*'Assumptions and Catalog'!$H$65+'Assumptions and Catalog'!$E$65+'Assumptions and Catalog'!$F$65,"Out of range")))))))))*(1+'Assumptions and Catalog'!$C$8)^(A684-1),0)</f>
        <v>7094.794</v>
      </c>
      <c r="N684" s="5" t="n">
        <f>IF(ISNUMBER(Inputs!$L$5),(IF(Inputs!$L$9="Actual flat rate",L684*Inputs!$L$10,IF(Inputs!$C$9="Residential",IF(L684&lt;='Assumptions and Catalog'!$C$50,L684*'Assumptions and Catalog'!$H$50+'Assumptions and Catalog'!$E$50+'Assumptions and Catalog'!$F$50,IF(L684&lt;='Assumptions and Catalog'!$C$51,L684*'Assumptions and Catalog'!$H$51+'Assumptions and Catalog'!$E$51+'Assumptions and Catalog'!$F$51,IF(L684&lt;='Assumptions and Catalog'!$C$52,L684*'Assumptions and Catalog'!$H$52+'Assumptions and Catalog'!$E$52+'Assumptions and Catalog'!$F$52,IF(L684&lt;='Assumptions and Catalog'!$C$53,L684*'Assumptions and Catalog'!$H$53+'Assumptions and Catalog'!$E$53+'Assumptions and Catalog'!$F$53,IF(L684&lt;='Assumptions and Catalog'!$C$54,L684*'Assumptions and Catalog'!$H$54+'Assumptions and Catalog'!$E$54+'Assumptions and Catalog'!$F$54,IF(L684&lt;='Assumptions and Catalog'!$C$55,L684*'Assumptions and Catalog'!$H$55+'Assumptions and Catalog'!$E$55+'Assumptions and Catalog'!$F$55,IF(L684&lt;='Assumptions and Catalog'!$C$56,L684*'Assumptions and Catalog'!$H$56+'Assumptions and Catalog'!$E$56+'Assumptions and Catalog'!$F$56,IF(L684&lt;='Assumptions and Catalog'!$C$57,L684*'Assumptions and Catalog'!$H$57+'Assumptions and Catalog'!$E$57+'Assumptions and Catalog'!$F$57,"Out of range")))))))),IF(L684&lt;='Assumptions and Catalog'!$C$60,L684*'Assumptions and Catalog'!$H$60+'Assumptions and Catalog'!$E$60+'Assumptions and Catalog'!$F$60,IF(L684&lt;='Assumptions and Catalog'!$C$61,L684*'Assumptions and Catalog'!$H$61+'Assumptions and Catalog'!$E$61+'Assumptions and Catalog'!$F$61,IF(L684&lt;='Assumptions and Catalog'!$C$62,L684*'Assumptions and Catalog'!$H$62+'Assumptions and Catalog'!$E$62+'Assumptions and Catalog'!$F$62,IF(L684&lt;='Assumptions and Catalog'!$C$63,L684*'Assumptions and Catalog'!$H$63+'Assumptions and Catalog'!$E$63+'Assumptions and Catalog'!$F$63,IF(L684&lt;='Assumptions and Catalog'!$C$64,L684*'Assumptions and Catalog'!$H$64+'Assumptions and Catalog'!$E$64+'Assumptions and Catalog'!$F$64,IF(L684&lt;='Assumptions and Catalog'!$C$65,L684*'Assumptions and Catalog'!$H$65+'Assumptions and Catalog'!$E$65+'Assumptions and Catalog'!$F$65,"Out of range")))))))))*(1+'Assumptions and Catalog'!$C$8)^(A684-1),0)</f>
        <v>3094.569471775</v>
      </c>
      <c r="O684" s="5" t="n">
        <f>M684-N684</f>
        <v>4000.224528225</v>
      </c>
      <c r="P684" s="5" t="n">
        <f>E$55*(1-L$14)*(1-'Assumptions and Catalog'!$C$23)^R684</f>
        <v>10.0352</v>
      </c>
      <c r="Q684" s="5" t="n">
        <f>IF(ISNUMBER(Inputs!$L$5),(IF(Inputs!$L$9="Actual flat rate",((D684+E684)*C684-G684)*Inputs!$L$10,IF(Inputs!$C$9="Residential",IF(((D684+E684)*C684-G684)&lt;='Assumptions and Catalog'!$C$50,((D684+E684)*C684-G684)*'Assumptions and Catalog'!$H$50+'Assumptions and Catalog'!$E$50+'Assumptions and Catalog'!$F$50,IF(((D684+E684)*C684-G684)&lt;='Assumptions and Catalog'!$C$51,((D684+E684)*C684-G684)*'Assumptions and Catalog'!$H$51+'Assumptions and Catalog'!$E$51+'Assumptions and Catalog'!$F$51,IF(((D684+E684)*C684-G684)&lt;='Assumptions and Catalog'!$C$52,((D684+E684)*C684-G684)*'Assumptions and Catalog'!$H$52+'Assumptions and Catalog'!$E$52+'Assumptions and Catalog'!$F$52,IF(((D684+E684)*C684-G684)&lt;='Assumptions and Catalog'!$C$53,((D684+E684)*C684-G684)*'Assumptions and Catalog'!$H$53+'Assumptions and Catalog'!$E$53+'Assumptions and Catalog'!$F$53,IF(((D684+E684)*C684-G684)&lt;='Assumptions and Catalog'!$C$54,((D684+E684)*C684-G684)*'Assumptions and Catalog'!$H$54+'Assumptions and Catalog'!$E$54+'Assumptions and Catalog'!$F$54,IF(((D684+E684)*C684-G684)&lt;='Assumptions and Catalog'!$C$55,((D684+E684)*C684-G684)*'Assumptions and Catalog'!$H$55+'Assumptions and Catalog'!$E$55+'Assumptions and Catalog'!$F$55,IF(((D684+E684)*C684-G684)&lt;='Assumptions and Catalog'!$C$56,((D684+E684)*C684-G684)*'Assumptions and Catalog'!$H$56+'Assumptions and Catalog'!$E$56+'Assumptions and Catalog'!$F$56,IF(((D684+E684)*C684-G684)&lt;='Assumptions and Catalog'!$C$57,((D684+E684)*C684-G684)*'Assumptions and Catalog'!$H$57+'Assumptions and Catalog'!$E$57+'Assumptions and Catalog'!$F$57,"Out of range")))))))),IF(((D684+E684)*C684-G684)&lt;='Assumptions and Catalog'!$C$60,((D684+E684)*C684-G684)*'Assumptions and Catalog'!$H$60+'Assumptions and Catalog'!$E$60+'Assumptions and Catalog'!$F$60,IF(((D684+E684)*C684-G684)&lt;='Assumptions and Catalog'!$C$61,((D684+E684)*C684-G684)*'Assumptions and Catalog'!$H$61+'Assumptions and Catalog'!$E$61+'Assumptions and Catalog'!$F$61,IF(((D684+E684)*C684-G684)&lt;='Assumptions and Catalog'!$C$62,((D684+E684)*C684-G684)*'Assumptions and Catalog'!$H$62+'Assumptions and Catalog'!$E$62+'Assumptions and Catalog'!$F$62,IF(((D684+E684)*C684-G684)&lt;='Assumptions and Catalog'!$C$63,((D684+E684)*C684-G684)*'Assumptions and Catalog'!$H$63+'Assumptions and Catalog'!$E$63+'Assumptions and Catalog'!$F$63,IF(((D684+E684)*C684-G684)&lt;='Assumptions and Catalog'!$C$64,((D684+E684)*C684-G684)*'Assumptions and Catalog'!$H$64+'Assumptions and Catalog'!$E$64+'Assumptions and Catalog'!$F$64,IF(((D684+E684)*C684-G684)&lt;='Assumptions and Catalog'!$C$65,((D684+E684)*C684-G684)*'Assumptions and Catalog'!$H$65+'Assumptions and Catalog'!$E$65+'Assumptions and Catalog'!$F$65,"Out of range")))))))))*(1+'Assumptions and Catalog'!$C$8)^(A684-1),0)</f>
        <v>3567.397</v>
      </c>
      <c r="R684" s="5" t="n">
        <f>IF(AND('Assumptions and Catalog'!$C$19&gt;0,A684&gt;='Assumptions and Catalog'!$C$19),A684-'Assumptions and Catalog'!$C$19,A684-1)</f>
        <v>1</v>
      </c>
      <c r="S684" s="5" t="n">
        <f>F684+L684-(D684+E684)*C684-J684-K684-IF(E$52&gt;0,'Assumptions and Catalog'!$C$26*C684,0)</f>
        <v>1.13686837721616E-013</v>
      </c>
      <c r="T684" s="5"/>
      <c r="U684" s="5"/>
    </row>
    <row r="685" ht="23.100000381469727" customHeight="1">
      <c r="A685" s="5" t="n">
        <v>3</v>
      </c>
      <c r="B685" s="5" t="n">
        <v>1</v>
      </c>
      <c r="C685" s="5" t="n">
        <f>DAY(DATE('Assumptions and Catalog'!$C$24+A685-1,B685+1,0))</f>
        <v>31</v>
      </c>
      <c r="D685" s="5" t="n">
        <f>IF(ISNUMBER(Inputs!$L$5),Inputs!$L$5*Inputs!$L$6,0)</f>
        <v>40.35</v>
      </c>
      <c r="E685" s="5" t="n">
        <f>IF(ISNUMBER(Inputs!$L$5),Inputs!$L$5-D685,0)</f>
        <v>40.35</v>
      </c>
      <c r="F685" s="5" t="n">
        <f>E$51*INDEX('Solar Production'!$D$20:$D$31,B685)*C685*(1-'Assumptions and Catalog'!$C$10)^(A685-1)</f>
        <v>1429.8931075</v>
      </c>
      <c r="G685" s="5" t="n">
        <f>MIN(F685,D685*C685)</f>
        <v>1250.85</v>
      </c>
      <c r="H685" s="5" t="n">
        <f>I685/('Assumptions and Catalog'!$C$11*'Assumptions and Catalog'!$C$12)</f>
        <v>179.0431075</v>
      </c>
      <c r="I685" s="5" t="n">
        <f>MIN(E685*C685,P685*'Assumptions and Catalog'!$C$12*C685,(F685-G685)*'Assumptions and Catalog'!$C$11*'Assumptions and Catalog'!$C$12,E$56*'Assumptions and Catalog'!$C$14*'Assumptions and Catalog'!$C$11*'Assumptions and Catalog'!$C$12*C685,E$57*(24-'Assumptions and Catalog'!$C$13)*C685)</f>
        <v>170.202854067188</v>
      </c>
      <c r="J685" s="5" t="n">
        <f>MAX(F685-G685-H685,0)</f>
        <v>0</v>
      </c>
      <c r="K685" s="5" t="n">
        <f>H685-I685</f>
        <v>8.84025343281252</v>
      </c>
      <c r="L685" s="5" t="n">
        <f>(D685+E685)*C685-G685-I685+0+IF(E$52&gt;0,'Assumptions and Catalog'!$C$26*C685,0)</f>
        <v>1080.64714593281</v>
      </c>
      <c r="M685" s="5" t="n">
        <f>IF(ISNUMBER(Inputs!$L$5),(IF(Inputs!$L$9="Actual flat rate",((D685+E685)*C685)*Inputs!$L$10,IF(Inputs!$C$9="Residential",IF(((D685+E685)*C685)&lt;='Assumptions and Catalog'!$C$50,((D685+E685)*C685)*'Assumptions and Catalog'!$H$50+'Assumptions and Catalog'!$E$50+'Assumptions and Catalog'!$F$50,IF(((D685+E685)*C685)&lt;='Assumptions and Catalog'!$C$51,((D685+E685)*C685)*'Assumptions and Catalog'!$H$51+'Assumptions and Catalog'!$E$51+'Assumptions and Catalog'!$F$51,IF(((D685+E685)*C685)&lt;='Assumptions and Catalog'!$C$52,((D685+E685)*C685)*'Assumptions and Catalog'!$H$52+'Assumptions and Catalog'!$E$52+'Assumptions and Catalog'!$F$52,IF(((D685+E685)*C685)&lt;='Assumptions and Catalog'!$C$53,((D685+E685)*C685)*'Assumptions and Catalog'!$H$53+'Assumptions and Catalog'!$E$53+'Assumptions and Catalog'!$F$53,IF(((D685+E685)*C685)&lt;='Assumptions and Catalog'!$C$54,((D685+E685)*C685)*'Assumptions and Catalog'!$H$54+'Assumptions and Catalog'!$E$54+'Assumptions and Catalog'!$F$54,IF(((D685+E685)*C685)&lt;='Assumptions and Catalog'!$C$55,((D685+E685)*C685)*'Assumptions and Catalog'!$H$55+'Assumptions and Catalog'!$E$55+'Assumptions and Catalog'!$F$55,IF(((D685+E685)*C685)&lt;='Assumptions and Catalog'!$C$56,((D685+E685)*C685)*'Assumptions and Catalog'!$H$56+'Assumptions and Catalog'!$E$56+'Assumptions and Catalog'!$F$56,IF(((D685+E685)*C685)&lt;='Assumptions and Catalog'!$C$57,((D685+E685)*C685)*'Assumptions and Catalog'!$H$57+'Assumptions and Catalog'!$E$57+'Assumptions and Catalog'!$F$57,"Out of range")))))))),IF(((D685+E685)*C685)&lt;='Assumptions and Catalog'!$C$60,((D685+E685)*C685)*'Assumptions and Catalog'!$H$60+'Assumptions and Catalog'!$E$60+'Assumptions and Catalog'!$F$60,IF(((D685+E685)*C685)&lt;='Assumptions and Catalog'!$C$61,((D685+E685)*C685)*'Assumptions and Catalog'!$H$61+'Assumptions and Catalog'!$E$61+'Assumptions and Catalog'!$F$61,IF(((D685+E685)*C685)&lt;='Assumptions and Catalog'!$C$62,((D685+E685)*C685)*'Assumptions and Catalog'!$H$62+'Assumptions and Catalog'!$E$62+'Assumptions and Catalog'!$F$62,IF(((D685+E685)*C685)&lt;='Assumptions and Catalog'!$C$63,((D685+E685)*C685)*'Assumptions and Catalog'!$H$63+'Assumptions and Catalog'!$E$63+'Assumptions and Catalog'!$F$63,IF(((D685+E685)*C685)&lt;='Assumptions and Catalog'!$C$64,((D685+E685)*C685)*'Assumptions and Catalog'!$H$64+'Assumptions and Catalog'!$E$64+'Assumptions and Catalog'!$F$64,IF(((D685+E685)*C685)&lt;='Assumptions and Catalog'!$C$65,((D685+E685)*C685)*'Assumptions and Catalog'!$H$65+'Assumptions and Catalog'!$E$65+'Assumptions and Catalog'!$F$65,"Out of range")))))))))*(1+'Assumptions and Catalog'!$C$8)^(A685-1),0)</f>
        <v>7094.794</v>
      </c>
      <c r="N685" s="5" t="n">
        <f>IF(ISNUMBER(Inputs!$L$5),(IF(Inputs!$L$9="Actual flat rate",L685*Inputs!$L$10,IF(Inputs!$C$9="Residential",IF(L685&lt;='Assumptions and Catalog'!$C$50,L685*'Assumptions and Catalog'!$H$50+'Assumptions and Catalog'!$E$50+'Assumptions and Catalog'!$F$50,IF(L685&lt;='Assumptions and Catalog'!$C$51,L685*'Assumptions and Catalog'!$H$51+'Assumptions and Catalog'!$E$51+'Assumptions and Catalog'!$F$51,IF(L685&lt;='Assumptions and Catalog'!$C$52,L685*'Assumptions and Catalog'!$H$52+'Assumptions and Catalog'!$E$52+'Assumptions and Catalog'!$F$52,IF(L685&lt;='Assumptions and Catalog'!$C$53,L685*'Assumptions and Catalog'!$H$53+'Assumptions and Catalog'!$E$53+'Assumptions and Catalog'!$F$53,IF(L685&lt;='Assumptions and Catalog'!$C$54,L685*'Assumptions and Catalog'!$H$54+'Assumptions and Catalog'!$E$54+'Assumptions and Catalog'!$F$54,IF(L685&lt;='Assumptions and Catalog'!$C$55,L685*'Assumptions and Catalog'!$H$55+'Assumptions and Catalog'!$E$55+'Assumptions and Catalog'!$F$55,IF(L685&lt;='Assumptions and Catalog'!$C$56,L685*'Assumptions and Catalog'!$H$56+'Assumptions and Catalog'!$E$56+'Assumptions and Catalog'!$F$56,IF(L685&lt;='Assumptions and Catalog'!$C$57,L685*'Assumptions and Catalog'!$H$57+'Assumptions and Catalog'!$E$57+'Assumptions and Catalog'!$F$57,"Out of range")))))))),IF(L685&lt;='Assumptions and Catalog'!$C$60,L685*'Assumptions and Catalog'!$H$60+'Assumptions and Catalog'!$E$60+'Assumptions and Catalog'!$F$60,IF(L685&lt;='Assumptions and Catalog'!$C$61,L685*'Assumptions and Catalog'!$H$61+'Assumptions and Catalog'!$E$61+'Assumptions and Catalog'!$F$61,IF(L685&lt;='Assumptions and Catalog'!$C$62,L685*'Assumptions and Catalog'!$H$62+'Assumptions and Catalog'!$E$62+'Assumptions and Catalog'!$F$62,IF(L685&lt;='Assumptions and Catalog'!$C$63,L685*'Assumptions and Catalog'!$H$63+'Assumptions and Catalog'!$E$63+'Assumptions and Catalog'!$F$63,IF(L685&lt;='Assumptions and Catalog'!$C$64,L685*'Assumptions and Catalog'!$H$64+'Assumptions and Catalog'!$E$64+'Assumptions and Catalog'!$F$64,IF(L685&lt;='Assumptions and Catalog'!$C$65,L685*'Assumptions and Catalog'!$H$65+'Assumptions and Catalog'!$E$65+'Assumptions and Catalog'!$F$65,"Out of range")))))))))*(1+'Assumptions and Catalog'!$C$8)^(A685-1),0)</f>
        <v>3087.42495153053</v>
      </c>
      <c r="O685" s="5" t="n">
        <f>M685-N685</f>
        <v>4007.36904846947</v>
      </c>
      <c r="P685" s="5" t="n">
        <f>E$55*(1-L$14)*(1-'Assumptions and Catalog'!$C$23)^R685</f>
        <v>9.834496</v>
      </c>
      <c r="Q685" s="5" t="n">
        <f>IF(ISNUMBER(Inputs!$L$5),(IF(Inputs!$L$9="Actual flat rate",((D685+E685)*C685-G685)*Inputs!$L$10,IF(Inputs!$C$9="Residential",IF(((D685+E685)*C685-G685)&lt;='Assumptions and Catalog'!$C$50,((D685+E685)*C685-G685)*'Assumptions and Catalog'!$H$50+'Assumptions and Catalog'!$E$50+'Assumptions and Catalog'!$F$50,IF(((D685+E685)*C685-G685)&lt;='Assumptions and Catalog'!$C$51,((D685+E685)*C685-G685)*'Assumptions and Catalog'!$H$51+'Assumptions and Catalog'!$E$51+'Assumptions and Catalog'!$F$51,IF(((D685+E685)*C685-G685)&lt;='Assumptions and Catalog'!$C$52,((D685+E685)*C685-G685)*'Assumptions and Catalog'!$H$52+'Assumptions and Catalog'!$E$52+'Assumptions and Catalog'!$F$52,IF(((D685+E685)*C685-G685)&lt;='Assumptions and Catalog'!$C$53,((D685+E685)*C685-G685)*'Assumptions and Catalog'!$H$53+'Assumptions and Catalog'!$E$53+'Assumptions and Catalog'!$F$53,IF(((D685+E685)*C685-G685)&lt;='Assumptions and Catalog'!$C$54,((D685+E685)*C685-G685)*'Assumptions and Catalog'!$H$54+'Assumptions and Catalog'!$E$54+'Assumptions and Catalog'!$F$54,IF(((D685+E685)*C685-G685)&lt;='Assumptions and Catalog'!$C$55,((D685+E685)*C685-G685)*'Assumptions and Catalog'!$H$55+'Assumptions and Catalog'!$E$55+'Assumptions and Catalog'!$F$55,IF(((D685+E685)*C685-G685)&lt;='Assumptions and Catalog'!$C$56,((D685+E685)*C685-G685)*'Assumptions and Catalog'!$H$56+'Assumptions and Catalog'!$E$56+'Assumptions and Catalog'!$F$56,IF(((D685+E685)*C685-G685)&lt;='Assumptions and Catalog'!$C$57,((D685+E685)*C685-G685)*'Assumptions and Catalog'!$H$57+'Assumptions and Catalog'!$E$57+'Assumptions and Catalog'!$F$57,"Out of range")))))))),IF(((D685+E685)*C685-G685)&lt;='Assumptions and Catalog'!$C$60,((D685+E685)*C685-G685)*'Assumptions and Catalog'!$H$60+'Assumptions and Catalog'!$E$60+'Assumptions and Catalog'!$F$60,IF(((D685+E685)*C685-G685)&lt;='Assumptions and Catalog'!$C$61,((D685+E685)*C685-G685)*'Assumptions and Catalog'!$H$61+'Assumptions and Catalog'!$E$61+'Assumptions and Catalog'!$F$61,IF(((D685+E685)*C685-G685)&lt;='Assumptions and Catalog'!$C$62,((D685+E685)*C685-G685)*'Assumptions and Catalog'!$H$62+'Assumptions and Catalog'!$E$62+'Assumptions and Catalog'!$F$62,IF(((D685+E685)*C685-G685)&lt;='Assumptions and Catalog'!$C$63,((D685+E685)*C685-G685)*'Assumptions and Catalog'!$H$63+'Assumptions and Catalog'!$E$63+'Assumptions and Catalog'!$F$63,IF(((D685+E685)*C685-G685)&lt;='Assumptions and Catalog'!$C$64,((D685+E685)*C685-G685)*'Assumptions and Catalog'!$H$64+'Assumptions and Catalog'!$E$64+'Assumptions and Catalog'!$F$64,IF(((D685+E685)*C685-G685)&lt;='Assumptions and Catalog'!$C$65,((D685+E685)*C685-G685)*'Assumptions and Catalog'!$H$65+'Assumptions and Catalog'!$E$65+'Assumptions and Catalog'!$F$65,"Out of range")))))))))*(1+'Assumptions and Catalog'!$C$8)^(A685-1),0)</f>
        <v>3567.397</v>
      </c>
      <c r="R685" s="5" t="n">
        <f>IF(AND('Assumptions and Catalog'!$C$19&gt;0,A685&gt;='Assumptions and Catalog'!$C$19),A685-'Assumptions and Catalog'!$C$19,A685-1)</f>
        <v>2</v>
      </c>
      <c r="S685" s="5" t="n">
        <f>F685+L685-(D685+E685)*C685-J685-K685-IF(E$52&gt;0,'Assumptions and Catalog'!$C$26*C685,0)</f>
        <v>-5.6843418860808E-014</v>
      </c>
      <c r="T685" s="5"/>
      <c r="U685" s="5"/>
    </row>
    <row r="686" ht="23.100000381469727" customHeight="1">
      <c r="A686" s="5" t="n">
        <v>3</v>
      </c>
      <c r="B686" s="5" t="n">
        <v>2</v>
      </c>
      <c r="C686" s="5" t="n">
        <f>DAY(DATE('Assumptions and Catalog'!$C$24+A686-1,B686+1,0))</f>
        <v>28</v>
      </c>
      <c r="D686" s="5" t="n">
        <f>IF(ISNUMBER(Inputs!$L$5),Inputs!$L$5*Inputs!$L$6,0)</f>
        <v>40.35</v>
      </c>
      <c r="E686" s="5" t="n">
        <f>IF(ISNUMBER(Inputs!$L$5),Inputs!$L$5-D686,0)</f>
        <v>40.35</v>
      </c>
      <c r="F686" s="5" t="n">
        <f>E$51*INDEX('Solar Production'!$D$20:$D$31,B686)*C686*(1-'Assumptions and Catalog'!$C$10)^(A686-1)</f>
        <v>1409.74609875</v>
      </c>
      <c r="G686" s="5" t="n">
        <f>MIN(F686,D686*C686)</f>
        <v>1129.8</v>
      </c>
      <c r="H686" s="5" t="n">
        <f>I686/('Assumptions and Catalog'!$C$11*'Assumptions and Catalog'!$C$12)</f>
        <v>279.94609875</v>
      </c>
      <c r="I686" s="5" t="n">
        <f>MIN(E686*C686,P686*'Assumptions and Catalog'!$C$12*C686,(F686-G686)*'Assumptions and Catalog'!$C$11*'Assumptions and Catalog'!$C$12,E$56*'Assumptions and Catalog'!$C$14*'Assumptions and Catalog'!$C$11*'Assumptions and Catalog'!$C$12*C686,E$57*(24-'Assumptions and Catalog'!$C$13)*C686)</f>
        <v>266.123760124219</v>
      </c>
      <c r="J686" s="5" t="n">
        <f>MAX(F686-G686-H686,0)</f>
        <v>0</v>
      </c>
      <c r="K686" s="5" t="n">
        <f>H686-I686</f>
        <v>13.8223386257812</v>
      </c>
      <c r="L686" s="5" t="n">
        <f>(D686+E686)*C686-G686-I686+0+IF(E$52&gt;0,'Assumptions and Catalog'!$C$26*C686,0)</f>
        <v>863.676239875781</v>
      </c>
      <c r="M686" s="5" t="n">
        <f>IF(ISNUMBER(Inputs!$L$5),(IF(Inputs!$L$9="Actual flat rate",((D686+E686)*C686)*Inputs!$L$10,IF(Inputs!$C$9="Residential",IF(((D686+E686)*C686)&lt;='Assumptions and Catalog'!$C$50,((D686+E686)*C686)*'Assumptions and Catalog'!$H$50+'Assumptions and Catalog'!$E$50+'Assumptions and Catalog'!$F$50,IF(((D686+E686)*C686)&lt;='Assumptions and Catalog'!$C$51,((D686+E686)*C686)*'Assumptions and Catalog'!$H$51+'Assumptions and Catalog'!$E$51+'Assumptions and Catalog'!$F$51,IF(((D686+E686)*C686)&lt;='Assumptions and Catalog'!$C$52,((D686+E686)*C686)*'Assumptions and Catalog'!$H$52+'Assumptions and Catalog'!$E$52+'Assumptions and Catalog'!$F$52,IF(((D686+E686)*C686)&lt;='Assumptions and Catalog'!$C$53,((D686+E686)*C686)*'Assumptions and Catalog'!$H$53+'Assumptions and Catalog'!$E$53+'Assumptions and Catalog'!$F$53,IF(((D686+E686)*C686)&lt;='Assumptions and Catalog'!$C$54,((D686+E686)*C686)*'Assumptions and Catalog'!$H$54+'Assumptions and Catalog'!$E$54+'Assumptions and Catalog'!$F$54,IF(((D686+E686)*C686)&lt;='Assumptions and Catalog'!$C$55,((D686+E686)*C686)*'Assumptions and Catalog'!$H$55+'Assumptions and Catalog'!$E$55+'Assumptions and Catalog'!$F$55,IF(((D686+E686)*C686)&lt;='Assumptions and Catalog'!$C$56,((D686+E686)*C686)*'Assumptions and Catalog'!$H$56+'Assumptions and Catalog'!$E$56+'Assumptions and Catalog'!$F$56,IF(((D686+E686)*C686)&lt;='Assumptions and Catalog'!$C$57,((D686+E686)*C686)*'Assumptions and Catalog'!$H$57+'Assumptions and Catalog'!$E$57+'Assumptions and Catalog'!$F$57,"Out of range")))))))),IF(((D686+E686)*C686)&lt;='Assumptions and Catalog'!$C$60,((D686+E686)*C686)*'Assumptions and Catalog'!$H$60+'Assumptions and Catalog'!$E$60+'Assumptions and Catalog'!$F$60,IF(((D686+E686)*C686)&lt;='Assumptions and Catalog'!$C$61,((D686+E686)*C686)*'Assumptions and Catalog'!$H$61+'Assumptions and Catalog'!$E$61+'Assumptions and Catalog'!$F$61,IF(((D686+E686)*C686)&lt;='Assumptions and Catalog'!$C$62,((D686+E686)*C686)*'Assumptions and Catalog'!$H$62+'Assumptions and Catalog'!$E$62+'Assumptions and Catalog'!$F$62,IF(((D686+E686)*C686)&lt;='Assumptions and Catalog'!$C$63,((D686+E686)*C686)*'Assumptions and Catalog'!$H$63+'Assumptions and Catalog'!$E$63+'Assumptions and Catalog'!$F$63,IF(((D686+E686)*C686)&lt;='Assumptions and Catalog'!$C$64,((D686+E686)*C686)*'Assumptions and Catalog'!$H$64+'Assumptions and Catalog'!$E$64+'Assumptions and Catalog'!$F$64,IF(((D686+E686)*C686)&lt;='Assumptions and Catalog'!$C$65,((D686+E686)*C686)*'Assumptions and Catalog'!$H$65+'Assumptions and Catalog'!$E$65+'Assumptions and Catalog'!$F$65,"Out of range")))))))))*(1+'Assumptions and Catalog'!$C$8)^(A686-1),0)</f>
        <v>6412.072</v>
      </c>
      <c r="N686" s="5" t="n">
        <f>IF(ISNUMBER(Inputs!$L$5),(IF(Inputs!$L$9="Actual flat rate",L686*Inputs!$L$10,IF(Inputs!$C$9="Residential",IF(L686&lt;='Assumptions and Catalog'!$C$50,L686*'Assumptions and Catalog'!$H$50+'Assumptions and Catalog'!$E$50+'Assumptions and Catalog'!$F$50,IF(L686&lt;='Assumptions and Catalog'!$C$51,L686*'Assumptions and Catalog'!$H$51+'Assumptions and Catalog'!$E$51+'Assumptions and Catalog'!$F$51,IF(L686&lt;='Assumptions and Catalog'!$C$52,L686*'Assumptions and Catalog'!$H$52+'Assumptions and Catalog'!$E$52+'Assumptions and Catalog'!$F$52,IF(L686&lt;='Assumptions and Catalog'!$C$53,L686*'Assumptions and Catalog'!$H$53+'Assumptions and Catalog'!$E$53+'Assumptions and Catalog'!$F$53,IF(L686&lt;='Assumptions and Catalog'!$C$54,L686*'Assumptions and Catalog'!$H$54+'Assumptions and Catalog'!$E$54+'Assumptions and Catalog'!$F$54,IF(L686&lt;='Assumptions and Catalog'!$C$55,L686*'Assumptions and Catalog'!$H$55+'Assumptions and Catalog'!$E$55+'Assumptions and Catalog'!$F$55,IF(L686&lt;='Assumptions and Catalog'!$C$56,L686*'Assumptions and Catalog'!$H$56+'Assumptions and Catalog'!$E$56+'Assumptions and Catalog'!$F$56,IF(L686&lt;='Assumptions and Catalog'!$C$57,L686*'Assumptions and Catalog'!$H$57+'Assumptions and Catalog'!$E$57+'Assumptions and Catalog'!$F$57,"Out of range")))))))),IF(L686&lt;='Assumptions and Catalog'!$C$60,L686*'Assumptions and Catalog'!$H$60+'Assumptions and Catalog'!$E$60+'Assumptions and Catalog'!$F$60,IF(L686&lt;='Assumptions and Catalog'!$C$61,L686*'Assumptions and Catalog'!$H$61+'Assumptions and Catalog'!$E$61+'Assumptions and Catalog'!$F$61,IF(L686&lt;='Assumptions and Catalog'!$C$62,L686*'Assumptions and Catalog'!$H$62+'Assumptions and Catalog'!$E$62+'Assumptions and Catalog'!$F$62,IF(L686&lt;='Assumptions and Catalog'!$C$63,L686*'Assumptions and Catalog'!$H$63+'Assumptions and Catalog'!$E$63+'Assumptions and Catalog'!$F$63,IF(L686&lt;='Assumptions and Catalog'!$C$64,L686*'Assumptions and Catalog'!$H$64+'Assumptions and Catalog'!$E$64+'Assumptions and Catalog'!$F$64,IF(L686&lt;='Assumptions and Catalog'!$C$65,L686*'Assumptions and Catalog'!$H$65+'Assumptions and Catalog'!$E$65+'Assumptions and Catalog'!$F$65,"Out of range")))))))))*(1+'Assumptions and Catalog'!$C$8)^(A686-1),0)</f>
        <v>2357.38318445591</v>
      </c>
      <c r="O686" s="5" t="n">
        <f>M686-N686</f>
        <v>4054.68881554409</v>
      </c>
      <c r="P686" s="5" t="n">
        <f>E$55*(1-L$14)*(1-'Assumptions and Catalog'!$C$23)^R686</f>
        <v>9.834496</v>
      </c>
      <c r="Q686" s="5" t="n">
        <f>IF(ISNUMBER(Inputs!$L$5),(IF(Inputs!$L$9="Actual flat rate",((D686+E686)*C686-G686)*Inputs!$L$10,IF(Inputs!$C$9="Residential",IF(((D686+E686)*C686-G686)&lt;='Assumptions and Catalog'!$C$50,((D686+E686)*C686-G686)*'Assumptions and Catalog'!$H$50+'Assumptions and Catalog'!$E$50+'Assumptions and Catalog'!$F$50,IF(((D686+E686)*C686-G686)&lt;='Assumptions and Catalog'!$C$51,((D686+E686)*C686-G686)*'Assumptions and Catalog'!$H$51+'Assumptions and Catalog'!$E$51+'Assumptions and Catalog'!$F$51,IF(((D686+E686)*C686-G686)&lt;='Assumptions and Catalog'!$C$52,((D686+E686)*C686-G686)*'Assumptions and Catalog'!$H$52+'Assumptions and Catalog'!$E$52+'Assumptions and Catalog'!$F$52,IF(((D686+E686)*C686-G686)&lt;='Assumptions and Catalog'!$C$53,((D686+E686)*C686-G686)*'Assumptions and Catalog'!$H$53+'Assumptions and Catalog'!$E$53+'Assumptions and Catalog'!$F$53,IF(((D686+E686)*C686-G686)&lt;='Assumptions and Catalog'!$C$54,((D686+E686)*C686-G686)*'Assumptions and Catalog'!$H$54+'Assumptions and Catalog'!$E$54+'Assumptions and Catalog'!$F$54,IF(((D686+E686)*C686-G686)&lt;='Assumptions and Catalog'!$C$55,((D686+E686)*C686-G686)*'Assumptions and Catalog'!$H$55+'Assumptions and Catalog'!$E$55+'Assumptions and Catalog'!$F$55,IF(((D686+E686)*C686-G686)&lt;='Assumptions and Catalog'!$C$56,((D686+E686)*C686-G686)*'Assumptions and Catalog'!$H$56+'Assumptions and Catalog'!$E$56+'Assumptions and Catalog'!$F$56,IF(((D686+E686)*C686-G686)&lt;='Assumptions and Catalog'!$C$57,((D686+E686)*C686-G686)*'Assumptions and Catalog'!$H$57+'Assumptions and Catalog'!$E$57+'Assumptions and Catalog'!$F$57,"Out of range")))))))),IF(((D686+E686)*C686-G686)&lt;='Assumptions and Catalog'!$C$60,((D686+E686)*C686-G686)*'Assumptions and Catalog'!$H$60+'Assumptions and Catalog'!$E$60+'Assumptions and Catalog'!$F$60,IF(((D686+E686)*C686-G686)&lt;='Assumptions and Catalog'!$C$61,((D686+E686)*C686-G686)*'Assumptions and Catalog'!$H$61+'Assumptions and Catalog'!$E$61+'Assumptions and Catalog'!$F$61,IF(((D686+E686)*C686-G686)&lt;='Assumptions and Catalog'!$C$62,((D686+E686)*C686-G686)*'Assumptions and Catalog'!$H$62+'Assumptions and Catalog'!$E$62+'Assumptions and Catalog'!$F$62,IF(((D686+E686)*C686-G686)&lt;='Assumptions and Catalog'!$C$63,((D686+E686)*C686-G686)*'Assumptions and Catalog'!$H$63+'Assumptions and Catalog'!$E$63+'Assumptions and Catalog'!$F$63,IF(((D686+E686)*C686-G686)&lt;='Assumptions and Catalog'!$C$64,((D686+E686)*C686-G686)*'Assumptions and Catalog'!$H$64+'Assumptions and Catalog'!$E$64+'Assumptions and Catalog'!$F$64,IF(((D686+E686)*C686-G686)&lt;='Assumptions and Catalog'!$C$65,((D686+E686)*C686-G686)*'Assumptions and Catalog'!$H$65+'Assumptions and Catalog'!$E$65+'Assumptions and Catalog'!$F$65,"Out of range")))))))))*(1+'Assumptions and Catalog'!$C$8)^(A686-1),0)</f>
        <v>3226.036</v>
      </c>
      <c r="R686" s="5" t="n">
        <f>IF(AND('Assumptions and Catalog'!$C$19&gt;0,A686&gt;='Assumptions and Catalog'!$C$19),A686-'Assumptions and Catalog'!$C$19,A686-1)</f>
        <v>2</v>
      </c>
      <c r="S686" s="5" t="n">
        <f>F686+L686-(D686+E686)*C686-J686-K686-IF(E$52&gt;0,'Assumptions and Catalog'!$C$26*C686,0)</f>
        <v>-2.8421709430404E-013</v>
      </c>
      <c r="T686" s="5"/>
      <c r="U686" s="5"/>
    </row>
    <row r="687" ht="23.100000381469727" customHeight="1">
      <c r="A687" s="5" t="n">
        <v>3</v>
      </c>
      <c r="B687" s="5" t="n">
        <v>3</v>
      </c>
      <c r="C687" s="5" t="n">
        <f>DAY(DATE('Assumptions and Catalog'!$C$24+A687-1,B687+1,0))</f>
        <v>31</v>
      </c>
      <c r="D687" s="5" t="n">
        <f>IF(ISNUMBER(Inputs!$L$5),Inputs!$L$5*Inputs!$L$6,0)</f>
        <v>40.35</v>
      </c>
      <c r="E687" s="5" t="n">
        <f>IF(ISNUMBER(Inputs!$L$5),Inputs!$L$5-D687,0)</f>
        <v>40.35</v>
      </c>
      <c r="F687" s="5" t="n">
        <f>E$51*INDEX('Solar Production'!$D$20:$D$31,B687)*C687*(1-'Assumptions and Catalog'!$C$10)^(A687-1)</f>
        <v>1753.9876915</v>
      </c>
      <c r="G687" s="5" t="n">
        <f>MIN(F687,D687*C687)</f>
        <v>1250.85</v>
      </c>
      <c r="H687" s="5" t="n">
        <f>I687/('Assumptions and Catalog'!$C$11*'Assumptions and Catalog'!$C$12)</f>
        <v>312.68653948718</v>
      </c>
      <c r="I687" s="5" t="n">
        <f>MIN(E687*C687,P687*'Assumptions and Catalog'!$C$12*C687,(F687-G687)*'Assumptions and Catalog'!$C$11*'Assumptions and Catalog'!$C$12,E$56*'Assumptions and Catalog'!$C$14*'Assumptions and Catalog'!$C$11*'Assumptions and Catalog'!$C$12*C687,E$57*(24-'Assumptions and Catalog'!$C$13)*C687)</f>
        <v>297.2476416</v>
      </c>
      <c r="J687" s="5" t="n">
        <f>MAX(F687-G687-H687,0)</f>
        <v>190.45115201282</v>
      </c>
      <c r="K687" s="5" t="n">
        <f>H687-I687</f>
        <v>15.4388978871795</v>
      </c>
      <c r="L687" s="5" t="n">
        <f>(D687+E687)*C687-G687-I687+0+IF(E$52&gt;0,'Assumptions and Catalog'!$C$26*C687,0)</f>
        <v>953.6023584</v>
      </c>
      <c r="M687" s="5" t="n">
        <f>IF(ISNUMBER(Inputs!$L$5),(IF(Inputs!$L$9="Actual flat rate",((D687+E687)*C687)*Inputs!$L$10,IF(Inputs!$C$9="Residential",IF(((D687+E687)*C687)&lt;='Assumptions and Catalog'!$C$50,((D687+E687)*C687)*'Assumptions and Catalog'!$H$50+'Assumptions and Catalog'!$E$50+'Assumptions and Catalog'!$F$50,IF(((D687+E687)*C687)&lt;='Assumptions and Catalog'!$C$51,((D687+E687)*C687)*'Assumptions and Catalog'!$H$51+'Assumptions and Catalog'!$E$51+'Assumptions and Catalog'!$F$51,IF(((D687+E687)*C687)&lt;='Assumptions and Catalog'!$C$52,((D687+E687)*C687)*'Assumptions and Catalog'!$H$52+'Assumptions and Catalog'!$E$52+'Assumptions and Catalog'!$F$52,IF(((D687+E687)*C687)&lt;='Assumptions and Catalog'!$C$53,((D687+E687)*C687)*'Assumptions and Catalog'!$H$53+'Assumptions and Catalog'!$E$53+'Assumptions and Catalog'!$F$53,IF(((D687+E687)*C687)&lt;='Assumptions and Catalog'!$C$54,((D687+E687)*C687)*'Assumptions and Catalog'!$H$54+'Assumptions and Catalog'!$E$54+'Assumptions and Catalog'!$F$54,IF(((D687+E687)*C687)&lt;='Assumptions and Catalog'!$C$55,((D687+E687)*C687)*'Assumptions and Catalog'!$H$55+'Assumptions and Catalog'!$E$55+'Assumptions and Catalog'!$F$55,IF(((D687+E687)*C687)&lt;='Assumptions and Catalog'!$C$56,((D687+E687)*C687)*'Assumptions and Catalog'!$H$56+'Assumptions and Catalog'!$E$56+'Assumptions and Catalog'!$F$56,IF(((D687+E687)*C687)&lt;='Assumptions and Catalog'!$C$57,((D687+E687)*C687)*'Assumptions and Catalog'!$H$57+'Assumptions and Catalog'!$E$57+'Assumptions and Catalog'!$F$57,"Out of range")))))))),IF(((D687+E687)*C687)&lt;='Assumptions and Catalog'!$C$60,((D687+E687)*C687)*'Assumptions and Catalog'!$H$60+'Assumptions and Catalog'!$E$60+'Assumptions and Catalog'!$F$60,IF(((D687+E687)*C687)&lt;='Assumptions and Catalog'!$C$61,((D687+E687)*C687)*'Assumptions and Catalog'!$H$61+'Assumptions and Catalog'!$E$61+'Assumptions and Catalog'!$F$61,IF(((D687+E687)*C687)&lt;='Assumptions and Catalog'!$C$62,((D687+E687)*C687)*'Assumptions and Catalog'!$H$62+'Assumptions and Catalog'!$E$62+'Assumptions and Catalog'!$F$62,IF(((D687+E687)*C687)&lt;='Assumptions and Catalog'!$C$63,((D687+E687)*C687)*'Assumptions and Catalog'!$H$63+'Assumptions and Catalog'!$E$63+'Assumptions and Catalog'!$F$63,IF(((D687+E687)*C687)&lt;='Assumptions and Catalog'!$C$64,((D687+E687)*C687)*'Assumptions and Catalog'!$H$64+'Assumptions and Catalog'!$E$64+'Assumptions and Catalog'!$F$64,IF(((D687+E687)*C687)&lt;='Assumptions and Catalog'!$C$65,((D687+E687)*C687)*'Assumptions and Catalog'!$H$65+'Assumptions and Catalog'!$E$65+'Assumptions and Catalog'!$F$65,"Out of range")))))))))*(1+'Assumptions and Catalog'!$C$8)^(A687-1),0)</f>
        <v>7094.794</v>
      </c>
      <c r="N687" s="5" t="n">
        <f>IF(ISNUMBER(Inputs!$L$5),(IF(Inputs!$L$9="Actual flat rate",L687*Inputs!$L$10,IF(Inputs!$C$9="Residential",IF(L687&lt;='Assumptions and Catalog'!$C$50,L687*'Assumptions and Catalog'!$H$50+'Assumptions and Catalog'!$E$50+'Assumptions and Catalog'!$F$50,IF(L687&lt;='Assumptions and Catalog'!$C$51,L687*'Assumptions and Catalog'!$H$51+'Assumptions and Catalog'!$E$51+'Assumptions and Catalog'!$F$51,IF(L687&lt;='Assumptions and Catalog'!$C$52,L687*'Assumptions and Catalog'!$H$52+'Assumptions and Catalog'!$E$52+'Assumptions and Catalog'!$F$52,IF(L687&lt;='Assumptions and Catalog'!$C$53,L687*'Assumptions and Catalog'!$H$53+'Assumptions and Catalog'!$E$53+'Assumptions and Catalog'!$F$53,IF(L687&lt;='Assumptions and Catalog'!$C$54,L687*'Assumptions and Catalog'!$H$54+'Assumptions and Catalog'!$E$54+'Assumptions and Catalog'!$F$54,IF(L687&lt;='Assumptions and Catalog'!$C$55,L687*'Assumptions and Catalog'!$H$55+'Assumptions and Catalog'!$E$55+'Assumptions and Catalog'!$F$55,IF(L687&lt;='Assumptions and Catalog'!$C$56,L687*'Assumptions and Catalog'!$H$56+'Assumptions and Catalog'!$E$56+'Assumptions and Catalog'!$F$56,IF(L687&lt;='Assumptions and Catalog'!$C$57,L687*'Assumptions and Catalog'!$H$57+'Assumptions and Catalog'!$E$57+'Assumptions and Catalog'!$F$57,"Out of range")))))))),IF(L687&lt;='Assumptions and Catalog'!$C$60,L687*'Assumptions and Catalog'!$H$60+'Assumptions and Catalog'!$E$60+'Assumptions and Catalog'!$F$60,IF(L687&lt;='Assumptions and Catalog'!$C$61,L687*'Assumptions and Catalog'!$H$61+'Assumptions and Catalog'!$E$61+'Assumptions and Catalog'!$F$61,IF(L687&lt;='Assumptions and Catalog'!$C$62,L687*'Assumptions and Catalog'!$H$62+'Assumptions and Catalog'!$E$62+'Assumptions and Catalog'!$F$62,IF(L687&lt;='Assumptions and Catalog'!$C$63,L687*'Assumptions and Catalog'!$H$63+'Assumptions and Catalog'!$E$63+'Assumptions and Catalog'!$F$63,IF(L687&lt;='Assumptions and Catalog'!$C$64,L687*'Assumptions and Catalog'!$H$64+'Assumptions and Catalog'!$E$64+'Assumptions and Catalog'!$F$64,IF(L687&lt;='Assumptions and Catalog'!$C$65,L687*'Assumptions and Catalog'!$H$65+'Assumptions and Catalog'!$E$65+'Assumptions and Catalog'!$F$65,"Out of range")))))))))*(1+'Assumptions and Catalog'!$C$8)^(A687-1),0)</f>
        <v>2606.478532768</v>
      </c>
      <c r="O687" s="5" t="n">
        <f>M687-N687</f>
        <v>4488.315467232</v>
      </c>
      <c r="P687" s="5" t="n">
        <f>E$55*(1-L$14)*(1-'Assumptions and Catalog'!$C$23)^R687</f>
        <v>9.834496</v>
      </c>
      <c r="Q687" s="5" t="n">
        <f>IF(ISNUMBER(Inputs!$L$5),(IF(Inputs!$L$9="Actual flat rate",((D687+E687)*C687-G687)*Inputs!$L$10,IF(Inputs!$C$9="Residential",IF(((D687+E687)*C687-G687)&lt;='Assumptions and Catalog'!$C$50,((D687+E687)*C687-G687)*'Assumptions and Catalog'!$H$50+'Assumptions and Catalog'!$E$50+'Assumptions and Catalog'!$F$50,IF(((D687+E687)*C687-G687)&lt;='Assumptions and Catalog'!$C$51,((D687+E687)*C687-G687)*'Assumptions and Catalog'!$H$51+'Assumptions and Catalog'!$E$51+'Assumptions and Catalog'!$F$51,IF(((D687+E687)*C687-G687)&lt;='Assumptions and Catalog'!$C$52,((D687+E687)*C687-G687)*'Assumptions and Catalog'!$H$52+'Assumptions and Catalog'!$E$52+'Assumptions and Catalog'!$F$52,IF(((D687+E687)*C687-G687)&lt;='Assumptions and Catalog'!$C$53,((D687+E687)*C687-G687)*'Assumptions and Catalog'!$H$53+'Assumptions and Catalog'!$E$53+'Assumptions and Catalog'!$F$53,IF(((D687+E687)*C687-G687)&lt;='Assumptions and Catalog'!$C$54,((D687+E687)*C687-G687)*'Assumptions and Catalog'!$H$54+'Assumptions and Catalog'!$E$54+'Assumptions and Catalog'!$F$54,IF(((D687+E687)*C687-G687)&lt;='Assumptions and Catalog'!$C$55,((D687+E687)*C687-G687)*'Assumptions and Catalog'!$H$55+'Assumptions and Catalog'!$E$55+'Assumptions and Catalog'!$F$55,IF(((D687+E687)*C687-G687)&lt;='Assumptions and Catalog'!$C$56,((D687+E687)*C687-G687)*'Assumptions and Catalog'!$H$56+'Assumptions and Catalog'!$E$56+'Assumptions and Catalog'!$F$56,IF(((D687+E687)*C687-G687)&lt;='Assumptions and Catalog'!$C$57,((D687+E687)*C687-G687)*'Assumptions and Catalog'!$H$57+'Assumptions and Catalog'!$E$57+'Assumptions and Catalog'!$F$57,"Out of range")))))))),IF(((D687+E687)*C687-G687)&lt;='Assumptions and Catalog'!$C$60,((D687+E687)*C687-G687)*'Assumptions and Catalog'!$H$60+'Assumptions and Catalog'!$E$60+'Assumptions and Catalog'!$F$60,IF(((D687+E687)*C687-G687)&lt;='Assumptions and Catalog'!$C$61,((D687+E687)*C687-G687)*'Assumptions and Catalog'!$H$61+'Assumptions and Catalog'!$E$61+'Assumptions and Catalog'!$F$61,IF(((D687+E687)*C687-G687)&lt;='Assumptions and Catalog'!$C$62,((D687+E687)*C687-G687)*'Assumptions and Catalog'!$H$62+'Assumptions and Catalog'!$E$62+'Assumptions and Catalog'!$F$62,IF(((D687+E687)*C687-G687)&lt;='Assumptions and Catalog'!$C$63,((D687+E687)*C687-G687)*'Assumptions and Catalog'!$H$63+'Assumptions and Catalog'!$E$63+'Assumptions and Catalog'!$F$63,IF(((D687+E687)*C687-G687)&lt;='Assumptions and Catalog'!$C$64,((D687+E687)*C687-G687)*'Assumptions and Catalog'!$H$64+'Assumptions and Catalog'!$E$64+'Assumptions and Catalog'!$F$64,IF(((D687+E687)*C687-G687)&lt;='Assumptions and Catalog'!$C$65,((D687+E687)*C687-G687)*'Assumptions and Catalog'!$H$65+'Assumptions and Catalog'!$E$65+'Assumptions and Catalog'!$F$65,"Out of range")))))))))*(1+'Assumptions and Catalog'!$C$8)^(A687-1),0)</f>
        <v>3567.397</v>
      </c>
      <c r="R687" s="5" t="n">
        <f>IF(AND('Assumptions and Catalog'!$C$19&gt;0,A687&gt;='Assumptions and Catalog'!$C$19),A687-'Assumptions and Catalog'!$C$19,A687-1)</f>
        <v>2</v>
      </c>
      <c r="S687" s="5" t="n">
        <f>F687+L687-(D687+E687)*C687-J687-K687-IF(E$52&gt;0,'Assumptions and Catalog'!$C$26*C687,0)</f>
        <v>-1.13686837721616E-013</v>
      </c>
      <c r="T687" s="5"/>
      <c r="U687" s="5"/>
    </row>
    <row r="688" ht="23.100000381469727" customHeight="1">
      <c r="A688" s="5" t="n">
        <v>3</v>
      </c>
      <c r="B688" s="5" t="n">
        <v>4</v>
      </c>
      <c r="C688" s="5" t="n">
        <f>DAY(DATE('Assumptions and Catalog'!$C$24+A688-1,B688+1,0))</f>
        <v>30</v>
      </c>
      <c r="D688" s="5" t="n">
        <f>IF(ISNUMBER(Inputs!$L$5),Inputs!$L$5*Inputs!$L$6,0)</f>
        <v>40.35</v>
      </c>
      <c r="E688" s="5" t="n">
        <f>IF(ISNUMBER(Inputs!$L$5),Inputs!$L$5-D688,0)</f>
        <v>40.35</v>
      </c>
      <c r="F688" s="5" t="n">
        <f>E$51*INDEX('Solar Production'!$D$20:$D$31,B688)*C688*(1-'Assumptions and Catalog'!$C$10)^(A688-1)</f>
        <v>1751.8096365</v>
      </c>
      <c r="G688" s="5" t="n">
        <f>MIN(F688,D688*C688)</f>
        <v>1210.5</v>
      </c>
      <c r="H688" s="5" t="n">
        <f>I688/('Assumptions and Catalog'!$C$11*'Assumptions and Catalog'!$C$12)</f>
        <v>302.599876923077</v>
      </c>
      <c r="I688" s="5" t="n">
        <f>MIN(E688*C688,P688*'Assumptions and Catalog'!$C$12*C688,(F688-G688)*'Assumptions and Catalog'!$C$11*'Assumptions and Catalog'!$C$12,E$56*'Assumptions and Catalog'!$C$14*'Assumptions and Catalog'!$C$11*'Assumptions and Catalog'!$C$12*C688,E$57*(24-'Assumptions and Catalog'!$C$13)*C688)</f>
        <v>287.659008</v>
      </c>
      <c r="J688" s="5" t="n">
        <f>MAX(F688-G688-H688,0)</f>
        <v>238.709759576923</v>
      </c>
      <c r="K688" s="5" t="n">
        <f>H688-I688</f>
        <v>14.9408689230769</v>
      </c>
      <c r="L688" s="5" t="n">
        <f>(D688+E688)*C688-G688-I688+0+IF(E$52&gt;0,'Assumptions and Catalog'!$C$26*C688,0)</f>
        <v>922.840992</v>
      </c>
      <c r="M688" s="5" t="n">
        <f>IF(ISNUMBER(Inputs!$L$5),(IF(Inputs!$L$9="Actual flat rate",((D688+E688)*C688)*Inputs!$L$10,IF(Inputs!$C$9="Residential",IF(((D688+E688)*C688)&lt;='Assumptions and Catalog'!$C$50,((D688+E688)*C688)*'Assumptions and Catalog'!$H$50+'Assumptions and Catalog'!$E$50+'Assumptions and Catalog'!$F$50,IF(((D688+E688)*C688)&lt;='Assumptions and Catalog'!$C$51,((D688+E688)*C688)*'Assumptions and Catalog'!$H$51+'Assumptions and Catalog'!$E$51+'Assumptions and Catalog'!$F$51,IF(((D688+E688)*C688)&lt;='Assumptions and Catalog'!$C$52,((D688+E688)*C688)*'Assumptions and Catalog'!$H$52+'Assumptions and Catalog'!$E$52+'Assumptions and Catalog'!$F$52,IF(((D688+E688)*C688)&lt;='Assumptions and Catalog'!$C$53,((D688+E688)*C688)*'Assumptions and Catalog'!$H$53+'Assumptions and Catalog'!$E$53+'Assumptions and Catalog'!$F$53,IF(((D688+E688)*C688)&lt;='Assumptions and Catalog'!$C$54,((D688+E688)*C688)*'Assumptions and Catalog'!$H$54+'Assumptions and Catalog'!$E$54+'Assumptions and Catalog'!$F$54,IF(((D688+E688)*C688)&lt;='Assumptions and Catalog'!$C$55,((D688+E688)*C688)*'Assumptions and Catalog'!$H$55+'Assumptions and Catalog'!$E$55+'Assumptions and Catalog'!$F$55,IF(((D688+E688)*C688)&lt;='Assumptions and Catalog'!$C$56,((D688+E688)*C688)*'Assumptions and Catalog'!$H$56+'Assumptions and Catalog'!$E$56+'Assumptions and Catalog'!$F$56,IF(((D688+E688)*C688)&lt;='Assumptions and Catalog'!$C$57,((D688+E688)*C688)*'Assumptions and Catalog'!$H$57+'Assumptions and Catalog'!$E$57+'Assumptions and Catalog'!$F$57,"Out of range")))))))),IF(((D688+E688)*C688)&lt;='Assumptions and Catalog'!$C$60,((D688+E688)*C688)*'Assumptions and Catalog'!$H$60+'Assumptions and Catalog'!$E$60+'Assumptions and Catalog'!$F$60,IF(((D688+E688)*C688)&lt;='Assumptions and Catalog'!$C$61,((D688+E688)*C688)*'Assumptions and Catalog'!$H$61+'Assumptions and Catalog'!$E$61+'Assumptions and Catalog'!$F$61,IF(((D688+E688)*C688)&lt;='Assumptions and Catalog'!$C$62,((D688+E688)*C688)*'Assumptions and Catalog'!$H$62+'Assumptions and Catalog'!$E$62+'Assumptions and Catalog'!$F$62,IF(((D688+E688)*C688)&lt;='Assumptions and Catalog'!$C$63,((D688+E688)*C688)*'Assumptions and Catalog'!$H$63+'Assumptions and Catalog'!$E$63+'Assumptions and Catalog'!$F$63,IF(((D688+E688)*C688)&lt;='Assumptions and Catalog'!$C$64,((D688+E688)*C688)*'Assumptions and Catalog'!$H$64+'Assumptions and Catalog'!$E$64+'Assumptions and Catalog'!$F$64,IF(((D688+E688)*C688)&lt;='Assumptions and Catalog'!$C$65,((D688+E688)*C688)*'Assumptions and Catalog'!$H$65+'Assumptions and Catalog'!$E$65+'Assumptions and Catalog'!$F$65,"Out of range")))))))))*(1+'Assumptions and Catalog'!$C$8)^(A688-1),0)</f>
        <v>6867.22</v>
      </c>
      <c r="N688" s="5" t="n">
        <f>IF(ISNUMBER(Inputs!$L$5),(IF(Inputs!$L$9="Actual flat rate",L688*Inputs!$L$10,IF(Inputs!$C$9="Residential",IF(L688&lt;='Assumptions and Catalog'!$C$50,L688*'Assumptions and Catalog'!$H$50+'Assumptions and Catalog'!$E$50+'Assumptions and Catalog'!$F$50,IF(L688&lt;='Assumptions and Catalog'!$C$51,L688*'Assumptions and Catalog'!$H$51+'Assumptions and Catalog'!$E$51+'Assumptions and Catalog'!$F$51,IF(L688&lt;='Assumptions and Catalog'!$C$52,L688*'Assumptions and Catalog'!$H$52+'Assumptions and Catalog'!$E$52+'Assumptions and Catalog'!$F$52,IF(L688&lt;='Assumptions and Catalog'!$C$53,L688*'Assumptions and Catalog'!$H$53+'Assumptions and Catalog'!$E$53+'Assumptions and Catalog'!$F$53,IF(L688&lt;='Assumptions and Catalog'!$C$54,L688*'Assumptions and Catalog'!$H$54+'Assumptions and Catalog'!$E$54+'Assumptions and Catalog'!$F$54,IF(L688&lt;='Assumptions and Catalog'!$C$55,L688*'Assumptions and Catalog'!$H$55+'Assumptions and Catalog'!$E$55+'Assumptions and Catalog'!$F$55,IF(L688&lt;='Assumptions and Catalog'!$C$56,L688*'Assumptions and Catalog'!$H$56+'Assumptions and Catalog'!$E$56+'Assumptions and Catalog'!$F$56,IF(L688&lt;='Assumptions and Catalog'!$C$57,L688*'Assumptions and Catalog'!$H$57+'Assumptions and Catalog'!$E$57+'Assumptions and Catalog'!$F$57,"Out of range")))))))),IF(L688&lt;='Assumptions and Catalog'!$C$60,L688*'Assumptions and Catalog'!$H$60+'Assumptions and Catalog'!$E$60+'Assumptions and Catalog'!$F$60,IF(L688&lt;='Assumptions and Catalog'!$C$61,L688*'Assumptions and Catalog'!$H$61+'Assumptions and Catalog'!$E$61+'Assumptions and Catalog'!$F$61,IF(L688&lt;='Assumptions and Catalog'!$C$62,L688*'Assumptions and Catalog'!$H$62+'Assumptions and Catalog'!$E$62+'Assumptions and Catalog'!$F$62,IF(L688&lt;='Assumptions and Catalog'!$C$63,L688*'Assumptions and Catalog'!$H$63+'Assumptions and Catalog'!$E$63+'Assumptions and Catalog'!$F$63,IF(L688&lt;='Assumptions and Catalog'!$C$64,L688*'Assumptions and Catalog'!$H$64+'Assumptions and Catalog'!$E$64+'Assumptions and Catalog'!$F$64,IF(L688&lt;='Assumptions and Catalog'!$C$65,L688*'Assumptions and Catalog'!$H$65+'Assumptions and Catalog'!$E$65+'Assumptions and Catalog'!$F$65,"Out of range")))))))))*(1+'Assumptions and Catalog'!$C$8)^(A688-1),0)</f>
        <v>2521.26954784</v>
      </c>
      <c r="O688" s="5" t="n">
        <f>M688-N688</f>
        <v>4345.95045216</v>
      </c>
      <c r="P688" s="5" t="n">
        <f>E$55*(1-L$14)*(1-'Assumptions and Catalog'!$C$23)^R688</f>
        <v>9.834496</v>
      </c>
      <c r="Q688" s="5" t="n">
        <f>IF(ISNUMBER(Inputs!$L$5),(IF(Inputs!$L$9="Actual flat rate",((D688+E688)*C688-G688)*Inputs!$L$10,IF(Inputs!$C$9="Residential",IF(((D688+E688)*C688-G688)&lt;='Assumptions and Catalog'!$C$50,((D688+E688)*C688-G688)*'Assumptions and Catalog'!$H$50+'Assumptions and Catalog'!$E$50+'Assumptions and Catalog'!$F$50,IF(((D688+E688)*C688-G688)&lt;='Assumptions and Catalog'!$C$51,((D688+E688)*C688-G688)*'Assumptions and Catalog'!$H$51+'Assumptions and Catalog'!$E$51+'Assumptions and Catalog'!$F$51,IF(((D688+E688)*C688-G688)&lt;='Assumptions and Catalog'!$C$52,((D688+E688)*C688-G688)*'Assumptions and Catalog'!$H$52+'Assumptions and Catalog'!$E$52+'Assumptions and Catalog'!$F$52,IF(((D688+E688)*C688-G688)&lt;='Assumptions and Catalog'!$C$53,((D688+E688)*C688-G688)*'Assumptions and Catalog'!$H$53+'Assumptions and Catalog'!$E$53+'Assumptions and Catalog'!$F$53,IF(((D688+E688)*C688-G688)&lt;='Assumptions and Catalog'!$C$54,((D688+E688)*C688-G688)*'Assumptions and Catalog'!$H$54+'Assumptions and Catalog'!$E$54+'Assumptions and Catalog'!$F$54,IF(((D688+E688)*C688-G688)&lt;='Assumptions and Catalog'!$C$55,((D688+E688)*C688-G688)*'Assumptions and Catalog'!$H$55+'Assumptions and Catalog'!$E$55+'Assumptions and Catalog'!$F$55,IF(((D688+E688)*C688-G688)&lt;='Assumptions and Catalog'!$C$56,((D688+E688)*C688-G688)*'Assumptions and Catalog'!$H$56+'Assumptions and Catalog'!$E$56+'Assumptions and Catalog'!$F$56,IF(((D688+E688)*C688-G688)&lt;='Assumptions and Catalog'!$C$57,((D688+E688)*C688-G688)*'Assumptions and Catalog'!$H$57+'Assumptions and Catalog'!$E$57+'Assumptions and Catalog'!$F$57,"Out of range")))))))),IF(((D688+E688)*C688-G688)&lt;='Assumptions and Catalog'!$C$60,((D688+E688)*C688-G688)*'Assumptions and Catalog'!$H$60+'Assumptions and Catalog'!$E$60+'Assumptions and Catalog'!$F$60,IF(((D688+E688)*C688-G688)&lt;='Assumptions and Catalog'!$C$61,((D688+E688)*C688-G688)*'Assumptions and Catalog'!$H$61+'Assumptions and Catalog'!$E$61+'Assumptions and Catalog'!$F$61,IF(((D688+E688)*C688-G688)&lt;='Assumptions and Catalog'!$C$62,((D688+E688)*C688-G688)*'Assumptions and Catalog'!$H$62+'Assumptions and Catalog'!$E$62+'Assumptions and Catalog'!$F$62,IF(((D688+E688)*C688-G688)&lt;='Assumptions and Catalog'!$C$63,((D688+E688)*C688-G688)*'Assumptions and Catalog'!$H$63+'Assumptions and Catalog'!$E$63+'Assumptions and Catalog'!$F$63,IF(((D688+E688)*C688-G688)&lt;='Assumptions and Catalog'!$C$64,((D688+E688)*C688-G688)*'Assumptions and Catalog'!$H$64+'Assumptions and Catalog'!$E$64+'Assumptions and Catalog'!$F$64,IF(((D688+E688)*C688-G688)&lt;='Assumptions and Catalog'!$C$65,((D688+E688)*C688-G688)*'Assumptions and Catalog'!$H$65+'Assumptions and Catalog'!$E$65+'Assumptions and Catalog'!$F$65,"Out of range")))))))))*(1+'Assumptions and Catalog'!$C$8)^(A688-1),0)</f>
        <v>3453.61</v>
      </c>
      <c r="R688" s="5" t="n">
        <f>IF(AND('Assumptions and Catalog'!$C$19&gt;0,A688&gt;='Assumptions and Catalog'!$C$19),A688-'Assumptions and Catalog'!$C$19,A688-1)</f>
        <v>2</v>
      </c>
      <c r="S688" s="5" t="n">
        <f>F688+L688-(D688+E688)*C688-J688-K688-IF(E$52&gt;0,'Assumptions and Catalog'!$C$26*C688,0)</f>
        <v>-5.6843418860808E-014</v>
      </c>
      <c r="T688" s="5"/>
      <c r="U688" s="5"/>
    </row>
    <row r="689" ht="23.100000381469727" customHeight="1">
      <c r="A689" s="5" t="n">
        <v>3</v>
      </c>
      <c r="B689" s="5" t="n">
        <v>5</v>
      </c>
      <c r="C689" s="5" t="n">
        <f>DAY(DATE('Assumptions and Catalog'!$C$24+A689-1,B689+1,0))</f>
        <v>31</v>
      </c>
      <c r="D689" s="5" t="n">
        <f>IF(ISNUMBER(Inputs!$L$5),Inputs!$L$5*Inputs!$L$6,0)</f>
        <v>40.35</v>
      </c>
      <c r="E689" s="5" t="n">
        <f>IF(ISNUMBER(Inputs!$L$5),Inputs!$L$5-D689,0)</f>
        <v>40.35</v>
      </c>
      <c r="F689" s="5" t="n">
        <f>E$51*INDEX('Solar Production'!$D$20:$D$31,B689)*C689*(1-'Assumptions and Catalog'!$C$10)^(A689-1)</f>
        <v>1772.065548</v>
      </c>
      <c r="G689" s="5" t="n">
        <f>MIN(F689,D689*C689)</f>
        <v>1250.85</v>
      </c>
      <c r="H689" s="5" t="n">
        <f>I689/('Assumptions and Catalog'!$C$11*'Assumptions and Catalog'!$C$12)</f>
        <v>312.68653948718</v>
      </c>
      <c r="I689" s="5" t="n">
        <f>MIN(E689*C689,P689*'Assumptions and Catalog'!$C$12*C689,(F689-G689)*'Assumptions and Catalog'!$C$11*'Assumptions and Catalog'!$C$12,E$56*'Assumptions and Catalog'!$C$14*'Assumptions and Catalog'!$C$11*'Assumptions and Catalog'!$C$12*C689,E$57*(24-'Assumptions and Catalog'!$C$13)*C689)</f>
        <v>297.2476416</v>
      </c>
      <c r="J689" s="5" t="n">
        <f>MAX(F689-G689-H689,0)</f>
        <v>208.529008512821</v>
      </c>
      <c r="K689" s="5" t="n">
        <f>H689-I689</f>
        <v>15.4388978871795</v>
      </c>
      <c r="L689" s="5" t="n">
        <f>(D689+E689)*C689-G689-I689+0+IF(E$52&gt;0,'Assumptions and Catalog'!$C$26*C689,0)</f>
        <v>953.6023584</v>
      </c>
      <c r="M689" s="5" t="n">
        <f>IF(ISNUMBER(Inputs!$L$5),(IF(Inputs!$L$9="Actual flat rate",((D689+E689)*C689)*Inputs!$L$10,IF(Inputs!$C$9="Residential",IF(((D689+E689)*C689)&lt;='Assumptions and Catalog'!$C$50,((D689+E689)*C689)*'Assumptions and Catalog'!$H$50+'Assumptions and Catalog'!$E$50+'Assumptions and Catalog'!$F$50,IF(((D689+E689)*C689)&lt;='Assumptions and Catalog'!$C$51,((D689+E689)*C689)*'Assumptions and Catalog'!$H$51+'Assumptions and Catalog'!$E$51+'Assumptions and Catalog'!$F$51,IF(((D689+E689)*C689)&lt;='Assumptions and Catalog'!$C$52,((D689+E689)*C689)*'Assumptions and Catalog'!$H$52+'Assumptions and Catalog'!$E$52+'Assumptions and Catalog'!$F$52,IF(((D689+E689)*C689)&lt;='Assumptions and Catalog'!$C$53,((D689+E689)*C689)*'Assumptions and Catalog'!$H$53+'Assumptions and Catalog'!$E$53+'Assumptions and Catalog'!$F$53,IF(((D689+E689)*C689)&lt;='Assumptions and Catalog'!$C$54,((D689+E689)*C689)*'Assumptions and Catalog'!$H$54+'Assumptions and Catalog'!$E$54+'Assumptions and Catalog'!$F$54,IF(((D689+E689)*C689)&lt;='Assumptions and Catalog'!$C$55,((D689+E689)*C689)*'Assumptions and Catalog'!$H$55+'Assumptions and Catalog'!$E$55+'Assumptions and Catalog'!$F$55,IF(((D689+E689)*C689)&lt;='Assumptions and Catalog'!$C$56,((D689+E689)*C689)*'Assumptions and Catalog'!$H$56+'Assumptions and Catalog'!$E$56+'Assumptions and Catalog'!$F$56,IF(((D689+E689)*C689)&lt;='Assumptions and Catalog'!$C$57,((D689+E689)*C689)*'Assumptions and Catalog'!$H$57+'Assumptions and Catalog'!$E$57+'Assumptions and Catalog'!$F$57,"Out of range")))))))),IF(((D689+E689)*C689)&lt;='Assumptions and Catalog'!$C$60,((D689+E689)*C689)*'Assumptions and Catalog'!$H$60+'Assumptions and Catalog'!$E$60+'Assumptions and Catalog'!$F$60,IF(((D689+E689)*C689)&lt;='Assumptions and Catalog'!$C$61,((D689+E689)*C689)*'Assumptions and Catalog'!$H$61+'Assumptions and Catalog'!$E$61+'Assumptions and Catalog'!$F$61,IF(((D689+E689)*C689)&lt;='Assumptions and Catalog'!$C$62,((D689+E689)*C689)*'Assumptions and Catalog'!$H$62+'Assumptions and Catalog'!$E$62+'Assumptions and Catalog'!$F$62,IF(((D689+E689)*C689)&lt;='Assumptions and Catalog'!$C$63,((D689+E689)*C689)*'Assumptions and Catalog'!$H$63+'Assumptions and Catalog'!$E$63+'Assumptions and Catalog'!$F$63,IF(((D689+E689)*C689)&lt;='Assumptions and Catalog'!$C$64,((D689+E689)*C689)*'Assumptions and Catalog'!$H$64+'Assumptions and Catalog'!$E$64+'Assumptions and Catalog'!$F$64,IF(((D689+E689)*C689)&lt;='Assumptions and Catalog'!$C$65,((D689+E689)*C689)*'Assumptions and Catalog'!$H$65+'Assumptions and Catalog'!$E$65+'Assumptions and Catalog'!$F$65,"Out of range")))))))))*(1+'Assumptions and Catalog'!$C$8)^(A689-1),0)</f>
        <v>7094.794</v>
      </c>
      <c r="N689" s="5" t="n">
        <f>IF(ISNUMBER(Inputs!$L$5),(IF(Inputs!$L$9="Actual flat rate",L689*Inputs!$L$10,IF(Inputs!$C$9="Residential",IF(L689&lt;='Assumptions and Catalog'!$C$50,L689*'Assumptions and Catalog'!$H$50+'Assumptions and Catalog'!$E$50+'Assumptions and Catalog'!$F$50,IF(L689&lt;='Assumptions and Catalog'!$C$51,L689*'Assumptions and Catalog'!$H$51+'Assumptions and Catalog'!$E$51+'Assumptions and Catalog'!$F$51,IF(L689&lt;='Assumptions and Catalog'!$C$52,L689*'Assumptions and Catalog'!$H$52+'Assumptions and Catalog'!$E$52+'Assumptions and Catalog'!$F$52,IF(L689&lt;='Assumptions and Catalog'!$C$53,L689*'Assumptions and Catalog'!$H$53+'Assumptions and Catalog'!$E$53+'Assumptions and Catalog'!$F$53,IF(L689&lt;='Assumptions and Catalog'!$C$54,L689*'Assumptions and Catalog'!$H$54+'Assumptions and Catalog'!$E$54+'Assumptions and Catalog'!$F$54,IF(L689&lt;='Assumptions and Catalog'!$C$55,L689*'Assumptions and Catalog'!$H$55+'Assumptions and Catalog'!$E$55+'Assumptions and Catalog'!$F$55,IF(L689&lt;='Assumptions and Catalog'!$C$56,L689*'Assumptions and Catalog'!$H$56+'Assumptions and Catalog'!$E$56+'Assumptions and Catalog'!$F$56,IF(L689&lt;='Assumptions and Catalog'!$C$57,L689*'Assumptions and Catalog'!$H$57+'Assumptions and Catalog'!$E$57+'Assumptions and Catalog'!$F$57,"Out of range")))))))),IF(L689&lt;='Assumptions and Catalog'!$C$60,L689*'Assumptions and Catalog'!$H$60+'Assumptions and Catalog'!$E$60+'Assumptions and Catalog'!$F$60,IF(L689&lt;='Assumptions and Catalog'!$C$61,L689*'Assumptions and Catalog'!$H$61+'Assumptions and Catalog'!$E$61+'Assumptions and Catalog'!$F$61,IF(L689&lt;='Assumptions and Catalog'!$C$62,L689*'Assumptions and Catalog'!$H$62+'Assumptions and Catalog'!$E$62+'Assumptions and Catalog'!$F$62,IF(L689&lt;='Assumptions and Catalog'!$C$63,L689*'Assumptions and Catalog'!$H$63+'Assumptions and Catalog'!$E$63+'Assumptions and Catalog'!$F$63,IF(L689&lt;='Assumptions and Catalog'!$C$64,L689*'Assumptions and Catalog'!$H$64+'Assumptions and Catalog'!$E$64+'Assumptions and Catalog'!$F$64,IF(L689&lt;='Assumptions and Catalog'!$C$65,L689*'Assumptions and Catalog'!$H$65+'Assumptions and Catalog'!$E$65+'Assumptions and Catalog'!$F$65,"Out of range")))))))))*(1+'Assumptions and Catalog'!$C$8)^(A689-1),0)</f>
        <v>2606.478532768</v>
      </c>
      <c r="O689" s="5" t="n">
        <f>M689-N689</f>
        <v>4488.315467232</v>
      </c>
      <c r="P689" s="5" t="n">
        <f>E$55*(1-L$14)*(1-'Assumptions and Catalog'!$C$23)^R689</f>
        <v>9.834496</v>
      </c>
      <c r="Q689" s="5" t="n">
        <f>IF(ISNUMBER(Inputs!$L$5),(IF(Inputs!$L$9="Actual flat rate",((D689+E689)*C689-G689)*Inputs!$L$10,IF(Inputs!$C$9="Residential",IF(((D689+E689)*C689-G689)&lt;='Assumptions and Catalog'!$C$50,((D689+E689)*C689-G689)*'Assumptions and Catalog'!$H$50+'Assumptions and Catalog'!$E$50+'Assumptions and Catalog'!$F$50,IF(((D689+E689)*C689-G689)&lt;='Assumptions and Catalog'!$C$51,((D689+E689)*C689-G689)*'Assumptions and Catalog'!$H$51+'Assumptions and Catalog'!$E$51+'Assumptions and Catalog'!$F$51,IF(((D689+E689)*C689-G689)&lt;='Assumptions and Catalog'!$C$52,((D689+E689)*C689-G689)*'Assumptions and Catalog'!$H$52+'Assumptions and Catalog'!$E$52+'Assumptions and Catalog'!$F$52,IF(((D689+E689)*C689-G689)&lt;='Assumptions and Catalog'!$C$53,((D689+E689)*C689-G689)*'Assumptions and Catalog'!$H$53+'Assumptions and Catalog'!$E$53+'Assumptions and Catalog'!$F$53,IF(((D689+E689)*C689-G689)&lt;='Assumptions and Catalog'!$C$54,((D689+E689)*C689-G689)*'Assumptions and Catalog'!$H$54+'Assumptions and Catalog'!$E$54+'Assumptions and Catalog'!$F$54,IF(((D689+E689)*C689-G689)&lt;='Assumptions and Catalog'!$C$55,((D689+E689)*C689-G689)*'Assumptions and Catalog'!$H$55+'Assumptions and Catalog'!$E$55+'Assumptions and Catalog'!$F$55,IF(((D689+E689)*C689-G689)&lt;='Assumptions and Catalog'!$C$56,((D689+E689)*C689-G689)*'Assumptions and Catalog'!$H$56+'Assumptions and Catalog'!$E$56+'Assumptions and Catalog'!$F$56,IF(((D689+E689)*C689-G689)&lt;='Assumptions and Catalog'!$C$57,((D689+E689)*C689-G689)*'Assumptions and Catalog'!$H$57+'Assumptions and Catalog'!$E$57+'Assumptions and Catalog'!$F$57,"Out of range")))))))),IF(((D689+E689)*C689-G689)&lt;='Assumptions and Catalog'!$C$60,((D689+E689)*C689-G689)*'Assumptions and Catalog'!$H$60+'Assumptions and Catalog'!$E$60+'Assumptions and Catalog'!$F$60,IF(((D689+E689)*C689-G689)&lt;='Assumptions and Catalog'!$C$61,((D689+E689)*C689-G689)*'Assumptions and Catalog'!$H$61+'Assumptions and Catalog'!$E$61+'Assumptions and Catalog'!$F$61,IF(((D689+E689)*C689-G689)&lt;='Assumptions and Catalog'!$C$62,((D689+E689)*C689-G689)*'Assumptions and Catalog'!$H$62+'Assumptions and Catalog'!$E$62+'Assumptions and Catalog'!$F$62,IF(((D689+E689)*C689-G689)&lt;='Assumptions and Catalog'!$C$63,((D689+E689)*C689-G689)*'Assumptions and Catalog'!$H$63+'Assumptions and Catalog'!$E$63+'Assumptions and Catalog'!$F$63,IF(((D689+E689)*C689-G689)&lt;='Assumptions and Catalog'!$C$64,((D689+E689)*C689-G689)*'Assumptions and Catalog'!$H$64+'Assumptions and Catalog'!$E$64+'Assumptions and Catalog'!$F$64,IF(((D689+E689)*C689-G689)&lt;='Assumptions and Catalog'!$C$65,((D689+E689)*C689-G689)*'Assumptions and Catalog'!$H$65+'Assumptions and Catalog'!$E$65+'Assumptions and Catalog'!$F$65,"Out of range")))))))))*(1+'Assumptions and Catalog'!$C$8)^(A689-1),0)</f>
        <v>3567.397</v>
      </c>
      <c r="R689" s="5" t="n">
        <f>IF(AND('Assumptions and Catalog'!$C$19&gt;0,A689&gt;='Assumptions and Catalog'!$C$19),A689-'Assumptions and Catalog'!$C$19,A689-1)</f>
        <v>2</v>
      </c>
      <c r="S689" s="5" t="n">
        <f>F689+L689-(D689+E689)*C689-J689-K689-IF(E$52&gt;0,'Assumptions and Catalog'!$C$26*C689,0)</f>
        <v>1.13686837721616E-013</v>
      </c>
      <c r="T689" s="5"/>
      <c r="U689" s="5"/>
    </row>
    <row r="690" ht="23.100000381469727" customHeight="1">
      <c r="A690" s="5" t="n">
        <v>3</v>
      </c>
      <c r="B690" s="5" t="n">
        <v>6</v>
      </c>
      <c r="C690" s="5" t="n">
        <f>DAY(DATE('Assumptions and Catalog'!$C$24+A690-1,B690+1,0))</f>
        <v>30</v>
      </c>
      <c r="D690" s="5" t="n">
        <f>IF(ISNUMBER(Inputs!$L$5),Inputs!$L$5*Inputs!$L$6,0)</f>
        <v>40.35</v>
      </c>
      <c r="E690" s="5" t="n">
        <f>IF(ISNUMBER(Inputs!$L$5),Inputs!$L$5-D690,0)</f>
        <v>40.35</v>
      </c>
      <c r="F690" s="5" t="n">
        <f>E$51*INDEX('Solar Production'!$D$20:$D$31,B690)*C690*(1-'Assumptions and Catalog'!$C$10)^(A690-1)</f>
        <v>1727.4154205</v>
      </c>
      <c r="G690" s="5" t="n">
        <f>MIN(F690,D690*C690)</f>
        <v>1210.5</v>
      </c>
      <c r="H690" s="5" t="n">
        <f>I690/('Assumptions and Catalog'!$C$11*'Assumptions and Catalog'!$C$12)</f>
        <v>302.599876923077</v>
      </c>
      <c r="I690" s="5" t="n">
        <f>MIN(E690*C690,P690*'Assumptions and Catalog'!$C$12*C690,(F690-G690)*'Assumptions and Catalog'!$C$11*'Assumptions and Catalog'!$C$12,E$56*'Assumptions and Catalog'!$C$14*'Assumptions and Catalog'!$C$11*'Assumptions and Catalog'!$C$12*C690,E$57*(24-'Assumptions and Catalog'!$C$13)*C690)</f>
        <v>287.659008</v>
      </c>
      <c r="J690" s="5" t="n">
        <f>MAX(F690-G690-H690,0)</f>
        <v>214.315543576923</v>
      </c>
      <c r="K690" s="5" t="n">
        <f>H690-I690</f>
        <v>14.9408689230769</v>
      </c>
      <c r="L690" s="5" t="n">
        <f>(D690+E690)*C690-G690-I690+0+IF(E$52&gt;0,'Assumptions and Catalog'!$C$26*C690,0)</f>
        <v>922.840992</v>
      </c>
      <c r="M690" s="5" t="n">
        <f>IF(ISNUMBER(Inputs!$L$5),(IF(Inputs!$L$9="Actual flat rate",((D690+E690)*C690)*Inputs!$L$10,IF(Inputs!$C$9="Residential",IF(((D690+E690)*C690)&lt;='Assumptions and Catalog'!$C$50,((D690+E690)*C690)*'Assumptions and Catalog'!$H$50+'Assumptions and Catalog'!$E$50+'Assumptions and Catalog'!$F$50,IF(((D690+E690)*C690)&lt;='Assumptions and Catalog'!$C$51,((D690+E690)*C690)*'Assumptions and Catalog'!$H$51+'Assumptions and Catalog'!$E$51+'Assumptions and Catalog'!$F$51,IF(((D690+E690)*C690)&lt;='Assumptions and Catalog'!$C$52,((D690+E690)*C690)*'Assumptions and Catalog'!$H$52+'Assumptions and Catalog'!$E$52+'Assumptions and Catalog'!$F$52,IF(((D690+E690)*C690)&lt;='Assumptions and Catalog'!$C$53,((D690+E690)*C690)*'Assumptions and Catalog'!$H$53+'Assumptions and Catalog'!$E$53+'Assumptions and Catalog'!$F$53,IF(((D690+E690)*C690)&lt;='Assumptions and Catalog'!$C$54,((D690+E690)*C690)*'Assumptions and Catalog'!$H$54+'Assumptions and Catalog'!$E$54+'Assumptions and Catalog'!$F$54,IF(((D690+E690)*C690)&lt;='Assumptions and Catalog'!$C$55,((D690+E690)*C690)*'Assumptions and Catalog'!$H$55+'Assumptions and Catalog'!$E$55+'Assumptions and Catalog'!$F$55,IF(((D690+E690)*C690)&lt;='Assumptions and Catalog'!$C$56,((D690+E690)*C690)*'Assumptions and Catalog'!$H$56+'Assumptions and Catalog'!$E$56+'Assumptions and Catalog'!$F$56,IF(((D690+E690)*C690)&lt;='Assumptions and Catalog'!$C$57,((D690+E690)*C690)*'Assumptions and Catalog'!$H$57+'Assumptions and Catalog'!$E$57+'Assumptions and Catalog'!$F$57,"Out of range")))))))),IF(((D690+E690)*C690)&lt;='Assumptions and Catalog'!$C$60,((D690+E690)*C690)*'Assumptions and Catalog'!$H$60+'Assumptions and Catalog'!$E$60+'Assumptions and Catalog'!$F$60,IF(((D690+E690)*C690)&lt;='Assumptions and Catalog'!$C$61,((D690+E690)*C690)*'Assumptions and Catalog'!$H$61+'Assumptions and Catalog'!$E$61+'Assumptions and Catalog'!$F$61,IF(((D690+E690)*C690)&lt;='Assumptions and Catalog'!$C$62,((D690+E690)*C690)*'Assumptions and Catalog'!$H$62+'Assumptions and Catalog'!$E$62+'Assumptions and Catalog'!$F$62,IF(((D690+E690)*C690)&lt;='Assumptions and Catalog'!$C$63,((D690+E690)*C690)*'Assumptions and Catalog'!$H$63+'Assumptions and Catalog'!$E$63+'Assumptions and Catalog'!$F$63,IF(((D690+E690)*C690)&lt;='Assumptions and Catalog'!$C$64,((D690+E690)*C690)*'Assumptions and Catalog'!$H$64+'Assumptions and Catalog'!$E$64+'Assumptions and Catalog'!$F$64,IF(((D690+E690)*C690)&lt;='Assumptions and Catalog'!$C$65,((D690+E690)*C690)*'Assumptions and Catalog'!$H$65+'Assumptions and Catalog'!$E$65+'Assumptions and Catalog'!$F$65,"Out of range")))))))))*(1+'Assumptions and Catalog'!$C$8)^(A690-1),0)</f>
        <v>6867.22</v>
      </c>
      <c r="N690" s="5" t="n">
        <f>IF(ISNUMBER(Inputs!$L$5),(IF(Inputs!$L$9="Actual flat rate",L690*Inputs!$L$10,IF(Inputs!$C$9="Residential",IF(L690&lt;='Assumptions and Catalog'!$C$50,L690*'Assumptions and Catalog'!$H$50+'Assumptions and Catalog'!$E$50+'Assumptions and Catalog'!$F$50,IF(L690&lt;='Assumptions and Catalog'!$C$51,L690*'Assumptions and Catalog'!$H$51+'Assumptions and Catalog'!$E$51+'Assumptions and Catalog'!$F$51,IF(L690&lt;='Assumptions and Catalog'!$C$52,L690*'Assumptions and Catalog'!$H$52+'Assumptions and Catalog'!$E$52+'Assumptions and Catalog'!$F$52,IF(L690&lt;='Assumptions and Catalog'!$C$53,L690*'Assumptions and Catalog'!$H$53+'Assumptions and Catalog'!$E$53+'Assumptions and Catalog'!$F$53,IF(L690&lt;='Assumptions and Catalog'!$C$54,L690*'Assumptions and Catalog'!$H$54+'Assumptions and Catalog'!$E$54+'Assumptions and Catalog'!$F$54,IF(L690&lt;='Assumptions and Catalog'!$C$55,L690*'Assumptions and Catalog'!$H$55+'Assumptions and Catalog'!$E$55+'Assumptions and Catalog'!$F$55,IF(L690&lt;='Assumptions and Catalog'!$C$56,L690*'Assumptions and Catalog'!$H$56+'Assumptions and Catalog'!$E$56+'Assumptions and Catalog'!$F$56,IF(L690&lt;='Assumptions and Catalog'!$C$57,L690*'Assumptions and Catalog'!$H$57+'Assumptions and Catalog'!$E$57+'Assumptions and Catalog'!$F$57,"Out of range")))))))),IF(L690&lt;='Assumptions and Catalog'!$C$60,L690*'Assumptions and Catalog'!$H$60+'Assumptions and Catalog'!$E$60+'Assumptions and Catalog'!$F$60,IF(L690&lt;='Assumptions and Catalog'!$C$61,L690*'Assumptions and Catalog'!$H$61+'Assumptions and Catalog'!$E$61+'Assumptions and Catalog'!$F$61,IF(L690&lt;='Assumptions and Catalog'!$C$62,L690*'Assumptions and Catalog'!$H$62+'Assumptions and Catalog'!$E$62+'Assumptions and Catalog'!$F$62,IF(L690&lt;='Assumptions and Catalog'!$C$63,L690*'Assumptions and Catalog'!$H$63+'Assumptions and Catalog'!$E$63+'Assumptions and Catalog'!$F$63,IF(L690&lt;='Assumptions and Catalog'!$C$64,L690*'Assumptions and Catalog'!$H$64+'Assumptions and Catalog'!$E$64+'Assumptions and Catalog'!$F$64,IF(L690&lt;='Assumptions and Catalog'!$C$65,L690*'Assumptions and Catalog'!$H$65+'Assumptions and Catalog'!$E$65+'Assumptions and Catalog'!$F$65,"Out of range")))))))))*(1+'Assumptions and Catalog'!$C$8)^(A690-1),0)</f>
        <v>2521.26954784</v>
      </c>
      <c r="O690" s="5" t="n">
        <f>M690-N690</f>
        <v>4345.95045216</v>
      </c>
      <c r="P690" s="5" t="n">
        <f>E$55*(1-L$14)*(1-'Assumptions and Catalog'!$C$23)^R690</f>
        <v>9.834496</v>
      </c>
      <c r="Q690" s="5" t="n">
        <f>IF(ISNUMBER(Inputs!$L$5),(IF(Inputs!$L$9="Actual flat rate",((D690+E690)*C690-G690)*Inputs!$L$10,IF(Inputs!$C$9="Residential",IF(((D690+E690)*C690-G690)&lt;='Assumptions and Catalog'!$C$50,((D690+E690)*C690-G690)*'Assumptions and Catalog'!$H$50+'Assumptions and Catalog'!$E$50+'Assumptions and Catalog'!$F$50,IF(((D690+E690)*C690-G690)&lt;='Assumptions and Catalog'!$C$51,((D690+E690)*C690-G690)*'Assumptions and Catalog'!$H$51+'Assumptions and Catalog'!$E$51+'Assumptions and Catalog'!$F$51,IF(((D690+E690)*C690-G690)&lt;='Assumptions and Catalog'!$C$52,((D690+E690)*C690-G690)*'Assumptions and Catalog'!$H$52+'Assumptions and Catalog'!$E$52+'Assumptions and Catalog'!$F$52,IF(((D690+E690)*C690-G690)&lt;='Assumptions and Catalog'!$C$53,((D690+E690)*C690-G690)*'Assumptions and Catalog'!$H$53+'Assumptions and Catalog'!$E$53+'Assumptions and Catalog'!$F$53,IF(((D690+E690)*C690-G690)&lt;='Assumptions and Catalog'!$C$54,((D690+E690)*C690-G690)*'Assumptions and Catalog'!$H$54+'Assumptions and Catalog'!$E$54+'Assumptions and Catalog'!$F$54,IF(((D690+E690)*C690-G690)&lt;='Assumptions and Catalog'!$C$55,((D690+E690)*C690-G690)*'Assumptions and Catalog'!$H$55+'Assumptions and Catalog'!$E$55+'Assumptions and Catalog'!$F$55,IF(((D690+E690)*C690-G690)&lt;='Assumptions and Catalog'!$C$56,((D690+E690)*C690-G690)*'Assumptions and Catalog'!$H$56+'Assumptions and Catalog'!$E$56+'Assumptions and Catalog'!$F$56,IF(((D690+E690)*C690-G690)&lt;='Assumptions and Catalog'!$C$57,((D690+E690)*C690-G690)*'Assumptions and Catalog'!$H$57+'Assumptions and Catalog'!$E$57+'Assumptions and Catalog'!$F$57,"Out of range")))))))),IF(((D690+E690)*C690-G690)&lt;='Assumptions and Catalog'!$C$60,((D690+E690)*C690-G690)*'Assumptions and Catalog'!$H$60+'Assumptions and Catalog'!$E$60+'Assumptions and Catalog'!$F$60,IF(((D690+E690)*C690-G690)&lt;='Assumptions and Catalog'!$C$61,((D690+E690)*C690-G690)*'Assumptions and Catalog'!$H$61+'Assumptions and Catalog'!$E$61+'Assumptions and Catalog'!$F$61,IF(((D690+E690)*C690-G690)&lt;='Assumptions and Catalog'!$C$62,((D690+E690)*C690-G690)*'Assumptions and Catalog'!$H$62+'Assumptions and Catalog'!$E$62+'Assumptions and Catalog'!$F$62,IF(((D690+E690)*C690-G690)&lt;='Assumptions and Catalog'!$C$63,((D690+E690)*C690-G690)*'Assumptions and Catalog'!$H$63+'Assumptions and Catalog'!$E$63+'Assumptions and Catalog'!$F$63,IF(((D690+E690)*C690-G690)&lt;='Assumptions and Catalog'!$C$64,((D690+E690)*C690-G690)*'Assumptions and Catalog'!$H$64+'Assumptions and Catalog'!$E$64+'Assumptions and Catalog'!$F$64,IF(((D690+E690)*C690-G690)&lt;='Assumptions and Catalog'!$C$65,((D690+E690)*C690-G690)*'Assumptions and Catalog'!$H$65+'Assumptions and Catalog'!$E$65+'Assumptions and Catalog'!$F$65,"Out of range")))))))))*(1+'Assumptions and Catalog'!$C$8)^(A690-1),0)</f>
        <v>3453.61</v>
      </c>
      <c r="R690" s="5" t="n">
        <f>IF(AND('Assumptions and Catalog'!$C$19&gt;0,A690&gt;='Assumptions and Catalog'!$C$19),A690-'Assumptions and Catalog'!$C$19,A690-1)</f>
        <v>2</v>
      </c>
      <c r="S690" s="5" t="n">
        <f>F690+L690-(D690+E690)*C690-J690-K690-IF(E$52&gt;0,'Assumptions and Catalog'!$C$26*C690,0)</f>
        <v>-2.8421709430404E-013</v>
      </c>
      <c r="T690" s="5"/>
      <c r="U690" s="5"/>
    </row>
    <row r="691" ht="23.100000381469727" customHeight="1">
      <c r="A691" s="5" t="n">
        <v>3</v>
      </c>
      <c r="B691" s="5" t="n">
        <v>7</v>
      </c>
      <c r="C691" s="5" t="n">
        <f>DAY(DATE('Assumptions and Catalog'!$C$24+A691-1,B691+1,0))</f>
        <v>31</v>
      </c>
      <c r="D691" s="5" t="n">
        <f>IF(ISNUMBER(Inputs!$L$5),Inputs!$L$5*Inputs!$L$6,0)</f>
        <v>40.35</v>
      </c>
      <c r="E691" s="5" t="n">
        <f>IF(ISNUMBER(Inputs!$L$5),Inputs!$L$5-D691,0)</f>
        <v>40.35</v>
      </c>
      <c r="F691" s="5" t="n">
        <f>E$51*INDEX('Solar Production'!$D$20:$D$31,B691)*C691*(1-'Assumptions and Catalog'!$C$10)^(A691-1)</f>
        <v>1793.1926815</v>
      </c>
      <c r="G691" s="5" t="n">
        <f>MIN(F691,D691*C691)</f>
        <v>1250.85</v>
      </c>
      <c r="H691" s="5" t="n">
        <f>I691/('Assumptions and Catalog'!$C$11*'Assumptions and Catalog'!$C$12)</f>
        <v>312.68653948718</v>
      </c>
      <c r="I691" s="5" t="n">
        <f>MIN(E691*C691,P691*'Assumptions and Catalog'!$C$12*C691,(F691-G691)*'Assumptions and Catalog'!$C$11*'Assumptions and Catalog'!$C$12,E$56*'Assumptions and Catalog'!$C$14*'Assumptions and Catalog'!$C$11*'Assumptions and Catalog'!$C$12*C691,E$57*(24-'Assumptions and Catalog'!$C$13)*C691)</f>
        <v>297.2476416</v>
      </c>
      <c r="J691" s="5" t="n">
        <f>MAX(F691-G691-H691,0)</f>
        <v>229.65614201282</v>
      </c>
      <c r="K691" s="5" t="n">
        <f>H691-I691</f>
        <v>15.4388978871795</v>
      </c>
      <c r="L691" s="5" t="n">
        <f>(D691+E691)*C691-G691-I691+0+IF(E$52&gt;0,'Assumptions and Catalog'!$C$26*C691,0)</f>
        <v>953.6023584</v>
      </c>
      <c r="M691" s="5" t="n">
        <f>IF(ISNUMBER(Inputs!$L$5),(IF(Inputs!$L$9="Actual flat rate",((D691+E691)*C691)*Inputs!$L$10,IF(Inputs!$C$9="Residential",IF(((D691+E691)*C691)&lt;='Assumptions and Catalog'!$C$50,((D691+E691)*C691)*'Assumptions and Catalog'!$H$50+'Assumptions and Catalog'!$E$50+'Assumptions and Catalog'!$F$50,IF(((D691+E691)*C691)&lt;='Assumptions and Catalog'!$C$51,((D691+E691)*C691)*'Assumptions and Catalog'!$H$51+'Assumptions and Catalog'!$E$51+'Assumptions and Catalog'!$F$51,IF(((D691+E691)*C691)&lt;='Assumptions and Catalog'!$C$52,((D691+E691)*C691)*'Assumptions and Catalog'!$H$52+'Assumptions and Catalog'!$E$52+'Assumptions and Catalog'!$F$52,IF(((D691+E691)*C691)&lt;='Assumptions and Catalog'!$C$53,((D691+E691)*C691)*'Assumptions and Catalog'!$H$53+'Assumptions and Catalog'!$E$53+'Assumptions and Catalog'!$F$53,IF(((D691+E691)*C691)&lt;='Assumptions and Catalog'!$C$54,((D691+E691)*C691)*'Assumptions and Catalog'!$H$54+'Assumptions and Catalog'!$E$54+'Assumptions and Catalog'!$F$54,IF(((D691+E691)*C691)&lt;='Assumptions and Catalog'!$C$55,((D691+E691)*C691)*'Assumptions and Catalog'!$H$55+'Assumptions and Catalog'!$E$55+'Assumptions and Catalog'!$F$55,IF(((D691+E691)*C691)&lt;='Assumptions and Catalog'!$C$56,((D691+E691)*C691)*'Assumptions and Catalog'!$H$56+'Assumptions and Catalog'!$E$56+'Assumptions and Catalog'!$F$56,IF(((D691+E691)*C691)&lt;='Assumptions and Catalog'!$C$57,((D691+E691)*C691)*'Assumptions and Catalog'!$H$57+'Assumptions and Catalog'!$E$57+'Assumptions and Catalog'!$F$57,"Out of range")))))))),IF(((D691+E691)*C691)&lt;='Assumptions and Catalog'!$C$60,((D691+E691)*C691)*'Assumptions and Catalog'!$H$60+'Assumptions and Catalog'!$E$60+'Assumptions and Catalog'!$F$60,IF(((D691+E691)*C691)&lt;='Assumptions and Catalog'!$C$61,((D691+E691)*C691)*'Assumptions and Catalog'!$H$61+'Assumptions and Catalog'!$E$61+'Assumptions and Catalog'!$F$61,IF(((D691+E691)*C691)&lt;='Assumptions and Catalog'!$C$62,((D691+E691)*C691)*'Assumptions and Catalog'!$H$62+'Assumptions and Catalog'!$E$62+'Assumptions and Catalog'!$F$62,IF(((D691+E691)*C691)&lt;='Assumptions and Catalog'!$C$63,((D691+E691)*C691)*'Assumptions and Catalog'!$H$63+'Assumptions and Catalog'!$E$63+'Assumptions and Catalog'!$F$63,IF(((D691+E691)*C691)&lt;='Assumptions and Catalog'!$C$64,((D691+E691)*C691)*'Assumptions and Catalog'!$H$64+'Assumptions and Catalog'!$E$64+'Assumptions and Catalog'!$F$64,IF(((D691+E691)*C691)&lt;='Assumptions and Catalog'!$C$65,((D691+E691)*C691)*'Assumptions and Catalog'!$H$65+'Assumptions and Catalog'!$E$65+'Assumptions and Catalog'!$F$65,"Out of range")))))))))*(1+'Assumptions and Catalog'!$C$8)^(A691-1),0)</f>
        <v>7094.794</v>
      </c>
      <c r="N691" s="5" t="n">
        <f>IF(ISNUMBER(Inputs!$L$5),(IF(Inputs!$L$9="Actual flat rate",L691*Inputs!$L$10,IF(Inputs!$C$9="Residential",IF(L691&lt;='Assumptions and Catalog'!$C$50,L691*'Assumptions and Catalog'!$H$50+'Assumptions and Catalog'!$E$50+'Assumptions and Catalog'!$F$50,IF(L691&lt;='Assumptions and Catalog'!$C$51,L691*'Assumptions and Catalog'!$H$51+'Assumptions and Catalog'!$E$51+'Assumptions and Catalog'!$F$51,IF(L691&lt;='Assumptions and Catalog'!$C$52,L691*'Assumptions and Catalog'!$H$52+'Assumptions and Catalog'!$E$52+'Assumptions and Catalog'!$F$52,IF(L691&lt;='Assumptions and Catalog'!$C$53,L691*'Assumptions and Catalog'!$H$53+'Assumptions and Catalog'!$E$53+'Assumptions and Catalog'!$F$53,IF(L691&lt;='Assumptions and Catalog'!$C$54,L691*'Assumptions and Catalog'!$H$54+'Assumptions and Catalog'!$E$54+'Assumptions and Catalog'!$F$54,IF(L691&lt;='Assumptions and Catalog'!$C$55,L691*'Assumptions and Catalog'!$H$55+'Assumptions and Catalog'!$E$55+'Assumptions and Catalog'!$F$55,IF(L691&lt;='Assumptions and Catalog'!$C$56,L691*'Assumptions and Catalog'!$H$56+'Assumptions and Catalog'!$E$56+'Assumptions and Catalog'!$F$56,IF(L691&lt;='Assumptions and Catalog'!$C$57,L691*'Assumptions and Catalog'!$H$57+'Assumptions and Catalog'!$E$57+'Assumptions and Catalog'!$F$57,"Out of range")))))))),IF(L691&lt;='Assumptions and Catalog'!$C$60,L691*'Assumptions and Catalog'!$H$60+'Assumptions and Catalog'!$E$60+'Assumptions and Catalog'!$F$60,IF(L691&lt;='Assumptions and Catalog'!$C$61,L691*'Assumptions and Catalog'!$H$61+'Assumptions and Catalog'!$E$61+'Assumptions and Catalog'!$F$61,IF(L691&lt;='Assumptions and Catalog'!$C$62,L691*'Assumptions and Catalog'!$H$62+'Assumptions and Catalog'!$E$62+'Assumptions and Catalog'!$F$62,IF(L691&lt;='Assumptions and Catalog'!$C$63,L691*'Assumptions and Catalog'!$H$63+'Assumptions and Catalog'!$E$63+'Assumptions and Catalog'!$F$63,IF(L691&lt;='Assumptions and Catalog'!$C$64,L691*'Assumptions and Catalog'!$H$64+'Assumptions and Catalog'!$E$64+'Assumptions and Catalog'!$F$64,IF(L691&lt;='Assumptions and Catalog'!$C$65,L691*'Assumptions and Catalog'!$H$65+'Assumptions and Catalog'!$E$65+'Assumptions and Catalog'!$F$65,"Out of range")))))))))*(1+'Assumptions and Catalog'!$C$8)^(A691-1),0)</f>
        <v>2606.478532768</v>
      </c>
      <c r="O691" s="5" t="n">
        <f>M691-N691</f>
        <v>4488.315467232</v>
      </c>
      <c r="P691" s="5" t="n">
        <f>E$55*(1-L$14)*(1-'Assumptions and Catalog'!$C$23)^R691</f>
        <v>9.834496</v>
      </c>
      <c r="Q691" s="5" t="n">
        <f>IF(ISNUMBER(Inputs!$L$5),(IF(Inputs!$L$9="Actual flat rate",((D691+E691)*C691-G691)*Inputs!$L$10,IF(Inputs!$C$9="Residential",IF(((D691+E691)*C691-G691)&lt;='Assumptions and Catalog'!$C$50,((D691+E691)*C691-G691)*'Assumptions and Catalog'!$H$50+'Assumptions and Catalog'!$E$50+'Assumptions and Catalog'!$F$50,IF(((D691+E691)*C691-G691)&lt;='Assumptions and Catalog'!$C$51,((D691+E691)*C691-G691)*'Assumptions and Catalog'!$H$51+'Assumptions and Catalog'!$E$51+'Assumptions and Catalog'!$F$51,IF(((D691+E691)*C691-G691)&lt;='Assumptions and Catalog'!$C$52,((D691+E691)*C691-G691)*'Assumptions and Catalog'!$H$52+'Assumptions and Catalog'!$E$52+'Assumptions and Catalog'!$F$52,IF(((D691+E691)*C691-G691)&lt;='Assumptions and Catalog'!$C$53,((D691+E691)*C691-G691)*'Assumptions and Catalog'!$H$53+'Assumptions and Catalog'!$E$53+'Assumptions and Catalog'!$F$53,IF(((D691+E691)*C691-G691)&lt;='Assumptions and Catalog'!$C$54,((D691+E691)*C691-G691)*'Assumptions and Catalog'!$H$54+'Assumptions and Catalog'!$E$54+'Assumptions and Catalog'!$F$54,IF(((D691+E691)*C691-G691)&lt;='Assumptions and Catalog'!$C$55,((D691+E691)*C691-G691)*'Assumptions and Catalog'!$H$55+'Assumptions and Catalog'!$E$55+'Assumptions and Catalog'!$F$55,IF(((D691+E691)*C691-G691)&lt;='Assumptions and Catalog'!$C$56,((D691+E691)*C691-G691)*'Assumptions and Catalog'!$H$56+'Assumptions and Catalog'!$E$56+'Assumptions and Catalog'!$F$56,IF(((D691+E691)*C691-G691)&lt;='Assumptions and Catalog'!$C$57,((D691+E691)*C691-G691)*'Assumptions and Catalog'!$H$57+'Assumptions and Catalog'!$E$57+'Assumptions and Catalog'!$F$57,"Out of range")))))))),IF(((D691+E691)*C691-G691)&lt;='Assumptions and Catalog'!$C$60,((D691+E691)*C691-G691)*'Assumptions and Catalog'!$H$60+'Assumptions and Catalog'!$E$60+'Assumptions and Catalog'!$F$60,IF(((D691+E691)*C691-G691)&lt;='Assumptions and Catalog'!$C$61,((D691+E691)*C691-G691)*'Assumptions and Catalog'!$H$61+'Assumptions and Catalog'!$E$61+'Assumptions and Catalog'!$F$61,IF(((D691+E691)*C691-G691)&lt;='Assumptions and Catalog'!$C$62,((D691+E691)*C691-G691)*'Assumptions and Catalog'!$H$62+'Assumptions and Catalog'!$E$62+'Assumptions and Catalog'!$F$62,IF(((D691+E691)*C691-G691)&lt;='Assumptions and Catalog'!$C$63,((D691+E691)*C691-G691)*'Assumptions and Catalog'!$H$63+'Assumptions and Catalog'!$E$63+'Assumptions and Catalog'!$F$63,IF(((D691+E691)*C691-G691)&lt;='Assumptions and Catalog'!$C$64,((D691+E691)*C691-G691)*'Assumptions and Catalog'!$H$64+'Assumptions and Catalog'!$E$64+'Assumptions and Catalog'!$F$64,IF(((D691+E691)*C691-G691)&lt;='Assumptions and Catalog'!$C$65,((D691+E691)*C691-G691)*'Assumptions and Catalog'!$H$65+'Assumptions and Catalog'!$E$65+'Assumptions and Catalog'!$F$65,"Out of range")))))))))*(1+'Assumptions and Catalog'!$C$8)^(A691-1),0)</f>
        <v>3567.397</v>
      </c>
      <c r="R691" s="5" t="n">
        <f>IF(AND('Assumptions and Catalog'!$C$19&gt;0,A691&gt;='Assumptions and Catalog'!$C$19),A691-'Assumptions and Catalog'!$C$19,A691-1)</f>
        <v>2</v>
      </c>
      <c r="S691" s="5" t="n">
        <f>F691+L691-(D691+E691)*C691-J691-K691-IF(E$52&gt;0,'Assumptions and Catalog'!$C$26*C691,0)</f>
        <v>-1.13686837721616E-013</v>
      </c>
      <c r="T691" s="5"/>
      <c r="U691" s="5"/>
    </row>
    <row r="692" ht="23.100000381469727" customHeight="1">
      <c r="A692" s="5" t="n">
        <v>3</v>
      </c>
      <c r="B692" s="5" t="n">
        <v>8</v>
      </c>
      <c r="C692" s="5" t="n">
        <f>DAY(DATE('Assumptions and Catalog'!$C$24+A692-1,B692+1,0))</f>
        <v>31</v>
      </c>
      <c r="D692" s="5" t="n">
        <f>IF(ISNUMBER(Inputs!$L$5),Inputs!$L$5*Inputs!$L$6,0)</f>
        <v>40.35</v>
      </c>
      <c r="E692" s="5" t="n">
        <f>IF(ISNUMBER(Inputs!$L$5),Inputs!$L$5-D692,0)</f>
        <v>40.35</v>
      </c>
      <c r="F692" s="5" t="n">
        <f>E$51*INDEX('Solar Production'!$D$20:$D$31,B692)*C692*(1-'Assumptions and Catalog'!$C$10)^(A692-1)</f>
        <v>1816.49787</v>
      </c>
      <c r="G692" s="5" t="n">
        <f>MIN(F692,D692*C692)</f>
        <v>1250.85</v>
      </c>
      <c r="H692" s="5" t="n">
        <f>I692/('Assumptions and Catalog'!$C$11*'Assumptions and Catalog'!$C$12)</f>
        <v>312.68653948718</v>
      </c>
      <c r="I692" s="5" t="n">
        <f>MIN(E692*C692,P692*'Assumptions and Catalog'!$C$12*C692,(F692-G692)*'Assumptions and Catalog'!$C$11*'Assumptions and Catalog'!$C$12,E$56*'Assumptions and Catalog'!$C$14*'Assumptions and Catalog'!$C$11*'Assumptions and Catalog'!$C$12*C692,E$57*(24-'Assumptions and Catalog'!$C$13)*C692)</f>
        <v>297.2476416</v>
      </c>
      <c r="J692" s="5" t="n">
        <f>MAX(F692-G692-H692,0)</f>
        <v>252.96133051282</v>
      </c>
      <c r="K692" s="5" t="n">
        <f>H692-I692</f>
        <v>15.4388978871795</v>
      </c>
      <c r="L692" s="5" t="n">
        <f>(D692+E692)*C692-G692-I692+0+IF(E$52&gt;0,'Assumptions and Catalog'!$C$26*C692,0)</f>
        <v>953.6023584</v>
      </c>
      <c r="M692" s="5" t="n">
        <f>IF(ISNUMBER(Inputs!$L$5),(IF(Inputs!$L$9="Actual flat rate",((D692+E692)*C692)*Inputs!$L$10,IF(Inputs!$C$9="Residential",IF(((D692+E692)*C692)&lt;='Assumptions and Catalog'!$C$50,((D692+E692)*C692)*'Assumptions and Catalog'!$H$50+'Assumptions and Catalog'!$E$50+'Assumptions and Catalog'!$F$50,IF(((D692+E692)*C692)&lt;='Assumptions and Catalog'!$C$51,((D692+E692)*C692)*'Assumptions and Catalog'!$H$51+'Assumptions and Catalog'!$E$51+'Assumptions and Catalog'!$F$51,IF(((D692+E692)*C692)&lt;='Assumptions and Catalog'!$C$52,((D692+E692)*C692)*'Assumptions and Catalog'!$H$52+'Assumptions and Catalog'!$E$52+'Assumptions and Catalog'!$F$52,IF(((D692+E692)*C692)&lt;='Assumptions and Catalog'!$C$53,((D692+E692)*C692)*'Assumptions and Catalog'!$H$53+'Assumptions and Catalog'!$E$53+'Assumptions and Catalog'!$F$53,IF(((D692+E692)*C692)&lt;='Assumptions and Catalog'!$C$54,((D692+E692)*C692)*'Assumptions and Catalog'!$H$54+'Assumptions and Catalog'!$E$54+'Assumptions and Catalog'!$F$54,IF(((D692+E692)*C692)&lt;='Assumptions and Catalog'!$C$55,((D692+E692)*C692)*'Assumptions and Catalog'!$H$55+'Assumptions and Catalog'!$E$55+'Assumptions and Catalog'!$F$55,IF(((D692+E692)*C692)&lt;='Assumptions and Catalog'!$C$56,((D692+E692)*C692)*'Assumptions and Catalog'!$H$56+'Assumptions and Catalog'!$E$56+'Assumptions and Catalog'!$F$56,IF(((D692+E692)*C692)&lt;='Assumptions and Catalog'!$C$57,((D692+E692)*C692)*'Assumptions and Catalog'!$H$57+'Assumptions and Catalog'!$E$57+'Assumptions and Catalog'!$F$57,"Out of range")))))))),IF(((D692+E692)*C692)&lt;='Assumptions and Catalog'!$C$60,((D692+E692)*C692)*'Assumptions and Catalog'!$H$60+'Assumptions and Catalog'!$E$60+'Assumptions and Catalog'!$F$60,IF(((D692+E692)*C692)&lt;='Assumptions and Catalog'!$C$61,((D692+E692)*C692)*'Assumptions and Catalog'!$H$61+'Assumptions and Catalog'!$E$61+'Assumptions and Catalog'!$F$61,IF(((D692+E692)*C692)&lt;='Assumptions and Catalog'!$C$62,((D692+E692)*C692)*'Assumptions and Catalog'!$H$62+'Assumptions and Catalog'!$E$62+'Assumptions and Catalog'!$F$62,IF(((D692+E692)*C692)&lt;='Assumptions and Catalog'!$C$63,((D692+E692)*C692)*'Assumptions and Catalog'!$H$63+'Assumptions and Catalog'!$E$63+'Assumptions and Catalog'!$F$63,IF(((D692+E692)*C692)&lt;='Assumptions and Catalog'!$C$64,((D692+E692)*C692)*'Assumptions and Catalog'!$H$64+'Assumptions and Catalog'!$E$64+'Assumptions and Catalog'!$F$64,IF(((D692+E692)*C692)&lt;='Assumptions and Catalog'!$C$65,((D692+E692)*C692)*'Assumptions and Catalog'!$H$65+'Assumptions and Catalog'!$E$65+'Assumptions and Catalog'!$F$65,"Out of range")))))))))*(1+'Assumptions and Catalog'!$C$8)^(A692-1),0)</f>
        <v>7094.794</v>
      </c>
      <c r="N692" s="5" t="n">
        <f>IF(ISNUMBER(Inputs!$L$5),(IF(Inputs!$L$9="Actual flat rate",L692*Inputs!$L$10,IF(Inputs!$C$9="Residential",IF(L692&lt;='Assumptions and Catalog'!$C$50,L692*'Assumptions and Catalog'!$H$50+'Assumptions and Catalog'!$E$50+'Assumptions and Catalog'!$F$50,IF(L692&lt;='Assumptions and Catalog'!$C$51,L692*'Assumptions and Catalog'!$H$51+'Assumptions and Catalog'!$E$51+'Assumptions and Catalog'!$F$51,IF(L692&lt;='Assumptions and Catalog'!$C$52,L692*'Assumptions and Catalog'!$H$52+'Assumptions and Catalog'!$E$52+'Assumptions and Catalog'!$F$52,IF(L692&lt;='Assumptions and Catalog'!$C$53,L692*'Assumptions and Catalog'!$H$53+'Assumptions and Catalog'!$E$53+'Assumptions and Catalog'!$F$53,IF(L692&lt;='Assumptions and Catalog'!$C$54,L692*'Assumptions and Catalog'!$H$54+'Assumptions and Catalog'!$E$54+'Assumptions and Catalog'!$F$54,IF(L692&lt;='Assumptions and Catalog'!$C$55,L692*'Assumptions and Catalog'!$H$55+'Assumptions and Catalog'!$E$55+'Assumptions and Catalog'!$F$55,IF(L692&lt;='Assumptions and Catalog'!$C$56,L692*'Assumptions and Catalog'!$H$56+'Assumptions and Catalog'!$E$56+'Assumptions and Catalog'!$F$56,IF(L692&lt;='Assumptions and Catalog'!$C$57,L692*'Assumptions and Catalog'!$H$57+'Assumptions and Catalog'!$E$57+'Assumptions and Catalog'!$F$57,"Out of range")))))))),IF(L692&lt;='Assumptions and Catalog'!$C$60,L692*'Assumptions and Catalog'!$H$60+'Assumptions and Catalog'!$E$60+'Assumptions and Catalog'!$F$60,IF(L692&lt;='Assumptions and Catalog'!$C$61,L692*'Assumptions and Catalog'!$H$61+'Assumptions and Catalog'!$E$61+'Assumptions and Catalog'!$F$61,IF(L692&lt;='Assumptions and Catalog'!$C$62,L692*'Assumptions and Catalog'!$H$62+'Assumptions and Catalog'!$E$62+'Assumptions and Catalog'!$F$62,IF(L692&lt;='Assumptions and Catalog'!$C$63,L692*'Assumptions and Catalog'!$H$63+'Assumptions and Catalog'!$E$63+'Assumptions and Catalog'!$F$63,IF(L692&lt;='Assumptions and Catalog'!$C$64,L692*'Assumptions and Catalog'!$H$64+'Assumptions and Catalog'!$E$64+'Assumptions and Catalog'!$F$64,IF(L692&lt;='Assumptions and Catalog'!$C$65,L692*'Assumptions and Catalog'!$H$65+'Assumptions and Catalog'!$E$65+'Assumptions and Catalog'!$F$65,"Out of range")))))))))*(1+'Assumptions and Catalog'!$C$8)^(A692-1),0)</f>
        <v>2606.478532768</v>
      </c>
      <c r="O692" s="5" t="n">
        <f>M692-N692</f>
        <v>4488.315467232</v>
      </c>
      <c r="P692" s="5" t="n">
        <f>E$55*(1-L$14)*(1-'Assumptions and Catalog'!$C$23)^R692</f>
        <v>9.834496</v>
      </c>
      <c r="Q692" s="5" t="n">
        <f>IF(ISNUMBER(Inputs!$L$5),(IF(Inputs!$L$9="Actual flat rate",((D692+E692)*C692-G692)*Inputs!$L$10,IF(Inputs!$C$9="Residential",IF(((D692+E692)*C692-G692)&lt;='Assumptions and Catalog'!$C$50,((D692+E692)*C692-G692)*'Assumptions and Catalog'!$H$50+'Assumptions and Catalog'!$E$50+'Assumptions and Catalog'!$F$50,IF(((D692+E692)*C692-G692)&lt;='Assumptions and Catalog'!$C$51,((D692+E692)*C692-G692)*'Assumptions and Catalog'!$H$51+'Assumptions and Catalog'!$E$51+'Assumptions and Catalog'!$F$51,IF(((D692+E692)*C692-G692)&lt;='Assumptions and Catalog'!$C$52,((D692+E692)*C692-G692)*'Assumptions and Catalog'!$H$52+'Assumptions and Catalog'!$E$52+'Assumptions and Catalog'!$F$52,IF(((D692+E692)*C692-G692)&lt;='Assumptions and Catalog'!$C$53,((D692+E692)*C692-G692)*'Assumptions and Catalog'!$H$53+'Assumptions and Catalog'!$E$53+'Assumptions and Catalog'!$F$53,IF(((D692+E692)*C692-G692)&lt;='Assumptions and Catalog'!$C$54,((D692+E692)*C692-G692)*'Assumptions and Catalog'!$H$54+'Assumptions and Catalog'!$E$54+'Assumptions and Catalog'!$F$54,IF(((D692+E692)*C692-G692)&lt;='Assumptions and Catalog'!$C$55,((D692+E692)*C692-G692)*'Assumptions and Catalog'!$H$55+'Assumptions and Catalog'!$E$55+'Assumptions and Catalog'!$F$55,IF(((D692+E692)*C692-G692)&lt;='Assumptions and Catalog'!$C$56,((D692+E692)*C692-G692)*'Assumptions and Catalog'!$H$56+'Assumptions and Catalog'!$E$56+'Assumptions and Catalog'!$F$56,IF(((D692+E692)*C692-G692)&lt;='Assumptions and Catalog'!$C$57,((D692+E692)*C692-G692)*'Assumptions and Catalog'!$H$57+'Assumptions and Catalog'!$E$57+'Assumptions and Catalog'!$F$57,"Out of range")))))))),IF(((D692+E692)*C692-G692)&lt;='Assumptions and Catalog'!$C$60,((D692+E692)*C692-G692)*'Assumptions and Catalog'!$H$60+'Assumptions and Catalog'!$E$60+'Assumptions and Catalog'!$F$60,IF(((D692+E692)*C692-G692)&lt;='Assumptions and Catalog'!$C$61,((D692+E692)*C692-G692)*'Assumptions and Catalog'!$H$61+'Assumptions and Catalog'!$E$61+'Assumptions and Catalog'!$F$61,IF(((D692+E692)*C692-G692)&lt;='Assumptions and Catalog'!$C$62,((D692+E692)*C692-G692)*'Assumptions and Catalog'!$H$62+'Assumptions and Catalog'!$E$62+'Assumptions and Catalog'!$F$62,IF(((D692+E692)*C692-G692)&lt;='Assumptions and Catalog'!$C$63,((D692+E692)*C692-G692)*'Assumptions and Catalog'!$H$63+'Assumptions and Catalog'!$E$63+'Assumptions and Catalog'!$F$63,IF(((D692+E692)*C692-G692)&lt;='Assumptions and Catalog'!$C$64,((D692+E692)*C692-G692)*'Assumptions and Catalog'!$H$64+'Assumptions and Catalog'!$E$64+'Assumptions and Catalog'!$F$64,IF(((D692+E692)*C692-G692)&lt;='Assumptions and Catalog'!$C$65,((D692+E692)*C692-G692)*'Assumptions and Catalog'!$H$65+'Assumptions and Catalog'!$E$65+'Assumptions and Catalog'!$F$65,"Out of range")))))))))*(1+'Assumptions and Catalog'!$C$8)^(A692-1),0)</f>
        <v>3567.397</v>
      </c>
      <c r="R692" s="5" t="n">
        <f>IF(AND('Assumptions and Catalog'!$C$19&gt;0,A692&gt;='Assumptions and Catalog'!$C$19),A692-'Assumptions and Catalog'!$C$19,A692-1)</f>
        <v>2</v>
      </c>
      <c r="S692" s="5" t="n">
        <f>F692+L692-(D692+E692)*C692-J692-K692-IF(E$52&gt;0,'Assumptions and Catalog'!$C$26*C692,0)</f>
        <v>-1.13686837721616E-013</v>
      </c>
      <c r="T692" s="5"/>
      <c r="U692" s="5"/>
    </row>
    <row r="693" ht="23.100000381469727" customHeight="1">
      <c r="A693" s="5" t="n">
        <v>3</v>
      </c>
      <c r="B693" s="5" t="n">
        <v>9</v>
      </c>
      <c r="C693" s="5" t="n">
        <f>DAY(DATE('Assumptions and Catalog'!$C$24+A693-1,B693+1,0))</f>
        <v>30</v>
      </c>
      <c r="D693" s="5" t="n">
        <f>IF(ISNUMBER(Inputs!$L$5),Inputs!$L$5*Inputs!$L$6,0)</f>
        <v>40.35</v>
      </c>
      <c r="E693" s="5" t="n">
        <f>IF(ISNUMBER(Inputs!$L$5),Inputs!$L$5-D693,0)</f>
        <v>40.35</v>
      </c>
      <c r="F693" s="5" t="n">
        <f>E$51*INDEX('Solar Production'!$D$20:$D$31,B693)*C693*(1-'Assumptions and Catalog'!$C$10)^(A693-1)</f>
        <v>1753.334275</v>
      </c>
      <c r="G693" s="5" t="n">
        <f>MIN(F693,D693*C693)</f>
        <v>1210.5</v>
      </c>
      <c r="H693" s="5" t="n">
        <f>I693/('Assumptions and Catalog'!$C$11*'Assumptions and Catalog'!$C$12)</f>
        <v>302.599876923077</v>
      </c>
      <c r="I693" s="5" t="n">
        <f>MIN(E693*C693,P693*'Assumptions and Catalog'!$C$12*C693,(F693-G693)*'Assumptions and Catalog'!$C$11*'Assumptions and Catalog'!$C$12,E$56*'Assumptions and Catalog'!$C$14*'Assumptions and Catalog'!$C$11*'Assumptions and Catalog'!$C$12*C693,E$57*(24-'Assumptions and Catalog'!$C$13)*C693)</f>
        <v>287.659008</v>
      </c>
      <c r="J693" s="5" t="n">
        <f>MAX(F693-G693-H693,0)</f>
        <v>240.234398076923</v>
      </c>
      <c r="K693" s="5" t="n">
        <f>H693-I693</f>
        <v>14.9408689230769</v>
      </c>
      <c r="L693" s="5" t="n">
        <f>(D693+E693)*C693-G693-I693+0+IF(E$52&gt;0,'Assumptions and Catalog'!$C$26*C693,0)</f>
        <v>922.840992</v>
      </c>
      <c r="M693" s="5" t="n">
        <f>IF(ISNUMBER(Inputs!$L$5),(IF(Inputs!$L$9="Actual flat rate",((D693+E693)*C693)*Inputs!$L$10,IF(Inputs!$C$9="Residential",IF(((D693+E693)*C693)&lt;='Assumptions and Catalog'!$C$50,((D693+E693)*C693)*'Assumptions and Catalog'!$H$50+'Assumptions and Catalog'!$E$50+'Assumptions and Catalog'!$F$50,IF(((D693+E693)*C693)&lt;='Assumptions and Catalog'!$C$51,((D693+E693)*C693)*'Assumptions and Catalog'!$H$51+'Assumptions and Catalog'!$E$51+'Assumptions and Catalog'!$F$51,IF(((D693+E693)*C693)&lt;='Assumptions and Catalog'!$C$52,((D693+E693)*C693)*'Assumptions and Catalog'!$H$52+'Assumptions and Catalog'!$E$52+'Assumptions and Catalog'!$F$52,IF(((D693+E693)*C693)&lt;='Assumptions and Catalog'!$C$53,((D693+E693)*C693)*'Assumptions and Catalog'!$H$53+'Assumptions and Catalog'!$E$53+'Assumptions and Catalog'!$F$53,IF(((D693+E693)*C693)&lt;='Assumptions and Catalog'!$C$54,((D693+E693)*C693)*'Assumptions and Catalog'!$H$54+'Assumptions and Catalog'!$E$54+'Assumptions and Catalog'!$F$54,IF(((D693+E693)*C693)&lt;='Assumptions and Catalog'!$C$55,((D693+E693)*C693)*'Assumptions and Catalog'!$H$55+'Assumptions and Catalog'!$E$55+'Assumptions and Catalog'!$F$55,IF(((D693+E693)*C693)&lt;='Assumptions and Catalog'!$C$56,((D693+E693)*C693)*'Assumptions and Catalog'!$H$56+'Assumptions and Catalog'!$E$56+'Assumptions and Catalog'!$F$56,IF(((D693+E693)*C693)&lt;='Assumptions and Catalog'!$C$57,((D693+E693)*C693)*'Assumptions and Catalog'!$H$57+'Assumptions and Catalog'!$E$57+'Assumptions and Catalog'!$F$57,"Out of range")))))))),IF(((D693+E693)*C693)&lt;='Assumptions and Catalog'!$C$60,((D693+E693)*C693)*'Assumptions and Catalog'!$H$60+'Assumptions and Catalog'!$E$60+'Assumptions and Catalog'!$F$60,IF(((D693+E693)*C693)&lt;='Assumptions and Catalog'!$C$61,((D693+E693)*C693)*'Assumptions and Catalog'!$H$61+'Assumptions and Catalog'!$E$61+'Assumptions and Catalog'!$F$61,IF(((D693+E693)*C693)&lt;='Assumptions and Catalog'!$C$62,((D693+E693)*C693)*'Assumptions and Catalog'!$H$62+'Assumptions and Catalog'!$E$62+'Assumptions and Catalog'!$F$62,IF(((D693+E693)*C693)&lt;='Assumptions and Catalog'!$C$63,((D693+E693)*C693)*'Assumptions and Catalog'!$H$63+'Assumptions and Catalog'!$E$63+'Assumptions and Catalog'!$F$63,IF(((D693+E693)*C693)&lt;='Assumptions and Catalog'!$C$64,((D693+E693)*C693)*'Assumptions and Catalog'!$H$64+'Assumptions and Catalog'!$E$64+'Assumptions and Catalog'!$F$64,IF(((D693+E693)*C693)&lt;='Assumptions and Catalog'!$C$65,((D693+E693)*C693)*'Assumptions and Catalog'!$H$65+'Assumptions and Catalog'!$E$65+'Assumptions and Catalog'!$F$65,"Out of range")))))))))*(1+'Assumptions and Catalog'!$C$8)^(A693-1),0)</f>
        <v>6867.22</v>
      </c>
      <c r="N693" s="5" t="n">
        <f>IF(ISNUMBER(Inputs!$L$5),(IF(Inputs!$L$9="Actual flat rate",L693*Inputs!$L$10,IF(Inputs!$C$9="Residential",IF(L693&lt;='Assumptions and Catalog'!$C$50,L693*'Assumptions and Catalog'!$H$50+'Assumptions and Catalog'!$E$50+'Assumptions and Catalog'!$F$50,IF(L693&lt;='Assumptions and Catalog'!$C$51,L693*'Assumptions and Catalog'!$H$51+'Assumptions and Catalog'!$E$51+'Assumptions and Catalog'!$F$51,IF(L693&lt;='Assumptions and Catalog'!$C$52,L693*'Assumptions and Catalog'!$H$52+'Assumptions and Catalog'!$E$52+'Assumptions and Catalog'!$F$52,IF(L693&lt;='Assumptions and Catalog'!$C$53,L693*'Assumptions and Catalog'!$H$53+'Assumptions and Catalog'!$E$53+'Assumptions and Catalog'!$F$53,IF(L693&lt;='Assumptions and Catalog'!$C$54,L693*'Assumptions and Catalog'!$H$54+'Assumptions and Catalog'!$E$54+'Assumptions and Catalog'!$F$54,IF(L693&lt;='Assumptions and Catalog'!$C$55,L693*'Assumptions and Catalog'!$H$55+'Assumptions and Catalog'!$E$55+'Assumptions and Catalog'!$F$55,IF(L693&lt;='Assumptions and Catalog'!$C$56,L693*'Assumptions and Catalog'!$H$56+'Assumptions and Catalog'!$E$56+'Assumptions and Catalog'!$F$56,IF(L693&lt;='Assumptions and Catalog'!$C$57,L693*'Assumptions and Catalog'!$H$57+'Assumptions and Catalog'!$E$57+'Assumptions and Catalog'!$F$57,"Out of range")))))))),IF(L693&lt;='Assumptions and Catalog'!$C$60,L693*'Assumptions and Catalog'!$H$60+'Assumptions and Catalog'!$E$60+'Assumptions and Catalog'!$F$60,IF(L693&lt;='Assumptions and Catalog'!$C$61,L693*'Assumptions and Catalog'!$H$61+'Assumptions and Catalog'!$E$61+'Assumptions and Catalog'!$F$61,IF(L693&lt;='Assumptions and Catalog'!$C$62,L693*'Assumptions and Catalog'!$H$62+'Assumptions and Catalog'!$E$62+'Assumptions and Catalog'!$F$62,IF(L693&lt;='Assumptions and Catalog'!$C$63,L693*'Assumptions and Catalog'!$H$63+'Assumptions and Catalog'!$E$63+'Assumptions and Catalog'!$F$63,IF(L693&lt;='Assumptions and Catalog'!$C$64,L693*'Assumptions and Catalog'!$H$64+'Assumptions and Catalog'!$E$64+'Assumptions and Catalog'!$F$64,IF(L693&lt;='Assumptions and Catalog'!$C$65,L693*'Assumptions and Catalog'!$H$65+'Assumptions and Catalog'!$E$65+'Assumptions and Catalog'!$F$65,"Out of range")))))))))*(1+'Assumptions and Catalog'!$C$8)^(A693-1),0)</f>
        <v>2521.26954784</v>
      </c>
      <c r="O693" s="5" t="n">
        <f>M693-N693</f>
        <v>4345.95045216</v>
      </c>
      <c r="P693" s="5" t="n">
        <f>E$55*(1-L$14)*(1-'Assumptions and Catalog'!$C$23)^R693</f>
        <v>9.834496</v>
      </c>
      <c r="Q693" s="5" t="n">
        <f>IF(ISNUMBER(Inputs!$L$5),(IF(Inputs!$L$9="Actual flat rate",((D693+E693)*C693-G693)*Inputs!$L$10,IF(Inputs!$C$9="Residential",IF(((D693+E693)*C693-G693)&lt;='Assumptions and Catalog'!$C$50,((D693+E693)*C693-G693)*'Assumptions and Catalog'!$H$50+'Assumptions and Catalog'!$E$50+'Assumptions and Catalog'!$F$50,IF(((D693+E693)*C693-G693)&lt;='Assumptions and Catalog'!$C$51,((D693+E693)*C693-G693)*'Assumptions and Catalog'!$H$51+'Assumptions and Catalog'!$E$51+'Assumptions and Catalog'!$F$51,IF(((D693+E693)*C693-G693)&lt;='Assumptions and Catalog'!$C$52,((D693+E693)*C693-G693)*'Assumptions and Catalog'!$H$52+'Assumptions and Catalog'!$E$52+'Assumptions and Catalog'!$F$52,IF(((D693+E693)*C693-G693)&lt;='Assumptions and Catalog'!$C$53,((D693+E693)*C693-G693)*'Assumptions and Catalog'!$H$53+'Assumptions and Catalog'!$E$53+'Assumptions and Catalog'!$F$53,IF(((D693+E693)*C693-G693)&lt;='Assumptions and Catalog'!$C$54,((D693+E693)*C693-G693)*'Assumptions and Catalog'!$H$54+'Assumptions and Catalog'!$E$54+'Assumptions and Catalog'!$F$54,IF(((D693+E693)*C693-G693)&lt;='Assumptions and Catalog'!$C$55,((D693+E693)*C693-G693)*'Assumptions and Catalog'!$H$55+'Assumptions and Catalog'!$E$55+'Assumptions and Catalog'!$F$55,IF(((D693+E693)*C693-G693)&lt;='Assumptions and Catalog'!$C$56,((D693+E693)*C693-G693)*'Assumptions and Catalog'!$H$56+'Assumptions and Catalog'!$E$56+'Assumptions and Catalog'!$F$56,IF(((D693+E693)*C693-G693)&lt;='Assumptions and Catalog'!$C$57,((D693+E693)*C693-G693)*'Assumptions and Catalog'!$H$57+'Assumptions and Catalog'!$E$57+'Assumptions and Catalog'!$F$57,"Out of range")))))))),IF(((D693+E693)*C693-G693)&lt;='Assumptions and Catalog'!$C$60,((D693+E693)*C693-G693)*'Assumptions and Catalog'!$H$60+'Assumptions and Catalog'!$E$60+'Assumptions and Catalog'!$F$60,IF(((D693+E693)*C693-G693)&lt;='Assumptions and Catalog'!$C$61,((D693+E693)*C693-G693)*'Assumptions and Catalog'!$H$61+'Assumptions and Catalog'!$E$61+'Assumptions and Catalog'!$F$61,IF(((D693+E693)*C693-G693)&lt;='Assumptions and Catalog'!$C$62,((D693+E693)*C693-G693)*'Assumptions and Catalog'!$H$62+'Assumptions and Catalog'!$E$62+'Assumptions and Catalog'!$F$62,IF(((D693+E693)*C693-G693)&lt;='Assumptions and Catalog'!$C$63,((D693+E693)*C693-G693)*'Assumptions and Catalog'!$H$63+'Assumptions and Catalog'!$E$63+'Assumptions and Catalog'!$F$63,IF(((D693+E693)*C693-G693)&lt;='Assumptions and Catalog'!$C$64,((D693+E693)*C693-G693)*'Assumptions and Catalog'!$H$64+'Assumptions and Catalog'!$E$64+'Assumptions and Catalog'!$F$64,IF(((D693+E693)*C693-G693)&lt;='Assumptions and Catalog'!$C$65,((D693+E693)*C693-G693)*'Assumptions and Catalog'!$H$65+'Assumptions and Catalog'!$E$65+'Assumptions and Catalog'!$F$65,"Out of range")))))))))*(1+'Assumptions and Catalog'!$C$8)^(A693-1),0)</f>
        <v>3453.61</v>
      </c>
      <c r="R693" s="5" t="n">
        <f>IF(AND('Assumptions and Catalog'!$C$19&gt;0,A693&gt;='Assumptions and Catalog'!$C$19),A693-'Assumptions and Catalog'!$C$19,A693-1)</f>
        <v>2</v>
      </c>
      <c r="S693" s="5" t="n">
        <f>F693+L693-(D693+E693)*C693-J693-K693-IF(E$52&gt;0,'Assumptions and Catalog'!$C$26*C693,0)</f>
        <v>-5.6843418860808E-014</v>
      </c>
      <c r="T693" s="5"/>
      <c r="U693" s="5"/>
    </row>
    <row r="694" ht="23.100000381469727" customHeight="1">
      <c r="A694" s="5" t="n">
        <v>3</v>
      </c>
      <c r="B694" s="5" t="n">
        <v>10</v>
      </c>
      <c r="C694" s="5" t="n">
        <f>DAY(DATE('Assumptions and Catalog'!$C$24+A694-1,B694+1,0))</f>
        <v>31</v>
      </c>
      <c r="D694" s="5" t="n">
        <f>IF(ISNUMBER(Inputs!$L$5),Inputs!$L$5*Inputs!$L$6,0)</f>
        <v>40.35</v>
      </c>
      <c r="E694" s="5" t="n">
        <f>IF(ISNUMBER(Inputs!$L$5),Inputs!$L$5-D694,0)</f>
        <v>40.35</v>
      </c>
      <c r="F694" s="5" t="n">
        <f>E$51*INDEX('Solar Production'!$D$20:$D$31,B694)*C694*(1-'Assumptions and Catalog'!$C$10)^(A694-1)</f>
        <v>1682.87419575</v>
      </c>
      <c r="G694" s="5" t="n">
        <f>MIN(F694,D694*C694)</f>
        <v>1250.85</v>
      </c>
      <c r="H694" s="5" t="n">
        <f>I694/('Assumptions and Catalog'!$C$11*'Assumptions and Catalog'!$C$12)</f>
        <v>312.68653948718</v>
      </c>
      <c r="I694" s="5" t="n">
        <f>MIN(E694*C694,P694*'Assumptions and Catalog'!$C$12*C694,(F694-G694)*'Assumptions and Catalog'!$C$11*'Assumptions and Catalog'!$C$12,E$56*'Assumptions and Catalog'!$C$14*'Assumptions and Catalog'!$C$11*'Assumptions and Catalog'!$C$12*C694,E$57*(24-'Assumptions and Catalog'!$C$13)*C694)</f>
        <v>297.2476416</v>
      </c>
      <c r="J694" s="5" t="n">
        <f>MAX(F694-G694-H694,0)</f>
        <v>119.33765626282</v>
      </c>
      <c r="K694" s="5" t="n">
        <f>H694-I694</f>
        <v>15.4388978871795</v>
      </c>
      <c r="L694" s="5" t="n">
        <f>(D694+E694)*C694-G694-I694+0+IF(E$52&gt;0,'Assumptions and Catalog'!$C$26*C694,0)</f>
        <v>953.6023584</v>
      </c>
      <c r="M694" s="5" t="n">
        <f>IF(ISNUMBER(Inputs!$L$5),(IF(Inputs!$L$9="Actual flat rate",((D694+E694)*C694)*Inputs!$L$10,IF(Inputs!$C$9="Residential",IF(((D694+E694)*C694)&lt;='Assumptions and Catalog'!$C$50,((D694+E694)*C694)*'Assumptions and Catalog'!$H$50+'Assumptions and Catalog'!$E$50+'Assumptions and Catalog'!$F$50,IF(((D694+E694)*C694)&lt;='Assumptions and Catalog'!$C$51,((D694+E694)*C694)*'Assumptions and Catalog'!$H$51+'Assumptions and Catalog'!$E$51+'Assumptions and Catalog'!$F$51,IF(((D694+E694)*C694)&lt;='Assumptions and Catalog'!$C$52,((D694+E694)*C694)*'Assumptions and Catalog'!$H$52+'Assumptions and Catalog'!$E$52+'Assumptions and Catalog'!$F$52,IF(((D694+E694)*C694)&lt;='Assumptions and Catalog'!$C$53,((D694+E694)*C694)*'Assumptions and Catalog'!$H$53+'Assumptions and Catalog'!$E$53+'Assumptions and Catalog'!$F$53,IF(((D694+E694)*C694)&lt;='Assumptions and Catalog'!$C$54,((D694+E694)*C694)*'Assumptions and Catalog'!$H$54+'Assumptions and Catalog'!$E$54+'Assumptions and Catalog'!$F$54,IF(((D694+E694)*C694)&lt;='Assumptions and Catalog'!$C$55,((D694+E694)*C694)*'Assumptions and Catalog'!$H$55+'Assumptions and Catalog'!$E$55+'Assumptions and Catalog'!$F$55,IF(((D694+E694)*C694)&lt;='Assumptions and Catalog'!$C$56,((D694+E694)*C694)*'Assumptions and Catalog'!$H$56+'Assumptions and Catalog'!$E$56+'Assumptions and Catalog'!$F$56,IF(((D694+E694)*C694)&lt;='Assumptions and Catalog'!$C$57,((D694+E694)*C694)*'Assumptions and Catalog'!$H$57+'Assumptions and Catalog'!$E$57+'Assumptions and Catalog'!$F$57,"Out of range")))))))),IF(((D694+E694)*C694)&lt;='Assumptions and Catalog'!$C$60,((D694+E694)*C694)*'Assumptions and Catalog'!$H$60+'Assumptions and Catalog'!$E$60+'Assumptions and Catalog'!$F$60,IF(((D694+E694)*C694)&lt;='Assumptions and Catalog'!$C$61,((D694+E694)*C694)*'Assumptions and Catalog'!$H$61+'Assumptions and Catalog'!$E$61+'Assumptions and Catalog'!$F$61,IF(((D694+E694)*C694)&lt;='Assumptions and Catalog'!$C$62,((D694+E694)*C694)*'Assumptions and Catalog'!$H$62+'Assumptions and Catalog'!$E$62+'Assumptions and Catalog'!$F$62,IF(((D694+E694)*C694)&lt;='Assumptions and Catalog'!$C$63,((D694+E694)*C694)*'Assumptions and Catalog'!$H$63+'Assumptions and Catalog'!$E$63+'Assumptions and Catalog'!$F$63,IF(((D694+E694)*C694)&lt;='Assumptions and Catalog'!$C$64,((D694+E694)*C694)*'Assumptions and Catalog'!$H$64+'Assumptions and Catalog'!$E$64+'Assumptions and Catalog'!$F$64,IF(((D694+E694)*C694)&lt;='Assumptions and Catalog'!$C$65,((D694+E694)*C694)*'Assumptions and Catalog'!$H$65+'Assumptions and Catalog'!$E$65+'Assumptions and Catalog'!$F$65,"Out of range")))))))))*(1+'Assumptions and Catalog'!$C$8)^(A694-1),0)</f>
        <v>7094.794</v>
      </c>
      <c r="N694" s="5" t="n">
        <f>IF(ISNUMBER(Inputs!$L$5),(IF(Inputs!$L$9="Actual flat rate",L694*Inputs!$L$10,IF(Inputs!$C$9="Residential",IF(L694&lt;='Assumptions and Catalog'!$C$50,L694*'Assumptions and Catalog'!$H$50+'Assumptions and Catalog'!$E$50+'Assumptions and Catalog'!$F$50,IF(L694&lt;='Assumptions and Catalog'!$C$51,L694*'Assumptions and Catalog'!$H$51+'Assumptions and Catalog'!$E$51+'Assumptions and Catalog'!$F$51,IF(L694&lt;='Assumptions and Catalog'!$C$52,L694*'Assumptions and Catalog'!$H$52+'Assumptions and Catalog'!$E$52+'Assumptions and Catalog'!$F$52,IF(L694&lt;='Assumptions and Catalog'!$C$53,L694*'Assumptions and Catalog'!$H$53+'Assumptions and Catalog'!$E$53+'Assumptions and Catalog'!$F$53,IF(L694&lt;='Assumptions and Catalog'!$C$54,L694*'Assumptions and Catalog'!$H$54+'Assumptions and Catalog'!$E$54+'Assumptions and Catalog'!$F$54,IF(L694&lt;='Assumptions and Catalog'!$C$55,L694*'Assumptions and Catalog'!$H$55+'Assumptions and Catalog'!$E$55+'Assumptions and Catalog'!$F$55,IF(L694&lt;='Assumptions and Catalog'!$C$56,L694*'Assumptions and Catalog'!$H$56+'Assumptions and Catalog'!$E$56+'Assumptions and Catalog'!$F$56,IF(L694&lt;='Assumptions and Catalog'!$C$57,L694*'Assumptions and Catalog'!$H$57+'Assumptions and Catalog'!$E$57+'Assumptions and Catalog'!$F$57,"Out of range")))))))),IF(L694&lt;='Assumptions and Catalog'!$C$60,L694*'Assumptions and Catalog'!$H$60+'Assumptions and Catalog'!$E$60+'Assumptions and Catalog'!$F$60,IF(L694&lt;='Assumptions and Catalog'!$C$61,L694*'Assumptions and Catalog'!$H$61+'Assumptions and Catalog'!$E$61+'Assumptions and Catalog'!$F$61,IF(L694&lt;='Assumptions and Catalog'!$C$62,L694*'Assumptions and Catalog'!$H$62+'Assumptions and Catalog'!$E$62+'Assumptions and Catalog'!$F$62,IF(L694&lt;='Assumptions and Catalog'!$C$63,L694*'Assumptions and Catalog'!$H$63+'Assumptions and Catalog'!$E$63+'Assumptions and Catalog'!$F$63,IF(L694&lt;='Assumptions and Catalog'!$C$64,L694*'Assumptions and Catalog'!$H$64+'Assumptions and Catalog'!$E$64+'Assumptions and Catalog'!$F$64,IF(L694&lt;='Assumptions and Catalog'!$C$65,L694*'Assumptions and Catalog'!$H$65+'Assumptions and Catalog'!$E$65+'Assumptions and Catalog'!$F$65,"Out of range")))))))))*(1+'Assumptions and Catalog'!$C$8)^(A694-1),0)</f>
        <v>2606.478532768</v>
      </c>
      <c r="O694" s="5" t="n">
        <f>M694-N694</f>
        <v>4488.315467232</v>
      </c>
      <c r="P694" s="5" t="n">
        <f>E$55*(1-L$14)*(1-'Assumptions and Catalog'!$C$23)^R694</f>
        <v>9.834496</v>
      </c>
      <c r="Q694" s="5" t="n">
        <f>IF(ISNUMBER(Inputs!$L$5),(IF(Inputs!$L$9="Actual flat rate",((D694+E694)*C694-G694)*Inputs!$L$10,IF(Inputs!$C$9="Residential",IF(((D694+E694)*C694-G694)&lt;='Assumptions and Catalog'!$C$50,((D694+E694)*C694-G694)*'Assumptions and Catalog'!$H$50+'Assumptions and Catalog'!$E$50+'Assumptions and Catalog'!$F$50,IF(((D694+E694)*C694-G694)&lt;='Assumptions and Catalog'!$C$51,((D694+E694)*C694-G694)*'Assumptions and Catalog'!$H$51+'Assumptions and Catalog'!$E$51+'Assumptions and Catalog'!$F$51,IF(((D694+E694)*C694-G694)&lt;='Assumptions and Catalog'!$C$52,((D694+E694)*C694-G694)*'Assumptions and Catalog'!$H$52+'Assumptions and Catalog'!$E$52+'Assumptions and Catalog'!$F$52,IF(((D694+E694)*C694-G694)&lt;='Assumptions and Catalog'!$C$53,((D694+E694)*C694-G694)*'Assumptions and Catalog'!$H$53+'Assumptions and Catalog'!$E$53+'Assumptions and Catalog'!$F$53,IF(((D694+E694)*C694-G694)&lt;='Assumptions and Catalog'!$C$54,((D694+E694)*C694-G694)*'Assumptions and Catalog'!$H$54+'Assumptions and Catalog'!$E$54+'Assumptions and Catalog'!$F$54,IF(((D694+E694)*C694-G694)&lt;='Assumptions and Catalog'!$C$55,((D694+E694)*C694-G694)*'Assumptions and Catalog'!$H$55+'Assumptions and Catalog'!$E$55+'Assumptions and Catalog'!$F$55,IF(((D694+E694)*C694-G694)&lt;='Assumptions and Catalog'!$C$56,((D694+E694)*C694-G694)*'Assumptions and Catalog'!$H$56+'Assumptions and Catalog'!$E$56+'Assumptions and Catalog'!$F$56,IF(((D694+E694)*C694-G694)&lt;='Assumptions and Catalog'!$C$57,((D694+E694)*C694-G694)*'Assumptions and Catalog'!$H$57+'Assumptions and Catalog'!$E$57+'Assumptions and Catalog'!$F$57,"Out of range")))))))),IF(((D694+E694)*C694-G694)&lt;='Assumptions and Catalog'!$C$60,((D694+E694)*C694-G694)*'Assumptions and Catalog'!$H$60+'Assumptions and Catalog'!$E$60+'Assumptions and Catalog'!$F$60,IF(((D694+E694)*C694-G694)&lt;='Assumptions and Catalog'!$C$61,((D694+E694)*C694-G694)*'Assumptions and Catalog'!$H$61+'Assumptions and Catalog'!$E$61+'Assumptions and Catalog'!$F$61,IF(((D694+E694)*C694-G694)&lt;='Assumptions and Catalog'!$C$62,((D694+E694)*C694-G694)*'Assumptions and Catalog'!$H$62+'Assumptions and Catalog'!$E$62+'Assumptions and Catalog'!$F$62,IF(((D694+E694)*C694-G694)&lt;='Assumptions and Catalog'!$C$63,((D694+E694)*C694-G694)*'Assumptions and Catalog'!$H$63+'Assumptions and Catalog'!$E$63+'Assumptions and Catalog'!$F$63,IF(((D694+E694)*C694-G694)&lt;='Assumptions and Catalog'!$C$64,((D694+E694)*C694-G694)*'Assumptions and Catalog'!$H$64+'Assumptions and Catalog'!$E$64+'Assumptions and Catalog'!$F$64,IF(((D694+E694)*C694-G694)&lt;='Assumptions and Catalog'!$C$65,((D694+E694)*C694-G694)*'Assumptions and Catalog'!$H$65+'Assumptions and Catalog'!$E$65+'Assumptions and Catalog'!$F$65,"Out of range")))))))))*(1+'Assumptions and Catalog'!$C$8)^(A694-1),0)</f>
        <v>3567.397</v>
      </c>
      <c r="R694" s="5" t="n">
        <f>IF(AND('Assumptions and Catalog'!$C$19&gt;0,A694&gt;='Assumptions and Catalog'!$C$19),A694-'Assumptions and Catalog'!$C$19,A694-1)</f>
        <v>2</v>
      </c>
      <c r="S694" s="5" t="n">
        <f>F694+L694-(D694+E694)*C694-J694-K694-IF(E$52&gt;0,'Assumptions and Catalog'!$C$26*C694,0)</f>
        <v>-1.13686837721616E-013</v>
      </c>
      <c r="T694" s="5"/>
      <c r="U694" s="5"/>
    </row>
    <row r="695" ht="23.100000381469727" customHeight="1">
      <c r="A695" s="5" t="n">
        <v>3</v>
      </c>
      <c r="B695" s="5" t="n">
        <v>11</v>
      </c>
      <c r="C695" s="5" t="n">
        <f>DAY(DATE('Assumptions and Catalog'!$C$24+A695-1,B695+1,0))</f>
        <v>30</v>
      </c>
      <c r="D695" s="5" t="n">
        <f>IF(ISNUMBER(Inputs!$L$5),Inputs!$L$5*Inputs!$L$6,0)</f>
        <v>40.35</v>
      </c>
      <c r="E695" s="5" t="n">
        <f>IF(ISNUMBER(Inputs!$L$5),Inputs!$L$5-D695,0)</f>
        <v>40.35</v>
      </c>
      <c r="F695" s="5" t="n">
        <f>E$51*INDEX('Solar Production'!$D$20:$D$31,B695)*C695*(1-'Assumptions and Catalog'!$C$10)^(A695-1)</f>
        <v>1491.64096675</v>
      </c>
      <c r="G695" s="5" t="n">
        <f>MIN(F695,D695*C695)</f>
        <v>1210.5</v>
      </c>
      <c r="H695" s="5" t="n">
        <f>I695/('Assumptions and Catalog'!$C$11*'Assumptions and Catalog'!$C$12)</f>
        <v>281.14096675</v>
      </c>
      <c r="I695" s="5" t="n">
        <f>MIN(E695*C695,P695*'Assumptions and Catalog'!$C$12*C695,(F695-G695)*'Assumptions and Catalog'!$C$11*'Assumptions and Catalog'!$C$12,E$56*'Assumptions and Catalog'!$C$14*'Assumptions and Catalog'!$C$11*'Assumptions and Catalog'!$C$12*C695,E$57*(24-'Assumptions and Catalog'!$C$13)*C695)</f>
        <v>267.259631516719</v>
      </c>
      <c r="J695" s="5" t="n">
        <f>MAX(F695-G695-H695,0)</f>
        <v>0</v>
      </c>
      <c r="K695" s="5" t="n">
        <f>H695-I695</f>
        <v>13.8813352332813</v>
      </c>
      <c r="L695" s="5" t="n">
        <f>(D695+E695)*C695-G695-I695+0+IF(E$52&gt;0,'Assumptions and Catalog'!$C$26*C695,0)</f>
        <v>943.240368483281</v>
      </c>
      <c r="M695" s="5" t="n">
        <f>IF(ISNUMBER(Inputs!$L$5),(IF(Inputs!$L$9="Actual flat rate",((D695+E695)*C695)*Inputs!$L$10,IF(Inputs!$C$9="Residential",IF(((D695+E695)*C695)&lt;='Assumptions and Catalog'!$C$50,((D695+E695)*C695)*'Assumptions and Catalog'!$H$50+'Assumptions and Catalog'!$E$50+'Assumptions and Catalog'!$F$50,IF(((D695+E695)*C695)&lt;='Assumptions and Catalog'!$C$51,((D695+E695)*C695)*'Assumptions and Catalog'!$H$51+'Assumptions and Catalog'!$E$51+'Assumptions and Catalog'!$F$51,IF(((D695+E695)*C695)&lt;='Assumptions and Catalog'!$C$52,((D695+E695)*C695)*'Assumptions and Catalog'!$H$52+'Assumptions and Catalog'!$E$52+'Assumptions and Catalog'!$F$52,IF(((D695+E695)*C695)&lt;='Assumptions and Catalog'!$C$53,((D695+E695)*C695)*'Assumptions and Catalog'!$H$53+'Assumptions and Catalog'!$E$53+'Assumptions and Catalog'!$F$53,IF(((D695+E695)*C695)&lt;='Assumptions and Catalog'!$C$54,((D695+E695)*C695)*'Assumptions and Catalog'!$H$54+'Assumptions and Catalog'!$E$54+'Assumptions and Catalog'!$F$54,IF(((D695+E695)*C695)&lt;='Assumptions and Catalog'!$C$55,((D695+E695)*C695)*'Assumptions and Catalog'!$H$55+'Assumptions and Catalog'!$E$55+'Assumptions and Catalog'!$F$55,IF(((D695+E695)*C695)&lt;='Assumptions and Catalog'!$C$56,((D695+E695)*C695)*'Assumptions and Catalog'!$H$56+'Assumptions and Catalog'!$E$56+'Assumptions and Catalog'!$F$56,IF(((D695+E695)*C695)&lt;='Assumptions and Catalog'!$C$57,((D695+E695)*C695)*'Assumptions and Catalog'!$H$57+'Assumptions and Catalog'!$E$57+'Assumptions and Catalog'!$F$57,"Out of range")))))))),IF(((D695+E695)*C695)&lt;='Assumptions and Catalog'!$C$60,((D695+E695)*C695)*'Assumptions and Catalog'!$H$60+'Assumptions and Catalog'!$E$60+'Assumptions and Catalog'!$F$60,IF(((D695+E695)*C695)&lt;='Assumptions and Catalog'!$C$61,((D695+E695)*C695)*'Assumptions and Catalog'!$H$61+'Assumptions and Catalog'!$E$61+'Assumptions and Catalog'!$F$61,IF(((D695+E695)*C695)&lt;='Assumptions and Catalog'!$C$62,((D695+E695)*C695)*'Assumptions and Catalog'!$H$62+'Assumptions and Catalog'!$E$62+'Assumptions and Catalog'!$F$62,IF(((D695+E695)*C695)&lt;='Assumptions and Catalog'!$C$63,((D695+E695)*C695)*'Assumptions and Catalog'!$H$63+'Assumptions and Catalog'!$E$63+'Assumptions and Catalog'!$F$63,IF(((D695+E695)*C695)&lt;='Assumptions and Catalog'!$C$64,((D695+E695)*C695)*'Assumptions and Catalog'!$H$64+'Assumptions and Catalog'!$E$64+'Assumptions and Catalog'!$F$64,IF(((D695+E695)*C695)&lt;='Assumptions and Catalog'!$C$65,((D695+E695)*C695)*'Assumptions and Catalog'!$H$65+'Assumptions and Catalog'!$E$65+'Assumptions and Catalog'!$F$65,"Out of range")))))))))*(1+'Assumptions and Catalog'!$C$8)^(A695-1),0)</f>
        <v>6867.22</v>
      </c>
      <c r="N695" s="5" t="n">
        <f>IF(ISNUMBER(Inputs!$L$5),(IF(Inputs!$L$9="Actual flat rate",L695*Inputs!$L$10,IF(Inputs!$C$9="Residential",IF(L695&lt;='Assumptions and Catalog'!$C$50,L695*'Assumptions and Catalog'!$H$50+'Assumptions and Catalog'!$E$50+'Assumptions and Catalog'!$F$50,IF(L695&lt;='Assumptions and Catalog'!$C$51,L695*'Assumptions and Catalog'!$H$51+'Assumptions and Catalog'!$E$51+'Assumptions and Catalog'!$F$51,IF(L695&lt;='Assumptions and Catalog'!$C$52,L695*'Assumptions and Catalog'!$H$52+'Assumptions and Catalog'!$E$52+'Assumptions and Catalog'!$F$52,IF(L695&lt;='Assumptions and Catalog'!$C$53,L695*'Assumptions and Catalog'!$H$53+'Assumptions and Catalog'!$E$53+'Assumptions and Catalog'!$F$53,IF(L695&lt;='Assumptions and Catalog'!$C$54,L695*'Assumptions and Catalog'!$H$54+'Assumptions and Catalog'!$E$54+'Assumptions and Catalog'!$F$54,IF(L695&lt;='Assumptions and Catalog'!$C$55,L695*'Assumptions and Catalog'!$H$55+'Assumptions and Catalog'!$E$55+'Assumptions and Catalog'!$F$55,IF(L695&lt;='Assumptions and Catalog'!$C$56,L695*'Assumptions and Catalog'!$H$56+'Assumptions and Catalog'!$E$56+'Assumptions and Catalog'!$F$56,IF(L695&lt;='Assumptions and Catalog'!$C$57,L695*'Assumptions and Catalog'!$H$57+'Assumptions and Catalog'!$E$57+'Assumptions and Catalog'!$F$57,"Out of range")))))))),IF(L695&lt;='Assumptions and Catalog'!$C$60,L695*'Assumptions and Catalog'!$H$60+'Assumptions and Catalog'!$E$60+'Assumptions and Catalog'!$F$60,IF(L695&lt;='Assumptions and Catalog'!$C$61,L695*'Assumptions and Catalog'!$H$61+'Assumptions and Catalog'!$E$61+'Assumptions and Catalog'!$F$61,IF(L695&lt;='Assumptions and Catalog'!$C$62,L695*'Assumptions and Catalog'!$H$62+'Assumptions and Catalog'!$E$62+'Assumptions and Catalog'!$F$62,IF(L695&lt;='Assumptions and Catalog'!$C$63,L695*'Assumptions and Catalog'!$H$63+'Assumptions and Catalog'!$E$63+'Assumptions and Catalog'!$F$63,IF(L695&lt;='Assumptions and Catalog'!$C$64,L695*'Assumptions and Catalog'!$H$64+'Assumptions and Catalog'!$E$64+'Assumptions and Catalog'!$F$64,IF(L695&lt;='Assumptions and Catalog'!$C$65,L695*'Assumptions and Catalog'!$H$65+'Assumptions and Catalog'!$E$65+'Assumptions and Catalog'!$F$65,"Out of range")))))))))*(1+'Assumptions and Catalog'!$C$8)^(A695-1),0)</f>
        <v>2577.77582069869</v>
      </c>
      <c r="O695" s="5" t="n">
        <f>M695-N695</f>
        <v>4289.44417930131</v>
      </c>
      <c r="P695" s="5" t="n">
        <f>E$55*(1-L$14)*(1-'Assumptions and Catalog'!$C$23)^R695</f>
        <v>9.834496</v>
      </c>
      <c r="Q695" s="5" t="n">
        <f>IF(ISNUMBER(Inputs!$L$5),(IF(Inputs!$L$9="Actual flat rate",((D695+E695)*C695-G695)*Inputs!$L$10,IF(Inputs!$C$9="Residential",IF(((D695+E695)*C695-G695)&lt;='Assumptions and Catalog'!$C$50,((D695+E695)*C695-G695)*'Assumptions and Catalog'!$H$50+'Assumptions and Catalog'!$E$50+'Assumptions and Catalog'!$F$50,IF(((D695+E695)*C695-G695)&lt;='Assumptions and Catalog'!$C$51,((D695+E695)*C695-G695)*'Assumptions and Catalog'!$H$51+'Assumptions and Catalog'!$E$51+'Assumptions and Catalog'!$F$51,IF(((D695+E695)*C695-G695)&lt;='Assumptions and Catalog'!$C$52,((D695+E695)*C695-G695)*'Assumptions and Catalog'!$H$52+'Assumptions and Catalog'!$E$52+'Assumptions and Catalog'!$F$52,IF(((D695+E695)*C695-G695)&lt;='Assumptions and Catalog'!$C$53,((D695+E695)*C695-G695)*'Assumptions and Catalog'!$H$53+'Assumptions and Catalog'!$E$53+'Assumptions and Catalog'!$F$53,IF(((D695+E695)*C695-G695)&lt;='Assumptions and Catalog'!$C$54,((D695+E695)*C695-G695)*'Assumptions and Catalog'!$H$54+'Assumptions and Catalog'!$E$54+'Assumptions and Catalog'!$F$54,IF(((D695+E695)*C695-G695)&lt;='Assumptions and Catalog'!$C$55,((D695+E695)*C695-G695)*'Assumptions and Catalog'!$H$55+'Assumptions and Catalog'!$E$55+'Assumptions and Catalog'!$F$55,IF(((D695+E695)*C695-G695)&lt;='Assumptions and Catalog'!$C$56,((D695+E695)*C695-G695)*'Assumptions and Catalog'!$H$56+'Assumptions and Catalog'!$E$56+'Assumptions and Catalog'!$F$56,IF(((D695+E695)*C695-G695)&lt;='Assumptions and Catalog'!$C$57,((D695+E695)*C695-G695)*'Assumptions and Catalog'!$H$57+'Assumptions and Catalog'!$E$57+'Assumptions and Catalog'!$F$57,"Out of range")))))))),IF(((D695+E695)*C695-G695)&lt;='Assumptions and Catalog'!$C$60,((D695+E695)*C695-G695)*'Assumptions and Catalog'!$H$60+'Assumptions and Catalog'!$E$60+'Assumptions and Catalog'!$F$60,IF(((D695+E695)*C695-G695)&lt;='Assumptions and Catalog'!$C$61,((D695+E695)*C695-G695)*'Assumptions and Catalog'!$H$61+'Assumptions and Catalog'!$E$61+'Assumptions and Catalog'!$F$61,IF(((D695+E695)*C695-G695)&lt;='Assumptions and Catalog'!$C$62,((D695+E695)*C695-G695)*'Assumptions and Catalog'!$H$62+'Assumptions and Catalog'!$E$62+'Assumptions and Catalog'!$F$62,IF(((D695+E695)*C695-G695)&lt;='Assumptions and Catalog'!$C$63,((D695+E695)*C695-G695)*'Assumptions and Catalog'!$H$63+'Assumptions and Catalog'!$E$63+'Assumptions and Catalog'!$F$63,IF(((D695+E695)*C695-G695)&lt;='Assumptions and Catalog'!$C$64,((D695+E695)*C695-G695)*'Assumptions and Catalog'!$H$64+'Assumptions and Catalog'!$E$64+'Assumptions and Catalog'!$F$64,IF(((D695+E695)*C695-G695)&lt;='Assumptions and Catalog'!$C$65,((D695+E695)*C695-G695)*'Assumptions and Catalog'!$H$65+'Assumptions and Catalog'!$E$65+'Assumptions and Catalog'!$F$65,"Out of range")))))))))*(1+'Assumptions and Catalog'!$C$8)^(A695-1),0)</f>
        <v>3453.61</v>
      </c>
      <c r="R695" s="5" t="n">
        <f>IF(AND('Assumptions and Catalog'!$C$19&gt;0,A695&gt;='Assumptions and Catalog'!$C$19),A695-'Assumptions and Catalog'!$C$19,A695-1)</f>
        <v>2</v>
      </c>
      <c r="S695" s="5" t="n">
        <f>F695+L695-(D695+E695)*C695-J695-K695-IF(E$52&gt;0,'Assumptions and Catalog'!$C$26*C695,0)</f>
        <v>5.6843418860808E-014</v>
      </c>
      <c r="T695" s="5"/>
      <c r="U695" s="5"/>
    </row>
    <row r="696" ht="23.100000381469727" customHeight="1">
      <c r="A696" s="5" t="n">
        <v>3</v>
      </c>
      <c r="B696" s="5" t="n">
        <v>12</v>
      </c>
      <c r="C696" s="5" t="n">
        <f>DAY(DATE('Assumptions and Catalog'!$C$24+A696-1,B696+1,0))</f>
        <v>31</v>
      </c>
      <c r="D696" s="5" t="n">
        <f>IF(ISNUMBER(Inputs!$L$5),Inputs!$L$5*Inputs!$L$6,0)</f>
        <v>40.35</v>
      </c>
      <c r="E696" s="5" t="n">
        <f>IF(ISNUMBER(Inputs!$L$5),Inputs!$L$5-D696,0)</f>
        <v>40.35</v>
      </c>
      <c r="F696" s="5" t="n">
        <f>E$51*INDEX('Solar Production'!$D$20:$D$31,B696)*C696*(1-'Assumptions and Catalog'!$C$10)^(A696-1)</f>
        <v>1420.09186</v>
      </c>
      <c r="G696" s="5" t="n">
        <f>MIN(F696,D696*C696)</f>
        <v>1250.85</v>
      </c>
      <c r="H696" s="5" t="n">
        <f>I696/('Assumptions and Catalog'!$C$11*'Assumptions and Catalog'!$C$12)</f>
        <v>169.24186</v>
      </c>
      <c r="I696" s="5" t="n">
        <f>MIN(E696*C696,P696*'Assumptions and Catalog'!$C$12*C696,(F696-G696)*'Assumptions and Catalog'!$C$11*'Assumptions and Catalog'!$C$12,E$56*'Assumptions and Catalog'!$C$14*'Assumptions and Catalog'!$C$11*'Assumptions and Catalog'!$C$12*C696,E$57*(24-'Assumptions and Catalog'!$C$13)*C696)</f>
        <v>160.8855431625</v>
      </c>
      <c r="J696" s="5" t="n">
        <f>MAX(F696-G696-H696,0)</f>
        <v>0</v>
      </c>
      <c r="K696" s="5" t="n">
        <f>H696-I696</f>
        <v>8.35631683750003</v>
      </c>
      <c r="L696" s="5" t="n">
        <f>(D696+E696)*C696-G696-I696+0+IF(E$52&gt;0,'Assumptions and Catalog'!$C$26*C696,0)</f>
        <v>1089.9644568375</v>
      </c>
      <c r="M696" s="5" t="n">
        <f>IF(ISNUMBER(Inputs!$L$5),(IF(Inputs!$L$9="Actual flat rate",((D696+E696)*C696)*Inputs!$L$10,IF(Inputs!$C$9="Residential",IF(((D696+E696)*C696)&lt;='Assumptions and Catalog'!$C$50,((D696+E696)*C696)*'Assumptions and Catalog'!$H$50+'Assumptions and Catalog'!$E$50+'Assumptions and Catalog'!$F$50,IF(((D696+E696)*C696)&lt;='Assumptions and Catalog'!$C$51,((D696+E696)*C696)*'Assumptions and Catalog'!$H$51+'Assumptions and Catalog'!$E$51+'Assumptions and Catalog'!$F$51,IF(((D696+E696)*C696)&lt;='Assumptions and Catalog'!$C$52,((D696+E696)*C696)*'Assumptions and Catalog'!$H$52+'Assumptions and Catalog'!$E$52+'Assumptions and Catalog'!$F$52,IF(((D696+E696)*C696)&lt;='Assumptions and Catalog'!$C$53,((D696+E696)*C696)*'Assumptions and Catalog'!$H$53+'Assumptions and Catalog'!$E$53+'Assumptions and Catalog'!$F$53,IF(((D696+E696)*C696)&lt;='Assumptions and Catalog'!$C$54,((D696+E696)*C696)*'Assumptions and Catalog'!$H$54+'Assumptions and Catalog'!$E$54+'Assumptions and Catalog'!$F$54,IF(((D696+E696)*C696)&lt;='Assumptions and Catalog'!$C$55,((D696+E696)*C696)*'Assumptions and Catalog'!$H$55+'Assumptions and Catalog'!$E$55+'Assumptions and Catalog'!$F$55,IF(((D696+E696)*C696)&lt;='Assumptions and Catalog'!$C$56,((D696+E696)*C696)*'Assumptions and Catalog'!$H$56+'Assumptions and Catalog'!$E$56+'Assumptions and Catalog'!$F$56,IF(((D696+E696)*C696)&lt;='Assumptions and Catalog'!$C$57,((D696+E696)*C696)*'Assumptions and Catalog'!$H$57+'Assumptions and Catalog'!$E$57+'Assumptions and Catalog'!$F$57,"Out of range")))))))),IF(((D696+E696)*C696)&lt;='Assumptions and Catalog'!$C$60,((D696+E696)*C696)*'Assumptions and Catalog'!$H$60+'Assumptions and Catalog'!$E$60+'Assumptions and Catalog'!$F$60,IF(((D696+E696)*C696)&lt;='Assumptions and Catalog'!$C$61,((D696+E696)*C696)*'Assumptions and Catalog'!$H$61+'Assumptions and Catalog'!$E$61+'Assumptions and Catalog'!$F$61,IF(((D696+E696)*C696)&lt;='Assumptions and Catalog'!$C$62,((D696+E696)*C696)*'Assumptions and Catalog'!$H$62+'Assumptions and Catalog'!$E$62+'Assumptions and Catalog'!$F$62,IF(((D696+E696)*C696)&lt;='Assumptions and Catalog'!$C$63,((D696+E696)*C696)*'Assumptions and Catalog'!$H$63+'Assumptions and Catalog'!$E$63+'Assumptions and Catalog'!$F$63,IF(((D696+E696)*C696)&lt;='Assumptions and Catalog'!$C$64,((D696+E696)*C696)*'Assumptions and Catalog'!$H$64+'Assumptions and Catalog'!$E$64+'Assumptions and Catalog'!$F$64,IF(((D696+E696)*C696)&lt;='Assumptions and Catalog'!$C$65,((D696+E696)*C696)*'Assumptions and Catalog'!$H$65+'Assumptions and Catalog'!$E$65+'Assumptions and Catalog'!$F$65,"Out of range")))))))))*(1+'Assumptions and Catalog'!$C$8)^(A696-1),0)</f>
        <v>7094.794</v>
      </c>
      <c r="N696" s="5" t="n">
        <f>IF(ISNUMBER(Inputs!$L$5),(IF(Inputs!$L$9="Actual flat rate",L696*Inputs!$L$10,IF(Inputs!$C$9="Residential",IF(L696&lt;='Assumptions and Catalog'!$C$50,L696*'Assumptions and Catalog'!$H$50+'Assumptions and Catalog'!$E$50+'Assumptions and Catalog'!$F$50,IF(L696&lt;='Assumptions and Catalog'!$C$51,L696*'Assumptions and Catalog'!$H$51+'Assumptions and Catalog'!$E$51+'Assumptions and Catalog'!$F$51,IF(L696&lt;='Assumptions and Catalog'!$C$52,L696*'Assumptions and Catalog'!$H$52+'Assumptions and Catalog'!$E$52+'Assumptions and Catalog'!$F$52,IF(L696&lt;='Assumptions and Catalog'!$C$53,L696*'Assumptions and Catalog'!$H$53+'Assumptions and Catalog'!$E$53+'Assumptions and Catalog'!$F$53,IF(L696&lt;='Assumptions and Catalog'!$C$54,L696*'Assumptions and Catalog'!$H$54+'Assumptions and Catalog'!$E$54+'Assumptions and Catalog'!$F$54,IF(L696&lt;='Assumptions and Catalog'!$C$55,L696*'Assumptions and Catalog'!$H$55+'Assumptions and Catalog'!$E$55+'Assumptions and Catalog'!$F$55,IF(L696&lt;='Assumptions and Catalog'!$C$56,L696*'Assumptions and Catalog'!$H$56+'Assumptions and Catalog'!$E$56+'Assumptions and Catalog'!$F$56,IF(L696&lt;='Assumptions and Catalog'!$C$57,L696*'Assumptions and Catalog'!$H$57+'Assumptions and Catalog'!$E$57+'Assumptions and Catalog'!$F$57,"Out of range")))))))),IF(L696&lt;='Assumptions and Catalog'!$C$60,L696*'Assumptions and Catalog'!$H$60+'Assumptions and Catalog'!$E$60+'Assumptions and Catalog'!$F$60,IF(L696&lt;='Assumptions and Catalog'!$C$61,L696*'Assumptions and Catalog'!$H$61+'Assumptions and Catalog'!$E$61+'Assumptions and Catalog'!$F$61,IF(L696&lt;='Assumptions and Catalog'!$C$62,L696*'Assumptions and Catalog'!$H$62+'Assumptions and Catalog'!$E$62+'Assumptions and Catalog'!$F$62,IF(L696&lt;='Assumptions and Catalog'!$C$63,L696*'Assumptions and Catalog'!$H$63+'Assumptions and Catalog'!$E$63+'Assumptions and Catalog'!$F$63,IF(L696&lt;='Assumptions and Catalog'!$C$64,L696*'Assumptions and Catalog'!$H$64+'Assumptions and Catalog'!$E$64+'Assumptions and Catalog'!$F$64,IF(L696&lt;='Assumptions and Catalog'!$C$65,L696*'Assumptions and Catalog'!$H$65+'Assumptions and Catalog'!$E$65+'Assumptions and Catalog'!$F$65,"Out of range")))))))))*(1+'Assumptions and Catalog'!$C$8)^(A696-1),0)</f>
        <v>3113.69976828175</v>
      </c>
      <c r="O696" s="5" t="n">
        <f>M696-N696</f>
        <v>3981.09423171825</v>
      </c>
      <c r="P696" s="5" t="n">
        <f>E$55*(1-L$14)*(1-'Assumptions and Catalog'!$C$23)^R696</f>
        <v>9.834496</v>
      </c>
      <c r="Q696" s="5" t="n">
        <f>IF(ISNUMBER(Inputs!$L$5),(IF(Inputs!$L$9="Actual flat rate",((D696+E696)*C696-G696)*Inputs!$L$10,IF(Inputs!$C$9="Residential",IF(((D696+E696)*C696-G696)&lt;='Assumptions and Catalog'!$C$50,((D696+E696)*C696-G696)*'Assumptions and Catalog'!$H$50+'Assumptions and Catalog'!$E$50+'Assumptions and Catalog'!$F$50,IF(((D696+E696)*C696-G696)&lt;='Assumptions and Catalog'!$C$51,((D696+E696)*C696-G696)*'Assumptions and Catalog'!$H$51+'Assumptions and Catalog'!$E$51+'Assumptions and Catalog'!$F$51,IF(((D696+E696)*C696-G696)&lt;='Assumptions and Catalog'!$C$52,((D696+E696)*C696-G696)*'Assumptions and Catalog'!$H$52+'Assumptions and Catalog'!$E$52+'Assumptions and Catalog'!$F$52,IF(((D696+E696)*C696-G696)&lt;='Assumptions and Catalog'!$C$53,((D696+E696)*C696-G696)*'Assumptions and Catalog'!$H$53+'Assumptions and Catalog'!$E$53+'Assumptions and Catalog'!$F$53,IF(((D696+E696)*C696-G696)&lt;='Assumptions and Catalog'!$C$54,((D696+E696)*C696-G696)*'Assumptions and Catalog'!$H$54+'Assumptions and Catalog'!$E$54+'Assumptions and Catalog'!$F$54,IF(((D696+E696)*C696-G696)&lt;='Assumptions and Catalog'!$C$55,((D696+E696)*C696-G696)*'Assumptions and Catalog'!$H$55+'Assumptions and Catalog'!$E$55+'Assumptions and Catalog'!$F$55,IF(((D696+E696)*C696-G696)&lt;='Assumptions and Catalog'!$C$56,((D696+E696)*C696-G696)*'Assumptions and Catalog'!$H$56+'Assumptions and Catalog'!$E$56+'Assumptions and Catalog'!$F$56,IF(((D696+E696)*C696-G696)&lt;='Assumptions and Catalog'!$C$57,((D696+E696)*C696-G696)*'Assumptions and Catalog'!$H$57+'Assumptions and Catalog'!$E$57+'Assumptions and Catalog'!$F$57,"Out of range")))))))),IF(((D696+E696)*C696-G696)&lt;='Assumptions and Catalog'!$C$60,((D696+E696)*C696-G696)*'Assumptions and Catalog'!$H$60+'Assumptions and Catalog'!$E$60+'Assumptions and Catalog'!$F$60,IF(((D696+E696)*C696-G696)&lt;='Assumptions and Catalog'!$C$61,((D696+E696)*C696-G696)*'Assumptions and Catalog'!$H$61+'Assumptions and Catalog'!$E$61+'Assumptions and Catalog'!$F$61,IF(((D696+E696)*C696-G696)&lt;='Assumptions and Catalog'!$C$62,((D696+E696)*C696-G696)*'Assumptions and Catalog'!$H$62+'Assumptions and Catalog'!$E$62+'Assumptions and Catalog'!$F$62,IF(((D696+E696)*C696-G696)&lt;='Assumptions and Catalog'!$C$63,((D696+E696)*C696-G696)*'Assumptions and Catalog'!$H$63+'Assumptions and Catalog'!$E$63+'Assumptions and Catalog'!$F$63,IF(((D696+E696)*C696-G696)&lt;='Assumptions and Catalog'!$C$64,((D696+E696)*C696-G696)*'Assumptions and Catalog'!$H$64+'Assumptions and Catalog'!$E$64+'Assumptions and Catalog'!$F$64,IF(((D696+E696)*C696-G696)&lt;='Assumptions and Catalog'!$C$65,((D696+E696)*C696-G696)*'Assumptions and Catalog'!$H$65+'Assumptions and Catalog'!$E$65+'Assumptions and Catalog'!$F$65,"Out of range")))))))))*(1+'Assumptions and Catalog'!$C$8)^(A696-1),0)</f>
        <v>3567.397</v>
      </c>
      <c r="R696" s="5" t="n">
        <f>IF(AND('Assumptions and Catalog'!$C$19&gt;0,A696&gt;='Assumptions and Catalog'!$C$19),A696-'Assumptions and Catalog'!$C$19,A696-1)</f>
        <v>2</v>
      </c>
      <c r="S696" s="5" t="n">
        <f>F696+L696-(D696+E696)*C696-J696-K696-IF(E$52&gt;0,'Assumptions and Catalog'!$C$26*C696,0)</f>
        <v>-1.4210854715202E-013</v>
      </c>
      <c r="T696" s="5"/>
      <c r="U696" s="5"/>
    </row>
    <row r="697" ht="23.100000381469727" customHeight="1">
      <c r="A697" s="5" t="n">
        <v>4</v>
      </c>
      <c r="B697" s="5" t="n">
        <v>1</v>
      </c>
      <c r="C697" s="5" t="n">
        <f>DAY(DATE('Assumptions and Catalog'!$C$24+A697-1,B697+1,0))</f>
        <v>31</v>
      </c>
      <c r="D697" s="5" t="n">
        <f>IF(ISNUMBER(Inputs!$L$5),Inputs!$L$5*Inputs!$L$6,0)</f>
        <v>40.35</v>
      </c>
      <c r="E697" s="5" t="n">
        <f>IF(ISNUMBER(Inputs!$L$5),Inputs!$L$5-D697,0)</f>
        <v>40.35</v>
      </c>
      <c r="F697" s="5" t="n">
        <f>E$51*INDEX('Solar Production'!$D$20:$D$31,B697)*C697*(1-'Assumptions and Catalog'!$C$10)^(A697-1)</f>
        <v>1422.7436419625</v>
      </c>
      <c r="G697" s="5" t="n">
        <f>MIN(F697,D697*C697)</f>
        <v>1250.85</v>
      </c>
      <c r="H697" s="5" t="n">
        <f>I697/('Assumptions and Catalog'!$C$11*'Assumptions and Catalog'!$C$12)</f>
        <v>171.8936419625</v>
      </c>
      <c r="I697" s="5" t="n">
        <f>MIN(E697*C697,P697*'Assumptions and Catalog'!$C$12*C697,(F697-G697)*'Assumptions and Catalog'!$C$11*'Assumptions and Catalog'!$C$12,E$56*'Assumptions and Catalog'!$C$14*'Assumptions and Catalog'!$C$11*'Assumptions and Catalog'!$C$12*C697,E$57*(24-'Assumptions and Catalog'!$C$13)*C697)</f>
        <v>163.406393390602</v>
      </c>
      <c r="J697" s="5" t="n">
        <f>MAX(F697-G697-H697,0)</f>
        <v>0</v>
      </c>
      <c r="K697" s="5" t="n">
        <f>H697-I697</f>
        <v>8.48724857189848</v>
      </c>
      <c r="L697" s="5" t="n">
        <f>(D697+E697)*C697-G697-I697+0+IF(E$52&gt;0,'Assumptions and Catalog'!$C$26*C697,0)</f>
        <v>1087.4436066094</v>
      </c>
      <c r="M697" s="5" t="n">
        <f>IF(ISNUMBER(Inputs!$L$5),(IF(Inputs!$L$9="Actual flat rate",((D697+E697)*C697)*Inputs!$L$10,IF(Inputs!$C$9="Residential",IF(((D697+E697)*C697)&lt;='Assumptions and Catalog'!$C$50,((D697+E697)*C697)*'Assumptions and Catalog'!$H$50+'Assumptions and Catalog'!$E$50+'Assumptions and Catalog'!$F$50,IF(((D697+E697)*C697)&lt;='Assumptions and Catalog'!$C$51,((D697+E697)*C697)*'Assumptions and Catalog'!$H$51+'Assumptions and Catalog'!$E$51+'Assumptions and Catalog'!$F$51,IF(((D697+E697)*C697)&lt;='Assumptions and Catalog'!$C$52,((D697+E697)*C697)*'Assumptions and Catalog'!$H$52+'Assumptions and Catalog'!$E$52+'Assumptions and Catalog'!$F$52,IF(((D697+E697)*C697)&lt;='Assumptions and Catalog'!$C$53,((D697+E697)*C697)*'Assumptions and Catalog'!$H$53+'Assumptions and Catalog'!$E$53+'Assumptions and Catalog'!$F$53,IF(((D697+E697)*C697)&lt;='Assumptions and Catalog'!$C$54,((D697+E697)*C697)*'Assumptions and Catalog'!$H$54+'Assumptions and Catalog'!$E$54+'Assumptions and Catalog'!$F$54,IF(((D697+E697)*C697)&lt;='Assumptions and Catalog'!$C$55,((D697+E697)*C697)*'Assumptions and Catalog'!$H$55+'Assumptions and Catalog'!$E$55+'Assumptions and Catalog'!$F$55,IF(((D697+E697)*C697)&lt;='Assumptions and Catalog'!$C$56,((D697+E697)*C697)*'Assumptions and Catalog'!$H$56+'Assumptions and Catalog'!$E$56+'Assumptions and Catalog'!$F$56,IF(((D697+E697)*C697)&lt;='Assumptions and Catalog'!$C$57,((D697+E697)*C697)*'Assumptions and Catalog'!$H$57+'Assumptions and Catalog'!$E$57+'Assumptions and Catalog'!$F$57,"Out of range")))))))),IF(((D697+E697)*C697)&lt;='Assumptions and Catalog'!$C$60,((D697+E697)*C697)*'Assumptions and Catalog'!$H$60+'Assumptions and Catalog'!$E$60+'Assumptions and Catalog'!$F$60,IF(((D697+E697)*C697)&lt;='Assumptions and Catalog'!$C$61,((D697+E697)*C697)*'Assumptions and Catalog'!$H$61+'Assumptions and Catalog'!$E$61+'Assumptions and Catalog'!$F$61,IF(((D697+E697)*C697)&lt;='Assumptions and Catalog'!$C$62,((D697+E697)*C697)*'Assumptions and Catalog'!$H$62+'Assumptions and Catalog'!$E$62+'Assumptions and Catalog'!$F$62,IF(((D697+E697)*C697)&lt;='Assumptions and Catalog'!$C$63,((D697+E697)*C697)*'Assumptions and Catalog'!$H$63+'Assumptions and Catalog'!$E$63+'Assumptions and Catalog'!$F$63,IF(((D697+E697)*C697)&lt;='Assumptions and Catalog'!$C$64,((D697+E697)*C697)*'Assumptions and Catalog'!$H$64+'Assumptions and Catalog'!$E$64+'Assumptions and Catalog'!$F$64,IF(((D697+E697)*C697)&lt;='Assumptions and Catalog'!$C$65,((D697+E697)*C697)*'Assumptions and Catalog'!$H$65+'Assumptions and Catalog'!$E$65+'Assumptions and Catalog'!$F$65,"Out of range")))))))))*(1+'Assumptions and Catalog'!$C$8)^(A697-1),0)</f>
        <v>7094.794</v>
      </c>
      <c r="N697" s="5" t="n">
        <f>IF(ISNUMBER(Inputs!$L$5),(IF(Inputs!$L$9="Actual flat rate",L697*Inputs!$L$10,IF(Inputs!$C$9="Residential",IF(L697&lt;='Assumptions and Catalog'!$C$50,L697*'Assumptions and Catalog'!$H$50+'Assumptions and Catalog'!$E$50+'Assumptions and Catalog'!$F$50,IF(L697&lt;='Assumptions and Catalog'!$C$51,L697*'Assumptions and Catalog'!$H$51+'Assumptions and Catalog'!$E$51+'Assumptions and Catalog'!$F$51,IF(L697&lt;='Assumptions and Catalog'!$C$52,L697*'Assumptions and Catalog'!$H$52+'Assumptions and Catalog'!$E$52+'Assumptions and Catalog'!$F$52,IF(L697&lt;='Assumptions and Catalog'!$C$53,L697*'Assumptions and Catalog'!$H$53+'Assumptions and Catalog'!$E$53+'Assumptions and Catalog'!$F$53,IF(L697&lt;='Assumptions and Catalog'!$C$54,L697*'Assumptions and Catalog'!$H$54+'Assumptions and Catalog'!$E$54+'Assumptions and Catalog'!$F$54,IF(L697&lt;='Assumptions and Catalog'!$C$55,L697*'Assumptions and Catalog'!$H$55+'Assumptions and Catalog'!$E$55+'Assumptions and Catalog'!$F$55,IF(L697&lt;='Assumptions and Catalog'!$C$56,L697*'Assumptions and Catalog'!$H$56+'Assumptions and Catalog'!$E$56+'Assumptions and Catalog'!$F$56,IF(L697&lt;='Assumptions and Catalog'!$C$57,L697*'Assumptions and Catalog'!$H$57+'Assumptions and Catalog'!$E$57+'Assumptions and Catalog'!$F$57,"Out of range")))))))),IF(L697&lt;='Assumptions and Catalog'!$C$60,L697*'Assumptions and Catalog'!$H$60+'Assumptions and Catalog'!$E$60+'Assumptions and Catalog'!$F$60,IF(L697&lt;='Assumptions and Catalog'!$C$61,L697*'Assumptions and Catalog'!$H$61+'Assumptions and Catalog'!$E$61+'Assumptions and Catalog'!$F$61,IF(L697&lt;='Assumptions and Catalog'!$C$62,L697*'Assumptions and Catalog'!$H$62+'Assumptions and Catalog'!$E$62+'Assumptions and Catalog'!$F$62,IF(L697&lt;='Assumptions and Catalog'!$C$63,L697*'Assumptions and Catalog'!$H$63+'Assumptions and Catalog'!$E$63+'Assumptions and Catalog'!$F$63,IF(L697&lt;='Assumptions and Catalog'!$C$64,L697*'Assumptions and Catalog'!$H$64+'Assumptions and Catalog'!$E$64+'Assumptions and Catalog'!$F$64,IF(L697&lt;='Assumptions and Catalog'!$C$65,L697*'Assumptions and Catalog'!$H$65+'Assumptions and Catalog'!$E$65+'Assumptions and Catalog'!$F$65,"Out of range")))))))))*(1+'Assumptions and Catalog'!$C$8)^(A697-1),0)</f>
        <v>3106.5909706385</v>
      </c>
      <c r="O697" s="5" t="n">
        <f>M697-N697</f>
        <v>3988.2030293615</v>
      </c>
      <c r="P697" s="5" t="n">
        <f>E$55*(1-L$14)*(1-'Assumptions and Catalog'!$C$23)^R697</f>
        <v>9.63780608</v>
      </c>
      <c r="Q697" s="5" t="n">
        <f>IF(ISNUMBER(Inputs!$L$5),(IF(Inputs!$L$9="Actual flat rate",((D697+E697)*C697-G697)*Inputs!$L$10,IF(Inputs!$C$9="Residential",IF(((D697+E697)*C697-G697)&lt;='Assumptions and Catalog'!$C$50,((D697+E697)*C697-G697)*'Assumptions and Catalog'!$H$50+'Assumptions and Catalog'!$E$50+'Assumptions and Catalog'!$F$50,IF(((D697+E697)*C697-G697)&lt;='Assumptions and Catalog'!$C$51,((D697+E697)*C697-G697)*'Assumptions and Catalog'!$H$51+'Assumptions and Catalog'!$E$51+'Assumptions and Catalog'!$F$51,IF(((D697+E697)*C697-G697)&lt;='Assumptions and Catalog'!$C$52,((D697+E697)*C697-G697)*'Assumptions and Catalog'!$H$52+'Assumptions and Catalog'!$E$52+'Assumptions and Catalog'!$F$52,IF(((D697+E697)*C697-G697)&lt;='Assumptions and Catalog'!$C$53,((D697+E697)*C697-G697)*'Assumptions and Catalog'!$H$53+'Assumptions and Catalog'!$E$53+'Assumptions and Catalog'!$F$53,IF(((D697+E697)*C697-G697)&lt;='Assumptions and Catalog'!$C$54,((D697+E697)*C697-G697)*'Assumptions and Catalog'!$H$54+'Assumptions and Catalog'!$E$54+'Assumptions and Catalog'!$F$54,IF(((D697+E697)*C697-G697)&lt;='Assumptions and Catalog'!$C$55,((D697+E697)*C697-G697)*'Assumptions and Catalog'!$H$55+'Assumptions and Catalog'!$E$55+'Assumptions and Catalog'!$F$55,IF(((D697+E697)*C697-G697)&lt;='Assumptions and Catalog'!$C$56,((D697+E697)*C697-G697)*'Assumptions and Catalog'!$H$56+'Assumptions and Catalog'!$E$56+'Assumptions and Catalog'!$F$56,IF(((D697+E697)*C697-G697)&lt;='Assumptions and Catalog'!$C$57,((D697+E697)*C697-G697)*'Assumptions and Catalog'!$H$57+'Assumptions and Catalog'!$E$57+'Assumptions and Catalog'!$F$57,"Out of range")))))))),IF(((D697+E697)*C697-G697)&lt;='Assumptions and Catalog'!$C$60,((D697+E697)*C697-G697)*'Assumptions and Catalog'!$H$60+'Assumptions and Catalog'!$E$60+'Assumptions and Catalog'!$F$60,IF(((D697+E697)*C697-G697)&lt;='Assumptions and Catalog'!$C$61,((D697+E697)*C697-G697)*'Assumptions and Catalog'!$H$61+'Assumptions and Catalog'!$E$61+'Assumptions and Catalog'!$F$61,IF(((D697+E697)*C697-G697)&lt;='Assumptions and Catalog'!$C$62,((D697+E697)*C697-G697)*'Assumptions and Catalog'!$H$62+'Assumptions and Catalog'!$E$62+'Assumptions and Catalog'!$F$62,IF(((D697+E697)*C697-G697)&lt;='Assumptions and Catalog'!$C$63,((D697+E697)*C697-G697)*'Assumptions and Catalog'!$H$63+'Assumptions and Catalog'!$E$63+'Assumptions and Catalog'!$F$63,IF(((D697+E697)*C697-G697)&lt;='Assumptions and Catalog'!$C$64,((D697+E697)*C697-G697)*'Assumptions and Catalog'!$H$64+'Assumptions and Catalog'!$E$64+'Assumptions and Catalog'!$F$64,IF(((D697+E697)*C697-G697)&lt;='Assumptions and Catalog'!$C$65,((D697+E697)*C697-G697)*'Assumptions and Catalog'!$H$65+'Assumptions and Catalog'!$E$65+'Assumptions and Catalog'!$F$65,"Out of range")))))))))*(1+'Assumptions and Catalog'!$C$8)^(A697-1),0)</f>
        <v>3567.397</v>
      </c>
      <c r="R697" s="5" t="n">
        <f>IF(AND('Assumptions and Catalog'!$C$19&gt;0,A697&gt;='Assumptions and Catalog'!$C$19),A697-'Assumptions and Catalog'!$C$19,A697-1)</f>
        <v>3</v>
      </c>
      <c r="S697" s="5" t="n">
        <f>F697+L697-(D697+E697)*C697-J697-K697-IF(E$52&gt;0,'Assumptions and Catalog'!$C$26*C697,0)</f>
        <v>-1.13686837721616E-013</v>
      </c>
      <c r="T697" s="5"/>
      <c r="U697" s="5"/>
    </row>
    <row r="698" ht="23.100000381469727" customHeight="1">
      <c r="A698" s="5" t="n">
        <v>4</v>
      </c>
      <c r="B698" s="5" t="n">
        <v>2</v>
      </c>
      <c r="C698" s="5" t="n">
        <f>DAY(DATE('Assumptions and Catalog'!$C$24+A698-1,B698+1,0))</f>
        <v>28</v>
      </c>
      <c r="D698" s="5" t="n">
        <f>IF(ISNUMBER(Inputs!$L$5),Inputs!$L$5*Inputs!$L$6,0)</f>
        <v>40.35</v>
      </c>
      <c r="E698" s="5" t="n">
        <f>IF(ISNUMBER(Inputs!$L$5),Inputs!$L$5-D698,0)</f>
        <v>40.35</v>
      </c>
      <c r="F698" s="5" t="n">
        <f>E$51*INDEX('Solar Production'!$D$20:$D$31,B698)*C698*(1-'Assumptions and Catalog'!$C$10)^(A698-1)</f>
        <v>1402.69736825625</v>
      </c>
      <c r="G698" s="5" t="n">
        <f>MIN(F698,D698*C698)</f>
        <v>1129.8</v>
      </c>
      <c r="H698" s="5" t="n">
        <f>I698/('Assumptions and Catalog'!$C$11*'Assumptions and Catalog'!$C$12)</f>
        <v>272.89736825625</v>
      </c>
      <c r="I698" s="5" t="n">
        <f>MIN(E698*C698,P698*'Assumptions and Catalog'!$C$12*C698,(F698-G698)*'Assumptions and Catalog'!$C$11*'Assumptions and Catalog'!$C$12,E$56*'Assumptions and Catalog'!$C$14*'Assumptions and Catalog'!$C$11*'Assumptions and Catalog'!$C$12*C698,E$57*(24-'Assumptions and Catalog'!$C$13)*C698)</f>
        <v>259.423060698598</v>
      </c>
      <c r="J698" s="5" t="n">
        <f>MAX(F698-G698-H698,0)</f>
        <v>0</v>
      </c>
      <c r="K698" s="5" t="n">
        <f>H698-I698</f>
        <v>13.4743075576524</v>
      </c>
      <c r="L698" s="5" t="n">
        <f>(D698+E698)*C698-G698-I698+0+IF(E$52&gt;0,'Assumptions and Catalog'!$C$26*C698,0)</f>
        <v>870.376939301402</v>
      </c>
      <c r="M698" s="5" t="n">
        <f>IF(ISNUMBER(Inputs!$L$5),(IF(Inputs!$L$9="Actual flat rate",((D698+E698)*C698)*Inputs!$L$10,IF(Inputs!$C$9="Residential",IF(((D698+E698)*C698)&lt;='Assumptions and Catalog'!$C$50,((D698+E698)*C698)*'Assumptions and Catalog'!$H$50+'Assumptions and Catalog'!$E$50+'Assumptions and Catalog'!$F$50,IF(((D698+E698)*C698)&lt;='Assumptions and Catalog'!$C$51,((D698+E698)*C698)*'Assumptions and Catalog'!$H$51+'Assumptions and Catalog'!$E$51+'Assumptions and Catalog'!$F$51,IF(((D698+E698)*C698)&lt;='Assumptions and Catalog'!$C$52,((D698+E698)*C698)*'Assumptions and Catalog'!$H$52+'Assumptions and Catalog'!$E$52+'Assumptions and Catalog'!$F$52,IF(((D698+E698)*C698)&lt;='Assumptions and Catalog'!$C$53,((D698+E698)*C698)*'Assumptions and Catalog'!$H$53+'Assumptions and Catalog'!$E$53+'Assumptions and Catalog'!$F$53,IF(((D698+E698)*C698)&lt;='Assumptions and Catalog'!$C$54,((D698+E698)*C698)*'Assumptions and Catalog'!$H$54+'Assumptions and Catalog'!$E$54+'Assumptions and Catalog'!$F$54,IF(((D698+E698)*C698)&lt;='Assumptions and Catalog'!$C$55,((D698+E698)*C698)*'Assumptions and Catalog'!$H$55+'Assumptions and Catalog'!$E$55+'Assumptions and Catalog'!$F$55,IF(((D698+E698)*C698)&lt;='Assumptions and Catalog'!$C$56,((D698+E698)*C698)*'Assumptions and Catalog'!$H$56+'Assumptions and Catalog'!$E$56+'Assumptions and Catalog'!$F$56,IF(((D698+E698)*C698)&lt;='Assumptions and Catalog'!$C$57,((D698+E698)*C698)*'Assumptions and Catalog'!$H$57+'Assumptions and Catalog'!$E$57+'Assumptions and Catalog'!$F$57,"Out of range")))))))),IF(((D698+E698)*C698)&lt;='Assumptions and Catalog'!$C$60,((D698+E698)*C698)*'Assumptions and Catalog'!$H$60+'Assumptions and Catalog'!$E$60+'Assumptions and Catalog'!$F$60,IF(((D698+E698)*C698)&lt;='Assumptions and Catalog'!$C$61,((D698+E698)*C698)*'Assumptions and Catalog'!$H$61+'Assumptions and Catalog'!$E$61+'Assumptions and Catalog'!$F$61,IF(((D698+E698)*C698)&lt;='Assumptions and Catalog'!$C$62,((D698+E698)*C698)*'Assumptions and Catalog'!$H$62+'Assumptions and Catalog'!$E$62+'Assumptions and Catalog'!$F$62,IF(((D698+E698)*C698)&lt;='Assumptions and Catalog'!$C$63,((D698+E698)*C698)*'Assumptions and Catalog'!$H$63+'Assumptions and Catalog'!$E$63+'Assumptions and Catalog'!$F$63,IF(((D698+E698)*C698)&lt;='Assumptions and Catalog'!$C$64,((D698+E698)*C698)*'Assumptions and Catalog'!$H$64+'Assumptions and Catalog'!$E$64+'Assumptions and Catalog'!$F$64,IF(((D698+E698)*C698)&lt;='Assumptions and Catalog'!$C$65,((D698+E698)*C698)*'Assumptions and Catalog'!$H$65+'Assumptions and Catalog'!$E$65+'Assumptions and Catalog'!$F$65,"Out of range")))))))))*(1+'Assumptions and Catalog'!$C$8)^(A698-1),0)</f>
        <v>6412.072</v>
      </c>
      <c r="N698" s="5" t="n">
        <f>IF(ISNUMBER(Inputs!$L$5),(IF(Inputs!$L$9="Actual flat rate",L698*Inputs!$L$10,IF(Inputs!$C$9="Residential",IF(L698&lt;='Assumptions and Catalog'!$C$50,L698*'Assumptions and Catalog'!$H$50+'Assumptions and Catalog'!$E$50+'Assumptions and Catalog'!$F$50,IF(L698&lt;='Assumptions and Catalog'!$C$51,L698*'Assumptions and Catalog'!$H$51+'Assumptions and Catalog'!$E$51+'Assumptions and Catalog'!$F$51,IF(L698&lt;='Assumptions and Catalog'!$C$52,L698*'Assumptions and Catalog'!$H$52+'Assumptions and Catalog'!$E$52+'Assumptions and Catalog'!$F$52,IF(L698&lt;='Assumptions and Catalog'!$C$53,L698*'Assumptions and Catalog'!$H$53+'Assumptions and Catalog'!$E$53+'Assumptions and Catalog'!$F$53,IF(L698&lt;='Assumptions and Catalog'!$C$54,L698*'Assumptions and Catalog'!$H$54+'Assumptions and Catalog'!$E$54+'Assumptions and Catalog'!$F$54,IF(L698&lt;='Assumptions and Catalog'!$C$55,L698*'Assumptions and Catalog'!$H$55+'Assumptions and Catalog'!$E$55+'Assumptions and Catalog'!$F$55,IF(L698&lt;='Assumptions and Catalog'!$C$56,L698*'Assumptions and Catalog'!$H$56+'Assumptions and Catalog'!$E$56+'Assumptions and Catalog'!$F$56,IF(L698&lt;='Assumptions and Catalog'!$C$57,L698*'Assumptions and Catalog'!$H$57+'Assumptions and Catalog'!$E$57+'Assumptions and Catalog'!$F$57,"Out of range")))))))),IF(L698&lt;='Assumptions and Catalog'!$C$60,L698*'Assumptions and Catalog'!$H$60+'Assumptions and Catalog'!$E$60+'Assumptions and Catalog'!$F$60,IF(L698&lt;='Assumptions and Catalog'!$C$61,L698*'Assumptions and Catalog'!$H$61+'Assumptions and Catalog'!$E$61+'Assumptions and Catalog'!$F$61,IF(L698&lt;='Assumptions and Catalog'!$C$62,L698*'Assumptions and Catalog'!$H$62+'Assumptions and Catalog'!$E$62+'Assumptions and Catalog'!$F$62,IF(L698&lt;='Assumptions and Catalog'!$C$63,L698*'Assumptions and Catalog'!$H$63+'Assumptions and Catalog'!$E$63+'Assumptions and Catalog'!$F$63,IF(L698&lt;='Assumptions and Catalog'!$C$64,L698*'Assumptions and Catalog'!$H$64+'Assumptions and Catalog'!$E$64+'Assumptions and Catalog'!$F$64,IF(L698&lt;='Assumptions and Catalog'!$C$65,L698*'Assumptions and Catalog'!$H$65+'Assumptions and Catalog'!$E$65+'Assumptions and Catalog'!$F$65,"Out of range")))))))))*(1+'Assumptions and Catalog'!$C$8)^(A698-1),0)</f>
        <v>2375.94412186488</v>
      </c>
      <c r="O698" s="5" t="n">
        <f>M698-N698</f>
        <v>4036.12787813511</v>
      </c>
      <c r="P698" s="5" t="n">
        <f>E$55*(1-L$14)*(1-'Assumptions and Catalog'!$C$23)^R698</f>
        <v>9.63780608</v>
      </c>
      <c r="Q698" s="5" t="n">
        <f>IF(ISNUMBER(Inputs!$L$5),(IF(Inputs!$L$9="Actual flat rate",((D698+E698)*C698-G698)*Inputs!$L$10,IF(Inputs!$C$9="Residential",IF(((D698+E698)*C698-G698)&lt;='Assumptions and Catalog'!$C$50,((D698+E698)*C698-G698)*'Assumptions and Catalog'!$H$50+'Assumptions and Catalog'!$E$50+'Assumptions and Catalog'!$F$50,IF(((D698+E698)*C698-G698)&lt;='Assumptions and Catalog'!$C$51,((D698+E698)*C698-G698)*'Assumptions and Catalog'!$H$51+'Assumptions and Catalog'!$E$51+'Assumptions and Catalog'!$F$51,IF(((D698+E698)*C698-G698)&lt;='Assumptions and Catalog'!$C$52,((D698+E698)*C698-G698)*'Assumptions and Catalog'!$H$52+'Assumptions and Catalog'!$E$52+'Assumptions and Catalog'!$F$52,IF(((D698+E698)*C698-G698)&lt;='Assumptions and Catalog'!$C$53,((D698+E698)*C698-G698)*'Assumptions and Catalog'!$H$53+'Assumptions and Catalog'!$E$53+'Assumptions and Catalog'!$F$53,IF(((D698+E698)*C698-G698)&lt;='Assumptions and Catalog'!$C$54,((D698+E698)*C698-G698)*'Assumptions and Catalog'!$H$54+'Assumptions and Catalog'!$E$54+'Assumptions and Catalog'!$F$54,IF(((D698+E698)*C698-G698)&lt;='Assumptions and Catalog'!$C$55,((D698+E698)*C698-G698)*'Assumptions and Catalog'!$H$55+'Assumptions and Catalog'!$E$55+'Assumptions and Catalog'!$F$55,IF(((D698+E698)*C698-G698)&lt;='Assumptions and Catalog'!$C$56,((D698+E698)*C698-G698)*'Assumptions and Catalog'!$H$56+'Assumptions and Catalog'!$E$56+'Assumptions and Catalog'!$F$56,IF(((D698+E698)*C698-G698)&lt;='Assumptions and Catalog'!$C$57,((D698+E698)*C698-G698)*'Assumptions and Catalog'!$H$57+'Assumptions and Catalog'!$E$57+'Assumptions and Catalog'!$F$57,"Out of range")))))))),IF(((D698+E698)*C698-G698)&lt;='Assumptions and Catalog'!$C$60,((D698+E698)*C698-G698)*'Assumptions and Catalog'!$H$60+'Assumptions and Catalog'!$E$60+'Assumptions and Catalog'!$F$60,IF(((D698+E698)*C698-G698)&lt;='Assumptions and Catalog'!$C$61,((D698+E698)*C698-G698)*'Assumptions and Catalog'!$H$61+'Assumptions and Catalog'!$E$61+'Assumptions and Catalog'!$F$61,IF(((D698+E698)*C698-G698)&lt;='Assumptions and Catalog'!$C$62,((D698+E698)*C698-G698)*'Assumptions and Catalog'!$H$62+'Assumptions and Catalog'!$E$62+'Assumptions and Catalog'!$F$62,IF(((D698+E698)*C698-G698)&lt;='Assumptions and Catalog'!$C$63,((D698+E698)*C698-G698)*'Assumptions and Catalog'!$H$63+'Assumptions and Catalog'!$E$63+'Assumptions and Catalog'!$F$63,IF(((D698+E698)*C698-G698)&lt;='Assumptions and Catalog'!$C$64,((D698+E698)*C698-G698)*'Assumptions and Catalog'!$H$64+'Assumptions and Catalog'!$E$64+'Assumptions and Catalog'!$F$64,IF(((D698+E698)*C698-G698)&lt;='Assumptions and Catalog'!$C$65,((D698+E698)*C698-G698)*'Assumptions and Catalog'!$H$65+'Assumptions and Catalog'!$E$65+'Assumptions and Catalog'!$F$65,"Out of range")))))))))*(1+'Assumptions and Catalog'!$C$8)^(A698-1),0)</f>
        <v>3226.036</v>
      </c>
      <c r="R698" s="5" t="n">
        <f>IF(AND('Assumptions and Catalog'!$C$19&gt;0,A698&gt;='Assumptions and Catalog'!$C$19),A698-'Assumptions and Catalog'!$C$19,A698-1)</f>
        <v>3</v>
      </c>
      <c r="S698" s="5" t="n">
        <f>F698+L698-(D698+E698)*C698-J698-K698-IF(E$52&gt;0,'Assumptions and Catalog'!$C$26*C698,0)</f>
        <v>-2.8421709430404E-013</v>
      </c>
      <c r="T698" s="5"/>
      <c r="U698" s="5"/>
    </row>
    <row r="699" ht="23.100000381469727" customHeight="1">
      <c r="A699" s="5" t="n">
        <v>4</v>
      </c>
      <c r="B699" s="5" t="n">
        <v>3</v>
      </c>
      <c r="C699" s="5" t="n">
        <f>DAY(DATE('Assumptions and Catalog'!$C$24+A699-1,B699+1,0))</f>
        <v>31</v>
      </c>
      <c r="D699" s="5" t="n">
        <f>IF(ISNUMBER(Inputs!$L$5),Inputs!$L$5*Inputs!$L$6,0)</f>
        <v>40.35</v>
      </c>
      <c r="E699" s="5" t="n">
        <f>IF(ISNUMBER(Inputs!$L$5),Inputs!$L$5-D699,0)</f>
        <v>40.35</v>
      </c>
      <c r="F699" s="5" t="n">
        <f>E$51*INDEX('Solar Production'!$D$20:$D$31,B699)*C699*(1-'Assumptions and Catalog'!$C$10)^(A699-1)</f>
        <v>1745.2177530425</v>
      </c>
      <c r="G699" s="5" t="n">
        <f>MIN(F699,D699*C699)</f>
        <v>1250.85</v>
      </c>
      <c r="H699" s="5" t="n">
        <f>I699/('Assumptions and Catalog'!$C$11*'Assumptions and Catalog'!$C$12)</f>
        <v>306.432808697436</v>
      </c>
      <c r="I699" s="5" t="n">
        <f>MIN(E699*C699,P699*'Assumptions and Catalog'!$C$12*C699,(F699-G699)*'Assumptions and Catalog'!$C$11*'Assumptions and Catalog'!$C$12,E$56*'Assumptions and Catalog'!$C$14*'Assumptions and Catalog'!$C$11*'Assumptions and Catalog'!$C$12*C699,E$57*(24-'Assumptions and Catalog'!$C$13)*C699)</f>
        <v>291.302688768</v>
      </c>
      <c r="J699" s="5" t="n">
        <f>MAX(F699-G699-H699,0)</f>
        <v>187.934944345064</v>
      </c>
      <c r="K699" s="5" t="n">
        <f>H699-I699</f>
        <v>15.1301199294359</v>
      </c>
      <c r="L699" s="5" t="n">
        <f>(D699+E699)*C699-G699-I699+0+IF(E$52&gt;0,'Assumptions and Catalog'!$C$26*C699,0)</f>
        <v>959.547311232</v>
      </c>
      <c r="M699" s="5" t="n">
        <f>IF(ISNUMBER(Inputs!$L$5),(IF(Inputs!$L$9="Actual flat rate",((D699+E699)*C699)*Inputs!$L$10,IF(Inputs!$C$9="Residential",IF(((D699+E699)*C699)&lt;='Assumptions and Catalog'!$C$50,((D699+E699)*C699)*'Assumptions and Catalog'!$H$50+'Assumptions and Catalog'!$E$50+'Assumptions and Catalog'!$F$50,IF(((D699+E699)*C699)&lt;='Assumptions and Catalog'!$C$51,((D699+E699)*C699)*'Assumptions and Catalog'!$H$51+'Assumptions and Catalog'!$E$51+'Assumptions and Catalog'!$F$51,IF(((D699+E699)*C699)&lt;='Assumptions and Catalog'!$C$52,((D699+E699)*C699)*'Assumptions and Catalog'!$H$52+'Assumptions and Catalog'!$E$52+'Assumptions and Catalog'!$F$52,IF(((D699+E699)*C699)&lt;='Assumptions and Catalog'!$C$53,((D699+E699)*C699)*'Assumptions and Catalog'!$H$53+'Assumptions and Catalog'!$E$53+'Assumptions and Catalog'!$F$53,IF(((D699+E699)*C699)&lt;='Assumptions and Catalog'!$C$54,((D699+E699)*C699)*'Assumptions and Catalog'!$H$54+'Assumptions and Catalog'!$E$54+'Assumptions and Catalog'!$F$54,IF(((D699+E699)*C699)&lt;='Assumptions and Catalog'!$C$55,((D699+E699)*C699)*'Assumptions and Catalog'!$H$55+'Assumptions and Catalog'!$E$55+'Assumptions and Catalog'!$F$55,IF(((D699+E699)*C699)&lt;='Assumptions and Catalog'!$C$56,((D699+E699)*C699)*'Assumptions and Catalog'!$H$56+'Assumptions and Catalog'!$E$56+'Assumptions and Catalog'!$F$56,IF(((D699+E699)*C699)&lt;='Assumptions and Catalog'!$C$57,((D699+E699)*C699)*'Assumptions and Catalog'!$H$57+'Assumptions and Catalog'!$E$57+'Assumptions and Catalog'!$F$57,"Out of range")))))))),IF(((D699+E699)*C699)&lt;='Assumptions and Catalog'!$C$60,((D699+E699)*C699)*'Assumptions and Catalog'!$H$60+'Assumptions and Catalog'!$E$60+'Assumptions and Catalog'!$F$60,IF(((D699+E699)*C699)&lt;='Assumptions and Catalog'!$C$61,((D699+E699)*C699)*'Assumptions and Catalog'!$H$61+'Assumptions and Catalog'!$E$61+'Assumptions and Catalog'!$F$61,IF(((D699+E699)*C699)&lt;='Assumptions and Catalog'!$C$62,((D699+E699)*C699)*'Assumptions and Catalog'!$H$62+'Assumptions and Catalog'!$E$62+'Assumptions and Catalog'!$F$62,IF(((D699+E699)*C699)&lt;='Assumptions and Catalog'!$C$63,((D699+E699)*C699)*'Assumptions and Catalog'!$H$63+'Assumptions and Catalog'!$E$63+'Assumptions and Catalog'!$F$63,IF(((D699+E699)*C699)&lt;='Assumptions and Catalog'!$C$64,((D699+E699)*C699)*'Assumptions and Catalog'!$H$64+'Assumptions and Catalog'!$E$64+'Assumptions and Catalog'!$F$64,IF(((D699+E699)*C699)&lt;='Assumptions and Catalog'!$C$65,((D699+E699)*C699)*'Assumptions and Catalog'!$H$65+'Assumptions and Catalog'!$E$65+'Assumptions and Catalog'!$F$65,"Out of range")))))))))*(1+'Assumptions and Catalog'!$C$8)^(A699-1),0)</f>
        <v>7094.794</v>
      </c>
      <c r="N699" s="5" t="n">
        <f>IF(ISNUMBER(Inputs!$L$5),(IF(Inputs!$L$9="Actual flat rate",L699*Inputs!$L$10,IF(Inputs!$C$9="Residential",IF(L699&lt;='Assumptions and Catalog'!$C$50,L699*'Assumptions and Catalog'!$H$50+'Assumptions and Catalog'!$E$50+'Assumptions and Catalog'!$F$50,IF(L699&lt;='Assumptions and Catalog'!$C$51,L699*'Assumptions and Catalog'!$H$51+'Assumptions and Catalog'!$E$51+'Assumptions and Catalog'!$F$51,IF(L699&lt;='Assumptions and Catalog'!$C$52,L699*'Assumptions and Catalog'!$H$52+'Assumptions and Catalog'!$E$52+'Assumptions and Catalog'!$F$52,IF(L699&lt;='Assumptions and Catalog'!$C$53,L699*'Assumptions and Catalog'!$H$53+'Assumptions and Catalog'!$E$53+'Assumptions and Catalog'!$F$53,IF(L699&lt;='Assumptions and Catalog'!$C$54,L699*'Assumptions and Catalog'!$H$54+'Assumptions and Catalog'!$E$54+'Assumptions and Catalog'!$F$54,IF(L699&lt;='Assumptions and Catalog'!$C$55,L699*'Assumptions and Catalog'!$H$55+'Assumptions and Catalog'!$E$55+'Assumptions and Catalog'!$F$55,IF(L699&lt;='Assumptions and Catalog'!$C$56,L699*'Assumptions and Catalog'!$H$56+'Assumptions and Catalog'!$E$56+'Assumptions and Catalog'!$F$56,IF(L699&lt;='Assumptions and Catalog'!$C$57,L699*'Assumptions and Catalog'!$H$57+'Assumptions and Catalog'!$E$57+'Assumptions and Catalog'!$F$57,"Out of range")))))))),IF(L699&lt;='Assumptions and Catalog'!$C$60,L699*'Assumptions and Catalog'!$H$60+'Assumptions and Catalog'!$E$60+'Assumptions and Catalog'!$F$60,IF(L699&lt;='Assumptions and Catalog'!$C$61,L699*'Assumptions and Catalog'!$H$61+'Assumptions and Catalog'!$E$61+'Assumptions and Catalog'!$F$61,IF(L699&lt;='Assumptions and Catalog'!$C$62,L699*'Assumptions and Catalog'!$H$62+'Assumptions and Catalog'!$E$62+'Assumptions and Catalog'!$F$62,IF(L699&lt;='Assumptions and Catalog'!$C$63,L699*'Assumptions and Catalog'!$H$63+'Assumptions and Catalog'!$E$63+'Assumptions and Catalog'!$F$63,IF(L699&lt;='Assumptions and Catalog'!$C$64,L699*'Assumptions and Catalog'!$H$64+'Assumptions and Catalog'!$E$64+'Assumptions and Catalog'!$F$64,IF(L699&lt;='Assumptions and Catalog'!$C$65,L699*'Assumptions and Catalog'!$H$65+'Assumptions and Catalog'!$E$65+'Assumptions and Catalog'!$F$65,"Out of range")))))))))*(1+'Assumptions and Catalog'!$C$8)^(A699-1),0)</f>
        <v>2622.94605211264</v>
      </c>
      <c r="O699" s="5" t="n">
        <f>M699-N699</f>
        <v>4471.84794788736</v>
      </c>
      <c r="P699" s="5" t="n">
        <f>E$55*(1-L$14)*(1-'Assumptions and Catalog'!$C$23)^R699</f>
        <v>9.63780608</v>
      </c>
      <c r="Q699" s="5" t="n">
        <f>IF(ISNUMBER(Inputs!$L$5),(IF(Inputs!$L$9="Actual flat rate",((D699+E699)*C699-G699)*Inputs!$L$10,IF(Inputs!$C$9="Residential",IF(((D699+E699)*C699-G699)&lt;='Assumptions and Catalog'!$C$50,((D699+E699)*C699-G699)*'Assumptions and Catalog'!$H$50+'Assumptions and Catalog'!$E$50+'Assumptions and Catalog'!$F$50,IF(((D699+E699)*C699-G699)&lt;='Assumptions and Catalog'!$C$51,((D699+E699)*C699-G699)*'Assumptions and Catalog'!$H$51+'Assumptions and Catalog'!$E$51+'Assumptions and Catalog'!$F$51,IF(((D699+E699)*C699-G699)&lt;='Assumptions and Catalog'!$C$52,((D699+E699)*C699-G699)*'Assumptions and Catalog'!$H$52+'Assumptions and Catalog'!$E$52+'Assumptions and Catalog'!$F$52,IF(((D699+E699)*C699-G699)&lt;='Assumptions and Catalog'!$C$53,((D699+E699)*C699-G699)*'Assumptions and Catalog'!$H$53+'Assumptions and Catalog'!$E$53+'Assumptions and Catalog'!$F$53,IF(((D699+E699)*C699-G699)&lt;='Assumptions and Catalog'!$C$54,((D699+E699)*C699-G699)*'Assumptions and Catalog'!$H$54+'Assumptions and Catalog'!$E$54+'Assumptions and Catalog'!$F$54,IF(((D699+E699)*C699-G699)&lt;='Assumptions and Catalog'!$C$55,((D699+E699)*C699-G699)*'Assumptions and Catalog'!$H$55+'Assumptions and Catalog'!$E$55+'Assumptions and Catalog'!$F$55,IF(((D699+E699)*C699-G699)&lt;='Assumptions and Catalog'!$C$56,((D699+E699)*C699-G699)*'Assumptions and Catalog'!$H$56+'Assumptions and Catalog'!$E$56+'Assumptions and Catalog'!$F$56,IF(((D699+E699)*C699-G699)&lt;='Assumptions and Catalog'!$C$57,((D699+E699)*C699-G699)*'Assumptions and Catalog'!$H$57+'Assumptions and Catalog'!$E$57+'Assumptions and Catalog'!$F$57,"Out of range")))))))),IF(((D699+E699)*C699-G699)&lt;='Assumptions and Catalog'!$C$60,((D699+E699)*C699-G699)*'Assumptions and Catalog'!$H$60+'Assumptions and Catalog'!$E$60+'Assumptions and Catalog'!$F$60,IF(((D699+E699)*C699-G699)&lt;='Assumptions and Catalog'!$C$61,((D699+E699)*C699-G699)*'Assumptions and Catalog'!$H$61+'Assumptions and Catalog'!$E$61+'Assumptions and Catalog'!$F$61,IF(((D699+E699)*C699-G699)&lt;='Assumptions and Catalog'!$C$62,((D699+E699)*C699-G699)*'Assumptions and Catalog'!$H$62+'Assumptions and Catalog'!$E$62+'Assumptions and Catalog'!$F$62,IF(((D699+E699)*C699-G699)&lt;='Assumptions and Catalog'!$C$63,((D699+E699)*C699-G699)*'Assumptions and Catalog'!$H$63+'Assumptions and Catalog'!$E$63+'Assumptions and Catalog'!$F$63,IF(((D699+E699)*C699-G699)&lt;='Assumptions and Catalog'!$C$64,((D699+E699)*C699-G699)*'Assumptions and Catalog'!$H$64+'Assumptions and Catalog'!$E$64+'Assumptions and Catalog'!$F$64,IF(((D699+E699)*C699-G699)&lt;='Assumptions and Catalog'!$C$65,((D699+E699)*C699-G699)*'Assumptions and Catalog'!$H$65+'Assumptions and Catalog'!$E$65+'Assumptions and Catalog'!$F$65,"Out of range")))))))))*(1+'Assumptions and Catalog'!$C$8)^(A699-1),0)</f>
        <v>3567.397</v>
      </c>
      <c r="R699" s="5" t="n">
        <f>IF(AND('Assumptions and Catalog'!$C$19&gt;0,A699&gt;='Assumptions and Catalog'!$C$19),A699-'Assumptions and Catalog'!$C$19,A699-1)</f>
        <v>3</v>
      </c>
      <c r="S699" s="5" t="n">
        <f>F699+L699-(D699+E699)*C699-J699-K699-IF(E$52&gt;0,'Assumptions and Catalog'!$C$26*C699,0)</f>
        <v>1.70530256582424E-013</v>
      </c>
      <c r="T699" s="5"/>
      <c r="U699" s="5"/>
    </row>
    <row r="700" ht="23.100000381469727" customHeight="1">
      <c r="A700" s="5" t="n">
        <v>4</v>
      </c>
      <c r="B700" s="5" t="n">
        <v>4</v>
      </c>
      <c r="C700" s="5" t="n">
        <f>DAY(DATE('Assumptions and Catalog'!$C$24+A700-1,B700+1,0))</f>
        <v>30</v>
      </c>
      <c r="D700" s="5" t="n">
        <f>IF(ISNUMBER(Inputs!$L$5),Inputs!$L$5*Inputs!$L$6,0)</f>
        <v>40.35</v>
      </c>
      <c r="E700" s="5" t="n">
        <f>IF(ISNUMBER(Inputs!$L$5),Inputs!$L$5-D700,0)</f>
        <v>40.35</v>
      </c>
      <c r="F700" s="5" t="n">
        <f>E$51*INDEX('Solar Production'!$D$20:$D$31,B700)*C700*(1-'Assumptions and Catalog'!$C$10)^(A700-1)</f>
        <v>1743.0505883175</v>
      </c>
      <c r="G700" s="5" t="n">
        <f>MIN(F700,D700*C700)</f>
        <v>1210.5</v>
      </c>
      <c r="H700" s="5" t="n">
        <f>I700/('Assumptions and Catalog'!$C$11*'Assumptions and Catalog'!$C$12)</f>
        <v>296.547879384615</v>
      </c>
      <c r="I700" s="5" t="n">
        <f>MIN(E700*C700,P700*'Assumptions and Catalog'!$C$12*C700,(F700-G700)*'Assumptions and Catalog'!$C$11*'Assumptions and Catalog'!$C$12,E$56*'Assumptions and Catalog'!$C$14*'Assumptions and Catalog'!$C$11*'Assumptions and Catalog'!$C$12*C700,E$57*(24-'Assumptions and Catalog'!$C$13)*C700)</f>
        <v>281.90582784</v>
      </c>
      <c r="J700" s="5" t="n">
        <f>MAX(F700-G700-H700,0)</f>
        <v>236.002708932885</v>
      </c>
      <c r="K700" s="5" t="n">
        <f>H700-I700</f>
        <v>14.6420515446154</v>
      </c>
      <c r="L700" s="5" t="n">
        <f>(D700+E700)*C700-G700-I700+0+IF(E$52&gt;0,'Assumptions and Catalog'!$C$26*C700,0)</f>
        <v>928.59417216</v>
      </c>
      <c r="M700" s="5" t="n">
        <f>IF(ISNUMBER(Inputs!$L$5),(IF(Inputs!$L$9="Actual flat rate",((D700+E700)*C700)*Inputs!$L$10,IF(Inputs!$C$9="Residential",IF(((D700+E700)*C700)&lt;='Assumptions and Catalog'!$C$50,((D700+E700)*C700)*'Assumptions and Catalog'!$H$50+'Assumptions and Catalog'!$E$50+'Assumptions and Catalog'!$F$50,IF(((D700+E700)*C700)&lt;='Assumptions and Catalog'!$C$51,((D700+E700)*C700)*'Assumptions and Catalog'!$H$51+'Assumptions and Catalog'!$E$51+'Assumptions and Catalog'!$F$51,IF(((D700+E700)*C700)&lt;='Assumptions and Catalog'!$C$52,((D700+E700)*C700)*'Assumptions and Catalog'!$H$52+'Assumptions and Catalog'!$E$52+'Assumptions and Catalog'!$F$52,IF(((D700+E700)*C700)&lt;='Assumptions and Catalog'!$C$53,((D700+E700)*C700)*'Assumptions and Catalog'!$H$53+'Assumptions and Catalog'!$E$53+'Assumptions and Catalog'!$F$53,IF(((D700+E700)*C700)&lt;='Assumptions and Catalog'!$C$54,((D700+E700)*C700)*'Assumptions and Catalog'!$H$54+'Assumptions and Catalog'!$E$54+'Assumptions and Catalog'!$F$54,IF(((D700+E700)*C700)&lt;='Assumptions and Catalog'!$C$55,((D700+E700)*C700)*'Assumptions and Catalog'!$H$55+'Assumptions and Catalog'!$E$55+'Assumptions and Catalog'!$F$55,IF(((D700+E700)*C700)&lt;='Assumptions and Catalog'!$C$56,((D700+E700)*C700)*'Assumptions and Catalog'!$H$56+'Assumptions and Catalog'!$E$56+'Assumptions and Catalog'!$F$56,IF(((D700+E700)*C700)&lt;='Assumptions and Catalog'!$C$57,((D700+E700)*C700)*'Assumptions and Catalog'!$H$57+'Assumptions and Catalog'!$E$57+'Assumptions and Catalog'!$F$57,"Out of range")))))))),IF(((D700+E700)*C700)&lt;='Assumptions and Catalog'!$C$60,((D700+E700)*C700)*'Assumptions and Catalog'!$H$60+'Assumptions and Catalog'!$E$60+'Assumptions and Catalog'!$F$60,IF(((D700+E700)*C700)&lt;='Assumptions and Catalog'!$C$61,((D700+E700)*C700)*'Assumptions and Catalog'!$H$61+'Assumptions and Catalog'!$E$61+'Assumptions and Catalog'!$F$61,IF(((D700+E700)*C700)&lt;='Assumptions and Catalog'!$C$62,((D700+E700)*C700)*'Assumptions and Catalog'!$H$62+'Assumptions and Catalog'!$E$62+'Assumptions and Catalog'!$F$62,IF(((D700+E700)*C700)&lt;='Assumptions and Catalog'!$C$63,((D700+E700)*C700)*'Assumptions and Catalog'!$H$63+'Assumptions and Catalog'!$E$63+'Assumptions and Catalog'!$F$63,IF(((D700+E700)*C700)&lt;='Assumptions and Catalog'!$C$64,((D700+E700)*C700)*'Assumptions and Catalog'!$H$64+'Assumptions and Catalog'!$E$64+'Assumptions and Catalog'!$F$64,IF(((D700+E700)*C700)&lt;='Assumptions and Catalog'!$C$65,((D700+E700)*C700)*'Assumptions and Catalog'!$H$65+'Assumptions and Catalog'!$E$65+'Assumptions and Catalog'!$F$65,"Out of range")))))))))*(1+'Assumptions and Catalog'!$C$8)^(A700-1),0)</f>
        <v>6867.22</v>
      </c>
      <c r="N700" s="5" t="n">
        <f>IF(ISNUMBER(Inputs!$L$5),(IF(Inputs!$L$9="Actual flat rate",L700*Inputs!$L$10,IF(Inputs!$C$9="Residential",IF(L700&lt;='Assumptions and Catalog'!$C$50,L700*'Assumptions and Catalog'!$H$50+'Assumptions and Catalog'!$E$50+'Assumptions and Catalog'!$F$50,IF(L700&lt;='Assumptions and Catalog'!$C$51,L700*'Assumptions and Catalog'!$H$51+'Assumptions and Catalog'!$E$51+'Assumptions and Catalog'!$F$51,IF(L700&lt;='Assumptions and Catalog'!$C$52,L700*'Assumptions and Catalog'!$H$52+'Assumptions and Catalog'!$E$52+'Assumptions and Catalog'!$F$52,IF(L700&lt;='Assumptions and Catalog'!$C$53,L700*'Assumptions and Catalog'!$H$53+'Assumptions and Catalog'!$E$53+'Assumptions and Catalog'!$F$53,IF(L700&lt;='Assumptions and Catalog'!$C$54,L700*'Assumptions and Catalog'!$H$54+'Assumptions and Catalog'!$E$54+'Assumptions and Catalog'!$F$54,IF(L700&lt;='Assumptions and Catalog'!$C$55,L700*'Assumptions and Catalog'!$H$55+'Assumptions and Catalog'!$E$55+'Assumptions and Catalog'!$F$55,IF(L700&lt;='Assumptions and Catalog'!$C$56,L700*'Assumptions and Catalog'!$H$56+'Assumptions and Catalog'!$E$56+'Assumptions and Catalog'!$F$56,IF(L700&lt;='Assumptions and Catalog'!$C$57,L700*'Assumptions and Catalog'!$H$57+'Assumptions and Catalog'!$E$57+'Assumptions and Catalog'!$F$57,"Out of range")))))))),IF(L700&lt;='Assumptions and Catalog'!$C$60,L700*'Assumptions and Catalog'!$H$60+'Assumptions and Catalog'!$E$60+'Assumptions and Catalog'!$F$60,IF(L700&lt;='Assumptions and Catalog'!$C$61,L700*'Assumptions and Catalog'!$H$61+'Assumptions and Catalog'!$E$61+'Assumptions and Catalog'!$F$61,IF(L700&lt;='Assumptions and Catalog'!$C$62,L700*'Assumptions and Catalog'!$H$62+'Assumptions and Catalog'!$E$62+'Assumptions and Catalog'!$F$62,IF(L700&lt;='Assumptions and Catalog'!$C$63,L700*'Assumptions and Catalog'!$H$63+'Assumptions and Catalog'!$E$63+'Assumptions and Catalog'!$F$63,IF(L700&lt;='Assumptions and Catalog'!$C$64,L700*'Assumptions and Catalog'!$H$64+'Assumptions and Catalog'!$E$64+'Assumptions and Catalog'!$F$64,IF(L700&lt;='Assumptions and Catalog'!$C$65,L700*'Assumptions and Catalog'!$H$65+'Assumptions and Catalog'!$E$65+'Assumptions and Catalog'!$F$65,"Out of range")))))))))*(1+'Assumptions and Catalog'!$C$8)^(A700-1),0)</f>
        <v>2537.2058568832</v>
      </c>
      <c r="O700" s="5" t="n">
        <f>M700-N700</f>
        <v>4330.0141431168</v>
      </c>
      <c r="P700" s="5" t="n">
        <f>E$55*(1-L$14)*(1-'Assumptions and Catalog'!$C$23)^R700</f>
        <v>9.63780608</v>
      </c>
      <c r="Q700" s="5" t="n">
        <f>IF(ISNUMBER(Inputs!$L$5),(IF(Inputs!$L$9="Actual flat rate",((D700+E700)*C700-G700)*Inputs!$L$10,IF(Inputs!$C$9="Residential",IF(((D700+E700)*C700-G700)&lt;='Assumptions and Catalog'!$C$50,((D700+E700)*C700-G700)*'Assumptions and Catalog'!$H$50+'Assumptions and Catalog'!$E$50+'Assumptions and Catalog'!$F$50,IF(((D700+E700)*C700-G700)&lt;='Assumptions and Catalog'!$C$51,((D700+E700)*C700-G700)*'Assumptions and Catalog'!$H$51+'Assumptions and Catalog'!$E$51+'Assumptions and Catalog'!$F$51,IF(((D700+E700)*C700-G700)&lt;='Assumptions and Catalog'!$C$52,((D700+E700)*C700-G700)*'Assumptions and Catalog'!$H$52+'Assumptions and Catalog'!$E$52+'Assumptions and Catalog'!$F$52,IF(((D700+E700)*C700-G700)&lt;='Assumptions and Catalog'!$C$53,((D700+E700)*C700-G700)*'Assumptions and Catalog'!$H$53+'Assumptions and Catalog'!$E$53+'Assumptions and Catalog'!$F$53,IF(((D700+E700)*C700-G700)&lt;='Assumptions and Catalog'!$C$54,((D700+E700)*C700-G700)*'Assumptions and Catalog'!$H$54+'Assumptions and Catalog'!$E$54+'Assumptions and Catalog'!$F$54,IF(((D700+E700)*C700-G700)&lt;='Assumptions and Catalog'!$C$55,((D700+E700)*C700-G700)*'Assumptions and Catalog'!$H$55+'Assumptions and Catalog'!$E$55+'Assumptions and Catalog'!$F$55,IF(((D700+E700)*C700-G700)&lt;='Assumptions and Catalog'!$C$56,((D700+E700)*C700-G700)*'Assumptions and Catalog'!$H$56+'Assumptions and Catalog'!$E$56+'Assumptions and Catalog'!$F$56,IF(((D700+E700)*C700-G700)&lt;='Assumptions and Catalog'!$C$57,((D700+E700)*C700-G700)*'Assumptions and Catalog'!$H$57+'Assumptions and Catalog'!$E$57+'Assumptions and Catalog'!$F$57,"Out of range")))))))),IF(((D700+E700)*C700-G700)&lt;='Assumptions and Catalog'!$C$60,((D700+E700)*C700-G700)*'Assumptions and Catalog'!$H$60+'Assumptions and Catalog'!$E$60+'Assumptions and Catalog'!$F$60,IF(((D700+E700)*C700-G700)&lt;='Assumptions and Catalog'!$C$61,((D700+E700)*C700-G700)*'Assumptions and Catalog'!$H$61+'Assumptions and Catalog'!$E$61+'Assumptions and Catalog'!$F$61,IF(((D700+E700)*C700-G700)&lt;='Assumptions and Catalog'!$C$62,((D700+E700)*C700-G700)*'Assumptions and Catalog'!$H$62+'Assumptions and Catalog'!$E$62+'Assumptions and Catalog'!$F$62,IF(((D700+E700)*C700-G700)&lt;='Assumptions and Catalog'!$C$63,((D700+E700)*C700-G700)*'Assumptions and Catalog'!$H$63+'Assumptions and Catalog'!$E$63+'Assumptions and Catalog'!$F$63,IF(((D700+E700)*C700-G700)&lt;='Assumptions and Catalog'!$C$64,((D700+E700)*C700-G700)*'Assumptions and Catalog'!$H$64+'Assumptions and Catalog'!$E$64+'Assumptions and Catalog'!$F$64,IF(((D700+E700)*C700-G700)&lt;='Assumptions and Catalog'!$C$65,((D700+E700)*C700-G700)*'Assumptions and Catalog'!$H$65+'Assumptions and Catalog'!$E$65+'Assumptions and Catalog'!$F$65,"Out of range")))))))))*(1+'Assumptions and Catalog'!$C$8)^(A700-1),0)</f>
        <v>3453.61</v>
      </c>
      <c r="R700" s="5" t="n">
        <f>IF(AND('Assumptions and Catalog'!$C$19&gt;0,A700&gt;='Assumptions and Catalog'!$C$19),A700-'Assumptions and Catalog'!$C$19,A700-1)</f>
        <v>3</v>
      </c>
      <c r="S700" s="5" t="n">
        <f>F700+L700-(D700+E700)*C700-J700-K700-IF(E$52&gt;0,'Assumptions and Catalog'!$C$26*C700,0)</f>
        <v>2.27373675443232E-013</v>
      </c>
      <c r="T700" s="5"/>
      <c r="U700" s="5"/>
    </row>
    <row r="701" ht="23.100000381469727" customHeight="1">
      <c r="A701" s="5" t="n">
        <v>4</v>
      </c>
      <c r="B701" s="5" t="n">
        <v>5</v>
      </c>
      <c r="C701" s="5" t="n">
        <f>DAY(DATE('Assumptions and Catalog'!$C$24+A701-1,B701+1,0))</f>
        <v>31</v>
      </c>
      <c r="D701" s="5" t="n">
        <f>IF(ISNUMBER(Inputs!$L$5),Inputs!$L$5*Inputs!$L$6,0)</f>
        <v>40.35</v>
      </c>
      <c r="E701" s="5" t="n">
        <f>IF(ISNUMBER(Inputs!$L$5),Inputs!$L$5-D701,0)</f>
        <v>40.35</v>
      </c>
      <c r="F701" s="5" t="n">
        <f>E$51*INDEX('Solar Production'!$D$20:$D$31,B701)*C701*(1-'Assumptions and Catalog'!$C$10)^(A701-1)</f>
        <v>1763.20522026</v>
      </c>
      <c r="G701" s="5" t="n">
        <f>MIN(F701,D701*C701)</f>
        <v>1250.85</v>
      </c>
      <c r="H701" s="5" t="n">
        <f>I701/('Assumptions and Catalog'!$C$11*'Assumptions and Catalog'!$C$12)</f>
        <v>306.432808697436</v>
      </c>
      <c r="I701" s="5" t="n">
        <f>MIN(E701*C701,P701*'Assumptions and Catalog'!$C$12*C701,(F701-G701)*'Assumptions and Catalog'!$C$11*'Assumptions and Catalog'!$C$12,E$56*'Assumptions and Catalog'!$C$14*'Assumptions and Catalog'!$C$11*'Assumptions and Catalog'!$C$12*C701,E$57*(24-'Assumptions and Catalog'!$C$13)*C701)</f>
        <v>291.302688768</v>
      </c>
      <c r="J701" s="5" t="n">
        <f>MAX(F701-G701-H701,0)</f>
        <v>205.922411562564</v>
      </c>
      <c r="K701" s="5" t="n">
        <f>H701-I701</f>
        <v>15.1301199294359</v>
      </c>
      <c r="L701" s="5" t="n">
        <f>(D701+E701)*C701-G701-I701+0+IF(E$52&gt;0,'Assumptions and Catalog'!$C$26*C701,0)</f>
        <v>959.547311232</v>
      </c>
      <c r="M701" s="5" t="n">
        <f>IF(ISNUMBER(Inputs!$L$5),(IF(Inputs!$L$9="Actual flat rate",((D701+E701)*C701)*Inputs!$L$10,IF(Inputs!$C$9="Residential",IF(((D701+E701)*C701)&lt;='Assumptions and Catalog'!$C$50,((D701+E701)*C701)*'Assumptions and Catalog'!$H$50+'Assumptions and Catalog'!$E$50+'Assumptions and Catalog'!$F$50,IF(((D701+E701)*C701)&lt;='Assumptions and Catalog'!$C$51,((D701+E701)*C701)*'Assumptions and Catalog'!$H$51+'Assumptions and Catalog'!$E$51+'Assumptions and Catalog'!$F$51,IF(((D701+E701)*C701)&lt;='Assumptions and Catalog'!$C$52,((D701+E701)*C701)*'Assumptions and Catalog'!$H$52+'Assumptions and Catalog'!$E$52+'Assumptions and Catalog'!$F$52,IF(((D701+E701)*C701)&lt;='Assumptions and Catalog'!$C$53,((D701+E701)*C701)*'Assumptions and Catalog'!$H$53+'Assumptions and Catalog'!$E$53+'Assumptions and Catalog'!$F$53,IF(((D701+E701)*C701)&lt;='Assumptions and Catalog'!$C$54,((D701+E701)*C701)*'Assumptions and Catalog'!$H$54+'Assumptions and Catalog'!$E$54+'Assumptions and Catalog'!$F$54,IF(((D701+E701)*C701)&lt;='Assumptions and Catalog'!$C$55,((D701+E701)*C701)*'Assumptions and Catalog'!$H$55+'Assumptions and Catalog'!$E$55+'Assumptions and Catalog'!$F$55,IF(((D701+E701)*C701)&lt;='Assumptions and Catalog'!$C$56,((D701+E701)*C701)*'Assumptions and Catalog'!$H$56+'Assumptions and Catalog'!$E$56+'Assumptions and Catalog'!$F$56,IF(((D701+E701)*C701)&lt;='Assumptions and Catalog'!$C$57,((D701+E701)*C701)*'Assumptions and Catalog'!$H$57+'Assumptions and Catalog'!$E$57+'Assumptions and Catalog'!$F$57,"Out of range")))))))),IF(((D701+E701)*C701)&lt;='Assumptions and Catalog'!$C$60,((D701+E701)*C701)*'Assumptions and Catalog'!$H$60+'Assumptions and Catalog'!$E$60+'Assumptions and Catalog'!$F$60,IF(((D701+E701)*C701)&lt;='Assumptions and Catalog'!$C$61,((D701+E701)*C701)*'Assumptions and Catalog'!$H$61+'Assumptions and Catalog'!$E$61+'Assumptions and Catalog'!$F$61,IF(((D701+E701)*C701)&lt;='Assumptions and Catalog'!$C$62,((D701+E701)*C701)*'Assumptions and Catalog'!$H$62+'Assumptions and Catalog'!$E$62+'Assumptions and Catalog'!$F$62,IF(((D701+E701)*C701)&lt;='Assumptions and Catalog'!$C$63,((D701+E701)*C701)*'Assumptions and Catalog'!$H$63+'Assumptions and Catalog'!$E$63+'Assumptions and Catalog'!$F$63,IF(((D701+E701)*C701)&lt;='Assumptions and Catalog'!$C$64,((D701+E701)*C701)*'Assumptions and Catalog'!$H$64+'Assumptions and Catalog'!$E$64+'Assumptions and Catalog'!$F$64,IF(((D701+E701)*C701)&lt;='Assumptions and Catalog'!$C$65,((D701+E701)*C701)*'Assumptions and Catalog'!$H$65+'Assumptions and Catalog'!$E$65+'Assumptions and Catalog'!$F$65,"Out of range")))))))))*(1+'Assumptions and Catalog'!$C$8)^(A701-1),0)</f>
        <v>7094.794</v>
      </c>
      <c r="N701" s="5" t="n">
        <f>IF(ISNUMBER(Inputs!$L$5),(IF(Inputs!$L$9="Actual flat rate",L701*Inputs!$L$10,IF(Inputs!$C$9="Residential",IF(L701&lt;='Assumptions and Catalog'!$C$50,L701*'Assumptions and Catalog'!$H$50+'Assumptions and Catalog'!$E$50+'Assumptions and Catalog'!$F$50,IF(L701&lt;='Assumptions and Catalog'!$C$51,L701*'Assumptions and Catalog'!$H$51+'Assumptions and Catalog'!$E$51+'Assumptions and Catalog'!$F$51,IF(L701&lt;='Assumptions and Catalog'!$C$52,L701*'Assumptions and Catalog'!$H$52+'Assumptions and Catalog'!$E$52+'Assumptions and Catalog'!$F$52,IF(L701&lt;='Assumptions and Catalog'!$C$53,L701*'Assumptions and Catalog'!$H$53+'Assumptions and Catalog'!$E$53+'Assumptions and Catalog'!$F$53,IF(L701&lt;='Assumptions and Catalog'!$C$54,L701*'Assumptions and Catalog'!$H$54+'Assumptions and Catalog'!$E$54+'Assumptions and Catalog'!$F$54,IF(L701&lt;='Assumptions and Catalog'!$C$55,L701*'Assumptions and Catalog'!$H$55+'Assumptions and Catalog'!$E$55+'Assumptions and Catalog'!$F$55,IF(L701&lt;='Assumptions and Catalog'!$C$56,L701*'Assumptions and Catalog'!$H$56+'Assumptions and Catalog'!$E$56+'Assumptions and Catalog'!$F$56,IF(L701&lt;='Assumptions and Catalog'!$C$57,L701*'Assumptions and Catalog'!$H$57+'Assumptions and Catalog'!$E$57+'Assumptions and Catalog'!$F$57,"Out of range")))))))),IF(L701&lt;='Assumptions and Catalog'!$C$60,L701*'Assumptions and Catalog'!$H$60+'Assumptions and Catalog'!$E$60+'Assumptions and Catalog'!$F$60,IF(L701&lt;='Assumptions and Catalog'!$C$61,L701*'Assumptions and Catalog'!$H$61+'Assumptions and Catalog'!$E$61+'Assumptions and Catalog'!$F$61,IF(L701&lt;='Assumptions and Catalog'!$C$62,L701*'Assumptions and Catalog'!$H$62+'Assumptions and Catalog'!$E$62+'Assumptions and Catalog'!$F$62,IF(L701&lt;='Assumptions and Catalog'!$C$63,L701*'Assumptions and Catalog'!$H$63+'Assumptions and Catalog'!$E$63+'Assumptions and Catalog'!$F$63,IF(L701&lt;='Assumptions and Catalog'!$C$64,L701*'Assumptions and Catalog'!$H$64+'Assumptions and Catalog'!$E$64+'Assumptions and Catalog'!$F$64,IF(L701&lt;='Assumptions and Catalog'!$C$65,L701*'Assumptions and Catalog'!$H$65+'Assumptions and Catalog'!$E$65+'Assumptions and Catalog'!$F$65,"Out of range")))))))))*(1+'Assumptions and Catalog'!$C$8)^(A701-1),0)</f>
        <v>2622.94605211264</v>
      </c>
      <c r="O701" s="5" t="n">
        <f>M701-N701</f>
        <v>4471.84794788736</v>
      </c>
      <c r="P701" s="5" t="n">
        <f>E$55*(1-L$14)*(1-'Assumptions and Catalog'!$C$23)^R701</f>
        <v>9.63780608</v>
      </c>
      <c r="Q701" s="5" t="n">
        <f>IF(ISNUMBER(Inputs!$L$5),(IF(Inputs!$L$9="Actual flat rate",((D701+E701)*C701-G701)*Inputs!$L$10,IF(Inputs!$C$9="Residential",IF(((D701+E701)*C701-G701)&lt;='Assumptions and Catalog'!$C$50,((D701+E701)*C701-G701)*'Assumptions and Catalog'!$H$50+'Assumptions and Catalog'!$E$50+'Assumptions and Catalog'!$F$50,IF(((D701+E701)*C701-G701)&lt;='Assumptions and Catalog'!$C$51,((D701+E701)*C701-G701)*'Assumptions and Catalog'!$H$51+'Assumptions and Catalog'!$E$51+'Assumptions and Catalog'!$F$51,IF(((D701+E701)*C701-G701)&lt;='Assumptions and Catalog'!$C$52,((D701+E701)*C701-G701)*'Assumptions and Catalog'!$H$52+'Assumptions and Catalog'!$E$52+'Assumptions and Catalog'!$F$52,IF(((D701+E701)*C701-G701)&lt;='Assumptions and Catalog'!$C$53,((D701+E701)*C701-G701)*'Assumptions and Catalog'!$H$53+'Assumptions and Catalog'!$E$53+'Assumptions and Catalog'!$F$53,IF(((D701+E701)*C701-G701)&lt;='Assumptions and Catalog'!$C$54,((D701+E701)*C701-G701)*'Assumptions and Catalog'!$H$54+'Assumptions and Catalog'!$E$54+'Assumptions and Catalog'!$F$54,IF(((D701+E701)*C701-G701)&lt;='Assumptions and Catalog'!$C$55,((D701+E701)*C701-G701)*'Assumptions and Catalog'!$H$55+'Assumptions and Catalog'!$E$55+'Assumptions and Catalog'!$F$55,IF(((D701+E701)*C701-G701)&lt;='Assumptions and Catalog'!$C$56,((D701+E701)*C701-G701)*'Assumptions and Catalog'!$H$56+'Assumptions and Catalog'!$E$56+'Assumptions and Catalog'!$F$56,IF(((D701+E701)*C701-G701)&lt;='Assumptions and Catalog'!$C$57,((D701+E701)*C701-G701)*'Assumptions and Catalog'!$H$57+'Assumptions and Catalog'!$E$57+'Assumptions and Catalog'!$F$57,"Out of range")))))))),IF(((D701+E701)*C701-G701)&lt;='Assumptions and Catalog'!$C$60,((D701+E701)*C701-G701)*'Assumptions and Catalog'!$H$60+'Assumptions and Catalog'!$E$60+'Assumptions and Catalog'!$F$60,IF(((D701+E701)*C701-G701)&lt;='Assumptions and Catalog'!$C$61,((D701+E701)*C701-G701)*'Assumptions and Catalog'!$H$61+'Assumptions and Catalog'!$E$61+'Assumptions and Catalog'!$F$61,IF(((D701+E701)*C701-G701)&lt;='Assumptions and Catalog'!$C$62,((D701+E701)*C701-G701)*'Assumptions and Catalog'!$H$62+'Assumptions and Catalog'!$E$62+'Assumptions and Catalog'!$F$62,IF(((D701+E701)*C701-G701)&lt;='Assumptions and Catalog'!$C$63,((D701+E701)*C701-G701)*'Assumptions and Catalog'!$H$63+'Assumptions and Catalog'!$E$63+'Assumptions and Catalog'!$F$63,IF(((D701+E701)*C701-G701)&lt;='Assumptions and Catalog'!$C$64,((D701+E701)*C701-G701)*'Assumptions and Catalog'!$H$64+'Assumptions and Catalog'!$E$64+'Assumptions and Catalog'!$F$64,IF(((D701+E701)*C701-G701)&lt;='Assumptions and Catalog'!$C$65,((D701+E701)*C701-G701)*'Assumptions and Catalog'!$H$65+'Assumptions and Catalog'!$E$65+'Assumptions and Catalog'!$F$65,"Out of range")))))))))*(1+'Assumptions and Catalog'!$C$8)^(A701-1),0)</f>
        <v>3567.397</v>
      </c>
      <c r="R701" s="5" t="n">
        <f>IF(AND('Assumptions and Catalog'!$C$19&gt;0,A701&gt;='Assumptions and Catalog'!$C$19),A701-'Assumptions and Catalog'!$C$19,A701-1)</f>
        <v>3</v>
      </c>
      <c r="S701" s="5" t="n">
        <f>F701+L701-(D701+E701)*C701-J701-K701-IF(E$52&gt;0,'Assumptions and Catalog'!$C$26*C701,0)</f>
        <v>1.70530256582424E-013</v>
      </c>
      <c r="T701" s="5"/>
      <c r="U701" s="5"/>
    </row>
    <row r="702" ht="23.100000381469727" customHeight="1">
      <c r="A702" s="5" t="n">
        <v>4</v>
      </c>
      <c r="B702" s="5" t="n">
        <v>6</v>
      </c>
      <c r="C702" s="5" t="n">
        <f>DAY(DATE('Assumptions and Catalog'!$C$24+A702-1,B702+1,0))</f>
        <v>30</v>
      </c>
      <c r="D702" s="5" t="n">
        <f>IF(ISNUMBER(Inputs!$L$5),Inputs!$L$5*Inputs!$L$6,0)</f>
        <v>40.35</v>
      </c>
      <c r="E702" s="5" t="n">
        <f>IF(ISNUMBER(Inputs!$L$5),Inputs!$L$5-D702,0)</f>
        <v>40.35</v>
      </c>
      <c r="F702" s="5" t="n">
        <f>E$51*INDEX('Solar Production'!$D$20:$D$31,B702)*C702*(1-'Assumptions and Catalog'!$C$10)^(A702-1)</f>
        <v>1718.7783433975</v>
      </c>
      <c r="G702" s="5" t="n">
        <f>MIN(F702,D702*C702)</f>
        <v>1210.5</v>
      </c>
      <c r="H702" s="5" t="n">
        <f>I702/('Assumptions and Catalog'!$C$11*'Assumptions and Catalog'!$C$12)</f>
        <v>296.547879384615</v>
      </c>
      <c r="I702" s="5" t="n">
        <f>MIN(E702*C702,P702*'Assumptions and Catalog'!$C$12*C702,(F702-G702)*'Assumptions and Catalog'!$C$11*'Assumptions and Catalog'!$C$12,E$56*'Assumptions and Catalog'!$C$14*'Assumptions and Catalog'!$C$11*'Assumptions and Catalog'!$C$12*C702,E$57*(24-'Assumptions and Catalog'!$C$13)*C702)</f>
        <v>281.90582784</v>
      </c>
      <c r="J702" s="5" t="n">
        <f>MAX(F702-G702-H702,0)</f>
        <v>211.730464012885</v>
      </c>
      <c r="K702" s="5" t="n">
        <f>H702-I702</f>
        <v>14.6420515446154</v>
      </c>
      <c r="L702" s="5" t="n">
        <f>(D702+E702)*C702-G702-I702+0+IF(E$52&gt;0,'Assumptions and Catalog'!$C$26*C702,0)</f>
        <v>928.59417216</v>
      </c>
      <c r="M702" s="5" t="n">
        <f>IF(ISNUMBER(Inputs!$L$5),(IF(Inputs!$L$9="Actual flat rate",((D702+E702)*C702)*Inputs!$L$10,IF(Inputs!$C$9="Residential",IF(((D702+E702)*C702)&lt;='Assumptions and Catalog'!$C$50,((D702+E702)*C702)*'Assumptions and Catalog'!$H$50+'Assumptions and Catalog'!$E$50+'Assumptions and Catalog'!$F$50,IF(((D702+E702)*C702)&lt;='Assumptions and Catalog'!$C$51,((D702+E702)*C702)*'Assumptions and Catalog'!$H$51+'Assumptions and Catalog'!$E$51+'Assumptions and Catalog'!$F$51,IF(((D702+E702)*C702)&lt;='Assumptions and Catalog'!$C$52,((D702+E702)*C702)*'Assumptions and Catalog'!$H$52+'Assumptions and Catalog'!$E$52+'Assumptions and Catalog'!$F$52,IF(((D702+E702)*C702)&lt;='Assumptions and Catalog'!$C$53,((D702+E702)*C702)*'Assumptions and Catalog'!$H$53+'Assumptions and Catalog'!$E$53+'Assumptions and Catalog'!$F$53,IF(((D702+E702)*C702)&lt;='Assumptions and Catalog'!$C$54,((D702+E702)*C702)*'Assumptions and Catalog'!$H$54+'Assumptions and Catalog'!$E$54+'Assumptions and Catalog'!$F$54,IF(((D702+E702)*C702)&lt;='Assumptions and Catalog'!$C$55,((D702+E702)*C702)*'Assumptions and Catalog'!$H$55+'Assumptions and Catalog'!$E$55+'Assumptions and Catalog'!$F$55,IF(((D702+E702)*C702)&lt;='Assumptions and Catalog'!$C$56,((D702+E702)*C702)*'Assumptions and Catalog'!$H$56+'Assumptions and Catalog'!$E$56+'Assumptions and Catalog'!$F$56,IF(((D702+E702)*C702)&lt;='Assumptions and Catalog'!$C$57,((D702+E702)*C702)*'Assumptions and Catalog'!$H$57+'Assumptions and Catalog'!$E$57+'Assumptions and Catalog'!$F$57,"Out of range")))))))),IF(((D702+E702)*C702)&lt;='Assumptions and Catalog'!$C$60,((D702+E702)*C702)*'Assumptions and Catalog'!$H$60+'Assumptions and Catalog'!$E$60+'Assumptions and Catalog'!$F$60,IF(((D702+E702)*C702)&lt;='Assumptions and Catalog'!$C$61,((D702+E702)*C702)*'Assumptions and Catalog'!$H$61+'Assumptions and Catalog'!$E$61+'Assumptions and Catalog'!$F$61,IF(((D702+E702)*C702)&lt;='Assumptions and Catalog'!$C$62,((D702+E702)*C702)*'Assumptions and Catalog'!$H$62+'Assumptions and Catalog'!$E$62+'Assumptions and Catalog'!$F$62,IF(((D702+E702)*C702)&lt;='Assumptions and Catalog'!$C$63,((D702+E702)*C702)*'Assumptions and Catalog'!$H$63+'Assumptions and Catalog'!$E$63+'Assumptions and Catalog'!$F$63,IF(((D702+E702)*C702)&lt;='Assumptions and Catalog'!$C$64,((D702+E702)*C702)*'Assumptions and Catalog'!$H$64+'Assumptions and Catalog'!$E$64+'Assumptions and Catalog'!$F$64,IF(((D702+E702)*C702)&lt;='Assumptions and Catalog'!$C$65,((D702+E702)*C702)*'Assumptions and Catalog'!$H$65+'Assumptions and Catalog'!$E$65+'Assumptions and Catalog'!$F$65,"Out of range")))))))))*(1+'Assumptions and Catalog'!$C$8)^(A702-1),0)</f>
        <v>6867.22</v>
      </c>
      <c r="N702" s="5" t="n">
        <f>IF(ISNUMBER(Inputs!$L$5),(IF(Inputs!$L$9="Actual flat rate",L702*Inputs!$L$10,IF(Inputs!$C$9="Residential",IF(L702&lt;='Assumptions and Catalog'!$C$50,L702*'Assumptions and Catalog'!$H$50+'Assumptions and Catalog'!$E$50+'Assumptions and Catalog'!$F$50,IF(L702&lt;='Assumptions and Catalog'!$C$51,L702*'Assumptions and Catalog'!$H$51+'Assumptions and Catalog'!$E$51+'Assumptions and Catalog'!$F$51,IF(L702&lt;='Assumptions and Catalog'!$C$52,L702*'Assumptions and Catalog'!$H$52+'Assumptions and Catalog'!$E$52+'Assumptions and Catalog'!$F$52,IF(L702&lt;='Assumptions and Catalog'!$C$53,L702*'Assumptions and Catalog'!$H$53+'Assumptions and Catalog'!$E$53+'Assumptions and Catalog'!$F$53,IF(L702&lt;='Assumptions and Catalog'!$C$54,L702*'Assumptions and Catalog'!$H$54+'Assumptions and Catalog'!$E$54+'Assumptions and Catalog'!$F$54,IF(L702&lt;='Assumptions and Catalog'!$C$55,L702*'Assumptions and Catalog'!$H$55+'Assumptions and Catalog'!$E$55+'Assumptions and Catalog'!$F$55,IF(L702&lt;='Assumptions and Catalog'!$C$56,L702*'Assumptions and Catalog'!$H$56+'Assumptions and Catalog'!$E$56+'Assumptions and Catalog'!$F$56,IF(L702&lt;='Assumptions and Catalog'!$C$57,L702*'Assumptions and Catalog'!$H$57+'Assumptions and Catalog'!$E$57+'Assumptions and Catalog'!$F$57,"Out of range")))))))),IF(L702&lt;='Assumptions and Catalog'!$C$60,L702*'Assumptions and Catalog'!$H$60+'Assumptions and Catalog'!$E$60+'Assumptions and Catalog'!$F$60,IF(L702&lt;='Assumptions and Catalog'!$C$61,L702*'Assumptions and Catalog'!$H$61+'Assumptions and Catalog'!$E$61+'Assumptions and Catalog'!$F$61,IF(L702&lt;='Assumptions and Catalog'!$C$62,L702*'Assumptions and Catalog'!$H$62+'Assumptions and Catalog'!$E$62+'Assumptions and Catalog'!$F$62,IF(L702&lt;='Assumptions and Catalog'!$C$63,L702*'Assumptions and Catalog'!$H$63+'Assumptions and Catalog'!$E$63+'Assumptions and Catalog'!$F$63,IF(L702&lt;='Assumptions and Catalog'!$C$64,L702*'Assumptions and Catalog'!$H$64+'Assumptions and Catalog'!$E$64+'Assumptions and Catalog'!$F$64,IF(L702&lt;='Assumptions and Catalog'!$C$65,L702*'Assumptions and Catalog'!$H$65+'Assumptions and Catalog'!$E$65+'Assumptions and Catalog'!$F$65,"Out of range")))))))))*(1+'Assumptions and Catalog'!$C$8)^(A702-1),0)</f>
        <v>2537.2058568832</v>
      </c>
      <c r="O702" s="5" t="n">
        <f>M702-N702</f>
        <v>4330.0141431168</v>
      </c>
      <c r="P702" s="5" t="n">
        <f>E$55*(1-L$14)*(1-'Assumptions and Catalog'!$C$23)^R702</f>
        <v>9.63780608</v>
      </c>
      <c r="Q702" s="5" t="n">
        <f>IF(ISNUMBER(Inputs!$L$5),(IF(Inputs!$L$9="Actual flat rate",((D702+E702)*C702-G702)*Inputs!$L$10,IF(Inputs!$C$9="Residential",IF(((D702+E702)*C702-G702)&lt;='Assumptions and Catalog'!$C$50,((D702+E702)*C702-G702)*'Assumptions and Catalog'!$H$50+'Assumptions and Catalog'!$E$50+'Assumptions and Catalog'!$F$50,IF(((D702+E702)*C702-G702)&lt;='Assumptions and Catalog'!$C$51,((D702+E702)*C702-G702)*'Assumptions and Catalog'!$H$51+'Assumptions and Catalog'!$E$51+'Assumptions and Catalog'!$F$51,IF(((D702+E702)*C702-G702)&lt;='Assumptions and Catalog'!$C$52,((D702+E702)*C702-G702)*'Assumptions and Catalog'!$H$52+'Assumptions and Catalog'!$E$52+'Assumptions and Catalog'!$F$52,IF(((D702+E702)*C702-G702)&lt;='Assumptions and Catalog'!$C$53,((D702+E702)*C702-G702)*'Assumptions and Catalog'!$H$53+'Assumptions and Catalog'!$E$53+'Assumptions and Catalog'!$F$53,IF(((D702+E702)*C702-G702)&lt;='Assumptions and Catalog'!$C$54,((D702+E702)*C702-G702)*'Assumptions and Catalog'!$H$54+'Assumptions and Catalog'!$E$54+'Assumptions and Catalog'!$F$54,IF(((D702+E702)*C702-G702)&lt;='Assumptions and Catalog'!$C$55,((D702+E702)*C702-G702)*'Assumptions and Catalog'!$H$55+'Assumptions and Catalog'!$E$55+'Assumptions and Catalog'!$F$55,IF(((D702+E702)*C702-G702)&lt;='Assumptions and Catalog'!$C$56,((D702+E702)*C702-G702)*'Assumptions and Catalog'!$H$56+'Assumptions and Catalog'!$E$56+'Assumptions and Catalog'!$F$56,IF(((D702+E702)*C702-G702)&lt;='Assumptions and Catalog'!$C$57,((D702+E702)*C702-G702)*'Assumptions and Catalog'!$H$57+'Assumptions and Catalog'!$E$57+'Assumptions and Catalog'!$F$57,"Out of range")))))))),IF(((D702+E702)*C702-G702)&lt;='Assumptions and Catalog'!$C$60,((D702+E702)*C702-G702)*'Assumptions and Catalog'!$H$60+'Assumptions and Catalog'!$E$60+'Assumptions and Catalog'!$F$60,IF(((D702+E702)*C702-G702)&lt;='Assumptions and Catalog'!$C$61,((D702+E702)*C702-G702)*'Assumptions and Catalog'!$H$61+'Assumptions and Catalog'!$E$61+'Assumptions and Catalog'!$F$61,IF(((D702+E702)*C702-G702)&lt;='Assumptions and Catalog'!$C$62,((D702+E702)*C702-G702)*'Assumptions and Catalog'!$H$62+'Assumptions and Catalog'!$E$62+'Assumptions and Catalog'!$F$62,IF(((D702+E702)*C702-G702)&lt;='Assumptions and Catalog'!$C$63,((D702+E702)*C702-G702)*'Assumptions and Catalog'!$H$63+'Assumptions and Catalog'!$E$63+'Assumptions and Catalog'!$F$63,IF(((D702+E702)*C702-G702)&lt;='Assumptions and Catalog'!$C$64,((D702+E702)*C702-G702)*'Assumptions and Catalog'!$H$64+'Assumptions and Catalog'!$E$64+'Assumptions and Catalog'!$F$64,IF(((D702+E702)*C702-G702)&lt;='Assumptions and Catalog'!$C$65,((D702+E702)*C702-G702)*'Assumptions and Catalog'!$H$65+'Assumptions and Catalog'!$E$65+'Assumptions and Catalog'!$F$65,"Out of range")))))))))*(1+'Assumptions and Catalog'!$C$8)^(A702-1),0)</f>
        <v>3453.61</v>
      </c>
      <c r="R702" s="5" t="n">
        <f>IF(AND('Assumptions and Catalog'!$C$19&gt;0,A702&gt;='Assumptions and Catalog'!$C$19),A702-'Assumptions and Catalog'!$C$19,A702-1)</f>
        <v>3</v>
      </c>
      <c r="S702" s="5" t="n">
        <f>F702+L702-(D702+E702)*C702-J702-K702-IF(E$52&gt;0,'Assumptions and Catalog'!$C$26*C702,0)</f>
        <v>0</v>
      </c>
      <c r="T702" s="5"/>
      <c r="U702" s="5"/>
    </row>
    <row r="703" ht="23.100000381469727" customHeight="1">
      <c r="A703" s="5" t="n">
        <v>4</v>
      </c>
      <c r="B703" s="5" t="n">
        <v>7</v>
      </c>
      <c r="C703" s="5" t="n">
        <f>DAY(DATE('Assumptions and Catalog'!$C$24+A703-1,B703+1,0))</f>
        <v>31</v>
      </c>
      <c r="D703" s="5" t="n">
        <f>IF(ISNUMBER(Inputs!$L$5),Inputs!$L$5*Inputs!$L$6,0)</f>
        <v>40.35</v>
      </c>
      <c r="E703" s="5" t="n">
        <f>IF(ISNUMBER(Inputs!$L$5),Inputs!$L$5-D703,0)</f>
        <v>40.35</v>
      </c>
      <c r="F703" s="5" t="n">
        <f>E$51*INDEX('Solar Production'!$D$20:$D$31,B703)*C703*(1-'Assumptions and Catalog'!$C$10)^(A703-1)</f>
        <v>1784.2267180925</v>
      </c>
      <c r="G703" s="5" t="n">
        <f>MIN(F703,D703*C703)</f>
        <v>1250.85</v>
      </c>
      <c r="H703" s="5" t="n">
        <f>I703/('Assumptions and Catalog'!$C$11*'Assumptions and Catalog'!$C$12)</f>
        <v>306.432808697436</v>
      </c>
      <c r="I703" s="5" t="n">
        <f>MIN(E703*C703,P703*'Assumptions and Catalog'!$C$12*C703,(F703-G703)*'Assumptions and Catalog'!$C$11*'Assumptions and Catalog'!$C$12,E$56*'Assumptions and Catalog'!$C$14*'Assumptions and Catalog'!$C$11*'Assumptions and Catalog'!$C$12*C703,E$57*(24-'Assumptions and Catalog'!$C$13)*C703)</f>
        <v>291.302688768</v>
      </c>
      <c r="J703" s="5" t="n">
        <f>MAX(F703-G703-H703,0)</f>
        <v>226.943909395064</v>
      </c>
      <c r="K703" s="5" t="n">
        <f>H703-I703</f>
        <v>15.1301199294359</v>
      </c>
      <c r="L703" s="5" t="n">
        <f>(D703+E703)*C703-G703-I703+0+IF(E$52&gt;0,'Assumptions and Catalog'!$C$26*C703,0)</f>
        <v>959.547311232</v>
      </c>
      <c r="M703" s="5" t="n">
        <f>IF(ISNUMBER(Inputs!$L$5),(IF(Inputs!$L$9="Actual flat rate",((D703+E703)*C703)*Inputs!$L$10,IF(Inputs!$C$9="Residential",IF(((D703+E703)*C703)&lt;='Assumptions and Catalog'!$C$50,((D703+E703)*C703)*'Assumptions and Catalog'!$H$50+'Assumptions and Catalog'!$E$50+'Assumptions and Catalog'!$F$50,IF(((D703+E703)*C703)&lt;='Assumptions and Catalog'!$C$51,((D703+E703)*C703)*'Assumptions and Catalog'!$H$51+'Assumptions and Catalog'!$E$51+'Assumptions and Catalog'!$F$51,IF(((D703+E703)*C703)&lt;='Assumptions and Catalog'!$C$52,((D703+E703)*C703)*'Assumptions and Catalog'!$H$52+'Assumptions and Catalog'!$E$52+'Assumptions and Catalog'!$F$52,IF(((D703+E703)*C703)&lt;='Assumptions and Catalog'!$C$53,((D703+E703)*C703)*'Assumptions and Catalog'!$H$53+'Assumptions and Catalog'!$E$53+'Assumptions and Catalog'!$F$53,IF(((D703+E703)*C703)&lt;='Assumptions and Catalog'!$C$54,((D703+E703)*C703)*'Assumptions and Catalog'!$H$54+'Assumptions and Catalog'!$E$54+'Assumptions and Catalog'!$F$54,IF(((D703+E703)*C703)&lt;='Assumptions and Catalog'!$C$55,((D703+E703)*C703)*'Assumptions and Catalog'!$H$55+'Assumptions and Catalog'!$E$55+'Assumptions and Catalog'!$F$55,IF(((D703+E703)*C703)&lt;='Assumptions and Catalog'!$C$56,((D703+E703)*C703)*'Assumptions and Catalog'!$H$56+'Assumptions and Catalog'!$E$56+'Assumptions and Catalog'!$F$56,IF(((D703+E703)*C703)&lt;='Assumptions and Catalog'!$C$57,((D703+E703)*C703)*'Assumptions and Catalog'!$H$57+'Assumptions and Catalog'!$E$57+'Assumptions and Catalog'!$F$57,"Out of range")))))))),IF(((D703+E703)*C703)&lt;='Assumptions and Catalog'!$C$60,((D703+E703)*C703)*'Assumptions and Catalog'!$H$60+'Assumptions and Catalog'!$E$60+'Assumptions and Catalog'!$F$60,IF(((D703+E703)*C703)&lt;='Assumptions and Catalog'!$C$61,((D703+E703)*C703)*'Assumptions and Catalog'!$H$61+'Assumptions and Catalog'!$E$61+'Assumptions and Catalog'!$F$61,IF(((D703+E703)*C703)&lt;='Assumptions and Catalog'!$C$62,((D703+E703)*C703)*'Assumptions and Catalog'!$H$62+'Assumptions and Catalog'!$E$62+'Assumptions and Catalog'!$F$62,IF(((D703+E703)*C703)&lt;='Assumptions and Catalog'!$C$63,((D703+E703)*C703)*'Assumptions and Catalog'!$H$63+'Assumptions and Catalog'!$E$63+'Assumptions and Catalog'!$F$63,IF(((D703+E703)*C703)&lt;='Assumptions and Catalog'!$C$64,((D703+E703)*C703)*'Assumptions and Catalog'!$H$64+'Assumptions and Catalog'!$E$64+'Assumptions and Catalog'!$F$64,IF(((D703+E703)*C703)&lt;='Assumptions and Catalog'!$C$65,((D703+E703)*C703)*'Assumptions and Catalog'!$H$65+'Assumptions and Catalog'!$E$65+'Assumptions and Catalog'!$F$65,"Out of range")))))))))*(1+'Assumptions and Catalog'!$C$8)^(A703-1),0)</f>
        <v>7094.794</v>
      </c>
      <c r="N703" s="5" t="n">
        <f>IF(ISNUMBER(Inputs!$L$5),(IF(Inputs!$L$9="Actual flat rate",L703*Inputs!$L$10,IF(Inputs!$C$9="Residential",IF(L703&lt;='Assumptions and Catalog'!$C$50,L703*'Assumptions and Catalog'!$H$50+'Assumptions and Catalog'!$E$50+'Assumptions and Catalog'!$F$50,IF(L703&lt;='Assumptions and Catalog'!$C$51,L703*'Assumptions and Catalog'!$H$51+'Assumptions and Catalog'!$E$51+'Assumptions and Catalog'!$F$51,IF(L703&lt;='Assumptions and Catalog'!$C$52,L703*'Assumptions and Catalog'!$H$52+'Assumptions and Catalog'!$E$52+'Assumptions and Catalog'!$F$52,IF(L703&lt;='Assumptions and Catalog'!$C$53,L703*'Assumptions and Catalog'!$H$53+'Assumptions and Catalog'!$E$53+'Assumptions and Catalog'!$F$53,IF(L703&lt;='Assumptions and Catalog'!$C$54,L703*'Assumptions and Catalog'!$H$54+'Assumptions and Catalog'!$E$54+'Assumptions and Catalog'!$F$54,IF(L703&lt;='Assumptions and Catalog'!$C$55,L703*'Assumptions and Catalog'!$H$55+'Assumptions and Catalog'!$E$55+'Assumptions and Catalog'!$F$55,IF(L703&lt;='Assumptions and Catalog'!$C$56,L703*'Assumptions and Catalog'!$H$56+'Assumptions and Catalog'!$E$56+'Assumptions and Catalog'!$F$56,IF(L703&lt;='Assumptions and Catalog'!$C$57,L703*'Assumptions and Catalog'!$H$57+'Assumptions and Catalog'!$E$57+'Assumptions and Catalog'!$F$57,"Out of range")))))))),IF(L703&lt;='Assumptions and Catalog'!$C$60,L703*'Assumptions and Catalog'!$H$60+'Assumptions and Catalog'!$E$60+'Assumptions and Catalog'!$F$60,IF(L703&lt;='Assumptions and Catalog'!$C$61,L703*'Assumptions and Catalog'!$H$61+'Assumptions and Catalog'!$E$61+'Assumptions and Catalog'!$F$61,IF(L703&lt;='Assumptions and Catalog'!$C$62,L703*'Assumptions and Catalog'!$H$62+'Assumptions and Catalog'!$E$62+'Assumptions and Catalog'!$F$62,IF(L703&lt;='Assumptions and Catalog'!$C$63,L703*'Assumptions and Catalog'!$H$63+'Assumptions and Catalog'!$E$63+'Assumptions and Catalog'!$F$63,IF(L703&lt;='Assumptions and Catalog'!$C$64,L703*'Assumptions and Catalog'!$H$64+'Assumptions and Catalog'!$E$64+'Assumptions and Catalog'!$F$64,IF(L703&lt;='Assumptions and Catalog'!$C$65,L703*'Assumptions and Catalog'!$H$65+'Assumptions and Catalog'!$E$65+'Assumptions and Catalog'!$F$65,"Out of range")))))))))*(1+'Assumptions and Catalog'!$C$8)^(A703-1),0)</f>
        <v>2622.94605211264</v>
      </c>
      <c r="O703" s="5" t="n">
        <f>M703-N703</f>
        <v>4471.84794788736</v>
      </c>
      <c r="P703" s="5" t="n">
        <f>E$55*(1-L$14)*(1-'Assumptions and Catalog'!$C$23)^R703</f>
        <v>9.63780608</v>
      </c>
      <c r="Q703" s="5" t="n">
        <f>IF(ISNUMBER(Inputs!$L$5),(IF(Inputs!$L$9="Actual flat rate",((D703+E703)*C703-G703)*Inputs!$L$10,IF(Inputs!$C$9="Residential",IF(((D703+E703)*C703-G703)&lt;='Assumptions and Catalog'!$C$50,((D703+E703)*C703-G703)*'Assumptions and Catalog'!$H$50+'Assumptions and Catalog'!$E$50+'Assumptions and Catalog'!$F$50,IF(((D703+E703)*C703-G703)&lt;='Assumptions and Catalog'!$C$51,((D703+E703)*C703-G703)*'Assumptions and Catalog'!$H$51+'Assumptions and Catalog'!$E$51+'Assumptions and Catalog'!$F$51,IF(((D703+E703)*C703-G703)&lt;='Assumptions and Catalog'!$C$52,((D703+E703)*C703-G703)*'Assumptions and Catalog'!$H$52+'Assumptions and Catalog'!$E$52+'Assumptions and Catalog'!$F$52,IF(((D703+E703)*C703-G703)&lt;='Assumptions and Catalog'!$C$53,((D703+E703)*C703-G703)*'Assumptions and Catalog'!$H$53+'Assumptions and Catalog'!$E$53+'Assumptions and Catalog'!$F$53,IF(((D703+E703)*C703-G703)&lt;='Assumptions and Catalog'!$C$54,((D703+E703)*C703-G703)*'Assumptions and Catalog'!$H$54+'Assumptions and Catalog'!$E$54+'Assumptions and Catalog'!$F$54,IF(((D703+E703)*C703-G703)&lt;='Assumptions and Catalog'!$C$55,((D703+E703)*C703-G703)*'Assumptions and Catalog'!$H$55+'Assumptions and Catalog'!$E$55+'Assumptions and Catalog'!$F$55,IF(((D703+E703)*C703-G703)&lt;='Assumptions and Catalog'!$C$56,((D703+E703)*C703-G703)*'Assumptions and Catalog'!$H$56+'Assumptions and Catalog'!$E$56+'Assumptions and Catalog'!$F$56,IF(((D703+E703)*C703-G703)&lt;='Assumptions and Catalog'!$C$57,((D703+E703)*C703-G703)*'Assumptions and Catalog'!$H$57+'Assumptions and Catalog'!$E$57+'Assumptions and Catalog'!$F$57,"Out of range")))))))),IF(((D703+E703)*C703-G703)&lt;='Assumptions and Catalog'!$C$60,((D703+E703)*C703-G703)*'Assumptions and Catalog'!$H$60+'Assumptions and Catalog'!$E$60+'Assumptions and Catalog'!$F$60,IF(((D703+E703)*C703-G703)&lt;='Assumptions and Catalog'!$C$61,((D703+E703)*C703-G703)*'Assumptions and Catalog'!$H$61+'Assumptions and Catalog'!$E$61+'Assumptions and Catalog'!$F$61,IF(((D703+E703)*C703-G703)&lt;='Assumptions and Catalog'!$C$62,((D703+E703)*C703-G703)*'Assumptions and Catalog'!$H$62+'Assumptions and Catalog'!$E$62+'Assumptions and Catalog'!$F$62,IF(((D703+E703)*C703-G703)&lt;='Assumptions and Catalog'!$C$63,((D703+E703)*C703-G703)*'Assumptions and Catalog'!$H$63+'Assumptions and Catalog'!$E$63+'Assumptions and Catalog'!$F$63,IF(((D703+E703)*C703-G703)&lt;='Assumptions and Catalog'!$C$64,((D703+E703)*C703-G703)*'Assumptions and Catalog'!$H$64+'Assumptions and Catalog'!$E$64+'Assumptions and Catalog'!$F$64,IF(((D703+E703)*C703-G703)&lt;='Assumptions and Catalog'!$C$65,((D703+E703)*C703-G703)*'Assumptions and Catalog'!$H$65+'Assumptions and Catalog'!$E$65+'Assumptions and Catalog'!$F$65,"Out of range")))))))))*(1+'Assumptions and Catalog'!$C$8)^(A703-1),0)</f>
        <v>3567.397</v>
      </c>
      <c r="R703" s="5" t="n">
        <f>IF(AND('Assumptions and Catalog'!$C$19&gt;0,A703&gt;='Assumptions and Catalog'!$C$19),A703-'Assumptions and Catalog'!$C$19,A703-1)</f>
        <v>3</v>
      </c>
      <c r="S703" s="5" t="n">
        <f>F703+L703-(D703+E703)*C703-J703-K703-IF(E$52&gt;0,'Assumptions and Catalog'!$C$26*C703,0)</f>
        <v>-5.6843418860808E-014</v>
      </c>
      <c r="T703" s="5"/>
      <c r="U703" s="5"/>
    </row>
    <row r="704" ht="23.100000381469727" customHeight="1">
      <c r="A704" s="5" t="n">
        <v>4</v>
      </c>
      <c r="B704" s="5" t="n">
        <v>8</v>
      </c>
      <c r="C704" s="5" t="n">
        <f>DAY(DATE('Assumptions and Catalog'!$C$24+A704-1,B704+1,0))</f>
        <v>31</v>
      </c>
      <c r="D704" s="5" t="n">
        <f>IF(ISNUMBER(Inputs!$L$5),Inputs!$L$5*Inputs!$L$6,0)</f>
        <v>40.35</v>
      </c>
      <c r="E704" s="5" t="n">
        <f>IF(ISNUMBER(Inputs!$L$5),Inputs!$L$5-D704,0)</f>
        <v>40.35</v>
      </c>
      <c r="F704" s="5" t="n">
        <f>E$51*INDEX('Solar Production'!$D$20:$D$31,B704)*C704*(1-'Assumptions and Catalog'!$C$10)^(A704-1)</f>
        <v>1807.41538065</v>
      </c>
      <c r="G704" s="5" t="n">
        <f>MIN(F704,D704*C704)</f>
        <v>1250.85</v>
      </c>
      <c r="H704" s="5" t="n">
        <f>I704/('Assumptions and Catalog'!$C$11*'Assumptions and Catalog'!$C$12)</f>
        <v>306.432808697436</v>
      </c>
      <c r="I704" s="5" t="n">
        <f>MIN(E704*C704,P704*'Assumptions and Catalog'!$C$12*C704,(F704-G704)*'Assumptions and Catalog'!$C$11*'Assumptions and Catalog'!$C$12,E$56*'Assumptions and Catalog'!$C$14*'Assumptions and Catalog'!$C$11*'Assumptions and Catalog'!$C$12*C704,E$57*(24-'Assumptions and Catalog'!$C$13)*C704)</f>
        <v>291.302688768</v>
      </c>
      <c r="J704" s="5" t="n">
        <f>MAX(F704-G704-H704,0)</f>
        <v>250.132571952564</v>
      </c>
      <c r="K704" s="5" t="n">
        <f>H704-I704</f>
        <v>15.1301199294359</v>
      </c>
      <c r="L704" s="5" t="n">
        <f>(D704+E704)*C704-G704-I704+0+IF(E$52&gt;0,'Assumptions and Catalog'!$C$26*C704,0)</f>
        <v>959.547311232</v>
      </c>
      <c r="M704" s="5" t="n">
        <f>IF(ISNUMBER(Inputs!$L$5),(IF(Inputs!$L$9="Actual flat rate",((D704+E704)*C704)*Inputs!$L$10,IF(Inputs!$C$9="Residential",IF(((D704+E704)*C704)&lt;='Assumptions and Catalog'!$C$50,((D704+E704)*C704)*'Assumptions and Catalog'!$H$50+'Assumptions and Catalog'!$E$50+'Assumptions and Catalog'!$F$50,IF(((D704+E704)*C704)&lt;='Assumptions and Catalog'!$C$51,((D704+E704)*C704)*'Assumptions and Catalog'!$H$51+'Assumptions and Catalog'!$E$51+'Assumptions and Catalog'!$F$51,IF(((D704+E704)*C704)&lt;='Assumptions and Catalog'!$C$52,((D704+E704)*C704)*'Assumptions and Catalog'!$H$52+'Assumptions and Catalog'!$E$52+'Assumptions and Catalog'!$F$52,IF(((D704+E704)*C704)&lt;='Assumptions and Catalog'!$C$53,((D704+E704)*C704)*'Assumptions and Catalog'!$H$53+'Assumptions and Catalog'!$E$53+'Assumptions and Catalog'!$F$53,IF(((D704+E704)*C704)&lt;='Assumptions and Catalog'!$C$54,((D704+E704)*C704)*'Assumptions and Catalog'!$H$54+'Assumptions and Catalog'!$E$54+'Assumptions and Catalog'!$F$54,IF(((D704+E704)*C704)&lt;='Assumptions and Catalog'!$C$55,((D704+E704)*C704)*'Assumptions and Catalog'!$H$55+'Assumptions and Catalog'!$E$55+'Assumptions and Catalog'!$F$55,IF(((D704+E704)*C704)&lt;='Assumptions and Catalog'!$C$56,((D704+E704)*C704)*'Assumptions and Catalog'!$H$56+'Assumptions and Catalog'!$E$56+'Assumptions and Catalog'!$F$56,IF(((D704+E704)*C704)&lt;='Assumptions and Catalog'!$C$57,((D704+E704)*C704)*'Assumptions and Catalog'!$H$57+'Assumptions and Catalog'!$E$57+'Assumptions and Catalog'!$F$57,"Out of range")))))))),IF(((D704+E704)*C704)&lt;='Assumptions and Catalog'!$C$60,((D704+E704)*C704)*'Assumptions and Catalog'!$H$60+'Assumptions and Catalog'!$E$60+'Assumptions and Catalog'!$F$60,IF(((D704+E704)*C704)&lt;='Assumptions and Catalog'!$C$61,((D704+E704)*C704)*'Assumptions and Catalog'!$H$61+'Assumptions and Catalog'!$E$61+'Assumptions and Catalog'!$F$61,IF(((D704+E704)*C704)&lt;='Assumptions and Catalog'!$C$62,((D704+E704)*C704)*'Assumptions and Catalog'!$H$62+'Assumptions and Catalog'!$E$62+'Assumptions and Catalog'!$F$62,IF(((D704+E704)*C704)&lt;='Assumptions and Catalog'!$C$63,((D704+E704)*C704)*'Assumptions and Catalog'!$H$63+'Assumptions and Catalog'!$E$63+'Assumptions and Catalog'!$F$63,IF(((D704+E704)*C704)&lt;='Assumptions and Catalog'!$C$64,((D704+E704)*C704)*'Assumptions and Catalog'!$H$64+'Assumptions and Catalog'!$E$64+'Assumptions and Catalog'!$F$64,IF(((D704+E704)*C704)&lt;='Assumptions and Catalog'!$C$65,((D704+E704)*C704)*'Assumptions and Catalog'!$H$65+'Assumptions and Catalog'!$E$65+'Assumptions and Catalog'!$F$65,"Out of range")))))))))*(1+'Assumptions and Catalog'!$C$8)^(A704-1),0)</f>
        <v>7094.794</v>
      </c>
      <c r="N704" s="5" t="n">
        <f>IF(ISNUMBER(Inputs!$L$5),(IF(Inputs!$L$9="Actual flat rate",L704*Inputs!$L$10,IF(Inputs!$C$9="Residential",IF(L704&lt;='Assumptions and Catalog'!$C$50,L704*'Assumptions and Catalog'!$H$50+'Assumptions and Catalog'!$E$50+'Assumptions and Catalog'!$F$50,IF(L704&lt;='Assumptions and Catalog'!$C$51,L704*'Assumptions and Catalog'!$H$51+'Assumptions and Catalog'!$E$51+'Assumptions and Catalog'!$F$51,IF(L704&lt;='Assumptions and Catalog'!$C$52,L704*'Assumptions and Catalog'!$H$52+'Assumptions and Catalog'!$E$52+'Assumptions and Catalog'!$F$52,IF(L704&lt;='Assumptions and Catalog'!$C$53,L704*'Assumptions and Catalog'!$H$53+'Assumptions and Catalog'!$E$53+'Assumptions and Catalog'!$F$53,IF(L704&lt;='Assumptions and Catalog'!$C$54,L704*'Assumptions and Catalog'!$H$54+'Assumptions and Catalog'!$E$54+'Assumptions and Catalog'!$F$54,IF(L704&lt;='Assumptions and Catalog'!$C$55,L704*'Assumptions and Catalog'!$H$55+'Assumptions and Catalog'!$E$55+'Assumptions and Catalog'!$F$55,IF(L704&lt;='Assumptions and Catalog'!$C$56,L704*'Assumptions and Catalog'!$H$56+'Assumptions and Catalog'!$E$56+'Assumptions and Catalog'!$F$56,IF(L704&lt;='Assumptions and Catalog'!$C$57,L704*'Assumptions and Catalog'!$H$57+'Assumptions and Catalog'!$E$57+'Assumptions and Catalog'!$F$57,"Out of range")))))))),IF(L704&lt;='Assumptions and Catalog'!$C$60,L704*'Assumptions and Catalog'!$H$60+'Assumptions and Catalog'!$E$60+'Assumptions and Catalog'!$F$60,IF(L704&lt;='Assumptions and Catalog'!$C$61,L704*'Assumptions and Catalog'!$H$61+'Assumptions and Catalog'!$E$61+'Assumptions and Catalog'!$F$61,IF(L704&lt;='Assumptions and Catalog'!$C$62,L704*'Assumptions and Catalog'!$H$62+'Assumptions and Catalog'!$E$62+'Assumptions and Catalog'!$F$62,IF(L704&lt;='Assumptions and Catalog'!$C$63,L704*'Assumptions and Catalog'!$H$63+'Assumptions and Catalog'!$E$63+'Assumptions and Catalog'!$F$63,IF(L704&lt;='Assumptions and Catalog'!$C$64,L704*'Assumptions and Catalog'!$H$64+'Assumptions and Catalog'!$E$64+'Assumptions and Catalog'!$F$64,IF(L704&lt;='Assumptions and Catalog'!$C$65,L704*'Assumptions and Catalog'!$H$65+'Assumptions and Catalog'!$E$65+'Assumptions and Catalog'!$F$65,"Out of range")))))))))*(1+'Assumptions and Catalog'!$C$8)^(A704-1),0)</f>
        <v>2622.94605211264</v>
      </c>
      <c r="O704" s="5" t="n">
        <f>M704-N704</f>
        <v>4471.84794788736</v>
      </c>
      <c r="P704" s="5" t="n">
        <f>E$55*(1-L$14)*(1-'Assumptions and Catalog'!$C$23)^R704</f>
        <v>9.63780608</v>
      </c>
      <c r="Q704" s="5" t="n">
        <f>IF(ISNUMBER(Inputs!$L$5),(IF(Inputs!$L$9="Actual flat rate",((D704+E704)*C704-G704)*Inputs!$L$10,IF(Inputs!$C$9="Residential",IF(((D704+E704)*C704-G704)&lt;='Assumptions and Catalog'!$C$50,((D704+E704)*C704-G704)*'Assumptions and Catalog'!$H$50+'Assumptions and Catalog'!$E$50+'Assumptions and Catalog'!$F$50,IF(((D704+E704)*C704-G704)&lt;='Assumptions and Catalog'!$C$51,((D704+E704)*C704-G704)*'Assumptions and Catalog'!$H$51+'Assumptions and Catalog'!$E$51+'Assumptions and Catalog'!$F$51,IF(((D704+E704)*C704-G704)&lt;='Assumptions and Catalog'!$C$52,((D704+E704)*C704-G704)*'Assumptions and Catalog'!$H$52+'Assumptions and Catalog'!$E$52+'Assumptions and Catalog'!$F$52,IF(((D704+E704)*C704-G704)&lt;='Assumptions and Catalog'!$C$53,((D704+E704)*C704-G704)*'Assumptions and Catalog'!$H$53+'Assumptions and Catalog'!$E$53+'Assumptions and Catalog'!$F$53,IF(((D704+E704)*C704-G704)&lt;='Assumptions and Catalog'!$C$54,((D704+E704)*C704-G704)*'Assumptions and Catalog'!$H$54+'Assumptions and Catalog'!$E$54+'Assumptions and Catalog'!$F$54,IF(((D704+E704)*C704-G704)&lt;='Assumptions and Catalog'!$C$55,((D704+E704)*C704-G704)*'Assumptions and Catalog'!$H$55+'Assumptions and Catalog'!$E$55+'Assumptions and Catalog'!$F$55,IF(((D704+E704)*C704-G704)&lt;='Assumptions and Catalog'!$C$56,((D704+E704)*C704-G704)*'Assumptions and Catalog'!$H$56+'Assumptions and Catalog'!$E$56+'Assumptions and Catalog'!$F$56,IF(((D704+E704)*C704-G704)&lt;='Assumptions and Catalog'!$C$57,((D704+E704)*C704-G704)*'Assumptions and Catalog'!$H$57+'Assumptions and Catalog'!$E$57+'Assumptions and Catalog'!$F$57,"Out of range")))))))),IF(((D704+E704)*C704-G704)&lt;='Assumptions and Catalog'!$C$60,((D704+E704)*C704-G704)*'Assumptions and Catalog'!$H$60+'Assumptions and Catalog'!$E$60+'Assumptions and Catalog'!$F$60,IF(((D704+E704)*C704-G704)&lt;='Assumptions and Catalog'!$C$61,((D704+E704)*C704-G704)*'Assumptions and Catalog'!$H$61+'Assumptions and Catalog'!$E$61+'Assumptions and Catalog'!$F$61,IF(((D704+E704)*C704-G704)&lt;='Assumptions and Catalog'!$C$62,((D704+E704)*C704-G704)*'Assumptions and Catalog'!$H$62+'Assumptions and Catalog'!$E$62+'Assumptions and Catalog'!$F$62,IF(((D704+E704)*C704-G704)&lt;='Assumptions and Catalog'!$C$63,((D704+E704)*C704-G704)*'Assumptions and Catalog'!$H$63+'Assumptions and Catalog'!$E$63+'Assumptions and Catalog'!$F$63,IF(((D704+E704)*C704-G704)&lt;='Assumptions and Catalog'!$C$64,((D704+E704)*C704-G704)*'Assumptions and Catalog'!$H$64+'Assumptions and Catalog'!$E$64+'Assumptions and Catalog'!$F$64,IF(((D704+E704)*C704-G704)&lt;='Assumptions and Catalog'!$C$65,((D704+E704)*C704-G704)*'Assumptions and Catalog'!$H$65+'Assumptions and Catalog'!$E$65+'Assumptions and Catalog'!$F$65,"Out of range")))))))))*(1+'Assumptions and Catalog'!$C$8)^(A704-1),0)</f>
        <v>3567.397</v>
      </c>
      <c r="R704" s="5" t="n">
        <f>IF(AND('Assumptions and Catalog'!$C$19&gt;0,A704&gt;='Assumptions and Catalog'!$C$19),A704-'Assumptions and Catalog'!$C$19,A704-1)</f>
        <v>3</v>
      </c>
      <c r="S704" s="5" t="n">
        <f>F704+L704-(D704+E704)*C704-J704-K704-IF(E$52&gt;0,'Assumptions and Catalog'!$C$26*C704,0)</f>
        <v>1.70530256582424E-013</v>
      </c>
      <c r="T704" s="5"/>
      <c r="U704" s="5"/>
    </row>
    <row r="705" ht="23.100000381469727" customHeight="1">
      <c r="A705" s="5" t="n">
        <v>4</v>
      </c>
      <c r="B705" s="5" t="n">
        <v>9</v>
      </c>
      <c r="C705" s="5" t="n">
        <f>DAY(DATE('Assumptions and Catalog'!$C$24+A705-1,B705+1,0))</f>
        <v>30</v>
      </c>
      <c r="D705" s="5" t="n">
        <f>IF(ISNUMBER(Inputs!$L$5),Inputs!$L$5*Inputs!$L$6,0)</f>
        <v>40.35</v>
      </c>
      <c r="E705" s="5" t="n">
        <f>IF(ISNUMBER(Inputs!$L$5),Inputs!$L$5-D705,0)</f>
        <v>40.35</v>
      </c>
      <c r="F705" s="5" t="n">
        <f>E$51*INDEX('Solar Production'!$D$20:$D$31,B705)*C705*(1-'Assumptions and Catalog'!$C$10)^(A705-1)</f>
        <v>1744.567603625</v>
      </c>
      <c r="G705" s="5" t="n">
        <f>MIN(F705,D705*C705)</f>
        <v>1210.5</v>
      </c>
      <c r="H705" s="5" t="n">
        <f>I705/('Assumptions and Catalog'!$C$11*'Assumptions and Catalog'!$C$12)</f>
        <v>296.547879384615</v>
      </c>
      <c r="I705" s="5" t="n">
        <f>MIN(E705*C705,P705*'Assumptions and Catalog'!$C$12*C705,(F705-G705)*'Assumptions and Catalog'!$C$11*'Assumptions and Catalog'!$C$12,E$56*'Assumptions and Catalog'!$C$14*'Assumptions and Catalog'!$C$11*'Assumptions and Catalog'!$C$12*C705,E$57*(24-'Assumptions and Catalog'!$C$13)*C705)</f>
        <v>281.90582784</v>
      </c>
      <c r="J705" s="5" t="n">
        <f>MAX(F705-G705-H705,0)</f>
        <v>237.519724240385</v>
      </c>
      <c r="K705" s="5" t="n">
        <f>H705-I705</f>
        <v>14.6420515446154</v>
      </c>
      <c r="L705" s="5" t="n">
        <f>(D705+E705)*C705-G705-I705+0+IF(E$52&gt;0,'Assumptions and Catalog'!$C$26*C705,0)</f>
        <v>928.59417216</v>
      </c>
      <c r="M705" s="5" t="n">
        <f>IF(ISNUMBER(Inputs!$L$5),(IF(Inputs!$L$9="Actual flat rate",((D705+E705)*C705)*Inputs!$L$10,IF(Inputs!$C$9="Residential",IF(((D705+E705)*C705)&lt;='Assumptions and Catalog'!$C$50,((D705+E705)*C705)*'Assumptions and Catalog'!$H$50+'Assumptions and Catalog'!$E$50+'Assumptions and Catalog'!$F$50,IF(((D705+E705)*C705)&lt;='Assumptions and Catalog'!$C$51,((D705+E705)*C705)*'Assumptions and Catalog'!$H$51+'Assumptions and Catalog'!$E$51+'Assumptions and Catalog'!$F$51,IF(((D705+E705)*C705)&lt;='Assumptions and Catalog'!$C$52,((D705+E705)*C705)*'Assumptions and Catalog'!$H$52+'Assumptions and Catalog'!$E$52+'Assumptions and Catalog'!$F$52,IF(((D705+E705)*C705)&lt;='Assumptions and Catalog'!$C$53,((D705+E705)*C705)*'Assumptions and Catalog'!$H$53+'Assumptions and Catalog'!$E$53+'Assumptions and Catalog'!$F$53,IF(((D705+E705)*C705)&lt;='Assumptions and Catalog'!$C$54,((D705+E705)*C705)*'Assumptions and Catalog'!$H$54+'Assumptions and Catalog'!$E$54+'Assumptions and Catalog'!$F$54,IF(((D705+E705)*C705)&lt;='Assumptions and Catalog'!$C$55,((D705+E705)*C705)*'Assumptions and Catalog'!$H$55+'Assumptions and Catalog'!$E$55+'Assumptions and Catalog'!$F$55,IF(((D705+E705)*C705)&lt;='Assumptions and Catalog'!$C$56,((D705+E705)*C705)*'Assumptions and Catalog'!$H$56+'Assumptions and Catalog'!$E$56+'Assumptions and Catalog'!$F$56,IF(((D705+E705)*C705)&lt;='Assumptions and Catalog'!$C$57,((D705+E705)*C705)*'Assumptions and Catalog'!$H$57+'Assumptions and Catalog'!$E$57+'Assumptions and Catalog'!$F$57,"Out of range")))))))),IF(((D705+E705)*C705)&lt;='Assumptions and Catalog'!$C$60,((D705+E705)*C705)*'Assumptions and Catalog'!$H$60+'Assumptions and Catalog'!$E$60+'Assumptions and Catalog'!$F$60,IF(((D705+E705)*C705)&lt;='Assumptions and Catalog'!$C$61,((D705+E705)*C705)*'Assumptions and Catalog'!$H$61+'Assumptions and Catalog'!$E$61+'Assumptions and Catalog'!$F$61,IF(((D705+E705)*C705)&lt;='Assumptions and Catalog'!$C$62,((D705+E705)*C705)*'Assumptions and Catalog'!$H$62+'Assumptions and Catalog'!$E$62+'Assumptions and Catalog'!$F$62,IF(((D705+E705)*C705)&lt;='Assumptions and Catalog'!$C$63,((D705+E705)*C705)*'Assumptions and Catalog'!$H$63+'Assumptions and Catalog'!$E$63+'Assumptions and Catalog'!$F$63,IF(((D705+E705)*C705)&lt;='Assumptions and Catalog'!$C$64,((D705+E705)*C705)*'Assumptions and Catalog'!$H$64+'Assumptions and Catalog'!$E$64+'Assumptions and Catalog'!$F$64,IF(((D705+E705)*C705)&lt;='Assumptions and Catalog'!$C$65,((D705+E705)*C705)*'Assumptions and Catalog'!$H$65+'Assumptions and Catalog'!$E$65+'Assumptions and Catalog'!$F$65,"Out of range")))))))))*(1+'Assumptions and Catalog'!$C$8)^(A705-1),0)</f>
        <v>6867.22</v>
      </c>
      <c r="N705" s="5" t="n">
        <f>IF(ISNUMBER(Inputs!$L$5),(IF(Inputs!$L$9="Actual flat rate",L705*Inputs!$L$10,IF(Inputs!$C$9="Residential",IF(L705&lt;='Assumptions and Catalog'!$C$50,L705*'Assumptions and Catalog'!$H$50+'Assumptions and Catalog'!$E$50+'Assumptions and Catalog'!$F$50,IF(L705&lt;='Assumptions and Catalog'!$C$51,L705*'Assumptions and Catalog'!$H$51+'Assumptions and Catalog'!$E$51+'Assumptions and Catalog'!$F$51,IF(L705&lt;='Assumptions and Catalog'!$C$52,L705*'Assumptions and Catalog'!$H$52+'Assumptions and Catalog'!$E$52+'Assumptions and Catalog'!$F$52,IF(L705&lt;='Assumptions and Catalog'!$C$53,L705*'Assumptions and Catalog'!$H$53+'Assumptions and Catalog'!$E$53+'Assumptions and Catalog'!$F$53,IF(L705&lt;='Assumptions and Catalog'!$C$54,L705*'Assumptions and Catalog'!$H$54+'Assumptions and Catalog'!$E$54+'Assumptions and Catalog'!$F$54,IF(L705&lt;='Assumptions and Catalog'!$C$55,L705*'Assumptions and Catalog'!$H$55+'Assumptions and Catalog'!$E$55+'Assumptions and Catalog'!$F$55,IF(L705&lt;='Assumptions and Catalog'!$C$56,L705*'Assumptions and Catalog'!$H$56+'Assumptions and Catalog'!$E$56+'Assumptions and Catalog'!$F$56,IF(L705&lt;='Assumptions and Catalog'!$C$57,L705*'Assumptions and Catalog'!$H$57+'Assumptions and Catalog'!$E$57+'Assumptions and Catalog'!$F$57,"Out of range")))))))),IF(L705&lt;='Assumptions and Catalog'!$C$60,L705*'Assumptions and Catalog'!$H$60+'Assumptions and Catalog'!$E$60+'Assumptions and Catalog'!$F$60,IF(L705&lt;='Assumptions and Catalog'!$C$61,L705*'Assumptions and Catalog'!$H$61+'Assumptions and Catalog'!$E$61+'Assumptions and Catalog'!$F$61,IF(L705&lt;='Assumptions and Catalog'!$C$62,L705*'Assumptions and Catalog'!$H$62+'Assumptions and Catalog'!$E$62+'Assumptions and Catalog'!$F$62,IF(L705&lt;='Assumptions and Catalog'!$C$63,L705*'Assumptions and Catalog'!$H$63+'Assumptions and Catalog'!$E$63+'Assumptions and Catalog'!$F$63,IF(L705&lt;='Assumptions and Catalog'!$C$64,L705*'Assumptions and Catalog'!$H$64+'Assumptions and Catalog'!$E$64+'Assumptions and Catalog'!$F$64,IF(L705&lt;='Assumptions and Catalog'!$C$65,L705*'Assumptions and Catalog'!$H$65+'Assumptions and Catalog'!$E$65+'Assumptions and Catalog'!$F$65,"Out of range")))))))))*(1+'Assumptions and Catalog'!$C$8)^(A705-1),0)</f>
        <v>2537.2058568832</v>
      </c>
      <c r="O705" s="5" t="n">
        <f>M705-N705</f>
        <v>4330.0141431168</v>
      </c>
      <c r="P705" s="5" t="n">
        <f>E$55*(1-L$14)*(1-'Assumptions and Catalog'!$C$23)^R705</f>
        <v>9.63780608</v>
      </c>
      <c r="Q705" s="5" t="n">
        <f>IF(ISNUMBER(Inputs!$L$5),(IF(Inputs!$L$9="Actual flat rate",((D705+E705)*C705-G705)*Inputs!$L$10,IF(Inputs!$C$9="Residential",IF(((D705+E705)*C705-G705)&lt;='Assumptions and Catalog'!$C$50,((D705+E705)*C705-G705)*'Assumptions and Catalog'!$H$50+'Assumptions and Catalog'!$E$50+'Assumptions and Catalog'!$F$50,IF(((D705+E705)*C705-G705)&lt;='Assumptions and Catalog'!$C$51,((D705+E705)*C705-G705)*'Assumptions and Catalog'!$H$51+'Assumptions and Catalog'!$E$51+'Assumptions and Catalog'!$F$51,IF(((D705+E705)*C705-G705)&lt;='Assumptions and Catalog'!$C$52,((D705+E705)*C705-G705)*'Assumptions and Catalog'!$H$52+'Assumptions and Catalog'!$E$52+'Assumptions and Catalog'!$F$52,IF(((D705+E705)*C705-G705)&lt;='Assumptions and Catalog'!$C$53,((D705+E705)*C705-G705)*'Assumptions and Catalog'!$H$53+'Assumptions and Catalog'!$E$53+'Assumptions and Catalog'!$F$53,IF(((D705+E705)*C705-G705)&lt;='Assumptions and Catalog'!$C$54,((D705+E705)*C705-G705)*'Assumptions and Catalog'!$H$54+'Assumptions and Catalog'!$E$54+'Assumptions and Catalog'!$F$54,IF(((D705+E705)*C705-G705)&lt;='Assumptions and Catalog'!$C$55,((D705+E705)*C705-G705)*'Assumptions and Catalog'!$H$55+'Assumptions and Catalog'!$E$55+'Assumptions and Catalog'!$F$55,IF(((D705+E705)*C705-G705)&lt;='Assumptions and Catalog'!$C$56,((D705+E705)*C705-G705)*'Assumptions and Catalog'!$H$56+'Assumptions and Catalog'!$E$56+'Assumptions and Catalog'!$F$56,IF(((D705+E705)*C705-G705)&lt;='Assumptions and Catalog'!$C$57,((D705+E705)*C705-G705)*'Assumptions and Catalog'!$H$57+'Assumptions and Catalog'!$E$57+'Assumptions and Catalog'!$F$57,"Out of range")))))))),IF(((D705+E705)*C705-G705)&lt;='Assumptions and Catalog'!$C$60,((D705+E705)*C705-G705)*'Assumptions and Catalog'!$H$60+'Assumptions and Catalog'!$E$60+'Assumptions and Catalog'!$F$60,IF(((D705+E705)*C705-G705)&lt;='Assumptions and Catalog'!$C$61,((D705+E705)*C705-G705)*'Assumptions and Catalog'!$H$61+'Assumptions and Catalog'!$E$61+'Assumptions and Catalog'!$F$61,IF(((D705+E705)*C705-G705)&lt;='Assumptions and Catalog'!$C$62,((D705+E705)*C705-G705)*'Assumptions and Catalog'!$H$62+'Assumptions and Catalog'!$E$62+'Assumptions and Catalog'!$F$62,IF(((D705+E705)*C705-G705)&lt;='Assumptions and Catalog'!$C$63,((D705+E705)*C705-G705)*'Assumptions and Catalog'!$H$63+'Assumptions and Catalog'!$E$63+'Assumptions and Catalog'!$F$63,IF(((D705+E705)*C705-G705)&lt;='Assumptions and Catalog'!$C$64,((D705+E705)*C705-G705)*'Assumptions and Catalog'!$H$64+'Assumptions and Catalog'!$E$64+'Assumptions and Catalog'!$F$64,IF(((D705+E705)*C705-G705)&lt;='Assumptions and Catalog'!$C$65,((D705+E705)*C705-G705)*'Assumptions and Catalog'!$H$65+'Assumptions and Catalog'!$E$65+'Assumptions and Catalog'!$F$65,"Out of range")))))))))*(1+'Assumptions and Catalog'!$C$8)^(A705-1),0)</f>
        <v>3453.61</v>
      </c>
      <c r="R705" s="5" t="n">
        <f>IF(AND('Assumptions and Catalog'!$C$19&gt;0,A705&gt;='Assumptions and Catalog'!$C$19),A705-'Assumptions and Catalog'!$C$19,A705-1)</f>
        <v>3</v>
      </c>
      <c r="S705" s="5" t="n">
        <f>F705+L705-(D705+E705)*C705-J705-K705-IF(E$52&gt;0,'Assumptions and Catalog'!$C$26*C705,0)</f>
        <v>0</v>
      </c>
      <c r="T705" s="5"/>
      <c r="U705" s="5"/>
    </row>
    <row r="706" ht="23.100000381469727" customHeight="1">
      <c r="A706" s="5" t="n">
        <v>4</v>
      </c>
      <c r="B706" s="5" t="n">
        <v>10</v>
      </c>
      <c r="C706" s="5" t="n">
        <f>DAY(DATE('Assumptions and Catalog'!$C$24+A706-1,B706+1,0))</f>
        <v>31</v>
      </c>
      <c r="D706" s="5" t="n">
        <f>IF(ISNUMBER(Inputs!$L$5),Inputs!$L$5*Inputs!$L$6,0)</f>
        <v>40.35</v>
      </c>
      <c r="E706" s="5" t="n">
        <f>IF(ISNUMBER(Inputs!$L$5),Inputs!$L$5-D706,0)</f>
        <v>40.35</v>
      </c>
      <c r="F706" s="5" t="n">
        <f>E$51*INDEX('Solar Production'!$D$20:$D$31,B706)*C706*(1-'Assumptions and Catalog'!$C$10)^(A706-1)</f>
        <v>1674.45982477125</v>
      </c>
      <c r="G706" s="5" t="n">
        <f>MIN(F706,D706*C706)</f>
        <v>1250.85</v>
      </c>
      <c r="H706" s="5" t="n">
        <f>I706/('Assumptions and Catalog'!$C$11*'Assumptions and Catalog'!$C$12)</f>
        <v>306.432808697436</v>
      </c>
      <c r="I706" s="5" t="n">
        <f>MIN(E706*C706,P706*'Assumptions and Catalog'!$C$12*C706,(F706-G706)*'Assumptions and Catalog'!$C$11*'Assumptions and Catalog'!$C$12,E$56*'Assumptions and Catalog'!$C$14*'Assumptions and Catalog'!$C$11*'Assumptions and Catalog'!$C$12*C706,E$57*(24-'Assumptions and Catalog'!$C$13)*C706)</f>
        <v>291.302688768</v>
      </c>
      <c r="J706" s="5" t="n">
        <f>MAX(F706-G706-H706,0)</f>
        <v>117.177016073814</v>
      </c>
      <c r="K706" s="5" t="n">
        <f>H706-I706</f>
        <v>15.1301199294359</v>
      </c>
      <c r="L706" s="5" t="n">
        <f>(D706+E706)*C706-G706-I706+0+IF(E$52&gt;0,'Assumptions and Catalog'!$C$26*C706,0)</f>
        <v>959.547311232</v>
      </c>
      <c r="M706" s="5" t="n">
        <f>IF(ISNUMBER(Inputs!$L$5),(IF(Inputs!$L$9="Actual flat rate",((D706+E706)*C706)*Inputs!$L$10,IF(Inputs!$C$9="Residential",IF(((D706+E706)*C706)&lt;='Assumptions and Catalog'!$C$50,((D706+E706)*C706)*'Assumptions and Catalog'!$H$50+'Assumptions and Catalog'!$E$50+'Assumptions and Catalog'!$F$50,IF(((D706+E706)*C706)&lt;='Assumptions and Catalog'!$C$51,((D706+E706)*C706)*'Assumptions and Catalog'!$H$51+'Assumptions and Catalog'!$E$51+'Assumptions and Catalog'!$F$51,IF(((D706+E706)*C706)&lt;='Assumptions and Catalog'!$C$52,((D706+E706)*C706)*'Assumptions and Catalog'!$H$52+'Assumptions and Catalog'!$E$52+'Assumptions and Catalog'!$F$52,IF(((D706+E706)*C706)&lt;='Assumptions and Catalog'!$C$53,((D706+E706)*C706)*'Assumptions and Catalog'!$H$53+'Assumptions and Catalog'!$E$53+'Assumptions and Catalog'!$F$53,IF(((D706+E706)*C706)&lt;='Assumptions and Catalog'!$C$54,((D706+E706)*C706)*'Assumptions and Catalog'!$H$54+'Assumptions and Catalog'!$E$54+'Assumptions and Catalog'!$F$54,IF(((D706+E706)*C706)&lt;='Assumptions and Catalog'!$C$55,((D706+E706)*C706)*'Assumptions and Catalog'!$H$55+'Assumptions and Catalog'!$E$55+'Assumptions and Catalog'!$F$55,IF(((D706+E706)*C706)&lt;='Assumptions and Catalog'!$C$56,((D706+E706)*C706)*'Assumptions and Catalog'!$H$56+'Assumptions and Catalog'!$E$56+'Assumptions and Catalog'!$F$56,IF(((D706+E706)*C706)&lt;='Assumptions and Catalog'!$C$57,((D706+E706)*C706)*'Assumptions and Catalog'!$H$57+'Assumptions and Catalog'!$E$57+'Assumptions and Catalog'!$F$57,"Out of range")))))))),IF(((D706+E706)*C706)&lt;='Assumptions and Catalog'!$C$60,((D706+E706)*C706)*'Assumptions and Catalog'!$H$60+'Assumptions and Catalog'!$E$60+'Assumptions and Catalog'!$F$60,IF(((D706+E706)*C706)&lt;='Assumptions and Catalog'!$C$61,((D706+E706)*C706)*'Assumptions and Catalog'!$H$61+'Assumptions and Catalog'!$E$61+'Assumptions and Catalog'!$F$61,IF(((D706+E706)*C706)&lt;='Assumptions and Catalog'!$C$62,((D706+E706)*C706)*'Assumptions and Catalog'!$H$62+'Assumptions and Catalog'!$E$62+'Assumptions and Catalog'!$F$62,IF(((D706+E706)*C706)&lt;='Assumptions and Catalog'!$C$63,((D706+E706)*C706)*'Assumptions and Catalog'!$H$63+'Assumptions and Catalog'!$E$63+'Assumptions and Catalog'!$F$63,IF(((D706+E706)*C706)&lt;='Assumptions and Catalog'!$C$64,((D706+E706)*C706)*'Assumptions and Catalog'!$H$64+'Assumptions and Catalog'!$E$64+'Assumptions and Catalog'!$F$64,IF(((D706+E706)*C706)&lt;='Assumptions and Catalog'!$C$65,((D706+E706)*C706)*'Assumptions and Catalog'!$H$65+'Assumptions and Catalog'!$E$65+'Assumptions and Catalog'!$F$65,"Out of range")))))))))*(1+'Assumptions and Catalog'!$C$8)^(A706-1),0)</f>
        <v>7094.794</v>
      </c>
      <c r="N706" s="5" t="n">
        <f>IF(ISNUMBER(Inputs!$L$5),(IF(Inputs!$L$9="Actual flat rate",L706*Inputs!$L$10,IF(Inputs!$C$9="Residential",IF(L706&lt;='Assumptions and Catalog'!$C$50,L706*'Assumptions and Catalog'!$H$50+'Assumptions and Catalog'!$E$50+'Assumptions and Catalog'!$F$50,IF(L706&lt;='Assumptions and Catalog'!$C$51,L706*'Assumptions and Catalog'!$H$51+'Assumptions and Catalog'!$E$51+'Assumptions and Catalog'!$F$51,IF(L706&lt;='Assumptions and Catalog'!$C$52,L706*'Assumptions and Catalog'!$H$52+'Assumptions and Catalog'!$E$52+'Assumptions and Catalog'!$F$52,IF(L706&lt;='Assumptions and Catalog'!$C$53,L706*'Assumptions and Catalog'!$H$53+'Assumptions and Catalog'!$E$53+'Assumptions and Catalog'!$F$53,IF(L706&lt;='Assumptions and Catalog'!$C$54,L706*'Assumptions and Catalog'!$H$54+'Assumptions and Catalog'!$E$54+'Assumptions and Catalog'!$F$54,IF(L706&lt;='Assumptions and Catalog'!$C$55,L706*'Assumptions and Catalog'!$H$55+'Assumptions and Catalog'!$E$55+'Assumptions and Catalog'!$F$55,IF(L706&lt;='Assumptions and Catalog'!$C$56,L706*'Assumptions and Catalog'!$H$56+'Assumptions and Catalog'!$E$56+'Assumptions and Catalog'!$F$56,IF(L706&lt;='Assumptions and Catalog'!$C$57,L706*'Assumptions and Catalog'!$H$57+'Assumptions and Catalog'!$E$57+'Assumptions and Catalog'!$F$57,"Out of range")))))))),IF(L706&lt;='Assumptions and Catalog'!$C$60,L706*'Assumptions and Catalog'!$H$60+'Assumptions and Catalog'!$E$60+'Assumptions and Catalog'!$F$60,IF(L706&lt;='Assumptions and Catalog'!$C$61,L706*'Assumptions and Catalog'!$H$61+'Assumptions and Catalog'!$E$61+'Assumptions and Catalog'!$F$61,IF(L706&lt;='Assumptions and Catalog'!$C$62,L706*'Assumptions and Catalog'!$H$62+'Assumptions and Catalog'!$E$62+'Assumptions and Catalog'!$F$62,IF(L706&lt;='Assumptions and Catalog'!$C$63,L706*'Assumptions and Catalog'!$H$63+'Assumptions and Catalog'!$E$63+'Assumptions and Catalog'!$F$63,IF(L706&lt;='Assumptions and Catalog'!$C$64,L706*'Assumptions and Catalog'!$H$64+'Assumptions and Catalog'!$E$64+'Assumptions and Catalog'!$F$64,IF(L706&lt;='Assumptions and Catalog'!$C$65,L706*'Assumptions and Catalog'!$H$65+'Assumptions and Catalog'!$E$65+'Assumptions and Catalog'!$F$65,"Out of range")))))))))*(1+'Assumptions and Catalog'!$C$8)^(A706-1),0)</f>
        <v>2622.94605211264</v>
      </c>
      <c r="O706" s="5" t="n">
        <f>M706-N706</f>
        <v>4471.84794788736</v>
      </c>
      <c r="P706" s="5" t="n">
        <f>E$55*(1-L$14)*(1-'Assumptions and Catalog'!$C$23)^R706</f>
        <v>9.63780608</v>
      </c>
      <c r="Q706" s="5" t="n">
        <f>IF(ISNUMBER(Inputs!$L$5),(IF(Inputs!$L$9="Actual flat rate",((D706+E706)*C706-G706)*Inputs!$L$10,IF(Inputs!$C$9="Residential",IF(((D706+E706)*C706-G706)&lt;='Assumptions and Catalog'!$C$50,((D706+E706)*C706-G706)*'Assumptions and Catalog'!$H$50+'Assumptions and Catalog'!$E$50+'Assumptions and Catalog'!$F$50,IF(((D706+E706)*C706-G706)&lt;='Assumptions and Catalog'!$C$51,((D706+E706)*C706-G706)*'Assumptions and Catalog'!$H$51+'Assumptions and Catalog'!$E$51+'Assumptions and Catalog'!$F$51,IF(((D706+E706)*C706-G706)&lt;='Assumptions and Catalog'!$C$52,((D706+E706)*C706-G706)*'Assumptions and Catalog'!$H$52+'Assumptions and Catalog'!$E$52+'Assumptions and Catalog'!$F$52,IF(((D706+E706)*C706-G706)&lt;='Assumptions and Catalog'!$C$53,((D706+E706)*C706-G706)*'Assumptions and Catalog'!$H$53+'Assumptions and Catalog'!$E$53+'Assumptions and Catalog'!$F$53,IF(((D706+E706)*C706-G706)&lt;='Assumptions and Catalog'!$C$54,((D706+E706)*C706-G706)*'Assumptions and Catalog'!$H$54+'Assumptions and Catalog'!$E$54+'Assumptions and Catalog'!$F$54,IF(((D706+E706)*C706-G706)&lt;='Assumptions and Catalog'!$C$55,((D706+E706)*C706-G706)*'Assumptions and Catalog'!$H$55+'Assumptions and Catalog'!$E$55+'Assumptions and Catalog'!$F$55,IF(((D706+E706)*C706-G706)&lt;='Assumptions and Catalog'!$C$56,((D706+E706)*C706-G706)*'Assumptions and Catalog'!$H$56+'Assumptions and Catalog'!$E$56+'Assumptions and Catalog'!$F$56,IF(((D706+E706)*C706-G706)&lt;='Assumptions and Catalog'!$C$57,((D706+E706)*C706-G706)*'Assumptions and Catalog'!$H$57+'Assumptions and Catalog'!$E$57+'Assumptions and Catalog'!$F$57,"Out of range")))))))),IF(((D706+E706)*C706-G706)&lt;='Assumptions and Catalog'!$C$60,((D706+E706)*C706-G706)*'Assumptions and Catalog'!$H$60+'Assumptions and Catalog'!$E$60+'Assumptions and Catalog'!$F$60,IF(((D706+E706)*C706-G706)&lt;='Assumptions and Catalog'!$C$61,((D706+E706)*C706-G706)*'Assumptions and Catalog'!$H$61+'Assumptions and Catalog'!$E$61+'Assumptions and Catalog'!$F$61,IF(((D706+E706)*C706-G706)&lt;='Assumptions and Catalog'!$C$62,((D706+E706)*C706-G706)*'Assumptions and Catalog'!$H$62+'Assumptions and Catalog'!$E$62+'Assumptions and Catalog'!$F$62,IF(((D706+E706)*C706-G706)&lt;='Assumptions and Catalog'!$C$63,((D706+E706)*C706-G706)*'Assumptions and Catalog'!$H$63+'Assumptions and Catalog'!$E$63+'Assumptions and Catalog'!$F$63,IF(((D706+E706)*C706-G706)&lt;='Assumptions and Catalog'!$C$64,((D706+E706)*C706-G706)*'Assumptions and Catalog'!$H$64+'Assumptions and Catalog'!$E$64+'Assumptions and Catalog'!$F$64,IF(((D706+E706)*C706-G706)&lt;='Assumptions and Catalog'!$C$65,((D706+E706)*C706-G706)*'Assumptions and Catalog'!$H$65+'Assumptions and Catalog'!$E$65+'Assumptions and Catalog'!$F$65,"Out of range")))))))))*(1+'Assumptions and Catalog'!$C$8)^(A706-1),0)</f>
        <v>3567.397</v>
      </c>
      <c r="R706" s="5" t="n">
        <f>IF(AND('Assumptions and Catalog'!$C$19&gt;0,A706&gt;='Assumptions and Catalog'!$C$19),A706-'Assumptions and Catalog'!$C$19,A706-1)</f>
        <v>3</v>
      </c>
      <c r="S706" s="5" t="n">
        <f>F706+L706-(D706+E706)*C706-J706-K706-IF(E$52&gt;0,'Assumptions and Catalog'!$C$26*C706,0)</f>
        <v>-5.6843418860808E-014</v>
      </c>
      <c r="T706" s="5"/>
      <c r="U706" s="5"/>
    </row>
    <row r="707" ht="23.100000381469727" customHeight="1">
      <c r="A707" s="5" t="n">
        <v>4</v>
      </c>
      <c r="B707" s="5" t="n">
        <v>11</v>
      </c>
      <c r="C707" s="5" t="n">
        <f>DAY(DATE('Assumptions and Catalog'!$C$24+A707-1,B707+1,0))</f>
        <v>30</v>
      </c>
      <c r="D707" s="5" t="n">
        <f>IF(ISNUMBER(Inputs!$L$5),Inputs!$L$5*Inputs!$L$6,0)</f>
        <v>40.35</v>
      </c>
      <c r="E707" s="5" t="n">
        <f>IF(ISNUMBER(Inputs!$L$5),Inputs!$L$5-D707,0)</f>
        <v>40.35</v>
      </c>
      <c r="F707" s="5" t="n">
        <f>E$51*INDEX('Solar Production'!$D$20:$D$31,B707)*C707*(1-'Assumptions and Catalog'!$C$10)^(A707-1)</f>
        <v>1484.18276191625</v>
      </c>
      <c r="G707" s="5" t="n">
        <f>MIN(F707,D707*C707)</f>
        <v>1210.5</v>
      </c>
      <c r="H707" s="5" t="n">
        <f>I707/('Assumptions and Catalog'!$C$11*'Assumptions and Catalog'!$C$12)</f>
        <v>273.68276191625</v>
      </c>
      <c r="I707" s="5" t="n">
        <f>MIN(E707*C707,P707*'Assumptions and Catalog'!$C$12*C707,(F707-G707)*'Assumptions and Catalog'!$C$11*'Assumptions and Catalog'!$C$12,E$56*'Assumptions and Catalog'!$C$14*'Assumptions and Catalog'!$C$11*'Assumptions and Catalog'!$C$12*C707,E$57*(24-'Assumptions and Catalog'!$C$13)*C707)</f>
        <v>260.169675546635</v>
      </c>
      <c r="J707" s="5" t="n">
        <f>MAX(F707-G707-H707,0)</f>
        <v>0</v>
      </c>
      <c r="K707" s="5" t="n">
        <f>H707-I707</f>
        <v>13.5130863696149</v>
      </c>
      <c r="L707" s="5" t="n">
        <f>(D707+E707)*C707-G707-I707+0+IF(E$52&gt;0,'Assumptions and Catalog'!$C$26*C707,0)</f>
        <v>950.330324453365</v>
      </c>
      <c r="M707" s="5" t="n">
        <f>IF(ISNUMBER(Inputs!$L$5),(IF(Inputs!$L$9="Actual flat rate",((D707+E707)*C707)*Inputs!$L$10,IF(Inputs!$C$9="Residential",IF(((D707+E707)*C707)&lt;='Assumptions and Catalog'!$C$50,((D707+E707)*C707)*'Assumptions and Catalog'!$H$50+'Assumptions and Catalog'!$E$50+'Assumptions and Catalog'!$F$50,IF(((D707+E707)*C707)&lt;='Assumptions and Catalog'!$C$51,((D707+E707)*C707)*'Assumptions and Catalog'!$H$51+'Assumptions and Catalog'!$E$51+'Assumptions and Catalog'!$F$51,IF(((D707+E707)*C707)&lt;='Assumptions and Catalog'!$C$52,((D707+E707)*C707)*'Assumptions and Catalog'!$H$52+'Assumptions and Catalog'!$E$52+'Assumptions and Catalog'!$F$52,IF(((D707+E707)*C707)&lt;='Assumptions and Catalog'!$C$53,((D707+E707)*C707)*'Assumptions and Catalog'!$H$53+'Assumptions and Catalog'!$E$53+'Assumptions and Catalog'!$F$53,IF(((D707+E707)*C707)&lt;='Assumptions and Catalog'!$C$54,((D707+E707)*C707)*'Assumptions and Catalog'!$H$54+'Assumptions and Catalog'!$E$54+'Assumptions and Catalog'!$F$54,IF(((D707+E707)*C707)&lt;='Assumptions and Catalog'!$C$55,((D707+E707)*C707)*'Assumptions and Catalog'!$H$55+'Assumptions and Catalog'!$E$55+'Assumptions and Catalog'!$F$55,IF(((D707+E707)*C707)&lt;='Assumptions and Catalog'!$C$56,((D707+E707)*C707)*'Assumptions and Catalog'!$H$56+'Assumptions and Catalog'!$E$56+'Assumptions and Catalog'!$F$56,IF(((D707+E707)*C707)&lt;='Assumptions and Catalog'!$C$57,((D707+E707)*C707)*'Assumptions and Catalog'!$H$57+'Assumptions and Catalog'!$E$57+'Assumptions and Catalog'!$F$57,"Out of range")))))))),IF(((D707+E707)*C707)&lt;='Assumptions and Catalog'!$C$60,((D707+E707)*C707)*'Assumptions and Catalog'!$H$60+'Assumptions and Catalog'!$E$60+'Assumptions and Catalog'!$F$60,IF(((D707+E707)*C707)&lt;='Assumptions and Catalog'!$C$61,((D707+E707)*C707)*'Assumptions and Catalog'!$H$61+'Assumptions and Catalog'!$E$61+'Assumptions and Catalog'!$F$61,IF(((D707+E707)*C707)&lt;='Assumptions and Catalog'!$C$62,((D707+E707)*C707)*'Assumptions and Catalog'!$H$62+'Assumptions and Catalog'!$E$62+'Assumptions and Catalog'!$F$62,IF(((D707+E707)*C707)&lt;='Assumptions and Catalog'!$C$63,((D707+E707)*C707)*'Assumptions and Catalog'!$H$63+'Assumptions and Catalog'!$E$63+'Assumptions and Catalog'!$F$63,IF(((D707+E707)*C707)&lt;='Assumptions and Catalog'!$C$64,((D707+E707)*C707)*'Assumptions and Catalog'!$H$64+'Assumptions and Catalog'!$E$64+'Assumptions and Catalog'!$F$64,IF(((D707+E707)*C707)&lt;='Assumptions and Catalog'!$C$65,((D707+E707)*C707)*'Assumptions and Catalog'!$H$65+'Assumptions and Catalog'!$E$65+'Assumptions and Catalog'!$F$65,"Out of range")))))))))*(1+'Assumptions and Catalog'!$C$8)^(A707-1),0)</f>
        <v>6867.22</v>
      </c>
      <c r="N707" s="5" t="n">
        <f>IF(ISNUMBER(Inputs!$L$5),(IF(Inputs!$L$9="Actual flat rate",L707*Inputs!$L$10,IF(Inputs!$C$9="Residential",IF(L707&lt;='Assumptions and Catalog'!$C$50,L707*'Assumptions and Catalog'!$H$50+'Assumptions and Catalog'!$E$50+'Assumptions and Catalog'!$F$50,IF(L707&lt;='Assumptions and Catalog'!$C$51,L707*'Assumptions and Catalog'!$H$51+'Assumptions and Catalog'!$E$51+'Assumptions and Catalog'!$F$51,IF(L707&lt;='Assumptions and Catalog'!$C$52,L707*'Assumptions and Catalog'!$H$52+'Assumptions and Catalog'!$E$52+'Assumptions and Catalog'!$F$52,IF(L707&lt;='Assumptions and Catalog'!$C$53,L707*'Assumptions and Catalog'!$H$53+'Assumptions and Catalog'!$E$53+'Assumptions and Catalog'!$F$53,IF(L707&lt;='Assumptions and Catalog'!$C$54,L707*'Assumptions and Catalog'!$H$54+'Assumptions and Catalog'!$E$54+'Assumptions and Catalog'!$F$54,IF(L707&lt;='Assumptions and Catalog'!$C$55,L707*'Assumptions and Catalog'!$H$55+'Assumptions and Catalog'!$E$55+'Assumptions and Catalog'!$F$55,IF(L707&lt;='Assumptions and Catalog'!$C$56,L707*'Assumptions and Catalog'!$H$56+'Assumptions and Catalog'!$E$56+'Assumptions and Catalog'!$F$56,IF(L707&lt;='Assumptions and Catalog'!$C$57,L707*'Assumptions and Catalog'!$H$57+'Assumptions and Catalog'!$E$57+'Assumptions and Catalog'!$F$57,"Out of range")))))))),IF(L707&lt;='Assumptions and Catalog'!$C$60,L707*'Assumptions and Catalog'!$H$60+'Assumptions and Catalog'!$E$60+'Assumptions and Catalog'!$F$60,IF(L707&lt;='Assumptions and Catalog'!$C$61,L707*'Assumptions and Catalog'!$H$61+'Assumptions and Catalog'!$E$61+'Assumptions and Catalog'!$F$61,IF(L707&lt;='Assumptions and Catalog'!$C$62,L707*'Assumptions and Catalog'!$H$62+'Assumptions and Catalog'!$E$62+'Assumptions and Catalog'!$F$62,IF(L707&lt;='Assumptions and Catalog'!$C$63,L707*'Assumptions and Catalog'!$H$63+'Assumptions and Catalog'!$E$63+'Assumptions and Catalog'!$F$63,IF(L707&lt;='Assumptions and Catalog'!$C$64,L707*'Assumptions and Catalog'!$H$64+'Assumptions and Catalog'!$E$64+'Assumptions and Catalog'!$F$64,IF(L707&lt;='Assumptions and Catalog'!$C$65,L707*'Assumptions and Catalog'!$H$65+'Assumptions and Catalog'!$E$65+'Assumptions and Catalog'!$F$65,"Out of range")))))))))*(1+'Assumptions and Catalog'!$C$8)^(A707-1),0)</f>
        <v>2597.41499873582</v>
      </c>
      <c r="O707" s="5" t="n">
        <f>M707-N707</f>
        <v>4269.80500126418</v>
      </c>
      <c r="P707" s="5" t="n">
        <f>E$55*(1-L$14)*(1-'Assumptions and Catalog'!$C$23)^R707</f>
        <v>9.63780608</v>
      </c>
      <c r="Q707" s="5" t="n">
        <f>IF(ISNUMBER(Inputs!$L$5),(IF(Inputs!$L$9="Actual flat rate",((D707+E707)*C707-G707)*Inputs!$L$10,IF(Inputs!$C$9="Residential",IF(((D707+E707)*C707-G707)&lt;='Assumptions and Catalog'!$C$50,((D707+E707)*C707-G707)*'Assumptions and Catalog'!$H$50+'Assumptions and Catalog'!$E$50+'Assumptions and Catalog'!$F$50,IF(((D707+E707)*C707-G707)&lt;='Assumptions and Catalog'!$C$51,((D707+E707)*C707-G707)*'Assumptions and Catalog'!$H$51+'Assumptions and Catalog'!$E$51+'Assumptions and Catalog'!$F$51,IF(((D707+E707)*C707-G707)&lt;='Assumptions and Catalog'!$C$52,((D707+E707)*C707-G707)*'Assumptions and Catalog'!$H$52+'Assumptions and Catalog'!$E$52+'Assumptions and Catalog'!$F$52,IF(((D707+E707)*C707-G707)&lt;='Assumptions and Catalog'!$C$53,((D707+E707)*C707-G707)*'Assumptions and Catalog'!$H$53+'Assumptions and Catalog'!$E$53+'Assumptions and Catalog'!$F$53,IF(((D707+E707)*C707-G707)&lt;='Assumptions and Catalog'!$C$54,((D707+E707)*C707-G707)*'Assumptions and Catalog'!$H$54+'Assumptions and Catalog'!$E$54+'Assumptions and Catalog'!$F$54,IF(((D707+E707)*C707-G707)&lt;='Assumptions and Catalog'!$C$55,((D707+E707)*C707-G707)*'Assumptions and Catalog'!$H$55+'Assumptions and Catalog'!$E$55+'Assumptions and Catalog'!$F$55,IF(((D707+E707)*C707-G707)&lt;='Assumptions and Catalog'!$C$56,((D707+E707)*C707-G707)*'Assumptions and Catalog'!$H$56+'Assumptions and Catalog'!$E$56+'Assumptions and Catalog'!$F$56,IF(((D707+E707)*C707-G707)&lt;='Assumptions and Catalog'!$C$57,((D707+E707)*C707-G707)*'Assumptions and Catalog'!$H$57+'Assumptions and Catalog'!$E$57+'Assumptions and Catalog'!$F$57,"Out of range")))))))),IF(((D707+E707)*C707-G707)&lt;='Assumptions and Catalog'!$C$60,((D707+E707)*C707-G707)*'Assumptions and Catalog'!$H$60+'Assumptions and Catalog'!$E$60+'Assumptions and Catalog'!$F$60,IF(((D707+E707)*C707-G707)&lt;='Assumptions and Catalog'!$C$61,((D707+E707)*C707-G707)*'Assumptions and Catalog'!$H$61+'Assumptions and Catalog'!$E$61+'Assumptions and Catalog'!$F$61,IF(((D707+E707)*C707-G707)&lt;='Assumptions and Catalog'!$C$62,((D707+E707)*C707-G707)*'Assumptions and Catalog'!$H$62+'Assumptions and Catalog'!$E$62+'Assumptions and Catalog'!$F$62,IF(((D707+E707)*C707-G707)&lt;='Assumptions and Catalog'!$C$63,((D707+E707)*C707-G707)*'Assumptions and Catalog'!$H$63+'Assumptions and Catalog'!$E$63+'Assumptions and Catalog'!$F$63,IF(((D707+E707)*C707-G707)&lt;='Assumptions and Catalog'!$C$64,((D707+E707)*C707-G707)*'Assumptions and Catalog'!$H$64+'Assumptions and Catalog'!$E$64+'Assumptions and Catalog'!$F$64,IF(((D707+E707)*C707-G707)&lt;='Assumptions and Catalog'!$C$65,((D707+E707)*C707-G707)*'Assumptions and Catalog'!$H$65+'Assumptions and Catalog'!$E$65+'Assumptions and Catalog'!$F$65,"Out of range")))))))))*(1+'Assumptions and Catalog'!$C$8)^(A707-1),0)</f>
        <v>3453.61</v>
      </c>
      <c r="R707" s="5" t="n">
        <f>IF(AND('Assumptions and Catalog'!$C$19&gt;0,A707&gt;='Assumptions and Catalog'!$C$19),A707-'Assumptions and Catalog'!$C$19,A707-1)</f>
        <v>3</v>
      </c>
      <c r="S707" s="5" t="n">
        <f>F707+L707-(D707+E707)*C707-J707-K707-IF(E$52&gt;0,'Assumptions and Catalog'!$C$26*C707,0)</f>
        <v>5.6843418860808E-014</v>
      </c>
      <c r="T707" s="5"/>
      <c r="U707" s="5"/>
    </row>
    <row r="708" ht="23.100000381469727" customHeight="1">
      <c r="A708" s="5" t="n">
        <v>4</v>
      </c>
      <c r="B708" s="5" t="n">
        <v>12</v>
      </c>
      <c r="C708" s="5" t="n">
        <f>DAY(DATE('Assumptions and Catalog'!$C$24+A708-1,B708+1,0))</f>
        <v>31</v>
      </c>
      <c r="D708" s="5" t="n">
        <f>IF(ISNUMBER(Inputs!$L$5),Inputs!$L$5*Inputs!$L$6,0)</f>
        <v>40.35</v>
      </c>
      <c r="E708" s="5" t="n">
        <f>IF(ISNUMBER(Inputs!$L$5),Inputs!$L$5-D708,0)</f>
        <v>40.35</v>
      </c>
      <c r="F708" s="5" t="n">
        <f>E$51*INDEX('Solar Production'!$D$20:$D$31,B708)*C708*(1-'Assumptions and Catalog'!$C$10)^(A708-1)</f>
        <v>1412.9914007</v>
      </c>
      <c r="G708" s="5" t="n">
        <f>MIN(F708,D708*C708)</f>
        <v>1250.85</v>
      </c>
      <c r="H708" s="5" t="n">
        <f>I708/('Assumptions and Catalog'!$C$11*'Assumptions and Catalog'!$C$12)</f>
        <v>162.1414007</v>
      </c>
      <c r="I708" s="5" t="n">
        <f>MIN(E708*C708,P708*'Assumptions and Catalog'!$C$12*C708,(F708-G708)*'Assumptions and Catalog'!$C$11*'Assumptions and Catalog'!$C$12,E$56*'Assumptions and Catalog'!$C$14*'Assumptions and Catalog'!$C$11*'Assumptions and Catalog'!$C$12*C708,E$57*(24-'Assumptions and Catalog'!$C$13)*C708)</f>
        <v>154.135669040438</v>
      </c>
      <c r="J708" s="5" t="n">
        <f>MAX(F708-G708-H708,0)</f>
        <v>0</v>
      </c>
      <c r="K708" s="5" t="n">
        <f>H708-I708</f>
        <v>8.00573165956251</v>
      </c>
      <c r="L708" s="5" t="n">
        <f>(D708+E708)*C708-G708-I708+0+IF(E$52&gt;0,'Assumptions and Catalog'!$C$26*C708,0)</f>
        <v>1096.71433095956</v>
      </c>
      <c r="M708" s="5" t="n">
        <f>IF(ISNUMBER(Inputs!$L$5),(IF(Inputs!$L$9="Actual flat rate",((D708+E708)*C708)*Inputs!$L$10,IF(Inputs!$C$9="Residential",IF(((D708+E708)*C708)&lt;='Assumptions and Catalog'!$C$50,((D708+E708)*C708)*'Assumptions and Catalog'!$H$50+'Assumptions and Catalog'!$E$50+'Assumptions and Catalog'!$F$50,IF(((D708+E708)*C708)&lt;='Assumptions and Catalog'!$C$51,((D708+E708)*C708)*'Assumptions and Catalog'!$H$51+'Assumptions and Catalog'!$E$51+'Assumptions and Catalog'!$F$51,IF(((D708+E708)*C708)&lt;='Assumptions and Catalog'!$C$52,((D708+E708)*C708)*'Assumptions and Catalog'!$H$52+'Assumptions and Catalog'!$E$52+'Assumptions and Catalog'!$F$52,IF(((D708+E708)*C708)&lt;='Assumptions and Catalog'!$C$53,((D708+E708)*C708)*'Assumptions and Catalog'!$H$53+'Assumptions and Catalog'!$E$53+'Assumptions and Catalog'!$F$53,IF(((D708+E708)*C708)&lt;='Assumptions and Catalog'!$C$54,((D708+E708)*C708)*'Assumptions and Catalog'!$H$54+'Assumptions and Catalog'!$E$54+'Assumptions and Catalog'!$F$54,IF(((D708+E708)*C708)&lt;='Assumptions and Catalog'!$C$55,((D708+E708)*C708)*'Assumptions and Catalog'!$H$55+'Assumptions and Catalog'!$E$55+'Assumptions and Catalog'!$F$55,IF(((D708+E708)*C708)&lt;='Assumptions and Catalog'!$C$56,((D708+E708)*C708)*'Assumptions and Catalog'!$H$56+'Assumptions and Catalog'!$E$56+'Assumptions and Catalog'!$F$56,IF(((D708+E708)*C708)&lt;='Assumptions and Catalog'!$C$57,((D708+E708)*C708)*'Assumptions and Catalog'!$H$57+'Assumptions and Catalog'!$E$57+'Assumptions and Catalog'!$F$57,"Out of range")))))))),IF(((D708+E708)*C708)&lt;='Assumptions and Catalog'!$C$60,((D708+E708)*C708)*'Assumptions and Catalog'!$H$60+'Assumptions and Catalog'!$E$60+'Assumptions and Catalog'!$F$60,IF(((D708+E708)*C708)&lt;='Assumptions and Catalog'!$C$61,((D708+E708)*C708)*'Assumptions and Catalog'!$H$61+'Assumptions and Catalog'!$E$61+'Assumptions and Catalog'!$F$61,IF(((D708+E708)*C708)&lt;='Assumptions and Catalog'!$C$62,((D708+E708)*C708)*'Assumptions and Catalog'!$H$62+'Assumptions and Catalog'!$E$62+'Assumptions and Catalog'!$F$62,IF(((D708+E708)*C708)&lt;='Assumptions and Catalog'!$C$63,((D708+E708)*C708)*'Assumptions and Catalog'!$H$63+'Assumptions and Catalog'!$E$63+'Assumptions and Catalog'!$F$63,IF(((D708+E708)*C708)&lt;='Assumptions and Catalog'!$C$64,((D708+E708)*C708)*'Assumptions and Catalog'!$H$64+'Assumptions and Catalog'!$E$64+'Assumptions and Catalog'!$F$64,IF(((D708+E708)*C708)&lt;='Assumptions and Catalog'!$C$65,((D708+E708)*C708)*'Assumptions and Catalog'!$H$65+'Assumptions and Catalog'!$E$65+'Assumptions and Catalog'!$F$65,"Out of range")))))))))*(1+'Assumptions and Catalog'!$C$8)^(A708-1),0)</f>
        <v>7094.794</v>
      </c>
      <c r="N708" s="5" t="n">
        <f>IF(ISNUMBER(Inputs!$L$5),(IF(Inputs!$L$9="Actual flat rate",L708*Inputs!$L$10,IF(Inputs!$C$9="Residential",IF(L708&lt;='Assumptions and Catalog'!$C$50,L708*'Assumptions and Catalog'!$H$50+'Assumptions and Catalog'!$E$50+'Assumptions and Catalog'!$F$50,IF(L708&lt;='Assumptions and Catalog'!$C$51,L708*'Assumptions and Catalog'!$H$51+'Assumptions and Catalog'!$E$51+'Assumptions and Catalog'!$F$51,IF(L708&lt;='Assumptions and Catalog'!$C$52,L708*'Assumptions and Catalog'!$H$52+'Assumptions and Catalog'!$E$52+'Assumptions and Catalog'!$F$52,IF(L708&lt;='Assumptions and Catalog'!$C$53,L708*'Assumptions and Catalog'!$H$53+'Assumptions and Catalog'!$E$53+'Assumptions and Catalog'!$F$53,IF(L708&lt;='Assumptions and Catalog'!$C$54,L708*'Assumptions and Catalog'!$H$54+'Assumptions and Catalog'!$E$54+'Assumptions and Catalog'!$F$54,IF(L708&lt;='Assumptions and Catalog'!$C$55,L708*'Assumptions and Catalog'!$H$55+'Assumptions and Catalog'!$E$55+'Assumptions and Catalog'!$F$55,IF(L708&lt;='Assumptions and Catalog'!$C$56,L708*'Assumptions and Catalog'!$H$56+'Assumptions and Catalog'!$E$56+'Assumptions and Catalog'!$F$56,IF(L708&lt;='Assumptions and Catalog'!$C$57,L708*'Assumptions and Catalog'!$H$57+'Assumptions and Catalog'!$E$57+'Assumptions and Catalog'!$F$57,"Out of range")))))))),IF(L708&lt;='Assumptions and Catalog'!$C$60,L708*'Assumptions and Catalog'!$H$60+'Assumptions and Catalog'!$E$60+'Assumptions and Catalog'!$F$60,IF(L708&lt;='Assumptions and Catalog'!$C$61,L708*'Assumptions and Catalog'!$H$61+'Assumptions and Catalog'!$E$61+'Assumptions and Catalog'!$F$61,IF(L708&lt;='Assumptions and Catalog'!$C$62,L708*'Assumptions and Catalog'!$H$62+'Assumptions and Catalog'!$E$62+'Assumptions and Catalog'!$F$62,IF(L708&lt;='Assumptions and Catalog'!$C$63,L708*'Assumptions and Catalog'!$H$63+'Assumptions and Catalog'!$E$63+'Assumptions and Catalog'!$F$63,IF(L708&lt;='Assumptions and Catalog'!$C$64,L708*'Assumptions and Catalog'!$H$64+'Assumptions and Catalog'!$E$64+'Assumptions and Catalog'!$F$64,IF(L708&lt;='Assumptions and Catalog'!$C$65,L708*'Assumptions and Catalog'!$H$65+'Assumptions and Catalog'!$E$65+'Assumptions and Catalog'!$F$65,"Out of range")))))))))*(1+'Assumptions and Catalog'!$C$8)^(A708-1),0)</f>
        <v>3132.73441330597</v>
      </c>
      <c r="O708" s="5" t="n">
        <f>M708-N708</f>
        <v>3962.05958669404</v>
      </c>
      <c r="P708" s="5" t="n">
        <f>E$55*(1-L$14)*(1-'Assumptions and Catalog'!$C$23)^R708</f>
        <v>9.63780608</v>
      </c>
      <c r="Q708" s="5" t="n">
        <f>IF(ISNUMBER(Inputs!$L$5),(IF(Inputs!$L$9="Actual flat rate",((D708+E708)*C708-G708)*Inputs!$L$10,IF(Inputs!$C$9="Residential",IF(((D708+E708)*C708-G708)&lt;='Assumptions and Catalog'!$C$50,((D708+E708)*C708-G708)*'Assumptions and Catalog'!$H$50+'Assumptions and Catalog'!$E$50+'Assumptions and Catalog'!$F$50,IF(((D708+E708)*C708-G708)&lt;='Assumptions and Catalog'!$C$51,((D708+E708)*C708-G708)*'Assumptions and Catalog'!$H$51+'Assumptions and Catalog'!$E$51+'Assumptions and Catalog'!$F$51,IF(((D708+E708)*C708-G708)&lt;='Assumptions and Catalog'!$C$52,((D708+E708)*C708-G708)*'Assumptions and Catalog'!$H$52+'Assumptions and Catalog'!$E$52+'Assumptions and Catalog'!$F$52,IF(((D708+E708)*C708-G708)&lt;='Assumptions and Catalog'!$C$53,((D708+E708)*C708-G708)*'Assumptions and Catalog'!$H$53+'Assumptions and Catalog'!$E$53+'Assumptions and Catalog'!$F$53,IF(((D708+E708)*C708-G708)&lt;='Assumptions and Catalog'!$C$54,((D708+E708)*C708-G708)*'Assumptions and Catalog'!$H$54+'Assumptions and Catalog'!$E$54+'Assumptions and Catalog'!$F$54,IF(((D708+E708)*C708-G708)&lt;='Assumptions and Catalog'!$C$55,((D708+E708)*C708-G708)*'Assumptions and Catalog'!$H$55+'Assumptions and Catalog'!$E$55+'Assumptions and Catalog'!$F$55,IF(((D708+E708)*C708-G708)&lt;='Assumptions and Catalog'!$C$56,((D708+E708)*C708-G708)*'Assumptions and Catalog'!$H$56+'Assumptions and Catalog'!$E$56+'Assumptions and Catalog'!$F$56,IF(((D708+E708)*C708-G708)&lt;='Assumptions and Catalog'!$C$57,((D708+E708)*C708-G708)*'Assumptions and Catalog'!$H$57+'Assumptions and Catalog'!$E$57+'Assumptions and Catalog'!$F$57,"Out of range")))))))),IF(((D708+E708)*C708-G708)&lt;='Assumptions and Catalog'!$C$60,((D708+E708)*C708-G708)*'Assumptions and Catalog'!$H$60+'Assumptions and Catalog'!$E$60+'Assumptions and Catalog'!$F$60,IF(((D708+E708)*C708-G708)&lt;='Assumptions and Catalog'!$C$61,((D708+E708)*C708-G708)*'Assumptions and Catalog'!$H$61+'Assumptions and Catalog'!$E$61+'Assumptions and Catalog'!$F$61,IF(((D708+E708)*C708-G708)&lt;='Assumptions and Catalog'!$C$62,((D708+E708)*C708-G708)*'Assumptions and Catalog'!$H$62+'Assumptions and Catalog'!$E$62+'Assumptions and Catalog'!$F$62,IF(((D708+E708)*C708-G708)&lt;='Assumptions and Catalog'!$C$63,((D708+E708)*C708-G708)*'Assumptions and Catalog'!$H$63+'Assumptions and Catalog'!$E$63+'Assumptions and Catalog'!$F$63,IF(((D708+E708)*C708-G708)&lt;='Assumptions and Catalog'!$C$64,((D708+E708)*C708-G708)*'Assumptions and Catalog'!$H$64+'Assumptions and Catalog'!$E$64+'Assumptions and Catalog'!$F$64,IF(((D708+E708)*C708-G708)&lt;='Assumptions and Catalog'!$C$65,((D708+E708)*C708-G708)*'Assumptions and Catalog'!$H$65+'Assumptions and Catalog'!$E$65+'Assumptions and Catalog'!$F$65,"Out of range")))))))))*(1+'Assumptions and Catalog'!$C$8)^(A708-1),0)</f>
        <v>3567.397</v>
      </c>
      <c r="R708" s="5" t="n">
        <f>IF(AND('Assumptions and Catalog'!$C$19&gt;0,A708&gt;='Assumptions and Catalog'!$C$19),A708-'Assumptions and Catalog'!$C$19,A708-1)</f>
        <v>3</v>
      </c>
      <c r="S708" s="5" t="n">
        <f>F708+L708-(D708+E708)*C708-J708-K708-IF(E$52&gt;0,'Assumptions and Catalog'!$C$26*C708,0)</f>
        <v>5.6843418860808E-014</v>
      </c>
      <c r="T708" s="5"/>
      <c r="U708" s="5"/>
    </row>
    <row r="709" ht="23.100000381469727" customHeight="1">
      <c r="A709" s="5" t="n">
        <v>5</v>
      </c>
      <c r="B709" s="5" t="n">
        <v>1</v>
      </c>
      <c r="C709" s="5" t="n">
        <f>DAY(DATE('Assumptions and Catalog'!$C$24+A709-1,B709+1,0))</f>
        <v>31</v>
      </c>
      <c r="D709" s="5" t="n">
        <f>IF(ISNUMBER(Inputs!$L$5),Inputs!$L$5*Inputs!$L$6,0)</f>
        <v>40.35</v>
      </c>
      <c r="E709" s="5" t="n">
        <f>IF(ISNUMBER(Inputs!$L$5),Inputs!$L$5-D709,0)</f>
        <v>40.35</v>
      </c>
      <c r="F709" s="5" t="n">
        <f>E$51*INDEX('Solar Production'!$D$20:$D$31,B709)*C709*(1-'Assumptions and Catalog'!$C$10)^(A709-1)</f>
        <v>1415.62992375269</v>
      </c>
      <c r="G709" s="5" t="n">
        <f>MIN(F709,D709*C709)</f>
        <v>1250.85</v>
      </c>
      <c r="H709" s="5" t="n">
        <f>I709/('Assumptions and Catalog'!$C$11*'Assumptions and Catalog'!$C$12)</f>
        <v>164.779923752688</v>
      </c>
      <c r="I709" s="5" t="n">
        <f>MIN(E709*C709,P709*'Assumptions and Catalog'!$C$12*C709,(F709-G709)*'Assumptions and Catalog'!$C$11*'Assumptions and Catalog'!$C$12,E$56*'Assumptions and Catalog'!$C$14*'Assumptions and Catalog'!$C$11*'Assumptions and Catalog'!$C$12*C709,E$57*(24-'Assumptions and Catalog'!$C$13)*C709)</f>
        <v>156.643915017399</v>
      </c>
      <c r="J709" s="5" t="n">
        <f>MAX(F709-G709-H709,0)</f>
        <v>0</v>
      </c>
      <c r="K709" s="5" t="n">
        <f>H709-I709</f>
        <v>8.13600873528895</v>
      </c>
      <c r="L709" s="5" t="n">
        <f>(D709+E709)*C709-G709-I709+0+IF(E$52&gt;0,'Assumptions and Catalog'!$C$26*C709,0)</f>
        <v>1094.2060849826</v>
      </c>
      <c r="M709" s="5" t="n">
        <f>IF(ISNUMBER(Inputs!$L$5),(IF(Inputs!$L$9="Actual flat rate",((D709+E709)*C709)*Inputs!$L$10,IF(Inputs!$C$9="Residential",IF(((D709+E709)*C709)&lt;='Assumptions and Catalog'!$C$50,((D709+E709)*C709)*'Assumptions and Catalog'!$H$50+'Assumptions and Catalog'!$E$50+'Assumptions and Catalog'!$F$50,IF(((D709+E709)*C709)&lt;='Assumptions and Catalog'!$C$51,((D709+E709)*C709)*'Assumptions and Catalog'!$H$51+'Assumptions and Catalog'!$E$51+'Assumptions and Catalog'!$F$51,IF(((D709+E709)*C709)&lt;='Assumptions and Catalog'!$C$52,((D709+E709)*C709)*'Assumptions and Catalog'!$H$52+'Assumptions and Catalog'!$E$52+'Assumptions and Catalog'!$F$52,IF(((D709+E709)*C709)&lt;='Assumptions and Catalog'!$C$53,((D709+E709)*C709)*'Assumptions and Catalog'!$H$53+'Assumptions and Catalog'!$E$53+'Assumptions and Catalog'!$F$53,IF(((D709+E709)*C709)&lt;='Assumptions and Catalog'!$C$54,((D709+E709)*C709)*'Assumptions and Catalog'!$H$54+'Assumptions and Catalog'!$E$54+'Assumptions and Catalog'!$F$54,IF(((D709+E709)*C709)&lt;='Assumptions and Catalog'!$C$55,((D709+E709)*C709)*'Assumptions and Catalog'!$H$55+'Assumptions and Catalog'!$E$55+'Assumptions and Catalog'!$F$55,IF(((D709+E709)*C709)&lt;='Assumptions and Catalog'!$C$56,((D709+E709)*C709)*'Assumptions and Catalog'!$H$56+'Assumptions and Catalog'!$E$56+'Assumptions and Catalog'!$F$56,IF(((D709+E709)*C709)&lt;='Assumptions and Catalog'!$C$57,((D709+E709)*C709)*'Assumptions and Catalog'!$H$57+'Assumptions and Catalog'!$E$57+'Assumptions and Catalog'!$F$57,"Out of range")))))))),IF(((D709+E709)*C709)&lt;='Assumptions and Catalog'!$C$60,((D709+E709)*C709)*'Assumptions and Catalog'!$H$60+'Assumptions and Catalog'!$E$60+'Assumptions and Catalog'!$F$60,IF(((D709+E709)*C709)&lt;='Assumptions and Catalog'!$C$61,((D709+E709)*C709)*'Assumptions and Catalog'!$H$61+'Assumptions and Catalog'!$E$61+'Assumptions and Catalog'!$F$61,IF(((D709+E709)*C709)&lt;='Assumptions and Catalog'!$C$62,((D709+E709)*C709)*'Assumptions and Catalog'!$H$62+'Assumptions and Catalog'!$E$62+'Assumptions and Catalog'!$F$62,IF(((D709+E709)*C709)&lt;='Assumptions and Catalog'!$C$63,((D709+E709)*C709)*'Assumptions and Catalog'!$H$63+'Assumptions and Catalog'!$E$63+'Assumptions and Catalog'!$F$63,IF(((D709+E709)*C709)&lt;='Assumptions and Catalog'!$C$64,((D709+E709)*C709)*'Assumptions and Catalog'!$H$64+'Assumptions and Catalog'!$E$64+'Assumptions and Catalog'!$F$64,IF(((D709+E709)*C709)&lt;='Assumptions and Catalog'!$C$65,((D709+E709)*C709)*'Assumptions and Catalog'!$H$65+'Assumptions and Catalog'!$E$65+'Assumptions and Catalog'!$F$65,"Out of range")))))))))*(1+'Assumptions and Catalog'!$C$8)^(A709-1),0)</f>
        <v>7094.794</v>
      </c>
      <c r="N709" s="5" t="n">
        <f>IF(ISNUMBER(Inputs!$L$5),(IF(Inputs!$L$9="Actual flat rate",L709*Inputs!$L$10,IF(Inputs!$C$9="Residential",IF(L709&lt;='Assumptions and Catalog'!$C$50,L709*'Assumptions and Catalog'!$H$50+'Assumptions and Catalog'!$E$50+'Assumptions and Catalog'!$F$50,IF(L709&lt;='Assumptions and Catalog'!$C$51,L709*'Assumptions and Catalog'!$H$51+'Assumptions and Catalog'!$E$51+'Assumptions and Catalog'!$F$51,IF(L709&lt;='Assumptions and Catalog'!$C$52,L709*'Assumptions and Catalog'!$H$52+'Assumptions and Catalog'!$E$52+'Assumptions and Catalog'!$F$52,IF(L709&lt;='Assumptions and Catalog'!$C$53,L709*'Assumptions and Catalog'!$H$53+'Assumptions and Catalog'!$E$53+'Assumptions and Catalog'!$F$53,IF(L709&lt;='Assumptions and Catalog'!$C$54,L709*'Assumptions and Catalog'!$H$54+'Assumptions and Catalog'!$E$54+'Assumptions and Catalog'!$F$54,IF(L709&lt;='Assumptions and Catalog'!$C$55,L709*'Assumptions and Catalog'!$H$55+'Assumptions and Catalog'!$E$55+'Assumptions and Catalog'!$F$55,IF(L709&lt;='Assumptions and Catalog'!$C$56,L709*'Assumptions and Catalog'!$H$56+'Assumptions and Catalog'!$E$56+'Assumptions and Catalog'!$F$56,IF(L709&lt;='Assumptions and Catalog'!$C$57,L709*'Assumptions and Catalog'!$H$57+'Assumptions and Catalog'!$E$57+'Assumptions and Catalog'!$F$57,"Out of range")))))))),IF(L709&lt;='Assumptions and Catalog'!$C$60,L709*'Assumptions and Catalog'!$H$60+'Assumptions and Catalog'!$E$60+'Assumptions and Catalog'!$F$60,IF(L709&lt;='Assumptions and Catalog'!$C$61,L709*'Assumptions and Catalog'!$H$61+'Assumptions and Catalog'!$E$61+'Assumptions and Catalog'!$F$61,IF(L709&lt;='Assumptions and Catalog'!$C$62,L709*'Assumptions and Catalog'!$H$62+'Assumptions and Catalog'!$E$62+'Assumptions and Catalog'!$F$62,IF(L709&lt;='Assumptions and Catalog'!$C$63,L709*'Assumptions and Catalog'!$H$63+'Assumptions and Catalog'!$E$63+'Assumptions and Catalog'!$F$63,IF(L709&lt;='Assumptions and Catalog'!$C$64,L709*'Assumptions and Catalog'!$H$64+'Assumptions and Catalog'!$E$64+'Assumptions and Catalog'!$F$64,IF(L709&lt;='Assumptions and Catalog'!$C$65,L709*'Assumptions and Catalog'!$H$65+'Assumptions and Catalog'!$E$65+'Assumptions and Catalog'!$F$65,"Out of range")))))))))*(1+'Assumptions and Catalog'!$C$8)^(A709-1),0)</f>
        <v>3125.66115965094</v>
      </c>
      <c r="O709" s="5" t="n">
        <f>M709-N709</f>
        <v>3969.13284034907</v>
      </c>
      <c r="P709" s="5" t="n">
        <f>E$55*(1-L$14)*(1-'Assumptions and Catalog'!$C$23)^R709</f>
        <v>9.4450499584</v>
      </c>
      <c r="Q709" s="5" t="n">
        <f>IF(ISNUMBER(Inputs!$L$5),(IF(Inputs!$L$9="Actual flat rate",((D709+E709)*C709-G709)*Inputs!$L$10,IF(Inputs!$C$9="Residential",IF(((D709+E709)*C709-G709)&lt;='Assumptions and Catalog'!$C$50,((D709+E709)*C709-G709)*'Assumptions and Catalog'!$H$50+'Assumptions and Catalog'!$E$50+'Assumptions and Catalog'!$F$50,IF(((D709+E709)*C709-G709)&lt;='Assumptions and Catalog'!$C$51,((D709+E709)*C709-G709)*'Assumptions and Catalog'!$H$51+'Assumptions and Catalog'!$E$51+'Assumptions and Catalog'!$F$51,IF(((D709+E709)*C709-G709)&lt;='Assumptions and Catalog'!$C$52,((D709+E709)*C709-G709)*'Assumptions and Catalog'!$H$52+'Assumptions and Catalog'!$E$52+'Assumptions and Catalog'!$F$52,IF(((D709+E709)*C709-G709)&lt;='Assumptions and Catalog'!$C$53,((D709+E709)*C709-G709)*'Assumptions and Catalog'!$H$53+'Assumptions and Catalog'!$E$53+'Assumptions and Catalog'!$F$53,IF(((D709+E709)*C709-G709)&lt;='Assumptions and Catalog'!$C$54,((D709+E709)*C709-G709)*'Assumptions and Catalog'!$H$54+'Assumptions and Catalog'!$E$54+'Assumptions and Catalog'!$F$54,IF(((D709+E709)*C709-G709)&lt;='Assumptions and Catalog'!$C$55,((D709+E709)*C709-G709)*'Assumptions and Catalog'!$H$55+'Assumptions and Catalog'!$E$55+'Assumptions and Catalog'!$F$55,IF(((D709+E709)*C709-G709)&lt;='Assumptions and Catalog'!$C$56,((D709+E709)*C709-G709)*'Assumptions and Catalog'!$H$56+'Assumptions and Catalog'!$E$56+'Assumptions and Catalog'!$F$56,IF(((D709+E709)*C709-G709)&lt;='Assumptions and Catalog'!$C$57,((D709+E709)*C709-G709)*'Assumptions and Catalog'!$H$57+'Assumptions and Catalog'!$E$57+'Assumptions and Catalog'!$F$57,"Out of range")))))))),IF(((D709+E709)*C709-G709)&lt;='Assumptions and Catalog'!$C$60,((D709+E709)*C709-G709)*'Assumptions and Catalog'!$H$60+'Assumptions and Catalog'!$E$60+'Assumptions and Catalog'!$F$60,IF(((D709+E709)*C709-G709)&lt;='Assumptions and Catalog'!$C$61,((D709+E709)*C709-G709)*'Assumptions and Catalog'!$H$61+'Assumptions and Catalog'!$E$61+'Assumptions and Catalog'!$F$61,IF(((D709+E709)*C709-G709)&lt;='Assumptions and Catalog'!$C$62,((D709+E709)*C709-G709)*'Assumptions and Catalog'!$H$62+'Assumptions and Catalog'!$E$62+'Assumptions and Catalog'!$F$62,IF(((D709+E709)*C709-G709)&lt;='Assumptions and Catalog'!$C$63,((D709+E709)*C709-G709)*'Assumptions and Catalog'!$H$63+'Assumptions and Catalog'!$E$63+'Assumptions and Catalog'!$F$63,IF(((D709+E709)*C709-G709)&lt;='Assumptions and Catalog'!$C$64,((D709+E709)*C709-G709)*'Assumptions and Catalog'!$H$64+'Assumptions and Catalog'!$E$64+'Assumptions and Catalog'!$F$64,IF(((D709+E709)*C709-G709)&lt;='Assumptions and Catalog'!$C$65,((D709+E709)*C709-G709)*'Assumptions and Catalog'!$H$65+'Assumptions and Catalog'!$E$65+'Assumptions and Catalog'!$F$65,"Out of range")))))))))*(1+'Assumptions and Catalog'!$C$8)^(A709-1),0)</f>
        <v>3567.397</v>
      </c>
      <c r="R709" s="5" t="n">
        <f>IF(AND('Assumptions and Catalog'!$C$19&gt;0,A709&gt;='Assumptions and Catalog'!$C$19),A709-'Assumptions and Catalog'!$C$19,A709-1)</f>
        <v>4</v>
      </c>
      <c r="S709" s="5" t="n">
        <f>F709+L709-(D709+E709)*C709-J709-K709-IF(E$52&gt;0,'Assumptions and Catalog'!$C$26*C709,0)</f>
        <v>1.70530256582424E-013</v>
      </c>
      <c r="T709" s="5"/>
      <c r="U709" s="5"/>
    </row>
    <row r="710" ht="23.100000381469727" customHeight="1">
      <c r="A710" s="5" t="n">
        <v>5</v>
      </c>
      <c r="B710" s="5" t="n">
        <v>2</v>
      </c>
      <c r="C710" s="5" t="n">
        <f>DAY(DATE('Assumptions and Catalog'!$C$24+A710-1,B710+1,0))</f>
        <v>28</v>
      </c>
      <c r="D710" s="5" t="n">
        <f>IF(ISNUMBER(Inputs!$L$5),Inputs!$L$5*Inputs!$L$6,0)</f>
        <v>40.35</v>
      </c>
      <c r="E710" s="5" t="n">
        <f>IF(ISNUMBER(Inputs!$L$5),Inputs!$L$5-D710,0)</f>
        <v>40.35</v>
      </c>
      <c r="F710" s="5" t="n">
        <f>E$51*INDEX('Solar Production'!$D$20:$D$31,B710)*C710*(1-'Assumptions and Catalog'!$C$10)^(A710-1)</f>
        <v>1395.68388141497</v>
      </c>
      <c r="G710" s="5" t="n">
        <f>MIN(F710,D710*C710)</f>
        <v>1129.8</v>
      </c>
      <c r="H710" s="5" t="n">
        <f>I710/('Assumptions and Catalog'!$C$11*'Assumptions and Catalog'!$C$12)</f>
        <v>265.883881414969</v>
      </c>
      <c r="I710" s="5" t="n">
        <f>MIN(E710*C710,P710*'Assumptions and Catalog'!$C$12*C710,(F710-G710)*'Assumptions and Catalog'!$C$11*'Assumptions and Catalog'!$C$12,E$56*'Assumptions and Catalog'!$C$14*'Assumptions and Catalog'!$C$11*'Assumptions and Catalog'!$C$12*C710,E$57*(24-'Assumptions and Catalog'!$C$13)*C710)</f>
        <v>252.755864770104</v>
      </c>
      <c r="J710" s="5" t="n">
        <f>MAX(F710-G710-H710,0)</f>
        <v>0</v>
      </c>
      <c r="K710" s="5" t="n">
        <f>H710-I710</f>
        <v>13.1280166448641</v>
      </c>
      <c r="L710" s="5" t="n">
        <f>(D710+E710)*C710-G710-I710+0+IF(E$52&gt;0,'Assumptions and Catalog'!$C$26*C710,0)</f>
        <v>877.044135229896</v>
      </c>
      <c r="M710" s="5" t="n">
        <f>IF(ISNUMBER(Inputs!$L$5),(IF(Inputs!$L$9="Actual flat rate",((D710+E710)*C710)*Inputs!$L$10,IF(Inputs!$C$9="Residential",IF(((D710+E710)*C710)&lt;='Assumptions and Catalog'!$C$50,((D710+E710)*C710)*'Assumptions and Catalog'!$H$50+'Assumptions and Catalog'!$E$50+'Assumptions and Catalog'!$F$50,IF(((D710+E710)*C710)&lt;='Assumptions and Catalog'!$C$51,((D710+E710)*C710)*'Assumptions and Catalog'!$H$51+'Assumptions and Catalog'!$E$51+'Assumptions and Catalog'!$F$51,IF(((D710+E710)*C710)&lt;='Assumptions and Catalog'!$C$52,((D710+E710)*C710)*'Assumptions and Catalog'!$H$52+'Assumptions and Catalog'!$E$52+'Assumptions and Catalog'!$F$52,IF(((D710+E710)*C710)&lt;='Assumptions and Catalog'!$C$53,((D710+E710)*C710)*'Assumptions and Catalog'!$H$53+'Assumptions and Catalog'!$E$53+'Assumptions and Catalog'!$F$53,IF(((D710+E710)*C710)&lt;='Assumptions and Catalog'!$C$54,((D710+E710)*C710)*'Assumptions and Catalog'!$H$54+'Assumptions and Catalog'!$E$54+'Assumptions and Catalog'!$F$54,IF(((D710+E710)*C710)&lt;='Assumptions and Catalog'!$C$55,((D710+E710)*C710)*'Assumptions and Catalog'!$H$55+'Assumptions and Catalog'!$E$55+'Assumptions and Catalog'!$F$55,IF(((D710+E710)*C710)&lt;='Assumptions and Catalog'!$C$56,((D710+E710)*C710)*'Assumptions and Catalog'!$H$56+'Assumptions and Catalog'!$E$56+'Assumptions and Catalog'!$F$56,IF(((D710+E710)*C710)&lt;='Assumptions and Catalog'!$C$57,((D710+E710)*C710)*'Assumptions and Catalog'!$H$57+'Assumptions and Catalog'!$E$57+'Assumptions and Catalog'!$F$57,"Out of range")))))))),IF(((D710+E710)*C710)&lt;='Assumptions and Catalog'!$C$60,((D710+E710)*C710)*'Assumptions and Catalog'!$H$60+'Assumptions and Catalog'!$E$60+'Assumptions and Catalog'!$F$60,IF(((D710+E710)*C710)&lt;='Assumptions and Catalog'!$C$61,((D710+E710)*C710)*'Assumptions and Catalog'!$H$61+'Assumptions and Catalog'!$E$61+'Assumptions and Catalog'!$F$61,IF(((D710+E710)*C710)&lt;='Assumptions and Catalog'!$C$62,((D710+E710)*C710)*'Assumptions and Catalog'!$H$62+'Assumptions and Catalog'!$E$62+'Assumptions and Catalog'!$F$62,IF(((D710+E710)*C710)&lt;='Assumptions and Catalog'!$C$63,((D710+E710)*C710)*'Assumptions and Catalog'!$H$63+'Assumptions and Catalog'!$E$63+'Assumptions and Catalog'!$F$63,IF(((D710+E710)*C710)&lt;='Assumptions and Catalog'!$C$64,((D710+E710)*C710)*'Assumptions and Catalog'!$H$64+'Assumptions and Catalog'!$E$64+'Assumptions and Catalog'!$F$64,IF(((D710+E710)*C710)&lt;='Assumptions and Catalog'!$C$65,((D710+E710)*C710)*'Assumptions and Catalog'!$H$65+'Assumptions and Catalog'!$E$65+'Assumptions and Catalog'!$F$65,"Out of range")))))))))*(1+'Assumptions and Catalog'!$C$8)^(A710-1),0)</f>
        <v>6412.072</v>
      </c>
      <c r="N710" s="5" t="n">
        <f>IF(ISNUMBER(Inputs!$L$5),(IF(Inputs!$L$9="Actual flat rate",L710*Inputs!$L$10,IF(Inputs!$C$9="Residential",IF(L710&lt;='Assumptions and Catalog'!$C$50,L710*'Assumptions and Catalog'!$H$50+'Assumptions and Catalog'!$E$50+'Assumptions and Catalog'!$F$50,IF(L710&lt;='Assumptions and Catalog'!$C$51,L710*'Assumptions and Catalog'!$H$51+'Assumptions and Catalog'!$E$51+'Assumptions and Catalog'!$F$51,IF(L710&lt;='Assumptions and Catalog'!$C$52,L710*'Assumptions and Catalog'!$H$52+'Assumptions and Catalog'!$E$52+'Assumptions and Catalog'!$F$52,IF(L710&lt;='Assumptions and Catalog'!$C$53,L710*'Assumptions and Catalog'!$H$53+'Assumptions and Catalog'!$E$53+'Assumptions and Catalog'!$F$53,IF(L710&lt;='Assumptions and Catalog'!$C$54,L710*'Assumptions and Catalog'!$H$54+'Assumptions and Catalog'!$E$54+'Assumptions and Catalog'!$F$54,IF(L710&lt;='Assumptions and Catalog'!$C$55,L710*'Assumptions and Catalog'!$H$55+'Assumptions and Catalog'!$E$55+'Assumptions and Catalog'!$F$55,IF(L710&lt;='Assumptions and Catalog'!$C$56,L710*'Assumptions and Catalog'!$H$56+'Assumptions and Catalog'!$E$56+'Assumptions and Catalog'!$F$56,IF(L710&lt;='Assumptions and Catalog'!$C$57,L710*'Assumptions and Catalog'!$H$57+'Assumptions and Catalog'!$E$57+'Assumptions and Catalog'!$F$57,"Out of range")))))))),IF(L710&lt;='Assumptions and Catalog'!$C$60,L710*'Assumptions and Catalog'!$H$60+'Assumptions and Catalog'!$E$60+'Assumptions and Catalog'!$F$60,IF(L710&lt;='Assumptions and Catalog'!$C$61,L710*'Assumptions and Catalog'!$H$61+'Assumptions and Catalog'!$E$61+'Assumptions and Catalog'!$F$61,IF(L710&lt;='Assumptions and Catalog'!$C$62,L710*'Assumptions and Catalog'!$H$62+'Assumptions and Catalog'!$E$62+'Assumptions and Catalog'!$F$62,IF(L710&lt;='Assumptions and Catalog'!$C$63,L710*'Assumptions and Catalog'!$H$63+'Assumptions and Catalog'!$E$63+'Assumptions and Catalog'!$F$63,IF(L710&lt;='Assumptions and Catalog'!$C$64,L710*'Assumptions and Catalog'!$H$64+'Assumptions and Catalog'!$E$64+'Assumptions and Catalog'!$F$64,IF(L710&lt;='Assumptions and Catalog'!$C$65,L710*'Assumptions and Catalog'!$H$65+'Assumptions and Catalog'!$E$65+'Assumptions and Catalog'!$F$65,"Out of range")))))))))*(1+'Assumptions and Catalog'!$C$8)^(A710-1),0)</f>
        <v>2394.41225458681</v>
      </c>
      <c r="O710" s="5" t="n">
        <f>M710-N710</f>
        <v>4017.65974541319</v>
      </c>
      <c r="P710" s="5" t="n">
        <f>E$55*(1-L$14)*(1-'Assumptions and Catalog'!$C$23)^R710</f>
        <v>9.4450499584</v>
      </c>
      <c r="Q710" s="5" t="n">
        <f>IF(ISNUMBER(Inputs!$L$5),(IF(Inputs!$L$9="Actual flat rate",((D710+E710)*C710-G710)*Inputs!$L$10,IF(Inputs!$C$9="Residential",IF(((D710+E710)*C710-G710)&lt;='Assumptions and Catalog'!$C$50,((D710+E710)*C710-G710)*'Assumptions and Catalog'!$H$50+'Assumptions and Catalog'!$E$50+'Assumptions and Catalog'!$F$50,IF(((D710+E710)*C710-G710)&lt;='Assumptions and Catalog'!$C$51,((D710+E710)*C710-G710)*'Assumptions and Catalog'!$H$51+'Assumptions and Catalog'!$E$51+'Assumptions and Catalog'!$F$51,IF(((D710+E710)*C710-G710)&lt;='Assumptions and Catalog'!$C$52,((D710+E710)*C710-G710)*'Assumptions and Catalog'!$H$52+'Assumptions and Catalog'!$E$52+'Assumptions and Catalog'!$F$52,IF(((D710+E710)*C710-G710)&lt;='Assumptions and Catalog'!$C$53,((D710+E710)*C710-G710)*'Assumptions and Catalog'!$H$53+'Assumptions and Catalog'!$E$53+'Assumptions and Catalog'!$F$53,IF(((D710+E710)*C710-G710)&lt;='Assumptions and Catalog'!$C$54,((D710+E710)*C710-G710)*'Assumptions and Catalog'!$H$54+'Assumptions and Catalog'!$E$54+'Assumptions and Catalog'!$F$54,IF(((D710+E710)*C710-G710)&lt;='Assumptions and Catalog'!$C$55,((D710+E710)*C710-G710)*'Assumptions and Catalog'!$H$55+'Assumptions and Catalog'!$E$55+'Assumptions and Catalog'!$F$55,IF(((D710+E710)*C710-G710)&lt;='Assumptions and Catalog'!$C$56,((D710+E710)*C710-G710)*'Assumptions and Catalog'!$H$56+'Assumptions and Catalog'!$E$56+'Assumptions and Catalog'!$F$56,IF(((D710+E710)*C710-G710)&lt;='Assumptions and Catalog'!$C$57,((D710+E710)*C710-G710)*'Assumptions and Catalog'!$H$57+'Assumptions and Catalog'!$E$57+'Assumptions and Catalog'!$F$57,"Out of range")))))))),IF(((D710+E710)*C710-G710)&lt;='Assumptions and Catalog'!$C$60,((D710+E710)*C710-G710)*'Assumptions and Catalog'!$H$60+'Assumptions and Catalog'!$E$60+'Assumptions and Catalog'!$F$60,IF(((D710+E710)*C710-G710)&lt;='Assumptions and Catalog'!$C$61,((D710+E710)*C710-G710)*'Assumptions and Catalog'!$H$61+'Assumptions and Catalog'!$E$61+'Assumptions and Catalog'!$F$61,IF(((D710+E710)*C710-G710)&lt;='Assumptions and Catalog'!$C$62,((D710+E710)*C710-G710)*'Assumptions and Catalog'!$H$62+'Assumptions and Catalog'!$E$62+'Assumptions and Catalog'!$F$62,IF(((D710+E710)*C710-G710)&lt;='Assumptions and Catalog'!$C$63,((D710+E710)*C710-G710)*'Assumptions and Catalog'!$H$63+'Assumptions and Catalog'!$E$63+'Assumptions and Catalog'!$F$63,IF(((D710+E710)*C710-G710)&lt;='Assumptions and Catalog'!$C$64,((D710+E710)*C710-G710)*'Assumptions and Catalog'!$H$64+'Assumptions and Catalog'!$E$64+'Assumptions and Catalog'!$F$64,IF(((D710+E710)*C710-G710)&lt;='Assumptions and Catalog'!$C$65,((D710+E710)*C710-G710)*'Assumptions and Catalog'!$H$65+'Assumptions and Catalog'!$E$65+'Assumptions and Catalog'!$F$65,"Out of range")))))))))*(1+'Assumptions and Catalog'!$C$8)^(A710-1),0)</f>
        <v>3226.036</v>
      </c>
      <c r="R710" s="5" t="n">
        <f>IF(AND('Assumptions and Catalog'!$C$19&gt;0,A710&gt;='Assumptions and Catalog'!$C$19),A710-'Assumptions and Catalog'!$C$19,A710-1)</f>
        <v>4</v>
      </c>
      <c r="S710" s="5" t="n">
        <f>F710+L710-(D710+E710)*C710-J710-K710-IF(E$52&gt;0,'Assumptions and Catalog'!$C$26*C710,0)</f>
        <v>8.5265128291212E-014</v>
      </c>
      <c r="T710" s="5"/>
      <c r="U710" s="5"/>
    </row>
    <row r="711" ht="23.100000381469727" customHeight="1">
      <c r="A711" s="5" t="n">
        <v>5</v>
      </c>
      <c r="B711" s="5" t="n">
        <v>3</v>
      </c>
      <c r="C711" s="5" t="n">
        <f>DAY(DATE('Assumptions and Catalog'!$C$24+A711-1,B711+1,0))</f>
        <v>31</v>
      </c>
      <c r="D711" s="5" t="n">
        <f>IF(ISNUMBER(Inputs!$L$5),Inputs!$L$5*Inputs!$L$6,0)</f>
        <v>40.35</v>
      </c>
      <c r="E711" s="5" t="n">
        <f>IF(ISNUMBER(Inputs!$L$5),Inputs!$L$5-D711,0)</f>
        <v>40.35</v>
      </c>
      <c r="F711" s="5" t="n">
        <f>E$51*INDEX('Solar Production'!$D$20:$D$31,B711)*C711*(1-'Assumptions and Catalog'!$C$10)^(A711-1)</f>
        <v>1736.49166427729</v>
      </c>
      <c r="G711" s="5" t="n">
        <f>MIN(F711,D711*C711)</f>
        <v>1250.85</v>
      </c>
      <c r="H711" s="5" t="n">
        <f>I711/('Assumptions and Catalog'!$C$11*'Assumptions and Catalog'!$C$12)</f>
        <v>300.304152523487</v>
      </c>
      <c r="I711" s="5" t="n">
        <f>MIN(E711*C711,P711*'Assumptions and Catalog'!$C$12*C711,(F711-G711)*'Assumptions and Catalog'!$C$11*'Assumptions and Catalog'!$C$12,E$56*'Assumptions and Catalog'!$C$14*'Assumptions and Catalog'!$C$11*'Assumptions and Catalog'!$C$12*C711,E$57*(24-'Assumptions and Catalog'!$C$13)*C711)</f>
        <v>285.47663499264</v>
      </c>
      <c r="J711" s="5" t="n">
        <f>MAX(F711-G711-H711,0)</f>
        <v>185.3375117538</v>
      </c>
      <c r="K711" s="5" t="n">
        <f>H711-I711</f>
        <v>14.8275175308472</v>
      </c>
      <c r="L711" s="5" t="n">
        <f>(D711+E711)*C711-G711-I711+0+IF(E$52&gt;0,'Assumptions and Catalog'!$C$26*C711,0)</f>
        <v>965.37336500736</v>
      </c>
      <c r="M711" s="5" t="n">
        <f>IF(ISNUMBER(Inputs!$L$5),(IF(Inputs!$L$9="Actual flat rate",((D711+E711)*C711)*Inputs!$L$10,IF(Inputs!$C$9="Residential",IF(((D711+E711)*C711)&lt;='Assumptions and Catalog'!$C$50,((D711+E711)*C711)*'Assumptions and Catalog'!$H$50+'Assumptions and Catalog'!$E$50+'Assumptions and Catalog'!$F$50,IF(((D711+E711)*C711)&lt;='Assumptions and Catalog'!$C$51,((D711+E711)*C711)*'Assumptions and Catalog'!$H$51+'Assumptions and Catalog'!$E$51+'Assumptions and Catalog'!$F$51,IF(((D711+E711)*C711)&lt;='Assumptions and Catalog'!$C$52,((D711+E711)*C711)*'Assumptions and Catalog'!$H$52+'Assumptions and Catalog'!$E$52+'Assumptions and Catalog'!$F$52,IF(((D711+E711)*C711)&lt;='Assumptions and Catalog'!$C$53,((D711+E711)*C711)*'Assumptions and Catalog'!$H$53+'Assumptions and Catalog'!$E$53+'Assumptions and Catalog'!$F$53,IF(((D711+E711)*C711)&lt;='Assumptions and Catalog'!$C$54,((D711+E711)*C711)*'Assumptions and Catalog'!$H$54+'Assumptions and Catalog'!$E$54+'Assumptions and Catalog'!$F$54,IF(((D711+E711)*C711)&lt;='Assumptions and Catalog'!$C$55,((D711+E711)*C711)*'Assumptions and Catalog'!$H$55+'Assumptions and Catalog'!$E$55+'Assumptions and Catalog'!$F$55,IF(((D711+E711)*C711)&lt;='Assumptions and Catalog'!$C$56,((D711+E711)*C711)*'Assumptions and Catalog'!$H$56+'Assumptions and Catalog'!$E$56+'Assumptions and Catalog'!$F$56,IF(((D711+E711)*C711)&lt;='Assumptions and Catalog'!$C$57,((D711+E711)*C711)*'Assumptions and Catalog'!$H$57+'Assumptions and Catalog'!$E$57+'Assumptions and Catalog'!$F$57,"Out of range")))))))),IF(((D711+E711)*C711)&lt;='Assumptions and Catalog'!$C$60,((D711+E711)*C711)*'Assumptions and Catalog'!$H$60+'Assumptions and Catalog'!$E$60+'Assumptions and Catalog'!$F$60,IF(((D711+E711)*C711)&lt;='Assumptions and Catalog'!$C$61,((D711+E711)*C711)*'Assumptions and Catalog'!$H$61+'Assumptions and Catalog'!$E$61+'Assumptions and Catalog'!$F$61,IF(((D711+E711)*C711)&lt;='Assumptions and Catalog'!$C$62,((D711+E711)*C711)*'Assumptions and Catalog'!$H$62+'Assumptions and Catalog'!$E$62+'Assumptions and Catalog'!$F$62,IF(((D711+E711)*C711)&lt;='Assumptions and Catalog'!$C$63,((D711+E711)*C711)*'Assumptions and Catalog'!$H$63+'Assumptions and Catalog'!$E$63+'Assumptions and Catalog'!$F$63,IF(((D711+E711)*C711)&lt;='Assumptions and Catalog'!$C$64,((D711+E711)*C711)*'Assumptions and Catalog'!$H$64+'Assumptions and Catalog'!$E$64+'Assumptions and Catalog'!$F$64,IF(((D711+E711)*C711)&lt;='Assumptions and Catalog'!$C$65,((D711+E711)*C711)*'Assumptions and Catalog'!$H$65+'Assumptions and Catalog'!$E$65+'Assumptions and Catalog'!$F$65,"Out of range")))))))))*(1+'Assumptions and Catalog'!$C$8)^(A711-1),0)</f>
        <v>7094.794</v>
      </c>
      <c r="N711" s="5" t="n">
        <f>IF(ISNUMBER(Inputs!$L$5),(IF(Inputs!$L$9="Actual flat rate",L711*Inputs!$L$10,IF(Inputs!$C$9="Residential",IF(L711&lt;='Assumptions and Catalog'!$C$50,L711*'Assumptions and Catalog'!$H$50+'Assumptions and Catalog'!$E$50+'Assumptions and Catalog'!$F$50,IF(L711&lt;='Assumptions and Catalog'!$C$51,L711*'Assumptions and Catalog'!$H$51+'Assumptions and Catalog'!$E$51+'Assumptions and Catalog'!$F$51,IF(L711&lt;='Assumptions and Catalog'!$C$52,L711*'Assumptions and Catalog'!$H$52+'Assumptions and Catalog'!$E$52+'Assumptions and Catalog'!$F$52,IF(L711&lt;='Assumptions and Catalog'!$C$53,L711*'Assumptions and Catalog'!$H$53+'Assumptions and Catalog'!$E$53+'Assumptions and Catalog'!$F$53,IF(L711&lt;='Assumptions and Catalog'!$C$54,L711*'Assumptions and Catalog'!$H$54+'Assumptions and Catalog'!$E$54+'Assumptions and Catalog'!$F$54,IF(L711&lt;='Assumptions and Catalog'!$C$55,L711*'Assumptions and Catalog'!$H$55+'Assumptions and Catalog'!$E$55+'Assumptions and Catalog'!$F$55,IF(L711&lt;='Assumptions and Catalog'!$C$56,L711*'Assumptions and Catalog'!$H$56+'Assumptions and Catalog'!$E$56+'Assumptions and Catalog'!$F$56,IF(L711&lt;='Assumptions and Catalog'!$C$57,L711*'Assumptions and Catalog'!$H$57+'Assumptions and Catalog'!$E$57+'Assumptions and Catalog'!$F$57,"Out of range")))))))),IF(L711&lt;='Assumptions and Catalog'!$C$60,L711*'Assumptions and Catalog'!$H$60+'Assumptions and Catalog'!$E$60+'Assumptions and Catalog'!$F$60,IF(L711&lt;='Assumptions and Catalog'!$C$61,L711*'Assumptions and Catalog'!$H$61+'Assumptions and Catalog'!$E$61+'Assumptions and Catalog'!$F$61,IF(L711&lt;='Assumptions and Catalog'!$C$62,L711*'Assumptions and Catalog'!$H$62+'Assumptions and Catalog'!$E$62+'Assumptions and Catalog'!$F$62,IF(L711&lt;='Assumptions and Catalog'!$C$63,L711*'Assumptions and Catalog'!$H$63+'Assumptions and Catalog'!$E$63+'Assumptions and Catalog'!$F$63,IF(L711&lt;='Assumptions and Catalog'!$C$64,L711*'Assumptions and Catalog'!$H$64+'Assumptions and Catalog'!$E$64+'Assumptions and Catalog'!$F$64,IF(L711&lt;='Assumptions and Catalog'!$C$65,L711*'Assumptions and Catalog'!$H$65+'Assumptions and Catalog'!$E$65+'Assumptions and Catalog'!$F$65,"Out of range")))))))))*(1+'Assumptions and Catalog'!$C$8)^(A711-1),0)</f>
        <v>2639.08422107039</v>
      </c>
      <c r="O711" s="5" t="n">
        <f>M711-N711</f>
        <v>4455.70977892961</v>
      </c>
      <c r="P711" s="5" t="n">
        <f>E$55*(1-L$14)*(1-'Assumptions and Catalog'!$C$23)^R711</f>
        <v>9.4450499584</v>
      </c>
      <c r="Q711" s="5" t="n">
        <f>IF(ISNUMBER(Inputs!$L$5),(IF(Inputs!$L$9="Actual flat rate",((D711+E711)*C711-G711)*Inputs!$L$10,IF(Inputs!$C$9="Residential",IF(((D711+E711)*C711-G711)&lt;='Assumptions and Catalog'!$C$50,((D711+E711)*C711-G711)*'Assumptions and Catalog'!$H$50+'Assumptions and Catalog'!$E$50+'Assumptions and Catalog'!$F$50,IF(((D711+E711)*C711-G711)&lt;='Assumptions and Catalog'!$C$51,((D711+E711)*C711-G711)*'Assumptions and Catalog'!$H$51+'Assumptions and Catalog'!$E$51+'Assumptions and Catalog'!$F$51,IF(((D711+E711)*C711-G711)&lt;='Assumptions and Catalog'!$C$52,((D711+E711)*C711-G711)*'Assumptions and Catalog'!$H$52+'Assumptions and Catalog'!$E$52+'Assumptions and Catalog'!$F$52,IF(((D711+E711)*C711-G711)&lt;='Assumptions and Catalog'!$C$53,((D711+E711)*C711-G711)*'Assumptions and Catalog'!$H$53+'Assumptions and Catalog'!$E$53+'Assumptions and Catalog'!$F$53,IF(((D711+E711)*C711-G711)&lt;='Assumptions and Catalog'!$C$54,((D711+E711)*C711-G711)*'Assumptions and Catalog'!$H$54+'Assumptions and Catalog'!$E$54+'Assumptions and Catalog'!$F$54,IF(((D711+E711)*C711-G711)&lt;='Assumptions and Catalog'!$C$55,((D711+E711)*C711-G711)*'Assumptions and Catalog'!$H$55+'Assumptions and Catalog'!$E$55+'Assumptions and Catalog'!$F$55,IF(((D711+E711)*C711-G711)&lt;='Assumptions and Catalog'!$C$56,((D711+E711)*C711-G711)*'Assumptions and Catalog'!$H$56+'Assumptions and Catalog'!$E$56+'Assumptions and Catalog'!$F$56,IF(((D711+E711)*C711-G711)&lt;='Assumptions and Catalog'!$C$57,((D711+E711)*C711-G711)*'Assumptions and Catalog'!$H$57+'Assumptions and Catalog'!$E$57+'Assumptions and Catalog'!$F$57,"Out of range")))))))),IF(((D711+E711)*C711-G711)&lt;='Assumptions and Catalog'!$C$60,((D711+E711)*C711-G711)*'Assumptions and Catalog'!$H$60+'Assumptions and Catalog'!$E$60+'Assumptions and Catalog'!$F$60,IF(((D711+E711)*C711-G711)&lt;='Assumptions and Catalog'!$C$61,((D711+E711)*C711-G711)*'Assumptions and Catalog'!$H$61+'Assumptions and Catalog'!$E$61+'Assumptions and Catalog'!$F$61,IF(((D711+E711)*C711-G711)&lt;='Assumptions and Catalog'!$C$62,((D711+E711)*C711-G711)*'Assumptions and Catalog'!$H$62+'Assumptions and Catalog'!$E$62+'Assumptions and Catalog'!$F$62,IF(((D711+E711)*C711-G711)&lt;='Assumptions and Catalog'!$C$63,((D711+E711)*C711-G711)*'Assumptions and Catalog'!$H$63+'Assumptions and Catalog'!$E$63+'Assumptions and Catalog'!$F$63,IF(((D711+E711)*C711-G711)&lt;='Assumptions and Catalog'!$C$64,((D711+E711)*C711-G711)*'Assumptions and Catalog'!$H$64+'Assumptions and Catalog'!$E$64+'Assumptions and Catalog'!$F$64,IF(((D711+E711)*C711-G711)&lt;='Assumptions and Catalog'!$C$65,((D711+E711)*C711-G711)*'Assumptions and Catalog'!$H$65+'Assumptions and Catalog'!$E$65+'Assumptions and Catalog'!$F$65,"Out of range")))))))))*(1+'Assumptions and Catalog'!$C$8)^(A711-1),0)</f>
        <v>3567.397</v>
      </c>
      <c r="R711" s="5" t="n">
        <f>IF(AND('Assumptions and Catalog'!$C$19&gt;0,A711&gt;='Assumptions and Catalog'!$C$19),A711-'Assumptions and Catalog'!$C$19,A711-1)</f>
        <v>4</v>
      </c>
      <c r="S711" s="5" t="n">
        <f>F711+L711-(D711+E711)*C711-J711-K711-IF(E$52&gt;0,'Assumptions and Catalog'!$C$26*C711,0)</f>
        <v>-1.13686837721616E-013</v>
      </c>
      <c r="T711" s="5"/>
      <c r="U711" s="5"/>
    </row>
    <row r="712" ht="23.100000381469727" customHeight="1">
      <c r="A712" s="5" t="n">
        <v>5</v>
      </c>
      <c r="B712" s="5" t="n">
        <v>4</v>
      </c>
      <c r="C712" s="5" t="n">
        <f>DAY(DATE('Assumptions and Catalog'!$C$24+A712-1,B712+1,0))</f>
        <v>30</v>
      </c>
      <c r="D712" s="5" t="n">
        <f>IF(ISNUMBER(Inputs!$L$5),Inputs!$L$5*Inputs!$L$6,0)</f>
        <v>40.35</v>
      </c>
      <c r="E712" s="5" t="n">
        <f>IF(ISNUMBER(Inputs!$L$5),Inputs!$L$5-D712,0)</f>
        <v>40.35</v>
      </c>
      <c r="F712" s="5" t="n">
        <f>E$51*INDEX('Solar Production'!$D$20:$D$31,B712)*C712*(1-'Assumptions and Catalog'!$C$10)^(A712-1)</f>
        <v>1734.33533537591</v>
      </c>
      <c r="G712" s="5" t="n">
        <f>MIN(F712,D712*C712)</f>
        <v>1210.5</v>
      </c>
      <c r="H712" s="5" t="n">
        <f>I712/('Assumptions and Catalog'!$C$11*'Assumptions and Catalog'!$C$12)</f>
        <v>290.616921796923</v>
      </c>
      <c r="I712" s="5" t="n">
        <f>MIN(E712*C712,P712*'Assumptions and Catalog'!$C$12*C712,(F712-G712)*'Assumptions and Catalog'!$C$11*'Assumptions and Catalog'!$C$12,E$56*'Assumptions and Catalog'!$C$14*'Assumptions and Catalog'!$C$11*'Assumptions and Catalog'!$C$12*C712,E$57*(24-'Assumptions and Catalog'!$C$13)*C712)</f>
        <v>276.2677112832</v>
      </c>
      <c r="J712" s="5" t="n">
        <f>MAX(F712-G712-H712,0)</f>
        <v>233.218413578989</v>
      </c>
      <c r="K712" s="5" t="n">
        <f>H712-I712</f>
        <v>14.3492105137231</v>
      </c>
      <c r="L712" s="5" t="n">
        <f>(D712+E712)*C712-G712-I712+0+IF(E$52&gt;0,'Assumptions and Catalog'!$C$26*C712,0)</f>
        <v>934.2322887168</v>
      </c>
      <c r="M712" s="5" t="n">
        <f>IF(ISNUMBER(Inputs!$L$5),(IF(Inputs!$L$9="Actual flat rate",((D712+E712)*C712)*Inputs!$L$10,IF(Inputs!$C$9="Residential",IF(((D712+E712)*C712)&lt;='Assumptions and Catalog'!$C$50,((D712+E712)*C712)*'Assumptions and Catalog'!$H$50+'Assumptions and Catalog'!$E$50+'Assumptions and Catalog'!$F$50,IF(((D712+E712)*C712)&lt;='Assumptions and Catalog'!$C$51,((D712+E712)*C712)*'Assumptions and Catalog'!$H$51+'Assumptions and Catalog'!$E$51+'Assumptions and Catalog'!$F$51,IF(((D712+E712)*C712)&lt;='Assumptions and Catalog'!$C$52,((D712+E712)*C712)*'Assumptions and Catalog'!$H$52+'Assumptions and Catalog'!$E$52+'Assumptions and Catalog'!$F$52,IF(((D712+E712)*C712)&lt;='Assumptions and Catalog'!$C$53,((D712+E712)*C712)*'Assumptions and Catalog'!$H$53+'Assumptions and Catalog'!$E$53+'Assumptions and Catalog'!$F$53,IF(((D712+E712)*C712)&lt;='Assumptions and Catalog'!$C$54,((D712+E712)*C712)*'Assumptions and Catalog'!$H$54+'Assumptions and Catalog'!$E$54+'Assumptions and Catalog'!$F$54,IF(((D712+E712)*C712)&lt;='Assumptions and Catalog'!$C$55,((D712+E712)*C712)*'Assumptions and Catalog'!$H$55+'Assumptions and Catalog'!$E$55+'Assumptions and Catalog'!$F$55,IF(((D712+E712)*C712)&lt;='Assumptions and Catalog'!$C$56,((D712+E712)*C712)*'Assumptions and Catalog'!$H$56+'Assumptions and Catalog'!$E$56+'Assumptions and Catalog'!$F$56,IF(((D712+E712)*C712)&lt;='Assumptions and Catalog'!$C$57,((D712+E712)*C712)*'Assumptions and Catalog'!$H$57+'Assumptions and Catalog'!$E$57+'Assumptions and Catalog'!$F$57,"Out of range")))))))),IF(((D712+E712)*C712)&lt;='Assumptions and Catalog'!$C$60,((D712+E712)*C712)*'Assumptions and Catalog'!$H$60+'Assumptions and Catalog'!$E$60+'Assumptions and Catalog'!$F$60,IF(((D712+E712)*C712)&lt;='Assumptions and Catalog'!$C$61,((D712+E712)*C712)*'Assumptions and Catalog'!$H$61+'Assumptions and Catalog'!$E$61+'Assumptions and Catalog'!$F$61,IF(((D712+E712)*C712)&lt;='Assumptions and Catalog'!$C$62,((D712+E712)*C712)*'Assumptions and Catalog'!$H$62+'Assumptions and Catalog'!$E$62+'Assumptions and Catalog'!$F$62,IF(((D712+E712)*C712)&lt;='Assumptions and Catalog'!$C$63,((D712+E712)*C712)*'Assumptions and Catalog'!$H$63+'Assumptions and Catalog'!$E$63+'Assumptions and Catalog'!$F$63,IF(((D712+E712)*C712)&lt;='Assumptions and Catalog'!$C$64,((D712+E712)*C712)*'Assumptions and Catalog'!$H$64+'Assumptions and Catalog'!$E$64+'Assumptions and Catalog'!$F$64,IF(((D712+E712)*C712)&lt;='Assumptions and Catalog'!$C$65,((D712+E712)*C712)*'Assumptions and Catalog'!$H$65+'Assumptions and Catalog'!$E$65+'Assumptions and Catalog'!$F$65,"Out of range")))))))))*(1+'Assumptions and Catalog'!$C$8)^(A712-1),0)</f>
        <v>6867.22</v>
      </c>
      <c r="N712" s="5" t="n">
        <f>IF(ISNUMBER(Inputs!$L$5),(IF(Inputs!$L$9="Actual flat rate",L712*Inputs!$L$10,IF(Inputs!$C$9="Residential",IF(L712&lt;='Assumptions and Catalog'!$C$50,L712*'Assumptions and Catalog'!$H$50+'Assumptions and Catalog'!$E$50+'Assumptions and Catalog'!$F$50,IF(L712&lt;='Assumptions and Catalog'!$C$51,L712*'Assumptions and Catalog'!$H$51+'Assumptions and Catalog'!$E$51+'Assumptions and Catalog'!$F$51,IF(L712&lt;='Assumptions and Catalog'!$C$52,L712*'Assumptions and Catalog'!$H$52+'Assumptions and Catalog'!$E$52+'Assumptions and Catalog'!$F$52,IF(L712&lt;='Assumptions and Catalog'!$C$53,L712*'Assumptions and Catalog'!$H$53+'Assumptions and Catalog'!$E$53+'Assumptions and Catalog'!$F$53,IF(L712&lt;='Assumptions and Catalog'!$C$54,L712*'Assumptions and Catalog'!$H$54+'Assumptions and Catalog'!$E$54+'Assumptions and Catalog'!$F$54,IF(L712&lt;='Assumptions and Catalog'!$C$55,L712*'Assumptions and Catalog'!$H$55+'Assumptions and Catalog'!$E$55+'Assumptions and Catalog'!$F$55,IF(L712&lt;='Assumptions and Catalog'!$C$56,L712*'Assumptions and Catalog'!$H$56+'Assumptions and Catalog'!$E$56+'Assumptions and Catalog'!$F$56,IF(L712&lt;='Assumptions and Catalog'!$C$57,L712*'Assumptions and Catalog'!$H$57+'Assumptions and Catalog'!$E$57+'Assumptions and Catalog'!$F$57,"Out of range")))))))),IF(L712&lt;='Assumptions and Catalog'!$C$60,L712*'Assumptions and Catalog'!$H$60+'Assumptions and Catalog'!$E$60+'Assumptions and Catalog'!$F$60,IF(L712&lt;='Assumptions and Catalog'!$C$61,L712*'Assumptions and Catalog'!$H$61+'Assumptions and Catalog'!$E$61+'Assumptions and Catalog'!$F$61,IF(L712&lt;='Assumptions and Catalog'!$C$62,L712*'Assumptions and Catalog'!$H$62+'Assumptions and Catalog'!$E$62+'Assumptions and Catalog'!$F$62,IF(L712&lt;='Assumptions and Catalog'!$C$63,L712*'Assumptions and Catalog'!$H$63+'Assumptions and Catalog'!$E$63+'Assumptions and Catalog'!$F$63,IF(L712&lt;='Assumptions and Catalog'!$C$64,L712*'Assumptions and Catalog'!$H$64+'Assumptions and Catalog'!$E$64+'Assumptions and Catalog'!$F$64,IF(L712&lt;='Assumptions and Catalog'!$C$65,L712*'Assumptions and Catalog'!$H$65+'Assumptions and Catalog'!$E$65+'Assumptions and Catalog'!$F$65,"Out of range")))))))))*(1+'Assumptions and Catalog'!$C$8)^(A712-1),0)</f>
        <v>2552.82343974554</v>
      </c>
      <c r="O712" s="5" t="n">
        <f>M712-N712</f>
        <v>4314.39656025446</v>
      </c>
      <c r="P712" s="5" t="n">
        <f>E$55*(1-L$14)*(1-'Assumptions and Catalog'!$C$23)^R712</f>
        <v>9.4450499584</v>
      </c>
      <c r="Q712" s="5" t="n">
        <f>IF(ISNUMBER(Inputs!$L$5),(IF(Inputs!$L$9="Actual flat rate",((D712+E712)*C712-G712)*Inputs!$L$10,IF(Inputs!$C$9="Residential",IF(((D712+E712)*C712-G712)&lt;='Assumptions and Catalog'!$C$50,((D712+E712)*C712-G712)*'Assumptions and Catalog'!$H$50+'Assumptions and Catalog'!$E$50+'Assumptions and Catalog'!$F$50,IF(((D712+E712)*C712-G712)&lt;='Assumptions and Catalog'!$C$51,((D712+E712)*C712-G712)*'Assumptions and Catalog'!$H$51+'Assumptions and Catalog'!$E$51+'Assumptions and Catalog'!$F$51,IF(((D712+E712)*C712-G712)&lt;='Assumptions and Catalog'!$C$52,((D712+E712)*C712-G712)*'Assumptions and Catalog'!$H$52+'Assumptions and Catalog'!$E$52+'Assumptions and Catalog'!$F$52,IF(((D712+E712)*C712-G712)&lt;='Assumptions and Catalog'!$C$53,((D712+E712)*C712-G712)*'Assumptions and Catalog'!$H$53+'Assumptions and Catalog'!$E$53+'Assumptions and Catalog'!$F$53,IF(((D712+E712)*C712-G712)&lt;='Assumptions and Catalog'!$C$54,((D712+E712)*C712-G712)*'Assumptions and Catalog'!$H$54+'Assumptions and Catalog'!$E$54+'Assumptions and Catalog'!$F$54,IF(((D712+E712)*C712-G712)&lt;='Assumptions and Catalog'!$C$55,((D712+E712)*C712-G712)*'Assumptions and Catalog'!$H$55+'Assumptions and Catalog'!$E$55+'Assumptions and Catalog'!$F$55,IF(((D712+E712)*C712-G712)&lt;='Assumptions and Catalog'!$C$56,((D712+E712)*C712-G712)*'Assumptions and Catalog'!$H$56+'Assumptions and Catalog'!$E$56+'Assumptions and Catalog'!$F$56,IF(((D712+E712)*C712-G712)&lt;='Assumptions and Catalog'!$C$57,((D712+E712)*C712-G712)*'Assumptions and Catalog'!$H$57+'Assumptions and Catalog'!$E$57+'Assumptions and Catalog'!$F$57,"Out of range")))))))),IF(((D712+E712)*C712-G712)&lt;='Assumptions and Catalog'!$C$60,((D712+E712)*C712-G712)*'Assumptions and Catalog'!$H$60+'Assumptions and Catalog'!$E$60+'Assumptions and Catalog'!$F$60,IF(((D712+E712)*C712-G712)&lt;='Assumptions and Catalog'!$C$61,((D712+E712)*C712-G712)*'Assumptions and Catalog'!$H$61+'Assumptions and Catalog'!$E$61+'Assumptions and Catalog'!$F$61,IF(((D712+E712)*C712-G712)&lt;='Assumptions and Catalog'!$C$62,((D712+E712)*C712-G712)*'Assumptions and Catalog'!$H$62+'Assumptions and Catalog'!$E$62+'Assumptions and Catalog'!$F$62,IF(((D712+E712)*C712-G712)&lt;='Assumptions and Catalog'!$C$63,((D712+E712)*C712-G712)*'Assumptions and Catalog'!$H$63+'Assumptions and Catalog'!$E$63+'Assumptions and Catalog'!$F$63,IF(((D712+E712)*C712-G712)&lt;='Assumptions and Catalog'!$C$64,((D712+E712)*C712-G712)*'Assumptions and Catalog'!$H$64+'Assumptions and Catalog'!$E$64+'Assumptions and Catalog'!$F$64,IF(((D712+E712)*C712-G712)&lt;='Assumptions and Catalog'!$C$65,((D712+E712)*C712-G712)*'Assumptions and Catalog'!$H$65+'Assumptions and Catalog'!$E$65+'Assumptions and Catalog'!$F$65,"Out of range")))))))))*(1+'Assumptions and Catalog'!$C$8)^(A712-1),0)</f>
        <v>3453.61</v>
      </c>
      <c r="R712" s="5" t="n">
        <f>IF(AND('Assumptions and Catalog'!$C$19&gt;0,A712&gt;='Assumptions and Catalog'!$C$19),A712-'Assumptions and Catalog'!$C$19,A712-1)</f>
        <v>4</v>
      </c>
      <c r="S712" s="5" t="n">
        <f>F712+L712-(D712+E712)*C712-J712-K712-IF(E$52&gt;0,'Assumptions and Catalog'!$C$26*C712,0)</f>
        <v>0</v>
      </c>
      <c r="T712" s="5"/>
      <c r="U712" s="5"/>
    </row>
    <row r="713" ht="23.100000381469727" customHeight="1">
      <c r="A713" s="5" t="n">
        <v>5</v>
      </c>
      <c r="B713" s="5" t="n">
        <v>5</v>
      </c>
      <c r="C713" s="5" t="n">
        <f>DAY(DATE('Assumptions and Catalog'!$C$24+A713-1,B713+1,0))</f>
        <v>31</v>
      </c>
      <c r="D713" s="5" t="n">
        <f>IF(ISNUMBER(Inputs!$L$5),Inputs!$L$5*Inputs!$L$6,0)</f>
        <v>40.35</v>
      </c>
      <c r="E713" s="5" t="n">
        <f>IF(ISNUMBER(Inputs!$L$5),Inputs!$L$5-D713,0)</f>
        <v>40.35</v>
      </c>
      <c r="F713" s="5" t="n">
        <f>E$51*INDEX('Solar Production'!$D$20:$D$31,B713)*C713*(1-'Assumptions and Catalog'!$C$10)^(A713-1)</f>
        <v>1754.3891941587</v>
      </c>
      <c r="G713" s="5" t="n">
        <f>MIN(F713,D713*C713)</f>
        <v>1250.85</v>
      </c>
      <c r="H713" s="5" t="n">
        <f>I713/('Assumptions and Catalog'!$C$11*'Assumptions and Catalog'!$C$12)</f>
        <v>300.304152523487</v>
      </c>
      <c r="I713" s="5" t="n">
        <f>MIN(E713*C713,P713*'Assumptions and Catalog'!$C$12*C713,(F713-G713)*'Assumptions and Catalog'!$C$11*'Assumptions and Catalog'!$C$12,E$56*'Assumptions and Catalog'!$C$14*'Assumptions and Catalog'!$C$11*'Assumptions and Catalog'!$C$12*C713,E$57*(24-'Assumptions and Catalog'!$C$13)*C713)</f>
        <v>285.47663499264</v>
      </c>
      <c r="J713" s="5" t="n">
        <f>MAX(F713-G713-H713,0)</f>
        <v>203.235041635213</v>
      </c>
      <c r="K713" s="5" t="n">
        <f>H713-I713</f>
        <v>14.8275175308472</v>
      </c>
      <c r="L713" s="5" t="n">
        <f>(D713+E713)*C713-G713-I713+0+IF(E$52&gt;0,'Assumptions and Catalog'!$C$26*C713,0)</f>
        <v>965.37336500736</v>
      </c>
      <c r="M713" s="5" t="n">
        <f>IF(ISNUMBER(Inputs!$L$5),(IF(Inputs!$L$9="Actual flat rate",((D713+E713)*C713)*Inputs!$L$10,IF(Inputs!$C$9="Residential",IF(((D713+E713)*C713)&lt;='Assumptions and Catalog'!$C$50,((D713+E713)*C713)*'Assumptions and Catalog'!$H$50+'Assumptions and Catalog'!$E$50+'Assumptions and Catalog'!$F$50,IF(((D713+E713)*C713)&lt;='Assumptions and Catalog'!$C$51,((D713+E713)*C713)*'Assumptions and Catalog'!$H$51+'Assumptions and Catalog'!$E$51+'Assumptions and Catalog'!$F$51,IF(((D713+E713)*C713)&lt;='Assumptions and Catalog'!$C$52,((D713+E713)*C713)*'Assumptions and Catalog'!$H$52+'Assumptions and Catalog'!$E$52+'Assumptions and Catalog'!$F$52,IF(((D713+E713)*C713)&lt;='Assumptions and Catalog'!$C$53,((D713+E713)*C713)*'Assumptions and Catalog'!$H$53+'Assumptions and Catalog'!$E$53+'Assumptions and Catalog'!$F$53,IF(((D713+E713)*C713)&lt;='Assumptions and Catalog'!$C$54,((D713+E713)*C713)*'Assumptions and Catalog'!$H$54+'Assumptions and Catalog'!$E$54+'Assumptions and Catalog'!$F$54,IF(((D713+E713)*C713)&lt;='Assumptions and Catalog'!$C$55,((D713+E713)*C713)*'Assumptions and Catalog'!$H$55+'Assumptions and Catalog'!$E$55+'Assumptions and Catalog'!$F$55,IF(((D713+E713)*C713)&lt;='Assumptions and Catalog'!$C$56,((D713+E713)*C713)*'Assumptions and Catalog'!$H$56+'Assumptions and Catalog'!$E$56+'Assumptions and Catalog'!$F$56,IF(((D713+E713)*C713)&lt;='Assumptions and Catalog'!$C$57,((D713+E713)*C713)*'Assumptions and Catalog'!$H$57+'Assumptions and Catalog'!$E$57+'Assumptions and Catalog'!$F$57,"Out of range")))))))),IF(((D713+E713)*C713)&lt;='Assumptions and Catalog'!$C$60,((D713+E713)*C713)*'Assumptions and Catalog'!$H$60+'Assumptions and Catalog'!$E$60+'Assumptions and Catalog'!$F$60,IF(((D713+E713)*C713)&lt;='Assumptions and Catalog'!$C$61,((D713+E713)*C713)*'Assumptions and Catalog'!$H$61+'Assumptions and Catalog'!$E$61+'Assumptions and Catalog'!$F$61,IF(((D713+E713)*C713)&lt;='Assumptions and Catalog'!$C$62,((D713+E713)*C713)*'Assumptions and Catalog'!$H$62+'Assumptions and Catalog'!$E$62+'Assumptions and Catalog'!$F$62,IF(((D713+E713)*C713)&lt;='Assumptions and Catalog'!$C$63,((D713+E713)*C713)*'Assumptions and Catalog'!$H$63+'Assumptions and Catalog'!$E$63+'Assumptions and Catalog'!$F$63,IF(((D713+E713)*C713)&lt;='Assumptions and Catalog'!$C$64,((D713+E713)*C713)*'Assumptions and Catalog'!$H$64+'Assumptions and Catalog'!$E$64+'Assumptions and Catalog'!$F$64,IF(((D713+E713)*C713)&lt;='Assumptions and Catalog'!$C$65,((D713+E713)*C713)*'Assumptions and Catalog'!$H$65+'Assumptions and Catalog'!$E$65+'Assumptions and Catalog'!$F$65,"Out of range")))))))))*(1+'Assumptions and Catalog'!$C$8)^(A713-1),0)</f>
        <v>7094.794</v>
      </c>
      <c r="N713" s="5" t="n">
        <f>IF(ISNUMBER(Inputs!$L$5),(IF(Inputs!$L$9="Actual flat rate",L713*Inputs!$L$10,IF(Inputs!$C$9="Residential",IF(L713&lt;='Assumptions and Catalog'!$C$50,L713*'Assumptions and Catalog'!$H$50+'Assumptions and Catalog'!$E$50+'Assumptions and Catalog'!$F$50,IF(L713&lt;='Assumptions and Catalog'!$C$51,L713*'Assumptions and Catalog'!$H$51+'Assumptions and Catalog'!$E$51+'Assumptions and Catalog'!$F$51,IF(L713&lt;='Assumptions and Catalog'!$C$52,L713*'Assumptions and Catalog'!$H$52+'Assumptions and Catalog'!$E$52+'Assumptions and Catalog'!$F$52,IF(L713&lt;='Assumptions and Catalog'!$C$53,L713*'Assumptions and Catalog'!$H$53+'Assumptions and Catalog'!$E$53+'Assumptions and Catalog'!$F$53,IF(L713&lt;='Assumptions and Catalog'!$C$54,L713*'Assumptions and Catalog'!$H$54+'Assumptions and Catalog'!$E$54+'Assumptions and Catalog'!$F$54,IF(L713&lt;='Assumptions and Catalog'!$C$55,L713*'Assumptions and Catalog'!$H$55+'Assumptions and Catalog'!$E$55+'Assumptions and Catalog'!$F$55,IF(L713&lt;='Assumptions and Catalog'!$C$56,L713*'Assumptions and Catalog'!$H$56+'Assumptions and Catalog'!$E$56+'Assumptions and Catalog'!$F$56,IF(L713&lt;='Assumptions and Catalog'!$C$57,L713*'Assumptions and Catalog'!$H$57+'Assumptions and Catalog'!$E$57+'Assumptions and Catalog'!$F$57,"Out of range")))))))),IF(L713&lt;='Assumptions and Catalog'!$C$60,L713*'Assumptions and Catalog'!$H$60+'Assumptions and Catalog'!$E$60+'Assumptions and Catalog'!$F$60,IF(L713&lt;='Assumptions and Catalog'!$C$61,L713*'Assumptions and Catalog'!$H$61+'Assumptions and Catalog'!$E$61+'Assumptions and Catalog'!$F$61,IF(L713&lt;='Assumptions and Catalog'!$C$62,L713*'Assumptions and Catalog'!$H$62+'Assumptions and Catalog'!$E$62+'Assumptions and Catalog'!$F$62,IF(L713&lt;='Assumptions and Catalog'!$C$63,L713*'Assumptions and Catalog'!$H$63+'Assumptions and Catalog'!$E$63+'Assumptions and Catalog'!$F$63,IF(L713&lt;='Assumptions and Catalog'!$C$64,L713*'Assumptions and Catalog'!$H$64+'Assumptions and Catalog'!$E$64+'Assumptions and Catalog'!$F$64,IF(L713&lt;='Assumptions and Catalog'!$C$65,L713*'Assumptions and Catalog'!$H$65+'Assumptions and Catalog'!$E$65+'Assumptions and Catalog'!$F$65,"Out of range")))))))))*(1+'Assumptions and Catalog'!$C$8)^(A713-1),0)</f>
        <v>2639.08422107039</v>
      </c>
      <c r="O713" s="5" t="n">
        <f>M713-N713</f>
        <v>4455.70977892961</v>
      </c>
      <c r="P713" s="5" t="n">
        <f>E$55*(1-L$14)*(1-'Assumptions and Catalog'!$C$23)^R713</f>
        <v>9.4450499584</v>
      </c>
      <c r="Q713" s="5" t="n">
        <f>IF(ISNUMBER(Inputs!$L$5),(IF(Inputs!$L$9="Actual flat rate",((D713+E713)*C713-G713)*Inputs!$L$10,IF(Inputs!$C$9="Residential",IF(((D713+E713)*C713-G713)&lt;='Assumptions and Catalog'!$C$50,((D713+E713)*C713-G713)*'Assumptions and Catalog'!$H$50+'Assumptions and Catalog'!$E$50+'Assumptions and Catalog'!$F$50,IF(((D713+E713)*C713-G713)&lt;='Assumptions and Catalog'!$C$51,((D713+E713)*C713-G713)*'Assumptions and Catalog'!$H$51+'Assumptions and Catalog'!$E$51+'Assumptions and Catalog'!$F$51,IF(((D713+E713)*C713-G713)&lt;='Assumptions and Catalog'!$C$52,((D713+E713)*C713-G713)*'Assumptions and Catalog'!$H$52+'Assumptions and Catalog'!$E$52+'Assumptions and Catalog'!$F$52,IF(((D713+E713)*C713-G713)&lt;='Assumptions and Catalog'!$C$53,((D713+E713)*C713-G713)*'Assumptions and Catalog'!$H$53+'Assumptions and Catalog'!$E$53+'Assumptions and Catalog'!$F$53,IF(((D713+E713)*C713-G713)&lt;='Assumptions and Catalog'!$C$54,((D713+E713)*C713-G713)*'Assumptions and Catalog'!$H$54+'Assumptions and Catalog'!$E$54+'Assumptions and Catalog'!$F$54,IF(((D713+E713)*C713-G713)&lt;='Assumptions and Catalog'!$C$55,((D713+E713)*C713-G713)*'Assumptions and Catalog'!$H$55+'Assumptions and Catalog'!$E$55+'Assumptions and Catalog'!$F$55,IF(((D713+E713)*C713-G713)&lt;='Assumptions and Catalog'!$C$56,((D713+E713)*C713-G713)*'Assumptions and Catalog'!$H$56+'Assumptions and Catalog'!$E$56+'Assumptions and Catalog'!$F$56,IF(((D713+E713)*C713-G713)&lt;='Assumptions and Catalog'!$C$57,((D713+E713)*C713-G713)*'Assumptions and Catalog'!$H$57+'Assumptions and Catalog'!$E$57+'Assumptions and Catalog'!$F$57,"Out of range")))))))),IF(((D713+E713)*C713-G713)&lt;='Assumptions and Catalog'!$C$60,((D713+E713)*C713-G713)*'Assumptions and Catalog'!$H$60+'Assumptions and Catalog'!$E$60+'Assumptions and Catalog'!$F$60,IF(((D713+E713)*C713-G713)&lt;='Assumptions and Catalog'!$C$61,((D713+E713)*C713-G713)*'Assumptions and Catalog'!$H$61+'Assumptions and Catalog'!$E$61+'Assumptions and Catalog'!$F$61,IF(((D713+E713)*C713-G713)&lt;='Assumptions and Catalog'!$C$62,((D713+E713)*C713-G713)*'Assumptions and Catalog'!$H$62+'Assumptions and Catalog'!$E$62+'Assumptions and Catalog'!$F$62,IF(((D713+E713)*C713-G713)&lt;='Assumptions and Catalog'!$C$63,((D713+E713)*C713-G713)*'Assumptions and Catalog'!$H$63+'Assumptions and Catalog'!$E$63+'Assumptions and Catalog'!$F$63,IF(((D713+E713)*C713-G713)&lt;='Assumptions and Catalog'!$C$64,((D713+E713)*C713-G713)*'Assumptions and Catalog'!$H$64+'Assumptions and Catalog'!$E$64+'Assumptions and Catalog'!$F$64,IF(((D713+E713)*C713-G713)&lt;='Assumptions and Catalog'!$C$65,((D713+E713)*C713-G713)*'Assumptions and Catalog'!$H$65+'Assumptions and Catalog'!$E$65+'Assumptions and Catalog'!$F$65,"Out of range")))))))))*(1+'Assumptions and Catalog'!$C$8)^(A713-1),0)</f>
        <v>3567.397</v>
      </c>
      <c r="R713" s="5" t="n">
        <f>IF(AND('Assumptions and Catalog'!$C$19&gt;0,A713&gt;='Assumptions and Catalog'!$C$19),A713-'Assumptions and Catalog'!$C$19,A713-1)</f>
        <v>4</v>
      </c>
      <c r="S713" s="5" t="n">
        <f>F713+L713-(D713+E713)*C713-J713-K713-IF(E$52&gt;0,'Assumptions and Catalog'!$C$26*C713,0)</f>
        <v>-1.13686837721616E-013</v>
      </c>
      <c r="T713" s="5"/>
      <c r="U713" s="5"/>
    </row>
    <row r="714" ht="23.100000381469727" customHeight="1">
      <c r="A714" s="5" t="n">
        <v>5</v>
      </c>
      <c r="B714" s="5" t="n">
        <v>6</v>
      </c>
      <c r="C714" s="5" t="n">
        <f>DAY(DATE('Assumptions and Catalog'!$C$24+A714-1,B714+1,0))</f>
        <v>30</v>
      </c>
      <c r="D714" s="5" t="n">
        <f>IF(ISNUMBER(Inputs!$L$5),Inputs!$L$5*Inputs!$L$6,0)</f>
        <v>40.35</v>
      </c>
      <c r="E714" s="5" t="n">
        <f>IF(ISNUMBER(Inputs!$L$5),Inputs!$L$5-D714,0)</f>
        <v>40.35</v>
      </c>
      <c r="F714" s="5" t="n">
        <f>E$51*INDEX('Solar Production'!$D$20:$D$31,B714)*C714*(1-'Assumptions and Catalog'!$C$10)^(A714-1)</f>
        <v>1710.18445168051</v>
      </c>
      <c r="G714" s="5" t="n">
        <f>MIN(F714,D714*C714)</f>
        <v>1210.5</v>
      </c>
      <c r="H714" s="5" t="n">
        <f>I714/('Assumptions and Catalog'!$C$11*'Assumptions and Catalog'!$C$12)</f>
        <v>290.616921796923</v>
      </c>
      <c r="I714" s="5" t="n">
        <f>MIN(E714*C714,P714*'Assumptions and Catalog'!$C$12*C714,(F714-G714)*'Assumptions and Catalog'!$C$11*'Assumptions and Catalog'!$C$12,E$56*'Assumptions and Catalog'!$C$14*'Assumptions and Catalog'!$C$11*'Assumptions and Catalog'!$C$12*C714,E$57*(24-'Assumptions and Catalog'!$C$13)*C714)</f>
        <v>276.2677112832</v>
      </c>
      <c r="J714" s="5" t="n">
        <f>MAX(F714-G714-H714,0)</f>
        <v>209.06752988359</v>
      </c>
      <c r="K714" s="5" t="n">
        <f>H714-I714</f>
        <v>14.3492105137231</v>
      </c>
      <c r="L714" s="5" t="n">
        <f>(D714+E714)*C714-G714-I714+0+IF(E$52&gt;0,'Assumptions and Catalog'!$C$26*C714,0)</f>
        <v>934.2322887168</v>
      </c>
      <c r="M714" s="5" t="n">
        <f>IF(ISNUMBER(Inputs!$L$5),(IF(Inputs!$L$9="Actual flat rate",((D714+E714)*C714)*Inputs!$L$10,IF(Inputs!$C$9="Residential",IF(((D714+E714)*C714)&lt;='Assumptions and Catalog'!$C$50,((D714+E714)*C714)*'Assumptions and Catalog'!$H$50+'Assumptions and Catalog'!$E$50+'Assumptions and Catalog'!$F$50,IF(((D714+E714)*C714)&lt;='Assumptions and Catalog'!$C$51,((D714+E714)*C714)*'Assumptions and Catalog'!$H$51+'Assumptions and Catalog'!$E$51+'Assumptions and Catalog'!$F$51,IF(((D714+E714)*C714)&lt;='Assumptions and Catalog'!$C$52,((D714+E714)*C714)*'Assumptions and Catalog'!$H$52+'Assumptions and Catalog'!$E$52+'Assumptions and Catalog'!$F$52,IF(((D714+E714)*C714)&lt;='Assumptions and Catalog'!$C$53,((D714+E714)*C714)*'Assumptions and Catalog'!$H$53+'Assumptions and Catalog'!$E$53+'Assumptions and Catalog'!$F$53,IF(((D714+E714)*C714)&lt;='Assumptions and Catalog'!$C$54,((D714+E714)*C714)*'Assumptions and Catalog'!$H$54+'Assumptions and Catalog'!$E$54+'Assumptions and Catalog'!$F$54,IF(((D714+E714)*C714)&lt;='Assumptions and Catalog'!$C$55,((D714+E714)*C714)*'Assumptions and Catalog'!$H$55+'Assumptions and Catalog'!$E$55+'Assumptions and Catalog'!$F$55,IF(((D714+E714)*C714)&lt;='Assumptions and Catalog'!$C$56,((D714+E714)*C714)*'Assumptions and Catalog'!$H$56+'Assumptions and Catalog'!$E$56+'Assumptions and Catalog'!$F$56,IF(((D714+E714)*C714)&lt;='Assumptions and Catalog'!$C$57,((D714+E714)*C714)*'Assumptions and Catalog'!$H$57+'Assumptions and Catalog'!$E$57+'Assumptions and Catalog'!$F$57,"Out of range")))))))),IF(((D714+E714)*C714)&lt;='Assumptions and Catalog'!$C$60,((D714+E714)*C714)*'Assumptions and Catalog'!$H$60+'Assumptions and Catalog'!$E$60+'Assumptions and Catalog'!$F$60,IF(((D714+E714)*C714)&lt;='Assumptions and Catalog'!$C$61,((D714+E714)*C714)*'Assumptions and Catalog'!$H$61+'Assumptions and Catalog'!$E$61+'Assumptions and Catalog'!$F$61,IF(((D714+E714)*C714)&lt;='Assumptions and Catalog'!$C$62,((D714+E714)*C714)*'Assumptions and Catalog'!$H$62+'Assumptions and Catalog'!$E$62+'Assumptions and Catalog'!$F$62,IF(((D714+E714)*C714)&lt;='Assumptions and Catalog'!$C$63,((D714+E714)*C714)*'Assumptions and Catalog'!$H$63+'Assumptions and Catalog'!$E$63+'Assumptions and Catalog'!$F$63,IF(((D714+E714)*C714)&lt;='Assumptions and Catalog'!$C$64,((D714+E714)*C714)*'Assumptions and Catalog'!$H$64+'Assumptions and Catalog'!$E$64+'Assumptions and Catalog'!$F$64,IF(((D714+E714)*C714)&lt;='Assumptions and Catalog'!$C$65,((D714+E714)*C714)*'Assumptions and Catalog'!$H$65+'Assumptions and Catalog'!$E$65+'Assumptions and Catalog'!$F$65,"Out of range")))))))))*(1+'Assumptions and Catalog'!$C$8)^(A714-1),0)</f>
        <v>6867.22</v>
      </c>
      <c r="N714" s="5" t="n">
        <f>IF(ISNUMBER(Inputs!$L$5),(IF(Inputs!$L$9="Actual flat rate",L714*Inputs!$L$10,IF(Inputs!$C$9="Residential",IF(L714&lt;='Assumptions and Catalog'!$C$50,L714*'Assumptions and Catalog'!$H$50+'Assumptions and Catalog'!$E$50+'Assumptions and Catalog'!$F$50,IF(L714&lt;='Assumptions and Catalog'!$C$51,L714*'Assumptions and Catalog'!$H$51+'Assumptions and Catalog'!$E$51+'Assumptions and Catalog'!$F$51,IF(L714&lt;='Assumptions and Catalog'!$C$52,L714*'Assumptions and Catalog'!$H$52+'Assumptions and Catalog'!$E$52+'Assumptions and Catalog'!$F$52,IF(L714&lt;='Assumptions and Catalog'!$C$53,L714*'Assumptions and Catalog'!$H$53+'Assumptions and Catalog'!$E$53+'Assumptions and Catalog'!$F$53,IF(L714&lt;='Assumptions and Catalog'!$C$54,L714*'Assumptions and Catalog'!$H$54+'Assumptions and Catalog'!$E$54+'Assumptions and Catalog'!$F$54,IF(L714&lt;='Assumptions and Catalog'!$C$55,L714*'Assumptions and Catalog'!$H$55+'Assumptions and Catalog'!$E$55+'Assumptions and Catalog'!$F$55,IF(L714&lt;='Assumptions and Catalog'!$C$56,L714*'Assumptions and Catalog'!$H$56+'Assumptions and Catalog'!$E$56+'Assumptions and Catalog'!$F$56,IF(L714&lt;='Assumptions and Catalog'!$C$57,L714*'Assumptions and Catalog'!$H$57+'Assumptions and Catalog'!$E$57+'Assumptions and Catalog'!$F$57,"Out of range")))))))),IF(L714&lt;='Assumptions and Catalog'!$C$60,L714*'Assumptions and Catalog'!$H$60+'Assumptions and Catalog'!$E$60+'Assumptions and Catalog'!$F$60,IF(L714&lt;='Assumptions and Catalog'!$C$61,L714*'Assumptions and Catalog'!$H$61+'Assumptions and Catalog'!$E$61+'Assumptions and Catalog'!$F$61,IF(L714&lt;='Assumptions and Catalog'!$C$62,L714*'Assumptions and Catalog'!$H$62+'Assumptions and Catalog'!$E$62+'Assumptions and Catalog'!$F$62,IF(L714&lt;='Assumptions and Catalog'!$C$63,L714*'Assumptions and Catalog'!$H$63+'Assumptions and Catalog'!$E$63+'Assumptions and Catalog'!$F$63,IF(L714&lt;='Assumptions and Catalog'!$C$64,L714*'Assumptions and Catalog'!$H$64+'Assumptions and Catalog'!$E$64+'Assumptions and Catalog'!$F$64,IF(L714&lt;='Assumptions and Catalog'!$C$65,L714*'Assumptions and Catalog'!$H$65+'Assumptions and Catalog'!$E$65+'Assumptions and Catalog'!$F$65,"Out of range")))))))))*(1+'Assumptions and Catalog'!$C$8)^(A714-1),0)</f>
        <v>2552.82343974554</v>
      </c>
      <c r="O714" s="5" t="n">
        <f>M714-N714</f>
        <v>4314.39656025446</v>
      </c>
      <c r="P714" s="5" t="n">
        <f>E$55*(1-L$14)*(1-'Assumptions and Catalog'!$C$23)^R714</f>
        <v>9.4450499584</v>
      </c>
      <c r="Q714" s="5" t="n">
        <f>IF(ISNUMBER(Inputs!$L$5),(IF(Inputs!$L$9="Actual flat rate",((D714+E714)*C714-G714)*Inputs!$L$10,IF(Inputs!$C$9="Residential",IF(((D714+E714)*C714-G714)&lt;='Assumptions and Catalog'!$C$50,((D714+E714)*C714-G714)*'Assumptions and Catalog'!$H$50+'Assumptions and Catalog'!$E$50+'Assumptions and Catalog'!$F$50,IF(((D714+E714)*C714-G714)&lt;='Assumptions and Catalog'!$C$51,((D714+E714)*C714-G714)*'Assumptions and Catalog'!$H$51+'Assumptions and Catalog'!$E$51+'Assumptions and Catalog'!$F$51,IF(((D714+E714)*C714-G714)&lt;='Assumptions and Catalog'!$C$52,((D714+E714)*C714-G714)*'Assumptions and Catalog'!$H$52+'Assumptions and Catalog'!$E$52+'Assumptions and Catalog'!$F$52,IF(((D714+E714)*C714-G714)&lt;='Assumptions and Catalog'!$C$53,((D714+E714)*C714-G714)*'Assumptions and Catalog'!$H$53+'Assumptions and Catalog'!$E$53+'Assumptions and Catalog'!$F$53,IF(((D714+E714)*C714-G714)&lt;='Assumptions and Catalog'!$C$54,((D714+E714)*C714-G714)*'Assumptions and Catalog'!$H$54+'Assumptions and Catalog'!$E$54+'Assumptions and Catalog'!$F$54,IF(((D714+E714)*C714-G714)&lt;='Assumptions and Catalog'!$C$55,((D714+E714)*C714-G714)*'Assumptions and Catalog'!$H$55+'Assumptions and Catalog'!$E$55+'Assumptions and Catalog'!$F$55,IF(((D714+E714)*C714-G714)&lt;='Assumptions and Catalog'!$C$56,((D714+E714)*C714-G714)*'Assumptions and Catalog'!$H$56+'Assumptions and Catalog'!$E$56+'Assumptions and Catalog'!$F$56,IF(((D714+E714)*C714-G714)&lt;='Assumptions and Catalog'!$C$57,((D714+E714)*C714-G714)*'Assumptions and Catalog'!$H$57+'Assumptions and Catalog'!$E$57+'Assumptions and Catalog'!$F$57,"Out of range")))))))),IF(((D714+E714)*C714-G714)&lt;='Assumptions and Catalog'!$C$60,((D714+E714)*C714-G714)*'Assumptions and Catalog'!$H$60+'Assumptions and Catalog'!$E$60+'Assumptions and Catalog'!$F$60,IF(((D714+E714)*C714-G714)&lt;='Assumptions and Catalog'!$C$61,((D714+E714)*C714-G714)*'Assumptions and Catalog'!$H$61+'Assumptions and Catalog'!$E$61+'Assumptions and Catalog'!$F$61,IF(((D714+E714)*C714-G714)&lt;='Assumptions and Catalog'!$C$62,((D714+E714)*C714-G714)*'Assumptions and Catalog'!$H$62+'Assumptions and Catalog'!$E$62+'Assumptions and Catalog'!$F$62,IF(((D714+E714)*C714-G714)&lt;='Assumptions and Catalog'!$C$63,((D714+E714)*C714-G714)*'Assumptions and Catalog'!$H$63+'Assumptions and Catalog'!$E$63+'Assumptions and Catalog'!$F$63,IF(((D714+E714)*C714-G714)&lt;='Assumptions and Catalog'!$C$64,((D714+E714)*C714-G714)*'Assumptions and Catalog'!$H$64+'Assumptions and Catalog'!$E$64+'Assumptions and Catalog'!$F$64,IF(((D714+E714)*C714-G714)&lt;='Assumptions and Catalog'!$C$65,((D714+E714)*C714-G714)*'Assumptions and Catalog'!$H$65+'Assumptions and Catalog'!$E$65+'Assumptions and Catalog'!$F$65,"Out of range")))))))))*(1+'Assumptions and Catalog'!$C$8)^(A714-1),0)</f>
        <v>3453.61</v>
      </c>
      <c r="R714" s="5" t="n">
        <f>IF(AND('Assumptions and Catalog'!$C$19&gt;0,A714&gt;='Assumptions and Catalog'!$C$19),A714-'Assumptions and Catalog'!$C$19,A714-1)</f>
        <v>4</v>
      </c>
      <c r="S714" s="5" t="n">
        <f>F714+L714-(D714+E714)*C714-J714-K714-IF(E$52&gt;0,'Assumptions and Catalog'!$C$26*C714,0)</f>
        <v>-2.27373675443232E-013</v>
      </c>
      <c r="T714" s="5"/>
      <c r="U714" s="5"/>
    </row>
    <row r="715" ht="23.100000381469727" customHeight="1">
      <c r="A715" s="5" t="n">
        <v>5</v>
      </c>
      <c r="B715" s="5" t="n">
        <v>7</v>
      </c>
      <c r="C715" s="5" t="n">
        <f>DAY(DATE('Assumptions and Catalog'!$C$24+A715-1,B715+1,0))</f>
        <v>31</v>
      </c>
      <c r="D715" s="5" t="n">
        <f>IF(ISNUMBER(Inputs!$L$5),Inputs!$L$5*Inputs!$L$6,0)</f>
        <v>40.35</v>
      </c>
      <c r="E715" s="5" t="n">
        <f>IF(ISNUMBER(Inputs!$L$5),Inputs!$L$5-D715,0)</f>
        <v>40.35</v>
      </c>
      <c r="F715" s="5" t="n">
        <f>E$51*INDEX('Solar Production'!$D$20:$D$31,B715)*C715*(1-'Assumptions and Catalog'!$C$10)^(A715-1)</f>
        <v>1775.30558450204</v>
      </c>
      <c r="G715" s="5" t="n">
        <f>MIN(F715,D715*C715)</f>
        <v>1250.85</v>
      </c>
      <c r="H715" s="5" t="n">
        <f>I715/('Assumptions and Catalog'!$C$11*'Assumptions and Catalog'!$C$12)</f>
        <v>300.304152523487</v>
      </c>
      <c r="I715" s="5" t="n">
        <f>MIN(E715*C715,P715*'Assumptions and Catalog'!$C$12*C715,(F715-G715)*'Assumptions and Catalog'!$C$11*'Assumptions and Catalog'!$C$12,E$56*'Assumptions and Catalog'!$C$14*'Assumptions and Catalog'!$C$11*'Assumptions and Catalog'!$C$12*C715,E$57*(24-'Assumptions and Catalog'!$C$13)*C715)</f>
        <v>285.47663499264</v>
      </c>
      <c r="J715" s="5" t="n">
        <f>MAX(F715-G715-H715,0)</f>
        <v>224.15143197855</v>
      </c>
      <c r="K715" s="5" t="n">
        <f>H715-I715</f>
        <v>14.8275175308472</v>
      </c>
      <c r="L715" s="5" t="n">
        <f>(D715+E715)*C715-G715-I715+0+IF(E$52&gt;0,'Assumptions and Catalog'!$C$26*C715,0)</f>
        <v>965.37336500736</v>
      </c>
      <c r="M715" s="5" t="n">
        <f>IF(ISNUMBER(Inputs!$L$5),(IF(Inputs!$L$9="Actual flat rate",((D715+E715)*C715)*Inputs!$L$10,IF(Inputs!$C$9="Residential",IF(((D715+E715)*C715)&lt;='Assumptions and Catalog'!$C$50,((D715+E715)*C715)*'Assumptions and Catalog'!$H$50+'Assumptions and Catalog'!$E$50+'Assumptions and Catalog'!$F$50,IF(((D715+E715)*C715)&lt;='Assumptions and Catalog'!$C$51,((D715+E715)*C715)*'Assumptions and Catalog'!$H$51+'Assumptions and Catalog'!$E$51+'Assumptions and Catalog'!$F$51,IF(((D715+E715)*C715)&lt;='Assumptions and Catalog'!$C$52,((D715+E715)*C715)*'Assumptions and Catalog'!$H$52+'Assumptions and Catalog'!$E$52+'Assumptions and Catalog'!$F$52,IF(((D715+E715)*C715)&lt;='Assumptions and Catalog'!$C$53,((D715+E715)*C715)*'Assumptions and Catalog'!$H$53+'Assumptions and Catalog'!$E$53+'Assumptions and Catalog'!$F$53,IF(((D715+E715)*C715)&lt;='Assumptions and Catalog'!$C$54,((D715+E715)*C715)*'Assumptions and Catalog'!$H$54+'Assumptions and Catalog'!$E$54+'Assumptions and Catalog'!$F$54,IF(((D715+E715)*C715)&lt;='Assumptions and Catalog'!$C$55,((D715+E715)*C715)*'Assumptions and Catalog'!$H$55+'Assumptions and Catalog'!$E$55+'Assumptions and Catalog'!$F$55,IF(((D715+E715)*C715)&lt;='Assumptions and Catalog'!$C$56,((D715+E715)*C715)*'Assumptions and Catalog'!$H$56+'Assumptions and Catalog'!$E$56+'Assumptions and Catalog'!$F$56,IF(((D715+E715)*C715)&lt;='Assumptions and Catalog'!$C$57,((D715+E715)*C715)*'Assumptions and Catalog'!$H$57+'Assumptions and Catalog'!$E$57+'Assumptions and Catalog'!$F$57,"Out of range")))))))),IF(((D715+E715)*C715)&lt;='Assumptions and Catalog'!$C$60,((D715+E715)*C715)*'Assumptions and Catalog'!$H$60+'Assumptions and Catalog'!$E$60+'Assumptions and Catalog'!$F$60,IF(((D715+E715)*C715)&lt;='Assumptions and Catalog'!$C$61,((D715+E715)*C715)*'Assumptions and Catalog'!$H$61+'Assumptions and Catalog'!$E$61+'Assumptions and Catalog'!$F$61,IF(((D715+E715)*C715)&lt;='Assumptions and Catalog'!$C$62,((D715+E715)*C715)*'Assumptions and Catalog'!$H$62+'Assumptions and Catalog'!$E$62+'Assumptions and Catalog'!$F$62,IF(((D715+E715)*C715)&lt;='Assumptions and Catalog'!$C$63,((D715+E715)*C715)*'Assumptions and Catalog'!$H$63+'Assumptions and Catalog'!$E$63+'Assumptions and Catalog'!$F$63,IF(((D715+E715)*C715)&lt;='Assumptions and Catalog'!$C$64,((D715+E715)*C715)*'Assumptions and Catalog'!$H$64+'Assumptions and Catalog'!$E$64+'Assumptions and Catalog'!$F$64,IF(((D715+E715)*C715)&lt;='Assumptions and Catalog'!$C$65,((D715+E715)*C715)*'Assumptions and Catalog'!$H$65+'Assumptions and Catalog'!$E$65+'Assumptions and Catalog'!$F$65,"Out of range")))))))))*(1+'Assumptions and Catalog'!$C$8)^(A715-1),0)</f>
        <v>7094.794</v>
      </c>
      <c r="N715" s="5" t="n">
        <f>IF(ISNUMBER(Inputs!$L$5),(IF(Inputs!$L$9="Actual flat rate",L715*Inputs!$L$10,IF(Inputs!$C$9="Residential",IF(L715&lt;='Assumptions and Catalog'!$C$50,L715*'Assumptions and Catalog'!$H$50+'Assumptions and Catalog'!$E$50+'Assumptions and Catalog'!$F$50,IF(L715&lt;='Assumptions and Catalog'!$C$51,L715*'Assumptions and Catalog'!$H$51+'Assumptions and Catalog'!$E$51+'Assumptions and Catalog'!$F$51,IF(L715&lt;='Assumptions and Catalog'!$C$52,L715*'Assumptions and Catalog'!$H$52+'Assumptions and Catalog'!$E$52+'Assumptions and Catalog'!$F$52,IF(L715&lt;='Assumptions and Catalog'!$C$53,L715*'Assumptions and Catalog'!$H$53+'Assumptions and Catalog'!$E$53+'Assumptions and Catalog'!$F$53,IF(L715&lt;='Assumptions and Catalog'!$C$54,L715*'Assumptions and Catalog'!$H$54+'Assumptions and Catalog'!$E$54+'Assumptions and Catalog'!$F$54,IF(L715&lt;='Assumptions and Catalog'!$C$55,L715*'Assumptions and Catalog'!$H$55+'Assumptions and Catalog'!$E$55+'Assumptions and Catalog'!$F$55,IF(L715&lt;='Assumptions and Catalog'!$C$56,L715*'Assumptions and Catalog'!$H$56+'Assumptions and Catalog'!$E$56+'Assumptions and Catalog'!$F$56,IF(L715&lt;='Assumptions and Catalog'!$C$57,L715*'Assumptions and Catalog'!$H$57+'Assumptions and Catalog'!$E$57+'Assumptions and Catalog'!$F$57,"Out of range")))))))),IF(L715&lt;='Assumptions and Catalog'!$C$60,L715*'Assumptions and Catalog'!$H$60+'Assumptions and Catalog'!$E$60+'Assumptions and Catalog'!$F$60,IF(L715&lt;='Assumptions and Catalog'!$C$61,L715*'Assumptions and Catalog'!$H$61+'Assumptions and Catalog'!$E$61+'Assumptions and Catalog'!$F$61,IF(L715&lt;='Assumptions and Catalog'!$C$62,L715*'Assumptions and Catalog'!$H$62+'Assumptions and Catalog'!$E$62+'Assumptions and Catalog'!$F$62,IF(L715&lt;='Assumptions and Catalog'!$C$63,L715*'Assumptions and Catalog'!$H$63+'Assumptions and Catalog'!$E$63+'Assumptions and Catalog'!$F$63,IF(L715&lt;='Assumptions and Catalog'!$C$64,L715*'Assumptions and Catalog'!$H$64+'Assumptions and Catalog'!$E$64+'Assumptions and Catalog'!$F$64,IF(L715&lt;='Assumptions and Catalog'!$C$65,L715*'Assumptions and Catalog'!$H$65+'Assumptions and Catalog'!$E$65+'Assumptions and Catalog'!$F$65,"Out of range")))))))))*(1+'Assumptions and Catalog'!$C$8)^(A715-1),0)</f>
        <v>2639.08422107039</v>
      </c>
      <c r="O715" s="5" t="n">
        <f>M715-N715</f>
        <v>4455.70977892961</v>
      </c>
      <c r="P715" s="5" t="n">
        <f>E$55*(1-L$14)*(1-'Assumptions and Catalog'!$C$23)^R715</f>
        <v>9.4450499584</v>
      </c>
      <c r="Q715" s="5" t="n">
        <f>IF(ISNUMBER(Inputs!$L$5),(IF(Inputs!$L$9="Actual flat rate",((D715+E715)*C715-G715)*Inputs!$L$10,IF(Inputs!$C$9="Residential",IF(((D715+E715)*C715-G715)&lt;='Assumptions and Catalog'!$C$50,((D715+E715)*C715-G715)*'Assumptions and Catalog'!$H$50+'Assumptions and Catalog'!$E$50+'Assumptions and Catalog'!$F$50,IF(((D715+E715)*C715-G715)&lt;='Assumptions and Catalog'!$C$51,((D715+E715)*C715-G715)*'Assumptions and Catalog'!$H$51+'Assumptions and Catalog'!$E$51+'Assumptions and Catalog'!$F$51,IF(((D715+E715)*C715-G715)&lt;='Assumptions and Catalog'!$C$52,((D715+E715)*C715-G715)*'Assumptions and Catalog'!$H$52+'Assumptions and Catalog'!$E$52+'Assumptions and Catalog'!$F$52,IF(((D715+E715)*C715-G715)&lt;='Assumptions and Catalog'!$C$53,((D715+E715)*C715-G715)*'Assumptions and Catalog'!$H$53+'Assumptions and Catalog'!$E$53+'Assumptions and Catalog'!$F$53,IF(((D715+E715)*C715-G715)&lt;='Assumptions and Catalog'!$C$54,((D715+E715)*C715-G715)*'Assumptions and Catalog'!$H$54+'Assumptions and Catalog'!$E$54+'Assumptions and Catalog'!$F$54,IF(((D715+E715)*C715-G715)&lt;='Assumptions and Catalog'!$C$55,((D715+E715)*C715-G715)*'Assumptions and Catalog'!$H$55+'Assumptions and Catalog'!$E$55+'Assumptions and Catalog'!$F$55,IF(((D715+E715)*C715-G715)&lt;='Assumptions and Catalog'!$C$56,((D715+E715)*C715-G715)*'Assumptions and Catalog'!$H$56+'Assumptions and Catalog'!$E$56+'Assumptions and Catalog'!$F$56,IF(((D715+E715)*C715-G715)&lt;='Assumptions and Catalog'!$C$57,((D715+E715)*C715-G715)*'Assumptions and Catalog'!$H$57+'Assumptions and Catalog'!$E$57+'Assumptions and Catalog'!$F$57,"Out of range")))))))),IF(((D715+E715)*C715-G715)&lt;='Assumptions and Catalog'!$C$60,((D715+E715)*C715-G715)*'Assumptions and Catalog'!$H$60+'Assumptions and Catalog'!$E$60+'Assumptions and Catalog'!$F$60,IF(((D715+E715)*C715-G715)&lt;='Assumptions and Catalog'!$C$61,((D715+E715)*C715-G715)*'Assumptions and Catalog'!$H$61+'Assumptions and Catalog'!$E$61+'Assumptions and Catalog'!$F$61,IF(((D715+E715)*C715-G715)&lt;='Assumptions and Catalog'!$C$62,((D715+E715)*C715-G715)*'Assumptions and Catalog'!$H$62+'Assumptions and Catalog'!$E$62+'Assumptions and Catalog'!$F$62,IF(((D715+E715)*C715-G715)&lt;='Assumptions and Catalog'!$C$63,((D715+E715)*C715-G715)*'Assumptions and Catalog'!$H$63+'Assumptions and Catalog'!$E$63+'Assumptions and Catalog'!$F$63,IF(((D715+E715)*C715-G715)&lt;='Assumptions and Catalog'!$C$64,((D715+E715)*C715-G715)*'Assumptions and Catalog'!$H$64+'Assumptions and Catalog'!$E$64+'Assumptions and Catalog'!$F$64,IF(((D715+E715)*C715-G715)&lt;='Assumptions and Catalog'!$C$65,((D715+E715)*C715-G715)*'Assumptions and Catalog'!$H$65+'Assumptions and Catalog'!$E$65+'Assumptions and Catalog'!$F$65,"Out of range")))))))))*(1+'Assumptions and Catalog'!$C$8)^(A715-1),0)</f>
        <v>3567.397</v>
      </c>
      <c r="R715" s="5" t="n">
        <f>IF(AND('Assumptions and Catalog'!$C$19&gt;0,A715&gt;='Assumptions and Catalog'!$C$19),A715-'Assumptions and Catalog'!$C$19,A715-1)</f>
        <v>4</v>
      </c>
      <c r="S715" s="5" t="n">
        <f>F715+L715-(D715+E715)*C715-J715-K715-IF(E$52&gt;0,'Assumptions and Catalog'!$C$26*C715,0)</f>
        <v>1.13686837721616E-013</v>
      </c>
      <c r="T715" s="5"/>
      <c r="U715" s="5"/>
    </row>
    <row r="716" ht="23.100000381469727" customHeight="1">
      <c r="A716" s="5" t="n">
        <v>5</v>
      </c>
      <c r="B716" s="5" t="n">
        <v>8</v>
      </c>
      <c r="C716" s="5" t="n">
        <f>DAY(DATE('Assumptions and Catalog'!$C$24+A716-1,B716+1,0))</f>
        <v>31</v>
      </c>
      <c r="D716" s="5" t="n">
        <f>IF(ISNUMBER(Inputs!$L$5),Inputs!$L$5*Inputs!$L$6,0)</f>
        <v>40.35</v>
      </c>
      <c r="E716" s="5" t="n">
        <f>IF(ISNUMBER(Inputs!$L$5),Inputs!$L$5-D716,0)</f>
        <v>40.35</v>
      </c>
      <c r="F716" s="5" t="n">
        <f>E$51*INDEX('Solar Production'!$D$20:$D$31,B716)*C716*(1-'Assumptions and Catalog'!$C$10)^(A716-1)</f>
        <v>1798.37830374675</v>
      </c>
      <c r="G716" s="5" t="n">
        <f>MIN(F716,D716*C716)</f>
        <v>1250.85</v>
      </c>
      <c r="H716" s="5" t="n">
        <f>I716/('Assumptions and Catalog'!$C$11*'Assumptions and Catalog'!$C$12)</f>
        <v>300.304152523487</v>
      </c>
      <c r="I716" s="5" t="n">
        <f>MIN(E716*C716,P716*'Assumptions and Catalog'!$C$12*C716,(F716-G716)*'Assumptions and Catalog'!$C$11*'Assumptions and Catalog'!$C$12,E$56*'Assumptions and Catalog'!$C$14*'Assumptions and Catalog'!$C$11*'Assumptions and Catalog'!$C$12*C716,E$57*(24-'Assumptions and Catalog'!$C$13)*C716)</f>
        <v>285.47663499264</v>
      </c>
      <c r="J716" s="5" t="n">
        <f>MAX(F716-G716-H716,0)</f>
        <v>247.224151223263</v>
      </c>
      <c r="K716" s="5" t="n">
        <f>H716-I716</f>
        <v>14.8275175308472</v>
      </c>
      <c r="L716" s="5" t="n">
        <f>(D716+E716)*C716-G716-I716+0+IF(E$52&gt;0,'Assumptions and Catalog'!$C$26*C716,0)</f>
        <v>965.37336500736</v>
      </c>
      <c r="M716" s="5" t="n">
        <f>IF(ISNUMBER(Inputs!$L$5),(IF(Inputs!$L$9="Actual flat rate",((D716+E716)*C716)*Inputs!$L$10,IF(Inputs!$C$9="Residential",IF(((D716+E716)*C716)&lt;='Assumptions and Catalog'!$C$50,((D716+E716)*C716)*'Assumptions and Catalog'!$H$50+'Assumptions and Catalog'!$E$50+'Assumptions and Catalog'!$F$50,IF(((D716+E716)*C716)&lt;='Assumptions and Catalog'!$C$51,((D716+E716)*C716)*'Assumptions and Catalog'!$H$51+'Assumptions and Catalog'!$E$51+'Assumptions and Catalog'!$F$51,IF(((D716+E716)*C716)&lt;='Assumptions and Catalog'!$C$52,((D716+E716)*C716)*'Assumptions and Catalog'!$H$52+'Assumptions and Catalog'!$E$52+'Assumptions and Catalog'!$F$52,IF(((D716+E716)*C716)&lt;='Assumptions and Catalog'!$C$53,((D716+E716)*C716)*'Assumptions and Catalog'!$H$53+'Assumptions and Catalog'!$E$53+'Assumptions and Catalog'!$F$53,IF(((D716+E716)*C716)&lt;='Assumptions and Catalog'!$C$54,((D716+E716)*C716)*'Assumptions and Catalog'!$H$54+'Assumptions and Catalog'!$E$54+'Assumptions and Catalog'!$F$54,IF(((D716+E716)*C716)&lt;='Assumptions and Catalog'!$C$55,((D716+E716)*C716)*'Assumptions and Catalog'!$H$55+'Assumptions and Catalog'!$E$55+'Assumptions and Catalog'!$F$55,IF(((D716+E716)*C716)&lt;='Assumptions and Catalog'!$C$56,((D716+E716)*C716)*'Assumptions and Catalog'!$H$56+'Assumptions and Catalog'!$E$56+'Assumptions and Catalog'!$F$56,IF(((D716+E716)*C716)&lt;='Assumptions and Catalog'!$C$57,((D716+E716)*C716)*'Assumptions and Catalog'!$H$57+'Assumptions and Catalog'!$E$57+'Assumptions and Catalog'!$F$57,"Out of range")))))))),IF(((D716+E716)*C716)&lt;='Assumptions and Catalog'!$C$60,((D716+E716)*C716)*'Assumptions and Catalog'!$H$60+'Assumptions and Catalog'!$E$60+'Assumptions and Catalog'!$F$60,IF(((D716+E716)*C716)&lt;='Assumptions and Catalog'!$C$61,((D716+E716)*C716)*'Assumptions and Catalog'!$H$61+'Assumptions and Catalog'!$E$61+'Assumptions and Catalog'!$F$61,IF(((D716+E716)*C716)&lt;='Assumptions and Catalog'!$C$62,((D716+E716)*C716)*'Assumptions and Catalog'!$H$62+'Assumptions and Catalog'!$E$62+'Assumptions and Catalog'!$F$62,IF(((D716+E716)*C716)&lt;='Assumptions and Catalog'!$C$63,((D716+E716)*C716)*'Assumptions and Catalog'!$H$63+'Assumptions and Catalog'!$E$63+'Assumptions and Catalog'!$F$63,IF(((D716+E716)*C716)&lt;='Assumptions and Catalog'!$C$64,((D716+E716)*C716)*'Assumptions and Catalog'!$H$64+'Assumptions and Catalog'!$E$64+'Assumptions and Catalog'!$F$64,IF(((D716+E716)*C716)&lt;='Assumptions and Catalog'!$C$65,((D716+E716)*C716)*'Assumptions and Catalog'!$H$65+'Assumptions and Catalog'!$E$65+'Assumptions and Catalog'!$F$65,"Out of range")))))))))*(1+'Assumptions and Catalog'!$C$8)^(A716-1),0)</f>
        <v>7094.794</v>
      </c>
      <c r="N716" s="5" t="n">
        <f>IF(ISNUMBER(Inputs!$L$5),(IF(Inputs!$L$9="Actual flat rate",L716*Inputs!$L$10,IF(Inputs!$C$9="Residential",IF(L716&lt;='Assumptions and Catalog'!$C$50,L716*'Assumptions and Catalog'!$H$50+'Assumptions and Catalog'!$E$50+'Assumptions and Catalog'!$F$50,IF(L716&lt;='Assumptions and Catalog'!$C$51,L716*'Assumptions and Catalog'!$H$51+'Assumptions and Catalog'!$E$51+'Assumptions and Catalog'!$F$51,IF(L716&lt;='Assumptions and Catalog'!$C$52,L716*'Assumptions and Catalog'!$H$52+'Assumptions and Catalog'!$E$52+'Assumptions and Catalog'!$F$52,IF(L716&lt;='Assumptions and Catalog'!$C$53,L716*'Assumptions and Catalog'!$H$53+'Assumptions and Catalog'!$E$53+'Assumptions and Catalog'!$F$53,IF(L716&lt;='Assumptions and Catalog'!$C$54,L716*'Assumptions and Catalog'!$H$54+'Assumptions and Catalog'!$E$54+'Assumptions and Catalog'!$F$54,IF(L716&lt;='Assumptions and Catalog'!$C$55,L716*'Assumptions and Catalog'!$H$55+'Assumptions and Catalog'!$E$55+'Assumptions and Catalog'!$F$55,IF(L716&lt;='Assumptions and Catalog'!$C$56,L716*'Assumptions and Catalog'!$H$56+'Assumptions and Catalog'!$E$56+'Assumptions and Catalog'!$F$56,IF(L716&lt;='Assumptions and Catalog'!$C$57,L716*'Assumptions and Catalog'!$H$57+'Assumptions and Catalog'!$E$57+'Assumptions and Catalog'!$F$57,"Out of range")))))))),IF(L716&lt;='Assumptions and Catalog'!$C$60,L716*'Assumptions and Catalog'!$H$60+'Assumptions and Catalog'!$E$60+'Assumptions and Catalog'!$F$60,IF(L716&lt;='Assumptions and Catalog'!$C$61,L716*'Assumptions and Catalog'!$H$61+'Assumptions and Catalog'!$E$61+'Assumptions and Catalog'!$F$61,IF(L716&lt;='Assumptions and Catalog'!$C$62,L716*'Assumptions and Catalog'!$H$62+'Assumptions and Catalog'!$E$62+'Assumptions and Catalog'!$F$62,IF(L716&lt;='Assumptions and Catalog'!$C$63,L716*'Assumptions and Catalog'!$H$63+'Assumptions and Catalog'!$E$63+'Assumptions and Catalog'!$F$63,IF(L716&lt;='Assumptions and Catalog'!$C$64,L716*'Assumptions and Catalog'!$H$64+'Assumptions and Catalog'!$E$64+'Assumptions and Catalog'!$F$64,IF(L716&lt;='Assumptions and Catalog'!$C$65,L716*'Assumptions and Catalog'!$H$65+'Assumptions and Catalog'!$E$65+'Assumptions and Catalog'!$F$65,"Out of range")))))))))*(1+'Assumptions and Catalog'!$C$8)^(A716-1),0)</f>
        <v>2639.08422107039</v>
      </c>
      <c r="O716" s="5" t="n">
        <f>M716-N716</f>
        <v>4455.70977892961</v>
      </c>
      <c r="P716" s="5" t="n">
        <f>E$55*(1-L$14)*(1-'Assumptions and Catalog'!$C$23)^R716</f>
        <v>9.4450499584</v>
      </c>
      <c r="Q716" s="5" t="n">
        <f>IF(ISNUMBER(Inputs!$L$5),(IF(Inputs!$L$9="Actual flat rate",((D716+E716)*C716-G716)*Inputs!$L$10,IF(Inputs!$C$9="Residential",IF(((D716+E716)*C716-G716)&lt;='Assumptions and Catalog'!$C$50,((D716+E716)*C716-G716)*'Assumptions and Catalog'!$H$50+'Assumptions and Catalog'!$E$50+'Assumptions and Catalog'!$F$50,IF(((D716+E716)*C716-G716)&lt;='Assumptions and Catalog'!$C$51,((D716+E716)*C716-G716)*'Assumptions and Catalog'!$H$51+'Assumptions and Catalog'!$E$51+'Assumptions and Catalog'!$F$51,IF(((D716+E716)*C716-G716)&lt;='Assumptions and Catalog'!$C$52,((D716+E716)*C716-G716)*'Assumptions and Catalog'!$H$52+'Assumptions and Catalog'!$E$52+'Assumptions and Catalog'!$F$52,IF(((D716+E716)*C716-G716)&lt;='Assumptions and Catalog'!$C$53,((D716+E716)*C716-G716)*'Assumptions and Catalog'!$H$53+'Assumptions and Catalog'!$E$53+'Assumptions and Catalog'!$F$53,IF(((D716+E716)*C716-G716)&lt;='Assumptions and Catalog'!$C$54,((D716+E716)*C716-G716)*'Assumptions and Catalog'!$H$54+'Assumptions and Catalog'!$E$54+'Assumptions and Catalog'!$F$54,IF(((D716+E716)*C716-G716)&lt;='Assumptions and Catalog'!$C$55,((D716+E716)*C716-G716)*'Assumptions and Catalog'!$H$55+'Assumptions and Catalog'!$E$55+'Assumptions and Catalog'!$F$55,IF(((D716+E716)*C716-G716)&lt;='Assumptions and Catalog'!$C$56,((D716+E716)*C716-G716)*'Assumptions and Catalog'!$H$56+'Assumptions and Catalog'!$E$56+'Assumptions and Catalog'!$F$56,IF(((D716+E716)*C716-G716)&lt;='Assumptions and Catalog'!$C$57,((D716+E716)*C716-G716)*'Assumptions and Catalog'!$H$57+'Assumptions and Catalog'!$E$57+'Assumptions and Catalog'!$F$57,"Out of range")))))))),IF(((D716+E716)*C716-G716)&lt;='Assumptions and Catalog'!$C$60,((D716+E716)*C716-G716)*'Assumptions and Catalog'!$H$60+'Assumptions and Catalog'!$E$60+'Assumptions and Catalog'!$F$60,IF(((D716+E716)*C716-G716)&lt;='Assumptions and Catalog'!$C$61,((D716+E716)*C716-G716)*'Assumptions and Catalog'!$H$61+'Assumptions and Catalog'!$E$61+'Assumptions and Catalog'!$F$61,IF(((D716+E716)*C716-G716)&lt;='Assumptions and Catalog'!$C$62,((D716+E716)*C716-G716)*'Assumptions and Catalog'!$H$62+'Assumptions and Catalog'!$E$62+'Assumptions and Catalog'!$F$62,IF(((D716+E716)*C716-G716)&lt;='Assumptions and Catalog'!$C$63,((D716+E716)*C716-G716)*'Assumptions and Catalog'!$H$63+'Assumptions and Catalog'!$E$63+'Assumptions and Catalog'!$F$63,IF(((D716+E716)*C716-G716)&lt;='Assumptions and Catalog'!$C$64,((D716+E716)*C716-G716)*'Assumptions and Catalog'!$H$64+'Assumptions and Catalog'!$E$64+'Assumptions and Catalog'!$F$64,IF(((D716+E716)*C716-G716)&lt;='Assumptions and Catalog'!$C$65,((D716+E716)*C716-G716)*'Assumptions and Catalog'!$H$65+'Assumptions and Catalog'!$E$65+'Assumptions and Catalog'!$F$65,"Out of range")))))))))*(1+'Assumptions and Catalog'!$C$8)^(A716-1),0)</f>
        <v>3567.397</v>
      </c>
      <c r="R716" s="5" t="n">
        <f>IF(AND('Assumptions and Catalog'!$C$19&gt;0,A716&gt;='Assumptions and Catalog'!$C$19),A716-'Assumptions and Catalog'!$C$19,A716-1)</f>
        <v>4</v>
      </c>
      <c r="S716" s="5" t="n">
        <f>F716+L716-(D716+E716)*C716-J716-K716-IF(E$52&gt;0,'Assumptions and Catalog'!$C$26*C716,0)</f>
        <v>1.13686837721616E-013</v>
      </c>
      <c r="T716" s="5"/>
      <c r="U716" s="5"/>
    </row>
    <row r="717" ht="23.100000381469727" customHeight="1">
      <c r="A717" s="5" t="n">
        <v>5</v>
      </c>
      <c r="B717" s="5" t="n">
        <v>9</v>
      </c>
      <c r="C717" s="5" t="n">
        <f>DAY(DATE('Assumptions and Catalog'!$C$24+A717-1,B717+1,0))</f>
        <v>30</v>
      </c>
      <c r="D717" s="5" t="n">
        <f>IF(ISNUMBER(Inputs!$L$5),Inputs!$L$5*Inputs!$L$6,0)</f>
        <v>40.35</v>
      </c>
      <c r="E717" s="5" t="n">
        <f>IF(ISNUMBER(Inputs!$L$5),Inputs!$L$5-D717,0)</f>
        <v>40.35</v>
      </c>
      <c r="F717" s="5" t="n">
        <f>E$51*INDEX('Solar Production'!$D$20:$D$31,B717)*C717*(1-'Assumptions and Catalog'!$C$10)^(A717-1)</f>
        <v>1735.84476560688</v>
      </c>
      <c r="G717" s="5" t="n">
        <f>MIN(F717,D717*C717)</f>
        <v>1210.5</v>
      </c>
      <c r="H717" s="5" t="n">
        <f>I717/('Assumptions and Catalog'!$C$11*'Assumptions and Catalog'!$C$12)</f>
        <v>290.616921796923</v>
      </c>
      <c r="I717" s="5" t="n">
        <f>MIN(E717*C717,P717*'Assumptions and Catalog'!$C$12*C717,(F717-G717)*'Assumptions and Catalog'!$C$11*'Assumptions and Catalog'!$C$12,E$56*'Assumptions and Catalog'!$C$14*'Assumptions and Catalog'!$C$11*'Assumptions and Catalog'!$C$12*C717,E$57*(24-'Assumptions and Catalog'!$C$13)*C717)</f>
        <v>276.2677112832</v>
      </c>
      <c r="J717" s="5" t="n">
        <f>MAX(F717-G717-H717,0)</f>
        <v>234.727843809952</v>
      </c>
      <c r="K717" s="5" t="n">
        <f>H717-I717</f>
        <v>14.3492105137231</v>
      </c>
      <c r="L717" s="5" t="n">
        <f>(D717+E717)*C717-G717-I717+0+IF(E$52&gt;0,'Assumptions and Catalog'!$C$26*C717,0)</f>
        <v>934.2322887168</v>
      </c>
      <c r="M717" s="5" t="n">
        <f>IF(ISNUMBER(Inputs!$L$5),(IF(Inputs!$L$9="Actual flat rate",((D717+E717)*C717)*Inputs!$L$10,IF(Inputs!$C$9="Residential",IF(((D717+E717)*C717)&lt;='Assumptions and Catalog'!$C$50,((D717+E717)*C717)*'Assumptions and Catalog'!$H$50+'Assumptions and Catalog'!$E$50+'Assumptions and Catalog'!$F$50,IF(((D717+E717)*C717)&lt;='Assumptions and Catalog'!$C$51,((D717+E717)*C717)*'Assumptions and Catalog'!$H$51+'Assumptions and Catalog'!$E$51+'Assumptions and Catalog'!$F$51,IF(((D717+E717)*C717)&lt;='Assumptions and Catalog'!$C$52,((D717+E717)*C717)*'Assumptions and Catalog'!$H$52+'Assumptions and Catalog'!$E$52+'Assumptions and Catalog'!$F$52,IF(((D717+E717)*C717)&lt;='Assumptions and Catalog'!$C$53,((D717+E717)*C717)*'Assumptions and Catalog'!$H$53+'Assumptions and Catalog'!$E$53+'Assumptions and Catalog'!$F$53,IF(((D717+E717)*C717)&lt;='Assumptions and Catalog'!$C$54,((D717+E717)*C717)*'Assumptions and Catalog'!$H$54+'Assumptions and Catalog'!$E$54+'Assumptions and Catalog'!$F$54,IF(((D717+E717)*C717)&lt;='Assumptions and Catalog'!$C$55,((D717+E717)*C717)*'Assumptions and Catalog'!$H$55+'Assumptions and Catalog'!$E$55+'Assumptions and Catalog'!$F$55,IF(((D717+E717)*C717)&lt;='Assumptions and Catalog'!$C$56,((D717+E717)*C717)*'Assumptions and Catalog'!$H$56+'Assumptions and Catalog'!$E$56+'Assumptions and Catalog'!$F$56,IF(((D717+E717)*C717)&lt;='Assumptions and Catalog'!$C$57,((D717+E717)*C717)*'Assumptions and Catalog'!$H$57+'Assumptions and Catalog'!$E$57+'Assumptions and Catalog'!$F$57,"Out of range")))))))),IF(((D717+E717)*C717)&lt;='Assumptions and Catalog'!$C$60,((D717+E717)*C717)*'Assumptions and Catalog'!$H$60+'Assumptions and Catalog'!$E$60+'Assumptions and Catalog'!$F$60,IF(((D717+E717)*C717)&lt;='Assumptions and Catalog'!$C$61,((D717+E717)*C717)*'Assumptions and Catalog'!$H$61+'Assumptions and Catalog'!$E$61+'Assumptions and Catalog'!$F$61,IF(((D717+E717)*C717)&lt;='Assumptions and Catalog'!$C$62,((D717+E717)*C717)*'Assumptions and Catalog'!$H$62+'Assumptions and Catalog'!$E$62+'Assumptions and Catalog'!$F$62,IF(((D717+E717)*C717)&lt;='Assumptions and Catalog'!$C$63,((D717+E717)*C717)*'Assumptions and Catalog'!$H$63+'Assumptions and Catalog'!$E$63+'Assumptions and Catalog'!$F$63,IF(((D717+E717)*C717)&lt;='Assumptions and Catalog'!$C$64,((D717+E717)*C717)*'Assumptions and Catalog'!$H$64+'Assumptions and Catalog'!$E$64+'Assumptions and Catalog'!$F$64,IF(((D717+E717)*C717)&lt;='Assumptions and Catalog'!$C$65,((D717+E717)*C717)*'Assumptions and Catalog'!$H$65+'Assumptions and Catalog'!$E$65+'Assumptions and Catalog'!$F$65,"Out of range")))))))))*(1+'Assumptions and Catalog'!$C$8)^(A717-1),0)</f>
        <v>6867.22</v>
      </c>
      <c r="N717" s="5" t="n">
        <f>IF(ISNUMBER(Inputs!$L$5),(IF(Inputs!$L$9="Actual flat rate",L717*Inputs!$L$10,IF(Inputs!$C$9="Residential",IF(L717&lt;='Assumptions and Catalog'!$C$50,L717*'Assumptions and Catalog'!$H$50+'Assumptions and Catalog'!$E$50+'Assumptions and Catalog'!$F$50,IF(L717&lt;='Assumptions and Catalog'!$C$51,L717*'Assumptions and Catalog'!$H$51+'Assumptions and Catalog'!$E$51+'Assumptions and Catalog'!$F$51,IF(L717&lt;='Assumptions and Catalog'!$C$52,L717*'Assumptions and Catalog'!$H$52+'Assumptions and Catalog'!$E$52+'Assumptions and Catalog'!$F$52,IF(L717&lt;='Assumptions and Catalog'!$C$53,L717*'Assumptions and Catalog'!$H$53+'Assumptions and Catalog'!$E$53+'Assumptions and Catalog'!$F$53,IF(L717&lt;='Assumptions and Catalog'!$C$54,L717*'Assumptions and Catalog'!$H$54+'Assumptions and Catalog'!$E$54+'Assumptions and Catalog'!$F$54,IF(L717&lt;='Assumptions and Catalog'!$C$55,L717*'Assumptions and Catalog'!$H$55+'Assumptions and Catalog'!$E$55+'Assumptions and Catalog'!$F$55,IF(L717&lt;='Assumptions and Catalog'!$C$56,L717*'Assumptions and Catalog'!$H$56+'Assumptions and Catalog'!$E$56+'Assumptions and Catalog'!$F$56,IF(L717&lt;='Assumptions and Catalog'!$C$57,L717*'Assumptions and Catalog'!$H$57+'Assumptions and Catalog'!$E$57+'Assumptions and Catalog'!$F$57,"Out of range")))))))),IF(L717&lt;='Assumptions and Catalog'!$C$60,L717*'Assumptions and Catalog'!$H$60+'Assumptions and Catalog'!$E$60+'Assumptions and Catalog'!$F$60,IF(L717&lt;='Assumptions and Catalog'!$C$61,L717*'Assumptions and Catalog'!$H$61+'Assumptions and Catalog'!$E$61+'Assumptions and Catalog'!$F$61,IF(L717&lt;='Assumptions and Catalog'!$C$62,L717*'Assumptions and Catalog'!$H$62+'Assumptions and Catalog'!$E$62+'Assumptions and Catalog'!$F$62,IF(L717&lt;='Assumptions and Catalog'!$C$63,L717*'Assumptions and Catalog'!$H$63+'Assumptions and Catalog'!$E$63+'Assumptions and Catalog'!$F$63,IF(L717&lt;='Assumptions and Catalog'!$C$64,L717*'Assumptions and Catalog'!$H$64+'Assumptions and Catalog'!$E$64+'Assumptions and Catalog'!$F$64,IF(L717&lt;='Assumptions and Catalog'!$C$65,L717*'Assumptions and Catalog'!$H$65+'Assumptions and Catalog'!$E$65+'Assumptions and Catalog'!$F$65,"Out of range")))))))))*(1+'Assumptions and Catalog'!$C$8)^(A717-1),0)</f>
        <v>2552.82343974554</v>
      </c>
      <c r="O717" s="5" t="n">
        <f>M717-N717</f>
        <v>4314.39656025446</v>
      </c>
      <c r="P717" s="5" t="n">
        <f>E$55*(1-L$14)*(1-'Assumptions and Catalog'!$C$23)^R717</f>
        <v>9.4450499584</v>
      </c>
      <c r="Q717" s="5" t="n">
        <f>IF(ISNUMBER(Inputs!$L$5),(IF(Inputs!$L$9="Actual flat rate",((D717+E717)*C717-G717)*Inputs!$L$10,IF(Inputs!$C$9="Residential",IF(((D717+E717)*C717-G717)&lt;='Assumptions and Catalog'!$C$50,((D717+E717)*C717-G717)*'Assumptions and Catalog'!$H$50+'Assumptions and Catalog'!$E$50+'Assumptions and Catalog'!$F$50,IF(((D717+E717)*C717-G717)&lt;='Assumptions and Catalog'!$C$51,((D717+E717)*C717-G717)*'Assumptions and Catalog'!$H$51+'Assumptions and Catalog'!$E$51+'Assumptions and Catalog'!$F$51,IF(((D717+E717)*C717-G717)&lt;='Assumptions and Catalog'!$C$52,((D717+E717)*C717-G717)*'Assumptions and Catalog'!$H$52+'Assumptions and Catalog'!$E$52+'Assumptions and Catalog'!$F$52,IF(((D717+E717)*C717-G717)&lt;='Assumptions and Catalog'!$C$53,((D717+E717)*C717-G717)*'Assumptions and Catalog'!$H$53+'Assumptions and Catalog'!$E$53+'Assumptions and Catalog'!$F$53,IF(((D717+E717)*C717-G717)&lt;='Assumptions and Catalog'!$C$54,((D717+E717)*C717-G717)*'Assumptions and Catalog'!$H$54+'Assumptions and Catalog'!$E$54+'Assumptions and Catalog'!$F$54,IF(((D717+E717)*C717-G717)&lt;='Assumptions and Catalog'!$C$55,((D717+E717)*C717-G717)*'Assumptions and Catalog'!$H$55+'Assumptions and Catalog'!$E$55+'Assumptions and Catalog'!$F$55,IF(((D717+E717)*C717-G717)&lt;='Assumptions and Catalog'!$C$56,((D717+E717)*C717-G717)*'Assumptions and Catalog'!$H$56+'Assumptions and Catalog'!$E$56+'Assumptions and Catalog'!$F$56,IF(((D717+E717)*C717-G717)&lt;='Assumptions and Catalog'!$C$57,((D717+E717)*C717-G717)*'Assumptions and Catalog'!$H$57+'Assumptions and Catalog'!$E$57+'Assumptions and Catalog'!$F$57,"Out of range")))))))),IF(((D717+E717)*C717-G717)&lt;='Assumptions and Catalog'!$C$60,((D717+E717)*C717-G717)*'Assumptions and Catalog'!$H$60+'Assumptions and Catalog'!$E$60+'Assumptions and Catalog'!$F$60,IF(((D717+E717)*C717-G717)&lt;='Assumptions and Catalog'!$C$61,((D717+E717)*C717-G717)*'Assumptions and Catalog'!$H$61+'Assumptions and Catalog'!$E$61+'Assumptions and Catalog'!$F$61,IF(((D717+E717)*C717-G717)&lt;='Assumptions and Catalog'!$C$62,((D717+E717)*C717-G717)*'Assumptions and Catalog'!$H$62+'Assumptions and Catalog'!$E$62+'Assumptions and Catalog'!$F$62,IF(((D717+E717)*C717-G717)&lt;='Assumptions and Catalog'!$C$63,((D717+E717)*C717-G717)*'Assumptions and Catalog'!$H$63+'Assumptions and Catalog'!$E$63+'Assumptions and Catalog'!$F$63,IF(((D717+E717)*C717-G717)&lt;='Assumptions and Catalog'!$C$64,((D717+E717)*C717-G717)*'Assumptions and Catalog'!$H$64+'Assumptions and Catalog'!$E$64+'Assumptions and Catalog'!$F$64,IF(((D717+E717)*C717-G717)&lt;='Assumptions and Catalog'!$C$65,((D717+E717)*C717-G717)*'Assumptions and Catalog'!$H$65+'Assumptions and Catalog'!$E$65+'Assumptions and Catalog'!$F$65,"Out of range")))))))))*(1+'Assumptions and Catalog'!$C$8)^(A717-1),0)</f>
        <v>3453.61</v>
      </c>
      <c r="R717" s="5" t="n">
        <f>IF(AND('Assumptions and Catalog'!$C$19&gt;0,A717&gt;='Assumptions and Catalog'!$C$19),A717-'Assumptions and Catalog'!$C$19,A717-1)</f>
        <v>4</v>
      </c>
      <c r="S717" s="5" t="n">
        <f>F717+L717-(D717+E717)*C717-J717-K717-IF(E$52&gt;0,'Assumptions and Catalog'!$C$26*C717,0)</f>
        <v>0</v>
      </c>
      <c r="T717" s="5"/>
      <c r="U717" s="5"/>
    </row>
    <row r="718" ht="23.100000381469727" customHeight="1">
      <c r="A718" s="5" t="n">
        <v>5</v>
      </c>
      <c r="B718" s="5" t="n">
        <v>10</v>
      </c>
      <c r="C718" s="5" t="n">
        <f>DAY(DATE('Assumptions and Catalog'!$C$24+A718-1,B718+1,0))</f>
        <v>31</v>
      </c>
      <c r="D718" s="5" t="n">
        <f>IF(ISNUMBER(Inputs!$L$5),Inputs!$L$5*Inputs!$L$6,0)</f>
        <v>40.35</v>
      </c>
      <c r="E718" s="5" t="n">
        <f>IF(ISNUMBER(Inputs!$L$5),Inputs!$L$5-D718,0)</f>
        <v>40.35</v>
      </c>
      <c r="F718" s="5" t="n">
        <f>E$51*INDEX('Solar Production'!$D$20:$D$31,B718)*C718*(1-'Assumptions and Catalog'!$C$10)^(A718-1)</f>
        <v>1666.08752564739</v>
      </c>
      <c r="G718" s="5" t="n">
        <f>MIN(F718,D718*C718)</f>
        <v>1250.85</v>
      </c>
      <c r="H718" s="5" t="n">
        <f>I718/('Assumptions and Catalog'!$C$11*'Assumptions and Catalog'!$C$12)</f>
        <v>300.304152523487</v>
      </c>
      <c r="I718" s="5" t="n">
        <f>MIN(E718*C718,P718*'Assumptions and Catalog'!$C$12*C718,(F718-G718)*'Assumptions and Catalog'!$C$11*'Assumptions and Catalog'!$C$12,E$56*'Assumptions and Catalog'!$C$14*'Assumptions and Catalog'!$C$11*'Assumptions and Catalog'!$C$12*C718,E$57*(24-'Assumptions and Catalog'!$C$13)*C718)</f>
        <v>285.47663499264</v>
      </c>
      <c r="J718" s="5" t="n">
        <f>MAX(F718-G718-H718,0)</f>
        <v>114.933373123906</v>
      </c>
      <c r="K718" s="5" t="n">
        <f>H718-I718</f>
        <v>14.8275175308472</v>
      </c>
      <c r="L718" s="5" t="n">
        <f>(D718+E718)*C718-G718-I718+0+IF(E$52&gt;0,'Assumptions and Catalog'!$C$26*C718,0)</f>
        <v>965.37336500736</v>
      </c>
      <c r="M718" s="5" t="n">
        <f>IF(ISNUMBER(Inputs!$L$5),(IF(Inputs!$L$9="Actual flat rate",((D718+E718)*C718)*Inputs!$L$10,IF(Inputs!$C$9="Residential",IF(((D718+E718)*C718)&lt;='Assumptions and Catalog'!$C$50,((D718+E718)*C718)*'Assumptions and Catalog'!$H$50+'Assumptions and Catalog'!$E$50+'Assumptions and Catalog'!$F$50,IF(((D718+E718)*C718)&lt;='Assumptions and Catalog'!$C$51,((D718+E718)*C718)*'Assumptions and Catalog'!$H$51+'Assumptions and Catalog'!$E$51+'Assumptions and Catalog'!$F$51,IF(((D718+E718)*C718)&lt;='Assumptions and Catalog'!$C$52,((D718+E718)*C718)*'Assumptions and Catalog'!$H$52+'Assumptions and Catalog'!$E$52+'Assumptions and Catalog'!$F$52,IF(((D718+E718)*C718)&lt;='Assumptions and Catalog'!$C$53,((D718+E718)*C718)*'Assumptions and Catalog'!$H$53+'Assumptions and Catalog'!$E$53+'Assumptions and Catalog'!$F$53,IF(((D718+E718)*C718)&lt;='Assumptions and Catalog'!$C$54,((D718+E718)*C718)*'Assumptions and Catalog'!$H$54+'Assumptions and Catalog'!$E$54+'Assumptions and Catalog'!$F$54,IF(((D718+E718)*C718)&lt;='Assumptions and Catalog'!$C$55,((D718+E718)*C718)*'Assumptions and Catalog'!$H$55+'Assumptions and Catalog'!$E$55+'Assumptions and Catalog'!$F$55,IF(((D718+E718)*C718)&lt;='Assumptions and Catalog'!$C$56,((D718+E718)*C718)*'Assumptions and Catalog'!$H$56+'Assumptions and Catalog'!$E$56+'Assumptions and Catalog'!$F$56,IF(((D718+E718)*C718)&lt;='Assumptions and Catalog'!$C$57,((D718+E718)*C718)*'Assumptions and Catalog'!$H$57+'Assumptions and Catalog'!$E$57+'Assumptions and Catalog'!$F$57,"Out of range")))))))),IF(((D718+E718)*C718)&lt;='Assumptions and Catalog'!$C$60,((D718+E718)*C718)*'Assumptions and Catalog'!$H$60+'Assumptions and Catalog'!$E$60+'Assumptions and Catalog'!$F$60,IF(((D718+E718)*C718)&lt;='Assumptions and Catalog'!$C$61,((D718+E718)*C718)*'Assumptions and Catalog'!$H$61+'Assumptions and Catalog'!$E$61+'Assumptions and Catalog'!$F$61,IF(((D718+E718)*C718)&lt;='Assumptions and Catalog'!$C$62,((D718+E718)*C718)*'Assumptions and Catalog'!$H$62+'Assumptions and Catalog'!$E$62+'Assumptions and Catalog'!$F$62,IF(((D718+E718)*C718)&lt;='Assumptions and Catalog'!$C$63,((D718+E718)*C718)*'Assumptions and Catalog'!$H$63+'Assumptions and Catalog'!$E$63+'Assumptions and Catalog'!$F$63,IF(((D718+E718)*C718)&lt;='Assumptions and Catalog'!$C$64,((D718+E718)*C718)*'Assumptions and Catalog'!$H$64+'Assumptions and Catalog'!$E$64+'Assumptions and Catalog'!$F$64,IF(((D718+E718)*C718)&lt;='Assumptions and Catalog'!$C$65,((D718+E718)*C718)*'Assumptions and Catalog'!$H$65+'Assumptions and Catalog'!$E$65+'Assumptions and Catalog'!$F$65,"Out of range")))))))))*(1+'Assumptions and Catalog'!$C$8)^(A718-1),0)</f>
        <v>7094.794</v>
      </c>
      <c r="N718" s="5" t="n">
        <f>IF(ISNUMBER(Inputs!$L$5),(IF(Inputs!$L$9="Actual flat rate",L718*Inputs!$L$10,IF(Inputs!$C$9="Residential",IF(L718&lt;='Assumptions and Catalog'!$C$50,L718*'Assumptions and Catalog'!$H$50+'Assumptions and Catalog'!$E$50+'Assumptions and Catalog'!$F$50,IF(L718&lt;='Assumptions and Catalog'!$C$51,L718*'Assumptions and Catalog'!$H$51+'Assumptions and Catalog'!$E$51+'Assumptions and Catalog'!$F$51,IF(L718&lt;='Assumptions and Catalog'!$C$52,L718*'Assumptions and Catalog'!$H$52+'Assumptions and Catalog'!$E$52+'Assumptions and Catalog'!$F$52,IF(L718&lt;='Assumptions and Catalog'!$C$53,L718*'Assumptions and Catalog'!$H$53+'Assumptions and Catalog'!$E$53+'Assumptions and Catalog'!$F$53,IF(L718&lt;='Assumptions and Catalog'!$C$54,L718*'Assumptions and Catalog'!$H$54+'Assumptions and Catalog'!$E$54+'Assumptions and Catalog'!$F$54,IF(L718&lt;='Assumptions and Catalog'!$C$55,L718*'Assumptions and Catalog'!$H$55+'Assumptions and Catalog'!$E$55+'Assumptions and Catalog'!$F$55,IF(L718&lt;='Assumptions and Catalog'!$C$56,L718*'Assumptions and Catalog'!$H$56+'Assumptions and Catalog'!$E$56+'Assumptions and Catalog'!$F$56,IF(L718&lt;='Assumptions and Catalog'!$C$57,L718*'Assumptions and Catalog'!$H$57+'Assumptions and Catalog'!$E$57+'Assumptions and Catalog'!$F$57,"Out of range")))))))),IF(L718&lt;='Assumptions and Catalog'!$C$60,L718*'Assumptions and Catalog'!$H$60+'Assumptions and Catalog'!$E$60+'Assumptions and Catalog'!$F$60,IF(L718&lt;='Assumptions and Catalog'!$C$61,L718*'Assumptions and Catalog'!$H$61+'Assumptions and Catalog'!$E$61+'Assumptions and Catalog'!$F$61,IF(L718&lt;='Assumptions and Catalog'!$C$62,L718*'Assumptions and Catalog'!$H$62+'Assumptions and Catalog'!$E$62+'Assumptions and Catalog'!$F$62,IF(L718&lt;='Assumptions and Catalog'!$C$63,L718*'Assumptions and Catalog'!$H$63+'Assumptions and Catalog'!$E$63+'Assumptions and Catalog'!$F$63,IF(L718&lt;='Assumptions and Catalog'!$C$64,L718*'Assumptions and Catalog'!$H$64+'Assumptions and Catalog'!$E$64+'Assumptions and Catalog'!$F$64,IF(L718&lt;='Assumptions and Catalog'!$C$65,L718*'Assumptions and Catalog'!$H$65+'Assumptions and Catalog'!$E$65+'Assumptions and Catalog'!$F$65,"Out of range")))))))))*(1+'Assumptions and Catalog'!$C$8)^(A718-1),0)</f>
        <v>2639.08422107039</v>
      </c>
      <c r="O718" s="5" t="n">
        <f>M718-N718</f>
        <v>4455.70977892961</v>
      </c>
      <c r="P718" s="5" t="n">
        <f>E$55*(1-L$14)*(1-'Assumptions and Catalog'!$C$23)^R718</f>
        <v>9.4450499584</v>
      </c>
      <c r="Q718" s="5" t="n">
        <f>IF(ISNUMBER(Inputs!$L$5),(IF(Inputs!$L$9="Actual flat rate",((D718+E718)*C718-G718)*Inputs!$L$10,IF(Inputs!$C$9="Residential",IF(((D718+E718)*C718-G718)&lt;='Assumptions and Catalog'!$C$50,((D718+E718)*C718-G718)*'Assumptions and Catalog'!$H$50+'Assumptions and Catalog'!$E$50+'Assumptions and Catalog'!$F$50,IF(((D718+E718)*C718-G718)&lt;='Assumptions and Catalog'!$C$51,((D718+E718)*C718-G718)*'Assumptions and Catalog'!$H$51+'Assumptions and Catalog'!$E$51+'Assumptions and Catalog'!$F$51,IF(((D718+E718)*C718-G718)&lt;='Assumptions and Catalog'!$C$52,((D718+E718)*C718-G718)*'Assumptions and Catalog'!$H$52+'Assumptions and Catalog'!$E$52+'Assumptions and Catalog'!$F$52,IF(((D718+E718)*C718-G718)&lt;='Assumptions and Catalog'!$C$53,((D718+E718)*C718-G718)*'Assumptions and Catalog'!$H$53+'Assumptions and Catalog'!$E$53+'Assumptions and Catalog'!$F$53,IF(((D718+E718)*C718-G718)&lt;='Assumptions and Catalog'!$C$54,((D718+E718)*C718-G718)*'Assumptions and Catalog'!$H$54+'Assumptions and Catalog'!$E$54+'Assumptions and Catalog'!$F$54,IF(((D718+E718)*C718-G718)&lt;='Assumptions and Catalog'!$C$55,((D718+E718)*C718-G718)*'Assumptions and Catalog'!$H$55+'Assumptions and Catalog'!$E$55+'Assumptions and Catalog'!$F$55,IF(((D718+E718)*C718-G718)&lt;='Assumptions and Catalog'!$C$56,((D718+E718)*C718-G718)*'Assumptions and Catalog'!$H$56+'Assumptions and Catalog'!$E$56+'Assumptions and Catalog'!$F$56,IF(((D718+E718)*C718-G718)&lt;='Assumptions and Catalog'!$C$57,((D718+E718)*C718-G718)*'Assumptions and Catalog'!$H$57+'Assumptions and Catalog'!$E$57+'Assumptions and Catalog'!$F$57,"Out of range")))))))),IF(((D718+E718)*C718-G718)&lt;='Assumptions and Catalog'!$C$60,((D718+E718)*C718-G718)*'Assumptions and Catalog'!$H$60+'Assumptions and Catalog'!$E$60+'Assumptions and Catalog'!$F$60,IF(((D718+E718)*C718-G718)&lt;='Assumptions and Catalog'!$C$61,((D718+E718)*C718-G718)*'Assumptions and Catalog'!$H$61+'Assumptions and Catalog'!$E$61+'Assumptions and Catalog'!$F$61,IF(((D718+E718)*C718-G718)&lt;='Assumptions and Catalog'!$C$62,((D718+E718)*C718-G718)*'Assumptions and Catalog'!$H$62+'Assumptions and Catalog'!$E$62+'Assumptions and Catalog'!$F$62,IF(((D718+E718)*C718-G718)&lt;='Assumptions and Catalog'!$C$63,((D718+E718)*C718-G718)*'Assumptions and Catalog'!$H$63+'Assumptions and Catalog'!$E$63+'Assumptions and Catalog'!$F$63,IF(((D718+E718)*C718-G718)&lt;='Assumptions and Catalog'!$C$64,((D718+E718)*C718-G718)*'Assumptions and Catalog'!$H$64+'Assumptions and Catalog'!$E$64+'Assumptions and Catalog'!$F$64,IF(((D718+E718)*C718-G718)&lt;='Assumptions and Catalog'!$C$65,((D718+E718)*C718-G718)*'Assumptions and Catalog'!$H$65+'Assumptions and Catalog'!$E$65+'Assumptions and Catalog'!$F$65,"Out of range")))))))))*(1+'Assumptions and Catalog'!$C$8)^(A718-1),0)</f>
        <v>3567.397</v>
      </c>
      <c r="R718" s="5" t="n">
        <f>IF(AND('Assumptions and Catalog'!$C$19&gt;0,A718&gt;='Assumptions and Catalog'!$C$19),A718-'Assumptions and Catalog'!$C$19,A718-1)</f>
        <v>4</v>
      </c>
      <c r="S718" s="5" t="n">
        <f>F718+L718-(D718+E718)*C718-J718-K718-IF(E$52&gt;0,'Assumptions and Catalog'!$C$26*C718,0)</f>
        <v>-1.13686837721616E-013</v>
      </c>
      <c r="T718" s="5"/>
      <c r="U718" s="5"/>
    </row>
    <row r="719" ht="23.100000381469727" customHeight="1">
      <c r="A719" s="5" t="n">
        <v>5</v>
      </c>
      <c r="B719" s="5" t="n">
        <v>11</v>
      </c>
      <c r="C719" s="5" t="n">
        <f>DAY(DATE('Assumptions and Catalog'!$C$24+A719-1,B719+1,0))</f>
        <v>30</v>
      </c>
      <c r="D719" s="5" t="n">
        <f>IF(ISNUMBER(Inputs!$L$5),Inputs!$L$5*Inputs!$L$6,0)</f>
        <v>40.35</v>
      </c>
      <c r="E719" s="5" t="n">
        <f>IF(ISNUMBER(Inputs!$L$5),Inputs!$L$5-D719,0)</f>
        <v>40.35</v>
      </c>
      <c r="F719" s="5" t="n">
        <f>E$51*INDEX('Solar Production'!$D$20:$D$31,B719)*C719*(1-'Assumptions and Catalog'!$C$10)^(A719-1)</f>
        <v>1476.76184810667</v>
      </c>
      <c r="G719" s="5" t="n">
        <f>MIN(F719,D719*C719)</f>
        <v>1210.5</v>
      </c>
      <c r="H719" s="5" t="n">
        <f>I719/('Assumptions and Catalog'!$C$11*'Assumptions and Catalog'!$C$12)</f>
        <v>266.261848106669</v>
      </c>
      <c r="I719" s="5" t="n">
        <f>MIN(E719*C719,P719*'Assumptions and Catalog'!$C$12*C719,(F719-G719)*'Assumptions and Catalog'!$C$11*'Assumptions and Catalog'!$C$12,E$56*'Assumptions and Catalog'!$C$14*'Assumptions and Catalog'!$C$11*'Assumptions and Catalog'!$C$12*C719,E$57*(24-'Assumptions and Catalog'!$C$13)*C719)</f>
        <v>253.115169356402</v>
      </c>
      <c r="J719" s="5" t="n">
        <f>MAX(F719-G719-H719,0)</f>
        <v>0</v>
      </c>
      <c r="K719" s="5" t="n">
        <f>H719-I719</f>
        <v>13.1466787502668</v>
      </c>
      <c r="L719" s="5" t="n">
        <f>(D719+E719)*C719-G719-I719+0+IF(E$52&gt;0,'Assumptions and Catalog'!$C$26*C719,0)</f>
        <v>957.384830643598</v>
      </c>
      <c r="M719" s="5" t="n">
        <f>IF(ISNUMBER(Inputs!$L$5),(IF(Inputs!$L$9="Actual flat rate",((D719+E719)*C719)*Inputs!$L$10,IF(Inputs!$C$9="Residential",IF(((D719+E719)*C719)&lt;='Assumptions and Catalog'!$C$50,((D719+E719)*C719)*'Assumptions and Catalog'!$H$50+'Assumptions and Catalog'!$E$50+'Assumptions and Catalog'!$F$50,IF(((D719+E719)*C719)&lt;='Assumptions and Catalog'!$C$51,((D719+E719)*C719)*'Assumptions and Catalog'!$H$51+'Assumptions and Catalog'!$E$51+'Assumptions and Catalog'!$F$51,IF(((D719+E719)*C719)&lt;='Assumptions and Catalog'!$C$52,((D719+E719)*C719)*'Assumptions and Catalog'!$H$52+'Assumptions and Catalog'!$E$52+'Assumptions and Catalog'!$F$52,IF(((D719+E719)*C719)&lt;='Assumptions and Catalog'!$C$53,((D719+E719)*C719)*'Assumptions and Catalog'!$H$53+'Assumptions and Catalog'!$E$53+'Assumptions and Catalog'!$F$53,IF(((D719+E719)*C719)&lt;='Assumptions and Catalog'!$C$54,((D719+E719)*C719)*'Assumptions and Catalog'!$H$54+'Assumptions and Catalog'!$E$54+'Assumptions and Catalog'!$F$54,IF(((D719+E719)*C719)&lt;='Assumptions and Catalog'!$C$55,((D719+E719)*C719)*'Assumptions and Catalog'!$H$55+'Assumptions and Catalog'!$E$55+'Assumptions and Catalog'!$F$55,IF(((D719+E719)*C719)&lt;='Assumptions and Catalog'!$C$56,((D719+E719)*C719)*'Assumptions and Catalog'!$H$56+'Assumptions and Catalog'!$E$56+'Assumptions and Catalog'!$F$56,IF(((D719+E719)*C719)&lt;='Assumptions and Catalog'!$C$57,((D719+E719)*C719)*'Assumptions and Catalog'!$H$57+'Assumptions and Catalog'!$E$57+'Assumptions and Catalog'!$F$57,"Out of range")))))))),IF(((D719+E719)*C719)&lt;='Assumptions and Catalog'!$C$60,((D719+E719)*C719)*'Assumptions and Catalog'!$H$60+'Assumptions and Catalog'!$E$60+'Assumptions and Catalog'!$F$60,IF(((D719+E719)*C719)&lt;='Assumptions and Catalog'!$C$61,((D719+E719)*C719)*'Assumptions and Catalog'!$H$61+'Assumptions and Catalog'!$E$61+'Assumptions and Catalog'!$F$61,IF(((D719+E719)*C719)&lt;='Assumptions and Catalog'!$C$62,((D719+E719)*C719)*'Assumptions and Catalog'!$H$62+'Assumptions and Catalog'!$E$62+'Assumptions and Catalog'!$F$62,IF(((D719+E719)*C719)&lt;='Assumptions and Catalog'!$C$63,((D719+E719)*C719)*'Assumptions and Catalog'!$H$63+'Assumptions and Catalog'!$E$63+'Assumptions and Catalog'!$F$63,IF(((D719+E719)*C719)&lt;='Assumptions and Catalog'!$C$64,((D719+E719)*C719)*'Assumptions and Catalog'!$H$64+'Assumptions and Catalog'!$E$64+'Assumptions and Catalog'!$F$64,IF(((D719+E719)*C719)&lt;='Assumptions and Catalog'!$C$65,((D719+E719)*C719)*'Assumptions and Catalog'!$H$65+'Assumptions and Catalog'!$E$65+'Assumptions and Catalog'!$F$65,"Out of range")))))))))*(1+'Assumptions and Catalog'!$C$8)^(A719-1),0)</f>
        <v>6867.22</v>
      </c>
      <c r="N719" s="5" t="n">
        <f>IF(ISNUMBER(Inputs!$L$5),(IF(Inputs!$L$9="Actual flat rate",L719*Inputs!$L$10,IF(Inputs!$C$9="Residential",IF(L719&lt;='Assumptions and Catalog'!$C$50,L719*'Assumptions and Catalog'!$H$50+'Assumptions and Catalog'!$E$50+'Assumptions and Catalog'!$F$50,IF(L719&lt;='Assumptions and Catalog'!$C$51,L719*'Assumptions and Catalog'!$H$51+'Assumptions and Catalog'!$E$51+'Assumptions and Catalog'!$F$51,IF(L719&lt;='Assumptions and Catalog'!$C$52,L719*'Assumptions and Catalog'!$H$52+'Assumptions and Catalog'!$E$52+'Assumptions and Catalog'!$F$52,IF(L719&lt;='Assumptions and Catalog'!$C$53,L719*'Assumptions and Catalog'!$H$53+'Assumptions and Catalog'!$E$53+'Assumptions and Catalog'!$F$53,IF(L719&lt;='Assumptions and Catalog'!$C$54,L719*'Assumptions and Catalog'!$H$54+'Assumptions and Catalog'!$E$54+'Assumptions and Catalog'!$F$54,IF(L719&lt;='Assumptions and Catalog'!$C$55,L719*'Assumptions and Catalog'!$H$55+'Assumptions and Catalog'!$E$55+'Assumptions and Catalog'!$F$55,IF(L719&lt;='Assumptions and Catalog'!$C$56,L719*'Assumptions and Catalog'!$H$56+'Assumptions and Catalog'!$E$56+'Assumptions and Catalog'!$F$56,IF(L719&lt;='Assumptions and Catalog'!$C$57,L719*'Assumptions and Catalog'!$H$57+'Assumptions and Catalog'!$E$57+'Assumptions and Catalog'!$F$57,"Out of range")))))))),IF(L719&lt;='Assumptions and Catalog'!$C$60,L719*'Assumptions and Catalog'!$H$60+'Assumptions and Catalog'!$E$60+'Assumptions and Catalog'!$F$60,IF(L719&lt;='Assumptions and Catalog'!$C$61,L719*'Assumptions and Catalog'!$H$61+'Assumptions and Catalog'!$E$61+'Assumptions and Catalog'!$F$61,IF(L719&lt;='Assumptions and Catalog'!$C$62,L719*'Assumptions and Catalog'!$H$62+'Assumptions and Catalog'!$E$62+'Assumptions and Catalog'!$F$62,IF(L719&lt;='Assumptions and Catalog'!$C$63,L719*'Assumptions and Catalog'!$H$63+'Assumptions and Catalog'!$E$63+'Assumptions and Catalog'!$F$63,IF(L719&lt;='Assumptions and Catalog'!$C$64,L719*'Assumptions and Catalog'!$H$64+'Assumptions and Catalog'!$E$64+'Assumptions and Catalog'!$F$64,IF(L719&lt;='Assumptions and Catalog'!$C$65,L719*'Assumptions and Catalog'!$H$65+'Assumptions and Catalog'!$E$65+'Assumptions and Catalog'!$F$65,"Out of range")))))))))*(1+'Assumptions and Catalog'!$C$8)^(A719-1),0)</f>
        <v>2616.95598088277</v>
      </c>
      <c r="O719" s="5" t="n">
        <f>M719-N719</f>
        <v>4250.26401911723</v>
      </c>
      <c r="P719" s="5" t="n">
        <f>E$55*(1-L$14)*(1-'Assumptions and Catalog'!$C$23)^R719</f>
        <v>9.4450499584</v>
      </c>
      <c r="Q719" s="5" t="n">
        <f>IF(ISNUMBER(Inputs!$L$5),(IF(Inputs!$L$9="Actual flat rate",((D719+E719)*C719-G719)*Inputs!$L$10,IF(Inputs!$C$9="Residential",IF(((D719+E719)*C719-G719)&lt;='Assumptions and Catalog'!$C$50,((D719+E719)*C719-G719)*'Assumptions and Catalog'!$H$50+'Assumptions and Catalog'!$E$50+'Assumptions and Catalog'!$F$50,IF(((D719+E719)*C719-G719)&lt;='Assumptions and Catalog'!$C$51,((D719+E719)*C719-G719)*'Assumptions and Catalog'!$H$51+'Assumptions and Catalog'!$E$51+'Assumptions and Catalog'!$F$51,IF(((D719+E719)*C719-G719)&lt;='Assumptions and Catalog'!$C$52,((D719+E719)*C719-G719)*'Assumptions and Catalog'!$H$52+'Assumptions and Catalog'!$E$52+'Assumptions and Catalog'!$F$52,IF(((D719+E719)*C719-G719)&lt;='Assumptions and Catalog'!$C$53,((D719+E719)*C719-G719)*'Assumptions and Catalog'!$H$53+'Assumptions and Catalog'!$E$53+'Assumptions and Catalog'!$F$53,IF(((D719+E719)*C719-G719)&lt;='Assumptions and Catalog'!$C$54,((D719+E719)*C719-G719)*'Assumptions and Catalog'!$H$54+'Assumptions and Catalog'!$E$54+'Assumptions and Catalog'!$F$54,IF(((D719+E719)*C719-G719)&lt;='Assumptions and Catalog'!$C$55,((D719+E719)*C719-G719)*'Assumptions and Catalog'!$H$55+'Assumptions and Catalog'!$E$55+'Assumptions and Catalog'!$F$55,IF(((D719+E719)*C719-G719)&lt;='Assumptions and Catalog'!$C$56,((D719+E719)*C719-G719)*'Assumptions and Catalog'!$H$56+'Assumptions and Catalog'!$E$56+'Assumptions and Catalog'!$F$56,IF(((D719+E719)*C719-G719)&lt;='Assumptions and Catalog'!$C$57,((D719+E719)*C719-G719)*'Assumptions and Catalog'!$H$57+'Assumptions and Catalog'!$E$57+'Assumptions and Catalog'!$F$57,"Out of range")))))))),IF(((D719+E719)*C719-G719)&lt;='Assumptions and Catalog'!$C$60,((D719+E719)*C719-G719)*'Assumptions and Catalog'!$H$60+'Assumptions and Catalog'!$E$60+'Assumptions and Catalog'!$F$60,IF(((D719+E719)*C719-G719)&lt;='Assumptions and Catalog'!$C$61,((D719+E719)*C719-G719)*'Assumptions and Catalog'!$H$61+'Assumptions and Catalog'!$E$61+'Assumptions and Catalog'!$F$61,IF(((D719+E719)*C719-G719)&lt;='Assumptions and Catalog'!$C$62,((D719+E719)*C719-G719)*'Assumptions and Catalog'!$H$62+'Assumptions and Catalog'!$E$62+'Assumptions and Catalog'!$F$62,IF(((D719+E719)*C719-G719)&lt;='Assumptions and Catalog'!$C$63,((D719+E719)*C719-G719)*'Assumptions and Catalog'!$H$63+'Assumptions and Catalog'!$E$63+'Assumptions and Catalog'!$F$63,IF(((D719+E719)*C719-G719)&lt;='Assumptions and Catalog'!$C$64,((D719+E719)*C719-G719)*'Assumptions and Catalog'!$H$64+'Assumptions and Catalog'!$E$64+'Assumptions and Catalog'!$F$64,IF(((D719+E719)*C719-G719)&lt;='Assumptions and Catalog'!$C$65,((D719+E719)*C719-G719)*'Assumptions and Catalog'!$H$65+'Assumptions and Catalog'!$E$65+'Assumptions and Catalog'!$F$65,"Out of range")))))))))*(1+'Assumptions and Catalog'!$C$8)^(A719-1),0)</f>
        <v>3453.61</v>
      </c>
      <c r="R719" s="5" t="n">
        <f>IF(AND('Assumptions and Catalog'!$C$19&gt;0,A719&gt;='Assumptions and Catalog'!$C$19),A719-'Assumptions and Catalog'!$C$19,A719-1)</f>
        <v>4</v>
      </c>
      <c r="S719" s="5" t="n">
        <f>F719+L719-(D719+E719)*C719-J719-K719-IF(E$52&gt;0,'Assumptions and Catalog'!$C$26*C719,0)</f>
        <v>0</v>
      </c>
      <c r="T719" s="5"/>
      <c r="U719" s="5"/>
    </row>
    <row r="720" ht="23.100000381469727" customHeight="1">
      <c r="A720" s="5" t="n">
        <v>5</v>
      </c>
      <c r="B720" s="5" t="n">
        <v>12</v>
      </c>
      <c r="C720" s="5" t="n">
        <f>DAY(DATE('Assumptions and Catalog'!$C$24+A720-1,B720+1,0))</f>
        <v>31</v>
      </c>
      <c r="D720" s="5" t="n">
        <f>IF(ISNUMBER(Inputs!$L$5),Inputs!$L$5*Inputs!$L$6,0)</f>
        <v>40.35</v>
      </c>
      <c r="E720" s="5" t="n">
        <f>IF(ISNUMBER(Inputs!$L$5),Inputs!$L$5-D720,0)</f>
        <v>40.35</v>
      </c>
      <c r="F720" s="5" t="n">
        <f>E$51*INDEX('Solar Production'!$D$20:$D$31,B720)*C720*(1-'Assumptions and Catalog'!$C$10)^(A720-1)</f>
        <v>1405.9264436965</v>
      </c>
      <c r="G720" s="5" t="n">
        <f>MIN(F720,D720*C720)</f>
        <v>1250.85</v>
      </c>
      <c r="H720" s="5" t="n">
        <f>I720/('Assumptions and Catalog'!$C$11*'Assumptions and Catalog'!$C$12)</f>
        <v>155.0764436965</v>
      </c>
      <c r="I720" s="5" t="n">
        <f>MIN(E720*C720,P720*'Assumptions and Catalog'!$C$12*C720,(F720-G720)*'Assumptions and Catalog'!$C$11*'Assumptions and Catalog'!$C$12,E$56*'Assumptions and Catalog'!$C$14*'Assumptions and Catalog'!$C$11*'Assumptions and Catalog'!$C$12*C720,E$57*(24-'Assumptions and Catalog'!$C$13)*C720)</f>
        <v>147.419544288985</v>
      </c>
      <c r="J720" s="5" t="n">
        <f>MAX(F720-G720-H720,0)</f>
        <v>0</v>
      </c>
      <c r="K720" s="5" t="n">
        <f>H720-I720</f>
        <v>7.65689940751469</v>
      </c>
      <c r="L720" s="5" t="n">
        <f>(D720+E720)*C720-G720-I720+0+IF(E$52&gt;0,'Assumptions and Catalog'!$C$26*C720,0)</f>
        <v>1103.43045571101</v>
      </c>
      <c r="M720" s="5" t="n">
        <f>IF(ISNUMBER(Inputs!$L$5),(IF(Inputs!$L$9="Actual flat rate",((D720+E720)*C720)*Inputs!$L$10,IF(Inputs!$C$9="Residential",IF(((D720+E720)*C720)&lt;='Assumptions and Catalog'!$C$50,((D720+E720)*C720)*'Assumptions and Catalog'!$H$50+'Assumptions and Catalog'!$E$50+'Assumptions and Catalog'!$F$50,IF(((D720+E720)*C720)&lt;='Assumptions and Catalog'!$C$51,((D720+E720)*C720)*'Assumptions and Catalog'!$H$51+'Assumptions and Catalog'!$E$51+'Assumptions and Catalog'!$F$51,IF(((D720+E720)*C720)&lt;='Assumptions and Catalog'!$C$52,((D720+E720)*C720)*'Assumptions and Catalog'!$H$52+'Assumptions and Catalog'!$E$52+'Assumptions and Catalog'!$F$52,IF(((D720+E720)*C720)&lt;='Assumptions and Catalog'!$C$53,((D720+E720)*C720)*'Assumptions and Catalog'!$H$53+'Assumptions and Catalog'!$E$53+'Assumptions and Catalog'!$F$53,IF(((D720+E720)*C720)&lt;='Assumptions and Catalog'!$C$54,((D720+E720)*C720)*'Assumptions and Catalog'!$H$54+'Assumptions and Catalog'!$E$54+'Assumptions and Catalog'!$F$54,IF(((D720+E720)*C720)&lt;='Assumptions and Catalog'!$C$55,((D720+E720)*C720)*'Assumptions and Catalog'!$H$55+'Assumptions and Catalog'!$E$55+'Assumptions and Catalog'!$F$55,IF(((D720+E720)*C720)&lt;='Assumptions and Catalog'!$C$56,((D720+E720)*C720)*'Assumptions and Catalog'!$H$56+'Assumptions and Catalog'!$E$56+'Assumptions and Catalog'!$F$56,IF(((D720+E720)*C720)&lt;='Assumptions and Catalog'!$C$57,((D720+E720)*C720)*'Assumptions and Catalog'!$H$57+'Assumptions and Catalog'!$E$57+'Assumptions and Catalog'!$F$57,"Out of range")))))))),IF(((D720+E720)*C720)&lt;='Assumptions and Catalog'!$C$60,((D720+E720)*C720)*'Assumptions and Catalog'!$H$60+'Assumptions and Catalog'!$E$60+'Assumptions and Catalog'!$F$60,IF(((D720+E720)*C720)&lt;='Assumptions and Catalog'!$C$61,((D720+E720)*C720)*'Assumptions and Catalog'!$H$61+'Assumptions and Catalog'!$E$61+'Assumptions and Catalog'!$F$61,IF(((D720+E720)*C720)&lt;='Assumptions and Catalog'!$C$62,((D720+E720)*C720)*'Assumptions and Catalog'!$H$62+'Assumptions and Catalog'!$E$62+'Assumptions and Catalog'!$F$62,IF(((D720+E720)*C720)&lt;='Assumptions and Catalog'!$C$63,((D720+E720)*C720)*'Assumptions and Catalog'!$H$63+'Assumptions and Catalog'!$E$63+'Assumptions and Catalog'!$F$63,IF(((D720+E720)*C720)&lt;='Assumptions and Catalog'!$C$64,((D720+E720)*C720)*'Assumptions and Catalog'!$H$64+'Assumptions and Catalog'!$E$64+'Assumptions and Catalog'!$F$64,IF(((D720+E720)*C720)&lt;='Assumptions and Catalog'!$C$65,((D720+E720)*C720)*'Assumptions and Catalog'!$H$65+'Assumptions and Catalog'!$E$65+'Assumptions and Catalog'!$F$65,"Out of range")))))))))*(1+'Assumptions and Catalog'!$C$8)^(A720-1),0)</f>
        <v>7094.794</v>
      </c>
      <c r="N720" s="5" t="n">
        <f>IF(ISNUMBER(Inputs!$L$5),(IF(Inputs!$L$9="Actual flat rate",L720*Inputs!$L$10,IF(Inputs!$C$9="Residential",IF(L720&lt;='Assumptions and Catalog'!$C$50,L720*'Assumptions and Catalog'!$H$50+'Assumptions and Catalog'!$E$50+'Assumptions and Catalog'!$F$50,IF(L720&lt;='Assumptions and Catalog'!$C$51,L720*'Assumptions and Catalog'!$H$51+'Assumptions and Catalog'!$E$51+'Assumptions and Catalog'!$F$51,IF(L720&lt;='Assumptions and Catalog'!$C$52,L720*'Assumptions and Catalog'!$H$52+'Assumptions and Catalog'!$E$52+'Assumptions and Catalog'!$F$52,IF(L720&lt;='Assumptions and Catalog'!$C$53,L720*'Assumptions and Catalog'!$H$53+'Assumptions and Catalog'!$E$53+'Assumptions and Catalog'!$F$53,IF(L720&lt;='Assumptions and Catalog'!$C$54,L720*'Assumptions and Catalog'!$H$54+'Assumptions and Catalog'!$E$54+'Assumptions and Catalog'!$F$54,IF(L720&lt;='Assumptions and Catalog'!$C$55,L720*'Assumptions and Catalog'!$H$55+'Assumptions and Catalog'!$E$55+'Assumptions and Catalog'!$F$55,IF(L720&lt;='Assumptions and Catalog'!$C$56,L720*'Assumptions and Catalog'!$H$56+'Assumptions and Catalog'!$E$56+'Assumptions and Catalog'!$F$56,IF(L720&lt;='Assumptions and Catalog'!$C$57,L720*'Assumptions and Catalog'!$H$57+'Assumptions and Catalog'!$E$57+'Assumptions and Catalog'!$F$57,"Out of range")))))))),IF(L720&lt;='Assumptions and Catalog'!$C$60,L720*'Assumptions and Catalog'!$H$60+'Assumptions and Catalog'!$E$60+'Assumptions and Catalog'!$F$60,IF(L720&lt;='Assumptions and Catalog'!$C$61,L720*'Assumptions and Catalog'!$H$61+'Assumptions and Catalog'!$E$61+'Assumptions and Catalog'!$F$61,IF(L720&lt;='Assumptions and Catalog'!$C$62,L720*'Assumptions and Catalog'!$H$62+'Assumptions and Catalog'!$E$62+'Assumptions and Catalog'!$F$62,IF(L720&lt;='Assumptions and Catalog'!$C$63,L720*'Assumptions and Catalog'!$H$63+'Assumptions and Catalog'!$E$63+'Assumptions and Catalog'!$F$63,IF(L720&lt;='Assumptions and Catalog'!$C$64,L720*'Assumptions and Catalog'!$H$64+'Assumptions and Catalog'!$E$64+'Assumptions and Catalog'!$F$64,IF(L720&lt;='Assumptions and Catalog'!$C$65,L720*'Assumptions and Catalog'!$H$65+'Assumptions and Catalog'!$E$65+'Assumptions and Catalog'!$F$65,"Out of range")))))))))*(1+'Assumptions and Catalog'!$C$8)^(A720-1),0)</f>
        <v>3151.67388510506</v>
      </c>
      <c r="O720" s="5" t="n">
        <f>M720-N720</f>
        <v>3943.12011489494</v>
      </c>
      <c r="P720" s="5" t="n">
        <f>E$55*(1-L$14)*(1-'Assumptions and Catalog'!$C$23)^R720</f>
        <v>9.4450499584</v>
      </c>
      <c r="Q720" s="5" t="n">
        <f>IF(ISNUMBER(Inputs!$L$5),(IF(Inputs!$L$9="Actual flat rate",((D720+E720)*C720-G720)*Inputs!$L$10,IF(Inputs!$C$9="Residential",IF(((D720+E720)*C720-G720)&lt;='Assumptions and Catalog'!$C$50,((D720+E720)*C720-G720)*'Assumptions and Catalog'!$H$50+'Assumptions and Catalog'!$E$50+'Assumptions and Catalog'!$F$50,IF(((D720+E720)*C720-G720)&lt;='Assumptions and Catalog'!$C$51,((D720+E720)*C720-G720)*'Assumptions and Catalog'!$H$51+'Assumptions and Catalog'!$E$51+'Assumptions and Catalog'!$F$51,IF(((D720+E720)*C720-G720)&lt;='Assumptions and Catalog'!$C$52,((D720+E720)*C720-G720)*'Assumptions and Catalog'!$H$52+'Assumptions and Catalog'!$E$52+'Assumptions and Catalog'!$F$52,IF(((D720+E720)*C720-G720)&lt;='Assumptions and Catalog'!$C$53,((D720+E720)*C720-G720)*'Assumptions and Catalog'!$H$53+'Assumptions and Catalog'!$E$53+'Assumptions and Catalog'!$F$53,IF(((D720+E720)*C720-G720)&lt;='Assumptions and Catalog'!$C$54,((D720+E720)*C720-G720)*'Assumptions and Catalog'!$H$54+'Assumptions and Catalog'!$E$54+'Assumptions and Catalog'!$F$54,IF(((D720+E720)*C720-G720)&lt;='Assumptions and Catalog'!$C$55,((D720+E720)*C720-G720)*'Assumptions and Catalog'!$H$55+'Assumptions and Catalog'!$E$55+'Assumptions and Catalog'!$F$55,IF(((D720+E720)*C720-G720)&lt;='Assumptions and Catalog'!$C$56,((D720+E720)*C720-G720)*'Assumptions and Catalog'!$H$56+'Assumptions and Catalog'!$E$56+'Assumptions and Catalog'!$F$56,IF(((D720+E720)*C720-G720)&lt;='Assumptions and Catalog'!$C$57,((D720+E720)*C720-G720)*'Assumptions and Catalog'!$H$57+'Assumptions and Catalog'!$E$57+'Assumptions and Catalog'!$F$57,"Out of range")))))))),IF(((D720+E720)*C720-G720)&lt;='Assumptions and Catalog'!$C$60,((D720+E720)*C720-G720)*'Assumptions and Catalog'!$H$60+'Assumptions and Catalog'!$E$60+'Assumptions and Catalog'!$F$60,IF(((D720+E720)*C720-G720)&lt;='Assumptions and Catalog'!$C$61,((D720+E720)*C720-G720)*'Assumptions and Catalog'!$H$61+'Assumptions and Catalog'!$E$61+'Assumptions and Catalog'!$F$61,IF(((D720+E720)*C720-G720)&lt;='Assumptions and Catalog'!$C$62,((D720+E720)*C720-G720)*'Assumptions and Catalog'!$H$62+'Assumptions and Catalog'!$E$62+'Assumptions and Catalog'!$F$62,IF(((D720+E720)*C720-G720)&lt;='Assumptions and Catalog'!$C$63,((D720+E720)*C720-G720)*'Assumptions and Catalog'!$H$63+'Assumptions and Catalog'!$E$63+'Assumptions and Catalog'!$F$63,IF(((D720+E720)*C720-G720)&lt;='Assumptions and Catalog'!$C$64,((D720+E720)*C720-G720)*'Assumptions and Catalog'!$H$64+'Assumptions and Catalog'!$E$64+'Assumptions and Catalog'!$F$64,IF(((D720+E720)*C720-G720)&lt;='Assumptions and Catalog'!$C$65,((D720+E720)*C720-G720)*'Assumptions and Catalog'!$H$65+'Assumptions and Catalog'!$E$65+'Assumptions and Catalog'!$F$65,"Out of range")))))))))*(1+'Assumptions and Catalog'!$C$8)^(A720-1),0)</f>
        <v>3567.397</v>
      </c>
      <c r="R720" s="5" t="n">
        <f>IF(AND('Assumptions and Catalog'!$C$19&gt;0,A720&gt;='Assumptions and Catalog'!$C$19),A720-'Assumptions and Catalog'!$C$19,A720-1)</f>
        <v>4</v>
      </c>
      <c r="S720" s="5" t="n">
        <f>F720+L720-(D720+E720)*C720-J720-K720-IF(E$52&gt;0,'Assumptions and Catalog'!$C$26*C720,0)</f>
        <v>-5.6843418860808E-014</v>
      </c>
      <c r="T720" s="5"/>
      <c r="U720" s="5"/>
    </row>
    <row r="721" ht="23.100000381469727" customHeight="1">
      <c r="A721" s="5" t="n">
        <v>6</v>
      </c>
      <c r="B721" s="5" t="n">
        <v>1</v>
      </c>
      <c r="C721" s="5" t="n">
        <f>DAY(DATE('Assumptions and Catalog'!$C$24+A721-1,B721+1,0))</f>
        <v>31</v>
      </c>
      <c r="D721" s="5" t="n">
        <f>IF(ISNUMBER(Inputs!$L$5),Inputs!$L$5*Inputs!$L$6,0)</f>
        <v>40.35</v>
      </c>
      <c r="E721" s="5" t="n">
        <f>IF(ISNUMBER(Inputs!$L$5),Inputs!$L$5-D721,0)</f>
        <v>40.35</v>
      </c>
      <c r="F721" s="5" t="n">
        <f>E$51*INDEX('Solar Production'!$D$20:$D$31,B721)*C721*(1-'Assumptions and Catalog'!$C$10)^(A721-1)</f>
        <v>1408.55177413392</v>
      </c>
      <c r="G721" s="5" t="n">
        <f>MIN(F721,D721*C721)</f>
        <v>1250.85</v>
      </c>
      <c r="H721" s="5" t="n">
        <f>I721/('Assumptions and Catalog'!$C$11*'Assumptions and Catalog'!$C$12)</f>
        <v>157.701774133924</v>
      </c>
      <c r="I721" s="5" t="n">
        <f>MIN(E721*C721,P721*'Assumptions and Catalog'!$C$12*C721,(F721-G721)*'Assumptions and Catalog'!$C$11*'Assumptions and Catalog'!$C$12,E$56*'Assumptions and Catalog'!$C$14*'Assumptions and Catalog'!$C$11*'Assumptions and Catalog'!$C$12*C721,E$57*(24-'Assumptions and Catalog'!$C$13)*C721)</f>
        <v>149.915249036062</v>
      </c>
      <c r="J721" s="5" t="n">
        <f>MAX(F721-G721-H721,0)</f>
        <v>0</v>
      </c>
      <c r="K721" s="5" t="n">
        <f>H721-I721</f>
        <v>7.78652509786252</v>
      </c>
      <c r="L721" s="5" t="n">
        <f>(D721+E721)*C721-G721-I721+0+IF(E$52&gt;0,'Assumptions and Catalog'!$C$26*C721,0)</f>
        <v>1100.93475096394</v>
      </c>
      <c r="M721" s="5" t="n">
        <f>IF(ISNUMBER(Inputs!$L$5),(IF(Inputs!$L$9="Actual flat rate",((D721+E721)*C721)*Inputs!$L$10,IF(Inputs!$C$9="Residential",IF(((D721+E721)*C721)&lt;='Assumptions and Catalog'!$C$50,((D721+E721)*C721)*'Assumptions and Catalog'!$H$50+'Assumptions and Catalog'!$E$50+'Assumptions and Catalog'!$F$50,IF(((D721+E721)*C721)&lt;='Assumptions and Catalog'!$C$51,((D721+E721)*C721)*'Assumptions and Catalog'!$H$51+'Assumptions and Catalog'!$E$51+'Assumptions and Catalog'!$F$51,IF(((D721+E721)*C721)&lt;='Assumptions and Catalog'!$C$52,((D721+E721)*C721)*'Assumptions and Catalog'!$H$52+'Assumptions and Catalog'!$E$52+'Assumptions and Catalog'!$F$52,IF(((D721+E721)*C721)&lt;='Assumptions and Catalog'!$C$53,((D721+E721)*C721)*'Assumptions and Catalog'!$H$53+'Assumptions and Catalog'!$E$53+'Assumptions and Catalog'!$F$53,IF(((D721+E721)*C721)&lt;='Assumptions and Catalog'!$C$54,((D721+E721)*C721)*'Assumptions and Catalog'!$H$54+'Assumptions and Catalog'!$E$54+'Assumptions and Catalog'!$F$54,IF(((D721+E721)*C721)&lt;='Assumptions and Catalog'!$C$55,((D721+E721)*C721)*'Assumptions and Catalog'!$H$55+'Assumptions and Catalog'!$E$55+'Assumptions and Catalog'!$F$55,IF(((D721+E721)*C721)&lt;='Assumptions and Catalog'!$C$56,((D721+E721)*C721)*'Assumptions and Catalog'!$H$56+'Assumptions and Catalog'!$E$56+'Assumptions and Catalog'!$F$56,IF(((D721+E721)*C721)&lt;='Assumptions and Catalog'!$C$57,((D721+E721)*C721)*'Assumptions and Catalog'!$H$57+'Assumptions and Catalog'!$E$57+'Assumptions and Catalog'!$F$57,"Out of range")))))))),IF(((D721+E721)*C721)&lt;='Assumptions and Catalog'!$C$60,((D721+E721)*C721)*'Assumptions and Catalog'!$H$60+'Assumptions and Catalog'!$E$60+'Assumptions and Catalog'!$F$60,IF(((D721+E721)*C721)&lt;='Assumptions and Catalog'!$C$61,((D721+E721)*C721)*'Assumptions and Catalog'!$H$61+'Assumptions and Catalog'!$E$61+'Assumptions and Catalog'!$F$61,IF(((D721+E721)*C721)&lt;='Assumptions and Catalog'!$C$62,((D721+E721)*C721)*'Assumptions and Catalog'!$H$62+'Assumptions and Catalog'!$E$62+'Assumptions and Catalog'!$F$62,IF(((D721+E721)*C721)&lt;='Assumptions and Catalog'!$C$63,((D721+E721)*C721)*'Assumptions and Catalog'!$H$63+'Assumptions and Catalog'!$E$63+'Assumptions and Catalog'!$F$63,IF(((D721+E721)*C721)&lt;='Assumptions and Catalog'!$C$64,((D721+E721)*C721)*'Assumptions and Catalog'!$H$64+'Assumptions and Catalog'!$E$64+'Assumptions and Catalog'!$F$64,IF(((D721+E721)*C721)&lt;='Assumptions and Catalog'!$C$65,((D721+E721)*C721)*'Assumptions and Catalog'!$H$65+'Assumptions and Catalog'!$E$65+'Assumptions and Catalog'!$F$65,"Out of range")))))))))*(1+'Assumptions and Catalog'!$C$8)^(A721-1),0)</f>
        <v>7094.794</v>
      </c>
      <c r="N721" s="5" t="n">
        <f>IF(ISNUMBER(Inputs!$L$5),(IF(Inputs!$L$9="Actual flat rate",L721*Inputs!$L$10,IF(Inputs!$C$9="Residential",IF(L721&lt;='Assumptions and Catalog'!$C$50,L721*'Assumptions and Catalog'!$H$50+'Assumptions and Catalog'!$E$50+'Assumptions and Catalog'!$F$50,IF(L721&lt;='Assumptions and Catalog'!$C$51,L721*'Assumptions and Catalog'!$H$51+'Assumptions and Catalog'!$E$51+'Assumptions and Catalog'!$F$51,IF(L721&lt;='Assumptions and Catalog'!$C$52,L721*'Assumptions and Catalog'!$H$52+'Assumptions and Catalog'!$E$52+'Assumptions and Catalog'!$F$52,IF(L721&lt;='Assumptions and Catalog'!$C$53,L721*'Assumptions and Catalog'!$H$53+'Assumptions and Catalog'!$E$53+'Assumptions and Catalog'!$F$53,IF(L721&lt;='Assumptions and Catalog'!$C$54,L721*'Assumptions and Catalog'!$H$54+'Assumptions and Catalog'!$E$54+'Assumptions and Catalog'!$F$54,IF(L721&lt;='Assumptions and Catalog'!$C$55,L721*'Assumptions and Catalog'!$H$55+'Assumptions and Catalog'!$E$55+'Assumptions and Catalog'!$F$55,IF(L721&lt;='Assumptions and Catalog'!$C$56,L721*'Assumptions and Catalog'!$H$56+'Assumptions and Catalog'!$E$56+'Assumptions and Catalog'!$F$56,IF(L721&lt;='Assumptions and Catalog'!$C$57,L721*'Assumptions and Catalog'!$H$57+'Assumptions and Catalog'!$E$57+'Assumptions and Catalog'!$F$57,"Out of range")))))))),IF(L721&lt;='Assumptions and Catalog'!$C$60,L721*'Assumptions and Catalog'!$H$60+'Assumptions and Catalog'!$E$60+'Assumptions and Catalog'!$F$60,IF(L721&lt;='Assumptions and Catalog'!$C$61,L721*'Assumptions and Catalog'!$H$61+'Assumptions and Catalog'!$E$61+'Assumptions and Catalog'!$F$61,IF(L721&lt;='Assumptions and Catalog'!$C$62,L721*'Assumptions and Catalog'!$H$62+'Assumptions and Catalog'!$E$62+'Assumptions and Catalog'!$F$62,IF(L721&lt;='Assumptions and Catalog'!$C$63,L721*'Assumptions and Catalog'!$H$63+'Assumptions and Catalog'!$E$63+'Assumptions and Catalog'!$F$63,IF(L721&lt;='Assumptions and Catalog'!$C$64,L721*'Assumptions and Catalog'!$H$64+'Assumptions and Catalog'!$E$64+'Assumptions and Catalog'!$F$64,IF(L721&lt;='Assumptions and Catalog'!$C$65,L721*'Assumptions and Catalog'!$H$65+'Assumptions and Catalog'!$E$65+'Assumptions and Catalog'!$F$65,"Out of range")))))))))*(1+'Assumptions and Catalog'!$C$8)^(A721-1),0)</f>
        <v>3144.63599771831</v>
      </c>
      <c r="O721" s="5" t="n">
        <f>M721-N721</f>
        <v>3950.15800228169</v>
      </c>
      <c r="P721" s="5" t="n">
        <f>E$55*(1-L$14)*(1-'Assumptions and Catalog'!$C$23)^R721</f>
        <v>9.256148959232</v>
      </c>
      <c r="Q721" s="5" t="n">
        <f>IF(ISNUMBER(Inputs!$L$5),(IF(Inputs!$L$9="Actual flat rate",((D721+E721)*C721-G721)*Inputs!$L$10,IF(Inputs!$C$9="Residential",IF(((D721+E721)*C721-G721)&lt;='Assumptions and Catalog'!$C$50,((D721+E721)*C721-G721)*'Assumptions and Catalog'!$H$50+'Assumptions and Catalog'!$E$50+'Assumptions and Catalog'!$F$50,IF(((D721+E721)*C721-G721)&lt;='Assumptions and Catalog'!$C$51,((D721+E721)*C721-G721)*'Assumptions and Catalog'!$H$51+'Assumptions and Catalog'!$E$51+'Assumptions and Catalog'!$F$51,IF(((D721+E721)*C721-G721)&lt;='Assumptions and Catalog'!$C$52,((D721+E721)*C721-G721)*'Assumptions and Catalog'!$H$52+'Assumptions and Catalog'!$E$52+'Assumptions and Catalog'!$F$52,IF(((D721+E721)*C721-G721)&lt;='Assumptions and Catalog'!$C$53,((D721+E721)*C721-G721)*'Assumptions and Catalog'!$H$53+'Assumptions and Catalog'!$E$53+'Assumptions and Catalog'!$F$53,IF(((D721+E721)*C721-G721)&lt;='Assumptions and Catalog'!$C$54,((D721+E721)*C721-G721)*'Assumptions and Catalog'!$H$54+'Assumptions and Catalog'!$E$54+'Assumptions and Catalog'!$F$54,IF(((D721+E721)*C721-G721)&lt;='Assumptions and Catalog'!$C$55,((D721+E721)*C721-G721)*'Assumptions and Catalog'!$H$55+'Assumptions and Catalog'!$E$55+'Assumptions and Catalog'!$F$55,IF(((D721+E721)*C721-G721)&lt;='Assumptions and Catalog'!$C$56,((D721+E721)*C721-G721)*'Assumptions and Catalog'!$H$56+'Assumptions and Catalog'!$E$56+'Assumptions and Catalog'!$F$56,IF(((D721+E721)*C721-G721)&lt;='Assumptions and Catalog'!$C$57,((D721+E721)*C721-G721)*'Assumptions and Catalog'!$H$57+'Assumptions and Catalog'!$E$57+'Assumptions and Catalog'!$F$57,"Out of range")))))))),IF(((D721+E721)*C721-G721)&lt;='Assumptions and Catalog'!$C$60,((D721+E721)*C721-G721)*'Assumptions and Catalog'!$H$60+'Assumptions and Catalog'!$E$60+'Assumptions and Catalog'!$F$60,IF(((D721+E721)*C721-G721)&lt;='Assumptions and Catalog'!$C$61,((D721+E721)*C721-G721)*'Assumptions and Catalog'!$H$61+'Assumptions and Catalog'!$E$61+'Assumptions and Catalog'!$F$61,IF(((D721+E721)*C721-G721)&lt;='Assumptions and Catalog'!$C$62,((D721+E721)*C721-G721)*'Assumptions and Catalog'!$H$62+'Assumptions and Catalog'!$E$62+'Assumptions and Catalog'!$F$62,IF(((D721+E721)*C721-G721)&lt;='Assumptions and Catalog'!$C$63,((D721+E721)*C721-G721)*'Assumptions and Catalog'!$H$63+'Assumptions and Catalog'!$E$63+'Assumptions and Catalog'!$F$63,IF(((D721+E721)*C721-G721)&lt;='Assumptions and Catalog'!$C$64,((D721+E721)*C721-G721)*'Assumptions and Catalog'!$H$64+'Assumptions and Catalog'!$E$64+'Assumptions and Catalog'!$F$64,IF(((D721+E721)*C721-G721)&lt;='Assumptions and Catalog'!$C$65,((D721+E721)*C721-G721)*'Assumptions and Catalog'!$H$65+'Assumptions and Catalog'!$E$65+'Assumptions and Catalog'!$F$65,"Out of range")))))))))*(1+'Assumptions and Catalog'!$C$8)^(A721-1),0)</f>
        <v>3567.397</v>
      </c>
      <c r="R721" s="5" t="n">
        <f>IF(AND('Assumptions and Catalog'!$C$19&gt;0,A721&gt;='Assumptions and Catalog'!$C$19),A721-'Assumptions and Catalog'!$C$19,A721-1)</f>
        <v>5</v>
      </c>
      <c r="S721" s="5" t="n">
        <f>F721+L721-(D721+E721)*C721-J721-K721-IF(E$52&gt;0,'Assumptions and Catalog'!$C$26*C721,0)</f>
        <v>0</v>
      </c>
      <c r="T721" s="5"/>
      <c r="U721" s="5"/>
    </row>
    <row r="722" ht="23.100000381469727" customHeight="1">
      <c r="A722" s="5" t="n">
        <v>6</v>
      </c>
      <c r="B722" s="5" t="n">
        <v>2</v>
      </c>
      <c r="C722" s="5" t="n">
        <f>DAY(DATE('Assumptions and Catalog'!$C$24+A722-1,B722+1,0))</f>
        <v>29</v>
      </c>
      <c r="D722" s="5" t="n">
        <f>IF(ISNUMBER(Inputs!$L$5),Inputs!$L$5*Inputs!$L$6,0)</f>
        <v>40.35</v>
      </c>
      <c r="E722" s="5" t="n">
        <f>IF(ISNUMBER(Inputs!$L$5),Inputs!$L$5-D722,0)</f>
        <v>40.35</v>
      </c>
      <c r="F722" s="5" t="n">
        <f>E$51*INDEX('Solar Production'!$D$20:$D$31,B722)*C722*(1-'Assumptions and Catalog'!$C$10)^(A722-1)</f>
        <v>1438.30208565103</v>
      </c>
      <c r="G722" s="5" t="n">
        <f>MIN(F722,D722*C722)</f>
        <v>1170.15</v>
      </c>
      <c r="H722" s="5" t="n">
        <f>I722/('Assumptions and Catalog'!$C$11*'Assumptions and Catalog'!$C$12)</f>
        <v>268.152085651033</v>
      </c>
      <c r="I722" s="5" t="n">
        <f>MIN(E722*C722,P722*'Assumptions and Catalog'!$C$12*C722,(F722-G722)*'Assumptions and Catalog'!$C$11*'Assumptions and Catalog'!$C$12,E$56*'Assumptions and Catalog'!$C$14*'Assumptions and Catalog'!$C$11*'Assumptions and Catalog'!$C$12*C722,E$57*(24-'Assumptions and Catalog'!$C$13)*C722)</f>
        <v>254.912076422013</v>
      </c>
      <c r="J722" s="5" t="n">
        <f>MAX(F722-G722-H722,0)</f>
        <v>0</v>
      </c>
      <c r="K722" s="5" t="n">
        <f>H722-I722</f>
        <v>13.2400092290198</v>
      </c>
      <c r="L722" s="5" t="n">
        <f>(D722+E722)*C722-G722-I722+0+IF(E$52&gt;0,'Assumptions and Catalog'!$C$26*C722,0)</f>
        <v>915.237923577987</v>
      </c>
      <c r="M722" s="5" t="n">
        <f>IF(ISNUMBER(Inputs!$L$5),(IF(Inputs!$L$9="Actual flat rate",((D722+E722)*C722)*Inputs!$L$10,IF(Inputs!$C$9="Residential",IF(((D722+E722)*C722)&lt;='Assumptions and Catalog'!$C$50,((D722+E722)*C722)*'Assumptions and Catalog'!$H$50+'Assumptions and Catalog'!$E$50+'Assumptions and Catalog'!$F$50,IF(((D722+E722)*C722)&lt;='Assumptions and Catalog'!$C$51,((D722+E722)*C722)*'Assumptions and Catalog'!$H$51+'Assumptions and Catalog'!$E$51+'Assumptions and Catalog'!$F$51,IF(((D722+E722)*C722)&lt;='Assumptions and Catalog'!$C$52,((D722+E722)*C722)*'Assumptions and Catalog'!$H$52+'Assumptions and Catalog'!$E$52+'Assumptions and Catalog'!$F$52,IF(((D722+E722)*C722)&lt;='Assumptions and Catalog'!$C$53,((D722+E722)*C722)*'Assumptions and Catalog'!$H$53+'Assumptions and Catalog'!$E$53+'Assumptions and Catalog'!$F$53,IF(((D722+E722)*C722)&lt;='Assumptions and Catalog'!$C$54,((D722+E722)*C722)*'Assumptions and Catalog'!$H$54+'Assumptions and Catalog'!$E$54+'Assumptions and Catalog'!$F$54,IF(((D722+E722)*C722)&lt;='Assumptions and Catalog'!$C$55,((D722+E722)*C722)*'Assumptions and Catalog'!$H$55+'Assumptions and Catalog'!$E$55+'Assumptions and Catalog'!$F$55,IF(((D722+E722)*C722)&lt;='Assumptions and Catalog'!$C$56,((D722+E722)*C722)*'Assumptions and Catalog'!$H$56+'Assumptions and Catalog'!$E$56+'Assumptions and Catalog'!$F$56,IF(((D722+E722)*C722)&lt;='Assumptions and Catalog'!$C$57,((D722+E722)*C722)*'Assumptions and Catalog'!$H$57+'Assumptions and Catalog'!$E$57+'Assumptions and Catalog'!$F$57,"Out of range")))))))),IF(((D722+E722)*C722)&lt;='Assumptions and Catalog'!$C$60,((D722+E722)*C722)*'Assumptions and Catalog'!$H$60+'Assumptions and Catalog'!$E$60+'Assumptions and Catalog'!$F$60,IF(((D722+E722)*C722)&lt;='Assumptions and Catalog'!$C$61,((D722+E722)*C722)*'Assumptions and Catalog'!$H$61+'Assumptions and Catalog'!$E$61+'Assumptions and Catalog'!$F$61,IF(((D722+E722)*C722)&lt;='Assumptions and Catalog'!$C$62,((D722+E722)*C722)*'Assumptions and Catalog'!$H$62+'Assumptions and Catalog'!$E$62+'Assumptions and Catalog'!$F$62,IF(((D722+E722)*C722)&lt;='Assumptions and Catalog'!$C$63,((D722+E722)*C722)*'Assumptions and Catalog'!$H$63+'Assumptions and Catalog'!$E$63+'Assumptions and Catalog'!$F$63,IF(((D722+E722)*C722)&lt;='Assumptions and Catalog'!$C$64,((D722+E722)*C722)*'Assumptions and Catalog'!$H$64+'Assumptions and Catalog'!$E$64+'Assumptions and Catalog'!$F$64,IF(((D722+E722)*C722)&lt;='Assumptions and Catalog'!$C$65,((D722+E722)*C722)*'Assumptions and Catalog'!$H$65+'Assumptions and Catalog'!$E$65+'Assumptions and Catalog'!$F$65,"Out of range")))))))))*(1+'Assumptions and Catalog'!$C$8)^(A722-1),0)</f>
        <v>6639.646</v>
      </c>
      <c r="N722" s="5" t="n">
        <f>IF(ISNUMBER(Inputs!$L$5),(IF(Inputs!$L$9="Actual flat rate",L722*Inputs!$L$10,IF(Inputs!$C$9="Residential",IF(L722&lt;='Assumptions and Catalog'!$C$50,L722*'Assumptions and Catalog'!$H$50+'Assumptions and Catalog'!$E$50+'Assumptions and Catalog'!$F$50,IF(L722&lt;='Assumptions and Catalog'!$C$51,L722*'Assumptions and Catalog'!$H$51+'Assumptions and Catalog'!$E$51+'Assumptions and Catalog'!$F$51,IF(L722&lt;='Assumptions and Catalog'!$C$52,L722*'Assumptions and Catalog'!$H$52+'Assumptions and Catalog'!$E$52+'Assumptions and Catalog'!$F$52,IF(L722&lt;='Assumptions and Catalog'!$C$53,L722*'Assumptions and Catalog'!$H$53+'Assumptions and Catalog'!$E$53+'Assumptions and Catalog'!$F$53,IF(L722&lt;='Assumptions and Catalog'!$C$54,L722*'Assumptions and Catalog'!$H$54+'Assumptions and Catalog'!$E$54+'Assumptions and Catalog'!$F$54,IF(L722&lt;='Assumptions and Catalog'!$C$55,L722*'Assumptions and Catalog'!$H$55+'Assumptions and Catalog'!$E$55+'Assumptions and Catalog'!$F$55,IF(L722&lt;='Assumptions and Catalog'!$C$56,L722*'Assumptions and Catalog'!$H$56+'Assumptions and Catalog'!$E$56+'Assumptions and Catalog'!$F$56,IF(L722&lt;='Assumptions and Catalog'!$C$57,L722*'Assumptions and Catalog'!$H$57+'Assumptions and Catalog'!$E$57+'Assumptions and Catalog'!$F$57,"Out of range")))))))),IF(L722&lt;='Assumptions and Catalog'!$C$60,L722*'Assumptions and Catalog'!$H$60+'Assumptions and Catalog'!$E$60+'Assumptions and Catalog'!$F$60,IF(L722&lt;='Assumptions and Catalog'!$C$61,L722*'Assumptions and Catalog'!$H$61+'Assumptions and Catalog'!$E$61+'Assumptions and Catalog'!$F$61,IF(L722&lt;='Assumptions and Catalog'!$C$62,L722*'Assumptions and Catalog'!$H$62+'Assumptions and Catalog'!$E$62+'Assumptions and Catalog'!$F$62,IF(L722&lt;='Assumptions and Catalog'!$C$63,L722*'Assumptions and Catalog'!$H$63+'Assumptions and Catalog'!$E$63+'Assumptions and Catalog'!$F$63,IF(L722&lt;='Assumptions and Catalog'!$C$64,L722*'Assumptions and Catalog'!$H$64+'Assumptions and Catalog'!$E$64+'Assumptions and Catalog'!$F$64,IF(L722&lt;='Assumptions and Catalog'!$C$65,L722*'Assumptions and Catalog'!$H$65+'Assumptions and Catalog'!$E$65+'Assumptions and Catalog'!$F$65,"Out of range")))))))))*(1+'Assumptions and Catalog'!$C$8)^(A722-1),0)</f>
        <v>2500.20904831102</v>
      </c>
      <c r="O722" s="5" t="n">
        <f>M722-N722</f>
        <v>4139.43695168898</v>
      </c>
      <c r="P722" s="5" t="n">
        <f>E$55*(1-L$14)*(1-'Assumptions and Catalog'!$C$23)^R722</f>
        <v>9.256148959232</v>
      </c>
      <c r="Q722" s="5" t="n">
        <f>IF(ISNUMBER(Inputs!$L$5),(IF(Inputs!$L$9="Actual flat rate",((D722+E722)*C722-G722)*Inputs!$L$10,IF(Inputs!$C$9="Residential",IF(((D722+E722)*C722-G722)&lt;='Assumptions and Catalog'!$C$50,((D722+E722)*C722-G722)*'Assumptions and Catalog'!$H$50+'Assumptions and Catalog'!$E$50+'Assumptions and Catalog'!$F$50,IF(((D722+E722)*C722-G722)&lt;='Assumptions and Catalog'!$C$51,((D722+E722)*C722-G722)*'Assumptions and Catalog'!$H$51+'Assumptions and Catalog'!$E$51+'Assumptions and Catalog'!$F$51,IF(((D722+E722)*C722-G722)&lt;='Assumptions and Catalog'!$C$52,((D722+E722)*C722-G722)*'Assumptions and Catalog'!$H$52+'Assumptions and Catalog'!$E$52+'Assumptions and Catalog'!$F$52,IF(((D722+E722)*C722-G722)&lt;='Assumptions and Catalog'!$C$53,((D722+E722)*C722-G722)*'Assumptions and Catalog'!$H$53+'Assumptions and Catalog'!$E$53+'Assumptions and Catalog'!$F$53,IF(((D722+E722)*C722-G722)&lt;='Assumptions and Catalog'!$C$54,((D722+E722)*C722-G722)*'Assumptions and Catalog'!$H$54+'Assumptions and Catalog'!$E$54+'Assumptions and Catalog'!$F$54,IF(((D722+E722)*C722-G722)&lt;='Assumptions and Catalog'!$C$55,((D722+E722)*C722-G722)*'Assumptions and Catalog'!$H$55+'Assumptions and Catalog'!$E$55+'Assumptions and Catalog'!$F$55,IF(((D722+E722)*C722-G722)&lt;='Assumptions and Catalog'!$C$56,((D722+E722)*C722-G722)*'Assumptions and Catalog'!$H$56+'Assumptions and Catalog'!$E$56+'Assumptions and Catalog'!$F$56,IF(((D722+E722)*C722-G722)&lt;='Assumptions and Catalog'!$C$57,((D722+E722)*C722-G722)*'Assumptions and Catalog'!$H$57+'Assumptions and Catalog'!$E$57+'Assumptions and Catalog'!$F$57,"Out of range")))))))),IF(((D722+E722)*C722-G722)&lt;='Assumptions and Catalog'!$C$60,((D722+E722)*C722-G722)*'Assumptions and Catalog'!$H$60+'Assumptions and Catalog'!$E$60+'Assumptions and Catalog'!$F$60,IF(((D722+E722)*C722-G722)&lt;='Assumptions and Catalog'!$C$61,((D722+E722)*C722-G722)*'Assumptions and Catalog'!$H$61+'Assumptions and Catalog'!$E$61+'Assumptions and Catalog'!$F$61,IF(((D722+E722)*C722-G722)&lt;='Assumptions and Catalog'!$C$62,((D722+E722)*C722-G722)*'Assumptions and Catalog'!$H$62+'Assumptions and Catalog'!$E$62+'Assumptions and Catalog'!$F$62,IF(((D722+E722)*C722-G722)&lt;='Assumptions and Catalog'!$C$63,((D722+E722)*C722-G722)*'Assumptions and Catalog'!$H$63+'Assumptions and Catalog'!$E$63+'Assumptions and Catalog'!$F$63,IF(((D722+E722)*C722-G722)&lt;='Assumptions and Catalog'!$C$64,((D722+E722)*C722-G722)*'Assumptions and Catalog'!$H$64+'Assumptions and Catalog'!$E$64+'Assumptions and Catalog'!$F$64,IF(((D722+E722)*C722-G722)&lt;='Assumptions and Catalog'!$C$65,((D722+E722)*C722-G722)*'Assumptions and Catalog'!$H$65+'Assumptions and Catalog'!$E$65+'Assumptions and Catalog'!$F$65,"Out of range")))))))))*(1+'Assumptions and Catalog'!$C$8)^(A722-1),0)</f>
        <v>3339.823</v>
      </c>
      <c r="R722" s="5" t="n">
        <f>IF(AND('Assumptions and Catalog'!$C$19&gt;0,A722&gt;='Assumptions and Catalog'!$C$19),A722-'Assumptions and Catalog'!$C$19,A722-1)</f>
        <v>5</v>
      </c>
      <c r="S722" s="5" t="n">
        <f>F722+L722-(D722+E722)*C722-J722-K722-IF(E$52&gt;0,'Assumptions and Catalog'!$C$26*C722,0)</f>
        <v>1.98951966012828E-013</v>
      </c>
      <c r="T722" s="5"/>
      <c r="U722" s="5"/>
    </row>
    <row r="723" ht="23.100000381469727" customHeight="1">
      <c r="A723" s="5" t="n">
        <v>6</v>
      </c>
      <c r="B723" s="5" t="n">
        <v>3</v>
      </c>
      <c r="C723" s="5" t="n">
        <f>DAY(DATE('Assumptions and Catalog'!$C$24+A723-1,B723+1,0))</f>
        <v>31</v>
      </c>
      <c r="D723" s="5" t="n">
        <f>IF(ISNUMBER(Inputs!$L$5),Inputs!$L$5*Inputs!$L$6,0)</f>
        <v>40.35</v>
      </c>
      <c r="E723" s="5" t="n">
        <f>IF(ISNUMBER(Inputs!$L$5),Inputs!$L$5-D723,0)</f>
        <v>40.35</v>
      </c>
      <c r="F723" s="5" t="n">
        <f>E$51*INDEX('Solar Production'!$D$20:$D$31,B723)*C723*(1-'Assumptions and Catalog'!$C$10)^(A723-1)</f>
        <v>1727.8092059559</v>
      </c>
      <c r="G723" s="5" t="n">
        <f>MIN(F723,D723*C723)</f>
        <v>1250.85</v>
      </c>
      <c r="H723" s="5" t="n">
        <f>I723/('Assumptions and Catalog'!$C$11*'Assumptions and Catalog'!$C$12)</f>
        <v>294.298069473018</v>
      </c>
      <c r="I723" s="5" t="n">
        <f>MIN(E723*C723,P723*'Assumptions and Catalog'!$C$12*C723,(F723-G723)*'Assumptions and Catalog'!$C$11*'Assumptions and Catalog'!$C$12,E$56*'Assumptions and Catalog'!$C$14*'Assumptions and Catalog'!$C$11*'Assumptions and Catalog'!$C$12*C723,E$57*(24-'Assumptions and Catalog'!$C$13)*C723)</f>
        <v>279.767102292787</v>
      </c>
      <c r="J723" s="5" t="n">
        <f>MAX(F723-G723-H723,0)</f>
        <v>182.661136482883</v>
      </c>
      <c r="K723" s="5" t="n">
        <f>H723-I723</f>
        <v>14.5309671802303</v>
      </c>
      <c r="L723" s="5" t="n">
        <f>(D723+E723)*C723-G723-I723+0+IF(E$52&gt;0,'Assumptions and Catalog'!$C$26*C723,0)</f>
        <v>971.082897707213</v>
      </c>
      <c r="M723" s="5" t="n">
        <f>IF(ISNUMBER(Inputs!$L$5),(IF(Inputs!$L$9="Actual flat rate",((D723+E723)*C723)*Inputs!$L$10,IF(Inputs!$C$9="Residential",IF(((D723+E723)*C723)&lt;='Assumptions and Catalog'!$C$50,((D723+E723)*C723)*'Assumptions and Catalog'!$H$50+'Assumptions and Catalog'!$E$50+'Assumptions and Catalog'!$F$50,IF(((D723+E723)*C723)&lt;='Assumptions and Catalog'!$C$51,((D723+E723)*C723)*'Assumptions and Catalog'!$H$51+'Assumptions and Catalog'!$E$51+'Assumptions and Catalog'!$F$51,IF(((D723+E723)*C723)&lt;='Assumptions and Catalog'!$C$52,((D723+E723)*C723)*'Assumptions and Catalog'!$H$52+'Assumptions and Catalog'!$E$52+'Assumptions and Catalog'!$F$52,IF(((D723+E723)*C723)&lt;='Assumptions and Catalog'!$C$53,((D723+E723)*C723)*'Assumptions and Catalog'!$H$53+'Assumptions and Catalog'!$E$53+'Assumptions and Catalog'!$F$53,IF(((D723+E723)*C723)&lt;='Assumptions and Catalog'!$C$54,((D723+E723)*C723)*'Assumptions and Catalog'!$H$54+'Assumptions and Catalog'!$E$54+'Assumptions and Catalog'!$F$54,IF(((D723+E723)*C723)&lt;='Assumptions and Catalog'!$C$55,((D723+E723)*C723)*'Assumptions and Catalog'!$H$55+'Assumptions and Catalog'!$E$55+'Assumptions and Catalog'!$F$55,IF(((D723+E723)*C723)&lt;='Assumptions and Catalog'!$C$56,((D723+E723)*C723)*'Assumptions and Catalog'!$H$56+'Assumptions and Catalog'!$E$56+'Assumptions and Catalog'!$F$56,IF(((D723+E723)*C723)&lt;='Assumptions and Catalog'!$C$57,((D723+E723)*C723)*'Assumptions and Catalog'!$H$57+'Assumptions and Catalog'!$E$57+'Assumptions and Catalog'!$F$57,"Out of range")))))))),IF(((D723+E723)*C723)&lt;='Assumptions and Catalog'!$C$60,((D723+E723)*C723)*'Assumptions and Catalog'!$H$60+'Assumptions and Catalog'!$E$60+'Assumptions and Catalog'!$F$60,IF(((D723+E723)*C723)&lt;='Assumptions and Catalog'!$C$61,((D723+E723)*C723)*'Assumptions and Catalog'!$H$61+'Assumptions and Catalog'!$E$61+'Assumptions and Catalog'!$F$61,IF(((D723+E723)*C723)&lt;='Assumptions and Catalog'!$C$62,((D723+E723)*C723)*'Assumptions and Catalog'!$H$62+'Assumptions and Catalog'!$E$62+'Assumptions and Catalog'!$F$62,IF(((D723+E723)*C723)&lt;='Assumptions and Catalog'!$C$63,((D723+E723)*C723)*'Assumptions and Catalog'!$H$63+'Assumptions and Catalog'!$E$63+'Assumptions and Catalog'!$F$63,IF(((D723+E723)*C723)&lt;='Assumptions and Catalog'!$C$64,((D723+E723)*C723)*'Assumptions and Catalog'!$H$64+'Assumptions and Catalog'!$E$64+'Assumptions and Catalog'!$F$64,IF(((D723+E723)*C723)&lt;='Assumptions and Catalog'!$C$65,((D723+E723)*C723)*'Assumptions and Catalog'!$H$65+'Assumptions and Catalog'!$E$65+'Assumptions and Catalog'!$F$65,"Out of range")))))))))*(1+'Assumptions and Catalog'!$C$8)^(A723-1),0)</f>
        <v>7094.794</v>
      </c>
      <c r="N723" s="5" t="n">
        <f>IF(ISNUMBER(Inputs!$L$5),(IF(Inputs!$L$9="Actual flat rate",L723*Inputs!$L$10,IF(Inputs!$C$9="Residential",IF(L723&lt;='Assumptions and Catalog'!$C$50,L723*'Assumptions and Catalog'!$H$50+'Assumptions and Catalog'!$E$50+'Assumptions and Catalog'!$F$50,IF(L723&lt;='Assumptions and Catalog'!$C$51,L723*'Assumptions and Catalog'!$H$51+'Assumptions and Catalog'!$E$51+'Assumptions and Catalog'!$F$51,IF(L723&lt;='Assumptions and Catalog'!$C$52,L723*'Assumptions and Catalog'!$H$52+'Assumptions and Catalog'!$E$52+'Assumptions and Catalog'!$F$52,IF(L723&lt;='Assumptions and Catalog'!$C$53,L723*'Assumptions and Catalog'!$H$53+'Assumptions and Catalog'!$E$53+'Assumptions and Catalog'!$F$53,IF(L723&lt;='Assumptions and Catalog'!$C$54,L723*'Assumptions and Catalog'!$H$54+'Assumptions and Catalog'!$E$54+'Assumptions and Catalog'!$F$54,IF(L723&lt;='Assumptions and Catalog'!$C$55,L723*'Assumptions and Catalog'!$H$55+'Assumptions and Catalog'!$E$55+'Assumptions and Catalog'!$F$55,IF(L723&lt;='Assumptions and Catalog'!$C$56,L723*'Assumptions and Catalog'!$H$56+'Assumptions and Catalog'!$E$56+'Assumptions and Catalog'!$F$56,IF(L723&lt;='Assumptions and Catalog'!$C$57,L723*'Assumptions and Catalog'!$H$57+'Assumptions and Catalog'!$E$57+'Assumptions and Catalog'!$F$57,"Out of range")))))))),IF(L723&lt;='Assumptions and Catalog'!$C$60,L723*'Assumptions and Catalog'!$H$60+'Assumptions and Catalog'!$E$60+'Assumptions and Catalog'!$F$60,IF(L723&lt;='Assumptions and Catalog'!$C$61,L723*'Assumptions and Catalog'!$H$61+'Assumptions and Catalog'!$E$61+'Assumptions and Catalog'!$F$61,IF(L723&lt;='Assumptions and Catalog'!$C$62,L723*'Assumptions and Catalog'!$H$62+'Assumptions and Catalog'!$E$62+'Assumptions and Catalog'!$F$62,IF(L723&lt;='Assumptions and Catalog'!$C$63,L723*'Assumptions and Catalog'!$H$63+'Assumptions and Catalog'!$E$63+'Assumptions and Catalog'!$F$63,IF(L723&lt;='Assumptions and Catalog'!$C$64,L723*'Assumptions and Catalog'!$H$64+'Assumptions and Catalog'!$E$64+'Assumptions and Catalog'!$F$64,IF(L723&lt;='Assumptions and Catalog'!$C$65,L723*'Assumptions and Catalog'!$H$65+'Assumptions and Catalog'!$E$65+'Assumptions and Catalog'!$F$65,"Out of range")))))))))*(1+'Assumptions and Catalog'!$C$8)^(A723-1),0)</f>
        <v>2654.89962664898</v>
      </c>
      <c r="O723" s="5" t="n">
        <f>M723-N723</f>
        <v>4439.89437335102</v>
      </c>
      <c r="P723" s="5" t="n">
        <f>E$55*(1-L$14)*(1-'Assumptions and Catalog'!$C$23)^R723</f>
        <v>9.256148959232</v>
      </c>
      <c r="Q723" s="5" t="n">
        <f>IF(ISNUMBER(Inputs!$L$5),(IF(Inputs!$L$9="Actual flat rate",((D723+E723)*C723-G723)*Inputs!$L$10,IF(Inputs!$C$9="Residential",IF(((D723+E723)*C723-G723)&lt;='Assumptions and Catalog'!$C$50,((D723+E723)*C723-G723)*'Assumptions and Catalog'!$H$50+'Assumptions and Catalog'!$E$50+'Assumptions and Catalog'!$F$50,IF(((D723+E723)*C723-G723)&lt;='Assumptions and Catalog'!$C$51,((D723+E723)*C723-G723)*'Assumptions and Catalog'!$H$51+'Assumptions and Catalog'!$E$51+'Assumptions and Catalog'!$F$51,IF(((D723+E723)*C723-G723)&lt;='Assumptions and Catalog'!$C$52,((D723+E723)*C723-G723)*'Assumptions and Catalog'!$H$52+'Assumptions and Catalog'!$E$52+'Assumptions and Catalog'!$F$52,IF(((D723+E723)*C723-G723)&lt;='Assumptions and Catalog'!$C$53,((D723+E723)*C723-G723)*'Assumptions and Catalog'!$H$53+'Assumptions and Catalog'!$E$53+'Assumptions and Catalog'!$F$53,IF(((D723+E723)*C723-G723)&lt;='Assumptions and Catalog'!$C$54,((D723+E723)*C723-G723)*'Assumptions and Catalog'!$H$54+'Assumptions and Catalog'!$E$54+'Assumptions and Catalog'!$F$54,IF(((D723+E723)*C723-G723)&lt;='Assumptions and Catalog'!$C$55,((D723+E723)*C723-G723)*'Assumptions and Catalog'!$H$55+'Assumptions and Catalog'!$E$55+'Assumptions and Catalog'!$F$55,IF(((D723+E723)*C723-G723)&lt;='Assumptions and Catalog'!$C$56,((D723+E723)*C723-G723)*'Assumptions and Catalog'!$H$56+'Assumptions and Catalog'!$E$56+'Assumptions and Catalog'!$F$56,IF(((D723+E723)*C723-G723)&lt;='Assumptions and Catalog'!$C$57,((D723+E723)*C723-G723)*'Assumptions and Catalog'!$H$57+'Assumptions and Catalog'!$E$57+'Assumptions and Catalog'!$F$57,"Out of range")))))))),IF(((D723+E723)*C723-G723)&lt;='Assumptions and Catalog'!$C$60,((D723+E723)*C723-G723)*'Assumptions and Catalog'!$H$60+'Assumptions and Catalog'!$E$60+'Assumptions and Catalog'!$F$60,IF(((D723+E723)*C723-G723)&lt;='Assumptions and Catalog'!$C$61,((D723+E723)*C723-G723)*'Assumptions and Catalog'!$H$61+'Assumptions and Catalog'!$E$61+'Assumptions and Catalog'!$F$61,IF(((D723+E723)*C723-G723)&lt;='Assumptions and Catalog'!$C$62,((D723+E723)*C723-G723)*'Assumptions and Catalog'!$H$62+'Assumptions and Catalog'!$E$62+'Assumptions and Catalog'!$F$62,IF(((D723+E723)*C723-G723)&lt;='Assumptions and Catalog'!$C$63,((D723+E723)*C723-G723)*'Assumptions and Catalog'!$H$63+'Assumptions and Catalog'!$E$63+'Assumptions and Catalog'!$F$63,IF(((D723+E723)*C723-G723)&lt;='Assumptions and Catalog'!$C$64,((D723+E723)*C723-G723)*'Assumptions and Catalog'!$H$64+'Assumptions and Catalog'!$E$64+'Assumptions and Catalog'!$F$64,IF(((D723+E723)*C723-G723)&lt;='Assumptions and Catalog'!$C$65,((D723+E723)*C723-G723)*'Assumptions and Catalog'!$H$65+'Assumptions and Catalog'!$E$65+'Assumptions and Catalog'!$F$65,"Out of range")))))))))*(1+'Assumptions and Catalog'!$C$8)^(A723-1),0)</f>
        <v>3567.397</v>
      </c>
      <c r="R723" s="5" t="n">
        <f>IF(AND('Assumptions and Catalog'!$C$19&gt;0,A723&gt;='Assumptions and Catalog'!$C$19),A723-'Assumptions and Catalog'!$C$19,A723-1)</f>
        <v>5</v>
      </c>
      <c r="S723" s="5" t="n">
        <f>F723+L723-(D723+E723)*C723-J723-K723-IF(E$52&gt;0,'Assumptions and Catalog'!$C$26*C723,0)</f>
        <v>-5.6843418860808E-014</v>
      </c>
      <c r="T723" s="5"/>
      <c r="U723" s="5"/>
    </row>
    <row r="724" ht="23.100000381469727" customHeight="1">
      <c r="A724" s="5" t="n">
        <v>6</v>
      </c>
      <c r="B724" s="5" t="n">
        <v>4</v>
      </c>
      <c r="C724" s="5" t="n">
        <f>DAY(DATE('Assumptions and Catalog'!$C$24+A724-1,B724+1,0))</f>
        <v>30</v>
      </c>
      <c r="D724" s="5" t="n">
        <f>IF(ISNUMBER(Inputs!$L$5),Inputs!$L$5*Inputs!$L$6,0)</f>
        <v>40.35</v>
      </c>
      <c r="E724" s="5" t="n">
        <f>IF(ISNUMBER(Inputs!$L$5),Inputs!$L$5-D724,0)</f>
        <v>40.35</v>
      </c>
      <c r="F724" s="5" t="n">
        <f>E$51*INDEX('Solar Production'!$D$20:$D$31,B724)*C724*(1-'Assumptions and Catalog'!$C$10)^(A724-1)</f>
        <v>1725.66365869903</v>
      </c>
      <c r="G724" s="5" t="n">
        <f>MIN(F724,D724*C724)</f>
        <v>1210.5</v>
      </c>
      <c r="H724" s="5" t="n">
        <f>I724/('Assumptions and Catalog'!$C$11*'Assumptions and Catalog'!$C$12)</f>
        <v>284.804583360985</v>
      </c>
      <c r="I724" s="5" t="n">
        <f>MIN(E724*C724,P724*'Assumptions and Catalog'!$C$12*C724,(F724-G724)*'Assumptions and Catalog'!$C$11*'Assumptions and Catalog'!$C$12,E$56*'Assumptions and Catalog'!$C$14*'Assumptions and Catalog'!$C$11*'Assumptions and Catalog'!$C$12*C724,E$57*(24-'Assumptions and Catalog'!$C$13)*C724)</f>
        <v>270.742357057536</v>
      </c>
      <c r="J724" s="5" t="n">
        <f>MAX(F724-G724-H724,0)</f>
        <v>230.359075338048</v>
      </c>
      <c r="K724" s="5" t="n">
        <f>H724-I724</f>
        <v>14.0622263034487</v>
      </c>
      <c r="L724" s="5" t="n">
        <f>(D724+E724)*C724-G724-I724+0+IF(E$52&gt;0,'Assumptions and Catalog'!$C$26*C724,0)</f>
        <v>939.757642942464</v>
      </c>
      <c r="M724" s="5" t="n">
        <f>IF(ISNUMBER(Inputs!$L$5),(IF(Inputs!$L$9="Actual flat rate",((D724+E724)*C724)*Inputs!$L$10,IF(Inputs!$C$9="Residential",IF(((D724+E724)*C724)&lt;='Assumptions and Catalog'!$C$50,((D724+E724)*C724)*'Assumptions and Catalog'!$H$50+'Assumptions and Catalog'!$E$50+'Assumptions and Catalog'!$F$50,IF(((D724+E724)*C724)&lt;='Assumptions and Catalog'!$C$51,((D724+E724)*C724)*'Assumptions and Catalog'!$H$51+'Assumptions and Catalog'!$E$51+'Assumptions and Catalog'!$F$51,IF(((D724+E724)*C724)&lt;='Assumptions and Catalog'!$C$52,((D724+E724)*C724)*'Assumptions and Catalog'!$H$52+'Assumptions and Catalog'!$E$52+'Assumptions and Catalog'!$F$52,IF(((D724+E724)*C724)&lt;='Assumptions and Catalog'!$C$53,((D724+E724)*C724)*'Assumptions and Catalog'!$H$53+'Assumptions and Catalog'!$E$53+'Assumptions and Catalog'!$F$53,IF(((D724+E724)*C724)&lt;='Assumptions and Catalog'!$C$54,((D724+E724)*C724)*'Assumptions and Catalog'!$H$54+'Assumptions and Catalog'!$E$54+'Assumptions and Catalog'!$F$54,IF(((D724+E724)*C724)&lt;='Assumptions and Catalog'!$C$55,((D724+E724)*C724)*'Assumptions and Catalog'!$H$55+'Assumptions and Catalog'!$E$55+'Assumptions and Catalog'!$F$55,IF(((D724+E724)*C724)&lt;='Assumptions and Catalog'!$C$56,((D724+E724)*C724)*'Assumptions and Catalog'!$H$56+'Assumptions and Catalog'!$E$56+'Assumptions and Catalog'!$F$56,IF(((D724+E724)*C724)&lt;='Assumptions and Catalog'!$C$57,((D724+E724)*C724)*'Assumptions and Catalog'!$H$57+'Assumptions and Catalog'!$E$57+'Assumptions and Catalog'!$F$57,"Out of range")))))))),IF(((D724+E724)*C724)&lt;='Assumptions and Catalog'!$C$60,((D724+E724)*C724)*'Assumptions and Catalog'!$H$60+'Assumptions and Catalog'!$E$60+'Assumptions and Catalog'!$F$60,IF(((D724+E724)*C724)&lt;='Assumptions and Catalog'!$C$61,((D724+E724)*C724)*'Assumptions and Catalog'!$H$61+'Assumptions and Catalog'!$E$61+'Assumptions and Catalog'!$F$61,IF(((D724+E724)*C724)&lt;='Assumptions and Catalog'!$C$62,((D724+E724)*C724)*'Assumptions and Catalog'!$H$62+'Assumptions and Catalog'!$E$62+'Assumptions and Catalog'!$F$62,IF(((D724+E724)*C724)&lt;='Assumptions and Catalog'!$C$63,((D724+E724)*C724)*'Assumptions and Catalog'!$H$63+'Assumptions and Catalog'!$E$63+'Assumptions and Catalog'!$F$63,IF(((D724+E724)*C724)&lt;='Assumptions and Catalog'!$C$64,((D724+E724)*C724)*'Assumptions and Catalog'!$H$64+'Assumptions and Catalog'!$E$64+'Assumptions and Catalog'!$F$64,IF(((D724+E724)*C724)&lt;='Assumptions and Catalog'!$C$65,((D724+E724)*C724)*'Assumptions and Catalog'!$H$65+'Assumptions and Catalog'!$E$65+'Assumptions and Catalog'!$F$65,"Out of range")))))))))*(1+'Assumptions and Catalog'!$C$8)^(A724-1),0)</f>
        <v>6867.22</v>
      </c>
      <c r="N724" s="5" t="n">
        <f>IF(ISNUMBER(Inputs!$L$5),(IF(Inputs!$L$9="Actual flat rate",L724*Inputs!$L$10,IF(Inputs!$C$9="Residential",IF(L724&lt;='Assumptions and Catalog'!$C$50,L724*'Assumptions and Catalog'!$H$50+'Assumptions and Catalog'!$E$50+'Assumptions and Catalog'!$F$50,IF(L724&lt;='Assumptions and Catalog'!$C$51,L724*'Assumptions and Catalog'!$H$51+'Assumptions and Catalog'!$E$51+'Assumptions and Catalog'!$F$51,IF(L724&lt;='Assumptions and Catalog'!$C$52,L724*'Assumptions and Catalog'!$H$52+'Assumptions and Catalog'!$E$52+'Assumptions and Catalog'!$F$52,IF(L724&lt;='Assumptions and Catalog'!$C$53,L724*'Assumptions and Catalog'!$H$53+'Assumptions and Catalog'!$E$53+'Assumptions and Catalog'!$F$53,IF(L724&lt;='Assumptions and Catalog'!$C$54,L724*'Assumptions and Catalog'!$H$54+'Assumptions and Catalog'!$E$54+'Assumptions and Catalog'!$F$54,IF(L724&lt;='Assumptions and Catalog'!$C$55,L724*'Assumptions and Catalog'!$H$55+'Assumptions and Catalog'!$E$55+'Assumptions and Catalog'!$F$55,IF(L724&lt;='Assumptions and Catalog'!$C$56,L724*'Assumptions and Catalog'!$H$56+'Assumptions and Catalog'!$E$56+'Assumptions and Catalog'!$F$56,IF(L724&lt;='Assumptions and Catalog'!$C$57,L724*'Assumptions and Catalog'!$H$57+'Assumptions and Catalog'!$E$57+'Assumptions and Catalog'!$F$57,"Out of range")))))))),IF(L724&lt;='Assumptions and Catalog'!$C$60,L724*'Assumptions and Catalog'!$H$60+'Assumptions and Catalog'!$E$60+'Assumptions and Catalog'!$F$60,IF(L724&lt;='Assumptions and Catalog'!$C$61,L724*'Assumptions and Catalog'!$H$61+'Assumptions and Catalog'!$E$61+'Assumptions and Catalog'!$F$61,IF(L724&lt;='Assumptions and Catalog'!$C$62,L724*'Assumptions and Catalog'!$H$62+'Assumptions and Catalog'!$E$62+'Assumptions and Catalog'!$F$62,IF(L724&lt;='Assumptions and Catalog'!$C$63,L724*'Assumptions and Catalog'!$H$63+'Assumptions and Catalog'!$E$63+'Assumptions and Catalog'!$F$63,IF(L724&lt;='Assumptions and Catalog'!$C$64,L724*'Assumptions and Catalog'!$H$64+'Assumptions and Catalog'!$E$64+'Assumptions and Catalog'!$F$64,IF(L724&lt;='Assumptions and Catalog'!$C$65,L724*'Assumptions and Catalog'!$H$65+'Assumptions and Catalog'!$E$65+'Assumptions and Catalog'!$F$65,"Out of range")))))))))*(1+'Assumptions and Catalog'!$C$8)^(A724-1),0)</f>
        <v>2568.12867095063</v>
      </c>
      <c r="O724" s="5" t="n">
        <f>M724-N724</f>
        <v>4299.09132904937</v>
      </c>
      <c r="P724" s="5" t="n">
        <f>E$55*(1-L$14)*(1-'Assumptions and Catalog'!$C$23)^R724</f>
        <v>9.256148959232</v>
      </c>
      <c r="Q724" s="5" t="n">
        <f>IF(ISNUMBER(Inputs!$L$5),(IF(Inputs!$L$9="Actual flat rate",((D724+E724)*C724-G724)*Inputs!$L$10,IF(Inputs!$C$9="Residential",IF(((D724+E724)*C724-G724)&lt;='Assumptions and Catalog'!$C$50,((D724+E724)*C724-G724)*'Assumptions and Catalog'!$H$50+'Assumptions and Catalog'!$E$50+'Assumptions and Catalog'!$F$50,IF(((D724+E724)*C724-G724)&lt;='Assumptions and Catalog'!$C$51,((D724+E724)*C724-G724)*'Assumptions and Catalog'!$H$51+'Assumptions and Catalog'!$E$51+'Assumptions and Catalog'!$F$51,IF(((D724+E724)*C724-G724)&lt;='Assumptions and Catalog'!$C$52,((D724+E724)*C724-G724)*'Assumptions and Catalog'!$H$52+'Assumptions and Catalog'!$E$52+'Assumptions and Catalog'!$F$52,IF(((D724+E724)*C724-G724)&lt;='Assumptions and Catalog'!$C$53,((D724+E724)*C724-G724)*'Assumptions and Catalog'!$H$53+'Assumptions and Catalog'!$E$53+'Assumptions and Catalog'!$F$53,IF(((D724+E724)*C724-G724)&lt;='Assumptions and Catalog'!$C$54,((D724+E724)*C724-G724)*'Assumptions and Catalog'!$H$54+'Assumptions and Catalog'!$E$54+'Assumptions and Catalog'!$F$54,IF(((D724+E724)*C724-G724)&lt;='Assumptions and Catalog'!$C$55,((D724+E724)*C724-G724)*'Assumptions and Catalog'!$H$55+'Assumptions and Catalog'!$E$55+'Assumptions and Catalog'!$F$55,IF(((D724+E724)*C724-G724)&lt;='Assumptions and Catalog'!$C$56,((D724+E724)*C724-G724)*'Assumptions and Catalog'!$H$56+'Assumptions and Catalog'!$E$56+'Assumptions and Catalog'!$F$56,IF(((D724+E724)*C724-G724)&lt;='Assumptions and Catalog'!$C$57,((D724+E724)*C724-G724)*'Assumptions and Catalog'!$H$57+'Assumptions and Catalog'!$E$57+'Assumptions and Catalog'!$F$57,"Out of range")))))))),IF(((D724+E724)*C724-G724)&lt;='Assumptions and Catalog'!$C$60,((D724+E724)*C724-G724)*'Assumptions and Catalog'!$H$60+'Assumptions and Catalog'!$E$60+'Assumptions and Catalog'!$F$60,IF(((D724+E724)*C724-G724)&lt;='Assumptions and Catalog'!$C$61,((D724+E724)*C724-G724)*'Assumptions and Catalog'!$H$61+'Assumptions and Catalog'!$E$61+'Assumptions and Catalog'!$F$61,IF(((D724+E724)*C724-G724)&lt;='Assumptions and Catalog'!$C$62,((D724+E724)*C724-G724)*'Assumptions and Catalog'!$H$62+'Assumptions and Catalog'!$E$62+'Assumptions and Catalog'!$F$62,IF(((D724+E724)*C724-G724)&lt;='Assumptions and Catalog'!$C$63,((D724+E724)*C724-G724)*'Assumptions and Catalog'!$H$63+'Assumptions and Catalog'!$E$63+'Assumptions and Catalog'!$F$63,IF(((D724+E724)*C724-G724)&lt;='Assumptions and Catalog'!$C$64,((D724+E724)*C724-G724)*'Assumptions and Catalog'!$H$64+'Assumptions and Catalog'!$E$64+'Assumptions and Catalog'!$F$64,IF(((D724+E724)*C724-G724)&lt;='Assumptions and Catalog'!$C$65,((D724+E724)*C724-G724)*'Assumptions and Catalog'!$H$65+'Assumptions and Catalog'!$E$65+'Assumptions and Catalog'!$F$65,"Out of range")))))))))*(1+'Assumptions and Catalog'!$C$8)^(A724-1),0)</f>
        <v>3453.61</v>
      </c>
      <c r="R724" s="5" t="n">
        <f>IF(AND('Assumptions and Catalog'!$C$19&gt;0,A724&gt;='Assumptions and Catalog'!$C$19),A724-'Assumptions and Catalog'!$C$19,A724-1)</f>
        <v>5</v>
      </c>
      <c r="S724" s="5" t="n">
        <f>F724+L724-(D724+E724)*C724-J724-K724-IF(E$52&gt;0,'Assumptions and Catalog'!$C$26*C724,0)</f>
        <v>-5.6843418860808E-014</v>
      </c>
      <c r="T724" s="5"/>
      <c r="U724" s="5"/>
    </row>
    <row r="725" ht="23.100000381469727" customHeight="1">
      <c r="A725" s="5" t="n">
        <v>6</v>
      </c>
      <c r="B725" s="5" t="n">
        <v>5</v>
      </c>
      <c r="C725" s="5" t="n">
        <f>DAY(DATE('Assumptions and Catalog'!$C$24+A725-1,B725+1,0))</f>
        <v>31</v>
      </c>
      <c r="D725" s="5" t="n">
        <f>IF(ISNUMBER(Inputs!$L$5),Inputs!$L$5*Inputs!$L$6,0)</f>
        <v>40.35</v>
      </c>
      <c r="E725" s="5" t="n">
        <f>IF(ISNUMBER(Inputs!$L$5),Inputs!$L$5-D725,0)</f>
        <v>40.35</v>
      </c>
      <c r="F725" s="5" t="n">
        <f>E$51*INDEX('Solar Production'!$D$20:$D$31,B725)*C725*(1-'Assumptions and Catalog'!$C$10)^(A725-1)</f>
        <v>1745.61724818791</v>
      </c>
      <c r="G725" s="5" t="n">
        <f>MIN(F725,D725*C725)</f>
        <v>1250.85</v>
      </c>
      <c r="H725" s="5" t="n">
        <f>I725/('Assumptions and Catalog'!$C$11*'Assumptions and Catalog'!$C$12)</f>
        <v>294.298069473018</v>
      </c>
      <c r="I725" s="5" t="n">
        <f>MIN(E725*C725,P725*'Assumptions and Catalog'!$C$12*C725,(F725-G725)*'Assumptions and Catalog'!$C$11*'Assumptions and Catalog'!$C$12,E$56*'Assumptions and Catalog'!$C$14*'Assumptions and Catalog'!$C$11*'Assumptions and Catalog'!$C$12*C725,E$57*(24-'Assumptions and Catalog'!$C$13)*C725)</f>
        <v>279.767102292787</v>
      </c>
      <c r="J725" s="5" t="n">
        <f>MAX(F725-G725-H725,0)</f>
        <v>200.469178714889</v>
      </c>
      <c r="K725" s="5" t="n">
        <f>H725-I725</f>
        <v>14.5309671802303</v>
      </c>
      <c r="L725" s="5" t="n">
        <f>(D725+E725)*C725-G725-I725+0+IF(E$52&gt;0,'Assumptions and Catalog'!$C$26*C725,0)</f>
        <v>971.082897707213</v>
      </c>
      <c r="M725" s="5" t="n">
        <f>IF(ISNUMBER(Inputs!$L$5),(IF(Inputs!$L$9="Actual flat rate",((D725+E725)*C725)*Inputs!$L$10,IF(Inputs!$C$9="Residential",IF(((D725+E725)*C725)&lt;='Assumptions and Catalog'!$C$50,((D725+E725)*C725)*'Assumptions and Catalog'!$H$50+'Assumptions and Catalog'!$E$50+'Assumptions and Catalog'!$F$50,IF(((D725+E725)*C725)&lt;='Assumptions and Catalog'!$C$51,((D725+E725)*C725)*'Assumptions and Catalog'!$H$51+'Assumptions and Catalog'!$E$51+'Assumptions and Catalog'!$F$51,IF(((D725+E725)*C725)&lt;='Assumptions and Catalog'!$C$52,((D725+E725)*C725)*'Assumptions and Catalog'!$H$52+'Assumptions and Catalog'!$E$52+'Assumptions and Catalog'!$F$52,IF(((D725+E725)*C725)&lt;='Assumptions and Catalog'!$C$53,((D725+E725)*C725)*'Assumptions and Catalog'!$H$53+'Assumptions and Catalog'!$E$53+'Assumptions and Catalog'!$F$53,IF(((D725+E725)*C725)&lt;='Assumptions and Catalog'!$C$54,((D725+E725)*C725)*'Assumptions and Catalog'!$H$54+'Assumptions and Catalog'!$E$54+'Assumptions and Catalog'!$F$54,IF(((D725+E725)*C725)&lt;='Assumptions and Catalog'!$C$55,((D725+E725)*C725)*'Assumptions and Catalog'!$H$55+'Assumptions and Catalog'!$E$55+'Assumptions and Catalog'!$F$55,IF(((D725+E725)*C725)&lt;='Assumptions and Catalog'!$C$56,((D725+E725)*C725)*'Assumptions and Catalog'!$H$56+'Assumptions and Catalog'!$E$56+'Assumptions and Catalog'!$F$56,IF(((D725+E725)*C725)&lt;='Assumptions and Catalog'!$C$57,((D725+E725)*C725)*'Assumptions and Catalog'!$H$57+'Assumptions and Catalog'!$E$57+'Assumptions and Catalog'!$F$57,"Out of range")))))))),IF(((D725+E725)*C725)&lt;='Assumptions and Catalog'!$C$60,((D725+E725)*C725)*'Assumptions and Catalog'!$H$60+'Assumptions and Catalog'!$E$60+'Assumptions and Catalog'!$F$60,IF(((D725+E725)*C725)&lt;='Assumptions and Catalog'!$C$61,((D725+E725)*C725)*'Assumptions and Catalog'!$H$61+'Assumptions and Catalog'!$E$61+'Assumptions and Catalog'!$F$61,IF(((D725+E725)*C725)&lt;='Assumptions and Catalog'!$C$62,((D725+E725)*C725)*'Assumptions and Catalog'!$H$62+'Assumptions and Catalog'!$E$62+'Assumptions and Catalog'!$F$62,IF(((D725+E725)*C725)&lt;='Assumptions and Catalog'!$C$63,((D725+E725)*C725)*'Assumptions and Catalog'!$H$63+'Assumptions and Catalog'!$E$63+'Assumptions and Catalog'!$F$63,IF(((D725+E725)*C725)&lt;='Assumptions and Catalog'!$C$64,((D725+E725)*C725)*'Assumptions and Catalog'!$H$64+'Assumptions and Catalog'!$E$64+'Assumptions and Catalog'!$F$64,IF(((D725+E725)*C725)&lt;='Assumptions and Catalog'!$C$65,((D725+E725)*C725)*'Assumptions and Catalog'!$H$65+'Assumptions and Catalog'!$E$65+'Assumptions and Catalog'!$F$65,"Out of range")))))))))*(1+'Assumptions and Catalog'!$C$8)^(A725-1),0)</f>
        <v>7094.794</v>
      </c>
      <c r="N725" s="5" t="n">
        <f>IF(ISNUMBER(Inputs!$L$5),(IF(Inputs!$L$9="Actual flat rate",L725*Inputs!$L$10,IF(Inputs!$C$9="Residential",IF(L725&lt;='Assumptions and Catalog'!$C$50,L725*'Assumptions and Catalog'!$H$50+'Assumptions and Catalog'!$E$50+'Assumptions and Catalog'!$F$50,IF(L725&lt;='Assumptions and Catalog'!$C$51,L725*'Assumptions and Catalog'!$H$51+'Assumptions and Catalog'!$E$51+'Assumptions and Catalog'!$F$51,IF(L725&lt;='Assumptions and Catalog'!$C$52,L725*'Assumptions and Catalog'!$H$52+'Assumptions and Catalog'!$E$52+'Assumptions and Catalog'!$F$52,IF(L725&lt;='Assumptions and Catalog'!$C$53,L725*'Assumptions and Catalog'!$H$53+'Assumptions and Catalog'!$E$53+'Assumptions and Catalog'!$F$53,IF(L725&lt;='Assumptions and Catalog'!$C$54,L725*'Assumptions and Catalog'!$H$54+'Assumptions and Catalog'!$E$54+'Assumptions and Catalog'!$F$54,IF(L725&lt;='Assumptions and Catalog'!$C$55,L725*'Assumptions and Catalog'!$H$55+'Assumptions and Catalog'!$E$55+'Assumptions and Catalog'!$F$55,IF(L725&lt;='Assumptions and Catalog'!$C$56,L725*'Assumptions and Catalog'!$H$56+'Assumptions and Catalog'!$E$56+'Assumptions and Catalog'!$F$56,IF(L725&lt;='Assumptions and Catalog'!$C$57,L725*'Assumptions and Catalog'!$H$57+'Assumptions and Catalog'!$E$57+'Assumptions and Catalog'!$F$57,"Out of range")))))))),IF(L725&lt;='Assumptions and Catalog'!$C$60,L725*'Assumptions and Catalog'!$H$60+'Assumptions and Catalog'!$E$60+'Assumptions and Catalog'!$F$60,IF(L725&lt;='Assumptions and Catalog'!$C$61,L725*'Assumptions and Catalog'!$H$61+'Assumptions and Catalog'!$E$61+'Assumptions and Catalog'!$F$61,IF(L725&lt;='Assumptions and Catalog'!$C$62,L725*'Assumptions and Catalog'!$H$62+'Assumptions and Catalog'!$E$62+'Assumptions and Catalog'!$F$62,IF(L725&lt;='Assumptions and Catalog'!$C$63,L725*'Assumptions and Catalog'!$H$63+'Assumptions and Catalog'!$E$63+'Assumptions and Catalog'!$F$63,IF(L725&lt;='Assumptions and Catalog'!$C$64,L725*'Assumptions and Catalog'!$H$64+'Assumptions and Catalog'!$E$64+'Assumptions and Catalog'!$F$64,IF(L725&lt;='Assumptions and Catalog'!$C$65,L725*'Assumptions and Catalog'!$H$65+'Assumptions and Catalog'!$E$65+'Assumptions and Catalog'!$F$65,"Out of range")))))))))*(1+'Assumptions and Catalog'!$C$8)^(A725-1),0)</f>
        <v>2654.89962664898</v>
      </c>
      <c r="O725" s="5" t="n">
        <f>M725-N725</f>
        <v>4439.89437335102</v>
      </c>
      <c r="P725" s="5" t="n">
        <f>E$55*(1-L$14)*(1-'Assumptions and Catalog'!$C$23)^R725</f>
        <v>9.256148959232</v>
      </c>
      <c r="Q725" s="5" t="n">
        <f>IF(ISNUMBER(Inputs!$L$5),(IF(Inputs!$L$9="Actual flat rate",((D725+E725)*C725-G725)*Inputs!$L$10,IF(Inputs!$C$9="Residential",IF(((D725+E725)*C725-G725)&lt;='Assumptions and Catalog'!$C$50,((D725+E725)*C725-G725)*'Assumptions and Catalog'!$H$50+'Assumptions and Catalog'!$E$50+'Assumptions and Catalog'!$F$50,IF(((D725+E725)*C725-G725)&lt;='Assumptions and Catalog'!$C$51,((D725+E725)*C725-G725)*'Assumptions and Catalog'!$H$51+'Assumptions and Catalog'!$E$51+'Assumptions and Catalog'!$F$51,IF(((D725+E725)*C725-G725)&lt;='Assumptions and Catalog'!$C$52,((D725+E725)*C725-G725)*'Assumptions and Catalog'!$H$52+'Assumptions and Catalog'!$E$52+'Assumptions and Catalog'!$F$52,IF(((D725+E725)*C725-G725)&lt;='Assumptions and Catalog'!$C$53,((D725+E725)*C725-G725)*'Assumptions and Catalog'!$H$53+'Assumptions and Catalog'!$E$53+'Assumptions and Catalog'!$F$53,IF(((D725+E725)*C725-G725)&lt;='Assumptions and Catalog'!$C$54,((D725+E725)*C725-G725)*'Assumptions and Catalog'!$H$54+'Assumptions and Catalog'!$E$54+'Assumptions and Catalog'!$F$54,IF(((D725+E725)*C725-G725)&lt;='Assumptions and Catalog'!$C$55,((D725+E725)*C725-G725)*'Assumptions and Catalog'!$H$55+'Assumptions and Catalog'!$E$55+'Assumptions and Catalog'!$F$55,IF(((D725+E725)*C725-G725)&lt;='Assumptions and Catalog'!$C$56,((D725+E725)*C725-G725)*'Assumptions and Catalog'!$H$56+'Assumptions and Catalog'!$E$56+'Assumptions and Catalog'!$F$56,IF(((D725+E725)*C725-G725)&lt;='Assumptions and Catalog'!$C$57,((D725+E725)*C725-G725)*'Assumptions and Catalog'!$H$57+'Assumptions and Catalog'!$E$57+'Assumptions and Catalog'!$F$57,"Out of range")))))))),IF(((D725+E725)*C725-G725)&lt;='Assumptions and Catalog'!$C$60,((D725+E725)*C725-G725)*'Assumptions and Catalog'!$H$60+'Assumptions and Catalog'!$E$60+'Assumptions and Catalog'!$F$60,IF(((D725+E725)*C725-G725)&lt;='Assumptions and Catalog'!$C$61,((D725+E725)*C725-G725)*'Assumptions and Catalog'!$H$61+'Assumptions and Catalog'!$E$61+'Assumptions and Catalog'!$F$61,IF(((D725+E725)*C725-G725)&lt;='Assumptions and Catalog'!$C$62,((D725+E725)*C725-G725)*'Assumptions and Catalog'!$H$62+'Assumptions and Catalog'!$E$62+'Assumptions and Catalog'!$F$62,IF(((D725+E725)*C725-G725)&lt;='Assumptions and Catalog'!$C$63,((D725+E725)*C725-G725)*'Assumptions and Catalog'!$H$63+'Assumptions and Catalog'!$E$63+'Assumptions and Catalog'!$F$63,IF(((D725+E725)*C725-G725)&lt;='Assumptions and Catalog'!$C$64,((D725+E725)*C725-G725)*'Assumptions and Catalog'!$H$64+'Assumptions and Catalog'!$E$64+'Assumptions and Catalog'!$F$64,IF(((D725+E725)*C725-G725)&lt;='Assumptions and Catalog'!$C$65,((D725+E725)*C725-G725)*'Assumptions and Catalog'!$H$65+'Assumptions and Catalog'!$E$65+'Assumptions and Catalog'!$F$65,"Out of range")))))))))*(1+'Assumptions and Catalog'!$C$8)^(A725-1),0)</f>
        <v>3567.397</v>
      </c>
      <c r="R725" s="5" t="n">
        <f>IF(AND('Assumptions and Catalog'!$C$19&gt;0,A725&gt;='Assumptions and Catalog'!$C$19),A725-'Assumptions and Catalog'!$C$19,A725-1)</f>
        <v>5</v>
      </c>
      <c r="S725" s="5" t="n">
        <f>F725+L725-(D725+E725)*C725-J725-K725-IF(E$52&gt;0,'Assumptions and Catalog'!$C$26*C725,0)</f>
        <v>-5.6843418860808E-014</v>
      </c>
      <c r="T725" s="5"/>
      <c r="U725" s="5"/>
    </row>
    <row r="726" ht="23.100000381469727" customHeight="1">
      <c r="A726" s="5" t="n">
        <v>6</v>
      </c>
      <c r="B726" s="5" t="n">
        <v>6</v>
      </c>
      <c r="C726" s="5" t="n">
        <f>DAY(DATE('Assumptions and Catalog'!$C$24+A726-1,B726+1,0))</f>
        <v>30</v>
      </c>
      <c r="D726" s="5" t="n">
        <f>IF(ISNUMBER(Inputs!$L$5),Inputs!$L$5*Inputs!$L$6,0)</f>
        <v>40.35</v>
      </c>
      <c r="E726" s="5" t="n">
        <f>IF(ISNUMBER(Inputs!$L$5),Inputs!$L$5-D726,0)</f>
        <v>40.35</v>
      </c>
      <c r="F726" s="5" t="n">
        <f>E$51*INDEX('Solar Production'!$D$20:$D$31,B726)*C726*(1-'Assumptions and Catalog'!$C$10)^(A726-1)</f>
        <v>1701.63352942211</v>
      </c>
      <c r="G726" s="5" t="n">
        <f>MIN(F726,D726*C726)</f>
        <v>1210.5</v>
      </c>
      <c r="H726" s="5" t="n">
        <f>I726/('Assumptions and Catalog'!$C$11*'Assumptions and Catalog'!$C$12)</f>
        <v>284.804583360985</v>
      </c>
      <c r="I726" s="5" t="n">
        <f>MIN(E726*C726,P726*'Assumptions and Catalog'!$C$12*C726,(F726-G726)*'Assumptions and Catalog'!$C$11*'Assumptions and Catalog'!$C$12,E$56*'Assumptions and Catalog'!$C$14*'Assumptions and Catalog'!$C$11*'Assumptions and Catalog'!$C$12*C726,E$57*(24-'Assumptions and Catalog'!$C$13)*C726)</f>
        <v>270.742357057536</v>
      </c>
      <c r="J726" s="5" t="n">
        <f>MAX(F726-G726-H726,0)</f>
        <v>206.328946061125</v>
      </c>
      <c r="K726" s="5" t="n">
        <f>H726-I726</f>
        <v>14.0622263034487</v>
      </c>
      <c r="L726" s="5" t="n">
        <f>(D726+E726)*C726-G726-I726+0+IF(E$52&gt;0,'Assumptions and Catalog'!$C$26*C726,0)</f>
        <v>939.757642942464</v>
      </c>
      <c r="M726" s="5" t="n">
        <f>IF(ISNUMBER(Inputs!$L$5),(IF(Inputs!$L$9="Actual flat rate",((D726+E726)*C726)*Inputs!$L$10,IF(Inputs!$C$9="Residential",IF(((D726+E726)*C726)&lt;='Assumptions and Catalog'!$C$50,((D726+E726)*C726)*'Assumptions and Catalog'!$H$50+'Assumptions and Catalog'!$E$50+'Assumptions and Catalog'!$F$50,IF(((D726+E726)*C726)&lt;='Assumptions and Catalog'!$C$51,((D726+E726)*C726)*'Assumptions and Catalog'!$H$51+'Assumptions and Catalog'!$E$51+'Assumptions and Catalog'!$F$51,IF(((D726+E726)*C726)&lt;='Assumptions and Catalog'!$C$52,((D726+E726)*C726)*'Assumptions and Catalog'!$H$52+'Assumptions and Catalog'!$E$52+'Assumptions and Catalog'!$F$52,IF(((D726+E726)*C726)&lt;='Assumptions and Catalog'!$C$53,((D726+E726)*C726)*'Assumptions and Catalog'!$H$53+'Assumptions and Catalog'!$E$53+'Assumptions and Catalog'!$F$53,IF(((D726+E726)*C726)&lt;='Assumptions and Catalog'!$C$54,((D726+E726)*C726)*'Assumptions and Catalog'!$H$54+'Assumptions and Catalog'!$E$54+'Assumptions and Catalog'!$F$54,IF(((D726+E726)*C726)&lt;='Assumptions and Catalog'!$C$55,((D726+E726)*C726)*'Assumptions and Catalog'!$H$55+'Assumptions and Catalog'!$E$55+'Assumptions and Catalog'!$F$55,IF(((D726+E726)*C726)&lt;='Assumptions and Catalog'!$C$56,((D726+E726)*C726)*'Assumptions and Catalog'!$H$56+'Assumptions and Catalog'!$E$56+'Assumptions and Catalog'!$F$56,IF(((D726+E726)*C726)&lt;='Assumptions and Catalog'!$C$57,((D726+E726)*C726)*'Assumptions and Catalog'!$H$57+'Assumptions and Catalog'!$E$57+'Assumptions and Catalog'!$F$57,"Out of range")))))))),IF(((D726+E726)*C726)&lt;='Assumptions and Catalog'!$C$60,((D726+E726)*C726)*'Assumptions and Catalog'!$H$60+'Assumptions and Catalog'!$E$60+'Assumptions and Catalog'!$F$60,IF(((D726+E726)*C726)&lt;='Assumptions and Catalog'!$C$61,((D726+E726)*C726)*'Assumptions and Catalog'!$H$61+'Assumptions and Catalog'!$E$61+'Assumptions and Catalog'!$F$61,IF(((D726+E726)*C726)&lt;='Assumptions and Catalog'!$C$62,((D726+E726)*C726)*'Assumptions and Catalog'!$H$62+'Assumptions and Catalog'!$E$62+'Assumptions and Catalog'!$F$62,IF(((D726+E726)*C726)&lt;='Assumptions and Catalog'!$C$63,((D726+E726)*C726)*'Assumptions and Catalog'!$H$63+'Assumptions and Catalog'!$E$63+'Assumptions and Catalog'!$F$63,IF(((D726+E726)*C726)&lt;='Assumptions and Catalog'!$C$64,((D726+E726)*C726)*'Assumptions and Catalog'!$H$64+'Assumptions and Catalog'!$E$64+'Assumptions and Catalog'!$F$64,IF(((D726+E726)*C726)&lt;='Assumptions and Catalog'!$C$65,((D726+E726)*C726)*'Assumptions and Catalog'!$H$65+'Assumptions and Catalog'!$E$65+'Assumptions and Catalog'!$F$65,"Out of range")))))))))*(1+'Assumptions and Catalog'!$C$8)^(A726-1),0)</f>
        <v>6867.22</v>
      </c>
      <c r="N726" s="5" t="n">
        <f>IF(ISNUMBER(Inputs!$L$5),(IF(Inputs!$L$9="Actual flat rate",L726*Inputs!$L$10,IF(Inputs!$C$9="Residential",IF(L726&lt;='Assumptions and Catalog'!$C$50,L726*'Assumptions and Catalog'!$H$50+'Assumptions and Catalog'!$E$50+'Assumptions and Catalog'!$F$50,IF(L726&lt;='Assumptions and Catalog'!$C$51,L726*'Assumptions and Catalog'!$H$51+'Assumptions and Catalog'!$E$51+'Assumptions and Catalog'!$F$51,IF(L726&lt;='Assumptions and Catalog'!$C$52,L726*'Assumptions and Catalog'!$H$52+'Assumptions and Catalog'!$E$52+'Assumptions and Catalog'!$F$52,IF(L726&lt;='Assumptions and Catalog'!$C$53,L726*'Assumptions and Catalog'!$H$53+'Assumptions and Catalog'!$E$53+'Assumptions and Catalog'!$F$53,IF(L726&lt;='Assumptions and Catalog'!$C$54,L726*'Assumptions and Catalog'!$H$54+'Assumptions and Catalog'!$E$54+'Assumptions and Catalog'!$F$54,IF(L726&lt;='Assumptions and Catalog'!$C$55,L726*'Assumptions and Catalog'!$H$55+'Assumptions and Catalog'!$E$55+'Assumptions and Catalog'!$F$55,IF(L726&lt;='Assumptions and Catalog'!$C$56,L726*'Assumptions and Catalog'!$H$56+'Assumptions and Catalog'!$E$56+'Assumptions and Catalog'!$F$56,IF(L726&lt;='Assumptions and Catalog'!$C$57,L726*'Assumptions and Catalog'!$H$57+'Assumptions and Catalog'!$E$57+'Assumptions and Catalog'!$F$57,"Out of range")))))))),IF(L726&lt;='Assumptions and Catalog'!$C$60,L726*'Assumptions and Catalog'!$H$60+'Assumptions and Catalog'!$E$60+'Assumptions and Catalog'!$F$60,IF(L726&lt;='Assumptions and Catalog'!$C$61,L726*'Assumptions and Catalog'!$H$61+'Assumptions and Catalog'!$E$61+'Assumptions and Catalog'!$F$61,IF(L726&lt;='Assumptions and Catalog'!$C$62,L726*'Assumptions and Catalog'!$H$62+'Assumptions and Catalog'!$E$62+'Assumptions and Catalog'!$F$62,IF(L726&lt;='Assumptions and Catalog'!$C$63,L726*'Assumptions and Catalog'!$H$63+'Assumptions and Catalog'!$E$63+'Assumptions and Catalog'!$F$63,IF(L726&lt;='Assumptions and Catalog'!$C$64,L726*'Assumptions and Catalog'!$H$64+'Assumptions and Catalog'!$E$64+'Assumptions and Catalog'!$F$64,IF(L726&lt;='Assumptions and Catalog'!$C$65,L726*'Assumptions and Catalog'!$H$65+'Assumptions and Catalog'!$E$65+'Assumptions and Catalog'!$F$65,"Out of range")))))))))*(1+'Assumptions and Catalog'!$C$8)^(A726-1),0)</f>
        <v>2568.12867095063</v>
      </c>
      <c r="O726" s="5" t="n">
        <f>M726-N726</f>
        <v>4299.09132904937</v>
      </c>
      <c r="P726" s="5" t="n">
        <f>E$55*(1-L$14)*(1-'Assumptions and Catalog'!$C$23)^R726</f>
        <v>9.256148959232</v>
      </c>
      <c r="Q726" s="5" t="n">
        <f>IF(ISNUMBER(Inputs!$L$5),(IF(Inputs!$L$9="Actual flat rate",((D726+E726)*C726-G726)*Inputs!$L$10,IF(Inputs!$C$9="Residential",IF(((D726+E726)*C726-G726)&lt;='Assumptions and Catalog'!$C$50,((D726+E726)*C726-G726)*'Assumptions and Catalog'!$H$50+'Assumptions and Catalog'!$E$50+'Assumptions and Catalog'!$F$50,IF(((D726+E726)*C726-G726)&lt;='Assumptions and Catalog'!$C$51,((D726+E726)*C726-G726)*'Assumptions and Catalog'!$H$51+'Assumptions and Catalog'!$E$51+'Assumptions and Catalog'!$F$51,IF(((D726+E726)*C726-G726)&lt;='Assumptions and Catalog'!$C$52,((D726+E726)*C726-G726)*'Assumptions and Catalog'!$H$52+'Assumptions and Catalog'!$E$52+'Assumptions and Catalog'!$F$52,IF(((D726+E726)*C726-G726)&lt;='Assumptions and Catalog'!$C$53,((D726+E726)*C726-G726)*'Assumptions and Catalog'!$H$53+'Assumptions and Catalog'!$E$53+'Assumptions and Catalog'!$F$53,IF(((D726+E726)*C726-G726)&lt;='Assumptions and Catalog'!$C$54,((D726+E726)*C726-G726)*'Assumptions and Catalog'!$H$54+'Assumptions and Catalog'!$E$54+'Assumptions and Catalog'!$F$54,IF(((D726+E726)*C726-G726)&lt;='Assumptions and Catalog'!$C$55,((D726+E726)*C726-G726)*'Assumptions and Catalog'!$H$55+'Assumptions and Catalog'!$E$55+'Assumptions and Catalog'!$F$55,IF(((D726+E726)*C726-G726)&lt;='Assumptions and Catalog'!$C$56,((D726+E726)*C726-G726)*'Assumptions and Catalog'!$H$56+'Assumptions and Catalog'!$E$56+'Assumptions and Catalog'!$F$56,IF(((D726+E726)*C726-G726)&lt;='Assumptions and Catalog'!$C$57,((D726+E726)*C726-G726)*'Assumptions and Catalog'!$H$57+'Assumptions and Catalog'!$E$57+'Assumptions and Catalog'!$F$57,"Out of range")))))))),IF(((D726+E726)*C726-G726)&lt;='Assumptions and Catalog'!$C$60,((D726+E726)*C726-G726)*'Assumptions and Catalog'!$H$60+'Assumptions and Catalog'!$E$60+'Assumptions and Catalog'!$F$60,IF(((D726+E726)*C726-G726)&lt;='Assumptions and Catalog'!$C$61,((D726+E726)*C726-G726)*'Assumptions and Catalog'!$H$61+'Assumptions and Catalog'!$E$61+'Assumptions and Catalog'!$F$61,IF(((D726+E726)*C726-G726)&lt;='Assumptions and Catalog'!$C$62,((D726+E726)*C726-G726)*'Assumptions and Catalog'!$H$62+'Assumptions and Catalog'!$E$62+'Assumptions and Catalog'!$F$62,IF(((D726+E726)*C726-G726)&lt;='Assumptions and Catalog'!$C$63,((D726+E726)*C726-G726)*'Assumptions and Catalog'!$H$63+'Assumptions and Catalog'!$E$63+'Assumptions and Catalog'!$F$63,IF(((D726+E726)*C726-G726)&lt;='Assumptions and Catalog'!$C$64,((D726+E726)*C726-G726)*'Assumptions and Catalog'!$H$64+'Assumptions and Catalog'!$E$64+'Assumptions and Catalog'!$F$64,IF(((D726+E726)*C726-G726)&lt;='Assumptions and Catalog'!$C$65,((D726+E726)*C726-G726)*'Assumptions and Catalog'!$H$65+'Assumptions and Catalog'!$E$65+'Assumptions and Catalog'!$F$65,"Out of range")))))))))*(1+'Assumptions and Catalog'!$C$8)^(A726-1),0)</f>
        <v>3453.61</v>
      </c>
      <c r="R726" s="5" t="n">
        <f>IF(AND('Assumptions and Catalog'!$C$19&gt;0,A726&gt;='Assumptions and Catalog'!$C$19),A726-'Assumptions and Catalog'!$C$19,A726-1)</f>
        <v>5</v>
      </c>
      <c r="S726" s="5" t="n">
        <f>F726+L726-(D726+E726)*C726-J726-K726-IF(E$52&gt;0,'Assumptions and Catalog'!$C$26*C726,0)</f>
        <v>1.70530256582424E-013</v>
      </c>
      <c r="T726" s="5"/>
      <c r="U726" s="5"/>
    </row>
    <row r="727" ht="23.100000381469727" customHeight="1">
      <c r="A727" s="5" t="n">
        <v>6</v>
      </c>
      <c r="B727" s="5" t="n">
        <v>7</v>
      </c>
      <c r="C727" s="5" t="n">
        <f>DAY(DATE('Assumptions and Catalog'!$C$24+A727-1,B727+1,0))</f>
        <v>31</v>
      </c>
      <c r="D727" s="5" t="n">
        <f>IF(ISNUMBER(Inputs!$L$5),Inputs!$L$5*Inputs!$L$6,0)</f>
        <v>40.35</v>
      </c>
      <c r="E727" s="5" t="n">
        <f>IF(ISNUMBER(Inputs!$L$5),Inputs!$L$5-D727,0)</f>
        <v>40.35</v>
      </c>
      <c r="F727" s="5" t="n">
        <f>E$51*INDEX('Solar Production'!$D$20:$D$31,B727)*C727*(1-'Assumptions and Catalog'!$C$10)^(A727-1)</f>
        <v>1766.42905657953</v>
      </c>
      <c r="G727" s="5" t="n">
        <f>MIN(F727,D727*C727)</f>
        <v>1250.85</v>
      </c>
      <c r="H727" s="5" t="n">
        <f>I727/('Assumptions and Catalog'!$C$11*'Assumptions and Catalog'!$C$12)</f>
        <v>294.298069473018</v>
      </c>
      <c r="I727" s="5" t="n">
        <f>MIN(E727*C727,P727*'Assumptions and Catalog'!$C$12*C727,(F727-G727)*'Assumptions and Catalog'!$C$11*'Assumptions and Catalog'!$C$12,E$56*'Assumptions and Catalog'!$C$14*'Assumptions and Catalog'!$C$11*'Assumptions and Catalog'!$C$12*C727,E$57*(24-'Assumptions and Catalog'!$C$13)*C727)</f>
        <v>279.767102292787</v>
      </c>
      <c r="J727" s="5" t="n">
        <f>MAX(F727-G727-H727,0)</f>
        <v>221.28098710651</v>
      </c>
      <c r="K727" s="5" t="n">
        <f>H727-I727</f>
        <v>14.5309671802303</v>
      </c>
      <c r="L727" s="5" t="n">
        <f>(D727+E727)*C727-G727-I727+0+IF(E$52&gt;0,'Assumptions and Catalog'!$C$26*C727,0)</f>
        <v>971.082897707213</v>
      </c>
      <c r="M727" s="5" t="n">
        <f>IF(ISNUMBER(Inputs!$L$5),(IF(Inputs!$L$9="Actual flat rate",((D727+E727)*C727)*Inputs!$L$10,IF(Inputs!$C$9="Residential",IF(((D727+E727)*C727)&lt;='Assumptions and Catalog'!$C$50,((D727+E727)*C727)*'Assumptions and Catalog'!$H$50+'Assumptions and Catalog'!$E$50+'Assumptions and Catalog'!$F$50,IF(((D727+E727)*C727)&lt;='Assumptions and Catalog'!$C$51,((D727+E727)*C727)*'Assumptions and Catalog'!$H$51+'Assumptions and Catalog'!$E$51+'Assumptions and Catalog'!$F$51,IF(((D727+E727)*C727)&lt;='Assumptions and Catalog'!$C$52,((D727+E727)*C727)*'Assumptions and Catalog'!$H$52+'Assumptions and Catalog'!$E$52+'Assumptions and Catalog'!$F$52,IF(((D727+E727)*C727)&lt;='Assumptions and Catalog'!$C$53,((D727+E727)*C727)*'Assumptions and Catalog'!$H$53+'Assumptions and Catalog'!$E$53+'Assumptions and Catalog'!$F$53,IF(((D727+E727)*C727)&lt;='Assumptions and Catalog'!$C$54,((D727+E727)*C727)*'Assumptions and Catalog'!$H$54+'Assumptions and Catalog'!$E$54+'Assumptions and Catalog'!$F$54,IF(((D727+E727)*C727)&lt;='Assumptions and Catalog'!$C$55,((D727+E727)*C727)*'Assumptions and Catalog'!$H$55+'Assumptions and Catalog'!$E$55+'Assumptions and Catalog'!$F$55,IF(((D727+E727)*C727)&lt;='Assumptions and Catalog'!$C$56,((D727+E727)*C727)*'Assumptions and Catalog'!$H$56+'Assumptions and Catalog'!$E$56+'Assumptions and Catalog'!$F$56,IF(((D727+E727)*C727)&lt;='Assumptions and Catalog'!$C$57,((D727+E727)*C727)*'Assumptions and Catalog'!$H$57+'Assumptions and Catalog'!$E$57+'Assumptions and Catalog'!$F$57,"Out of range")))))))),IF(((D727+E727)*C727)&lt;='Assumptions and Catalog'!$C$60,((D727+E727)*C727)*'Assumptions and Catalog'!$H$60+'Assumptions and Catalog'!$E$60+'Assumptions and Catalog'!$F$60,IF(((D727+E727)*C727)&lt;='Assumptions and Catalog'!$C$61,((D727+E727)*C727)*'Assumptions and Catalog'!$H$61+'Assumptions and Catalog'!$E$61+'Assumptions and Catalog'!$F$61,IF(((D727+E727)*C727)&lt;='Assumptions and Catalog'!$C$62,((D727+E727)*C727)*'Assumptions and Catalog'!$H$62+'Assumptions and Catalog'!$E$62+'Assumptions and Catalog'!$F$62,IF(((D727+E727)*C727)&lt;='Assumptions and Catalog'!$C$63,((D727+E727)*C727)*'Assumptions and Catalog'!$H$63+'Assumptions and Catalog'!$E$63+'Assumptions and Catalog'!$F$63,IF(((D727+E727)*C727)&lt;='Assumptions and Catalog'!$C$64,((D727+E727)*C727)*'Assumptions and Catalog'!$H$64+'Assumptions and Catalog'!$E$64+'Assumptions and Catalog'!$F$64,IF(((D727+E727)*C727)&lt;='Assumptions and Catalog'!$C$65,((D727+E727)*C727)*'Assumptions and Catalog'!$H$65+'Assumptions and Catalog'!$E$65+'Assumptions and Catalog'!$F$65,"Out of range")))))))))*(1+'Assumptions and Catalog'!$C$8)^(A727-1),0)</f>
        <v>7094.794</v>
      </c>
      <c r="N727" s="5" t="n">
        <f>IF(ISNUMBER(Inputs!$L$5),(IF(Inputs!$L$9="Actual flat rate",L727*Inputs!$L$10,IF(Inputs!$C$9="Residential",IF(L727&lt;='Assumptions and Catalog'!$C$50,L727*'Assumptions and Catalog'!$H$50+'Assumptions and Catalog'!$E$50+'Assumptions and Catalog'!$F$50,IF(L727&lt;='Assumptions and Catalog'!$C$51,L727*'Assumptions and Catalog'!$H$51+'Assumptions and Catalog'!$E$51+'Assumptions and Catalog'!$F$51,IF(L727&lt;='Assumptions and Catalog'!$C$52,L727*'Assumptions and Catalog'!$H$52+'Assumptions and Catalog'!$E$52+'Assumptions and Catalog'!$F$52,IF(L727&lt;='Assumptions and Catalog'!$C$53,L727*'Assumptions and Catalog'!$H$53+'Assumptions and Catalog'!$E$53+'Assumptions and Catalog'!$F$53,IF(L727&lt;='Assumptions and Catalog'!$C$54,L727*'Assumptions and Catalog'!$H$54+'Assumptions and Catalog'!$E$54+'Assumptions and Catalog'!$F$54,IF(L727&lt;='Assumptions and Catalog'!$C$55,L727*'Assumptions and Catalog'!$H$55+'Assumptions and Catalog'!$E$55+'Assumptions and Catalog'!$F$55,IF(L727&lt;='Assumptions and Catalog'!$C$56,L727*'Assumptions and Catalog'!$H$56+'Assumptions and Catalog'!$E$56+'Assumptions and Catalog'!$F$56,IF(L727&lt;='Assumptions and Catalog'!$C$57,L727*'Assumptions and Catalog'!$H$57+'Assumptions and Catalog'!$E$57+'Assumptions and Catalog'!$F$57,"Out of range")))))))),IF(L727&lt;='Assumptions and Catalog'!$C$60,L727*'Assumptions and Catalog'!$H$60+'Assumptions and Catalog'!$E$60+'Assumptions and Catalog'!$F$60,IF(L727&lt;='Assumptions and Catalog'!$C$61,L727*'Assumptions and Catalog'!$H$61+'Assumptions and Catalog'!$E$61+'Assumptions and Catalog'!$F$61,IF(L727&lt;='Assumptions and Catalog'!$C$62,L727*'Assumptions and Catalog'!$H$62+'Assumptions and Catalog'!$E$62+'Assumptions and Catalog'!$F$62,IF(L727&lt;='Assumptions and Catalog'!$C$63,L727*'Assumptions and Catalog'!$H$63+'Assumptions and Catalog'!$E$63+'Assumptions and Catalog'!$F$63,IF(L727&lt;='Assumptions and Catalog'!$C$64,L727*'Assumptions and Catalog'!$H$64+'Assumptions and Catalog'!$E$64+'Assumptions and Catalog'!$F$64,IF(L727&lt;='Assumptions and Catalog'!$C$65,L727*'Assumptions and Catalog'!$H$65+'Assumptions and Catalog'!$E$65+'Assumptions and Catalog'!$F$65,"Out of range")))))))))*(1+'Assumptions and Catalog'!$C$8)^(A727-1),0)</f>
        <v>2654.89962664898</v>
      </c>
      <c r="O727" s="5" t="n">
        <f>M727-N727</f>
        <v>4439.89437335102</v>
      </c>
      <c r="P727" s="5" t="n">
        <f>E$55*(1-L$14)*(1-'Assumptions and Catalog'!$C$23)^R727</f>
        <v>9.256148959232</v>
      </c>
      <c r="Q727" s="5" t="n">
        <f>IF(ISNUMBER(Inputs!$L$5),(IF(Inputs!$L$9="Actual flat rate",((D727+E727)*C727-G727)*Inputs!$L$10,IF(Inputs!$C$9="Residential",IF(((D727+E727)*C727-G727)&lt;='Assumptions and Catalog'!$C$50,((D727+E727)*C727-G727)*'Assumptions and Catalog'!$H$50+'Assumptions and Catalog'!$E$50+'Assumptions and Catalog'!$F$50,IF(((D727+E727)*C727-G727)&lt;='Assumptions and Catalog'!$C$51,((D727+E727)*C727-G727)*'Assumptions and Catalog'!$H$51+'Assumptions and Catalog'!$E$51+'Assumptions and Catalog'!$F$51,IF(((D727+E727)*C727-G727)&lt;='Assumptions and Catalog'!$C$52,((D727+E727)*C727-G727)*'Assumptions and Catalog'!$H$52+'Assumptions and Catalog'!$E$52+'Assumptions and Catalog'!$F$52,IF(((D727+E727)*C727-G727)&lt;='Assumptions and Catalog'!$C$53,((D727+E727)*C727-G727)*'Assumptions and Catalog'!$H$53+'Assumptions and Catalog'!$E$53+'Assumptions and Catalog'!$F$53,IF(((D727+E727)*C727-G727)&lt;='Assumptions and Catalog'!$C$54,((D727+E727)*C727-G727)*'Assumptions and Catalog'!$H$54+'Assumptions and Catalog'!$E$54+'Assumptions and Catalog'!$F$54,IF(((D727+E727)*C727-G727)&lt;='Assumptions and Catalog'!$C$55,((D727+E727)*C727-G727)*'Assumptions and Catalog'!$H$55+'Assumptions and Catalog'!$E$55+'Assumptions and Catalog'!$F$55,IF(((D727+E727)*C727-G727)&lt;='Assumptions and Catalog'!$C$56,((D727+E727)*C727-G727)*'Assumptions and Catalog'!$H$56+'Assumptions and Catalog'!$E$56+'Assumptions and Catalog'!$F$56,IF(((D727+E727)*C727-G727)&lt;='Assumptions and Catalog'!$C$57,((D727+E727)*C727-G727)*'Assumptions and Catalog'!$H$57+'Assumptions and Catalog'!$E$57+'Assumptions and Catalog'!$F$57,"Out of range")))))))),IF(((D727+E727)*C727-G727)&lt;='Assumptions and Catalog'!$C$60,((D727+E727)*C727-G727)*'Assumptions and Catalog'!$H$60+'Assumptions and Catalog'!$E$60+'Assumptions and Catalog'!$F$60,IF(((D727+E727)*C727-G727)&lt;='Assumptions and Catalog'!$C$61,((D727+E727)*C727-G727)*'Assumptions and Catalog'!$H$61+'Assumptions and Catalog'!$E$61+'Assumptions and Catalog'!$F$61,IF(((D727+E727)*C727-G727)&lt;='Assumptions and Catalog'!$C$62,((D727+E727)*C727-G727)*'Assumptions and Catalog'!$H$62+'Assumptions and Catalog'!$E$62+'Assumptions and Catalog'!$F$62,IF(((D727+E727)*C727-G727)&lt;='Assumptions and Catalog'!$C$63,((D727+E727)*C727-G727)*'Assumptions and Catalog'!$H$63+'Assumptions and Catalog'!$E$63+'Assumptions and Catalog'!$F$63,IF(((D727+E727)*C727-G727)&lt;='Assumptions and Catalog'!$C$64,((D727+E727)*C727-G727)*'Assumptions and Catalog'!$H$64+'Assumptions and Catalog'!$E$64+'Assumptions and Catalog'!$F$64,IF(((D727+E727)*C727-G727)&lt;='Assumptions and Catalog'!$C$65,((D727+E727)*C727-G727)*'Assumptions and Catalog'!$H$65+'Assumptions and Catalog'!$E$65+'Assumptions and Catalog'!$F$65,"Out of range")))))))))*(1+'Assumptions and Catalog'!$C$8)^(A727-1),0)</f>
        <v>3567.397</v>
      </c>
      <c r="R727" s="5" t="n">
        <f>IF(AND('Assumptions and Catalog'!$C$19&gt;0,A727&gt;='Assumptions and Catalog'!$C$19),A727-'Assumptions and Catalog'!$C$19,A727-1)</f>
        <v>5</v>
      </c>
      <c r="S727" s="5" t="n">
        <f>F727+L727-(D727+E727)*C727-J727-K727-IF(E$52&gt;0,'Assumptions and Catalog'!$C$26*C727,0)</f>
        <v>-5.6843418860808E-014</v>
      </c>
      <c r="T727" s="5"/>
      <c r="U727" s="5"/>
    </row>
    <row r="728" ht="23.100000381469727" customHeight="1">
      <c r="A728" s="5" t="n">
        <v>6</v>
      </c>
      <c r="B728" s="5" t="n">
        <v>8</v>
      </c>
      <c r="C728" s="5" t="n">
        <f>DAY(DATE('Assumptions and Catalog'!$C$24+A728-1,B728+1,0))</f>
        <v>31</v>
      </c>
      <c r="D728" s="5" t="n">
        <f>IF(ISNUMBER(Inputs!$L$5),Inputs!$L$5*Inputs!$L$6,0)</f>
        <v>40.35</v>
      </c>
      <c r="E728" s="5" t="n">
        <f>IF(ISNUMBER(Inputs!$L$5),Inputs!$L$5-D728,0)</f>
        <v>40.35</v>
      </c>
      <c r="F728" s="5" t="n">
        <f>E$51*INDEX('Solar Production'!$D$20:$D$31,B728)*C728*(1-'Assumptions and Catalog'!$C$10)^(A728-1)</f>
        <v>1789.38641222802</v>
      </c>
      <c r="G728" s="5" t="n">
        <f>MIN(F728,D728*C728)</f>
        <v>1250.85</v>
      </c>
      <c r="H728" s="5" t="n">
        <f>I728/('Assumptions and Catalog'!$C$11*'Assumptions and Catalog'!$C$12)</f>
        <v>294.298069473018</v>
      </c>
      <c r="I728" s="5" t="n">
        <f>MIN(E728*C728,P728*'Assumptions and Catalog'!$C$12*C728,(F728-G728)*'Assumptions and Catalog'!$C$11*'Assumptions and Catalog'!$C$12,E$56*'Assumptions and Catalog'!$C$14*'Assumptions and Catalog'!$C$11*'Assumptions and Catalog'!$C$12*C728,E$57*(24-'Assumptions and Catalog'!$C$13)*C728)</f>
        <v>279.767102292787</v>
      </c>
      <c r="J728" s="5" t="n">
        <f>MAX(F728-G728-H728,0)</f>
        <v>244.238342754998</v>
      </c>
      <c r="K728" s="5" t="n">
        <f>H728-I728</f>
        <v>14.5309671802303</v>
      </c>
      <c r="L728" s="5" t="n">
        <f>(D728+E728)*C728-G728-I728+0+IF(E$52&gt;0,'Assumptions and Catalog'!$C$26*C728,0)</f>
        <v>971.082897707213</v>
      </c>
      <c r="M728" s="5" t="n">
        <f>IF(ISNUMBER(Inputs!$L$5),(IF(Inputs!$L$9="Actual flat rate",((D728+E728)*C728)*Inputs!$L$10,IF(Inputs!$C$9="Residential",IF(((D728+E728)*C728)&lt;='Assumptions and Catalog'!$C$50,((D728+E728)*C728)*'Assumptions and Catalog'!$H$50+'Assumptions and Catalog'!$E$50+'Assumptions and Catalog'!$F$50,IF(((D728+E728)*C728)&lt;='Assumptions and Catalog'!$C$51,((D728+E728)*C728)*'Assumptions and Catalog'!$H$51+'Assumptions and Catalog'!$E$51+'Assumptions and Catalog'!$F$51,IF(((D728+E728)*C728)&lt;='Assumptions and Catalog'!$C$52,((D728+E728)*C728)*'Assumptions and Catalog'!$H$52+'Assumptions and Catalog'!$E$52+'Assumptions and Catalog'!$F$52,IF(((D728+E728)*C728)&lt;='Assumptions and Catalog'!$C$53,((D728+E728)*C728)*'Assumptions and Catalog'!$H$53+'Assumptions and Catalog'!$E$53+'Assumptions and Catalog'!$F$53,IF(((D728+E728)*C728)&lt;='Assumptions and Catalog'!$C$54,((D728+E728)*C728)*'Assumptions and Catalog'!$H$54+'Assumptions and Catalog'!$E$54+'Assumptions and Catalog'!$F$54,IF(((D728+E728)*C728)&lt;='Assumptions and Catalog'!$C$55,((D728+E728)*C728)*'Assumptions and Catalog'!$H$55+'Assumptions and Catalog'!$E$55+'Assumptions and Catalog'!$F$55,IF(((D728+E728)*C728)&lt;='Assumptions and Catalog'!$C$56,((D728+E728)*C728)*'Assumptions and Catalog'!$H$56+'Assumptions and Catalog'!$E$56+'Assumptions and Catalog'!$F$56,IF(((D728+E728)*C728)&lt;='Assumptions and Catalog'!$C$57,((D728+E728)*C728)*'Assumptions and Catalog'!$H$57+'Assumptions and Catalog'!$E$57+'Assumptions and Catalog'!$F$57,"Out of range")))))))),IF(((D728+E728)*C728)&lt;='Assumptions and Catalog'!$C$60,((D728+E728)*C728)*'Assumptions and Catalog'!$H$60+'Assumptions and Catalog'!$E$60+'Assumptions and Catalog'!$F$60,IF(((D728+E728)*C728)&lt;='Assumptions and Catalog'!$C$61,((D728+E728)*C728)*'Assumptions and Catalog'!$H$61+'Assumptions and Catalog'!$E$61+'Assumptions and Catalog'!$F$61,IF(((D728+E728)*C728)&lt;='Assumptions and Catalog'!$C$62,((D728+E728)*C728)*'Assumptions and Catalog'!$H$62+'Assumptions and Catalog'!$E$62+'Assumptions and Catalog'!$F$62,IF(((D728+E728)*C728)&lt;='Assumptions and Catalog'!$C$63,((D728+E728)*C728)*'Assumptions and Catalog'!$H$63+'Assumptions and Catalog'!$E$63+'Assumptions and Catalog'!$F$63,IF(((D728+E728)*C728)&lt;='Assumptions and Catalog'!$C$64,((D728+E728)*C728)*'Assumptions and Catalog'!$H$64+'Assumptions and Catalog'!$E$64+'Assumptions and Catalog'!$F$64,IF(((D728+E728)*C728)&lt;='Assumptions and Catalog'!$C$65,((D728+E728)*C728)*'Assumptions and Catalog'!$H$65+'Assumptions and Catalog'!$E$65+'Assumptions and Catalog'!$F$65,"Out of range")))))))))*(1+'Assumptions and Catalog'!$C$8)^(A728-1),0)</f>
        <v>7094.794</v>
      </c>
      <c r="N728" s="5" t="n">
        <f>IF(ISNUMBER(Inputs!$L$5),(IF(Inputs!$L$9="Actual flat rate",L728*Inputs!$L$10,IF(Inputs!$C$9="Residential",IF(L728&lt;='Assumptions and Catalog'!$C$50,L728*'Assumptions and Catalog'!$H$50+'Assumptions and Catalog'!$E$50+'Assumptions and Catalog'!$F$50,IF(L728&lt;='Assumptions and Catalog'!$C$51,L728*'Assumptions and Catalog'!$H$51+'Assumptions and Catalog'!$E$51+'Assumptions and Catalog'!$F$51,IF(L728&lt;='Assumptions and Catalog'!$C$52,L728*'Assumptions and Catalog'!$H$52+'Assumptions and Catalog'!$E$52+'Assumptions and Catalog'!$F$52,IF(L728&lt;='Assumptions and Catalog'!$C$53,L728*'Assumptions and Catalog'!$H$53+'Assumptions and Catalog'!$E$53+'Assumptions and Catalog'!$F$53,IF(L728&lt;='Assumptions and Catalog'!$C$54,L728*'Assumptions and Catalog'!$H$54+'Assumptions and Catalog'!$E$54+'Assumptions and Catalog'!$F$54,IF(L728&lt;='Assumptions and Catalog'!$C$55,L728*'Assumptions and Catalog'!$H$55+'Assumptions and Catalog'!$E$55+'Assumptions and Catalog'!$F$55,IF(L728&lt;='Assumptions and Catalog'!$C$56,L728*'Assumptions and Catalog'!$H$56+'Assumptions and Catalog'!$E$56+'Assumptions and Catalog'!$F$56,IF(L728&lt;='Assumptions and Catalog'!$C$57,L728*'Assumptions and Catalog'!$H$57+'Assumptions and Catalog'!$E$57+'Assumptions and Catalog'!$F$57,"Out of range")))))))),IF(L728&lt;='Assumptions and Catalog'!$C$60,L728*'Assumptions and Catalog'!$H$60+'Assumptions and Catalog'!$E$60+'Assumptions and Catalog'!$F$60,IF(L728&lt;='Assumptions and Catalog'!$C$61,L728*'Assumptions and Catalog'!$H$61+'Assumptions and Catalog'!$E$61+'Assumptions and Catalog'!$F$61,IF(L728&lt;='Assumptions and Catalog'!$C$62,L728*'Assumptions and Catalog'!$H$62+'Assumptions and Catalog'!$E$62+'Assumptions and Catalog'!$F$62,IF(L728&lt;='Assumptions and Catalog'!$C$63,L728*'Assumptions and Catalog'!$H$63+'Assumptions and Catalog'!$E$63+'Assumptions and Catalog'!$F$63,IF(L728&lt;='Assumptions and Catalog'!$C$64,L728*'Assumptions and Catalog'!$H$64+'Assumptions and Catalog'!$E$64+'Assumptions and Catalog'!$F$64,IF(L728&lt;='Assumptions and Catalog'!$C$65,L728*'Assumptions and Catalog'!$H$65+'Assumptions and Catalog'!$E$65+'Assumptions and Catalog'!$F$65,"Out of range")))))))))*(1+'Assumptions and Catalog'!$C$8)^(A728-1),0)</f>
        <v>2654.89962664898</v>
      </c>
      <c r="O728" s="5" t="n">
        <f>M728-N728</f>
        <v>4439.89437335102</v>
      </c>
      <c r="P728" s="5" t="n">
        <f>E$55*(1-L$14)*(1-'Assumptions and Catalog'!$C$23)^R728</f>
        <v>9.256148959232</v>
      </c>
      <c r="Q728" s="5" t="n">
        <f>IF(ISNUMBER(Inputs!$L$5),(IF(Inputs!$L$9="Actual flat rate",((D728+E728)*C728-G728)*Inputs!$L$10,IF(Inputs!$C$9="Residential",IF(((D728+E728)*C728-G728)&lt;='Assumptions and Catalog'!$C$50,((D728+E728)*C728-G728)*'Assumptions and Catalog'!$H$50+'Assumptions and Catalog'!$E$50+'Assumptions and Catalog'!$F$50,IF(((D728+E728)*C728-G728)&lt;='Assumptions and Catalog'!$C$51,((D728+E728)*C728-G728)*'Assumptions and Catalog'!$H$51+'Assumptions and Catalog'!$E$51+'Assumptions and Catalog'!$F$51,IF(((D728+E728)*C728-G728)&lt;='Assumptions and Catalog'!$C$52,((D728+E728)*C728-G728)*'Assumptions and Catalog'!$H$52+'Assumptions and Catalog'!$E$52+'Assumptions and Catalog'!$F$52,IF(((D728+E728)*C728-G728)&lt;='Assumptions and Catalog'!$C$53,((D728+E728)*C728-G728)*'Assumptions and Catalog'!$H$53+'Assumptions and Catalog'!$E$53+'Assumptions and Catalog'!$F$53,IF(((D728+E728)*C728-G728)&lt;='Assumptions and Catalog'!$C$54,((D728+E728)*C728-G728)*'Assumptions and Catalog'!$H$54+'Assumptions and Catalog'!$E$54+'Assumptions and Catalog'!$F$54,IF(((D728+E728)*C728-G728)&lt;='Assumptions and Catalog'!$C$55,((D728+E728)*C728-G728)*'Assumptions and Catalog'!$H$55+'Assumptions and Catalog'!$E$55+'Assumptions and Catalog'!$F$55,IF(((D728+E728)*C728-G728)&lt;='Assumptions and Catalog'!$C$56,((D728+E728)*C728-G728)*'Assumptions and Catalog'!$H$56+'Assumptions and Catalog'!$E$56+'Assumptions and Catalog'!$F$56,IF(((D728+E728)*C728-G728)&lt;='Assumptions and Catalog'!$C$57,((D728+E728)*C728-G728)*'Assumptions and Catalog'!$H$57+'Assumptions and Catalog'!$E$57+'Assumptions and Catalog'!$F$57,"Out of range")))))))),IF(((D728+E728)*C728-G728)&lt;='Assumptions and Catalog'!$C$60,((D728+E728)*C728-G728)*'Assumptions and Catalog'!$H$60+'Assumptions and Catalog'!$E$60+'Assumptions and Catalog'!$F$60,IF(((D728+E728)*C728-G728)&lt;='Assumptions and Catalog'!$C$61,((D728+E728)*C728-G728)*'Assumptions and Catalog'!$H$61+'Assumptions and Catalog'!$E$61+'Assumptions and Catalog'!$F$61,IF(((D728+E728)*C728-G728)&lt;='Assumptions and Catalog'!$C$62,((D728+E728)*C728-G728)*'Assumptions and Catalog'!$H$62+'Assumptions and Catalog'!$E$62+'Assumptions and Catalog'!$F$62,IF(((D728+E728)*C728-G728)&lt;='Assumptions and Catalog'!$C$63,((D728+E728)*C728-G728)*'Assumptions and Catalog'!$H$63+'Assumptions and Catalog'!$E$63+'Assumptions and Catalog'!$F$63,IF(((D728+E728)*C728-G728)&lt;='Assumptions and Catalog'!$C$64,((D728+E728)*C728-G728)*'Assumptions and Catalog'!$H$64+'Assumptions and Catalog'!$E$64+'Assumptions and Catalog'!$F$64,IF(((D728+E728)*C728-G728)&lt;='Assumptions and Catalog'!$C$65,((D728+E728)*C728-G728)*'Assumptions and Catalog'!$H$65+'Assumptions and Catalog'!$E$65+'Assumptions and Catalog'!$F$65,"Out of range")))))))))*(1+'Assumptions and Catalog'!$C$8)^(A728-1),0)</f>
        <v>3567.397</v>
      </c>
      <c r="R728" s="5" t="n">
        <f>IF(AND('Assumptions and Catalog'!$C$19&gt;0,A728&gt;='Assumptions and Catalog'!$C$19),A728-'Assumptions and Catalog'!$C$19,A728-1)</f>
        <v>5</v>
      </c>
      <c r="S728" s="5" t="n">
        <f>F728+L728-(D728+E728)*C728-J728-K728-IF(E$52&gt;0,'Assumptions and Catalog'!$C$26*C728,0)</f>
        <v>-5.6843418860808E-014</v>
      </c>
      <c r="T728" s="5"/>
      <c r="U728" s="5"/>
    </row>
    <row r="729" ht="23.100000381469727" customHeight="1">
      <c r="A729" s="5" t="n">
        <v>6</v>
      </c>
      <c r="B729" s="5" t="n">
        <v>9</v>
      </c>
      <c r="C729" s="5" t="n">
        <f>DAY(DATE('Assumptions and Catalog'!$C$24+A729-1,B729+1,0))</f>
        <v>30</v>
      </c>
      <c r="D729" s="5" t="n">
        <f>IF(ISNUMBER(Inputs!$L$5),Inputs!$L$5*Inputs!$L$6,0)</f>
        <v>40.35</v>
      </c>
      <c r="E729" s="5" t="n">
        <f>IF(ISNUMBER(Inputs!$L$5),Inputs!$L$5-D729,0)</f>
        <v>40.35</v>
      </c>
      <c r="F729" s="5" t="n">
        <f>E$51*INDEX('Solar Production'!$D$20:$D$31,B729)*C729*(1-'Assumptions and Catalog'!$C$10)^(A729-1)</f>
        <v>1727.16554177884</v>
      </c>
      <c r="G729" s="5" t="n">
        <f>MIN(F729,D729*C729)</f>
        <v>1210.5</v>
      </c>
      <c r="H729" s="5" t="n">
        <f>I729/('Assumptions and Catalog'!$C$11*'Assumptions and Catalog'!$C$12)</f>
        <v>284.804583360985</v>
      </c>
      <c r="I729" s="5" t="n">
        <f>MIN(E729*C729,P729*'Assumptions and Catalog'!$C$12*C729,(F729-G729)*'Assumptions and Catalog'!$C$11*'Assumptions and Catalog'!$C$12,E$56*'Assumptions and Catalog'!$C$14*'Assumptions and Catalog'!$C$11*'Assumptions and Catalog'!$C$12*C729,E$57*(24-'Assumptions and Catalog'!$C$13)*C729)</f>
        <v>270.742357057536</v>
      </c>
      <c r="J729" s="5" t="n">
        <f>MAX(F729-G729-H729,0)</f>
        <v>231.860958417856</v>
      </c>
      <c r="K729" s="5" t="n">
        <f>H729-I729</f>
        <v>14.0622263034487</v>
      </c>
      <c r="L729" s="5" t="n">
        <f>(D729+E729)*C729-G729-I729+0+IF(E$52&gt;0,'Assumptions and Catalog'!$C$26*C729,0)</f>
        <v>939.757642942464</v>
      </c>
      <c r="M729" s="5" t="n">
        <f>IF(ISNUMBER(Inputs!$L$5),(IF(Inputs!$L$9="Actual flat rate",((D729+E729)*C729)*Inputs!$L$10,IF(Inputs!$C$9="Residential",IF(((D729+E729)*C729)&lt;='Assumptions and Catalog'!$C$50,((D729+E729)*C729)*'Assumptions and Catalog'!$H$50+'Assumptions and Catalog'!$E$50+'Assumptions and Catalog'!$F$50,IF(((D729+E729)*C729)&lt;='Assumptions and Catalog'!$C$51,((D729+E729)*C729)*'Assumptions and Catalog'!$H$51+'Assumptions and Catalog'!$E$51+'Assumptions and Catalog'!$F$51,IF(((D729+E729)*C729)&lt;='Assumptions and Catalog'!$C$52,((D729+E729)*C729)*'Assumptions and Catalog'!$H$52+'Assumptions and Catalog'!$E$52+'Assumptions and Catalog'!$F$52,IF(((D729+E729)*C729)&lt;='Assumptions and Catalog'!$C$53,((D729+E729)*C729)*'Assumptions and Catalog'!$H$53+'Assumptions and Catalog'!$E$53+'Assumptions and Catalog'!$F$53,IF(((D729+E729)*C729)&lt;='Assumptions and Catalog'!$C$54,((D729+E729)*C729)*'Assumptions and Catalog'!$H$54+'Assumptions and Catalog'!$E$54+'Assumptions and Catalog'!$F$54,IF(((D729+E729)*C729)&lt;='Assumptions and Catalog'!$C$55,((D729+E729)*C729)*'Assumptions and Catalog'!$H$55+'Assumptions and Catalog'!$E$55+'Assumptions and Catalog'!$F$55,IF(((D729+E729)*C729)&lt;='Assumptions and Catalog'!$C$56,((D729+E729)*C729)*'Assumptions and Catalog'!$H$56+'Assumptions and Catalog'!$E$56+'Assumptions and Catalog'!$F$56,IF(((D729+E729)*C729)&lt;='Assumptions and Catalog'!$C$57,((D729+E729)*C729)*'Assumptions and Catalog'!$H$57+'Assumptions and Catalog'!$E$57+'Assumptions and Catalog'!$F$57,"Out of range")))))))),IF(((D729+E729)*C729)&lt;='Assumptions and Catalog'!$C$60,((D729+E729)*C729)*'Assumptions and Catalog'!$H$60+'Assumptions and Catalog'!$E$60+'Assumptions and Catalog'!$F$60,IF(((D729+E729)*C729)&lt;='Assumptions and Catalog'!$C$61,((D729+E729)*C729)*'Assumptions and Catalog'!$H$61+'Assumptions and Catalog'!$E$61+'Assumptions and Catalog'!$F$61,IF(((D729+E729)*C729)&lt;='Assumptions and Catalog'!$C$62,((D729+E729)*C729)*'Assumptions and Catalog'!$H$62+'Assumptions and Catalog'!$E$62+'Assumptions and Catalog'!$F$62,IF(((D729+E729)*C729)&lt;='Assumptions and Catalog'!$C$63,((D729+E729)*C729)*'Assumptions and Catalog'!$H$63+'Assumptions and Catalog'!$E$63+'Assumptions and Catalog'!$F$63,IF(((D729+E729)*C729)&lt;='Assumptions and Catalog'!$C$64,((D729+E729)*C729)*'Assumptions and Catalog'!$H$64+'Assumptions and Catalog'!$E$64+'Assumptions and Catalog'!$F$64,IF(((D729+E729)*C729)&lt;='Assumptions and Catalog'!$C$65,((D729+E729)*C729)*'Assumptions and Catalog'!$H$65+'Assumptions and Catalog'!$E$65+'Assumptions and Catalog'!$F$65,"Out of range")))))))))*(1+'Assumptions and Catalog'!$C$8)^(A729-1),0)</f>
        <v>6867.22</v>
      </c>
      <c r="N729" s="5" t="n">
        <f>IF(ISNUMBER(Inputs!$L$5),(IF(Inputs!$L$9="Actual flat rate",L729*Inputs!$L$10,IF(Inputs!$C$9="Residential",IF(L729&lt;='Assumptions and Catalog'!$C$50,L729*'Assumptions and Catalog'!$H$50+'Assumptions and Catalog'!$E$50+'Assumptions and Catalog'!$F$50,IF(L729&lt;='Assumptions and Catalog'!$C$51,L729*'Assumptions and Catalog'!$H$51+'Assumptions and Catalog'!$E$51+'Assumptions and Catalog'!$F$51,IF(L729&lt;='Assumptions and Catalog'!$C$52,L729*'Assumptions and Catalog'!$H$52+'Assumptions and Catalog'!$E$52+'Assumptions and Catalog'!$F$52,IF(L729&lt;='Assumptions and Catalog'!$C$53,L729*'Assumptions and Catalog'!$H$53+'Assumptions and Catalog'!$E$53+'Assumptions and Catalog'!$F$53,IF(L729&lt;='Assumptions and Catalog'!$C$54,L729*'Assumptions and Catalog'!$H$54+'Assumptions and Catalog'!$E$54+'Assumptions and Catalog'!$F$54,IF(L729&lt;='Assumptions and Catalog'!$C$55,L729*'Assumptions and Catalog'!$H$55+'Assumptions and Catalog'!$E$55+'Assumptions and Catalog'!$F$55,IF(L729&lt;='Assumptions and Catalog'!$C$56,L729*'Assumptions and Catalog'!$H$56+'Assumptions and Catalog'!$E$56+'Assumptions and Catalog'!$F$56,IF(L729&lt;='Assumptions and Catalog'!$C$57,L729*'Assumptions and Catalog'!$H$57+'Assumptions and Catalog'!$E$57+'Assumptions and Catalog'!$F$57,"Out of range")))))))),IF(L729&lt;='Assumptions and Catalog'!$C$60,L729*'Assumptions and Catalog'!$H$60+'Assumptions and Catalog'!$E$60+'Assumptions and Catalog'!$F$60,IF(L729&lt;='Assumptions and Catalog'!$C$61,L729*'Assumptions and Catalog'!$H$61+'Assumptions and Catalog'!$E$61+'Assumptions and Catalog'!$F$61,IF(L729&lt;='Assumptions and Catalog'!$C$62,L729*'Assumptions and Catalog'!$H$62+'Assumptions and Catalog'!$E$62+'Assumptions and Catalog'!$F$62,IF(L729&lt;='Assumptions and Catalog'!$C$63,L729*'Assumptions and Catalog'!$H$63+'Assumptions and Catalog'!$E$63+'Assumptions and Catalog'!$F$63,IF(L729&lt;='Assumptions and Catalog'!$C$64,L729*'Assumptions and Catalog'!$H$64+'Assumptions and Catalog'!$E$64+'Assumptions and Catalog'!$F$64,IF(L729&lt;='Assumptions and Catalog'!$C$65,L729*'Assumptions and Catalog'!$H$65+'Assumptions and Catalog'!$E$65+'Assumptions and Catalog'!$F$65,"Out of range")))))))))*(1+'Assumptions and Catalog'!$C$8)^(A729-1),0)</f>
        <v>2568.12867095063</v>
      </c>
      <c r="O729" s="5" t="n">
        <f>M729-N729</f>
        <v>4299.09132904937</v>
      </c>
      <c r="P729" s="5" t="n">
        <f>E$55*(1-L$14)*(1-'Assumptions and Catalog'!$C$23)^R729</f>
        <v>9.256148959232</v>
      </c>
      <c r="Q729" s="5" t="n">
        <f>IF(ISNUMBER(Inputs!$L$5),(IF(Inputs!$L$9="Actual flat rate",((D729+E729)*C729-G729)*Inputs!$L$10,IF(Inputs!$C$9="Residential",IF(((D729+E729)*C729-G729)&lt;='Assumptions and Catalog'!$C$50,((D729+E729)*C729-G729)*'Assumptions and Catalog'!$H$50+'Assumptions and Catalog'!$E$50+'Assumptions and Catalog'!$F$50,IF(((D729+E729)*C729-G729)&lt;='Assumptions and Catalog'!$C$51,((D729+E729)*C729-G729)*'Assumptions and Catalog'!$H$51+'Assumptions and Catalog'!$E$51+'Assumptions and Catalog'!$F$51,IF(((D729+E729)*C729-G729)&lt;='Assumptions and Catalog'!$C$52,((D729+E729)*C729-G729)*'Assumptions and Catalog'!$H$52+'Assumptions and Catalog'!$E$52+'Assumptions and Catalog'!$F$52,IF(((D729+E729)*C729-G729)&lt;='Assumptions and Catalog'!$C$53,((D729+E729)*C729-G729)*'Assumptions and Catalog'!$H$53+'Assumptions and Catalog'!$E$53+'Assumptions and Catalog'!$F$53,IF(((D729+E729)*C729-G729)&lt;='Assumptions and Catalog'!$C$54,((D729+E729)*C729-G729)*'Assumptions and Catalog'!$H$54+'Assumptions and Catalog'!$E$54+'Assumptions and Catalog'!$F$54,IF(((D729+E729)*C729-G729)&lt;='Assumptions and Catalog'!$C$55,((D729+E729)*C729-G729)*'Assumptions and Catalog'!$H$55+'Assumptions and Catalog'!$E$55+'Assumptions and Catalog'!$F$55,IF(((D729+E729)*C729-G729)&lt;='Assumptions and Catalog'!$C$56,((D729+E729)*C729-G729)*'Assumptions and Catalog'!$H$56+'Assumptions and Catalog'!$E$56+'Assumptions and Catalog'!$F$56,IF(((D729+E729)*C729-G729)&lt;='Assumptions and Catalog'!$C$57,((D729+E729)*C729-G729)*'Assumptions and Catalog'!$H$57+'Assumptions and Catalog'!$E$57+'Assumptions and Catalog'!$F$57,"Out of range")))))))),IF(((D729+E729)*C729-G729)&lt;='Assumptions and Catalog'!$C$60,((D729+E729)*C729-G729)*'Assumptions and Catalog'!$H$60+'Assumptions and Catalog'!$E$60+'Assumptions and Catalog'!$F$60,IF(((D729+E729)*C729-G729)&lt;='Assumptions and Catalog'!$C$61,((D729+E729)*C729-G729)*'Assumptions and Catalog'!$H$61+'Assumptions and Catalog'!$E$61+'Assumptions and Catalog'!$F$61,IF(((D729+E729)*C729-G729)&lt;='Assumptions and Catalog'!$C$62,((D729+E729)*C729-G729)*'Assumptions and Catalog'!$H$62+'Assumptions and Catalog'!$E$62+'Assumptions and Catalog'!$F$62,IF(((D729+E729)*C729-G729)&lt;='Assumptions and Catalog'!$C$63,((D729+E729)*C729-G729)*'Assumptions and Catalog'!$H$63+'Assumptions and Catalog'!$E$63+'Assumptions and Catalog'!$F$63,IF(((D729+E729)*C729-G729)&lt;='Assumptions and Catalog'!$C$64,((D729+E729)*C729-G729)*'Assumptions and Catalog'!$H$64+'Assumptions and Catalog'!$E$64+'Assumptions and Catalog'!$F$64,IF(((D729+E729)*C729-G729)&lt;='Assumptions and Catalog'!$C$65,((D729+E729)*C729-G729)*'Assumptions and Catalog'!$H$65+'Assumptions and Catalog'!$E$65+'Assumptions and Catalog'!$F$65,"Out of range")))))))))*(1+'Assumptions and Catalog'!$C$8)^(A729-1),0)</f>
        <v>3453.61</v>
      </c>
      <c r="R729" s="5" t="n">
        <f>IF(AND('Assumptions and Catalog'!$C$19&gt;0,A729&gt;='Assumptions and Catalog'!$C$19),A729-'Assumptions and Catalog'!$C$19,A729-1)</f>
        <v>5</v>
      </c>
      <c r="S729" s="5" t="n">
        <f>F729+L729-(D729+E729)*C729-J729-K729-IF(E$52&gt;0,'Assumptions and Catalog'!$C$26*C729,0)</f>
        <v>-5.6843418860808E-014</v>
      </c>
      <c r="T729" s="5"/>
      <c r="U729" s="5"/>
    </row>
    <row r="730" ht="23.100000381469727" customHeight="1">
      <c r="A730" s="5" t="n">
        <v>6</v>
      </c>
      <c r="B730" s="5" t="n">
        <v>10</v>
      </c>
      <c r="C730" s="5" t="n">
        <f>DAY(DATE('Assumptions and Catalog'!$C$24+A730-1,B730+1,0))</f>
        <v>31</v>
      </c>
      <c r="D730" s="5" t="n">
        <f>IF(ISNUMBER(Inputs!$L$5),Inputs!$L$5*Inputs!$L$6,0)</f>
        <v>40.35</v>
      </c>
      <c r="E730" s="5" t="n">
        <f>IF(ISNUMBER(Inputs!$L$5),Inputs!$L$5-D730,0)</f>
        <v>40.35</v>
      </c>
      <c r="F730" s="5" t="n">
        <f>E$51*INDEX('Solar Production'!$D$20:$D$31,B730)*C730*(1-'Assumptions and Catalog'!$C$10)^(A730-1)</f>
        <v>1657.75708801916</v>
      </c>
      <c r="G730" s="5" t="n">
        <f>MIN(F730,D730*C730)</f>
        <v>1250.85</v>
      </c>
      <c r="H730" s="5" t="n">
        <f>I730/('Assumptions and Catalog'!$C$11*'Assumptions and Catalog'!$C$12)</f>
        <v>294.298069473018</v>
      </c>
      <c r="I730" s="5" t="n">
        <f>MIN(E730*C730,P730*'Assumptions and Catalog'!$C$12*C730,(F730-G730)*'Assumptions and Catalog'!$C$11*'Assumptions and Catalog'!$C$12,E$56*'Assumptions and Catalog'!$C$14*'Assumptions and Catalog'!$C$11*'Assumptions and Catalog'!$C$12*C730,E$57*(24-'Assumptions and Catalog'!$C$13)*C730)</f>
        <v>279.767102292787</v>
      </c>
      <c r="J730" s="5" t="n">
        <f>MAX(F730-G730-H730,0)</f>
        <v>112.609018546139</v>
      </c>
      <c r="K730" s="5" t="n">
        <f>H730-I730</f>
        <v>14.5309671802303</v>
      </c>
      <c r="L730" s="5" t="n">
        <f>(D730+E730)*C730-G730-I730+0+IF(E$52&gt;0,'Assumptions and Catalog'!$C$26*C730,0)</f>
        <v>971.082897707213</v>
      </c>
      <c r="M730" s="5" t="n">
        <f>IF(ISNUMBER(Inputs!$L$5),(IF(Inputs!$L$9="Actual flat rate",((D730+E730)*C730)*Inputs!$L$10,IF(Inputs!$C$9="Residential",IF(((D730+E730)*C730)&lt;='Assumptions and Catalog'!$C$50,((D730+E730)*C730)*'Assumptions and Catalog'!$H$50+'Assumptions and Catalog'!$E$50+'Assumptions and Catalog'!$F$50,IF(((D730+E730)*C730)&lt;='Assumptions and Catalog'!$C$51,((D730+E730)*C730)*'Assumptions and Catalog'!$H$51+'Assumptions and Catalog'!$E$51+'Assumptions and Catalog'!$F$51,IF(((D730+E730)*C730)&lt;='Assumptions and Catalog'!$C$52,((D730+E730)*C730)*'Assumptions and Catalog'!$H$52+'Assumptions and Catalog'!$E$52+'Assumptions and Catalog'!$F$52,IF(((D730+E730)*C730)&lt;='Assumptions and Catalog'!$C$53,((D730+E730)*C730)*'Assumptions and Catalog'!$H$53+'Assumptions and Catalog'!$E$53+'Assumptions and Catalog'!$F$53,IF(((D730+E730)*C730)&lt;='Assumptions and Catalog'!$C$54,((D730+E730)*C730)*'Assumptions and Catalog'!$H$54+'Assumptions and Catalog'!$E$54+'Assumptions and Catalog'!$F$54,IF(((D730+E730)*C730)&lt;='Assumptions and Catalog'!$C$55,((D730+E730)*C730)*'Assumptions and Catalog'!$H$55+'Assumptions and Catalog'!$E$55+'Assumptions and Catalog'!$F$55,IF(((D730+E730)*C730)&lt;='Assumptions and Catalog'!$C$56,((D730+E730)*C730)*'Assumptions and Catalog'!$H$56+'Assumptions and Catalog'!$E$56+'Assumptions and Catalog'!$F$56,IF(((D730+E730)*C730)&lt;='Assumptions and Catalog'!$C$57,((D730+E730)*C730)*'Assumptions and Catalog'!$H$57+'Assumptions and Catalog'!$E$57+'Assumptions and Catalog'!$F$57,"Out of range")))))))),IF(((D730+E730)*C730)&lt;='Assumptions and Catalog'!$C$60,((D730+E730)*C730)*'Assumptions and Catalog'!$H$60+'Assumptions and Catalog'!$E$60+'Assumptions and Catalog'!$F$60,IF(((D730+E730)*C730)&lt;='Assumptions and Catalog'!$C$61,((D730+E730)*C730)*'Assumptions and Catalog'!$H$61+'Assumptions and Catalog'!$E$61+'Assumptions and Catalog'!$F$61,IF(((D730+E730)*C730)&lt;='Assumptions and Catalog'!$C$62,((D730+E730)*C730)*'Assumptions and Catalog'!$H$62+'Assumptions and Catalog'!$E$62+'Assumptions and Catalog'!$F$62,IF(((D730+E730)*C730)&lt;='Assumptions and Catalog'!$C$63,((D730+E730)*C730)*'Assumptions and Catalog'!$H$63+'Assumptions and Catalog'!$E$63+'Assumptions and Catalog'!$F$63,IF(((D730+E730)*C730)&lt;='Assumptions and Catalog'!$C$64,((D730+E730)*C730)*'Assumptions and Catalog'!$H$64+'Assumptions and Catalog'!$E$64+'Assumptions and Catalog'!$F$64,IF(((D730+E730)*C730)&lt;='Assumptions and Catalog'!$C$65,((D730+E730)*C730)*'Assumptions and Catalog'!$H$65+'Assumptions and Catalog'!$E$65+'Assumptions and Catalog'!$F$65,"Out of range")))))))))*(1+'Assumptions and Catalog'!$C$8)^(A730-1),0)</f>
        <v>7094.794</v>
      </c>
      <c r="N730" s="5" t="n">
        <f>IF(ISNUMBER(Inputs!$L$5),(IF(Inputs!$L$9="Actual flat rate",L730*Inputs!$L$10,IF(Inputs!$C$9="Residential",IF(L730&lt;='Assumptions and Catalog'!$C$50,L730*'Assumptions and Catalog'!$H$50+'Assumptions and Catalog'!$E$50+'Assumptions and Catalog'!$F$50,IF(L730&lt;='Assumptions and Catalog'!$C$51,L730*'Assumptions and Catalog'!$H$51+'Assumptions and Catalog'!$E$51+'Assumptions and Catalog'!$F$51,IF(L730&lt;='Assumptions and Catalog'!$C$52,L730*'Assumptions and Catalog'!$H$52+'Assumptions and Catalog'!$E$52+'Assumptions and Catalog'!$F$52,IF(L730&lt;='Assumptions and Catalog'!$C$53,L730*'Assumptions and Catalog'!$H$53+'Assumptions and Catalog'!$E$53+'Assumptions and Catalog'!$F$53,IF(L730&lt;='Assumptions and Catalog'!$C$54,L730*'Assumptions and Catalog'!$H$54+'Assumptions and Catalog'!$E$54+'Assumptions and Catalog'!$F$54,IF(L730&lt;='Assumptions and Catalog'!$C$55,L730*'Assumptions and Catalog'!$H$55+'Assumptions and Catalog'!$E$55+'Assumptions and Catalog'!$F$55,IF(L730&lt;='Assumptions and Catalog'!$C$56,L730*'Assumptions and Catalog'!$H$56+'Assumptions and Catalog'!$E$56+'Assumptions and Catalog'!$F$56,IF(L730&lt;='Assumptions and Catalog'!$C$57,L730*'Assumptions and Catalog'!$H$57+'Assumptions and Catalog'!$E$57+'Assumptions and Catalog'!$F$57,"Out of range")))))))),IF(L730&lt;='Assumptions and Catalog'!$C$60,L730*'Assumptions and Catalog'!$H$60+'Assumptions and Catalog'!$E$60+'Assumptions and Catalog'!$F$60,IF(L730&lt;='Assumptions and Catalog'!$C$61,L730*'Assumptions and Catalog'!$H$61+'Assumptions and Catalog'!$E$61+'Assumptions and Catalog'!$F$61,IF(L730&lt;='Assumptions and Catalog'!$C$62,L730*'Assumptions and Catalog'!$H$62+'Assumptions and Catalog'!$E$62+'Assumptions and Catalog'!$F$62,IF(L730&lt;='Assumptions and Catalog'!$C$63,L730*'Assumptions and Catalog'!$H$63+'Assumptions and Catalog'!$E$63+'Assumptions and Catalog'!$F$63,IF(L730&lt;='Assumptions and Catalog'!$C$64,L730*'Assumptions and Catalog'!$H$64+'Assumptions and Catalog'!$E$64+'Assumptions and Catalog'!$F$64,IF(L730&lt;='Assumptions and Catalog'!$C$65,L730*'Assumptions and Catalog'!$H$65+'Assumptions and Catalog'!$E$65+'Assumptions and Catalog'!$F$65,"Out of range")))))))))*(1+'Assumptions and Catalog'!$C$8)^(A730-1),0)</f>
        <v>2654.89962664898</v>
      </c>
      <c r="O730" s="5" t="n">
        <f>M730-N730</f>
        <v>4439.89437335102</v>
      </c>
      <c r="P730" s="5" t="n">
        <f>E$55*(1-L$14)*(1-'Assumptions and Catalog'!$C$23)^R730</f>
        <v>9.256148959232</v>
      </c>
      <c r="Q730" s="5" t="n">
        <f>IF(ISNUMBER(Inputs!$L$5),(IF(Inputs!$L$9="Actual flat rate",((D730+E730)*C730-G730)*Inputs!$L$10,IF(Inputs!$C$9="Residential",IF(((D730+E730)*C730-G730)&lt;='Assumptions and Catalog'!$C$50,((D730+E730)*C730-G730)*'Assumptions and Catalog'!$H$50+'Assumptions and Catalog'!$E$50+'Assumptions and Catalog'!$F$50,IF(((D730+E730)*C730-G730)&lt;='Assumptions and Catalog'!$C$51,((D730+E730)*C730-G730)*'Assumptions and Catalog'!$H$51+'Assumptions and Catalog'!$E$51+'Assumptions and Catalog'!$F$51,IF(((D730+E730)*C730-G730)&lt;='Assumptions and Catalog'!$C$52,((D730+E730)*C730-G730)*'Assumptions and Catalog'!$H$52+'Assumptions and Catalog'!$E$52+'Assumptions and Catalog'!$F$52,IF(((D730+E730)*C730-G730)&lt;='Assumptions and Catalog'!$C$53,((D730+E730)*C730-G730)*'Assumptions and Catalog'!$H$53+'Assumptions and Catalog'!$E$53+'Assumptions and Catalog'!$F$53,IF(((D730+E730)*C730-G730)&lt;='Assumptions and Catalog'!$C$54,((D730+E730)*C730-G730)*'Assumptions and Catalog'!$H$54+'Assumptions and Catalog'!$E$54+'Assumptions and Catalog'!$F$54,IF(((D730+E730)*C730-G730)&lt;='Assumptions and Catalog'!$C$55,((D730+E730)*C730-G730)*'Assumptions and Catalog'!$H$55+'Assumptions and Catalog'!$E$55+'Assumptions and Catalog'!$F$55,IF(((D730+E730)*C730-G730)&lt;='Assumptions and Catalog'!$C$56,((D730+E730)*C730-G730)*'Assumptions and Catalog'!$H$56+'Assumptions and Catalog'!$E$56+'Assumptions and Catalog'!$F$56,IF(((D730+E730)*C730-G730)&lt;='Assumptions and Catalog'!$C$57,((D730+E730)*C730-G730)*'Assumptions and Catalog'!$H$57+'Assumptions and Catalog'!$E$57+'Assumptions and Catalog'!$F$57,"Out of range")))))))),IF(((D730+E730)*C730-G730)&lt;='Assumptions and Catalog'!$C$60,((D730+E730)*C730-G730)*'Assumptions and Catalog'!$H$60+'Assumptions and Catalog'!$E$60+'Assumptions and Catalog'!$F$60,IF(((D730+E730)*C730-G730)&lt;='Assumptions and Catalog'!$C$61,((D730+E730)*C730-G730)*'Assumptions and Catalog'!$H$61+'Assumptions and Catalog'!$E$61+'Assumptions and Catalog'!$F$61,IF(((D730+E730)*C730-G730)&lt;='Assumptions and Catalog'!$C$62,((D730+E730)*C730-G730)*'Assumptions and Catalog'!$H$62+'Assumptions and Catalog'!$E$62+'Assumptions and Catalog'!$F$62,IF(((D730+E730)*C730-G730)&lt;='Assumptions and Catalog'!$C$63,((D730+E730)*C730-G730)*'Assumptions and Catalog'!$H$63+'Assumptions and Catalog'!$E$63+'Assumptions and Catalog'!$F$63,IF(((D730+E730)*C730-G730)&lt;='Assumptions and Catalog'!$C$64,((D730+E730)*C730-G730)*'Assumptions and Catalog'!$H$64+'Assumptions and Catalog'!$E$64+'Assumptions and Catalog'!$F$64,IF(((D730+E730)*C730-G730)&lt;='Assumptions and Catalog'!$C$65,((D730+E730)*C730-G730)*'Assumptions and Catalog'!$H$65+'Assumptions and Catalog'!$E$65+'Assumptions and Catalog'!$F$65,"Out of range")))))))))*(1+'Assumptions and Catalog'!$C$8)^(A730-1),0)</f>
        <v>3567.397</v>
      </c>
      <c r="R730" s="5" t="n">
        <f>IF(AND('Assumptions and Catalog'!$C$19&gt;0,A730&gt;='Assumptions and Catalog'!$C$19),A730-'Assumptions and Catalog'!$C$19,A730-1)</f>
        <v>5</v>
      </c>
      <c r="S730" s="5" t="n">
        <f>F730+L730-(D730+E730)*C730-J730-K730-IF(E$52&gt;0,'Assumptions and Catalog'!$C$26*C730,0)</f>
        <v>-5.6843418860808E-014</v>
      </c>
      <c r="T730" s="5"/>
      <c r="U730" s="5"/>
    </row>
    <row r="731" ht="23.100000381469727" customHeight="1">
      <c r="A731" s="5" t="n">
        <v>6</v>
      </c>
      <c r="B731" s="5" t="n">
        <v>11</v>
      </c>
      <c r="C731" s="5" t="n">
        <f>DAY(DATE('Assumptions and Catalog'!$C$24+A731-1,B731+1,0))</f>
        <v>30</v>
      </c>
      <c r="D731" s="5" t="n">
        <f>IF(ISNUMBER(Inputs!$L$5),Inputs!$L$5*Inputs!$L$6,0)</f>
        <v>40.35</v>
      </c>
      <c r="E731" s="5" t="n">
        <f>IF(ISNUMBER(Inputs!$L$5),Inputs!$L$5-D731,0)</f>
        <v>40.35</v>
      </c>
      <c r="F731" s="5" t="n">
        <f>E$51*INDEX('Solar Production'!$D$20:$D$31,B731)*C731*(1-'Assumptions and Catalog'!$C$10)^(A731-1)</f>
        <v>1469.37803886614</v>
      </c>
      <c r="G731" s="5" t="n">
        <f>MIN(F731,D731*C731)</f>
        <v>1210.5</v>
      </c>
      <c r="H731" s="5" t="n">
        <f>I731/('Assumptions and Catalog'!$C$11*'Assumptions and Catalog'!$C$12)</f>
        <v>258.878038866136</v>
      </c>
      <c r="I731" s="5" t="n">
        <f>MIN(E731*C731,P731*'Assumptions and Catalog'!$C$12*C731,(F731-G731)*'Assumptions and Catalog'!$C$11*'Assumptions and Catalog'!$C$12,E$56*'Assumptions and Catalog'!$C$14*'Assumptions and Catalog'!$C$11*'Assumptions and Catalog'!$C$12*C731,E$57*(24-'Assumptions and Catalog'!$C$13)*C731)</f>
        <v>246.09593569712</v>
      </c>
      <c r="J731" s="5" t="n">
        <f>MAX(F731-G731-H731,0)</f>
        <v>0</v>
      </c>
      <c r="K731" s="5" t="n">
        <f>H731-I731</f>
        <v>12.7821031690155</v>
      </c>
      <c r="L731" s="5" t="n">
        <f>(D731+E731)*C731-G731-I731+0+IF(E$52&gt;0,'Assumptions and Catalog'!$C$26*C731,0)</f>
        <v>964.40406430288</v>
      </c>
      <c r="M731" s="5" t="n">
        <f>IF(ISNUMBER(Inputs!$L$5),(IF(Inputs!$L$9="Actual flat rate",((D731+E731)*C731)*Inputs!$L$10,IF(Inputs!$C$9="Residential",IF(((D731+E731)*C731)&lt;='Assumptions and Catalog'!$C$50,((D731+E731)*C731)*'Assumptions and Catalog'!$H$50+'Assumptions and Catalog'!$E$50+'Assumptions and Catalog'!$F$50,IF(((D731+E731)*C731)&lt;='Assumptions and Catalog'!$C$51,((D731+E731)*C731)*'Assumptions and Catalog'!$H$51+'Assumptions and Catalog'!$E$51+'Assumptions and Catalog'!$F$51,IF(((D731+E731)*C731)&lt;='Assumptions and Catalog'!$C$52,((D731+E731)*C731)*'Assumptions and Catalog'!$H$52+'Assumptions and Catalog'!$E$52+'Assumptions and Catalog'!$F$52,IF(((D731+E731)*C731)&lt;='Assumptions and Catalog'!$C$53,((D731+E731)*C731)*'Assumptions and Catalog'!$H$53+'Assumptions and Catalog'!$E$53+'Assumptions and Catalog'!$F$53,IF(((D731+E731)*C731)&lt;='Assumptions and Catalog'!$C$54,((D731+E731)*C731)*'Assumptions and Catalog'!$H$54+'Assumptions and Catalog'!$E$54+'Assumptions and Catalog'!$F$54,IF(((D731+E731)*C731)&lt;='Assumptions and Catalog'!$C$55,((D731+E731)*C731)*'Assumptions and Catalog'!$H$55+'Assumptions and Catalog'!$E$55+'Assumptions and Catalog'!$F$55,IF(((D731+E731)*C731)&lt;='Assumptions and Catalog'!$C$56,((D731+E731)*C731)*'Assumptions and Catalog'!$H$56+'Assumptions and Catalog'!$E$56+'Assumptions and Catalog'!$F$56,IF(((D731+E731)*C731)&lt;='Assumptions and Catalog'!$C$57,((D731+E731)*C731)*'Assumptions and Catalog'!$H$57+'Assumptions and Catalog'!$E$57+'Assumptions and Catalog'!$F$57,"Out of range")))))))),IF(((D731+E731)*C731)&lt;='Assumptions and Catalog'!$C$60,((D731+E731)*C731)*'Assumptions and Catalog'!$H$60+'Assumptions and Catalog'!$E$60+'Assumptions and Catalog'!$F$60,IF(((D731+E731)*C731)&lt;='Assumptions and Catalog'!$C$61,((D731+E731)*C731)*'Assumptions and Catalog'!$H$61+'Assumptions and Catalog'!$E$61+'Assumptions and Catalog'!$F$61,IF(((D731+E731)*C731)&lt;='Assumptions and Catalog'!$C$62,((D731+E731)*C731)*'Assumptions and Catalog'!$H$62+'Assumptions and Catalog'!$E$62+'Assumptions and Catalog'!$F$62,IF(((D731+E731)*C731)&lt;='Assumptions and Catalog'!$C$63,((D731+E731)*C731)*'Assumptions and Catalog'!$H$63+'Assumptions and Catalog'!$E$63+'Assumptions and Catalog'!$F$63,IF(((D731+E731)*C731)&lt;='Assumptions and Catalog'!$C$64,((D731+E731)*C731)*'Assumptions and Catalog'!$H$64+'Assumptions and Catalog'!$E$64+'Assumptions and Catalog'!$F$64,IF(((D731+E731)*C731)&lt;='Assumptions and Catalog'!$C$65,((D731+E731)*C731)*'Assumptions and Catalog'!$H$65+'Assumptions and Catalog'!$E$65+'Assumptions and Catalog'!$F$65,"Out of range")))))))))*(1+'Assumptions and Catalog'!$C$8)^(A731-1),0)</f>
        <v>6867.22</v>
      </c>
      <c r="N731" s="5" t="n">
        <f>IF(ISNUMBER(Inputs!$L$5),(IF(Inputs!$L$9="Actual flat rate",L731*Inputs!$L$10,IF(Inputs!$C$9="Residential",IF(L731&lt;='Assumptions and Catalog'!$C$50,L731*'Assumptions and Catalog'!$H$50+'Assumptions and Catalog'!$E$50+'Assumptions and Catalog'!$F$50,IF(L731&lt;='Assumptions and Catalog'!$C$51,L731*'Assumptions and Catalog'!$H$51+'Assumptions and Catalog'!$E$51+'Assumptions and Catalog'!$F$51,IF(L731&lt;='Assumptions and Catalog'!$C$52,L731*'Assumptions and Catalog'!$H$52+'Assumptions and Catalog'!$E$52+'Assumptions and Catalog'!$F$52,IF(L731&lt;='Assumptions and Catalog'!$C$53,L731*'Assumptions and Catalog'!$H$53+'Assumptions and Catalog'!$E$53+'Assumptions and Catalog'!$F$53,IF(L731&lt;='Assumptions and Catalog'!$C$54,L731*'Assumptions and Catalog'!$H$54+'Assumptions and Catalog'!$E$54+'Assumptions and Catalog'!$F$54,IF(L731&lt;='Assumptions and Catalog'!$C$55,L731*'Assumptions and Catalog'!$H$55+'Assumptions and Catalog'!$E$55+'Assumptions and Catalog'!$F$55,IF(L731&lt;='Assumptions and Catalog'!$C$56,L731*'Assumptions and Catalog'!$H$56+'Assumptions and Catalog'!$E$56+'Assumptions and Catalog'!$F$56,IF(L731&lt;='Assumptions and Catalog'!$C$57,L731*'Assumptions and Catalog'!$H$57+'Assumptions and Catalog'!$E$57+'Assumptions and Catalog'!$F$57,"Out of range")))))))),IF(L731&lt;='Assumptions and Catalog'!$C$60,L731*'Assumptions and Catalog'!$H$60+'Assumptions and Catalog'!$E$60+'Assumptions and Catalog'!$F$60,IF(L731&lt;='Assumptions and Catalog'!$C$61,L731*'Assumptions and Catalog'!$H$61+'Assumptions and Catalog'!$E$61+'Assumptions and Catalog'!$F$61,IF(L731&lt;='Assumptions and Catalog'!$C$62,L731*'Assumptions and Catalog'!$H$62+'Assumptions and Catalog'!$E$62+'Assumptions and Catalog'!$F$62,IF(L731&lt;='Assumptions and Catalog'!$C$63,L731*'Assumptions and Catalog'!$H$63+'Assumptions and Catalog'!$E$63+'Assumptions and Catalog'!$F$63,IF(L731&lt;='Assumptions and Catalog'!$C$64,L731*'Assumptions and Catalog'!$H$64+'Assumptions and Catalog'!$E$64+'Assumptions and Catalog'!$F$64,IF(L731&lt;='Assumptions and Catalog'!$C$65,L731*'Assumptions and Catalog'!$H$65+'Assumptions and Catalog'!$E$65+'Assumptions and Catalog'!$F$65,"Out of range")))))))))*(1+'Assumptions and Catalog'!$C$8)^(A731-1),0)</f>
        <v>2636.39925811898</v>
      </c>
      <c r="O731" s="5" t="n">
        <f>M731-N731</f>
        <v>4230.82074188102</v>
      </c>
      <c r="P731" s="5" t="n">
        <f>E$55*(1-L$14)*(1-'Assumptions and Catalog'!$C$23)^R731</f>
        <v>9.256148959232</v>
      </c>
      <c r="Q731" s="5" t="n">
        <f>IF(ISNUMBER(Inputs!$L$5),(IF(Inputs!$L$9="Actual flat rate",((D731+E731)*C731-G731)*Inputs!$L$10,IF(Inputs!$C$9="Residential",IF(((D731+E731)*C731-G731)&lt;='Assumptions and Catalog'!$C$50,((D731+E731)*C731-G731)*'Assumptions and Catalog'!$H$50+'Assumptions and Catalog'!$E$50+'Assumptions and Catalog'!$F$50,IF(((D731+E731)*C731-G731)&lt;='Assumptions and Catalog'!$C$51,((D731+E731)*C731-G731)*'Assumptions and Catalog'!$H$51+'Assumptions and Catalog'!$E$51+'Assumptions and Catalog'!$F$51,IF(((D731+E731)*C731-G731)&lt;='Assumptions and Catalog'!$C$52,((D731+E731)*C731-G731)*'Assumptions and Catalog'!$H$52+'Assumptions and Catalog'!$E$52+'Assumptions and Catalog'!$F$52,IF(((D731+E731)*C731-G731)&lt;='Assumptions and Catalog'!$C$53,((D731+E731)*C731-G731)*'Assumptions and Catalog'!$H$53+'Assumptions and Catalog'!$E$53+'Assumptions and Catalog'!$F$53,IF(((D731+E731)*C731-G731)&lt;='Assumptions and Catalog'!$C$54,((D731+E731)*C731-G731)*'Assumptions and Catalog'!$H$54+'Assumptions and Catalog'!$E$54+'Assumptions and Catalog'!$F$54,IF(((D731+E731)*C731-G731)&lt;='Assumptions and Catalog'!$C$55,((D731+E731)*C731-G731)*'Assumptions and Catalog'!$H$55+'Assumptions and Catalog'!$E$55+'Assumptions and Catalog'!$F$55,IF(((D731+E731)*C731-G731)&lt;='Assumptions and Catalog'!$C$56,((D731+E731)*C731-G731)*'Assumptions and Catalog'!$H$56+'Assumptions and Catalog'!$E$56+'Assumptions and Catalog'!$F$56,IF(((D731+E731)*C731-G731)&lt;='Assumptions and Catalog'!$C$57,((D731+E731)*C731-G731)*'Assumptions and Catalog'!$H$57+'Assumptions and Catalog'!$E$57+'Assumptions and Catalog'!$F$57,"Out of range")))))))),IF(((D731+E731)*C731-G731)&lt;='Assumptions and Catalog'!$C$60,((D731+E731)*C731-G731)*'Assumptions and Catalog'!$H$60+'Assumptions and Catalog'!$E$60+'Assumptions and Catalog'!$F$60,IF(((D731+E731)*C731-G731)&lt;='Assumptions and Catalog'!$C$61,((D731+E731)*C731-G731)*'Assumptions and Catalog'!$H$61+'Assumptions and Catalog'!$E$61+'Assumptions and Catalog'!$F$61,IF(((D731+E731)*C731-G731)&lt;='Assumptions and Catalog'!$C$62,((D731+E731)*C731-G731)*'Assumptions and Catalog'!$H$62+'Assumptions and Catalog'!$E$62+'Assumptions and Catalog'!$F$62,IF(((D731+E731)*C731-G731)&lt;='Assumptions and Catalog'!$C$63,((D731+E731)*C731-G731)*'Assumptions and Catalog'!$H$63+'Assumptions and Catalog'!$E$63+'Assumptions and Catalog'!$F$63,IF(((D731+E731)*C731-G731)&lt;='Assumptions and Catalog'!$C$64,((D731+E731)*C731-G731)*'Assumptions and Catalog'!$H$64+'Assumptions and Catalog'!$E$64+'Assumptions and Catalog'!$F$64,IF(((D731+E731)*C731-G731)&lt;='Assumptions and Catalog'!$C$65,((D731+E731)*C731-G731)*'Assumptions and Catalog'!$H$65+'Assumptions and Catalog'!$E$65+'Assumptions and Catalog'!$F$65,"Out of range")))))))))*(1+'Assumptions and Catalog'!$C$8)^(A731-1),0)</f>
        <v>3453.61</v>
      </c>
      <c r="R731" s="5" t="n">
        <f>IF(AND('Assumptions and Catalog'!$C$19&gt;0,A731&gt;='Assumptions and Catalog'!$C$19),A731-'Assumptions and Catalog'!$C$19,A731-1)</f>
        <v>5</v>
      </c>
      <c r="S731" s="5" t="n">
        <f>F731+L731-(D731+E731)*C731-J731-K731-IF(E$52&gt;0,'Assumptions and Catalog'!$C$26*C731,0)</f>
        <v>0</v>
      </c>
      <c r="T731" s="5"/>
      <c r="U731" s="5"/>
    </row>
    <row r="732" ht="23.100000381469727" customHeight="1">
      <c r="A732" s="5" t="n">
        <v>6</v>
      </c>
      <c r="B732" s="5" t="n">
        <v>12</v>
      </c>
      <c r="C732" s="5" t="n">
        <f>DAY(DATE('Assumptions and Catalog'!$C$24+A732-1,B732+1,0))</f>
        <v>31</v>
      </c>
      <c r="D732" s="5" t="n">
        <f>IF(ISNUMBER(Inputs!$L$5),Inputs!$L$5*Inputs!$L$6,0)</f>
        <v>40.35</v>
      </c>
      <c r="E732" s="5" t="n">
        <f>IF(ISNUMBER(Inputs!$L$5),Inputs!$L$5-D732,0)</f>
        <v>40.35</v>
      </c>
      <c r="F732" s="5" t="n">
        <f>E$51*INDEX('Solar Production'!$D$20:$D$31,B732)*C732*(1-'Assumptions and Catalog'!$C$10)^(A732-1)</f>
        <v>1398.89681147802</v>
      </c>
      <c r="G732" s="5" t="n">
        <f>MIN(F732,D732*C732)</f>
        <v>1250.85</v>
      </c>
      <c r="H732" s="5" t="n">
        <f>I732/('Assumptions and Catalog'!$C$11*'Assumptions and Catalog'!$C$12)</f>
        <v>148.046811478018</v>
      </c>
      <c r="I732" s="5" t="n">
        <f>MIN(E732*C732,P732*'Assumptions and Catalog'!$C$12*C732,(F732-G732)*'Assumptions and Catalog'!$C$11*'Assumptions and Catalog'!$C$12,E$56*'Assumptions and Catalog'!$C$14*'Assumptions and Catalog'!$C$11*'Assumptions and Catalog'!$C$12*C732,E$57*(24-'Assumptions and Catalog'!$C$13)*C732)</f>
        <v>140.73700016129</v>
      </c>
      <c r="J732" s="5" t="n">
        <f>MAX(F732-G732-H732,0)</f>
        <v>0</v>
      </c>
      <c r="K732" s="5" t="n">
        <f>H732-I732</f>
        <v>7.30981131672712</v>
      </c>
      <c r="L732" s="5" t="n">
        <f>(D732+E732)*C732-G732-I732+0+IF(E$52&gt;0,'Assumptions and Catalog'!$C$26*C732,0)</f>
        <v>1110.11299983871</v>
      </c>
      <c r="M732" s="5" t="n">
        <f>IF(ISNUMBER(Inputs!$L$5),(IF(Inputs!$L$9="Actual flat rate",((D732+E732)*C732)*Inputs!$L$10,IF(Inputs!$C$9="Residential",IF(((D732+E732)*C732)&lt;='Assumptions and Catalog'!$C$50,((D732+E732)*C732)*'Assumptions and Catalog'!$H$50+'Assumptions and Catalog'!$E$50+'Assumptions and Catalog'!$F$50,IF(((D732+E732)*C732)&lt;='Assumptions and Catalog'!$C$51,((D732+E732)*C732)*'Assumptions and Catalog'!$H$51+'Assumptions and Catalog'!$E$51+'Assumptions and Catalog'!$F$51,IF(((D732+E732)*C732)&lt;='Assumptions and Catalog'!$C$52,((D732+E732)*C732)*'Assumptions and Catalog'!$H$52+'Assumptions and Catalog'!$E$52+'Assumptions and Catalog'!$F$52,IF(((D732+E732)*C732)&lt;='Assumptions and Catalog'!$C$53,((D732+E732)*C732)*'Assumptions and Catalog'!$H$53+'Assumptions and Catalog'!$E$53+'Assumptions and Catalog'!$F$53,IF(((D732+E732)*C732)&lt;='Assumptions and Catalog'!$C$54,((D732+E732)*C732)*'Assumptions and Catalog'!$H$54+'Assumptions and Catalog'!$E$54+'Assumptions and Catalog'!$F$54,IF(((D732+E732)*C732)&lt;='Assumptions and Catalog'!$C$55,((D732+E732)*C732)*'Assumptions and Catalog'!$H$55+'Assumptions and Catalog'!$E$55+'Assumptions and Catalog'!$F$55,IF(((D732+E732)*C732)&lt;='Assumptions and Catalog'!$C$56,((D732+E732)*C732)*'Assumptions and Catalog'!$H$56+'Assumptions and Catalog'!$E$56+'Assumptions and Catalog'!$F$56,IF(((D732+E732)*C732)&lt;='Assumptions and Catalog'!$C$57,((D732+E732)*C732)*'Assumptions and Catalog'!$H$57+'Assumptions and Catalog'!$E$57+'Assumptions and Catalog'!$F$57,"Out of range")))))))),IF(((D732+E732)*C732)&lt;='Assumptions and Catalog'!$C$60,((D732+E732)*C732)*'Assumptions and Catalog'!$H$60+'Assumptions and Catalog'!$E$60+'Assumptions and Catalog'!$F$60,IF(((D732+E732)*C732)&lt;='Assumptions and Catalog'!$C$61,((D732+E732)*C732)*'Assumptions and Catalog'!$H$61+'Assumptions and Catalog'!$E$61+'Assumptions and Catalog'!$F$61,IF(((D732+E732)*C732)&lt;='Assumptions and Catalog'!$C$62,((D732+E732)*C732)*'Assumptions and Catalog'!$H$62+'Assumptions and Catalog'!$E$62+'Assumptions and Catalog'!$F$62,IF(((D732+E732)*C732)&lt;='Assumptions and Catalog'!$C$63,((D732+E732)*C732)*'Assumptions and Catalog'!$H$63+'Assumptions and Catalog'!$E$63+'Assumptions and Catalog'!$F$63,IF(((D732+E732)*C732)&lt;='Assumptions and Catalog'!$C$64,((D732+E732)*C732)*'Assumptions and Catalog'!$H$64+'Assumptions and Catalog'!$E$64+'Assumptions and Catalog'!$F$64,IF(((D732+E732)*C732)&lt;='Assumptions and Catalog'!$C$65,((D732+E732)*C732)*'Assumptions and Catalog'!$H$65+'Assumptions and Catalog'!$E$65+'Assumptions and Catalog'!$F$65,"Out of range")))))))))*(1+'Assumptions and Catalog'!$C$8)^(A732-1),0)</f>
        <v>7094.794</v>
      </c>
      <c r="N732" s="5" t="n">
        <f>IF(ISNUMBER(Inputs!$L$5),(IF(Inputs!$L$9="Actual flat rate",L732*Inputs!$L$10,IF(Inputs!$C$9="Residential",IF(L732&lt;='Assumptions and Catalog'!$C$50,L732*'Assumptions and Catalog'!$H$50+'Assumptions and Catalog'!$E$50+'Assumptions and Catalog'!$F$50,IF(L732&lt;='Assumptions and Catalog'!$C$51,L732*'Assumptions and Catalog'!$H$51+'Assumptions and Catalog'!$E$51+'Assumptions and Catalog'!$F$51,IF(L732&lt;='Assumptions and Catalog'!$C$52,L732*'Assumptions and Catalog'!$H$52+'Assumptions and Catalog'!$E$52+'Assumptions and Catalog'!$F$52,IF(L732&lt;='Assumptions and Catalog'!$C$53,L732*'Assumptions and Catalog'!$H$53+'Assumptions and Catalog'!$E$53+'Assumptions and Catalog'!$F$53,IF(L732&lt;='Assumptions and Catalog'!$C$54,L732*'Assumptions and Catalog'!$H$54+'Assumptions and Catalog'!$E$54+'Assumptions and Catalog'!$F$54,IF(L732&lt;='Assumptions and Catalog'!$C$55,L732*'Assumptions and Catalog'!$H$55+'Assumptions and Catalog'!$E$55+'Assumptions and Catalog'!$F$55,IF(L732&lt;='Assumptions and Catalog'!$C$56,L732*'Assumptions and Catalog'!$H$56+'Assumptions and Catalog'!$E$56+'Assumptions and Catalog'!$F$56,IF(L732&lt;='Assumptions and Catalog'!$C$57,L732*'Assumptions and Catalog'!$H$57+'Assumptions and Catalog'!$E$57+'Assumptions and Catalog'!$F$57,"Out of range")))))))),IF(L732&lt;='Assumptions and Catalog'!$C$60,L732*'Assumptions and Catalog'!$H$60+'Assumptions and Catalog'!$E$60+'Assumptions and Catalog'!$F$60,IF(L732&lt;='Assumptions and Catalog'!$C$61,L732*'Assumptions and Catalog'!$H$61+'Assumptions and Catalog'!$E$61+'Assumptions and Catalog'!$F$61,IF(L732&lt;='Assumptions and Catalog'!$C$62,L732*'Assumptions and Catalog'!$H$62+'Assumptions and Catalog'!$E$62+'Assumptions and Catalog'!$F$62,IF(L732&lt;='Assumptions and Catalog'!$C$63,L732*'Assumptions and Catalog'!$H$63+'Assumptions and Catalog'!$E$63+'Assumptions and Catalog'!$F$63,IF(L732&lt;='Assumptions and Catalog'!$C$64,L732*'Assumptions and Catalog'!$H$64+'Assumptions and Catalog'!$E$64+'Assumptions and Catalog'!$F$64,IF(L732&lt;='Assumptions and Catalog'!$C$65,L732*'Assumptions and Catalog'!$H$65+'Assumptions and Catalog'!$E$65+'Assumptions and Catalog'!$F$65,"Out of range")))))))))*(1+'Assumptions and Catalog'!$C$8)^(A732-1),0)</f>
        <v>3170.51865954516</v>
      </c>
      <c r="O732" s="5" t="n">
        <f>M732-N732</f>
        <v>3924.27534045484</v>
      </c>
      <c r="P732" s="5" t="n">
        <f>E$55*(1-L$14)*(1-'Assumptions and Catalog'!$C$23)^R732</f>
        <v>9.256148959232</v>
      </c>
      <c r="Q732" s="5" t="n">
        <f>IF(ISNUMBER(Inputs!$L$5),(IF(Inputs!$L$9="Actual flat rate",((D732+E732)*C732-G732)*Inputs!$L$10,IF(Inputs!$C$9="Residential",IF(((D732+E732)*C732-G732)&lt;='Assumptions and Catalog'!$C$50,((D732+E732)*C732-G732)*'Assumptions and Catalog'!$H$50+'Assumptions and Catalog'!$E$50+'Assumptions and Catalog'!$F$50,IF(((D732+E732)*C732-G732)&lt;='Assumptions and Catalog'!$C$51,((D732+E732)*C732-G732)*'Assumptions and Catalog'!$H$51+'Assumptions and Catalog'!$E$51+'Assumptions and Catalog'!$F$51,IF(((D732+E732)*C732-G732)&lt;='Assumptions and Catalog'!$C$52,((D732+E732)*C732-G732)*'Assumptions and Catalog'!$H$52+'Assumptions and Catalog'!$E$52+'Assumptions and Catalog'!$F$52,IF(((D732+E732)*C732-G732)&lt;='Assumptions and Catalog'!$C$53,((D732+E732)*C732-G732)*'Assumptions and Catalog'!$H$53+'Assumptions and Catalog'!$E$53+'Assumptions and Catalog'!$F$53,IF(((D732+E732)*C732-G732)&lt;='Assumptions and Catalog'!$C$54,((D732+E732)*C732-G732)*'Assumptions and Catalog'!$H$54+'Assumptions and Catalog'!$E$54+'Assumptions and Catalog'!$F$54,IF(((D732+E732)*C732-G732)&lt;='Assumptions and Catalog'!$C$55,((D732+E732)*C732-G732)*'Assumptions and Catalog'!$H$55+'Assumptions and Catalog'!$E$55+'Assumptions and Catalog'!$F$55,IF(((D732+E732)*C732-G732)&lt;='Assumptions and Catalog'!$C$56,((D732+E732)*C732-G732)*'Assumptions and Catalog'!$H$56+'Assumptions and Catalog'!$E$56+'Assumptions and Catalog'!$F$56,IF(((D732+E732)*C732-G732)&lt;='Assumptions and Catalog'!$C$57,((D732+E732)*C732-G732)*'Assumptions and Catalog'!$H$57+'Assumptions and Catalog'!$E$57+'Assumptions and Catalog'!$F$57,"Out of range")))))))),IF(((D732+E732)*C732-G732)&lt;='Assumptions and Catalog'!$C$60,((D732+E732)*C732-G732)*'Assumptions and Catalog'!$H$60+'Assumptions and Catalog'!$E$60+'Assumptions and Catalog'!$F$60,IF(((D732+E732)*C732-G732)&lt;='Assumptions and Catalog'!$C$61,((D732+E732)*C732-G732)*'Assumptions and Catalog'!$H$61+'Assumptions and Catalog'!$E$61+'Assumptions and Catalog'!$F$61,IF(((D732+E732)*C732-G732)&lt;='Assumptions and Catalog'!$C$62,((D732+E732)*C732-G732)*'Assumptions and Catalog'!$H$62+'Assumptions and Catalog'!$E$62+'Assumptions and Catalog'!$F$62,IF(((D732+E732)*C732-G732)&lt;='Assumptions and Catalog'!$C$63,((D732+E732)*C732-G732)*'Assumptions and Catalog'!$H$63+'Assumptions and Catalog'!$E$63+'Assumptions and Catalog'!$F$63,IF(((D732+E732)*C732-G732)&lt;='Assumptions and Catalog'!$C$64,((D732+E732)*C732-G732)*'Assumptions and Catalog'!$H$64+'Assumptions and Catalog'!$E$64+'Assumptions and Catalog'!$F$64,IF(((D732+E732)*C732-G732)&lt;='Assumptions and Catalog'!$C$65,((D732+E732)*C732-G732)*'Assumptions and Catalog'!$H$65+'Assumptions and Catalog'!$E$65+'Assumptions and Catalog'!$F$65,"Out of range")))))))))*(1+'Assumptions and Catalog'!$C$8)^(A732-1),0)</f>
        <v>3567.397</v>
      </c>
      <c r="R732" s="5" t="n">
        <f>IF(AND('Assumptions and Catalog'!$C$19&gt;0,A732&gt;='Assumptions and Catalog'!$C$19),A732-'Assumptions and Catalog'!$C$19,A732-1)</f>
        <v>5</v>
      </c>
      <c r="S732" s="5" t="n">
        <f>F732+L732-(D732+E732)*C732-J732-K732-IF(E$52&gt;0,'Assumptions and Catalog'!$C$26*C732,0)</f>
        <v>-5.6843418860808E-014</v>
      </c>
      <c r="T732" s="5"/>
      <c r="U732" s="5"/>
    </row>
    <row r="733" ht="23.100000381469727" customHeight="1">
      <c r="A733" s="5" t="n">
        <v>7</v>
      </c>
      <c r="B733" s="5" t="n">
        <v>1</v>
      </c>
      <c r="C733" s="5" t="n">
        <f>DAY(DATE('Assumptions and Catalog'!$C$24+A733-1,B733+1,0))</f>
        <v>31</v>
      </c>
      <c r="D733" s="5" t="n">
        <f>IF(ISNUMBER(Inputs!$L$5),Inputs!$L$5*Inputs!$L$6,0)</f>
        <v>40.35</v>
      </c>
      <c r="E733" s="5" t="n">
        <f>IF(ISNUMBER(Inputs!$L$5),Inputs!$L$5-D733,0)</f>
        <v>40.35</v>
      </c>
      <c r="F733" s="5" t="n">
        <f>E$51*INDEX('Solar Production'!$D$20:$D$31,B733)*C733*(1-'Assumptions and Catalog'!$C$10)^(A733-1)</f>
        <v>1401.50901526326</v>
      </c>
      <c r="G733" s="5" t="n">
        <f>MIN(F733,D733*C733)</f>
        <v>1250.85</v>
      </c>
      <c r="H733" s="5" t="n">
        <f>I733/('Assumptions and Catalog'!$C$11*'Assumptions and Catalog'!$C$12)</f>
        <v>150.659015263255</v>
      </c>
      <c r="I733" s="5" t="n">
        <f>MIN(E733*C733,P733*'Assumptions and Catalog'!$C$12*C733,(F733-G733)*'Assumptions and Catalog'!$C$11*'Assumptions and Catalog'!$C$12,E$56*'Assumptions and Catalog'!$C$14*'Assumptions and Catalog'!$C$11*'Assumptions and Catalog'!$C$12*C733,E$57*(24-'Assumptions and Catalog'!$C$13)*C733)</f>
        <v>143.220226384632</v>
      </c>
      <c r="J733" s="5" t="n">
        <f>MAX(F733-G733-H733,0)</f>
        <v>0</v>
      </c>
      <c r="K733" s="5" t="n">
        <f>H733-I733</f>
        <v>7.4387888786232</v>
      </c>
      <c r="L733" s="5" t="n">
        <f>(D733+E733)*C733-G733-I733+0+IF(E$52&gt;0,'Assumptions and Catalog'!$C$26*C733,0)</f>
        <v>1107.62977361537</v>
      </c>
      <c r="M733" s="5" t="n">
        <f>IF(ISNUMBER(Inputs!$L$5),(IF(Inputs!$L$9="Actual flat rate",((D733+E733)*C733)*Inputs!$L$10,IF(Inputs!$C$9="Residential",IF(((D733+E733)*C733)&lt;='Assumptions and Catalog'!$C$50,((D733+E733)*C733)*'Assumptions and Catalog'!$H$50+'Assumptions and Catalog'!$E$50+'Assumptions and Catalog'!$F$50,IF(((D733+E733)*C733)&lt;='Assumptions and Catalog'!$C$51,((D733+E733)*C733)*'Assumptions and Catalog'!$H$51+'Assumptions and Catalog'!$E$51+'Assumptions and Catalog'!$F$51,IF(((D733+E733)*C733)&lt;='Assumptions and Catalog'!$C$52,((D733+E733)*C733)*'Assumptions and Catalog'!$H$52+'Assumptions and Catalog'!$E$52+'Assumptions and Catalog'!$F$52,IF(((D733+E733)*C733)&lt;='Assumptions and Catalog'!$C$53,((D733+E733)*C733)*'Assumptions and Catalog'!$H$53+'Assumptions and Catalog'!$E$53+'Assumptions and Catalog'!$F$53,IF(((D733+E733)*C733)&lt;='Assumptions and Catalog'!$C$54,((D733+E733)*C733)*'Assumptions and Catalog'!$H$54+'Assumptions and Catalog'!$E$54+'Assumptions and Catalog'!$F$54,IF(((D733+E733)*C733)&lt;='Assumptions and Catalog'!$C$55,((D733+E733)*C733)*'Assumptions and Catalog'!$H$55+'Assumptions and Catalog'!$E$55+'Assumptions and Catalog'!$F$55,IF(((D733+E733)*C733)&lt;='Assumptions and Catalog'!$C$56,((D733+E733)*C733)*'Assumptions and Catalog'!$H$56+'Assumptions and Catalog'!$E$56+'Assumptions and Catalog'!$F$56,IF(((D733+E733)*C733)&lt;='Assumptions and Catalog'!$C$57,((D733+E733)*C733)*'Assumptions and Catalog'!$H$57+'Assumptions and Catalog'!$E$57+'Assumptions and Catalog'!$F$57,"Out of range")))))))),IF(((D733+E733)*C733)&lt;='Assumptions and Catalog'!$C$60,((D733+E733)*C733)*'Assumptions and Catalog'!$H$60+'Assumptions and Catalog'!$E$60+'Assumptions and Catalog'!$F$60,IF(((D733+E733)*C733)&lt;='Assumptions and Catalog'!$C$61,((D733+E733)*C733)*'Assumptions and Catalog'!$H$61+'Assumptions and Catalog'!$E$61+'Assumptions and Catalog'!$F$61,IF(((D733+E733)*C733)&lt;='Assumptions and Catalog'!$C$62,((D733+E733)*C733)*'Assumptions and Catalog'!$H$62+'Assumptions and Catalog'!$E$62+'Assumptions and Catalog'!$F$62,IF(((D733+E733)*C733)&lt;='Assumptions and Catalog'!$C$63,((D733+E733)*C733)*'Assumptions and Catalog'!$H$63+'Assumptions and Catalog'!$E$63+'Assumptions and Catalog'!$F$63,IF(((D733+E733)*C733)&lt;='Assumptions and Catalog'!$C$64,((D733+E733)*C733)*'Assumptions and Catalog'!$H$64+'Assumptions and Catalog'!$E$64+'Assumptions and Catalog'!$F$64,IF(((D733+E733)*C733)&lt;='Assumptions and Catalog'!$C$65,((D733+E733)*C733)*'Assumptions and Catalog'!$H$65+'Assumptions and Catalog'!$E$65+'Assumptions and Catalog'!$F$65,"Out of range")))))))))*(1+'Assumptions and Catalog'!$C$8)^(A733-1),0)</f>
        <v>7094.794</v>
      </c>
      <c r="N733" s="5" t="n">
        <f>IF(ISNUMBER(Inputs!$L$5),(IF(Inputs!$L$9="Actual flat rate",L733*Inputs!$L$10,IF(Inputs!$C$9="Residential",IF(L733&lt;='Assumptions and Catalog'!$C$50,L733*'Assumptions and Catalog'!$H$50+'Assumptions and Catalog'!$E$50+'Assumptions and Catalog'!$F$50,IF(L733&lt;='Assumptions and Catalog'!$C$51,L733*'Assumptions and Catalog'!$H$51+'Assumptions and Catalog'!$E$51+'Assumptions and Catalog'!$F$51,IF(L733&lt;='Assumptions and Catalog'!$C$52,L733*'Assumptions and Catalog'!$H$52+'Assumptions and Catalog'!$E$52+'Assumptions and Catalog'!$F$52,IF(L733&lt;='Assumptions and Catalog'!$C$53,L733*'Assumptions and Catalog'!$H$53+'Assumptions and Catalog'!$E$53+'Assumptions and Catalog'!$F$53,IF(L733&lt;='Assumptions and Catalog'!$C$54,L733*'Assumptions and Catalog'!$H$54+'Assumptions and Catalog'!$E$54+'Assumptions and Catalog'!$F$54,IF(L733&lt;='Assumptions and Catalog'!$C$55,L733*'Assumptions and Catalog'!$H$55+'Assumptions and Catalog'!$E$55+'Assumptions and Catalog'!$F$55,IF(L733&lt;='Assumptions and Catalog'!$C$56,L733*'Assumptions and Catalog'!$H$56+'Assumptions and Catalog'!$E$56+'Assumptions and Catalog'!$F$56,IF(L733&lt;='Assumptions and Catalog'!$C$57,L733*'Assumptions and Catalog'!$H$57+'Assumptions and Catalog'!$E$57+'Assumptions and Catalog'!$F$57,"Out of range")))))))),IF(L733&lt;='Assumptions and Catalog'!$C$60,L733*'Assumptions and Catalog'!$H$60+'Assumptions and Catalog'!$E$60+'Assumptions and Catalog'!$F$60,IF(L733&lt;='Assumptions and Catalog'!$C$61,L733*'Assumptions and Catalog'!$H$61+'Assumptions and Catalog'!$E$61+'Assumptions and Catalog'!$F$61,IF(L733&lt;='Assumptions and Catalog'!$C$62,L733*'Assumptions and Catalog'!$H$62+'Assumptions and Catalog'!$E$62+'Assumptions and Catalog'!$F$62,IF(L733&lt;='Assumptions and Catalog'!$C$63,L733*'Assumptions and Catalog'!$H$63+'Assumptions and Catalog'!$E$63+'Assumptions and Catalog'!$F$63,IF(L733&lt;='Assumptions and Catalog'!$C$64,L733*'Assumptions and Catalog'!$H$64+'Assumptions and Catalog'!$E$64+'Assumptions and Catalog'!$F$64,IF(L733&lt;='Assumptions and Catalog'!$C$65,L733*'Assumptions and Catalog'!$H$65+'Assumptions and Catalog'!$E$65+'Assumptions and Catalog'!$F$65,"Out of range")))))))))*(1+'Assumptions and Catalog'!$C$8)^(A733-1),0)</f>
        <v>3163.51596159534</v>
      </c>
      <c r="O733" s="5" t="n">
        <f>M733-N733</f>
        <v>3931.27803840466</v>
      </c>
      <c r="P733" s="5" t="n">
        <f>E$55*(1-L$14)*(1-'Assumptions and Catalog'!$C$23)^R733</f>
        <v>9.07102598004736</v>
      </c>
      <c r="Q733" s="5" t="n">
        <f>IF(ISNUMBER(Inputs!$L$5),(IF(Inputs!$L$9="Actual flat rate",((D733+E733)*C733-G733)*Inputs!$L$10,IF(Inputs!$C$9="Residential",IF(((D733+E733)*C733-G733)&lt;='Assumptions and Catalog'!$C$50,((D733+E733)*C733-G733)*'Assumptions and Catalog'!$H$50+'Assumptions and Catalog'!$E$50+'Assumptions and Catalog'!$F$50,IF(((D733+E733)*C733-G733)&lt;='Assumptions and Catalog'!$C$51,((D733+E733)*C733-G733)*'Assumptions and Catalog'!$H$51+'Assumptions and Catalog'!$E$51+'Assumptions and Catalog'!$F$51,IF(((D733+E733)*C733-G733)&lt;='Assumptions and Catalog'!$C$52,((D733+E733)*C733-G733)*'Assumptions and Catalog'!$H$52+'Assumptions and Catalog'!$E$52+'Assumptions and Catalog'!$F$52,IF(((D733+E733)*C733-G733)&lt;='Assumptions and Catalog'!$C$53,((D733+E733)*C733-G733)*'Assumptions and Catalog'!$H$53+'Assumptions and Catalog'!$E$53+'Assumptions and Catalog'!$F$53,IF(((D733+E733)*C733-G733)&lt;='Assumptions and Catalog'!$C$54,((D733+E733)*C733-G733)*'Assumptions and Catalog'!$H$54+'Assumptions and Catalog'!$E$54+'Assumptions and Catalog'!$F$54,IF(((D733+E733)*C733-G733)&lt;='Assumptions and Catalog'!$C$55,((D733+E733)*C733-G733)*'Assumptions and Catalog'!$H$55+'Assumptions and Catalog'!$E$55+'Assumptions and Catalog'!$F$55,IF(((D733+E733)*C733-G733)&lt;='Assumptions and Catalog'!$C$56,((D733+E733)*C733-G733)*'Assumptions and Catalog'!$H$56+'Assumptions and Catalog'!$E$56+'Assumptions and Catalog'!$F$56,IF(((D733+E733)*C733-G733)&lt;='Assumptions and Catalog'!$C$57,((D733+E733)*C733-G733)*'Assumptions and Catalog'!$H$57+'Assumptions and Catalog'!$E$57+'Assumptions and Catalog'!$F$57,"Out of range")))))))),IF(((D733+E733)*C733-G733)&lt;='Assumptions and Catalog'!$C$60,((D733+E733)*C733-G733)*'Assumptions and Catalog'!$H$60+'Assumptions and Catalog'!$E$60+'Assumptions and Catalog'!$F$60,IF(((D733+E733)*C733-G733)&lt;='Assumptions and Catalog'!$C$61,((D733+E733)*C733-G733)*'Assumptions and Catalog'!$H$61+'Assumptions and Catalog'!$E$61+'Assumptions and Catalog'!$F$61,IF(((D733+E733)*C733-G733)&lt;='Assumptions and Catalog'!$C$62,((D733+E733)*C733-G733)*'Assumptions and Catalog'!$H$62+'Assumptions and Catalog'!$E$62+'Assumptions and Catalog'!$F$62,IF(((D733+E733)*C733-G733)&lt;='Assumptions and Catalog'!$C$63,((D733+E733)*C733-G733)*'Assumptions and Catalog'!$H$63+'Assumptions and Catalog'!$E$63+'Assumptions and Catalog'!$F$63,IF(((D733+E733)*C733-G733)&lt;='Assumptions and Catalog'!$C$64,((D733+E733)*C733-G733)*'Assumptions and Catalog'!$H$64+'Assumptions and Catalog'!$E$64+'Assumptions and Catalog'!$F$64,IF(((D733+E733)*C733-G733)&lt;='Assumptions and Catalog'!$C$65,((D733+E733)*C733-G733)*'Assumptions and Catalog'!$H$65+'Assumptions and Catalog'!$E$65+'Assumptions and Catalog'!$F$65,"Out of range")))))))))*(1+'Assumptions and Catalog'!$C$8)^(A733-1),0)</f>
        <v>3567.397</v>
      </c>
      <c r="R733" s="5" t="n">
        <f>IF(AND('Assumptions and Catalog'!$C$19&gt;0,A733&gt;='Assumptions and Catalog'!$C$19),A733-'Assumptions and Catalog'!$C$19,A733-1)</f>
        <v>6</v>
      </c>
      <c r="S733" s="5" t="n">
        <f>F733+L733-(D733+E733)*C733-J733-K733-IF(E$52&gt;0,'Assumptions and Catalog'!$C$26*C733,0)</f>
        <v>0</v>
      </c>
      <c r="T733" s="5"/>
      <c r="U733" s="5"/>
    </row>
    <row r="734" ht="23.100000381469727" customHeight="1">
      <c r="A734" s="5" t="n">
        <v>7</v>
      </c>
      <c r="B734" s="5" t="n">
        <v>2</v>
      </c>
      <c r="C734" s="5" t="n">
        <f>DAY(DATE('Assumptions and Catalog'!$C$24+A734-1,B734+1,0))</f>
        <v>28</v>
      </c>
      <c r="D734" s="5" t="n">
        <f>IF(ISNUMBER(Inputs!$L$5),Inputs!$L$5*Inputs!$L$6,0)</f>
        <v>40.35</v>
      </c>
      <c r="E734" s="5" t="n">
        <f>IF(ISNUMBER(Inputs!$L$5),Inputs!$L$5-D734,0)</f>
        <v>40.35</v>
      </c>
      <c r="F734" s="5" t="n">
        <f>E$51*INDEX('Solar Production'!$D$20:$D$31,B734)*C734*(1-'Assumptions and Catalog'!$C$10)^(A734-1)</f>
        <v>1381.76193469785</v>
      </c>
      <c r="G734" s="5" t="n">
        <f>MIN(F734,D734*C734)</f>
        <v>1129.8</v>
      </c>
      <c r="H734" s="5" t="n">
        <f>I734/('Assumptions and Catalog'!$C$11*'Assumptions and Catalog'!$C$12)</f>
        <v>251.961934697854</v>
      </c>
      <c r="I734" s="5" t="n">
        <f>MIN(E734*C734,P734*'Assumptions and Catalog'!$C$12*C734,(F734-G734)*'Assumptions and Catalog'!$C$11*'Assumptions and Catalog'!$C$12,E$56*'Assumptions and Catalog'!$C$14*'Assumptions and Catalog'!$C$11*'Assumptions and Catalog'!$C$12*C734,E$57*(24-'Assumptions and Catalog'!$C$13)*C734)</f>
        <v>239.521314172148</v>
      </c>
      <c r="J734" s="5" t="n">
        <f>MAX(F734-G734-H734,0)</f>
        <v>0</v>
      </c>
      <c r="K734" s="5" t="n">
        <f>H734-I734</f>
        <v>12.4406205257066</v>
      </c>
      <c r="L734" s="5" t="n">
        <f>(D734+E734)*C734-G734-I734+0+IF(E$52&gt;0,'Assumptions and Catalog'!$C$26*C734,0)</f>
        <v>890.278685827852</v>
      </c>
      <c r="M734" s="5" t="n">
        <f>IF(ISNUMBER(Inputs!$L$5),(IF(Inputs!$L$9="Actual flat rate",((D734+E734)*C734)*Inputs!$L$10,IF(Inputs!$C$9="Residential",IF(((D734+E734)*C734)&lt;='Assumptions and Catalog'!$C$50,((D734+E734)*C734)*'Assumptions and Catalog'!$H$50+'Assumptions and Catalog'!$E$50+'Assumptions and Catalog'!$F$50,IF(((D734+E734)*C734)&lt;='Assumptions and Catalog'!$C$51,((D734+E734)*C734)*'Assumptions and Catalog'!$H$51+'Assumptions and Catalog'!$E$51+'Assumptions and Catalog'!$F$51,IF(((D734+E734)*C734)&lt;='Assumptions and Catalog'!$C$52,((D734+E734)*C734)*'Assumptions and Catalog'!$H$52+'Assumptions and Catalog'!$E$52+'Assumptions and Catalog'!$F$52,IF(((D734+E734)*C734)&lt;='Assumptions and Catalog'!$C$53,((D734+E734)*C734)*'Assumptions and Catalog'!$H$53+'Assumptions and Catalog'!$E$53+'Assumptions and Catalog'!$F$53,IF(((D734+E734)*C734)&lt;='Assumptions and Catalog'!$C$54,((D734+E734)*C734)*'Assumptions and Catalog'!$H$54+'Assumptions and Catalog'!$E$54+'Assumptions and Catalog'!$F$54,IF(((D734+E734)*C734)&lt;='Assumptions and Catalog'!$C$55,((D734+E734)*C734)*'Assumptions and Catalog'!$H$55+'Assumptions and Catalog'!$E$55+'Assumptions and Catalog'!$F$55,IF(((D734+E734)*C734)&lt;='Assumptions and Catalog'!$C$56,((D734+E734)*C734)*'Assumptions and Catalog'!$H$56+'Assumptions and Catalog'!$E$56+'Assumptions and Catalog'!$F$56,IF(((D734+E734)*C734)&lt;='Assumptions and Catalog'!$C$57,((D734+E734)*C734)*'Assumptions and Catalog'!$H$57+'Assumptions and Catalog'!$E$57+'Assumptions and Catalog'!$F$57,"Out of range")))))))),IF(((D734+E734)*C734)&lt;='Assumptions and Catalog'!$C$60,((D734+E734)*C734)*'Assumptions and Catalog'!$H$60+'Assumptions and Catalog'!$E$60+'Assumptions and Catalog'!$F$60,IF(((D734+E734)*C734)&lt;='Assumptions and Catalog'!$C$61,((D734+E734)*C734)*'Assumptions and Catalog'!$H$61+'Assumptions and Catalog'!$E$61+'Assumptions and Catalog'!$F$61,IF(((D734+E734)*C734)&lt;='Assumptions and Catalog'!$C$62,((D734+E734)*C734)*'Assumptions and Catalog'!$H$62+'Assumptions and Catalog'!$E$62+'Assumptions and Catalog'!$F$62,IF(((D734+E734)*C734)&lt;='Assumptions and Catalog'!$C$63,((D734+E734)*C734)*'Assumptions and Catalog'!$H$63+'Assumptions and Catalog'!$E$63+'Assumptions and Catalog'!$F$63,IF(((D734+E734)*C734)&lt;='Assumptions and Catalog'!$C$64,((D734+E734)*C734)*'Assumptions and Catalog'!$H$64+'Assumptions and Catalog'!$E$64+'Assumptions and Catalog'!$F$64,IF(((D734+E734)*C734)&lt;='Assumptions and Catalog'!$C$65,((D734+E734)*C734)*'Assumptions and Catalog'!$H$65+'Assumptions and Catalog'!$E$65+'Assumptions and Catalog'!$F$65,"Out of range")))))))))*(1+'Assumptions and Catalog'!$C$8)^(A734-1),0)</f>
        <v>6412.072</v>
      </c>
      <c r="N734" s="5" t="n">
        <f>IF(ISNUMBER(Inputs!$L$5),(IF(Inputs!$L$9="Actual flat rate",L734*Inputs!$L$10,IF(Inputs!$C$9="Residential",IF(L734&lt;='Assumptions and Catalog'!$C$50,L734*'Assumptions and Catalog'!$H$50+'Assumptions and Catalog'!$E$50+'Assumptions and Catalog'!$F$50,IF(L734&lt;='Assumptions and Catalog'!$C$51,L734*'Assumptions and Catalog'!$H$51+'Assumptions and Catalog'!$E$51+'Assumptions and Catalog'!$F$51,IF(L734&lt;='Assumptions and Catalog'!$C$52,L734*'Assumptions and Catalog'!$H$52+'Assumptions and Catalog'!$E$52+'Assumptions and Catalog'!$F$52,IF(L734&lt;='Assumptions and Catalog'!$C$53,L734*'Assumptions and Catalog'!$H$53+'Assumptions and Catalog'!$E$53+'Assumptions and Catalog'!$F$53,IF(L734&lt;='Assumptions and Catalog'!$C$54,L734*'Assumptions and Catalog'!$H$54+'Assumptions and Catalog'!$E$54+'Assumptions and Catalog'!$F$54,IF(L734&lt;='Assumptions and Catalog'!$C$55,L734*'Assumptions and Catalog'!$H$55+'Assumptions and Catalog'!$E$55+'Assumptions and Catalog'!$F$55,IF(L734&lt;='Assumptions and Catalog'!$C$56,L734*'Assumptions and Catalog'!$H$56+'Assumptions and Catalog'!$E$56+'Assumptions and Catalog'!$F$56,IF(L734&lt;='Assumptions and Catalog'!$C$57,L734*'Assumptions and Catalog'!$H$57+'Assumptions and Catalog'!$E$57+'Assumptions and Catalog'!$F$57,"Out of range")))))))),IF(L734&lt;='Assumptions and Catalog'!$C$60,L734*'Assumptions and Catalog'!$H$60+'Assumptions and Catalog'!$E$60+'Assumptions and Catalog'!$F$60,IF(L734&lt;='Assumptions and Catalog'!$C$61,L734*'Assumptions and Catalog'!$H$61+'Assumptions and Catalog'!$E$61+'Assumptions and Catalog'!$F$61,IF(L734&lt;='Assumptions and Catalog'!$C$62,L734*'Assumptions and Catalog'!$H$62+'Assumptions and Catalog'!$E$62+'Assumptions and Catalog'!$F$62,IF(L734&lt;='Assumptions and Catalog'!$C$63,L734*'Assumptions and Catalog'!$H$63+'Assumptions and Catalog'!$E$63+'Assumptions and Catalog'!$F$63,IF(L734&lt;='Assumptions and Catalog'!$C$64,L734*'Assumptions and Catalog'!$H$64+'Assumptions and Catalog'!$E$64+'Assumptions and Catalog'!$F$64,IF(L734&lt;='Assumptions and Catalog'!$C$65,L734*'Assumptions and Catalog'!$H$65+'Assumptions and Catalog'!$E$65+'Assumptions and Catalog'!$F$65,"Out of range")))))))))*(1+'Assumptions and Catalog'!$C$8)^(A734-1),0)</f>
        <v>2431.07195974315</v>
      </c>
      <c r="O734" s="5" t="n">
        <f>M734-N734</f>
        <v>3981.00004025685</v>
      </c>
      <c r="P734" s="5" t="n">
        <f>E$55*(1-L$14)*(1-'Assumptions and Catalog'!$C$23)^R734</f>
        <v>9.07102598004736</v>
      </c>
      <c r="Q734" s="5" t="n">
        <f>IF(ISNUMBER(Inputs!$L$5),(IF(Inputs!$L$9="Actual flat rate",((D734+E734)*C734-G734)*Inputs!$L$10,IF(Inputs!$C$9="Residential",IF(((D734+E734)*C734-G734)&lt;='Assumptions and Catalog'!$C$50,((D734+E734)*C734-G734)*'Assumptions and Catalog'!$H$50+'Assumptions and Catalog'!$E$50+'Assumptions and Catalog'!$F$50,IF(((D734+E734)*C734-G734)&lt;='Assumptions and Catalog'!$C$51,((D734+E734)*C734-G734)*'Assumptions and Catalog'!$H$51+'Assumptions and Catalog'!$E$51+'Assumptions and Catalog'!$F$51,IF(((D734+E734)*C734-G734)&lt;='Assumptions and Catalog'!$C$52,((D734+E734)*C734-G734)*'Assumptions and Catalog'!$H$52+'Assumptions and Catalog'!$E$52+'Assumptions and Catalog'!$F$52,IF(((D734+E734)*C734-G734)&lt;='Assumptions and Catalog'!$C$53,((D734+E734)*C734-G734)*'Assumptions and Catalog'!$H$53+'Assumptions and Catalog'!$E$53+'Assumptions and Catalog'!$F$53,IF(((D734+E734)*C734-G734)&lt;='Assumptions and Catalog'!$C$54,((D734+E734)*C734-G734)*'Assumptions and Catalog'!$H$54+'Assumptions and Catalog'!$E$54+'Assumptions and Catalog'!$F$54,IF(((D734+E734)*C734-G734)&lt;='Assumptions and Catalog'!$C$55,((D734+E734)*C734-G734)*'Assumptions and Catalog'!$H$55+'Assumptions and Catalog'!$E$55+'Assumptions and Catalog'!$F$55,IF(((D734+E734)*C734-G734)&lt;='Assumptions and Catalog'!$C$56,((D734+E734)*C734-G734)*'Assumptions and Catalog'!$H$56+'Assumptions and Catalog'!$E$56+'Assumptions and Catalog'!$F$56,IF(((D734+E734)*C734-G734)&lt;='Assumptions and Catalog'!$C$57,((D734+E734)*C734-G734)*'Assumptions and Catalog'!$H$57+'Assumptions and Catalog'!$E$57+'Assumptions and Catalog'!$F$57,"Out of range")))))))),IF(((D734+E734)*C734-G734)&lt;='Assumptions and Catalog'!$C$60,((D734+E734)*C734-G734)*'Assumptions and Catalog'!$H$60+'Assumptions and Catalog'!$E$60+'Assumptions and Catalog'!$F$60,IF(((D734+E734)*C734-G734)&lt;='Assumptions and Catalog'!$C$61,((D734+E734)*C734-G734)*'Assumptions and Catalog'!$H$61+'Assumptions and Catalog'!$E$61+'Assumptions and Catalog'!$F$61,IF(((D734+E734)*C734-G734)&lt;='Assumptions and Catalog'!$C$62,((D734+E734)*C734-G734)*'Assumptions and Catalog'!$H$62+'Assumptions and Catalog'!$E$62+'Assumptions and Catalog'!$F$62,IF(((D734+E734)*C734-G734)&lt;='Assumptions and Catalog'!$C$63,((D734+E734)*C734-G734)*'Assumptions and Catalog'!$H$63+'Assumptions and Catalog'!$E$63+'Assumptions and Catalog'!$F$63,IF(((D734+E734)*C734-G734)&lt;='Assumptions and Catalog'!$C$64,((D734+E734)*C734-G734)*'Assumptions and Catalog'!$H$64+'Assumptions and Catalog'!$E$64+'Assumptions and Catalog'!$F$64,IF(((D734+E734)*C734-G734)&lt;='Assumptions and Catalog'!$C$65,((D734+E734)*C734-G734)*'Assumptions and Catalog'!$H$65+'Assumptions and Catalog'!$E$65+'Assumptions and Catalog'!$F$65,"Out of range")))))))))*(1+'Assumptions and Catalog'!$C$8)^(A734-1),0)</f>
        <v>3226.036</v>
      </c>
      <c r="R734" s="5" t="n">
        <f>IF(AND('Assumptions and Catalog'!$C$19&gt;0,A734&gt;='Assumptions and Catalog'!$C$19),A734-'Assumptions and Catalog'!$C$19,A734-1)</f>
        <v>6</v>
      </c>
      <c r="S734" s="5" t="n">
        <f>F734+L734-(D734+E734)*C734-J734-K734-IF(E$52&gt;0,'Assumptions and Catalog'!$C$26*C734,0)</f>
        <v>-1.4210854715202E-013</v>
      </c>
      <c r="T734" s="5"/>
      <c r="U734" s="5"/>
    </row>
    <row r="735" ht="23.100000381469727" customHeight="1">
      <c r="A735" s="5" t="n">
        <v>7</v>
      </c>
      <c r="B735" s="5" t="n">
        <v>3</v>
      </c>
      <c r="C735" s="5" t="n">
        <f>DAY(DATE('Assumptions and Catalog'!$C$24+A735-1,B735+1,0))</f>
        <v>31</v>
      </c>
      <c r="D735" s="5" t="n">
        <f>IF(ISNUMBER(Inputs!$L$5),Inputs!$L$5*Inputs!$L$6,0)</f>
        <v>40.35</v>
      </c>
      <c r="E735" s="5" t="n">
        <f>IF(ISNUMBER(Inputs!$L$5),Inputs!$L$5-D735,0)</f>
        <v>40.35</v>
      </c>
      <c r="F735" s="5" t="n">
        <f>E$51*INDEX('Solar Production'!$D$20:$D$31,B735)*C735*(1-'Assumptions and Catalog'!$C$10)^(A735-1)</f>
        <v>1719.17015992612</v>
      </c>
      <c r="G735" s="5" t="n">
        <f>MIN(F735,D735*C735)</f>
        <v>1250.85</v>
      </c>
      <c r="H735" s="5" t="n">
        <f>I735/('Assumptions and Catalog'!$C$11*'Assumptions and Catalog'!$C$12)</f>
        <v>288.412108083557</v>
      </c>
      <c r="I735" s="5" t="n">
        <f>MIN(E735*C735,P735*'Assumptions and Catalog'!$C$12*C735,(F735-G735)*'Assumptions and Catalog'!$C$11*'Assumptions and Catalog'!$C$12,E$56*'Assumptions and Catalog'!$C$14*'Assumptions and Catalog'!$C$11*'Assumptions and Catalog'!$C$12*C735,E$57*(24-'Assumptions and Catalog'!$C$13)*C735)</f>
        <v>274.171760246932</v>
      </c>
      <c r="J735" s="5" t="n">
        <f>MAX(F735-G735-H735,0)</f>
        <v>179.908051842564</v>
      </c>
      <c r="K735" s="5" t="n">
        <f>H735-I735</f>
        <v>14.2403478366256</v>
      </c>
      <c r="L735" s="5" t="n">
        <f>(D735+E735)*C735-G735-I735+0+IF(E$52&gt;0,'Assumptions and Catalog'!$C$26*C735,0)</f>
        <v>976.678239753069</v>
      </c>
      <c r="M735" s="5" t="n">
        <f>IF(ISNUMBER(Inputs!$L$5),(IF(Inputs!$L$9="Actual flat rate",((D735+E735)*C735)*Inputs!$L$10,IF(Inputs!$C$9="Residential",IF(((D735+E735)*C735)&lt;='Assumptions and Catalog'!$C$50,((D735+E735)*C735)*'Assumptions and Catalog'!$H$50+'Assumptions and Catalog'!$E$50+'Assumptions and Catalog'!$F$50,IF(((D735+E735)*C735)&lt;='Assumptions and Catalog'!$C$51,((D735+E735)*C735)*'Assumptions and Catalog'!$H$51+'Assumptions and Catalog'!$E$51+'Assumptions and Catalog'!$F$51,IF(((D735+E735)*C735)&lt;='Assumptions and Catalog'!$C$52,((D735+E735)*C735)*'Assumptions and Catalog'!$H$52+'Assumptions and Catalog'!$E$52+'Assumptions and Catalog'!$F$52,IF(((D735+E735)*C735)&lt;='Assumptions and Catalog'!$C$53,((D735+E735)*C735)*'Assumptions and Catalog'!$H$53+'Assumptions and Catalog'!$E$53+'Assumptions and Catalog'!$F$53,IF(((D735+E735)*C735)&lt;='Assumptions and Catalog'!$C$54,((D735+E735)*C735)*'Assumptions and Catalog'!$H$54+'Assumptions and Catalog'!$E$54+'Assumptions and Catalog'!$F$54,IF(((D735+E735)*C735)&lt;='Assumptions and Catalog'!$C$55,((D735+E735)*C735)*'Assumptions and Catalog'!$H$55+'Assumptions and Catalog'!$E$55+'Assumptions and Catalog'!$F$55,IF(((D735+E735)*C735)&lt;='Assumptions and Catalog'!$C$56,((D735+E735)*C735)*'Assumptions and Catalog'!$H$56+'Assumptions and Catalog'!$E$56+'Assumptions and Catalog'!$F$56,IF(((D735+E735)*C735)&lt;='Assumptions and Catalog'!$C$57,((D735+E735)*C735)*'Assumptions and Catalog'!$H$57+'Assumptions and Catalog'!$E$57+'Assumptions and Catalog'!$F$57,"Out of range")))))))),IF(((D735+E735)*C735)&lt;='Assumptions and Catalog'!$C$60,((D735+E735)*C735)*'Assumptions and Catalog'!$H$60+'Assumptions and Catalog'!$E$60+'Assumptions and Catalog'!$F$60,IF(((D735+E735)*C735)&lt;='Assumptions and Catalog'!$C$61,((D735+E735)*C735)*'Assumptions and Catalog'!$H$61+'Assumptions and Catalog'!$E$61+'Assumptions and Catalog'!$F$61,IF(((D735+E735)*C735)&lt;='Assumptions and Catalog'!$C$62,((D735+E735)*C735)*'Assumptions and Catalog'!$H$62+'Assumptions and Catalog'!$E$62+'Assumptions and Catalog'!$F$62,IF(((D735+E735)*C735)&lt;='Assumptions and Catalog'!$C$63,((D735+E735)*C735)*'Assumptions and Catalog'!$H$63+'Assumptions and Catalog'!$E$63+'Assumptions and Catalog'!$F$63,IF(((D735+E735)*C735)&lt;='Assumptions and Catalog'!$C$64,((D735+E735)*C735)*'Assumptions and Catalog'!$H$64+'Assumptions and Catalog'!$E$64+'Assumptions and Catalog'!$F$64,IF(((D735+E735)*C735)&lt;='Assumptions and Catalog'!$C$65,((D735+E735)*C735)*'Assumptions and Catalog'!$H$65+'Assumptions and Catalog'!$E$65+'Assumptions and Catalog'!$F$65,"Out of range")))))))))*(1+'Assumptions and Catalog'!$C$8)^(A735-1),0)</f>
        <v>7094.794</v>
      </c>
      <c r="N735" s="5" t="n">
        <f>IF(ISNUMBER(Inputs!$L$5),(IF(Inputs!$L$9="Actual flat rate",L735*Inputs!$L$10,IF(Inputs!$C$9="Residential",IF(L735&lt;='Assumptions and Catalog'!$C$50,L735*'Assumptions and Catalog'!$H$50+'Assumptions and Catalog'!$E$50+'Assumptions and Catalog'!$F$50,IF(L735&lt;='Assumptions and Catalog'!$C$51,L735*'Assumptions and Catalog'!$H$51+'Assumptions and Catalog'!$E$51+'Assumptions and Catalog'!$F$51,IF(L735&lt;='Assumptions and Catalog'!$C$52,L735*'Assumptions and Catalog'!$H$52+'Assumptions and Catalog'!$E$52+'Assumptions and Catalog'!$F$52,IF(L735&lt;='Assumptions and Catalog'!$C$53,L735*'Assumptions and Catalog'!$H$53+'Assumptions and Catalog'!$E$53+'Assumptions and Catalog'!$F$53,IF(L735&lt;='Assumptions and Catalog'!$C$54,L735*'Assumptions and Catalog'!$H$54+'Assumptions and Catalog'!$E$54+'Assumptions and Catalog'!$F$54,IF(L735&lt;='Assumptions and Catalog'!$C$55,L735*'Assumptions and Catalog'!$H$55+'Assumptions and Catalog'!$E$55+'Assumptions and Catalog'!$F$55,IF(L735&lt;='Assumptions and Catalog'!$C$56,L735*'Assumptions and Catalog'!$H$56+'Assumptions and Catalog'!$E$56+'Assumptions and Catalog'!$F$56,IF(L735&lt;='Assumptions and Catalog'!$C$57,L735*'Assumptions and Catalog'!$H$57+'Assumptions and Catalog'!$E$57+'Assumptions and Catalog'!$F$57,"Out of range")))))))),IF(L735&lt;='Assumptions and Catalog'!$C$60,L735*'Assumptions and Catalog'!$H$60+'Assumptions and Catalog'!$E$60+'Assumptions and Catalog'!$F$60,IF(L735&lt;='Assumptions and Catalog'!$C$61,L735*'Assumptions and Catalog'!$H$61+'Assumptions and Catalog'!$E$61+'Assumptions and Catalog'!$F$61,IF(L735&lt;='Assumptions and Catalog'!$C$62,L735*'Assumptions and Catalog'!$H$62+'Assumptions and Catalog'!$E$62+'Assumptions and Catalog'!$F$62,IF(L735&lt;='Assumptions and Catalog'!$C$63,L735*'Assumptions and Catalog'!$H$63+'Assumptions and Catalog'!$E$63+'Assumptions and Catalog'!$F$63,IF(L735&lt;='Assumptions and Catalog'!$C$64,L735*'Assumptions and Catalog'!$H$64+'Assumptions and Catalog'!$E$64+'Assumptions and Catalog'!$F$64,IF(L735&lt;='Assumptions and Catalog'!$C$65,L735*'Assumptions and Catalog'!$H$65+'Assumptions and Catalog'!$E$65+'Assumptions and Catalog'!$F$65,"Out of range")))))))))*(1+'Assumptions and Catalog'!$C$8)^(A735-1),0)</f>
        <v>2670.398724116</v>
      </c>
      <c r="O735" s="5" t="n">
        <f>M735-N735</f>
        <v>4424.395275884</v>
      </c>
      <c r="P735" s="5" t="n">
        <f>E$55*(1-L$14)*(1-'Assumptions and Catalog'!$C$23)^R735</f>
        <v>9.07102598004736</v>
      </c>
      <c r="Q735" s="5" t="n">
        <f>IF(ISNUMBER(Inputs!$L$5),(IF(Inputs!$L$9="Actual flat rate",((D735+E735)*C735-G735)*Inputs!$L$10,IF(Inputs!$C$9="Residential",IF(((D735+E735)*C735-G735)&lt;='Assumptions and Catalog'!$C$50,((D735+E735)*C735-G735)*'Assumptions and Catalog'!$H$50+'Assumptions and Catalog'!$E$50+'Assumptions and Catalog'!$F$50,IF(((D735+E735)*C735-G735)&lt;='Assumptions and Catalog'!$C$51,((D735+E735)*C735-G735)*'Assumptions and Catalog'!$H$51+'Assumptions and Catalog'!$E$51+'Assumptions and Catalog'!$F$51,IF(((D735+E735)*C735-G735)&lt;='Assumptions and Catalog'!$C$52,((D735+E735)*C735-G735)*'Assumptions and Catalog'!$H$52+'Assumptions and Catalog'!$E$52+'Assumptions and Catalog'!$F$52,IF(((D735+E735)*C735-G735)&lt;='Assumptions and Catalog'!$C$53,((D735+E735)*C735-G735)*'Assumptions and Catalog'!$H$53+'Assumptions and Catalog'!$E$53+'Assumptions and Catalog'!$F$53,IF(((D735+E735)*C735-G735)&lt;='Assumptions and Catalog'!$C$54,((D735+E735)*C735-G735)*'Assumptions and Catalog'!$H$54+'Assumptions and Catalog'!$E$54+'Assumptions and Catalog'!$F$54,IF(((D735+E735)*C735-G735)&lt;='Assumptions and Catalog'!$C$55,((D735+E735)*C735-G735)*'Assumptions and Catalog'!$H$55+'Assumptions and Catalog'!$E$55+'Assumptions and Catalog'!$F$55,IF(((D735+E735)*C735-G735)&lt;='Assumptions and Catalog'!$C$56,((D735+E735)*C735-G735)*'Assumptions and Catalog'!$H$56+'Assumptions and Catalog'!$E$56+'Assumptions and Catalog'!$F$56,IF(((D735+E735)*C735-G735)&lt;='Assumptions and Catalog'!$C$57,((D735+E735)*C735-G735)*'Assumptions and Catalog'!$H$57+'Assumptions and Catalog'!$E$57+'Assumptions and Catalog'!$F$57,"Out of range")))))))),IF(((D735+E735)*C735-G735)&lt;='Assumptions and Catalog'!$C$60,((D735+E735)*C735-G735)*'Assumptions and Catalog'!$H$60+'Assumptions and Catalog'!$E$60+'Assumptions and Catalog'!$F$60,IF(((D735+E735)*C735-G735)&lt;='Assumptions and Catalog'!$C$61,((D735+E735)*C735-G735)*'Assumptions and Catalog'!$H$61+'Assumptions and Catalog'!$E$61+'Assumptions and Catalog'!$F$61,IF(((D735+E735)*C735-G735)&lt;='Assumptions and Catalog'!$C$62,((D735+E735)*C735-G735)*'Assumptions and Catalog'!$H$62+'Assumptions and Catalog'!$E$62+'Assumptions and Catalog'!$F$62,IF(((D735+E735)*C735-G735)&lt;='Assumptions and Catalog'!$C$63,((D735+E735)*C735-G735)*'Assumptions and Catalog'!$H$63+'Assumptions and Catalog'!$E$63+'Assumptions and Catalog'!$F$63,IF(((D735+E735)*C735-G735)&lt;='Assumptions and Catalog'!$C$64,((D735+E735)*C735-G735)*'Assumptions and Catalog'!$H$64+'Assumptions and Catalog'!$E$64+'Assumptions and Catalog'!$F$64,IF(((D735+E735)*C735-G735)&lt;='Assumptions and Catalog'!$C$65,((D735+E735)*C735-G735)*'Assumptions and Catalog'!$H$65+'Assumptions and Catalog'!$E$65+'Assumptions and Catalog'!$F$65,"Out of range")))))))))*(1+'Assumptions and Catalog'!$C$8)^(A735-1),0)</f>
        <v>3567.397</v>
      </c>
      <c r="R735" s="5" t="n">
        <f>IF(AND('Assumptions and Catalog'!$C$19&gt;0,A735&gt;='Assumptions and Catalog'!$C$19),A735-'Assumptions and Catalog'!$C$19,A735-1)</f>
        <v>6</v>
      </c>
      <c r="S735" s="5" t="n">
        <f>F735+L735-(D735+E735)*C735-J735-K735-IF(E$52&gt;0,'Assumptions and Catalog'!$C$26*C735,0)</f>
        <v>1.13686837721616E-013</v>
      </c>
      <c r="T735" s="5"/>
      <c r="U735" s="5"/>
    </row>
    <row r="736" ht="23.100000381469727" customHeight="1">
      <c r="A736" s="5" t="n">
        <v>7</v>
      </c>
      <c r="B736" s="5" t="n">
        <v>4</v>
      </c>
      <c r="C736" s="5" t="n">
        <f>DAY(DATE('Assumptions and Catalog'!$C$24+A736-1,B736+1,0))</f>
        <v>30</v>
      </c>
      <c r="D736" s="5" t="n">
        <f>IF(ISNUMBER(Inputs!$L$5),Inputs!$L$5*Inputs!$L$6,0)</f>
        <v>40.35</v>
      </c>
      <c r="E736" s="5" t="n">
        <f>IF(ISNUMBER(Inputs!$L$5),Inputs!$L$5-D736,0)</f>
        <v>40.35</v>
      </c>
      <c r="F736" s="5" t="n">
        <f>E$51*INDEX('Solar Production'!$D$20:$D$31,B736)*C736*(1-'Assumptions and Catalog'!$C$10)^(A736-1)</f>
        <v>1717.03534040554</v>
      </c>
      <c r="G736" s="5" t="n">
        <f>MIN(F736,D736*C736)</f>
        <v>1210.5</v>
      </c>
      <c r="H736" s="5" t="n">
        <f>I736/('Assumptions and Catalog'!$C$11*'Assumptions and Catalog'!$C$12)</f>
        <v>279.108491693765</v>
      </c>
      <c r="I736" s="5" t="n">
        <f>MIN(E736*C736,P736*'Assumptions and Catalog'!$C$12*C736,(F736-G736)*'Assumptions and Catalog'!$C$11*'Assumptions and Catalog'!$C$12,E$56*'Assumptions and Catalog'!$C$14*'Assumptions and Catalog'!$C$11*'Assumptions and Catalog'!$C$12*C736,E$57*(24-'Assumptions and Catalog'!$C$13)*C736)</f>
        <v>265.327509916385</v>
      </c>
      <c r="J736" s="5" t="n">
        <f>MAX(F736-G736-H736,0)</f>
        <v>227.426848711773</v>
      </c>
      <c r="K736" s="5" t="n">
        <f>H736-I736</f>
        <v>13.7809817773797</v>
      </c>
      <c r="L736" s="5" t="n">
        <f>(D736+E736)*C736-G736-I736+0+IF(E$52&gt;0,'Assumptions and Catalog'!$C$26*C736,0)</f>
        <v>945.172490083615</v>
      </c>
      <c r="M736" s="5" t="n">
        <f>IF(ISNUMBER(Inputs!$L$5),(IF(Inputs!$L$9="Actual flat rate",((D736+E736)*C736)*Inputs!$L$10,IF(Inputs!$C$9="Residential",IF(((D736+E736)*C736)&lt;='Assumptions and Catalog'!$C$50,((D736+E736)*C736)*'Assumptions and Catalog'!$H$50+'Assumptions and Catalog'!$E$50+'Assumptions and Catalog'!$F$50,IF(((D736+E736)*C736)&lt;='Assumptions and Catalog'!$C$51,((D736+E736)*C736)*'Assumptions and Catalog'!$H$51+'Assumptions and Catalog'!$E$51+'Assumptions and Catalog'!$F$51,IF(((D736+E736)*C736)&lt;='Assumptions and Catalog'!$C$52,((D736+E736)*C736)*'Assumptions and Catalog'!$H$52+'Assumptions and Catalog'!$E$52+'Assumptions and Catalog'!$F$52,IF(((D736+E736)*C736)&lt;='Assumptions and Catalog'!$C$53,((D736+E736)*C736)*'Assumptions and Catalog'!$H$53+'Assumptions and Catalog'!$E$53+'Assumptions and Catalog'!$F$53,IF(((D736+E736)*C736)&lt;='Assumptions and Catalog'!$C$54,((D736+E736)*C736)*'Assumptions and Catalog'!$H$54+'Assumptions and Catalog'!$E$54+'Assumptions and Catalog'!$F$54,IF(((D736+E736)*C736)&lt;='Assumptions and Catalog'!$C$55,((D736+E736)*C736)*'Assumptions and Catalog'!$H$55+'Assumptions and Catalog'!$E$55+'Assumptions and Catalog'!$F$55,IF(((D736+E736)*C736)&lt;='Assumptions and Catalog'!$C$56,((D736+E736)*C736)*'Assumptions and Catalog'!$H$56+'Assumptions and Catalog'!$E$56+'Assumptions and Catalog'!$F$56,IF(((D736+E736)*C736)&lt;='Assumptions and Catalog'!$C$57,((D736+E736)*C736)*'Assumptions and Catalog'!$H$57+'Assumptions and Catalog'!$E$57+'Assumptions and Catalog'!$F$57,"Out of range")))))))),IF(((D736+E736)*C736)&lt;='Assumptions and Catalog'!$C$60,((D736+E736)*C736)*'Assumptions and Catalog'!$H$60+'Assumptions and Catalog'!$E$60+'Assumptions and Catalog'!$F$60,IF(((D736+E736)*C736)&lt;='Assumptions and Catalog'!$C$61,((D736+E736)*C736)*'Assumptions and Catalog'!$H$61+'Assumptions and Catalog'!$E$61+'Assumptions and Catalog'!$F$61,IF(((D736+E736)*C736)&lt;='Assumptions and Catalog'!$C$62,((D736+E736)*C736)*'Assumptions and Catalog'!$H$62+'Assumptions and Catalog'!$E$62+'Assumptions and Catalog'!$F$62,IF(((D736+E736)*C736)&lt;='Assumptions and Catalog'!$C$63,((D736+E736)*C736)*'Assumptions and Catalog'!$H$63+'Assumptions and Catalog'!$E$63+'Assumptions and Catalog'!$F$63,IF(((D736+E736)*C736)&lt;='Assumptions and Catalog'!$C$64,((D736+E736)*C736)*'Assumptions and Catalog'!$H$64+'Assumptions and Catalog'!$E$64+'Assumptions and Catalog'!$F$64,IF(((D736+E736)*C736)&lt;='Assumptions and Catalog'!$C$65,((D736+E736)*C736)*'Assumptions and Catalog'!$H$65+'Assumptions and Catalog'!$E$65+'Assumptions and Catalog'!$F$65,"Out of range")))))))))*(1+'Assumptions and Catalog'!$C$8)^(A736-1),0)</f>
        <v>6867.22</v>
      </c>
      <c r="N736" s="5" t="n">
        <f>IF(ISNUMBER(Inputs!$L$5),(IF(Inputs!$L$9="Actual flat rate",L736*Inputs!$L$10,IF(Inputs!$C$9="Residential",IF(L736&lt;='Assumptions and Catalog'!$C$50,L736*'Assumptions and Catalog'!$H$50+'Assumptions and Catalog'!$E$50+'Assumptions and Catalog'!$F$50,IF(L736&lt;='Assumptions and Catalog'!$C$51,L736*'Assumptions and Catalog'!$H$51+'Assumptions and Catalog'!$E$51+'Assumptions and Catalog'!$F$51,IF(L736&lt;='Assumptions and Catalog'!$C$52,L736*'Assumptions and Catalog'!$H$52+'Assumptions and Catalog'!$E$52+'Assumptions and Catalog'!$F$52,IF(L736&lt;='Assumptions and Catalog'!$C$53,L736*'Assumptions and Catalog'!$H$53+'Assumptions and Catalog'!$E$53+'Assumptions and Catalog'!$F$53,IF(L736&lt;='Assumptions and Catalog'!$C$54,L736*'Assumptions and Catalog'!$H$54+'Assumptions and Catalog'!$E$54+'Assumptions and Catalog'!$F$54,IF(L736&lt;='Assumptions and Catalog'!$C$55,L736*'Assumptions and Catalog'!$H$55+'Assumptions and Catalog'!$E$55+'Assumptions and Catalog'!$F$55,IF(L736&lt;='Assumptions and Catalog'!$C$56,L736*'Assumptions and Catalog'!$H$56+'Assumptions and Catalog'!$E$56+'Assumptions and Catalog'!$F$56,IF(L736&lt;='Assumptions and Catalog'!$C$57,L736*'Assumptions and Catalog'!$H$57+'Assumptions and Catalog'!$E$57+'Assumptions and Catalog'!$F$57,"Out of range")))))))),IF(L736&lt;='Assumptions and Catalog'!$C$60,L736*'Assumptions and Catalog'!$H$60+'Assumptions and Catalog'!$E$60+'Assumptions and Catalog'!$F$60,IF(L736&lt;='Assumptions and Catalog'!$C$61,L736*'Assumptions and Catalog'!$H$61+'Assumptions and Catalog'!$E$61+'Assumptions and Catalog'!$F$61,IF(L736&lt;='Assumptions and Catalog'!$C$62,L736*'Assumptions and Catalog'!$H$62+'Assumptions and Catalog'!$E$62+'Assumptions and Catalog'!$F$62,IF(L736&lt;='Assumptions and Catalog'!$C$63,L736*'Assumptions and Catalog'!$H$63+'Assumptions and Catalog'!$E$63+'Assumptions and Catalog'!$F$63,IF(L736&lt;='Assumptions and Catalog'!$C$64,L736*'Assumptions and Catalog'!$H$64+'Assumptions and Catalog'!$E$64+'Assumptions and Catalog'!$F$64,IF(L736&lt;='Assumptions and Catalog'!$C$65,L736*'Assumptions and Catalog'!$H$65+'Assumptions and Catalog'!$E$65+'Assumptions and Catalog'!$F$65,"Out of range")))))))))*(1+'Assumptions and Catalog'!$C$8)^(A736-1),0)</f>
        <v>2583.12779753161</v>
      </c>
      <c r="O736" s="5" t="n">
        <f>M736-N736</f>
        <v>4284.09220246839</v>
      </c>
      <c r="P736" s="5" t="n">
        <f>E$55*(1-L$14)*(1-'Assumptions and Catalog'!$C$23)^R736</f>
        <v>9.07102598004736</v>
      </c>
      <c r="Q736" s="5" t="n">
        <f>IF(ISNUMBER(Inputs!$L$5),(IF(Inputs!$L$9="Actual flat rate",((D736+E736)*C736-G736)*Inputs!$L$10,IF(Inputs!$C$9="Residential",IF(((D736+E736)*C736-G736)&lt;='Assumptions and Catalog'!$C$50,((D736+E736)*C736-G736)*'Assumptions and Catalog'!$H$50+'Assumptions and Catalog'!$E$50+'Assumptions and Catalog'!$F$50,IF(((D736+E736)*C736-G736)&lt;='Assumptions and Catalog'!$C$51,((D736+E736)*C736-G736)*'Assumptions and Catalog'!$H$51+'Assumptions and Catalog'!$E$51+'Assumptions and Catalog'!$F$51,IF(((D736+E736)*C736-G736)&lt;='Assumptions and Catalog'!$C$52,((D736+E736)*C736-G736)*'Assumptions and Catalog'!$H$52+'Assumptions and Catalog'!$E$52+'Assumptions and Catalog'!$F$52,IF(((D736+E736)*C736-G736)&lt;='Assumptions and Catalog'!$C$53,((D736+E736)*C736-G736)*'Assumptions and Catalog'!$H$53+'Assumptions and Catalog'!$E$53+'Assumptions and Catalog'!$F$53,IF(((D736+E736)*C736-G736)&lt;='Assumptions and Catalog'!$C$54,((D736+E736)*C736-G736)*'Assumptions and Catalog'!$H$54+'Assumptions and Catalog'!$E$54+'Assumptions and Catalog'!$F$54,IF(((D736+E736)*C736-G736)&lt;='Assumptions and Catalog'!$C$55,((D736+E736)*C736-G736)*'Assumptions and Catalog'!$H$55+'Assumptions and Catalog'!$E$55+'Assumptions and Catalog'!$F$55,IF(((D736+E736)*C736-G736)&lt;='Assumptions and Catalog'!$C$56,((D736+E736)*C736-G736)*'Assumptions and Catalog'!$H$56+'Assumptions and Catalog'!$E$56+'Assumptions and Catalog'!$F$56,IF(((D736+E736)*C736-G736)&lt;='Assumptions and Catalog'!$C$57,((D736+E736)*C736-G736)*'Assumptions and Catalog'!$H$57+'Assumptions and Catalog'!$E$57+'Assumptions and Catalog'!$F$57,"Out of range")))))))),IF(((D736+E736)*C736-G736)&lt;='Assumptions and Catalog'!$C$60,((D736+E736)*C736-G736)*'Assumptions and Catalog'!$H$60+'Assumptions and Catalog'!$E$60+'Assumptions and Catalog'!$F$60,IF(((D736+E736)*C736-G736)&lt;='Assumptions and Catalog'!$C$61,((D736+E736)*C736-G736)*'Assumptions and Catalog'!$H$61+'Assumptions and Catalog'!$E$61+'Assumptions and Catalog'!$F$61,IF(((D736+E736)*C736-G736)&lt;='Assumptions and Catalog'!$C$62,((D736+E736)*C736-G736)*'Assumptions and Catalog'!$H$62+'Assumptions and Catalog'!$E$62+'Assumptions and Catalog'!$F$62,IF(((D736+E736)*C736-G736)&lt;='Assumptions and Catalog'!$C$63,((D736+E736)*C736-G736)*'Assumptions and Catalog'!$H$63+'Assumptions and Catalog'!$E$63+'Assumptions and Catalog'!$F$63,IF(((D736+E736)*C736-G736)&lt;='Assumptions and Catalog'!$C$64,((D736+E736)*C736-G736)*'Assumptions and Catalog'!$H$64+'Assumptions and Catalog'!$E$64+'Assumptions and Catalog'!$F$64,IF(((D736+E736)*C736-G736)&lt;='Assumptions and Catalog'!$C$65,((D736+E736)*C736-G736)*'Assumptions and Catalog'!$H$65+'Assumptions and Catalog'!$E$65+'Assumptions and Catalog'!$F$65,"Out of range")))))))))*(1+'Assumptions and Catalog'!$C$8)^(A736-1),0)</f>
        <v>3453.61</v>
      </c>
      <c r="R736" s="5" t="n">
        <f>IF(AND('Assumptions and Catalog'!$C$19&gt;0,A736&gt;='Assumptions and Catalog'!$C$19),A736-'Assumptions and Catalog'!$C$19,A736-1)</f>
        <v>6</v>
      </c>
      <c r="S736" s="5" t="n">
        <f>F736+L736-(D736+E736)*C736-J736-K736-IF(E$52&gt;0,'Assumptions and Catalog'!$C$26*C736,0)</f>
        <v>-1.13686837721616E-013</v>
      </c>
      <c r="T736" s="5"/>
      <c r="U736" s="5"/>
    </row>
    <row r="737" ht="23.100000381469727" customHeight="1">
      <c r="A737" s="5" t="n">
        <v>7</v>
      </c>
      <c r="B737" s="5" t="n">
        <v>5</v>
      </c>
      <c r="C737" s="5" t="n">
        <f>DAY(DATE('Assumptions and Catalog'!$C$24+A737-1,B737+1,0))</f>
        <v>31</v>
      </c>
      <c r="D737" s="5" t="n">
        <f>IF(ISNUMBER(Inputs!$L$5),Inputs!$L$5*Inputs!$L$6,0)</f>
        <v>40.35</v>
      </c>
      <c r="E737" s="5" t="n">
        <f>IF(ISNUMBER(Inputs!$L$5),Inputs!$L$5-D737,0)</f>
        <v>40.35</v>
      </c>
      <c r="F737" s="5" t="n">
        <f>E$51*INDEX('Solar Production'!$D$20:$D$31,B737)*C737*(1-'Assumptions and Catalog'!$C$10)^(A737-1)</f>
        <v>1736.88916194697</v>
      </c>
      <c r="G737" s="5" t="n">
        <f>MIN(F737,D737*C737)</f>
        <v>1250.85</v>
      </c>
      <c r="H737" s="5" t="n">
        <f>I737/('Assumptions and Catalog'!$C$11*'Assumptions and Catalog'!$C$12)</f>
        <v>288.412108083557</v>
      </c>
      <c r="I737" s="5" t="n">
        <f>MIN(E737*C737,P737*'Assumptions and Catalog'!$C$12*C737,(F737-G737)*'Assumptions and Catalog'!$C$11*'Assumptions and Catalog'!$C$12,E$56*'Assumptions and Catalog'!$C$14*'Assumptions and Catalog'!$C$11*'Assumptions and Catalog'!$C$12*C737,E$57*(24-'Assumptions and Catalog'!$C$13)*C737)</f>
        <v>274.171760246932</v>
      </c>
      <c r="J737" s="5" t="n">
        <f>MAX(F737-G737-H737,0)</f>
        <v>197.62705386341</v>
      </c>
      <c r="K737" s="5" t="n">
        <f>H737-I737</f>
        <v>14.2403478366256</v>
      </c>
      <c r="L737" s="5" t="n">
        <f>(D737+E737)*C737-G737-I737+0+IF(E$52&gt;0,'Assumptions and Catalog'!$C$26*C737,0)</f>
        <v>976.678239753069</v>
      </c>
      <c r="M737" s="5" t="n">
        <f>IF(ISNUMBER(Inputs!$L$5),(IF(Inputs!$L$9="Actual flat rate",((D737+E737)*C737)*Inputs!$L$10,IF(Inputs!$C$9="Residential",IF(((D737+E737)*C737)&lt;='Assumptions and Catalog'!$C$50,((D737+E737)*C737)*'Assumptions and Catalog'!$H$50+'Assumptions and Catalog'!$E$50+'Assumptions and Catalog'!$F$50,IF(((D737+E737)*C737)&lt;='Assumptions and Catalog'!$C$51,((D737+E737)*C737)*'Assumptions and Catalog'!$H$51+'Assumptions and Catalog'!$E$51+'Assumptions and Catalog'!$F$51,IF(((D737+E737)*C737)&lt;='Assumptions and Catalog'!$C$52,((D737+E737)*C737)*'Assumptions and Catalog'!$H$52+'Assumptions and Catalog'!$E$52+'Assumptions and Catalog'!$F$52,IF(((D737+E737)*C737)&lt;='Assumptions and Catalog'!$C$53,((D737+E737)*C737)*'Assumptions and Catalog'!$H$53+'Assumptions and Catalog'!$E$53+'Assumptions and Catalog'!$F$53,IF(((D737+E737)*C737)&lt;='Assumptions and Catalog'!$C$54,((D737+E737)*C737)*'Assumptions and Catalog'!$H$54+'Assumptions and Catalog'!$E$54+'Assumptions and Catalog'!$F$54,IF(((D737+E737)*C737)&lt;='Assumptions and Catalog'!$C$55,((D737+E737)*C737)*'Assumptions and Catalog'!$H$55+'Assumptions and Catalog'!$E$55+'Assumptions and Catalog'!$F$55,IF(((D737+E737)*C737)&lt;='Assumptions and Catalog'!$C$56,((D737+E737)*C737)*'Assumptions and Catalog'!$H$56+'Assumptions and Catalog'!$E$56+'Assumptions and Catalog'!$F$56,IF(((D737+E737)*C737)&lt;='Assumptions and Catalog'!$C$57,((D737+E737)*C737)*'Assumptions and Catalog'!$H$57+'Assumptions and Catalog'!$E$57+'Assumptions and Catalog'!$F$57,"Out of range")))))))),IF(((D737+E737)*C737)&lt;='Assumptions and Catalog'!$C$60,((D737+E737)*C737)*'Assumptions and Catalog'!$H$60+'Assumptions and Catalog'!$E$60+'Assumptions and Catalog'!$F$60,IF(((D737+E737)*C737)&lt;='Assumptions and Catalog'!$C$61,((D737+E737)*C737)*'Assumptions and Catalog'!$H$61+'Assumptions and Catalog'!$E$61+'Assumptions and Catalog'!$F$61,IF(((D737+E737)*C737)&lt;='Assumptions and Catalog'!$C$62,((D737+E737)*C737)*'Assumptions and Catalog'!$H$62+'Assumptions and Catalog'!$E$62+'Assumptions and Catalog'!$F$62,IF(((D737+E737)*C737)&lt;='Assumptions and Catalog'!$C$63,((D737+E737)*C737)*'Assumptions and Catalog'!$H$63+'Assumptions and Catalog'!$E$63+'Assumptions and Catalog'!$F$63,IF(((D737+E737)*C737)&lt;='Assumptions and Catalog'!$C$64,((D737+E737)*C737)*'Assumptions and Catalog'!$H$64+'Assumptions and Catalog'!$E$64+'Assumptions and Catalog'!$F$64,IF(((D737+E737)*C737)&lt;='Assumptions and Catalog'!$C$65,((D737+E737)*C737)*'Assumptions and Catalog'!$H$65+'Assumptions and Catalog'!$E$65+'Assumptions and Catalog'!$F$65,"Out of range")))))))))*(1+'Assumptions and Catalog'!$C$8)^(A737-1),0)</f>
        <v>7094.794</v>
      </c>
      <c r="N737" s="5" t="n">
        <f>IF(ISNUMBER(Inputs!$L$5),(IF(Inputs!$L$9="Actual flat rate",L737*Inputs!$L$10,IF(Inputs!$C$9="Residential",IF(L737&lt;='Assumptions and Catalog'!$C$50,L737*'Assumptions and Catalog'!$H$50+'Assumptions and Catalog'!$E$50+'Assumptions and Catalog'!$F$50,IF(L737&lt;='Assumptions and Catalog'!$C$51,L737*'Assumptions and Catalog'!$H$51+'Assumptions and Catalog'!$E$51+'Assumptions and Catalog'!$F$51,IF(L737&lt;='Assumptions and Catalog'!$C$52,L737*'Assumptions and Catalog'!$H$52+'Assumptions and Catalog'!$E$52+'Assumptions and Catalog'!$F$52,IF(L737&lt;='Assumptions and Catalog'!$C$53,L737*'Assumptions and Catalog'!$H$53+'Assumptions and Catalog'!$E$53+'Assumptions and Catalog'!$F$53,IF(L737&lt;='Assumptions and Catalog'!$C$54,L737*'Assumptions and Catalog'!$H$54+'Assumptions and Catalog'!$E$54+'Assumptions and Catalog'!$F$54,IF(L737&lt;='Assumptions and Catalog'!$C$55,L737*'Assumptions and Catalog'!$H$55+'Assumptions and Catalog'!$E$55+'Assumptions and Catalog'!$F$55,IF(L737&lt;='Assumptions and Catalog'!$C$56,L737*'Assumptions and Catalog'!$H$56+'Assumptions and Catalog'!$E$56+'Assumptions and Catalog'!$F$56,IF(L737&lt;='Assumptions and Catalog'!$C$57,L737*'Assumptions and Catalog'!$H$57+'Assumptions and Catalog'!$E$57+'Assumptions and Catalog'!$F$57,"Out of range")))))))),IF(L737&lt;='Assumptions and Catalog'!$C$60,L737*'Assumptions and Catalog'!$H$60+'Assumptions and Catalog'!$E$60+'Assumptions and Catalog'!$F$60,IF(L737&lt;='Assumptions and Catalog'!$C$61,L737*'Assumptions and Catalog'!$H$61+'Assumptions and Catalog'!$E$61+'Assumptions and Catalog'!$F$61,IF(L737&lt;='Assumptions and Catalog'!$C$62,L737*'Assumptions and Catalog'!$H$62+'Assumptions and Catalog'!$E$62+'Assumptions and Catalog'!$F$62,IF(L737&lt;='Assumptions and Catalog'!$C$63,L737*'Assumptions and Catalog'!$H$63+'Assumptions and Catalog'!$E$63+'Assumptions and Catalog'!$F$63,IF(L737&lt;='Assumptions and Catalog'!$C$64,L737*'Assumptions and Catalog'!$H$64+'Assumptions and Catalog'!$E$64+'Assumptions and Catalog'!$F$64,IF(L737&lt;='Assumptions and Catalog'!$C$65,L737*'Assumptions and Catalog'!$H$65+'Assumptions and Catalog'!$E$65+'Assumptions and Catalog'!$F$65,"Out of range")))))))))*(1+'Assumptions and Catalog'!$C$8)^(A737-1),0)</f>
        <v>2670.398724116</v>
      </c>
      <c r="O737" s="5" t="n">
        <f>M737-N737</f>
        <v>4424.395275884</v>
      </c>
      <c r="P737" s="5" t="n">
        <f>E$55*(1-L$14)*(1-'Assumptions and Catalog'!$C$23)^R737</f>
        <v>9.07102598004736</v>
      </c>
      <c r="Q737" s="5" t="n">
        <f>IF(ISNUMBER(Inputs!$L$5),(IF(Inputs!$L$9="Actual flat rate",((D737+E737)*C737-G737)*Inputs!$L$10,IF(Inputs!$C$9="Residential",IF(((D737+E737)*C737-G737)&lt;='Assumptions and Catalog'!$C$50,((D737+E737)*C737-G737)*'Assumptions and Catalog'!$H$50+'Assumptions and Catalog'!$E$50+'Assumptions and Catalog'!$F$50,IF(((D737+E737)*C737-G737)&lt;='Assumptions and Catalog'!$C$51,((D737+E737)*C737-G737)*'Assumptions and Catalog'!$H$51+'Assumptions and Catalog'!$E$51+'Assumptions and Catalog'!$F$51,IF(((D737+E737)*C737-G737)&lt;='Assumptions and Catalog'!$C$52,((D737+E737)*C737-G737)*'Assumptions and Catalog'!$H$52+'Assumptions and Catalog'!$E$52+'Assumptions and Catalog'!$F$52,IF(((D737+E737)*C737-G737)&lt;='Assumptions and Catalog'!$C$53,((D737+E737)*C737-G737)*'Assumptions and Catalog'!$H$53+'Assumptions and Catalog'!$E$53+'Assumptions and Catalog'!$F$53,IF(((D737+E737)*C737-G737)&lt;='Assumptions and Catalog'!$C$54,((D737+E737)*C737-G737)*'Assumptions and Catalog'!$H$54+'Assumptions and Catalog'!$E$54+'Assumptions and Catalog'!$F$54,IF(((D737+E737)*C737-G737)&lt;='Assumptions and Catalog'!$C$55,((D737+E737)*C737-G737)*'Assumptions and Catalog'!$H$55+'Assumptions and Catalog'!$E$55+'Assumptions and Catalog'!$F$55,IF(((D737+E737)*C737-G737)&lt;='Assumptions and Catalog'!$C$56,((D737+E737)*C737-G737)*'Assumptions and Catalog'!$H$56+'Assumptions and Catalog'!$E$56+'Assumptions and Catalog'!$F$56,IF(((D737+E737)*C737-G737)&lt;='Assumptions and Catalog'!$C$57,((D737+E737)*C737-G737)*'Assumptions and Catalog'!$H$57+'Assumptions and Catalog'!$E$57+'Assumptions and Catalog'!$F$57,"Out of range")))))))),IF(((D737+E737)*C737-G737)&lt;='Assumptions and Catalog'!$C$60,((D737+E737)*C737-G737)*'Assumptions and Catalog'!$H$60+'Assumptions and Catalog'!$E$60+'Assumptions and Catalog'!$F$60,IF(((D737+E737)*C737-G737)&lt;='Assumptions and Catalog'!$C$61,((D737+E737)*C737-G737)*'Assumptions and Catalog'!$H$61+'Assumptions and Catalog'!$E$61+'Assumptions and Catalog'!$F$61,IF(((D737+E737)*C737-G737)&lt;='Assumptions and Catalog'!$C$62,((D737+E737)*C737-G737)*'Assumptions and Catalog'!$H$62+'Assumptions and Catalog'!$E$62+'Assumptions and Catalog'!$F$62,IF(((D737+E737)*C737-G737)&lt;='Assumptions and Catalog'!$C$63,((D737+E737)*C737-G737)*'Assumptions and Catalog'!$H$63+'Assumptions and Catalog'!$E$63+'Assumptions and Catalog'!$F$63,IF(((D737+E737)*C737-G737)&lt;='Assumptions and Catalog'!$C$64,((D737+E737)*C737-G737)*'Assumptions and Catalog'!$H$64+'Assumptions and Catalog'!$E$64+'Assumptions and Catalog'!$F$64,IF(((D737+E737)*C737-G737)&lt;='Assumptions and Catalog'!$C$65,((D737+E737)*C737-G737)*'Assumptions and Catalog'!$H$65+'Assumptions and Catalog'!$E$65+'Assumptions and Catalog'!$F$65,"Out of range")))))))))*(1+'Assumptions and Catalog'!$C$8)^(A737-1),0)</f>
        <v>3567.397</v>
      </c>
      <c r="R737" s="5" t="n">
        <f>IF(AND('Assumptions and Catalog'!$C$19&gt;0,A737&gt;='Assumptions and Catalog'!$C$19),A737-'Assumptions and Catalog'!$C$19,A737-1)</f>
        <v>6</v>
      </c>
      <c r="S737" s="5" t="n">
        <f>F737+L737-(D737+E737)*C737-J737-K737-IF(E$52&gt;0,'Assumptions and Catalog'!$C$26*C737,0)</f>
        <v>-1.13686837721616E-013</v>
      </c>
      <c r="T737" s="5"/>
      <c r="U737" s="5"/>
    </row>
    <row r="738" ht="23.100000381469727" customHeight="1">
      <c r="A738" s="5" t="n">
        <v>7</v>
      </c>
      <c r="B738" s="5" t="n">
        <v>6</v>
      </c>
      <c r="C738" s="5" t="n">
        <f>DAY(DATE('Assumptions and Catalog'!$C$24+A738-1,B738+1,0))</f>
        <v>30</v>
      </c>
      <c r="D738" s="5" t="n">
        <f>IF(ISNUMBER(Inputs!$L$5),Inputs!$L$5*Inputs!$L$6,0)</f>
        <v>40.35</v>
      </c>
      <c r="E738" s="5" t="n">
        <f>IF(ISNUMBER(Inputs!$L$5),Inputs!$L$5-D738,0)</f>
        <v>40.35</v>
      </c>
      <c r="F738" s="5" t="n">
        <f>E$51*INDEX('Solar Production'!$D$20:$D$31,B738)*C738*(1-'Assumptions and Catalog'!$C$10)^(A738-1)</f>
        <v>1693.125361775</v>
      </c>
      <c r="G738" s="5" t="n">
        <f>MIN(F738,D738*C738)</f>
        <v>1210.5</v>
      </c>
      <c r="H738" s="5" t="n">
        <f>I738/('Assumptions and Catalog'!$C$11*'Assumptions and Catalog'!$C$12)</f>
        <v>279.108491693765</v>
      </c>
      <c r="I738" s="5" t="n">
        <f>MIN(E738*C738,P738*'Assumptions and Catalog'!$C$12*C738,(F738-G738)*'Assumptions and Catalog'!$C$11*'Assumptions and Catalog'!$C$12,E$56*'Assumptions and Catalog'!$C$14*'Assumptions and Catalog'!$C$11*'Assumptions and Catalog'!$C$12*C738,E$57*(24-'Assumptions and Catalog'!$C$13)*C738)</f>
        <v>265.327509916385</v>
      </c>
      <c r="J738" s="5" t="n">
        <f>MAX(F738-G738-H738,0)</f>
        <v>203.516870081235</v>
      </c>
      <c r="K738" s="5" t="n">
        <f>H738-I738</f>
        <v>13.7809817773797</v>
      </c>
      <c r="L738" s="5" t="n">
        <f>(D738+E738)*C738-G738-I738+0+IF(E$52&gt;0,'Assumptions and Catalog'!$C$26*C738,0)</f>
        <v>945.172490083615</v>
      </c>
      <c r="M738" s="5" t="n">
        <f>IF(ISNUMBER(Inputs!$L$5),(IF(Inputs!$L$9="Actual flat rate",((D738+E738)*C738)*Inputs!$L$10,IF(Inputs!$C$9="Residential",IF(((D738+E738)*C738)&lt;='Assumptions and Catalog'!$C$50,((D738+E738)*C738)*'Assumptions and Catalog'!$H$50+'Assumptions and Catalog'!$E$50+'Assumptions and Catalog'!$F$50,IF(((D738+E738)*C738)&lt;='Assumptions and Catalog'!$C$51,((D738+E738)*C738)*'Assumptions and Catalog'!$H$51+'Assumptions and Catalog'!$E$51+'Assumptions and Catalog'!$F$51,IF(((D738+E738)*C738)&lt;='Assumptions and Catalog'!$C$52,((D738+E738)*C738)*'Assumptions and Catalog'!$H$52+'Assumptions and Catalog'!$E$52+'Assumptions and Catalog'!$F$52,IF(((D738+E738)*C738)&lt;='Assumptions and Catalog'!$C$53,((D738+E738)*C738)*'Assumptions and Catalog'!$H$53+'Assumptions and Catalog'!$E$53+'Assumptions and Catalog'!$F$53,IF(((D738+E738)*C738)&lt;='Assumptions and Catalog'!$C$54,((D738+E738)*C738)*'Assumptions and Catalog'!$H$54+'Assumptions and Catalog'!$E$54+'Assumptions and Catalog'!$F$54,IF(((D738+E738)*C738)&lt;='Assumptions and Catalog'!$C$55,((D738+E738)*C738)*'Assumptions and Catalog'!$H$55+'Assumptions and Catalog'!$E$55+'Assumptions and Catalog'!$F$55,IF(((D738+E738)*C738)&lt;='Assumptions and Catalog'!$C$56,((D738+E738)*C738)*'Assumptions and Catalog'!$H$56+'Assumptions and Catalog'!$E$56+'Assumptions and Catalog'!$F$56,IF(((D738+E738)*C738)&lt;='Assumptions and Catalog'!$C$57,((D738+E738)*C738)*'Assumptions and Catalog'!$H$57+'Assumptions and Catalog'!$E$57+'Assumptions and Catalog'!$F$57,"Out of range")))))))),IF(((D738+E738)*C738)&lt;='Assumptions and Catalog'!$C$60,((D738+E738)*C738)*'Assumptions and Catalog'!$H$60+'Assumptions and Catalog'!$E$60+'Assumptions and Catalog'!$F$60,IF(((D738+E738)*C738)&lt;='Assumptions and Catalog'!$C$61,((D738+E738)*C738)*'Assumptions and Catalog'!$H$61+'Assumptions and Catalog'!$E$61+'Assumptions and Catalog'!$F$61,IF(((D738+E738)*C738)&lt;='Assumptions and Catalog'!$C$62,((D738+E738)*C738)*'Assumptions and Catalog'!$H$62+'Assumptions and Catalog'!$E$62+'Assumptions and Catalog'!$F$62,IF(((D738+E738)*C738)&lt;='Assumptions and Catalog'!$C$63,((D738+E738)*C738)*'Assumptions and Catalog'!$H$63+'Assumptions and Catalog'!$E$63+'Assumptions and Catalog'!$F$63,IF(((D738+E738)*C738)&lt;='Assumptions and Catalog'!$C$64,((D738+E738)*C738)*'Assumptions and Catalog'!$H$64+'Assumptions and Catalog'!$E$64+'Assumptions and Catalog'!$F$64,IF(((D738+E738)*C738)&lt;='Assumptions and Catalog'!$C$65,((D738+E738)*C738)*'Assumptions and Catalog'!$H$65+'Assumptions and Catalog'!$E$65+'Assumptions and Catalog'!$F$65,"Out of range")))))))))*(1+'Assumptions and Catalog'!$C$8)^(A738-1),0)</f>
        <v>6867.22</v>
      </c>
      <c r="N738" s="5" t="n">
        <f>IF(ISNUMBER(Inputs!$L$5),(IF(Inputs!$L$9="Actual flat rate",L738*Inputs!$L$10,IF(Inputs!$C$9="Residential",IF(L738&lt;='Assumptions and Catalog'!$C$50,L738*'Assumptions and Catalog'!$H$50+'Assumptions and Catalog'!$E$50+'Assumptions and Catalog'!$F$50,IF(L738&lt;='Assumptions and Catalog'!$C$51,L738*'Assumptions and Catalog'!$H$51+'Assumptions and Catalog'!$E$51+'Assumptions and Catalog'!$F$51,IF(L738&lt;='Assumptions and Catalog'!$C$52,L738*'Assumptions and Catalog'!$H$52+'Assumptions and Catalog'!$E$52+'Assumptions and Catalog'!$F$52,IF(L738&lt;='Assumptions and Catalog'!$C$53,L738*'Assumptions and Catalog'!$H$53+'Assumptions and Catalog'!$E$53+'Assumptions and Catalog'!$F$53,IF(L738&lt;='Assumptions and Catalog'!$C$54,L738*'Assumptions and Catalog'!$H$54+'Assumptions and Catalog'!$E$54+'Assumptions and Catalog'!$F$54,IF(L738&lt;='Assumptions and Catalog'!$C$55,L738*'Assumptions and Catalog'!$H$55+'Assumptions and Catalog'!$E$55+'Assumptions and Catalog'!$F$55,IF(L738&lt;='Assumptions and Catalog'!$C$56,L738*'Assumptions and Catalog'!$H$56+'Assumptions and Catalog'!$E$56+'Assumptions and Catalog'!$F$56,IF(L738&lt;='Assumptions and Catalog'!$C$57,L738*'Assumptions and Catalog'!$H$57+'Assumptions and Catalog'!$E$57+'Assumptions and Catalog'!$F$57,"Out of range")))))))),IF(L738&lt;='Assumptions and Catalog'!$C$60,L738*'Assumptions and Catalog'!$H$60+'Assumptions and Catalog'!$E$60+'Assumptions and Catalog'!$F$60,IF(L738&lt;='Assumptions and Catalog'!$C$61,L738*'Assumptions and Catalog'!$H$61+'Assumptions and Catalog'!$E$61+'Assumptions and Catalog'!$F$61,IF(L738&lt;='Assumptions and Catalog'!$C$62,L738*'Assumptions and Catalog'!$H$62+'Assumptions and Catalog'!$E$62+'Assumptions and Catalog'!$F$62,IF(L738&lt;='Assumptions and Catalog'!$C$63,L738*'Assumptions and Catalog'!$H$63+'Assumptions and Catalog'!$E$63+'Assumptions and Catalog'!$F$63,IF(L738&lt;='Assumptions and Catalog'!$C$64,L738*'Assumptions and Catalog'!$H$64+'Assumptions and Catalog'!$E$64+'Assumptions and Catalog'!$F$64,IF(L738&lt;='Assumptions and Catalog'!$C$65,L738*'Assumptions and Catalog'!$H$65+'Assumptions and Catalog'!$E$65+'Assumptions and Catalog'!$F$65,"Out of range")))))))))*(1+'Assumptions and Catalog'!$C$8)^(A738-1),0)</f>
        <v>2583.12779753161</v>
      </c>
      <c r="O738" s="5" t="n">
        <f>M738-N738</f>
        <v>4284.09220246839</v>
      </c>
      <c r="P738" s="5" t="n">
        <f>E$55*(1-L$14)*(1-'Assumptions and Catalog'!$C$23)^R738</f>
        <v>9.07102598004736</v>
      </c>
      <c r="Q738" s="5" t="n">
        <f>IF(ISNUMBER(Inputs!$L$5),(IF(Inputs!$L$9="Actual flat rate",((D738+E738)*C738-G738)*Inputs!$L$10,IF(Inputs!$C$9="Residential",IF(((D738+E738)*C738-G738)&lt;='Assumptions and Catalog'!$C$50,((D738+E738)*C738-G738)*'Assumptions and Catalog'!$H$50+'Assumptions and Catalog'!$E$50+'Assumptions and Catalog'!$F$50,IF(((D738+E738)*C738-G738)&lt;='Assumptions and Catalog'!$C$51,((D738+E738)*C738-G738)*'Assumptions and Catalog'!$H$51+'Assumptions and Catalog'!$E$51+'Assumptions and Catalog'!$F$51,IF(((D738+E738)*C738-G738)&lt;='Assumptions and Catalog'!$C$52,((D738+E738)*C738-G738)*'Assumptions and Catalog'!$H$52+'Assumptions and Catalog'!$E$52+'Assumptions and Catalog'!$F$52,IF(((D738+E738)*C738-G738)&lt;='Assumptions and Catalog'!$C$53,((D738+E738)*C738-G738)*'Assumptions and Catalog'!$H$53+'Assumptions and Catalog'!$E$53+'Assumptions and Catalog'!$F$53,IF(((D738+E738)*C738-G738)&lt;='Assumptions and Catalog'!$C$54,((D738+E738)*C738-G738)*'Assumptions and Catalog'!$H$54+'Assumptions and Catalog'!$E$54+'Assumptions and Catalog'!$F$54,IF(((D738+E738)*C738-G738)&lt;='Assumptions and Catalog'!$C$55,((D738+E738)*C738-G738)*'Assumptions and Catalog'!$H$55+'Assumptions and Catalog'!$E$55+'Assumptions and Catalog'!$F$55,IF(((D738+E738)*C738-G738)&lt;='Assumptions and Catalog'!$C$56,((D738+E738)*C738-G738)*'Assumptions and Catalog'!$H$56+'Assumptions and Catalog'!$E$56+'Assumptions and Catalog'!$F$56,IF(((D738+E738)*C738-G738)&lt;='Assumptions and Catalog'!$C$57,((D738+E738)*C738-G738)*'Assumptions and Catalog'!$H$57+'Assumptions and Catalog'!$E$57+'Assumptions and Catalog'!$F$57,"Out of range")))))))),IF(((D738+E738)*C738-G738)&lt;='Assumptions and Catalog'!$C$60,((D738+E738)*C738-G738)*'Assumptions and Catalog'!$H$60+'Assumptions and Catalog'!$E$60+'Assumptions and Catalog'!$F$60,IF(((D738+E738)*C738-G738)&lt;='Assumptions and Catalog'!$C$61,((D738+E738)*C738-G738)*'Assumptions and Catalog'!$H$61+'Assumptions and Catalog'!$E$61+'Assumptions and Catalog'!$F$61,IF(((D738+E738)*C738-G738)&lt;='Assumptions and Catalog'!$C$62,((D738+E738)*C738-G738)*'Assumptions and Catalog'!$H$62+'Assumptions and Catalog'!$E$62+'Assumptions and Catalog'!$F$62,IF(((D738+E738)*C738-G738)&lt;='Assumptions and Catalog'!$C$63,((D738+E738)*C738-G738)*'Assumptions and Catalog'!$H$63+'Assumptions and Catalog'!$E$63+'Assumptions and Catalog'!$F$63,IF(((D738+E738)*C738-G738)&lt;='Assumptions and Catalog'!$C$64,((D738+E738)*C738-G738)*'Assumptions and Catalog'!$H$64+'Assumptions and Catalog'!$E$64+'Assumptions and Catalog'!$F$64,IF(((D738+E738)*C738-G738)&lt;='Assumptions and Catalog'!$C$65,((D738+E738)*C738-G738)*'Assumptions and Catalog'!$H$65+'Assumptions and Catalog'!$E$65+'Assumptions and Catalog'!$F$65,"Out of range")))))))))*(1+'Assumptions and Catalog'!$C$8)^(A738-1),0)</f>
        <v>3453.61</v>
      </c>
      <c r="R738" s="5" t="n">
        <f>IF(AND('Assumptions and Catalog'!$C$19&gt;0,A738&gt;='Assumptions and Catalog'!$C$19),A738-'Assumptions and Catalog'!$C$19,A738-1)</f>
        <v>6</v>
      </c>
      <c r="S738" s="5" t="n">
        <f>F738+L738-(D738+E738)*C738-J738-K738-IF(E$52&gt;0,'Assumptions and Catalog'!$C$26*C738,0)</f>
        <v>-1.13686837721616E-013</v>
      </c>
      <c r="T738" s="5"/>
      <c r="U738" s="5"/>
    </row>
    <row r="739" ht="23.100000381469727" customHeight="1">
      <c r="A739" s="5" t="n">
        <v>7</v>
      </c>
      <c r="B739" s="5" t="n">
        <v>7</v>
      </c>
      <c r="C739" s="5" t="n">
        <f>DAY(DATE('Assumptions and Catalog'!$C$24+A739-1,B739+1,0))</f>
        <v>31</v>
      </c>
      <c r="D739" s="5" t="n">
        <f>IF(ISNUMBER(Inputs!$L$5),Inputs!$L$5*Inputs!$L$6,0)</f>
        <v>40.35</v>
      </c>
      <c r="E739" s="5" t="n">
        <f>IF(ISNUMBER(Inputs!$L$5),Inputs!$L$5-D739,0)</f>
        <v>40.35</v>
      </c>
      <c r="F739" s="5" t="n">
        <f>E$51*INDEX('Solar Production'!$D$20:$D$31,B739)*C739*(1-'Assumptions and Catalog'!$C$10)^(A739-1)</f>
        <v>1757.59691129663</v>
      </c>
      <c r="G739" s="5" t="n">
        <f>MIN(F739,D739*C739)</f>
        <v>1250.85</v>
      </c>
      <c r="H739" s="5" t="n">
        <f>I739/('Assumptions and Catalog'!$C$11*'Assumptions and Catalog'!$C$12)</f>
        <v>288.412108083557</v>
      </c>
      <c r="I739" s="5" t="n">
        <f>MIN(E739*C739,P739*'Assumptions and Catalog'!$C$12*C739,(F739-G739)*'Assumptions and Catalog'!$C$11*'Assumptions and Catalog'!$C$12,E$56*'Assumptions and Catalog'!$C$14*'Assumptions and Catalog'!$C$11*'Assumptions and Catalog'!$C$12*C739,E$57*(24-'Assumptions and Catalog'!$C$13)*C739)</f>
        <v>274.171760246932</v>
      </c>
      <c r="J739" s="5" t="n">
        <f>MAX(F739-G739-H739,0)</f>
        <v>218.334803213072</v>
      </c>
      <c r="K739" s="5" t="n">
        <f>H739-I739</f>
        <v>14.2403478366256</v>
      </c>
      <c r="L739" s="5" t="n">
        <f>(D739+E739)*C739-G739-I739+0+IF(E$52&gt;0,'Assumptions and Catalog'!$C$26*C739,0)</f>
        <v>976.678239753069</v>
      </c>
      <c r="M739" s="5" t="n">
        <f>IF(ISNUMBER(Inputs!$L$5),(IF(Inputs!$L$9="Actual flat rate",((D739+E739)*C739)*Inputs!$L$10,IF(Inputs!$C$9="Residential",IF(((D739+E739)*C739)&lt;='Assumptions and Catalog'!$C$50,((D739+E739)*C739)*'Assumptions and Catalog'!$H$50+'Assumptions and Catalog'!$E$50+'Assumptions and Catalog'!$F$50,IF(((D739+E739)*C739)&lt;='Assumptions and Catalog'!$C$51,((D739+E739)*C739)*'Assumptions and Catalog'!$H$51+'Assumptions and Catalog'!$E$51+'Assumptions and Catalog'!$F$51,IF(((D739+E739)*C739)&lt;='Assumptions and Catalog'!$C$52,((D739+E739)*C739)*'Assumptions and Catalog'!$H$52+'Assumptions and Catalog'!$E$52+'Assumptions and Catalog'!$F$52,IF(((D739+E739)*C739)&lt;='Assumptions and Catalog'!$C$53,((D739+E739)*C739)*'Assumptions and Catalog'!$H$53+'Assumptions and Catalog'!$E$53+'Assumptions and Catalog'!$F$53,IF(((D739+E739)*C739)&lt;='Assumptions and Catalog'!$C$54,((D739+E739)*C739)*'Assumptions and Catalog'!$H$54+'Assumptions and Catalog'!$E$54+'Assumptions and Catalog'!$F$54,IF(((D739+E739)*C739)&lt;='Assumptions and Catalog'!$C$55,((D739+E739)*C739)*'Assumptions and Catalog'!$H$55+'Assumptions and Catalog'!$E$55+'Assumptions and Catalog'!$F$55,IF(((D739+E739)*C739)&lt;='Assumptions and Catalog'!$C$56,((D739+E739)*C739)*'Assumptions and Catalog'!$H$56+'Assumptions and Catalog'!$E$56+'Assumptions and Catalog'!$F$56,IF(((D739+E739)*C739)&lt;='Assumptions and Catalog'!$C$57,((D739+E739)*C739)*'Assumptions and Catalog'!$H$57+'Assumptions and Catalog'!$E$57+'Assumptions and Catalog'!$F$57,"Out of range")))))))),IF(((D739+E739)*C739)&lt;='Assumptions and Catalog'!$C$60,((D739+E739)*C739)*'Assumptions and Catalog'!$H$60+'Assumptions and Catalog'!$E$60+'Assumptions and Catalog'!$F$60,IF(((D739+E739)*C739)&lt;='Assumptions and Catalog'!$C$61,((D739+E739)*C739)*'Assumptions and Catalog'!$H$61+'Assumptions and Catalog'!$E$61+'Assumptions and Catalog'!$F$61,IF(((D739+E739)*C739)&lt;='Assumptions and Catalog'!$C$62,((D739+E739)*C739)*'Assumptions and Catalog'!$H$62+'Assumptions and Catalog'!$E$62+'Assumptions and Catalog'!$F$62,IF(((D739+E739)*C739)&lt;='Assumptions and Catalog'!$C$63,((D739+E739)*C739)*'Assumptions and Catalog'!$H$63+'Assumptions and Catalog'!$E$63+'Assumptions and Catalog'!$F$63,IF(((D739+E739)*C739)&lt;='Assumptions and Catalog'!$C$64,((D739+E739)*C739)*'Assumptions and Catalog'!$H$64+'Assumptions and Catalog'!$E$64+'Assumptions and Catalog'!$F$64,IF(((D739+E739)*C739)&lt;='Assumptions and Catalog'!$C$65,((D739+E739)*C739)*'Assumptions and Catalog'!$H$65+'Assumptions and Catalog'!$E$65+'Assumptions and Catalog'!$F$65,"Out of range")))))))))*(1+'Assumptions and Catalog'!$C$8)^(A739-1),0)</f>
        <v>7094.794</v>
      </c>
      <c r="N739" s="5" t="n">
        <f>IF(ISNUMBER(Inputs!$L$5),(IF(Inputs!$L$9="Actual flat rate",L739*Inputs!$L$10,IF(Inputs!$C$9="Residential",IF(L739&lt;='Assumptions and Catalog'!$C$50,L739*'Assumptions and Catalog'!$H$50+'Assumptions and Catalog'!$E$50+'Assumptions and Catalog'!$F$50,IF(L739&lt;='Assumptions and Catalog'!$C$51,L739*'Assumptions and Catalog'!$H$51+'Assumptions and Catalog'!$E$51+'Assumptions and Catalog'!$F$51,IF(L739&lt;='Assumptions and Catalog'!$C$52,L739*'Assumptions and Catalog'!$H$52+'Assumptions and Catalog'!$E$52+'Assumptions and Catalog'!$F$52,IF(L739&lt;='Assumptions and Catalog'!$C$53,L739*'Assumptions and Catalog'!$H$53+'Assumptions and Catalog'!$E$53+'Assumptions and Catalog'!$F$53,IF(L739&lt;='Assumptions and Catalog'!$C$54,L739*'Assumptions and Catalog'!$H$54+'Assumptions and Catalog'!$E$54+'Assumptions and Catalog'!$F$54,IF(L739&lt;='Assumptions and Catalog'!$C$55,L739*'Assumptions and Catalog'!$H$55+'Assumptions and Catalog'!$E$55+'Assumptions and Catalog'!$F$55,IF(L739&lt;='Assumptions and Catalog'!$C$56,L739*'Assumptions and Catalog'!$H$56+'Assumptions and Catalog'!$E$56+'Assumptions and Catalog'!$F$56,IF(L739&lt;='Assumptions and Catalog'!$C$57,L739*'Assumptions and Catalog'!$H$57+'Assumptions and Catalog'!$E$57+'Assumptions and Catalog'!$F$57,"Out of range")))))))),IF(L739&lt;='Assumptions and Catalog'!$C$60,L739*'Assumptions and Catalog'!$H$60+'Assumptions and Catalog'!$E$60+'Assumptions and Catalog'!$F$60,IF(L739&lt;='Assumptions and Catalog'!$C$61,L739*'Assumptions and Catalog'!$H$61+'Assumptions and Catalog'!$E$61+'Assumptions and Catalog'!$F$61,IF(L739&lt;='Assumptions and Catalog'!$C$62,L739*'Assumptions and Catalog'!$H$62+'Assumptions and Catalog'!$E$62+'Assumptions and Catalog'!$F$62,IF(L739&lt;='Assumptions and Catalog'!$C$63,L739*'Assumptions and Catalog'!$H$63+'Assumptions and Catalog'!$E$63+'Assumptions and Catalog'!$F$63,IF(L739&lt;='Assumptions and Catalog'!$C$64,L739*'Assumptions and Catalog'!$H$64+'Assumptions and Catalog'!$E$64+'Assumptions and Catalog'!$F$64,IF(L739&lt;='Assumptions and Catalog'!$C$65,L739*'Assumptions and Catalog'!$H$65+'Assumptions and Catalog'!$E$65+'Assumptions and Catalog'!$F$65,"Out of range")))))))))*(1+'Assumptions and Catalog'!$C$8)^(A739-1),0)</f>
        <v>2670.398724116</v>
      </c>
      <c r="O739" s="5" t="n">
        <f>M739-N739</f>
        <v>4424.395275884</v>
      </c>
      <c r="P739" s="5" t="n">
        <f>E$55*(1-L$14)*(1-'Assumptions and Catalog'!$C$23)^R739</f>
        <v>9.07102598004736</v>
      </c>
      <c r="Q739" s="5" t="n">
        <f>IF(ISNUMBER(Inputs!$L$5),(IF(Inputs!$L$9="Actual flat rate",((D739+E739)*C739-G739)*Inputs!$L$10,IF(Inputs!$C$9="Residential",IF(((D739+E739)*C739-G739)&lt;='Assumptions and Catalog'!$C$50,((D739+E739)*C739-G739)*'Assumptions and Catalog'!$H$50+'Assumptions and Catalog'!$E$50+'Assumptions and Catalog'!$F$50,IF(((D739+E739)*C739-G739)&lt;='Assumptions and Catalog'!$C$51,((D739+E739)*C739-G739)*'Assumptions and Catalog'!$H$51+'Assumptions and Catalog'!$E$51+'Assumptions and Catalog'!$F$51,IF(((D739+E739)*C739-G739)&lt;='Assumptions and Catalog'!$C$52,((D739+E739)*C739-G739)*'Assumptions and Catalog'!$H$52+'Assumptions and Catalog'!$E$52+'Assumptions and Catalog'!$F$52,IF(((D739+E739)*C739-G739)&lt;='Assumptions and Catalog'!$C$53,((D739+E739)*C739-G739)*'Assumptions and Catalog'!$H$53+'Assumptions and Catalog'!$E$53+'Assumptions and Catalog'!$F$53,IF(((D739+E739)*C739-G739)&lt;='Assumptions and Catalog'!$C$54,((D739+E739)*C739-G739)*'Assumptions and Catalog'!$H$54+'Assumptions and Catalog'!$E$54+'Assumptions and Catalog'!$F$54,IF(((D739+E739)*C739-G739)&lt;='Assumptions and Catalog'!$C$55,((D739+E739)*C739-G739)*'Assumptions and Catalog'!$H$55+'Assumptions and Catalog'!$E$55+'Assumptions and Catalog'!$F$55,IF(((D739+E739)*C739-G739)&lt;='Assumptions and Catalog'!$C$56,((D739+E739)*C739-G739)*'Assumptions and Catalog'!$H$56+'Assumptions and Catalog'!$E$56+'Assumptions and Catalog'!$F$56,IF(((D739+E739)*C739-G739)&lt;='Assumptions and Catalog'!$C$57,((D739+E739)*C739-G739)*'Assumptions and Catalog'!$H$57+'Assumptions and Catalog'!$E$57+'Assumptions and Catalog'!$F$57,"Out of range")))))))),IF(((D739+E739)*C739-G739)&lt;='Assumptions and Catalog'!$C$60,((D739+E739)*C739-G739)*'Assumptions and Catalog'!$H$60+'Assumptions and Catalog'!$E$60+'Assumptions and Catalog'!$F$60,IF(((D739+E739)*C739-G739)&lt;='Assumptions and Catalog'!$C$61,((D739+E739)*C739-G739)*'Assumptions and Catalog'!$H$61+'Assumptions and Catalog'!$E$61+'Assumptions and Catalog'!$F$61,IF(((D739+E739)*C739-G739)&lt;='Assumptions and Catalog'!$C$62,((D739+E739)*C739-G739)*'Assumptions and Catalog'!$H$62+'Assumptions and Catalog'!$E$62+'Assumptions and Catalog'!$F$62,IF(((D739+E739)*C739-G739)&lt;='Assumptions and Catalog'!$C$63,((D739+E739)*C739-G739)*'Assumptions and Catalog'!$H$63+'Assumptions and Catalog'!$E$63+'Assumptions and Catalog'!$F$63,IF(((D739+E739)*C739-G739)&lt;='Assumptions and Catalog'!$C$64,((D739+E739)*C739-G739)*'Assumptions and Catalog'!$H$64+'Assumptions and Catalog'!$E$64+'Assumptions and Catalog'!$F$64,IF(((D739+E739)*C739-G739)&lt;='Assumptions and Catalog'!$C$65,((D739+E739)*C739-G739)*'Assumptions and Catalog'!$H$65+'Assumptions and Catalog'!$E$65+'Assumptions and Catalog'!$F$65,"Out of range")))))))))*(1+'Assumptions and Catalog'!$C$8)^(A739-1),0)</f>
        <v>3567.397</v>
      </c>
      <c r="R739" s="5" t="n">
        <f>IF(AND('Assumptions and Catalog'!$C$19&gt;0,A739&gt;='Assumptions and Catalog'!$C$19),A739-'Assumptions and Catalog'!$C$19,A739-1)</f>
        <v>6</v>
      </c>
      <c r="S739" s="5" t="n">
        <f>F739+L739-(D739+E739)*C739-J739-K739-IF(E$52&gt;0,'Assumptions and Catalog'!$C$26*C739,0)</f>
        <v>-1.13686837721616E-013</v>
      </c>
      <c r="T739" s="5"/>
      <c r="U739" s="5"/>
    </row>
    <row r="740" ht="23.100000381469727" customHeight="1">
      <c r="A740" s="5" t="n">
        <v>7</v>
      </c>
      <c r="B740" s="5" t="n">
        <v>8</v>
      </c>
      <c r="C740" s="5" t="n">
        <f>DAY(DATE('Assumptions and Catalog'!$C$24+A740-1,B740+1,0))</f>
        <v>31</v>
      </c>
      <c r="D740" s="5" t="n">
        <f>IF(ISNUMBER(Inputs!$L$5),Inputs!$L$5*Inputs!$L$6,0)</f>
        <v>40.35</v>
      </c>
      <c r="E740" s="5" t="n">
        <f>IF(ISNUMBER(Inputs!$L$5),Inputs!$L$5-D740,0)</f>
        <v>40.35</v>
      </c>
      <c r="F740" s="5" t="n">
        <f>E$51*INDEX('Solar Production'!$D$20:$D$31,B740)*C740*(1-'Assumptions and Catalog'!$C$10)^(A740-1)</f>
        <v>1780.43948016688</v>
      </c>
      <c r="G740" s="5" t="n">
        <f>MIN(F740,D740*C740)</f>
        <v>1250.85</v>
      </c>
      <c r="H740" s="5" t="n">
        <f>I740/('Assumptions and Catalog'!$C$11*'Assumptions and Catalog'!$C$12)</f>
        <v>288.412108083557</v>
      </c>
      <c r="I740" s="5" t="n">
        <f>MIN(E740*C740,P740*'Assumptions and Catalog'!$C$12*C740,(F740-G740)*'Assumptions and Catalog'!$C$11*'Assumptions and Catalog'!$C$12,E$56*'Assumptions and Catalog'!$C$14*'Assumptions and Catalog'!$C$11*'Assumptions and Catalog'!$C$12*C740,E$57*(24-'Assumptions and Catalog'!$C$13)*C740)</f>
        <v>274.171760246932</v>
      </c>
      <c r="J740" s="5" t="n">
        <f>MAX(F740-G740-H740,0)</f>
        <v>241.177372083319</v>
      </c>
      <c r="K740" s="5" t="n">
        <f>H740-I740</f>
        <v>14.2403478366256</v>
      </c>
      <c r="L740" s="5" t="n">
        <f>(D740+E740)*C740-G740-I740+0+IF(E$52&gt;0,'Assumptions and Catalog'!$C$26*C740,0)</f>
        <v>976.678239753069</v>
      </c>
      <c r="M740" s="5" t="n">
        <f>IF(ISNUMBER(Inputs!$L$5),(IF(Inputs!$L$9="Actual flat rate",((D740+E740)*C740)*Inputs!$L$10,IF(Inputs!$C$9="Residential",IF(((D740+E740)*C740)&lt;='Assumptions and Catalog'!$C$50,((D740+E740)*C740)*'Assumptions and Catalog'!$H$50+'Assumptions and Catalog'!$E$50+'Assumptions and Catalog'!$F$50,IF(((D740+E740)*C740)&lt;='Assumptions and Catalog'!$C$51,((D740+E740)*C740)*'Assumptions and Catalog'!$H$51+'Assumptions and Catalog'!$E$51+'Assumptions and Catalog'!$F$51,IF(((D740+E740)*C740)&lt;='Assumptions and Catalog'!$C$52,((D740+E740)*C740)*'Assumptions and Catalog'!$H$52+'Assumptions and Catalog'!$E$52+'Assumptions and Catalog'!$F$52,IF(((D740+E740)*C740)&lt;='Assumptions and Catalog'!$C$53,((D740+E740)*C740)*'Assumptions and Catalog'!$H$53+'Assumptions and Catalog'!$E$53+'Assumptions and Catalog'!$F$53,IF(((D740+E740)*C740)&lt;='Assumptions and Catalog'!$C$54,((D740+E740)*C740)*'Assumptions and Catalog'!$H$54+'Assumptions and Catalog'!$E$54+'Assumptions and Catalog'!$F$54,IF(((D740+E740)*C740)&lt;='Assumptions and Catalog'!$C$55,((D740+E740)*C740)*'Assumptions and Catalog'!$H$55+'Assumptions and Catalog'!$E$55+'Assumptions and Catalog'!$F$55,IF(((D740+E740)*C740)&lt;='Assumptions and Catalog'!$C$56,((D740+E740)*C740)*'Assumptions and Catalog'!$H$56+'Assumptions and Catalog'!$E$56+'Assumptions and Catalog'!$F$56,IF(((D740+E740)*C740)&lt;='Assumptions and Catalog'!$C$57,((D740+E740)*C740)*'Assumptions and Catalog'!$H$57+'Assumptions and Catalog'!$E$57+'Assumptions and Catalog'!$F$57,"Out of range")))))))),IF(((D740+E740)*C740)&lt;='Assumptions and Catalog'!$C$60,((D740+E740)*C740)*'Assumptions and Catalog'!$H$60+'Assumptions and Catalog'!$E$60+'Assumptions and Catalog'!$F$60,IF(((D740+E740)*C740)&lt;='Assumptions and Catalog'!$C$61,((D740+E740)*C740)*'Assumptions and Catalog'!$H$61+'Assumptions and Catalog'!$E$61+'Assumptions and Catalog'!$F$61,IF(((D740+E740)*C740)&lt;='Assumptions and Catalog'!$C$62,((D740+E740)*C740)*'Assumptions and Catalog'!$H$62+'Assumptions and Catalog'!$E$62+'Assumptions and Catalog'!$F$62,IF(((D740+E740)*C740)&lt;='Assumptions and Catalog'!$C$63,((D740+E740)*C740)*'Assumptions and Catalog'!$H$63+'Assumptions and Catalog'!$E$63+'Assumptions and Catalog'!$F$63,IF(((D740+E740)*C740)&lt;='Assumptions and Catalog'!$C$64,((D740+E740)*C740)*'Assumptions and Catalog'!$H$64+'Assumptions and Catalog'!$E$64+'Assumptions and Catalog'!$F$64,IF(((D740+E740)*C740)&lt;='Assumptions and Catalog'!$C$65,((D740+E740)*C740)*'Assumptions and Catalog'!$H$65+'Assumptions and Catalog'!$E$65+'Assumptions and Catalog'!$F$65,"Out of range")))))))))*(1+'Assumptions and Catalog'!$C$8)^(A740-1),0)</f>
        <v>7094.794</v>
      </c>
      <c r="N740" s="5" t="n">
        <f>IF(ISNUMBER(Inputs!$L$5),(IF(Inputs!$L$9="Actual flat rate",L740*Inputs!$L$10,IF(Inputs!$C$9="Residential",IF(L740&lt;='Assumptions and Catalog'!$C$50,L740*'Assumptions and Catalog'!$H$50+'Assumptions and Catalog'!$E$50+'Assumptions and Catalog'!$F$50,IF(L740&lt;='Assumptions and Catalog'!$C$51,L740*'Assumptions and Catalog'!$H$51+'Assumptions and Catalog'!$E$51+'Assumptions and Catalog'!$F$51,IF(L740&lt;='Assumptions and Catalog'!$C$52,L740*'Assumptions and Catalog'!$H$52+'Assumptions and Catalog'!$E$52+'Assumptions and Catalog'!$F$52,IF(L740&lt;='Assumptions and Catalog'!$C$53,L740*'Assumptions and Catalog'!$H$53+'Assumptions and Catalog'!$E$53+'Assumptions and Catalog'!$F$53,IF(L740&lt;='Assumptions and Catalog'!$C$54,L740*'Assumptions and Catalog'!$H$54+'Assumptions and Catalog'!$E$54+'Assumptions and Catalog'!$F$54,IF(L740&lt;='Assumptions and Catalog'!$C$55,L740*'Assumptions and Catalog'!$H$55+'Assumptions and Catalog'!$E$55+'Assumptions and Catalog'!$F$55,IF(L740&lt;='Assumptions and Catalog'!$C$56,L740*'Assumptions and Catalog'!$H$56+'Assumptions and Catalog'!$E$56+'Assumptions and Catalog'!$F$56,IF(L740&lt;='Assumptions and Catalog'!$C$57,L740*'Assumptions and Catalog'!$H$57+'Assumptions and Catalog'!$E$57+'Assumptions and Catalog'!$F$57,"Out of range")))))))),IF(L740&lt;='Assumptions and Catalog'!$C$60,L740*'Assumptions and Catalog'!$H$60+'Assumptions and Catalog'!$E$60+'Assumptions and Catalog'!$F$60,IF(L740&lt;='Assumptions and Catalog'!$C$61,L740*'Assumptions and Catalog'!$H$61+'Assumptions and Catalog'!$E$61+'Assumptions and Catalog'!$F$61,IF(L740&lt;='Assumptions and Catalog'!$C$62,L740*'Assumptions and Catalog'!$H$62+'Assumptions and Catalog'!$E$62+'Assumptions and Catalog'!$F$62,IF(L740&lt;='Assumptions and Catalog'!$C$63,L740*'Assumptions and Catalog'!$H$63+'Assumptions and Catalog'!$E$63+'Assumptions and Catalog'!$F$63,IF(L740&lt;='Assumptions and Catalog'!$C$64,L740*'Assumptions and Catalog'!$H$64+'Assumptions and Catalog'!$E$64+'Assumptions and Catalog'!$F$64,IF(L740&lt;='Assumptions and Catalog'!$C$65,L740*'Assumptions and Catalog'!$H$65+'Assumptions and Catalog'!$E$65+'Assumptions and Catalog'!$F$65,"Out of range")))))))))*(1+'Assumptions and Catalog'!$C$8)^(A740-1),0)</f>
        <v>2670.398724116</v>
      </c>
      <c r="O740" s="5" t="n">
        <f>M740-N740</f>
        <v>4424.395275884</v>
      </c>
      <c r="P740" s="5" t="n">
        <f>E$55*(1-L$14)*(1-'Assumptions and Catalog'!$C$23)^R740</f>
        <v>9.07102598004736</v>
      </c>
      <c r="Q740" s="5" t="n">
        <f>IF(ISNUMBER(Inputs!$L$5),(IF(Inputs!$L$9="Actual flat rate",((D740+E740)*C740-G740)*Inputs!$L$10,IF(Inputs!$C$9="Residential",IF(((D740+E740)*C740-G740)&lt;='Assumptions and Catalog'!$C$50,((D740+E740)*C740-G740)*'Assumptions and Catalog'!$H$50+'Assumptions and Catalog'!$E$50+'Assumptions and Catalog'!$F$50,IF(((D740+E740)*C740-G740)&lt;='Assumptions and Catalog'!$C$51,((D740+E740)*C740-G740)*'Assumptions and Catalog'!$H$51+'Assumptions and Catalog'!$E$51+'Assumptions and Catalog'!$F$51,IF(((D740+E740)*C740-G740)&lt;='Assumptions and Catalog'!$C$52,((D740+E740)*C740-G740)*'Assumptions and Catalog'!$H$52+'Assumptions and Catalog'!$E$52+'Assumptions and Catalog'!$F$52,IF(((D740+E740)*C740-G740)&lt;='Assumptions and Catalog'!$C$53,((D740+E740)*C740-G740)*'Assumptions and Catalog'!$H$53+'Assumptions and Catalog'!$E$53+'Assumptions and Catalog'!$F$53,IF(((D740+E740)*C740-G740)&lt;='Assumptions and Catalog'!$C$54,((D740+E740)*C740-G740)*'Assumptions and Catalog'!$H$54+'Assumptions and Catalog'!$E$54+'Assumptions and Catalog'!$F$54,IF(((D740+E740)*C740-G740)&lt;='Assumptions and Catalog'!$C$55,((D740+E740)*C740-G740)*'Assumptions and Catalog'!$H$55+'Assumptions and Catalog'!$E$55+'Assumptions and Catalog'!$F$55,IF(((D740+E740)*C740-G740)&lt;='Assumptions and Catalog'!$C$56,((D740+E740)*C740-G740)*'Assumptions and Catalog'!$H$56+'Assumptions and Catalog'!$E$56+'Assumptions and Catalog'!$F$56,IF(((D740+E740)*C740-G740)&lt;='Assumptions and Catalog'!$C$57,((D740+E740)*C740-G740)*'Assumptions and Catalog'!$H$57+'Assumptions and Catalog'!$E$57+'Assumptions and Catalog'!$F$57,"Out of range")))))))),IF(((D740+E740)*C740-G740)&lt;='Assumptions and Catalog'!$C$60,((D740+E740)*C740-G740)*'Assumptions and Catalog'!$H$60+'Assumptions and Catalog'!$E$60+'Assumptions and Catalog'!$F$60,IF(((D740+E740)*C740-G740)&lt;='Assumptions and Catalog'!$C$61,((D740+E740)*C740-G740)*'Assumptions and Catalog'!$H$61+'Assumptions and Catalog'!$E$61+'Assumptions and Catalog'!$F$61,IF(((D740+E740)*C740-G740)&lt;='Assumptions and Catalog'!$C$62,((D740+E740)*C740-G740)*'Assumptions and Catalog'!$H$62+'Assumptions and Catalog'!$E$62+'Assumptions and Catalog'!$F$62,IF(((D740+E740)*C740-G740)&lt;='Assumptions and Catalog'!$C$63,((D740+E740)*C740-G740)*'Assumptions and Catalog'!$H$63+'Assumptions and Catalog'!$E$63+'Assumptions and Catalog'!$F$63,IF(((D740+E740)*C740-G740)&lt;='Assumptions and Catalog'!$C$64,((D740+E740)*C740-G740)*'Assumptions and Catalog'!$H$64+'Assumptions and Catalog'!$E$64+'Assumptions and Catalog'!$F$64,IF(((D740+E740)*C740-G740)&lt;='Assumptions and Catalog'!$C$65,((D740+E740)*C740-G740)*'Assumptions and Catalog'!$H$65+'Assumptions and Catalog'!$E$65+'Assumptions and Catalog'!$F$65,"Out of range")))))))))*(1+'Assumptions and Catalog'!$C$8)^(A740-1),0)</f>
        <v>3567.397</v>
      </c>
      <c r="R740" s="5" t="n">
        <f>IF(AND('Assumptions and Catalog'!$C$19&gt;0,A740&gt;='Assumptions and Catalog'!$C$19),A740-'Assumptions and Catalog'!$C$19,A740-1)</f>
        <v>6</v>
      </c>
      <c r="S740" s="5" t="n">
        <f>F740+L740-(D740+E740)*C740-J740-K740-IF(E$52&gt;0,'Assumptions and Catalog'!$C$26*C740,0)</f>
        <v>-1.13686837721616E-013</v>
      </c>
      <c r="T740" s="5"/>
      <c r="U740" s="5"/>
    </row>
    <row r="741" ht="23.100000381469727" customHeight="1">
      <c r="A741" s="5" t="n">
        <v>7</v>
      </c>
      <c r="B741" s="5" t="n">
        <v>9</v>
      </c>
      <c r="C741" s="5" t="n">
        <f>DAY(DATE('Assumptions and Catalog'!$C$24+A741-1,B741+1,0))</f>
        <v>30</v>
      </c>
      <c r="D741" s="5" t="n">
        <f>IF(ISNUMBER(Inputs!$L$5),Inputs!$L$5*Inputs!$L$6,0)</f>
        <v>40.35</v>
      </c>
      <c r="E741" s="5" t="n">
        <f>IF(ISNUMBER(Inputs!$L$5),Inputs!$L$5-D741,0)</f>
        <v>40.35</v>
      </c>
      <c r="F741" s="5" t="n">
        <f>E$51*INDEX('Solar Production'!$D$20:$D$31,B741)*C741*(1-'Assumptions and Catalog'!$C$10)^(A741-1)</f>
        <v>1718.52971406995</v>
      </c>
      <c r="G741" s="5" t="n">
        <f>MIN(F741,D741*C741)</f>
        <v>1210.5</v>
      </c>
      <c r="H741" s="5" t="n">
        <f>I741/('Assumptions and Catalog'!$C$11*'Assumptions and Catalog'!$C$12)</f>
        <v>279.108491693765</v>
      </c>
      <c r="I741" s="5" t="n">
        <f>MIN(E741*C741,P741*'Assumptions and Catalog'!$C$12*C741,(F741-G741)*'Assumptions and Catalog'!$C$11*'Assumptions and Catalog'!$C$12,E$56*'Assumptions and Catalog'!$C$14*'Assumptions and Catalog'!$C$11*'Assumptions and Catalog'!$C$12*C741,E$57*(24-'Assumptions and Catalog'!$C$13)*C741)</f>
        <v>265.327509916385</v>
      </c>
      <c r="J741" s="5" t="n">
        <f>MAX(F741-G741-H741,0)</f>
        <v>228.921222376182</v>
      </c>
      <c r="K741" s="5" t="n">
        <f>H741-I741</f>
        <v>13.7809817773797</v>
      </c>
      <c r="L741" s="5" t="n">
        <f>(D741+E741)*C741-G741-I741+0+IF(E$52&gt;0,'Assumptions and Catalog'!$C$26*C741,0)</f>
        <v>945.172490083615</v>
      </c>
      <c r="M741" s="5" t="n">
        <f>IF(ISNUMBER(Inputs!$L$5),(IF(Inputs!$L$9="Actual flat rate",((D741+E741)*C741)*Inputs!$L$10,IF(Inputs!$C$9="Residential",IF(((D741+E741)*C741)&lt;='Assumptions and Catalog'!$C$50,((D741+E741)*C741)*'Assumptions and Catalog'!$H$50+'Assumptions and Catalog'!$E$50+'Assumptions and Catalog'!$F$50,IF(((D741+E741)*C741)&lt;='Assumptions and Catalog'!$C$51,((D741+E741)*C741)*'Assumptions and Catalog'!$H$51+'Assumptions and Catalog'!$E$51+'Assumptions and Catalog'!$F$51,IF(((D741+E741)*C741)&lt;='Assumptions and Catalog'!$C$52,((D741+E741)*C741)*'Assumptions and Catalog'!$H$52+'Assumptions and Catalog'!$E$52+'Assumptions and Catalog'!$F$52,IF(((D741+E741)*C741)&lt;='Assumptions and Catalog'!$C$53,((D741+E741)*C741)*'Assumptions and Catalog'!$H$53+'Assumptions and Catalog'!$E$53+'Assumptions and Catalog'!$F$53,IF(((D741+E741)*C741)&lt;='Assumptions and Catalog'!$C$54,((D741+E741)*C741)*'Assumptions and Catalog'!$H$54+'Assumptions and Catalog'!$E$54+'Assumptions and Catalog'!$F$54,IF(((D741+E741)*C741)&lt;='Assumptions and Catalog'!$C$55,((D741+E741)*C741)*'Assumptions and Catalog'!$H$55+'Assumptions and Catalog'!$E$55+'Assumptions and Catalog'!$F$55,IF(((D741+E741)*C741)&lt;='Assumptions and Catalog'!$C$56,((D741+E741)*C741)*'Assumptions and Catalog'!$H$56+'Assumptions and Catalog'!$E$56+'Assumptions and Catalog'!$F$56,IF(((D741+E741)*C741)&lt;='Assumptions and Catalog'!$C$57,((D741+E741)*C741)*'Assumptions and Catalog'!$H$57+'Assumptions and Catalog'!$E$57+'Assumptions and Catalog'!$F$57,"Out of range")))))))),IF(((D741+E741)*C741)&lt;='Assumptions and Catalog'!$C$60,((D741+E741)*C741)*'Assumptions and Catalog'!$H$60+'Assumptions and Catalog'!$E$60+'Assumptions and Catalog'!$F$60,IF(((D741+E741)*C741)&lt;='Assumptions and Catalog'!$C$61,((D741+E741)*C741)*'Assumptions and Catalog'!$H$61+'Assumptions and Catalog'!$E$61+'Assumptions and Catalog'!$F$61,IF(((D741+E741)*C741)&lt;='Assumptions and Catalog'!$C$62,((D741+E741)*C741)*'Assumptions and Catalog'!$H$62+'Assumptions and Catalog'!$E$62+'Assumptions and Catalog'!$F$62,IF(((D741+E741)*C741)&lt;='Assumptions and Catalog'!$C$63,((D741+E741)*C741)*'Assumptions and Catalog'!$H$63+'Assumptions and Catalog'!$E$63+'Assumptions and Catalog'!$F$63,IF(((D741+E741)*C741)&lt;='Assumptions and Catalog'!$C$64,((D741+E741)*C741)*'Assumptions and Catalog'!$H$64+'Assumptions and Catalog'!$E$64+'Assumptions and Catalog'!$F$64,IF(((D741+E741)*C741)&lt;='Assumptions and Catalog'!$C$65,((D741+E741)*C741)*'Assumptions and Catalog'!$H$65+'Assumptions and Catalog'!$E$65+'Assumptions and Catalog'!$F$65,"Out of range")))))))))*(1+'Assumptions and Catalog'!$C$8)^(A741-1),0)</f>
        <v>6867.22</v>
      </c>
      <c r="N741" s="5" t="n">
        <f>IF(ISNUMBER(Inputs!$L$5),(IF(Inputs!$L$9="Actual flat rate",L741*Inputs!$L$10,IF(Inputs!$C$9="Residential",IF(L741&lt;='Assumptions and Catalog'!$C$50,L741*'Assumptions and Catalog'!$H$50+'Assumptions and Catalog'!$E$50+'Assumptions and Catalog'!$F$50,IF(L741&lt;='Assumptions and Catalog'!$C$51,L741*'Assumptions and Catalog'!$H$51+'Assumptions and Catalog'!$E$51+'Assumptions and Catalog'!$F$51,IF(L741&lt;='Assumptions and Catalog'!$C$52,L741*'Assumptions and Catalog'!$H$52+'Assumptions and Catalog'!$E$52+'Assumptions and Catalog'!$F$52,IF(L741&lt;='Assumptions and Catalog'!$C$53,L741*'Assumptions and Catalog'!$H$53+'Assumptions and Catalog'!$E$53+'Assumptions and Catalog'!$F$53,IF(L741&lt;='Assumptions and Catalog'!$C$54,L741*'Assumptions and Catalog'!$H$54+'Assumptions and Catalog'!$E$54+'Assumptions and Catalog'!$F$54,IF(L741&lt;='Assumptions and Catalog'!$C$55,L741*'Assumptions and Catalog'!$H$55+'Assumptions and Catalog'!$E$55+'Assumptions and Catalog'!$F$55,IF(L741&lt;='Assumptions and Catalog'!$C$56,L741*'Assumptions and Catalog'!$H$56+'Assumptions and Catalog'!$E$56+'Assumptions and Catalog'!$F$56,IF(L741&lt;='Assumptions and Catalog'!$C$57,L741*'Assumptions and Catalog'!$H$57+'Assumptions and Catalog'!$E$57+'Assumptions and Catalog'!$F$57,"Out of range")))))))),IF(L741&lt;='Assumptions and Catalog'!$C$60,L741*'Assumptions and Catalog'!$H$60+'Assumptions and Catalog'!$E$60+'Assumptions and Catalog'!$F$60,IF(L741&lt;='Assumptions and Catalog'!$C$61,L741*'Assumptions and Catalog'!$H$61+'Assumptions and Catalog'!$E$61+'Assumptions and Catalog'!$F$61,IF(L741&lt;='Assumptions and Catalog'!$C$62,L741*'Assumptions and Catalog'!$H$62+'Assumptions and Catalog'!$E$62+'Assumptions and Catalog'!$F$62,IF(L741&lt;='Assumptions and Catalog'!$C$63,L741*'Assumptions and Catalog'!$H$63+'Assumptions and Catalog'!$E$63+'Assumptions and Catalog'!$F$63,IF(L741&lt;='Assumptions and Catalog'!$C$64,L741*'Assumptions and Catalog'!$H$64+'Assumptions and Catalog'!$E$64+'Assumptions and Catalog'!$F$64,IF(L741&lt;='Assumptions and Catalog'!$C$65,L741*'Assumptions and Catalog'!$H$65+'Assumptions and Catalog'!$E$65+'Assumptions and Catalog'!$F$65,"Out of range")))))))))*(1+'Assumptions and Catalog'!$C$8)^(A741-1),0)</f>
        <v>2583.12779753161</v>
      </c>
      <c r="O741" s="5" t="n">
        <f>M741-N741</f>
        <v>4284.09220246839</v>
      </c>
      <c r="P741" s="5" t="n">
        <f>E$55*(1-L$14)*(1-'Assumptions and Catalog'!$C$23)^R741</f>
        <v>9.07102598004736</v>
      </c>
      <c r="Q741" s="5" t="n">
        <f>IF(ISNUMBER(Inputs!$L$5),(IF(Inputs!$L$9="Actual flat rate",((D741+E741)*C741-G741)*Inputs!$L$10,IF(Inputs!$C$9="Residential",IF(((D741+E741)*C741-G741)&lt;='Assumptions and Catalog'!$C$50,((D741+E741)*C741-G741)*'Assumptions and Catalog'!$H$50+'Assumptions and Catalog'!$E$50+'Assumptions and Catalog'!$F$50,IF(((D741+E741)*C741-G741)&lt;='Assumptions and Catalog'!$C$51,((D741+E741)*C741-G741)*'Assumptions and Catalog'!$H$51+'Assumptions and Catalog'!$E$51+'Assumptions and Catalog'!$F$51,IF(((D741+E741)*C741-G741)&lt;='Assumptions and Catalog'!$C$52,((D741+E741)*C741-G741)*'Assumptions and Catalog'!$H$52+'Assumptions and Catalog'!$E$52+'Assumptions and Catalog'!$F$52,IF(((D741+E741)*C741-G741)&lt;='Assumptions and Catalog'!$C$53,((D741+E741)*C741-G741)*'Assumptions and Catalog'!$H$53+'Assumptions and Catalog'!$E$53+'Assumptions and Catalog'!$F$53,IF(((D741+E741)*C741-G741)&lt;='Assumptions and Catalog'!$C$54,((D741+E741)*C741-G741)*'Assumptions and Catalog'!$H$54+'Assumptions and Catalog'!$E$54+'Assumptions and Catalog'!$F$54,IF(((D741+E741)*C741-G741)&lt;='Assumptions and Catalog'!$C$55,((D741+E741)*C741-G741)*'Assumptions and Catalog'!$H$55+'Assumptions and Catalog'!$E$55+'Assumptions and Catalog'!$F$55,IF(((D741+E741)*C741-G741)&lt;='Assumptions and Catalog'!$C$56,((D741+E741)*C741-G741)*'Assumptions and Catalog'!$H$56+'Assumptions and Catalog'!$E$56+'Assumptions and Catalog'!$F$56,IF(((D741+E741)*C741-G741)&lt;='Assumptions and Catalog'!$C$57,((D741+E741)*C741-G741)*'Assumptions and Catalog'!$H$57+'Assumptions and Catalog'!$E$57+'Assumptions and Catalog'!$F$57,"Out of range")))))))),IF(((D741+E741)*C741-G741)&lt;='Assumptions and Catalog'!$C$60,((D741+E741)*C741-G741)*'Assumptions and Catalog'!$H$60+'Assumptions and Catalog'!$E$60+'Assumptions and Catalog'!$F$60,IF(((D741+E741)*C741-G741)&lt;='Assumptions and Catalog'!$C$61,((D741+E741)*C741-G741)*'Assumptions and Catalog'!$H$61+'Assumptions and Catalog'!$E$61+'Assumptions and Catalog'!$F$61,IF(((D741+E741)*C741-G741)&lt;='Assumptions and Catalog'!$C$62,((D741+E741)*C741-G741)*'Assumptions and Catalog'!$H$62+'Assumptions and Catalog'!$E$62+'Assumptions and Catalog'!$F$62,IF(((D741+E741)*C741-G741)&lt;='Assumptions and Catalog'!$C$63,((D741+E741)*C741-G741)*'Assumptions and Catalog'!$H$63+'Assumptions and Catalog'!$E$63+'Assumptions and Catalog'!$F$63,IF(((D741+E741)*C741-G741)&lt;='Assumptions and Catalog'!$C$64,((D741+E741)*C741-G741)*'Assumptions and Catalog'!$H$64+'Assumptions and Catalog'!$E$64+'Assumptions and Catalog'!$F$64,IF(((D741+E741)*C741-G741)&lt;='Assumptions and Catalog'!$C$65,((D741+E741)*C741-G741)*'Assumptions and Catalog'!$H$65+'Assumptions and Catalog'!$E$65+'Assumptions and Catalog'!$F$65,"Out of range")))))))))*(1+'Assumptions and Catalog'!$C$8)^(A741-1),0)</f>
        <v>3453.61</v>
      </c>
      <c r="R741" s="5" t="n">
        <f>IF(AND('Assumptions and Catalog'!$C$19&gt;0,A741&gt;='Assumptions and Catalog'!$C$19),A741-'Assumptions and Catalog'!$C$19,A741-1)</f>
        <v>6</v>
      </c>
      <c r="S741" s="5" t="n">
        <f>F741+L741-(D741+E741)*C741-J741-K741-IF(E$52&gt;0,'Assumptions and Catalog'!$C$26*C741,0)</f>
        <v>-1.13686837721616E-013</v>
      </c>
      <c r="T741" s="5"/>
      <c r="U741" s="5"/>
    </row>
    <row r="742" ht="23.100000381469727" customHeight="1">
      <c r="A742" s="5" t="n">
        <v>7</v>
      </c>
      <c r="B742" s="5" t="n">
        <v>10</v>
      </c>
      <c r="C742" s="5" t="n">
        <f>DAY(DATE('Assumptions and Catalog'!$C$24+A742-1,B742+1,0))</f>
        <v>31</v>
      </c>
      <c r="D742" s="5" t="n">
        <f>IF(ISNUMBER(Inputs!$L$5),Inputs!$L$5*Inputs!$L$6,0)</f>
        <v>40.35</v>
      </c>
      <c r="E742" s="5" t="n">
        <f>IF(ISNUMBER(Inputs!$L$5),Inputs!$L$5-D742,0)</f>
        <v>40.35</v>
      </c>
      <c r="F742" s="5" t="n">
        <f>E$51*INDEX('Solar Production'!$D$20:$D$31,B742)*C742*(1-'Assumptions and Catalog'!$C$10)^(A742-1)</f>
        <v>1649.46830257906</v>
      </c>
      <c r="G742" s="5" t="n">
        <f>MIN(F742,D742*C742)</f>
        <v>1250.85</v>
      </c>
      <c r="H742" s="5" t="n">
        <f>I742/('Assumptions and Catalog'!$C$11*'Assumptions and Catalog'!$C$12)</f>
        <v>288.412108083557</v>
      </c>
      <c r="I742" s="5" t="n">
        <f>MIN(E742*C742,P742*'Assumptions and Catalog'!$C$12*C742,(F742-G742)*'Assumptions and Catalog'!$C$11*'Assumptions and Catalog'!$C$12,E$56*'Assumptions and Catalog'!$C$14*'Assumptions and Catalog'!$C$11*'Assumptions and Catalog'!$C$12*C742,E$57*(24-'Assumptions and Catalog'!$C$13)*C742)</f>
        <v>274.171760246932</v>
      </c>
      <c r="J742" s="5" t="n">
        <f>MAX(F742-G742-H742,0)</f>
        <v>110.206194495504</v>
      </c>
      <c r="K742" s="5" t="n">
        <f>H742-I742</f>
        <v>14.2403478366256</v>
      </c>
      <c r="L742" s="5" t="n">
        <f>(D742+E742)*C742-G742-I742+0+IF(E$52&gt;0,'Assumptions and Catalog'!$C$26*C742,0)</f>
        <v>976.678239753069</v>
      </c>
      <c r="M742" s="5" t="n">
        <f>IF(ISNUMBER(Inputs!$L$5),(IF(Inputs!$L$9="Actual flat rate",((D742+E742)*C742)*Inputs!$L$10,IF(Inputs!$C$9="Residential",IF(((D742+E742)*C742)&lt;='Assumptions and Catalog'!$C$50,((D742+E742)*C742)*'Assumptions and Catalog'!$H$50+'Assumptions and Catalog'!$E$50+'Assumptions and Catalog'!$F$50,IF(((D742+E742)*C742)&lt;='Assumptions and Catalog'!$C$51,((D742+E742)*C742)*'Assumptions and Catalog'!$H$51+'Assumptions and Catalog'!$E$51+'Assumptions and Catalog'!$F$51,IF(((D742+E742)*C742)&lt;='Assumptions and Catalog'!$C$52,((D742+E742)*C742)*'Assumptions and Catalog'!$H$52+'Assumptions and Catalog'!$E$52+'Assumptions and Catalog'!$F$52,IF(((D742+E742)*C742)&lt;='Assumptions and Catalog'!$C$53,((D742+E742)*C742)*'Assumptions and Catalog'!$H$53+'Assumptions and Catalog'!$E$53+'Assumptions and Catalog'!$F$53,IF(((D742+E742)*C742)&lt;='Assumptions and Catalog'!$C$54,((D742+E742)*C742)*'Assumptions and Catalog'!$H$54+'Assumptions and Catalog'!$E$54+'Assumptions and Catalog'!$F$54,IF(((D742+E742)*C742)&lt;='Assumptions and Catalog'!$C$55,((D742+E742)*C742)*'Assumptions and Catalog'!$H$55+'Assumptions and Catalog'!$E$55+'Assumptions and Catalog'!$F$55,IF(((D742+E742)*C742)&lt;='Assumptions and Catalog'!$C$56,((D742+E742)*C742)*'Assumptions and Catalog'!$H$56+'Assumptions and Catalog'!$E$56+'Assumptions and Catalog'!$F$56,IF(((D742+E742)*C742)&lt;='Assumptions and Catalog'!$C$57,((D742+E742)*C742)*'Assumptions and Catalog'!$H$57+'Assumptions and Catalog'!$E$57+'Assumptions and Catalog'!$F$57,"Out of range")))))))),IF(((D742+E742)*C742)&lt;='Assumptions and Catalog'!$C$60,((D742+E742)*C742)*'Assumptions and Catalog'!$H$60+'Assumptions and Catalog'!$E$60+'Assumptions and Catalog'!$F$60,IF(((D742+E742)*C742)&lt;='Assumptions and Catalog'!$C$61,((D742+E742)*C742)*'Assumptions and Catalog'!$H$61+'Assumptions and Catalog'!$E$61+'Assumptions and Catalog'!$F$61,IF(((D742+E742)*C742)&lt;='Assumptions and Catalog'!$C$62,((D742+E742)*C742)*'Assumptions and Catalog'!$H$62+'Assumptions and Catalog'!$E$62+'Assumptions and Catalog'!$F$62,IF(((D742+E742)*C742)&lt;='Assumptions and Catalog'!$C$63,((D742+E742)*C742)*'Assumptions and Catalog'!$H$63+'Assumptions and Catalog'!$E$63+'Assumptions and Catalog'!$F$63,IF(((D742+E742)*C742)&lt;='Assumptions and Catalog'!$C$64,((D742+E742)*C742)*'Assumptions and Catalog'!$H$64+'Assumptions and Catalog'!$E$64+'Assumptions and Catalog'!$F$64,IF(((D742+E742)*C742)&lt;='Assumptions and Catalog'!$C$65,((D742+E742)*C742)*'Assumptions and Catalog'!$H$65+'Assumptions and Catalog'!$E$65+'Assumptions and Catalog'!$F$65,"Out of range")))))))))*(1+'Assumptions and Catalog'!$C$8)^(A742-1),0)</f>
        <v>7094.794</v>
      </c>
      <c r="N742" s="5" t="n">
        <f>IF(ISNUMBER(Inputs!$L$5),(IF(Inputs!$L$9="Actual flat rate",L742*Inputs!$L$10,IF(Inputs!$C$9="Residential",IF(L742&lt;='Assumptions and Catalog'!$C$50,L742*'Assumptions and Catalog'!$H$50+'Assumptions and Catalog'!$E$50+'Assumptions and Catalog'!$F$50,IF(L742&lt;='Assumptions and Catalog'!$C$51,L742*'Assumptions and Catalog'!$H$51+'Assumptions and Catalog'!$E$51+'Assumptions and Catalog'!$F$51,IF(L742&lt;='Assumptions and Catalog'!$C$52,L742*'Assumptions and Catalog'!$H$52+'Assumptions and Catalog'!$E$52+'Assumptions and Catalog'!$F$52,IF(L742&lt;='Assumptions and Catalog'!$C$53,L742*'Assumptions and Catalog'!$H$53+'Assumptions and Catalog'!$E$53+'Assumptions and Catalog'!$F$53,IF(L742&lt;='Assumptions and Catalog'!$C$54,L742*'Assumptions and Catalog'!$H$54+'Assumptions and Catalog'!$E$54+'Assumptions and Catalog'!$F$54,IF(L742&lt;='Assumptions and Catalog'!$C$55,L742*'Assumptions and Catalog'!$H$55+'Assumptions and Catalog'!$E$55+'Assumptions and Catalog'!$F$55,IF(L742&lt;='Assumptions and Catalog'!$C$56,L742*'Assumptions and Catalog'!$H$56+'Assumptions and Catalog'!$E$56+'Assumptions and Catalog'!$F$56,IF(L742&lt;='Assumptions and Catalog'!$C$57,L742*'Assumptions and Catalog'!$H$57+'Assumptions and Catalog'!$E$57+'Assumptions and Catalog'!$F$57,"Out of range")))))))),IF(L742&lt;='Assumptions and Catalog'!$C$60,L742*'Assumptions and Catalog'!$H$60+'Assumptions and Catalog'!$E$60+'Assumptions and Catalog'!$F$60,IF(L742&lt;='Assumptions and Catalog'!$C$61,L742*'Assumptions and Catalog'!$H$61+'Assumptions and Catalog'!$E$61+'Assumptions and Catalog'!$F$61,IF(L742&lt;='Assumptions and Catalog'!$C$62,L742*'Assumptions and Catalog'!$H$62+'Assumptions and Catalog'!$E$62+'Assumptions and Catalog'!$F$62,IF(L742&lt;='Assumptions and Catalog'!$C$63,L742*'Assumptions and Catalog'!$H$63+'Assumptions and Catalog'!$E$63+'Assumptions and Catalog'!$F$63,IF(L742&lt;='Assumptions and Catalog'!$C$64,L742*'Assumptions and Catalog'!$H$64+'Assumptions and Catalog'!$E$64+'Assumptions and Catalog'!$F$64,IF(L742&lt;='Assumptions and Catalog'!$C$65,L742*'Assumptions and Catalog'!$H$65+'Assumptions and Catalog'!$E$65+'Assumptions and Catalog'!$F$65,"Out of range")))))))))*(1+'Assumptions and Catalog'!$C$8)^(A742-1),0)</f>
        <v>2670.398724116</v>
      </c>
      <c r="O742" s="5" t="n">
        <f>M742-N742</f>
        <v>4424.395275884</v>
      </c>
      <c r="P742" s="5" t="n">
        <f>E$55*(1-L$14)*(1-'Assumptions and Catalog'!$C$23)^R742</f>
        <v>9.07102598004736</v>
      </c>
      <c r="Q742" s="5" t="n">
        <f>IF(ISNUMBER(Inputs!$L$5),(IF(Inputs!$L$9="Actual flat rate",((D742+E742)*C742-G742)*Inputs!$L$10,IF(Inputs!$C$9="Residential",IF(((D742+E742)*C742-G742)&lt;='Assumptions and Catalog'!$C$50,((D742+E742)*C742-G742)*'Assumptions and Catalog'!$H$50+'Assumptions and Catalog'!$E$50+'Assumptions and Catalog'!$F$50,IF(((D742+E742)*C742-G742)&lt;='Assumptions and Catalog'!$C$51,((D742+E742)*C742-G742)*'Assumptions and Catalog'!$H$51+'Assumptions and Catalog'!$E$51+'Assumptions and Catalog'!$F$51,IF(((D742+E742)*C742-G742)&lt;='Assumptions and Catalog'!$C$52,((D742+E742)*C742-G742)*'Assumptions and Catalog'!$H$52+'Assumptions and Catalog'!$E$52+'Assumptions and Catalog'!$F$52,IF(((D742+E742)*C742-G742)&lt;='Assumptions and Catalog'!$C$53,((D742+E742)*C742-G742)*'Assumptions and Catalog'!$H$53+'Assumptions and Catalog'!$E$53+'Assumptions and Catalog'!$F$53,IF(((D742+E742)*C742-G742)&lt;='Assumptions and Catalog'!$C$54,((D742+E742)*C742-G742)*'Assumptions and Catalog'!$H$54+'Assumptions and Catalog'!$E$54+'Assumptions and Catalog'!$F$54,IF(((D742+E742)*C742-G742)&lt;='Assumptions and Catalog'!$C$55,((D742+E742)*C742-G742)*'Assumptions and Catalog'!$H$55+'Assumptions and Catalog'!$E$55+'Assumptions and Catalog'!$F$55,IF(((D742+E742)*C742-G742)&lt;='Assumptions and Catalog'!$C$56,((D742+E742)*C742-G742)*'Assumptions and Catalog'!$H$56+'Assumptions and Catalog'!$E$56+'Assumptions and Catalog'!$F$56,IF(((D742+E742)*C742-G742)&lt;='Assumptions and Catalog'!$C$57,((D742+E742)*C742-G742)*'Assumptions and Catalog'!$H$57+'Assumptions and Catalog'!$E$57+'Assumptions and Catalog'!$F$57,"Out of range")))))))),IF(((D742+E742)*C742-G742)&lt;='Assumptions and Catalog'!$C$60,((D742+E742)*C742-G742)*'Assumptions and Catalog'!$H$60+'Assumptions and Catalog'!$E$60+'Assumptions and Catalog'!$F$60,IF(((D742+E742)*C742-G742)&lt;='Assumptions and Catalog'!$C$61,((D742+E742)*C742-G742)*'Assumptions and Catalog'!$H$61+'Assumptions and Catalog'!$E$61+'Assumptions and Catalog'!$F$61,IF(((D742+E742)*C742-G742)&lt;='Assumptions and Catalog'!$C$62,((D742+E742)*C742-G742)*'Assumptions and Catalog'!$H$62+'Assumptions and Catalog'!$E$62+'Assumptions and Catalog'!$F$62,IF(((D742+E742)*C742-G742)&lt;='Assumptions and Catalog'!$C$63,((D742+E742)*C742-G742)*'Assumptions and Catalog'!$H$63+'Assumptions and Catalog'!$E$63+'Assumptions and Catalog'!$F$63,IF(((D742+E742)*C742-G742)&lt;='Assumptions and Catalog'!$C$64,((D742+E742)*C742-G742)*'Assumptions and Catalog'!$H$64+'Assumptions and Catalog'!$E$64+'Assumptions and Catalog'!$F$64,IF(((D742+E742)*C742-G742)&lt;='Assumptions and Catalog'!$C$65,((D742+E742)*C742-G742)*'Assumptions and Catalog'!$H$65+'Assumptions and Catalog'!$E$65+'Assumptions and Catalog'!$F$65,"Out of range")))))))))*(1+'Assumptions and Catalog'!$C$8)^(A742-1),0)</f>
        <v>3567.397</v>
      </c>
      <c r="R742" s="5" t="n">
        <f>IF(AND('Assumptions and Catalog'!$C$19&gt;0,A742&gt;='Assumptions and Catalog'!$C$19),A742-'Assumptions and Catalog'!$C$19,A742-1)</f>
        <v>6</v>
      </c>
      <c r="S742" s="5" t="n">
        <f>F742+L742-(D742+E742)*C742-J742-K742-IF(E$52&gt;0,'Assumptions and Catalog'!$C$26*C742,0)</f>
        <v>-1.13686837721616E-013</v>
      </c>
      <c r="T742" s="5"/>
      <c r="U742" s="5"/>
    </row>
    <row r="743" ht="23.100000381469727" customHeight="1">
      <c r="A743" s="5" t="n">
        <v>7</v>
      </c>
      <c r="B743" s="5" t="n">
        <v>11</v>
      </c>
      <c r="C743" s="5" t="n">
        <f>DAY(DATE('Assumptions and Catalog'!$C$24+A743-1,B743+1,0))</f>
        <v>30</v>
      </c>
      <c r="D743" s="5" t="n">
        <f>IF(ISNUMBER(Inputs!$L$5),Inputs!$L$5*Inputs!$L$6,0)</f>
        <v>40.35</v>
      </c>
      <c r="E743" s="5" t="n">
        <f>IF(ISNUMBER(Inputs!$L$5),Inputs!$L$5-D743,0)</f>
        <v>40.35</v>
      </c>
      <c r="F743" s="5" t="n">
        <f>E$51*INDEX('Solar Production'!$D$20:$D$31,B743)*C743*(1-'Assumptions and Catalog'!$C$10)^(A743-1)</f>
        <v>1462.0311486718</v>
      </c>
      <c r="G743" s="5" t="n">
        <f>MIN(F743,D743*C743)</f>
        <v>1210.5</v>
      </c>
      <c r="H743" s="5" t="n">
        <f>I743/('Assumptions and Catalog'!$C$11*'Assumptions and Catalog'!$C$12)</f>
        <v>251.531148671805</v>
      </c>
      <c r="I743" s="5" t="n">
        <f>MIN(E743*C743,P743*'Assumptions and Catalog'!$C$12*C743,(F743-G743)*'Assumptions and Catalog'!$C$11*'Assumptions and Catalog'!$C$12,E$56*'Assumptions and Catalog'!$C$14*'Assumptions and Catalog'!$C$11*'Assumptions and Catalog'!$C$12*C743,E$57*(24-'Assumptions and Catalog'!$C$13)*C743)</f>
        <v>239.111798206135</v>
      </c>
      <c r="J743" s="5" t="n">
        <f>MAX(F743-G743-H743,0)</f>
        <v>0</v>
      </c>
      <c r="K743" s="5" t="n">
        <f>H743-I743</f>
        <v>12.4193504656704</v>
      </c>
      <c r="L743" s="5" t="n">
        <f>(D743+E743)*C743-G743-I743+0+IF(E$52&gt;0,'Assumptions and Catalog'!$C$26*C743,0)</f>
        <v>971.388201793866</v>
      </c>
      <c r="M743" s="5" t="n">
        <f>IF(ISNUMBER(Inputs!$L$5),(IF(Inputs!$L$9="Actual flat rate",((D743+E743)*C743)*Inputs!$L$10,IF(Inputs!$C$9="Residential",IF(((D743+E743)*C743)&lt;='Assumptions and Catalog'!$C$50,((D743+E743)*C743)*'Assumptions and Catalog'!$H$50+'Assumptions and Catalog'!$E$50+'Assumptions and Catalog'!$F$50,IF(((D743+E743)*C743)&lt;='Assumptions and Catalog'!$C$51,((D743+E743)*C743)*'Assumptions and Catalog'!$H$51+'Assumptions and Catalog'!$E$51+'Assumptions and Catalog'!$F$51,IF(((D743+E743)*C743)&lt;='Assumptions and Catalog'!$C$52,((D743+E743)*C743)*'Assumptions and Catalog'!$H$52+'Assumptions and Catalog'!$E$52+'Assumptions and Catalog'!$F$52,IF(((D743+E743)*C743)&lt;='Assumptions and Catalog'!$C$53,((D743+E743)*C743)*'Assumptions and Catalog'!$H$53+'Assumptions and Catalog'!$E$53+'Assumptions and Catalog'!$F$53,IF(((D743+E743)*C743)&lt;='Assumptions and Catalog'!$C$54,((D743+E743)*C743)*'Assumptions and Catalog'!$H$54+'Assumptions and Catalog'!$E$54+'Assumptions and Catalog'!$F$54,IF(((D743+E743)*C743)&lt;='Assumptions and Catalog'!$C$55,((D743+E743)*C743)*'Assumptions and Catalog'!$H$55+'Assumptions and Catalog'!$E$55+'Assumptions and Catalog'!$F$55,IF(((D743+E743)*C743)&lt;='Assumptions and Catalog'!$C$56,((D743+E743)*C743)*'Assumptions and Catalog'!$H$56+'Assumptions and Catalog'!$E$56+'Assumptions and Catalog'!$F$56,IF(((D743+E743)*C743)&lt;='Assumptions and Catalog'!$C$57,((D743+E743)*C743)*'Assumptions and Catalog'!$H$57+'Assumptions and Catalog'!$E$57+'Assumptions and Catalog'!$F$57,"Out of range")))))))),IF(((D743+E743)*C743)&lt;='Assumptions and Catalog'!$C$60,((D743+E743)*C743)*'Assumptions and Catalog'!$H$60+'Assumptions and Catalog'!$E$60+'Assumptions and Catalog'!$F$60,IF(((D743+E743)*C743)&lt;='Assumptions and Catalog'!$C$61,((D743+E743)*C743)*'Assumptions and Catalog'!$H$61+'Assumptions and Catalog'!$E$61+'Assumptions and Catalog'!$F$61,IF(((D743+E743)*C743)&lt;='Assumptions and Catalog'!$C$62,((D743+E743)*C743)*'Assumptions and Catalog'!$H$62+'Assumptions and Catalog'!$E$62+'Assumptions and Catalog'!$F$62,IF(((D743+E743)*C743)&lt;='Assumptions and Catalog'!$C$63,((D743+E743)*C743)*'Assumptions and Catalog'!$H$63+'Assumptions and Catalog'!$E$63+'Assumptions and Catalog'!$F$63,IF(((D743+E743)*C743)&lt;='Assumptions and Catalog'!$C$64,((D743+E743)*C743)*'Assumptions and Catalog'!$H$64+'Assumptions and Catalog'!$E$64+'Assumptions and Catalog'!$F$64,IF(((D743+E743)*C743)&lt;='Assumptions and Catalog'!$C$65,((D743+E743)*C743)*'Assumptions and Catalog'!$H$65+'Assumptions and Catalog'!$E$65+'Assumptions and Catalog'!$F$65,"Out of range")))))))))*(1+'Assumptions and Catalog'!$C$8)^(A743-1),0)</f>
        <v>6867.22</v>
      </c>
      <c r="N743" s="5" t="n">
        <f>IF(ISNUMBER(Inputs!$L$5),(IF(Inputs!$L$9="Actual flat rate",L743*Inputs!$L$10,IF(Inputs!$C$9="Residential",IF(L743&lt;='Assumptions and Catalog'!$C$50,L743*'Assumptions and Catalog'!$H$50+'Assumptions and Catalog'!$E$50+'Assumptions and Catalog'!$F$50,IF(L743&lt;='Assumptions and Catalog'!$C$51,L743*'Assumptions and Catalog'!$H$51+'Assumptions and Catalog'!$E$51+'Assumptions and Catalog'!$F$51,IF(L743&lt;='Assumptions and Catalog'!$C$52,L743*'Assumptions and Catalog'!$H$52+'Assumptions and Catalog'!$E$52+'Assumptions and Catalog'!$F$52,IF(L743&lt;='Assumptions and Catalog'!$C$53,L743*'Assumptions and Catalog'!$H$53+'Assumptions and Catalog'!$E$53+'Assumptions and Catalog'!$F$53,IF(L743&lt;='Assumptions and Catalog'!$C$54,L743*'Assumptions and Catalog'!$H$54+'Assumptions and Catalog'!$E$54+'Assumptions and Catalog'!$F$54,IF(L743&lt;='Assumptions and Catalog'!$C$55,L743*'Assumptions and Catalog'!$H$55+'Assumptions and Catalog'!$E$55+'Assumptions and Catalog'!$F$55,IF(L743&lt;='Assumptions and Catalog'!$C$56,L743*'Assumptions and Catalog'!$H$56+'Assumptions and Catalog'!$E$56+'Assumptions and Catalog'!$F$56,IF(L743&lt;='Assumptions and Catalog'!$C$57,L743*'Assumptions and Catalog'!$H$57+'Assumptions and Catalog'!$E$57+'Assumptions and Catalog'!$F$57,"Out of range")))))))),IF(L743&lt;='Assumptions and Catalog'!$C$60,L743*'Assumptions and Catalog'!$H$60+'Assumptions and Catalog'!$E$60+'Assumptions and Catalog'!$F$60,IF(L743&lt;='Assumptions and Catalog'!$C$61,L743*'Assumptions and Catalog'!$H$61+'Assumptions and Catalog'!$E$61+'Assumptions and Catalog'!$F$61,IF(L743&lt;='Assumptions and Catalog'!$C$62,L743*'Assumptions and Catalog'!$H$62+'Assumptions and Catalog'!$E$62+'Assumptions and Catalog'!$F$62,IF(L743&lt;='Assumptions and Catalog'!$C$63,L743*'Assumptions and Catalog'!$H$63+'Assumptions and Catalog'!$E$63+'Assumptions and Catalog'!$F$63,IF(L743&lt;='Assumptions and Catalog'!$C$64,L743*'Assumptions and Catalog'!$H$64+'Assumptions and Catalog'!$E$64+'Assumptions and Catalog'!$F$64,IF(L743&lt;='Assumptions and Catalog'!$C$65,L743*'Assumptions and Catalog'!$H$65+'Assumptions and Catalog'!$E$65+'Assumptions and Catalog'!$F$65,"Out of range")))))))))*(1+'Assumptions and Catalog'!$C$8)^(A743-1),0)</f>
        <v>2655.74531896901</v>
      </c>
      <c r="O743" s="5" t="n">
        <f>M743-N743</f>
        <v>4211.47468103099</v>
      </c>
      <c r="P743" s="5" t="n">
        <f>E$55*(1-L$14)*(1-'Assumptions and Catalog'!$C$23)^R743</f>
        <v>9.07102598004736</v>
      </c>
      <c r="Q743" s="5" t="n">
        <f>IF(ISNUMBER(Inputs!$L$5),(IF(Inputs!$L$9="Actual flat rate",((D743+E743)*C743-G743)*Inputs!$L$10,IF(Inputs!$C$9="Residential",IF(((D743+E743)*C743-G743)&lt;='Assumptions and Catalog'!$C$50,((D743+E743)*C743-G743)*'Assumptions and Catalog'!$H$50+'Assumptions and Catalog'!$E$50+'Assumptions and Catalog'!$F$50,IF(((D743+E743)*C743-G743)&lt;='Assumptions and Catalog'!$C$51,((D743+E743)*C743-G743)*'Assumptions and Catalog'!$H$51+'Assumptions and Catalog'!$E$51+'Assumptions and Catalog'!$F$51,IF(((D743+E743)*C743-G743)&lt;='Assumptions and Catalog'!$C$52,((D743+E743)*C743-G743)*'Assumptions and Catalog'!$H$52+'Assumptions and Catalog'!$E$52+'Assumptions and Catalog'!$F$52,IF(((D743+E743)*C743-G743)&lt;='Assumptions and Catalog'!$C$53,((D743+E743)*C743-G743)*'Assumptions and Catalog'!$H$53+'Assumptions and Catalog'!$E$53+'Assumptions and Catalog'!$F$53,IF(((D743+E743)*C743-G743)&lt;='Assumptions and Catalog'!$C$54,((D743+E743)*C743-G743)*'Assumptions and Catalog'!$H$54+'Assumptions and Catalog'!$E$54+'Assumptions and Catalog'!$F$54,IF(((D743+E743)*C743-G743)&lt;='Assumptions and Catalog'!$C$55,((D743+E743)*C743-G743)*'Assumptions and Catalog'!$H$55+'Assumptions and Catalog'!$E$55+'Assumptions and Catalog'!$F$55,IF(((D743+E743)*C743-G743)&lt;='Assumptions and Catalog'!$C$56,((D743+E743)*C743-G743)*'Assumptions and Catalog'!$H$56+'Assumptions and Catalog'!$E$56+'Assumptions and Catalog'!$F$56,IF(((D743+E743)*C743-G743)&lt;='Assumptions and Catalog'!$C$57,((D743+E743)*C743-G743)*'Assumptions and Catalog'!$H$57+'Assumptions and Catalog'!$E$57+'Assumptions and Catalog'!$F$57,"Out of range")))))))),IF(((D743+E743)*C743-G743)&lt;='Assumptions and Catalog'!$C$60,((D743+E743)*C743-G743)*'Assumptions and Catalog'!$H$60+'Assumptions and Catalog'!$E$60+'Assumptions and Catalog'!$F$60,IF(((D743+E743)*C743-G743)&lt;='Assumptions and Catalog'!$C$61,((D743+E743)*C743-G743)*'Assumptions and Catalog'!$H$61+'Assumptions and Catalog'!$E$61+'Assumptions and Catalog'!$F$61,IF(((D743+E743)*C743-G743)&lt;='Assumptions and Catalog'!$C$62,((D743+E743)*C743-G743)*'Assumptions and Catalog'!$H$62+'Assumptions and Catalog'!$E$62+'Assumptions and Catalog'!$F$62,IF(((D743+E743)*C743-G743)&lt;='Assumptions and Catalog'!$C$63,((D743+E743)*C743-G743)*'Assumptions and Catalog'!$H$63+'Assumptions and Catalog'!$E$63+'Assumptions and Catalog'!$F$63,IF(((D743+E743)*C743-G743)&lt;='Assumptions and Catalog'!$C$64,((D743+E743)*C743-G743)*'Assumptions and Catalog'!$H$64+'Assumptions and Catalog'!$E$64+'Assumptions and Catalog'!$F$64,IF(((D743+E743)*C743-G743)&lt;='Assumptions and Catalog'!$C$65,((D743+E743)*C743-G743)*'Assumptions and Catalog'!$H$65+'Assumptions and Catalog'!$E$65+'Assumptions and Catalog'!$F$65,"Out of range")))))))))*(1+'Assumptions and Catalog'!$C$8)^(A743-1),0)</f>
        <v>3453.61</v>
      </c>
      <c r="R743" s="5" t="n">
        <f>IF(AND('Assumptions and Catalog'!$C$19&gt;0,A743&gt;='Assumptions and Catalog'!$C$19),A743-'Assumptions and Catalog'!$C$19,A743-1)</f>
        <v>6</v>
      </c>
      <c r="S743" s="5" t="n">
        <f>F743+L743-(D743+E743)*C743-J743-K743-IF(E$52&gt;0,'Assumptions and Catalog'!$C$26*C743,0)</f>
        <v>1.13686837721616E-013</v>
      </c>
      <c r="T743" s="5"/>
      <c r="U743" s="5"/>
    </row>
    <row r="744" ht="23.100000381469727" customHeight="1">
      <c r="A744" s="5" t="n">
        <v>7</v>
      </c>
      <c r="B744" s="5" t="n">
        <v>12</v>
      </c>
      <c r="C744" s="5" t="n">
        <f>DAY(DATE('Assumptions and Catalog'!$C$24+A744-1,B744+1,0))</f>
        <v>31</v>
      </c>
      <c r="D744" s="5" t="n">
        <f>IF(ISNUMBER(Inputs!$L$5),Inputs!$L$5*Inputs!$L$6,0)</f>
        <v>40.35</v>
      </c>
      <c r="E744" s="5" t="n">
        <f>IF(ISNUMBER(Inputs!$L$5),Inputs!$L$5-D744,0)</f>
        <v>40.35</v>
      </c>
      <c r="F744" s="5" t="n">
        <f>E$51*INDEX('Solar Production'!$D$20:$D$31,B744)*C744*(1-'Assumptions and Catalog'!$C$10)^(A744-1)</f>
        <v>1391.90232742063</v>
      </c>
      <c r="G744" s="5" t="n">
        <f>MIN(F744,D744*C744)</f>
        <v>1250.85</v>
      </c>
      <c r="H744" s="5" t="n">
        <f>I744/('Assumptions and Catalog'!$C$11*'Assumptions and Catalog'!$C$12)</f>
        <v>141.052327420628</v>
      </c>
      <c r="I744" s="5" t="n">
        <f>MIN(E744*C744,P744*'Assumptions and Catalog'!$C$12*C744,(F744-G744)*'Assumptions and Catalog'!$C$11*'Assumptions and Catalog'!$C$12,E$56*'Assumptions and Catalog'!$C$14*'Assumptions and Catalog'!$C$11*'Assumptions and Catalog'!$C$12*C744,E$57*(24-'Assumptions and Catalog'!$C$13)*C744)</f>
        <v>134.087868754234</v>
      </c>
      <c r="J744" s="5" t="n">
        <f>MAX(F744-G744-H744,0)</f>
        <v>0</v>
      </c>
      <c r="K744" s="5" t="n">
        <f>H744-I744</f>
        <v>6.96445866639348</v>
      </c>
      <c r="L744" s="5" t="n">
        <f>(D744+E744)*C744-G744-I744+0+IF(E$52&gt;0,'Assumptions and Catalog'!$C$26*C744,0)</f>
        <v>1116.76213124577</v>
      </c>
      <c r="M744" s="5" t="n">
        <f>IF(ISNUMBER(Inputs!$L$5),(IF(Inputs!$L$9="Actual flat rate",((D744+E744)*C744)*Inputs!$L$10,IF(Inputs!$C$9="Residential",IF(((D744+E744)*C744)&lt;='Assumptions and Catalog'!$C$50,((D744+E744)*C744)*'Assumptions and Catalog'!$H$50+'Assumptions and Catalog'!$E$50+'Assumptions and Catalog'!$F$50,IF(((D744+E744)*C744)&lt;='Assumptions and Catalog'!$C$51,((D744+E744)*C744)*'Assumptions and Catalog'!$H$51+'Assumptions and Catalog'!$E$51+'Assumptions and Catalog'!$F$51,IF(((D744+E744)*C744)&lt;='Assumptions and Catalog'!$C$52,((D744+E744)*C744)*'Assumptions and Catalog'!$H$52+'Assumptions and Catalog'!$E$52+'Assumptions and Catalog'!$F$52,IF(((D744+E744)*C744)&lt;='Assumptions and Catalog'!$C$53,((D744+E744)*C744)*'Assumptions and Catalog'!$H$53+'Assumptions and Catalog'!$E$53+'Assumptions and Catalog'!$F$53,IF(((D744+E744)*C744)&lt;='Assumptions and Catalog'!$C$54,((D744+E744)*C744)*'Assumptions and Catalog'!$H$54+'Assumptions and Catalog'!$E$54+'Assumptions and Catalog'!$F$54,IF(((D744+E744)*C744)&lt;='Assumptions and Catalog'!$C$55,((D744+E744)*C744)*'Assumptions and Catalog'!$H$55+'Assumptions and Catalog'!$E$55+'Assumptions and Catalog'!$F$55,IF(((D744+E744)*C744)&lt;='Assumptions and Catalog'!$C$56,((D744+E744)*C744)*'Assumptions and Catalog'!$H$56+'Assumptions and Catalog'!$E$56+'Assumptions and Catalog'!$F$56,IF(((D744+E744)*C744)&lt;='Assumptions and Catalog'!$C$57,((D744+E744)*C744)*'Assumptions and Catalog'!$H$57+'Assumptions and Catalog'!$E$57+'Assumptions and Catalog'!$F$57,"Out of range")))))))),IF(((D744+E744)*C744)&lt;='Assumptions and Catalog'!$C$60,((D744+E744)*C744)*'Assumptions and Catalog'!$H$60+'Assumptions and Catalog'!$E$60+'Assumptions and Catalog'!$F$60,IF(((D744+E744)*C744)&lt;='Assumptions and Catalog'!$C$61,((D744+E744)*C744)*'Assumptions and Catalog'!$H$61+'Assumptions and Catalog'!$E$61+'Assumptions and Catalog'!$F$61,IF(((D744+E744)*C744)&lt;='Assumptions and Catalog'!$C$62,((D744+E744)*C744)*'Assumptions and Catalog'!$H$62+'Assumptions and Catalog'!$E$62+'Assumptions and Catalog'!$F$62,IF(((D744+E744)*C744)&lt;='Assumptions and Catalog'!$C$63,((D744+E744)*C744)*'Assumptions and Catalog'!$H$63+'Assumptions and Catalog'!$E$63+'Assumptions and Catalog'!$F$63,IF(((D744+E744)*C744)&lt;='Assumptions and Catalog'!$C$64,((D744+E744)*C744)*'Assumptions and Catalog'!$H$64+'Assumptions and Catalog'!$E$64+'Assumptions and Catalog'!$F$64,IF(((D744+E744)*C744)&lt;='Assumptions and Catalog'!$C$65,((D744+E744)*C744)*'Assumptions and Catalog'!$H$65+'Assumptions and Catalog'!$E$65+'Assumptions and Catalog'!$F$65,"Out of range")))))))))*(1+'Assumptions and Catalog'!$C$8)^(A744-1),0)</f>
        <v>7094.794</v>
      </c>
      <c r="N744" s="5" t="n">
        <f>IF(ISNUMBER(Inputs!$L$5),(IF(Inputs!$L$9="Actual flat rate",L744*Inputs!$L$10,IF(Inputs!$C$9="Residential",IF(L744&lt;='Assumptions and Catalog'!$C$50,L744*'Assumptions and Catalog'!$H$50+'Assumptions and Catalog'!$E$50+'Assumptions and Catalog'!$F$50,IF(L744&lt;='Assumptions and Catalog'!$C$51,L744*'Assumptions and Catalog'!$H$51+'Assumptions and Catalog'!$E$51+'Assumptions and Catalog'!$F$51,IF(L744&lt;='Assumptions and Catalog'!$C$52,L744*'Assumptions and Catalog'!$H$52+'Assumptions and Catalog'!$E$52+'Assumptions and Catalog'!$F$52,IF(L744&lt;='Assumptions and Catalog'!$C$53,L744*'Assumptions and Catalog'!$H$53+'Assumptions and Catalog'!$E$53+'Assumptions and Catalog'!$F$53,IF(L744&lt;='Assumptions and Catalog'!$C$54,L744*'Assumptions and Catalog'!$H$54+'Assumptions and Catalog'!$E$54+'Assumptions and Catalog'!$F$54,IF(L744&lt;='Assumptions and Catalog'!$C$55,L744*'Assumptions and Catalog'!$H$55+'Assumptions and Catalog'!$E$55+'Assumptions and Catalog'!$F$55,IF(L744&lt;='Assumptions and Catalog'!$C$56,L744*'Assumptions and Catalog'!$H$56+'Assumptions and Catalog'!$E$56+'Assumptions and Catalog'!$F$56,IF(L744&lt;='Assumptions and Catalog'!$C$57,L744*'Assumptions and Catalog'!$H$57+'Assumptions and Catalog'!$E$57+'Assumptions and Catalog'!$F$57,"Out of range")))))))),IF(L744&lt;='Assumptions and Catalog'!$C$60,L744*'Assumptions and Catalog'!$H$60+'Assumptions and Catalog'!$E$60+'Assumptions and Catalog'!$F$60,IF(L744&lt;='Assumptions and Catalog'!$C$61,L744*'Assumptions and Catalog'!$H$61+'Assumptions and Catalog'!$E$61+'Assumptions and Catalog'!$F$61,IF(L744&lt;='Assumptions and Catalog'!$C$62,L744*'Assumptions and Catalog'!$H$62+'Assumptions and Catalog'!$E$62+'Assumptions and Catalog'!$F$62,IF(L744&lt;='Assumptions and Catalog'!$C$63,L744*'Assumptions and Catalog'!$H$63+'Assumptions and Catalog'!$E$63+'Assumptions and Catalog'!$F$63,IF(L744&lt;='Assumptions and Catalog'!$C$64,L744*'Assumptions and Catalog'!$H$64+'Assumptions and Catalog'!$E$64+'Assumptions and Catalog'!$F$64,IF(L744&lt;='Assumptions and Catalog'!$C$65,L744*'Assumptions and Catalog'!$H$65+'Assumptions and Catalog'!$E$65+'Assumptions and Catalog'!$F$65,"Out of range")))))))))*(1+'Assumptions and Catalog'!$C$8)^(A744-1),0)</f>
        <v>3189.26921011306</v>
      </c>
      <c r="O744" s="5" t="n">
        <f>M744-N744</f>
        <v>3905.52478988694</v>
      </c>
      <c r="P744" s="5" t="n">
        <f>E$55*(1-L$14)*(1-'Assumptions and Catalog'!$C$23)^R744</f>
        <v>9.07102598004736</v>
      </c>
      <c r="Q744" s="5" t="n">
        <f>IF(ISNUMBER(Inputs!$L$5),(IF(Inputs!$L$9="Actual flat rate",((D744+E744)*C744-G744)*Inputs!$L$10,IF(Inputs!$C$9="Residential",IF(((D744+E744)*C744-G744)&lt;='Assumptions and Catalog'!$C$50,((D744+E744)*C744-G744)*'Assumptions and Catalog'!$H$50+'Assumptions and Catalog'!$E$50+'Assumptions and Catalog'!$F$50,IF(((D744+E744)*C744-G744)&lt;='Assumptions and Catalog'!$C$51,((D744+E744)*C744-G744)*'Assumptions and Catalog'!$H$51+'Assumptions and Catalog'!$E$51+'Assumptions and Catalog'!$F$51,IF(((D744+E744)*C744-G744)&lt;='Assumptions and Catalog'!$C$52,((D744+E744)*C744-G744)*'Assumptions and Catalog'!$H$52+'Assumptions and Catalog'!$E$52+'Assumptions and Catalog'!$F$52,IF(((D744+E744)*C744-G744)&lt;='Assumptions and Catalog'!$C$53,((D744+E744)*C744-G744)*'Assumptions and Catalog'!$H$53+'Assumptions and Catalog'!$E$53+'Assumptions and Catalog'!$F$53,IF(((D744+E744)*C744-G744)&lt;='Assumptions and Catalog'!$C$54,((D744+E744)*C744-G744)*'Assumptions and Catalog'!$H$54+'Assumptions and Catalog'!$E$54+'Assumptions and Catalog'!$F$54,IF(((D744+E744)*C744-G744)&lt;='Assumptions and Catalog'!$C$55,((D744+E744)*C744-G744)*'Assumptions and Catalog'!$H$55+'Assumptions and Catalog'!$E$55+'Assumptions and Catalog'!$F$55,IF(((D744+E744)*C744-G744)&lt;='Assumptions and Catalog'!$C$56,((D744+E744)*C744-G744)*'Assumptions and Catalog'!$H$56+'Assumptions and Catalog'!$E$56+'Assumptions and Catalog'!$F$56,IF(((D744+E744)*C744-G744)&lt;='Assumptions and Catalog'!$C$57,((D744+E744)*C744-G744)*'Assumptions and Catalog'!$H$57+'Assumptions and Catalog'!$E$57+'Assumptions and Catalog'!$F$57,"Out of range")))))))),IF(((D744+E744)*C744-G744)&lt;='Assumptions and Catalog'!$C$60,((D744+E744)*C744-G744)*'Assumptions and Catalog'!$H$60+'Assumptions and Catalog'!$E$60+'Assumptions and Catalog'!$F$60,IF(((D744+E744)*C744-G744)&lt;='Assumptions and Catalog'!$C$61,((D744+E744)*C744-G744)*'Assumptions and Catalog'!$H$61+'Assumptions and Catalog'!$E$61+'Assumptions and Catalog'!$F$61,IF(((D744+E744)*C744-G744)&lt;='Assumptions and Catalog'!$C$62,((D744+E744)*C744-G744)*'Assumptions and Catalog'!$H$62+'Assumptions and Catalog'!$E$62+'Assumptions and Catalog'!$F$62,IF(((D744+E744)*C744-G744)&lt;='Assumptions and Catalog'!$C$63,((D744+E744)*C744-G744)*'Assumptions and Catalog'!$H$63+'Assumptions and Catalog'!$E$63+'Assumptions and Catalog'!$F$63,IF(((D744+E744)*C744-G744)&lt;='Assumptions and Catalog'!$C$64,((D744+E744)*C744-G744)*'Assumptions and Catalog'!$H$64+'Assumptions and Catalog'!$E$64+'Assumptions and Catalog'!$F$64,IF(((D744+E744)*C744-G744)&lt;='Assumptions and Catalog'!$C$65,((D744+E744)*C744-G744)*'Assumptions and Catalog'!$H$65+'Assumptions and Catalog'!$E$65+'Assumptions and Catalog'!$F$65,"Out of range")))))))))*(1+'Assumptions and Catalog'!$C$8)^(A744-1),0)</f>
        <v>3567.397</v>
      </c>
      <c r="R744" s="5" t="n">
        <f>IF(AND('Assumptions and Catalog'!$C$19&gt;0,A744&gt;='Assumptions and Catalog'!$C$19),A744-'Assumptions and Catalog'!$C$19,A744-1)</f>
        <v>6</v>
      </c>
      <c r="S744" s="5" t="n">
        <f>F744+L744-(D744+E744)*C744-J744-K744-IF(E$52&gt;0,'Assumptions and Catalog'!$C$26*C744,0)</f>
        <v>2.8421709430404E-014</v>
      </c>
      <c r="T744" s="5"/>
      <c r="U744" s="5"/>
    </row>
    <row r="745" ht="23.100000381469727" customHeight="1">
      <c r="A745" s="5" t="n">
        <v>8</v>
      </c>
      <c r="B745" s="5" t="n">
        <v>1</v>
      </c>
      <c r="C745" s="5" t="n">
        <f>DAY(DATE('Assumptions and Catalog'!$C$24+A745-1,B745+1,0))</f>
        <v>31</v>
      </c>
      <c r="D745" s="5" t="n">
        <f>IF(ISNUMBER(Inputs!$L$5),Inputs!$L$5*Inputs!$L$6,0)</f>
        <v>40.35</v>
      </c>
      <c r="E745" s="5" t="n">
        <f>IF(ISNUMBER(Inputs!$L$5),Inputs!$L$5-D745,0)</f>
        <v>40.35</v>
      </c>
      <c r="F745" s="5" t="n">
        <f>E$51*INDEX('Solar Production'!$D$20:$D$31,B745)*C745*(1-'Assumptions and Catalog'!$C$10)^(A745-1)</f>
        <v>1394.50147018694</v>
      </c>
      <c r="G745" s="5" t="n">
        <f>MIN(F745,D745*C745)</f>
        <v>1250.85</v>
      </c>
      <c r="H745" s="5" t="n">
        <f>I745/('Assumptions and Catalog'!$C$11*'Assumptions and Catalog'!$C$12)</f>
        <v>143.651470186938</v>
      </c>
      <c r="I745" s="5" t="n">
        <f>MIN(E745*C745,P745*'Assumptions and Catalog'!$C$12*C745,(F745-G745)*'Assumptions and Catalog'!$C$11*'Assumptions and Catalog'!$C$12,E$56*'Assumptions and Catalog'!$C$14*'Assumptions and Catalog'!$C$11*'Assumptions and Catalog'!$C$12*C745,E$57*(24-'Assumptions and Catalog'!$C$13)*C745)</f>
        <v>136.558678846458</v>
      </c>
      <c r="J745" s="5" t="n">
        <f>MAX(F745-G745-H745,0)</f>
        <v>0</v>
      </c>
      <c r="K745" s="5" t="n">
        <f>H745-I745</f>
        <v>7.09279134048009</v>
      </c>
      <c r="L745" s="5" t="n">
        <f>(D745+E745)*C745-G745-I745+0+IF(E$52&gt;0,'Assumptions and Catalog'!$C$26*C745,0)</f>
        <v>1114.29132115354</v>
      </c>
      <c r="M745" s="5" t="n">
        <f>IF(ISNUMBER(Inputs!$L$5),(IF(Inputs!$L$9="Actual flat rate",((D745+E745)*C745)*Inputs!$L$10,IF(Inputs!$C$9="Residential",IF(((D745+E745)*C745)&lt;='Assumptions and Catalog'!$C$50,((D745+E745)*C745)*'Assumptions and Catalog'!$H$50+'Assumptions and Catalog'!$E$50+'Assumptions and Catalog'!$F$50,IF(((D745+E745)*C745)&lt;='Assumptions and Catalog'!$C$51,((D745+E745)*C745)*'Assumptions and Catalog'!$H$51+'Assumptions and Catalog'!$E$51+'Assumptions and Catalog'!$F$51,IF(((D745+E745)*C745)&lt;='Assumptions and Catalog'!$C$52,((D745+E745)*C745)*'Assumptions and Catalog'!$H$52+'Assumptions and Catalog'!$E$52+'Assumptions and Catalog'!$F$52,IF(((D745+E745)*C745)&lt;='Assumptions and Catalog'!$C$53,((D745+E745)*C745)*'Assumptions and Catalog'!$H$53+'Assumptions and Catalog'!$E$53+'Assumptions and Catalog'!$F$53,IF(((D745+E745)*C745)&lt;='Assumptions and Catalog'!$C$54,((D745+E745)*C745)*'Assumptions and Catalog'!$H$54+'Assumptions and Catalog'!$E$54+'Assumptions and Catalog'!$F$54,IF(((D745+E745)*C745)&lt;='Assumptions and Catalog'!$C$55,((D745+E745)*C745)*'Assumptions and Catalog'!$H$55+'Assumptions and Catalog'!$E$55+'Assumptions and Catalog'!$F$55,IF(((D745+E745)*C745)&lt;='Assumptions and Catalog'!$C$56,((D745+E745)*C745)*'Assumptions and Catalog'!$H$56+'Assumptions and Catalog'!$E$56+'Assumptions and Catalog'!$F$56,IF(((D745+E745)*C745)&lt;='Assumptions and Catalog'!$C$57,((D745+E745)*C745)*'Assumptions and Catalog'!$H$57+'Assumptions and Catalog'!$E$57+'Assumptions and Catalog'!$F$57,"Out of range")))))))),IF(((D745+E745)*C745)&lt;='Assumptions and Catalog'!$C$60,((D745+E745)*C745)*'Assumptions and Catalog'!$H$60+'Assumptions and Catalog'!$E$60+'Assumptions and Catalog'!$F$60,IF(((D745+E745)*C745)&lt;='Assumptions and Catalog'!$C$61,((D745+E745)*C745)*'Assumptions and Catalog'!$H$61+'Assumptions and Catalog'!$E$61+'Assumptions and Catalog'!$F$61,IF(((D745+E745)*C745)&lt;='Assumptions and Catalog'!$C$62,((D745+E745)*C745)*'Assumptions and Catalog'!$H$62+'Assumptions and Catalog'!$E$62+'Assumptions and Catalog'!$F$62,IF(((D745+E745)*C745)&lt;='Assumptions and Catalog'!$C$63,((D745+E745)*C745)*'Assumptions and Catalog'!$H$63+'Assumptions and Catalog'!$E$63+'Assumptions and Catalog'!$F$63,IF(((D745+E745)*C745)&lt;='Assumptions and Catalog'!$C$64,((D745+E745)*C745)*'Assumptions and Catalog'!$H$64+'Assumptions and Catalog'!$E$64+'Assumptions and Catalog'!$F$64,IF(((D745+E745)*C745)&lt;='Assumptions and Catalog'!$C$65,((D745+E745)*C745)*'Assumptions and Catalog'!$H$65+'Assumptions and Catalog'!$E$65+'Assumptions and Catalog'!$F$65,"Out of range")))))))))*(1+'Assumptions and Catalog'!$C$8)^(A745-1),0)</f>
        <v>7094.794</v>
      </c>
      <c r="N745" s="5" t="n">
        <f>IF(ISNUMBER(Inputs!$L$5),(IF(Inputs!$L$9="Actual flat rate",L745*Inputs!$L$10,IF(Inputs!$C$9="Residential",IF(L745&lt;='Assumptions and Catalog'!$C$50,L745*'Assumptions and Catalog'!$H$50+'Assumptions and Catalog'!$E$50+'Assumptions and Catalog'!$F$50,IF(L745&lt;='Assumptions and Catalog'!$C$51,L745*'Assumptions and Catalog'!$H$51+'Assumptions and Catalog'!$E$51+'Assumptions and Catalog'!$F$51,IF(L745&lt;='Assumptions and Catalog'!$C$52,L745*'Assumptions and Catalog'!$H$52+'Assumptions and Catalog'!$E$52+'Assumptions and Catalog'!$F$52,IF(L745&lt;='Assumptions and Catalog'!$C$53,L745*'Assumptions and Catalog'!$H$53+'Assumptions and Catalog'!$E$53+'Assumptions and Catalog'!$F$53,IF(L745&lt;='Assumptions and Catalog'!$C$54,L745*'Assumptions and Catalog'!$H$54+'Assumptions and Catalog'!$E$54+'Assumptions and Catalog'!$F$54,IF(L745&lt;='Assumptions and Catalog'!$C$55,L745*'Assumptions and Catalog'!$H$55+'Assumptions and Catalog'!$E$55+'Assumptions and Catalog'!$F$55,IF(L745&lt;='Assumptions and Catalog'!$C$56,L745*'Assumptions and Catalog'!$H$56+'Assumptions and Catalog'!$E$56+'Assumptions and Catalog'!$F$56,IF(L745&lt;='Assumptions and Catalog'!$C$57,L745*'Assumptions and Catalog'!$H$57+'Assumptions and Catalog'!$E$57+'Assumptions and Catalog'!$F$57,"Out of range")))))))),IF(L745&lt;='Assumptions and Catalog'!$C$60,L745*'Assumptions and Catalog'!$H$60+'Assumptions and Catalog'!$E$60+'Assumptions and Catalog'!$F$60,IF(L745&lt;='Assumptions and Catalog'!$C$61,L745*'Assumptions and Catalog'!$H$61+'Assumptions and Catalog'!$E$61+'Assumptions and Catalog'!$F$61,IF(L745&lt;='Assumptions and Catalog'!$C$62,L745*'Assumptions and Catalog'!$H$62+'Assumptions and Catalog'!$E$62+'Assumptions and Catalog'!$F$62,IF(L745&lt;='Assumptions and Catalog'!$C$63,L745*'Assumptions and Catalog'!$H$63+'Assumptions and Catalog'!$E$63+'Assumptions and Catalog'!$F$63,IF(L745&lt;='Assumptions and Catalog'!$C$64,L745*'Assumptions and Catalog'!$H$64+'Assumptions and Catalog'!$E$64+'Assumptions and Catalog'!$F$64,IF(L745&lt;='Assumptions and Catalog'!$C$65,L745*'Assumptions and Catalog'!$H$65+'Assumptions and Catalog'!$E$65+'Assumptions and Catalog'!$F$65,"Out of range")))))))))*(1+'Assumptions and Catalog'!$C$8)^(A745-1),0)</f>
        <v>3182.30152565299</v>
      </c>
      <c r="O745" s="5" t="n">
        <f>M745-N745</f>
        <v>3912.49247434701</v>
      </c>
      <c r="P745" s="5" t="n">
        <f>E$55*(1-L$14)*(1-'Assumptions and Catalog'!$C$23)^R745</f>
        <v>8.88960546044641</v>
      </c>
      <c r="Q745" s="5" t="n">
        <f>IF(ISNUMBER(Inputs!$L$5),(IF(Inputs!$L$9="Actual flat rate",((D745+E745)*C745-G745)*Inputs!$L$10,IF(Inputs!$C$9="Residential",IF(((D745+E745)*C745-G745)&lt;='Assumptions and Catalog'!$C$50,((D745+E745)*C745-G745)*'Assumptions and Catalog'!$H$50+'Assumptions and Catalog'!$E$50+'Assumptions and Catalog'!$F$50,IF(((D745+E745)*C745-G745)&lt;='Assumptions and Catalog'!$C$51,((D745+E745)*C745-G745)*'Assumptions and Catalog'!$H$51+'Assumptions and Catalog'!$E$51+'Assumptions and Catalog'!$F$51,IF(((D745+E745)*C745-G745)&lt;='Assumptions and Catalog'!$C$52,((D745+E745)*C745-G745)*'Assumptions and Catalog'!$H$52+'Assumptions and Catalog'!$E$52+'Assumptions and Catalog'!$F$52,IF(((D745+E745)*C745-G745)&lt;='Assumptions and Catalog'!$C$53,((D745+E745)*C745-G745)*'Assumptions and Catalog'!$H$53+'Assumptions and Catalog'!$E$53+'Assumptions and Catalog'!$F$53,IF(((D745+E745)*C745-G745)&lt;='Assumptions and Catalog'!$C$54,((D745+E745)*C745-G745)*'Assumptions and Catalog'!$H$54+'Assumptions and Catalog'!$E$54+'Assumptions and Catalog'!$F$54,IF(((D745+E745)*C745-G745)&lt;='Assumptions and Catalog'!$C$55,((D745+E745)*C745-G745)*'Assumptions and Catalog'!$H$55+'Assumptions and Catalog'!$E$55+'Assumptions and Catalog'!$F$55,IF(((D745+E745)*C745-G745)&lt;='Assumptions and Catalog'!$C$56,((D745+E745)*C745-G745)*'Assumptions and Catalog'!$H$56+'Assumptions and Catalog'!$E$56+'Assumptions and Catalog'!$F$56,IF(((D745+E745)*C745-G745)&lt;='Assumptions and Catalog'!$C$57,((D745+E745)*C745-G745)*'Assumptions and Catalog'!$H$57+'Assumptions and Catalog'!$E$57+'Assumptions and Catalog'!$F$57,"Out of range")))))))),IF(((D745+E745)*C745-G745)&lt;='Assumptions and Catalog'!$C$60,((D745+E745)*C745-G745)*'Assumptions and Catalog'!$H$60+'Assumptions and Catalog'!$E$60+'Assumptions and Catalog'!$F$60,IF(((D745+E745)*C745-G745)&lt;='Assumptions and Catalog'!$C$61,((D745+E745)*C745-G745)*'Assumptions and Catalog'!$H$61+'Assumptions and Catalog'!$E$61+'Assumptions and Catalog'!$F$61,IF(((D745+E745)*C745-G745)&lt;='Assumptions and Catalog'!$C$62,((D745+E745)*C745-G745)*'Assumptions and Catalog'!$H$62+'Assumptions and Catalog'!$E$62+'Assumptions and Catalog'!$F$62,IF(((D745+E745)*C745-G745)&lt;='Assumptions and Catalog'!$C$63,((D745+E745)*C745-G745)*'Assumptions and Catalog'!$H$63+'Assumptions and Catalog'!$E$63+'Assumptions and Catalog'!$F$63,IF(((D745+E745)*C745-G745)&lt;='Assumptions and Catalog'!$C$64,((D745+E745)*C745-G745)*'Assumptions and Catalog'!$H$64+'Assumptions and Catalog'!$E$64+'Assumptions and Catalog'!$F$64,IF(((D745+E745)*C745-G745)&lt;='Assumptions and Catalog'!$C$65,((D745+E745)*C745-G745)*'Assumptions and Catalog'!$H$65+'Assumptions and Catalog'!$E$65+'Assumptions and Catalog'!$F$65,"Out of range")))))))))*(1+'Assumptions and Catalog'!$C$8)^(A745-1),0)</f>
        <v>3567.397</v>
      </c>
      <c r="R745" s="5" t="n">
        <f>IF(AND('Assumptions and Catalog'!$C$19&gt;0,A745&gt;='Assumptions and Catalog'!$C$19),A745-'Assumptions and Catalog'!$C$19,A745-1)</f>
        <v>7</v>
      </c>
      <c r="S745" s="5" t="n">
        <f>F745+L745-(D745+E745)*C745-J745-K745-IF(E$52&gt;0,'Assumptions and Catalog'!$C$26*C745,0)</f>
        <v>-2.55795384873636E-013</v>
      </c>
      <c r="T745" s="5"/>
      <c r="U745" s="5"/>
    </row>
    <row r="746" ht="23.100000381469727" customHeight="1">
      <c r="A746" s="5" t="n">
        <v>8</v>
      </c>
      <c r="B746" s="5" t="n">
        <v>2</v>
      </c>
      <c r="C746" s="5" t="n">
        <f>DAY(DATE('Assumptions and Catalog'!$C$24+A746-1,B746+1,0))</f>
        <v>28</v>
      </c>
      <c r="D746" s="5" t="n">
        <f>IF(ISNUMBER(Inputs!$L$5),Inputs!$L$5*Inputs!$L$6,0)</f>
        <v>40.35</v>
      </c>
      <c r="E746" s="5" t="n">
        <f>IF(ISNUMBER(Inputs!$L$5),Inputs!$L$5-D746,0)</f>
        <v>40.35</v>
      </c>
      <c r="F746" s="5" t="n">
        <f>E$51*INDEX('Solar Production'!$D$20:$D$31,B746)*C746*(1-'Assumptions and Catalog'!$C$10)^(A746-1)</f>
        <v>1374.85312502437</v>
      </c>
      <c r="G746" s="5" t="n">
        <f>MIN(F746,D746*C746)</f>
        <v>1129.8</v>
      </c>
      <c r="H746" s="5" t="n">
        <f>I746/('Assumptions and Catalog'!$C$11*'Assumptions and Catalog'!$C$12)</f>
        <v>245.053125024365</v>
      </c>
      <c r="I746" s="5" t="n">
        <f>MIN(E746*C746,P746*'Assumptions and Catalog'!$C$12*C746,(F746-G746)*'Assumptions and Catalog'!$C$11*'Assumptions and Catalog'!$C$12,E$56*'Assumptions and Catalog'!$C$14*'Assumptions and Catalog'!$C$11*'Assumptions and Catalog'!$C$12*C746,E$57*(24-'Assumptions and Catalog'!$C$13)*C746)</f>
        <v>232.953626976287</v>
      </c>
      <c r="J746" s="5" t="n">
        <f>MAX(F746-G746-H746,0)</f>
        <v>0</v>
      </c>
      <c r="K746" s="5" t="n">
        <f>H746-I746</f>
        <v>12.099498048078</v>
      </c>
      <c r="L746" s="5" t="n">
        <f>(D746+E746)*C746-G746-I746+0+IF(E$52&gt;0,'Assumptions and Catalog'!$C$26*C746,0)</f>
        <v>896.846373023713</v>
      </c>
      <c r="M746" s="5" t="n">
        <f>IF(ISNUMBER(Inputs!$L$5),(IF(Inputs!$L$9="Actual flat rate",((D746+E746)*C746)*Inputs!$L$10,IF(Inputs!$C$9="Residential",IF(((D746+E746)*C746)&lt;='Assumptions and Catalog'!$C$50,((D746+E746)*C746)*'Assumptions and Catalog'!$H$50+'Assumptions and Catalog'!$E$50+'Assumptions and Catalog'!$F$50,IF(((D746+E746)*C746)&lt;='Assumptions and Catalog'!$C$51,((D746+E746)*C746)*'Assumptions and Catalog'!$H$51+'Assumptions and Catalog'!$E$51+'Assumptions and Catalog'!$F$51,IF(((D746+E746)*C746)&lt;='Assumptions and Catalog'!$C$52,((D746+E746)*C746)*'Assumptions and Catalog'!$H$52+'Assumptions and Catalog'!$E$52+'Assumptions and Catalog'!$F$52,IF(((D746+E746)*C746)&lt;='Assumptions and Catalog'!$C$53,((D746+E746)*C746)*'Assumptions and Catalog'!$H$53+'Assumptions and Catalog'!$E$53+'Assumptions and Catalog'!$F$53,IF(((D746+E746)*C746)&lt;='Assumptions and Catalog'!$C$54,((D746+E746)*C746)*'Assumptions and Catalog'!$H$54+'Assumptions and Catalog'!$E$54+'Assumptions and Catalog'!$F$54,IF(((D746+E746)*C746)&lt;='Assumptions and Catalog'!$C$55,((D746+E746)*C746)*'Assumptions and Catalog'!$H$55+'Assumptions and Catalog'!$E$55+'Assumptions and Catalog'!$F$55,IF(((D746+E746)*C746)&lt;='Assumptions and Catalog'!$C$56,((D746+E746)*C746)*'Assumptions and Catalog'!$H$56+'Assumptions and Catalog'!$E$56+'Assumptions and Catalog'!$F$56,IF(((D746+E746)*C746)&lt;='Assumptions and Catalog'!$C$57,((D746+E746)*C746)*'Assumptions and Catalog'!$H$57+'Assumptions and Catalog'!$E$57+'Assumptions and Catalog'!$F$57,"Out of range")))))))),IF(((D746+E746)*C746)&lt;='Assumptions and Catalog'!$C$60,((D746+E746)*C746)*'Assumptions and Catalog'!$H$60+'Assumptions and Catalog'!$E$60+'Assumptions and Catalog'!$F$60,IF(((D746+E746)*C746)&lt;='Assumptions and Catalog'!$C$61,((D746+E746)*C746)*'Assumptions and Catalog'!$H$61+'Assumptions and Catalog'!$E$61+'Assumptions and Catalog'!$F$61,IF(((D746+E746)*C746)&lt;='Assumptions and Catalog'!$C$62,((D746+E746)*C746)*'Assumptions and Catalog'!$H$62+'Assumptions and Catalog'!$E$62+'Assumptions and Catalog'!$F$62,IF(((D746+E746)*C746)&lt;='Assumptions and Catalog'!$C$63,((D746+E746)*C746)*'Assumptions and Catalog'!$H$63+'Assumptions and Catalog'!$E$63+'Assumptions and Catalog'!$F$63,IF(((D746+E746)*C746)&lt;='Assumptions and Catalog'!$C$64,((D746+E746)*C746)*'Assumptions and Catalog'!$H$64+'Assumptions and Catalog'!$E$64+'Assumptions and Catalog'!$F$64,IF(((D746+E746)*C746)&lt;='Assumptions and Catalog'!$C$65,((D746+E746)*C746)*'Assumptions and Catalog'!$H$65+'Assumptions and Catalog'!$E$65+'Assumptions and Catalog'!$F$65,"Out of range")))))))))*(1+'Assumptions and Catalog'!$C$8)^(A746-1),0)</f>
        <v>6412.072</v>
      </c>
      <c r="N746" s="5" t="n">
        <f>IF(ISNUMBER(Inputs!$L$5),(IF(Inputs!$L$9="Actual flat rate",L746*Inputs!$L$10,IF(Inputs!$C$9="Residential",IF(L746&lt;='Assumptions and Catalog'!$C$50,L746*'Assumptions and Catalog'!$H$50+'Assumptions and Catalog'!$E$50+'Assumptions and Catalog'!$F$50,IF(L746&lt;='Assumptions and Catalog'!$C$51,L746*'Assumptions and Catalog'!$H$51+'Assumptions and Catalog'!$E$51+'Assumptions and Catalog'!$F$51,IF(L746&lt;='Assumptions and Catalog'!$C$52,L746*'Assumptions and Catalog'!$H$52+'Assumptions and Catalog'!$E$52+'Assumptions and Catalog'!$F$52,IF(L746&lt;='Assumptions and Catalog'!$C$53,L746*'Assumptions and Catalog'!$H$53+'Assumptions and Catalog'!$E$53+'Assumptions and Catalog'!$F$53,IF(L746&lt;='Assumptions and Catalog'!$C$54,L746*'Assumptions and Catalog'!$H$54+'Assumptions and Catalog'!$E$54+'Assumptions and Catalog'!$F$54,IF(L746&lt;='Assumptions and Catalog'!$C$55,L746*'Assumptions and Catalog'!$H$55+'Assumptions and Catalog'!$E$55+'Assumptions and Catalog'!$F$55,IF(L746&lt;='Assumptions and Catalog'!$C$56,L746*'Assumptions and Catalog'!$H$56+'Assumptions and Catalog'!$E$56+'Assumptions and Catalog'!$F$56,IF(L746&lt;='Assumptions and Catalog'!$C$57,L746*'Assumptions and Catalog'!$H$57+'Assumptions and Catalog'!$E$57+'Assumptions and Catalog'!$F$57,"Out of range")))))))),IF(L746&lt;='Assumptions and Catalog'!$C$60,L746*'Assumptions and Catalog'!$H$60+'Assumptions and Catalog'!$E$60+'Assumptions and Catalog'!$F$60,IF(L746&lt;='Assumptions and Catalog'!$C$61,L746*'Assumptions and Catalog'!$H$61+'Assumptions and Catalog'!$E$61+'Assumptions and Catalog'!$F$61,IF(L746&lt;='Assumptions and Catalog'!$C$62,L746*'Assumptions and Catalog'!$H$62+'Assumptions and Catalog'!$E$62+'Assumptions and Catalog'!$F$62,IF(L746&lt;='Assumptions and Catalog'!$C$63,L746*'Assumptions and Catalog'!$H$63+'Assumptions and Catalog'!$E$63+'Assumptions and Catalog'!$F$63,IF(L746&lt;='Assumptions and Catalog'!$C$64,L746*'Assumptions and Catalog'!$H$64+'Assumptions and Catalog'!$E$64+'Assumptions and Catalog'!$F$64,IF(L746&lt;='Assumptions and Catalog'!$C$65,L746*'Assumptions and Catalog'!$H$65+'Assumptions and Catalog'!$E$65+'Assumptions and Catalog'!$F$65,"Out of range")))))))))*(1+'Assumptions and Catalog'!$C$8)^(A746-1),0)</f>
        <v>2449.26445327569</v>
      </c>
      <c r="O746" s="5" t="n">
        <f>M746-N746</f>
        <v>3962.80754672431</v>
      </c>
      <c r="P746" s="5" t="n">
        <f>E$55*(1-L$14)*(1-'Assumptions and Catalog'!$C$23)^R746</f>
        <v>8.88960546044641</v>
      </c>
      <c r="Q746" s="5" t="n">
        <f>IF(ISNUMBER(Inputs!$L$5),(IF(Inputs!$L$9="Actual flat rate",((D746+E746)*C746-G746)*Inputs!$L$10,IF(Inputs!$C$9="Residential",IF(((D746+E746)*C746-G746)&lt;='Assumptions and Catalog'!$C$50,((D746+E746)*C746-G746)*'Assumptions and Catalog'!$H$50+'Assumptions and Catalog'!$E$50+'Assumptions and Catalog'!$F$50,IF(((D746+E746)*C746-G746)&lt;='Assumptions and Catalog'!$C$51,((D746+E746)*C746-G746)*'Assumptions and Catalog'!$H$51+'Assumptions and Catalog'!$E$51+'Assumptions and Catalog'!$F$51,IF(((D746+E746)*C746-G746)&lt;='Assumptions and Catalog'!$C$52,((D746+E746)*C746-G746)*'Assumptions and Catalog'!$H$52+'Assumptions and Catalog'!$E$52+'Assumptions and Catalog'!$F$52,IF(((D746+E746)*C746-G746)&lt;='Assumptions and Catalog'!$C$53,((D746+E746)*C746-G746)*'Assumptions and Catalog'!$H$53+'Assumptions and Catalog'!$E$53+'Assumptions and Catalog'!$F$53,IF(((D746+E746)*C746-G746)&lt;='Assumptions and Catalog'!$C$54,((D746+E746)*C746-G746)*'Assumptions and Catalog'!$H$54+'Assumptions and Catalog'!$E$54+'Assumptions and Catalog'!$F$54,IF(((D746+E746)*C746-G746)&lt;='Assumptions and Catalog'!$C$55,((D746+E746)*C746-G746)*'Assumptions and Catalog'!$H$55+'Assumptions and Catalog'!$E$55+'Assumptions and Catalog'!$F$55,IF(((D746+E746)*C746-G746)&lt;='Assumptions and Catalog'!$C$56,((D746+E746)*C746-G746)*'Assumptions and Catalog'!$H$56+'Assumptions and Catalog'!$E$56+'Assumptions and Catalog'!$F$56,IF(((D746+E746)*C746-G746)&lt;='Assumptions and Catalog'!$C$57,((D746+E746)*C746-G746)*'Assumptions and Catalog'!$H$57+'Assumptions and Catalog'!$E$57+'Assumptions and Catalog'!$F$57,"Out of range")))))))),IF(((D746+E746)*C746-G746)&lt;='Assumptions and Catalog'!$C$60,((D746+E746)*C746-G746)*'Assumptions and Catalog'!$H$60+'Assumptions and Catalog'!$E$60+'Assumptions and Catalog'!$F$60,IF(((D746+E746)*C746-G746)&lt;='Assumptions and Catalog'!$C$61,((D746+E746)*C746-G746)*'Assumptions and Catalog'!$H$61+'Assumptions and Catalog'!$E$61+'Assumptions and Catalog'!$F$61,IF(((D746+E746)*C746-G746)&lt;='Assumptions and Catalog'!$C$62,((D746+E746)*C746-G746)*'Assumptions and Catalog'!$H$62+'Assumptions and Catalog'!$E$62+'Assumptions and Catalog'!$F$62,IF(((D746+E746)*C746-G746)&lt;='Assumptions and Catalog'!$C$63,((D746+E746)*C746-G746)*'Assumptions and Catalog'!$H$63+'Assumptions and Catalog'!$E$63+'Assumptions and Catalog'!$F$63,IF(((D746+E746)*C746-G746)&lt;='Assumptions and Catalog'!$C$64,((D746+E746)*C746-G746)*'Assumptions and Catalog'!$H$64+'Assumptions and Catalog'!$E$64+'Assumptions and Catalog'!$F$64,IF(((D746+E746)*C746-G746)&lt;='Assumptions and Catalog'!$C$65,((D746+E746)*C746-G746)*'Assumptions and Catalog'!$H$65+'Assumptions and Catalog'!$E$65+'Assumptions and Catalog'!$F$65,"Out of range")))))))))*(1+'Assumptions and Catalog'!$C$8)^(A746-1),0)</f>
        <v>3226.036</v>
      </c>
      <c r="R746" s="5" t="n">
        <f>IF(AND('Assumptions and Catalog'!$C$19&gt;0,A746&gt;='Assumptions and Catalog'!$C$19),A746-'Assumptions and Catalog'!$C$19,A746-1)</f>
        <v>7</v>
      </c>
      <c r="S746" s="5" t="n">
        <f>F746+L746-(D746+E746)*C746-J746-K746-IF(E$52&gt;0,'Assumptions and Catalog'!$C$26*C746,0)</f>
        <v>-2.8421709430404E-013</v>
      </c>
      <c r="T746" s="5"/>
      <c r="U746" s="5"/>
    </row>
    <row r="747" ht="23.100000381469727" customHeight="1">
      <c r="A747" s="5" t="n">
        <v>8</v>
      </c>
      <c r="B747" s="5" t="n">
        <v>3</v>
      </c>
      <c r="C747" s="5" t="n">
        <f>DAY(DATE('Assumptions and Catalog'!$C$24+A747-1,B747+1,0))</f>
        <v>31</v>
      </c>
      <c r="D747" s="5" t="n">
        <f>IF(ISNUMBER(Inputs!$L$5),Inputs!$L$5*Inputs!$L$6,0)</f>
        <v>40.35</v>
      </c>
      <c r="E747" s="5" t="n">
        <f>IF(ISNUMBER(Inputs!$L$5),Inputs!$L$5-D747,0)</f>
        <v>40.35</v>
      </c>
      <c r="F747" s="5" t="n">
        <f>E$51*INDEX('Solar Production'!$D$20:$D$31,B747)*C747*(1-'Assumptions and Catalog'!$C$10)^(A747-1)</f>
        <v>1710.57430912649</v>
      </c>
      <c r="G747" s="5" t="n">
        <f>MIN(F747,D747*C747)</f>
        <v>1250.85</v>
      </c>
      <c r="H747" s="5" t="n">
        <f>I747/('Assumptions and Catalog'!$C$11*'Assumptions and Catalog'!$C$12)</f>
        <v>282.643865921886</v>
      </c>
      <c r="I747" s="5" t="n">
        <f>MIN(E747*C747,P747*'Assumptions and Catalog'!$C$12*C747,(F747-G747)*'Assumptions and Catalog'!$C$11*'Assumptions and Catalog'!$C$12,E$56*'Assumptions and Catalog'!$C$14*'Assumptions and Catalog'!$C$11*'Assumptions and Catalog'!$C$12*C747,E$57*(24-'Assumptions and Catalog'!$C$13)*C747)</f>
        <v>268.688325041993</v>
      </c>
      <c r="J747" s="5" t="n">
        <f>MAX(F747-G747-H747,0)</f>
        <v>177.080443204605</v>
      </c>
      <c r="K747" s="5" t="n">
        <f>H747-I747</f>
        <v>13.9555408798931</v>
      </c>
      <c r="L747" s="5" t="n">
        <f>(D747+E747)*C747-G747-I747+0+IF(E$52&gt;0,'Assumptions and Catalog'!$C$26*C747,0)</f>
        <v>982.161674958007</v>
      </c>
      <c r="M747" s="5" t="n">
        <f>IF(ISNUMBER(Inputs!$L$5),(IF(Inputs!$L$9="Actual flat rate",((D747+E747)*C747)*Inputs!$L$10,IF(Inputs!$C$9="Residential",IF(((D747+E747)*C747)&lt;='Assumptions and Catalog'!$C$50,((D747+E747)*C747)*'Assumptions and Catalog'!$H$50+'Assumptions and Catalog'!$E$50+'Assumptions and Catalog'!$F$50,IF(((D747+E747)*C747)&lt;='Assumptions and Catalog'!$C$51,((D747+E747)*C747)*'Assumptions and Catalog'!$H$51+'Assumptions and Catalog'!$E$51+'Assumptions and Catalog'!$F$51,IF(((D747+E747)*C747)&lt;='Assumptions and Catalog'!$C$52,((D747+E747)*C747)*'Assumptions and Catalog'!$H$52+'Assumptions and Catalog'!$E$52+'Assumptions and Catalog'!$F$52,IF(((D747+E747)*C747)&lt;='Assumptions and Catalog'!$C$53,((D747+E747)*C747)*'Assumptions and Catalog'!$H$53+'Assumptions and Catalog'!$E$53+'Assumptions and Catalog'!$F$53,IF(((D747+E747)*C747)&lt;='Assumptions and Catalog'!$C$54,((D747+E747)*C747)*'Assumptions and Catalog'!$H$54+'Assumptions and Catalog'!$E$54+'Assumptions and Catalog'!$F$54,IF(((D747+E747)*C747)&lt;='Assumptions and Catalog'!$C$55,((D747+E747)*C747)*'Assumptions and Catalog'!$H$55+'Assumptions and Catalog'!$E$55+'Assumptions and Catalog'!$F$55,IF(((D747+E747)*C747)&lt;='Assumptions and Catalog'!$C$56,((D747+E747)*C747)*'Assumptions and Catalog'!$H$56+'Assumptions and Catalog'!$E$56+'Assumptions and Catalog'!$F$56,IF(((D747+E747)*C747)&lt;='Assumptions and Catalog'!$C$57,((D747+E747)*C747)*'Assumptions and Catalog'!$H$57+'Assumptions and Catalog'!$E$57+'Assumptions and Catalog'!$F$57,"Out of range")))))))),IF(((D747+E747)*C747)&lt;='Assumptions and Catalog'!$C$60,((D747+E747)*C747)*'Assumptions and Catalog'!$H$60+'Assumptions and Catalog'!$E$60+'Assumptions and Catalog'!$F$60,IF(((D747+E747)*C747)&lt;='Assumptions and Catalog'!$C$61,((D747+E747)*C747)*'Assumptions and Catalog'!$H$61+'Assumptions and Catalog'!$E$61+'Assumptions and Catalog'!$F$61,IF(((D747+E747)*C747)&lt;='Assumptions and Catalog'!$C$62,((D747+E747)*C747)*'Assumptions and Catalog'!$H$62+'Assumptions and Catalog'!$E$62+'Assumptions and Catalog'!$F$62,IF(((D747+E747)*C747)&lt;='Assumptions and Catalog'!$C$63,((D747+E747)*C747)*'Assumptions and Catalog'!$H$63+'Assumptions and Catalog'!$E$63+'Assumptions and Catalog'!$F$63,IF(((D747+E747)*C747)&lt;='Assumptions and Catalog'!$C$64,((D747+E747)*C747)*'Assumptions and Catalog'!$H$64+'Assumptions and Catalog'!$E$64+'Assumptions and Catalog'!$F$64,IF(((D747+E747)*C747)&lt;='Assumptions and Catalog'!$C$65,((D747+E747)*C747)*'Assumptions and Catalog'!$H$65+'Assumptions and Catalog'!$E$65+'Assumptions and Catalog'!$F$65,"Out of range")))))))))*(1+'Assumptions and Catalog'!$C$8)^(A747-1),0)</f>
        <v>7094.794</v>
      </c>
      <c r="N747" s="5" t="n">
        <f>IF(ISNUMBER(Inputs!$L$5),(IF(Inputs!$L$9="Actual flat rate",L747*Inputs!$L$10,IF(Inputs!$C$9="Residential",IF(L747&lt;='Assumptions and Catalog'!$C$50,L747*'Assumptions and Catalog'!$H$50+'Assumptions and Catalog'!$E$50+'Assumptions and Catalog'!$F$50,IF(L747&lt;='Assumptions and Catalog'!$C$51,L747*'Assumptions and Catalog'!$H$51+'Assumptions and Catalog'!$E$51+'Assumptions and Catalog'!$F$51,IF(L747&lt;='Assumptions and Catalog'!$C$52,L747*'Assumptions and Catalog'!$H$52+'Assumptions and Catalog'!$E$52+'Assumptions and Catalog'!$F$52,IF(L747&lt;='Assumptions and Catalog'!$C$53,L747*'Assumptions and Catalog'!$H$53+'Assumptions and Catalog'!$E$53+'Assumptions and Catalog'!$F$53,IF(L747&lt;='Assumptions and Catalog'!$C$54,L747*'Assumptions and Catalog'!$H$54+'Assumptions and Catalog'!$E$54+'Assumptions and Catalog'!$F$54,IF(L747&lt;='Assumptions and Catalog'!$C$55,L747*'Assumptions and Catalog'!$H$55+'Assumptions and Catalog'!$E$55+'Assumptions and Catalog'!$F$55,IF(L747&lt;='Assumptions and Catalog'!$C$56,L747*'Assumptions and Catalog'!$H$56+'Assumptions and Catalog'!$E$56+'Assumptions and Catalog'!$F$56,IF(L747&lt;='Assumptions and Catalog'!$C$57,L747*'Assumptions and Catalog'!$H$57+'Assumptions and Catalog'!$E$57+'Assumptions and Catalog'!$F$57,"Out of range")))))))),IF(L747&lt;='Assumptions and Catalog'!$C$60,L747*'Assumptions and Catalog'!$H$60+'Assumptions and Catalog'!$E$60+'Assumptions and Catalog'!$F$60,IF(L747&lt;='Assumptions and Catalog'!$C$61,L747*'Assumptions and Catalog'!$H$61+'Assumptions and Catalog'!$E$61+'Assumptions and Catalog'!$F$61,IF(L747&lt;='Assumptions and Catalog'!$C$62,L747*'Assumptions and Catalog'!$H$62+'Assumptions and Catalog'!$E$62+'Assumptions and Catalog'!$F$62,IF(L747&lt;='Assumptions and Catalog'!$C$63,L747*'Assumptions and Catalog'!$H$63+'Assumptions and Catalog'!$E$63+'Assumptions and Catalog'!$F$63,IF(L747&lt;='Assumptions and Catalog'!$C$64,L747*'Assumptions and Catalog'!$H$64+'Assumptions and Catalog'!$E$64+'Assumptions and Catalog'!$F$64,IF(L747&lt;='Assumptions and Catalog'!$C$65,L747*'Assumptions and Catalog'!$H$65+'Assumptions and Catalog'!$E$65+'Assumptions and Catalog'!$F$65,"Out of range")))))))))*(1+'Assumptions and Catalog'!$C$8)^(A747-1),0)</f>
        <v>2685.58783963368</v>
      </c>
      <c r="O747" s="5" t="n">
        <f>M747-N747</f>
        <v>4409.20616036632</v>
      </c>
      <c r="P747" s="5" t="n">
        <f>E$55*(1-L$14)*(1-'Assumptions and Catalog'!$C$23)^R747</f>
        <v>8.88960546044641</v>
      </c>
      <c r="Q747" s="5" t="n">
        <f>IF(ISNUMBER(Inputs!$L$5),(IF(Inputs!$L$9="Actual flat rate",((D747+E747)*C747-G747)*Inputs!$L$10,IF(Inputs!$C$9="Residential",IF(((D747+E747)*C747-G747)&lt;='Assumptions and Catalog'!$C$50,((D747+E747)*C747-G747)*'Assumptions and Catalog'!$H$50+'Assumptions and Catalog'!$E$50+'Assumptions and Catalog'!$F$50,IF(((D747+E747)*C747-G747)&lt;='Assumptions and Catalog'!$C$51,((D747+E747)*C747-G747)*'Assumptions and Catalog'!$H$51+'Assumptions and Catalog'!$E$51+'Assumptions and Catalog'!$F$51,IF(((D747+E747)*C747-G747)&lt;='Assumptions and Catalog'!$C$52,((D747+E747)*C747-G747)*'Assumptions and Catalog'!$H$52+'Assumptions and Catalog'!$E$52+'Assumptions and Catalog'!$F$52,IF(((D747+E747)*C747-G747)&lt;='Assumptions and Catalog'!$C$53,((D747+E747)*C747-G747)*'Assumptions and Catalog'!$H$53+'Assumptions and Catalog'!$E$53+'Assumptions and Catalog'!$F$53,IF(((D747+E747)*C747-G747)&lt;='Assumptions and Catalog'!$C$54,((D747+E747)*C747-G747)*'Assumptions and Catalog'!$H$54+'Assumptions and Catalog'!$E$54+'Assumptions and Catalog'!$F$54,IF(((D747+E747)*C747-G747)&lt;='Assumptions and Catalog'!$C$55,((D747+E747)*C747-G747)*'Assumptions and Catalog'!$H$55+'Assumptions and Catalog'!$E$55+'Assumptions and Catalog'!$F$55,IF(((D747+E747)*C747-G747)&lt;='Assumptions and Catalog'!$C$56,((D747+E747)*C747-G747)*'Assumptions and Catalog'!$H$56+'Assumptions and Catalog'!$E$56+'Assumptions and Catalog'!$F$56,IF(((D747+E747)*C747-G747)&lt;='Assumptions and Catalog'!$C$57,((D747+E747)*C747-G747)*'Assumptions and Catalog'!$H$57+'Assumptions and Catalog'!$E$57+'Assumptions and Catalog'!$F$57,"Out of range")))))))),IF(((D747+E747)*C747-G747)&lt;='Assumptions and Catalog'!$C$60,((D747+E747)*C747-G747)*'Assumptions and Catalog'!$H$60+'Assumptions and Catalog'!$E$60+'Assumptions and Catalog'!$F$60,IF(((D747+E747)*C747-G747)&lt;='Assumptions and Catalog'!$C$61,((D747+E747)*C747-G747)*'Assumptions and Catalog'!$H$61+'Assumptions and Catalog'!$E$61+'Assumptions and Catalog'!$F$61,IF(((D747+E747)*C747-G747)&lt;='Assumptions and Catalog'!$C$62,((D747+E747)*C747-G747)*'Assumptions and Catalog'!$H$62+'Assumptions and Catalog'!$E$62+'Assumptions and Catalog'!$F$62,IF(((D747+E747)*C747-G747)&lt;='Assumptions and Catalog'!$C$63,((D747+E747)*C747-G747)*'Assumptions and Catalog'!$H$63+'Assumptions and Catalog'!$E$63+'Assumptions and Catalog'!$F$63,IF(((D747+E747)*C747-G747)&lt;='Assumptions and Catalog'!$C$64,((D747+E747)*C747-G747)*'Assumptions and Catalog'!$H$64+'Assumptions and Catalog'!$E$64+'Assumptions and Catalog'!$F$64,IF(((D747+E747)*C747-G747)&lt;='Assumptions and Catalog'!$C$65,((D747+E747)*C747-G747)*'Assumptions and Catalog'!$H$65+'Assumptions and Catalog'!$E$65+'Assumptions and Catalog'!$F$65,"Out of range")))))))))*(1+'Assumptions and Catalog'!$C$8)^(A747-1),0)</f>
        <v>3567.397</v>
      </c>
      <c r="R747" s="5" t="n">
        <f>IF(AND('Assumptions and Catalog'!$C$19&gt;0,A747&gt;='Assumptions and Catalog'!$C$19),A747-'Assumptions and Catalog'!$C$19,A747-1)</f>
        <v>7</v>
      </c>
      <c r="S747" s="5" t="n">
        <f>F747+L747-(D747+E747)*C747-J747-K747-IF(E$52&gt;0,'Assumptions and Catalog'!$C$26*C747,0)</f>
        <v>2.27373675443232E-013</v>
      </c>
      <c r="T747" s="5"/>
      <c r="U747" s="5"/>
    </row>
    <row r="748" ht="23.100000381469727" customHeight="1">
      <c r="A748" s="5" t="n">
        <v>8</v>
      </c>
      <c r="B748" s="5" t="n">
        <v>4</v>
      </c>
      <c r="C748" s="5" t="n">
        <f>DAY(DATE('Assumptions and Catalog'!$C$24+A748-1,B748+1,0))</f>
        <v>30</v>
      </c>
      <c r="D748" s="5" t="n">
        <f>IF(ISNUMBER(Inputs!$L$5),Inputs!$L$5*Inputs!$L$6,0)</f>
        <v>40.35</v>
      </c>
      <c r="E748" s="5" t="n">
        <f>IF(ISNUMBER(Inputs!$L$5),Inputs!$L$5-D748,0)</f>
        <v>40.35</v>
      </c>
      <c r="F748" s="5" t="n">
        <f>E$51*INDEX('Solar Production'!$D$20:$D$31,B748)*C748*(1-'Assumptions and Catalog'!$C$10)^(A748-1)</f>
        <v>1708.45016370351</v>
      </c>
      <c r="G748" s="5" t="n">
        <f>MIN(F748,D748*C748)</f>
        <v>1210.5</v>
      </c>
      <c r="H748" s="5" t="n">
        <f>I748/('Assumptions and Catalog'!$C$11*'Assumptions and Catalog'!$C$12)</f>
        <v>273.52632185989</v>
      </c>
      <c r="I748" s="5" t="n">
        <f>MIN(E748*C748,P748*'Assumptions and Catalog'!$C$12*C748,(F748-G748)*'Assumptions and Catalog'!$C$11*'Assumptions and Catalog'!$C$12,E$56*'Assumptions and Catalog'!$C$14*'Assumptions and Catalog'!$C$11*'Assumptions and Catalog'!$C$12*C748,E$57*(24-'Assumptions and Catalog'!$C$13)*C748)</f>
        <v>260.020959718058</v>
      </c>
      <c r="J748" s="5" t="n">
        <f>MAX(F748-G748-H748,0)</f>
        <v>224.42384184362</v>
      </c>
      <c r="K748" s="5" t="n">
        <f>H748-I748</f>
        <v>13.5053621418321</v>
      </c>
      <c r="L748" s="5" t="n">
        <f>(D748+E748)*C748-G748-I748+0+IF(E$52&gt;0,'Assumptions and Catalog'!$C$26*C748,0)</f>
        <v>950.479040281942</v>
      </c>
      <c r="M748" s="5" t="n">
        <f>IF(ISNUMBER(Inputs!$L$5),(IF(Inputs!$L$9="Actual flat rate",((D748+E748)*C748)*Inputs!$L$10,IF(Inputs!$C$9="Residential",IF(((D748+E748)*C748)&lt;='Assumptions and Catalog'!$C$50,((D748+E748)*C748)*'Assumptions and Catalog'!$H$50+'Assumptions and Catalog'!$E$50+'Assumptions and Catalog'!$F$50,IF(((D748+E748)*C748)&lt;='Assumptions and Catalog'!$C$51,((D748+E748)*C748)*'Assumptions and Catalog'!$H$51+'Assumptions and Catalog'!$E$51+'Assumptions and Catalog'!$F$51,IF(((D748+E748)*C748)&lt;='Assumptions and Catalog'!$C$52,((D748+E748)*C748)*'Assumptions and Catalog'!$H$52+'Assumptions and Catalog'!$E$52+'Assumptions and Catalog'!$F$52,IF(((D748+E748)*C748)&lt;='Assumptions and Catalog'!$C$53,((D748+E748)*C748)*'Assumptions and Catalog'!$H$53+'Assumptions and Catalog'!$E$53+'Assumptions and Catalog'!$F$53,IF(((D748+E748)*C748)&lt;='Assumptions and Catalog'!$C$54,((D748+E748)*C748)*'Assumptions and Catalog'!$H$54+'Assumptions and Catalog'!$E$54+'Assumptions and Catalog'!$F$54,IF(((D748+E748)*C748)&lt;='Assumptions and Catalog'!$C$55,((D748+E748)*C748)*'Assumptions and Catalog'!$H$55+'Assumptions and Catalog'!$E$55+'Assumptions and Catalog'!$F$55,IF(((D748+E748)*C748)&lt;='Assumptions and Catalog'!$C$56,((D748+E748)*C748)*'Assumptions and Catalog'!$H$56+'Assumptions and Catalog'!$E$56+'Assumptions and Catalog'!$F$56,IF(((D748+E748)*C748)&lt;='Assumptions and Catalog'!$C$57,((D748+E748)*C748)*'Assumptions and Catalog'!$H$57+'Assumptions and Catalog'!$E$57+'Assumptions and Catalog'!$F$57,"Out of range")))))))),IF(((D748+E748)*C748)&lt;='Assumptions and Catalog'!$C$60,((D748+E748)*C748)*'Assumptions and Catalog'!$H$60+'Assumptions and Catalog'!$E$60+'Assumptions and Catalog'!$F$60,IF(((D748+E748)*C748)&lt;='Assumptions and Catalog'!$C$61,((D748+E748)*C748)*'Assumptions and Catalog'!$H$61+'Assumptions and Catalog'!$E$61+'Assumptions and Catalog'!$F$61,IF(((D748+E748)*C748)&lt;='Assumptions and Catalog'!$C$62,((D748+E748)*C748)*'Assumptions and Catalog'!$H$62+'Assumptions and Catalog'!$E$62+'Assumptions and Catalog'!$F$62,IF(((D748+E748)*C748)&lt;='Assumptions and Catalog'!$C$63,((D748+E748)*C748)*'Assumptions and Catalog'!$H$63+'Assumptions and Catalog'!$E$63+'Assumptions and Catalog'!$F$63,IF(((D748+E748)*C748)&lt;='Assumptions and Catalog'!$C$64,((D748+E748)*C748)*'Assumptions and Catalog'!$H$64+'Assumptions and Catalog'!$E$64+'Assumptions and Catalog'!$F$64,IF(((D748+E748)*C748)&lt;='Assumptions and Catalog'!$C$65,((D748+E748)*C748)*'Assumptions and Catalog'!$H$65+'Assumptions and Catalog'!$E$65+'Assumptions and Catalog'!$F$65,"Out of range")))))))))*(1+'Assumptions and Catalog'!$C$8)^(A748-1),0)</f>
        <v>6867.22</v>
      </c>
      <c r="N748" s="5" t="n">
        <f>IF(ISNUMBER(Inputs!$L$5),(IF(Inputs!$L$9="Actual flat rate",L748*Inputs!$L$10,IF(Inputs!$C$9="Residential",IF(L748&lt;='Assumptions and Catalog'!$C$50,L748*'Assumptions and Catalog'!$H$50+'Assumptions and Catalog'!$E$50+'Assumptions and Catalog'!$F$50,IF(L748&lt;='Assumptions and Catalog'!$C$51,L748*'Assumptions and Catalog'!$H$51+'Assumptions and Catalog'!$E$51+'Assumptions and Catalog'!$F$51,IF(L748&lt;='Assumptions and Catalog'!$C$52,L748*'Assumptions and Catalog'!$H$52+'Assumptions and Catalog'!$E$52+'Assumptions and Catalog'!$F$52,IF(L748&lt;='Assumptions and Catalog'!$C$53,L748*'Assumptions and Catalog'!$H$53+'Assumptions and Catalog'!$E$53+'Assumptions and Catalog'!$F$53,IF(L748&lt;='Assumptions and Catalog'!$C$54,L748*'Assumptions and Catalog'!$H$54+'Assumptions and Catalog'!$E$54+'Assumptions and Catalog'!$F$54,IF(L748&lt;='Assumptions and Catalog'!$C$55,L748*'Assumptions and Catalog'!$H$55+'Assumptions and Catalog'!$E$55+'Assumptions and Catalog'!$F$55,IF(L748&lt;='Assumptions and Catalog'!$C$56,L748*'Assumptions and Catalog'!$H$56+'Assumptions and Catalog'!$E$56+'Assumptions and Catalog'!$F$56,IF(L748&lt;='Assumptions and Catalog'!$C$57,L748*'Assumptions and Catalog'!$H$57+'Assumptions and Catalog'!$E$57+'Assumptions and Catalog'!$F$57,"Out of range")))))))),IF(L748&lt;='Assumptions and Catalog'!$C$60,L748*'Assumptions and Catalog'!$H$60+'Assumptions and Catalog'!$E$60+'Assumptions and Catalog'!$F$60,IF(L748&lt;='Assumptions and Catalog'!$C$61,L748*'Assumptions and Catalog'!$H$61+'Assumptions and Catalog'!$E$61+'Assumptions and Catalog'!$F$61,IF(L748&lt;='Assumptions and Catalog'!$C$62,L748*'Assumptions and Catalog'!$H$62+'Assumptions and Catalog'!$E$62+'Assumptions and Catalog'!$F$62,IF(L748&lt;='Assumptions and Catalog'!$C$63,L748*'Assumptions and Catalog'!$H$63+'Assumptions and Catalog'!$E$63+'Assumptions and Catalog'!$F$63,IF(L748&lt;='Assumptions and Catalog'!$C$64,L748*'Assumptions and Catalog'!$H$64+'Assumptions and Catalog'!$E$64+'Assumptions and Catalog'!$F$64,IF(L748&lt;='Assumptions and Catalog'!$C$65,L748*'Assumptions and Catalog'!$H$65+'Assumptions and Catalog'!$E$65+'Assumptions and Catalog'!$F$65,"Out of range")))))))))*(1+'Assumptions and Catalog'!$C$8)^(A748-1),0)</f>
        <v>2597.82694158098</v>
      </c>
      <c r="O748" s="5" t="n">
        <f>M748-N748</f>
        <v>4269.39305841902</v>
      </c>
      <c r="P748" s="5" t="n">
        <f>E$55*(1-L$14)*(1-'Assumptions and Catalog'!$C$23)^R748</f>
        <v>8.88960546044641</v>
      </c>
      <c r="Q748" s="5" t="n">
        <f>IF(ISNUMBER(Inputs!$L$5),(IF(Inputs!$L$9="Actual flat rate",((D748+E748)*C748-G748)*Inputs!$L$10,IF(Inputs!$C$9="Residential",IF(((D748+E748)*C748-G748)&lt;='Assumptions and Catalog'!$C$50,((D748+E748)*C748-G748)*'Assumptions and Catalog'!$H$50+'Assumptions and Catalog'!$E$50+'Assumptions and Catalog'!$F$50,IF(((D748+E748)*C748-G748)&lt;='Assumptions and Catalog'!$C$51,((D748+E748)*C748-G748)*'Assumptions and Catalog'!$H$51+'Assumptions and Catalog'!$E$51+'Assumptions and Catalog'!$F$51,IF(((D748+E748)*C748-G748)&lt;='Assumptions and Catalog'!$C$52,((D748+E748)*C748-G748)*'Assumptions and Catalog'!$H$52+'Assumptions and Catalog'!$E$52+'Assumptions and Catalog'!$F$52,IF(((D748+E748)*C748-G748)&lt;='Assumptions and Catalog'!$C$53,((D748+E748)*C748-G748)*'Assumptions and Catalog'!$H$53+'Assumptions and Catalog'!$E$53+'Assumptions and Catalog'!$F$53,IF(((D748+E748)*C748-G748)&lt;='Assumptions and Catalog'!$C$54,((D748+E748)*C748-G748)*'Assumptions and Catalog'!$H$54+'Assumptions and Catalog'!$E$54+'Assumptions and Catalog'!$F$54,IF(((D748+E748)*C748-G748)&lt;='Assumptions and Catalog'!$C$55,((D748+E748)*C748-G748)*'Assumptions and Catalog'!$H$55+'Assumptions and Catalog'!$E$55+'Assumptions and Catalog'!$F$55,IF(((D748+E748)*C748-G748)&lt;='Assumptions and Catalog'!$C$56,((D748+E748)*C748-G748)*'Assumptions and Catalog'!$H$56+'Assumptions and Catalog'!$E$56+'Assumptions and Catalog'!$F$56,IF(((D748+E748)*C748-G748)&lt;='Assumptions and Catalog'!$C$57,((D748+E748)*C748-G748)*'Assumptions and Catalog'!$H$57+'Assumptions and Catalog'!$E$57+'Assumptions and Catalog'!$F$57,"Out of range")))))))),IF(((D748+E748)*C748-G748)&lt;='Assumptions and Catalog'!$C$60,((D748+E748)*C748-G748)*'Assumptions and Catalog'!$H$60+'Assumptions and Catalog'!$E$60+'Assumptions and Catalog'!$F$60,IF(((D748+E748)*C748-G748)&lt;='Assumptions and Catalog'!$C$61,((D748+E748)*C748-G748)*'Assumptions and Catalog'!$H$61+'Assumptions and Catalog'!$E$61+'Assumptions and Catalog'!$F$61,IF(((D748+E748)*C748-G748)&lt;='Assumptions and Catalog'!$C$62,((D748+E748)*C748-G748)*'Assumptions and Catalog'!$H$62+'Assumptions and Catalog'!$E$62+'Assumptions and Catalog'!$F$62,IF(((D748+E748)*C748-G748)&lt;='Assumptions and Catalog'!$C$63,((D748+E748)*C748-G748)*'Assumptions and Catalog'!$H$63+'Assumptions and Catalog'!$E$63+'Assumptions and Catalog'!$F$63,IF(((D748+E748)*C748-G748)&lt;='Assumptions and Catalog'!$C$64,((D748+E748)*C748-G748)*'Assumptions and Catalog'!$H$64+'Assumptions and Catalog'!$E$64+'Assumptions and Catalog'!$F$64,IF(((D748+E748)*C748-G748)&lt;='Assumptions and Catalog'!$C$65,((D748+E748)*C748-G748)*'Assumptions and Catalog'!$H$65+'Assumptions and Catalog'!$E$65+'Assumptions and Catalog'!$F$65,"Out of range")))))))))*(1+'Assumptions and Catalog'!$C$8)^(A748-1),0)</f>
        <v>3453.61</v>
      </c>
      <c r="R748" s="5" t="n">
        <f>IF(AND('Assumptions and Catalog'!$C$19&gt;0,A748&gt;='Assumptions and Catalog'!$C$19),A748-'Assumptions and Catalog'!$C$19,A748-1)</f>
        <v>7</v>
      </c>
      <c r="S748" s="5" t="n">
        <f>F748+L748-(D748+E748)*C748-J748-K748-IF(E$52&gt;0,'Assumptions and Catalog'!$C$26*C748,0)</f>
        <v>1.70530256582424E-013</v>
      </c>
      <c r="T748" s="5"/>
      <c r="U748" s="5"/>
    </row>
    <row r="749" ht="23.100000381469727" customHeight="1">
      <c r="A749" s="5" t="n">
        <v>8</v>
      </c>
      <c r="B749" s="5" t="n">
        <v>5</v>
      </c>
      <c r="C749" s="5" t="n">
        <f>DAY(DATE('Assumptions and Catalog'!$C$24+A749-1,B749+1,0))</f>
        <v>31</v>
      </c>
      <c r="D749" s="5" t="n">
        <f>IF(ISNUMBER(Inputs!$L$5),Inputs!$L$5*Inputs!$L$6,0)</f>
        <v>40.35</v>
      </c>
      <c r="E749" s="5" t="n">
        <f>IF(ISNUMBER(Inputs!$L$5),Inputs!$L$5-D749,0)</f>
        <v>40.35</v>
      </c>
      <c r="F749" s="5" t="n">
        <f>E$51*INDEX('Solar Production'!$D$20:$D$31,B749)*C749*(1-'Assumptions and Catalog'!$C$10)^(A749-1)</f>
        <v>1728.20471613723</v>
      </c>
      <c r="G749" s="5" t="n">
        <f>MIN(F749,D749*C749)</f>
        <v>1250.85</v>
      </c>
      <c r="H749" s="5" t="n">
        <f>I749/('Assumptions and Catalog'!$C$11*'Assumptions and Catalog'!$C$12)</f>
        <v>282.643865921886</v>
      </c>
      <c r="I749" s="5" t="n">
        <f>MIN(E749*C749,P749*'Assumptions and Catalog'!$C$12*C749,(F749-G749)*'Assumptions and Catalog'!$C$11*'Assumptions and Catalog'!$C$12,E$56*'Assumptions and Catalog'!$C$14*'Assumptions and Catalog'!$C$11*'Assumptions and Catalog'!$C$12*C749,E$57*(24-'Assumptions and Catalog'!$C$13)*C749)</f>
        <v>268.688325041993</v>
      </c>
      <c r="J749" s="5" t="n">
        <f>MAX(F749-G749-H749,0)</f>
        <v>194.710850215346</v>
      </c>
      <c r="K749" s="5" t="n">
        <f>H749-I749</f>
        <v>13.9555408798931</v>
      </c>
      <c r="L749" s="5" t="n">
        <f>(D749+E749)*C749-G749-I749+0+IF(E$52&gt;0,'Assumptions and Catalog'!$C$26*C749,0)</f>
        <v>982.161674958007</v>
      </c>
      <c r="M749" s="5" t="n">
        <f>IF(ISNUMBER(Inputs!$L$5),(IF(Inputs!$L$9="Actual flat rate",((D749+E749)*C749)*Inputs!$L$10,IF(Inputs!$C$9="Residential",IF(((D749+E749)*C749)&lt;='Assumptions and Catalog'!$C$50,((D749+E749)*C749)*'Assumptions and Catalog'!$H$50+'Assumptions and Catalog'!$E$50+'Assumptions and Catalog'!$F$50,IF(((D749+E749)*C749)&lt;='Assumptions and Catalog'!$C$51,((D749+E749)*C749)*'Assumptions and Catalog'!$H$51+'Assumptions and Catalog'!$E$51+'Assumptions and Catalog'!$F$51,IF(((D749+E749)*C749)&lt;='Assumptions and Catalog'!$C$52,((D749+E749)*C749)*'Assumptions and Catalog'!$H$52+'Assumptions and Catalog'!$E$52+'Assumptions and Catalog'!$F$52,IF(((D749+E749)*C749)&lt;='Assumptions and Catalog'!$C$53,((D749+E749)*C749)*'Assumptions and Catalog'!$H$53+'Assumptions and Catalog'!$E$53+'Assumptions and Catalog'!$F$53,IF(((D749+E749)*C749)&lt;='Assumptions and Catalog'!$C$54,((D749+E749)*C749)*'Assumptions and Catalog'!$H$54+'Assumptions and Catalog'!$E$54+'Assumptions and Catalog'!$F$54,IF(((D749+E749)*C749)&lt;='Assumptions and Catalog'!$C$55,((D749+E749)*C749)*'Assumptions and Catalog'!$H$55+'Assumptions and Catalog'!$E$55+'Assumptions and Catalog'!$F$55,IF(((D749+E749)*C749)&lt;='Assumptions and Catalog'!$C$56,((D749+E749)*C749)*'Assumptions and Catalog'!$H$56+'Assumptions and Catalog'!$E$56+'Assumptions and Catalog'!$F$56,IF(((D749+E749)*C749)&lt;='Assumptions and Catalog'!$C$57,((D749+E749)*C749)*'Assumptions and Catalog'!$H$57+'Assumptions and Catalog'!$E$57+'Assumptions and Catalog'!$F$57,"Out of range")))))))),IF(((D749+E749)*C749)&lt;='Assumptions and Catalog'!$C$60,((D749+E749)*C749)*'Assumptions and Catalog'!$H$60+'Assumptions and Catalog'!$E$60+'Assumptions and Catalog'!$F$60,IF(((D749+E749)*C749)&lt;='Assumptions and Catalog'!$C$61,((D749+E749)*C749)*'Assumptions and Catalog'!$H$61+'Assumptions and Catalog'!$E$61+'Assumptions and Catalog'!$F$61,IF(((D749+E749)*C749)&lt;='Assumptions and Catalog'!$C$62,((D749+E749)*C749)*'Assumptions and Catalog'!$H$62+'Assumptions and Catalog'!$E$62+'Assumptions and Catalog'!$F$62,IF(((D749+E749)*C749)&lt;='Assumptions and Catalog'!$C$63,((D749+E749)*C749)*'Assumptions and Catalog'!$H$63+'Assumptions and Catalog'!$E$63+'Assumptions and Catalog'!$F$63,IF(((D749+E749)*C749)&lt;='Assumptions and Catalog'!$C$64,((D749+E749)*C749)*'Assumptions and Catalog'!$H$64+'Assumptions and Catalog'!$E$64+'Assumptions and Catalog'!$F$64,IF(((D749+E749)*C749)&lt;='Assumptions and Catalog'!$C$65,((D749+E749)*C749)*'Assumptions and Catalog'!$H$65+'Assumptions and Catalog'!$E$65+'Assumptions and Catalog'!$F$65,"Out of range")))))))))*(1+'Assumptions and Catalog'!$C$8)^(A749-1),0)</f>
        <v>7094.794</v>
      </c>
      <c r="N749" s="5" t="n">
        <f>IF(ISNUMBER(Inputs!$L$5),(IF(Inputs!$L$9="Actual flat rate",L749*Inputs!$L$10,IF(Inputs!$C$9="Residential",IF(L749&lt;='Assumptions and Catalog'!$C$50,L749*'Assumptions and Catalog'!$H$50+'Assumptions and Catalog'!$E$50+'Assumptions and Catalog'!$F$50,IF(L749&lt;='Assumptions and Catalog'!$C$51,L749*'Assumptions and Catalog'!$H$51+'Assumptions and Catalog'!$E$51+'Assumptions and Catalog'!$F$51,IF(L749&lt;='Assumptions and Catalog'!$C$52,L749*'Assumptions and Catalog'!$H$52+'Assumptions and Catalog'!$E$52+'Assumptions and Catalog'!$F$52,IF(L749&lt;='Assumptions and Catalog'!$C$53,L749*'Assumptions and Catalog'!$H$53+'Assumptions and Catalog'!$E$53+'Assumptions and Catalog'!$F$53,IF(L749&lt;='Assumptions and Catalog'!$C$54,L749*'Assumptions and Catalog'!$H$54+'Assumptions and Catalog'!$E$54+'Assumptions and Catalog'!$F$54,IF(L749&lt;='Assumptions and Catalog'!$C$55,L749*'Assumptions and Catalog'!$H$55+'Assumptions and Catalog'!$E$55+'Assumptions and Catalog'!$F$55,IF(L749&lt;='Assumptions and Catalog'!$C$56,L749*'Assumptions and Catalog'!$H$56+'Assumptions and Catalog'!$E$56+'Assumptions and Catalog'!$F$56,IF(L749&lt;='Assumptions and Catalog'!$C$57,L749*'Assumptions and Catalog'!$H$57+'Assumptions and Catalog'!$E$57+'Assumptions and Catalog'!$F$57,"Out of range")))))))),IF(L749&lt;='Assumptions and Catalog'!$C$60,L749*'Assumptions and Catalog'!$H$60+'Assumptions and Catalog'!$E$60+'Assumptions and Catalog'!$F$60,IF(L749&lt;='Assumptions and Catalog'!$C$61,L749*'Assumptions and Catalog'!$H$61+'Assumptions and Catalog'!$E$61+'Assumptions and Catalog'!$F$61,IF(L749&lt;='Assumptions and Catalog'!$C$62,L749*'Assumptions and Catalog'!$H$62+'Assumptions and Catalog'!$E$62+'Assumptions and Catalog'!$F$62,IF(L749&lt;='Assumptions and Catalog'!$C$63,L749*'Assumptions and Catalog'!$H$63+'Assumptions and Catalog'!$E$63+'Assumptions and Catalog'!$F$63,IF(L749&lt;='Assumptions and Catalog'!$C$64,L749*'Assumptions and Catalog'!$H$64+'Assumptions and Catalog'!$E$64+'Assumptions and Catalog'!$F$64,IF(L749&lt;='Assumptions and Catalog'!$C$65,L749*'Assumptions and Catalog'!$H$65+'Assumptions and Catalog'!$E$65+'Assumptions and Catalog'!$F$65,"Out of range")))))))))*(1+'Assumptions and Catalog'!$C$8)^(A749-1),0)</f>
        <v>2685.58783963368</v>
      </c>
      <c r="O749" s="5" t="n">
        <f>M749-N749</f>
        <v>4409.20616036632</v>
      </c>
      <c r="P749" s="5" t="n">
        <f>E$55*(1-L$14)*(1-'Assumptions and Catalog'!$C$23)^R749</f>
        <v>8.88960546044641</v>
      </c>
      <c r="Q749" s="5" t="n">
        <f>IF(ISNUMBER(Inputs!$L$5),(IF(Inputs!$L$9="Actual flat rate",((D749+E749)*C749-G749)*Inputs!$L$10,IF(Inputs!$C$9="Residential",IF(((D749+E749)*C749-G749)&lt;='Assumptions and Catalog'!$C$50,((D749+E749)*C749-G749)*'Assumptions and Catalog'!$H$50+'Assumptions and Catalog'!$E$50+'Assumptions and Catalog'!$F$50,IF(((D749+E749)*C749-G749)&lt;='Assumptions and Catalog'!$C$51,((D749+E749)*C749-G749)*'Assumptions and Catalog'!$H$51+'Assumptions and Catalog'!$E$51+'Assumptions and Catalog'!$F$51,IF(((D749+E749)*C749-G749)&lt;='Assumptions and Catalog'!$C$52,((D749+E749)*C749-G749)*'Assumptions and Catalog'!$H$52+'Assumptions and Catalog'!$E$52+'Assumptions and Catalog'!$F$52,IF(((D749+E749)*C749-G749)&lt;='Assumptions and Catalog'!$C$53,((D749+E749)*C749-G749)*'Assumptions and Catalog'!$H$53+'Assumptions and Catalog'!$E$53+'Assumptions and Catalog'!$F$53,IF(((D749+E749)*C749-G749)&lt;='Assumptions and Catalog'!$C$54,((D749+E749)*C749-G749)*'Assumptions and Catalog'!$H$54+'Assumptions and Catalog'!$E$54+'Assumptions and Catalog'!$F$54,IF(((D749+E749)*C749-G749)&lt;='Assumptions and Catalog'!$C$55,((D749+E749)*C749-G749)*'Assumptions and Catalog'!$H$55+'Assumptions and Catalog'!$E$55+'Assumptions and Catalog'!$F$55,IF(((D749+E749)*C749-G749)&lt;='Assumptions and Catalog'!$C$56,((D749+E749)*C749-G749)*'Assumptions and Catalog'!$H$56+'Assumptions and Catalog'!$E$56+'Assumptions and Catalog'!$F$56,IF(((D749+E749)*C749-G749)&lt;='Assumptions and Catalog'!$C$57,((D749+E749)*C749-G749)*'Assumptions and Catalog'!$H$57+'Assumptions and Catalog'!$E$57+'Assumptions and Catalog'!$F$57,"Out of range")))))))),IF(((D749+E749)*C749-G749)&lt;='Assumptions and Catalog'!$C$60,((D749+E749)*C749-G749)*'Assumptions and Catalog'!$H$60+'Assumptions and Catalog'!$E$60+'Assumptions and Catalog'!$F$60,IF(((D749+E749)*C749-G749)&lt;='Assumptions and Catalog'!$C$61,((D749+E749)*C749-G749)*'Assumptions and Catalog'!$H$61+'Assumptions and Catalog'!$E$61+'Assumptions and Catalog'!$F$61,IF(((D749+E749)*C749-G749)&lt;='Assumptions and Catalog'!$C$62,((D749+E749)*C749-G749)*'Assumptions and Catalog'!$H$62+'Assumptions and Catalog'!$E$62+'Assumptions and Catalog'!$F$62,IF(((D749+E749)*C749-G749)&lt;='Assumptions and Catalog'!$C$63,((D749+E749)*C749-G749)*'Assumptions and Catalog'!$H$63+'Assumptions and Catalog'!$E$63+'Assumptions and Catalog'!$F$63,IF(((D749+E749)*C749-G749)&lt;='Assumptions and Catalog'!$C$64,((D749+E749)*C749-G749)*'Assumptions and Catalog'!$H$64+'Assumptions and Catalog'!$E$64+'Assumptions and Catalog'!$F$64,IF(((D749+E749)*C749-G749)&lt;='Assumptions and Catalog'!$C$65,((D749+E749)*C749-G749)*'Assumptions and Catalog'!$H$65+'Assumptions and Catalog'!$E$65+'Assumptions and Catalog'!$F$65,"Out of range")))))))))*(1+'Assumptions and Catalog'!$C$8)^(A749-1),0)</f>
        <v>3567.397</v>
      </c>
      <c r="R749" s="5" t="n">
        <f>IF(AND('Assumptions and Catalog'!$C$19&gt;0,A749&gt;='Assumptions and Catalog'!$C$19),A749-'Assumptions and Catalog'!$C$19,A749-1)</f>
        <v>7</v>
      </c>
      <c r="S749" s="5" t="n">
        <f>F749+L749-(D749+E749)*C749-J749-K749-IF(E$52&gt;0,'Assumptions and Catalog'!$C$26*C749,0)</f>
        <v>-2.27373675443232E-013</v>
      </c>
      <c r="T749" s="5"/>
      <c r="U749" s="5"/>
    </row>
    <row r="750" ht="23.100000381469727" customHeight="1">
      <c r="A750" s="5" t="n">
        <v>8</v>
      </c>
      <c r="B750" s="5" t="n">
        <v>6</v>
      </c>
      <c r="C750" s="5" t="n">
        <f>DAY(DATE('Assumptions and Catalog'!$C$24+A750-1,B750+1,0))</f>
        <v>30</v>
      </c>
      <c r="D750" s="5" t="n">
        <f>IF(ISNUMBER(Inputs!$L$5),Inputs!$L$5*Inputs!$L$6,0)</f>
        <v>40.35</v>
      </c>
      <c r="E750" s="5" t="n">
        <f>IF(ISNUMBER(Inputs!$L$5),Inputs!$L$5-D750,0)</f>
        <v>40.35</v>
      </c>
      <c r="F750" s="5" t="n">
        <f>E$51*INDEX('Solar Production'!$D$20:$D$31,B750)*C750*(1-'Assumptions and Catalog'!$C$10)^(A750-1)</f>
        <v>1684.65973496612</v>
      </c>
      <c r="G750" s="5" t="n">
        <f>MIN(F750,D750*C750)</f>
        <v>1210.5</v>
      </c>
      <c r="H750" s="5" t="n">
        <f>I750/('Assumptions and Catalog'!$C$11*'Assumptions and Catalog'!$C$12)</f>
        <v>273.52632185989</v>
      </c>
      <c r="I750" s="5" t="n">
        <f>MIN(E750*C750,P750*'Assumptions and Catalog'!$C$12*C750,(F750-G750)*'Assumptions and Catalog'!$C$11*'Assumptions and Catalog'!$C$12,E$56*'Assumptions and Catalog'!$C$14*'Assumptions and Catalog'!$C$11*'Assumptions and Catalog'!$C$12*C750,E$57*(24-'Assumptions and Catalog'!$C$13)*C750)</f>
        <v>260.020959718058</v>
      </c>
      <c r="J750" s="5" t="n">
        <f>MAX(F750-G750-H750,0)</f>
        <v>200.633413106235</v>
      </c>
      <c r="K750" s="5" t="n">
        <f>H750-I750</f>
        <v>13.5053621418321</v>
      </c>
      <c r="L750" s="5" t="n">
        <f>(D750+E750)*C750-G750-I750+0+IF(E$52&gt;0,'Assumptions and Catalog'!$C$26*C750,0)</f>
        <v>950.479040281942</v>
      </c>
      <c r="M750" s="5" t="n">
        <f>IF(ISNUMBER(Inputs!$L$5),(IF(Inputs!$L$9="Actual flat rate",((D750+E750)*C750)*Inputs!$L$10,IF(Inputs!$C$9="Residential",IF(((D750+E750)*C750)&lt;='Assumptions and Catalog'!$C$50,((D750+E750)*C750)*'Assumptions and Catalog'!$H$50+'Assumptions and Catalog'!$E$50+'Assumptions and Catalog'!$F$50,IF(((D750+E750)*C750)&lt;='Assumptions and Catalog'!$C$51,((D750+E750)*C750)*'Assumptions and Catalog'!$H$51+'Assumptions and Catalog'!$E$51+'Assumptions and Catalog'!$F$51,IF(((D750+E750)*C750)&lt;='Assumptions and Catalog'!$C$52,((D750+E750)*C750)*'Assumptions and Catalog'!$H$52+'Assumptions and Catalog'!$E$52+'Assumptions and Catalog'!$F$52,IF(((D750+E750)*C750)&lt;='Assumptions and Catalog'!$C$53,((D750+E750)*C750)*'Assumptions and Catalog'!$H$53+'Assumptions and Catalog'!$E$53+'Assumptions and Catalog'!$F$53,IF(((D750+E750)*C750)&lt;='Assumptions and Catalog'!$C$54,((D750+E750)*C750)*'Assumptions and Catalog'!$H$54+'Assumptions and Catalog'!$E$54+'Assumptions and Catalog'!$F$54,IF(((D750+E750)*C750)&lt;='Assumptions and Catalog'!$C$55,((D750+E750)*C750)*'Assumptions and Catalog'!$H$55+'Assumptions and Catalog'!$E$55+'Assumptions and Catalog'!$F$55,IF(((D750+E750)*C750)&lt;='Assumptions and Catalog'!$C$56,((D750+E750)*C750)*'Assumptions and Catalog'!$H$56+'Assumptions and Catalog'!$E$56+'Assumptions and Catalog'!$F$56,IF(((D750+E750)*C750)&lt;='Assumptions and Catalog'!$C$57,((D750+E750)*C750)*'Assumptions and Catalog'!$H$57+'Assumptions and Catalog'!$E$57+'Assumptions and Catalog'!$F$57,"Out of range")))))))),IF(((D750+E750)*C750)&lt;='Assumptions and Catalog'!$C$60,((D750+E750)*C750)*'Assumptions and Catalog'!$H$60+'Assumptions and Catalog'!$E$60+'Assumptions and Catalog'!$F$60,IF(((D750+E750)*C750)&lt;='Assumptions and Catalog'!$C$61,((D750+E750)*C750)*'Assumptions and Catalog'!$H$61+'Assumptions and Catalog'!$E$61+'Assumptions and Catalog'!$F$61,IF(((D750+E750)*C750)&lt;='Assumptions and Catalog'!$C$62,((D750+E750)*C750)*'Assumptions and Catalog'!$H$62+'Assumptions and Catalog'!$E$62+'Assumptions and Catalog'!$F$62,IF(((D750+E750)*C750)&lt;='Assumptions and Catalog'!$C$63,((D750+E750)*C750)*'Assumptions and Catalog'!$H$63+'Assumptions and Catalog'!$E$63+'Assumptions and Catalog'!$F$63,IF(((D750+E750)*C750)&lt;='Assumptions and Catalog'!$C$64,((D750+E750)*C750)*'Assumptions and Catalog'!$H$64+'Assumptions and Catalog'!$E$64+'Assumptions and Catalog'!$F$64,IF(((D750+E750)*C750)&lt;='Assumptions and Catalog'!$C$65,((D750+E750)*C750)*'Assumptions and Catalog'!$H$65+'Assumptions and Catalog'!$E$65+'Assumptions and Catalog'!$F$65,"Out of range")))))))))*(1+'Assumptions and Catalog'!$C$8)^(A750-1),0)</f>
        <v>6867.22</v>
      </c>
      <c r="N750" s="5" t="n">
        <f>IF(ISNUMBER(Inputs!$L$5),(IF(Inputs!$L$9="Actual flat rate",L750*Inputs!$L$10,IF(Inputs!$C$9="Residential",IF(L750&lt;='Assumptions and Catalog'!$C$50,L750*'Assumptions and Catalog'!$H$50+'Assumptions and Catalog'!$E$50+'Assumptions and Catalog'!$F$50,IF(L750&lt;='Assumptions and Catalog'!$C$51,L750*'Assumptions and Catalog'!$H$51+'Assumptions and Catalog'!$E$51+'Assumptions and Catalog'!$F$51,IF(L750&lt;='Assumptions and Catalog'!$C$52,L750*'Assumptions and Catalog'!$H$52+'Assumptions and Catalog'!$E$52+'Assumptions and Catalog'!$F$52,IF(L750&lt;='Assumptions and Catalog'!$C$53,L750*'Assumptions and Catalog'!$H$53+'Assumptions and Catalog'!$E$53+'Assumptions and Catalog'!$F$53,IF(L750&lt;='Assumptions and Catalog'!$C$54,L750*'Assumptions and Catalog'!$H$54+'Assumptions and Catalog'!$E$54+'Assumptions and Catalog'!$F$54,IF(L750&lt;='Assumptions and Catalog'!$C$55,L750*'Assumptions and Catalog'!$H$55+'Assumptions and Catalog'!$E$55+'Assumptions and Catalog'!$F$55,IF(L750&lt;='Assumptions and Catalog'!$C$56,L750*'Assumptions and Catalog'!$H$56+'Assumptions and Catalog'!$E$56+'Assumptions and Catalog'!$F$56,IF(L750&lt;='Assumptions and Catalog'!$C$57,L750*'Assumptions and Catalog'!$H$57+'Assumptions and Catalog'!$E$57+'Assumptions and Catalog'!$F$57,"Out of range")))))))),IF(L750&lt;='Assumptions and Catalog'!$C$60,L750*'Assumptions and Catalog'!$H$60+'Assumptions and Catalog'!$E$60+'Assumptions and Catalog'!$F$60,IF(L750&lt;='Assumptions and Catalog'!$C$61,L750*'Assumptions and Catalog'!$H$61+'Assumptions and Catalog'!$E$61+'Assumptions and Catalog'!$F$61,IF(L750&lt;='Assumptions and Catalog'!$C$62,L750*'Assumptions and Catalog'!$H$62+'Assumptions and Catalog'!$E$62+'Assumptions and Catalog'!$F$62,IF(L750&lt;='Assumptions and Catalog'!$C$63,L750*'Assumptions and Catalog'!$H$63+'Assumptions and Catalog'!$E$63+'Assumptions and Catalog'!$F$63,IF(L750&lt;='Assumptions and Catalog'!$C$64,L750*'Assumptions and Catalog'!$H$64+'Assumptions and Catalog'!$E$64+'Assumptions and Catalog'!$F$64,IF(L750&lt;='Assumptions and Catalog'!$C$65,L750*'Assumptions and Catalog'!$H$65+'Assumptions and Catalog'!$E$65+'Assumptions and Catalog'!$F$65,"Out of range")))))))))*(1+'Assumptions and Catalog'!$C$8)^(A750-1),0)</f>
        <v>2597.82694158098</v>
      </c>
      <c r="O750" s="5" t="n">
        <f>M750-N750</f>
        <v>4269.39305841902</v>
      </c>
      <c r="P750" s="5" t="n">
        <f>E$55*(1-L$14)*(1-'Assumptions and Catalog'!$C$23)^R750</f>
        <v>8.88960546044641</v>
      </c>
      <c r="Q750" s="5" t="n">
        <f>IF(ISNUMBER(Inputs!$L$5),(IF(Inputs!$L$9="Actual flat rate",((D750+E750)*C750-G750)*Inputs!$L$10,IF(Inputs!$C$9="Residential",IF(((D750+E750)*C750-G750)&lt;='Assumptions and Catalog'!$C$50,((D750+E750)*C750-G750)*'Assumptions and Catalog'!$H$50+'Assumptions and Catalog'!$E$50+'Assumptions and Catalog'!$F$50,IF(((D750+E750)*C750-G750)&lt;='Assumptions and Catalog'!$C$51,((D750+E750)*C750-G750)*'Assumptions and Catalog'!$H$51+'Assumptions and Catalog'!$E$51+'Assumptions and Catalog'!$F$51,IF(((D750+E750)*C750-G750)&lt;='Assumptions and Catalog'!$C$52,((D750+E750)*C750-G750)*'Assumptions and Catalog'!$H$52+'Assumptions and Catalog'!$E$52+'Assumptions and Catalog'!$F$52,IF(((D750+E750)*C750-G750)&lt;='Assumptions and Catalog'!$C$53,((D750+E750)*C750-G750)*'Assumptions and Catalog'!$H$53+'Assumptions and Catalog'!$E$53+'Assumptions and Catalog'!$F$53,IF(((D750+E750)*C750-G750)&lt;='Assumptions and Catalog'!$C$54,((D750+E750)*C750-G750)*'Assumptions and Catalog'!$H$54+'Assumptions and Catalog'!$E$54+'Assumptions and Catalog'!$F$54,IF(((D750+E750)*C750-G750)&lt;='Assumptions and Catalog'!$C$55,((D750+E750)*C750-G750)*'Assumptions and Catalog'!$H$55+'Assumptions and Catalog'!$E$55+'Assumptions and Catalog'!$F$55,IF(((D750+E750)*C750-G750)&lt;='Assumptions and Catalog'!$C$56,((D750+E750)*C750-G750)*'Assumptions and Catalog'!$H$56+'Assumptions and Catalog'!$E$56+'Assumptions and Catalog'!$F$56,IF(((D750+E750)*C750-G750)&lt;='Assumptions and Catalog'!$C$57,((D750+E750)*C750-G750)*'Assumptions and Catalog'!$H$57+'Assumptions and Catalog'!$E$57+'Assumptions and Catalog'!$F$57,"Out of range")))))))),IF(((D750+E750)*C750-G750)&lt;='Assumptions and Catalog'!$C$60,((D750+E750)*C750-G750)*'Assumptions and Catalog'!$H$60+'Assumptions and Catalog'!$E$60+'Assumptions and Catalog'!$F$60,IF(((D750+E750)*C750-G750)&lt;='Assumptions and Catalog'!$C$61,((D750+E750)*C750-G750)*'Assumptions and Catalog'!$H$61+'Assumptions and Catalog'!$E$61+'Assumptions and Catalog'!$F$61,IF(((D750+E750)*C750-G750)&lt;='Assumptions and Catalog'!$C$62,((D750+E750)*C750-G750)*'Assumptions and Catalog'!$H$62+'Assumptions and Catalog'!$E$62+'Assumptions and Catalog'!$F$62,IF(((D750+E750)*C750-G750)&lt;='Assumptions and Catalog'!$C$63,((D750+E750)*C750-G750)*'Assumptions and Catalog'!$H$63+'Assumptions and Catalog'!$E$63+'Assumptions and Catalog'!$F$63,IF(((D750+E750)*C750-G750)&lt;='Assumptions and Catalog'!$C$64,((D750+E750)*C750-G750)*'Assumptions and Catalog'!$H$64+'Assumptions and Catalog'!$E$64+'Assumptions and Catalog'!$F$64,IF(((D750+E750)*C750-G750)&lt;='Assumptions and Catalog'!$C$65,((D750+E750)*C750-G750)*'Assumptions and Catalog'!$H$65+'Assumptions and Catalog'!$E$65+'Assumptions and Catalog'!$F$65,"Out of range")))))))))*(1+'Assumptions and Catalog'!$C$8)^(A750-1),0)</f>
        <v>3453.61</v>
      </c>
      <c r="R750" s="5" t="n">
        <f>IF(AND('Assumptions and Catalog'!$C$19&gt;0,A750&gt;='Assumptions and Catalog'!$C$19),A750-'Assumptions and Catalog'!$C$19,A750-1)</f>
        <v>7</v>
      </c>
      <c r="S750" s="5" t="n">
        <f>F750+L750-(D750+E750)*C750-J750-K750-IF(E$52&gt;0,'Assumptions and Catalog'!$C$26*C750,0)</f>
        <v>-5.6843418860808E-014</v>
      </c>
      <c r="T750" s="5"/>
      <c r="U750" s="5"/>
    </row>
    <row r="751" ht="23.100000381469727" customHeight="1">
      <c r="A751" s="5" t="n">
        <v>8</v>
      </c>
      <c r="B751" s="5" t="n">
        <v>7</v>
      </c>
      <c r="C751" s="5" t="n">
        <f>DAY(DATE('Assumptions and Catalog'!$C$24+A751-1,B751+1,0))</f>
        <v>31</v>
      </c>
      <c r="D751" s="5" t="n">
        <f>IF(ISNUMBER(Inputs!$L$5),Inputs!$L$5*Inputs!$L$6,0)</f>
        <v>40.35</v>
      </c>
      <c r="E751" s="5" t="n">
        <f>IF(ISNUMBER(Inputs!$L$5),Inputs!$L$5-D751,0)</f>
        <v>40.35</v>
      </c>
      <c r="F751" s="5" t="n">
        <f>E$51*INDEX('Solar Production'!$D$20:$D$31,B751)*C751*(1-'Assumptions and Catalog'!$C$10)^(A751-1)</f>
        <v>1748.80892674015</v>
      </c>
      <c r="G751" s="5" t="n">
        <f>MIN(F751,D751*C751)</f>
        <v>1250.85</v>
      </c>
      <c r="H751" s="5" t="n">
        <f>I751/('Assumptions and Catalog'!$C$11*'Assumptions and Catalog'!$C$12)</f>
        <v>282.643865921886</v>
      </c>
      <c r="I751" s="5" t="n">
        <f>MIN(E751*C751,P751*'Assumptions and Catalog'!$C$12*C751,(F751-G751)*'Assumptions and Catalog'!$C$11*'Assumptions and Catalog'!$C$12,E$56*'Assumptions and Catalog'!$C$14*'Assumptions and Catalog'!$C$11*'Assumptions and Catalog'!$C$12*C751,E$57*(24-'Assumptions and Catalog'!$C$13)*C751)</f>
        <v>268.688325041993</v>
      </c>
      <c r="J751" s="5" t="n">
        <f>MAX(F751-G751-H751,0)</f>
        <v>215.31506081826</v>
      </c>
      <c r="K751" s="5" t="n">
        <f>H751-I751</f>
        <v>13.9555408798931</v>
      </c>
      <c r="L751" s="5" t="n">
        <f>(D751+E751)*C751-G751-I751+0+IF(E$52&gt;0,'Assumptions and Catalog'!$C$26*C751,0)</f>
        <v>982.161674958007</v>
      </c>
      <c r="M751" s="5" t="n">
        <f>IF(ISNUMBER(Inputs!$L$5),(IF(Inputs!$L$9="Actual flat rate",((D751+E751)*C751)*Inputs!$L$10,IF(Inputs!$C$9="Residential",IF(((D751+E751)*C751)&lt;='Assumptions and Catalog'!$C$50,((D751+E751)*C751)*'Assumptions and Catalog'!$H$50+'Assumptions and Catalog'!$E$50+'Assumptions and Catalog'!$F$50,IF(((D751+E751)*C751)&lt;='Assumptions and Catalog'!$C$51,((D751+E751)*C751)*'Assumptions and Catalog'!$H$51+'Assumptions and Catalog'!$E$51+'Assumptions and Catalog'!$F$51,IF(((D751+E751)*C751)&lt;='Assumptions and Catalog'!$C$52,((D751+E751)*C751)*'Assumptions and Catalog'!$H$52+'Assumptions and Catalog'!$E$52+'Assumptions and Catalog'!$F$52,IF(((D751+E751)*C751)&lt;='Assumptions and Catalog'!$C$53,((D751+E751)*C751)*'Assumptions and Catalog'!$H$53+'Assumptions and Catalog'!$E$53+'Assumptions and Catalog'!$F$53,IF(((D751+E751)*C751)&lt;='Assumptions and Catalog'!$C$54,((D751+E751)*C751)*'Assumptions and Catalog'!$H$54+'Assumptions and Catalog'!$E$54+'Assumptions and Catalog'!$F$54,IF(((D751+E751)*C751)&lt;='Assumptions and Catalog'!$C$55,((D751+E751)*C751)*'Assumptions and Catalog'!$H$55+'Assumptions and Catalog'!$E$55+'Assumptions and Catalog'!$F$55,IF(((D751+E751)*C751)&lt;='Assumptions and Catalog'!$C$56,((D751+E751)*C751)*'Assumptions and Catalog'!$H$56+'Assumptions and Catalog'!$E$56+'Assumptions and Catalog'!$F$56,IF(((D751+E751)*C751)&lt;='Assumptions and Catalog'!$C$57,((D751+E751)*C751)*'Assumptions and Catalog'!$H$57+'Assumptions and Catalog'!$E$57+'Assumptions and Catalog'!$F$57,"Out of range")))))))),IF(((D751+E751)*C751)&lt;='Assumptions and Catalog'!$C$60,((D751+E751)*C751)*'Assumptions and Catalog'!$H$60+'Assumptions and Catalog'!$E$60+'Assumptions and Catalog'!$F$60,IF(((D751+E751)*C751)&lt;='Assumptions and Catalog'!$C$61,((D751+E751)*C751)*'Assumptions and Catalog'!$H$61+'Assumptions and Catalog'!$E$61+'Assumptions and Catalog'!$F$61,IF(((D751+E751)*C751)&lt;='Assumptions and Catalog'!$C$62,((D751+E751)*C751)*'Assumptions and Catalog'!$H$62+'Assumptions and Catalog'!$E$62+'Assumptions and Catalog'!$F$62,IF(((D751+E751)*C751)&lt;='Assumptions and Catalog'!$C$63,((D751+E751)*C751)*'Assumptions and Catalog'!$H$63+'Assumptions and Catalog'!$E$63+'Assumptions and Catalog'!$F$63,IF(((D751+E751)*C751)&lt;='Assumptions and Catalog'!$C$64,((D751+E751)*C751)*'Assumptions and Catalog'!$H$64+'Assumptions and Catalog'!$E$64+'Assumptions and Catalog'!$F$64,IF(((D751+E751)*C751)&lt;='Assumptions and Catalog'!$C$65,((D751+E751)*C751)*'Assumptions and Catalog'!$H$65+'Assumptions and Catalog'!$E$65+'Assumptions and Catalog'!$F$65,"Out of range")))))))))*(1+'Assumptions and Catalog'!$C$8)^(A751-1),0)</f>
        <v>7094.794</v>
      </c>
      <c r="N751" s="5" t="n">
        <f>IF(ISNUMBER(Inputs!$L$5),(IF(Inputs!$L$9="Actual flat rate",L751*Inputs!$L$10,IF(Inputs!$C$9="Residential",IF(L751&lt;='Assumptions and Catalog'!$C$50,L751*'Assumptions and Catalog'!$H$50+'Assumptions and Catalog'!$E$50+'Assumptions and Catalog'!$F$50,IF(L751&lt;='Assumptions and Catalog'!$C$51,L751*'Assumptions and Catalog'!$H$51+'Assumptions and Catalog'!$E$51+'Assumptions and Catalog'!$F$51,IF(L751&lt;='Assumptions and Catalog'!$C$52,L751*'Assumptions and Catalog'!$H$52+'Assumptions and Catalog'!$E$52+'Assumptions and Catalog'!$F$52,IF(L751&lt;='Assumptions and Catalog'!$C$53,L751*'Assumptions and Catalog'!$H$53+'Assumptions and Catalog'!$E$53+'Assumptions and Catalog'!$F$53,IF(L751&lt;='Assumptions and Catalog'!$C$54,L751*'Assumptions and Catalog'!$H$54+'Assumptions and Catalog'!$E$54+'Assumptions and Catalog'!$F$54,IF(L751&lt;='Assumptions and Catalog'!$C$55,L751*'Assumptions and Catalog'!$H$55+'Assumptions and Catalog'!$E$55+'Assumptions and Catalog'!$F$55,IF(L751&lt;='Assumptions and Catalog'!$C$56,L751*'Assumptions and Catalog'!$H$56+'Assumptions and Catalog'!$E$56+'Assumptions and Catalog'!$F$56,IF(L751&lt;='Assumptions and Catalog'!$C$57,L751*'Assumptions and Catalog'!$H$57+'Assumptions and Catalog'!$E$57+'Assumptions and Catalog'!$F$57,"Out of range")))))))),IF(L751&lt;='Assumptions and Catalog'!$C$60,L751*'Assumptions and Catalog'!$H$60+'Assumptions and Catalog'!$E$60+'Assumptions and Catalog'!$F$60,IF(L751&lt;='Assumptions and Catalog'!$C$61,L751*'Assumptions and Catalog'!$H$61+'Assumptions and Catalog'!$E$61+'Assumptions and Catalog'!$F$61,IF(L751&lt;='Assumptions and Catalog'!$C$62,L751*'Assumptions and Catalog'!$H$62+'Assumptions and Catalog'!$E$62+'Assumptions and Catalog'!$F$62,IF(L751&lt;='Assumptions and Catalog'!$C$63,L751*'Assumptions and Catalog'!$H$63+'Assumptions and Catalog'!$E$63+'Assumptions and Catalog'!$F$63,IF(L751&lt;='Assumptions and Catalog'!$C$64,L751*'Assumptions and Catalog'!$H$64+'Assumptions and Catalog'!$E$64+'Assumptions and Catalog'!$F$64,IF(L751&lt;='Assumptions and Catalog'!$C$65,L751*'Assumptions and Catalog'!$H$65+'Assumptions and Catalog'!$E$65+'Assumptions and Catalog'!$F$65,"Out of range")))))))))*(1+'Assumptions and Catalog'!$C$8)^(A751-1),0)</f>
        <v>2685.58783963368</v>
      </c>
      <c r="O751" s="5" t="n">
        <f>M751-N751</f>
        <v>4409.20616036632</v>
      </c>
      <c r="P751" s="5" t="n">
        <f>E$55*(1-L$14)*(1-'Assumptions and Catalog'!$C$23)^R751</f>
        <v>8.88960546044641</v>
      </c>
      <c r="Q751" s="5" t="n">
        <f>IF(ISNUMBER(Inputs!$L$5),(IF(Inputs!$L$9="Actual flat rate",((D751+E751)*C751-G751)*Inputs!$L$10,IF(Inputs!$C$9="Residential",IF(((D751+E751)*C751-G751)&lt;='Assumptions and Catalog'!$C$50,((D751+E751)*C751-G751)*'Assumptions and Catalog'!$H$50+'Assumptions and Catalog'!$E$50+'Assumptions and Catalog'!$F$50,IF(((D751+E751)*C751-G751)&lt;='Assumptions and Catalog'!$C$51,((D751+E751)*C751-G751)*'Assumptions and Catalog'!$H$51+'Assumptions and Catalog'!$E$51+'Assumptions and Catalog'!$F$51,IF(((D751+E751)*C751-G751)&lt;='Assumptions and Catalog'!$C$52,((D751+E751)*C751-G751)*'Assumptions and Catalog'!$H$52+'Assumptions and Catalog'!$E$52+'Assumptions and Catalog'!$F$52,IF(((D751+E751)*C751-G751)&lt;='Assumptions and Catalog'!$C$53,((D751+E751)*C751-G751)*'Assumptions and Catalog'!$H$53+'Assumptions and Catalog'!$E$53+'Assumptions and Catalog'!$F$53,IF(((D751+E751)*C751-G751)&lt;='Assumptions and Catalog'!$C$54,((D751+E751)*C751-G751)*'Assumptions and Catalog'!$H$54+'Assumptions and Catalog'!$E$54+'Assumptions and Catalog'!$F$54,IF(((D751+E751)*C751-G751)&lt;='Assumptions and Catalog'!$C$55,((D751+E751)*C751-G751)*'Assumptions and Catalog'!$H$55+'Assumptions and Catalog'!$E$55+'Assumptions and Catalog'!$F$55,IF(((D751+E751)*C751-G751)&lt;='Assumptions and Catalog'!$C$56,((D751+E751)*C751-G751)*'Assumptions and Catalog'!$H$56+'Assumptions and Catalog'!$E$56+'Assumptions and Catalog'!$F$56,IF(((D751+E751)*C751-G751)&lt;='Assumptions and Catalog'!$C$57,((D751+E751)*C751-G751)*'Assumptions and Catalog'!$H$57+'Assumptions and Catalog'!$E$57+'Assumptions and Catalog'!$F$57,"Out of range")))))))),IF(((D751+E751)*C751-G751)&lt;='Assumptions and Catalog'!$C$60,((D751+E751)*C751-G751)*'Assumptions and Catalog'!$H$60+'Assumptions and Catalog'!$E$60+'Assumptions and Catalog'!$F$60,IF(((D751+E751)*C751-G751)&lt;='Assumptions and Catalog'!$C$61,((D751+E751)*C751-G751)*'Assumptions and Catalog'!$H$61+'Assumptions and Catalog'!$E$61+'Assumptions and Catalog'!$F$61,IF(((D751+E751)*C751-G751)&lt;='Assumptions and Catalog'!$C$62,((D751+E751)*C751-G751)*'Assumptions and Catalog'!$H$62+'Assumptions and Catalog'!$E$62+'Assumptions and Catalog'!$F$62,IF(((D751+E751)*C751-G751)&lt;='Assumptions and Catalog'!$C$63,((D751+E751)*C751-G751)*'Assumptions and Catalog'!$H$63+'Assumptions and Catalog'!$E$63+'Assumptions and Catalog'!$F$63,IF(((D751+E751)*C751-G751)&lt;='Assumptions and Catalog'!$C$64,((D751+E751)*C751-G751)*'Assumptions and Catalog'!$H$64+'Assumptions and Catalog'!$E$64+'Assumptions and Catalog'!$F$64,IF(((D751+E751)*C751-G751)&lt;='Assumptions and Catalog'!$C$65,((D751+E751)*C751-G751)*'Assumptions and Catalog'!$H$65+'Assumptions and Catalog'!$E$65+'Assumptions and Catalog'!$F$65,"Out of range")))))))))*(1+'Assumptions and Catalog'!$C$8)^(A751-1),0)</f>
        <v>3567.397</v>
      </c>
      <c r="R751" s="5" t="n">
        <f>IF(AND('Assumptions and Catalog'!$C$19&gt;0,A751&gt;='Assumptions and Catalog'!$C$19),A751-'Assumptions and Catalog'!$C$19,A751-1)</f>
        <v>7</v>
      </c>
      <c r="S751" s="5" t="n">
        <f>F751+L751-(D751+E751)*C751-J751-K751-IF(E$52&gt;0,'Assumptions and Catalog'!$C$26*C751,0)</f>
        <v>-2.27373675443232E-013</v>
      </c>
      <c r="T751" s="5"/>
      <c r="U751" s="5"/>
    </row>
    <row r="752" ht="23.100000381469727" customHeight="1">
      <c r="A752" s="5" t="n">
        <v>8</v>
      </c>
      <c r="B752" s="5" t="n">
        <v>8</v>
      </c>
      <c r="C752" s="5" t="n">
        <f>DAY(DATE('Assumptions and Catalog'!$C$24+A752-1,B752+1,0))</f>
        <v>31</v>
      </c>
      <c r="D752" s="5" t="n">
        <f>IF(ISNUMBER(Inputs!$L$5),Inputs!$L$5*Inputs!$L$6,0)</f>
        <v>40.35</v>
      </c>
      <c r="E752" s="5" t="n">
        <f>IF(ISNUMBER(Inputs!$L$5),Inputs!$L$5-D752,0)</f>
        <v>40.35</v>
      </c>
      <c r="F752" s="5" t="n">
        <f>E$51*INDEX('Solar Production'!$D$20:$D$31,B752)*C752*(1-'Assumptions and Catalog'!$C$10)^(A752-1)</f>
        <v>1771.53728276604</v>
      </c>
      <c r="G752" s="5" t="n">
        <f>MIN(F752,D752*C752)</f>
        <v>1250.85</v>
      </c>
      <c r="H752" s="5" t="n">
        <f>I752/('Assumptions and Catalog'!$C$11*'Assumptions and Catalog'!$C$12)</f>
        <v>282.643865921886</v>
      </c>
      <c r="I752" s="5" t="n">
        <f>MIN(E752*C752,P752*'Assumptions and Catalog'!$C$12*C752,(F752-G752)*'Assumptions and Catalog'!$C$11*'Assumptions and Catalog'!$C$12,E$56*'Assumptions and Catalog'!$C$14*'Assumptions and Catalog'!$C$11*'Assumptions and Catalog'!$C$12*C752,E$57*(24-'Assumptions and Catalog'!$C$13)*C752)</f>
        <v>268.688325041993</v>
      </c>
      <c r="J752" s="5" t="n">
        <f>MAX(F752-G752-H752,0)</f>
        <v>238.043416844156</v>
      </c>
      <c r="K752" s="5" t="n">
        <f>H752-I752</f>
        <v>13.9555408798931</v>
      </c>
      <c r="L752" s="5" t="n">
        <f>(D752+E752)*C752-G752-I752+0+IF(E$52&gt;0,'Assumptions and Catalog'!$C$26*C752,0)</f>
        <v>982.161674958007</v>
      </c>
      <c r="M752" s="5" t="n">
        <f>IF(ISNUMBER(Inputs!$L$5),(IF(Inputs!$L$9="Actual flat rate",((D752+E752)*C752)*Inputs!$L$10,IF(Inputs!$C$9="Residential",IF(((D752+E752)*C752)&lt;='Assumptions and Catalog'!$C$50,((D752+E752)*C752)*'Assumptions and Catalog'!$H$50+'Assumptions and Catalog'!$E$50+'Assumptions and Catalog'!$F$50,IF(((D752+E752)*C752)&lt;='Assumptions and Catalog'!$C$51,((D752+E752)*C752)*'Assumptions and Catalog'!$H$51+'Assumptions and Catalog'!$E$51+'Assumptions and Catalog'!$F$51,IF(((D752+E752)*C752)&lt;='Assumptions and Catalog'!$C$52,((D752+E752)*C752)*'Assumptions and Catalog'!$H$52+'Assumptions and Catalog'!$E$52+'Assumptions and Catalog'!$F$52,IF(((D752+E752)*C752)&lt;='Assumptions and Catalog'!$C$53,((D752+E752)*C752)*'Assumptions and Catalog'!$H$53+'Assumptions and Catalog'!$E$53+'Assumptions and Catalog'!$F$53,IF(((D752+E752)*C752)&lt;='Assumptions and Catalog'!$C$54,((D752+E752)*C752)*'Assumptions and Catalog'!$H$54+'Assumptions and Catalog'!$E$54+'Assumptions and Catalog'!$F$54,IF(((D752+E752)*C752)&lt;='Assumptions and Catalog'!$C$55,((D752+E752)*C752)*'Assumptions and Catalog'!$H$55+'Assumptions and Catalog'!$E$55+'Assumptions and Catalog'!$F$55,IF(((D752+E752)*C752)&lt;='Assumptions and Catalog'!$C$56,((D752+E752)*C752)*'Assumptions and Catalog'!$H$56+'Assumptions and Catalog'!$E$56+'Assumptions and Catalog'!$F$56,IF(((D752+E752)*C752)&lt;='Assumptions and Catalog'!$C$57,((D752+E752)*C752)*'Assumptions and Catalog'!$H$57+'Assumptions and Catalog'!$E$57+'Assumptions and Catalog'!$F$57,"Out of range")))))))),IF(((D752+E752)*C752)&lt;='Assumptions and Catalog'!$C$60,((D752+E752)*C752)*'Assumptions and Catalog'!$H$60+'Assumptions and Catalog'!$E$60+'Assumptions and Catalog'!$F$60,IF(((D752+E752)*C752)&lt;='Assumptions and Catalog'!$C$61,((D752+E752)*C752)*'Assumptions and Catalog'!$H$61+'Assumptions and Catalog'!$E$61+'Assumptions and Catalog'!$F$61,IF(((D752+E752)*C752)&lt;='Assumptions and Catalog'!$C$62,((D752+E752)*C752)*'Assumptions and Catalog'!$H$62+'Assumptions and Catalog'!$E$62+'Assumptions and Catalog'!$F$62,IF(((D752+E752)*C752)&lt;='Assumptions and Catalog'!$C$63,((D752+E752)*C752)*'Assumptions and Catalog'!$H$63+'Assumptions and Catalog'!$E$63+'Assumptions and Catalog'!$F$63,IF(((D752+E752)*C752)&lt;='Assumptions and Catalog'!$C$64,((D752+E752)*C752)*'Assumptions and Catalog'!$H$64+'Assumptions and Catalog'!$E$64+'Assumptions and Catalog'!$F$64,IF(((D752+E752)*C752)&lt;='Assumptions and Catalog'!$C$65,((D752+E752)*C752)*'Assumptions and Catalog'!$H$65+'Assumptions and Catalog'!$E$65+'Assumptions and Catalog'!$F$65,"Out of range")))))))))*(1+'Assumptions and Catalog'!$C$8)^(A752-1),0)</f>
        <v>7094.794</v>
      </c>
      <c r="N752" s="5" t="n">
        <f>IF(ISNUMBER(Inputs!$L$5),(IF(Inputs!$L$9="Actual flat rate",L752*Inputs!$L$10,IF(Inputs!$C$9="Residential",IF(L752&lt;='Assumptions and Catalog'!$C$50,L752*'Assumptions and Catalog'!$H$50+'Assumptions and Catalog'!$E$50+'Assumptions and Catalog'!$F$50,IF(L752&lt;='Assumptions and Catalog'!$C$51,L752*'Assumptions and Catalog'!$H$51+'Assumptions and Catalog'!$E$51+'Assumptions and Catalog'!$F$51,IF(L752&lt;='Assumptions and Catalog'!$C$52,L752*'Assumptions and Catalog'!$H$52+'Assumptions and Catalog'!$E$52+'Assumptions and Catalog'!$F$52,IF(L752&lt;='Assumptions and Catalog'!$C$53,L752*'Assumptions and Catalog'!$H$53+'Assumptions and Catalog'!$E$53+'Assumptions and Catalog'!$F$53,IF(L752&lt;='Assumptions and Catalog'!$C$54,L752*'Assumptions and Catalog'!$H$54+'Assumptions and Catalog'!$E$54+'Assumptions and Catalog'!$F$54,IF(L752&lt;='Assumptions and Catalog'!$C$55,L752*'Assumptions and Catalog'!$H$55+'Assumptions and Catalog'!$E$55+'Assumptions and Catalog'!$F$55,IF(L752&lt;='Assumptions and Catalog'!$C$56,L752*'Assumptions and Catalog'!$H$56+'Assumptions and Catalog'!$E$56+'Assumptions and Catalog'!$F$56,IF(L752&lt;='Assumptions and Catalog'!$C$57,L752*'Assumptions and Catalog'!$H$57+'Assumptions and Catalog'!$E$57+'Assumptions and Catalog'!$F$57,"Out of range")))))))),IF(L752&lt;='Assumptions and Catalog'!$C$60,L752*'Assumptions and Catalog'!$H$60+'Assumptions and Catalog'!$E$60+'Assumptions and Catalog'!$F$60,IF(L752&lt;='Assumptions and Catalog'!$C$61,L752*'Assumptions and Catalog'!$H$61+'Assumptions and Catalog'!$E$61+'Assumptions and Catalog'!$F$61,IF(L752&lt;='Assumptions and Catalog'!$C$62,L752*'Assumptions and Catalog'!$H$62+'Assumptions and Catalog'!$E$62+'Assumptions and Catalog'!$F$62,IF(L752&lt;='Assumptions and Catalog'!$C$63,L752*'Assumptions and Catalog'!$H$63+'Assumptions and Catalog'!$E$63+'Assumptions and Catalog'!$F$63,IF(L752&lt;='Assumptions and Catalog'!$C$64,L752*'Assumptions and Catalog'!$H$64+'Assumptions and Catalog'!$E$64+'Assumptions and Catalog'!$F$64,IF(L752&lt;='Assumptions and Catalog'!$C$65,L752*'Assumptions and Catalog'!$H$65+'Assumptions and Catalog'!$E$65+'Assumptions and Catalog'!$F$65,"Out of range")))))))))*(1+'Assumptions and Catalog'!$C$8)^(A752-1),0)</f>
        <v>2685.58783963368</v>
      </c>
      <c r="O752" s="5" t="n">
        <f>M752-N752</f>
        <v>4409.20616036632</v>
      </c>
      <c r="P752" s="5" t="n">
        <f>E$55*(1-L$14)*(1-'Assumptions and Catalog'!$C$23)^R752</f>
        <v>8.88960546044641</v>
      </c>
      <c r="Q752" s="5" t="n">
        <f>IF(ISNUMBER(Inputs!$L$5),(IF(Inputs!$L$9="Actual flat rate",((D752+E752)*C752-G752)*Inputs!$L$10,IF(Inputs!$C$9="Residential",IF(((D752+E752)*C752-G752)&lt;='Assumptions and Catalog'!$C$50,((D752+E752)*C752-G752)*'Assumptions and Catalog'!$H$50+'Assumptions and Catalog'!$E$50+'Assumptions and Catalog'!$F$50,IF(((D752+E752)*C752-G752)&lt;='Assumptions and Catalog'!$C$51,((D752+E752)*C752-G752)*'Assumptions and Catalog'!$H$51+'Assumptions and Catalog'!$E$51+'Assumptions and Catalog'!$F$51,IF(((D752+E752)*C752-G752)&lt;='Assumptions and Catalog'!$C$52,((D752+E752)*C752-G752)*'Assumptions and Catalog'!$H$52+'Assumptions and Catalog'!$E$52+'Assumptions and Catalog'!$F$52,IF(((D752+E752)*C752-G752)&lt;='Assumptions and Catalog'!$C$53,((D752+E752)*C752-G752)*'Assumptions and Catalog'!$H$53+'Assumptions and Catalog'!$E$53+'Assumptions and Catalog'!$F$53,IF(((D752+E752)*C752-G752)&lt;='Assumptions and Catalog'!$C$54,((D752+E752)*C752-G752)*'Assumptions and Catalog'!$H$54+'Assumptions and Catalog'!$E$54+'Assumptions and Catalog'!$F$54,IF(((D752+E752)*C752-G752)&lt;='Assumptions and Catalog'!$C$55,((D752+E752)*C752-G752)*'Assumptions and Catalog'!$H$55+'Assumptions and Catalog'!$E$55+'Assumptions and Catalog'!$F$55,IF(((D752+E752)*C752-G752)&lt;='Assumptions and Catalog'!$C$56,((D752+E752)*C752-G752)*'Assumptions and Catalog'!$H$56+'Assumptions and Catalog'!$E$56+'Assumptions and Catalog'!$F$56,IF(((D752+E752)*C752-G752)&lt;='Assumptions and Catalog'!$C$57,((D752+E752)*C752-G752)*'Assumptions and Catalog'!$H$57+'Assumptions and Catalog'!$E$57+'Assumptions and Catalog'!$F$57,"Out of range")))))))),IF(((D752+E752)*C752-G752)&lt;='Assumptions and Catalog'!$C$60,((D752+E752)*C752-G752)*'Assumptions and Catalog'!$H$60+'Assumptions and Catalog'!$E$60+'Assumptions and Catalog'!$F$60,IF(((D752+E752)*C752-G752)&lt;='Assumptions and Catalog'!$C$61,((D752+E752)*C752-G752)*'Assumptions and Catalog'!$H$61+'Assumptions and Catalog'!$E$61+'Assumptions and Catalog'!$F$61,IF(((D752+E752)*C752-G752)&lt;='Assumptions and Catalog'!$C$62,((D752+E752)*C752-G752)*'Assumptions and Catalog'!$H$62+'Assumptions and Catalog'!$E$62+'Assumptions and Catalog'!$F$62,IF(((D752+E752)*C752-G752)&lt;='Assumptions and Catalog'!$C$63,((D752+E752)*C752-G752)*'Assumptions and Catalog'!$H$63+'Assumptions and Catalog'!$E$63+'Assumptions and Catalog'!$F$63,IF(((D752+E752)*C752-G752)&lt;='Assumptions and Catalog'!$C$64,((D752+E752)*C752-G752)*'Assumptions and Catalog'!$H$64+'Assumptions and Catalog'!$E$64+'Assumptions and Catalog'!$F$64,IF(((D752+E752)*C752-G752)&lt;='Assumptions and Catalog'!$C$65,((D752+E752)*C752-G752)*'Assumptions and Catalog'!$H$65+'Assumptions and Catalog'!$E$65+'Assumptions and Catalog'!$F$65,"Out of range")))))))))*(1+'Assumptions and Catalog'!$C$8)^(A752-1),0)</f>
        <v>3567.397</v>
      </c>
      <c r="R752" s="5" t="n">
        <f>IF(AND('Assumptions and Catalog'!$C$19&gt;0,A752&gt;='Assumptions and Catalog'!$C$19),A752-'Assumptions and Catalog'!$C$19,A752-1)</f>
        <v>7</v>
      </c>
      <c r="S752" s="5" t="n">
        <f>F752+L752-(D752+E752)*C752-J752-K752-IF(E$52&gt;0,'Assumptions and Catalog'!$C$26*C752,0)</f>
        <v>2.27373675443232E-013</v>
      </c>
      <c r="T752" s="5"/>
      <c r="U752" s="5"/>
    </row>
    <row r="753" ht="23.100000381469727" customHeight="1">
      <c r="A753" s="5" t="n">
        <v>8</v>
      </c>
      <c r="B753" s="5" t="n">
        <v>9</v>
      </c>
      <c r="C753" s="5" t="n">
        <f>DAY(DATE('Assumptions and Catalog'!$C$24+A753-1,B753+1,0))</f>
        <v>30</v>
      </c>
      <c r="D753" s="5" t="n">
        <f>IF(ISNUMBER(Inputs!$L$5),Inputs!$L$5*Inputs!$L$6,0)</f>
        <v>40.35</v>
      </c>
      <c r="E753" s="5" t="n">
        <f>IF(ISNUMBER(Inputs!$L$5),Inputs!$L$5-D753,0)</f>
        <v>40.35</v>
      </c>
      <c r="F753" s="5" t="n">
        <f>E$51*INDEX('Solar Production'!$D$20:$D$31,B753)*C753*(1-'Assumptions and Catalog'!$C$10)^(A753-1)</f>
        <v>1709.9370654996</v>
      </c>
      <c r="G753" s="5" t="n">
        <f>MIN(F753,D753*C753)</f>
        <v>1210.5</v>
      </c>
      <c r="H753" s="5" t="n">
        <f>I753/('Assumptions and Catalog'!$C$11*'Assumptions and Catalog'!$C$12)</f>
        <v>273.52632185989</v>
      </c>
      <c r="I753" s="5" t="n">
        <f>MIN(E753*C753,P753*'Assumptions and Catalog'!$C$12*C753,(F753-G753)*'Assumptions and Catalog'!$C$11*'Assumptions and Catalog'!$C$12,E$56*'Assumptions and Catalog'!$C$14*'Assumptions and Catalog'!$C$11*'Assumptions and Catalog'!$C$12*C753,E$57*(24-'Assumptions and Catalog'!$C$13)*C753)</f>
        <v>260.020959718058</v>
      </c>
      <c r="J753" s="5" t="n">
        <f>MAX(F753-G753-H753,0)</f>
        <v>225.910743639707</v>
      </c>
      <c r="K753" s="5" t="n">
        <f>H753-I753</f>
        <v>13.5053621418321</v>
      </c>
      <c r="L753" s="5" t="n">
        <f>(D753+E753)*C753-G753-I753+0+IF(E$52&gt;0,'Assumptions and Catalog'!$C$26*C753,0)</f>
        <v>950.479040281942</v>
      </c>
      <c r="M753" s="5" t="n">
        <f>IF(ISNUMBER(Inputs!$L$5),(IF(Inputs!$L$9="Actual flat rate",((D753+E753)*C753)*Inputs!$L$10,IF(Inputs!$C$9="Residential",IF(((D753+E753)*C753)&lt;='Assumptions and Catalog'!$C$50,((D753+E753)*C753)*'Assumptions and Catalog'!$H$50+'Assumptions and Catalog'!$E$50+'Assumptions and Catalog'!$F$50,IF(((D753+E753)*C753)&lt;='Assumptions and Catalog'!$C$51,((D753+E753)*C753)*'Assumptions and Catalog'!$H$51+'Assumptions and Catalog'!$E$51+'Assumptions and Catalog'!$F$51,IF(((D753+E753)*C753)&lt;='Assumptions and Catalog'!$C$52,((D753+E753)*C753)*'Assumptions and Catalog'!$H$52+'Assumptions and Catalog'!$E$52+'Assumptions and Catalog'!$F$52,IF(((D753+E753)*C753)&lt;='Assumptions and Catalog'!$C$53,((D753+E753)*C753)*'Assumptions and Catalog'!$H$53+'Assumptions and Catalog'!$E$53+'Assumptions and Catalog'!$F$53,IF(((D753+E753)*C753)&lt;='Assumptions and Catalog'!$C$54,((D753+E753)*C753)*'Assumptions and Catalog'!$H$54+'Assumptions and Catalog'!$E$54+'Assumptions and Catalog'!$F$54,IF(((D753+E753)*C753)&lt;='Assumptions and Catalog'!$C$55,((D753+E753)*C753)*'Assumptions and Catalog'!$H$55+'Assumptions and Catalog'!$E$55+'Assumptions and Catalog'!$F$55,IF(((D753+E753)*C753)&lt;='Assumptions and Catalog'!$C$56,((D753+E753)*C753)*'Assumptions and Catalog'!$H$56+'Assumptions and Catalog'!$E$56+'Assumptions and Catalog'!$F$56,IF(((D753+E753)*C753)&lt;='Assumptions and Catalog'!$C$57,((D753+E753)*C753)*'Assumptions and Catalog'!$H$57+'Assumptions and Catalog'!$E$57+'Assumptions and Catalog'!$F$57,"Out of range")))))))),IF(((D753+E753)*C753)&lt;='Assumptions and Catalog'!$C$60,((D753+E753)*C753)*'Assumptions and Catalog'!$H$60+'Assumptions and Catalog'!$E$60+'Assumptions and Catalog'!$F$60,IF(((D753+E753)*C753)&lt;='Assumptions and Catalog'!$C$61,((D753+E753)*C753)*'Assumptions and Catalog'!$H$61+'Assumptions and Catalog'!$E$61+'Assumptions and Catalog'!$F$61,IF(((D753+E753)*C753)&lt;='Assumptions and Catalog'!$C$62,((D753+E753)*C753)*'Assumptions and Catalog'!$H$62+'Assumptions and Catalog'!$E$62+'Assumptions and Catalog'!$F$62,IF(((D753+E753)*C753)&lt;='Assumptions and Catalog'!$C$63,((D753+E753)*C753)*'Assumptions and Catalog'!$H$63+'Assumptions and Catalog'!$E$63+'Assumptions and Catalog'!$F$63,IF(((D753+E753)*C753)&lt;='Assumptions and Catalog'!$C$64,((D753+E753)*C753)*'Assumptions and Catalog'!$H$64+'Assumptions and Catalog'!$E$64+'Assumptions and Catalog'!$F$64,IF(((D753+E753)*C753)&lt;='Assumptions and Catalog'!$C$65,((D753+E753)*C753)*'Assumptions and Catalog'!$H$65+'Assumptions and Catalog'!$E$65+'Assumptions and Catalog'!$F$65,"Out of range")))))))))*(1+'Assumptions and Catalog'!$C$8)^(A753-1),0)</f>
        <v>6867.22</v>
      </c>
      <c r="N753" s="5" t="n">
        <f>IF(ISNUMBER(Inputs!$L$5),(IF(Inputs!$L$9="Actual flat rate",L753*Inputs!$L$10,IF(Inputs!$C$9="Residential",IF(L753&lt;='Assumptions and Catalog'!$C$50,L753*'Assumptions and Catalog'!$H$50+'Assumptions and Catalog'!$E$50+'Assumptions and Catalog'!$F$50,IF(L753&lt;='Assumptions and Catalog'!$C$51,L753*'Assumptions and Catalog'!$H$51+'Assumptions and Catalog'!$E$51+'Assumptions and Catalog'!$F$51,IF(L753&lt;='Assumptions and Catalog'!$C$52,L753*'Assumptions and Catalog'!$H$52+'Assumptions and Catalog'!$E$52+'Assumptions and Catalog'!$F$52,IF(L753&lt;='Assumptions and Catalog'!$C$53,L753*'Assumptions and Catalog'!$H$53+'Assumptions and Catalog'!$E$53+'Assumptions and Catalog'!$F$53,IF(L753&lt;='Assumptions and Catalog'!$C$54,L753*'Assumptions and Catalog'!$H$54+'Assumptions and Catalog'!$E$54+'Assumptions and Catalog'!$F$54,IF(L753&lt;='Assumptions and Catalog'!$C$55,L753*'Assumptions and Catalog'!$H$55+'Assumptions and Catalog'!$E$55+'Assumptions and Catalog'!$F$55,IF(L753&lt;='Assumptions and Catalog'!$C$56,L753*'Assumptions and Catalog'!$H$56+'Assumptions and Catalog'!$E$56+'Assumptions and Catalog'!$F$56,IF(L753&lt;='Assumptions and Catalog'!$C$57,L753*'Assumptions and Catalog'!$H$57+'Assumptions and Catalog'!$E$57+'Assumptions and Catalog'!$F$57,"Out of range")))))))),IF(L753&lt;='Assumptions and Catalog'!$C$60,L753*'Assumptions and Catalog'!$H$60+'Assumptions and Catalog'!$E$60+'Assumptions and Catalog'!$F$60,IF(L753&lt;='Assumptions and Catalog'!$C$61,L753*'Assumptions and Catalog'!$H$61+'Assumptions and Catalog'!$E$61+'Assumptions and Catalog'!$F$61,IF(L753&lt;='Assumptions and Catalog'!$C$62,L753*'Assumptions and Catalog'!$H$62+'Assumptions and Catalog'!$E$62+'Assumptions and Catalog'!$F$62,IF(L753&lt;='Assumptions and Catalog'!$C$63,L753*'Assumptions and Catalog'!$H$63+'Assumptions and Catalog'!$E$63+'Assumptions and Catalog'!$F$63,IF(L753&lt;='Assumptions and Catalog'!$C$64,L753*'Assumptions and Catalog'!$H$64+'Assumptions and Catalog'!$E$64+'Assumptions and Catalog'!$F$64,IF(L753&lt;='Assumptions and Catalog'!$C$65,L753*'Assumptions and Catalog'!$H$65+'Assumptions and Catalog'!$E$65+'Assumptions and Catalog'!$F$65,"Out of range")))))))))*(1+'Assumptions and Catalog'!$C$8)^(A753-1),0)</f>
        <v>2597.82694158098</v>
      </c>
      <c r="O753" s="5" t="n">
        <f>M753-N753</f>
        <v>4269.39305841902</v>
      </c>
      <c r="P753" s="5" t="n">
        <f>E$55*(1-L$14)*(1-'Assumptions and Catalog'!$C$23)^R753</f>
        <v>8.88960546044641</v>
      </c>
      <c r="Q753" s="5" t="n">
        <f>IF(ISNUMBER(Inputs!$L$5),(IF(Inputs!$L$9="Actual flat rate",((D753+E753)*C753-G753)*Inputs!$L$10,IF(Inputs!$C$9="Residential",IF(((D753+E753)*C753-G753)&lt;='Assumptions and Catalog'!$C$50,((D753+E753)*C753-G753)*'Assumptions and Catalog'!$H$50+'Assumptions and Catalog'!$E$50+'Assumptions and Catalog'!$F$50,IF(((D753+E753)*C753-G753)&lt;='Assumptions and Catalog'!$C$51,((D753+E753)*C753-G753)*'Assumptions and Catalog'!$H$51+'Assumptions and Catalog'!$E$51+'Assumptions and Catalog'!$F$51,IF(((D753+E753)*C753-G753)&lt;='Assumptions and Catalog'!$C$52,((D753+E753)*C753-G753)*'Assumptions and Catalog'!$H$52+'Assumptions and Catalog'!$E$52+'Assumptions and Catalog'!$F$52,IF(((D753+E753)*C753-G753)&lt;='Assumptions and Catalog'!$C$53,((D753+E753)*C753-G753)*'Assumptions and Catalog'!$H$53+'Assumptions and Catalog'!$E$53+'Assumptions and Catalog'!$F$53,IF(((D753+E753)*C753-G753)&lt;='Assumptions and Catalog'!$C$54,((D753+E753)*C753-G753)*'Assumptions and Catalog'!$H$54+'Assumptions and Catalog'!$E$54+'Assumptions and Catalog'!$F$54,IF(((D753+E753)*C753-G753)&lt;='Assumptions and Catalog'!$C$55,((D753+E753)*C753-G753)*'Assumptions and Catalog'!$H$55+'Assumptions and Catalog'!$E$55+'Assumptions and Catalog'!$F$55,IF(((D753+E753)*C753-G753)&lt;='Assumptions and Catalog'!$C$56,((D753+E753)*C753-G753)*'Assumptions and Catalog'!$H$56+'Assumptions and Catalog'!$E$56+'Assumptions and Catalog'!$F$56,IF(((D753+E753)*C753-G753)&lt;='Assumptions and Catalog'!$C$57,((D753+E753)*C753-G753)*'Assumptions and Catalog'!$H$57+'Assumptions and Catalog'!$E$57+'Assumptions and Catalog'!$F$57,"Out of range")))))))),IF(((D753+E753)*C753-G753)&lt;='Assumptions and Catalog'!$C$60,((D753+E753)*C753-G753)*'Assumptions and Catalog'!$H$60+'Assumptions and Catalog'!$E$60+'Assumptions and Catalog'!$F$60,IF(((D753+E753)*C753-G753)&lt;='Assumptions and Catalog'!$C$61,((D753+E753)*C753-G753)*'Assumptions and Catalog'!$H$61+'Assumptions and Catalog'!$E$61+'Assumptions and Catalog'!$F$61,IF(((D753+E753)*C753-G753)&lt;='Assumptions and Catalog'!$C$62,((D753+E753)*C753-G753)*'Assumptions and Catalog'!$H$62+'Assumptions and Catalog'!$E$62+'Assumptions and Catalog'!$F$62,IF(((D753+E753)*C753-G753)&lt;='Assumptions and Catalog'!$C$63,((D753+E753)*C753-G753)*'Assumptions and Catalog'!$H$63+'Assumptions and Catalog'!$E$63+'Assumptions and Catalog'!$F$63,IF(((D753+E753)*C753-G753)&lt;='Assumptions and Catalog'!$C$64,((D753+E753)*C753-G753)*'Assumptions and Catalog'!$H$64+'Assumptions and Catalog'!$E$64+'Assumptions and Catalog'!$F$64,IF(((D753+E753)*C753-G753)&lt;='Assumptions and Catalog'!$C$65,((D753+E753)*C753-G753)*'Assumptions and Catalog'!$H$65+'Assumptions and Catalog'!$E$65+'Assumptions and Catalog'!$F$65,"Out of range")))))))))*(1+'Assumptions and Catalog'!$C$8)^(A753-1),0)</f>
        <v>3453.61</v>
      </c>
      <c r="R753" s="5" t="n">
        <f>IF(AND('Assumptions and Catalog'!$C$19&gt;0,A753&gt;='Assumptions and Catalog'!$C$19),A753-'Assumptions and Catalog'!$C$19,A753-1)</f>
        <v>7</v>
      </c>
      <c r="S753" s="5" t="n">
        <f>F753+L753-(D753+E753)*C753-J753-K753-IF(E$52&gt;0,'Assumptions and Catalog'!$C$26*C753,0)</f>
        <v>-5.6843418860808E-014</v>
      </c>
      <c r="T753" s="5"/>
      <c r="U753" s="5"/>
    </row>
    <row r="754" ht="23.100000381469727" customHeight="1">
      <c r="A754" s="5" t="n">
        <v>8</v>
      </c>
      <c r="B754" s="5" t="n">
        <v>10</v>
      </c>
      <c r="C754" s="5" t="n">
        <f>DAY(DATE('Assumptions and Catalog'!$C$24+A754-1,B754+1,0))</f>
        <v>31</v>
      </c>
      <c r="D754" s="5" t="n">
        <f>IF(ISNUMBER(Inputs!$L$5),Inputs!$L$5*Inputs!$L$6,0)</f>
        <v>40.35</v>
      </c>
      <c r="E754" s="5" t="n">
        <f>IF(ISNUMBER(Inputs!$L$5),Inputs!$L$5-D754,0)</f>
        <v>40.35</v>
      </c>
      <c r="F754" s="5" t="n">
        <f>E$51*INDEX('Solar Production'!$D$20:$D$31,B754)*C754*(1-'Assumptions and Catalog'!$C$10)^(A754-1)</f>
        <v>1641.22096106617</v>
      </c>
      <c r="G754" s="5" t="n">
        <f>MIN(F754,D754*C754)</f>
        <v>1250.85</v>
      </c>
      <c r="H754" s="5" t="n">
        <f>I754/('Assumptions and Catalog'!$C$11*'Assumptions and Catalog'!$C$12)</f>
        <v>282.643865921886</v>
      </c>
      <c r="I754" s="5" t="n">
        <f>MIN(E754*C754,P754*'Assumptions and Catalog'!$C$12*C754,(F754-G754)*'Assumptions and Catalog'!$C$11*'Assumptions and Catalog'!$C$12,E$56*'Assumptions and Catalog'!$C$14*'Assumptions and Catalog'!$C$11*'Assumptions and Catalog'!$C$12*C754,E$57*(24-'Assumptions and Catalog'!$C$13)*C754)</f>
        <v>268.688325041993</v>
      </c>
      <c r="J754" s="5" t="n">
        <f>MAX(F754-G754-H754,0)</f>
        <v>107.72709514428</v>
      </c>
      <c r="K754" s="5" t="n">
        <f>H754-I754</f>
        <v>13.9555408798931</v>
      </c>
      <c r="L754" s="5" t="n">
        <f>(D754+E754)*C754-G754-I754+0+IF(E$52&gt;0,'Assumptions and Catalog'!$C$26*C754,0)</f>
        <v>982.161674958007</v>
      </c>
      <c r="M754" s="5" t="n">
        <f>IF(ISNUMBER(Inputs!$L$5),(IF(Inputs!$L$9="Actual flat rate",((D754+E754)*C754)*Inputs!$L$10,IF(Inputs!$C$9="Residential",IF(((D754+E754)*C754)&lt;='Assumptions and Catalog'!$C$50,((D754+E754)*C754)*'Assumptions and Catalog'!$H$50+'Assumptions and Catalog'!$E$50+'Assumptions and Catalog'!$F$50,IF(((D754+E754)*C754)&lt;='Assumptions and Catalog'!$C$51,((D754+E754)*C754)*'Assumptions and Catalog'!$H$51+'Assumptions and Catalog'!$E$51+'Assumptions and Catalog'!$F$51,IF(((D754+E754)*C754)&lt;='Assumptions and Catalog'!$C$52,((D754+E754)*C754)*'Assumptions and Catalog'!$H$52+'Assumptions and Catalog'!$E$52+'Assumptions and Catalog'!$F$52,IF(((D754+E754)*C754)&lt;='Assumptions and Catalog'!$C$53,((D754+E754)*C754)*'Assumptions and Catalog'!$H$53+'Assumptions and Catalog'!$E$53+'Assumptions and Catalog'!$F$53,IF(((D754+E754)*C754)&lt;='Assumptions and Catalog'!$C$54,((D754+E754)*C754)*'Assumptions and Catalog'!$H$54+'Assumptions and Catalog'!$E$54+'Assumptions and Catalog'!$F$54,IF(((D754+E754)*C754)&lt;='Assumptions and Catalog'!$C$55,((D754+E754)*C754)*'Assumptions and Catalog'!$H$55+'Assumptions and Catalog'!$E$55+'Assumptions and Catalog'!$F$55,IF(((D754+E754)*C754)&lt;='Assumptions and Catalog'!$C$56,((D754+E754)*C754)*'Assumptions and Catalog'!$H$56+'Assumptions and Catalog'!$E$56+'Assumptions and Catalog'!$F$56,IF(((D754+E754)*C754)&lt;='Assumptions and Catalog'!$C$57,((D754+E754)*C754)*'Assumptions and Catalog'!$H$57+'Assumptions and Catalog'!$E$57+'Assumptions and Catalog'!$F$57,"Out of range")))))))),IF(((D754+E754)*C754)&lt;='Assumptions and Catalog'!$C$60,((D754+E754)*C754)*'Assumptions and Catalog'!$H$60+'Assumptions and Catalog'!$E$60+'Assumptions and Catalog'!$F$60,IF(((D754+E754)*C754)&lt;='Assumptions and Catalog'!$C$61,((D754+E754)*C754)*'Assumptions and Catalog'!$H$61+'Assumptions and Catalog'!$E$61+'Assumptions and Catalog'!$F$61,IF(((D754+E754)*C754)&lt;='Assumptions and Catalog'!$C$62,((D754+E754)*C754)*'Assumptions and Catalog'!$H$62+'Assumptions and Catalog'!$E$62+'Assumptions and Catalog'!$F$62,IF(((D754+E754)*C754)&lt;='Assumptions and Catalog'!$C$63,((D754+E754)*C754)*'Assumptions and Catalog'!$H$63+'Assumptions and Catalog'!$E$63+'Assumptions and Catalog'!$F$63,IF(((D754+E754)*C754)&lt;='Assumptions and Catalog'!$C$64,((D754+E754)*C754)*'Assumptions and Catalog'!$H$64+'Assumptions and Catalog'!$E$64+'Assumptions and Catalog'!$F$64,IF(((D754+E754)*C754)&lt;='Assumptions and Catalog'!$C$65,((D754+E754)*C754)*'Assumptions and Catalog'!$H$65+'Assumptions and Catalog'!$E$65+'Assumptions and Catalog'!$F$65,"Out of range")))))))))*(1+'Assumptions and Catalog'!$C$8)^(A754-1),0)</f>
        <v>7094.794</v>
      </c>
      <c r="N754" s="5" t="n">
        <f>IF(ISNUMBER(Inputs!$L$5),(IF(Inputs!$L$9="Actual flat rate",L754*Inputs!$L$10,IF(Inputs!$C$9="Residential",IF(L754&lt;='Assumptions and Catalog'!$C$50,L754*'Assumptions and Catalog'!$H$50+'Assumptions and Catalog'!$E$50+'Assumptions and Catalog'!$F$50,IF(L754&lt;='Assumptions and Catalog'!$C$51,L754*'Assumptions and Catalog'!$H$51+'Assumptions and Catalog'!$E$51+'Assumptions and Catalog'!$F$51,IF(L754&lt;='Assumptions and Catalog'!$C$52,L754*'Assumptions and Catalog'!$H$52+'Assumptions and Catalog'!$E$52+'Assumptions and Catalog'!$F$52,IF(L754&lt;='Assumptions and Catalog'!$C$53,L754*'Assumptions and Catalog'!$H$53+'Assumptions and Catalog'!$E$53+'Assumptions and Catalog'!$F$53,IF(L754&lt;='Assumptions and Catalog'!$C$54,L754*'Assumptions and Catalog'!$H$54+'Assumptions and Catalog'!$E$54+'Assumptions and Catalog'!$F$54,IF(L754&lt;='Assumptions and Catalog'!$C$55,L754*'Assumptions and Catalog'!$H$55+'Assumptions and Catalog'!$E$55+'Assumptions and Catalog'!$F$55,IF(L754&lt;='Assumptions and Catalog'!$C$56,L754*'Assumptions and Catalog'!$H$56+'Assumptions and Catalog'!$E$56+'Assumptions and Catalog'!$F$56,IF(L754&lt;='Assumptions and Catalog'!$C$57,L754*'Assumptions and Catalog'!$H$57+'Assumptions and Catalog'!$E$57+'Assumptions and Catalog'!$F$57,"Out of range")))))))),IF(L754&lt;='Assumptions and Catalog'!$C$60,L754*'Assumptions and Catalog'!$H$60+'Assumptions and Catalog'!$E$60+'Assumptions and Catalog'!$F$60,IF(L754&lt;='Assumptions and Catalog'!$C$61,L754*'Assumptions and Catalog'!$H$61+'Assumptions and Catalog'!$E$61+'Assumptions and Catalog'!$F$61,IF(L754&lt;='Assumptions and Catalog'!$C$62,L754*'Assumptions and Catalog'!$H$62+'Assumptions and Catalog'!$E$62+'Assumptions and Catalog'!$F$62,IF(L754&lt;='Assumptions and Catalog'!$C$63,L754*'Assumptions and Catalog'!$H$63+'Assumptions and Catalog'!$E$63+'Assumptions and Catalog'!$F$63,IF(L754&lt;='Assumptions and Catalog'!$C$64,L754*'Assumptions and Catalog'!$H$64+'Assumptions and Catalog'!$E$64+'Assumptions and Catalog'!$F$64,IF(L754&lt;='Assumptions and Catalog'!$C$65,L754*'Assumptions and Catalog'!$H$65+'Assumptions and Catalog'!$E$65+'Assumptions and Catalog'!$F$65,"Out of range")))))))))*(1+'Assumptions and Catalog'!$C$8)^(A754-1),0)</f>
        <v>2685.58783963368</v>
      </c>
      <c r="O754" s="5" t="n">
        <f>M754-N754</f>
        <v>4409.20616036632</v>
      </c>
      <c r="P754" s="5" t="n">
        <f>E$55*(1-L$14)*(1-'Assumptions and Catalog'!$C$23)^R754</f>
        <v>8.88960546044641</v>
      </c>
      <c r="Q754" s="5" t="n">
        <f>IF(ISNUMBER(Inputs!$L$5),(IF(Inputs!$L$9="Actual flat rate",((D754+E754)*C754-G754)*Inputs!$L$10,IF(Inputs!$C$9="Residential",IF(((D754+E754)*C754-G754)&lt;='Assumptions and Catalog'!$C$50,((D754+E754)*C754-G754)*'Assumptions and Catalog'!$H$50+'Assumptions and Catalog'!$E$50+'Assumptions and Catalog'!$F$50,IF(((D754+E754)*C754-G754)&lt;='Assumptions and Catalog'!$C$51,((D754+E754)*C754-G754)*'Assumptions and Catalog'!$H$51+'Assumptions and Catalog'!$E$51+'Assumptions and Catalog'!$F$51,IF(((D754+E754)*C754-G754)&lt;='Assumptions and Catalog'!$C$52,((D754+E754)*C754-G754)*'Assumptions and Catalog'!$H$52+'Assumptions and Catalog'!$E$52+'Assumptions and Catalog'!$F$52,IF(((D754+E754)*C754-G754)&lt;='Assumptions and Catalog'!$C$53,((D754+E754)*C754-G754)*'Assumptions and Catalog'!$H$53+'Assumptions and Catalog'!$E$53+'Assumptions and Catalog'!$F$53,IF(((D754+E754)*C754-G754)&lt;='Assumptions and Catalog'!$C$54,((D754+E754)*C754-G754)*'Assumptions and Catalog'!$H$54+'Assumptions and Catalog'!$E$54+'Assumptions and Catalog'!$F$54,IF(((D754+E754)*C754-G754)&lt;='Assumptions and Catalog'!$C$55,((D754+E754)*C754-G754)*'Assumptions and Catalog'!$H$55+'Assumptions and Catalog'!$E$55+'Assumptions and Catalog'!$F$55,IF(((D754+E754)*C754-G754)&lt;='Assumptions and Catalog'!$C$56,((D754+E754)*C754-G754)*'Assumptions and Catalog'!$H$56+'Assumptions and Catalog'!$E$56+'Assumptions and Catalog'!$F$56,IF(((D754+E754)*C754-G754)&lt;='Assumptions and Catalog'!$C$57,((D754+E754)*C754-G754)*'Assumptions and Catalog'!$H$57+'Assumptions and Catalog'!$E$57+'Assumptions and Catalog'!$F$57,"Out of range")))))))),IF(((D754+E754)*C754-G754)&lt;='Assumptions and Catalog'!$C$60,((D754+E754)*C754-G754)*'Assumptions and Catalog'!$H$60+'Assumptions and Catalog'!$E$60+'Assumptions and Catalog'!$F$60,IF(((D754+E754)*C754-G754)&lt;='Assumptions and Catalog'!$C$61,((D754+E754)*C754-G754)*'Assumptions and Catalog'!$H$61+'Assumptions and Catalog'!$E$61+'Assumptions and Catalog'!$F$61,IF(((D754+E754)*C754-G754)&lt;='Assumptions and Catalog'!$C$62,((D754+E754)*C754-G754)*'Assumptions and Catalog'!$H$62+'Assumptions and Catalog'!$E$62+'Assumptions and Catalog'!$F$62,IF(((D754+E754)*C754-G754)&lt;='Assumptions and Catalog'!$C$63,((D754+E754)*C754-G754)*'Assumptions and Catalog'!$H$63+'Assumptions and Catalog'!$E$63+'Assumptions and Catalog'!$F$63,IF(((D754+E754)*C754-G754)&lt;='Assumptions and Catalog'!$C$64,((D754+E754)*C754-G754)*'Assumptions and Catalog'!$H$64+'Assumptions and Catalog'!$E$64+'Assumptions and Catalog'!$F$64,IF(((D754+E754)*C754-G754)&lt;='Assumptions and Catalog'!$C$65,((D754+E754)*C754-G754)*'Assumptions and Catalog'!$H$65+'Assumptions and Catalog'!$E$65+'Assumptions and Catalog'!$F$65,"Out of range")))))))))*(1+'Assumptions and Catalog'!$C$8)^(A754-1),0)</f>
        <v>3567.397</v>
      </c>
      <c r="R754" s="5" t="n">
        <f>IF(AND('Assumptions and Catalog'!$C$19&gt;0,A754&gt;='Assumptions and Catalog'!$C$19),A754-'Assumptions and Catalog'!$C$19,A754-1)</f>
        <v>7</v>
      </c>
      <c r="S754" s="5" t="n">
        <f>F754+L754-(D754+E754)*C754-J754-K754-IF(E$52&gt;0,'Assumptions and Catalog'!$C$26*C754,0)</f>
        <v>-2.27373675443232E-013</v>
      </c>
      <c r="T754" s="5"/>
      <c r="U754" s="5"/>
    </row>
    <row r="755" ht="23.100000381469727" customHeight="1">
      <c r="A755" s="5" t="n">
        <v>8</v>
      </c>
      <c r="B755" s="5" t="n">
        <v>11</v>
      </c>
      <c r="C755" s="5" t="n">
        <f>DAY(DATE('Assumptions and Catalog'!$C$24+A755-1,B755+1,0))</f>
        <v>30</v>
      </c>
      <c r="D755" s="5" t="n">
        <f>IF(ISNUMBER(Inputs!$L$5),Inputs!$L$5*Inputs!$L$6,0)</f>
        <v>40.35</v>
      </c>
      <c r="E755" s="5" t="n">
        <f>IF(ISNUMBER(Inputs!$L$5),Inputs!$L$5-D755,0)</f>
        <v>40.35</v>
      </c>
      <c r="F755" s="5" t="n">
        <f>E$51*INDEX('Solar Production'!$D$20:$D$31,B755)*C755*(1-'Assumptions and Catalog'!$C$10)^(A755-1)</f>
        <v>1454.72099292845</v>
      </c>
      <c r="G755" s="5" t="n">
        <f>MIN(F755,D755*C755)</f>
        <v>1210.5</v>
      </c>
      <c r="H755" s="5" t="n">
        <f>I755/('Assumptions and Catalog'!$C$11*'Assumptions and Catalog'!$C$12)</f>
        <v>244.220992928446</v>
      </c>
      <c r="I755" s="5" t="n">
        <f>MIN(E755*C755,P755*'Assumptions and Catalog'!$C$12*C755,(F755-G755)*'Assumptions and Catalog'!$C$11*'Assumptions and Catalog'!$C$12,E$56*'Assumptions and Catalog'!$C$14*'Assumptions and Catalog'!$C$11*'Assumptions and Catalog'!$C$12*C755,E$57*(24-'Assumptions and Catalog'!$C$13)*C755)</f>
        <v>232.162581402604</v>
      </c>
      <c r="J755" s="5" t="n">
        <f>MAX(F755-G755-H755,0)</f>
        <v>0</v>
      </c>
      <c r="K755" s="5" t="n">
        <f>H755-I755</f>
        <v>12.058411525842</v>
      </c>
      <c r="L755" s="5" t="n">
        <f>(D755+E755)*C755-G755-I755+0+IF(E$52&gt;0,'Assumptions and Catalog'!$C$26*C755,0)</f>
        <v>978.337418597396</v>
      </c>
      <c r="M755" s="5" t="n">
        <f>IF(ISNUMBER(Inputs!$L$5),(IF(Inputs!$L$9="Actual flat rate",((D755+E755)*C755)*Inputs!$L$10,IF(Inputs!$C$9="Residential",IF(((D755+E755)*C755)&lt;='Assumptions and Catalog'!$C$50,((D755+E755)*C755)*'Assumptions and Catalog'!$H$50+'Assumptions and Catalog'!$E$50+'Assumptions and Catalog'!$F$50,IF(((D755+E755)*C755)&lt;='Assumptions and Catalog'!$C$51,((D755+E755)*C755)*'Assumptions and Catalog'!$H$51+'Assumptions and Catalog'!$E$51+'Assumptions and Catalog'!$F$51,IF(((D755+E755)*C755)&lt;='Assumptions and Catalog'!$C$52,((D755+E755)*C755)*'Assumptions and Catalog'!$H$52+'Assumptions and Catalog'!$E$52+'Assumptions and Catalog'!$F$52,IF(((D755+E755)*C755)&lt;='Assumptions and Catalog'!$C$53,((D755+E755)*C755)*'Assumptions and Catalog'!$H$53+'Assumptions and Catalog'!$E$53+'Assumptions and Catalog'!$F$53,IF(((D755+E755)*C755)&lt;='Assumptions and Catalog'!$C$54,((D755+E755)*C755)*'Assumptions and Catalog'!$H$54+'Assumptions and Catalog'!$E$54+'Assumptions and Catalog'!$F$54,IF(((D755+E755)*C755)&lt;='Assumptions and Catalog'!$C$55,((D755+E755)*C755)*'Assumptions and Catalog'!$H$55+'Assumptions and Catalog'!$E$55+'Assumptions and Catalog'!$F$55,IF(((D755+E755)*C755)&lt;='Assumptions and Catalog'!$C$56,((D755+E755)*C755)*'Assumptions and Catalog'!$H$56+'Assumptions and Catalog'!$E$56+'Assumptions and Catalog'!$F$56,IF(((D755+E755)*C755)&lt;='Assumptions and Catalog'!$C$57,((D755+E755)*C755)*'Assumptions and Catalog'!$H$57+'Assumptions and Catalog'!$E$57+'Assumptions and Catalog'!$F$57,"Out of range")))))))),IF(((D755+E755)*C755)&lt;='Assumptions and Catalog'!$C$60,((D755+E755)*C755)*'Assumptions and Catalog'!$H$60+'Assumptions and Catalog'!$E$60+'Assumptions and Catalog'!$F$60,IF(((D755+E755)*C755)&lt;='Assumptions and Catalog'!$C$61,((D755+E755)*C755)*'Assumptions and Catalog'!$H$61+'Assumptions and Catalog'!$E$61+'Assumptions and Catalog'!$F$61,IF(((D755+E755)*C755)&lt;='Assumptions and Catalog'!$C$62,((D755+E755)*C755)*'Assumptions and Catalog'!$H$62+'Assumptions and Catalog'!$E$62+'Assumptions and Catalog'!$F$62,IF(((D755+E755)*C755)&lt;='Assumptions and Catalog'!$C$63,((D755+E755)*C755)*'Assumptions and Catalog'!$H$63+'Assumptions and Catalog'!$E$63+'Assumptions and Catalog'!$F$63,IF(((D755+E755)*C755)&lt;='Assumptions and Catalog'!$C$64,((D755+E755)*C755)*'Assumptions and Catalog'!$H$64+'Assumptions and Catalog'!$E$64+'Assumptions and Catalog'!$F$64,IF(((D755+E755)*C755)&lt;='Assumptions and Catalog'!$C$65,((D755+E755)*C755)*'Assumptions and Catalog'!$H$65+'Assumptions and Catalog'!$E$65+'Assumptions and Catalog'!$F$65,"Out of range")))))))))*(1+'Assumptions and Catalog'!$C$8)^(A755-1),0)</f>
        <v>6867.22</v>
      </c>
      <c r="N755" s="5" t="n">
        <f>IF(ISNUMBER(Inputs!$L$5),(IF(Inputs!$L$9="Actual flat rate",L755*Inputs!$L$10,IF(Inputs!$C$9="Residential",IF(L755&lt;='Assumptions and Catalog'!$C$50,L755*'Assumptions and Catalog'!$H$50+'Assumptions and Catalog'!$E$50+'Assumptions and Catalog'!$F$50,IF(L755&lt;='Assumptions and Catalog'!$C$51,L755*'Assumptions and Catalog'!$H$51+'Assumptions and Catalog'!$E$51+'Assumptions and Catalog'!$F$51,IF(L755&lt;='Assumptions and Catalog'!$C$52,L755*'Assumptions and Catalog'!$H$52+'Assumptions and Catalog'!$E$52+'Assumptions and Catalog'!$F$52,IF(L755&lt;='Assumptions and Catalog'!$C$53,L755*'Assumptions and Catalog'!$H$53+'Assumptions and Catalog'!$E$53+'Assumptions and Catalog'!$F$53,IF(L755&lt;='Assumptions and Catalog'!$C$54,L755*'Assumptions and Catalog'!$H$54+'Assumptions and Catalog'!$E$54+'Assumptions and Catalog'!$F$54,IF(L755&lt;='Assumptions and Catalog'!$C$55,L755*'Assumptions and Catalog'!$H$55+'Assumptions and Catalog'!$E$55+'Assumptions and Catalog'!$F$55,IF(L755&lt;='Assumptions and Catalog'!$C$56,L755*'Assumptions and Catalog'!$H$56+'Assumptions and Catalog'!$E$56+'Assumptions and Catalog'!$F$56,IF(L755&lt;='Assumptions and Catalog'!$C$57,L755*'Assumptions and Catalog'!$H$57+'Assumptions and Catalog'!$E$57+'Assumptions and Catalog'!$F$57,"Out of range")))))))),IF(L755&lt;='Assumptions and Catalog'!$C$60,L755*'Assumptions and Catalog'!$H$60+'Assumptions and Catalog'!$E$60+'Assumptions and Catalog'!$F$60,IF(L755&lt;='Assumptions and Catalog'!$C$61,L755*'Assumptions and Catalog'!$H$61+'Assumptions and Catalog'!$E$61+'Assumptions and Catalog'!$F$61,IF(L755&lt;='Assumptions and Catalog'!$C$62,L755*'Assumptions and Catalog'!$H$62+'Assumptions and Catalog'!$E$62+'Assumptions and Catalog'!$F$62,IF(L755&lt;='Assumptions and Catalog'!$C$63,L755*'Assumptions and Catalog'!$H$63+'Assumptions and Catalog'!$E$63+'Assumptions and Catalog'!$F$63,IF(L755&lt;='Assumptions and Catalog'!$C$64,L755*'Assumptions and Catalog'!$H$64+'Assumptions and Catalog'!$E$64+'Assumptions and Catalog'!$F$64,IF(L755&lt;='Assumptions and Catalog'!$C$65,L755*'Assumptions and Catalog'!$H$65+'Assumptions and Catalog'!$E$65+'Assumptions and Catalog'!$F$65,"Out of range")))))))))*(1+'Assumptions and Catalog'!$C$8)^(A755-1),0)</f>
        <v>2674.99464951479</v>
      </c>
      <c r="O755" s="5" t="n">
        <f>M755-N755</f>
        <v>4192.22535048521</v>
      </c>
      <c r="P755" s="5" t="n">
        <f>E$55*(1-L$14)*(1-'Assumptions and Catalog'!$C$23)^R755</f>
        <v>8.88960546044641</v>
      </c>
      <c r="Q755" s="5" t="n">
        <f>IF(ISNUMBER(Inputs!$L$5),(IF(Inputs!$L$9="Actual flat rate",((D755+E755)*C755-G755)*Inputs!$L$10,IF(Inputs!$C$9="Residential",IF(((D755+E755)*C755-G755)&lt;='Assumptions and Catalog'!$C$50,((D755+E755)*C755-G755)*'Assumptions and Catalog'!$H$50+'Assumptions and Catalog'!$E$50+'Assumptions and Catalog'!$F$50,IF(((D755+E755)*C755-G755)&lt;='Assumptions and Catalog'!$C$51,((D755+E755)*C755-G755)*'Assumptions and Catalog'!$H$51+'Assumptions and Catalog'!$E$51+'Assumptions and Catalog'!$F$51,IF(((D755+E755)*C755-G755)&lt;='Assumptions and Catalog'!$C$52,((D755+E755)*C755-G755)*'Assumptions and Catalog'!$H$52+'Assumptions and Catalog'!$E$52+'Assumptions and Catalog'!$F$52,IF(((D755+E755)*C755-G755)&lt;='Assumptions and Catalog'!$C$53,((D755+E755)*C755-G755)*'Assumptions and Catalog'!$H$53+'Assumptions and Catalog'!$E$53+'Assumptions and Catalog'!$F$53,IF(((D755+E755)*C755-G755)&lt;='Assumptions and Catalog'!$C$54,((D755+E755)*C755-G755)*'Assumptions and Catalog'!$H$54+'Assumptions and Catalog'!$E$54+'Assumptions and Catalog'!$F$54,IF(((D755+E755)*C755-G755)&lt;='Assumptions and Catalog'!$C$55,((D755+E755)*C755-G755)*'Assumptions and Catalog'!$H$55+'Assumptions and Catalog'!$E$55+'Assumptions and Catalog'!$F$55,IF(((D755+E755)*C755-G755)&lt;='Assumptions and Catalog'!$C$56,((D755+E755)*C755-G755)*'Assumptions and Catalog'!$H$56+'Assumptions and Catalog'!$E$56+'Assumptions and Catalog'!$F$56,IF(((D755+E755)*C755-G755)&lt;='Assumptions and Catalog'!$C$57,((D755+E755)*C755-G755)*'Assumptions and Catalog'!$H$57+'Assumptions and Catalog'!$E$57+'Assumptions and Catalog'!$F$57,"Out of range")))))))),IF(((D755+E755)*C755-G755)&lt;='Assumptions and Catalog'!$C$60,((D755+E755)*C755-G755)*'Assumptions and Catalog'!$H$60+'Assumptions and Catalog'!$E$60+'Assumptions and Catalog'!$F$60,IF(((D755+E755)*C755-G755)&lt;='Assumptions and Catalog'!$C$61,((D755+E755)*C755-G755)*'Assumptions and Catalog'!$H$61+'Assumptions and Catalog'!$E$61+'Assumptions and Catalog'!$F$61,IF(((D755+E755)*C755-G755)&lt;='Assumptions and Catalog'!$C$62,((D755+E755)*C755-G755)*'Assumptions and Catalog'!$H$62+'Assumptions and Catalog'!$E$62+'Assumptions and Catalog'!$F$62,IF(((D755+E755)*C755-G755)&lt;='Assumptions and Catalog'!$C$63,((D755+E755)*C755-G755)*'Assumptions and Catalog'!$H$63+'Assumptions and Catalog'!$E$63+'Assumptions and Catalog'!$F$63,IF(((D755+E755)*C755-G755)&lt;='Assumptions and Catalog'!$C$64,((D755+E755)*C755-G755)*'Assumptions and Catalog'!$H$64+'Assumptions and Catalog'!$E$64+'Assumptions and Catalog'!$F$64,IF(((D755+E755)*C755-G755)&lt;='Assumptions and Catalog'!$C$65,((D755+E755)*C755-G755)*'Assumptions and Catalog'!$H$65+'Assumptions and Catalog'!$E$65+'Assumptions and Catalog'!$F$65,"Out of range")))))))))*(1+'Assumptions and Catalog'!$C$8)^(A755-1),0)</f>
        <v>3453.61</v>
      </c>
      <c r="R755" s="5" t="n">
        <f>IF(AND('Assumptions and Catalog'!$C$19&gt;0,A755&gt;='Assumptions and Catalog'!$C$19),A755-'Assumptions and Catalog'!$C$19,A755-1)</f>
        <v>7</v>
      </c>
      <c r="S755" s="5" t="n">
        <f>F755+L755-(D755+E755)*C755-J755-K755-IF(E$52&gt;0,'Assumptions and Catalog'!$C$26*C755,0)</f>
        <v>5.6843418860808E-014</v>
      </c>
      <c r="T755" s="5"/>
      <c r="U755" s="5"/>
    </row>
    <row r="756" ht="23.100000381469727" customHeight="1">
      <c r="A756" s="5" t="n">
        <v>8</v>
      </c>
      <c r="B756" s="5" t="n">
        <v>12</v>
      </c>
      <c r="C756" s="5" t="n">
        <f>DAY(DATE('Assumptions and Catalog'!$C$24+A756-1,B756+1,0))</f>
        <v>31</v>
      </c>
      <c r="D756" s="5" t="n">
        <f>IF(ISNUMBER(Inputs!$L$5),Inputs!$L$5*Inputs!$L$6,0)</f>
        <v>40.35</v>
      </c>
      <c r="E756" s="5" t="n">
        <f>IF(ISNUMBER(Inputs!$L$5),Inputs!$L$5-D756,0)</f>
        <v>40.35</v>
      </c>
      <c r="F756" s="5" t="n">
        <f>E$51*INDEX('Solar Production'!$D$20:$D$31,B756)*C756*(1-'Assumptions and Catalog'!$C$10)^(A756-1)</f>
        <v>1384.94281578352</v>
      </c>
      <c r="G756" s="5" t="n">
        <f>MIN(F756,D756*C756)</f>
        <v>1250.85</v>
      </c>
      <c r="H756" s="5" t="n">
        <f>I756/('Assumptions and Catalog'!$C$11*'Assumptions and Catalog'!$C$12)</f>
        <v>134.092815783524</v>
      </c>
      <c r="I756" s="5" t="n">
        <f>MIN(E756*C756,P756*'Assumptions and Catalog'!$C$12*C756,(F756-G756)*'Assumptions and Catalog'!$C$11*'Assumptions and Catalog'!$C$12,E$56*'Assumptions and Catalog'!$C$14*'Assumptions and Catalog'!$C$11*'Assumptions and Catalog'!$C$12*C756,E$57*(24-'Assumptions and Catalog'!$C$13)*C756)</f>
        <v>127.471983004213</v>
      </c>
      <c r="J756" s="5" t="n">
        <f>MAX(F756-G756-H756,0)</f>
        <v>0</v>
      </c>
      <c r="K756" s="5" t="n">
        <f>H756-I756</f>
        <v>6.62083277931151</v>
      </c>
      <c r="L756" s="5" t="n">
        <f>(D756+E756)*C756-G756-I756+0+IF(E$52&gt;0,'Assumptions and Catalog'!$C$26*C756,0)</f>
        <v>1123.37801699579</v>
      </c>
      <c r="M756" s="5" t="n">
        <f>IF(ISNUMBER(Inputs!$L$5),(IF(Inputs!$L$9="Actual flat rate",((D756+E756)*C756)*Inputs!$L$10,IF(Inputs!$C$9="Residential",IF(((D756+E756)*C756)&lt;='Assumptions and Catalog'!$C$50,((D756+E756)*C756)*'Assumptions and Catalog'!$H$50+'Assumptions and Catalog'!$E$50+'Assumptions and Catalog'!$F$50,IF(((D756+E756)*C756)&lt;='Assumptions and Catalog'!$C$51,((D756+E756)*C756)*'Assumptions and Catalog'!$H$51+'Assumptions and Catalog'!$E$51+'Assumptions and Catalog'!$F$51,IF(((D756+E756)*C756)&lt;='Assumptions and Catalog'!$C$52,((D756+E756)*C756)*'Assumptions and Catalog'!$H$52+'Assumptions and Catalog'!$E$52+'Assumptions and Catalog'!$F$52,IF(((D756+E756)*C756)&lt;='Assumptions and Catalog'!$C$53,((D756+E756)*C756)*'Assumptions and Catalog'!$H$53+'Assumptions and Catalog'!$E$53+'Assumptions and Catalog'!$F$53,IF(((D756+E756)*C756)&lt;='Assumptions and Catalog'!$C$54,((D756+E756)*C756)*'Assumptions and Catalog'!$H$54+'Assumptions and Catalog'!$E$54+'Assumptions and Catalog'!$F$54,IF(((D756+E756)*C756)&lt;='Assumptions and Catalog'!$C$55,((D756+E756)*C756)*'Assumptions and Catalog'!$H$55+'Assumptions and Catalog'!$E$55+'Assumptions and Catalog'!$F$55,IF(((D756+E756)*C756)&lt;='Assumptions and Catalog'!$C$56,((D756+E756)*C756)*'Assumptions and Catalog'!$H$56+'Assumptions and Catalog'!$E$56+'Assumptions and Catalog'!$F$56,IF(((D756+E756)*C756)&lt;='Assumptions and Catalog'!$C$57,((D756+E756)*C756)*'Assumptions and Catalog'!$H$57+'Assumptions and Catalog'!$E$57+'Assumptions and Catalog'!$F$57,"Out of range")))))))),IF(((D756+E756)*C756)&lt;='Assumptions and Catalog'!$C$60,((D756+E756)*C756)*'Assumptions and Catalog'!$H$60+'Assumptions and Catalog'!$E$60+'Assumptions and Catalog'!$F$60,IF(((D756+E756)*C756)&lt;='Assumptions and Catalog'!$C$61,((D756+E756)*C756)*'Assumptions and Catalog'!$H$61+'Assumptions and Catalog'!$E$61+'Assumptions and Catalog'!$F$61,IF(((D756+E756)*C756)&lt;='Assumptions and Catalog'!$C$62,((D756+E756)*C756)*'Assumptions and Catalog'!$H$62+'Assumptions and Catalog'!$E$62+'Assumptions and Catalog'!$F$62,IF(((D756+E756)*C756)&lt;='Assumptions and Catalog'!$C$63,((D756+E756)*C756)*'Assumptions and Catalog'!$H$63+'Assumptions and Catalog'!$E$63+'Assumptions and Catalog'!$F$63,IF(((D756+E756)*C756)&lt;='Assumptions and Catalog'!$C$64,((D756+E756)*C756)*'Assumptions and Catalog'!$H$64+'Assumptions and Catalog'!$E$64+'Assumptions and Catalog'!$F$64,IF(((D756+E756)*C756)&lt;='Assumptions and Catalog'!$C$65,((D756+E756)*C756)*'Assumptions and Catalog'!$H$65+'Assumptions and Catalog'!$E$65+'Assumptions and Catalog'!$F$65,"Out of range")))))))))*(1+'Assumptions and Catalog'!$C$8)^(A756-1),0)</f>
        <v>7094.794</v>
      </c>
      <c r="N756" s="5" t="n">
        <f>IF(ISNUMBER(Inputs!$L$5),(IF(Inputs!$L$9="Actual flat rate",L756*Inputs!$L$10,IF(Inputs!$C$9="Residential",IF(L756&lt;='Assumptions and Catalog'!$C$50,L756*'Assumptions and Catalog'!$H$50+'Assumptions and Catalog'!$E$50+'Assumptions and Catalog'!$F$50,IF(L756&lt;='Assumptions and Catalog'!$C$51,L756*'Assumptions and Catalog'!$H$51+'Assumptions and Catalog'!$E$51+'Assumptions and Catalog'!$F$51,IF(L756&lt;='Assumptions and Catalog'!$C$52,L756*'Assumptions and Catalog'!$H$52+'Assumptions and Catalog'!$E$52+'Assumptions and Catalog'!$F$52,IF(L756&lt;='Assumptions and Catalog'!$C$53,L756*'Assumptions and Catalog'!$H$53+'Assumptions and Catalog'!$E$53+'Assumptions and Catalog'!$F$53,IF(L756&lt;='Assumptions and Catalog'!$C$54,L756*'Assumptions and Catalog'!$H$54+'Assumptions and Catalog'!$E$54+'Assumptions and Catalog'!$F$54,IF(L756&lt;='Assumptions and Catalog'!$C$55,L756*'Assumptions and Catalog'!$H$55+'Assumptions and Catalog'!$E$55+'Assumptions and Catalog'!$F$55,IF(L756&lt;='Assumptions and Catalog'!$C$56,L756*'Assumptions and Catalog'!$H$56+'Assumptions and Catalog'!$E$56+'Assumptions and Catalog'!$F$56,IF(L756&lt;='Assumptions and Catalog'!$C$57,L756*'Assumptions and Catalog'!$H$57+'Assumptions and Catalog'!$E$57+'Assumptions and Catalog'!$F$57,"Out of range")))))))),IF(L756&lt;='Assumptions and Catalog'!$C$60,L756*'Assumptions and Catalog'!$H$60+'Assumptions and Catalog'!$E$60+'Assumptions and Catalog'!$F$60,IF(L756&lt;='Assumptions and Catalog'!$C$61,L756*'Assumptions and Catalog'!$H$61+'Assumptions and Catalog'!$E$61+'Assumptions and Catalog'!$F$61,IF(L756&lt;='Assumptions and Catalog'!$C$62,L756*'Assumptions and Catalog'!$H$62+'Assumptions and Catalog'!$E$62+'Assumptions and Catalog'!$F$62,IF(L756&lt;='Assumptions and Catalog'!$C$63,L756*'Assumptions and Catalog'!$H$63+'Assumptions and Catalog'!$E$63+'Assumptions and Catalog'!$F$63,IF(L756&lt;='Assumptions and Catalog'!$C$64,L756*'Assumptions and Catalog'!$H$64+'Assumptions and Catalog'!$E$64+'Assumptions and Catalog'!$F$64,IF(L756&lt;='Assumptions and Catalog'!$C$65,L756*'Assumptions and Catalog'!$H$65+'Assumptions and Catalog'!$E$65+'Assumptions and Catalog'!$F$65,"Out of range")))))))))*(1+'Assumptions and Catalog'!$C$8)^(A756-1),0)</f>
        <v>3207.92600792812</v>
      </c>
      <c r="O756" s="5" t="n">
        <f>M756-N756</f>
        <v>3886.86799207188</v>
      </c>
      <c r="P756" s="5" t="n">
        <f>E$55*(1-L$14)*(1-'Assumptions and Catalog'!$C$23)^R756</f>
        <v>8.88960546044641</v>
      </c>
      <c r="Q756" s="5" t="n">
        <f>IF(ISNUMBER(Inputs!$L$5),(IF(Inputs!$L$9="Actual flat rate",((D756+E756)*C756-G756)*Inputs!$L$10,IF(Inputs!$C$9="Residential",IF(((D756+E756)*C756-G756)&lt;='Assumptions and Catalog'!$C$50,((D756+E756)*C756-G756)*'Assumptions and Catalog'!$H$50+'Assumptions and Catalog'!$E$50+'Assumptions and Catalog'!$F$50,IF(((D756+E756)*C756-G756)&lt;='Assumptions and Catalog'!$C$51,((D756+E756)*C756-G756)*'Assumptions and Catalog'!$H$51+'Assumptions and Catalog'!$E$51+'Assumptions and Catalog'!$F$51,IF(((D756+E756)*C756-G756)&lt;='Assumptions and Catalog'!$C$52,((D756+E756)*C756-G756)*'Assumptions and Catalog'!$H$52+'Assumptions and Catalog'!$E$52+'Assumptions and Catalog'!$F$52,IF(((D756+E756)*C756-G756)&lt;='Assumptions and Catalog'!$C$53,((D756+E756)*C756-G756)*'Assumptions and Catalog'!$H$53+'Assumptions and Catalog'!$E$53+'Assumptions and Catalog'!$F$53,IF(((D756+E756)*C756-G756)&lt;='Assumptions and Catalog'!$C$54,((D756+E756)*C756-G756)*'Assumptions and Catalog'!$H$54+'Assumptions and Catalog'!$E$54+'Assumptions and Catalog'!$F$54,IF(((D756+E756)*C756-G756)&lt;='Assumptions and Catalog'!$C$55,((D756+E756)*C756-G756)*'Assumptions and Catalog'!$H$55+'Assumptions and Catalog'!$E$55+'Assumptions and Catalog'!$F$55,IF(((D756+E756)*C756-G756)&lt;='Assumptions and Catalog'!$C$56,((D756+E756)*C756-G756)*'Assumptions and Catalog'!$H$56+'Assumptions and Catalog'!$E$56+'Assumptions and Catalog'!$F$56,IF(((D756+E756)*C756-G756)&lt;='Assumptions and Catalog'!$C$57,((D756+E756)*C756-G756)*'Assumptions and Catalog'!$H$57+'Assumptions and Catalog'!$E$57+'Assumptions and Catalog'!$F$57,"Out of range")))))))),IF(((D756+E756)*C756-G756)&lt;='Assumptions and Catalog'!$C$60,((D756+E756)*C756-G756)*'Assumptions and Catalog'!$H$60+'Assumptions and Catalog'!$E$60+'Assumptions and Catalog'!$F$60,IF(((D756+E756)*C756-G756)&lt;='Assumptions and Catalog'!$C$61,((D756+E756)*C756-G756)*'Assumptions and Catalog'!$H$61+'Assumptions and Catalog'!$E$61+'Assumptions and Catalog'!$F$61,IF(((D756+E756)*C756-G756)&lt;='Assumptions and Catalog'!$C$62,((D756+E756)*C756-G756)*'Assumptions and Catalog'!$H$62+'Assumptions and Catalog'!$E$62+'Assumptions and Catalog'!$F$62,IF(((D756+E756)*C756-G756)&lt;='Assumptions and Catalog'!$C$63,((D756+E756)*C756-G756)*'Assumptions and Catalog'!$H$63+'Assumptions and Catalog'!$E$63+'Assumptions and Catalog'!$F$63,IF(((D756+E756)*C756-G756)&lt;='Assumptions and Catalog'!$C$64,((D756+E756)*C756-G756)*'Assumptions and Catalog'!$H$64+'Assumptions and Catalog'!$E$64+'Assumptions and Catalog'!$F$64,IF(((D756+E756)*C756-G756)&lt;='Assumptions and Catalog'!$C$65,((D756+E756)*C756-G756)*'Assumptions and Catalog'!$H$65+'Assumptions and Catalog'!$E$65+'Assumptions and Catalog'!$F$65,"Out of range")))))))))*(1+'Assumptions and Catalog'!$C$8)^(A756-1),0)</f>
        <v>3567.397</v>
      </c>
      <c r="R756" s="5" t="n">
        <f>IF(AND('Assumptions and Catalog'!$C$19&gt;0,A756&gt;='Assumptions and Catalog'!$C$19),A756-'Assumptions and Catalog'!$C$19,A756-1)</f>
        <v>7</v>
      </c>
      <c r="S756" s="5" t="n">
        <f>F756+L756-(D756+E756)*C756-J756-K756-IF(E$52&gt;0,'Assumptions and Catalog'!$C$26*C756,0)</f>
        <v>0</v>
      </c>
      <c r="T756" s="5"/>
      <c r="U756" s="5"/>
    </row>
    <row r="757" ht="23.100000381469727" customHeight="1">
      <c r="A757" s="5" t="n">
        <v>9</v>
      </c>
      <c r="B757" s="5" t="n">
        <v>1</v>
      </c>
      <c r="C757" s="5" t="n">
        <f>DAY(DATE('Assumptions and Catalog'!$C$24+A757-1,B757+1,0))</f>
        <v>31</v>
      </c>
      <c r="D757" s="5" t="n">
        <f>IF(ISNUMBER(Inputs!$L$5),Inputs!$L$5*Inputs!$L$6,0)</f>
        <v>40.35</v>
      </c>
      <c r="E757" s="5" t="n">
        <f>IF(ISNUMBER(Inputs!$L$5),Inputs!$L$5-D757,0)</f>
        <v>40.35</v>
      </c>
      <c r="F757" s="5" t="n">
        <f>E$51*INDEX('Solar Production'!$D$20:$D$31,B757)*C757*(1-'Assumptions and Catalog'!$C$10)^(A757-1)</f>
        <v>1387.528962836</v>
      </c>
      <c r="G757" s="5" t="n">
        <f>MIN(F757,D757*C757)</f>
        <v>1250.85</v>
      </c>
      <c r="H757" s="5" t="n">
        <f>I757/('Assumptions and Catalog'!$C$11*'Assumptions and Catalog'!$C$12)</f>
        <v>136.678962836004</v>
      </c>
      <c r="I757" s="5" t="n">
        <f>MIN(E757*C757,P757*'Assumptions and Catalog'!$C$12*C757,(F757-G757)*'Assumptions and Catalog'!$C$11*'Assumptions and Catalog'!$C$12,E$56*'Assumptions and Catalog'!$C$14*'Assumptions and Catalog'!$C$11*'Assumptions and Catalog'!$C$12*C757,E$57*(24-'Assumptions and Catalog'!$C$13)*C757)</f>
        <v>129.930439045976</v>
      </c>
      <c r="J757" s="5" t="n">
        <f>MAX(F757-G757-H757,0)</f>
        <v>0</v>
      </c>
      <c r="K757" s="5" t="n">
        <f>H757-I757</f>
        <v>6.74852379002769</v>
      </c>
      <c r="L757" s="5" t="n">
        <f>(D757+E757)*C757-G757-I757+0+IF(E$52&gt;0,'Assumptions and Catalog'!$C$26*C757,0)</f>
        <v>1120.91956095402</v>
      </c>
      <c r="M757" s="5" t="n">
        <f>IF(ISNUMBER(Inputs!$L$5),(IF(Inputs!$L$9="Actual flat rate",((D757+E757)*C757)*Inputs!$L$10,IF(Inputs!$C$9="Residential",IF(((D757+E757)*C757)&lt;='Assumptions and Catalog'!$C$50,((D757+E757)*C757)*'Assumptions and Catalog'!$H$50+'Assumptions and Catalog'!$E$50+'Assumptions and Catalog'!$F$50,IF(((D757+E757)*C757)&lt;='Assumptions and Catalog'!$C$51,((D757+E757)*C757)*'Assumptions and Catalog'!$H$51+'Assumptions and Catalog'!$E$51+'Assumptions and Catalog'!$F$51,IF(((D757+E757)*C757)&lt;='Assumptions and Catalog'!$C$52,((D757+E757)*C757)*'Assumptions and Catalog'!$H$52+'Assumptions and Catalog'!$E$52+'Assumptions and Catalog'!$F$52,IF(((D757+E757)*C757)&lt;='Assumptions and Catalog'!$C$53,((D757+E757)*C757)*'Assumptions and Catalog'!$H$53+'Assumptions and Catalog'!$E$53+'Assumptions and Catalog'!$F$53,IF(((D757+E757)*C757)&lt;='Assumptions and Catalog'!$C$54,((D757+E757)*C757)*'Assumptions and Catalog'!$H$54+'Assumptions and Catalog'!$E$54+'Assumptions and Catalog'!$F$54,IF(((D757+E757)*C757)&lt;='Assumptions and Catalog'!$C$55,((D757+E757)*C757)*'Assumptions and Catalog'!$H$55+'Assumptions and Catalog'!$E$55+'Assumptions and Catalog'!$F$55,IF(((D757+E757)*C757)&lt;='Assumptions and Catalog'!$C$56,((D757+E757)*C757)*'Assumptions and Catalog'!$H$56+'Assumptions and Catalog'!$E$56+'Assumptions and Catalog'!$F$56,IF(((D757+E757)*C757)&lt;='Assumptions and Catalog'!$C$57,((D757+E757)*C757)*'Assumptions and Catalog'!$H$57+'Assumptions and Catalog'!$E$57+'Assumptions and Catalog'!$F$57,"Out of range")))))))),IF(((D757+E757)*C757)&lt;='Assumptions and Catalog'!$C$60,((D757+E757)*C757)*'Assumptions and Catalog'!$H$60+'Assumptions and Catalog'!$E$60+'Assumptions and Catalog'!$F$60,IF(((D757+E757)*C757)&lt;='Assumptions and Catalog'!$C$61,((D757+E757)*C757)*'Assumptions and Catalog'!$H$61+'Assumptions and Catalog'!$E$61+'Assumptions and Catalog'!$F$61,IF(((D757+E757)*C757)&lt;='Assumptions and Catalog'!$C$62,((D757+E757)*C757)*'Assumptions and Catalog'!$H$62+'Assumptions and Catalog'!$E$62+'Assumptions and Catalog'!$F$62,IF(((D757+E757)*C757)&lt;='Assumptions and Catalog'!$C$63,((D757+E757)*C757)*'Assumptions and Catalog'!$H$63+'Assumptions and Catalog'!$E$63+'Assumptions and Catalog'!$F$63,IF(((D757+E757)*C757)&lt;='Assumptions and Catalog'!$C$64,((D757+E757)*C757)*'Assumptions and Catalog'!$H$64+'Assumptions and Catalog'!$E$64+'Assumptions and Catalog'!$F$64,IF(((D757+E757)*C757)&lt;='Assumptions and Catalog'!$C$65,((D757+E757)*C757)*'Assumptions and Catalog'!$H$65+'Assumptions and Catalog'!$E$65+'Assumptions and Catalog'!$F$65,"Out of range")))))))))*(1+'Assumptions and Catalog'!$C$8)^(A757-1),0)</f>
        <v>7094.794</v>
      </c>
      <c r="N757" s="5" t="n">
        <f>IF(ISNUMBER(Inputs!$L$5),(IF(Inputs!$L$9="Actual flat rate",L757*Inputs!$L$10,IF(Inputs!$C$9="Residential",IF(L757&lt;='Assumptions and Catalog'!$C$50,L757*'Assumptions and Catalog'!$H$50+'Assumptions and Catalog'!$E$50+'Assumptions and Catalog'!$F$50,IF(L757&lt;='Assumptions and Catalog'!$C$51,L757*'Assumptions and Catalog'!$H$51+'Assumptions and Catalog'!$E$51+'Assumptions and Catalog'!$F$51,IF(L757&lt;='Assumptions and Catalog'!$C$52,L757*'Assumptions and Catalog'!$H$52+'Assumptions and Catalog'!$E$52+'Assumptions and Catalog'!$F$52,IF(L757&lt;='Assumptions and Catalog'!$C$53,L757*'Assumptions and Catalog'!$H$53+'Assumptions and Catalog'!$E$53+'Assumptions and Catalog'!$F$53,IF(L757&lt;='Assumptions and Catalog'!$C$54,L757*'Assumptions and Catalog'!$H$54+'Assumptions and Catalog'!$E$54+'Assumptions and Catalog'!$F$54,IF(L757&lt;='Assumptions and Catalog'!$C$55,L757*'Assumptions and Catalog'!$H$55+'Assumptions and Catalog'!$E$55+'Assumptions and Catalog'!$F$55,IF(L757&lt;='Assumptions and Catalog'!$C$56,L757*'Assumptions and Catalog'!$H$56+'Assumptions and Catalog'!$E$56+'Assumptions and Catalog'!$F$56,IF(L757&lt;='Assumptions and Catalog'!$C$57,L757*'Assumptions and Catalog'!$H$57+'Assumptions and Catalog'!$E$57+'Assumptions and Catalog'!$F$57,"Out of range")))))))),IF(L757&lt;='Assumptions and Catalog'!$C$60,L757*'Assumptions and Catalog'!$H$60+'Assumptions and Catalog'!$E$60+'Assumptions and Catalog'!$F$60,IF(L757&lt;='Assumptions and Catalog'!$C$61,L757*'Assumptions and Catalog'!$H$61+'Assumptions and Catalog'!$E$61+'Assumptions and Catalog'!$F$61,IF(L757&lt;='Assumptions and Catalog'!$C$62,L757*'Assumptions and Catalog'!$H$62+'Assumptions and Catalog'!$E$62+'Assumptions and Catalog'!$F$62,IF(L757&lt;='Assumptions and Catalog'!$C$63,L757*'Assumptions and Catalog'!$H$63+'Assumptions and Catalog'!$E$63+'Assumptions and Catalog'!$F$63,IF(L757&lt;='Assumptions and Catalog'!$C$64,L757*'Assumptions and Catalog'!$H$64+'Assumptions and Catalog'!$E$64+'Assumptions and Catalog'!$F$64,IF(L757&lt;='Assumptions and Catalog'!$C$65,L757*'Assumptions and Catalog'!$H$65+'Assumptions and Catalog'!$E$65+'Assumptions and Catalog'!$F$65,"Out of range")))))))))*(1+'Assumptions and Catalog'!$C$8)^(A757-1),0)</f>
        <v>3200.99316189035</v>
      </c>
      <c r="O757" s="5" t="n">
        <f>M757-N757</f>
        <v>3893.80083810965</v>
      </c>
      <c r="P757" s="5" t="n">
        <f>E$55*(1-L$14)*(1-'Assumptions and Catalog'!$C$23)^R757</f>
        <v>8.71181335123749</v>
      </c>
      <c r="Q757" s="5" t="n">
        <f>IF(ISNUMBER(Inputs!$L$5),(IF(Inputs!$L$9="Actual flat rate",((D757+E757)*C757-G757)*Inputs!$L$10,IF(Inputs!$C$9="Residential",IF(((D757+E757)*C757-G757)&lt;='Assumptions and Catalog'!$C$50,((D757+E757)*C757-G757)*'Assumptions and Catalog'!$H$50+'Assumptions and Catalog'!$E$50+'Assumptions and Catalog'!$F$50,IF(((D757+E757)*C757-G757)&lt;='Assumptions and Catalog'!$C$51,((D757+E757)*C757-G757)*'Assumptions and Catalog'!$H$51+'Assumptions and Catalog'!$E$51+'Assumptions and Catalog'!$F$51,IF(((D757+E757)*C757-G757)&lt;='Assumptions and Catalog'!$C$52,((D757+E757)*C757-G757)*'Assumptions and Catalog'!$H$52+'Assumptions and Catalog'!$E$52+'Assumptions and Catalog'!$F$52,IF(((D757+E757)*C757-G757)&lt;='Assumptions and Catalog'!$C$53,((D757+E757)*C757-G757)*'Assumptions and Catalog'!$H$53+'Assumptions and Catalog'!$E$53+'Assumptions and Catalog'!$F$53,IF(((D757+E757)*C757-G757)&lt;='Assumptions and Catalog'!$C$54,((D757+E757)*C757-G757)*'Assumptions and Catalog'!$H$54+'Assumptions and Catalog'!$E$54+'Assumptions and Catalog'!$F$54,IF(((D757+E757)*C757-G757)&lt;='Assumptions and Catalog'!$C$55,((D757+E757)*C757-G757)*'Assumptions and Catalog'!$H$55+'Assumptions and Catalog'!$E$55+'Assumptions and Catalog'!$F$55,IF(((D757+E757)*C757-G757)&lt;='Assumptions and Catalog'!$C$56,((D757+E757)*C757-G757)*'Assumptions and Catalog'!$H$56+'Assumptions and Catalog'!$E$56+'Assumptions and Catalog'!$F$56,IF(((D757+E757)*C757-G757)&lt;='Assumptions and Catalog'!$C$57,((D757+E757)*C757-G757)*'Assumptions and Catalog'!$H$57+'Assumptions and Catalog'!$E$57+'Assumptions and Catalog'!$F$57,"Out of range")))))))),IF(((D757+E757)*C757-G757)&lt;='Assumptions and Catalog'!$C$60,((D757+E757)*C757-G757)*'Assumptions and Catalog'!$H$60+'Assumptions and Catalog'!$E$60+'Assumptions and Catalog'!$F$60,IF(((D757+E757)*C757-G757)&lt;='Assumptions and Catalog'!$C$61,((D757+E757)*C757-G757)*'Assumptions and Catalog'!$H$61+'Assumptions and Catalog'!$E$61+'Assumptions and Catalog'!$F$61,IF(((D757+E757)*C757-G757)&lt;='Assumptions and Catalog'!$C$62,((D757+E757)*C757-G757)*'Assumptions and Catalog'!$H$62+'Assumptions and Catalog'!$E$62+'Assumptions and Catalog'!$F$62,IF(((D757+E757)*C757-G757)&lt;='Assumptions and Catalog'!$C$63,((D757+E757)*C757-G757)*'Assumptions and Catalog'!$H$63+'Assumptions and Catalog'!$E$63+'Assumptions and Catalog'!$F$63,IF(((D757+E757)*C757-G757)&lt;='Assumptions and Catalog'!$C$64,((D757+E757)*C757-G757)*'Assumptions and Catalog'!$H$64+'Assumptions and Catalog'!$E$64+'Assumptions and Catalog'!$F$64,IF(((D757+E757)*C757-G757)&lt;='Assumptions and Catalog'!$C$65,((D757+E757)*C757-G757)*'Assumptions and Catalog'!$H$65+'Assumptions and Catalog'!$E$65+'Assumptions and Catalog'!$F$65,"Out of range")))))))))*(1+'Assumptions and Catalog'!$C$8)^(A757-1),0)</f>
        <v>3567.397</v>
      </c>
      <c r="R757" s="5" t="n">
        <f>IF(AND('Assumptions and Catalog'!$C$19&gt;0,A757&gt;='Assumptions and Catalog'!$C$19),A757-'Assumptions and Catalog'!$C$19,A757-1)</f>
        <v>8</v>
      </c>
      <c r="S757" s="5" t="n">
        <f>F757+L757-(D757+E757)*C757-J757-K757-IF(E$52&gt;0,'Assumptions and Catalog'!$C$26*C757,0)</f>
        <v>8.5265128291212E-014</v>
      </c>
      <c r="T757" s="5"/>
      <c r="U757" s="5"/>
    </row>
    <row r="758" ht="23.100000381469727" customHeight="1">
      <c r="A758" s="5" t="n">
        <v>9</v>
      </c>
      <c r="B758" s="5" t="n">
        <v>2</v>
      </c>
      <c r="C758" s="5" t="n">
        <f>DAY(DATE('Assumptions and Catalog'!$C$24+A758-1,B758+1,0))</f>
        <v>28</v>
      </c>
      <c r="D758" s="5" t="n">
        <f>IF(ISNUMBER(Inputs!$L$5),Inputs!$L$5*Inputs!$L$6,0)</f>
        <v>40.35</v>
      </c>
      <c r="E758" s="5" t="n">
        <f>IF(ISNUMBER(Inputs!$L$5),Inputs!$L$5-D758,0)</f>
        <v>40.35</v>
      </c>
      <c r="F758" s="5" t="n">
        <f>E$51*INDEX('Solar Production'!$D$20:$D$31,B758)*C758*(1-'Assumptions and Catalog'!$C$10)^(A758-1)</f>
        <v>1367.97885939924</v>
      </c>
      <c r="G758" s="5" t="n">
        <f>MIN(F758,D758*C758)</f>
        <v>1129.8</v>
      </c>
      <c r="H758" s="5" t="n">
        <f>I758/('Assumptions and Catalog'!$C$11*'Assumptions and Catalog'!$C$12)</f>
        <v>238.178859399243</v>
      </c>
      <c r="I758" s="5" t="n">
        <f>MIN(E758*C758,P758*'Assumptions and Catalog'!$C$12*C758,(F758-G758)*'Assumptions and Catalog'!$C$11*'Assumptions and Catalog'!$C$12,E$56*'Assumptions and Catalog'!$C$14*'Assumptions and Catalog'!$C$11*'Assumptions and Catalog'!$C$12*C758,E$57*(24-'Assumptions and Catalog'!$C$13)*C758)</f>
        <v>226.418778216405</v>
      </c>
      <c r="J758" s="5" t="n">
        <f>MAX(F758-G758-H758,0)</f>
        <v>0</v>
      </c>
      <c r="K758" s="5" t="n">
        <f>H758-I758</f>
        <v>11.7600811828376</v>
      </c>
      <c r="L758" s="5" t="n">
        <f>(D758+E758)*C758-G758-I758+0+IF(E$52&gt;0,'Assumptions and Catalog'!$C$26*C758,0)</f>
        <v>903.381221783595</v>
      </c>
      <c r="M758" s="5" t="n">
        <f>IF(ISNUMBER(Inputs!$L$5),(IF(Inputs!$L$9="Actual flat rate",((D758+E758)*C758)*Inputs!$L$10,IF(Inputs!$C$9="Residential",IF(((D758+E758)*C758)&lt;='Assumptions and Catalog'!$C$50,((D758+E758)*C758)*'Assumptions and Catalog'!$H$50+'Assumptions and Catalog'!$E$50+'Assumptions and Catalog'!$F$50,IF(((D758+E758)*C758)&lt;='Assumptions and Catalog'!$C$51,((D758+E758)*C758)*'Assumptions and Catalog'!$H$51+'Assumptions and Catalog'!$E$51+'Assumptions and Catalog'!$F$51,IF(((D758+E758)*C758)&lt;='Assumptions and Catalog'!$C$52,((D758+E758)*C758)*'Assumptions and Catalog'!$H$52+'Assumptions and Catalog'!$E$52+'Assumptions and Catalog'!$F$52,IF(((D758+E758)*C758)&lt;='Assumptions and Catalog'!$C$53,((D758+E758)*C758)*'Assumptions and Catalog'!$H$53+'Assumptions and Catalog'!$E$53+'Assumptions and Catalog'!$F$53,IF(((D758+E758)*C758)&lt;='Assumptions and Catalog'!$C$54,((D758+E758)*C758)*'Assumptions and Catalog'!$H$54+'Assumptions and Catalog'!$E$54+'Assumptions and Catalog'!$F$54,IF(((D758+E758)*C758)&lt;='Assumptions and Catalog'!$C$55,((D758+E758)*C758)*'Assumptions and Catalog'!$H$55+'Assumptions and Catalog'!$E$55+'Assumptions and Catalog'!$F$55,IF(((D758+E758)*C758)&lt;='Assumptions and Catalog'!$C$56,((D758+E758)*C758)*'Assumptions and Catalog'!$H$56+'Assumptions and Catalog'!$E$56+'Assumptions and Catalog'!$F$56,IF(((D758+E758)*C758)&lt;='Assumptions and Catalog'!$C$57,((D758+E758)*C758)*'Assumptions and Catalog'!$H$57+'Assumptions and Catalog'!$E$57+'Assumptions and Catalog'!$F$57,"Out of range")))))))),IF(((D758+E758)*C758)&lt;='Assumptions and Catalog'!$C$60,((D758+E758)*C758)*'Assumptions and Catalog'!$H$60+'Assumptions and Catalog'!$E$60+'Assumptions and Catalog'!$F$60,IF(((D758+E758)*C758)&lt;='Assumptions and Catalog'!$C$61,((D758+E758)*C758)*'Assumptions and Catalog'!$H$61+'Assumptions and Catalog'!$E$61+'Assumptions and Catalog'!$F$61,IF(((D758+E758)*C758)&lt;='Assumptions and Catalog'!$C$62,((D758+E758)*C758)*'Assumptions and Catalog'!$H$62+'Assumptions and Catalog'!$E$62+'Assumptions and Catalog'!$F$62,IF(((D758+E758)*C758)&lt;='Assumptions and Catalog'!$C$63,((D758+E758)*C758)*'Assumptions and Catalog'!$H$63+'Assumptions and Catalog'!$E$63+'Assumptions and Catalog'!$F$63,IF(((D758+E758)*C758)&lt;='Assumptions and Catalog'!$C$64,((D758+E758)*C758)*'Assumptions and Catalog'!$H$64+'Assumptions and Catalog'!$E$64+'Assumptions and Catalog'!$F$64,IF(((D758+E758)*C758)&lt;='Assumptions and Catalog'!$C$65,((D758+E758)*C758)*'Assumptions and Catalog'!$H$65+'Assumptions and Catalog'!$E$65+'Assumptions and Catalog'!$F$65,"Out of range")))))))))*(1+'Assumptions and Catalog'!$C$8)^(A758-1),0)</f>
        <v>6412.072</v>
      </c>
      <c r="N758" s="5" t="n">
        <f>IF(ISNUMBER(Inputs!$L$5),(IF(Inputs!$L$9="Actual flat rate",L758*Inputs!$L$10,IF(Inputs!$C$9="Residential",IF(L758&lt;='Assumptions and Catalog'!$C$50,L758*'Assumptions and Catalog'!$H$50+'Assumptions and Catalog'!$E$50+'Assumptions and Catalog'!$F$50,IF(L758&lt;='Assumptions and Catalog'!$C$51,L758*'Assumptions and Catalog'!$H$51+'Assumptions and Catalog'!$E$51+'Assumptions and Catalog'!$F$51,IF(L758&lt;='Assumptions and Catalog'!$C$52,L758*'Assumptions and Catalog'!$H$52+'Assumptions and Catalog'!$E$52+'Assumptions and Catalog'!$F$52,IF(L758&lt;='Assumptions and Catalog'!$C$53,L758*'Assumptions and Catalog'!$H$53+'Assumptions and Catalog'!$E$53+'Assumptions and Catalog'!$F$53,IF(L758&lt;='Assumptions and Catalog'!$C$54,L758*'Assumptions and Catalog'!$H$54+'Assumptions and Catalog'!$E$54+'Assumptions and Catalog'!$F$54,IF(L758&lt;='Assumptions and Catalog'!$C$55,L758*'Assumptions and Catalog'!$H$55+'Assumptions and Catalog'!$E$55+'Assumptions and Catalog'!$F$55,IF(L758&lt;='Assumptions and Catalog'!$C$56,L758*'Assumptions and Catalog'!$H$56+'Assumptions and Catalog'!$E$56+'Assumptions and Catalog'!$F$56,IF(L758&lt;='Assumptions and Catalog'!$C$57,L758*'Assumptions and Catalog'!$H$57+'Assumptions and Catalog'!$E$57+'Assumptions and Catalog'!$F$57,"Out of range")))))))),IF(L758&lt;='Assumptions and Catalog'!$C$60,L758*'Assumptions and Catalog'!$H$60+'Assumptions and Catalog'!$E$60+'Assumptions and Catalog'!$F$60,IF(L758&lt;='Assumptions and Catalog'!$C$61,L758*'Assumptions and Catalog'!$H$61+'Assumptions and Catalog'!$E$61+'Assumptions and Catalog'!$F$61,IF(L758&lt;='Assumptions and Catalog'!$C$62,L758*'Assumptions and Catalog'!$H$62+'Assumptions and Catalog'!$E$62+'Assumptions and Catalog'!$F$62,IF(L758&lt;='Assumptions and Catalog'!$C$63,L758*'Assumptions and Catalog'!$H$63+'Assumptions and Catalog'!$E$63+'Assumptions and Catalog'!$F$63,IF(L758&lt;='Assumptions and Catalog'!$C$64,L758*'Assumptions and Catalog'!$H$64+'Assumptions and Catalog'!$E$64+'Assumptions and Catalog'!$F$64,IF(L758&lt;='Assumptions and Catalog'!$C$65,L758*'Assumptions and Catalog'!$H$65+'Assumptions and Catalog'!$E$65+'Assumptions and Catalog'!$F$65,"Out of range")))))))))*(1+'Assumptions and Catalog'!$C$8)^(A758-1),0)</f>
        <v>2467.36598434056</v>
      </c>
      <c r="O758" s="5" t="n">
        <f>M758-N758</f>
        <v>3944.70601565944</v>
      </c>
      <c r="P758" s="5" t="n">
        <f>E$55*(1-L$14)*(1-'Assumptions and Catalog'!$C$23)^R758</f>
        <v>8.71181335123749</v>
      </c>
      <c r="Q758" s="5" t="n">
        <f>IF(ISNUMBER(Inputs!$L$5),(IF(Inputs!$L$9="Actual flat rate",((D758+E758)*C758-G758)*Inputs!$L$10,IF(Inputs!$C$9="Residential",IF(((D758+E758)*C758-G758)&lt;='Assumptions and Catalog'!$C$50,((D758+E758)*C758-G758)*'Assumptions and Catalog'!$H$50+'Assumptions and Catalog'!$E$50+'Assumptions and Catalog'!$F$50,IF(((D758+E758)*C758-G758)&lt;='Assumptions and Catalog'!$C$51,((D758+E758)*C758-G758)*'Assumptions and Catalog'!$H$51+'Assumptions and Catalog'!$E$51+'Assumptions and Catalog'!$F$51,IF(((D758+E758)*C758-G758)&lt;='Assumptions and Catalog'!$C$52,((D758+E758)*C758-G758)*'Assumptions and Catalog'!$H$52+'Assumptions and Catalog'!$E$52+'Assumptions and Catalog'!$F$52,IF(((D758+E758)*C758-G758)&lt;='Assumptions and Catalog'!$C$53,((D758+E758)*C758-G758)*'Assumptions and Catalog'!$H$53+'Assumptions and Catalog'!$E$53+'Assumptions and Catalog'!$F$53,IF(((D758+E758)*C758-G758)&lt;='Assumptions and Catalog'!$C$54,((D758+E758)*C758-G758)*'Assumptions and Catalog'!$H$54+'Assumptions and Catalog'!$E$54+'Assumptions and Catalog'!$F$54,IF(((D758+E758)*C758-G758)&lt;='Assumptions and Catalog'!$C$55,((D758+E758)*C758-G758)*'Assumptions and Catalog'!$H$55+'Assumptions and Catalog'!$E$55+'Assumptions and Catalog'!$F$55,IF(((D758+E758)*C758-G758)&lt;='Assumptions and Catalog'!$C$56,((D758+E758)*C758-G758)*'Assumptions and Catalog'!$H$56+'Assumptions and Catalog'!$E$56+'Assumptions and Catalog'!$F$56,IF(((D758+E758)*C758-G758)&lt;='Assumptions and Catalog'!$C$57,((D758+E758)*C758-G758)*'Assumptions and Catalog'!$H$57+'Assumptions and Catalog'!$E$57+'Assumptions and Catalog'!$F$57,"Out of range")))))))),IF(((D758+E758)*C758-G758)&lt;='Assumptions and Catalog'!$C$60,((D758+E758)*C758-G758)*'Assumptions and Catalog'!$H$60+'Assumptions and Catalog'!$E$60+'Assumptions and Catalog'!$F$60,IF(((D758+E758)*C758-G758)&lt;='Assumptions and Catalog'!$C$61,((D758+E758)*C758-G758)*'Assumptions and Catalog'!$H$61+'Assumptions and Catalog'!$E$61+'Assumptions and Catalog'!$F$61,IF(((D758+E758)*C758-G758)&lt;='Assumptions and Catalog'!$C$62,((D758+E758)*C758-G758)*'Assumptions and Catalog'!$H$62+'Assumptions and Catalog'!$E$62+'Assumptions and Catalog'!$F$62,IF(((D758+E758)*C758-G758)&lt;='Assumptions and Catalog'!$C$63,((D758+E758)*C758-G758)*'Assumptions and Catalog'!$H$63+'Assumptions and Catalog'!$E$63+'Assumptions and Catalog'!$F$63,IF(((D758+E758)*C758-G758)&lt;='Assumptions and Catalog'!$C$64,((D758+E758)*C758-G758)*'Assumptions and Catalog'!$H$64+'Assumptions and Catalog'!$E$64+'Assumptions and Catalog'!$F$64,IF(((D758+E758)*C758-G758)&lt;='Assumptions and Catalog'!$C$65,((D758+E758)*C758-G758)*'Assumptions and Catalog'!$H$65+'Assumptions and Catalog'!$E$65+'Assumptions and Catalog'!$F$65,"Out of range")))))))))*(1+'Assumptions and Catalog'!$C$8)^(A758-1),0)</f>
        <v>3226.036</v>
      </c>
      <c r="R758" s="5" t="n">
        <f>IF(AND('Assumptions and Catalog'!$C$19&gt;0,A758&gt;='Assumptions and Catalog'!$C$19),A758-'Assumptions and Catalog'!$C$19,A758-1)</f>
        <v>8</v>
      </c>
      <c r="S758" s="5" t="n">
        <f>F758+L758-(D758+E758)*C758-J758-K758-IF(E$52&gt;0,'Assumptions and Catalog'!$C$26*C758,0)</f>
        <v>-1.98951966012828E-013</v>
      </c>
      <c r="T758" s="5"/>
      <c r="U758" s="5"/>
    </row>
    <row r="759" ht="23.100000381469727" customHeight="1">
      <c r="A759" s="5" t="n">
        <v>9</v>
      </c>
      <c r="B759" s="5" t="n">
        <v>3</v>
      </c>
      <c r="C759" s="5" t="n">
        <f>DAY(DATE('Assumptions and Catalog'!$C$24+A759-1,B759+1,0))</f>
        <v>31</v>
      </c>
      <c r="D759" s="5" t="n">
        <f>IF(ISNUMBER(Inputs!$L$5),Inputs!$L$5*Inputs!$L$6,0)</f>
        <v>40.35</v>
      </c>
      <c r="E759" s="5" t="n">
        <f>IF(ISNUMBER(Inputs!$L$5),Inputs!$L$5-D759,0)</f>
        <v>40.35</v>
      </c>
      <c r="F759" s="5" t="n">
        <f>E$51*INDEX('Solar Production'!$D$20:$D$31,B759)*C759*(1-'Assumptions and Catalog'!$C$10)^(A759-1)</f>
        <v>1702.02143758086</v>
      </c>
      <c r="G759" s="5" t="n">
        <f>MIN(F759,D759*C759)</f>
        <v>1250.85</v>
      </c>
      <c r="H759" s="5" t="n">
        <f>I759/('Assumptions and Catalog'!$C$11*'Assumptions and Catalog'!$C$12)</f>
        <v>276.990988603448</v>
      </c>
      <c r="I759" s="5" t="n">
        <f>MIN(E759*C759,P759*'Assumptions and Catalog'!$C$12*C759,(F759-G759)*'Assumptions and Catalog'!$C$11*'Assumptions and Catalog'!$C$12,E$56*'Assumptions and Catalog'!$C$14*'Assumptions and Catalog'!$C$11*'Assumptions and Catalog'!$C$12*C759,E$57*(24-'Assumptions and Catalog'!$C$13)*C759)</f>
        <v>263.314558541153</v>
      </c>
      <c r="J759" s="5" t="n">
        <f>MAX(F759-G759-H759,0)</f>
        <v>174.18044897741</v>
      </c>
      <c r="K759" s="5" t="n">
        <f>H759-I759</f>
        <v>13.6764300622953</v>
      </c>
      <c r="L759" s="5" t="n">
        <f>(D759+E759)*C759-G759-I759+0+IF(E$52&gt;0,'Assumptions and Catalog'!$C$26*C759,0)</f>
        <v>987.535441458847</v>
      </c>
      <c r="M759" s="5" t="n">
        <f>IF(ISNUMBER(Inputs!$L$5),(IF(Inputs!$L$9="Actual flat rate",((D759+E759)*C759)*Inputs!$L$10,IF(Inputs!$C$9="Residential",IF(((D759+E759)*C759)&lt;='Assumptions and Catalog'!$C$50,((D759+E759)*C759)*'Assumptions and Catalog'!$H$50+'Assumptions and Catalog'!$E$50+'Assumptions and Catalog'!$F$50,IF(((D759+E759)*C759)&lt;='Assumptions and Catalog'!$C$51,((D759+E759)*C759)*'Assumptions and Catalog'!$H$51+'Assumptions and Catalog'!$E$51+'Assumptions and Catalog'!$F$51,IF(((D759+E759)*C759)&lt;='Assumptions and Catalog'!$C$52,((D759+E759)*C759)*'Assumptions and Catalog'!$H$52+'Assumptions and Catalog'!$E$52+'Assumptions and Catalog'!$F$52,IF(((D759+E759)*C759)&lt;='Assumptions and Catalog'!$C$53,((D759+E759)*C759)*'Assumptions and Catalog'!$H$53+'Assumptions and Catalog'!$E$53+'Assumptions and Catalog'!$F$53,IF(((D759+E759)*C759)&lt;='Assumptions and Catalog'!$C$54,((D759+E759)*C759)*'Assumptions and Catalog'!$H$54+'Assumptions and Catalog'!$E$54+'Assumptions and Catalog'!$F$54,IF(((D759+E759)*C759)&lt;='Assumptions and Catalog'!$C$55,((D759+E759)*C759)*'Assumptions and Catalog'!$H$55+'Assumptions and Catalog'!$E$55+'Assumptions and Catalog'!$F$55,IF(((D759+E759)*C759)&lt;='Assumptions and Catalog'!$C$56,((D759+E759)*C759)*'Assumptions and Catalog'!$H$56+'Assumptions and Catalog'!$E$56+'Assumptions and Catalog'!$F$56,IF(((D759+E759)*C759)&lt;='Assumptions and Catalog'!$C$57,((D759+E759)*C759)*'Assumptions and Catalog'!$H$57+'Assumptions and Catalog'!$E$57+'Assumptions and Catalog'!$F$57,"Out of range")))))))),IF(((D759+E759)*C759)&lt;='Assumptions and Catalog'!$C$60,((D759+E759)*C759)*'Assumptions and Catalog'!$H$60+'Assumptions and Catalog'!$E$60+'Assumptions and Catalog'!$F$60,IF(((D759+E759)*C759)&lt;='Assumptions and Catalog'!$C$61,((D759+E759)*C759)*'Assumptions and Catalog'!$H$61+'Assumptions and Catalog'!$E$61+'Assumptions and Catalog'!$F$61,IF(((D759+E759)*C759)&lt;='Assumptions and Catalog'!$C$62,((D759+E759)*C759)*'Assumptions and Catalog'!$H$62+'Assumptions and Catalog'!$E$62+'Assumptions and Catalog'!$F$62,IF(((D759+E759)*C759)&lt;='Assumptions and Catalog'!$C$63,((D759+E759)*C759)*'Assumptions and Catalog'!$H$63+'Assumptions and Catalog'!$E$63+'Assumptions and Catalog'!$F$63,IF(((D759+E759)*C759)&lt;='Assumptions and Catalog'!$C$64,((D759+E759)*C759)*'Assumptions and Catalog'!$H$64+'Assumptions and Catalog'!$E$64+'Assumptions and Catalog'!$F$64,IF(((D759+E759)*C759)&lt;='Assumptions and Catalog'!$C$65,((D759+E759)*C759)*'Assumptions and Catalog'!$H$65+'Assumptions and Catalog'!$E$65+'Assumptions and Catalog'!$F$65,"Out of range")))))))))*(1+'Assumptions and Catalog'!$C$8)^(A759-1),0)</f>
        <v>7094.794</v>
      </c>
      <c r="N759" s="5" t="n">
        <f>IF(ISNUMBER(Inputs!$L$5),(IF(Inputs!$L$9="Actual flat rate",L759*Inputs!$L$10,IF(Inputs!$C$9="Residential",IF(L759&lt;='Assumptions and Catalog'!$C$50,L759*'Assumptions and Catalog'!$H$50+'Assumptions and Catalog'!$E$50+'Assumptions and Catalog'!$F$50,IF(L759&lt;='Assumptions and Catalog'!$C$51,L759*'Assumptions and Catalog'!$H$51+'Assumptions and Catalog'!$E$51+'Assumptions and Catalog'!$F$51,IF(L759&lt;='Assumptions and Catalog'!$C$52,L759*'Assumptions and Catalog'!$H$52+'Assumptions and Catalog'!$E$52+'Assumptions and Catalog'!$F$52,IF(L759&lt;='Assumptions and Catalog'!$C$53,L759*'Assumptions and Catalog'!$H$53+'Assumptions and Catalog'!$E$53+'Assumptions and Catalog'!$F$53,IF(L759&lt;='Assumptions and Catalog'!$C$54,L759*'Assumptions and Catalog'!$H$54+'Assumptions and Catalog'!$E$54+'Assumptions and Catalog'!$F$54,IF(L759&lt;='Assumptions and Catalog'!$C$55,L759*'Assumptions and Catalog'!$H$55+'Assumptions and Catalog'!$E$55+'Assumptions and Catalog'!$F$55,IF(L759&lt;='Assumptions and Catalog'!$C$56,L759*'Assumptions and Catalog'!$H$56+'Assumptions and Catalog'!$E$56+'Assumptions and Catalog'!$F$56,IF(L759&lt;='Assumptions and Catalog'!$C$57,L759*'Assumptions and Catalog'!$H$57+'Assumptions and Catalog'!$E$57+'Assumptions and Catalog'!$F$57,"Out of range")))))))),IF(L759&lt;='Assumptions and Catalog'!$C$60,L759*'Assumptions and Catalog'!$H$60+'Assumptions and Catalog'!$E$60+'Assumptions and Catalog'!$F$60,IF(L759&lt;='Assumptions and Catalog'!$C$61,L759*'Assumptions and Catalog'!$H$61+'Assumptions and Catalog'!$E$61+'Assumptions and Catalog'!$F$61,IF(L759&lt;='Assumptions and Catalog'!$C$62,L759*'Assumptions and Catalog'!$H$62+'Assumptions and Catalog'!$E$62+'Assumptions and Catalog'!$F$62,IF(L759&lt;='Assumptions and Catalog'!$C$63,L759*'Assumptions and Catalog'!$H$63+'Assumptions and Catalog'!$E$63+'Assumptions and Catalog'!$F$63,IF(L759&lt;='Assumptions and Catalog'!$C$64,L759*'Assumptions and Catalog'!$H$64+'Assumptions and Catalog'!$E$64+'Assumptions and Catalog'!$F$64,IF(L759&lt;='Assumptions and Catalog'!$C$65,L759*'Assumptions and Catalog'!$H$65+'Assumptions and Catalog'!$E$65+'Assumptions and Catalog'!$F$65,"Out of range")))))))))*(1+'Assumptions and Catalog'!$C$8)^(A759-1),0)</f>
        <v>2700.47317284101</v>
      </c>
      <c r="O759" s="5" t="n">
        <f>M759-N759</f>
        <v>4394.320827159</v>
      </c>
      <c r="P759" s="5" t="n">
        <f>E$55*(1-L$14)*(1-'Assumptions and Catalog'!$C$23)^R759</f>
        <v>8.71181335123749</v>
      </c>
      <c r="Q759" s="5" t="n">
        <f>IF(ISNUMBER(Inputs!$L$5),(IF(Inputs!$L$9="Actual flat rate",((D759+E759)*C759-G759)*Inputs!$L$10,IF(Inputs!$C$9="Residential",IF(((D759+E759)*C759-G759)&lt;='Assumptions and Catalog'!$C$50,((D759+E759)*C759-G759)*'Assumptions and Catalog'!$H$50+'Assumptions and Catalog'!$E$50+'Assumptions and Catalog'!$F$50,IF(((D759+E759)*C759-G759)&lt;='Assumptions and Catalog'!$C$51,((D759+E759)*C759-G759)*'Assumptions and Catalog'!$H$51+'Assumptions and Catalog'!$E$51+'Assumptions and Catalog'!$F$51,IF(((D759+E759)*C759-G759)&lt;='Assumptions and Catalog'!$C$52,((D759+E759)*C759-G759)*'Assumptions and Catalog'!$H$52+'Assumptions and Catalog'!$E$52+'Assumptions and Catalog'!$F$52,IF(((D759+E759)*C759-G759)&lt;='Assumptions and Catalog'!$C$53,((D759+E759)*C759-G759)*'Assumptions and Catalog'!$H$53+'Assumptions and Catalog'!$E$53+'Assumptions and Catalog'!$F$53,IF(((D759+E759)*C759-G759)&lt;='Assumptions and Catalog'!$C$54,((D759+E759)*C759-G759)*'Assumptions and Catalog'!$H$54+'Assumptions and Catalog'!$E$54+'Assumptions and Catalog'!$F$54,IF(((D759+E759)*C759-G759)&lt;='Assumptions and Catalog'!$C$55,((D759+E759)*C759-G759)*'Assumptions and Catalog'!$H$55+'Assumptions and Catalog'!$E$55+'Assumptions and Catalog'!$F$55,IF(((D759+E759)*C759-G759)&lt;='Assumptions and Catalog'!$C$56,((D759+E759)*C759-G759)*'Assumptions and Catalog'!$H$56+'Assumptions and Catalog'!$E$56+'Assumptions and Catalog'!$F$56,IF(((D759+E759)*C759-G759)&lt;='Assumptions and Catalog'!$C$57,((D759+E759)*C759-G759)*'Assumptions and Catalog'!$H$57+'Assumptions and Catalog'!$E$57+'Assumptions and Catalog'!$F$57,"Out of range")))))))),IF(((D759+E759)*C759-G759)&lt;='Assumptions and Catalog'!$C$60,((D759+E759)*C759-G759)*'Assumptions and Catalog'!$H$60+'Assumptions and Catalog'!$E$60+'Assumptions and Catalog'!$F$60,IF(((D759+E759)*C759-G759)&lt;='Assumptions and Catalog'!$C$61,((D759+E759)*C759-G759)*'Assumptions and Catalog'!$H$61+'Assumptions and Catalog'!$E$61+'Assumptions and Catalog'!$F$61,IF(((D759+E759)*C759-G759)&lt;='Assumptions and Catalog'!$C$62,((D759+E759)*C759-G759)*'Assumptions and Catalog'!$H$62+'Assumptions and Catalog'!$E$62+'Assumptions and Catalog'!$F$62,IF(((D759+E759)*C759-G759)&lt;='Assumptions and Catalog'!$C$63,((D759+E759)*C759-G759)*'Assumptions and Catalog'!$H$63+'Assumptions and Catalog'!$E$63+'Assumptions and Catalog'!$F$63,IF(((D759+E759)*C759-G759)&lt;='Assumptions and Catalog'!$C$64,((D759+E759)*C759-G759)*'Assumptions and Catalog'!$H$64+'Assumptions and Catalog'!$E$64+'Assumptions and Catalog'!$F$64,IF(((D759+E759)*C759-G759)&lt;='Assumptions and Catalog'!$C$65,((D759+E759)*C759-G759)*'Assumptions and Catalog'!$H$65+'Assumptions and Catalog'!$E$65+'Assumptions and Catalog'!$F$65,"Out of range")))))))))*(1+'Assumptions and Catalog'!$C$8)^(A759-1),0)</f>
        <v>3567.397</v>
      </c>
      <c r="R759" s="5" t="n">
        <f>IF(AND('Assumptions and Catalog'!$C$19&gt;0,A759&gt;='Assumptions and Catalog'!$C$19),A759-'Assumptions and Catalog'!$C$19,A759-1)</f>
        <v>8</v>
      </c>
      <c r="S759" s="5" t="n">
        <f>F759+L759-(D759+E759)*C759-J759-K759-IF(E$52&gt;0,'Assumptions and Catalog'!$C$26*C759,0)</f>
        <v>1.70530256582424E-013</v>
      </c>
      <c r="T759" s="5"/>
      <c r="U759" s="5"/>
    </row>
    <row r="760" ht="23.100000381469727" customHeight="1">
      <c r="A760" s="5" t="n">
        <v>9</v>
      </c>
      <c r="B760" s="5" t="n">
        <v>4</v>
      </c>
      <c r="C760" s="5" t="n">
        <f>DAY(DATE('Assumptions and Catalog'!$C$24+A760-1,B760+1,0))</f>
        <v>30</v>
      </c>
      <c r="D760" s="5" t="n">
        <f>IF(ISNUMBER(Inputs!$L$5),Inputs!$L$5*Inputs!$L$6,0)</f>
        <v>40.35</v>
      </c>
      <c r="E760" s="5" t="n">
        <f>IF(ISNUMBER(Inputs!$L$5),Inputs!$L$5-D760,0)</f>
        <v>40.35</v>
      </c>
      <c r="F760" s="5" t="n">
        <f>E$51*INDEX('Solar Production'!$D$20:$D$31,B760)*C760*(1-'Assumptions and Catalog'!$C$10)^(A760-1)</f>
        <v>1699.90791288499</v>
      </c>
      <c r="G760" s="5" t="n">
        <f>MIN(F760,D760*C760)</f>
        <v>1210.5</v>
      </c>
      <c r="H760" s="5" t="n">
        <f>I760/('Assumptions and Catalog'!$C$11*'Assumptions and Catalog'!$C$12)</f>
        <v>268.055795422692</v>
      </c>
      <c r="I760" s="5" t="n">
        <f>MIN(E760*C760,P760*'Assumptions and Catalog'!$C$12*C760,(F760-G760)*'Assumptions and Catalog'!$C$11*'Assumptions and Catalog'!$C$12,E$56*'Assumptions and Catalog'!$C$14*'Assumptions and Catalog'!$C$11*'Assumptions and Catalog'!$C$12*C760,E$57*(24-'Assumptions and Catalog'!$C$13)*C760)</f>
        <v>254.820540523696</v>
      </c>
      <c r="J760" s="5" t="n">
        <f>MAX(F760-G760-H760,0)</f>
        <v>221.352117462301</v>
      </c>
      <c r="K760" s="5" t="n">
        <f>H760-I760</f>
        <v>13.2352548989954</v>
      </c>
      <c r="L760" s="5" t="n">
        <f>(D760+E760)*C760-G760-I760+0+IF(E$52&gt;0,'Assumptions and Catalog'!$C$26*C760,0)</f>
        <v>955.679459476304</v>
      </c>
      <c r="M760" s="5" t="n">
        <f>IF(ISNUMBER(Inputs!$L$5),(IF(Inputs!$L$9="Actual flat rate",((D760+E760)*C760)*Inputs!$L$10,IF(Inputs!$C$9="Residential",IF(((D760+E760)*C760)&lt;='Assumptions and Catalog'!$C$50,((D760+E760)*C760)*'Assumptions and Catalog'!$H$50+'Assumptions and Catalog'!$E$50+'Assumptions and Catalog'!$F$50,IF(((D760+E760)*C760)&lt;='Assumptions and Catalog'!$C$51,((D760+E760)*C760)*'Assumptions and Catalog'!$H$51+'Assumptions and Catalog'!$E$51+'Assumptions and Catalog'!$F$51,IF(((D760+E760)*C760)&lt;='Assumptions and Catalog'!$C$52,((D760+E760)*C760)*'Assumptions and Catalog'!$H$52+'Assumptions and Catalog'!$E$52+'Assumptions and Catalog'!$F$52,IF(((D760+E760)*C760)&lt;='Assumptions and Catalog'!$C$53,((D760+E760)*C760)*'Assumptions and Catalog'!$H$53+'Assumptions and Catalog'!$E$53+'Assumptions and Catalog'!$F$53,IF(((D760+E760)*C760)&lt;='Assumptions and Catalog'!$C$54,((D760+E760)*C760)*'Assumptions and Catalog'!$H$54+'Assumptions and Catalog'!$E$54+'Assumptions and Catalog'!$F$54,IF(((D760+E760)*C760)&lt;='Assumptions and Catalog'!$C$55,((D760+E760)*C760)*'Assumptions and Catalog'!$H$55+'Assumptions and Catalog'!$E$55+'Assumptions and Catalog'!$F$55,IF(((D760+E760)*C760)&lt;='Assumptions and Catalog'!$C$56,((D760+E760)*C760)*'Assumptions and Catalog'!$H$56+'Assumptions and Catalog'!$E$56+'Assumptions and Catalog'!$F$56,IF(((D760+E760)*C760)&lt;='Assumptions and Catalog'!$C$57,((D760+E760)*C760)*'Assumptions and Catalog'!$H$57+'Assumptions and Catalog'!$E$57+'Assumptions and Catalog'!$F$57,"Out of range")))))))),IF(((D760+E760)*C760)&lt;='Assumptions and Catalog'!$C$60,((D760+E760)*C760)*'Assumptions and Catalog'!$H$60+'Assumptions and Catalog'!$E$60+'Assumptions and Catalog'!$F$60,IF(((D760+E760)*C760)&lt;='Assumptions and Catalog'!$C$61,((D760+E760)*C760)*'Assumptions and Catalog'!$H$61+'Assumptions and Catalog'!$E$61+'Assumptions and Catalog'!$F$61,IF(((D760+E760)*C760)&lt;='Assumptions and Catalog'!$C$62,((D760+E760)*C760)*'Assumptions and Catalog'!$H$62+'Assumptions and Catalog'!$E$62+'Assumptions and Catalog'!$F$62,IF(((D760+E760)*C760)&lt;='Assumptions and Catalog'!$C$63,((D760+E760)*C760)*'Assumptions and Catalog'!$H$63+'Assumptions and Catalog'!$E$63+'Assumptions and Catalog'!$F$63,IF(((D760+E760)*C760)&lt;='Assumptions and Catalog'!$C$64,((D760+E760)*C760)*'Assumptions and Catalog'!$H$64+'Assumptions and Catalog'!$E$64+'Assumptions and Catalog'!$F$64,IF(((D760+E760)*C760)&lt;='Assumptions and Catalog'!$C$65,((D760+E760)*C760)*'Assumptions and Catalog'!$H$65+'Assumptions and Catalog'!$E$65+'Assumptions and Catalog'!$F$65,"Out of range")))))))))*(1+'Assumptions and Catalog'!$C$8)^(A760-1),0)</f>
        <v>6867.22</v>
      </c>
      <c r="N760" s="5" t="n">
        <f>IF(ISNUMBER(Inputs!$L$5),(IF(Inputs!$L$9="Actual flat rate",L760*Inputs!$L$10,IF(Inputs!$C$9="Residential",IF(L760&lt;='Assumptions and Catalog'!$C$50,L760*'Assumptions and Catalog'!$H$50+'Assumptions and Catalog'!$E$50+'Assumptions and Catalog'!$F$50,IF(L760&lt;='Assumptions and Catalog'!$C$51,L760*'Assumptions and Catalog'!$H$51+'Assumptions and Catalog'!$E$51+'Assumptions and Catalog'!$F$51,IF(L760&lt;='Assumptions and Catalog'!$C$52,L760*'Assumptions and Catalog'!$H$52+'Assumptions and Catalog'!$E$52+'Assumptions and Catalog'!$F$52,IF(L760&lt;='Assumptions and Catalog'!$C$53,L760*'Assumptions and Catalog'!$H$53+'Assumptions and Catalog'!$E$53+'Assumptions and Catalog'!$F$53,IF(L760&lt;='Assumptions and Catalog'!$C$54,L760*'Assumptions and Catalog'!$H$54+'Assumptions and Catalog'!$E$54+'Assumptions and Catalog'!$F$54,IF(L760&lt;='Assumptions and Catalog'!$C$55,L760*'Assumptions and Catalog'!$H$55+'Assumptions and Catalog'!$E$55+'Assumptions and Catalog'!$F$55,IF(L760&lt;='Assumptions and Catalog'!$C$56,L760*'Assumptions and Catalog'!$H$56+'Assumptions and Catalog'!$E$56+'Assumptions and Catalog'!$F$56,IF(L760&lt;='Assumptions and Catalog'!$C$57,L760*'Assumptions and Catalog'!$H$57+'Assumptions and Catalog'!$E$57+'Assumptions and Catalog'!$F$57,"Out of range")))))))),IF(L760&lt;='Assumptions and Catalog'!$C$60,L760*'Assumptions and Catalog'!$H$60+'Assumptions and Catalog'!$E$60+'Assumptions and Catalog'!$F$60,IF(L760&lt;='Assumptions and Catalog'!$C$61,L760*'Assumptions and Catalog'!$H$61+'Assumptions and Catalog'!$E$61+'Assumptions and Catalog'!$F$61,IF(L760&lt;='Assumptions and Catalog'!$C$62,L760*'Assumptions and Catalog'!$H$62+'Assumptions and Catalog'!$E$62+'Assumptions and Catalog'!$F$62,IF(L760&lt;='Assumptions and Catalog'!$C$63,L760*'Assumptions and Catalog'!$H$63+'Assumptions and Catalog'!$E$63+'Assumptions and Catalog'!$F$63,IF(L760&lt;='Assumptions and Catalog'!$C$64,L760*'Assumptions and Catalog'!$H$64+'Assumptions and Catalog'!$E$64+'Assumptions and Catalog'!$F$64,IF(L760&lt;='Assumptions and Catalog'!$C$65,L760*'Assumptions and Catalog'!$H$65+'Assumptions and Catalog'!$E$65+'Assumptions and Catalog'!$F$65,"Out of range")))))))))*(1+'Assumptions and Catalog'!$C$8)^(A760-1),0)</f>
        <v>2612.23210274936</v>
      </c>
      <c r="O760" s="5" t="n">
        <f>M760-N760</f>
        <v>4254.98789725064</v>
      </c>
      <c r="P760" s="5" t="n">
        <f>E$55*(1-L$14)*(1-'Assumptions and Catalog'!$C$23)^R760</f>
        <v>8.71181335123749</v>
      </c>
      <c r="Q760" s="5" t="n">
        <f>IF(ISNUMBER(Inputs!$L$5),(IF(Inputs!$L$9="Actual flat rate",((D760+E760)*C760-G760)*Inputs!$L$10,IF(Inputs!$C$9="Residential",IF(((D760+E760)*C760-G760)&lt;='Assumptions and Catalog'!$C$50,((D760+E760)*C760-G760)*'Assumptions and Catalog'!$H$50+'Assumptions and Catalog'!$E$50+'Assumptions and Catalog'!$F$50,IF(((D760+E760)*C760-G760)&lt;='Assumptions and Catalog'!$C$51,((D760+E760)*C760-G760)*'Assumptions and Catalog'!$H$51+'Assumptions and Catalog'!$E$51+'Assumptions and Catalog'!$F$51,IF(((D760+E760)*C760-G760)&lt;='Assumptions and Catalog'!$C$52,((D760+E760)*C760-G760)*'Assumptions and Catalog'!$H$52+'Assumptions and Catalog'!$E$52+'Assumptions and Catalog'!$F$52,IF(((D760+E760)*C760-G760)&lt;='Assumptions and Catalog'!$C$53,((D760+E760)*C760-G760)*'Assumptions and Catalog'!$H$53+'Assumptions and Catalog'!$E$53+'Assumptions and Catalog'!$F$53,IF(((D760+E760)*C760-G760)&lt;='Assumptions and Catalog'!$C$54,((D760+E760)*C760-G760)*'Assumptions and Catalog'!$H$54+'Assumptions and Catalog'!$E$54+'Assumptions and Catalog'!$F$54,IF(((D760+E760)*C760-G760)&lt;='Assumptions and Catalog'!$C$55,((D760+E760)*C760-G760)*'Assumptions and Catalog'!$H$55+'Assumptions and Catalog'!$E$55+'Assumptions and Catalog'!$F$55,IF(((D760+E760)*C760-G760)&lt;='Assumptions and Catalog'!$C$56,((D760+E760)*C760-G760)*'Assumptions and Catalog'!$H$56+'Assumptions and Catalog'!$E$56+'Assumptions and Catalog'!$F$56,IF(((D760+E760)*C760-G760)&lt;='Assumptions and Catalog'!$C$57,((D760+E760)*C760-G760)*'Assumptions and Catalog'!$H$57+'Assumptions and Catalog'!$E$57+'Assumptions and Catalog'!$F$57,"Out of range")))))))),IF(((D760+E760)*C760-G760)&lt;='Assumptions and Catalog'!$C$60,((D760+E760)*C760-G760)*'Assumptions and Catalog'!$H$60+'Assumptions and Catalog'!$E$60+'Assumptions and Catalog'!$F$60,IF(((D760+E760)*C760-G760)&lt;='Assumptions and Catalog'!$C$61,((D760+E760)*C760-G760)*'Assumptions and Catalog'!$H$61+'Assumptions and Catalog'!$E$61+'Assumptions and Catalog'!$F$61,IF(((D760+E760)*C760-G760)&lt;='Assumptions and Catalog'!$C$62,((D760+E760)*C760-G760)*'Assumptions and Catalog'!$H$62+'Assumptions and Catalog'!$E$62+'Assumptions and Catalog'!$F$62,IF(((D760+E760)*C760-G760)&lt;='Assumptions and Catalog'!$C$63,((D760+E760)*C760-G760)*'Assumptions and Catalog'!$H$63+'Assumptions and Catalog'!$E$63+'Assumptions and Catalog'!$F$63,IF(((D760+E760)*C760-G760)&lt;='Assumptions and Catalog'!$C$64,((D760+E760)*C760-G760)*'Assumptions and Catalog'!$H$64+'Assumptions and Catalog'!$E$64+'Assumptions and Catalog'!$F$64,IF(((D760+E760)*C760-G760)&lt;='Assumptions and Catalog'!$C$65,((D760+E760)*C760-G760)*'Assumptions and Catalog'!$H$65+'Assumptions and Catalog'!$E$65+'Assumptions and Catalog'!$F$65,"Out of range")))))))))*(1+'Assumptions and Catalog'!$C$8)^(A760-1),0)</f>
        <v>3453.61</v>
      </c>
      <c r="R760" s="5" t="n">
        <f>IF(AND('Assumptions and Catalog'!$C$19&gt;0,A760&gt;='Assumptions and Catalog'!$C$19),A760-'Assumptions and Catalog'!$C$19,A760-1)</f>
        <v>8</v>
      </c>
      <c r="S760" s="5" t="n">
        <f>F760+L760-(D760+E760)*C760-J760-K760-IF(E$52&gt;0,'Assumptions and Catalog'!$C$26*C760,0)</f>
        <v>1.13686837721616E-013</v>
      </c>
      <c r="T760" s="5"/>
      <c r="U760" s="5"/>
    </row>
    <row r="761" ht="23.100000381469727" customHeight="1">
      <c r="A761" s="5" t="n">
        <v>9</v>
      </c>
      <c r="B761" s="5" t="n">
        <v>5</v>
      </c>
      <c r="C761" s="5" t="n">
        <f>DAY(DATE('Assumptions and Catalog'!$C$24+A761-1,B761+1,0))</f>
        <v>31</v>
      </c>
      <c r="D761" s="5" t="n">
        <f>IF(ISNUMBER(Inputs!$L$5),Inputs!$L$5*Inputs!$L$6,0)</f>
        <v>40.35</v>
      </c>
      <c r="E761" s="5" t="n">
        <f>IF(ISNUMBER(Inputs!$L$5),Inputs!$L$5-D761,0)</f>
        <v>40.35</v>
      </c>
      <c r="F761" s="5" t="n">
        <f>E$51*INDEX('Solar Production'!$D$20:$D$31,B761)*C761*(1-'Assumptions and Catalog'!$C$10)^(A761-1)</f>
        <v>1719.56369255655</v>
      </c>
      <c r="G761" s="5" t="n">
        <f>MIN(F761,D761*C761)</f>
        <v>1250.85</v>
      </c>
      <c r="H761" s="5" t="n">
        <f>I761/('Assumptions and Catalog'!$C$11*'Assumptions and Catalog'!$C$12)</f>
        <v>276.990988603448</v>
      </c>
      <c r="I761" s="5" t="n">
        <f>MIN(E761*C761,P761*'Assumptions and Catalog'!$C$12*C761,(F761-G761)*'Assumptions and Catalog'!$C$11*'Assumptions and Catalog'!$C$12,E$56*'Assumptions and Catalog'!$C$14*'Assumptions and Catalog'!$C$11*'Assumptions and Catalog'!$C$12*C761,E$57*(24-'Assumptions and Catalog'!$C$13)*C761)</f>
        <v>263.314558541153</v>
      </c>
      <c r="J761" s="5" t="n">
        <f>MAX(F761-G761-H761,0)</f>
        <v>191.722703953098</v>
      </c>
      <c r="K761" s="5" t="n">
        <f>H761-I761</f>
        <v>13.6764300622953</v>
      </c>
      <c r="L761" s="5" t="n">
        <f>(D761+E761)*C761-G761-I761+0+IF(E$52&gt;0,'Assumptions and Catalog'!$C$26*C761,0)</f>
        <v>987.535441458847</v>
      </c>
      <c r="M761" s="5" t="n">
        <f>IF(ISNUMBER(Inputs!$L$5),(IF(Inputs!$L$9="Actual flat rate",((D761+E761)*C761)*Inputs!$L$10,IF(Inputs!$C$9="Residential",IF(((D761+E761)*C761)&lt;='Assumptions and Catalog'!$C$50,((D761+E761)*C761)*'Assumptions and Catalog'!$H$50+'Assumptions and Catalog'!$E$50+'Assumptions and Catalog'!$F$50,IF(((D761+E761)*C761)&lt;='Assumptions and Catalog'!$C$51,((D761+E761)*C761)*'Assumptions and Catalog'!$H$51+'Assumptions and Catalog'!$E$51+'Assumptions and Catalog'!$F$51,IF(((D761+E761)*C761)&lt;='Assumptions and Catalog'!$C$52,((D761+E761)*C761)*'Assumptions and Catalog'!$H$52+'Assumptions and Catalog'!$E$52+'Assumptions and Catalog'!$F$52,IF(((D761+E761)*C761)&lt;='Assumptions and Catalog'!$C$53,((D761+E761)*C761)*'Assumptions and Catalog'!$H$53+'Assumptions and Catalog'!$E$53+'Assumptions and Catalog'!$F$53,IF(((D761+E761)*C761)&lt;='Assumptions and Catalog'!$C$54,((D761+E761)*C761)*'Assumptions and Catalog'!$H$54+'Assumptions and Catalog'!$E$54+'Assumptions and Catalog'!$F$54,IF(((D761+E761)*C761)&lt;='Assumptions and Catalog'!$C$55,((D761+E761)*C761)*'Assumptions and Catalog'!$H$55+'Assumptions and Catalog'!$E$55+'Assumptions and Catalog'!$F$55,IF(((D761+E761)*C761)&lt;='Assumptions and Catalog'!$C$56,((D761+E761)*C761)*'Assumptions and Catalog'!$H$56+'Assumptions and Catalog'!$E$56+'Assumptions and Catalog'!$F$56,IF(((D761+E761)*C761)&lt;='Assumptions and Catalog'!$C$57,((D761+E761)*C761)*'Assumptions and Catalog'!$H$57+'Assumptions and Catalog'!$E$57+'Assumptions and Catalog'!$F$57,"Out of range")))))))),IF(((D761+E761)*C761)&lt;='Assumptions and Catalog'!$C$60,((D761+E761)*C761)*'Assumptions and Catalog'!$H$60+'Assumptions and Catalog'!$E$60+'Assumptions and Catalog'!$F$60,IF(((D761+E761)*C761)&lt;='Assumptions and Catalog'!$C$61,((D761+E761)*C761)*'Assumptions and Catalog'!$H$61+'Assumptions and Catalog'!$E$61+'Assumptions and Catalog'!$F$61,IF(((D761+E761)*C761)&lt;='Assumptions and Catalog'!$C$62,((D761+E761)*C761)*'Assumptions and Catalog'!$H$62+'Assumptions and Catalog'!$E$62+'Assumptions and Catalog'!$F$62,IF(((D761+E761)*C761)&lt;='Assumptions and Catalog'!$C$63,((D761+E761)*C761)*'Assumptions and Catalog'!$H$63+'Assumptions and Catalog'!$E$63+'Assumptions and Catalog'!$F$63,IF(((D761+E761)*C761)&lt;='Assumptions and Catalog'!$C$64,((D761+E761)*C761)*'Assumptions and Catalog'!$H$64+'Assumptions and Catalog'!$E$64+'Assumptions and Catalog'!$F$64,IF(((D761+E761)*C761)&lt;='Assumptions and Catalog'!$C$65,((D761+E761)*C761)*'Assumptions and Catalog'!$H$65+'Assumptions and Catalog'!$E$65+'Assumptions and Catalog'!$F$65,"Out of range")))))))))*(1+'Assumptions and Catalog'!$C$8)^(A761-1),0)</f>
        <v>7094.794</v>
      </c>
      <c r="N761" s="5" t="n">
        <f>IF(ISNUMBER(Inputs!$L$5),(IF(Inputs!$L$9="Actual flat rate",L761*Inputs!$L$10,IF(Inputs!$C$9="Residential",IF(L761&lt;='Assumptions and Catalog'!$C$50,L761*'Assumptions and Catalog'!$H$50+'Assumptions and Catalog'!$E$50+'Assumptions and Catalog'!$F$50,IF(L761&lt;='Assumptions and Catalog'!$C$51,L761*'Assumptions and Catalog'!$H$51+'Assumptions and Catalog'!$E$51+'Assumptions and Catalog'!$F$51,IF(L761&lt;='Assumptions and Catalog'!$C$52,L761*'Assumptions and Catalog'!$H$52+'Assumptions and Catalog'!$E$52+'Assumptions and Catalog'!$F$52,IF(L761&lt;='Assumptions and Catalog'!$C$53,L761*'Assumptions and Catalog'!$H$53+'Assumptions and Catalog'!$E$53+'Assumptions and Catalog'!$F$53,IF(L761&lt;='Assumptions and Catalog'!$C$54,L761*'Assumptions and Catalog'!$H$54+'Assumptions and Catalog'!$E$54+'Assumptions and Catalog'!$F$54,IF(L761&lt;='Assumptions and Catalog'!$C$55,L761*'Assumptions and Catalog'!$H$55+'Assumptions and Catalog'!$E$55+'Assumptions and Catalog'!$F$55,IF(L761&lt;='Assumptions and Catalog'!$C$56,L761*'Assumptions and Catalog'!$H$56+'Assumptions and Catalog'!$E$56+'Assumptions and Catalog'!$F$56,IF(L761&lt;='Assumptions and Catalog'!$C$57,L761*'Assumptions and Catalog'!$H$57+'Assumptions and Catalog'!$E$57+'Assumptions and Catalog'!$F$57,"Out of range")))))))),IF(L761&lt;='Assumptions and Catalog'!$C$60,L761*'Assumptions and Catalog'!$H$60+'Assumptions and Catalog'!$E$60+'Assumptions and Catalog'!$F$60,IF(L761&lt;='Assumptions and Catalog'!$C$61,L761*'Assumptions and Catalog'!$H$61+'Assumptions and Catalog'!$E$61+'Assumptions and Catalog'!$F$61,IF(L761&lt;='Assumptions and Catalog'!$C$62,L761*'Assumptions and Catalog'!$H$62+'Assumptions and Catalog'!$E$62+'Assumptions and Catalog'!$F$62,IF(L761&lt;='Assumptions and Catalog'!$C$63,L761*'Assumptions and Catalog'!$H$63+'Assumptions and Catalog'!$E$63+'Assumptions and Catalog'!$F$63,IF(L761&lt;='Assumptions and Catalog'!$C$64,L761*'Assumptions and Catalog'!$H$64+'Assumptions and Catalog'!$E$64+'Assumptions and Catalog'!$F$64,IF(L761&lt;='Assumptions and Catalog'!$C$65,L761*'Assumptions and Catalog'!$H$65+'Assumptions and Catalog'!$E$65+'Assumptions and Catalog'!$F$65,"Out of range")))))))))*(1+'Assumptions and Catalog'!$C$8)^(A761-1),0)</f>
        <v>2700.47317284101</v>
      </c>
      <c r="O761" s="5" t="n">
        <f>M761-N761</f>
        <v>4394.320827159</v>
      </c>
      <c r="P761" s="5" t="n">
        <f>E$55*(1-L$14)*(1-'Assumptions and Catalog'!$C$23)^R761</f>
        <v>8.71181335123749</v>
      </c>
      <c r="Q761" s="5" t="n">
        <f>IF(ISNUMBER(Inputs!$L$5),(IF(Inputs!$L$9="Actual flat rate",((D761+E761)*C761-G761)*Inputs!$L$10,IF(Inputs!$C$9="Residential",IF(((D761+E761)*C761-G761)&lt;='Assumptions and Catalog'!$C$50,((D761+E761)*C761-G761)*'Assumptions and Catalog'!$H$50+'Assumptions and Catalog'!$E$50+'Assumptions and Catalog'!$F$50,IF(((D761+E761)*C761-G761)&lt;='Assumptions and Catalog'!$C$51,((D761+E761)*C761-G761)*'Assumptions and Catalog'!$H$51+'Assumptions and Catalog'!$E$51+'Assumptions and Catalog'!$F$51,IF(((D761+E761)*C761-G761)&lt;='Assumptions and Catalog'!$C$52,((D761+E761)*C761-G761)*'Assumptions and Catalog'!$H$52+'Assumptions and Catalog'!$E$52+'Assumptions and Catalog'!$F$52,IF(((D761+E761)*C761-G761)&lt;='Assumptions and Catalog'!$C$53,((D761+E761)*C761-G761)*'Assumptions and Catalog'!$H$53+'Assumptions and Catalog'!$E$53+'Assumptions and Catalog'!$F$53,IF(((D761+E761)*C761-G761)&lt;='Assumptions and Catalog'!$C$54,((D761+E761)*C761-G761)*'Assumptions and Catalog'!$H$54+'Assumptions and Catalog'!$E$54+'Assumptions and Catalog'!$F$54,IF(((D761+E761)*C761-G761)&lt;='Assumptions and Catalog'!$C$55,((D761+E761)*C761-G761)*'Assumptions and Catalog'!$H$55+'Assumptions and Catalog'!$E$55+'Assumptions and Catalog'!$F$55,IF(((D761+E761)*C761-G761)&lt;='Assumptions and Catalog'!$C$56,((D761+E761)*C761-G761)*'Assumptions and Catalog'!$H$56+'Assumptions and Catalog'!$E$56+'Assumptions and Catalog'!$F$56,IF(((D761+E761)*C761-G761)&lt;='Assumptions and Catalog'!$C$57,((D761+E761)*C761-G761)*'Assumptions and Catalog'!$H$57+'Assumptions and Catalog'!$E$57+'Assumptions and Catalog'!$F$57,"Out of range")))))))),IF(((D761+E761)*C761-G761)&lt;='Assumptions and Catalog'!$C$60,((D761+E761)*C761-G761)*'Assumptions and Catalog'!$H$60+'Assumptions and Catalog'!$E$60+'Assumptions and Catalog'!$F$60,IF(((D761+E761)*C761-G761)&lt;='Assumptions and Catalog'!$C$61,((D761+E761)*C761-G761)*'Assumptions and Catalog'!$H$61+'Assumptions and Catalog'!$E$61+'Assumptions and Catalog'!$F$61,IF(((D761+E761)*C761-G761)&lt;='Assumptions and Catalog'!$C$62,((D761+E761)*C761-G761)*'Assumptions and Catalog'!$H$62+'Assumptions and Catalog'!$E$62+'Assumptions and Catalog'!$F$62,IF(((D761+E761)*C761-G761)&lt;='Assumptions and Catalog'!$C$63,((D761+E761)*C761-G761)*'Assumptions and Catalog'!$H$63+'Assumptions and Catalog'!$E$63+'Assumptions and Catalog'!$F$63,IF(((D761+E761)*C761-G761)&lt;='Assumptions and Catalog'!$C$64,((D761+E761)*C761-G761)*'Assumptions and Catalog'!$H$64+'Assumptions and Catalog'!$E$64+'Assumptions and Catalog'!$F$64,IF(((D761+E761)*C761-G761)&lt;='Assumptions and Catalog'!$C$65,((D761+E761)*C761-G761)*'Assumptions and Catalog'!$H$65+'Assumptions and Catalog'!$E$65+'Assumptions and Catalog'!$F$65,"Out of range")))))))))*(1+'Assumptions and Catalog'!$C$8)^(A761-1),0)</f>
        <v>3567.397</v>
      </c>
      <c r="R761" s="5" t="n">
        <f>IF(AND('Assumptions and Catalog'!$C$19&gt;0,A761&gt;='Assumptions and Catalog'!$C$19),A761-'Assumptions and Catalog'!$C$19,A761-1)</f>
        <v>8</v>
      </c>
      <c r="S761" s="5" t="n">
        <f>F761+L761-(D761+E761)*C761-J761-K761-IF(E$52&gt;0,'Assumptions and Catalog'!$C$26*C761,0)</f>
        <v>1.70530256582424E-013</v>
      </c>
      <c r="T761" s="5"/>
      <c r="U761" s="5"/>
    </row>
    <row r="762" ht="23.100000381469727" customHeight="1">
      <c r="A762" s="5" t="n">
        <v>9</v>
      </c>
      <c r="B762" s="5" t="n">
        <v>6</v>
      </c>
      <c r="C762" s="5" t="n">
        <f>DAY(DATE('Assumptions and Catalog'!$C$24+A762-1,B762+1,0))</f>
        <v>30</v>
      </c>
      <c r="D762" s="5" t="n">
        <f>IF(ISNUMBER(Inputs!$L$5),Inputs!$L$5*Inputs!$L$6,0)</f>
        <v>40.35</v>
      </c>
      <c r="E762" s="5" t="n">
        <f>IF(ISNUMBER(Inputs!$L$5),Inputs!$L$5-D762,0)</f>
        <v>40.35</v>
      </c>
      <c r="F762" s="5" t="n">
        <f>E$51*INDEX('Solar Production'!$D$20:$D$31,B762)*C762*(1-'Assumptions and Catalog'!$C$10)^(A762-1)</f>
        <v>1676.23643629129</v>
      </c>
      <c r="G762" s="5" t="n">
        <f>MIN(F762,D762*C762)</f>
        <v>1210.5</v>
      </c>
      <c r="H762" s="5" t="n">
        <f>I762/('Assumptions and Catalog'!$C$11*'Assumptions and Catalog'!$C$12)</f>
        <v>268.055795422692</v>
      </c>
      <c r="I762" s="5" t="n">
        <f>MIN(E762*C762,P762*'Assumptions and Catalog'!$C$12*C762,(F762-G762)*'Assumptions and Catalog'!$C$11*'Assumptions and Catalog'!$C$12,E$56*'Assumptions and Catalog'!$C$14*'Assumptions and Catalog'!$C$11*'Assumptions and Catalog'!$C$12*C762,E$57*(24-'Assumptions and Catalog'!$C$13)*C762)</f>
        <v>254.820540523696</v>
      </c>
      <c r="J762" s="5" t="n">
        <f>MAX(F762-G762-H762,0)</f>
        <v>197.680640868602</v>
      </c>
      <c r="K762" s="5" t="n">
        <f>H762-I762</f>
        <v>13.2352548989954</v>
      </c>
      <c r="L762" s="5" t="n">
        <f>(D762+E762)*C762-G762-I762+0+IF(E$52&gt;0,'Assumptions and Catalog'!$C$26*C762,0)</f>
        <v>955.679459476304</v>
      </c>
      <c r="M762" s="5" t="n">
        <f>IF(ISNUMBER(Inputs!$L$5),(IF(Inputs!$L$9="Actual flat rate",((D762+E762)*C762)*Inputs!$L$10,IF(Inputs!$C$9="Residential",IF(((D762+E762)*C762)&lt;='Assumptions and Catalog'!$C$50,((D762+E762)*C762)*'Assumptions and Catalog'!$H$50+'Assumptions and Catalog'!$E$50+'Assumptions and Catalog'!$F$50,IF(((D762+E762)*C762)&lt;='Assumptions and Catalog'!$C$51,((D762+E762)*C762)*'Assumptions and Catalog'!$H$51+'Assumptions and Catalog'!$E$51+'Assumptions and Catalog'!$F$51,IF(((D762+E762)*C762)&lt;='Assumptions and Catalog'!$C$52,((D762+E762)*C762)*'Assumptions and Catalog'!$H$52+'Assumptions and Catalog'!$E$52+'Assumptions and Catalog'!$F$52,IF(((D762+E762)*C762)&lt;='Assumptions and Catalog'!$C$53,((D762+E762)*C762)*'Assumptions and Catalog'!$H$53+'Assumptions and Catalog'!$E$53+'Assumptions and Catalog'!$F$53,IF(((D762+E762)*C762)&lt;='Assumptions and Catalog'!$C$54,((D762+E762)*C762)*'Assumptions and Catalog'!$H$54+'Assumptions and Catalog'!$E$54+'Assumptions and Catalog'!$F$54,IF(((D762+E762)*C762)&lt;='Assumptions and Catalog'!$C$55,((D762+E762)*C762)*'Assumptions and Catalog'!$H$55+'Assumptions and Catalog'!$E$55+'Assumptions and Catalog'!$F$55,IF(((D762+E762)*C762)&lt;='Assumptions and Catalog'!$C$56,((D762+E762)*C762)*'Assumptions and Catalog'!$H$56+'Assumptions and Catalog'!$E$56+'Assumptions and Catalog'!$F$56,IF(((D762+E762)*C762)&lt;='Assumptions and Catalog'!$C$57,((D762+E762)*C762)*'Assumptions and Catalog'!$H$57+'Assumptions and Catalog'!$E$57+'Assumptions and Catalog'!$F$57,"Out of range")))))))),IF(((D762+E762)*C762)&lt;='Assumptions and Catalog'!$C$60,((D762+E762)*C762)*'Assumptions and Catalog'!$H$60+'Assumptions and Catalog'!$E$60+'Assumptions and Catalog'!$F$60,IF(((D762+E762)*C762)&lt;='Assumptions and Catalog'!$C$61,((D762+E762)*C762)*'Assumptions and Catalog'!$H$61+'Assumptions and Catalog'!$E$61+'Assumptions and Catalog'!$F$61,IF(((D762+E762)*C762)&lt;='Assumptions and Catalog'!$C$62,((D762+E762)*C762)*'Assumptions and Catalog'!$H$62+'Assumptions and Catalog'!$E$62+'Assumptions and Catalog'!$F$62,IF(((D762+E762)*C762)&lt;='Assumptions and Catalog'!$C$63,((D762+E762)*C762)*'Assumptions and Catalog'!$H$63+'Assumptions and Catalog'!$E$63+'Assumptions and Catalog'!$F$63,IF(((D762+E762)*C762)&lt;='Assumptions and Catalog'!$C$64,((D762+E762)*C762)*'Assumptions and Catalog'!$H$64+'Assumptions and Catalog'!$E$64+'Assumptions and Catalog'!$F$64,IF(((D762+E762)*C762)&lt;='Assumptions and Catalog'!$C$65,((D762+E762)*C762)*'Assumptions and Catalog'!$H$65+'Assumptions and Catalog'!$E$65+'Assumptions and Catalog'!$F$65,"Out of range")))))))))*(1+'Assumptions and Catalog'!$C$8)^(A762-1),0)</f>
        <v>6867.22</v>
      </c>
      <c r="N762" s="5" t="n">
        <f>IF(ISNUMBER(Inputs!$L$5),(IF(Inputs!$L$9="Actual flat rate",L762*Inputs!$L$10,IF(Inputs!$C$9="Residential",IF(L762&lt;='Assumptions and Catalog'!$C$50,L762*'Assumptions and Catalog'!$H$50+'Assumptions and Catalog'!$E$50+'Assumptions and Catalog'!$F$50,IF(L762&lt;='Assumptions and Catalog'!$C$51,L762*'Assumptions and Catalog'!$H$51+'Assumptions and Catalog'!$E$51+'Assumptions and Catalog'!$F$51,IF(L762&lt;='Assumptions and Catalog'!$C$52,L762*'Assumptions and Catalog'!$H$52+'Assumptions and Catalog'!$E$52+'Assumptions and Catalog'!$F$52,IF(L762&lt;='Assumptions and Catalog'!$C$53,L762*'Assumptions and Catalog'!$H$53+'Assumptions and Catalog'!$E$53+'Assumptions and Catalog'!$F$53,IF(L762&lt;='Assumptions and Catalog'!$C$54,L762*'Assumptions and Catalog'!$H$54+'Assumptions and Catalog'!$E$54+'Assumptions and Catalog'!$F$54,IF(L762&lt;='Assumptions and Catalog'!$C$55,L762*'Assumptions and Catalog'!$H$55+'Assumptions and Catalog'!$E$55+'Assumptions and Catalog'!$F$55,IF(L762&lt;='Assumptions and Catalog'!$C$56,L762*'Assumptions and Catalog'!$H$56+'Assumptions and Catalog'!$E$56+'Assumptions and Catalog'!$F$56,IF(L762&lt;='Assumptions and Catalog'!$C$57,L762*'Assumptions and Catalog'!$H$57+'Assumptions and Catalog'!$E$57+'Assumptions and Catalog'!$F$57,"Out of range")))))))),IF(L762&lt;='Assumptions and Catalog'!$C$60,L762*'Assumptions and Catalog'!$H$60+'Assumptions and Catalog'!$E$60+'Assumptions and Catalog'!$F$60,IF(L762&lt;='Assumptions and Catalog'!$C$61,L762*'Assumptions and Catalog'!$H$61+'Assumptions and Catalog'!$E$61+'Assumptions and Catalog'!$F$61,IF(L762&lt;='Assumptions and Catalog'!$C$62,L762*'Assumptions and Catalog'!$H$62+'Assumptions and Catalog'!$E$62+'Assumptions and Catalog'!$F$62,IF(L762&lt;='Assumptions and Catalog'!$C$63,L762*'Assumptions and Catalog'!$H$63+'Assumptions and Catalog'!$E$63+'Assumptions and Catalog'!$F$63,IF(L762&lt;='Assumptions and Catalog'!$C$64,L762*'Assumptions and Catalog'!$H$64+'Assumptions and Catalog'!$E$64+'Assumptions and Catalog'!$F$64,IF(L762&lt;='Assumptions and Catalog'!$C$65,L762*'Assumptions and Catalog'!$H$65+'Assumptions and Catalog'!$E$65+'Assumptions and Catalog'!$F$65,"Out of range")))))))))*(1+'Assumptions and Catalog'!$C$8)^(A762-1),0)</f>
        <v>2612.23210274936</v>
      </c>
      <c r="O762" s="5" t="n">
        <f>M762-N762</f>
        <v>4254.98789725064</v>
      </c>
      <c r="P762" s="5" t="n">
        <f>E$55*(1-L$14)*(1-'Assumptions and Catalog'!$C$23)^R762</f>
        <v>8.71181335123749</v>
      </c>
      <c r="Q762" s="5" t="n">
        <f>IF(ISNUMBER(Inputs!$L$5),(IF(Inputs!$L$9="Actual flat rate",((D762+E762)*C762-G762)*Inputs!$L$10,IF(Inputs!$C$9="Residential",IF(((D762+E762)*C762-G762)&lt;='Assumptions and Catalog'!$C$50,((D762+E762)*C762-G762)*'Assumptions and Catalog'!$H$50+'Assumptions and Catalog'!$E$50+'Assumptions and Catalog'!$F$50,IF(((D762+E762)*C762-G762)&lt;='Assumptions and Catalog'!$C$51,((D762+E762)*C762-G762)*'Assumptions and Catalog'!$H$51+'Assumptions and Catalog'!$E$51+'Assumptions and Catalog'!$F$51,IF(((D762+E762)*C762-G762)&lt;='Assumptions and Catalog'!$C$52,((D762+E762)*C762-G762)*'Assumptions and Catalog'!$H$52+'Assumptions and Catalog'!$E$52+'Assumptions and Catalog'!$F$52,IF(((D762+E762)*C762-G762)&lt;='Assumptions and Catalog'!$C$53,((D762+E762)*C762-G762)*'Assumptions and Catalog'!$H$53+'Assumptions and Catalog'!$E$53+'Assumptions and Catalog'!$F$53,IF(((D762+E762)*C762-G762)&lt;='Assumptions and Catalog'!$C$54,((D762+E762)*C762-G762)*'Assumptions and Catalog'!$H$54+'Assumptions and Catalog'!$E$54+'Assumptions and Catalog'!$F$54,IF(((D762+E762)*C762-G762)&lt;='Assumptions and Catalog'!$C$55,((D762+E762)*C762-G762)*'Assumptions and Catalog'!$H$55+'Assumptions and Catalog'!$E$55+'Assumptions and Catalog'!$F$55,IF(((D762+E762)*C762-G762)&lt;='Assumptions and Catalog'!$C$56,((D762+E762)*C762-G762)*'Assumptions and Catalog'!$H$56+'Assumptions and Catalog'!$E$56+'Assumptions and Catalog'!$F$56,IF(((D762+E762)*C762-G762)&lt;='Assumptions and Catalog'!$C$57,((D762+E762)*C762-G762)*'Assumptions and Catalog'!$H$57+'Assumptions and Catalog'!$E$57+'Assumptions and Catalog'!$F$57,"Out of range")))))))),IF(((D762+E762)*C762-G762)&lt;='Assumptions and Catalog'!$C$60,((D762+E762)*C762-G762)*'Assumptions and Catalog'!$H$60+'Assumptions and Catalog'!$E$60+'Assumptions and Catalog'!$F$60,IF(((D762+E762)*C762-G762)&lt;='Assumptions and Catalog'!$C$61,((D762+E762)*C762-G762)*'Assumptions and Catalog'!$H$61+'Assumptions and Catalog'!$E$61+'Assumptions and Catalog'!$F$61,IF(((D762+E762)*C762-G762)&lt;='Assumptions and Catalog'!$C$62,((D762+E762)*C762-G762)*'Assumptions and Catalog'!$H$62+'Assumptions and Catalog'!$E$62+'Assumptions and Catalog'!$F$62,IF(((D762+E762)*C762-G762)&lt;='Assumptions and Catalog'!$C$63,((D762+E762)*C762-G762)*'Assumptions and Catalog'!$H$63+'Assumptions and Catalog'!$E$63+'Assumptions and Catalog'!$F$63,IF(((D762+E762)*C762-G762)&lt;='Assumptions and Catalog'!$C$64,((D762+E762)*C762-G762)*'Assumptions and Catalog'!$H$64+'Assumptions and Catalog'!$E$64+'Assumptions and Catalog'!$F$64,IF(((D762+E762)*C762-G762)&lt;='Assumptions and Catalog'!$C$65,((D762+E762)*C762-G762)*'Assumptions and Catalog'!$H$65+'Assumptions and Catalog'!$E$65+'Assumptions and Catalog'!$F$65,"Out of range")))))))))*(1+'Assumptions and Catalog'!$C$8)^(A762-1),0)</f>
        <v>3453.61</v>
      </c>
      <c r="R762" s="5" t="n">
        <f>IF(AND('Assumptions and Catalog'!$C$19&gt;0,A762&gt;='Assumptions and Catalog'!$C$19),A762-'Assumptions and Catalog'!$C$19,A762-1)</f>
        <v>8</v>
      </c>
      <c r="S762" s="5" t="n">
        <f>F762+L762-(D762+E762)*C762-J762-K762-IF(E$52&gt;0,'Assumptions and Catalog'!$C$26*C762,0)</f>
        <v>-1.13686837721616E-013</v>
      </c>
      <c r="T762" s="5"/>
      <c r="U762" s="5"/>
    </row>
    <row r="763" ht="23.100000381469727" customHeight="1">
      <c r="A763" s="5" t="n">
        <v>9</v>
      </c>
      <c r="B763" s="5" t="n">
        <v>7</v>
      </c>
      <c r="C763" s="5" t="n">
        <f>DAY(DATE('Assumptions and Catalog'!$C$24+A763-1,B763+1,0))</f>
        <v>31</v>
      </c>
      <c r="D763" s="5" t="n">
        <f>IF(ISNUMBER(Inputs!$L$5),Inputs!$L$5*Inputs!$L$6,0)</f>
        <v>40.35</v>
      </c>
      <c r="E763" s="5" t="n">
        <f>IF(ISNUMBER(Inputs!$L$5),Inputs!$L$5-D763,0)</f>
        <v>40.35</v>
      </c>
      <c r="F763" s="5" t="n">
        <f>E$51*INDEX('Solar Production'!$D$20:$D$31,B763)*C763*(1-'Assumptions and Catalog'!$C$10)^(A763-1)</f>
        <v>1740.06488210645</v>
      </c>
      <c r="G763" s="5" t="n">
        <f>MIN(F763,D763*C763)</f>
        <v>1250.85</v>
      </c>
      <c r="H763" s="5" t="n">
        <f>I763/('Assumptions and Catalog'!$C$11*'Assumptions and Catalog'!$C$12)</f>
        <v>276.990988603448</v>
      </c>
      <c r="I763" s="5" t="n">
        <f>MIN(E763*C763,P763*'Assumptions and Catalog'!$C$12*C763,(F763-G763)*'Assumptions and Catalog'!$C$11*'Assumptions and Catalog'!$C$12,E$56*'Assumptions and Catalog'!$C$14*'Assumptions and Catalog'!$C$11*'Assumptions and Catalog'!$C$12*C763,E$57*(24-'Assumptions and Catalog'!$C$13)*C763)</f>
        <v>263.314558541153</v>
      </c>
      <c r="J763" s="5" t="n">
        <f>MAX(F763-G763-H763,0)</f>
        <v>212.223893502997</v>
      </c>
      <c r="K763" s="5" t="n">
        <f>H763-I763</f>
        <v>13.6764300622953</v>
      </c>
      <c r="L763" s="5" t="n">
        <f>(D763+E763)*C763-G763-I763+0+IF(E$52&gt;0,'Assumptions and Catalog'!$C$26*C763,0)</f>
        <v>987.535441458847</v>
      </c>
      <c r="M763" s="5" t="n">
        <f>IF(ISNUMBER(Inputs!$L$5),(IF(Inputs!$L$9="Actual flat rate",((D763+E763)*C763)*Inputs!$L$10,IF(Inputs!$C$9="Residential",IF(((D763+E763)*C763)&lt;='Assumptions and Catalog'!$C$50,((D763+E763)*C763)*'Assumptions and Catalog'!$H$50+'Assumptions and Catalog'!$E$50+'Assumptions and Catalog'!$F$50,IF(((D763+E763)*C763)&lt;='Assumptions and Catalog'!$C$51,((D763+E763)*C763)*'Assumptions and Catalog'!$H$51+'Assumptions and Catalog'!$E$51+'Assumptions and Catalog'!$F$51,IF(((D763+E763)*C763)&lt;='Assumptions and Catalog'!$C$52,((D763+E763)*C763)*'Assumptions and Catalog'!$H$52+'Assumptions and Catalog'!$E$52+'Assumptions and Catalog'!$F$52,IF(((D763+E763)*C763)&lt;='Assumptions and Catalog'!$C$53,((D763+E763)*C763)*'Assumptions and Catalog'!$H$53+'Assumptions and Catalog'!$E$53+'Assumptions and Catalog'!$F$53,IF(((D763+E763)*C763)&lt;='Assumptions and Catalog'!$C$54,((D763+E763)*C763)*'Assumptions and Catalog'!$H$54+'Assumptions and Catalog'!$E$54+'Assumptions and Catalog'!$F$54,IF(((D763+E763)*C763)&lt;='Assumptions and Catalog'!$C$55,((D763+E763)*C763)*'Assumptions and Catalog'!$H$55+'Assumptions and Catalog'!$E$55+'Assumptions and Catalog'!$F$55,IF(((D763+E763)*C763)&lt;='Assumptions and Catalog'!$C$56,((D763+E763)*C763)*'Assumptions and Catalog'!$H$56+'Assumptions and Catalog'!$E$56+'Assumptions and Catalog'!$F$56,IF(((D763+E763)*C763)&lt;='Assumptions and Catalog'!$C$57,((D763+E763)*C763)*'Assumptions and Catalog'!$H$57+'Assumptions and Catalog'!$E$57+'Assumptions and Catalog'!$F$57,"Out of range")))))))),IF(((D763+E763)*C763)&lt;='Assumptions and Catalog'!$C$60,((D763+E763)*C763)*'Assumptions and Catalog'!$H$60+'Assumptions and Catalog'!$E$60+'Assumptions and Catalog'!$F$60,IF(((D763+E763)*C763)&lt;='Assumptions and Catalog'!$C$61,((D763+E763)*C763)*'Assumptions and Catalog'!$H$61+'Assumptions and Catalog'!$E$61+'Assumptions and Catalog'!$F$61,IF(((D763+E763)*C763)&lt;='Assumptions and Catalog'!$C$62,((D763+E763)*C763)*'Assumptions and Catalog'!$H$62+'Assumptions and Catalog'!$E$62+'Assumptions and Catalog'!$F$62,IF(((D763+E763)*C763)&lt;='Assumptions and Catalog'!$C$63,((D763+E763)*C763)*'Assumptions and Catalog'!$H$63+'Assumptions and Catalog'!$E$63+'Assumptions and Catalog'!$F$63,IF(((D763+E763)*C763)&lt;='Assumptions and Catalog'!$C$64,((D763+E763)*C763)*'Assumptions and Catalog'!$H$64+'Assumptions and Catalog'!$E$64+'Assumptions and Catalog'!$F$64,IF(((D763+E763)*C763)&lt;='Assumptions and Catalog'!$C$65,((D763+E763)*C763)*'Assumptions and Catalog'!$H$65+'Assumptions and Catalog'!$E$65+'Assumptions and Catalog'!$F$65,"Out of range")))))))))*(1+'Assumptions and Catalog'!$C$8)^(A763-1),0)</f>
        <v>7094.794</v>
      </c>
      <c r="N763" s="5" t="n">
        <f>IF(ISNUMBER(Inputs!$L$5),(IF(Inputs!$L$9="Actual flat rate",L763*Inputs!$L$10,IF(Inputs!$C$9="Residential",IF(L763&lt;='Assumptions and Catalog'!$C$50,L763*'Assumptions and Catalog'!$H$50+'Assumptions and Catalog'!$E$50+'Assumptions and Catalog'!$F$50,IF(L763&lt;='Assumptions and Catalog'!$C$51,L763*'Assumptions and Catalog'!$H$51+'Assumptions and Catalog'!$E$51+'Assumptions and Catalog'!$F$51,IF(L763&lt;='Assumptions and Catalog'!$C$52,L763*'Assumptions and Catalog'!$H$52+'Assumptions and Catalog'!$E$52+'Assumptions and Catalog'!$F$52,IF(L763&lt;='Assumptions and Catalog'!$C$53,L763*'Assumptions and Catalog'!$H$53+'Assumptions and Catalog'!$E$53+'Assumptions and Catalog'!$F$53,IF(L763&lt;='Assumptions and Catalog'!$C$54,L763*'Assumptions and Catalog'!$H$54+'Assumptions and Catalog'!$E$54+'Assumptions and Catalog'!$F$54,IF(L763&lt;='Assumptions and Catalog'!$C$55,L763*'Assumptions and Catalog'!$H$55+'Assumptions and Catalog'!$E$55+'Assumptions and Catalog'!$F$55,IF(L763&lt;='Assumptions and Catalog'!$C$56,L763*'Assumptions and Catalog'!$H$56+'Assumptions and Catalog'!$E$56+'Assumptions and Catalog'!$F$56,IF(L763&lt;='Assumptions and Catalog'!$C$57,L763*'Assumptions and Catalog'!$H$57+'Assumptions and Catalog'!$E$57+'Assumptions and Catalog'!$F$57,"Out of range")))))))),IF(L763&lt;='Assumptions and Catalog'!$C$60,L763*'Assumptions and Catalog'!$H$60+'Assumptions and Catalog'!$E$60+'Assumptions and Catalog'!$F$60,IF(L763&lt;='Assumptions and Catalog'!$C$61,L763*'Assumptions and Catalog'!$H$61+'Assumptions and Catalog'!$E$61+'Assumptions and Catalog'!$F$61,IF(L763&lt;='Assumptions and Catalog'!$C$62,L763*'Assumptions and Catalog'!$H$62+'Assumptions and Catalog'!$E$62+'Assumptions and Catalog'!$F$62,IF(L763&lt;='Assumptions and Catalog'!$C$63,L763*'Assumptions and Catalog'!$H$63+'Assumptions and Catalog'!$E$63+'Assumptions and Catalog'!$F$63,IF(L763&lt;='Assumptions and Catalog'!$C$64,L763*'Assumptions and Catalog'!$H$64+'Assumptions and Catalog'!$E$64+'Assumptions and Catalog'!$F$64,IF(L763&lt;='Assumptions and Catalog'!$C$65,L763*'Assumptions and Catalog'!$H$65+'Assumptions and Catalog'!$E$65+'Assumptions and Catalog'!$F$65,"Out of range")))))))))*(1+'Assumptions and Catalog'!$C$8)^(A763-1),0)</f>
        <v>2700.47317284101</v>
      </c>
      <c r="O763" s="5" t="n">
        <f>M763-N763</f>
        <v>4394.320827159</v>
      </c>
      <c r="P763" s="5" t="n">
        <f>E$55*(1-L$14)*(1-'Assumptions and Catalog'!$C$23)^R763</f>
        <v>8.71181335123749</v>
      </c>
      <c r="Q763" s="5" t="n">
        <f>IF(ISNUMBER(Inputs!$L$5),(IF(Inputs!$L$9="Actual flat rate",((D763+E763)*C763-G763)*Inputs!$L$10,IF(Inputs!$C$9="Residential",IF(((D763+E763)*C763-G763)&lt;='Assumptions and Catalog'!$C$50,((D763+E763)*C763-G763)*'Assumptions and Catalog'!$H$50+'Assumptions and Catalog'!$E$50+'Assumptions and Catalog'!$F$50,IF(((D763+E763)*C763-G763)&lt;='Assumptions and Catalog'!$C$51,((D763+E763)*C763-G763)*'Assumptions and Catalog'!$H$51+'Assumptions and Catalog'!$E$51+'Assumptions and Catalog'!$F$51,IF(((D763+E763)*C763-G763)&lt;='Assumptions and Catalog'!$C$52,((D763+E763)*C763-G763)*'Assumptions and Catalog'!$H$52+'Assumptions and Catalog'!$E$52+'Assumptions and Catalog'!$F$52,IF(((D763+E763)*C763-G763)&lt;='Assumptions and Catalog'!$C$53,((D763+E763)*C763-G763)*'Assumptions and Catalog'!$H$53+'Assumptions and Catalog'!$E$53+'Assumptions and Catalog'!$F$53,IF(((D763+E763)*C763-G763)&lt;='Assumptions and Catalog'!$C$54,((D763+E763)*C763-G763)*'Assumptions and Catalog'!$H$54+'Assumptions and Catalog'!$E$54+'Assumptions and Catalog'!$F$54,IF(((D763+E763)*C763-G763)&lt;='Assumptions and Catalog'!$C$55,((D763+E763)*C763-G763)*'Assumptions and Catalog'!$H$55+'Assumptions and Catalog'!$E$55+'Assumptions and Catalog'!$F$55,IF(((D763+E763)*C763-G763)&lt;='Assumptions and Catalog'!$C$56,((D763+E763)*C763-G763)*'Assumptions and Catalog'!$H$56+'Assumptions and Catalog'!$E$56+'Assumptions and Catalog'!$F$56,IF(((D763+E763)*C763-G763)&lt;='Assumptions and Catalog'!$C$57,((D763+E763)*C763-G763)*'Assumptions and Catalog'!$H$57+'Assumptions and Catalog'!$E$57+'Assumptions and Catalog'!$F$57,"Out of range")))))))),IF(((D763+E763)*C763-G763)&lt;='Assumptions and Catalog'!$C$60,((D763+E763)*C763-G763)*'Assumptions and Catalog'!$H$60+'Assumptions and Catalog'!$E$60+'Assumptions and Catalog'!$F$60,IF(((D763+E763)*C763-G763)&lt;='Assumptions and Catalog'!$C$61,((D763+E763)*C763-G763)*'Assumptions and Catalog'!$H$61+'Assumptions and Catalog'!$E$61+'Assumptions and Catalog'!$F$61,IF(((D763+E763)*C763-G763)&lt;='Assumptions and Catalog'!$C$62,((D763+E763)*C763-G763)*'Assumptions and Catalog'!$H$62+'Assumptions and Catalog'!$E$62+'Assumptions and Catalog'!$F$62,IF(((D763+E763)*C763-G763)&lt;='Assumptions and Catalog'!$C$63,((D763+E763)*C763-G763)*'Assumptions and Catalog'!$H$63+'Assumptions and Catalog'!$E$63+'Assumptions and Catalog'!$F$63,IF(((D763+E763)*C763-G763)&lt;='Assumptions and Catalog'!$C$64,((D763+E763)*C763-G763)*'Assumptions and Catalog'!$H$64+'Assumptions and Catalog'!$E$64+'Assumptions and Catalog'!$F$64,IF(((D763+E763)*C763-G763)&lt;='Assumptions and Catalog'!$C$65,((D763+E763)*C763-G763)*'Assumptions and Catalog'!$H$65+'Assumptions and Catalog'!$E$65+'Assumptions and Catalog'!$F$65,"Out of range")))))))))*(1+'Assumptions and Catalog'!$C$8)^(A763-1),0)</f>
        <v>3567.397</v>
      </c>
      <c r="R763" s="5" t="n">
        <f>IF(AND('Assumptions and Catalog'!$C$19&gt;0,A763&gt;='Assumptions and Catalog'!$C$19),A763-'Assumptions and Catalog'!$C$19,A763-1)</f>
        <v>8</v>
      </c>
      <c r="S763" s="5" t="n">
        <f>F763+L763-(D763+E763)*C763-J763-K763-IF(E$52&gt;0,'Assumptions and Catalog'!$C$26*C763,0)</f>
        <v>-5.6843418860808E-014</v>
      </c>
      <c r="T763" s="5"/>
      <c r="U763" s="5"/>
    </row>
    <row r="764" ht="23.100000381469727" customHeight="1">
      <c r="A764" s="5" t="n">
        <v>9</v>
      </c>
      <c r="B764" s="5" t="n">
        <v>8</v>
      </c>
      <c r="C764" s="5" t="n">
        <f>DAY(DATE('Assumptions and Catalog'!$C$24+A764-1,B764+1,0))</f>
        <v>31</v>
      </c>
      <c r="D764" s="5" t="n">
        <f>IF(ISNUMBER(Inputs!$L$5),Inputs!$L$5*Inputs!$L$6,0)</f>
        <v>40.35</v>
      </c>
      <c r="E764" s="5" t="n">
        <f>IF(ISNUMBER(Inputs!$L$5),Inputs!$L$5-D764,0)</f>
        <v>40.35</v>
      </c>
      <c r="F764" s="5" t="n">
        <f>E$51*INDEX('Solar Production'!$D$20:$D$31,B764)*C764*(1-'Assumptions and Catalog'!$C$10)^(A764-1)</f>
        <v>1762.67959635221</v>
      </c>
      <c r="G764" s="5" t="n">
        <f>MIN(F764,D764*C764)</f>
        <v>1250.85</v>
      </c>
      <c r="H764" s="5" t="n">
        <f>I764/('Assumptions and Catalog'!$C$11*'Assumptions and Catalog'!$C$12)</f>
        <v>276.990988603448</v>
      </c>
      <c r="I764" s="5" t="n">
        <f>MIN(E764*C764,P764*'Assumptions and Catalog'!$C$12*C764,(F764-G764)*'Assumptions and Catalog'!$C$11*'Assumptions and Catalog'!$C$12,E$56*'Assumptions and Catalog'!$C$14*'Assumptions and Catalog'!$C$11*'Assumptions and Catalog'!$C$12*C764,E$57*(24-'Assumptions and Catalog'!$C$13)*C764)</f>
        <v>263.314558541153</v>
      </c>
      <c r="J764" s="5" t="n">
        <f>MAX(F764-G764-H764,0)</f>
        <v>234.838607748763</v>
      </c>
      <c r="K764" s="5" t="n">
        <f>H764-I764</f>
        <v>13.6764300622953</v>
      </c>
      <c r="L764" s="5" t="n">
        <f>(D764+E764)*C764-G764-I764+0+IF(E$52&gt;0,'Assumptions and Catalog'!$C$26*C764,0)</f>
        <v>987.535441458847</v>
      </c>
      <c r="M764" s="5" t="n">
        <f>IF(ISNUMBER(Inputs!$L$5),(IF(Inputs!$L$9="Actual flat rate",((D764+E764)*C764)*Inputs!$L$10,IF(Inputs!$C$9="Residential",IF(((D764+E764)*C764)&lt;='Assumptions and Catalog'!$C$50,((D764+E764)*C764)*'Assumptions and Catalog'!$H$50+'Assumptions and Catalog'!$E$50+'Assumptions and Catalog'!$F$50,IF(((D764+E764)*C764)&lt;='Assumptions and Catalog'!$C$51,((D764+E764)*C764)*'Assumptions and Catalog'!$H$51+'Assumptions and Catalog'!$E$51+'Assumptions and Catalog'!$F$51,IF(((D764+E764)*C764)&lt;='Assumptions and Catalog'!$C$52,((D764+E764)*C764)*'Assumptions and Catalog'!$H$52+'Assumptions and Catalog'!$E$52+'Assumptions and Catalog'!$F$52,IF(((D764+E764)*C764)&lt;='Assumptions and Catalog'!$C$53,((D764+E764)*C764)*'Assumptions and Catalog'!$H$53+'Assumptions and Catalog'!$E$53+'Assumptions and Catalog'!$F$53,IF(((D764+E764)*C764)&lt;='Assumptions and Catalog'!$C$54,((D764+E764)*C764)*'Assumptions and Catalog'!$H$54+'Assumptions and Catalog'!$E$54+'Assumptions and Catalog'!$F$54,IF(((D764+E764)*C764)&lt;='Assumptions and Catalog'!$C$55,((D764+E764)*C764)*'Assumptions and Catalog'!$H$55+'Assumptions and Catalog'!$E$55+'Assumptions and Catalog'!$F$55,IF(((D764+E764)*C764)&lt;='Assumptions and Catalog'!$C$56,((D764+E764)*C764)*'Assumptions and Catalog'!$H$56+'Assumptions and Catalog'!$E$56+'Assumptions and Catalog'!$F$56,IF(((D764+E764)*C764)&lt;='Assumptions and Catalog'!$C$57,((D764+E764)*C764)*'Assumptions and Catalog'!$H$57+'Assumptions and Catalog'!$E$57+'Assumptions and Catalog'!$F$57,"Out of range")))))))),IF(((D764+E764)*C764)&lt;='Assumptions and Catalog'!$C$60,((D764+E764)*C764)*'Assumptions and Catalog'!$H$60+'Assumptions and Catalog'!$E$60+'Assumptions and Catalog'!$F$60,IF(((D764+E764)*C764)&lt;='Assumptions and Catalog'!$C$61,((D764+E764)*C764)*'Assumptions and Catalog'!$H$61+'Assumptions and Catalog'!$E$61+'Assumptions and Catalog'!$F$61,IF(((D764+E764)*C764)&lt;='Assumptions and Catalog'!$C$62,((D764+E764)*C764)*'Assumptions and Catalog'!$H$62+'Assumptions and Catalog'!$E$62+'Assumptions and Catalog'!$F$62,IF(((D764+E764)*C764)&lt;='Assumptions and Catalog'!$C$63,((D764+E764)*C764)*'Assumptions and Catalog'!$H$63+'Assumptions and Catalog'!$E$63+'Assumptions and Catalog'!$F$63,IF(((D764+E764)*C764)&lt;='Assumptions and Catalog'!$C$64,((D764+E764)*C764)*'Assumptions and Catalog'!$H$64+'Assumptions and Catalog'!$E$64+'Assumptions and Catalog'!$F$64,IF(((D764+E764)*C764)&lt;='Assumptions and Catalog'!$C$65,((D764+E764)*C764)*'Assumptions and Catalog'!$H$65+'Assumptions and Catalog'!$E$65+'Assumptions and Catalog'!$F$65,"Out of range")))))))))*(1+'Assumptions and Catalog'!$C$8)^(A764-1),0)</f>
        <v>7094.794</v>
      </c>
      <c r="N764" s="5" t="n">
        <f>IF(ISNUMBER(Inputs!$L$5),(IF(Inputs!$L$9="Actual flat rate",L764*Inputs!$L$10,IF(Inputs!$C$9="Residential",IF(L764&lt;='Assumptions and Catalog'!$C$50,L764*'Assumptions and Catalog'!$H$50+'Assumptions and Catalog'!$E$50+'Assumptions and Catalog'!$F$50,IF(L764&lt;='Assumptions and Catalog'!$C$51,L764*'Assumptions and Catalog'!$H$51+'Assumptions and Catalog'!$E$51+'Assumptions and Catalog'!$F$51,IF(L764&lt;='Assumptions and Catalog'!$C$52,L764*'Assumptions and Catalog'!$H$52+'Assumptions and Catalog'!$E$52+'Assumptions and Catalog'!$F$52,IF(L764&lt;='Assumptions and Catalog'!$C$53,L764*'Assumptions and Catalog'!$H$53+'Assumptions and Catalog'!$E$53+'Assumptions and Catalog'!$F$53,IF(L764&lt;='Assumptions and Catalog'!$C$54,L764*'Assumptions and Catalog'!$H$54+'Assumptions and Catalog'!$E$54+'Assumptions and Catalog'!$F$54,IF(L764&lt;='Assumptions and Catalog'!$C$55,L764*'Assumptions and Catalog'!$H$55+'Assumptions and Catalog'!$E$55+'Assumptions and Catalog'!$F$55,IF(L764&lt;='Assumptions and Catalog'!$C$56,L764*'Assumptions and Catalog'!$H$56+'Assumptions and Catalog'!$E$56+'Assumptions and Catalog'!$F$56,IF(L764&lt;='Assumptions and Catalog'!$C$57,L764*'Assumptions and Catalog'!$H$57+'Assumptions and Catalog'!$E$57+'Assumptions and Catalog'!$F$57,"Out of range")))))))),IF(L764&lt;='Assumptions and Catalog'!$C$60,L764*'Assumptions and Catalog'!$H$60+'Assumptions and Catalog'!$E$60+'Assumptions and Catalog'!$F$60,IF(L764&lt;='Assumptions and Catalog'!$C$61,L764*'Assumptions and Catalog'!$H$61+'Assumptions and Catalog'!$E$61+'Assumptions and Catalog'!$F$61,IF(L764&lt;='Assumptions and Catalog'!$C$62,L764*'Assumptions and Catalog'!$H$62+'Assumptions and Catalog'!$E$62+'Assumptions and Catalog'!$F$62,IF(L764&lt;='Assumptions and Catalog'!$C$63,L764*'Assumptions and Catalog'!$H$63+'Assumptions and Catalog'!$E$63+'Assumptions and Catalog'!$F$63,IF(L764&lt;='Assumptions and Catalog'!$C$64,L764*'Assumptions and Catalog'!$H$64+'Assumptions and Catalog'!$E$64+'Assumptions and Catalog'!$F$64,IF(L764&lt;='Assumptions and Catalog'!$C$65,L764*'Assumptions and Catalog'!$H$65+'Assumptions and Catalog'!$E$65+'Assumptions and Catalog'!$F$65,"Out of range")))))))))*(1+'Assumptions and Catalog'!$C$8)^(A764-1),0)</f>
        <v>2700.47317284101</v>
      </c>
      <c r="O764" s="5" t="n">
        <f>M764-N764</f>
        <v>4394.320827159</v>
      </c>
      <c r="P764" s="5" t="n">
        <f>E$55*(1-L$14)*(1-'Assumptions and Catalog'!$C$23)^R764</f>
        <v>8.71181335123749</v>
      </c>
      <c r="Q764" s="5" t="n">
        <f>IF(ISNUMBER(Inputs!$L$5),(IF(Inputs!$L$9="Actual flat rate",((D764+E764)*C764-G764)*Inputs!$L$10,IF(Inputs!$C$9="Residential",IF(((D764+E764)*C764-G764)&lt;='Assumptions and Catalog'!$C$50,((D764+E764)*C764-G764)*'Assumptions and Catalog'!$H$50+'Assumptions and Catalog'!$E$50+'Assumptions and Catalog'!$F$50,IF(((D764+E764)*C764-G764)&lt;='Assumptions and Catalog'!$C$51,((D764+E764)*C764-G764)*'Assumptions and Catalog'!$H$51+'Assumptions and Catalog'!$E$51+'Assumptions and Catalog'!$F$51,IF(((D764+E764)*C764-G764)&lt;='Assumptions and Catalog'!$C$52,((D764+E764)*C764-G764)*'Assumptions and Catalog'!$H$52+'Assumptions and Catalog'!$E$52+'Assumptions and Catalog'!$F$52,IF(((D764+E764)*C764-G764)&lt;='Assumptions and Catalog'!$C$53,((D764+E764)*C764-G764)*'Assumptions and Catalog'!$H$53+'Assumptions and Catalog'!$E$53+'Assumptions and Catalog'!$F$53,IF(((D764+E764)*C764-G764)&lt;='Assumptions and Catalog'!$C$54,((D764+E764)*C764-G764)*'Assumptions and Catalog'!$H$54+'Assumptions and Catalog'!$E$54+'Assumptions and Catalog'!$F$54,IF(((D764+E764)*C764-G764)&lt;='Assumptions and Catalog'!$C$55,((D764+E764)*C764-G764)*'Assumptions and Catalog'!$H$55+'Assumptions and Catalog'!$E$55+'Assumptions and Catalog'!$F$55,IF(((D764+E764)*C764-G764)&lt;='Assumptions and Catalog'!$C$56,((D764+E764)*C764-G764)*'Assumptions and Catalog'!$H$56+'Assumptions and Catalog'!$E$56+'Assumptions and Catalog'!$F$56,IF(((D764+E764)*C764-G764)&lt;='Assumptions and Catalog'!$C$57,((D764+E764)*C764-G764)*'Assumptions and Catalog'!$H$57+'Assumptions and Catalog'!$E$57+'Assumptions and Catalog'!$F$57,"Out of range")))))))),IF(((D764+E764)*C764-G764)&lt;='Assumptions and Catalog'!$C$60,((D764+E764)*C764-G764)*'Assumptions and Catalog'!$H$60+'Assumptions and Catalog'!$E$60+'Assumptions and Catalog'!$F$60,IF(((D764+E764)*C764-G764)&lt;='Assumptions and Catalog'!$C$61,((D764+E764)*C764-G764)*'Assumptions and Catalog'!$H$61+'Assumptions and Catalog'!$E$61+'Assumptions and Catalog'!$F$61,IF(((D764+E764)*C764-G764)&lt;='Assumptions and Catalog'!$C$62,((D764+E764)*C764-G764)*'Assumptions and Catalog'!$H$62+'Assumptions and Catalog'!$E$62+'Assumptions and Catalog'!$F$62,IF(((D764+E764)*C764-G764)&lt;='Assumptions and Catalog'!$C$63,((D764+E764)*C764-G764)*'Assumptions and Catalog'!$H$63+'Assumptions and Catalog'!$E$63+'Assumptions and Catalog'!$F$63,IF(((D764+E764)*C764-G764)&lt;='Assumptions and Catalog'!$C$64,((D764+E764)*C764-G764)*'Assumptions and Catalog'!$H$64+'Assumptions and Catalog'!$E$64+'Assumptions and Catalog'!$F$64,IF(((D764+E764)*C764-G764)&lt;='Assumptions and Catalog'!$C$65,((D764+E764)*C764-G764)*'Assumptions and Catalog'!$H$65+'Assumptions and Catalog'!$E$65+'Assumptions and Catalog'!$F$65,"Out of range")))))))))*(1+'Assumptions and Catalog'!$C$8)^(A764-1),0)</f>
        <v>3567.397</v>
      </c>
      <c r="R764" s="5" t="n">
        <f>IF(AND('Assumptions and Catalog'!$C$19&gt;0,A764&gt;='Assumptions and Catalog'!$C$19),A764-'Assumptions and Catalog'!$C$19,A764-1)</f>
        <v>8</v>
      </c>
      <c r="S764" s="5" t="n">
        <f>F764+L764-(D764+E764)*C764-J764-K764-IF(E$52&gt;0,'Assumptions and Catalog'!$C$26*C764,0)</f>
        <v>-5.6843418860808E-014</v>
      </c>
      <c r="T764" s="5"/>
      <c r="U764" s="5"/>
    </row>
    <row r="765" ht="23.100000381469727" customHeight="1">
      <c r="A765" s="5" t="n">
        <v>9</v>
      </c>
      <c r="B765" s="5" t="n">
        <v>9</v>
      </c>
      <c r="C765" s="5" t="n">
        <f>DAY(DATE('Assumptions and Catalog'!$C$24+A765-1,B765+1,0))</f>
        <v>30</v>
      </c>
      <c r="D765" s="5" t="n">
        <f>IF(ISNUMBER(Inputs!$L$5),Inputs!$L$5*Inputs!$L$6,0)</f>
        <v>40.35</v>
      </c>
      <c r="E765" s="5" t="n">
        <f>IF(ISNUMBER(Inputs!$L$5),Inputs!$L$5-D765,0)</f>
        <v>40.35</v>
      </c>
      <c r="F765" s="5" t="n">
        <f>E$51*INDEX('Solar Production'!$D$20:$D$31,B765)*C765*(1-'Assumptions and Catalog'!$C$10)^(A765-1)</f>
        <v>1701.3873801721</v>
      </c>
      <c r="G765" s="5" t="n">
        <f>MIN(F765,D765*C765)</f>
        <v>1210.5</v>
      </c>
      <c r="H765" s="5" t="n">
        <f>I765/('Assumptions and Catalog'!$C$11*'Assumptions and Catalog'!$C$12)</f>
        <v>268.055795422692</v>
      </c>
      <c r="I765" s="5" t="n">
        <f>MIN(E765*C765,P765*'Assumptions and Catalog'!$C$12*C765,(F765-G765)*'Assumptions and Catalog'!$C$11*'Assumptions and Catalog'!$C$12,E$56*'Assumptions and Catalog'!$C$14*'Assumptions and Catalog'!$C$11*'Assumptions and Catalog'!$C$12*C765,E$57*(24-'Assumptions and Catalog'!$C$13)*C765)</f>
        <v>254.820540523696</v>
      </c>
      <c r="J765" s="5" t="n">
        <f>MAX(F765-G765-H765,0)</f>
        <v>222.831584749407</v>
      </c>
      <c r="K765" s="5" t="n">
        <f>H765-I765</f>
        <v>13.2352548989954</v>
      </c>
      <c r="L765" s="5" t="n">
        <f>(D765+E765)*C765-G765-I765+0+IF(E$52&gt;0,'Assumptions and Catalog'!$C$26*C765,0)</f>
        <v>955.679459476304</v>
      </c>
      <c r="M765" s="5" t="n">
        <f>IF(ISNUMBER(Inputs!$L$5),(IF(Inputs!$L$9="Actual flat rate",((D765+E765)*C765)*Inputs!$L$10,IF(Inputs!$C$9="Residential",IF(((D765+E765)*C765)&lt;='Assumptions and Catalog'!$C$50,((D765+E765)*C765)*'Assumptions and Catalog'!$H$50+'Assumptions and Catalog'!$E$50+'Assumptions and Catalog'!$F$50,IF(((D765+E765)*C765)&lt;='Assumptions and Catalog'!$C$51,((D765+E765)*C765)*'Assumptions and Catalog'!$H$51+'Assumptions and Catalog'!$E$51+'Assumptions and Catalog'!$F$51,IF(((D765+E765)*C765)&lt;='Assumptions and Catalog'!$C$52,((D765+E765)*C765)*'Assumptions and Catalog'!$H$52+'Assumptions and Catalog'!$E$52+'Assumptions and Catalog'!$F$52,IF(((D765+E765)*C765)&lt;='Assumptions and Catalog'!$C$53,((D765+E765)*C765)*'Assumptions and Catalog'!$H$53+'Assumptions and Catalog'!$E$53+'Assumptions and Catalog'!$F$53,IF(((D765+E765)*C765)&lt;='Assumptions and Catalog'!$C$54,((D765+E765)*C765)*'Assumptions and Catalog'!$H$54+'Assumptions and Catalog'!$E$54+'Assumptions and Catalog'!$F$54,IF(((D765+E765)*C765)&lt;='Assumptions and Catalog'!$C$55,((D765+E765)*C765)*'Assumptions and Catalog'!$H$55+'Assumptions and Catalog'!$E$55+'Assumptions and Catalog'!$F$55,IF(((D765+E765)*C765)&lt;='Assumptions and Catalog'!$C$56,((D765+E765)*C765)*'Assumptions and Catalog'!$H$56+'Assumptions and Catalog'!$E$56+'Assumptions and Catalog'!$F$56,IF(((D765+E765)*C765)&lt;='Assumptions and Catalog'!$C$57,((D765+E765)*C765)*'Assumptions and Catalog'!$H$57+'Assumptions and Catalog'!$E$57+'Assumptions and Catalog'!$F$57,"Out of range")))))))),IF(((D765+E765)*C765)&lt;='Assumptions and Catalog'!$C$60,((D765+E765)*C765)*'Assumptions and Catalog'!$H$60+'Assumptions and Catalog'!$E$60+'Assumptions and Catalog'!$F$60,IF(((D765+E765)*C765)&lt;='Assumptions and Catalog'!$C$61,((D765+E765)*C765)*'Assumptions and Catalog'!$H$61+'Assumptions and Catalog'!$E$61+'Assumptions and Catalog'!$F$61,IF(((D765+E765)*C765)&lt;='Assumptions and Catalog'!$C$62,((D765+E765)*C765)*'Assumptions and Catalog'!$H$62+'Assumptions and Catalog'!$E$62+'Assumptions and Catalog'!$F$62,IF(((D765+E765)*C765)&lt;='Assumptions and Catalog'!$C$63,((D765+E765)*C765)*'Assumptions and Catalog'!$H$63+'Assumptions and Catalog'!$E$63+'Assumptions and Catalog'!$F$63,IF(((D765+E765)*C765)&lt;='Assumptions and Catalog'!$C$64,((D765+E765)*C765)*'Assumptions and Catalog'!$H$64+'Assumptions and Catalog'!$E$64+'Assumptions and Catalog'!$F$64,IF(((D765+E765)*C765)&lt;='Assumptions and Catalog'!$C$65,((D765+E765)*C765)*'Assumptions and Catalog'!$H$65+'Assumptions and Catalog'!$E$65+'Assumptions and Catalog'!$F$65,"Out of range")))))))))*(1+'Assumptions and Catalog'!$C$8)^(A765-1),0)</f>
        <v>6867.22</v>
      </c>
      <c r="N765" s="5" t="n">
        <f>IF(ISNUMBER(Inputs!$L$5),(IF(Inputs!$L$9="Actual flat rate",L765*Inputs!$L$10,IF(Inputs!$C$9="Residential",IF(L765&lt;='Assumptions and Catalog'!$C$50,L765*'Assumptions and Catalog'!$H$50+'Assumptions and Catalog'!$E$50+'Assumptions and Catalog'!$F$50,IF(L765&lt;='Assumptions and Catalog'!$C$51,L765*'Assumptions and Catalog'!$H$51+'Assumptions and Catalog'!$E$51+'Assumptions and Catalog'!$F$51,IF(L765&lt;='Assumptions and Catalog'!$C$52,L765*'Assumptions and Catalog'!$H$52+'Assumptions and Catalog'!$E$52+'Assumptions and Catalog'!$F$52,IF(L765&lt;='Assumptions and Catalog'!$C$53,L765*'Assumptions and Catalog'!$H$53+'Assumptions and Catalog'!$E$53+'Assumptions and Catalog'!$F$53,IF(L765&lt;='Assumptions and Catalog'!$C$54,L765*'Assumptions and Catalog'!$H$54+'Assumptions and Catalog'!$E$54+'Assumptions and Catalog'!$F$54,IF(L765&lt;='Assumptions and Catalog'!$C$55,L765*'Assumptions and Catalog'!$H$55+'Assumptions and Catalog'!$E$55+'Assumptions and Catalog'!$F$55,IF(L765&lt;='Assumptions and Catalog'!$C$56,L765*'Assumptions and Catalog'!$H$56+'Assumptions and Catalog'!$E$56+'Assumptions and Catalog'!$F$56,IF(L765&lt;='Assumptions and Catalog'!$C$57,L765*'Assumptions and Catalog'!$H$57+'Assumptions and Catalog'!$E$57+'Assumptions and Catalog'!$F$57,"Out of range")))))))),IF(L765&lt;='Assumptions and Catalog'!$C$60,L765*'Assumptions and Catalog'!$H$60+'Assumptions and Catalog'!$E$60+'Assumptions and Catalog'!$F$60,IF(L765&lt;='Assumptions and Catalog'!$C$61,L765*'Assumptions and Catalog'!$H$61+'Assumptions and Catalog'!$E$61+'Assumptions and Catalog'!$F$61,IF(L765&lt;='Assumptions and Catalog'!$C$62,L765*'Assumptions and Catalog'!$H$62+'Assumptions and Catalog'!$E$62+'Assumptions and Catalog'!$F$62,IF(L765&lt;='Assumptions and Catalog'!$C$63,L765*'Assumptions and Catalog'!$H$63+'Assumptions and Catalog'!$E$63+'Assumptions and Catalog'!$F$63,IF(L765&lt;='Assumptions and Catalog'!$C$64,L765*'Assumptions and Catalog'!$H$64+'Assumptions and Catalog'!$E$64+'Assumptions and Catalog'!$F$64,IF(L765&lt;='Assumptions and Catalog'!$C$65,L765*'Assumptions and Catalog'!$H$65+'Assumptions and Catalog'!$E$65+'Assumptions and Catalog'!$F$65,"Out of range")))))))))*(1+'Assumptions and Catalog'!$C$8)^(A765-1),0)</f>
        <v>2612.23210274936</v>
      </c>
      <c r="O765" s="5" t="n">
        <f>M765-N765</f>
        <v>4254.98789725064</v>
      </c>
      <c r="P765" s="5" t="n">
        <f>E$55*(1-L$14)*(1-'Assumptions and Catalog'!$C$23)^R765</f>
        <v>8.71181335123749</v>
      </c>
      <c r="Q765" s="5" t="n">
        <f>IF(ISNUMBER(Inputs!$L$5),(IF(Inputs!$L$9="Actual flat rate",((D765+E765)*C765-G765)*Inputs!$L$10,IF(Inputs!$C$9="Residential",IF(((D765+E765)*C765-G765)&lt;='Assumptions and Catalog'!$C$50,((D765+E765)*C765-G765)*'Assumptions and Catalog'!$H$50+'Assumptions and Catalog'!$E$50+'Assumptions and Catalog'!$F$50,IF(((D765+E765)*C765-G765)&lt;='Assumptions and Catalog'!$C$51,((D765+E765)*C765-G765)*'Assumptions and Catalog'!$H$51+'Assumptions and Catalog'!$E$51+'Assumptions and Catalog'!$F$51,IF(((D765+E765)*C765-G765)&lt;='Assumptions and Catalog'!$C$52,((D765+E765)*C765-G765)*'Assumptions and Catalog'!$H$52+'Assumptions and Catalog'!$E$52+'Assumptions and Catalog'!$F$52,IF(((D765+E765)*C765-G765)&lt;='Assumptions and Catalog'!$C$53,((D765+E765)*C765-G765)*'Assumptions and Catalog'!$H$53+'Assumptions and Catalog'!$E$53+'Assumptions and Catalog'!$F$53,IF(((D765+E765)*C765-G765)&lt;='Assumptions and Catalog'!$C$54,((D765+E765)*C765-G765)*'Assumptions and Catalog'!$H$54+'Assumptions and Catalog'!$E$54+'Assumptions and Catalog'!$F$54,IF(((D765+E765)*C765-G765)&lt;='Assumptions and Catalog'!$C$55,((D765+E765)*C765-G765)*'Assumptions and Catalog'!$H$55+'Assumptions and Catalog'!$E$55+'Assumptions and Catalog'!$F$55,IF(((D765+E765)*C765-G765)&lt;='Assumptions and Catalog'!$C$56,((D765+E765)*C765-G765)*'Assumptions and Catalog'!$H$56+'Assumptions and Catalog'!$E$56+'Assumptions and Catalog'!$F$56,IF(((D765+E765)*C765-G765)&lt;='Assumptions and Catalog'!$C$57,((D765+E765)*C765-G765)*'Assumptions and Catalog'!$H$57+'Assumptions and Catalog'!$E$57+'Assumptions and Catalog'!$F$57,"Out of range")))))))),IF(((D765+E765)*C765-G765)&lt;='Assumptions and Catalog'!$C$60,((D765+E765)*C765-G765)*'Assumptions and Catalog'!$H$60+'Assumptions and Catalog'!$E$60+'Assumptions and Catalog'!$F$60,IF(((D765+E765)*C765-G765)&lt;='Assumptions and Catalog'!$C$61,((D765+E765)*C765-G765)*'Assumptions and Catalog'!$H$61+'Assumptions and Catalog'!$E$61+'Assumptions and Catalog'!$F$61,IF(((D765+E765)*C765-G765)&lt;='Assumptions and Catalog'!$C$62,((D765+E765)*C765-G765)*'Assumptions and Catalog'!$H$62+'Assumptions and Catalog'!$E$62+'Assumptions and Catalog'!$F$62,IF(((D765+E765)*C765-G765)&lt;='Assumptions and Catalog'!$C$63,((D765+E765)*C765-G765)*'Assumptions and Catalog'!$H$63+'Assumptions and Catalog'!$E$63+'Assumptions and Catalog'!$F$63,IF(((D765+E765)*C765-G765)&lt;='Assumptions and Catalog'!$C$64,((D765+E765)*C765-G765)*'Assumptions and Catalog'!$H$64+'Assumptions and Catalog'!$E$64+'Assumptions and Catalog'!$F$64,IF(((D765+E765)*C765-G765)&lt;='Assumptions and Catalog'!$C$65,((D765+E765)*C765-G765)*'Assumptions and Catalog'!$H$65+'Assumptions and Catalog'!$E$65+'Assumptions and Catalog'!$F$65,"Out of range")))))))))*(1+'Assumptions and Catalog'!$C$8)^(A765-1),0)</f>
        <v>3453.61</v>
      </c>
      <c r="R765" s="5" t="n">
        <f>IF(AND('Assumptions and Catalog'!$C$19&gt;0,A765&gt;='Assumptions and Catalog'!$C$19),A765-'Assumptions and Catalog'!$C$19,A765-1)</f>
        <v>8</v>
      </c>
      <c r="S765" s="5" t="n">
        <f>F765+L765-(D765+E765)*C765-J765-K765-IF(E$52&gt;0,'Assumptions and Catalog'!$C$26*C765,0)</f>
        <v>-1.13686837721616E-013</v>
      </c>
      <c r="T765" s="5"/>
      <c r="U765" s="5"/>
    </row>
    <row r="766" ht="23.100000381469727" customHeight="1">
      <c r="A766" s="5" t="n">
        <v>9</v>
      </c>
      <c r="B766" s="5" t="n">
        <v>10</v>
      </c>
      <c r="C766" s="5" t="n">
        <f>DAY(DATE('Assumptions and Catalog'!$C$24+A766-1,B766+1,0))</f>
        <v>31</v>
      </c>
      <c r="D766" s="5" t="n">
        <f>IF(ISNUMBER(Inputs!$L$5),Inputs!$L$5*Inputs!$L$6,0)</f>
        <v>40.35</v>
      </c>
      <c r="E766" s="5" t="n">
        <f>IF(ISNUMBER(Inputs!$L$5),Inputs!$L$5-D766,0)</f>
        <v>40.35</v>
      </c>
      <c r="F766" s="5" t="n">
        <f>E$51*INDEX('Solar Production'!$D$20:$D$31,B766)*C766*(1-'Assumptions and Catalog'!$C$10)^(A766-1)</f>
        <v>1633.01485626084</v>
      </c>
      <c r="G766" s="5" t="n">
        <f>MIN(F766,D766*C766)</f>
        <v>1250.85</v>
      </c>
      <c r="H766" s="5" t="n">
        <f>I766/('Assumptions and Catalog'!$C$11*'Assumptions and Catalog'!$C$12)</f>
        <v>276.990988603448</v>
      </c>
      <c r="I766" s="5" t="n">
        <f>MIN(E766*C766,P766*'Assumptions and Catalog'!$C$12*C766,(F766-G766)*'Assumptions and Catalog'!$C$11*'Assumptions and Catalog'!$C$12,E$56*'Assumptions and Catalog'!$C$14*'Assumptions and Catalog'!$C$11*'Assumptions and Catalog'!$C$12*C766,E$57*(24-'Assumptions and Catalog'!$C$13)*C766)</f>
        <v>263.314558541153</v>
      </c>
      <c r="J766" s="5" t="n">
        <f>MAX(F766-G766-H766,0)</f>
        <v>105.173867657387</v>
      </c>
      <c r="K766" s="5" t="n">
        <f>H766-I766</f>
        <v>13.6764300622953</v>
      </c>
      <c r="L766" s="5" t="n">
        <f>(D766+E766)*C766-G766-I766+0+IF(E$52&gt;0,'Assumptions and Catalog'!$C$26*C766,0)</f>
        <v>987.535441458847</v>
      </c>
      <c r="M766" s="5" t="n">
        <f>IF(ISNUMBER(Inputs!$L$5),(IF(Inputs!$L$9="Actual flat rate",((D766+E766)*C766)*Inputs!$L$10,IF(Inputs!$C$9="Residential",IF(((D766+E766)*C766)&lt;='Assumptions and Catalog'!$C$50,((D766+E766)*C766)*'Assumptions and Catalog'!$H$50+'Assumptions and Catalog'!$E$50+'Assumptions and Catalog'!$F$50,IF(((D766+E766)*C766)&lt;='Assumptions and Catalog'!$C$51,((D766+E766)*C766)*'Assumptions and Catalog'!$H$51+'Assumptions and Catalog'!$E$51+'Assumptions and Catalog'!$F$51,IF(((D766+E766)*C766)&lt;='Assumptions and Catalog'!$C$52,((D766+E766)*C766)*'Assumptions and Catalog'!$H$52+'Assumptions and Catalog'!$E$52+'Assumptions and Catalog'!$F$52,IF(((D766+E766)*C766)&lt;='Assumptions and Catalog'!$C$53,((D766+E766)*C766)*'Assumptions and Catalog'!$H$53+'Assumptions and Catalog'!$E$53+'Assumptions and Catalog'!$F$53,IF(((D766+E766)*C766)&lt;='Assumptions and Catalog'!$C$54,((D766+E766)*C766)*'Assumptions and Catalog'!$H$54+'Assumptions and Catalog'!$E$54+'Assumptions and Catalog'!$F$54,IF(((D766+E766)*C766)&lt;='Assumptions and Catalog'!$C$55,((D766+E766)*C766)*'Assumptions and Catalog'!$H$55+'Assumptions and Catalog'!$E$55+'Assumptions and Catalog'!$F$55,IF(((D766+E766)*C766)&lt;='Assumptions and Catalog'!$C$56,((D766+E766)*C766)*'Assumptions and Catalog'!$H$56+'Assumptions and Catalog'!$E$56+'Assumptions and Catalog'!$F$56,IF(((D766+E766)*C766)&lt;='Assumptions and Catalog'!$C$57,((D766+E766)*C766)*'Assumptions and Catalog'!$H$57+'Assumptions and Catalog'!$E$57+'Assumptions and Catalog'!$F$57,"Out of range")))))))),IF(((D766+E766)*C766)&lt;='Assumptions and Catalog'!$C$60,((D766+E766)*C766)*'Assumptions and Catalog'!$H$60+'Assumptions and Catalog'!$E$60+'Assumptions and Catalog'!$F$60,IF(((D766+E766)*C766)&lt;='Assumptions and Catalog'!$C$61,((D766+E766)*C766)*'Assumptions and Catalog'!$H$61+'Assumptions and Catalog'!$E$61+'Assumptions and Catalog'!$F$61,IF(((D766+E766)*C766)&lt;='Assumptions and Catalog'!$C$62,((D766+E766)*C766)*'Assumptions and Catalog'!$H$62+'Assumptions and Catalog'!$E$62+'Assumptions and Catalog'!$F$62,IF(((D766+E766)*C766)&lt;='Assumptions and Catalog'!$C$63,((D766+E766)*C766)*'Assumptions and Catalog'!$H$63+'Assumptions and Catalog'!$E$63+'Assumptions and Catalog'!$F$63,IF(((D766+E766)*C766)&lt;='Assumptions and Catalog'!$C$64,((D766+E766)*C766)*'Assumptions and Catalog'!$H$64+'Assumptions and Catalog'!$E$64+'Assumptions and Catalog'!$F$64,IF(((D766+E766)*C766)&lt;='Assumptions and Catalog'!$C$65,((D766+E766)*C766)*'Assumptions and Catalog'!$H$65+'Assumptions and Catalog'!$E$65+'Assumptions and Catalog'!$F$65,"Out of range")))))))))*(1+'Assumptions and Catalog'!$C$8)^(A766-1),0)</f>
        <v>7094.794</v>
      </c>
      <c r="N766" s="5" t="n">
        <f>IF(ISNUMBER(Inputs!$L$5),(IF(Inputs!$L$9="Actual flat rate",L766*Inputs!$L$10,IF(Inputs!$C$9="Residential",IF(L766&lt;='Assumptions and Catalog'!$C$50,L766*'Assumptions and Catalog'!$H$50+'Assumptions and Catalog'!$E$50+'Assumptions and Catalog'!$F$50,IF(L766&lt;='Assumptions and Catalog'!$C$51,L766*'Assumptions and Catalog'!$H$51+'Assumptions and Catalog'!$E$51+'Assumptions and Catalog'!$F$51,IF(L766&lt;='Assumptions and Catalog'!$C$52,L766*'Assumptions and Catalog'!$H$52+'Assumptions and Catalog'!$E$52+'Assumptions and Catalog'!$F$52,IF(L766&lt;='Assumptions and Catalog'!$C$53,L766*'Assumptions and Catalog'!$H$53+'Assumptions and Catalog'!$E$53+'Assumptions and Catalog'!$F$53,IF(L766&lt;='Assumptions and Catalog'!$C$54,L766*'Assumptions and Catalog'!$H$54+'Assumptions and Catalog'!$E$54+'Assumptions and Catalog'!$F$54,IF(L766&lt;='Assumptions and Catalog'!$C$55,L766*'Assumptions and Catalog'!$H$55+'Assumptions and Catalog'!$E$55+'Assumptions and Catalog'!$F$55,IF(L766&lt;='Assumptions and Catalog'!$C$56,L766*'Assumptions and Catalog'!$H$56+'Assumptions and Catalog'!$E$56+'Assumptions and Catalog'!$F$56,IF(L766&lt;='Assumptions and Catalog'!$C$57,L766*'Assumptions and Catalog'!$H$57+'Assumptions and Catalog'!$E$57+'Assumptions and Catalog'!$F$57,"Out of range")))))))),IF(L766&lt;='Assumptions and Catalog'!$C$60,L766*'Assumptions and Catalog'!$H$60+'Assumptions and Catalog'!$E$60+'Assumptions and Catalog'!$F$60,IF(L766&lt;='Assumptions and Catalog'!$C$61,L766*'Assumptions and Catalog'!$H$61+'Assumptions and Catalog'!$E$61+'Assumptions and Catalog'!$F$61,IF(L766&lt;='Assumptions and Catalog'!$C$62,L766*'Assumptions and Catalog'!$H$62+'Assumptions and Catalog'!$E$62+'Assumptions and Catalog'!$F$62,IF(L766&lt;='Assumptions and Catalog'!$C$63,L766*'Assumptions and Catalog'!$H$63+'Assumptions and Catalog'!$E$63+'Assumptions and Catalog'!$F$63,IF(L766&lt;='Assumptions and Catalog'!$C$64,L766*'Assumptions and Catalog'!$H$64+'Assumptions and Catalog'!$E$64+'Assumptions and Catalog'!$F$64,IF(L766&lt;='Assumptions and Catalog'!$C$65,L766*'Assumptions and Catalog'!$H$65+'Assumptions and Catalog'!$E$65+'Assumptions and Catalog'!$F$65,"Out of range")))))))))*(1+'Assumptions and Catalog'!$C$8)^(A766-1),0)</f>
        <v>2700.47317284101</v>
      </c>
      <c r="O766" s="5" t="n">
        <f>M766-N766</f>
        <v>4394.320827159</v>
      </c>
      <c r="P766" s="5" t="n">
        <f>E$55*(1-L$14)*(1-'Assumptions and Catalog'!$C$23)^R766</f>
        <v>8.71181335123749</v>
      </c>
      <c r="Q766" s="5" t="n">
        <f>IF(ISNUMBER(Inputs!$L$5),(IF(Inputs!$L$9="Actual flat rate",((D766+E766)*C766-G766)*Inputs!$L$10,IF(Inputs!$C$9="Residential",IF(((D766+E766)*C766-G766)&lt;='Assumptions and Catalog'!$C$50,((D766+E766)*C766-G766)*'Assumptions and Catalog'!$H$50+'Assumptions and Catalog'!$E$50+'Assumptions and Catalog'!$F$50,IF(((D766+E766)*C766-G766)&lt;='Assumptions and Catalog'!$C$51,((D766+E766)*C766-G766)*'Assumptions and Catalog'!$H$51+'Assumptions and Catalog'!$E$51+'Assumptions and Catalog'!$F$51,IF(((D766+E766)*C766-G766)&lt;='Assumptions and Catalog'!$C$52,((D766+E766)*C766-G766)*'Assumptions and Catalog'!$H$52+'Assumptions and Catalog'!$E$52+'Assumptions and Catalog'!$F$52,IF(((D766+E766)*C766-G766)&lt;='Assumptions and Catalog'!$C$53,((D766+E766)*C766-G766)*'Assumptions and Catalog'!$H$53+'Assumptions and Catalog'!$E$53+'Assumptions and Catalog'!$F$53,IF(((D766+E766)*C766-G766)&lt;='Assumptions and Catalog'!$C$54,((D766+E766)*C766-G766)*'Assumptions and Catalog'!$H$54+'Assumptions and Catalog'!$E$54+'Assumptions and Catalog'!$F$54,IF(((D766+E766)*C766-G766)&lt;='Assumptions and Catalog'!$C$55,((D766+E766)*C766-G766)*'Assumptions and Catalog'!$H$55+'Assumptions and Catalog'!$E$55+'Assumptions and Catalog'!$F$55,IF(((D766+E766)*C766-G766)&lt;='Assumptions and Catalog'!$C$56,((D766+E766)*C766-G766)*'Assumptions and Catalog'!$H$56+'Assumptions and Catalog'!$E$56+'Assumptions and Catalog'!$F$56,IF(((D766+E766)*C766-G766)&lt;='Assumptions and Catalog'!$C$57,((D766+E766)*C766-G766)*'Assumptions and Catalog'!$H$57+'Assumptions and Catalog'!$E$57+'Assumptions and Catalog'!$F$57,"Out of range")))))))),IF(((D766+E766)*C766-G766)&lt;='Assumptions and Catalog'!$C$60,((D766+E766)*C766-G766)*'Assumptions and Catalog'!$H$60+'Assumptions and Catalog'!$E$60+'Assumptions and Catalog'!$F$60,IF(((D766+E766)*C766-G766)&lt;='Assumptions and Catalog'!$C$61,((D766+E766)*C766-G766)*'Assumptions and Catalog'!$H$61+'Assumptions and Catalog'!$E$61+'Assumptions and Catalog'!$F$61,IF(((D766+E766)*C766-G766)&lt;='Assumptions and Catalog'!$C$62,((D766+E766)*C766-G766)*'Assumptions and Catalog'!$H$62+'Assumptions and Catalog'!$E$62+'Assumptions and Catalog'!$F$62,IF(((D766+E766)*C766-G766)&lt;='Assumptions and Catalog'!$C$63,((D766+E766)*C766-G766)*'Assumptions and Catalog'!$H$63+'Assumptions and Catalog'!$E$63+'Assumptions and Catalog'!$F$63,IF(((D766+E766)*C766-G766)&lt;='Assumptions and Catalog'!$C$64,((D766+E766)*C766-G766)*'Assumptions and Catalog'!$H$64+'Assumptions and Catalog'!$E$64+'Assumptions and Catalog'!$F$64,IF(((D766+E766)*C766-G766)&lt;='Assumptions and Catalog'!$C$65,((D766+E766)*C766-G766)*'Assumptions and Catalog'!$H$65+'Assumptions and Catalog'!$E$65+'Assumptions and Catalog'!$F$65,"Out of range")))))))))*(1+'Assumptions and Catalog'!$C$8)^(A766-1),0)</f>
        <v>3567.397</v>
      </c>
      <c r="R766" s="5" t="n">
        <f>IF(AND('Assumptions and Catalog'!$C$19&gt;0,A766&gt;='Assumptions and Catalog'!$C$19),A766-'Assumptions and Catalog'!$C$19,A766-1)</f>
        <v>8</v>
      </c>
      <c r="S766" s="5" t="n">
        <f>F766+L766-(D766+E766)*C766-J766-K766-IF(E$52&gt;0,'Assumptions and Catalog'!$C$26*C766,0)</f>
        <v>-5.6843418860808E-014</v>
      </c>
      <c r="T766" s="5"/>
      <c r="U766" s="5"/>
    </row>
    <row r="767" ht="23.100000381469727" customHeight="1">
      <c r="A767" s="5" t="n">
        <v>9</v>
      </c>
      <c r="B767" s="5" t="n">
        <v>11</v>
      </c>
      <c r="C767" s="5" t="n">
        <f>DAY(DATE('Assumptions and Catalog'!$C$24+A767-1,B767+1,0))</f>
        <v>30</v>
      </c>
      <c r="D767" s="5" t="n">
        <f>IF(ISNUMBER(Inputs!$L$5),Inputs!$L$5*Inputs!$L$6,0)</f>
        <v>40.35</v>
      </c>
      <c r="E767" s="5" t="n">
        <f>IF(ISNUMBER(Inputs!$L$5),Inputs!$L$5-D767,0)</f>
        <v>40.35</v>
      </c>
      <c r="F767" s="5" t="n">
        <f>E$51*INDEX('Solar Production'!$D$20:$D$31,B767)*C767*(1-'Assumptions and Catalog'!$C$10)^(A767-1)</f>
        <v>1447.4473879638</v>
      </c>
      <c r="G767" s="5" t="n">
        <f>MIN(F767,D767*C767)</f>
        <v>1210.5</v>
      </c>
      <c r="H767" s="5" t="n">
        <f>I767/('Assumptions and Catalog'!$C$11*'Assumptions and Catalog'!$C$12)</f>
        <v>236.947387963804</v>
      </c>
      <c r="I767" s="5" t="n">
        <f>MIN(E767*C767,P767*'Assumptions and Catalog'!$C$12*C767,(F767-G767)*'Assumptions and Catalog'!$C$11*'Assumptions and Catalog'!$C$12,E$56*'Assumptions and Catalog'!$C$14*'Assumptions and Catalog'!$C$11*'Assumptions and Catalog'!$C$12*C767,E$57*(24-'Assumptions and Catalog'!$C$13)*C767)</f>
        <v>225.248110683091</v>
      </c>
      <c r="J767" s="5" t="n">
        <f>MAX(F767-G767-H767,0)</f>
        <v>0</v>
      </c>
      <c r="K767" s="5" t="n">
        <f>H767-I767</f>
        <v>11.6992772807128</v>
      </c>
      <c r="L767" s="5" t="n">
        <f>(D767+E767)*C767-G767-I767+0+IF(E$52&gt;0,'Assumptions and Catalog'!$C$26*C767,0)</f>
        <v>985.251889316909</v>
      </c>
      <c r="M767" s="5" t="n">
        <f>IF(ISNUMBER(Inputs!$L$5),(IF(Inputs!$L$9="Actual flat rate",((D767+E767)*C767)*Inputs!$L$10,IF(Inputs!$C$9="Residential",IF(((D767+E767)*C767)&lt;='Assumptions and Catalog'!$C$50,((D767+E767)*C767)*'Assumptions and Catalog'!$H$50+'Assumptions and Catalog'!$E$50+'Assumptions and Catalog'!$F$50,IF(((D767+E767)*C767)&lt;='Assumptions and Catalog'!$C$51,((D767+E767)*C767)*'Assumptions and Catalog'!$H$51+'Assumptions and Catalog'!$E$51+'Assumptions and Catalog'!$F$51,IF(((D767+E767)*C767)&lt;='Assumptions and Catalog'!$C$52,((D767+E767)*C767)*'Assumptions and Catalog'!$H$52+'Assumptions and Catalog'!$E$52+'Assumptions and Catalog'!$F$52,IF(((D767+E767)*C767)&lt;='Assumptions and Catalog'!$C$53,((D767+E767)*C767)*'Assumptions and Catalog'!$H$53+'Assumptions and Catalog'!$E$53+'Assumptions and Catalog'!$F$53,IF(((D767+E767)*C767)&lt;='Assumptions and Catalog'!$C$54,((D767+E767)*C767)*'Assumptions and Catalog'!$H$54+'Assumptions and Catalog'!$E$54+'Assumptions and Catalog'!$F$54,IF(((D767+E767)*C767)&lt;='Assumptions and Catalog'!$C$55,((D767+E767)*C767)*'Assumptions and Catalog'!$H$55+'Assumptions and Catalog'!$E$55+'Assumptions and Catalog'!$F$55,IF(((D767+E767)*C767)&lt;='Assumptions and Catalog'!$C$56,((D767+E767)*C767)*'Assumptions and Catalog'!$H$56+'Assumptions and Catalog'!$E$56+'Assumptions and Catalog'!$F$56,IF(((D767+E767)*C767)&lt;='Assumptions and Catalog'!$C$57,((D767+E767)*C767)*'Assumptions and Catalog'!$H$57+'Assumptions and Catalog'!$E$57+'Assumptions and Catalog'!$F$57,"Out of range")))))))),IF(((D767+E767)*C767)&lt;='Assumptions and Catalog'!$C$60,((D767+E767)*C767)*'Assumptions and Catalog'!$H$60+'Assumptions and Catalog'!$E$60+'Assumptions and Catalog'!$F$60,IF(((D767+E767)*C767)&lt;='Assumptions and Catalog'!$C$61,((D767+E767)*C767)*'Assumptions and Catalog'!$H$61+'Assumptions and Catalog'!$E$61+'Assumptions and Catalog'!$F$61,IF(((D767+E767)*C767)&lt;='Assumptions and Catalog'!$C$62,((D767+E767)*C767)*'Assumptions and Catalog'!$H$62+'Assumptions and Catalog'!$E$62+'Assumptions and Catalog'!$F$62,IF(((D767+E767)*C767)&lt;='Assumptions and Catalog'!$C$63,((D767+E767)*C767)*'Assumptions and Catalog'!$H$63+'Assumptions and Catalog'!$E$63+'Assumptions and Catalog'!$F$63,IF(((D767+E767)*C767)&lt;='Assumptions and Catalog'!$C$64,((D767+E767)*C767)*'Assumptions and Catalog'!$H$64+'Assumptions and Catalog'!$E$64+'Assumptions and Catalog'!$F$64,IF(((D767+E767)*C767)&lt;='Assumptions and Catalog'!$C$65,((D767+E767)*C767)*'Assumptions and Catalog'!$H$65+'Assumptions and Catalog'!$E$65+'Assumptions and Catalog'!$F$65,"Out of range")))))))))*(1+'Assumptions and Catalog'!$C$8)^(A767-1),0)</f>
        <v>6867.22</v>
      </c>
      <c r="N767" s="5" t="n">
        <f>IF(ISNUMBER(Inputs!$L$5),(IF(Inputs!$L$9="Actual flat rate",L767*Inputs!$L$10,IF(Inputs!$C$9="Residential",IF(L767&lt;='Assumptions and Catalog'!$C$50,L767*'Assumptions and Catalog'!$H$50+'Assumptions and Catalog'!$E$50+'Assumptions and Catalog'!$F$50,IF(L767&lt;='Assumptions and Catalog'!$C$51,L767*'Assumptions and Catalog'!$H$51+'Assumptions and Catalog'!$E$51+'Assumptions and Catalog'!$F$51,IF(L767&lt;='Assumptions and Catalog'!$C$52,L767*'Assumptions and Catalog'!$H$52+'Assumptions and Catalog'!$E$52+'Assumptions and Catalog'!$F$52,IF(L767&lt;='Assumptions and Catalog'!$C$53,L767*'Assumptions and Catalog'!$H$53+'Assumptions and Catalog'!$E$53+'Assumptions and Catalog'!$F$53,IF(L767&lt;='Assumptions and Catalog'!$C$54,L767*'Assumptions and Catalog'!$H$54+'Assumptions and Catalog'!$E$54+'Assumptions and Catalog'!$F$54,IF(L767&lt;='Assumptions and Catalog'!$C$55,L767*'Assumptions and Catalog'!$H$55+'Assumptions and Catalog'!$E$55+'Assumptions and Catalog'!$F$55,IF(L767&lt;='Assumptions and Catalog'!$C$56,L767*'Assumptions and Catalog'!$H$56+'Assumptions and Catalog'!$E$56+'Assumptions and Catalog'!$F$56,IF(L767&lt;='Assumptions and Catalog'!$C$57,L767*'Assumptions and Catalog'!$H$57+'Assumptions and Catalog'!$E$57+'Assumptions and Catalog'!$F$57,"Out of range")))))))),IF(L767&lt;='Assumptions and Catalog'!$C$60,L767*'Assumptions and Catalog'!$H$60+'Assumptions and Catalog'!$E$60+'Assumptions and Catalog'!$F$60,IF(L767&lt;='Assumptions and Catalog'!$C$61,L767*'Assumptions and Catalog'!$H$61+'Assumptions and Catalog'!$E$61+'Assumptions and Catalog'!$F$61,IF(L767&lt;='Assumptions and Catalog'!$C$62,L767*'Assumptions and Catalog'!$H$62+'Assumptions and Catalog'!$E$62+'Assumptions and Catalog'!$F$62,IF(L767&lt;='Assumptions and Catalog'!$C$63,L767*'Assumptions and Catalog'!$H$63+'Assumptions and Catalog'!$E$63+'Assumptions and Catalog'!$F$63,IF(L767&lt;='Assumptions and Catalog'!$C$64,L767*'Assumptions and Catalog'!$H$64+'Assumptions and Catalog'!$E$64+'Assumptions and Catalog'!$F$64,IF(L767&lt;='Assumptions and Catalog'!$C$65,L767*'Assumptions and Catalog'!$H$65+'Assumptions and Catalog'!$E$65+'Assumptions and Catalog'!$F$65,"Out of range")))))))))*(1+'Assumptions and Catalog'!$C$8)^(A767-1),0)</f>
        <v>2694.14773340784</v>
      </c>
      <c r="O767" s="5" t="n">
        <f>M767-N767</f>
        <v>4173.07226659216</v>
      </c>
      <c r="P767" s="5" t="n">
        <f>E$55*(1-L$14)*(1-'Assumptions and Catalog'!$C$23)^R767</f>
        <v>8.71181335123749</v>
      </c>
      <c r="Q767" s="5" t="n">
        <f>IF(ISNUMBER(Inputs!$L$5),(IF(Inputs!$L$9="Actual flat rate",((D767+E767)*C767-G767)*Inputs!$L$10,IF(Inputs!$C$9="Residential",IF(((D767+E767)*C767-G767)&lt;='Assumptions and Catalog'!$C$50,((D767+E767)*C767-G767)*'Assumptions and Catalog'!$H$50+'Assumptions and Catalog'!$E$50+'Assumptions and Catalog'!$F$50,IF(((D767+E767)*C767-G767)&lt;='Assumptions and Catalog'!$C$51,((D767+E767)*C767-G767)*'Assumptions and Catalog'!$H$51+'Assumptions and Catalog'!$E$51+'Assumptions and Catalog'!$F$51,IF(((D767+E767)*C767-G767)&lt;='Assumptions and Catalog'!$C$52,((D767+E767)*C767-G767)*'Assumptions and Catalog'!$H$52+'Assumptions and Catalog'!$E$52+'Assumptions and Catalog'!$F$52,IF(((D767+E767)*C767-G767)&lt;='Assumptions and Catalog'!$C$53,((D767+E767)*C767-G767)*'Assumptions and Catalog'!$H$53+'Assumptions and Catalog'!$E$53+'Assumptions and Catalog'!$F$53,IF(((D767+E767)*C767-G767)&lt;='Assumptions and Catalog'!$C$54,((D767+E767)*C767-G767)*'Assumptions and Catalog'!$H$54+'Assumptions and Catalog'!$E$54+'Assumptions and Catalog'!$F$54,IF(((D767+E767)*C767-G767)&lt;='Assumptions and Catalog'!$C$55,((D767+E767)*C767-G767)*'Assumptions and Catalog'!$H$55+'Assumptions and Catalog'!$E$55+'Assumptions and Catalog'!$F$55,IF(((D767+E767)*C767-G767)&lt;='Assumptions and Catalog'!$C$56,((D767+E767)*C767-G767)*'Assumptions and Catalog'!$H$56+'Assumptions and Catalog'!$E$56+'Assumptions and Catalog'!$F$56,IF(((D767+E767)*C767-G767)&lt;='Assumptions and Catalog'!$C$57,((D767+E767)*C767-G767)*'Assumptions and Catalog'!$H$57+'Assumptions and Catalog'!$E$57+'Assumptions and Catalog'!$F$57,"Out of range")))))))),IF(((D767+E767)*C767-G767)&lt;='Assumptions and Catalog'!$C$60,((D767+E767)*C767-G767)*'Assumptions and Catalog'!$H$60+'Assumptions and Catalog'!$E$60+'Assumptions and Catalog'!$F$60,IF(((D767+E767)*C767-G767)&lt;='Assumptions and Catalog'!$C$61,((D767+E767)*C767-G767)*'Assumptions and Catalog'!$H$61+'Assumptions and Catalog'!$E$61+'Assumptions and Catalog'!$F$61,IF(((D767+E767)*C767-G767)&lt;='Assumptions and Catalog'!$C$62,((D767+E767)*C767-G767)*'Assumptions and Catalog'!$H$62+'Assumptions and Catalog'!$E$62+'Assumptions and Catalog'!$F$62,IF(((D767+E767)*C767-G767)&lt;='Assumptions and Catalog'!$C$63,((D767+E767)*C767-G767)*'Assumptions and Catalog'!$H$63+'Assumptions and Catalog'!$E$63+'Assumptions and Catalog'!$F$63,IF(((D767+E767)*C767-G767)&lt;='Assumptions and Catalog'!$C$64,((D767+E767)*C767-G767)*'Assumptions and Catalog'!$H$64+'Assumptions and Catalog'!$E$64+'Assumptions and Catalog'!$F$64,IF(((D767+E767)*C767-G767)&lt;='Assumptions and Catalog'!$C$65,((D767+E767)*C767-G767)*'Assumptions and Catalog'!$H$65+'Assumptions and Catalog'!$E$65+'Assumptions and Catalog'!$F$65,"Out of range")))))))))*(1+'Assumptions and Catalog'!$C$8)^(A767-1),0)</f>
        <v>3453.61</v>
      </c>
      <c r="R767" s="5" t="n">
        <f>IF(AND('Assumptions and Catalog'!$C$19&gt;0,A767&gt;='Assumptions and Catalog'!$C$19),A767-'Assumptions and Catalog'!$C$19,A767-1)</f>
        <v>8</v>
      </c>
      <c r="S767" s="5" t="n">
        <f>F767+L767-(D767+E767)*C767-J767-K767-IF(E$52&gt;0,'Assumptions and Catalog'!$C$26*C767,0)</f>
        <v>1.70530256582424E-013</v>
      </c>
      <c r="T767" s="5"/>
      <c r="U767" s="5"/>
    </row>
    <row r="768" ht="23.100000381469727" customHeight="1">
      <c r="A768" s="5" t="n">
        <v>9</v>
      </c>
      <c r="B768" s="5" t="n">
        <v>12</v>
      </c>
      <c r="C768" s="5" t="n">
        <f>DAY(DATE('Assumptions and Catalog'!$C$24+A768-1,B768+1,0))</f>
        <v>31</v>
      </c>
      <c r="D768" s="5" t="n">
        <f>IF(ISNUMBER(Inputs!$L$5),Inputs!$L$5*Inputs!$L$6,0)</f>
        <v>40.35</v>
      </c>
      <c r="E768" s="5" t="n">
        <f>IF(ISNUMBER(Inputs!$L$5),Inputs!$L$5-D768,0)</f>
        <v>40.35</v>
      </c>
      <c r="F768" s="5" t="n">
        <f>E$51*INDEX('Solar Production'!$D$20:$D$31,B768)*C768*(1-'Assumptions and Catalog'!$C$10)^(A768-1)</f>
        <v>1378.01810170461</v>
      </c>
      <c r="G768" s="5" t="n">
        <f>MIN(F768,D768*C768)</f>
        <v>1250.85</v>
      </c>
      <c r="H768" s="5" t="n">
        <f>I768/('Assumptions and Catalog'!$C$11*'Assumptions and Catalog'!$C$12)</f>
        <v>127.168101704607</v>
      </c>
      <c r="I768" s="5" t="n">
        <f>MIN(E768*C768,P768*'Assumptions and Catalog'!$C$12*C768,(F768-G768)*'Assumptions and Catalog'!$C$11*'Assumptions and Catalog'!$C$12,E$56*'Assumptions and Catalog'!$C$14*'Assumptions and Catalog'!$C$11*'Assumptions and Catalog'!$C$12*C768,E$57*(24-'Assumptions and Catalog'!$C$13)*C768)</f>
        <v>120.889176682942</v>
      </c>
      <c r="J768" s="5" t="n">
        <f>MAX(F768-G768-H768,0)</f>
        <v>0</v>
      </c>
      <c r="K768" s="5" t="n">
        <f>H768-I768</f>
        <v>6.27892502166496</v>
      </c>
      <c r="L768" s="5" t="n">
        <f>(D768+E768)*C768-G768-I768+0+IF(E$52&gt;0,'Assumptions and Catalog'!$C$26*C768,0)</f>
        <v>1129.96082331706</v>
      </c>
      <c r="M768" s="5" t="n">
        <f>IF(ISNUMBER(Inputs!$L$5),(IF(Inputs!$L$9="Actual flat rate",((D768+E768)*C768)*Inputs!$L$10,IF(Inputs!$C$9="Residential",IF(((D768+E768)*C768)&lt;='Assumptions and Catalog'!$C$50,((D768+E768)*C768)*'Assumptions and Catalog'!$H$50+'Assumptions and Catalog'!$E$50+'Assumptions and Catalog'!$F$50,IF(((D768+E768)*C768)&lt;='Assumptions and Catalog'!$C$51,((D768+E768)*C768)*'Assumptions and Catalog'!$H$51+'Assumptions and Catalog'!$E$51+'Assumptions and Catalog'!$F$51,IF(((D768+E768)*C768)&lt;='Assumptions and Catalog'!$C$52,((D768+E768)*C768)*'Assumptions and Catalog'!$H$52+'Assumptions and Catalog'!$E$52+'Assumptions and Catalog'!$F$52,IF(((D768+E768)*C768)&lt;='Assumptions and Catalog'!$C$53,((D768+E768)*C768)*'Assumptions and Catalog'!$H$53+'Assumptions and Catalog'!$E$53+'Assumptions and Catalog'!$F$53,IF(((D768+E768)*C768)&lt;='Assumptions and Catalog'!$C$54,((D768+E768)*C768)*'Assumptions and Catalog'!$H$54+'Assumptions and Catalog'!$E$54+'Assumptions and Catalog'!$F$54,IF(((D768+E768)*C768)&lt;='Assumptions and Catalog'!$C$55,((D768+E768)*C768)*'Assumptions and Catalog'!$H$55+'Assumptions and Catalog'!$E$55+'Assumptions and Catalog'!$F$55,IF(((D768+E768)*C768)&lt;='Assumptions and Catalog'!$C$56,((D768+E768)*C768)*'Assumptions and Catalog'!$H$56+'Assumptions and Catalog'!$E$56+'Assumptions and Catalog'!$F$56,IF(((D768+E768)*C768)&lt;='Assumptions and Catalog'!$C$57,((D768+E768)*C768)*'Assumptions and Catalog'!$H$57+'Assumptions and Catalog'!$E$57+'Assumptions and Catalog'!$F$57,"Out of range")))))))),IF(((D768+E768)*C768)&lt;='Assumptions and Catalog'!$C$60,((D768+E768)*C768)*'Assumptions and Catalog'!$H$60+'Assumptions and Catalog'!$E$60+'Assumptions and Catalog'!$F$60,IF(((D768+E768)*C768)&lt;='Assumptions and Catalog'!$C$61,((D768+E768)*C768)*'Assumptions and Catalog'!$H$61+'Assumptions and Catalog'!$E$61+'Assumptions and Catalog'!$F$61,IF(((D768+E768)*C768)&lt;='Assumptions and Catalog'!$C$62,((D768+E768)*C768)*'Assumptions and Catalog'!$H$62+'Assumptions and Catalog'!$E$62+'Assumptions and Catalog'!$F$62,IF(((D768+E768)*C768)&lt;='Assumptions and Catalog'!$C$63,((D768+E768)*C768)*'Assumptions and Catalog'!$H$63+'Assumptions and Catalog'!$E$63+'Assumptions and Catalog'!$F$63,IF(((D768+E768)*C768)&lt;='Assumptions and Catalog'!$C$64,((D768+E768)*C768)*'Assumptions and Catalog'!$H$64+'Assumptions and Catalog'!$E$64+'Assumptions and Catalog'!$F$64,IF(((D768+E768)*C768)&lt;='Assumptions and Catalog'!$C$65,((D768+E768)*C768)*'Assumptions and Catalog'!$H$65+'Assumptions and Catalog'!$E$65+'Assumptions and Catalog'!$F$65,"Out of range")))))))))*(1+'Assumptions and Catalog'!$C$8)^(A768-1),0)</f>
        <v>7094.794</v>
      </c>
      <c r="N768" s="5" t="n">
        <f>IF(ISNUMBER(Inputs!$L$5),(IF(Inputs!$L$9="Actual flat rate",L768*Inputs!$L$10,IF(Inputs!$C$9="Residential",IF(L768&lt;='Assumptions and Catalog'!$C$50,L768*'Assumptions and Catalog'!$H$50+'Assumptions and Catalog'!$E$50+'Assumptions and Catalog'!$F$50,IF(L768&lt;='Assumptions and Catalog'!$C$51,L768*'Assumptions and Catalog'!$H$51+'Assumptions and Catalog'!$E$51+'Assumptions and Catalog'!$F$51,IF(L768&lt;='Assumptions and Catalog'!$C$52,L768*'Assumptions and Catalog'!$H$52+'Assumptions and Catalog'!$E$52+'Assumptions and Catalog'!$F$52,IF(L768&lt;='Assumptions and Catalog'!$C$53,L768*'Assumptions and Catalog'!$H$53+'Assumptions and Catalog'!$E$53+'Assumptions and Catalog'!$F$53,IF(L768&lt;='Assumptions and Catalog'!$C$54,L768*'Assumptions and Catalog'!$H$54+'Assumptions and Catalog'!$E$54+'Assumptions and Catalog'!$F$54,IF(L768&lt;='Assumptions and Catalog'!$C$55,L768*'Assumptions and Catalog'!$H$55+'Assumptions and Catalog'!$E$55+'Assumptions and Catalog'!$F$55,IF(L768&lt;='Assumptions and Catalog'!$C$56,L768*'Assumptions and Catalog'!$H$56+'Assumptions and Catalog'!$E$56+'Assumptions and Catalog'!$F$56,IF(L768&lt;='Assumptions and Catalog'!$C$57,L768*'Assumptions and Catalog'!$H$57+'Assumptions and Catalog'!$E$57+'Assumptions and Catalog'!$F$57,"Out of range")))))))),IF(L768&lt;='Assumptions and Catalog'!$C$60,L768*'Assumptions and Catalog'!$H$60+'Assumptions and Catalog'!$E$60+'Assumptions and Catalog'!$F$60,IF(L768&lt;='Assumptions and Catalog'!$C$61,L768*'Assumptions and Catalog'!$H$61+'Assumptions and Catalog'!$E$61+'Assumptions and Catalog'!$F$61,IF(L768&lt;='Assumptions and Catalog'!$C$62,L768*'Assumptions and Catalog'!$H$62+'Assumptions and Catalog'!$E$62+'Assumptions and Catalog'!$F$62,IF(L768&lt;='Assumptions and Catalog'!$C$63,L768*'Assumptions and Catalog'!$H$63+'Assumptions and Catalog'!$E$63+'Assumptions and Catalog'!$F$63,IF(L768&lt;='Assumptions and Catalog'!$C$64,L768*'Assumptions and Catalog'!$H$64+'Assumptions and Catalog'!$E$64+'Assumptions and Catalog'!$F$64,IF(L768&lt;='Assumptions and Catalog'!$C$65,L768*'Assumptions and Catalog'!$H$65+'Assumptions and Catalog'!$E$65+'Assumptions and Catalog'!$F$65,"Out of range")))))))))*(1+'Assumptions and Catalog'!$C$8)^(A768-1),0)</f>
        <v>3226.4895217541</v>
      </c>
      <c r="O768" s="5" t="n">
        <f>M768-N768</f>
        <v>3868.3044782459</v>
      </c>
      <c r="P768" s="5" t="n">
        <f>E$55*(1-L$14)*(1-'Assumptions and Catalog'!$C$23)^R768</f>
        <v>8.71181335123749</v>
      </c>
      <c r="Q768" s="5" t="n">
        <f>IF(ISNUMBER(Inputs!$L$5),(IF(Inputs!$L$9="Actual flat rate",((D768+E768)*C768-G768)*Inputs!$L$10,IF(Inputs!$C$9="Residential",IF(((D768+E768)*C768-G768)&lt;='Assumptions and Catalog'!$C$50,((D768+E768)*C768-G768)*'Assumptions and Catalog'!$H$50+'Assumptions and Catalog'!$E$50+'Assumptions and Catalog'!$F$50,IF(((D768+E768)*C768-G768)&lt;='Assumptions and Catalog'!$C$51,((D768+E768)*C768-G768)*'Assumptions and Catalog'!$H$51+'Assumptions and Catalog'!$E$51+'Assumptions and Catalog'!$F$51,IF(((D768+E768)*C768-G768)&lt;='Assumptions and Catalog'!$C$52,((D768+E768)*C768-G768)*'Assumptions and Catalog'!$H$52+'Assumptions and Catalog'!$E$52+'Assumptions and Catalog'!$F$52,IF(((D768+E768)*C768-G768)&lt;='Assumptions and Catalog'!$C$53,((D768+E768)*C768-G768)*'Assumptions and Catalog'!$H$53+'Assumptions and Catalog'!$E$53+'Assumptions and Catalog'!$F$53,IF(((D768+E768)*C768-G768)&lt;='Assumptions and Catalog'!$C$54,((D768+E768)*C768-G768)*'Assumptions and Catalog'!$H$54+'Assumptions and Catalog'!$E$54+'Assumptions and Catalog'!$F$54,IF(((D768+E768)*C768-G768)&lt;='Assumptions and Catalog'!$C$55,((D768+E768)*C768-G768)*'Assumptions and Catalog'!$H$55+'Assumptions and Catalog'!$E$55+'Assumptions and Catalog'!$F$55,IF(((D768+E768)*C768-G768)&lt;='Assumptions and Catalog'!$C$56,((D768+E768)*C768-G768)*'Assumptions and Catalog'!$H$56+'Assumptions and Catalog'!$E$56+'Assumptions and Catalog'!$F$56,IF(((D768+E768)*C768-G768)&lt;='Assumptions and Catalog'!$C$57,((D768+E768)*C768-G768)*'Assumptions and Catalog'!$H$57+'Assumptions and Catalog'!$E$57+'Assumptions and Catalog'!$F$57,"Out of range")))))))),IF(((D768+E768)*C768-G768)&lt;='Assumptions and Catalog'!$C$60,((D768+E768)*C768-G768)*'Assumptions and Catalog'!$H$60+'Assumptions and Catalog'!$E$60+'Assumptions and Catalog'!$F$60,IF(((D768+E768)*C768-G768)&lt;='Assumptions and Catalog'!$C$61,((D768+E768)*C768-G768)*'Assumptions and Catalog'!$H$61+'Assumptions and Catalog'!$E$61+'Assumptions and Catalog'!$F$61,IF(((D768+E768)*C768-G768)&lt;='Assumptions and Catalog'!$C$62,((D768+E768)*C768-G768)*'Assumptions and Catalog'!$H$62+'Assumptions and Catalog'!$E$62+'Assumptions and Catalog'!$F$62,IF(((D768+E768)*C768-G768)&lt;='Assumptions and Catalog'!$C$63,((D768+E768)*C768-G768)*'Assumptions and Catalog'!$H$63+'Assumptions and Catalog'!$E$63+'Assumptions and Catalog'!$F$63,IF(((D768+E768)*C768-G768)&lt;='Assumptions and Catalog'!$C$64,((D768+E768)*C768-G768)*'Assumptions and Catalog'!$H$64+'Assumptions and Catalog'!$E$64+'Assumptions and Catalog'!$F$64,IF(((D768+E768)*C768-G768)&lt;='Assumptions and Catalog'!$C$65,((D768+E768)*C768-G768)*'Assumptions and Catalog'!$H$65+'Assumptions and Catalog'!$E$65+'Assumptions and Catalog'!$F$65,"Out of range")))))))))*(1+'Assumptions and Catalog'!$C$8)^(A768-1),0)</f>
        <v>3567.397</v>
      </c>
      <c r="R768" s="5" t="n">
        <f>IF(AND('Assumptions and Catalog'!$C$19&gt;0,A768&gt;='Assumptions and Catalog'!$C$19),A768-'Assumptions and Catalog'!$C$19,A768-1)</f>
        <v>8</v>
      </c>
      <c r="S768" s="5" t="n">
        <f>F768+L768-(D768+E768)*C768-J768-K768-IF(E$52&gt;0,'Assumptions and Catalog'!$C$26*C768,0)</f>
        <v>1.84741111297626E-013</v>
      </c>
      <c r="T768" s="5"/>
      <c r="U768" s="5"/>
    </row>
    <row r="769" ht="23.100000381469727" customHeight="1">
      <c r="A769" s="5" t="n">
        <v>10</v>
      </c>
      <c r="B769" s="5" t="n">
        <v>1</v>
      </c>
      <c r="C769" s="5" t="n">
        <f>DAY(DATE('Assumptions and Catalog'!$C$24+A769-1,B769+1,0))</f>
        <v>31</v>
      </c>
      <c r="D769" s="5" t="n">
        <f>IF(ISNUMBER(Inputs!$L$5),Inputs!$L$5*Inputs!$L$6,0)</f>
        <v>40.35</v>
      </c>
      <c r="E769" s="5" t="n">
        <f>IF(ISNUMBER(Inputs!$L$5),Inputs!$L$5-D769,0)</f>
        <v>40.35</v>
      </c>
      <c r="F769" s="5" t="n">
        <f>E$51*INDEX('Solar Production'!$D$20:$D$31,B769)*C769*(1-'Assumptions and Catalog'!$C$10)^(A769-1)</f>
        <v>1380.59131802182</v>
      </c>
      <c r="G769" s="5" t="n">
        <f>MIN(F769,D769*C769)</f>
        <v>1250.85</v>
      </c>
      <c r="H769" s="5" t="n">
        <f>I769/('Assumptions and Catalog'!$C$11*'Assumptions and Catalog'!$C$12)</f>
        <v>129.741318021824</v>
      </c>
      <c r="I769" s="5" t="n">
        <f>MIN(E769*C769,P769*'Assumptions and Catalog'!$C$12*C769,(F769-G769)*'Assumptions and Catalog'!$C$11*'Assumptions and Catalog'!$C$12,E$56*'Assumptions and Catalog'!$C$14*'Assumptions and Catalog'!$C$11*'Assumptions and Catalog'!$C$12*C769,E$57*(24-'Assumptions and Catalog'!$C$13)*C769)</f>
        <v>123.335340444496</v>
      </c>
      <c r="J769" s="5" t="n">
        <f>MAX(F769-G769-H769,0)</f>
        <v>0</v>
      </c>
      <c r="K769" s="5" t="n">
        <f>H769-I769</f>
        <v>6.40597757732755</v>
      </c>
      <c r="L769" s="5" t="n">
        <f>(D769+E769)*C769-G769-I769+0+IF(E$52&gt;0,'Assumptions and Catalog'!$C$26*C769,0)</f>
        <v>1127.5146595555</v>
      </c>
      <c r="M769" s="5" t="n">
        <f>IF(ISNUMBER(Inputs!$L$5),(IF(Inputs!$L$9="Actual flat rate",((D769+E769)*C769)*Inputs!$L$10,IF(Inputs!$C$9="Residential",IF(((D769+E769)*C769)&lt;='Assumptions and Catalog'!$C$50,((D769+E769)*C769)*'Assumptions and Catalog'!$H$50+'Assumptions and Catalog'!$E$50+'Assumptions and Catalog'!$F$50,IF(((D769+E769)*C769)&lt;='Assumptions and Catalog'!$C$51,((D769+E769)*C769)*'Assumptions and Catalog'!$H$51+'Assumptions and Catalog'!$E$51+'Assumptions and Catalog'!$F$51,IF(((D769+E769)*C769)&lt;='Assumptions and Catalog'!$C$52,((D769+E769)*C769)*'Assumptions and Catalog'!$H$52+'Assumptions and Catalog'!$E$52+'Assumptions and Catalog'!$F$52,IF(((D769+E769)*C769)&lt;='Assumptions and Catalog'!$C$53,((D769+E769)*C769)*'Assumptions and Catalog'!$H$53+'Assumptions and Catalog'!$E$53+'Assumptions and Catalog'!$F$53,IF(((D769+E769)*C769)&lt;='Assumptions and Catalog'!$C$54,((D769+E769)*C769)*'Assumptions and Catalog'!$H$54+'Assumptions and Catalog'!$E$54+'Assumptions and Catalog'!$F$54,IF(((D769+E769)*C769)&lt;='Assumptions and Catalog'!$C$55,((D769+E769)*C769)*'Assumptions and Catalog'!$H$55+'Assumptions and Catalog'!$E$55+'Assumptions and Catalog'!$F$55,IF(((D769+E769)*C769)&lt;='Assumptions and Catalog'!$C$56,((D769+E769)*C769)*'Assumptions and Catalog'!$H$56+'Assumptions and Catalog'!$E$56+'Assumptions and Catalog'!$F$56,IF(((D769+E769)*C769)&lt;='Assumptions and Catalog'!$C$57,((D769+E769)*C769)*'Assumptions and Catalog'!$H$57+'Assumptions and Catalog'!$E$57+'Assumptions and Catalog'!$F$57,"Out of range")))))))),IF(((D769+E769)*C769)&lt;='Assumptions and Catalog'!$C$60,((D769+E769)*C769)*'Assumptions and Catalog'!$H$60+'Assumptions and Catalog'!$E$60+'Assumptions and Catalog'!$F$60,IF(((D769+E769)*C769)&lt;='Assumptions and Catalog'!$C$61,((D769+E769)*C769)*'Assumptions and Catalog'!$H$61+'Assumptions and Catalog'!$E$61+'Assumptions and Catalog'!$F$61,IF(((D769+E769)*C769)&lt;='Assumptions and Catalog'!$C$62,((D769+E769)*C769)*'Assumptions and Catalog'!$H$62+'Assumptions and Catalog'!$E$62+'Assumptions and Catalog'!$F$62,IF(((D769+E769)*C769)&lt;='Assumptions and Catalog'!$C$63,((D769+E769)*C769)*'Assumptions and Catalog'!$H$63+'Assumptions and Catalog'!$E$63+'Assumptions and Catalog'!$F$63,IF(((D769+E769)*C769)&lt;='Assumptions and Catalog'!$C$64,((D769+E769)*C769)*'Assumptions and Catalog'!$H$64+'Assumptions and Catalog'!$E$64+'Assumptions and Catalog'!$F$64,IF(((D769+E769)*C769)&lt;='Assumptions and Catalog'!$C$65,((D769+E769)*C769)*'Assumptions and Catalog'!$H$65+'Assumptions and Catalog'!$E$65+'Assumptions and Catalog'!$F$65,"Out of range")))))))))*(1+'Assumptions and Catalog'!$C$8)^(A769-1),0)</f>
        <v>7094.794</v>
      </c>
      <c r="N769" s="5" t="n">
        <f>IF(ISNUMBER(Inputs!$L$5),(IF(Inputs!$L$9="Actual flat rate",L769*Inputs!$L$10,IF(Inputs!$C$9="Residential",IF(L769&lt;='Assumptions and Catalog'!$C$50,L769*'Assumptions and Catalog'!$H$50+'Assumptions and Catalog'!$E$50+'Assumptions and Catalog'!$F$50,IF(L769&lt;='Assumptions and Catalog'!$C$51,L769*'Assumptions and Catalog'!$H$51+'Assumptions and Catalog'!$E$51+'Assumptions and Catalog'!$F$51,IF(L769&lt;='Assumptions and Catalog'!$C$52,L769*'Assumptions and Catalog'!$H$52+'Assumptions and Catalog'!$E$52+'Assumptions and Catalog'!$F$52,IF(L769&lt;='Assumptions and Catalog'!$C$53,L769*'Assumptions and Catalog'!$H$53+'Assumptions and Catalog'!$E$53+'Assumptions and Catalog'!$F$53,IF(L769&lt;='Assumptions and Catalog'!$C$54,L769*'Assumptions and Catalog'!$H$54+'Assumptions and Catalog'!$E$54+'Assumptions and Catalog'!$F$54,IF(L769&lt;='Assumptions and Catalog'!$C$55,L769*'Assumptions and Catalog'!$H$55+'Assumptions and Catalog'!$E$55+'Assumptions and Catalog'!$F$55,IF(L769&lt;='Assumptions and Catalog'!$C$56,L769*'Assumptions and Catalog'!$H$56+'Assumptions and Catalog'!$E$56+'Assumptions and Catalog'!$F$56,IF(L769&lt;='Assumptions and Catalog'!$C$57,L769*'Assumptions and Catalog'!$H$57+'Assumptions and Catalog'!$E$57+'Assumptions and Catalog'!$F$57,"Out of range")))))))),IF(L769&lt;='Assumptions and Catalog'!$C$60,L769*'Assumptions and Catalog'!$H$60+'Assumptions and Catalog'!$E$60+'Assumptions and Catalog'!$F$60,IF(L769&lt;='Assumptions and Catalog'!$C$61,L769*'Assumptions and Catalog'!$H$61+'Assumptions and Catalog'!$E$61+'Assumptions and Catalog'!$F$61,IF(L769&lt;='Assumptions and Catalog'!$C$62,L769*'Assumptions and Catalog'!$H$62+'Assumptions and Catalog'!$E$62+'Assumptions and Catalog'!$F$62,IF(L769&lt;='Assumptions and Catalog'!$C$63,L769*'Assumptions and Catalog'!$H$63+'Assumptions and Catalog'!$E$63+'Assumptions and Catalog'!$F$63,IF(L769&lt;='Assumptions and Catalog'!$C$64,L769*'Assumptions and Catalog'!$H$64+'Assumptions and Catalog'!$E$64+'Assumptions and Catalog'!$F$64,IF(L769&lt;='Assumptions and Catalog'!$C$65,L769*'Assumptions and Catalog'!$H$65+'Assumptions and Catalog'!$E$65+'Assumptions and Catalog'!$F$65,"Out of range")))))))))*(1+'Assumptions and Catalog'!$C$8)^(A769-1),0)</f>
        <v>3219.59133994652</v>
      </c>
      <c r="O769" s="5" t="n">
        <f>M769-N769</f>
        <v>3875.20266005348</v>
      </c>
      <c r="P769" s="5" t="n">
        <f>E$55*(1-L$14)*(1-'Assumptions and Catalog'!$C$23)^R769</f>
        <v>8.53757708421274</v>
      </c>
      <c r="Q769" s="5" t="n">
        <f>IF(ISNUMBER(Inputs!$L$5),(IF(Inputs!$L$9="Actual flat rate",((D769+E769)*C769-G769)*Inputs!$L$10,IF(Inputs!$C$9="Residential",IF(((D769+E769)*C769-G769)&lt;='Assumptions and Catalog'!$C$50,((D769+E769)*C769-G769)*'Assumptions and Catalog'!$H$50+'Assumptions and Catalog'!$E$50+'Assumptions and Catalog'!$F$50,IF(((D769+E769)*C769-G769)&lt;='Assumptions and Catalog'!$C$51,((D769+E769)*C769-G769)*'Assumptions and Catalog'!$H$51+'Assumptions and Catalog'!$E$51+'Assumptions and Catalog'!$F$51,IF(((D769+E769)*C769-G769)&lt;='Assumptions and Catalog'!$C$52,((D769+E769)*C769-G769)*'Assumptions and Catalog'!$H$52+'Assumptions and Catalog'!$E$52+'Assumptions and Catalog'!$F$52,IF(((D769+E769)*C769-G769)&lt;='Assumptions and Catalog'!$C$53,((D769+E769)*C769-G769)*'Assumptions and Catalog'!$H$53+'Assumptions and Catalog'!$E$53+'Assumptions and Catalog'!$F$53,IF(((D769+E769)*C769-G769)&lt;='Assumptions and Catalog'!$C$54,((D769+E769)*C769-G769)*'Assumptions and Catalog'!$H$54+'Assumptions and Catalog'!$E$54+'Assumptions and Catalog'!$F$54,IF(((D769+E769)*C769-G769)&lt;='Assumptions and Catalog'!$C$55,((D769+E769)*C769-G769)*'Assumptions and Catalog'!$H$55+'Assumptions and Catalog'!$E$55+'Assumptions and Catalog'!$F$55,IF(((D769+E769)*C769-G769)&lt;='Assumptions and Catalog'!$C$56,((D769+E769)*C769-G769)*'Assumptions and Catalog'!$H$56+'Assumptions and Catalog'!$E$56+'Assumptions and Catalog'!$F$56,IF(((D769+E769)*C769-G769)&lt;='Assumptions and Catalog'!$C$57,((D769+E769)*C769-G769)*'Assumptions and Catalog'!$H$57+'Assumptions and Catalog'!$E$57+'Assumptions and Catalog'!$F$57,"Out of range")))))))),IF(((D769+E769)*C769-G769)&lt;='Assumptions and Catalog'!$C$60,((D769+E769)*C769-G769)*'Assumptions and Catalog'!$H$60+'Assumptions and Catalog'!$E$60+'Assumptions and Catalog'!$F$60,IF(((D769+E769)*C769-G769)&lt;='Assumptions and Catalog'!$C$61,((D769+E769)*C769-G769)*'Assumptions and Catalog'!$H$61+'Assumptions and Catalog'!$E$61+'Assumptions and Catalog'!$F$61,IF(((D769+E769)*C769-G769)&lt;='Assumptions and Catalog'!$C$62,((D769+E769)*C769-G769)*'Assumptions and Catalog'!$H$62+'Assumptions and Catalog'!$E$62+'Assumptions and Catalog'!$F$62,IF(((D769+E769)*C769-G769)&lt;='Assumptions and Catalog'!$C$63,((D769+E769)*C769-G769)*'Assumptions and Catalog'!$H$63+'Assumptions and Catalog'!$E$63+'Assumptions and Catalog'!$F$63,IF(((D769+E769)*C769-G769)&lt;='Assumptions and Catalog'!$C$64,((D769+E769)*C769-G769)*'Assumptions and Catalog'!$H$64+'Assumptions and Catalog'!$E$64+'Assumptions and Catalog'!$F$64,IF(((D769+E769)*C769-G769)&lt;='Assumptions and Catalog'!$C$65,((D769+E769)*C769-G769)*'Assumptions and Catalog'!$H$65+'Assumptions and Catalog'!$E$65+'Assumptions and Catalog'!$F$65,"Out of range")))))))))*(1+'Assumptions and Catalog'!$C$8)^(A769-1),0)</f>
        <v>3567.397</v>
      </c>
      <c r="R769" s="5" t="n">
        <f>IF(AND('Assumptions and Catalog'!$C$19&gt;0,A769&gt;='Assumptions and Catalog'!$C$19),A769-'Assumptions and Catalog'!$C$19,A769-1)</f>
        <v>9</v>
      </c>
      <c r="S769" s="5" t="n">
        <f>F769+L769-(D769+E769)*C769-J769-K769-IF(E$52&gt;0,'Assumptions and Catalog'!$C$26*C769,0)</f>
        <v>2.8421709430404E-014</v>
      </c>
      <c r="T769" s="5"/>
      <c r="U769" s="5"/>
    </row>
    <row r="770" ht="23.100000381469727" customHeight="1">
      <c r="A770" s="5" t="n">
        <v>10</v>
      </c>
      <c r="B770" s="5" t="n">
        <v>2</v>
      </c>
      <c r="C770" s="5" t="n">
        <f>DAY(DATE('Assumptions and Catalog'!$C$24+A770-1,B770+1,0))</f>
        <v>29</v>
      </c>
      <c r="D770" s="5" t="n">
        <f>IF(ISNUMBER(Inputs!$L$5),Inputs!$L$5*Inputs!$L$6,0)</f>
        <v>40.35</v>
      </c>
      <c r="E770" s="5" t="n">
        <f>IF(ISNUMBER(Inputs!$L$5),Inputs!$L$5-D770,0)</f>
        <v>40.35</v>
      </c>
      <c r="F770" s="5" t="n">
        <f>E$51*INDEX('Solar Production'!$D$20:$D$31,B770)*C770*(1-'Assumptions and Catalog'!$C$10)^(A770-1)</f>
        <v>1409.75107099876</v>
      </c>
      <c r="G770" s="5" t="n">
        <f>MIN(F770,D770*C770)</f>
        <v>1170.15</v>
      </c>
      <c r="H770" s="5" t="n">
        <f>I770/('Assumptions and Catalog'!$C$11*'Assumptions and Catalog'!$C$12)</f>
        <v>239.601070998756</v>
      </c>
      <c r="I770" s="5" t="n">
        <f>MIN(E770*C770,P770*'Assumptions and Catalog'!$C$12*C770,(F770-G770)*'Assumptions and Catalog'!$C$11*'Assumptions and Catalog'!$C$12,E$56*'Assumptions and Catalog'!$C$14*'Assumptions and Catalog'!$C$11*'Assumptions and Catalog'!$C$12*C770,E$57*(24-'Assumptions and Catalog'!$C$13)*C770)</f>
        <v>227.770768118192</v>
      </c>
      <c r="J770" s="5" t="n">
        <f>MAX(F770-G770-H770,0)</f>
        <v>0</v>
      </c>
      <c r="K770" s="5" t="n">
        <f>H770-I770</f>
        <v>11.8303028805636</v>
      </c>
      <c r="L770" s="5" t="n">
        <f>(D770+E770)*C770-G770-I770+0+IF(E$52&gt;0,'Assumptions and Catalog'!$C$26*C770,0)</f>
        <v>942.379231881808</v>
      </c>
      <c r="M770" s="5" t="n">
        <f>IF(ISNUMBER(Inputs!$L$5),(IF(Inputs!$L$9="Actual flat rate",((D770+E770)*C770)*Inputs!$L$10,IF(Inputs!$C$9="Residential",IF(((D770+E770)*C770)&lt;='Assumptions and Catalog'!$C$50,((D770+E770)*C770)*'Assumptions and Catalog'!$H$50+'Assumptions and Catalog'!$E$50+'Assumptions and Catalog'!$F$50,IF(((D770+E770)*C770)&lt;='Assumptions and Catalog'!$C$51,((D770+E770)*C770)*'Assumptions and Catalog'!$H$51+'Assumptions and Catalog'!$E$51+'Assumptions and Catalog'!$F$51,IF(((D770+E770)*C770)&lt;='Assumptions and Catalog'!$C$52,((D770+E770)*C770)*'Assumptions and Catalog'!$H$52+'Assumptions and Catalog'!$E$52+'Assumptions and Catalog'!$F$52,IF(((D770+E770)*C770)&lt;='Assumptions and Catalog'!$C$53,((D770+E770)*C770)*'Assumptions and Catalog'!$H$53+'Assumptions and Catalog'!$E$53+'Assumptions and Catalog'!$F$53,IF(((D770+E770)*C770)&lt;='Assumptions and Catalog'!$C$54,((D770+E770)*C770)*'Assumptions and Catalog'!$H$54+'Assumptions and Catalog'!$E$54+'Assumptions and Catalog'!$F$54,IF(((D770+E770)*C770)&lt;='Assumptions and Catalog'!$C$55,((D770+E770)*C770)*'Assumptions and Catalog'!$H$55+'Assumptions and Catalog'!$E$55+'Assumptions and Catalog'!$F$55,IF(((D770+E770)*C770)&lt;='Assumptions and Catalog'!$C$56,((D770+E770)*C770)*'Assumptions and Catalog'!$H$56+'Assumptions and Catalog'!$E$56+'Assumptions and Catalog'!$F$56,IF(((D770+E770)*C770)&lt;='Assumptions and Catalog'!$C$57,((D770+E770)*C770)*'Assumptions and Catalog'!$H$57+'Assumptions and Catalog'!$E$57+'Assumptions and Catalog'!$F$57,"Out of range")))))))),IF(((D770+E770)*C770)&lt;='Assumptions and Catalog'!$C$60,((D770+E770)*C770)*'Assumptions and Catalog'!$H$60+'Assumptions and Catalog'!$E$60+'Assumptions and Catalog'!$F$60,IF(((D770+E770)*C770)&lt;='Assumptions and Catalog'!$C$61,((D770+E770)*C770)*'Assumptions and Catalog'!$H$61+'Assumptions and Catalog'!$E$61+'Assumptions and Catalog'!$F$61,IF(((D770+E770)*C770)&lt;='Assumptions and Catalog'!$C$62,((D770+E770)*C770)*'Assumptions and Catalog'!$H$62+'Assumptions and Catalog'!$E$62+'Assumptions and Catalog'!$F$62,IF(((D770+E770)*C770)&lt;='Assumptions and Catalog'!$C$63,((D770+E770)*C770)*'Assumptions and Catalog'!$H$63+'Assumptions and Catalog'!$E$63+'Assumptions and Catalog'!$F$63,IF(((D770+E770)*C770)&lt;='Assumptions and Catalog'!$C$64,((D770+E770)*C770)*'Assumptions and Catalog'!$H$64+'Assumptions and Catalog'!$E$64+'Assumptions and Catalog'!$F$64,IF(((D770+E770)*C770)&lt;='Assumptions and Catalog'!$C$65,((D770+E770)*C770)*'Assumptions and Catalog'!$H$65+'Assumptions and Catalog'!$E$65+'Assumptions and Catalog'!$F$65,"Out of range")))))))))*(1+'Assumptions and Catalog'!$C$8)^(A770-1),0)</f>
        <v>6639.646</v>
      </c>
      <c r="N770" s="5" t="n">
        <f>IF(ISNUMBER(Inputs!$L$5),(IF(Inputs!$L$9="Actual flat rate",L770*Inputs!$L$10,IF(Inputs!$C$9="Residential",IF(L770&lt;='Assumptions and Catalog'!$C$50,L770*'Assumptions and Catalog'!$H$50+'Assumptions and Catalog'!$E$50+'Assumptions and Catalog'!$F$50,IF(L770&lt;='Assumptions and Catalog'!$C$51,L770*'Assumptions and Catalog'!$H$51+'Assumptions and Catalog'!$E$51+'Assumptions and Catalog'!$F$51,IF(L770&lt;='Assumptions and Catalog'!$C$52,L770*'Assumptions and Catalog'!$H$52+'Assumptions and Catalog'!$E$52+'Assumptions and Catalog'!$F$52,IF(L770&lt;='Assumptions and Catalog'!$C$53,L770*'Assumptions and Catalog'!$H$53+'Assumptions and Catalog'!$E$53+'Assumptions and Catalog'!$F$53,IF(L770&lt;='Assumptions and Catalog'!$C$54,L770*'Assumptions and Catalog'!$H$54+'Assumptions and Catalog'!$E$54+'Assumptions and Catalog'!$F$54,IF(L770&lt;='Assumptions and Catalog'!$C$55,L770*'Assumptions and Catalog'!$H$55+'Assumptions and Catalog'!$E$55+'Assumptions and Catalog'!$F$55,IF(L770&lt;='Assumptions and Catalog'!$C$56,L770*'Assumptions and Catalog'!$H$56+'Assumptions and Catalog'!$E$56+'Assumptions and Catalog'!$F$56,IF(L770&lt;='Assumptions and Catalog'!$C$57,L770*'Assumptions and Catalog'!$H$57+'Assumptions and Catalog'!$E$57+'Assumptions and Catalog'!$F$57,"Out of range")))))))),IF(L770&lt;='Assumptions and Catalog'!$C$60,L770*'Assumptions and Catalog'!$H$60+'Assumptions and Catalog'!$E$60+'Assumptions and Catalog'!$F$60,IF(L770&lt;='Assumptions and Catalog'!$C$61,L770*'Assumptions and Catalog'!$H$61+'Assumptions and Catalog'!$E$61+'Assumptions and Catalog'!$F$61,IF(L770&lt;='Assumptions and Catalog'!$C$62,L770*'Assumptions and Catalog'!$H$62+'Assumptions and Catalog'!$E$62+'Assumptions and Catalog'!$F$62,IF(L770&lt;='Assumptions and Catalog'!$C$63,L770*'Assumptions and Catalog'!$H$63+'Assumptions and Catalog'!$E$63+'Assumptions and Catalog'!$F$63,IF(L770&lt;='Assumptions and Catalog'!$C$64,L770*'Assumptions and Catalog'!$H$64+'Assumptions and Catalog'!$E$64+'Assumptions and Catalog'!$F$64,IF(L770&lt;='Assumptions and Catalog'!$C$65,L770*'Assumptions and Catalog'!$H$65+'Assumptions and Catalog'!$E$65+'Assumptions and Catalog'!$F$65,"Out of range")))))))))*(1+'Assumptions and Catalog'!$C$8)^(A770-1),0)</f>
        <v>2575.39047231261</v>
      </c>
      <c r="O770" s="5" t="n">
        <f>M770-N770</f>
        <v>4064.25552768739</v>
      </c>
      <c r="P770" s="5" t="n">
        <f>E$55*(1-L$14)*(1-'Assumptions and Catalog'!$C$23)^R770</f>
        <v>8.53757708421274</v>
      </c>
      <c r="Q770" s="5" t="n">
        <f>IF(ISNUMBER(Inputs!$L$5),(IF(Inputs!$L$9="Actual flat rate",((D770+E770)*C770-G770)*Inputs!$L$10,IF(Inputs!$C$9="Residential",IF(((D770+E770)*C770-G770)&lt;='Assumptions and Catalog'!$C$50,((D770+E770)*C770-G770)*'Assumptions and Catalog'!$H$50+'Assumptions and Catalog'!$E$50+'Assumptions and Catalog'!$F$50,IF(((D770+E770)*C770-G770)&lt;='Assumptions and Catalog'!$C$51,((D770+E770)*C770-G770)*'Assumptions and Catalog'!$H$51+'Assumptions and Catalog'!$E$51+'Assumptions and Catalog'!$F$51,IF(((D770+E770)*C770-G770)&lt;='Assumptions and Catalog'!$C$52,((D770+E770)*C770-G770)*'Assumptions and Catalog'!$H$52+'Assumptions and Catalog'!$E$52+'Assumptions and Catalog'!$F$52,IF(((D770+E770)*C770-G770)&lt;='Assumptions and Catalog'!$C$53,((D770+E770)*C770-G770)*'Assumptions and Catalog'!$H$53+'Assumptions and Catalog'!$E$53+'Assumptions and Catalog'!$F$53,IF(((D770+E770)*C770-G770)&lt;='Assumptions and Catalog'!$C$54,((D770+E770)*C770-G770)*'Assumptions and Catalog'!$H$54+'Assumptions and Catalog'!$E$54+'Assumptions and Catalog'!$F$54,IF(((D770+E770)*C770-G770)&lt;='Assumptions and Catalog'!$C$55,((D770+E770)*C770-G770)*'Assumptions and Catalog'!$H$55+'Assumptions and Catalog'!$E$55+'Assumptions and Catalog'!$F$55,IF(((D770+E770)*C770-G770)&lt;='Assumptions and Catalog'!$C$56,((D770+E770)*C770-G770)*'Assumptions and Catalog'!$H$56+'Assumptions and Catalog'!$E$56+'Assumptions and Catalog'!$F$56,IF(((D770+E770)*C770-G770)&lt;='Assumptions and Catalog'!$C$57,((D770+E770)*C770-G770)*'Assumptions and Catalog'!$H$57+'Assumptions and Catalog'!$E$57+'Assumptions and Catalog'!$F$57,"Out of range")))))))),IF(((D770+E770)*C770-G770)&lt;='Assumptions and Catalog'!$C$60,((D770+E770)*C770-G770)*'Assumptions and Catalog'!$H$60+'Assumptions and Catalog'!$E$60+'Assumptions and Catalog'!$F$60,IF(((D770+E770)*C770-G770)&lt;='Assumptions and Catalog'!$C$61,((D770+E770)*C770-G770)*'Assumptions and Catalog'!$H$61+'Assumptions and Catalog'!$E$61+'Assumptions and Catalog'!$F$61,IF(((D770+E770)*C770-G770)&lt;='Assumptions and Catalog'!$C$62,((D770+E770)*C770-G770)*'Assumptions and Catalog'!$H$62+'Assumptions and Catalog'!$E$62+'Assumptions and Catalog'!$F$62,IF(((D770+E770)*C770-G770)&lt;='Assumptions and Catalog'!$C$63,((D770+E770)*C770-G770)*'Assumptions and Catalog'!$H$63+'Assumptions and Catalog'!$E$63+'Assumptions and Catalog'!$F$63,IF(((D770+E770)*C770-G770)&lt;='Assumptions and Catalog'!$C$64,((D770+E770)*C770-G770)*'Assumptions and Catalog'!$H$64+'Assumptions and Catalog'!$E$64+'Assumptions and Catalog'!$F$64,IF(((D770+E770)*C770-G770)&lt;='Assumptions and Catalog'!$C$65,((D770+E770)*C770-G770)*'Assumptions and Catalog'!$H$65+'Assumptions and Catalog'!$E$65+'Assumptions and Catalog'!$F$65,"Out of range")))))))))*(1+'Assumptions and Catalog'!$C$8)^(A770-1),0)</f>
        <v>3339.823</v>
      </c>
      <c r="R770" s="5" t="n">
        <f>IF(AND('Assumptions and Catalog'!$C$19&gt;0,A770&gt;='Assumptions and Catalog'!$C$19),A770-'Assumptions and Catalog'!$C$19,A770-1)</f>
        <v>9</v>
      </c>
      <c r="S770" s="5" t="n">
        <f>F770+L770-(D770+E770)*C770-J770-K770-IF(E$52&gt;0,'Assumptions and Catalog'!$C$26*C770,0)</f>
        <v>-5.6843418860808E-014</v>
      </c>
      <c r="T770" s="5"/>
      <c r="U770" s="5"/>
    </row>
    <row r="771" ht="23.100000381469727" customHeight="1">
      <c r="A771" s="5" t="n">
        <v>10</v>
      </c>
      <c r="B771" s="5" t="n">
        <v>3</v>
      </c>
      <c r="C771" s="5" t="n">
        <f>DAY(DATE('Assumptions and Catalog'!$C$24+A771-1,B771+1,0))</f>
        <v>31</v>
      </c>
      <c r="D771" s="5" t="n">
        <f>IF(ISNUMBER(Inputs!$L$5),Inputs!$L$5*Inputs!$L$6,0)</f>
        <v>40.35</v>
      </c>
      <c r="E771" s="5" t="n">
        <f>IF(ISNUMBER(Inputs!$L$5),Inputs!$L$5-D771,0)</f>
        <v>40.35</v>
      </c>
      <c r="F771" s="5" t="n">
        <f>E$51*INDEX('Solar Production'!$D$20:$D$31,B771)*C771*(1-'Assumptions and Catalog'!$C$10)^(A771-1)</f>
        <v>1693.51133039295</v>
      </c>
      <c r="G771" s="5" t="n">
        <f>MIN(F771,D771*C771)</f>
        <v>1250.85</v>
      </c>
      <c r="H771" s="5" t="n">
        <f>I771/('Assumptions and Catalog'!$C$11*'Assumptions and Catalog'!$C$12)</f>
        <v>271.451168831379</v>
      </c>
      <c r="I771" s="5" t="n">
        <f>MIN(E771*C771,P771*'Assumptions and Catalog'!$C$12*C771,(F771-G771)*'Assumptions and Catalog'!$C$11*'Assumptions and Catalog'!$C$12,E$56*'Assumptions and Catalog'!$C$14*'Assumptions and Catalog'!$C$11*'Assumptions and Catalog'!$C$12*C771,E$57*(24-'Assumptions and Catalog'!$C$13)*C771)</f>
        <v>258.04826737033</v>
      </c>
      <c r="J771" s="5" t="n">
        <f>MAX(F771-G771-H771,0)</f>
        <v>171.210161561574</v>
      </c>
      <c r="K771" s="5" t="n">
        <f>H771-I771</f>
        <v>13.4029014610493</v>
      </c>
      <c r="L771" s="5" t="n">
        <f>(D771+E771)*C771-G771-I771+0+IF(E$52&gt;0,'Assumptions and Catalog'!$C$26*C771,0)</f>
        <v>992.80173262967</v>
      </c>
      <c r="M771" s="5" t="n">
        <f>IF(ISNUMBER(Inputs!$L$5),(IF(Inputs!$L$9="Actual flat rate",((D771+E771)*C771)*Inputs!$L$10,IF(Inputs!$C$9="Residential",IF(((D771+E771)*C771)&lt;='Assumptions and Catalog'!$C$50,((D771+E771)*C771)*'Assumptions and Catalog'!$H$50+'Assumptions and Catalog'!$E$50+'Assumptions and Catalog'!$F$50,IF(((D771+E771)*C771)&lt;='Assumptions and Catalog'!$C$51,((D771+E771)*C771)*'Assumptions and Catalog'!$H$51+'Assumptions and Catalog'!$E$51+'Assumptions and Catalog'!$F$51,IF(((D771+E771)*C771)&lt;='Assumptions and Catalog'!$C$52,((D771+E771)*C771)*'Assumptions and Catalog'!$H$52+'Assumptions and Catalog'!$E$52+'Assumptions and Catalog'!$F$52,IF(((D771+E771)*C771)&lt;='Assumptions and Catalog'!$C$53,((D771+E771)*C771)*'Assumptions and Catalog'!$H$53+'Assumptions and Catalog'!$E$53+'Assumptions and Catalog'!$F$53,IF(((D771+E771)*C771)&lt;='Assumptions and Catalog'!$C$54,((D771+E771)*C771)*'Assumptions and Catalog'!$H$54+'Assumptions and Catalog'!$E$54+'Assumptions and Catalog'!$F$54,IF(((D771+E771)*C771)&lt;='Assumptions and Catalog'!$C$55,((D771+E771)*C771)*'Assumptions and Catalog'!$H$55+'Assumptions and Catalog'!$E$55+'Assumptions and Catalog'!$F$55,IF(((D771+E771)*C771)&lt;='Assumptions and Catalog'!$C$56,((D771+E771)*C771)*'Assumptions and Catalog'!$H$56+'Assumptions and Catalog'!$E$56+'Assumptions and Catalog'!$F$56,IF(((D771+E771)*C771)&lt;='Assumptions and Catalog'!$C$57,((D771+E771)*C771)*'Assumptions and Catalog'!$H$57+'Assumptions and Catalog'!$E$57+'Assumptions and Catalog'!$F$57,"Out of range")))))))),IF(((D771+E771)*C771)&lt;='Assumptions and Catalog'!$C$60,((D771+E771)*C771)*'Assumptions and Catalog'!$H$60+'Assumptions and Catalog'!$E$60+'Assumptions and Catalog'!$F$60,IF(((D771+E771)*C771)&lt;='Assumptions and Catalog'!$C$61,((D771+E771)*C771)*'Assumptions and Catalog'!$H$61+'Assumptions and Catalog'!$E$61+'Assumptions and Catalog'!$F$61,IF(((D771+E771)*C771)&lt;='Assumptions and Catalog'!$C$62,((D771+E771)*C771)*'Assumptions and Catalog'!$H$62+'Assumptions and Catalog'!$E$62+'Assumptions and Catalog'!$F$62,IF(((D771+E771)*C771)&lt;='Assumptions and Catalog'!$C$63,((D771+E771)*C771)*'Assumptions and Catalog'!$H$63+'Assumptions and Catalog'!$E$63+'Assumptions and Catalog'!$F$63,IF(((D771+E771)*C771)&lt;='Assumptions and Catalog'!$C$64,((D771+E771)*C771)*'Assumptions and Catalog'!$H$64+'Assumptions and Catalog'!$E$64+'Assumptions and Catalog'!$F$64,IF(((D771+E771)*C771)&lt;='Assumptions and Catalog'!$C$65,((D771+E771)*C771)*'Assumptions and Catalog'!$H$65+'Assumptions and Catalog'!$E$65+'Assumptions and Catalog'!$F$65,"Out of range")))))))))*(1+'Assumptions and Catalog'!$C$8)^(A771-1),0)</f>
        <v>7094.794</v>
      </c>
      <c r="N771" s="5" t="n">
        <f>IF(ISNUMBER(Inputs!$L$5),(IF(Inputs!$L$9="Actual flat rate",L771*Inputs!$L$10,IF(Inputs!$C$9="Residential",IF(L771&lt;='Assumptions and Catalog'!$C$50,L771*'Assumptions and Catalog'!$H$50+'Assumptions and Catalog'!$E$50+'Assumptions and Catalog'!$F$50,IF(L771&lt;='Assumptions and Catalog'!$C$51,L771*'Assumptions and Catalog'!$H$51+'Assumptions and Catalog'!$E$51+'Assumptions and Catalog'!$F$51,IF(L771&lt;='Assumptions and Catalog'!$C$52,L771*'Assumptions and Catalog'!$H$52+'Assumptions and Catalog'!$E$52+'Assumptions and Catalog'!$F$52,IF(L771&lt;='Assumptions and Catalog'!$C$53,L771*'Assumptions and Catalog'!$H$53+'Assumptions and Catalog'!$E$53+'Assumptions and Catalog'!$F$53,IF(L771&lt;='Assumptions and Catalog'!$C$54,L771*'Assumptions and Catalog'!$H$54+'Assumptions and Catalog'!$E$54+'Assumptions and Catalog'!$F$54,IF(L771&lt;='Assumptions and Catalog'!$C$55,L771*'Assumptions and Catalog'!$H$55+'Assumptions and Catalog'!$E$55+'Assumptions and Catalog'!$F$55,IF(L771&lt;='Assumptions and Catalog'!$C$56,L771*'Assumptions and Catalog'!$H$56+'Assumptions and Catalog'!$E$56+'Assumptions and Catalog'!$F$56,IF(L771&lt;='Assumptions and Catalog'!$C$57,L771*'Assumptions and Catalog'!$H$57+'Assumptions and Catalog'!$E$57+'Assumptions and Catalog'!$F$57,"Out of range")))))))),IF(L771&lt;='Assumptions and Catalog'!$C$60,L771*'Assumptions and Catalog'!$H$60+'Assumptions and Catalog'!$E$60+'Assumptions and Catalog'!$F$60,IF(L771&lt;='Assumptions and Catalog'!$C$61,L771*'Assumptions and Catalog'!$H$61+'Assumptions and Catalog'!$E$61+'Assumptions and Catalog'!$F$61,IF(L771&lt;='Assumptions and Catalog'!$C$62,L771*'Assumptions and Catalog'!$H$62+'Assumptions and Catalog'!$E$62+'Assumptions and Catalog'!$F$62,IF(L771&lt;='Assumptions and Catalog'!$C$63,L771*'Assumptions and Catalog'!$H$63+'Assumptions and Catalog'!$E$63+'Assumptions and Catalog'!$F$63,IF(L771&lt;='Assumptions and Catalog'!$C$64,L771*'Assumptions and Catalog'!$H$64+'Assumptions and Catalog'!$E$64+'Assumptions and Catalog'!$F$64,IF(L771&lt;='Assumptions and Catalog'!$C$65,L771*'Assumptions and Catalog'!$H$65+'Assumptions and Catalog'!$E$65+'Assumptions and Catalog'!$F$65,"Out of range")))))))))*(1+'Assumptions and Catalog'!$C$8)^(A771-1),0)</f>
        <v>2715.06079938419</v>
      </c>
      <c r="O771" s="5" t="n">
        <f>M771-N771</f>
        <v>4379.73320061581</v>
      </c>
      <c r="P771" s="5" t="n">
        <f>E$55*(1-L$14)*(1-'Assumptions and Catalog'!$C$23)^R771</f>
        <v>8.53757708421274</v>
      </c>
      <c r="Q771" s="5" t="n">
        <f>IF(ISNUMBER(Inputs!$L$5),(IF(Inputs!$L$9="Actual flat rate",((D771+E771)*C771-G771)*Inputs!$L$10,IF(Inputs!$C$9="Residential",IF(((D771+E771)*C771-G771)&lt;='Assumptions and Catalog'!$C$50,((D771+E771)*C771-G771)*'Assumptions and Catalog'!$H$50+'Assumptions and Catalog'!$E$50+'Assumptions and Catalog'!$F$50,IF(((D771+E771)*C771-G771)&lt;='Assumptions and Catalog'!$C$51,((D771+E771)*C771-G771)*'Assumptions and Catalog'!$H$51+'Assumptions and Catalog'!$E$51+'Assumptions and Catalog'!$F$51,IF(((D771+E771)*C771-G771)&lt;='Assumptions and Catalog'!$C$52,((D771+E771)*C771-G771)*'Assumptions and Catalog'!$H$52+'Assumptions and Catalog'!$E$52+'Assumptions and Catalog'!$F$52,IF(((D771+E771)*C771-G771)&lt;='Assumptions and Catalog'!$C$53,((D771+E771)*C771-G771)*'Assumptions and Catalog'!$H$53+'Assumptions and Catalog'!$E$53+'Assumptions and Catalog'!$F$53,IF(((D771+E771)*C771-G771)&lt;='Assumptions and Catalog'!$C$54,((D771+E771)*C771-G771)*'Assumptions and Catalog'!$H$54+'Assumptions and Catalog'!$E$54+'Assumptions and Catalog'!$F$54,IF(((D771+E771)*C771-G771)&lt;='Assumptions and Catalog'!$C$55,((D771+E771)*C771-G771)*'Assumptions and Catalog'!$H$55+'Assumptions and Catalog'!$E$55+'Assumptions and Catalog'!$F$55,IF(((D771+E771)*C771-G771)&lt;='Assumptions and Catalog'!$C$56,((D771+E771)*C771-G771)*'Assumptions and Catalog'!$H$56+'Assumptions and Catalog'!$E$56+'Assumptions and Catalog'!$F$56,IF(((D771+E771)*C771-G771)&lt;='Assumptions and Catalog'!$C$57,((D771+E771)*C771-G771)*'Assumptions and Catalog'!$H$57+'Assumptions and Catalog'!$E$57+'Assumptions and Catalog'!$F$57,"Out of range")))))))),IF(((D771+E771)*C771-G771)&lt;='Assumptions and Catalog'!$C$60,((D771+E771)*C771-G771)*'Assumptions and Catalog'!$H$60+'Assumptions and Catalog'!$E$60+'Assumptions and Catalog'!$F$60,IF(((D771+E771)*C771-G771)&lt;='Assumptions and Catalog'!$C$61,((D771+E771)*C771-G771)*'Assumptions and Catalog'!$H$61+'Assumptions and Catalog'!$E$61+'Assumptions and Catalog'!$F$61,IF(((D771+E771)*C771-G771)&lt;='Assumptions and Catalog'!$C$62,((D771+E771)*C771-G771)*'Assumptions and Catalog'!$H$62+'Assumptions and Catalog'!$E$62+'Assumptions and Catalog'!$F$62,IF(((D771+E771)*C771-G771)&lt;='Assumptions and Catalog'!$C$63,((D771+E771)*C771-G771)*'Assumptions and Catalog'!$H$63+'Assumptions and Catalog'!$E$63+'Assumptions and Catalog'!$F$63,IF(((D771+E771)*C771-G771)&lt;='Assumptions and Catalog'!$C$64,((D771+E771)*C771-G771)*'Assumptions and Catalog'!$H$64+'Assumptions and Catalog'!$E$64+'Assumptions and Catalog'!$F$64,IF(((D771+E771)*C771-G771)&lt;='Assumptions and Catalog'!$C$65,((D771+E771)*C771-G771)*'Assumptions and Catalog'!$H$65+'Assumptions and Catalog'!$E$65+'Assumptions and Catalog'!$F$65,"Out of range")))))))))*(1+'Assumptions and Catalog'!$C$8)^(A771-1),0)</f>
        <v>3567.397</v>
      </c>
      <c r="R771" s="5" t="n">
        <f>IF(AND('Assumptions and Catalog'!$C$19&gt;0,A771&gt;='Assumptions and Catalog'!$C$19),A771-'Assumptions and Catalog'!$C$19,A771-1)</f>
        <v>9</v>
      </c>
      <c r="S771" s="5" t="n">
        <f>F771+L771-(D771+E771)*C771-J771-K771-IF(E$52&gt;0,'Assumptions and Catalog'!$C$26*C771,0)</f>
        <v>1.13686837721616E-013</v>
      </c>
      <c r="T771" s="5"/>
      <c r="U771" s="5"/>
    </row>
    <row r="772" ht="23.100000381469727" customHeight="1">
      <c r="A772" s="5" t="n">
        <v>10</v>
      </c>
      <c r="B772" s="5" t="n">
        <v>4</v>
      </c>
      <c r="C772" s="5" t="n">
        <f>DAY(DATE('Assumptions and Catalog'!$C$24+A772-1,B772+1,0))</f>
        <v>30</v>
      </c>
      <c r="D772" s="5" t="n">
        <f>IF(ISNUMBER(Inputs!$L$5),Inputs!$L$5*Inputs!$L$6,0)</f>
        <v>40.35</v>
      </c>
      <c r="E772" s="5" t="n">
        <f>IF(ISNUMBER(Inputs!$L$5),Inputs!$L$5-D772,0)</f>
        <v>40.35</v>
      </c>
      <c r="F772" s="5" t="n">
        <f>E$51*INDEX('Solar Production'!$D$20:$D$31,B772)*C772*(1-'Assumptions and Catalog'!$C$10)^(A772-1)</f>
        <v>1691.40837332057</v>
      </c>
      <c r="G772" s="5" t="n">
        <f>MIN(F772,D772*C772)</f>
        <v>1210.5</v>
      </c>
      <c r="H772" s="5" t="n">
        <f>I772/('Assumptions and Catalog'!$C$11*'Assumptions and Catalog'!$C$12)</f>
        <v>262.694679514238</v>
      </c>
      <c r="I772" s="5" t="n">
        <f>MIN(E772*C772,P772*'Assumptions and Catalog'!$C$12*C772,(F772-G772)*'Assumptions and Catalog'!$C$11*'Assumptions and Catalog'!$C$12,E$56*'Assumptions and Catalog'!$C$14*'Assumptions and Catalog'!$C$11*'Assumptions and Catalog'!$C$12*C772,E$57*(24-'Assumptions and Catalog'!$C$13)*C772)</f>
        <v>249.724129713222</v>
      </c>
      <c r="J772" s="5" t="n">
        <f>MAX(F772-G772-H772,0)</f>
        <v>218.21369380633</v>
      </c>
      <c r="K772" s="5" t="n">
        <f>H772-I772</f>
        <v>12.9705498010155</v>
      </c>
      <c r="L772" s="5" t="n">
        <f>(D772+E772)*C772-G772-I772+0+IF(E$52&gt;0,'Assumptions and Catalog'!$C$26*C772,0)</f>
        <v>960.775870286778</v>
      </c>
      <c r="M772" s="5" t="n">
        <f>IF(ISNUMBER(Inputs!$L$5),(IF(Inputs!$L$9="Actual flat rate",((D772+E772)*C772)*Inputs!$L$10,IF(Inputs!$C$9="Residential",IF(((D772+E772)*C772)&lt;='Assumptions and Catalog'!$C$50,((D772+E772)*C772)*'Assumptions and Catalog'!$H$50+'Assumptions and Catalog'!$E$50+'Assumptions and Catalog'!$F$50,IF(((D772+E772)*C772)&lt;='Assumptions and Catalog'!$C$51,((D772+E772)*C772)*'Assumptions and Catalog'!$H$51+'Assumptions and Catalog'!$E$51+'Assumptions and Catalog'!$F$51,IF(((D772+E772)*C772)&lt;='Assumptions and Catalog'!$C$52,((D772+E772)*C772)*'Assumptions and Catalog'!$H$52+'Assumptions and Catalog'!$E$52+'Assumptions and Catalog'!$F$52,IF(((D772+E772)*C772)&lt;='Assumptions and Catalog'!$C$53,((D772+E772)*C772)*'Assumptions and Catalog'!$H$53+'Assumptions and Catalog'!$E$53+'Assumptions and Catalog'!$F$53,IF(((D772+E772)*C772)&lt;='Assumptions and Catalog'!$C$54,((D772+E772)*C772)*'Assumptions and Catalog'!$H$54+'Assumptions and Catalog'!$E$54+'Assumptions and Catalog'!$F$54,IF(((D772+E772)*C772)&lt;='Assumptions and Catalog'!$C$55,((D772+E772)*C772)*'Assumptions and Catalog'!$H$55+'Assumptions and Catalog'!$E$55+'Assumptions and Catalog'!$F$55,IF(((D772+E772)*C772)&lt;='Assumptions and Catalog'!$C$56,((D772+E772)*C772)*'Assumptions and Catalog'!$H$56+'Assumptions and Catalog'!$E$56+'Assumptions and Catalog'!$F$56,IF(((D772+E772)*C772)&lt;='Assumptions and Catalog'!$C$57,((D772+E772)*C772)*'Assumptions and Catalog'!$H$57+'Assumptions and Catalog'!$E$57+'Assumptions and Catalog'!$F$57,"Out of range")))))))),IF(((D772+E772)*C772)&lt;='Assumptions and Catalog'!$C$60,((D772+E772)*C772)*'Assumptions and Catalog'!$H$60+'Assumptions and Catalog'!$E$60+'Assumptions and Catalog'!$F$60,IF(((D772+E772)*C772)&lt;='Assumptions and Catalog'!$C$61,((D772+E772)*C772)*'Assumptions and Catalog'!$H$61+'Assumptions and Catalog'!$E$61+'Assumptions and Catalog'!$F$61,IF(((D772+E772)*C772)&lt;='Assumptions and Catalog'!$C$62,((D772+E772)*C772)*'Assumptions and Catalog'!$H$62+'Assumptions and Catalog'!$E$62+'Assumptions and Catalog'!$F$62,IF(((D772+E772)*C772)&lt;='Assumptions and Catalog'!$C$63,((D772+E772)*C772)*'Assumptions and Catalog'!$H$63+'Assumptions and Catalog'!$E$63+'Assumptions and Catalog'!$F$63,IF(((D772+E772)*C772)&lt;='Assumptions and Catalog'!$C$64,((D772+E772)*C772)*'Assumptions and Catalog'!$H$64+'Assumptions and Catalog'!$E$64+'Assumptions and Catalog'!$F$64,IF(((D772+E772)*C772)&lt;='Assumptions and Catalog'!$C$65,((D772+E772)*C772)*'Assumptions and Catalog'!$H$65+'Assumptions and Catalog'!$E$65+'Assumptions and Catalog'!$F$65,"Out of range")))))))))*(1+'Assumptions and Catalog'!$C$8)^(A772-1),0)</f>
        <v>6867.22</v>
      </c>
      <c r="N772" s="5" t="n">
        <f>IF(ISNUMBER(Inputs!$L$5),(IF(Inputs!$L$9="Actual flat rate",L772*Inputs!$L$10,IF(Inputs!$C$9="Residential",IF(L772&lt;='Assumptions and Catalog'!$C$50,L772*'Assumptions and Catalog'!$H$50+'Assumptions and Catalog'!$E$50+'Assumptions and Catalog'!$F$50,IF(L772&lt;='Assumptions and Catalog'!$C$51,L772*'Assumptions and Catalog'!$H$51+'Assumptions and Catalog'!$E$51+'Assumptions and Catalog'!$F$51,IF(L772&lt;='Assumptions and Catalog'!$C$52,L772*'Assumptions and Catalog'!$H$52+'Assumptions and Catalog'!$E$52+'Assumptions and Catalog'!$F$52,IF(L772&lt;='Assumptions and Catalog'!$C$53,L772*'Assumptions and Catalog'!$H$53+'Assumptions and Catalog'!$E$53+'Assumptions and Catalog'!$F$53,IF(L772&lt;='Assumptions and Catalog'!$C$54,L772*'Assumptions and Catalog'!$H$54+'Assumptions and Catalog'!$E$54+'Assumptions and Catalog'!$F$54,IF(L772&lt;='Assumptions and Catalog'!$C$55,L772*'Assumptions and Catalog'!$H$55+'Assumptions and Catalog'!$E$55+'Assumptions and Catalog'!$F$55,IF(L772&lt;='Assumptions and Catalog'!$C$56,L772*'Assumptions and Catalog'!$H$56+'Assumptions and Catalog'!$E$56+'Assumptions and Catalog'!$F$56,IF(L772&lt;='Assumptions and Catalog'!$C$57,L772*'Assumptions and Catalog'!$H$57+'Assumptions and Catalog'!$E$57+'Assumptions and Catalog'!$F$57,"Out of range")))))))),IF(L772&lt;='Assumptions and Catalog'!$C$60,L772*'Assumptions and Catalog'!$H$60+'Assumptions and Catalog'!$E$60+'Assumptions and Catalog'!$F$60,IF(L772&lt;='Assumptions and Catalog'!$C$61,L772*'Assumptions and Catalog'!$H$61+'Assumptions and Catalog'!$E$61+'Assumptions and Catalog'!$F$61,IF(L772&lt;='Assumptions and Catalog'!$C$62,L772*'Assumptions and Catalog'!$H$62+'Assumptions and Catalog'!$E$62+'Assumptions and Catalog'!$F$62,IF(L772&lt;='Assumptions and Catalog'!$C$63,L772*'Assumptions and Catalog'!$H$63+'Assumptions and Catalog'!$E$63+'Assumptions and Catalog'!$F$63,IF(L772&lt;='Assumptions and Catalog'!$C$64,L772*'Assumptions and Catalog'!$H$64+'Assumptions and Catalog'!$E$64+'Assumptions and Catalog'!$F$64,IF(L772&lt;='Assumptions and Catalog'!$C$65,L772*'Assumptions and Catalog'!$H$65+'Assumptions and Catalog'!$E$65+'Assumptions and Catalog'!$F$65,"Out of range")))))))))*(1+'Assumptions and Catalog'!$C$8)^(A772-1),0)</f>
        <v>2626.34916069437</v>
      </c>
      <c r="O772" s="5" t="n">
        <f>M772-N772</f>
        <v>4240.87083930563</v>
      </c>
      <c r="P772" s="5" t="n">
        <f>E$55*(1-L$14)*(1-'Assumptions and Catalog'!$C$23)^R772</f>
        <v>8.53757708421274</v>
      </c>
      <c r="Q772" s="5" t="n">
        <f>IF(ISNUMBER(Inputs!$L$5),(IF(Inputs!$L$9="Actual flat rate",((D772+E772)*C772-G772)*Inputs!$L$10,IF(Inputs!$C$9="Residential",IF(((D772+E772)*C772-G772)&lt;='Assumptions and Catalog'!$C$50,((D772+E772)*C772-G772)*'Assumptions and Catalog'!$H$50+'Assumptions and Catalog'!$E$50+'Assumptions and Catalog'!$F$50,IF(((D772+E772)*C772-G772)&lt;='Assumptions and Catalog'!$C$51,((D772+E772)*C772-G772)*'Assumptions and Catalog'!$H$51+'Assumptions and Catalog'!$E$51+'Assumptions and Catalog'!$F$51,IF(((D772+E772)*C772-G772)&lt;='Assumptions and Catalog'!$C$52,((D772+E772)*C772-G772)*'Assumptions and Catalog'!$H$52+'Assumptions and Catalog'!$E$52+'Assumptions and Catalog'!$F$52,IF(((D772+E772)*C772-G772)&lt;='Assumptions and Catalog'!$C$53,((D772+E772)*C772-G772)*'Assumptions and Catalog'!$H$53+'Assumptions and Catalog'!$E$53+'Assumptions and Catalog'!$F$53,IF(((D772+E772)*C772-G772)&lt;='Assumptions and Catalog'!$C$54,((D772+E772)*C772-G772)*'Assumptions and Catalog'!$H$54+'Assumptions and Catalog'!$E$54+'Assumptions and Catalog'!$F$54,IF(((D772+E772)*C772-G772)&lt;='Assumptions and Catalog'!$C$55,((D772+E772)*C772-G772)*'Assumptions and Catalog'!$H$55+'Assumptions and Catalog'!$E$55+'Assumptions and Catalog'!$F$55,IF(((D772+E772)*C772-G772)&lt;='Assumptions and Catalog'!$C$56,((D772+E772)*C772-G772)*'Assumptions and Catalog'!$H$56+'Assumptions and Catalog'!$E$56+'Assumptions and Catalog'!$F$56,IF(((D772+E772)*C772-G772)&lt;='Assumptions and Catalog'!$C$57,((D772+E772)*C772-G772)*'Assumptions and Catalog'!$H$57+'Assumptions and Catalog'!$E$57+'Assumptions and Catalog'!$F$57,"Out of range")))))))),IF(((D772+E772)*C772-G772)&lt;='Assumptions and Catalog'!$C$60,((D772+E772)*C772-G772)*'Assumptions and Catalog'!$H$60+'Assumptions and Catalog'!$E$60+'Assumptions and Catalog'!$F$60,IF(((D772+E772)*C772-G772)&lt;='Assumptions and Catalog'!$C$61,((D772+E772)*C772-G772)*'Assumptions and Catalog'!$H$61+'Assumptions and Catalog'!$E$61+'Assumptions and Catalog'!$F$61,IF(((D772+E772)*C772-G772)&lt;='Assumptions and Catalog'!$C$62,((D772+E772)*C772-G772)*'Assumptions and Catalog'!$H$62+'Assumptions and Catalog'!$E$62+'Assumptions and Catalog'!$F$62,IF(((D772+E772)*C772-G772)&lt;='Assumptions and Catalog'!$C$63,((D772+E772)*C772-G772)*'Assumptions and Catalog'!$H$63+'Assumptions and Catalog'!$E$63+'Assumptions and Catalog'!$F$63,IF(((D772+E772)*C772-G772)&lt;='Assumptions and Catalog'!$C$64,((D772+E772)*C772-G772)*'Assumptions and Catalog'!$H$64+'Assumptions and Catalog'!$E$64+'Assumptions and Catalog'!$F$64,IF(((D772+E772)*C772-G772)&lt;='Assumptions and Catalog'!$C$65,((D772+E772)*C772-G772)*'Assumptions and Catalog'!$H$65+'Assumptions and Catalog'!$E$65+'Assumptions and Catalog'!$F$65,"Out of range")))))))))*(1+'Assumptions and Catalog'!$C$8)^(A772-1),0)</f>
        <v>3453.61</v>
      </c>
      <c r="R772" s="5" t="n">
        <f>IF(AND('Assumptions and Catalog'!$C$19&gt;0,A772&gt;='Assumptions and Catalog'!$C$19),A772-'Assumptions and Catalog'!$C$19,A772-1)</f>
        <v>9</v>
      </c>
      <c r="S772" s="5" t="n">
        <f>F772+L772-(D772+E772)*C772-J772-K772-IF(E$52&gt;0,'Assumptions and Catalog'!$C$26*C772,0)</f>
        <v>-2.55795384873636E-013</v>
      </c>
      <c r="T772" s="5"/>
      <c r="U772" s="5"/>
    </row>
    <row r="773" ht="23.100000381469727" customHeight="1">
      <c r="A773" s="5" t="n">
        <v>10</v>
      </c>
      <c r="B773" s="5" t="n">
        <v>5</v>
      </c>
      <c r="C773" s="5" t="n">
        <f>DAY(DATE('Assumptions and Catalog'!$C$24+A773-1,B773+1,0))</f>
        <v>31</v>
      </c>
      <c r="D773" s="5" t="n">
        <f>IF(ISNUMBER(Inputs!$L$5),Inputs!$L$5*Inputs!$L$6,0)</f>
        <v>40.35</v>
      </c>
      <c r="E773" s="5" t="n">
        <f>IF(ISNUMBER(Inputs!$L$5),Inputs!$L$5-D773,0)</f>
        <v>40.35</v>
      </c>
      <c r="F773" s="5" t="n">
        <f>E$51*INDEX('Solar Production'!$D$20:$D$31,B773)*C773*(1-'Assumptions and Catalog'!$C$10)^(A773-1)</f>
        <v>1710.96587409376</v>
      </c>
      <c r="G773" s="5" t="n">
        <f>MIN(F773,D773*C773)</f>
        <v>1250.85</v>
      </c>
      <c r="H773" s="5" t="n">
        <f>I773/('Assumptions and Catalog'!$C$11*'Assumptions and Catalog'!$C$12)</f>
        <v>271.451168831379</v>
      </c>
      <c r="I773" s="5" t="n">
        <f>MIN(E773*C773,P773*'Assumptions and Catalog'!$C$12*C773,(F773-G773)*'Assumptions and Catalog'!$C$11*'Assumptions and Catalog'!$C$12,E$56*'Assumptions and Catalog'!$C$14*'Assumptions and Catalog'!$C$11*'Assumptions and Catalog'!$C$12*C773,E$57*(24-'Assumptions and Catalog'!$C$13)*C773)</f>
        <v>258.04826737033</v>
      </c>
      <c r="J773" s="5" t="n">
        <f>MAX(F773-G773-H773,0)</f>
        <v>188.664705262384</v>
      </c>
      <c r="K773" s="5" t="n">
        <f>H773-I773</f>
        <v>13.4029014610493</v>
      </c>
      <c r="L773" s="5" t="n">
        <f>(D773+E773)*C773-G773-I773+0+IF(E$52&gt;0,'Assumptions and Catalog'!$C$26*C773,0)</f>
        <v>992.80173262967</v>
      </c>
      <c r="M773" s="5" t="n">
        <f>IF(ISNUMBER(Inputs!$L$5),(IF(Inputs!$L$9="Actual flat rate",((D773+E773)*C773)*Inputs!$L$10,IF(Inputs!$C$9="Residential",IF(((D773+E773)*C773)&lt;='Assumptions and Catalog'!$C$50,((D773+E773)*C773)*'Assumptions and Catalog'!$H$50+'Assumptions and Catalog'!$E$50+'Assumptions and Catalog'!$F$50,IF(((D773+E773)*C773)&lt;='Assumptions and Catalog'!$C$51,((D773+E773)*C773)*'Assumptions and Catalog'!$H$51+'Assumptions and Catalog'!$E$51+'Assumptions and Catalog'!$F$51,IF(((D773+E773)*C773)&lt;='Assumptions and Catalog'!$C$52,((D773+E773)*C773)*'Assumptions and Catalog'!$H$52+'Assumptions and Catalog'!$E$52+'Assumptions and Catalog'!$F$52,IF(((D773+E773)*C773)&lt;='Assumptions and Catalog'!$C$53,((D773+E773)*C773)*'Assumptions and Catalog'!$H$53+'Assumptions and Catalog'!$E$53+'Assumptions and Catalog'!$F$53,IF(((D773+E773)*C773)&lt;='Assumptions and Catalog'!$C$54,((D773+E773)*C773)*'Assumptions and Catalog'!$H$54+'Assumptions and Catalog'!$E$54+'Assumptions and Catalog'!$F$54,IF(((D773+E773)*C773)&lt;='Assumptions and Catalog'!$C$55,((D773+E773)*C773)*'Assumptions and Catalog'!$H$55+'Assumptions and Catalog'!$E$55+'Assumptions and Catalog'!$F$55,IF(((D773+E773)*C773)&lt;='Assumptions and Catalog'!$C$56,((D773+E773)*C773)*'Assumptions and Catalog'!$H$56+'Assumptions and Catalog'!$E$56+'Assumptions and Catalog'!$F$56,IF(((D773+E773)*C773)&lt;='Assumptions and Catalog'!$C$57,((D773+E773)*C773)*'Assumptions and Catalog'!$H$57+'Assumptions and Catalog'!$E$57+'Assumptions and Catalog'!$F$57,"Out of range")))))))),IF(((D773+E773)*C773)&lt;='Assumptions and Catalog'!$C$60,((D773+E773)*C773)*'Assumptions and Catalog'!$H$60+'Assumptions and Catalog'!$E$60+'Assumptions and Catalog'!$F$60,IF(((D773+E773)*C773)&lt;='Assumptions and Catalog'!$C$61,((D773+E773)*C773)*'Assumptions and Catalog'!$H$61+'Assumptions and Catalog'!$E$61+'Assumptions and Catalog'!$F$61,IF(((D773+E773)*C773)&lt;='Assumptions and Catalog'!$C$62,((D773+E773)*C773)*'Assumptions and Catalog'!$H$62+'Assumptions and Catalog'!$E$62+'Assumptions and Catalog'!$F$62,IF(((D773+E773)*C773)&lt;='Assumptions and Catalog'!$C$63,((D773+E773)*C773)*'Assumptions and Catalog'!$H$63+'Assumptions and Catalog'!$E$63+'Assumptions and Catalog'!$F$63,IF(((D773+E773)*C773)&lt;='Assumptions and Catalog'!$C$64,((D773+E773)*C773)*'Assumptions and Catalog'!$H$64+'Assumptions and Catalog'!$E$64+'Assumptions and Catalog'!$F$64,IF(((D773+E773)*C773)&lt;='Assumptions and Catalog'!$C$65,((D773+E773)*C773)*'Assumptions and Catalog'!$H$65+'Assumptions and Catalog'!$E$65+'Assumptions and Catalog'!$F$65,"Out of range")))))))))*(1+'Assumptions and Catalog'!$C$8)^(A773-1),0)</f>
        <v>7094.794</v>
      </c>
      <c r="N773" s="5" t="n">
        <f>IF(ISNUMBER(Inputs!$L$5),(IF(Inputs!$L$9="Actual flat rate",L773*Inputs!$L$10,IF(Inputs!$C$9="Residential",IF(L773&lt;='Assumptions and Catalog'!$C$50,L773*'Assumptions and Catalog'!$H$50+'Assumptions and Catalog'!$E$50+'Assumptions and Catalog'!$F$50,IF(L773&lt;='Assumptions and Catalog'!$C$51,L773*'Assumptions and Catalog'!$H$51+'Assumptions and Catalog'!$E$51+'Assumptions and Catalog'!$F$51,IF(L773&lt;='Assumptions and Catalog'!$C$52,L773*'Assumptions and Catalog'!$H$52+'Assumptions and Catalog'!$E$52+'Assumptions and Catalog'!$F$52,IF(L773&lt;='Assumptions and Catalog'!$C$53,L773*'Assumptions and Catalog'!$H$53+'Assumptions and Catalog'!$E$53+'Assumptions and Catalog'!$F$53,IF(L773&lt;='Assumptions and Catalog'!$C$54,L773*'Assumptions and Catalog'!$H$54+'Assumptions and Catalog'!$E$54+'Assumptions and Catalog'!$F$54,IF(L773&lt;='Assumptions and Catalog'!$C$55,L773*'Assumptions and Catalog'!$H$55+'Assumptions and Catalog'!$E$55+'Assumptions and Catalog'!$F$55,IF(L773&lt;='Assumptions and Catalog'!$C$56,L773*'Assumptions and Catalog'!$H$56+'Assumptions and Catalog'!$E$56+'Assumptions and Catalog'!$F$56,IF(L773&lt;='Assumptions and Catalog'!$C$57,L773*'Assumptions and Catalog'!$H$57+'Assumptions and Catalog'!$E$57+'Assumptions and Catalog'!$F$57,"Out of range")))))))),IF(L773&lt;='Assumptions and Catalog'!$C$60,L773*'Assumptions and Catalog'!$H$60+'Assumptions and Catalog'!$E$60+'Assumptions and Catalog'!$F$60,IF(L773&lt;='Assumptions and Catalog'!$C$61,L773*'Assumptions and Catalog'!$H$61+'Assumptions and Catalog'!$E$61+'Assumptions and Catalog'!$F$61,IF(L773&lt;='Assumptions and Catalog'!$C$62,L773*'Assumptions and Catalog'!$H$62+'Assumptions and Catalog'!$E$62+'Assumptions and Catalog'!$F$62,IF(L773&lt;='Assumptions and Catalog'!$C$63,L773*'Assumptions and Catalog'!$H$63+'Assumptions and Catalog'!$E$63+'Assumptions and Catalog'!$F$63,IF(L773&lt;='Assumptions and Catalog'!$C$64,L773*'Assumptions and Catalog'!$H$64+'Assumptions and Catalog'!$E$64+'Assumptions and Catalog'!$F$64,IF(L773&lt;='Assumptions and Catalog'!$C$65,L773*'Assumptions and Catalog'!$H$65+'Assumptions and Catalog'!$E$65+'Assumptions and Catalog'!$F$65,"Out of range")))))))))*(1+'Assumptions and Catalog'!$C$8)^(A773-1),0)</f>
        <v>2715.06079938419</v>
      </c>
      <c r="O773" s="5" t="n">
        <f>M773-N773</f>
        <v>4379.73320061581</v>
      </c>
      <c r="P773" s="5" t="n">
        <f>E$55*(1-L$14)*(1-'Assumptions and Catalog'!$C$23)^R773</f>
        <v>8.53757708421274</v>
      </c>
      <c r="Q773" s="5" t="n">
        <f>IF(ISNUMBER(Inputs!$L$5),(IF(Inputs!$L$9="Actual flat rate",((D773+E773)*C773-G773)*Inputs!$L$10,IF(Inputs!$C$9="Residential",IF(((D773+E773)*C773-G773)&lt;='Assumptions and Catalog'!$C$50,((D773+E773)*C773-G773)*'Assumptions and Catalog'!$H$50+'Assumptions and Catalog'!$E$50+'Assumptions and Catalog'!$F$50,IF(((D773+E773)*C773-G773)&lt;='Assumptions and Catalog'!$C$51,((D773+E773)*C773-G773)*'Assumptions and Catalog'!$H$51+'Assumptions and Catalog'!$E$51+'Assumptions and Catalog'!$F$51,IF(((D773+E773)*C773-G773)&lt;='Assumptions and Catalog'!$C$52,((D773+E773)*C773-G773)*'Assumptions and Catalog'!$H$52+'Assumptions and Catalog'!$E$52+'Assumptions and Catalog'!$F$52,IF(((D773+E773)*C773-G773)&lt;='Assumptions and Catalog'!$C$53,((D773+E773)*C773-G773)*'Assumptions and Catalog'!$H$53+'Assumptions and Catalog'!$E$53+'Assumptions and Catalog'!$F$53,IF(((D773+E773)*C773-G773)&lt;='Assumptions and Catalog'!$C$54,((D773+E773)*C773-G773)*'Assumptions and Catalog'!$H$54+'Assumptions and Catalog'!$E$54+'Assumptions and Catalog'!$F$54,IF(((D773+E773)*C773-G773)&lt;='Assumptions and Catalog'!$C$55,((D773+E773)*C773-G773)*'Assumptions and Catalog'!$H$55+'Assumptions and Catalog'!$E$55+'Assumptions and Catalog'!$F$55,IF(((D773+E773)*C773-G773)&lt;='Assumptions and Catalog'!$C$56,((D773+E773)*C773-G773)*'Assumptions and Catalog'!$H$56+'Assumptions and Catalog'!$E$56+'Assumptions and Catalog'!$F$56,IF(((D773+E773)*C773-G773)&lt;='Assumptions and Catalog'!$C$57,((D773+E773)*C773-G773)*'Assumptions and Catalog'!$H$57+'Assumptions and Catalog'!$E$57+'Assumptions and Catalog'!$F$57,"Out of range")))))))),IF(((D773+E773)*C773-G773)&lt;='Assumptions and Catalog'!$C$60,((D773+E773)*C773-G773)*'Assumptions and Catalog'!$H$60+'Assumptions and Catalog'!$E$60+'Assumptions and Catalog'!$F$60,IF(((D773+E773)*C773-G773)&lt;='Assumptions and Catalog'!$C$61,((D773+E773)*C773-G773)*'Assumptions and Catalog'!$H$61+'Assumptions and Catalog'!$E$61+'Assumptions and Catalog'!$F$61,IF(((D773+E773)*C773-G773)&lt;='Assumptions and Catalog'!$C$62,((D773+E773)*C773-G773)*'Assumptions and Catalog'!$H$62+'Assumptions and Catalog'!$E$62+'Assumptions and Catalog'!$F$62,IF(((D773+E773)*C773-G773)&lt;='Assumptions and Catalog'!$C$63,((D773+E773)*C773-G773)*'Assumptions and Catalog'!$H$63+'Assumptions and Catalog'!$E$63+'Assumptions and Catalog'!$F$63,IF(((D773+E773)*C773-G773)&lt;='Assumptions and Catalog'!$C$64,((D773+E773)*C773-G773)*'Assumptions and Catalog'!$H$64+'Assumptions and Catalog'!$E$64+'Assumptions and Catalog'!$F$64,IF(((D773+E773)*C773-G773)&lt;='Assumptions and Catalog'!$C$65,((D773+E773)*C773-G773)*'Assumptions and Catalog'!$H$65+'Assumptions and Catalog'!$E$65+'Assumptions and Catalog'!$F$65,"Out of range")))))))))*(1+'Assumptions and Catalog'!$C$8)^(A773-1),0)</f>
        <v>3567.397</v>
      </c>
      <c r="R773" s="5" t="n">
        <f>IF(AND('Assumptions and Catalog'!$C$19&gt;0,A773&gt;='Assumptions and Catalog'!$C$19),A773-'Assumptions and Catalog'!$C$19,A773-1)</f>
        <v>9</v>
      </c>
      <c r="S773" s="5" t="n">
        <f>F773+L773-(D773+E773)*C773-J773-K773-IF(E$52&gt;0,'Assumptions and Catalog'!$C$26*C773,0)</f>
        <v>-1.13686837721616E-013</v>
      </c>
      <c r="T773" s="5"/>
      <c r="U773" s="5"/>
    </row>
    <row r="774" ht="23.100000381469727" customHeight="1">
      <c r="A774" s="5" t="n">
        <v>10</v>
      </c>
      <c r="B774" s="5" t="n">
        <v>6</v>
      </c>
      <c r="C774" s="5" t="n">
        <f>DAY(DATE('Assumptions and Catalog'!$C$24+A774-1,B774+1,0))</f>
        <v>30</v>
      </c>
      <c r="D774" s="5" t="n">
        <f>IF(ISNUMBER(Inputs!$L$5),Inputs!$L$5*Inputs!$L$6,0)</f>
        <v>40.35</v>
      </c>
      <c r="E774" s="5" t="n">
        <f>IF(ISNUMBER(Inputs!$L$5),Inputs!$L$5-D774,0)</f>
        <v>40.35</v>
      </c>
      <c r="F774" s="5" t="n">
        <f>E$51*INDEX('Solar Production'!$D$20:$D$31,B774)*C774*(1-'Assumptions and Catalog'!$C$10)^(A774-1)</f>
        <v>1667.85525410984</v>
      </c>
      <c r="G774" s="5" t="n">
        <f>MIN(F774,D774*C774)</f>
        <v>1210.5</v>
      </c>
      <c r="H774" s="5" t="n">
        <f>I774/('Assumptions and Catalog'!$C$11*'Assumptions and Catalog'!$C$12)</f>
        <v>262.694679514238</v>
      </c>
      <c r="I774" s="5" t="n">
        <f>MIN(E774*C774,P774*'Assumptions and Catalog'!$C$12*C774,(F774-G774)*'Assumptions and Catalog'!$C$11*'Assumptions and Catalog'!$C$12,E$56*'Assumptions and Catalog'!$C$14*'Assumptions and Catalog'!$C$11*'Assumptions and Catalog'!$C$12*C774,E$57*(24-'Assumptions and Catalog'!$C$13)*C774)</f>
        <v>249.724129713222</v>
      </c>
      <c r="J774" s="5" t="n">
        <f>MAX(F774-G774-H774,0)</f>
        <v>194.660574595599</v>
      </c>
      <c r="K774" s="5" t="n">
        <f>H774-I774</f>
        <v>12.9705498010155</v>
      </c>
      <c r="L774" s="5" t="n">
        <f>(D774+E774)*C774-G774-I774+0+IF(E$52&gt;0,'Assumptions and Catalog'!$C$26*C774,0)</f>
        <v>960.775870286778</v>
      </c>
      <c r="M774" s="5" t="n">
        <f>IF(ISNUMBER(Inputs!$L$5),(IF(Inputs!$L$9="Actual flat rate",((D774+E774)*C774)*Inputs!$L$10,IF(Inputs!$C$9="Residential",IF(((D774+E774)*C774)&lt;='Assumptions and Catalog'!$C$50,((D774+E774)*C774)*'Assumptions and Catalog'!$H$50+'Assumptions and Catalog'!$E$50+'Assumptions and Catalog'!$F$50,IF(((D774+E774)*C774)&lt;='Assumptions and Catalog'!$C$51,((D774+E774)*C774)*'Assumptions and Catalog'!$H$51+'Assumptions and Catalog'!$E$51+'Assumptions and Catalog'!$F$51,IF(((D774+E774)*C774)&lt;='Assumptions and Catalog'!$C$52,((D774+E774)*C774)*'Assumptions and Catalog'!$H$52+'Assumptions and Catalog'!$E$52+'Assumptions and Catalog'!$F$52,IF(((D774+E774)*C774)&lt;='Assumptions and Catalog'!$C$53,((D774+E774)*C774)*'Assumptions and Catalog'!$H$53+'Assumptions and Catalog'!$E$53+'Assumptions and Catalog'!$F$53,IF(((D774+E774)*C774)&lt;='Assumptions and Catalog'!$C$54,((D774+E774)*C774)*'Assumptions and Catalog'!$H$54+'Assumptions and Catalog'!$E$54+'Assumptions and Catalog'!$F$54,IF(((D774+E774)*C774)&lt;='Assumptions and Catalog'!$C$55,((D774+E774)*C774)*'Assumptions and Catalog'!$H$55+'Assumptions and Catalog'!$E$55+'Assumptions and Catalog'!$F$55,IF(((D774+E774)*C774)&lt;='Assumptions and Catalog'!$C$56,((D774+E774)*C774)*'Assumptions and Catalog'!$H$56+'Assumptions and Catalog'!$E$56+'Assumptions and Catalog'!$F$56,IF(((D774+E774)*C774)&lt;='Assumptions and Catalog'!$C$57,((D774+E774)*C774)*'Assumptions and Catalog'!$H$57+'Assumptions and Catalog'!$E$57+'Assumptions and Catalog'!$F$57,"Out of range")))))))),IF(((D774+E774)*C774)&lt;='Assumptions and Catalog'!$C$60,((D774+E774)*C774)*'Assumptions and Catalog'!$H$60+'Assumptions and Catalog'!$E$60+'Assumptions and Catalog'!$F$60,IF(((D774+E774)*C774)&lt;='Assumptions and Catalog'!$C$61,((D774+E774)*C774)*'Assumptions and Catalog'!$H$61+'Assumptions and Catalog'!$E$61+'Assumptions and Catalog'!$F$61,IF(((D774+E774)*C774)&lt;='Assumptions and Catalog'!$C$62,((D774+E774)*C774)*'Assumptions and Catalog'!$H$62+'Assumptions and Catalog'!$E$62+'Assumptions and Catalog'!$F$62,IF(((D774+E774)*C774)&lt;='Assumptions and Catalog'!$C$63,((D774+E774)*C774)*'Assumptions and Catalog'!$H$63+'Assumptions and Catalog'!$E$63+'Assumptions and Catalog'!$F$63,IF(((D774+E774)*C774)&lt;='Assumptions and Catalog'!$C$64,((D774+E774)*C774)*'Assumptions and Catalog'!$H$64+'Assumptions and Catalog'!$E$64+'Assumptions and Catalog'!$F$64,IF(((D774+E774)*C774)&lt;='Assumptions and Catalog'!$C$65,((D774+E774)*C774)*'Assumptions and Catalog'!$H$65+'Assumptions and Catalog'!$E$65+'Assumptions and Catalog'!$F$65,"Out of range")))))))))*(1+'Assumptions and Catalog'!$C$8)^(A774-1),0)</f>
        <v>6867.22</v>
      </c>
      <c r="N774" s="5" t="n">
        <f>IF(ISNUMBER(Inputs!$L$5),(IF(Inputs!$L$9="Actual flat rate",L774*Inputs!$L$10,IF(Inputs!$C$9="Residential",IF(L774&lt;='Assumptions and Catalog'!$C$50,L774*'Assumptions and Catalog'!$H$50+'Assumptions and Catalog'!$E$50+'Assumptions and Catalog'!$F$50,IF(L774&lt;='Assumptions and Catalog'!$C$51,L774*'Assumptions and Catalog'!$H$51+'Assumptions and Catalog'!$E$51+'Assumptions and Catalog'!$F$51,IF(L774&lt;='Assumptions and Catalog'!$C$52,L774*'Assumptions and Catalog'!$H$52+'Assumptions and Catalog'!$E$52+'Assumptions and Catalog'!$F$52,IF(L774&lt;='Assumptions and Catalog'!$C$53,L774*'Assumptions and Catalog'!$H$53+'Assumptions and Catalog'!$E$53+'Assumptions and Catalog'!$F$53,IF(L774&lt;='Assumptions and Catalog'!$C$54,L774*'Assumptions and Catalog'!$H$54+'Assumptions and Catalog'!$E$54+'Assumptions and Catalog'!$F$54,IF(L774&lt;='Assumptions and Catalog'!$C$55,L774*'Assumptions and Catalog'!$H$55+'Assumptions and Catalog'!$E$55+'Assumptions and Catalog'!$F$55,IF(L774&lt;='Assumptions and Catalog'!$C$56,L774*'Assumptions and Catalog'!$H$56+'Assumptions and Catalog'!$E$56+'Assumptions and Catalog'!$F$56,IF(L774&lt;='Assumptions and Catalog'!$C$57,L774*'Assumptions and Catalog'!$H$57+'Assumptions and Catalog'!$E$57+'Assumptions and Catalog'!$F$57,"Out of range")))))))),IF(L774&lt;='Assumptions and Catalog'!$C$60,L774*'Assumptions and Catalog'!$H$60+'Assumptions and Catalog'!$E$60+'Assumptions and Catalog'!$F$60,IF(L774&lt;='Assumptions and Catalog'!$C$61,L774*'Assumptions and Catalog'!$H$61+'Assumptions and Catalog'!$E$61+'Assumptions and Catalog'!$F$61,IF(L774&lt;='Assumptions and Catalog'!$C$62,L774*'Assumptions and Catalog'!$H$62+'Assumptions and Catalog'!$E$62+'Assumptions and Catalog'!$F$62,IF(L774&lt;='Assumptions and Catalog'!$C$63,L774*'Assumptions and Catalog'!$H$63+'Assumptions and Catalog'!$E$63+'Assumptions and Catalog'!$F$63,IF(L774&lt;='Assumptions and Catalog'!$C$64,L774*'Assumptions and Catalog'!$H$64+'Assumptions and Catalog'!$E$64+'Assumptions and Catalog'!$F$64,IF(L774&lt;='Assumptions and Catalog'!$C$65,L774*'Assumptions and Catalog'!$H$65+'Assumptions and Catalog'!$E$65+'Assumptions and Catalog'!$F$65,"Out of range")))))))))*(1+'Assumptions and Catalog'!$C$8)^(A774-1),0)</f>
        <v>2626.34916069437</v>
      </c>
      <c r="O774" s="5" t="n">
        <f>M774-N774</f>
        <v>4240.87083930563</v>
      </c>
      <c r="P774" s="5" t="n">
        <f>E$55*(1-L$14)*(1-'Assumptions and Catalog'!$C$23)^R774</f>
        <v>8.53757708421274</v>
      </c>
      <c r="Q774" s="5" t="n">
        <f>IF(ISNUMBER(Inputs!$L$5),(IF(Inputs!$L$9="Actual flat rate",((D774+E774)*C774-G774)*Inputs!$L$10,IF(Inputs!$C$9="Residential",IF(((D774+E774)*C774-G774)&lt;='Assumptions and Catalog'!$C$50,((D774+E774)*C774-G774)*'Assumptions and Catalog'!$H$50+'Assumptions and Catalog'!$E$50+'Assumptions and Catalog'!$F$50,IF(((D774+E774)*C774-G774)&lt;='Assumptions and Catalog'!$C$51,((D774+E774)*C774-G774)*'Assumptions and Catalog'!$H$51+'Assumptions and Catalog'!$E$51+'Assumptions and Catalog'!$F$51,IF(((D774+E774)*C774-G774)&lt;='Assumptions and Catalog'!$C$52,((D774+E774)*C774-G774)*'Assumptions and Catalog'!$H$52+'Assumptions and Catalog'!$E$52+'Assumptions and Catalog'!$F$52,IF(((D774+E774)*C774-G774)&lt;='Assumptions and Catalog'!$C$53,((D774+E774)*C774-G774)*'Assumptions and Catalog'!$H$53+'Assumptions and Catalog'!$E$53+'Assumptions and Catalog'!$F$53,IF(((D774+E774)*C774-G774)&lt;='Assumptions and Catalog'!$C$54,((D774+E774)*C774-G774)*'Assumptions and Catalog'!$H$54+'Assumptions and Catalog'!$E$54+'Assumptions and Catalog'!$F$54,IF(((D774+E774)*C774-G774)&lt;='Assumptions and Catalog'!$C$55,((D774+E774)*C774-G774)*'Assumptions and Catalog'!$H$55+'Assumptions and Catalog'!$E$55+'Assumptions and Catalog'!$F$55,IF(((D774+E774)*C774-G774)&lt;='Assumptions and Catalog'!$C$56,((D774+E774)*C774-G774)*'Assumptions and Catalog'!$H$56+'Assumptions and Catalog'!$E$56+'Assumptions and Catalog'!$F$56,IF(((D774+E774)*C774-G774)&lt;='Assumptions and Catalog'!$C$57,((D774+E774)*C774-G774)*'Assumptions and Catalog'!$H$57+'Assumptions and Catalog'!$E$57+'Assumptions and Catalog'!$F$57,"Out of range")))))))),IF(((D774+E774)*C774-G774)&lt;='Assumptions and Catalog'!$C$60,((D774+E774)*C774-G774)*'Assumptions and Catalog'!$H$60+'Assumptions and Catalog'!$E$60+'Assumptions and Catalog'!$F$60,IF(((D774+E774)*C774-G774)&lt;='Assumptions and Catalog'!$C$61,((D774+E774)*C774-G774)*'Assumptions and Catalog'!$H$61+'Assumptions and Catalog'!$E$61+'Assumptions and Catalog'!$F$61,IF(((D774+E774)*C774-G774)&lt;='Assumptions and Catalog'!$C$62,((D774+E774)*C774-G774)*'Assumptions and Catalog'!$H$62+'Assumptions and Catalog'!$E$62+'Assumptions and Catalog'!$F$62,IF(((D774+E774)*C774-G774)&lt;='Assumptions and Catalog'!$C$63,((D774+E774)*C774-G774)*'Assumptions and Catalog'!$H$63+'Assumptions and Catalog'!$E$63+'Assumptions and Catalog'!$F$63,IF(((D774+E774)*C774-G774)&lt;='Assumptions and Catalog'!$C$64,((D774+E774)*C774-G774)*'Assumptions and Catalog'!$H$64+'Assumptions and Catalog'!$E$64+'Assumptions and Catalog'!$F$64,IF(((D774+E774)*C774-G774)&lt;='Assumptions and Catalog'!$C$65,((D774+E774)*C774-G774)*'Assumptions and Catalog'!$H$65+'Assumptions and Catalog'!$E$65+'Assumptions and Catalog'!$F$65,"Out of range")))))))))*(1+'Assumptions and Catalog'!$C$8)^(A774-1),0)</f>
        <v>3453.61</v>
      </c>
      <c r="R774" s="5" t="n">
        <f>IF(AND('Assumptions and Catalog'!$C$19&gt;0,A774&gt;='Assumptions and Catalog'!$C$19),A774-'Assumptions and Catalog'!$C$19,A774-1)</f>
        <v>9</v>
      </c>
      <c r="S774" s="5" t="n">
        <f>F774+L774-(D774+E774)*C774-J774-K774-IF(E$52&gt;0,'Assumptions and Catalog'!$C$26*C774,0)</f>
        <v>0</v>
      </c>
      <c r="T774" s="5"/>
      <c r="U774" s="5"/>
    </row>
    <row r="775" ht="23.100000381469727" customHeight="1">
      <c r="A775" s="5" t="n">
        <v>10</v>
      </c>
      <c r="B775" s="5" t="n">
        <v>7</v>
      </c>
      <c r="C775" s="5" t="n">
        <f>DAY(DATE('Assumptions and Catalog'!$C$24+A775-1,B775+1,0))</f>
        <v>31</v>
      </c>
      <c r="D775" s="5" t="n">
        <f>IF(ISNUMBER(Inputs!$L$5),Inputs!$L$5*Inputs!$L$6,0)</f>
        <v>40.35</v>
      </c>
      <c r="E775" s="5" t="n">
        <f>IF(ISNUMBER(Inputs!$L$5),Inputs!$L$5-D775,0)</f>
        <v>40.35</v>
      </c>
      <c r="F775" s="5" t="n">
        <f>E$51*INDEX('Solar Production'!$D$20:$D$31,B775)*C775*(1-'Assumptions and Catalog'!$C$10)^(A775-1)</f>
        <v>1731.36455769591</v>
      </c>
      <c r="G775" s="5" t="n">
        <f>MIN(F775,D775*C775)</f>
        <v>1250.85</v>
      </c>
      <c r="H775" s="5" t="n">
        <f>I775/('Assumptions and Catalog'!$C$11*'Assumptions and Catalog'!$C$12)</f>
        <v>271.451168831379</v>
      </c>
      <c r="I775" s="5" t="n">
        <f>MIN(E775*C775,P775*'Assumptions and Catalog'!$C$12*C775,(F775-G775)*'Assumptions and Catalog'!$C$11*'Assumptions and Catalog'!$C$12,E$56*'Assumptions and Catalog'!$C$14*'Assumptions and Catalog'!$C$11*'Assumptions and Catalog'!$C$12*C775,E$57*(24-'Assumptions and Catalog'!$C$13)*C775)</f>
        <v>258.04826737033</v>
      </c>
      <c r="J775" s="5" t="n">
        <f>MAX(F775-G775-H775,0)</f>
        <v>209.063388864534</v>
      </c>
      <c r="K775" s="5" t="n">
        <f>H775-I775</f>
        <v>13.4029014610493</v>
      </c>
      <c r="L775" s="5" t="n">
        <f>(D775+E775)*C775-G775-I775+0+IF(E$52&gt;0,'Assumptions and Catalog'!$C$26*C775,0)</f>
        <v>992.80173262967</v>
      </c>
      <c r="M775" s="5" t="n">
        <f>IF(ISNUMBER(Inputs!$L$5),(IF(Inputs!$L$9="Actual flat rate",((D775+E775)*C775)*Inputs!$L$10,IF(Inputs!$C$9="Residential",IF(((D775+E775)*C775)&lt;='Assumptions and Catalog'!$C$50,((D775+E775)*C775)*'Assumptions and Catalog'!$H$50+'Assumptions and Catalog'!$E$50+'Assumptions and Catalog'!$F$50,IF(((D775+E775)*C775)&lt;='Assumptions and Catalog'!$C$51,((D775+E775)*C775)*'Assumptions and Catalog'!$H$51+'Assumptions and Catalog'!$E$51+'Assumptions and Catalog'!$F$51,IF(((D775+E775)*C775)&lt;='Assumptions and Catalog'!$C$52,((D775+E775)*C775)*'Assumptions and Catalog'!$H$52+'Assumptions and Catalog'!$E$52+'Assumptions and Catalog'!$F$52,IF(((D775+E775)*C775)&lt;='Assumptions and Catalog'!$C$53,((D775+E775)*C775)*'Assumptions and Catalog'!$H$53+'Assumptions and Catalog'!$E$53+'Assumptions and Catalog'!$F$53,IF(((D775+E775)*C775)&lt;='Assumptions and Catalog'!$C$54,((D775+E775)*C775)*'Assumptions and Catalog'!$H$54+'Assumptions and Catalog'!$E$54+'Assumptions and Catalog'!$F$54,IF(((D775+E775)*C775)&lt;='Assumptions and Catalog'!$C$55,((D775+E775)*C775)*'Assumptions and Catalog'!$H$55+'Assumptions and Catalog'!$E$55+'Assumptions and Catalog'!$F$55,IF(((D775+E775)*C775)&lt;='Assumptions and Catalog'!$C$56,((D775+E775)*C775)*'Assumptions and Catalog'!$H$56+'Assumptions and Catalog'!$E$56+'Assumptions and Catalog'!$F$56,IF(((D775+E775)*C775)&lt;='Assumptions and Catalog'!$C$57,((D775+E775)*C775)*'Assumptions and Catalog'!$H$57+'Assumptions and Catalog'!$E$57+'Assumptions and Catalog'!$F$57,"Out of range")))))))),IF(((D775+E775)*C775)&lt;='Assumptions and Catalog'!$C$60,((D775+E775)*C775)*'Assumptions and Catalog'!$H$60+'Assumptions and Catalog'!$E$60+'Assumptions and Catalog'!$F$60,IF(((D775+E775)*C775)&lt;='Assumptions and Catalog'!$C$61,((D775+E775)*C775)*'Assumptions and Catalog'!$H$61+'Assumptions and Catalog'!$E$61+'Assumptions and Catalog'!$F$61,IF(((D775+E775)*C775)&lt;='Assumptions and Catalog'!$C$62,((D775+E775)*C775)*'Assumptions and Catalog'!$H$62+'Assumptions and Catalog'!$E$62+'Assumptions and Catalog'!$F$62,IF(((D775+E775)*C775)&lt;='Assumptions and Catalog'!$C$63,((D775+E775)*C775)*'Assumptions and Catalog'!$H$63+'Assumptions and Catalog'!$E$63+'Assumptions and Catalog'!$F$63,IF(((D775+E775)*C775)&lt;='Assumptions and Catalog'!$C$64,((D775+E775)*C775)*'Assumptions and Catalog'!$H$64+'Assumptions and Catalog'!$E$64+'Assumptions and Catalog'!$F$64,IF(((D775+E775)*C775)&lt;='Assumptions and Catalog'!$C$65,((D775+E775)*C775)*'Assumptions and Catalog'!$H$65+'Assumptions and Catalog'!$E$65+'Assumptions and Catalog'!$F$65,"Out of range")))))))))*(1+'Assumptions and Catalog'!$C$8)^(A775-1),0)</f>
        <v>7094.794</v>
      </c>
      <c r="N775" s="5" t="n">
        <f>IF(ISNUMBER(Inputs!$L$5),(IF(Inputs!$L$9="Actual flat rate",L775*Inputs!$L$10,IF(Inputs!$C$9="Residential",IF(L775&lt;='Assumptions and Catalog'!$C$50,L775*'Assumptions and Catalog'!$H$50+'Assumptions and Catalog'!$E$50+'Assumptions and Catalog'!$F$50,IF(L775&lt;='Assumptions and Catalog'!$C$51,L775*'Assumptions and Catalog'!$H$51+'Assumptions and Catalog'!$E$51+'Assumptions and Catalog'!$F$51,IF(L775&lt;='Assumptions and Catalog'!$C$52,L775*'Assumptions and Catalog'!$H$52+'Assumptions and Catalog'!$E$52+'Assumptions and Catalog'!$F$52,IF(L775&lt;='Assumptions and Catalog'!$C$53,L775*'Assumptions and Catalog'!$H$53+'Assumptions and Catalog'!$E$53+'Assumptions and Catalog'!$F$53,IF(L775&lt;='Assumptions and Catalog'!$C$54,L775*'Assumptions and Catalog'!$H$54+'Assumptions and Catalog'!$E$54+'Assumptions and Catalog'!$F$54,IF(L775&lt;='Assumptions and Catalog'!$C$55,L775*'Assumptions and Catalog'!$H$55+'Assumptions and Catalog'!$E$55+'Assumptions and Catalog'!$F$55,IF(L775&lt;='Assumptions and Catalog'!$C$56,L775*'Assumptions and Catalog'!$H$56+'Assumptions and Catalog'!$E$56+'Assumptions and Catalog'!$F$56,IF(L775&lt;='Assumptions and Catalog'!$C$57,L775*'Assumptions and Catalog'!$H$57+'Assumptions and Catalog'!$E$57+'Assumptions and Catalog'!$F$57,"Out of range")))))))),IF(L775&lt;='Assumptions and Catalog'!$C$60,L775*'Assumptions and Catalog'!$H$60+'Assumptions and Catalog'!$E$60+'Assumptions and Catalog'!$F$60,IF(L775&lt;='Assumptions and Catalog'!$C$61,L775*'Assumptions and Catalog'!$H$61+'Assumptions and Catalog'!$E$61+'Assumptions and Catalog'!$F$61,IF(L775&lt;='Assumptions and Catalog'!$C$62,L775*'Assumptions and Catalog'!$H$62+'Assumptions and Catalog'!$E$62+'Assumptions and Catalog'!$F$62,IF(L775&lt;='Assumptions and Catalog'!$C$63,L775*'Assumptions and Catalog'!$H$63+'Assumptions and Catalog'!$E$63+'Assumptions and Catalog'!$F$63,IF(L775&lt;='Assumptions and Catalog'!$C$64,L775*'Assumptions and Catalog'!$H$64+'Assumptions and Catalog'!$E$64+'Assumptions and Catalog'!$F$64,IF(L775&lt;='Assumptions and Catalog'!$C$65,L775*'Assumptions and Catalog'!$H$65+'Assumptions and Catalog'!$E$65+'Assumptions and Catalog'!$F$65,"Out of range")))))))))*(1+'Assumptions and Catalog'!$C$8)^(A775-1),0)</f>
        <v>2715.06079938419</v>
      </c>
      <c r="O775" s="5" t="n">
        <f>M775-N775</f>
        <v>4379.73320061581</v>
      </c>
      <c r="P775" s="5" t="n">
        <f>E$55*(1-L$14)*(1-'Assumptions and Catalog'!$C$23)^R775</f>
        <v>8.53757708421274</v>
      </c>
      <c r="Q775" s="5" t="n">
        <f>IF(ISNUMBER(Inputs!$L$5),(IF(Inputs!$L$9="Actual flat rate",((D775+E775)*C775-G775)*Inputs!$L$10,IF(Inputs!$C$9="Residential",IF(((D775+E775)*C775-G775)&lt;='Assumptions and Catalog'!$C$50,((D775+E775)*C775-G775)*'Assumptions and Catalog'!$H$50+'Assumptions and Catalog'!$E$50+'Assumptions and Catalog'!$F$50,IF(((D775+E775)*C775-G775)&lt;='Assumptions and Catalog'!$C$51,((D775+E775)*C775-G775)*'Assumptions and Catalog'!$H$51+'Assumptions and Catalog'!$E$51+'Assumptions and Catalog'!$F$51,IF(((D775+E775)*C775-G775)&lt;='Assumptions and Catalog'!$C$52,((D775+E775)*C775-G775)*'Assumptions and Catalog'!$H$52+'Assumptions and Catalog'!$E$52+'Assumptions and Catalog'!$F$52,IF(((D775+E775)*C775-G775)&lt;='Assumptions and Catalog'!$C$53,((D775+E775)*C775-G775)*'Assumptions and Catalog'!$H$53+'Assumptions and Catalog'!$E$53+'Assumptions and Catalog'!$F$53,IF(((D775+E775)*C775-G775)&lt;='Assumptions and Catalog'!$C$54,((D775+E775)*C775-G775)*'Assumptions and Catalog'!$H$54+'Assumptions and Catalog'!$E$54+'Assumptions and Catalog'!$F$54,IF(((D775+E775)*C775-G775)&lt;='Assumptions and Catalog'!$C$55,((D775+E775)*C775-G775)*'Assumptions and Catalog'!$H$55+'Assumptions and Catalog'!$E$55+'Assumptions and Catalog'!$F$55,IF(((D775+E775)*C775-G775)&lt;='Assumptions and Catalog'!$C$56,((D775+E775)*C775-G775)*'Assumptions and Catalog'!$H$56+'Assumptions and Catalog'!$E$56+'Assumptions and Catalog'!$F$56,IF(((D775+E775)*C775-G775)&lt;='Assumptions and Catalog'!$C$57,((D775+E775)*C775-G775)*'Assumptions and Catalog'!$H$57+'Assumptions and Catalog'!$E$57+'Assumptions and Catalog'!$F$57,"Out of range")))))))),IF(((D775+E775)*C775-G775)&lt;='Assumptions and Catalog'!$C$60,((D775+E775)*C775-G775)*'Assumptions and Catalog'!$H$60+'Assumptions and Catalog'!$E$60+'Assumptions and Catalog'!$F$60,IF(((D775+E775)*C775-G775)&lt;='Assumptions and Catalog'!$C$61,((D775+E775)*C775-G775)*'Assumptions and Catalog'!$H$61+'Assumptions and Catalog'!$E$61+'Assumptions and Catalog'!$F$61,IF(((D775+E775)*C775-G775)&lt;='Assumptions and Catalog'!$C$62,((D775+E775)*C775-G775)*'Assumptions and Catalog'!$H$62+'Assumptions and Catalog'!$E$62+'Assumptions and Catalog'!$F$62,IF(((D775+E775)*C775-G775)&lt;='Assumptions and Catalog'!$C$63,((D775+E775)*C775-G775)*'Assumptions and Catalog'!$H$63+'Assumptions and Catalog'!$E$63+'Assumptions and Catalog'!$F$63,IF(((D775+E775)*C775-G775)&lt;='Assumptions and Catalog'!$C$64,((D775+E775)*C775-G775)*'Assumptions and Catalog'!$H$64+'Assumptions and Catalog'!$E$64+'Assumptions and Catalog'!$F$64,IF(((D775+E775)*C775-G775)&lt;='Assumptions and Catalog'!$C$65,((D775+E775)*C775-G775)*'Assumptions and Catalog'!$H$65+'Assumptions and Catalog'!$E$65+'Assumptions and Catalog'!$F$65,"Out of range")))))))))*(1+'Assumptions and Catalog'!$C$8)^(A775-1),0)</f>
        <v>3567.397</v>
      </c>
      <c r="R775" s="5" t="n">
        <f>IF(AND('Assumptions and Catalog'!$C$19&gt;0,A775&gt;='Assumptions and Catalog'!$C$19),A775-'Assumptions and Catalog'!$C$19,A775-1)</f>
        <v>9</v>
      </c>
      <c r="S775" s="5" t="n">
        <f>F775+L775-(D775+E775)*C775-J775-K775-IF(E$52&gt;0,'Assumptions and Catalog'!$C$26*C775,0)</f>
        <v>1.13686837721616E-013</v>
      </c>
      <c r="T775" s="5"/>
      <c r="U775" s="5"/>
    </row>
    <row r="776" ht="23.100000381469727" customHeight="1">
      <c r="A776" s="5" t="n">
        <v>10</v>
      </c>
      <c r="B776" s="5" t="n">
        <v>8</v>
      </c>
      <c r="C776" s="5" t="n">
        <f>DAY(DATE('Assumptions and Catalog'!$C$24+A776-1,B776+1,0))</f>
        <v>31</v>
      </c>
      <c r="D776" s="5" t="n">
        <f>IF(ISNUMBER(Inputs!$L$5),Inputs!$L$5*Inputs!$L$6,0)</f>
        <v>40.35</v>
      </c>
      <c r="E776" s="5" t="n">
        <f>IF(ISNUMBER(Inputs!$L$5),Inputs!$L$5-D776,0)</f>
        <v>40.35</v>
      </c>
      <c r="F776" s="5" t="n">
        <f>E$51*INDEX('Solar Production'!$D$20:$D$31,B776)*C776*(1-'Assumptions and Catalog'!$C$10)^(A776-1)</f>
        <v>1753.86619837045</v>
      </c>
      <c r="G776" s="5" t="n">
        <f>MIN(F776,D776*C776)</f>
        <v>1250.85</v>
      </c>
      <c r="H776" s="5" t="n">
        <f>I776/('Assumptions and Catalog'!$C$11*'Assumptions and Catalog'!$C$12)</f>
        <v>271.451168831379</v>
      </c>
      <c r="I776" s="5" t="n">
        <f>MIN(E776*C776,P776*'Assumptions and Catalog'!$C$12*C776,(F776-G776)*'Assumptions and Catalog'!$C$11*'Assumptions and Catalog'!$C$12,E$56*'Assumptions and Catalog'!$C$14*'Assumptions and Catalog'!$C$11*'Assumptions and Catalog'!$C$12*C776,E$57*(24-'Assumptions and Catalog'!$C$13)*C776)</f>
        <v>258.04826737033</v>
      </c>
      <c r="J776" s="5" t="n">
        <f>MAX(F776-G776-H776,0)</f>
        <v>231.565029539071</v>
      </c>
      <c r="K776" s="5" t="n">
        <f>H776-I776</f>
        <v>13.4029014610493</v>
      </c>
      <c r="L776" s="5" t="n">
        <f>(D776+E776)*C776-G776-I776+0+IF(E$52&gt;0,'Assumptions and Catalog'!$C$26*C776,0)</f>
        <v>992.80173262967</v>
      </c>
      <c r="M776" s="5" t="n">
        <f>IF(ISNUMBER(Inputs!$L$5),(IF(Inputs!$L$9="Actual flat rate",((D776+E776)*C776)*Inputs!$L$10,IF(Inputs!$C$9="Residential",IF(((D776+E776)*C776)&lt;='Assumptions and Catalog'!$C$50,((D776+E776)*C776)*'Assumptions and Catalog'!$H$50+'Assumptions and Catalog'!$E$50+'Assumptions and Catalog'!$F$50,IF(((D776+E776)*C776)&lt;='Assumptions and Catalog'!$C$51,((D776+E776)*C776)*'Assumptions and Catalog'!$H$51+'Assumptions and Catalog'!$E$51+'Assumptions and Catalog'!$F$51,IF(((D776+E776)*C776)&lt;='Assumptions and Catalog'!$C$52,((D776+E776)*C776)*'Assumptions and Catalog'!$H$52+'Assumptions and Catalog'!$E$52+'Assumptions and Catalog'!$F$52,IF(((D776+E776)*C776)&lt;='Assumptions and Catalog'!$C$53,((D776+E776)*C776)*'Assumptions and Catalog'!$H$53+'Assumptions and Catalog'!$E$53+'Assumptions and Catalog'!$F$53,IF(((D776+E776)*C776)&lt;='Assumptions and Catalog'!$C$54,((D776+E776)*C776)*'Assumptions and Catalog'!$H$54+'Assumptions and Catalog'!$E$54+'Assumptions and Catalog'!$F$54,IF(((D776+E776)*C776)&lt;='Assumptions and Catalog'!$C$55,((D776+E776)*C776)*'Assumptions and Catalog'!$H$55+'Assumptions and Catalog'!$E$55+'Assumptions and Catalog'!$F$55,IF(((D776+E776)*C776)&lt;='Assumptions and Catalog'!$C$56,((D776+E776)*C776)*'Assumptions and Catalog'!$H$56+'Assumptions and Catalog'!$E$56+'Assumptions and Catalog'!$F$56,IF(((D776+E776)*C776)&lt;='Assumptions and Catalog'!$C$57,((D776+E776)*C776)*'Assumptions and Catalog'!$H$57+'Assumptions and Catalog'!$E$57+'Assumptions and Catalog'!$F$57,"Out of range")))))))),IF(((D776+E776)*C776)&lt;='Assumptions and Catalog'!$C$60,((D776+E776)*C776)*'Assumptions and Catalog'!$H$60+'Assumptions and Catalog'!$E$60+'Assumptions and Catalog'!$F$60,IF(((D776+E776)*C776)&lt;='Assumptions and Catalog'!$C$61,((D776+E776)*C776)*'Assumptions and Catalog'!$H$61+'Assumptions and Catalog'!$E$61+'Assumptions and Catalog'!$F$61,IF(((D776+E776)*C776)&lt;='Assumptions and Catalog'!$C$62,((D776+E776)*C776)*'Assumptions and Catalog'!$H$62+'Assumptions and Catalog'!$E$62+'Assumptions and Catalog'!$F$62,IF(((D776+E776)*C776)&lt;='Assumptions and Catalog'!$C$63,((D776+E776)*C776)*'Assumptions and Catalog'!$H$63+'Assumptions and Catalog'!$E$63+'Assumptions and Catalog'!$F$63,IF(((D776+E776)*C776)&lt;='Assumptions and Catalog'!$C$64,((D776+E776)*C776)*'Assumptions and Catalog'!$H$64+'Assumptions and Catalog'!$E$64+'Assumptions and Catalog'!$F$64,IF(((D776+E776)*C776)&lt;='Assumptions and Catalog'!$C$65,((D776+E776)*C776)*'Assumptions and Catalog'!$H$65+'Assumptions and Catalog'!$E$65+'Assumptions and Catalog'!$F$65,"Out of range")))))))))*(1+'Assumptions and Catalog'!$C$8)^(A776-1),0)</f>
        <v>7094.794</v>
      </c>
      <c r="N776" s="5" t="n">
        <f>IF(ISNUMBER(Inputs!$L$5),(IF(Inputs!$L$9="Actual flat rate",L776*Inputs!$L$10,IF(Inputs!$C$9="Residential",IF(L776&lt;='Assumptions and Catalog'!$C$50,L776*'Assumptions and Catalog'!$H$50+'Assumptions and Catalog'!$E$50+'Assumptions and Catalog'!$F$50,IF(L776&lt;='Assumptions and Catalog'!$C$51,L776*'Assumptions and Catalog'!$H$51+'Assumptions and Catalog'!$E$51+'Assumptions and Catalog'!$F$51,IF(L776&lt;='Assumptions and Catalog'!$C$52,L776*'Assumptions and Catalog'!$H$52+'Assumptions and Catalog'!$E$52+'Assumptions and Catalog'!$F$52,IF(L776&lt;='Assumptions and Catalog'!$C$53,L776*'Assumptions and Catalog'!$H$53+'Assumptions and Catalog'!$E$53+'Assumptions and Catalog'!$F$53,IF(L776&lt;='Assumptions and Catalog'!$C$54,L776*'Assumptions and Catalog'!$H$54+'Assumptions and Catalog'!$E$54+'Assumptions and Catalog'!$F$54,IF(L776&lt;='Assumptions and Catalog'!$C$55,L776*'Assumptions and Catalog'!$H$55+'Assumptions and Catalog'!$E$55+'Assumptions and Catalog'!$F$55,IF(L776&lt;='Assumptions and Catalog'!$C$56,L776*'Assumptions and Catalog'!$H$56+'Assumptions and Catalog'!$E$56+'Assumptions and Catalog'!$F$56,IF(L776&lt;='Assumptions and Catalog'!$C$57,L776*'Assumptions and Catalog'!$H$57+'Assumptions and Catalog'!$E$57+'Assumptions and Catalog'!$F$57,"Out of range")))))))),IF(L776&lt;='Assumptions and Catalog'!$C$60,L776*'Assumptions and Catalog'!$H$60+'Assumptions and Catalog'!$E$60+'Assumptions and Catalog'!$F$60,IF(L776&lt;='Assumptions and Catalog'!$C$61,L776*'Assumptions and Catalog'!$H$61+'Assumptions and Catalog'!$E$61+'Assumptions and Catalog'!$F$61,IF(L776&lt;='Assumptions and Catalog'!$C$62,L776*'Assumptions and Catalog'!$H$62+'Assumptions and Catalog'!$E$62+'Assumptions and Catalog'!$F$62,IF(L776&lt;='Assumptions and Catalog'!$C$63,L776*'Assumptions and Catalog'!$H$63+'Assumptions and Catalog'!$E$63+'Assumptions and Catalog'!$F$63,IF(L776&lt;='Assumptions and Catalog'!$C$64,L776*'Assumptions and Catalog'!$H$64+'Assumptions and Catalog'!$E$64+'Assumptions and Catalog'!$F$64,IF(L776&lt;='Assumptions and Catalog'!$C$65,L776*'Assumptions and Catalog'!$H$65+'Assumptions and Catalog'!$E$65+'Assumptions and Catalog'!$F$65,"Out of range")))))))))*(1+'Assumptions and Catalog'!$C$8)^(A776-1),0)</f>
        <v>2715.06079938419</v>
      </c>
      <c r="O776" s="5" t="n">
        <f>M776-N776</f>
        <v>4379.73320061581</v>
      </c>
      <c r="P776" s="5" t="n">
        <f>E$55*(1-L$14)*(1-'Assumptions and Catalog'!$C$23)^R776</f>
        <v>8.53757708421274</v>
      </c>
      <c r="Q776" s="5" t="n">
        <f>IF(ISNUMBER(Inputs!$L$5),(IF(Inputs!$L$9="Actual flat rate",((D776+E776)*C776-G776)*Inputs!$L$10,IF(Inputs!$C$9="Residential",IF(((D776+E776)*C776-G776)&lt;='Assumptions and Catalog'!$C$50,((D776+E776)*C776-G776)*'Assumptions and Catalog'!$H$50+'Assumptions and Catalog'!$E$50+'Assumptions and Catalog'!$F$50,IF(((D776+E776)*C776-G776)&lt;='Assumptions and Catalog'!$C$51,((D776+E776)*C776-G776)*'Assumptions and Catalog'!$H$51+'Assumptions and Catalog'!$E$51+'Assumptions and Catalog'!$F$51,IF(((D776+E776)*C776-G776)&lt;='Assumptions and Catalog'!$C$52,((D776+E776)*C776-G776)*'Assumptions and Catalog'!$H$52+'Assumptions and Catalog'!$E$52+'Assumptions and Catalog'!$F$52,IF(((D776+E776)*C776-G776)&lt;='Assumptions and Catalog'!$C$53,((D776+E776)*C776-G776)*'Assumptions and Catalog'!$H$53+'Assumptions and Catalog'!$E$53+'Assumptions and Catalog'!$F$53,IF(((D776+E776)*C776-G776)&lt;='Assumptions and Catalog'!$C$54,((D776+E776)*C776-G776)*'Assumptions and Catalog'!$H$54+'Assumptions and Catalog'!$E$54+'Assumptions and Catalog'!$F$54,IF(((D776+E776)*C776-G776)&lt;='Assumptions and Catalog'!$C$55,((D776+E776)*C776-G776)*'Assumptions and Catalog'!$H$55+'Assumptions and Catalog'!$E$55+'Assumptions and Catalog'!$F$55,IF(((D776+E776)*C776-G776)&lt;='Assumptions and Catalog'!$C$56,((D776+E776)*C776-G776)*'Assumptions and Catalog'!$H$56+'Assumptions and Catalog'!$E$56+'Assumptions and Catalog'!$F$56,IF(((D776+E776)*C776-G776)&lt;='Assumptions and Catalog'!$C$57,((D776+E776)*C776-G776)*'Assumptions and Catalog'!$H$57+'Assumptions and Catalog'!$E$57+'Assumptions and Catalog'!$F$57,"Out of range")))))))),IF(((D776+E776)*C776-G776)&lt;='Assumptions and Catalog'!$C$60,((D776+E776)*C776-G776)*'Assumptions and Catalog'!$H$60+'Assumptions and Catalog'!$E$60+'Assumptions and Catalog'!$F$60,IF(((D776+E776)*C776-G776)&lt;='Assumptions and Catalog'!$C$61,((D776+E776)*C776-G776)*'Assumptions and Catalog'!$H$61+'Assumptions and Catalog'!$E$61+'Assumptions and Catalog'!$F$61,IF(((D776+E776)*C776-G776)&lt;='Assumptions and Catalog'!$C$62,((D776+E776)*C776-G776)*'Assumptions and Catalog'!$H$62+'Assumptions and Catalog'!$E$62+'Assumptions and Catalog'!$F$62,IF(((D776+E776)*C776-G776)&lt;='Assumptions and Catalog'!$C$63,((D776+E776)*C776-G776)*'Assumptions and Catalog'!$H$63+'Assumptions and Catalog'!$E$63+'Assumptions and Catalog'!$F$63,IF(((D776+E776)*C776-G776)&lt;='Assumptions and Catalog'!$C$64,((D776+E776)*C776-G776)*'Assumptions and Catalog'!$H$64+'Assumptions and Catalog'!$E$64+'Assumptions and Catalog'!$F$64,IF(((D776+E776)*C776-G776)&lt;='Assumptions and Catalog'!$C$65,((D776+E776)*C776-G776)*'Assumptions and Catalog'!$H$65+'Assumptions and Catalog'!$E$65+'Assumptions and Catalog'!$F$65,"Out of range")))))))))*(1+'Assumptions and Catalog'!$C$8)^(A776-1),0)</f>
        <v>3567.397</v>
      </c>
      <c r="R776" s="5" t="n">
        <f>IF(AND('Assumptions and Catalog'!$C$19&gt;0,A776&gt;='Assumptions and Catalog'!$C$19),A776-'Assumptions and Catalog'!$C$19,A776-1)</f>
        <v>9</v>
      </c>
      <c r="S776" s="5" t="n">
        <f>F776+L776-(D776+E776)*C776-J776-K776-IF(E$52&gt;0,'Assumptions and Catalog'!$C$26*C776,0)</f>
        <v>-1.13686837721616E-013</v>
      </c>
      <c r="T776" s="5"/>
      <c r="U776" s="5"/>
    </row>
    <row r="777" ht="23.100000381469727" customHeight="1">
      <c r="A777" s="5" t="n">
        <v>10</v>
      </c>
      <c r="B777" s="5" t="n">
        <v>9</v>
      </c>
      <c r="C777" s="5" t="n">
        <f>DAY(DATE('Assumptions and Catalog'!$C$24+A777-1,B777+1,0))</f>
        <v>30</v>
      </c>
      <c r="D777" s="5" t="n">
        <f>IF(ISNUMBER(Inputs!$L$5),Inputs!$L$5*Inputs!$L$6,0)</f>
        <v>40.35</v>
      </c>
      <c r="E777" s="5" t="n">
        <f>IF(ISNUMBER(Inputs!$L$5),Inputs!$L$5-D777,0)</f>
        <v>40.35</v>
      </c>
      <c r="F777" s="5" t="n">
        <f>E$51*INDEX('Solar Production'!$D$20:$D$31,B777)*C777*(1-'Assumptions and Catalog'!$C$10)^(A777-1)</f>
        <v>1692.88044327124</v>
      </c>
      <c r="G777" s="5" t="n">
        <f>MIN(F777,D777*C777)</f>
        <v>1210.5</v>
      </c>
      <c r="H777" s="5" t="n">
        <f>I777/('Assumptions and Catalog'!$C$11*'Assumptions and Catalog'!$C$12)</f>
        <v>262.694679514238</v>
      </c>
      <c r="I777" s="5" t="n">
        <f>MIN(E777*C777,P777*'Assumptions and Catalog'!$C$12*C777,(F777-G777)*'Assumptions and Catalog'!$C$11*'Assumptions and Catalog'!$C$12,E$56*'Assumptions and Catalog'!$C$14*'Assumptions and Catalog'!$C$11*'Assumptions and Catalog'!$C$12*C777,E$57*(24-'Assumptions and Catalog'!$C$13)*C777)</f>
        <v>249.724129713222</v>
      </c>
      <c r="J777" s="5" t="n">
        <f>MAX(F777-G777-H777,0)</f>
        <v>219.685763757</v>
      </c>
      <c r="K777" s="5" t="n">
        <f>H777-I777</f>
        <v>12.9705498010155</v>
      </c>
      <c r="L777" s="5" t="n">
        <f>(D777+E777)*C777-G777-I777+0+IF(E$52&gt;0,'Assumptions and Catalog'!$C$26*C777,0)</f>
        <v>960.775870286778</v>
      </c>
      <c r="M777" s="5" t="n">
        <f>IF(ISNUMBER(Inputs!$L$5),(IF(Inputs!$L$9="Actual flat rate",((D777+E777)*C777)*Inputs!$L$10,IF(Inputs!$C$9="Residential",IF(((D777+E777)*C777)&lt;='Assumptions and Catalog'!$C$50,((D777+E777)*C777)*'Assumptions and Catalog'!$H$50+'Assumptions and Catalog'!$E$50+'Assumptions and Catalog'!$F$50,IF(((D777+E777)*C777)&lt;='Assumptions and Catalog'!$C$51,((D777+E777)*C777)*'Assumptions and Catalog'!$H$51+'Assumptions and Catalog'!$E$51+'Assumptions and Catalog'!$F$51,IF(((D777+E777)*C777)&lt;='Assumptions and Catalog'!$C$52,((D777+E777)*C777)*'Assumptions and Catalog'!$H$52+'Assumptions and Catalog'!$E$52+'Assumptions and Catalog'!$F$52,IF(((D777+E777)*C777)&lt;='Assumptions and Catalog'!$C$53,((D777+E777)*C777)*'Assumptions and Catalog'!$H$53+'Assumptions and Catalog'!$E$53+'Assumptions and Catalog'!$F$53,IF(((D777+E777)*C777)&lt;='Assumptions and Catalog'!$C$54,((D777+E777)*C777)*'Assumptions and Catalog'!$H$54+'Assumptions and Catalog'!$E$54+'Assumptions and Catalog'!$F$54,IF(((D777+E777)*C777)&lt;='Assumptions and Catalog'!$C$55,((D777+E777)*C777)*'Assumptions and Catalog'!$H$55+'Assumptions and Catalog'!$E$55+'Assumptions and Catalog'!$F$55,IF(((D777+E777)*C777)&lt;='Assumptions and Catalog'!$C$56,((D777+E777)*C777)*'Assumptions and Catalog'!$H$56+'Assumptions and Catalog'!$E$56+'Assumptions and Catalog'!$F$56,IF(((D777+E777)*C777)&lt;='Assumptions and Catalog'!$C$57,((D777+E777)*C777)*'Assumptions and Catalog'!$H$57+'Assumptions and Catalog'!$E$57+'Assumptions and Catalog'!$F$57,"Out of range")))))))),IF(((D777+E777)*C777)&lt;='Assumptions and Catalog'!$C$60,((D777+E777)*C777)*'Assumptions and Catalog'!$H$60+'Assumptions and Catalog'!$E$60+'Assumptions and Catalog'!$F$60,IF(((D777+E777)*C777)&lt;='Assumptions and Catalog'!$C$61,((D777+E777)*C777)*'Assumptions and Catalog'!$H$61+'Assumptions and Catalog'!$E$61+'Assumptions and Catalog'!$F$61,IF(((D777+E777)*C777)&lt;='Assumptions and Catalog'!$C$62,((D777+E777)*C777)*'Assumptions and Catalog'!$H$62+'Assumptions and Catalog'!$E$62+'Assumptions and Catalog'!$F$62,IF(((D777+E777)*C777)&lt;='Assumptions and Catalog'!$C$63,((D777+E777)*C777)*'Assumptions and Catalog'!$H$63+'Assumptions and Catalog'!$E$63+'Assumptions and Catalog'!$F$63,IF(((D777+E777)*C777)&lt;='Assumptions and Catalog'!$C$64,((D777+E777)*C777)*'Assumptions and Catalog'!$H$64+'Assumptions and Catalog'!$E$64+'Assumptions and Catalog'!$F$64,IF(((D777+E777)*C777)&lt;='Assumptions and Catalog'!$C$65,((D777+E777)*C777)*'Assumptions and Catalog'!$H$65+'Assumptions and Catalog'!$E$65+'Assumptions and Catalog'!$F$65,"Out of range")))))))))*(1+'Assumptions and Catalog'!$C$8)^(A777-1),0)</f>
        <v>6867.22</v>
      </c>
      <c r="N777" s="5" t="n">
        <f>IF(ISNUMBER(Inputs!$L$5),(IF(Inputs!$L$9="Actual flat rate",L777*Inputs!$L$10,IF(Inputs!$C$9="Residential",IF(L777&lt;='Assumptions and Catalog'!$C$50,L777*'Assumptions and Catalog'!$H$50+'Assumptions and Catalog'!$E$50+'Assumptions and Catalog'!$F$50,IF(L777&lt;='Assumptions and Catalog'!$C$51,L777*'Assumptions and Catalog'!$H$51+'Assumptions and Catalog'!$E$51+'Assumptions and Catalog'!$F$51,IF(L777&lt;='Assumptions and Catalog'!$C$52,L777*'Assumptions and Catalog'!$H$52+'Assumptions and Catalog'!$E$52+'Assumptions and Catalog'!$F$52,IF(L777&lt;='Assumptions and Catalog'!$C$53,L777*'Assumptions and Catalog'!$H$53+'Assumptions and Catalog'!$E$53+'Assumptions and Catalog'!$F$53,IF(L777&lt;='Assumptions and Catalog'!$C$54,L777*'Assumptions and Catalog'!$H$54+'Assumptions and Catalog'!$E$54+'Assumptions and Catalog'!$F$54,IF(L777&lt;='Assumptions and Catalog'!$C$55,L777*'Assumptions and Catalog'!$H$55+'Assumptions and Catalog'!$E$55+'Assumptions and Catalog'!$F$55,IF(L777&lt;='Assumptions and Catalog'!$C$56,L777*'Assumptions and Catalog'!$H$56+'Assumptions and Catalog'!$E$56+'Assumptions and Catalog'!$F$56,IF(L777&lt;='Assumptions and Catalog'!$C$57,L777*'Assumptions and Catalog'!$H$57+'Assumptions and Catalog'!$E$57+'Assumptions and Catalog'!$F$57,"Out of range")))))))),IF(L777&lt;='Assumptions and Catalog'!$C$60,L777*'Assumptions and Catalog'!$H$60+'Assumptions and Catalog'!$E$60+'Assumptions and Catalog'!$F$60,IF(L777&lt;='Assumptions and Catalog'!$C$61,L777*'Assumptions and Catalog'!$H$61+'Assumptions and Catalog'!$E$61+'Assumptions and Catalog'!$F$61,IF(L777&lt;='Assumptions and Catalog'!$C$62,L777*'Assumptions and Catalog'!$H$62+'Assumptions and Catalog'!$E$62+'Assumptions and Catalog'!$F$62,IF(L777&lt;='Assumptions and Catalog'!$C$63,L777*'Assumptions and Catalog'!$H$63+'Assumptions and Catalog'!$E$63+'Assumptions and Catalog'!$F$63,IF(L777&lt;='Assumptions and Catalog'!$C$64,L777*'Assumptions and Catalog'!$H$64+'Assumptions and Catalog'!$E$64+'Assumptions and Catalog'!$F$64,IF(L777&lt;='Assumptions and Catalog'!$C$65,L777*'Assumptions and Catalog'!$H$65+'Assumptions and Catalog'!$E$65+'Assumptions and Catalog'!$F$65,"Out of range")))))))))*(1+'Assumptions and Catalog'!$C$8)^(A777-1),0)</f>
        <v>2626.34916069437</v>
      </c>
      <c r="O777" s="5" t="n">
        <f>M777-N777</f>
        <v>4240.87083930563</v>
      </c>
      <c r="P777" s="5" t="n">
        <f>E$55*(1-L$14)*(1-'Assumptions and Catalog'!$C$23)^R777</f>
        <v>8.53757708421274</v>
      </c>
      <c r="Q777" s="5" t="n">
        <f>IF(ISNUMBER(Inputs!$L$5),(IF(Inputs!$L$9="Actual flat rate",((D777+E777)*C777-G777)*Inputs!$L$10,IF(Inputs!$C$9="Residential",IF(((D777+E777)*C777-G777)&lt;='Assumptions and Catalog'!$C$50,((D777+E777)*C777-G777)*'Assumptions and Catalog'!$H$50+'Assumptions and Catalog'!$E$50+'Assumptions and Catalog'!$F$50,IF(((D777+E777)*C777-G777)&lt;='Assumptions and Catalog'!$C$51,((D777+E777)*C777-G777)*'Assumptions and Catalog'!$H$51+'Assumptions and Catalog'!$E$51+'Assumptions and Catalog'!$F$51,IF(((D777+E777)*C777-G777)&lt;='Assumptions and Catalog'!$C$52,((D777+E777)*C777-G777)*'Assumptions and Catalog'!$H$52+'Assumptions and Catalog'!$E$52+'Assumptions and Catalog'!$F$52,IF(((D777+E777)*C777-G777)&lt;='Assumptions and Catalog'!$C$53,((D777+E777)*C777-G777)*'Assumptions and Catalog'!$H$53+'Assumptions and Catalog'!$E$53+'Assumptions and Catalog'!$F$53,IF(((D777+E777)*C777-G777)&lt;='Assumptions and Catalog'!$C$54,((D777+E777)*C777-G777)*'Assumptions and Catalog'!$H$54+'Assumptions and Catalog'!$E$54+'Assumptions and Catalog'!$F$54,IF(((D777+E777)*C777-G777)&lt;='Assumptions and Catalog'!$C$55,((D777+E777)*C777-G777)*'Assumptions and Catalog'!$H$55+'Assumptions and Catalog'!$E$55+'Assumptions and Catalog'!$F$55,IF(((D777+E777)*C777-G777)&lt;='Assumptions and Catalog'!$C$56,((D777+E777)*C777-G777)*'Assumptions and Catalog'!$H$56+'Assumptions and Catalog'!$E$56+'Assumptions and Catalog'!$F$56,IF(((D777+E777)*C777-G777)&lt;='Assumptions and Catalog'!$C$57,((D777+E777)*C777-G777)*'Assumptions and Catalog'!$H$57+'Assumptions and Catalog'!$E$57+'Assumptions and Catalog'!$F$57,"Out of range")))))))),IF(((D777+E777)*C777-G777)&lt;='Assumptions and Catalog'!$C$60,((D777+E777)*C777-G777)*'Assumptions and Catalog'!$H$60+'Assumptions and Catalog'!$E$60+'Assumptions and Catalog'!$F$60,IF(((D777+E777)*C777-G777)&lt;='Assumptions and Catalog'!$C$61,((D777+E777)*C777-G777)*'Assumptions and Catalog'!$H$61+'Assumptions and Catalog'!$E$61+'Assumptions and Catalog'!$F$61,IF(((D777+E777)*C777-G777)&lt;='Assumptions and Catalog'!$C$62,((D777+E777)*C777-G777)*'Assumptions and Catalog'!$H$62+'Assumptions and Catalog'!$E$62+'Assumptions and Catalog'!$F$62,IF(((D777+E777)*C777-G777)&lt;='Assumptions and Catalog'!$C$63,((D777+E777)*C777-G777)*'Assumptions and Catalog'!$H$63+'Assumptions and Catalog'!$E$63+'Assumptions and Catalog'!$F$63,IF(((D777+E777)*C777-G777)&lt;='Assumptions and Catalog'!$C$64,((D777+E777)*C777-G777)*'Assumptions and Catalog'!$H$64+'Assumptions and Catalog'!$E$64+'Assumptions and Catalog'!$F$64,IF(((D777+E777)*C777-G777)&lt;='Assumptions and Catalog'!$C$65,((D777+E777)*C777-G777)*'Assumptions and Catalog'!$H$65+'Assumptions and Catalog'!$E$65+'Assumptions and Catalog'!$F$65,"Out of range")))))))))*(1+'Assumptions and Catalog'!$C$8)^(A777-1),0)</f>
        <v>3453.61</v>
      </c>
      <c r="R777" s="5" t="n">
        <f>IF(AND('Assumptions and Catalog'!$C$19&gt;0,A777&gt;='Assumptions and Catalog'!$C$19),A777-'Assumptions and Catalog'!$C$19,A777-1)</f>
        <v>9</v>
      </c>
      <c r="S777" s="5" t="n">
        <f>F777+L777-(D777+E777)*C777-J777-K777-IF(E$52&gt;0,'Assumptions and Catalog'!$C$26*C777,0)</f>
        <v>-2.55795384873636E-013</v>
      </c>
      <c r="T777" s="5"/>
      <c r="U777" s="5"/>
    </row>
    <row r="778" ht="23.100000381469727" customHeight="1">
      <c r="A778" s="5" t="n">
        <v>10</v>
      </c>
      <c r="B778" s="5" t="n">
        <v>10</v>
      </c>
      <c r="C778" s="5" t="n">
        <f>DAY(DATE('Assumptions and Catalog'!$C$24+A778-1,B778+1,0))</f>
        <v>31</v>
      </c>
      <c r="D778" s="5" t="n">
        <f>IF(ISNUMBER(Inputs!$L$5),Inputs!$L$5*Inputs!$L$6,0)</f>
        <v>40.35</v>
      </c>
      <c r="E778" s="5" t="n">
        <f>IF(ISNUMBER(Inputs!$L$5),Inputs!$L$5-D778,0)</f>
        <v>40.35</v>
      </c>
      <c r="F778" s="5" t="n">
        <f>E$51*INDEX('Solar Production'!$D$20:$D$31,B778)*C778*(1-'Assumptions and Catalog'!$C$10)^(A778-1)</f>
        <v>1624.84978197953</v>
      </c>
      <c r="G778" s="5" t="n">
        <f>MIN(F778,D778*C778)</f>
        <v>1250.85</v>
      </c>
      <c r="H778" s="5" t="n">
        <f>I778/('Assumptions and Catalog'!$C$11*'Assumptions and Catalog'!$C$12)</f>
        <v>271.451168831379</v>
      </c>
      <c r="I778" s="5" t="n">
        <f>MIN(E778*C778,P778*'Assumptions and Catalog'!$C$12*C778,(F778-G778)*'Assumptions and Catalog'!$C$11*'Assumptions and Catalog'!$C$12,E$56*'Assumptions and Catalog'!$C$14*'Assumptions and Catalog'!$C$11*'Assumptions and Catalog'!$C$12*C778,E$57*(24-'Assumptions and Catalog'!$C$13)*C778)</f>
        <v>258.04826737033</v>
      </c>
      <c r="J778" s="5" t="n">
        <f>MAX(F778-G778-H778,0)</f>
        <v>102.548613148151</v>
      </c>
      <c r="K778" s="5" t="n">
        <f>H778-I778</f>
        <v>13.4029014610493</v>
      </c>
      <c r="L778" s="5" t="n">
        <f>(D778+E778)*C778-G778-I778+0+IF(E$52&gt;0,'Assumptions and Catalog'!$C$26*C778,0)</f>
        <v>992.80173262967</v>
      </c>
      <c r="M778" s="5" t="n">
        <f>IF(ISNUMBER(Inputs!$L$5),(IF(Inputs!$L$9="Actual flat rate",((D778+E778)*C778)*Inputs!$L$10,IF(Inputs!$C$9="Residential",IF(((D778+E778)*C778)&lt;='Assumptions and Catalog'!$C$50,((D778+E778)*C778)*'Assumptions and Catalog'!$H$50+'Assumptions and Catalog'!$E$50+'Assumptions and Catalog'!$F$50,IF(((D778+E778)*C778)&lt;='Assumptions and Catalog'!$C$51,((D778+E778)*C778)*'Assumptions and Catalog'!$H$51+'Assumptions and Catalog'!$E$51+'Assumptions and Catalog'!$F$51,IF(((D778+E778)*C778)&lt;='Assumptions and Catalog'!$C$52,((D778+E778)*C778)*'Assumptions and Catalog'!$H$52+'Assumptions and Catalog'!$E$52+'Assumptions and Catalog'!$F$52,IF(((D778+E778)*C778)&lt;='Assumptions and Catalog'!$C$53,((D778+E778)*C778)*'Assumptions and Catalog'!$H$53+'Assumptions and Catalog'!$E$53+'Assumptions and Catalog'!$F$53,IF(((D778+E778)*C778)&lt;='Assumptions and Catalog'!$C$54,((D778+E778)*C778)*'Assumptions and Catalog'!$H$54+'Assumptions and Catalog'!$E$54+'Assumptions and Catalog'!$F$54,IF(((D778+E778)*C778)&lt;='Assumptions and Catalog'!$C$55,((D778+E778)*C778)*'Assumptions and Catalog'!$H$55+'Assumptions and Catalog'!$E$55+'Assumptions and Catalog'!$F$55,IF(((D778+E778)*C778)&lt;='Assumptions and Catalog'!$C$56,((D778+E778)*C778)*'Assumptions and Catalog'!$H$56+'Assumptions and Catalog'!$E$56+'Assumptions and Catalog'!$F$56,IF(((D778+E778)*C778)&lt;='Assumptions and Catalog'!$C$57,((D778+E778)*C778)*'Assumptions and Catalog'!$H$57+'Assumptions and Catalog'!$E$57+'Assumptions and Catalog'!$F$57,"Out of range")))))))),IF(((D778+E778)*C778)&lt;='Assumptions and Catalog'!$C$60,((D778+E778)*C778)*'Assumptions and Catalog'!$H$60+'Assumptions and Catalog'!$E$60+'Assumptions and Catalog'!$F$60,IF(((D778+E778)*C778)&lt;='Assumptions and Catalog'!$C$61,((D778+E778)*C778)*'Assumptions and Catalog'!$H$61+'Assumptions and Catalog'!$E$61+'Assumptions and Catalog'!$F$61,IF(((D778+E778)*C778)&lt;='Assumptions and Catalog'!$C$62,((D778+E778)*C778)*'Assumptions and Catalog'!$H$62+'Assumptions and Catalog'!$E$62+'Assumptions and Catalog'!$F$62,IF(((D778+E778)*C778)&lt;='Assumptions and Catalog'!$C$63,((D778+E778)*C778)*'Assumptions and Catalog'!$H$63+'Assumptions and Catalog'!$E$63+'Assumptions and Catalog'!$F$63,IF(((D778+E778)*C778)&lt;='Assumptions and Catalog'!$C$64,((D778+E778)*C778)*'Assumptions and Catalog'!$H$64+'Assumptions and Catalog'!$E$64+'Assumptions and Catalog'!$F$64,IF(((D778+E778)*C778)&lt;='Assumptions and Catalog'!$C$65,((D778+E778)*C778)*'Assumptions and Catalog'!$H$65+'Assumptions and Catalog'!$E$65+'Assumptions and Catalog'!$F$65,"Out of range")))))))))*(1+'Assumptions and Catalog'!$C$8)^(A778-1),0)</f>
        <v>7094.794</v>
      </c>
      <c r="N778" s="5" t="n">
        <f>IF(ISNUMBER(Inputs!$L$5),(IF(Inputs!$L$9="Actual flat rate",L778*Inputs!$L$10,IF(Inputs!$C$9="Residential",IF(L778&lt;='Assumptions and Catalog'!$C$50,L778*'Assumptions and Catalog'!$H$50+'Assumptions and Catalog'!$E$50+'Assumptions and Catalog'!$F$50,IF(L778&lt;='Assumptions and Catalog'!$C$51,L778*'Assumptions and Catalog'!$H$51+'Assumptions and Catalog'!$E$51+'Assumptions and Catalog'!$F$51,IF(L778&lt;='Assumptions and Catalog'!$C$52,L778*'Assumptions and Catalog'!$H$52+'Assumptions and Catalog'!$E$52+'Assumptions and Catalog'!$F$52,IF(L778&lt;='Assumptions and Catalog'!$C$53,L778*'Assumptions and Catalog'!$H$53+'Assumptions and Catalog'!$E$53+'Assumptions and Catalog'!$F$53,IF(L778&lt;='Assumptions and Catalog'!$C$54,L778*'Assumptions and Catalog'!$H$54+'Assumptions and Catalog'!$E$54+'Assumptions and Catalog'!$F$54,IF(L778&lt;='Assumptions and Catalog'!$C$55,L778*'Assumptions and Catalog'!$H$55+'Assumptions and Catalog'!$E$55+'Assumptions and Catalog'!$F$55,IF(L778&lt;='Assumptions and Catalog'!$C$56,L778*'Assumptions and Catalog'!$H$56+'Assumptions and Catalog'!$E$56+'Assumptions and Catalog'!$F$56,IF(L778&lt;='Assumptions and Catalog'!$C$57,L778*'Assumptions and Catalog'!$H$57+'Assumptions and Catalog'!$E$57+'Assumptions and Catalog'!$F$57,"Out of range")))))))),IF(L778&lt;='Assumptions and Catalog'!$C$60,L778*'Assumptions and Catalog'!$H$60+'Assumptions and Catalog'!$E$60+'Assumptions and Catalog'!$F$60,IF(L778&lt;='Assumptions and Catalog'!$C$61,L778*'Assumptions and Catalog'!$H$61+'Assumptions and Catalog'!$E$61+'Assumptions and Catalog'!$F$61,IF(L778&lt;='Assumptions and Catalog'!$C$62,L778*'Assumptions and Catalog'!$H$62+'Assumptions and Catalog'!$E$62+'Assumptions and Catalog'!$F$62,IF(L778&lt;='Assumptions and Catalog'!$C$63,L778*'Assumptions and Catalog'!$H$63+'Assumptions and Catalog'!$E$63+'Assumptions and Catalog'!$F$63,IF(L778&lt;='Assumptions and Catalog'!$C$64,L778*'Assumptions and Catalog'!$H$64+'Assumptions and Catalog'!$E$64+'Assumptions and Catalog'!$F$64,IF(L778&lt;='Assumptions and Catalog'!$C$65,L778*'Assumptions and Catalog'!$H$65+'Assumptions and Catalog'!$E$65+'Assumptions and Catalog'!$F$65,"Out of range")))))))))*(1+'Assumptions and Catalog'!$C$8)^(A778-1),0)</f>
        <v>2715.06079938419</v>
      </c>
      <c r="O778" s="5" t="n">
        <f>M778-N778</f>
        <v>4379.73320061581</v>
      </c>
      <c r="P778" s="5" t="n">
        <f>E$55*(1-L$14)*(1-'Assumptions and Catalog'!$C$23)^R778</f>
        <v>8.53757708421274</v>
      </c>
      <c r="Q778" s="5" t="n">
        <f>IF(ISNUMBER(Inputs!$L$5),(IF(Inputs!$L$9="Actual flat rate",((D778+E778)*C778-G778)*Inputs!$L$10,IF(Inputs!$C$9="Residential",IF(((D778+E778)*C778-G778)&lt;='Assumptions and Catalog'!$C$50,((D778+E778)*C778-G778)*'Assumptions and Catalog'!$H$50+'Assumptions and Catalog'!$E$50+'Assumptions and Catalog'!$F$50,IF(((D778+E778)*C778-G778)&lt;='Assumptions and Catalog'!$C$51,((D778+E778)*C778-G778)*'Assumptions and Catalog'!$H$51+'Assumptions and Catalog'!$E$51+'Assumptions and Catalog'!$F$51,IF(((D778+E778)*C778-G778)&lt;='Assumptions and Catalog'!$C$52,((D778+E778)*C778-G778)*'Assumptions and Catalog'!$H$52+'Assumptions and Catalog'!$E$52+'Assumptions and Catalog'!$F$52,IF(((D778+E778)*C778-G778)&lt;='Assumptions and Catalog'!$C$53,((D778+E778)*C778-G778)*'Assumptions and Catalog'!$H$53+'Assumptions and Catalog'!$E$53+'Assumptions and Catalog'!$F$53,IF(((D778+E778)*C778-G778)&lt;='Assumptions and Catalog'!$C$54,((D778+E778)*C778-G778)*'Assumptions and Catalog'!$H$54+'Assumptions and Catalog'!$E$54+'Assumptions and Catalog'!$F$54,IF(((D778+E778)*C778-G778)&lt;='Assumptions and Catalog'!$C$55,((D778+E778)*C778-G778)*'Assumptions and Catalog'!$H$55+'Assumptions and Catalog'!$E$55+'Assumptions and Catalog'!$F$55,IF(((D778+E778)*C778-G778)&lt;='Assumptions and Catalog'!$C$56,((D778+E778)*C778-G778)*'Assumptions and Catalog'!$H$56+'Assumptions and Catalog'!$E$56+'Assumptions and Catalog'!$F$56,IF(((D778+E778)*C778-G778)&lt;='Assumptions and Catalog'!$C$57,((D778+E778)*C778-G778)*'Assumptions and Catalog'!$H$57+'Assumptions and Catalog'!$E$57+'Assumptions and Catalog'!$F$57,"Out of range")))))))),IF(((D778+E778)*C778-G778)&lt;='Assumptions and Catalog'!$C$60,((D778+E778)*C778-G778)*'Assumptions and Catalog'!$H$60+'Assumptions and Catalog'!$E$60+'Assumptions and Catalog'!$F$60,IF(((D778+E778)*C778-G778)&lt;='Assumptions and Catalog'!$C$61,((D778+E778)*C778-G778)*'Assumptions and Catalog'!$H$61+'Assumptions and Catalog'!$E$61+'Assumptions and Catalog'!$F$61,IF(((D778+E778)*C778-G778)&lt;='Assumptions and Catalog'!$C$62,((D778+E778)*C778-G778)*'Assumptions and Catalog'!$H$62+'Assumptions and Catalog'!$E$62+'Assumptions and Catalog'!$F$62,IF(((D778+E778)*C778-G778)&lt;='Assumptions and Catalog'!$C$63,((D778+E778)*C778-G778)*'Assumptions and Catalog'!$H$63+'Assumptions and Catalog'!$E$63+'Assumptions and Catalog'!$F$63,IF(((D778+E778)*C778-G778)&lt;='Assumptions and Catalog'!$C$64,((D778+E778)*C778-G778)*'Assumptions and Catalog'!$H$64+'Assumptions and Catalog'!$E$64+'Assumptions and Catalog'!$F$64,IF(((D778+E778)*C778-G778)&lt;='Assumptions and Catalog'!$C$65,((D778+E778)*C778-G778)*'Assumptions and Catalog'!$H$65+'Assumptions and Catalog'!$E$65+'Assumptions and Catalog'!$F$65,"Out of range")))))))))*(1+'Assumptions and Catalog'!$C$8)^(A778-1),0)</f>
        <v>3567.397</v>
      </c>
      <c r="R778" s="5" t="n">
        <f>IF(AND('Assumptions and Catalog'!$C$19&gt;0,A778&gt;='Assumptions and Catalog'!$C$19),A778-'Assumptions and Catalog'!$C$19,A778-1)</f>
        <v>9</v>
      </c>
      <c r="S778" s="5" t="n">
        <f>F778+L778-(D778+E778)*C778-J778-K778-IF(E$52&gt;0,'Assumptions and Catalog'!$C$26*C778,0)</f>
        <v>1.13686837721616E-013</v>
      </c>
      <c r="T778" s="5"/>
      <c r="U778" s="5"/>
    </row>
    <row r="779" ht="23.100000381469727" customHeight="1">
      <c r="A779" s="5" t="n">
        <v>10</v>
      </c>
      <c r="B779" s="5" t="n">
        <v>11</v>
      </c>
      <c r="C779" s="5" t="n">
        <f>DAY(DATE('Assumptions and Catalog'!$C$24+A779-1,B779+1,0))</f>
        <v>30</v>
      </c>
      <c r="D779" s="5" t="n">
        <f>IF(ISNUMBER(Inputs!$L$5),Inputs!$L$5*Inputs!$L$6,0)</f>
        <v>40.35</v>
      </c>
      <c r="E779" s="5" t="n">
        <f>IF(ISNUMBER(Inputs!$L$5),Inputs!$L$5-D779,0)</f>
        <v>40.35</v>
      </c>
      <c r="F779" s="5" t="n">
        <f>E$51*INDEX('Solar Production'!$D$20:$D$31,B779)*C779*(1-'Assumptions and Catalog'!$C$10)^(A779-1)</f>
        <v>1440.21015102398</v>
      </c>
      <c r="G779" s="5" t="n">
        <f>MIN(F779,D779*C779)</f>
        <v>1210.5</v>
      </c>
      <c r="H779" s="5" t="n">
        <f>I779/('Assumptions and Catalog'!$C$11*'Assumptions and Catalog'!$C$12)</f>
        <v>229.710151023985</v>
      </c>
      <c r="I779" s="5" t="n">
        <f>MIN(E779*C779,P779*'Assumptions and Catalog'!$C$12*C779,(F779-G779)*'Assumptions and Catalog'!$C$11*'Assumptions and Catalog'!$C$12,E$56*'Assumptions and Catalog'!$C$14*'Assumptions and Catalog'!$C$11*'Assumptions and Catalog'!$C$12*C779,E$57*(24-'Assumptions and Catalog'!$C$13)*C779)</f>
        <v>218.368212317175</v>
      </c>
      <c r="J779" s="5" t="n">
        <f>MAX(F779-G779-H779,0)</f>
        <v>0</v>
      </c>
      <c r="K779" s="5" t="n">
        <f>H779-I779</f>
        <v>11.3419387068093</v>
      </c>
      <c r="L779" s="5" t="n">
        <f>(D779+E779)*C779-G779-I779+0+IF(E$52&gt;0,'Assumptions and Catalog'!$C$26*C779,0)</f>
        <v>992.131787682825</v>
      </c>
      <c r="M779" s="5" t="n">
        <f>IF(ISNUMBER(Inputs!$L$5),(IF(Inputs!$L$9="Actual flat rate",((D779+E779)*C779)*Inputs!$L$10,IF(Inputs!$C$9="Residential",IF(((D779+E779)*C779)&lt;='Assumptions and Catalog'!$C$50,((D779+E779)*C779)*'Assumptions and Catalog'!$H$50+'Assumptions and Catalog'!$E$50+'Assumptions and Catalog'!$F$50,IF(((D779+E779)*C779)&lt;='Assumptions and Catalog'!$C$51,((D779+E779)*C779)*'Assumptions and Catalog'!$H$51+'Assumptions and Catalog'!$E$51+'Assumptions and Catalog'!$F$51,IF(((D779+E779)*C779)&lt;='Assumptions and Catalog'!$C$52,((D779+E779)*C779)*'Assumptions and Catalog'!$H$52+'Assumptions and Catalog'!$E$52+'Assumptions and Catalog'!$F$52,IF(((D779+E779)*C779)&lt;='Assumptions and Catalog'!$C$53,((D779+E779)*C779)*'Assumptions and Catalog'!$H$53+'Assumptions and Catalog'!$E$53+'Assumptions and Catalog'!$F$53,IF(((D779+E779)*C779)&lt;='Assumptions and Catalog'!$C$54,((D779+E779)*C779)*'Assumptions and Catalog'!$H$54+'Assumptions and Catalog'!$E$54+'Assumptions and Catalog'!$F$54,IF(((D779+E779)*C779)&lt;='Assumptions and Catalog'!$C$55,((D779+E779)*C779)*'Assumptions and Catalog'!$H$55+'Assumptions and Catalog'!$E$55+'Assumptions and Catalog'!$F$55,IF(((D779+E779)*C779)&lt;='Assumptions and Catalog'!$C$56,((D779+E779)*C779)*'Assumptions and Catalog'!$H$56+'Assumptions and Catalog'!$E$56+'Assumptions and Catalog'!$F$56,IF(((D779+E779)*C779)&lt;='Assumptions and Catalog'!$C$57,((D779+E779)*C779)*'Assumptions and Catalog'!$H$57+'Assumptions and Catalog'!$E$57+'Assumptions and Catalog'!$F$57,"Out of range")))))))),IF(((D779+E779)*C779)&lt;='Assumptions and Catalog'!$C$60,((D779+E779)*C779)*'Assumptions and Catalog'!$H$60+'Assumptions and Catalog'!$E$60+'Assumptions and Catalog'!$F$60,IF(((D779+E779)*C779)&lt;='Assumptions and Catalog'!$C$61,((D779+E779)*C779)*'Assumptions and Catalog'!$H$61+'Assumptions and Catalog'!$E$61+'Assumptions and Catalog'!$F$61,IF(((D779+E779)*C779)&lt;='Assumptions and Catalog'!$C$62,((D779+E779)*C779)*'Assumptions and Catalog'!$H$62+'Assumptions and Catalog'!$E$62+'Assumptions and Catalog'!$F$62,IF(((D779+E779)*C779)&lt;='Assumptions and Catalog'!$C$63,((D779+E779)*C779)*'Assumptions and Catalog'!$H$63+'Assumptions and Catalog'!$E$63+'Assumptions and Catalog'!$F$63,IF(((D779+E779)*C779)&lt;='Assumptions and Catalog'!$C$64,((D779+E779)*C779)*'Assumptions and Catalog'!$H$64+'Assumptions and Catalog'!$E$64+'Assumptions and Catalog'!$F$64,IF(((D779+E779)*C779)&lt;='Assumptions and Catalog'!$C$65,((D779+E779)*C779)*'Assumptions and Catalog'!$H$65+'Assumptions and Catalog'!$E$65+'Assumptions and Catalog'!$F$65,"Out of range")))))))))*(1+'Assumptions and Catalog'!$C$8)^(A779-1),0)</f>
        <v>6867.22</v>
      </c>
      <c r="N779" s="5" t="n">
        <f>IF(ISNUMBER(Inputs!$L$5),(IF(Inputs!$L$9="Actual flat rate",L779*Inputs!$L$10,IF(Inputs!$C$9="Residential",IF(L779&lt;='Assumptions and Catalog'!$C$50,L779*'Assumptions and Catalog'!$H$50+'Assumptions and Catalog'!$E$50+'Assumptions and Catalog'!$F$50,IF(L779&lt;='Assumptions and Catalog'!$C$51,L779*'Assumptions and Catalog'!$H$51+'Assumptions and Catalog'!$E$51+'Assumptions and Catalog'!$F$51,IF(L779&lt;='Assumptions and Catalog'!$C$52,L779*'Assumptions and Catalog'!$H$52+'Assumptions and Catalog'!$E$52+'Assumptions and Catalog'!$F$52,IF(L779&lt;='Assumptions and Catalog'!$C$53,L779*'Assumptions and Catalog'!$H$53+'Assumptions and Catalog'!$E$53+'Assumptions and Catalog'!$F$53,IF(L779&lt;='Assumptions and Catalog'!$C$54,L779*'Assumptions and Catalog'!$H$54+'Assumptions and Catalog'!$E$54+'Assumptions and Catalog'!$F$54,IF(L779&lt;='Assumptions and Catalog'!$C$55,L779*'Assumptions and Catalog'!$H$55+'Assumptions and Catalog'!$E$55+'Assumptions and Catalog'!$F$55,IF(L779&lt;='Assumptions and Catalog'!$C$56,L779*'Assumptions and Catalog'!$H$56+'Assumptions and Catalog'!$E$56+'Assumptions and Catalog'!$F$56,IF(L779&lt;='Assumptions and Catalog'!$C$57,L779*'Assumptions and Catalog'!$H$57+'Assumptions and Catalog'!$E$57+'Assumptions and Catalog'!$F$57,"Out of range")))))))),IF(L779&lt;='Assumptions and Catalog'!$C$60,L779*'Assumptions and Catalog'!$H$60+'Assumptions and Catalog'!$E$60+'Assumptions and Catalog'!$F$60,IF(L779&lt;='Assumptions and Catalog'!$C$61,L779*'Assumptions and Catalog'!$H$61+'Assumptions and Catalog'!$E$61+'Assumptions and Catalog'!$F$61,IF(L779&lt;='Assumptions and Catalog'!$C$62,L779*'Assumptions and Catalog'!$H$62+'Assumptions and Catalog'!$E$62+'Assumptions and Catalog'!$F$62,IF(L779&lt;='Assumptions and Catalog'!$C$63,L779*'Assumptions and Catalog'!$H$63+'Assumptions and Catalog'!$E$63+'Assumptions and Catalog'!$F$63,IF(L779&lt;='Assumptions and Catalog'!$C$64,L779*'Assumptions and Catalog'!$H$64+'Assumptions and Catalog'!$E$64+'Assumptions and Catalog'!$F$64,IF(L779&lt;='Assumptions and Catalog'!$C$65,L779*'Assumptions and Catalog'!$H$65+'Assumptions and Catalog'!$E$65+'Assumptions and Catalog'!$F$65,"Out of range")))))))))*(1+'Assumptions and Catalog'!$C$8)^(A779-1),0)</f>
        <v>2713.20505188143</v>
      </c>
      <c r="O779" s="5" t="n">
        <f>M779-N779</f>
        <v>4154.01494811857</v>
      </c>
      <c r="P779" s="5" t="n">
        <f>E$55*(1-L$14)*(1-'Assumptions and Catalog'!$C$23)^R779</f>
        <v>8.53757708421274</v>
      </c>
      <c r="Q779" s="5" t="n">
        <f>IF(ISNUMBER(Inputs!$L$5),(IF(Inputs!$L$9="Actual flat rate",((D779+E779)*C779-G779)*Inputs!$L$10,IF(Inputs!$C$9="Residential",IF(((D779+E779)*C779-G779)&lt;='Assumptions and Catalog'!$C$50,((D779+E779)*C779-G779)*'Assumptions and Catalog'!$H$50+'Assumptions and Catalog'!$E$50+'Assumptions and Catalog'!$F$50,IF(((D779+E779)*C779-G779)&lt;='Assumptions and Catalog'!$C$51,((D779+E779)*C779-G779)*'Assumptions and Catalog'!$H$51+'Assumptions and Catalog'!$E$51+'Assumptions and Catalog'!$F$51,IF(((D779+E779)*C779-G779)&lt;='Assumptions and Catalog'!$C$52,((D779+E779)*C779-G779)*'Assumptions and Catalog'!$H$52+'Assumptions and Catalog'!$E$52+'Assumptions and Catalog'!$F$52,IF(((D779+E779)*C779-G779)&lt;='Assumptions and Catalog'!$C$53,((D779+E779)*C779-G779)*'Assumptions and Catalog'!$H$53+'Assumptions and Catalog'!$E$53+'Assumptions and Catalog'!$F$53,IF(((D779+E779)*C779-G779)&lt;='Assumptions and Catalog'!$C$54,((D779+E779)*C779-G779)*'Assumptions and Catalog'!$H$54+'Assumptions and Catalog'!$E$54+'Assumptions and Catalog'!$F$54,IF(((D779+E779)*C779-G779)&lt;='Assumptions and Catalog'!$C$55,((D779+E779)*C779-G779)*'Assumptions and Catalog'!$H$55+'Assumptions and Catalog'!$E$55+'Assumptions and Catalog'!$F$55,IF(((D779+E779)*C779-G779)&lt;='Assumptions and Catalog'!$C$56,((D779+E779)*C779-G779)*'Assumptions and Catalog'!$H$56+'Assumptions and Catalog'!$E$56+'Assumptions and Catalog'!$F$56,IF(((D779+E779)*C779-G779)&lt;='Assumptions and Catalog'!$C$57,((D779+E779)*C779-G779)*'Assumptions and Catalog'!$H$57+'Assumptions and Catalog'!$E$57+'Assumptions and Catalog'!$F$57,"Out of range")))))))),IF(((D779+E779)*C779-G779)&lt;='Assumptions and Catalog'!$C$60,((D779+E779)*C779-G779)*'Assumptions and Catalog'!$H$60+'Assumptions and Catalog'!$E$60+'Assumptions and Catalog'!$F$60,IF(((D779+E779)*C779-G779)&lt;='Assumptions and Catalog'!$C$61,((D779+E779)*C779-G779)*'Assumptions and Catalog'!$H$61+'Assumptions and Catalog'!$E$61+'Assumptions and Catalog'!$F$61,IF(((D779+E779)*C779-G779)&lt;='Assumptions and Catalog'!$C$62,((D779+E779)*C779-G779)*'Assumptions and Catalog'!$H$62+'Assumptions and Catalog'!$E$62+'Assumptions and Catalog'!$F$62,IF(((D779+E779)*C779-G779)&lt;='Assumptions and Catalog'!$C$63,((D779+E779)*C779-G779)*'Assumptions and Catalog'!$H$63+'Assumptions and Catalog'!$E$63+'Assumptions and Catalog'!$F$63,IF(((D779+E779)*C779-G779)&lt;='Assumptions and Catalog'!$C$64,((D779+E779)*C779-G779)*'Assumptions and Catalog'!$H$64+'Assumptions and Catalog'!$E$64+'Assumptions and Catalog'!$F$64,IF(((D779+E779)*C779-G779)&lt;='Assumptions and Catalog'!$C$65,((D779+E779)*C779-G779)*'Assumptions and Catalog'!$H$65+'Assumptions and Catalog'!$E$65+'Assumptions and Catalog'!$F$65,"Out of range")))))))))*(1+'Assumptions and Catalog'!$C$8)^(A779-1),0)</f>
        <v>3453.61</v>
      </c>
      <c r="R779" s="5" t="n">
        <f>IF(AND('Assumptions and Catalog'!$C$19&gt;0,A779&gt;='Assumptions and Catalog'!$C$19),A779-'Assumptions and Catalog'!$C$19,A779-1)</f>
        <v>9</v>
      </c>
      <c r="S779" s="5" t="n">
        <f>F779+L779-(D779+E779)*C779-J779-K779-IF(E$52&gt;0,'Assumptions and Catalog'!$C$26*C779,0)</f>
        <v>0</v>
      </c>
      <c r="T779" s="5"/>
      <c r="U779" s="5"/>
    </row>
    <row r="780" ht="23.100000381469727" customHeight="1">
      <c r="A780" s="5" t="n">
        <v>10</v>
      </c>
      <c r="B780" s="5" t="n">
        <v>12</v>
      </c>
      <c r="C780" s="5" t="n">
        <f>DAY(DATE('Assumptions and Catalog'!$C$24+A780-1,B780+1,0))</f>
        <v>31</v>
      </c>
      <c r="D780" s="5" t="n">
        <f>IF(ISNUMBER(Inputs!$L$5),Inputs!$L$5*Inputs!$L$6,0)</f>
        <v>40.35</v>
      </c>
      <c r="E780" s="5" t="n">
        <f>IF(ISNUMBER(Inputs!$L$5),Inputs!$L$5-D780,0)</f>
        <v>40.35</v>
      </c>
      <c r="F780" s="5" t="n">
        <f>E$51*INDEX('Solar Production'!$D$20:$D$31,B780)*C780*(1-'Assumptions and Catalog'!$C$10)^(A780-1)</f>
        <v>1371.12801119608</v>
      </c>
      <c r="G780" s="5" t="n">
        <f>MIN(F780,D780*C780)</f>
        <v>1250.85</v>
      </c>
      <c r="H780" s="5" t="n">
        <f>I780/('Assumptions and Catalog'!$C$11*'Assumptions and Catalog'!$C$12)</f>
        <v>120.278011196084</v>
      </c>
      <c r="I780" s="5" t="n">
        <f>MIN(E780*C780,P780*'Assumptions and Catalog'!$C$12*C780,(F780-G780)*'Assumptions and Catalog'!$C$11*'Assumptions and Catalog'!$C$12,E$56*'Assumptions and Catalog'!$C$14*'Assumptions and Catalog'!$C$11*'Assumptions and Catalog'!$C$12*C780,E$57*(24-'Assumptions and Catalog'!$C$13)*C780)</f>
        <v>114.339284393277</v>
      </c>
      <c r="J780" s="5" t="n">
        <f>MAX(F780-G780-H780,0)</f>
        <v>0</v>
      </c>
      <c r="K780" s="5" t="n">
        <f>H780-I780</f>
        <v>5.93872680280664</v>
      </c>
      <c r="L780" s="5" t="n">
        <f>(D780+E780)*C780-G780-I780+0+IF(E$52&gt;0,'Assumptions and Catalog'!$C$26*C780,0)</f>
        <v>1136.51071560672</v>
      </c>
      <c r="M780" s="5" t="n">
        <f>IF(ISNUMBER(Inputs!$L$5),(IF(Inputs!$L$9="Actual flat rate",((D780+E780)*C780)*Inputs!$L$10,IF(Inputs!$C$9="Residential",IF(((D780+E780)*C780)&lt;='Assumptions and Catalog'!$C$50,((D780+E780)*C780)*'Assumptions and Catalog'!$H$50+'Assumptions and Catalog'!$E$50+'Assumptions and Catalog'!$F$50,IF(((D780+E780)*C780)&lt;='Assumptions and Catalog'!$C$51,((D780+E780)*C780)*'Assumptions and Catalog'!$H$51+'Assumptions and Catalog'!$E$51+'Assumptions and Catalog'!$F$51,IF(((D780+E780)*C780)&lt;='Assumptions and Catalog'!$C$52,((D780+E780)*C780)*'Assumptions and Catalog'!$H$52+'Assumptions and Catalog'!$E$52+'Assumptions and Catalog'!$F$52,IF(((D780+E780)*C780)&lt;='Assumptions and Catalog'!$C$53,((D780+E780)*C780)*'Assumptions and Catalog'!$H$53+'Assumptions and Catalog'!$E$53+'Assumptions and Catalog'!$F$53,IF(((D780+E780)*C780)&lt;='Assumptions and Catalog'!$C$54,((D780+E780)*C780)*'Assumptions and Catalog'!$H$54+'Assumptions and Catalog'!$E$54+'Assumptions and Catalog'!$F$54,IF(((D780+E780)*C780)&lt;='Assumptions and Catalog'!$C$55,((D780+E780)*C780)*'Assumptions and Catalog'!$H$55+'Assumptions and Catalog'!$E$55+'Assumptions and Catalog'!$F$55,IF(((D780+E780)*C780)&lt;='Assumptions and Catalog'!$C$56,((D780+E780)*C780)*'Assumptions and Catalog'!$H$56+'Assumptions and Catalog'!$E$56+'Assumptions and Catalog'!$F$56,IF(((D780+E780)*C780)&lt;='Assumptions and Catalog'!$C$57,((D780+E780)*C780)*'Assumptions and Catalog'!$H$57+'Assumptions and Catalog'!$E$57+'Assumptions and Catalog'!$F$57,"Out of range")))))))),IF(((D780+E780)*C780)&lt;='Assumptions and Catalog'!$C$60,((D780+E780)*C780)*'Assumptions and Catalog'!$H$60+'Assumptions and Catalog'!$E$60+'Assumptions and Catalog'!$F$60,IF(((D780+E780)*C780)&lt;='Assumptions and Catalog'!$C$61,((D780+E780)*C780)*'Assumptions and Catalog'!$H$61+'Assumptions and Catalog'!$E$61+'Assumptions and Catalog'!$F$61,IF(((D780+E780)*C780)&lt;='Assumptions and Catalog'!$C$62,((D780+E780)*C780)*'Assumptions and Catalog'!$H$62+'Assumptions and Catalog'!$E$62+'Assumptions and Catalog'!$F$62,IF(((D780+E780)*C780)&lt;='Assumptions and Catalog'!$C$63,((D780+E780)*C780)*'Assumptions and Catalog'!$H$63+'Assumptions and Catalog'!$E$63+'Assumptions and Catalog'!$F$63,IF(((D780+E780)*C780)&lt;='Assumptions and Catalog'!$C$64,((D780+E780)*C780)*'Assumptions and Catalog'!$H$64+'Assumptions and Catalog'!$E$64+'Assumptions and Catalog'!$F$64,IF(((D780+E780)*C780)&lt;='Assumptions and Catalog'!$C$65,((D780+E780)*C780)*'Assumptions and Catalog'!$H$65+'Assumptions and Catalog'!$E$65+'Assumptions and Catalog'!$F$65,"Out of range")))))))))*(1+'Assumptions and Catalog'!$C$8)^(A780-1),0)</f>
        <v>7094.794</v>
      </c>
      <c r="N780" s="5" t="n">
        <f>IF(ISNUMBER(Inputs!$L$5),(IF(Inputs!$L$9="Actual flat rate",L780*Inputs!$L$10,IF(Inputs!$C$9="Residential",IF(L780&lt;='Assumptions and Catalog'!$C$50,L780*'Assumptions and Catalog'!$H$50+'Assumptions and Catalog'!$E$50+'Assumptions and Catalog'!$F$50,IF(L780&lt;='Assumptions and Catalog'!$C$51,L780*'Assumptions and Catalog'!$H$51+'Assumptions and Catalog'!$E$51+'Assumptions and Catalog'!$F$51,IF(L780&lt;='Assumptions and Catalog'!$C$52,L780*'Assumptions and Catalog'!$H$52+'Assumptions and Catalog'!$E$52+'Assumptions and Catalog'!$F$52,IF(L780&lt;='Assumptions and Catalog'!$C$53,L780*'Assumptions and Catalog'!$H$53+'Assumptions and Catalog'!$E$53+'Assumptions and Catalog'!$F$53,IF(L780&lt;='Assumptions and Catalog'!$C$54,L780*'Assumptions and Catalog'!$H$54+'Assumptions and Catalog'!$E$54+'Assumptions and Catalog'!$F$54,IF(L780&lt;='Assumptions and Catalog'!$C$55,L780*'Assumptions and Catalog'!$H$55+'Assumptions and Catalog'!$E$55+'Assumptions and Catalog'!$F$55,IF(L780&lt;='Assumptions and Catalog'!$C$56,L780*'Assumptions and Catalog'!$H$56+'Assumptions and Catalog'!$E$56+'Assumptions and Catalog'!$F$56,IF(L780&lt;='Assumptions and Catalog'!$C$57,L780*'Assumptions and Catalog'!$H$57+'Assumptions and Catalog'!$E$57+'Assumptions and Catalog'!$F$57,"Out of range")))))))),IF(L780&lt;='Assumptions and Catalog'!$C$60,L780*'Assumptions and Catalog'!$H$60+'Assumptions and Catalog'!$E$60+'Assumptions and Catalog'!$F$60,IF(L780&lt;='Assumptions and Catalog'!$C$61,L780*'Assumptions and Catalog'!$H$61+'Assumptions and Catalog'!$E$61+'Assumptions and Catalog'!$F$61,IF(L780&lt;='Assumptions and Catalog'!$C$62,L780*'Assumptions and Catalog'!$H$62+'Assumptions and Catalog'!$E$62+'Assumptions and Catalog'!$F$62,IF(L780&lt;='Assumptions and Catalog'!$C$63,L780*'Assumptions and Catalog'!$H$63+'Assumptions and Catalog'!$E$63+'Assumptions and Catalog'!$F$63,IF(L780&lt;='Assumptions and Catalog'!$C$64,L780*'Assumptions and Catalog'!$H$64+'Assumptions and Catalog'!$E$64+'Assumptions and Catalog'!$F$64,IF(L780&lt;='Assumptions and Catalog'!$C$65,L780*'Assumptions and Catalog'!$H$65+'Assumptions and Catalog'!$E$65+'Assumptions and Catalog'!$F$65,"Out of range")))))))))*(1+'Assumptions and Catalog'!$C$8)^(A780-1),0)</f>
        <v>3244.96021801096</v>
      </c>
      <c r="O780" s="5" t="n">
        <f>M780-N780</f>
        <v>3849.83378198904</v>
      </c>
      <c r="P780" s="5" t="n">
        <f>E$55*(1-L$14)*(1-'Assumptions and Catalog'!$C$23)^R780</f>
        <v>8.53757708421274</v>
      </c>
      <c r="Q780" s="5" t="n">
        <f>IF(ISNUMBER(Inputs!$L$5),(IF(Inputs!$L$9="Actual flat rate",((D780+E780)*C780-G780)*Inputs!$L$10,IF(Inputs!$C$9="Residential",IF(((D780+E780)*C780-G780)&lt;='Assumptions and Catalog'!$C$50,((D780+E780)*C780-G780)*'Assumptions and Catalog'!$H$50+'Assumptions and Catalog'!$E$50+'Assumptions and Catalog'!$F$50,IF(((D780+E780)*C780-G780)&lt;='Assumptions and Catalog'!$C$51,((D780+E780)*C780-G780)*'Assumptions and Catalog'!$H$51+'Assumptions and Catalog'!$E$51+'Assumptions and Catalog'!$F$51,IF(((D780+E780)*C780-G780)&lt;='Assumptions and Catalog'!$C$52,((D780+E780)*C780-G780)*'Assumptions and Catalog'!$H$52+'Assumptions and Catalog'!$E$52+'Assumptions and Catalog'!$F$52,IF(((D780+E780)*C780-G780)&lt;='Assumptions and Catalog'!$C$53,((D780+E780)*C780-G780)*'Assumptions and Catalog'!$H$53+'Assumptions and Catalog'!$E$53+'Assumptions and Catalog'!$F$53,IF(((D780+E780)*C780-G780)&lt;='Assumptions and Catalog'!$C$54,((D780+E780)*C780-G780)*'Assumptions and Catalog'!$H$54+'Assumptions and Catalog'!$E$54+'Assumptions and Catalog'!$F$54,IF(((D780+E780)*C780-G780)&lt;='Assumptions and Catalog'!$C$55,((D780+E780)*C780-G780)*'Assumptions and Catalog'!$H$55+'Assumptions and Catalog'!$E$55+'Assumptions and Catalog'!$F$55,IF(((D780+E780)*C780-G780)&lt;='Assumptions and Catalog'!$C$56,((D780+E780)*C780-G780)*'Assumptions and Catalog'!$H$56+'Assumptions and Catalog'!$E$56+'Assumptions and Catalog'!$F$56,IF(((D780+E780)*C780-G780)&lt;='Assumptions and Catalog'!$C$57,((D780+E780)*C780-G780)*'Assumptions and Catalog'!$H$57+'Assumptions and Catalog'!$E$57+'Assumptions and Catalog'!$F$57,"Out of range")))))))),IF(((D780+E780)*C780-G780)&lt;='Assumptions and Catalog'!$C$60,((D780+E780)*C780-G780)*'Assumptions and Catalog'!$H$60+'Assumptions and Catalog'!$E$60+'Assumptions and Catalog'!$F$60,IF(((D780+E780)*C780-G780)&lt;='Assumptions and Catalog'!$C$61,((D780+E780)*C780-G780)*'Assumptions and Catalog'!$H$61+'Assumptions and Catalog'!$E$61+'Assumptions and Catalog'!$F$61,IF(((D780+E780)*C780-G780)&lt;='Assumptions and Catalog'!$C$62,((D780+E780)*C780-G780)*'Assumptions and Catalog'!$H$62+'Assumptions and Catalog'!$E$62+'Assumptions and Catalog'!$F$62,IF(((D780+E780)*C780-G780)&lt;='Assumptions and Catalog'!$C$63,((D780+E780)*C780-G780)*'Assumptions and Catalog'!$H$63+'Assumptions and Catalog'!$E$63+'Assumptions and Catalog'!$F$63,IF(((D780+E780)*C780-G780)&lt;='Assumptions and Catalog'!$C$64,((D780+E780)*C780-G780)*'Assumptions and Catalog'!$H$64+'Assumptions and Catalog'!$E$64+'Assumptions and Catalog'!$F$64,IF(((D780+E780)*C780-G780)&lt;='Assumptions and Catalog'!$C$65,((D780+E780)*C780-G780)*'Assumptions and Catalog'!$H$65+'Assumptions and Catalog'!$E$65+'Assumptions and Catalog'!$F$65,"Out of range")))))))))*(1+'Assumptions and Catalog'!$C$8)^(A780-1),0)</f>
        <v>3567.397</v>
      </c>
      <c r="R780" s="5" t="n">
        <f>IF(AND('Assumptions and Catalog'!$C$19&gt;0,A780&gt;='Assumptions and Catalog'!$C$19),A780-'Assumptions and Catalog'!$C$19,A780-1)</f>
        <v>9</v>
      </c>
      <c r="S780" s="5" t="n">
        <f>F780+L780-(D780+E780)*C780-J780-K780-IF(E$52&gt;0,'Assumptions and Catalog'!$C$26*C780,0)</f>
        <v>9.9475983006414E-014</v>
      </c>
      <c r="T780" s="5"/>
      <c r="U780" s="5"/>
    </row>
    <row r="781" ht="23.100000381469727" customHeight="1">
      <c r="A781" s="5" t="n">
        <v>11</v>
      </c>
      <c r="B781" s="5" t="n">
        <v>1</v>
      </c>
      <c r="C781" s="5" t="n">
        <f>DAY(DATE('Assumptions and Catalog'!$C$24+A781-1,B781+1,0))</f>
        <v>31</v>
      </c>
      <c r="D781" s="5" t="n">
        <f>IF(ISNUMBER(Inputs!$L$5),Inputs!$L$5*Inputs!$L$6,0)</f>
        <v>40.35</v>
      </c>
      <c r="E781" s="5" t="n">
        <f>IF(ISNUMBER(Inputs!$L$5),Inputs!$L$5-D781,0)</f>
        <v>40.35</v>
      </c>
      <c r="F781" s="5" t="n">
        <f>E$51*INDEX('Solar Production'!$D$20:$D$31,B781)*C781*(1-'Assumptions and Catalog'!$C$10)^(A781-1)</f>
        <v>1373.68836143171</v>
      </c>
      <c r="G781" s="5" t="n">
        <f>MIN(F781,D781*C781)</f>
        <v>1250.85</v>
      </c>
      <c r="H781" s="5" t="n">
        <f>I781/('Assumptions and Catalog'!$C$11*'Assumptions and Catalog'!$C$12)</f>
        <v>122.838361431714</v>
      </c>
      <c r="I781" s="5" t="n">
        <f>MIN(E781*C781,P781*'Assumptions and Catalog'!$C$12*C781,(F781-G781)*'Assumptions and Catalog'!$C$11*'Assumptions and Catalog'!$C$12,E$56*'Assumptions and Catalog'!$C$14*'Assumptions and Catalog'!$C$11*'Assumptions and Catalog'!$C$12*C781,E$57*(24-'Assumptions and Catalog'!$C$13)*C781)</f>
        <v>116.773217336024</v>
      </c>
      <c r="J781" s="5" t="n">
        <f>MAX(F781-G781-H781,0)</f>
        <v>0</v>
      </c>
      <c r="K781" s="5" t="n">
        <f>H781-I781</f>
        <v>6.06514409569091</v>
      </c>
      <c r="L781" s="5" t="n">
        <f>(D781+E781)*C781-G781-I781+0+IF(E$52&gt;0,'Assumptions and Catalog'!$C$26*C781,0)</f>
        <v>1134.07678266398</v>
      </c>
      <c r="M781" s="5" t="n">
        <f>IF(ISNUMBER(Inputs!$L$5),(IF(Inputs!$L$9="Actual flat rate",((D781+E781)*C781)*Inputs!$L$10,IF(Inputs!$C$9="Residential",IF(((D781+E781)*C781)&lt;='Assumptions and Catalog'!$C$50,((D781+E781)*C781)*'Assumptions and Catalog'!$H$50+'Assumptions and Catalog'!$E$50+'Assumptions and Catalog'!$F$50,IF(((D781+E781)*C781)&lt;='Assumptions and Catalog'!$C$51,((D781+E781)*C781)*'Assumptions and Catalog'!$H$51+'Assumptions and Catalog'!$E$51+'Assumptions and Catalog'!$F$51,IF(((D781+E781)*C781)&lt;='Assumptions and Catalog'!$C$52,((D781+E781)*C781)*'Assumptions and Catalog'!$H$52+'Assumptions and Catalog'!$E$52+'Assumptions and Catalog'!$F$52,IF(((D781+E781)*C781)&lt;='Assumptions and Catalog'!$C$53,((D781+E781)*C781)*'Assumptions and Catalog'!$H$53+'Assumptions and Catalog'!$E$53+'Assumptions and Catalog'!$F$53,IF(((D781+E781)*C781)&lt;='Assumptions and Catalog'!$C$54,((D781+E781)*C781)*'Assumptions and Catalog'!$H$54+'Assumptions and Catalog'!$E$54+'Assumptions and Catalog'!$F$54,IF(((D781+E781)*C781)&lt;='Assumptions and Catalog'!$C$55,((D781+E781)*C781)*'Assumptions and Catalog'!$H$55+'Assumptions and Catalog'!$E$55+'Assumptions and Catalog'!$F$55,IF(((D781+E781)*C781)&lt;='Assumptions and Catalog'!$C$56,((D781+E781)*C781)*'Assumptions and Catalog'!$H$56+'Assumptions and Catalog'!$E$56+'Assumptions and Catalog'!$F$56,IF(((D781+E781)*C781)&lt;='Assumptions and Catalog'!$C$57,((D781+E781)*C781)*'Assumptions and Catalog'!$H$57+'Assumptions and Catalog'!$E$57+'Assumptions and Catalog'!$F$57,"Out of range")))))))),IF(((D781+E781)*C781)&lt;='Assumptions and Catalog'!$C$60,((D781+E781)*C781)*'Assumptions and Catalog'!$H$60+'Assumptions and Catalog'!$E$60+'Assumptions and Catalog'!$F$60,IF(((D781+E781)*C781)&lt;='Assumptions and Catalog'!$C$61,((D781+E781)*C781)*'Assumptions and Catalog'!$H$61+'Assumptions and Catalog'!$E$61+'Assumptions and Catalog'!$F$61,IF(((D781+E781)*C781)&lt;='Assumptions and Catalog'!$C$62,((D781+E781)*C781)*'Assumptions and Catalog'!$H$62+'Assumptions and Catalog'!$E$62+'Assumptions and Catalog'!$F$62,IF(((D781+E781)*C781)&lt;='Assumptions and Catalog'!$C$63,((D781+E781)*C781)*'Assumptions and Catalog'!$H$63+'Assumptions and Catalog'!$E$63+'Assumptions and Catalog'!$F$63,IF(((D781+E781)*C781)&lt;='Assumptions and Catalog'!$C$64,((D781+E781)*C781)*'Assumptions and Catalog'!$H$64+'Assumptions and Catalog'!$E$64+'Assumptions and Catalog'!$F$64,IF(((D781+E781)*C781)&lt;='Assumptions and Catalog'!$C$65,((D781+E781)*C781)*'Assumptions and Catalog'!$H$65+'Assumptions and Catalog'!$E$65+'Assumptions and Catalog'!$F$65,"Out of range")))))))))*(1+'Assumptions and Catalog'!$C$8)^(A781-1),0)</f>
        <v>7094.794</v>
      </c>
      <c r="N781" s="5" t="n">
        <f>IF(ISNUMBER(Inputs!$L$5),(IF(Inputs!$L$9="Actual flat rate",L781*Inputs!$L$10,IF(Inputs!$C$9="Residential",IF(L781&lt;='Assumptions and Catalog'!$C$50,L781*'Assumptions and Catalog'!$H$50+'Assumptions and Catalog'!$E$50+'Assumptions and Catalog'!$F$50,IF(L781&lt;='Assumptions and Catalog'!$C$51,L781*'Assumptions and Catalog'!$H$51+'Assumptions and Catalog'!$E$51+'Assumptions and Catalog'!$F$51,IF(L781&lt;='Assumptions and Catalog'!$C$52,L781*'Assumptions and Catalog'!$H$52+'Assumptions and Catalog'!$E$52+'Assumptions and Catalog'!$F$52,IF(L781&lt;='Assumptions and Catalog'!$C$53,L781*'Assumptions and Catalog'!$H$53+'Assumptions and Catalog'!$E$53+'Assumptions and Catalog'!$F$53,IF(L781&lt;='Assumptions and Catalog'!$C$54,L781*'Assumptions and Catalog'!$H$54+'Assumptions and Catalog'!$E$54+'Assumptions and Catalog'!$F$54,IF(L781&lt;='Assumptions and Catalog'!$C$55,L781*'Assumptions and Catalog'!$H$55+'Assumptions and Catalog'!$E$55+'Assumptions and Catalog'!$F$55,IF(L781&lt;='Assumptions and Catalog'!$C$56,L781*'Assumptions and Catalog'!$H$56+'Assumptions and Catalog'!$E$56+'Assumptions and Catalog'!$F$56,IF(L781&lt;='Assumptions and Catalog'!$C$57,L781*'Assumptions and Catalog'!$H$57+'Assumptions and Catalog'!$E$57+'Assumptions and Catalog'!$F$57,"Out of range")))))))),IF(L781&lt;='Assumptions and Catalog'!$C$60,L781*'Assumptions and Catalog'!$H$60+'Assumptions and Catalog'!$E$60+'Assumptions and Catalog'!$F$60,IF(L781&lt;='Assumptions and Catalog'!$C$61,L781*'Assumptions and Catalog'!$H$61+'Assumptions and Catalog'!$E$61+'Assumptions and Catalog'!$F$61,IF(L781&lt;='Assumptions and Catalog'!$C$62,L781*'Assumptions and Catalog'!$H$62+'Assumptions and Catalog'!$E$62+'Assumptions and Catalog'!$F$62,IF(L781&lt;='Assumptions and Catalog'!$C$63,L781*'Assumptions and Catalog'!$H$63+'Assumptions and Catalog'!$E$63+'Assumptions and Catalog'!$F$63,IF(L781&lt;='Assumptions and Catalog'!$C$64,L781*'Assumptions and Catalog'!$H$64+'Assumptions and Catalog'!$E$64+'Assumptions and Catalog'!$F$64,IF(L781&lt;='Assumptions and Catalog'!$C$65,L781*'Assumptions and Catalog'!$H$65+'Assumptions and Catalog'!$E$65+'Assumptions and Catalog'!$F$65,"Out of range")))))))))*(1+'Assumptions and Catalog'!$C$8)^(A781-1),0)</f>
        <v>3238.09652711241</v>
      </c>
      <c r="O781" s="5" t="n">
        <f>M781-N781</f>
        <v>3856.69747288759</v>
      </c>
      <c r="P781" s="5" t="n">
        <f>E$55*(1-L$14)*(1-'Assumptions and Catalog'!$C$23)^R781</f>
        <v>10.24</v>
      </c>
      <c r="Q781" s="5" t="n">
        <f>IF(ISNUMBER(Inputs!$L$5),(IF(Inputs!$L$9="Actual flat rate",((D781+E781)*C781-G781)*Inputs!$L$10,IF(Inputs!$C$9="Residential",IF(((D781+E781)*C781-G781)&lt;='Assumptions and Catalog'!$C$50,((D781+E781)*C781-G781)*'Assumptions and Catalog'!$H$50+'Assumptions and Catalog'!$E$50+'Assumptions and Catalog'!$F$50,IF(((D781+E781)*C781-G781)&lt;='Assumptions and Catalog'!$C$51,((D781+E781)*C781-G781)*'Assumptions and Catalog'!$H$51+'Assumptions and Catalog'!$E$51+'Assumptions and Catalog'!$F$51,IF(((D781+E781)*C781-G781)&lt;='Assumptions and Catalog'!$C$52,((D781+E781)*C781-G781)*'Assumptions and Catalog'!$H$52+'Assumptions and Catalog'!$E$52+'Assumptions and Catalog'!$F$52,IF(((D781+E781)*C781-G781)&lt;='Assumptions and Catalog'!$C$53,((D781+E781)*C781-G781)*'Assumptions and Catalog'!$H$53+'Assumptions and Catalog'!$E$53+'Assumptions and Catalog'!$F$53,IF(((D781+E781)*C781-G781)&lt;='Assumptions and Catalog'!$C$54,((D781+E781)*C781-G781)*'Assumptions and Catalog'!$H$54+'Assumptions and Catalog'!$E$54+'Assumptions and Catalog'!$F$54,IF(((D781+E781)*C781-G781)&lt;='Assumptions and Catalog'!$C$55,((D781+E781)*C781-G781)*'Assumptions and Catalog'!$H$55+'Assumptions and Catalog'!$E$55+'Assumptions and Catalog'!$F$55,IF(((D781+E781)*C781-G781)&lt;='Assumptions and Catalog'!$C$56,((D781+E781)*C781-G781)*'Assumptions and Catalog'!$H$56+'Assumptions and Catalog'!$E$56+'Assumptions and Catalog'!$F$56,IF(((D781+E781)*C781-G781)&lt;='Assumptions and Catalog'!$C$57,((D781+E781)*C781-G781)*'Assumptions and Catalog'!$H$57+'Assumptions and Catalog'!$E$57+'Assumptions and Catalog'!$F$57,"Out of range")))))))),IF(((D781+E781)*C781-G781)&lt;='Assumptions and Catalog'!$C$60,((D781+E781)*C781-G781)*'Assumptions and Catalog'!$H$60+'Assumptions and Catalog'!$E$60+'Assumptions and Catalog'!$F$60,IF(((D781+E781)*C781-G781)&lt;='Assumptions and Catalog'!$C$61,((D781+E781)*C781-G781)*'Assumptions and Catalog'!$H$61+'Assumptions and Catalog'!$E$61+'Assumptions and Catalog'!$F$61,IF(((D781+E781)*C781-G781)&lt;='Assumptions and Catalog'!$C$62,((D781+E781)*C781-G781)*'Assumptions and Catalog'!$H$62+'Assumptions and Catalog'!$E$62+'Assumptions and Catalog'!$F$62,IF(((D781+E781)*C781-G781)&lt;='Assumptions and Catalog'!$C$63,((D781+E781)*C781-G781)*'Assumptions and Catalog'!$H$63+'Assumptions and Catalog'!$E$63+'Assumptions and Catalog'!$F$63,IF(((D781+E781)*C781-G781)&lt;='Assumptions and Catalog'!$C$64,((D781+E781)*C781-G781)*'Assumptions and Catalog'!$H$64+'Assumptions and Catalog'!$E$64+'Assumptions and Catalog'!$F$64,IF(((D781+E781)*C781-G781)&lt;='Assumptions and Catalog'!$C$65,((D781+E781)*C781-G781)*'Assumptions and Catalog'!$H$65+'Assumptions and Catalog'!$E$65+'Assumptions and Catalog'!$F$65,"Out of range")))))))))*(1+'Assumptions and Catalog'!$C$8)^(A781-1),0)</f>
        <v>3567.397</v>
      </c>
      <c r="R781" s="5" t="n">
        <f>IF(AND('Assumptions and Catalog'!$C$19&gt;0,A781&gt;='Assumptions and Catalog'!$C$19),A781-'Assumptions and Catalog'!$C$19,A781-1)</f>
        <v>0</v>
      </c>
      <c r="S781" s="5" t="n">
        <f>F781+L781-(D781+E781)*C781-J781-K781-IF(E$52&gt;0,'Assumptions and Catalog'!$C$26*C781,0)</f>
        <v>-9.9475983006414E-014</v>
      </c>
      <c r="T781" s="5"/>
      <c r="U781" s="5"/>
    </row>
    <row r="782" ht="23.100000381469727" customHeight="1">
      <c r="A782" s="5" t="n">
        <v>11</v>
      </c>
      <c r="B782" s="5" t="n">
        <v>2</v>
      </c>
      <c r="C782" s="5" t="n">
        <f>DAY(DATE('Assumptions and Catalog'!$C$24+A782-1,B782+1,0))</f>
        <v>28</v>
      </c>
      <c r="D782" s="5" t="n">
        <f>IF(ISNUMBER(Inputs!$L$5),Inputs!$L$5*Inputs!$L$6,0)</f>
        <v>40.35</v>
      </c>
      <c r="E782" s="5" t="n">
        <f>IF(ISNUMBER(Inputs!$L$5),Inputs!$L$5-D782,0)</f>
        <v>40.35</v>
      </c>
      <c r="F782" s="5" t="n">
        <f>E$51*INDEX('Solar Production'!$D$20:$D$31,B782)*C782*(1-'Assumptions and Catalog'!$C$10)^(A782-1)</f>
        <v>1354.33327027674</v>
      </c>
      <c r="G782" s="5" t="n">
        <f>MIN(F782,D782*C782)</f>
        <v>1129.8</v>
      </c>
      <c r="H782" s="5" t="n">
        <f>I782/('Assumptions and Catalog'!$C$11*'Assumptions and Catalog'!$C$12)</f>
        <v>224.533270276736</v>
      </c>
      <c r="I782" s="5" t="n">
        <f>MIN(E782*C782,P782*'Assumptions and Catalog'!$C$12*C782,(F782-G782)*'Assumptions and Catalog'!$C$11*'Assumptions and Catalog'!$C$12,E$56*'Assumptions and Catalog'!$C$14*'Assumptions and Catalog'!$C$11*'Assumptions and Catalog'!$C$12*C782,E$57*(24-'Assumptions and Catalog'!$C$13)*C782)</f>
        <v>213.446940056822</v>
      </c>
      <c r="J782" s="5" t="n">
        <f>MAX(F782-G782-H782,0)</f>
        <v>0</v>
      </c>
      <c r="K782" s="5" t="n">
        <f>H782-I782</f>
        <v>11.0863302199138</v>
      </c>
      <c r="L782" s="5" t="n">
        <f>(D782+E782)*C782-G782-I782+0+IF(E$52&gt;0,'Assumptions and Catalog'!$C$26*C782,0)</f>
        <v>916.353059943178</v>
      </c>
      <c r="M782" s="5" t="n">
        <f>IF(ISNUMBER(Inputs!$L$5),(IF(Inputs!$L$9="Actual flat rate",((D782+E782)*C782)*Inputs!$L$10,IF(Inputs!$C$9="Residential",IF(((D782+E782)*C782)&lt;='Assumptions and Catalog'!$C$50,((D782+E782)*C782)*'Assumptions and Catalog'!$H$50+'Assumptions and Catalog'!$E$50+'Assumptions and Catalog'!$F$50,IF(((D782+E782)*C782)&lt;='Assumptions and Catalog'!$C$51,((D782+E782)*C782)*'Assumptions and Catalog'!$H$51+'Assumptions and Catalog'!$E$51+'Assumptions and Catalog'!$F$51,IF(((D782+E782)*C782)&lt;='Assumptions and Catalog'!$C$52,((D782+E782)*C782)*'Assumptions and Catalog'!$H$52+'Assumptions and Catalog'!$E$52+'Assumptions and Catalog'!$F$52,IF(((D782+E782)*C782)&lt;='Assumptions and Catalog'!$C$53,((D782+E782)*C782)*'Assumptions and Catalog'!$H$53+'Assumptions and Catalog'!$E$53+'Assumptions and Catalog'!$F$53,IF(((D782+E782)*C782)&lt;='Assumptions and Catalog'!$C$54,((D782+E782)*C782)*'Assumptions and Catalog'!$H$54+'Assumptions and Catalog'!$E$54+'Assumptions and Catalog'!$F$54,IF(((D782+E782)*C782)&lt;='Assumptions and Catalog'!$C$55,((D782+E782)*C782)*'Assumptions and Catalog'!$H$55+'Assumptions and Catalog'!$E$55+'Assumptions and Catalog'!$F$55,IF(((D782+E782)*C782)&lt;='Assumptions and Catalog'!$C$56,((D782+E782)*C782)*'Assumptions and Catalog'!$H$56+'Assumptions and Catalog'!$E$56+'Assumptions and Catalog'!$F$56,IF(((D782+E782)*C782)&lt;='Assumptions and Catalog'!$C$57,((D782+E782)*C782)*'Assumptions and Catalog'!$H$57+'Assumptions and Catalog'!$E$57+'Assumptions and Catalog'!$F$57,"Out of range")))))))),IF(((D782+E782)*C782)&lt;='Assumptions and Catalog'!$C$60,((D782+E782)*C782)*'Assumptions and Catalog'!$H$60+'Assumptions and Catalog'!$E$60+'Assumptions and Catalog'!$F$60,IF(((D782+E782)*C782)&lt;='Assumptions and Catalog'!$C$61,((D782+E782)*C782)*'Assumptions and Catalog'!$H$61+'Assumptions and Catalog'!$E$61+'Assumptions and Catalog'!$F$61,IF(((D782+E782)*C782)&lt;='Assumptions and Catalog'!$C$62,((D782+E782)*C782)*'Assumptions and Catalog'!$H$62+'Assumptions and Catalog'!$E$62+'Assumptions and Catalog'!$F$62,IF(((D782+E782)*C782)&lt;='Assumptions and Catalog'!$C$63,((D782+E782)*C782)*'Assumptions and Catalog'!$H$63+'Assumptions and Catalog'!$E$63+'Assumptions and Catalog'!$F$63,IF(((D782+E782)*C782)&lt;='Assumptions and Catalog'!$C$64,((D782+E782)*C782)*'Assumptions and Catalog'!$H$64+'Assumptions and Catalog'!$E$64+'Assumptions and Catalog'!$F$64,IF(((D782+E782)*C782)&lt;='Assumptions and Catalog'!$C$65,((D782+E782)*C782)*'Assumptions and Catalog'!$H$65+'Assumptions and Catalog'!$E$65+'Assumptions and Catalog'!$F$65,"Out of range")))))))))*(1+'Assumptions and Catalog'!$C$8)^(A782-1),0)</f>
        <v>6412.072</v>
      </c>
      <c r="N782" s="5" t="n">
        <f>IF(ISNUMBER(Inputs!$L$5),(IF(Inputs!$L$9="Actual flat rate",L782*Inputs!$L$10,IF(Inputs!$C$9="Residential",IF(L782&lt;='Assumptions and Catalog'!$C$50,L782*'Assumptions and Catalog'!$H$50+'Assumptions and Catalog'!$E$50+'Assumptions and Catalog'!$F$50,IF(L782&lt;='Assumptions and Catalog'!$C$51,L782*'Assumptions and Catalog'!$H$51+'Assumptions and Catalog'!$E$51+'Assumptions and Catalog'!$F$51,IF(L782&lt;='Assumptions and Catalog'!$C$52,L782*'Assumptions and Catalog'!$H$52+'Assumptions and Catalog'!$E$52+'Assumptions and Catalog'!$F$52,IF(L782&lt;='Assumptions and Catalog'!$C$53,L782*'Assumptions and Catalog'!$H$53+'Assumptions and Catalog'!$E$53+'Assumptions and Catalog'!$F$53,IF(L782&lt;='Assumptions and Catalog'!$C$54,L782*'Assumptions and Catalog'!$H$54+'Assumptions and Catalog'!$E$54+'Assumptions and Catalog'!$F$54,IF(L782&lt;='Assumptions and Catalog'!$C$55,L782*'Assumptions and Catalog'!$H$55+'Assumptions and Catalog'!$E$55+'Assumptions and Catalog'!$F$55,IF(L782&lt;='Assumptions and Catalog'!$C$56,L782*'Assumptions and Catalog'!$H$56+'Assumptions and Catalog'!$E$56+'Assumptions and Catalog'!$F$56,IF(L782&lt;='Assumptions and Catalog'!$C$57,L782*'Assumptions and Catalog'!$H$57+'Assumptions and Catalog'!$E$57+'Assumptions and Catalog'!$F$57,"Out of range")))))))),IF(L782&lt;='Assumptions and Catalog'!$C$60,L782*'Assumptions and Catalog'!$H$60+'Assumptions and Catalog'!$E$60+'Assumptions and Catalog'!$F$60,IF(L782&lt;='Assumptions and Catalog'!$C$61,L782*'Assumptions and Catalog'!$H$61+'Assumptions and Catalog'!$E$61+'Assumptions and Catalog'!$F$61,IF(L782&lt;='Assumptions and Catalog'!$C$62,L782*'Assumptions and Catalog'!$H$62+'Assumptions and Catalog'!$E$62+'Assumptions and Catalog'!$F$62,IF(L782&lt;='Assumptions and Catalog'!$C$63,L782*'Assumptions and Catalog'!$H$63+'Assumptions and Catalog'!$E$63+'Assumptions and Catalog'!$F$63,IF(L782&lt;='Assumptions and Catalog'!$C$64,L782*'Assumptions and Catalog'!$H$64+'Assumptions and Catalog'!$E$64+'Assumptions and Catalog'!$F$64,IF(L782&lt;='Assumptions and Catalog'!$C$65,L782*'Assumptions and Catalog'!$H$65+'Assumptions and Catalog'!$E$65+'Assumptions and Catalog'!$F$65,"Out of range")))))))))*(1+'Assumptions and Catalog'!$C$8)^(A782-1),0)</f>
        <v>2503.2979760426</v>
      </c>
      <c r="O782" s="5" t="n">
        <f>M782-N782</f>
        <v>3908.7740239574</v>
      </c>
      <c r="P782" s="5" t="n">
        <f>E$55*(1-L$14)*(1-'Assumptions and Catalog'!$C$23)^R782</f>
        <v>10.24</v>
      </c>
      <c r="Q782" s="5" t="n">
        <f>IF(ISNUMBER(Inputs!$L$5),(IF(Inputs!$L$9="Actual flat rate",((D782+E782)*C782-G782)*Inputs!$L$10,IF(Inputs!$C$9="Residential",IF(((D782+E782)*C782-G782)&lt;='Assumptions and Catalog'!$C$50,((D782+E782)*C782-G782)*'Assumptions and Catalog'!$H$50+'Assumptions and Catalog'!$E$50+'Assumptions and Catalog'!$F$50,IF(((D782+E782)*C782-G782)&lt;='Assumptions and Catalog'!$C$51,((D782+E782)*C782-G782)*'Assumptions and Catalog'!$H$51+'Assumptions and Catalog'!$E$51+'Assumptions and Catalog'!$F$51,IF(((D782+E782)*C782-G782)&lt;='Assumptions and Catalog'!$C$52,((D782+E782)*C782-G782)*'Assumptions and Catalog'!$H$52+'Assumptions and Catalog'!$E$52+'Assumptions and Catalog'!$F$52,IF(((D782+E782)*C782-G782)&lt;='Assumptions and Catalog'!$C$53,((D782+E782)*C782-G782)*'Assumptions and Catalog'!$H$53+'Assumptions and Catalog'!$E$53+'Assumptions and Catalog'!$F$53,IF(((D782+E782)*C782-G782)&lt;='Assumptions and Catalog'!$C$54,((D782+E782)*C782-G782)*'Assumptions and Catalog'!$H$54+'Assumptions and Catalog'!$E$54+'Assumptions and Catalog'!$F$54,IF(((D782+E782)*C782-G782)&lt;='Assumptions and Catalog'!$C$55,((D782+E782)*C782-G782)*'Assumptions and Catalog'!$H$55+'Assumptions and Catalog'!$E$55+'Assumptions and Catalog'!$F$55,IF(((D782+E782)*C782-G782)&lt;='Assumptions and Catalog'!$C$56,((D782+E782)*C782-G782)*'Assumptions and Catalog'!$H$56+'Assumptions and Catalog'!$E$56+'Assumptions and Catalog'!$F$56,IF(((D782+E782)*C782-G782)&lt;='Assumptions and Catalog'!$C$57,((D782+E782)*C782-G782)*'Assumptions and Catalog'!$H$57+'Assumptions and Catalog'!$E$57+'Assumptions and Catalog'!$F$57,"Out of range")))))))),IF(((D782+E782)*C782-G782)&lt;='Assumptions and Catalog'!$C$60,((D782+E782)*C782-G782)*'Assumptions and Catalog'!$H$60+'Assumptions and Catalog'!$E$60+'Assumptions and Catalog'!$F$60,IF(((D782+E782)*C782-G782)&lt;='Assumptions and Catalog'!$C$61,((D782+E782)*C782-G782)*'Assumptions and Catalog'!$H$61+'Assumptions and Catalog'!$E$61+'Assumptions and Catalog'!$F$61,IF(((D782+E782)*C782-G782)&lt;='Assumptions and Catalog'!$C$62,((D782+E782)*C782-G782)*'Assumptions and Catalog'!$H$62+'Assumptions and Catalog'!$E$62+'Assumptions and Catalog'!$F$62,IF(((D782+E782)*C782-G782)&lt;='Assumptions and Catalog'!$C$63,((D782+E782)*C782-G782)*'Assumptions and Catalog'!$H$63+'Assumptions and Catalog'!$E$63+'Assumptions and Catalog'!$F$63,IF(((D782+E782)*C782-G782)&lt;='Assumptions and Catalog'!$C$64,((D782+E782)*C782-G782)*'Assumptions and Catalog'!$H$64+'Assumptions and Catalog'!$E$64+'Assumptions and Catalog'!$F$64,IF(((D782+E782)*C782-G782)&lt;='Assumptions and Catalog'!$C$65,((D782+E782)*C782-G782)*'Assumptions and Catalog'!$H$65+'Assumptions and Catalog'!$E$65+'Assumptions and Catalog'!$F$65,"Out of range")))))))))*(1+'Assumptions and Catalog'!$C$8)^(A782-1),0)</f>
        <v>3226.036</v>
      </c>
      <c r="R782" s="5" t="n">
        <f>IF(AND('Assumptions and Catalog'!$C$19&gt;0,A782&gt;='Assumptions and Catalog'!$C$19),A782-'Assumptions and Catalog'!$C$19,A782-1)</f>
        <v>0</v>
      </c>
      <c r="S782" s="5" t="n">
        <f>F782+L782-(D782+E782)*C782-J782-K782-IF(E$52&gt;0,'Assumptions and Catalog'!$C$26*C782,0)</f>
        <v>-1.98951966012828E-013</v>
      </c>
      <c r="T782" s="5"/>
      <c r="U782" s="5"/>
    </row>
    <row r="783" ht="23.100000381469727" customHeight="1">
      <c r="A783" s="5" t="n">
        <v>11</v>
      </c>
      <c r="B783" s="5" t="n">
        <v>3</v>
      </c>
      <c r="C783" s="5" t="n">
        <f>DAY(DATE('Assumptions and Catalog'!$C$24+A783-1,B783+1,0))</f>
        <v>31</v>
      </c>
      <c r="D783" s="5" t="n">
        <f>IF(ISNUMBER(Inputs!$L$5),Inputs!$L$5*Inputs!$L$6,0)</f>
        <v>40.35</v>
      </c>
      <c r="E783" s="5" t="n">
        <f>IF(ISNUMBER(Inputs!$L$5),Inputs!$L$5-D783,0)</f>
        <v>40.35</v>
      </c>
      <c r="F783" s="5" t="n">
        <f>E$51*INDEX('Solar Production'!$D$20:$D$31,B783)*C783*(1-'Assumptions and Catalog'!$C$10)^(A783-1)</f>
        <v>1685.04377374099</v>
      </c>
      <c r="G783" s="5" t="n">
        <f>MIN(F783,D783*C783)</f>
        <v>1250.85</v>
      </c>
      <c r="H783" s="5" t="n">
        <f>I783/('Assumptions and Catalog'!$C$11*'Assumptions and Catalog'!$C$12)</f>
        <v>325.579487179487</v>
      </c>
      <c r="I783" s="5" t="n">
        <f>MIN(E783*C783,P783*'Assumptions and Catalog'!$C$12*C783,(F783-G783)*'Assumptions and Catalog'!$C$11*'Assumptions and Catalog'!$C$12,E$56*'Assumptions and Catalog'!$C$14*'Assumptions and Catalog'!$C$11*'Assumptions and Catalog'!$C$12*C783,E$57*(24-'Assumptions and Catalog'!$C$13)*C783)</f>
        <v>309.504</v>
      </c>
      <c r="J783" s="5" t="n">
        <f>MAX(F783-G783-H783,0)</f>
        <v>108.614286561502</v>
      </c>
      <c r="K783" s="5" t="n">
        <f>H783-I783</f>
        <v>16.0754871794872</v>
      </c>
      <c r="L783" s="5" t="n">
        <f>(D783+E783)*C783-G783-I783+0+IF(E$52&gt;0,'Assumptions and Catalog'!$C$26*C783,0)</f>
        <v>941.346</v>
      </c>
      <c r="M783" s="5" t="n">
        <f>IF(ISNUMBER(Inputs!$L$5),(IF(Inputs!$L$9="Actual flat rate",((D783+E783)*C783)*Inputs!$L$10,IF(Inputs!$C$9="Residential",IF(((D783+E783)*C783)&lt;='Assumptions and Catalog'!$C$50,((D783+E783)*C783)*'Assumptions and Catalog'!$H$50+'Assumptions and Catalog'!$E$50+'Assumptions and Catalog'!$F$50,IF(((D783+E783)*C783)&lt;='Assumptions and Catalog'!$C$51,((D783+E783)*C783)*'Assumptions and Catalog'!$H$51+'Assumptions and Catalog'!$E$51+'Assumptions and Catalog'!$F$51,IF(((D783+E783)*C783)&lt;='Assumptions and Catalog'!$C$52,((D783+E783)*C783)*'Assumptions and Catalog'!$H$52+'Assumptions and Catalog'!$E$52+'Assumptions and Catalog'!$F$52,IF(((D783+E783)*C783)&lt;='Assumptions and Catalog'!$C$53,((D783+E783)*C783)*'Assumptions and Catalog'!$H$53+'Assumptions and Catalog'!$E$53+'Assumptions and Catalog'!$F$53,IF(((D783+E783)*C783)&lt;='Assumptions and Catalog'!$C$54,((D783+E783)*C783)*'Assumptions and Catalog'!$H$54+'Assumptions and Catalog'!$E$54+'Assumptions and Catalog'!$F$54,IF(((D783+E783)*C783)&lt;='Assumptions and Catalog'!$C$55,((D783+E783)*C783)*'Assumptions and Catalog'!$H$55+'Assumptions and Catalog'!$E$55+'Assumptions and Catalog'!$F$55,IF(((D783+E783)*C783)&lt;='Assumptions and Catalog'!$C$56,((D783+E783)*C783)*'Assumptions and Catalog'!$H$56+'Assumptions and Catalog'!$E$56+'Assumptions and Catalog'!$F$56,IF(((D783+E783)*C783)&lt;='Assumptions and Catalog'!$C$57,((D783+E783)*C783)*'Assumptions and Catalog'!$H$57+'Assumptions and Catalog'!$E$57+'Assumptions and Catalog'!$F$57,"Out of range")))))))),IF(((D783+E783)*C783)&lt;='Assumptions and Catalog'!$C$60,((D783+E783)*C783)*'Assumptions and Catalog'!$H$60+'Assumptions and Catalog'!$E$60+'Assumptions and Catalog'!$F$60,IF(((D783+E783)*C783)&lt;='Assumptions and Catalog'!$C$61,((D783+E783)*C783)*'Assumptions and Catalog'!$H$61+'Assumptions and Catalog'!$E$61+'Assumptions and Catalog'!$F$61,IF(((D783+E783)*C783)&lt;='Assumptions and Catalog'!$C$62,((D783+E783)*C783)*'Assumptions and Catalog'!$H$62+'Assumptions and Catalog'!$E$62+'Assumptions and Catalog'!$F$62,IF(((D783+E783)*C783)&lt;='Assumptions and Catalog'!$C$63,((D783+E783)*C783)*'Assumptions and Catalog'!$H$63+'Assumptions and Catalog'!$E$63+'Assumptions and Catalog'!$F$63,IF(((D783+E783)*C783)&lt;='Assumptions and Catalog'!$C$64,((D783+E783)*C783)*'Assumptions and Catalog'!$H$64+'Assumptions and Catalog'!$E$64+'Assumptions and Catalog'!$F$64,IF(((D783+E783)*C783)&lt;='Assumptions and Catalog'!$C$65,((D783+E783)*C783)*'Assumptions and Catalog'!$H$65+'Assumptions and Catalog'!$E$65+'Assumptions and Catalog'!$F$65,"Out of range")))))))))*(1+'Assumptions and Catalog'!$C$8)^(A783-1),0)</f>
        <v>7094.794</v>
      </c>
      <c r="N783" s="5" t="n">
        <f>IF(ISNUMBER(Inputs!$L$5),(IF(Inputs!$L$9="Actual flat rate",L783*Inputs!$L$10,IF(Inputs!$C$9="Residential",IF(L783&lt;='Assumptions and Catalog'!$C$50,L783*'Assumptions and Catalog'!$H$50+'Assumptions and Catalog'!$E$50+'Assumptions and Catalog'!$F$50,IF(L783&lt;='Assumptions and Catalog'!$C$51,L783*'Assumptions and Catalog'!$H$51+'Assumptions and Catalog'!$E$51+'Assumptions and Catalog'!$F$51,IF(L783&lt;='Assumptions and Catalog'!$C$52,L783*'Assumptions and Catalog'!$H$52+'Assumptions and Catalog'!$E$52+'Assumptions and Catalog'!$F$52,IF(L783&lt;='Assumptions and Catalog'!$C$53,L783*'Assumptions and Catalog'!$H$53+'Assumptions and Catalog'!$E$53+'Assumptions and Catalog'!$F$53,IF(L783&lt;='Assumptions and Catalog'!$C$54,L783*'Assumptions and Catalog'!$H$54+'Assumptions and Catalog'!$E$54+'Assumptions and Catalog'!$F$54,IF(L783&lt;='Assumptions and Catalog'!$C$55,L783*'Assumptions and Catalog'!$H$55+'Assumptions and Catalog'!$E$55+'Assumptions and Catalog'!$F$55,IF(L783&lt;='Assumptions and Catalog'!$C$56,L783*'Assumptions and Catalog'!$H$56+'Assumptions and Catalog'!$E$56+'Assumptions and Catalog'!$F$56,IF(L783&lt;='Assumptions and Catalog'!$C$57,L783*'Assumptions and Catalog'!$H$57+'Assumptions and Catalog'!$E$57+'Assumptions and Catalog'!$F$57,"Out of range")))))))),IF(L783&lt;='Assumptions and Catalog'!$C$60,L783*'Assumptions and Catalog'!$H$60+'Assumptions and Catalog'!$E$60+'Assumptions and Catalog'!$F$60,IF(L783&lt;='Assumptions and Catalog'!$C$61,L783*'Assumptions and Catalog'!$H$61+'Assumptions and Catalog'!$E$61+'Assumptions and Catalog'!$F$61,IF(L783&lt;='Assumptions and Catalog'!$C$62,L783*'Assumptions and Catalog'!$H$62+'Assumptions and Catalog'!$E$62+'Assumptions and Catalog'!$F$62,IF(L783&lt;='Assumptions and Catalog'!$C$63,L783*'Assumptions and Catalog'!$H$63+'Assumptions and Catalog'!$E$63+'Assumptions and Catalog'!$F$63,IF(L783&lt;='Assumptions and Catalog'!$C$64,L783*'Assumptions and Catalog'!$H$64+'Assumptions and Catalog'!$E$64+'Assumptions and Catalog'!$F$64,IF(L783&lt;='Assumptions and Catalog'!$C$65,L783*'Assumptions and Catalog'!$H$65+'Assumptions and Catalog'!$E$65+'Assumptions and Catalog'!$F$65,"Out of range")))))))))*(1+'Assumptions and Catalog'!$C$8)^(A783-1),0)</f>
        <v>2572.52842</v>
      </c>
      <c r="O783" s="5" t="n">
        <f>M783-N783</f>
        <v>4522.26558</v>
      </c>
      <c r="P783" s="5" t="n">
        <f>E$55*(1-L$14)*(1-'Assumptions and Catalog'!$C$23)^R783</f>
        <v>10.24</v>
      </c>
      <c r="Q783" s="5" t="n">
        <f>IF(ISNUMBER(Inputs!$L$5),(IF(Inputs!$L$9="Actual flat rate",((D783+E783)*C783-G783)*Inputs!$L$10,IF(Inputs!$C$9="Residential",IF(((D783+E783)*C783-G783)&lt;='Assumptions and Catalog'!$C$50,((D783+E783)*C783-G783)*'Assumptions and Catalog'!$H$50+'Assumptions and Catalog'!$E$50+'Assumptions and Catalog'!$F$50,IF(((D783+E783)*C783-G783)&lt;='Assumptions and Catalog'!$C$51,((D783+E783)*C783-G783)*'Assumptions and Catalog'!$H$51+'Assumptions and Catalog'!$E$51+'Assumptions and Catalog'!$F$51,IF(((D783+E783)*C783-G783)&lt;='Assumptions and Catalog'!$C$52,((D783+E783)*C783-G783)*'Assumptions and Catalog'!$H$52+'Assumptions and Catalog'!$E$52+'Assumptions and Catalog'!$F$52,IF(((D783+E783)*C783-G783)&lt;='Assumptions and Catalog'!$C$53,((D783+E783)*C783-G783)*'Assumptions and Catalog'!$H$53+'Assumptions and Catalog'!$E$53+'Assumptions and Catalog'!$F$53,IF(((D783+E783)*C783-G783)&lt;='Assumptions and Catalog'!$C$54,((D783+E783)*C783-G783)*'Assumptions and Catalog'!$H$54+'Assumptions and Catalog'!$E$54+'Assumptions and Catalog'!$F$54,IF(((D783+E783)*C783-G783)&lt;='Assumptions and Catalog'!$C$55,((D783+E783)*C783-G783)*'Assumptions and Catalog'!$H$55+'Assumptions and Catalog'!$E$55+'Assumptions and Catalog'!$F$55,IF(((D783+E783)*C783-G783)&lt;='Assumptions and Catalog'!$C$56,((D783+E783)*C783-G783)*'Assumptions and Catalog'!$H$56+'Assumptions and Catalog'!$E$56+'Assumptions and Catalog'!$F$56,IF(((D783+E783)*C783-G783)&lt;='Assumptions and Catalog'!$C$57,((D783+E783)*C783-G783)*'Assumptions and Catalog'!$H$57+'Assumptions and Catalog'!$E$57+'Assumptions and Catalog'!$F$57,"Out of range")))))))),IF(((D783+E783)*C783-G783)&lt;='Assumptions and Catalog'!$C$60,((D783+E783)*C783-G783)*'Assumptions and Catalog'!$H$60+'Assumptions and Catalog'!$E$60+'Assumptions and Catalog'!$F$60,IF(((D783+E783)*C783-G783)&lt;='Assumptions and Catalog'!$C$61,((D783+E783)*C783-G783)*'Assumptions and Catalog'!$H$61+'Assumptions and Catalog'!$E$61+'Assumptions and Catalog'!$F$61,IF(((D783+E783)*C783-G783)&lt;='Assumptions and Catalog'!$C$62,((D783+E783)*C783-G783)*'Assumptions and Catalog'!$H$62+'Assumptions and Catalog'!$E$62+'Assumptions and Catalog'!$F$62,IF(((D783+E783)*C783-G783)&lt;='Assumptions and Catalog'!$C$63,((D783+E783)*C783-G783)*'Assumptions and Catalog'!$H$63+'Assumptions and Catalog'!$E$63+'Assumptions and Catalog'!$F$63,IF(((D783+E783)*C783-G783)&lt;='Assumptions and Catalog'!$C$64,((D783+E783)*C783-G783)*'Assumptions and Catalog'!$H$64+'Assumptions and Catalog'!$E$64+'Assumptions and Catalog'!$F$64,IF(((D783+E783)*C783-G783)&lt;='Assumptions and Catalog'!$C$65,((D783+E783)*C783-G783)*'Assumptions and Catalog'!$H$65+'Assumptions and Catalog'!$E$65+'Assumptions and Catalog'!$F$65,"Out of range")))))))))*(1+'Assumptions and Catalog'!$C$8)^(A783-1),0)</f>
        <v>3567.397</v>
      </c>
      <c r="R783" s="5" t="n">
        <f>IF(AND('Assumptions and Catalog'!$C$19&gt;0,A783&gt;='Assumptions and Catalog'!$C$19),A783-'Assumptions and Catalog'!$C$19,A783-1)</f>
        <v>0</v>
      </c>
      <c r="S783" s="5" t="n">
        <f>F783+L783-(D783+E783)*C783-J783-K783-IF(E$52&gt;0,'Assumptions and Catalog'!$C$26*C783,0)</f>
        <v>0</v>
      </c>
      <c r="T783" s="5"/>
      <c r="U783" s="5"/>
    </row>
    <row r="784" ht="23.100000381469727" customHeight="1">
      <c r="A784" s="5" t="n">
        <v>11</v>
      </c>
      <c r="B784" s="5" t="n">
        <v>4</v>
      </c>
      <c r="C784" s="5" t="n">
        <f>DAY(DATE('Assumptions and Catalog'!$C$24+A784-1,B784+1,0))</f>
        <v>30</v>
      </c>
      <c r="D784" s="5" t="n">
        <f>IF(ISNUMBER(Inputs!$L$5),Inputs!$L$5*Inputs!$L$6,0)</f>
        <v>40.35</v>
      </c>
      <c r="E784" s="5" t="n">
        <f>IF(ISNUMBER(Inputs!$L$5),Inputs!$L$5-D784,0)</f>
        <v>40.35</v>
      </c>
      <c r="F784" s="5" t="n">
        <f>E$51*INDEX('Solar Production'!$D$20:$D$31,B784)*C784*(1-'Assumptions and Catalog'!$C$10)^(A784-1)</f>
        <v>1682.95133145396</v>
      </c>
      <c r="G784" s="5" t="n">
        <f>MIN(F784,D784*C784)</f>
        <v>1210.5</v>
      </c>
      <c r="H784" s="5" t="n">
        <f>I784/('Assumptions and Catalog'!$C$11*'Assumptions and Catalog'!$C$12)</f>
        <v>315.076923076923</v>
      </c>
      <c r="I784" s="5" t="n">
        <f>MIN(E784*C784,P784*'Assumptions and Catalog'!$C$12*C784,(F784-G784)*'Assumptions and Catalog'!$C$11*'Assumptions and Catalog'!$C$12,E$56*'Assumptions and Catalog'!$C$14*'Assumptions and Catalog'!$C$11*'Assumptions and Catalog'!$C$12*C784,E$57*(24-'Assumptions and Catalog'!$C$13)*C784)</f>
        <v>299.52</v>
      </c>
      <c r="J784" s="5" t="n">
        <f>MAX(F784-G784-H784,0)</f>
        <v>157.374408377042</v>
      </c>
      <c r="K784" s="5" t="n">
        <f>H784-I784</f>
        <v>15.5569230769231</v>
      </c>
      <c r="L784" s="5" t="n">
        <f>(D784+E784)*C784-G784-I784+0+IF(E$52&gt;0,'Assumptions and Catalog'!$C$26*C784,0)</f>
        <v>910.98</v>
      </c>
      <c r="M784" s="5" t="n">
        <f>IF(ISNUMBER(Inputs!$L$5),(IF(Inputs!$L$9="Actual flat rate",((D784+E784)*C784)*Inputs!$L$10,IF(Inputs!$C$9="Residential",IF(((D784+E784)*C784)&lt;='Assumptions and Catalog'!$C$50,((D784+E784)*C784)*'Assumptions and Catalog'!$H$50+'Assumptions and Catalog'!$E$50+'Assumptions and Catalog'!$F$50,IF(((D784+E784)*C784)&lt;='Assumptions and Catalog'!$C$51,((D784+E784)*C784)*'Assumptions and Catalog'!$H$51+'Assumptions and Catalog'!$E$51+'Assumptions and Catalog'!$F$51,IF(((D784+E784)*C784)&lt;='Assumptions and Catalog'!$C$52,((D784+E784)*C784)*'Assumptions and Catalog'!$H$52+'Assumptions and Catalog'!$E$52+'Assumptions and Catalog'!$F$52,IF(((D784+E784)*C784)&lt;='Assumptions and Catalog'!$C$53,((D784+E784)*C784)*'Assumptions and Catalog'!$H$53+'Assumptions and Catalog'!$E$53+'Assumptions and Catalog'!$F$53,IF(((D784+E784)*C784)&lt;='Assumptions and Catalog'!$C$54,((D784+E784)*C784)*'Assumptions and Catalog'!$H$54+'Assumptions and Catalog'!$E$54+'Assumptions and Catalog'!$F$54,IF(((D784+E784)*C784)&lt;='Assumptions and Catalog'!$C$55,((D784+E784)*C784)*'Assumptions and Catalog'!$H$55+'Assumptions and Catalog'!$E$55+'Assumptions and Catalog'!$F$55,IF(((D784+E784)*C784)&lt;='Assumptions and Catalog'!$C$56,((D784+E784)*C784)*'Assumptions and Catalog'!$H$56+'Assumptions and Catalog'!$E$56+'Assumptions and Catalog'!$F$56,IF(((D784+E784)*C784)&lt;='Assumptions and Catalog'!$C$57,((D784+E784)*C784)*'Assumptions and Catalog'!$H$57+'Assumptions and Catalog'!$E$57+'Assumptions and Catalog'!$F$57,"Out of range")))))))),IF(((D784+E784)*C784)&lt;='Assumptions and Catalog'!$C$60,((D784+E784)*C784)*'Assumptions and Catalog'!$H$60+'Assumptions and Catalog'!$E$60+'Assumptions and Catalog'!$F$60,IF(((D784+E784)*C784)&lt;='Assumptions and Catalog'!$C$61,((D784+E784)*C784)*'Assumptions and Catalog'!$H$61+'Assumptions and Catalog'!$E$61+'Assumptions and Catalog'!$F$61,IF(((D784+E784)*C784)&lt;='Assumptions and Catalog'!$C$62,((D784+E784)*C784)*'Assumptions and Catalog'!$H$62+'Assumptions and Catalog'!$E$62+'Assumptions and Catalog'!$F$62,IF(((D784+E784)*C784)&lt;='Assumptions and Catalog'!$C$63,((D784+E784)*C784)*'Assumptions and Catalog'!$H$63+'Assumptions and Catalog'!$E$63+'Assumptions and Catalog'!$F$63,IF(((D784+E784)*C784)&lt;='Assumptions and Catalog'!$C$64,((D784+E784)*C784)*'Assumptions and Catalog'!$H$64+'Assumptions and Catalog'!$E$64+'Assumptions and Catalog'!$F$64,IF(((D784+E784)*C784)&lt;='Assumptions and Catalog'!$C$65,((D784+E784)*C784)*'Assumptions and Catalog'!$H$65+'Assumptions and Catalog'!$E$65+'Assumptions and Catalog'!$F$65,"Out of range")))))))))*(1+'Assumptions and Catalog'!$C$8)^(A784-1),0)</f>
        <v>6867.22</v>
      </c>
      <c r="N784" s="5" t="n">
        <f>IF(ISNUMBER(Inputs!$L$5),(IF(Inputs!$L$9="Actual flat rate",L784*Inputs!$L$10,IF(Inputs!$C$9="Residential",IF(L784&lt;='Assumptions and Catalog'!$C$50,L784*'Assumptions and Catalog'!$H$50+'Assumptions and Catalog'!$E$50+'Assumptions and Catalog'!$F$50,IF(L784&lt;='Assumptions and Catalog'!$C$51,L784*'Assumptions and Catalog'!$H$51+'Assumptions and Catalog'!$E$51+'Assumptions and Catalog'!$F$51,IF(L784&lt;='Assumptions and Catalog'!$C$52,L784*'Assumptions and Catalog'!$H$52+'Assumptions and Catalog'!$E$52+'Assumptions and Catalog'!$F$52,IF(L784&lt;='Assumptions and Catalog'!$C$53,L784*'Assumptions and Catalog'!$H$53+'Assumptions and Catalog'!$E$53+'Assumptions and Catalog'!$F$53,IF(L784&lt;='Assumptions and Catalog'!$C$54,L784*'Assumptions and Catalog'!$H$54+'Assumptions and Catalog'!$E$54+'Assumptions and Catalog'!$F$54,IF(L784&lt;='Assumptions and Catalog'!$C$55,L784*'Assumptions and Catalog'!$H$55+'Assumptions and Catalog'!$E$55+'Assumptions and Catalog'!$F$55,IF(L784&lt;='Assumptions and Catalog'!$C$56,L784*'Assumptions and Catalog'!$H$56+'Assumptions and Catalog'!$E$56+'Assumptions and Catalog'!$F$56,IF(L784&lt;='Assumptions and Catalog'!$C$57,L784*'Assumptions and Catalog'!$H$57+'Assumptions and Catalog'!$E$57+'Assumptions and Catalog'!$F$57,"Out of range")))))))),IF(L784&lt;='Assumptions and Catalog'!$C$60,L784*'Assumptions and Catalog'!$H$60+'Assumptions and Catalog'!$E$60+'Assumptions and Catalog'!$F$60,IF(L784&lt;='Assumptions and Catalog'!$C$61,L784*'Assumptions and Catalog'!$H$61+'Assumptions and Catalog'!$E$61+'Assumptions and Catalog'!$F$61,IF(L784&lt;='Assumptions and Catalog'!$C$62,L784*'Assumptions and Catalog'!$H$62+'Assumptions and Catalog'!$E$62+'Assumptions and Catalog'!$F$62,IF(L784&lt;='Assumptions and Catalog'!$C$63,L784*'Assumptions and Catalog'!$H$63+'Assumptions and Catalog'!$E$63+'Assumptions and Catalog'!$F$63,IF(L784&lt;='Assumptions and Catalog'!$C$64,L784*'Assumptions and Catalog'!$H$64+'Assumptions and Catalog'!$E$64+'Assumptions and Catalog'!$F$64,IF(L784&lt;='Assumptions and Catalog'!$C$65,L784*'Assumptions and Catalog'!$H$65+'Assumptions and Catalog'!$E$65+'Assumptions and Catalog'!$F$65,"Out of range")))))))))*(1+'Assumptions and Catalog'!$C$8)^(A784-1),0)</f>
        <v>2488.4146</v>
      </c>
      <c r="O784" s="5" t="n">
        <f>M784-N784</f>
        <v>4378.8054</v>
      </c>
      <c r="P784" s="5" t="n">
        <f>E$55*(1-L$14)*(1-'Assumptions and Catalog'!$C$23)^R784</f>
        <v>10.24</v>
      </c>
      <c r="Q784" s="5" t="n">
        <f>IF(ISNUMBER(Inputs!$L$5),(IF(Inputs!$L$9="Actual flat rate",((D784+E784)*C784-G784)*Inputs!$L$10,IF(Inputs!$C$9="Residential",IF(((D784+E784)*C784-G784)&lt;='Assumptions and Catalog'!$C$50,((D784+E784)*C784-G784)*'Assumptions and Catalog'!$H$50+'Assumptions and Catalog'!$E$50+'Assumptions and Catalog'!$F$50,IF(((D784+E784)*C784-G784)&lt;='Assumptions and Catalog'!$C$51,((D784+E784)*C784-G784)*'Assumptions and Catalog'!$H$51+'Assumptions and Catalog'!$E$51+'Assumptions and Catalog'!$F$51,IF(((D784+E784)*C784-G784)&lt;='Assumptions and Catalog'!$C$52,((D784+E784)*C784-G784)*'Assumptions and Catalog'!$H$52+'Assumptions and Catalog'!$E$52+'Assumptions and Catalog'!$F$52,IF(((D784+E784)*C784-G784)&lt;='Assumptions and Catalog'!$C$53,((D784+E784)*C784-G784)*'Assumptions and Catalog'!$H$53+'Assumptions and Catalog'!$E$53+'Assumptions and Catalog'!$F$53,IF(((D784+E784)*C784-G784)&lt;='Assumptions and Catalog'!$C$54,((D784+E784)*C784-G784)*'Assumptions and Catalog'!$H$54+'Assumptions and Catalog'!$E$54+'Assumptions and Catalog'!$F$54,IF(((D784+E784)*C784-G784)&lt;='Assumptions and Catalog'!$C$55,((D784+E784)*C784-G784)*'Assumptions and Catalog'!$H$55+'Assumptions and Catalog'!$E$55+'Assumptions and Catalog'!$F$55,IF(((D784+E784)*C784-G784)&lt;='Assumptions and Catalog'!$C$56,((D784+E784)*C784-G784)*'Assumptions and Catalog'!$H$56+'Assumptions and Catalog'!$E$56+'Assumptions and Catalog'!$F$56,IF(((D784+E784)*C784-G784)&lt;='Assumptions and Catalog'!$C$57,((D784+E784)*C784-G784)*'Assumptions and Catalog'!$H$57+'Assumptions and Catalog'!$E$57+'Assumptions and Catalog'!$F$57,"Out of range")))))))),IF(((D784+E784)*C784-G784)&lt;='Assumptions and Catalog'!$C$60,((D784+E784)*C784-G784)*'Assumptions and Catalog'!$H$60+'Assumptions and Catalog'!$E$60+'Assumptions and Catalog'!$F$60,IF(((D784+E784)*C784-G784)&lt;='Assumptions and Catalog'!$C$61,((D784+E784)*C784-G784)*'Assumptions and Catalog'!$H$61+'Assumptions and Catalog'!$E$61+'Assumptions and Catalog'!$F$61,IF(((D784+E784)*C784-G784)&lt;='Assumptions and Catalog'!$C$62,((D784+E784)*C784-G784)*'Assumptions and Catalog'!$H$62+'Assumptions and Catalog'!$E$62+'Assumptions and Catalog'!$F$62,IF(((D784+E784)*C784-G784)&lt;='Assumptions and Catalog'!$C$63,((D784+E784)*C784-G784)*'Assumptions and Catalog'!$H$63+'Assumptions and Catalog'!$E$63+'Assumptions and Catalog'!$F$63,IF(((D784+E784)*C784-G784)&lt;='Assumptions and Catalog'!$C$64,((D784+E784)*C784-G784)*'Assumptions and Catalog'!$H$64+'Assumptions and Catalog'!$E$64+'Assumptions and Catalog'!$F$64,IF(((D784+E784)*C784-G784)&lt;='Assumptions and Catalog'!$C$65,((D784+E784)*C784-G784)*'Assumptions and Catalog'!$H$65+'Assumptions and Catalog'!$E$65+'Assumptions and Catalog'!$F$65,"Out of range")))))))))*(1+'Assumptions and Catalog'!$C$8)^(A784-1),0)</f>
        <v>3453.61</v>
      </c>
      <c r="R784" s="5" t="n">
        <f>IF(AND('Assumptions and Catalog'!$C$19&gt;0,A784&gt;='Assumptions and Catalog'!$C$19),A784-'Assumptions and Catalog'!$C$19,A784-1)</f>
        <v>0</v>
      </c>
      <c r="S784" s="5" t="n">
        <f>F784+L784-(D784+E784)*C784-J784-K784-IF(E$52&gt;0,'Assumptions and Catalog'!$C$26*C784,0)</f>
        <v>2.8421709430404E-013</v>
      </c>
      <c r="T784" s="5"/>
      <c r="U784" s="5"/>
    </row>
    <row r="785" ht="23.100000381469727" customHeight="1">
      <c r="A785" s="5" t="n">
        <v>11</v>
      </c>
      <c r="B785" s="5" t="n">
        <v>5</v>
      </c>
      <c r="C785" s="5" t="n">
        <f>DAY(DATE('Assumptions and Catalog'!$C$24+A785-1,B785+1,0))</f>
        <v>31</v>
      </c>
      <c r="D785" s="5" t="n">
        <f>IF(ISNUMBER(Inputs!$L$5),Inputs!$L$5*Inputs!$L$6,0)</f>
        <v>40.35</v>
      </c>
      <c r="E785" s="5" t="n">
        <f>IF(ISNUMBER(Inputs!$L$5),Inputs!$L$5-D785,0)</f>
        <v>40.35</v>
      </c>
      <c r="F785" s="5" t="n">
        <f>E$51*INDEX('Solar Production'!$D$20:$D$31,B785)*C785*(1-'Assumptions and Catalog'!$C$10)^(A785-1)</f>
        <v>1702.41104472329</v>
      </c>
      <c r="G785" s="5" t="n">
        <f>MIN(F785,D785*C785)</f>
        <v>1250.85</v>
      </c>
      <c r="H785" s="5" t="n">
        <f>I785/('Assumptions and Catalog'!$C$11*'Assumptions and Catalog'!$C$12)</f>
        <v>325.579487179487</v>
      </c>
      <c r="I785" s="5" t="n">
        <f>MIN(E785*C785,P785*'Assumptions and Catalog'!$C$12*C785,(F785-G785)*'Assumptions and Catalog'!$C$11*'Assumptions and Catalog'!$C$12,E$56*'Assumptions and Catalog'!$C$14*'Assumptions and Catalog'!$C$11*'Assumptions and Catalog'!$C$12*C785,E$57*(24-'Assumptions and Catalog'!$C$13)*C785)</f>
        <v>309.504</v>
      </c>
      <c r="J785" s="5" t="n">
        <f>MAX(F785-G785-H785,0)</f>
        <v>125.981557543807</v>
      </c>
      <c r="K785" s="5" t="n">
        <f>H785-I785</f>
        <v>16.0754871794872</v>
      </c>
      <c r="L785" s="5" t="n">
        <f>(D785+E785)*C785-G785-I785+0+IF(E$52&gt;0,'Assumptions and Catalog'!$C$26*C785,0)</f>
        <v>941.346</v>
      </c>
      <c r="M785" s="5" t="n">
        <f>IF(ISNUMBER(Inputs!$L$5),(IF(Inputs!$L$9="Actual flat rate",((D785+E785)*C785)*Inputs!$L$10,IF(Inputs!$C$9="Residential",IF(((D785+E785)*C785)&lt;='Assumptions and Catalog'!$C$50,((D785+E785)*C785)*'Assumptions and Catalog'!$H$50+'Assumptions and Catalog'!$E$50+'Assumptions and Catalog'!$F$50,IF(((D785+E785)*C785)&lt;='Assumptions and Catalog'!$C$51,((D785+E785)*C785)*'Assumptions and Catalog'!$H$51+'Assumptions and Catalog'!$E$51+'Assumptions and Catalog'!$F$51,IF(((D785+E785)*C785)&lt;='Assumptions and Catalog'!$C$52,((D785+E785)*C785)*'Assumptions and Catalog'!$H$52+'Assumptions and Catalog'!$E$52+'Assumptions and Catalog'!$F$52,IF(((D785+E785)*C785)&lt;='Assumptions and Catalog'!$C$53,((D785+E785)*C785)*'Assumptions and Catalog'!$H$53+'Assumptions and Catalog'!$E$53+'Assumptions and Catalog'!$F$53,IF(((D785+E785)*C785)&lt;='Assumptions and Catalog'!$C$54,((D785+E785)*C785)*'Assumptions and Catalog'!$H$54+'Assumptions and Catalog'!$E$54+'Assumptions and Catalog'!$F$54,IF(((D785+E785)*C785)&lt;='Assumptions and Catalog'!$C$55,((D785+E785)*C785)*'Assumptions and Catalog'!$H$55+'Assumptions and Catalog'!$E$55+'Assumptions and Catalog'!$F$55,IF(((D785+E785)*C785)&lt;='Assumptions and Catalog'!$C$56,((D785+E785)*C785)*'Assumptions and Catalog'!$H$56+'Assumptions and Catalog'!$E$56+'Assumptions and Catalog'!$F$56,IF(((D785+E785)*C785)&lt;='Assumptions and Catalog'!$C$57,((D785+E785)*C785)*'Assumptions and Catalog'!$H$57+'Assumptions and Catalog'!$E$57+'Assumptions and Catalog'!$F$57,"Out of range")))))))),IF(((D785+E785)*C785)&lt;='Assumptions and Catalog'!$C$60,((D785+E785)*C785)*'Assumptions and Catalog'!$H$60+'Assumptions and Catalog'!$E$60+'Assumptions and Catalog'!$F$60,IF(((D785+E785)*C785)&lt;='Assumptions and Catalog'!$C$61,((D785+E785)*C785)*'Assumptions and Catalog'!$H$61+'Assumptions and Catalog'!$E$61+'Assumptions and Catalog'!$F$61,IF(((D785+E785)*C785)&lt;='Assumptions and Catalog'!$C$62,((D785+E785)*C785)*'Assumptions and Catalog'!$H$62+'Assumptions and Catalog'!$E$62+'Assumptions and Catalog'!$F$62,IF(((D785+E785)*C785)&lt;='Assumptions and Catalog'!$C$63,((D785+E785)*C785)*'Assumptions and Catalog'!$H$63+'Assumptions and Catalog'!$E$63+'Assumptions and Catalog'!$F$63,IF(((D785+E785)*C785)&lt;='Assumptions and Catalog'!$C$64,((D785+E785)*C785)*'Assumptions and Catalog'!$H$64+'Assumptions and Catalog'!$E$64+'Assumptions and Catalog'!$F$64,IF(((D785+E785)*C785)&lt;='Assumptions and Catalog'!$C$65,((D785+E785)*C785)*'Assumptions and Catalog'!$H$65+'Assumptions and Catalog'!$E$65+'Assumptions and Catalog'!$F$65,"Out of range")))))))))*(1+'Assumptions and Catalog'!$C$8)^(A785-1),0)</f>
        <v>7094.794</v>
      </c>
      <c r="N785" s="5" t="n">
        <f>IF(ISNUMBER(Inputs!$L$5),(IF(Inputs!$L$9="Actual flat rate",L785*Inputs!$L$10,IF(Inputs!$C$9="Residential",IF(L785&lt;='Assumptions and Catalog'!$C$50,L785*'Assumptions and Catalog'!$H$50+'Assumptions and Catalog'!$E$50+'Assumptions and Catalog'!$F$50,IF(L785&lt;='Assumptions and Catalog'!$C$51,L785*'Assumptions and Catalog'!$H$51+'Assumptions and Catalog'!$E$51+'Assumptions and Catalog'!$F$51,IF(L785&lt;='Assumptions and Catalog'!$C$52,L785*'Assumptions and Catalog'!$H$52+'Assumptions and Catalog'!$E$52+'Assumptions and Catalog'!$F$52,IF(L785&lt;='Assumptions and Catalog'!$C$53,L785*'Assumptions and Catalog'!$H$53+'Assumptions and Catalog'!$E$53+'Assumptions and Catalog'!$F$53,IF(L785&lt;='Assumptions and Catalog'!$C$54,L785*'Assumptions and Catalog'!$H$54+'Assumptions and Catalog'!$E$54+'Assumptions and Catalog'!$F$54,IF(L785&lt;='Assumptions and Catalog'!$C$55,L785*'Assumptions and Catalog'!$H$55+'Assumptions and Catalog'!$E$55+'Assumptions and Catalog'!$F$55,IF(L785&lt;='Assumptions and Catalog'!$C$56,L785*'Assumptions and Catalog'!$H$56+'Assumptions and Catalog'!$E$56+'Assumptions and Catalog'!$F$56,IF(L785&lt;='Assumptions and Catalog'!$C$57,L785*'Assumptions and Catalog'!$H$57+'Assumptions and Catalog'!$E$57+'Assumptions and Catalog'!$F$57,"Out of range")))))))),IF(L785&lt;='Assumptions and Catalog'!$C$60,L785*'Assumptions and Catalog'!$H$60+'Assumptions and Catalog'!$E$60+'Assumptions and Catalog'!$F$60,IF(L785&lt;='Assumptions and Catalog'!$C$61,L785*'Assumptions and Catalog'!$H$61+'Assumptions and Catalog'!$E$61+'Assumptions and Catalog'!$F$61,IF(L785&lt;='Assumptions and Catalog'!$C$62,L785*'Assumptions and Catalog'!$H$62+'Assumptions and Catalog'!$E$62+'Assumptions and Catalog'!$F$62,IF(L785&lt;='Assumptions and Catalog'!$C$63,L785*'Assumptions and Catalog'!$H$63+'Assumptions and Catalog'!$E$63+'Assumptions and Catalog'!$F$63,IF(L785&lt;='Assumptions and Catalog'!$C$64,L785*'Assumptions and Catalog'!$H$64+'Assumptions and Catalog'!$E$64+'Assumptions and Catalog'!$F$64,IF(L785&lt;='Assumptions and Catalog'!$C$65,L785*'Assumptions and Catalog'!$H$65+'Assumptions and Catalog'!$E$65+'Assumptions and Catalog'!$F$65,"Out of range")))))))))*(1+'Assumptions and Catalog'!$C$8)^(A785-1),0)</f>
        <v>2572.52842</v>
      </c>
      <c r="O785" s="5" t="n">
        <f>M785-N785</f>
        <v>4522.26558</v>
      </c>
      <c r="P785" s="5" t="n">
        <f>E$55*(1-L$14)*(1-'Assumptions and Catalog'!$C$23)^R785</f>
        <v>10.24</v>
      </c>
      <c r="Q785" s="5" t="n">
        <f>IF(ISNUMBER(Inputs!$L$5),(IF(Inputs!$L$9="Actual flat rate",((D785+E785)*C785-G785)*Inputs!$L$10,IF(Inputs!$C$9="Residential",IF(((D785+E785)*C785-G785)&lt;='Assumptions and Catalog'!$C$50,((D785+E785)*C785-G785)*'Assumptions and Catalog'!$H$50+'Assumptions and Catalog'!$E$50+'Assumptions and Catalog'!$F$50,IF(((D785+E785)*C785-G785)&lt;='Assumptions and Catalog'!$C$51,((D785+E785)*C785-G785)*'Assumptions and Catalog'!$H$51+'Assumptions and Catalog'!$E$51+'Assumptions and Catalog'!$F$51,IF(((D785+E785)*C785-G785)&lt;='Assumptions and Catalog'!$C$52,((D785+E785)*C785-G785)*'Assumptions and Catalog'!$H$52+'Assumptions and Catalog'!$E$52+'Assumptions and Catalog'!$F$52,IF(((D785+E785)*C785-G785)&lt;='Assumptions and Catalog'!$C$53,((D785+E785)*C785-G785)*'Assumptions and Catalog'!$H$53+'Assumptions and Catalog'!$E$53+'Assumptions and Catalog'!$F$53,IF(((D785+E785)*C785-G785)&lt;='Assumptions and Catalog'!$C$54,((D785+E785)*C785-G785)*'Assumptions and Catalog'!$H$54+'Assumptions and Catalog'!$E$54+'Assumptions and Catalog'!$F$54,IF(((D785+E785)*C785-G785)&lt;='Assumptions and Catalog'!$C$55,((D785+E785)*C785-G785)*'Assumptions and Catalog'!$H$55+'Assumptions and Catalog'!$E$55+'Assumptions and Catalog'!$F$55,IF(((D785+E785)*C785-G785)&lt;='Assumptions and Catalog'!$C$56,((D785+E785)*C785-G785)*'Assumptions and Catalog'!$H$56+'Assumptions and Catalog'!$E$56+'Assumptions and Catalog'!$F$56,IF(((D785+E785)*C785-G785)&lt;='Assumptions and Catalog'!$C$57,((D785+E785)*C785-G785)*'Assumptions and Catalog'!$H$57+'Assumptions and Catalog'!$E$57+'Assumptions and Catalog'!$F$57,"Out of range")))))))),IF(((D785+E785)*C785-G785)&lt;='Assumptions and Catalog'!$C$60,((D785+E785)*C785-G785)*'Assumptions and Catalog'!$H$60+'Assumptions and Catalog'!$E$60+'Assumptions and Catalog'!$F$60,IF(((D785+E785)*C785-G785)&lt;='Assumptions and Catalog'!$C$61,((D785+E785)*C785-G785)*'Assumptions and Catalog'!$H$61+'Assumptions and Catalog'!$E$61+'Assumptions and Catalog'!$F$61,IF(((D785+E785)*C785-G785)&lt;='Assumptions and Catalog'!$C$62,((D785+E785)*C785-G785)*'Assumptions and Catalog'!$H$62+'Assumptions and Catalog'!$E$62+'Assumptions and Catalog'!$F$62,IF(((D785+E785)*C785-G785)&lt;='Assumptions and Catalog'!$C$63,((D785+E785)*C785-G785)*'Assumptions and Catalog'!$H$63+'Assumptions and Catalog'!$E$63+'Assumptions and Catalog'!$F$63,IF(((D785+E785)*C785-G785)&lt;='Assumptions and Catalog'!$C$64,((D785+E785)*C785-G785)*'Assumptions and Catalog'!$H$64+'Assumptions and Catalog'!$E$64+'Assumptions and Catalog'!$F$64,IF(((D785+E785)*C785-G785)&lt;='Assumptions and Catalog'!$C$65,((D785+E785)*C785-G785)*'Assumptions and Catalog'!$H$65+'Assumptions and Catalog'!$E$65+'Assumptions and Catalog'!$F$65,"Out of range")))))))))*(1+'Assumptions and Catalog'!$C$8)^(A785-1),0)</f>
        <v>3567.397</v>
      </c>
      <c r="R785" s="5" t="n">
        <f>IF(AND('Assumptions and Catalog'!$C$19&gt;0,A785&gt;='Assumptions and Catalog'!$C$19),A785-'Assumptions and Catalog'!$C$19,A785-1)</f>
        <v>0</v>
      </c>
      <c r="S785" s="5" t="n">
        <f>F785+L785-(D785+E785)*C785-J785-K785-IF(E$52&gt;0,'Assumptions and Catalog'!$C$26*C785,0)</f>
        <v>1.70530256582424E-013</v>
      </c>
      <c r="T785" s="5"/>
      <c r="U785" s="5"/>
    </row>
    <row r="786" ht="23.100000381469727" customHeight="1">
      <c r="A786" s="5" t="n">
        <v>11</v>
      </c>
      <c r="B786" s="5" t="n">
        <v>6</v>
      </c>
      <c r="C786" s="5" t="n">
        <f>DAY(DATE('Assumptions and Catalog'!$C$24+A786-1,B786+1,0))</f>
        <v>30</v>
      </c>
      <c r="D786" s="5" t="n">
        <f>IF(ISNUMBER(Inputs!$L$5),Inputs!$L$5*Inputs!$L$6,0)</f>
        <v>40.35</v>
      </c>
      <c r="E786" s="5" t="n">
        <f>IF(ISNUMBER(Inputs!$L$5),Inputs!$L$5-D786,0)</f>
        <v>40.35</v>
      </c>
      <c r="F786" s="5" t="n">
        <f>E$51*INDEX('Solar Production'!$D$20:$D$31,B786)*C786*(1-'Assumptions and Catalog'!$C$10)^(A786-1)</f>
        <v>1659.51597783929</v>
      </c>
      <c r="G786" s="5" t="n">
        <f>MIN(F786,D786*C786)</f>
        <v>1210.5</v>
      </c>
      <c r="H786" s="5" t="n">
        <f>I786/('Assumptions and Catalog'!$C$11*'Assumptions and Catalog'!$C$12)</f>
        <v>315.076923076923</v>
      </c>
      <c r="I786" s="5" t="n">
        <f>MIN(E786*C786,P786*'Assumptions and Catalog'!$C$12*C786,(F786-G786)*'Assumptions and Catalog'!$C$11*'Assumptions and Catalog'!$C$12,E$56*'Assumptions and Catalog'!$C$14*'Assumptions and Catalog'!$C$11*'Assumptions and Catalog'!$C$12*C786,E$57*(24-'Assumptions and Catalog'!$C$13)*C786)</f>
        <v>299.52</v>
      </c>
      <c r="J786" s="5" t="n">
        <f>MAX(F786-G786-H786,0)</f>
        <v>133.939054762365</v>
      </c>
      <c r="K786" s="5" t="n">
        <f>H786-I786</f>
        <v>15.5569230769231</v>
      </c>
      <c r="L786" s="5" t="n">
        <f>(D786+E786)*C786-G786-I786+0+IF(E$52&gt;0,'Assumptions and Catalog'!$C$26*C786,0)</f>
        <v>910.98</v>
      </c>
      <c r="M786" s="5" t="n">
        <f>IF(ISNUMBER(Inputs!$L$5),(IF(Inputs!$L$9="Actual flat rate",((D786+E786)*C786)*Inputs!$L$10,IF(Inputs!$C$9="Residential",IF(((D786+E786)*C786)&lt;='Assumptions and Catalog'!$C$50,((D786+E786)*C786)*'Assumptions and Catalog'!$H$50+'Assumptions and Catalog'!$E$50+'Assumptions and Catalog'!$F$50,IF(((D786+E786)*C786)&lt;='Assumptions and Catalog'!$C$51,((D786+E786)*C786)*'Assumptions and Catalog'!$H$51+'Assumptions and Catalog'!$E$51+'Assumptions and Catalog'!$F$51,IF(((D786+E786)*C786)&lt;='Assumptions and Catalog'!$C$52,((D786+E786)*C786)*'Assumptions and Catalog'!$H$52+'Assumptions and Catalog'!$E$52+'Assumptions and Catalog'!$F$52,IF(((D786+E786)*C786)&lt;='Assumptions and Catalog'!$C$53,((D786+E786)*C786)*'Assumptions and Catalog'!$H$53+'Assumptions and Catalog'!$E$53+'Assumptions and Catalog'!$F$53,IF(((D786+E786)*C786)&lt;='Assumptions and Catalog'!$C$54,((D786+E786)*C786)*'Assumptions and Catalog'!$H$54+'Assumptions and Catalog'!$E$54+'Assumptions and Catalog'!$F$54,IF(((D786+E786)*C786)&lt;='Assumptions and Catalog'!$C$55,((D786+E786)*C786)*'Assumptions and Catalog'!$H$55+'Assumptions and Catalog'!$E$55+'Assumptions and Catalog'!$F$55,IF(((D786+E786)*C786)&lt;='Assumptions and Catalog'!$C$56,((D786+E786)*C786)*'Assumptions and Catalog'!$H$56+'Assumptions and Catalog'!$E$56+'Assumptions and Catalog'!$F$56,IF(((D786+E786)*C786)&lt;='Assumptions and Catalog'!$C$57,((D786+E786)*C786)*'Assumptions and Catalog'!$H$57+'Assumptions and Catalog'!$E$57+'Assumptions and Catalog'!$F$57,"Out of range")))))))),IF(((D786+E786)*C786)&lt;='Assumptions and Catalog'!$C$60,((D786+E786)*C786)*'Assumptions and Catalog'!$H$60+'Assumptions and Catalog'!$E$60+'Assumptions and Catalog'!$F$60,IF(((D786+E786)*C786)&lt;='Assumptions and Catalog'!$C$61,((D786+E786)*C786)*'Assumptions and Catalog'!$H$61+'Assumptions and Catalog'!$E$61+'Assumptions and Catalog'!$F$61,IF(((D786+E786)*C786)&lt;='Assumptions and Catalog'!$C$62,((D786+E786)*C786)*'Assumptions and Catalog'!$H$62+'Assumptions and Catalog'!$E$62+'Assumptions and Catalog'!$F$62,IF(((D786+E786)*C786)&lt;='Assumptions and Catalog'!$C$63,((D786+E786)*C786)*'Assumptions and Catalog'!$H$63+'Assumptions and Catalog'!$E$63+'Assumptions and Catalog'!$F$63,IF(((D786+E786)*C786)&lt;='Assumptions and Catalog'!$C$64,((D786+E786)*C786)*'Assumptions and Catalog'!$H$64+'Assumptions and Catalog'!$E$64+'Assumptions and Catalog'!$F$64,IF(((D786+E786)*C786)&lt;='Assumptions and Catalog'!$C$65,((D786+E786)*C786)*'Assumptions and Catalog'!$H$65+'Assumptions and Catalog'!$E$65+'Assumptions and Catalog'!$F$65,"Out of range")))))))))*(1+'Assumptions and Catalog'!$C$8)^(A786-1),0)</f>
        <v>6867.22</v>
      </c>
      <c r="N786" s="5" t="n">
        <f>IF(ISNUMBER(Inputs!$L$5),(IF(Inputs!$L$9="Actual flat rate",L786*Inputs!$L$10,IF(Inputs!$C$9="Residential",IF(L786&lt;='Assumptions and Catalog'!$C$50,L786*'Assumptions and Catalog'!$H$50+'Assumptions and Catalog'!$E$50+'Assumptions and Catalog'!$F$50,IF(L786&lt;='Assumptions and Catalog'!$C$51,L786*'Assumptions and Catalog'!$H$51+'Assumptions and Catalog'!$E$51+'Assumptions and Catalog'!$F$51,IF(L786&lt;='Assumptions and Catalog'!$C$52,L786*'Assumptions and Catalog'!$H$52+'Assumptions and Catalog'!$E$52+'Assumptions and Catalog'!$F$52,IF(L786&lt;='Assumptions and Catalog'!$C$53,L786*'Assumptions and Catalog'!$H$53+'Assumptions and Catalog'!$E$53+'Assumptions and Catalog'!$F$53,IF(L786&lt;='Assumptions and Catalog'!$C$54,L786*'Assumptions and Catalog'!$H$54+'Assumptions and Catalog'!$E$54+'Assumptions and Catalog'!$F$54,IF(L786&lt;='Assumptions and Catalog'!$C$55,L786*'Assumptions and Catalog'!$H$55+'Assumptions and Catalog'!$E$55+'Assumptions and Catalog'!$F$55,IF(L786&lt;='Assumptions and Catalog'!$C$56,L786*'Assumptions and Catalog'!$H$56+'Assumptions and Catalog'!$E$56+'Assumptions and Catalog'!$F$56,IF(L786&lt;='Assumptions and Catalog'!$C$57,L786*'Assumptions and Catalog'!$H$57+'Assumptions and Catalog'!$E$57+'Assumptions and Catalog'!$F$57,"Out of range")))))))),IF(L786&lt;='Assumptions and Catalog'!$C$60,L786*'Assumptions and Catalog'!$H$60+'Assumptions and Catalog'!$E$60+'Assumptions and Catalog'!$F$60,IF(L786&lt;='Assumptions and Catalog'!$C$61,L786*'Assumptions and Catalog'!$H$61+'Assumptions and Catalog'!$E$61+'Assumptions and Catalog'!$F$61,IF(L786&lt;='Assumptions and Catalog'!$C$62,L786*'Assumptions and Catalog'!$H$62+'Assumptions and Catalog'!$E$62+'Assumptions and Catalog'!$F$62,IF(L786&lt;='Assumptions and Catalog'!$C$63,L786*'Assumptions and Catalog'!$H$63+'Assumptions and Catalog'!$E$63+'Assumptions and Catalog'!$F$63,IF(L786&lt;='Assumptions and Catalog'!$C$64,L786*'Assumptions and Catalog'!$H$64+'Assumptions and Catalog'!$E$64+'Assumptions and Catalog'!$F$64,IF(L786&lt;='Assumptions and Catalog'!$C$65,L786*'Assumptions and Catalog'!$H$65+'Assumptions and Catalog'!$E$65+'Assumptions and Catalog'!$F$65,"Out of range")))))))))*(1+'Assumptions and Catalog'!$C$8)^(A786-1),0)</f>
        <v>2488.4146</v>
      </c>
      <c r="O786" s="5" t="n">
        <f>M786-N786</f>
        <v>4378.8054</v>
      </c>
      <c r="P786" s="5" t="n">
        <f>E$55*(1-L$14)*(1-'Assumptions and Catalog'!$C$23)^R786</f>
        <v>10.24</v>
      </c>
      <c r="Q786" s="5" t="n">
        <f>IF(ISNUMBER(Inputs!$L$5),(IF(Inputs!$L$9="Actual flat rate",((D786+E786)*C786-G786)*Inputs!$L$10,IF(Inputs!$C$9="Residential",IF(((D786+E786)*C786-G786)&lt;='Assumptions and Catalog'!$C$50,((D786+E786)*C786-G786)*'Assumptions and Catalog'!$H$50+'Assumptions and Catalog'!$E$50+'Assumptions and Catalog'!$F$50,IF(((D786+E786)*C786-G786)&lt;='Assumptions and Catalog'!$C$51,((D786+E786)*C786-G786)*'Assumptions and Catalog'!$H$51+'Assumptions and Catalog'!$E$51+'Assumptions and Catalog'!$F$51,IF(((D786+E786)*C786-G786)&lt;='Assumptions and Catalog'!$C$52,((D786+E786)*C786-G786)*'Assumptions and Catalog'!$H$52+'Assumptions and Catalog'!$E$52+'Assumptions and Catalog'!$F$52,IF(((D786+E786)*C786-G786)&lt;='Assumptions and Catalog'!$C$53,((D786+E786)*C786-G786)*'Assumptions and Catalog'!$H$53+'Assumptions and Catalog'!$E$53+'Assumptions and Catalog'!$F$53,IF(((D786+E786)*C786-G786)&lt;='Assumptions and Catalog'!$C$54,((D786+E786)*C786-G786)*'Assumptions and Catalog'!$H$54+'Assumptions and Catalog'!$E$54+'Assumptions and Catalog'!$F$54,IF(((D786+E786)*C786-G786)&lt;='Assumptions and Catalog'!$C$55,((D786+E786)*C786-G786)*'Assumptions and Catalog'!$H$55+'Assumptions and Catalog'!$E$55+'Assumptions and Catalog'!$F$55,IF(((D786+E786)*C786-G786)&lt;='Assumptions and Catalog'!$C$56,((D786+E786)*C786-G786)*'Assumptions and Catalog'!$H$56+'Assumptions and Catalog'!$E$56+'Assumptions and Catalog'!$F$56,IF(((D786+E786)*C786-G786)&lt;='Assumptions and Catalog'!$C$57,((D786+E786)*C786-G786)*'Assumptions and Catalog'!$H$57+'Assumptions and Catalog'!$E$57+'Assumptions and Catalog'!$F$57,"Out of range")))))))),IF(((D786+E786)*C786-G786)&lt;='Assumptions and Catalog'!$C$60,((D786+E786)*C786-G786)*'Assumptions and Catalog'!$H$60+'Assumptions and Catalog'!$E$60+'Assumptions and Catalog'!$F$60,IF(((D786+E786)*C786-G786)&lt;='Assumptions and Catalog'!$C$61,((D786+E786)*C786-G786)*'Assumptions and Catalog'!$H$61+'Assumptions and Catalog'!$E$61+'Assumptions and Catalog'!$F$61,IF(((D786+E786)*C786-G786)&lt;='Assumptions and Catalog'!$C$62,((D786+E786)*C786-G786)*'Assumptions and Catalog'!$H$62+'Assumptions and Catalog'!$E$62+'Assumptions and Catalog'!$F$62,IF(((D786+E786)*C786-G786)&lt;='Assumptions and Catalog'!$C$63,((D786+E786)*C786-G786)*'Assumptions and Catalog'!$H$63+'Assumptions and Catalog'!$E$63+'Assumptions and Catalog'!$F$63,IF(((D786+E786)*C786-G786)&lt;='Assumptions and Catalog'!$C$64,((D786+E786)*C786-G786)*'Assumptions and Catalog'!$H$64+'Assumptions and Catalog'!$E$64+'Assumptions and Catalog'!$F$64,IF(((D786+E786)*C786-G786)&lt;='Assumptions and Catalog'!$C$65,((D786+E786)*C786-G786)*'Assumptions and Catalog'!$H$65+'Assumptions and Catalog'!$E$65+'Assumptions and Catalog'!$F$65,"Out of range")))))))))*(1+'Assumptions and Catalog'!$C$8)^(A786-1),0)</f>
        <v>3453.61</v>
      </c>
      <c r="R786" s="5" t="n">
        <f>IF(AND('Assumptions and Catalog'!$C$19&gt;0,A786&gt;='Assumptions and Catalog'!$C$19),A786-'Assumptions and Catalog'!$C$19,A786-1)</f>
        <v>0</v>
      </c>
      <c r="S786" s="5" t="n">
        <f>F786+L786-(D786+E786)*C786-J786-K786-IF(E$52&gt;0,'Assumptions and Catalog'!$C$26*C786,0)</f>
        <v>2.8421709430404E-013</v>
      </c>
      <c r="T786" s="5"/>
      <c r="U786" s="5"/>
    </row>
    <row r="787" ht="23.100000381469727" customHeight="1">
      <c r="A787" s="5" t="n">
        <v>11</v>
      </c>
      <c r="B787" s="5" t="n">
        <v>7</v>
      </c>
      <c r="C787" s="5" t="n">
        <f>DAY(DATE('Assumptions and Catalog'!$C$24+A787-1,B787+1,0))</f>
        <v>31</v>
      </c>
      <c r="D787" s="5" t="n">
        <f>IF(ISNUMBER(Inputs!$L$5),Inputs!$L$5*Inputs!$L$6,0)</f>
        <v>40.35</v>
      </c>
      <c r="E787" s="5" t="n">
        <f>IF(ISNUMBER(Inputs!$L$5),Inputs!$L$5-D787,0)</f>
        <v>40.35</v>
      </c>
      <c r="F787" s="5" t="n">
        <f>E$51*INDEX('Solar Production'!$D$20:$D$31,B787)*C787*(1-'Assumptions and Catalog'!$C$10)^(A787-1)</f>
        <v>1722.70773490743</v>
      </c>
      <c r="G787" s="5" t="n">
        <f>MIN(F787,D787*C787)</f>
        <v>1250.85</v>
      </c>
      <c r="H787" s="5" t="n">
        <f>I787/('Assumptions and Catalog'!$C$11*'Assumptions and Catalog'!$C$12)</f>
        <v>325.579487179487</v>
      </c>
      <c r="I787" s="5" t="n">
        <f>MIN(E787*C787,P787*'Assumptions and Catalog'!$C$12*C787,(F787-G787)*'Assumptions and Catalog'!$C$11*'Assumptions and Catalog'!$C$12,E$56*'Assumptions and Catalog'!$C$14*'Assumptions and Catalog'!$C$11*'Assumptions and Catalog'!$C$12*C787,E$57*(24-'Assumptions and Catalog'!$C$13)*C787)</f>
        <v>309.504</v>
      </c>
      <c r="J787" s="5" t="n">
        <f>MAX(F787-G787-H787,0)</f>
        <v>146.278247727946</v>
      </c>
      <c r="K787" s="5" t="n">
        <f>H787-I787</f>
        <v>16.0754871794872</v>
      </c>
      <c r="L787" s="5" t="n">
        <f>(D787+E787)*C787-G787-I787+0+IF(E$52&gt;0,'Assumptions and Catalog'!$C$26*C787,0)</f>
        <v>941.346</v>
      </c>
      <c r="M787" s="5" t="n">
        <f>IF(ISNUMBER(Inputs!$L$5),(IF(Inputs!$L$9="Actual flat rate",((D787+E787)*C787)*Inputs!$L$10,IF(Inputs!$C$9="Residential",IF(((D787+E787)*C787)&lt;='Assumptions and Catalog'!$C$50,((D787+E787)*C787)*'Assumptions and Catalog'!$H$50+'Assumptions and Catalog'!$E$50+'Assumptions and Catalog'!$F$50,IF(((D787+E787)*C787)&lt;='Assumptions and Catalog'!$C$51,((D787+E787)*C787)*'Assumptions and Catalog'!$H$51+'Assumptions and Catalog'!$E$51+'Assumptions and Catalog'!$F$51,IF(((D787+E787)*C787)&lt;='Assumptions and Catalog'!$C$52,((D787+E787)*C787)*'Assumptions and Catalog'!$H$52+'Assumptions and Catalog'!$E$52+'Assumptions and Catalog'!$F$52,IF(((D787+E787)*C787)&lt;='Assumptions and Catalog'!$C$53,((D787+E787)*C787)*'Assumptions and Catalog'!$H$53+'Assumptions and Catalog'!$E$53+'Assumptions and Catalog'!$F$53,IF(((D787+E787)*C787)&lt;='Assumptions and Catalog'!$C$54,((D787+E787)*C787)*'Assumptions and Catalog'!$H$54+'Assumptions and Catalog'!$E$54+'Assumptions and Catalog'!$F$54,IF(((D787+E787)*C787)&lt;='Assumptions and Catalog'!$C$55,((D787+E787)*C787)*'Assumptions and Catalog'!$H$55+'Assumptions and Catalog'!$E$55+'Assumptions and Catalog'!$F$55,IF(((D787+E787)*C787)&lt;='Assumptions and Catalog'!$C$56,((D787+E787)*C787)*'Assumptions and Catalog'!$H$56+'Assumptions and Catalog'!$E$56+'Assumptions and Catalog'!$F$56,IF(((D787+E787)*C787)&lt;='Assumptions and Catalog'!$C$57,((D787+E787)*C787)*'Assumptions and Catalog'!$H$57+'Assumptions and Catalog'!$E$57+'Assumptions and Catalog'!$F$57,"Out of range")))))))),IF(((D787+E787)*C787)&lt;='Assumptions and Catalog'!$C$60,((D787+E787)*C787)*'Assumptions and Catalog'!$H$60+'Assumptions and Catalog'!$E$60+'Assumptions and Catalog'!$F$60,IF(((D787+E787)*C787)&lt;='Assumptions and Catalog'!$C$61,((D787+E787)*C787)*'Assumptions and Catalog'!$H$61+'Assumptions and Catalog'!$E$61+'Assumptions and Catalog'!$F$61,IF(((D787+E787)*C787)&lt;='Assumptions and Catalog'!$C$62,((D787+E787)*C787)*'Assumptions and Catalog'!$H$62+'Assumptions and Catalog'!$E$62+'Assumptions and Catalog'!$F$62,IF(((D787+E787)*C787)&lt;='Assumptions and Catalog'!$C$63,((D787+E787)*C787)*'Assumptions and Catalog'!$H$63+'Assumptions and Catalog'!$E$63+'Assumptions and Catalog'!$F$63,IF(((D787+E787)*C787)&lt;='Assumptions and Catalog'!$C$64,((D787+E787)*C787)*'Assumptions and Catalog'!$H$64+'Assumptions and Catalog'!$E$64+'Assumptions and Catalog'!$F$64,IF(((D787+E787)*C787)&lt;='Assumptions and Catalog'!$C$65,((D787+E787)*C787)*'Assumptions and Catalog'!$H$65+'Assumptions and Catalog'!$E$65+'Assumptions and Catalog'!$F$65,"Out of range")))))))))*(1+'Assumptions and Catalog'!$C$8)^(A787-1),0)</f>
        <v>7094.794</v>
      </c>
      <c r="N787" s="5" t="n">
        <f>IF(ISNUMBER(Inputs!$L$5),(IF(Inputs!$L$9="Actual flat rate",L787*Inputs!$L$10,IF(Inputs!$C$9="Residential",IF(L787&lt;='Assumptions and Catalog'!$C$50,L787*'Assumptions and Catalog'!$H$50+'Assumptions and Catalog'!$E$50+'Assumptions and Catalog'!$F$50,IF(L787&lt;='Assumptions and Catalog'!$C$51,L787*'Assumptions and Catalog'!$H$51+'Assumptions and Catalog'!$E$51+'Assumptions and Catalog'!$F$51,IF(L787&lt;='Assumptions and Catalog'!$C$52,L787*'Assumptions and Catalog'!$H$52+'Assumptions and Catalog'!$E$52+'Assumptions and Catalog'!$F$52,IF(L787&lt;='Assumptions and Catalog'!$C$53,L787*'Assumptions and Catalog'!$H$53+'Assumptions and Catalog'!$E$53+'Assumptions and Catalog'!$F$53,IF(L787&lt;='Assumptions and Catalog'!$C$54,L787*'Assumptions and Catalog'!$H$54+'Assumptions and Catalog'!$E$54+'Assumptions and Catalog'!$F$54,IF(L787&lt;='Assumptions and Catalog'!$C$55,L787*'Assumptions and Catalog'!$H$55+'Assumptions and Catalog'!$E$55+'Assumptions and Catalog'!$F$55,IF(L787&lt;='Assumptions and Catalog'!$C$56,L787*'Assumptions and Catalog'!$H$56+'Assumptions and Catalog'!$E$56+'Assumptions and Catalog'!$F$56,IF(L787&lt;='Assumptions and Catalog'!$C$57,L787*'Assumptions and Catalog'!$H$57+'Assumptions and Catalog'!$E$57+'Assumptions and Catalog'!$F$57,"Out of range")))))))),IF(L787&lt;='Assumptions and Catalog'!$C$60,L787*'Assumptions and Catalog'!$H$60+'Assumptions and Catalog'!$E$60+'Assumptions and Catalog'!$F$60,IF(L787&lt;='Assumptions and Catalog'!$C$61,L787*'Assumptions and Catalog'!$H$61+'Assumptions and Catalog'!$E$61+'Assumptions and Catalog'!$F$61,IF(L787&lt;='Assumptions and Catalog'!$C$62,L787*'Assumptions and Catalog'!$H$62+'Assumptions and Catalog'!$E$62+'Assumptions and Catalog'!$F$62,IF(L787&lt;='Assumptions and Catalog'!$C$63,L787*'Assumptions and Catalog'!$H$63+'Assumptions and Catalog'!$E$63+'Assumptions and Catalog'!$F$63,IF(L787&lt;='Assumptions and Catalog'!$C$64,L787*'Assumptions and Catalog'!$H$64+'Assumptions and Catalog'!$E$64+'Assumptions and Catalog'!$F$64,IF(L787&lt;='Assumptions and Catalog'!$C$65,L787*'Assumptions and Catalog'!$H$65+'Assumptions and Catalog'!$E$65+'Assumptions and Catalog'!$F$65,"Out of range")))))))))*(1+'Assumptions and Catalog'!$C$8)^(A787-1),0)</f>
        <v>2572.52842</v>
      </c>
      <c r="O787" s="5" t="n">
        <f>M787-N787</f>
        <v>4522.26558</v>
      </c>
      <c r="P787" s="5" t="n">
        <f>E$55*(1-L$14)*(1-'Assumptions and Catalog'!$C$23)^R787</f>
        <v>10.24</v>
      </c>
      <c r="Q787" s="5" t="n">
        <f>IF(ISNUMBER(Inputs!$L$5),(IF(Inputs!$L$9="Actual flat rate",((D787+E787)*C787-G787)*Inputs!$L$10,IF(Inputs!$C$9="Residential",IF(((D787+E787)*C787-G787)&lt;='Assumptions and Catalog'!$C$50,((D787+E787)*C787-G787)*'Assumptions and Catalog'!$H$50+'Assumptions and Catalog'!$E$50+'Assumptions and Catalog'!$F$50,IF(((D787+E787)*C787-G787)&lt;='Assumptions and Catalog'!$C$51,((D787+E787)*C787-G787)*'Assumptions and Catalog'!$H$51+'Assumptions and Catalog'!$E$51+'Assumptions and Catalog'!$F$51,IF(((D787+E787)*C787-G787)&lt;='Assumptions and Catalog'!$C$52,((D787+E787)*C787-G787)*'Assumptions and Catalog'!$H$52+'Assumptions and Catalog'!$E$52+'Assumptions and Catalog'!$F$52,IF(((D787+E787)*C787-G787)&lt;='Assumptions and Catalog'!$C$53,((D787+E787)*C787-G787)*'Assumptions and Catalog'!$H$53+'Assumptions and Catalog'!$E$53+'Assumptions and Catalog'!$F$53,IF(((D787+E787)*C787-G787)&lt;='Assumptions and Catalog'!$C$54,((D787+E787)*C787-G787)*'Assumptions and Catalog'!$H$54+'Assumptions and Catalog'!$E$54+'Assumptions and Catalog'!$F$54,IF(((D787+E787)*C787-G787)&lt;='Assumptions and Catalog'!$C$55,((D787+E787)*C787-G787)*'Assumptions and Catalog'!$H$55+'Assumptions and Catalog'!$E$55+'Assumptions and Catalog'!$F$55,IF(((D787+E787)*C787-G787)&lt;='Assumptions and Catalog'!$C$56,((D787+E787)*C787-G787)*'Assumptions and Catalog'!$H$56+'Assumptions and Catalog'!$E$56+'Assumptions and Catalog'!$F$56,IF(((D787+E787)*C787-G787)&lt;='Assumptions and Catalog'!$C$57,((D787+E787)*C787-G787)*'Assumptions and Catalog'!$H$57+'Assumptions and Catalog'!$E$57+'Assumptions and Catalog'!$F$57,"Out of range")))))))),IF(((D787+E787)*C787-G787)&lt;='Assumptions and Catalog'!$C$60,((D787+E787)*C787-G787)*'Assumptions and Catalog'!$H$60+'Assumptions and Catalog'!$E$60+'Assumptions and Catalog'!$F$60,IF(((D787+E787)*C787-G787)&lt;='Assumptions and Catalog'!$C$61,((D787+E787)*C787-G787)*'Assumptions and Catalog'!$H$61+'Assumptions and Catalog'!$E$61+'Assumptions and Catalog'!$F$61,IF(((D787+E787)*C787-G787)&lt;='Assumptions and Catalog'!$C$62,((D787+E787)*C787-G787)*'Assumptions and Catalog'!$H$62+'Assumptions and Catalog'!$E$62+'Assumptions and Catalog'!$F$62,IF(((D787+E787)*C787-G787)&lt;='Assumptions and Catalog'!$C$63,((D787+E787)*C787-G787)*'Assumptions and Catalog'!$H$63+'Assumptions and Catalog'!$E$63+'Assumptions and Catalog'!$F$63,IF(((D787+E787)*C787-G787)&lt;='Assumptions and Catalog'!$C$64,((D787+E787)*C787-G787)*'Assumptions and Catalog'!$H$64+'Assumptions and Catalog'!$E$64+'Assumptions and Catalog'!$F$64,IF(((D787+E787)*C787-G787)&lt;='Assumptions and Catalog'!$C$65,((D787+E787)*C787-G787)*'Assumptions and Catalog'!$H$65+'Assumptions and Catalog'!$E$65+'Assumptions and Catalog'!$F$65,"Out of range")))))))))*(1+'Assumptions and Catalog'!$C$8)^(A787-1),0)</f>
        <v>3567.397</v>
      </c>
      <c r="R787" s="5" t="n">
        <f>IF(AND('Assumptions and Catalog'!$C$19&gt;0,A787&gt;='Assumptions and Catalog'!$C$19),A787-'Assumptions and Catalog'!$C$19,A787-1)</f>
        <v>0</v>
      </c>
      <c r="S787" s="5" t="n">
        <f>F787+L787-(D787+E787)*C787-J787-K787-IF(E$52&gt;0,'Assumptions and Catalog'!$C$26*C787,0)</f>
        <v>0</v>
      </c>
      <c r="T787" s="5"/>
      <c r="U787" s="5"/>
    </row>
    <row r="788" ht="23.100000381469727" customHeight="1">
      <c r="A788" s="5" t="n">
        <v>11</v>
      </c>
      <c r="B788" s="5" t="n">
        <v>8</v>
      </c>
      <c r="C788" s="5" t="n">
        <f>DAY(DATE('Assumptions and Catalog'!$C$24+A788-1,B788+1,0))</f>
        <v>31</v>
      </c>
      <c r="D788" s="5" t="n">
        <f>IF(ISNUMBER(Inputs!$L$5),Inputs!$L$5*Inputs!$L$6,0)</f>
        <v>40.35</v>
      </c>
      <c r="E788" s="5" t="n">
        <f>IF(ISNUMBER(Inputs!$L$5),Inputs!$L$5-D788,0)</f>
        <v>40.35</v>
      </c>
      <c r="F788" s="5" t="n">
        <f>E$51*INDEX('Solar Production'!$D$20:$D$31,B788)*C788*(1-'Assumptions and Catalog'!$C$10)^(A788-1)</f>
        <v>1745.0968673786</v>
      </c>
      <c r="G788" s="5" t="n">
        <f>MIN(F788,D788*C788)</f>
        <v>1250.85</v>
      </c>
      <c r="H788" s="5" t="n">
        <f>I788/('Assumptions and Catalog'!$C$11*'Assumptions and Catalog'!$C$12)</f>
        <v>325.579487179487</v>
      </c>
      <c r="I788" s="5" t="n">
        <f>MIN(E788*C788,P788*'Assumptions and Catalog'!$C$12*C788,(F788-G788)*'Assumptions and Catalog'!$C$11*'Assumptions and Catalog'!$C$12,E$56*'Assumptions and Catalog'!$C$14*'Assumptions and Catalog'!$C$11*'Assumptions and Catalog'!$C$12*C788,E$57*(24-'Assumptions and Catalog'!$C$13)*C788)</f>
        <v>309.504</v>
      </c>
      <c r="J788" s="5" t="n">
        <f>MAX(F788-G788-H788,0)</f>
        <v>168.667380199111</v>
      </c>
      <c r="K788" s="5" t="n">
        <f>H788-I788</f>
        <v>16.0754871794872</v>
      </c>
      <c r="L788" s="5" t="n">
        <f>(D788+E788)*C788-G788-I788+0+IF(E$52&gt;0,'Assumptions and Catalog'!$C$26*C788,0)</f>
        <v>941.346</v>
      </c>
      <c r="M788" s="5" t="n">
        <f>IF(ISNUMBER(Inputs!$L$5),(IF(Inputs!$L$9="Actual flat rate",((D788+E788)*C788)*Inputs!$L$10,IF(Inputs!$C$9="Residential",IF(((D788+E788)*C788)&lt;='Assumptions and Catalog'!$C$50,((D788+E788)*C788)*'Assumptions and Catalog'!$H$50+'Assumptions and Catalog'!$E$50+'Assumptions and Catalog'!$F$50,IF(((D788+E788)*C788)&lt;='Assumptions and Catalog'!$C$51,((D788+E788)*C788)*'Assumptions and Catalog'!$H$51+'Assumptions and Catalog'!$E$51+'Assumptions and Catalog'!$F$51,IF(((D788+E788)*C788)&lt;='Assumptions and Catalog'!$C$52,((D788+E788)*C788)*'Assumptions and Catalog'!$H$52+'Assumptions and Catalog'!$E$52+'Assumptions and Catalog'!$F$52,IF(((D788+E788)*C788)&lt;='Assumptions and Catalog'!$C$53,((D788+E788)*C788)*'Assumptions and Catalog'!$H$53+'Assumptions and Catalog'!$E$53+'Assumptions and Catalog'!$F$53,IF(((D788+E788)*C788)&lt;='Assumptions and Catalog'!$C$54,((D788+E788)*C788)*'Assumptions and Catalog'!$H$54+'Assumptions and Catalog'!$E$54+'Assumptions and Catalog'!$F$54,IF(((D788+E788)*C788)&lt;='Assumptions and Catalog'!$C$55,((D788+E788)*C788)*'Assumptions and Catalog'!$H$55+'Assumptions and Catalog'!$E$55+'Assumptions and Catalog'!$F$55,IF(((D788+E788)*C788)&lt;='Assumptions and Catalog'!$C$56,((D788+E788)*C788)*'Assumptions and Catalog'!$H$56+'Assumptions and Catalog'!$E$56+'Assumptions and Catalog'!$F$56,IF(((D788+E788)*C788)&lt;='Assumptions and Catalog'!$C$57,((D788+E788)*C788)*'Assumptions and Catalog'!$H$57+'Assumptions and Catalog'!$E$57+'Assumptions and Catalog'!$F$57,"Out of range")))))))),IF(((D788+E788)*C788)&lt;='Assumptions and Catalog'!$C$60,((D788+E788)*C788)*'Assumptions and Catalog'!$H$60+'Assumptions and Catalog'!$E$60+'Assumptions and Catalog'!$F$60,IF(((D788+E788)*C788)&lt;='Assumptions and Catalog'!$C$61,((D788+E788)*C788)*'Assumptions and Catalog'!$H$61+'Assumptions and Catalog'!$E$61+'Assumptions and Catalog'!$F$61,IF(((D788+E788)*C788)&lt;='Assumptions and Catalog'!$C$62,((D788+E788)*C788)*'Assumptions and Catalog'!$H$62+'Assumptions and Catalog'!$E$62+'Assumptions and Catalog'!$F$62,IF(((D788+E788)*C788)&lt;='Assumptions and Catalog'!$C$63,((D788+E788)*C788)*'Assumptions and Catalog'!$H$63+'Assumptions and Catalog'!$E$63+'Assumptions and Catalog'!$F$63,IF(((D788+E788)*C788)&lt;='Assumptions and Catalog'!$C$64,((D788+E788)*C788)*'Assumptions and Catalog'!$H$64+'Assumptions and Catalog'!$E$64+'Assumptions and Catalog'!$F$64,IF(((D788+E788)*C788)&lt;='Assumptions and Catalog'!$C$65,((D788+E788)*C788)*'Assumptions and Catalog'!$H$65+'Assumptions and Catalog'!$E$65+'Assumptions and Catalog'!$F$65,"Out of range")))))))))*(1+'Assumptions and Catalog'!$C$8)^(A788-1),0)</f>
        <v>7094.794</v>
      </c>
      <c r="N788" s="5" t="n">
        <f>IF(ISNUMBER(Inputs!$L$5),(IF(Inputs!$L$9="Actual flat rate",L788*Inputs!$L$10,IF(Inputs!$C$9="Residential",IF(L788&lt;='Assumptions and Catalog'!$C$50,L788*'Assumptions and Catalog'!$H$50+'Assumptions and Catalog'!$E$50+'Assumptions and Catalog'!$F$50,IF(L788&lt;='Assumptions and Catalog'!$C$51,L788*'Assumptions and Catalog'!$H$51+'Assumptions and Catalog'!$E$51+'Assumptions and Catalog'!$F$51,IF(L788&lt;='Assumptions and Catalog'!$C$52,L788*'Assumptions and Catalog'!$H$52+'Assumptions and Catalog'!$E$52+'Assumptions and Catalog'!$F$52,IF(L788&lt;='Assumptions and Catalog'!$C$53,L788*'Assumptions and Catalog'!$H$53+'Assumptions and Catalog'!$E$53+'Assumptions and Catalog'!$F$53,IF(L788&lt;='Assumptions and Catalog'!$C$54,L788*'Assumptions and Catalog'!$H$54+'Assumptions and Catalog'!$E$54+'Assumptions and Catalog'!$F$54,IF(L788&lt;='Assumptions and Catalog'!$C$55,L788*'Assumptions and Catalog'!$H$55+'Assumptions and Catalog'!$E$55+'Assumptions and Catalog'!$F$55,IF(L788&lt;='Assumptions and Catalog'!$C$56,L788*'Assumptions and Catalog'!$H$56+'Assumptions and Catalog'!$E$56+'Assumptions and Catalog'!$F$56,IF(L788&lt;='Assumptions and Catalog'!$C$57,L788*'Assumptions and Catalog'!$H$57+'Assumptions and Catalog'!$E$57+'Assumptions and Catalog'!$F$57,"Out of range")))))))),IF(L788&lt;='Assumptions and Catalog'!$C$60,L788*'Assumptions and Catalog'!$H$60+'Assumptions and Catalog'!$E$60+'Assumptions and Catalog'!$F$60,IF(L788&lt;='Assumptions and Catalog'!$C$61,L788*'Assumptions and Catalog'!$H$61+'Assumptions and Catalog'!$E$61+'Assumptions and Catalog'!$F$61,IF(L788&lt;='Assumptions and Catalog'!$C$62,L788*'Assumptions and Catalog'!$H$62+'Assumptions and Catalog'!$E$62+'Assumptions and Catalog'!$F$62,IF(L788&lt;='Assumptions and Catalog'!$C$63,L788*'Assumptions and Catalog'!$H$63+'Assumptions and Catalog'!$E$63+'Assumptions and Catalog'!$F$63,IF(L788&lt;='Assumptions and Catalog'!$C$64,L788*'Assumptions and Catalog'!$H$64+'Assumptions and Catalog'!$E$64+'Assumptions and Catalog'!$F$64,IF(L788&lt;='Assumptions and Catalog'!$C$65,L788*'Assumptions and Catalog'!$H$65+'Assumptions and Catalog'!$E$65+'Assumptions and Catalog'!$F$65,"Out of range")))))))))*(1+'Assumptions and Catalog'!$C$8)^(A788-1),0)</f>
        <v>2572.52842</v>
      </c>
      <c r="O788" s="5" t="n">
        <f>M788-N788</f>
        <v>4522.26558</v>
      </c>
      <c r="P788" s="5" t="n">
        <f>E$55*(1-L$14)*(1-'Assumptions and Catalog'!$C$23)^R788</f>
        <v>10.24</v>
      </c>
      <c r="Q788" s="5" t="n">
        <f>IF(ISNUMBER(Inputs!$L$5),(IF(Inputs!$L$9="Actual flat rate",((D788+E788)*C788-G788)*Inputs!$L$10,IF(Inputs!$C$9="Residential",IF(((D788+E788)*C788-G788)&lt;='Assumptions and Catalog'!$C$50,((D788+E788)*C788-G788)*'Assumptions and Catalog'!$H$50+'Assumptions and Catalog'!$E$50+'Assumptions and Catalog'!$F$50,IF(((D788+E788)*C788-G788)&lt;='Assumptions and Catalog'!$C$51,((D788+E788)*C788-G788)*'Assumptions and Catalog'!$H$51+'Assumptions and Catalog'!$E$51+'Assumptions and Catalog'!$F$51,IF(((D788+E788)*C788-G788)&lt;='Assumptions and Catalog'!$C$52,((D788+E788)*C788-G788)*'Assumptions and Catalog'!$H$52+'Assumptions and Catalog'!$E$52+'Assumptions and Catalog'!$F$52,IF(((D788+E788)*C788-G788)&lt;='Assumptions and Catalog'!$C$53,((D788+E788)*C788-G788)*'Assumptions and Catalog'!$H$53+'Assumptions and Catalog'!$E$53+'Assumptions and Catalog'!$F$53,IF(((D788+E788)*C788-G788)&lt;='Assumptions and Catalog'!$C$54,((D788+E788)*C788-G788)*'Assumptions and Catalog'!$H$54+'Assumptions and Catalog'!$E$54+'Assumptions and Catalog'!$F$54,IF(((D788+E788)*C788-G788)&lt;='Assumptions and Catalog'!$C$55,((D788+E788)*C788-G788)*'Assumptions and Catalog'!$H$55+'Assumptions and Catalog'!$E$55+'Assumptions and Catalog'!$F$55,IF(((D788+E788)*C788-G788)&lt;='Assumptions and Catalog'!$C$56,((D788+E788)*C788-G788)*'Assumptions and Catalog'!$H$56+'Assumptions and Catalog'!$E$56+'Assumptions and Catalog'!$F$56,IF(((D788+E788)*C788-G788)&lt;='Assumptions and Catalog'!$C$57,((D788+E788)*C788-G788)*'Assumptions and Catalog'!$H$57+'Assumptions and Catalog'!$E$57+'Assumptions and Catalog'!$F$57,"Out of range")))))))),IF(((D788+E788)*C788-G788)&lt;='Assumptions and Catalog'!$C$60,((D788+E788)*C788-G788)*'Assumptions and Catalog'!$H$60+'Assumptions and Catalog'!$E$60+'Assumptions and Catalog'!$F$60,IF(((D788+E788)*C788-G788)&lt;='Assumptions and Catalog'!$C$61,((D788+E788)*C788-G788)*'Assumptions and Catalog'!$H$61+'Assumptions and Catalog'!$E$61+'Assumptions and Catalog'!$F$61,IF(((D788+E788)*C788-G788)&lt;='Assumptions and Catalog'!$C$62,((D788+E788)*C788-G788)*'Assumptions and Catalog'!$H$62+'Assumptions and Catalog'!$E$62+'Assumptions and Catalog'!$F$62,IF(((D788+E788)*C788-G788)&lt;='Assumptions and Catalog'!$C$63,((D788+E788)*C788-G788)*'Assumptions and Catalog'!$H$63+'Assumptions and Catalog'!$E$63+'Assumptions and Catalog'!$F$63,IF(((D788+E788)*C788-G788)&lt;='Assumptions and Catalog'!$C$64,((D788+E788)*C788-G788)*'Assumptions and Catalog'!$H$64+'Assumptions and Catalog'!$E$64+'Assumptions and Catalog'!$F$64,IF(((D788+E788)*C788-G788)&lt;='Assumptions and Catalog'!$C$65,((D788+E788)*C788-G788)*'Assumptions and Catalog'!$H$65+'Assumptions and Catalog'!$E$65+'Assumptions and Catalog'!$F$65,"Out of range")))))))))*(1+'Assumptions and Catalog'!$C$8)^(A788-1),0)</f>
        <v>3567.397</v>
      </c>
      <c r="R788" s="5" t="n">
        <f>IF(AND('Assumptions and Catalog'!$C$19&gt;0,A788&gt;='Assumptions and Catalog'!$C$19),A788-'Assumptions and Catalog'!$C$19,A788-1)</f>
        <v>0</v>
      </c>
      <c r="S788" s="5" t="n">
        <f>F788+L788-(D788+E788)*C788-J788-K788-IF(E$52&gt;0,'Assumptions and Catalog'!$C$26*C788,0)</f>
        <v>-2.8421709430404E-013</v>
      </c>
      <c r="T788" s="5"/>
      <c r="U788" s="5"/>
    </row>
    <row r="789" ht="23.100000381469727" customHeight="1">
      <c r="A789" s="5" t="n">
        <v>11</v>
      </c>
      <c r="B789" s="5" t="n">
        <v>9</v>
      </c>
      <c r="C789" s="5" t="n">
        <f>DAY(DATE('Assumptions and Catalog'!$C$24+A789-1,B789+1,0))</f>
        <v>30</v>
      </c>
      <c r="D789" s="5" t="n">
        <f>IF(ISNUMBER(Inputs!$L$5),Inputs!$L$5*Inputs!$L$6,0)</f>
        <v>40.35</v>
      </c>
      <c r="E789" s="5" t="n">
        <f>IF(ISNUMBER(Inputs!$L$5),Inputs!$L$5-D789,0)</f>
        <v>40.35</v>
      </c>
      <c r="F789" s="5" t="n">
        <f>E$51*INDEX('Solar Production'!$D$20:$D$31,B789)*C789*(1-'Assumptions and Catalog'!$C$10)^(A789-1)</f>
        <v>1684.41604105488</v>
      </c>
      <c r="G789" s="5" t="n">
        <f>MIN(F789,D789*C789)</f>
        <v>1210.5</v>
      </c>
      <c r="H789" s="5" t="n">
        <f>I789/('Assumptions and Catalog'!$C$11*'Assumptions and Catalog'!$C$12)</f>
        <v>315.076923076923</v>
      </c>
      <c r="I789" s="5" t="n">
        <f>MIN(E789*C789,P789*'Assumptions and Catalog'!$C$12*C789,(F789-G789)*'Assumptions and Catalog'!$C$11*'Assumptions and Catalog'!$C$12,E$56*'Assumptions and Catalog'!$C$14*'Assumptions and Catalog'!$C$11*'Assumptions and Catalog'!$C$12*C789,E$57*(24-'Assumptions and Catalog'!$C$13)*C789)</f>
        <v>299.52</v>
      </c>
      <c r="J789" s="5" t="n">
        <f>MAX(F789-G789-H789,0)</f>
        <v>158.839117977959</v>
      </c>
      <c r="K789" s="5" t="n">
        <f>H789-I789</f>
        <v>15.5569230769231</v>
      </c>
      <c r="L789" s="5" t="n">
        <f>(D789+E789)*C789-G789-I789+0+IF(E$52&gt;0,'Assumptions and Catalog'!$C$26*C789,0)</f>
        <v>910.98</v>
      </c>
      <c r="M789" s="5" t="n">
        <f>IF(ISNUMBER(Inputs!$L$5),(IF(Inputs!$L$9="Actual flat rate",((D789+E789)*C789)*Inputs!$L$10,IF(Inputs!$C$9="Residential",IF(((D789+E789)*C789)&lt;='Assumptions and Catalog'!$C$50,((D789+E789)*C789)*'Assumptions and Catalog'!$H$50+'Assumptions and Catalog'!$E$50+'Assumptions and Catalog'!$F$50,IF(((D789+E789)*C789)&lt;='Assumptions and Catalog'!$C$51,((D789+E789)*C789)*'Assumptions and Catalog'!$H$51+'Assumptions and Catalog'!$E$51+'Assumptions and Catalog'!$F$51,IF(((D789+E789)*C789)&lt;='Assumptions and Catalog'!$C$52,((D789+E789)*C789)*'Assumptions and Catalog'!$H$52+'Assumptions and Catalog'!$E$52+'Assumptions and Catalog'!$F$52,IF(((D789+E789)*C789)&lt;='Assumptions and Catalog'!$C$53,((D789+E789)*C789)*'Assumptions and Catalog'!$H$53+'Assumptions and Catalog'!$E$53+'Assumptions and Catalog'!$F$53,IF(((D789+E789)*C789)&lt;='Assumptions and Catalog'!$C$54,((D789+E789)*C789)*'Assumptions and Catalog'!$H$54+'Assumptions and Catalog'!$E$54+'Assumptions and Catalog'!$F$54,IF(((D789+E789)*C789)&lt;='Assumptions and Catalog'!$C$55,((D789+E789)*C789)*'Assumptions and Catalog'!$H$55+'Assumptions and Catalog'!$E$55+'Assumptions and Catalog'!$F$55,IF(((D789+E789)*C789)&lt;='Assumptions and Catalog'!$C$56,((D789+E789)*C789)*'Assumptions and Catalog'!$H$56+'Assumptions and Catalog'!$E$56+'Assumptions and Catalog'!$F$56,IF(((D789+E789)*C789)&lt;='Assumptions and Catalog'!$C$57,((D789+E789)*C789)*'Assumptions and Catalog'!$H$57+'Assumptions and Catalog'!$E$57+'Assumptions and Catalog'!$F$57,"Out of range")))))))),IF(((D789+E789)*C789)&lt;='Assumptions and Catalog'!$C$60,((D789+E789)*C789)*'Assumptions and Catalog'!$H$60+'Assumptions and Catalog'!$E$60+'Assumptions and Catalog'!$F$60,IF(((D789+E789)*C789)&lt;='Assumptions and Catalog'!$C$61,((D789+E789)*C789)*'Assumptions and Catalog'!$H$61+'Assumptions and Catalog'!$E$61+'Assumptions and Catalog'!$F$61,IF(((D789+E789)*C789)&lt;='Assumptions and Catalog'!$C$62,((D789+E789)*C789)*'Assumptions and Catalog'!$H$62+'Assumptions and Catalog'!$E$62+'Assumptions and Catalog'!$F$62,IF(((D789+E789)*C789)&lt;='Assumptions and Catalog'!$C$63,((D789+E789)*C789)*'Assumptions and Catalog'!$H$63+'Assumptions and Catalog'!$E$63+'Assumptions and Catalog'!$F$63,IF(((D789+E789)*C789)&lt;='Assumptions and Catalog'!$C$64,((D789+E789)*C789)*'Assumptions and Catalog'!$H$64+'Assumptions and Catalog'!$E$64+'Assumptions and Catalog'!$F$64,IF(((D789+E789)*C789)&lt;='Assumptions and Catalog'!$C$65,((D789+E789)*C789)*'Assumptions and Catalog'!$H$65+'Assumptions and Catalog'!$E$65+'Assumptions and Catalog'!$F$65,"Out of range")))))))))*(1+'Assumptions and Catalog'!$C$8)^(A789-1),0)</f>
        <v>6867.22</v>
      </c>
      <c r="N789" s="5" t="n">
        <f>IF(ISNUMBER(Inputs!$L$5),(IF(Inputs!$L$9="Actual flat rate",L789*Inputs!$L$10,IF(Inputs!$C$9="Residential",IF(L789&lt;='Assumptions and Catalog'!$C$50,L789*'Assumptions and Catalog'!$H$50+'Assumptions and Catalog'!$E$50+'Assumptions and Catalog'!$F$50,IF(L789&lt;='Assumptions and Catalog'!$C$51,L789*'Assumptions and Catalog'!$H$51+'Assumptions and Catalog'!$E$51+'Assumptions and Catalog'!$F$51,IF(L789&lt;='Assumptions and Catalog'!$C$52,L789*'Assumptions and Catalog'!$H$52+'Assumptions and Catalog'!$E$52+'Assumptions and Catalog'!$F$52,IF(L789&lt;='Assumptions and Catalog'!$C$53,L789*'Assumptions and Catalog'!$H$53+'Assumptions and Catalog'!$E$53+'Assumptions and Catalog'!$F$53,IF(L789&lt;='Assumptions and Catalog'!$C$54,L789*'Assumptions and Catalog'!$H$54+'Assumptions and Catalog'!$E$54+'Assumptions and Catalog'!$F$54,IF(L789&lt;='Assumptions and Catalog'!$C$55,L789*'Assumptions and Catalog'!$H$55+'Assumptions and Catalog'!$E$55+'Assumptions and Catalog'!$F$55,IF(L789&lt;='Assumptions and Catalog'!$C$56,L789*'Assumptions and Catalog'!$H$56+'Assumptions and Catalog'!$E$56+'Assumptions and Catalog'!$F$56,IF(L789&lt;='Assumptions and Catalog'!$C$57,L789*'Assumptions and Catalog'!$H$57+'Assumptions and Catalog'!$E$57+'Assumptions and Catalog'!$F$57,"Out of range")))))))),IF(L789&lt;='Assumptions and Catalog'!$C$60,L789*'Assumptions and Catalog'!$H$60+'Assumptions and Catalog'!$E$60+'Assumptions and Catalog'!$F$60,IF(L789&lt;='Assumptions and Catalog'!$C$61,L789*'Assumptions and Catalog'!$H$61+'Assumptions and Catalog'!$E$61+'Assumptions and Catalog'!$F$61,IF(L789&lt;='Assumptions and Catalog'!$C$62,L789*'Assumptions and Catalog'!$H$62+'Assumptions and Catalog'!$E$62+'Assumptions and Catalog'!$F$62,IF(L789&lt;='Assumptions and Catalog'!$C$63,L789*'Assumptions and Catalog'!$H$63+'Assumptions and Catalog'!$E$63+'Assumptions and Catalog'!$F$63,IF(L789&lt;='Assumptions and Catalog'!$C$64,L789*'Assumptions and Catalog'!$H$64+'Assumptions and Catalog'!$E$64+'Assumptions and Catalog'!$F$64,IF(L789&lt;='Assumptions and Catalog'!$C$65,L789*'Assumptions and Catalog'!$H$65+'Assumptions and Catalog'!$E$65+'Assumptions and Catalog'!$F$65,"Out of range")))))))))*(1+'Assumptions and Catalog'!$C$8)^(A789-1),0)</f>
        <v>2488.4146</v>
      </c>
      <c r="O789" s="5" t="n">
        <f>M789-N789</f>
        <v>4378.8054</v>
      </c>
      <c r="P789" s="5" t="n">
        <f>E$55*(1-L$14)*(1-'Assumptions and Catalog'!$C$23)^R789</f>
        <v>10.24</v>
      </c>
      <c r="Q789" s="5" t="n">
        <f>IF(ISNUMBER(Inputs!$L$5),(IF(Inputs!$L$9="Actual flat rate",((D789+E789)*C789-G789)*Inputs!$L$10,IF(Inputs!$C$9="Residential",IF(((D789+E789)*C789-G789)&lt;='Assumptions and Catalog'!$C$50,((D789+E789)*C789-G789)*'Assumptions and Catalog'!$H$50+'Assumptions and Catalog'!$E$50+'Assumptions and Catalog'!$F$50,IF(((D789+E789)*C789-G789)&lt;='Assumptions and Catalog'!$C$51,((D789+E789)*C789-G789)*'Assumptions and Catalog'!$H$51+'Assumptions and Catalog'!$E$51+'Assumptions and Catalog'!$F$51,IF(((D789+E789)*C789-G789)&lt;='Assumptions and Catalog'!$C$52,((D789+E789)*C789-G789)*'Assumptions and Catalog'!$H$52+'Assumptions and Catalog'!$E$52+'Assumptions and Catalog'!$F$52,IF(((D789+E789)*C789-G789)&lt;='Assumptions and Catalog'!$C$53,((D789+E789)*C789-G789)*'Assumptions and Catalog'!$H$53+'Assumptions and Catalog'!$E$53+'Assumptions and Catalog'!$F$53,IF(((D789+E789)*C789-G789)&lt;='Assumptions and Catalog'!$C$54,((D789+E789)*C789-G789)*'Assumptions and Catalog'!$H$54+'Assumptions and Catalog'!$E$54+'Assumptions and Catalog'!$F$54,IF(((D789+E789)*C789-G789)&lt;='Assumptions and Catalog'!$C$55,((D789+E789)*C789-G789)*'Assumptions and Catalog'!$H$55+'Assumptions and Catalog'!$E$55+'Assumptions and Catalog'!$F$55,IF(((D789+E789)*C789-G789)&lt;='Assumptions and Catalog'!$C$56,((D789+E789)*C789-G789)*'Assumptions and Catalog'!$H$56+'Assumptions and Catalog'!$E$56+'Assumptions and Catalog'!$F$56,IF(((D789+E789)*C789-G789)&lt;='Assumptions and Catalog'!$C$57,((D789+E789)*C789-G789)*'Assumptions and Catalog'!$H$57+'Assumptions and Catalog'!$E$57+'Assumptions and Catalog'!$F$57,"Out of range")))))))),IF(((D789+E789)*C789-G789)&lt;='Assumptions and Catalog'!$C$60,((D789+E789)*C789-G789)*'Assumptions and Catalog'!$H$60+'Assumptions and Catalog'!$E$60+'Assumptions and Catalog'!$F$60,IF(((D789+E789)*C789-G789)&lt;='Assumptions and Catalog'!$C$61,((D789+E789)*C789-G789)*'Assumptions and Catalog'!$H$61+'Assumptions and Catalog'!$E$61+'Assumptions and Catalog'!$F$61,IF(((D789+E789)*C789-G789)&lt;='Assumptions and Catalog'!$C$62,((D789+E789)*C789-G789)*'Assumptions and Catalog'!$H$62+'Assumptions and Catalog'!$E$62+'Assumptions and Catalog'!$F$62,IF(((D789+E789)*C789-G789)&lt;='Assumptions and Catalog'!$C$63,((D789+E789)*C789-G789)*'Assumptions and Catalog'!$H$63+'Assumptions and Catalog'!$E$63+'Assumptions and Catalog'!$F$63,IF(((D789+E789)*C789-G789)&lt;='Assumptions and Catalog'!$C$64,((D789+E789)*C789-G789)*'Assumptions and Catalog'!$H$64+'Assumptions and Catalog'!$E$64+'Assumptions and Catalog'!$F$64,IF(((D789+E789)*C789-G789)&lt;='Assumptions and Catalog'!$C$65,((D789+E789)*C789-G789)*'Assumptions and Catalog'!$H$65+'Assumptions and Catalog'!$E$65+'Assumptions and Catalog'!$F$65,"Out of range")))))))))*(1+'Assumptions and Catalog'!$C$8)^(A789-1),0)</f>
        <v>3453.61</v>
      </c>
      <c r="R789" s="5" t="n">
        <f>IF(AND('Assumptions and Catalog'!$C$19&gt;0,A789&gt;='Assumptions and Catalog'!$C$19),A789-'Assumptions and Catalog'!$C$19,A789-1)</f>
        <v>0</v>
      </c>
      <c r="S789" s="5" t="n">
        <f>F789+L789-(D789+E789)*C789-J789-K789-IF(E$52&gt;0,'Assumptions and Catalog'!$C$26*C789,0)</f>
        <v>5.6843418860808E-014</v>
      </c>
      <c r="T789" s="5"/>
      <c r="U789" s="5"/>
    </row>
    <row r="790" ht="23.100000381469727" customHeight="1">
      <c r="A790" s="5" t="n">
        <v>11</v>
      </c>
      <c r="B790" s="5" t="n">
        <v>10</v>
      </c>
      <c r="C790" s="5" t="n">
        <f>DAY(DATE('Assumptions and Catalog'!$C$24+A790-1,B790+1,0))</f>
        <v>31</v>
      </c>
      <c r="D790" s="5" t="n">
        <f>IF(ISNUMBER(Inputs!$L$5),Inputs!$L$5*Inputs!$L$6,0)</f>
        <v>40.35</v>
      </c>
      <c r="E790" s="5" t="n">
        <f>IF(ISNUMBER(Inputs!$L$5),Inputs!$L$5-D790,0)</f>
        <v>40.35</v>
      </c>
      <c r="F790" s="5" t="n">
        <f>E$51*INDEX('Solar Production'!$D$20:$D$31,B790)*C790*(1-'Assumptions and Catalog'!$C$10)^(A790-1)</f>
        <v>1616.72553306963</v>
      </c>
      <c r="G790" s="5" t="n">
        <f>MIN(F790,D790*C790)</f>
        <v>1250.85</v>
      </c>
      <c r="H790" s="5" t="n">
        <f>I790/('Assumptions and Catalog'!$C$11*'Assumptions and Catalog'!$C$12)</f>
        <v>325.579487179487</v>
      </c>
      <c r="I790" s="5" t="n">
        <f>MIN(E790*C790,P790*'Assumptions and Catalog'!$C$12*C790,(F790-G790)*'Assumptions and Catalog'!$C$11*'Assumptions and Catalog'!$C$12,E$56*'Assumptions and Catalog'!$C$14*'Assumptions and Catalog'!$C$11*'Assumptions and Catalog'!$C$12*C790,E$57*(24-'Assumptions and Catalog'!$C$13)*C790)</f>
        <v>309.504</v>
      </c>
      <c r="J790" s="5" t="n">
        <f>MAX(F790-G790-H790,0)</f>
        <v>40.2960458901458</v>
      </c>
      <c r="K790" s="5" t="n">
        <f>H790-I790</f>
        <v>16.0754871794872</v>
      </c>
      <c r="L790" s="5" t="n">
        <f>(D790+E790)*C790-G790-I790+0+IF(E$52&gt;0,'Assumptions and Catalog'!$C$26*C790,0)</f>
        <v>941.346</v>
      </c>
      <c r="M790" s="5" t="n">
        <f>IF(ISNUMBER(Inputs!$L$5),(IF(Inputs!$L$9="Actual flat rate",((D790+E790)*C790)*Inputs!$L$10,IF(Inputs!$C$9="Residential",IF(((D790+E790)*C790)&lt;='Assumptions and Catalog'!$C$50,((D790+E790)*C790)*'Assumptions and Catalog'!$H$50+'Assumptions and Catalog'!$E$50+'Assumptions and Catalog'!$F$50,IF(((D790+E790)*C790)&lt;='Assumptions and Catalog'!$C$51,((D790+E790)*C790)*'Assumptions and Catalog'!$H$51+'Assumptions and Catalog'!$E$51+'Assumptions and Catalog'!$F$51,IF(((D790+E790)*C790)&lt;='Assumptions and Catalog'!$C$52,((D790+E790)*C790)*'Assumptions and Catalog'!$H$52+'Assumptions and Catalog'!$E$52+'Assumptions and Catalog'!$F$52,IF(((D790+E790)*C790)&lt;='Assumptions and Catalog'!$C$53,((D790+E790)*C790)*'Assumptions and Catalog'!$H$53+'Assumptions and Catalog'!$E$53+'Assumptions and Catalog'!$F$53,IF(((D790+E790)*C790)&lt;='Assumptions and Catalog'!$C$54,((D790+E790)*C790)*'Assumptions and Catalog'!$H$54+'Assumptions and Catalog'!$E$54+'Assumptions and Catalog'!$F$54,IF(((D790+E790)*C790)&lt;='Assumptions and Catalog'!$C$55,((D790+E790)*C790)*'Assumptions and Catalog'!$H$55+'Assumptions and Catalog'!$E$55+'Assumptions and Catalog'!$F$55,IF(((D790+E790)*C790)&lt;='Assumptions and Catalog'!$C$56,((D790+E790)*C790)*'Assumptions and Catalog'!$H$56+'Assumptions and Catalog'!$E$56+'Assumptions and Catalog'!$F$56,IF(((D790+E790)*C790)&lt;='Assumptions and Catalog'!$C$57,((D790+E790)*C790)*'Assumptions and Catalog'!$H$57+'Assumptions and Catalog'!$E$57+'Assumptions and Catalog'!$F$57,"Out of range")))))))),IF(((D790+E790)*C790)&lt;='Assumptions and Catalog'!$C$60,((D790+E790)*C790)*'Assumptions and Catalog'!$H$60+'Assumptions and Catalog'!$E$60+'Assumptions and Catalog'!$F$60,IF(((D790+E790)*C790)&lt;='Assumptions and Catalog'!$C$61,((D790+E790)*C790)*'Assumptions and Catalog'!$H$61+'Assumptions and Catalog'!$E$61+'Assumptions and Catalog'!$F$61,IF(((D790+E790)*C790)&lt;='Assumptions and Catalog'!$C$62,((D790+E790)*C790)*'Assumptions and Catalog'!$H$62+'Assumptions and Catalog'!$E$62+'Assumptions and Catalog'!$F$62,IF(((D790+E790)*C790)&lt;='Assumptions and Catalog'!$C$63,((D790+E790)*C790)*'Assumptions and Catalog'!$H$63+'Assumptions and Catalog'!$E$63+'Assumptions and Catalog'!$F$63,IF(((D790+E790)*C790)&lt;='Assumptions and Catalog'!$C$64,((D790+E790)*C790)*'Assumptions and Catalog'!$H$64+'Assumptions and Catalog'!$E$64+'Assumptions and Catalog'!$F$64,IF(((D790+E790)*C790)&lt;='Assumptions and Catalog'!$C$65,((D790+E790)*C790)*'Assumptions and Catalog'!$H$65+'Assumptions and Catalog'!$E$65+'Assumptions and Catalog'!$F$65,"Out of range")))))))))*(1+'Assumptions and Catalog'!$C$8)^(A790-1),0)</f>
        <v>7094.794</v>
      </c>
      <c r="N790" s="5" t="n">
        <f>IF(ISNUMBER(Inputs!$L$5),(IF(Inputs!$L$9="Actual flat rate",L790*Inputs!$L$10,IF(Inputs!$C$9="Residential",IF(L790&lt;='Assumptions and Catalog'!$C$50,L790*'Assumptions and Catalog'!$H$50+'Assumptions and Catalog'!$E$50+'Assumptions and Catalog'!$F$50,IF(L790&lt;='Assumptions and Catalog'!$C$51,L790*'Assumptions and Catalog'!$H$51+'Assumptions and Catalog'!$E$51+'Assumptions and Catalog'!$F$51,IF(L790&lt;='Assumptions and Catalog'!$C$52,L790*'Assumptions and Catalog'!$H$52+'Assumptions and Catalog'!$E$52+'Assumptions and Catalog'!$F$52,IF(L790&lt;='Assumptions and Catalog'!$C$53,L790*'Assumptions and Catalog'!$H$53+'Assumptions and Catalog'!$E$53+'Assumptions and Catalog'!$F$53,IF(L790&lt;='Assumptions and Catalog'!$C$54,L790*'Assumptions and Catalog'!$H$54+'Assumptions and Catalog'!$E$54+'Assumptions and Catalog'!$F$54,IF(L790&lt;='Assumptions and Catalog'!$C$55,L790*'Assumptions and Catalog'!$H$55+'Assumptions and Catalog'!$E$55+'Assumptions and Catalog'!$F$55,IF(L790&lt;='Assumptions and Catalog'!$C$56,L790*'Assumptions and Catalog'!$H$56+'Assumptions and Catalog'!$E$56+'Assumptions and Catalog'!$F$56,IF(L790&lt;='Assumptions and Catalog'!$C$57,L790*'Assumptions and Catalog'!$H$57+'Assumptions and Catalog'!$E$57+'Assumptions and Catalog'!$F$57,"Out of range")))))))),IF(L790&lt;='Assumptions and Catalog'!$C$60,L790*'Assumptions and Catalog'!$H$60+'Assumptions and Catalog'!$E$60+'Assumptions and Catalog'!$F$60,IF(L790&lt;='Assumptions and Catalog'!$C$61,L790*'Assumptions and Catalog'!$H$61+'Assumptions and Catalog'!$E$61+'Assumptions and Catalog'!$F$61,IF(L790&lt;='Assumptions and Catalog'!$C$62,L790*'Assumptions and Catalog'!$H$62+'Assumptions and Catalog'!$E$62+'Assumptions and Catalog'!$F$62,IF(L790&lt;='Assumptions and Catalog'!$C$63,L790*'Assumptions and Catalog'!$H$63+'Assumptions and Catalog'!$E$63+'Assumptions and Catalog'!$F$63,IF(L790&lt;='Assumptions and Catalog'!$C$64,L790*'Assumptions and Catalog'!$H$64+'Assumptions and Catalog'!$E$64+'Assumptions and Catalog'!$F$64,IF(L790&lt;='Assumptions and Catalog'!$C$65,L790*'Assumptions and Catalog'!$H$65+'Assumptions and Catalog'!$E$65+'Assumptions and Catalog'!$F$65,"Out of range")))))))))*(1+'Assumptions and Catalog'!$C$8)^(A790-1),0)</f>
        <v>2572.52842</v>
      </c>
      <c r="O790" s="5" t="n">
        <f>M790-N790</f>
        <v>4522.26558</v>
      </c>
      <c r="P790" s="5" t="n">
        <f>E$55*(1-L$14)*(1-'Assumptions and Catalog'!$C$23)^R790</f>
        <v>10.24</v>
      </c>
      <c r="Q790" s="5" t="n">
        <f>IF(ISNUMBER(Inputs!$L$5),(IF(Inputs!$L$9="Actual flat rate",((D790+E790)*C790-G790)*Inputs!$L$10,IF(Inputs!$C$9="Residential",IF(((D790+E790)*C790-G790)&lt;='Assumptions and Catalog'!$C$50,((D790+E790)*C790-G790)*'Assumptions and Catalog'!$H$50+'Assumptions and Catalog'!$E$50+'Assumptions and Catalog'!$F$50,IF(((D790+E790)*C790-G790)&lt;='Assumptions and Catalog'!$C$51,((D790+E790)*C790-G790)*'Assumptions and Catalog'!$H$51+'Assumptions and Catalog'!$E$51+'Assumptions and Catalog'!$F$51,IF(((D790+E790)*C790-G790)&lt;='Assumptions and Catalog'!$C$52,((D790+E790)*C790-G790)*'Assumptions and Catalog'!$H$52+'Assumptions and Catalog'!$E$52+'Assumptions and Catalog'!$F$52,IF(((D790+E790)*C790-G790)&lt;='Assumptions and Catalog'!$C$53,((D790+E790)*C790-G790)*'Assumptions and Catalog'!$H$53+'Assumptions and Catalog'!$E$53+'Assumptions and Catalog'!$F$53,IF(((D790+E790)*C790-G790)&lt;='Assumptions and Catalog'!$C$54,((D790+E790)*C790-G790)*'Assumptions and Catalog'!$H$54+'Assumptions and Catalog'!$E$54+'Assumptions and Catalog'!$F$54,IF(((D790+E790)*C790-G790)&lt;='Assumptions and Catalog'!$C$55,((D790+E790)*C790-G790)*'Assumptions and Catalog'!$H$55+'Assumptions and Catalog'!$E$55+'Assumptions and Catalog'!$F$55,IF(((D790+E790)*C790-G790)&lt;='Assumptions and Catalog'!$C$56,((D790+E790)*C790-G790)*'Assumptions and Catalog'!$H$56+'Assumptions and Catalog'!$E$56+'Assumptions and Catalog'!$F$56,IF(((D790+E790)*C790-G790)&lt;='Assumptions and Catalog'!$C$57,((D790+E790)*C790-G790)*'Assumptions and Catalog'!$H$57+'Assumptions and Catalog'!$E$57+'Assumptions and Catalog'!$F$57,"Out of range")))))))),IF(((D790+E790)*C790-G790)&lt;='Assumptions and Catalog'!$C$60,((D790+E790)*C790-G790)*'Assumptions and Catalog'!$H$60+'Assumptions and Catalog'!$E$60+'Assumptions and Catalog'!$F$60,IF(((D790+E790)*C790-G790)&lt;='Assumptions and Catalog'!$C$61,((D790+E790)*C790-G790)*'Assumptions and Catalog'!$H$61+'Assumptions and Catalog'!$E$61+'Assumptions and Catalog'!$F$61,IF(((D790+E790)*C790-G790)&lt;='Assumptions and Catalog'!$C$62,((D790+E790)*C790-G790)*'Assumptions and Catalog'!$H$62+'Assumptions and Catalog'!$E$62+'Assumptions and Catalog'!$F$62,IF(((D790+E790)*C790-G790)&lt;='Assumptions and Catalog'!$C$63,((D790+E790)*C790-G790)*'Assumptions and Catalog'!$H$63+'Assumptions and Catalog'!$E$63+'Assumptions and Catalog'!$F$63,IF(((D790+E790)*C790-G790)&lt;='Assumptions and Catalog'!$C$64,((D790+E790)*C790-G790)*'Assumptions and Catalog'!$H$64+'Assumptions and Catalog'!$E$64+'Assumptions and Catalog'!$F$64,IF(((D790+E790)*C790-G790)&lt;='Assumptions and Catalog'!$C$65,((D790+E790)*C790-G790)*'Assumptions and Catalog'!$H$65+'Assumptions and Catalog'!$E$65+'Assumptions and Catalog'!$F$65,"Out of range")))))))))*(1+'Assumptions and Catalog'!$C$8)^(A790-1),0)</f>
        <v>3567.397</v>
      </c>
      <c r="R790" s="5" t="n">
        <f>IF(AND('Assumptions and Catalog'!$C$19&gt;0,A790&gt;='Assumptions and Catalog'!$C$19),A790-'Assumptions and Catalog'!$C$19,A790-1)</f>
        <v>0</v>
      </c>
      <c r="S790" s="5" t="n">
        <f>F790+L790-(D790+E790)*C790-J790-K790-IF(E$52&gt;0,'Assumptions and Catalog'!$C$26*C790,0)</f>
        <v>-2.8421709430404E-013</v>
      </c>
      <c r="T790" s="5"/>
      <c r="U790" s="5"/>
    </row>
    <row r="791" ht="23.100000381469727" customHeight="1">
      <c r="A791" s="5" t="n">
        <v>11</v>
      </c>
      <c r="B791" s="5" t="n">
        <v>11</v>
      </c>
      <c r="C791" s="5" t="n">
        <f>DAY(DATE('Assumptions and Catalog'!$C$24+A791-1,B791+1,0))</f>
        <v>30</v>
      </c>
      <c r="D791" s="5" t="n">
        <f>IF(ISNUMBER(Inputs!$L$5),Inputs!$L$5*Inputs!$L$6,0)</f>
        <v>40.35</v>
      </c>
      <c r="E791" s="5" t="n">
        <f>IF(ISNUMBER(Inputs!$L$5),Inputs!$L$5-D791,0)</f>
        <v>40.35</v>
      </c>
      <c r="F791" s="5" t="n">
        <f>E$51*INDEX('Solar Production'!$D$20:$D$31,B791)*C791*(1-'Assumptions and Catalog'!$C$10)^(A791-1)</f>
        <v>1433.00910026886</v>
      </c>
      <c r="G791" s="5" t="n">
        <f>MIN(F791,D791*C791)</f>
        <v>1210.5</v>
      </c>
      <c r="H791" s="5" t="n">
        <f>I791/('Assumptions and Catalog'!$C$11*'Assumptions and Catalog'!$C$12)</f>
        <v>222.509100268865</v>
      </c>
      <c r="I791" s="5" t="n">
        <f>MIN(E791*C791,P791*'Assumptions and Catalog'!$C$12*C791,(F791-G791)*'Assumptions and Catalog'!$C$11*'Assumptions and Catalog'!$C$12,E$56*'Assumptions and Catalog'!$C$14*'Assumptions and Catalog'!$C$11*'Assumptions and Catalog'!$C$12*C791,E$57*(24-'Assumptions and Catalog'!$C$13)*C791)</f>
        <v>211.522713443089</v>
      </c>
      <c r="J791" s="5" t="n">
        <f>MAX(F791-G791-H791,0)</f>
        <v>0</v>
      </c>
      <c r="K791" s="5" t="n">
        <f>H791-I791</f>
        <v>10.9863868257752</v>
      </c>
      <c r="L791" s="5" t="n">
        <f>(D791+E791)*C791-G791-I791+0+IF(E$52&gt;0,'Assumptions and Catalog'!$C$26*C791,0)</f>
        <v>998.977286556911</v>
      </c>
      <c r="M791" s="5" t="n">
        <f>IF(ISNUMBER(Inputs!$L$5),(IF(Inputs!$L$9="Actual flat rate",((D791+E791)*C791)*Inputs!$L$10,IF(Inputs!$C$9="Residential",IF(((D791+E791)*C791)&lt;='Assumptions and Catalog'!$C$50,((D791+E791)*C791)*'Assumptions and Catalog'!$H$50+'Assumptions and Catalog'!$E$50+'Assumptions and Catalog'!$F$50,IF(((D791+E791)*C791)&lt;='Assumptions and Catalog'!$C$51,((D791+E791)*C791)*'Assumptions and Catalog'!$H$51+'Assumptions and Catalog'!$E$51+'Assumptions and Catalog'!$F$51,IF(((D791+E791)*C791)&lt;='Assumptions and Catalog'!$C$52,((D791+E791)*C791)*'Assumptions and Catalog'!$H$52+'Assumptions and Catalog'!$E$52+'Assumptions and Catalog'!$F$52,IF(((D791+E791)*C791)&lt;='Assumptions and Catalog'!$C$53,((D791+E791)*C791)*'Assumptions and Catalog'!$H$53+'Assumptions and Catalog'!$E$53+'Assumptions and Catalog'!$F$53,IF(((D791+E791)*C791)&lt;='Assumptions and Catalog'!$C$54,((D791+E791)*C791)*'Assumptions and Catalog'!$H$54+'Assumptions and Catalog'!$E$54+'Assumptions and Catalog'!$F$54,IF(((D791+E791)*C791)&lt;='Assumptions and Catalog'!$C$55,((D791+E791)*C791)*'Assumptions and Catalog'!$H$55+'Assumptions and Catalog'!$E$55+'Assumptions and Catalog'!$F$55,IF(((D791+E791)*C791)&lt;='Assumptions and Catalog'!$C$56,((D791+E791)*C791)*'Assumptions and Catalog'!$H$56+'Assumptions and Catalog'!$E$56+'Assumptions and Catalog'!$F$56,IF(((D791+E791)*C791)&lt;='Assumptions and Catalog'!$C$57,((D791+E791)*C791)*'Assumptions and Catalog'!$H$57+'Assumptions and Catalog'!$E$57+'Assumptions and Catalog'!$F$57,"Out of range")))))))),IF(((D791+E791)*C791)&lt;='Assumptions and Catalog'!$C$60,((D791+E791)*C791)*'Assumptions and Catalog'!$H$60+'Assumptions and Catalog'!$E$60+'Assumptions and Catalog'!$F$60,IF(((D791+E791)*C791)&lt;='Assumptions and Catalog'!$C$61,((D791+E791)*C791)*'Assumptions and Catalog'!$H$61+'Assumptions and Catalog'!$E$61+'Assumptions and Catalog'!$F$61,IF(((D791+E791)*C791)&lt;='Assumptions and Catalog'!$C$62,((D791+E791)*C791)*'Assumptions and Catalog'!$H$62+'Assumptions and Catalog'!$E$62+'Assumptions and Catalog'!$F$62,IF(((D791+E791)*C791)&lt;='Assumptions and Catalog'!$C$63,((D791+E791)*C791)*'Assumptions and Catalog'!$H$63+'Assumptions and Catalog'!$E$63+'Assumptions and Catalog'!$F$63,IF(((D791+E791)*C791)&lt;='Assumptions and Catalog'!$C$64,((D791+E791)*C791)*'Assumptions and Catalog'!$H$64+'Assumptions and Catalog'!$E$64+'Assumptions and Catalog'!$F$64,IF(((D791+E791)*C791)&lt;='Assumptions and Catalog'!$C$65,((D791+E791)*C791)*'Assumptions and Catalog'!$H$65+'Assumptions and Catalog'!$E$65+'Assumptions and Catalog'!$F$65,"Out of range")))))))))*(1+'Assumptions and Catalog'!$C$8)^(A791-1),0)</f>
        <v>6867.22</v>
      </c>
      <c r="N791" s="5" t="n">
        <f>IF(ISNUMBER(Inputs!$L$5),(IF(Inputs!$L$9="Actual flat rate",L791*Inputs!$L$10,IF(Inputs!$C$9="Residential",IF(L791&lt;='Assumptions and Catalog'!$C$50,L791*'Assumptions and Catalog'!$H$50+'Assumptions and Catalog'!$E$50+'Assumptions and Catalog'!$F$50,IF(L791&lt;='Assumptions and Catalog'!$C$51,L791*'Assumptions and Catalog'!$H$51+'Assumptions and Catalog'!$E$51+'Assumptions and Catalog'!$F$51,IF(L791&lt;='Assumptions and Catalog'!$C$52,L791*'Assumptions and Catalog'!$H$52+'Assumptions and Catalog'!$E$52+'Assumptions and Catalog'!$F$52,IF(L791&lt;='Assumptions and Catalog'!$C$53,L791*'Assumptions and Catalog'!$H$53+'Assumptions and Catalog'!$E$53+'Assumptions and Catalog'!$F$53,IF(L791&lt;='Assumptions and Catalog'!$C$54,L791*'Assumptions and Catalog'!$H$54+'Assumptions and Catalog'!$E$54+'Assumptions and Catalog'!$F$54,IF(L791&lt;='Assumptions and Catalog'!$C$55,L791*'Assumptions and Catalog'!$H$55+'Assumptions and Catalog'!$E$55+'Assumptions and Catalog'!$F$55,IF(L791&lt;='Assumptions and Catalog'!$C$56,L791*'Assumptions and Catalog'!$H$56+'Assumptions and Catalog'!$E$56+'Assumptions and Catalog'!$F$56,IF(L791&lt;='Assumptions and Catalog'!$C$57,L791*'Assumptions and Catalog'!$H$57+'Assumptions and Catalog'!$E$57+'Assumptions and Catalog'!$F$57,"Out of range")))))))),IF(L791&lt;='Assumptions and Catalog'!$C$60,L791*'Assumptions and Catalog'!$H$60+'Assumptions and Catalog'!$E$60+'Assumptions and Catalog'!$F$60,IF(L791&lt;='Assumptions and Catalog'!$C$61,L791*'Assumptions and Catalog'!$H$61+'Assumptions and Catalog'!$E$61+'Assumptions and Catalog'!$F$61,IF(L791&lt;='Assumptions and Catalog'!$C$62,L791*'Assumptions and Catalog'!$H$62+'Assumptions and Catalog'!$E$62+'Assumptions and Catalog'!$F$62,IF(L791&lt;='Assumptions and Catalog'!$C$63,L791*'Assumptions and Catalog'!$H$63+'Assumptions and Catalog'!$E$63+'Assumptions and Catalog'!$F$63,IF(L791&lt;='Assumptions and Catalog'!$C$64,L791*'Assumptions and Catalog'!$H$64+'Assumptions and Catalog'!$E$64+'Assumptions and Catalog'!$F$64,IF(L791&lt;='Assumptions and Catalog'!$C$65,L791*'Assumptions and Catalog'!$H$65+'Assumptions and Catalog'!$E$65+'Assumptions and Catalog'!$F$65,"Out of range")))))))))*(1+'Assumptions and Catalog'!$C$8)^(A791-1),0)</f>
        <v>2732.16708376264</v>
      </c>
      <c r="O791" s="5" t="n">
        <f>M791-N791</f>
        <v>4135.05291623736</v>
      </c>
      <c r="P791" s="5" t="n">
        <f>E$55*(1-L$14)*(1-'Assumptions and Catalog'!$C$23)^R791</f>
        <v>10.24</v>
      </c>
      <c r="Q791" s="5" t="n">
        <f>IF(ISNUMBER(Inputs!$L$5),(IF(Inputs!$L$9="Actual flat rate",((D791+E791)*C791-G791)*Inputs!$L$10,IF(Inputs!$C$9="Residential",IF(((D791+E791)*C791-G791)&lt;='Assumptions and Catalog'!$C$50,((D791+E791)*C791-G791)*'Assumptions and Catalog'!$H$50+'Assumptions and Catalog'!$E$50+'Assumptions and Catalog'!$F$50,IF(((D791+E791)*C791-G791)&lt;='Assumptions and Catalog'!$C$51,((D791+E791)*C791-G791)*'Assumptions and Catalog'!$H$51+'Assumptions and Catalog'!$E$51+'Assumptions and Catalog'!$F$51,IF(((D791+E791)*C791-G791)&lt;='Assumptions and Catalog'!$C$52,((D791+E791)*C791-G791)*'Assumptions and Catalog'!$H$52+'Assumptions and Catalog'!$E$52+'Assumptions and Catalog'!$F$52,IF(((D791+E791)*C791-G791)&lt;='Assumptions and Catalog'!$C$53,((D791+E791)*C791-G791)*'Assumptions and Catalog'!$H$53+'Assumptions and Catalog'!$E$53+'Assumptions and Catalog'!$F$53,IF(((D791+E791)*C791-G791)&lt;='Assumptions and Catalog'!$C$54,((D791+E791)*C791-G791)*'Assumptions and Catalog'!$H$54+'Assumptions and Catalog'!$E$54+'Assumptions and Catalog'!$F$54,IF(((D791+E791)*C791-G791)&lt;='Assumptions and Catalog'!$C$55,((D791+E791)*C791-G791)*'Assumptions and Catalog'!$H$55+'Assumptions and Catalog'!$E$55+'Assumptions and Catalog'!$F$55,IF(((D791+E791)*C791-G791)&lt;='Assumptions and Catalog'!$C$56,((D791+E791)*C791-G791)*'Assumptions and Catalog'!$H$56+'Assumptions and Catalog'!$E$56+'Assumptions and Catalog'!$F$56,IF(((D791+E791)*C791-G791)&lt;='Assumptions and Catalog'!$C$57,((D791+E791)*C791-G791)*'Assumptions and Catalog'!$H$57+'Assumptions and Catalog'!$E$57+'Assumptions and Catalog'!$F$57,"Out of range")))))))),IF(((D791+E791)*C791-G791)&lt;='Assumptions and Catalog'!$C$60,((D791+E791)*C791-G791)*'Assumptions and Catalog'!$H$60+'Assumptions and Catalog'!$E$60+'Assumptions and Catalog'!$F$60,IF(((D791+E791)*C791-G791)&lt;='Assumptions and Catalog'!$C$61,((D791+E791)*C791-G791)*'Assumptions and Catalog'!$H$61+'Assumptions and Catalog'!$E$61+'Assumptions and Catalog'!$F$61,IF(((D791+E791)*C791-G791)&lt;='Assumptions and Catalog'!$C$62,((D791+E791)*C791-G791)*'Assumptions and Catalog'!$H$62+'Assumptions and Catalog'!$E$62+'Assumptions and Catalog'!$F$62,IF(((D791+E791)*C791-G791)&lt;='Assumptions and Catalog'!$C$63,((D791+E791)*C791-G791)*'Assumptions and Catalog'!$H$63+'Assumptions and Catalog'!$E$63+'Assumptions and Catalog'!$F$63,IF(((D791+E791)*C791-G791)&lt;='Assumptions and Catalog'!$C$64,((D791+E791)*C791-G791)*'Assumptions and Catalog'!$H$64+'Assumptions and Catalog'!$E$64+'Assumptions and Catalog'!$F$64,IF(((D791+E791)*C791-G791)&lt;='Assumptions and Catalog'!$C$65,((D791+E791)*C791-G791)*'Assumptions and Catalog'!$H$65+'Assumptions and Catalog'!$E$65+'Assumptions and Catalog'!$F$65,"Out of range")))))))))*(1+'Assumptions and Catalog'!$C$8)^(A791-1),0)</f>
        <v>3453.61</v>
      </c>
      <c r="R791" s="5" t="n">
        <f>IF(AND('Assumptions and Catalog'!$C$19&gt;0,A791&gt;='Assumptions and Catalog'!$C$19),A791-'Assumptions and Catalog'!$C$19,A791-1)</f>
        <v>0</v>
      </c>
      <c r="S791" s="5" t="n">
        <f>F791+L791-(D791+E791)*C791-J791-K791-IF(E$52&gt;0,'Assumptions and Catalog'!$C$26*C791,0)</f>
        <v>8.5265128291212E-014</v>
      </c>
      <c r="T791" s="5"/>
      <c r="U791" s="5"/>
    </row>
    <row r="792" ht="23.100000381469727" customHeight="1">
      <c r="A792" s="5" t="n">
        <v>11</v>
      </c>
      <c r="B792" s="5" t="n">
        <v>12</v>
      </c>
      <c r="C792" s="5" t="n">
        <f>DAY(DATE('Assumptions and Catalog'!$C$24+A792-1,B792+1,0))</f>
        <v>31</v>
      </c>
      <c r="D792" s="5" t="n">
        <f>IF(ISNUMBER(Inputs!$L$5),Inputs!$L$5*Inputs!$L$6,0)</f>
        <v>40.35</v>
      </c>
      <c r="E792" s="5" t="n">
        <f>IF(ISNUMBER(Inputs!$L$5),Inputs!$L$5-D792,0)</f>
        <v>40.35</v>
      </c>
      <c r="F792" s="5" t="n">
        <f>E$51*INDEX('Solar Production'!$D$20:$D$31,B792)*C792*(1-'Assumptions and Catalog'!$C$10)^(A792-1)</f>
        <v>1364.2723711401</v>
      </c>
      <c r="G792" s="5" t="n">
        <f>MIN(F792,D792*C792)</f>
        <v>1250.85</v>
      </c>
      <c r="H792" s="5" t="n">
        <f>I792/('Assumptions and Catalog'!$C$11*'Assumptions and Catalog'!$C$12)</f>
        <v>113.422371140103</v>
      </c>
      <c r="I792" s="5" t="n">
        <f>MIN(E792*C792,P792*'Assumptions and Catalog'!$C$12*C792,(F792-G792)*'Assumptions and Catalog'!$C$11*'Assumptions and Catalog'!$C$12,E$56*'Assumptions and Catalog'!$C$14*'Assumptions and Catalog'!$C$11*'Assumptions and Catalog'!$C$12*C792,E$57*(24-'Assumptions and Catalog'!$C$13)*C792)</f>
        <v>107.822141565061</v>
      </c>
      <c r="J792" s="5" t="n">
        <f>MAX(F792-G792-H792,0)</f>
        <v>0</v>
      </c>
      <c r="K792" s="5" t="n">
        <f>H792-I792</f>
        <v>5.6002295750426</v>
      </c>
      <c r="L792" s="5" t="n">
        <f>(D792+E792)*C792-G792-I792+0+IF(E$52&gt;0,'Assumptions and Catalog'!$C$26*C792,0)</f>
        <v>1143.02785843494</v>
      </c>
      <c r="M792" s="5" t="n">
        <f>IF(ISNUMBER(Inputs!$L$5),(IF(Inputs!$L$9="Actual flat rate",((D792+E792)*C792)*Inputs!$L$10,IF(Inputs!$C$9="Residential",IF(((D792+E792)*C792)&lt;='Assumptions and Catalog'!$C$50,((D792+E792)*C792)*'Assumptions and Catalog'!$H$50+'Assumptions and Catalog'!$E$50+'Assumptions and Catalog'!$F$50,IF(((D792+E792)*C792)&lt;='Assumptions and Catalog'!$C$51,((D792+E792)*C792)*'Assumptions and Catalog'!$H$51+'Assumptions and Catalog'!$E$51+'Assumptions and Catalog'!$F$51,IF(((D792+E792)*C792)&lt;='Assumptions and Catalog'!$C$52,((D792+E792)*C792)*'Assumptions and Catalog'!$H$52+'Assumptions and Catalog'!$E$52+'Assumptions and Catalog'!$F$52,IF(((D792+E792)*C792)&lt;='Assumptions and Catalog'!$C$53,((D792+E792)*C792)*'Assumptions and Catalog'!$H$53+'Assumptions and Catalog'!$E$53+'Assumptions and Catalog'!$F$53,IF(((D792+E792)*C792)&lt;='Assumptions and Catalog'!$C$54,((D792+E792)*C792)*'Assumptions and Catalog'!$H$54+'Assumptions and Catalog'!$E$54+'Assumptions and Catalog'!$F$54,IF(((D792+E792)*C792)&lt;='Assumptions and Catalog'!$C$55,((D792+E792)*C792)*'Assumptions and Catalog'!$H$55+'Assumptions and Catalog'!$E$55+'Assumptions and Catalog'!$F$55,IF(((D792+E792)*C792)&lt;='Assumptions and Catalog'!$C$56,((D792+E792)*C792)*'Assumptions and Catalog'!$H$56+'Assumptions and Catalog'!$E$56+'Assumptions and Catalog'!$F$56,IF(((D792+E792)*C792)&lt;='Assumptions and Catalog'!$C$57,((D792+E792)*C792)*'Assumptions and Catalog'!$H$57+'Assumptions and Catalog'!$E$57+'Assumptions and Catalog'!$F$57,"Out of range")))))))),IF(((D792+E792)*C792)&lt;='Assumptions and Catalog'!$C$60,((D792+E792)*C792)*'Assumptions and Catalog'!$H$60+'Assumptions and Catalog'!$E$60+'Assumptions and Catalog'!$F$60,IF(((D792+E792)*C792)&lt;='Assumptions and Catalog'!$C$61,((D792+E792)*C792)*'Assumptions and Catalog'!$H$61+'Assumptions and Catalog'!$E$61+'Assumptions and Catalog'!$F$61,IF(((D792+E792)*C792)&lt;='Assumptions and Catalog'!$C$62,((D792+E792)*C792)*'Assumptions and Catalog'!$H$62+'Assumptions and Catalog'!$E$62+'Assumptions and Catalog'!$F$62,IF(((D792+E792)*C792)&lt;='Assumptions and Catalog'!$C$63,((D792+E792)*C792)*'Assumptions and Catalog'!$H$63+'Assumptions and Catalog'!$E$63+'Assumptions and Catalog'!$F$63,IF(((D792+E792)*C792)&lt;='Assumptions and Catalog'!$C$64,((D792+E792)*C792)*'Assumptions and Catalog'!$H$64+'Assumptions and Catalog'!$E$64+'Assumptions and Catalog'!$F$64,IF(((D792+E792)*C792)&lt;='Assumptions and Catalog'!$C$65,((D792+E792)*C792)*'Assumptions and Catalog'!$H$65+'Assumptions and Catalog'!$E$65+'Assumptions and Catalog'!$F$65,"Out of range")))))))))*(1+'Assumptions and Catalog'!$C$8)^(A792-1),0)</f>
        <v>7094.794</v>
      </c>
      <c r="N792" s="5" t="n">
        <f>IF(ISNUMBER(Inputs!$L$5),(IF(Inputs!$L$9="Actual flat rate",L792*Inputs!$L$10,IF(Inputs!$C$9="Residential",IF(L792&lt;='Assumptions and Catalog'!$C$50,L792*'Assumptions and Catalog'!$H$50+'Assumptions and Catalog'!$E$50+'Assumptions and Catalog'!$F$50,IF(L792&lt;='Assumptions and Catalog'!$C$51,L792*'Assumptions and Catalog'!$H$51+'Assumptions and Catalog'!$E$51+'Assumptions and Catalog'!$F$51,IF(L792&lt;='Assumptions and Catalog'!$C$52,L792*'Assumptions and Catalog'!$H$52+'Assumptions and Catalog'!$E$52+'Assumptions and Catalog'!$F$52,IF(L792&lt;='Assumptions and Catalog'!$C$53,L792*'Assumptions and Catalog'!$H$53+'Assumptions and Catalog'!$E$53+'Assumptions and Catalog'!$F$53,IF(L792&lt;='Assumptions and Catalog'!$C$54,L792*'Assumptions and Catalog'!$H$54+'Assumptions and Catalog'!$E$54+'Assumptions and Catalog'!$F$54,IF(L792&lt;='Assumptions and Catalog'!$C$55,L792*'Assumptions and Catalog'!$H$55+'Assumptions and Catalog'!$E$55+'Assumptions and Catalog'!$F$55,IF(L792&lt;='Assumptions and Catalog'!$C$56,L792*'Assumptions and Catalog'!$H$56+'Assumptions and Catalog'!$E$56+'Assumptions and Catalog'!$F$56,IF(L792&lt;='Assumptions and Catalog'!$C$57,L792*'Assumptions and Catalog'!$H$57+'Assumptions and Catalog'!$E$57+'Assumptions and Catalog'!$F$57,"Out of range")))))))),IF(L792&lt;='Assumptions and Catalog'!$C$60,L792*'Assumptions and Catalog'!$H$60+'Assumptions and Catalog'!$E$60+'Assumptions and Catalog'!$F$60,IF(L792&lt;='Assumptions and Catalog'!$C$61,L792*'Assumptions and Catalog'!$H$61+'Assumptions and Catalog'!$E$61+'Assumptions and Catalog'!$F$61,IF(L792&lt;='Assumptions and Catalog'!$C$62,L792*'Assumptions and Catalog'!$H$62+'Assumptions and Catalog'!$E$62+'Assumptions and Catalog'!$F$62,IF(L792&lt;='Assumptions and Catalog'!$C$63,L792*'Assumptions and Catalog'!$H$63+'Assumptions and Catalog'!$E$63+'Assumptions and Catalog'!$F$63,IF(L792&lt;='Assumptions and Catalog'!$C$64,L792*'Assumptions and Catalog'!$H$64+'Assumptions and Catalog'!$E$64+'Assumptions and Catalog'!$F$64,IF(L792&lt;='Assumptions and Catalog'!$C$65,L792*'Assumptions and Catalog'!$H$65+'Assumptions and Catalog'!$E$65+'Assumptions and Catalog'!$F$65,"Out of range")))))))))*(1+'Assumptions and Catalog'!$C$8)^(A792-1),0)</f>
        <v>3263.33856078653</v>
      </c>
      <c r="O792" s="5" t="n">
        <f>M792-N792</f>
        <v>3831.45543921347</v>
      </c>
      <c r="P792" s="5" t="n">
        <f>E$55*(1-L$14)*(1-'Assumptions and Catalog'!$C$23)^R792</f>
        <v>10.24</v>
      </c>
      <c r="Q792" s="5" t="n">
        <f>IF(ISNUMBER(Inputs!$L$5),(IF(Inputs!$L$9="Actual flat rate",((D792+E792)*C792-G792)*Inputs!$L$10,IF(Inputs!$C$9="Residential",IF(((D792+E792)*C792-G792)&lt;='Assumptions and Catalog'!$C$50,((D792+E792)*C792-G792)*'Assumptions and Catalog'!$H$50+'Assumptions and Catalog'!$E$50+'Assumptions and Catalog'!$F$50,IF(((D792+E792)*C792-G792)&lt;='Assumptions and Catalog'!$C$51,((D792+E792)*C792-G792)*'Assumptions and Catalog'!$H$51+'Assumptions and Catalog'!$E$51+'Assumptions and Catalog'!$F$51,IF(((D792+E792)*C792-G792)&lt;='Assumptions and Catalog'!$C$52,((D792+E792)*C792-G792)*'Assumptions and Catalog'!$H$52+'Assumptions and Catalog'!$E$52+'Assumptions and Catalog'!$F$52,IF(((D792+E792)*C792-G792)&lt;='Assumptions and Catalog'!$C$53,((D792+E792)*C792-G792)*'Assumptions and Catalog'!$H$53+'Assumptions and Catalog'!$E$53+'Assumptions and Catalog'!$F$53,IF(((D792+E792)*C792-G792)&lt;='Assumptions and Catalog'!$C$54,((D792+E792)*C792-G792)*'Assumptions and Catalog'!$H$54+'Assumptions and Catalog'!$E$54+'Assumptions and Catalog'!$F$54,IF(((D792+E792)*C792-G792)&lt;='Assumptions and Catalog'!$C$55,((D792+E792)*C792-G792)*'Assumptions and Catalog'!$H$55+'Assumptions and Catalog'!$E$55+'Assumptions and Catalog'!$F$55,IF(((D792+E792)*C792-G792)&lt;='Assumptions and Catalog'!$C$56,((D792+E792)*C792-G792)*'Assumptions and Catalog'!$H$56+'Assumptions and Catalog'!$E$56+'Assumptions and Catalog'!$F$56,IF(((D792+E792)*C792-G792)&lt;='Assumptions and Catalog'!$C$57,((D792+E792)*C792-G792)*'Assumptions and Catalog'!$H$57+'Assumptions and Catalog'!$E$57+'Assumptions and Catalog'!$F$57,"Out of range")))))))),IF(((D792+E792)*C792-G792)&lt;='Assumptions and Catalog'!$C$60,((D792+E792)*C792-G792)*'Assumptions and Catalog'!$H$60+'Assumptions and Catalog'!$E$60+'Assumptions and Catalog'!$F$60,IF(((D792+E792)*C792-G792)&lt;='Assumptions and Catalog'!$C$61,((D792+E792)*C792-G792)*'Assumptions and Catalog'!$H$61+'Assumptions and Catalog'!$E$61+'Assumptions and Catalog'!$F$61,IF(((D792+E792)*C792-G792)&lt;='Assumptions and Catalog'!$C$62,((D792+E792)*C792-G792)*'Assumptions and Catalog'!$H$62+'Assumptions and Catalog'!$E$62+'Assumptions and Catalog'!$F$62,IF(((D792+E792)*C792-G792)&lt;='Assumptions and Catalog'!$C$63,((D792+E792)*C792-G792)*'Assumptions and Catalog'!$H$63+'Assumptions and Catalog'!$E$63+'Assumptions and Catalog'!$F$63,IF(((D792+E792)*C792-G792)&lt;='Assumptions and Catalog'!$C$64,((D792+E792)*C792-G792)*'Assumptions and Catalog'!$H$64+'Assumptions and Catalog'!$E$64+'Assumptions and Catalog'!$F$64,IF(((D792+E792)*C792-G792)&lt;='Assumptions and Catalog'!$C$65,((D792+E792)*C792-G792)*'Assumptions and Catalog'!$H$65+'Assumptions and Catalog'!$E$65+'Assumptions and Catalog'!$F$65,"Out of range")))))))))*(1+'Assumptions and Catalog'!$C$8)^(A792-1),0)</f>
        <v>3567.397</v>
      </c>
      <c r="R792" s="5" t="n">
        <f>IF(AND('Assumptions and Catalog'!$C$19&gt;0,A792&gt;='Assumptions and Catalog'!$C$19),A792-'Assumptions and Catalog'!$C$19,A792-1)</f>
        <v>0</v>
      </c>
      <c r="S792" s="5" t="n">
        <f>F792+L792-(D792+E792)*C792-J792-K792-IF(E$52&gt;0,'Assumptions and Catalog'!$C$26*C792,0)</f>
        <v>9.9475983006414E-014</v>
      </c>
      <c r="T792" s="5"/>
      <c r="U792" s="5"/>
    </row>
    <row r="793" ht="23.100000381469727" customHeight="1">
      <c r="A793" s="5" t="n">
        <v>12</v>
      </c>
      <c r="B793" s="5" t="n">
        <v>1</v>
      </c>
      <c r="C793" s="5" t="n">
        <f>DAY(DATE('Assumptions and Catalog'!$C$24+A793-1,B793+1,0))</f>
        <v>31</v>
      </c>
      <c r="D793" s="5" t="n">
        <f>IF(ISNUMBER(Inputs!$L$5),Inputs!$L$5*Inputs!$L$6,0)</f>
        <v>40.35</v>
      </c>
      <c r="E793" s="5" t="n">
        <f>IF(ISNUMBER(Inputs!$L$5),Inputs!$L$5-D793,0)</f>
        <v>40.35</v>
      </c>
      <c r="F793" s="5" t="n">
        <f>E$51*INDEX('Solar Production'!$D$20:$D$31,B793)*C793*(1-'Assumptions and Catalog'!$C$10)^(A793-1)</f>
        <v>1366.81991962456</v>
      </c>
      <c r="G793" s="5" t="n">
        <f>MIN(F793,D793*C793)</f>
        <v>1250.85</v>
      </c>
      <c r="H793" s="5" t="n">
        <f>I793/('Assumptions and Catalog'!$C$11*'Assumptions and Catalog'!$C$12)</f>
        <v>115.969919624556</v>
      </c>
      <c r="I793" s="5" t="n">
        <f>MIN(E793*C793,P793*'Assumptions and Catalog'!$C$12*C793,(F793-G793)*'Assumptions and Catalog'!$C$11*'Assumptions and Catalog'!$C$12,E$56*'Assumptions and Catalog'!$C$14*'Assumptions and Catalog'!$C$11*'Assumptions and Catalog'!$C$12*C793,E$57*(24-'Assumptions and Catalog'!$C$13)*C793)</f>
        <v>110.243904843093</v>
      </c>
      <c r="J793" s="5" t="n">
        <f>MAX(F793-G793-H793,0)</f>
        <v>0</v>
      </c>
      <c r="K793" s="5" t="n">
        <f>H793-I793</f>
        <v>5.72601478146245</v>
      </c>
      <c r="L793" s="5" t="n">
        <f>(D793+E793)*C793-G793-I793+0+IF(E$52&gt;0,'Assumptions and Catalog'!$C$26*C793,0)</f>
        <v>1140.60609515691</v>
      </c>
      <c r="M793" s="5" t="n">
        <f>IF(ISNUMBER(Inputs!$L$5),(IF(Inputs!$L$9="Actual flat rate",((D793+E793)*C793)*Inputs!$L$10,IF(Inputs!$C$9="Residential",IF(((D793+E793)*C793)&lt;='Assumptions and Catalog'!$C$50,((D793+E793)*C793)*'Assumptions and Catalog'!$H$50+'Assumptions and Catalog'!$E$50+'Assumptions and Catalog'!$F$50,IF(((D793+E793)*C793)&lt;='Assumptions and Catalog'!$C$51,((D793+E793)*C793)*'Assumptions and Catalog'!$H$51+'Assumptions and Catalog'!$E$51+'Assumptions and Catalog'!$F$51,IF(((D793+E793)*C793)&lt;='Assumptions and Catalog'!$C$52,((D793+E793)*C793)*'Assumptions and Catalog'!$H$52+'Assumptions and Catalog'!$E$52+'Assumptions and Catalog'!$F$52,IF(((D793+E793)*C793)&lt;='Assumptions and Catalog'!$C$53,((D793+E793)*C793)*'Assumptions and Catalog'!$H$53+'Assumptions and Catalog'!$E$53+'Assumptions and Catalog'!$F$53,IF(((D793+E793)*C793)&lt;='Assumptions and Catalog'!$C$54,((D793+E793)*C793)*'Assumptions and Catalog'!$H$54+'Assumptions and Catalog'!$E$54+'Assumptions and Catalog'!$F$54,IF(((D793+E793)*C793)&lt;='Assumptions and Catalog'!$C$55,((D793+E793)*C793)*'Assumptions and Catalog'!$H$55+'Assumptions and Catalog'!$E$55+'Assumptions and Catalog'!$F$55,IF(((D793+E793)*C793)&lt;='Assumptions and Catalog'!$C$56,((D793+E793)*C793)*'Assumptions and Catalog'!$H$56+'Assumptions and Catalog'!$E$56+'Assumptions and Catalog'!$F$56,IF(((D793+E793)*C793)&lt;='Assumptions and Catalog'!$C$57,((D793+E793)*C793)*'Assumptions and Catalog'!$H$57+'Assumptions and Catalog'!$E$57+'Assumptions and Catalog'!$F$57,"Out of range")))))))),IF(((D793+E793)*C793)&lt;='Assumptions and Catalog'!$C$60,((D793+E793)*C793)*'Assumptions and Catalog'!$H$60+'Assumptions and Catalog'!$E$60+'Assumptions and Catalog'!$F$60,IF(((D793+E793)*C793)&lt;='Assumptions and Catalog'!$C$61,((D793+E793)*C793)*'Assumptions and Catalog'!$H$61+'Assumptions and Catalog'!$E$61+'Assumptions and Catalog'!$F$61,IF(((D793+E793)*C793)&lt;='Assumptions and Catalog'!$C$62,((D793+E793)*C793)*'Assumptions and Catalog'!$H$62+'Assumptions and Catalog'!$E$62+'Assumptions and Catalog'!$F$62,IF(((D793+E793)*C793)&lt;='Assumptions and Catalog'!$C$63,((D793+E793)*C793)*'Assumptions and Catalog'!$H$63+'Assumptions and Catalog'!$E$63+'Assumptions and Catalog'!$F$63,IF(((D793+E793)*C793)&lt;='Assumptions and Catalog'!$C$64,((D793+E793)*C793)*'Assumptions and Catalog'!$H$64+'Assumptions and Catalog'!$E$64+'Assumptions and Catalog'!$F$64,IF(((D793+E793)*C793)&lt;='Assumptions and Catalog'!$C$65,((D793+E793)*C793)*'Assumptions and Catalog'!$H$65+'Assumptions and Catalog'!$E$65+'Assumptions and Catalog'!$F$65,"Out of range")))))))))*(1+'Assumptions and Catalog'!$C$8)^(A793-1),0)</f>
        <v>7094.794</v>
      </c>
      <c r="N793" s="5" t="n">
        <f>IF(ISNUMBER(Inputs!$L$5),(IF(Inputs!$L$9="Actual flat rate",L793*Inputs!$L$10,IF(Inputs!$C$9="Residential",IF(L793&lt;='Assumptions and Catalog'!$C$50,L793*'Assumptions and Catalog'!$H$50+'Assumptions and Catalog'!$E$50+'Assumptions and Catalog'!$F$50,IF(L793&lt;='Assumptions and Catalog'!$C$51,L793*'Assumptions and Catalog'!$H$51+'Assumptions and Catalog'!$E$51+'Assumptions and Catalog'!$F$51,IF(L793&lt;='Assumptions and Catalog'!$C$52,L793*'Assumptions and Catalog'!$H$52+'Assumptions and Catalog'!$E$52+'Assumptions and Catalog'!$F$52,IF(L793&lt;='Assumptions and Catalog'!$C$53,L793*'Assumptions and Catalog'!$H$53+'Assumptions and Catalog'!$E$53+'Assumptions and Catalog'!$F$53,IF(L793&lt;='Assumptions and Catalog'!$C$54,L793*'Assumptions and Catalog'!$H$54+'Assumptions and Catalog'!$E$54+'Assumptions and Catalog'!$F$54,IF(L793&lt;='Assumptions and Catalog'!$C$55,L793*'Assumptions and Catalog'!$H$55+'Assumptions and Catalog'!$E$55+'Assumptions and Catalog'!$F$55,IF(L793&lt;='Assumptions and Catalog'!$C$56,L793*'Assumptions and Catalog'!$H$56+'Assumptions and Catalog'!$E$56+'Assumptions and Catalog'!$F$56,IF(L793&lt;='Assumptions and Catalog'!$C$57,L793*'Assumptions and Catalog'!$H$57+'Assumptions and Catalog'!$E$57+'Assumptions and Catalog'!$F$57,"Out of range")))))))),IF(L793&lt;='Assumptions and Catalog'!$C$60,L793*'Assumptions and Catalog'!$H$60+'Assumptions and Catalog'!$E$60+'Assumptions and Catalog'!$F$60,IF(L793&lt;='Assumptions and Catalog'!$C$61,L793*'Assumptions and Catalog'!$H$61+'Assumptions and Catalog'!$E$61+'Assumptions and Catalog'!$F$61,IF(L793&lt;='Assumptions and Catalog'!$C$62,L793*'Assumptions and Catalog'!$H$62+'Assumptions and Catalog'!$E$62+'Assumptions and Catalog'!$F$62,IF(L793&lt;='Assumptions and Catalog'!$C$63,L793*'Assumptions and Catalog'!$H$63+'Assumptions and Catalog'!$E$63+'Assumptions and Catalog'!$F$63,IF(L793&lt;='Assumptions and Catalog'!$C$64,L793*'Assumptions and Catalog'!$H$64+'Assumptions and Catalog'!$E$64+'Assumptions and Catalog'!$F$64,IF(L793&lt;='Assumptions and Catalog'!$C$65,L793*'Assumptions and Catalog'!$H$65+'Assumptions and Catalog'!$E$65+'Assumptions and Catalog'!$F$65,"Out of range")))))))))*(1+'Assumptions and Catalog'!$C$8)^(A793-1),0)</f>
        <v>3256.50918834248</v>
      </c>
      <c r="O793" s="5" t="n">
        <f>M793-N793</f>
        <v>3838.28481165752</v>
      </c>
      <c r="P793" s="5" t="n">
        <f>E$55*(1-L$14)*(1-'Assumptions and Catalog'!$C$23)^R793</f>
        <v>10.0352</v>
      </c>
      <c r="Q793" s="5" t="n">
        <f>IF(ISNUMBER(Inputs!$L$5),(IF(Inputs!$L$9="Actual flat rate",((D793+E793)*C793-G793)*Inputs!$L$10,IF(Inputs!$C$9="Residential",IF(((D793+E793)*C793-G793)&lt;='Assumptions and Catalog'!$C$50,((D793+E793)*C793-G793)*'Assumptions and Catalog'!$H$50+'Assumptions and Catalog'!$E$50+'Assumptions and Catalog'!$F$50,IF(((D793+E793)*C793-G793)&lt;='Assumptions and Catalog'!$C$51,((D793+E793)*C793-G793)*'Assumptions and Catalog'!$H$51+'Assumptions and Catalog'!$E$51+'Assumptions and Catalog'!$F$51,IF(((D793+E793)*C793-G793)&lt;='Assumptions and Catalog'!$C$52,((D793+E793)*C793-G793)*'Assumptions and Catalog'!$H$52+'Assumptions and Catalog'!$E$52+'Assumptions and Catalog'!$F$52,IF(((D793+E793)*C793-G793)&lt;='Assumptions and Catalog'!$C$53,((D793+E793)*C793-G793)*'Assumptions and Catalog'!$H$53+'Assumptions and Catalog'!$E$53+'Assumptions and Catalog'!$F$53,IF(((D793+E793)*C793-G793)&lt;='Assumptions and Catalog'!$C$54,((D793+E793)*C793-G793)*'Assumptions and Catalog'!$H$54+'Assumptions and Catalog'!$E$54+'Assumptions and Catalog'!$F$54,IF(((D793+E793)*C793-G793)&lt;='Assumptions and Catalog'!$C$55,((D793+E793)*C793-G793)*'Assumptions and Catalog'!$H$55+'Assumptions and Catalog'!$E$55+'Assumptions and Catalog'!$F$55,IF(((D793+E793)*C793-G793)&lt;='Assumptions and Catalog'!$C$56,((D793+E793)*C793-G793)*'Assumptions and Catalog'!$H$56+'Assumptions and Catalog'!$E$56+'Assumptions and Catalog'!$F$56,IF(((D793+E793)*C793-G793)&lt;='Assumptions and Catalog'!$C$57,((D793+E793)*C793-G793)*'Assumptions and Catalog'!$H$57+'Assumptions and Catalog'!$E$57+'Assumptions and Catalog'!$F$57,"Out of range")))))))),IF(((D793+E793)*C793-G793)&lt;='Assumptions and Catalog'!$C$60,((D793+E793)*C793-G793)*'Assumptions and Catalog'!$H$60+'Assumptions and Catalog'!$E$60+'Assumptions and Catalog'!$F$60,IF(((D793+E793)*C793-G793)&lt;='Assumptions and Catalog'!$C$61,((D793+E793)*C793-G793)*'Assumptions and Catalog'!$H$61+'Assumptions and Catalog'!$E$61+'Assumptions and Catalog'!$F$61,IF(((D793+E793)*C793-G793)&lt;='Assumptions and Catalog'!$C$62,((D793+E793)*C793-G793)*'Assumptions and Catalog'!$H$62+'Assumptions and Catalog'!$E$62+'Assumptions and Catalog'!$F$62,IF(((D793+E793)*C793-G793)&lt;='Assumptions and Catalog'!$C$63,((D793+E793)*C793-G793)*'Assumptions and Catalog'!$H$63+'Assumptions and Catalog'!$E$63+'Assumptions and Catalog'!$F$63,IF(((D793+E793)*C793-G793)&lt;='Assumptions and Catalog'!$C$64,((D793+E793)*C793-G793)*'Assumptions and Catalog'!$H$64+'Assumptions and Catalog'!$E$64+'Assumptions and Catalog'!$F$64,IF(((D793+E793)*C793-G793)&lt;='Assumptions and Catalog'!$C$65,((D793+E793)*C793-G793)*'Assumptions and Catalog'!$H$65+'Assumptions and Catalog'!$E$65+'Assumptions and Catalog'!$F$65,"Out of range")))))))))*(1+'Assumptions and Catalog'!$C$8)^(A793-1),0)</f>
        <v>3567.397</v>
      </c>
      <c r="R793" s="5" t="n">
        <f>IF(AND('Assumptions and Catalog'!$C$19&gt;0,A793&gt;='Assumptions and Catalog'!$C$19),A793-'Assumptions and Catalog'!$C$19,A793-1)</f>
        <v>1</v>
      </c>
      <c r="S793" s="5" t="n">
        <f>F793+L793-(D793+E793)*C793-J793-K793-IF(E$52&gt;0,'Assumptions and Catalog'!$C$26*C793,0)</f>
        <v>2.55795384873636E-013</v>
      </c>
      <c r="T793" s="5"/>
      <c r="U793" s="5"/>
    </row>
    <row r="794" ht="23.100000381469727" customHeight="1">
      <c r="A794" s="5" t="n">
        <v>12</v>
      </c>
      <c r="B794" s="5" t="n">
        <v>2</v>
      </c>
      <c r="C794" s="5" t="n">
        <f>DAY(DATE('Assumptions and Catalog'!$C$24+A794-1,B794+1,0))</f>
        <v>28</v>
      </c>
      <c r="D794" s="5" t="n">
        <f>IF(ISNUMBER(Inputs!$L$5),Inputs!$L$5*Inputs!$L$6,0)</f>
        <v>40.35</v>
      </c>
      <c r="E794" s="5" t="n">
        <f>IF(ISNUMBER(Inputs!$L$5),Inputs!$L$5-D794,0)</f>
        <v>40.35</v>
      </c>
      <c r="F794" s="5" t="n">
        <f>E$51*INDEX('Solar Production'!$D$20:$D$31,B794)*C794*(1-'Assumptions and Catalog'!$C$10)^(A794-1)</f>
        <v>1347.56160392535</v>
      </c>
      <c r="G794" s="5" t="n">
        <f>MIN(F794,D794*C794)</f>
        <v>1129.8</v>
      </c>
      <c r="H794" s="5" t="n">
        <f>I794/('Assumptions and Catalog'!$C$11*'Assumptions and Catalog'!$C$12)</f>
        <v>217.761603925352</v>
      </c>
      <c r="I794" s="5" t="n">
        <f>MIN(E794*C794,P794*'Assumptions and Catalog'!$C$12*C794,(F794-G794)*'Assumptions and Catalog'!$C$11*'Assumptions and Catalog'!$C$12,E$56*'Assumptions and Catalog'!$C$14*'Assumptions and Catalog'!$C$11*'Assumptions and Catalog'!$C$12*C794,E$57*(24-'Assumptions and Catalog'!$C$13)*C794)</f>
        <v>207.009624731538</v>
      </c>
      <c r="J794" s="5" t="n">
        <f>MAX(F794-G794-H794,0)</f>
        <v>0</v>
      </c>
      <c r="K794" s="5" t="n">
        <f>H794-I794</f>
        <v>10.7519791938143</v>
      </c>
      <c r="L794" s="5" t="n">
        <f>(D794+E794)*C794-G794-I794+0+IF(E$52&gt;0,'Assumptions and Catalog'!$C$26*C794,0)</f>
        <v>922.790375268462</v>
      </c>
      <c r="M794" s="5" t="n">
        <f>IF(ISNUMBER(Inputs!$L$5),(IF(Inputs!$L$9="Actual flat rate",((D794+E794)*C794)*Inputs!$L$10,IF(Inputs!$C$9="Residential",IF(((D794+E794)*C794)&lt;='Assumptions and Catalog'!$C$50,((D794+E794)*C794)*'Assumptions and Catalog'!$H$50+'Assumptions and Catalog'!$E$50+'Assumptions and Catalog'!$F$50,IF(((D794+E794)*C794)&lt;='Assumptions and Catalog'!$C$51,((D794+E794)*C794)*'Assumptions and Catalog'!$H$51+'Assumptions and Catalog'!$E$51+'Assumptions and Catalog'!$F$51,IF(((D794+E794)*C794)&lt;='Assumptions and Catalog'!$C$52,((D794+E794)*C794)*'Assumptions and Catalog'!$H$52+'Assumptions and Catalog'!$E$52+'Assumptions and Catalog'!$F$52,IF(((D794+E794)*C794)&lt;='Assumptions and Catalog'!$C$53,((D794+E794)*C794)*'Assumptions and Catalog'!$H$53+'Assumptions and Catalog'!$E$53+'Assumptions and Catalog'!$F$53,IF(((D794+E794)*C794)&lt;='Assumptions and Catalog'!$C$54,((D794+E794)*C794)*'Assumptions and Catalog'!$H$54+'Assumptions and Catalog'!$E$54+'Assumptions and Catalog'!$F$54,IF(((D794+E794)*C794)&lt;='Assumptions and Catalog'!$C$55,((D794+E794)*C794)*'Assumptions and Catalog'!$H$55+'Assumptions and Catalog'!$E$55+'Assumptions and Catalog'!$F$55,IF(((D794+E794)*C794)&lt;='Assumptions and Catalog'!$C$56,((D794+E794)*C794)*'Assumptions and Catalog'!$H$56+'Assumptions and Catalog'!$E$56+'Assumptions and Catalog'!$F$56,IF(((D794+E794)*C794)&lt;='Assumptions and Catalog'!$C$57,((D794+E794)*C794)*'Assumptions and Catalog'!$H$57+'Assumptions and Catalog'!$E$57+'Assumptions and Catalog'!$F$57,"Out of range")))))))),IF(((D794+E794)*C794)&lt;='Assumptions and Catalog'!$C$60,((D794+E794)*C794)*'Assumptions and Catalog'!$H$60+'Assumptions and Catalog'!$E$60+'Assumptions and Catalog'!$F$60,IF(((D794+E794)*C794)&lt;='Assumptions and Catalog'!$C$61,((D794+E794)*C794)*'Assumptions and Catalog'!$H$61+'Assumptions and Catalog'!$E$61+'Assumptions and Catalog'!$F$61,IF(((D794+E794)*C794)&lt;='Assumptions and Catalog'!$C$62,((D794+E794)*C794)*'Assumptions and Catalog'!$H$62+'Assumptions and Catalog'!$E$62+'Assumptions and Catalog'!$F$62,IF(((D794+E794)*C794)&lt;='Assumptions and Catalog'!$C$63,((D794+E794)*C794)*'Assumptions and Catalog'!$H$63+'Assumptions and Catalog'!$E$63+'Assumptions and Catalog'!$F$63,IF(((D794+E794)*C794)&lt;='Assumptions and Catalog'!$C$64,((D794+E794)*C794)*'Assumptions and Catalog'!$H$64+'Assumptions and Catalog'!$E$64+'Assumptions and Catalog'!$F$64,IF(((D794+E794)*C794)&lt;='Assumptions and Catalog'!$C$65,((D794+E794)*C794)*'Assumptions and Catalog'!$H$65+'Assumptions and Catalog'!$E$65+'Assumptions and Catalog'!$F$65,"Out of range")))))))))*(1+'Assumptions and Catalog'!$C$8)^(A794-1),0)</f>
        <v>6412.072</v>
      </c>
      <c r="N794" s="5" t="n">
        <f>IF(ISNUMBER(Inputs!$L$5),(IF(Inputs!$L$9="Actual flat rate",L794*Inputs!$L$10,IF(Inputs!$C$9="Residential",IF(L794&lt;='Assumptions and Catalog'!$C$50,L794*'Assumptions and Catalog'!$H$50+'Assumptions and Catalog'!$E$50+'Assumptions and Catalog'!$F$50,IF(L794&lt;='Assumptions and Catalog'!$C$51,L794*'Assumptions and Catalog'!$H$51+'Assumptions and Catalog'!$E$51+'Assumptions and Catalog'!$F$51,IF(L794&lt;='Assumptions and Catalog'!$C$52,L794*'Assumptions and Catalog'!$H$52+'Assumptions and Catalog'!$E$52+'Assumptions and Catalog'!$F$52,IF(L794&lt;='Assumptions and Catalog'!$C$53,L794*'Assumptions and Catalog'!$H$53+'Assumptions and Catalog'!$E$53+'Assumptions and Catalog'!$F$53,IF(L794&lt;='Assumptions and Catalog'!$C$54,L794*'Assumptions and Catalog'!$H$54+'Assumptions and Catalog'!$E$54+'Assumptions and Catalog'!$F$54,IF(L794&lt;='Assumptions and Catalog'!$C$55,L794*'Assumptions and Catalog'!$H$55+'Assumptions and Catalog'!$E$55+'Assumptions and Catalog'!$F$55,IF(L794&lt;='Assumptions and Catalog'!$C$56,L794*'Assumptions and Catalog'!$H$56+'Assumptions and Catalog'!$E$56+'Assumptions and Catalog'!$F$56,IF(L794&lt;='Assumptions and Catalog'!$C$57,L794*'Assumptions and Catalog'!$H$57+'Assumptions and Catalog'!$E$57+'Assumptions and Catalog'!$F$57,"Out of range")))))))),IF(L794&lt;='Assumptions and Catalog'!$C$60,L794*'Assumptions and Catalog'!$H$60+'Assumptions and Catalog'!$E$60+'Assumptions and Catalog'!$F$60,IF(L794&lt;='Assumptions and Catalog'!$C$61,L794*'Assumptions and Catalog'!$H$61+'Assumptions and Catalog'!$E$61+'Assumptions and Catalog'!$F$61,IF(L794&lt;='Assumptions and Catalog'!$C$62,L794*'Assumptions and Catalog'!$H$62+'Assumptions and Catalog'!$E$62+'Assumptions and Catalog'!$F$62,IF(L794&lt;='Assumptions and Catalog'!$C$63,L794*'Assumptions and Catalog'!$H$63+'Assumptions and Catalog'!$E$63+'Assumptions and Catalog'!$F$63,IF(L794&lt;='Assumptions and Catalog'!$C$64,L794*'Assumptions and Catalog'!$H$64+'Assumptions and Catalog'!$E$64+'Assumptions and Catalog'!$F$64,IF(L794&lt;='Assumptions and Catalog'!$C$65,L794*'Assumptions and Catalog'!$H$65+'Assumptions and Catalog'!$E$65+'Assumptions and Catalog'!$F$65,"Out of range")))))))))*(1+'Assumptions and Catalog'!$C$8)^(A794-1),0)</f>
        <v>2521.12933949364</v>
      </c>
      <c r="O794" s="5" t="n">
        <f>M794-N794</f>
        <v>3890.94266050636</v>
      </c>
      <c r="P794" s="5" t="n">
        <f>E$55*(1-L$14)*(1-'Assumptions and Catalog'!$C$23)^R794</f>
        <v>10.0352</v>
      </c>
      <c r="Q794" s="5" t="n">
        <f>IF(ISNUMBER(Inputs!$L$5),(IF(Inputs!$L$9="Actual flat rate",((D794+E794)*C794-G794)*Inputs!$L$10,IF(Inputs!$C$9="Residential",IF(((D794+E794)*C794-G794)&lt;='Assumptions and Catalog'!$C$50,((D794+E794)*C794-G794)*'Assumptions and Catalog'!$H$50+'Assumptions and Catalog'!$E$50+'Assumptions and Catalog'!$F$50,IF(((D794+E794)*C794-G794)&lt;='Assumptions and Catalog'!$C$51,((D794+E794)*C794-G794)*'Assumptions and Catalog'!$H$51+'Assumptions and Catalog'!$E$51+'Assumptions and Catalog'!$F$51,IF(((D794+E794)*C794-G794)&lt;='Assumptions and Catalog'!$C$52,((D794+E794)*C794-G794)*'Assumptions and Catalog'!$H$52+'Assumptions and Catalog'!$E$52+'Assumptions and Catalog'!$F$52,IF(((D794+E794)*C794-G794)&lt;='Assumptions and Catalog'!$C$53,((D794+E794)*C794-G794)*'Assumptions and Catalog'!$H$53+'Assumptions and Catalog'!$E$53+'Assumptions and Catalog'!$F$53,IF(((D794+E794)*C794-G794)&lt;='Assumptions and Catalog'!$C$54,((D794+E794)*C794-G794)*'Assumptions and Catalog'!$H$54+'Assumptions and Catalog'!$E$54+'Assumptions and Catalog'!$F$54,IF(((D794+E794)*C794-G794)&lt;='Assumptions and Catalog'!$C$55,((D794+E794)*C794-G794)*'Assumptions and Catalog'!$H$55+'Assumptions and Catalog'!$E$55+'Assumptions and Catalog'!$F$55,IF(((D794+E794)*C794-G794)&lt;='Assumptions and Catalog'!$C$56,((D794+E794)*C794-G794)*'Assumptions and Catalog'!$H$56+'Assumptions and Catalog'!$E$56+'Assumptions and Catalog'!$F$56,IF(((D794+E794)*C794-G794)&lt;='Assumptions and Catalog'!$C$57,((D794+E794)*C794-G794)*'Assumptions and Catalog'!$H$57+'Assumptions and Catalog'!$E$57+'Assumptions and Catalog'!$F$57,"Out of range")))))))),IF(((D794+E794)*C794-G794)&lt;='Assumptions and Catalog'!$C$60,((D794+E794)*C794-G794)*'Assumptions and Catalog'!$H$60+'Assumptions and Catalog'!$E$60+'Assumptions and Catalog'!$F$60,IF(((D794+E794)*C794-G794)&lt;='Assumptions and Catalog'!$C$61,((D794+E794)*C794-G794)*'Assumptions and Catalog'!$H$61+'Assumptions and Catalog'!$E$61+'Assumptions and Catalog'!$F$61,IF(((D794+E794)*C794-G794)&lt;='Assumptions and Catalog'!$C$62,((D794+E794)*C794-G794)*'Assumptions and Catalog'!$H$62+'Assumptions and Catalog'!$E$62+'Assumptions and Catalog'!$F$62,IF(((D794+E794)*C794-G794)&lt;='Assumptions and Catalog'!$C$63,((D794+E794)*C794-G794)*'Assumptions and Catalog'!$H$63+'Assumptions and Catalog'!$E$63+'Assumptions and Catalog'!$F$63,IF(((D794+E794)*C794-G794)&lt;='Assumptions and Catalog'!$C$64,((D794+E794)*C794-G794)*'Assumptions and Catalog'!$H$64+'Assumptions and Catalog'!$E$64+'Assumptions and Catalog'!$F$64,IF(((D794+E794)*C794-G794)&lt;='Assumptions and Catalog'!$C$65,((D794+E794)*C794-G794)*'Assumptions and Catalog'!$H$65+'Assumptions and Catalog'!$E$65+'Assumptions and Catalog'!$F$65,"Out of range")))))))))*(1+'Assumptions and Catalog'!$C$8)^(A794-1),0)</f>
        <v>3226.036</v>
      </c>
      <c r="R794" s="5" t="n">
        <f>IF(AND('Assumptions and Catalog'!$C$19&gt;0,A794&gt;='Assumptions and Catalog'!$C$19),A794-'Assumptions and Catalog'!$C$19,A794-1)</f>
        <v>1</v>
      </c>
      <c r="S794" s="5" t="n">
        <f>F794+L794-(D794+E794)*C794-J794-K794-IF(E$52&gt;0,'Assumptions and Catalog'!$C$26*C794,0)</f>
        <v>8.5265128291212E-014</v>
      </c>
      <c r="T794" s="5"/>
      <c r="U794" s="5"/>
    </row>
    <row r="795" ht="23.100000381469727" customHeight="1">
      <c r="A795" s="5" t="n">
        <v>12</v>
      </c>
      <c r="B795" s="5" t="n">
        <v>3</v>
      </c>
      <c r="C795" s="5" t="n">
        <f>DAY(DATE('Assumptions and Catalog'!$C$24+A795-1,B795+1,0))</f>
        <v>31</v>
      </c>
      <c r="D795" s="5" t="n">
        <f>IF(ISNUMBER(Inputs!$L$5),Inputs!$L$5*Inputs!$L$6,0)</f>
        <v>40.35</v>
      </c>
      <c r="E795" s="5" t="n">
        <f>IF(ISNUMBER(Inputs!$L$5),Inputs!$L$5-D795,0)</f>
        <v>40.35</v>
      </c>
      <c r="F795" s="5" t="n">
        <f>E$51*INDEX('Solar Production'!$D$20:$D$31,B795)*C795*(1-'Assumptions and Catalog'!$C$10)^(A795-1)</f>
        <v>1676.61855487228</v>
      </c>
      <c r="G795" s="5" t="n">
        <f>MIN(F795,D795*C795)</f>
        <v>1250.85</v>
      </c>
      <c r="H795" s="5" t="n">
        <f>I795/('Assumptions and Catalog'!$C$11*'Assumptions and Catalog'!$C$12)</f>
        <v>319.067897435898</v>
      </c>
      <c r="I795" s="5" t="n">
        <f>MIN(E795*C795,P795*'Assumptions and Catalog'!$C$12*C795,(F795-G795)*'Assumptions and Catalog'!$C$11*'Assumptions and Catalog'!$C$12,E$56*'Assumptions and Catalog'!$C$14*'Assumptions and Catalog'!$C$11*'Assumptions and Catalog'!$C$12*C795,E$57*(24-'Assumptions and Catalog'!$C$13)*C795)</f>
        <v>303.31392</v>
      </c>
      <c r="J795" s="5" t="n">
        <f>MAX(F795-G795-H795,0)</f>
        <v>106.700657436387</v>
      </c>
      <c r="K795" s="5" t="n">
        <f>H795-I795</f>
        <v>15.7539774358975</v>
      </c>
      <c r="L795" s="5" t="n">
        <f>(D795+E795)*C795-G795-I795+0+IF(E$52&gt;0,'Assumptions and Catalog'!$C$26*C795,0)</f>
        <v>947.53608</v>
      </c>
      <c r="M795" s="5" t="n">
        <f>IF(ISNUMBER(Inputs!$L$5),(IF(Inputs!$L$9="Actual flat rate",((D795+E795)*C795)*Inputs!$L$10,IF(Inputs!$C$9="Residential",IF(((D795+E795)*C795)&lt;='Assumptions and Catalog'!$C$50,((D795+E795)*C795)*'Assumptions and Catalog'!$H$50+'Assumptions and Catalog'!$E$50+'Assumptions and Catalog'!$F$50,IF(((D795+E795)*C795)&lt;='Assumptions and Catalog'!$C$51,((D795+E795)*C795)*'Assumptions and Catalog'!$H$51+'Assumptions and Catalog'!$E$51+'Assumptions and Catalog'!$F$51,IF(((D795+E795)*C795)&lt;='Assumptions and Catalog'!$C$52,((D795+E795)*C795)*'Assumptions and Catalog'!$H$52+'Assumptions and Catalog'!$E$52+'Assumptions and Catalog'!$F$52,IF(((D795+E795)*C795)&lt;='Assumptions and Catalog'!$C$53,((D795+E795)*C795)*'Assumptions and Catalog'!$H$53+'Assumptions and Catalog'!$E$53+'Assumptions and Catalog'!$F$53,IF(((D795+E795)*C795)&lt;='Assumptions and Catalog'!$C$54,((D795+E795)*C795)*'Assumptions and Catalog'!$H$54+'Assumptions and Catalog'!$E$54+'Assumptions and Catalog'!$F$54,IF(((D795+E795)*C795)&lt;='Assumptions and Catalog'!$C$55,((D795+E795)*C795)*'Assumptions and Catalog'!$H$55+'Assumptions and Catalog'!$E$55+'Assumptions and Catalog'!$F$55,IF(((D795+E795)*C795)&lt;='Assumptions and Catalog'!$C$56,((D795+E795)*C795)*'Assumptions and Catalog'!$H$56+'Assumptions and Catalog'!$E$56+'Assumptions and Catalog'!$F$56,IF(((D795+E795)*C795)&lt;='Assumptions and Catalog'!$C$57,((D795+E795)*C795)*'Assumptions and Catalog'!$H$57+'Assumptions and Catalog'!$E$57+'Assumptions and Catalog'!$F$57,"Out of range")))))))),IF(((D795+E795)*C795)&lt;='Assumptions and Catalog'!$C$60,((D795+E795)*C795)*'Assumptions and Catalog'!$H$60+'Assumptions and Catalog'!$E$60+'Assumptions and Catalog'!$F$60,IF(((D795+E795)*C795)&lt;='Assumptions and Catalog'!$C$61,((D795+E795)*C795)*'Assumptions and Catalog'!$H$61+'Assumptions and Catalog'!$E$61+'Assumptions and Catalog'!$F$61,IF(((D795+E795)*C795)&lt;='Assumptions and Catalog'!$C$62,((D795+E795)*C795)*'Assumptions and Catalog'!$H$62+'Assumptions and Catalog'!$E$62+'Assumptions and Catalog'!$F$62,IF(((D795+E795)*C795)&lt;='Assumptions and Catalog'!$C$63,((D795+E795)*C795)*'Assumptions and Catalog'!$H$63+'Assumptions and Catalog'!$E$63+'Assumptions and Catalog'!$F$63,IF(((D795+E795)*C795)&lt;='Assumptions and Catalog'!$C$64,((D795+E795)*C795)*'Assumptions and Catalog'!$H$64+'Assumptions and Catalog'!$E$64+'Assumptions and Catalog'!$F$64,IF(((D795+E795)*C795)&lt;='Assumptions and Catalog'!$C$65,((D795+E795)*C795)*'Assumptions and Catalog'!$H$65+'Assumptions and Catalog'!$E$65+'Assumptions and Catalog'!$F$65,"Out of range")))))))))*(1+'Assumptions and Catalog'!$C$8)^(A795-1),0)</f>
        <v>7094.794</v>
      </c>
      <c r="N795" s="5" t="n">
        <f>IF(ISNUMBER(Inputs!$L$5),(IF(Inputs!$L$9="Actual flat rate",L795*Inputs!$L$10,IF(Inputs!$C$9="Residential",IF(L795&lt;='Assumptions and Catalog'!$C$50,L795*'Assumptions and Catalog'!$H$50+'Assumptions and Catalog'!$E$50+'Assumptions and Catalog'!$F$50,IF(L795&lt;='Assumptions and Catalog'!$C$51,L795*'Assumptions and Catalog'!$H$51+'Assumptions and Catalog'!$E$51+'Assumptions and Catalog'!$F$51,IF(L795&lt;='Assumptions and Catalog'!$C$52,L795*'Assumptions and Catalog'!$H$52+'Assumptions and Catalog'!$E$52+'Assumptions and Catalog'!$F$52,IF(L795&lt;='Assumptions and Catalog'!$C$53,L795*'Assumptions and Catalog'!$H$53+'Assumptions and Catalog'!$E$53+'Assumptions and Catalog'!$F$53,IF(L795&lt;='Assumptions and Catalog'!$C$54,L795*'Assumptions and Catalog'!$H$54+'Assumptions and Catalog'!$E$54+'Assumptions and Catalog'!$F$54,IF(L795&lt;='Assumptions and Catalog'!$C$55,L795*'Assumptions and Catalog'!$H$55+'Assumptions and Catalog'!$E$55+'Assumptions and Catalog'!$F$55,IF(L795&lt;='Assumptions and Catalog'!$C$56,L795*'Assumptions and Catalog'!$H$56+'Assumptions and Catalog'!$E$56+'Assumptions and Catalog'!$F$56,IF(L795&lt;='Assumptions and Catalog'!$C$57,L795*'Assumptions and Catalog'!$H$57+'Assumptions and Catalog'!$E$57+'Assumptions and Catalog'!$F$57,"Out of range")))))))),IF(L795&lt;='Assumptions and Catalog'!$C$60,L795*'Assumptions and Catalog'!$H$60+'Assumptions and Catalog'!$E$60+'Assumptions and Catalog'!$F$60,IF(L795&lt;='Assumptions and Catalog'!$C$61,L795*'Assumptions and Catalog'!$H$61+'Assumptions and Catalog'!$E$61+'Assumptions and Catalog'!$F$61,IF(L795&lt;='Assumptions and Catalog'!$C$62,L795*'Assumptions and Catalog'!$H$62+'Assumptions and Catalog'!$E$62+'Assumptions and Catalog'!$F$62,IF(L795&lt;='Assumptions and Catalog'!$C$63,L795*'Assumptions and Catalog'!$H$63+'Assumptions and Catalog'!$E$63+'Assumptions and Catalog'!$F$63,IF(L795&lt;='Assumptions and Catalog'!$C$64,L795*'Assumptions and Catalog'!$H$64+'Assumptions and Catalog'!$E$64+'Assumptions and Catalog'!$F$64,IF(L795&lt;='Assumptions and Catalog'!$C$65,L795*'Assumptions and Catalog'!$H$65+'Assumptions and Catalog'!$E$65+'Assumptions and Catalog'!$F$65,"Out of range")))))))))*(1+'Assumptions and Catalog'!$C$8)^(A795-1),0)</f>
        <v>2589.6749416</v>
      </c>
      <c r="O795" s="5" t="n">
        <f>M795-N795</f>
        <v>4505.1190584</v>
      </c>
      <c r="P795" s="5" t="n">
        <f>E$55*(1-L$14)*(1-'Assumptions and Catalog'!$C$23)^R795</f>
        <v>10.0352</v>
      </c>
      <c r="Q795" s="5" t="n">
        <f>IF(ISNUMBER(Inputs!$L$5),(IF(Inputs!$L$9="Actual flat rate",((D795+E795)*C795-G795)*Inputs!$L$10,IF(Inputs!$C$9="Residential",IF(((D795+E795)*C795-G795)&lt;='Assumptions and Catalog'!$C$50,((D795+E795)*C795-G795)*'Assumptions and Catalog'!$H$50+'Assumptions and Catalog'!$E$50+'Assumptions and Catalog'!$F$50,IF(((D795+E795)*C795-G795)&lt;='Assumptions and Catalog'!$C$51,((D795+E795)*C795-G795)*'Assumptions and Catalog'!$H$51+'Assumptions and Catalog'!$E$51+'Assumptions and Catalog'!$F$51,IF(((D795+E795)*C795-G795)&lt;='Assumptions and Catalog'!$C$52,((D795+E795)*C795-G795)*'Assumptions and Catalog'!$H$52+'Assumptions and Catalog'!$E$52+'Assumptions and Catalog'!$F$52,IF(((D795+E795)*C795-G795)&lt;='Assumptions and Catalog'!$C$53,((D795+E795)*C795-G795)*'Assumptions and Catalog'!$H$53+'Assumptions and Catalog'!$E$53+'Assumptions and Catalog'!$F$53,IF(((D795+E795)*C795-G795)&lt;='Assumptions and Catalog'!$C$54,((D795+E795)*C795-G795)*'Assumptions and Catalog'!$H$54+'Assumptions and Catalog'!$E$54+'Assumptions and Catalog'!$F$54,IF(((D795+E795)*C795-G795)&lt;='Assumptions and Catalog'!$C$55,((D795+E795)*C795-G795)*'Assumptions and Catalog'!$H$55+'Assumptions and Catalog'!$E$55+'Assumptions and Catalog'!$F$55,IF(((D795+E795)*C795-G795)&lt;='Assumptions and Catalog'!$C$56,((D795+E795)*C795-G795)*'Assumptions and Catalog'!$H$56+'Assumptions and Catalog'!$E$56+'Assumptions and Catalog'!$F$56,IF(((D795+E795)*C795-G795)&lt;='Assumptions and Catalog'!$C$57,((D795+E795)*C795-G795)*'Assumptions and Catalog'!$H$57+'Assumptions and Catalog'!$E$57+'Assumptions and Catalog'!$F$57,"Out of range")))))))),IF(((D795+E795)*C795-G795)&lt;='Assumptions and Catalog'!$C$60,((D795+E795)*C795-G795)*'Assumptions and Catalog'!$H$60+'Assumptions and Catalog'!$E$60+'Assumptions and Catalog'!$F$60,IF(((D795+E795)*C795-G795)&lt;='Assumptions and Catalog'!$C$61,((D795+E795)*C795-G795)*'Assumptions and Catalog'!$H$61+'Assumptions and Catalog'!$E$61+'Assumptions and Catalog'!$F$61,IF(((D795+E795)*C795-G795)&lt;='Assumptions and Catalog'!$C$62,((D795+E795)*C795-G795)*'Assumptions and Catalog'!$H$62+'Assumptions and Catalog'!$E$62+'Assumptions and Catalog'!$F$62,IF(((D795+E795)*C795-G795)&lt;='Assumptions and Catalog'!$C$63,((D795+E795)*C795-G795)*'Assumptions and Catalog'!$H$63+'Assumptions and Catalog'!$E$63+'Assumptions and Catalog'!$F$63,IF(((D795+E795)*C795-G795)&lt;='Assumptions and Catalog'!$C$64,((D795+E795)*C795-G795)*'Assumptions and Catalog'!$H$64+'Assumptions and Catalog'!$E$64+'Assumptions and Catalog'!$F$64,IF(((D795+E795)*C795-G795)&lt;='Assumptions and Catalog'!$C$65,((D795+E795)*C795-G795)*'Assumptions and Catalog'!$H$65+'Assumptions and Catalog'!$E$65+'Assumptions and Catalog'!$F$65,"Out of range")))))))))*(1+'Assumptions and Catalog'!$C$8)^(A795-1),0)</f>
        <v>3567.397</v>
      </c>
      <c r="R795" s="5" t="n">
        <f>IF(AND('Assumptions and Catalog'!$C$19&gt;0,A795&gt;='Assumptions and Catalog'!$C$19),A795-'Assumptions and Catalog'!$C$19,A795-1)</f>
        <v>1</v>
      </c>
      <c r="S795" s="5" t="n">
        <f>F795+L795-(D795+E795)*C795-J795-K795-IF(E$52&gt;0,'Assumptions and Catalog'!$C$26*C795,0)</f>
        <v>-2.27373675443232E-013</v>
      </c>
      <c r="T795" s="5"/>
      <c r="U795" s="5"/>
    </row>
    <row r="796" ht="23.100000381469727" customHeight="1">
      <c r="A796" s="5" t="n">
        <v>12</v>
      </c>
      <c r="B796" s="5" t="n">
        <v>4</v>
      </c>
      <c r="C796" s="5" t="n">
        <f>DAY(DATE('Assumptions and Catalog'!$C$24+A796-1,B796+1,0))</f>
        <v>30</v>
      </c>
      <c r="D796" s="5" t="n">
        <f>IF(ISNUMBER(Inputs!$L$5),Inputs!$L$5*Inputs!$L$6,0)</f>
        <v>40.35</v>
      </c>
      <c r="E796" s="5" t="n">
        <f>IF(ISNUMBER(Inputs!$L$5),Inputs!$L$5-D796,0)</f>
        <v>40.35</v>
      </c>
      <c r="F796" s="5" t="n">
        <f>E$51*INDEX('Solar Production'!$D$20:$D$31,B796)*C796*(1-'Assumptions and Catalog'!$C$10)^(A796-1)</f>
        <v>1674.53657479669</v>
      </c>
      <c r="G796" s="5" t="n">
        <f>MIN(F796,D796*C796)</f>
        <v>1210.5</v>
      </c>
      <c r="H796" s="5" t="n">
        <f>I796/('Assumptions and Catalog'!$C$11*'Assumptions and Catalog'!$C$12)</f>
        <v>308.775384615385</v>
      </c>
      <c r="I796" s="5" t="n">
        <f>MIN(E796*C796,P796*'Assumptions and Catalog'!$C$12*C796,(F796-G796)*'Assumptions and Catalog'!$C$11*'Assumptions and Catalog'!$C$12,E$56*'Assumptions and Catalog'!$C$14*'Assumptions and Catalog'!$C$11*'Assumptions and Catalog'!$C$12*C796,E$57*(24-'Assumptions and Catalog'!$C$13)*C796)</f>
        <v>293.5296</v>
      </c>
      <c r="J796" s="5" t="n">
        <f>MAX(F796-G796-H796,0)</f>
        <v>155.26119018131</v>
      </c>
      <c r="K796" s="5" t="n">
        <f>H796-I796</f>
        <v>15.2457846153847</v>
      </c>
      <c r="L796" s="5" t="n">
        <f>(D796+E796)*C796-G796-I796+0+IF(E$52&gt;0,'Assumptions and Catalog'!$C$26*C796,0)</f>
        <v>916.9704</v>
      </c>
      <c r="M796" s="5" t="n">
        <f>IF(ISNUMBER(Inputs!$L$5),(IF(Inputs!$L$9="Actual flat rate",((D796+E796)*C796)*Inputs!$L$10,IF(Inputs!$C$9="Residential",IF(((D796+E796)*C796)&lt;='Assumptions and Catalog'!$C$50,((D796+E796)*C796)*'Assumptions and Catalog'!$H$50+'Assumptions and Catalog'!$E$50+'Assumptions and Catalog'!$F$50,IF(((D796+E796)*C796)&lt;='Assumptions and Catalog'!$C$51,((D796+E796)*C796)*'Assumptions and Catalog'!$H$51+'Assumptions and Catalog'!$E$51+'Assumptions and Catalog'!$F$51,IF(((D796+E796)*C796)&lt;='Assumptions and Catalog'!$C$52,((D796+E796)*C796)*'Assumptions and Catalog'!$H$52+'Assumptions and Catalog'!$E$52+'Assumptions and Catalog'!$F$52,IF(((D796+E796)*C796)&lt;='Assumptions and Catalog'!$C$53,((D796+E796)*C796)*'Assumptions and Catalog'!$H$53+'Assumptions and Catalog'!$E$53+'Assumptions and Catalog'!$F$53,IF(((D796+E796)*C796)&lt;='Assumptions and Catalog'!$C$54,((D796+E796)*C796)*'Assumptions and Catalog'!$H$54+'Assumptions and Catalog'!$E$54+'Assumptions and Catalog'!$F$54,IF(((D796+E796)*C796)&lt;='Assumptions and Catalog'!$C$55,((D796+E796)*C796)*'Assumptions and Catalog'!$H$55+'Assumptions and Catalog'!$E$55+'Assumptions and Catalog'!$F$55,IF(((D796+E796)*C796)&lt;='Assumptions and Catalog'!$C$56,((D796+E796)*C796)*'Assumptions and Catalog'!$H$56+'Assumptions and Catalog'!$E$56+'Assumptions and Catalog'!$F$56,IF(((D796+E796)*C796)&lt;='Assumptions and Catalog'!$C$57,((D796+E796)*C796)*'Assumptions and Catalog'!$H$57+'Assumptions and Catalog'!$E$57+'Assumptions and Catalog'!$F$57,"Out of range")))))))),IF(((D796+E796)*C796)&lt;='Assumptions and Catalog'!$C$60,((D796+E796)*C796)*'Assumptions and Catalog'!$H$60+'Assumptions and Catalog'!$E$60+'Assumptions and Catalog'!$F$60,IF(((D796+E796)*C796)&lt;='Assumptions and Catalog'!$C$61,((D796+E796)*C796)*'Assumptions and Catalog'!$H$61+'Assumptions and Catalog'!$E$61+'Assumptions and Catalog'!$F$61,IF(((D796+E796)*C796)&lt;='Assumptions and Catalog'!$C$62,((D796+E796)*C796)*'Assumptions and Catalog'!$H$62+'Assumptions and Catalog'!$E$62+'Assumptions and Catalog'!$F$62,IF(((D796+E796)*C796)&lt;='Assumptions and Catalog'!$C$63,((D796+E796)*C796)*'Assumptions and Catalog'!$H$63+'Assumptions and Catalog'!$E$63+'Assumptions and Catalog'!$F$63,IF(((D796+E796)*C796)&lt;='Assumptions and Catalog'!$C$64,((D796+E796)*C796)*'Assumptions and Catalog'!$H$64+'Assumptions and Catalog'!$E$64+'Assumptions and Catalog'!$F$64,IF(((D796+E796)*C796)&lt;='Assumptions and Catalog'!$C$65,((D796+E796)*C796)*'Assumptions and Catalog'!$H$65+'Assumptions and Catalog'!$E$65+'Assumptions and Catalog'!$F$65,"Out of range")))))))))*(1+'Assumptions and Catalog'!$C$8)^(A796-1),0)</f>
        <v>6867.22</v>
      </c>
      <c r="N796" s="5" t="n">
        <f>IF(ISNUMBER(Inputs!$L$5),(IF(Inputs!$L$9="Actual flat rate",L796*Inputs!$L$10,IF(Inputs!$C$9="Residential",IF(L796&lt;='Assumptions and Catalog'!$C$50,L796*'Assumptions and Catalog'!$H$50+'Assumptions and Catalog'!$E$50+'Assumptions and Catalog'!$F$50,IF(L796&lt;='Assumptions and Catalog'!$C$51,L796*'Assumptions and Catalog'!$H$51+'Assumptions and Catalog'!$E$51+'Assumptions and Catalog'!$F$51,IF(L796&lt;='Assumptions and Catalog'!$C$52,L796*'Assumptions and Catalog'!$H$52+'Assumptions and Catalog'!$E$52+'Assumptions and Catalog'!$F$52,IF(L796&lt;='Assumptions and Catalog'!$C$53,L796*'Assumptions and Catalog'!$H$53+'Assumptions and Catalog'!$E$53+'Assumptions and Catalog'!$F$53,IF(L796&lt;='Assumptions and Catalog'!$C$54,L796*'Assumptions and Catalog'!$H$54+'Assumptions and Catalog'!$E$54+'Assumptions and Catalog'!$F$54,IF(L796&lt;='Assumptions and Catalog'!$C$55,L796*'Assumptions and Catalog'!$H$55+'Assumptions and Catalog'!$E$55+'Assumptions and Catalog'!$F$55,IF(L796&lt;='Assumptions and Catalog'!$C$56,L796*'Assumptions and Catalog'!$H$56+'Assumptions and Catalog'!$E$56+'Assumptions and Catalog'!$F$56,IF(L796&lt;='Assumptions and Catalog'!$C$57,L796*'Assumptions and Catalog'!$H$57+'Assumptions and Catalog'!$E$57+'Assumptions and Catalog'!$F$57,"Out of range")))))))),IF(L796&lt;='Assumptions and Catalog'!$C$60,L796*'Assumptions and Catalog'!$H$60+'Assumptions and Catalog'!$E$60+'Assumptions and Catalog'!$F$60,IF(L796&lt;='Assumptions and Catalog'!$C$61,L796*'Assumptions and Catalog'!$H$61+'Assumptions and Catalog'!$E$61+'Assumptions and Catalog'!$F$61,IF(L796&lt;='Assumptions and Catalog'!$C$62,L796*'Assumptions and Catalog'!$H$62+'Assumptions and Catalog'!$E$62+'Assumptions and Catalog'!$F$62,IF(L796&lt;='Assumptions and Catalog'!$C$63,L796*'Assumptions and Catalog'!$H$63+'Assumptions and Catalog'!$E$63+'Assumptions and Catalog'!$F$63,IF(L796&lt;='Assumptions and Catalog'!$C$64,L796*'Assumptions and Catalog'!$H$64+'Assumptions and Catalog'!$E$64+'Assumptions and Catalog'!$F$64,IF(L796&lt;='Assumptions and Catalog'!$C$65,L796*'Assumptions and Catalog'!$H$65+'Assumptions and Catalog'!$E$65+'Assumptions and Catalog'!$F$65,"Out of range")))))))))*(1+'Assumptions and Catalog'!$C$8)^(A796-1),0)</f>
        <v>2505.008008</v>
      </c>
      <c r="O796" s="5" t="n">
        <f>M796-N796</f>
        <v>4362.211992</v>
      </c>
      <c r="P796" s="5" t="n">
        <f>E$55*(1-L$14)*(1-'Assumptions and Catalog'!$C$23)^R796</f>
        <v>10.0352</v>
      </c>
      <c r="Q796" s="5" t="n">
        <f>IF(ISNUMBER(Inputs!$L$5),(IF(Inputs!$L$9="Actual flat rate",((D796+E796)*C796-G796)*Inputs!$L$10,IF(Inputs!$C$9="Residential",IF(((D796+E796)*C796-G796)&lt;='Assumptions and Catalog'!$C$50,((D796+E796)*C796-G796)*'Assumptions and Catalog'!$H$50+'Assumptions and Catalog'!$E$50+'Assumptions and Catalog'!$F$50,IF(((D796+E796)*C796-G796)&lt;='Assumptions and Catalog'!$C$51,((D796+E796)*C796-G796)*'Assumptions and Catalog'!$H$51+'Assumptions and Catalog'!$E$51+'Assumptions and Catalog'!$F$51,IF(((D796+E796)*C796-G796)&lt;='Assumptions and Catalog'!$C$52,((D796+E796)*C796-G796)*'Assumptions and Catalog'!$H$52+'Assumptions and Catalog'!$E$52+'Assumptions and Catalog'!$F$52,IF(((D796+E796)*C796-G796)&lt;='Assumptions and Catalog'!$C$53,((D796+E796)*C796-G796)*'Assumptions and Catalog'!$H$53+'Assumptions and Catalog'!$E$53+'Assumptions and Catalog'!$F$53,IF(((D796+E796)*C796-G796)&lt;='Assumptions and Catalog'!$C$54,((D796+E796)*C796-G796)*'Assumptions and Catalog'!$H$54+'Assumptions and Catalog'!$E$54+'Assumptions and Catalog'!$F$54,IF(((D796+E796)*C796-G796)&lt;='Assumptions and Catalog'!$C$55,((D796+E796)*C796-G796)*'Assumptions and Catalog'!$H$55+'Assumptions and Catalog'!$E$55+'Assumptions and Catalog'!$F$55,IF(((D796+E796)*C796-G796)&lt;='Assumptions and Catalog'!$C$56,((D796+E796)*C796-G796)*'Assumptions and Catalog'!$H$56+'Assumptions and Catalog'!$E$56+'Assumptions and Catalog'!$F$56,IF(((D796+E796)*C796-G796)&lt;='Assumptions and Catalog'!$C$57,((D796+E796)*C796-G796)*'Assumptions and Catalog'!$H$57+'Assumptions and Catalog'!$E$57+'Assumptions and Catalog'!$F$57,"Out of range")))))))),IF(((D796+E796)*C796-G796)&lt;='Assumptions and Catalog'!$C$60,((D796+E796)*C796-G796)*'Assumptions and Catalog'!$H$60+'Assumptions and Catalog'!$E$60+'Assumptions and Catalog'!$F$60,IF(((D796+E796)*C796-G796)&lt;='Assumptions and Catalog'!$C$61,((D796+E796)*C796-G796)*'Assumptions and Catalog'!$H$61+'Assumptions and Catalog'!$E$61+'Assumptions and Catalog'!$F$61,IF(((D796+E796)*C796-G796)&lt;='Assumptions and Catalog'!$C$62,((D796+E796)*C796-G796)*'Assumptions and Catalog'!$H$62+'Assumptions and Catalog'!$E$62+'Assumptions and Catalog'!$F$62,IF(((D796+E796)*C796-G796)&lt;='Assumptions and Catalog'!$C$63,((D796+E796)*C796-G796)*'Assumptions and Catalog'!$H$63+'Assumptions and Catalog'!$E$63+'Assumptions and Catalog'!$F$63,IF(((D796+E796)*C796-G796)&lt;='Assumptions and Catalog'!$C$64,((D796+E796)*C796-G796)*'Assumptions and Catalog'!$H$64+'Assumptions and Catalog'!$E$64+'Assumptions and Catalog'!$F$64,IF(((D796+E796)*C796-G796)&lt;='Assumptions and Catalog'!$C$65,((D796+E796)*C796-G796)*'Assumptions and Catalog'!$H$65+'Assumptions and Catalog'!$E$65+'Assumptions and Catalog'!$F$65,"Out of range")))))))))*(1+'Assumptions and Catalog'!$C$8)^(A796-1),0)</f>
        <v>3453.61</v>
      </c>
      <c r="R796" s="5" t="n">
        <f>IF(AND('Assumptions and Catalog'!$C$19&gt;0,A796&gt;='Assumptions and Catalog'!$C$19),A796-'Assumptions and Catalog'!$C$19,A796-1)</f>
        <v>1</v>
      </c>
      <c r="S796" s="5" t="n">
        <f>F796+L796-(D796+E796)*C796-J796-K796-IF(E$52&gt;0,'Assumptions and Catalog'!$C$26*C796,0)</f>
        <v>-2.8421709430404E-013</v>
      </c>
      <c r="T796" s="5"/>
      <c r="U796" s="5"/>
    </row>
    <row r="797" ht="23.100000381469727" customHeight="1">
      <c r="A797" s="5" t="n">
        <v>12</v>
      </c>
      <c r="B797" s="5" t="n">
        <v>5</v>
      </c>
      <c r="C797" s="5" t="n">
        <f>DAY(DATE('Assumptions and Catalog'!$C$24+A797-1,B797+1,0))</f>
        <v>31</v>
      </c>
      <c r="D797" s="5" t="n">
        <f>IF(ISNUMBER(Inputs!$L$5),Inputs!$L$5*Inputs!$L$6,0)</f>
        <v>40.35</v>
      </c>
      <c r="E797" s="5" t="n">
        <f>IF(ISNUMBER(Inputs!$L$5),Inputs!$L$5-D797,0)</f>
        <v>40.35</v>
      </c>
      <c r="F797" s="5" t="n">
        <f>E$51*INDEX('Solar Production'!$D$20:$D$31,B797)*C797*(1-'Assumptions and Catalog'!$C$10)^(A797-1)</f>
        <v>1693.89898949968</v>
      </c>
      <c r="G797" s="5" t="n">
        <f>MIN(F797,D797*C797)</f>
        <v>1250.85</v>
      </c>
      <c r="H797" s="5" t="n">
        <f>I797/('Assumptions and Catalog'!$C$11*'Assumptions and Catalog'!$C$12)</f>
        <v>319.067897435898</v>
      </c>
      <c r="I797" s="5" t="n">
        <f>MIN(E797*C797,P797*'Assumptions and Catalog'!$C$12*C797,(F797-G797)*'Assumptions and Catalog'!$C$11*'Assumptions and Catalog'!$C$12,E$56*'Assumptions and Catalog'!$C$14*'Assumptions and Catalog'!$C$11*'Assumptions and Catalog'!$C$12*C797,E$57*(24-'Assumptions and Catalog'!$C$13)*C797)</f>
        <v>303.31392</v>
      </c>
      <c r="J797" s="5" t="n">
        <f>MAX(F797-G797-H797,0)</f>
        <v>123.98109206378</v>
      </c>
      <c r="K797" s="5" t="n">
        <f>H797-I797</f>
        <v>15.7539774358975</v>
      </c>
      <c r="L797" s="5" t="n">
        <f>(D797+E797)*C797-G797-I797+0+IF(E$52&gt;0,'Assumptions and Catalog'!$C$26*C797,0)</f>
        <v>947.53608</v>
      </c>
      <c r="M797" s="5" t="n">
        <f>IF(ISNUMBER(Inputs!$L$5),(IF(Inputs!$L$9="Actual flat rate",((D797+E797)*C797)*Inputs!$L$10,IF(Inputs!$C$9="Residential",IF(((D797+E797)*C797)&lt;='Assumptions and Catalog'!$C$50,((D797+E797)*C797)*'Assumptions and Catalog'!$H$50+'Assumptions and Catalog'!$E$50+'Assumptions and Catalog'!$F$50,IF(((D797+E797)*C797)&lt;='Assumptions and Catalog'!$C$51,((D797+E797)*C797)*'Assumptions and Catalog'!$H$51+'Assumptions and Catalog'!$E$51+'Assumptions and Catalog'!$F$51,IF(((D797+E797)*C797)&lt;='Assumptions and Catalog'!$C$52,((D797+E797)*C797)*'Assumptions and Catalog'!$H$52+'Assumptions and Catalog'!$E$52+'Assumptions and Catalog'!$F$52,IF(((D797+E797)*C797)&lt;='Assumptions and Catalog'!$C$53,((D797+E797)*C797)*'Assumptions and Catalog'!$H$53+'Assumptions and Catalog'!$E$53+'Assumptions and Catalog'!$F$53,IF(((D797+E797)*C797)&lt;='Assumptions and Catalog'!$C$54,((D797+E797)*C797)*'Assumptions and Catalog'!$H$54+'Assumptions and Catalog'!$E$54+'Assumptions and Catalog'!$F$54,IF(((D797+E797)*C797)&lt;='Assumptions and Catalog'!$C$55,((D797+E797)*C797)*'Assumptions and Catalog'!$H$55+'Assumptions and Catalog'!$E$55+'Assumptions and Catalog'!$F$55,IF(((D797+E797)*C797)&lt;='Assumptions and Catalog'!$C$56,((D797+E797)*C797)*'Assumptions and Catalog'!$H$56+'Assumptions and Catalog'!$E$56+'Assumptions and Catalog'!$F$56,IF(((D797+E797)*C797)&lt;='Assumptions and Catalog'!$C$57,((D797+E797)*C797)*'Assumptions and Catalog'!$H$57+'Assumptions and Catalog'!$E$57+'Assumptions and Catalog'!$F$57,"Out of range")))))))),IF(((D797+E797)*C797)&lt;='Assumptions and Catalog'!$C$60,((D797+E797)*C797)*'Assumptions and Catalog'!$H$60+'Assumptions and Catalog'!$E$60+'Assumptions and Catalog'!$F$60,IF(((D797+E797)*C797)&lt;='Assumptions and Catalog'!$C$61,((D797+E797)*C797)*'Assumptions and Catalog'!$H$61+'Assumptions and Catalog'!$E$61+'Assumptions and Catalog'!$F$61,IF(((D797+E797)*C797)&lt;='Assumptions and Catalog'!$C$62,((D797+E797)*C797)*'Assumptions and Catalog'!$H$62+'Assumptions and Catalog'!$E$62+'Assumptions and Catalog'!$F$62,IF(((D797+E797)*C797)&lt;='Assumptions and Catalog'!$C$63,((D797+E797)*C797)*'Assumptions and Catalog'!$H$63+'Assumptions and Catalog'!$E$63+'Assumptions and Catalog'!$F$63,IF(((D797+E797)*C797)&lt;='Assumptions and Catalog'!$C$64,((D797+E797)*C797)*'Assumptions and Catalog'!$H$64+'Assumptions and Catalog'!$E$64+'Assumptions and Catalog'!$F$64,IF(((D797+E797)*C797)&lt;='Assumptions and Catalog'!$C$65,((D797+E797)*C797)*'Assumptions and Catalog'!$H$65+'Assumptions and Catalog'!$E$65+'Assumptions and Catalog'!$F$65,"Out of range")))))))))*(1+'Assumptions and Catalog'!$C$8)^(A797-1),0)</f>
        <v>7094.794</v>
      </c>
      <c r="N797" s="5" t="n">
        <f>IF(ISNUMBER(Inputs!$L$5),(IF(Inputs!$L$9="Actual flat rate",L797*Inputs!$L$10,IF(Inputs!$C$9="Residential",IF(L797&lt;='Assumptions and Catalog'!$C$50,L797*'Assumptions and Catalog'!$H$50+'Assumptions and Catalog'!$E$50+'Assumptions and Catalog'!$F$50,IF(L797&lt;='Assumptions and Catalog'!$C$51,L797*'Assumptions and Catalog'!$H$51+'Assumptions and Catalog'!$E$51+'Assumptions and Catalog'!$F$51,IF(L797&lt;='Assumptions and Catalog'!$C$52,L797*'Assumptions and Catalog'!$H$52+'Assumptions and Catalog'!$E$52+'Assumptions and Catalog'!$F$52,IF(L797&lt;='Assumptions and Catalog'!$C$53,L797*'Assumptions and Catalog'!$H$53+'Assumptions and Catalog'!$E$53+'Assumptions and Catalog'!$F$53,IF(L797&lt;='Assumptions and Catalog'!$C$54,L797*'Assumptions and Catalog'!$H$54+'Assumptions and Catalog'!$E$54+'Assumptions and Catalog'!$F$54,IF(L797&lt;='Assumptions and Catalog'!$C$55,L797*'Assumptions and Catalog'!$H$55+'Assumptions and Catalog'!$E$55+'Assumptions and Catalog'!$F$55,IF(L797&lt;='Assumptions and Catalog'!$C$56,L797*'Assumptions and Catalog'!$H$56+'Assumptions and Catalog'!$E$56+'Assumptions and Catalog'!$F$56,IF(L797&lt;='Assumptions and Catalog'!$C$57,L797*'Assumptions and Catalog'!$H$57+'Assumptions and Catalog'!$E$57+'Assumptions and Catalog'!$F$57,"Out of range")))))))),IF(L797&lt;='Assumptions and Catalog'!$C$60,L797*'Assumptions and Catalog'!$H$60+'Assumptions and Catalog'!$E$60+'Assumptions and Catalog'!$F$60,IF(L797&lt;='Assumptions and Catalog'!$C$61,L797*'Assumptions and Catalog'!$H$61+'Assumptions and Catalog'!$E$61+'Assumptions and Catalog'!$F$61,IF(L797&lt;='Assumptions and Catalog'!$C$62,L797*'Assumptions and Catalog'!$H$62+'Assumptions and Catalog'!$E$62+'Assumptions and Catalog'!$F$62,IF(L797&lt;='Assumptions and Catalog'!$C$63,L797*'Assumptions and Catalog'!$H$63+'Assumptions and Catalog'!$E$63+'Assumptions and Catalog'!$F$63,IF(L797&lt;='Assumptions and Catalog'!$C$64,L797*'Assumptions and Catalog'!$H$64+'Assumptions and Catalog'!$E$64+'Assumptions and Catalog'!$F$64,IF(L797&lt;='Assumptions and Catalog'!$C$65,L797*'Assumptions and Catalog'!$H$65+'Assumptions and Catalog'!$E$65+'Assumptions and Catalog'!$F$65,"Out of range")))))))))*(1+'Assumptions and Catalog'!$C$8)^(A797-1),0)</f>
        <v>2589.6749416</v>
      </c>
      <c r="O797" s="5" t="n">
        <f>M797-N797</f>
        <v>4505.1190584</v>
      </c>
      <c r="P797" s="5" t="n">
        <f>E$55*(1-L$14)*(1-'Assumptions and Catalog'!$C$23)^R797</f>
        <v>10.0352</v>
      </c>
      <c r="Q797" s="5" t="n">
        <f>IF(ISNUMBER(Inputs!$L$5),(IF(Inputs!$L$9="Actual flat rate",((D797+E797)*C797-G797)*Inputs!$L$10,IF(Inputs!$C$9="Residential",IF(((D797+E797)*C797-G797)&lt;='Assumptions and Catalog'!$C$50,((D797+E797)*C797-G797)*'Assumptions and Catalog'!$H$50+'Assumptions and Catalog'!$E$50+'Assumptions and Catalog'!$F$50,IF(((D797+E797)*C797-G797)&lt;='Assumptions and Catalog'!$C$51,((D797+E797)*C797-G797)*'Assumptions and Catalog'!$H$51+'Assumptions and Catalog'!$E$51+'Assumptions and Catalog'!$F$51,IF(((D797+E797)*C797-G797)&lt;='Assumptions and Catalog'!$C$52,((D797+E797)*C797-G797)*'Assumptions and Catalog'!$H$52+'Assumptions and Catalog'!$E$52+'Assumptions and Catalog'!$F$52,IF(((D797+E797)*C797-G797)&lt;='Assumptions and Catalog'!$C$53,((D797+E797)*C797-G797)*'Assumptions and Catalog'!$H$53+'Assumptions and Catalog'!$E$53+'Assumptions and Catalog'!$F$53,IF(((D797+E797)*C797-G797)&lt;='Assumptions and Catalog'!$C$54,((D797+E797)*C797-G797)*'Assumptions and Catalog'!$H$54+'Assumptions and Catalog'!$E$54+'Assumptions and Catalog'!$F$54,IF(((D797+E797)*C797-G797)&lt;='Assumptions and Catalog'!$C$55,((D797+E797)*C797-G797)*'Assumptions and Catalog'!$H$55+'Assumptions and Catalog'!$E$55+'Assumptions and Catalog'!$F$55,IF(((D797+E797)*C797-G797)&lt;='Assumptions and Catalog'!$C$56,((D797+E797)*C797-G797)*'Assumptions and Catalog'!$H$56+'Assumptions and Catalog'!$E$56+'Assumptions and Catalog'!$F$56,IF(((D797+E797)*C797-G797)&lt;='Assumptions and Catalog'!$C$57,((D797+E797)*C797-G797)*'Assumptions and Catalog'!$H$57+'Assumptions and Catalog'!$E$57+'Assumptions and Catalog'!$F$57,"Out of range")))))))),IF(((D797+E797)*C797-G797)&lt;='Assumptions and Catalog'!$C$60,((D797+E797)*C797-G797)*'Assumptions and Catalog'!$H$60+'Assumptions and Catalog'!$E$60+'Assumptions and Catalog'!$F$60,IF(((D797+E797)*C797-G797)&lt;='Assumptions and Catalog'!$C$61,((D797+E797)*C797-G797)*'Assumptions and Catalog'!$H$61+'Assumptions and Catalog'!$E$61+'Assumptions and Catalog'!$F$61,IF(((D797+E797)*C797-G797)&lt;='Assumptions and Catalog'!$C$62,((D797+E797)*C797-G797)*'Assumptions and Catalog'!$H$62+'Assumptions and Catalog'!$E$62+'Assumptions and Catalog'!$F$62,IF(((D797+E797)*C797-G797)&lt;='Assumptions and Catalog'!$C$63,((D797+E797)*C797-G797)*'Assumptions and Catalog'!$H$63+'Assumptions and Catalog'!$E$63+'Assumptions and Catalog'!$F$63,IF(((D797+E797)*C797-G797)&lt;='Assumptions and Catalog'!$C$64,((D797+E797)*C797-G797)*'Assumptions and Catalog'!$H$64+'Assumptions and Catalog'!$E$64+'Assumptions and Catalog'!$F$64,IF(((D797+E797)*C797-G797)&lt;='Assumptions and Catalog'!$C$65,((D797+E797)*C797-G797)*'Assumptions and Catalog'!$H$65+'Assumptions and Catalog'!$E$65+'Assumptions and Catalog'!$F$65,"Out of range")))))))))*(1+'Assumptions and Catalog'!$C$8)^(A797-1),0)</f>
        <v>3567.397</v>
      </c>
      <c r="R797" s="5" t="n">
        <f>IF(AND('Assumptions and Catalog'!$C$19&gt;0,A797&gt;='Assumptions and Catalog'!$C$19),A797-'Assumptions and Catalog'!$C$19,A797-1)</f>
        <v>1</v>
      </c>
      <c r="S797" s="5" t="n">
        <f>F797+L797-(D797+E797)*C797-J797-K797-IF(E$52&gt;0,'Assumptions and Catalog'!$C$26*C797,0)</f>
        <v>0</v>
      </c>
      <c r="T797" s="5"/>
      <c r="U797" s="5"/>
    </row>
    <row r="798" ht="23.100000381469727" customHeight="1">
      <c r="A798" s="5" t="n">
        <v>12</v>
      </c>
      <c r="B798" s="5" t="n">
        <v>6</v>
      </c>
      <c r="C798" s="5" t="n">
        <f>DAY(DATE('Assumptions and Catalog'!$C$24+A798-1,B798+1,0))</f>
        <v>30</v>
      </c>
      <c r="D798" s="5" t="n">
        <f>IF(ISNUMBER(Inputs!$L$5),Inputs!$L$5*Inputs!$L$6,0)</f>
        <v>40.35</v>
      </c>
      <c r="E798" s="5" t="n">
        <f>IF(ISNUMBER(Inputs!$L$5),Inputs!$L$5-D798,0)</f>
        <v>40.35</v>
      </c>
      <c r="F798" s="5" t="n">
        <f>E$51*INDEX('Solar Production'!$D$20:$D$31,B798)*C798*(1-'Assumptions and Catalog'!$C$10)^(A798-1)</f>
        <v>1651.21839795009</v>
      </c>
      <c r="G798" s="5" t="n">
        <f>MIN(F798,D798*C798)</f>
        <v>1210.5</v>
      </c>
      <c r="H798" s="5" t="n">
        <f>I798/('Assumptions and Catalog'!$C$11*'Assumptions and Catalog'!$C$12)</f>
        <v>308.775384615385</v>
      </c>
      <c r="I798" s="5" t="n">
        <f>MIN(E798*C798,P798*'Assumptions and Catalog'!$C$12*C798,(F798-G798)*'Assumptions and Catalog'!$C$11*'Assumptions and Catalog'!$C$12,E$56*'Assumptions and Catalog'!$C$14*'Assumptions and Catalog'!$C$11*'Assumptions and Catalog'!$C$12*C798,E$57*(24-'Assumptions and Catalog'!$C$13)*C798)</f>
        <v>293.5296</v>
      </c>
      <c r="J798" s="5" t="n">
        <f>MAX(F798-G798-H798,0)</f>
        <v>131.943013334707</v>
      </c>
      <c r="K798" s="5" t="n">
        <f>H798-I798</f>
        <v>15.2457846153847</v>
      </c>
      <c r="L798" s="5" t="n">
        <f>(D798+E798)*C798-G798-I798+0+IF(E$52&gt;0,'Assumptions and Catalog'!$C$26*C798,0)</f>
        <v>916.9704</v>
      </c>
      <c r="M798" s="5" t="n">
        <f>IF(ISNUMBER(Inputs!$L$5),(IF(Inputs!$L$9="Actual flat rate",((D798+E798)*C798)*Inputs!$L$10,IF(Inputs!$C$9="Residential",IF(((D798+E798)*C798)&lt;='Assumptions and Catalog'!$C$50,((D798+E798)*C798)*'Assumptions and Catalog'!$H$50+'Assumptions and Catalog'!$E$50+'Assumptions and Catalog'!$F$50,IF(((D798+E798)*C798)&lt;='Assumptions and Catalog'!$C$51,((D798+E798)*C798)*'Assumptions and Catalog'!$H$51+'Assumptions and Catalog'!$E$51+'Assumptions and Catalog'!$F$51,IF(((D798+E798)*C798)&lt;='Assumptions and Catalog'!$C$52,((D798+E798)*C798)*'Assumptions and Catalog'!$H$52+'Assumptions and Catalog'!$E$52+'Assumptions and Catalog'!$F$52,IF(((D798+E798)*C798)&lt;='Assumptions and Catalog'!$C$53,((D798+E798)*C798)*'Assumptions and Catalog'!$H$53+'Assumptions and Catalog'!$E$53+'Assumptions and Catalog'!$F$53,IF(((D798+E798)*C798)&lt;='Assumptions and Catalog'!$C$54,((D798+E798)*C798)*'Assumptions and Catalog'!$H$54+'Assumptions and Catalog'!$E$54+'Assumptions and Catalog'!$F$54,IF(((D798+E798)*C798)&lt;='Assumptions and Catalog'!$C$55,((D798+E798)*C798)*'Assumptions and Catalog'!$H$55+'Assumptions and Catalog'!$E$55+'Assumptions and Catalog'!$F$55,IF(((D798+E798)*C798)&lt;='Assumptions and Catalog'!$C$56,((D798+E798)*C798)*'Assumptions and Catalog'!$H$56+'Assumptions and Catalog'!$E$56+'Assumptions and Catalog'!$F$56,IF(((D798+E798)*C798)&lt;='Assumptions and Catalog'!$C$57,((D798+E798)*C798)*'Assumptions and Catalog'!$H$57+'Assumptions and Catalog'!$E$57+'Assumptions and Catalog'!$F$57,"Out of range")))))))),IF(((D798+E798)*C798)&lt;='Assumptions and Catalog'!$C$60,((D798+E798)*C798)*'Assumptions and Catalog'!$H$60+'Assumptions and Catalog'!$E$60+'Assumptions and Catalog'!$F$60,IF(((D798+E798)*C798)&lt;='Assumptions and Catalog'!$C$61,((D798+E798)*C798)*'Assumptions and Catalog'!$H$61+'Assumptions and Catalog'!$E$61+'Assumptions and Catalog'!$F$61,IF(((D798+E798)*C798)&lt;='Assumptions and Catalog'!$C$62,((D798+E798)*C798)*'Assumptions and Catalog'!$H$62+'Assumptions and Catalog'!$E$62+'Assumptions and Catalog'!$F$62,IF(((D798+E798)*C798)&lt;='Assumptions and Catalog'!$C$63,((D798+E798)*C798)*'Assumptions and Catalog'!$H$63+'Assumptions and Catalog'!$E$63+'Assumptions and Catalog'!$F$63,IF(((D798+E798)*C798)&lt;='Assumptions and Catalog'!$C$64,((D798+E798)*C798)*'Assumptions and Catalog'!$H$64+'Assumptions and Catalog'!$E$64+'Assumptions and Catalog'!$F$64,IF(((D798+E798)*C798)&lt;='Assumptions and Catalog'!$C$65,((D798+E798)*C798)*'Assumptions and Catalog'!$H$65+'Assumptions and Catalog'!$E$65+'Assumptions and Catalog'!$F$65,"Out of range")))))))))*(1+'Assumptions and Catalog'!$C$8)^(A798-1),0)</f>
        <v>6867.22</v>
      </c>
      <c r="N798" s="5" t="n">
        <f>IF(ISNUMBER(Inputs!$L$5),(IF(Inputs!$L$9="Actual flat rate",L798*Inputs!$L$10,IF(Inputs!$C$9="Residential",IF(L798&lt;='Assumptions and Catalog'!$C$50,L798*'Assumptions and Catalog'!$H$50+'Assumptions and Catalog'!$E$50+'Assumptions and Catalog'!$F$50,IF(L798&lt;='Assumptions and Catalog'!$C$51,L798*'Assumptions and Catalog'!$H$51+'Assumptions and Catalog'!$E$51+'Assumptions and Catalog'!$F$51,IF(L798&lt;='Assumptions and Catalog'!$C$52,L798*'Assumptions and Catalog'!$H$52+'Assumptions and Catalog'!$E$52+'Assumptions and Catalog'!$F$52,IF(L798&lt;='Assumptions and Catalog'!$C$53,L798*'Assumptions and Catalog'!$H$53+'Assumptions and Catalog'!$E$53+'Assumptions and Catalog'!$F$53,IF(L798&lt;='Assumptions and Catalog'!$C$54,L798*'Assumptions and Catalog'!$H$54+'Assumptions and Catalog'!$E$54+'Assumptions and Catalog'!$F$54,IF(L798&lt;='Assumptions and Catalog'!$C$55,L798*'Assumptions and Catalog'!$H$55+'Assumptions and Catalog'!$E$55+'Assumptions and Catalog'!$F$55,IF(L798&lt;='Assumptions and Catalog'!$C$56,L798*'Assumptions and Catalog'!$H$56+'Assumptions and Catalog'!$E$56+'Assumptions and Catalog'!$F$56,IF(L798&lt;='Assumptions and Catalog'!$C$57,L798*'Assumptions and Catalog'!$H$57+'Assumptions and Catalog'!$E$57+'Assumptions and Catalog'!$F$57,"Out of range")))))))),IF(L798&lt;='Assumptions and Catalog'!$C$60,L798*'Assumptions and Catalog'!$H$60+'Assumptions and Catalog'!$E$60+'Assumptions and Catalog'!$F$60,IF(L798&lt;='Assumptions and Catalog'!$C$61,L798*'Assumptions and Catalog'!$H$61+'Assumptions and Catalog'!$E$61+'Assumptions and Catalog'!$F$61,IF(L798&lt;='Assumptions and Catalog'!$C$62,L798*'Assumptions and Catalog'!$H$62+'Assumptions and Catalog'!$E$62+'Assumptions and Catalog'!$F$62,IF(L798&lt;='Assumptions and Catalog'!$C$63,L798*'Assumptions and Catalog'!$H$63+'Assumptions and Catalog'!$E$63+'Assumptions and Catalog'!$F$63,IF(L798&lt;='Assumptions and Catalog'!$C$64,L798*'Assumptions and Catalog'!$H$64+'Assumptions and Catalog'!$E$64+'Assumptions and Catalog'!$F$64,IF(L798&lt;='Assumptions and Catalog'!$C$65,L798*'Assumptions and Catalog'!$H$65+'Assumptions and Catalog'!$E$65+'Assumptions and Catalog'!$F$65,"Out of range")))))))))*(1+'Assumptions and Catalog'!$C$8)^(A798-1),0)</f>
        <v>2505.008008</v>
      </c>
      <c r="O798" s="5" t="n">
        <f>M798-N798</f>
        <v>4362.211992</v>
      </c>
      <c r="P798" s="5" t="n">
        <f>E$55*(1-L$14)*(1-'Assumptions and Catalog'!$C$23)^R798</f>
        <v>10.0352</v>
      </c>
      <c r="Q798" s="5" t="n">
        <f>IF(ISNUMBER(Inputs!$L$5),(IF(Inputs!$L$9="Actual flat rate",((D798+E798)*C798-G798)*Inputs!$L$10,IF(Inputs!$C$9="Residential",IF(((D798+E798)*C798-G798)&lt;='Assumptions and Catalog'!$C$50,((D798+E798)*C798-G798)*'Assumptions and Catalog'!$H$50+'Assumptions and Catalog'!$E$50+'Assumptions and Catalog'!$F$50,IF(((D798+E798)*C798-G798)&lt;='Assumptions and Catalog'!$C$51,((D798+E798)*C798-G798)*'Assumptions and Catalog'!$H$51+'Assumptions and Catalog'!$E$51+'Assumptions and Catalog'!$F$51,IF(((D798+E798)*C798-G798)&lt;='Assumptions and Catalog'!$C$52,((D798+E798)*C798-G798)*'Assumptions and Catalog'!$H$52+'Assumptions and Catalog'!$E$52+'Assumptions and Catalog'!$F$52,IF(((D798+E798)*C798-G798)&lt;='Assumptions and Catalog'!$C$53,((D798+E798)*C798-G798)*'Assumptions and Catalog'!$H$53+'Assumptions and Catalog'!$E$53+'Assumptions and Catalog'!$F$53,IF(((D798+E798)*C798-G798)&lt;='Assumptions and Catalog'!$C$54,((D798+E798)*C798-G798)*'Assumptions and Catalog'!$H$54+'Assumptions and Catalog'!$E$54+'Assumptions and Catalog'!$F$54,IF(((D798+E798)*C798-G798)&lt;='Assumptions and Catalog'!$C$55,((D798+E798)*C798-G798)*'Assumptions and Catalog'!$H$55+'Assumptions and Catalog'!$E$55+'Assumptions and Catalog'!$F$55,IF(((D798+E798)*C798-G798)&lt;='Assumptions and Catalog'!$C$56,((D798+E798)*C798-G798)*'Assumptions and Catalog'!$H$56+'Assumptions and Catalog'!$E$56+'Assumptions and Catalog'!$F$56,IF(((D798+E798)*C798-G798)&lt;='Assumptions and Catalog'!$C$57,((D798+E798)*C798-G798)*'Assumptions and Catalog'!$H$57+'Assumptions and Catalog'!$E$57+'Assumptions and Catalog'!$F$57,"Out of range")))))))),IF(((D798+E798)*C798-G798)&lt;='Assumptions and Catalog'!$C$60,((D798+E798)*C798-G798)*'Assumptions and Catalog'!$H$60+'Assumptions and Catalog'!$E$60+'Assumptions and Catalog'!$F$60,IF(((D798+E798)*C798-G798)&lt;='Assumptions and Catalog'!$C$61,((D798+E798)*C798-G798)*'Assumptions and Catalog'!$H$61+'Assumptions and Catalog'!$E$61+'Assumptions and Catalog'!$F$61,IF(((D798+E798)*C798-G798)&lt;='Assumptions and Catalog'!$C$62,((D798+E798)*C798-G798)*'Assumptions and Catalog'!$H$62+'Assumptions and Catalog'!$E$62+'Assumptions and Catalog'!$F$62,IF(((D798+E798)*C798-G798)&lt;='Assumptions and Catalog'!$C$63,((D798+E798)*C798-G798)*'Assumptions and Catalog'!$H$63+'Assumptions and Catalog'!$E$63+'Assumptions and Catalog'!$F$63,IF(((D798+E798)*C798-G798)&lt;='Assumptions and Catalog'!$C$64,((D798+E798)*C798-G798)*'Assumptions and Catalog'!$H$64+'Assumptions and Catalog'!$E$64+'Assumptions and Catalog'!$F$64,IF(((D798+E798)*C798-G798)&lt;='Assumptions and Catalog'!$C$65,((D798+E798)*C798-G798)*'Assumptions and Catalog'!$H$65+'Assumptions and Catalog'!$E$65+'Assumptions and Catalog'!$F$65,"Out of range")))))))))*(1+'Assumptions and Catalog'!$C$8)^(A798-1),0)</f>
        <v>3453.61</v>
      </c>
      <c r="R798" s="5" t="n">
        <f>IF(AND('Assumptions and Catalog'!$C$19&gt;0,A798&gt;='Assumptions and Catalog'!$C$19),A798-'Assumptions and Catalog'!$C$19,A798-1)</f>
        <v>1</v>
      </c>
      <c r="S798" s="5" t="n">
        <f>F798+L798-(D798+E798)*C798-J798-K798-IF(E$52&gt;0,'Assumptions and Catalog'!$C$26*C798,0)</f>
        <v>-5.6843418860808E-014</v>
      </c>
      <c r="T798" s="5"/>
      <c r="U798" s="5"/>
    </row>
    <row r="799" ht="23.100000381469727" customHeight="1">
      <c r="A799" s="5" t="n">
        <v>12</v>
      </c>
      <c r="B799" s="5" t="n">
        <v>7</v>
      </c>
      <c r="C799" s="5" t="n">
        <f>DAY(DATE('Assumptions and Catalog'!$C$24+A799-1,B799+1,0))</f>
        <v>31</v>
      </c>
      <c r="D799" s="5" t="n">
        <f>IF(ISNUMBER(Inputs!$L$5),Inputs!$L$5*Inputs!$L$6,0)</f>
        <v>40.35</v>
      </c>
      <c r="E799" s="5" t="n">
        <f>IF(ISNUMBER(Inputs!$L$5),Inputs!$L$5-D799,0)</f>
        <v>40.35</v>
      </c>
      <c r="F799" s="5" t="n">
        <f>E$51*INDEX('Solar Production'!$D$20:$D$31,B799)*C799*(1-'Assumptions and Catalog'!$C$10)^(A799-1)</f>
        <v>1714.0941962329</v>
      </c>
      <c r="G799" s="5" t="n">
        <f>MIN(F799,D799*C799)</f>
        <v>1250.85</v>
      </c>
      <c r="H799" s="5" t="n">
        <f>I799/('Assumptions and Catalog'!$C$11*'Assumptions and Catalog'!$C$12)</f>
        <v>319.067897435898</v>
      </c>
      <c r="I799" s="5" t="n">
        <f>MIN(E799*C799,P799*'Assumptions and Catalog'!$C$12*C799,(F799-G799)*'Assumptions and Catalog'!$C$11*'Assumptions and Catalog'!$C$12,E$56*'Assumptions and Catalog'!$C$14*'Assumptions and Catalog'!$C$11*'Assumptions and Catalog'!$C$12*C799,E$57*(24-'Assumptions and Catalog'!$C$13)*C799)</f>
        <v>303.31392</v>
      </c>
      <c r="J799" s="5" t="n">
        <f>MAX(F799-G799-H799,0)</f>
        <v>144.176298796999</v>
      </c>
      <c r="K799" s="5" t="n">
        <f>H799-I799</f>
        <v>15.7539774358975</v>
      </c>
      <c r="L799" s="5" t="n">
        <f>(D799+E799)*C799-G799-I799+0+IF(E$52&gt;0,'Assumptions and Catalog'!$C$26*C799,0)</f>
        <v>947.53608</v>
      </c>
      <c r="M799" s="5" t="n">
        <f>IF(ISNUMBER(Inputs!$L$5),(IF(Inputs!$L$9="Actual flat rate",((D799+E799)*C799)*Inputs!$L$10,IF(Inputs!$C$9="Residential",IF(((D799+E799)*C799)&lt;='Assumptions and Catalog'!$C$50,((D799+E799)*C799)*'Assumptions and Catalog'!$H$50+'Assumptions and Catalog'!$E$50+'Assumptions and Catalog'!$F$50,IF(((D799+E799)*C799)&lt;='Assumptions and Catalog'!$C$51,((D799+E799)*C799)*'Assumptions and Catalog'!$H$51+'Assumptions and Catalog'!$E$51+'Assumptions and Catalog'!$F$51,IF(((D799+E799)*C799)&lt;='Assumptions and Catalog'!$C$52,((D799+E799)*C799)*'Assumptions and Catalog'!$H$52+'Assumptions and Catalog'!$E$52+'Assumptions and Catalog'!$F$52,IF(((D799+E799)*C799)&lt;='Assumptions and Catalog'!$C$53,((D799+E799)*C799)*'Assumptions and Catalog'!$H$53+'Assumptions and Catalog'!$E$53+'Assumptions and Catalog'!$F$53,IF(((D799+E799)*C799)&lt;='Assumptions and Catalog'!$C$54,((D799+E799)*C799)*'Assumptions and Catalog'!$H$54+'Assumptions and Catalog'!$E$54+'Assumptions and Catalog'!$F$54,IF(((D799+E799)*C799)&lt;='Assumptions and Catalog'!$C$55,((D799+E799)*C799)*'Assumptions and Catalog'!$H$55+'Assumptions and Catalog'!$E$55+'Assumptions and Catalog'!$F$55,IF(((D799+E799)*C799)&lt;='Assumptions and Catalog'!$C$56,((D799+E799)*C799)*'Assumptions and Catalog'!$H$56+'Assumptions and Catalog'!$E$56+'Assumptions and Catalog'!$F$56,IF(((D799+E799)*C799)&lt;='Assumptions and Catalog'!$C$57,((D799+E799)*C799)*'Assumptions and Catalog'!$H$57+'Assumptions and Catalog'!$E$57+'Assumptions and Catalog'!$F$57,"Out of range")))))))),IF(((D799+E799)*C799)&lt;='Assumptions and Catalog'!$C$60,((D799+E799)*C799)*'Assumptions and Catalog'!$H$60+'Assumptions and Catalog'!$E$60+'Assumptions and Catalog'!$F$60,IF(((D799+E799)*C799)&lt;='Assumptions and Catalog'!$C$61,((D799+E799)*C799)*'Assumptions and Catalog'!$H$61+'Assumptions and Catalog'!$E$61+'Assumptions and Catalog'!$F$61,IF(((D799+E799)*C799)&lt;='Assumptions and Catalog'!$C$62,((D799+E799)*C799)*'Assumptions and Catalog'!$H$62+'Assumptions and Catalog'!$E$62+'Assumptions and Catalog'!$F$62,IF(((D799+E799)*C799)&lt;='Assumptions and Catalog'!$C$63,((D799+E799)*C799)*'Assumptions and Catalog'!$H$63+'Assumptions and Catalog'!$E$63+'Assumptions and Catalog'!$F$63,IF(((D799+E799)*C799)&lt;='Assumptions and Catalog'!$C$64,((D799+E799)*C799)*'Assumptions and Catalog'!$H$64+'Assumptions and Catalog'!$E$64+'Assumptions and Catalog'!$F$64,IF(((D799+E799)*C799)&lt;='Assumptions and Catalog'!$C$65,((D799+E799)*C799)*'Assumptions and Catalog'!$H$65+'Assumptions and Catalog'!$E$65+'Assumptions and Catalog'!$F$65,"Out of range")))))))))*(1+'Assumptions and Catalog'!$C$8)^(A799-1),0)</f>
        <v>7094.794</v>
      </c>
      <c r="N799" s="5" t="n">
        <f>IF(ISNUMBER(Inputs!$L$5),(IF(Inputs!$L$9="Actual flat rate",L799*Inputs!$L$10,IF(Inputs!$C$9="Residential",IF(L799&lt;='Assumptions and Catalog'!$C$50,L799*'Assumptions and Catalog'!$H$50+'Assumptions and Catalog'!$E$50+'Assumptions and Catalog'!$F$50,IF(L799&lt;='Assumptions and Catalog'!$C$51,L799*'Assumptions and Catalog'!$H$51+'Assumptions and Catalog'!$E$51+'Assumptions and Catalog'!$F$51,IF(L799&lt;='Assumptions and Catalog'!$C$52,L799*'Assumptions and Catalog'!$H$52+'Assumptions and Catalog'!$E$52+'Assumptions and Catalog'!$F$52,IF(L799&lt;='Assumptions and Catalog'!$C$53,L799*'Assumptions and Catalog'!$H$53+'Assumptions and Catalog'!$E$53+'Assumptions and Catalog'!$F$53,IF(L799&lt;='Assumptions and Catalog'!$C$54,L799*'Assumptions and Catalog'!$H$54+'Assumptions and Catalog'!$E$54+'Assumptions and Catalog'!$F$54,IF(L799&lt;='Assumptions and Catalog'!$C$55,L799*'Assumptions and Catalog'!$H$55+'Assumptions and Catalog'!$E$55+'Assumptions and Catalog'!$F$55,IF(L799&lt;='Assumptions and Catalog'!$C$56,L799*'Assumptions and Catalog'!$H$56+'Assumptions and Catalog'!$E$56+'Assumptions and Catalog'!$F$56,IF(L799&lt;='Assumptions and Catalog'!$C$57,L799*'Assumptions and Catalog'!$H$57+'Assumptions and Catalog'!$E$57+'Assumptions and Catalog'!$F$57,"Out of range")))))))),IF(L799&lt;='Assumptions and Catalog'!$C$60,L799*'Assumptions and Catalog'!$H$60+'Assumptions and Catalog'!$E$60+'Assumptions and Catalog'!$F$60,IF(L799&lt;='Assumptions and Catalog'!$C$61,L799*'Assumptions and Catalog'!$H$61+'Assumptions and Catalog'!$E$61+'Assumptions and Catalog'!$F$61,IF(L799&lt;='Assumptions and Catalog'!$C$62,L799*'Assumptions and Catalog'!$H$62+'Assumptions and Catalog'!$E$62+'Assumptions and Catalog'!$F$62,IF(L799&lt;='Assumptions and Catalog'!$C$63,L799*'Assumptions and Catalog'!$H$63+'Assumptions and Catalog'!$E$63+'Assumptions and Catalog'!$F$63,IF(L799&lt;='Assumptions and Catalog'!$C$64,L799*'Assumptions and Catalog'!$H$64+'Assumptions and Catalog'!$E$64+'Assumptions and Catalog'!$F$64,IF(L799&lt;='Assumptions and Catalog'!$C$65,L799*'Assumptions and Catalog'!$H$65+'Assumptions and Catalog'!$E$65+'Assumptions and Catalog'!$F$65,"Out of range")))))))))*(1+'Assumptions and Catalog'!$C$8)^(A799-1),0)</f>
        <v>2589.6749416</v>
      </c>
      <c r="O799" s="5" t="n">
        <f>M799-N799</f>
        <v>4505.1190584</v>
      </c>
      <c r="P799" s="5" t="n">
        <f>E$55*(1-L$14)*(1-'Assumptions and Catalog'!$C$23)^R799</f>
        <v>10.0352</v>
      </c>
      <c r="Q799" s="5" t="n">
        <f>IF(ISNUMBER(Inputs!$L$5),(IF(Inputs!$L$9="Actual flat rate",((D799+E799)*C799-G799)*Inputs!$L$10,IF(Inputs!$C$9="Residential",IF(((D799+E799)*C799-G799)&lt;='Assumptions and Catalog'!$C$50,((D799+E799)*C799-G799)*'Assumptions and Catalog'!$H$50+'Assumptions and Catalog'!$E$50+'Assumptions and Catalog'!$F$50,IF(((D799+E799)*C799-G799)&lt;='Assumptions and Catalog'!$C$51,((D799+E799)*C799-G799)*'Assumptions and Catalog'!$H$51+'Assumptions and Catalog'!$E$51+'Assumptions and Catalog'!$F$51,IF(((D799+E799)*C799-G799)&lt;='Assumptions and Catalog'!$C$52,((D799+E799)*C799-G799)*'Assumptions and Catalog'!$H$52+'Assumptions and Catalog'!$E$52+'Assumptions and Catalog'!$F$52,IF(((D799+E799)*C799-G799)&lt;='Assumptions and Catalog'!$C$53,((D799+E799)*C799-G799)*'Assumptions and Catalog'!$H$53+'Assumptions and Catalog'!$E$53+'Assumptions and Catalog'!$F$53,IF(((D799+E799)*C799-G799)&lt;='Assumptions and Catalog'!$C$54,((D799+E799)*C799-G799)*'Assumptions and Catalog'!$H$54+'Assumptions and Catalog'!$E$54+'Assumptions and Catalog'!$F$54,IF(((D799+E799)*C799-G799)&lt;='Assumptions and Catalog'!$C$55,((D799+E799)*C799-G799)*'Assumptions and Catalog'!$H$55+'Assumptions and Catalog'!$E$55+'Assumptions and Catalog'!$F$55,IF(((D799+E799)*C799-G799)&lt;='Assumptions and Catalog'!$C$56,((D799+E799)*C799-G799)*'Assumptions and Catalog'!$H$56+'Assumptions and Catalog'!$E$56+'Assumptions and Catalog'!$F$56,IF(((D799+E799)*C799-G799)&lt;='Assumptions and Catalog'!$C$57,((D799+E799)*C799-G799)*'Assumptions and Catalog'!$H$57+'Assumptions and Catalog'!$E$57+'Assumptions and Catalog'!$F$57,"Out of range")))))))),IF(((D799+E799)*C799-G799)&lt;='Assumptions and Catalog'!$C$60,((D799+E799)*C799-G799)*'Assumptions and Catalog'!$H$60+'Assumptions and Catalog'!$E$60+'Assumptions and Catalog'!$F$60,IF(((D799+E799)*C799-G799)&lt;='Assumptions and Catalog'!$C$61,((D799+E799)*C799-G799)*'Assumptions and Catalog'!$H$61+'Assumptions and Catalog'!$E$61+'Assumptions and Catalog'!$F$61,IF(((D799+E799)*C799-G799)&lt;='Assumptions and Catalog'!$C$62,((D799+E799)*C799-G799)*'Assumptions and Catalog'!$H$62+'Assumptions and Catalog'!$E$62+'Assumptions and Catalog'!$F$62,IF(((D799+E799)*C799-G799)&lt;='Assumptions and Catalog'!$C$63,((D799+E799)*C799-G799)*'Assumptions and Catalog'!$H$63+'Assumptions and Catalog'!$E$63+'Assumptions and Catalog'!$F$63,IF(((D799+E799)*C799-G799)&lt;='Assumptions and Catalog'!$C$64,((D799+E799)*C799-G799)*'Assumptions and Catalog'!$H$64+'Assumptions and Catalog'!$E$64+'Assumptions and Catalog'!$F$64,IF(((D799+E799)*C799-G799)&lt;='Assumptions and Catalog'!$C$65,((D799+E799)*C799-G799)*'Assumptions and Catalog'!$H$65+'Assumptions and Catalog'!$E$65+'Assumptions and Catalog'!$F$65,"Out of range")))))))))*(1+'Assumptions and Catalog'!$C$8)^(A799-1),0)</f>
        <v>3567.397</v>
      </c>
      <c r="R799" s="5" t="n">
        <f>IF(AND('Assumptions and Catalog'!$C$19&gt;0,A799&gt;='Assumptions and Catalog'!$C$19),A799-'Assumptions and Catalog'!$C$19,A799-1)</f>
        <v>1</v>
      </c>
      <c r="S799" s="5" t="n">
        <f>F799+L799-(D799+E799)*C799-J799-K799-IF(E$52&gt;0,'Assumptions and Catalog'!$C$26*C799,0)</f>
        <v>2.27373675443232E-013</v>
      </c>
      <c r="T799" s="5"/>
      <c r="U799" s="5"/>
    </row>
    <row r="800" ht="23.100000381469727" customHeight="1">
      <c r="A800" s="5" t="n">
        <v>12</v>
      </c>
      <c r="B800" s="5" t="n">
        <v>8</v>
      </c>
      <c r="C800" s="5" t="n">
        <f>DAY(DATE('Assumptions and Catalog'!$C$24+A800-1,B800+1,0))</f>
        <v>31</v>
      </c>
      <c r="D800" s="5" t="n">
        <f>IF(ISNUMBER(Inputs!$L$5),Inputs!$L$5*Inputs!$L$6,0)</f>
        <v>40.35</v>
      </c>
      <c r="E800" s="5" t="n">
        <f>IF(ISNUMBER(Inputs!$L$5),Inputs!$L$5-D800,0)</f>
        <v>40.35</v>
      </c>
      <c r="F800" s="5" t="n">
        <f>E$51*INDEX('Solar Production'!$D$20:$D$31,B800)*C800*(1-'Assumptions and Catalog'!$C$10)^(A800-1)</f>
        <v>1736.37138304171</v>
      </c>
      <c r="G800" s="5" t="n">
        <f>MIN(F800,D800*C800)</f>
        <v>1250.85</v>
      </c>
      <c r="H800" s="5" t="n">
        <f>I800/('Assumptions and Catalog'!$C$11*'Assumptions and Catalog'!$C$12)</f>
        <v>319.067897435898</v>
      </c>
      <c r="I800" s="5" t="n">
        <f>MIN(E800*C800,P800*'Assumptions and Catalog'!$C$12*C800,(F800-G800)*'Assumptions and Catalog'!$C$11*'Assumptions and Catalog'!$C$12,E$56*'Assumptions and Catalog'!$C$14*'Assumptions and Catalog'!$C$11*'Assumptions and Catalog'!$C$12*C800,E$57*(24-'Assumptions and Catalog'!$C$13)*C800)</f>
        <v>303.31392</v>
      </c>
      <c r="J800" s="5" t="n">
        <f>MAX(F800-G800-H800,0)</f>
        <v>166.453485605807</v>
      </c>
      <c r="K800" s="5" t="n">
        <f>H800-I800</f>
        <v>15.7539774358975</v>
      </c>
      <c r="L800" s="5" t="n">
        <f>(D800+E800)*C800-G800-I800+0+IF(E$52&gt;0,'Assumptions and Catalog'!$C$26*C800,0)</f>
        <v>947.53608</v>
      </c>
      <c r="M800" s="5" t="n">
        <f>IF(ISNUMBER(Inputs!$L$5),(IF(Inputs!$L$9="Actual flat rate",((D800+E800)*C800)*Inputs!$L$10,IF(Inputs!$C$9="Residential",IF(((D800+E800)*C800)&lt;='Assumptions and Catalog'!$C$50,((D800+E800)*C800)*'Assumptions and Catalog'!$H$50+'Assumptions and Catalog'!$E$50+'Assumptions and Catalog'!$F$50,IF(((D800+E800)*C800)&lt;='Assumptions and Catalog'!$C$51,((D800+E800)*C800)*'Assumptions and Catalog'!$H$51+'Assumptions and Catalog'!$E$51+'Assumptions and Catalog'!$F$51,IF(((D800+E800)*C800)&lt;='Assumptions and Catalog'!$C$52,((D800+E800)*C800)*'Assumptions and Catalog'!$H$52+'Assumptions and Catalog'!$E$52+'Assumptions and Catalog'!$F$52,IF(((D800+E800)*C800)&lt;='Assumptions and Catalog'!$C$53,((D800+E800)*C800)*'Assumptions and Catalog'!$H$53+'Assumptions and Catalog'!$E$53+'Assumptions and Catalog'!$F$53,IF(((D800+E800)*C800)&lt;='Assumptions and Catalog'!$C$54,((D800+E800)*C800)*'Assumptions and Catalog'!$H$54+'Assumptions and Catalog'!$E$54+'Assumptions and Catalog'!$F$54,IF(((D800+E800)*C800)&lt;='Assumptions and Catalog'!$C$55,((D800+E800)*C800)*'Assumptions and Catalog'!$H$55+'Assumptions and Catalog'!$E$55+'Assumptions and Catalog'!$F$55,IF(((D800+E800)*C800)&lt;='Assumptions and Catalog'!$C$56,((D800+E800)*C800)*'Assumptions and Catalog'!$H$56+'Assumptions and Catalog'!$E$56+'Assumptions and Catalog'!$F$56,IF(((D800+E800)*C800)&lt;='Assumptions and Catalog'!$C$57,((D800+E800)*C800)*'Assumptions and Catalog'!$H$57+'Assumptions and Catalog'!$E$57+'Assumptions and Catalog'!$F$57,"Out of range")))))))),IF(((D800+E800)*C800)&lt;='Assumptions and Catalog'!$C$60,((D800+E800)*C800)*'Assumptions and Catalog'!$H$60+'Assumptions and Catalog'!$E$60+'Assumptions and Catalog'!$F$60,IF(((D800+E800)*C800)&lt;='Assumptions and Catalog'!$C$61,((D800+E800)*C800)*'Assumptions and Catalog'!$H$61+'Assumptions and Catalog'!$E$61+'Assumptions and Catalog'!$F$61,IF(((D800+E800)*C800)&lt;='Assumptions and Catalog'!$C$62,((D800+E800)*C800)*'Assumptions and Catalog'!$H$62+'Assumptions and Catalog'!$E$62+'Assumptions and Catalog'!$F$62,IF(((D800+E800)*C800)&lt;='Assumptions and Catalog'!$C$63,((D800+E800)*C800)*'Assumptions and Catalog'!$H$63+'Assumptions and Catalog'!$E$63+'Assumptions and Catalog'!$F$63,IF(((D800+E800)*C800)&lt;='Assumptions and Catalog'!$C$64,((D800+E800)*C800)*'Assumptions and Catalog'!$H$64+'Assumptions and Catalog'!$E$64+'Assumptions and Catalog'!$F$64,IF(((D800+E800)*C800)&lt;='Assumptions and Catalog'!$C$65,((D800+E800)*C800)*'Assumptions and Catalog'!$H$65+'Assumptions and Catalog'!$E$65+'Assumptions and Catalog'!$F$65,"Out of range")))))))))*(1+'Assumptions and Catalog'!$C$8)^(A800-1),0)</f>
        <v>7094.794</v>
      </c>
      <c r="N800" s="5" t="n">
        <f>IF(ISNUMBER(Inputs!$L$5),(IF(Inputs!$L$9="Actual flat rate",L800*Inputs!$L$10,IF(Inputs!$C$9="Residential",IF(L800&lt;='Assumptions and Catalog'!$C$50,L800*'Assumptions and Catalog'!$H$50+'Assumptions and Catalog'!$E$50+'Assumptions and Catalog'!$F$50,IF(L800&lt;='Assumptions and Catalog'!$C$51,L800*'Assumptions and Catalog'!$H$51+'Assumptions and Catalog'!$E$51+'Assumptions and Catalog'!$F$51,IF(L800&lt;='Assumptions and Catalog'!$C$52,L800*'Assumptions and Catalog'!$H$52+'Assumptions and Catalog'!$E$52+'Assumptions and Catalog'!$F$52,IF(L800&lt;='Assumptions and Catalog'!$C$53,L800*'Assumptions and Catalog'!$H$53+'Assumptions and Catalog'!$E$53+'Assumptions and Catalog'!$F$53,IF(L800&lt;='Assumptions and Catalog'!$C$54,L800*'Assumptions and Catalog'!$H$54+'Assumptions and Catalog'!$E$54+'Assumptions and Catalog'!$F$54,IF(L800&lt;='Assumptions and Catalog'!$C$55,L800*'Assumptions and Catalog'!$H$55+'Assumptions and Catalog'!$E$55+'Assumptions and Catalog'!$F$55,IF(L800&lt;='Assumptions and Catalog'!$C$56,L800*'Assumptions and Catalog'!$H$56+'Assumptions and Catalog'!$E$56+'Assumptions and Catalog'!$F$56,IF(L800&lt;='Assumptions and Catalog'!$C$57,L800*'Assumptions and Catalog'!$H$57+'Assumptions and Catalog'!$E$57+'Assumptions and Catalog'!$F$57,"Out of range")))))))),IF(L800&lt;='Assumptions and Catalog'!$C$60,L800*'Assumptions and Catalog'!$H$60+'Assumptions and Catalog'!$E$60+'Assumptions and Catalog'!$F$60,IF(L800&lt;='Assumptions and Catalog'!$C$61,L800*'Assumptions and Catalog'!$H$61+'Assumptions and Catalog'!$E$61+'Assumptions and Catalog'!$F$61,IF(L800&lt;='Assumptions and Catalog'!$C$62,L800*'Assumptions and Catalog'!$H$62+'Assumptions and Catalog'!$E$62+'Assumptions and Catalog'!$F$62,IF(L800&lt;='Assumptions and Catalog'!$C$63,L800*'Assumptions and Catalog'!$H$63+'Assumptions and Catalog'!$E$63+'Assumptions and Catalog'!$F$63,IF(L800&lt;='Assumptions and Catalog'!$C$64,L800*'Assumptions and Catalog'!$H$64+'Assumptions and Catalog'!$E$64+'Assumptions and Catalog'!$F$64,IF(L800&lt;='Assumptions and Catalog'!$C$65,L800*'Assumptions and Catalog'!$H$65+'Assumptions and Catalog'!$E$65+'Assumptions and Catalog'!$F$65,"Out of range")))))))))*(1+'Assumptions and Catalog'!$C$8)^(A800-1),0)</f>
        <v>2589.6749416</v>
      </c>
      <c r="O800" s="5" t="n">
        <f>M800-N800</f>
        <v>4505.1190584</v>
      </c>
      <c r="P800" s="5" t="n">
        <f>E$55*(1-L$14)*(1-'Assumptions and Catalog'!$C$23)^R800</f>
        <v>10.0352</v>
      </c>
      <c r="Q800" s="5" t="n">
        <f>IF(ISNUMBER(Inputs!$L$5),(IF(Inputs!$L$9="Actual flat rate",((D800+E800)*C800-G800)*Inputs!$L$10,IF(Inputs!$C$9="Residential",IF(((D800+E800)*C800-G800)&lt;='Assumptions and Catalog'!$C$50,((D800+E800)*C800-G800)*'Assumptions and Catalog'!$H$50+'Assumptions and Catalog'!$E$50+'Assumptions and Catalog'!$F$50,IF(((D800+E800)*C800-G800)&lt;='Assumptions and Catalog'!$C$51,((D800+E800)*C800-G800)*'Assumptions and Catalog'!$H$51+'Assumptions and Catalog'!$E$51+'Assumptions and Catalog'!$F$51,IF(((D800+E800)*C800-G800)&lt;='Assumptions and Catalog'!$C$52,((D800+E800)*C800-G800)*'Assumptions and Catalog'!$H$52+'Assumptions and Catalog'!$E$52+'Assumptions and Catalog'!$F$52,IF(((D800+E800)*C800-G800)&lt;='Assumptions and Catalog'!$C$53,((D800+E800)*C800-G800)*'Assumptions and Catalog'!$H$53+'Assumptions and Catalog'!$E$53+'Assumptions and Catalog'!$F$53,IF(((D800+E800)*C800-G800)&lt;='Assumptions and Catalog'!$C$54,((D800+E800)*C800-G800)*'Assumptions and Catalog'!$H$54+'Assumptions and Catalog'!$E$54+'Assumptions and Catalog'!$F$54,IF(((D800+E800)*C800-G800)&lt;='Assumptions and Catalog'!$C$55,((D800+E800)*C800-G800)*'Assumptions and Catalog'!$H$55+'Assumptions and Catalog'!$E$55+'Assumptions and Catalog'!$F$55,IF(((D800+E800)*C800-G800)&lt;='Assumptions and Catalog'!$C$56,((D800+E800)*C800-G800)*'Assumptions and Catalog'!$H$56+'Assumptions and Catalog'!$E$56+'Assumptions and Catalog'!$F$56,IF(((D800+E800)*C800-G800)&lt;='Assumptions and Catalog'!$C$57,((D800+E800)*C800-G800)*'Assumptions and Catalog'!$H$57+'Assumptions and Catalog'!$E$57+'Assumptions and Catalog'!$F$57,"Out of range")))))))),IF(((D800+E800)*C800-G800)&lt;='Assumptions and Catalog'!$C$60,((D800+E800)*C800-G800)*'Assumptions and Catalog'!$H$60+'Assumptions and Catalog'!$E$60+'Assumptions and Catalog'!$F$60,IF(((D800+E800)*C800-G800)&lt;='Assumptions and Catalog'!$C$61,((D800+E800)*C800-G800)*'Assumptions and Catalog'!$H$61+'Assumptions and Catalog'!$E$61+'Assumptions and Catalog'!$F$61,IF(((D800+E800)*C800-G800)&lt;='Assumptions and Catalog'!$C$62,((D800+E800)*C800-G800)*'Assumptions and Catalog'!$H$62+'Assumptions and Catalog'!$E$62+'Assumptions and Catalog'!$F$62,IF(((D800+E800)*C800-G800)&lt;='Assumptions and Catalog'!$C$63,((D800+E800)*C800-G800)*'Assumptions and Catalog'!$H$63+'Assumptions and Catalog'!$E$63+'Assumptions and Catalog'!$F$63,IF(((D800+E800)*C800-G800)&lt;='Assumptions and Catalog'!$C$64,((D800+E800)*C800-G800)*'Assumptions and Catalog'!$H$64+'Assumptions and Catalog'!$E$64+'Assumptions and Catalog'!$F$64,IF(((D800+E800)*C800-G800)&lt;='Assumptions and Catalog'!$C$65,((D800+E800)*C800-G800)*'Assumptions and Catalog'!$H$65+'Assumptions and Catalog'!$E$65+'Assumptions and Catalog'!$F$65,"Out of range")))))))))*(1+'Assumptions and Catalog'!$C$8)^(A800-1),0)</f>
        <v>3567.397</v>
      </c>
      <c r="R800" s="5" t="n">
        <f>IF(AND('Assumptions and Catalog'!$C$19&gt;0,A800&gt;='Assumptions and Catalog'!$C$19),A800-'Assumptions and Catalog'!$C$19,A800-1)</f>
        <v>1</v>
      </c>
      <c r="S800" s="5" t="n">
        <f>F800+L800-(D800+E800)*C800-J800-K800-IF(E$52&gt;0,'Assumptions and Catalog'!$C$26*C800,0)</f>
        <v>2.27373675443232E-013</v>
      </c>
      <c r="T800" s="5"/>
      <c r="U800" s="5"/>
    </row>
    <row r="801" ht="23.100000381469727" customHeight="1">
      <c r="A801" s="5" t="n">
        <v>12</v>
      </c>
      <c r="B801" s="5" t="n">
        <v>9</v>
      </c>
      <c r="C801" s="5" t="n">
        <f>DAY(DATE('Assumptions and Catalog'!$C$24+A801-1,B801+1,0))</f>
        <v>30</v>
      </c>
      <c r="D801" s="5" t="n">
        <f>IF(ISNUMBER(Inputs!$L$5),Inputs!$L$5*Inputs!$L$6,0)</f>
        <v>40.35</v>
      </c>
      <c r="E801" s="5" t="n">
        <f>IF(ISNUMBER(Inputs!$L$5),Inputs!$L$5-D801,0)</f>
        <v>40.35</v>
      </c>
      <c r="F801" s="5" t="n">
        <f>E$51*INDEX('Solar Production'!$D$20:$D$31,B801)*C801*(1-'Assumptions and Catalog'!$C$10)^(A801-1)</f>
        <v>1675.99396084961</v>
      </c>
      <c r="G801" s="5" t="n">
        <f>MIN(F801,D801*C801)</f>
        <v>1210.5</v>
      </c>
      <c r="H801" s="5" t="n">
        <f>I801/('Assumptions and Catalog'!$C$11*'Assumptions and Catalog'!$C$12)</f>
        <v>308.775384615385</v>
      </c>
      <c r="I801" s="5" t="n">
        <f>MIN(E801*C801,P801*'Assumptions and Catalog'!$C$12*C801,(F801-G801)*'Assumptions and Catalog'!$C$11*'Assumptions and Catalog'!$C$12,E$56*'Assumptions and Catalog'!$C$14*'Assumptions and Catalog'!$C$11*'Assumptions and Catalog'!$C$12*C801,E$57*(24-'Assumptions and Catalog'!$C$13)*C801)</f>
        <v>293.5296</v>
      </c>
      <c r="J801" s="5" t="n">
        <f>MAX(F801-G801-H801,0)</f>
        <v>156.718576234223</v>
      </c>
      <c r="K801" s="5" t="n">
        <f>H801-I801</f>
        <v>15.2457846153847</v>
      </c>
      <c r="L801" s="5" t="n">
        <f>(D801+E801)*C801-G801-I801+0+IF(E$52&gt;0,'Assumptions and Catalog'!$C$26*C801,0)</f>
        <v>916.9704</v>
      </c>
      <c r="M801" s="5" t="n">
        <f>IF(ISNUMBER(Inputs!$L$5),(IF(Inputs!$L$9="Actual flat rate",((D801+E801)*C801)*Inputs!$L$10,IF(Inputs!$C$9="Residential",IF(((D801+E801)*C801)&lt;='Assumptions and Catalog'!$C$50,((D801+E801)*C801)*'Assumptions and Catalog'!$H$50+'Assumptions and Catalog'!$E$50+'Assumptions and Catalog'!$F$50,IF(((D801+E801)*C801)&lt;='Assumptions and Catalog'!$C$51,((D801+E801)*C801)*'Assumptions and Catalog'!$H$51+'Assumptions and Catalog'!$E$51+'Assumptions and Catalog'!$F$51,IF(((D801+E801)*C801)&lt;='Assumptions and Catalog'!$C$52,((D801+E801)*C801)*'Assumptions and Catalog'!$H$52+'Assumptions and Catalog'!$E$52+'Assumptions and Catalog'!$F$52,IF(((D801+E801)*C801)&lt;='Assumptions and Catalog'!$C$53,((D801+E801)*C801)*'Assumptions and Catalog'!$H$53+'Assumptions and Catalog'!$E$53+'Assumptions and Catalog'!$F$53,IF(((D801+E801)*C801)&lt;='Assumptions and Catalog'!$C$54,((D801+E801)*C801)*'Assumptions and Catalog'!$H$54+'Assumptions and Catalog'!$E$54+'Assumptions and Catalog'!$F$54,IF(((D801+E801)*C801)&lt;='Assumptions and Catalog'!$C$55,((D801+E801)*C801)*'Assumptions and Catalog'!$H$55+'Assumptions and Catalog'!$E$55+'Assumptions and Catalog'!$F$55,IF(((D801+E801)*C801)&lt;='Assumptions and Catalog'!$C$56,((D801+E801)*C801)*'Assumptions and Catalog'!$H$56+'Assumptions and Catalog'!$E$56+'Assumptions and Catalog'!$F$56,IF(((D801+E801)*C801)&lt;='Assumptions and Catalog'!$C$57,((D801+E801)*C801)*'Assumptions and Catalog'!$H$57+'Assumptions and Catalog'!$E$57+'Assumptions and Catalog'!$F$57,"Out of range")))))))),IF(((D801+E801)*C801)&lt;='Assumptions and Catalog'!$C$60,((D801+E801)*C801)*'Assumptions and Catalog'!$H$60+'Assumptions and Catalog'!$E$60+'Assumptions and Catalog'!$F$60,IF(((D801+E801)*C801)&lt;='Assumptions and Catalog'!$C$61,((D801+E801)*C801)*'Assumptions and Catalog'!$H$61+'Assumptions and Catalog'!$E$61+'Assumptions and Catalog'!$F$61,IF(((D801+E801)*C801)&lt;='Assumptions and Catalog'!$C$62,((D801+E801)*C801)*'Assumptions and Catalog'!$H$62+'Assumptions and Catalog'!$E$62+'Assumptions and Catalog'!$F$62,IF(((D801+E801)*C801)&lt;='Assumptions and Catalog'!$C$63,((D801+E801)*C801)*'Assumptions and Catalog'!$H$63+'Assumptions and Catalog'!$E$63+'Assumptions and Catalog'!$F$63,IF(((D801+E801)*C801)&lt;='Assumptions and Catalog'!$C$64,((D801+E801)*C801)*'Assumptions and Catalog'!$H$64+'Assumptions and Catalog'!$E$64+'Assumptions and Catalog'!$F$64,IF(((D801+E801)*C801)&lt;='Assumptions and Catalog'!$C$65,((D801+E801)*C801)*'Assumptions and Catalog'!$H$65+'Assumptions and Catalog'!$E$65+'Assumptions and Catalog'!$F$65,"Out of range")))))))))*(1+'Assumptions and Catalog'!$C$8)^(A801-1),0)</f>
        <v>6867.22</v>
      </c>
      <c r="N801" s="5" t="n">
        <f>IF(ISNUMBER(Inputs!$L$5),(IF(Inputs!$L$9="Actual flat rate",L801*Inputs!$L$10,IF(Inputs!$C$9="Residential",IF(L801&lt;='Assumptions and Catalog'!$C$50,L801*'Assumptions and Catalog'!$H$50+'Assumptions and Catalog'!$E$50+'Assumptions and Catalog'!$F$50,IF(L801&lt;='Assumptions and Catalog'!$C$51,L801*'Assumptions and Catalog'!$H$51+'Assumptions and Catalog'!$E$51+'Assumptions and Catalog'!$F$51,IF(L801&lt;='Assumptions and Catalog'!$C$52,L801*'Assumptions and Catalog'!$H$52+'Assumptions and Catalog'!$E$52+'Assumptions and Catalog'!$F$52,IF(L801&lt;='Assumptions and Catalog'!$C$53,L801*'Assumptions and Catalog'!$H$53+'Assumptions and Catalog'!$E$53+'Assumptions and Catalog'!$F$53,IF(L801&lt;='Assumptions and Catalog'!$C$54,L801*'Assumptions and Catalog'!$H$54+'Assumptions and Catalog'!$E$54+'Assumptions and Catalog'!$F$54,IF(L801&lt;='Assumptions and Catalog'!$C$55,L801*'Assumptions and Catalog'!$H$55+'Assumptions and Catalog'!$E$55+'Assumptions and Catalog'!$F$55,IF(L801&lt;='Assumptions and Catalog'!$C$56,L801*'Assumptions and Catalog'!$H$56+'Assumptions and Catalog'!$E$56+'Assumptions and Catalog'!$F$56,IF(L801&lt;='Assumptions and Catalog'!$C$57,L801*'Assumptions and Catalog'!$H$57+'Assumptions and Catalog'!$E$57+'Assumptions and Catalog'!$F$57,"Out of range")))))))),IF(L801&lt;='Assumptions and Catalog'!$C$60,L801*'Assumptions and Catalog'!$H$60+'Assumptions and Catalog'!$E$60+'Assumptions and Catalog'!$F$60,IF(L801&lt;='Assumptions and Catalog'!$C$61,L801*'Assumptions and Catalog'!$H$61+'Assumptions and Catalog'!$E$61+'Assumptions and Catalog'!$F$61,IF(L801&lt;='Assumptions and Catalog'!$C$62,L801*'Assumptions and Catalog'!$H$62+'Assumptions and Catalog'!$E$62+'Assumptions and Catalog'!$F$62,IF(L801&lt;='Assumptions and Catalog'!$C$63,L801*'Assumptions and Catalog'!$H$63+'Assumptions and Catalog'!$E$63+'Assumptions and Catalog'!$F$63,IF(L801&lt;='Assumptions and Catalog'!$C$64,L801*'Assumptions and Catalog'!$H$64+'Assumptions and Catalog'!$E$64+'Assumptions and Catalog'!$F$64,IF(L801&lt;='Assumptions and Catalog'!$C$65,L801*'Assumptions and Catalog'!$H$65+'Assumptions and Catalog'!$E$65+'Assumptions and Catalog'!$F$65,"Out of range")))))))))*(1+'Assumptions and Catalog'!$C$8)^(A801-1),0)</f>
        <v>2505.008008</v>
      </c>
      <c r="O801" s="5" t="n">
        <f>M801-N801</f>
        <v>4362.211992</v>
      </c>
      <c r="P801" s="5" t="n">
        <f>E$55*(1-L$14)*(1-'Assumptions and Catalog'!$C$23)^R801</f>
        <v>10.0352</v>
      </c>
      <c r="Q801" s="5" t="n">
        <f>IF(ISNUMBER(Inputs!$L$5),(IF(Inputs!$L$9="Actual flat rate",((D801+E801)*C801-G801)*Inputs!$L$10,IF(Inputs!$C$9="Residential",IF(((D801+E801)*C801-G801)&lt;='Assumptions and Catalog'!$C$50,((D801+E801)*C801-G801)*'Assumptions and Catalog'!$H$50+'Assumptions and Catalog'!$E$50+'Assumptions and Catalog'!$F$50,IF(((D801+E801)*C801-G801)&lt;='Assumptions and Catalog'!$C$51,((D801+E801)*C801-G801)*'Assumptions and Catalog'!$H$51+'Assumptions and Catalog'!$E$51+'Assumptions and Catalog'!$F$51,IF(((D801+E801)*C801-G801)&lt;='Assumptions and Catalog'!$C$52,((D801+E801)*C801-G801)*'Assumptions and Catalog'!$H$52+'Assumptions and Catalog'!$E$52+'Assumptions and Catalog'!$F$52,IF(((D801+E801)*C801-G801)&lt;='Assumptions and Catalog'!$C$53,((D801+E801)*C801-G801)*'Assumptions and Catalog'!$H$53+'Assumptions and Catalog'!$E$53+'Assumptions and Catalog'!$F$53,IF(((D801+E801)*C801-G801)&lt;='Assumptions and Catalog'!$C$54,((D801+E801)*C801-G801)*'Assumptions and Catalog'!$H$54+'Assumptions and Catalog'!$E$54+'Assumptions and Catalog'!$F$54,IF(((D801+E801)*C801-G801)&lt;='Assumptions and Catalog'!$C$55,((D801+E801)*C801-G801)*'Assumptions and Catalog'!$H$55+'Assumptions and Catalog'!$E$55+'Assumptions and Catalog'!$F$55,IF(((D801+E801)*C801-G801)&lt;='Assumptions and Catalog'!$C$56,((D801+E801)*C801-G801)*'Assumptions and Catalog'!$H$56+'Assumptions and Catalog'!$E$56+'Assumptions and Catalog'!$F$56,IF(((D801+E801)*C801-G801)&lt;='Assumptions and Catalog'!$C$57,((D801+E801)*C801-G801)*'Assumptions and Catalog'!$H$57+'Assumptions and Catalog'!$E$57+'Assumptions and Catalog'!$F$57,"Out of range")))))))),IF(((D801+E801)*C801-G801)&lt;='Assumptions and Catalog'!$C$60,((D801+E801)*C801-G801)*'Assumptions and Catalog'!$H$60+'Assumptions and Catalog'!$E$60+'Assumptions and Catalog'!$F$60,IF(((D801+E801)*C801-G801)&lt;='Assumptions and Catalog'!$C$61,((D801+E801)*C801-G801)*'Assumptions and Catalog'!$H$61+'Assumptions and Catalog'!$E$61+'Assumptions and Catalog'!$F$61,IF(((D801+E801)*C801-G801)&lt;='Assumptions and Catalog'!$C$62,((D801+E801)*C801-G801)*'Assumptions and Catalog'!$H$62+'Assumptions and Catalog'!$E$62+'Assumptions and Catalog'!$F$62,IF(((D801+E801)*C801-G801)&lt;='Assumptions and Catalog'!$C$63,((D801+E801)*C801-G801)*'Assumptions and Catalog'!$H$63+'Assumptions and Catalog'!$E$63+'Assumptions and Catalog'!$F$63,IF(((D801+E801)*C801-G801)&lt;='Assumptions and Catalog'!$C$64,((D801+E801)*C801-G801)*'Assumptions and Catalog'!$H$64+'Assumptions and Catalog'!$E$64+'Assumptions and Catalog'!$F$64,IF(((D801+E801)*C801-G801)&lt;='Assumptions and Catalog'!$C$65,((D801+E801)*C801-G801)*'Assumptions and Catalog'!$H$65+'Assumptions and Catalog'!$E$65+'Assumptions and Catalog'!$F$65,"Out of range")))))))))*(1+'Assumptions and Catalog'!$C$8)^(A801-1),0)</f>
        <v>3453.61</v>
      </c>
      <c r="R801" s="5" t="n">
        <f>IF(AND('Assumptions and Catalog'!$C$19&gt;0,A801&gt;='Assumptions and Catalog'!$C$19),A801-'Assumptions and Catalog'!$C$19,A801-1)</f>
        <v>1</v>
      </c>
      <c r="S801" s="5" t="n">
        <f>F801+L801-(D801+E801)*C801-J801-K801-IF(E$52&gt;0,'Assumptions and Catalog'!$C$26*C801,0)</f>
        <v>-2.8421709430404E-013</v>
      </c>
      <c r="T801" s="5"/>
      <c r="U801" s="5"/>
    </row>
    <row r="802" ht="23.100000381469727" customHeight="1">
      <c r="A802" s="5" t="n">
        <v>12</v>
      </c>
      <c r="B802" s="5" t="n">
        <v>10</v>
      </c>
      <c r="C802" s="5" t="n">
        <f>DAY(DATE('Assumptions and Catalog'!$C$24+A802-1,B802+1,0))</f>
        <v>31</v>
      </c>
      <c r="D802" s="5" t="n">
        <f>IF(ISNUMBER(Inputs!$L$5),Inputs!$L$5*Inputs!$L$6,0)</f>
        <v>40.35</v>
      </c>
      <c r="E802" s="5" t="n">
        <f>IF(ISNUMBER(Inputs!$L$5),Inputs!$L$5-D802,0)</f>
        <v>40.35</v>
      </c>
      <c r="F802" s="5" t="n">
        <f>E$51*INDEX('Solar Production'!$D$20:$D$31,B802)*C802*(1-'Assumptions and Catalog'!$C$10)^(A802-1)</f>
        <v>1608.64190540429</v>
      </c>
      <c r="G802" s="5" t="n">
        <f>MIN(F802,D802*C802)</f>
        <v>1250.85</v>
      </c>
      <c r="H802" s="5" t="n">
        <f>I802/('Assumptions and Catalog'!$C$11*'Assumptions and Catalog'!$C$12)</f>
        <v>319.067897435898</v>
      </c>
      <c r="I802" s="5" t="n">
        <f>MIN(E802*C802,P802*'Assumptions and Catalog'!$C$12*C802,(F802-G802)*'Assumptions and Catalog'!$C$11*'Assumptions and Catalog'!$C$12,E$56*'Assumptions and Catalog'!$C$14*'Assumptions and Catalog'!$C$11*'Assumptions and Catalog'!$C$12*C802,E$57*(24-'Assumptions and Catalog'!$C$13)*C802)</f>
        <v>303.31392</v>
      </c>
      <c r="J802" s="5" t="n">
        <f>MAX(F802-G802-H802,0)</f>
        <v>38.7240079683872</v>
      </c>
      <c r="K802" s="5" t="n">
        <f>H802-I802</f>
        <v>15.7539774358975</v>
      </c>
      <c r="L802" s="5" t="n">
        <f>(D802+E802)*C802-G802-I802+0+IF(E$52&gt;0,'Assumptions and Catalog'!$C$26*C802,0)</f>
        <v>947.53608</v>
      </c>
      <c r="M802" s="5" t="n">
        <f>IF(ISNUMBER(Inputs!$L$5),(IF(Inputs!$L$9="Actual flat rate",((D802+E802)*C802)*Inputs!$L$10,IF(Inputs!$C$9="Residential",IF(((D802+E802)*C802)&lt;='Assumptions and Catalog'!$C$50,((D802+E802)*C802)*'Assumptions and Catalog'!$H$50+'Assumptions and Catalog'!$E$50+'Assumptions and Catalog'!$F$50,IF(((D802+E802)*C802)&lt;='Assumptions and Catalog'!$C$51,((D802+E802)*C802)*'Assumptions and Catalog'!$H$51+'Assumptions and Catalog'!$E$51+'Assumptions and Catalog'!$F$51,IF(((D802+E802)*C802)&lt;='Assumptions and Catalog'!$C$52,((D802+E802)*C802)*'Assumptions and Catalog'!$H$52+'Assumptions and Catalog'!$E$52+'Assumptions and Catalog'!$F$52,IF(((D802+E802)*C802)&lt;='Assumptions and Catalog'!$C$53,((D802+E802)*C802)*'Assumptions and Catalog'!$H$53+'Assumptions and Catalog'!$E$53+'Assumptions and Catalog'!$F$53,IF(((D802+E802)*C802)&lt;='Assumptions and Catalog'!$C$54,((D802+E802)*C802)*'Assumptions and Catalog'!$H$54+'Assumptions and Catalog'!$E$54+'Assumptions and Catalog'!$F$54,IF(((D802+E802)*C802)&lt;='Assumptions and Catalog'!$C$55,((D802+E802)*C802)*'Assumptions and Catalog'!$H$55+'Assumptions and Catalog'!$E$55+'Assumptions and Catalog'!$F$55,IF(((D802+E802)*C802)&lt;='Assumptions and Catalog'!$C$56,((D802+E802)*C802)*'Assumptions and Catalog'!$H$56+'Assumptions and Catalog'!$E$56+'Assumptions and Catalog'!$F$56,IF(((D802+E802)*C802)&lt;='Assumptions and Catalog'!$C$57,((D802+E802)*C802)*'Assumptions and Catalog'!$H$57+'Assumptions and Catalog'!$E$57+'Assumptions and Catalog'!$F$57,"Out of range")))))))),IF(((D802+E802)*C802)&lt;='Assumptions and Catalog'!$C$60,((D802+E802)*C802)*'Assumptions and Catalog'!$H$60+'Assumptions and Catalog'!$E$60+'Assumptions and Catalog'!$F$60,IF(((D802+E802)*C802)&lt;='Assumptions and Catalog'!$C$61,((D802+E802)*C802)*'Assumptions and Catalog'!$H$61+'Assumptions and Catalog'!$E$61+'Assumptions and Catalog'!$F$61,IF(((D802+E802)*C802)&lt;='Assumptions and Catalog'!$C$62,((D802+E802)*C802)*'Assumptions and Catalog'!$H$62+'Assumptions and Catalog'!$E$62+'Assumptions and Catalog'!$F$62,IF(((D802+E802)*C802)&lt;='Assumptions and Catalog'!$C$63,((D802+E802)*C802)*'Assumptions and Catalog'!$H$63+'Assumptions and Catalog'!$E$63+'Assumptions and Catalog'!$F$63,IF(((D802+E802)*C802)&lt;='Assumptions and Catalog'!$C$64,((D802+E802)*C802)*'Assumptions and Catalog'!$H$64+'Assumptions and Catalog'!$E$64+'Assumptions and Catalog'!$F$64,IF(((D802+E802)*C802)&lt;='Assumptions and Catalog'!$C$65,((D802+E802)*C802)*'Assumptions and Catalog'!$H$65+'Assumptions and Catalog'!$E$65+'Assumptions and Catalog'!$F$65,"Out of range")))))))))*(1+'Assumptions and Catalog'!$C$8)^(A802-1),0)</f>
        <v>7094.794</v>
      </c>
      <c r="N802" s="5" t="n">
        <f>IF(ISNUMBER(Inputs!$L$5),(IF(Inputs!$L$9="Actual flat rate",L802*Inputs!$L$10,IF(Inputs!$C$9="Residential",IF(L802&lt;='Assumptions and Catalog'!$C$50,L802*'Assumptions and Catalog'!$H$50+'Assumptions and Catalog'!$E$50+'Assumptions and Catalog'!$F$50,IF(L802&lt;='Assumptions and Catalog'!$C$51,L802*'Assumptions and Catalog'!$H$51+'Assumptions and Catalog'!$E$51+'Assumptions and Catalog'!$F$51,IF(L802&lt;='Assumptions and Catalog'!$C$52,L802*'Assumptions and Catalog'!$H$52+'Assumptions and Catalog'!$E$52+'Assumptions and Catalog'!$F$52,IF(L802&lt;='Assumptions and Catalog'!$C$53,L802*'Assumptions and Catalog'!$H$53+'Assumptions and Catalog'!$E$53+'Assumptions and Catalog'!$F$53,IF(L802&lt;='Assumptions and Catalog'!$C$54,L802*'Assumptions and Catalog'!$H$54+'Assumptions and Catalog'!$E$54+'Assumptions and Catalog'!$F$54,IF(L802&lt;='Assumptions and Catalog'!$C$55,L802*'Assumptions and Catalog'!$H$55+'Assumptions and Catalog'!$E$55+'Assumptions and Catalog'!$F$55,IF(L802&lt;='Assumptions and Catalog'!$C$56,L802*'Assumptions and Catalog'!$H$56+'Assumptions and Catalog'!$E$56+'Assumptions and Catalog'!$F$56,IF(L802&lt;='Assumptions and Catalog'!$C$57,L802*'Assumptions and Catalog'!$H$57+'Assumptions and Catalog'!$E$57+'Assumptions and Catalog'!$F$57,"Out of range")))))))),IF(L802&lt;='Assumptions and Catalog'!$C$60,L802*'Assumptions and Catalog'!$H$60+'Assumptions and Catalog'!$E$60+'Assumptions and Catalog'!$F$60,IF(L802&lt;='Assumptions and Catalog'!$C$61,L802*'Assumptions and Catalog'!$H$61+'Assumptions and Catalog'!$E$61+'Assumptions and Catalog'!$F$61,IF(L802&lt;='Assumptions and Catalog'!$C$62,L802*'Assumptions and Catalog'!$H$62+'Assumptions and Catalog'!$E$62+'Assumptions and Catalog'!$F$62,IF(L802&lt;='Assumptions and Catalog'!$C$63,L802*'Assumptions and Catalog'!$H$63+'Assumptions and Catalog'!$E$63+'Assumptions and Catalog'!$F$63,IF(L802&lt;='Assumptions and Catalog'!$C$64,L802*'Assumptions and Catalog'!$H$64+'Assumptions and Catalog'!$E$64+'Assumptions and Catalog'!$F$64,IF(L802&lt;='Assumptions and Catalog'!$C$65,L802*'Assumptions and Catalog'!$H$65+'Assumptions and Catalog'!$E$65+'Assumptions and Catalog'!$F$65,"Out of range")))))))))*(1+'Assumptions and Catalog'!$C$8)^(A802-1),0)</f>
        <v>2589.6749416</v>
      </c>
      <c r="O802" s="5" t="n">
        <f>M802-N802</f>
        <v>4505.1190584</v>
      </c>
      <c r="P802" s="5" t="n">
        <f>E$55*(1-L$14)*(1-'Assumptions and Catalog'!$C$23)^R802</f>
        <v>10.0352</v>
      </c>
      <c r="Q802" s="5" t="n">
        <f>IF(ISNUMBER(Inputs!$L$5),(IF(Inputs!$L$9="Actual flat rate",((D802+E802)*C802-G802)*Inputs!$L$10,IF(Inputs!$C$9="Residential",IF(((D802+E802)*C802-G802)&lt;='Assumptions and Catalog'!$C$50,((D802+E802)*C802-G802)*'Assumptions and Catalog'!$H$50+'Assumptions and Catalog'!$E$50+'Assumptions and Catalog'!$F$50,IF(((D802+E802)*C802-G802)&lt;='Assumptions and Catalog'!$C$51,((D802+E802)*C802-G802)*'Assumptions and Catalog'!$H$51+'Assumptions and Catalog'!$E$51+'Assumptions and Catalog'!$F$51,IF(((D802+E802)*C802-G802)&lt;='Assumptions and Catalog'!$C$52,((D802+E802)*C802-G802)*'Assumptions and Catalog'!$H$52+'Assumptions and Catalog'!$E$52+'Assumptions and Catalog'!$F$52,IF(((D802+E802)*C802-G802)&lt;='Assumptions and Catalog'!$C$53,((D802+E802)*C802-G802)*'Assumptions and Catalog'!$H$53+'Assumptions and Catalog'!$E$53+'Assumptions and Catalog'!$F$53,IF(((D802+E802)*C802-G802)&lt;='Assumptions and Catalog'!$C$54,((D802+E802)*C802-G802)*'Assumptions and Catalog'!$H$54+'Assumptions and Catalog'!$E$54+'Assumptions and Catalog'!$F$54,IF(((D802+E802)*C802-G802)&lt;='Assumptions and Catalog'!$C$55,((D802+E802)*C802-G802)*'Assumptions and Catalog'!$H$55+'Assumptions and Catalog'!$E$55+'Assumptions and Catalog'!$F$55,IF(((D802+E802)*C802-G802)&lt;='Assumptions and Catalog'!$C$56,((D802+E802)*C802-G802)*'Assumptions and Catalog'!$H$56+'Assumptions and Catalog'!$E$56+'Assumptions and Catalog'!$F$56,IF(((D802+E802)*C802-G802)&lt;='Assumptions and Catalog'!$C$57,((D802+E802)*C802-G802)*'Assumptions and Catalog'!$H$57+'Assumptions and Catalog'!$E$57+'Assumptions and Catalog'!$F$57,"Out of range")))))))),IF(((D802+E802)*C802-G802)&lt;='Assumptions and Catalog'!$C$60,((D802+E802)*C802-G802)*'Assumptions and Catalog'!$H$60+'Assumptions and Catalog'!$E$60+'Assumptions and Catalog'!$F$60,IF(((D802+E802)*C802-G802)&lt;='Assumptions and Catalog'!$C$61,((D802+E802)*C802-G802)*'Assumptions and Catalog'!$H$61+'Assumptions and Catalog'!$E$61+'Assumptions and Catalog'!$F$61,IF(((D802+E802)*C802-G802)&lt;='Assumptions and Catalog'!$C$62,((D802+E802)*C802-G802)*'Assumptions and Catalog'!$H$62+'Assumptions and Catalog'!$E$62+'Assumptions and Catalog'!$F$62,IF(((D802+E802)*C802-G802)&lt;='Assumptions and Catalog'!$C$63,((D802+E802)*C802-G802)*'Assumptions and Catalog'!$H$63+'Assumptions and Catalog'!$E$63+'Assumptions and Catalog'!$F$63,IF(((D802+E802)*C802-G802)&lt;='Assumptions and Catalog'!$C$64,((D802+E802)*C802-G802)*'Assumptions and Catalog'!$H$64+'Assumptions and Catalog'!$E$64+'Assumptions and Catalog'!$F$64,IF(((D802+E802)*C802-G802)&lt;='Assumptions and Catalog'!$C$65,((D802+E802)*C802-G802)*'Assumptions and Catalog'!$H$65+'Assumptions and Catalog'!$E$65+'Assumptions and Catalog'!$F$65,"Out of range")))))))))*(1+'Assumptions and Catalog'!$C$8)^(A802-1),0)</f>
        <v>3567.397</v>
      </c>
      <c r="R802" s="5" t="n">
        <f>IF(AND('Assumptions and Catalog'!$C$19&gt;0,A802&gt;='Assumptions and Catalog'!$C$19),A802-'Assumptions and Catalog'!$C$19,A802-1)</f>
        <v>1</v>
      </c>
      <c r="S802" s="5" t="n">
        <f>F802+L802-(D802+E802)*C802-J802-K802-IF(E$52&gt;0,'Assumptions and Catalog'!$C$26*C802,0)</f>
        <v>2.27373675443232E-013</v>
      </c>
      <c r="T802" s="5"/>
      <c r="U802" s="5"/>
    </row>
    <row r="803" ht="23.100000381469727" customHeight="1">
      <c r="A803" s="5" t="n">
        <v>12</v>
      </c>
      <c r="B803" s="5" t="n">
        <v>11</v>
      </c>
      <c r="C803" s="5" t="n">
        <f>DAY(DATE('Assumptions and Catalog'!$C$24+A803-1,B803+1,0))</f>
        <v>30</v>
      </c>
      <c r="D803" s="5" t="n">
        <f>IF(ISNUMBER(Inputs!$L$5),Inputs!$L$5*Inputs!$L$6,0)</f>
        <v>40.35</v>
      </c>
      <c r="E803" s="5" t="n">
        <f>IF(ISNUMBER(Inputs!$L$5),Inputs!$L$5-D803,0)</f>
        <v>40.35</v>
      </c>
      <c r="F803" s="5" t="n">
        <f>E$51*INDEX('Solar Production'!$D$20:$D$31,B803)*C803*(1-'Assumptions and Catalog'!$C$10)^(A803-1)</f>
        <v>1425.84405476752</v>
      </c>
      <c r="G803" s="5" t="n">
        <f>MIN(F803,D803*C803)</f>
        <v>1210.5</v>
      </c>
      <c r="H803" s="5" t="n">
        <f>I803/('Assumptions and Catalog'!$C$11*'Assumptions and Catalog'!$C$12)</f>
        <v>215.34405476752</v>
      </c>
      <c r="I803" s="5" t="n">
        <f>MIN(E803*C803,P803*'Assumptions and Catalog'!$C$12*C803,(F803-G803)*'Assumptions and Catalog'!$C$11*'Assumptions and Catalog'!$C$12,E$56*'Assumptions and Catalog'!$C$14*'Assumptions and Catalog'!$C$11*'Assumptions and Catalog'!$C$12*C803,E$57*(24-'Assumptions and Catalog'!$C$13)*C803)</f>
        <v>204.711442063374</v>
      </c>
      <c r="J803" s="5" t="n">
        <f>MAX(F803-G803-H803,0)</f>
        <v>0</v>
      </c>
      <c r="K803" s="5" t="n">
        <f>H803-I803</f>
        <v>10.6326127041463</v>
      </c>
      <c r="L803" s="5" t="n">
        <f>(D803+E803)*C803-G803-I803+0+IF(E$52&gt;0,'Assumptions and Catalog'!$C$26*C803,0)</f>
        <v>1005.78855793663</v>
      </c>
      <c r="M803" s="5" t="n">
        <f>IF(ISNUMBER(Inputs!$L$5),(IF(Inputs!$L$9="Actual flat rate",((D803+E803)*C803)*Inputs!$L$10,IF(Inputs!$C$9="Residential",IF(((D803+E803)*C803)&lt;='Assumptions and Catalog'!$C$50,((D803+E803)*C803)*'Assumptions and Catalog'!$H$50+'Assumptions and Catalog'!$E$50+'Assumptions and Catalog'!$F$50,IF(((D803+E803)*C803)&lt;='Assumptions and Catalog'!$C$51,((D803+E803)*C803)*'Assumptions and Catalog'!$H$51+'Assumptions and Catalog'!$E$51+'Assumptions and Catalog'!$F$51,IF(((D803+E803)*C803)&lt;='Assumptions and Catalog'!$C$52,((D803+E803)*C803)*'Assumptions and Catalog'!$H$52+'Assumptions and Catalog'!$E$52+'Assumptions and Catalog'!$F$52,IF(((D803+E803)*C803)&lt;='Assumptions and Catalog'!$C$53,((D803+E803)*C803)*'Assumptions and Catalog'!$H$53+'Assumptions and Catalog'!$E$53+'Assumptions and Catalog'!$F$53,IF(((D803+E803)*C803)&lt;='Assumptions and Catalog'!$C$54,((D803+E803)*C803)*'Assumptions and Catalog'!$H$54+'Assumptions and Catalog'!$E$54+'Assumptions and Catalog'!$F$54,IF(((D803+E803)*C803)&lt;='Assumptions and Catalog'!$C$55,((D803+E803)*C803)*'Assumptions and Catalog'!$H$55+'Assumptions and Catalog'!$E$55+'Assumptions and Catalog'!$F$55,IF(((D803+E803)*C803)&lt;='Assumptions and Catalog'!$C$56,((D803+E803)*C803)*'Assumptions and Catalog'!$H$56+'Assumptions and Catalog'!$E$56+'Assumptions and Catalog'!$F$56,IF(((D803+E803)*C803)&lt;='Assumptions and Catalog'!$C$57,((D803+E803)*C803)*'Assumptions and Catalog'!$H$57+'Assumptions and Catalog'!$E$57+'Assumptions and Catalog'!$F$57,"Out of range")))))))),IF(((D803+E803)*C803)&lt;='Assumptions and Catalog'!$C$60,((D803+E803)*C803)*'Assumptions and Catalog'!$H$60+'Assumptions and Catalog'!$E$60+'Assumptions and Catalog'!$F$60,IF(((D803+E803)*C803)&lt;='Assumptions and Catalog'!$C$61,((D803+E803)*C803)*'Assumptions and Catalog'!$H$61+'Assumptions and Catalog'!$E$61+'Assumptions and Catalog'!$F$61,IF(((D803+E803)*C803)&lt;='Assumptions and Catalog'!$C$62,((D803+E803)*C803)*'Assumptions and Catalog'!$H$62+'Assumptions and Catalog'!$E$62+'Assumptions and Catalog'!$F$62,IF(((D803+E803)*C803)&lt;='Assumptions and Catalog'!$C$63,((D803+E803)*C803)*'Assumptions and Catalog'!$H$63+'Assumptions and Catalog'!$E$63+'Assumptions and Catalog'!$F$63,IF(((D803+E803)*C803)&lt;='Assumptions and Catalog'!$C$64,((D803+E803)*C803)*'Assumptions and Catalog'!$H$64+'Assumptions and Catalog'!$E$64+'Assumptions and Catalog'!$F$64,IF(((D803+E803)*C803)&lt;='Assumptions and Catalog'!$C$65,((D803+E803)*C803)*'Assumptions and Catalog'!$H$65+'Assumptions and Catalog'!$E$65+'Assumptions and Catalog'!$F$65,"Out of range")))))))))*(1+'Assumptions and Catalog'!$C$8)^(A803-1),0)</f>
        <v>6867.22</v>
      </c>
      <c r="N803" s="5" t="n">
        <f>IF(ISNUMBER(Inputs!$L$5),(IF(Inputs!$L$9="Actual flat rate",L803*Inputs!$L$10,IF(Inputs!$C$9="Residential",IF(L803&lt;='Assumptions and Catalog'!$C$50,L803*'Assumptions and Catalog'!$H$50+'Assumptions and Catalog'!$E$50+'Assumptions and Catalog'!$F$50,IF(L803&lt;='Assumptions and Catalog'!$C$51,L803*'Assumptions and Catalog'!$H$51+'Assumptions and Catalog'!$E$51+'Assumptions and Catalog'!$F$51,IF(L803&lt;='Assumptions and Catalog'!$C$52,L803*'Assumptions and Catalog'!$H$52+'Assumptions and Catalog'!$E$52+'Assumptions and Catalog'!$F$52,IF(L803&lt;='Assumptions and Catalog'!$C$53,L803*'Assumptions and Catalog'!$H$53+'Assumptions and Catalog'!$E$53+'Assumptions and Catalog'!$F$53,IF(L803&lt;='Assumptions and Catalog'!$C$54,L803*'Assumptions and Catalog'!$H$54+'Assumptions and Catalog'!$E$54+'Assumptions and Catalog'!$F$54,IF(L803&lt;='Assumptions and Catalog'!$C$55,L803*'Assumptions and Catalog'!$H$55+'Assumptions and Catalog'!$E$55+'Assumptions and Catalog'!$F$55,IF(L803&lt;='Assumptions and Catalog'!$C$56,L803*'Assumptions and Catalog'!$H$56+'Assumptions and Catalog'!$E$56+'Assumptions and Catalog'!$F$56,IF(L803&lt;='Assumptions and Catalog'!$C$57,L803*'Assumptions and Catalog'!$H$57+'Assumptions and Catalog'!$E$57+'Assumptions and Catalog'!$F$57,"Out of range")))))))),IF(L803&lt;='Assumptions and Catalog'!$C$60,L803*'Assumptions and Catalog'!$H$60+'Assumptions and Catalog'!$E$60+'Assumptions and Catalog'!$F$60,IF(L803&lt;='Assumptions and Catalog'!$C$61,L803*'Assumptions and Catalog'!$H$61+'Assumptions and Catalog'!$E$61+'Assumptions and Catalog'!$F$61,IF(L803&lt;='Assumptions and Catalog'!$C$62,L803*'Assumptions and Catalog'!$H$62+'Assumptions and Catalog'!$E$62+'Assumptions and Catalog'!$F$62,IF(L803&lt;='Assumptions and Catalog'!$C$63,L803*'Assumptions and Catalog'!$H$63+'Assumptions and Catalog'!$E$63+'Assumptions and Catalog'!$F$63,IF(L803&lt;='Assumptions and Catalog'!$C$64,L803*'Assumptions and Catalog'!$H$64+'Assumptions and Catalog'!$E$64+'Assumptions and Catalog'!$F$64,IF(L803&lt;='Assumptions and Catalog'!$C$65,L803*'Assumptions and Catalog'!$H$65+'Assumptions and Catalog'!$E$65+'Assumptions and Catalog'!$F$65,"Out of range")))))))))*(1+'Assumptions and Catalog'!$C$8)^(A803-1),0)</f>
        <v>2876.32373338129</v>
      </c>
      <c r="O803" s="5" t="n">
        <f>M803-N803</f>
        <v>3990.89626661871</v>
      </c>
      <c r="P803" s="5" t="n">
        <f>E$55*(1-L$14)*(1-'Assumptions and Catalog'!$C$23)^R803</f>
        <v>10.0352</v>
      </c>
      <c r="Q803" s="5" t="n">
        <f>IF(ISNUMBER(Inputs!$L$5),(IF(Inputs!$L$9="Actual flat rate",((D803+E803)*C803-G803)*Inputs!$L$10,IF(Inputs!$C$9="Residential",IF(((D803+E803)*C803-G803)&lt;='Assumptions and Catalog'!$C$50,((D803+E803)*C803-G803)*'Assumptions and Catalog'!$H$50+'Assumptions and Catalog'!$E$50+'Assumptions and Catalog'!$F$50,IF(((D803+E803)*C803-G803)&lt;='Assumptions and Catalog'!$C$51,((D803+E803)*C803-G803)*'Assumptions and Catalog'!$H$51+'Assumptions and Catalog'!$E$51+'Assumptions and Catalog'!$F$51,IF(((D803+E803)*C803-G803)&lt;='Assumptions and Catalog'!$C$52,((D803+E803)*C803-G803)*'Assumptions and Catalog'!$H$52+'Assumptions and Catalog'!$E$52+'Assumptions and Catalog'!$F$52,IF(((D803+E803)*C803-G803)&lt;='Assumptions and Catalog'!$C$53,((D803+E803)*C803-G803)*'Assumptions and Catalog'!$H$53+'Assumptions and Catalog'!$E$53+'Assumptions and Catalog'!$F$53,IF(((D803+E803)*C803-G803)&lt;='Assumptions and Catalog'!$C$54,((D803+E803)*C803-G803)*'Assumptions and Catalog'!$H$54+'Assumptions and Catalog'!$E$54+'Assumptions and Catalog'!$F$54,IF(((D803+E803)*C803-G803)&lt;='Assumptions and Catalog'!$C$55,((D803+E803)*C803-G803)*'Assumptions and Catalog'!$H$55+'Assumptions and Catalog'!$E$55+'Assumptions and Catalog'!$F$55,IF(((D803+E803)*C803-G803)&lt;='Assumptions and Catalog'!$C$56,((D803+E803)*C803-G803)*'Assumptions and Catalog'!$H$56+'Assumptions and Catalog'!$E$56+'Assumptions and Catalog'!$F$56,IF(((D803+E803)*C803-G803)&lt;='Assumptions and Catalog'!$C$57,((D803+E803)*C803-G803)*'Assumptions and Catalog'!$H$57+'Assumptions and Catalog'!$E$57+'Assumptions and Catalog'!$F$57,"Out of range")))))))),IF(((D803+E803)*C803-G803)&lt;='Assumptions and Catalog'!$C$60,((D803+E803)*C803-G803)*'Assumptions and Catalog'!$H$60+'Assumptions and Catalog'!$E$60+'Assumptions and Catalog'!$F$60,IF(((D803+E803)*C803-G803)&lt;='Assumptions and Catalog'!$C$61,((D803+E803)*C803-G803)*'Assumptions and Catalog'!$H$61+'Assumptions and Catalog'!$E$61+'Assumptions and Catalog'!$F$61,IF(((D803+E803)*C803-G803)&lt;='Assumptions and Catalog'!$C$62,((D803+E803)*C803-G803)*'Assumptions and Catalog'!$H$62+'Assumptions and Catalog'!$E$62+'Assumptions and Catalog'!$F$62,IF(((D803+E803)*C803-G803)&lt;='Assumptions and Catalog'!$C$63,((D803+E803)*C803-G803)*'Assumptions and Catalog'!$H$63+'Assumptions and Catalog'!$E$63+'Assumptions and Catalog'!$F$63,IF(((D803+E803)*C803-G803)&lt;='Assumptions and Catalog'!$C$64,((D803+E803)*C803-G803)*'Assumptions and Catalog'!$H$64+'Assumptions and Catalog'!$E$64+'Assumptions and Catalog'!$F$64,IF(((D803+E803)*C803-G803)&lt;='Assumptions and Catalog'!$C$65,((D803+E803)*C803-G803)*'Assumptions and Catalog'!$H$65+'Assumptions and Catalog'!$E$65+'Assumptions and Catalog'!$F$65,"Out of range")))))))))*(1+'Assumptions and Catalog'!$C$8)^(A803-1),0)</f>
        <v>3453.61</v>
      </c>
      <c r="R803" s="5" t="n">
        <f>IF(AND('Assumptions and Catalog'!$C$19&gt;0,A803&gt;='Assumptions and Catalog'!$C$19),A803-'Assumptions and Catalog'!$C$19,A803-1)</f>
        <v>1</v>
      </c>
      <c r="S803" s="5" t="n">
        <f>F803+L803-(D803+E803)*C803-J803-K803-IF(E$52&gt;0,'Assumptions and Catalog'!$C$26*C803,0)</f>
        <v>2.8421709430404E-013</v>
      </c>
      <c r="T803" s="5"/>
      <c r="U803" s="5"/>
    </row>
    <row r="804" ht="23.100000381469727" customHeight="1">
      <c r="A804" s="5" t="n">
        <v>12</v>
      </c>
      <c r="B804" s="5" t="n">
        <v>12</v>
      </c>
      <c r="C804" s="5" t="n">
        <f>DAY(DATE('Assumptions and Catalog'!$C$24+A804-1,B804+1,0))</f>
        <v>31</v>
      </c>
      <c r="D804" s="5" t="n">
        <f>IF(ISNUMBER(Inputs!$L$5),Inputs!$L$5*Inputs!$L$6,0)</f>
        <v>40.35</v>
      </c>
      <c r="E804" s="5" t="n">
        <f>IF(ISNUMBER(Inputs!$L$5),Inputs!$L$5-D804,0)</f>
        <v>40.35</v>
      </c>
      <c r="F804" s="5" t="n">
        <f>E$51*INDEX('Solar Production'!$D$20:$D$31,B804)*C804*(1-'Assumptions and Catalog'!$C$10)^(A804-1)</f>
        <v>1357.4510092844</v>
      </c>
      <c r="G804" s="5" t="n">
        <f>MIN(F804,D804*C804)</f>
        <v>1250.85</v>
      </c>
      <c r="H804" s="5" t="n">
        <f>I804/('Assumptions and Catalog'!$C$11*'Assumptions and Catalog'!$C$12)</f>
        <v>106.601009284403</v>
      </c>
      <c r="I804" s="5" t="n">
        <f>MIN(E804*C804,P804*'Assumptions and Catalog'!$C$12*C804,(F804-G804)*'Assumptions and Catalog'!$C$11*'Assumptions and Catalog'!$C$12,E$56*'Assumptions and Catalog'!$C$14*'Assumptions and Catalog'!$C$11*'Assumptions and Catalog'!$C$12*C804,E$57*(24-'Assumptions and Catalog'!$C$13)*C804)</f>
        <v>101.337584450985</v>
      </c>
      <c r="J804" s="5" t="n">
        <f>MAX(F804-G804-H804,0)</f>
        <v>0</v>
      </c>
      <c r="K804" s="5" t="n">
        <f>H804-I804</f>
        <v>5.2634248334174</v>
      </c>
      <c r="L804" s="5" t="n">
        <f>(D804+E804)*C804-G804-I804+0+IF(E$52&gt;0,'Assumptions and Catalog'!$C$26*C804,0)</f>
        <v>1149.51241554901</v>
      </c>
      <c r="M804" s="5" t="n">
        <f>IF(ISNUMBER(Inputs!$L$5),(IF(Inputs!$L$9="Actual flat rate",((D804+E804)*C804)*Inputs!$L$10,IF(Inputs!$C$9="Residential",IF(((D804+E804)*C804)&lt;='Assumptions and Catalog'!$C$50,((D804+E804)*C804)*'Assumptions and Catalog'!$H$50+'Assumptions and Catalog'!$E$50+'Assumptions and Catalog'!$F$50,IF(((D804+E804)*C804)&lt;='Assumptions and Catalog'!$C$51,((D804+E804)*C804)*'Assumptions and Catalog'!$H$51+'Assumptions and Catalog'!$E$51+'Assumptions and Catalog'!$F$51,IF(((D804+E804)*C804)&lt;='Assumptions and Catalog'!$C$52,((D804+E804)*C804)*'Assumptions and Catalog'!$H$52+'Assumptions and Catalog'!$E$52+'Assumptions and Catalog'!$F$52,IF(((D804+E804)*C804)&lt;='Assumptions and Catalog'!$C$53,((D804+E804)*C804)*'Assumptions and Catalog'!$H$53+'Assumptions and Catalog'!$E$53+'Assumptions and Catalog'!$F$53,IF(((D804+E804)*C804)&lt;='Assumptions and Catalog'!$C$54,((D804+E804)*C804)*'Assumptions and Catalog'!$H$54+'Assumptions and Catalog'!$E$54+'Assumptions and Catalog'!$F$54,IF(((D804+E804)*C804)&lt;='Assumptions and Catalog'!$C$55,((D804+E804)*C804)*'Assumptions and Catalog'!$H$55+'Assumptions and Catalog'!$E$55+'Assumptions and Catalog'!$F$55,IF(((D804+E804)*C804)&lt;='Assumptions and Catalog'!$C$56,((D804+E804)*C804)*'Assumptions and Catalog'!$H$56+'Assumptions and Catalog'!$E$56+'Assumptions and Catalog'!$F$56,IF(((D804+E804)*C804)&lt;='Assumptions and Catalog'!$C$57,((D804+E804)*C804)*'Assumptions and Catalog'!$H$57+'Assumptions and Catalog'!$E$57+'Assumptions and Catalog'!$F$57,"Out of range")))))))),IF(((D804+E804)*C804)&lt;='Assumptions and Catalog'!$C$60,((D804+E804)*C804)*'Assumptions and Catalog'!$H$60+'Assumptions and Catalog'!$E$60+'Assumptions and Catalog'!$F$60,IF(((D804+E804)*C804)&lt;='Assumptions and Catalog'!$C$61,((D804+E804)*C804)*'Assumptions and Catalog'!$H$61+'Assumptions and Catalog'!$E$61+'Assumptions and Catalog'!$F$61,IF(((D804+E804)*C804)&lt;='Assumptions and Catalog'!$C$62,((D804+E804)*C804)*'Assumptions and Catalog'!$H$62+'Assumptions and Catalog'!$E$62+'Assumptions and Catalog'!$F$62,IF(((D804+E804)*C804)&lt;='Assumptions and Catalog'!$C$63,((D804+E804)*C804)*'Assumptions and Catalog'!$H$63+'Assumptions and Catalog'!$E$63+'Assumptions and Catalog'!$F$63,IF(((D804+E804)*C804)&lt;='Assumptions and Catalog'!$C$64,((D804+E804)*C804)*'Assumptions and Catalog'!$H$64+'Assumptions and Catalog'!$E$64+'Assumptions and Catalog'!$F$64,IF(((D804+E804)*C804)&lt;='Assumptions and Catalog'!$C$65,((D804+E804)*C804)*'Assumptions and Catalog'!$H$65+'Assumptions and Catalog'!$E$65+'Assumptions and Catalog'!$F$65,"Out of range")))))))))*(1+'Assumptions and Catalog'!$C$8)^(A804-1),0)</f>
        <v>7094.794</v>
      </c>
      <c r="N804" s="5" t="n">
        <f>IF(ISNUMBER(Inputs!$L$5),(IF(Inputs!$L$9="Actual flat rate",L804*Inputs!$L$10,IF(Inputs!$C$9="Residential",IF(L804&lt;='Assumptions and Catalog'!$C$50,L804*'Assumptions and Catalog'!$H$50+'Assumptions and Catalog'!$E$50+'Assumptions and Catalog'!$F$50,IF(L804&lt;='Assumptions and Catalog'!$C$51,L804*'Assumptions and Catalog'!$H$51+'Assumptions and Catalog'!$E$51+'Assumptions and Catalog'!$F$51,IF(L804&lt;='Assumptions and Catalog'!$C$52,L804*'Assumptions and Catalog'!$H$52+'Assumptions and Catalog'!$E$52+'Assumptions and Catalog'!$F$52,IF(L804&lt;='Assumptions and Catalog'!$C$53,L804*'Assumptions and Catalog'!$H$53+'Assumptions and Catalog'!$E$53+'Assumptions and Catalog'!$F$53,IF(L804&lt;='Assumptions and Catalog'!$C$54,L804*'Assumptions and Catalog'!$H$54+'Assumptions and Catalog'!$E$54+'Assumptions and Catalog'!$F$54,IF(L804&lt;='Assumptions and Catalog'!$C$55,L804*'Assumptions and Catalog'!$H$55+'Assumptions and Catalog'!$E$55+'Assumptions and Catalog'!$F$55,IF(L804&lt;='Assumptions and Catalog'!$C$56,L804*'Assumptions and Catalog'!$H$56+'Assumptions and Catalog'!$E$56+'Assumptions and Catalog'!$F$56,IF(L804&lt;='Assumptions and Catalog'!$C$57,L804*'Assumptions and Catalog'!$H$57+'Assumptions and Catalog'!$E$57+'Assumptions and Catalog'!$F$57,"Out of range")))))))),IF(L804&lt;='Assumptions and Catalog'!$C$60,L804*'Assumptions and Catalog'!$H$60+'Assumptions and Catalog'!$E$60+'Assumptions and Catalog'!$F$60,IF(L804&lt;='Assumptions and Catalog'!$C$61,L804*'Assumptions and Catalog'!$H$61+'Assumptions and Catalog'!$E$61+'Assumptions and Catalog'!$F$61,IF(L804&lt;='Assumptions and Catalog'!$C$62,L804*'Assumptions and Catalog'!$H$62+'Assumptions and Catalog'!$E$62+'Assumptions and Catalog'!$F$62,IF(L804&lt;='Assumptions and Catalog'!$C$63,L804*'Assumptions and Catalog'!$H$63+'Assumptions and Catalog'!$E$63+'Assumptions and Catalog'!$F$63,IF(L804&lt;='Assumptions and Catalog'!$C$64,L804*'Assumptions and Catalog'!$H$64+'Assumptions and Catalog'!$E$64+'Assumptions and Catalog'!$F$64,IF(L804&lt;='Assumptions and Catalog'!$C$65,L804*'Assumptions and Catalog'!$H$65+'Assumptions and Catalog'!$E$65+'Assumptions and Catalog'!$F$65,"Out of range")))))))))*(1+'Assumptions and Catalog'!$C$8)^(A804-1),0)</f>
        <v>3281.62501184822</v>
      </c>
      <c r="O804" s="5" t="n">
        <f>M804-N804</f>
        <v>3813.16898815178</v>
      </c>
      <c r="P804" s="5" t="n">
        <f>E$55*(1-L$14)*(1-'Assumptions and Catalog'!$C$23)^R804</f>
        <v>10.0352</v>
      </c>
      <c r="Q804" s="5" t="n">
        <f>IF(ISNUMBER(Inputs!$L$5),(IF(Inputs!$L$9="Actual flat rate",((D804+E804)*C804-G804)*Inputs!$L$10,IF(Inputs!$C$9="Residential",IF(((D804+E804)*C804-G804)&lt;='Assumptions and Catalog'!$C$50,((D804+E804)*C804-G804)*'Assumptions and Catalog'!$H$50+'Assumptions and Catalog'!$E$50+'Assumptions and Catalog'!$F$50,IF(((D804+E804)*C804-G804)&lt;='Assumptions and Catalog'!$C$51,((D804+E804)*C804-G804)*'Assumptions and Catalog'!$H$51+'Assumptions and Catalog'!$E$51+'Assumptions and Catalog'!$F$51,IF(((D804+E804)*C804-G804)&lt;='Assumptions and Catalog'!$C$52,((D804+E804)*C804-G804)*'Assumptions and Catalog'!$H$52+'Assumptions and Catalog'!$E$52+'Assumptions and Catalog'!$F$52,IF(((D804+E804)*C804-G804)&lt;='Assumptions and Catalog'!$C$53,((D804+E804)*C804-G804)*'Assumptions and Catalog'!$H$53+'Assumptions and Catalog'!$E$53+'Assumptions and Catalog'!$F$53,IF(((D804+E804)*C804-G804)&lt;='Assumptions and Catalog'!$C$54,((D804+E804)*C804-G804)*'Assumptions and Catalog'!$H$54+'Assumptions and Catalog'!$E$54+'Assumptions and Catalog'!$F$54,IF(((D804+E804)*C804-G804)&lt;='Assumptions and Catalog'!$C$55,((D804+E804)*C804-G804)*'Assumptions and Catalog'!$H$55+'Assumptions and Catalog'!$E$55+'Assumptions and Catalog'!$F$55,IF(((D804+E804)*C804-G804)&lt;='Assumptions and Catalog'!$C$56,((D804+E804)*C804-G804)*'Assumptions and Catalog'!$H$56+'Assumptions and Catalog'!$E$56+'Assumptions and Catalog'!$F$56,IF(((D804+E804)*C804-G804)&lt;='Assumptions and Catalog'!$C$57,((D804+E804)*C804-G804)*'Assumptions and Catalog'!$H$57+'Assumptions and Catalog'!$E$57+'Assumptions and Catalog'!$F$57,"Out of range")))))))),IF(((D804+E804)*C804-G804)&lt;='Assumptions and Catalog'!$C$60,((D804+E804)*C804-G804)*'Assumptions and Catalog'!$H$60+'Assumptions and Catalog'!$E$60+'Assumptions and Catalog'!$F$60,IF(((D804+E804)*C804-G804)&lt;='Assumptions and Catalog'!$C$61,((D804+E804)*C804-G804)*'Assumptions and Catalog'!$H$61+'Assumptions and Catalog'!$E$61+'Assumptions and Catalog'!$F$61,IF(((D804+E804)*C804-G804)&lt;='Assumptions and Catalog'!$C$62,((D804+E804)*C804-G804)*'Assumptions and Catalog'!$H$62+'Assumptions and Catalog'!$E$62+'Assumptions and Catalog'!$F$62,IF(((D804+E804)*C804-G804)&lt;='Assumptions and Catalog'!$C$63,((D804+E804)*C804-G804)*'Assumptions and Catalog'!$H$63+'Assumptions and Catalog'!$E$63+'Assumptions and Catalog'!$F$63,IF(((D804+E804)*C804-G804)&lt;='Assumptions and Catalog'!$C$64,((D804+E804)*C804-G804)*'Assumptions and Catalog'!$H$64+'Assumptions and Catalog'!$E$64+'Assumptions and Catalog'!$F$64,IF(((D804+E804)*C804-G804)&lt;='Assumptions and Catalog'!$C$65,((D804+E804)*C804-G804)*'Assumptions and Catalog'!$H$65+'Assumptions and Catalog'!$E$65+'Assumptions and Catalog'!$F$65,"Out of range")))))))))*(1+'Assumptions and Catalog'!$C$8)^(A804-1),0)</f>
        <v>3567.397</v>
      </c>
      <c r="R804" s="5" t="n">
        <f>IF(AND('Assumptions and Catalog'!$C$19&gt;0,A804&gt;='Assumptions and Catalog'!$C$19),A804-'Assumptions and Catalog'!$C$19,A804-1)</f>
        <v>1</v>
      </c>
      <c r="S804" s="5" t="n">
        <f>F804+L804-(D804+E804)*C804-J804-K804-IF(E$52&gt;0,'Assumptions and Catalog'!$C$26*C804,0)</f>
        <v>9.9475983006414E-014</v>
      </c>
      <c r="T804" s="5"/>
      <c r="U804" s="5"/>
    </row>
    <row r="805" ht="23.100000381469727" customHeight="1">
      <c r="A805" s="5" t="n">
        <v>13</v>
      </c>
      <c r="B805" s="5" t="n">
        <v>1</v>
      </c>
      <c r="C805" s="5" t="n">
        <f>DAY(DATE('Assumptions and Catalog'!$C$24+A805-1,B805+1,0))</f>
        <v>31</v>
      </c>
      <c r="D805" s="5" t="n">
        <f>IF(ISNUMBER(Inputs!$L$5),Inputs!$L$5*Inputs!$L$6,0)</f>
        <v>40.35</v>
      </c>
      <c r="E805" s="5" t="n">
        <f>IF(ISNUMBER(Inputs!$L$5),Inputs!$L$5-D805,0)</f>
        <v>40.35</v>
      </c>
      <c r="F805" s="5" t="n">
        <f>E$51*INDEX('Solar Production'!$D$20:$D$31,B805)*C805*(1-'Assumptions and Catalog'!$C$10)^(A805-1)</f>
        <v>1359.98582002643</v>
      </c>
      <c r="G805" s="5" t="n">
        <f>MIN(F805,D805*C805)</f>
        <v>1250.85</v>
      </c>
      <c r="H805" s="5" t="n">
        <f>I805/('Assumptions and Catalog'!$C$11*'Assumptions and Catalog'!$C$12)</f>
        <v>109.135820026433</v>
      </c>
      <c r="I805" s="5" t="n">
        <f>MIN(E805*C805,P805*'Assumptions and Catalog'!$C$12*C805,(F805-G805)*'Assumptions and Catalog'!$C$11*'Assumptions and Catalog'!$C$12,E$56*'Assumptions and Catalog'!$C$14*'Assumptions and Catalog'!$C$11*'Assumptions and Catalog'!$C$12*C805,E$57*(24-'Assumptions and Catalog'!$C$13)*C805)</f>
        <v>103.747238912628</v>
      </c>
      <c r="J805" s="5" t="n">
        <f>MAX(F805-G805-H805,0)</f>
        <v>0</v>
      </c>
      <c r="K805" s="5" t="n">
        <f>H805-I805</f>
        <v>5.38858111380515</v>
      </c>
      <c r="L805" s="5" t="n">
        <f>(D805+E805)*C805-G805-I805+0+IF(E$52&gt;0,'Assumptions and Catalog'!$C$26*C805,0)</f>
        <v>1147.10276108737</v>
      </c>
      <c r="M805" s="5" t="n">
        <f>IF(ISNUMBER(Inputs!$L$5),(IF(Inputs!$L$9="Actual flat rate",((D805+E805)*C805)*Inputs!$L$10,IF(Inputs!$C$9="Residential",IF(((D805+E805)*C805)&lt;='Assumptions and Catalog'!$C$50,((D805+E805)*C805)*'Assumptions and Catalog'!$H$50+'Assumptions and Catalog'!$E$50+'Assumptions and Catalog'!$F$50,IF(((D805+E805)*C805)&lt;='Assumptions and Catalog'!$C$51,((D805+E805)*C805)*'Assumptions and Catalog'!$H$51+'Assumptions and Catalog'!$E$51+'Assumptions and Catalog'!$F$51,IF(((D805+E805)*C805)&lt;='Assumptions and Catalog'!$C$52,((D805+E805)*C805)*'Assumptions and Catalog'!$H$52+'Assumptions and Catalog'!$E$52+'Assumptions and Catalog'!$F$52,IF(((D805+E805)*C805)&lt;='Assumptions and Catalog'!$C$53,((D805+E805)*C805)*'Assumptions and Catalog'!$H$53+'Assumptions and Catalog'!$E$53+'Assumptions and Catalog'!$F$53,IF(((D805+E805)*C805)&lt;='Assumptions and Catalog'!$C$54,((D805+E805)*C805)*'Assumptions and Catalog'!$H$54+'Assumptions and Catalog'!$E$54+'Assumptions and Catalog'!$F$54,IF(((D805+E805)*C805)&lt;='Assumptions and Catalog'!$C$55,((D805+E805)*C805)*'Assumptions and Catalog'!$H$55+'Assumptions and Catalog'!$E$55+'Assumptions and Catalog'!$F$55,IF(((D805+E805)*C805)&lt;='Assumptions and Catalog'!$C$56,((D805+E805)*C805)*'Assumptions and Catalog'!$H$56+'Assumptions and Catalog'!$E$56+'Assumptions and Catalog'!$F$56,IF(((D805+E805)*C805)&lt;='Assumptions and Catalog'!$C$57,((D805+E805)*C805)*'Assumptions and Catalog'!$H$57+'Assumptions and Catalog'!$E$57+'Assumptions and Catalog'!$F$57,"Out of range")))))))),IF(((D805+E805)*C805)&lt;='Assumptions and Catalog'!$C$60,((D805+E805)*C805)*'Assumptions and Catalog'!$H$60+'Assumptions and Catalog'!$E$60+'Assumptions and Catalog'!$F$60,IF(((D805+E805)*C805)&lt;='Assumptions and Catalog'!$C$61,((D805+E805)*C805)*'Assumptions and Catalog'!$H$61+'Assumptions and Catalog'!$E$61+'Assumptions and Catalog'!$F$61,IF(((D805+E805)*C805)&lt;='Assumptions and Catalog'!$C$62,((D805+E805)*C805)*'Assumptions and Catalog'!$H$62+'Assumptions and Catalog'!$E$62+'Assumptions and Catalog'!$F$62,IF(((D805+E805)*C805)&lt;='Assumptions and Catalog'!$C$63,((D805+E805)*C805)*'Assumptions and Catalog'!$H$63+'Assumptions and Catalog'!$E$63+'Assumptions and Catalog'!$F$63,IF(((D805+E805)*C805)&lt;='Assumptions and Catalog'!$C$64,((D805+E805)*C805)*'Assumptions and Catalog'!$H$64+'Assumptions and Catalog'!$E$64+'Assumptions and Catalog'!$F$64,IF(((D805+E805)*C805)&lt;='Assumptions and Catalog'!$C$65,((D805+E805)*C805)*'Assumptions and Catalog'!$H$65+'Assumptions and Catalog'!$E$65+'Assumptions and Catalog'!$F$65,"Out of range")))))))))*(1+'Assumptions and Catalog'!$C$8)^(A805-1),0)</f>
        <v>7094.794</v>
      </c>
      <c r="N805" s="5" t="n">
        <f>IF(ISNUMBER(Inputs!$L$5),(IF(Inputs!$L$9="Actual flat rate",L805*Inputs!$L$10,IF(Inputs!$C$9="Residential",IF(L805&lt;='Assumptions and Catalog'!$C$50,L805*'Assumptions and Catalog'!$H$50+'Assumptions and Catalog'!$E$50+'Assumptions and Catalog'!$F$50,IF(L805&lt;='Assumptions and Catalog'!$C$51,L805*'Assumptions and Catalog'!$H$51+'Assumptions and Catalog'!$E$51+'Assumptions and Catalog'!$F$51,IF(L805&lt;='Assumptions and Catalog'!$C$52,L805*'Assumptions and Catalog'!$H$52+'Assumptions and Catalog'!$E$52+'Assumptions and Catalog'!$F$52,IF(L805&lt;='Assumptions and Catalog'!$C$53,L805*'Assumptions and Catalog'!$H$53+'Assumptions and Catalog'!$E$53+'Assumptions and Catalog'!$F$53,IF(L805&lt;='Assumptions and Catalog'!$C$54,L805*'Assumptions and Catalog'!$H$54+'Assumptions and Catalog'!$E$54+'Assumptions and Catalog'!$F$54,IF(L805&lt;='Assumptions and Catalog'!$C$55,L805*'Assumptions and Catalog'!$H$55+'Assumptions and Catalog'!$E$55+'Assumptions and Catalog'!$F$55,IF(L805&lt;='Assumptions and Catalog'!$C$56,L805*'Assumptions and Catalog'!$H$56+'Assumptions and Catalog'!$E$56+'Assumptions and Catalog'!$F$56,IF(L805&lt;='Assumptions and Catalog'!$C$57,L805*'Assumptions and Catalog'!$H$57+'Assumptions and Catalog'!$E$57+'Assumptions and Catalog'!$F$57,"Out of range")))))))),IF(L805&lt;='Assumptions and Catalog'!$C$60,L805*'Assumptions and Catalog'!$H$60+'Assumptions and Catalog'!$E$60+'Assumptions and Catalog'!$F$60,IF(L805&lt;='Assumptions and Catalog'!$C$61,L805*'Assumptions and Catalog'!$H$61+'Assumptions and Catalog'!$E$61+'Assumptions and Catalog'!$F$61,IF(L805&lt;='Assumptions and Catalog'!$C$62,L805*'Assumptions and Catalog'!$H$62+'Assumptions and Catalog'!$E$62+'Assumptions and Catalog'!$F$62,IF(L805&lt;='Assumptions and Catalog'!$C$63,L805*'Assumptions and Catalog'!$H$63+'Assumptions and Catalog'!$E$63+'Assumptions and Catalog'!$F$63,IF(L805&lt;='Assumptions and Catalog'!$C$64,L805*'Assumptions and Catalog'!$H$64+'Assumptions and Catalog'!$E$64+'Assumptions and Catalog'!$F$64,IF(L805&lt;='Assumptions and Catalog'!$C$65,L805*'Assumptions and Catalog'!$H$65+'Assumptions and Catalog'!$E$65+'Assumptions and Catalog'!$F$65,"Out of range")))))))))*(1+'Assumptions and Catalog'!$C$8)^(A805-1),0)</f>
        <v>3274.82978626639</v>
      </c>
      <c r="O805" s="5" t="n">
        <f>M805-N805</f>
        <v>3819.96421373361</v>
      </c>
      <c r="P805" s="5" t="n">
        <f>E$55*(1-L$14)*(1-'Assumptions and Catalog'!$C$23)^R805</f>
        <v>9.834496</v>
      </c>
      <c r="Q805" s="5" t="n">
        <f>IF(ISNUMBER(Inputs!$L$5),(IF(Inputs!$L$9="Actual flat rate",((D805+E805)*C805-G805)*Inputs!$L$10,IF(Inputs!$C$9="Residential",IF(((D805+E805)*C805-G805)&lt;='Assumptions and Catalog'!$C$50,((D805+E805)*C805-G805)*'Assumptions and Catalog'!$H$50+'Assumptions and Catalog'!$E$50+'Assumptions and Catalog'!$F$50,IF(((D805+E805)*C805-G805)&lt;='Assumptions and Catalog'!$C$51,((D805+E805)*C805-G805)*'Assumptions and Catalog'!$H$51+'Assumptions and Catalog'!$E$51+'Assumptions and Catalog'!$F$51,IF(((D805+E805)*C805-G805)&lt;='Assumptions and Catalog'!$C$52,((D805+E805)*C805-G805)*'Assumptions and Catalog'!$H$52+'Assumptions and Catalog'!$E$52+'Assumptions and Catalog'!$F$52,IF(((D805+E805)*C805-G805)&lt;='Assumptions and Catalog'!$C$53,((D805+E805)*C805-G805)*'Assumptions and Catalog'!$H$53+'Assumptions and Catalog'!$E$53+'Assumptions and Catalog'!$F$53,IF(((D805+E805)*C805-G805)&lt;='Assumptions and Catalog'!$C$54,((D805+E805)*C805-G805)*'Assumptions and Catalog'!$H$54+'Assumptions and Catalog'!$E$54+'Assumptions and Catalog'!$F$54,IF(((D805+E805)*C805-G805)&lt;='Assumptions and Catalog'!$C$55,((D805+E805)*C805-G805)*'Assumptions and Catalog'!$H$55+'Assumptions and Catalog'!$E$55+'Assumptions and Catalog'!$F$55,IF(((D805+E805)*C805-G805)&lt;='Assumptions and Catalog'!$C$56,((D805+E805)*C805-G805)*'Assumptions and Catalog'!$H$56+'Assumptions and Catalog'!$E$56+'Assumptions and Catalog'!$F$56,IF(((D805+E805)*C805-G805)&lt;='Assumptions and Catalog'!$C$57,((D805+E805)*C805-G805)*'Assumptions and Catalog'!$H$57+'Assumptions and Catalog'!$E$57+'Assumptions and Catalog'!$F$57,"Out of range")))))))),IF(((D805+E805)*C805-G805)&lt;='Assumptions and Catalog'!$C$60,((D805+E805)*C805-G805)*'Assumptions and Catalog'!$H$60+'Assumptions and Catalog'!$E$60+'Assumptions and Catalog'!$F$60,IF(((D805+E805)*C805-G805)&lt;='Assumptions and Catalog'!$C$61,((D805+E805)*C805-G805)*'Assumptions and Catalog'!$H$61+'Assumptions and Catalog'!$E$61+'Assumptions and Catalog'!$F$61,IF(((D805+E805)*C805-G805)&lt;='Assumptions and Catalog'!$C$62,((D805+E805)*C805-G805)*'Assumptions and Catalog'!$H$62+'Assumptions and Catalog'!$E$62+'Assumptions and Catalog'!$F$62,IF(((D805+E805)*C805-G805)&lt;='Assumptions and Catalog'!$C$63,((D805+E805)*C805-G805)*'Assumptions and Catalog'!$H$63+'Assumptions and Catalog'!$E$63+'Assumptions and Catalog'!$F$63,IF(((D805+E805)*C805-G805)&lt;='Assumptions and Catalog'!$C$64,((D805+E805)*C805-G805)*'Assumptions and Catalog'!$H$64+'Assumptions and Catalog'!$E$64+'Assumptions and Catalog'!$F$64,IF(((D805+E805)*C805-G805)&lt;='Assumptions and Catalog'!$C$65,((D805+E805)*C805-G805)*'Assumptions and Catalog'!$H$65+'Assumptions and Catalog'!$E$65+'Assumptions and Catalog'!$F$65,"Out of range")))))))))*(1+'Assumptions and Catalog'!$C$8)^(A805-1),0)</f>
        <v>3567.397</v>
      </c>
      <c r="R805" s="5" t="n">
        <f>IF(AND('Assumptions and Catalog'!$C$19&gt;0,A805&gt;='Assumptions and Catalog'!$C$19),A805-'Assumptions and Catalog'!$C$19,A805-1)</f>
        <v>2</v>
      </c>
      <c r="S805" s="5" t="n">
        <f>F805+L805-(D805+E805)*C805-J805-K805-IF(E$52&gt;0,'Assumptions and Catalog'!$C$26*C805,0)</f>
        <v>8.5265128291212E-014</v>
      </c>
      <c r="T805" s="5"/>
      <c r="U805" s="5"/>
    </row>
    <row r="806" ht="23.100000381469727" customHeight="1">
      <c r="A806" s="5" t="n">
        <v>13</v>
      </c>
      <c r="B806" s="5" t="n">
        <v>2</v>
      </c>
      <c r="C806" s="5" t="n">
        <f>DAY(DATE('Assumptions and Catalog'!$C$24+A806-1,B806+1,0))</f>
        <v>28</v>
      </c>
      <c r="D806" s="5" t="n">
        <f>IF(ISNUMBER(Inputs!$L$5),Inputs!$L$5*Inputs!$L$6,0)</f>
        <v>40.35</v>
      </c>
      <c r="E806" s="5" t="n">
        <f>IF(ISNUMBER(Inputs!$L$5),Inputs!$L$5-D806,0)</f>
        <v>40.35</v>
      </c>
      <c r="F806" s="5" t="n">
        <f>E$51*INDEX('Solar Production'!$D$20:$D$31,B806)*C806*(1-'Assumptions and Catalog'!$C$10)^(A806-1)</f>
        <v>1340.82379590573</v>
      </c>
      <c r="G806" s="5" t="n">
        <f>MIN(F806,D806*C806)</f>
        <v>1129.8</v>
      </c>
      <c r="H806" s="5" t="n">
        <f>I806/('Assumptions and Catalog'!$C$11*'Assumptions and Catalog'!$C$12)</f>
        <v>211.023795905725</v>
      </c>
      <c r="I806" s="5" t="n">
        <f>MIN(E806*C806,P806*'Assumptions and Catalog'!$C$12*C806,(F806-G806)*'Assumptions and Catalog'!$C$11*'Assumptions and Catalog'!$C$12,E$56*'Assumptions and Catalog'!$C$14*'Assumptions and Catalog'!$C$11*'Assumptions and Catalog'!$C$12*C806,E$57*(24-'Assumptions and Catalog'!$C$13)*C806)</f>
        <v>200.60449598288</v>
      </c>
      <c r="J806" s="5" t="n">
        <f>MAX(F806-G806-H806,0)</f>
        <v>0</v>
      </c>
      <c r="K806" s="5" t="n">
        <f>H806-I806</f>
        <v>10.4192999228452</v>
      </c>
      <c r="L806" s="5" t="n">
        <f>(D806+E806)*C806-G806-I806+0+IF(E$52&gt;0,'Assumptions and Catalog'!$C$26*C806,0)</f>
        <v>929.19550401712</v>
      </c>
      <c r="M806" s="5" t="n">
        <f>IF(ISNUMBER(Inputs!$L$5),(IF(Inputs!$L$9="Actual flat rate",((D806+E806)*C806)*Inputs!$L$10,IF(Inputs!$C$9="Residential",IF(((D806+E806)*C806)&lt;='Assumptions and Catalog'!$C$50,((D806+E806)*C806)*'Assumptions and Catalog'!$H$50+'Assumptions and Catalog'!$E$50+'Assumptions and Catalog'!$F$50,IF(((D806+E806)*C806)&lt;='Assumptions and Catalog'!$C$51,((D806+E806)*C806)*'Assumptions and Catalog'!$H$51+'Assumptions and Catalog'!$E$51+'Assumptions and Catalog'!$F$51,IF(((D806+E806)*C806)&lt;='Assumptions and Catalog'!$C$52,((D806+E806)*C806)*'Assumptions and Catalog'!$H$52+'Assumptions and Catalog'!$E$52+'Assumptions and Catalog'!$F$52,IF(((D806+E806)*C806)&lt;='Assumptions and Catalog'!$C$53,((D806+E806)*C806)*'Assumptions and Catalog'!$H$53+'Assumptions and Catalog'!$E$53+'Assumptions and Catalog'!$F$53,IF(((D806+E806)*C806)&lt;='Assumptions and Catalog'!$C$54,((D806+E806)*C806)*'Assumptions and Catalog'!$H$54+'Assumptions and Catalog'!$E$54+'Assumptions and Catalog'!$F$54,IF(((D806+E806)*C806)&lt;='Assumptions and Catalog'!$C$55,((D806+E806)*C806)*'Assumptions and Catalog'!$H$55+'Assumptions and Catalog'!$E$55+'Assumptions and Catalog'!$F$55,IF(((D806+E806)*C806)&lt;='Assumptions and Catalog'!$C$56,((D806+E806)*C806)*'Assumptions and Catalog'!$H$56+'Assumptions and Catalog'!$E$56+'Assumptions and Catalog'!$F$56,IF(((D806+E806)*C806)&lt;='Assumptions and Catalog'!$C$57,((D806+E806)*C806)*'Assumptions and Catalog'!$H$57+'Assumptions and Catalog'!$E$57+'Assumptions and Catalog'!$F$57,"Out of range")))))))),IF(((D806+E806)*C806)&lt;='Assumptions and Catalog'!$C$60,((D806+E806)*C806)*'Assumptions and Catalog'!$H$60+'Assumptions and Catalog'!$E$60+'Assumptions and Catalog'!$F$60,IF(((D806+E806)*C806)&lt;='Assumptions and Catalog'!$C$61,((D806+E806)*C806)*'Assumptions and Catalog'!$H$61+'Assumptions and Catalog'!$E$61+'Assumptions and Catalog'!$F$61,IF(((D806+E806)*C806)&lt;='Assumptions and Catalog'!$C$62,((D806+E806)*C806)*'Assumptions and Catalog'!$H$62+'Assumptions and Catalog'!$E$62+'Assumptions and Catalog'!$F$62,IF(((D806+E806)*C806)&lt;='Assumptions and Catalog'!$C$63,((D806+E806)*C806)*'Assumptions and Catalog'!$H$63+'Assumptions and Catalog'!$E$63+'Assumptions and Catalog'!$F$63,IF(((D806+E806)*C806)&lt;='Assumptions and Catalog'!$C$64,((D806+E806)*C806)*'Assumptions and Catalog'!$H$64+'Assumptions and Catalog'!$E$64+'Assumptions and Catalog'!$F$64,IF(((D806+E806)*C806)&lt;='Assumptions and Catalog'!$C$65,((D806+E806)*C806)*'Assumptions and Catalog'!$H$65+'Assumptions and Catalog'!$E$65+'Assumptions and Catalog'!$F$65,"Out of range")))))))))*(1+'Assumptions and Catalog'!$C$8)^(A806-1),0)</f>
        <v>6412.072</v>
      </c>
      <c r="N806" s="5" t="n">
        <f>IF(ISNUMBER(Inputs!$L$5),(IF(Inputs!$L$9="Actual flat rate",L806*Inputs!$L$10,IF(Inputs!$C$9="Residential",IF(L806&lt;='Assumptions and Catalog'!$C$50,L806*'Assumptions and Catalog'!$H$50+'Assumptions and Catalog'!$E$50+'Assumptions and Catalog'!$F$50,IF(L806&lt;='Assumptions and Catalog'!$C$51,L806*'Assumptions and Catalog'!$H$51+'Assumptions and Catalog'!$E$51+'Assumptions and Catalog'!$F$51,IF(L806&lt;='Assumptions and Catalog'!$C$52,L806*'Assumptions and Catalog'!$H$52+'Assumptions and Catalog'!$E$52+'Assumptions and Catalog'!$F$52,IF(L806&lt;='Assumptions and Catalog'!$C$53,L806*'Assumptions and Catalog'!$H$53+'Assumptions and Catalog'!$E$53+'Assumptions and Catalog'!$F$53,IF(L806&lt;='Assumptions and Catalog'!$C$54,L806*'Assumptions and Catalog'!$H$54+'Assumptions and Catalog'!$E$54+'Assumptions and Catalog'!$F$54,IF(L806&lt;='Assumptions and Catalog'!$C$55,L806*'Assumptions and Catalog'!$H$55+'Assumptions and Catalog'!$E$55+'Assumptions and Catalog'!$F$55,IF(L806&lt;='Assumptions and Catalog'!$C$56,L806*'Assumptions and Catalog'!$H$56+'Assumptions and Catalog'!$E$56+'Assumptions and Catalog'!$F$56,IF(L806&lt;='Assumptions and Catalog'!$C$57,L806*'Assumptions and Catalog'!$H$57+'Assumptions and Catalog'!$E$57+'Assumptions and Catalog'!$F$57,"Out of range")))))))),IF(L806&lt;='Assumptions and Catalog'!$C$60,L806*'Assumptions and Catalog'!$H$60+'Assumptions and Catalog'!$E$60+'Assumptions and Catalog'!$F$60,IF(L806&lt;='Assumptions and Catalog'!$C$61,L806*'Assumptions and Catalog'!$H$61+'Assumptions and Catalog'!$E$61+'Assumptions and Catalog'!$F$61,IF(L806&lt;='Assumptions and Catalog'!$C$62,L806*'Assumptions and Catalog'!$H$62+'Assumptions and Catalog'!$E$62+'Assumptions and Catalog'!$F$62,IF(L806&lt;='Assumptions and Catalog'!$C$63,L806*'Assumptions and Catalog'!$H$63+'Assumptions and Catalog'!$E$63+'Assumptions and Catalog'!$F$63,IF(L806&lt;='Assumptions and Catalog'!$C$64,L806*'Assumptions and Catalog'!$H$64+'Assumptions and Catalog'!$E$64+'Assumptions and Catalog'!$F$64,IF(L806&lt;='Assumptions and Catalog'!$C$65,L806*'Assumptions and Catalog'!$H$65+'Assumptions and Catalog'!$E$65+'Assumptions and Catalog'!$F$65,"Out of range")))))))))*(1+'Assumptions and Catalog'!$C$8)^(A806-1),0)</f>
        <v>2538.87154612742</v>
      </c>
      <c r="O806" s="5" t="n">
        <f>M806-N806</f>
        <v>3873.20045387258</v>
      </c>
      <c r="P806" s="5" t="n">
        <f>E$55*(1-L$14)*(1-'Assumptions and Catalog'!$C$23)^R806</f>
        <v>9.834496</v>
      </c>
      <c r="Q806" s="5" t="n">
        <f>IF(ISNUMBER(Inputs!$L$5),(IF(Inputs!$L$9="Actual flat rate",((D806+E806)*C806-G806)*Inputs!$L$10,IF(Inputs!$C$9="Residential",IF(((D806+E806)*C806-G806)&lt;='Assumptions and Catalog'!$C$50,((D806+E806)*C806-G806)*'Assumptions and Catalog'!$H$50+'Assumptions and Catalog'!$E$50+'Assumptions and Catalog'!$F$50,IF(((D806+E806)*C806-G806)&lt;='Assumptions and Catalog'!$C$51,((D806+E806)*C806-G806)*'Assumptions and Catalog'!$H$51+'Assumptions and Catalog'!$E$51+'Assumptions and Catalog'!$F$51,IF(((D806+E806)*C806-G806)&lt;='Assumptions and Catalog'!$C$52,((D806+E806)*C806-G806)*'Assumptions and Catalog'!$H$52+'Assumptions and Catalog'!$E$52+'Assumptions and Catalog'!$F$52,IF(((D806+E806)*C806-G806)&lt;='Assumptions and Catalog'!$C$53,((D806+E806)*C806-G806)*'Assumptions and Catalog'!$H$53+'Assumptions and Catalog'!$E$53+'Assumptions and Catalog'!$F$53,IF(((D806+E806)*C806-G806)&lt;='Assumptions and Catalog'!$C$54,((D806+E806)*C806-G806)*'Assumptions and Catalog'!$H$54+'Assumptions and Catalog'!$E$54+'Assumptions and Catalog'!$F$54,IF(((D806+E806)*C806-G806)&lt;='Assumptions and Catalog'!$C$55,((D806+E806)*C806-G806)*'Assumptions and Catalog'!$H$55+'Assumptions and Catalog'!$E$55+'Assumptions and Catalog'!$F$55,IF(((D806+E806)*C806-G806)&lt;='Assumptions and Catalog'!$C$56,((D806+E806)*C806-G806)*'Assumptions and Catalog'!$H$56+'Assumptions and Catalog'!$E$56+'Assumptions and Catalog'!$F$56,IF(((D806+E806)*C806-G806)&lt;='Assumptions and Catalog'!$C$57,((D806+E806)*C806-G806)*'Assumptions and Catalog'!$H$57+'Assumptions and Catalog'!$E$57+'Assumptions and Catalog'!$F$57,"Out of range")))))))),IF(((D806+E806)*C806-G806)&lt;='Assumptions and Catalog'!$C$60,((D806+E806)*C806-G806)*'Assumptions and Catalog'!$H$60+'Assumptions and Catalog'!$E$60+'Assumptions and Catalog'!$F$60,IF(((D806+E806)*C806-G806)&lt;='Assumptions and Catalog'!$C$61,((D806+E806)*C806-G806)*'Assumptions and Catalog'!$H$61+'Assumptions and Catalog'!$E$61+'Assumptions and Catalog'!$F$61,IF(((D806+E806)*C806-G806)&lt;='Assumptions and Catalog'!$C$62,((D806+E806)*C806-G806)*'Assumptions and Catalog'!$H$62+'Assumptions and Catalog'!$E$62+'Assumptions and Catalog'!$F$62,IF(((D806+E806)*C806-G806)&lt;='Assumptions and Catalog'!$C$63,((D806+E806)*C806-G806)*'Assumptions and Catalog'!$H$63+'Assumptions and Catalog'!$E$63+'Assumptions and Catalog'!$F$63,IF(((D806+E806)*C806-G806)&lt;='Assumptions and Catalog'!$C$64,((D806+E806)*C806-G806)*'Assumptions and Catalog'!$H$64+'Assumptions and Catalog'!$E$64+'Assumptions and Catalog'!$F$64,IF(((D806+E806)*C806-G806)&lt;='Assumptions and Catalog'!$C$65,((D806+E806)*C806-G806)*'Assumptions and Catalog'!$H$65+'Assumptions and Catalog'!$E$65+'Assumptions and Catalog'!$F$65,"Out of range")))))))))*(1+'Assumptions and Catalog'!$C$8)^(A806-1),0)</f>
        <v>3226.036</v>
      </c>
      <c r="R806" s="5" t="n">
        <f>IF(AND('Assumptions and Catalog'!$C$19&gt;0,A806&gt;='Assumptions and Catalog'!$C$19),A806-'Assumptions and Catalog'!$C$19,A806-1)</f>
        <v>2</v>
      </c>
      <c r="S806" s="5" t="n">
        <f>F806+L806-(D806+E806)*C806-J806-K806-IF(E$52&gt;0,'Assumptions and Catalog'!$C$26*C806,0)</f>
        <v>1.13686837721616E-013</v>
      </c>
      <c r="T806" s="5"/>
      <c r="U806" s="5"/>
    </row>
    <row r="807" ht="23.100000381469727" customHeight="1">
      <c r="A807" s="5" t="n">
        <v>13</v>
      </c>
      <c r="B807" s="5" t="n">
        <v>3</v>
      </c>
      <c r="C807" s="5" t="n">
        <f>DAY(DATE('Assumptions and Catalog'!$C$24+A807-1,B807+1,0))</f>
        <v>31</v>
      </c>
      <c r="D807" s="5" t="n">
        <f>IF(ISNUMBER(Inputs!$L$5),Inputs!$L$5*Inputs!$L$6,0)</f>
        <v>40.35</v>
      </c>
      <c r="E807" s="5" t="n">
        <f>IF(ISNUMBER(Inputs!$L$5),Inputs!$L$5-D807,0)</f>
        <v>40.35</v>
      </c>
      <c r="F807" s="5" t="n">
        <f>E$51*INDEX('Solar Production'!$D$20:$D$31,B807)*C807*(1-'Assumptions and Catalog'!$C$10)^(A807-1)</f>
        <v>1668.23546209792</v>
      </c>
      <c r="G807" s="5" t="n">
        <f>MIN(F807,D807*C807)</f>
        <v>1250.85</v>
      </c>
      <c r="H807" s="5" t="n">
        <f>I807/('Assumptions and Catalog'!$C$11*'Assumptions and Catalog'!$C$12)</f>
        <v>312.68653948718</v>
      </c>
      <c r="I807" s="5" t="n">
        <f>MIN(E807*C807,P807*'Assumptions and Catalog'!$C$12*C807,(F807-G807)*'Assumptions and Catalog'!$C$11*'Assumptions and Catalog'!$C$12,E$56*'Assumptions and Catalog'!$C$14*'Assumptions and Catalog'!$C$11*'Assumptions and Catalog'!$C$12*C807,E$57*(24-'Assumptions and Catalog'!$C$13)*C807)</f>
        <v>297.2476416</v>
      </c>
      <c r="J807" s="5" t="n">
        <f>MAX(F807-G807-H807,0)</f>
        <v>104.698922610743</v>
      </c>
      <c r="K807" s="5" t="n">
        <f>H807-I807</f>
        <v>15.4388978871795</v>
      </c>
      <c r="L807" s="5" t="n">
        <f>(D807+E807)*C807-G807-I807+0+IF(E$52&gt;0,'Assumptions and Catalog'!$C$26*C807,0)</f>
        <v>953.6023584</v>
      </c>
      <c r="M807" s="5" t="n">
        <f>IF(ISNUMBER(Inputs!$L$5),(IF(Inputs!$L$9="Actual flat rate",((D807+E807)*C807)*Inputs!$L$10,IF(Inputs!$C$9="Residential",IF(((D807+E807)*C807)&lt;='Assumptions and Catalog'!$C$50,((D807+E807)*C807)*'Assumptions and Catalog'!$H$50+'Assumptions and Catalog'!$E$50+'Assumptions and Catalog'!$F$50,IF(((D807+E807)*C807)&lt;='Assumptions and Catalog'!$C$51,((D807+E807)*C807)*'Assumptions and Catalog'!$H$51+'Assumptions and Catalog'!$E$51+'Assumptions and Catalog'!$F$51,IF(((D807+E807)*C807)&lt;='Assumptions and Catalog'!$C$52,((D807+E807)*C807)*'Assumptions and Catalog'!$H$52+'Assumptions and Catalog'!$E$52+'Assumptions and Catalog'!$F$52,IF(((D807+E807)*C807)&lt;='Assumptions and Catalog'!$C$53,((D807+E807)*C807)*'Assumptions and Catalog'!$H$53+'Assumptions and Catalog'!$E$53+'Assumptions and Catalog'!$F$53,IF(((D807+E807)*C807)&lt;='Assumptions and Catalog'!$C$54,((D807+E807)*C807)*'Assumptions and Catalog'!$H$54+'Assumptions and Catalog'!$E$54+'Assumptions and Catalog'!$F$54,IF(((D807+E807)*C807)&lt;='Assumptions and Catalog'!$C$55,((D807+E807)*C807)*'Assumptions and Catalog'!$H$55+'Assumptions and Catalog'!$E$55+'Assumptions and Catalog'!$F$55,IF(((D807+E807)*C807)&lt;='Assumptions and Catalog'!$C$56,((D807+E807)*C807)*'Assumptions and Catalog'!$H$56+'Assumptions and Catalog'!$E$56+'Assumptions and Catalog'!$F$56,IF(((D807+E807)*C807)&lt;='Assumptions and Catalog'!$C$57,((D807+E807)*C807)*'Assumptions and Catalog'!$H$57+'Assumptions and Catalog'!$E$57+'Assumptions and Catalog'!$F$57,"Out of range")))))))),IF(((D807+E807)*C807)&lt;='Assumptions and Catalog'!$C$60,((D807+E807)*C807)*'Assumptions and Catalog'!$H$60+'Assumptions and Catalog'!$E$60+'Assumptions and Catalog'!$F$60,IF(((D807+E807)*C807)&lt;='Assumptions and Catalog'!$C$61,((D807+E807)*C807)*'Assumptions and Catalog'!$H$61+'Assumptions and Catalog'!$E$61+'Assumptions and Catalog'!$F$61,IF(((D807+E807)*C807)&lt;='Assumptions and Catalog'!$C$62,((D807+E807)*C807)*'Assumptions and Catalog'!$H$62+'Assumptions and Catalog'!$E$62+'Assumptions and Catalog'!$F$62,IF(((D807+E807)*C807)&lt;='Assumptions and Catalog'!$C$63,((D807+E807)*C807)*'Assumptions and Catalog'!$H$63+'Assumptions and Catalog'!$E$63+'Assumptions and Catalog'!$F$63,IF(((D807+E807)*C807)&lt;='Assumptions and Catalog'!$C$64,((D807+E807)*C807)*'Assumptions and Catalog'!$H$64+'Assumptions and Catalog'!$E$64+'Assumptions and Catalog'!$F$64,IF(((D807+E807)*C807)&lt;='Assumptions and Catalog'!$C$65,((D807+E807)*C807)*'Assumptions and Catalog'!$H$65+'Assumptions and Catalog'!$E$65+'Assumptions and Catalog'!$F$65,"Out of range")))))))))*(1+'Assumptions and Catalog'!$C$8)^(A807-1),0)</f>
        <v>7094.794</v>
      </c>
      <c r="N807" s="5" t="n">
        <f>IF(ISNUMBER(Inputs!$L$5),(IF(Inputs!$L$9="Actual flat rate",L807*Inputs!$L$10,IF(Inputs!$C$9="Residential",IF(L807&lt;='Assumptions and Catalog'!$C$50,L807*'Assumptions and Catalog'!$H$50+'Assumptions and Catalog'!$E$50+'Assumptions and Catalog'!$F$50,IF(L807&lt;='Assumptions and Catalog'!$C$51,L807*'Assumptions and Catalog'!$H$51+'Assumptions and Catalog'!$E$51+'Assumptions and Catalog'!$F$51,IF(L807&lt;='Assumptions and Catalog'!$C$52,L807*'Assumptions and Catalog'!$H$52+'Assumptions and Catalog'!$E$52+'Assumptions and Catalog'!$F$52,IF(L807&lt;='Assumptions and Catalog'!$C$53,L807*'Assumptions and Catalog'!$H$53+'Assumptions and Catalog'!$E$53+'Assumptions and Catalog'!$F$53,IF(L807&lt;='Assumptions and Catalog'!$C$54,L807*'Assumptions and Catalog'!$H$54+'Assumptions and Catalog'!$E$54+'Assumptions and Catalog'!$F$54,IF(L807&lt;='Assumptions and Catalog'!$C$55,L807*'Assumptions and Catalog'!$H$55+'Assumptions and Catalog'!$E$55+'Assumptions and Catalog'!$F$55,IF(L807&lt;='Assumptions and Catalog'!$C$56,L807*'Assumptions and Catalog'!$H$56+'Assumptions and Catalog'!$E$56+'Assumptions and Catalog'!$F$56,IF(L807&lt;='Assumptions and Catalog'!$C$57,L807*'Assumptions and Catalog'!$H$57+'Assumptions and Catalog'!$E$57+'Assumptions and Catalog'!$F$57,"Out of range")))))))),IF(L807&lt;='Assumptions and Catalog'!$C$60,L807*'Assumptions and Catalog'!$H$60+'Assumptions and Catalog'!$E$60+'Assumptions and Catalog'!$F$60,IF(L807&lt;='Assumptions and Catalog'!$C$61,L807*'Assumptions and Catalog'!$H$61+'Assumptions and Catalog'!$E$61+'Assumptions and Catalog'!$F$61,IF(L807&lt;='Assumptions and Catalog'!$C$62,L807*'Assumptions and Catalog'!$H$62+'Assumptions and Catalog'!$E$62+'Assumptions and Catalog'!$F$62,IF(L807&lt;='Assumptions and Catalog'!$C$63,L807*'Assumptions and Catalog'!$H$63+'Assumptions and Catalog'!$E$63+'Assumptions and Catalog'!$F$63,IF(L807&lt;='Assumptions and Catalog'!$C$64,L807*'Assumptions and Catalog'!$H$64+'Assumptions and Catalog'!$E$64+'Assumptions and Catalog'!$F$64,IF(L807&lt;='Assumptions and Catalog'!$C$65,L807*'Assumptions and Catalog'!$H$65+'Assumptions and Catalog'!$E$65+'Assumptions and Catalog'!$F$65,"Out of range")))))))))*(1+'Assumptions and Catalog'!$C$8)^(A807-1),0)</f>
        <v>2606.478532768</v>
      </c>
      <c r="O807" s="5" t="n">
        <f>M807-N807</f>
        <v>4488.315467232</v>
      </c>
      <c r="P807" s="5" t="n">
        <f>E$55*(1-L$14)*(1-'Assumptions and Catalog'!$C$23)^R807</f>
        <v>9.834496</v>
      </c>
      <c r="Q807" s="5" t="n">
        <f>IF(ISNUMBER(Inputs!$L$5),(IF(Inputs!$L$9="Actual flat rate",((D807+E807)*C807-G807)*Inputs!$L$10,IF(Inputs!$C$9="Residential",IF(((D807+E807)*C807-G807)&lt;='Assumptions and Catalog'!$C$50,((D807+E807)*C807-G807)*'Assumptions and Catalog'!$H$50+'Assumptions and Catalog'!$E$50+'Assumptions and Catalog'!$F$50,IF(((D807+E807)*C807-G807)&lt;='Assumptions and Catalog'!$C$51,((D807+E807)*C807-G807)*'Assumptions and Catalog'!$H$51+'Assumptions and Catalog'!$E$51+'Assumptions and Catalog'!$F$51,IF(((D807+E807)*C807-G807)&lt;='Assumptions and Catalog'!$C$52,((D807+E807)*C807-G807)*'Assumptions and Catalog'!$H$52+'Assumptions and Catalog'!$E$52+'Assumptions and Catalog'!$F$52,IF(((D807+E807)*C807-G807)&lt;='Assumptions and Catalog'!$C$53,((D807+E807)*C807-G807)*'Assumptions and Catalog'!$H$53+'Assumptions and Catalog'!$E$53+'Assumptions and Catalog'!$F$53,IF(((D807+E807)*C807-G807)&lt;='Assumptions and Catalog'!$C$54,((D807+E807)*C807-G807)*'Assumptions and Catalog'!$H$54+'Assumptions and Catalog'!$E$54+'Assumptions and Catalog'!$F$54,IF(((D807+E807)*C807-G807)&lt;='Assumptions and Catalog'!$C$55,((D807+E807)*C807-G807)*'Assumptions and Catalog'!$H$55+'Assumptions and Catalog'!$E$55+'Assumptions and Catalog'!$F$55,IF(((D807+E807)*C807-G807)&lt;='Assumptions and Catalog'!$C$56,((D807+E807)*C807-G807)*'Assumptions and Catalog'!$H$56+'Assumptions and Catalog'!$E$56+'Assumptions and Catalog'!$F$56,IF(((D807+E807)*C807-G807)&lt;='Assumptions and Catalog'!$C$57,((D807+E807)*C807-G807)*'Assumptions and Catalog'!$H$57+'Assumptions and Catalog'!$E$57+'Assumptions and Catalog'!$F$57,"Out of range")))))))),IF(((D807+E807)*C807-G807)&lt;='Assumptions and Catalog'!$C$60,((D807+E807)*C807-G807)*'Assumptions and Catalog'!$H$60+'Assumptions and Catalog'!$E$60+'Assumptions and Catalog'!$F$60,IF(((D807+E807)*C807-G807)&lt;='Assumptions and Catalog'!$C$61,((D807+E807)*C807-G807)*'Assumptions and Catalog'!$H$61+'Assumptions and Catalog'!$E$61+'Assumptions and Catalog'!$F$61,IF(((D807+E807)*C807-G807)&lt;='Assumptions and Catalog'!$C$62,((D807+E807)*C807-G807)*'Assumptions and Catalog'!$H$62+'Assumptions and Catalog'!$E$62+'Assumptions and Catalog'!$F$62,IF(((D807+E807)*C807-G807)&lt;='Assumptions and Catalog'!$C$63,((D807+E807)*C807-G807)*'Assumptions and Catalog'!$H$63+'Assumptions and Catalog'!$E$63+'Assumptions and Catalog'!$F$63,IF(((D807+E807)*C807-G807)&lt;='Assumptions and Catalog'!$C$64,((D807+E807)*C807-G807)*'Assumptions and Catalog'!$H$64+'Assumptions and Catalog'!$E$64+'Assumptions and Catalog'!$F$64,IF(((D807+E807)*C807-G807)&lt;='Assumptions and Catalog'!$C$65,((D807+E807)*C807-G807)*'Assumptions and Catalog'!$H$65+'Assumptions and Catalog'!$E$65+'Assumptions and Catalog'!$F$65,"Out of range")))))))))*(1+'Assumptions and Catalog'!$C$8)^(A807-1),0)</f>
        <v>3567.397</v>
      </c>
      <c r="R807" s="5" t="n">
        <f>IF(AND('Assumptions and Catalog'!$C$19&gt;0,A807&gt;='Assumptions and Catalog'!$C$19),A807-'Assumptions and Catalog'!$C$19,A807-1)</f>
        <v>2</v>
      </c>
      <c r="S807" s="5" t="n">
        <f>F807+L807-(D807+E807)*C807-J807-K807-IF(E$52&gt;0,'Assumptions and Catalog'!$C$26*C807,0)</f>
        <v>-1.13686837721616E-013</v>
      </c>
      <c r="T807" s="5"/>
      <c r="U807" s="5"/>
    </row>
    <row r="808" ht="23.100000381469727" customHeight="1">
      <c r="A808" s="5" t="n">
        <v>13</v>
      </c>
      <c r="B808" s="5" t="n">
        <v>4</v>
      </c>
      <c r="C808" s="5" t="n">
        <f>DAY(DATE('Assumptions and Catalog'!$C$24+A808-1,B808+1,0))</f>
        <v>30</v>
      </c>
      <c r="D808" s="5" t="n">
        <f>IF(ISNUMBER(Inputs!$L$5),Inputs!$L$5*Inputs!$L$6,0)</f>
        <v>40.35</v>
      </c>
      <c r="E808" s="5" t="n">
        <f>IF(ISNUMBER(Inputs!$L$5),Inputs!$L$5-D808,0)</f>
        <v>40.35</v>
      </c>
      <c r="F808" s="5" t="n">
        <f>E$51*INDEX('Solar Production'!$D$20:$D$31,B808)*C808*(1-'Assumptions and Catalog'!$C$10)^(A808-1)</f>
        <v>1666.16389192271</v>
      </c>
      <c r="G808" s="5" t="n">
        <f>MIN(F808,D808*C808)</f>
        <v>1210.5</v>
      </c>
      <c r="H808" s="5" t="n">
        <f>I808/('Assumptions and Catalog'!$C$11*'Assumptions and Catalog'!$C$12)</f>
        <v>302.599876923077</v>
      </c>
      <c r="I808" s="5" t="n">
        <f>MIN(E808*C808,P808*'Assumptions and Catalog'!$C$12*C808,(F808-G808)*'Assumptions and Catalog'!$C$11*'Assumptions and Catalog'!$C$12,E$56*'Assumptions and Catalog'!$C$14*'Assumptions and Catalog'!$C$11*'Assumptions and Catalog'!$C$12*C808,E$57*(24-'Assumptions and Catalog'!$C$13)*C808)</f>
        <v>287.659008</v>
      </c>
      <c r="J808" s="5" t="n">
        <f>MAX(F808-G808-H808,0)</f>
        <v>153.064014999634</v>
      </c>
      <c r="K808" s="5" t="n">
        <f>H808-I808</f>
        <v>14.9408689230769</v>
      </c>
      <c r="L808" s="5" t="n">
        <f>(D808+E808)*C808-G808-I808+0+IF(E$52&gt;0,'Assumptions and Catalog'!$C$26*C808,0)</f>
        <v>922.840992</v>
      </c>
      <c r="M808" s="5" t="n">
        <f>IF(ISNUMBER(Inputs!$L$5),(IF(Inputs!$L$9="Actual flat rate",((D808+E808)*C808)*Inputs!$L$10,IF(Inputs!$C$9="Residential",IF(((D808+E808)*C808)&lt;='Assumptions and Catalog'!$C$50,((D808+E808)*C808)*'Assumptions and Catalog'!$H$50+'Assumptions and Catalog'!$E$50+'Assumptions and Catalog'!$F$50,IF(((D808+E808)*C808)&lt;='Assumptions and Catalog'!$C$51,((D808+E808)*C808)*'Assumptions and Catalog'!$H$51+'Assumptions and Catalog'!$E$51+'Assumptions and Catalog'!$F$51,IF(((D808+E808)*C808)&lt;='Assumptions and Catalog'!$C$52,((D808+E808)*C808)*'Assumptions and Catalog'!$H$52+'Assumptions and Catalog'!$E$52+'Assumptions and Catalog'!$F$52,IF(((D808+E808)*C808)&lt;='Assumptions and Catalog'!$C$53,((D808+E808)*C808)*'Assumptions and Catalog'!$H$53+'Assumptions and Catalog'!$E$53+'Assumptions and Catalog'!$F$53,IF(((D808+E808)*C808)&lt;='Assumptions and Catalog'!$C$54,((D808+E808)*C808)*'Assumptions and Catalog'!$H$54+'Assumptions and Catalog'!$E$54+'Assumptions and Catalog'!$F$54,IF(((D808+E808)*C808)&lt;='Assumptions and Catalog'!$C$55,((D808+E808)*C808)*'Assumptions and Catalog'!$H$55+'Assumptions and Catalog'!$E$55+'Assumptions and Catalog'!$F$55,IF(((D808+E808)*C808)&lt;='Assumptions and Catalog'!$C$56,((D808+E808)*C808)*'Assumptions and Catalog'!$H$56+'Assumptions and Catalog'!$E$56+'Assumptions and Catalog'!$F$56,IF(((D808+E808)*C808)&lt;='Assumptions and Catalog'!$C$57,((D808+E808)*C808)*'Assumptions and Catalog'!$H$57+'Assumptions and Catalog'!$E$57+'Assumptions and Catalog'!$F$57,"Out of range")))))))),IF(((D808+E808)*C808)&lt;='Assumptions and Catalog'!$C$60,((D808+E808)*C808)*'Assumptions and Catalog'!$H$60+'Assumptions and Catalog'!$E$60+'Assumptions and Catalog'!$F$60,IF(((D808+E808)*C808)&lt;='Assumptions and Catalog'!$C$61,((D808+E808)*C808)*'Assumptions and Catalog'!$H$61+'Assumptions and Catalog'!$E$61+'Assumptions and Catalog'!$F$61,IF(((D808+E808)*C808)&lt;='Assumptions and Catalog'!$C$62,((D808+E808)*C808)*'Assumptions and Catalog'!$H$62+'Assumptions and Catalog'!$E$62+'Assumptions and Catalog'!$F$62,IF(((D808+E808)*C808)&lt;='Assumptions and Catalog'!$C$63,((D808+E808)*C808)*'Assumptions and Catalog'!$H$63+'Assumptions and Catalog'!$E$63+'Assumptions and Catalog'!$F$63,IF(((D808+E808)*C808)&lt;='Assumptions and Catalog'!$C$64,((D808+E808)*C808)*'Assumptions and Catalog'!$H$64+'Assumptions and Catalog'!$E$64+'Assumptions and Catalog'!$F$64,IF(((D808+E808)*C808)&lt;='Assumptions and Catalog'!$C$65,((D808+E808)*C808)*'Assumptions and Catalog'!$H$65+'Assumptions and Catalog'!$E$65+'Assumptions and Catalog'!$F$65,"Out of range")))))))))*(1+'Assumptions and Catalog'!$C$8)^(A808-1),0)</f>
        <v>6867.22</v>
      </c>
      <c r="N808" s="5" t="n">
        <f>IF(ISNUMBER(Inputs!$L$5),(IF(Inputs!$L$9="Actual flat rate",L808*Inputs!$L$10,IF(Inputs!$C$9="Residential",IF(L808&lt;='Assumptions and Catalog'!$C$50,L808*'Assumptions and Catalog'!$H$50+'Assumptions and Catalog'!$E$50+'Assumptions and Catalog'!$F$50,IF(L808&lt;='Assumptions and Catalog'!$C$51,L808*'Assumptions and Catalog'!$H$51+'Assumptions and Catalog'!$E$51+'Assumptions and Catalog'!$F$51,IF(L808&lt;='Assumptions and Catalog'!$C$52,L808*'Assumptions and Catalog'!$H$52+'Assumptions and Catalog'!$E$52+'Assumptions and Catalog'!$F$52,IF(L808&lt;='Assumptions and Catalog'!$C$53,L808*'Assumptions and Catalog'!$H$53+'Assumptions and Catalog'!$E$53+'Assumptions and Catalog'!$F$53,IF(L808&lt;='Assumptions and Catalog'!$C$54,L808*'Assumptions and Catalog'!$H$54+'Assumptions and Catalog'!$E$54+'Assumptions and Catalog'!$F$54,IF(L808&lt;='Assumptions and Catalog'!$C$55,L808*'Assumptions and Catalog'!$H$55+'Assumptions and Catalog'!$E$55+'Assumptions and Catalog'!$F$55,IF(L808&lt;='Assumptions and Catalog'!$C$56,L808*'Assumptions and Catalog'!$H$56+'Assumptions and Catalog'!$E$56+'Assumptions and Catalog'!$F$56,IF(L808&lt;='Assumptions and Catalog'!$C$57,L808*'Assumptions and Catalog'!$H$57+'Assumptions and Catalog'!$E$57+'Assumptions and Catalog'!$F$57,"Out of range")))))))),IF(L808&lt;='Assumptions and Catalog'!$C$60,L808*'Assumptions and Catalog'!$H$60+'Assumptions and Catalog'!$E$60+'Assumptions and Catalog'!$F$60,IF(L808&lt;='Assumptions and Catalog'!$C$61,L808*'Assumptions and Catalog'!$H$61+'Assumptions and Catalog'!$E$61+'Assumptions and Catalog'!$F$61,IF(L808&lt;='Assumptions and Catalog'!$C$62,L808*'Assumptions and Catalog'!$H$62+'Assumptions and Catalog'!$E$62+'Assumptions and Catalog'!$F$62,IF(L808&lt;='Assumptions and Catalog'!$C$63,L808*'Assumptions and Catalog'!$H$63+'Assumptions and Catalog'!$E$63+'Assumptions and Catalog'!$F$63,IF(L808&lt;='Assumptions and Catalog'!$C$64,L808*'Assumptions and Catalog'!$H$64+'Assumptions and Catalog'!$E$64+'Assumptions and Catalog'!$F$64,IF(L808&lt;='Assumptions and Catalog'!$C$65,L808*'Assumptions and Catalog'!$H$65+'Assumptions and Catalog'!$E$65+'Assumptions and Catalog'!$F$65,"Out of range")))))))))*(1+'Assumptions and Catalog'!$C$8)^(A808-1),0)</f>
        <v>2521.26954784</v>
      </c>
      <c r="O808" s="5" t="n">
        <f>M808-N808</f>
        <v>4345.95045216</v>
      </c>
      <c r="P808" s="5" t="n">
        <f>E$55*(1-L$14)*(1-'Assumptions and Catalog'!$C$23)^R808</f>
        <v>9.834496</v>
      </c>
      <c r="Q808" s="5" t="n">
        <f>IF(ISNUMBER(Inputs!$L$5),(IF(Inputs!$L$9="Actual flat rate",((D808+E808)*C808-G808)*Inputs!$L$10,IF(Inputs!$C$9="Residential",IF(((D808+E808)*C808-G808)&lt;='Assumptions and Catalog'!$C$50,((D808+E808)*C808-G808)*'Assumptions and Catalog'!$H$50+'Assumptions and Catalog'!$E$50+'Assumptions and Catalog'!$F$50,IF(((D808+E808)*C808-G808)&lt;='Assumptions and Catalog'!$C$51,((D808+E808)*C808-G808)*'Assumptions and Catalog'!$H$51+'Assumptions and Catalog'!$E$51+'Assumptions and Catalog'!$F$51,IF(((D808+E808)*C808-G808)&lt;='Assumptions and Catalog'!$C$52,((D808+E808)*C808-G808)*'Assumptions and Catalog'!$H$52+'Assumptions and Catalog'!$E$52+'Assumptions and Catalog'!$F$52,IF(((D808+E808)*C808-G808)&lt;='Assumptions and Catalog'!$C$53,((D808+E808)*C808-G808)*'Assumptions and Catalog'!$H$53+'Assumptions and Catalog'!$E$53+'Assumptions and Catalog'!$F$53,IF(((D808+E808)*C808-G808)&lt;='Assumptions and Catalog'!$C$54,((D808+E808)*C808-G808)*'Assumptions and Catalog'!$H$54+'Assumptions and Catalog'!$E$54+'Assumptions and Catalog'!$F$54,IF(((D808+E808)*C808-G808)&lt;='Assumptions and Catalog'!$C$55,((D808+E808)*C808-G808)*'Assumptions and Catalog'!$H$55+'Assumptions and Catalog'!$E$55+'Assumptions and Catalog'!$F$55,IF(((D808+E808)*C808-G808)&lt;='Assumptions and Catalog'!$C$56,((D808+E808)*C808-G808)*'Assumptions and Catalog'!$H$56+'Assumptions and Catalog'!$E$56+'Assumptions and Catalog'!$F$56,IF(((D808+E808)*C808-G808)&lt;='Assumptions and Catalog'!$C$57,((D808+E808)*C808-G808)*'Assumptions and Catalog'!$H$57+'Assumptions and Catalog'!$E$57+'Assumptions and Catalog'!$F$57,"Out of range")))))))),IF(((D808+E808)*C808-G808)&lt;='Assumptions and Catalog'!$C$60,((D808+E808)*C808-G808)*'Assumptions and Catalog'!$H$60+'Assumptions and Catalog'!$E$60+'Assumptions and Catalog'!$F$60,IF(((D808+E808)*C808-G808)&lt;='Assumptions and Catalog'!$C$61,((D808+E808)*C808-G808)*'Assumptions and Catalog'!$H$61+'Assumptions and Catalog'!$E$61+'Assumptions and Catalog'!$F$61,IF(((D808+E808)*C808-G808)&lt;='Assumptions and Catalog'!$C$62,((D808+E808)*C808-G808)*'Assumptions and Catalog'!$H$62+'Assumptions and Catalog'!$E$62+'Assumptions and Catalog'!$F$62,IF(((D808+E808)*C808-G808)&lt;='Assumptions and Catalog'!$C$63,((D808+E808)*C808-G808)*'Assumptions and Catalog'!$H$63+'Assumptions and Catalog'!$E$63+'Assumptions and Catalog'!$F$63,IF(((D808+E808)*C808-G808)&lt;='Assumptions and Catalog'!$C$64,((D808+E808)*C808-G808)*'Assumptions and Catalog'!$H$64+'Assumptions and Catalog'!$E$64+'Assumptions and Catalog'!$F$64,IF(((D808+E808)*C808-G808)&lt;='Assumptions and Catalog'!$C$65,((D808+E808)*C808-G808)*'Assumptions and Catalog'!$H$65+'Assumptions and Catalog'!$E$65+'Assumptions and Catalog'!$F$65,"Out of range")))))))))*(1+'Assumptions and Catalog'!$C$8)^(A808-1),0)</f>
        <v>3453.61</v>
      </c>
      <c r="R808" s="5" t="n">
        <f>IF(AND('Assumptions and Catalog'!$C$19&gt;0,A808&gt;='Assumptions and Catalog'!$C$19),A808-'Assumptions and Catalog'!$C$19,A808-1)</f>
        <v>2</v>
      </c>
      <c r="S808" s="5" t="n">
        <f>F808+L808-(D808+E808)*C808-J808-K808-IF(E$52&gt;0,'Assumptions and Catalog'!$C$26*C808,0)</f>
        <v>-2.8421709430404E-013</v>
      </c>
      <c r="T808" s="5"/>
      <c r="U808" s="5"/>
    </row>
    <row r="809" ht="23.100000381469727" customHeight="1">
      <c r="A809" s="5" t="n">
        <v>13</v>
      </c>
      <c r="B809" s="5" t="n">
        <v>5</v>
      </c>
      <c r="C809" s="5" t="n">
        <f>DAY(DATE('Assumptions and Catalog'!$C$24+A809-1,B809+1,0))</f>
        <v>31</v>
      </c>
      <c r="D809" s="5" t="n">
        <f>IF(ISNUMBER(Inputs!$L$5),Inputs!$L$5*Inputs!$L$6,0)</f>
        <v>40.35</v>
      </c>
      <c r="E809" s="5" t="n">
        <f>IF(ISNUMBER(Inputs!$L$5),Inputs!$L$5-D809,0)</f>
        <v>40.35</v>
      </c>
      <c r="F809" s="5" t="n">
        <f>E$51*INDEX('Solar Production'!$D$20:$D$31,B809)*C809*(1-'Assumptions and Catalog'!$C$10)^(A809-1)</f>
        <v>1685.42949455218</v>
      </c>
      <c r="G809" s="5" t="n">
        <f>MIN(F809,D809*C809)</f>
        <v>1250.85</v>
      </c>
      <c r="H809" s="5" t="n">
        <f>I809/('Assumptions and Catalog'!$C$11*'Assumptions and Catalog'!$C$12)</f>
        <v>312.68653948718</v>
      </c>
      <c r="I809" s="5" t="n">
        <f>MIN(E809*C809,P809*'Assumptions and Catalog'!$C$12*C809,(F809-G809)*'Assumptions and Catalog'!$C$11*'Assumptions and Catalog'!$C$12,E$56*'Assumptions and Catalog'!$C$14*'Assumptions and Catalog'!$C$11*'Assumptions and Catalog'!$C$12*C809,E$57*(24-'Assumptions and Catalog'!$C$13)*C809)</f>
        <v>297.2476416</v>
      </c>
      <c r="J809" s="5" t="n">
        <f>MAX(F809-G809-H809,0)</f>
        <v>121.892955065</v>
      </c>
      <c r="K809" s="5" t="n">
        <f>H809-I809</f>
        <v>15.4388978871795</v>
      </c>
      <c r="L809" s="5" t="n">
        <f>(D809+E809)*C809-G809-I809+0+IF(E$52&gt;0,'Assumptions and Catalog'!$C$26*C809,0)</f>
        <v>953.6023584</v>
      </c>
      <c r="M809" s="5" t="n">
        <f>IF(ISNUMBER(Inputs!$L$5),(IF(Inputs!$L$9="Actual flat rate",((D809+E809)*C809)*Inputs!$L$10,IF(Inputs!$C$9="Residential",IF(((D809+E809)*C809)&lt;='Assumptions and Catalog'!$C$50,((D809+E809)*C809)*'Assumptions and Catalog'!$H$50+'Assumptions and Catalog'!$E$50+'Assumptions and Catalog'!$F$50,IF(((D809+E809)*C809)&lt;='Assumptions and Catalog'!$C$51,((D809+E809)*C809)*'Assumptions and Catalog'!$H$51+'Assumptions and Catalog'!$E$51+'Assumptions and Catalog'!$F$51,IF(((D809+E809)*C809)&lt;='Assumptions and Catalog'!$C$52,((D809+E809)*C809)*'Assumptions and Catalog'!$H$52+'Assumptions and Catalog'!$E$52+'Assumptions and Catalog'!$F$52,IF(((D809+E809)*C809)&lt;='Assumptions and Catalog'!$C$53,((D809+E809)*C809)*'Assumptions and Catalog'!$H$53+'Assumptions and Catalog'!$E$53+'Assumptions and Catalog'!$F$53,IF(((D809+E809)*C809)&lt;='Assumptions and Catalog'!$C$54,((D809+E809)*C809)*'Assumptions and Catalog'!$H$54+'Assumptions and Catalog'!$E$54+'Assumptions and Catalog'!$F$54,IF(((D809+E809)*C809)&lt;='Assumptions and Catalog'!$C$55,((D809+E809)*C809)*'Assumptions and Catalog'!$H$55+'Assumptions and Catalog'!$E$55+'Assumptions and Catalog'!$F$55,IF(((D809+E809)*C809)&lt;='Assumptions and Catalog'!$C$56,((D809+E809)*C809)*'Assumptions and Catalog'!$H$56+'Assumptions and Catalog'!$E$56+'Assumptions and Catalog'!$F$56,IF(((D809+E809)*C809)&lt;='Assumptions and Catalog'!$C$57,((D809+E809)*C809)*'Assumptions and Catalog'!$H$57+'Assumptions and Catalog'!$E$57+'Assumptions and Catalog'!$F$57,"Out of range")))))))),IF(((D809+E809)*C809)&lt;='Assumptions and Catalog'!$C$60,((D809+E809)*C809)*'Assumptions and Catalog'!$H$60+'Assumptions and Catalog'!$E$60+'Assumptions and Catalog'!$F$60,IF(((D809+E809)*C809)&lt;='Assumptions and Catalog'!$C$61,((D809+E809)*C809)*'Assumptions and Catalog'!$H$61+'Assumptions and Catalog'!$E$61+'Assumptions and Catalog'!$F$61,IF(((D809+E809)*C809)&lt;='Assumptions and Catalog'!$C$62,((D809+E809)*C809)*'Assumptions and Catalog'!$H$62+'Assumptions and Catalog'!$E$62+'Assumptions and Catalog'!$F$62,IF(((D809+E809)*C809)&lt;='Assumptions and Catalog'!$C$63,((D809+E809)*C809)*'Assumptions and Catalog'!$H$63+'Assumptions and Catalog'!$E$63+'Assumptions and Catalog'!$F$63,IF(((D809+E809)*C809)&lt;='Assumptions and Catalog'!$C$64,((D809+E809)*C809)*'Assumptions and Catalog'!$H$64+'Assumptions and Catalog'!$E$64+'Assumptions and Catalog'!$F$64,IF(((D809+E809)*C809)&lt;='Assumptions and Catalog'!$C$65,((D809+E809)*C809)*'Assumptions and Catalog'!$H$65+'Assumptions and Catalog'!$E$65+'Assumptions and Catalog'!$F$65,"Out of range")))))))))*(1+'Assumptions and Catalog'!$C$8)^(A809-1),0)</f>
        <v>7094.794</v>
      </c>
      <c r="N809" s="5" t="n">
        <f>IF(ISNUMBER(Inputs!$L$5),(IF(Inputs!$L$9="Actual flat rate",L809*Inputs!$L$10,IF(Inputs!$C$9="Residential",IF(L809&lt;='Assumptions and Catalog'!$C$50,L809*'Assumptions and Catalog'!$H$50+'Assumptions and Catalog'!$E$50+'Assumptions and Catalog'!$F$50,IF(L809&lt;='Assumptions and Catalog'!$C$51,L809*'Assumptions and Catalog'!$H$51+'Assumptions and Catalog'!$E$51+'Assumptions and Catalog'!$F$51,IF(L809&lt;='Assumptions and Catalog'!$C$52,L809*'Assumptions and Catalog'!$H$52+'Assumptions and Catalog'!$E$52+'Assumptions and Catalog'!$F$52,IF(L809&lt;='Assumptions and Catalog'!$C$53,L809*'Assumptions and Catalog'!$H$53+'Assumptions and Catalog'!$E$53+'Assumptions and Catalog'!$F$53,IF(L809&lt;='Assumptions and Catalog'!$C$54,L809*'Assumptions and Catalog'!$H$54+'Assumptions and Catalog'!$E$54+'Assumptions and Catalog'!$F$54,IF(L809&lt;='Assumptions and Catalog'!$C$55,L809*'Assumptions and Catalog'!$H$55+'Assumptions and Catalog'!$E$55+'Assumptions and Catalog'!$F$55,IF(L809&lt;='Assumptions and Catalog'!$C$56,L809*'Assumptions and Catalog'!$H$56+'Assumptions and Catalog'!$E$56+'Assumptions and Catalog'!$F$56,IF(L809&lt;='Assumptions and Catalog'!$C$57,L809*'Assumptions and Catalog'!$H$57+'Assumptions and Catalog'!$E$57+'Assumptions and Catalog'!$F$57,"Out of range")))))))),IF(L809&lt;='Assumptions and Catalog'!$C$60,L809*'Assumptions and Catalog'!$H$60+'Assumptions and Catalog'!$E$60+'Assumptions and Catalog'!$F$60,IF(L809&lt;='Assumptions and Catalog'!$C$61,L809*'Assumptions and Catalog'!$H$61+'Assumptions and Catalog'!$E$61+'Assumptions and Catalog'!$F$61,IF(L809&lt;='Assumptions and Catalog'!$C$62,L809*'Assumptions and Catalog'!$H$62+'Assumptions and Catalog'!$E$62+'Assumptions and Catalog'!$F$62,IF(L809&lt;='Assumptions and Catalog'!$C$63,L809*'Assumptions and Catalog'!$H$63+'Assumptions and Catalog'!$E$63+'Assumptions and Catalog'!$F$63,IF(L809&lt;='Assumptions and Catalog'!$C$64,L809*'Assumptions and Catalog'!$H$64+'Assumptions and Catalog'!$E$64+'Assumptions and Catalog'!$F$64,IF(L809&lt;='Assumptions and Catalog'!$C$65,L809*'Assumptions and Catalog'!$H$65+'Assumptions and Catalog'!$E$65+'Assumptions and Catalog'!$F$65,"Out of range")))))))))*(1+'Assumptions and Catalog'!$C$8)^(A809-1),0)</f>
        <v>2606.478532768</v>
      </c>
      <c r="O809" s="5" t="n">
        <f>M809-N809</f>
        <v>4488.315467232</v>
      </c>
      <c r="P809" s="5" t="n">
        <f>E$55*(1-L$14)*(1-'Assumptions and Catalog'!$C$23)^R809</f>
        <v>9.834496</v>
      </c>
      <c r="Q809" s="5" t="n">
        <f>IF(ISNUMBER(Inputs!$L$5),(IF(Inputs!$L$9="Actual flat rate",((D809+E809)*C809-G809)*Inputs!$L$10,IF(Inputs!$C$9="Residential",IF(((D809+E809)*C809-G809)&lt;='Assumptions and Catalog'!$C$50,((D809+E809)*C809-G809)*'Assumptions and Catalog'!$H$50+'Assumptions and Catalog'!$E$50+'Assumptions and Catalog'!$F$50,IF(((D809+E809)*C809-G809)&lt;='Assumptions and Catalog'!$C$51,((D809+E809)*C809-G809)*'Assumptions and Catalog'!$H$51+'Assumptions and Catalog'!$E$51+'Assumptions and Catalog'!$F$51,IF(((D809+E809)*C809-G809)&lt;='Assumptions and Catalog'!$C$52,((D809+E809)*C809-G809)*'Assumptions and Catalog'!$H$52+'Assumptions and Catalog'!$E$52+'Assumptions and Catalog'!$F$52,IF(((D809+E809)*C809-G809)&lt;='Assumptions and Catalog'!$C$53,((D809+E809)*C809-G809)*'Assumptions and Catalog'!$H$53+'Assumptions and Catalog'!$E$53+'Assumptions and Catalog'!$F$53,IF(((D809+E809)*C809-G809)&lt;='Assumptions and Catalog'!$C$54,((D809+E809)*C809-G809)*'Assumptions and Catalog'!$H$54+'Assumptions and Catalog'!$E$54+'Assumptions and Catalog'!$F$54,IF(((D809+E809)*C809-G809)&lt;='Assumptions and Catalog'!$C$55,((D809+E809)*C809-G809)*'Assumptions and Catalog'!$H$55+'Assumptions and Catalog'!$E$55+'Assumptions and Catalog'!$F$55,IF(((D809+E809)*C809-G809)&lt;='Assumptions and Catalog'!$C$56,((D809+E809)*C809-G809)*'Assumptions and Catalog'!$H$56+'Assumptions and Catalog'!$E$56+'Assumptions and Catalog'!$F$56,IF(((D809+E809)*C809-G809)&lt;='Assumptions and Catalog'!$C$57,((D809+E809)*C809-G809)*'Assumptions and Catalog'!$H$57+'Assumptions and Catalog'!$E$57+'Assumptions and Catalog'!$F$57,"Out of range")))))))),IF(((D809+E809)*C809-G809)&lt;='Assumptions and Catalog'!$C$60,((D809+E809)*C809-G809)*'Assumptions and Catalog'!$H$60+'Assumptions and Catalog'!$E$60+'Assumptions and Catalog'!$F$60,IF(((D809+E809)*C809-G809)&lt;='Assumptions and Catalog'!$C$61,((D809+E809)*C809-G809)*'Assumptions and Catalog'!$H$61+'Assumptions and Catalog'!$E$61+'Assumptions and Catalog'!$F$61,IF(((D809+E809)*C809-G809)&lt;='Assumptions and Catalog'!$C$62,((D809+E809)*C809-G809)*'Assumptions and Catalog'!$H$62+'Assumptions and Catalog'!$E$62+'Assumptions and Catalog'!$F$62,IF(((D809+E809)*C809-G809)&lt;='Assumptions and Catalog'!$C$63,((D809+E809)*C809-G809)*'Assumptions and Catalog'!$H$63+'Assumptions and Catalog'!$E$63+'Assumptions and Catalog'!$F$63,IF(((D809+E809)*C809-G809)&lt;='Assumptions and Catalog'!$C$64,((D809+E809)*C809-G809)*'Assumptions and Catalog'!$H$64+'Assumptions and Catalog'!$E$64+'Assumptions and Catalog'!$F$64,IF(((D809+E809)*C809-G809)&lt;='Assumptions and Catalog'!$C$65,((D809+E809)*C809-G809)*'Assumptions and Catalog'!$H$65+'Assumptions and Catalog'!$E$65+'Assumptions and Catalog'!$F$65,"Out of range")))))))))*(1+'Assumptions and Catalog'!$C$8)^(A809-1),0)</f>
        <v>3567.397</v>
      </c>
      <c r="R809" s="5" t="n">
        <f>IF(AND('Assumptions and Catalog'!$C$19&gt;0,A809&gt;='Assumptions and Catalog'!$C$19),A809-'Assumptions and Catalog'!$C$19,A809-1)</f>
        <v>2</v>
      </c>
      <c r="S809" s="5" t="n">
        <f>F809+L809-(D809+E809)*C809-J809-K809-IF(E$52&gt;0,'Assumptions and Catalog'!$C$26*C809,0)</f>
        <v>1.13686837721616E-013</v>
      </c>
      <c r="T809" s="5"/>
      <c r="U809" s="5"/>
    </row>
    <row r="810" ht="23.100000381469727" customHeight="1">
      <c r="A810" s="5" t="n">
        <v>13</v>
      </c>
      <c r="B810" s="5" t="n">
        <v>6</v>
      </c>
      <c r="C810" s="5" t="n">
        <f>DAY(DATE('Assumptions and Catalog'!$C$24+A810-1,B810+1,0))</f>
        <v>30</v>
      </c>
      <c r="D810" s="5" t="n">
        <f>IF(ISNUMBER(Inputs!$L$5),Inputs!$L$5*Inputs!$L$6,0)</f>
        <v>40.35</v>
      </c>
      <c r="E810" s="5" t="n">
        <f>IF(ISNUMBER(Inputs!$L$5),Inputs!$L$5-D810,0)</f>
        <v>40.35</v>
      </c>
      <c r="F810" s="5" t="n">
        <f>E$51*INDEX('Solar Production'!$D$20:$D$31,B810)*C810*(1-'Assumptions and Catalog'!$C$10)^(A810-1)</f>
        <v>1642.96230596034</v>
      </c>
      <c r="G810" s="5" t="n">
        <f>MIN(F810,D810*C810)</f>
        <v>1210.5</v>
      </c>
      <c r="H810" s="5" t="n">
        <f>I810/('Assumptions and Catalog'!$C$11*'Assumptions and Catalog'!$C$12)</f>
        <v>302.599876923077</v>
      </c>
      <c r="I810" s="5" t="n">
        <f>MIN(E810*C810,P810*'Assumptions and Catalog'!$C$12*C810,(F810-G810)*'Assumptions and Catalog'!$C$11*'Assumptions and Catalog'!$C$12,E$56*'Assumptions and Catalog'!$C$14*'Assumptions and Catalog'!$C$11*'Assumptions and Catalog'!$C$12*C810,E$57*(24-'Assumptions and Catalog'!$C$13)*C810)</f>
        <v>287.659008</v>
      </c>
      <c r="J810" s="5" t="n">
        <f>MAX(F810-G810-H810,0)</f>
        <v>129.862429037264</v>
      </c>
      <c r="K810" s="5" t="n">
        <f>H810-I810</f>
        <v>14.9408689230769</v>
      </c>
      <c r="L810" s="5" t="n">
        <f>(D810+E810)*C810-G810-I810+0+IF(E$52&gt;0,'Assumptions and Catalog'!$C$26*C810,0)</f>
        <v>922.840992</v>
      </c>
      <c r="M810" s="5" t="n">
        <f>IF(ISNUMBER(Inputs!$L$5),(IF(Inputs!$L$9="Actual flat rate",((D810+E810)*C810)*Inputs!$L$10,IF(Inputs!$C$9="Residential",IF(((D810+E810)*C810)&lt;='Assumptions and Catalog'!$C$50,((D810+E810)*C810)*'Assumptions and Catalog'!$H$50+'Assumptions and Catalog'!$E$50+'Assumptions and Catalog'!$F$50,IF(((D810+E810)*C810)&lt;='Assumptions and Catalog'!$C$51,((D810+E810)*C810)*'Assumptions and Catalog'!$H$51+'Assumptions and Catalog'!$E$51+'Assumptions and Catalog'!$F$51,IF(((D810+E810)*C810)&lt;='Assumptions and Catalog'!$C$52,((D810+E810)*C810)*'Assumptions and Catalog'!$H$52+'Assumptions and Catalog'!$E$52+'Assumptions and Catalog'!$F$52,IF(((D810+E810)*C810)&lt;='Assumptions and Catalog'!$C$53,((D810+E810)*C810)*'Assumptions and Catalog'!$H$53+'Assumptions and Catalog'!$E$53+'Assumptions and Catalog'!$F$53,IF(((D810+E810)*C810)&lt;='Assumptions and Catalog'!$C$54,((D810+E810)*C810)*'Assumptions and Catalog'!$H$54+'Assumptions and Catalog'!$E$54+'Assumptions and Catalog'!$F$54,IF(((D810+E810)*C810)&lt;='Assumptions and Catalog'!$C$55,((D810+E810)*C810)*'Assumptions and Catalog'!$H$55+'Assumptions and Catalog'!$E$55+'Assumptions and Catalog'!$F$55,IF(((D810+E810)*C810)&lt;='Assumptions and Catalog'!$C$56,((D810+E810)*C810)*'Assumptions and Catalog'!$H$56+'Assumptions and Catalog'!$E$56+'Assumptions and Catalog'!$F$56,IF(((D810+E810)*C810)&lt;='Assumptions and Catalog'!$C$57,((D810+E810)*C810)*'Assumptions and Catalog'!$H$57+'Assumptions and Catalog'!$E$57+'Assumptions and Catalog'!$F$57,"Out of range")))))))),IF(((D810+E810)*C810)&lt;='Assumptions and Catalog'!$C$60,((D810+E810)*C810)*'Assumptions and Catalog'!$H$60+'Assumptions and Catalog'!$E$60+'Assumptions and Catalog'!$F$60,IF(((D810+E810)*C810)&lt;='Assumptions and Catalog'!$C$61,((D810+E810)*C810)*'Assumptions and Catalog'!$H$61+'Assumptions and Catalog'!$E$61+'Assumptions and Catalog'!$F$61,IF(((D810+E810)*C810)&lt;='Assumptions and Catalog'!$C$62,((D810+E810)*C810)*'Assumptions and Catalog'!$H$62+'Assumptions and Catalog'!$E$62+'Assumptions and Catalog'!$F$62,IF(((D810+E810)*C810)&lt;='Assumptions and Catalog'!$C$63,((D810+E810)*C810)*'Assumptions and Catalog'!$H$63+'Assumptions and Catalog'!$E$63+'Assumptions and Catalog'!$F$63,IF(((D810+E810)*C810)&lt;='Assumptions and Catalog'!$C$64,((D810+E810)*C810)*'Assumptions and Catalog'!$H$64+'Assumptions and Catalog'!$E$64+'Assumptions and Catalog'!$F$64,IF(((D810+E810)*C810)&lt;='Assumptions and Catalog'!$C$65,((D810+E810)*C810)*'Assumptions and Catalog'!$H$65+'Assumptions and Catalog'!$E$65+'Assumptions and Catalog'!$F$65,"Out of range")))))))))*(1+'Assumptions and Catalog'!$C$8)^(A810-1),0)</f>
        <v>6867.22</v>
      </c>
      <c r="N810" s="5" t="n">
        <f>IF(ISNUMBER(Inputs!$L$5),(IF(Inputs!$L$9="Actual flat rate",L810*Inputs!$L$10,IF(Inputs!$C$9="Residential",IF(L810&lt;='Assumptions and Catalog'!$C$50,L810*'Assumptions and Catalog'!$H$50+'Assumptions and Catalog'!$E$50+'Assumptions and Catalog'!$F$50,IF(L810&lt;='Assumptions and Catalog'!$C$51,L810*'Assumptions and Catalog'!$H$51+'Assumptions and Catalog'!$E$51+'Assumptions and Catalog'!$F$51,IF(L810&lt;='Assumptions and Catalog'!$C$52,L810*'Assumptions and Catalog'!$H$52+'Assumptions and Catalog'!$E$52+'Assumptions and Catalog'!$F$52,IF(L810&lt;='Assumptions and Catalog'!$C$53,L810*'Assumptions and Catalog'!$H$53+'Assumptions and Catalog'!$E$53+'Assumptions and Catalog'!$F$53,IF(L810&lt;='Assumptions and Catalog'!$C$54,L810*'Assumptions and Catalog'!$H$54+'Assumptions and Catalog'!$E$54+'Assumptions and Catalog'!$F$54,IF(L810&lt;='Assumptions and Catalog'!$C$55,L810*'Assumptions and Catalog'!$H$55+'Assumptions and Catalog'!$E$55+'Assumptions and Catalog'!$F$55,IF(L810&lt;='Assumptions and Catalog'!$C$56,L810*'Assumptions and Catalog'!$H$56+'Assumptions and Catalog'!$E$56+'Assumptions and Catalog'!$F$56,IF(L810&lt;='Assumptions and Catalog'!$C$57,L810*'Assumptions and Catalog'!$H$57+'Assumptions and Catalog'!$E$57+'Assumptions and Catalog'!$F$57,"Out of range")))))))),IF(L810&lt;='Assumptions and Catalog'!$C$60,L810*'Assumptions and Catalog'!$H$60+'Assumptions and Catalog'!$E$60+'Assumptions and Catalog'!$F$60,IF(L810&lt;='Assumptions and Catalog'!$C$61,L810*'Assumptions and Catalog'!$H$61+'Assumptions and Catalog'!$E$61+'Assumptions and Catalog'!$F$61,IF(L810&lt;='Assumptions and Catalog'!$C$62,L810*'Assumptions and Catalog'!$H$62+'Assumptions and Catalog'!$E$62+'Assumptions and Catalog'!$F$62,IF(L810&lt;='Assumptions and Catalog'!$C$63,L810*'Assumptions and Catalog'!$H$63+'Assumptions and Catalog'!$E$63+'Assumptions and Catalog'!$F$63,IF(L810&lt;='Assumptions and Catalog'!$C$64,L810*'Assumptions and Catalog'!$H$64+'Assumptions and Catalog'!$E$64+'Assumptions and Catalog'!$F$64,IF(L810&lt;='Assumptions and Catalog'!$C$65,L810*'Assumptions and Catalog'!$H$65+'Assumptions and Catalog'!$E$65+'Assumptions and Catalog'!$F$65,"Out of range")))))))))*(1+'Assumptions and Catalog'!$C$8)^(A810-1),0)</f>
        <v>2521.26954784</v>
      </c>
      <c r="O810" s="5" t="n">
        <f>M810-N810</f>
        <v>4345.95045216</v>
      </c>
      <c r="P810" s="5" t="n">
        <f>E$55*(1-L$14)*(1-'Assumptions and Catalog'!$C$23)^R810</f>
        <v>9.834496</v>
      </c>
      <c r="Q810" s="5" t="n">
        <f>IF(ISNUMBER(Inputs!$L$5),(IF(Inputs!$L$9="Actual flat rate",((D810+E810)*C810-G810)*Inputs!$L$10,IF(Inputs!$C$9="Residential",IF(((D810+E810)*C810-G810)&lt;='Assumptions and Catalog'!$C$50,((D810+E810)*C810-G810)*'Assumptions and Catalog'!$H$50+'Assumptions and Catalog'!$E$50+'Assumptions and Catalog'!$F$50,IF(((D810+E810)*C810-G810)&lt;='Assumptions and Catalog'!$C$51,((D810+E810)*C810-G810)*'Assumptions and Catalog'!$H$51+'Assumptions and Catalog'!$E$51+'Assumptions and Catalog'!$F$51,IF(((D810+E810)*C810-G810)&lt;='Assumptions and Catalog'!$C$52,((D810+E810)*C810-G810)*'Assumptions and Catalog'!$H$52+'Assumptions and Catalog'!$E$52+'Assumptions and Catalog'!$F$52,IF(((D810+E810)*C810-G810)&lt;='Assumptions and Catalog'!$C$53,((D810+E810)*C810-G810)*'Assumptions and Catalog'!$H$53+'Assumptions and Catalog'!$E$53+'Assumptions and Catalog'!$F$53,IF(((D810+E810)*C810-G810)&lt;='Assumptions and Catalog'!$C$54,((D810+E810)*C810-G810)*'Assumptions and Catalog'!$H$54+'Assumptions and Catalog'!$E$54+'Assumptions and Catalog'!$F$54,IF(((D810+E810)*C810-G810)&lt;='Assumptions and Catalog'!$C$55,((D810+E810)*C810-G810)*'Assumptions and Catalog'!$H$55+'Assumptions and Catalog'!$E$55+'Assumptions and Catalog'!$F$55,IF(((D810+E810)*C810-G810)&lt;='Assumptions and Catalog'!$C$56,((D810+E810)*C810-G810)*'Assumptions and Catalog'!$H$56+'Assumptions and Catalog'!$E$56+'Assumptions and Catalog'!$F$56,IF(((D810+E810)*C810-G810)&lt;='Assumptions and Catalog'!$C$57,((D810+E810)*C810-G810)*'Assumptions and Catalog'!$H$57+'Assumptions and Catalog'!$E$57+'Assumptions and Catalog'!$F$57,"Out of range")))))))),IF(((D810+E810)*C810-G810)&lt;='Assumptions and Catalog'!$C$60,((D810+E810)*C810-G810)*'Assumptions and Catalog'!$H$60+'Assumptions and Catalog'!$E$60+'Assumptions and Catalog'!$F$60,IF(((D810+E810)*C810-G810)&lt;='Assumptions and Catalog'!$C$61,((D810+E810)*C810-G810)*'Assumptions and Catalog'!$H$61+'Assumptions and Catalog'!$E$61+'Assumptions and Catalog'!$F$61,IF(((D810+E810)*C810-G810)&lt;='Assumptions and Catalog'!$C$62,((D810+E810)*C810-G810)*'Assumptions and Catalog'!$H$62+'Assumptions and Catalog'!$E$62+'Assumptions and Catalog'!$F$62,IF(((D810+E810)*C810-G810)&lt;='Assumptions and Catalog'!$C$63,((D810+E810)*C810-G810)*'Assumptions and Catalog'!$H$63+'Assumptions and Catalog'!$E$63+'Assumptions and Catalog'!$F$63,IF(((D810+E810)*C810-G810)&lt;='Assumptions and Catalog'!$C$64,((D810+E810)*C810-G810)*'Assumptions and Catalog'!$H$64+'Assumptions and Catalog'!$E$64+'Assumptions and Catalog'!$F$64,IF(((D810+E810)*C810-G810)&lt;='Assumptions and Catalog'!$C$65,((D810+E810)*C810-G810)*'Assumptions and Catalog'!$H$65+'Assumptions and Catalog'!$E$65+'Assumptions and Catalog'!$F$65,"Out of range")))))))))*(1+'Assumptions and Catalog'!$C$8)^(A810-1),0)</f>
        <v>3453.61</v>
      </c>
      <c r="R810" s="5" t="n">
        <f>IF(AND('Assumptions and Catalog'!$C$19&gt;0,A810&gt;='Assumptions and Catalog'!$C$19),A810-'Assumptions and Catalog'!$C$19,A810-1)</f>
        <v>2</v>
      </c>
      <c r="S810" s="5" t="n">
        <f>F810+L810-(D810+E810)*C810-J810-K810-IF(E$52&gt;0,'Assumptions and Catalog'!$C$26*C810,0)</f>
        <v>1.70530256582424E-013</v>
      </c>
      <c r="T810" s="5"/>
      <c r="U810" s="5"/>
    </row>
    <row r="811" ht="23.100000381469727" customHeight="1">
      <c r="A811" s="5" t="n">
        <v>13</v>
      </c>
      <c r="B811" s="5" t="n">
        <v>7</v>
      </c>
      <c r="C811" s="5" t="n">
        <f>DAY(DATE('Assumptions and Catalog'!$C$24+A811-1,B811+1,0))</f>
        <v>31</v>
      </c>
      <c r="D811" s="5" t="n">
        <f>IF(ISNUMBER(Inputs!$L$5),Inputs!$L$5*Inputs!$L$6,0)</f>
        <v>40.35</v>
      </c>
      <c r="E811" s="5" t="n">
        <f>IF(ISNUMBER(Inputs!$L$5),Inputs!$L$5-D811,0)</f>
        <v>40.35</v>
      </c>
      <c r="F811" s="5" t="n">
        <f>E$51*INDEX('Solar Production'!$D$20:$D$31,B811)*C811*(1-'Assumptions and Catalog'!$C$10)^(A811-1)</f>
        <v>1705.52372525173</v>
      </c>
      <c r="G811" s="5" t="n">
        <f>MIN(F811,D811*C811)</f>
        <v>1250.85</v>
      </c>
      <c r="H811" s="5" t="n">
        <f>I811/('Assumptions and Catalog'!$C$11*'Assumptions and Catalog'!$C$12)</f>
        <v>312.68653948718</v>
      </c>
      <c r="I811" s="5" t="n">
        <f>MIN(E811*C811,P811*'Assumptions and Catalog'!$C$12*C811,(F811-G811)*'Assumptions and Catalog'!$C$11*'Assumptions and Catalog'!$C$12,E$56*'Assumptions and Catalog'!$C$14*'Assumptions and Catalog'!$C$11*'Assumptions and Catalog'!$C$12*C811,E$57*(24-'Assumptions and Catalog'!$C$13)*C811)</f>
        <v>297.2476416</v>
      </c>
      <c r="J811" s="5" t="n">
        <f>MAX(F811-G811-H811,0)</f>
        <v>141.987185764553</v>
      </c>
      <c r="K811" s="5" t="n">
        <f>H811-I811</f>
        <v>15.4388978871795</v>
      </c>
      <c r="L811" s="5" t="n">
        <f>(D811+E811)*C811-G811-I811+0+IF(E$52&gt;0,'Assumptions and Catalog'!$C$26*C811,0)</f>
        <v>953.6023584</v>
      </c>
      <c r="M811" s="5" t="n">
        <f>IF(ISNUMBER(Inputs!$L$5),(IF(Inputs!$L$9="Actual flat rate",((D811+E811)*C811)*Inputs!$L$10,IF(Inputs!$C$9="Residential",IF(((D811+E811)*C811)&lt;='Assumptions and Catalog'!$C$50,((D811+E811)*C811)*'Assumptions and Catalog'!$H$50+'Assumptions and Catalog'!$E$50+'Assumptions and Catalog'!$F$50,IF(((D811+E811)*C811)&lt;='Assumptions and Catalog'!$C$51,((D811+E811)*C811)*'Assumptions and Catalog'!$H$51+'Assumptions and Catalog'!$E$51+'Assumptions and Catalog'!$F$51,IF(((D811+E811)*C811)&lt;='Assumptions and Catalog'!$C$52,((D811+E811)*C811)*'Assumptions and Catalog'!$H$52+'Assumptions and Catalog'!$E$52+'Assumptions and Catalog'!$F$52,IF(((D811+E811)*C811)&lt;='Assumptions and Catalog'!$C$53,((D811+E811)*C811)*'Assumptions and Catalog'!$H$53+'Assumptions and Catalog'!$E$53+'Assumptions and Catalog'!$F$53,IF(((D811+E811)*C811)&lt;='Assumptions and Catalog'!$C$54,((D811+E811)*C811)*'Assumptions and Catalog'!$H$54+'Assumptions and Catalog'!$E$54+'Assumptions and Catalog'!$F$54,IF(((D811+E811)*C811)&lt;='Assumptions and Catalog'!$C$55,((D811+E811)*C811)*'Assumptions and Catalog'!$H$55+'Assumptions and Catalog'!$E$55+'Assumptions and Catalog'!$F$55,IF(((D811+E811)*C811)&lt;='Assumptions and Catalog'!$C$56,((D811+E811)*C811)*'Assumptions and Catalog'!$H$56+'Assumptions and Catalog'!$E$56+'Assumptions and Catalog'!$F$56,IF(((D811+E811)*C811)&lt;='Assumptions and Catalog'!$C$57,((D811+E811)*C811)*'Assumptions and Catalog'!$H$57+'Assumptions and Catalog'!$E$57+'Assumptions and Catalog'!$F$57,"Out of range")))))))),IF(((D811+E811)*C811)&lt;='Assumptions and Catalog'!$C$60,((D811+E811)*C811)*'Assumptions and Catalog'!$H$60+'Assumptions and Catalog'!$E$60+'Assumptions and Catalog'!$F$60,IF(((D811+E811)*C811)&lt;='Assumptions and Catalog'!$C$61,((D811+E811)*C811)*'Assumptions and Catalog'!$H$61+'Assumptions and Catalog'!$E$61+'Assumptions and Catalog'!$F$61,IF(((D811+E811)*C811)&lt;='Assumptions and Catalog'!$C$62,((D811+E811)*C811)*'Assumptions and Catalog'!$H$62+'Assumptions and Catalog'!$E$62+'Assumptions and Catalog'!$F$62,IF(((D811+E811)*C811)&lt;='Assumptions and Catalog'!$C$63,((D811+E811)*C811)*'Assumptions and Catalog'!$H$63+'Assumptions and Catalog'!$E$63+'Assumptions and Catalog'!$F$63,IF(((D811+E811)*C811)&lt;='Assumptions and Catalog'!$C$64,((D811+E811)*C811)*'Assumptions and Catalog'!$H$64+'Assumptions and Catalog'!$E$64+'Assumptions and Catalog'!$F$64,IF(((D811+E811)*C811)&lt;='Assumptions and Catalog'!$C$65,((D811+E811)*C811)*'Assumptions and Catalog'!$H$65+'Assumptions and Catalog'!$E$65+'Assumptions and Catalog'!$F$65,"Out of range")))))))))*(1+'Assumptions and Catalog'!$C$8)^(A811-1),0)</f>
        <v>7094.794</v>
      </c>
      <c r="N811" s="5" t="n">
        <f>IF(ISNUMBER(Inputs!$L$5),(IF(Inputs!$L$9="Actual flat rate",L811*Inputs!$L$10,IF(Inputs!$C$9="Residential",IF(L811&lt;='Assumptions and Catalog'!$C$50,L811*'Assumptions and Catalog'!$H$50+'Assumptions and Catalog'!$E$50+'Assumptions and Catalog'!$F$50,IF(L811&lt;='Assumptions and Catalog'!$C$51,L811*'Assumptions and Catalog'!$H$51+'Assumptions and Catalog'!$E$51+'Assumptions and Catalog'!$F$51,IF(L811&lt;='Assumptions and Catalog'!$C$52,L811*'Assumptions and Catalog'!$H$52+'Assumptions and Catalog'!$E$52+'Assumptions and Catalog'!$F$52,IF(L811&lt;='Assumptions and Catalog'!$C$53,L811*'Assumptions and Catalog'!$H$53+'Assumptions and Catalog'!$E$53+'Assumptions and Catalog'!$F$53,IF(L811&lt;='Assumptions and Catalog'!$C$54,L811*'Assumptions and Catalog'!$H$54+'Assumptions and Catalog'!$E$54+'Assumptions and Catalog'!$F$54,IF(L811&lt;='Assumptions and Catalog'!$C$55,L811*'Assumptions and Catalog'!$H$55+'Assumptions and Catalog'!$E$55+'Assumptions and Catalog'!$F$55,IF(L811&lt;='Assumptions and Catalog'!$C$56,L811*'Assumptions and Catalog'!$H$56+'Assumptions and Catalog'!$E$56+'Assumptions and Catalog'!$F$56,IF(L811&lt;='Assumptions and Catalog'!$C$57,L811*'Assumptions and Catalog'!$H$57+'Assumptions and Catalog'!$E$57+'Assumptions and Catalog'!$F$57,"Out of range")))))))),IF(L811&lt;='Assumptions and Catalog'!$C$60,L811*'Assumptions and Catalog'!$H$60+'Assumptions and Catalog'!$E$60+'Assumptions and Catalog'!$F$60,IF(L811&lt;='Assumptions and Catalog'!$C$61,L811*'Assumptions and Catalog'!$H$61+'Assumptions and Catalog'!$E$61+'Assumptions and Catalog'!$F$61,IF(L811&lt;='Assumptions and Catalog'!$C$62,L811*'Assumptions and Catalog'!$H$62+'Assumptions and Catalog'!$E$62+'Assumptions and Catalog'!$F$62,IF(L811&lt;='Assumptions and Catalog'!$C$63,L811*'Assumptions and Catalog'!$H$63+'Assumptions and Catalog'!$E$63+'Assumptions and Catalog'!$F$63,IF(L811&lt;='Assumptions and Catalog'!$C$64,L811*'Assumptions and Catalog'!$H$64+'Assumptions and Catalog'!$E$64+'Assumptions and Catalog'!$F$64,IF(L811&lt;='Assumptions and Catalog'!$C$65,L811*'Assumptions and Catalog'!$H$65+'Assumptions and Catalog'!$E$65+'Assumptions and Catalog'!$F$65,"Out of range")))))))))*(1+'Assumptions and Catalog'!$C$8)^(A811-1),0)</f>
        <v>2606.478532768</v>
      </c>
      <c r="O811" s="5" t="n">
        <f>M811-N811</f>
        <v>4488.315467232</v>
      </c>
      <c r="P811" s="5" t="n">
        <f>E$55*(1-L$14)*(1-'Assumptions and Catalog'!$C$23)^R811</f>
        <v>9.834496</v>
      </c>
      <c r="Q811" s="5" t="n">
        <f>IF(ISNUMBER(Inputs!$L$5),(IF(Inputs!$L$9="Actual flat rate",((D811+E811)*C811-G811)*Inputs!$L$10,IF(Inputs!$C$9="Residential",IF(((D811+E811)*C811-G811)&lt;='Assumptions and Catalog'!$C$50,((D811+E811)*C811-G811)*'Assumptions and Catalog'!$H$50+'Assumptions and Catalog'!$E$50+'Assumptions and Catalog'!$F$50,IF(((D811+E811)*C811-G811)&lt;='Assumptions and Catalog'!$C$51,((D811+E811)*C811-G811)*'Assumptions and Catalog'!$H$51+'Assumptions and Catalog'!$E$51+'Assumptions and Catalog'!$F$51,IF(((D811+E811)*C811-G811)&lt;='Assumptions and Catalog'!$C$52,((D811+E811)*C811-G811)*'Assumptions and Catalog'!$H$52+'Assumptions and Catalog'!$E$52+'Assumptions and Catalog'!$F$52,IF(((D811+E811)*C811-G811)&lt;='Assumptions and Catalog'!$C$53,((D811+E811)*C811-G811)*'Assumptions and Catalog'!$H$53+'Assumptions and Catalog'!$E$53+'Assumptions and Catalog'!$F$53,IF(((D811+E811)*C811-G811)&lt;='Assumptions and Catalog'!$C$54,((D811+E811)*C811-G811)*'Assumptions and Catalog'!$H$54+'Assumptions and Catalog'!$E$54+'Assumptions and Catalog'!$F$54,IF(((D811+E811)*C811-G811)&lt;='Assumptions and Catalog'!$C$55,((D811+E811)*C811-G811)*'Assumptions and Catalog'!$H$55+'Assumptions and Catalog'!$E$55+'Assumptions and Catalog'!$F$55,IF(((D811+E811)*C811-G811)&lt;='Assumptions and Catalog'!$C$56,((D811+E811)*C811-G811)*'Assumptions and Catalog'!$H$56+'Assumptions and Catalog'!$E$56+'Assumptions and Catalog'!$F$56,IF(((D811+E811)*C811-G811)&lt;='Assumptions and Catalog'!$C$57,((D811+E811)*C811-G811)*'Assumptions and Catalog'!$H$57+'Assumptions and Catalog'!$E$57+'Assumptions and Catalog'!$F$57,"Out of range")))))))),IF(((D811+E811)*C811-G811)&lt;='Assumptions and Catalog'!$C$60,((D811+E811)*C811-G811)*'Assumptions and Catalog'!$H$60+'Assumptions and Catalog'!$E$60+'Assumptions and Catalog'!$F$60,IF(((D811+E811)*C811-G811)&lt;='Assumptions and Catalog'!$C$61,((D811+E811)*C811-G811)*'Assumptions and Catalog'!$H$61+'Assumptions and Catalog'!$E$61+'Assumptions and Catalog'!$F$61,IF(((D811+E811)*C811-G811)&lt;='Assumptions and Catalog'!$C$62,((D811+E811)*C811-G811)*'Assumptions and Catalog'!$H$62+'Assumptions and Catalog'!$E$62+'Assumptions and Catalog'!$F$62,IF(((D811+E811)*C811-G811)&lt;='Assumptions and Catalog'!$C$63,((D811+E811)*C811-G811)*'Assumptions and Catalog'!$H$63+'Assumptions and Catalog'!$E$63+'Assumptions and Catalog'!$F$63,IF(((D811+E811)*C811-G811)&lt;='Assumptions and Catalog'!$C$64,((D811+E811)*C811-G811)*'Assumptions and Catalog'!$H$64+'Assumptions and Catalog'!$E$64+'Assumptions and Catalog'!$F$64,IF(((D811+E811)*C811-G811)&lt;='Assumptions and Catalog'!$C$65,((D811+E811)*C811-G811)*'Assumptions and Catalog'!$H$65+'Assumptions and Catalog'!$E$65+'Assumptions and Catalog'!$F$65,"Out of range")))))))))*(1+'Assumptions and Catalog'!$C$8)^(A811-1),0)</f>
        <v>3567.397</v>
      </c>
      <c r="R811" s="5" t="n">
        <f>IF(AND('Assumptions and Catalog'!$C$19&gt;0,A811&gt;='Assumptions and Catalog'!$C$19),A811-'Assumptions and Catalog'!$C$19,A811-1)</f>
        <v>2</v>
      </c>
      <c r="S811" s="5" t="n">
        <f>F811+L811-(D811+E811)*C811-J811-K811-IF(E$52&gt;0,'Assumptions and Catalog'!$C$26*C811,0)</f>
        <v>-1.13686837721616E-013</v>
      </c>
      <c r="T811" s="5"/>
      <c r="U811" s="5"/>
    </row>
    <row r="812" ht="23.100000381469727" customHeight="1">
      <c r="A812" s="5" t="n">
        <v>13</v>
      </c>
      <c r="B812" s="5" t="n">
        <v>8</v>
      </c>
      <c r="C812" s="5" t="n">
        <f>DAY(DATE('Assumptions and Catalog'!$C$24+A812-1,B812+1,0))</f>
        <v>31</v>
      </c>
      <c r="D812" s="5" t="n">
        <f>IF(ISNUMBER(Inputs!$L$5),Inputs!$L$5*Inputs!$L$6,0)</f>
        <v>40.35</v>
      </c>
      <c r="E812" s="5" t="n">
        <f>IF(ISNUMBER(Inputs!$L$5),Inputs!$L$5-D812,0)</f>
        <v>40.35</v>
      </c>
      <c r="F812" s="5" t="n">
        <f>E$51*INDEX('Solar Production'!$D$20:$D$31,B812)*C812*(1-'Assumptions and Catalog'!$C$10)^(A812-1)</f>
        <v>1727.6895261265</v>
      </c>
      <c r="G812" s="5" t="n">
        <f>MIN(F812,D812*C812)</f>
        <v>1250.85</v>
      </c>
      <c r="H812" s="5" t="n">
        <f>I812/('Assumptions and Catalog'!$C$11*'Assumptions and Catalog'!$C$12)</f>
        <v>312.68653948718</v>
      </c>
      <c r="I812" s="5" t="n">
        <f>MIN(E812*C812,P812*'Assumptions and Catalog'!$C$12*C812,(F812-G812)*'Assumptions and Catalog'!$C$11*'Assumptions and Catalog'!$C$12,E$56*'Assumptions and Catalog'!$C$14*'Assumptions and Catalog'!$C$11*'Assumptions and Catalog'!$C$12*C812,E$57*(24-'Assumptions and Catalog'!$C$13)*C812)</f>
        <v>297.2476416</v>
      </c>
      <c r="J812" s="5" t="n">
        <f>MAX(F812-G812-H812,0)</f>
        <v>164.152986639317</v>
      </c>
      <c r="K812" s="5" t="n">
        <f>H812-I812</f>
        <v>15.4388978871795</v>
      </c>
      <c r="L812" s="5" t="n">
        <f>(D812+E812)*C812-G812-I812+0+IF(E$52&gt;0,'Assumptions and Catalog'!$C$26*C812,0)</f>
        <v>953.6023584</v>
      </c>
      <c r="M812" s="5" t="n">
        <f>IF(ISNUMBER(Inputs!$L$5),(IF(Inputs!$L$9="Actual flat rate",((D812+E812)*C812)*Inputs!$L$10,IF(Inputs!$C$9="Residential",IF(((D812+E812)*C812)&lt;='Assumptions and Catalog'!$C$50,((D812+E812)*C812)*'Assumptions and Catalog'!$H$50+'Assumptions and Catalog'!$E$50+'Assumptions and Catalog'!$F$50,IF(((D812+E812)*C812)&lt;='Assumptions and Catalog'!$C$51,((D812+E812)*C812)*'Assumptions and Catalog'!$H$51+'Assumptions and Catalog'!$E$51+'Assumptions and Catalog'!$F$51,IF(((D812+E812)*C812)&lt;='Assumptions and Catalog'!$C$52,((D812+E812)*C812)*'Assumptions and Catalog'!$H$52+'Assumptions and Catalog'!$E$52+'Assumptions and Catalog'!$F$52,IF(((D812+E812)*C812)&lt;='Assumptions and Catalog'!$C$53,((D812+E812)*C812)*'Assumptions and Catalog'!$H$53+'Assumptions and Catalog'!$E$53+'Assumptions and Catalog'!$F$53,IF(((D812+E812)*C812)&lt;='Assumptions and Catalog'!$C$54,((D812+E812)*C812)*'Assumptions and Catalog'!$H$54+'Assumptions and Catalog'!$E$54+'Assumptions and Catalog'!$F$54,IF(((D812+E812)*C812)&lt;='Assumptions and Catalog'!$C$55,((D812+E812)*C812)*'Assumptions and Catalog'!$H$55+'Assumptions and Catalog'!$E$55+'Assumptions and Catalog'!$F$55,IF(((D812+E812)*C812)&lt;='Assumptions and Catalog'!$C$56,((D812+E812)*C812)*'Assumptions and Catalog'!$H$56+'Assumptions and Catalog'!$E$56+'Assumptions and Catalog'!$F$56,IF(((D812+E812)*C812)&lt;='Assumptions and Catalog'!$C$57,((D812+E812)*C812)*'Assumptions and Catalog'!$H$57+'Assumptions and Catalog'!$E$57+'Assumptions and Catalog'!$F$57,"Out of range")))))))),IF(((D812+E812)*C812)&lt;='Assumptions and Catalog'!$C$60,((D812+E812)*C812)*'Assumptions and Catalog'!$H$60+'Assumptions and Catalog'!$E$60+'Assumptions and Catalog'!$F$60,IF(((D812+E812)*C812)&lt;='Assumptions and Catalog'!$C$61,((D812+E812)*C812)*'Assumptions and Catalog'!$H$61+'Assumptions and Catalog'!$E$61+'Assumptions and Catalog'!$F$61,IF(((D812+E812)*C812)&lt;='Assumptions and Catalog'!$C$62,((D812+E812)*C812)*'Assumptions and Catalog'!$H$62+'Assumptions and Catalog'!$E$62+'Assumptions and Catalog'!$F$62,IF(((D812+E812)*C812)&lt;='Assumptions and Catalog'!$C$63,((D812+E812)*C812)*'Assumptions and Catalog'!$H$63+'Assumptions and Catalog'!$E$63+'Assumptions and Catalog'!$F$63,IF(((D812+E812)*C812)&lt;='Assumptions and Catalog'!$C$64,((D812+E812)*C812)*'Assumptions and Catalog'!$H$64+'Assumptions and Catalog'!$E$64+'Assumptions and Catalog'!$F$64,IF(((D812+E812)*C812)&lt;='Assumptions and Catalog'!$C$65,((D812+E812)*C812)*'Assumptions and Catalog'!$H$65+'Assumptions and Catalog'!$E$65+'Assumptions and Catalog'!$F$65,"Out of range")))))))))*(1+'Assumptions and Catalog'!$C$8)^(A812-1),0)</f>
        <v>7094.794</v>
      </c>
      <c r="N812" s="5" t="n">
        <f>IF(ISNUMBER(Inputs!$L$5),(IF(Inputs!$L$9="Actual flat rate",L812*Inputs!$L$10,IF(Inputs!$C$9="Residential",IF(L812&lt;='Assumptions and Catalog'!$C$50,L812*'Assumptions and Catalog'!$H$50+'Assumptions and Catalog'!$E$50+'Assumptions and Catalog'!$F$50,IF(L812&lt;='Assumptions and Catalog'!$C$51,L812*'Assumptions and Catalog'!$H$51+'Assumptions and Catalog'!$E$51+'Assumptions and Catalog'!$F$51,IF(L812&lt;='Assumptions and Catalog'!$C$52,L812*'Assumptions and Catalog'!$H$52+'Assumptions and Catalog'!$E$52+'Assumptions and Catalog'!$F$52,IF(L812&lt;='Assumptions and Catalog'!$C$53,L812*'Assumptions and Catalog'!$H$53+'Assumptions and Catalog'!$E$53+'Assumptions and Catalog'!$F$53,IF(L812&lt;='Assumptions and Catalog'!$C$54,L812*'Assumptions and Catalog'!$H$54+'Assumptions and Catalog'!$E$54+'Assumptions and Catalog'!$F$54,IF(L812&lt;='Assumptions and Catalog'!$C$55,L812*'Assumptions and Catalog'!$H$55+'Assumptions and Catalog'!$E$55+'Assumptions and Catalog'!$F$55,IF(L812&lt;='Assumptions and Catalog'!$C$56,L812*'Assumptions and Catalog'!$H$56+'Assumptions and Catalog'!$E$56+'Assumptions and Catalog'!$F$56,IF(L812&lt;='Assumptions and Catalog'!$C$57,L812*'Assumptions and Catalog'!$H$57+'Assumptions and Catalog'!$E$57+'Assumptions and Catalog'!$F$57,"Out of range")))))))),IF(L812&lt;='Assumptions and Catalog'!$C$60,L812*'Assumptions and Catalog'!$H$60+'Assumptions and Catalog'!$E$60+'Assumptions and Catalog'!$F$60,IF(L812&lt;='Assumptions and Catalog'!$C$61,L812*'Assumptions and Catalog'!$H$61+'Assumptions and Catalog'!$E$61+'Assumptions and Catalog'!$F$61,IF(L812&lt;='Assumptions and Catalog'!$C$62,L812*'Assumptions and Catalog'!$H$62+'Assumptions and Catalog'!$E$62+'Assumptions and Catalog'!$F$62,IF(L812&lt;='Assumptions and Catalog'!$C$63,L812*'Assumptions and Catalog'!$H$63+'Assumptions and Catalog'!$E$63+'Assumptions and Catalog'!$F$63,IF(L812&lt;='Assumptions and Catalog'!$C$64,L812*'Assumptions and Catalog'!$H$64+'Assumptions and Catalog'!$E$64+'Assumptions and Catalog'!$F$64,IF(L812&lt;='Assumptions and Catalog'!$C$65,L812*'Assumptions and Catalog'!$H$65+'Assumptions and Catalog'!$E$65+'Assumptions and Catalog'!$F$65,"Out of range")))))))))*(1+'Assumptions and Catalog'!$C$8)^(A812-1),0)</f>
        <v>2606.478532768</v>
      </c>
      <c r="O812" s="5" t="n">
        <f>M812-N812</f>
        <v>4488.315467232</v>
      </c>
      <c r="P812" s="5" t="n">
        <f>E$55*(1-L$14)*(1-'Assumptions and Catalog'!$C$23)^R812</f>
        <v>9.834496</v>
      </c>
      <c r="Q812" s="5" t="n">
        <f>IF(ISNUMBER(Inputs!$L$5),(IF(Inputs!$L$9="Actual flat rate",((D812+E812)*C812-G812)*Inputs!$L$10,IF(Inputs!$C$9="Residential",IF(((D812+E812)*C812-G812)&lt;='Assumptions and Catalog'!$C$50,((D812+E812)*C812-G812)*'Assumptions and Catalog'!$H$50+'Assumptions and Catalog'!$E$50+'Assumptions and Catalog'!$F$50,IF(((D812+E812)*C812-G812)&lt;='Assumptions and Catalog'!$C$51,((D812+E812)*C812-G812)*'Assumptions and Catalog'!$H$51+'Assumptions and Catalog'!$E$51+'Assumptions and Catalog'!$F$51,IF(((D812+E812)*C812-G812)&lt;='Assumptions and Catalog'!$C$52,((D812+E812)*C812-G812)*'Assumptions and Catalog'!$H$52+'Assumptions and Catalog'!$E$52+'Assumptions and Catalog'!$F$52,IF(((D812+E812)*C812-G812)&lt;='Assumptions and Catalog'!$C$53,((D812+E812)*C812-G812)*'Assumptions and Catalog'!$H$53+'Assumptions and Catalog'!$E$53+'Assumptions and Catalog'!$F$53,IF(((D812+E812)*C812-G812)&lt;='Assumptions and Catalog'!$C$54,((D812+E812)*C812-G812)*'Assumptions and Catalog'!$H$54+'Assumptions and Catalog'!$E$54+'Assumptions and Catalog'!$F$54,IF(((D812+E812)*C812-G812)&lt;='Assumptions and Catalog'!$C$55,((D812+E812)*C812-G812)*'Assumptions and Catalog'!$H$55+'Assumptions and Catalog'!$E$55+'Assumptions and Catalog'!$F$55,IF(((D812+E812)*C812-G812)&lt;='Assumptions and Catalog'!$C$56,((D812+E812)*C812-G812)*'Assumptions and Catalog'!$H$56+'Assumptions and Catalog'!$E$56+'Assumptions and Catalog'!$F$56,IF(((D812+E812)*C812-G812)&lt;='Assumptions and Catalog'!$C$57,((D812+E812)*C812-G812)*'Assumptions and Catalog'!$H$57+'Assumptions and Catalog'!$E$57+'Assumptions and Catalog'!$F$57,"Out of range")))))))),IF(((D812+E812)*C812-G812)&lt;='Assumptions and Catalog'!$C$60,((D812+E812)*C812-G812)*'Assumptions and Catalog'!$H$60+'Assumptions and Catalog'!$E$60+'Assumptions and Catalog'!$F$60,IF(((D812+E812)*C812-G812)&lt;='Assumptions and Catalog'!$C$61,((D812+E812)*C812-G812)*'Assumptions and Catalog'!$H$61+'Assumptions and Catalog'!$E$61+'Assumptions and Catalog'!$F$61,IF(((D812+E812)*C812-G812)&lt;='Assumptions and Catalog'!$C$62,((D812+E812)*C812-G812)*'Assumptions and Catalog'!$H$62+'Assumptions and Catalog'!$E$62+'Assumptions and Catalog'!$F$62,IF(((D812+E812)*C812-G812)&lt;='Assumptions and Catalog'!$C$63,((D812+E812)*C812-G812)*'Assumptions and Catalog'!$H$63+'Assumptions and Catalog'!$E$63+'Assumptions and Catalog'!$F$63,IF(((D812+E812)*C812-G812)&lt;='Assumptions and Catalog'!$C$64,((D812+E812)*C812-G812)*'Assumptions and Catalog'!$H$64+'Assumptions and Catalog'!$E$64+'Assumptions and Catalog'!$F$64,IF(((D812+E812)*C812-G812)&lt;='Assumptions and Catalog'!$C$65,((D812+E812)*C812-G812)*'Assumptions and Catalog'!$H$65+'Assumptions and Catalog'!$E$65+'Assumptions and Catalog'!$F$65,"Out of range")))))))))*(1+'Assumptions and Catalog'!$C$8)^(A812-1),0)</f>
        <v>3567.397</v>
      </c>
      <c r="R812" s="5" t="n">
        <f>IF(AND('Assumptions and Catalog'!$C$19&gt;0,A812&gt;='Assumptions and Catalog'!$C$19),A812-'Assumptions and Catalog'!$C$19,A812-1)</f>
        <v>2</v>
      </c>
      <c r="S812" s="5" t="n">
        <f>F812+L812-(D812+E812)*C812-J812-K812-IF(E$52&gt;0,'Assumptions and Catalog'!$C$26*C812,0)</f>
        <v>1.13686837721616E-013</v>
      </c>
      <c r="T812" s="5"/>
      <c r="U812" s="5"/>
    </row>
    <row r="813" ht="23.100000381469727" customHeight="1">
      <c r="A813" s="5" t="n">
        <v>13</v>
      </c>
      <c r="B813" s="5" t="n">
        <v>9</v>
      </c>
      <c r="C813" s="5" t="n">
        <f>DAY(DATE('Assumptions and Catalog'!$C$24+A813-1,B813+1,0))</f>
        <v>30</v>
      </c>
      <c r="D813" s="5" t="n">
        <f>IF(ISNUMBER(Inputs!$L$5),Inputs!$L$5*Inputs!$L$6,0)</f>
        <v>40.35</v>
      </c>
      <c r="E813" s="5" t="n">
        <f>IF(ISNUMBER(Inputs!$L$5),Inputs!$L$5-D813,0)</f>
        <v>40.35</v>
      </c>
      <c r="F813" s="5" t="n">
        <f>E$51*INDEX('Solar Production'!$D$20:$D$31,B813)*C813*(1-'Assumptions and Catalog'!$C$10)^(A813-1)</f>
        <v>1667.61399104536</v>
      </c>
      <c r="G813" s="5" t="n">
        <f>MIN(F813,D813*C813)</f>
        <v>1210.5</v>
      </c>
      <c r="H813" s="5" t="n">
        <f>I813/('Assumptions and Catalog'!$C$11*'Assumptions and Catalog'!$C$12)</f>
        <v>302.599876923077</v>
      </c>
      <c r="I813" s="5" t="n">
        <f>MIN(E813*C813,P813*'Assumptions and Catalog'!$C$12*C813,(F813-G813)*'Assumptions and Catalog'!$C$11*'Assumptions and Catalog'!$C$12,E$56*'Assumptions and Catalog'!$C$14*'Assumptions and Catalog'!$C$11*'Assumptions and Catalog'!$C$12*C813,E$57*(24-'Assumptions and Catalog'!$C$13)*C813)</f>
        <v>287.659008</v>
      </c>
      <c r="J813" s="5" t="n">
        <f>MAX(F813-G813-H813,0)</f>
        <v>154.514114122282</v>
      </c>
      <c r="K813" s="5" t="n">
        <f>H813-I813</f>
        <v>14.9408689230769</v>
      </c>
      <c r="L813" s="5" t="n">
        <f>(D813+E813)*C813-G813-I813+0+IF(E$52&gt;0,'Assumptions and Catalog'!$C$26*C813,0)</f>
        <v>922.840992</v>
      </c>
      <c r="M813" s="5" t="n">
        <f>IF(ISNUMBER(Inputs!$L$5),(IF(Inputs!$L$9="Actual flat rate",((D813+E813)*C813)*Inputs!$L$10,IF(Inputs!$C$9="Residential",IF(((D813+E813)*C813)&lt;='Assumptions and Catalog'!$C$50,((D813+E813)*C813)*'Assumptions and Catalog'!$H$50+'Assumptions and Catalog'!$E$50+'Assumptions and Catalog'!$F$50,IF(((D813+E813)*C813)&lt;='Assumptions and Catalog'!$C$51,((D813+E813)*C813)*'Assumptions and Catalog'!$H$51+'Assumptions and Catalog'!$E$51+'Assumptions and Catalog'!$F$51,IF(((D813+E813)*C813)&lt;='Assumptions and Catalog'!$C$52,((D813+E813)*C813)*'Assumptions and Catalog'!$H$52+'Assumptions and Catalog'!$E$52+'Assumptions and Catalog'!$F$52,IF(((D813+E813)*C813)&lt;='Assumptions and Catalog'!$C$53,((D813+E813)*C813)*'Assumptions and Catalog'!$H$53+'Assumptions and Catalog'!$E$53+'Assumptions and Catalog'!$F$53,IF(((D813+E813)*C813)&lt;='Assumptions and Catalog'!$C$54,((D813+E813)*C813)*'Assumptions and Catalog'!$H$54+'Assumptions and Catalog'!$E$54+'Assumptions and Catalog'!$F$54,IF(((D813+E813)*C813)&lt;='Assumptions and Catalog'!$C$55,((D813+E813)*C813)*'Assumptions and Catalog'!$H$55+'Assumptions and Catalog'!$E$55+'Assumptions and Catalog'!$F$55,IF(((D813+E813)*C813)&lt;='Assumptions and Catalog'!$C$56,((D813+E813)*C813)*'Assumptions and Catalog'!$H$56+'Assumptions and Catalog'!$E$56+'Assumptions and Catalog'!$F$56,IF(((D813+E813)*C813)&lt;='Assumptions and Catalog'!$C$57,((D813+E813)*C813)*'Assumptions and Catalog'!$H$57+'Assumptions and Catalog'!$E$57+'Assumptions and Catalog'!$F$57,"Out of range")))))))),IF(((D813+E813)*C813)&lt;='Assumptions and Catalog'!$C$60,((D813+E813)*C813)*'Assumptions and Catalog'!$H$60+'Assumptions and Catalog'!$E$60+'Assumptions and Catalog'!$F$60,IF(((D813+E813)*C813)&lt;='Assumptions and Catalog'!$C$61,((D813+E813)*C813)*'Assumptions and Catalog'!$H$61+'Assumptions and Catalog'!$E$61+'Assumptions and Catalog'!$F$61,IF(((D813+E813)*C813)&lt;='Assumptions and Catalog'!$C$62,((D813+E813)*C813)*'Assumptions and Catalog'!$H$62+'Assumptions and Catalog'!$E$62+'Assumptions and Catalog'!$F$62,IF(((D813+E813)*C813)&lt;='Assumptions and Catalog'!$C$63,((D813+E813)*C813)*'Assumptions and Catalog'!$H$63+'Assumptions and Catalog'!$E$63+'Assumptions and Catalog'!$F$63,IF(((D813+E813)*C813)&lt;='Assumptions and Catalog'!$C$64,((D813+E813)*C813)*'Assumptions and Catalog'!$H$64+'Assumptions and Catalog'!$E$64+'Assumptions and Catalog'!$F$64,IF(((D813+E813)*C813)&lt;='Assumptions and Catalog'!$C$65,((D813+E813)*C813)*'Assumptions and Catalog'!$H$65+'Assumptions and Catalog'!$E$65+'Assumptions and Catalog'!$F$65,"Out of range")))))))))*(1+'Assumptions and Catalog'!$C$8)^(A813-1),0)</f>
        <v>6867.22</v>
      </c>
      <c r="N813" s="5" t="n">
        <f>IF(ISNUMBER(Inputs!$L$5),(IF(Inputs!$L$9="Actual flat rate",L813*Inputs!$L$10,IF(Inputs!$C$9="Residential",IF(L813&lt;='Assumptions and Catalog'!$C$50,L813*'Assumptions and Catalog'!$H$50+'Assumptions and Catalog'!$E$50+'Assumptions and Catalog'!$F$50,IF(L813&lt;='Assumptions and Catalog'!$C$51,L813*'Assumptions and Catalog'!$H$51+'Assumptions and Catalog'!$E$51+'Assumptions and Catalog'!$F$51,IF(L813&lt;='Assumptions and Catalog'!$C$52,L813*'Assumptions and Catalog'!$H$52+'Assumptions and Catalog'!$E$52+'Assumptions and Catalog'!$F$52,IF(L813&lt;='Assumptions and Catalog'!$C$53,L813*'Assumptions and Catalog'!$H$53+'Assumptions and Catalog'!$E$53+'Assumptions and Catalog'!$F$53,IF(L813&lt;='Assumptions and Catalog'!$C$54,L813*'Assumptions and Catalog'!$H$54+'Assumptions and Catalog'!$E$54+'Assumptions and Catalog'!$F$54,IF(L813&lt;='Assumptions and Catalog'!$C$55,L813*'Assumptions and Catalog'!$H$55+'Assumptions and Catalog'!$E$55+'Assumptions and Catalog'!$F$55,IF(L813&lt;='Assumptions and Catalog'!$C$56,L813*'Assumptions and Catalog'!$H$56+'Assumptions and Catalog'!$E$56+'Assumptions and Catalog'!$F$56,IF(L813&lt;='Assumptions and Catalog'!$C$57,L813*'Assumptions and Catalog'!$H$57+'Assumptions and Catalog'!$E$57+'Assumptions and Catalog'!$F$57,"Out of range")))))))),IF(L813&lt;='Assumptions and Catalog'!$C$60,L813*'Assumptions and Catalog'!$H$60+'Assumptions and Catalog'!$E$60+'Assumptions and Catalog'!$F$60,IF(L813&lt;='Assumptions and Catalog'!$C$61,L813*'Assumptions and Catalog'!$H$61+'Assumptions and Catalog'!$E$61+'Assumptions and Catalog'!$F$61,IF(L813&lt;='Assumptions and Catalog'!$C$62,L813*'Assumptions and Catalog'!$H$62+'Assumptions and Catalog'!$E$62+'Assumptions and Catalog'!$F$62,IF(L813&lt;='Assumptions and Catalog'!$C$63,L813*'Assumptions and Catalog'!$H$63+'Assumptions and Catalog'!$E$63+'Assumptions and Catalog'!$F$63,IF(L813&lt;='Assumptions and Catalog'!$C$64,L813*'Assumptions and Catalog'!$H$64+'Assumptions and Catalog'!$E$64+'Assumptions and Catalog'!$F$64,IF(L813&lt;='Assumptions and Catalog'!$C$65,L813*'Assumptions and Catalog'!$H$65+'Assumptions and Catalog'!$E$65+'Assumptions and Catalog'!$F$65,"Out of range")))))))))*(1+'Assumptions and Catalog'!$C$8)^(A813-1),0)</f>
        <v>2521.26954784</v>
      </c>
      <c r="O813" s="5" t="n">
        <f>M813-N813</f>
        <v>4345.95045216</v>
      </c>
      <c r="P813" s="5" t="n">
        <f>E$55*(1-L$14)*(1-'Assumptions and Catalog'!$C$23)^R813</f>
        <v>9.834496</v>
      </c>
      <c r="Q813" s="5" t="n">
        <f>IF(ISNUMBER(Inputs!$L$5),(IF(Inputs!$L$9="Actual flat rate",((D813+E813)*C813-G813)*Inputs!$L$10,IF(Inputs!$C$9="Residential",IF(((D813+E813)*C813-G813)&lt;='Assumptions and Catalog'!$C$50,((D813+E813)*C813-G813)*'Assumptions and Catalog'!$H$50+'Assumptions and Catalog'!$E$50+'Assumptions and Catalog'!$F$50,IF(((D813+E813)*C813-G813)&lt;='Assumptions and Catalog'!$C$51,((D813+E813)*C813-G813)*'Assumptions and Catalog'!$H$51+'Assumptions and Catalog'!$E$51+'Assumptions and Catalog'!$F$51,IF(((D813+E813)*C813-G813)&lt;='Assumptions and Catalog'!$C$52,((D813+E813)*C813-G813)*'Assumptions and Catalog'!$H$52+'Assumptions and Catalog'!$E$52+'Assumptions and Catalog'!$F$52,IF(((D813+E813)*C813-G813)&lt;='Assumptions and Catalog'!$C$53,((D813+E813)*C813-G813)*'Assumptions and Catalog'!$H$53+'Assumptions and Catalog'!$E$53+'Assumptions and Catalog'!$F$53,IF(((D813+E813)*C813-G813)&lt;='Assumptions and Catalog'!$C$54,((D813+E813)*C813-G813)*'Assumptions and Catalog'!$H$54+'Assumptions and Catalog'!$E$54+'Assumptions and Catalog'!$F$54,IF(((D813+E813)*C813-G813)&lt;='Assumptions and Catalog'!$C$55,((D813+E813)*C813-G813)*'Assumptions and Catalog'!$H$55+'Assumptions and Catalog'!$E$55+'Assumptions and Catalog'!$F$55,IF(((D813+E813)*C813-G813)&lt;='Assumptions and Catalog'!$C$56,((D813+E813)*C813-G813)*'Assumptions and Catalog'!$H$56+'Assumptions and Catalog'!$E$56+'Assumptions and Catalog'!$F$56,IF(((D813+E813)*C813-G813)&lt;='Assumptions and Catalog'!$C$57,((D813+E813)*C813-G813)*'Assumptions and Catalog'!$H$57+'Assumptions and Catalog'!$E$57+'Assumptions and Catalog'!$F$57,"Out of range")))))))),IF(((D813+E813)*C813-G813)&lt;='Assumptions and Catalog'!$C$60,((D813+E813)*C813-G813)*'Assumptions and Catalog'!$H$60+'Assumptions and Catalog'!$E$60+'Assumptions and Catalog'!$F$60,IF(((D813+E813)*C813-G813)&lt;='Assumptions and Catalog'!$C$61,((D813+E813)*C813-G813)*'Assumptions and Catalog'!$H$61+'Assumptions and Catalog'!$E$61+'Assumptions and Catalog'!$F$61,IF(((D813+E813)*C813-G813)&lt;='Assumptions and Catalog'!$C$62,((D813+E813)*C813-G813)*'Assumptions and Catalog'!$H$62+'Assumptions and Catalog'!$E$62+'Assumptions and Catalog'!$F$62,IF(((D813+E813)*C813-G813)&lt;='Assumptions and Catalog'!$C$63,((D813+E813)*C813-G813)*'Assumptions and Catalog'!$H$63+'Assumptions and Catalog'!$E$63+'Assumptions and Catalog'!$F$63,IF(((D813+E813)*C813-G813)&lt;='Assumptions and Catalog'!$C$64,((D813+E813)*C813-G813)*'Assumptions and Catalog'!$H$64+'Assumptions and Catalog'!$E$64+'Assumptions and Catalog'!$F$64,IF(((D813+E813)*C813-G813)&lt;='Assumptions and Catalog'!$C$65,((D813+E813)*C813-G813)*'Assumptions and Catalog'!$H$65+'Assumptions and Catalog'!$E$65+'Assumptions and Catalog'!$F$65,"Out of range")))))))))*(1+'Assumptions and Catalog'!$C$8)^(A813-1),0)</f>
        <v>3453.61</v>
      </c>
      <c r="R813" s="5" t="n">
        <f>IF(AND('Assumptions and Catalog'!$C$19&gt;0,A813&gt;='Assumptions and Catalog'!$C$19),A813-'Assumptions and Catalog'!$C$19,A813-1)</f>
        <v>2</v>
      </c>
      <c r="S813" s="5" t="n">
        <f>F813+L813-(D813+E813)*C813-J813-K813-IF(E$52&gt;0,'Assumptions and Catalog'!$C$26*C813,0)</f>
        <v>-5.6843418860808E-014</v>
      </c>
      <c r="T813" s="5"/>
      <c r="U813" s="5"/>
    </row>
    <row r="814" ht="23.100000381469727" customHeight="1">
      <c r="A814" s="5" t="n">
        <v>13</v>
      </c>
      <c r="B814" s="5" t="n">
        <v>10</v>
      </c>
      <c r="C814" s="5" t="n">
        <f>DAY(DATE('Assumptions and Catalog'!$C$24+A814-1,B814+1,0))</f>
        <v>31</v>
      </c>
      <c r="D814" s="5" t="n">
        <f>IF(ISNUMBER(Inputs!$L$5),Inputs!$L$5*Inputs!$L$6,0)</f>
        <v>40.35</v>
      </c>
      <c r="E814" s="5" t="n">
        <f>IF(ISNUMBER(Inputs!$L$5),Inputs!$L$5-D814,0)</f>
        <v>40.35</v>
      </c>
      <c r="F814" s="5" t="n">
        <f>E$51*INDEX('Solar Production'!$D$20:$D$31,B814)*C814*(1-'Assumptions and Catalog'!$C$10)^(A814-1)</f>
        <v>1600.59869587726</v>
      </c>
      <c r="G814" s="5" t="n">
        <f>MIN(F814,D814*C814)</f>
        <v>1250.85</v>
      </c>
      <c r="H814" s="5" t="n">
        <f>I814/('Assumptions and Catalog'!$C$11*'Assumptions and Catalog'!$C$12)</f>
        <v>312.68653948718</v>
      </c>
      <c r="I814" s="5" t="n">
        <f>MIN(E814*C814,P814*'Assumptions and Catalog'!$C$12*C814,(F814-G814)*'Assumptions and Catalog'!$C$11*'Assumptions and Catalog'!$C$12,E$56*'Assumptions and Catalog'!$C$14*'Assumptions and Catalog'!$C$11*'Assumptions and Catalog'!$C$12*C814,E$57*(24-'Assumptions and Catalog'!$C$13)*C814)</f>
        <v>297.2476416</v>
      </c>
      <c r="J814" s="5" t="n">
        <f>MAX(F814-G814-H814,0)</f>
        <v>37.0621563900838</v>
      </c>
      <c r="K814" s="5" t="n">
        <f>H814-I814</f>
        <v>15.4388978871795</v>
      </c>
      <c r="L814" s="5" t="n">
        <f>(D814+E814)*C814-G814-I814+0+IF(E$52&gt;0,'Assumptions and Catalog'!$C$26*C814,0)</f>
        <v>953.6023584</v>
      </c>
      <c r="M814" s="5" t="n">
        <f>IF(ISNUMBER(Inputs!$L$5),(IF(Inputs!$L$9="Actual flat rate",((D814+E814)*C814)*Inputs!$L$10,IF(Inputs!$C$9="Residential",IF(((D814+E814)*C814)&lt;='Assumptions and Catalog'!$C$50,((D814+E814)*C814)*'Assumptions and Catalog'!$H$50+'Assumptions and Catalog'!$E$50+'Assumptions and Catalog'!$F$50,IF(((D814+E814)*C814)&lt;='Assumptions and Catalog'!$C$51,((D814+E814)*C814)*'Assumptions and Catalog'!$H$51+'Assumptions and Catalog'!$E$51+'Assumptions and Catalog'!$F$51,IF(((D814+E814)*C814)&lt;='Assumptions and Catalog'!$C$52,((D814+E814)*C814)*'Assumptions and Catalog'!$H$52+'Assumptions and Catalog'!$E$52+'Assumptions and Catalog'!$F$52,IF(((D814+E814)*C814)&lt;='Assumptions and Catalog'!$C$53,((D814+E814)*C814)*'Assumptions and Catalog'!$H$53+'Assumptions and Catalog'!$E$53+'Assumptions and Catalog'!$F$53,IF(((D814+E814)*C814)&lt;='Assumptions and Catalog'!$C$54,((D814+E814)*C814)*'Assumptions and Catalog'!$H$54+'Assumptions and Catalog'!$E$54+'Assumptions and Catalog'!$F$54,IF(((D814+E814)*C814)&lt;='Assumptions and Catalog'!$C$55,((D814+E814)*C814)*'Assumptions and Catalog'!$H$55+'Assumptions and Catalog'!$E$55+'Assumptions and Catalog'!$F$55,IF(((D814+E814)*C814)&lt;='Assumptions and Catalog'!$C$56,((D814+E814)*C814)*'Assumptions and Catalog'!$H$56+'Assumptions and Catalog'!$E$56+'Assumptions and Catalog'!$F$56,IF(((D814+E814)*C814)&lt;='Assumptions and Catalog'!$C$57,((D814+E814)*C814)*'Assumptions and Catalog'!$H$57+'Assumptions and Catalog'!$E$57+'Assumptions and Catalog'!$F$57,"Out of range")))))))),IF(((D814+E814)*C814)&lt;='Assumptions and Catalog'!$C$60,((D814+E814)*C814)*'Assumptions and Catalog'!$H$60+'Assumptions and Catalog'!$E$60+'Assumptions and Catalog'!$F$60,IF(((D814+E814)*C814)&lt;='Assumptions and Catalog'!$C$61,((D814+E814)*C814)*'Assumptions and Catalog'!$H$61+'Assumptions and Catalog'!$E$61+'Assumptions and Catalog'!$F$61,IF(((D814+E814)*C814)&lt;='Assumptions and Catalog'!$C$62,((D814+E814)*C814)*'Assumptions and Catalog'!$H$62+'Assumptions and Catalog'!$E$62+'Assumptions and Catalog'!$F$62,IF(((D814+E814)*C814)&lt;='Assumptions and Catalog'!$C$63,((D814+E814)*C814)*'Assumptions and Catalog'!$H$63+'Assumptions and Catalog'!$E$63+'Assumptions and Catalog'!$F$63,IF(((D814+E814)*C814)&lt;='Assumptions and Catalog'!$C$64,((D814+E814)*C814)*'Assumptions and Catalog'!$H$64+'Assumptions and Catalog'!$E$64+'Assumptions and Catalog'!$F$64,IF(((D814+E814)*C814)&lt;='Assumptions and Catalog'!$C$65,((D814+E814)*C814)*'Assumptions and Catalog'!$H$65+'Assumptions and Catalog'!$E$65+'Assumptions and Catalog'!$F$65,"Out of range")))))))))*(1+'Assumptions and Catalog'!$C$8)^(A814-1),0)</f>
        <v>7094.794</v>
      </c>
      <c r="N814" s="5" t="n">
        <f>IF(ISNUMBER(Inputs!$L$5),(IF(Inputs!$L$9="Actual flat rate",L814*Inputs!$L$10,IF(Inputs!$C$9="Residential",IF(L814&lt;='Assumptions and Catalog'!$C$50,L814*'Assumptions and Catalog'!$H$50+'Assumptions and Catalog'!$E$50+'Assumptions and Catalog'!$F$50,IF(L814&lt;='Assumptions and Catalog'!$C$51,L814*'Assumptions and Catalog'!$H$51+'Assumptions and Catalog'!$E$51+'Assumptions and Catalog'!$F$51,IF(L814&lt;='Assumptions and Catalog'!$C$52,L814*'Assumptions and Catalog'!$H$52+'Assumptions and Catalog'!$E$52+'Assumptions and Catalog'!$F$52,IF(L814&lt;='Assumptions and Catalog'!$C$53,L814*'Assumptions and Catalog'!$H$53+'Assumptions and Catalog'!$E$53+'Assumptions and Catalog'!$F$53,IF(L814&lt;='Assumptions and Catalog'!$C$54,L814*'Assumptions and Catalog'!$H$54+'Assumptions and Catalog'!$E$54+'Assumptions and Catalog'!$F$54,IF(L814&lt;='Assumptions and Catalog'!$C$55,L814*'Assumptions and Catalog'!$H$55+'Assumptions and Catalog'!$E$55+'Assumptions and Catalog'!$F$55,IF(L814&lt;='Assumptions and Catalog'!$C$56,L814*'Assumptions and Catalog'!$H$56+'Assumptions and Catalog'!$E$56+'Assumptions and Catalog'!$F$56,IF(L814&lt;='Assumptions and Catalog'!$C$57,L814*'Assumptions and Catalog'!$H$57+'Assumptions and Catalog'!$E$57+'Assumptions and Catalog'!$F$57,"Out of range")))))))),IF(L814&lt;='Assumptions and Catalog'!$C$60,L814*'Assumptions and Catalog'!$H$60+'Assumptions and Catalog'!$E$60+'Assumptions and Catalog'!$F$60,IF(L814&lt;='Assumptions and Catalog'!$C$61,L814*'Assumptions and Catalog'!$H$61+'Assumptions and Catalog'!$E$61+'Assumptions and Catalog'!$F$61,IF(L814&lt;='Assumptions and Catalog'!$C$62,L814*'Assumptions and Catalog'!$H$62+'Assumptions and Catalog'!$E$62+'Assumptions and Catalog'!$F$62,IF(L814&lt;='Assumptions and Catalog'!$C$63,L814*'Assumptions and Catalog'!$H$63+'Assumptions and Catalog'!$E$63+'Assumptions and Catalog'!$F$63,IF(L814&lt;='Assumptions and Catalog'!$C$64,L814*'Assumptions and Catalog'!$H$64+'Assumptions and Catalog'!$E$64+'Assumptions and Catalog'!$F$64,IF(L814&lt;='Assumptions and Catalog'!$C$65,L814*'Assumptions and Catalog'!$H$65+'Assumptions and Catalog'!$E$65+'Assumptions and Catalog'!$F$65,"Out of range")))))))))*(1+'Assumptions and Catalog'!$C$8)^(A814-1),0)</f>
        <v>2606.478532768</v>
      </c>
      <c r="O814" s="5" t="n">
        <f>M814-N814</f>
        <v>4488.315467232</v>
      </c>
      <c r="P814" s="5" t="n">
        <f>E$55*(1-L$14)*(1-'Assumptions and Catalog'!$C$23)^R814</f>
        <v>9.834496</v>
      </c>
      <c r="Q814" s="5" t="n">
        <f>IF(ISNUMBER(Inputs!$L$5),(IF(Inputs!$L$9="Actual flat rate",((D814+E814)*C814-G814)*Inputs!$L$10,IF(Inputs!$C$9="Residential",IF(((D814+E814)*C814-G814)&lt;='Assumptions and Catalog'!$C$50,((D814+E814)*C814-G814)*'Assumptions and Catalog'!$H$50+'Assumptions and Catalog'!$E$50+'Assumptions and Catalog'!$F$50,IF(((D814+E814)*C814-G814)&lt;='Assumptions and Catalog'!$C$51,((D814+E814)*C814-G814)*'Assumptions and Catalog'!$H$51+'Assumptions and Catalog'!$E$51+'Assumptions and Catalog'!$F$51,IF(((D814+E814)*C814-G814)&lt;='Assumptions and Catalog'!$C$52,((D814+E814)*C814-G814)*'Assumptions and Catalog'!$H$52+'Assumptions and Catalog'!$E$52+'Assumptions and Catalog'!$F$52,IF(((D814+E814)*C814-G814)&lt;='Assumptions and Catalog'!$C$53,((D814+E814)*C814-G814)*'Assumptions and Catalog'!$H$53+'Assumptions and Catalog'!$E$53+'Assumptions and Catalog'!$F$53,IF(((D814+E814)*C814-G814)&lt;='Assumptions and Catalog'!$C$54,((D814+E814)*C814-G814)*'Assumptions and Catalog'!$H$54+'Assumptions and Catalog'!$E$54+'Assumptions and Catalog'!$F$54,IF(((D814+E814)*C814-G814)&lt;='Assumptions and Catalog'!$C$55,((D814+E814)*C814-G814)*'Assumptions and Catalog'!$H$55+'Assumptions and Catalog'!$E$55+'Assumptions and Catalog'!$F$55,IF(((D814+E814)*C814-G814)&lt;='Assumptions and Catalog'!$C$56,((D814+E814)*C814-G814)*'Assumptions and Catalog'!$H$56+'Assumptions and Catalog'!$E$56+'Assumptions and Catalog'!$F$56,IF(((D814+E814)*C814-G814)&lt;='Assumptions and Catalog'!$C$57,((D814+E814)*C814-G814)*'Assumptions and Catalog'!$H$57+'Assumptions and Catalog'!$E$57+'Assumptions and Catalog'!$F$57,"Out of range")))))))),IF(((D814+E814)*C814-G814)&lt;='Assumptions and Catalog'!$C$60,((D814+E814)*C814-G814)*'Assumptions and Catalog'!$H$60+'Assumptions and Catalog'!$E$60+'Assumptions and Catalog'!$F$60,IF(((D814+E814)*C814-G814)&lt;='Assumptions and Catalog'!$C$61,((D814+E814)*C814-G814)*'Assumptions and Catalog'!$H$61+'Assumptions and Catalog'!$E$61+'Assumptions and Catalog'!$F$61,IF(((D814+E814)*C814-G814)&lt;='Assumptions and Catalog'!$C$62,((D814+E814)*C814-G814)*'Assumptions and Catalog'!$H$62+'Assumptions and Catalog'!$E$62+'Assumptions and Catalog'!$F$62,IF(((D814+E814)*C814-G814)&lt;='Assumptions and Catalog'!$C$63,((D814+E814)*C814-G814)*'Assumptions and Catalog'!$H$63+'Assumptions and Catalog'!$E$63+'Assumptions and Catalog'!$F$63,IF(((D814+E814)*C814-G814)&lt;='Assumptions and Catalog'!$C$64,((D814+E814)*C814-G814)*'Assumptions and Catalog'!$H$64+'Assumptions and Catalog'!$E$64+'Assumptions and Catalog'!$F$64,IF(((D814+E814)*C814-G814)&lt;='Assumptions and Catalog'!$C$65,((D814+E814)*C814-G814)*'Assumptions and Catalog'!$H$65+'Assumptions and Catalog'!$E$65+'Assumptions and Catalog'!$F$65,"Out of range")))))))))*(1+'Assumptions and Catalog'!$C$8)^(A814-1),0)</f>
        <v>3567.397</v>
      </c>
      <c r="R814" s="5" t="n">
        <f>IF(AND('Assumptions and Catalog'!$C$19&gt;0,A814&gt;='Assumptions and Catalog'!$C$19),A814-'Assumptions and Catalog'!$C$19,A814-1)</f>
        <v>2</v>
      </c>
      <c r="S814" s="5" t="n">
        <f>F814+L814-(D814+E814)*C814-J814-K814-IF(E$52&gt;0,'Assumptions and Catalog'!$C$26*C814,0)</f>
        <v>1.13686837721616E-013</v>
      </c>
      <c r="T814" s="5"/>
      <c r="U814" s="5"/>
    </row>
    <row r="815" ht="23.100000381469727" customHeight="1">
      <c r="A815" s="5" t="n">
        <v>13</v>
      </c>
      <c r="B815" s="5" t="n">
        <v>11</v>
      </c>
      <c r="C815" s="5" t="n">
        <f>DAY(DATE('Assumptions and Catalog'!$C$24+A815-1,B815+1,0))</f>
        <v>30</v>
      </c>
      <c r="D815" s="5" t="n">
        <f>IF(ISNUMBER(Inputs!$L$5),Inputs!$L$5*Inputs!$L$6,0)</f>
        <v>40.35</v>
      </c>
      <c r="E815" s="5" t="n">
        <f>IF(ISNUMBER(Inputs!$L$5),Inputs!$L$5-D815,0)</f>
        <v>40.35</v>
      </c>
      <c r="F815" s="5" t="n">
        <f>E$51*INDEX('Solar Production'!$D$20:$D$31,B815)*C815*(1-'Assumptions and Catalog'!$C$10)^(A815-1)</f>
        <v>1418.71483449368</v>
      </c>
      <c r="G815" s="5" t="n">
        <f>MIN(F815,D815*C815)</f>
        <v>1210.5</v>
      </c>
      <c r="H815" s="5" t="n">
        <f>I815/('Assumptions and Catalog'!$C$11*'Assumptions and Catalog'!$C$12)</f>
        <v>208.214834493682</v>
      </c>
      <c r="I815" s="5" t="n">
        <f>MIN(E815*C815,P815*'Assumptions and Catalog'!$C$12*C815,(F815-G815)*'Assumptions and Catalog'!$C$11*'Assumptions and Catalog'!$C$12,E$56*'Assumptions and Catalog'!$C$14*'Assumptions and Catalog'!$C$11*'Assumptions and Catalog'!$C$12*C815,E$57*(24-'Assumptions and Catalog'!$C$13)*C815)</f>
        <v>197.934227040557</v>
      </c>
      <c r="J815" s="5" t="n">
        <f>MAX(F815-G815-H815,0)</f>
        <v>0</v>
      </c>
      <c r="K815" s="5" t="n">
        <f>H815-I815</f>
        <v>10.2806074531256</v>
      </c>
      <c r="L815" s="5" t="n">
        <f>(D815+E815)*C815-G815-I815+0+IF(E$52&gt;0,'Assumptions and Catalog'!$C$26*C815,0)</f>
        <v>1012.56577295944</v>
      </c>
      <c r="M815" s="5" t="n">
        <f>IF(ISNUMBER(Inputs!$L$5),(IF(Inputs!$L$9="Actual flat rate",((D815+E815)*C815)*Inputs!$L$10,IF(Inputs!$C$9="Residential",IF(((D815+E815)*C815)&lt;='Assumptions and Catalog'!$C$50,((D815+E815)*C815)*'Assumptions and Catalog'!$H$50+'Assumptions and Catalog'!$E$50+'Assumptions and Catalog'!$F$50,IF(((D815+E815)*C815)&lt;='Assumptions and Catalog'!$C$51,((D815+E815)*C815)*'Assumptions and Catalog'!$H$51+'Assumptions and Catalog'!$E$51+'Assumptions and Catalog'!$F$51,IF(((D815+E815)*C815)&lt;='Assumptions and Catalog'!$C$52,((D815+E815)*C815)*'Assumptions and Catalog'!$H$52+'Assumptions and Catalog'!$E$52+'Assumptions and Catalog'!$F$52,IF(((D815+E815)*C815)&lt;='Assumptions and Catalog'!$C$53,((D815+E815)*C815)*'Assumptions and Catalog'!$H$53+'Assumptions and Catalog'!$E$53+'Assumptions and Catalog'!$F$53,IF(((D815+E815)*C815)&lt;='Assumptions and Catalog'!$C$54,((D815+E815)*C815)*'Assumptions and Catalog'!$H$54+'Assumptions and Catalog'!$E$54+'Assumptions and Catalog'!$F$54,IF(((D815+E815)*C815)&lt;='Assumptions and Catalog'!$C$55,((D815+E815)*C815)*'Assumptions and Catalog'!$H$55+'Assumptions and Catalog'!$E$55+'Assumptions and Catalog'!$F$55,IF(((D815+E815)*C815)&lt;='Assumptions and Catalog'!$C$56,((D815+E815)*C815)*'Assumptions and Catalog'!$H$56+'Assumptions and Catalog'!$E$56+'Assumptions and Catalog'!$F$56,IF(((D815+E815)*C815)&lt;='Assumptions and Catalog'!$C$57,((D815+E815)*C815)*'Assumptions and Catalog'!$H$57+'Assumptions and Catalog'!$E$57+'Assumptions and Catalog'!$F$57,"Out of range")))))))),IF(((D815+E815)*C815)&lt;='Assumptions and Catalog'!$C$60,((D815+E815)*C815)*'Assumptions and Catalog'!$H$60+'Assumptions and Catalog'!$E$60+'Assumptions and Catalog'!$F$60,IF(((D815+E815)*C815)&lt;='Assumptions and Catalog'!$C$61,((D815+E815)*C815)*'Assumptions and Catalog'!$H$61+'Assumptions and Catalog'!$E$61+'Assumptions and Catalog'!$F$61,IF(((D815+E815)*C815)&lt;='Assumptions and Catalog'!$C$62,((D815+E815)*C815)*'Assumptions and Catalog'!$H$62+'Assumptions and Catalog'!$E$62+'Assumptions and Catalog'!$F$62,IF(((D815+E815)*C815)&lt;='Assumptions and Catalog'!$C$63,((D815+E815)*C815)*'Assumptions and Catalog'!$H$63+'Assumptions and Catalog'!$E$63+'Assumptions and Catalog'!$F$63,IF(((D815+E815)*C815)&lt;='Assumptions and Catalog'!$C$64,((D815+E815)*C815)*'Assumptions and Catalog'!$H$64+'Assumptions and Catalog'!$E$64+'Assumptions and Catalog'!$F$64,IF(((D815+E815)*C815)&lt;='Assumptions and Catalog'!$C$65,((D815+E815)*C815)*'Assumptions and Catalog'!$H$65+'Assumptions and Catalog'!$E$65+'Assumptions and Catalog'!$F$65,"Out of range")))))))))*(1+'Assumptions and Catalog'!$C$8)^(A815-1),0)</f>
        <v>6867.22</v>
      </c>
      <c r="N815" s="5" t="n">
        <f>IF(ISNUMBER(Inputs!$L$5),(IF(Inputs!$L$9="Actual flat rate",L815*Inputs!$L$10,IF(Inputs!$C$9="Residential",IF(L815&lt;='Assumptions and Catalog'!$C$50,L815*'Assumptions and Catalog'!$H$50+'Assumptions and Catalog'!$E$50+'Assumptions and Catalog'!$F$50,IF(L815&lt;='Assumptions and Catalog'!$C$51,L815*'Assumptions and Catalog'!$H$51+'Assumptions and Catalog'!$E$51+'Assumptions and Catalog'!$F$51,IF(L815&lt;='Assumptions and Catalog'!$C$52,L815*'Assumptions and Catalog'!$H$52+'Assumptions and Catalog'!$E$52+'Assumptions and Catalog'!$F$52,IF(L815&lt;='Assumptions and Catalog'!$C$53,L815*'Assumptions and Catalog'!$H$53+'Assumptions and Catalog'!$E$53+'Assumptions and Catalog'!$F$53,IF(L815&lt;='Assumptions and Catalog'!$C$54,L815*'Assumptions and Catalog'!$H$54+'Assumptions and Catalog'!$E$54+'Assumptions and Catalog'!$F$54,IF(L815&lt;='Assumptions and Catalog'!$C$55,L815*'Assumptions and Catalog'!$H$55+'Assumptions and Catalog'!$E$55+'Assumptions and Catalog'!$F$55,IF(L815&lt;='Assumptions and Catalog'!$C$56,L815*'Assumptions and Catalog'!$H$56+'Assumptions and Catalog'!$E$56+'Assumptions and Catalog'!$F$56,IF(L815&lt;='Assumptions and Catalog'!$C$57,L815*'Assumptions and Catalog'!$H$57+'Assumptions and Catalog'!$E$57+'Assumptions and Catalog'!$F$57,"Out of range")))))))),IF(L815&lt;='Assumptions and Catalog'!$C$60,L815*'Assumptions and Catalog'!$H$60+'Assumptions and Catalog'!$E$60+'Assumptions and Catalog'!$F$60,IF(L815&lt;='Assumptions and Catalog'!$C$61,L815*'Assumptions and Catalog'!$H$61+'Assumptions and Catalog'!$E$61+'Assumptions and Catalog'!$F$61,IF(L815&lt;='Assumptions and Catalog'!$C$62,L815*'Assumptions and Catalog'!$H$62+'Assumptions and Catalog'!$E$62+'Assumptions and Catalog'!$F$62,IF(L815&lt;='Assumptions and Catalog'!$C$63,L815*'Assumptions and Catalog'!$H$63+'Assumptions and Catalog'!$E$63+'Assumptions and Catalog'!$F$63,IF(L815&lt;='Assumptions and Catalog'!$C$64,L815*'Assumptions and Catalog'!$H$64+'Assumptions and Catalog'!$E$64+'Assumptions and Catalog'!$F$64,IF(L815&lt;='Assumptions and Catalog'!$C$65,L815*'Assumptions and Catalog'!$H$65+'Assumptions and Catalog'!$E$65+'Assumptions and Catalog'!$F$65,"Out of range")))))))))*(1+'Assumptions and Catalog'!$C$8)^(A815-1),0)</f>
        <v>2895.43547974563</v>
      </c>
      <c r="O815" s="5" t="n">
        <f>M815-N815</f>
        <v>3971.78452025437</v>
      </c>
      <c r="P815" s="5" t="n">
        <f>E$55*(1-L$14)*(1-'Assumptions and Catalog'!$C$23)^R815</f>
        <v>9.834496</v>
      </c>
      <c r="Q815" s="5" t="n">
        <f>IF(ISNUMBER(Inputs!$L$5),(IF(Inputs!$L$9="Actual flat rate",((D815+E815)*C815-G815)*Inputs!$L$10,IF(Inputs!$C$9="Residential",IF(((D815+E815)*C815-G815)&lt;='Assumptions and Catalog'!$C$50,((D815+E815)*C815-G815)*'Assumptions and Catalog'!$H$50+'Assumptions and Catalog'!$E$50+'Assumptions and Catalog'!$F$50,IF(((D815+E815)*C815-G815)&lt;='Assumptions and Catalog'!$C$51,((D815+E815)*C815-G815)*'Assumptions and Catalog'!$H$51+'Assumptions and Catalog'!$E$51+'Assumptions and Catalog'!$F$51,IF(((D815+E815)*C815-G815)&lt;='Assumptions and Catalog'!$C$52,((D815+E815)*C815-G815)*'Assumptions and Catalog'!$H$52+'Assumptions and Catalog'!$E$52+'Assumptions and Catalog'!$F$52,IF(((D815+E815)*C815-G815)&lt;='Assumptions and Catalog'!$C$53,((D815+E815)*C815-G815)*'Assumptions and Catalog'!$H$53+'Assumptions and Catalog'!$E$53+'Assumptions and Catalog'!$F$53,IF(((D815+E815)*C815-G815)&lt;='Assumptions and Catalog'!$C$54,((D815+E815)*C815-G815)*'Assumptions and Catalog'!$H$54+'Assumptions and Catalog'!$E$54+'Assumptions and Catalog'!$F$54,IF(((D815+E815)*C815-G815)&lt;='Assumptions and Catalog'!$C$55,((D815+E815)*C815-G815)*'Assumptions and Catalog'!$H$55+'Assumptions and Catalog'!$E$55+'Assumptions and Catalog'!$F$55,IF(((D815+E815)*C815-G815)&lt;='Assumptions and Catalog'!$C$56,((D815+E815)*C815-G815)*'Assumptions and Catalog'!$H$56+'Assumptions and Catalog'!$E$56+'Assumptions and Catalog'!$F$56,IF(((D815+E815)*C815-G815)&lt;='Assumptions and Catalog'!$C$57,((D815+E815)*C815-G815)*'Assumptions and Catalog'!$H$57+'Assumptions and Catalog'!$E$57+'Assumptions and Catalog'!$F$57,"Out of range")))))))),IF(((D815+E815)*C815-G815)&lt;='Assumptions and Catalog'!$C$60,((D815+E815)*C815-G815)*'Assumptions and Catalog'!$H$60+'Assumptions and Catalog'!$E$60+'Assumptions and Catalog'!$F$60,IF(((D815+E815)*C815-G815)&lt;='Assumptions and Catalog'!$C$61,((D815+E815)*C815-G815)*'Assumptions and Catalog'!$H$61+'Assumptions and Catalog'!$E$61+'Assumptions and Catalog'!$F$61,IF(((D815+E815)*C815-G815)&lt;='Assumptions and Catalog'!$C$62,((D815+E815)*C815-G815)*'Assumptions and Catalog'!$H$62+'Assumptions and Catalog'!$E$62+'Assumptions and Catalog'!$F$62,IF(((D815+E815)*C815-G815)&lt;='Assumptions and Catalog'!$C$63,((D815+E815)*C815-G815)*'Assumptions and Catalog'!$H$63+'Assumptions and Catalog'!$E$63+'Assumptions and Catalog'!$F$63,IF(((D815+E815)*C815-G815)&lt;='Assumptions and Catalog'!$C$64,((D815+E815)*C815-G815)*'Assumptions and Catalog'!$H$64+'Assumptions and Catalog'!$E$64+'Assumptions and Catalog'!$F$64,IF(((D815+E815)*C815-G815)&lt;='Assumptions and Catalog'!$C$65,((D815+E815)*C815-G815)*'Assumptions and Catalog'!$H$65+'Assumptions and Catalog'!$E$65+'Assumptions and Catalog'!$F$65,"Out of range")))))))))*(1+'Assumptions and Catalog'!$C$8)^(A815-1),0)</f>
        <v>3453.61</v>
      </c>
      <c r="R815" s="5" t="n">
        <f>IF(AND('Assumptions and Catalog'!$C$19&gt;0,A815&gt;='Assumptions and Catalog'!$C$19),A815-'Assumptions and Catalog'!$C$19,A815-1)</f>
        <v>2</v>
      </c>
      <c r="S815" s="5" t="n">
        <f>F815+L815-(D815+E815)*C815-J815-K815-IF(E$52&gt;0,'Assumptions and Catalog'!$C$26*C815,0)</f>
        <v>-1.70530256582424E-013</v>
      </c>
      <c r="T815" s="5"/>
      <c r="U815" s="5"/>
    </row>
    <row r="816" ht="23.100000381469727" customHeight="1">
      <c r="A816" s="5" t="n">
        <v>13</v>
      </c>
      <c r="B816" s="5" t="n">
        <v>12</v>
      </c>
      <c r="C816" s="5" t="n">
        <f>DAY(DATE('Assumptions and Catalog'!$C$24+A816-1,B816+1,0))</f>
        <v>31</v>
      </c>
      <c r="D816" s="5" t="n">
        <f>IF(ISNUMBER(Inputs!$L$5),Inputs!$L$5*Inputs!$L$6,0)</f>
        <v>40.35</v>
      </c>
      <c r="E816" s="5" t="n">
        <f>IF(ISNUMBER(Inputs!$L$5),Inputs!$L$5-D816,0)</f>
        <v>40.35</v>
      </c>
      <c r="F816" s="5" t="n">
        <f>E$51*INDEX('Solar Production'!$D$20:$D$31,B816)*C816*(1-'Assumptions and Catalog'!$C$10)^(A816-1)</f>
        <v>1350.66375423798</v>
      </c>
      <c r="G816" s="5" t="n">
        <f>MIN(F816,D816*C816)</f>
        <v>1250.85</v>
      </c>
      <c r="H816" s="5" t="n">
        <f>I816/('Assumptions and Catalog'!$C$11*'Assumptions and Catalog'!$C$12)</f>
        <v>99.8137542379807</v>
      </c>
      <c r="I816" s="5" t="n">
        <f>MIN(E816*C816,P816*'Assumptions and Catalog'!$C$12*C816,(F816-G816)*'Assumptions and Catalog'!$C$11*'Assumptions and Catalog'!$C$12,E$56*'Assumptions and Catalog'!$C$14*'Assumptions and Catalog'!$C$11*'Assumptions and Catalog'!$C$12*C816,E$57*(24-'Assumptions and Catalog'!$C$13)*C816)</f>
        <v>94.8854501224804</v>
      </c>
      <c r="J816" s="5" t="n">
        <f>MAX(F816-G816-H816,0)</f>
        <v>0</v>
      </c>
      <c r="K816" s="5" t="n">
        <f>H816-I816</f>
        <v>4.9283041155003</v>
      </c>
      <c r="L816" s="5" t="n">
        <f>(D816+E816)*C816-G816-I816+0+IF(E$52&gt;0,'Assumptions and Catalog'!$C$26*C816,0)</f>
        <v>1155.96454987752</v>
      </c>
      <c r="M816" s="5" t="n">
        <f>IF(ISNUMBER(Inputs!$L$5),(IF(Inputs!$L$9="Actual flat rate",((D816+E816)*C816)*Inputs!$L$10,IF(Inputs!$C$9="Residential",IF(((D816+E816)*C816)&lt;='Assumptions and Catalog'!$C$50,((D816+E816)*C816)*'Assumptions and Catalog'!$H$50+'Assumptions and Catalog'!$E$50+'Assumptions and Catalog'!$F$50,IF(((D816+E816)*C816)&lt;='Assumptions and Catalog'!$C$51,((D816+E816)*C816)*'Assumptions and Catalog'!$H$51+'Assumptions and Catalog'!$E$51+'Assumptions and Catalog'!$F$51,IF(((D816+E816)*C816)&lt;='Assumptions and Catalog'!$C$52,((D816+E816)*C816)*'Assumptions and Catalog'!$H$52+'Assumptions and Catalog'!$E$52+'Assumptions and Catalog'!$F$52,IF(((D816+E816)*C816)&lt;='Assumptions and Catalog'!$C$53,((D816+E816)*C816)*'Assumptions and Catalog'!$H$53+'Assumptions and Catalog'!$E$53+'Assumptions and Catalog'!$F$53,IF(((D816+E816)*C816)&lt;='Assumptions and Catalog'!$C$54,((D816+E816)*C816)*'Assumptions and Catalog'!$H$54+'Assumptions and Catalog'!$E$54+'Assumptions and Catalog'!$F$54,IF(((D816+E816)*C816)&lt;='Assumptions and Catalog'!$C$55,((D816+E816)*C816)*'Assumptions and Catalog'!$H$55+'Assumptions and Catalog'!$E$55+'Assumptions and Catalog'!$F$55,IF(((D816+E816)*C816)&lt;='Assumptions and Catalog'!$C$56,((D816+E816)*C816)*'Assumptions and Catalog'!$H$56+'Assumptions and Catalog'!$E$56+'Assumptions and Catalog'!$F$56,IF(((D816+E816)*C816)&lt;='Assumptions and Catalog'!$C$57,((D816+E816)*C816)*'Assumptions and Catalog'!$H$57+'Assumptions and Catalog'!$E$57+'Assumptions and Catalog'!$F$57,"Out of range")))))))),IF(((D816+E816)*C816)&lt;='Assumptions and Catalog'!$C$60,((D816+E816)*C816)*'Assumptions and Catalog'!$H$60+'Assumptions and Catalog'!$E$60+'Assumptions and Catalog'!$F$60,IF(((D816+E816)*C816)&lt;='Assumptions and Catalog'!$C$61,((D816+E816)*C816)*'Assumptions and Catalog'!$H$61+'Assumptions and Catalog'!$E$61+'Assumptions and Catalog'!$F$61,IF(((D816+E816)*C816)&lt;='Assumptions and Catalog'!$C$62,((D816+E816)*C816)*'Assumptions and Catalog'!$H$62+'Assumptions and Catalog'!$E$62+'Assumptions and Catalog'!$F$62,IF(((D816+E816)*C816)&lt;='Assumptions and Catalog'!$C$63,((D816+E816)*C816)*'Assumptions and Catalog'!$H$63+'Assumptions and Catalog'!$E$63+'Assumptions and Catalog'!$F$63,IF(((D816+E816)*C816)&lt;='Assumptions and Catalog'!$C$64,((D816+E816)*C816)*'Assumptions and Catalog'!$H$64+'Assumptions and Catalog'!$E$64+'Assumptions and Catalog'!$F$64,IF(((D816+E816)*C816)&lt;='Assumptions and Catalog'!$C$65,((D816+E816)*C816)*'Assumptions and Catalog'!$H$65+'Assumptions and Catalog'!$E$65+'Assumptions and Catalog'!$F$65,"Out of range")))))))))*(1+'Assumptions and Catalog'!$C$8)^(A816-1),0)</f>
        <v>7094.794</v>
      </c>
      <c r="N816" s="5" t="n">
        <f>IF(ISNUMBER(Inputs!$L$5),(IF(Inputs!$L$9="Actual flat rate",L816*Inputs!$L$10,IF(Inputs!$C$9="Residential",IF(L816&lt;='Assumptions and Catalog'!$C$50,L816*'Assumptions and Catalog'!$H$50+'Assumptions and Catalog'!$E$50+'Assumptions and Catalog'!$F$50,IF(L816&lt;='Assumptions and Catalog'!$C$51,L816*'Assumptions and Catalog'!$H$51+'Assumptions and Catalog'!$E$51+'Assumptions and Catalog'!$F$51,IF(L816&lt;='Assumptions and Catalog'!$C$52,L816*'Assumptions and Catalog'!$H$52+'Assumptions and Catalog'!$E$52+'Assumptions and Catalog'!$F$52,IF(L816&lt;='Assumptions and Catalog'!$C$53,L816*'Assumptions and Catalog'!$H$53+'Assumptions and Catalog'!$E$53+'Assumptions and Catalog'!$F$53,IF(L816&lt;='Assumptions and Catalog'!$C$54,L816*'Assumptions and Catalog'!$H$54+'Assumptions and Catalog'!$E$54+'Assumptions and Catalog'!$F$54,IF(L816&lt;='Assumptions and Catalog'!$C$55,L816*'Assumptions and Catalog'!$H$55+'Assumptions and Catalog'!$E$55+'Assumptions and Catalog'!$F$55,IF(L816&lt;='Assumptions and Catalog'!$C$56,L816*'Assumptions and Catalog'!$H$56+'Assumptions and Catalog'!$E$56+'Assumptions and Catalog'!$F$56,IF(L816&lt;='Assumptions and Catalog'!$C$57,L816*'Assumptions and Catalog'!$H$57+'Assumptions and Catalog'!$E$57+'Assumptions and Catalog'!$F$57,"Out of range")))))))),IF(L816&lt;='Assumptions and Catalog'!$C$60,L816*'Assumptions and Catalog'!$H$60+'Assumptions and Catalog'!$E$60+'Assumptions and Catalog'!$F$60,IF(L816&lt;='Assumptions and Catalog'!$C$61,L816*'Assumptions and Catalog'!$H$61+'Assumptions and Catalog'!$E$61+'Assumptions and Catalog'!$F$61,IF(L816&lt;='Assumptions and Catalog'!$C$62,L816*'Assumptions and Catalog'!$H$62+'Assumptions and Catalog'!$E$62+'Assumptions and Catalog'!$F$62,IF(L816&lt;='Assumptions and Catalog'!$C$63,L816*'Assumptions and Catalog'!$H$63+'Assumptions and Catalog'!$E$63+'Assumptions and Catalog'!$F$63,IF(L816&lt;='Assumptions and Catalog'!$C$64,L816*'Assumptions and Catalog'!$H$64+'Assumptions and Catalog'!$E$64+'Assumptions and Catalog'!$F$64,IF(L816&lt;='Assumptions and Catalog'!$C$65,L816*'Assumptions and Catalog'!$H$65+'Assumptions and Catalog'!$E$65+'Assumptions and Catalog'!$F$65,"Out of range")))))))))*(1+'Assumptions and Catalog'!$C$8)^(A816-1),0)</f>
        <v>3299.82003065461</v>
      </c>
      <c r="O816" s="5" t="n">
        <f>M816-N816</f>
        <v>3794.9739693454</v>
      </c>
      <c r="P816" s="5" t="n">
        <f>E$55*(1-L$14)*(1-'Assumptions and Catalog'!$C$23)^R816</f>
        <v>9.834496</v>
      </c>
      <c r="Q816" s="5" t="n">
        <f>IF(ISNUMBER(Inputs!$L$5),(IF(Inputs!$L$9="Actual flat rate",((D816+E816)*C816-G816)*Inputs!$L$10,IF(Inputs!$C$9="Residential",IF(((D816+E816)*C816-G816)&lt;='Assumptions and Catalog'!$C$50,((D816+E816)*C816-G816)*'Assumptions and Catalog'!$H$50+'Assumptions and Catalog'!$E$50+'Assumptions and Catalog'!$F$50,IF(((D816+E816)*C816-G816)&lt;='Assumptions and Catalog'!$C$51,((D816+E816)*C816-G816)*'Assumptions and Catalog'!$H$51+'Assumptions and Catalog'!$E$51+'Assumptions and Catalog'!$F$51,IF(((D816+E816)*C816-G816)&lt;='Assumptions and Catalog'!$C$52,((D816+E816)*C816-G816)*'Assumptions and Catalog'!$H$52+'Assumptions and Catalog'!$E$52+'Assumptions and Catalog'!$F$52,IF(((D816+E816)*C816-G816)&lt;='Assumptions and Catalog'!$C$53,((D816+E816)*C816-G816)*'Assumptions and Catalog'!$H$53+'Assumptions and Catalog'!$E$53+'Assumptions and Catalog'!$F$53,IF(((D816+E816)*C816-G816)&lt;='Assumptions and Catalog'!$C$54,((D816+E816)*C816-G816)*'Assumptions and Catalog'!$H$54+'Assumptions and Catalog'!$E$54+'Assumptions and Catalog'!$F$54,IF(((D816+E816)*C816-G816)&lt;='Assumptions and Catalog'!$C$55,((D816+E816)*C816-G816)*'Assumptions and Catalog'!$H$55+'Assumptions and Catalog'!$E$55+'Assumptions and Catalog'!$F$55,IF(((D816+E816)*C816-G816)&lt;='Assumptions and Catalog'!$C$56,((D816+E816)*C816-G816)*'Assumptions and Catalog'!$H$56+'Assumptions and Catalog'!$E$56+'Assumptions and Catalog'!$F$56,IF(((D816+E816)*C816-G816)&lt;='Assumptions and Catalog'!$C$57,((D816+E816)*C816-G816)*'Assumptions and Catalog'!$H$57+'Assumptions and Catalog'!$E$57+'Assumptions and Catalog'!$F$57,"Out of range")))))))),IF(((D816+E816)*C816-G816)&lt;='Assumptions and Catalog'!$C$60,((D816+E816)*C816-G816)*'Assumptions and Catalog'!$H$60+'Assumptions and Catalog'!$E$60+'Assumptions and Catalog'!$F$60,IF(((D816+E816)*C816-G816)&lt;='Assumptions and Catalog'!$C$61,((D816+E816)*C816-G816)*'Assumptions and Catalog'!$H$61+'Assumptions and Catalog'!$E$61+'Assumptions and Catalog'!$F$61,IF(((D816+E816)*C816-G816)&lt;='Assumptions and Catalog'!$C$62,((D816+E816)*C816-G816)*'Assumptions and Catalog'!$H$62+'Assumptions and Catalog'!$E$62+'Assumptions and Catalog'!$F$62,IF(((D816+E816)*C816-G816)&lt;='Assumptions and Catalog'!$C$63,((D816+E816)*C816-G816)*'Assumptions and Catalog'!$H$63+'Assumptions and Catalog'!$E$63+'Assumptions and Catalog'!$F$63,IF(((D816+E816)*C816-G816)&lt;='Assumptions and Catalog'!$C$64,((D816+E816)*C816-G816)*'Assumptions and Catalog'!$H$64+'Assumptions and Catalog'!$E$64+'Assumptions and Catalog'!$F$64,IF(((D816+E816)*C816-G816)&lt;='Assumptions and Catalog'!$C$65,((D816+E816)*C816-G816)*'Assumptions and Catalog'!$H$65+'Assumptions and Catalog'!$E$65+'Assumptions and Catalog'!$F$65,"Out of range")))))))))*(1+'Assumptions and Catalog'!$C$8)^(A816-1),0)</f>
        <v>3567.397</v>
      </c>
      <c r="R816" s="5" t="n">
        <f>IF(AND('Assumptions and Catalog'!$C$19&gt;0,A816&gt;='Assumptions and Catalog'!$C$19),A816-'Assumptions and Catalog'!$C$19,A816-1)</f>
        <v>2</v>
      </c>
      <c r="S816" s="5" t="n">
        <f>F816+L816-(D816+E816)*C816-J816-K816-IF(E$52&gt;0,'Assumptions and Catalog'!$C$26*C816,0)</f>
        <v>9.9475983006414E-014</v>
      </c>
      <c r="T816" s="5"/>
      <c r="U816" s="5"/>
    </row>
    <row r="817" ht="23.100000381469727" customHeight="1">
      <c r="A817" s="5" t="n">
        <v>14</v>
      </c>
      <c r="B817" s="5" t="n">
        <v>1</v>
      </c>
      <c r="C817" s="5" t="n">
        <f>DAY(DATE('Assumptions and Catalog'!$C$24+A817-1,B817+1,0))</f>
        <v>31</v>
      </c>
      <c r="D817" s="5" t="n">
        <f>IF(ISNUMBER(Inputs!$L$5),Inputs!$L$5*Inputs!$L$6,0)</f>
        <v>40.35</v>
      </c>
      <c r="E817" s="5" t="n">
        <f>IF(ISNUMBER(Inputs!$L$5),Inputs!$L$5-D817,0)</f>
        <v>40.35</v>
      </c>
      <c r="F817" s="5" t="n">
        <f>E$51*INDEX('Solar Production'!$D$20:$D$31,B817)*C817*(1-'Assumptions and Catalog'!$C$10)^(A817-1)</f>
        <v>1353.1858909263</v>
      </c>
      <c r="G817" s="5" t="n">
        <f>MIN(F817,D817*C817)</f>
        <v>1250.85</v>
      </c>
      <c r="H817" s="5" t="n">
        <f>I817/('Assumptions and Catalog'!$C$11*'Assumptions and Catalog'!$C$12)</f>
        <v>102.335890926301</v>
      </c>
      <c r="I817" s="5" t="n">
        <f>MIN(E817*C817,P817*'Assumptions and Catalog'!$C$12*C817,(F817-G817)*'Assumptions and Catalog'!$C$11*'Assumptions and Catalog'!$C$12,E$56*'Assumptions and Catalog'!$C$14*'Assumptions and Catalog'!$C$11*'Assumptions and Catalog'!$C$12*C817,E$57*(24-'Assumptions and Catalog'!$C$13)*C817)</f>
        <v>97.283056311815</v>
      </c>
      <c r="J817" s="5" t="n">
        <f>MAX(F817-G817-H817,0)</f>
        <v>0</v>
      </c>
      <c r="K817" s="5" t="n">
        <f>H817-I817</f>
        <v>5.05283461448612</v>
      </c>
      <c r="L817" s="5" t="n">
        <f>(D817+E817)*C817-G817-I817+0+IF(E$52&gt;0,'Assumptions and Catalog'!$C$26*C817,0)</f>
        <v>1153.56694368819</v>
      </c>
      <c r="M817" s="5" t="n">
        <f>IF(ISNUMBER(Inputs!$L$5),(IF(Inputs!$L$9="Actual flat rate",((D817+E817)*C817)*Inputs!$L$10,IF(Inputs!$C$9="Residential",IF(((D817+E817)*C817)&lt;='Assumptions and Catalog'!$C$50,((D817+E817)*C817)*'Assumptions and Catalog'!$H$50+'Assumptions and Catalog'!$E$50+'Assumptions and Catalog'!$F$50,IF(((D817+E817)*C817)&lt;='Assumptions and Catalog'!$C$51,((D817+E817)*C817)*'Assumptions and Catalog'!$H$51+'Assumptions and Catalog'!$E$51+'Assumptions and Catalog'!$F$51,IF(((D817+E817)*C817)&lt;='Assumptions and Catalog'!$C$52,((D817+E817)*C817)*'Assumptions and Catalog'!$H$52+'Assumptions and Catalog'!$E$52+'Assumptions and Catalog'!$F$52,IF(((D817+E817)*C817)&lt;='Assumptions and Catalog'!$C$53,((D817+E817)*C817)*'Assumptions and Catalog'!$H$53+'Assumptions and Catalog'!$E$53+'Assumptions and Catalog'!$F$53,IF(((D817+E817)*C817)&lt;='Assumptions and Catalog'!$C$54,((D817+E817)*C817)*'Assumptions and Catalog'!$H$54+'Assumptions and Catalog'!$E$54+'Assumptions and Catalog'!$F$54,IF(((D817+E817)*C817)&lt;='Assumptions and Catalog'!$C$55,((D817+E817)*C817)*'Assumptions and Catalog'!$H$55+'Assumptions and Catalog'!$E$55+'Assumptions and Catalog'!$F$55,IF(((D817+E817)*C817)&lt;='Assumptions and Catalog'!$C$56,((D817+E817)*C817)*'Assumptions and Catalog'!$H$56+'Assumptions and Catalog'!$E$56+'Assumptions and Catalog'!$F$56,IF(((D817+E817)*C817)&lt;='Assumptions and Catalog'!$C$57,((D817+E817)*C817)*'Assumptions and Catalog'!$H$57+'Assumptions and Catalog'!$E$57+'Assumptions and Catalog'!$F$57,"Out of range")))))))),IF(((D817+E817)*C817)&lt;='Assumptions and Catalog'!$C$60,((D817+E817)*C817)*'Assumptions and Catalog'!$H$60+'Assumptions and Catalog'!$E$60+'Assumptions and Catalog'!$F$60,IF(((D817+E817)*C817)&lt;='Assumptions and Catalog'!$C$61,((D817+E817)*C817)*'Assumptions and Catalog'!$H$61+'Assumptions and Catalog'!$E$61+'Assumptions and Catalog'!$F$61,IF(((D817+E817)*C817)&lt;='Assumptions and Catalog'!$C$62,((D817+E817)*C817)*'Assumptions and Catalog'!$H$62+'Assumptions and Catalog'!$E$62+'Assumptions and Catalog'!$F$62,IF(((D817+E817)*C817)&lt;='Assumptions and Catalog'!$C$63,((D817+E817)*C817)*'Assumptions and Catalog'!$H$63+'Assumptions and Catalog'!$E$63+'Assumptions and Catalog'!$F$63,IF(((D817+E817)*C817)&lt;='Assumptions and Catalog'!$C$64,((D817+E817)*C817)*'Assumptions and Catalog'!$H$64+'Assumptions and Catalog'!$E$64+'Assumptions and Catalog'!$F$64,IF(((D817+E817)*C817)&lt;='Assumptions and Catalog'!$C$65,((D817+E817)*C817)*'Assumptions and Catalog'!$H$65+'Assumptions and Catalog'!$E$65+'Assumptions and Catalog'!$F$65,"Out of range")))))))))*(1+'Assumptions and Catalog'!$C$8)^(A817-1),0)</f>
        <v>7094.794</v>
      </c>
      <c r="N817" s="5" t="n">
        <f>IF(ISNUMBER(Inputs!$L$5),(IF(Inputs!$L$9="Actual flat rate",L817*Inputs!$L$10,IF(Inputs!$C$9="Residential",IF(L817&lt;='Assumptions and Catalog'!$C$50,L817*'Assumptions and Catalog'!$H$50+'Assumptions and Catalog'!$E$50+'Assumptions and Catalog'!$F$50,IF(L817&lt;='Assumptions and Catalog'!$C$51,L817*'Assumptions and Catalog'!$H$51+'Assumptions and Catalog'!$E$51+'Assumptions and Catalog'!$F$51,IF(L817&lt;='Assumptions and Catalog'!$C$52,L817*'Assumptions and Catalog'!$H$52+'Assumptions and Catalog'!$E$52+'Assumptions and Catalog'!$F$52,IF(L817&lt;='Assumptions and Catalog'!$C$53,L817*'Assumptions and Catalog'!$H$53+'Assumptions and Catalog'!$E$53+'Assumptions and Catalog'!$F$53,IF(L817&lt;='Assumptions and Catalog'!$C$54,L817*'Assumptions and Catalog'!$H$54+'Assumptions and Catalog'!$E$54+'Assumptions and Catalog'!$F$54,IF(L817&lt;='Assumptions and Catalog'!$C$55,L817*'Assumptions and Catalog'!$H$55+'Assumptions and Catalog'!$E$55+'Assumptions and Catalog'!$F$55,IF(L817&lt;='Assumptions and Catalog'!$C$56,L817*'Assumptions and Catalog'!$H$56+'Assumptions and Catalog'!$E$56+'Assumptions and Catalog'!$F$56,IF(L817&lt;='Assumptions and Catalog'!$C$57,L817*'Assumptions and Catalog'!$H$57+'Assumptions and Catalog'!$E$57+'Assumptions and Catalog'!$F$57,"Out of range")))))))),IF(L817&lt;='Assumptions and Catalog'!$C$60,L817*'Assumptions and Catalog'!$H$60+'Assumptions and Catalog'!$E$60+'Assumptions and Catalog'!$F$60,IF(L817&lt;='Assumptions and Catalog'!$C$61,L817*'Assumptions and Catalog'!$H$61+'Assumptions and Catalog'!$E$61+'Assumptions and Catalog'!$F$61,IF(L817&lt;='Assumptions and Catalog'!$C$62,L817*'Assumptions and Catalog'!$H$62+'Assumptions and Catalog'!$E$62+'Assumptions and Catalog'!$F$62,IF(L817&lt;='Assumptions and Catalog'!$C$63,L817*'Assumptions and Catalog'!$H$63+'Assumptions and Catalog'!$E$63+'Assumptions and Catalog'!$F$63,IF(L817&lt;='Assumptions and Catalog'!$C$64,L817*'Assumptions and Catalog'!$H$64+'Assumptions and Catalog'!$E$64+'Assumptions and Catalog'!$F$64,IF(L817&lt;='Assumptions and Catalog'!$C$65,L817*'Assumptions and Catalog'!$H$65+'Assumptions and Catalog'!$E$65+'Assumptions and Catalog'!$F$65,"Out of range")))))))))*(1+'Assumptions and Catalog'!$C$8)^(A817-1),0)</f>
        <v>3293.05878120068</v>
      </c>
      <c r="O817" s="5" t="n">
        <f>M817-N817</f>
        <v>3801.73521879932</v>
      </c>
      <c r="P817" s="5" t="n">
        <f>E$55*(1-L$14)*(1-'Assumptions and Catalog'!$C$23)^R817</f>
        <v>9.63780608</v>
      </c>
      <c r="Q817" s="5" t="n">
        <f>IF(ISNUMBER(Inputs!$L$5),(IF(Inputs!$L$9="Actual flat rate",((D817+E817)*C817-G817)*Inputs!$L$10,IF(Inputs!$C$9="Residential",IF(((D817+E817)*C817-G817)&lt;='Assumptions and Catalog'!$C$50,((D817+E817)*C817-G817)*'Assumptions and Catalog'!$H$50+'Assumptions and Catalog'!$E$50+'Assumptions and Catalog'!$F$50,IF(((D817+E817)*C817-G817)&lt;='Assumptions and Catalog'!$C$51,((D817+E817)*C817-G817)*'Assumptions and Catalog'!$H$51+'Assumptions and Catalog'!$E$51+'Assumptions and Catalog'!$F$51,IF(((D817+E817)*C817-G817)&lt;='Assumptions and Catalog'!$C$52,((D817+E817)*C817-G817)*'Assumptions and Catalog'!$H$52+'Assumptions and Catalog'!$E$52+'Assumptions and Catalog'!$F$52,IF(((D817+E817)*C817-G817)&lt;='Assumptions and Catalog'!$C$53,((D817+E817)*C817-G817)*'Assumptions and Catalog'!$H$53+'Assumptions and Catalog'!$E$53+'Assumptions and Catalog'!$F$53,IF(((D817+E817)*C817-G817)&lt;='Assumptions and Catalog'!$C$54,((D817+E817)*C817-G817)*'Assumptions and Catalog'!$H$54+'Assumptions and Catalog'!$E$54+'Assumptions and Catalog'!$F$54,IF(((D817+E817)*C817-G817)&lt;='Assumptions and Catalog'!$C$55,((D817+E817)*C817-G817)*'Assumptions and Catalog'!$H$55+'Assumptions and Catalog'!$E$55+'Assumptions and Catalog'!$F$55,IF(((D817+E817)*C817-G817)&lt;='Assumptions and Catalog'!$C$56,((D817+E817)*C817-G817)*'Assumptions and Catalog'!$H$56+'Assumptions and Catalog'!$E$56+'Assumptions and Catalog'!$F$56,IF(((D817+E817)*C817-G817)&lt;='Assumptions and Catalog'!$C$57,((D817+E817)*C817-G817)*'Assumptions and Catalog'!$H$57+'Assumptions and Catalog'!$E$57+'Assumptions and Catalog'!$F$57,"Out of range")))))))),IF(((D817+E817)*C817-G817)&lt;='Assumptions and Catalog'!$C$60,((D817+E817)*C817-G817)*'Assumptions and Catalog'!$H$60+'Assumptions and Catalog'!$E$60+'Assumptions and Catalog'!$F$60,IF(((D817+E817)*C817-G817)&lt;='Assumptions and Catalog'!$C$61,((D817+E817)*C817-G817)*'Assumptions and Catalog'!$H$61+'Assumptions and Catalog'!$E$61+'Assumptions and Catalog'!$F$61,IF(((D817+E817)*C817-G817)&lt;='Assumptions and Catalog'!$C$62,((D817+E817)*C817-G817)*'Assumptions and Catalog'!$H$62+'Assumptions and Catalog'!$E$62+'Assumptions and Catalog'!$F$62,IF(((D817+E817)*C817-G817)&lt;='Assumptions and Catalog'!$C$63,((D817+E817)*C817-G817)*'Assumptions and Catalog'!$H$63+'Assumptions and Catalog'!$E$63+'Assumptions and Catalog'!$F$63,IF(((D817+E817)*C817-G817)&lt;='Assumptions and Catalog'!$C$64,((D817+E817)*C817-G817)*'Assumptions and Catalog'!$H$64+'Assumptions and Catalog'!$E$64+'Assumptions and Catalog'!$F$64,IF(((D817+E817)*C817-G817)&lt;='Assumptions and Catalog'!$C$65,((D817+E817)*C817-G817)*'Assumptions and Catalog'!$H$65+'Assumptions and Catalog'!$E$65+'Assumptions and Catalog'!$F$65,"Out of range")))))))))*(1+'Assumptions and Catalog'!$C$8)^(A817-1),0)</f>
        <v>3567.397</v>
      </c>
      <c r="R817" s="5" t="n">
        <f>IF(AND('Assumptions and Catalog'!$C$19&gt;0,A817&gt;='Assumptions and Catalog'!$C$19),A817-'Assumptions and Catalog'!$C$19,A817-1)</f>
        <v>3</v>
      </c>
      <c r="S817" s="5" t="n">
        <f>F817+L817-(D817+E817)*C817-J817-K817-IF(E$52&gt;0,'Assumptions and Catalog'!$C$26*C817,0)</f>
        <v>-4.2632564145606E-014</v>
      </c>
      <c r="T817" s="5"/>
      <c r="U817" s="5"/>
    </row>
    <row r="818" ht="23.100000381469727" customHeight="1">
      <c r="A818" s="5" t="n">
        <v>14</v>
      </c>
      <c r="B818" s="5" t="n">
        <v>2</v>
      </c>
      <c r="C818" s="5" t="n">
        <f>DAY(DATE('Assumptions and Catalog'!$C$24+A818-1,B818+1,0))</f>
        <v>29</v>
      </c>
      <c r="D818" s="5" t="n">
        <f>IF(ISNUMBER(Inputs!$L$5),Inputs!$L$5*Inputs!$L$6,0)</f>
        <v>40.35</v>
      </c>
      <c r="E818" s="5" t="n">
        <f>IF(ISNUMBER(Inputs!$L$5),Inputs!$L$5-D818,0)</f>
        <v>40.35</v>
      </c>
      <c r="F818" s="5" t="n">
        <f>E$51*INDEX('Solar Production'!$D$20:$D$31,B818)*C818*(1-'Assumptions and Catalog'!$C$10)^(A818-1)</f>
        <v>1381.76680824499</v>
      </c>
      <c r="G818" s="5" t="n">
        <f>MIN(F818,D818*C818)</f>
        <v>1170.15</v>
      </c>
      <c r="H818" s="5" t="n">
        <f>I818/('Assumptions and Catalog'!$C$11*'Assumptions and Catalog'!$C$12)</f>
        <v>211.616808244989</v>
      </c>
      <c r="I818" s="5" t="n">
        <f>MIN(E818*C818,P818*'Assumptions and Catalog'!$C$12*C818,(F818-G818)*'Assumptions and Catalog'!$C$11*'Assumptions and Catalog'!$C$12,E$56*'Assumptions and Catalog'!$C$14*'Assumptions and Catalog'!$C$11*'Assumptions and Catalog'!$C$12*C818,E$57*(24-'Assumptions and Catalog'!$C$13)*C818)</f>
        <v>201.168228337893</v>
      </c>
      <c r="J818" s="5" t="n">
        <f>MAX(F818-G818-H818,0)</f>
        <v>0</v>
      </c>
      <c r="K818" s="5" t="n">
        <f>H818-I818</f>
        <v>10.4485799070964</v>
      </c>
      <c r="L818" s="5" t="n">
        <f>(D818+E818)*C818-G818-I818+0+IF(E$52&gt;0,'Assumptions and Catalog'!$C$26*C818,0)</f>
        <v>968.981771662107</v>
      </c>
      <c r="M818" s="5" t="n">
        <f>IF(ISNUMBER(Inputs!$L$5),(IF(Inputs!$L$9="Actual flat rate",((D818+E818)*C818)*Inputs!$L$10,IF(Inputs!$C$9="Residential",IF(((D818+E818)*C818)&lt;='Assumptions and Catalog'!$C$50,((D818+E818)*C818)*'Assumptions and Catalog'!$H$50+'Assumptions and Catalog'!$E$50+'Assumptions and Catalog'!$F$50,IF(((D818+E818)*C818)&lt;='Assumptions and Catalog'!$C$51,((D818+E818)*C818)*'Assumptions and Catalog'!$H$51+'Assumptions and Catalog'!$E$51+'Assumptions and Catalog'!$F$51,IF(((D818+E818)*C818)&lt;='Assumptions and Catalog'!$C$52,((D818+E818)*C818)*'Assumptions and Catalog'!$H$52+'Assumptions and Catalog'!$E$52+'Assumptions and Catalog'!$F$52,IF(((D818+E818)*C818)&lt;='Assumptions and Catalog'!$C$53,((D818+E818)*C818)*'Assumptions and Catalog'!$H$53+'Assumptions and Catalog'!$E$53+'Assumptions and Catalog'!$F$53,IF(((D818+E818)*C818)&lt;='Assumptions and Catalog'!$C$54,((D818+E818)*C818)*'Assumptions and Catalog'!$H$54+'Assumptions and Catalog'!$E$54+'Assumptions and Catalog'!$F$54,IF(((D818+E818)*C818)&lt;='Assumptions and Catalog'!$C$55,((D818+E818)*C818)*'Assumptions and Catalog'!$H$55+'Assumptions and Catalog'!$E$55+'Assumptions and Catalog'!$F$55,IF(((D818+E818)*C818)&lt;='Assumptions and Catalog'!$C$56,((D818+E818)*C818)*'Assumptions and Catalog'!$H$56+'Assumptions and Catalog'!$E$56+'Assumptions and Catalog'!$F$56,IF(((D818+E818)*C818)&lt;='Assumptions and Catalog'!$C$57,((D818+E818)*C818)*'Assumptions and Catalog'!$H$57+'Assumptions and Catalog'!$E$57+'Assumptions and Catalog'!$F$57,"Out of range")))))))),IF(((D818+E818)*C818)&lt;='Assumptions and Catalog'!$C$60,((D818+E818)*C818)*'Assumptions and Catalog'!$H$60+'Assumptions and Catalog'!$E$60+'Assumptions and Catalog'!$F$60,IF(((D818+E818)*C818)&lt;='Assumptions and Catalog'!$C$61,((D818+E818)*C818)*'Assumptions and Catalog'!$H$61+'Assumptions and Catalog'!$E$61+'Assumptions and Catalog'!$F$61,IF(((D818+E818)*C818)&lt;='Assumptions and Catalog'!$C$62,((D818+E818)*C818)*'Assumptions and Catalog'!$H$62+'Assumptions and Catalog'!$E$62+'Assumptions and Catalog'!$F$62,IF(((D818+E818)*C818)&lt;='Assumptions and Catalog'!$C$63,((D818+E818)*C818)*'Assumptions and Catalog'!$H$63+'Assumptions and Catalog'!$E$63+'Assumptions and Catalog'!$F$63,IF(((D818+E818)*C818)&lt;='Assumptions and Catalog'!$C$64,((D818+E818)*C818)*'Assumptions and Catalog'!$H$64+'Assumptions and Catalog'!$E$64+'Assumptions and Catalog'!$F$64,IF(((D818+E818)*C818)&lt;='Assumptions and Catalog'!$C$65,((D818+E818)*C818)*'Assumptions and Catalog'!$H$65+'Assumptions and Catalog'!$E$65+'Assumptions and Catalog'!$F$65,"Out of range")))))))))*(1+'Assumptions and Catalog'!$C$8)^(A818-1),0)</f>
        <v>6639.646</v>
      </c>
      <c r="N818" s="5" t="n">
        <f>IF(ISNUMBER(Inputs!$L$5),(IF(Inputs!$L$9="Actual flat rate",L818*Inputs!$L$10,IF(Inputs!$C$9="Residential",IF(L818&lt;='Assumptions and Catalog'!$C$50,L818*'Assumptions and Catalog'!$H$50+'Assumptions and Catalog'!$E$50+'Assumptions and Catalog'!$F$50,IF(L818&lt;='Assumptions and Catalog'!$C$51,L818*'Assumptions and Catalog'!$H$51+'Assumptions and Catalog'!$E$51+'Assumptions and Catalog'!$F$51,IF(L818&lt;='Assumptions and Catalog'!$C$52,L818*'Assumptions and Catalog'!$H$52+'Assumptions and Catalog'!$E$52+'Assumptions and Catalog'!$F$52,IF(L818&lt;='Assumptions and Catalog'!$C$53,L818*'Assumptions and Catalog'!$H$53+'Assumptions and Catalog'!$E$53+'Assumptions and Catalog'!$F$53,IF(L818&lt;='Assumptions and Catalog'!$C$54,L818*'Assumptions and Catalog'!$H$54+'Assumptions and Catalog'!$E$54+'Assumptions and Catalog'!$F$54,IF(L818&lt;='Assumptions and Catalog'!$C$55,L818*'Assumptions and Catalog'!$H$55+'Assumptions and Catalog'!$E$55+'Assumptions and Catalog'!$F$55,IF(L818&lt;='Assumptions and Catalog'!$C$56,L818*'Assumptions and Catalog'!$H$56+'Assumptions and Catalog'!$E$56+'Assumptions and Catalog'!$F$56,IF(L818&lt;='Assumptions and Catalog'!$C$57,L818*'Assumptions and Catalog'!$H$57+'Assumptions and Catalog'!$E$57+'Assumptions and Catalog'!$F$57,"Out of range")))))))),IF(L818&lt;='Assumptions and Catalog'!$C$60,L818*'Assumptions and Catalog'!$H$60+'Assumptions and Catalog'!$E$60+'Assumptions and Catalog'!$F$60,IF(L818&lt;='Assumptions and Catalog'!$C$61,L818*'Assumptions and Catalog'!$H$61+'Assumptions and Catalog'!$E$61+'Assumptions and Catalog'!$F$61,IF(L818&lt;='Assumptions and Catalog'!$C$62,L818*'Assumptions and Catalog'!$H$62+'Assumptions and Catalog'!$E$62+'Assumptions and Catalog'!$F$62,IF(L818&lt;='Assumptions and Catalog'!$C$63,L818*'Assumptions and Catalog'!$H$63+'Assumptions and Catalog'!$E$63+'Assumptions and Catalog'!$F$63,IF(L818&lt;='Assumptions and Catalog'!$C$64,L818*'Assumptions and Catalog'!$H$64+'Assumptions and Catalog'!$E$64+'Assumptions and Catalog'!$F$64,IF(L818&lt;='Assumptions and Catalog'!$C$65,L818*'Assumptions and Catalog'!$H$65+'Assumptions and Catalog'!$E$65+'Assumptions and Catalog'!$F$65,"Out of range")))))))))*(1+'Assumptions and Catalog'!$C$8)^(A818-1),0)</f>
        <v>2649.07950750404</v>
      </c>
      <c r="O818" s="5" t="n">
        <f>M818-N818</f>
        <v>3990.56649249596</v>
      </c>
      <c r="P818" s="5" t="n">
        <f>E$55*(1-L$14)*(1-'Assumptions and Catalog'!$C$23)^R818</f>
        <v>9.63780608</v>
      </c>
      <c r="Q818" s="5" t="n">
        <f>IF(ISNUMBER(Inputs!$L$5),(IF(Inputs!$L$9="Actual flat rate",((D818+E818)*C818-G818)*Inputs!$L$10,IF(Inputs!$C$9="Residential",IF(((D818+E818)*C818-G818)&lt;='Assumptions and Catalog'!$C$50,((D818+E818)*C818-G818)*'Assumptions and Catalog'!$H$50+'Assumptions and Catalog'!$E$50+'Assumptions and Catalog'!$F$50,IF(((D818+E818)*C818-G818)&lt;='Assumptions and Catalog'!$C$51,((D818+E818)*C818-G818)*'Assumptions and Catalog'!$H$51+'Assumptions and Catalog'!$E$51+'Assumptions and Catalog'!$F$51,IF(((D818+E818)*C818-G818)&lt;='Assumptions and Catalog'!$C$52,((D818+E818)*C818-G818)*'Assumptions and Catalog'!$H$52+'Assumptions and Catalog'!$E$52+'Assumptions and Catalog'!$F$52,IF(((D818+E818)*C818-G818)&lt;='Assumptions and Catalog'!$C$53,((D818+E818)*C818-G818)*'Assumptions and Catalog'!$H$53+'Assumptions and Catalog'!$E$53+'Assumptions and Catalog'!$F$53,IF(((D818+E818)*C818-G818)&lt;='Assumptions and Catalog'!$C$54,((D818+E818)*C818-G818)*'Assumptions and Catalog'!$H$54+'Assumptions and Catalog'!$E$54+'Assumptions and Catalog'!$F$54,IF(((D818+E818)*C818-G818)&lt;='Assumptions and Catalog'!$C$55,((D818+E818)*C818-G818)*'Assumptions and Catalog'!$H$55+'Assumptions and Catalog'!$E$55+'Assumptions and Catalog'!$F$55,IF(((D818+E818)*C818-G818)&lt;='Assumptions and Catalog'!$C$56,((D818+E818)*C818-G818)*'Assumptions and Catalog'!$H$56+'Assumptions and Catalog'!$E$56+'Assumptions and Catalog'!$F$56,IF(((D818+E818)*C818-G818)&lt;='Assumptions and Catalog'!$C$57,((D818+E818)*C818-G818)*'Assumptions and Catalog'!$H$57+'Assumptions and Catalog'!$E$57+'Assumptions and Catalog'!$F$57,"Out of range")))))))),IF(((D818+E818)*C818-G818)&lt;='Assumptions and Catalog'!$C$60,((D818+E818)*C818-G818)*'Assumptions and Catalog'!$H$60+'Assumptions and Catalog'!$E$60+'Assumptions and Catalog'!$F$60,IF(((D818+E818)*C818-G818)&lt;='Assumptions and Catalog'!$C$61,((D818+E818)*C818-G818)*'Assumptions and Catalog'!$H$61+'Assumptions and Catalog'!$E$61+'Assumptions and Catalog'!$F$61,IF(((D818+E818)*C818-G818)&lt;='Assumptions and Catalog'!$C$62,((D818+E818)*C818-G818)*'Assumptions and Catalog'!$H$62+'Assumptions and Catalog'!$E$62+'Assumptions and Catalog'!$F$62,IF(((D818+E818)*C818-G818)&lt;='Assumptions and Catalog'!$C$63,((D818+E818)*C818-G818)*'Assumptions and Catalog'!$H$63+'Assumptions and Catalog'!$E$63+'Assumptions and Catalog'!$F$63,IF(((D818+E818)*C818-G818)&lt;='Assumptions and Catalog'!$C$64,((D818+E818)*C818-G818)*'Assumptions and Catalog'!$H$64+'Assumptions and Catalog'!$E$64+'Assumptions and Catalog'!$F$64,IF(((D818+E818)*C818-G818)&lt;='Assumptions and Catalog'!$C$65,((D818+E818)*C818-G818)*'Assumptions and Catalog'!$H$65+'Assumptions and Catalog'!$E$65+'Assumptions and Catalog'!$F$65,"Out of range")))))))))*(1+'Assumptions and Catalog'!$C$8)^(A818-1),0)</f>
        <v>3339.823</v>
      </c>
      <c r="R818" s="5" t="n">
        <f>IF(AND('Assumptions and Catalog'!$C$19&gt;0,A818&gt;='Assumptions and Catalog'!$C$19),A818-'Assumptions and Catalog'!$C$19,A818-1)</f>
        <v>3</v>
      </c>
      <c r="S818" s="5" t="n">
        <f>F818+L818-(D818+E818)*C818-J818-K818-IF(E$52&gt;0,'Assumptions and Catalog'!$C$26*C818,0)</f>
        <v>-1.13686837721616E-013</v>
      </c>
      <c r="T818" s="5"/>
      <c r="U818" s="5"/>
    </row>
    <row r="819" ht="23.100000381469727" customHeight="1">
      <c r="A819" s="5" t="n">
        <v>14</v>
      </c>
      <c r="B819" s="5" t="n">
        <v>3</v>
      </c>
      <c r="C819" s="5" t="n">
        <f>DAY(DATE('Assumptions and Catalog'!$C$24+A819-1,B819+1,0))</f>
        <v>31</v>
      </c>
      <c r="D819" s="5" t="n">
        <f>IF(ISNUMBER(Inputs!$L$5),Inputs!$L$5*Inputs!$L$6,0)</f>
        <v>40.35</v>
      </c>
      <c r="E819" s="5" t="n">
        <f>IF(ISNUMBER(Inputs!$L$5),Inputs!$L$5-D819,0)</f>
        <v>40.35</v>
      </c>
      <c r="F819" s="5" t="n">
        <f>E$51*INDEX('Solar Production'!$D$20:$D$31,B819)*C819*(1-'Assumptions and Catalog'!$C$10)^(A819-1)</f>
        <v>1659.89428478743</v>
      </c>
      <c r="G819" s="5" t="n">
        <f>MIN(F819,D819*C819)</f>
        <v>1250.85</v>
      </c>
      <c r="H819" s="5" t="n">
        <f>I819/('Assumptions and Catalog'!$C$11*'Assumptions and Catalog'!$C$12)</f>
        <v>306.432808697436</v>
      </c>
      <c r="I819" s="5" t="n">
        <f>MIN(E819*C819,P819*'Assumptions and Catalog'!$C$12*C819,(F819-G819)*'Assumptions and Catalog'!$C$11*'Assumptions and Catalog'!$C$12,E$56*'Assumptions and Catalog'!$C$14*'Assumptions and Catalog'!$C$11*'Assumptions and Catalog'!$C$12*C819,E$57*(24-'Assumptions and Catalog'!$C$13)*C819)</f>
        <v>291.302688768</v>
      </c>
      <c r="J819" s="5" t="n">
        <f>MAX(F819-G819-H819,0)</f>
        <v>102.611476089997</v>
      </c>
      <c r="K819" s="5" t="n">
        <f>H819-I819</f>
        <v>15.1301199294359</v>
      </c>
      <c r="L819" s="5" t="n">
        <f>(D819+E819)*C819-G819-I819+0+IF(E$52&gt;0,'Assumptions and Catalog'!$C$26*C819,0)</f>
        <v>959.547311232</v>
      </c>
      <c r="M819" s="5" t="n">
        <f>IF(ISNUMBER(Inputs!$L$5),(IF(Inputs!$L$9="Actual flat rate",((D819+E819)*C819)*Inputs!$L$10,IF(Inputs!$C$9="Residential",IF(((D819+E819)*C819)&lt;='Assumptions and Catalog'!$C$50,((D819+E819)*C819)*'Assumptions and Catalog'!$H$50+'Assumptions and Catalog'!$E$50+'Assumptions and Catalog'!$F$50,IF(((D819+E819)*C819)&lt;='Assumptions and Catalog'!$C$51,((D819+E819)*C819)*'Assumptions and Catalog'!$H$51+'Assumptions and Catalog'!$E$51+'Assumptions and Catalog'!$F$51,IF(((D819+E819)*C819)&lt;='Assumptions and Catalog'!$C$52,((D819+E819)*C819)*'Assumptions and Catalog'!$H$52+'Assumptions and Catalog'!$E$52+'Assumptions and Catalog'!$F$52,IF(((D819+E819)*C819)&lt;='Assumptions and Catalog'!$C$53,((D819+E819)*C819)*'Assumptions and Catalog'!$H$53+'Assumptions and Catalog'!$E$53+'Assumptions and Catalog'!$F$53,IF(((D819+E819)*C819)&lt;='Assumptions and Catalog'!$C$54,((D819+E819)*C819)*'Assumptions and Catalog'!$H$54+'Assumptions and Catalog'!$E$54+'Assumptions and Catalog'!$F$54,IF(((D819+E819)*C819)&lt;='Assumptions and Catalog'!$C$55,((D819+E819)*C819)*'Assumptions and Catalog'!$H$55+'Assumptions and Catalog'!$E$55+'Assumptions and Catalog'!$F$55,IF(((D819+E819)*C819)&lt;='Assumptions and Catalog'!$C$56,((D819+E819)*C819)*'Assumptions and Catalog'!$H$56+'Assumptions and Catalog'!$E$56+'Assumptions and Catalog'!$F$56,IF(((D819+E819)*C819)&lt;='Assumptions and Catalog'!$C$57,((D819+E819)*C819)*'Assumptions and Catalog'!$H$57+'Assumptions and Catalog'!$E$57+'Assumptions and Catalog'!$F$57,"Out of range")))))))),IF(((D819+E819)*C819)&lt;='Assumptions and Catalog'!$C$60,((D819+E819)*C819)*'Assumptions and Catalog'!$H$60+'Assumptions and Catalog'!$E$60+'Assumptions and Catalog'!$F$60,IF(((D819+E819)*C819)&lt;='Assumptions and Catalog'!$C$61,((D819+E819)*C819)*'Assumptions and Catalog'!$H$61+'Assumptions and Catalog'!$E$61+'Assumptions and Catalog'!$F$61,IF(((D819+E819)*C819)&lt;='Assumptions and Catalog'!$C$62,((D819+E819)*C819)*'Assumptions and Catalog'!$H$62+'Assumptions and Catalog'!$E$62+'Assumptions and Catalog'!$F$62,IF(((D819+E819)*C819)&lt;='Assumptions and Catalog'!$C$63,((D819+E819)*C819)*'Assumptions and Catalog'!$H$63+'Assumptions and Catalog'!$E$63+'Assumptions and Catalog'!$F$63,IF(((D819+E819)*C819)&lt;='Assumptions and Catalog'!$C$64,((D819+E819)*C819)*'Assumptions and Catalog'!$H$64+'Assumptions and Catalog'!$E$64+'Assumptions and Catalog'!$F$64,IF(((D819+E819)*C819)&lt;='Assumptions and Catalog'!$C$65,((D819+E819)*C819)*'Assumptions and Catalog'!$H$65+'Assumptions and Catalog'!$E$65+'Assumptions and Catalog'!$F$65,"Out of range")))))))))*(1+'Assumptions and Catalog'!$C$8)^(A819-1),0)</f>
        <v>7094.794</v>
      </c>
      <c r="N819" s="5" t="n">
        <f>IF(ISNUMBER(Inputs!$L$5),(IF(Inputs!$L$9="Actual flat rate",L819*Inputs!$L$10,IF(Inputs!$C$9="Residential",IF(L819&lt;='Assumptions and Catalog'!$C$50,L819*'Assumptions and Catalog'!$H$50+'Assumptions and Catalog'!$E$50+'Assumptions and Catalog'!$F$50,IF(L819&lt;='Assumptions and Catalog'!$C$51,L819*'Assumptions and Catalog'!$H$51+'Assumptions and Catalog'!$E$51+'Assumptions and Catalog'!$F$51,IF(L819&lt;='Assumptions and Catalog'!$C$52,L819*'Assumptions and Catalog'!$H$52+'Assumptions and Catalog'!$E$52+'Assumptions and Catalog'!$F$52,IF(L819&lt;='Assumptions and Catalog'!$C$53,L819*'Assumptions and Catalog'!$H$53+'Assumptions and Catalog'!$E$53+'Assumptions and Catalog'!$F$53,IF(L819&lt;='Assumptions and Catalog'!$C$54,L819*'Assumptions and Catalog'!$H$54+'Assumptions and Catalog'!$E$54+'Assumptions and Catalog'!$F$54,IF(L819&lt;='Assumptions and Catalog'!$C$55,L819*'Assumptions and Catalog'!$H$55+'Assumptions and Catalog'!$E$55+'Assumptions and Catalog'!$F$55,IF(L819&lt;='Assumptions and Catalog'!$C$56,L819*'Assumptions and Catalog'!$H$56+'Assumptions and Catalog'!$E$56+'Assumptions and Catalog'!$F$56,IF(L819&lt;='Assumptions and Catalog'!$C$57,L819*'Assumptions and Catalog'!$H$57+'Assumptions and Catalog'!$E$57+'Assumptions and Catalog'!$F$57,"Out of range")))))))),IF(L819&lt;='Assumptions and Catalog'!$C$60,L819*'Assumptions and Catalog'!$H$60+'Assumptions and Catalog'!$E$60+'Assumptions and Catalog'!$F$60,IF(L819&lt;='Assumptions and Catalog'!$C$61,L819*'Assumptions and Catalog'!$H$61+'Assumptions and Catalog'!$E$61+'Assumptions and Catalog'!$F$61,IF(L819&lt;='Assumptions and Catalog'!$C$62,L819*'Assumptions and Catalog'!$H$62+'Assumptions and Catalog'!$E$62+'Assumptions and Catalog'!$F$62,IF(L819&lt;='Assumptions and Catalog'!$C$63,L819*'Assumptions and Catalog'!$H$63+'Assumptions and Catalog'!$E$63+'Assumptions and Catalog'!$F$63,IF(L819&lt;='Assumptions and Catalog'!$C$64,L819*'Assumptions and Catalog'!$H$64+'Assumptions and Catalog'!$E$64+'Assumptions and Catalog'!$F$64,IF(L819&lt;='Assumptions and Catalog'!$C$65,L819*'Assumptions and Catalog'!$H$65+'Assumptions and Catalog'!$E$65+'Assumptions and Catalog'!$F$65,"Out of range")))))))))*(1+'Assumptions and Catalog'!$C$8)^(A819-1),0)</f>
        <v>2622.94605211264</v>
      </c>
      <c r="O819" s="5" t="n">
        <f>M819-N819</f>
        <v>4471.84794788736</v>
      </c>
      <c r="P819" s="5" t="n">
        <f>E$55*(1-L$14)*(1-'Assumptions and Catalog'!$C$23)^R819</f>
        <v>9.63780608</v>
      </c>
      <c r="Q819" s="5" t="n">
        <f>IF(ISNUMBER(Inputs!$L$5),(IF(Inputs!$L$9="Actual flat rate",((D819+E819)*C819-G819)*Inputs!$L$10,IF(Inputs!$C$9="Residential",IF(((D819+E819)*C819-G819)&lt;='Assumptions and Catalog'!$C$50,((D819+E819)*C819-G819)*'Assumptions and Catalog'!$H$50+'Assumptions and Catalog'!$E$50+'Assumptions and Catalog'!$F$50,IF(((D819+E819)*C819-G819)&lt;='Assumptions and Catalog'!$C$51,((D819+E819)*C819-G819)*'Assumptions and Catalog'!$H$51+'Assumptions and Catalog'!$E$51+'Assumptions and Catalog'!$F$51,IF(((D819+E819)*C819-G819)&lt;='Assumptions and Catalog'!$C$52,((D819+E819)*C819-G819)*'Assumptions and Catalog'!$H$52+'Assumptions and Catalog'!$E$52+'Assumptions and Catalog'!$F$52,IF(((D819+E819)*C819-G819)&lt;='Assumptions and Catalog'!$C$53,((D819+E819)*C819-G819)*'Assumptions and Catalog'!$H$53+'Assumptions and Catalog'!$E$53+'Assumptions and Catalog'!$F$53,IF(((D819+E819)*C819-G819)&lt;='Assumptions and Catalog'!$C$54,((D819+E819)*C819-G819)*'Assumptions and Catalog'!$H$54+'Assumptions and Catalog'!$E$54+'Assumptions and Catalog'!$F$54,IF(((D819+E819)*C819-G819)&lt;='Assumptions and Catalog'!$C$55,((D819+E819)*C819-G819)*'Assumptions and Catalog'!$H$55+'Assumptions and Catalog'!$E$55+'Assumptions and Catalog'!$F$55,IF(((D819+E819)*C819-G819)&lt;='Assumptions and Catalog'!$C$56,((D819+E819)*C819-G819)*'Assumptions and Catalog'!$H$56+'Assumptions and Catalog'!$E$56+'Assumptions and Catalog'!$F$56,IF(((D819+E819)*C819-G819)&lt;='Assumptions and Catalog'!$C$57,((D819+E819)*C819-G819)*'Assumptions and Catalog'!$H$57+'Assumptions and Catalog'!$E$57+'Assumptions and Catalog'!$F$57,"Out of range")))))))),IF(((D819+E819)*C819-G819)&lt;='Assumptions and Catalog'!$C$60,((D819+E819)*C819-G819)*'Assumptions and Catalog'!$H$60+'Assumptions and Catalog'!$E$60+'Assumptions and Catalog'!$F$60,IF(((D819+E819)*C819-G819)&lt;='Assumptions and Catalog'!$C$61,((D819+E819)*C819-G819)*'Assumptions and Catalog'!$H$61+'Assumptions and Catalog'!$E$61+'Assumptions and Catalog'!$F$61,IF(((D819+E819)*C819-G819)&lt;='Assumptions and Catalog'!$C$62,((D819+E819)*C819-G819)*'Assumptions and Catalog'!$H$62+'Assumptions and Catalog'!$E$62+'Assumptions and Catalog'!$F$62,IF(((D819+E819)*C819-G819)&lt;='Assumptions and Catalog'!$C$63,((D819+E819)*C819-G819)*'Assumptions and Catalog'!$H$63+'Assumptions and Catalog'!$E$63+'Assumptions and Catalog'!$F$63,IF(((D819+E819)*C819-G819)&lt;='Assumptions and Catalog'!$C$64,((D819+E819)*C819-G819)*'Assumptions and Catalog'!$H$64+'Assumptions and Catalog'!$E$64+'Assumptions and Catalog'!$F$64,IF(((D819+E819)*C819-G819)&lt;='Assumptions and Catalog'!$C$65,((D819+E819)*C819-G819)*'Assumptions and Catalog'!$H$65+'Assumptions and Catalog'!$E$65+'Assumptions and Catalog'!$F$65,"Out of range")))))))))*(1+'Assumptions and Catalog'!$C$8)^(A819-1),0)</f>
        <v>3567.397</v>
      </c>
      <c r="R819" s="5" t="n">
        <f>IF(AND('Assumptions and Catalog'!$C$19&gt;0,A819&gt;='Assumptions and Catalog'!$C$19),A819-'Assumptions and Catalog'!$C$19,A819-1)</f>
        <v>3</v>
      </c>
      <c r="S819" s="5" t="n">
        <f>F819+L819-(D819+E819)*C819-J819-K819-IF(E$52&gt;0,'Assumptions and Catalog'!$C$26*C819,0)</f>
        <v>-5.6843418860808E-014</v>
      </c>
      <c r="T819" s="5"/>
      <c r="U819" s="5"/>
    </row>
    <row r="820" ht="23.100000381469727" customHeight="1">
      <c r="A820" s="5" t="n">
        <v>14</v>
      </c>
      <c r="B820" s="5" t="n">
        <v>4</v>
      </c>
      <c r="C820" s="5" t="n">
        <f>DAY(DATE('Assumptions and Catalog'!$C$24+A820-1,B820+1,0))</f>
        <v>30</v>
      </c>
      <c r="D820" s="5" t="n">
        <f>IF(ISNUMBER(Inputs!$L$5),Inputs!$L$5*Inputs!$L$6,0)</f>
        <v>40.35</v>
      </c>
      <c r="E820" s="5" t="n">
        <f>IF(ISNUMBER(Inputs!$L$5),Inputs!$L$5-D820,0)</f>
        <v>40.35</v>
      </c>
      <c r="F820" s="5" t="n">
        <f>E$51*INDEX('Solar Production'!$D$20:$D$31,B820)*C820*(1-'Assumptions and Catalog'!$C$10)^(A820-1)</f>
        <v>1657.8330724631</v>
      </c>
      <c r="G820" s="5" t="n">
        <f>MIN(F820,D820*C820)</f>
        <v>1210.5</v>
      </c>
      <c r="H820" s="5" t="n">
        <f>I820/('Assumptions and Catalog'!$C$11*'Assumptions and Catalog'!$C$12)</f>
        <v>296.547879384615</v>
      </c>
      <c r="I820" s="5" t="n">
        <f>MIN(E820*C820,P820*'Assumptions and Catalog'!$C$12*C820,(F820-G820)*'Assumptions and Catalog'!$C$11*'Assumptions and Catalog'!$C$12,E$56*'Assumptions and Catalog'!$C$14*'Assumptions and Catalog'!$C$11*'Assumptions and Catalog'!$C$12*C820,E$57*(24-'Assumptions and Catalog'!$C$13)*C820)</f>
        <v>281.90582784</v>
      </c>
      <c r="J820" s="5" t="n">
        <f>MAX(F820-G820-H820,0)</f>
        <v>150.785193078482</v>
      </c>
      <c r="K820" s="5" t="n">
        <f>H820-I820</f>
        <v>14.6420515446154</v>
      </c>
      <c r="L820" s="5" t="n">
        <f>(D820+E820)*C820-G820-I820+0+IF(E$52&gt;0,'Assumptions and Catalog'!$C$26*C820,0)</f>
        <v>928.59417216</v>
      </c>
      <c r="M820" s="5" t="n">
        <f>IF(ISNUMBER(Inputs!$L$5),(IF(Inputs!$L$9="Actual flat rate",((D820+E820)*C820)*Inputs!$L$10,IF(Inputs!$C$9="Residential",IF(((D820+E820)*C820)&lt;='Assumptions and Catalog'!$C$50,((D820+E820)*C820)*'Assumptions and Catalog'!$H$50+'Assumptions and Catalog'!$E$50+'Assumptions and Catalog'!$F$50,IF(((D820+E820)*C820)&lt;='Assumptions and Catalog'!$C$51,((D820+E820)*C820)*'Assumptions and Catalog'!$H$51+'Assumptions and Catalog'!$E$51+'Assumptions and Catalog'!$F$51,IF(((D820+E820)*C820)&lt;='Assumptions and Catalog'!$C$52,((D820+E820)*C820)*'Assumptions and Catalog'!$H$52+'Assumptions and Catalog'!$E$52+'Assumptions and Catalog'!$F$52,IF(((D820+E820)*C820)&lt;='Assumptions and Catalog'!$C$53,((D820+E820)*C820)*'Assumptions and Catalog'!$H$53+'Assumptions and Catalog'!$E$53+'Assumptions and Catalog'!$F$53,IF(((D820+E820)*C820)&lt;='Assumptions and Catalog'!$C$54,((D820+E820)*C820)*'Assumptions and Catalog'!$H$54+'Assumptions and Catalog'!$E$54+'Assumptions and Catalog'!$F$54,IF(((D820+E820)*C820)&lt;='Assumptions and Catalog'!$C$55,((D820+E820)*C820)*'Assumptions and Catalog'!$H$55+'Assumptions and Catalog'!$E$55+'Assumptions and Catalog'!$F$55,IF(((D820+E820)*C820)&lt;='Assumptions and Catalog'!$C$56,((D820+E820)*C820)*'Assumptions and Catalog'!$H$56+'Assumptions and Catalog'!$E$56+'Assumptions and Catalog'!$F$56,IF(((D820+E820)*C820)&lt;='Assumptions and Catalog'!$C$57,((D820+E820)*C820)*'Assumptions and Catalog'!$H$57+'Assumptions and Catalog'!$E$57+'Assumptions and Catalog'!$F$57,"Out of range")))))))),IF(((D820+E820)*C820)&lt;='Assumptions and Catalog'!$C$60,((D820+E820)*C820)*'Assumptions and Catalog'!$H$60+'Assumptions and Catalog'!$E$60+'Assumptions and Catalog'!$F$60,IF(((D820+E820)*C820)&lt;='Assumptions and Catalog'!$C$61,((D820+E820)*C820)*'Assumptions and Catalog'!$H$61+'Assumptions and Catalog'!$E$61+'Assumptions and Catalog'!$F$61,IF(((D820+E820)*C820)&lt;='Assumptions and Catalog'!$C$62,((D820+E820)*C820)*'Assumptions and Catalog'!$H$62+'Assumptions and Catalog'!$E$62+'Assumptions and Catalog'!$F$62,IF(((D820+E820)*C820)&lt;='Assumptions and Catalog'!$C$63,((D820+E820)*C820)*'Assumptions and Catalog'!$H$63+'Assumptions and Catalog'!$E$63+'Assumptions and Catalog'!$F$63,IF(((D820+E820)*C820)&lt;='Assumptions and Catalog'!$C$64,((D820+E820)*C820)*'Assumptions and Catalog'!$H$64+'Assumptions and Catalog'!$E$64+'Assumptions and Catalog'!$F$64,IF(((D820+E820)*C820)&lt;='Assumptions and Catalog'!$C$65,((D820+E820)*C820)*'Assumptions and Catalog'!$H$65+'Assumptions and Catalog'!$E$65+'Assumptions and Catalog'!$F$65,"Out of range")))))))))*(1+'Assumptions and Catalog'!$C$8)^(A820-1),0)</f>
        <v>6867.22</v>
      </c>
      <c r="N820" s="5" t="n">
        <f>IF(ISNUMBER(Inputs!$L$5),(IF(Inputs!$L$9="Actual flat rate",L820*Inputs!$L$10,IF(Inputs!$C$9="Residential",IF(L820&lt;='Assumptions and Catalog'!$C$50,L820*'Assumptions and Catalog'!$H$50+'Assumptions and Catalog'!$E$50+'Assumptions and Catalog'!$F$50,IF(L820&lt;='Assumptions and Catalog'!$C$51,L820*'Assumptions and Catalog'!$H$51+'Assumptions and Catalog'!$E$51+'Assumptions and Catalog'!$F$51,IF(L820&lt;='Assumptions and Catalog'!$C$52,L820*'Assumptions and Catalog'!$H$52+'Assumptions and Catalog'!$E$52+'Assumptions and Catalog'!$F$52,IF(L820&lt;='Assumptions and Catalog'!$C$53,L820*'Assumptions and Catalog'!$H$53+'Assumptions and Catalog'!$E$53+'Assumptions and Catalog'!$F$53,IF(L820&lt;='Assumptions and Catalog'!$C$54,L820*'Assumptions and Catalog'!$H$54+'Assumptions and Catalog'!$E$54+'Assumptions and Catalog'!$F$54,IF(L820&lt;='Assumptions and Catalog'!$C$55,L820*'Assumptions and Catalog'!$H$55+'Assumptions and Catalog'!$E$55+'Assumptions and Catalog'!$F$55,IF(L820&lt;='Assumptions and Catalog'!$C$56,L820*'Assumptions and Catalog'!$H$56+'Assumptions and Catalog'!$E$56+'Assumptions and Catalog'!$F$56,IF(L820&lt;='Assumptions and Catalog'!$C$57,L820*'Assumptions and Catalog'!$H$57+'Assumptions and Catalog'!$E$57+'Assumptions and Catalog'!$F$57,"Out of range")))))))),IF(L820&lt;='Assumptions and Catalog'!$C$60,L820*'Assumptions and Catalog'!$H$60+'Assumptions and Catalog'!$E$60+'Assumptions and Catalog'!$F$60,IF(L820&lt;='Assumptions and Catalog'!$C$61,L820*'Assumptions and Catalog'!$H$61+'Assumptions and Catalog'!$E$61+'Assumptions and Catalog'!$F$61,IF(L820&lt;='Assumptions and Catalog'!$C$62,L820*'Assumptions and Catalog'!$H$62+'Assumptions and Catalog'!$E$62+'Assumptions and Catalog'!$F$62,IF(L820&lt;='Assumptions and Catalog'!$C$63,L820*'Assumptions and Catalog'!$H$63+'Assumptions and Catalog'!$E$63+'Assumptions and Catalog'!$F$63,IF(L820&lt;='Assumptions and Catalog'!$C$64,L820*'Assumptions and Catalog'!$H$64+'Assumptions and Catalog'!$E$64+'Assumptions and Catalog'!$F$64,IF(L820&lt;='Assumptions and Catalog'!$C$65,L820*'Assumptions and Catalog'!$H$65+'Assumptions and Catalog'!$E$65+'Assumptions and Catalog'!$F$65,"Out of range")))))))))*(1+'Assumptions and Catalog'!$C$8)^(A820-1),0)</f>
        <v>2537.2058568832</v>
      </c>
      <c r="O820" s="5" t="n">
        <f>M820-N820</f>
        <v>4330.0141431168</v>
      </c>
      <c r="P820" s="5" t="n">
        <f>E$55*(1-L$14)*(1-'Assumptions and Catalog'!$C$23)^R820</f>
        <v>9.63780608</v>
      </c>
      <c r="Q820" s="5" t="n">
        <f>IF(ISNUMBER(Inputs!$L$5),(IF(Inputs!$L$9="Actual flat rate",((D820+E820)*C820-G820)*Inputs!$L$10,IF(Inputs!$C$9="Residential",IF(((D820+E820)*C820-G820)&lt;='Assumptions and Catalog'!$C$50,((D820+E820)*C820-G820)*'Assumptions and Catalog'!$H$50+'Assumptions and Catalog'!$E$50+'Assumptions and Catalog'!$F$50,IF(((D820+E820)*C820-G820)&lt;='Assumptions and Catalog'!$C$51,((D820+E820)*C820-G820)*'Assumptions and Catalog'!$H$51+'Assumptions and Catalog'!$E$51+'Assumptions and Catalog'!$F$51,IF(((D820+E820)*C820-G820)&lt;='Assumptions and Catalog'!$C$52,((D820+E820)*C820-G820)*'Assumptions and Catalog'!$H$52+'Assumptions and Catalog'!$E$52+'Assumptions and Catalog'!$F$52,IF(((D820+E820)*C820-G820)&lt;='Assumptions and Catalog'!$C$53,((D820+E820)*C820-G820)*'Assumptions and Catalog'!$H$53+'Assumptions and Catalog'!$E$53+'Assumptions and Catalog'!$F$53,IF(((D820+E820)*C820-G820)&lt;='Assumptions and Catalog'!$C$54,((D820+E820)*C820-G820)*'Assumptions and Catalog'!$H$54+'Assumptions and Catalog'!$E$54+'Assumptions and Catalog'!$F$54,IF(((D820+E820)*C820-G820)&lt;='Assumptions and Catalog'!$C$55,((D820+E820)*C820-G820)*'Assumptions and Catalog'!$H$55+'Assumptions and Catalog'!$E$55+'Assumptions and Catalog'!$F$55,IF(((D820+E820)*C820-G820)&lt;='Assumptions and Catalog'!$C$56,((D820+E820)*C820-G820)*'Assumptions and Catalog'!$H$56+'Assumptions and Catalog'!$E$56+'Assumptions and Catalog'!$F$56,IF(((D820+E820)*C820-G820)&lt;='Assumptions and Catalog'!$C$57,((D820+E820)*C820-G820)*'Assumptions and Catalog'!$H$57+'Assumptions and Catalog'!$E$57+'Assumptions and Catalog'!$F$57,"Out of range")))))))),IF(((D820+E820)*C820-G820)&lt;='Assumptions and Catalog'!$C$60,((D820+E820)*C820-G820)*'Assumptions and Catalog'!$H$60+'Assumptions and Catalog'!$E$60+'Assumptions and Catalog'!$F$60,IF(((D820+E820)*C820-G820)&lt;='Assumptions and Catalog'!$C$61,((D820+E820)*C820-G820)*'Assumptions and Catalog'!$H$61+'Assumptions and Catalog'!$E$61+'Assumptions and Catalog'!$F$61,IF(((D820+E820)*C820-G820)&lt;='Assumptions and Catalog'!$C$62,((D820+E820)*C820-G820)*'Assumptions and Catalog'!$H$62+'Assumptions and Catalog'!$E$62+'Assumptions and Catalog'!$F$62,IF(((D820+E820)*C820-G820)&lt;='Assumptions and Catalog'!$C$63,((D820+E820)*C820-G820)*'Assumptions and Catalog'!$H$63+'Assumptions and Catalog'!$E$63+'Assumptions and Catalog'!$F$63,IF(((D820+E820)*C820-G820)&lt;='Assumptions and Catalog'!$C$64,((D820+E820)*C820-G820)*'Assumptions and Catalog'!$H$64+'Assumptions and Catalog'!$E$64+'Assumptions and Catalog'!$F$64,IF(((D820+E820)*C820-G820)&lt;='Assumptions and Catalog'!$C$65,((D820+E820)*C820-G820)*'Assumptions and Catalog'!$H$65+'Assumptions and Catalog'!$E$65+'Assumptions and Catalog'!$F$65,"Out of range")))))))))*(1+'Assumptions and Catalog'!$C$8)^(A820-1),0)</f>
        <v>3453.61</v>
      </c>
      <c r="R820" s="5" t="n">
        <f>IF(AND('Assumptions and Catalog'!$C$19&gt;0,A820&gt;='Assumptions and Catalog'!$C$19),A820-'Assumptions and Catalog'!$C$19,A820-1)</f>
        <v>3</v>
      </c>
      <c r="S820" s="5" t="n">
        <f>F820+L820-(D820+E820)*C820-J820-K820-IF(E$52&gt;0,'Assumptions and Catalog'!$C$26*C820,0)</f>
        <v>2.27373675443232E-013</v>
      </c>
      <c r="T820" s="5"/>
      <c r="U820" s="5"/>
    </row>
    <row r="821" ht="23.100000381469727" customHeight="1">
      <c r="A821" s="5" t="n">
        <v>14</v>
      </c>
      <c r="B821" s="5" t="n">
        <v>5</v>
      </c>
      <c r="C821" s="5" t="n">
        <f>DAY(DATE('Assumptions and Catalog'!$C$24+A821-1,B821+1,0))</f>
        <v>31</v>
      </c>
      <c r="D821" s="5" t="n">
        <f>IF(ISNUMBER(Inputs!$L$5),Inputs!$L$5*Inputs!$L$6,0)</f>
        <v>40.35</v>
      </c>
      <c r="E821" s="5" t="n">
        <f>IF(ISNUMBER(Inputs!$L$5),Inputs!$L$5-D821,0)</f>
        <v>40.35</v>
      </c>
      <c r="F821" s="5" t="n">
        <f>E$51*INDEX('Solar Production'!$D$20:$D$31,B821)*C821*(1-'Assumptions and Catalog'!$C$10)^(A821-1)</f>
        <v>1677.00234707942</v>
      </c>
      <c r="G821" s="5" t="n">
        <f>MIN(F821,D821*C821)</f>
        <v>1250.85</v>
      </c>
      <c r="H821" s="5" t="n">
        <f>I821/('Assumptions and Catalog'!$C$11*'Assumptions and Catalog'!$C$12)</f>
        <v>306.432808697436</v>
      </c>
      <c r="I821" s="5" t="n">
        <f>MIN(E821*C821,P821*'Assumptions and Catalog'!$C$12*C821,(F821-G821)*'Assumptions and Catalog'!$C$11*'Assumptions and Catalog'!$C$12,E$56*'Assumptions and Catalog'!$C$14*'Assumptions and Catalog'!$C$11*'Assumptions and Catalog'!$C$12*C821,E$57*(24-'Assumptions and Catalog'!$C$13)*C821)</f>
        <v>291.302688768</v>
      </c>
      <c r="J821" s="5" t="n">
        <f>MAX(F821-G821-H821,0)</f>
        <v>119.719538381982</v>
      </c>
      <c r="K821" s="5" t="n">
        <f>H821-I821</f>
        <v>15.1301199294359</v>
      </c>
      <c r="L821" s="5" t="n">
        <f>(D821+E821)*C821-G821-I821+0+IF(E$52&gt;0,'Assumptions and Catalog'!$C$26*C821,0)</f>
        <v>959.547311232</v>
      </c>
      <c r="M821" s="5" t="n">
        <f>IF(ISNUMBER(Inputs!$L$5),(IF(Inputs!$L$9="Actual flat rate",((D821+E821)*C821)*Inputs!$L$10,IF(Inputs!$C$9="Residential",IF(((D821+E821)*C821)&lt;='Assumptions and Catalog'!$C$50,((D821+E821)*C821)*'Assumptions and Catalog'!$H$50+'Assumptions and Catalog'!$E$50+'Assumptions and Catalog'!$F$50,IF(((D821+E821)*C821)&lt;='Assumptions and Catalog'!$C$51,((D821+E821)*C821)*'Assumptions and Catalog'!$H$51+'Assumptions and Catalog'!$E$51+'Assumptions and Catalog'!$F$51,IF(((D821+E821)*C821)&lt;='Assumptions and Catalog'!$C$52,((D821+E821)*C821)*'Assumptions and Catalog'!$H$52+'Assumptions and Catalog'!$E$52+'Assumptions and Catalog'!$F$52,IF(((D821+E821)*C821)&lt;='Assumptions and Catalog'!$C$53,((D821+E821)*C821)*'Assumptions and Catalog'!$H$53+'Assumptions and Catalog'!$E$53+'Assumptions and Catalog'!$F$53,IF(((D821+E821)*C821)&lt;='Assumptions and Catalog'!$C$54,((D821+E821)*C821)*'Assumptions and Catalog'!$H$54+'Assumptions and Catalog'!$E$54+'Assumptions and Catalog'!$F$54,IF(((D821+E821)*C821)&lt;='Assumptions and Catalog'!$C$55,((D821+E821)*C821)*'Assumptions and Catalog'!$H$55+'Assumptions and Catalog'!$E$55+'Assumptions and Catalog'!$F$55,IF(((D821+E821)*C821)&lt;='Assumptions and Catalog'!$C$56,((D821+E821)*C821)*'Assumptions and Catalog'!$H$56+'Assumptions and Catalog'!$E$56+'Assumptions and Catalog'!$F$56,IF(((D821+E821)*C821)&lt;='Assumptions and Catalog'!$C$57,((D821+E821)*C821)*'Assumptions and Catalog'!$H$57+'Assumptions and Catalog'!$E$57+'Assumptions and Catalog'!$F$57,"Out of range")))))))),IF(((D821+E821)*C821)&lt;='Assumptions and Catalog'!$C$60,((D821+E821)*C821)*'Assumptions and Catalog'!$H$60+'Assumptions and Catalog'!$E$60+'Assumptions and Catalog'!$F$60,IF(((D821+E821)*C821)&lt;='Assumptions and Catalog'!$C$61,((D821+E821)*C821)*'Assumptions and Catalog'!$H$61+'Assumptions and Catalog'!$E$61+'Assumptions and Catalog'!$F$61,IF(((D821+E821)*C821)&lt;='Assumptions and Catalog'!$C$62,((D821+E821)*C821)*'Assumptions and Catalog'!$H$62+'Assumptions and Catalog'!$E$62+'Assumptions and Catalog'!$F$62,IF(((D821+E821)*C821)&lt;='Assumptions and Catalog'!$C$63,((D821+E821)*C821)*'Assumptions and Catalog'!$H$63+'Assumptions and Catalog'!$E$63+'Assumptions and Catalog'!$F$63,IF(((D821+E821)*C821)&lt;='Assumptions and Catalog'!$C$64,((D821+E821)*C821)*'Assumptions and Catalog'!$H$64+'Assumptions and Catalog'!$E$64+'Assumptions and Catalog'!$F$64,IF(((D821+E821)*C821)&lt;='Assumptions and Catalog'!$C$65,((D821+E821)*C821)*'Assumptions and Catalog'!$H$65+'Assumptions and Catalog'!$E$65+'Assumptions and Catalog'!$F$65,"Out of range")))))))))*(1+'Assumptions and Catalog'!$C$8)^(A821-1),0)</f>
        <v>7094.794</v>
      </c>
      <c r="N821" s="5" t="n">
        <f>IF(ISNUMBER(Inputs!$L$5),(IF(Inputs!$L$9="Actual flat rate",L821*Inputs!$L$10,IF(Inputs!$C$9="Residential",IF(L821&lt;='Assumptions and Catalog'!$C$50,L821*'Assumptions and Catalog'!$H$50+'Assumptions and Catalog'!$E$50+'Assumptions and Catalog'!$F$50,IF(L821&lt;='Assumptions and Catalog'!$C$51,L821*'Assumptions and Catalog'!$H$51+'Assumptions and Catalog'!$E$51+'Assumptions and Catalog'!$F$51,IF(L821&lt;='Assumptions and Catalog'!$C$52,L821*'Assumptions and Catalog'!$H$52+'Assumptions and Catalog'!$E$52+'Assumptions and Catalog'!$F$52,IF(L821&lt;='Assumptions and Catalog'!$C$53,L821*'Assumptions and Catalog'!$H$53+'Assumptions and Catalog'!$E$53+'Assumptions and Catalog'!$F$53,IF(L821&lt;='Assumptions and Catalog'!$C$54,L821*'Assumptions and Catalog'!$H$54+'Assumptions and Catalog'!$E$54+'Assumptions and Catalog'!$F$54,IF(L821&lt;='Assumptions and Catalog'!$C$55,L821*'Assumptions and Catalog'!$H$55+'Assumptions and Catalog'!$E$55+'Assumptions and Catalog'!$F$55,IF(L821&lt;='Assumptions and Catalog'!$C$56,L821*'Assumptions and Catalog'!$H$56+'Assumptions and Catalog'!$E$56+'Assumptions and Catalog'!$F$56,IF(L821&lt;='Assumptions and Catalog'!$C$57,L821*'Assumptions and Catalog'!$H$57+'Assumptions and Catalog'!$E$57+'Assumptions and Catalog'!$F$57,"Out of range")))))))),IF(L821&lt;='Assumptions and Catalog'!$C$60,L821*'Assumptions and Catalog'!$H$60+'Assumptions and Catalog'!$E$60+'Assumptions and Catalog'!$F$60,IF(L821&lt;='Assumptions and Catalog'!$C$61,L821*'Assumptions and Catalog'!$H$61+'Assumptions and Catalog'!$E$61+'Assumptions and Catalog'!$F$61,IF(L821&lt;='Assumptions and Catalog'!$C$62,L821*'Assumptions and Catalog'!$H$62+'Assumptions and Catalog'!$E$62+'Assumptions and Catalog'!$F$62,IF(L821&lt;='Assumptions and Catalog'!$C$63,L821*'Assumptions and Catalog'!$H$63+'Assumptions and Catalog'!$E$63+'Assumptions and Catalog'!$F$63,IF(L821&lt;='Assumptions and Catalog'!$C$64,L821*'Assumptions and Catalog'!$H$64+'Assumptions and Catalog'!$E$64+'Assumptions and Catalog'!$F$64,IF(L821&lt;='Assumptions and Catalog'!$C$65,L821*'Assumptions and Catalog'!$H$65+'Assumptions and Catalog'!$E$65+'Assumptions and Catalog'!$F$65,"Out of range")))))))))*(1+'Assumptions and Catalog'!$C$8)^(A821-1),0)</f>
        <v>2622.94605211264</v>
      </c>
      <c r="O821" s="5" t="n">
        <f>M821-N821</f>
        <v>4471.84794788736</v>
      </c>
      <c r="P821" s="5" t="n">
        <f>E$55*(1-L$14)*(1-'Assumptions and Catalog'!$C$23)^R821</f>
        <v>9.63780608</v>
      </c>
      <c r="Q821" s="5" t="n">
        <f>IF(ISNUMBER(Inputs!$L$5),(IF(Inputs!$L$9="Actual flat rate",((D821+E821)*C821-G821)*Inputs!$L$10,IF(Inputs!$C$9="Residential",IF(((D821+E821)*C821-G821)&lt;='Assumptions and Catalog'!$C$50,((D821+E821)*C821-G821)*'Assumptions and Catalog'!$H$50+'Assumptions and Catalog'!$E$50+'Assumptions and Catalog'!$F$50,IF(((D821+E821)*C821-G821)&lt;='Assumptions and Catalog'!$C$51,((D821+E821)*C821-G821)*'Assumptions and Catalog'!$H$51+'Assumptions and Catalog'!$E$51+'Assumptions and Catalog'!$F$51,IF(((D821+E821)*C821-G821)&lt;='Assumptions and Catalog'!$C$52,((D821+E821)*C821-G821)*'Assumptions and Catalog'!$H$52+'Assumptions and Catalog'!$E$52+'Assumptions and Catalog'!$F$52,IF(((D821+E821)*C821-G821)&lt;='Assumptions and Catalog'!$C$53,((D821+E821)*C821-G821)*'Assumptions and Catalog'!$H$53+'Assumptions and Catalog'!$E$53+'Assumptions and Catalog'!$F$53,IF(((D821+E821)*C821-G821)&lt;='Assumptions and Catalog'!$C$54,((D821+E821)*C821-G821)*'Assumptions and Catalog'!$H$54+'Assumptions and Catalog'!$E$54+'Assumptions and Catalog'!$F$54,IF(((D821+E821)*C821-G821)&lt;='Assumptions and Catalog'!$C$55,((D821+E821)*C821-G821)*'Assumptions and Catalog'!$H$55+'Assumptions and Catalog'!$E$55+'Assumptions and Catalog'!$F$55,IF(((D821+E821)*C821-G821)&lt;='Assumptions and Catalog'!$C$56,((D821+E821)*C821-G821)*'Assumptions and Catalog'!$H$56+'Assumptions and Catalog'!$E$56+'Assumptions and Catalog'!$F$56,IF(((D821+E821)*C821-G821)&lt;='Assumptions and Catalog'!$C$57,((D821+E821)*C821-G821)*'Assumptions and Catalog'!$H$57+'Assumptions and Catalog'!$E$57+'Assumptions and Catalog'!$F$57,"Out of range")))))))),IF(((D821+E821)*C821-G821)&lt;='Assumptions and Catalog'!$C$60,((D821+E821)*C821-G821)*'Assumptions and Catalog'!$H$60+'Assumptions and Catalog'!$E$60+'Assumptions and Catalog'!$F$60,IF(((D821+E821)*C821-G821)&lt;='Assumptions and Catalog'!$C$61,((D821+E821)*C821-G821)*'Assumptions and Catalog'!$H$61+'Assumptions and Catalog'!$E$61+'Assumptions and Catalog'!$F$61,IF(((D821+E821)*C821-G821)&lt;='Assumptions and Catalog'!$C$62,((D821+E821)*C821-G821)*'Assumptions and Catalog'!$H$62+'Assumptions and Catalog'!$E$62+'Assumptions and Catalog'!$F$62,IF(((D821+E821)*C821-G821)&lt;='Assumptions and Catalog'!$C$63,((D821+E821)*C821-G821)*'Assumptions and Catalog'!$H$63+'Assumptions and Catalog'!$E$63+'Assumptions and Catalog'!$F$63,IF(((D821+E821)*C821-G821)&lt;='Assumptions and Catalog'!$C$64,((D821+E821)*C821-G821)*'Assumptions and Catalog'!$H$64+'Assumptions and Catalog'!$E$64+'Assumptions and Catalog'!$F$64,IF(((D821+E821)*C821-G821)&lt;='Assumptions and Catalog'!$C$65,((D821+E821)*C821-G821)*'Assumptions and Catalog'!$H$65+'Assumptions and Catalog'!$E$65+'Assumptions and Catalog'!$F$65,"Out of range")))))))))*(1+'Assumptions and Catalog'!$C$8)^(A821-1),0)</f>
        <v>3567.397</v>
      </c>
      <c r="R821" s="5" t="n">
        <f>IF(AND('Assumptions and Catalog'!$C$19&gt;0,A821&gt;='Assumptions and Catalog'!$C$19),A821-'Assumptions and Catalog'!$C$19,A821-1)</f>
        <v>3</v>
      </c>
      <c r="S821" s="5" t="n">
        <f>F821+L821-(D821+E821)*C821-J821-K821-IF(E$52&gt;0,'Assumptions and Catalog'!$C$26*C821,0)</f>
        <v>-5.6843418860808E-014</v>
      </c>
      <c r="T821" s="5"/>
      <c r="U821" s="5"/>
    </row>
    <row r="822" ht="23.100000381469727" customHeight="1">
      <c r="A822" s="5" t="n">
        <v>14</v>
      </c>
      <c r="B822" s="5" t="n">
        <v>6</v>
      </c>
      <c r="C822" s="5" t="n">
        <f>DAY(DATE('Assumptions and Catalog'!$C$24+A822-1,B822+1,0))</f>
        <v>30</v>
      </c>
      <c r="D822" s="5" t="n">
        <f>IF(ISNUMBER(Inputs!$L$5),Inputs!$L$5*Inputs!$L$6,0)</f>
        <v>40.35</v>
      </c>
      <c r="E822" s="5" t="n">
        <f>IF(ISNUMBER(Inputs!$L$5),Inputs!$L$5-D822,0)</f>
        <v>40.35</v>
      </c>
      <c r="F822" s="5" t="n">
        <f>E$51*INDEX('Solar Production'!$D$20:$D$31,B822)*C822*(1-'Assumptions and Catalog'!$C$10)^(A822-1)</f>
        <v>1634.74749443054</v>
      </c>
      <c r="G822" s="5" t="n">
        <f>MIN(F822,D822*C822)</f>
        <v>1210.5</v>
      </c>
      <c r="H822" s="5" t="n">
        <f>I822/('Assumptions and Catalog'!$C$11*'Assumptions and Catalog'!$C$12)</f>
        <v>296.547879384615</v>
      </c>
      <c r="I822" s="5" t="n">
        <f>MIN(E822*C822,P822*'Assumptions and Catalog'!$C$12*C822,(F822-G822)*'Assumptions and Catalog'!$C$11*'Assumptions and Catalog'!$C$12,E$56*'Assumptions and Catalog'!$C$14*'Assumptions and Catalog'!$C$11*'Assumptions and Catalog'!$C$12*C822,E$57*(24-'Assumptions and Catalog'!$C$13)*C822)</f>
        <v>281.90582784</v>
      </c>
      <c r="J822" s="5" t="n">
        <f>MAX(F822-G822-H822,0)</f>
        <v>127.699615045924</v>
      </c>
      <c r="K822" s="5" t="n">
        <f>H822-I822</f>
        <v>14.6420515446154</v>
      </c>
      <c r="L822" s="5" t="n">
        <f>(D822+E822)*C822-G822-I822+0+IF(E$52&gt;0,'Assumptions and Catalog'!$C$26*C822,0)</f>
        <v>928.59417216</v>
      </c>
      <c r="M822" s="5" t="n">
        <f>IF(ISNUMBER(Inputs!$L$5),(IF(Inputs!$L$9="Actual flat rate",((D822+E822)*C822)*Inputs!$L$10,IF(Inputs!$C$9="Residential",IF(((D822+E822)*C822)&lt;='Assumptions and Catalog'!$C$50,((D822+E822)*C822)*'Assumptions and Catalog'!$H$50+'Assumptions and Catalog'!$E$50+'Assumptions and Catalog'!$F$50,IF(((D822+E822)*C822)&lt;='Assumptions and Catalog'!$C$51,((D822+E822)*C822)*'Assumptions and Catalog'!$H$51+'Assumptions and Catalog'!$E$51+'Assumptions and Catalog'!$F$51,IF(((D822+E822)*C822)&lt;='Assumptions and Catalog'!$C$52,((D822+E822)*C822)*'Assumptions and Catalog'!$H$52+'Assumptions and Catalog'!$E$52+'Assumptions and Catalog'!$F$52,IF(((D822+E822)*C822)&lt;='Assumptions and Catalog'!$C$53,((D822+E822)*C822)*'Assumptions and Catalog'!$H$53+'Assumptions and Catalog'!$E$53+'Assumptions and Catalog'!$F$53,IF(((D822+E822)*C822)&lt;='Assumptions and Catalog'!$C$54,((D822+E822)*C822)*'Assumptions and Catalog'!$H$54+'Assumptions and Catalog'!$E$54+'Assumptions and Catalog'!$F$54,IF(((D822+E822)*C822)&lt;='Assumptions and Catalog'!$C$55,((D822+E822)*C822)*'Assumptions and Catalog'!$H$55+'Assumptions and Catalog'!$E$55+'Assumptions and Catalog'!$F$55,IF(((D822+E822)*C822)&lt;='Assumptions and Catalog'!$C$56,((D822+E822)*C822)*'Assumptions and Catalog'!$H$56+'Assumptions and Catalog'!$E$56+'Assumptions and Catalog'!$F$56,IF(((D822+E822)*C822)&lt;='Assumptions and Catalog'!$C$57,((D822+E822)*C822)*'Assumptions and Catalog'!$H$57+'Assumptions and Catalog'!$E$57+'Assumptions and Catalog'!$F$57,"Out of range")))))))),IF(((D822+E822)*C822)&lt;='Assumptions and Catalog'!$C$60,((D822+E822)*C822)*'Assumptions and Catalog'!$H$60+'Assumptions and Catalog'!$E$60+'Assumptions and Catalog'!$F$60,IF(((D822+E822)*C822)&lt;='Assumptions and Catalog'!$C$61,((D822+E822)*C822)*'Assumptions and Catalog'!$H$61+'Assumptions and Catalog'!$E$61+'Assumptions and Catalog'!$F$61,IF(((D822+E822)*C822)&lt;='Assumptions and Catalog'!$C$62,((D822+E822)*C822)*'Assumptions and Catalog'!$H$62+'Assumptions and Catalog'!$E$62+'Assumptions and Catalog'!$F$62,IF(((D822+E822)*C822)&lt;='Assumptions and Catalog'!$C$63,((D822+E822)*C822)*'Assumptions and Catalog'!$H$63+'Assumptions and Catalog'!$E$63+'Assumptions and Catalog'!$F$63,IF(((D822+E822)*C822)&lt;='Assumptions and Catalog'!$C$64,((D822+E822)*C822)*'Assumptions and Catalog'!$H$64+'Assumptions and Catalog'!$E$64+'Assumptions and Catalog'!$F$64,IF(((D822+E822)*C822)&lt;='Assumptions and Catalog'!$C$65,((D822+E822)*C822)*'Assumptions and Catalog'!$H$65+'Assumptions and Catalog'!$E$65+'Assumptions and Catalog'!$F$65,"Out of range")))))))))*(1+'Assumptions and Catalog'!$C$8)^(A822-1),0)</f>
        <v>6867.22</v>
      </c>
      <c r="N822" s="5" t="n">
        <f>IF(ISNUMBER(Inputs!$L$5),(IF(Inputs!$L$9="Actual flat rate",L822*Inputs!$L$10,IF(Inputs!$C$9="Residential",IF(L822&lt;='Assumptions and Catalog'!$C$50,L822*'Assumptions and Catalog'!$H$50+'Assumptions and Catalog'!$E$50+'Assumptions and Catalog'!$F$50,IF(L822&lt;='Assumptions and Catalog'!$C$51,L822*'Assumptions and Catalog'!$H$51+'Assumptions and Catalog'!$E$51+'Assumptions and Catalog'!$F$51,IF(L822&lt;='Assumptions and Catalog'!$C$52,L822*'Assumptions and Catalog'!$H$52+'Assumptions and Catalog'!$E$52+'Assumptions and Catalog'!$F$52,IF(L822&lt;='Assumptions and Catalog'!$C$53,L822*'Assumptions and Catalog'!$H$53+'Assumptions and Catalog'!$E$53+'Assumptions and Catalog'!$F$53,IF(L822&lt;='Assumptions and Catalog'!$C$54,L822*'Assumptions and Catalog'!$H$54+'Assumptions and Catalog'!$E$54+'Assumptions and Catalog'!$F$54,IF(L822&lt;='Assumptions and Catalog'!$C$55,L822*'Assumptions and Catalog'!$H$55+'Assumptions and Catalog'!$E$55+'Assumptions and Catalog'!$F$55,IF(L822&lt;='Assumptions and Catalog'!$C$56,L822*'Assumptions and Catalog'!$H$56+'Assumptions and Catalog'!$E$56+'Assumptions and Catalog'!$F$56,IF(L822&lt;='Assumptions and Catalog'!$C$57,L822*'Assumptions and Catalog'!$H$57+'Assumptions and Catalog'!$E$57+'Assumptions and Catalog'!$F$57,"Out of range")))))))),IF(L822&lt;='Assumptions and Catalog'!$C$60,L822*'Assumptions and Catalog'!$H$60+'Assumptions and Catalog'!$E$60+'Assumptions and Catalog'!$F$60,IF(L822&lt;='Assumptions and Catalog'!$C$61,L822*'Assumptions and Catalog'!$H$61+'Assumptions and Catalog'!$E$61+'Assumptions and Catalog'!$F$61,IF(L822&lt;='Assumptions and Catalog'!$C$62,L822*'Assumptions and Catalog'!$H$62+'Assumptions and Catalog'!$E$62+'Assumptions and Catalog'!$F$62,IF(L822&lt;='Assumptions and Catalog'!$C$63,L822*'Assumptions and Catalog'!$H$63+'Assumptions and Catalog'!$E$63+'Assumptions and Catalog'!$F$63,IF(L822&lt;='Assumptions and Catalog'!$C$64,L822*'Assumptions and Catalog'!$H$64+'Assumptions and Catalog'!$E$64+'Assumptions and Catalog'!$F$64,IF(L822&lt;='Assumptions and Catalog'!$C$65,L822*'Assumptions and Catalog'!$H$65+'Assumptions and Catalog'!$E$65+'Assumptions and Catalog'!$F$65,"Out of range")))))))))*(1+'Assumptions and Catalog'!$C$8)^(A822-1),0)</f>
        <v>2537.2058568832</v>
      </c>
      <c r="O822" s="5" t="n">
        <f>M822-N822</f>
        <v>4330.0141431168</v>
      </c>
      <c r="P822" s="5" t="n">
        <f>E$55*(1-L$14)*(1-'Assumptions and Catalog'!$C$23)^R822</f>
        <v>9.63780608</v>
      </c>
      <c r="Q822" s="5" t="n">
        <f>IF(ISNUMBER(Inputs!$L$5),(IF(Inputs!$L$9="Actual flat rate",((D822+E822)*C822-G822)*Inputs!$L$10,IF(Inputs!$C$9="Residential",IF(((D822+E822)*C822-G822)&lt;='Assumptions and Catalog'!$C$50,((D822+E822)*C822-G822)*'Assumptions and Catalog'!$H$50+'Assumptions and Catalog'!$E$50+'Assumptions and Catalog'!$F$50,IF(((D822+E822)*C822-G822)&lt;='Assumptions and Catalog'!$C$51,((D822+E822)*C822-G822)*'Assumptions and Catalog'!$H$51+'Assumptions and Catalog'!$E$51+'Assumptions and Catalog'!$F$51,IF(((D822+E822)*C822-G822)&lt;='Assumptions and Catalog'!$C$52,((D822+E822)*C822-G822)*'Assumptions and Catalog'!$H$52+'Assumptions and Catalog'!$E$52+'Assumptions and Catalog'!$F$52,IF(((D822+E822)*C822-G822)&lt;='Assumptions and Catalog'!$C$53,((D822+E822)*C822-G822)*'Assumptions and Catalog'!$H$53+'Assumptions and Catalog'!$E$53+'Assumptions and Catalog'!$F$53,IF(((D822+E822)*C822-G822)&lt;='Assumptions and Catalog'!$C$54,((D822+E822)*C822-G822)*'Assumptions and Catalog'!$H$54+'Assumptions and Catalog'!$E$54+'Assumptions and Catalog'!$F$54,IF(((D822+E822)*C822-G822)&lt;='Assumptions and Catalog'!$C$55,((D822+E822)*C822-G822)*'Assumptions and Catalog'!$H$55+'Assumptions and Catalog'!$E$55+'Assumptions and Catalog'!$F$55,IF(((D822+E822)*C822-G822)&lt;='Assumptions and Catalog'!$C$56,((D822+E822)*C822-G822)*'Assumptions and Catalog'!$H$56+'Assumptions and Catalog'!$E$56+'Assumptions and Catalog'!$F$56,IF(((D822+E822)*C822-G822)&lt;='Assumptions and Catalog'!$C$57,((D822+E822)*C822-G822)*'Assumptions and Catalog'!$H$57+'Assumptions and Catalog'!$E$57+'Assumptions and Catalog'!$F$57,"Out of range")))))))),IF(((D822+E822)*C822-G822)&lt;='Assumptions and Catalog'!$C$60,((D822+E822)*C822-G822)*'Assumptions and Catalog'!$H$60+'Assumptions and Catalog'!$E$60+'Assumptions and Catalog'!$F$60,IF(((D822+E822)*C822-G822)&lt;='Assumptions and Catalog'!$C$61,((D822+E822)*C822-G822)*'Assumptions and Catalog'!$H$61+'Assumptions and Catalog'!$E$61+'Assumptions and Catalog'!$F$61,IF(((D822+E822)*C822-G822)&lt;='Assumptions and Catalog'!$C$62,((D822+E822)*C822-G822)*'Assumptions and Catalog'!$H$62+'Assumptions and Catalog'!$E$62+'Assumptions and Catalog'!$F$62,IF(((D822+E822)*C822-G822)&lt;='Assumptions and Catalog'!$C$63,((D822+E822)*C822-G822)*'Assumptions and Catalog'!$H$63+'Assumptions and Catalog'!$E$63+'Assumptions and Catalog'!$F$63,IF(((D822+E822)*C822-G822)&lt;='Assumptions and Catalog'!$C$64,((D822+E822)*C822-G822)*'Assumptions and Catalog'!$H$64+'Assumptions and Catalog'!$E$64+'Assumptions and Catalog'!$F$64,IF(((D822+E822)*C822-G822)&lt;='Assumptions and Catalog'!$C$65,((D822+E822)*C822-G822)*'Assumptions and Catalog'!$H$65+'Assumptions and Catalog'!$E$65+'Assumptions and Catalog'!$F$65,"Out of range")))))))))*(1+'Assumptions and Catalog'!$C$8)^(A822-1),0)</f>
        <v>3453.61</v>
      </c>
      <c r="R822" s="5" t="n">
        <f>IF(AND('Assumptions and Catalog'!$C$19&gt;0,A822&gt;='Assumptions and Catalog'!$C$19),A822-'Assumptions and Catalog'!$C$19,A822-1)</f>
        <v>3</v>
      </c>
      <c r="S822" s="5" t="n">
        <f>F822+L822-(D822+E822)*C822-J822-K822-IF(E$52&gt;0,'Assumptions and Catalog'!$C$26*C822,0)</f>
        <v>2.27373675443232E-013</v>
      </c>
      <c r="T822" s="5"/>
      <c r="U822" s="5"/>
    </row>
    <row r="823" ht="23.100000381469727" customHeight="1">
      <c r="A823" s="5" t="n">
        <v>14</v>
      </c>
      <c r="B823" s="5" t="n">
        <v>7</v>
      </c>
      <c r="C823" s="5" t="n">
        <f>DAY(DATE('Assumptions and Catalog'!$C$24+A823-1,B823+1,0))</f>
        <v>31</v>
      </c>
      <c r="D823" s="5" t="n">
        <f>IF(ISNUMBER(Inputs!$L$5),Inputs!$L$5*Inputs!$L$6,0)</f>
        <v>40.35</v>
      </c>
      <c r="E823" s="5" t="n">
        <f>IF(ISNUMBER(Inputs!$L$5),Inputs!$L$5-D823,0)</f>
        <v>40.35</v>
      </c>
      <c r="F823" s="5" t="n">
        <f>E$51*INDEX('Solar Production'!$D$20:$D$31,B823)*C823*(1-'Assumptions and Catalog'!$C$10)^(A823-1)</f>
        <v>1696.99610662547</v>
      </c>
      <c r="G823" s="5" t="n">
        <f>MIN(F823,D823*C823)</f>
        <v>1250.85</v>
      </c>
      <c r="H823" s="5" t="n">
        <f>I823/('Assumptions and Catalog'!$C$11*'Assumptions and Catalog'!$C$12)</f>
        <v>306.432808697436</v>
      </c>
      <c r="I823" s="5" t="n">
        <f>MIN(E823*C823,P823*'Assumptions and Catalog'!$C$12*C823,(F823-G823)*'Assumptions and Catalog'!$C$11*'Assumptions and Catalog'!$C$12,E$56*'Assumptions and Catalog'!$C$14*'Assumptions and Catalog'!$C$11*'Assumptions and Catalog'!$C$12*C823,E$57*(24-'Assumptions and Catalog'!$C$13)*C823)</f>
        <v>291.302688768</v>
      </c>
      <c r="J823" s="5" t="n">
        <f>MAX(F823-G823-H823,0)</f>
        <v>139.713297928038</v>
      </c>
      <c r="K823" s="5" t="n">
        <f>H823-I823</f>
        <v>15.1301199294359</v>
      </c>
      <c r="L823" s="5" t="n">
        <f>(D823+E823)*C823-G823-I823+0+IF(E$52&gt;0,'Assumptions and Catalog'!$C$26*C823,0)</f>
        <v>959.547311232</v>
      </c>
      <c r="M823" s="5" t="n">
        <f>IF(ISNUMBER(Inputs!$L$5),(IF(Inputs!$L$9="Actual flat rate",((D823+E823)*C823)*Inputs!$L$10,IF(Inputs!$C$9="Residential",IF(((D823+E823)*C823)&lt;='Assumptions and Catalog'!$C$50,((D823+E823)*C823)*'Assumptions and Catalog'!$H$50+'Assumptions and Catalog'!$E$50+'Assumptions and Catalog'!$F$50,IF(((D823+E823)*C823)&lt;='Assumptions and Catalog'!$C$51,((D823+E823)*C823)*'Assumptions and Catalog'!$H$51+'Assumptions and Catalog'!$E$51+'Assumptions and Catalog'!$F$51,IF(((D823+E823)*C823)&lt;='Assumptions and Catalog'!$C$52,((D823+E823)*C823)*'Assumptions and Catalog'!$H$52+'Assumptions and Catalog'!$E$52+'Assumptions and Catalog'!$F$52,IF(((D823+E823)*C823)&lt;='Assumptions and Catalog'!$C$53,((D823+E823)*C823)*'Assumptions and Catalog'!$H$53+'Assumptions and Catalog'!$E$53+'Assumptions and Catalog'!$F$53,IF(((D823+E823)*C823)&lt;='Assumptions and Catalog'!$C$54,((D823+E823)*C823)*'Assumptions and Catalog'!$H$54+'Assumptions and Catalog'!$E$54+'Assumptions and Catalog'!$F$54,IF(((D823+E823)*C823)&lt;='Assumptions and Catalog'!$C$55,((D823+E823)*C823)*'Assumptions and Catalog'!$H$55+'Assumptions and Catalog'!$E$55+'Assumptions and Catalog'!$F$55,IF(((D823+E823)*C823)&lt;='Assumptions and Catalog'!$C$56,((D823+E823)*C823)*'Assumptions and Catalog'!$H$56+'Assumptions and Catalog'!$E$56+'Assumptions and Catalog'!$F$56,IF(((D823+E823)*C823)&lt;='Assumptions and Catalog'!$C$57,((D823+E823)*C823)*'Assumptions and Catalog'!$H$57+'Assumptions and Catalog'!$E$57+'Assumptions and Catalog'!$F$57,"Out of range")))))))),IF(((D823+E823)*C823)&lt;='Assumptions and Catalog'!$C$60,((D823+E823)*C823)*'Assumptions and Catalog'!$H$60+'Assumptions and Catalog'!$E$60+'Assumptions and Catalog'!$F$60,IF(((D823+E823)*C823)&lt;='Assumptions and Catalog'!$C$61,((D823+E823)*C823)*'Assumptions and Catalog'!$H$61+'Assumptions and Catalog'!$E$61+'Assumptions and Catalog'!$F$61,IF(((D823+E823)*C823)&lt;='Assumptions and Catalog'!$C$62,((D823+E823)*C823)*'Assumptions and Catalog'!$H$62+'Assumptions and Catalog'!$E$62+'Assumptions and Catalog'!$F$62,IF(((D823+E823)*C823)&lt;='Assumptions and Catalog'!$C$63,((D823+E823)*C823)*'Assumptions and Catalog'!$H$63+'Assumptions and Catalog'!$E$63+'Assumptions and Catalog'!$F$63,IF(((D823+E823)*C823)&lt;='Assumptions and Catalog'!$C$64,((D823+E823)*C823)*'Assumptions and Catalog'!$H$64+'Assumptions and Catalog'!$E$64+'Assumptions and Catalog'!$F$64,IF(((D823+E823)*C823)&lt;='Assumptions and Catalog'!$C$65,((D823+E823)*C823)*'Assumptions and Catalog'!$H$65+'Assumptions and Catalog'!$E$65+'Assumptions and Catalog'!$F$65,"Out of range")))))))))*(1+'Assumptions and Catalog'!$C$8)^(A823-1),0)</f>
        <v>7094.794</v>
      </c>
      <c r="N823" s="5" t="n">
        <f>IF(ISNUMBER(Inputs!$L$5),(IF(Inputs!$L$9="Actual flat rate",L823*Inputs!$L$10,IF(Inputs!$C$9="Residential",IF(L823&lt;='Assumptions and Catalog'!$C$50,L823*'Assumptions and Catalog'!$H$50+'Assumptions and Catalog'!$E$50+'Assumptions and Catalog'!$F$50,IF(L823&lt;='Assumptions and Catalog'!$C$51,L823*'Assumptions and Catalog'!$H$51+'Assumptions and Catalog'!$E$51+'Assumptions and Catalog'!$F$51,IF(L823&lt;='Assumptions and Catalog'!$C$52,L823*'Assumptions and Catalog'!$H$52+'Assumptions and Catalog'!$E$52+'Assumptions and Catalog'!$F$52,IF(L823&lt;='Assumptions and Catalog'!$C$53,L823*'Assumptions and Catalog'!$H$53+'Assumptions and Catalog'!$E$53+'Assumptions and Catalog'!$F$53,IF(L823&lt;='Assumptions and Catalog'!$C$54,L823*'Assumptions and Catalog'!$H$54+'Assumptions and Catalog'!$E$54+'Assumptions and Catalog'!$F$54,IF(L823&lt;='Assumptions and Catalog'!$C$55,L823*'Assumptions and Catalog'!$H$55+'Assumptions and Catalog'!$E$55+'Assumptions and Catalog'!$F$55,IF(L823&lt;='Assumptions and Catalog'!$C$56,L823*'Assumptions and Catalog'!$H$56+'Assumptions and Catalog'!$E$56+'Assumptions and Catalog'!$F$56,IF(L823&lt;='Assumptions and Catalog'!$C$57,L823*'Assumptions and Catalog'!$H$57+'Assumptions and Catalog'!$E$57+'Assumptions and Catalog'!$F$57,"Out of range")))))))),IF(L823&lt;='Assumptions and Catalog'!$C$60,L823*'Assumptions and Catalog'!$H$60+'Assumptions and Catalog'!$E$60+'Assumptions and Catalog'!$F$60,IF(L823&lt;='Assumptions and Catalog'!$C$61,L823*'Assumptions and Catalog'!$H$61+'Assumptions and Catalog'!$E$61+'Assumptions and Catalog'!$F$61,IF(L823&lt;='Assumptions and Catalog'!$C$62,L823*'Assumptions and Catalog'!$H$62+'Assumptions and Catalog'!$E$62+'Assumptions and Catalog'!$F$62,IF(L823&lt;='Assumptions and Catalog'!$C$63,L823*'Assumptions and Catalog'!$H$63+'Assumptions and Catalog'!$E$63+'Assumptions and Catalog'!$F$63,IF(L823&lt;='Assumptions and Catalog'!$C$64,L823*'Assumptions and Catalog'!$H$64+'Assumptions and Catalog'!$E$64+'Assumptions and Catalog'!$F$64,IF(L823&lt;='Assumptions and Catalog'!$C$65,L823*'Assumptions and Catalog'!$H$65+'Assumptions and Catalog'!$E$65+'Assumptions and Catalog'!$F$65,"Out of range")))))))))*(1+'Assumptions and Catalog'!$C$8)^(A823-1),0)</f>
        <v>2622.94605211264</v>
      </c>
      <c r="O823" s="5" t="n">
        <f>M823-N823</f>
        <v>4471.84794788736</v>
      </c>
      <c r="P823" s="5" t="n">
        <f>E$55*(1-L$14)*(1-'Assumptions and Catalog'!$C$23)^R823</f>
        <v>9.63780608</v>
      </c>
      <c r="Q823" s="5" t="n">
        <f>IF(ISNUMBER(Inputs!$L$5),(IF(Inputs!$L$9="Actual flat rate",((D823+E823)*C823-G823)*Inputs!$L$10,IF(Inputs!$C$9="Residential",IF(((D823+E823)*C823-G823)&lt;='Assumptions and Catalog'!$C$50,((D823+E823)*C823-G823)*'Assumptions and Catalog'!$H$50+'Assumptions and Catalog'!$E$50+'Assumptions and Catalog'!$F$50,IF(((D823+E823)*C823-G823)&lt;='Assumptions and Catalog'!$C$51,((D823+E823)*C823-G823)*'Assumptions and Catalog'!$H$51+'Assumptions and Catalog'!$E$51+'Assumptions and Catalog'!$F$51,IF(((D823+E823)*C823-G823)&lt;='Assumptions and Catalog'!$C$52,((D823+E823)*C823-G823)*'Assumptions and Catalog'!$H$52+'Assumptions and Catalog'!$E$52+'Assumptions and Catalog'!$F$52,IF(((D823+E823)*C823-G823)&lt;='Assumptions and Catalog'!$C$53,((D823+E823)*C823-G823)*'Assumptions and Catalog'!$H$53+'Assumptions and Catalog'!$E$53+'Assumptions and Catalog'!$F$53,IF(((D823+E823)*C823-G823)&lt;='Assumptions and Catalog'!$C$54,((D823+E823)*C823-G823)*'Assumptions and Catalog'!$H$54+'Assumptions and Catalog'!$E$54+'Assumptions and Catalog'!$F$54,IF(((D823+E823)*C823-G823)&lt;='Assumptions and Catalog'!$C$55,((D823+E823)*C823-G823)*'Assumptions and Catalog'!$H$55+'Assumptions and Catalog'!$E$55+'Assumptions and Catalog'!$F$55,IF(((D823+E823)*C823-G823)&lt;='Assumptions and Catalog'!$C$56,((D823+E823)*C823-G823)*'Assumptions and Catalog'!$H$56+'Assumptions and Catalog'!$E$56+'Assumptions and Catalog'!$F$56,IF(((D823+E823)*C823-G823)&lt;='Assumptions and Catalog'!$C$57,((D823+E823)*C823-G823)*'Assumptions and Catalog'!$H$57+'Assumptions and Catalog'!$E$57+'Assumptions and Catalog'!$F$57,"Out of range")))))))),IF(((D823+E823)*C823-G823)&lt;='Assumptions and Catalog'!$C$60,((D823+E823)*C823-G823)*'Assumptions and Catalog'!$H$60+'Assumptions and Catalog'!$E$60+'Assumptions and Catalog'!$F$60,IF(((D823+E823)*C823-G823)&lt;='Assumptions and Catalog'!$C$61,((D823+E823)*C823-G823)*'Assumptions and Catalog'!$H$61+'Assumptions and Catalog'!$E$61+'Assumptions and Catalog'!$F$61,IF(((D823+E823)*C823-G823)&lt;='Assumptions and Catalog'!$C$62,((D823+E823)*C823-G823)*'Assumptions and Catalog'!$H$62+'Assumptions and Catalog'!$E$62+'Assumptions and Catalog'!$F$62,IF(((D823+E823)*C823-G823)&lt;='Assumptions and Catalog'!$C$63,((D823+E823)*C823-G823)*'Assumptions and Catalog'!$H$63+'Assumptions and Catalog'!$E$63+'Assumptions and Catalog'!$F$63,IF(((D823+E823)*C823-G823)&lt;='Assumptions and Catalog'!$C$64,((D823+E823)*C823-G823)*'Assumptions and Catalog'!$H$64+'Assumptions and Catalog'!$E$64+'Assumptions and Catalog'!$F$64,IF(((D823+E823)*C823-G823)&lt;='Assumptions and Catalog'!$C$65,((D823+E823)*C823-G823)*'Assumptions and Catalog'!$H$65+'Assumptions and Catalog'!$E$65+'Assumptions and Catalog'!$F$65,"Out of range")))))))))*(1+'Assumptions and Catalog'!$C$8)^(A823-1),0)</f>
        <v>3567.397</v>
      </c>
      <c r="R823" s="5" t="n">
        <f>IF(AND('Assumptions and Catalog'!$C$19&gt;0,A823&gt;='Assumptions and Catalog'!$C$19),A823-'Assumptions and Catalog'!$C$19,A823-1)</f>
        <v>3</v>
      </c>
      <c r="S823" s="5" t="n">
        <f>F823+L823-(D823+E823)*C823-J823-K823-IF(E$52&gt;0,'Assumptions and Catalog'!$C$26*C823,0)</f>
        <v>-5.6843418860808E-014</v>
      </c>
      <c r="T823" s="5"/>
      <c r="U823" s="5"/>
    </row>
    <row r="824" ht="23.100000381469727" customHeight="1">
      <c r="A824" s="5" t="n">
        <v>14</v>
      </c>
      <c r="B824" s="5" t="n">
        <v>8</v>
      </c>
      <c r="C824" s="5" t="n">
        <f>DAY(DATE('Assumptions and Catalog'!$C$24+A824-1,B824+1,0))</f>
        <v>31</v>
      </c>
      <c r="D824" s="5" t="n">
        <f>IF(ISNUMBER(Inputs!$L$5),Inputs!$L$5*Inputs!$L$6,0)</f>
        <v>40.35</v>
      </c>
      <c r="E824" s="5" t="n">
        <f>IF(ISNUMBER(Inputs!$L$5),Inputs!$L$5-D824,0)</f>
        <v>40.35</v>
      </c>
      <c r="F824" s="5" t="n">
        <f>E$51*INDEX('Solar Production'!$D$20:$D$31,B824)*C824*(1-'Assumptions and Catalog'!$C$10)^(A824-1)</f>
        <v>1719.05107849586</v>
      </c>
      <c r="G824" s="5" t="n">
        <f>MIN(F824,D824*C824)</f>
        <v>1250.85</v>
      </c>
      <c r="H824" s="5" t="n">
        <f>I824/('Assumptions and Catalog'!$C$11*'Assumptions and Catalog'!$C$12)</f>
        <v>306.432808697436</v>
      </c>
      <c r="I824" s="5" t="n">
        <f>MIN(E824*C824,P824*'Assumptions and Catalog'!$C$12*C824,(F824-G824)*'Assumptions and Catalog'!$C$11*'Assumptions and Catalog'!$C$12,E$56*'Assumptions and Catalog'!$C$14*'Assumptions and Catalog'!$C$11*'Assumptions and Catalog'!$C$12*C824,E$57*(24-'Assumptions and Catalog'!$C$13)*C824)</f>
        <v>291.302688768</v>
      </c>
      <c r="J824" s="5" t="n">
        <f>MAX(F824-G824-H824,0)</f>
        <v>161.768269798428</v>
      </c>
      <c r="K824" s="5" t="n">
        <f>H824-I824</f>
        <v>15.1301199294359</v>
      </c>
      <c r="L824" s="5" t="n">
        <f>(D824+E824)*C824-G824-I824+0+IF(E$52&gt;0,'Assumptions and Catalog'!$C$26*C824,0)</f>
        <v>959.547311232</v>
      </c>
      <c r="M824" s="5" t="n">
        <f>IF(ISNUMBER(Inputs!$L$5),(IF(Inputs!$L$9="Actual flat rate",((D824+E824)*C824)*Inputs!$L$10,IF(Inputs!$C$9="Residential",IF(((D824+E824)*C824)&lt;='Assumptions and Catalog'!$C$50,((D824+E824)*C824)*'Assumptions and Catalog'!$H$50+'Assumptions and Catalog'!$E$50+'Assumptions and Catalog'!$F$50,IF(((D824+E824)*C824)&lt;='Assumptions and Catalog'!$C$51,((D824+E824)*C824)*'Assumptions and Catalog'!$H$51+'Assumptions and Catalog'!$E$51+'Assumptions and Catalog'!$F$51,IF(((D824+E824)*C824)&lt;='Assumptions and Catalog'!$C$52,((D824+E824)*C824)*'Assumptions and Catalog'!$H$52+'Assumptions and Catalog'!$E$52+'Assumptions and Catalog'!$F$52,IF(((D824+E824)*C824)&lt;='Assumptions and Catalog'!$C$53,((D824+E824)*C824)*'Assumptions and Catalog'!$H$53+'Assumptions and Catalog'!$E$53+'Assumptions and Catalog'!$F$53,IF(((D824+E824)*C824)&lt;='Assumptions and Catalog'!$C$54,((D824+E824)*C824)*'Assumptions and Catalog'!$H$54+'Assumptions and Catalog'!$E$54+'Assumptions and Catalog'!$F$54,IF(((D824+E824)*C824)&lt;='Assumptions and Catalog'!$C$55,((D824+E824)*C824)*'Assumptions and Catalog'!$H$55+'Assumptions and Catalog'!$E$55+'Assumptions and Catalog'!$F$55,IF(((D824+E824)*C824)&lt;='Assumptions and Catalog'!$C$56,((D824+E824)*C824)*'Assumptions and Catalog'!$H$56+'Assumptions and Catalog'!$E$56+'Assumptions and Catalog'!$F$56,IF(((D824+E824)*C824)&lt;='Assumptions and Catalog'!$C$57,((D824+E824)*C824)*'Assumptions and Catalog'!$H$57+'Assumptions and Catalog'!$E$57+'Assumptions and Catalog'!$F$57,"Out of range")))))))),IF(((D824+E824)*C824)&lt;='Assumptions and Catalog'!$C$60,((D824+E824)*C824)*'Assumptions and Catalog'!$H$60+'Assumptions and Catalog'!$E$60+'Assumptions and Catalog'!$F$60,IF(((D824+E824)*C824)&lt;='Assumptions and Catalog'!$C$61,((D824+E824)*C824)*'Assumptions and Catalog'!$H$61+'Assumptions and Catalog'!$E$61+'Assumptions and Catalog'!$F$61,IF(((D824+E824)*C824)&lt;='Assumptions and Catalog'!$C$62,((D824+E824)*C824)*'Assumptions and Catalog'!$H$62+'Assumptions and Catalog'!$E$62+'Assumptions and Catalog'!$F$62,IF(((D824+E824)*C824)&lt;='Assumptions and Catalog'!$C$63,((D824+E824)*C824)*'Assumptions and Catalog'!$H$63+'Assumptions and Catalog'!$E$63+'Assumptions and Catalog'!$F$63,IF(((D824+E824)*C824)&lt;='Assumptions and Catalog'!$C$64,((D824+E824)*C824)*'Assumptions and Catalog'!$H$64+'Assumptions and Catalog'!$E$64+'Assumptions and Catalog'!$F$64,IF(((D824+E824)*C824)&lt;='Assumptions and Catalog'!$C$65,((D824+E824)*C824)*'Assumptions and Catalog'!$H$65+'Assumptions and Catalog'!$E$65+'Assumptions and Catalog'!$F$65,"Out of range")))))))))*(1+'Assumptions and Catalog'!$C$8)^(A824-1),0)</f>
        <v>7094.794</v>
      </c>
      <c r="N824" s="5" t="n">
        <f>IF(ISNUMBER(Inputs!$L$5),(IF(Inputs!$L$9="Actual flat rate",L824*Inputs!$L$10,IF(Inputs!$C$9="Residential",IF(L824&lt;='Assumptions and Catalog'!$C$50,L824*'Assumptions and Catalog'!$H$50+'Assumptions and Catalog'!$E$50+'Assumptions and Catalog'!$F$50,IF(L824&lt;='Assumptions and Catalog'!$C$51,L824*'Assumptions and Catalog'!$H$51+'Assumptions and Catalog'!$E$51+'Assumptions and Catalog'!$F$51,IF(L824&lt;='Assumptions and Catalog'!$C$52,L824*'Assumptions and Catalog'!$H$52+'Assumptions and Catalog'!$E$52+'Assumptions and Catalog'!$F$52,IF(L824&lt;='Assumptions and Catalog'!$C$53,L824*'Assumptions and Catalog'!$H$53+'Assumptions and Catalog'!$E$53+'Assumptions and Catalog'!$F$53,IF(L824&lt;='Assumptions and Catalog'!$C$54,L824*'Assumptions and Catalog'!$H$54+'Assumptions and Catalog'!$E$54+'Assumptions and Catalog'!$F$54,IF(L824&lt;='Assumptions and Catalog'!$C$55,L824*'Assumptions and Catalog'!$H$55+'Assumptions and Catalog'!$E$55+'Assumptions and Catalog'!$F$55,IF(L824&lt;='Assumptions and Catalog'!$C$56,L824*'Assumptions and Catalog'!$H$56+'Assumptions and Catalog'!$E$56+'Assumptions and Catalog'!$F$56,IF(L824&lt;='Assumptions and Catalog'!$C$57,L824*'Assumptions and Catalog'!$H$57+'Assumptions and Catalog'!$E$57+'Assumptions and Catalog'!$F$57,"Out of range")))))))),IF(L824&lt;='Assumptions and Catalog'!$C$60,L824*'Assumptions and Catalog'!$H$60+'Assumptions and Catalog'!$E$60+'Assumptions and Catalog'!$F$60,IF(L824&lt;='Assumptions and Catalog'!$C$61,L824*'Assumptions and Catalog'!$H$61+'Assumptions and Catalog'!$E$61+'Assumptions and Catalog'!$F$61,IF(L824&lt;='Assumptions and Catalog'!$C$62,L824*'Assumptions and Catalog'!$H$62+'Assumptions and Catalog'!$E$62+'Assumptions and Catalog'!$F$62,IF(L824&lt;='Assumptions and Catalog'!$C$63,L824*'Assumptions and Catalog'!$H$63+'Assumptions and Catalog'!$E$63+'Assumptions and Catalog'!$F$63,IF(L824&lt;='Assumptions and Catalog'!$C$64,L824*'Assumptions and Catalog'!$H$64+'Assumptions and Catalog'!$E$64+'Assumptions and Catalog'!$F$64,IF(L824&lt;='Assumptions and Catalog'!$C$65,L824*'Assumptions and Catalog'!$H$65+'Assumptions and Catalog'!$E$65+'Assumptions and Catalog'!$F$65,"Out of range")))))))))*(1+'Assumptions and Catalog'!$C$8)^(A824-1),0)</f>
        <v>2622.94605211264</v>
      </c>
      <c r="O824" s="5" t="n">
        <f>M824-N824</f>
        <v>4471.84794788736</v>
      </c>
      <c r="P824" s="5" t="n">
        <f>E$55*(1-L$14)*(1-'Assumptions and Catalog'!$C$23)^R824</f>
        <v>9.63780608</v>
      </c>
      <c r="Q824" s="5" t="n">
        <f>IF(ISNUMBER(Inputs!$L$5),(IF(Inputs!$L$9="Actual flat rate",((D824+E824)*C824-G824)*Inputs!$L$10,IF(Inputs!$C$9="Residential",IF(((D824+E824)*C824-G824)&lt;='Assumptions and Catalog'!$C$50,((D824+E824)*C824-G824)*'Assumptions and Catalog'!$H$50+'Assumptions and Catalog'!$E$50+'Assumptions and Catalog'!$F$50,IF(((D824+E824)*C824-G824)&lt;='Assumptions and Catalog'!$C$51,((D824+E824)*C824-G824)*'Assumptions and Catalog'!$H$51+'Assumptions and Catalog'!$E$51+'Assumptions and Catalog'!$F$51,IF(((D824+E824)*C824-G824)&lt;='Assumptions and Catalog'!$C$52,((D824+E824)*C824-G824)*'Assumptions and Catalog'!$H$52+'Assumptions and Catalog'!$E$52+'Assumptions and Catalog'!$F$52,IF(((D824+E824)*C824-G824)&lt;='Assumptions and Catalog'!$C$53,((D824+E824)*C824-G824)*'Assumptions and Catalog'!$H$53+'Assumptions and Catalog'!$E$53+'Assumptions and Catalog'!$F$53,IF(((D824+E824)*C824-G824)&lt;='Assumptions and Catalog'!$C$54,((D824+E824)*C824-G824)*'Assumptions and Catalog'!$H$54+'Assumptions and Catalog'!$E$54+'Assumptions and Catalog'!$F$54,IF(((D824+E824)*C824-G824)&lt;='Assumptions and Catalog'!$C$55,((D824+E824)*C824-G824)*'Assumptions and Catalog'!$H$55+'Assumptions and Catalog'!$E$55+'Assumptions and Catalog'!$F$55,IF(((D824+E824)*C824-G824)&lt;='Assumptions and Catalog'!$C$56,((D824+E824)*C824-G824)*'Assumptions and Catalog'!$H$56+'Assumptions and Catalog'!$E$56+'Assumptions and Catalog'!$F$56,IF(((D824+E824)*C824-G824)&lt;='Assumptions and Catalog'!$C$57,((D824+E824)*C824-G824)*'Assumptions and Catalog'!$H$57+'Assumptions and Catalog'!$E$57+'Assumptions and Catalog'!$F$57,"Out of range")))))))),IF(((D824+E824)*C824-G824)&lt;='Assumptions and Catalog'!$C$60,((D824+E824)*C824-G824)*'Assumptions and Catalog'!$H$60+'Assumptions and Catalog'!$E$60+'Assumptions and Catalog'!$F$60,IF(((D824+E824)*C824-G824)&lt;='Assumptions and Catalog'!$C$61,((D824+E824)*C824-G824)*'Assumptions and Catalog'!$H$61+'Assumptions and Catalog'!$E$61+'Assumptions and Catalog'!$F$61,IF(((D824+E824)*C824-G824)&lt;='Assumptions and Catalog'!$C$62,((D824+E824)*C824-G824)*'Assumptions and Catalog'!$H$62+'Assumptions and Catalog'!$E$62+'Assumptions and Catalog'!$F$62,IF(((D824+E824)*C824-G824)&lt;='Assumptions and Catalog'!$C$63,((D824+E824)*C824-G824)*'Assumptions and Catalog'!$H$63+'Assumptions and Catalog'!$E$63+'Assumptions and Catalog'!$F$63,IF(((D824+E824)*C824-G824)&lt;='Assumptions and Catalog'!$C$64,((D824+E824)*C824-G824)*'Assumptions and Catalog'!$H$64+'Assumptions and Catalog'!$E$64+'Assumptions and Catalog'!$F$64,IF(((D824+E824)*C824-G824)&lt;='Assumptions and Catalog'!$C$65,((D824+E824)*C824-G824)*'Assumptions and Catalog'!$H$65+'Assumptions and Catalog'!$E$65+'Assumptions and Catalog'!$F$65,"Out of range")))))))))*(1+'Assumptions and Catalog'!$C$8)^(A824-1),0)</f>
        <v>3567.397</v>
      </c>
      <c r="R824" s="5" t="n">
        <f>IF(AND('Assumptions and Catalog'!$C$19&gt;0,A824&gt;='Assumptions and Catalog'!$C$19),A824-'Assumptions and Catalog'!$C$19,A824-1)</f>
        <v>3</v>
      </c>
      <c r="S824" s="5" t="n">
        <f>F824+L824-(D824+E824)*C824-J824-K824-IF(E$52&gt;0,'Assumptions and Catalog'!$C$26*C824,0)</f>
        <v>-5.6843418860808E-014</v>
      </c>
      <c r="T824" s="5"/>
      <c r="U824" s="5"/>
    </row>
    <row r="825" ht="23.100000381469727" customHeight="1">
      <c r="A825" s="5" t="n">
        <v>14</v>
      </c>
      <c r="B825" s="5" t="n">
        <v>9</v>
      </c>
      <c r="C825" s="5" t="n">
        <f>DAY(DATE('Assumptions and Catalog'!$C$24+A825-1,B825+1,0))</f>
        <v>30</v>
      </c>
      <c r="D825" s="5" t="n">
        <f>IF(ISNUMBER(Inputs!$L$5),Inputs!$L$5*Inputs!$L$6,0)</f>
        <v>40.35</v>
      </c>
      <c r="E825" s="5" t="n">
        <f>IF(ISNUMBER(Inputs!$L$5),Inputs!$L$5-D825,0)</f>
        <v>40.35</v>
      </c>
      <c r="F825" s="5" t="n">
        <f>E$51*INDEX('Solar Production'!$D$20:$D$31,B825)*C825*(1-'Assumptions and Catalog'!$C$10)^(A825-1)</f>
        <v>1659.27592109013</v>
      </c>
      <c r="G825" s="5" t="n">
        <f>MIN(F825,D825*C825)</f>
        <v>1210.5</v>
      </c>
      <c r="H825" s="5" t="n">
        <f>I825/('Assumptions and Catalog'!$C$11*'Assumptions and Catalog'!$C$12)</f>
        <v>296.547879384615</v>
      </c>
      <c r="I825" s="5" t="n">
        <f>MIN(E825*C825,P825*'Assumptions and Catalog'!$C$12*C825,(F825-G825)*'Assumptions and Catalog'!$C$11*'Assumptions and Catalog'!$C$12,E$56*'Assumptions and Catalog'!$C$14*'Assumptions and Catalog'!$C$11*'Assumptions and Catalog'!$C$12*C825,E$57*(24-'Assumptions and Catalog'!$C$13)*C825)</f>
        <v>281.90582784</v>
      </c>
      <c r="J825" s="5" t="n">
        <f>MAX(F825-G825-H825,0)</f>
        <v>152.228041705517</v>
      </c>
      <c r="K825" s="5" t="n">
        <f>H825-I825</f>
        <v>14.6420515446154</v>
      </c>
      <c r="L825" s="5" t="n">
        <f>(D825+E825)*C825-G825-I825+0+IF(E$52&gt;0,'Assumptions and Catalog'!$C$26*C825,0)</f>
        <v>928.59417216</v>
      </c>
      <c r="M825" s="5" t="n">
        <f>IF(ISNUMBER(Inputs!$L$5),(IF(Inputs!$L$9="Actual flat rate",((D825+E825)*C825)*Inputs!$L$10,IF(Inputs!$C$9="Residential",IF(((D825+E825)*C825)&lt;='Assumptions and Catalog'!$C$50,((D825+E825)*C825)*'Assumptions and Catalog'!$H$50+'Assumptions and Catalog'!$E$50+'Assumptions and Catalog'!$F$50,IF(((D825+E825)*C825)&lt;='Assumptions and Catalog'!$C$51,((D825+E825)*C825)*'Assumptions and Catalog'!$H$51+'Assumptions and Catalog'!$E$51+'Assumptions and Catalog'!$F$51,IF(((D825+E825)*C825)&lt;='Assumptions and Catalog'!$C$52,((D825+E825)*C825)*'Assumptions and Catalog'!$H$52+'Assumptions and Catalog'!$E$52+'Assumptions and Catalog'!$F$52,IF(((D825+E825)*C825)&lt;='Assumptions and Catalog'!$C$53,((D825+E825)*C825)*'Assumptions and Catalog'!$H$53+'Assumptions and Catalog'!$E$53+'Assumptions and Catalog'!$F$53,IF(((D825+E825)*C825)&lt;='Assumptions and Catalog'!$C$54,((D825+E825)*C825)*'Assumptions and Catalog'!$H$54+'Assumptions and Catalog'!$E$54+'Assumptions and Catalog'!$F$54,IF(((D825+E825)*C825)&lt;='Assumptions and Catalog'!$C$55,((D825+E825)*C825)*'Assumptions and Catalog'!$H$55+'Assumptions and Catalog'!$E$55+'Assumptions and Catalog'!$F$55,IF(((D825+E825)*C825)&lt;='Assumptions and Catalog'!$C$56,((D825+E825)*C825)*'Assumptions and Catalog'!$H$56+'Assumptions and Catalog'!$E$56+'Assumptions and Catalog'!$F$56,IF(((D825+E825)*C825)&lt;='Assumptions and Catalog'!$C$57,((D825+E825)*C825)*'Assumptions and Catalog'!$H$57+'Assumptions and Catalog'!$E$57+'Assumptions and Catalog'!$F$57,"Out of range")))))))),IF(((D825+E825)*C825)&lt;='Assumptions and Catalog'!$C$60,((D825+E825)*C825)*'Assumptions and Catalog'!$H$60+'Assumptions and Catalog'!$E$60+'Assumptions and Catalog'!$F$60,IF(((D825+E825)*C825)&lt;='Assumptions and Catalog'!$C$61,((D825+E825)*C825)*'Assumptions and Catalog'!$H$61+'Assumptions and Catalog'!$E$61+'Assumptions and Catalog'!$F$61,IF(((D825+E825)*C825)&lt;='Assumptions and Catalog'!$C$62,((D825+E825)*C825)*'Assumptions and Catalog'!$H$62+'Assumptions and Catalog'!$E$62+'Assumptions and Catalog'!$F$62,IF(((D825+E825)*C825)&lt;='Assumptions and Catalog'!$C$63,((D825+E825)*C825)*'Assumptions and Catalog'!$H$63+'Assumptions and Catalog'!$E$63+'Assumptions and Catalog'!$F$63,IF(((D825+E825)*C825)&lt;='Assumptions and Catalog'!$C$64,((D825+E825)*C825)*'Assumptions and Catalog'!$H$64+'Assumptions and Catalog'!$E$64+'Assumptions and Catalog'!$F$64,IF(((D825+E825)*C825)&lt;='Assumptions and Catalog'!$C$65,((D825+E825)*C825)*'Assumptions and Catalog'!$H$65+'Assumptions and Catalog'!$E$65+'Assumptions and Catalog'!$F$65,"Out of range")))))))))*(1+'Assumptions and Catalog'!$C$8)^(A825-1),0)</f>
        <v>6867.22</v>
      </c>
      <c r="N825" s="5" t="n">
        <f>IF(ISNUMBER(Inputs!$L$5),(IF(Inputs!$L$9="Actual flat rate",L825*Inputs!$L$10,IF(Inputs!$C$9="Residential",IF(L825&lt;='Assumptions and Catalog'!$C$50,L825*'Assumptions and Catalog'!$H$50+'Assumptions and Catalog'!$E$50+'Assumptions and Catalog'!$F$50,IF(L825&lt;='Assumptions and Catalog'!$C$51,L825*'Assumptions and Catalog'!$H$51+'Assumptions and Catalog'!$E$51+'Assumptions and Catalog'!$F$51,IF(L825&lt;='Assumptions and Catalog'!$C$52,L825*'Assumptions and Catalog'!$H$52+'Assumptions and Catalog'!$E$52+'Assumptions and Catalog'!$F$52,IF(L825&lt;='Assumptions and Catalog'!$C$53,L825*'Assumptions and Catalog'!$H$53+'Assumptions and Catalog'!$E$53+'Assumptions and Catalog'!$F$53,IF(L825&lt;='Assumptions and Catalog'!$C$54,L825*'Assumptions and Catalog'!$H$54+'Assumptions and Catalog'!$E$54+'Assumptions and Catalog'!$F$54,IF(L825&lt;='Assumptions and Catalog'!$C$55,L825*'Assumptions and Catalog'!$H$55+'Assumptions and Catalog'!$E$55+'Assumptions and Catalog'!$F$55,IF(L825&lt;='Assumptions and Catalog'!$C$56,L825*'Assumptions and Catalog'!$H$56+'Assumptions and Catalog'!$E$56+'Assumptions and Catalog'!$F$56,IF(L825&lt;='Assumptions and Catalog'!$C$57,L825*'Assumptions and Catalog'!$H$57+'Assumptions and Catalog'!$E$57+'Assumptions and Catalog'!$F$57,"Out of range")))))))),IF(L825&lt;='Assumptions and Catalog'!$C$60,L825*'Assumptions and Catalog'!$H$60+'Assumptions and Catalog'!$E$60+'Assumptions and Catalog'!$F$60,IF(L825&lt;='Assumptions and Catalog'!$C$61,L825*'Assumptions and Catalog'!$H$61+'Assumptions and Catalog'!$E$61+'Assumptions and Catalog'!$F$61,IF(L825&lt;='Assumptions and Catalog'!$C$62,L825*'Assumptions and Catalog'!$H$62+'Assumptions and Catalog'!$E$62+'Assumptions and Catalog'!$F$62,IF(L825&lt;='Assumptions and Catalog'!$C$63,L825*'Assumptions and Catalog'!$H$63+'Assumptions and Catalog'!$E$63+'Assumptions and Catalog'!$F$63,IF(L825&lt;='Assumptions and Catalog'!$C$64,L825*'Assumptions and Catalog'!$H$64+'Assumptions and Catalog'!$E$64+'Assumptions and Catalog'!$F$64,IF(L825&lt;='Assumptions and Catalog'!$C$65,L825*'Assumptions and Catalog'!$H$65+'Assumptions and Catalog'!$E$65+'Assumptions and Catalog'!$F$65,"Out of range")))))))))*(1+'Assumptions and Catalog'!$C$8)^(A825-1),0)</f>
        <v>2537.2058568832</v>
      </c>
      <c r="O825" s="5" t="n">
        <f>M825-N825</f>
        <v>4330.0141431168</v>
      </c>
      <c r="P825" s="5" t="n">
        <f>E$55*(1-L$14)*(1-'Assumptions and Catalog'!$C$23)^R825</f>
        <v>9.63780608</v>
      </c>
      <c r="Q825" s="5" t="n">
        <f>IF(ISNUMBER(Inputs!$L$5),(IF(Inputs!$L$9="Actual flat rate",((D825+E825)*C825-G825)*Inputs!$L$10,IF(Inputs!$C$9="Residential",IF(((D825+E825)*C825-G825)&lt;='Assumptions and Catalog'!$C$50,((D825+E825)*C825-G825)*'Assumptions and Catalog'!$H$50+'Assumptions and Catalog'!$E$50+'Assumptions and Catalog'!$F$50,IF(((D825+E825)*C825-G825)&lt;='Assumptions and Catalog'!$C$51,((D825+E825)*C825-G825)*'Assumptions and Catalog'!$H$51+'Assumptions and Catalog'!$E$51+'Assumptions and Catalog'!$F$51,IF(((D825+E825)*C825-G825)&lt;='Assumptions and Catalog'!$C$52,((D825+E825)*C825-G825)*'Assumptions and Catalog'!$H$52+'Assumptions and Catalog'!$E$52+'Assumptions and Catalog'!$F$52,IF(((D825+E825)*C825-G825)&lt;='Assumptions and Catalog'!$C$53,((D825+E825)*C825-G825)*'Assumptions and Catalog'!$H$53+'Assumptions and Catalog'!$E$53+'Assumptions and Catalog'!$F$53,IF(((D825+E825)*C825-G825)&lt;='Assumptions and Catalog'!$C$54,((D825+E825)*C825-G825)*'Assumptions and Catalog'!$H$54+'Assumptions and Catalog'!$E$54+'Assumptions and Catalog'!$F$54,IF(((D825+E825)*C825-G825)&lt;='Assumptions and Catalog'!$C$55,((D825+E825)*C825-G825)*'Assumptions and Catalog'!$H$55+'Assumptions and Catalog'!$E$55+'Assumptions and Catalog'!$F$55,IF(((D825+E825)*C825-G825)&lt;='Assumptions and Catalog'!$C$56,((D825+E825)*C825-G825)*'Assumptions and Catalog'!$H$56+'Assumptions and Catalog'!$E$56+'Assumptions and Catalog'!$F$56,IF(((D825+E825)*C825-G825)&lt;='Assumptions and Catalog'!$C$57,((D825+E825)*C825-G825)*'Assumptions and Catalog'!$H$57+'Assumptions and Catalog'!$E$57+'Assumptions and Catalog'!$F$57,"Out of range")))))))),IF(((D825+E825)*C825-G825)&lt;='Assumptions and Catalog'!$C$60,((D825+E825)*C825-G825)*'Assumptions and Catalog'!$H$60+'Assumptions and Catalog'!$E$60+'Assumptions and Catalog'!$F$60,IF(((D825+E825)*C825-G825)&lt;='Assumptions and Catalog'!$C$61,((D825+E825)*C825-G825)*'Assumptions and Catalog'!$H$61+'Assumptions and Catalog'!$E$61+'Assumptions and Catalog'!$F$61,IF(((D825+E825)*C825-G825)&lt;='Assumptions and Catalog'!$C$62,((D825+E825)*C825-G825)*'Assumptions and Catalog'!$H$62+'Assumptions and Catalog'!$E$62+'Assumptions and Catalog'!$F$62,IF(((D825+E825)*C825-G825)&lt;='Assumptions and Catalog'!$C$63,((D825+E825)*C825-G825)*'Assumptions and Catalog'!$H$63+'Assumptions and Catalog'!$E$63+'Assumptions and Catalog'!$F$63,IF(((D825+E825)*C825-G825)&lt;='Assumptions and Catalog'!$C$64,((D825+E825)*C825-G825)*'Assumptions and Catalog'!$H$64+'Assumptions and Catalog'!$E$64+'Assumptions and Catalog'!$F$64,IF(((D825+E825)*C825-G825)&lt;='Assumptions and Catalog'!$C$65,((D825+E825)*C825-G825)*'Assumptions and Catalog'!$H$65+'Assumptions and Catalog'!$E$65+'Assumptions and Catalog'!$F$65,"Out of range")))))))))*(1+'Assumptions and Catalog'!$C$8)^(A825-1),0)</f>
        <v>3453.61</v>
      </c>
      <c r="R825" s="5" t="n">
        <f>IF(AND('Assumptions and Catalog'!$C$19&gt;0,A825&gt;='Assumptions and Catalog'!$C$19),A825-'Assumptions and Catalog'!$C$19,A825-1)</f>
        <v>3</v>
      </c>
      <c r="S825" s="5" t="n">
        <f>F825+L825-(D825+E825)*C825-J825-K825-IF(E$52&gt;0,'Assumptions and Catalog'!$C$26*C825,0)</f>
        <v>-2.27373675443232E-013</v>
      </c>
      <c r="T825" s="5"/>
      <c r="U825" s="5"/>
    </row>
    <row r="826" ht="23.100000381469727" customHeight="1">
      <c r="A826" s="5" t="n">
        <v>14</v>
      </c>
      <c r="B826" s="5" t="n">
        <v>10</v>
      </c>
      <c r="C826" s="5" t="n">
        <f>DAY(DATE('Assumptions and Catalog'!$C$24+A826-1,B826+1,0))</f>
        <v>31</v>
      </c>
      <c r="D826" s="5" t="n">
        <f>IF(ISNUMBER(Inputs!$L$5),Inputs!$L$5*Inputs!$L$6,0)</f>
        <v>40.35</v>
      </c>
      <c r="E826" s="5" t="n">
        <f>IF(ISNUMBER(Inputs!$L$5),Inputs!$L$5-D826,0)</f>
        <v>40.35</v>
      </c>
      <c r="F826" s="5" t="n">
        <f>E$51*INDEX('Solar Production'!$D$20:$D$31,B826)*C826*(1-'Assumptions and Catalog'!$C$10)^(A826-1)</f>
        <v>1592.59570239788</v>
      </c>
      <c r="G826" s="5" t="n">
        <f>MIN(F826,D826*C826)</f>
        <v>1250.85</v>
      </c>
      <c r="H826" s="5" t="n">
        <f>I826/('Assumptions and Catalog'!$C$11*'Assumptions and Catalog'!$C$12)</f>
        <v>306.432808697436</v>
      </c>
      <c r="I826" s="5" t="n">
        <f>MIN(E826*C826,P826*'Assumptions and Catalog'!$C$12*C826,(F826-G826)*'Assumptions and Catalog'!$C$11*'Assumptions and Catalog'!$C$12,E$56*'Assumptions and Catalog'!$C$14*'Assumptions and Catalog'!$C$11*'Assumptions and Catalog'!$C$12*C826,E$57*(24-'Assumptions and Catalog'!$C$13)*C826)</f>
        <v>291.302688768</v>
      </c>
      <c r="J826" s="5" t="n">
        <f>MAX(F826-G826-H826,0)</f>
        <v>35.3128937004411</v>
      </c>
      <c r="K826" s="5" t="n">
        <f>H826-I826</f>
        <v>15.1301199294359</v>
      </c>
      <c r="L826" s="5" t="n">
        <f>(D826+E826)*C826-G826-I826+0+IF(E$52&gt;0,'Assumptions and Catalog'!$C$26*C826,0)</f>
        <v>959.547311232</v>
      </c>
      <c r="M826" s="5" t="n">
        <f>IF(ISNUMBER(Inputs!$L$5),(IF(Inputs!$L$9="Actual flat rate",((D826+E826)*C826)*Inputs!$L$10,IF(Inputs!$C$9="Residential",IF(((D826+E826)*C826)&lt;='Assumptions and Catalog'!$C$50,((D826+E826)*C826)*'Assumptions and Catalog'!$H$50+'Assumptions and Catalog'!$E$50+'Assumptions and Catalog'!$F$50,IF(((D826+E826)*C826)&lt;='Assumptions and Catalog'!$C$51,((D826+E826)*C826)*'Assumptions and Catalog'!$H$51+'Assumptions and Catalog'!$E$51+'Assumptions and Catalog'!$F$51,IF(((D826+E826)*C826)&lt;='Assumptions and Catalog'!$C$52,((D826+E826)*C826)*'Assumptions and Catalog'!$H$52+'Assumptions and Catalog'!$E$52+'Assumptions and Catalog'!$F$52,IF(((D826+E826)*C826)&lt;='Assumptions and Catalog'!$C$53,((D826+E826)*C826)*'Assumptions and Catalog'!$H$53+'Assumptions and Catalog'!$E$53+'Assumptions and Catalog'!$F$53,IF(((D826+E826)*C826)&lt;='Assumptions and Catalog'!$C$54,((D826+E826)*C826)*'Assumptions and Catalog'!$H$54+'Assumptions and Catalog'!$E$54+'Assumptions and Catalog'!$F$54,IF(((D826+E826)*C826)&lt;='Assumptions and Catalog'!$C$55,((D826+E826)*C826)*'Assumptions and Catalog'!$H$55+'Assumptions and Catalog'!$E$55+'Assumptions and Catalog'!$F$55,IF(((D826+E826)*C826)&lt;='Assumptions and Catalog'!$C$56,((D826+E826)*C826)*'Assumptions and Catalog'!$H$56+'Assumptions and Catalog'!$E$56+'Assumptions and Catalog'!$F$56,IF(((D826+E826)*C826)&lt;='Assumptions and Catalog'!$C$57,((D826+E826)*C826)*'Assumptions and Catalog'!$H$57+'Assumptions and Catalog'!$E$57+'Assumptions and Catalog'!$F$57,"Out of range")))))))),IF(((D826+E826)*C826)&lt;='Assumptions and Catalog'!$C$60,((D826+E826)*C826)*'Assumptions and Catalog'!$H$60+'Assumptions and Catalog'!$E$60+'Assumptions and Catalog'!$F$60,IF(((D826+E826)*C826)&lt;='Assumptions and Catalog'!$C$61,((D826+E826)*C826)*'Assumptions and Catalog'!$H$61+'Assumptions and Catalog'!$E$61+'Assumptions and Catalog'!$F$61,IF(((D826+E826)*C826)&lt;='Assumptions and Catalog'!$C$62,((D826+E826)*C826)*'Assumptions and Catalog'!$H$62+'Assumptions and Catalog'!$E$62+'Assumptions and Catalog'!$F$62,IF(((D826+E826)*C826)&lt;='Assumptions and Catalog'!$C$63,((D826+E826)*C826)*'Assumptions and Catalog'!$H$63+'Assumptions and Catalog'!$E$63+'Assumptions and Catalog'!$F$63,IF(((D826+E826)*C826)&lt;='Assumptions and Catalog'!$C$64,((D826+E826)*C826)*'Assumptions and Catalog'!$H$64+'Assumptions and Catalog'!$E$64+'Assumptions and Catalog'!$F$64,IF(((D826+E826)*C826)&lt;='Assumptions and Catalog'!$C$65,((D826+E826)*C826)*'Assumptions and Catalog'!$H$65+'Assumptions and Catalog'!$E$65+'Assumptions and Catalog'!$F$65,"Out of range")))))))))*(1+'Assumptions and Catalog'!$C$8)^(A826-1),0)</f>
        <v>7094.794</v>
      </c>
      <c r="N826" s="5" t="n">
        <f>IF(ISNUMBER(Inputs!$L$5),(IF(Inputs!$L$9="Actual flat rate",L826*Inputs!$L$10,IF(Inputs!$C$9="Residential",IF(L826&lt;='Assumptions and Catalog'!$C$50,L826*'Assumptions and Catalog'!$H$50+'Assumptions and Catalog'!$E$50+'Assumptions and Catalog'!$F$50,IF(L826&lt;='Assumptions and Catalog'!$C$51,L826*'Assumptions and Catalog'!$H$51+'Assumptions and Catalog'!$E$51+'Assumptions and Catalog'!$F$51,IF(L826&lt;='Assumptions and Catalog'!$C$52,L826*'Assumptions and Catalog'!$H$52+'Assumptions and Catalog'!$E$52+'Assumptions and Catalog'!$F$52,IF(L826&lt;='Assumptions and Catalog'!$C$53,L826*'Assumptions and Catalog'!$H$53+'Assumptions and Catalog'!$E$53+'Assumptions and Catalog'!$F$53,IF(L826&lt;='Assumptions and Catalog'!$C$54,L826*'Assumptions and Catalog'!$H$54+'Assumptions and Catalog'!$E$54+'Assumptions and Catalog'!$F$54,IF(L826&lt;='Assumptions and Catalog'!$C$55,L826*'Assumptions and Catalog'!$H$55+'Assumptions and Catalog'!$E$55+'Assumptions and Catalog'!$F$55,IF(L826&lt;='Assumptions and Catalog'!$C$56,L826*'Assumptions and Catalog'!$H$56+'Assumptions and Catalog'!$E$56+'Assumptions and Catalog'!$F$56,IF(L826&lt;='Assumptions and Catalog'!$C$57,L826*'Assumptions and Catalog'!$H$57+'Assumptions and Catalog'!$E$57+'Assumptions and Catalog'!$F$57,"Out of range")))))))),IF(L826&lt;='Assumptions and Catalog'!$C$60,L826*'Assumptions and Catalog'!$H$60+'Assumptions and Catalog'!$E$60+'Assumptions and Catalog'!$F$60,IF(L826&lt;='Assumptions and Catalog'!$C$61,L826*'Assumptions and Catalog'!$H$61+'Assumptions and Catalog'!$E$61+'Assumptions and Catalog'!$F$61,IF(L826&lt;='Assumptions and Catalog'!$C$62,L826*'Assumptions and Catalog'!$H$62+'Assumptions and Catalog'!$E$62+'Assumptions and Catalog'!$F$62,IF(L826&lt;='Assumptions and Catalog'!$C$63,L826*'Assumptions and Catalog'!$H$63+'Assumptions and Catalog'!$E$63+'Assumptions and Catalog'!$F$63,IF(L826&lt;='Assumptions and Catalog'!$C$64,L826*'Assumptions and Catalog'!$H$64+'Assumptions and Catalog'!$E$64+'Assumptions and Catalog'!$F$64,IF(L826&lt;='Assumptions and Catalog'!$C$65,L826*'Assumptions and Catalog'!$H$65+'Assumptions and Catalog'!$E$65+'Assumptions and Catalog'!$F$65,"Out of range")))))))))*(1+'Assumptions and Catalog'!$C$8)^(A826-1),0)</f>
        <v>2622.94605211264</v>
      </c>
      <c r="O826" s="5" t="n">
        <f>M826-N826</f>
        <v>4471.84794788736</v>
      </c>
      <c r="P826" s="5" t="n">
        <f>E$55*(1-L$14)*(1-'Assumptions and Catalog'!$C$23)^R826</f>
        <v>9.63780608</v>
      </c>
      <c r="Q826" s="5" t="n">
        <f>IF(ISNUMBER(Inputs!$L$5),(IF(Inputs!$L$9="Actual flat rate",((D826+E826)*C826-G826)*Inputs!$L$10,IF(Inputs!$C$9="Residential",IF(((D826+E826)*C826-G826)&lt;='Assumptions and Catalog'!$C$50,((D826+E826)*C826-G826)*'Assumptions and Catalog'!$H$50+'Assumptions and Catalog'!$E$50+'Assumptions and Catalog'!$F$50,IF(((D826+E826)*C826-G826)&lt;='Assumptions and Catalog'!$C$51,((D826+E826)*C826-G826)*'Assumptions and Catalog'!$H$51+'Assumptions and Catalog'!$E$51+'Assumptions and Catalog'!$F$51,IF(((D826+E826)*C826-G826)&lt;='Assumptions and Catalog'!$C$52,((D826+E826)*C826-G826)*'Assumptions and Catalog'!$H$52+'Assumptions and Catalog'!$E$52+'Assumptions and Catalog'!$F$52,IF(((D826+E826)*C826-G826)&lt;='Assumptions and Catalog'!$C$53,((D826+E826)*C826-G826)*'Assumptions and Catalog'!$H$53+'Assumptions and Catalog'!$E$53+'Assumptions and Catalog'!$F$53,IF(((D826+E826)*C826-G826)&lt;='Assumptions and Catalog'!$C$54,((D826+E826)*C826-G826)*'Assumptions and Catalog'!$H$54+'Assumptions and Catalog'!$E$54+'Assumptions and Catalog'!$F$54,IF(((D826+E826)*C826-G826)&lt;='Assumptions and Catalog'!$C$55,((D826+E826)*C826-G826)*'Assumptions and Catalog'!$H$55+'Assumptions and Catalog'!$E$55+'Assumptions and Catalog'!$F$55,IF(((D826+E826)*C826-G826)&lt;='Assumptions and Catalog'!$C$56,((D826+E826)*C826-G826)*'Assumptions and Catalog'!$H$56+'Assumptions and Catalog'!$E$56+'Assumptions and Catalog'!$F$56,IF(((D826+E826)*C826-G826)&lt;='Assumptions and Catalog'!$C$57,((D826+E826)*C826-G826)*'Assumptions and Catalog'!$H$57+'Assumptions and Catalog'!$E$57+'Assumptions and Catalog'!$F$57,"Out of range")))))))),IF(((D826+E826)*C826-G826)&lt;='Assumptions and Catalog'!$C$60,((D826+E826)*C826-G826)*'Assumptions and Catalog'!$H$60+'Assumptions and Catalog'!$E$60+'Assumptions and Catalog'!$F$60,IF(((D826+E826)*C826-G826)&lt;='Assumptions and Catalog'!$C$61,((D826+E826)*C826-G826)*'Assumptions and Catalog'!$H$61+'Assumptions and Catalog'!$E$61+'Assumptions and Catalog'!$F$61,IF(((D826+E826)*C826-G826)&lt;='Assumptions and Catalog'!$C$62,((D826+E826)*C826-G826)*'Assumptions and Catalog'!$H$62+'Assumptions and Catalog'!$E$62+'Assumptions and Catalog'!$F$62,IF(((D826+E826)*C826-G826)&lt;='Assumptions and Catalog'!$C$63,((D826+E826)*C826-G826)*'Assumptions and Catalog'!$H$63+'Assumptions and Catalog'!$E$63+'Assumptions and Catalog'!$F$63,IF(((D826+E826)*C826-G826)&lt;='Assumptions and Catalog'!$C$64,((D826+E826)*C826-G826)*'Assumptions and Catalog'!$H$64+'Assumptions and Catalog'!$E$64+'Assumptions and Catalog'!$F$64,IF(((D826+E826)*C826-G826)&lt;='Assumptions and Catalog'!$C$65,((D826+E826)*C826-G826)*'Assumptions and Catalog'!$H$65+'Assumptions and Catalog'!$E$65+'Assumptions and Catalog'!$F$65,"Out of range")))))))))*(1+'Assumptions and Catalog'!$C$8)^(A826-1),0)</f>
        <v>3567.397</v>
      </c>
      <c r="R826" s="5" t="n">
        <f>IF(AND('Assumptions and Catalog'!$C$19&gt;0,A826&gt;='Assumptions and Catalog'!$C$19),A826-'Assumptions and Catalog'!$C$19,A826-1)</f>
        <v>3</v>
      </c>
      <c r="S826" s="5" t="n">
        <f>F826+L826-(D826+E826)*C826-J826-K826-IF(E$52&gt;0,'Assumptions and Catalog'!$C$26*C826,0)</f>
        <v>-5.6843418860808E-014</v>
      </c>
      <c r="T826" s="5"/>
      <c r="U826" s="5"/>
    </row>
    <row r="827" ht="23.100000381469727" customHeight="1">
      <c r="A827" s="5" t="n">
        <v>14</v>
      </c>
      <c r="B827" s="5" t="n">
        <v>11</v>
      </c>
      <c r="C827" s="5" t="n">
        <f>DAY(DATE('Assumptions and Catalog'!$C$24+A827-1,B827+1,0))</f>
        <v>30</v>
      </c>
      <c r="D827" s="5" t="n">
        <f>IF(ISNUMBER(Inputs!$L$5),Inputs!$L$5*Inputs!$L$6,0)</f>
        <v>40.35</v>
      </c>
      <c r="E827" s="5" t="n">
        <f>IF(ISNUMBER(Inputs!$L$5),Inputs!$L$5-D827,0)</f>
        <v>40.35</v>
      </c>
      <c r="F827" s="5" t="n">
        <f>E$51*INDEX('Solar Production'!$D$20:$D$31,B827)*C827*(1-'Assumptions and Catalog'!$C$10)^(A827-1)</f>
        <v>1411.62126032121</v>
      </c>
      <c r="G827" s="5" t="n">
        <f>MIN(F827,D827*C827)</f>
        <v>1210.5</v>
      </c>
      <c r="H827" s="5" t="n">
        <f>I827/('Assumptions and Catalog'!$C$11*'Assumptions and Catalog'!$C$12)</f>
        <v>201.121260321214</v>
      </c>
      <c r="I827" s="5" t="n">
        <f>MIN(E827*C827,P827*'Assumptions and Catalog'!$C$12*C827,(F827-G827)*'Assumptions and Catalog'!$C$11*'Assumptions and Catalog'!$C$12,E$56*'Assumptions and Catalog'!$C$14*'Assumptions and Catalog'!$C$11*'Assumptions and Catalog'!$C$12*C827,E$57*(24-'Assumptions and Catalog'!$C$13)*C827)</f>
        <v>191.190898092854</v>
      </c>
      <c r="J827" s="5" t="n">
        <f>MAX(F827-G827-H827,0)</f>
        <v>0</v>
      </c>
      <c r="K827" s="5" t="n">
        <f>H827-I827</f>
        <v>9.93036222835997</v>
      </c>
      <c r="L827" s="5" t="n">
        <f>(D827+E827)*C827-G827-I827+0+IF(E$52&gt;0,'Assumptions and Catalog'!$C$26*C827,0)</f>
        <v>1019.30910190715</v>
      </c>
      <c r="M827" s="5" t="n">
        <f>IF(ISNUMBER(Inputs!$L$5),(IF(Inputs!$L$9="Actual flat rate",((D827+E827)*C827)*Inputs!$L$10,IF(Inputs!$C$9="Residential",IF(((D827+E827)*C827)&lt;='Assumptions and Catalog'!$C$50,((D827+E827)*C827)*'Assumptions and Catalog'!$H$50+'Assumptions and Catalog'!$E$50+'Assumptions and Catalog'!$F$50,IF(((D827+E827)*C827)&lt;='Assumptions and Catalog'!$C$51,((D827+E827)*C827)*'Assumptions and Catalog'!$H$51+'Assumptions and Catalog'!$E$51+'Assumptions and Catalog'!$F$51,IF(((D827+E827)*C827)&lt;='Assumptions and Catalog'!$C$52,((D827+E827)*C827)*'Assumptions and Catalog'!$H$52+'Assumptions and Catalog'!$E$52+'Assumptions and Catalog'!$F$52,IF(((D827+E827)*C827)&lt;='Assumptions and Catalog'!$C$53,((D827+E827)*C827)*'Assumptions and Catalog'!$H$53+'Assumptions and Catalog'!$E$53+'Assumptions and Catalog'!$F$53,IF(((D827+E827)*C827)&lt;='Assumptions and Catalog'!$C$54,((D827+E827)*C827)*'Assumptions and Catalog'!$H$54+'Assumptions and Catalog'!$E$54+'Assumptions and Catalog'!$F$54,IF(((D827+E827)*C827)&lt;='Assumptions and Catalog'!$C$55,((D827+E827)*C827)*'Assumptions and Catalog'!$H$55+'Assumptions and Catalog'!$E$55+'Assumptions and Catalog'!$F$55,IF(((D827+E827)*C827)&lt;='Assumptions and Catalog'!$C$56,((D827+E827)*C827)*'Assumptions and Catalog'!$H$56+'Assumptions and Catalog'!$E$56+'Assumptions and Catalog'!$F$56,IF(((D827+E827)*C827)&lt;='Assumptions and Catalog'!$C$57,((D827+E827)*C827)*'Assumptions and Catalog'!$H$57+'Assumptions and Catalog'!$E$57+'Assumptions and Catalog'!$F$57,"Out of range")))))))),IF(((D827+E827)*C827)&lt;='Assumptions and Catalog'!$C$60,((D827+E827)*C827)*'Assumptions and Catalog'!$H$60+'Assumptions and Catalog'!$E$60+'Assumptions and Catalog'!$F$60,IF(((D827+E827)*C827)&lt;='Assumptions and Catalog'!$C$61,((D827+E827)*C827)*'Assumptions and Catalog'!$H$61+'Assumptions and Catalog'!$E$61+'Assumptions and Catalog'!$F$61,IF(((D827+E827)*C827)&lt;='Assumptions and Catalog'!$C$62,((D827+E827)*C827)*'Assumptions and Catalog'!$H$62+'Assumptions and Catalog'!$E$62+'Assumptions and Catalog'!$F$62,IF(((D827+E827)*C827)&lt;='Assumptions and Catalog'!$C$63,((D827+E827)*C827)*'Assumptions and Catalog'!$H$63+'Assumptions and Catalog'!$E$63+'Assumptions and Catalog'!$F$63,IF(((D827+E827)*C827)&lt;='Assumptions and Catalog'!$C$64,((D827+E827)*C827)*'Assumptions and Catalog'!$H$64+'Assumptions and Catalog'!$E$64+'Assumptions and Catalog'!$F$64,IF(((D827+E827)*C827)&lt;='Assumptions and Catalog'!$C$65,((D827+E827)*C827)*'Assumptions and Catalog'!$H$65+'Assumptions and Catalog'!$E$65+'Assumptions and Catalog'!$F$65,"Out of range")))))))))*(1+'Assumptions and Catalog'!$C$8)^(A827-1),0)</f>
        <v>6867.22</v>
      </c>
      <c r="N827" s="5" t="n">
        <f>IF(ISNUMBER(Inputs!$L$5),(IF(Inputs!$L$9="Actual flat rate",L827*Inputs!$L$10,IF(Inputs!$C$9="Residential",IF(L827&lt;='Assumptions and Catalog'!$C$50,L827*'Assumptions and Catalog'!$H$50+'Assumptions and Catalog'!$E$50+'Assumptions and Catalog'!$F$50,IF(L827&lt;='Assumptions and Catalog'!$C$51,L827*'Assumptions and Catalog'!$H$51+'Assumptions and Catalog'!$E$51+'Assumptions and Catalog'!$F$51,IF(L827&lt;='Assumptions and Catalog'!$C$52,L827*'Assumptions and Catalog'!$H$52+'Assumptions and Catalog'!$E$52+'Assumptions and Catalog'!$F$52,IF(L827&lt;='Assumptions and Catalog'!$C$53,L827*'Assumptions and Catalog'!$H$53+'Assumptions and Catalog'!$E$53+'Assumptions and Catalog'!$F$53,IF(L827&lt;='Assumptions and Catalog'!$C$54,L827*'Assumptions and Catalog'!$H$54+'Assumptions and Catalog'!$E$54+'Assumptions and Catalog'!$F$54,IF(L827&lt;='Assumptions and Catalog'!$C$55,L827*'Assumptions and Catalog'!$H$55+'Assumptions and Catalog'!$E$55+'Assumptions and Catalog'!$F$55,IF(L827&lt;='Assumptions and Catalog'!$C$56,L827*'Assumptions and Catalog'!$H$56+'Assumptions and Catalog'!$E$56+'Assumptions and Catalog'!$F$56,IF(L827&lt;='Assumptions and Catalog'!$C$57,L827*'Assumptions and Catalog'!$H$57+'Assumptions and Catalog'!$E$57+'Assumptions and Catalog'!$F$57,"Out of range")))))))),IF(L827&lt;='Assumptions and Catalog'!$C$60,L827*'Assumptions and Catalog'!$H$60+'Assumptions and Catalog'!$E$60+'Assumptions and Catalog'!$F$60,IF(L827&lt;='Assumptions and Catalog'!$C$61,L827*'Assumptions and Catalog'!$H$61+'Assumptions and Catalog'!$E$61+'Assumptions and Catalog'!$F$61,IF(L827&lt;='Assumptions and Catalog'!$C$62,L827*'Assumptions and Catalog'!$H$62+'Assumptions and Catalog'!$E$62+'Assumptions and Catalog'!$F$62,IF(L827&lt;='Assumptions and Catalog'!$C$63,L827*'Assumptions and Catalog'!$H$63+'Assumptions and Catalog'!$E$63+'Assumptions and Catalog'!$F$63,IF(L827&lt;='Assumptions and Catalog'!$C$64,L827*'Assumptions and Catalog'!$H$64+'Assumptions and Catalog'!$E$64+'Assumptions and Catalog'!$F$64,IF(L827&lt;='Assumptions and Catalog'!$C$65,L827*'Assumptions and Catalog'!$H$65+'Assumptions and Catalog'!$E$65+'Assumptions and Catalog'!$F$65,"Out of range")))))))))*(1+'Assumptions and Catalog'!$C$8)^(A827-1),0)</f>
        <v>2914.45166737815</v>
      </c>
      <c r="O827" s="5" t="n">
        <f>M827-N827</f>
        <v>3952.76833262185</v>
      </c>
      <c r="P827" s="5" t="n">
        <f>E$55*(1-L$14)*(1-'Assumptions and Catalog'!$C$23)^R827</f>
        <v>9.63780608</v>
      </c>
      <c r="Q827" s="5" t="n">
        <f>IF(ISNUMBER(Inputs!$L$5),(IF(Inputs!$L$9="Actual flat rate",((D827+E827)*C827-G827)*Inputs!$L$10,IF(Inputs!$C$9="Residential",IF(((D827+E827)*C827-G827)&lt;='Assumptions and Catalog'!$C$50,((D827+E827)*C827-G827)*'Assumptions and Catalog'!$H$50+'Assumptions and Catalog'!$E$50+'Assumptions and Catalog'!$F$50,IF(((D827+E827)*C827-G827)&lt;='Assumptions and Catalog'!$C$51,((D827+E827)*C827-G827)*'Assumptions and Catalog'!$H$51+'Assumptions and Catalog'!$E$51+'Assumptions and Catalog'!$F$51,IF(((D827+E827)*C827-G827)&lt;='Assumptions and Catalog'!$C$52,((D827+E827)*C827-G827)*'Assumptions and Catalog'!$H$52+'Assumptions and Catalog'!$E$52+'Assumptions and Catalog'!$F$52,IF(((D827+E827)*C827-G827)&lt;='Assumptions and Catalog'!$C$53,((D827+E827)*C827-G827)*'Assumptions and Catalog'!$H$53+'Assumptions and Catalog'!$E$53+'Assumptions and Catalog'!$F$53,IF(((D827+E827)*C827-G827)&lt;='Assumptions and Catalog'!$C$54,((D827+E827)*C827-G827)*'Assumptions and Catalog'!$H$54+'Assumptions and Catalog'!$E$54+'Assumptions and Catalog'!$F$54,IF(((D827+E827)*C827-G827)&lt;='Assumptions and Catalog'!$C$55,((D827+E827)*C827-G827)*'Assumptions and Catalog'!$H$55+'Assumptions and Catalog'!$E$55+'Assumptions and Catalog'!$F$55,IF(((D827+E827)*C827-G827)&lt;='Assumptions and Catalog'!$C$56,((D827+E827)*C827-G827)*'Assumptions and Catalog'!$H$56+'Assumptions and Catalog'!$E$56+'Assumptions and Catalog'!$F$56,IF(((D827+E827)*C827-G827)&lt;='Assumptions and Catalog'!$C$57,((D827+E827)*C827-G827)*'Assumptions and Catalog'!$H$57+'Assumptions and Catalog'!$E$57+'Assumptions and Catalog'!$F$57,"Out of range")))))))),IF(((D827+E827)*C827-G827)&lt;='Assumptions and Catalog'!$C$60,((D827+E827)*C827-G827)*'Assumptions and Catalog'!$H$60+'Assumptions and Catalog'!$E$60+'Assumptions and Catalog'!$F$60,IF(((D827+E827)*C827-G827)&lt;='Assumptions and Catalog'!$C$61,((D827+E827)*C827-G827)*'Assumptions and Catalog'!$H$61+'Assumptions and Catalog'!$E$61+'Assumptions and Catalog'!$F$61,IF(((D827+E827)*C827-G827)&lt;='Assumptions and Catalog'!$C$62,((D827+E827)*C827-G827)*'Assumptions and Catalog'!$H$62+'Assumptions and Catalog'!$E$62+'Assumptions and Catalog'!$F$62,IF(((D827+E827)*C827-G827)&lt;='Assumptions and Catalog'!$C$63,((D827+E827)*C827-G827)*'Assumptions and Catalog'!$H$63+'Assumptions and Catalog'!$E$63+'Assumptions and Catalog'!$F$63,IF(((D827+E827)*C827-G827)&lt;='Assumptions and Catalog'!$C$64,((D827+E827)*C827-G827)*'Assumptions and Catalog'!$H$64+'Assumptions and Catalog'!$E$64+'Assumptions and Catalog'!$F$64,IF(((D827+E827)*C827-G827)&lt;='Assumptions and Catalog'!$C$65,((D827+E827)*C827-G827)*'Assumptions and Catalog'!$H$65+'Assumptions and Catalog'!$E$65+'Assumptions and Catalog'!$F$65,"Out of range")))))))))*(1+'Assumptions and Catalog'!$C$8)^(A827-1),0)</f>
        <v>3453.61</v>
      </c>
      <c r="R827" s="5" t="n">
        <f>IF(AND('Assumptions and Catalog'!$C$19&gt;0,A827&gt;='Assumptions and Catalog'!$C$19),A827-'Assumptions and Catalog'!$C$19,A827-1)</f>
        <v>3</v>
      </c>
      <c r="S827" s="5" t="n">
        <f>F827+L827-(D827+E827)*C827-J827-K827-IF(E$52&gt;0,'Assumptions and Catalog'!$C$26*C827,0)</f>
        <v>1.13686837721616E-013</v>
      </c>
      <c r="T827" s="5"/>
      <c r="U827" s="5"/>
    </row>
    <row r="828" ht="23.100000381469727" customHeight="1">
      <c r="A828" s="5" t="n">
        <v>14</v>
      </c>
      <c r="B828" s="5" t="n">
        <v>12</v>
      </c>
      <c r="C828" s="5" t="n">
        <f>DAY(DATE('Assumptions and Catalog'!$C$24+A828-1,B828+1,0))</f>
        <v>31</v>
      </c>
      <c r="D828" s="5" t="n">
        <f>IF(ISNUMBER(Inputs!$L$5),Inputs!$L$5*Inputs!$L$6,0)</f>
        <v>40.35</v>
      </c>
      <c r="E828" s="5" t="n">
        <f>IF(ISNUMBER(Inputs!$L$5),Inputs!$L$5-D828,0)</f>
        <v>40.35</v>
      </c>
      <c r="F828" s="5" t="n">
        <f>E$51*INDEX('Solar Production'!$D$20:$D$31,B828)*C828*(1-'Assumptions and Catalog'!$C$10)^(A828-1)</f>
        <v>1343.91043546679</v>
      </c>
      <c r="G828" s="5" t="n">
        <f>MIN(F828,D828*C828)</f>
        <v>1250.85</v>
      </c>
      <c r="H828" s="5" t="n">
        <f>I828/('Assumptions and Catalog'!$C$11*'Assumptions and Catalog'!$C$12)</f>
        <v>93.0604354667908</v>
      </c>
      <c r="I828" s="5" t="n">
        <f>MIN(E828*C828,P828*'Assumptions and Catalog'!$C$12*C828,(F828-G828)*'Assumptions and Catalog'!$C$11*'Assumptions and Catalog'!$C$12,E$56*'Assumptions and Catalog'!$C$14*'Assumptions and Catalog'!$C$11*'Assumptions and Catalog'!$C$12*C828,E$57*(24-'Assumptions and Catalog'!$C$13)*C828)</f>
        <v>88.465576465618</v>
      </c>
      <c r="J828" s="5" t="n">
        <f>MAX(F828-G828-H828,0)</f>
        <v>0</v>
      </c>
      <c r="K828" s="5" t="n">
        <f>H828-I828</f>
        <v>4.59485900117279</v>
      </c>
      <c r="L828" s="5" t="n">
        <f>(D828+E828)*C828-G828-I828+0+IF(E$52&gt;0,'Assumptions and Catalog'!$C$26*C828,0)</f>
        <v>1162.38442353438</v>
      </c>
      <c r="M828" s="5" t="n">
        <f>IF(ISNUMBER(Inputs!$L$5),(IF(Inputs!$L$9="Actual flat rate",((D828+E828)*C828)*Inputs!$L$10,IF(Inputs!$C$9="Residential",IF(((D828+E828)*C828)&lt;='Assumptions and Catalog'!$C$50,((D828+E828)*C828)*'Assumptions and Catalog'!$H$50+'Assumptions and Catalog'!$E$50+'Assumptions and Catalog'!$F$50,IF(((D828+E828)*C828)&lt;='Assumptions and Catalog'!$C$51,((D828+E828)*C828)*'Assumptions and Catalog'!$H$51+'Assumptions and Catalog'!$E$51+'Assumptions and Catalog'!$F$51,IF(((D828+E828)*C828)&lt;='Assumptions and Catalog'!$C$52,((D828+E828)*C828)*'Assumptions and Catalog'!$H$52+'Assumptions and Catalog'!$E$52+'Assumptions and Catalog'!$F$52,IF(((D828+E828)*C828)&lt;='Assumptions and Catalog'!$C$53,((D828+E828)*C828)*'Assumptions and Catalog'!$H$53+'Assumptions and Catalog'!$E$53+'Assumptions and Catalog'!$F$53,IF(((D828+E828)*C828)&lt;='Assumptions and Catalog'!$C$54,((D828+E828)*C828)*'Assumptions and Catalog'!$H$54+'Assumptions and Catalog'!$E$54+'Assumptions and Catalog'!$F$54,IF(((D828+E828)*C828)&lt;='Assumptions and Catalog'!$C$55,((D828+E828)*C828)*'Assumptions and Catalog'!$H$55+'Assumptions and Catalog'!$E$55+'Assumptions and Catalog'!$F$55,IF(((D828+E828)*C828)&lt;='Assumptions and Catalog'!$C$56,((D828+E828)*C828)*'Assumptions and Catalog'!$H$56+'Assumptions and Catalog'!$E$56+'Assumptions and Catalog'!$F$56,IF(((D828+E828)*C828)&lt;='Assumptions and Catalog'!$C$57,((D828+E828)*C828)*'Assumptions and Catalog'!$H$57+'Assumptions and Catalog'!$E$57+'Assumptions and Catalog'!$F$57,"Out of range")))))))),IF(((D828+E828)*C828)&lt;='Assumptions and Catalog'!$C$60,((D828+E828)*C828)*'Assumptions and Catalog'!$H$60+'Assumptions and Catalog'!$E$60+'Assumptions and Catalog'!$F$60,IF(((D828+E828)*C828)&lt;='Assumptions and Catalog'!$C$61,((D828+E828)*C828)*'Assumptions and Catalog'!$H$61+'Assumptions and Catalog'!$E$61+'Assumptions and Catalog'!$F$61,IF(((D828+E828)*C828)&lt;='Assumptions and Catalog'!$C$62,((D828+E828)*C828)*'Assumptions and Catalog'!$H$62+'Assumptions and Catalog'!$E$62+'Assumptions and Catalog'!$F$62,IF(((D828+E828)*C828)&lt;='Assumptions and Catalog'!$C$63,((D828+E828)*C828)*'Assumptions and Catalog'!$H$63+'Assumptions and Catalog'!$E$63+'Assumptions and Catalog'!$F$63,IF(((D828+E828)*C828)&lt;='Assumptions and Catalog'!$C$64,((D828+E828)*C828)*'Assumptions and Catalog'!$H$64+'Assumptions and Catalog'!$E$64+'Assumptions and Catalog'!$F$64,IF(((D828+E828)*C828)&lt;='Assumptions and Catalog'!$C$65,((D828+E828)*C828)*'Assumptions and Catalog'!$H$65+'Assumptions and Catalog'!$E$65+'Assumptions and Catalog'!$F$65,"Out of range")))))))))*(1+'Assumptions and Catalog'!$C$8)^(A828-1),0)</f>
        <v>7094.794</v>
      </c>
      <c r="N828" s="5" t="n">
        <f>IF(ISNUMBER(Inputs!$L$5),(IF(Inputs!$L$9="Actual flat rate",L828*Inputs!$L$10,IF(Inputs!$C$9="Residential",IF(L828&lt;='Assumptions and Catalog'!$C$50,L828*'Assumptions and Catalog'!$H$50+'Assumptions and Catalog'!$E$50+'Assumptions and Catalog'!$F$50,IF(L828&lt;='Assumptions and Catalog'!$C$51,L828*'Assumptions and Catalog'!$H$51+'Assumptions and Catalog'!$E$51+'Assumptions and Catalog'!$F$51,IF(L828&lt;='Assumptions and Catalog'!$C$52,L828*'Assumptions and Catalog'!$H$52+'Assumptions and Catalog'!$E$52+'Assumptions and Catalog'!$F$52,IF(L828&lt;='Assumptions and Catalog'!$C$53,L828*'Assumptions and Catalog'!$H$53+'Assumptions and Catalog'!$E$53+'Assumptions and Catalog'!$F$53,IF(L828&lt;='Assumptions and Catalog'!$C$54,L828*'Assumptions and Catalog'!$H$54+'Assumptions and Catalog'!$E$54+'Assumptions and Catalog'!$F$54,IF(L828&lt;='Assumptions and Catalog'!$C$55,L828*'Assumptions and Catalog'!$H$55+'Assumptions and Catalog'!$E$55+'Assumptions and Catalog'!$F$55,IF(L828&lt;='Assumptions and Catalog'!$C$56,L828*'Assumptions and Catalog'!$H$56+'Assumptions and Catalog'!$E$56+'Assumptions and Catalog'!$F$56,IF(L828&lt;='Assumptions and Catalog'!$C$57,L828*'Assumptions and Catalog'!$H$57+'Assumptions and Catalog'!$E$57+'Assumptions and Catalog'!$F$57,"Out of range")))))))),IF(L828&lt;='Assumptions and Catalog'!$C$60,L828*'Assumptions and Catalog'!$H$60+'Assumptions and Catalog'!$E$60+'Assumptions and Catalog'!$F$60,IF(L828&lt;='Assumptions and Catalog'!$C$61,L828*'Assumptions and Catalog'!$H$61+'Assumptions and Catalog'!$E$61+'Assumptions and Catalog'!$F$61,IF(L828&lt;='Assumptions and Catalog'!$C$62,L828*'Assumptions and Catalog'!$H$62+'Assumptions and Catalog'!$E$62+'Assumptions and Catalog'!$F$62,IF(L828&lt;='Assumptions and Catalog'!$C$63,L828*'Assumptions and Catalog'!$H$63+'Assumptions and Catalog'!$E$63+'Assumptions and Catalog'!$F$63,IF(L828&lt;='Assumptions and Catalog'!$C$64,L828*'Assumptions and Catalog'!$H$64+'Assumptions and Catalog'!$E$64+'Assumptions and Catalog'!$F$64,IF(L828&lt;='Assumptions and Catalog'!$C$65,L828*'Assumptions and Catalog'!$H$65+'Assumptions and Catalog'!$E$65+'Assumptions and Catalog'!$F$65,"Out of range")))))))))*(1+'Assumptions and Catalog'!$C$8)^(A828-1),0)</f>
        <v>3317.92407436696</v>
      </c>
      <c r="O828" s="5" t="n">
        <f>M828-N828</f>
        <v>3776.86992563304</v>
      </c>
      <c r="P828" s="5" t="n">
        <f>E$55*(1-L$14)*(1-'Assumptions and Catalog'!$C$23)^R828</f>
        <v>9.63780608</v>
      </c>
      <c r="Q828" s="5" t="n">
        <f>IF(ISNUMBER(Inputs!$L$5),(IF(Inputs!$L$9="Actual flat rate",((D828+E828)*C828-G828)*Inputs!$L$10,IF(Inputs!$C$9="Residential",IF(((D828+E828)*C828-G828)&lt;='Assumptions and Catalog'!$C$50,((D828+E828)*C828-G828)*'Assumptions and Catalog'!$H$50+'Assumptions and Catalog'!$E$50+'Assumptions and Catalog'!$F$50,IF(((D828+E828)*C828-G828)&lt;='Assumptions and Catalog'!$C$51,((D828+E828)*C828-G828)*'Assumptions and Catalog'!$H$51+'Assumptions and Catalog'!$E$51+'Assumptions and Catalog'!$F$51,IF(((D828+E828)*C828-G828)&lt;='Assumptions and Catalog'!$C$52,((D828+E828)*C828-G828)*'Assumptions and Catalog'!$H$52+'Assumptions and Catalog'!$E$52+'Assumptions and Catalog'!$F$52,IF(((D828+E828)*C828-G828)&lt;='Assumptions and Catalog'!$C$53,((D828+E828)*C828-G828)*'Assumptions and Catalog'!$H$53+'Assumptions and Catalog'!$E$53+'Assumptions and Catalog'!$F$53,IF(((D828+E828)*C828-G828)&lt;='Assumptions and Catalog'!$C$54,((D828+E828)*C828-G828)*'Assumptions and Catalog'!$H$54+'Assumptions and Catalog'!$E$54+'Assumptions and Catalog'!$F$54,IF(((D828+E828)*C828-G828)&lt;='Assumptions and Catalog'!$C$55,((D828+E828)*C828-G828)*'Assumptions and Catalog'!$H$55+'Assumptions and Catalog'!$E$55+'Assumptions and Catalog'!$F$55,IF(((D828+E828)*C828-G828)&lt;='Assumptions and Catalog'!$C$56,((D828+E828)*C828-G828)*'Assumptions and Catalog'!$H$56+'Assumptions and Catalog'!$E$56+'Assumptions and Catalog'!$F$56,IF(((D828+E828)*C828-G828)&lt;='Assumptions and Catalog'!$C$57,((D828+E828)*C828-G828)*'Assumptions and Catalog'!$H$57+'Assumptions and Catalog'!$E$57+'Assumptions and Catalog'!$F$57,"Out of range")))))))),IF(((D828+E828)*C828-G828)&lt;='Assumptions and Catalog'!$C$60,((D828+E828)*C828-G828)*'Assumptions and Catalog'!$H$60+'Assumptions and Catalog'!$E$60+'Assumptions and Catalog'!$F$60,IF(((D828+E828)*C828-G828)&lt;='Assumptions and Catalog'!$C$61,((D828+E828)*C828-G828)*'Assumptions and Catalog'!$H$61+'Assumptions and Catalog'!$E$61+'Assumptions and Catalog'!$F$61,IF(((D828+E828)*C828-G828)&lt;='Assumptions and Catalog'!$C$62,((D828+E828)*C828-G828)*'Assumptions and Catalog'!$H$62+'Assumptions and Catalog'!$E$62+'Assumptions and Catalog'!$F$62,IF(((D828+E828)*C828-G828)&lt;='Assumptions and Catalog'!$C$63,((D828+E828)*C828-G828)*'Assumptions and Catalog'!$H$63+'Assumptions and Catalog'!$E$63+'Assumptions and Catalog'!$F$63,IF(((D828+E828)*C828-G828)&lt;='Assumptions and Catalog'!$C$64,((D828+E828)*C828-G828)*'Assumptions and Catalog'!$H$64+'Assumptions and Catalog'!$E$64+'Assumptions and Catalog'!$F$64,IF(((D828+E828)*C828-G828)&lt;='Assumptions and Catalog'!$C$65,((D828+E828)*C828-G828)*'Assumptions and Catalog'!$H$65+'Assumptions and Catalog'!$E$65+'Assumptions and Catalog'!$F$65,"Out of range")))))))))*(1+'Assumptions and Catalog'!$C$8)^(A828-1),0)</f>
        <v>3567.397</v>
      </c>
      <c r="R828" s="5" t="n">
        <f>IF(AND('Assumptions and Catalog'!$C$19&gt;0,A828&gt;='Assumptions and Catalog'!$C$19),A828-'Assumptions and Catalog'!$C$19,A828-1)</f>
        <v>3</v>
      </c>
      <c r="S828" s="5" t="n">
        <f>F828+L828-(D828+E828)*C828-J828-K828-IF(E$52&gt;0,'Assumptions and Catalog'!$C$26*C828,0)</f>
        <v>-1.84741111297626E-013</v>
      </c>
      <c r="T828" s="5"/>
      <c r="U828" s="5"/>
    </row>
    <row r="829" ht="23.100000381469727" customHeight="1">
      <c r="A829" s="5" t="n">
        <v>15</v>
      </c>
      <c r="B829" s="5" t="n">
        <v>1</v>
      </c>
      <c r="C829" s="5" t="n">
        <f>DAY(DATE('Assumptions and Catalog'!$C$24+A829-1,B829+1,0))</f>
        <v>31</v>
      </c>
      <c r="D829" s="5" t="n">
        <f>IF(ISNUMBER(Inputs!$L$5),Inputs!$L$5*Inputs!$L$6,0)</f>
        <v>40.35</v>
      </c>
      <c r="E829" s="5" t="n">
        <f>IF(ISNUMBER(Inputs!$L$5),Inputs!$L$5-D829,0)</f>
        <v>40.35</v>
      </c>
      <c r="F829" s="5" t="n">
        <f>E$51*INDEX('Solar Production'!$D$20:$D$31,B829)*C829*(1-'Assumptions and Catalog'!$C$10)^(A829-1)</f>
        <v>1346.41996147167</v>
      </c>
      <c r="G829" s="5" t="n">
        <f>MIN(F829,D829*C829)</f>
        <v>1250.85</v>
      </c>
      <c r="H829" s="5" t="n">
        <f>I829/('Assumptions and Catalog'!$C$11*'Assumptions and Catalog'!$C$12)</f>
        <v>95.5699614716696</v>
      </c>
      <c r="I829" s="5" t="n">
        <f>MIN(E829*C829,P829*'Assumptions and Catalog'!$C$12*C829,(F829-G829)*'Assumptions and Catalog'!$C$11*'Assumptions and Catalog'!$C$12,E$56*'Assumptions and Catalog'!$C$14*'Assumptions and Catalog'!$C$11*'Assumptions and Catalog'!$C$12*C829,E$57*(24-'Assumptions and Catalog'!$C$13)*C829)</f>
        <v>90.8511946240059</v>
      </c>
      <c r="J829" s="5" t="n">
        <f>MAX(F829-G829-H829,0)</f>
        <v>0</v>
      </c>
      <c r="K829" s="5" t="n">
        <f>H829-I829</f>
        <v>4.71876684766369</v>
      </c>
      <c r="L829" s="5" t="n">
        <f>(D829+E829)*C829-G829-I829+0+IF(E$52&gt;0,'Assumptions and Catalog'!$C$26*C829,0)</f>
        <v>1159.99880537599</v>
      </c>
      <c r="M829" s="5" t="n">
        <f>IF(ISNUMBER(Inputs!$L$5),(IF(Inputs!$L$9="Actual flat rate",((D829+E829)*C829)*Inputs!$L$10,IF(Inputs!$C$9="Residential",IF(((D829+E829)*C829)&lt;='Assumptions and Catalog'!$C$50,((D829+E829)*C829)*'Assumptions and Catalog'!$H$50+'Assumptions and Catalog'!$E$50+'Assumptions and Catalog'!$F$50,IF(((D829+E829)*C829)&lt;='Assumptions and Catalog'!$C$51,((D829+E829)*C829)*'Assumptions and Catalog'!$H$51+'Assumptions and Catalog'!$E$51+'Assumptions and Catalog'!$F$51,IF(((D829+E829)*C829)&lt;='Assumptions and Catalog'!$C$52,((D829+E829)*C829)*'Assumptions and Catalog'!$H$52+'Assumptions and Catalog'!$E$52+'Assumptions and Catalog'!$F$52,IF(((D829+E829)*C829)&lt;='Assumptions and Catalog'!$C$53,((D829+E829)*C829)*'Assumptions and Catalog'!$H$53+'Assumptions and Catalog'!$E$53+'Assumptions and Catalog'!$F$53,IF(((D829+E829)*C829)&lt;='Assumptions and Catalog'!$C$54,((D829+E829)*C829)*'Assumptions and Catalog'!$H$54+'Assumptions and Catalog'!$E$54+'Assumptions and Catalog'!$F$54,IF(((D829+E829)*C829)&lt;='Assumptions and Catalog'!$C$55,((D829+E829)*C829)*'Assumptions and Catalog'!$H$55+'Assumptions and Catalog'!$E$55+'Assumptions and Catalog'!$F$55,IF(((D829+E829)*C829)&lt;='Assumptions and Catalog'!$C$56,((D829+E829)*C829)*'Assumptions and Catalog'!$H$56+'Assumptions and Catalog'!$E$56+'Assumptions and Catalog'!$F$56,IF(((D829+E829)*C829)&lt;='Assumptions and Catalog'!$C$57,((D829+E829)*C829)*'Assumptions and Catalog'!$H$57+'Assumptions and Catalog'!$E$57+'Assumptions and Catalog'!$F$57,"Out of range")))))))),IF(((D829+E829)*C829)&lt;='Assumptions and Catalog'!$C$60,((D829+E829)*C829)*'Assumptions and Catalog'!$H$60+'Assumptions and Catalog'!$E$60+'Assumptions and Catalog'!$F$60,IF(((D829+E829)*C829)&lt;='Assumptions and Catalog'!$C$61,((D829+E829)*C829)*'Assumptions and Catalog'!$H$61+'Assumptions and Catalog'!$E$61+'Assumptions and Catalog'!$F$61,IF(((D829+E829)*C829)&lt;='Assumptions and Catalog'!$C$62,((D829+E829)*C829)*'Assumptions and Catalog'!$H$62+'Assumptions and Catalog'!$E$62+'Assumptions and Catalog'!$F$62,IF(((D829+E829)*C829)&lt;='Assumptions and Catalog'!$C$63,((D829+E829)*C829)*'Assumptions and Catalog'!$H$63+'Assumptions and Catalog'!$E$63+'Assumptions and Catalog'!$F$63,IF(((D829+E829)*C829)&lt;='Assumptions and Catalog'!$C$64,((D829+E829)*C829)*'Assumptions and Catalog'!$H$64+'Assumptions and Catalog'!$E$64+'Assumptions and Catalog'!$F$64,IF(((D829+E829)*C829)&lt;='Assumptions and Catalog'!$C$65,((D829+E829)*C829)*'Assumptions and Catalog'!$H$65+'Assumptions and Catalog'!$E$65+'Assumptions and Catalog'!$F$65,"Out of range")))))))))*(1+'Assumptions and Catalog'!$C$8)^(A829-1),0)</f>
        <v>7094.794</v>
      </c>
      <c r="N829" s="5" t="n">
        <f>IF(ISNUMBER(Inputs!$L$5),(IF(Inputs!$L$9="Actual flat rate",L829*Inputs!$L$10,IF(Inputs!$C$9="Residential",IF(L829&lt;='Assumptions and Catalog'!$C$50,L829*'Assumptions and Catalog'!$H$50+'Assumptions and Catalog'!$E$50+'Assumptions and Catalog'!$F$50,IF(L829&lt;='Assumptions and Catalog'!$C$51,L829*'Assumptions and Catalog'!$H$51+'Assumptions and Catalog'!$E$51+'Assumptions and Catalog'!$F$51,IF(L829&lt;='Assumptions and Catalog'!$C$52,L829*'Assumptions and Catalog'!$H$52+'Assumptions and Catalog'!$E$52+'Assumptions and Catalog'!$F$52,IF(L829&lt;='Assumptions and Catalog'!$C$53,L829*'Assumptions and Catalog'!$H$53+'Assumptions and Catalog'!$E$53+'Assumptions and Catalog'!$F$53,IF(L829&lt;='Assumptions and Catalog'!$C$54,L829*'Assumptions and Catalog'!$H$54+'Assumptions and Catalog'!$E$54+'Assumptions and Catalog'!$F$54,IF(L829&lt;='Assumptions and Catalog'!$C$55,L829*'Assumptions and Catalog'!$H$55+'Assumptions and Catalog'!$E$55+'Assumptions and Catalog'!$F$55,IF(L829&lt;='Assumptions and Catalog'!$C$56,L829*'Assumptions and Catalog'!$H$56+'Assumptions and Catalog'!$E$56+'Assumptions and Catalog'!$F$56,IF(L829&lt;='Assumptions and Catalog'!$C$57,L829*'Assumptions and Catalog'!$H$57+'Assumptions and Catalog'!$E$57+'Assumptions and Catalog'!$F$57,"Out of range")))))))),IF(L829&lt;='Assumptions and Catalog'!$C$60,L829*'Assumptions and Catalog'!$H$60+'Assumptions and Catalog'!$E$60+'Assumptions and Catalog'!$F$60,IF(L829&lt;='Assumptions and Catalog'!$C$61,L829*'Assumptions and Catalog'!$H$61+'Assumptions and Catalog'!$E$61+'Assumptions and Catalog'!$F$61,IF(L829&lt;='Assumptions and Catalog'!$C$62,L829*'Assumptions and Catalog'!$H$62+'Assumptions and Catalog'!$E$62+'Assumptions and Catalog'!$F$62,IF(L829&lt;='Assumptions and Catalog'!$C$63,L829*'Assumptions and Catalog'!$H$63+'Assumptions and Catalog'!$E$63+'Assumptions and Catalog'!$F$63,IF(L829&lt;='Assumptions and Catalog'!$C$64,L829*'Assumptions and Catalog'!$H$64+'Assumptions and Catalog'!$E$64+'Assumptions and Catalog'!$F$64,IF(L829&lt;='Assumptions and Catalog'!$C$65,L829*'Assumptions and Catalog'!$H$65+'Assumptions and Catalog'!$E$65+'Assumptions and Catalog'!$F$65,"Out of range")))))))))*(1+'Assumptions and Catalog'!$C$8)^(A829-1),0)</f>
        <v>3311.1966311603</v>
      </c>
      <c r="O829" s="5" t="n">
        <f>M829-N829</f>
        <v>3783.5973688397</v>
      </c>
      <c r="P829" s="5" t="n">
        <f>E$55*(1-L$14)*(1-'Assumptions and Catalog'!$C$23)^R829</f>
        <v>9.4450499584</v>
      </c>
      <c r="Q829" s="5" t="n">
        <f>IF(ISNUMBER(Inputs!$L$5),(IF(Inputs!$L$9="Actual flat rate",((D829+E829)*C829-G829)*Inputs!$L$10,IF(Inputs!$C$9="Residential",IF(((D829+E829)*C829-G829)&lt;='Assumptions and Catalog'!$C$50,((D829+E829)*C829-G829)*'Assumptions and Catalog'!$H$50+'Assumptions and Catalog'!$E$50+'Assumptions and Catalog'!$F$50,IF(((D829+E829)*C829-G829)&lt;='Assumptions and Catalog'!$C$51,((D829+E829)*C829-G829)*'Assumptions and Catalog'!$H$51+'Assumptions and Catalog'!$E$51+'Assumptions and Catalog'!$F$51,IF(((D829+E829)*C829-G829)&lt;='Assumptions and Catalog'!$C$52,((D829+E829)*C829-G829)*'Assumptions and Catalog'!$H$52+'Assumptions and Catalog'!$E$52+'Assumptions and Catalog'!$F$52,IF(((D829+E829)*C829-G829)&lt;='Assumptions and Catalog'!$C$53,((D829+E829)*C829-G829)*'Assumptions and Catalog'!$H$53+'Assumptions and Catalog'!$E$53+'Assumptions and Catalog'!$F$53,IF(((D829+E829)*C829-G829)&lt;='Assumptions and Catalog'!$C$54,((D829+E829)*C829-G829)*'Assumptions and Catalog'!$H$54+'Assumptions and Catalog'!$E$54+'Assumptions and Catalog'!$F$54,IF(((D829+E829)*C829-G829)&lt;='Assumptions and Catalog'!$C$55,((D829+E829)*C829-G829)*'Assumptions and Catalog'!$H$55+'Assumptions and Catalog'!$E$55+'Assumptions and Catalog'!$F$55,IF(((D829+E829)*C829-G829)&lt;='Assumptions and Catalog'!$C$56,((D829+E829)*C829-G829)*'Assumptions and Catalog'!$H$56+'Assumptions and Catalog'!$E$56+'Assumptions and Catalog'!$F$56,IF(((D829+E829)*C829-G829)&lt;='Assumptions and Catalog'!$C$57,((D829+E829)*C829-G829)*'Assumptions and Catalog'!$H$57+'Assumptions and Catalog'!$E$57+'Assumptions and Catalog'!$F$57,"Out of range")))))))),IF(((D829+E829)*C829-G829)&lt;='Assumptions and Catalog'!$C$60,((D829+E829)*C829-G829)*'Assumptions and Catalog'!$H$60+'Assumptions and Catalog'!$E$60+'Assumptions and Catalog'!$F$60,IF(((D829+E829)*C829-G829)&lt;='Assumptions and Catalog'!$C$61,((D829+E829)*C829-G829)*'Assumptions and Catalog'!$H$61+'Assumptions and Catalog'!$E$61+'Assumptions and Catalog'!$F$61,IF(((D829+E829)*C829-G829)&lt;='Assumptions and Catalog'!$C$62,((D829+E829)*C829-G829)*'Assumptions and Catalog'!$H$62+'Assumptions and Catalog'!$E$62+'Assumptions and Catalog'!$F$62,IF(((D829+E829)*C829-G829)&lt;='Assumptions and Catalog'!$C$63,((D829+E829)*C829-G829)*'Assumptions and Catalog'!$H$63+'Assumptions and Catalog'!$E$63+'Assumptions and Catalog'!$F$63,IF(((D829+E829)*C829-G829)&lt;='Assumptions and Catalog'!$C$64,((D829+E829)*C829-G829)*'Assumptions and Catalog'!$H$64+'Assumptions and Catalog'!$E$64+'Assumptions and Catalog'!$F$64,IF(((D829+E829)*C829-G829)&lt;='Assumptions and Catalog'!$C$65,((D829+E829)*C829-G829)*'Assumptions and Catalog'!$H$65+'Assumptions and Catalog'!$E$65+'Assumptions and Catalog'!$F$65,"Out of range")))))))))*(1+'Assumptions and Catalog'!$C$8)^(A829-1),0)</f>
        <v>3567.397</v>
      </c>
      <c r="R829" s="5" t="n">
        <f>IF(AND('Assumptions and Catalog'!$C$19&gt;0,A829&gt;='Assumptions and Catalog'!$C$19),A829-'Assumptions and Catalog'!$C$19,A829-1)</f>
        <v>4</v>
      </c>
      <c r="S829" s="5" t="n">
        <f>F829+L829-(D829+E829)*C829-J829-K829-IF(E$52&gt;0,'Assumptions and Catalog'!$C$26*C829,0)</f>
        <v>3.41060513164848E-013</v>
      </c>
      <c r="T829" s="5"/>
      <c r="U829" s="5"/>
    </row>
    <row r="830" ht="23.100000381469727" customHeight="1">
      <c r="A830" s="5" t="n">
        <v>15</v>
      </c>
      <c r="B830" s="5" t="n">
        <v>2</v>
      </c>
      <c r="C830" s="5" t="n">
        <f>DAY(DATE('Assumptions and Catalog'!$C$24+A830-1,B830+1,0))</f>
        <v>28</v>
      </c>
      <c r="D830" s="5" t="n">
        <f>IF(ISNUMBER(Inputs!$L$5),Inputs!$L$5*Inputs!$L$6,0)</f>
        <v>40.35</v>
      </c>
      <c r="E830" s="5" t="n">
        <f>IF(ISNUMBER(Inputs!$L$5),Inputs!$L$5-D830,0)</f>
        <v>40.35</v>
      </c>
      <c r="F830" s="5" t="n">
        <f>E$51*INDEX('Solar Production'!$D$20:$D$31,B830)*C830*(1-'Assumptions and Catalog'!$C$10)^(A830-1)</f>
        <v>1327.44907854157</v>
      </c>
      <c r="G830" s="5" t="n">
        <f>MIN(F830,D830*C830)</f>
        <v>1129.8</v>
      </c>
      <c r="H830" s="5" t="n">
        <f>I830/('Assumptions and Catalog'!$C$11*'Assumptions and Catalog'!$C$12)</f>
        <v>197.649078541566</v>
      </c>
      <c r="I830" s="5" t="n">
        <f>MIN(E830*C830,P830*'Assumptions and Catalog'!$C$12*C830,(F830-G830)*'Assumptions and Catalog'!$C$11*'Assumptions and Catalog'!$C$12,E$56*'Assumptions and Catalog'!$C$14*'Assumptions and Catalog'!$C$11*'Assumptions and Catalog'!$C$12*C830,E$57*(24-'Assumptions and Catalog'!$C$13)*C830)</f>
        <v>187.890155288576</v>
      </c>
      <c r="J830" s="5" t="n">
        <f>MAX(F830-G830-H830,0)</f>
        <v>0</v>
      </c>
      <c r="K830" s="5" t="n">
        <f>H830-I830</f>
        <v>9.7589232529898</v>
      </c>
      <c r="L830" s="5" t="n">
        <f>(D830+E830)*C830-G830-I830+0+IF(E$52&gt;0,'Assumptions and Catalog'!$C$26*C830,0)</f>
        <v>941.909844711424</v>
      </c>
      <c r="M830" s="5" t="n">
        <f>IF(ISNUMBER(Inputs!$L$5),(IF(Inputs!$L$9="Actual flat rate",((D830+E830)*C830)*Inputs!$L$10,IF(Inputs!$C$9="Residential",IF(((D830+E830)*C830)&lt;='Assumptions and Catalog'!$C$50,((D830+E830)*C830)*'Assumptions and Catalog'!$H$50+'Assumptions and Catalog'!$E$50+'Assumptions and Catalog'!$F$50,IF(((D830+E830)*C830)&lt;='Assumptions and Catalog'!$C$51,((D830+E830)*C830)*'Assumptions and Catalog'!$H$51+'Assumptions and Catalog'!$E$51+'Assumptions and Catalog'!$F$51,IF(((D830+E830)*C830)&lt;='Assumptions and Catalog'!$C$52,((D830+E830)*C830)*'Assumptions and Catalog'!$H$52+'Assumptions and Catalog'!$E$52+'Assumptions and Catalog'!$F$52,IF(((D830+E830)*C830)&lt;='Assumptions and Catalog'!$C$53,((D830+E830)*C830)*'Assumptions and Catalog'!$H$53+'Assumptions and Catalog'!$E$53+'Assumptions and Catalog'!$F$53,IF(((D830+E830)*C830)&lt;='Assumptions and Catalog'!$C$54,((D830+E830)*C830)*'Assumptions and Catalog'!$H$54+'Assumptions and Catalog'!$E$54+'Assumptions and Catalog'!$F$54,IF(((D830+E830)*C830)&lt;='Assumptions and Catalog'!$C$55,((D830+E830)*C830)*'Assumptions and Catalog'!$H$55+'Assumptions and Catalog'!$E$55+'Assumptions and Catalog'!$F$55,IF(((D830+E830)*C830)&lt;='Assumptions and Catalog'!$C$56,((D830+E830)*C830)*'Assumptions and Catalog'!$H$56+'Assumptions and Catalog'!$E$56+'Assumptions and Catalog'!$F$56,IF(((D830+E830)*C830)&lt;='Assumptions and Catalog'!$C$57,((D830+E830)*C830)*'Assumptions and Catalog'!$H$57+'Assumptions and Catalog'!$E$57+'Assumptions and Catalog'!$F$57,"Out of range")))))))),IF(((D830+E830)*C830)&lt;='Assumptions and Catalog'!$C$60,((D830+E830)*C830)*'Assumptions and Catalog'!$H$60+'Assumptions and Catalog'!$E$60+'Assumptions and Catalog'!$F$60,IF(((D830+E830)*C830)&lt;='Assumptions and Catalog'!$C$61,((D830+E830)*C830)*'Assumptions and Catalog'!$H$61+'Assumptions and Catalog'!$E$61+'Assumptions and Catalog'!$F$61,IF(((D830+E830)*C830)&lt;='Assumptions and Catalog'!$C$62,((D830+E830)*C830)*'Assumptions and Catalog'!$H$62+'Assumptions and Catalog'!$E$62+'Assumptions and Catalog'!$F$62,IF(((D830+E830)*C830)&lt;='Assumptions and Catalog'!$C$63,((D830+E830)*C830)*'Assumptions and Catalog'!$H$63+'Assumptions and Catalog'!$E$63+'Assumptions and Catalog'!$F$63,IF(((D830+E830)*C830)&lt;='Assumptions and Catalog'!$C$64,((D830+E830)*C830)*'Assumptions and Catalog'!$H$64+'Assumptions and Catalog'!$E$64+'Assumptions and Catalog'!$F$64,IF(((D830+E830)*C830)&lt;='Assumptions and Catalog'!$C$65,((D830+E830)*C830)*'Assumptions and Catalog'!$H$65+'Assumptions and Catalog'!$E$65+'Assumptions and Catalog'!$F$65,"Out of range")))))))))*(1+'Assumptions and Catalog'!$C$8)^(A830-1),0)</f>
        <v>6412.072</v>
      </c>
      <c r="N830" s="5" t="n">
        <f>IF(ISNUMBER(Inputs!$L$5),(IF(Inputs!$L$9="Actual flat rate",L830*Inputs!$L$10,IF(Inputs!$C$9="Residential",IF(L830&lt;='Assumptions and Catalog'!$C$50,L830*'Assumptions and Catalog'!$H$50+'Assumptions and Catalog'!$E$50+'Assumptions and Catalog'!$F$50,IF(L830&lt;='Assumptions and Catalog'!$C$51,L830*'Assumptions and Catalog'!$H$51+'Assumptions and Catalog'!$E$51+'Assumptions and Catalog'!$F$51,IF(L830&lt;='Assumptions and Catalog'!$C$52,L830*'Assumptions and Catalog'!$H$52+'Assumptions and Catalog'!$E$52+'Assumptions and Catalog'!$F$52,IF(L830&lt;='Assumptions and Catalog'!$C$53,L830*'Assumptions and Catalog'!$H$53+'Assumptions and Catalog'!$E$53+'Assumptions and Catalog'!$F$53,IF(L830&lt;='Assumptions and Catalog'!$C$54,L830*'Assumptions and Catalog'!$H$54+'Assumptions and Catalog'!$E$54+'Assumptions and Catalog'!$F$54,IF(L830&lt;='Assumptions and Catalog'!$C$55,L830*'Assumptions and Catalog'!$H$55+'Assumptions and Catalog'!$E$55+'Assumptions and Catalog'!$F$55,IF(L830&lt;='Assumptions and Catalog'!$C$56,L830*'Assumptions and Catalog'!$H$56+'Assumptions and Catalog'!$E$56+'Assumptions and Catalog'!$F$56,IF(L830&lt;='Assumptions and Catalog'!$C$57,L830*'Assumptions and Catalog'!$H$57+'Assumptions and Catalog'!$E$57+'Assumptions and Catalog'!$F$57,"Out of range")))))))),IF(L830&lt;='Assumptions and Catalog'!$C$60,L830*'Assumptions and Catalog'!$H$60+'Assumptions and Catalog'!$E$60+'Assumptions and Catalog'!$F$60,IF(L830&lt;='Assumptions and Catalog'!$C$61,L830*'Assumptions and Catalog'!$H$61+'Assumptions and Catalog'!$E$61+'Assumptions and Catalog'!$F$61,IF(L830&lt;='Assumptions and Catalog'!$C$62,L830*'Assumptions and Catalog'!$H$62+'Assumptions and Catalog'!$E$62+'Assumptions and Catalog'!$F$62,IF(L830&lt;='Assumptions and Catalog'!$C$63,L830*'Assumptions and Catalog'!$H$63+'Assumptions and Catalog'!$E$63+'Assumptions and Catalog'!$F$63,IF(L830&lt;='Assumptions and Catalog'!$C$64,L830*'Assumptions and Catalog'!$H$64+'Assumptions and Catalog'!$E$64+'Assumptions and Catalog'!$F$64,IF(L830&lt;='Assumptions and Catalog'!$C$65,L830*'Assumptions and Catalog'!$H$65+'Assumptions and Catalog'!$E$65+'Assumptions and Catalog'!$F$65,"Out of range")))))))))*(1+'Assumptions and Catalog'!$C$8)^(A830-1),0)</f>
        <v>2574.09026985064</v>
      </c>
      <c r="O830" s="5" t="n">
        <f>M830-N830</f>
        <v>3837.98173014936</v>
      </c>
      <c r="P830" s="5" t="n">
        <f>E$55*(1-L$14)*(1-'Assumptions and Catalog'!$C$23)^R830</f>
        <v>9.4450499584</v>
      </c>
      <c r="Q830" s="5" t="n">
        <f>IF(ISNUMBER(Inputs!$L$5),(IF(Inputs!$L$9="Actual flat rate",((D830+E830)*C830-G830)*Inputs!$L$10,IF(Inputs!$C$9="Residential",IF(((D830+E830)*C830-G830)&lt;='Assumptions and Catalog'!$C$50,((D830+E830)*C830-G830)*'Assumptions and Catalog'!$H$50+'Assumptions and Catalog'!$E$50+'Assumptions and Catalog'!$F$50,IF(((D830+E830)*C830-G830)&lt;='Assumptions and Catalog'!$C$51,((D830+E830)*C830-G830)*'Assumptions and Catalog'!$H$51+'Assumptions and Catalog'!$E$51+'Assumptions and Catalog'!$F$51,IF(((D830+E830)*C830-G830)&lt;='Assumptions and Catalog'!$C$52,((D830+E830)*C830-G830)*'Assumptions and Catalog'!$H$52+'Assumptions and Catalog'!$E$52+'Assumptions and Catalog'!$F$52,IF(((D830+E830)*C830-G830)&lt;='Assumptions and Catalog'!$C$53,((D830+E830)*C830-G830)*'Assumptions and Catalog'!$H$53+'Assumptions and Catalog'!$E$53+'Assumptions and Catalog'!$F$53,IF(((D830+E830)*C830-G830)&lt;='Assumptions and Catalog'!$C$54,((D830+E830)*C830-G830)*'Assumptions and Catalog'!$H$54+'Assumptions and Catalog'!$E$54+'Assumptions and Catalog'!$F$54,IF(((D830+E830)*C830-G830)&lt;='Assumptions and Catalog'!$C$55,((D830+E830)*C830-G830)*'Assumptions and Catalog'!$H$55+'Assumptions and Catalog'!$E$55+'Assumptions and Catalog'!$F$55,IF(((D830+E830)*C830-G830)&lt;='Assumptions and Catalog'!$C$56,((D830+E830)*C830-G830)*'Assumptions and Catalog'!$H$56+'Assumptions and Catalog'!$E$56+'Assumptions and Catalog'!$F$56,IF(((D830+E830)*C830-G830)&lt;='Assumptions and Catalog'!$C$57,((D830+E830)*C830-G830)*'Assumptions and Catalog'!$H$57+'Assumptions and Catalog'!$E$57+'Assumptions and Catalog'!$F$57,"Out of range")))))))),IF(((D830+E830)*C830-G830)&lt;='Assumptions and Catalog'!$C$60,((D830+E830)*C830-G830)*'Assumptions and Catalog'!$H$60+'Assumptions and Catalog'!$E$60+'Assumptions and Catalog'!$F$60,IF(((D830+E830)*C830-G830)&lt;='Assumptions and Catalog'!$C$61,((D830+E830)*C830-G830)*'Assumptions and Catalog'!$H$61+'Assumptions and Catalog'!$E$61+'Assumptions and Catalog'!$F$61,IF(((D830+E830)*C830-G830)&lt;='Assumptions and Catalog'!$C$62,((D830+E830)*C830-G830)*'Assumptions and Catalog'!$H$62+'Assumptions and Catalog'!$E$62+'Assumptions and Catalog'!$F$62,IF(((D830+E830)*C830-G830)&lt;='Assumptions and Catalog'!$C$63,((D830+E830)*C830-G830)*'Assumptions and Catalog'!$H$63+'Assumptions and Catalog'!$E$63+'Assumptions and Catalog'!$F$63,IF(((D830+E830)*C830-G830)&lt;='Assumptions and Catalog'!$C$64,((D830+E830)*C830-G830)*'Assumptions and Catalog'!$H$64+'Assumptions and Catalog'!$E$64+'Assumptions and Catalog'!$F$64,IF(((D830+E830)*C830-G830)&lt;='Assumptions and Catalog'!$C$65,((D830+E830)*C830-G830)*'Assumptions and Catalog'!$H$65+'Assumptions and Catalog'!$E$65+'Assumptions and Catalog'!$F$65,"Out of range")))))))))*(1+'Assumptions and Catalog'!$C$8)^(A830-1),0)</f>
        <v>3226.036</v>
      </c>
      <c r="R830" s="5" t="n">
        <f>IF(AND('Assumptions and Catalog'!$C$19&gt;0,A830&gt;='Assumptions and Catalog'!$C$19),A830-'Assumptions and Catalog'!$C$19,A830-1)</f>
        <v>4</v>
      </c>
      <c r="S830" s="5" t="n">
        <f>F830+L830-(D830+E830)*C830-J830-K830-IF(E$52&gt;0,'Assumptions and Catalog'!$C$26*C830,0)</f>
        <v>1.13686837721616E-013</v>
      </c>
      <c r="T830" s="5"/>
      <c r="U830" s="5"/>
    </row>
    <row r="831" ht="23.100000381469727" customHeight="1">
      <c r="A831" s="5" t="n">
        <v>15</v>
      </c>
      <c r="B831" s="5" t="n">
        <v>3</v>
      </c>
      <c r="C831" s="5" t="n">
        <f>DAY(DATE('Assumptions and Catalog'!$C$24+A831-1,B831+1,0))</f>
        <v>31</v>
      </c>
      <c r="D831" s="5" t="n">
        <f>IF(ISNUMBER(Inputs!$L$5),Inputs!$L$5*Inputs!$L$6,0)</f>
        <v>40.35</v>
      </c>
      <c r="E831" s="5" t="n">
        <f>IF(ISNUMBER(Inputs!$L$5),Inputs!$L$5-D831,0)</f>
        <v>40.35</v>
      </c>
      <c r="F831" s="5" t="n">
        <f>E$51*INDEX('Solar Production'!$D$20:$D$31,B831)*C831*(1-'Assumptions and Catalog'!$C$10)^(A831-1)</f>
        <v>1651.5948133635</v>
      </c>
      <c r="G831" s="5" t="n">
        <f>MIN(F831,D831*C831)</f>
        <v>1250.85</v>
      </c>
      <c r="H831" s="5" t="n">
        <f>I831/('Assumptions and Catalog'!$C$11*'Assumptions and Catalog'!$C$12)</f>
        <v>300.304152523487</v>
      </c>
      <c r="I831" s="5" t="n">
        <f>MIN(E831*C831,P831*'Assumptions and Catalog'!$C$12*C831,(F831-G831)*'Assumptions and Catalog'!$C$11*'Assumptions and Catalog'!$C$12,E$56*'Assumptions and Catalog'!$C$14*'Assumptions and Catalog'!$C$11*'Assumptions and Catalog'!$C$12*C831,E$57*(24-'Assumptions and Catalog'!$C$13)*C831)</f>
        <v>285.47663499264</v>
      </c>
      <c r="J831" s="5" t="n">
        <f>MAX(F831-G831-H831,0)</f>
        <v>100.440660840009</v>
      </c>
      <c r="K831" s="5" t="n">
        <f>H831-I831</f>
        <v>14.8275175308472</v>
      </c>
      <c r="L831" s="5" t="n">
        <f>(D831+E831)*C831-G831-I831+0+IF(E$52&gt;0,'Assumptions and Catalog'!$C$26*C831,0)</f>
        <v>965.37336500736</v>
      </c>
      <c r="M831" s="5" t="n">
        <f>IF(ISNUMBER(Inputs!$L$5),(IF(Inputs!$L$9="Actual flat rate",((D831+E831)*C831)*Inputs!$L$10,IF(Inputs!$C$9="Residential",IF(((D831+E831)*C831)&lt;='Assumptions and Catalog'!$C$50,((D831+E831)*C831)*'Assumptions and Catalog'!$H$50+'Assumptions and Catalog'!$E$50+'Assumptions and Catalog'!$F$50,IF(((D831+E831)*C831)&lt;='Assumptions and Catalog'!$C$51,((D831+E831)*C831)*'Assumptions and Catalog'!$H$51+'Assumptions and Catalog'!$E$51+'Assumptions and Catalog'!$F$51,IF(((D831+E831)*C831)&lt;='Assumptions and Catalog'!$C$52,((D831+E831)*C831)*'Assumptions and Catalog'!$H$52+'Assumptions and Catalog'!$E$52+'Assumptions and Catalog'!$F$52,IF(((D831+E831)*C831)&lt;='Assumptions and Catalog'!$C$53,((D831+E831)*C831)*'Assumptions and Catalog'!$H$53+'Assumptions and Catalog'!$E$53+'Assumptions and Catalog'!$F$53,IF(((D831+E831)*C831)&lt;='Assumptions and Catalog'!$C$54,((D831+E831)*C831)*'Assumptions and Catalog'!$H$54+'Assumptions and Catalog'!$E$54+'Assumptions and Catalog'!$F$54,IF(((D831+E831)*C831)&lt;='Assumptions and Catalog'!$C$55,((D831+E831)*C831)*'Assumptions and Catalog'!$H$55+'Assumptions and Catalog'!$E$55+'Assumptions and Catalog'!$F$55,IF(((D831+E831)*C831)&lt;='Assumptions and Catalog'!$C$56,((D831+E831)*C831)*'Assumptions and Catalog'!$H$56+'Assumptions and Catalog'!$E$56+'Assumptions and Catalog'!$F$56,IF(((D831+E831)*C831)&lt;='Assumptions and Catalog'!$C$57,((D831+E831)*C831)*'Assumptions and Catalog'!$H$57+'Assumptions and Catalog'!$E$57+'Assumptions and Catalog'!$F$57,"Out of range")))))))),IF(((D831+E831)*C831)&lt;='Assumptions and Catalog'!$C$60,((D831+E831)*C831)*'Assumptions and Catalog'!$H$60+'Assumptions and Catalog'!$E$60+'Assumptions and Catalog'!$F$60,IF(((D831+E831)*C831)&lt;='Assumptions and Catalog'!$C$61,((D831+E831)*C831)*'Assumptions and Catalog'!$H$61+'Assumptions and Catalog'!$E$61+'Assumptions and Catalog'!$F$61,IF(((D831+E831)*C831)&lt;='Assumptions and Catalog'!$C$62,((D831+E831)*C831)*'Assumptions and Catalog'!$H$62+'Assumptions and Catalog'!$E$62+'Assumptions and Catalog'!$F$62,IF(((D831+E831)*C831)&lt;='Assumptions and Catalog'!$C$63,((D831+E831)*C831)*'Assumptions and Catalog'!$H$63+'Assumptions and Catalog'!$E$63+'Assumptions and Catalog'!$F$63,IF(((D831+E831)*C831)&lt;='Assumptions and Catalog'!$C$64,((D831+E831)*C831)*'Assumptions and Catalog'!$H$64+'Assumptions and Catalog'!$E$64+'Assumptions and Catalog'!$F$64,IF(((D831+E831)*C831)&lt;='Assumptions and Catalog'!$C$65,((D831+E831)*C831)*'Assumptions and Catalog'!$H$65+'Assumptions and Catalog'!$E$65+'Assumptions and Catalog'!$F$65,"Out of range")))))))))*(1+'Assumptions and Catalog'!$C$8)^(A831-1),0)</f>
        <v>7094.794</v>
      </c>
      <c r="N831" s="5" t="n">
        <f>IF(ISNUMBER(Inputs!$L$5),(IF(Inputs!$L$9="Actual flat rate",L831*Inputs!$L$10,IF(Inputs!$C$9="Residential",IF(L831&lt;='Assumptions and Catalog'!$C$50,L831*'Assumptions and Catalog'!$H$50+'Assumptions and Catalog'!$E$50+'Assumptions and Catalog'!$F$50,IF(L831&lt;='Assumptions and Catalog'!$C$51,L831*'Assumptions and Catalog'!$H$51+'Assumptions and Catalog'!$E$51+'Assumptions and Catalog'!$F$51,IF(L831&lt;='Assumptions and Catalog'!$C$52,L831*'Assumptions and Catalog'!$H$52+'Assumptions and Catalog'!$E$52+'Assumptions and Catalog'!$F$52,IF(L831&lt;='Assumptions and Catalog'!$C$53,L831*'Assumptions and Catalog'!$H$53+'Assumptions and Catalog'!$E$53+'Assumptions and Catalog'!$F$53,IF(L831&lt;='Assumptions and Catalog'!$C$54,L831*'Assumptions and Catalog'!$H$54+'Assumptions and Catalog'!$E$54+'Assumptions and Catalog'!$F$54,IF(L831&lt;='Assumptions and Catalog'!$C$55,L831*'Assumptions and Catalog'!$H$55+'Assumptions and Catalog'!$E$55+'Assumptions and Catalog'!$F$55,IF(L831&lt;='Assumptions and Catalog'!$C$56,L831*'Assumptions and Catalog'!$H$56+'Assumptions and Catalog'!$E$56+'Assumptions and Catalog'!$F$56,IF(L831&lt;='Assumptions and Catalog'!$C$57,L831*'Assumptions and Catalog'!$H$57+'Assumptions and Catalog'!$E$57+'Assumptions and Catalog'!$F$57,"Out of range")))))))),IF(L831&lt;='Assumptions and Catalog'!$C$60,L831*'Assumptions and Catalog'!$H$60+'Assumptions and Catalog'!$E$60+'Assumptions and Catalog'!$F$60,IF(L831&lt;='Assumptions and Catalog'!$C$61,L831*'Assumptions and Catalog'!$H$61+'Assumptions and Catalog'!$E$61+'Assumptions and Catalog'!$F$61,IF(L831&lt;='Assumptions and Catalog'!$C$62,L831*'Assumptions and Catalog'!$H$62+'Assumptions and Catalog'!$E$62+'Assumptions and Catalog'!$F$62,IF(L831&lt;='Assumptions and Catalog'!$C$63,L831*'Assumptions and Catalog'!$H$63+'Assumptions and Catalog'!$E$63+'Assumptions and Catalog'!$F$63,IF(L831&lt;='Assumptions and Catalog'!$C$64,L831*'Assumptions and Catalog'!$H$64+'Assumptions and Catalog'!$E$64+'Assumptions and Catalog'!$F$64,IF(L831&lt;='Assumptions and Catalog'!$C$65,L831*'Assumptions and Catalog'!$H$65+'Assumptions and Catalog'!$E$65+'Assumptions and Catalog'!$F$65,"Out of range")))))))))*(1+'Assumptions and Catalog'!$C$8)^(A831-1),0)</f>
        <v>2639.08422107039</v>
      </c>
      <c r="O831" s="5" t="n">
        <f>M831-N831</f>
        <v>4455.70977892961</v>
      </c>
      <c r="P831" s="5" t="n">
        <f>E$55*(1-L$14)*(1-'Assumptions and Catalog'!$C$23)^R831</f>
        <v>9.4450499584</v>
      </c>
      <c r="Q831" s="5" t="n">
        <f>IF(ISNUMBER(Inputs!$L$5),(IF(Inputs!$L$9="Actual flat rate",((D831+E831)*C831-G831)*Inputs!$L$10,IF(Inputs!$C$9="Residential",IF(((D831+E831)*C831-G831)&lt;='Assumptions and Catalog'!$C$50,((D831+E831)*C831-G831)*'Assumptions and Catalog'!$H$50+'Assumptions and Catalog'!$E$50+'Assumptions and Catalog'!$F$50,IF(((D831+E831)*C831-G831)&lt;='Assumptions and Catalog'!$C$51,((D831+E831)*C831-G831)*'Assumptions and Catalog'!$H$51+'Assumptions and Catalog'!$E$51+'Assumptions and Catalog'!$F$51,IF(((D831+E831)*C831-G831)&lt;='Assumptions and Catalog'!$C$52,((D831+E831)*C831-G831)*'Assumptions and Catalog'!$H$52+'Assumptions and Catalog'!$E$52+'Assumptions and Catalog'!$F$52,IF(((D831+E831)*C831-G831)&lt;='Assumptions and Catalog'!$C$53,((D831+E831)*C831-G831)*'Assumptions and Catalog'!$H$53+'Assumptions and Catalog'!$E$53+'Assumptions and Catalog'!$F$53,IF(((D831+E831)*C831-G831)&lt;='Assumptions and Catalog'!$C$54,((D831+E831)*C831-G831)*'Assumptions and Catalog'!$H$54+'Assumptions and Catalog'!$E$54+'Assumptions and Catalog'!$F$54,IF(((D831+E831)*C831-G831)&lt;='Assumptions and Catalog'!$C$55,((D831+E831)*C831-G831)*'Assumptions and Catalog'!$H$55+'Assumptions and Catalog'!$E$55+'Assumptions and Catalog'!$F$55,IF(((D831+E831)*C831-G831)&lt;='Assumptions and Catalog'!$C$56,((D831+E831)*C831-G831)*'Assumptions and Catalog'!$H$56+'Assumptions and Catalog'!$E$56+'Assumptions and Catalog'!$F$56,IF(((D831+E831)*C831-G831)&lt;='Assumptions and Catalog'!$C$57,((D831+E831)*C831-G831)*'Assumptions and Catalog'!$H$57+'Assumptions and Catalog'!$E$57+'Assumptions and Catalog'!$F$57,"Out of range")))))))),IF(((D831+E831)*C831-G831)&lt;='Assumptions and Catalog'!$C$60,((D831+E831)*C831-G831)*'Assumptions and Catalog'!$H$60+'Assumptions and Catalog'!$E$60+'Assumptions and Catalog'!$F$60,IF(((D831+E831)*C831-G831)&lt;='Assumptions and Catalog'!$C$61,((D831+E831)*C831-G831)*'Assumptions and Catalog'!$H$61+'Assumptions and Catalog'!$E$61+'Assumptions and Catalog'!$F$61,IF(((D831+E831)*C831-G831)&lt;='Assumptions and Catalog'!$C$62,((D831+E831)*C831-G831)*'Assumptions and Catalog'!$H$62+'Assumptions and Catalog'!$E$62+'Assumptions and Catalog'!$F$62,IF(((D831+E831)*C831-G831)&lt;='Assumptions and Catalog'!$C$63,((D831+E831)*C831-G831)*'Assumptions and Catalog'!$H$63+'Assumptions and Catalog'!$E$63+'Assumptions and Catalog'!$F$63,IF(((D831+E831)*C831-G831)&lt;='Assumptions and Catalog'!$C$64,((D831+E831)*C831-G831)*'Assumptions and Catalog'!$H$64+'Assumptions and Catalog'!$E$64+'Assumptions and Catalog'!$F$64,IF(((D831+E831)*C831-G831)&lt;='Assumptions and Catalog'!$C$65,((D831+E831)*C831-G831)*'Assumptions and Catalog'!$H$65+'Assumptions and Catalog'!$E$65+'Assumptions and Catalog'!$F$65,"Out of range")))))))))*(1+'Assumptions and Catalog'!$C$8)^(A831-1),0)</f>
        <v>3567.397</v>
      </c>
      <c r="R831" s="5" t="n">
        <f>IF(AND('Assumptions and Catalog'!$C$19&gt;0,A831&gt;='Assumptions and Catalog'!$C$19),A831-'Assumptions and Catalog'!$C$19,A831-1)</f>
        <v>4</v>
      </c>
      <c r="S831" s="5" t="n">
        <f>F831+L831-(D831+E831)*C831-J831-K831-IF(E$52&gt;0,'Assumptions and Catalog'!$C$26*C831,0)</f>
        <v>-1.13686837721616E-013</v>
      </c>
      <c r="T831" s="5"/>
      <c r="U831" s="5"/>
    </row>
    <row r="832" ht="23.100000381469727" customHeight="1">
      <c r="A832" s="5" t="n">
        <v>15</v>
      </c>
      <c r="B832" s="5" t="n">
        <v>4</v>
      </c>
      <c r="C832" s="5" t="n">
        <f>DAY(DATE('Assumptions and Catalog'!$C$24+A832-1,B832+1,0))</f>
        <v>30</v>
      </c>
      <c r="D832" s="5" t="n">
        <f>IF(ISNUMBER(Inputs!$L$5),Inputs!$L$5*Inputs!$L$6,0)</f>
        <v>40.35</v>
      </c>
      <c r="E832" s="5" t="n">
        <f>IF(ISNUMBER(Inputs!$L$5),Inputs!$L$5-D832,0)</f>
        <v>40.35</v>
      </c>
      <c r="F832" s="5" t="n">
        <f>E$51*INDEX('Solar Production'!$D$20:$D$31,B832)*C832*(1-'Assumptions and Catalog'!$C$10)^(A832-1)</f>
        <v>1649.54390710078</v>
      </c>
      <c r="G832" s="5" t="n">
        <f>MIN(F832,D832*C832)</f>
        <v>1210.5</v>
      </c>
      <c r="H832" s="5" t="n">
        <f>I832/('Assumptions and Catalog'!$C$11*'Assumptions and Catalog'!$C$12)</f>
        <v>290.616921796923</v>
      </c>
      <c r="I832" s="5" t="n">
        <f>MIN(E832*C832,P832*'Assumptions and Catalog'!$C$12*C832,(F832-G832)*'Assumptions and Catalog'!$C$11*'Assumptions and Catalog'!$C$12,E$56*'Assumptions and Catalog'!$C$14*'Assumptions and Catalog'!$C$11*'Assumptions and Catalog'!$C$12*C832,E$57*(24-'Assumptions and Catalog'!$C$13)*C832)</f>
        <v>276.2677112832</v>
      </c>
      <c r="J832" s="5" t="n">
        <f>MAX(F832-G832-H832,0)</f>
        <v>148.426985303859</v>
      </c>
      <c r="K832" s="5" t="n">
        <f>H832-I832</f>
        <v>14.3492105137231</v>
      </c>
      <c r="L832" s="5" t="n">
        <f>(D832+E832)*C832-G832-I832+0+IF(E$52&gt;0,'Assumptions and Catalog'!$C$26*C832,0)</f>
        <v>934.2322887168</v>
      </c>
      <c r="M832" s="5" t="n">
        <f>IF(ISNUMBER(Inputs!$L$5),(IF(Inputs!$L$9="Actual flat rate",((D832+E832)*C832)*Inputs!$L$10,IF(Inputs!$C$9="Residential",IF(((D832+E832)*C832)&lt;='Assumptions and Catalog'!$C$50,((D832+E832)*C832)*'Assumptions and Catalog'!$H$50+'Assumptions and Catalog'!$E$50+'Assumptions and Catalog'!$F$50,IF(((D832+E832)*C832)&lt;='Assumptions and Catalog'!$C$51,((D832+E832)*C832)*'Assumptions and Catalog'!$H$51+'Assumptions and Catalog'!$E$51+'Assumptions and Catalog'!$F$51,IF(((D832+E832)*C832)&lt;='Assumptions and Catalog'!$C$52,((D832+E832)*C832)*'Assumptions and Catalog'!$H$52+'Assumptions and Catalog'!$E$52+'Assumptions and Catalog'!$F$52,IF(((D832+E832)*C832)&lt;='Assumptions and Catalog'!$C$53,((D832+E832)*C832)*'Assumptions and Catalog'!$H$53+'Assumptions and Catalog'!$E$53+'Assumptions and Catalog'!$F$53,IF(((D832+E832)*C832)&lt;='Assumptions and Catalog'!$C$54,((D832+E832)*C832)*'Assumptions and Catalog'!$H$54+'Assumptions and Catalog'!$E$54+'Assumptions and Catalog'!$F$54,IF(((D832+E832)*C832)&lt;='Assumptions and Catalog'!$C$55,((D832+E832)*C832)*'Assumptions and Catalog'!$H$55+'Assumptions and Catalog'!$E$55+'Assumptions and Catalog'!$F$55,IF(((D832+E832)*C832)&lt;='Assumptions and Catalog'!$C$56,((D832+E832)*C832)*'Assumptions and Catalog'!$H$56+'Assumptions and Catalog'!$E$56+'Assumptions and Catalog'!$F$56,IF(((D832+E832)*C832)&lt;='Assumptions and Catalog'!$C$57,((D832+E832)*C832)*'Assumptions and Catalog'!$H$57+'Assumptions and Catalog'!$E$57+'Assumptions and Catalog'!$F$57,"Out of range")))))))),IF(((D832+E832)*C832)&lt;='Assumptions and Catalog'!$C$60,((D832+E832)*C832)*'Assumptions and Catalog'!$H$60+'Assumptions and Catalog'!$E$60+'Assumptions and Catalog'!$F$60,IF(((D832+E832)*C832)&lt;='Assumptions and Catalog'!$C$61,((D832+E832)*C832)*'Assumptions and Catalog'!$H$61+'Assumptions and Catalog'!$E$61+'Assumptions and Catalog'!$F$61,IF(((D832+E832)*C832)&lt;='Assumptions and Catalog'!$C$62,((D832+E832)*C832)*'Assumptions and Catalog'!$H$62+'Assumptions and Catalog'!$E$62+'Assumptions and Catalog'!$F$62,IF(((D832+E832)*C832)&lt;='Assumptions and Catalog'!$C$63,((D832+E832)*C832)*'Assumptions and Catalog'!$H$63+'Assumptions and Catalog'!$E$63+'Assumptions and Catalog'!$F$63,IF(((D832+E832)*C832)&lt;='Assumptions and Catalog'!$C$64,((D832+E832)*C832)*'Assumptions and Catalog'!$H$64+'Assumptions and Catalog'!$E$64+'Assumptions and Catalog'!$F$64,IF(((D832+E832)*C832)&lt;='Assumptions and Catalog'!$C$65,((D832+E832)*C832)*'Assumptions and Catalog'!$H$65+'Assumptions and Catalog'!$E$65+'Assumptions and Catalog'!$F$65,"Out of range")))))))))*(1+'Assumptions and Catalog'!$C$8)^(A832-1),0)</f>
        <v>6867.22</v>
      </c>
      <c r="N832" s="5" t="n">
        <f>IF(ISNUMBER(Inputs!$L$5),(IF(Inputs!$L$9="Actual flat rate",L832*Inputs!$L$10,IF(Inputs!$C$9="Residential",IF(L832&lt;='Assumptions and Catalog'!$C$50,L832*'Assumptions and Catalog'!$H$50+'Assumptions and Catalog'!$E$50+'Assumptions and Catalog'!$F$50,IF(L832&lt;='Assumptions and Catalog'!$C$51,L832*'Assumptions and Catalog'!$H$51+'Assumptions and Catalog'!$E$51+'Assumptions and Catalog'!$F$51,IF(L832&lt;='Assumptions and Catalog'!$C$52,L832*'Assumptions and Catalog'!$H$52+'Assumptions and Catalog'!$E$52+'Assumptions and Catalog'!$F$52,IF(L832&lt;='Assumptions and Catalog'!$C$53,L832*'Assumptions and Catalog'!$H$53+'Assumptions and Catalog'!$E$53+'Assumptions and Catalog'!$F$53,IF(L832&lt;='Assumptions and Catalog'!$C$54,L832*'Assumptions and Catalog'!$H$54+'Assumptions and Catalog'!$E$54+'Assumptions and Catalog'!$F$54,IF(L832&lt;='Assumptions and Catalog'!$C$55,L832*'Assumptions and Catalog'!$H$55+'Assumptions and Catalog'!$E$55+'Assumptions and Catalog'!$F$55,IF(L832&lt;='Assumptions and Catalog'!$C$56,L832*'Assumptions and Catalog'!$H$56+'Assumptions and Catalog'!$E$56+'Assumptions and Catalog'!$F$56,IF(L832&lt;='Assumptions and Catalog'!$C$57,L832*'Assumptions and Catalog'!$H$57+'Assumptions and Catalog'!$E$57+'Assumptions and Catalog'!$F$57,"Out of range")))))))),IF(L832&lt;='Assumptions and Catalog'!$C$60,L832*'Assumptions and Catalog'!$H$60+'Assumptions and Catalog'!$E$60+'Assumptions and Catalog'!$F$60,IF(L832&lt;='Assumptions and Catalog'!$C$61,L832*'Assumptions and Catalog'!$H$61+'Assumptions and Catalog'!$E$61+'Assumptions and Catalog'!$F$61,IF(L832&lt;='Assumptions and Catalog'!$C$62,L832*'Assumptions and Catalog'!$H$62+'Assumptions and Catalog'!$E$62+'Assumptions and Catalog'!$F$62,IF(L832&lt;='Assumptions and Catalog'!$C$63,L832*'Assumptions and Catalog'!$H$63+'Assumptions and Catalog'!$E$63+'Assumptions and Catalog'!$F$63,IF(L832&lt;='Assumptions and Catalog'!$C$64,L832*'Assumptions and Catalog'!$H$64+'Assumptions and Catalog'!$E$64+'Assumptions and Catalog'!$F$64,IF(L832&lt;='Assumptions and Catalog'!$C$65,L832*'Assumptions and Catalog'!$H$65+'Assumptions and Catalog'!$E$65+'Assumptions and Catalog'!$F$65,"Out of range")))))))))*(1+'Assumptions and Catalog'!$C$8)^(A832-1),0)</f>
        <v>2552.82343974554</v>
      </c>
      <c r="O832" s="5" t="n">
        <f>M832-N832</f>
        <v>4314.39656025446</v>
      </c>
      <c r="P832" s="5" t="n">
        <f>E$55*(1-L$14)*(1-'Assumptions and Catalog'!$C$23)^R832</f>
        <v>9.4450499584</v>
      </c>
      <c r="Q832" s="5" t="n">
        <f>IF(ISNUMBER(Inputs!$L$5),(IF(Inputs!$L$9="Actual flat rate",((D832+E832)*C832-G832)*Inputs!$L$10,IF(Inputs!$C$9="Residential",IF(((D832+E832)*C832-G832)&lt;='Assumptions and Catalog'!$C$50,((D832+E832)*C832-G832)*'Assumptions and Catalog'!$H$50+'Assumptions and Catalog'!$E$50+'Assumptions and Catalog'!$F$50,IF(((D832+E832)*C832-G832)&lt;='Assumptions and Catalog'!$C$51,((D832+E832)*C832-G832)*'Assumptions and Catalog'!$H$51+'Assumptions and Catalog'!$E$51+'Assumptions and Catalog'!$F$51,IF(((D832+E832)*C832-G832)&lt;='Assumptions and Catalog'!$C$52,((D832+E832)*C832-G832)*'Assumptions and Catalog'!$H$52+'Assumptions and Catalog'!$E$52+'Assumptions and Catalog'!$F$52,IF(((D832+E832)*C832-G832)&lt;='Assumptions and Catalog'!$C$53,((D832+E832)*C832-G832)*'Assumptions and Catalog'!$H$53+'Assumptions and Catalog'!$E$53+'Assumptions and Catalog'!$F$53,IF(((D832+E832)*C832-G832)&lt;='Assumptions and Catalog'!$C$54,((D832+E832)*C832-G832)*'Assumptions and Catalog'!$H$54+'Assumptions and Catalog'!$E$54+'Assumptions and Catalog'!$F$54,IF(((D832+E832)*C832-G832)&lt;='Assumptions and Catalog'!$C$55,((D832+E832)*C832-G832)*'Assumptions and Catalog'!$H$55+'Assumptions and Catalog'!$E$55+'Assumptions and Catalog'!$F$55,IF(((D832+E832)*C832-G832)&lt;='Assumptions and Catalog'!$C$56,((D832+E832)*C832-G832)*'Assumptions and Catalog'!$H$56+'Assumptions and Catalog'!$E$56+'Assumptions and Catalog'!$F$56,IF(((D832+E832)*C832-G832)&lt;='Assumptions and Catalog'!$C$57,((D832+E832)*C832-G832)*'Assumptions and Catalog'!$H$57+'Assumptions and Catalog'!$E$57+'Assumptions and Catalog'!$F$57,"Out of range")))))))),IF(((D832+E832)*C832-G832)&lt;='Assumptions and Catalog'!$C$60,((D832+E832)*C832-G832)*'Assumptions and Catalog'!$H$60+'Assumptions and Catalog'!$E$60+'Assumptions and Catalog'!$F$60,IF(((D832+E832)*C832-G832)&lt;='Assumptions and Catalog'!$C$61,((D832+E832)*C832-G832)*'Assumptions and Catalog'!$H$61+'Assumptions and Catalog'!$E$61+'Assumptions and Catalog'!$F$61,IF(((D832+E832)*C832-G832)&lt;='Assumptions and Catalog'!$C$62,((D832+E832)*C832-G832)*'Assumptions and Catalog'!$H$62+'Assumptions and Catalog'!$E$62+'Assumptions and Catalog'!$F$62,IF(((D832+E832)*C832-G832)&lt;='Assumptions and Catalog'!$C$63,((D832+E832)*C832-G832)*'Assumptions and Catalog'!$H$63+'Assumptions and Catalog'!$E$63+'Assumptions and Catalog'!$F$63,IF(((D832+E832)*C832-G832)&lt;='Assumptions and Catalog'!$C$64,((D832+E832)*C832-G832)*'Assumptions and Catalog'!$H$64+'Assumptions and Catalog'!$E$64+'Assumptions and Catalog'!$F$64,IF(((D832+E832)*C832-G832)&lt;='Assumptions and Catalog'!$C$65,((D832+E832)*C832-G832)*'Assumptions and Catalog'!$H$65+'Assumptions and Catalog'!$E$65+'Assumptions and Catalog'!$F$65,"Out of range")))))))))*(1+'Assumptions and Catalog'!$C$8)^(A832-1),0)</f>
        <v>3453.61</v>
      </c>
      <c r="R832" s="5" t="n">
        <f>IF(AND('Assumptions and Catalog'!$C$19&gt;0,A832&gt;='Assumptions and Catalog'!$C$19),A832-'Assumptions and Catalog'!$C$19,A832-1)</f>
        <v>4</v>
      </c>
      <c r="S832" s="5" t="n">
        <f>F832+L832-(D832+E832)*C832-J832-K832-IF(E$52&gt;0,'Assumptions and Catalog'!$C$26*C832,0)</f>
        <v>0</v>
      </c>
      <c r="T832" s="5"/>
      <c r="U832" s="5"/>
    </row>
    <row r="833" ht="23.100000381469727" customHeight="1">
      <c r="A833" s="5" t="n">
        <v>15</v>
      </c>
      <c r="B833" s="5" t="n">
        <v>5</v>
      </c>
      <c r="C833" s="5" t="n">
        <f>DAY(DATE('Assumptions and Catalog'!$C$24+A833-1,B833+1,0))</f>
        <v>31</v>
      </c>
      <c r="D833" s="5" t="n">
        <f>IF(ISNUMBER(Inputs!$L$5),Inputs!$L$5*Inputs!$L$6,0)</f>
        <v>40.35</v>
      </c>
      <c r="E833" s="5" t="n">
        <f>IF(ISNUMBER(Inputs!$L$5),Inputs!$L$5-D833,0)</f>
        <v>40.35</v>
      </c>
      <c r="F833" s="5" t="n">
        <f>E$51*INDEX('Solar Production'!$D$20:$D$31,B833)*C833*(1-'Assumptions and Catalog'!$C$10)^(A833-1)</f>
        <v>1668.61733534402</v>
      </c>
      <c r="G833" s="5" t="n">
        <f>MIN(F833,D833*C833)</f>
        <v>1250.85</v>
      </c>
      <c r="H833" s="5" t="n">
        <f>I833/('Assumptions and Catalog'!$C$11*'Assumptions and Catalog'!$C$12)</f>
        <v>300.304152523487</v>
      </c>
      <c r="I833" s="5" t="n">
        <f>MIN(E833*C833,P833*'Assumptions and Catalog'!$C$12*C833,(F833-G833)*'Assumptions and Catalog'!$C$11*'Assumptions and Catalog'!$C$12,E$56*'Assumptions and Catalog'!$C$14*'Assumptions and Catalog'!$C$11*'Assumptions and Catalog'!$C$12*C833,E$57*(24-'Assumptions and Catalog'!$C$13)*C833)</f>
        <v>285.47663499264</v>
      </c>
      <c r="J833" s="5" t="n">
        <f>MAX(F833-G833-H833,0)</f>
        <v>117.463182820534</v>
      </c>
      <c r="K833" s="5" t="n">
        <f>H833-I833</f>
        <v>14.8275175308472</v>
      </c>
      <c r="L833" s="5" t="n">
        <f>(D833+E833)*C833-G833-I833+0+IF(E$52&gt;0,'Assumptions and Catalog'!$C$26*C833,0)</f>
        <v>965.37336500736</v>
      </c>
      <c r="M833" s="5" t="n">
        <f>IF(ISNUMBER(Inputs!$L$5),(IF(Inputs!$L$9="Actual flat rate",((D833+E833)*C833)*Inputs!$L$10,IF(Inputs!$C$9="Residential",IF(((D833+E833)*C833)&lt;='Assumptions and Catalog'!$C$50,((D833+E833)*C833)*'Assumptions and Catalog'!$H$50+'Assumptions and Catalog'!$E$50+'Assumptions and Catalog'!$F$50,IF(((D833+E833)*C833)&lt;='Assumptions and Catalog'!$C$51,((D833+E833)*C833)*'Assumptions and Catalog'!$H$51+'Assumptions and Catalog'!$E$51+'Assumptions and Catalog'!$F$51,IF(((D833+E833)*C833)&lt;='Assumptions and Catalog'!$C$52,((D833+E833)*C833)*'Assumptions and Catalog'!$H$52+'Assumptions and Catalog'!$E$52+'Assumptions and Catalog'!$F$52,IF(((D833+E833)*C833)&lt;='Assumptions and Catalog'!$C$53,((D833+E833)*C833)*'Assumptions and Catalog'!$H$53+'Assumptions and Catalog'!$E$53+'Assumptions and Catalog'!$F$53,IF(((D833+E833)*C833)&lt;='Assumptions and Catalog'!$C$54,((D833+E833)*C833)*'Assumptions and Catalog'!$H$54+'Assumptions and Catalog'!$E$54+'Assumptions and Catalog'!$F$54,IF(((D833+E833)*C833)&lt;='Assumptions and Catalog'!$C$55,((D833+E833)*C833)*'Assumptions and Catalog'!$H$55+'Assumptions and Catalog'!$E$55+'Assumptions and Catalog'!$F$55,IF(((D833+E833)*C833)&lt;='Assumptions and Catalog'!$C$56,((D833+E833)*C833)*'Assumptions and Catalog'!$H$56+'Assumptions and Catalog'!$E$56+'Assumptions and Catalog'!$F$56,IF(((D833+E833)*C833)&lt;='Assumptions and Catalog'!$C$57,((D833+E833)*C833)*'Assumptions and Catalog'!$H$57+'Assumptions and Catalog'!$E$57+'Assumptions and Catalog'!$F$57,"Out of range")))))))),IF(((D833+E833)*C833)&lt;='Assumptions and Catalog'!$C$60,((D833+E833)*C833)*'Assumptions and Catalog'!$H$60+'Assumptions and Catalog'!$E$60+'Assumptions and Catalog'!$F$60,IF(((D833+E833)*C833)&lt;='Assumptions and Catalog'!$C$61,((D833+E833)*C833)*'Assumptions and Catalog'!$H$61+'Assumptions and Catalog'!$E$61+'Assumptions and Catalog'!$F$61,IF(((D833+E833)*C833)&lt;='Assumptions and Catalog'!$C$62,((D833+E833)*C833)*'Assumptions and Catalog'!$H$62+'Assumptions and Catalog'!$E$62+'Assumptions and Catalog'!$F$62,IF(((D833+E833)*C833)&lt;='Assumptions and Catalog'!$C$63,((D833+E833)*C833)*'Assumptions and Catalog'!$H$63+'Assumptions and Catalog'!$E$63+'Assumptions and Catalog'!$F$63,IF(((D833+E833)*C833)&lt;='Assumptions and Catalog'!$C$64,((D833+E833)*C833)*'Assumptions and Catalog'!$H$64+'Assumptions and Catalog'!$E$64+'Assumptions and Catalog'!$F$64,IF(((D833+E833)*C833)&lt;='Assumptions and Catalog'!$C$65,((D833+E833)*C833)*'Assumptions and Catalog'!$H$65+'Assumptions and Catalog'!$E$65+'Assumptions and Catalog'!$F$65,"Out of range")))))))))*(1+'Assumptions and Catalog'!$C$8)^(A833-1),0)</f>
        <v>7094.794</v>
      </c>
      <c r="N833" s="5" t="n">
        <f>IF(ISNUMBER(Inputs!$L$5),(IF(Inputs!$L$9="Actual flat rate",L833*Inputs!$L$10,IF(Inputs!$C$9="Residential",IF(L833&lt;='Assumptions and Catalog'!$C$50,L833*'Assumptions and Catalog'!$H$50+'Assumptions and Catalog'!$E$50+'Assumptions and Catalog'!$F$50,IF(L833&lt;='Assumptions and Catalog'!$C$51,L833*'Assumptions and Catalog'!$H$51+'Assumptions and Catalog'!$E$51+'Assumptions and Catalog'!$F$51,IF(L833&lt;='Assumptions and Catalog'!$C$52,L833*'Assumptions and Catalog'!$H$52+'Assumptions and Catalog'!$E$52+'Assumptions and Catalog'!$F$52,IF(L833&lt;='Assumptions and Catalog'!$C$53,L833*'Assumptions and Catalog'!$H$53+'Assumptions and Catalog'!$E$53+'Assumptions and Catalog'!$F$53,IF(L833&lt;='Assumptions and Catalog'!$C$54,L833*'Assumptions and Catalog'!$H$54+'Assumptions and Catalog'!$E$54+'Assumptions and Catalog'!$F$54,IF(L833&lt;='Assumptions and Catalog'!$C$55,L833*'Assumptions and Catalog'!$H$55+'Assumptions and Catalog'!$E$55+'Assumptions and Catalog'!$F$55,IF(L833&lt;='Assumptions and Catalog'!$C$56,L833*'Assumptions and Catalog'!$H$56+'Assumptions and Catalog'!$E$56+'Assumptions and Catalog'!$F$56,IF(L833&lt;='Assumptions and Catalog'!$C$57,L833*'Assumptions and Catalog'!$H$57+'Assumptions and Catalog'!$E$57+'Assumptions and Catalog'!$F$57,"Out of range")))))))),IF(L833&lt;='Assumptions and Catalog'!$C$60,L833*'Assumptions and Catalog'!$H$60+'Assumptions and Catalog'!$E$60+'Assumptions and Catalog'!$F$60,IF(L833&lt;='Assumptions and Catalog'!$C$61,L833*'Assumptions and Catalog'!$H$61+'Assumptions and Catalog'!$E$61+'Assumptions and Catalog'!$F$61,IF(L833&lt;='Assumptions and Catalog'!$C$62,L833*'Assumptions and Catalog'!$H$62+'Assumptions and Catalog'!$E$62+'Assumptions and Catalog'!$F$62,IF(L833&lt;='Assumptions and Catalog'!$C$63,L833*'Assumptions and Catalog'!$H$63+'Assumptions and Catalog'!$E$63+'Assumptions and Catalog'!$F$63,IF(L833&lt;='Assumptions and Catalog'!$C$64,L833*'Assumptions and Catalog'!$H$64+'Assumptions and Catalog'!$E$64+'Assumptions and Catalog'!$F$64,IF(L833&lt;='Assumptions and Catalog'!$C$65,L833*'Assumptions and Catalog'!$H$65+'Assumptions and Catalog'!$E$65+'Assumptions and Catalog'!$F$65,"Out of range")))))))))*(1+'Assumptions and Catalog'!$C$8)^(A833-1),0)</f>
        <v>2639.08422107039</v>
      </c>
      <c r="O833" s="5" t="n">
        <f>M833-N833</f>
        <v>4455.70977892961</v>
      </c>
      <c r="P833" s="5" t="n">
        <f>E$55*(1-L$14)*(1-'Assumptions and Catalog'!$C$23)^R833</f>
        <v>9.4450499584</v>
      </c>
      <c r="Q833" s="5" t="n">
        <f>IF(ISNUMBER(Inputs!$L$5),(IF(Inputs!$L$9="Actual flat rate",((D833+E833)*C833-G833)*Inputs!$L$10,IF(Inputs!$C$9="Residential",IF(((D833+E833)*C833-G833)&lt;='Assumptions and Catalog'!$C$50,((D833+E833)*C833-G833)*'Assumptions and Catalog'!$H$50+'Assumptions and Catalog'!$E$50+'Assumptions and Catalog'!$F$50,IF(((D833+E833)*C833-G833)&lt;='Assumptions and Catalog'!$C$51,((D833+E833)*C833-G833)*'Assumptions and Catalog'!$H$51+'Assumptions and Catalog'!$E$51+'Assumptions and Catalog'!$F$51,IF(((D833+E833)*C833-G833)&lt;='Assumptions and Catalog'!$C$52,((D833+E833)*C833-G833)*'Assumptions and Catalog'!$H$52+'Assumptions and Catalog'!$E$52+'Assumptions and Catalog'!$F$52,IF(((D833+E833)*C833-G833)&lt;='Assumptions and Catalog'!$C$53,((D833+E833)*C833-G833)*'Assumptions and Catalog'!$H$53+'Assumptions and Catalog'!$E$53+'Assumptions and Catalog'!$F$53,IF(((D833+E833)*C833-G833)&lt;='Assumptions and Catalog'!$C$54,((D833+E833)*C833-G833)*'Assumptions and Catalog'!$H$54+'Assumptions and Catalog'!$E$54+'Assumptions and Catalog'!$F$54,IF(((D833+E833)*C833-G833)&lt;='Assumptions and Catalog'!$C$55,((D833+E833)*C833-G833)*'Assumptions and Catalog'!$H$55+'Assumptions and Catalog'!$E$55+'Assumptions and Catalog'!$F$55,IF(((D833+E833)*C833-G833)&lt;='Assumptions and Catalog'!$C$56,((D833+E833)*C833-G833)*'Assumptions and Catalog'!$H$56+'Assumptions and Catalog'!$E$56+'Assumptions and Catalog'!$F$56,IF(((D833+E833)*C833-G833)&lt;='Assumptions and Catalog'!$C$57,((D833+E833)*C833-G833)*'Assumptions and Catalog'!$H$57+'Assumptions and Catalog'!$E$57+'Assumptions and Catalog'!$F$57,"Out of range")))))))),IF(((D833+E833)*C833-G833)&lt;='Assumptions and Catalog'!$C$60,((D833+E833)*C833-G833)*'Assumptions and Catalog'!$H$60+'Assumptions and Catalog'!$E$60+'Assumptions and Catalog'!$F$60,IF(((D833+E833)*C833-G833)&lt;='Assumptions and Catalog'!$C$61,((D833+E833)*C833-G833)*'Assumptions and Catalog'!$H$61+'Assumptions and Catalog'!$E$61+'Assumptions and Catalog'!$F$61,IF(((D833+E833)*C833-G833)&lt;='Assumptions and Catalog'!$C$62,((D833+E833)*C833-G833)*'Assumptions and Catalog'!$H$62+'Assumptions and Catalog'!$E$62+'Assumptions and Catalog'!$F$62,IF(((D833+E833)*C833-G833)&lt;='Assumptions and Catalog'!$C$63,((D833+E833)*C833-G833)*'Assumptions and Catalog'!$H$63+'Assumptions and Catalog'!$E$63+'Assumptions and Catalog'!$F$63,IF(((D833+E833)*C833-G833)&lt;='Assumptions and Catalog'!$C$64,((D833+E833)*C833-G833)*'Assumptions and Catalog'!$H$64+'Assumptions and Catalog'!$E$64+'Assumptions and Catalog'!$F$64,IF(((D833+E833)*C833-G833)&lt;='Assumptions and Catalog'!$C$65,((D833+E833)*C833-G833)*'Assumptions and Catalog'!$H$65+'Assumptions and Catalog'!$E$65+'Assumptions and Catalog'!$F$65,"Out of range")))))))))*(1+'Assumptions and Catalog'!$C$8)^(A833-1),0)</f>
        <v>3567.397</v>
      </c>
      <c r="R833" s="5" t="n">
        <f>IF(AND('Assumptions and Catalog'!$C$19&gt;0,A833&gt;='Assumptions and Catalog'!$C$19),A833-'Assumptions and Catalog'!$C$19,A833-1)</f>
        <v>4</v>
      </c>
      <c r="S833" s="5" t="n">
        <f>F833+L833-(D833+E833)*C833-J833-K833-IF(E$52&gt;0,'Assumptions and Catalog'!$C$26*C833,0)</f>
        <v>1.13686837721616E-013</v>
      </c>
      <c r="T833" s="5"/>
      <c r="U833" s="5"/>
    </row>
    <row r="834" ht="23.100000381469727" customHeight="1">
      <c r="A834" s="5" t="n">
        <v>15</v>
      </c>
      <c r="B834" s="5" t="n">
        <v>6</v>
      </c>
      <c r="C834" s="5" t="n">
        <f>DAY(DATE('Assumptions and Catalog'!$C$24+A834-1,B834+1,0))</f>
        <v>30</v>
      </c>
      <c r="D834" s="5" t="n">
        <f>IF(ISNUMBER(Inputs!$L$5),Inputs!$L$5*Inputs!$L$6,0)</f>
        <v>40.35</v>
      </c>
      <c r="E834" s="5" t="n">
        <f>IF(ISNUMBER(Inputs!$L$5),Inputs!$L$5-D834,0)</f>
        <v>40.35</v>
      </c>
      <c r="F834" s="5" t="n">
        <f>E$51*INDEX('Solar Production'!$D$20:$D$31,B834)*C834*(1-'Assumptions and Catalog'!$C$10)^(A834-1)</f>
        <v>1626.57375695839</v>
      </c>
      <c r="G834" s="5" t="n">
        <f>MIN(F834,D834*C834)</f>
        <v>1210.5</v>
      </c>
      <c r="H834" s="5" t="n">
        <f>I834/('Assumptions and Catalog'!$C$11*'Assumptions and Catalog'!$C$12)</f>
        <v>290.616921796923</v>
      </c>
      <c r="I834" s="5" t="n">
        <f>MIN(E834*C834,P834*'Assumptions and Catalog'!$C$12*C834,(F834-G834)*'Assumptions and Catalog'!$C$11*'Assumptions and Catalog'!$C$12,E$56*'Assumptions and Catalog'!$C$14*'Assumptions and Catalog'!$C$11*'Assumptions and Catalog'!$C$12*C834,E$57*(24-'Assumptions and Catalog'!$C$13)*C834)</f>
        <v>276.2677112832</v>
      </c>
      <c r="J834" s="5" t="n">
        <f>MAX(F834-G834-H834,0)</f>
        <v>125.456835161464</v>
      </c>
      <c r="K834" s="5" t="n">
        <f>H834-I834</f>
        <v>14.3492105137231</v>
      </c>
      <c r="L834" s="5" t="n">
        <f>(D834+E834)*C834-G834-I834+0+IF(E$52&gt;0,'Assumptions and Catalog'!$C$26*C834,0)</f>
        <v>934.2322887168</v>
      </c>
      <c r="M834" s="5" t="n">
        <f>IF(ISNUMBER(Inputs!$L$5),(IF(Inputs!$L$9="Actual flat rate",((D834+E834)*C834)*Inputs!$L$10,IF(Inputs!$C$9="Residential",IF(((D834+E834)*C834)&lt;='Assumptions and Catalog'!$C$50,((D834+E834)*C834)*'Assumptions and Catalog'!$H$50+'Assumptions and Catalog'!$E$50+'Assumptions and Catalog'!$F$50,IF(((D834+E834)*C834)&lt;='Assumptions and Catalog'!$C$51,((D834+E834)*C834)*'Assumptions and Catalog'!$H$51+'Assumptions and Catalog'!$E$51+'Assumptions and Catalog'!$F$51,IF(((D834+E834)*C834)&lt;='Assumptions and Catalog'!$C$52,((D834+E834)*C834)*'Assumptions and Catalog'!$H$52+'Assumptions and Catalog'!$E$52+'Assumptions and Catalog'!$F$52,IF(((D834+E834)*C834)&lt;='Assumptions and Catalog'!$C$53,((D834+E834)*C834)*'Assumptions and Catalog'!$H$53+'Assumptions and Catalog'!$E$53+'Assumptions and Catalog'!$F$53,IF(((D834+E834)*C834)&lt;='Assumptions and Catalog'!$C$54,((D834+E834)*C834)*'Assumptions and Catalog'!$H$54+'Assumptions and Catalog'!$E$54+'Assumptions and Catalog'!$F$54,IF(((D834+E834)*C834)&lt;='Assumptions and Catalog'!$C$55,((D834+E834)*C834)*'Assumptions and Catalog'!$H$55+'Assumptions and Catalog'!$E$55+'Assumptions and Catalog'!$F$55,IF(((D834+E834)*C834)&lt;='Assumptions and Catalog'!$C$56,((D834+E834)*C834)*'Assumptions and Catalog'!$H$56+'Assumptions and Catalog'!$E$56+'Assumptions and Catalog'!$F$56,IF(((D834+E834)*C834)&lt;='Assumptions and Catalog'!$C$57,((D834+E834)*C834)*'Assumptions and Catalog'!$H$57+'Assumptions and Catalog'!$E$57+'Assumptions and Catalog'!$F$57,"Out of range")))))))),IF(((D834+E834)*C834)&lt;='Assumptions and Catalog'!$C$60,((D834+E834)*C834)*'Assumptions and Catalog'!$H$60+'Assumptions and Catalog'!$E$60+'Assumptions and Catalog'!$F$60,IF(((D834+E834)*C834)&lt;='Assumptions and Catalog'!$C$61,((D834+E834)*C834)*'Assumptions and Catalog'!$H$61+'Assumptions and Catalog'!$E$61+'Assumptions and Catalog'!$F$61,IF(((D834+E834)*C834)&lt;='Assumptions and Catalog'!$C$62,((D834+E834)*C834)*'Assumptions and Catalog'!$H$62+'Assumptions and Catalog'!$E$62+'Assumptions and Catalog'!$F$62,IF(((D834+E834)*C834)&lt;='Assumptions and Catalog'!$C$63,((D834+E834)*C834)*'Assumptions and Catalog'!$H$63+'Assumptions and Catalog'!$E$63+'Assumptions and Catalog'!$F$63,IF(((D834+E834)*C834)&lt;='Assumptions and Catalog'!$C$64,((D834+E834)*C834)*'Assumptions and Catalog'!$H$64+'Assumptions and Catalog'!$E$64+'Assumptions and Catalog'!$F$64,IF(((D834+E834)*C834)&lt;='Assumptions and Catalog'!$C$65,((D834+E834)*C834)*'Assumptions and Catalog'!$H$65+'Assumptions and Catalog'!$E$65+'Assumptions and Catalog'!$F$65,"Out of range")))))))))*(1+'Assumptions and Catalog'!$C$8)^(A834-1),0)</f>
        <v>6867.22</v>
      </c>
      <c r="N834" s="5" t="n">
        <f>IF(ISNUMBER(Inputs!$L$5),(IF(Inputs!$L$9="Actual flat rate",L834*Inputs!$L$10,IF(Inputs!$C$9="Residential",IF(L834&lt;='Assumptions and Catalog'!$C$50,L834*'Assumptions and Catalog'!$H$50+'Assumptions and Catalog'!$E$50+'Assumptions and Catalog'!$F$50,IF(L834&lt;='Assumptions and Catalog'!$C$51,L834*'Assumptions and Catalog'!$H$51+'Assumptions and Catalog'!$E$51+'Assumptions and Catalog'!$F$51,IF(L834&lt;='Assumptions and Catalog'!$C$52,L834*'Assumptions and Catalog'!$H$52+'Assumptions and Catalog'!$E$52+'Assumptions and Catalog'!$F$52,IF(L834&lt;='Assumptions and Catalog'!$C$53,L834*'Assumptions and Catalog'!$H$53+'Assumptions and Catalog'!$E$53+'Assumptions and Catalog'!$F$53,IF(L834&lt;='Assumptions and Catalog'!$C$54,L834*'Assumptions and Catalog'!$H$54+'Assumptions and Catalog'!$E$54+'Assumptions and Catalog'!$F$54,IF(L834&lt;='Assumptions and Catalog'!$C$55,L834*'Assumptions and Catalog'!$H$55+'Assumptions and Catalog'!$E$55+'Assumptions and Catalog'!$F$55,IF(L834&lt;='Assumptions and Catalog'!$C$56,L834*'Assumptions and Catalog'!$H$56+'Assumptions and Catalog'!$E$56+'Assumptions and Catalog'!$F$56,IF(L834&lt;='Assumptions and Catalog'!$C$57,L834*'Assumptions and Catalog'!$H$57+'Assumptions and Catalog'!$E$57+'Assumptions and Catalog'!$F$57,"Out of range")))))))),IF(L834&lt;='Assumptions and Catalog'!$C$60,L834*'Assumptions and Catalog'!$H$60+'Assumptions and Catalog'!$E$60+'Assumptions and Catalog'!$F$60,IF(L834&lt;='Assumptions and Catalog'!$C$61,L834*'Assumptions and Catalog'!$H$61+'Assumptions and Catalog'!$E$61+'Assumptions and Catalog'!$F$61,IF(L834&lt;='Assumptions and Catalog'!$C$62,L834*'Assumptions and Catalog'!$H$62+'Assumptions and Catalog'!$E$62+'Assumptions and Catalog'!$F$62,IF(L834&lt;='Assumptions and Catalog'!$C$63,L834*'Assumptions and Catalog'!$H$63+'Assumptions and Catalog'!$E$63+'Assumptions and Catalog'!$F$63,IF(L834&lt;='Assumptions and Catalog'!$C$64,L834*'Assumptions and Catalog'!$H$64+'Assumptions and Catalog'!$E$64+'Assumptions and Catalog'!$F$64,IF(L834&lt;='Assumptions and Catalog'!$C$65,L834*'Assumptions and Catalog'!$H$65+'Assumptions and Catalog'!$E$65+'Assumptions and Catalog'!$F$65,"Out of range")))))))))*(1+'Assumptions and Catalog'!$C$8)^(A834-1),0)</f>
        <v>2552.82343974554</v>
      </c>
      <c r="O834" s="5" t="n">
        <f>M834-N834</f>
        <v>4314.39656025446</v>
      </c>
      <c r="P834" s="5" t="n">
        <f>E$55*(1-L$14)*(1-'Assumptions and Catalog'!$C$23)^R834</f>
        <v>9.4450499584</v>
      </c>
      <c r="Q834" s="5" t="n">
        <f>IF(ISNUMBER(Inputs!$L$5),(IF(Inputs!$L$9="Actual flat rate",((D834+E834)*C834-G834)*Inputs!$L$10,IF(Inputs!$C$9="Residential",IF(((D834+E834)*C834-G834)&lt;='Assumptions and Catalog'!$C$50,((D834+E834)*C834-G834)*'Assumptions and Catalog'!$H$50+'Assumptions and Catalog'!$E$50+'Assumptions and Catalog'!$F$50,IF(((D834+E834)*C834-G834)&lt;='Assumptions and Catalog'!$C$51,((D834+E834)*C834-G834)*'Assumptions and Catalog'!$H$51+'Assumptions and Catalog'!$E$51+'Assumptions and Catalog'!$F$51,IF(((D834+E834)*C834-G834)&lt;='Assumptions and Catalog'!$C$52,((D834+E834)*C834-G834)*'Assumptions and Catalog'!$H$52+'Assumptions and Catalog'!$E$52+'Assumptions and Catalog'!$F$52,IF(((D834+E834)*C834-G834)&lt;='Assumptions and Catalog'!$C$53,((D834+E834)*C834-G834)*'Assumptions and Catalog'!$H$53+'Assumptions and Catalog'!$E$53+'Assumptions and Catalog'!$F$53,IF(((D834+E834)*C834-G834)&lt;='Assumptions and Catalog'!$C$54,((D834+E834)*C834-G834)*'Assumptions and Catalog'!$H$54+'Assumptions and Catalog'!$E$54+'Assumptions and Catalog'!$F$54,IF(((D834+E834)*C834-G834)&lt;='Assumptions and Catalog'!$C$55,((D834+E834)*C834-G834)*'Assumptions and Catalog'!$H$55+'Assumptions and Catalog'!$E$55+'Assumptions and Catalog'!$F$55,IF(((D834+E834)*C834-G834)&lt;='Assumptions and Catalog'!$C$56,((D834+E834)*C834-G834)*'Assumptions and Catalog'!$H$56+'Assumptions and Catalog'!$E$56+'Assumptions and Catalog'!$F$56,IF(((D834+E834)*C834-G834)&lt;='Assumptions and Catalog'!$C$57,((D834+E834)*C834-G834)*'Assumptions and Catalog'!$H$57+'Assumptions and Catalog'!$E$57+'Assumptions and Catalog'!$F$57,"Out of range")))))))),IF(((D834+E834)*C834-G834)&lt;='Assumptions and Catalog'!$C$60,((D834+E834)*C834-G834)*'Assumptions and Catalog'!$H$60+'Assumptions and Catalog'!$E$60+'Assumptions and Catalog'!$F$60,IF(((D834+E834)*C834-G834)&lt;='Assumptions and Catalog'!$C$61,((D834+E834)*C834-G834)*'Assumptions and Catalog'!$H$61+'Assumptions and Catalog'!$E$61+'Assumptions and Catalog'!$F$61,IF(((D834+E834)*C834-G834)&lt;='Assumptions and Catalog'!$C$62,((D834+E834)*C834-G834)*'Assumptions and Catalog'!$H$62+'Assumptions and Catalog'!$E$62+'Assumptions and Catalog'!$F$62,IF(((D834+E834)*C834-G834)&lt;='Assumptions and Catalog'!$C$63,((D834+E834)*C834-G834)*'Assumptions and Catalog'!$H$63+'Assumptions and Catalog'!$E$63+'Assumptions and Catalog'!$F$63,IF(((D834+E834)*C834-G834)&lt;='Assumptions and Catalog'!$C$64,((D834+E834)*C834-G834)*'Assumptions and Catalog'!$H$64+'Assumptions and Catalog'!$E$64+'Assumptions and Catalog'!$F$64,IF(((D834+E834)*C834-G834)&lt;='Assumptions and Catalog'!$C$65,((D834+E834)*C834-G834)*'Assumptions and Catalog'!$H$65+'Assumptions and Catalog'!$E$65+'Assumptions and Catalog'!$F$65,"Out of range")))))))))*(1+'Assumptions and Catalog'!$C$8)^(A834-1),0)</f>
        <v>3453.61</v>
      </c>
      <c r="R834" s="5" t="n">
        <f>IF(AND('Assumptions and Catalog'!$C$19&gt;0,A834&gt;='Assumptions and Catalog'!$C$19),A834-'Assumptions and Catalog'!$C$19,A834-1)</f>
        <v>4</v>
      </c>
      <c r="S834" s="5" t="n">
        <f>F834+L834-(D834+E834)*C834-J834-K834-IF(E$52&gt;0,'Assumptions and Catalog'!$C$26*C834,0)</f>
        <v>0</v>
      </c>
      <c r="T834" s="5"/>
      <c r="U834" s="5"/>
    </row>
    <row r="835" ht="23.100000381469727" customHeight="1">
      <c r="A835" s="5" t="n">
        <v>15</v>
      </c>
      <c r="B835" s="5" t="n">
        <v>7</v>
      </c>
      <c r="C835" s="5" t="n">
        <f>DAY(DATE('Assumptions and Catalog'!$C$24+A835-1,B835+1,0))</f>
        <v>31</v>
      </c>
      <c r="D835" s="5" t="n">
        <f>IF(ISNUMBER(Inputs!$L$5),Inputs!$L$5*Inputs!$L$6,0)</f>
        <v>40.35</v>
      </c>
      <c r="E835" s="5" t="n">
        <f>IF(ISNUMBER(Inputs!$L$5),Inputs!$L$5-D835,0)</f>
        <v>40.35</v>
      </c>
      <c r="F835" s="5" t="n">
        <f>E$51*INDEX('Solar Production'!$D$20:$D$31,B835)*C835*(1-'Assumptions and Catalog'!$C$10)^(A835-1)</f>
        <v>1688.51112609235</v>
      </c>
      <c r="G835" s="5" t="n">
        <f>MIN(F835,D835*C835)</f>
        <v>1250.85</v>
      </c>
      <c r="H835" s="5" t="n">
        <f>I835/('Assumptions and Catalog'!$C$11*'Assumptions and Catalog'!$C$12)</f>
        <v>300.304152523487</v>
      </c>
      <c r="I835" s="5" t="n">
        <f>MIN(E835*C835,P835*'Assumptions and Catalog'!$C$12*C835,(F835-G835)*'Assumptions and Catalog'!$C$11*'Assumptions and Catalog'!$C$12,E$56*'Assumptions and Catalog'!$C$14*'Assumptions and Catalog'!$C$11*'Assumptions and Catalog'!$C$12*C835,E$57*(24-'Assumptions and Catalog'!$C$13)*C835)</f>
        <v>285.47663499264</v>
      </c>
      <c r="J835" s="5" t="n">
        <f>MAX(F835-G835-H835,0)</f>
        <v>137.356973568859</v>
      </c>
      <c r="K835" s="5" t="n">
        <f>H835-I835</f>
        <v>14.8275175308472</v>
      </c>
      <c r="L835" s="5" t="n">
        <f>(D835+E835)*C835-G835-I835+0+IF(E$52&gt;0,'Assumptions and Catalog'!$C$26*C835,0)</f>
        <v>965.37336500736</v>
      </c>
      <c r="M835" s="5" t="n">
        <f>IF(ISNUMBER(Inputs!$L$5),(IF(Inputs!$L$9="Actual flat rate",((D835+E835)*C835)*Inputs!$L$10,IF(Inputs!$C$9="Residential",IF(((D835+E835)*C835)&lt;='Assumptions and Catalog'!$C$50,((D835+E835)*C835)*'Assumptions and Catalog'!$H$50+'Assumptions and Catalog'!$E$50+'Assumptions and Catalog'!$F$50,IF(((D835+E835)*C835)&lt;='Assumptions and Catalog'!$C$51,((D835+E835)*C835)*'Assumptions and Catalog'!$H$51+'Assumptions and Catalog'!$E$51+'Assumptions and Catalog'!$F$51,IF(((D835+E835)*C835)&lt;='Assumptions and Catalog'!$C$52,((D835+E835)*C835)*'Assumptions and Catalog'!$H$52+'Assumptions and Catalog'!$E$52+'Assumptions and Catalog'!$F$52,IF(((D835+E835)*C835)&lt;='Assumptions and Catalog'!$C$53,((D835+E835)*C835)*'Assumptions and Catalog'!$H$53+'Assumptions and Catalog'!$E$53+'Assumptions and Catalog'!$F$53,IF(((D835+E835)*C835)&lt;='Assumptions and Catalog'!$C$54,((D835+E835)*C835)*'Assumptions and Catalog'!$H$54+'Assumptions and Catalog'!$E$54+'Assumptions and Catalog'!$F$54,IF(((D835+E835)*C835)&lt;='Assumptions and Catalog'!$C$55,((D835+E835)*C835)*'Assumptions and Catalog'!$H$55+'Assumptions and Catalog'!$E$55+'Assumptions and Catalog'!$F$55,IF(((D835+E835)*C835)&lt;='Assumptions and Catalog'!$C$56,((D835+E835)*C835)*'Assumptions and Catalog'!$H$56+'Assumptions and Catalog'!$E$56+'Assumptions and Catalog'!$F$56,IF(((D835+E835)*C835)&lt;='Assumptions and Catalog'!$C$57,((D835+E835)*C835)*'Assumptions and Catalog'!$H$57+'Assumptions and Catalog'!$E$57+'Assumptions and Catalog'!$F$57,"Out of range")))))))),IF(((D835+E835)*C835)&lt;='Assumptions and Catalog'!$C$60,((D835+E835)*C835)*'Assumptions and Catalog'!$H$60+'Assumptions and Catalog'!$E$60+'Assumptions and Catalog'!$F$60,IF(((D835+E835)*C835)&lt;='Assumptions and Catalog'!$C$61,((D835+E835)*C835)*'Assumptions and Catalog'!$H$61+'Assumptions and Catalog'!$E$61+'Assumptions and Catalog'!$F$61,IF(((D835+E835)*C835)&lt;='Assumptions and Catalog'!$C$62,((D835+E835)*C835)*'Assumptions and Catalog'!$H$62+'Assumptions and Catalog'!$E$62+'Assumptions and Catalog'!$F$62,IF(((D835+E835)*C835)&lt;='Assumptions and Catalog'!$C$63,((D835+E835)*C835)*'Assumptions and Catalog'!$H$63+'Assumptions and Catalog'!$E$63+'Assumptions and Catalog'!$F$63,IF(((D835+E835)*C835)&lt;='Assumptions and Catalog'!$C$64,((D835+E835)*C835)*'Assumptions and Catalog'!$H$64+'Assumptions and Catalog'!$E$64+'Assumptions and Catalog'!$F$64,IF(((D835+E835)*C835)&lt;='Assumptions and Catalog'!$C$65,((D835+E835)*C835)*'Assumptions and Catalog'!$H$65+'Assumptions and Catalog'!$E$65+'Assumptions and Catalog'!$F$65,"Out of range")))))))))*(1+'Assumptions and Catalog'!$C$8)^(A835-1),0)</f>
        <v>7094.794</v>
      </c>
      <c r="N835" s="5" t="n">
        <f>IF(ISNUMBER(Inputs!$L$5),(IF(Inputs!$L$9="Actual flat rate",L835*Inputs!$L$10,IF(Inputs!$C$9="Residential",IF(L835&lt;='Assumptions and Catalog'!$C$50,L835*'Assumptions and Catalog'!$H$50+'Assumptions and Catalog'!$E$50+'Assumptions and Catalog'!$F$50,IF(L835&lt;='Assumptions and Catalog'!$C$51,L835*'Assumptions and Catalog'!$H$51+'Assumptions and Catalog'!$E$51+'Assumptions and Catalog'!$F$51,IF(L835&lt;='Assumptions and Catalog'!$C$52,L835*'Assumptions and Catalog'!$H$52+'Assumptions and Catalog'!$E$52+'Assumptions and Catalog'!$F$52,IF(L835&lt;='Assumptions and Catalog'!$C$53,L835*'Assumptions and Catalog'!$H$53+'Assumptions and Catalog'!$E$53+'Assumptions and Catalog'!$F$53,IF(L835&lt;='Assumptions and Catalog'!$C$54,L835*'Assumptions and Catalog'!$H$54+'Assumptions and Catalog'!$E$54+'Assumptions and Catalog'!$F$54,IF(L835&lt;='Assumptions and Catalog'!$C$55,L835*'Assumptions and Catalog'!$H$55+'Assumptions and Catalog'!$E$55+'Assumptions and Catalog'!$F$55,IF(L835&lt;='Assumptions and Catalog'!$C$56,L835*'Assumptions and Catalog'!$H$56+'Assumptions and Catalog'!$E$56+'Assumptions and Catalog'!$F$56,IF(L835&lt;='Assumptions and Catalog'!$C$57,L835*'Assumptions and Catalog'!$H$57+'Assumptions and Catalog'!$E$57+'Assumptions and Catalog'!$F$57,"Out of range")))))))),IF(L835&lt;='Assumptions and Catalog'!$C$60,L835*'Assumptions and Catalog'!$H$60+'Assumptions and Catalog'!$E$60+'Assumptions and Catalog'!$F$60,IF(L835&lt;='Assumptions and Catalog'!$C$61,L835*'Assumptions and Catalog'!$H$61+'Assumptions and Catalog'!$E$61+'Assumptions and Catalog'!$F$61,IF(L835&lt;='Assumptions and Catalog'!$C$62,L835*'Assumptions and Catalog'!$H$62+'Assumptions and Catalog'!$E$62+'Assumptions and Catalog'!$F$62,IF(L835&lt;='Assumptions and Catalog'!$C$63,L835*'Assumptions and Catalog'!$H$63+'Assumptions and Catalog'!$E$63+'Assumptions and Catalog'!$F$63,IF(L835&lt;='Assumptions and Catalog'!$C$64,L835*'Assumptions and Catalog'!$H$64+'Assumptions and Catalog'!$E$64+'Assumptions and Catalog'!$F$64,IF(L835&lt;='Assumptions and Catalog'!$C$65,L835*'Assumptions and Catalog'!$H$65+'Assumptions and Catalog'!$E$65+'Assumptions and Catalog'!$F$65,"Out of range")))))))))*(1+'Assumptions and Catalog'!$C$8)^(A835-1),0)</f>
        <v>2639.08422107039</v>
      </c>
      <c r="O835" s="5" t="n">
        <f>M835-N835</f>
        <v>4455.70977892961</v>
      </c>
      <c r="P835" s="5" t="n">
        <f>E$55*(1-L$14)*(1-'Assumptions and Catalog'!$C$23)^R835</f>
        <v>9.4450499584</v>
      </c>
      <c r="Q835" s="5" t="n">
        <f>IF(ISNUMBER(Inputs!$L$5),(IF(Inputs!$L$9="Actual flat rate",((D835+E835)*C835-G835)*Inputs!$L$10,IF(Inputs!$C$9="Residential",IF(((D835+E835)*C835-G835)&lt;='Assumptions and Catalog'!$C$50,((D835+E835)*C835-G835)*'Assumptions and Catalog'!$H$50+'Assumptions and Catalog'!$E$50+'Assumptions and Catalog'!$F$50,IF(((D835+E835)*C835-G835)&lt;='Assumptions and Catalog'!$C$51,((D835+E835)*C835-G835)*'Assumptions and Catalog'!$H$51+'Assumptions and Catalog'!$E$51+'Assumptions and Catalog'!$F$51,IF(((D835+E835)*C835-G835)&lt;='Assumptions and Catalog'!$C$52,((D835+E835)*C835-G835)*'Assumptions and Catalog'!$H$52+'Assumptions and Catalog'!$E$52+'Assumptions and Catalog'!$F$52,IF(((D835+E835)*C835-G835)&lt;='Assumptions and Catalog'!$C$53,((D835+E835)*C835-G835)*'Assumptions and Catalog'!$H$53+'Assumptions and Catalog'!$E$53+'Assumptions and Catalog'!$F$53,IF(((D835+E835)*C835-G835)&lt;='Assumptions and Catalog'!$C$54,((D835+E835)*C835-G835)*'Assumptions and Catalog'!$H$54+'Assumptions and Catalog'!$E$54+'Assumptions and Catalog'!$F$54,IF(((D835+E835)*C835-G835)&lt;='Assumptions and Catalog'!$C$55,((D835+E835)*C835-G835)*'Assumptions and Catalog'!$H$55+'Assumptions and Catalog'!$E$55+'Assumptions and Catalog'!$F$55,IF(((D835+E835)*C835-G835)&lt;='Assumptions and Catalog'!$C$56,((D835+E835)*C835-G835)*'Assumptions and Catalog'!$H$56+'Assumptions and Catalog'!$E$56+'Assumptions and Catalog'!$F$56,IF(((D835+E835)*C835-G835)&lt;='Assumptions and Catalog'!$C$57,((D835+E835)*C835-G835)*'Assumptions and Catalog'!$H$57+'Assumptions and Catalog'!$E$57+'Assumptions and Catalog'!$F$57,"Out of range")))))))),IF(((D835+E835)*C835-G835)&lt;='Assumptions and Catalog'!$C$60,((D835+E835)*C835-G835)*'Assumptions and Catalog'!$H$60+'Assumptions and Catalog'!$E$60+'Assumptions and Catalog'!$F$60,IF(((D835+E835)*C835-G835)&lt;='Assumptions and Catalog'!$C$61,((D835+E835)*C835-G835)*'Assumptions and Catalog'!$H$61+'Assumptions and Catalog'!$E$61+'Assumptions and Catalog'!$F$61,IF(((D835+E835)*C835-G835)&lt;='Assumptions and Catalog'!$C$62,((D835+E835)*C835-G835)*'Assumptions and Catalog'!$H$62+'Assumptions and Catalog'!$E$62+'Assumptions and Catalog'!$F$62,IF(((D835+E835)*C835-G835)&lt;='Assumptions and Catalog'!$C$63,((D835+E835)*C835-G835)*'Assumptions and Catalog'!$H$63+'Assumptions and Catalog'!$E$63+'Assumptions and Catalog'!$F$63,IF(((D835+E835)*C835-G835)&lt;='Assumptions and Catalog'!$C$64,((D835+E835)*C835-G835)*'Assumptions and Catalog'!$H$64+'Assumptions and Catalog'!$E$64+'Assumptions and Catalog'!$F$64,IF(((D835+E835)*C835-G835)&lt;='Assumptions and Catalog'!$C$65,((D835+E835)*C835-G835)*'Assumptions and Catalog'!$H$65+'Assumptions and Catalog'!$E$65+'Assumptions and Catalog'!$F$65,"Out of range")))))))))*(1+'Assumptions and Catalog'!$C$8)^(A835-1),0)</f>
        <v>3567.397</v>
      </c>
      <c r="R835" s="5" t="n">
        <f>IF(AND('Assumptions and Catalog'!$C$19&gt;0,A835&gt;='Assumptions and Catalog'!$C$19),A835-'Assumptions and Catalog'!$C$19,A835-1)</f>
        <v>4</v>
      </c>
      <c r="S835" s="5" t="n">
        <f>F835+L835-(D835+E835)*C835-J835-K835-IF(E$52&gt;0,'Assumptions and Catalog'!$C$26*C835,0)</f>
        <v>-1.13686837721616E-013</v>
      </c>
      <c r="T835" s="5"/>
      <c r="U835" s="5"/>
    </row>
    <row r="836" ht="23.100000381469727" customHeight="1">
      <c r="A836" s="5" t="n">
        <v>15</v>
      </c>
      <c r="B836" s="5" t="n">
        <v>8</v>
      </c>
      <c r="C836" s="5" t="n">
        <f>DAY(DATE('Assumptions and Catalog'!$C$24+A836-1,B836+1,0))</f>
        <v>31</v>
      </c>
      <c r="D836" s="5" t="n">
        <f>IF(ISNUMBER(Inputs!$L$5),Inputs!$L$5*Inputs!$L$6,0)</f>
        <v>40.35</v>
      </c>
      <c r="E836" s="5" t="n">
        <f>IF(ISNUMBER(Inputs!$L$5),Inputs!$L$5-D836,0)</f>
        <v>40.35</v>
      </c>
      <c r="F836" s="5" t="n">
        <f>E$51*INDEX('Solar Production'!$D$20:$D$31,B836)*C836*(1-'Assumptions and Catalog'!$C$10)^(A836-1)</f>
        <v>1710.45582310338</v>
      </c>
      <c r="G836" s="5" t="n">
        <f>MIN(F836,D836*C836)</f>
        <v>1250.85</v>
      </c>
      <c r="H836" s="5" t="n">
        <f>I836/('Assumptions and Catalog'!$C$11*'Assumptions and Catalog'!$C$12)</f>
        <v>300.304152523487</v>
      </c>
      <c r="I836" s="5" t="n">
        <f>MIN(E836*C836,P836*'Assumptions and Catalog'!$C$12*C836,(F836-G836)*'Assumptions and Catalog'!$C$11*'Assumptions and Catalog'!$C$12,E$56*'Assumptions and Catalog'!$C$14*'Assumptions and Catalog'!$C$11*'Assumptions and Catalog'!$C$12*C836,E$57*(24-'Assumptions and Catalog'!$C$13)*C836)</f>
        <v>285.47663499264</v>
      </c>
      <c r="J836" s="5" t="n">
        <f>MAX(F836-G836-H836,0)</f>
        <v>159.301670579897</v>
      </c>
      <c r="K836" s="5" t="n">
        <f>H836-I836</f>
        <v>14.8275175308472</v>
      </c>
      <c r="L836" s="5" t="n">
        <f>(D836+E836)*C836-G836-I836+0+IF(E$52&gt;0,'Assumptions and Catalog'!$C$26*C836,0)</f>
        <v>965.37336500736</v>
      </c>
      <c r="M836" s="5" t="n">
        <f>IF(ISNUMBER(Inputs!$L$5),(IF(Inputs!$L$9="Actual flat rate",((D836+E836)*C836)*Inputs!$L$10,IF(Inputs!$C$9="Residential",IF(((D836+E836)*C836)&lt;='Assumptions and Catalog'!$C$50,((D836+E836)*C836)*'Assumptions and Catalog'!$H$50+'Assumptions and Catalog'!$E$50+'Assumptions and Catalog'!$F$50,IF(((D836+E836)*C836)&lt;='Assumptions and Catalog'!$C$51,((D836+E836)*C836)*'Assumptions and Catalog'!$H$51+'Assumptions and Catalog'!$E$51+'Assumptions and Catalog'!$F$51,IF(((D836+E836)*C836)&lt;='Assumptions and Catalog'!$C$52,((D836+E836)*C836)*'Assumptions and Catalog'!$H$52+'Assumptions and Catalog'!$E$52+'Assumptions and Catalog'!$F$52,IF(((D836+E836)*C836)&lt;='Assumptions and Catalog'!$C$53,((D836+E836)*C836)*'Assumptions and Catalog'!$H$53+'Assumptions and Catalog'!$E$53+'Assumptions and Catalog'!$F$53,IF(((D836+E836)*C836)&lt;='Assumptions and Catalog'!$C$54,((D836+E836)*C836)*'Assumptions and Catalog'!$H$54+'Assumptions and Catalog'!$E$54+'Assumptions and Catalog'!$F$54,IF(((D836+E836)*C836)&lt;='Assumptions and Catalog'!$C$55,((D836+E836)*C836)*'Assumptions and Catalog'!$H$55+'Assumptions and Catalog'!$E$55+'Assumptions and Catalog'!$F$55,IF(((D836+E836)*C836)&lt;='Assumptions and Catalog'!$C$56,((D836+E836)*C836)*'Assumptions and Catalog'!$H$56+'Assumptions and Catalog'!$E$56+'Assumptions and Catalog'!$F$56,IF(((D836+E836)*C836)&lt;='Assumptions and Catalog'!$C$57,((D836+E836)*C836)*'Assumptions and Catalog'!$H$57+'Assumptions and Catalog'!$E$57+'Assumptions and Catalog'!$F$57,"Out of range")))))))),IF(((D836+E836)*C836)&lt;='Assumptions and Catalog'!$C$60,((D836+E836)*C836)*'Assumptions and Catalog'!$H$60+'Assumptions and Catalog'!$E$60+'Assumptions and Catalog'!$F$60,IF(((D836+E836)*C836)&lt;='Assumptions and Catalog'!$C$61,((D836+E836)*C836)*'Assumptions and Catalog'!$H$61+'Assumptions and Catalog'!$E$61+'Assumptions and Catalog'!$F$61,IF(((D836+E836)*C836)&lt;='Assumptions and Catalog'!$C$62,((D836+E836)*C836)*'Assumptions and Catalog'!$H$62+'Assumptions and Catalog'!$E$62+'Assumptions and Catalog'!$F$62,IF(((D836+E836)*C836)&lt;='Assumptions and Catalog'!$C$63,((D836+E836)*C836)*'Assumptions and Catalog'!$H$63+'Assumptions and Catalog'!$E$63+'Assumptions and Catalog'!$F$63,IF(((D836+E836)*C836)&lt;='Assumptions and Catalog'!$C$64,((D836+E836)*C836)*'Assumptions and Catalog'!$H$64+'Assumptions and Catalog'!$E$64+'Assumptions and Catalog'!$F$64,IF(((D836+E836)*C836)&lt;='Assumptions and Catalog'!$C$65,((D836+E836)*C836)*'Assumptions and Catalog'!$H$65+'Assumptions and Catalog'!$E$65+'Assumptions and Catalog'!$F$65,"Out of range")))))))))*(1+'Assumptions and Catalog'!$C$8)^(A836-1),0)</f>
        <v>7094.794</v>
      </c>
      <c r="N836" s="5" t="n">
        <f>IF(ISNUMBER(Inputs!$L$5),(IF(Inputs!$L$9="Actual flat rate",L836*Inputs!$L$10,IF(Inputs!$C$9="Residential",IF(L836&lt;='Assumptions and Catalog'!$C$50,L836*'Assumptions and Catalog'!$H$50+'Assumptions and Catalog'!$E$50+'Assumptions and Catalog'!$F$50,IF(L836&lt;='Assumptions and Catalog'!$C$51,L836*'Assumptions and Catalog'!$H$51+'Assumptions and Catalog'!$E$51+'Assumptions and Catalog'!$F$51,IF(L836&lt;='Assumptions and Catalog'!$C$52,L836*'Assumptions and Catalog'!$H$52+'Assumptions and Catalog'!$E$52+'Assumptions and Catalog'!$F$52,IF(L836&lt;='Assumptions and Catalog'!$C$53,L836*'Assumptions and Catalog'!$H$53+'Assumptions and Catalog'!$E$53+'Assumptions and Catalog'!$F$53,IF(L836&lt;='Assumptions and Catalog'!$C$54,L836*'Assumptions and Catalog'!$H$54+'Assumptions and Catalog'!$E$54+'Assumptions and Catalog'!$F$54,IF(L836&lt;='Assumptions and Catalog'!$C$55,L836*'Assumptions and Catalog'!$H$55+'Assumptions and Catalog'!$E$55+'Assumptions and Catalog'!$F$55,IF(L836&lt;='Assumptions and Catalog'!$C$56,L836*'Assumptions and Catalog'!$H$56+'Assumptions and Catalog'!$E$56+'Assumptions and Catalog'!$F$56,IF(L836&lt;='Assumptions and Catalog'!$C$57,L836*'Assumptions and Catalog'!$H$57+'Assumptions and Catalog'!$E$57+'Assumptions and Catalog'!$F$57,"Out of range")))))))),IF(L836&lt;='Assumptions and Catalog'!$C$60,L836*'Assumptions and Catalog'!$H$60+'Assumptions and Catalog'!$E$60+'Assumptions and Catalog'!$F$60,IF(L836&lt;='Assumptions and Catalog'!$C$61,L836*'Assumptions and Catalog'!$H$61+'Assumptions and Catalog'!$E$61+'Assumptions and Catalog'!$F$61,IF(L836&lt;='Assumptions and Catalog'!$C$62,L836*'Assumptions and Catalog'!$H$62+'Assumptions and Catalog'!$E$62+'Assumptions and Catalog'!$F$62,IF(L836&lt;='Assumptions and Catalog'!$C$63,L836*'Assumptions and Catalog'!$H$63+'Assumptions and Catalog'!$E$63+'Assumptions and Catalog'!$F$63,IF(L836&lt;='Assumptions and Catalog'!$C$64,L836*'Assumptions and Catalog'!$H$64+'Assumptions and Catalog'!$E$64+'Assumptions and Catalog'!$F$64,IF(L836&lt;='Assumptions and Catalog'!$C$65,L836*'Assumptions and Catalog'!$H$65+'Assumptions and Catalog'!$E$65+'Assumptions and Catalog'!$F$65,"Out of range")))))))))*(1+'Assumptions and Catalog'!$C$8)^(A836-1),0)</f>
        <v>2639.08422107039</v>
      </c>
      <c r="O836" s="5" t="n">
        <f>M836-N836</f>
        <v>4455.70977892961</v>
      </c>
      <c r="P836" s="5" t="n">
        <f>E$55*(1-L$14)*(1-'Assumptions and Catalog'!$C$23)^R836</f>
        <v>9.4450499584</v>
      </c>
      <c r="Q836" s="5" t="n">
        <f>IF(ISNUMBER(Inputs!$L$5),(IF(Inputs!$L$9="Actual flat rate",((D836+E836)*C836-G836)*Inputs!$L$10,IF(Inputs!$C$9="Residential",IF(((D836+E836)*C836-G836)&lt;='Assumptions and Catalog'!$C$50,((D836+E836)*C836-G836)*'Assumptions and Catalog'!$H$50+'Assumptions and Catalog'!$E$50+'Assumptions and Catalog'!$F$50,IF(((D836+E836)*C836-G836)&lt;='Assumptions and Catalog'!$C$51,((D836+E836)*C836-G836)*'Assumptions and Catalog'!$H$51+'Assumptions and Catalog'!$E$51+'Assumptions and Catalog'!$F$51,IF(((D836+E836)*C836-G836)&lt;='Assumptions and Catalog'!$C$52,((D836+E836)*C836-G836)*'Assumptions and Catalog'!$H$52+'Assumptions and Catalog'!$E$52+'Assumptions and Catalog'!$F$52,IF(((D836+E836)*C836-G836)&lt;='Assumptions and Catalog'!$C$53,((D836+E836)*C836-G836)*'Assumptions and Catalog'!$H$53+'Assumptions and Catalog'!$E$53+'Assumptions and Catalog'!$F$53,IF(((D836+E836)*C836-G836)&lt;='Assumptions and Catalog'!$C$54,((D836+E836)*C836-G836)*'Assumptions and Catalog'!$H$54+'Assumptions and Catalog'!$E$54+'Assumptions and Catalog'!$F$54,IF(((D836+E836)*C836-G836)&lt;='Assumptions and Catalog'!$C$55,((D836+E836)*C836-G836)*'Assumptions and Catalog'!$H$55+'Assumptions and Catalog'!$E$55+'Assumptions and Catalog'!$F$55,IF(((D836+E836)*C836-G836)&lt;='Assumptions and Catalog'!$C$56,((D836+E836)*C836-G836)*'Assumptions and Catalog'!$H$56+'Assumptions and Catalog'!$E$56+'Assumptions and Catalog'!$F$56,IF(((D836+E836)*C836-G836)&lt;='Assumptions and Catalog'!$C$57,((D836+E836)*C836-G836)*'Assumptions and Catalog'!$H$57+'Assumptions and Catalog'!$E$57+'Assumptions and Catalog'!$F$57,"Out of range")))))))),IF(((D836+E836)*C836-G836)&lt;='Assumptions and Catalog'!$C$60,((D836+E836)*C836-G836)*'Assumptions and Catalog'!$H$60+'Assumptions and Catalog'!$E$60+'Assumptions and Catalog'!$F$60,IF(((D836+E836)*C836-G836)&lt;='Assumptions and Catalog'!$C$61,((D836+E836)*C836-G836)*'Assumptions and Catalog'!$H$61+'Assumptions and Catalog'!$E$61+'Assumptions and Catalog'!$F$61,IF(((D836+E836)*C836-G836)&lt;='Assumptions and Catalog'!$C$62,((D836+E836)*C836-G836)*'Assumptions and Catalog'!$H$62+'Assumptions and Catalog'!$E$62+'Assumptions and Catalog'!$F$62,IF(((D836+E836)*C836-G836)&lt;='Assumptions and Catalog'!$C$63,((D836+E836)*C836-G836)*'Assumptions and Catalog'!$H$63+'Assumptions and Catalog'!$E$63+'Assumptions and Catalog'!$F$63,IF(((D836+E836)*C836-G836)&lt;='Assumptions and Catalog'!$C$64,((D836+E836)*C836-G836)*'Assumptions and Catalog'!$H$64+'Assumptions and Catalog'!$E$64+'Assumptions and Catalog'!$F$64,IF(((D836+E836)*C836-G836)&lt;='Assumptions and Catalog'!$C$65,((D836+E836)*C836-G836)*'Assumptions and Catalog'!$H$65+'Assumptions and Catalog'!$E$65+'Assumptions and Catalog'!$F$65,"Out of range")))))))))*(1+'Assumptions and Catalog'!$C$8)^(A836-1),0)</f>
        <v>3567.397</v>
      </c>
      <c r="R836" s="5" t="n">
        <f>IF(AND('Assumptions and Catalog'!$C$19&gt;0,A836&gt;='Assumptions and Catalog'!$C$19),A836-'Assumptions and Catalog'!$C$19,A836-1)</f>
        <v>4</v>
      </c>
      <c r="S836" s="5" t="n">
        <f>F836+L836-(D836+E836)*C836-J836-K836-IF(E$52&gt;0,'Assumptions and Catalog'!$C$26*C836,0)</f>
        <v>-1.13686837721616E-013</v>
      </c>
      <c r="T836" s="5"/>
      <c r="U836" s="5"/>
    </row>
    <row r="837" ht="23.100000381469727" customHeight="1">
      <c r="A837" s="5" t="n">
        <v>15</v>
      </c>
      <c r="B837" s="5" t="n">
        <v>9</v>
      </c>
      <c r="C837" s="5" t="n">
        <f>DAY(DATE('Assumptions and Catalog'!$C$24+A837-1,B837+1,0))</f>
        <v>30</v>
      </c>
      <c r="D837" s="5" t="n">
        <f>IF(ISNUMBER(Inputs!$L$5),Inputs!$L$5*Inputs!$L$6,0)</f>
        <v>40.35</v>
      </c>
      <c r="E837" s="5" t="n">
        <f>IF(ISNUMBER(Inputs!$L$5),Inputs!$L$5-D837,0)</f>
        <v>40.35</v>
      </c>
      <c r="F837" s="5" t="n">
        <f>E$51*INDEX('Solar Production'!$D$20:$D$31,B837)*C837*(1-'Assumptions and Catalog'!$C$10)^(A837-1)</f>
        <v>1650.97954148468</v>
      </c>
      <c r="G837" s="5" t="n">
        <f>MIN(F837,D837*C837)</f>
        <v>1210.5</v>
      </c>
      <c r="H837" s="5" t="n">
        <f>I837/('Assumptions and Catalog'!$C$11*'Assumptions and Catalog'!$C$12)</f>
        <v>290.616921796923</v>
      </c>
      <c r="I837" s="5" t="n">
        <f>MIN(E837*C837,P837*'Assumptions and Catalog'!$C$12*C837,(F837-G837)*'Assumptions and Catalog'!$C$11*'Assumptions and Catalog'!$C$12,E$56*'Assumptions and Catalog'!$C$14*'Assumptions and Catalog'!$C$11*'Assumptions and Catalog'!$C$12*C837,E$57*(24-'Assumptions and Catalog'!$C$13)*C837)</f>
        <v>276.2677112832</v>
      </c>
      <c r="J837" s="5" t="n">
        <f>MAX(F837-G837-H837,0)</f>
        <v>149.862619687759</v>
      </c>
      <c r="K837" s="5" t="n">
        <f>H837-I837</f>
        <v>14.3492105137231</v>
      </c>
      <c r="L837" s="5" t="n">
        <f>(D837+E837)*C837-G837-I837+0+IF(E$52&gt;0,'Assumptions and Catalog'!$C$26*C837,0)</f>
        <v>934.2322887168</v>
      </c>
      <c r="M837" s="5" t="n">
        <f>IF(ISNUMBER(Inputs!$L$5),(IF(Inputs!$L$9="Actual flat rate",((D837+E837)*C837)*Inputs!$L$10,IF(Inputs!$C$9="Residential",IF(((D837+E837)*C837)&lt;='Assumptions and Catalog'!$C$50,((D837+E837)*C837)*'Assumptions and Catalog'!$H$50+'Assumptions and Catalog'!$E$50+'Assumptions and Catalog'!$F$50,IF(((D837+E837)*C837)&lt;='Assumptions and Catalog'!$C$51,((D837+E837)*C837)*'Assumptions and Catalog'!$H$51+'Assumptions and Catalog'!$E$51+'Assumptions and Catalog'!$F$51,IF(((D837+E837)*C837)&lt;='Assumptions and Catalog'!$C$52,((D837+E837)*C837)*'Assumptions and Catalog'!$H$52+'Assumptions and Catalog'!$E$52+'Assumptions and Catalog'!$F$52,IF(((D837+E837)*C837)&lt;='Assumptions and Catalog'!$C$53,((D837+E837)*C837)*'Assumptions and Catalog'!$H$53+'Assumptions and Catalog'!$E$53+'Assumptions and Catalog'!$F$53,IF(((D837+E837)*C837)&lt;='Assumptions and Catalog'!$C$54,((D837+E837)*C837)*'Assumptions and Catalog'!$H$54+'Assumptions and Catalog'!$E$54+'Assumptions and Catalog'!$F$54,IF(((D837+E837)*C837)&lt;='Assumptions and Catalog'!$C$55,((D837+E837)*C837)*'Assumptions and Catalog'!$H$55+'Assumptions and Catalog'!$E$55+'Assumptions and Catalog'!$F$55,IF(((D837+E837)*C837)&lt;='Assumptions and Catalog'!$C$56,((D837+E837)*C837)*'Assumptions and Catalog'!$H$56+'Assumptions and Catalog'!$E$56+'Assumptions and Catalog'!$F$56,IF(((D837+E837)*C837)&lt;='Assumptions and Catalog'!$C$57,((D837+E837)*C837)*'Assumptions and Catalog'!$H$57+'Assumptions and Catalog'!$E$57+'Assumptions and Catalog'!$F$57,"Out of range")))))))),IF(((D837+E837)*C837)&lt;='Assumptions and Catalog'!$C$60,((D837+E837)*C837)*'Assumptions and Catalog'!$H$60+'Assumptions and Catalog'!$E$60+'Assumptions and Catalog'!$F$60,IF(((D837+E837)*C837)&lt;='Assumptions and Catalog'!$C$61,((D837+E837)*C837)*'Assumptions and Catalog'!$H$61+'Assumptions and Catalog'!$E$61+'Assumptions and Catalog'!$F$61,IF(((D837+E837)*C837)&lt;='Assumptions and Catalog'!$C$62,((D837+E837)*C837)*'Assumptions and Catalog'!$H$62+'Assumptions and Catalog'!$E$62+'Assumptions and Catalog'!$F$62,IF(((D837+E837)*C837)&lt;='Assumptions and Catalog'!$C$63,((D837+E837)*C837)*'Assumptions and Catalog'!$H$63+'Assumptions and Catalog'!$E$63+'Assumptions and Catalog'!$F$63,IF(((D837+E837)*C837)&lt;='Assumptions and Catalog'!$C$64,((D837+E837)*C837)*'Assumptions and Catalog'!$H$64+'Assumptions and Catalog'!$E$64+'Assumptions and Catalog'!$F$64,IF(((D837+E837)*C837)&lt;='Assumptions and Catalog'!$C$65,((D837+E837)*C837)*'Assumptions and Catalog'!$H$65+'Assumptions and Catalog'!$E$65+'Assumptions and Catalog'!$F$65,"Out of range")))))))))*(1+'Assumptions and Catalog'!$C$8)^(A837-1),0)</f>
        <v>6867.22</v>
      </c>
      <c r="N837" s="5" t="n">
        <f>IF(ISNUMBER(Inputs!$L$5),(IF(Inputs!$L$9="Actual flat rate",L837*Inputs!$L$10,IF(Inputs!$C$9="Residential",IF(L837&lt;='Assumptions and Catalog'!$C$50,L837*'Assumptions and Catalog'!$H$50+'Assumptions and Catalog'!$E$50+'Assumptions and Catalog'!$F$50,IF(L837&lt;='Assumptions and Catalog'!$C$51,L837*'Assumptions and Catalog'!$H$51+'Assumptions and Catalog'!$E$51+'Assumptions and Catalog'!$F$51,IF(L837&lt;='Assumptions and Catalog'!$C$52,L837*'Assumptions and Catalog'!$H$52+'Assumptions and Catalog'!$E$52+'Assumptions and Catalog'!$F$52,IF(L837&lt;='Assumptions and Catalog'!$C$53,L837*'Assumptions and Catalog'!$H$53+'Assumptions and Catalog'!$E$53+'Assumptions and Catalog'!$F$53,IF(L837&lt;='Assumptions and Catalog'!$C$54,L837*'Assumptions and Catalog'!$H$54+'Assumptions and Catalog'!$E$54+'Assumptions and Catalog'!$F$54,IF(L837&lt;='Assumptions and Catalog'!$C$55,L837*'Assumptions and Catalog'!$H$55+'Assumptions and Catalog'!$E$55+'Assumptions and Catalog'!$F$55,IF(L837&lt;='Assumptions and Catalog'!$C$56,L837*'Assumptions and Catalog'!$H$56+'Assumptions and Catalog'!$E$56+'Assumptions and Catalog'!$F$56,IF(L837&lt;='Assumptions and Catalog'!$C$57,L837*'Assumptions and Catalog'!$H$57+'Assumptions and Catalog'!$E$57+'Assumptions and Catalog'!$F$57,"Out of range")))))))),IF(L837&lt;='Assumptions and Catalog'!$C$60,L837*'Assumptions and Catalog'!$H$60+'Assumptions and Catalog'!$E$60+'Assumptions and Catalog'!$F$60,IF(L837&lt;='Assumptions and Catalog'!$C$61,L837*'Assumptions and Catalog'!$H$61+'Assumptions and Catalog'!$E$61+'Assumptions and Catalog'!$F$61,IF(L837&lt;='Assumptions and Catalog'!$C$62,L837*'Assumptions and Catalog'!$H$62+'Assumptions and Catalog'!$E$62+'Assumptions and Catalog'!$F$62,IF(L837&lt;='Assumptions and Catalog'!$C$63,L837*'Assumptions and Catalog'!$H$63+'Assumptions and Catalog'!$E$63+'Assumptions and Catalog'!$F$63,IF(L837&lt;='Assumptions and Catalog'!$C$64,L837*'Assumptions and Catalog'!$H$64+'Assumptions and Catalog'!$E$64+'Assumptions and Catalog'!$F$64,IF(L837&lt;='Assumptions and Catalog'!$C$65,L837*'Assumptions and Catalog'!$H$65+'Assumptions and Catalog'!$E$65+'Assumptions and Catalog'!$F$65,"Out of range")))))))))*(1+'Assumptions and Catalog'!$C$8)^(A837-1),0)</f>
        <v>2552.82343974554</v>
      </c>
      <c r="O837" s="5" t="n">
        <f>M837-N837</f>
        <v>4314.39656025446</v>
      </c>
      <c r="P837" s="5" t="n">
        <f>E$55*(1-L$14)*(1-'Assumptions and Catalog'!$C$23)^R837</f>
        <v>9.4450499584</v>
      </c>
      <c r="Q837" s="5" t="n">
        <f>IF(ISNUMBER(Inputs!$L$5),(IF(Inputs!$L$9="Actual flat rate",((D837+E837)*C837-G837)*Inputs!$L$10,IF(Inputs!$C$9="Residential",IF(((D837+E837)*C837-G837)&lt;='Assumptions and Catalog'!$C$50,((D837+E837)*C837-G837)*'Assumptions and Catalog'!$H$50+'Assumptions and Catalog'!$E$50+'Assumptions and Catalog'!$F$50,IF(((D837+E837)*C837-G837)&lt;='Assumptions and Catalog'!$C$51,((D837+E837)*C837-G837)*'Assumptions and Catalog'!$H$51+'Assumptions and Catalog'!$E$51+'Assumptions and Catalog'!$F$51,IF(((D837+E837)*C837-G837)&lt;='Assumptions and Catalog'!$C$52,((D837+E837)*C837-G837)*'Assumptions and Catalog'!$H$52+'Assumptions and Catalog'!$E$52+'Assumptions and Catalog'!$F$52,IF(((D837+E837)*C837-G837)&lt;='Assumptions and Catalog'!$C$53,((D837+E837)*C837-G837)*'Assumptions and Catalog'!$H$53+'Assumptions and Catalog'!$E$53+'Assumptions and Catalog'!$F$53,IF(((D837+E837)*C837-G837)&lt;='Assumptions and Catalog'!$C$54,((D837+E837)*C837-G837)*'Assumptions and Catalog'!$H$54+'Assumptions and Catalog'!$E$54+'Assumptions and Catalog'!$F$54,IF(((D837+E837)*C837-G837)&lt;='Assumptions and Catalog'!$C$55,((D837+E837)*C837-G837)*'Assumptions and Catalog'!$H$55+'Assumptions and Catalog'!$E$55+'Assumptions and Catalog'!$F$55,IF(((D837+E837)*C837-G837)&lt;='Assumptions and Catalog'!$C$56,((D837+E837)*C837-G837)*'Assumptions and Catalog'!$H$56+'Assumptions and Catalog'!$E$56+'Assumptions and Catalog'!$F$56,IF(((D837+E837)*C837-G837)&lt;='Assumptions and Catalog'!$C$57,((D837+E837)*C837-G837)*'Assumptions and Catalog'!$H$57+'Assumptions and Catalog'!$E$57+'Assumptions and Catalog'!$F$57,"Out of range")))))))),IF(((D837+E837)*C837-G837)&lt;='Assumptions and Catalog'!$C$60,((D837+E837)*C837-G837)*'Assumptions and Catalog'!$H$60+'Assumptions and Catalog'!$E$60+'Assumptions and Catalog'!$F$60,IF(((D837+E837)*C837-G837)&lt;='Assumptions and Catalog'!$C$61,((D837+E837)*C837-G837)*'Assumptions and Catalog'!$H$61+'Assumptions and Catalog'!$E$61+'Assumptions and Catalog'!$F$61,IF(((D837+E837)*C837-G837)&lt;='Assumptions and Catalog'!$C$62,((D837+E837)*C837-G837)*'Assumptions and Catalog'!$H$62+'Assumptions and Catalog'!$E$62+'Assumptions and Catalog'!$F$62,IF(((D837+E837)*C837-G837)&lt;='Assumptions and Catalog'!$C$63,((D837+E837)*C837-G837)*'Assumptions and Catalog'!$H$63+'Assumptions and Catalog'!$E$63+'Assumptions and Catalog'!$F$63,IF(((D837+E837)*C837-G837)&lt;='Assumptions and Catalog'!$C$64,((D837+E837)*C837-G837)*'Assumptions and Catalog'!$H$64+'Assumptions and Catalog'!$E$64+'Assumptions and Catalog'!$F$64,IF(((D837+E837)*C837-G837)&lt;='Assumptions and Catalog'!$C$65,((D837+E837)*C837-G837)*'Assumptions and Catalog'!$H$65+'Assumptions and Catalog'!$E$65+'Assumptions and Catalog'!$F$65,"Out of range")))))))))*(1+'Assumptions and Catalog'!$C$8)^(A837-1),0)</f>
        <v>3453.61</v>
      </c>
      <c r="R837" s="5" t="n">
        <f>IF(AND('Assumptions and Catalog'!$C$19&gt;0,A837&gt;='Assumptions and Catalog'!$C$19),A837-'Assumptions and Catalog'!$C$19,A837-1)</f>
        <v>4</v>
      </c>
      <c r="S837" s="5" t="n">
        <f>F837+L837-(D837+E837)*C837-J837-K837-IF(E$52&gt;0,'Assumptions and Catalog'!$C$26*C837,0)</f>
        <v>2.27373675443232E-013</v>
      </c>
      <c r="T837" s="5"/>
      <c r="U837" s="5"/>
    </row>
    <row r="838" ht="23.100000381469727" customHeight="1">
      <c r="A838" s="5" t="n">
        <v>15</v>
      </c>
      <c r="B838" s="5" t="n">
        <v>10</v>
      </c>
      <c r="C838" s="5" t="n">
        <f>DAY(DATE('Assumptions and Catalog'!$C$24+A838-1,B838+1,0))</f>
        <v>31</v>
      </c>
      <c r="D838" s="5" t="n">
        <f>IF(ISNUMBER(Inputs!$L$5),Inputs!$L$5*Inputs!$L$6,0)</f>
        <v>40.35</v>
      </c>
      <c r="E838" s="5" t="n">
        <f>IF(ISNUMBER(Inputs!$L$5),Inputs!$L$5-D838,0)</f>
        <v>40.35</v>
      </c>
      <c r="F838" s="5" t="n">
        <f>E$51*INDEX('Solar Production'!$D$20:$D$31,B838)*C838*(1-'Assumptions and Catalog'!$C$10)^(A838-1)</f>
        <v>1584.63272388589</v>
      </c>
      <c r="G838" s="5" t="n">
        <f>MIN(F838,D838*C838)</f>
        <v>1250.85</v>
      </c>
      <c r="H838" s="5" t="n">
        <f>I838/('Assumptions and Catalog'!$C$11*'Assumptions and Catalog'!$C$12)</f>
        <v>300.304152523487</v>
      </c>
      <c r="I838" s="5" t="n">
        <f>MIN(E838*C838,P838*'Assumptions and Catalog'!$C$12*C838,(F838-G838)*'Assumptions and Catalog'!$C$11*'Assumptions and Catalog'!$C$12,E$56*'Assumptions and Catalog'!$C$14*'Assumptions and Catalog'!$C$11*'Assumptions and Catalog'!$C$12*C838,E$57*(24-'Assumptions and Catalog'!$C$13)*C838)</f>
        <v>285.47663499264</v>
      </c>
      <c r="J838" s="5" t="n">
        <f>MAX(F838-G838-H838,0)</f>
        <v>33.4785713624004</v>
      </c>
      <c r="K838" s="5" t="n">
        <f>H838-I838</f>
        <v>14.8275175308472</v>
      </c>
      <c r="L838" s="5" t="n">
        <f>(D838+E838)*C838-G838-I838+0+IF(E$52&gt;0,'Assumptions and Catalog'!$C$26*C838,0)</f>
        <v>965.37336500736</v>
      </c>
      <c r="M838" s="5" t="n">
        <f>IF(ISNUMBER(Inputs!$L$5),(IF(Inputs!$L$9="Actual flat rate",((D838+E838)*C838)*Inputs!$L$10,IF(Inputs!$C$9="Residential",IF(((D838+E838)*C838)&lt;='Assumptions and Catalog'!$C$50,((D838+E838)*C838)*'Assumptions and Catalog'!$H$50+'Assumptions and Catalog'!$E$50+'Assumptions and Catalog'!$F$50,IF(((D838+E838)*C838)&lt;='Assumptions and Catalog'!$C$51,((D838+E838)*C838)*'Assumptions and Catalog'!$H$51+'Assumptions and Catalog'!$E$51+'Assumptions and Catalog'!$F$51,IF(((D838+E838)*C838)&lt;='Assumptions and Catalog'!$C$52,((D838+E838)*C838)*'Assumptions and Catalog'!$H$52+'Assumptions and Catalog'!$E$52+'Assumptions and Catalog'!$F$52,IF(((D838+E838)*C838)&lt;='Assumptions and Catalog'!$C$53,((D838+E838)*C838)*'Assumptions and Catalog'!$H$53+'Assumptions and Catalog'!$E$53+'Assumptions and Catalog'!$F$53,IF(((D838+E838)*C838)&lt;='Assumptions and Catalog'!$C$54,((D838+E838)*C838)*'Assumptions and Catalog'!$H$54+'Assumptions and Catalog'!$E$54+'Assumptions and Catalog'!$F$54,IF(((D838+E838)*C838)&lt;='Assumptions and Catalog'!$C$55,((D838+E838)*C838)*'Assumptions and Catalog'!$H$55+'Assumptions and Catalog'!$E$55+'Assumptions and Catalog'!$F$55,IF(((D838+E838)*C838)&lt;='Assumptions and Catalog'!$C$56,((D838+E838)*C838)*'Assumptions and Catalog'!$H$56+'Assumptions and Catalog'!$E$56+'Assumptions and Catalog'!$F$56,IF(((D838+E838)*C838)&lt;='Assumptions and Catalog'!$C$57,((D838+E838)*C838)*'Assumptions and Catalog'!$H$57+'Assumptions and Catalog'!$E$57+'Assumptions and Catalog'!$F$57,"Out of range")))))))),IF(((D838+E838)*C838)&lt;='Assumptions and Catalog'!$C$60,((D838+E838)*C838)*'Assumptions and Catalog'!$H$60+'Assumptions and Catalog'!$E$60+'Assumptions and Catalog'!$F$60,IF(((D838+E838)*C838)&lt;='Assumptions and Catalog'!$C$61,((D838+E838)*C838)*'Assumptions and Catalog'!$H$61+'Assumptions and Catalog'!$E$61+'Assumptions and Catalog'!$F$61,IF(((D838+E838)*C838)&lt;='Assumptions and Catalog'!$C$62,((D838+E838)*C838)*'Assumptions and Catalog'!$H$62+'Assumptions and Catalog'!$E$62+'Assumptions and Catalog'!$F$62,IF(((D838+E838)*C838)&lt;='Assumptions and Catalog'!$C$63,((D838+E838)*C838)*'Assumptions and Catalog'!$H$63+'Assumptions and Catalog'!$E$63+'Assumptions and Catalog'!$F$63,IF(((D838+E838)*C838)&lt;='Assumptions and Catalog'!$C$64,((D838+E838)*C838)*'Assumptions and Catalog'!$H$64+'Assumptions and Catalog'!$E$64+'Assumptions and Catalog'!$F$64,IF(((D838+E838)*C838)&lt;='Assumptions and Catalog'!$C$65,((D838+E838)*C838)*'Assumptions and Catalog'!$H$65+'Assumptions and Catalog'!$E$65+'Assumptions and Catalog'!$F$65,"Out of range")))))))))*(1+'Assumptions and Catalog'!$C$8)^(A838-1),0)</f>
        <v>7094.794</v>
      </c>
      <c r="N838" s="5" t="n">
        <f>IF(ISNUMBER(Inputs!$L$5),(IF(Inputs!$L$9="Actual flat rate",L838*Inputs!$L$10,IF(Inputs!$C$9="Residential",IF(L838&lt;='Assumptions and Catalog'!$C$50,L838*'Assumptions and Catalog'!$H$50+'Assumptions and Catalog'!$E$50+'Assumptions and Catalog'!$F$50,IF(L838&lt;='Assumptions and Catalog'!$C$51,L838*'Assumptions and Catalog'!$H$51+'Assumptions and Catalog'!$E$51+'Assumptions and Catalog'!$F$51,IF(L838&lt;='Assumptions and Catalog'!$C$52,L838*'Assumptions and Catalog'!$H$52+'Assumptions and Catalog'!$E$52+'Assumptions and Catalog'!$F$52,IF(L838&lt;='Assumptions and Catalog'!$C$53,L838*'Assumptions and Catalog'!$H$53+'Assumptions and Catalog'!$E$53+'Assumptions and Catalog'!$F$53,IF(L838&lt;='Assumptions and Catalog'!$C$54,L838*'Assumptions and Catalog'!$H$54+'Assumptions and Catalog'!$E$54+'Assumptions and Catalog'!$F$54,IF(L838&lt;='Assumptions and Catalog'!$C$55,L838*'Assumptions and Catalog'!$H$55+'Assumptions and Catalog'!$E$55+'Assumptions and Catalog'!$F$55,IF(L838&lt;='Assumptions and Catalog'!$C$56,L838*'Assumptions and Catalog'!$H$56+'Assumptions and Catalog'!$E$56+'Assumptions and Catalog'!$F$56,IF(L838&lt;='Assumptions and Catalog'!$C$57,L838*'Assumptions and Catalog'!$H$57+'Assumptions and Catalog'!$E$57+'Assumptions and Catalog'!$F$57,"Out of range")))))))),IF(L838&lt;='Assumptions and Catalog'!$C$60,L838*'Assumptions and Catalog'!$H$60+'Assumptions and Catalog'!$E$60+'Assumptions and Catalog'!$F$60,IF(L838&lt;='Assumptions and Catalog'!$C$61,L838*'Assumptions and Catalog'!$H$61+'Assumptions and Catalog'!$E$61+'Assumptions and Catalog'!$F$61,IF(L838&lt;='Assumptions and Catalog'!$C$62,L838*'Assumptions and Catalog'!$H$62+'Assumptions and Catalog'!$E$62+'Assumptions and Catalog'!$F$62,IF(L838&lt;='Assumptions and Catalog'!$C$63,L838*'Assumptions and Catalog'!$H$63+'Assumptions and Catalog'!$E$63+'Assumptions and Catalog'!$F$63,IF(L838&lt;='Assumptions and Catalog'!$C$64,L838*'Assumptions and Catalog'!$H$64+'Assumptions and Catalog'!$E$64+'Assumptions and Catalog'!$F$64,IF(L838&lt;='Assumptions and Catalog'!$C$65,L838*'Assumptions and Catalog'!$H$65+'Assumptions and Catalog'!$E$65+'Assumptions and Catalog'!$F$65,"Out of range")))))))))*(1+'Assumptions and Catalog'!$C$8)^(A838-1),0)</f>
        <v>2639.08422107039</v>
      </c>
      <c r="O838" s="5" t="n">
        <f>M838-N838</f>
        <v>4455.70977892961</v>
      </c>
      <c r="P838" s="5" t="n">
        <f>E$55*(1-L$14)*(1-'Assumptions and Catalog'!$C$23)^R838</f>
        <v>9.4450499584</v>
      </c>
      <c r="Q838" s="5" t="n">
        <f>IF(ISNUMBER(Inputs!$L$5),(IF(Inputs!$L$9="Actual flat rate",((D838+E838)*C838-G838)*Inputs!$L$10,IF(Inputs!$C$9="Residential",IF(((D838+E838)*C838-G838)&lt;='Assumptions and Catalog'!$C$50,((D838+E838)*C838-G838)*'Assumptions and Catalog'!$H$50+'Assumptions and Catalog'!$E$50+'Assumptions and Catalog'!$F$50,IF(((D838+E838)*C838-G838)&lt;='Assumptions and Catalog'!$C$51,((D838+E838)*C838-G838)*'Assumptions and Catalog'!$H$51+'Assumptions and Catalog'!$E$51+'Assumptions and Catalog'!$F$51,IF(((D838+E838)*C838-G838)&lt;='Assumptions and Catalog'!$C$52,((D838+E838)*C838-G838)*'Assumptions and Catalog'!$H$52+'Assumptions and Catalog'!$E$52+'Assumptions and Catalog'!$F$52,IF(((D838+E838)*C838-G838)&lt;='Assumptions and Catalog'!$C$53,((D838+E838)*C838-G838)*'Assumptions and Catalog'!$H$53+'Assumptions and Catalog'!$E$53+'Assumptions and Catalog'!$F$53,IF(((D838+E838)*C838-G838)&lt;='Assumptions and Catalog'!$C$54,((D838+E838)*C838-G838)*'Assumptions and Catalog'!$H$54+'Assumptions and Catalog'!$E$54+'Assumptions and Catalog'!$F$54,IF(((D838+E838)*C838-G838)&lt;='Assumptions and Catalog'!$C$55,((D838+E838)*C838-G838)*'Assumptions and Catalog'!$H$55+'Assumptions and Catalog'!$E$55+'Assumptions and Catalog'!$F$55,IF(((D838+E838)*C838-G838)&lt;='Assumptions and Catalog'!$C$56,((D838+E838)*C838-G838)*'Assumptions and Catalog'!$H$56+'Assumptions and Catalog'!$E$56+'Assumptions and Catalog'!$F$56,IF(((D838+E838)*C838-G838)&lt;='Assumptions and Catalog'!$C$57,((D838+E838)*C838-G838)*'Assumptions and Catalog'!$H$57+'Assumptions and Catalog'!$E$57+'Assumptions and Catalog'!$F$57,"Out of range")))))))),IF(((D838+E838)*C838-G838)&lt;='Assumptions and Catalog'!$C$60,((D838+E838)*C838-G838)*'Assumptions and Catalog'!$H$60+'Assumptions and Catalog'!$E$60+'Assumptions and Catalog'!$F$60,IF(((D838+E838)*C838-G838)&lt;='Assumptions and Catalog'!$C$61,((D838+E838)*C838-G838)*'Assumptions and Catalog'!$H$61+'Assumptions and Catalog'!$E$61+'Assumptions and Catalog'!$F$61,IF(((D838+E838)*C838-G838)&lt;='Assumptions and Catalog'!$C$62,((D838+E838)*C838-G838)*'Assumptions and Catalog'!$H$62+'Assumptions and Catalog'!$E$62+'Assumptions and Catalog'!$F$62,IF(((D838+E838)*C838-G838)&lt;='Assumptions and Catalog'!$C$63,((D838+E838)*C838-G838)*'Assumptions and Catalog'!$H$63+'Assumptions and Catalog'!$E$63+'Assumptions and Catalog'!$F$63,IF(((D838+E838)*C838-G838)&lt;='Assumptions and Catalog'!$C$64,((D838+E838)*C838-G838)*'Assumptions and Catalog'!$H$64+'Assumptions and Catalog'!$E$64+'Assumptions and Catalog'!$F$64,IF(((D838+E838)*C838-G838)&lt;='Assumptions and Catalog'!$C$65,((D838+E838)*C838-G838)*'Assumptions and Catalog'!$H$65+'Assumptions and Catalog'!$E$65+'Assumptions and Catalog'!$F$65,"Out of range")))))))))*(1+'Assumptions and Catalog'!$C$8)^(A838-1),0)</f>
        <v>3567.397</v>
      </c>
      <c r="R838" s="5" t="n">
        <f>IF(AND('Assumptions and Catalog'!$C$19&gt;0,A838&gt;='Assumptions and Catalog'!$C$19),A838-'Assumptions and Catalog'!$C$19,A838-1)</f>
        <v>4</v>
      </c>
      <c r="S838" s="5" t="n">
        <f>F838+L838-(D838+E838)*C838-J838-K838-IF(E$52&gt;0,'Assumptions and Catalog'!$C$26*C838,0)</f>
        <v>1.13686837721616E-013</v>
      </c>
      <c r="T838" s="5"/>
      <c r="U838" s="5"/>
    </row>
    <row r="839" ht="23.100000381469727" customHeight="1">
      <c r="A839" s="5" t="n">
        <v>15</v>
      </c>
      <c r="B839" s="5" t="n">
        <v>11</v>
      </c>
      <c r="C839" s="5" t="n">
        <f>DAY(DATE('Assumptions and Catalog'!$C$24+A839-1,B839+1,0))</f>
        <v>30</v>
      </c>
      <c r="D839" s="5" t="n">
        <f>IF(ISNUMBER(Inputs!$L$5),Inputs!$L$5*Inputs!$L$6,0)</f>
        <v>40.35</v>
      </c>
      <c r="E839" s="5" t="n">
        <f>IF(ISNUMBER(Inputs!$L$5),Inputs!$L$5-D839,0)</f>
        <v>40.35</v>
      </c>
      <c r="F839" s="5" t="n">
        <f>E$51*INDEX('Solar Production'!$D$20:$D$31,B839)*C839*(1-'Assumptions and Catalog'!$C$10)^(A839-1)</f>
        <v>1404.56315401961</v>
      </c>
      <c r="G839" s="5" t="n">
        <f>MIN(F839,D839*C839)</f>
        <v>1210.5</v>
      </c>
      <c r="H839" s="5" t="n">
        <f>I839/('Assumptions and Catalog'!$C$11*'Assumptions and Catalog'!$C$12)</f>
        <v>194.063154019608</v>
      </c>
      <c r="I839" s="5" t="n">
        <f>MIN(E839*C839,P839*'Assumptions and Catalog'!$C$12*C839,(F839-G839)*'Assumptions and Catalog'!$C$11*'Assumptions and Catalog'!$C$12,E$56*'Assumptions and Catalog'!$C$14*'Assumptions and Catalog'!$C$11*'Assumptions and Catalog'!$C$12*C839,E$57*(24-'Assumptions and Catalog'!$C$13)*C839)</f>
        <v>184.48128578989</v>
      </c>
      <c r="J839" s="5" t="n">
        <f>MAX(F839-G839-H839,0)</f>
        <v>0</v>
      </c>
      <c r="K839" s="5" t="n">
        <f>H839-I839</f>
        <v>9.58186822971817</v>
      </c>
      <c r="L839" s="5" t="n">
        <f>(D839+E839)*C839-G839-I839+0+IF(E$52&gt;0,'Assumptions and Catalog'!$C$26*C839,0)</f>
        <v>1026.01871421011</v>
      </c>
      <c r="M839" s="5" t="n">
        <f>IF(ISNUMBER(Inputs!$L$5),(IF(Inputs!$L$9="Actual flat rate",((D839+E839)*C839)*Inputs!$L$10,IF(Inputs!$C$9="Residential",IF(((D839+E839)*C839)&lt;='Assumptions and Catalog'!$C$50,((D839+E839)*C839)*'Assumptions and Catalog'!$H$50+'Assumptions and Catalog'!$E$50+'Assumptions and Catalog'!$F$50,IF(((D839+E839)*C839)&lt;='Assumptions and Catalog'!$C$51,((D839+E839)*C839)*'Assumptions and Catalog'!$H$51+'Assumptions and Catalog'!$E$51+'Assumptions and Catalog'!$F$51,IF(((D839+E839)*C839)&lt;='Assumptions and Catalog'!$C$52,((D839+E839)*C839)*'Assumptions and Catalog'!$H$52+'Assumptions and Catalog'!$E$52+'Assumptions and Catalog'!$F$52,IF(((D839+E839)*C839)&lt;='Assumptions and Catalog'!$C$53,((D839+E839)*C839)*'Assumptions and Catalog'!$H$53+'Assumptions and Catalog'!$E$53+'Assumptions and Catalog'!$F$53,IF(((D839+E839)*C839)&lt;='Assumptions and Catalog'!$C$54,((D839+E839)*C839)*'Assumptions and Catalog'!$H$54+'Assumptions and Catalog'!$E$54+'Assumptions and Catalog'!$F$54,IF(((D839+E839)*C839)&lt;='Assumptions and Catalog'!$C$55,((D839+E839)*C839)*'Assumptions and Catalog'!$H$55+'Assumptions and Catalog'!$E$55+'Assumptions and Catalog'!$F$55,IF(((D839+E839)*C839)&lt;='Assumptions and Catalog'!$C$56,((D839+E839)*C839)*'Assumptions and Catalog'!$H$56+'Assumptions and Catalog'!$E$56+'Assumptions and Catalog'!$F$56,IF(((D839+E839)*C839)&lt;='Assumptions and Catalog'!$C$57,((D839+E839)*C839)*'Assumptions and Catalog'!$H$57+'Assumptions and Catalog'!$E$57+'Assumptions and Catalog'!$F$57,"Out of range")))))))),IF(((D839+E839)*C839)&lt;='Assumptions and Catalog'!$C$60,((D839+E839)*C839)*'Assumptions and Catalog'!$H$60+'Assumptions and Catalog'!$E$60+'Assumptions and Catalog'!$F$60,IF(((D839+E839)*C839)&lt;='Assumptions and Catalog'!$C$61,((D839+E839)*C839)*'Assumptions and Catalog'!$H$61+'Assumptions and Catalog'!$E$61+'Assumptions and Catalog'!$F$61,IF(((D839+E839)*C839)&lt;='Assumptions and Catalog'!$C$62,((D839+E839)*C839)*'Assumptions and Catalog'!$H$62+'Assumptions and Catalog'!$E$62+'Assumptions and Catalog'!$F$62,IF(((D839+E839)*C839)&lt;='Assumptions and Catalog'!$C$63,((D839+E839)*C839)*'Assumptions and Catalog'!$H$63+'Assumptions and Catalog'!$E$63+'Assumptions and Catalog'!$F$63,IF(((D839+E839)*C839)&lt;='Assumptions and Catalog'!$C$64,((D839+E839)*C839)*'Assumptions and Catalog'!$H$64+'Assumptions and Catalog'!$E$64+'Assumptions and Catalog'!$F$64,IF(((D839+E839)*C839)&lt;='Assumptions and Catalog'!$C$65,((D839+E839)*C839)*'Assumptions and Catalog'!$H$65+'Assumptions and Catalog'!$E$65+'Assumptions and Catalog'!$F$65,"Out of range")))))))))*(1+'Assumptions and Catalog'!$C$8)^(A839-1),0)</f>
        <v>6867.22</v>
      </c>
      <c r="N839" s="5" t="n">
        <f>IF(ISNUMBER(Inputs!$L$5),(IF(Inputs!$L$9="Actual flat rate",L839*Inputs!$L$10,IF(Inputs!$C$9="Residential",IF(L839&lt;='Assumptions and Catalog'!$C$50,L839*'Assumptions and Catalog'!$H$50+'Assumptions and Catalog'!$E$50+'Assumptions and Catalog'!$F$50,IF(L839&lt;='Assumptions and Catalog'!$C$51,L839*'Assumptions and Catalog'!$H$51+'Assumptions and Catalog'!$E$51+'Assumptions and Catalog'!$F$51,IF(L839&lt;='Assumptions and Catalog'!$C$52,L839*'Assumptions and Catalog'!$H$52+'Assumptions and Catalog'!$E$52+'Assumptions and Catalog'!$F$52,IF(L839&lt;='Assumptions and Catalog'!$C$53,L839*'Assumptions and Catalog'!$H$53+'Assumptions and Catalog'!$E$53+'Assumptions and Catalog'!$F$53,IF(L839&lt;='Assumptions and Catalog'!$C$54,L839*'Assumptions and Catalog'!$H$54+'Assumptions and Catalog'!$E$54+'Assumptions and Catalog'!$F$54,IF(L839&lt;='Assumptions and Catalog'!$C$55,L839*'Assumptions and Catalog'!$H$55+'Assumptions and Catalog'!$E$55+'Assumptions and Catalog'!$F$55,IF(L839&lt;='Assumptions and Catalog'!$C$56,L839*'Assumptions and Catalog'!$H$56+'Assumptions and Catalog'!$E$56+'Assumptions and Catalog'!$F$56,IF(L839&lt;='Assumptions and Catalog'!$C$57,L839*'Assumptions and Catalog'!$H$57+'Assumptions and Catalog'!$E$57+'Assumptions and Catalog'!$F$57,"Out of range")))))))),IF(L839&lt;='Assumptions and Catalog'!$C$60,L839*'Assumptions and Catalog'!$H$60+'Assumptions and Catalog'!$E$60+'Assumptions and Catalog'!$F$60,IF(L839&lt;='Assumptions and Catalog'!$C$61,L839*'Assumptions and Catalog'!$H$61+'Assumptions and Catalog'!$E$61+'Assumptions and Catalog'!$F$61,IF(L839&lt;='Assumptions and Catalog'!$C$62,L839*'Assumptions and Catalog'!$H$62+'Assumptions and Catalog'!$E$62+'Assumptions and Catalog'!$F$62,IF(L839&lt;='Assumptions and Catalog'!$C$63,L839*'Assumptions and Catalog'!$H$63+'Assumptions and Catalog'!$E$63+'Assumptions and Catalog'!$F$63,IF(L839&lt;='Assumptions and Catalog'!$C$64,L839*'Assumptions and Catalog'!$H$64+'Assumptions and Catalog'!$E$64+'Assumptions and Catalog'!$F$64,IF(L839&lt;='Assumptions and Catalog'!$C$65,L839*'Assumptions and Catalog'!$H$65+'Assumptions and Catalog'!$E$65+'Assumptions and Catalog'!$F$65,"Out of range")))))))))*(1+'Assumptions and Catalog'!$C$8)^(A839-1),0)</f>
        <v>2933.37277407251</v>
      </c>
      <c r="O839" s="5" t="n">
        <f>M839-N839</f>
        <v>3933.84722592749</v>
      </c>
      <c r="P839" s="5" t="n">
        <f>E$55*(1-L$14)*(1-'Assumptions and Catalog'!$C$23)^R839</f>
        <v>9.4450499584</v>
      </c>
      <c r="Q839" s="5" t="n">
        <f>IF(ISNUMBER(Inputs!$L$5),(IF(Inputs!$L$9="Actual flat rate",((D839+E839)*C839-G839)*Inputs!$L$10,IF(Inputs!$C$9="Residential",IF(((D839+E839)*C839-G839)&lt;='Assumptions and Catalog'!$C$50,((D839+E839)*C839-G839)*'Assumptions and Catalog'!$H$50+'Assumptions and Catalog'!$E$50+'Assumptions and Catalog'!$F$50,IF(((D839+E839)*C839-G839)&lt;='Assumptions and Catalog'!$C$51,((D839+E839)*C839-G839)*'Assumptions and Catalog'!$H$51+'Assumptions and Catalog'!$E$51+'Assumptions and Catalog'!$F$51,IF(((D839+E839)*C839-G839)&lt;='Assumptions and Catalog'!$C$52,((D839+E839)*C839-G839)*'Assumptions and Catalog'!$H$52+'Assumptions and Catalog'!$E$52+'Assumptions and Catalog'!$F$52,IF(((D839+E839)*C839-G839)&lt;='Assumptions and Catalog'!$C$53,((D839+E839)*C839-G839)*'Assumptions and Catalog'!$H$53+'Assumptions and Catalog'!$E$53+'Assumptions and Catalog'!$F$53,IF(((D839+E839)*C839-G839)&lt;='Assumptions and Catalog'!$C$54,((D839+E839)*C839-G839)*'Assumptions and Catalog'!$H$54+'Assumptions and Catalog'!$E$54+'Assumptions and Catalog'!$F$54,IF(((D839+E839)*C839-G839)&lt;='Assumptions and Catalog'!$C$55,((D839+E839)*C839-G839)*'Assumptions and Catalog'!$H$55+'Assumptions and Catalog'!$E$55+'Assumptions and Catalog'!$F$55,IF(((D839+E839)*C839-G839)&lt;='Assumptions and Catalog'!$C$56,((D839+E839)*C839-G839)*'Assumptions and Catalog'!$H$56+'Assumptions and Catalog'!$E$56+'Assumptions and Catalog'!$F$56,IF(((D839+E839)*C839-G839)&lt;='Assumptions and Catalog'!$C$57,((D839+E839)*C839-G839)*'Assumptions and Catalog'!$H$57+'Assumptions and Catalog'!$E$57+'Assumptions and Catalog'!$F$57,"Out of range")))))))),IF(((D839+E839)*C839-G839)&lt;='Assumptions and Catalog'!$C$60,((D839+E839)*C839-G839)*'Assumptions and Catalog'!$H$60+'Assumptions and Catalog'!$E$60+'Assumptions and Catalog'!$F$60,IF(((D839+E839)*C839-G839)&lt;='Assumptions and Catalog'!$C$61,((D839+E839)*C839-G839)*'Assumptions and Catalog'!$H$61+'Assumptions and Catalog'!$E$61+'Assumptions and Catalog'!$F$61,IF(((D839+E839)*C839-G839)&lt;='Assumptions and Catalog'!$C$62,((D839+E839)*C839-G839)*'Assumptions and Catalog'!$H$62+'Assumptions and Catalog'!$E$62+'Assumptions and Catalog'!$F$62,IF(((D839+E839)*C839-G839)&lt;='Assumptions and Catalog'!$C$63,((D839+E839)*C839-G839)*'Assumptions and Catalog'!$H$63+'Assumptions and Catalog'!$E$63+'Assumptions and Catalog'!$F$63,IF(((D839+E839)*C839-G839)&lt;='Assumptions and Catalog'!$C$64,((D839+E839)*C839-G839)*'Assumptions and Catalog'!$H$64+'Assumptions and Catalog'!$E$64+'Assumptions and Catalog'!$F$64,IF(((D839+E839)*C839-G839)&lt;='Assumptions and Catalog'!$C$65,((D839+E839)*C839-G839)*'Assumptions and Catalog'!$H$65+'Assumptions and Catalog'!$E$65+'Assumptions and Catalog'!$F$65,"Out of range")))))))))*(1+'Assumptions and Catalog'!$C$8)^(A839-1),0)</f>
        <v>3453.61</v>
      </c>
      <c r="R839" s="5" t="n">
        <f>IF(AND('Assumptions and Catalog'!$C$19&gt;0,A839&gt;='Assumptions and Catalog'!$C$19),A839-'Assumptions and Catalog'!$C$19,A839-1)</f>
        <v>4</v>
      </c>
      <c r="S839" s="5" t="n">
        <f>F839+L839-(D839+E839)*C839-J839-K839-IF(E$52&gt;0,'Assumptions and Catalog'!$C$26*C839,0)</f>
        <v>-5.6843418860808E-014</v>
      </c>
      <c r="T839" s="5"/>
      <c r="U839" s="5"/>
    </row>
    <row r="840" ht="23.100000381469727" customHeight="1">
      <c r="A840" s="5" t="n">
        <v>15</v>
      </c>
      <c r="B840" s="5" t="n">
        <v>12</v>
      </c>
      <c r="C840" s="5" t="n">
        <f>DAY(DATE('Assumptions and Catalog'!$C$24+A840-1,B840+1,0))</f>
        <v>31</v>
      </c>
      <c r="D840" s="5" t="n">
        <f>IF(ISNUMBER(Inputs!$L$5),Inputs!$L$5*Inputs!$L$6,0)</f>
        <v>40.35</v>
      </c>
      <c r="E840" s="5" t="n">
        <f>IF(ISNUMBER(Inputs!$L$5),Inputs!$L$5-D840,0)</f>
        <v>40.35</v>
      </c>
      <c r="F840" s="5" t="n">
        <f>E$51*INDEX('Solar Production'!$D$20:$D$31,B840)*C840*(1-'Assumptions and Catalog'!$C$10)^(A840-1)</f>
        <v>1337.19088328946</v>
      </c>
      <c r="G840" s="5" t="n">
        <f>MIN(F840,D840*C840)</f>
        <v>1250.85</v>
      </c>
      <c r="H840" s="5" t="n">
        <f>I840/('Assumptions and Catalog'!$C$11*'Assumptions and Catalog'!$C$12)</f>
        <v>86.340883289457</v>
      </c>
      <c r="I840" s="5" t="n">
        <f>MIN(E840*C840,P840*'Assumptions and Catalog'!$C$12*C840,(F840-G840)*'Assumptions and Catalog'!$C$11*'Assumptions and Catalog'!$C$12,E$56*'Assumptions and Catalog'!$C$14*'Assumptions and Catalog'!$C$11*'Assumptions and Catalog'!$C$12*C840,E$57*(24-'Assumptions and Catalog'!$C$13)*C840)</f>
        <v>82.0778021770401</v>
      </c>
      <c r="J840" s="5" t="n">
        <f>MAX(F840-G840-H840,0)</f>
        <v>0</v>
      </c>
      <c r="K840" s="5" t="n">
        <f>H840-I840</f>
        <v>4.26308111241694</v>
      </c>
      <c r="L840" s="5" t="n">
        <f>(D840+E840)*C840-G840-I840+0+IF(E$52&gt;0,'Assumptions and Catalog'!$C$26*C840,0)</f>
        <v>1168.77219782296</v>
      </c>
      <c r="M840" s="5" t="n">
        <f>IF(ISNUMBER(Inputs!$L$5),(IF(Inputs!$L$9="Actual flat rate",((D840+E840)*C840)*Inputs!$L$10,IF(Inputs!$C$9="Residential",IF(((D840+E840)*C840)&lt;='Assumptions and Catalog'!$C$50,((D840+E840)*C840)*'Assumptions and Catalog'!$H$50+'Assumptions and Catalog'!$E$50+'Assumptions and Catalog'!$F$50,IF(((D840+E840)*C840)&lt;='Assumptions and Catalog'!$C$51,((D840+E840)*C840)*'Assumptions and Catalog'!$H$51+'Assumptions and Catalog'!$E$51+'Assumptions and Catalog'!$F$51,IF(((D840+E840)*C840)&lt;='Assumptions and Catalog'!$C$52,((D840+E840)*C840)*'Assumptions and Catalog'!$H$52+'Assumptions and Catalog'!$E$52+'Assumptions and Catalog'!$F$52,IF(((D840+E840)*C840)&lt;='Assumptions and Catalog'!$C$53,((D840+E840)*C840)*'Assumptions and Catalog'!$H$53+'Assumptions and Catalog'!$E$53+'Assumptions and Catalog'!$F$53,IF(((D840+E840)*C840)&lt;='Assumptions and Catalog'!$C$54,((D840+E840)*C840)*'Assumptions and Catalog'!$H$54+'Assumptions and Catalog'!$E$54+'Assumptions and Catalog'!$F$54,IF(((D840+E840)*C840)&lt;='Assumptions and Catalog'!$C$55,((D840+E840)*C840)*'Assumptions and Catalog'!$H$55+'Assumptions and Catalog'!$E$55+'Assumptions and Catalog'!$F$55,IF(((D840+E840)*C840)&lt;='Assumptions and Catalog'!$C$56,((D840+E840)*C840)*'Assumptions and Catalog'!$H$56+'Assumptions and Catalog'!$E$56+'Assumptions and Catalog'!$F$56,IF(((D840+E840)*C840)&lt;='Assumptions and Catalog'!$C$57,((D840+E840)*C840)*'Assumptions and Catalog'!$H$57+'Assumptions and Catalog'!$E$57+'Assumptions and Catalog'!$F$57,"Out of range")))))))),IF(((D840+E840)*C840)&lt;='Assumptions and Catalog'!$C$60,((D840+E840)*C840)*'Assumptions and Catalog'!$H$60+'Assumptions and Catalog'!$E$60+'Assumptions and Catalog'!$F$60,IF(((D840+E840)*C840)&lt;='Assumptions and Catalog'!$C$61,((D840+E840)*C840)*'Assumptions and Catalog'!$H$61+'Assumptions and Catalog'!$E$61+'Assumptions and Catalog'!$F$61,IF(((D840+E840)*C840)&lt;='Assumptions and Catalog'!$C$62,((D840+E840)*C840)*'Assumptions and Catalog'!$H$62+'Assumptions and Catalog'!$E$62+'Assumptions and Catalog'!$F$62,IF(((D840+E840)*C840)&lt;='Assumptions and Catalog'!$C$63,((D840+E840)*C840)*'Assumptions and Catalog'!$H$63+'Assumptions and Catalog'!$E$63+'Assumptions and Catalog'!$F$63,IF(((D840+E840)*C840)&lt;='Assumptions and Catalog'!$C$64,((D840+E840)*C840)*'Assumptions and Catalog'!$H$64+'Assumptions and Catalog'!$E$64+'Assumptions and Catalog'!$F$64,IF(((D840+E840)*C840)&lt;='Assumptions and Catalog'!$C$65,((D840+E840)*C840)*'Assumptions and Catalog'!$H$65+'Assumptions and Catalog'!$E$65+'Assumptions and Catalog'!$F$65,"Out of range")))))))))*(1+'Assumptions and Catalog'!$C$8)^(A840-1),0)</f>
        <v>7094.794</v>
      </c>
      <c r="N840" s="5" t="n">
        <f>IF(ISNUMBER(Inputs!$L$5),(IF(Inputs!$L$9="Actual flat rate",L840*Inputs!$L$10,IF(Inputs!$C$9="Residential",IF(L840&lt;='Assumptions and Catalog'!$C$50,L840*'Assumptions and Catalog'!$H$50+'Assumptions and Catalog'!$E$50+'Assumptions and Catalog'!$F$50,IF(L840&lt;='Assumptions and Catalog'!$C$51,L840*'Assumptions and Catalog'!$H$51+'Assumptions and Catalog'!$E$51+'Assumptions and Catalog'!$F$51,IF(L840&lt;='Assumptions and Catalog'!$C$52,L840*'Assumptions and Catalog'!$H$52+'Assumptions and Catalog'!$E$52+'Assumptions and Catalog'!$F$52,IF(L840&lt;='Assumptions and Catalog'!$C$53,L840*'Assumptions and Catalog'!$H$53+'Assumptions and Catalog'!$E$53+'Assumptions and Catalog'!$F$53,IF(L840&lt;='Assumptions and Catalog'!$C$54,L840*'Assumptions and Catalog'!$H$54+'Assumptions and Catalog'!$E$54+'Assumptions and Catalog'!$F$54,IF(L840&lt;='Assumptions and Catalog'!$C$55,L840*'Assumptions and Catalog'!$H$55+'Assumptions and Catalog'!$E$55+'Assumptions and Catalog'!$F$55,IF(L840&lt;='Assumptions and Catalog'!$C$56,L840*'Assumptions and Catalog'!$H$56+'Assumptions and Catalog'!$E$56+'Assumptions and Catalog'!$F$56,IF(L840&lt;='Assumptions and Catalog'!$C$57,L840*'Assumptions and Catalog'!$H$57+'Assumptions and Catalog'!$E$57+'Assumptions and Catalog'!$F$57,"Out of range")))))))),IF(L840&lt;='Assumptions and Catalog'!$C$60,L840*'Assumptions and Catalog'!$H$60+'Assumptions and Catalog'!$E$60+'Assumptions and Catalog'!$F$60,IF(L840&lt;='Assumptions and Catalog'!$C$61,L840*'Assumptions and Catalog'!$H$61+'Assumptions and Catalog'!$E$61+'Assumptions and Catalog'!$F$61,IF(L840&lt;='Assumptions and Catalog'!$C$62,L840*'Assumptions and Catalog'!$H$62+'Assumptions and Catalog'!$E$62+'Assumptions and Catalog'!$F$62,IF(L840&lt;='Assumptions and Catalog'!$C$63,L840*'Assumptions and Catalog'!$H$63+'Assumptions and Catalog'!$E$63+'Assumptions and Catalog'!$F$63,IF(L840&lt;='Assumptions and Catalog'!$C$64,L840*'Assumptions and Catalog'!$H$64+'Assumptions and Catalog'!$E$64+'Assumptions and Catalog'!$F$64,IF(L840&lt;='Assumptions and Catalog'!$C$65,L840*'Assumptions and Catalog'!$H$65+'Assumptions and Catalog'!$E$65+'Assumptions and Catalog'!$F$65,"Out of range")))))))))*(1+'Assumptions and Catalog'!$C$8)^(A840-1),0)</f>
        <v>3335.93759786075</v>
      </c>
      <c r="O840" s="5" t="n">
        <f>M840-N840</f>
        <v>3758.85640213925</v>
      </c>
      <c r="P840" s="5" t="n">
        <f>E$55*(1-L$14)*(1-'Assumptions and Catalog'!$C$23)^R840</f>
        <v>9.4450499584</v>
      </c>
      <c r="Q840" s="5" t="n">
        <f>IF(ISNUMBER(Inputs!$L$5),(IF(Inputs!$L$9="Actual flat rate",((D840+E840)*C840-G840)*Inputs!$L$10,IF(Inputs!$C$9="Residential",IF(((D840+E840)*C840-G840)&lt;='Assumptions and Catalog'!$C$50,((D840+E840)*C840-G840)*'Assumptions and Catalog'!$H$50+'Assumptions and Catalog'!$E$50+'Assumptions and Catalog'!$F$50,IF(((D840+E840)*C840-G840)&lt;='Assumptions and Catalog'!$C$51,((D840+E840)*C840-G840)*'Assumptions and Catalog'!$H$51+'Assumptions and Catalog'!$E$51+'Assumptions and Catalog'!$F$51,IF(((D840+E840)*C840-G840)&lt;='Assumptions and Catalog'!$C$52,((D840+E840)*C840-G840)*'Assumptions and Catalog'!$H$52+'Assumptions and Catalog'!$E$52+'Assumptions and Catalog'!$F$52,IF(((D840+E840)*C840-G840)&lt;='Assumptions and Catalog'!$C$53,((D840+E840)*C840-G840)*'Assumptions and Catalog'!$H$53+'Assumptions and Catalog'!$E$53+'Assumptions and Catalog'!$F$53,IF(((D840+E840)*C840-G840)&lt;='Assumptions and Catalog'!$C$54,((D840+E840)*C840-G840)*'Assumptions and Catalog'!$H$54+'Assumptions and Catalog'!$E$54+'Assumptions and Catalog'!$F$54,IF(((D840+E840)*C840-G840)&lt;='Assumptions and Catalog'!$C$55,((D840+E840)*C840-G840)*'Assumptions and Catalog'!$H$55+'Assumptions and Catalog'!$E$55+'Assumptions and Catalog'!$F$55,IF(((D840+E840)*C840-G840)&lt;='Assumptions and Catalog'!$C$56,((D840+E840)*C840-G840)*'Assumptions and Catalog'!$H$56+'Assumptions and Catalog'!$E$56+'Assumptions and Catalog'!$F$56,IF(((D840+E840)*C840-G840)&lt;='Assumptions and Catalog'!$C$57,((D840+E840)*C840-G840)*'Assumptions and Catalog'!$H$57+'Assumptions and Catalog'!$E$57+'Assumptions and Catalog'!$F$57,"Out of range")))))))),IF(((D840+E840)*C840-G840)&lt;='Assumptions and Catalog'!$C$60,((D840+E840)*C840-G840)*'Assumptions and Catalog'!$H$60+'Assumptions and Catalog'!$E$60+'Assumptions and Catalog'!$F$60,IF(((D840+E840)*C840-G840)&lt;='Assumptions and Catalog'!$C$61,((D840+E840)*C840-G840)*'Assumptions and Catalog'!$H$61+'Assumptions and Catalog'!$E$61+'Assumptions and Catalog'!$F$61,IF(((D840+E840)*C840-G840)&lt;='Assumptions and Catalog'!$C$62,((D840+E840)*C840-G840)*'Assumptions and Catalog'!$H$62+'Assumptions and Catalog'!$E$62+'Assumptions and Catalog'!$F$62,IF(((D840+E840)*C840-G840)&lt;='Assumptions and Catalog'!$C$63,((D840+E840)*C840-G840)*'Assumptions and Catalog'!$H$63+'Assumptions and Catalog'!$E$63+'Assumptions and Catalog'!$F$63,IF(((D840+E840)*C840-G840)&lt;='Assumptions and Catalog'!$C$64,((D840+E840)*C840-G840)*'Assumptions and Catalog'!$H$64+'Assumptions and Catalog'!$E$64+'Assumptions and Catalog'!$F$64,IF(((D840+E840)*C840-G840)&lt;='Assumptions and Catalog'!$C$65,((D840+E840)*C840-G840)*'Assumptions and Catalog'!$H$65+'Assumptions and Catalog'!$E$65+'Assumptions and Catalog'!$F$65,"Out of range")))))))))*(1+'Assumptions and Catalog'!$C$8)^(A840-1),0)</f>
        <v>3567.397</v>
      </c>
      <c r="R840" s="5" t="n">
        <f>IF(AND('Assumptions and Catalog'!$C$19&gt;0,A840&gt;='Assumptions and Catalog'!$C$19),A840-'Assumptions and Catalog'!$C$19,A840-1)</f>
        <v>4</v>
      </c>
      <c r="S840" s="5" t="n">
        <f>F840+L840-(D840+E840)*C840-J840-K840-IF(E$52&gt;0,'Assumptions and Catalog'!$C$26*C840,0)</f>
        <v>-1.56319401867222E-013</v>
      </c>
      <c r="T840" s="5"/>
      <c r="U840" s="5"/>
    </row>
    <row r="841" ht="23.100000381469727" customHeight="1">
      <c r="A841" s="5" t="n">
        <v>16</v>
      </c>
      <c r="B841" s="5" t="n">
        <v>1</v>
      </c>
      <c r="C841" s="5" t="n">
        <f>DAY(DATE('Assumptions and Catalog'!$C$24+A841-1,B841+1,0))</f>
        <v>31</v>
      </c>
      <c r="D841" s="5" t="n">
        <f>IF(ISNUMBER(Inputs!$L$5),Inputs!$L$5*Inputs!$L$6,0)</f>
        <v>40.35</v>
      </c>
      <c r="E841" s="5" t="n">
        <f>IF(ISNUMBER(Inputs!$L$5),Inputs!$L$5-D841,0)</f>
        <v>40.35</v>
      </c>
      <c r="F841" s="5" t="n">
        <f>E$51*INDEX('Solar Production'!$D$20:$D$31,B841)*C841*(1-'Assumptions and Catalog'!$C$10)^(A841-1)</f>
        <v>1339.68786166431</v>
      </c>
      <c r="G841" s="5" t="n">
        <f>MIN(F841,D841*C841)</f>
        <v>1250.85</v>
      </c>
      <c r="H841" s="5" t="n">
        <f>I841/('Assumptions and Catalog'!$C$11*'Assumptions and Catalog'!$C$12)</f>
        <v>88.8378616643111</v>
      </c>
      <c r="I841" s="5" t="n">
        <f>MIN(E841*C841,P841*'Assumptions and Catalog'!$C$12*C841,(F841-G841)*'Assumptions and Catalog'!$C$11*'Assumptions and Catalog'!$C$12,E$56*'Assumptions and Catalog'!$C$14*'Assumptions and Catalog'!$C$11*'Assumptions and Catalog'!$C$12*C841,E$57*(24-'Assumptions and Catalog'!$C$13)*C841)</f>
        <v>84.4514922446357</v>
      </c>
      <c r="J841" s="5" t="n">
        <f>MAX(F841-G841-H841,0)</f>
        <v>0</v>
      </c>
      <c r="K841" s="5" t="n">
        <f>H841-I841</f>
        <v>4.38636941967536</v>
      </c>
      <c r="L841" s="5" t="n">
        <f>(D841+E841)*C841-G841-I841+0+IF(E$52&gt;0,'Assumptions and Catalog'!$C$26*C841,0)</f>
        <v>1166.39850775536</v>
      </c>
      <c r="M841" s="5" t="n">
        <f>IF(ISNUMBER(Inputs!$L$5),(IF(Inputs!$L$9="Actual flat rate",((D841+E841)*C841)*Inputs!$L$10,IF(Inputs!$C$9="Residential",IF(((D841+E841)*C841)&lt;='Assumptions and Catalog'!$C$50,((D841+E841)*C841)*'Assumptions and Catalog'!$H$50+'Assumptions and Catalog'!$E$50+'Assumptions and Catalog'!$F$50,IF(((D841+E841)*C841)&lt;='Assumptions and Catalog'!$C$51,((D841+E841)*C841)*'Assumptions and Catalog'!$H$51+'Assumptions and Catalog'!$E$51+'Assumptions and Catalog'!$F$51,IF(((D841+E841)*C841)&lt;='Assumptions and Catalog'!$C$52,((D841+E841)*C841)*'Assumptions and Catalog'!$H$52+'Assumptions and Catalog'!$E$52+'Assumptions and Catalog'!$F$52,IF(((D841+E841)*C841)&lt;='Assumptions and Catalog'!$C$53,((D841+E841)*C841)*'Assumptions and Catalog'!$H$53+'Assumptions and Catalog'!$E$53+'Assumptions and Catalog'!$F$53,IF(((D841+E841)*C841)&lt;='Assumptions and Catalog'!$C$54,((D841+E841)*C841)*'Assumptions and Catalog'!$H$54+'Assumptions and Catalog'!$E$54+'Assumptions and Catalog'!$F$54,IF(((D841+E841)*C841)&lt;='Assumptions and Catalog'!$C$55,((D841+E841)*C841)*'Assumptions and Catalog'!$H$55+'Assumptions and Catalog'!$E$55+'Assumptions and Catalog'!$F$55,IF(((D841+E841)*C841)&lt;='Assumptions and Catalog'!$C$56,((D841+E841)*C841)*'Assumptions and Catalog'!$H$56+'Assumptions and Catalog'!$E$56+'Assumptions and Catalog'!$F$56,IF(((D841+E841)*C841)&lt;='Assumptions and Catalog'!$C$57,((D841+E841)*C841)*'Assumptions and Catalog'!$H$57+'Assumptions and Catalog'!$E$57+'Assumptions and Catalog'!$F$57,"Out of range")))))))),IF(((D841+E841)*C841)&lt;='Assumptions and Catalog'!$C$60,((D841+E841)*C841)*'Assumptions and Catalog'!$H$60+'Assumptions and Catalog'!$E$60+'Assumptions and Catalog'!$F$60,IF(((D841+E841)*C841)&lt;='Assumptions and Catalog'!$C$61,((D841+E841)*C841)*'Assumptions and Catalog'!$H$61+'Assumptions and Catalog'!$E$61+'Assumptions and Catalog'!$F$61,IF(((D841+E841)*C841)&lt;='Assumptions and Catalog'!$C$62,((D841+E841)*C841)*'Assumptions and Catalog'!$H$62+'Assumptions and Catalog'!$E$62+'Assumptions and Catalog'!$F$62,IF(((D841+E841)*C841)&lt;='Assumptions and Catalog'!$C$63,((D841+E841)*C841)*'Assumptions and Catalog'!$H$63+'Assumptions and Catalog'!$E$63+'Assumptions and Catalog'!$F$63,IF(((D841+E841)*C841)&lt;='Assumptions and Catalog'!$C$64,((D841+E841)*C841)*'Assumptions and Catalog'!$H$64+'Assumptions and Catalog'!$E$64+'Assumptions and Catalog'!$F$64,IF(((D841+E841)*C841)&lt;='Assumptions and Catalog'!$C$65,((D841+E841)*C841)*'Assumptions and Catalog'!$H$65+'Assumptions and Catalog'!$E$65+'Assumptions and Catalog'!$F$65,"Out of range")))))))))*(1+'Assumptions and Catalog'!$C$8)^(A841-1),0)</f>
        <v>7094.794</v>
      </c>
      <c r="N841" s="5" t="n">
        <f>IF(ISNUMBER(Inputs!$L$5),(IF(Inputs!$L$9="Actual flat rate",L841*Inputs!$L$10,IF(Inputs!$C$9="Residential",IF(L841&lt;='Assumptions and Catalog'!$C$50,L841*'Assumptions and Catalog'!$H$50+'Assumptions and Catalog'!$E$50+'Assumptions and Catalog'!$F$50,IF(L841&lt;='Assumptions and Catalog'!$C$51,L841*'Assumptions and Catalog'!$H$51+'Assumptions and Catalog'!$E$51+'Assumptions and Catalog'!$F$51,IF(L841&lt;='Assumptions and Catalog'!$C$52,L841*'Assumptions and Catalog'!$H$52+'Assumptions and Catalog'!$E$52+'Assumptions and Catalog'!$F$52,IF(L841&lt;='Assumptions and Catalog'!$C$53,L841*'Assumptions and Catalog'!$H$53+'Assumptions and Catalog'!$E$53+'Assumptions and Catalog'!$F$53,IF(L841&lt;='Assumptions and Catalog'!$C$54,L841*'Assumptions and Catalog'!$H$54+'Assumptions and Catalog'!$E$54+'Assumptions and Catalog'!$F$54,IF(L841&lt;='Assumptions and Catalog'!$C$55,L841*'Assumptions and Catalog'!$H$55+'Assumptions and Catalog'!$E$55+'Assumptions and Catalog'!$F$55,IF(L841&lt;='Assumptions and Catalog'!$C$56,L841*'Assumptions and Catalog'!$H$56+'Assumptions and Catalog'!$E$56+'Assumptions and Catalog'!$F$56,IF(L841&lt;='Assumptions and Catalog'!$C$57,L841*'Assumptions and Catalog'!$H$57+'Assumptions and Catalog'!$E$57+'Assumptions and Catalog'!$F$57,"Out of range")))))))),IF(L841&lt;='Assumptions and Catalog'!$C$60,L841*'Assumptions and Catalog'!$H$60+'Assumptions and Catalog'!$E$60+'Assumptions and Catalog'!$F$60,IF(L841&lt;='Assumptions and Catalog'!$C$61,L841*'Assumptions and Catalog'!$H$61+'Assumptions and Catalog'!$E$61+'Assumptions and Catalog'!$F$61,IF(L841&lt;='Assumptions and Catalog'!$C$62,L841*'Assumptions and Catalog'!$H$62+'Assumptions and Catalog'!$E$62+'Assumptions and Catalog'!$F$62,IF(L841&lt;='Assumptions and Catalog'!$C$63,L841*'Assumptions and Catalog'!$H$63+'Assumptions and Catalog'!$E$63+'Assumptions and Catalog'!$F$63,IF(L841&lt;='Assumptions and Catalog'!$C$64,L841*'Assumptions and Catalog'!$H$64+'Assumptions and Catalog'!$E$64+'Assumptions and Catalog'!$F$64,IF(L841&lt;='Assumptions and Catalog'!$C$65,L841*'Assumptions and Catalog'!$H$65+'Assumptions and Catalog'!$E$65+'Assumptions and Catalog'!$F$65,"Out of range")))))))))*(1+'Assumptions and Catalog'!$C$8)^(A841-1),0)</f>
        <v>3329.24379187013</v>
      </c>
      <c r="O841" s="5" t="n">
        <f>M841-N841</f>
        <v>3765.55020812987</v>
      </c>
      <c r="P841" s="5" t="n">
        <f>E$55*(1-L$14)*(1-'Assumptions and Catalog'!$C$23)^R841</f>
        <v>9.256148959232</v>
      </c>
      <c r="Q841" s="5" t="n">
        <f>IF(ISNUMBER(Inputs!$L$5),(IF(Inputs!$L$9="Actual flat rate",((D841+E841)*C841-G841)*Inputs!$L$10,IF(Inputs!$C$9="Residential",IF(((D841+E841)*C841-G841)&lt;='Assumptions and Catalog'!$C$50,((D841+E841)*C841-G841)*'Assumptions and Catalog'!$H$50+'Assumptions and Catalog'!$E$50+'Assumptions and Catalog'!$F$50,IF(((D841+E841)*C841-G841)&lt;='Assumptions and Catalog'!$C$51,((D841+E841)*C841-G841)*'Assumptions and Catalog'!$H$51+'Assumptions and Catalog'!$E$51+'Assumptions and Catalog'!$F$51,IF(((D841+E841)*C841-G841)&lt;='Assumptions and Catalog'!$C$52,((D841+E841)*C841-G841)*'Assumptions and Catalog'!$H$52+'Assumptions and Catalog'!$E$52+'Assumptions and Catalog'!$F$52,IF(((D841+E841)*C841-G841)&lt;='Assumptions and Catalog'!$C$53,((D841+E841)*C841-G841)*'Assumptions and Catalog'!$H$53+'Assumptions and Catalog'!$E$53+'Assumptions and Catalog'!$F$53,IF(((D841+E841)*C841-G841)&lt;='Assumptions and Catalog'!$C$54,((D841+E841)*C841-G841)*'Assumptions and Catalog'!$H$54+'Assumptions and Catalog'!$E$54+'Assumptions and Catalog'!$F$54,IF(((D841+E841)*C841-G841)&lt;='Assumptions and Catalog'!$C$55,((D841+E841)*C841-G841)*'Assumptions and Catalog'!$H$55+'Assumptions and Catalog'!$E$55+'Assumptions and Catalog'!$F$55,IF(((D841+E841)*C841-G841)&lt;='Assumptions and Catalog'!$C$56,((D841+E841)*C841-G841)*'Assumptions and Catalog'!$H$56+'Assumptions and Catalog'!$E$56+'Assumptions and Catalog'!$F$56,IF(((D841+E841)*C841-G841)&lt;='Assumptions and Catalog'!$C$57,((D841+E841)*C841-G841)*'Assumptions and Catalog'!$H$57+'Assumptions and Catalog'!$E$57+'Assumptions and Catalog'!$F$57,"Out of range")))))))),IF(((D841+E841)*C841-G841)&lt;='Assumptions and Catalog'!$C$60,((D841+E841)*C841-G841)*'Assumptions and Catalog'!$H$60+'Assumptions and Catalog'!$E$60+'Assumptions and Catalog'!$F$60,IF(((D841+E841)*C841-G841)&lt;='Assumptions and Catalog'!$C$61,((D841+E841)*C841-G841)*'Assumptions and Catalog'!$H$61+'Assumptions and Catalog'!$E$61+'Assumptions and Catalog'!$F$61,IF(((D841+E841)*C841-G841)&lt;='Assumptions and Catalog'!$C$62,((D841+E841)*C841-G841)*'Assumptions and Catalog'!$H$62+'Assumptions and Catalog'!$E$62+'Assumptions and Catalog'!$F$62,IF(((D841+E841)*C841-G841)&lt;='Assumptions and Catalog'!$C$63,((D841+E841)*C841-G841)*'Assumptions and Catalog'!$H$63+'Assumptions and Catalog'!$E$63+'Assumptions and Catalog'!$F$63,IF(((D841+E841)*C841-G841)&lt;='Assumptions and Catalog'!$C$64,((D841+E841)*C841-G841)*'Assumptions and Catalog'!$H$64+'Assumptions and Catalog'!$E$64+'Assumptions and Catalog'!$F$64,IF(((D841+E841)*C841-G841)&lt;='Assumptions and Catalog'!$C$65,((D841+E841)*C841-G841)*'Assumptions and Catalog'!$H$65+'Assumptions and Catalog'!$E$65+'Assumptions and Catalog'!$F$65,"Out of range")))))))))*(1+'Assumptions and Catalog'!$C$8)^(A841-1),0)</f>
        <v>3567.397</v>
      </c>
      <c r="R841" s="5" t="n">
        <f>IF(AND('Assumptions and Catalog'!$C$19&gt;0,A841&gt;='Assumptions and Catalog'!$C$19),A841-'Assumptions and Catalog'!$C$19,A841-1)</f>
        <v>5</v>
      </c>
      <c r="S841" s="5" t="n">
        <f>F841+L841-(D841+E841)*C841-J841-K841-IF(E$52&gt;0,'Assumptions and Catalog'!$C$26*C841,0)</f>
        <v>-1.13686837721616E-013</v>
      </c>
      <c r="T841" s="5"/>
      <c r="U841" s="5"/>
    </row>
    <row r="842" ht="23.100000381469727" customHeight="1">
      <c r="A842" s="5" t="n">
        <v>16</v>
      </c>
      <c r="B842" s="5" t="n">
        <v>2</v>
      </c>
      <c r="C842" s="5" t="n">
        <f>DAY(DATE('Assumptions and Catalog'!$C$24+A842-1,B842+1,0))</f>
        <v>28</v>
      </c>
      <c r="D842" s="5" t="n">
        <f>IF(ISNUMBER(Inputs!$L$5),Inputs!$L$5*Inputs!$L$6,0)</f>
        <v>40.35</v>
      </c>
      <c r="E842" s="5" t="n">
        <f>IF(ISNUMBER(Inputs!$L$5),Inputs!$L$5-D842,0)</f>
        <v>40.35</v>
      </c>
      <c r="F842" s="5" t="n">
        <f>E$51*INDEX('Solar Production'!$D$20:$D$31,B842)*C842*(1-'Assumptions and Catalog'!$C$10)^(A842-1)</f>
        <v>1320.81183314886</v>
      </c>
      <c r="G842" s="5" t="n">
        <f>MIN(F842,D842*C842)</f>
        <v>1129.8</v>
      </c>
      <c r="H842" s="5" t="n">
        <f>I842/('Assumptions and Catalog'!$C$11*'Assumptions and Catalog'!$C$12)</f>
        <v>191.011833148858</v>
      </c>
      <c r="I842" s="5" t="n">
        <f>MIN(E842*C842,P842*'Assumptions and Catalog'!$C$12*C842,(F842-G842)*'Assumptions and Catalog'!$C$11*'Assumptions and Catalog'!$C$12,E$56*'Assumptions and Catalog'!$C$14*'Assumptions and Catalog'!$C$11*'Assumptions and Catalog'!$C$12*C842,E$57*(24-'Assumptions and Catalog'!$C$13)*C842)</f>
        <v>181.580623887133</v>
      </c>
      <c r="J842" s="5" t="n">
        <f>MAX(F842-G842-H842,0)</f>
        <v>0</v>
      </c>
      <c r="K842" s="5" t="n">
        <f>H842-I842</f>
        <v>9.43120926172486</v>
      </c>
      <c r="L842" s="5" t="n">
        <f>(D842+E842)*C842-G842-I842+0+IF(E$52&gt;0,'Assumptions and Catalog'!$C$26*C842,0)</f>
        <v>948.219376112867</v>
      </c>
      <c r="M842" s="5" t="n">
        <f>IF(ISNUMBER(Inputs!$L$5),(IF(Inputs!$L$9="Actual flat rate",((D842+E842)*C842)*Inputs!$L$10,IF(Inputs!$C$9="Residential",IF(((D842+E842)*C842)&lt;='Assumptions and Catalog'!$C$50,((D842+E842)*C842)*'Assumptions and Catalog'!$H$50+'Assumptions and Catalog'!$E$50+'Assumptions and Catalog'!$F$50,IF(((D842+E842)*C842)&lt;='Assumptions and Catalog'!$C$51,((D842+E842)*C842)*'Assumptions and Catalog'!$H$51+'Assumptions and Catalog'!$E$51+'Assumptions and Catalog'!$F$51,IF(((D842+E842)*C842)&lt;='Assumptions and Catalog'!$C$52,((D842+E842)*C842)*'Assumptions and Catalog'!$H$52+'Assumptions and Catalog'!$E$52+'Assumptions and Catalog'!$F$52,IF(((D842+E842)*C842)&lt;='Assumptions and Catalog'!$C$53,((D842+E842)*C842)*'Assumptions and Catalog'!$H$53+'Assumptions and Catalog'!$E$53+'Assumptions and Catalog'!$F$53,IF(((D842+E842)*C842)&lt;='Assumptions and Catalog'!$C$54,((D842+E842)*C842)*'Assumptions and Catalog'!$H$54+'Assumptions and Catalog'!$E$54+'Assumptions and Catalog'!$F$54,IF(((D842+E842)*C842)&lt;='Assumptions and Catalog'!$C$55,((D842+E842)*C842)*'Assumptions and Catalog'!$H$55+'Assumptions and Catalog'!$E$55+'Assumptions and Catalog'!$F$55,IF(((D842+E842)*C842)&lt;='Assumptions and Catalog'!$C$56,((D842+E842)*C842)*'Assumptions and Catalog'!$H$56+'Assumptions and Catalog'!$E$56+'Assumptions and Catalog'!$F$56,IF(((D842+E842)*C842)&lt;='Assumptions and Catalog'!$C$57,((D842+E842)*C842)*'Assumptions and Catalog'!$H$57+'Assumptions and Catalog'!$E$57+'Assumptions and Catalog'!$F$57,"Out of range")))))))),IF(((D842+E842)*C842)&lt;='Assumptions and Catalog'!$C$60,((D842+E842)*C842)*'Assumptions and Catalog'!$H$60+'Assumptions and Catalog'!$E$60+'Assumptions and Catalog'!$F$60,IF(((D842+E842)*C842)&lt;='Assumptions and Catalog'!$C$61,((D842+E842)*C842)*'Assumptions and Catalog'!$H$61+'Assumptions and Catalog'!$E$61+'Assumptions and Catalog'!$F$61,IF(((D842+E842)*C842)&lt;='Assumptions and Catalog'!$C$62,((D842+E842)*C842)*'Assumptions and Catalog'!$H$62+'Assumptions and Catalog'!$E$62+'Assumptions and Catalog'!$F$62,IF(((D842+E842)*C842)&lt;='Assumptions and Catalog'!$C$63,((D842+E842)*C842)*'Assumptions and Catalog'!$H$63+'Assumptions and Catalog'!$E$63+'Assumptions and Catalog'!$F$63,IF(((D842+E842)*C842)&lt;='Assumptions and Catalog'!$C$64,((D842+E842)*C842)*'Assumptions and Catalog'!$H$64+'Assumptions and Catalog'!$E$64+'Assumptions and Catalog'!$F$64,IF(((D842+E842)*C842)&lt;='Assumptions and Catalog'!$C$65,((D842+E842)*C842)*'Assumptions and Catalog'!$H$65+'Assumptions and Catalog'!$E$65+'Assumptions and Catalog'!$F$65,"Out of range")))))))))*(1+'Assumptions and Catalog'!$C$8)^(A842-1),0)</f>
        <v>6412.072</v>
      </c>
      <c r="N842" s="5" t="n">
        <f>IF(ISNUMBER(Inputs!$L$5),(IF(Inputs!$L$9="Actual flat rate",L842*Inputs!$L$10,IF(Inputs!$C$9="Residential",IF(L842&lt;='Assumptions and Catalog'!$C$50,L842*'Assumptions and Catalog'!$H$50+'Assumptions and Catalog'!$E$50+'Assumptions and Catalog'!$F$50,IF(L842&lt;='Assumptions and Catalog'!$C$51,L842*'Assumptions and Catalog'!$H$51+'Assumptions and Catalog'!$E$51+'Assumptions and Catalog'!$F$51,IF(L842&lt;='Assumptions and Catalog'!$C$52,L842*'Assumptions and Catalog'!$H$52+'Assumptions and Catalog'!$E$52+'Assumptions and Catalog'!$F$52,IF(L842&lt;='Assumptions and Catalog'!$C$53,L842*'Assumptions and Catalog'!$H$53+'Assumptions and Catalog'!$E$53+'Assumptions and Catalog'!$F$53,IF(L842&lt;='Assumptions and Catalog'!$C$54,L842*'Assumptions and Catalog'!$H$54+'Assumptions and Catalog'!$E$54+'Assumptions and Catalog'!$F$54,IF(L842&lt;='Assumptions and Catalog'!$C$55,L842*'Assumptions and Catalog'!$H$55+'Assumptions and Catalog'!$E$55+'Assumptions and Catalog'!$F$55,IF(L842&lt;='Assumptions and Catalog'!$C$56,L842*'Assumptions and Catalog'!$H$56+'Assumptions and Catalog'!$E$56+'Assumptions and Catalog'!$F$56,IF(L842&lt;='Assumptions and Catalog'!$C$57,L842*'Assumptions and Catalog'!$H$57+'Assumptions and Catalog'!$E$57+'Assumptions and Catalog'!$F$57,"Out of range")))))))),IF(L842&lt;='Assumptions and Catalog'!$C$60,L842*'Assumptions and Catalog'!$H$60+'Assumptions and Catalog'!$E$60+'Assumptions and Catalog'!$F$60,IF(L842&lt;='Assumptions and Catalog'!$C$61,L842*'Assumptions and Catalog'!$H$61+'Assumptions and Catalog'!$E$61+'Assumptions and Catalog'!$F$61,IF(L842&lt;='Assumptions and Catalog'!$C$62,L842*'Assumptions and Catalog'!$H$62+'Assumptions and Catalog'!$E$62+'Assumptions and Catalog'!$F$62,IF(L842&lt;='Assumptions and Catalog'!$C$63,L842*'Assumptions and Catalog'!$H$63+'Assumptions and Catalog'!$E$63+'Assumptions and Catalog'!$F$63,IF(L842&lt;='Assumptions and Catalog'!$C$64,L842*'Assumptions and Catalog'!$H$64+'Assumptions and Catalog'!$E$64+'Assumptions and Catalog'!$F$64,IF(L842&lt;='Assumptions and Catalog'!$C$65,L842*'Assumptions and Catalog'!$H$65+'Assumptions and Catalog'!$E$65+'Assumptions and Catalog'!$F$65,"Out of range")))))))))*(1+'Assumptions and Catalog'!$C$8)^(A842-1),0)</f>
        <v>2591.56767183264</v>
      </c>
      <c r="O842" s="5" t="n">
        <f>M842-N842</f>
        <v>3820.50432816736</v>
      </c>
      <c r="P842" s="5" t="n">
        <f>E$55*(1-L$14)*(1-'Assumptions and Catalog'!$C$23)^R842</f>
        <v>9.256148959232</v>
      </c>
      <c r="Q842" s="5" t="n">
        <f>IF(ISNUMBER(Inputs!$L$5),(IF(Inputs!$L$9="Actual flat rate",((D842+E842)*C842-G842)*Inputs!$L$10,IF(Inputs!$C$9="Residential",IF(((D842+E842)*C842-G842)&lt;='Assumptions and Catalog'!$C$50,((D842+E842)*C842-G842)*'Assumptions and Catalog'!$H$50+'Assumptions and Catalog'!$E$50+'Assumptions and Catalog'!$F$50,IF(((D842+E842)*C842-G842)&lt;='Assumptions and Catalog'!$C$51,((D842+E842)*C842-G842)*'Assumptions and Catalog'!$H$51+'Assumptions and Catalog'!$E$51+'Assumptions and Catalog'!$F$51,IF(((D842+E842)*C842-G842)&lt;='Assumptions and Catalog'!$C$52,((D842+E842)*C842-G842)*'Assumptions and Catalog'!$H$52+'Assumptions and Catalog'!$E$52+'Assumptions and Catalog'!$F$52,IF(((D842+E842)*C842-G842)&lt;='Assumptions and Catalog'!$C$53,((D842+E842)*C842-G842)*'Assumptions and Catalog'!$H$53+'Assumptions and Catalog'!$E$53+'Assumptions and Catalog'!$F$53,IF(((D842+E842)*C842-G842)&lt;='Assumptions and Catalog'!$C$54,((D842+E842)*C842-G842)*'Assumptions and Catalog'!$H$54+'Assumptions and Catalog'!$E$54+'Assumptions and Catalog'!$F$54,IF(((D842+E842)*C842-G842)&lt;='Assumptions and Catalog'!$C$55,((D842+E842)*C842-G842)*'Assumptions and Catalog'!$H$55+'Assumptions and Catalog'!$E$55+'Assumptions and Catalog'!$F$55,IF(((D842+E842)*C842-G842)&lt;='Assumptions and Catalog'!$C$56,((D842+E842)*C842-G842)*'Assumptions and Catalog'!$H$56+'Assumptions and Catalog'!$E$56+'Assumptions and Catalog'!$F$56,IF(((D842+E842)*C842-G842)&lt;='Assumptions and Catalog'!$C$57,((D842+E842)*C842-G842)*'Assumptions and Catalog'!$H$57+'Assumptions and Catalog'!$E$57+'Assumptions and Catalog'!$F$57,"Out of range")))))))),IF(((D842+E842)*C842-G842)&lt;='Assumptions and Catalog'!$C$60,((D842+E842)*C842-G842)*'Assumptions and Catalog'!$H$60+'Assumptions and Catalog'!$E$60+'Assumptions and Catalog'!$F$60,IF(((D842+E842)*C842-G842)&lt;='Assumptions and Catalog'!$C$61,((D842+E842)*C842-G842)*'Assumptions and Catalog'!$H$61+'Assumptions and Catalog'!$E$61+'Assumptions and Catalog'!$F$61,IF(((D842+E842)*C842-G842)&lt;='Assumptions and Catalog'!$C$62,((D842+E842)*C842-G842)*'Assumptions and Catalog'!$H$62+'Assumptions and Catalog'!$E$62+'Assumptions and Catalog'!$F$62,IF(((D842+E842)*C842-G842)&lt;='Assumptions and Catalog'!$C$63,((D842+E842)*C842-G842)*'Assumptions and Catalog'!$H$63+'Assumptions and Catalog'!$E$63+'Assumptions and Catalog'!$F$63,IF(((D842+E842)*C842-G842)&lt;='Assumptions and Catalog'!$C$64,((D842+E842)*C842-G842)*'Assumptions and Catalog'!$H$64+'Assumptions and Catalog'!$E$64+'Assumptions and Catalog'!$F$64,IF(((D842+E842)*C842-G842)&lt;='Assumptions and Catalog'!$C$65,((D842+E842)*C842-G842)*'Assumptions and Catalog'!$H$65+'Assumptions and Catalog'!$E$65+'Assumptions and Catalog'!$F$65,"Out of range")))))))))*(1+'Assumptions and Catalog'!$C$8)^(A842-1),0)</f>
        <v>3226.036</v>
      </c>
      <c r="R842" s="5" t="n">
        <f>IF(AND('Assumptions and Catalog'!$C$19&gt;0,A842&gt;='Assumptions and Catalog'!$C$19),A842-'Assumptions and Catalog'!$C$19,A842-1)</f>
        <v>5</v>
      </c>
      <c r="S842" s="5" t="n">
        <f>F842+L842-(D842+E842)*C842-J842-K842-IF(E$52&gt;0,'Assumptions and Catalog'!$C$26*C842,0)</f>
        <v>2.8421709430404E-013</v>
      </c>
      <c r="T842" s="5"/>
      <c r="U842" s="5"/>
    </row>
    <row r="843" ht="23.100000381469727" customHeight="1">
      <c r="A843" s="5" t="n">
        <v>16</v>
      </c>
      <c r="B843" s="5" t="n">
        <v>3</v>
      </c>
      <c r="C843" s="5" t="n">
        <f>DAY(DATE('Assumptions and Catalog'!$C$24+A843-1,B843+1,0))</f>
        <v>31</v>
      </c>
      <c r="D843" s="5" t="n">
        <f>IF(ISNUMBER(Inputs!$L$5),Inputs!$L$5*Inputs!$L$6,0)</f>
        <v>40.35</v>
      </c>
      <c r="E843" s="5" t="n">
        <f>IF(ISNUMBER(Inputs!$L$5),Inputs!$L$5-D843,0)</f>
        <v>40.35</v>
      </c>
      <c r="F843" s="5" t="n">
        <f>E$51*INDEX('Solar Production'!$D$20:$D$31,B843)*C843*(1-'Assumptions and Catalog'!$C$10)^(A843-1)</f>
        <v>1643.33683929668</v>
      </c>
      <c r="G843" s="5" t="n">
        <f>MIN(F843,D843*C843)</f>
        <v>1250.85</v>
      </c>
      <c r="H843" s="5" t="n">
        <f>I843/('Assumptions and Catalog'!$C$11*'Assumptions and Catalog'!$C$12)</f>
        <v>294.298069473018</v>
      </c>
      <c r="I843" s="5" t="n">
        <f>MIN(E843*C843,P843*'Assumptions and Catalog'!$C$12*C843,(F843-G843)*'Assumptions and Catalog'!$C$11*'Assumptions and Catalog'!$C$12,E$56*'Assumptions and Catalog'!$C$14*'Assumptions and Catalog'!$C$11*'Assumptions and Catalog'!$C$12*C843,E$57*(24-'Assumptions and Catalog'!$C$13)*C843)</f>
        <v>279.767102292787</v>
      </c>
      <c r="J843" s="5" t="n">
        <f>MAX(F843-G843-H843,0)</f>
        <v>98.188769823661</v>
      </c>
      <c r="K843" s="5" t="n">
        <f>H843-I843</f>
        <v>14.5309671802303</v>
      </c>
      <c r="L843" s="5" t="n">
        <f>(D843+E843)*C843-G843-I843+0+IF(E$52&gt;0,'Assumptions and Catalog'!$C$26*C843,0)</f>
        <v>971.082897707213</v>
      </c>
      <c r="M843" s="5" t="n">
        <f>IF(ISNUMBER(Inputs!$L$5),(IF(Inputs!$L$9="Actual flat rate",((D843+E843)*C843)*Inputs!$L$10,IF(Inputs!$C$9="Residential",IF(((D843+E843)*C843)&lt;='Assumptions and Catalog'!$C$50,((D843+E843)*C843)*'Assumptions and Catalog'!$H$50+'Assumptions and Catalog'!$E$50+'Assumptions and Catalog'!$F$50,IF(((D843+E843)*C843)&lt;='Assumptions and Catalog'!$C$51,((D843+E843)*C843)*'Assumptions and Catalog'!$H$51+'Assumptions and Catalog'!$E$51+'Assumptions and Catalog'!$F$51,IF(((D843+E843)*C843)&lt;='Assumptions and Catalog'!$C$52,((D843+E843)*C843)*'Assumptions and Catalog'!$H$52+'Assumptions and Catalog'!$E$52+'Assumptions and Catalog'!$F$52,IF(((D843+E843)*C843)&lt;='Assumptions and Catalog'!$C$53,((D843+E843)*C843)*'Assumptions and Catalog'!$H$53+'Assumptions and Catalog'!$E$53+'Assumptions and Catalog'!$F$53,IF(((D843+E843)*C843)&lt;='Assumptions and Catalog'!$C$54,((D843+E843)*C843)*'Assumptions and Catalog'!$H$54+'Assumptions and Catalog'!$E$54+'Assumptions and Catalog'!$F$54,IF(((D843+E843)*C843)&lt;='Assumptions and Catalog'!$C$55,((D843+E843)*C843)*'Assumptions and Catalog'!$H$55+'Assumptions and Catalog'!$E$55+'Assumptions and Catalog'!$F$55,IF(((D843+E843)*C843)&lt;='Assumptions and Catalog'!$C$56,((D843+E843)*C843)*'Assumptions and Catalog'!$H$56+'Assumptions and Catalog'!$E$56+'Assumptions and Catalog'!$F$56,IF(((D843+E843)*C843)&lt;='Assumptions and Catalog'!$C$57,((D843+E843)*C843)*'Assumptions and Catalog'!$H$57+'Assumptions and Catalog'!$E$57+'Assumptions and Catalog'!$F$57,"Out of range")))))))),IF(((D843+E843)*C843)&lt;='Assumptions and Catalog'!$C$60,((D843+E843)*C843)*'Assumptions and Catalog'!$H$60+'Assumptions and Catalog'!$E$60+'Assumptions and Catalog'!$F$60,IF(((D843+E843)*C843)&lt;='Assumptions and Catalog'!$C$61,((D843+E843)*C843)*'Assumptions and Catalog'!$H$61+'Assumptions and Catalog'!$E$61+'Assumptions and Catalog'!$F$61,IF(((D843+E843)*C843)&lt;='Assumptions and Catalog'!$C$62,((D843+E843)*C843)*'Assumptions and Catalog'!$H$62+'Assumptions and Catalog'!$E$62+'Assumptions and Catalog'!$F$62,IF(((D843+E843)*C843)&lt;='Assumptions and Catalog'!$C$63,((D843+E843)*C843)*'Assumptions and Catalog'!$H$63+'Assumptions and Catalog'!$E$63+'Assumptions and Catalog'!$F$63,IF(((D843+E843)*C843)&lt;='Assumptions and Catalog'!$C$64,((D843+E843)*C843)*'Assumptions and Catalog'!$H$64+'Assumptions and Catalog'!$E$64+'Assumptions and Catalog'!$F$64,IF(((D843+E843)*C843)&lt;='Assumptions and Catalog'!$C$65,((D843+E843)*C843)*'Assumptions and Catalog'!$H$65+'Assumptions and Catalog'!$E$65+'Assumptions and Catalog'!$F$65,"Out of range")))))))))*(1+'Assumptions and Catalog'!$C$8)^(A843-1),0)</f>
        <v>7094.794</v>
      </c>
      <c r="N843" s="5" t="n">
        <f>IF(ISNUMBER(Inputs!$L$5),(IF(Inputs!$L$9="Actual flat rate",L843*Inputs!$L$10,IF(Inputs!$C$9="Residential",IF(L843&lt;='Assumptions and Catalog'!$C$50,L843*'Assumptions and Catalog'!$H$50+'Assumptions and Catalog'!$E$50+'Assumptions and Catalog'!$F$50,IF(L843&lt;='Assumptions and Catalog'!$C$51,L843*'Assumptions and Catalog'!$H$51+'Assumptions and Catalog'!$E$51+'Assumptions and Catalog'!$F$51,IF(L843&lt;='Assumptions and Catalog'!$C$52,L843*'Assumptions and Catalog'!$H$52+'Assumptions and Catalog'!$E$52+'Assumptions and Catalog'!$F$52,IF(L843&lt;='Assumptions and Catalog'!$C$53,L843*'Assumptions and Catalog'!$H$53+'Assumptions and Catalog'!$E$53+'Assumptions and Catalog'!$F$53,IF(L843&lt;='Assumptions and Catalog'!$C$54,L843*'Assumptions and Catalog'!$H$54+'Assumptions and Catalog'!$E$54+'Assumptions and Catalog'!$F$54,IF(L843&lt;='Assumptions and Catalog'!$C$55,L843*'Assumptions and Catalog'!$H$55+'Assumptions and Catalog'!$E$55+'Assumptions and Catalog'!$F$55,IF(L843&lt;='Assumptions and Catalog'!$C$56,L843*'Assumptions and Catalog'!$H$56+'Assumptions and Catalog'!$E$56+'Assumptions and Catalog'!$F$56,IF(L843&lt;='Assumptions and Catalog'!$C$57,L843*'Assumptions and Catalog'!$H$57+'Assumptions and Catalog'!$E$57+'Assumptions and Catalog'!$F$57,"Out of range")))))))),IF(L843&lt;='Assumptions and Catalog'!$C$60,L843*'Assumptions and Catalog'!$H$60+'Assumptions and Catalog'!$E$60+'Assumptions and Catalog'!$F$60,IF(L843&lt;='Assumptions and Catalog'!$C$61,L843*'Assumptions and Catalog'!$H$61+'Assumptions and Catalog'!$E$61+'Assumptions and Catalog'!$F$61,IF(L843&lt;='Assumptions and Catalog'!$C$62,L843*'Assumptions and Catalog'!$H$62+'Assumptions and Catalog'!$E$62+'Assumptions and Catalog'!$F$62,IF(L843&lt;='Assumptions and Catalog'!$C$63,L843*'Assumptions and Catalog'!$H$63+'Assumptions and Catalog'!$E$63+'Assumptions and Catalog'!$F$63,IF(L843&lt;='Assumptions and Catalog'!$C$64,L843*'Assumptions and Catalog'!$H$64+'Assumptions and Catalog'!$E$64+'Assumptions and Catalog'!$F$64,IF(L843&lt;='Assumptions and Catalog'!$C$65,L843*'Assumptions and Catalog'!$H$65+'Assumptions and Catalog'!$E$65+'Assumptions and Catalog'!$F$65,"Out of range")))))))))*(1+'Assumptions and Catalog'!$C$8)^(A843-1),0)</f>
        <v>2654.89962664898</v>
      </c>
      <c r="O843" s="5" t="n">
        <f>M843-N843</f>
        <v>4439.89437335102</v>
      </c>
      <c r="P843" s="5" t="n">
        <f>E$55*(1-L$14)*(1-'Assumptions and Catalog'!$C$23)^R843</f>
        <v>9.256148959232</v>
      </c>
      <c r="Q843" s="5" t="n">
        <f>IF(ISNUMBER(Inputs!$L$5),(IF(Inputs!$L$9="Actual flat rate",((D843+E843)*C843-G843)*Inputs!$L$10,IF(Inputs!$C$9="Residential",IF(((D843+E843)*C843-G843)&lt;='Assumptions and Catalog'!$C$50,((D843+E843)*C843-G843)*'Assumptions and Catalog'!$H$50+'Assumptions and Catalog'!$E$50+'Assumptions and Catalog'!$F$50,IF(((D843+E843)*C843-G843)&lt;='Assumptions and Catalog'!$C$51,((D843+E843)*C843-G843)*'Assumptions and Catalog'!$H$51+'Assumptions and Catalog'!$E$51+'Assumptions and Catalog'!$F$51,IF(((D843+E843)*C843-G843)&lt;='Assumptions and Catalog'!$C$52,((D843+E843)*C843-G843)*'Assumptions and Catalog'!$H$52+'Assumptions and Catalog'!$E$52+'Assumptions and Catalog'!$F$52,IF(((D843+E843)*C843-G843)&lt;='Assumptions and Catalog'!$C$53,((D843+E843)*C843-G843)*'Assumptions and Catalog'!$H$53+'Assumptions and Catalog'!$E$53+'Assumptions and Catalog'!$F$53,IF(((D843+E843)*C843-G843)&lt;='Assumptions and Catalog'!$C$54,((D843+E843)*C843-G843)*'Assumptions and Catalog'!$H$54+'Assumptions and Catalog'!$E$54+'Assumptions and Catalog'!$F$54,IF(((D843+E843)*C843-G843)&lt;='Assumptions and Catalog'!$C$55,((D843+E843)*C843-G843)*'Assumptions and Catalog'!$H$55+'Assumptions and Catalog'!$E$55+'Assumptions and Catalog'!$F$55,IF(((D843+E843)*C843-G843)&lt;='Assumptions and Catalog'!$C$56,((D843+E843)*C843-G843)*'Assumptions and Catalog'!$H$56+'Assumptions and Catalog'!$E$56+'Assumptions and Catalog'!$F$56,IF(((D843+E843)*C843-G843)&lt;='Assumptions and Catalog'!$C$57,((D843+E843)*C843-G843)*'Assumptions and Catalog'!$H$57+'Assumptions and Catalog'!$E$57+'Assumptions and Catalog'!$F$57,"Out of range")))))))),IF(((D843+E843)*C843-G843)&lt;='Assumptions and Catalog'!$C$60,((D843+E843)*C843-G843)*'Assumptions and Catalog'!$H$60+'Assumptions and Catalog'!$E$60+'Assumptions and Catalog'!$F$60,IF(((D843+E843)*C843-G843)&lt;='Assumptions and Catalog'!$C$61,((D843+E843)*C843-G843)*'Assumptions and Catalog'!$H$61+'Assumptions and Catalog'!$E$61+'Assumptions and Catalog'!$F$61,IF(((D843+E843)*C843-G843)&lt;='Assumptions and Catalog'!$C$62,((D843+E843)*C843-G843)*'Assumptions and Catalog'!$H$62+'Assumptions and Catalog'!$E$62+'Assumptions and Catalog'!$F$62,IF(((D843+E843)*C843-G843)&lt;='Assumptions and Catalog'!$C$63,((D843+E843)*C843-G843)*'Assumptions and Catalog'!$H$63+'Assumptions and Catalog'!$E$63+'Assumptions and Catalog'!$F$63,IF(((D843+E843)*C843-G843)&lt;='Assumptions and Catalog'!$C$64,((D843+E843)*C843-G843)*'Assumptions and Catalog'!$H$64+'Assumptions and Catalog'!$E$64+'Assumptions and Catalog'!$F$64,IF(((D843+E843)*C843-G843)&lt;='Assumptions and Catalog'!$C$65,((D843+E843)*C843-G843)*'Assumptions and Catalog'!$H$65+'Assumptions and Catalog'!$E$65+'Assumptions and Catalog'!$F$65,"Out of range")))))))))*(1+'Assumptions and Catalog'!$C$8)^(A843-1),0)</f>
        <v>3567.397</v>
      </c>
      <c r="R843" s="5" t="n">
        <f>IF(AND('Assumptions and Catalog'!$C$19&gt;0,A843&gt;='Assumptions and Catalog'!$C$19),A843-'Assumptions and Catalog'!$C$19,A843-1)</f>
        <v>5</v>
      </c>
      <c r="S843" s="5" t="n">
        <f>F843+L843-(D843+E843)*C843-J843-K843-IF(E$52&gt;0,'Assumptions and Catalog'!$C$26*C843,0)</f>
        <v>-5.6843418860808E-014</v>
      </c>
      <c r="T843" s="5"/>
      <c r="U843" s="5"/>
    </row>
    <row r="844" ht="23.100000381469727" customHeight="1">
      <c r="A844" s="5" t="n">
        <v>16</v>
      </c>
      <c r="B844" s="5" t="n">
        <v>4</v>
      </c>
      <c r="C844" s="5" t="n">
        <f>DAY(DATE('Assumptions and Catalog'!$C$24+A844-1,B844+1,0))</f>
        <v>30</v>
      </c>
      <c r="D844" s="5" t="n">
        <f>IF(ISNUMBER(Inputs!$L$5),Inputs!$L$5*Inputs!$L$6,0)</f>
        <v>40.35</v>
      </c>
      <c r="E844" s="5" t="n">
        <f>IF(ISNUMBER(Inputs!$L$5),Inputs!$L$5-D844,0)</f>
        <v>40.35</v>
      </c>
      <c r="F844" s="5" t="n">
        <f>E$51*INDEX('Solar Production'!$D$20:$D$31,B844)*C844*(1-'Assumptions and Catalog'!$C$10)^(A844-1)</f>
        <v>1641.29618756528</v>
      </c>
      <c r="G844" s="5" t="n">
        <f>MIN(F844,D844*C844)</f>
        <v>1210.5</v>
      </c>
      <c r="H844" s="5" t="n">
        <f>I844/('Assumptions and Catalog'!$C$11*'Assumptions and Catalog'!$C$12)</f>
        <v>284.804583360985</v>
      </c>
      <c r="I844" s="5" t="n">
        <f>MIN(E844*C844,P844*'Assumptions and Catalog'!$C$12*C844,(F844-G844)*'Assumptions and Catalog'!$C$11*'Assumptions and Catalog'!$C$12,E$56*'Assumptions and Catalog'!$C$14*'Assumptions and Catalog'!$C$11*'Assumptions and Catalog'!$C$12*C844,E$57*(24-'Assumptions and Catalog'!$C$13)*C844)</f>
        <v>270.742357057536</v>
      </c>
      <c r="J844" s="5" t="n">
        <f>MAX(F844-G844-H844,0)</f>
        <v>145.991604204294</v>
      </c>
      <c r="K844" s="5" t="n">
        <f>H844-I844</f>
        <v>14.0622263034487</v>
      </c>
      <c r="L844" s="5" t="n">
        <f>(D844+E844)*C844-G844-I844+0+IF(E$52&gt;0,'Assumptions and Catalog'!$C$26*C844,0)</f>
        <v>939.757642942464</v>
      </c>
      <c r="M844" s="5" t="n">
        <f>IF(ISNUMBER(Inputs!$L$5),(IF(Inputs!$L$9="Actual flat rate",((D844+E844)*C844)*Inputs!$L$10,IF(Inputs!$C$9="Residential",IF(((D844+E844)*C844)&lt;='Assumptions and Catalog'!$C$50,((D844+E844)*C844)*'Assumptions and Catalog'!$H$50+'Assumptions and Catalog'!$E$50+'Assumptions and Catalog'!$F$50,IF(((D844+E844)*C844)&lt;='Assumptions and Catalog'!$C$51,((D844+E844)*C844)*'Assumptions and Catalog'!$H$51+'Assumptions and Catalog'!$E$51+'Assumptions and Catalog'!$F$51,IF(((D844+E844)*C844)&lt;='Assumptions and Catalog'!$C$52,((D844+E844)*C844)*'Assumptions and Catalog'!$H$52+'Assumptions and Catalog'!$E$52+'Assumptions and Catalog'!$F$52,IF(((D844+E844)*C844)&lt;='Assumptions and Catalog'!$C$53,((D844+E844)*C844)*'Assumptions and Catalog'!$H$53+'Assumptions and Catalog'!$E$53+'Assumptions and Catalog'!$F$53,IF(((D844+E844)*C844)&lt;='Assumptions and Catalog'!$C$54,((D844+E844)*C844)*'Assumptions and Catalog'!$H$54+'Assumptions and Catalog'!$E$54+'Assumptions and Catalog'!$F$54,IF(((D844+E844)*C844)&lt;='Assumptions and Catalog'!$C$55,((D844+E844)*C844)*'Assumptions and Catalog'!$H$55+'Assumptions and Catalog'!$E$55+'Assumptions and Catalog'!$F$55,IF(((D844+E844)*C844)&lt;='Assumptions and Catalog'!$C$56,((D844+E844)*C844)*'Assumptions and Catalog'!$H$56+'Assumptions and Catalog'!$E$56+'Assumptions and Catalog'!$F$56,IF(((D844+E844)*C844)&lt;='Assumptions and Catalog'!$C$57,((D844+E844)*C844)*'Assumptions and Catalog'!$H$57+'Assumptions and Catalog'!$E$57+'Assumptions and Catalog'!$F$57,"Out of range")))))))),IF(((D844+E844)*C844)&lt;='Assumptions and Catalog'!$C$60,((D844+E844)*C844)*'Assumptions and Catalog'!$H$60+'Assumptions and Catalog'!$E$60+'Assumptions and Catalog'!$F$60,IF(((D844+E844)*C844)&lt;='Assumptions and Catalog'!$C$61,((D844+E844)*C844)*'Assumptions and Catalog'!$H$61+'Assumptions and Catalog'!$E$61+'Assumptions and Catalog'!$F$61,IF(((D844+E844)*C844)&lt;='Assumptions and Catalog'!$C$62,((D844+E844)*C844)*'Assumptions and Catalog'!$H$62+'Assumptions and Catalog'!$E$62+'Assumptions and Catalog'!$F$62,IF(((D844+E844)*C844)&lt;='Assumptions and Catalog'!$C$63,((D844+E844)*C844)*'Assumptions and Catalog'!$H$63+'Assumptions and Catalog'!$E$63+'Assumptions and Catalog'!$F$63,IF(((D844+E844)*C844)&lt;='Assumptions and Catalog'!$C$64,((D844+E844)*C844)*'Assumptions and Catalog'!$H$64+'Assumptions and Catalog'!$E$64+'Assumptions and Catalog'!$F$64,IF(((D844+E844)*C844)&lt;='Assumptions and Catalog'!$C$65,((D844+E844)*C844)*'Assumptions and Catalog'!$H$65+'Assumptions and Catalog'!$E$65+'Assumptions and Catalog'!$F$65,"Out of range")))))))))*(1+'Assumptions and Catalog'!$C$8)^(A844-1),0)</f>
        <v>6867.22</v>
      </c>
      <c r="N844" s="5" t="n">
        <f>IF(ISNUMBER(Inputs!$L$5),(IF(Inputs!$L$9="Actual flat rate",L844*Inputs!$L$10,IF(Inputs!$C$9="Residential",IF(L844&lt;='Assumptions and Catalog'!$C$50,L844*'Assumptions and Catalog'!$H$50+'Assumptions and Catalog'!$E$50+'Assumptions and Catalog'!$F$50,IF(L844&lt;='Assumptions and Catalog'!$C$51,L844*'Assumptions and Catalog'!$H$51+'Assumptions and Catalog'!$E$51+'Assumptions and Catalog'!$F$51,IF(L844&lt;='Assumptions and Catalog'!$C$52,L844*'Assumptions and Catalog'!$H$52+'Assumptions and Catalog'!$E$52+'Assumptions and Catalog'!$F$52,IF(L844&lt;='Assumptions and Catalog'!$C$53,L844*'Assumptions and Catalog'!$H$53+'Assumptions and Catalog'!$E$53+'Assumptions and Catalog'!$F$53,IF(L844&lt;='Assumptions and Catalog'!$C$54,L844*'Assumptions and Catalog'!$H$54+'Assumptions and Catalog'!$E$54+'Assumptions and Catalog'!$F$54,IF(L844&lt;='Assumptions and Catalog'!$C$55,L844*'Assumptions and Catalog'!$H$55+'Assumptions and Catalog'!$E$55+'Assumptions and Catalog'!$F$55,IF(L844&lt;='Assumptions and Catalog'!$C$56,L844*'Assumptions and Catalog'!$H$56+'Assumptions and Catalog'!$E$56+'Assumptions and Catalog'!$F$56,IF(L844&lt;='Assumptions and Catalog'!$C$57,L844*'Assumptions and Catalog'!$H$57+'Assumptions and Catalog'!$E$57+'Assumptions and Catalog'!$F$57,"Out of range")))))))),IF(L844&lt;='Assumptions and Catalog'!$C$60,L844*'Assumptions and Catalog'!$H$60+'Assumptions and Catalog'!$E$60+'Assumptions and Catalog'!$F$60,IF(L844&lt;='Assumptions and Catalog'!$C$61,L844*'Assumptions and Catalog'!$H$61+'Assumptions and Catalog'!$E$61+'Assumptions and Catalog'!$F$61,IF(L844&lt;='Assumptions and Catalog'!$C$62,L844*'Assumptions and Catalog'!$H$62+'Assumptions and Catalog'!$E$62+'Assumptions and Catalog'!$F$62,IF(L844&lt;='Assumptions and Catalog'!$C$63,L844*'Assumptions and Catalog'!$H$63+'Assumptions and Catalog'!$E$63+'Assumptions and Catalog'!$F$63,IF(L844&lt;='Assumptions and Catalog'!$C$64,L844*'Assumptions and Catalog'!$H$64+'Assumptions and Catalog'!$E$64+'Assumptions and Catalog'!$F$64,IF(L844&lt;='Assumptions and Catalog'!$C$65,L844*'Assumptions and Catalog'!$H$65+'Assumptions and Catalog'!$E$65+'Assumptions and Catalog'!$F$65,"Out of range")))))))))*(1+'Assumptions and Catalog'!$C$8)^(A844-1),0)</f>
        <v>2568.12867095063</v>
      </c>
      <c r="O844" s="5" t="n">
        <f>M844-N844</f>
        <v>4299.09132904937</v>
      </c>
      <c r="P844" s="5" t="n">
        <f>E$55*(1-L$14)*(1-'Assumptions and Catalog'!$C$23)^R844</f>
        <v>9.256148959232</v>
      </c>
      <c r="Q844" s="5" t="n">
        <f>IF(ISNUMBER(Inputs!$L$5),(IF(Inputs!$L$9="Actual flat rate",((D844+E844)*C844-G844)*Inputs!$L$10,IF(Inputs!$C$9="Residential",IF(((D844+E844)*C844-G844)&lt;='Assumptions and Catalog'!$C$50,((D844+E844)*C844-G844)*'Assumptions and Catalog'!$H$50+'Assumptions and Catalog'!$E$50+'Assumptions and Catalog'!$F$50,IF(((D844+E844)*C844-G844)&lt;='Assumptions and Catalog'!$C$51,((D844+E844)*C844-G844)*'Assumptions and Catalog'!$H$51+'Assumptions and Catalog'!$E$51+'Assumptions and Catalog'!$F$51,IF(((D844+E844)*C844-G844)&lt;='Assumptions and Catalog'!$C$52,((D844+E844)*C844-G844)*'Assumptions and Catalog'!$H$52+'Assumptions and Catalog'!$E$52+'Assumptions and Catalog'!$F$52,IF(((D844+E844)*C844-G844)&lt;='Assumptions and Catalog'!$C$53,((D844+E844)*C844-G844)*'Assumptions and Catalog'!$H$53+'Assumptions and Catalog'!$E$53+'Assumptions and Catalog'!$F$53,IF(((D844+E844)*C844-G844)&lt;='Assumptions and Catalog'!$C$54,((D844+E844)*C844-G844)*'Assumptions and Catalog'!$H$54+'Assumptions and Catalog'!$E$54+'Assumptions and Catalog'!$F$54,IF(((D844+E844)*C844-G844)&lt;='Assumptions and Catalog'!$C$55,((D844+E844)*C844-G844)*'Assumptions and Catalog'!$H$55+'Assumptions and Catalog'!$E$55+'Assumptions and Catalog'!$F$55,IF(((D844+E844)*C844-G844)&lt;='Assumptions and Catalog'!$C$56,((D844+E844)*C844-G844)*'Assumptions and Catalog'!$H$56+'Assumptions and Catalog'!$E$56+'Assumptions and Catalog'!$F$56,IF(((D844+E844)*C844-G844)&lt;='Assumptions and Catalog'!$C$57,((D844+E844)*C844-G844)*'Assumptions and Catalog'!$H$57+'Assumptions and Catalog'!$E$57+'Assumptions and Catalog'!$F$57,"Out of range")))))))),IF(((D844+E844)*C844-G844)&lt;='Assumptions and Catalog'!$C$60,((D844+E844)*C844-G844)*'Assumptions and Catalog'!$H$60+'Assumptions and Catalog'!$E$60+'Assumptions and Catalog'!$F$60,IF(((D844+E844)*C844-G844)&lt;='Assumptions and Catalog'!$C$61,((D844+E844)*C844-G844)*'Assumptions and Catalog'!$H$61+'Assumptions and Catalog'!$E$61+'Assumptions and Catalog'!$F$61,IF(((D844+E844)*C844-G844)&lt;='Assumptions and Catalog'!$C$62,((D844+E844)*C844-G844)*'Assumptions and Catalog'!$H$62+'Assumptions and Catalog'!$E$62+'Assumptions and Catalog'!$F$62,IF(((D844+E844)*C844-G844)&lt;='Assumptions and Catalog'!$C$63,((D844+E844)*C844-G844)*'Assumptions and Catalog'!$H$63+'Assumptions and Catalog'!$E$63+'Assumptions and Catalog'!$F$63,IF(((D844+E844)*C844-G844)&lt;='Assumptions and Catalog'!$C$64,((D844+E844)*C844-G844)*'Assumptions and Catalog'!$H$64+'Assumptions and Catalog'!$E$64+'Assumptions and Catalog'!$F$64,IF(((D844+E844)*C844-G844)&lt;='Assumptions and Catalog'!$C$65,((D844+E844)*C844-G844)*'Assumptions and Catalog'!$H$65+'Assumptions and Catalog'!$E$65+'Assumptions and Catalog'!$F$65,"Out of range")))))))))*(1+'Assumptions and Catalog'!$C$8)^(A844-1),0)</f>
        <v>3453.61</v>
      </c>
      <c r="R844" s="5" t="n">
        <f>IF(AND('Assumptions and Catalog'!$C$19&gt;0,A844&gt;='Assumptions and Catalog'!$C$19),A844-'Assumptions and Catalog'!$C$19,A844-1)</f>
        <v>5</v>
      </c>
      <c r="S844" s="5" t="n">
        <f>F844+L844-(D844+E844)*C844-J844-K844-IF(E$52&gt;0,'Assumptions and Catalog'!$C$26*C844,0)</f>
        <v>1.70530256582424E-013</v>
      </c>
      <c r="T844" s="5"/>
      <c r="U844" s="5"/>
    </row>
    <row r="845" ht="23.100000381469727" customHeight="1">
      <c r="A845" s="5" t="n">
        <v>16</v>
      </c>
      <c r="B845" s="5" t="n">
        <v>5</v>
      </c>
      <c r="C845" s="5" t="n">
        <f>DAY(DATE('Assumptions and Catalog'!$C$24+A845-1,B845+1,0))</f>
        <v>31</v>
      </c>
      <c r="D845" s="5" t="n">
        <f>IF(ISNUMBER(Inputs!$L$5),Inputs!$L$5*Inputs!$L$6,0)</f>
        <v>40.35</v>
      </c>
      <c r="E845" s="5" t="n">
        <f>IF(ISNUMBER(Inputs!$L$5),Inputs!$L$5-D845,0)</f>
        <v>40.35</v>
      </c>
      <c r="F845" s="5" t="n">
        <f>E$51*INDEX('Solar Production'!$D$20:$D$31,B845)*C845*(1-'Assumptions and Catalog'!$C$10)^(A845-1)</f>
        <v>1660.2742486673</v>
      </c>
      <c r="G845" s="5" t="n">
        <f>MIN(F845,D845*C845)</f>
        <v>1250.85</v>
      </c>
      <c r="H845" s="5" t="n">
        <f>I845/('Assumptions and Catalog'!$C$11*'Assumptions and Catalog'!$C$12)</f>
        <v>294.298069473018</v>
      </c>
      <c r="I845" s="5" t="n">
        <f>MIN(E845*C845,P845*'Assumptions and Catalog'!$C$12*C845,(F845-G845)*'Assumptions and Catalog'!$C$11*'Assumptions and Catalog'!$C$12,E$56*'Assumptions and Catalog'!$C$14*'Assumptions and Catalog'!$C$11*'Assumptions and Catalog'!$C$12*C845,E$57*(24-'Assumptions and Catalog'!$C$13)*C845)</f>
        <v>279.767102292787</v>
      </c>
      <c r="J845" s="5" t="n">
        <f>MAX(F845-G845-H845,0)</f>
        <v>115.126179194284</v>
      </c>
      <c r="K845" s="5" t="n">
        <f>H845-I845</f>
        <v>14.5309671802303</v>
      </c>
      <c r="L845" s="5" t="n">
        <f>(D845+E845)*C845-G845-I845+0+IF(E$52&gt;0,'Assumptions and Catalog'!$C$26*C845,0)</f>
        <v>971.082897707213</v>
      </c>
      <c r="M845" s="5" t="n">
        <f>IF(ISNUMBER(Inputs!$L$5),(IF(Inputs!$L$9="Actual flat rate",((D845+E845)*C845)*Inputs!$L$10,IF(Inputs!$C$9="Residential",IF(((D845+E845)*C845)&lt;='Assumptions and Catalog'!$C$50,((D845+E845)*C845)*'Assumptions and Catalog'!$H$50+'Assumptions and Catalog'!$E$50+'Assumptions and Catalog'!$F$50,IF(((D845+E845)*C845)&lt;='Assumptions and Catalog'!$C$51,((D845+E845)*C845)*'Assumptions and Catalog'!$H$51+'Assumptions and Catalog'!$E$51+'Assumptions and Catalog'!$F$51,IF(((D845+E845)*C845)&lt;='Assumptions and Catalog'!$C$52,((D845+E845)*C845)*'Assumptions and Catalog'!$H$52+'Assumptions and Catalog'!$E$52+'Assumptions and Catalog'!$F$52,IF(((D845+E845)*C845)&lt;='Assumptions and Catalog'!$C$53,((D845+E845)*C845)*'Assumptions and Catalog'!$H$53+'Assumptions and Catalog'!$E$53+'Assumptions and Catalog'!$F$53,IF(((D845+E845)*C845)&lt;='Assumptions and Catalog'!$C$54,((D845+E845)*C845)*'Assumptions and Catalog'!$H$54+'Assumptions and Catalog'!$E$54+'Assumptions and Catalog'!$F$54,IF(((D845+E845)*C845)&lt;='Assumptions and Catalog'!$C$55,((D845+E845)*C845)*'Assumptions and Catalog'!$H$55+'Assumptions and Catalog'!$E$55+'Assumptions and Catalog'!$F$55,IF(((D845+E845)*C845)&lt;='Assumptions and Catalog'!$C$56,((D845+E845)*C845)*'Assumptions and Catalog'!$H$56+'Assumptions and Catalog'!$E$56+'Assumptions and Catalog'!$F$56,IF(((D845+E845)*C845)&lt;='Assumptions and Catalog'!$C$57,((D845+E845)*C845)*'Assumptions and Catalog'!$H$57+'Assumptions and Catalog'!$E$57+'Assumptions and Catalog'!$F$57,"Out of range")))))))),IF(((D845+E845)*C845)&lt;='Assumptions and Catalog'!$C$60,((D845+E845)*C845)*'Assumptions and Catalog'!$H$60+'Assumptions and Catalog'!$E$60+'Assumptions and Catalog'!$F$60,IF(((D845+E845)*C845)&lt;='Assumptions and Catalog'!$C$61,((D845+E845)*C845)*'Assumptions and Catalog'!$H$61+'Assumptions and Catalog'!$E$61+'Assumptions and Catalog'!$F$61,IF(((D845+E845)*C845)&lt;='Assumptions and Catalog'!$C$62,((D845+E845)*C845)*'Assumptions and Catalog'!$H$62+'Assumptions and Catalog'!$E$62+'Assumptions and Catalog'!$F$62,IF(((D845+E845)*C845)&lt;='Assumptions and Catalog'!$C$63,((D845+E845)*C845)*'Assumptions and Catalog'!$H$63+'Assumptions and Catalog'!$E$63+'Assumptions and Catalog'!$F$63,IF(((D845+E845)*C845)&lt;='Assumptions and Catalog'!$C$64,((D845+E845)*C845)*'Assumptions and Catalog'!$H$64+'Assumptions and Catalog'!$E$64+'Assumptions and Catalog'!$F$64,IF(((D845+E845)*C845)&lt;='Assumptions and Catalog'!$C$65,((D845+E845)*C845)*'Assumptions and Catalog'!$H$65+'Assumptions and Catalog'!$E$65+'Assumptions and Catalog'!$F$65,"Out of range")))))))))*(1+'Assumptions and Catalog'!$C$8)^(A845-1),0)</f>
        <v>7094.794</v>
      </c>
      <c r="N845" s="5" t="n">
        <f>IF(ISNUMBER(Inputs!$L$5),(IF(Inputs!$L$9="Actual flat rate",L845*Inputs!$L$10,IF(Inputs!$C$9="Residential",IF(L845&lt;='Assumptions and Catalog'!$C$50,L845*'Assumptions and Catalog'!$H$50+'Assumptions and Catalog'!$E$50+'Assumptions and Catalog'!$F$50,IF(L845&lt;='Assumptions and Catalog'!$C$51,L845*'Assumptions and Catalog'!$H$51+'Assumptions and Catalog'!$E$51+'Assumptions and Catalog'!$F$51,IF(L845&lt;='Assumptions and Catalog'!$C$52,L845*'Assumptions and Catalog'!$H$52+'Assumptions and Catalog'!$E$52+'Assumptions and Catalog'!$F$52,IF(L845&lt;='Assumptions and Catalog'!$C$53,L845*'Assumptions and Catalog'!$H$53+'Assumptions and Catalog'!$E$53+'Assumptions and Catalog'!$F$53,IF(L845&lt;='Assumptions and Catalog'!$C$54,L845*'Assumptions and Catalog'!$H$54+'Assumptions and Catalog'!$E$54+'Assumptions and Catalog'!$F$54,IF(L845&lt;='Assumptions and Catalog'!$C$55,L845*'Assumptions and Catalog'!$H$55+'Assumptions and Catalog'!$E$55+'Assumptions and Catalog'!$F$55,IF(L845&lt;='Assumptions and Catalog'!$C$56,L845*'Assumptions and Catalog'!$H$56+'Assumptions and Catalog'!$E$56+'Assumptions and Catalog'!$F$56,IF(L845&lt;='Assumptions and Catalog'!$C$57,L845*'Assumptions and Catalog'!$H$57+'Assumptions and Catalog'!$E$57+'Assumptions and Catalog'!$F$57,"Out of range")))))))),IF(L845&lt;='Assumptions and Catalog'!$C$60,L845*'Assumptions and Catalog'!$H$60+'Assumptions and Catalog'!$E$60+'Assumptions and Catalog'!$F$60,IF(L845&lt;='Assumptions and Catalog'!$C$61,L845*'Assumptions and Catalog'!$H$61+'Assumptions and Catalog'!$E$61+'Assumptions and Catalog'!$F$61,IF(L845&lt;='Assumptions and Catalog'!$C$62,L845*'Assumptions and Catalog'!$H$62+'Assumptions and Catalog'!$E$62+'Assumptions and Catalog'!$F$62,IF(L845&lt;='Assumptions and Catalog'!$C$63,L845*'Assumptions and Catalog'!$H$63+'Assumptions and Catalog'!$E$63+'Assumptions and Catalog'!$F$63,IF(L845&lt;='Assumptions and Catalog'!$C$64,L845*'Assumptions and Catalog'!$H$64+'Assumptions and Catalog'!$E$64+'Assumptions and Catalog'!$F$64,IF(L845&lt;='Assumptions and Catalog'!$C$65,L845*'Assumptions and Catalog'!$H$65+'Assumptions and Catalog'!$E$65+'Assumptions and Catalog'!$F$65,"Out of range")))))))))*(1+'Assumptions and Catalog'!$C$8)^(A845-1),0)</f>
        <v>2654.89962664898</v>
      </c>
      <c r="O845" s="5" t="n">
        <f>M845-N845</f>
        <v>4439.89437335102</v>
      </c>
      <c r="P845" s="5" t="n">
        <f>E$55*(1-L$14)*(1-'Assumptions and Catalog'!$C$23)^R845</f>
        <v>9.256148959232</v>
      </c>
      <c r="Q845" s="5" t="n">
        <f>IF(ISNUMBER(Inputs!$L$5),(IF(Inputs!$L$9="Actual flat rate",((D845+E845)*C845-G845)*Inputs!$L$10,IF(Inputs!$C$9="Residential",IF(((D845+E845)*C845-G845)&lt;='Assumptions and Catalog'!$C$50,((D845+E845)*C845-G845)*'Assumptions and Catalog'!$H$50+'Assumptions and Catalog'!$E$50+'Assumptions and Catalog'!$F$50,IF(((D845+E845)*C845-G845)&lt;='Assumptions and Catalog'!$C$51,((D845+E845)*C845-G845)*'Assumptions and Catalog'!$H$51+'Assumptions and Catalog'!$E$51+'Assumptions and Catalog'!$F$51,IF(((D845+E845)*C845-G845)&lt;='Assumptions and Catalog'!$C$52,((D845+E845)*C845-G845)*'Assumptions and Catalog'!$H$52+'Assumptions and Catalog'!$E$52+'Assumptions and Catalog'!$F$52,IF(((D845+E845)*C845-G845)&lt;='Assumptions and Catalog'!$C$53,((D845+E845)*C845-G845)*'Assumptions and Catalog'!$H$53+'Assumptions and Catalog'!$E$53+'Assumptions and Catalog'!$F$53,IF(((D845+E845)*C845-G845)&lt;='Assumptions and Catalog'!$C$54,((D845+E845)*C845-G845)*'Assumptions and Catalog'!$H$54+'Assumptions and Catalog'!$E$54+'Assumptions and Catalog'!$F$54,IF(((D845+E845)*C845-G845)&lt;='Assumptions and Catalog'!$C$55,((D845+E845)*C845-G845)*'Assumptions and Catalog'!$H$55+'Assumptions and Catalog'!$E$55+'Assumptions and Catalog'!$F$55,IF(((D845+E845)*C845-G845)&lt;='Assumptions and Catalog'!$C$56,((D845+E845)*C845-G845)*'Assumptions and Catalog'!$H$56+'Assumptions and Catalog'!$E$56+'Assumptions and Catalog'!$F$56,IF(((D845+E845)*C845-G845)&lt;='Assumptions and Catalog'!$C$57,((D845+E845)*C845-G845)*'Assumptions and Catalog'!$H$57+'Assumptions and Catalog'!$E$57+'Assumptions and Catalog'!$F$57,"Out of range")))))))),IF(((D845+E845)*C845-G845)&lt;='Assumptions and Catalog'!$C$60,((D845+E845)*C845-G845)*'Assumptions and Catalog'!$H$60+'Assumptions and Catalog'!$E$60+'Assumptions and Catalog'!$F$60,IF(((D845+E845)*C845-G845)&lt;='Assumptions and Catalog'!$C$61,((D845+E845)*C845-G845)*'Assumptions and Catalog'!$H$61+'Assumptions and Catalog'!$E$61+'Assumptions and Catalog'!$F$61,IF(((D845+E845)*C845-G845)&lt;='Assumptions and Catalog'!$C$62,((D845+E845)*C845-G845)*'Assumptions and Catalog'!$H$62+'Assumptions and Catalog'!$E$62+'Assumptions and Catalog'!$F$62,IF(((D845+E845)*C845-G845)&lt;='Assumptions and Catalog'!$C$63,((D845+E845)*C845-G845)*'Assumptions and Catalog'!$H$63+'Assumptions and Catalog'!$E$63+'Assumptions and Catalog'!$F$63,IF(((D845+E845)*C845-G845)&lt;='Assumptions and Catalog'!$C$64,((D845+E845)*C845-G845)*'Assumptions and Catalog'!$H$64+'Assumptions and Catalog'!$E$64+'Assumptions and Catalog'!$F$64,IF(((D845+E845)*C845-G845)&lt;='Assumptions and Catalog'!$C$65,((D845+E845)*C845-G845)*'Assumptions and Catalog'!$H$65+'Assumptions and Catalog'!$E$65+'Assumptions and Catalog'!$F$65,"Out of range")))))))))*(1+'Assumptions and Catalog'!$C$8)^(A845-1),0)</f>
        <v>3567.397</v>
      </c>
      <c r="R845" s="5" t="n">
        <f>IF(AND('Assumptions and Catalog'!$C$19&gt;0,A845&gt;='Assumptions and Catalog'!$C$19),A845-'Assumptions and Catalog'!$C$19,A845-1)</f>
        <v>5</v>
      </c>
      <c r="S845" s="5" t="n">
        <f>F845+L845-(D845+E845)*C845-J845-K845-IF(E$52&gt;0,'Assumptions and Catalog'!$C$26*C845,0)</f>
        <v>-5.6843418860808E-014</v>
      </c>
      <c r="T845" s="5"/>
      <c r="U845" s="5"/>
    </row>
    <row r="846" ht="23.100000381469727" customHeight="1">
      <c r="A846" s="5" t="n">
        <v>16</v>
      </c>
      <c r="B846" s="5" t="n">
        <v>6</v>
      </c>
      <c r="C846" s="5" t="n">
        <f>DAY(DATE('Assumptions and Catalog'!$C$24+A846-1,B846+1,0))</f>
        <v>30</v>
      </c>
      <c r="D846" s="5" t="n">
        <f>IF(ISNUMBER(Inputs!$L$5),Inputs!$L$5*Inputs!$L$6,0)</f>
        <v>40.35</v>
      </c>
      <c r="E846" s="5" t="n">
        <f>IF(ISNUMBER(Inputs!$L$5),Inputs!$L$5-D846,0)</f>
        <v>40.35</v>
      </c>
      <c r="F846" s="5" t="n">
        <f>E$51*INDEX('Solar Production'!$D$20:$D$31,B846)*C846*(1-'Assumptions and Catalog'!$C$10)^(A846-1)</f>
        <v>1618.44088817359</v>
      </c>
      <c r="G846" s="5" t="n">
        <f>MIN(F846,D846*C846)</f>
        <v>1210.5</v>
      </c>
      <c r="H846" s="5" t="n">
        <f>I846/('Assumptions and Catalog'!$C$11*'Assumptions and Catalog'!$C$12)</f>
        <v>284.804583360985</v>
      </c>
      <c r="I846" s="5" t="n">
        <f>MIN(E846*C846,P846*'Assumptions and Catalog'!$C$12*C846,(F846-G846)*'Assumptions and Catalog'!$C$11*'Assumptions and Catalog'!$C$12,E$56*'Assumptions and Catalog'!$C$14*'Assumptions and Catalog'!$C$11*'Assumptions and Catalog'!$C$12*C846,E$57*(24-'Assumptions and Catalog'!$C$13)*C846)</f>
        <v>270.742357057536</v>
      </c>
      <c r="J846" s="5" t="n">
        <f>MAX(F846-G846-H846,0)</f>
        <v>123.13630481261</v>
      </c>
      <c r="K846" s="5" t="n">
        <f>H846-I846</f>
        <v>14.0622263034487</v>
      </c>
      <c r="L846" s="5" t="n">
        <f>(D846+E846)*C846-G846-I846+0+IF(E$52&gt;0,'Assumptions and Catalog'!$C$26*C846,0)</f>
        <v>939.757642942464</v>
      </c>
      <c r="M846" s="5" t="n">
        <f>IF(ISNUMBER(Inputs!$L$5),(IF(Inputs!$L$9="Actual flat rate",((D846+E846)*C846)*Inputs!$L$10,IF(Inputs!$C$9="Residential",IF(((D846+E846)*C846)&lt;='Assumptions and Catalog'!$C$50,((D846+E846)*C846)*'Assumptions and Catalog'!$H$50+'Assumptions and Catalog'!$E$50+'Assumptions and Catalog'!$F$50,IF(((D846+E846)*C846)&lt;='Assumptions and Catalog'!$C$51,((D846+E846)*C846)*'Assumptions and Catalog'!$H$51+'Assumptions and Catalog'!$E$51+'Assumptions and Catalog'!$F$51,IF(((D846+E846)*C846)&lt;='Assumptions and Catalog'!$C$52,((D846+E846)*C846)*'Assumptions and Catalog'!$H$52+'Assumptions and Catalog'!$E$52+'Assumptions and Catalog'!$F$52,IF(((D846+E846)*C846)&lt;='Assumptions and Catalog'!$C$53,((D846+E846)*C846)*'Assumptions and Catalog'!$H$53+'Assumptions and Catalog'!$E$53+'Assumptions and Catalog'!$F$53,IF(((D846+E846)*C846)&lt;='Assumptions and Catalog'!$C$54,((D846+E846)*C846)*'Assumptions and Catalog'!$H$54+'Assumptions and Catalog'!$E$54+'Assumptions and Catalog'!$F$54,IF(((D846+E846)*C846)&lt;='Assumptions and Catalog'!$C$55,((D846+E846)*C846)*'Assumptions and Catalog'!$H$55+'Assumptions and Catalog'!$E$55+'Assumptions and Catalog'!$F$55,IF(((D846+E846)*C846)&lt;='Assumptions and Catalog'!$C$56,((D846+E846)*C846)*'Assumptions and Catalog'!$H$56+'Assumptions and Catalog'!$E$56+'Assumptions and Catalog'!$F$56,IF(((D846+E846)*C846)&lt;='Assumptions and Catalog'!$C$57,((D846+E846)*C846)*'Assumptions and Catalog'!$H$57+'Assumptions and Catalog'!$E$57+'Assumptions and Catalog'!$F$57,"Out of range")))))))),IF(((D846+E846)*C846)&lt;='Assumptions and Catalog'!$C$60,((D846+E846)*C846)*'Assumptions and Catalog'!$H$60+'Assumptions and Catalog'!$E$60+'Assumptions and Catalog'!$F$60,IF(((D846+E846)*C846)&lt;='Assumptions and Catalog'!$C$61,((D846+E846)*C846)*'Assumptions and Catalog'!$H$61+'Assumptions and Catalog'!$E$61+'Assumptions and Catalog'!$F$61,IF(((D846+E846)*C846)&lt;='Assumptions and Catalog'!$C$62,((D846+E846)*C846)*'Assumptions and Catalog'!$H$62+'Assumptions and Catalog'!$E$62+'Assumptions and Catalog'!$F$62,IF(((D846+E846)*C846)&lt;='Assumptions and Catalog'!$C$63,((D846+E846)*C846)*'Assumptions and Catalog'!$H$63+'Assumptions and Catalog'!$E$63+'Assumptions and Catalog'!$F$63,IF(((D846+E846)*C846)&lt;='Assumptions and Catalog'!$C$64,((D846+E846)*C846)*'Assumptions and Catalog'!$H$64+'Assumptions and Catalog'!$E$64+'Assumptions and Catalog'!$F$64,IF(((D846+E846)*C846)&lt;='Assumptions and Catalog'!$C$65,((D846+E846)*C846)*'Assumptions and Catalog'!$H$65+'Assumptions and Catalog'!$E$65+'Assumptions and Catalog'!$F$65,"Out of range")))))))))*(1+'Assumptions and Catalog'!$C$8)^(A846-1),0)</f>
        <v>6867.22</v>
      </c>
      <c r="N846" s="5" t="n">
        <f>IF(ISNUMBER(Inputs!$L$5),(IF(Inputs!$L$9="Actual flat rate",L846*Inputs!$L$10,IF(Inputs!$C$9="Residential",IF(L846&lt;='Assumptions and Catalog'!$C$50,L846*'Assumptions and Catalog'!$H$50+'Assumptions and Catalog'!$E$50+'Assumptions and Catalog'!$F$50,IF(L846&lt;='Assumptions and Catalog'!$C$51,L846*'Assumptions and Catalog'!$H$51+'Assumptions and Catalog'!$E$51+'Assumptions and Catalog'!$F$51,IF(L846&lt;='Assumptions and Catalog'!$C$52,L846*'Assumptions and Catalog'!$H$52+'Assumptions and Catalog'!$E$52+'Assumptions and Catalog'!$F$52,IF(L846&lt;='Assumptions and Catalog'!$C$53,L846*'Assumptions and Catalog'!$H$53+'Assumptions and Catalog'!$E$53+'Assumptions and Catalog'!$F$53,IF(L846&lt;='Assumptions and Catalog'!$C$54,L846*'Assumptions and Catalog'!$H$54+'Assumptions and Catalog'!$E$54+'Assumptions and Catalog'!$F$54,IF(L846&lt;='Assumptions and Catalog'!$C$55,L846*'Assumptions and Catalog'!$H$55+'Assumptions and Catalog'!$E$55+'Assumptions and Catalog'!$F$55,IF(L846&lt;='Assumptions and Catalog'!$C$56,L846*'Assumptions and Catalog'!$H$56+'Assumptions and Catalog'!$E$56+'Assumptions and Catalog'!$F$56,IF(L846&lt;='Assumptions and Catalog'!$C$57,L846*'Assumptions and Catalog'!$H$57+'Assumptions and Catalog'!$E$57+'Assumptions and Catalog'!$F$57,"Out of range")))))))),IF(L846&lt;='Assumptions and Catalog'!$C$60,L846*'Assumptions and Catalog'!$H$60+'Assumptions and Catalog'!$E$60+'Assumptions and Catalog'!$F$60,IF(L846&lt;='Assumptions and Catalog'!$C$61,L846*'Assumptions and Catalog'!$H$61+'Assumptions and Catalog'!$E$61+'Assumptions and Catalog'!$F$61,IF(L846&lt;='Assumptions and Catalog'!$C$62,L846*'Assumptions and Catalog'!$H$62+'Assumptions and Catalog'!$E$62+'Assumptions and Catalog'!$F$62,IF(L846&lt;='Assumptions and Catalog'!$C$63,L846*'Assumptions and Catalog'!$H$63+'Assumptions and Catalog'!$E$63+'Assumptions and Catalog'!$F$63,IF(L846&lt;='Assumptions and Catalog'!$C$64,L846*'Assumptions and Catalog'!$H$64+'Assumptions and Catalog'!$E$64+'Assumptions and Catalog'!$F$64,IF(L846&lt;='Assumptions and Catalog'!$C$65,L846*'Assumptions and Catalog'!$H$65+'Assumptions and Catalog'!$E$65+'Assumptions and Catalog'!$F$65,"Out of range")))))))))*(1+'Assumptions and Catalog'!$C$8)^(A846-1),0)</f>
        <v>2568.12867095063</v>
      </c>
      <c r="O846" s="5" t="n">
        <f>M846-N846</f>
        <v>4299.09132904937</v>
      </c>
      <c r="P846" s="5" t="n">
        <f>E$55*(1-L$14)*(1-'Assumptions and Catalog'!$C$23)^R846</f>
        <v>9.256148959232</v>
      </c>
      <c r="Q846" s="5" t="n">
        <f>IF(ISNUMBER(Inputs!$L$5),(IF(Inputs!$L$9="Actual flat rate",((D846+E846)*C846-G846)*Inputs!$L$10,IF(Inputs!$C$9="Residential",IF(((D846+E846)*C846-G846)&lt;='Assumptions and Catalog'!$C$50,((D846+E846)*C846-G846)*'Assumptions and Catalog'!$H$50+'Assumptions and Catalog'!$E$50+'Assumptions and Catalog'!$F$50,IF(((D846+E846)*C846-G846)&lt;='Assumptions and Catalog'!$C$51,((D846+E846)*C846-G846)*'Assumptions and Catalog'!$H$51+'Assumptions and Catalog'!$E$51+'Assumptions and Catalog'!$F$51,IF(((D846+E846)*C846-G846)&lt;='Assumptions and Catalog'!$C$52,((D846+E846)*C846-G846)*'Assumptions and Catalog'!$H$52+'Assumptions and Catalog'!$E$52+'Assumptions and Catalog'!$F$52,IF(((D846+E846)*C846-G846)&lt;='Assumptions and Catalog'!$C$53,((D846+E846)*C846-G846)*'Assumptions and Catalog'!$H$53+'Assumptions and Catalog'!$E$53+'Assumptions and Catalog'!$F$53,IF(((D846+E846)*C846-G846)&lt;='Assumptions and Catalog'!$C$54,((D846+E846)*C846-G846)*'Assumptions and Catalog'!$H$54+'Assumptions and Catalog'!$E$54+'Assumptions and Catalog'!$F$54,IF(((D846+E846)*C846-G846)&lt;='Assumptions and Catalog'!$C$55,((D846+E846)*C846-G846)*'Assumptions and Catalog'!$H$55+'Assumptions and Catalog'!$E$55+'Assumptions and Catalog'!$F$55,IF(((D846+E846)*C846-G846)&lt;='Assumptions and Catalog'!$C$56,((D846+E846)*C846-G846)*'Assumptions and Catalog'!$H$56+'Assumptions and Catalog'!$E$56+'Assumptions and Catalog'!$F$56,IF(((D846+E846)*C846-G846)&lt;='Assumptions and Catalog'!$C$57,((D846+E846)*C846-G846)*'Assumptions and Catalog'!$H$57+'Assumptions and Catalog'!$E$57+'Assumptions and Catalog'!$F$57,"Out of range")))))))),IF(((D846+E846)*C846-G846)&lt;='Assumptions and Catalog'!$C$60,((D846+E846)*C846-G846)*'Assumptions and Catalog'!$H$60+'Assumptions and Catalog'!$E$60+'Assumptions and Catalog'!$F$60,IF(((D846+E846)*C846-G846)&lt;='Assumptions and Catalog'!$C$61,((D846+E846)*C846-G846)*'Assumptions and Catalog'!$H$61+'Assumptions and Catalog'!$E$61+'Assumptions and Catalog'!$F$61,IF(((D846+E846)*C846-G846)&lt;='Assumptions and Catalog'!$C$62,((D846+E846)*C846-G846)*'Assumptions and Catalog'!$H$62+'Assumptions and Catalog'!$E$62+'Assumptions and Catalog'!$F$62,IF(((D846+E846)*C846-G846)&lt;='Assumptions and Catalog'!$C$63,((D846+E846)*C846-G846)*'Assumptions and Catalog'!$H$63+'Assumptions and Catalog'!$E$63+'Assumptions and Catalog'!$F$63,IF(((D846+E846)*C846-G846)&lt;='Assumptions and Catalog'!$C$64,((D846+E846)*C846-G846)*'Assumptions and Catalog'!$H$64+'Assumptions and Catalog'!$E$64+'Assumptions and Catalog'!$F$64,IF(((D846+E846)*C846-G846)&lt;='Assumptions and Catalog'!$C$65,((D846+E846)*C846-G846)*'Assumptions and Catalog'!$H$65+'Assumptions and Catalog'!$E$65+'Assumptions and Catalog'!$F$65,"Out of range")))))))))*(1+'Assumptions and Catalog'!$C$8)^(A846-1),0)</f>
        <v>3453.61</v>
      </c>
      <c r="R846" s="5" t="n">
        <f>IF(AND('Assumptions and Catalog'!$C$19&gt;0,A846&gt;='Assumptions and Catalog'!$C$19),A846-'Assumptions and Catalog'!$C$19,A846-1)</f>
        <v>5</v>
      </c>
      <c r="S846" s="5" t="n">
        <f>F846+L846-(D846+E846)*C846-J846-K846-IF(E$52&gt;0,'Assumptions and Catalog'!$C$26*C846,0)</f>
        <v>-5.6843418860808E-014</v>
      </c>
      <c r="T846" s="5"/>
      <c r="U846" s="5"/>
    </row>
    <row r="847" ht="23.100000381469727" customHeight="1">
      <c r="A847" s="5" t="n">
        <v>16</v>
      </c>
      <c r="B847" s="5" t="n">
        <v>7</v>
      </c>
      <c r="C847" s="5" t="n">
        <f>DAY(DATE('Assumptions and Catalog'!$C$24+A847-1,B847+1,0))</f>
        <v>31</v>
      </c>
      <c r="D847" s="5" t="n">
        <f>IF(ISNUMBER(Inputs!$L$5),Inputs!$L$5*Inputs!$L$6,0)</f>
        <v>40.35</v>
      </c>
      <c r="E847" s="5" t="n">
        <f>IF(ISNUMBER(Inputs!$L$5),Inputs!$L$5-D847,0)</f>
        <v>40.35</v>
      </c>
      <c r="F847" s="5" t="n">
        <f>E$51*INDEX('Solar Production'!$D$20:$D$31,B847)*C847*(1-'Assumptions and Catalog'!$C$10)^(A847-1)</f>
        <v>1680.06857046188</v>
      </c>
      <c r="G847" s="5" t="n">
        <f>MIN(F847,D847*C847)</f>
        <v>1250.85</v>
      </c>
      <c r="H847" s="5" t="n">
        <f>I847/('Assumptions and Catalog'!$C$11*'Assumptions and Catalog'!$C$12)</f>
        <v>294.298069473018</v>
      </c>
      <c r="I847" s="5" t="n">
        <f>MIN(E847*C847,P847*'Assumptions and Catalog'!$C$12*C847,(F847-G847)*'Assumptions and Catalog'!$C$11*'Assumptions and Catalog'!$C$12,E$56*'Assumptions and Catalog'!$C$14*'Assumptions and Catalog'!$C$11*'Assumptions and Catalog'!$C$12*C847,E$57*(24-'Assumptions and Catalog'!$C$13)*C847)</f>
        <v>279.767102292787</v>
      </c>
      <c r="J847" s="5" t="n">
        <f>MAX(F847-G847-H847,0)</f>
        <v>134.920500988867</v>
      </c>
      <c r="K847" s="5" t="n">
        <f>H847-I847</f>
        <v>14.5309671802303</v>
      </c>
      <c r="L847" s="5" t="n">
        <f>(D847+E847)*C847-G847-I847+0+IF(E$52&gt;0,'Assumptions and Catalog'!$C$26*C847,0)</f>
        <v>971.082897707213</v>
      </c>
      <c r="M847" s="5" t="n">
        <f>IF(ISNUMBER(Inputs!$L$5),(IF(Inputs!$L$9="Actual flat rate",((D847+E847)*C847)*Inputs!$L$10,IF(Inputs!$C$9="Residential",IF(((D847+E847)*C847)&lt;='Assumptions and Catalog'!$C$50,((D847+E847)*C847)*'Assumptions and Catalog'!$H$50+'Assumptions and Catalog'!$E$50+'Assumptions and Catalog'!$F$50,IF(((D847+E847)*C847)&lt;='Assumptions and Catalog'!$C$51,((D847+E847)*C847)*'Assumptions and Catalog'!$H$51+'Assumptions and Catalog'!$E$51+'Assumptions and Catalog'!$F$51,IF(((D847+E847)*C847)&lt;='Assumptions and Catalog'!$C$52,((D847+E847)*C847)*'Assumptions and Catalog'!$H$52+'Assumptions and Catalog'!$E$52+'Assumptions and Catalog'!$F$52,IF(((D847+E847)*C847)&lt;='Assumptions and Catalog'!$C$53,((D847+E847)*C847)*'Assumptions and Catalog'!$H$53+'Assumptions and Catalog'!$E$53+'Assumptions and Catalog'!$F$53,IF(((D847+E847)*C847)&lt;='Assumptions and Catalog'!$C$54,((D847+E847)*C847)*'Assumptions and Catalog'!$H$54+'Assumptions and Catalog'!$E$54+'Assumptions and Catalog'!$F$54,IF(((D847+E847)*C847)&lt;='Assumptions and Catalog'!$C$55,((D847+E847)*C847)*'Assumptions and Catalog'!$H$55+'Assumptions and Catalog'!$E$55+'Assumptions and Catalog'!$F$55,IF(((D847+E847)*C847)&lt;='Assumptions and Catalog'!$C$56,((D847+E847)*C847)*'Assumptions and Catalog'!$H$56+'Assumptions and Catalog'!$E$56+'Assumptions and Catalog'!$F$56,IF(((D847+E847)*C847)&lt;='Assumptions and Catalog'!$C$57,((D847+E847)*C847)*'Assumptions and Catalog'!$H$57+'Assumptions and Catalog'!$E$57+'Assumptions and Catalog'!$F$57,"Out of range")))))))),IF(((D847+E847)*C847)&lt;='Assumptions and Catalog'!$C$60,((D847+E847)*C847)*'Assumptions and Catalog'!$H$60+'Assumptions and Catalog'!$E$60+'Assumptions and Catalog'!$F$60,IF(((D847+E847)*C847)&lt;='Assumptions and Catalog'!$C$61,((D847+E847)*C847)*'Assumptions and Catalog'!$H$61+'Assumptions and Catalog'!$E$61+'Assumptions and Catalog'!$F$61,IF(((D847+E847)*C847)&lt;='Assumptions and Catalog'!$C$62,((D847+E847)*C847)*'Assumptions and Catalog'!$H$62+'Assumptions and Catalog'!$E$62+'Assumptions and Catalog'!$F$62,IF(((D847+E847)*C847)&lt;='Assumptions and Catalog'!$C$63,((D847+E847)*C847)*'Assumptions and Catalog'!$H$63+'Assumptions and Catalog'!$E$63+'Assumptions and Catalog'!$F$63,IF(((D847+E847)*C847)&lt;='Assumptions and Catalog'!$C$64,((D847+E847)*C847)*'Assumptions and Catalog'!$H$64+'Assumptions and Catalog'!$E$64+'Assumptions and Catalog'!$F$64,IF(((D847+E847)*C847)&lt;='Assumptions and Catalog'!$C$65,((D847+E847)*C847)*'Assumptions and Catalog'!$H$65+'Assumptions and Catalog'!$E$65+'Assumptions and Catalog'!$F$65,"Out of range")))))))))*(1+'Assumptions and Catalog'!$C$8)^(A847-1),0)</f>
        <v>7094.794</v>
      </c>
      <c r="N847" s="5" t="n">
        <f>IF(ISNUMBER(Inputs!$L$5),(IF(Inputs!$L$9="Actual flat rate",L847*Inputs!$L$10,IF(Inputs!$C$9="Residential",IF(L847&lt;='Assumptions and Catalog'!$C$50,L847*'Assumptions and Catalog'!$H$50+'Assumptions and Catalog'!$E$50+'Assumptions and Catalog'!$F$50,IF(L847&lt;='Assumptions and Catalog'!$C$51,L847*'Assumptions and Catalog'!$H$51+'Assumptions and Catalog'!$E$51+'Assumptions and Catalog'!$F$51,IF(L847&lt;='Assumptions and Catalog'!$C$52,L847*'Assumptions and Catalog'!$H$52+'Assumptions and Catalog'!$E$52+'Assumptions and Catalog'!$F$52,IF(L847&lt;='Assumptions and Catalog'!$C$53,L847*'Assumptions and Catalog'!$H$53+'Assumptions and Catalog'!$E$53+'Assumptions and Catalog'!$F$53,IF(L847&lt;='Assumptions and Catalog'!$C$54,L847*'Assumptions and Catalog'!$H$54+'Assumptions and Catalog'!$E$54+'Assumptions and Catalog'!$F$54,IF(L847&lt;='Assumptions and Catalog'!$C$55,L847*'Assumptions and Catalog'!$H$55+'Assumptions and Catalog'!$E$55+'Assumptions and Catalog'!$F$55,IF(L847&lt;='Assumptions and Catalog'!$C$56,L847*'Assumptions and Catalog'!$H$56+'Assumptions and Catalog'!$E$56+'Assumptions and Catalog'!$F$56,IF(L847&lt;='Assumptions and Catalog'!$C$57,L847*'Assumptions and Catalog'!$H$57+'Assumptions and Catalog'!$E$57+'Assumptions and Catalog'!$F$57,"Out of range")))))))),IF(L847&lt;='Assumptions and Catalog'!$C$60,L847*'Assumptions and Catalog'!$H$60+'Assumptions and Catalog'!$E$60+'Assumptions and Catalog'!$F$60,IF(L847&lt;='Assumptions and Catalog'!$C$61,L847*'Assumptions and Catalog'!$H$61+'Assumptions and Catalog'!$E$61+'Assumptions and Catalog'!$F$61,IF(L847&lt;='Assumptions and Catalog'!$C$62,L847*'Assumptions and Catalog'!$H$62+'Assumptions and Catalog'!$E$62+'Assumptions and Catalog'!$F$62,IF(L847&lt;='Assumptions and Catalog'!$C$63,L847*'Assumptions and Catalog'!$H$63+'Assumptions and Catalog'!$E$63+'Assumptions and Catalog'!$F$63,IF(L847&lt;='Assumptions and Catalog'!$C$64,L847*'Assumptions and Catalog'!$H$64+'Assumptions and Catalog'!$E$64+'Assumptions and Catalog'!$F$64,IF(L847&lt;='Assumptions and Catalog'!$C$65,L847*'Assumptions and Catalog'!$H$65+'Assumptions and Catalog'!$E$65+'Assumptions and Catalog'!$F$65,"Out of range")))))))))*(1+'Assumptions and Catalog'!$C$8)^(A847-1),0)</f>
        <v>2654.89962664898</v>
      </c>
      <c r="O847" s="5" t="n">
        <f>M847-N847</f>
        <v>4439.89437335102</v>
      </c>
      <c r="P847" s="5" t="n">
        <f>E$55*(1-L$14)*(1-'Assumptions and Catalog'!$C$23)^R847</f>
        <v>9.256148959232</v>
      </c>
      <c r="Q847" s="5" t="n">
        <f>IF(ISNUMBER(Inputs!$L$5),(IF(Inputs!$L$9="Actual flat rate",((D847+E847)*C847-G847)*Inputs!$L$10,IF(Inputs!$C$9="Residential",IF(((D847+E847)*C847-G847)&lt;='Assumptions and Catalog'!$C$50,((D847+E847)*C847-G847)*'Assumptions and Catalog'!$H$50+'Assumptions and Catalog'!$E$50+'Assumptions and Catalog'!$F$50,IF(((D847+E847)*C847-G847)&lt;='Assumptions and Catalog'!$C$51,((D847+E847)*C847-G847)*'Assumptions and Catalog'!$H$51+'Assumptions and Catalog'!$E$51+'Assumptions and Catalog'!$F$51,IF(((D847+E847)*C847-G847)&lt;='Assumptions and Catalog'!$C$52,((D847+E847)*C847-G847)*'Assumptions and Catalog'!$H$52+'Assumptions and Catalog'!$E$52+'Assumptions and Catalog'!$F$52,IF(((D847+E847)*C847-G847)&lt;='Assumptions and Catalog'!$C$53,((D847+E847)*C847-G847)*'Assumptions and Catalog'!$H$53+'Assumptions and Catalog'!$E$53+'Assumptions and Catalog'!$F$53,IF(((D847+E847)*C847-G847)&lt;='Assumptions and Catalog'!$C$54,((D847+E847)*C847-G847)*'Assumptions and Catalog'!$H$54+'Assumptions and Catalog'!$E$54+'Assumptions and Catalog'!$F$54,IF(((D847+E847)*C847-G847)&lt;='Assumptions and Catalog'!$C$55,((D847+E847)*C847-G847)*'Assumptions and Catalog'!$H$55+'Assumptions and Catalog'!$E$55+'Assumptions and Catalog'!$F$55,IF(((D847+E847)*C847-G847)&lt;='Assumptions and Catalog'!$C$56,((D847+E847)*C847-G847)*'Assumptions and Catalog'!$H$56+'Assumptions and Catalog'!$E$56+'Assumptions and Catalog'!$F$56,IF(((D847+E847)*C847-G847)&lt;='Assumptions and Catalog'!$C$57,((D847+E847)*C847-G847)*'Assumptions and Catalog'!$H$57+'Assumptions and Catalog'!$E$57+'Assumptions and Catalog'!$F$57,"Out of range")))))))),IF(((D847+E847)*C847-G847)&lt;='Assumptions and Catalog'!$C$60,((D847+E847)*C847-G847)*'Assumptions and Catalog'!$H$60+'Assumptions and Catalog'!$E$60+'Assumptions and Catalog'!$F$60,IF(((D847+E847)*C847-G847)&lt;='Assumptions and Catalog'!$C$61,((D847+E847)*C847-G847)*'Assumptions and Catalog'!$H$61+'Assumptions and Catalog'!$E$61+'Assumptions and Catalog'!$F$61,IF(((D847+E847)*C847-G847)&lt;='Assumptions and Catalog'!$C$62,((D847+E847)*C847-G847)*'Assumptions and Catalog'!$H$62+'Assumptions and Catalog'!$E$62+'Assumptions and Catalog'!$F$62,IF(((D847+E847)*C847-G847)&lt;='Assumptions and Catalog'!$C$63,((D847+E847)*C847-G847)*'Assumptions and Catalog'!$H$63+'Assumptions and Catalog'!$E$63+'Assumptions and Catalog'!$F$63,IF(((D847+E847)*C847-G847)&lt;='Assumptions and Catalog'!$C$64,((D847+E847)*C847-G847)*'Assumptions and Catalog'!$H$64+'Assumptions and Catalog'!$E$64+'Assumptions and Catalog'!$F$64,IF(((D847+E847)*C847-G847)&lt;='Assumptions and Catalog'!$C$65,((D847+E847)*C847-G847)*'Assumptions and Catalog'!$H$65+'Assumptions and Catalog'!$E$65+'Assumptions and Catalog'!$F$65,"Out of range")))))))))*(1+'Assumptions and Catalog'!$C$8)^(A847-1),0)</f>
        <v>3567.397</v>
      </c>
      <c r="R847" s="5" t="n">
        <f>IF(AND('Assumptions and Catalog'!$C$19&gt;0,A847&gt;='Assumptions and Catalog'!$C$19),A847-'Assumptions and Catalog'!$C$19,A847-1)</f>
        <v>5</v>
      </c>
      <c r="S847" s="5" t="n">
        <f>F847+L847-(D847+E847)*C847-J847-K847-IF(E$52&gt;0,'Assumptions and Catalog'!$C$26*C847,0)</f>
        <v>-5.6843418860808E-014</v>
      </c>
      <c r="T847" s="5"/>
      <c r="U847" s="5"/>
    </row>
    <row r="848" ht="23.100000381469727" customHeight="1">
      <c r="A848" s="5" t="n">
        <v>16</v>
      </c>
      <c r="B848" s="5" t="n">
        <v>8</v>
      </c>
      <c r="C848" s="5" t="n">
        <f>DAY(DATE('Assumptions and Catalog'!$C$24+A848-1,B848+1,0))</f>
        <v>31</v>
      </c>
      <c r="D848" s="5" t="n">
        <f>IF(ISNUMBER(Inputs!$L$5),Inputs!$L$5*Inputs!$L$6,0)</f>
        <v>40.35</v>
      </c>
      <c r="E848" s="5" t="n">
        <f>IF(ISNUMBER(Inputs!$L$5),Inputs!$L$5-D848,0)</f>
        <v>40.35</v>
      </c>
      <c r="F848" s="5" t="n">
        <f>E$51*INDEX('Solar Production'!$D$20:$D$31,B848)*C848*(1-'Assumptions and Catalog'!$C$10)^(A848-1)</f>
        <v>1701.90354398787</v>
      </c>
      <c r="G848" s="5" t="n">
        <f>MIN(F848,D848*C848)</f>
        <v>1250.85</v>
      </c>
      <c r="H848" s="5" t="n">
        <f>I848/('Assumptions and Catalog'!$C$11*'Assumptions and Catalog'!$C$12)</f>
        <v>294.298069473018</v>
      </c>
      <c r="I848" s="5" t="n">
        <f>MIN(E848*C848,P848*'Assumptions and Catalog'!$C$12*C848,(F848-G848)*'Assumptions and Catalog'!$C$11*'Assumptions and Catalog'!$C$12,E$56*'Assumptions and Catalog'!$C$14*'Assumptions and Catalog'!$C$11*'Assumptions and Catalog'!$C$12*C848,E$57*(24-'Assumptions and Catalog'!$C$13)*C848)</f>
        <v>279.767102292787</v>
      </c>
      <c r="J848" s="5" t="n">
        <f>MAX(F848-G848-H848,0)</f>
        <v>156.75547451485</v>
      </c>
      <c r="K848" s="5" t="n">
        <f>H848-I848</f>
        <v>14.5309671802303</v>
      </c>
      <c r="L848" s="5" t="n">
        <f>(D848+E848)*C848-G848-I848+0+IF(E$52&gt;0,'Assumptions and Catalog'!$C$26*C848,0)</f>
        <v>971.082897707213</v>
      </c>
      <c r="M848" s="5" t="n">
        <f>IF(ISNUMBER(Inputs!$L$5),(IF(Inputs!$L$9="Actual flat rate",((D848+E848)*C848)*Inputs!$L$10,IF(Inputs!$C$9="Residential",IF(((D848+E848)*C848)&lt;='Assumptions and Catalog'!$C$50,((D848+E848)*C848)*'Assumptions and Catalog'!$H$50+'Assumptions and Catalog'!$E$50+'Assumptions and Catalog'!$F$50,IF(((D848+E848)*C848)&lt;='Assumptions and Catalog'!$C$51,((D848+E848)*C848)*'Assumptions and Catalog'!$H$51+'Assumptions and Catalog'!$E$51+'Assumptions and Catalog'!$F$51,IF(((D848+E848)*C848)&lt;='Assumptions and Catalog'!$C$52,((D848+E848)*C848)*'Assumptions and Catalog'!$H$52+'Assumptions and Catalog'!$E$52+'Assumptions and Catalog'!$F$52,IF(((D848+E848)*C848)&lt;='Assumptions and Catalog'!$C$53,((D848+E848)*C848)*'Assumptions and Catalog'!$H$53+'Assumptions and Catalog'!$E$53+'Assumptions and Catalog'!$F$53,IF(((D848+E848)*C848)&lt;='Assumptions and Catalog'!$C$54,((D848+E848)*C848)*'Assumptions and Catalog'!$H$54+'Assumptions and Catalog'!$E$54+'Assumptions and Catalog'!$F$54,IF(((D848+E848)*C848)&lt;='Assumptions and Catalog'!$C$55,((D848+E848)*C848)*'Assumptions and Catalog'!$H$55+'Assumptions and Catalog'!$E$55+'Assumptions and Catalog'!$F$55,IF(((D848+E848)*C848)&lt;='Assumptions and Catalog'!$C$56,((D848+E848)*C848)*'Assumptions and Catalog'!$H$56+'Assumptions and Catalog'!$E$56+'Assumptions and Catalog'!$F$56,IF(((D848+E848)*C848)&lt;='Assumptions and Catalog'!$C$57,((D848+E848)*C848)*'Assumptions and Catalog'!$H$57+'Assumptions and Catalog'!$E$57+'Assumptions and Catalog'!$F$57,"Out of range")))))))),IF(((D848+E848)*C848)&lt;='Assumptions and Catalog'!$C$60,((D848+E848)*C848)*'Assumptions and Catalog'!$H$60+'Assumptions and Catalog'!$E$60+'Assumptions and Catalog'!$F$60,IF(((D848+E848)*C848)&lt;='Assumptions and Catalog'!$C$61,((D848+E848)*C848)*'Assumptions and Catalog'!$H$61+'Assumptions and Catalog'!$E$61+'Assumptions and Catalog'!$F$61,IF(((D848+E848)*C848)&lt;='Assumptions and Catalog'!$C$62,((D848+E848)*C848)*'Assumptions and Catalog'!$H$62+'Assumptions and Catalog'!$E$62+'Assumptions and Catalog'!$F$62,IF(((D848+E848)*C848)&lt;='Assumptions and Catalog'!$C$63,((D848+E848)*C848)*'Assumptions and Catalog'!$H$63+'Assumptions and Catalog'!$E$63+'Assumptions and Catalog'!$F$63,IF(((D848+E848)*C848)&lt;='Assumptions and Catalog'!$C$64,((D848+E848)*C848)*'Assumptions and Catalog'!$H$64+'Assumptions and Catalog'!$E$64+'Assumptions and Catalog'!$F$64,IF(((D848+E848)*C848)&lt;='Assumptions and Catalog'!$C$65,((D848+E848)*C848)*'Assumptions and Catalog'!$H$65+'Assumptions and Catalog'!$E$65+'Assumptions and Catalog'!$F$65,"Out of range")))))))))*(1+'Assumptions and Catalog'!$C$8)^(A848-1),0)</f>
        <v>7094.794</v>
      </c>
      <c r="N848" s="5" t="n">
        <f>IF(ISNUMBER(Inputs!$L$5),(IF(Inputs!$L$9="Actual flat rate",L848*Inputs!$L$10,IF(Inputs!$C$9="Residential",IF(L848&lt;='Assumptions and Catalog'!$C$50,L848*'Assumptions and Catalog'!$H$50+'Assumptions and Catalog'!$E$50+'Assumptions and Catalog'!$F$50,IF(L848&lt;='Assumptions and Catalog'!$C$51,L848*'Assumptions and Catalog'!$H$51+'Assumptions and Catalog'!$E$51+'Assumptions and Catalog'!$F$51,IF(L848&lt;='Assumptions and Catalog'!$C$52,L848*'Assumptions and Catalog'!$H$52+'Assumptions and Catalog'!$E$52+'Assumptions and Catalog'!$F$52,IF(L848&lt;='Assumptions and Catalog'!$C$53,L848*'Assumptions and Catalog'!$H$53+'Assumptions and Catalog'!$E$53+'Assumptions and Catalog'!$F$53,IF(L848&lt;='Assumptions and Catalog'!$C$54,L848*'Assumptions and Catalog'!$H$54+'Assumptions and Catalog'!$E$54+'Assumptions and Catalog'!$F$54,IF(L848&lt;='Assumptions and Catalog'!$C$55,L848*'Assumptions and Catalog'!$H$55+'Assumptions and Catalog'!$E$55+'Assumptions and Catalog'!$F$55,IF(L848&lt;='Assumptions and Catalog'!$C$56,L848*'Assumptions and Catalog'!$H$56+'Assumptions and Catalog'!$E$56+'Assumptions and Catalog'!$F$56,IF(L848&lt;='Assumptions and Catalog'!$C$57,L848*'Assumptions and Catalog'!$H$57+'Assumptions and Catalog'!$E$57+'Assumptions and Catalog'!$F$57,"Out of range")))))))),IF(L848&lt;='Assumptions and Catalog'!$C$60,L848*'Assumptions and Catalog'!$H$60+'Assumptions and Catalog'!$E$60+'Assumptions and Catalog'!$F$60,IF(L848&lt;='Assumptions and Catalog'!$C$61,L848*'Assumptions and Catalog'!$H$61+'Assumptions and Catalog'!$E$61+'Assumptions and Catalog'!$F$61,IF(L848&lt;='Assumptions and Catalog'!$C$62,L848*'Assumptions and Catalog'!$H$62+'Assumptions and Catalog'!$E$62+'Assumptions and Catalog'!$F$62,IF(L848&lt;='Assumptions and Catalog'!$C$63,L848*'Assumptions and Catalog'!$H$63+'Assumptions and Catalog'!$E$63+'Assumptions and Catalog'!$F$63,IF(L848&lt;='Assumptions and Catalog'!$C$64,L848*'Assumptions and Catalog'!$H$64+'Assumptions and Catalog'!$E$64+'Assumptions and Catalog'!$F$64,IF(L848&lt;='Assumptions and Catalog'!$C$65,L848*'Assumptions and Catalog'!$H$65+'Assumptions and Catalog'!$E$65+'Assumptions and Catalog'!$F$65,"Out of range")))))))))*(1+'Assumptions and Catalog'!$C$8)^(A848-1),0)</f>
        <v>2654.89962664898</v>
      </c>
      <c r="O848" s="5" t="n">
        <f>M848-N848</f>
        <v>4439.89437335102</v>
      </c>
      <c r="P848" s="5" t="n">
        <f>E$55*(1-L$14)*(1-'Assumptions and Catalog'!$C$23)^R848</f>
        <v>9.256148959232</v>
      </c>
      <c r="Q848" s="5" t="n">
        <f>IF(ISNUMBER(Inputs!$L$5),(IF(Inputs!$L$9="Actual flat rate",((D848+E848)*C848-G848)*Inputs!$L$10,IF(Inputs!$C$9="Residential",IF(((D848+E848)*C848-G848)&lt;='Assumptions and Catalog'!$C$50,((D848+E848)*C848-G848)*'Assumptions and Catalog'!$H$50+'Assumptions and Catalog'!$E$50+'Assumptions and Catalog'!$F$50,IF(((D848+E848)*C848-G848)&lt;='Assumptions and Catalog'!$C$51,((D848+E848)*C848-G848)*'Assumptions and Catalog'!$H$51+'Assumptions and Catalog'!$E$51+'Assumptions and Catalog'!$F$51,IF(((D848+E848)*C848-G848)&lt;='Assumptions and Catalog'!$C$52,((D848+E848)*C848-G848)*'Assumptions and Catalog'!$H$52+'Assumptions and Catalog'!$E$52+'Assumptions and Catalog'!$F$52,IF(((D848+E848)*C848-G848)&lt;='Assumptions and Catalog'!$C$53,((D848+E848)*C848-G848)*'Assumptions and Catalog'!$H$53+'Assumptions and Catalog'!$E$53+'Assumptions and Catalog'!$F$53,IF(((D848+E848)*C848-G848)&lt;='Assumptions and Catalog'!$C$54,((D848+E848)*C848-G848)*'Assumptions and Catalog'!$H$54+'Assumptions and Catalog'!$E$54+'Assumptions and Catalog'!$F$54,IF(((D848+E848)*C848-G848)&lt;='Assumptions and Catalog'!$C$55,((D848+E848)*C848-G848)*'Assumptions and Catalog'!$H$55+'Assumptions and Catalog'!$E$55+'Assumptions and Catalog'!$F$55,IF(((D848+E848)*C848-G848)&lt;='Assumptions and Catalog'!$C$56,((D848+E848)*C848-G848)*'Assumptions and Catalog'!$H$56+'Assumptions and Catalog'!$E$56+'Assumptions and Catalog'!$F$56,IF(((D848+E848)*C848-G848)&lt;='Assumptions and Catalog'!$C$57,((D848+E848)*C848-G848)*'Assumptions and Catalog'!$H$57+'Assumptions and Catalog'!$E$57+'Assumptions and Catalog'!$F$57,"Out of range")))))))),IF(((D848+E848)*C848-G848)&lt;='Assumptions and Catalog'!$C$60,((D848+E848)*C848-G848)*'Assumptions and Catalog'!$H$60+'Assumptions and Catalog'!$E$60+'Assumptions and Catalog'!$F$60,IF(((D848+E848)*C848-G848)&lt;='Assumptions and Catalog'!$C$61,((D848+E848)*C848-G848)*'Assumptions and Catalog'!$H$61+'Assumptions and Catalog'!$E$61+'Assumptions and Catalog'!$F$61,IF(((D848+E848)*C848-G848)&lt;='Assumptions and Catalog'!$C$62,((D848+E848)*C848-G848)*'Assumptions and Catalog'!$H$62+'Assumptions and Catalog'!$E$62+'Assumptions and Catalog'!$F$62,IF(((D848+E848)*C848-G848)&lt;='Assumptions and Catalog'!$C$63,((D848+E848)*C848-G848)*'Assumptions and Catalog'!$H$63+'Assumptions and Catalog'!$E$63+'Assumptions and Catalog'!$F$63,IF(((D848+E848)*C848-G848)&lt;='Assumptions and Catalog'!$C$64,((D848+E848)*C848-G848)*'Assumptions and Catalog'!$H$64+'Assumptions and Catalog'!$E$64+'Assumptions and Catalog'!$F$64,IF(((D848+E848)*C848-G848)&lt;='Assumptions and Catalog'!$C$65,((D848+E848)*C848-G848)*'Assumptions and Catalog'!$H$65+'Assumptions and Catalog'!$E$65+'Assumptions and Catalog'!$F$65,"Out of range")))))))))*(1+'Assumptions and Catalog'!$C$8)^(A848-1),0)</f>
        <v>3567.397</v>
      </c>
      <c r="R848" s="5" t="n">
        <f>IF(AND('Assumptions and Catalog'!$C$19&gt;0,A848&gt;='Assumptions and Catalog'!$C$19),A848-'Assumptions and Catalog'!$C$19,A848-1)</f>
        <v>5</v>
      </c>
      <c r="S848" s="5" t="n">
        <f>F848+L848-(D848+E848)*C848-J848-K848-IF(E$52&gt;0,'Assumptions and Catalog'!$C$26*C848,0)</f>
        <v>-2.8421709430404E-013</v>
      </c>
      <c r="T848" s="5"/>
      <c r="U848" s="5"/>
    </row>
    <row r="849" ht="23.100000381469727" customHeight="1">
      <c r="A849" s="5" t="n">
        <v>16</v>
      </c>
      <c r="B849" s="5" t="n">
        <v>9</v>
      </c>
      <c r="C849" s="5" t="n">
        <f>DAY(DATE('Assumptions and Catalog'!$C$24+A849-1,B849+1,0))</f>
        <v>30</v>
      </c>
      <c r="D849" s="5" t="n">
        <f>IF(ISNUMBER(Inputs!$L$5),Inputs!$L$5*Inputs!$L$6,0)</f>
        <v>40.35</v>
      </c>
      <c r="E849" s="5" t="n">
        <f>IF(ISNUMBER(Inputs!$L$5),Inputs!$L$5-D849,0)</f>
        <v>40.35</v>
      </c>
      <c r="F849" s="5" t="n">
        <f>E$51*INDEX('Solar Production'!$D$20:$D$31,B849)*C849*(1-'Assumptions and Catalog'!$C$10)^(A849-1)</f>
        <v>1642.72464377726</v>
      </c>
      <c r="G849" s="5" t="n">
        <f>MIN(F849,D849*C849)</f>
        <v>1210.5</v>
      </c>
      <c r="H849" s="5" t="n">
        <f>I849/('Assumptions and Catalog'!$C$11*'Assumptions and Catalog'!$C$12)</f>
        <v>284.804583360985</v>
      </c>
      <c r="I849" s="5" t="n">
        <f>MIN(E849*C849,P849*'Assumptions and Catalog'!$C$12*C849,(F849-G849)*'Assumptions and Catalog'!$C$11*'Assumptions and Catalog'!$C$12,E$56*'Assumptions and Catalog'!$C$14*'Assumptions and Catalog'!$C$11*'Assumptions and Catalog'!$C$12*C849,E$57*(24-'Assumptions and Catalog'!$C$13)*C849)</f>
        <v>270.742357057536</v>
      </c>
      <c r="J849" s="5" t="n">
        <f>MAX(F849-G849-H849,0)</f>
        <v>147.420060416274</v>
      </c>
      <c r="K849" s="5" t="n">
        <f>H849-I849</f>
        <v>14.0622263034487</v>
      </c>
      <c r="L849" s="5" t="n">
        <f>(D849+E849)*C849-G849-I849+0+IF(E$52&gt;0,'Assumptions and Catalog'!$C$26*C849,0)</f>
        <v>939.757642942464</v>
      </c>
      <c r="M849" s="5" t="n">
        <f>IF(ISNUMBER(Inputs!$L$5),(IF(Inputs!$L$9="Actual flat rate",((D849+E849)*C849)*Inputs!$L$10,IF(Inputs!$C$9="Residential",IF(((D849+E849)*C849)&lt;='Assumptions and Catalog'!$C$50,((D849+E849)*C849)*'Assumptions and Catalog'!$H$50+'Assumptions and Catalog'!$E$50+'Assumptions and Catalog'!$F$50,IF(((D849+E849)*C849)&lt;='Assumptions and Catalog'!$C$51,((D849+E849)*C849)*'Assumptions and Catalog'!$H$51+'Assumptions and Catalog'!$E$51+'Assumptions and Catalog'!$F$51,IF(((D849+E849)*C849)&lt;='Assumptions and Catalog'!$C$52,((D849+E849)*C849)*'Assumptions and Catalog'!$H$52+'Assumptions and Catalog'!$E$52+'Assumptions and Catalog'!$F$52,IF(((D849+E849)*C849)&lt;='Assumptions and Catalog'!$C$53,((D849+E849)*C849)*'Assumptions and Catalog'!$H$53+'Assumptions and Catalog'!$E$53+'Assumptions and Catalog'!$F$53,IF(((D849+E849)*C849)&lt;='Assumptions and Catalog'!$C$54,((D849+E849)*C849)*'Assumptions and Catalog'!$H$54+'Assumptions and Catalog'!$E$54+'Assumptions and Catalog'!$F$54,IF(((D849+E849)*C849)&lt;='Assumptions and Catalog'!$C$55,((D849+E849)*C849)*'Assumptions and Catalog'!$H$55+'Assumptions and Catalog'!$E$55+'Assumptions and Catalog'!$F$55,IF(((D849+E849)*C849)&lt;='Assumptions and Catalog'!$C$56,((D849+E849)*C849)*'Assumptions and Catalog'!$H$56+'Assumptions and Catalog'!$E$56+'Assumptions and Catalog'!$F$56,IF(((D849+E849)*C849)&lt;='Assumptions and Catalog'!$C$57,((D849+E849)*C849)*'Assumptions and Catalog'!$H$57+'Assumptions and Catalog'!$E$57+'Assumptions and Catalog'!$F$57,"Out of range")))))))),IF(((D849+E849)*C849)&lt;='Assumptions and Catalog'!$C$60,((D849+E849)*C849)*'Assumptions and Catalog'!$H$60+'Assumptions and Catalog'!$E$60+'Assumptions and Catalog'!$F$60,IF(((D849+E849)*C849)&lt;='Assumptions and Catalog'!$C$61,((D849+E849)*C849)*'Assumptions and Catalog'!$H$61+'Assumptions and Catalog'!$E$61+'Assumptions and Catalog'!$F$61,IF(((D849+E849)*C849)&lt;='Assumptions and Catalog'!$C$62,((D849+E849)*C849)*'Assumptions and Catalog'!$H$62+'Assumptions and Catalog'!$E$62+'Assumptions and Catalog'!$F$62,IF(((D849+E849)*C849)&lt;='Assumptions and Catalog'!$C$63,((D849+E849)*C849)*'Assumptions and Catalog'!$H$63+'Assumptions and Catalog'!$E$63+'Assumptions and Catalog'!$F$63,IF(((D849+E849)*C849)&lt;='Assumptions and Catalog'!$C$64,((D849+E849)*C849)*'Assumptions and Catalog'!$H$64+'Assumptions and Catalog'!$E$64+'Assumptions and Catalog'!$F$64,IF(((D849+E849)*C849)&lt;='Assumptions and Catalog'!$C$65,((D849+E849)*C849)*'Assumptions and Catalog'!$H$65+'Assumptions and Catalog'!$E$65+'Assumptions and Catalog'!$F$65,"Out of range")))))))))*(1+'Assumptions and Catalog'!$C$8)^(A849-1),0)</f>
        <v>6867.22</v>
      </c>
      <c r="N849" s="5" t="n">
        <f>IF(ISNUMBER(Inputs!$L$5),(IF(Inputs!$L$9="Actual flat rate",L849*Inputs!$L$10,IF(Inputs!$C$9="Residential",IF(L849&lt;='Assumptions and Catalog'!$C$50,L849*'Assumptions and Catalog'!$H$50+'Assumptions and Catalog'!$E$50+'Assumptions and Catalog'!$F$50,IF(L849&lt;='Assumptions and Catalog'!$C$51,L849*'Assumptions and Catalog'!$H$51+'Assumptions and Catalog'!$E$51+'Assumptions and Catalog'!$F$51,IF(L849&lt;='Assumptions and Catalog'!$C$52,L849*'Assumptions and Catalog'!$H$52+'Assumptions and Catalog'!$E$52+'Assumptions and Catalog'!$F$52,IF(L849&lt;='Assumptions and Catalog'!$C$53,L849*'Assumptions and Catalog'!$H$53+'Assumptions and Catalog'!$E$53+'Assumptions and Catalog'!$F$53,IF(L849&lt;='Assumptions and Catalog'!$C$54,L849*'Assumptions and Catalog'!$H$54+'Assumptions and Catalog'!$E$54+'Assumptions and Catalog'!$F$54,IF(L849&lt;='Assumptions and Catalog'!$C$55,L849*'Assumptions and Catalog'!$H$55+'Assumptions and Catalog'!$E$55+'Assumptions and Catalog'!$F$55,IF(L849&lt;='Assumptions and Catalog'!$C$56,L849*'Assumptions and Catalog'!$H$56+'Assumptions and Catalog'!$E$56+'Assumptions and Catalog'!$F$56,IF(L849&lt;='Assumptions and Catalog'!$C$57,L849*'Assumptions and Catalog'!$H$57+'Assumptions and Catalog'!$E$57+'Assumptions and Catalog'!$F$57,"Out of range")))))))),IF(L849&lt;='Assumptions and Catalog'!$C$60,L849*'Assumptions and Catalog'!$H$60+'Assumptions and Catalog'!$E$60+'Assumptions and Catalog'!$F$60,IF(L849&lt;='Assumptions and Catalog'!$C$61,L849*'Assumptions and Catalog'!$H$61+'Assumptions and Catalog'!$E$61+'Assumptions and Catalog'!$F$61,IF(L849&lt;='Assumptions and Catalog'!$C$62,L849*'Assumptions and Catalog'!$H$62+'Assumptions and Catalog'!$E$62+'Assumptions and Catalog'!$F$62,IF(L849&lt;='Assumptions and Catalog'!$C$63,L849*'Assumptions and Catalog'!$H$63+'Assumptions and Catalog'!$E$63+'Assumptions and Catalog'!$F$63,IF(L849&lt;='Assumptions and Catalog'!$C$64,L849*'Assumptions and Catalog'!$H$64+'Assumptions and Catalog'!$E$64+'Assumptions and Catalog'!$F$64,IF(L849&lt;='Assumptions and Catalog'!$C$65,L849*'Assumptions and Catalog'!$H$65+'Assumptions and Catalog'!$E$65+'Assumptions and Catalog'!$F$65,"Out of range")))))))))*(1+'Assumptions and Catalog'!$C$8)^(A849-1),0)</f>
        <v>2568.12867095063</v>
      </c>
      <c r="O849" s="5" t="n">
        <f>M849-N849</f>
        <v>4299.09132904937</v>
      </c>
      <c r="P849" s="5" t="n">
        <f>E$55*(1-L$14)*(1-'Assumptions and Catalog'!$C$23)^R849</f>
        <v>9.256148959232</v>
      </c>
      <c r="Q849" s="5" t="n">
        <f>IF(ISNUMBER(Inputs!$L$5),(IF(Inputs!$L$9="Actual flat rate",((D849+E849)*C849-G849)*Inputs!$L$10,IF(Inputs!$C$9="Residential",IF(((D849+E849)*C849-G849)&lt;='Assumptions and Catalog'!$C$50,((D849+E849)*C849-G849)*'Assumptions and Catalog'!$H$50+'Assumptions and Catalog'!$E$50+'Assumptions and Catalog'!$F$50,IF(((D849+E849)*C849-G849)&lt;='Assumptions and Catalog'!$C$51,((D849+E849)*C849-G849)*'Assumptions and Catalog'!$H$51+'Assumptions and Catalog'!$E$51+'Assumptions and Catalog'!$F$51,IF(((D849+E849)*C849-G849)&lt;='Assumptions and Catalog'!$C$52,((D849+E849)*C849-G849)*'Assumptions and Catalog'!$H$52+'Assumptions and Catalog'!$E$52+'Assumptions and Catalog'!$F$52,IF(((D849+E849)*C849-G849)&lt;='Assumptions and Catalog'!$C$53,((D849+E849)*C849-G849)*'Assumptions and Catalog'!$H$53+'Assumptions and Catalog'!$E$53+'Assumptions and Catalog'!$F$53,IF(((D849+E849)*C849-G849)&lt;='Assumptions and Catalog'!$C$54,((D849+E849)*C849-G849)*'Assumptions and Catalog'!$H$54+'Assumptions and Catalog'!$E$54+'Assumptions and Catalog'!$F$54,IF(((D849+E849)*C849-G849)&lt;='Assumptions and Catalog'!$C$55,((D849+E849)*C849-G849)*'Assumptions and Catalog'!$H$55+'Assumptions and Catalog'!$E$55+'Assumptions and Catalog'!$F$55,IF(((D849+E849)*C849-G849)&lt;='Assumptions and Catalog'!$C$56,((D849+E849)*C849-G849)*'Assumptions and Catalog'!$H$56+'Assumptions and Catalog'!$E$56+'Assumptions and Catalog'!$F$56,IF(((D849+E849)*C849-G849)&lt;='Assumptions and Catalog'!$C$57,((D849+E849)*C849-G849)*'Assumptions and Catalog'!$H$57+'Assumptions and Catalog'!$E$57+'Assumptions and Catalog'!$F$57,"Out of range")))))))),IF(((D849+E849)*C849-G849)&lt;='Assumptions and Catalog'!$C$60,((D849+E849)*C849-G849)*'Assumptions and Catalog'!$H$60+'Assumptions and Catalog'!$E$60+'Assumptions and Catalog'!$F$60,IF(((D849+E849)*C849-G849)&lt;='Assumptions and Catalog'!$C$61,((D849+E849)*C849-G849)*'Assumptions and Catalog'!$H$61+'Assumptions and Catalog'!$E$61+'Assumptions and Catalog'!$F$61,IF(((D849+E849)*C849-G849)&lt;='Assumptions and Catalog'!$C$62,((D849+E849)*C849-G849)*'Assumptions and Catalog'!$H$62+'Assumptions and Catalog'!$E$62+'Assumptions and Catalog'!$F$62,IF(((D849+E849)*C849-G849)&lt;='Assumptions and Catalog'!$C$63,((D849+E849)*C849-G849)*'Assumptions and Catalog'!$H$63+'Assumptions and Catalog'!$E$63+'Assumptions and Catalog'!$F$63,IF(((D849+E849)*C849-G849)&lt;='Assumptions and Catalog'!$C$64,((D849+E849)*C849-G849)*'Assumptions and Catalog'!$H$64+'Assumptions and Catalog'!$E$64+'Assumptions and Catalog'!$F$64,IF(((D849+E849)*C849-G849)&lt;='Assumptions and Catalog'!$C$65,((D849+E849)*C849-G849)*'Assumptions and Catalog'!$H$65+'Assumptions and Catalog'!$E$65+'Assumptions and Catalog'!$F$65,"Out of range")))))))))*(1+'Assumptions and Catalog'!$C$8)^(A849-1),0)</f>
        <v>3453.61</v>
      </c>
      <c r="R849" s="5" t="n">
        <f>IF(AND('Assumptions and Catalog'!$C$19&gt;0,A849&gt;='Assumptions and Catalog'!$C$19),A849-'Assumptions and Catalog'!$C$19,A849-1)</f>
        <v>5</v>
      </c>
      <c r="S849" s="5" t="n">
        <f>F849+L849-(D849+E849)*C849-J849-K849-IF(E$52&gt;0,'Assumptions and Catalog'!$C$26*C849,0)</f>
        <v>1.70530256582424E-013</v>
      </c>
      <c r="T849" s="5"/>
      <c r="U849" s="5"/>
    </row>
    <row r="850" ht="23.100000381469727" customHeight="1">
      <c r="A850" s="5" t="n">
        <v>16</v>
      </c>
      <c r="B850" s="5" t="n">
        <v>10</v>
      </c>
      <c r="C850" s="5" t="n">
        <f>DAY(DATE('Assumptions and Catalog'!$C$24+A850-1,B850+1,0))</f>
        <v>31</v>
      </c>
      <c r="D850" s="5" t="n">
        <f>IF(ISNUMBER(Inputs!$L$5),Inputs!$L$5*Inputs!$L$6,0)</f>
        <v>40.35</v>
      </c>
      <c r="E850" s="5" t="n">
        <f>IF(ISNUMBER(Inputs!$L$5),Inputs!$L$5-D850,0)</f>
        <v>40.35</v>
      </c>
      <c r="F850" s="5" t="n">
        <f>E$51*INDEX('Solar Production'!$D$20:$D$31,B850)*C850*(1-'Assumptions and Catalog'!$C$10)^(A850-1)</f>
        <v>1576.70956026646</v>
      </c>
      <c r="G850" s="5" t="n">
        <f>MIN(F850,D850*C850)</f>
        <v>1250.85</v>
      </c>
      <c r="H850" s="5" t="n">
        <f>I850/('Assumptions and Catalog'!$C$11*'Assumptions and Catalog'!$C$12)</f>
        <v>294.298069473018</v>
      </c>
      <c r="I850" s="5" t="n">
        <f>MIN(E850*C850,P850*'Assumptions and Catalog'!$C$12*C850,(F850-G850)*'Assumptions and Catalog'!$C$11*'Assumptions and Catalog'!$C$12,E$56*'Assumptions and Catalog'!$C$14*'Assumptions and Catalog'!$C$11*'Assumptions and Catalog'!$C$12*C850,E$57*(24-'Assumptions and Catalog'!$C$13)*C850)</f>
        <v>279.767102292787</v>
      </c>
      <c r="J850" s="5" t="n">
        <f>MAX(F850-G850-H850,0)</f>
        <v>31.5614907934407</v>
      </c>
      <c r="K850" s="5" t="n">
        <f>H850-I850</f>
        <v>14.5309671802303</v>
      </c>
      <c r="L850" s="5" t="n">
        <f>(D850+E850)*C850-G850-I850+0+IF(E$52&gt;0,'Assumptions and Catalog'!$C$26*C850,0)</f>
        <v>971.082897707213</v>
      </c>
      <c r="M850" s="5" t="n">
        <f>IF(ISNUMBER(Inputs!$L$5),(IF(Inputs!$L$9="Actual flat rate",((D850+E850)*C850)*Inputs!$L$10,IF(Inputs!$C$9="Residential",IF(((D850+E850)*C850)&lt;='Assumptions and Catalog'!$C$50,((D850+E850)*C850)*'Assumptions and Catalog'!$H$50+'Assumptions and Catalog'!$E$50+'Assumptions and Catalog'!$F$50,IF(((D850+E850)*C850)&lt;='Assumptions and Catalog'!$C$51,((D850+E850)*C850)*'Assumptions and Catalog'!$H$51+'Assumptions and Catalog'!$E$51+'Assumptions and Catalog'!$F$51,IF(((D850+E850)*C850)&lt;='Assumptions and Catalog'!$C$52,((D850+E850)*C850)*'Assumptions and Catalog'!$H$52+'Assumptions and Catalog'!$E$52+'Assumptions and Catalog'!$F$52,IF(((D850+E850)*C850)&lt;='Assumptions and Catalog'!$C$53,((D850+E850)*C850)*'Assumptions and Catalog'!$H$53+'Assumptions and Catalog'!$E$53+'Assumptions and Catalog'!$F$53,IF(((D850+E850)*C850)&lt;='Assumptions and Catalog'!$C$54,((D850+E850)*C850)*'Assumptions and Catalog'!$H$54+'Assumptions and Catalog'!$E$54+'Assumptions and Catalog'!$F$54,IF(((D850+E850)*C850)&lt;='Assumptions and Catalog'!$C$55,((D850+E850)*C850)*'Assumptions and Catalog'!$H$55+'Assumptions and Catalog'!$E$55+'Assumptions and Catalog'!$F$55,IF(((D850+E850)*C850)&lt;='Assumptions and Catalog'!$C$56,((D850+E850)*C850)*'Assumptions and Catalog'!$H$56+'Assumptions and Catalog'!$E$56+'Assumptions and Catalog'!$F$56,IF(((D850+E850)*C850)&lt;='Assumptions and Catalog'!$C$57,((D850+E850)*C850)*'Assumptions and Catalog'!$H$57+'Assumptions and Catalog'!$E$57+'Assumptions and Catalog'!$F$57,"Out of range")))))))),IF(((D850+E850)*C850)&lt;='Assumptions and Catalog'!$C$60,((D850+E850)*C850)*'Assumptions and Catalog'!$H$60+'Assumptions and Catalog'!$E$60+'Assumptions and Catalog'!$F$60,IF(((D850+E850)*C850)&lt;='Assumptions and Catalog'!$C$61,((D850+E850)*C850)*'Assumptions and Catalog'!$H$61+'Assumptions and Catalog'!$E$61+'Assumptions and Catalog'!$F$61,IF(((D850+E850)*C850)&lt;='Assumptions and Catalog'!$C$62,((D850+E850)*C850)*'Assumptions and Catalog'!$H$62+'Assumptions and Catalog'!$E$62+'Assumptions and Catalog'!$F$62,IF(((D850+E850)*C850)&lt;='Assumptions and Catalog'!$C$63,((D850+E850)*C850)*'Assumptions and Catalog'!$H$63+'Assumptions and Catalog'!$E$63+'Assumptions and Catalog'!$F$63,IF(((D850+E850)*C850)&lt;='Assumptions and Catalog'!$C$64,((D850+E850)*C850)*'Assumptions and Catalog'!$H$64+'Assumptions and Catalog'!$E$64+'Assumptions and Catalog'!$F$64,IF(((D850+E850)*C850)&lt;='Assumptions and Catalog'!$C$65,((D850+E850)*C850)*'Assumptions and Catalog'!$H$65+'Assumptions and Catalog'!$E$65+'Assumptions and Catalog'!$F$65,"Out of range")))))))))*(1+'Assumptions and Catalog'!$C$8)^(A850-1),0)</f>
        <v>7094.794</v>
      </c>
      <c r="N850" s="5" t="n">
        <f>IF(ISNUMBER(Inputs!$L$5),(IF(Inputs!$L$9="Actual flat rate",L850*Inputs!$L$10,IF(Inputs!$C$9="Residential",IF(L850&lt;='Assumptions and Catalog'!$C$50,L850*'Assumptions and Catalog'!$H$50+'Assumptions and Catalog'!$E$50+'Assumptions and Catalog'!$F$50,IF(L850&lt;='Assumptions and Catalog'!$C$51,L850*'Assumptions and Catalog'!$H$51+'Assumptions and Catalog'!$E$51+'Assumptions and Catalog'!$F$51,IF(L850&lt;='Assumptions and Catalog'!$C$52,L850*'Assumptions and Catalog'!$H$52+'Assumptions and Catalog'!$E$52+'Assumptions and Catalog'!$F$52,IF(L850&lt;='Assumptions and Catalog'!$C$53,L850*'Assumptions and Catalog'!$H$53+'Assumptions and Catalog'!$E$53+'Assumptions and Catalog'!$F$53,IF(L850&lt;='Assumptions and Catalog'!$C$54,L850*'Assumptions and Catalog'!$H$54+'Assumptions and Catalog'!$E$54+'Assumptions and Catalog'!$F$54,IF(L850&lt;='Assumptions and Catalog'!$C$55,L850*'Assumptions and Catalog'!$H$55+'Assumptions and Catalog'!$E$55+'Assumptions and Catalog'!$F$55,IF(L850&lt;='Assumptions and Catalog'!$C$56,L850*'Assumptions and Catalog'!$H$56+'Assumptions and Catalog'!$E$56+'Assumptions and Catalog'!$F$56,IF(L850&lt;='Assumptions and Catalog'!$C$57,L850*'Assumptions and Catalog'!$H$57+'Assumptions and Catalog'!$E$57+'Assumptions and Catalog'!$F$57,"Out of range")))))))),IF(L850&lt;='Assumptions and Catalog'!$C$60,L850*'Assumptions and Catalog'!$H$60+'Assumptions and Catalog'!$E$60+'Assumptions and Catalog'!$F$60,IF(L850&lt;='Assumptions and Catalog'!$C$61,L850*'Assumptions and Catalog'!$H$61+'Assumptions and Catalog'!$E$61+'Assumptions and Catalog'!$F$61,IF(L850&lt;='Assumptions and Catalog'!$C$62,L850*'Assumptions and Catalog'!$H$62+'Assumptions and Catalog'!$E$62+'Assumptions and Catalog'!$F$62,IF(L850&lt;='Assumptions and Catalog'!$C$63,L850*'Assumptions and Catalog'!$H$63+'Assumptions and Catalog'!$E$63+'Assumptions and Catalog'!$F$63,IF(L850&lt;='Assumptions and Catalog'!$C$64,L850*'Assumptions and Catalog'!$H$64+'Assumptions and Catalog'!$E$64+'Assumptions and Catalog'!$F$64,IF(L850&lt;='Assumptions and Catalog'!$C$65,L850*'Assumptions and Catalog'!$H$65+'Assumptions and Catalog'!$E$65+'Assumptions and Catalog'!$F$65,"Out of range")))))))))*(1+'Assumptions and Catalog'!$C$8)^(A850-1),0)</f>
        <v>2654.89962664898</v>
      </c>
      <c r="O850" s="5" t="n">
        <f>M850-N850</f>
        <v>4439.89437335102</v>
      </c>
      <c r="P850" s="5" t="n">
        <f>E$55*(1-L$14)*(1-'Assumptions and Catalog'!$C$23)^R850</f>
        <v>9.256148959232</v>
      </c>
      <c r="Q850" s="5" t="n">
        <f>IF(ISNUMBER(Inputs!$L$5),(IF(Inputs!$L$9="Actual flat rate",((D850+E850)*C850-G850)*Inputs!$L$10,IF(Inputs!$C$9="Residential",IF(((D850+E850)*C850-G850)&lt;='Assumptions and Catalog'!$C$50,((D850+E850)*C850-G850)*'Assumptions and Catalog'!$H$50+'Assumptions and Catalog'!$E$50+'Assumptions and Catalog'!$F$50,IF(((D850+E850)*C850-G850)&lt;='Assumptions and Catalog'!$C$51,((D850+E850)*C850-G850)*'Assumptions and Catalog'!$H$51+'Assumptions and Catalog'!$E$51+'Assumptions and Catalog'!$F$51,IF(((D850+E850)*C850-G850)&lt;='Assumptions and Catalog'!$C$52,((D850+E850)*C850-G850)*'Assumptions and Catalog'!$H$52+'Assumptions and Catalog'!$E$52+'Assumptions and Catalog'!$F$52,IF(((D850+E850)*C850-G850)&lt;='Assumptions and Catalog'!$C$53,((D850+E850)*C850-G850)*'Assumptions and Catalog'!$H$53+'Assumptions and Catalog'!$E$53+'Assumptions and Catalog'!$F$53,IF(((D850+E850)*C850-G850)&lt;='Assumptions and Catalog'!$C$54,((D850+E850)*C850-G850)*'Assumptions and Catalog'!$H$54+'Assumptions and Catalog'!$E$54+'Assumptions and Catalog'!$F$54,IF(((D850+E850)*C850-G850)&lt;='Assumptions and Catalog'!$C$55,((D850+E850)*C850-G850)*'Assumptions and Catalog'!$H$55+'Assumptions and Catalog'!$E$55+'Assumptions and Catalog'!$F$55,IF(((D850+E850)*C850-G850)&lt;='Assumptions and Catalog'!$C$56,((D850+E850)*C850-G850)*'Assumptions and Catalog'!$H$56+'Assumptions and Catalog'!$E$56+'Assumptions and Catalog'!$F$56,IF(((D850+E850)*C850-G850)&lt;='Assumptions and Catalog'!$C$57,((D850+E850)*C850-G850)*'Assumptions and Catalog'!$H$57+'Assumptions and Catalog'!$E$57+'Assumptions and Catalog'!$F$57,"Out of range")))))))),IF(((D850+E850)*C850-G850)&lt;='Assumptions and Catalog'!$C$60,((D850+E850)*C850-G850)*'Assumptions and Catalog'!$H$60+'Assumptions and Catalog'!$E$60+'Assumptions and Catalog'!$F$60,IF(((D850+E850)*C850-G850)&lt;='Assumptions and Catalog'!$C$61,((D850+E850)*C850-G850)*'Assumptions and Catalog'!$H$61+'Assumptions and Catalog'!$E$61+'Assumptions and Catalog'!$F$61,IF(((D850+E850)*C850-G850)&lt;='Assumptions and Catalog'!$C$62,((D850+E850)*C850-G850)*'Assumptions and Catalog'!$H$62+'Assumptions and Catalog'!$E$62+'Assumptions and Catalog'!$F$62,IF(((D850+E850)*C850-G850)&lt;='Assumptions and Catalog'!$C$63,((D850+E850)*C850-G850)*'Assumptions and Catalog'!$H$63+'Assumptions and Catalog'!$E$63+'Assumptions and Catalog'!$F$63,IF(((D850+E850)*C850-G850)&lt;='Assumptions and Catalog'!$C$64,((D850+E850)*C850-G850)*'Assumptions and Catalog'!$H$64+'Assumptions and Catalog'!$E$64+'Assumptions and Catalog'!$F$64,IF(((D850+E850)*C850-G850)&lt;='Assumptions and Catalog'!$C$65,((D850+E850)*C850-G850)*'Assumptions and Catalog'!$H$65+'Assumptions and Catalog'!$E$65+'Assumptions and Catalog'!$F$65,"Out of range")))))))))*(1+'Assumptions and Catalog'!$C$8)^(A850-1),0)</f>
        <v>3567.397</v>
      </c>
      <c r="R850" s="5" t="n">
        <f>IF(AND('Assumptions and Catalog'!$C$19&gt;0,A850&gt;='Assumptions and Catalog'!$C$19),A850-'Assumptions and Catalog'!$C$19,A850-1)</f>
        <v>5</v>
      </c>
      <c r="S850" s="5" t="n">
        <f>F850+L850-(D850+E850)*C850-J850-K850-IF(E$52&gt;0,'Assumptions and Catalog'!$C$26*C850,0)</f>
        <v>-2.8421709430404E-013</v>
      </c>
      <c r="T850" s="5"/>
      <c r="U850" s="5"/>
    </row>
    <row r="851" ht="23.100000381469727" customHeight="1">
      <c r="A851" s="5" t="n">
        <v>16</v>
      </c>
      <c r="B851" s="5" t="n">
        <v>11</v>
      </c>
      <c r="C851" s="5" t="n">
        <f>DAY(DATE('Assumptions and Catalog'!$C$24+A851-1,B851+1,0))</f>
        <v>30</v>
      </c>
      <c r="D851" s="5" t="n">
        <f>IF(ISNUMBER(Inputs!$L$5),Inputs!$L$5*Inputs!$L$6,0)</f>
        <v>40.35</v>
      </c>
      <c r="E851" s="5" t="n">
        <f>IF(ISNUMBER(Inputs!$L$5),Inputs!$L$5-D851,0)</f>
        <v>40.35</v>
      </c>
      <c r="F851" s="5" t="n">
        <f>E$51*INDEX('Solar Production'!$D$20:$D$31,B851)*C851*(1-'Assumptions and Catalog'!$C$10)^(A851-1)</f>
        <v>1397.54033824951</v>
      </c>
      <c r="G851" s="5" t="n">
        <f>MIN(F851,D851*C851)</f>
        <v>1210.5</v>
      </c>
      <c r="H851" s="5" t="n">
        <f>I851/('Assumptions and Catalog'!$C$11*'Assumptions and Catalog'!$C$12)</f>
        <v>187.04033824951</v>
      </c>
      <c r="I851" s="5" t="n">
        <f>MIN(E851*C851,P851*'Assumptions and Catalog'!$C$12*C851,(F851-G851)*'Assumptions and Catalog'!$C$11*'Assumptions and Catalog'!$C$12,E$56*'Assumptions and Catalog'!$C$14*'Assumptions and Catalog'!$C$11*'Assumptions and Catalog'!$C$12*C851,E$57*(24-'Assumptions and Catalog'!$C$13)*C851)</f>
        <v>177.805221548441</v>
      </c>
      <c r="J851" s="5" t="n">
        <f>MAX(F851-G851-H851,0)</f>
        <v>0</v>
      </c>
      <c r="K851" s="5" t="n">
        <f>H851-I851</f>
        <v>9.23511670106959</v>
      </c>
      <c r="L851" s="5" t="n">
        <f>(D851+E851)*C851-G851-I851+0+IF(E$52&gt;0,'Assumptions and Catalog'!$C$26*C851,0)</f>
        <v>1032.69477845156</v>
      </c>
      <c r="M851" s="5" t="n">
        <f>IF(ISNUMBER(Inputs!$L$5),(IF(Inputs!$L$9="Actual flat rate",((D851+E851)*C851)*Inputs!$L$10,IF(Inputs!$C$9="Residential",IF(((D851+E851)*C851)&lt;='Assumptions and Catalog'!$C$50,((D851+E851)*C851)*'Assumptions and Catalog'!$H$50+'Assumptions and Catalog'!$E$50+'Assumptions and Catalog'!$F$50,IF(((D851+E851)*C851)&lt;='Assumptions and Catalog'!$C$51,((D851+E851)*C851)*'Assumptions and Catalog'!$H$51+'Assumptions and Catalog'!$E$51+'Assumptions and Catalog'!$F$51,IF(((D851+E851)*C851)&lt;='Assumptions and Catalog'!$C$52,((D851+E851)*C851)*'Assumptions and Catalog'!$H$52+'Assumptions and Catalog'!$E$52+'Assumptions and Catalog'!$F$52,IF(((D851+E851)*C851)&lt;='Assumptions and Catalog'!$C$53,((D851+E851)*C851)*'Assumptions and Catalog'!$H$53+'Assumptions and Catalog'!$E$53+'Assumptions and Catalog'!$F$53,IF(((D851+E851)*C851)&lt;='Assumptions and Catalog'!$C$54,((D851+E851)*C851)*'Assumptions and Catalog'!$H$54+'Assumptions and Catalog'!$E$54+'Assumptions and Catalog'!$F$54,IF(((D851+E851)*C851)&lt;='Assumptions and Catalog'!$C$55,((D851+E851)*C851)*'Assumptions and Catalog'!$H$55+'Assumptions and Catalog'!$E$55+'Assumptions and Catalog'!$F$55,IF(((D851+E851)*C851)&lt;='Assumptions and Catalog'!$C$56,((D851+E851)*C851)*'Assumptions and Catalog'!$H$56+'Assumptions and Catalog'!$E$56+'Assumptions and Catalog'!$F$56,IF(((D851+E851)*C851)&lt;='Assumptions and Catalog'!$C$57,((D851+E851)*C851)*'Assumptions and Catalog'!$H$57+'Assumptions and Catalog'!$E$57+'Assumptions and Catalog'!$F$57,"Out of range")))))))),IF(((D851+E851)*C851)&lt;='Assumptions and Catalog'!$C$60,((D851+E851)*C851)*'Assumptions and Catalog'!$H$60+'Assumptions and Catalog'!$E$60+'Assumptions and Catalog'!$F$60,IF(((D851+E851)*C851)&lt;='Assumptions and Catalog'!$C$61,((D851+E851)*C851)*'Assumptions and Catalog'!$H$61+'Assumptions and Catalog'!$E$61+'Assumptions and Catalog'!$F$61,IF(((D851+E851)*C851)&lt;='Assumptions and Catalog'!$C$62,((D851+E851)*C851)*'Assumptions and Catalog'!$H$62+'Assumptions and Catalog'!$E$62+'Assumptions and Catalog'!$F$62,IF(((D851+E851)*C851)&lt;='Assumptions and Catalog'!$C$63,((D851+E851)*C851)*'Assumptions and Catalog'!$H$63+'Assumptions and Catalog'!$E$63+'Assumptions and Catalog'!$F$63,IF(((D851+E851)*C851)&lt;='Assumptions and Catalog'!$C$64,((D851+E851)*C851)*'Assumptions and Catalog'!$H$64+'Assumptions and Catalog'!$E$64+'Assumptions and Catalog'!$F$64,IF(((D851+E851)*C851)&lt;='Assumptions and Catalog'!$C$65,((D851+E851)*C851)*'Assumptions and Catalog'!$H$65+'Assumptions and Catalog'!$E$65+'Assumptions and Catalog'!$F$65,"Out of range")))))))))*(1+'Assumptions and Catalog'!$C$8)^(A851-1),0)</f>
        <v>6867.22</v>
      </c>
      <c r="N851" s="5" t="n">
        <f>IF(ISNUMBER(Inputs!$L$5),(IF(Inputs!$L$9="Actual flat rate",L851*Inputs!$L$10,IF(Inputs!$C$9="Residential",IF(L851&lt;='Assumptions and Catalog'!$C$50,L851*'Assumptions and Catalog'!$H$50+'Assumptions and Catalog'!$E$50+'Assumptions and Catalog'!$F$50,IF(L851&lt;='Assumptions and Catalog'!$C$51,L851*'Assumptions and Catalog'!$H$51+'Assumptions and Catalog'!$E$51+'Assumptions and Catalog'!$F$51,IF(L851&lt;='Assumptions and Catalog'!$C$52,L851*'Assumptions and Catalog'!$H$52+'Assumptions and Catalog'!$E$52+'Assumptions and Catalog'!$F$52,IF(L851&lt;='Assumptions and Catalog'!$C$53,L851*'Assumptions and Catalog'!$H$53+'Assumptions and Catalog'!$E$53+'Assumptions and Catalog'!$F$53,IF(L851&lt;='Assumptions and Catalog'!$C$54,L851*'Assumptions and Catalog'!$H$54+'Assumptions and Catalog'!$E$54+'Assumptions and Catalog'!$F$54,IF(L851&lt;='Assumptions and Catalog'!$C$55,L851*'Assumptions and Catalog'!$H$55+'Assumptions and Catalog'!$E$55+'Assumptions and Catalog'!$F$55,IF(L851&lt;='Assumptions and Catalog'!$C$56,L851*'Assumptions and Catalog'!$H$56+'Assumptions and Catalog'!$E$56+'Assumptions and Catalog'!$F$56,IF(L851&lt;='Assumptions and Catalog'!$C$57,L851*'Assumptions and Catalog'!$H$57+'Assumptions and Catalog'!$E$57+'Assumptions and Catalog'!$F$57,"Out of range")))))))),IF(L851&lt;='Assumptions and Catalog'!$C$60,L851*'Assumptions and Catalog'!$H$60+'Assumptions and Catalog'!$E$60+'Assumptions and Catalog'!$F$60,IF(L851&lt;='Assumptions and Catalog'!$C$61,L851*'Assumptions and Catalog'!$H$61+'Assumptions and Catalog'!$E$61+'Assumptions and Catalog'!$F$61,IF(L851&lt;='Assumptions and Catalog'!$C$62,L851*'Assumptions and Catalog'!$H$62+'Assumptions and Catalog'!$E$62+'Assumptions and Catalog'!$F$62,IF(L851&lt;='Assumptions and Catalog'!$C$63,L851*'Assumptions and Catalog'!$H$63+'Assumptions and Catalog'!$E$63+'Assumptions and Catalog'!$F$63,IF(L851&lt;='Assumptions and Catalog'!$C$64,L851*'Assumptions and Catalog'!$H$64+'Assumptions and Catalog'!$E$64+'Assumptions and Catalog'!$F$64,IF(L851&lt;='Assumptions and Catalog'!$C$65,L851*'Assumptions and Catalog'!$H$65+'Assumptions and Catalog'!$E$65+'Assumptions and Catalog'!$F$65,"Out of range")))))))))*(1+'Assumptions and Catalog'!$C$8)^(A851-1),0)</f>
        <v>2952.1992752334</v>
      </c>
      <c r="O851" s="5" t="n">
        <f>M851-N851</f>
        <v>3915.0207247666</v>
      </c>
      <c r="P851" s="5" t="n">
        <f>E$55*(1-L$14)*(1-'Assumptions and Catalog'!$C$23)^R851</f>
        <v>9.256148959232</v>
      </c>
      <c r="Q851" s="5" t="n">
        <f>IF(ISNUMBER(Inputs!$L$5),(IF(Inputs!$L$9="Actual flat rate",((D851+E851)*C851-G851)*Inputs!$L$10,IF(Inputs!$C$9="Residential",IF(((D851+E851)*C851-G851)&lt;='Assumptions and Catalog'!$C$50,((D851+E851)*C851-G851)*'Assumptions and Catalog'!$H$50+'Assumptions and Catalog'!$E$50+'Assumptions and Catalog'!$F$50,IF(((D851+E851)*C851-G851)&lt;='Assumptions and Catalog'!$C$51,((D851+E851)*C851-G851)*'Assumptions and Catalog'!$H$51+'Assumptions and Catalog'!$E$51+'Assumptions and Catalog'!$F$51,IF(((D851+E851)*C851-G851)&lt;='Assumptions and Catalog'!$C$52,((D851+E851)*C851-G851)*'Assumptions and Catalog'!$H$52+'Assumptions and Catalog'!$E$52+'Assumptions and Catalog'!$F$52,IF(((D851+E851)*C851-G851)&lt;='Assumptions and Catalog'!$C$53,((D851+E851)*C851-G851)*'Assumptions and Catalog'!$H$53+'Assumptions and Catalog'!$E$53+'Assumptions and Catalog'!$F$53,IF(((D851+E851)*C851-G851)&lt;='Assumptions and Catalog'!$C$54,((D851+E851)*C851-G851)*'Assumptions and Catalog'!$H$54+'Assumptions and Catalog'!$E$54+'Assumptions and Catalog'!$F$54,IF(((D851+E851)*C851-G851)&lt;='Assumptions and Catalog'!$C$55,((D851+E851)*C851-G851)*'Assumptions and Catalog'!$H$55+'Assumptions and Catalog'!$E$55+'Assumptions and Catalog'!$F$55,IF(((D851+E851)*C851-G851)&lt;='Assumptions and Catalog'!$C$56,((D851+E851)*C851-G851)*'Assumptions and Catalog'!$H$56+'Assumptions and Catalog'!$E$56+'Assumptions and Catalog'!$F$56,IF(((D851+E851)*C851-G851)&lt;='Assumptions and Catalog'!$C$57,((D851+E851)*C851-G851)*'Assumptions and Catalog'!$H$57+'Assumptions and Catalog'!$E$57+'Assumptions and Catalog'!$F$57,"Out of range")))))))),IF(((D851+E851)*C851-G851)&lt;='Assumptions and Catalog'!$C$60,((D851+E851)*C851-G851)*'Assumptions and Catalog'!$H$60+'Assumptions and Catalog'!$E$60+'Assumptions and Catalog'!$F$60,IF(((D851+E851)*C851-G851)&lt;='Assumptions and Catalog'!$C$61,((D851+E851)*C851-G851)*'Assumptions and Catalog'!$H$61+'Assumptions and Catalog'!$E$61+'Assumptions and Catalog'!$F$61,IF(((D851+E851)*C851-G851)&lt;='Assumptions and Catalog'!$C$62,((D851+E851)*C851-G851)*'Assumptions and Catalog'!$H$62+'Assumptions and Catalog'!$E$62+'Assumptions and Catalog'!$F$62,IF(((D851+E851)*C851-G851)&lt;='Assumptions and Catalog'!$C$63,((D851+E851)*C851-G851)*'Assumptions and Catalog'!$H$63+'Assumptions and Catalog'!$E$63+'Assumptions and Catalog'!$F$63,IF(((D851+E851)*C851-G851)&lt;='Assumptions and Catalog'!$C$64,((D851+E851)*C851-G851)*'Assumptions and Catalog'!$H$64+'Assumptions and Catalog'!$E$64+'Assumptions and Catalog'!$F$64,IF(((D851+E851)*C851-G851)&lt;='Assumptions and Catalog'!$C$65,((D851+E851)*C851-G851)*'Assumptions and Catalog'!$H$65+'Assumptions and Catalog'!$E$65+'Assumptions and Catalog'!$F$65,"Out of range")))))))))*(1+'Assumptions and Catalog'!$C$8)^(A851-1),0)</f>
        <v>3453.61</v>
      </c>
      <c r="R851" s="5" t="n">
        <f>IF(AND('Assumptions and Catalog'!$C$19&gt;0,A851&gt;='Assumptions and Catalog'!$C$19),A851-'Assumptions and Catalog'!$C$19,A851-1)</f>
        <v>5</v>
      </c>
      <c r="S851" s="5" t="n">
        <f>F851+L851-(D851+E851)*C851-J851-K851-IF(E$52&gt;0,'Assumptions and Catalog'!$C$26*C851,0)</f>
        <v>-3.12638803734444E-013</v>
      </c>
      <c r="T851" s="5"/>
      <c r="U851" s="5"/>
    </row>
    <row r="852" ht="23.100000381469727" customHeight="1">
      <c r="A852" s="5" t="n">
        <v>16</v>
      </c>
      <c r="B852" s="5" t="n">
        <v>12</v>
      </c>
      <c r="C852" s="5" t="n">
        <f>DAY(DATE('Assumptions and Catalog'!$C$24+A852-1,B852+1,0))</f>
        <v>31</v>
      </c>
      <c r="D852" s="5" t="n">
        <f>IF(ISNUMBER(Inputs!$L$5),Inputs!$L$5*Inputs!$L$6,0)</f>
        <v>40.35</v>
      </c>
      <c r="E852" s="5" t="n">
        <f>IF(ISNUMBER(Inputs!$L$5),Inputs!$L$5-D852,0)</f>
        <v>40.35</v>
      </c>
      <c r="F852" s="5" t="n">
        <f>E$51*INDEX('Solar Production'!$D$20:$D$31,B852)*C852*(1-'Assumptions and Catalog'!$C$10)^(A852-1)</f>
        <v>1330.50492887301</v>
      </c>
      <c r="G852" s="5" t="n">
        <f>MIN(F852,D852*C852)</f>
        <v>1250.85</v>
      </c>
      <c r="H852" s="5" t="n">
        <f>I852/('Assumptions and Catalog'!$C$11*'Assumptions and Catalog'!$C$12)</f>
        <v>79.6549288730096</v>
      </c>
      <c r="I852" s="5" t="n">
        <f>MIN(E852*C852,P852*'Assumptions and Catalog'!$C$12*C852,(F852-G852)*'Assumptions and Catalog'!$C$11*'Assumptions and Catalog'!$C$12,E$56*'Assumptions and Catalog'!$C$14*'Assumptions and Catalog'!$C$11*'Assumptions and Catalog'!$C$12*C852,E$57*(24-'Assumptions and Catalog'!$C$13)*C852)</f>
        <v>75.7219667599047</v>
      </c>
      <c r="J852" s="5" t="n">
        <f>MAX(F852-G852-H852,0)</f>
        <v>0</v>
      </c>
      <c r="K852" s="5" t="n">
        <f>H852-I852</f>
        <v>3.93296211310485</v>
      </c>
      <c r="L852" s="5" t="n">
        <f>(D852+E852)*C852-G852-I852+0+IF(E$52&gt;0,'Assumptions and Catalog'!$C$26*C852,0)</f>
        <v>1175.1280332401</v>
      </c>
      <c r="M852" s="5" t="n">
        <f>IF(ISNUMBER(Inputs!$L$5),(IF(Inputs!$L$9="Actual flat rate",((D852+E852)*C852)*Inputs!$L$10,IF(Inputs!$C$9="Residential",IF(((D852+E852)*C852)&lt;='Assumptions and Catalog'!$C$50,((D852+E852)*C852)*'Assumptions and Catalog'!$H$50+'Assumptions and Catalog'!$E$50+'Assumptions and Catalog'!$F$50,IF(((D852+E852)*C852)&lt;='Assumptions and Catalog'!$C$51,((D852+E852)*C852)*'Assumptions and Catalog'!$H$51+'Assumptions and Catalog'!$E$51+'Assumptions and Catalog'!$F$51,IF(((D852+E852)*C852)&lt;='Assumptions and Catalog'!$C$52,((D852+E852)*C852)*'Assumptions and Catalog'!$H$52+'Assumptions and Catalog'!$E$52+'Assumptions and Catalog'!$F$52,IF(((D852+E852)*C852)&lt;='Assumptions and Catalog'!$C$53,((D852+E852)*C852)*'Assumptions and Catalog'!$H$53+'Assumptions and Catalog'!$E$53+'Assumptions and Catalog'!$F$53,IF(((D852+E852)*C852)&lt;='Assumptions and Catalog'!$C$54,((D852+E852)*C852)*'Assumptions and Catalog'!$H$54+'Assumptions and Catalog'!$E$54+'Assumptions and Catalog'!$F$54,IF(((D852+E852)*C852)&lt;='Assumptions and Catalog'!$C$55,((D852+E852)*C852)*'Assumptions and Catalog'!$H$55+'Assumptions and Catalog'!$E$55+'Assumptions and Catalog'!$F$55,IF(((D852+E852)*C852)&lt;='Assumptions and Catalog'!$C$56,((D852+E852)*C852)*'Assumptions and Catalog'!$H$56+'Assumptions and Catalog'!$E$56+'Assumptions and Catalog'!$F$56,IF(((D852+E852)*C852)&lt;='Assumptions and Catalog'!$C$57,((D852+E852)*C852)*'Assumptions and Catalog'!$H$57+'Assumptions and Catalog'!$E$57+'Assumptions and Catalog'!$F$57,"Out of range")))))))),IF(((D852+E852)*C852)&lt;='Assumptions and Catalog'!$C$60,((D852+E852)*C852)*'Assumptions and Catalog'!$H$60+'Assumptions and Catalog'!$E$60+'Assumptions and Catalog'!$F$60,IF(((D852+E852)*C852)&lt;='Assumptions and Catalog'!$C$61,((D852+E852)*C852)*'Assumptions and Catalog'!$H$61+'Assumptions and Catalog'!$E$61+'Assumptions and Catalog'!$F$61,IF(((D852+E852)*C852)&lt;='Assumptions and Catalog'!$C$62,((D852+E852)*C852)*'Assumptions and Catalog'!$H$62+'Assumptions and Catalog'!$E$62+'Assumptions and Catalog'!$F$62,IF(((D852+E852)*C852)&lt;='Assumptions and Catalog'!$C$63,((D852+E852)*C852)*'Assumptions and Catalog'!$H$63+'Assumptions and Catalog'!$E$63+'Assumptions and Catalog'!$F$63,IF(((D852+E852)*C852)&lt;='Assumptions and Catalog'!$C$64,((D852+E852)*C852)*'Assumptions and Catalog'!$H$64+'Assumptions and Catalog'!$E$64+'Assumptions and Catalog'!$F$64,IF(((D852+E852)*C852)&lt;='Assumptions and Catalog'!$C$65,((D852+E852)*C852)*'Assumptions and Catalog'!$H$65+'Assumptions and Catalog'!$E$65+'Assumptions and Catalog'!$F$65,"Out of range")))))))))*(1+'Assumptions and Catalog'!$C$8)^(A852-1),0)</f>
        <v>7094.794</v>
      </c>
      <c r="N852" s="5" t="n">
        <f>IF(ISNUMBER(Inputs!$L$5),(IF(Inputs!$L$9="Actual flat rate",L852*Inputs!$L$10,IF(Inputs!$C$9="Residential",IF(L852&lt;='Assumptions and Catalog'!$C$50,L852*'Assumptions and Catalog'!$H$50+'Assumptions and Catalog'!$E$50+'Assumptions and Catalog'!$F$50,IF(L852&lt;='Assumptions and Catalog'!$C$51,L852*'Assumptions and Catalog'!$H$51+'Assumptions and Catalog'!$E$51+'Assumptions and Catalog'!$F$51,IF(L852&lt;='Assumptions and Catalog'!$C$52,L852*'Assumptions and Catalog'!$H$52+'Assumptions and Catalog'!$E$52+'Assumptions and Catalog'!$F$52,IF(L852&lt;='Assumptions and Catalog'!$C$53,L852*'Assumptions and Catalog'!$H$53+'Assumptions and Catalog'!$E$53+'Assumptions and Catalog'!$F$53,IF(L852&lt;='Assumptions and Catalog'!$C$54,L852*'Assumptions and Catalog'!$H$54+'Assumptions and Catalog'!$E$54+'Assumptions and Catalog'!$F$54,IF(L852&lt;='Assumptions and Catalog'!$C$55,L852*'Assumptions and Catalog'!$H$55+'Assumptions and Catalog'!$E$55+'Assumptions and Catalog'!$F$55,IF(L852&lt;='Assumptions and Catalog'!$C$56,L852*'Assumptions and Catalog'!$H$56+'Assumptions and Catalog'!$E$56+'Assumptions and Catalog'!$F$56,IF(L852&lt;='Assumptions and Catalog'!$C$57,L852*'Assumptions and Catalog'!$H$57+'Assumptions and Catalog'!$E$57+'Assumptions and Catalog'!$F$57,"Out of range")))))))),IF(L852&lt;='Assumptions and Catalog'!$C$60,L852*'Assumptions and Catalog'!$H$60+'Assumptions and Catalog'!$E$60+'Assumptions and Catalog'!$F$60,IF(L852&lt;='Assumptions and Catalog'!$C$61,L852*'Assumptions and Catalog'!$H$61+'Assumptions and Catalog'!$E$61+'Assumptions and Catalog'!$F$61,IF(L852&lt;='Assumptions and Catalog'!$C$62,L852*'Assumptions and Catalog'!$H$62+'Assumptions and Catalog'!$E$62+'Assumptions and Catalog'!$F$62,IF(L852&lt;='Assumptions and Catalog'!$C$63,L852*'Assumptions and Catalog'!$H$63+'Assumptions and Catalog'!$E$63+'Assumptions and Catalog'!$F$63,IF(L852&lt;='Assumptions and Catalog'!$C$64,L852*'Assumptions and Catalog'!$H$64+'Assumptions and Catalog'!$E$64+'Assumptions and Catalog'!$F$64,IF(L852&lt;='Assumptions and Catalog'!$C$65,L852*'Assumptions and Catalog'!$H$65+'Assumptions and Catalog'!$E$65+'Assumptions and Catalog'!$F$65,"Out of range")))))))))*(1+'Assumptions and Catalog'!$C$8)^(A852-1),0)</f>
        <v>3353.86105373707</v>
      </c>
      <c r="O852" s="5" t="n">
        <f>M852-N852</f>
        <v>3740.93294626293</v>
      </c>
      <c r="P852" s="5" t="n">
        <f>E$55*(1-L$14)*(1-'Assumptions and Catalog'!$C$23)^R852</f>
        <v>9.256148959232</v>
      </c>
      <c r="Q852" s="5" t="n">
        <f>IF(ISNUMBER(Inputs!$L$5),(IF(Inputs!$L$9="Actual flat rate",((D852+E852)*C852-G852)*Inputs!$L$10,IF(Inputs!$C$9="Residential",IF(((D852+E852)*C852-G852)&lt;='Assumptions and Catalog'!$C$50,((D852+E852)*C852-G852)*'Assumptions and Catalog'!$H$50+'Assumptions and Catalog'!$E$50+'Assumptions and Catalog'!$F$50,IF(((D852+E852)*C852-G852)&lt;='Assumptions and Catalog'!$C$51,((D852+E852)*C852-G852)*'Assumptions and Catalog'!$H$51+'Assumptions and Catalog'!$E$51+'Assumptions and Catalog'!$F$51,IF(((D852+E852)*C852-G852)&lt;='Assumptions and Catalog'!$C$52,((D852+E852)*C852-G852)*'Assumptions and Catalog'!$H$52+'Assumptions and Catalog'!$E$52+'Assumptions and Catalog'!$F$52,IF(((D852+E852)*C852-G852)&lt;='Assumptions and Catalog'!$C$53,((D852+E852)*C852-G852)*'Assumptions and Catalog'!$H$53+'Assumptions and Catalog'!$E$53+'Assumptions and Catalog'!$F$53,IF(((D852+E852)*C852-G852)&lt;='Assumptions and Catalog'!$C$54,((D852+E852)*C852-G852)*'Assumptions and Catalog'!$H$54+'Assumptions and Catalog'!$E$54+'Assumptions and Catalog'!$F$54,IF(((D852+E852)*C852-G852)&lt;='Assumptions and Catalog'!$C$55,((D852+E852)*C852-G852)*'Assumptions and Catalog'!$H$55+'Assumptions and Catalog'!$E$55+'Assumptions and Catalog'!$F$55,IF(((D852+E852)*C852-G852)&lt;='Assumptions and Catalog'!$C$56,((D852+E852)*C852-G852)*'Assumptions and Catalog'!$H$56+'Assumptions and Catalog'!$E$56+'Assumptions and Catalog'!$F$56,IF(((D852+E852)*C852-G852)&lt;='Assumptions and Catalog'!$C$57,((D852+E852)*C852-G852)*'Assumptions and Catalog'!$H$57+'Assumptions and Catalog'!$E$57+'Assumptions and Catalog'!$F$57,"Out of range")))))))),IF(((D852+E852)*C852-G852)&lt;='Assumptions and Catalog'!$C$60,((D852+E852)*C852-G852)*'Assumptions and Catalog'!$H$60+'Assumptions and Catalog'!$E$60+'Assumptions and Catalog'!$F$60,IF(((D852+E852)*C852-G852)&lt;='Assumptions and Catalog'!$C$61,((D852+E852)*C852-G852)*'Assumptions and Catalog'!$H$61+'Assumptions and Catalog'!$E$61+'Assumptions and Catalog'!$F$61,IF(((D852+E852)*C852-G852)&lt;='Assumptions and Catalog'!$C$62,((D852+E852)*C852-G852)*'Assumptions and Catalog'!$H$62+'Assumptions and Catalog'!$E$62+'Assumptions and Catalog'!$F$62,IF(((D852+E852)*C852-G852)&lt;='Assumptions and Catalog'!$C$63,((D852+E852)*C852-G852)*'Assumptions and Catalog'!$H$63+'Assumptions and Catalog'!$E$63+'Assumptions and Catalog'!$F$63,IF(((D852+E852)*C852-G852)&lt;='Assumptions and Catalog'!$C$64,((D852+E852)*C852-G852)*'Assumptions and Catalog'!$H$64+'Assumptions and Catalog'!$E$64+'Assumptions and Catalog'!$F$64,IF(((D852+E852)*C852-G852)&lt;='Assumptions and Catalog'!$C$65,((D852+E852)*C852-G852)*'Assumptions and Catalog'!$H$65+'Assumptions and Catalog'!$E$65+'Assumptions and Catalog'!$F$65,"Out of range")))))))))*(1+'Assumptions and Catalog'!$C$8)^(A852-1),0)</f>
        <v>3567.397</v>
      </c>
      <c r="R852" s="5" t="n">
        <f>IF(AND('Assumptions and Catalog'!$C$19&gt;0,A852&gt;='Assumptions and Catalog'!$C$19),A852-'Assumptions and Catalog'!$C$19,A852-1)</f>
        <v>5</v>
      </c>
      <c r="S852" s="5" t="n">
        <f>F852+L852-(D852+E852)*C852-J852-K852-IF(E$52&gt;0,'Assumptions and Catalog'!$C$26*C852,0)</f>
        <v>2.27373675443232E-013</v>
      </c>
      <c r="T852" s="5"/>
      <c r="U852" s="5"/>
    </row>
    <row r="853" ht="23.100000381469727" customHeight="1">
      <c r="A853" s="5" t="n">
        <v>17</v>
      </c>
      <c r="B853" s="5" t="n">
        <v>1</v>
      </c>
      <c r="C853" s="5" t="n">
        <f>DAY(DATE('Assumptions and Catalog'!$C$24+A853-1,B853+1,0))</f>
        <v>31</v>
      </c>
      <c r="D853" s="5" t="n">
        <f>IF(ISNUMBER(Inputs!$L$5),Inputs!$L$5*Inputs!$L$6,0)</f>
        <v>40.35</v>
      </c>
      <c r="E853" s="5" t="n">
        <f>IF(ISNUMBER(Inputs!$L$5),Inputs!$L$5-D853,0)</f>
        <v>40.35</v>
      </c>
      <c r="F853" s="5" t="n">
        <f>E$51*INDEX('Solar Production'!$D$20:$D$31,B853)*C853*(1-'Assumptions and Catalog'!$C$10)^(A853-1)</f>
        <v>1332.98942235599</v>
      </c>
      <c r="G853" s="5" t="n">
        <f>MIN(F853,D853*C853)</f>
        <v>1250.85</v>
      </c>
      <c r="H853" s="5" t="n">
        <f>I853/('Assumptions and Catalog'!$C$11*'Assumptions and Catalog'!$C$12)</f>
        <v>82.1394223559896</v>
      </c>
      <c r="I853" s="5" t="n">
        <f>MIN(E853*C853,P853*'Assumptions and Catalog'!$C$12*C853,(F853-G853)*'Assumptions and Catalog'!$C$11*'Assumptions and Catalog'!$C$12,E$56*'Assumptions and Catalog'!$C$14*'Assumptions and Catalog'!$C$11*'Assumptions and Catalog'!$C$12*C853,E$57*(24-'Assumptions and Catalog'!$C$13)*C853)</f>
        <v>78.0837883771626</v>
      </c>
      <c r="J853" s="5" t="n">
        <f>MAX(F853-G853-H853,0)</f>
        <v>0</v>
      </c>
      <c r="K853" s="5" t="n">
        <f>H853-I853</f>
        <v>4.05563397882699</v>
      </c>
      <c r="L853" s="5" t="n">
        <f>(D853+E853)*C853-G853-I853+0+IF(E$52&gt;0,'Assumptions and Catalog'!$C$26*C853,0)</f>
        <v>1172.76621162284</v>
      </c>
      <c r="M853" s="5" t="n">
        <f>IF(ISNUMBER(Inputs!$L$5),(IF(Inputs!$L$9="Actual flat rate",((D853+E853)*C853)*Inputs!$L$10,IF(Inputs!$C$9="Residential",IF(((D853+E853)*C853)&lt;='Assumptions and Catalog'!$C$50,((D853+E853)*C853)*'Assumptions and Catalog'!$H$50+'Assumptions and Catalog'!$E$50+'Assumptions and Catalog'!$F$50,IF(((D853+E853)*C853)&lt;='Assumptions and Catalog'!$C$51,((D853+E853)*C853)*'Assumptions and Catalog'!$H$51+'Assumptions and Catalog'!$E$51+'Assumptions and Catalog'!$F$51,IF(((D853+E853)*C853)&lt;='Assumptions and Catalog'!$C$52,((D853+E853)*C853)*'Assumptions and Catalog'!$H$52+'Assumptions and Catalog'!$E$52+'Assumptions and Catalog'!$F$52,IF(((D853+E853)*C853)&lt;='Assumptions and Catalog'!$C$53,((D853+E853)*C853)*'Assumptions and Catalog'!$H$53+'Assumptions and Catalog'!$E$53+'Assumptions and Catalog'!$F$53,IF(((D853+E853)*C853)&lt;='Assumptions and Catalog'!$C$54,((D853+E853)*C853)*'Assumptions and Catalog'!$H$54+'Assumptions and Catalog'!$E$54+'Assumptions and Catalog'!$F$54,IF(((D853+E853)*C853)&lt;='Assumptions and Catalog'!$C$55,((D853+E853)*C853)*'Assumptions and Catalog'!$H$55+'Assumptions and Catalog'!$E$55+'Assumptions and Catalog'!$F$55,IF(((D853+E853)*C853)&lt;='Assumptions and Catalog'!$C$56,((D853+E853)*C853)*'Assumptions and Catalog'!$H$56+'Assumptions and Catalog'!$E$56+'Assumptions and Catalog'!$F$56,IF(((D853+E853)*C853)&lt;='Assumptions and Catalog'!$C$57,((D853+E853)*C853)*'Assumptions and Catalog'!$H$57+'Assumptions and Catalog'!$E$57+'Assumptions and Catalog'!$F$57,"Out of range")))))))),IF(((D853+E853)*C853)&lt;='Assumptions and Catalog'!$C$60,((D853+E853)*C853)*'Assumptions and Catalog'!$H$60+'Assumptions and Catalog'!$E$60+'Assumptions and Catalog'!$F$60,IF(((D853+E853)*C853)&lt;='Assumptions and Catalog'!$C$61,((D853+E853)*C853)*'Assumptions and Catalog'!$H$61+'Assumptions and Catalog'!$E$61+'Assumptions and Catalog'!$F$61,IF(((D853+E853)*C853)&lt;='Assumptions and Catalog'!$C$62,((D853+E853)*C853)*'Assumptions and Catalog'!$H$62+'Assumptions and Catalog'!$E$62+'Assumptions and Catalog'!$F$62,IF(((D853+E853)*C853)&lt;='Assumptions and Catalog'!$C$63,((D853+E853)*C853)*'Assumptions and Catalog'!$H$63+'Assumptions and Catalog'!$E$63+'Assumptions and Catalog'!$F$63,IF(((D853+E853)*C853)&lt;='Assumptions and Catalog'!$C$64,((D853+E853)*C853)*'Assumptions and Catalog'!$H$64+'Assumptions and Catalog'!$E$64+'Assumptions and Catalog'!$F$64,IF(((D853+E853)*C853)&lt;='Assumptions and Catalog'!$C$65,((D853+E853)*C853)*'Assumptions and Catalog'!$H$65+'Assumptions and Catalog'!$E$65+'Assumptions and Catalog'!$F$65,"Out of range")))))))))*(1+'Assumptions and Catalog'!$C$8)^(A853-1),0)</f>
        <v>7094.794</v>
      </c>
      <c r="N853" s="5" t="n">
        <f>IF(ISNUMBER(Inputs!$L$5),(IF(Inputs!$L$9="Actual flat rate",L853*Inputs!$L$10,IF(Inputs!$C$9="Residential",IF(L853&lt;='Assumptions and Catalog'!$C$50,L853*'Assumptions and Catalog'!$H$50+'Assumptions and Catalog'!$E$50+'Assumptions and Catalog'!$F$50,IF(L853&lt;='Assumptions and Catalog'!$C$51,L853*'Assumptions and Catalog'!$H$51+'Assumptions and Catalog'!$E$51+'Assumptions and Catalog'!$F$51,IF(L853&lt;='Assumptions and Catalog'!$C$52,L853*'Assumptions and Catalog'!$H$52+'Assumptions and Catalog'!$E$52+'Assumptions and Catalog'!$F$52,IF(L853&lt;='Assumptions and Catalog'!$C$53,L853*'Assumptions and Catalog'!$H$53+'Assumptions and Catalog'!$E$53+'Assumptions and Catalog'!$F$53,IF(L853&lt;='Assumptions and Catalog'!$C$54,L853*'Assumptions and Catalog'!$H$54+'Assumptions and Catalog'!$E$54+'Assumptions and Catalog'!$F$54,IF(L853&lt;='Assumptions and Catalog'!$C$55,L853*'Assumptions and Catalog'!$H$55+'Assumptions and Catalog'!$E$55+'Assumptions and Catalog'!$F$55,IF(L853&lt;='Assumptions and Catalog'!$C$56,L853*'Assumptions and Catalog'!$H$56+'Assumptions and Catalog'!$E$56+'Assumptions and Catalog'!$F$56,IF(L853&lt;='Assumptions and Catalog'!$C$57,L853*'Assumptions and Catalog'!$H$57+'Assumptions and Catalog'!$E$57+'Assumptions and Catalog'!$F$57,"Out of range")))))))),IF(L853&lt;='Assumptions and Catalog'!$C$60,L853*'Assumptions and Catalog'!$H$60+'Assumptions and Catalog'!$E$60+'Assumptions and Catalog'!$F$60,IF(L853&lt;='Assumptions and Catalog'!$C$61,L853*'Assumptions and Catalog'!$H$61+'Assumptions and Catalog'!$E$61+'Assumptions and Catalog'!$F$61,IF(L853&lt;='Assumptions and Catalog'!$C$62,L853*'Assumptions and Catalog'!$H$62+'Assumptions and Catalog'!$E$62+'Assumptions and Catalog'!$F$62,IF(L853&lt;='Assumptions and Catalog'!$C$63,L853*'Assumptions and Catalog'!$H$63+'Assumptions and Catalog'!$E$63+'Assumptions and Catalog'!$F$63,IF(L853&lt;='Assumptions and Catalog'!$C$64,L853*'Assumptions and Catalog'!$H$64+'Assumptions and Catalog'!$E$64+'Assumptions and Catalog'!$F$64,IF(L853&lt;='Assumptions and Catalog'!$C$65,L853*'Assumptions and Catalog'!$H$65+'Assumptions and Catalog'!$E$65+'Assumptions and Catalog'!$F$65,"Out of range")))))))))*(1+'Assumptions and Catalog'!$C$8)^(A853-1),0)</f>
        <v>3347.2007167764</v>
      </c>
      <c r="O853" s="5" t="n">
        <f>M853-N853</f>
        <v>3747.5932832236</v>
      </c>
      <c r="P853" s="5" t="n">
        <f>E$55*(1-L$14)*(1-'Assumptions and Catalog'!$C$23)^R853</f>
        <v>9.07102598004736</v>
      </c>
      <c r="Q853" s="5" t="n">
        <f>IF(ISNUMBER(Inputs!$L$5),(IF(Inputs!$L$9="Actual flat rate",((D853+E853)*C853-G853)*Inputs!$L$10,IF(Inputs!$C$9="Residential",IF(((D853+E853)*C853-G853)&lt;='Assumptions and Catalog'!$C$50,((D853+E853)*C853-G853)*'Assumptions and Catalog'!$H$50+'Assumptions and Catalog'!$E$50+'Assumptions and Catalog'!$F$50,IF(((D853+E853)*C853-G853)&lt;='Assumptions and Catalog'!$C$51,((D853+E853)*C853-G853)*'Assumptions and Catalog'!$H$51+'Assumptions and Catalog'!$E$51+'Assumptions and Catalog'!$F$51,IF(((D853+E853)*C853-G853)&lt;='Assumptions and Catalog'!$C$52,((D853+E853)*C853-G853)*'Assumptions and Catalog'!$H$52+'Assumptions and Catalog'!$E$52+'Assumptions and Catalog'!$F$52,IF(((D853+E853)*C853-G853)&lt;='Assumptions and Catalog'!$C$53,((D853+E853)*C853-G853)*'Assumptions and Catalog'!$H$53+'Assumptions and Catalog'!$E$53+'Assumptions and Catalog'!$F$53,IF(((D853+E853)*C853-G853)&lt;='Assumptions and Catalog'!$C$54,((D853+E853)*C853-G853)*'Assumptions and Catalog'!$H$54+'Assumptions and Catalog'!$E$54+'Assumptions and Catalog'!$F$54,IF(((D853+E853)*C853-G853)&lt;='Assumptions and Catalog'!$C$55,((D853+E853)*C853-G853)*'Assumptions and Catalog'!$H$55+'Assumptions and Catalog'!$E$55+'Assumptions and Catalog'!$F$55,IF(((D853+E853)*C853-G853)&lt;='Assumptions and Catalog'!$C$56,((D853+E853)*C853-G853)*'Assumptions and Catalog'!$H$56+'Assumptions and Catalog'!$E$56+'Assumptions and Catalog'!$F$56,IF(((D853+E853)*C853-G853)&lt;='Assumptions and Catalog'!$C$57,((D853+E853)*C853-G853)*'Assumptions and Catalog'!$H$57+'Assumptions and Catalog'!$E$57+'Assumptions and Catalog'!$F$57,"Out of range")))))))),IF(((D853+E853)*C853-G853)&lt;='Assumptions and Catalog'!$C$60,((D853+E853)*C853-G853)*'Assumptions and Catalog'!$H$60+'Assumptions and Catalog'!$E$60+'Assumptions and Catalog'!$F$60,IF(((D853+E853)*C853-G853)&lt;='Assumptions and Catalog'!$C$61,((D853+E853)*C853-G853)*'Assumptions and Catalog'!$H$61+'Assumptions and Catalog'!$E$61+'Assumptions and Catalog'!$F$61,IF(((D853+E853)*C853-G853)&lt;='Assumptions and Catalog'!$C$62,((D853+E853)*C853-G853)*'Assumptions and Catalog'!$H$62+'Assumptions and Catalog'!$E$62+'Assumptions and Catalog'!$F$62,IF(((D853+E853)*C853-G853)&lt;='Assumptions and Catalog'!$C$63,((D853+E853)*C853-G853)*'Assumptions and Catalog'!$H$63+'Assumptions and Catalog'!$E$63+'Assumptions and Catalog'!$F$63,IF(((D853+E853)*C853-G853)&lt;='Assumptions and Catalog'!$C$64,((D853+E853)*C853-G853)*'Assumptions and Catalog'!$H$64+'Assumptions and Catalog'!$E$64+'Assumptions and Catalog'!$F$64,IF(((D853+E853)*C853-G853)&lt;='Assumptions and Catalog'!$C$65,((D853+E853)*C853-G853)*'Assumptions and Catalog'!$H$65+'Assumptions and Catalog'!$E$65+'Assumptions and Catalog'!$F$65,"Out of range")))))))))*(1+'Assumptions and Catalog'!$C$8)^(A853-1),0)</f>
        <v>3567.397</v>
      </c>
      <c r="R853" s="5" t="n">
        <f>IF(AND('Assumptions and Catalog'!$C$19&gt;0,A853&gt;='Assumptions and Catalog'!$C$19),A853-'Assumptions and Catalog'!$C$19,A853-1)</f>
        <v>6</v>
      </c>
      <c r="S853" s="5" t="n">
        <f>F853+L853-(D853+E853)*C853-J853-K853-IF(E$52&gt;0,'Assumptions and Catalog'!$C$26*C853,0)</f>
        <v>-1.98951966012828E-013</v>
      </c>
      <c r="T853" s="5"/>
      <c r="U853" s="5"/>
    </row>
    <row r="854" ht="23.100000381469727" customHeight="1">
      <c r="A854" s="5" t="n">
        <v>17</v>
      </c>
      <c r="B854" s="5" t="n">
        <v>2</v>
      </c>
      <c r="C854" s="5" t="n">
        <f>DAY(DATE('Assumptions and Catalog'!$C$24+A854-1,B854+1,0))</f>
        <v>28</v>
      </c>
      <c r="D854" s="5" t="n">
        <f>IF(ISNUMBER(Inputs!$L$5),Inputs!$L$5*Inputs!$L$6,0)</f>
        <v>40.35</v>
      </c>
      <c r="E854" s="5" t="n">
        <f>IF(ISNUMBER(Inputs!$L$5),Inputs!$L$5-D854,0)</f>
        <v>40.35</v>
      </c>
      <c r="F854" s="5" t="n">
        <f>E$51*INDEX('Solar Production'!$D$20:$D$31,B854)*C854*(1-'Assumptions and Catalog'!$C$10)^(A854-1)</f>
        <v>1314.20777398311</v>
      </c>
      <c r="G854" s="5" t="n">
        <f>MIN(F854,D854*C854)</f>
        <v>1129.8</v>
      </c>
      <c r="H854" s="5" t="n">
        <f>I854/('Assumptions and Catalog'!$C$11*'Assumptions and Catalog'!$C$12)</f>
        <v>184.407773983113</v>
      </c>
      <c r="I854" s="5" t="n">
        <f>MIN(E854*C854,P854*'Assumptions and Catalog'!$C$12*C854,(F854-G854)*'Assumptions and Catalog'!$C$11*'Assumptions and Catalog'!$C$12,E$56*'Assumptions and Catalog'!$C$14*'Assumptions and Catalog'!$C$11*'Assumptions and Catalog'!$C$12*C854,E$57*(24-'Assumptions and Catalog'!$C$13)*C854)</f>
        <v>175.302640142697</v>
      </c>
      <c r="J854" s="5" t="n">
        <f>MAX(F854-G854-H854,0)</f>
        <v>0</v>
      </c>
      <c r="K854" s="5" t="n">
        <f>H854-I854</f>
        <v>9.10513384041624</v>
      </c>
      <c r="L854" s="5" t="n">
        <f>(D854+E854)*C854-G854-I854+0+IF(E$52&gt;0,'Assumptions and Catalog'!$C$26*C854,0)</f>
        <v>954.497359857303</v>
      </c>
      <c r="M854" s="5" t="n">
        <f>IF(ISNUMBER(Inputs!$L$5),(IF(Inputs!$L$9="Actual flat rate",((D854+E854)*C854)*Inputs!$L$10,IF(Inputs!$C$9="Residential",IF(((D854+E854)*C854)&lt;='Assumptions and Catalog'!$C$50,((D854+E854)*C854)*'Assumptions and Catalog'!$H$50+'Assumptions and Catalog'!$E$50+'Assumptions and Catalog'!$F$50,IF(((D854+E854)*C854)&lt;='Assumptions and Catalog'!$C$51,((D854+E854)*C854)*'Assumptions and Catalog'!$H$51+'Assumptions and Catalog'!$E$51+'Assumptions and Catalog'!$F$51,IF(((D854+E854)*C854)&lt;='Assumptions and Catalog'!$C$52,((D854+E854)*C854)*'Assumptions and Catalog'!$H$52+'Assumptions and Catalog'!$E$52+'Assumptions and Catalog'!$F$52,IF(((D854+E854)*C854)&lt;='Assumptions and Catalog'!$C$53,((D854+E854)*C854)*'Assumptions and Catalog'!$H$53+'Assumptions and Catalog'!$E$53+'Assumptions and Catalog'!$F$53,IF(((D854+E854)*C854)&lt;='Assumptions and Catalog'!$C$54,((D854+E854)*C854)*'Assumptions and Catalog'!$H$54+'Assumptions and Catalog'!$E$54+'Assumptions and Catalog'!$F$54,IF(((D854+E854)*C854)&lt;='Assumptions and Catalog'!$C$55,((D854+E854)*C854)*'Assumptions and Catalog'!$H$55+'Assumptions and Catalog'!$E$55+'Assumptions and Catalog'!$F$55,IF(((D854+E854)*C854)&lt;='Assumptions and Catalog'!$C$56,((D854+E854)*C854)*'Assumptions and Catalog'!$H$56+'Assumptions and Catalog'!$E$56+'Assumptions and Catalog'!$F$56,IF(((D854+E854)*C854)&lt;='Assumptions and Catalog'!$C$57,((D854+E854)*C854)*'Assumptions and Catalog'!$H$57+'Assumptions and Catalog'!$E$57+'Assumptions and Catalog'!$F$57,"Out of range")))))))),IF(((D854+E854)*C854)&lt;='Assumptions and Catalog'!$C$60,((D854+E854)*C854)*'Assumptions and Catalog'!$H$60+'Assumptions and Catalog'!$E$60+'Assumptions and Catalog'!$F$60,IF(((D854+E854)*C854)&lt;='Assumptions and Catalog'!$C$61,((D854+E854)*C854)*'Assumptions and Catalog'!$H$61+'Assumptions and Catalog'!$E$61+'Assumptions and Catalog'!$F$61,IF(((D854+E854)*C854)&lt;='Assumptions and Catalog'!$C$62,((D854+E854)*C854)*'Assumptions and Catalog'!$H$62+'Assumptions and Catalog'!$E$62+'Assumptions and Catalog'!$F$62,IF(((D854+E854)*C854)&lt;='Assumptions and Catalog'!$C$63,((D854+E854)*C854)*'Assumptions and Catalog'!$H$63+'Assumptions and Catalog'!$E$63+'Assumptions and Catalog'!$F$63,IF(((D854+E854)*C854)&lt;='Assumptions and Catalog'!$C$64,((D854+E854)*C854)*'Assumptions and Catalog'!$H$64+'Assumptions and Catalog'!$E$64+'Assumptions and Catalog'!$F$64,IF(((D854+E854)*C854)&lt;='Assumptions and Catalog'!$C$65,((D854+E854)*C854)*'Assumptions and Catalog'!$H$65+'Assumptions and Catalog'!$E$65+'Assumptions and Catalog'!$F$65,"Out of range")))))))))*(1+'Assumptions and Catalog'!$C$8)^(A854-1),0)</f>
        <v>6412.072</v>
      </c>
      <c r="N854" s="5" t="n">
        <f>IF(ISNUMBER(Inputs!$L$5),(IF(Inputs!$L$9="Actual flat rate",L854*Inputs!$L$10,IF(Inputs!$C$9="Residential",IF(L854&lt;='Assumptions and Catalog'!$C$50,L854*'Assumptions and Catalog'!$H$50+'Assumptions and Catalog'!$E$50+'Assumptions and Catalog'!$F$50,IF(L854&lt;='Assumptions and Catalog'!$C$51,L854*'Assumptions and Catalog'!$H$51+'Assumptions and Catalog'!$E$51+'Assumptions and Catalog'!$F$51,IF(L854&lt;='Assumptions and Catalog'!$C$52,L854*'Assumptions and Catalog'!$H$52+'Assumptions and Catalog'!$E$52+'Assumptions and Catalog'!$F$52,IF(L854&lt;='Assumptions and Catalog'!$C$53,L854*'Assumptions and Catalog'!$H$53+'Assumptions and Catalog'!$E$53+'Assumptions and Catalog'!$F$53,IF(L854&lt;='Assumptions and Catalog'!$C$54,L854*'Assumptions and Catalog'!$H$54+'Assumptions and Catalog'!$E$54+'Assumptions and Catalog'!$F$54,IF(L854&lt;='Assumptions and Catalog'!$C$55,L854*'Assumptions and Catalog'!$H$55+'Assumptions and Catalog'!$E$55+'Assumptions and Catalog'!$F$55,IF(L854&lt;='Assumptions and Catalog'!$C$56,L854*'Assumptions and Catalog'!$H$56+'Assumptions and Catalog'!$E$56+'Assumptions and Catalog'!$F$56,IF(L854&lt;='Assumptions and Catalog'!$C$57,L854*'Assumptions and Catalog'!$H$57+'Assumptions and Catalog'!$E$57+'Assumptions and Catalog'!$F$57,"Out of range")))))))),IF(L854&lt;='Assumptions and Catalog'!$C$60,L854*'Assumptions and Catalog'!$H$60+'Assumptions and Catalog'!$E$60+'Assumptions and Catalog'!$F$60,IF(L854&lt;='Assumptions and Catalog'!$C$61,L854*'Assumptions and Catalog'!$H$61+'Assumptions and Catalog'!$E$61+'Assumptions and Catalog'!$F$61,IF(L854&lt;='Assumptions and Catalog'!$C$62,L854*'Assumptions and Catalog'!$H$62+'Assumptions and Catalog'!$E$62+'Assumptions and Catalog'!$F$62,IF(L854&lt;='Assumptions and Catalog'!$C$63,L854*'Assumptions and Catalog'!$H$63+'Assumptions and Catalog'!$E$63+'Assumptions and Catalog'!$F$63,IF(L854&lt;='Assumptions and Catalog'!$C$64,L854*'Assumptions and Catalog'!$H$64+'Assumptions and Catalog'!$E$64+'Assumptions and Catalog'!$F$64,IF(L854&lt;='Assumptions and Catalog'!$C$65,L854*'Assumptions and Catalog'!$H$65+'Assumptions and Catalog'!$E$65+'Assumptions and Catalog'!$F$65,"Out of range")))))))))*(1+'Assumptions and Catalog'!$C$8)^(A854-1),0)</f>
        <v>2608.95768680473</v>
      </c>
      <c r="O854" s="5" t="n">
        <f>M854-N854</f>
        <v>3803.11431319527</v>
      </c>
      <c r="P854" s="5" t="n">
        <f>E$55*(1-L$14)*(1-'Assumptions and Catalog'!$C$23)^R854</f>
        <v>9.07102598004736</v>
      </c>
      <c r="Q854" s="5" t="n">
        <f>IF(ISNUMBER(Inputs!$L$5),(IF(Inputs!$L$9="Actual flat rate",((D854+E854)*C854-G854)*Inputs!$L$10,IF(Inputs!$C$9="Residential",IF(((D854+E854)*C854-G854)&lt;='Assumptions and Catalog'!$C$50,((D854+E854)*C854-G854)*'Assumptions and Catalog'!$H$50+'Assumptions and Catalog'!$E$50+'Assumptions and Catalog'!$F$50,IF(((D854+E854)*C854-G854)&lt;='Assumptions and Catalog'!$C$51,((D854+E854)*C854-G854)*'Assumptions and Catalog'!$H$51+'Assumptions and Catalog'!$E$51+'Assumptions and Catalog'!$F$51,IF(((D854+E854)*C854-G854)&lt;='Assumptions and Catalog'!$C$52,((D854+E854)*C854-G854)*'Assumptions and Catalog'!$H$52+'Assumptions and Catalog'!$E$52+'Assumptions and Catalog'!$F$52,IF(((D854+E854)*C854-G854)&lt;='Assumptions and Catalog'!$C$53,((D854+E854)*C854-G854)*'Assumptions and Catalog'!$H$53+'Assumptions and Catalog'!$E$53+'Assumptions and Catalog'!$F$53,IF(((D854+E854)*C854-G854)&lt;='Assumptions and Catalog'!$C$54,((D854+E854)*C854-G854)*'Assumptions and Catalog'!$H$54+'Assumptions and Catalog'!$E$54+'Assumptions and Catalog'!$F$54,IF(((D854+E854)*C854-G854)&lt;='Assumptions and Catalog'!$C$55,((D854+E854)*C854-G854)*'Assumptions and Catalog'!$H$55+'Assumptions and Catalog'!$E$55+'Assumptions and Catalog'!$F$55,IF(((D854+E854)*C854-G854)&lt;='Assumptions and Catalog'!$C$56,((D854+E854)*C854-G854)*'Assumptions and Catalog'!$H$56+'Assumptions and Catalog'!$E$56+'Assumptions and Catalog'!$F$56,IF(((D854+E854)*C854-G854)&lt;='Assumptions and Catalog'!$C$57,((D854+E854)*C854-G854)*'Assumptions and Catalog'!$H$57+'Assumptions and Catalog'!$E$57+'Assumptions and Catalog'!$F$57,"Out of range")))))))),IF(((D854+E854)*C854-G854)&lt;='Assumptions and Catalog'!$C$60,((D854+E854)*C854-G854)*'Assumptions and Catalog'!$H$60+'Assumptions and Catalog'!$E$60+'Assumptions and Catalog'!$F$60,IF(((D854+E854)*C854-G854)&lt;='Assumptions and Catalog'!$C$61,((D854+E854)*C854-G854)*'Assumptions and Catalog'!$H$61+'Assumptions and Catalog'!$E$61+'Assumptions and Catalog'!$F$61,IF(((D854+E854)*C854-G854)&lt;='Assumptions and Catalog'!$C$62,((D854+E854)*C854-G854)*'Assumptions and Catalog'!$H$62+'Assumptions and Catalog'!$E$62+'Assumptions and Catalog'!$F$62,IF(((D854+E854)*C854-G854)&lt;='Assumptions and Catalog'!$C$63,((D854+E854)*C854-G854)*'Assumptions and Catalog'!$H$63+'Assumptions and Catalog'!$E$63+'Assumptions and Catalog'!$F$63,IF(((D854+E854)*C854-G854)&lt;='Assumptions and Catalog'!$C$64,((D854+E854)*C854-G854)*'Assumptions and Catalog'!$H$64+'Assumptions and Catalog'!$E$64+'Assumptions and Catalog'!$F$64,IF(((D854+E854)*C854-G854)&lt;='Assumptions and Catalog'!$C$65,((D854+E854)*C854-G854)*'Assumptions and Catalog'!$H$65+'Assumptions and Catalog'!$E$65+'Assumptions and Catalog'!$F$65,"Out of range")))))))))*(1+'Assumptions and Catalog'!$C$8)^(A854-1),0)</f>
        <v>3226.036</v>
      </c>
      <c r="R854" s="5" t="n">
        <f>IF(AND('Assumptions and Catalog'!$C$19&gt;0,A854&gt;='Assumptions and Catalog'!$C$19),A854-'Assumptions and Catalog'!$C$19,A854-1)</f>
        <v>6</v>
      </c>
      <c r="S854" s="5" t="n">
        <f>F854+L854-(D854+E854)*C854-J854-K854-IF(E$52&gt;0,'Assumptions and Catalog'!$C$26*C854,0)</f>
        <v>8.5265128291212E-014</v>
      </c>
      <c r="T854" s="5"/>
      <c r="U854" s="5"/>
    </row>
    <row r="855" ht="23.100000381469727" customHeight="1">
      <c r="A855" s="5" t="n">
        <v>17</v>
      </c>
      <c r="B855" s="5" t="n">
        <v>3</v>
      </c>
      <c r="C855" s="5" t="n">
        <f>DAY(DATE('Assumptions and Catalog'!$C$24+A855-1,B855+1,0))</f>
        <v>31</v>
      </c>
      <c r="D855" s="5" t="n">
        <f>IF(ISNUMBER(Inputs!$L$5),Inputs!$L$5*Inputs!$L$6,0)</f>
        <v>40.35</v>
      </c>
      <c r="E855" s="5" t="n">
        <f>IF(ISNUMBER(Inputs!$L$5),Inputs!$L$5-D855,0)</f>
        <v>40.35</v>
      </c>
      <c r="F855" s="5" t="n">
        <f>E$51*INDEX('Solar Production'!$D$20:$D$31,B855)*C855*(1-'Assumptions and Catalog'!$C$10)^(A855-1)</f>
        <v>1635.1201551002</v>
      </c>
      <c r="G855" s="5" t="n">
        <f>MIN(F855,D855*C855)</f>
        <v>1250.85</v>
      </c>
      <c r="H855" s="5" t="n">
        <f>I855/('Assumptions and Catalog'!$C$11*'Assumptions and Catalog'!$C$12)</f>
        <v>288.412108083557</v>
      </c>
      <c r="I855" s="5" t="n">
        <f>MIN(E855*C855,P855*'Assumptions and Catalog'!$C$12*C855,(F855-G855)*'Assumptions and Catalog'!$C$11*'Assumptions and Catalog'!$C$12,E$56*'Assumptions and Catalog'!$C$14*'Assumptions and Catalog'!$C$11*'Assumptions and Catalog'!$C$12*C855,E$57*(24-'Assumptions and Catalog'!$C$13)*C855)</f>
        <v>274.171760246932</v>
      </c>
      <c r="J855" s="5" t="n">
        <f>MAX(F855-G855-H855,0)</f>
        <v>95.8580470166377</v>
      </c>
      <c r="K855" s="5" t="n">
        <f>H855-I855</f>
        <v>14.2403478366256</v>
      </c>
      <c r="L855" s="5" t="n">
        <f>(D855+E855)*C855-G855-I855+0+IF(E$52&gt;0,'Assumptions and Catalog'!$C$26*C855,0)</f>
        <v>976.678239753069</v>
      </c>
      <c r="M855" s="5" t="n">
        <f>IF(ISNUMBER(Inputs!$L$5),(IF(Inputs!$L$9="Actual flat rate",((D855+E855)*C855)*Inputs!$L$10,IF(Inputs!$C$9="Residential",IF(((D855+E855)*C855)&lt;='Assumptions and Catalog'!$C$50,((D855+E855)*C855)*'Assumptions and Catalog'!$H$50+'Assumptions and Catalog'!$E$50+'Assumptions and Catalog'!$F$50,IF(((D855+E855)*C855)&lt;='Assumptions and Catalog'!$C$51,((D855+E855)*C855)*'Assumptions and Catalog'!$H$51+'Assumptions and Catalog'!$E$51+'Assumptions and Catalog'!$F$51,IF(((D855+E855)*C855)&lt;='Assumptions and Catalog'!$C$52,((D855+E855)*C855)*'Assumptions and Catalog'!$H$52+'Assumptions and Catalog'!$E$52+'Assumptions and Catalog'!$F$52,IF(((D855+E855)*C855)&lt;='Assumptions and Catalog'!$C$53,((D855+E855)*C855)*'Assumptions and Catalog'!$H$53+'Assumptions and Catalog'!$E$53+'Assumptions and Catalog'!$F$53,IF(((D855+E855)*C855)&lt;='Assumptions and Catalog'!$C$54,((D855+E855)*C855)*'Assumptions and Catalog'!$H$54+'Assumptions and Catalog'!$E$54+'Assumptions and Catalog'!$F$54,IF(((D855+E855)*C855)&lt;='Assumptions and Catalog'!$C$55,((D855+E855)*C855)*'Assumptions and Catalog'!$H$55+'Assumptions and Catalog'!$E$55+'Assumptions and Catalog'!$F$55,IF(((D855+E855)*C855)&lt;='Assumptions and Catalog'!$C$56,((D855+E855)*C855)*'Assumptions and Catalog'!$H$56+'Assumptions and Catalog'!$E$56+'Assumptions and Catalog'!$F$56,IF(((D855+E855)*C855)&lt;='Assumptions and Catalog'!$C$57,((D855+E855)*C855)*'Assumptions and Catalog'!$H$57+'Assumptions and Catalog'!$E$57+'Assumptions and Catalog'!$F$57,"Out of range")))))))),IF(((D855+E855)*C855)&lt;='Assumptions and Catalog'!$C$60,((D855+E855)*C855)*'Assumptions and Catalog'!$H$60+'Assumptions and Catalog'!$E$60+'Assumptions and Catalog'!$F$60,IF(((D855+E855)*C855)&lt;='Assumptions and Catalog'!$C$61,((D855+E855)*C855)*'Assumptions and Catalog'!$H$61+'Assumptions and Catalog'!$E$61+'Assumptions and Catalog'!$F$61,IF(((D855+E855)*C855)&lt;='Assumptions and Catalog'!$C$62,((D855+E855)*C855)*'Assumptions and Catalog'!$H$62+'Assumptions and Catalog'!$E$62+'Assumptions and Catalog'!$F$62,IF(((D855+E855)*C855)&lt;='Assumptions and Catalog'!$C$63,((D855+E855)*C855)*'Assumptions and Catalog'!$H$63+'Assumptions and Catalog'!$E$63+'Assumptions and Catalog'!$F$63,IF(((D855+E855)*C855)&lt;='Assumptions and Catalog'!$C$64,((D855+E855)*C855)*'Assumptions and Catalog'!$H$64+'Assumptions and Catalog'!$E$64+'Assumptions and Catalog'!$F$64,IF(((D855+E855)*C855)&lt;='Assumptions and Catalog'!$C$65,((D855+E855)*C855)*'Assumptions and Catalog'!$H$65+'Assumptions and Catalog'!$E$65+'Assumptions and Catalog'!$F$65,"Out of range")))))))))*(1+'Assumptions and Catalog'!$C$8)^(A855-1),0)</f>
        <v>7094.794</v>
      </c>
      <c r="N855" s="5" t="n">
        <f>IF(ISNUMBER(Inputs!$L$5),(IF(Inputs!$L$9="Actual flat rate",L855*Inputs!$L$10,IF(Inputs!$C$9="Residential",IF(L855&lt;='Assumptions and Catalog'!$C$50,L855*'Assumptions and Catalog'!$H$50+'Assumptions and Catalog'!$E$50+'Assumptions and Catalog'!$F$50,IF(L855&lt;='Assumptions and Catalog'!$C$51,L855*'Assumptions and Catalog'!$H$51+'Assumptions and Catalog'!$E$51+'Assumptions and Catalog'!$F$51,IF(L855&lt;='Assumptions and Catalog'!$C$52,L855*'Assumptions and Catalog'!$H$52+'Assumptions and Catalog'!$E$52+'Assumptions and Catalog'!$F$52,IF(L855&lt;='Assumptions and Catalog'!$C$53,L855*'Assumptions and Catalog'!$H$53+'Assumptions and Catalog'!$E$53+'Assumptions and Catalog'!$F$53,IF(L855&lt;='Assumptions and Catalog'!$C$54,L855*'Assumptions and Catalog'!$H$54+'Assumptions and Catalog'!$E$54+'Assumptions and Catalog'!$F$54,IF(L855&lt;='Assumptions and Catalog'!$C$55,L855*'Assumptions and Catalog'!$H$55+'Assumptions and Catalog'!$E$55+'Assumptions and Catalog'!$F$55,IF(L855&lt;='Assumptions and Catalog'!$C$56,L855*'Assumptions and Catalog'!$H$56+'Assumptions and Catalog'!$E$56+'Assumptions and Catalog'!$F$56,IF(L855&lt;='Assumptions and Catalog'!$C$57,L855*'Assumptions and Catalog'!$H$57+'Assumptions and Catalog'!$E$57+'Assumptions and Catalog'!$F$57,"Out of range")))))))),IF(L855&lt;='Assumptions and Catalog'!$C$60,L855*'Assumptions and Catalog'!$H$60+'Assumptions and Catalog'!$E$60+'Assumptions and Catalog'!$F$60,IF(L855&lt;='Assumptions and Catalog'!$C$61,L855*'Assumptions and Catalog'!$H$61+'Assumptions and Catalog'!$E$61+'Assumptions and Catalog'!$F$61,IF(L855&lt;='Assumptions and Catalog'!$C$62,L855*'Assumptions and Catalog'!$H$62+'Assumptions and Catalog'!$E$62+'Assumptions and Catalog'!$F$62,IF(L855&lt;='Assumptions and Catalog'!$C$63,L855*'Assumptions and Catalog'!$H$63+'Assumptions and Catalog'!$E$63+'Assumptions and Catalog'!$F$63,IF(L855&lt;='Assumptions and Catalog'!$C$64,L855*'Assumptions and Catalog'!$H$64+'Assumptions and Catalog'!$E$64+'Assumptions and Catalog'!$F$64,IF(L855&lt;='Assumptions and Catalog'!$C$65,L855*'Assumptions and Catalog'!$H$65+'Assumptions and Catalog'!$E$65+'Assumptions and Catalog'!$F$65,"Out of range")))))))))*(1+'Assumptions and Catalog'!$C$8)^(A855-1),0)</f>
        <v>2670.398724116</v>
      </c>
      <c r="O855" s="5" t="n">
        <f>M855-N855</f>
        <v>4424.395275884</v>
      </c>
      <c r="P855" s="5" t="n">
        <f>E$55*(1-L$14)*(1-'Assumptions and Catalog'!$C$23)^R855</f>
        <v>9.07102598004736</v>
      </c>
      <c r="Q855" s="5" t="n">
        <f>IF(ISNUMBER(Inputs!$L$5),(IF(Inputs!$L$9="Actual flat rate",((D855+E855)*C855-G855)*Inputs!$L$10,IF(Inputs!$C$9="Residential",IF(((D855+E855)*C855-G855)&lt;='Assumptions and Catalog'!$C$50,((D855+E855)*C855-G855)*'Assumptions and Catalog'!$H$50+'Assumptions and Catalog'!$E$50+'Assumptions and Catalog'!$F$50,IF(((D855+E855)*C855-G855)&lt;='Assumptions and Catalog'!$C$51,((D855+E855)*C855-G855)*'Assumptions and Catalog'!$H$51+'Assumptions and Catalog'!$E$51+'Assumptions and Catalog'!$F$51,IF(((D855+E855)*C855-G855)&lt;='Assumptions and Catalog'!$C$52,((D855+E855)*C855-G855)*'Assumptions and Catalog'!$H$52+'Assumptions and Catalog'!$E$52+'Assumptions and Catalog'!$F$52,IF(((D855+E855)*C855-G855)&lt;='Assumptions and Catalog'!$C$53,((D855+E855)*C855-G855)*'Assumptions and Catalog'!$H$53+'Assumptions and Catalog'!$E$53+'Assumptions and Catalog'!$F$53,IF(((D855+E855)*C855-G855)&lt;='Assumptions and Catalog'!$C$54,((D855+E855)*C855-G855)*'Assumptions and Catalog'!$H$54+'Assumptions and Catalog'!$E$54+'Assumptions and Catalog'!$F$54,IF(((D855+E855)*C855-G855)&lt;='Assumptions and Catalog'!$C$55,((D855+E855)*C855-G855)*'Assumptions and Catalog'!$H$55+'Assumptions and Catalog'!$E$55+'Assumptions and Catalog'!$F$55,IF(((D855+E855)*C855-G855)&lt;='Assumptions and Catalog'!$C$56,((D855+E855)*C855-G855)*'Assumptions and Catalog'!$H$56+'Assumptions and Catalog'!$E$56+'Assumptions and Catalog'!$F$56,IF(((D855+E855)*C855-G855)&lt;='Assumptions and Catalog'!$C$57,((D855+E855)*C855-G855)*'Assumptions and Catalog'!$H$57+'Assumptions and Catalog'!$E$57+'Assumptions and Catalog'!$F$57,"Out of range")))))))),IF(((D855+E855)*C855-G855)&lt;='Assumptions and Catalog'!$C$60,((D855+E855)*C855-G855)*'Assumptions and Catalog'!$H$60+'Assumptions and Catalog'!$E$60+'Assumptions and Catalog'!$F$60,IF(((D855+E855)*C855-G855)&lt;='Assumptions and Catalog'!$C$61,((D855+E855)*C855-G855)*'Assumptions and Catalog'!$H$61+'Assumptions and Catalog'!$E$61+'Assumptions and Catalog'!$F$61,IF(((D855+E855)*C855-G855)&lt;='Assumptions and Catalog'!$C$62,((D855+E855)*C855-G855)*'Assumptions and Catalog'!$H$62+'Assumptions and Catalog'!$E$62+'Assumptions and Catalog'!$F$62,IF(((D855+E855)*C855-G855)&lt;='Assumptions and Catalog'!$C$63,((D855+E855)*C855-G855)*'Assumptions and Catalog'!$H$63+'Assumptions and Catalog'!$E$63+'Assumptions and Catalog'!$F$63,IF(((D855+E855)*C855-G855)&lt;='Assumptions and Catalog'!$C$64,((D855+E855)*C855-G855)*'Assumptions and Catalog'!$H$64+'Assumptions and Catalog'!$E$64+'Assumptions and Catalog'!$F$64,IF(((D855+E855)*C855-G855)&lt;='Assumptions and Catalog'!$C$65,((D855+E855)*C855-G855)*'Assumptions and Catalog'!$H$65+'Assumptions and Catalog'!$E$65+'Assumptions and Catalog'!$F$65,"Out of range")))))))))*(1+'Assumptions and Catalog'!$C$8)^(A855-1),0)</f>
        <v>3567.397</v>
      </c>
      <c r="R855" s="5" t="n">
        <f>IF(AND('Assumptions and Catalog'!$C$19&gt;0,A855&gt;='Assumptions and Catalog'!$C$19),A855-'Assumptions and Catalog'!$C$19,A855-1)</f>
        <v>6</v>
      </c>
      <c r="S855" s="5" t="n">
        <f>F855+L855-(D855+E855)*C855-J855-K855-IF(E$52&gt;0,'Assumptions and Catalog'!$C$26*C855,0)</f>
        <v>1.13686837721616E-013</v>
      </c>
      <c r="T855" s="5"/>
      <c r="U855" s="5"/>
    </row>
    <row r="856" ht="23.100000381469727" customHeight="1">
      <c r="A856" s="5" t="n">
        <v>17</v>
      </c>
      <c r="B856" s="5" t="n">
        <v>4</v>
      </c>
      <c r="C856" s="5" t="n">
        <f>DAY(DATE('Assumptions and Catalog'!$C$24+A856-1,B856+1,0))</f>
        <v>30</v>
      </c>
      <c r="D856" s="5" t="n">
        <f>IF(ISNUMBER(Inputs!$L$5),Inputs!$L$5*Inputs!$L$6,0)</f>
        <v>40.35</v>
      </c>
      <c r="E856" s="5" t="n">
        <f>IF(ISNUMBER(Inputs!$L$5),Inputs!$L$5-D856,0)</f>
        <v>40.35</v>
      </c>
      <c r="F856" s="5" t="n">
        <f>E$51*INDEX('Solar Production'!$D$20:$D$31,B856)*C856*(1-'Assumptions and Catalog'!$C$10)^(A856-1)</f>
        <v>1633.08970662745</v>
      </c>
      <c r="G856" s="5" t="n">
        <f>MIN(F856,D856*C856)</f>
        <v>1210.5</v>
      </c>
      <c r="H856" s="5" t="n">
        <f>I856/('Assumptions and Catalog'!$C$11*'Assumptions and Catalog'!$C$12)</f>
        <v>279.108491693765</v>
      </c>
      <c r="I856" s="5" t="n">
        <f>MIN(E856*C856,P856*'Assumptions and Catalog'!$C$12*C856,(F856-G856)*'Assumptions and Catalog'!$C$11*'Assumptions and Catalog'!$C$12,E$56*'Assumptions and Catalog'!$C$14*'Assumptions and Catalog'!$C$11*'Assumptions and Catalog'!$C$12*C856,E$57*(24-'Assumptions and Catalog'!$C$13)*C856)</f>
        <v>265.327509916385</v>
      </c>
      <c r="J856" s="5" t="n">
        <f>MAX(F856-G856-H856,0)</f>
        <v>143.481214933687</v>
      </c>
      <c r="K856" s="5" t="n">
        <f>H856-I856</f>
        <v>13.7809817773797</v>
      </c>
      <c r="L856" s="5" t="n">
        <f>(D856+E856)*C856-G856-I856+0+IF(E$52&gt;0,'Assumptions and Catalog'!$C$26*C856,0)</f>
        <v>945.172490083615</v>
      </c>
      <c r="M856" s="5" t="n">
        <f>IF(ISNUMBER(Inputs!$L$5),(IF(Inputs!$L$9="Actual flat rate",((D856+E856)*C856)*Inputs!$L$10,IF(Inputs!$C$9="Residential",IF(((D856+E856)*C856)&lt;='Assumptions and Catalog'!$C$50,((D856+E856)*C856)*'Assumptions and Catalog'!$H$50+'Assumptions and Catalog'!$E$50+'Assumptions and Catalog'!$F$50,IF(((D856+E856)*C856)&lt;='Assumptions and Catalog'!$C$51,((D856+E856)*C856)*'Assumptions and Catalog'!$H$51+'Assumptions and Catalog'!$E$51+'Assumptions and Catalog'!$F$51,IF(((D856+E856)*C856)&lt;='Assumptions and Catalog'!$C$52,((D856+E856)*C856)*'Assumptions and Catalog'!$H$52+'Assumptions and Catalog'!$E$52+'Assumptions and Catalog'!$F$52,IF(((D856+E856)*C856)&lt;='Assumptions and Catalog'!$C$53,((D856+E856)*C856)*'Assumptions and Catalog'!$H$53+'Assumptions and Catalog'!$E$53+'Assumptions and Catalog'!$F$53,IF(((D856+E856)*C856)&lt;='Assumptions and Catalog'!$C$54,((D856+E856)*C856)*'Assumptions and Catalog'!$H$54+'Assumptions and Catalog'!$E$54+'Assumptions and Catalog'!$F$54,IF(((D856+E856)*C856)&lt;='Assumptions and Catalog'!$C$55,((D856+E856)*C856)*'Assumptions and Catalog'!$H$55+'Assumptions and Catalog'!$E$55+'Assumptions and Catalog'!$F$55,IF(((D856+E856)*C856)&lt;='Assumptions and Catalog'!$C$56,((D856+E856)*C856)*'Assumptions and Catalog'!$H$56+'Assumptions and Catalog'!$E$56+'Assumptions and Catalog'!$F$56,IF(((D856+E856)*C856)&lt;='Assumptions and Catalog'!$C$57,((D856+E856)*C856)*'Assumptions and Catalog'!$H$57+'Assumptions and Catalog'!$E$57+'Assumptions and Catalog'!$F$57,"Out of range")))))))),IF(((D856+E856)*C856)&lt;='Assumptions and Catalog'!$C$60,((D856+E856)*C856)*'Assumptions and Catalog'!$H$60+'Assumptions and Catalog'!$E$60+'Assumptions and Catalog'!$F$60,IF(((D856+E856)*C856)&lt;='Assumptions and Catalog'!$C$61,((D856+E856)*C856)*'Assumptions and Catalog'!$H$61+'Assumptions and Catalog'!$E$61+'Assumptions and Catalog'!$F$61,IF(((D856+E856)*C856)&lt;='Assumptions and Catalog'!$C$62,((D856+E856)*C856)*'Assumptions and Catalog'!$H$62+'Assumptions and Catalog'!$E$62+'Assumptions and Catalog'!$F$62,IF(((D856+E856)*C856)&lt;='Assumptions and Catalog'!$C$63,((D856+E856)*C856)*'Assumptions and Catalog'!$H$63+'Assumptions and Catalog'!$E$63+'Assumptions and Catalog'!$F$63,IF(((D856+E856)*C856)&lt;='Assumptions and Catalog'!$C$64,((D856+E856)*C856)*'Assumptions and Catalog'!$H$64+'Assumptions and Catalog'!$E$64+'Assumptions and Catalog'!$F$64,IF(((D856+E856)*C856)&lt;='Assumptions and Catalog'!$C$65,((D856+E856)*C856)*'Assumptions and Catalog'!$H$65+'Assumptions and Catalog'!$E$65+'Assumptions and Catalog'!$F$65,"Out of range")))))))))*(1+'Assumptions and Catalog'!$C$8)^(A856-1),0)</f>
        <v>6867.22</v>
      </c>
      <c r="N856" s="5" t="n">
        <f>IF(ISNUMBER(Inputs!$L$5),(IF(Inputs!$L$9="Actual flat rate",L856*Inputs!$L$10,IF(Inputs!$C$9="Residential",IF(L856&lt;='Assumptions and Catalog'!$C$50,L856*'Assumptions and Catalog'!$H$50+'Assumptions and Catalog'!$E$50+'Assumptions and Catalog'!$F$50,IF(L856&lt;='Assumptions and Catalog'!$C$51,L856*'Assumptions and Catalog'!$H$51+'Assumptions and Catalog'!$E$51+'Assumptions and Catalog'!$F$51,IF(L856&lt;='Assumptions and Catalog'!$C$52,L856*'Assumptions and Catalog'!$H$52+'Assumptions and Catalog'!$E$52+'Assumptions and Catalog'!$F$52,IF(L856&lt;='Assumptions and Catalog'!$C$53,L856*'Assumptions and Catalog'!$H$53+'Assumptions and Catalog'!$E$53+'Assumptions and Catalog'!$F$53,IF(L856&lt;='Assumptions and Catalog'!$C$54,L856*'Assumptions and Catalog'!$H$54+'Assumptions and Catalog'!$E$54+'Assumptions and Catalog'!$F$54,IF(L856&lt;='Assumptions and Catalog'!$C$55,L856*'Assumptions and Catalog'!$H$55+'Assumptions and Catalog'!$E$55+'Assumptions and Catalog'!$F$55,IF(L856&lt;='Assumptions and Catalog'!$C$56,L856*'Assumptions and Catalog'!$H$56+'Assumptions and Catalog'!$E$56+'Assumptions and Catalog'!$F$56,IF(L856&lt;='Assumptions and Catalog'!$C$57,L856*'Assumptions and Catalog'!$H$57+'Assumptions and Catalog'!$E$57+'Assumptions and Catalog'!$F$57,"Out of range")))))))),IF(L856&lt;='Assumptions and Catalog'!$C$60,L856*'Assumptions and Catalog'!$H$60+'Assumptions and Catalog'!$E$60+'Assumptions and Catalog'!$F$60,IF(L856&lt;='Assumptions and Catalog'!$C$61,L856*'Assumptions and Catalog'!$H$61+'Assumptions and Catalog'!$E$61+'Assumptions and Catalog'!$F$61,IF(L856&lt;='Assumptions and Catalog'!$C$62,L856*'Assumptions and Catalog'!$H$62+'Assumptions and Catalog'!$E$62+'Assumptions and Catalog'!$F$62,IF(L856&lt;='Assumptions and Catalog'!$C$63,L856*'Assumptions and Catalog'!$H$63+'Assumptions and Catalog'!$E$63+'Assumptions and Catalog'!$F$63,IF(L856&lt;='Assumptions and Catalog'!$C$64,L856*'Assumptions and Catalog'!$H$64+'Assumptions and Catalog'!$E$64+'Assumptions and Catalog'!$F$64,IF(L856&lt;='Assumptions and Catalog'!$C$65,L856*'Assumptions and Catalog'!$H$65+'Assumptions and Catalog'!$E$65+'Assumptions and Catalog'!$F$65,"Out of range")))))))))*(1+'Assumptions and Catalog'!$C$8)^(A856-1),0)</f>
        <v>2583.12779753161</v>
      </c>
      <c r="O856" s="5" t="n">
        <f>M856-N856</f>
        <v>4284.09220246839</v>
      </c>
      <c r="P856" s="5" t="n">
        <f>E$55*(1-L$14)*(1-'Assumptions and Catalog'!$C$23)^R856</f>
        <v>9.07102598004736</v>
      </c>
      <c r="Q856" s="5" t="n">
        <f>IF(ISNUMBER(Inputs!$L$5),(IF(Inputs!$L$9="Actual flat rate",((D856+E856)*C856-G856)*Inputs!$L$10,IF(Inputs!$C$9="Residential",IF(((D856+E856)*C856-G856)&lt;='Assumptions and Catalog'!$C$50,((D856+E856)*C856-G856)*'Assumptions and Catalog'!$H$50+'Assumptions and Catalog'!$E$50+'Assumptions and Catalog'!$F$50,IF(((D856+E856)*C856-G856)&lt;='Assumptions and Catalog'!$C$51,((D856+E856)*C856-G856)*'Assumptions and Catalog'!$H$51+'Assumptions and Catalog'!$E$51+'Assumptions and Catalog'!$F$51,IF(((D856+E856)*C856-G856)&lt;='Assumptions and Catalog'!$C$52,((D856+E856)*C856-G856)*'Assumptions and Catalog'!$H$52+'Assumptions and Catalog'!$E$52+'Assumptions and Catalog'!$F$52,IF(((D856+E856)*C856-G856)&lt;='Assumptions and Catalog'!$C$53,((D856+E856)*C856-G856)*'Assumptions and Catalog'!$H$53+'Assumptions and Catalog'!$E$53+'Assumptions and Catalog'!$F$53,IF(((D856+E856)*C856-G856)&lt;='Assumptions and Catalog'!$C$54,((D856+E856)*C856-G856)*'Assumptions and Catalog'!$H$54+'Assumptions and Catalog'!$E$54+'Assumptions and Catalog'!$F$54,IF(((D856+E856)*C856-G856)&lt;='Assumptions and Catalog'!$C$55,((D856+E856)*C856-G856)*'Assumptions and Catalog'!$H$55+'Assumptions and Catalog'!$E$55+'Assumptions and Catalog'!$F$55,IF(((D856+E856)*C856-G856)&lt;='Assumptions and Catalog'!$C$56,((D856+E856)*C856-G856)*'Assumptions and Catalog'!$H$56+'Assumptions and Catalog'!$E$56+'Assumptions and Catalog'!$F$56,IF(((D856+E856)*C856-G856)&lt;='Assumptions and Catalog'!$C$57,((D856+E856)*C856-G856)*'Assumptions and Catalog'!$H$57+'Assumptions and Catalog'!$E$57+'Assumptions and Catalog'!$F$57,"Out of range")))))))),IF(((D856+E856)*C856-G856)&lt;='Assumptions and Catalog'!$C$60,((D856+E856)*C856-G856)*'Assumptions and Catalog'!$H$60+'Assumptions and Catalog'!$E$60+'Assumptions and Catalog'!$F$60,IF(((D856+E856)*C856-G856)&lt;='Assumptions and Catalog'!$C$61,((D856+E856)*C856-G856)*'Assumptions and Catalog'!$H$61+'Assumptions and Catalog'!$E$61+'Assumptions and Catalog'!$F$61,IF(((D856+E856)*C856-G856)&lt;='Assumptions and Catalog'!$C$62,((D856+E856)*C856-G856)*'Assumptions and Catalog'!$H$62+'Assumptions and Catalog'!$E$62+'Assumptions and Catalog'!$F$62,IF(((D856+E856)*C856-G856)&lt;='Assumptions and Catalog'!$C$63,((D856+E856)*C856-G856)*'Assumptions and Catalog'!$H$63+'Assumptions and Catalog'!$E$63+'Assumptions and Catalog'!$F$63,IF(((D856+E856)*C856-G856)&lt;='Assumptions and Catalog'!$C$64,((D856+E856)*C856-G856)*'Assumptions and Catalog'!$H$64+'Assumptions and Catalog'!$E$64+'Assumptions and Catalog'!$F$64,IF(((D856+E856)*C856-G856)&lt;='Assumptions and Catalog'!$C$65,((D856+E856)*C856-G856)*'Assumptions and Catalog'!$H$65+'Assumptions and Catalog'!$E$65+'Assumptions and Catalog'!$F$65,"Out of range")))))))))*(1+'Assumptions and Catalog'!$C$8)^(A856-1),0)</f>
        <v>3453.61</v>
      </c>
      <c r="R856" s="5" t="n">
        <f>IF(AND('Assumptions and Catalog'!$C$19&gt;0,A856&gt;='Assumptions and Catalog'!$C$19),A856-'Assumptions and Catalog'!$C$19,A856-1)</f>
        <v>6</v>
      </c>
      <c r="S856" s="5" t="n">
        <f>F856+L856-(D856+E856)*C856-J856-K856-IF(E$52&gt;0,'Assumptions and Catalog'!$C$26*C856,0)</f>
        <v>1.13686837721616E-013</v>
      </c>
      <c r="T856" s="5"/>
      <c r="U856" s="5"/>
    </row>
    <row r="857" ht="23.100000381469727" customHeight="1">
      <c r="A857" s="5" t="n">
        <v>17</v>
      </c>
      <c r="B857" s="5" t="n">
        <v>5</v>
      </c>
      <c r="C857" s="5" t="n">
        <f>DAY(DATE('Assumptions and Catalog'!$C$24+A857-1,B857+1,0))</f>
        <v>31</v>
      </c>
      <c r="D857" s="5" t="n">
        <f>IF(ISNUMBER(Inputs!$L$5),Inputs!$L$5*Inputs!$L$6,0)</f>
        <v>40.35</v>
      </c>
      <c r="E857" s="5" t="n">
        <f>IF(ISNUMBER(Inputs!$L$5),Inputs!$L$5-D857,0)</f>
        <v>40.35</v>
      </c>
      <c r="F857" s="5" t="n">
        <f>E$51*INDEX('Solar Production'!$D$20:$D$31,B857)*C857*(1-'Assumptions and Catalog'!$C$10)^(A857-1)</f>
        <v>1651.97287742396</v>
      </c>
      <c r="G857" s="5" t="n">
        <f>MIN(F857,D857*C857)</f>
        <v>1250.85</v>
      </c>
      <c r="H857" s="5" t="n">
        <f>I857/('Assumptions and Catalog'!$C$11*'Assumptions and Catalog'!$C$12)</f>
        <v>288.412108083557</v>
      </c>
      <c r="I857" s="5" t="n">
        <f>MIN(E857*C857,P857*'Assumptions and Catalog'!$C$12*C857,(F857-G857)*'Assumptions and Catalog'!$C$11*'Assumptions and Catalog'!$C$12,E$56*'Assumptions and Catalog'!$C$14*'Assumptions and Catalog'!$C$11*'Assumptions and Catalog'!$C$12*C857,E$57*(24-'Assumptions and Catalog'!$C$13)*C857)</f>
        <v>274.171760246932</v>
      </c>
      <c r="J857" s="5" t="n">
        <f>MAX(F857-G857-H857,0)</f>
        <v>112.710769340407</v>
      </c>
      <c r="K857" s="5" t="n">
        <f>H857-I857</f>
        <v>14.2403478366256</v>
      </c>
      <c r="L857" s="5" t="n">
        <f>(D857+E857)*C857-G857-I857+0+IF(E$52&gt;0,'Assumptions and Catalog'!$C$26*C857,0)</f>
        <v>976.678239753069</v>
      </c>
      <c r="M857" s="5" t="n">
        <f>IF(ISNUMBER(Inputs!$L$5),(IF(Inputs!$L$9="Actual flat rate",((D857+E857)*C857)*Inputs!$L$10,IF(Inputs!$C$9="Residential",IF(((D857+E857)*C857)&lt;='Assumptions and Catalog'!$C$50,((D857+E857)*C857)*'Assumptions and Catalog'!$H$50+'Assumptions and Catalog'!$E$50+'Assumptions and Catalog'!$F$50,IF(((D857+E857)*C857)&lt;='Assumptions and Catalog'!$C$51,((D857+E857)*C857)*'Assumptions and Catalog'!$H$51+'Assumptions and Catalog'!$E$51+'Assumptions and Catalog'!$F$51,IF(((D857+E857)*C857)&lt;='Assumptions and Catalog'!$C$52,((D857+E857)*C857)*'Assumptions and Catalog'!$H$52+'Assumptions and Catalog'!$E$52+'Assumptions and Catalog'!$F$52,IF(((D857+E857)*C857)&lt;='Assumptions and Catalog'!$C$53,((D857+E857)*C857)*'Assumptions and Catalog'!$H$53+'Assumptions and Catalog'!$E$53+'Assumptions and Catalog'!$F$53,IF(((D857+E857)*C857)&lt;='Assumptions and Catalog'!$C$54,((D857+E857)*C857)*'Assumptions and Catalog'!$H$54+'Assumptions and Catalog'!$E$54+'Assumptions and Catalog'!$F$54,IF(((D857+E857)*C857)&lt;='Assumptions and Catalog'!$C$55,((D857+E857)*C857)*'Assumptions and Catalog'!$H$55+'Assumptions and Catalog'!$E$55+'Assumptions and Catalog'!$F$55,IF(((D857+E857)*C857)&lt;='Assumptions and Catalog'!$C$56,((D857+E857)*C857)*'Assumptions and Catalog'!$H$56+'Assumptions and Catalog'!$E$56+'Assumptions and Catalog'!$F$56,IF(((D857+E857)*C857)&lt;='Assumptions and Catalog'!$C$57,((D857+E857)*C857)*'Assumptions and Catalog'!$H$57+'Assumptions and Catalog'!$E$57+'Assumptions and Catalog'!$F$57,"Out of range")))))))),IF(((D857+E857)*C857)&lt;='Assumptions and Catalog'!$C$60,((D857+E857)*C857)*'Assumptions and Catalog'!$H$60+'Assumptions and Catalog'!$E$60+'Assumptions and Catalog'!$F$60,IF(((D857+E857)*C857)&lt;='Assumptions and Catalog'!$C$61,((D857+E857)*C857)*'Assumptions and Catalog'!$H$61+'Assumptions and Catalog'!$E$61+'Assumptions and Catalog'!$F$61,IF(((D857+E857)*C857)&lt;='Assumptions and Catalog'!$C$62,((D857+E857)*C857)*'Assumptions and Catalog'!$H$62+'Assumptions and Catalog'!$E$62+'Assumptions and Catalog'!$F$62,IF(((D857+E857)*C857)&lt;='Assumptions and Catalog'!$C$63,((D857+E857)*C857)*'Assumptions and Catalog'!$H$63+'Assumptions and Catalog'!$E$63+'Assumptions and Catalog'!$F$63,IF(((D857+E857)*C857)&lt;='Assumptions and Catalog'!$C$64,((D857+E857)*C857)*'Assumptions and Catalog'!$H$64+'Assumptions and Catalog'!$E$64+'Assumptions and Catalog'!$F$64,IF(((D857+E857)*C857)&lt;='Assumptions and Catalog'!$C$65,((D857+E857)*C857)*'Assumptions and Catalog'!$H$65+'Assumptions and Catalog'!$E$65+'Assumptions and Catalog'!$F$65,"Out of range")))))))))*(1+'Assumptions and Catalog'!$C$8)^(A857-1),0)</f>
        <v>7094.794</v>
      </c>
      <c r="N857" s="5" t="n">
        <f>IF(ISNUMBER(Inputs!$L$5),(IF(Inputs!$L$9="Actual flat rate",L857*Inputs!$L$10,IF(Inputs!$C$9="Residential",IF(L857&lt;='Assumptions and Catalog'!$C$50,L857*'Assumptions and Catalog'!$H$50+'Assumptions and Catalog'!$E$50+'Assumptions and Catalog'!$F$50,IF(L857&lt;='Assumptions and Catalog'!$C$51,L857*'Assumptions and Catalog'!$H$51+'Assumptions and Catalog'!$E$51+'Assumptions and Catalog'!$F$51,IF(L857&lt;='Assumptions and Catalog'!$C$52,L857*'Assumptions and Catalog'!$H$52+'Assumptions and Catalog'!$E$52+'Assumptions and Catalog'!$F$52,IF(L857&lt;='Assumptions and Catalog'!$C$53,L857*'Assumptions and Catalog'!$H$53+'Assumptions and Catalog'!$E$53+'Assumptions and Catalog'!$F$53,IF(L857&lt;='Assumptions and Catalog'!$C$54,L857*'Assumptions and Catalog'!$H$54+'Assumptions and Catalog'!$E$54+'Assumptions and Catalog'!$F$54,IF(L857&lt;='Assumptions and Catalog'!$C$55,L857*'Assumptions and Catalog'!$H$55+'Assumptions and Catalog'!$E$55+'Assumptions and Catalog'!$F$55,IF(L857&lt;='Assumptions and Catalog'!$C$56,L857*'Assumptions and Catalog'!$H$56+'Assumptions and Catalog'!$E$56+'Assumptions and Catalog'!$F$56,IF(L857&lt;='Assumptions and Catalog'!$C$57,L857*'Assumptions and Catalog'!$H$57+'Assumptions and Catalog'!$E$57+'Assumptions and Catalog'!$F$57,"Out of range")))))))),IF(L857&lt;='Assumptions and Catalog'!$C$60,L857*'Assumptions and Catalog'!$H$60+'Assumptions and Catalog'!$E$60+'Assumptions and Catalog'!$F$60,IF(L857&lt;='Assumptions and Catalog'!$C$61,L857*'Assumptions and Catalog'!$H$61+'Assumptions and Catalog'!$E$61+'Assumptions and Catalog'!$F$61,IF(L857&lt;='Assumptions and Catalog'!$C$62,L857*'Assumptions and Catalog'!$H$62+'Assumptions and Catalog'!$E$62+'Assumptions and Catalog'!$F$62,IF(L857&lt;='Assumptions and Catalog'!$C$63,L857*'Assumptions and Catalog'!$H$63+'Assumptions and Catalog'!$E$63+'Assumptions and Catalog'!$F$63,IF(L857&lt;='Assumptions and Catalog'!$C$64,L857*'Assumptions and Catalog'!$H$64+'Assumptions and Catalog'!$E$64+'Assumptions and Catalog'!$F$64,IF(L857&lt;='Assumptions and Catalog'!$C$65,L857*'Assumptions and Catalog'!$H$65+'Assumptions and Catalog'!$E$65+'Assumptions and Catalog'!$F$65,"Out of range")))))))))*(1+'Assumptions and Catalog'!$C$8)^(A857-1),0)</f>
        <v>2670.398724116</v>
      </c>
      <c r="O857" s="5" t="n">
        <f>M857-N857</f>
        <v>4424.395275884</v>
      </c>
      <c r="P857" s="5" t="n">
        <f>E$55*(1-L$14)*(1-'Assumptions and Catalog'!$C$23)^R857</f>
        <v>9.07102598004736</v>
      </c>
      <c r="Q857" s="5" t="n">
        <f>IF(ISNUMBER(Inputs!$L$5),(IF(Inputs!$L$9="Actual flat rate",((D857+E857)*C857-G857)*Inputs!$L$10,IF(Inputs!$C$9="Residential",IF(((D857+E857)*C857-G857)&lt;='Assumptions and Catalog'!$C$50,((D857+E857)*C857-G857)*'Assumptions and Catalog'!$H$50+'Assumptions and Catalog'!$E$50+'Assumptions and Catalog'!$F$50,IF(((D857+E857)*C857-G857)&lt;='Assumptions and Catalog'!$C$51,((D857+E857)*C857-G857)*'Assumptions and Catalog'!$H$51+'Assumptions and Catalog'!$E$51+'Assumptions and Catalog'!$F$51,IF(((D857+E857)*C857-G857)&lt;='Assumptions and Catalog'!$C$52,((D857+E857)*C857-G857)*'Assumptions and Catalog'!$H$52+'Assumptions and Catalog'!$E$52+'Assumptions and Catalog'!$F$52,IF(((D857+E857)*C857-G857)&lt;='Assumptions and Catalog'!$C$53,((D857+E857)*C857-G857)*'Assumptions and Catalog'!$H$53+'Assumptions and Catalog'!$E$53+'Assumptions and Catalog'!$F$53,IF(((D857+E857)*C857-G857)&lt;='Assumptions and Catalog'!$C$54,((D857+E857)*C857-G857)*'Assumptions and Catalog'!$H$54+'Assumptions and Catalog'!$E$54+'Assumptions and Catalog'!$F$54,IF(((D857+E857)*C857-G857)&lt;='Assumptions and Catalog'!$C$55,((D857+E857)*C857-G857)*'Assumptions and Catalog'!$H$55+'Assumptions and Catalog'!$E$55+'Assumptions and Catalog'!$F$55,IF(((D857+E857)*C857-G857)&lt;='Assumptions and Catalog'!$C$56,((D857+E857)*C857-G857)*'Assumptions and Catalog'!$H$56+'Assumptions and Catalog'!$E$56+'Assumptions and Catalog'!$F$56,IF(((D857+E857)*C857-G857)&lt;='Assumptions and Catalog'!$C$57,((D857+E857)*C857-G857)*'Assumptions and Catalog'!$H$57+'Assumptions and Catalog'!$E$57+'Assumptions and Catalog'!$F$57,"Out of range")))))))),IF(((D857+E857)*C857-G857)&lt;='Assumptions and Catalog'!$C$60,((D857+E857)*C857-G857)*'Assumptions and Catalog'!$H$60+'Assumptions and Catalog'!$E$60+'Assumptions and Catalog'!$F$60,IF(((D857+E857)*C857-G857)&lt;='Assumptions and Catalog'!$C$61,((D857+E857)*C857-G857)*'Assumptions and Catalog'!$H$61+'Assumptions and Catalog'!$E$61+'Assumptions and Catalog'!$F$61,IF(((D857+E857)*C857-G857)&lt;='Assumptions and Catalog'!$C$62,((D857+E857)*C857-G857)*'Assumptions and Catalog'!$H$62+'Assumptions and Catalog'!$E$62+'Assumptions and Catalog'!$F$62,IF(((D857+E857)*C857-G857)&lt;='Assumptions and Catalog'!$C$63,((D857+E857)*C857-G857)*'Assumptions and Catalog'!$H$63+'Assumptions and Catalog'!$E$63+'Assumptions and Catalog'!$F$63,IF(((D857+E857)*C857-G857)&lt;='Assumptions and Catalog'!$C$64,((D857+E857)*C857-G857)*'Assumptions and Catalog'!$H$64+'Assumptions and Catalog'!$E$64+'Assumptions and Catalog'!$F$64,IF(((D857+E857)*C857-G857)&lt;='Assumptions and Catalog'!$C$65,((D857+E857)*C857-G857)*'Assumptions and Catalog'!$H$65+'Assumptions and Catalog'!$E$65+'Assumptions and Catalog'!$F$65,"Out of range")))))))))*(1+'Assumptions and Catalog'!$C$8)^(A857-1),0)</f>
        <v>3567.397</v>
      </c>
      <c r="R857" s="5" t="n">
        <f>IF(AND('Assumptions and Catalog'!$C$19&gt;0,A857&gt;='Assumptions and Catalog'!$C$19),A857-'Assumptions and Catalog'!$C$19,A857-1)</f>
        <v>6</v>
      </c>
      <c r="S857" s="5" t="n">
        <f>F857+L857-(D857+E857)*C857-J857-K857-IF(E$52&gt;0,'Assumptions and Catalog'!$C$26*C857,0)</f>
        <v>1.13686837721616E-013</v>
      </c>
      <c r="T857" s="5"/>
      <c r="U857" s="5"/>
    </row>
    <row r="858" ht="23.100000381469727" customHeight="1">
      <c r="A858" s="5" t="n">
        <v>17</v>
      </c>
      <c r="B858" s="5" t="n">
        <v>6</v>
      </c>
      <c r="C858" s="5" t="n">
        <f>DAY(DATE('Assumptions and Catalog'!$C$24+A858-1,B858+1,0))</f>
        <v>30</v>
      </c>
      <c r="D858" s="5" t="n">
        <f>IF(ISNUMBER(Inputs!$L$5),Inputs!$L$5*Inputs!$L$6,0)</f>
        <v>40.35</v>
      </c>
      <c r="E858" s="5" t="n">
        <f>IF(ISNUMBER(Inputs!$L$5),Inputs!$L$5-D858,0)</f>
        <v>40.35</v>
      </c>
      <c r="F858" s="5" t="n">
        <f>E$51*INDEX('Solar Production'!$D$20:$D$31,B858)*C858*(1-'Assumptions and Catalog'!$C$10)^(A858-1)</f>
        <v>1610.34868373273</v>
      </c>
      <c r="G858" s="5" t="n">
        <f>MIN(F858,D858*C858)</f>
        <v>1210.5</v>
      </c>
      <c r="H858" s="5" t="n">
        <f>I858/('Assumptions and Catalog'!$C$11*'Assumptions and Catalog'!$C$12)</f>
        <v>279.108491693765</v>
      </c>
      <c r="I858" s="5" t="n">
        <f>MIN(E858*C858,P858*'Assumptions and Catalog'!$C$12*C858,(F858-G858)*'Assumptions and Catalog'!$C$11*'Assumptions and Catalog'!$C$12,E$56*'Assumptions and Catalog'!$C$14*'Assumptions and Catalog'!$C$11*'Assumptions and Catalog'!$C$12*C858,E$57*(24-'Assumptions and Catalog'!$C$13)*C858)</f>
        <v>265.327509916385</v>
      </c>
      <c r="J858" s="5" t="n">
        <f>MAX(F858-G858-H858,0)</f>
        <v>120.740192038962</v>
      </c>
      <c r="K858" s="5" t="n">
        <f>H858-I858</f>
        <v>13.7809817773797</v>
      </c>
      <c r="L858" s="5" t="n">
        <f>(D858+E858)*C858-G858-I858+0+IF(E$52&gt;0,'Assumptions and Catalog'!$C$26*C858,0)</f>
        <v>945.172490083615</v>
      </c>
      <c r="M858" s="5" t="n">
        <f>IF(ISNUMBER(Inputs!$L$5),(IF(Inputs!$L$9="Actual flat rate",((D858+E858)*C858)*Inputs!$L$10,IF(Inputs!$C$9="Residential",IF(((D858+E858)*C858)&lt;='Assumptions and Catalog'!$C$50,((D858+E858)*C858)*'Assumptions and Catalog'!$H$50+'Assumptions and Catalog'!$E$50+'Assumptions and Catalog'!$F$50,IF(((D858+E858)*C858)&lt;='Assumptions and Catalog'!$C$51,((D858+E858)*C858)*'Assumptions and Catalog'!$H$51+'Assumptions and Catalog'!$E$51+'Assumptions and Catalog'!$F$51,IF(((D858+E858)*C858)&lt;='Assumptions and Catalog'!$C$52,((D858+E858)*C858)*'Assumptions and Catalog'!$H$52+'Assumptions and Catalog'!$E$52+'Assumptions and Catalog'!$F$52,IF(((D858+E858)*C858)&lt;='Assumptions and Catalog'!$C$53,((D858+E858)*C858)*'Assumptions and Catalog'!$H$53+'Assumptions and Catalog'!$E$53+'Assumptions and Catalog'!$F$53,IF(((D858+E858)*C858)&lt;='Assumptions and Catalog'!$C$54,((D858+E858)*C858)*'Assumptions and Catalog'!$H$54+'Assumptions and Catalog'!$E$54+'Assumptions and Catalog'!$F$54,IF(((D858+E858)*C858)&lt;='Assumptions and Catalog'!$C$55,((D858+E858)*C858)*'Assumptions and Catalog'!$H$55+'Assumptions and Catalog'!$E$55+'Assumptions and Catalog'!$F$55,IF(((D858+E858)*C858)&lt;='Assumptions and Catalog'!$C$56,((D858+E858)*C858)*'Assumptions and Catalog'!$H$56+'Assumptions and Catalog'!$E$56+'Assumptions and Catalog'!$F$56,IF(((D858+E858)*C858)&lt;='Assumptions and Catalog'!$C$57,((D858+E858)*C858)*'Assumptions and Catalog'!$H$57+'Assumptions and Catalog'!$E$57+'Assumptions and Catalog'!$F$57,"Out of range")))))))),IF(((D858+E858)*C858)&lt;='Assumptions and Catalog'!$C$60,((D858+E858)*C858)*'Assumptions and Catalog'!$H$60+'Assumptions and Catalog'!$E$60+'Assumptions and Catalog'!$F$60,IF(((D858+E858)*C858)&lt;='Assumptions and Catalog'!$C$61,((D858+E858)*C858)*'Assumptions and Catalog'!$H$61+'Assumptions and Catalog'!$E$61+'Assumptions and Catalog'!$F$61,IF(((D858+E858)*C858)&lt;='Assumptions and Catalog'!$C$62,((D858+E858)*C858)*'Assumptions and Catalog'!$H$62+'Assumptions and Catalog'!$E$62+'Assumptions and Catalog'!$F$62,IF(((D858+E858)*C858)&lt;='Assumptions and Catalog'!$C$63,((D858+E858)*C858)*'Assumptions and Catalog'!$H$63+'Assumptions and Catalog'!$E$63+'Assumptions and Catalog'!$F$63,IF(((D858+E858)*C858)&lt;='Assumptions and Catalog'!$C$64,((D858+E858)*C858)*'Assumptions and Catalog'!$H$64+'Assumptions and Catalog'!$E$64+'Assumptions and Catalog'!$F$64,IF(((D858+E858)*C858)&lt;='Assumptions and Catalog'!$C$65,((D858+E858)*C858)*'Assumptions and Catalog'!$H$65+'Assumptions and Catalog'!$E$65+'Assumptions and Catalog'!$F$65,"Out of range")))))))))*(1+'Assumptions and Catalog'!$C$8)^(A858-1),0)</f>
        <v>6867.22</v>
      </c>
      <c r="N858" s="5" t="n">
        <f>IF(ISNUMBER(Inputs!$L$5),(IF(Inputs!$L$9="Actual flat rate",L858*Inputs!$L$10,IF(Inputs!$C$9="Residential",IF(L858&lt;='Assumptions and Catalog'!$C$50,L858*'Assumptions and Catalog'!$H$50+'Assumptions and Catalog'!$E$50+'Assumptions and Catalog'!$F$50,IF(L858&lt;='Assumptions and Catalog'!$C$51,L858*'Assumptions and Catalog'!$H$51+'Assumptions and Catalog'!$E$51+'Assumptions and Catalog'!$F$51,IF(L858&lt;='Assumptions and Catalog'!$C$52,L858*'Assumptions and Catalog'!$H$52+'Assumptions and Catalog'!$E$52+'Assumptions and Catalog'!$F$52,IF(L858&lt;='Assumptions and Catalog'!$C$53,L858*'Assumptions and Catalog'!$H$53+'Assumptions and Catalog'!$E$53+'Assumptions and Catalog'!$F$53,IF(L858&lt;='Assumptions and Catalog'!$C$54,L858*'Assumptions and Catalog'!$H$54+'Assumptions and Catalog'!$E$54+'Assumptions and Catalog'!$F$54,IF(L858&lt;='Assumptions and Catalog'!$C$55,L858*'Assumptions and Catalog'!$H$55+'Assumptions and Catalog'!$E$55+'Assumptions and Catalog'!$F$55,IF(L858&lt;='Assumptions and Catalog'!$C$56,L858*'Assumptions and Catalog'!$H$56+'Assumptions and Catalog'!$E$56+'Assumptions and Catalog'!$F$56,IF(L858&lt;='Assumptions and Catalog'!$C$57,L858*'Assumptions and Catalog'!$H$57+'Assumptions and Catalog'!$E$57+'Assumptions and Catalog'!$F$57,"Out of range")))))))),IF(L858&lt;='Assumptions and Catalog'!$C$60,L858*'Assumptions and Catalog'!$H$60+'Assumptions and Catalog'!$E$60+'Assumptions and Catalog'!$F$60,IF(L858&lt;='Assumptions and Catalog'!$C$61,L858*'Assumptions and Catalog'!$H$61+'Assumptions and Catalog'!$E$61+'Assumptions and Catalog'!$F$61,IF(L858&lt;='Assumptions and Catalog'!$C$62,L858*'Assumptions and Catalog'!$H$62+'Assumptions and Catalog'!$E$62+'Assumptions and Catalog'!$F$62,IF(L858&lt;='Assumptions and Catalog'!$C$63,L858*'Assumptions and Catalog'!$H$63+'Assumptions and Catalog'!$E$63+'Assumptions and Catalog'!$F$63,IF(L858&lt;='Assumptions and Catalog'!$C$64,L858*'Assumptions and Catalog'!$H$64+'Assumptions and Catalog'!$E$64+'Assumptions and Catalog'!$F$64,IF(L858&lt;='Assumptions and Catalog'!$C$65,L858*'Assumptions and Catalog'!$H$65+'Assumptions and Catalog'!$E$65+'Assumptions and Catalog'!$F$65,"Out of range")))))))))*(1+'Assumptions and Catalog'!$C$8)^(A858-1),0)</f>
        <v>2583.12779753161</v>
      </c>
      <c r="O858" s="5" t="n">
        <f>M858-N858</f>
        <v>4284.09220246839</v>
      </c>
      <c r="P858" s="5" t="n">
        <f>E$55*(1-L$14)*(1-'Assumptions and Catalog'!$C$23)^R858</f>
        <v>9.07102598004736</v>
      </c>
      <c r="Q858" s="5" t="n">
        <f>IF(ISNUMBER(Inputs!$L$5),(IF(Inputs!$L$9="Actual flat rate",((D858+E858)*C858-G858)*Inputs!$L$10,IF(Inputs!$C$9="Residential",IF(((D858+E858)*C858-G858)&lt;='Assumptions and Catalog'!$C$50,((D858+E858)*C858-G858)*'Assumptions and Catalog'!$H$50+'Assumptions and Catalog'!$E$50+'Assumptions and Catalog'!$F$50,IF(((D858+E858)*C858-G858)&lt;='Assumptions and Catalog'!$C$51,((D858+E858)*C858-G858)*'Assumptions and Catalog'!$H$51+'Assumptions and Catalog'!$E$51+'Assumptions and Catalog'!$F$51,IF(((D858+E858)*C858-G858)&lt;='Assumptions and Catalog'!$C$52,((D858+E858)*C858-G858)*'Assumptions and Catalog'!$H$52+'Assumptions and Catalog'!$E$52+'Assumptions and Catalog'!$F$52,IF(((D858+E858)*C858-G858)&lt;='Assumptions and Catalog'!$C$53,((D858+E858)*C858-G858)*'Assumptions and Catalog'!$H$53+'Assumptions and Catalog'!$E$53+'Assumptions and Catalog'!$F$53,IF(((D858+E858)*C858-G858)&lt;='Assumptions and Catalog'!$C$54,((D858+E858)*C858-G858)*'Assumptions and Catalog'!$H$54+'Assumptions and Catalog'!$E$54+'Assumptions and Catalog'!$F$54,IF(((D858+E858)*C858-G858)&lt;='Assumptions and Catalog'!$C$55,((D858+E858)*C858-G858)*'Assumptions and Catalog'!$H$55+'Assumptions and Catalog'!$E$55+'Assumptions and Catalog'!$F$55,IF(((D858+E858)*C858-G858)&lt;='Assumptions and Catalog'!$C$56,((D858+E858)*C858-G858)*'Assumptions and Catalog'!$H$56+'Assumptions and Catalog'!$E$56+'Assumptions and Catalog'!$F$56,IF(((D858+E858)*C858-G858)&lt;='Assumptions and Catalog'!$C$57,((D858+E858)*C858-G858)*'Assumptions and Catalog'!$H$57+'Assumptions and Catalog'!$E$57+'Assumptions and Catalog'!$F$57,"Out of range")))))))),IF(((D858+E858)*C858-G858)&lt;='Assumptions and Catalog'!$C$60,((D858+E858)*C858-G858)*'Assumptions and Catalog'!$H$60+'Assumptions and Catalog'!$E$60+'Assumptions and Catalog'!$F$60,IF(((D858+E858)*C858-G858)&lt;='Assumptions and Catalog'!$C$61,((D858+E858)*C858-G858)*'Assumptions and Catalog'!$H$61+'Assumptions and Catalog'!$E$61+'Assumptions and Catalog'!$F$61,IF(((D858+E858)*C858-G858)&lt;='Assumptions and Catalog'!$C$62,((D858+E858)*C858-G858)*'Assumptions and Catalog'!$H$62+'Assumptions and Catalog'!$E$62+'Assumptions and Catalog'!$F$62,IF(((D858+E858)*C858-G858)&lt;='Assumptions and Catalog'!$C$63,((D858+E858)*C858-G858)*'Assumptions and Catalog'!$H$63+'Assumptions and Catalog'!$E$63+'Assumptions and Catalog'!$F$63,IF(((D858+E858)*C858-G858)&lt;='Assumptions and Catalog'!$C$64,((D858+E858)*C858-G858)*'Assumptions and Catalog'!$H$64+'Assumptions and Catalog'!$E$64+'Assumptions and Catalog'!$F$64,IF(((D858+E858)*C858-G858)&lt;='Assumptions and Catalog'!$C$65,((D858+E858)*C858-G858)*'Assumptions and Catalog'!$H$65+'Assumptions and Catalog'!$E$65+'Assumptions and Catalog'!$F$65,"Out of range")))))))))*(1+'Assumptions and Catalog'!$C$8)^(A858-1),0)</f>
        <v>3453.61</v>
      </c>
      <c r="R858" s="5" t="n">
        <f>IF(AND('Assumptions and Catalog'!$C$19&gt;0,A858&gt;='Assumptions and Catalog'!$C$19),A858-'Assumptions and Catalog'!$C$19,A858-1)</f>
        <v>6</v>
      </c>
      <c r="S858" s="5" t="n">
        <f>F858+L858-(D858+E858)*C858-J858-K858-IF(E$52&gt;0,'Assumptions and Catalog'!$C$26*C858,0)</f>
        <v>1.13686837721616E-013</v>
      </c>
      <c r="T858" s="5"/>
      <c r="U858" s="5"/>
    </row>
    <row r="859" ht="23.100000381469727" customHeight="1">
      <c r="A859" s="5" t="n">
        <v>17</v>
      </c>
      <c r="B859" s="5" t="n">
        <v>7</v>
      </c>
      <c r="C859" s="5" t="n">
        <f>DAY(DATE('Assumptions and Catalog'!$C$24+A859-1,B859+1,0))</f>
        <v>31</v>
      </c>
      <c r="D859" s="5" t="n">
        <f>IF(ISNUMBER(Inputs!$L$5),Inputs!$L$5*Inputs!$L$6,0)</f>
        <v>40.35</v>
      </c>
      <c r="E859" s="5" t="n">
        <f>IF(ISNUMBER(Inputs!$L$5),Inputs!$L$5-D859,0)</f>
        <v>40.35</v>
      </c>
      <c r="F859" s="5" t="n">
        <f>E$51*INDEX('Solar Production'!$D$20:$D$31,B859)*C859*(1-'Assumptions and Catalog'!$C$10)^(A859-1)</f>
        <v>1671.66822760958</v>
      </c>
      <c r="G859" s="5" t="n">
        <f>MIN(F859,D859*C859)</f>
        <v>1250.85</v>
      </c>
      <c r="H859" s="5" t="n">
        <f>I859/('Assumptions and Catalog'!$C$11*'Assumptions and Catalog'!$C$12)</f>
        <v>288.412108083557</v>
      </c>
      <c r="I859" s="5" t="n">
        <f>MIN(E859*C859,P859*'Assumptions and Catalog'!$C$12*C859,(F859-G859)*'Assumptions and Catalog'!$C$11*'Assumptions and Catalog'!$C$12,E$56*'Assumptions and Catalog'!$C$14*'Assumptions and Catalog'!$C$11*'Assumptions and Catalog'!$C$12*C859,E$57*(24-'Assumptions and Catalog'!$C$13)*C859)</f>
        <v>274.171760246932</v>
      </c>
      <c r="J859" s="5" t="n">
        <f>MAX(F859-G859-H859,0)</f>
        <v>132.406119526018</v>
      </c>
      <c r="K859" s="5" t="n">
        <f>H859-I859</f>
        <v>14.2403478366256</v>
      </c>
      <c r="L859" s="5" t="n">
        <f>(D859+E859)*C859-G859-I859+0+IF(E$52&gt;0,'Assumptions and Catalog'!$C$26*C859,0)</f>
        <v>976.678239753069</v>
      </c>
      <c r="M859" s="5" t="n">
        <f>IF(ISNUMBER(Inputs!$L$5),(IF(Inputs!$L$9="Actual flat rate",((D859+E859)*C859)*Inputs!$L$10,IF(Inputs!$C$9="Residential",IF(((D859+E859)*C859)&lt;='Assumptions and Catalog'!$C$50,((D859+E859)*C859)*'Assumptions and Catalog'!$H$50+'Assumptions and Catalog'!$E$50+'Assumptions and Catalog'!$F$50,IF(((D859+E859)*C859)&lt;='Assumptions and Catalog'!$C$51,((D859+E859)*C859)*'Assumptions and Catalog'!$H$51+'Assumptions and Catalog'!$E$51+'Assumptions and Catalog'!$F$51,IF(((D859+E859)*C859)&lt;='Assumptions and Catalog'!$C$52,((D859+E859)*C859)*'Assumptions and Catalog'!$H$52+'Assumptions and Catalog'!$E$52+'Assumptions and Catalog'!$F$52,IF(((D859+E859)*C859)&lt;='Assumptions and Catalog'!$C$53,((D859+E859)*C859)*'Assumptions and Catalog'!$H$53+'Assumptions and Catalog'!$E$53+'Assumptions and Catalog'!$F$53,IF(((D859+E859)*C859)&lt;='Assumptions and Catalog'!$C$54,((D859+E859)*C859)*'Assumptions and Catalog'!$H$54+'Assumptions and Catalog'!$E$54+'Assumptions and Catalog'!$F$54,IF(((D859+E859)*C859)&lt;='Assumptions and Catalog'!$C$55,((D859+E859)*C859)*'Assumptions and Catalog'!$H$55+'Assumptions and Catalog'!$E$55+'Assumptions and Catalog'!$F$55,IF(((D859+E859)*C859)&lt;='Assumptions and Catalog'!$C$56,((D859+E859)*C859)*'Assumptions and Catalog'!$H$56+'Assumptions and Catalog'!$E$56+'Assumptions and Catalog'!$F$56,IF(((D859+E859)*C859)&lt;='Assumptions and Catalog'!$C$57,((D859+E859)*C859)*'Assumptions and Catalog'!$H$57+'Assumptions and Catalog'!$E$57+'Assumptions and Catalog'!$F$57,"Out of range")))))))),IF(((D859+E859)*C859)&lt;='Assumptions and Catalog'!$C$60,((D859+E859)*C859)*'Assumptions and Catalog'!$H$60+'Assumptions and Catalog'!$E$60+'Assumptions and Catalog'!$F$60,IF(((D859+E859)*C859)&lt;='Assumptions and Catalog'!$C$61,((D859+E859)*C859)*'Assumptions and Catalog'!$H$61+'Assumptions and Catalog'!$E$61+'Assumptions and Catalog'!$F$61,IF(((D859+E859)*C859)&lt;='Assumptions and Catalog'!$C$62,((D859+E859)*C859)*'Assumptions and Catalog'!$H$62+'Assumptions and Catalog'!$E$62+'Assumptions and Catalog'!$F$62,IF(((D859+E859)*C859)&lt;='Assumptions and Catalog'!$C$63,((D859+E859)*C859)*'Assumptions and Catalog'!$H$63+'Assumptions and Catalog'!$E$63+'Assumptions and Catalog'!$F$63,IF(((D859+E859)*C859)&lt;='Assumptions and Catalog'!$C$64,((D859+E859)*C859)*'Assumptions and Catalog'!$H$64+'Assumptions and Catalog'!$E$64+'Assumptions and Catalog'!$F$64,IF(((D859+E859)*C859)&lt;='Assumptions and Catalog'!$C$65,((D859+E859)*C859)*'Assumptions and Catalog'!$H$65+'Assumptions and Catalog'!$E$65+'Assumptions and Catalog'!$F$65,"Out of range")))))))))*(1+'Assumptions and Catalog'!$C$8)^(A859-1),0)</f>
        <v>7094.794</v>
      </c>
      <c r="N859" s="5" t="n">
        <f>IF(ISNUMBER(Inputs!$L$5),(IF(Inputs!$L$9="Actual flat rate",L859*Inputs!$L$10,IF(Inputs!$C$9="Residential",IF(L859&lt;='Assumptions and Catalog'!$C$50,L859*'Assumptions and Catalog'!$H$50+'Assumptions and Catalog'!$E$50+'Assumptions and Catalog'!$F$50,IF(L859&lt;='Assumptions and Catalog'!$C$51,L859*'Assumptions and Catalog'!$H$51+'Assumptions and Catalog'!$E$51+'Assumptions and Catalog'!$F$51,IF(L859&lt;='Assumptions and Catalog'!$C$52,L859*'Assumptions and Catalog'!$H$52+'Assumptions and Catalog'!$E$52+'Assumptions and Catalog'!$F$52,IF(L859&lt;='Assumptions and Catalog'!$C$53,L859*'Assumptions and Catalog'!$H$53+'Assumptions and Catalog'!$E$53+'Assumptions and Catalog'!$F$53,IF(L859&lt;='Assumptions and Catalog'!$C$54,L859*'Assumptions and Catalog'!$H$54+'Assumptions and Catalog'!$E$54+'Assumptions and Catalog'!$F$54,IF(L859&lt;='Assumptions and Catalog'!$C$55,L859*'Assumptions and Catalog'!$H$55+'Assumptions and Catalog'!$E$55+'Assumptions and Catalog'!$F$55,IF(L859&lt;='Assumptions and Catalog'!$C$56,L859*'Assumptions and Catalog'!$H$56+'Assumptions and Catalog'!$E$56+'Assumptions and Catalog'!$F$56,IF(L859&lt;='Assumptions and Catalog'!$C$57,L859*'Assumptions and Catalog'!$H$57+'Assumptions and Catalog'!$E$57+'Assumptions and Catalog'!$F$57,"Out of range")))))))),IF(L859&lt;='Assumptions and Catalog'!$C$60,L859*'Assumptions and Catalog'!$H$60+'Assumptions and Catalog'!$E$60+'Assumptions and Catalog'!$F$60,IF(L859&lt;='Assumptions and Catalog'!$C$61,L859*'Assumptions and Catalog'!$H$61+'Assumptions and Catalog'!$E$61+'Assumptions and Catalog'!$F$61,IF(L859&lt;='Assumptions and Catalog'!$C$62,L859*'Assumptions and Catalog'!$H$62+'Assumptions and Catalog'!$E$62+'Assumptions and Catalog'!$F$62,IF(L859&lt;='Assumptions and Catalog'!$C$63,L859*'Assumptions and Catalog'!$H$63+'Assumptions and Catalog'!$E$63+'Assumptions and Catalog'!$F$63,IF(L859&lt;='Assumptions and Catalog'!$C$64,L859*'Assumptions and Catalog'!$H$64+'Assumptions and Catalog'!$E$64+'Assumptions and Catalog'!$F$64,IF(L859&lt;='Assumptions and Catalog'!$C$65,L859*'Assumptions and Catalog'!$H$65+'Assumptions and Catalog'!$E$65+'Assumptions and Catalog'!$F$65,"Out of range")))))))))*(1+'Assumptions and Catalog'!$C$8)^(A859-1),0)</f>
        <v>2670.398724116</v>
      </c>
      <c r="O859" s="5" t="n">
        <f>M859-N859</f>
        <v>4424.395275884</v>
      </c>
      <c r="P859" s="5" t="n">
        <f>E$55*(1-L$14)*(1-'Assumptions and Catalog'!$C$23)^R859</f>
        <v>9.07102598004736</v>
      </c>
      <c r="Q859" s="5" t="n">
        <f>IF(ISNUMBER(Inputs!$L$5),(IF(Inputs!$L$9="Actual flat rate",((D859+E859)*C859-G859)*Inputs!$L$10,IF(Inputs!$C$9="Residential",IF(((D859+E859)*C859-G859)&lt;='Assumptions and Catalog'!$C$50,((D859+E859)*C859-G859)*'Assumptions and Catalog'!$H$50+'Assumptions and Catalog'!$E$50+'Assumptions and Catalog'!$F$50,IF(((D859+E859)*C859-G859)&lt;='Assumptions and Catalog'!$C$51,((D859+E859)*C859-G859)*'Assumptions and Catalog'!$H$51+'Assumptions and Catalog'!$E$51+'Assumptions and Catalog'!$F$51,IF(((D859+E859)*C859-G859)&lt;='Assumptions and Catalog'!$C$52,((D859+E859)*C859-G859)*'Assumptions and Catalog'!$H$52+'Assumptions and Catalog'!$E$52+'Assumptions and Catalog'!$F$52,IF(((D859+E859)*C859-G859)&lt;='Assumptions and Catalog'!$C$53,((D859+E859)*C859-G859)*'Assumptions and Catalog'!$H$53+'Assumptions and Catalog'!$E$53+'Assumptions and Catalog'!$F$53,IF(((D859+E859)*C859-G859)&lt;='Assumptions and Catalog'!$C$54,((D859+E859)*C859-G859)*'Assumptions and Catalog'!$H$54+'Assumptions and Catalog'!$E$54+'Assumptions and Catalog'!$F$54,IF(((D859+E859)*C859-G859)&lt;='Assumptions and Catalog'!$C$55,((D859+E859)*C859-G859)*'Assumptions and Catalog'!$H$55+'Assumptions and Catalog'!$E$55+'Assumptions and Catalog'!$F$55,IF(((D859+E859)*C859-G859)&lt;='Assumptions and Catalog'!$C$56,((D859+E859)*C859-G859)*'Assumptions and Catalog'!$H$56+'Assumptions and Catalog'!$E$56+'Assumptions and Catalog'!$F$56,IF(((D859+E859)*C859-G859)&lt;='Assumptions and Catalog'!$C$57,((D859+E859)*C859-G859)*'Assumptions and Catalog'!$H$57+'Assumptions and Catalog'!$E$57+'Assumptions and Catalog'!$F$57,"Out of range")))))))),IF(((D859+E859)*C859-G859)&lt;='Assumptions and Catalog'!$C$60,((D859+E859)*C859-G859)*'Assumptions and Catalog'!$H$60+'Assumptions and Catalog'!$E$60+'Assumptions and Catalog'!$F$60,IF(((D859+E859)*C859-G859)&lt;='Assumptions and Catalog'!$C$61,((D859+E859)*C859-G859)*'Assumptions and Catalog'!$H$61+'Assumptions and Catalog'!$E$61+'Assumptions and Catalog'!$F$61,IF(((D859+E859)*C859-G859)&lt;='Assumptions and Catalog'!$C$62,((D859+E859)*C859-G859)*'Assumptions and Catalog'!$H$62+'Assumptions and Catalog'!$E$62+'Assumptions and Catalog'!$F$62,IF(((D859+E859)*C859-G859)&lt;='Assumptions and Catalog'!$C$63,((D859+E859)*C859-G859)*'Assumptions and Catalog'!$H$63+'Assumptions and Catalog'!$E$63+'Assumptions and Catalog'!$F$63,IF(((D859+E859)*C859-G859)&lt;='Assumptions and Catalog'!$C$64,((D859+E859)*C859-G859)*'Assumptions and Catalog'!$H$64+'Assumptions and Catalog'!$E$64+'Assumptions and Catalog'!$F$64,IF(((D859+E859)*C859-G859)&lt;='Assumptions and Catalog'!$C$65,((D859+E859)*C859-G859)*'Assumptions and Catalog'!$H$65+'Assumptions and Catalog'!$E$65+'Assumptions and Catalog'!$F$65,"Out of range")))))))))*(1+'Assumptions and Catalog'!$C$8)^(A859-1),0)</f>
        <v>3567.397</v>
      </c>
      <c r="R859" s="5" t="n">
        <f>IF(AND('Assumptions and Catalog'!$C$19&gt;0,A859&gt;='Assumptions and Catalog'!$C$19),A859-'Assumptions and Catalog'!$C$19,A859-1)</f>
        <v>6</v>
      </c>
      <c r="S859" s="5" t="n">
        <f>F859+L859-(D859+E859)*C859-J859-K859-IF(E$52&gt;0,'Assumptions and Catalog'!$C$26*C859,0)</f>
        <v>-1.13686837721616E-013</v>
      </c>
      <c r="T859" s="5"/>
      <c r="U859" s="5"/>
    </row>
    <row r="860" ht="23.100000381469727" customHeight="1">
      <c r="A860" s="5" t="n">
        <v>17</v>
      </c>
      <c r="B860" s="5" t="n">
        <v>8</v>
      </c>
      <c r="C860" s="5" t="n">
        <f>DAY(DATE('Assumptions and Catalog'!$C$24+A860-1,B860+1,0))</f>
        <v>31</v>
      </c>
      <c r="D860" s="5" t="n">
        <f>IF(ISNUMBER(Inputs!$L$5),Inputs!$L$5*Inputs!$L$6,0)</f>
        <v>40.35</v>
      </c>
      <c r="E860" s="5" t="n">
        <f>IF(ISNUMBER(Inputs!$L$5),Inputs!$L$5-D860,0)</f>
        <v>40.35</v>
      </c>
      <c r="F860" s="5" t="n">
        <f>E$51*INDEX('Solar Production'!$D$20:$D$31,B860)*C860*(1-'Assumptions and Catalog'!$C$10)^(A860-1)</f>
        <v>1693.39402626793</v>
      </c>
      <c r="G860" s="5" t="n">
        <f>MIN(F860,D860*C860)</f>
        <v>1250.85</v>
      </c>
      <c r="H860" s="5" t="n">
        <f>I860/('Assumptions and Catalog'!$C$11*'Assumptions and Catalog'!$C$12)</f>
        <v>288.412108083557</v>
      </c>
      <c r="I860" s="5" t="n">
        <f>MIN(E860*C860,P860*'Assumptions and Catalog'!$C$12*C860,(F860-G860)*'Assumptions and Catalog'!$C$11*'Assumptions and Catalog'!$C$12,E$56*'Assumptions and Catalog'!$C$14*'Assumptions and Catalog'!$C$11*'Assumptions and Catalog'!$C$12*C860,E$57*(24-'Assumptions and Catalog'!$C$13)*C860)</f>
        <v>274.171760246932</v>
      </c>
      <c r="J860" s="5" t="n">
        <f>MAX(F860-G860-H860,0)</f>
        <v>154.131918184371</v>
      </c>
      <c r="K860" s="5" t="n">
        <f>H860-I860</f>
        <v>14.2403478366256</v>
      </c>
      <c r="L860" s="5" t="n">
        <f>(D860+E860)*C860-G860-I860+0+IF(E$52&gt;0,'Assumptions and Catalog'!$C$26*C860,0)</f>
        <v>976.678239753069</v>
      </c>
      <c r="M860" s="5" t="n">
        <f>IF(ISNUMBER(Inputs!$L$5),(IF(Inputs!$L$9="Actual flat rate",((D860+E860)*C860)*Inputs!$L$10,IF(Inputs!$C$9="Residential",IF(((D860+E860)*C860)&lt;='Assumptions and Catalog'!$C$50,((D860+E860)*C860)*'Assumptions and Catalog'!$H$50+'Assumptions and Catalog'!$E$50+'Assumptions and Catalog'!$F$50,IF(((D860+E860)*C860)&lt;='Assumptions and Catalog'!$C$51,((D860+E860)*C860)*'Assumptions and Catalog'!$H$51+'Assumptions and Catalog'!$E$51+'Assumptions and Catalog'!$F$51,IF(((D860+E860)*C860)&lt;='Assumptions and Catalog'!$C$52,((D860+E860)*C860)*'Assumptions and Catalog'!$H$52+'Assumptions and Catalog'!$E$52+'Assumptions and Catalog'!$F$52,IF(((D860+E860)*C860)&lt;='Assumptions and Catalog'!$C$53,((D860+E860)*C860)*'Assumptions and Catalog'!$H$53+'Assumptions and Catalog'!$E$53+'Assumptions and Catalog'!$F$53,IF(((D860+E860)*C860)&lt;='Assumptions and Catalog'!$C$54,((D860+E860)*C860)*'Assumptions and Catalog'!$H$54+'Assumptions and Catalog'!$E$54+'Assumptions and Catalog'!$F$54,IF(((D860+E860)*C860)&lt;='Assumptions and Catalog'!$C$55,((D860+E860)*C860)*'Assumptions and Catalog'!$H$55+'Assumptions and Catalog'!$E$55+'Assumptions and Catalog'!$F$55,IF(((D860+E860)*C860)&lt;='Assumptions and Catalog'!$C$56,((D860+E860)*C860)*'Assumptions and Catalog'!$H$56+'Assumptions and Catalog'!$E$56+'Assumptions and Catalog'!$F$56,IF(((D860+E860)*C860)&lt;='Assumptions and Catalog'!$C$57,((D860+E860)*C860)*'Assumptions and Catalog'!$H$57+'Assumptions and Catalog'!$E$57+'Assumptions and Catalog'!$F$57,"Out of range")))))))),IF(((D860+E860)*C860)&lt;='Assumptions and Catalog'!$C$60,((D860+E860)*C860)*'Assumptions and Catalog'!$H$60+'Assumptions and Catalog'!$E$60+'Assumptions and Catalog'!$F$60,IF(((D860+E860)*C860)&lt;='Assumptions and Catalog'!$C$61,((D860+E860)*C860)*'Assumptions and Catalog'!$H$61+'Assumptions and Catalog'!$E$61+'Assumptions and Catalog'!$F$61,IF(((D860+E860)*C860)&lt;='Assumptions and Catalog'!$C$62,((D860+E860)*C860)*'Assumptions and Catalog'!$H$62+'Assumptions and Catalog'!$E$62+'Assumptions and Catalog'!$F$62,IF(((D860+E860)*C860)&lt;='Assumptions and Catalog'!$C$63,((D860+E860)*C860)*'Assumptions and Catalog'!$H$63+'Assumptions and Catalog'!$E$63+'Assumptions and Catalog'!$F$63,IF(((D860+E860)*C860)&lt;='Assumptions and Catalog'!$C$64,((D860+E860)*C860)*'Assumptions and Catalog'!$H$64+'Assumptions and Catalog'!$E$64+'Assumptions and Catalog'!$F$64,IF(((D860+E860)*C860)&lt;='Assumptions and Catalog'!$C$65,((D860+E860)*C860)*'Assumptions and Catalog'!$H$65+'Assumptions and Catalog'!$E$65+'Assumptions and Catalog'!$F$65,"Out of range")))))))))*(1+'Assumptions and Catalog'!$C$8)^(A860-1),0)</f>
        <v>7094.794</v>
      </c>
      <c r="N860" s="5" t="n">
        <f>IF(ISNUMBER(Inputs!$L$5),(IF(Inputs!$L$9="Actual flat rate",L860*Inputs!$L$10,IF(Inputs!$C$9="Residential",IF(L860&lt;='Assumptions and Catalog'!$C$50,L860*'Assumptions and Catalog'!$H$50+'Assumptions and Catalog'!$E$50+'Assumptions and Catalog'!$F$50,IF(L860&lt;='Assumptions and Catalog'!$C$51,L860*'Assumptions and Catalog'!$H$51+'Assumptions and Catalog'!$E$51+'Assumptions and Catalog'!$F$51,IF(L860&lt;='Assumptions and Catalog'!$C$52,L860*'Assumptions and Catalog'!$H$52+'Assumptions and Catalog'!$E$52+'Assumptions and Catalog'!$F$52,IF(L860&lt;='Assumptions and Catalog'!$C$53,L860*'Assumptions and Catalog'!$H$53+'Assumptions and Catalog'!$E$53+'Assumptions and Catalog'!$F$53,IF(L860&lt;='Assumptions and Catalog'!$C$54,L860*'Assumptions and Catalog'!$H$54+'Assumptions and Catalog'!$E$54+'Assumptions and Catalog'!$F$54,IF(L860&lt;='Assumptions and Catalog'!$C$55,L860*'Assumptions and Catalog'!$H$55+'Assumptions and Catalog'!$E$55+'Assumptions and Catalog'!$F$55,IF(L860&lt;='Assumptions and Catalog'!$C$56,L860*'Assumptions and Catalog'!$H$56+'Assumptions and Catalog'!$E$56+'Assumptions and Catalog'!$F$56,IF(L860&lt;='Assumptions and Catalog'!$C$57,L860*'Assumptions and Catalog'!$H$57+'Assumptions and Catalog'!$E$57+'Assumptions and Catalog'!$F$57,"Out of range")))))))),IF(L860&lt;='Assumptions and Catalog'!$C$60,L860*'Assumptions and Catalog'!$H$60+'Assumptions and Catalog'!$E$60+'Assumptions and Catalog'!$F$60,IF(L860&lt;='Assumptions and Catalog'!$C$61,L860*'Assumptions and Catalog'!$H$61+'Assumptions and Catalog'!$E$61+'Assumptions and Catalog'!$F$61,IF(L860&lt;='Assumptions and Catalog'!$C$62,L860*'Assumptions and Catalog'!$H$62+'Assumptions and Catalog'!$E$62+'Assumptions and Catalog'!$F$62,IF(L860&lt;='Assumptions and Catalog'!$C$63,L860*'Assumptions and Catalog'!$H$63+'Assumptions and Catalog'!$E$63+'Assumptions and Catalog'!$F$63,IF(L860&lt;='Assumptions and Catalog'!$C$64,L860*'Assumptions and Catalog'!$H$64+'Assumptions and Catalog'!$E$64+'Assumptions and Catalog'!$F$64,IF(L860&lt;='Assumptions and Catalog'!$C$65,L860*'Assumptions and Catalog'!$H$65+'Assumptions and Catalog'!$E$65+'Assumptions and Catalog'!$F$65,"Out of range")))))))))*(1+'Assumptions and Catalog'!$C$8)^(A860-1),0)</f>
        <v>2670.398724116</v>
      </c>
      <c r="O860" s="5" t="n">
        <f>M860-N860</f>
        <v>4424.395275884</v>
      </c>
      <c r="P860" s="5" t="n">
        <f>E$55*(1-L$14)*(1-'Assumptions and Catalog'!$C$23)^R860</f>
        <v>9.07102598004736</v>
      </c>
      <c r="Q860" s="5" t="n">
        <f>IF(ISNUMBER(Inputs!$L$5),(IF(Inputs!$L$9="Actual flat rate",((D860+E860)*C860-G860)*Inputs!$L$10,IF(Inputs!$C$9="Residential",IF(((D860+E860)*C860-G860)&lt;='Assumptions and Catalog'!$C$50,((D860+E860)*C860-G860)*'Assumptions and Catalog'!$H$50+'Assumptions and Catalog'!$E$50+'Assumptions and Catalog'!$F$50,IF(((D860+E860)*C860-G860)&lt;='Assumptions and Catalog'!$C$51,((D860+E860)*C860-G860)*'Assumptions and Catalog'!$H$51+'Assumptions and Catalog'!$E$51+'Assumptions and Catalog'!$F$51,IF(((D860+E860)*C860-G860)&lt;='Assumptions and Catalog'!$C$52,((D860+E860)*C860-G860)*'Assumptions and Catalog'!$H$52+'Assumptions and Catalog'!$E$52+'Assumptions and Catalog'!$F$52,IF(((D860+E860)*C860-G860)&lt;='Assumptions and Catalog'!$C$53,((D860+E860)*C860-G860)*'Assumptions and Catalog'!$H$53+'Assumptions and Catalog'!$E$53+'Assumptions and Catalog'!$F$53,IF(((D860+E860)*C860-G860)&lt;='Assumptions and Catalog'!$C$54,((D860+E860)*C860-G860)*'Assumptions and Catalog'!$H$54+'Assumptions and Catalog'!$E$54+'Assumptions and Catalog'!$F$54,IF(((D860+E860)*C860-G860)&lt;='Assumptions and Catalog'!$C$55,((D860+E860)*C860-G860)*'Assumptions and Catalog'!$H$55+'Assumptions and Catalog'!$E$55+'Assumptions and Catalog'!$F$55,IF(((D860+E860)*C860-G860)&lt;='Assumptions and Catalog'!$C$56,((D860+E860)*C860-G860)*'Assumptions and Catalog'!$H$56+'Assumptions and Catalog'!$E$56+'Assumptions and Catalog'!$F$56,IF(((D860+E860)*C860-G860)&lt;='Assumptions and Catalog'!$C$57,((D860+E860)*C860-G860)*'Assumptions and Catalog'!$H$57+'Assumptions and Catalog'!$E$57+'Assumptions and Catalog'!$F$57,"Out of range")))))))),IF(((D860+E860)*C860-G860)&lt;='Assumptions and Catalog'!$C$60,((D860+E860)*C860-G860)*'Assumptions and Catalog'!$H$60+'Assumptions and Catalog'!$E$60+'Assumptions and Catalog'!$F$60,IF(((D860+E860)*C860-G860)&lt;='Assumptions and Catalog'!$C$61,((D860+E860)*C860-G860)*'Assumptions and Catalog'!$H$61+'Assumptions and Catalog'!$E$61+'Assumptions and Catalog'!$F$61,IF(((D860+E860)*C860-G860)&lt;='Assumptions and Catalog'!$C$62,((D860+E860)*C860-G860)*'Assumptions and Catalog'!$H$62+'Assumptions and Catalog'!$E$62+'Assumptions and Catalog'!$F$62,IF(((D860+E860)*C860-G860)&lt;='Assumptions and Catalog'!$C$63,((D860+E860)*C860-G860)*'Assumptions and Catalog'!$H$63+'Assumptions and Catalog'!$E$63+'Assumptions and Catalog'!$F$63,IF(((D860+E860)*C860-G860)&lt;='Assumptions and Catalog'!$C$64,((D860+E860)*C860-G860)*'Assumptions and Catalog'!$H$64+'Assumptions and Catalog'!$E$64+'Assumptions and Catalog'!$F$64,IF(((D860+E860)*C860-G860)&lt;='Assumptions and Catalog'!$C$65,((D860+E860)*C860-G860)*'Assumptions and Catalog'!$H$65+'Assumptions and Catalog'!$E$65+'Assumptions and Catalog'!$F$65,"Out of range")))))))))*(1+'Assumptions and Catalog'!$C$8)^(A860-1),0)</f>
        <v>3567.397</v>
      </c>
      <c r="R860" s="5" t="n">
        <f>IF(AND('Assumptions and Catalog'!$C$19&gt;0,A860&gt;='Assumptions and Catalog'!$C$19),A860-'Assumptions and Catalog'!$C$19,A860-1)</f>
        <v>6</v>
      </c>
      <c r="S860" s="5" t="n">
        <f>F860+L860-(D860+E860)*C860-J860-K860-IF(E$52&gt;0,'Assumptions and Catalog'!$C$26*C860,0)</f>
        <v>1.13686837721616E-013</v>
      </c>
      <c r="T860" s="5"/>
      <c r="U860" s="5"/>
    </row>
    <row r="861" ht="23.100000381469727" customHeight="1">
      <c r="A861" s="5" t="n">
        <v>17</v>
      </c>
      <c r="B861" s="5" t="n">
        <v>9</v>
      </c>
      <c r="C861" s="5" t="n">
        <f>DAY(DATE('Assumptions and Catalog'!$C$24+A861-1,B861+1,0))</f>
        <v>30</v>
      </c>
      <c r="D861" s="5" t="n">
        <f>IF(ISNUMBER(Inputs!$L$5),Inputs!$L$5*Inputs!$L$6,0)</f>
        <v>40.35</v>
      </c>
      <c r="E861" s="5" t="n">
        <f>IF(ISNUMBER(Inputs!$L$5),Inputs!$L$5-D861,0)</f>
        <v>40.35</v>
      </c>
      <c r="F861" s="5" t="n">
        <f>E$51*INDEX('Solar Production'!$D$20:$D$31,B861)*C861*(1-'Assumptions and Catalog'!$C$10)^(A861-1)</f>
        <v>1634.51102055837</v>
      </c>
      <c r="G861" s="5" t="n">
        <f>MIN(F861,D861*C861)</f>
        <v>1210.5</v>
      </c>
      <c r="H861" s="5" t="n">
        <f>I861/('Assumptions and Catalog'!$C$11*'Assumptions and Catalog'!$C$12)</f>
        <v>279.108491693765</v>
      </c>
      <c r="I861" s="5" t="n">
        <f>MIN(E861*C861,P861*'Assumptions and Catalog'!$C$12*C861,(F861-G861)*'Assumptions and Catalog'!$C$11*'Assumptions and Catalog'!$C$12,E$56*'Assumptions and Catalog'!$C$14*'Assumptions and Catalog'!$C$11*'Assumptions and Catalog'!$C$12*C861,E$57*(24-'Assumptions and Catalog'!$C$13)*C861)</f>
        <v>265.327509916385</v>
      </c>
      <c r="J861" s="5" t="n">
        <f>MAX(F861-G861-H861,0)</f>
        <v>144.902528864607</v>
      </c>
      <c r="K861" s="5" t="n">
        <f>H861-I861</f>
        <v>13.7809817773797</v>
      </c>
      <c r="L861" s="5" t="n">
        <f>(D861+E861)*C861-G861-I861+0+IF(E$52&gt;0,'Assumptions and Catalog'!$C$26*C861,0)</f>
        <v>945.172490083615</v>
      </c>
      <c r="M861" s="5" t="n">
        <f>IF(ISNUMBER(Inputs!$L$5),(IF(Inputs!$L$9="Actual flat rate",((D861+E861)*C861)*Inputs!$L$10,IF(Inputs!$C$9="Residential",IF(((D861+E861)*C861)&lt;='Assumptions and Catalog'!$C$50,((D861+E861)*C861)*'Assumptions and Catalog'!$H$50+'Assumptions and Catalog'!$E$50+'Assumptions and Catalog'!$F$50,IF(((D861+E861)*C861)&lt;='Assumptions and Catalog'!$C$51,((D861+E861)*C861)*'Assumptions and Catalog'!$H$51+'Assumptions and Catalog'!$E$51+'Assumptions and Catalog'!$F$51,IF(((D861+E861)*C861)&lt;='Assumptions and Catalog'!$C$52,((D861+E861)*C861)*'Assumptions and Catalog'!$H$52+'Assumptions and Catalog'!$E$52+'Assumptions and Catalog'!$F$52,IF(((D861+E861)*C861)&lt;='Assumptions and Catalog'!$C$53,((D861+E861)*C861)*'Assumptions and Catalog'!$H$53+'Assumptions and Catalog'!$E$53+'Assumptions and Catalog'!$F$53,IF(((D861+E861)*C861)&lt;='Assumptions and Catalog'!$C$54,((D861+E861)*C861)*'Assumptions and Catalog'!$H$54+'Assumptions and Catalog'!$E$54+'Assumptions and Catalog'!$F$54,IF(((D861+E861)*C861)&lt;='Assumptions and Catalog'!$C$55,((D861+E861)*C861)*'Assumptions and Catalog'!$H$55+'Assumptions and Catalog'!$E$55+'Assumptions and Catalog'!$F$55,IF(((D861+E861)*C861)&lt;='Assumptions and Catalog'!$C$56,((D861+E861)*C861)*'Assumptions and Catalog'!$H$56+'Assumptions and Catalog'!$E$56+'Assumptions and Catalog'!$F$56,IF(((D861+E861)*C861)&lt;='Assumptions and Catalog'!$C$57,((D861+E861)*C861)*'Assumptions and Catalog'!$H$57+'Assumptions and Catalog'!$E$57+'Assumptions and Catalog'!$F$57,"Out of range")))))))),IF(((D861+E861)*C861)&lt;='Assumptions and Catalog'!$C$60,((D861+E861)*C861)*'Assumptions and Catalog'!$H$60+'Assumptions and Catalog'!$E$60+'Assumptions and Catalog'!$F$60,IF(((D861+E861)*C861)&lt;='Assumptions and Catalog'!$C$61,((D861+E861)*C861)*'Assumptions and Catalog'!$H$61+'Assumptions and Catalog'!$E$61+'Assumptions and Catalog'!$F$61,IF(((D861+E861)*C861)&lt;='Assumptions and Catalog'!$C$62,((D861+E861)*C861)*'Assumptions and Catalog'!$H$62+'Assumptions and Catalog'!$E$62+'Assumptions and Catalog'!$F$62,IF(((D861+E861)*C861)&lt;='Assumptions and Catalog'!$C$63,((D861+E861)*C861)*'Assumptions and Catalog'!$H$63+'Assumptions and Catalog'!$E$63+'Assumptions and Catalog'!$F$63,IF(((D861+E861)*C861)&lt;='Assumptions and Catalog'!$C$64,((D861+E861)*C861)*'Assumptions and Catalog'!$H$64+'Assumptions and Catalog'!$E$64+'Assumptions and Catalog'!$F$64,IF(((D861+E861)*C861)&lt;='Assumptions and Catalog'!$C$65,((D861+E861)*C861)*'Assumptions and Catalog'!$H$65+'Assumptions and Catalog'!$E$65+'Assumptions and Catalog'!$F$65,"Out of range")))))))))*(1+'Assumptions and Catalog'!$C$8)^(A861-1),0)</f>
        <v>6867.22</v>
      </c>
      <c r="N861" s="5" t="n">
        <f>IF(ISNUMBER(Inputs!$L$5),(IF(Inputs!$L$9="Actual flat rate",L861*Inputs!$L$10,IF(Inputs!$C$9="Residential",IF(L861&lt;='Assumptions and Catalog'!$C$50,L861*'Assumptions and Catalog'!$H$50+'Assumptions and Catalog'!$E$50+'Assumptions and Catalog'!$F$50,IF(L861&lt;='Assumptions and Catalog'!$C$51,L861*'Assumptions and Catalog'!$H$51+'Assumptions and Catalog'!$E$51+'Assumptions and Catalog'!$F$51,IF(L861&lt;='Assumptions and Catalog'!$C$52,L861*'Assumptions and Catalog'!$H$52+'Assumptions and Catalog'!$E$52+'Assumptions and Catalog'!$F$52,IF(L861&lt;='Assumptions and Catalog'!$C$53,L861*'Assumptions and Catalog'!$H$53+'Assumptions and Catalog'!$E$53+'Assumptions and Catalog'!$F$53,IF(L861&lt;='Assumptions and Catalog'!$C$54,L861*'Assumptions and Catalog'!$H$54+'Assumptions and Catalog'!$E$54+'Assumptions and Catalog'!$F$54,IF(L861&lt;='Assumptions and Catalog'!$C$55,L861*'Assumptions and Catalog'!$H$55+'Assumptions and Catalog'!$E$55+'Assumptions and Catalog'!$F$55,IF(L861&lt;='Assumptions and Catalog'!$C$56,L861*'Assumptions and Catalog'!$H$56+'Assumptions and Catalog'!$E$56+'Assumptions and Catalog'!$F$56,IF(L861&lt;='Assumptions and Catalog'!$C$57,L861*'Assumptions and Catalog'!$H$57+'Assumptions and Catalog'!$E$57+'Assumptions and Catalog'!$F$57,"Out of range")))))))),IF(L861&lt;='Assumptions and Catalog'!$C$60,L861*'Assumptions and Catalog'!$H$60+'Assumptions and Catalog'!$E$60+'Assumptions and Catalog'!$F$60,IF(L861&lt;='Assumptions and Catalog'!$C$61,L861*'Assumptions and Catalog'!$H$61+'Assumptions and Catalog'!$E$61+'Assumptions and Catalog'!$F$61,IF(L861&lt;='Assumptions and Catalog'!$C$62,L861*'Assumptions and Catalog'!$H$62+'Assumptions and Catalog'!$E$62+'Assumptions and Catalog'!$F$62,IF(L861&lt;='Assumptions and Catalog'!$C$63,L861*'Assumptions and Catalog'!$H$63+'Assumptions and Catalog'!$E$63+'Assumptions and Catalog'!$F$63,IF(L861&lt;='Assumptions and Catalog'!$C$64,L861*'Assumptions and Catalog'!$H$64+'Assumptions and Catalog'!$E$64+'Assumptions and Catalog'!$F$64,IF(L861&lt;='Assumptions and Catalog'!$C$65,L861*'Assumptions and Catalog'!$H$65+'Assumptions and Catalog'!$E$65+'Assumptions and Catalog'!$F$65,"Out of range")))))))))*(1+'Assumptions and Catalog'!$C$8)^(A861-1),0)</f>
        <v>2583.12779753161</v>
      </c>
      <c r="O861" s="5" t="n">
        <f>M861-N861</f>
        <v>4284.09220246839</v>
      </c>
      <c r="P861" s="5" t="n">
        <f>E$55*(1-L$14)*(1-'Assumptions and Catalog'!$C$23)^R861</f>
        <v>9.07102598004736</v>
      </c>
      <c r="Q861" s="5" t="n">
        <f>IF(ISNUMBER(Inputs!$L$5),(IF(Inputs!$L$9="Actual flat rate",((D861+E861)*C861-G861)*Inputs!$L$10,IF(Inputs!$C$9="Residential",IF(((D861+E861)*C861-G861)&lt;='Assumptions and Catalog'!$C$50,((D861+E861)*C861-G861)*'Assumptions and Catalog'!$H$50+'Assumptions and Catalog'!$E$50+'Assumptions and Catalog'!$F$50,IF(((D861+E861)*C861-G861)&lt;='Assumptions and Catalog'!$C$51,((D861+E861)*C861-G861)*'Assumptions and Catalog'!$H$51+'Assumptions and Catalog'!$E$51+'Assumptions and Catalog'!$F$51,IF(((D861+E861)*C861-G861)&lt;='Assumptions and Catalog'!$C$52,((D861+E861)*C861-G861)*'Assumptions and Catalog'!$H$52+'Assumptions and Catalog'!$E$52+'Assumptions and Catalog'!$F$52,IF(((D861+E861)*C861-G861)&lt;='Assumptions and Catalog'!$C$53,((D861+E861)*C861-G861)*'Assumptions and Catalog'!$H$53+'Assumptions and Catalog'!$E$53+'Assumptions and Catalog'!$F$53,IF(((D861+E861)*C861-G861)&lt;='Assumptions and Catalog'!$C$54,((D861+E861)*C861-G861)*'Assumptions and Catalog'!$H$54+'Assumptions and Catalog'!$E$54+'Assumptions and Catalog'!$F$54,IF(((D861+E861)*C861-G861)&lt;='Assumptions and Catalog'!$C$55,((D861+E861)*C861-G861)*'Assumptions and Catalog'!$H$55+'Assumptions and Catalog'!$E$55+'Assumptions and Catalog'!$F$55,IF(((D861+E861)*C861-G861)&lt;='Assumptions and Catalog'!$C$56,((D861+E861)*C861-G861)*'Assumptions and Catalog'!$H$56+'Assumptions and Catalog'!$E$56+'Assumptions and Catalog'!$F$56,IF(((D861+E861)*C861-G861)&lt;='Assumptions and Catalog'!$C$57,((D861+E861)*C861-G861)*'Assumptions and Catalog'!$H$57+'Assumptions and Catalog'!$E$57+'Assumptions and Catalog'!$F$57,"Out of range")))))))),IF(((D861+E861)*C861-G861)&lt;='Assumptions and Catalog'!$C$60,((D861+E861)*C861-G861)*'Assumptions and Catalog'!$H$60+'Assumptions and Catalog'!$E$60+'Assumptions and Catalog'!$F$60,IF(((D861+E861)*C861-G861)&lt;='Assumptions and Catalog'!$C$61,((D861+E861)*C861-G861)*'Assumptions and Catalog'!$H$61+'Assumptions and Catalog'!$E$61+'Assumptions and Catalog'!$F$61,IF(((D861+E861)*C861-G861)&lt;='Assumptions and Catalog'!$C$62,((D861+E861)*C861-G861)*'Assumptions and Catalog'!$H$62+'Assumptions and Catalog'!$E$62+'Assumptions and Catalog'!$F$62,IF(((D861+E861)*C861-G861)&lt;='Assumptions and Catalog'!$C$63,((D861+E861)*C861-G861)*'Assumptions and Catalog'!$H$63+'Assumptions and Catalog'!$E$63+'Assumptions and Catalog'!$F$63,IF(((D861+E861)*C861-G861)&lt;='Assumptions and Catalog'!$C$64,((D861+E861)*C861-G861)*'Assumptions and Catalog'!$H$64+'Assumptions and Catalog'!$E$64+'Assumptions and Catalog'!$F$64,IF(((D861+E861)*C861-G861)&lt;='Assumptions and Catalog'!$C$65,((D861+E861)*C861-G861)*'Assumptions and Catalog'!$H$65+'Assumptions and Catalog'!$E$65+'Assumptions and Catalog'!$F$65,"Out of range")))))))))*(1+'Assumptions and Catalog'!$C$8)^(A861-1),0)</f>
        <v>3453.61</v>
      </c>
      <c r="R861" s="5" t="n">
        <f>IF(AND('Assumptions and Catalog'!$C$19&gt;0,A861&gt;='Assumptions and Catalog'!$C$19),A861-'Assumptions and Catalog'!$C$19,A861-1)</f>
        <v>6</v>
      </c>
      <c r="S861" s="5" t="n">
        <f>F861+L861-(D861+E861)*C861-J861-K861-IF(E$52&gt;0,'Assumptions and Catalog'!$C$26*C861,0)</f>
        <v>-1.13686837721616E-013</v>
      </c>
      <c r="T861" s="5"/>
      <c r="U861" s="5"/>
    </row>
    <row r="862" ht="23.100000381469727" customHeight="1">
      <c r="A862" s="5" t="n">
        <v>17</v>
      </c>
      <c r="B862" s="5" t="n">
        <v>10</v>
      </c>
      <c r="C862" s="5" t="n">
        <f>DAY(DATE('Assumptions and Catalog'!$C$24+A862-1,B862+1,0))</f>
        <v>31</v>
      </c>
      <c r="D862" s="5" t="n">
        <f>IF(ISNUMBER(Inputs!$L$5),Inputs!$L$5*Inputs!$L$6,0)</f>
        <v>40.35</v>
      </c>
      <c r="E862" s="5" t="n">
        <f>IF(ISNUMBER(Inputs!$L$5),Inputs!$L$5-D862,0)</f>
        <v>40.35</v>
      </c>
      <c r="F862" s="5" t="n">
        <f>E$51*INDEX('Solar Production'!$D$20:$D$31,B862)*C862*(1-'Assumptions and Catalog'!$C$10)^(A862-1)</f>
        <v>1568.82601246513</v>
      </c>
      <c r="G862" s="5" t="n">
        <f>MIN(F862,D862*C862)</f>
        <v>1250.85</v>
      </c>
      <c r="H862" s="5" t="n">
        <f>I862/('Assumptions and Catalog'!$C$11*'Assumptions and Catalog'!$C$12)</f>
        <v>288.412108083557</v>
      </c>
      <c r="I862" s="5" t="n">
        <f>MIN(E862*C862,P862*'Assumptions and Catalog'!$C$12*C862,(F862-G862)*'Assumptions and Catalog'!$C$11*'Assumptions and Catalog'!$C$12,E$56*'Assumptions and Catalog'!$C$14*'Assumptions and Catalog'!$C$11*'Assumptions and Catalog'!$C$12*C862,E$57*(24-'Assumptions and Catalog'!$C$13)*C862)</f>
        <v>274.171760246932</v>
      </c>
      <c r="J862" s="5" t="n">
        <f>MAX(F862-G862-H862,0)</f>
        <v>29.5639043815688</v>
      </c>
      <c r="K862" s="5" t="n">
        <f>H862-I862</f>
        <v>14.2403478366256</v>
      </c>
      <c r="L862" s="5" t="n">
        <f>(D862+E862)*C862-G862-I862+0+IF(E$52&gt;0,'Assumptions and Catalog'!$C$26*C862,0)</f>
        <v>976.678239753069</v>
      </c>
      <c r="M862" s="5" t="n">
        <f>IF(ISNUMBER(Inputs!$L$5),(IF(Inputs!$L$9="Actual flat rate",((D862+E862)*C862)*Inputs!$L$10,IF(Inputs!$C$9="Residential",IF(((D862+E862)*C862)&lt;='Assumptions and Catalog'!$C$50,((D862+E862)*C862)*'Assumptions and Catalog'!$H$50+'Assumptions and Catalog'!$E$50+'Assumptions and Catalog'!$F$50,IF(((D862+E862)*C862)&lt;='Assumptions and Catalog'!$C$51,((D862+E862)*C862)*'Assumptions and Catalog'!$H$51+'Assumptions and Catalog'!$E$51+'Assumptions and Catalog'!$F$51,IF(((D862+E862)*C862)&lt;='Assumptions and Catalog'!$C$52,((D862+E862)*C862)*'Assumptions and Catalog'!$H$52+'Assumptions and Catalog'!$E$52+'Assumptions and Catalog'!$F$52,IF(((D862+E862)*C862)&lt;='Assumptions and Catalog'!$C$53,((D862+E862)*C862)*'Assumptions and Catalog'!$H$53+'Assumptions and Catalog'!$E$53+'Assumptions and Catalog'!$F$53,IF(((D862+E862)*C862)&lt;='Assumptions and Catalog'!$C$54,((D862+E862)*C862)*'Assumptions and Catalog'!$H$54+'Assumptions and Catalog'!$E$54+'Assumptions and Catalog'!$F$54,IF(((D862+E862)*C862)&lt;='Assumptions and Catalog'!$C$55,((D862+E862)*C862)*'Assumptions and Catalog'!$H$55+'Assumptions and Catalog'!$E$55+'Assumptions and Catalog'!$F$55,IF(((D862+E862)*C862)&lt;='Assumptions and Catalog'!$C$56,((D862+E862)*C862)*'Assumptions and Catalog'!$H$56+'Assumptions and Catalog'!$E$56+'Assumptions and Catalog'!$F$56,IF(((D862+E862)*C862)&lt;='Assumptions and Catalog'!$C$57,((D862+E862)*C862)*'Assumptions and Catalog'!$H$57+'Assumptions and Catalog'!$E$57+'Assumptions and Catalog'!$F$57,"Out of range")))))))),IF(((D862+E862)*C862)&lt;='Assumptions and Catalog'!$C$60,((D862+E862)*C862)*'Assumptions and Catalog'!$H$60+'Assumptions and Catalog'!$E$60+'Assumptions and Catalog'!$F$60,IF(((D862+E862)*C862)&lt;='Assumptions and Catalog'!$C$61,((D862+E862)*C862)*'Assumptions and Catalog'!$H$61+'Assumptions and Catalog'!$E$61+'Assumptions and Catalog'!$F$61,IF(((D862+E862)*C862)&lt;='Assumptions and Catalog'!$C$62,((D862+E862)*C862)*'Assumptions and Catalog'!$H$62+'Assumptions and Catalog'!$E$62+'Assumptions and Catalog'!$F$62,IF(((D862+E862)*C862)&lt;='Assumptions and Catalog'!$C$63,((D862+E862)*C862)*'Assumptions and Catalog'!$H$63+'Assumptions and Catalog'!$E$63+'Assumptions and Catalog'!$F$63,IF(((D862+E862)*C862)&lt;='Assumptions and Catalog'!$C$64,((D862+E862)*C862)*'Assumptions and Catalog'!$H$64+'Assumptions and Catalog'!$E$64+'Assumptions and Catalog'!$F$64,IF(((D862+E862)*C862)&lt;='Assumptions and Catalog'!$C$65,((D862+E862)*C862)*'Assumptions and Catalog'!$H$65+'Assumptions and Catalog'!$E$65+'Assumptions and Catalog'!$F$65,"Out of range")))))))))*(1+'Assumptions and Catalog'!$C$8)^(A862-1),0)</f>
        <v>7094.794</v>
      </c>
      <c r="N862" s="5" t="n">
        <f>IF(ISNUMBER(Inputs!$L$5),(IF(Inputs!$L$9="Actual flat rate",L862*Inputs!$L$10,IF(Inputs!$C$9="Residential",IF(L862&lt;='Assumptions and Catalog'!$C$50,L862*'Assumptions and Catalog'!$H$50+'Assumptions and Catalog'!$E$50+'Assumptions and Catalog'!$F$50,IF(L862&lt;='Assumptions and Catalog'!$C$51,L862*'Assumptions and Catalog'!$H$51+'Assumptions and Catalog'!$E$51+'Assumptions and Catalog'!$F$51,IF(L862&lt;='Assumptions and Catalog'!$C$52,L862*'Assumptions and Catalog'!$H$52+'Assumptions and Catalog'!$E$52+'Assumptions and Catalog'!$F$52,IF(L862&lt;='Assumptions and Catalog'!$C$53,L862*'Assumptions and Catalog'!$H$53+'Assumptions and Catalog'!$E$53+'Assumptions and Catalog'!$F$53,IF(L862&lt;='Assumptions and Catalog'!$C$54,L862*'Assumptions and Catalog'!$H$54+'Assumptions and Catalog'!$E$54+'Assumptions and Catalog'!$F$54,IF(L862&lt;='Assumptions and Catalog'!$C$55,L862*'Assumptions and Catalog'!$H$55+'Assumptions and Catalog'!$E$55+'Assumptions and Catalog'!$F$55,IF(L862&lt;='Assumptions and Catalog'!$C$56,L862*'Assumptions and Catalog'!$H$56+'Assumptions and Catalog'!$E$56+'Assumptions and Catalog'!$F$56,IF(L862&lt;='Assumptions and Catalog'!$C$57,L862*'Assumptions and Catalog'!$H$57+'Assumptions and Catalog'!$E$57+'Assumptions and Catalog'!$F$57,"Out of range")))))))),IF(L862&lt;='Assumptions and Catalog'!$C$60,L862*'Assumptions and Catalog'!$H$60+'Assumptions and Catalog'!$E$60+'Assumptions and Catalog'!$F$60,IF(L862&lt;='Assumptions and Catalog'!$C$61,L862*'Assumptions and Catalog'!$H$61+'Assumptions and Catalog'!$E$61+'Assumptions and Catalog'!$F$61,IF(L862&lt;='Assumptions and Catalog'!$C$62,L862*'Assumptions and Catalog'!$H$62+'Assumptions and Catalog'!$E$62+'Assumptions and Catalog'!$F$62,IF(L862&lt;='Assumptions and Catalog'!$C$63,L862*'Assumptions and Catalog'!$H$63+'Assumptions and Catalog'!$E$63+'Assumptions and Catalog'!$F$63,IF(L862&lt;='Assumptions and Catalog'!$C$64,L862*'Assumptions and Catalog'!$H$64+'Assumptions and Catalog'!$E$64+'Assumptions and Catalog'!$F$64,IF(L862&lt;='Assumptions and Catalog'!$C$65,L862*'Assumptions and Catalog'!$H$65+'Assumptions and Catalog'!$E$65+'Assumptions and Catalog'!$F$65,"Out of range")))))))))*(1+'Assumptions and Catalog'!$C$8)^(A862-1),0)</f>
        <v>2670.398724116</v>
      </c>
      <c r="O862" s="5" t="n">
        <f>M862-N862</f>
        <v>4424.395275884</v>
      </c>
      <c r="P862" s="5" t="n">
        <f>E$55*(1-L$14)*(1-'Assumptions and Catalog'!$C$23)^R862</f>
        <v>9.07102598004736</v>
      </c>
      <c r="Q862" s="5" t="n">
        <f>IF(ISNUMBER(Inputs!$L$5),(IF(Inputs!$L$9="Actual flat rate",((D862+E862)*C862-G862)*Inputs!$L$10,IF(Inputs!$C$9="Residential",IF(((D862+E862)*C862-G862)&lt;='Assumptions and Catalog'!$C$50,((D862+E862)*C862-G862)*'Assumptions and Catalog'!$H$50+'Assumptions and Catalog'!$E$50+'Assumptions and Catalog'!$F$50,IF(((D862+E862)*C862-G862)&lt;='Assumptions and Catalog'!$C$51,((D862+E862)*C862-G862)*'Assumptions and Catalog'!$H$51+'Assumptions and Catalog'!$E$51+'Assumptions and Catalog'!$F$51,IF(((D862+E862)*C862-G862)&lt;='Assumptions and Catalog'!$C$52,((D862+E862)*C862-G862)*'Assumptions and Catalog'!$H$52+'Assumptions and Catalog'!$E$52+'Assumptions and Catalog'!$F$52,IF(((D862+E862)*C862-G862)&lt;='Assumptions and Catalog'!$C$53,((D862+E862)*C862-G862)*'Assumptions and Catalog'!$H$53+'Assumptions and Catalog'!$E$53+'Assumptions and Catalog'!$F$53,IF(((D862+E862)*C862-G862)&lt;='Assumptions and Catalog'!$C$54,((D862+E862)*C862-G862)*'Assumptions and Catalog'!$H$54+'Assumptions and Catalog'!$E$54+'Assumptions and Catalog'!$F$54,IF(((D862+E862)*C862-G862)&lt;='Assumptions and Catalog'!$C$55,((D862+E862)*C862-G862)*'Assumptions and Catalog'!$H$55+'Assumptions and Catalog'!$E$55+'Assumptions and Catalog'!$F$55,IF(((D862+E862)*C862-G862)&lt;='Assumptions and Catalog'!$C$56,((D862+E862)*C862-G862)*'Assumptions and Catalog'!$H$56+'Assumptions and Catalog'!$E$56+'Assumptions and Catalog'!$F$56,IF(((D862+E862)*C862-G862)&lt;='Assumptions and Catalog'!$C$57,((D862+E862)*C862-G862)*'Assumptions and Catalog'!$H$57+'Assumptions and Catalog'!$E$57+'Assumptions and Catalog'!$F$57,"Out of range")))))))),IF(((D862+E862)*C862-G862)&lt;='Assumptions and Catalog'!$C$60,((D862+E862)*C862-G862)*'Assumptions and Catalog'!$H$60+'Assumptions and Catalog'!$E$60+'Assumptions and Catalog'!$F$60,IF(((D862+E862)*C862-G862)&lt;='Assumptions and Catalog'!$C$61,((D862+E862)*C862-G862)*'Assumptions and Catalog'!$H$61+'Assumptions and Catalog'!$E$61+'Assumptions and Catalog'!$F$61,IF(((D862+E862)*C862-G862)&lt;='Assumptions and Catalog'!$C$62,((D862+E862)*C862-G862)*'Assumptions and Catalog'!$H$62+'Assumptions and Catalog'!$E$62+'Assumptions and Catalog'!$F$62,IF(((D862+E862)*C862-G862)&lt;='Assumptions and Catalog'!$C$63,((D862+E862)*C862-G862)*'Assumptions and Catalog'!$H$63+'Assumptions and Catalog'!$E$63+'Assumptions and Catalog'!$F$63,IF(((D862+E862)*C862-G862)&lt;='Assumptions and Catalog'!$C$64,((D862+E862)*C862-G862)*'Assumptions and Catalog'!$H$64+'Assumptions and Catalog'!$E$64+'Assumptions and Catalog'!$F$64,IF(((D862+E862)*C862-G862)&lt;='Assumptions and Catalog'!$C$65,((D862+E862)*C862-G862)*'Assumptions and Catalog'!$H$65+'Assumptions and Catalog'!$E$65+'Assumptions and Catalog'!$F$65,"Out of range")))))))))*(1+'Assumptions and Catalog'!$C$8)^(A862-1),0)</f>
        <v>3567.397</v>
      </c>
      <c r="R862" s="5" t="n">
        <f>IF(AND('Assumptions and Catalog'!$C$19&gt;0,A862&gt;='Assumptions and Catalog'!$C$19),A862-'Assumptions and Catalog'!$C$19,A862-1)</f>
        <v>6</v>
      </c>
      <c r="S862" s="5" t="n">
        <f>F862+L862-(D862+E862)*C862-J862-K862-IF(E$52&gt;0,'Assumptions and Catalog'!$C$26*C862,0)</f>
        <v>1.13686837721616E-013</v>
      </c>
      <c r="T862" s="5"/>
      <c r="U862" s="5"/>
    </row>
    <row r="863" ht="23.100000381469727" customHeight="1">
      <c r="A863" s="5" t="n">
        <v>17</v>
      </c>
      <c r="B863" s="5" t="n">
        <v>11</v>
      </c>
      <c r="C863" s="5" t="n">
        <f>DAY(DATE('Assumptions and Catalog'!$C$24+A863-1,B863+1,0))</f>
        <v>30</v>
      </c>
      <c r="D863" s="5" t="n">
        <f>IF(ISNUMBER(Inputs!$L$5),Inputs!$L$5*Inputs!$L$6,0)</f>
        <v>40.35</v>
      </c>
      <c r="E863" s="5" t="n">
        <f>IF(ISNUMBER(Inputs!$L$5),Inputs!$L$5-D863,0)</f>
        <v>40.35</v>
      </c>
      <c r="F863" s="5" t="n">
        <f>E$51*INDEX('Solar Production'!$D$20:$D$31,B863)*C863*(1-'Assumptions and Catalog'!$C$10)^(A863-1)</f>
        <v>1390.55263655826</v>
      </c>
      <c r="G863" s="5" t="n">
        <f>MIN(F863,D863*C863)</f>
        <v>1210.5</v>
      </c>
      <c r="H863" s="5" t="n">
        <f>I863/('Assumptions and Catalog'!$C$11*'Assumptions and Catalog'!$C$12)</f>
        <v>180.052636558263</v>
      </c>
      <c r="I863" s="5" t="n">
        <f>MIN(E863*C863,P863*'Assumptions and Catalog'!$C$12*C863,(F863-G863)*'Assumptions and Catalog'!$C$11*'Assumptions and Catalog'!$C$12,E$56*'Assumptions and Catalog'!$C$14*'Assumptions and Catalog'!$C$11*'Assumptions and Catalog'!$C$12*C863,E$57*(24-'Assumptions and Catalog'!$C$13)*C863)</f>
        <v>171.162537628198</v>
      </c>
      <c r="J863" s="5" t="n">
        <f>MAX(F863-G863-H863,0)</f>
        <v>0</v>
      </c>
      <c r="K863" s="5" t="n">
        <f>H863-I863</f>
        <v>8.89009893006423</v>
      </c>
      <c r="L863" s="5" t="n">
        <f>(D863+E863)*C863-G863-I863+0+IF(E$52&gt;0,'Assumptions and Catalog'!$C$26*C863,0)</f>
        <v>1039.3374623718</v>
      </c>
      <c r="M863" s="5" t="n">
        <f>IF(ISNUMBER(Inputs!$L$5),(IF(Inputs!$L$9="Actual flat rate",((D863+E863)*C863)*Inputs!$L$10,IF(Inputs!$C$9="Residential",IF(((D863+E863)*C863)&lt;='Assumptions and Catalog'!$C$50,((D863+E863)*C863)*'Assumptions and Catalog'!$H$50+'Assumptions and Catalog'!$E$50+'Assumptions and Catalog'!$F$50,IF(((D863+E863)*C863)&lt;='Assumptions and Catalog'!$C$51,((D863+E863)*C863)*'Assumptions and Catalog'!$H$51+'Assumptions and Catalog'!$E$51+'Assumptions and Catalog'!$F$51,IF(((D863+E863)*C863)&lt;='Assumptions and Catalog'!$C$52,((D863+E863)*C863)*'Assumptions and Catalog'!$H$52+'Assumptions and Catalog'!$E$52+'Assumptions and Catalog'!$F$52,IF(((D863+E863)*C863)&lt;='Assumptions and Catalog'!$C$53,((D863+E863)*C863)*'Assumptions and Catalog'!$H$53+'Assumptions and Catalog'!$E$53+'Assumptions and Catalog'!$F$53,IF(((D863+E863)*C863)&lt;='Assumptions and Catalog'!$C$54,((D863+E863)*C863)*'Assumptions and Catalog'!$H$54+'Assumptions and Catalog'!$E$54+'Assumptions and Catalog'!$F$54,IF(((D863+E863)*C863)&lt;='Assumptions and Catalog'!$C$55,((D863+E863)*C863)*'Assumptions and Catalog'!$H$55+'Assumptions and Catalog'!$E$55+'Assumptions and Catalog'!$F$55,IF(((D863+E863)*C863)&lt;='Assumptions and Catalog'!$C$56,((D863+E863)*C863)*'Assumptions and Catalog'!$H$56+'Assumptions and Catalog'!$E$56+'Assumptions and Catalog'!$F$56,IF(((D863+E863)*C863)&lt;='Assumptions and Catalog'!$C$57,((D863+E863)*C863)*'Assumptions and Catalog'!$H$57+'Assumptions and Catalog'!$E$57+'Assumptions and Catalog'!$F$57,"Out of range")))))))),IF(((D863+E863)*C863)&lt;='Assumptions and Catalog'!$C$60,((D863+E863)*C863)*'Assumptions and Catalog'!$H$60+'Assumptions and Catalog'!$E$60+'Assumptions and Catalog'!$F$60,IF(((D863+E863)*C863)&lt;='Assumptions and Catalog'!$C$61,((D863+E863)*C863)*'Assumptions and Catalog'!$H$61+'Assumptions and Catalog'!$E$61+'Assumptions and Catalog'!$F$61,IF(((D863+E863)*C863)&lt;='Assumptions and Catalog'!$C$62,((D863+E863)*C863)*'Assumptions and Catalog'!$H$62+'Assumptions and Catalog'!$E$62+'Assumptions and Catalog'!$F$62,IF(((D863+E863)*C863)&lt;='Assumptions and Catalog'!$C$63,((D863+E863)*C863)*'Assumptions and Catalog'!$H$63+'Assumptions and Catalog'!$E$63+'Assumptions and Catalog'!$F$63,IF(((D863+E863)*C863)&lt;='Assumptions and Catalog'!$C$64,((D863+E863)*C863)*'Assumptions and Catalog'!$H$64+'Assumptions and Catalog'!$E$64+'Assumptions and Catalog'!$F$64,IF(((D863+E863)*C863)&lt;='Assumptions and Catalog'!$C$65,((D863+E863)*C863)*'Assumptions and Catalog'!$H$65+'Assumptions and Catalog'!$E$65+'Assumptions and Catalog'!$F$65,"Out of range")))))))))*(1+'Assumptions and Catalog'!$C$8)^(A863-1),0)</f>
        <v>6867.22</v>
      </c>
      <c r="N863" s="5" t="n">
        <f>IF(ISNUMBER(Inputs!$L$5),(IF(Inputs!$L$9="Actual flat rate",L863*Inputs!$L$10,IF(Inputs!$C$9="Residential",IF(L863&lt;='Assumptions and Catalog'!$C$50,L863*'Assumptions and Catalog'!$H$50+'Assumptions and Catalog'!$E$50+'Assumptions and Catalog'!$F$50,IF(L863&lt;='Assumptions and Catalog'!$C$51,L863*'Assumptions and Catalog'!$H$51+'Assumptions and Catalog'!$E$51+'Assumptions and Catalog'!$F$51,IF(L863&lt;='Assumptions and Catalog'!$C$52,L863*'Assumptions and Catalog'!$H$52+'Assumptions and Catalog'!$E$52+'Assumptions and Catalog'!$F$52,IF(L863&lt;='Assumptions and Catalog'!$C$53,L863*'Assumptions and Catalog'!$H$53+'Assumptions and Catalog'!$E$53+'Assumptions and Catalog'!$F$53,IF(L863&lt;='Assumptions and Catalog'!$C$54,L863*'Assumptions and Catalog'!$H$54+'Assumptions and Catalog'!$E$54+'Assumptions and Catalog'!$F$54,IF(L863&lt;='Assumptions and Catalog'!$C$55,L863*'Assumptions and Catalog'!$H$55+'Assumptions and Catalog'!$E$55+'Assumptions and Catalog'!$F$55,IF(L863&lt;='Assumptions and Catalog'!$C$56,L863*'Assumptions and Catalog'!$H$56+'Assumptions and Catalog'!$E$56+'Assumptions and Catalog'!$F$56,IF(L863&lt;='Assumptions and Catalog'!$C$57,L863*'Assumptions and Catalog'!$H$57+'Assumptions and Catalog'!$E$57+'Assumptions and Catalog'!$F$57,"Out of range")))))))),IF(L863&lt;='Assumptions and Catalog'!$C$60,L863*'Assumptions and Catalog'!$H$60+'Assumptions and Catalog'!$E$60+'Assumptions and Catalog'!$F$60,IF(L863&lt;='Assumptions and Catalog'!$C$61,L863*'Assumptions and Catalog'!$H$61+'Assumptions and Catalog'!$E$61+'Assumptions and Catalog'!$F$61,IF(L863&lt;='Assumptions and Catalog'!$C$62,L863*'Assumptions and Catalog'!$H$62+'Assumptions and Catalog'!$E$62+'Assumptions and Catalog'!$F$62,IF(L863&lt;='Assumptions and Catalog'!$C$63,L863*'Assumptions and Catalog'!$H$63+'Assumptions and Catalog'!$E$63+'Assumptions and Catalog'!$F$63,IF(L863&lt;='Assumptions and Catalog'!$C$64,L863*'Assumptions and Catalog'!$H$64+'Assumptions and Catalog'!$E$64+'Assumptions and Catalog'!$F$64,IF(L863&lt;='Assumptions and Catalog'!$C$65,L863*'Assumptions and Catalog'!$H$65+'Assumptions and Catalog'!$E$65+'Assumptions and Catalog'!$F$65,"Out of range")))))))))*(1+'Assumptions and Catalog'!$C$8)^(A863-1),0)</f>
        <v>2970.93164388848</v>
      </c>
      <c r="O863" s="5" t="n">
        <f>M863-N863</f>
        <v>3896.28835611152</v>
      </c>
      <c r="P863" s="5" t="n">
        <f>E$55*(1-L$14)*(1-'Assumptions and Catalog'!$C$23)^R863</f>
        <v>9.07102598004736</v>
      </c>
      <c r="Q863" s="5" t="n">
        <f>IF(ISNUMBER(Inputs!$L$5),(IF(Inputs!$L$9="Actual flat rate",((D863+E863)*C863-G863)*Inputs!$L$10,IF(Inputs!$C$9="Residential",IF(((D863+E863)*C863-G863)&lt;='Assumptions and Catalog'!$C$50,((D863+E863)*C863-G863)*'Assumptions and Catalog'!$H$50+'Assumptions and Catalog'!$E$50+'Assumptions and Catalog'!$F$50,IF(((D863+E863)*C863-G863)&lt;='Assumptions and Catalog'!$C$51,((D863+E863)*C863-G863)*'Assumptions and Catalog'!$H$51+'Assumptions and Catalog'!$E$51+'Assumptions and Catalog'!$F$51,IF(((D863+E863)*C863-G863)&lt;='Assumptions and Catalog'!$C$52,((D863+E863)*C863-G863)*'Assumptions and Catalog'!$H$52+'Assumptions and Catalog'!$E$52+'Assumptions and Catalog'!$F$52,IF(((D863+E863)*C863-G863)&lt;='Assumptions and Catalog'!$C$53,((D863+E863)*C863-G863)*'Assumptions and Catalog'!$H$53+'Assumptions and Catalog'!$E$53+'Assumptions and Catalog'!$F$53,IF(((D863+E863)*C863-G863)&lt;='Assumptions and Catalog'!$C$54,((D863+E863)*C863-G863)*'Assumptions and Catalog'!$H$54+'Assumptions and Catalog'!$E$54+'Assumptions and Catalog'!$F$54,IF(((D863+E863)*C863-G863)&lt;='Assumptions and Catalog'!$C$55,((D863+E863)*C863-G863)*'Assumptions and Catalog'!$H$55+'Assumptions and Catalog'!$E$55+'Assumptions and Catalog'!$F$55,IF(((D863+E863)*C863-G863)&lt;='Assumptions and Catalog'!$C$56,((D863+E863)*C863-G863)*'Assumptions and Catalog'!$H$56+'Assumptions and Catalog'!$E$56+'Assumptions and Catalog'!$F$56,IF(((D863+E863)*C863-G863)&lt;='Assumptions and Catalog'!$C$57,((D863+E863)*C863-G863)*'Assumptions and Catalog'!$H$57+'Assumptions and Catalog'!$E$57+'Assumptions and Catalog'!$F$57,"Out of range")))))))),IF(((D863+E863)*C863-G863)&lt;='Assumptions and Catalog'!$C$60,((D863+E863)*C863-G863)*'Assumptions and Catalog'!$H$60+'Assumptions and Catalog'!$E$60+'Assumptions and Catalog'!$F$60,IF(((D863+E863)*C863-G863)&lt;='Assumptions and Catalog'!$C$61,((D863+E863)*C863-G863)*'Assumptions and Catalog'!$H$61+'Assumptions and Catalog'!$E$61+'Assumptions and Catalog'!$F$61,IF(((D863+E863)*C863-G863)&lt;='Assumptions and Catalog'!$C$62,((D863+E863)*C863-G863)*'Assumptions and Catalog'!$H$62+'Assumptions and Catalog'!$E$62+'Assumptions and Catalog'!$F$62,IF(((D863+E863)*C863-G863)&lt;='Assumptions and Catalog'!$C$63,((D863+E863)*C863-G863)*'Assumptions and Catalog'!$H$63+'Assumptions and Catalog'!$E$63+'Assumptions and Catalog'!$F$63,IF(((D863+E863)*C863-G863)&lt;='Assumptions and Catalog'!$C$64,((D863+E863)*C863-G863)*'Assumptions and Catalog'!$H$64+'Assumptions and Catalog'!$E$64+'Assumptions and Catalog'!$F$64,IF(((D863+E863)*C863-G863)&lt;='Assumptions and Catalog'!$C$65,((D863+E863)*C863-G863)*'Assumptions and Catalog'!$H$65+'Assumptions and Catalog'!$E$65+'Assumptions and Catalog'!$F$65,"Out of range")))))))))*(1+'Assumptions and Catalog'!$C$8)^(A863-1),0)</f>
        <v>3453.61</v>
      </c>
      <c r="R863" s="5" t="n">
        <f>IF(AND('Assumptions and Catalog'!$C$19&gt;0,A863&gt;='Assumptions and Catalog'!$C$19),A863-'Assumptions and Catalog'!$C$19,A863-1)</f>
        <v>6</v>
      </c>
      <c r="S863" s="5" t="n">
        <f>F863+L863-(D863+E863)*C863-J863-K863-IF(E$52&gt;0,'Assumptions and Catalog'!$C$26*C863,0)</f>
        <v>-8.5265128291212E-014</v>
      </c>
      <c r="T863" s="5"/>
      <c r="U863" s="5"/>
    </row>
    <row r="864" ht="23.100000381469727" customHeight="1">
      <c r="A864" s="5" t="n">
        <v>17</v>
      </c>
      <c r="B864" s="5" t="n">
        <v>12</v>
      </c>
      <c r="C864" s="5" t="n">
        <f>DAY(DATE('Assumptions and Catalog'!$C$24+A864-1,B864+1,0))</f>
        <v>31</v>
      </c>
      <c r="D864" s="5" t="n">
        <f>IF(ISNUMBER(Inputs!$L$5),Inputs!$L$5*Inputs!$L$6,0)</f>
        <v>40.35</v>
      </c>
      <c r="E864" s="5" t="n">
        <f>IF(ISNUMBER(Inputs!$L$5),Inputs!$L$5-D864,0)</f>
        <v>40.35</v>
      </c>
      <c r="F864" s="5" t="n">
        <f>E$51*INDEX('Solar Production'!$D$20:$D$31,B864)*C864*(1-'Assumptions and Catalog'!$C$10)^(A864-1)</f>
        <v>1323.85240422864</v>
      </c>
      <c r="G864" s="5" t="n">
        <f>MIN(F864,D864*C864)</f>
        <v>1250.85</v>
      </c>
      <c r="H864" s="5" t="n">
        <f>I864/('Assumptions and Catalog'!$C$11*'Assumptions and Catalog'!$C$12)</f>
        <v>73.0024042286445</v>
      </c>
      <c r="I864" s="5" t="n">
        <f>MIN(E864*C864,P864*'Assumptions and Catalog'!$C$12*C864,(F864-G864)*'Assumptions and Catalog'!$C$11*'Assumptions and Catalog'!$C$12,E$56*'Assumptions and Catalog'!$C$14*'Assumptions and Catalog'!$C$11*'Assumptions and Catalog'!$C$12*C864,E$57*(24-'Assumptions and Catalog'!$C$13)*C864)</f>
        <v>69.3979105198552</v>
      </c>
      <c r="J864" s="5" t="n">
        <f>MAX(F864-G864-H864,0)</f>
        <v>0</v>
      </c>
      <c r="K864" s="5" t="n">
        <f>H864-I864</f>
        <v>3.60449370878933</v>
      </c>
      <c r="L864" s="5" t="n">
        <f>(D864+E864)*C864-G864-I864+0+IF(E$52&gt;0,'Assumptions and Catalog'!$C$26*C864,0)</f>
        <v>1181.45208948014</v>
      </c>
      <c r="M864" s="5" t="n">
        <f>IF(ISNUMBER(Inputs!$L$5),(IF(Inputs!$L$9="Actual flat rate",((D864+E864)*C864)*Inputs!$L$10,IF(Inputs!$C$9="Residential",IF(((D864+E864)*C864)&lt;='Assumptions and Catalog'!$C$50,((D864+E864)*C864)*'Assumptions and Catalog'!$H$50+'Assumptions and Catalog'!$E$50+'Assumptions and Catalog'!$F$50,IF(((D864+E864)*C864)&lt;='Assumptions and Catalog'!$C$51,((D864+E864)*C864)*'Assumptions and Catalog'!$H$51+'Assumptions and Catalog'!$E$51+'Assumptions and Catalog'!$F$51,IF(((D864+E864)*C864)&lt;='Assumptions and Catalog'!$C$52,((D864+E864)*C864)*'Assumptions and Catalog'!$H$52+'Assumptions and Catalog'!$E$52+'Assumptions and Catalog'!$F$52,IF(((D864+E864)*C864)&lt;='Assumptions and Catalog'!$C$53,((D864+E864)*C864)*'Assumptions and Catalog'!$H$53+'Assumptions and Catalog'!$E$53+'Assumptions and Catalog'!$F$53,IF(((D864+E864)*C864)&lt;='Assumptions and Catalog'!$C$54,((D864+E864)*C864)*'Assumptions and Catalog'!$H$54+'Assumptions and Catalog'!$E$54+'Assumptions and Catalog'!$F$54,IF(((D864+E864)*C864)&lt;='Assumptions and Catalog'!$C$55,((D864+E864)*C864)*'Assumptions and Catalog'!$H$55+'Assumptions and Catalog'!$E$55+'Assumptions and Catalog'!$F$55,IF(((D864+E864)*C864)&lt;='Assumptions and Catalog'!$C$56,((D864+E864)*C864)*'Assumptions and Catalog'!$H$56+'Assumptions and Catalog'!$E$56+'Assumptions and Catalog'!$F$56,IF(((D864+E864)*C864)&lt;='Assumptions and Catalog'!$C$57,((D864+E864)*C864)*'Assumptions and Catalog'!$H$57+'Assumptions and Catalog'!$E$57+'Assumptions and Catalog'!$F$57,"Out of range")))))))),IF(((D864+E864)*C864)&lt;='Assumptions and Catalog'!$C$60,((D864+E864)*C864)*'Assumptions and Catalog'!$H$60+'Assumptions and Catalog'!$E$60+'Assumptions and Catalog'!$F$60,IF(((D864+E864)*C864)&lt;='Assumptions and Catalog'!$C$61,((D864+E864)*C864)*'Assumptions and Catalog'!$H$61+'Assumptions and Catalog'!$E$61+'Assumptions and Catalog'!$F$61,IF(((D864+E864)*C864)&lt;='Assumptions and Catalog'!$C$62,((D864+E864)*C864)*'Assumptions and Catalog'!$H$62+'Assumptions and Catalog'!$E$62+'Assumptions and Catalog'!$F$62,IF(((D864+E864)*C864)&lt;='Assumptions and Catalog'!$C$63,((D864+E864)*C864)*'Assumptions and Catalog'!$H$63+'Assumptions and Catalog'!$E$63+'Assumptions and Catalog'!$F$63,IF(((D864+E864)*C864)&lt;='Assumptions and Catalog'!$C$64,((D864+E864)*C864)*'Assumptions and Catalog'!$H$64+'Assumptions and Catalog'!$E$64+'Assumptions and Catalog'!$F$64,IF(((D864+E864)*C864)&lt;='Assumptions and Catalog'!$C$65,((D864+E864)*C864)*'Assumptions and Catalog'!$H$65+'Assumptions and Catalog'!$E$65+'Assumptions and Catalog'!$F$65,"Out of range")))))))))*(1+'Assumptions and Catalog'!$C$8)^(A864-1),0)</f>
        <v>7094.794</v>
      </c>
      <c r="N864" s="5" t="n">
        <f>IF(ISNUMBER(Inputs!$L$5),(IF(Inputs!$L$9="Actual flat rate",L864*Inputs!$L$10,IF(Inputs!$C$9="Residential",IF(L864&lt;='Assumptions and Catalog'!$C$50,L864*'Assumptions and Catalog'!$H$50+'Assumptions and Catalog'!$E$50+'Assumptions and Catalog'!$F$50,IF(L864&lt;='Assumptions and Catalog'!$C$51,L864*'Assumptions and Catalog'!$H$51+'Assumptions and Catalog'!$E$51+'Assumptions and Catalog'!$F$51,IF(L864&lt;='Assumptions and Catalog'!$C$52,L864*'Assumptions and Catalog'!$H$52+'Assumptions and Catalog'!$E$52+'Assumptions and Catalog'!$F$52,IF(L864&lt;='Assumptions and Catalog'!$C$53,L864*'Assumptions and Catalog'!$H$53+'Assumptions and Catalog'!$E$53+'Assumptions and Catalog'!$F$53,IF(L864&lt;='Assumptions and Catalog'!$C$54,L864*'Assumptions and Catalog'!$H$54+'Assumptions and Catalog'!$E$54+'Assumptions and Catalog'!$F$54,IF(L864&lt;='Assumptions and Catalog'!$C$55,L864*'Assumptions and Catalog'!$H$55+'Assumptions and Catalog'!$E$55+'Assumptions and Catalog'!$F$55,IF(L864&lt;='Assumptions and Catalog'!$C$56,L864*'Assumptions and Catalog'!$H$56+'Assumptions and Catalog'!$E$56+'Assumptions and Catalog'!$F$56,IF(L864&lt;='Assumptions and Catalog'!$C$57,L864*'Assumptions and Catalog'!$H$57+'Assumptions and Catalog'!$E$57+'Assumptions and Catalog'!$F$57,"Out of range")))))))),IF(L864&lt;='Assumptions and Catalog'!$C$60,L864*'Assumptions and Catalog'!$H$60+'Assumptions and Catalog'!$E$60+'Assumptions and Catalog'!$F$60,IF(L864&lt;='Assumptions and Catalog'!$C$61,L864*'Assumptions and Catalog'!$H$61+'Assumptions and Catalog'!$E$61+'Assumptions and Catalog'!$F$61,IF(L864&lt;='Assumptions and Catalog'!$C$62,L864*'Assumptions and Catalog'!$H$62+'Assumptions and Catalog'!$E$62+'Assumptions and Catalog'!$F$62,IF(L864&lt;='Assumptions and Catalog'!$C$63,L864*'Assumptions and Catalog'!$H$63+'Assumptions and Catalog'!$E$63+'Assumptions and Catalog'!$F$63,IF(L864&lt;='Assumptions and Catalog'!$C$64,L864*'Assumptions and Catalog'!$H$64+'Assumptions and Catalog'!$E$64+'Assumptions and Catalog'!$F$64,IF(L864&lt;='Assumptions and Catalog'!$C$65,L864*'Assumptions and Catalog'!$H$65+'Assumptions and Catalog'!$E$65+'Assumptions and Catalog'!$F$65,"Out of range")))))))))*(1+'Assumptions and Catalog'!$C$8)^(A864-1),0)</f>
        <v>3371.69489233401</v>
      </c>
      <c r="O864" s="5" t="n">
        <f>M864-N864</f>
        <v>3723.09910766599</v>
      </c>
      <c r="P864" s="5" t="n">
        <f>E$55*(1-L$14)*(1-'Assumptions and Catalog'!$C$23)^R864</f>
        <v>9.07102598004736</v>
      </c>
      <c r="Q864" s="5" t="n">
        <f>IF(ISNUMBER(Inputs!$L$5),(IF(Inputs!$L$9="Actual flat rate",((D864+E864)*C864-G864)*Inputs!$L$10,IF(Inputs!$C$9="Residential",IF(((D864+E864)*C864-G864)&lt;='Assumptions and Catalog'!$C$50,((D864+E864)*C864-G864)*'Assumptions and Catalog'!$H$50+'Assumptions and Catalog'!$E$50+'Assumptions and Catalog'!$F$50,IF(((D864+E864)*C864-G864)&lt;='Assumptions and Catalog'!$C$51,((D864+E864)*C864-G864)*'Assumptions and Catalog'!$H$51+'Assumptions and Catalog'!$E$51+'Assumptions and Catalog'!$F$51,IF(((D864+E864)*C864-G864)&lt;='Assumptions and Catalog'!$C$52,((D864+E864)*C864-G864)*'Assumptions and Catalog'!$H$52+'Assumptions and Catalog'!$E$52+'Assumptions and Catalog'!$F$52,IF(((D864+E864)*C864-G864)&lt;='Assumptions and Catalog'!$C$53,((D864+E864)*C864-G864)*'Assumptions and Catalog'!$H$53+'Assumptions and Catalog'!$E$53+'Assumptions and Catalog'!$F$53,IF(((D864+E864)*C864-G864)&lt;='Assumptions and Catalog'!$C$54,((D864+E864)*C864-G864)*'Assumptions and Catalog'!$H$54+'Assumptions and Catalog'!$E$54+'Assumptions and Catalog'!$F$54,IF(((D864+E864)*C864-G864)&lt;='Assumptions and Catalog'!$C$55,((D864+E864)*C864-G864)*'Assumptions and Catalog'!$H$55+'Assumptions and Catalog'!$E$55+'Assumptions and Catalog'!$F$55,IF(((D864+E864)*C864-G864)&lt;='Assumptions and Catalog'!$C$56,((D864+E864)*C864-G864)*'Assumptions and Catalog'!$H$56+'Assumptions and Catalog'!$E$56+'Assumptions and Catalog'!$F$56,IF(((D864+E864)*C864-G864)&lt;='Assumptions and Catalog'!$C$57,((D864+E864)*C864-G864)*'Assumptions and Catalog'!$H$57+'Assumptions and Catalog'!$E$57+'Assumptions and Catalog'!$F$57,"Out of range")))))))),IF(((D864+E864)*C864-G864)&lt;='Assumptions and Catalog'!$C$60,((D864+E864)*C864-G864)*'Assumptions and Catalog'!$H$60+'Assumptions and Catalog'!$E$60+'Assumptions and Catalog'!$F$60,IF(((D864+E864)*C864-G864)&lt;='Assumptions and Catalog'!$C$61,((D864+E864)*C864-G864)*'Assumptions and Catalog'!$H$61+'Assumptions and Catalog'!$E$61+'Assumptions and Catalog'!$F$61,IF(((D864+E864)*C864-G864)&lt;='Assumptions and Catalog'!$C$62,((D864+E864)*C864-G864)*'Assumptions and Catalog'!$H$62+'Assumptions and Catalog'!$E$62+'Assumptions and Catalog'!$F$62,IF(((D864+E864)*C864-G864)&lt;='Assumptions and Catalog'!$C$63,((D864+E864)*C864-G864)*'Assumptions and Catalog'!$H$63+'Assumptions and Catalog'!$E$63+'Assumptions and Catalog'!$F$63,IF(((D864+E864)*C864-G864)&lt;='Assumptions and Catalog'!$C$64,((D864+E864)*C864-G864)*'Assumptions and Catalog'!$H$64+'Assumptions and Catalog'!$E$64+'Assumptions and Catalog'!$F$64,IF(((D864+E864)*C864-G864)&lt;='Assumptions and Catalog'!$C$65,((D864+E864)*C864-G864)*'Assumptions and Catalog'!$H$65+'Assumptions and Catalog'!$E$65+'Assumptions and Catalog'!$F$65,"Out of range")))))))))*(1+'Assumptions and Catalog'!$C$8)^(A864-1),0)</f>
        <v>3567.397</v>
      </c>
      <c r="R864" s="5" t="n">
        <f>IF(AND('Assumptions and Catalog'!$C$19&gt;0,A864&gt;='Assumptions and Catalog'!$C$19),A864-'Assumptions and Catalog'!$C$19,A864-1)</f>
        <v>6</v>
      </c>
      <c r="S864" s="5" t="n">
        <f>F864+L864-(D864+E864)*C864-J864-K864-IF(E$52&gt;0,'Assumptions and Catalog'!$C$26*C864,0)</f>
        <v>1.70530256582424E-013</v>
      </c>
      <c r="T864" s="5"/>
      <c r="U864" s="5"/>
    </row>
    <row r="865" ht="23.100000381469727" customHeight="1">
      <c r="A865" s="5" t="n">
        <v>18</v>
      </c>
      <c r="B865" s="5" t="n">
        <v>1</v>
      </c>
      <c r="C865" s="5" t="n">
        <f>DAY(DATE('Assumptions and Catalog'!$C$24+A865-1,B865+1,0))</f>
        <v>31</v>
      </c>
      <c r="D865" s="5" t="n">
        <f>IF(ISNUMBER(Inputs!$L$5),Inputs!$L$5*Inputs!$L$6,0)</f>
        <v>40.35</v>
      </c>
      <c r="E865" s="5" t="n">
        <f>IF(ISNUMBER(Inputs!$L$5),Inputs!$L$5-D865,0)</f>
        <v>40.35</v>
      </c>
      <c r="F865" s="5" t="n">
        <f>E$51*INDEX('Solar Production'!$D$20:$D$31,B865)*C865*(1-'Assumptions and Catalog'!$C$10)^(A865-1)</f>
        <v>1326.32447524421</v>
      </c>
      <c r="G865" s="5" t="n">
        <f>MIN(F865,D865*C865)</f>
        <v>1250.85</v>
      </c>
      <c r="H865" s="5" t="n">
        <f>I865/('Assumptions and Catalog'!$C$11*'Assumptions and Catalog'!$C$12)</f>
        <v>75.4744752442095</v>
      </c>
      <c r="I865" s="5" t="n">
        <f>MIN(E865*C865,P865*'Assumptions and Catalog'!$C$12*C865,(F865-G865)*'Assumptions and Catalog'!$C$11*'Assumptions and Catalog'!$C$12,E$56*'Assumptions and Catalog'!$C$14*'Assumptions and Catalog'!$C$11*'Assumptions and Catalog'!$C$12*C865,E$57*(24-'Assumptions and Catalog'!$C$13)*C865)</f>
        <v>71.7479230290267</v>
      </c>
      <c r="J865" s="5" t="n">
        <f>MAX(F865-G865-H865,0)</f>
        <v>0</v>
      </c>
      <c r="K865" s="5" t="n">
        <f>H865-I865</f>
        <v>3.72655221518285</v>
      </c>
      <c r="L865" s="5" t="n">
        <f>(D865+E865)*C865-G865-I865+0+IF(E$52&gt;0,'Assumptions and Catalog'!$C$26*C865,0)</f>
        <v>1179.10207697097</v>
      </c>
      <c r="M865" s="5" t="n">
        <f>IF(ISNUMBER(Inputs!$L$5),(IF(Inputs!$L$9="Actual flat rate",((D865+E865)*C865)*Inputs!$L$10,IF(Inputs!$C$9="Residential",IF(((D865+E865)*C865)&lt;='Assumptions and Catalog'!$C$50,((D865+E865)*C865)*'Assumptions and Catalog'!$H$50+'Assumptions and Catalog'!$E$50+'Assumptions and Catalog'!$F$50,IF(((D865+E865)*C865)&lt;='Assumptions and Catalog'!$C$51,((D865+E865)*C865)*'Assumptions and Catalog'!$H$51+'Assumptions and Catalog'!$E$51+'Assumptions and Catalog'!$F$51,IF(((D865+E865)*C865)&lt;='Assumptions and Catalog'!$C$52,((D865+E865)*C865)*'Assumptions and Catalog'!$H$52+'Assumptions and Catalog'!$E$52+'Assumptions and Catalog'!$F$52,IF(((D865+E865)*C865)&lt;='Assumptions and Catalog'!$C$53,((D865+E865)*C865)*'Assumptions and Catalog'!$H$53+'Assumptions and Catalog'!$E$53+'Assumptions and Catalog'!$F$53,IF(((D865+E865)*C865)&lt;='Assumptions and Catalog'!$C$54,((D865+E865)*C865)*'Assumptions and Catalog'!$H$54+'Assumptions and Catalog'!$E$54+'Assumptions and Catalog'!$F$54,IF(((D865+E865)*C865)&lt;='Assumptions and Catalog'!$C$55,((D865+E865)*C865)*'Assumptions and Catalog'!$H$55+'Assumptions and Catalog'!$E$55+'Assumptions and Catalog'!$F$55,IF(((D865+E865)*C865)&lt;='Assumptions and Catalog'!$C$56,((D865+E865)*C865)*'Assumptions and Catalog'!$H$56+'Assumptions and Catalog'!$E$56+'Assumptions and Catalog'!$F$56,IF(((D865+E865)*C865)&lt;='Assumptions and Catalog'!$C$57,((D865+E865)*C865)*'Assumptions and Catalog'!$H$57+'Assumptions and Catalog'!$E$57+'Assumptions and Catalog'!$F$57,"Out of range")))))))),IF(((D865+E865)*C865)&lt;='Assumptions and Catalog'!$C$60,((D865+E865)*C865)*'Assumptions and Catalog'!$H$60+'Assumptions and Catalog'!$E$60+'Assumptions and Catalog'!$F$60,IF(((D865+E865)*C865)&lt;='Assumptions and Catalog'!$C$61,((D865+E865)*C865)*'Assumptions and Catalog'!$H$61+'Assumptions and Catalog'!$E$61+'Assumptions and Catalog'!$F$61,IF(((D865+E865)*C865)&lt;='Assumptions and Catalog'!$C$62,((D865+E865)*C865)*'Assumptions and Catalog'!$H$62+'Assumptions and Catalog'!$E$62+'Assumptions and Catalog'!$F$62,IF(((D865+E865)*C865)&lt;='Assumptions and Catalog'!$C$63,((D865+E865)*C865)*'Assumptions and Catalog'!$H$63+'Assumptions and Catalog'!$E$63+'Assumptions and Catalog'!$F$63,IF(((D865+E865)*C865)&lt;='Assumptions and Catalog'!$C$64,((D865+E865)*C865)*'Assumptions and Catalog'!$H$64+'Assumptions and Catalog'!$E$64+'Assumptions and Catalog'!$F$64,IF(((D865+E865)*C865)&lt;='Assumptions and Catalog'!$C$65,((D865+E865)*C865)*'Assumptions and Catalog'!$H$65+'Assumptions and Catalog'!$E$65+'Assumptions and Catalog'!$F$65,"Out of range")))))))))*(1+'Assumptions and Catalog'!$C$8)^(A865-1),0)</f>
        <v>7094.794</v>
      </c>
      <c r="N865" s="5" t="n">
        <f>IF(ISNUMBER(Inputs!$L$5),(IF(Inputs!$L$9="Actual flat rate",L865*Inputs!$L$10,IF(Inputs!$C$9="Residential",IF(L865&lt;='Assumptions and Catalog'!$C$50,L865*'Assumptions and Catalog'!$H$50+'Assumptions and Catalog'!$E$50+'Assumptions and Catalog'!$F$50,IF(L865&lt;='Assumptions and Catalog'!$C$51,L865*'Assumptions and Catalog'!$H$51+'Assumptions and Catalog'!$E$51+'Assumptions and Catalog'!$F$51,IF(L865&lt;='Assumptions and Catalog'!$C$52,L865*'Assumptions and Catalog'!$H$52+'Assumptions and Catalog'!$E$52+'Assumptions and Catalog'!$F$52,IF(L865&lt;='Assumptions and Catalog'!$C$53,L865*'Assumptions and Catalog'!$H$53+'Assumptions and Catalog'!$E$53+'Assumptions and Catalog'!$F$53,IF(L865&lt;='Assumptions and Catalog'!$C$54,L865*'Assumptions and Catalog'!$H$54+'Assumptions and Catalog'!$E$54+'Assumptions and Catalog'!$F$54,IF(L865&lt;='Assumptions and Catalog'!$C$55,L865*'Assumptions and Catalog'!$H$55+'Assumptions and Catalog'!$E$55+'Assumptions and Catalog'!$F$55,IF(L865&lt;='Assumptions and Catalog'!$C$56,L865*'Assumptions and Catalog'!$H$56+'Assumptions and Catalog'!$E$56+'Assumptions and Catalog'!$F$56,IF(L865&lt;='Assumptions and Catalog'!$C$57,L865*'Assumptions and Catalog'!$H$57+'Assumptions and Catalog'!$E$57+'Assumptions and Catalog'!$F$57,"Out of range")))))))),IF(L865&lt;='Assumptions and Catalog'!$C$60,L865*'Assumptions and Catalog'!$H$60+'Assumptions and Catalog'!$E$60+'Assumptions and Catalog'!$F$60,IF(L865&lt;='Assumptions and Catalog'!$C$61,L865*'Assumptions and Catalog'!$H$61+'Assumptions and Catalog'!$E$61+'Assumptions and Catalog'!$F$61,IF(L865&lt;='Assumptions and Catalog'!$C$62,L865*'Assumptions and Catalog'!$H$62+'Assumptions and Catalog'!$E$62+'Assumptions and Catalog'!$F$62,IF(L865&lt;='Assumptions and Catalog'!$C$63,L865*'Assumptions and Catalog'!$H$63+'Assumptions and Catalog'!$E$63+'Assumptions and Catalog'!$F$63,IF(L865&lt;='Assumptions and Catalog'!$C$64,L865*'Assumptions and Catalog'!$H$64+'Assumptions and Catalog'!$E$64+'Assumptions and Catalog'!$F$64,IF(L865&lt;='Assumptions and Catalog'!$C$65,L865*'Assumptions and Catalog'!$H$65+'Assumptions and Catalog'!$E$65+'Assumptions and Catalog'!$F$65,"Out of range")))))))))*(1+'Assumptions and Catalog'!$C$8)^(A865-1),0)</f>
        <v>3365.06785705815</v>
      </c>
      <c r="O865" s="5" t="n">
        <f>M865-N865</f>
        <v>3729.72614294186</v>
      </c>
      <c r="P865" s="5" t="n">
        <f>E$55*(1-L$14)*(1-'Assumptions and Catalog'!$C$23)^R865</f>
        <v>8.88960546044641</v>
      </c>
      <c r="Q865" s="5" t="n">
        <f>IF(ISNUMBER(Inputs!$L$5),(IF(Inputs!$L$9="Actual flat rate",((D865+E865)*C865-G865)*Inputs!$L$10,IF(Inputs!$C$9="Residential",IF(((D865+E865)*C865-G865)&lt;='Assumptions and Catalog'!$C$50,((D865+E865)*C865-G865)*'Assumptions and Catalog'!$H$50+'Assumptions and Catalog'!$E$50+'Assumptions and Catalog'!$F$50,IF(((D865+E865)*C865-G865)&lt;='Assumptions and Catalog'!$C$51,((D865+E865)*C865-G865)*'Assumptions and Catalog'!$H$51+'Assumptions and Catalog'!$E$51+'Assumptions and Catalog'!$F$51,IF(((D865+E865)*C865-G865)&lt;='Assumptions and Catalog'!$C$52,((D865+E865)*C865-G865)*'Assumptions and Catalog'!$H$52+'Assumptions and Catalog'!$E$52+'Assumptions and Catalog'!$F$52,IF(((D865+E865)*C865-G865)&lt;='Assumptions and Catalog'!$C$53,((D865+E865)*C865-G865)*'Assumptions and Catalog'!$H$53+'Assumptions and Catalog'!$E$53+'Assumptions and Catalog'!$F$53,IF(((D865+E865)*C865-G865)&lt;='Assumptions and Catalog'!$C$54,((D865+E865)*C865-G865)*'Assumptions and Catalog'!$H$54+'Assumptions and Catalog'!$E$54+'Assumptions and Catalog'!$F$54,IF(((D865+E865)*C865-G865)&lt;='Assumptions and Catalog'!$C$55,((D865+E865)*C865-G865)*'Assumptions and Catalog'!$H$55+'Assumptions and Catalog'!$E$55+'Assumptions and Catalog'!$F$55,IF(((D865+E865)*C865-G865)&lt;='Assumptions and Catalog'!$C$56,((D865+E865)*C865-G865)*'Assumptions and Catalog'!$H$56+'Assumptions and Catalog'!$E$56+'Assumptions and Catalog'!$F$56,IF(((D865+E865)*C865-G865)&lt;='Assumptions and Catalog'!$C$57,((D865+E865)*C865-G865)*'Assumptions and Catalog'!$H$57+'Assumptions and Catalog'!$E$57+'Assumptions and Catalog'!$F$57,"Out of range")))))))),IF(((D865+E865)*C865-G865)&lt;='Assumptions and Catalog'!$C$60,((D865+E865)*C865-G865)*'Assumptions and Catalog'!$H$60+'Assumptions and Catalog'!$E$60+'Assumptions and Catalog'!$F$60,IF(((D865+E865)*C865-G865)&lt;='Assumptions and Catalog'!$C$61,((D865+E865)*C865-G865)*'Assumptions and Catalog'!$H$61+'Assumptions and Catalog'!$E$61+'Assumptions and Catalog'!$F$61,IF(((D865+E865)*C865-G865)&lt;='Assumptions and Catalog'!$C$62,((D865+E865)*C865-G865)*'Assumptions and Catalog'!$H$62+'Assumptions and Catalog'!$E$62+'Assumptions and Catalog'!$F$62,IF(((D865+E865)*C865-G865)&lt;='Assumptions and Catalog'!$C$63,((D865+E865)*C865-G865)*'Assumptions and Catalog'!$H$63+'Assumptions and Catalog'!$E$63+'Assumptions and Catalog'!$F$63,IF(((D865+E865)*C865-G865)&lt;='Assumptions and Catalog'!$C$64,((D865+E865)*C865-G865)*'Assumptions and Catalog'!$H$64+'Assumptions and Catalog'!$E$64+'Assumptions and Catalog'!$F$64,IF(((D865+E865)*C865-G865)&lt;='Assumptions and Catalog'!$C$65,((D865+E865)*C865-G865)*'Assumptions and Catalog'!$H$65+'Assumptions and Catalog'!$E$65+'Assumptions and Catalog'!$F$65,"Out of range")))))))))*(1+'Assumptions and Catalog'!$C$8)^(A865-1),0)</f>
        <v>3567.397</v>
      </c>
      <c r="R865" s="5" t="n">
        <f>IF(AND('Assumptions and Catalog'!$C$19&gt;0,A865&gt;='Assumptions and Catalog'!$C$19),A865-'Assumptions and Catalog'!$C$19,A865-1)</f>
        <v>7</v>
      </c>
      <c r="S865" s="5" t="n">
        <f>F865+L865-(D865+E865)*C865-J865-K865-IF(E$52&gt;0,'Assumptions and Catalog'!$C$26*C865,0)</f>
        <v>4.2632564145606E-014</v>
      </c>
      <c r="T865" s="5"/>
      <c r="U865" s="5"/>
    </row>
    <row r="866" ht="23.100000381469727" customHeight="1">
      <c r="A866" s="5" t="n">
        <v>18</v>
      </c>
      <c r="B866" s="5" t="n">
        <v>2</v>
      </c>
      <c r="C866" s="5" t="n">
        <f>DAY(DATE('Assumptions and Catalog'!$C$24+A866-1,B866+1,0))</f>
        <v>29</v>
      </c>
      <c r="D866" s="5" t="n">
        <f>IF(ISNUMBER(Inputs!$L$5),Inputs!$L$5*Inputs!$L$6,0)</f>
        <v>40.35</v>
      </c>
      <c r="E866" s="5" t="n">
        <f>IF(ISNUMBER(Inputs!$L$5),Inputs!$L$5-D866,0)</f>
        <v>40.35</v>
      </c>
      <c r="F866" s="5" t="n">
        <f>E$51*INDEX('Solar Production'!$D$20:$D$31,B866)*C866*(1-'Assumptions and Catalog'!$C$10)^(A866-1)</f>
        <v>1354.33804708153</v>
      </c>
      <c r="G866" s="5" t="n">
        <f>MIN(F866,D866*C866)</f>
        <v>1170.15</v>
      </c>
      <c r="H866" s="5" t="n">
        <f>I866/('Assumptions and Catalog'!$C$11*'Assumptions and Catalog'!$C$12)</f>
        <v>184.188047081526</v>
      </c>
      <c r="I866" s="5" t="n">
        <f>MIN(E866*C866,P866*'Assumptions and Catalog'!$C$12*C866,(F866-G866)*'Assumptions and Catalog'!$C$11*'Assumptions and Catalog'!$C$12,E$56*'Assumptions and Catalog'!$C$14*'Assumptions and Catalog'!$C$11*'Assumptions and Catalog'!$C$12*C866,E$57*(24-'Assumptions and Catalog'!$C$13)*C866)</f>
        <v>175.093762256876</v>
      </c>
      <c r="J866" s="5" t="n">
        <f>MAX(F866-G866-H866,0)</f>
        <v>0</v>
      </c>
      <c r="K866" s="5" t="n">
        <f>H866-I866</f>
        <v>9.09428482465037</v>
      </c>
      <c r="L866" s="5" t="n">
        <f>(D866+E866)*C866-G866-I866+0+IF(E$52&gt;0,'Assumptions and Catalog'!$C$26*C866,0)</f>
        <v>995.056237743124</v>
      </c>
      <c r="M866" s="5" t="n">
        <f>IF(ISNUMBER(Inputs!$L$5),(IF(Inputs!$L$9="Actual flat rate",((D866+E866)*C866)*Inputs!$L$10,IF(Inputs!$C$9="Residential",IF(((D866+E866)*C866)&lt;='Assumptions and Catalog'!$C$50,((D866+E866)*C866)*'Assumptions and Catalog'!$H$50+'Assumptions and Catalog'!$E$50+'Assumptions and Catalog'!$F$50,IF(((D866+E866)*C866)&lt;='Assumptions and Catalog'!$C$51,((D866+E866)*C866)*'Assumptions and Catalog'!$H$51+'Assumptions and Catalog'!$E$51+'Assumptions and Catalog'!$F$51,IF(((D866+E866)*C866)&lt;='Assumptions and Catalog'!$C$52,((D866+E866)*C866)*'Assumptions and Catalog'!$H$52+'Assumptions and Catalog'!$E$52+'Assumptions and Catalog'!$F$52,IF(((D866+E866)*C866)&lt;='Assumptions and Catalog'!$C$53,((D866+E866)*C866)*'Assumptions and Catalog'!$H$53+'Assumptions and Catalog'!$E$53+'Assumptions and Catalog'!$F$53,IF(((D866+E866)*C866)&lt;='Assumptions and Catalog'!$C$54,((D866+E866)*C866)*'Assumptions and Catalog'!$H$54+'Assumptions and Catalog'!$E$54+'Assumptions and Catalog'!$F$54,IF(((D866+E866)*C866)&lt;='Assumptions and Catalog'!$C$55,((D866+E866)*C866)*'Assumptions and Catalog'!$H$55+'Assumptions and Catalog'!$E$55+'Assumptions and Catalog'!$F$55,IF(((D866+E866)*C866)&lt;='Assumptions and Catalog'!$C$56,((D866+E866)*C866)*'Assumptions and Catalog'!$H$56+'Assumptions and Catalog'!$E$56+'Assumptions and Catalog'!$F$56,IF(((D866+E866)*C866)&lt;='Assumptions and Catalog'!$C$57,((D866+E866)*C866)*'Assumptions and Catalog'!$H$57+'Assumptions and Catalog'!$E$57+'Assumptions and Catalog'!$F$57,"Out of range")))))))),IF(((D866+E866)*C866)&lt;='Assumptions and Catalog'!$C$60,((D866+E866)*C866)*'Assumptions and Catalog'!$H$60+'Assumptions and Catalog'!$E$60+'Assumptions and Catalog'!$F$60,IF(((D866+E866)*C866)&lt;='Assumptions and Catalog'!$C$61,((D866+E866)*C866)*'Assumptions and Catalog'!$H$61+'Assumptions and Catalog'!$E$61+'Assumptions and Catalog'!$F$61,IF(((D866+E866)*C866)&lt;='Assumptions and Catalog'!$C$62,((D866+E866)*C866)*'Assumptions and Catalog'!$H$62+'Assumptions and Catalog'!$E$62+'Assumptions and Catalog'!$F$62,IF(((D866+E866)*C866)&lt;='Assumptions and Catalog'!$C$63,((D866+E866)*C866)*'Assumptions and Catalog'!$H$63+'Assumptions and Catalog'!$E$63+'Assumptions and Catalog'!$F$63,IF(((D866+E866)*C866)&lt;='Assumptions and Catalog'!$C$64,((D866+E866)*C866)*'Assumptions and Catalog'!$H$64+'Assumptions and Catalog'!$E$64+'Assumptions and Catalog'!$F$64,IF(((D866+E866)*C866)&lt;='Assumptions and Catalog'!$C$65,((D866+E866)*C866)*'Assumptions and Catalog'!$H$65+'Assumptions and Catalog'!$E$65+'Assumptions and Catalog'!$F$65,"Out of range")))))))))*(1+'Assumptions and Catalog'!$C$8)^(A866-1),0)</f>
        <v>6639.646</v>
      </c>
      <c r="N866" s="5" t="n">
        <f>IF(ISNUMBER(Inputs!$L$5),(IF(Inputs!$L$9="Actual flat rate",L866*Inputs!$L$10,IF(Inputs!$C$9="Residential",IF(L866&lt;='Assumptions and Catalog'!$C$50,L866*'Assumptions and Catalog'!$H$50+'Assumptions and Catalog'!$E$50+'Assumptions and Catalog'!$F$50,IF(L866&lt;='Assumptions and Catalog'!$C$51,L866*'Assumptions and Catalog'!$H$51+'Assumptions and Catalog'!$E$51+'Assumptions and Catalog'!$F$51,IF(L866&lt;='Assumptions and Catalog'!$C$52,L866*'Assumptions and Catalog'!$H$52+'Assumptions and Catalog'!$E$52+'Assumptions and Catalog'!$F$52,IF(L866&lt;='Assumptions and Catalog'!$C$53,L866*'Assumptions and Catalog'!$H$53+'Assumptions and Catalog'!$E$53+'Assumptions and Catalog'!$F$53,IF(L866&lt;='Assumptions and Catalog'!$C$54,L866*'Assumptions and Catalog'!$H$54+'Assumptions and Catalog'!$E$54+'Assumptions and Catalog'!$F$54,IF(L866&lt;='Assumptions and Catalog'!$C$55,L866*'Assumptions and Catalog'!$H$55+'Assumptions and Catalog'!$E$55+'Assumptions and Catalog'!$F$55,IF(L866&lt;='Assumptions and Catalog'!$C$56,L866*'Assumptions and Catalog'!$H$56+'Assumptions and Catalog'!$E$56+'Assumptions and Catalog'!$F$56,IF(L866&lt;='Assumptions and Catalog'!$C$57,L866*'Assumptions and Catalog'!$H$57+'Assumptions and Catalog'!$E$57+'Assumptions and Catalog'!$F$57,"Out of range")))))))),IF(L866&lt;='Assumptions and Catalog'!$C$60,L866*'Assumptions and Catalog'!$H$60+'Assumptions and Catalog'!$E$60+'Assumptions and Catalog'!$F$60,IF(L866&lt;='Assumptions and Catalog'!$C$61,L866*'Assumptions and Catalog'!$H$61+'Assumptions and Catalog'!$E$61+'Assumptions and Catalog'!$F$61,IF(L866&lt;='Assumptions and Catalog'!$C$62,L866*'Assumptions and Catalog'!$H$62+'Assumptions and Catalog'!$E$62+'Assumptions and Catalog'!$F$62,IF(L866&lt;='Assumptions and Catalog'!$C$63,L866*'Assumptions and Catalog'!$H$63+'Assumptions and Catalog'!$E$63+'Assumptions and Catalog'!$F$63,IF(L866&lt;='Assumptions and Catalog'!$C$64,L866*'Assumptions and Catalog'!$H$64+'Assumptions and Catalog'!$E$64+'Assumptions and Catalog'!$F$64,IF(L866&lt;='Assumptions and Catalog'!$C$65,L866*'Assumptions and Catalog'!$H$65+'Assumptions and Catalog'!$E$65+'Assumptions and Catalog'!$F$65,"Out of range")))))))))*(1+'Assumptions and Catalog'!$C$8)^(A866-1),0)</f>
        <v>2721.30577854845</v>
      </c>
      <c r="O866" s="5" t="n">
        <f>M866-N866</f>
        <v>3918.34022145155</v>
      </c>
      <c r="P866" s="5" t="n">
        <f>E$55*(1-L$14)*(1-'Assumptions and Catalog'!$C$23)^R866</f>
        <v>8.88960546044641</v>
      </c>
      <c r="Q866" s="5" t="n">
        <f>IF(ISNUMBER(Inputs!$L$5),(IF(Inputs!$L$9="Actual flat rate",((D866+E866)*C866-G866)*Inputs!$L$10,IF(Inputs!$C$9="Residential",IF(((D866+E866)*C866-G866)&lt;='Assumptions and Catalog'!$C$50,((D866+E866)*C866-G866)*'Assumptions and Catalog'!$H$50+'Assumptions and Catalog'!$E$50+'Assumptions and Catalog'!$F$50,IF(((D866+E866)*C866-G866)&lt;='Assumptions and Catalog'!$C$51,((D866+E866)*C866-G866)*'Assumptions and Catalog'!$H$51+'Assumptions and Catalog'!$E$51+'Assumptions and Catalog'!$F$51,IF(((D866+E866)*C866-G866)&lt;='Assumptions and Catalog'!$C$52,((D866+E866)*C866-G866)*'Assumptions and Catalog'!$H$52+'Assumptions and Catalog'!$E$52+'Assumptions and Catalog'!$F$52,IF(((D866+E866)*C866-G866)&lt;='Assumptions and Catalog'!$C$53,((D866+E866)*C866-G866)*'Assumptions and Catalog'!$H$53+'Assumptions and Catalog'!$E$53+'Assumptions and Catalog'!$F$53,IF(((D866+E866)*C866-G866)&lt;='Assumptions and Catalog'!$C$54,((D866+E866)*C866-G866)*'Assumptions and Catalog'!$H$54+'Assumptions and Catalog'!$E$54+'Assumptions and Catalog'!$F$54,IF(((D866+E866)*C866-G866)&lt;='Assumptions and Catalog'!$C$55,((D866+E866)*C866-G866)*'Assumptions and Catalog'!$H$55+'Assumptions and Catalog'!$E$55+'Assumptions and Catalog'!$F$55,IF(((D866+E866)*C866-G866)&lt;='Assumptions and Catalog'!$C$56,((D866+E866)*C866-G866)*'Assumptions and Catalog'!$H$56+'Assumptions and Catalog'!$E$56+'Assumptions and Catalog'!$F$56,IF(((D866+E866)*C866-G866)&lt;='Assumptions and Catalog'!$C$57,((D866+E866)*C866-G866)*'Assumptions and Catalog'!$H$57+'Assumptions and Catalog'!$E$57+'Assumptions and Catalog'!$F$57,"Out of range")))))))),IF(((D866+E866)*C866-G866)&lt;='Assumptions and Catalog'!$C$60,((D866+E866)*C866-G866)*'Assumptions and Catalog'!$H$60+'Assumptions and Catalog'!$E$60+'Assumptions and Catalog'!$F$60,IF(((D866+E866)*C866-G866)&lt;='Assumptions and Catalog'!$C$61,((D866+E866)*C866-G866)*'Assumptions and Catalog'!$H$61+'Assumptions and Catalog'!$E$61+'Assumptions and Catalog'!$F$61,IF(((D866+E866)*C866-G866)&lt;='Assumptions and Catalog'!$C$62,((D866+E866)*C866-G866)*'Assumptions and Catalog'!$H$62+'Assumptions and Catalog'!$E$62+'Assumptions and Catalog'!$F$62,IF(((D866+E866)*C866-G866)&lt;='Assumptions and Catalog'!$C$63,((D866+E866)*C866-G866)*'Assumptions and Catalog'!$H$63+'Assumptions and Catalog'!$E$63+'Assumptions and Catalog'!$F$63,IF(((D866+E866)*C866-G866)&lt;='Assumptions and Catalog'!$C$64,((D866+E866)*C866-G866)*'Assumptions and Catalog'!$H$64+'Assumptions and Catalog'!$E$64+'Assumptions and Catalog'!$F$64,IF(((D866+E866)*C866-G866)&lt;='Assumptions and Catalog'!$C$65,((D866+E866)*C866-G866)*'Assumptions and Catalog'!$H$65+'Assumptions and Catalog'!$E$65+'Assumptions and Catalog'!$F$65,"Out of range")))))))))*(1+'Assumptions and Catalog'!$C$8)^(A866-1),0)</f>
        <v>3339.823</v>
      </c>
      <c r="R866" s="5" t="n">
        <f>IF(AND('Assumptions and Catalog'!$C$19&gt;0,A866&gt;='Assumptions and Catalog'!$C$19),A866-'Assumptions and Catalog'!$C$19,A866-1)</f>
        <v>7</v>
      </c>
      <c r="S866" s="5" t="n">
        <f>F866+L866-(D866+E866)*C866-J866-K866-IF(E$52&gt;0,'Assumptions and Catalog'!$C$26*C866,0)</f>
        <v>8.5265128291212E-014</v>
      </c>
      <c r="T866" s="5"/>
      <c r="U866" s="5"/>
    </row>
    <row r="867" ht="23.100000381469727" customHeight="1">
      <c r="A867" s="5" t="n">
        <v>18</v>
      </c>
      <c r="B867" s="5" t="n">
        <v>3</v>
      </c>
      <c r="C867" s="5" t="n">
        <f>DAY(DATE('Assumptions and Catalog'!$C$24+A867-1,B867+1,0))</f>
        <v>31</v>
      </c>
      <c r="D867" s="5" t="n">
        <f>IF(ISNUMBER(Inputs!$L$5),Inputs!$L$5*Inputs!$L$6,0)</f>
        <v>40.35</v>
      </c>
      <c r="E867" s="5" t="n">
        <f>IF(ISNUMBER(Inputs!$L$5),Inputs!$L$5-D867,0)</f>
        <v>40.35</v>
      </c>
      <c r="F867" s="5" t="n">
        <f>E$51*INDEX('Solar Production'!$D$20:$D$31,B867)*C867*(1-'Assumptions and Catalog'!$C$10)^(A867-1)</f>
        <v>1626.94455432469</v>
      </c>
      <c r="G867" s="5" t="n">
        <f>MIN(F867,D867*C867)</f>
        <v>1250.85</v>
      </c>
      <c r="H867" s="5" t="n">
        <f>I867/('Assumptions and Catalog'!$C$11*'Assumptions and Catalog'!$C$12)</f>
        <v>282.643865921886</v>
      </c>
      <c r="I867" s="5" t="n">
        <f>MIN(E867*C867,P867*'Assumptions and Catalog'!$C$12*C867,(F867-G867)*'Assumptions and Catalog'!$C$11*'Assumptions and Catalog'!$C$12,E$56*'Assumptions and Catalog'!$C$14*'Assumptions and Catalog'!$C$11*'Assumptions and Catalog'!$C$12*C867,E$57*(24-'Assumptions and Catalog'!$C$13)*C867)</f>
        <v>268.688325041993</v>
      </c>
      <c r="J867" s="5" t="n">
        <f>MAX(F867-G867-H867,0)</f>
        <v>93.450688402808</v>
      </c>
      <c r="K867" s="5" t="n">
        <f>H867-I867</f>
        <v>13.9555408798931</v>
      </c>
      <c r="L867" s="5" t="n">
        <f>(D867+E867)*C867-G867-I867+0+IF(E$52&gt;0,'Assumptions and Catalog'!$C$26*C867,0)</f>
        <v>982.161674958007</v>
      </c>
      <c r="M867" s="5" t="n">
        <f>IF(ISNUMBER(Inputs!$L$5),(IF(Inputs!$L$9="Actual flat rate",((D867+E867)*C867)*Inputs!$L$10,IF(Inputs!$C$9="Residential",IF(((D867+E867)*C867)&lt;='Assumptions and Catalog'!$C$50,((D867+E867)*C867)*'Assumptions and Catalog'!$H$50+'Assumptions and Catalog'!$E$50+'Assumptions and Catalog'!$F$50,IF(((D867+E867)*C867)&lt;='Assumptions and Catalog'!$C$51,((D867+E867)*C867)*'Assumptions and Catalog'!$H$51+'Assumptions and Catalog'!$E$51+'Assumptions and Catalog'!$F$51,IF(((D867+E867)*C867)&lt;='Assumptions and Catalog'!$C$52,((D867+E867)*C867)*'Assumptions and Catalog'!$H$52+'Assumptions and Catalog'!$E$52+'Assumptions and Catalog'!$F$52,IF(((D867+E867)*C867)&lt;='Assumptions and Catalog'!$C$53,((D867+E867)*C867)*'Assumptions and Catalog'!$H$53+'Assumptions and Catalog'!$E$53+'Assumptions and Catalog'!$F$53,IF(((D867+E867)*C867)&lt;='Assumptions and Catalog'!$C$54,((D867+E867)*C867)*'Assumptions and Catalog'!$H$54+'Assumptions and Catalog'!$E$54+'Assumptions and Catalog'!$F$54,IF(((D867+E867)*C867)&lt;='Assumptions and Catalog'!$C$55,((D867+E867)*C867)*'Assumptions and Catalog'!$H$55+'Assumptions and Catalog'!$E$55+'Assumptions and Catalog'!$F$55,IF(((D867+E867)*C867)&lt;='Assumptions and Catalog'!$C$56,((D867+E867)*C867)*'Assumptions and Catalog'!$H$56+'Assumptions and Catalog'!$E$56+'Assumptions and Catalog'!$F$56,IF(((D867+E867)*C867)&lt;='Assumptions and Catalog'!$C$57,((D867+E867)*C867)*'Assumptions and Catalog'!$H$57+'Assumptions and Catalog'!$E$57+'Assumptions and Catalog'!$F$57,"Out of range")))))))),IF(((D867+E867)*C867)&lt;='Assumptions and Catalog'!$C$60,((D867+E867)*C867)*'Assumptions and Catalog'!$H$60+'Assumptions and Catalog'!$E$60+'Assumptions and Catalog'!$F$60,IF(((D867+E867)*C867)&lt;='Assumptions and Catalog'!$C$61,((D867+E867)*C867)*'Assumptions and Catalog'!$H$61+'Assumptions and Catalog'!$E$61+'Assumptions and Catalog'!$F$61,IF(((D867+E867)*C867)&lt;='Assumptions and Catalog'!$C$62,((D867+E867)*C867)*'Assumptions and Catalog'!$H$62+'Assumptions and Catalog'!$E$62+'Assumptions and Catalog'!$F$62,IF(((D867+E867)*C867)&lt;='Assumptions and Catalog'!$C$63,((D867+E867)*C867)*'Assumptions and Catalog'!$H$63+'Assumptions and Catalog'!$E$63+'Assumptions and Catalog'!$F$63,IF(((D867+E867)*C867)&lt;='Assumptions and Catalog'!$C$64,((D867+E867)*C867)*'Assumptions and Catalog'!$H$64+'Assumptions and Catalog'!$E$64+'Assumptions and Catalog'!$F$64,IF(((D867+E867)*C867)&lt;='Assumptions and Catalog'!$C$65,((D867+E867)*C867)*'Assumptions and Catalog'!$H$65+'Assumptions and Catalog'!$E$65+'Assumptions and Catalog'!$F$65,"Out of range")))))))))*(1+'Assumptions and Catalog'!$C$8)^(A867-1),0)</f>
        <v>7094.794</v>
      </c>
      <c r="N867" s="5" t="n">
        <f>IF(ISNUMBER(Inputs!$L$5),(IF(Inputs!$L$9="Actual flat rate",L867*Inputs!$L$10,IF(Inputs!$C$9="Residential",IF(L867&lt;='Assumptions and Catalog'!$C$50,L867*'Assumptions and Catalog'!$H$50+'Assumptions and Catalog'!$E$50+'Assumptions and Catalog'!$F$50,IF(L867&lt;='Assumptions and Catalog'!$C$51,L867*'Assumptions and Catalog'!$H$51+'Assumptions and Catalog'!$E$51+'Assumptions and Catalog'!$F$51,IF(L867&lt;='Assumptions and Catalog'!$C$52,L867*'Assumptions and Catalog'!$H$52+'Assumptions and Catalog'!$E$52+'Assumptions and Catalog'!$F$52,IF(L867&lt;='Assumptions and Catalog'!$C$53,L867*'Assumptions and Catalog'!$H$53+'Assumptions and Catalog'!$E$53+'Assumptions and Catalog'!$F$53,IF(L867&lt;='Assumptions and Catalog'!$C$54,L867*'Assumptions and Catalog'!$H$54+'Assumptions and Catalog'!$E$54+'Assumptions and Catalog'!$F$54,IF(L867&lt;='Assumptions and Catalog'!$C$55,L867*'Assumptions and Catalog'!$H$55+'Assumptions and Catalog'!$E$55+'Assumptions and Catalog'!$F$55,IF(L867&lt;='Assumptions and Catalog'!$C$56,L867*'Assumptions and Catalog'!$H$56+'Assumptions and Catalog'!$E$56+'Assumptions and Catalog'!$F$56,IF(L867&lt;='Assumptions and Catalog'!$C$57,L867*'Assumptions and Catalog'!$H$57+'Assumptions and Catalog'!$E$57+'Assumptions and Catalog'!$F$57,"Out of range")))))))),IF(L867&lt;='Assumptions and Catalog'!$C$60,L867*'Assumptions and Catalog'!$H$60+'Assumptions and Catalog'!$E$60+'Assumptions and Catalog'!$F$60,IF(L867&lt;='Assumptions and Catalog'!$C$61,L867*'Assumptions and Catalog'!$H$61+'Assumptions and Catalog'!$E$61+'Assumptions and Catalog'!$F$61,IF(L867&lt;='Assumptions and Catalog'!$C$62,L867*'Assumptions and Catalog'!$H$62+'Assumptions and Catalog'!$E$62+'Assumptions and Catalog'!$F$62,IF(L867&lt;='Assumptions and Catalog'!$C$63,L867*'Assumptions and Catalog'!$H$63+'Assumptions and Catalog'!$E$63+'Assumptions and Catalog'!$F$63,IF(L867&lt;='Assumptions and Catalog'!$C$64,L867*'Assumptions and Catalog'!$H$64+'Assumptions and Catalog'!$E$64+'Assumptions and Catalog'!$F$64,IF(L867&lt;='Assumptions and Catalog'!$C$65,L867*'Assumptions and Catalog'!$H$65+'Assumptions and Catalog'!$E$65+'Assumptions and Catalog'!$F$65,"Out of range")))))))))*(1+'Assumptions and Catalog'!$C$8)^(A867-1),0)</f>
        <v>2685.58783963368</v>
      </c>
      <c r="O867" s="5" t="n">
        <f>M867-N867</f>
        <v>4409.20616036632</v>
      </c>
      <c r="P867" s="5" t="n">
        <f>E$55*(1-L$14)*(1-'Assumptions and Catalog'!$C$23)^R867</f>
        <v>8.88960546044641</v>
      </c>
      <c r="Q867" s="5" t="n">
        <f>IF(ISNUMBER(Inputs!$L$5),(IF(Inputs!$L$9="Actual flat rate",((D867+E867)*C867-G867)*Inputs!$L$10,IF(Inputs!$C$9="Residential",IF(((D867+E867)*C867-G867)&lt;='Assumptions and Catalog'!$C$50,((D867+E867)*C867-G867)*'Assumptions and Catalog'!$H$50+'Assumptions and Catalog'!$E$50+'Assumptions and Catalog'!$F$50,IF(((D867+E867)*C867-G867)&lt;='Assumptions and Catalog'!$C$51,((D867+E867)*C867-G867)*'Assumptions and Catalog'!$H$51+'Assumptions and Catalog'!$E$51+'Assumptions and Catalog'!$F$51,IF(((D867+E867)*C867-G867)&lt;='Assumptions and Catalog'!$C$52,((D867+E867)*C867-G867)*'Assumptions and Catalog'!$H$52+'Assumptions and Catalog'!$E$52+'Assumptions and Catalog'!$F$52,IF(((D867+E867)*C867-G867)&lt;='Assumptions and Catalog'!$C$53,((D867+E867)*C867-G867)*'Assumptions and Catalog'!$H$53+'Assumptions and Catalog'!$E$53+'Assumptions and Catalog'!$F$53,IF(((D867+E867)*C867-G867)&lt;='Assumptions and Catalog'!$C$54,((D867+E867)*C867-G867)*'Assumptions and Catalog'!$H$54+'Assumptions and Catalog'!$E$54+'Assumptions and Catalog'!$F$54,IF(((D867+E867)*C867-G867)&lt;='Assumptions and Catalog'!$C$55,((D867+E867)*C867-G867)*'Assumptions and Catalog'!$H$55+'Assumptions and Catalog'!$E$55+'Assumptions and Catalog'!$F$55,IF(((D867+E867)*C867-G867)&lt;='Assumptions and Catalog'!$C$56,((D867+E867)*C867-G867)*'Assumptions and Catalog'!$H$56+'Assumptions and Catalog'!$E$56+'Assumptions and Catalog'!$F$56,IF(((D867+E867)*C867-G867)&lt;='Assumptions and Catalog'!$C$57,((D867+E867)*C867-G867)*'Assumptions and Catalog'!$H$57+'Assumptions and Catalog'!$E$57+'Assumptions and Catalog'!$F$57,"Out of range")))))))),IF(((D867+E867)*C867-G867)&lt;='Assumptions and Catalog'!$C$60,((D867+E867)*C867-G867)*'Assumptions and Catalog'!$H$60+'Assumptions and Catalog'!$E$60+'Assumptions and Catalog'!$F$60,IF(((D867+E867)*C867-G867)&lt;='Assumptions and Catalog'!$C$61,((D867+E867)*C867-G867)*'Assumptions and Catalog'!$H$61+'Assumptions and Catalog'!$E$61+'Assumptions and Catalog'!$F$61,IF(((D867+E867)*C867-G867)&lt;='Assumptions and Catalog'!$C$62,((D867+E867)*C867-G867)*'Assumptions and Catalog'!$H$62+'Assumptions and Catalog'!$E$62+'Assumptions and Catalog'!$F$62,IF(((D867+E867)*C867-G867)&lt;='Assumptions and Catalog'!$C$63,((D867+E867)*C867-G867)*'Assumptions and Catalog'!$H$63+'Assumptions and Catalog'!$E$63+'Assumptions and Catalog'!$F$63,IF(((D867+E867)*C867-G867)&lt;='Assumptions and Catalog'!$C$64,((D867+E867)*C867-G867)*'Assumptions and Catalog'!$H$64+'Assumptions and Catalog'!$E$64+'Assumptions and Catalog'!$F$64,IF(((D867+E867)*C867-G867)&lt;='Assumptions and Catalog'!$C$65,((D867+E867)*C867-G867)*'Assumptions and Catalog'!$H$65+'Assumptions and Catalog'!$E$65+'Assumptions and Catalog'!$F$65,"Out of range")))))))))*(1+'Assumptions and Catalog'!$C$8)^(A867-1),0)</f>
        <v>3567.397</v>
      </c>
      <c r="R867" s="5" t="n">
        <f>IF(AND('Assumptions and Catalog'!$C$19&gt;0,A867&gt;='Assumptions and Catalog'!$C$19),A867-'Assumptions and Catalog'!$C$19,A867-1)</f>
        <v>7</v>
      </c>
      <c r="S867" s="5" t="n">
        <f>F867+L867-(D867+E867)*C867-J867-K867-IF(E$52&gt;0,'Assumptions and Catalog'!$C$26*C867,0)</f>
        <v>0</v>
      </c>
      <c r="T867" s="5"/>
      <c r="U867" s="5"/>
    </row>
    <row r="868" ht="23.100000381469727" customHeight="1">
      <c r="A868" s="5" t="n">
        <v>18</v>
      </c>
      <c r="B868" s="5" t="n">
        <v>4</v>
      </c>
      <c r="C868" s="5" t="n">
        <f>DAY(DATE('Assumptions and Catalog'!$C$24+A868-1,B868+1,0))</f>
        <v>30</v>
      </c>
      <c r="D868" s="5" t="n">
        <f>IF(ISNUMBER(Inputs!$L$5),Inputs!$L$5*Inputs!$L$6,0)</f>
        <v>40.35</v>
      </c>
      <c r="E868" s="5" t="n">
        <f>IF(ISNUMBER(Inputs!$L$5),Inputs!$L$5-D868,0)</f>
        <v>40.35</v>
      </c>
      <c r="F868" s="5" t="n">
        <f>E$51*INDEX('Solar Production'!$D$20:$D$31,B868)*C868*(1-'Assumptions and Catalog'!$C$10)^(A868-1)</f>
        <v>1624.92425809431</v>
      </c>
      <c r="G868" s="5" t="n">
        <f>MIN(F868,D868*C868)</f>
        <v>1210.5</v>
      </c>
      <c r="H868" s="5" t="n">
        <f>I868/('Assumptions and Catalog'!$C$11*'Assumptions and Catalog'!$C$12)</f>
        <v>273.52632185989</v>
      </c>
      <c r="I868" s="5" t="n">
        <f>MIN(E868*C868,P868*'Assumptions and Catalog'!$C$12*C868,(F868-G868)*'Assumptions and Catalog'!$C$11*'Assumptions and Catalog'!$C$12,E$56*'Assumptions and Catalog'!$C$14*'Assumptions and Catalog'!$C$11*'Assumptions and Catalog'!$C$12*C868,E$57*(24-'Assumptions and Catalog'!$C$13)*C868)</f>
        <v>260.020959718058</v>
      </c>
      <c r="J868" s="5" t="n">
        <f>MAX(F868-G868-H868,0)</f>
        <v>140.897936234425</v>
      </c>
      <c r="K868" s="5" t="n">
        <f>H868-I868</f>
        <v>13.5053621418321</v>
      </c>
      <c r="L868" s="5" t="n">
        <f>(D868+E868)*C868-G868-I868+0+IF(E$52&gt;0,'Assumptions and Catalog'!$C$26*C868,0)</f>
        <v>950.479040281942</v>
      </c>
      <c r="M868" s="5" t="n">
        <f>IF(ISNUMBER(Inputs!$L$5),(IF(Inputs!$L$9="Actual flat rate",((D868+E868)*C868)*Inputs!$L$10,IF(Inputs!$C$9="Residential",IF(((D868+E868)*C868)&lt;='Assumptions and Catalog'!$C$50,((D868+E868)*C868)*'Assumptions and Catalog'!$H$50+'Assumptions and Catalog'!$E$50+'Assumptions and Catalog'!$F$50,IF(((D868+E868)*C868)&lt;='Assumptions and Catalog'!$C$51,((D868+E868)*C868)*'Assumptions and Catalog'!$H$51+'Assumptions and Catalog'!$E$51+'Assumptions and Catalog'!$F$51,IF(((D868+E868)*C868)&lt;='Assumptions and Catalog'!$C$52,((D868+E868)*C868)*'Assumptions and Catalog'!$H$52+'Assumptions and Catalog'!$E$52+'Assumptions and Catalog'!$F$52,IF(((D868+E868)*C868)&lt;='Assumptions and Catalog'!$C$53,((D868+E868)*C868)*'Assumptions and Catalog'!$H$53+'Assumptions and Catalog'!$E$53+'Assumptions and Catalog'!$F$53,IF(((D868+E868)*C868)&lt;='Assumptions and Catalog'!$C$54,((D868+E868)*C868)*'Assumptions and Catalog'!$H$54+'Assumptions and Catalog'!$E$54+'Assumptions and Catalog'!$F$54,IF(((D868+E868)*C868)&lt;='Assumptions and Catalog'!$C$55,((D868+E868)*C868)*'Assumptions and Catalog'!$H$55+'Assumptions and Catalog'!$E$55+'Assumptions and Catalog'!$F$55,IF(((D868+E868)*C868)&lt;='Assumptions and Catalog'!$C$56,((D868+E868)*C868)*'Assumptions and Catalog'!$H$56+'Assumptions and Catalog'!$E$56+'Assumptions and Catalog'!$F$56,IF(((D868+E868)*C868)&lt;='Assumptions and Catalog'!$C$57,((D868+E868)*C868)*'Assumptions and Catalog'!$H$57+'Assumptions and Catalog'!$E$57+'Assumptions and Catalog'!$F$57,"Out of range")))))))),IF(((D868+E868)*C868)&lt;='Assumptions and Catalog'!$C$60,((D868+E868)*C868)*'Assumptions and Catalog'!$H$60+'Assumptions and Catalog'!$E$60+'Assumptions and Catalog'!$F$60,IF(((D868+E868)*C868)&lt;='Assumptions and Catalog'!$C$61,((D868+E868)*C868)*'Assumptions and Catalog'!$H$61+'Assumptions and Catalog'!$E$61+'Assumptions and Catalog'!$F$61,IF(((D868+E868)*C868)&lt;='Assumptions and Catalog'!$C$62,((D868+E868)*C868)*'Assumptions and Catalog'!$H$62+'Assumptions and Catalog'!$E$62+'Assumptions and Catalog'!$F$62,IF(((D868+E868)*C868)&lt;='Assumptions and Catalog'!$C$63,((D868+E868)*C868)*'Assumptions and Catalog'!$H$63+'Assumptions and Catalog'!$E$63+'Assumptions and Catalog'!$F$63,IF(((D868+E868)*C868)&lt;='Assumptions and Catalog'!$C$64,((D868+E868)*C868)*'Assumptions and Catalog'!$H$64+'Assumptions and Catalog'!$E$64+'Assumptions and Catalog'!$F$64,IF(((D868+E868)*C868)&lt;='Assumptions and Catalog'!$C$65,((D868+E868)*C868)*'Assumptions and Catalog'!$H$65+'Assumptions and Catalog'!$E$65+'Assumptions and Catalog'!$F$65,"Out of range")))))))))*(1+'Assumptions and Catalog'!$C$8)^(A868-1),0)</f>
        <v>6867.22</v>
      </c>
      <c r="N868" s="5" t="n">
        <f>IF(ISNUMBER(Inputs!$L$5),(IF(Inputs!$L$9="Actual flat rate",L868*Inputs!$L$10,IF(Inputs!$C$9="Residential",IF(L868&lt;='Assumptions and Catalog'!$C$50,L868*'Assumptions and Catalog'!$H$50+'Assumptions and Catalog'!$E$50+'Assumptions and Catalog'!$F$50,IF(L868&lt;='Assumptions and Catalog'!$C$51,L868*'Assumptions and Catalog'!$H$51+'Assumptions and Catalog'!$E$51+'Assumptions and Catalog'!$F$51,IF(L868&lt;='Assumptions and Catalog'!$C$52,L868*'Assumptions and Catalog'!$H$52+'Assumptions and Catalog'!$E$52+'Assumptions and Catalog'!$F$52,IF(L868&lt;='Assumptions and Catalog'!$C$53,L868*'Assumptions and Catalog'!$H$53+'Assumptions and Catalog'!$E$53+'Assumptions and Catalog'!$F$53,IF(L868&lt;='Assumptions and Catalog'!$C$54,L868*'Assumptions and Catalog'!$H$54+'Assumptions and Catalog'!$E$54+'Assumptions and Catalog'!$F$54,IF(L868&lt;='Assumptions and Catalog'!$C$55,L868*'Assumptions and Catalog'!$H$55+'Assumptions and Catalog'!$E$55+'Assumptions and Catalog'!$F$55,IF(L868&lt;='Assumptions and Catalog'!$C$56,L868*'Assumptions and Catalog'!$H$56+'Assumptions and Catalog'!$E$56+'Assumptions and Catalog'!$F$56,IF(L868&lt;='Assumptions and Catalog'!$C$57,L868*'Assumptions and Catalog'!$H$57+'Assumptions and Catalog'!$E$57+'Assumptions and Catalog'!$F$57,"Out of range")))))))),IF(L868&lt;='Assumptions and Catalog'!$C$60,L868*'Assumptions and Catalog'!$H$60+'Assumptions and Catalog'!$E$60+'Assumptions and Catalog'!$F$60,IF(L868&lt;='Assumptions and Catalog'!$C$61,L868*'Assumptions and Catalog'!$H$61+'Assumptions and Catalog'!$E$61+'Assumptions and Catalog'!$F$61,IF(L868&lt;='Assumptions and Catalog'!$C$62,L868*'Assumptions and Catalog'!$H$62+'Assumptions and Catalog'!$E$62+'Assumptions and Catalog'!$F$62,IF(L868&lt;='Assumptions and Catalog'!$C$63,L868*'Assumptions and Catalog'!$H$63+'Assumptions and Catalog'!$E$63+'Assumptions and Catalog'!$F$63,IF(L868&lt;='Assumptions and Catalog'!$C$64,L868*'Assumptions and Catalog'!$H$64+'Assumptions and Catalog'!$E$64+'Assumptions and Catalog'!$F$64,IF(L868&lt;='Assumptions and Catalog'!$C$65,L868*'Assumptions and Catalog'!$H$65+'Assumptions and Catalog'!$E$65+'Assumptions and Catalog'!$F$65,"Out of range")))))))))*(1+'Assumptions and Catalog'!$C$8)^(A868-1),0)</f>
        <v>2597.82694158098</v>
      </c>
      <c r="O868" s="5" t="n">
        <f>M868-N868</f>
        <v>4269.39305841902</v>
      </c>
      <c r="P868" s="5" t="n">
        <f>E$55*(1-L$14)*(1-'Assumptions and Catalog'!$C$23)^R868</f>
        <v>8.88960546044641</v>
      </c>
      <c r="Q868" s="5" t="n">
        <f>IF(ISNUMBER(Inputs!$L$5),(IF(Inputs!$L$9="Actual flat rate",((D868+E868)*C868-G868)*Inputs!$L$10,IF(Inputs!$C$9="Residential",IF(((D868+E868)*C868-G868)&lt;='Assumptions and Catalog'!$C$50,((D868+E868)*C868-G868)*'Assumptions and Catalog'!$H$50+'Assumptions and Catalog'!$E$50+'Assumptions and Catalog'!$F$50,IF(((D868+E868)*C868-G868)&lt;='Assumptions and Catalog'!$C$51,((D868+E868)*C868-G868)*'Assumptions and Catalog'!$H$51+'Assumptions and Catalog'!$E$51+'Assumptions and Catalog'!$F$51,IF(((D868+E868)*C868-G868)&lt;='Assumptions and Catalog'!$C$52,((D868+E868)*C868-G868)*'Assumptions and Catalog'!$H$52+'Assumptions and Catalog'!$E$52+'Assumptions and Catalog'!$F$52,IF(((D868+E868)*C868-G868)&lt;='Assumptions and Catalog'!$C$53,((D868+E868)*C868-G868)*'Assumptions and Catalog'!$H$53+'Assumptions and Catalog'!$E$53+'Assumptions and Catalog'!$F$53,IF(((D868+E868)*C868-G868)&lt;='Assumptions and Catalog'!$C$54,((D868+E868)*C868-G868)*'Assumptions and Catalog'!$H$54+'Assumptions and Catalog'!$E$54+'Assumptions and Catalog'!$F$54,IF(((D868+E868)*C868-G868)&lt;='Assumptions and Catalog'!$C$55,((D868+E868)*C868-G868)*'Assumptions and Catalog'!$H$55+'Assumptions and Catalog'!$E$55+'Assumptions and Catalog'!$F$55,IF(((D868+E868)*C868-G868)&lt;='Assumptions and Catalog'!$C$56,((D868+E868)*C868-G868)*'Assumptions and Catalog'!$H$56+'Assumptions and Catalog'!$E$56+'Assumptions and Catalog'!$F$56,IF(((D868+E868)*C868-G868)&lt;='Assumptions and Catalog'!$C$57,((D868+E868)*C868-G868)*'Assumptions and Catalog'!$H$57+'Assumptions and Catalog'!$E$57+'Assumptions and Catalog'!$F$57,"Out of range")))))))),IF(((D868+E868)*C868-G868)&lt;='Assumptions and Catalog'!$C$60,((D868+E868)*C868-G868)*'Assumptions and Catalog'!$H$60+'Assumptions and Catalog'!$E$60+'Assumptions and Catalog'!$F$60,IF(((D868+E868)*C868-G868)&lt;='Assumptions and Catalog'!$C$61,((D868+E868)*C868-G868)*'Assumptions and Catalog'!$H$61+'Assumptions and Catalog'!$E$61+'Assumptions and Catalog'!$F$61,IF(((D868+E868)*C868-G868)&lt;='Assumptions and Catalog'!$C$62,((D868+E868)*C868-G868)*'Assumptions and Catalog'!$H$62+'Assumptions and Catalog'!$E$62+'Assumptions and Catalog'!$F$62,IF(((D868+E868)*C868-G868)&lt;='Assumptions and Catalog'!$C$63,((D868+E868)*C868-G868)*'Assumptions and Catalog'!$H$63+'Assumptions and Catalog'!$E$63+'Assumptions and Catalog'!$F$63,IF(((D868+E868)*C868-G868)&lt;='Assumptions and Catalog'!$C$64,((D868+E868)*C868-G868)*'Assumptions and Catalog'!$H$64+'Assumptions and Catalog'!$E$64+'Assumptions and Catalog'!$F$64,IF(((D868+E868)*C868-G868)&lt;='Assumptions and Catalog'!$C$65,((D868+E868)*C868-G868)*'Assumptions and Catalog'!$H$65+'Assumptions and Catalog'!$E$65+'Assumptions and Catalog'!$F$65,"Out of range")))))))))*(1+'Assumptions and Catalog'!$C$8)^(A868-1),0)</f>
        <v>3453.61</v>
      </c>
      <c r="R868" s="5" t="n">
        <f>IF(AND('Assumptions and Catalog'!$C$19&gt;0,A868&gt;='Assumptions and Catalog'!$C$19),A868-'Assumptions and Catalog'!$C$19,A868-1)</f>
        <v>7</v>
      </c>
      <c r="S868" s="5" t="n">
        <f>F868+L868-(D868+E868)*C868-J868-K868-IF(E$52&gt;0,'Assumptions and Catalog'!$C$26*C868,0)</f>
        <v>1.70530256582424E-013</v>
      </c>
      <c r="T868" s="5"/>
      <c r="U868" s="5"/>
    </row>
    <row r="869" ht="23.100000381469727" customHeight="1">
      <c r="A869" s="5" t="n">
        <v>18</v>
      </c>
      <c r="B869" s="5" t="n">
        <v>5</v>
      </c>
      <c r="C869" s="5" t="n">
        <f>DAY(DATE('Assumptions and Catalog'!$C$24+A869-1,B869+1,0))</f>
        <v>31</v>
      </c>
      <c r="D869" s="5" t="n">
        <f>IF(ISNUMBER(Inputs!$L$5),Inputs!$L$5*Inputs!$L$6,0)</f>
        <v>40.35</v>
      </c>
      <c r="E869" s="5" t="n">
        <f>IF(ISNUMBER(Inputs!$L$5),Inputs!$L$5-D869,0)</f>
        <v>40.35</v>
      </c>
      <c r="F869" s="5" t="n">
        <f>E$51*INDEX('Solar Production'!$D$20:$D$31,B869)*C869*(1-'Assumptions and Catalog'!$C$10)^(A869-1)</f>
        <v>1643.71301303685</v>
      </c>
      <c r="G869" s="5" t="n">
        <f>MIN(F869,D869*C869)</f>
        <v>1250.85</v>
      </c>
      <c r="H869" s="5" t="n">
        <f>I869/('Assumptions and Catalog'!$C$11*'Assumptions and Catalog'!$C$12)</f>
        <v>282.643865921886</v>
      </c>
      <c r="I869" s="5" t="n">
        <f>MIN(E869*C869,P869*'Assumptions and Catalog'!$C$12*C869,(F869-G869)*'Assumptions and Catalog'!$C$11*'Assumptions and Catalog'!$C$12,E$56*'Assumptions and Catalog'!$C$14*'Assumptions and Catalog'!$C$11*'Assumptions and Catalog'!$C$12*C869,E$57*(24-'Assumptions and Catalog'!$C$13)*C869)</f>
        <v>268.688325041993</v>
      </c>
      <c r="J869" s="5" t="n">
        <f>MAX(F869-G869-H869,0)</f>
        <v>110.219147114959</v>
      </c>
      <c r="K869" s="5" t="n">
        <f>H869-I869</f>
        <v>13.9555408798931</v>
      </c>
      <c r="L869" s="5" t="n">
        <f>(D869+E869)*C869-G869-I869+0+IF(E$52&gt;0,'Assumptions and Catalog'!$C$26*C869,0)</f>
        <v>982.161674958007</v>
      </c>
      <c r="M869" s="5" t="n">
        <f>IF(ISNUMBER(Inputs!$L$5),(IF(Inputs!$L$9="Actual flat rate",((D869+E869)*C869)*Inputs!$L$10,IF(Inputs!$C$9="Residential",IF(((D869+E869)*C869)&lt;='Assumptions and Catalog'!$C$50,((D869+E869)*C869)*'Assumptions and Catalog'!$H$50+'Assumptions and Catalog'!$E$50+'Assumptions and Catalog'!$F$50,IF(((D869+E869)*C869)&lt;='Assumptions and Catalog'!$C$51,((D869+E869)*C869)*'Assumptions and Catalog'!$H$51+'Assumptions and Catalog'!$E$51+'Assumptions and Catalog'!$F$51,IF(((D869+E869)*C869)&lt;='Assumptions and Catalog'!$C$52,((D869+E869)*C869)*'Assumptions and Catalog'!$H$52+'Assumptions and Catalog'!$E$52+'Assumptions and Catalog'!$F$52,IF(((D869+E869)*C869)&lt;='Assumptions and Catalog'!$C$53,((D869+E869)*C869)*'Assumptions and Catalog'!$H$53+'Assumptions and Catalog'!$E$53+'Assumptions and Catalog'!$F$53,IF(((D869+E869)*C869)&lt;='Assumptions and Catalog'!$C$54,((D869+E869)*C869)*'Assumptions and Catalog'!$H$54+'Assumptions and Catalog'!$E$54+'Assumptions and Catalog'!$F$54,IF(((D869+E869)*C869)&lt;='Assumptions and Catalog'!$C$55,((D869+E869)*C869)*'Assumptions and Catalog'!$H$55+'Assumptions and Catalog'!$E$55+'Assumptions and Catalog'!$F$55,IF(((D869+E869)*C869)&lt;='Assumptions and Catalog'!$C$56,((D869+E869)*C869)*'Assumptions and Catalog'!$H$56+'Assumptions and Catalog'!$E$56+'Assumptions and Catalog'!$F$56,IF(((D869+E869)*C869)&lt;='Assumptions and Catalog'!$C$57,((D869+E869)*C869)*'Assumptions and Catalog'!$H$57+'Assumptions and Catalog'!$E$57+'Assumptions and Catalog'!$F$57,"Out of range")))))))),IF(((D869+E869)*C869)&lt;='Assumptions and Catalog'!$C$60,((D869+E869)*C869)*'Assumptions and Catalog'!$H$60+'Assumptions and Catalog'!$E$60+'Assumptions and Catalog'!$F$60,IF(((D869+E869)*C869)&lt;='Assumptions and Catalog'!$C$61,((D869+E869)*C869)*'Assumptions and Catalog'!$H$61+'Assumptions and Catalog'!$E$61+'Assumptions and Catalog'!$F$61,IF(((D869+E869)*C869)&lt;='Assumptions and Catalog'!$C$62,((D869+E869)*C869)*'Assumptions and Catalog'!$H$62+'Assumptions and Catalog'!$E$62+'Assumptions and Catalog'!$F$62,IF(((D869+E869)*C869)&lt;='Assumptions and Catalog'!$C$63,((D869+E869)*C869)*'Assumptions and Catalog'!$H$63+'Assumptions and Catalog'!$E$63+'Assumptions and Catalog'!$F$63,IF(((D869+E869)*C869)&lt;='Assumptions and Catalog'!$C$64,((D869+E869)*C869)*'Assumptions and Catalog'!$H$64+'Assumptions and Catalog'!$E$64+'Assumptions and Catalog'!$F$64,IF(((D869+E869)*C869)&lt;='Assumptions and Catalog'!$C$65,((D869+E869)*C869)*'Assumptions and Catalog'!$H$65+'Assumptions and Catalog'!$E$65+'Assumptions and Catalog'!$F$65,"Out of range")))))))))*(1+'Assumptions and Catalog'!$C$8)^(A869-1),0)</f>
        <v>7094.794</v>
      </c>
      <c r="N869" s="5" t="n">
        <f>IF(ISNUMBER(Inputs!$L$5),(IF(Inputs!$L$9="Actual flat rate",L869*Inputs!$L$10,IF(Inputs!$C$9="Residential",IF(L869&lt;='Assumptions and Catalog'!$C$50,L869*'Assumptions and Catalog'!$H$50+'Assumptions and Catalog'!$E$50+'Assumptions and Catalog'!$F$50,IF(L869&lt;='Assumptions and Catalog'!$C$51,L869*'Assumptions and Catalog'!$H$51+'Assumptions and Catalog'!$E$51+'Assumptions and Catalog'!$F$51,IF(L869&lt;='Assumptions and Catalog'!$C$52,L869*'Assumptions and Catalog'!$H$52+'Assumptions and Catalog'!$E$52+'Assumptions and Catalog'!$F$52,IF(L869&lt;='Assumptions and Catalog'!$C$53,L869*'Assumptions and Catalog'!$H$53+'Assumptions and Catalog'!$E$53+'Assumptions and Catalog'!$F$53,IF(L869&lt;='Assumptions and Catalog'!$C$54,L869*'Assumptions and Catalog'!$H$54+'Assumptions and Catalog'!$E$54+'Assumptions and Catalog'!$F$54,IF(L869&lt;='Assumptions and Catalog'!$C$55,L869*'Assumptions and Catalog'!$H$55+'Assumptions and Catalog'!$E$55+'Assumptions and Catalog'!$F$55,IF(L869&lt;='Assumptions and Catalog'!$C$56,L869*'Assumptions and Catalog'!$H$56+'Assumptions and Catalog'!$E$56+'Assumptions and Catalog'!$F$56,IF(L869&lt;='Assumptions and Catalog'!$C$57,L869*'Assumptions and Catalog'!$H$57+'Assumptions and Catalog'!$E$57+'Assumptions and Catalog'!$F$57,"Out of range")))))))),IF(L869&lt;='Assumptions and Catalog'!$C$60,L869*'Assumptions and Catalog'!$H$60+'Assumptions and Catalog'!$E$60+'Assumptions and Catalog'!$F$60,IF(L869&lt;='Assumptions and Catalog'!$C$61,L869*'Assumptions and Catalog'!$H$61+'Assumptions and Catalog'!$E$61+'Assumptions and Catalog'!$F$61,IF(L869&lt;='Assumptions and Catalog'!$C$62,L869*'Assumptions and Catalog'!$H$62+'Assumptions and Catalog'!$E$62+'Assumptions and Catalog'!$F$62,IF(L869&lt;='Assumptions and Catalog'!$C$63,L869*'Assumptions and Catalog'!$H$63+'Assumptions and Catalog'!$E$63+'Assumptions and Catalog'!$F$63,IF(L869&lt;='Assumptions and Catalog'!$C$64,L869*'Assumptions and Catalog'!$H$64+'Assumptions and Catalog'!$E$64+'Assumptions and Catalog'!$F$64,IF(L869&lt;='Assumptions and Catalog'!$C$65,L869*'Assumptions and Catalog'!$H$65+'Assumptions and Catalog'!$E$65+'Assumptions and Catalog'!$F$65,"Out of range")))))))))*(1+'Assumptions and Catalog'!$C$8)^(A869-1),0)</f>
        <v>2685.58783963368</v>
      </c>
      <c r="O869" s="5" t="n">
        <f>M869-N869</f>
        <v>4409.20616036632</v>
      </c>
      <c r="P869" s="5" t="n">
        <f>E$55*(1-L$14)*(1-'Assumptions and Catalog'!$C$23)^R869</f>
        <v>8.88960546044641</v>
      </c>
      <c r="Q869" s="5" t="n">
        <f>IF(ISNUMBER(Inputs!$L$5),(IF(Inputs!$L$9="Actual flat rate",((D869+E869)*C869-G869)*Inputs!$L$10,IF(Inputs!$C$9="Residential",IF(((D869+E869)*C869-G869)&lt;='Assumptions and Catalog'!$C$50,((D869+E869)*C869-G869)*'Assumptions and Catalog'!$H$50+'Assumptions and Catalog'!$E$50+'Assumptions and Catalog'!$F$50,IF(((D869+E869)*C869-G869)&lt;='Assumptions and Catalog'!$C$51,((D869+E869)*C869-G869)*'Assumptions and Catalog'!$H$51+'Assumptions and Catalog'!$E$51+'Assumptions and Catalog'!$F$51,IF(((D869+E869)*C869-G869)&lt;='Assumptions and Catalog'!$C$52,((D869+E869)*C869-G869)*'Assumptions and Catalog'!$H$52+'Assumptions and Catalog'!$E$52+'Assumptions and Catalog'!$F$52,IF(((D869+E869)*C869-G869)&lt;='Assumptions and Catalog'!$C$53,((D869+E869)*C869-G869)*'Assumptions and Catalog'!$H$53+'Assumptions and Catalog'!$E$53+'Assumptions and Catalog'!$F$53,IF(((D869+E869)*C869-G869)&lt;='Assumptions and Catalog'!$C$54,((D869+E869)*C869-G869)*'Assumptions and Catalog'!$H$54+'Assumptions and Catalog'!$E$54+'Assumptions and Catalog'!$F$54,IF(((D869+E869)*C869-G869)&lt;='Assumptions and Catalog'!$C$55,((D869+E869)*C869-G869)*'Assumptions and Catalog'!$H$55+'Assumptions and Catalog'!$E$55+'Assumptions and Catalog'!$F$55,IF(((D869+E869)*C869-G869)&lt;='Assumptions and Catalog'!$C$56,((D869+E869)*C869-G869)*'Assumptions and Catalog'!$H$56+'Assumptions and Catalog'!$E$56+'Assumptions and Catalog'!$F$56,IF(((D869+E869)*C869-G869)&lt;='Assumptions and Catalog'!$C$57,((D869+E869)*C869-G869)*'Assumptions and Catalog'!$H$57+'Assumptions and Catalog'!$E$57+'Assumptions and Catalog'!$F$57,"Out of range")))))))),IF(((D869+E869)*C869-G869)&lt;='Assumptions and Catalog'!$C$60,((D869+E869)*C869-G869)*'Assumptions and Catalog'!$H$60+'Assumptions and Catalog'!$E$60+'Assumptions and Catalog'!$F$60,IF(((D869+E869)*C869-G869)&lt;='Assumptions and Catalog'!$C$61,((D869+E869)*C869-G869)*'Assumptions and Catalog'!$H$61+'Assumptions and Catalog'!$E$61+'Assumptions and Catalog'!$F$61,IF(((D869+E869)*C869-G869)&lt;='Assumptions and Catalog'!$C$62,((D869+E869)*C869-G869)*'Assumptions and Catalog'!$H$62+'Assumptions and Catalog'!$E$62+'Assumptions and Catalog'!$F$62,IF(((D869+E869)*C869-G869)&lt;='Assumptions and Catalog'!$C$63,((D869+E869)*C869-G869)*'Assumptions and Catalog'!$H$63+'Assumptions and Catalog'!$E$63+'Assumptions and Catalog'!$F$63,IF(((D869+E869)*C869-G869)&lt;='Assumptions and Catalog'!$C$64,((D869+E869)*C869-G869)*'Assumptions and Catalog'!$H$64+'Assumptions and Catalog'!$E$64+'Assumptions and Catalog'!$F$64,IF(((D869+E869)*C869-G869)&lt;='Assumptions and Catalog'!$C$65,((D869+E869)*C869-G869)*'Assumptions and Catalog'!$H$65+'Assumptions and Catalog'!$E$65+'Assumptions and Catalog'!$F$65,"Out of range")))))))))*(1+'Assumptions and Catalog'!$C$8)^(A869-1),0)</f>
        <v>3567.397</v>
      </c>
      <c r="R869" s="5" t="n">
        <f>IF(AND('Assumptions and Catalog'!$C$19&gt;0,A869&gt;='Assumptions and Catalog'!$C$19),A869-'Assumptions and Catalog'!$C$19,A869-1)</f>
        <v>7</v>
      </c>
      <c r="S869" s="5" t="n">
        <f>F869+L869-(D869+E869)*C869-J869-K869-IF(E$52&gt;0,'Assumptions and Catalog'!$C$26*C869,0)</f>
        <v>-2.27373675443232E-013</v>
      </c>
      <c r="T869" s="5"/>
      <c r="U869" s="5"/>
    </row>
    <row r="870" ht="23.100000381469727" customHeight="1">
      <c r="A870" s="5" t="n">
        <v>18</v>
      </c>
      <c r="B870" s="5" t="n">
        <v>6</v>
      </c>
      <c r="C870" s="5" t="n">
        <f>DAY(DATE('Assumptions and Catalog'!$C$24+A870-1,B870+1,0))</f>
        <v>30</v>
      </c>
      <c r="D870" s="5" t="n">
        <f>IF(ISNUMBER(Inputs!$L$5),Inputs!$L$5*Inputs!$L$6,0)</f>
        <v>40.35</v>
      </c>
      <c r="E870" s="5" t="n">
        <f>IF(ISNUMBER(Inputs!$L$5),Inputs!$L$5-D870,0)</f>
        <v>40.35</v>
      </c>
      <c r="F870" s="5" t="n">
        <f>E$51*INDEX('Solar Production'!$D$20:$D$31,B870)*C870*(1-'Assumptions and Catalog'!$C$10)^(A870-1)</f>
        <v>1602.29694031406</v>
      </c>
      <c r="G870" s="5" t="n">
        <f>MIN(F870,D870*C870)</f>
        <v>1210.5</v>
      </c>
      <c r="H870" s="5" t="n">
        <f>I870/('Assumptions and Catalog'!$C$11*'Assumptions and Catalog'!$C$12)</f>
        <v>273.52632185989</v>
      </c>
      <c r="I870" s="5" t="n">
        <f>MIN(E870*C870,P870*'Assumptions and Catalog'!$C$12*C870,(F870-G870)*'Assumptions and Catalog'!$C$11*'Assumptions and Catalog'!$C$12,E$56*'Assumptions and Catalog'!$C$14*'Assumptions and Catalog'!$C$11*'Assumptions and Catalog'!$C$12*C870,E$57*(24-'Assumptions and Catalog'!$C$13)*C870)</f>
        <v>260.020959718058</v>
      </c>
      <c r="J870" s="5" t="n">
        <f>MAX(F870-G870-H870,0)</f>
        <v>118.270618454174</v>
      </c>
      <c r="K870" s="5" t="n">
        <f>H870-I870</f>
        <v>13.5053621418321</v>
      </c>
      <c r="L870" s="5" t="n">
        <f>(D870+E870)*C870-G870-I870+0+IF(E$52&gt;0,'Assumptions and Catalog'!$C$26*C870,0)</f>
        <v>950.479040281942</v>
      </c>
      <c r="M870" s="5" t="n">
        <f>IF(ISNUMBER(Inputs!$L$5),(IF(Inputs!$L$9="Actual flat rate",((D870+E870)*C870)*Inputs!$L$10,IF(Inputs!$C$9="Residential",IF(((D870+E870)*C870)&lt;='Assumptions and Catalog'!$C$50,((D870+E870)*C870)*'Assumptions and Catalog'!$H$50+'Assumptions and Catalog'!$E$50+'Assumptions and Catalog'!$F$50,IF(((D870+E870)*C870)&lt;='Assumptions and Catalog'!$C$51,((D870+E870)*C870)*'Assumptions and Catalog'!$H$51+'Assumptions and Catalog'!$E$51+'Assumptions and Catalog'!$F$51,IF(((D870+E870)*C870)&lt;='Assumptions and Catalog'!$C$52,((D870+E870)*C870)*'Assumptions and Catalog'!$H$52+'Assumptions and Catalog'!$E$52+'Assumptions and Catalog'!$F$52,IF(((D870+E870)*C870)&lt;='Assumptions and Catalog'!$C$53,((D870+E870)*C870)*'Assumptions and Catalog'!$H$53+'Assumptions and Catalog'!$E$53+'Assumptions and Catalog'!$F$53,IF(((D870+E870)*C870)&lt;='Assumptions and Catalog'!$C$54,((D870+E870)*C870)*'Assumptions and Catalog'!$H$54+'Assumptions and Catalog'!$E$54+'Assumptions and Catalog'!$F$54,IF(((D870+E870)*C870)&lt;='Assumptions and Catalog'!$C$55,((D870+E870)*C870)*'Assumptions and Catalog'!$H$55+'Assumptions and Catalog'!$E$55+'Assumptions and Catalog'!$F$55,IF(((D870+E870)*C870)&lt;='Assumptions and Catalog'!$C$56,((D870+E870)*C870)*'Assumptions and Catalog'!$H$56+'Assumptions and Catalog'!$E$56+'Assumptions and Catalog'!$F$56,IF(((D870+E870)*C870)&lt;='Assumptions and Catalog'!$C$57,((D870+E870)*C870)*'Assumptions and Catalog'!$H$57+'Assumptions and Catalog'!$E$57+'Assumptions and Catalog'!$F$57,"Out of range")))))))),IF(((D870+E870)*C870)&lt;='Assumptions and Catalog'!$C$60,((D870+E870)*C870)*'Assumptions and Catalog'!$H$60+'Assumptions and Catalog'!$E$60+'Assumptions and Catalog'!$F$60,IF(((D870+E870)*C870)&lt;='Assumptions and Catalog'!$C$61,((D870+E870)*C870)*'Assumptions and Catalog'!$H$61+'Assumptions and Catalog'!$E$61+'Assumptions and Catalog'!$F$61,IF(((D870+E870)*C870)&lt;='Assumptions and Catalog'!$C$62,((D870+E870)*C870)*'Assumptions and Catalog'!$H$62+'Assumptions and Catalog'!$E$62+'Assumptions and Catalog'!$F$62,IF(((D870+E870)*C870)&lt;='Assumptions and Catalog'!$C$63,((D870+E870)*C870)*'Assumptions and Catalog'!$H$63+'Assumptions and Catalog'!$E$63+'Assumptions and Catalog'!$F$63,IF(((D870+E870)*C870)&lt;='Assumptions and Catalog'!$C$64,((D870+E870)*C870)*'Assumptions and Catalog'!$H$64+'Assumptions and Catalog'!$E$64+'Assumptions and Catalog'!$F$64,IF(((D870+E870)*C870)&lt;='Assumptions and Catalog'!$C$65,((D870+E870)*C870)*'Assumptions and Catalog'!$H$65+'Assumptions and Catalog'!$E$65+'Assumptions and Catalog'!$F$65,"Out of range")))))))))*(1+'Assumptions and Catalog'!$C$8)^(A870-1),0)</f>
        <v>6867.22</v>
      </c>
      <c r="N870" s="5" t="n">
        <f>IF(ISNUMBER(Inputs!$L$5),(IF(Inputs!$L$9="Actual flat rate",L870*Inputs!$L$10,IF(Inputs!$C$9="Residential",IF(L870&lt;='Assumptions and Catalog'!$C$50,L870*'Assumptions and Catalog'!$H$50+'Assumptions and Catalog'!$E$50+'Assumptions and Catalog'!$F$50,IF(L870&lt;='Assumptions and Catalog'!$C$51,L870*'Assumptions and Catalog'!$H$51+'Assumptions and Catalog'!$E$51+'Assumptions and Catalog'!$F$51,IF(L870&lt;='Assumptions and Catalog'!$C$52,L870*'Assumptions and Catalog'!$H$52+'Assumptions and Catalog'!$E$52+'Assumptions and Catalog'!$F$52,IF(L870&lt;='Assumptions and Catalog'!$C$53,L870*'Assumptions and Catalog'!$H$53+'Assumptions and Catalog'!$E$53+'Assumptions and Catalog'!$F$53,IF(L870&lt;='Assumptions and Catalog'!$C$54,L870*'Assumptions and Catalog'!$H$54+'Assumptions and Catalog'!$E$54+'Assumptions and Catalog'!$F$54,IF(L870&lt;='Assumptions and Catalog'!$C$55,L870*'Assumptions and Catalog'!$H$55+'Assumptions and Catalog'!$E$55+'Assumptions and Catalog'!$F$55,IF(L870&lt;='Assumptions and Catalog'!$C$56,L870*'Assumptions and Catalog'!$H$56+'Assumptions and Catalog'!$E$56+'Assumptions and Catalog'!$F$56,IF(L870&lt;='Assumptions and Catalog'!$C$57,L870*'Assumptions and Catalog'!$H$57+'Assumptions and Catalog'!$E$57+'Assumptions and Catalog'!$F$57,"Out of range")))))))),IF(L870&lt;='Assumptions and Catalog'!$C$60,L870*'Assumptions and Catalog'!$H$60+'Assumptions and Catalog'!$E$60+'Assumptions and Catalog'!$F$60,IF(L870&lt;='Assumptions and Catalog'!$C$61,L870*'Assumptions and Catalog'!$H$61+'Assumptions and Catalog'!$E$61+'Assumptions and Catalog'!$F$61,IF(L870&lt;='Assumptions and Catalog'!$C$62,L870*'Assumptions and Catalog'!$H$62+'Assumptions and Catalog'!$E$62+'Assumptions and Catalog'!$F$62,IF(L870&lt;='Assumptions and Catalog'!$C$63,L870*'Assumptions and Catalog'!$H$63+'Assumptions and Catalog'!$E$63+'Assumptions and Catalog'!$F$63,IF(L870&lt;='Assumptions and Catalog'!$C$64,L870*'Assumptions and Catalog'!$H$64+'Assumptions and Catalog'!$E$64+'Assumptions and Catalog'!$F$64,IF(L870&lt;='Assumptions and Catalog'!$C$65,L870*'Assumptions and Catalog'!$H$65+'Assumptions and Catalog'!$E$65+'Assumptions and Catalog'!$F$65,"Out of range")))))))))*(1+'Assumptions and Catalog'!$C$8)^(A870-1),0)</f>
        <v>2597.82694158098</v>
      </c>
      <c r="O870" s="5" t="n">
        <f>M870-N870</f>
        <v>4269.39305841902</v>
      </c>
      <c r="P870" s="5" t="n">
        <f>E$55*(1-L$14)*(1-'Assumptions and Catalog'!$C$23)^R870</f>
        <v>8.88960546044641</v>
      </c>
      <c r="Q870" s="5" t="n">
        <f>IF(ISNUMBER(Inputs!$L$5),(IF(Inputs!$L$9="Actual flat rate",((D870+E870)*C870-G870)*Inputs!$L$10,IF(Inputs!$C$9="Residential",IF(((D870+E870)*C870-G870)&lt;='Assumptions and Catalog'!$C$50,((D870+E870)*C870-G870)*'Assumptions and Catalog'!$H$50+'Assumptions and Catalog'!$E$50+'Assumptions and Catalog'!$F$50,IF(((D870+E870)*C870-G870)&lt;='Assumptions and Catalog'!$C$51,((D870+E870)*C870-G870)*'Assumptions and Catalog'!$H$51+'Assumptions and Catalog'!$E$51+'Assumptions and Catalog'!$F$51,IF(((D870+E870)*C870-G870)&lt;='Assumptions and Catalog'!$C$52,((D870+E870)*C870-G870)*'Assumptions and Catalog'!$H$52+'Assumptions and Catalog'!$E$52+'Assumptions and Catalog'!$F$52,IF(((D870+E870)*C870-G870)&lt;='Assumptions and Catalog'!$C$53,((D870+E870)*C870-G870)*'Assumptions and Catalog'!$H$53+'Assumptions and Catalog'!$E$53+'Assumptions and Catalog'!$F$53,IF(((D870+E870)*C870-G870)&lt;='Assumptions and Catalog'!$C$54,((D870+E870)*C870-G870)*'Assumptions and Catalog'!$H$54+'Assumptions and Catalog'!$E$54+'Assumptions and Catalog'!$F$54,IF(((D870+E870)*C870-G870)&lt;='Assumptions and Catalog'!$C$55,((D870+E870)*C870-G870)*'Assumptions and Catalog'!$H$55+'Assumptions and Catalog'!$E$55+'Assumptions and Catalog'!$F$55,IF(((D870+E870)*C870-G870)&lt;='Assumptions and Catalog'!$C$56,((D870+E870)*C870-G870)*'Assumptions and Catalog'!$H$56+'Assumptions and Catalog'!$E$56+'Assumptions and Catalog'!$F$56,IF(((D870+E870)*C870-G870)&lt;='Assumptions and Catalog'!$C$57,((D870+E870)*C870-G870)*'Assumptions and Catalog'!$H$57+'Assumptions and Catalog'!$E$57+'Assumptions and Catalog'!$F$57,"Out of range")))))))),IF(((D870+E870)*C870-G870)&lt;='Assumptions and Catalog'!$C$60,((D870+E870)*C870-G870)*'Assumptions and Catalog'!$H$60+'Assumptions and Catalog'!$E$60+'Assumptions and Catalog'!$F$60,IF(((D870+E870)*C870-G870)&lt;='Assumptions and Catalog'!$C$61,((D870+E870)*C870-G870)*'Assumptions and Catalog'!$H$61+'Assumptions and Catalog'!$E$61+'Assumptions and Catalog'!$F$61,IF(((D870+E870)*C870-G870)&lt;='Assumptions and Catalog'!$C$62,((D870+E870)*C870-G870)*'Assumptions and Catalog'!$H$62+'Assumptions and Catalog'!$E$62+'Assumptions and Catalog'!$F$62,IF(((D870+E870)*C870-G870)&lt;='Assumptions and Catalog'!$C$63,((D870+E870)*C870-G870)*'Assumptions and Catalog'!$H$63+'Assumptions and Catalog'!$E$63+'Assumptions and Catalog'!$F$63,IF(((D870+E870)*C870-G870)&lt;='Assumptions and Catalog'!$C$64,((D870+E870)*C870-G870)*'Assumptions and Catalog'!$H$64+'Assumptions and Catalog'!$E$64+'Assumptions and Catalog'!$F$64,IF(((D870+E870)*C870-G870)&lt;='Assumptions and Catalog'!$C$65,((D870+E870)*C870-G870)*'Assumptions and Catalog'!$H$65+'Assumptions and Catalog'!$E$65+'Assumptions and Catalog'!$F$65,"Out of range")))))))))*(1+'Assumptions and Catalog'!$C$8)^(A870-1),0)</f>
        <v>3453.61</v>
      </c>
      <c r="R870" s="5" t="n">
        <f>IF(AND('Assumptions and Catalog'!$C$19&gt;0,A870&gt;='Assumptions and Catalog'!$C$19),A870-'Assumptions and Catalog'!$C$19,A870-1)</f>
        <v>7</v>
      </c>
      <c r="S870" s="5" t="n">
        <f>F870+L870-(D870+E870)*C870-J870-K870-IF(E$52&gt;0,'Assumptions and Catalog'!$C$26*C870,0)</f>
        <v>1.70530256582424E-013</v>
      </c>
      <c r="T870" s="5"/>
      <c r="U870" s="5"/>
    </row>
    <row r="871" ht="23.100000381469727" customHeight="1">
      <c r="A871" s="5" t="n">
        <v>18</v>
      </c>
      <c r="B871" s="5" t="n">
        <v>7</v>
      </c>
      <c r="C871" s="5" t="n">
        <f>DAY(DATE('Assumptions and Catalog'!$C$24+A871-1,B871+1,0))</f>
        <v>31</v>
      </c>
      <c r="D871" s="5" t="n">
        <f>IF(ISNUMBER(Inputs!$L$5),Inputs!$L$5*Inputs!$L$6,0)</f>
        <v>40.35</v>
      </c>
      <c r="E871" s="5" t="n">
        <f>IF(ISNUMBER(Inputs!$L$5),Inputs!$L$5-D871,0)</f>
        <v>40.35</v>
      </c>
      <c r="F871" s="5" t="n">
        <f>E$51*INDEX('Solar Production'!$D$20:$D$31,B871)*C871*(1-'Assumptions and Catalog'!$C$10)^(A871-1)</f>
        <v>1663.30988647153</v>
      </c>
      <c r="G871" s="5" t="n">
        <f>MIN(F871,D871*C871)</f>
        <v>1250.85</v>
      </c>
      <c r="H871" s="5" t="n">
        <f>I871/('Assumptions and Catalog'!$C$11*'Assumptions and Catalog'!$C$12)</f>
        <v>282.643865921886</v>
      </c>
      <c r="I871" s="5" t="n">
        <f>MIN(E871*C871,P871*'Assumptions and Catalog'!$C$12*C871,(F871-G871)*'Assumptions and Catalog'!$C$11*'Assumptions and Catalog'!$C$12,E$56*'Assumptions and Catalog'!$C$14*'Assumptions and Catalog'!$C$11*'Assumptions and Catalog'!$C$12*C871,E$57*(24-'Assumptions and Catalog'!$C$13)*C871)</f>
        <v>268.688325041993</v>
      </c>
      <c r="J871" s="5" t="n">
        <f>MAX(F871-G871-H871,0)</f>
        <v>129.816020549641</v>
      </c>
      <c r="K871" s="5" t="n">
        <f>H871-I871</f>
        <v>13.9555408798931</v>
      </c>
      <c r="L871" s="5" t="n">
        <f>(D871+E871)*C871-G871-I871+0+IF(E$52&gt;0,'Assumptions and Catalog'!$C$26*C871,0)</f>
        <v>982.161674958007</v>
      </c>
      <c r="M871" s="5" t="n">
        <f>IF(ISNUMBER(Inputs!$L$5),(IF(Inputs!$L$9="Actual flat rate",((D871+E871)*C871)*Inputs!$L$10,IF(Inputs!$C$9="Residential",IF(((D871+E871)*C871)&lt;='Assumptions and Catalog'!$C$50,((D871+E871)*C871)*'Assumptions and Catalog'!$H$50+'Assumptions and Catalog'!$E$50+'Assumptions and Catalog'!$F$50,IF(((D871+E871)*C871)&lt;='Assumptions and Catalog'!$C$51,((D871+E871)*C871)*'Assumptions and Catalog'!$H$51+'Assumptions and Catalog'!$E$51+'Assumptions and Catalog'!$F$51,IF(((D871+E871)*C871)&lt;='Assumptions and Catalog'!$C$52,((D871+E871)*C871)*'Assumptions and Catalog'!$H$52+'Assumptions and Catalog'!$E$52+'Assumptions and Catalog'!$F$52,IF(((D871+E871)*C871)&lt;='Assumptions and Catalog'!$C$53,((D871+E871)*C871)*'Assumptions and Catalog'!$H$53+'Assumptions and Catalog'!$E$53+'Assumptions and Catalog'!$F$53,IF(((D871+E871)*C871)&lt;='Assumptions and Catalog'!$C$54,((D871+E871)*C871)*'Assumptions and Catalog'!$H$54+'Assumptions and Catalog'!$E$54+'Assumptions and Catalog'!$F$54,IF(((D871+E871)*C871)&lt;='Assumptions and Catalog'!$C$55,((D871+E871)*C871)*'Assumptions and Catalog'!$H$55+'Assumptions and Catalog'!$E$55+'Assumptions and Catalog'!$F$55,IF(((D871+E871)*C871)&lt;='Assumptions and Catalog'!$C$56,((D871+E871)*C871)*'Assumptions and Catalog'!$H$56+'Assumptions and Catalog'!$E$56+'Assumptions and Catalog'!$F$56,IF(((D871+E871)*C871)&lt;='Assumptions and Catalog'!$C$57,((D871+E871)*C871)*'Assumptions and Catalog'!$H$57+'Assumptions and Catalog'!$E$57+'Assumptions and Catalog'!$F$57,"Out of range")))))))),IF(((D871+E871)*C871)&lt;='Assumptions and Catalog'!$C$60,((D871+E871)*C871)*'Assumptions and Catalog'!$H$60+'Assumptions and Catalog'!$E$60+'Assumptions and Catalog'!$F$60,IF(((D871+E871)*C871)&lt;='Assumptions and Catalog'!$C$61,((D871+E871)*C871)*'Assumptions and Catalog'!$H$61+'Assumptions and Catalog'!$E$61+'Assumptions and Catalog'!$F$61,IF(((D871+E871)*C871)&lt;='Assumptions and Catalog'!$C$62,((D871+E871)*C871)*'Assumptions and Catalog'!$H$62+'Assumptions and Catalog'!$E$62+'Assumptions and Catalog'!$F$62,IF(((D871+E871)*C871)&lt;='Assumptions and Catalog'!$C$63,((D871+E871)*C871)*'Assumptions and Catalog'!$H$63+'Assumptions and Catalog'!$E$63+'Assumptions and Catalog'!$F$63,IF(((D871+E871)*C871)&lt;='Assumptions and Catalog'!$C$64,((D871+E871)*C871)*'Assumptions and Catalog'!$H$64+'Assumptions and Catalog'!$E$64+'Assumptions and Catalog'!$F$64,IF(((D871+E871)*C871)&lt;='Assumptions and Catalog'!$C$65,((D871+E871)*C871)*'Assumptions and Catalog'!$H$65+'Assumptions and Catalog'!$E$65+'Assumptions and Catalog'!$F$65,"Out of range")))))))))*(1+'Assumptions and Catalog'!$C$8)^(A871-1),0)</f>
        <v>7094.794</v>
      </c>
      <c r="N871" s="5" t="n">
        <f>IF(ISNUMBER(Inputs!$L$5),(IF(Inputs!$L$9="Actual flat rate",L871*Inputs!$L$10,IF(Inputs!$C$9="Residential",IF(L871&lt;='Assumptions and Catalog'!$C$50,L871*'Assumptions and Catalog'!$H$50+'Assumptions and Catalog'!$E$50+'Assumptions and Catalog'!$F$50,IF(L871&lt;='Assumptions and Catalog'!$C$51,L871*'Assumptions and Catalog'!$H$51+'Assumptions and Catalog'!$E$51+'Assumptions and Catalog'!$F$51,IF(L871&lt;='Assumptions and Catalog'!$C$52,L871*'Assumptions and Catalog'!$H$52+'Assumptions and Catalog'!$E$52+'Assumptions and Catalog'!$F$52,IF(L871&lt;='Assumptions and Catalog'!$C$53,L871*'Assumptions and Catalog'!$H$53+'Assumptions and Catalog'!$E$53+'Assumptions and Catalog'!$F$53,IF(L871&lt;='Assumptions and Catalog'!$C$54,L871*'Assumptions and Catalog'!$H$54+'Assumptions and Catalog'!$E$54+'Assumptions and Catalog'!$F$54,IF(L871&lt;='Assumptions and Catalog'!$C$55,L871*'Assumptions and Catalog'!$H$55+'Assumptions and Catalog'!$E$55+'Assumptions and Catalog'!$F$55,IF(L871&lt;='Assumptions and Catalog'!$C$56,L871*'Assumptions and Catalog'!$H$56+'Assumptions and Catalog'!$E$56+'Assumptions and Catalog'!$F$56,IF(L871&lt;='Assumptions and Catalog'!$C$57,L871*'Assumptions and Catalog'!$H$57+'Assumptions and Catalog'!$E$57+'Assumptions and Catalog'!$F$57,"Out of range")))))))),IF(L871&lt;='Assumptions and Catalog'!$C$60,L871*'Assumptions and Catalog'!$H$60+'Assumptions and Catalog'!$E$60+'Assumptions and Catalog'!$F$60,IF(L871&lt;='Assumptions and Catalog'!$C$61,L871*'Assumptions and Catalog'!$H$61+'Assumptions and Catalog'!$E$61+'Assumptions and Catalog'!$F$61,IF(L871&lt;='Assumptions and Catalog'!$C$62,L871*'Assumptions and Catalog'!$H$62+'Assumptions and Catalog'!$E$62+'Assumptions and Catalog'!$F$62,IF(L871&lt;='Assumptions and Catalog'!$C$63,L871*'Assumptions and Catalog'!$H$63+'Assumptions and Catalog'!$E$63+'Assumptions and Catalog'!$F$63,IF(L871&lt;='Assumptions and Catalog'!$C$64,L871*'Assumptions and Catalog'!$H$64+'Assumptions and Catalog'!$E$64+'Assumptions and Catalog'!$F$64,IF(L871&lt;='Assumptions and Catalog'!$C$65,L871*'Assumptions and Catalog'!$H$65+'Assumptions and Catalog'!$E$65+'Assumptions and Catalog'!$F$65,"Out of range")))))))))*(1+'Assumptions and Catalog'!$C$8)^(A871-1),0)</f>
        <v>2685.58783963368</v>
      </c>
      <c r="O871" s="5" t="n">
        <f>M871-N871</f>
        <v>4409.20616036632</v>
      </c>
      <c r="P871" s="5" t="n">
        <f>E$55*(1-L$14)*(1-'Assumptions and Catalog'!$C$23)^R871</f>
        <v>8.88960546044641</v>
      </c>
      <c r="Q871" s="5" t="n">
        <f>IF(ISNUMBER(Inputs!$L$5),(IF(Inputs!$L$9="Actual flat rate",((D871+E871)*C871-G871)*Inputs!$L$10,IF(Inputs!$C$9="Residential",IF(((D871+E871)*C871-G871)&lt;='Assumptions and Catalog'!$C$50,((D871+E871)*C871-G871)*'Assumptions and Catalog'!$H$50+'Assumptions and Catalog'!$E$50+'Assumptions and Catalog'!$F$50,IF(((D871+E871)*C871-G871)&lt;='Assumptions and Catalog'!$C$51,((D871+E871)*C871-G871)*'Assumptions and Catalog'!$H$51+'Assumptions and Catalog'!$E$51+'Assumptions and Catalog'!$F$51,IF(((D871+E871)*C871-G871)&lt;='Assumptions and Catalog'!$C$52,((D871+E871)*C871-G871)*'Assumptions and Catalog'!$H$52+'Assumptions and Catalog'!$E$52+'Assumptions and Catalog'!$F$52,IF(((D871+E871)*C871-G871)&lt;='Assumptions and Catalog'!$C$53,((D871+E871)*C871-G871)*'Assumptions and Catalog'!$H$53+'Assumptions and Catalog'!$E$53+'Assumptions and Catalog'!$F$53,IF(((D871+E871)*C871-G871)&lt;='Assumptions and Catalog'!$C$54,((D871+E871)*C871-G871)*'Assumptions and Catalog'!$H$54+'Assumptions and Catalog'!$E$54+'Assumptions and Catalog'!$F$54,IF(((D871+E871)*C871-G871)&lt;='Assumptions and Catalog'!$C$55,((D871+E871)*C871-G871)*'Assumptions and Catalog'!$H$55+'Assumptions and Catalog'!$E$55+'Assumptions and Catalog'!$F$55,IF(((D871+E871)*C871-G871)&lt;='Assumptions and Catalog'!$C$56,((D871+E871)*C871-G871)*'Assumptions and Catalog'!$H$56+'Assumptions and Catalog'!$E$56+'Assumptions and Catalog'!$F$56,IF(((D871+E871)*C871-G871)&lt;='Assumptions and Catalog'!$C$57,((D871+E871)*C871-G871)*'Assumptions and Catalog'!$H$57+'Assumptions and Catalog'!$E$57+'Assumptions and Catalog'!$F$57,"Out of range")))))))),IF(((D871+E871)*C871-G871)&lt;='Assumptions and Catalog'!$C$60,((D871+E871)*C871-G871)*'Assumptions and Catalog'!$H$60+'Assumptions and Catalog'!$E$60+'Assumptions and Catalog'!$F$60,IF(((D871+E871)*C871-G871)&lt;='Assumptions and Catalog'!$C$61,((D871+E871)*C871-G871)*'Assumptions and Catalog'!$H$61+'Assumptions and Catalog'!$E$61+'Assumptions and Catalog'!$F$61,IF(((D871+E871)*C871-G871)&lt;='Assumptions and Catalog'!$C$62,((D871+E871)*C871-G871)*'Assumptions and Catalog'!$H$62+'Assumptions and Catalog'!$E$62+'Assumptions and Catalog'!$F$62,IF(((D871+E871)*C871-G871)&lt;='Assumptions and Catalog'!$C$63,((D871+E871)*C871-G871)*'Assumptions and Catalog'!$H$63+'Assumptions and Catalog'!$E$63+'Assumptions and Catalog'!$F$63,IF(((D871+E871)*C871-G871)&lt;='Assumptions and Catalog'!$C$64,((D871+E871)*C871-G871)*'Assumptions and Catalog'!$H$64+'Assumptions and Catalog'!$E$64+'Assumptions and Catalog'!$F$64,IF(((D871+E871)*C871-G871)&lt;='Assumptions and Catalog'!$C$65,((D871+E871)*C871-G871)*'Assumptions and Catalog'!$H$65+'Assumptions and Catalog'!$E$65+'Assumptions and Catalog'!$F$65,"Out of range")))))))))*(1+'Assumptions and Catalog'!$C$8)^(A871-1),0)</f>
        <v>3567.397</v>
      </c>
      <c r="R871" s="5" t="n">
        <f>IF(AND('Assumptions and Catalog'!$C$19&gt;0,A871&gt;='Assumptions and Catalog'!$C$19),A871-'Assumptions and Catalog'!$C$19,A871-1)</f>
        <v>7</v>
      </c>
      <c r="S871" s="5" t="n">
        <f>F871+L871-(D871+E871)*C871-J871-K871-IF(E$52&gt;0,'Assumptions and Catalog'!$C$26*C871,0)</f>
        <v>2.27373675443232E-013</v>
      </c>
      <c r="T871" s="5"/>
      <c r="U871" s="5"/>
    </row>
    <row r="872" ht="23.100000381469727" customHeight="1">
      <c r="A872" s="5" t="n">
        <v>18</v>
      </c>
      <c r="B872" s="5" t="n">
        <v>8</v>
      </c>
      <c r="C872" s="5" t="n">
        <f>DAY(DATE('Assumptions and Catalog'!$C$24+A872-1,B872+1,0))</f>
        <v>31</v>
      </c>
      <c r="D872" s="5" t="n">
        <f>IF(ISNUMBER(Inputs!$L$5),Inputs!$L$5*Inputs!$L$6,0)</f>
        <v>40.35</v>
      </c>
      <c r="E872" s="5" t="n">
        <f>IF(ISNUMBER(Inputs!$L$5),Inputs!$L$5-D872,0)</f>
        <v>40.35</v>
      </c>
      <c r="F872" s="5" t="n">
        <f>E$51*INDEX('Solar Production'!$D$20:$D$31,B872)*C872*(1-'Assumptions and Catalog'!$C$10)^(A872-1)</f>
        <v>1684.92705613659</v>
      </c>
      <c r="G872" s="5" t="n">
        <f>MIN(F872,D872*C872)</f>
        <v>1250.85</v>
      </c>
      <c r="H872" s="5" t="n">
        <f>I872/('Assumptions and Catalog'!$C$11*'Assumptions and Catalog'!$C$12)</f>
        <v>282.643865921886</v>
      </c>
      <c r="I872" s="5" t="n">
        <f>MIN(E872*C872,P872*'Assumptions and Catalog'!$C$12*C872,(F872-G872)*'Assumptions and Catalog'!$C$11*'Assumptions and Catalog'!$C$12,E$56*'Assumptions and Catalog'!$C$14*'Assumptions and Catalog'!$C$11*'Assumptions and Catalog'!$C$12*C872,E$57*(24-'Assumptions and Catalog'!$C$13)*C872)</f>
        <v>268.688325041993</v>
      </c>
      <c r="J872" s="5" t="n">
        <f>MAX(F872-G872-H872,0)</f>
        <v>151.433190214703</v>
      </c>
      <c r="K872" s="5" t="n">
        <f>H872-I872</f>
        <v>13.9555408798931</v>
      </c>
      <c r="L872" s="5" t="n">
        <f>(D872+E872)*C872-G872-I872+0+IF(E$52&gt;0,'Assumptions and Catalog'!$C$26*C872,0)</f>
        <v>982.161674958007</v>
      </c>
      <c r="M872" s="5" t="n">
        <f>IF(ISNUMBER(Inputs!$L$5),(IF(Inputs!$L$9="Actual flat rate",((D872+E872)*C872)*Inputs!$L$10,IF(Inputs!$C$9="Residential",IF(((D872+E872)*C872)&lt;='Assumptions and Catalog'!$C$50,((D872+E872)*C872)*'Assumptions and Catalog'!$H$50+'Assumptions and Catalog'!$E$50+'Assumptions and Catalog'!$F$50,IF(((D872+E872)*C872)&lt;='Assumptions and Catalog'!$C$51,((D872+E872)*C872)*'Assumptions and Catalog'!$H$51+'Assumptions and Catalog'!$E$51+'Assumptions and Catalog'!$F$51,IF(((D872+E872)*C872)&lt;='Assumptions and Catalog'!$C$52,((D872+E872)*C872)*'Assumptions and Catalog'!$H$52+'Assumptions and Catalog'!$E$52+'Assumptions and Catalog'!$F$52,IF(((D872+E872)*C872)&lt;='Assumptions and Catalog'!$C$53,((D872+E872)*C872)*'Assumptions and Catalog'!$H$53+'Assumptions and Catalog'!$E$53+'Assumptions and Catalog'!$F$53,IF(((D872+E872)*C872)&lt;='Assumptions and Catalog'!$C$54,((D872+E872)*C872)*'Assumptions and Catalog'!$H$54+'Assumptions and Catalog'!$E$54+'Assumptions and Catalog'!$F$54,IF(((D872+E872)*C872)&lt;='Assumptions and Catalog'!$C$55,((D872+E872)*C872)*'Assumptions and Catalog'!$H$55+'Assumptions and Catalog'!$E$55+'Assumptions and Catalog'!$F$55,IF(((D872+E872)*C872)&lt;='Assumptions and Catalog'!$C$56,((D872+E872)*C872)*'Assumptions and Catalog'!$H$56+'Assumptions and Catalog'!$E$56+'Assumptions and Catalog'!$F$56,IF(((D872+E872)*C872)&lt;='Assumptions and Catalog'!$C$57,((D872+E872)*C872)*'Assumptions and Catalog'!$H$57+'Assumptions and Catalog'!$E$57+'Assumptions and Catalog'!$F$57,"Out of range")))))))),IF(((D872+E872)*C872)&lt;='Assumptions and Catalog'!$C$60,((D872+E872)*C872)*'Assumptions and Catalog'!$H$60+'Assumptions and Catalog'!$E$60+'Assumptions and Catalog'!$F$60,IF(((D872+E872)*C872)&lt;='Assumptions and Catalog'!$C$61,((D872+E872)*C872)*'Assumptions and Catalog'!$H$61+'Assumptions and Catalog'!$E$61+'Assumptions and Catalog'!$F$61,IF(((D872+E872)*C872)&lt;='Assumptions and Catalog'!$C$62,((D872+E872)*C872)*'Assumptions and Catalog'!$H$62+'Assumptions and Catalog'!$E$62+'Assumptions and Catalog'!$F$62,IF(((D872+E872)*C872)&lt;='Assumptions and Catalog'!$C$63,((D872+E872)*C872)*'Assumptions and Catalog'!$H$63+'Assumptions and Catalog'!$E$63+'Assumptions and Catalog'!$F$63,IF(((D872+E872)*C872)&lt;='Assumptions and Catalog'!$C$64,((D872+E872)*C872)*'Assumptions and Catalog'!$H$64+'Assumptions and Catalog'!$E$64+'Assumptions and Catalog'!$F$64,IF(((D872+E872)*C872)&lt;='Assumptions and Catalog'!$C$65,((D872+E872)*C872)*'Assumptions and Catalog'!$H$65+'Assumptions and Catalog'!$E$65+'Assumptions and Catalog'!$F$65,"Out of range")))))))))*(1+'Assumptions and Catalog'!$C$8)^(A872-1),0)</f>
        <v>7094.794</v>
      </c>
      <c r="N872" s="5" t="n">
        <f>IF(ISNUMBER(Inputs!$L$5),(IF(Inputs!$L$9="Actual flat rate",L872*Inputs!$L$10,IF(Inputs!$C$9="Residential",IF(L872&lt;='Assumptions and Catalog'!$C$50,L872*'Assumptions and Catalog'!$H$50+'Assumptions and Catalog'!$E$50+'Assumptions and Catalog'!$F$50,IF(L872&lt;='Assumptions and Catalog'!$C$51,L872*'Assumptions and Catalog'!$H$51+'Assumptions and Catalog'!$E$51+'Assumptions and Catalog'!$F$51,IF(L872&lt;='Assumptions and Catalog'!$C$52,L872*'Assumptions and Catalog'!$H$52+'Assumptions and Catalog'!$E$52+'Assumptions and Catalog'!$F$52,IF(L872&lt;='Assumptions and Catalog'!$C$53,L872*'Assumptions and Catalog'!$H$53+'Assumptions and Catalog'!$E$53+'Assumptions and Catalog'!$F$53,IF(L872&lt;='Assumptions and Catalog'!$C$54,L872*'Assumptions and Catalog'!$H$54+'Assumptions and Catalog'!$E$54+'Assumptions and Catalog'!$F$54,IF(L872&lt;='Assumptions and Catalog'!$C$55,L872*'Assumptions and Catalog'!$H$55+'Assumptions and Catalog'!$E$55+'Assumptions and Catalog'!$F$55,IF(L872&lt;='Assumptions and Catalog'!$C$56,L872*'Assumptions and Catalog'!$H$56+'Assumptions and Catalog'!$E$56+'Assumptions and Catalog'!$F$56,IF(L872&lt;='Assumptions and Catalog'!$C$57,L872*'Assumptions and Catalog'!$H$57+'Assumptions and Catalog'!$E$57+'Assumptions and Catalog'!$F$57,"Out of range")))))))),IF(L872&lt;='Assumptions and Catalog'!$C$60,L872*'Assumptions and Catalog'!$H$60+'Assumptions and Catalog'!$E$60+'Assumptions and Catalog'!$F$60,IF(L872&lt;='Assumptions and Catalog'!$C$61,L872*'Assumptions and Catalog'!$H$61+'Assumptions and Catalog'!$E$61+'Assumptions and Catalog'!$F$61,IF(L872&lt;='Assumptions and Catalog'!$C$62,L872*'Assumptions and Catalog'!$H$62+'Assumptions and Catalog'!$E$62+'Assumptions and Catalog'!$F$62,IF(L872&lt;='Assumptions and Catalog'!$C$63,L872*'Assumptions and Catalog'!$H$63+'Assumptions and Catalog'!$E$63+'Assumptions and Catalog'!$F$63,IF(L872&lt;='Assumptions and Catalog'!$C$64,L872*'Assumptions and Catalog'!$H$64+'Assumptions and Catalog'!$E$64+'Assumptions and Catalog'!$F$64,IF(L872&lt;='Assumptions and Catalog'!$C$65,L872*'Assumptions and Catalog'!$H$65+'Assumptions and Catalog'!$E$65+'Assumptions and Catalog'!$F$65,"Out of range")))))))))*(1+'Assumptions and Catalog'!$C$8)^(A872-1),0)</f>
        <v>2685.58783963368</v>
      </c>
      <c r="O872" s="5" t="n">
        <f>M872-N872</f>
        <v>4409.20616036632</v>
      </c>
      <c r="P872" s="5" t="n">
        <f>E$55*(1-L$14)*(1-'Assumptions and Catalog'!$C$23)^R872</f>
        <v>8.88960546044641</v>
      </c>
      <c r="Q872" s="5" t="n">
        <f>IF(ISNUMBER(Inputs!$L$5),(IF(Inputs!$L$9="Actual flat rate",((D872+E872)*C872-G872)*Inputs!$L$10,IF(Inputs!$C$9="Residential",IF(((D872+E872)*C872-G872)&lt;='Assumptions and Catalog'!$C$50,((D872+E872)*C872-G872)*'Assumptions and Catalog'!$H$50+'Assumptions and Catalog'!$E$50+'Assumptions and Catalog'!$F$50,IF(((D872+E872)*C872-G872)&lt;='Assumptions and Catalog'!$C$51,((D872+E872)*C872-G872)*'Assumptions and Catalog'!$H$51+'Assumptions and Catalog'!$E$51+'Assumptions and Catalog'!$F$51,IF(((D872+E872)*C872-G872)&lt;='Assumptions and Catalog'!$C$52,((D872+E872)*C872-G872)*'Assumptions and Catalog'!$H$52+'Assumptions and Catalog'!$E$52+'Assumptions and Catalog'!$F$52,IF(((D872+E872)*C872-G872)&lt;='Assumptions and Catalog'!$C$53,((D872+E872)*C872-G872)*'Assumptions and Catalog'!$H$53+'Assumptions and Catalog'!$E$53+'Assumptions and Catalog'!$F$53,IF(((D872+E872)*C872-G872)&lt;='Assumptions and Catalog'!$C$54,((D872+E872)*C872-G872)*'Assumptions and Catalog'!$H$54+'Assumptions and Catalog'!$E$54+'Assumptions and Catalog'!$F$54,IF(((D872+E872)*C872-G872)&lt;='Assumptions and Catalog'!$C$55,((D872+E872)*C872-G872)*'Assumptions and Catalog'!$H$55+'Assumptions and Catalog'!$E$55+'Assumptions and Catalog'!$F$55,IF(((D872+E872)*C872-G872)&lt;='Assumptions and Catalog'!$C$56,((D872+E872)*C872-G872)*'Assumptions and Catalog'!$H$56+'Assumptions and Catalog'!$E$56+'Assumptions and Catalog'!$F$56,IF(((D872+E872)*C872-G872)&lt;='Assumptions and Catalog'!$C$57,((D872+E872)*C872-G872)*'Assumptions and Catalog'!$H$57+'Assumptions and Catalog'!$E$57+'Assumptions and Catalog'!$F$57,"Out of range")))))))),IF(((D872+E872)*C872-G872)&lt;='Assumptions and Catalog'!$C$60,((D872+E872)*C872-G872)*'Assumptions and Catalog'!$H$60+'Assumptions and Catalog'!$E$60+'Assumptions and Catalog'!$F$60,IF(((D872+E872)*C872-G872)&lt;='Assumptions and Catalog'!$C$61,((D872+E872)*C872-G872)*'Assumptions and Catalog'!$H$61+'Assumptions and Catalog'!$E$61+'Assumptions and Catalog'!$F$61,IF(((D872+E872)*C872-G872)&lt;='Assumptions and Catalog'!$C$62,((D872+E872)*C872-G872)*'Assumptions and Catalog'!$H$62+'Assumptions and Catalog'!$E$62+'Assumptions and Catalog'!$F$62,IF(((D872+E872)*C872-G872)&lt;='Assumptions and Catalog'!$C$63,((D872+E872)*C872-G872)*'Assumptions and Catalog'!$H$63+'Assumptions and Catalog'!$E$63+'Assumptions and Catalog'!$F$63,IF(((D872+E872)*C872-G872)&lt;='Assumptions and Catalog'!$C$64,((D872+E872)*C872-G872)*'Assumptions and Catalog'!$H$64+'Assumptions and Catalog'!$E$64+'Assumptions and Catalog'!$F$64,IF(((D872+E872)*C872-G872)&lt;='Assumptions and Catalog'!$C$65,((D872+E872)*C872-G872)*'Assumptions and Catalog'!$H$65+'Assumptions and Catalog'!$E$65+'Assumptions and Catalog'!$F$65,"Out of range")))))))))*(1+'Assumptions and Catalog'!$C$8)^(A872-1),0)</f>
        <v>3567.397</v>
      </c>
      <c r="R872" s="5" t="n">
        <f>IF(AND('Assumptions and Catalog'!$C$19&gt;0,A872&gt;='Assumptions and Catalog'!$C$19),A872-'Assumptions and Catalog'!$C$19,A872-1)</f>
        <v>7</v>
      </c>
      <c r="S872" s="5" t="n">
        <f>F872+L872-(D872+E872)*C872-J872-K872-IF(E$52&gt;0,'Assumptions and Catalog'!$C$26*C872,0)</f>
        <v>2.27373675443232E-013</v>
      </c>
      <c r="T872" s="5"/>
      <c r="U872" s="5"/>
    </row>
    <row r="873" ht="23.100000381469727" customHeight="1">
      <c r="A873" s="5" t="n">
        <v>18</v>
      </c>
      <c r="B873" s="5" t="n">
        <v>9</v>
      </c>
      <c r="C873" s="5" t="n">
        <f>DAY(DATE('Assumptions and Catalog'!$C$24+A873-1,B873+1,0))</f>
        <v>30</v>
      </c>
      <c r="D873" s="5" t="n">
        <f>IF(ISNUMBER(Inputs!$L$5),Inputs!$L$5*Inputs!$L$6,0)</f>
        <v>40.35</v>
      </c>
      <c r="E873" s="5" t="n">
        <f>IF(ISNUMBER(Inputs!$L$5),Inputs!$L$5-D873,0)</f>
        <v>40.35</v>
      </c>
      <c r="F873" s="5" t="n">
        <f>E$51*INDEX('Solar Production'!$D$20:$D$31,B873)*C873*(1-'Assumptions and Catalog'!$C$10)^(A873-1)</f>
        <v>1626.33846545558</v>
      </c>
      <c r="G873" s="5" t="n">
        <f>MIN(F873,D873*C873)</f>
        <v>1210.5</v>
      </c>
      <c r="H873" s="5" t="n">
        <f>I873/('Assumptions and Catalog'!$C$11*'Assumptions and Catalog'!$C$12)</f>
        <v>273.52632185989</v>
      </c>
      <c r="I873" s="5" t="n">
        <f>MIN(E873*C873,P873*'Assumptions and Catalog'!$C$12*C873,(F873-G873)*'Assumptions and Catalog'!$C$11*'Assumptions and Catalog'!$C$12,E$56*'Assumptions and Catalog'!$C$14*'Assumptions and Catalog'!$C$11*'Assumptions and Catalog'!$C$12*C873,E$57*(24-'Assumptions and Catalog'!$C$13)*C873)</f>
        <v>260.020959718058</v>
      </c>
      <c r="J873" s="5" t="n">
        <f>MAX(F873-G873-H873,0)</f>
        <v>142.312143595691</v>
      </c>
      <c r="K873" s="5" t="n">
        <f>H873-I873</f>
        <v>13.5053621418321</v>
      </c>
      <c r="L873" s="5" t="n">
        <f>(D873+E873)*C873-G873-I873+0+IF(E$52&gt;0,'Assumptions and Catalog'!$C$26*C873,0)</f>
        <v>950.479040281942</v>
      </c>
      <c r="M873" s="5" t="n">
        <f>IF(ISNUMBER(Inputs!$L$5),(IF(Inputs!$L$9="Actual flat rate",((D873+E873)*C873)*Inputs!$L$10,IF(Inputs!$C$9="Residential",IF(((D873+E873)*C873)&lt;='Assumptions and Catalog'!$C$50,((D873+E873)*C873)*'Assumptions and Catalog'!$H$50+'Assumptions and Catalog'!$E$50+'Assumptions and Catalog'!$F$50,IF(((D873+E873)*C873)&lt;='Assumptions and Catalog'!$C$51,((D873+E873)*C873)*'Assumptions and Catalog'!$H$51+'Assumptions and Catalog'!$E$51+'Assumptions and Catalog'!$F$51,IF(((D873+E873)*C873)&lt;='Assumptions and Catalog'!$C$52,((D873+E873)*C873)*'Assumptions and Catalog'!$H$52+'Assumptions and Catalog'!$E$52+'Assumptions and Catalog'!$F$52,IF(((D873+E873)*C873)&lt;='Assumptions and Catalog'!$C$53,((D873+E873)*C873)*'Assumptions and Catalog'!$H$53+'Assumptions and Catalog'!$E$53+'Assumptions and Catalog'!$F$53,IF(((D873+E873)*C873)&lt;='Assumptions and Catalog'!$C$54,((D873+E873)*C873)*'Assumptions and Catalog'!$H$54+'Assumptions and Catalog'!$E$54+'Assumptions and Catalog'!$F$54,IF(((D873+E873)*C873)&lt;='Assumptions and Catalog'!$C$55,((D873+E873)*C873)*'Assumptions and Catalog'!$H$55+'Assumptions and Catalog'!$E$55+'Assumptions and Catalog'!$F$55,IF(((D873+E873)*C873)&lt;='Assumptions and Catalog'!$C$56,((D873+E873)*C873)*'Assumptions and Catalog'!$H$56+'Assumptions and Catalog'!$E$56+'Assumptions and Catalog'!$F$56,IF(((D873+E873)*C873)&lt;='Assumptions and Catalog'!$C$57,((D873+E873)*C873)*'Assumptions and Catalog'!$H$57+'Assumptions and Catalog'!$E$57+'Assumptions and Catalog'!$F$57,"Out of range")))))))),IF(((D873+E873)*C873)&lt;='Assumptions and Catalog'!$C$60,((D873+E873)*C873)*'Assumptions and Catalog'!$H$60+'Assumptions and Catalog'!$E$60+'Assumptions and Catalog'!$F$60,IF(((D873+E873)*C873)&lt;='Assumptions and Catalog'!$C$61,((D873+E873)*C873)*'Assumptions and Catalog'!$H$61+'Assumptions and Catalog'!$E$61+'Assumptions and Catalog'!$F$61,IF(((D873+E873)*C873)&lt;='Assumptions and Catalog'!$C$62,((D873+E873)*C873)*'Assumptions and Catalog'!$H$62+'Assumptions and Catalog'!$E$62+'Assumptions and Catalog'!$F$62,IF(((D873+E873)*C873)&lt;='Assumptions and Catalog'!$C$63,((D873+E873)*C873)*'Assumptions and Catalog'!$H$63+'Assumptions and Catalog'!$E$63+'Assumptions and Catalog'!$F$63,IF(((D873+E873)*C873)&lt;='Assumptions and Catalog'!$C$64,((D873+E873)*C873)*'Assumptions and Catalog'!$H$64+'Assumptions and Catalog'!$E$64+'Assumptions and Catalog'!$F$64,IF(((D873+E873)*C873)&lt;='Assumptions and Catalog'!$C$65,((D873+E873)*C873)*'Assumptions and Catalog'!$H$65+'Assumptions and Catalog'!$E$65+'Assumptions and Catalog'!$F$65,"Out of range")))))))))*(1+'Assumptions and Catalog'!$C$8)^(A873-1),0)</f>
        <v>6867.22</v>
      </c>
      <c r="N873" s="5" t="n">
        <f>IF(ISNUMBER(Inputs!$L$5),(IF(Inputs!$L$9="Actual flat rate",L873*Inputs!$L$10,IF(Inputs!$C$9="Residential",IF(L873&lt;='Assumptions and Catalog'!$C$50,L873*'Assumptions and Catalog'!$H$50+'Assumptions and Catalog'!$E$50+'Assumptions and Catalog'!$F$50,IF(L873&lt;='Assumptions and Catalog'!$C$51,L873*'Assumptions and Catalog'!$H$51+'Assumptions and Catalog'!$E$51+'Assumptions and Catalog'!$F$51,IF(L873&lt;='Assumptions and Catalog'!$C$52,L873*'Assumptions and Catalog'!$H$52+'Assumptions and Catalog'!$E$52+'Assumptions and Catalog'!$F$52,IF(L873&lt;='Assumptions and Catalog'!$C$53,L873*'Assumptions and Catalog'!$H$53+'Assumptions and Catalog'!$E$53+'Assumptions and Catalog'!$F$53,IF(L873&lt;='Assumptions and Catalog'!$C$54,L873*'Assumptions and Catalog'!$H$54+'Assumptions and Catalog'!$E$54+'Assumptions and Catalog'!$F$54,IF(L873&lt;='Assumptions and Catalog'!$C$55,L873*'Assumptions and Catalog'!$H$55+'Assumptions and Catalog'!$E$55+'Assumptions and Catalog'!$F$55,IF(L873&lt;='Assumptions and Catalog'!$C$56,L873*'Assumptions and Catalog'!$H$56+'Assumptions and Catalog'!$E$56+'Assumptions and Catalog'!$F$56,IF(L873&lt;='Assumptions and Catalog'!$C$57,L873*'Assumptions and Catalog'!$H$57+'Assumptions and Catalog'!$E$57+'Assumptions and Catalog'!$F$57,"Out of range")))))))),IF(L873&lt;='Assumptions and Catalog'!$C$60,L873*'Assumptions and Catalog'!$H$60+'Assumptions and Catalog'!$E$60+'Assumptions and Catalog'!$F$60,IF(L873&lt;='Assumptions and Catalog'!$C$61,L873*'Assumptions and Catalog'!$H$61+'Assumptions and Catalog'!$E$61+'Assumptions and Catalog'!$F$61,IF(L873&lt;='Assumptions and Catalog'!$C$62,L873*'Assumptions and Catalog'!$H$62+'Assumptions and Catalog'!$E$62+'Assumptions and Catalog'!$F$62,IF(L873&lt;='Assumptions and Catalog'!$C$63,L873*'Assumptions and Catalog'!$H$63+'Assumptions and Catalog'!$E$63+'Assumptions and Catalog'!$F$63,IF(L873&lt;='Assumptions and Catalog'!$C$64,L873*'Assumptions and Catalog'!$H$64+'Assumptions and Catalog'!$E$64+'Assumptions and Catalog'!$F$64,IF(L873&lt;='Assumptions and Catalog'!$C$65,L873*'Assumptions and Catalog'!$H$65+'Assumptions and Catalog'!$E$65+'Assumptions and Catalog'!$F$65,"Out of range")))))))))*(1+'Assumptions and Catalog'!$C$8)^(A873-1),0)</f>
        <v>2597.82694158098</v>
      </c>
      <c r="O873" s="5" t="n">
        <f>M873-N873</f>
        <v>4269.39305841902</v>
      </c>
      <c r="P873" s="5" t="n">
        <f>E$55*(1-L$14)*(1-'Assumptions and Catalog'!$C$23)^R873</f>
        <v>8.88960546044641</v>
      </c>
      <c r="Q873" s="5" t="n">
        <f>IF(ISNUMBER(Inputs!$L$5),(IF(Inputs!$L$9="Actual flat rate",((D873+E873)*C873-G873)*Inputs!$L$10,IF(Inputs!$C$9="Residential",IF(((D873+E873)*C873-G873)&lt;='Assumptions and Catalog'!$C$50,((D873+E873)*C873-G873)*'Assumptions and Catalog'!$H$50+'Assumptions and Catalog'!$E$50+'Assumptions and Catalog'!$F$50,IF(((D873+E873)*C873-G873)&lt;='Assumptions and Catalog'!$C$51,((D873+E873)*C873-G873)*'Assumptions and Catalog'!$H$51+'Assumptions and Catalog'!$E$51+'Assumptions and Catalog'!$F$51,IF(((D873+E873)*C873-G873)&lt;='Assumptions and Catalog'!$C$52,((D873+E873)*C873-G873)*'Assumptions and Catalog'!$H$52+'Assumptions and Catalog'!$E$52+'Assumptions and Catalog'!$F$52,IF(((D873+E873)*C873-G873)&lt;='Assumptions and Catalog'!$C$53,((D873+E873)*C873-G873)*'Assumptions and Catalog'!$H$53+'Assumptions and Catalog'!$E$53+'Assumptions and Catalog'!$F$53,IF(((D873+E873)*C873-G873)&lt;='Assumptions and Catalog'!$C$54,((D873+E873)*C873-G873)*'Assumptions and Catalog'!$H$54+'Assumptions and Catalog'!$E$54+'Assumptions and Catalog'!$F$54,IF(((D873+E873)*C873-G873)&lt;='Assumptions and Catalog'!$C$55,((D873+E873)*C873-G873)*'Assumptions and Catalog'!$H$55+'Assumptions and Catalog'!$E$55+'Assumptions and Catalog'!$F$55,IF(((D873+E873)*C873-G873)&lt;='Assumptions and Catalog'!$C$56,((D873+E873)*C873-G873)*'Assumptions and Catalog'!$H$56+'Assumptions and Catalog'!$E$56+'Assumptions and Catalog'!$F$56,IF(((D873+E873)*C873-G873)&lt;='Assumptions and Catalog'!$C$57,((D873+E873)*C873-G873)*'Assumptions and Catalog'!$H$57+'Assumptions and Catalog'!$E$57+'Assumptions and Catalog'!$F$57,"Out of range")))))))),IF(((D873+E873)*C873-G873)&lt;='Assumptions and Catalog'!$C$60,((D873+E873)*C873-G873)*'Assumptions and Catalog'!$H$60+'Assumptions and Catalog'!$E$60+'Assumptions and Catalog'!$F$60,IF(((D873+E873)*C873-G873)&lt;='Assumptions and Catalog'!$C$61,((D873+E873)*C873-G873)*'Assumptions and Catalog'!$H$61+'Assumptions and Catalog'!$E$61+'Assumptions and Catalog'!$F$61,IF(((D873+E873)*C873-G873)&lt;='Assumptions and Catalog'!$C$62,((D873+E873)*C873-G873)*'Assumptions and Catalog'!$H$62+'Assumptions and Catalog'!$E$62+'Assumptions and Catalog'!$F$62,IF(((D873+E873)*C873-G873)&lt;='Assumptions and Catalog'!$C$63,((D873+E873)*C873-G873)*'Assumptions and Catalog'!$H$63+'Assumptions and Catalog'!$E$63+'Assumptions and Catalog'!$F$63,IF(((D873+E873)*C873-G873)&lt;='Assumptions and Catalog'!$C$64,((D873+E873)*C873-G873)*'Assumptions and Catalog'!$H$64+'Assumptions and Catalog'!$E$64+'Assumptions and Catalog'!$F$64,IF(((D873+E873)*C873-G873)&lt;='Assumptions and Catalog'!$C$65,((D873+E873)*C873-G873)*'Assumptions and Catalog'!$H$65+'Assumptions and Catalog'!$E$65+'Assumptions and Catalog'!$F$65,"Out of range")))))))))*(1+'Assumptions and Catalog'!$C$8)^(A873-1),0)</f>
        <v>3453.61</v>
      </c>
      <c r="R873" s="5" t="n">
        <f>IF(AND('Assumptions and Catalog'!$C$19&gt;0,A873&gt;='Assumptions and Catalog'!$C$19),A873-'Assumptions and Catalog'!$C$19,A873-1)</f>
        <v>7</v>
      </c>
      <c r="S873" s="5" t="n">
        <f>F873+L873-(D873+E873)*C873-J873-K873-IF(E$52&gt;0,'Assumptions and Catalog'!$C$26*C873,0)</f>
        <v>-5.6843418860808E-014</v>
      </c>
      <c r="T873" s="5"/>
      <c r="U873" s="5"/>
    </row>
    <row r="874" ht="23.100000381469727" customHeight="1">
      <c r="A874" s="5" t="n">
        <v>18</v>
      </c>
      <c r="B874" s="5" t="n">
        <v>10</v>
      </c>
      <c r="C874" s="5" t="n">
        <f>DAY(DATE('Assumptions and Catalog'!$C$24+A874-1,B874+1,0))</f>
        <v>31</v>
      </c>
      <c r="D874" s="5" t="n">
        <f>IF(ISNUMBER(Inputs!$L$5),Inputs!$L$5*Inputs!$L$6,0)</f>
        <v>40.35</v>
      </c>
      <c r="E874" s="5" t="n">
        <f>IF(ISNUMBER(Inputs!$L$5),Inputs!$L$5-D874,0)</f>
        <v>40.35</v>
      </c>
      <c r="F874" s="5" t="n">
        <f>E$51*INDEX('Solar Production'!$D$20:$D$31,B874)*C874*(1-'Assumptions and Catalog'!$C$10)^(A874-1)</f>
        <v>1560.9818824028</v>
      </c>
      <c r="G874" s="5" t="n">
        <f>MIN(F874,D874*C874)</f>
        <v>1250.85</v>
      </c>
      <c r="H874" s="5" t="n">
        <f>I874/('Assumptions and Catalog'!$C$11*'Assumptions and Catalog'!$C$12)</f>
        <v>282.643865921886</v>
      </c>
      <c r="I874" s="5" t="n">
        <f>MIN(E874*C874,P874*'Assumptions and Catalog'!$C$12*C874,(F874-G874)*'Assumptions and Catalog'!$C$11*'Assumptions and Catalog'!$C$12,E$56*'Assumptions and Catalog'!$C$14*'Assumptions and Catalog'!$C$11*'Assumptions and Catalog'!$C$12*C874,E$57*(24-'Assumptions and Catalog'!$C$13)*C874)</f>
        <v>268.688325041993</v>
      </c>
      <c r="J874" s="5" t="n">
        <f>MAX(F874-G874-H874,0)</f>
        <v>27.4880164809144</v>
      </c>
      <c r="K874" s="5" t="n">
        <f>H874-I874</f>
        <v>13.9555408798931</v>
      </c>
      <c r="L874" s="5" t="n">
        <f>(D874+E874)*C874-G874-I874+0+IF(E$52&gt;0,'Assumptions and Catalog'!$C$26*C874,0)</f>
        <v>982.161674958007</v>
      </c>
      <c r="M874" s="5" t="n">
        <f>IF(ISNUMBER(Inputs!$L$5),(IF(Inputs!$L$9="Actual flat rate",((D874+E874)*C874)*Inputs!$L$10,IF(Inputs!$C$9="Residential",IF(((D874+E874)*C874)&lt;='Assumptions and Catalog'!$C$50,((D874+E874)*C874)*'Assumptions and Catalog'!$H$50+'Assumptions and Catalog'!$E$50+'Assumptions and Catalog'!$F$50,IF(((D874+E874)*C874)&lt;='Assumptions and Catalog'!$C$51,((D874+E874)*C874)*'Assumptions and Catalog'!$H$51+'Assumptions and Catalog'!$E$51+'Assumptions and Catalog'!$F$51,IF(((D874+E874)*C874)&lt;='Assumptions and Catalog'!$C$52,((D874+E874)*C874)*'Assumptions and Catalog'!$H$52+'Assumptions and Catalog'!$E$52+'Assumptions and Catalog'!$F$52,IF(((D874+E874)*C874)&lt;='Assumptions and Catalog'!$C$53,((D874+E874)*C874)*'Assumptions and Catalog'!$H$53+'Assumptions and Catalog'!$E$53+'Assumptions and Catalog'!$F$53,IF(((D874+E874)*C874)&lt;='Assumptions and Catalog'!$C$54,((D874+E874)*C874)*'Assumptions and Catalog'!$H$54+'Assumptions and Catalog'!$E$54+'Assumptions and Catalog'!$F$54,IF(((D874+E874)*C874)&lt;='Assumptions and Catalog'!$C$55,((D874+E874)*C874)*'Assumptions and Catalog'!$H$55+'Assumptions and Catalog'!$E$55+'Assumptions and Catalog'!$F$55,IF(((D874+E874)*C874)&lt;='Assumptions and Catalog'!$C$56,((D874+E874)*C874)*'Assumptions and Catalog'!$H$56+'Assumptions and Catalog'!$E$56+'Assumptions and Catalog'!$F$56,IF(((D874+E874)*C874)&lt;='Assumptions and Catalog'!$C$57,((D874+E874)*C874)*'Assumptions and Catalog'!$H$57+'Assumptions and Catalog'!$E$57+'Assumptions and Catalog'!$F$57,"Out of range")))))))),IF(((D874+E874)*C874)&lt;='Assumptions and Catalog'!$C$60,((D874+E874)*C874)*'Assumptions and Catalog'!$H$60+'Assumptions and Catalog'!$E$60+'Assumptions and Catalog'!$F$60,IF(((D874+E874)*C874)&lt;='Assumptions and Catalog'!$C$61,((D874+E874)*C874)*'Assumptions and Catalog'!$H$61+'Assumptions and Catalog'!$E$61+'Assumptions and Catalog'!$F$61,IF(((D874+E874)*C874)&lt;='Assumptions and Catalog'!$C$62,((D874+E874)*C874)*'Assumptions and Catalog'!$H$62+'Assumptions and Catalog'!$E$62+'Assumptions and Catalog'!$F$62,IF(((D874+E874)*C874)&lt;='Assumptions and Catalog'!$C$63,((D874+E874)*C874)*'Assumptions and Catalog'!$H$63+'Assumptions and Catalog'!$E$63+'Assumptions and Catalog'!$F$63,IF(((D874+E874)*C874)&lt;='Assumptions and Catalog'!$C$64,((D874+E874)*C874)*'Assumptions and Catalog'!$H$64+'Assumptions and Catalog'!$E$64+'Assumptions and Catalog'!$F$64,IF(((D874+E874)*C874)&lt;='Assumptions and Catalog'!$C$65,((D874+E874)*C874)*'Assumptions and Catalog'!$H$65+'Assumptions and Catalog'!$E$65+'Assumptions and Catalog'!$F$65,"Out of range")))))))))*(1+'Assumptions and Catalog'!$C$8)^(A874-1),0)</f>
        <v>7094.794</v>
      </c>
      <c r="N874" s="5" t="n">
        <f>IF(ISNUMBER(Inputs!$L$5),(IF(Inputs!$L$9="Actual flat rate",L874*Inputs!$L$10,IF(Inputs!$C$9="Residential",IF(L874&lt;='Assumptions and Catalog'!$C$50,L874*'Assumptions and Catalog'!$H$50+'Assumptions and Catalog'!$E$50+'Assumptions and Catalog'!$F$50,IF(L874&lt;='Assumptions and Catalog'!$C$51,L874*'Assumptions and Catalog'!$H$51+'Assumptions and Catalog'!$E$51+'Assumptions and Catalog'!$F$51,IF(L874&lt;='Assumptions and Catalog'!$C$52,L874*'Assumptions and Catalog'!$H$52+'Assumptions and Catalog'!$E$52+'Assumptions and Catalog'!$F$52,IF(L874&lt;='Assumptions and Catalog'!$C$53,L874*'Assumptions and Catalog'!$H$53+'Assumptions and Catalog'!$E$53+'Assumptions and Catalog'!$F$53,IF(L874&lt;='Assumptions and Catalog'!$C$54,L874*'Assumptions and Catalog'!$H$54+'Assumptions and Catalog'!$E$54+'Assumptions and Catalog'!$F$54,IF(L874&lt;='Assumptions and Catalog'!$C$55,L874*'Assumptions and Catalog'!$H$55+'Assumptions and Catalog'!$E$55+'Assumptions and Catalog'!$F$55,IF(L874&lt;='Assumptions and Catalog'!$C$56,L874*'Assumptions and Catalog'!$H$56+'Assumptions and Catalog'!$E$56+'Assumptions and Catalog'!$F$56,IF(L874&lt;='Assumptions and Catalog'!$C$57,L874*'Assumptions and Catalog'!$H$57+'Assumptions and Catalog'!$E$57+'Assumptions and Catalog'!$F$57,"Out of range")))))))),IF(L874&lt;='Assumptions and Catalog'!$C$60,L874*'Assumptions and Catalog'!$H$60+'Assumptions and Catalog'!$E$60+'Assumptions and Catalog'!$F$60,IF(L874&lt;='Assumptions and Catalog'!$C$61,L874*'Assumptions and Catalog'!$H$61+'Assumptions and Catalog'!$E$61+'Assumptions and Catalog'!$F$61,IF(L874&lt;='Assumptions and Catalog'!$C$62,L874*'Assumptions and Catalog'!$H$62+'Assumptions and Catalog'!$E$62+'Assumptions and Catalog'!$F$62,IF(L874&lt;='Assumptions and Catalog'!$C$63,L874*'Assumptions and Catalog'!$H$63+'Assumptions and Catalog'!$E$63+'Assumptions and Catalog'!$F$63,IF(L874&lt;='Assumptions and Catalog'!$C$64,L874*'Assumptions and Catalog'!$H$64+'Assumptions and Catalog'!$E$64+'Assumptions and Catalog'!$F$64,IF(L874&lt;='Assumptions and Catalog'!$C$65,L874*'Assumptions and Catalog'!$H$65+'Assumptions and Catalog'!$E$65+'Assumptions and Catalog'!$F$65,"Out of range")))))))))*(1+'Assumptions and Catalog'!$C$8)^(A874-1),0)</f>
        <v>2685.58783963368</v>
      </c>
      <c r="O874" s="5" t="n">
        <f>M874-N874</f>
        <v>4409.20616036632</v>
      </c>
      <c r="P874" s="5" t="n">
        <f>E$55*(1-L$14)*(1-'Assumptions and Catalog'!$C$23)^R874</f>
        <v>8.88960546044641</v>
      </c>
      <c r="Q874" s="5" t="n">
        <f>IF(ISNUMBER(Inputs!$L$5),(IF(Inputs!$L$9="Actual flat rate",((D874+E874)*C874-G874)*Inputs!$L$10,IF(Inputs!$C$9="Residential",IF(((D874+E874)*C874-G874)&lt;='Assumptions and Catalog'!$C$50,((D874+E874)*C874-G874)*'Assumptions and Catalog'!$H$50+'Assumptions and Catalog'!$E$50+'Assumptions and Catalog'!$F$50,IF(((D874+E874)*C874-G874)&lt;='Assumptions and Catalog'!$C$51,((D874+E874)*C874-G874)*'Assumptions and Catalog'!$H$51+'Assumptions and Catalog'!$E$51+'Assumptions and Catalog'!$F$51,IF(((D874+E874)*C874-G874)&lt;='Assumptions and Catalog'!$C$52,((D874+E874)*C874-G874)*'Assumptions and Catalog'!$H$52+'Assumptions and Catalog'!$E$52+'Assumptions and Catalog'!$F$52,IF(((D874+E874)*C874-G874)&lt;='Assumptions and Catalog'!$C$53,((D874+E874)*C874-G874)*'Assumptions and Catalog'!$H$53+'Assumptions and Catalog'!$E$53+'Assumptions and Catalog'!$F$53,IF(((D874+E874)*C874-G874)&lt;='Assumptions and Catalog'!$C$54,((D874+E874)*C874-G874)*'Assumptions and Catalog'!$H$54+'Assumptions and Catalog'!$E$54+'Assumptions and Catalog'!$F$54,IF(((D874+E874)*C874-G874)&lt;='Assumptions and Catalog'!$C$55,((D874+E874)*C874-G874)*'Assumptions and Catalog'!$H$55+'Assumptions and Catalog'!$E$55+'Assumptions and Catalog'!$F$55,IF(((D874+E874)*C874-G874)&lt;='Assumptions and Catalog'!$C$56,((D874+E874)*C874-G874)*'Assumptions and Catalog'!$H$56+'Assumptions and Catalog'!$E$56+'Assumptions and Catalog'!$F$56,IF(((D874+E874)*C874-G874)&lt;='Assumptions and Catalog'!$C$57,((D874+E874)*C874-G874)*'Assumptions and Catalog'!$H$57+'Assumptions and Catalog'!$E$57+'Assumptions and Catalog'!$F$57,"Out of range")))))))),IF(((D874+E874)*C874-G874)&lt;='Assumptions and Catalog'!$C$60,((D874+E874)*C874-G874)*'Assumptions and Catalog'!$H$60+'Assumptions and Catalog'!$E$60+'Assumptions and Catalog'!$F$60,IF(((D874+E874)*C874-G874)&lt;='Assumptions and Catalog'!$C$61,((D874+E874)*C874-G874)*'Assumptions and Catalog'!$H$61+'Assumptions and Catalog'!$E$61+'Assumptions and Catalog'!$F$61,IF(((D874+E874)*C874-G874)&lt;='Assumptions and Catalog'!$C$62,((D874+E874)*C874-G874)*'Assumptions and Catalog'!$H$62+'Assumptions and Catalog'!$E$62+'Assumptions and Catalog'!$F$62,IF(((D874+E874)*C874-G874)&lt;='Assumptions and Catalog'!$C$63,((D874+E874)*C874-G874)*'Assumptions and Catalog'!$H$63+'Assumptions and Catalog'!$E$63+'Assumptions and Catalog'!$F$63,IF(((D874+E874)*C874-G874)&lt;='Assumptions and Catalog'!$C$64,((D874+E874)*C874-G874)*'Assumptions and Catalog'!$H$64+'Assumptions and Catalog'!$E$64+'Assumptions and Catalog'!$F$64,IF(((D874+E874)*C874-G874)&lt;='Assumptions and Catalog'!$C$65,((D874+E874)*C874-G874)*'Assumptions and Catalog'!$H$65+'Assumptions and Catalog'!$E$65+'Assumptions and Catalog'!$F$65,"Out of range")))))))))*(1+'Assumptions and Catalog'!$C$8)^(A874-1),0)</f>
        <v>3567.397</v>
      </c>
      <c r="R874" s="5" t="n">
        <f>IF(AND('Assumptions and Catalog'!$C$19&gt;0,A874&gt;='Assumptions and Catalog'!$C$19),A874-'Assumptions and Catalog'!$C$19,A874-1)</f>
        <v>7</v>
      </c>
      <c r="S874" s="5" t="n">
        <f>F874+L874-(D874+E874)*C874-J874-K874-IF(E$52&gt;0,'Assumptions and Catalog'!$C$26*C874,0)</f>
        <v>0</v>
      </c>
      <c r="T874" s="5"/>
      <c r="U874" s="5"/>
    </row>
    <row r="875" ht="23.100000381469727" customHeight="1">
      <c r="A875" s="5" t="n">
        <v>18</v>
      </c>
      <c r="B875" s="5" t="n">
        <v>11</v>
      </c>
      <c r="C875" s="5" t="n">
        <f>DAY(DATE('Assumptions and Catalog'!$C$24+A875-1,B875+1,0))</f>
        <v>30</v>
      </c>
      <c r="D875" s="5" t="n">
        <f>IF(ISNUMBER(Inputs!$L$5),Inputs!$L$5*Inputs!$L$6,0)</f>
        <v>40.35</v>
      </c>
      <c r="E875" s="5" t="n">
        <f>IF(ISNUMBER(Inputs!$L$5),Inputs!$L$5-D875,0)</f>
        <v>40.35</v>
      </c>
      <c r="F875" s="5" t="n">
        <f>E$51*INDEX('Solar Production'!$D$20:$D$31,B875)*C875*(1-'Assumptions and Catalog'!$C$10)^(A875-1)</f>
        <v>1383.59987337547</v>
      </c>
      <c r="G875" s="5" t="n">
        <f>MIN(F875,D875*C875)</f>
        <v>1210.5</v>
      </c>
      <c r="H875" s="5" t="n">
        <f>I875/('Assumptions and Catalog'!$C$11*'Assumptions and Catalog'!$C$12)</f>
        <v>173.099873375471</v>
      </c>
      <c r="I875" s="5" t="n">
        <f>MIN(E875*C875,P875*'Assumptions and Catalog'!$C$12*C875,(F875-G875)*'Assumptions and Catalog'!$C$11*'Assumptions and Catalog'!$C$12,E$56*'Assumptions and Catalog'!$C$14*'Assumptions and Catalog'!$C$11*'Assumptions and Catalog'!$C$12*C875,E$57*(24-'Assumptions and Catalog'!$C$13)*C875)</f>
        <v>164.553067127557</v>
      </c>
      <c r="J875" s="5" t="n">
        <f>MAX(F875-G875-H875,0)</f>
        <v>0</v>
      </c>
      <c r="K875" s="5" t="n">
        <f>H875-I875</f>
        <v>8.54680624791391</v>
      </c>
      <c r="L875" s="5" t="n">
        <f>(D875+E875)*C875-G875-I875+0+IF(E$52&gt;0,'Assumptions and Catalog'!$C$26*C875,0)</f>
        <v>1045.94693287244</v>
      </c>
      <c r="M875" s="5" t="n">
        <f>IF(ISNUMBER(Inputs!$L$5),(IF(Inputs!$L$9="Actual flat rate",((D875+E875)*C875)*Inputs!$L$10,IF(Inputs!$C$9="Residential",IF(((D875+E875)*C875)&lt;='Assumptions and Catalog'!$C$50,((D875+E875)*C875)*'Assumptions and Catalog'!$H$50+'Assumptions and Catalog'!$E$50+'Assumptions and Catalog'!$F$50,IF(((D875+E875)*C875)&lt;='Assumptions and Catalog'!$C$51,((D875+E875)*C875)*'Assumptions and Catalog'!$H$51+'Assumptions and Catalog'!$E$51+'Assumptions and Catalog'!$F$51,IF(((D875+E875)*C875)&lt;='Assumptions and Catalog'!$C$52,((D875+E875)*C875)*'Assumptions and Catalog'!$H$52+'Assumptions and Catalog'!$E$52+'Assumptions and Catalog'!$F$52,IF(((D875+E875)*C875)&lt;='Assumptions and Catalog'!$C$53,((D875+E875)*C875)*'Assumptions and Catalog'!$H$53+'Assumptions and Catalog'!$E$53+'Assumptions and Catalog'!$F$53,IF(((D875+E875)*C875)&lt;='Assumptions and Catalog'!$C$54,((D875+E875)*C875)*'Assumptions and Catalog'!$H$54+'Assumptions and Catalog'!$E$54+'Assumptions and Catalog'!$F$54,IF(((D875+E875)*C875)&lt;='Assumptions and Catalog'!$C$55,((D875+E875)*C875)*'Assumptions and Catalog'!$H$55+'Assumptions and Catalog'!$E$55+'Assumptions and Catalog'!$F$55,IF(((D875+E875)*C875)&lt;='Assumptions and Catalog'!$C$56,((D875+E875)*C875)*'Assumptions and Catalog'!$H$56+'Assumptions and Catalog'!$E$56+'Assumptions and Catalog'!$F$56,IF(((D875+E875)*C875)&lt;='Assumptions and Catalog'!$C$57,((D875+E875)*C875)*'Assumptions and Catalog'!$H$57+'Assumptions and Catalog'!$E$57+'Assumptions and Catalog'!$F$57,"Out of range")))))))),IF(((D875+E875)*C875)&lt;='Assumptions and Catalog'!$C$60,((D875+E875)*C875)*'Assumptions and Catalog'!$H$60+'Assumptions and Catalog'!$E$60+'Assumptions and Catalog'!$F$60,IF(((D875+E875)*C875)&lt;='Assumptions and Catalog'!$C$61,((D875+E875)*C875)*'Assumptions and Catalog'!$H$61+'Assumptions and Catalog'!$E$61+'Assumptions and Catalog'!$F$61,IF(((D875+E875)*C875)&lt;='Assumptions and Catalog'!$C$62,((D875+E875)*C875)*'Assumptions and Catalog'!$H$62+'Assumptions and Catalog'!$E$62+'Assumptions and Catalog'!$F$62,IF(((D875+E875)*C875)&lt;='Assumptions and Catalog'!$C$63,((D875+E875)*C875)*'Assumptions and Catalog'!$H$63+'Assumptions and Catalog'!$E$63+'Assumptions and Catalog'!$F$63,IF(((D875+E875)*C875)&lt;='Assumptions and Catalog'!$C$64,((D875+E875)*C875)*'Assumptions and Catalog'!$H$64+'Assumptions and Catalog'!$E$64+'Assumptions and Catalog'!$F$64,IF(((D875+E875)*C875)&lt;='Assumptions and Catalog'!$C$65,((D875+E875)*C875)*'Assumptions and Catalog'!$H$65+'Assumptions and Catalog'!$E$65+'Assumptions and Catalog'!$F$65,"Out of range")))))))))*(1+'Assumptions and Catalog'!$C$8)^(A875-1),0)</f>
        <v>6867.22</v>
      </c>
      <c r="N875" s="5" t="n">
        <f>IF(ISNUMBER(Inputs!$L$5),(IF(Inputs!$L$9="Actual flat rate",L875*Inputs!$L$10,IF(Inputs!$C$9="Residential",IF(L875&lt;='Assumptions and Catalog'!$C$50,L875*'Assumptions and Catalog'!$H$50+'Assumptions and Catalog'!$E$50+'Assumptions and Catalog'!$F$50,IF(L875&lt;='Assumptions and Catalog'!$C$51,L875*'Assumptions and Catalog'!$H$51+'Assumptions and Catalog'!$E$51+'Assumptions and Catalog'!$F$51,IF(L875&lt;='Assumptions and Catalog'!$C$52,L875*'Assumptions and Catalog'!$H$52+'Assumptions and Catalog'!$E$52+'Assumptions and Catalog'!$F$52,IF(L875&lt;='Assumptions and Catalog'!$C$53,L875*'Assumptions and Catalog'!$H$53+'Assumptions and Catalog'!$E$53+'Assumptions and Catalog'!$F$53,IF(L875&lt;='Assumptions and Catalog'!$C$54,L875*'Assumptions and Catalog'!$H$54+'Assumptions and Catalog'!$E$54+'Assumptions and Catalog'!$F$54,IF(L875&lt;='Assumptions and Catalog'!$C$55,L875*'Assumptions and Catalog'!$H$55+'Assumptions and Catalog'!$E$55+'Assumptions and Catalog'!$F$55,IF(L875&lt;='Assumptions and Catalog'!$C$56,L875*'Assumptions and Catalog'!$H$56+'Assumptions and Catalog'!$E$56+'Assumptions and Catalog'!$F$56,IF(L875&lt;='Assumptions and Catalog'!$C$57,L875*'Assumptions and Catalog'!$H$57+'Assumptions and Catalog'!$E$57+'Assumptions and Catalog'!$F$57,"Out of range")))))))),IF(L875&lt;='Assumptions and Catalog'!$C$60,L875*'Assumptions and Catalog'!$H$60+'Assumptions and Catalog'!$E$60+'Assumptions and Catalog'!$F$60,IF(L875&lt;='Assumptions and Catalog'!$C$61,L875*'Assumptions and Catalog'!$H$61+'Assumptions and Catalog'!$E$61+'Assumptions and Catalog'!$F$61,IF(L875&lt;='Assumptions and Catalog'!$C$62,L875*'Assumptions and Catalog'!$H$62+'Assumptions and Catalog'!$E$62+'Assumptions and Catalog'!$F$62,IF(L875&lt;='Assumptions and Catalog'!$C$63,L875*'Assumptions and Catalog'!$H$63+'Assumptions and Catalog'!$E$63+'Assumptions and Catalog'!$F$63,IF(L875&lt;='Assumptions and Catalog'!$C$64,L875*'Assumptions and Catalog'!$H$64+'Assumptions and Catalog'!$E$64+'Assumptions and Catalog'!$F$64,IF(L875&lt;='Assumptions and Catalog'!$C$65,L875*'Assumptions and Catalog'!$H$65+'Assumptions and Catalog'!$E$65+'Assumptions and Catalog'!$F$65,"Out of range")))))))))*(1+'Assumptions and Catalog'!$C$8)^(A875-1),0)</f>
        <v>2989.57035070029</v>
      </c>
      <c r="O875" s="5" t="n">
        <f>M875-N875</f>
        <v>3877.64964929971</v>
      </c>
      <c r="P875" s="5" t="n">
        <f>E$55*(1-L$14)*(1-'Assumptions and Catalog'!$C$23)^R875</f>
        <v>8.88960546044641</v>
      </c>
      <c r="Q875" s="5" t="n">
        <f>IF(ISNUMBER(Inputs!$L$5),(IF(Inputs!$L$9="Actual flat rate",((D875+E875)*C875-G875)*Inputs!$L$10,IF(Inputs!$C$9="Residential",IF(((D875+E875)*C875-G875)&lt;='Assumptions and Catalog'!$C$50,((D875+E875)*C875-G875)*'Assumptions and Catalog'!$H$50+'Assumptions and Catalog'!$E$50+'Assumptions and Catalog'!$F$50,IF(((D875+E875)*C875-G875)&lt;='Assumptions and Catalog'!$C$51,((D875+E875)*C875-G875)*'Assumptions and Catalog'!$H$51+'Assumptions and Catalog'!$E$51+'Assumptions and Catalog'!$F$51,IF(((D875+E875)*C875-G875)&lt;='Assumptions and Catalog'!$C$52,((D875+E875)*C875-G875)*'Assumptions and Catalog'!$H$52+'Assumptions and Catalog'!$E$52+'Assumptions and Catalog'!$F$52,IF(((D875+E875)*C875-G875)&lt;='Assumptions and Catalog'!$C$53,((D875+E875)*C875-G875)*'Assumptions and Catalog'!$H$53+'Assumptions and Catalog'!$E$53+'Assumptions and Catalog'!$F$53,IF(((D875+E875)*C875-G875)&lt;='Assumptions and Catalog'!$C$54,((D875+E875)*C875-G875)*'Assumptions and Catalog'!$H$54+'Assumptions and Catalog'!$E$54+'Assumptions and Catalog'!$F$54,IF(((D875+E875)*C875-G875)&lt;='Assumptions and Catalog'!$C$55,((D875+E875)*C875-G875)*'Assumptions and Catalog'!$H$55+'Assumptions and Catalog'!$E$55+'Assumptions and Catalog'!$F$55,IF(((D875+E875)*C875-G875)&lt;='Assumptions and Catalog'!$C$56,((D875+E875)*C875-G875)*'Assumptions and Catalog'!$H$56+'Assumptions and Catalog'!$E$56+'Assumptions and Catalog'!$F$56,IF(((D875+E875)*C875-G875)&lt;='Assumptions and Catalog'!$C$57,((D875+E875)*C875-G875)*'Assumptions and Catalog'!$H$57+'Assumptions and Catalog'!$E$57+'Assumptions and Catalog'!$F$57,"Out of range")))))))),IF(((D875+E875)*C875-G875)&lt;='Assumptions and Catalog'!$C$60,((D875+E875)*C875-G875)*'Assumptions and Catalog'!$H$60+'Assumptions and Catalog'!$E$60+'Assumptions and Catalog'!$F$60,IF(((D875+E875)*C875-G875)&lt;='Assumptions and Catalog'!$C$61,((D875+E875)*C875-G875)*'Assumptions and Catalog'!$H$61+'Assumptions and Catalog'!$E$61+'Assumptions and Catalog'!$F$61,IF(((D875+E875)*C875-G875)&lt;='Assumptions and Catalog'!$C$62,((D875+E875)*C875-G875)*'Assumptions and Catalog'!$H$62+'Assumptions and Catalog'!$E$62+'Assumptions and Catalog'!$F$62,IF(((D875+E875)*C875-G875)&lt;='Assumptions and Catalog'!$C$63,((D875+E875)*C875-G875)*'Assumptions and Catalog'!$H$63+'Assumptions and Catalog'!$E$63+'Assumptions and Catalog'!$F$63,IF(((D875+E875)*C875-G875)&lt;='Assumptions and Catalog'!$C$64,((D875+E875)*C875-G875)*'Assumptions and Catalog'!$H$64+'Assumptions and Catalog'!$E$64+'Assumptions and Catalog'!$F$64,IF(((D875+E875)*C875-G875)&lt;='Assumptions and Catalog'!$C$65,((D875+E875)*C875-G875)*'Assumptions and Catalog'!$H$65+'Assumptions and Catalog'!$E$65+'Assumptions and Catalog'!$F$65,"Out of range")))))))))*(1+'Assumptions and Catalog'!$C$8)^(A875-1),0)</f>
        <v>3453.61</v>
      </c>
      <c r="R875" s="5" t="n">
        <f>IF(AND('Assumptions and Catalog'!$C$19&gt;0,A875&gt;='Assumptions and Catalog'!$C$19),A875-'Assumptions and Catalog'!$C$19,A875-1)</f>
        <v>7</v>
      </c>
      <c r="S875" s="5" t="n">
        <f>F875+L875-(D875+E875)*C875-J875-K875-IF(E$52&gt;0,'Assumptions and Catalog'!$C$26*C875,0)</f>
        <v>8.5265128291212E-014</v>
      </c>
      <c r="T875" s="5"/>
      <c r="U875" s="5"/>
    </row>
    <row r="876" ht="23.100000381469727" customHeight="1">
      <c r="A876" s="5" t="n">
        <v>18</v>
      </c>
      <c r="B876" s="5" t="n">
        <v>12</v>
      </c>
      <c r="C876" s="5" t="n">
        <f>DAY(DATE('Assumptions and Catalog'!$C$24+A876-1,B876+1,0))</f>
        <v>31</v>
      </c>
      <c r="D876" s="5" t="n">
        <f>IF(ISNUMBER(Inputs!$L$5),Inputs!$L$5*Inputs!$L$6,0)</f>
        <v>40.35</v>
      </c>
      <c r="E876" s="5" t="n">
        <f>IF(ISNUMBER(Inputs!$L$5),Inputs!$L$5-D876,0)</f>
        <v>40.35</v>
      </c>
      <c r="F876" s="5" t="n">
        <f>E$51*INDEX('Solar Production'!$D$20:$D$31,B876)*C876*(1-'Assumptions and Catalog'!$C$10)^(A876-1)</f>
        <v>1317.2331422075</v>
      </c>
      <c r="G876" s="5" t="n">
        <f>MIN(F876,D876*C876)</f>
        <v>1250.85</v>
      </c>
      <c r="H876" s="5" t="n">
        <f>I876/('Assumptions and Catalog'!$C$11*'Assumptions and Catalog'!$C$12)</f>
        <v>66.3831422075014</v>
      </c>
      <c r="I876" s="5" t="n">
        <f>MIN(E876*C876,P876*'Assumptions and Catalog'!$C$12*C876,(F876-G876)*'Assumptions and Catalog'!$C$11*'Assumptions and Catalog'!$C$12,E$56*'Assumptions and Catalog'!$C$14*'Assumptions and Catalog'!$C$11*'Assumptions and Catalog'!$C$12*C876,E$57*(24-'Assumptions and Catalog'!$C$13)*C876)</f>
        <v>63.105474561006</v>
      </c>
      <c r="J876" s="5" t="n">
        <f>MAX(F876-G876-H876,0)</f>
        <v>0</v>
      </c>
      <c r="K876" s="5" t="n">
        <f>H876-I876</f>
        <v>3.27766764649538</v>
      </c>
      <c r="L876" s="5" t="n">
        <f>(D876+E876)*C876-G876-I876+0+IF(E$52&gt;0,'Assumptions and Catalog'!$C$26*C876,0)</f>
        <v>1187.74452543899</v>
      </c>
      <c r="M876" s="5" t="n">
        <f>IF(ISNUMBER(Inputs!$L$5),(IF(Inputs!$L$9="Actual flat rate",((D876+E876)*C876)*Inputs!$L$10,IF(Inputs!$C$9="Residential",IF(((D876+E876)*C876)&lt;='Assumptions and Catalog'!$C$50,((D876+E876)*C876)*'Assumptions and Catalog'!$H$50+'Assumptions and Catalog'!$E$50+'Assumptions and Catalog'!$F$50,IF(((D876+E876)*C876)&lt;='Assumptions and Catalog'!$C$51,((D876+E876)*C876)*'Assumptions and Catalog'!$H$51+'Assumptions and Catalog'!$E$51+'Assumptions and Catalog'!$F$51,IF(((D876+E876)*C876)&lt;='Assumptions and Catalog'!$C$52,((D876+E876)*C876)*'Assumptions and Catalog'!$H$52+'Assumptions and Catalog'!$E$52+'Assumptions and Catalog'!$F$52,IF(((D876+E876)*C876)&lt;='Assumptions and Catalog'!$C$53,((D876+E876)*C876)*'Assumptions and Catalog'!$H$53+'Assumptions and Catalog'!$E$53+'Assumptions and Catalog'!$F$53,IF(((D876+E876)*C876)&lt;='Assumptions and Catalog'!$C$54,((D876+E876)*C876)*'Assumptions and Catalog'!$H$54+'Assumptions and Catalog'!$E$54+'Assumptions and Catalog'!$F$54,IF(((D876+E876)*C876)&lt;='Assumptions and Catalog'!$C$55,((D876+E876)*C876)*'Assumptions and Catalog'!$H$55+'Assumptions and Catalog'!$E$55+'Assumptions and Catalog'!$F$55,IF(((D876+E876)*C876)&lt;='Assumptions and Catalog'!$C$56,((D876+E876)*C876)*'Assumptions and Catalog'!$H$56+'Assumptions and Catalog'!$E$56+'Assumptions and Catalog'!$F$56,IF(((D876+E876)*C876)&lt;='Assumptions and Catalog'!$C$57,((D876+E876)*C876)*'Assumptions and Catalog'!$H$57+'Assumptions and Catalog'!$E$57+'Assumptions and Catalog'!$F$57,"Out of range")))))))),IF(((D876+E876)*C876)&lt;='Assumptions and Catalog'!$C$60,((D876+E876)*C876)*'Assumptions and Catalog'!$H$60+'Assumptions and Catalog'!$E$60+'Assumptions and Catalog'!$F$60,IF(((D876+E876)*C876)&lt;='Assumptions and Catalog'!$C$61,((D876+E876)*C876)*'Assumptions and Catalog'!$H$61+'Assumptions and Catalog'!$E$61+'Assumptions and Catalog'!$F$61,IF(((D876+E876)*C876)&lt;='Assumptions and Catalog'!$C$62,((D876+E876)*C876)*'Assumptions and Catalog'!$H$62+'Assumptions and Catalog'!$E$62+'Assumptions and Catalog'!$F$62,IF(((D876+E876)*C876)&lt;='Assumptions and Catalog'!$C$63,((D876+E876)*C876)*'Assumptions and Catalog'!$H$63+'Assumptions and Catalog'!$E$63+'Assumptions and Catalog'!$F$63,IF(((D876+E876)*C876)&lt;='Assumptions and Catalog'!$C$64,((D876+E876)*C876)*'Assumptions and Catalog'!$H$64+'Assumptions and Catalog'!$E$64+'Assumptions and Catalog'!$F$64,IF(((D876+E876)*C876)&lt;='Assumptions and Catalog'!$C$65,((D876+E876)*C876)*'Assumptions and Catalog'!$H$65+'Assumptions and Catalog'!$E$65+'Assumptions and Catalog'!$F$65,"Out of range")))))))))*(1+'Assumptions and Catalog'!$C$8)^(A876-1),0)</f>
        <v>7094.794</v>
      </c>
      <c r="N876" s="5" t="n">
        <f>IF(ISNUMBER(Inputs!$L$5),(IF(Inputs!$L$9="Actual flat rate",L876*Inputs!$L$10,IF(Inputs!$C$9="Residential",IF(L876&lt;='Assumptions and Catalog'!$C$50,L876*'Assumptions and Catalog'!$H$50+'Assumptions and Catalog'!$E$50+'Assumptions and Catalog'!$F$50,IF(L876&lt;='Assumptions and Catalog'!$C$51,L876*'Assumptions and Catalog'!$H$51+'Assumptions and Catalog'!$E$51+'Assumptions and Catalog'!$F$51,IF(L876&lt;='Assumptions and Catalog'!$C$52,L876*'Assumptions and Catalog'!$H$52+'Assumptions and Catalog'!$E$52+'Assumptions and Catalog'!$F$52,IF(L876&lt;='Assumptions and Catalog'!$C$53,L876*'Assumptions and Catalog'!$H$53+'Assumptions and Catalog'!$E$53+'Assumptions and Catalog'!$F$53,IF(L876&lt;='Assumptions and Catalog'!$C$54,L876*'Assumptions and Catalog'!$H$54+'Assumptions and Catalog'!$E$54+'Assumptions and Catalog'!$F$54,IF(L876&lt;='Assumptions and Catalog'!$C$55,L876*'Assumptions and Catalog'!$H$55+'Assumptions and Catalog'!$E$55+'Assumptions and Catalog'!$F$55,IF(L876&lt;='Assumptions and Catalog'!$C$56,L876*'Assumptions and Catalog'!$H$56+'Assumptions and Catalog'!$E$56+'Assumptions and Catalog'!$F$56,IF(L876&lt;='Assumptions and Catalog'!$C$57,L876*'Assumptions and Catalog'!$H$57+'Assumptions and Catalog'!$E$57+'Assumptions and Catalog'!$F$57,"Out of range")))))))),IF(L876&lt;='Assumptions and Catalog'!$C$60,L876*'Assumptions and Catalog'!$H$60+'Assumptions and Catalog'!$E$60+'Assumptions and Catalog'!$F$60,IF(L876&lt;='Assumptions and Catalog'!$C$61,L876*'Assumptions and Catalog'!$H$61+'Assumptions and Catalog'!$E$61+'Assumptions and Catalog'!$F$61,IF(L876&lt;='Assumptions and Catalog'!$C$62,L876*'Assumptions and Catalog'!$H$62+'Assumptions and Catalog'!$E$62+'Assumptions and Catalog'!$F$62,IF(L876&lt;='Assumptions and Catalog'!$C$63,L876*'Assumptions and Catalog'!$H$63+'Assumptions and Catalog'!$E$63+'Assumptions and Catalog'!$F$63,IF(L876&lt;='Assumptions and Catalog'!$C$64,L876*'Assumptions and Catalog'!$H$64+'Assumptions and Catalog'!$E$64+'Assumptions and Catalog'!$F$64,IF(L876&lt;='Assumptions and Catalog'!$C$65,L876*'Assumptions and Catalog'!$H$65+'Assumptions and Catalog'!$E$65+'Assumptions and Catalog'!$F$65,"Out of range")))))))))*(1+'Assumptions and Catalog'!$C$8)^(A876-1),0)</f>
        <v>3389.43956173796</v>
      </c>
      <c r="O876" s="5" t="n">
        <f>M876-N876</f>
        <v>3705.35443826204</v>
      </c>
      <c r="P876" s="5" t="n">
        <f>E$55*(1-L$14)*(1-'Assumptions and Catalog'!$C$23)^R876</f>
        <v>8.88960546044641</v>
      </c>
      <c r="Q876" s="5" t="n">
        <f>IF(ISNUMBER(Inputs!$L$5),(IF(Inputs!$L$9="Actual flat rate",((D876+E876)*C876-G876)*Inputs!$L$10,IF(Inputs!$C$9="Residential",IF(((D876+E876)*C876-G876)&lt;='Assumptions and Catalog'!$C$50,((D876+E876)*C876-G876)*'Assumptions and Catalog'!$H$50+'Assumptions and Catalog'!$E$50+'Assumptions and Catalog'!$F$50,IF(((D876+E876)*C876-G876)&lt;='Assumptions and Catalog'!$C$51,((D876+E876)*C876-G876)*'Assumptions and Catalog'!$H$51+'Assumptions and Catalog'!$E$51+'Assumptions and Catalog'!$F$51,IF(((D876+E876)*C876-G876)&lt;='Assumptions and Catalog'!$C$52,((D876+E876)*C876-G876)*'Assumptions and Catalog'!$H$52+'Assumptions and Catalog'!$E$52+'Assumptions and Catalog'!$F$52,IF(((D876+E876)*C876-G876)&lt;='Assumptions and Catalog'!$C$53,((D876+E876)*C876-G876)*'Assumptions and Catalog'!$H$53+'Assumptions and Catalog'!$E$53+'Assumptions and Catalog'!$F$53,IF(((D876+E876)*C876-G876)&lt;='Assumptions and Catalog'!$C$54,((D876+E876)*C876-G876)*'Assumptions and Catalog'!$H$54+'Assumptions and Catalog'!$E$54+'Assumptions and Catalog'!$F$54,IF(((D876+E876)*C876-G876)&lt;='Assumptions and Catalog'!$C$55,((D876+E876)*C876-G876)*'Assumptions and Catalog'!$H$55+'Assumptions and Catalog'!$E$55+'Assumptions and Catalog'!$F$55,IF(((D876+E876)*C876-G876)&lt;='Assumptions and Catalog'!$C$56,((D876+E876)*C876-G876)*'Assumptions and Catalog'!$H$56+'Assumptions and Catalog'!$E$56+'Assumptions and Catalog'!$F$56,IF(((D876+E876)*C876-G876)&lt;='Assumptions and Catalog'!$C$57,((D876+E876)*C876-G876)*'Assumptions and Catalog'!$H$57+'Assumptions and Catalog'!$E$57+'Assumptions and Catalog'!$F$57,"Out of range")))))))),IF(((D876+E876)*C876-G876)&lt;='Assumptions and Catalog'!$C$60,((D876+E876)*C876-G876)*'Assumptions and Catalog'!$H$60+'Assumptions and Catalog'!$E$60+'Assumptions and Catalog'!$F$60,IF(((D876+E876)*C876-G876)&lt;='Assumptions and Catalog'!$C$61,((D876+E876)*C876-G876)*'Assumptions and Catalog'!$H$61+'Assumptions and Catalog'!$E$61+'Assumptions and Catalog'!$F$61,IF(((D876+E876)*C876-G876)&lt;='Assumptions and Catalog'!$C$62,((D876+E876)*C876-G876)*'Assumptions and Catalog'!$H$62+'Assumptions and Catalog'!$E$62+'Assumptions and Catalog'!$F$62,IF(((D876+E876)*C876-G876)&lt;='Assumptions and Catalog'!$C$63,((D876+E876)*C876-G876)*'Assumptions and Catalog'!$H$63+'Assumptions and Catalog'!$E$63+'Assumptions and Catalog'!$F$63,IF(((D876+E876)*C876-G876)&lt;='Assumptions and Catalog'!$C$64,((D876+E876)*C876-G876)*'Assumptions and Catalog'!$H$64+'Assumptions and Catalog'!$E$64+'Assumptions and Catalog'!$F$64,IF(((D876+E876)*C876-G876)&lt;='Assumptions and Catalog'!$C$65,((D876+E876)*C876-G876)*'Assumptions and Catalog'!$H$65+'Assumptions and Catalog'!$E$65+'Assumptions and Catalog'!$F$65,"Out of range")))))))))*(1+'Assumptions and Catalog'!$C$8)^(A876-1),0)</f>
        <v>3567.397</v>
      </c>
      <c r="R876" s="5" t="n">
        <f>IF(AND('Assumptions and Catalog'!$C$19&gt;0,A876&gt;='Assumptions and Catalog'!$C$19),A876-'Assumptions and Catalog'!$C$19,A876-1)</f>
        <v>7</v>
      </c>
      <c r="S876" s="5" t="n">
        <f>F876+L876-(D876+E876)*C876-J876-K876-IF(E$52&gt;0,'Assumptions and Catalog'!$C$26*C876,0)</f>
        <v>-3.33955085807247E-013</v>
      </c>
      <c r="T876" s="5"/>
      <c r="U876" s="5"/>
    </row>
    <row r="877" ht="23.100000381469727" customHeight="1">
      <c r="A877" s="5" t="n">
        <v>19</v>
      </c>
      <c r="B877" s="5" t="n">
        <v>1</v>
      </c>
      <c r="C877" s="5" t="n">
        <f>DAY(DATE('Assumptions and Catalog'!$C$24+A877-1,B877+1,0))</f>
        <v>31</v>
      </c>
      <c r="D877" s="5" t="n">
        <f>IF(ISNUMBER(Inputs!$L$5),Inputs!$L$5*Inputs!$L$6,0)</f>
        <v>40.35</v>
      </c>
      <c r="E877" s="5" t="n">
        <f>IF(ISNUMBER(Inputs!$L$5),Inputs!$L$5-D877,0)</f>
        <v>40.35</v>
      </c>
      <c r="F877" s="5" t="n">
        <f>E$51*INDEX('Solar Production'!$D$20:$D$31,B877)*C877*(1-'Assumptions and Catalog'!$C$10)^(A877-1)</f>
        <v>1319.69285286799</v>
      </c>
      <c r="G877" s="5" t="n">
        <f>MIN(F877,D877*C877)</f>
        <v>1250.85</v>
      </c>
      <c r="H877" s="5" t="n">
        <f>I877/('Assumptions and Catalog'!$C$11*'Assumptions and Catalog'!$C$12)</f>
        <v>68.8428528679886</v>
      </c>
      <c r="I877" s="5" t="n">
        <f>MIN(E877*C877,P877*'Assumptions and Catalog'!$C$12*C877,(F877-G877)*'Assumptions and Catalog'!$C$11*'Assumptions and Catalog'!$C$12,E$56*'Assumptions and Catalog'!$C$14*'Assumptions and Catalog'!$C$11*'Assumptions and Catalog'!$C$12*C877,E$57*(24-'Assumptions and Catalog'!$C$13)*C877)</f>
        <v>65.4437370076316</v>
      </c>
      <c r="J877" s="5" t="n">
        <f>MAX(F877-G877-H877,0)</f>
        <v>0</v>
      </c>
      <c r="K877" s="5" t="n">
        <f>H877-I877</f>
        <v>3.39911586035694</v>
      </c>
      <c r="L877" s="5" t="n">
        <f>(D877+E877)*C877-G877-I877+0+IF(E$52&gt;0,'Assumptions and Catalog'!$C$26*C877,0)</f>
        <v>1185.40626299237</v>
      </c>
      <c r="M877" s="5" t="n">
        <f>IF(ISNUMBER(Inputs!$L$5),(IF(Inputs!$L$9="Actual flat rate",((D877+E877)*C877)*Inputs!$L$10,IF(Inputs!$C$9="Residential",IF(((D877+E877)*C877)&lt;='Assumptions and Catalog'!$C$50,((D877+E877)*C877)*'Assumptions and Catalog'!$H$50+'Assumptions and Catalog'!$E$50+'Assumptions and Catalog'!$F$50,IF(((D877+E877)*C877)&lt;='Assumptions and Catalog'!$C$51,((D877+E877)*C877)*'Assumptions and Catalog'!$H$51+'Assumptions and Catalog'!$E$51+'Assumptions and Catalog'!$F$51,IF(((D877+E877)*C877)&lt;='Assumptions and Catalog'!$C$52,((D877+E877)*C877)*'Assumptions and Catalog'!$H$52+'Assumptions and Catalog'!$E$52+'Assumptions and Catalog'!$F$52,IF(((D877+E877)*C877)&lt;='Assumptions and Catalog'!$C$53,((D877+E877)*C877)*'Assumptions and Catalog'!$H$53+'Assumptions and Catalog'!$E$53+'Assumptions and Catalog'!$F$53,IF(((D877+E877)*C877)&lt;='Assumptions and Catalog'!$C$54,((D877+E877)*C877)*'Assumptions and Catalog'!$H$54+'Assumptions and Catalog'!$E$54+'Assumptions and Catalog'!$F$54,IF(((D877+E877)*C877)&lt;='Assumptions and Catalog'!$C$55,((D877+E877)*C877)*'Assumptions and Catalog'!$H$55+'Assumptions and Catalog'!$E$55+'Assumptions and Catalog'!$F$55,IF(((D877+E877)*C877)&lt;='Assumptions and Catalog'!$C$56,((D877+E877)*C877)*'Assumptions and Catalog'!$H$56+'Assumptions and Catalog'!$E$56+'Assumptions and Catalog'!$F$56,IF(((D877+E877)*C877)&lt;='Assumptions and Catalog'!$C$57,((D877+E877)*C877)*'Assumptions and Catalog'!$H$57+'Assumptions and Catalog'!$E$57+'Assumptions and Catalog'!$F$57,"Out of range")))))))),IF(((D877+E877)*C877)&lt;='Assumptions and Catalog'!$C$60,((D877+E877)*C877)*'Assumptions and Catalog'!$H$60+'Assumptions and Catalog'!$E$60+'Assumptions and Catalog'!$F$60,IF(((D877+E877)*C877)&lt;='Assumptions and Catalog'!$C$61,((D877+E877)*C877)*'Assumptions and Catalog'!$H$61+'Assumptions and Catalog'!$E$61+'Assumptions and Catalog'!$F$61,IF(((D877+E877)*C877)&lt;='Assumptions and Catalog'!$C$62,((D877+E877)*C877)*'Assumptions and Catalog'!$H$62+'Assumptions and Catalog'!$E$62+'Assumptions and Catalog'!$F$62,IF(((D877+E877)*C877)&lt;='Assumptions and Catalog'!$C$63,((D877+E877)*C877)*'Assumptions and Catalog'!$H$63+'Assumptions and Catalog'!$E$63+'Assumptions and Catalog'!$F$63,IF(((D877+E877)*C877)&lt;='Assumptions and Catalog'!$C$64,((D877+E877)*C877)*'Assumptions and Catalog'!$H$64+'Assumptions and Catalog'!$E$64+'Assumptions and Catalog'!$F$64,IF(((D877+E877)*C877)&lt;='Assumptions and Catalog'!$C$65,((D877+E877)*C877)*'Assumptions and Catalog'!$H$65+'Assumptions and Catalog'!$E$65+'Assumptions and Catalog'!$F$65,"Out of range")))))))))*(1+'Assumptions and Catalog'!$C$8)^(A877-1),0)</f>
        <v>7094.794</v>
      </c>
      <c r="N877" s="5" t="n">
        <f>IF(ISNUMBER(Inputs!$L$5),(IF(Inputs!$L$9="Actual flat rate",L877*Inputs!$L$10,IF(Inputs!$C$9="Residential",IF(L877&lt;='Assumptions and Catalog'!$C$50,L877*'Assumptions and Catalog'!$H$50+'Assumptions and Catalog'!$E$50+'Assumptions and Catalog'!$F$50,IF(L877&lt;='Assumptions and Catalog'!$C$51,L877*'Assumptions and Catalog'!$H$51+'Assumptions and Catalog'!$E$51+'Assumptions and Catalog'!$F$51,IF(L877&lt;='Assumptions and Catalog'!$C$52,L877*'Assumptions and Catalog'!$H$52+'Assumptions and Catalog'!$E$52+'Assumptions and Catalog'!$F$52,IF(L877&lt;='Assumptions and Catalog'!$C$53,L877*'Assumptions and Catalog'!$H$53+'Assumptions and Catalog'!$E$53+'Assumptions and Catalog'!$F$53,IF(L877&lt;='Assumptions and Catalog'!$C$54,L877*'Assumptions and Catalog'!$H$54+'Assumptions and Catalog'!$E$54+'Assumptions and Catalog'!$F$54,IF(L877&lt;='Assumptions and Catalog'!$C$55,L877*'Assumptions and Catalog'!$H$55+'Assumptions and Catalog'!$E$55+'Assumptions and Catalog'!$F$55,IF(L877&lt;='Assumptions and Catalog'!$C$56,L877*'Assumptions and Catalog'!$H$56+'Assumptions and Catalog'!$E$56+'Assumptions and Catalog'!$F$56,IF(L877&lt;='Assumptions and Catalog'!$C$57,L877*'Assumptions and Catalog'!$H$57+'Assumptions and Catalog'!$E$57+'Assumptions and Catalog'!$F$57,"Out of range")))))))),IF(L877&lt;='Assumptions and Catalog'!$C$60,L877*'Assumptions and Catalog'!$H$60+'Assumptions and Catalog'!$E$60+'Assumptions and Catalog'!$F$60,IF(L877&lt;='Assumptions and Catalog'!$C$61,L877*'Assumptions and Catalog'!$H$61+'Assumptions and Catalog'!$E$61+'Assumptions and Catalog'!$F$61,IF(L877&lt;='Assumptions and Catalog'!$C$62,L877*'Assumptions and Catalog'!$H$62+'Assumptions and Catalog'!$E$62+'Assumptions and Catalog'!$F$62,IF(L877&lt;='Assumptions and Catalog'!$C$63,L877*'Assumptions and Catalog'!$H$63+'Assumptions and Catalog'!$E$63+'Assumptions and Catalog'!$F$63,IF(L877&lt;='Assumptions and Catalog'!$C$64,L877*'Assumptions and Catalog'!$H$64+'Assumptions and Catalog'!$E$64+'Assumptions and Catalog'!$F$64,IF(L877&lt;='Assumptions and Catalog'!$C$65,L877*'Assumptions and Catalog'!$H$65+'Assumptions and Catalog'!$E$65+'Assumptions and Catalog'!$F$65,"Out of range")))))))))*(1+'Assumptions and Catalog'!$C$8)^(A877-1),0)</f>
        <v>3382.84566163848</v>
      </c>
      <c r="O877" s="5" t="n">
        <f>M877-N877</f>
        <v>3711.94833836152</v>
      </c>
      <c r="P877" s="5" t="n">
        <f>E$55*(1-L$14)*(1-'Assumptions and Catalog'!$C$23)^R877</f>
        <v>8.71181335123749</v>
      </c>
      <c r="Q877" s="5" t="n">
        <f>IF(ISNUMBER(Inputs!$L$5),(IF(Inputs!$L$9="Actual flat rate",((D877+E877)*C877-G877)*Inputs!$L$10,IF(Inputs!$C$9="Residential",IF(((D877+E877)*C877-G877)&lt;='Assumptions and Catalog'!$C$50,((D877+E877)*C877-G877)*'Assumptions and Catalog'!$H$50+'Assumptions and Catalog'!$E$50+'Assumptions and Catalog'!$F$50,IF(((D877+E877)*C877-G877)&lt;='Assumptions and Catalog'!$C$51,((D877+E877)*C877-G877)*'Assumptions and Catalog'!$H$51+'Assumptions and Catalog'!$E$51+'Assumptions and Catalog'!$F$51,IF(((D877+E877)*C877-G877)&lt;='Assumptions and Catalog'!$C$52,((D877+E877)*C877-G877)*'Assumptions and Catalog'!$H$52+'Assumptions and Catalog'!$E$52+'Assumptions and Catalog'!$F$52,IF(((D877+E877)*C877-G877)&lt;='Assumptions and Catalog'!$C$53,((D877+E877)*C877-G877)*'Assumptions and Catalog'!$H$53+'Assumptions and Catalog'!$E$53+'Assumptions and Catalog'!$F$53,IF(((D877+E877)*C877-G877)&lt;='Assumptions and Catalog'!$C$54,((D877+E877)*C877-G877)*'Assumptions and Catalog'!$H$54+'Assumptions and Catalog'!$E$54+'Assumptions and Catalog'!$F$54,IF(((D877+E877)*C877-G877)&lt;='Assumptions and Catalog'!$C$55,((D877+E877)*C877-G877)*'Assumptions and Catalog'!$H$55+'Assumptions and Catalog'!$E$55+'Assumptions and Catalog'!$F$55,IF(((D877+E877)*C877-G877)&lt;='Assumptions and Catalog'!$C$56,((D877+E877)*C877-G877)*'Assumptions and Catalog'!$H$56+'Assumptions and Catalog'!$E$56+'Assumptions and Catalog'!$F$56,IF(((D877+E877)*C877-G877)&lt;='Assumptions and Catalog'!$C$57,((D877+E877)*C877-G877)*'Assumptions and Catalog'!$H$57+'Assumptions and Catalog'!$E$57+'Assumptions and Catalog'!$F$57,"Out of range")))))))),IF(((D877+E877)*C877-G877)&lt;='Assumptions and Catalog'!$C$60,((D877+E877)*C877-G877)*'Assumptions and Catalog'!$H$60+'Assumptions and Catalog'!$E$60+'Assumptions and Catalog'!$F$60,IF(((D877+E877)*C877-G877)&lt;='Assumptions and Catalog'!$C$61,((D877+E877)*C877-G877)*'Assumptions and Catalog'!$H$61+'Assumptions and Catalog'!$E$61+'Assumptions and Catalog'!$F$61,IF(((D877+E877)*C877-G877)&lt;='Assumptions and Catalog'!$C$62,((D877+E877)*C877-G877)*'Assumptions and Catalog'!$H$62+'Assumptions and Catalog'!$E$62+'Assumptions and Catalog'!$F$62,IF(((D877+E877)*C877-G877)&lt;='Assumptions and Catalog'!$C$63,((D877+E877)*C877-G877)*'Assumptions and Catalog'!$H$63+'Assumptions and Catalog'!$E$63+'Assumptions and Catalog'!$F$63,IF(((D877+E877)*C877-G877)&lt;='Assumptions and Catalog'!$C$64,((D877+E877)*C877-G877)*'Assumptions and Catalog'!$H$64+'Assumptions and Catalog'!$E$64+'Assumptions and Catalog'!$F$64,IF(((D877+E877)*C877-G877)&lt;='Assumptions and Catalog'!$C$65,((D877+E877)*C877-G877)*'Assumptions and Catalog'!$H$65+'Assumptions and Catalog'!$E$65+'Assumptions and Catalog'!$F$65,"Out of range")))))))))*(1+'Assumptions and Catalog'!$C$8)^(A877-1),0)</f>
        <v>3567.397</v>
      </c>
      <c r="R877" s="5" t="n">
        <f>IF(AND('Assumptions and Catalog'!$C$19&gt;0,A877&gt;='Assumptions and Catalog'!$C$19),A877-'Assumptions and Catalog'!$C$19,A877-1)</f>
        <v>8</v>
      </c>
      <c r="S877" s="5" t="n">
        <f>F877+L877-(D877+E877)*C877-J877-K877-IF(E$52&gt;0,'Assumptions and Catalog'!$C$26*C877,0)</f>
        <v>1.98951966012828E-013</v>
      </c>
      <c r="T877" s="5"/>
      <c r="U877" s="5"/>
    </row>
    <row r="878" ht="23.100000381469727" customHeight="1">
      <c r="A878" s="5" t="n">
        <v>19</v>
      </c>
      <c r="B878" s="5" t="n">
        <v>2</v>
      </c>
      <c r="C878" s="5" t="n">
        <f>DAY(DATE('Assumptions and Catalog'!$C$24+A878-1,B878+1,0))</f>
        <v>28</v>
      </c>
      <c r="D878" s="5" t="n">
        <f>IF(ISNUMBER(Inputs!$L$5),Inputs!$L$5*Inputs!$L$6,0)</f>
        <v>40.35</v>
      </c>
      <c r="E878" s="5" t="n">
        <f>IF(ISNUMBER(Inputs!$L$5),Inputs!$L$5-D878,0)</f>
        <v>40.35</v>
      </c>
      <c r="F878" s="5" t="n">
        <f>E$51*INDEX('Solar Production'!$D$20:$D$31,B878)*C878*(1-'Assumptions and Catalog'!$C$10)^(A878-1)</f>
        <v>1301.09855143763</v>
      </c>
      <c r="G878" s="5" t="n">
        <f>MIN(F878,D878*C878)</f>
        <v>1129.8</v>
      </c>
      <c r="H878" s="5" t="n">
        <f>I878/('Assumptions and Catalog'!$C$11*'Assumptions and Catalog'!$C$12)</f>
        <v>171.298551437632</v>
      </c>
      <c r="I878" s="5" t="n">
        <f>MIN(E878*C878,P878*'Assumptions and Catalog'!$C$12*C878,(F878-G878)*'Assumptions and Catalog'!$C$11*'Assumptions and Catalog'!$C$12,E$56*'Assumptions and Catalog'!$C$14*'Assumptions and Catalog'!$C$11*'Assumptions and Catalog'!$C$12*C878,E$57*(24-'Assumptions and Catalog'!$C$13)*C878)</f>
        <v>162.840685460399</v>
      </c>
      <c r="J878" s="5" t="n">
        <f>MAX(F878-G878-H878,0)</f>
        <v>0</v>
      </c>
      <c r="K878" s="5" t="n">
        <f>H878-I878</f>
        <v>8.4578659772331</v>
      </c>
      <c r="L878" s="5" t="n">
        <f>(D878+E878)*C878-G878-I878+0+IF(E$52&gt;0,'Assumptions and Catalog'!$C$26*C878,0)</f>
        <v>966.959314539601</v>
      </c>
      <c r="M878" s="5" t="n">
        <f>IF(ISNUMBER(Inputs!$L$5),(IF(Inputs!$L$9="Actual flat rate",((D878+E878)*C878)*Inputs!$L$10,IF(Inputs!$C$9="Residential",IF(((D878+E878)*C878)&lt;='Assumptions and Catalog'!$C$50,((D878+E878)*C878)*'Assumptions and Catalog'!$H$50+'Assumptions and Catalog'!$E$50+'Assumptions and Catalog'!$F$50,IF(((D878+E878)*C878)&lt;='Assumptions and Catalog'!$C$51,((D878+E878)*C878)*'Assumptions and Catalog'!$H$51+'Assumptions and Catalog'!$E$51+'Assumptions and Catalog'!$F$51,IF(((D878+E878)*C878)&lt;='Assumptions and Catalog'!$C$52,((D878+E878)*C878)*'Assumptions and Catalog'!$H$52+'Assumptions and Catalog'!$E$52+'Assumptions and Catalog'!$F$52,IF(((D878+E878)*C878)&lt;='Assumptions and Catalog'!$C$53,((D878+E878)*C878)*'Assumptions and Catalog'!$H$53+'Assumptions and Catalog'!$E$53+'Assumptions and Catalog'!$F$53,IF(((D878+E878)*C878)&lt;='Assumptions and Catalog'!$C$54,((D878+E878)*C878)*'Assumptions and Catalog'!$H$54+'Assumptions and Catalog'!$E$54+'Assumptions and Catalog'!$F$54,IF(((D878+E878)*C878)&lt;='Assumptions and Catalog'!$C$55,((D878+E878)*C878)*'Assumptions and Catalog'!$H$55+'Assumptions and Catalog'!$E$55+'Assumptions and Catalog'!$F$55,IF(((D878+E878)*C878)&lt;='Assumptions and Catalog'!$C$56,((D878+E878)*C878)*'Assumptions and Catalog'!$H$56+'Assumptions and Catalog'!$E$56+'Assumptions and Catalog'!$F$56,IF(((D878+E878)*C878)&lt;='Assumptions and Catalog'!$C$57,((D878+E878)*C878)*'Assumptions and Catalog'!$H$57+'Assumptions and Catalog'!$E$57+'Assumptions and Catalog'!$F$57,"Out of range")))))))),IF(((D878+E878)*C878)&lt;='Assumptions and Catalog'!$C$60,((D878+E878)*C878)*'Assumptions and Catalog'!$H$60+'Assumptions and Catalog'!$E$60+'Assumptions and Catalog'!$F$60,IF(((D878+E878)*C878)&lt;='Assumptions and Catalog'!$C$61,((D878+E878)*C878)*'Assumptions and Catalog'!$H$61+'Assumptions and Catalog'!$E$61+'Assumptions and Catalog'!$F$61,IF(((D878+E878)*C878)&lt;='Assumptions and Catalog'!$C$62,((D878+E878)*C878)*'Assumptions and Catalog'!$H$62+'Assumptions and Catalog'!$E$62+'Assumptions and Catalog'!$F$62,IF(((D878+E878)*C878)&lt;='Assumptions and Catalog'!$C$63,((D878+E878)*C878)*'Assumptions and Catalog'!$H$63+'Assumptions and Catalog'!$E$63+'Assumptions and Catalog'!$F$63,IF(((D878+E878)*C878)&lt;='Assumptions and Catalog'!$C$64,((D878+E878)*C878)*'Assumptions and Catalog'!$H$64+'Assumptions and Catalog'!$E$64+'Assumptions and Catalog'!$F$64,IF(((D878+E878)*C878)&lt;='Assumptions and Catalog'!$C$65,((D878+E878)*C878)*'Assumptions and Catalog'!$H$65+'Assumptions and Catalog'!$E$65+'Assumptions and Catalog'!$F$65,"Out of range")))))))))*(1+'Assumptions and Catalog'!$C$8)^(A878-1),0)</f>
        <v>6412.072</v>
      </c>
      <c r="N878" s="5" t="n">
        <f>IF(ISNUMBER(Inputs!$L$5),(IF(Inputs!$L$9="Actual flat rate",L878*Inputs!$L$10,IF(Inputs!$C$9="Residential",IF(L878&lt;='Assumptions and Catalog'!$C$50,L878*'Assumptions and Catalog'!$H$50+'Assumptions and Catalog'!$E$50+'Assumptions and Catalog'!$F$50,IF(L878&lt;='Assumptions and Catalog'!$C$51,L878*'Assumptions and Catalog'!$H$51+'Assumptions and Catalog'!$E$51+'Assumptions and Catalog'!$F$51,IF(L878&lt;='Assumptions and Catalog'!$C$52,L878*'Assumptions and Catalog'!$H$52+'Assumptions and Catalog'!$E$52+'Assumptions and Catalog'!$F$52,IF(L878&lt;='Assumptions and Catalog'!$C$53,L878*'Assumptions and Catalog'!$H$53+'Assumptions and Catalog'!$E$53+'Assumptions and Catalog'!$F$53,IF(L878&lt;='Assumptions and Catalog'!$C$54,L878*'Assumptions and Catalog'!$H$54+'Assumptions and Catalog'!$E$54+'Assumptions and Catalog'!$F$54,IF(L878&lt;='Assumptions and Catalog'!$C$55,L878*'Assumptions and Catalog'!$H$55+'Assumptions and Catalog'!$E$55+'Assumptions and Catalog'!$F$55,IF(L878&lt;='Assumptions and Catalog'!$C$56,L878*'Assumptions and Catalog'!$H$56+'Assumptions and Catalog'!$E$56+'Assumptions and Catalog'!$F$56,IF(L878&lt;='Assumptions and Catalog'!$C$57,L878*'Assumptions and Catalog'!$H$57+'Assumptions and Catalog'!$E$57+'Assumptions and Catalog'!$F$57,"Out of range")))))))),IF(L878&lt;='Assumptions and Catalog'!$C$60,L878*'Assumptions and Catalog'!$H$60+'Assumptions and Catalog'!$E$60+'Assumptions and Catalog'!$F$60,IF(L878&lt;='Assumptions and Catalog'!$C$61,L878*'Assumptions and Catalog'!$H$61+'Assumptions and Catalog'!$E$61+'Assumptions and Catalog'!$F$61,IF(L878&lt;='Assumptions and Catalog'!$C$62,L878*'Assumptions and Catalog'!$H$62+'Assumptions and Catalog'!$E$62+'Assumptions and Catalog'!$F$62,IF(L878&lt;='Assumptions and Catalog'!$C$63,L878*'Assumptions and Catalog'!$H$63+'Assumptions and Catalog'!$E$63+'Assumptions and Catalog'!$F$63,IF(L878&lt;='Assumptions and Catalog'!$C$64,L878*'Assumptions and Catalog'!$H$64+'Assumptions and Catalog'!$E$64+'Assumptions and Catalog'!$F$64,IF(L878&lt;='Assumptions and Catalog'!$C$65,L878*'Assumptions and Catalog'!$H$65+'Assumptions and Catalog'!$E$65+'Assumptions and Catalog'!$F$65,"Out of range")))))))))*(1+'Assumptions and Catalog'!$C$8)^(A878-1),0)</f>
        <v>2643.47730127469</v>
      </c>
      <c r="O878" s="5" t="n">
        <f>M878-N878</f>
        <v>3768.5946987253</v>
      </c>
      <c r="P878" s="5" t="n">
        <f>E$55*(1-L$14)*(1-'Assumptions and Catalog'!$C$23)^R878</f>
        <v>8.71181335123749</v>
      </c>
      <c r="Q878" s="5" t="n">
        <f>IF(ISNUMBER(Inputs!$L$5),(IF(Inputs!$L$9="Actual flat rate",((D878+E878)*C878-G878)*Inputs!$L$10,IF(Inputs!$C$9="Residential",IF(((D878+E878)*C878-G878)&lt;='Assumptions and Catalog'!$C$50,((D878+E878)*C878-G878)*'Assumptions and Catalog'!$H$50+'Assumptions and Catalog'!$E$50+'Assumptions and Catalog'!$F$50,IF(((D878+E878)*C878-G878)&lt;='Assumptions and Catalog'!$C$51,((D878+E878)*C878-G878)*'Assumptions and Catalog'!$H$51+'Assumptions and Catalog'!$E$51+'Assumptions and Catalog'!$F$51,IF(((D878+E878)*C878-G878)&lt;='Assumptions and Catalog'!$C$52,((D878+E878)*C878-G878)*'Assumptions and Catalog'!$H$52+'Assumptions and Catalog'!$E$52+'Assumptions and Catalog'!$F$52,IF(((D878+E878)*C878-G878)&lt;='Assumptions and Catalog'!$C$53,((D878+E878)*C878-G878)*'Assumptions and Catalog'!$H$53+'Assumptions and Catalog'!$E$53+'Assumptions and Catalog'!$F$53,IF(((D878+E878)*C878-G878)&lt;='Assumptions and Catalog'!$C$54,((D878+E878)*C878-G878)*'Assumptions and Catalog'!$H$54+'Assumptions and Catalog'!$E$54+'Assumptions and Catalog'!$F$54,IF(((D878+E878)*C878-G878)&lt;='Assumptions and Catalog'!$C$55,((D878+E878)*C878-G878)*'Assumptions and Catalog'!$H$55+'Assumptions and Catalog'!$E$55+'Assumptions and Catalog'!$F$55,IF(((D878+E878)*C878-G878)&lt;='Assumptions and Catalog'!$C$56,((D878+E878)*C878-G878)*'Assumptions and Catalog'!$H$56+'Assumptions and Catalog'!$E$56+'Assumptions and Catalog'!$F$56,IF(((D878+E878)*C878-G878)&lt;='Assumptions and Catalog'!$C$57,((D878+E878)*C878-G878)*'Assumptions and Catalog'!$H$57+'Assumptions and Catalog'!$E$57+'Assumptions and Catalog'!$F$57,"Out of range")))))))),IF(((D878+E878)*C878-G878)&lt;='Assumptions and Catalog'!$C$60,((D878+E878)*C878-G878)*'Assumptions and Catalog'!$H$60+'Assumptions and Catalog'!$E$60+'Assumptions and Catalog'!$F$60,IF(((D878+E878)*C878-G878)&lt;='Assumptions and Catalog'!$C$61,((D878+E878)*C878-G878)*'Assumptions and Catalog'!$H$61+'Assumptions and Catalog'!$E$61+'Assumptions and Catalog'!$F$61,IF(((D878+E878)*C878-G878)&lt;='Assumptions and Catalog'!$C$62,((D878+E878)*C878-G878)*'Assumptions and Catalog'!$H$62+'Assumptions and Catalog'!$E$62+'Assumptions and Catalog'!$F$62,IF(((D878+E878)*C878-G878)&lt;='Assumptions and Catalog'!$C$63,((D878+E878)*C878-G878)*'Assumptions and Catalog'!$H$63+'Assumptions and Catalog'!$E$63+'Assumptions and Catalog'!$F$63,IF(((D878+E878)*C878-G878)&lt;='Assumptions and Catalog'!$C$64,((D878+E878)*C878-G878)*'Assumptions and Catalog'!$H$64+'Assumptions and Catalog'!$E$64+'Assumptions and Catalog'!$F$64,IF(((D878+E878)*C878-G878)&lt;='Assumptions and Catalog'!$C$65,((D878+E878)*C878-G878)*'Assumptions and Catalog'!$H$65+'Assumptions and Catalog'!$E$65+'Assumptions and Catalog'!$F$65,"Out of range")))))))))*(1+'Assumptions and Catalog'!$C$8)^(A878-1),0)</f>
        <v>3226.036</v>
      </c>
      <c r="R878" s="5" t="n">
        <f>IF(AND('Assumptions and Catalog'!$C$19&gt;0,A878&gt;='Assumptions and Catalog'!$C$19),A878-'Assumptions and Catalog'!$C$19,A878-1)</f>
        <v>8</v>
      </c>
      <c r="S878" s="5" t="n">
        <f>F878+L878-(D878+E878)*C878-J878-K878-IF(E$52&gt;0,'Assumptions and Catalog'!$C$26*C878,0)</f>
        <v>-2.8421709430404E-013</v>
      </c>
      <c r="T878" s="5"/>
      <c r="U878" s="5"/>
    </row>
    <row r="879" ht="23.100000381469727" customHeight="1">
      <c r="A879" s="5" t="n">
        <v>19</v>
      </c>
      <c r="B879" s="5" t="n">
        <v>3</v>
      </c>
      <c r="C879" s="5" t="n">
        <f>DAY(DATE('Assumptions and Catalog'!$C$24+A879-1,B879+1,0))</f>
        <v>31</v>
      </c>
      <c r="D879" s="5" t="n">
        <f>IF(ISNUMBER(Inputs!$L$5),Inputs!$L$5*Inputs!$L$6,0)</f>
        <v>40.35</v>
      </c>
      <c r="E879" s="5" t="n">
        <f>IF(ISNUMBER(Inputs!$L$5),Inputs!$L$5-D879,0)</f>
        <v>40.35</v>
      </c>
      <c r="F879" s="5" t="n">
        <f>E$51*INDEX('Solar Production'!$D$20:$D$31,B879)*C879*(1-'Assumptions and Catalog'!$C$10)^(A879-1)</f>
        <v>1618.80983155307</v>
      </c>
      <c r="G879" s="5" t="n">
        <f>MIN(F879,D879*C879)</f>
        <v>1250.85</v>
      </c>
      <c r="H879" s="5" t="n">
        <f>I879/('Assumptions and Catalog'!$C$11*'Assumptions and Catalog'!$C$12)</f>
        <v>276.990988603448</v>
      </c>
      <c r="I879" s="5" t="n">
        <f>MIN(E879*C879,P879*'Assumptions and Catalog'!$C$12*C879,(F879-G879)*'Assumptions and Catalog'!$C$11*'Assumptions and Catalog'!$C$12,E$56*'Assumptions and Catalog'!$C$14*'Assumptions and Catalog'!$C$11*'Assumptions and Catalog'!$C$12*C879,E$57*(24-'Assumptions and Catalog'!$C$13)*C879)</f>
        <v>263.314558541153</v>
      </c>
      <c r="J879" s="5" t="n">
        <f>MAX(F879-G879-H879,0)</f>
        <v>90.9688429496222</v>
      </c>
      <c r="K879" s="5" t="n">
        <f>H879-I879</f>
        <v>13.6764300622953</v>
      </c>
      <c r="L879" s="5" t="n">
        <f>(D879+E879)*C879-G879-I879+0+IF(E$52&gt;0,'Assumptions and Catalog'!$C$26*C879,0)</f>
        <v>987.535441458847</v>
      </c>
      <c r="M879" s="5" t="n">
        <f>IF(ISNUMBER(Inputs!$L$5),(IF(Inputs!$L$9="Actual flat rate",((D879+E879)*C879)*Inputs!$L$10,IF(Inputs!$C$9="Residential",IF(((D879+E879)*C879)&lt;='Assumptions and Catalog'!$C$50,((D879+E879)*C879)*'Assumptions and Catalog'!$H$50+'Assumptions and Catalog'!$E$50+'Assumptions and Catalog'!$F$50,IF(((D879+E879)*C879)&lt;='Assumptions and Catalog'!$C$51,((D879+E879)*C879)*'Assumptions and Catalog'!$H$51+'Assumptions and Catalog'!$E$51+'Assumptions and Catalog'!$F$51,IF(((D879+E879)*C879)&lt;='Assumptions and Catalog'!$C$52,((D879+E879)*C879)*'Assumptions and Catalog'!$H$52+'Assumptions and Catalog'!$E$52+'Assumptions and Catalog'!$F$52,IF(((D879+E879)*C879)&lt;='Assumptions and Catalog'!$C$53,((D879+E879)*C879)*'Assumptions and Catalog'!$H$53+'Assumptions and Catalog'!$E$53+'Assumptions and Catalog'!$F$53,IF(((D879+E879)*C879)&lt;='Assumptions and Catalog'!$C$54,((D879+E879)*C879)*'Assumptions and Catalog'!$H$54+'Assumptions and Catalog'!$E$54+'Assumptions and Catalog'!$F$54,IF(((D879+E879)*C879)&lt;='Assumptions and Catalog'!$C$55,((D879+E879)*C879)*'Assumptions and Catalog'!$H$55+'Assumptions and Catalog'!$E$55+'Assumptions and Catalog'!$F$55,IF(((D879+E879)*C879)&lt;='Assumptions and Catalog'!$C$56,((D879+E879)*C879)*'Assumptions and Catalog'!$H$56+'Assumptions and Catalog'!$E$56+'Assumptions and Catalog'!$F$56,IF(((D879+E879)*C879)&lt;='Assumptions and Catalog'!$C$57,((D879+E879)*C879)*'Assumptions and Catalog'!$H$57+'Assumptions and Catalog'!$E$57+'Assumptions and Catalog'!$F$57,"Out of range")))))))),IF(((D879+E879)*C879)&lt;='Assumptions and Catalog'!$C$60,((D879+E879)*C879)*'Assumptions and Catalog'!$H$60+'Assumptions and Catalog'!$E$60+'Assumptions and Catalog'!$F$60,IF(((D879+E879)*C879)&lt;='Assumptions and Catalog'!$C$61,((D879+E879)*C879)*'Assumptions and Catalog'!$H$61+'Assumptions and Catalog'!$E$61+'Assumptions and Catalog'!$F$61,IF(((D879+E879)*C879)&lt;='Assumptions and Catalog'!$C$62,((D879+E879)*C879)*'Assumptions and Catalog'!$H$62+'Assumptions and Catalog'!$E$62+'Assumptions and Catalog'!$F$62,IF(((D879+E879)*C879)&lt;='Assumptions and Catalog'!$C$63,((D879+E879)*C879)*'Assumptions and Catalog'!$H$63+'Assumptions and Catalog'!$E$63+'Assumptions and Catalog'!$F$63,IF(((D879+E879)*C879)&lt;='Assumptions and Catalog'!$C$64,((D879+E879)*C879)*'Assumptions and Catalog'!$H$64+'Assumptions and Catalog'!$E$64+'Assumptions and Catalog'!$F$64,IF(((D879+E879)*C879)&lt;='Assumptions and Catalog'!$C$65,((D879+E879)*C879)*'Assumptions and Catalog'!$H$65+'Assumptions and Catalog'!$E$65+'Assumptions and Catalog'!$F$65,"Out of range")))))))))*(1+'Assumptions and Catalog'!$C$8)^(A879-1),0)</f>
        <v>7094.794</v>
      </c>
      <c r="N879" s="5" t="n">
        <f>IF(ISNUMBER(Inputs!$L$5),(IF(Inputs!$L$9="Actual flat rate",L879*Inputs!$L$10,IF(Inputs!$C$9="Residential",IF(L879&lt;='Assumptions and Catalog'!$C$50,L879*'Assumptions and Catalog'!$H$50+'Assumptions and Catalog'!$E$50+'Assumptions and Catalog'!$F$50,IF(L879&lt;='Assumptions and Catalog'!$C$51,L879*'Assumptions and Catalog'!$H$51+'Assumptions and Catalog'!$E$51+'Assumptions and Catalog'!$F$51,IF(L879&lt;='Assumptions and Catalog'!$C$52,L879*'Assumptions and Catalog'!$H$52+'Assumptions and Catalog'!$E$52+'Assumptions and Catalog'!$F$52,IF(L879&lt;='Assumptions and Catalog'!$C$53,L879*'Assumptions and Catalog'!$H$53+'Assumptions and Catalog'!$E$53+'Assumptions and Catalog'!$F$53,IF(L879&lt;='Assumptions and Catalog'!$C$54,L879*'Assumptions and Catalog'!$H$54+'Assumptions and Catalog'!$E$54+'Assumptions and Catalog'!$F$54,IF(L879&lt;='Assumptions and Catalog'!$C$55,L879*'Assumptions and Catalog'!$H$55+'Assumptions and Catalog'!$E$55+'Assumptions and Catalog'!$F$55,IF(L879&lt;='Assumptions and Catalog'!$C$56,L879*'Assumptions and Catalog'!$H$56+'Assumptions and Catalog'!$E$56+'Assumptions and Catalog'!$F$56,IF(L879&lt;='Assumptions and Catalog'!$C$57,L879*'Assumptions and Catalog'!$H$57+'Assumptions and Catalog'!$E$57+'Assumptions and Catalog'!$F$57,"Out of range")))))))),IF(L879&lt;='Assumptions and Catalog'!$C$60,L879*'Assumptions and Catalog'!$H$60+'Assumptions and Catalog'!$E$60+'Assumptions and Catalog'!$F$60,IF(L879&lt;='Assumptions and Catalog'!$C$61,L879*'Assumptions and Catalog'!$H$61+'Assumptions and Catalog'!$E$61+'Assumptions and Catalog'!$F$61,IF(L879&lt;='Assumptions and Catalog'!$C$62,L879*'Assumptions and Catalog'!$H$62+'Assumptions and Catalog'!$E$62+'Assumptions and Catalog'!$F$62,IF(L879&lt;='Assumptions and Catalog'!$C$63,L879*'Assumptions and Catalog'!$H$63+'Assumptions and Catalog'!$E$63+'Assumptions and Catalog'!$F$63,IF(L879&lt;='Assumptions and Catalog'!$C$64,L879*'Assumptions and Catalog'!$H$64+'Assumptions and Catalog'!$E$64+'Assumptions and Catalog'!$F$64,IF(L879&lt;='Assumptions and Catalog'!$C$65,L879*'Assumptions and Catalog'!$H$65+'Assumptions and Catalog'!$E$65+'Assumptions and Catalog'!$F$65,"Out of range")))))))))*(1+'Assumptions and Catalog'!$C$8)^(A879-1),0)</f>
        <v>2700.47317284101</v>
      </c>
      <c r="O879" s="5" t="n">
        <f>M879-N879</f>
        <v>4394.320827159</v>
      </c>
      <c r="P879" s="5" t="n">
        <f>E$55*(1-L$14)*(1-'Assumptions and Catalog'!$C$23)^R879</f>
        <v>8.71181335123749</v>
      </c>
      <c r="Q879" s="5" t="n">
        <f>IF(ISNUMBER(Inputs!$L$5),(IF(Inputs!$L$9="Actual flat rate",((D879+E879)*C879-G879)*Inputs!$L$10,IF(Inputs!$C$9="Residential",IF(((D879+E879)*C879-G879)&lt;='Assumptions and Catalog'!$C$50,((D879+E879)*C879-G879)*'Assumptions and Catalog'!$H$50+'Assumptions and Catalog'!$E$50+'Assumptions and Catalog'!$F$50,IF(((D879+E879)*C879-G879)&lt;='Assumptions and Catalog'!$C$51,((D879+E879)*C879-G879)*'Assumptions and Catalog'!$H$51+'Assumptions and Catalog'!$E$51+'Assumptions and Catalog'!$F$51,IF(((D879+E879)*C879-G879)&lt;='Assumptions and Catalog'!$C$52,((D879+E879)*C879-G879)*'Assumptions and Catalog'!$H$52+'Assumptions and Catalog'!$E$52+'Assumptions and Catalog'!$F$52,IF(((D879+E879)*C879-G879)&lt;='Assumptions and Catalog'!$C$53,((D879+E879)*C879-G879)*'Assumptions and Catalog'!$H$53+'Assumptions and Catalog'!$E$53+'Assumptions and Catalog'!$F$53,IF(((D879+E879)*C879-G879)&lt;='Assumptions and Catalog'!$C$54,((D879+E879)*C879-G879)*'Assumptions and Catalog'!$H$54+'Assumptions and Catalog'!$E$54+'Assumptions and Catalog'!$F$54,IF(((D879+E879)*C879-G879)&lt;='Assumptions and Catalog'!$C$55,((D879+E879)*C879-G879)*'Assumptions and Catalog'!$H$55+'Assumptions and Catalog'!$E$55+'Assumptions and Catalog'!$F$55,IF(((D879+E879)*C879-G879)&lt;='Assumptions and Catalog'!$C$56,((D879+E879)*C879-G879)*'Assumptions and Catalog'!$H$56+'Assumptions and Catalog'!$E$56+'Assumptions and Catalog'!$F$56,IF(((D879+E879)*C879-G879)&lt;='Assumptions and Catalog'!$C$57,((D879+E879)*C879-G879)*'Assumptions and Catalog'!$H$57+'Assumptions and Catalog'!$E$57+'Assumptions and Catalog'!$F$57,"Out of range")))))))),IF(((D879+E879)*C879-G879)&lt;='Assumptions and Catalog'!$C$60,((D879+E879)*C879-G879)*'Assumptions and Catalog'!$H$60+'Assumptions and Catalog'!$E$60+'Assumptions and Catalog'!$F$60,IF(((D879+E879)*C879-G879)&lt;='Assumptions and Catalog'!$C$61,((D879+E879)*C879-G879)*'Assumptions and Catalog'!$H$61+'Assumptions and Catalog'!$E$61+'Assumptions and Catalog'!$F$61,IF(((D879+E879)*C879-G879)&lt;='Assumptions and Catalog'!$C$62,((D879+E879)*C879-G879)*'Assumptions and Catalog'!$H$62+'Assumptions and Catalog'!$E$62+'Assumptions and Catalog'!$F$62,IF(((D879+E879)*C879-G879)&lt;='Assumptions and Catalog'!$C$63,((D879+E879)*C879-G879)*'Assumptions and Catalog'!$H$63+'Assumptions and Catalog'!$E$63+'Assumptions and Catalog'!$F$63,IF(((D879+E879)*C879-G879)&lt;='Assumptions and Catalog'!$C$64,((D879+E879)*C879-G879)*'Assumptions and Catalog'!$H$64+'Assumptions and Catalog'!$E$64+'Assumptions and Catalog'!$F$64,IF(((D879+E879)*C879-G879)&lt;='Assumptions and Catalog'!$C$65,((D879+E879)*C879-G879)*'Assumptions and Catalog'!$H$65+'Assumptions and Catalog'!$E$65+'Assumptions and Catalog'!$F$65,"Out of range")))))))))*(1+'Assumptions and Catalog'!$C$8)^(A879-1),0)</f>
        <v>3567.397</v>
      </c>
      <c r="R879" s="5" t="n">
        <f>IF(AND('Assumptions and Catalog'!$C$19&gt;0,A879&gt;='Assumptions and Catalog'!$C$19),A879-'Assumptions and Catalog'!$C$19,A879-1)</f>
        <v>8</v>
      </c>
      <c r="S879" s="5" t="n">
        <f>F879+L879-(D879+E879)*C879-J879-K879-IF(E$52&gt;0,'Assumptions and Catalog'!$C$26*C879,0)</f>
        <v>1.70530256582424E-013</v>
      </c>
      <c r="T879" s="5"/>
      <c r="U879" s="5"/>
    </row>
    <row r="880" ht="23.100000381469727" customHeight="1">
      <c r="A880" s="5" t="n">
        <v>19</v>
      </c>
      <c r="B880" s="5" t="n">
        <v>4</v>
      </c>
      <c r="C880" s="5" t="n">
        <f>DAY(DATE('Assumptions and Catalog'!$C$24+A880-1,B880+1,0))</f>
        <v>30</v>
      </c>
      <c r="D880" s="5" t="n">
        <f>IF(ISNUMBER(Inputs!$L$5),Inputs!$L$5*Inputs!$L$6,0)</f>
        <v>40.35</v>
      </c>
      <c r="E880" s="5" t="n">
        <f>IF(ISNUMBER(Inputs!$L$5),Inputs!$L$5-D880,0)</f>
        <v>40.35</v>
      </c>
      <c r="F880" s="5" t="n">
        <f>E$51*INDEX('Solar Production'!$D$20:$D$31,B880)*C880*(1-'Assumptions and Catalog'!$C$10)^(A880-1)</f>
        <v>1616.79963680384</v>
      </c>
      <c r="G880" s="5" t="n">
        <f>MIN(F880,D880*C880)</f>
        <v>1210.5</v>
      </c>
      <c r="H880" s="5" t="n">
        <f>I880/('Assumptions and Catalog'!$C$11*'Assumptions and Catalog'!$C$12)</f>
        <v>268.055795422692</v>
      </c>
      <c r="I880" s="5" t="n">
        <f>MIN(E880*C880,P880*'Assumptions and Catalog'!$C$12*C880,(F880-G880)*'Assumptions and Catalog'!$C$11*'Assumptions and Catalog'!$C$12,E$56*'Assumptions and Catalog'!$C$14*'Assumptions and Catalog'!$C$11*'Assumptions and Catalog'!$C$12*C880,E$57*(24-'Assumptions and Catalog'!$C$13)*C880)</f>
        <v>254.820540523696</v>
      </c>
      <c r="J880" s="5" t="n">
        <f>MAX(F880-G880-H880,0)</f>
        <v>138.243841381151</v>
      </c>
      <c r="K880" s="5" t="n">
        <f>H880-I880</f>
        <v>13.2352548989954</v>
      </c>
      <c r="L880" s="5" t="n">
        <f>(D880+E880)*C880-G880-I880+0+IF(E$52&gt;0,'Assumptions and Catalog'!$C$26*C880,0)</f>
        <v>955.679459476304</v>
      </c>
      <c r="M880" s="5" t="n">
        <f>IF(ISNUMBER(Inputs!$L$5),(IF(Inputs!$L$9="Actual flat rate",((D880+E880)*C880)*Inputs!$L$10,IF(Inputs!$C$9="Residential",IF(((D880+E880)*C880)&lt;='Assumptions and Catalog'!$C$50,((D880+E880)*C880)*'Assumptions and Catalog'!$H$50+'Assumptions and Catalog'!$E$50+'Assumptions and Catalog'!$F$50,IF(((D880+E880)*C880)&lt;='Assumptions and Catalog'!$C$51,((D880+E880)*C880)*'Assumptions and Catalog'!$H$51+'Assumptions and Catalog'!$E$51+'Assumptions and Catalog'!$F$51,IF(((D880+E880)*C880)&lt;='Assumptions and Catalog'!$C$52,((D880+E880)*C880)*'Assumptions and Catalog'!$H$52+'Assumptions and Catalog'!$E$52+'Assumptions and Catalog'!$F$52,IF(((D880+E880)*C880)&lt;='Assumptions and Catalog'!$C$53,((D880+E880)*C880)*'Assumptions and Catalog'!$H$53+'Assumptions and Catalog'!$E$53+'Assumptions and Catalog'!$F$53,IF(((D880+E880)*C880)&lt;='Assumptions and Catalog'!$C$54,((D880+E880)*C880)*'Assumptions and Catalog'!$H$54+'Assumptions and Catalog'!$E$54+'Assumptions and Catalog'!$F$54,IF(((D880+E880)*C880)&lt;='Assumptions and Catalog'!$C$55,((D880+E880)*C880)*'Assumptions and Catalog'!$H$55+'Assumptions and Catalog'!$E$55+'Assumptions and Catalog'!$F$55,IF(((D880+E880)*C880)&lt;='Assumptions and Catalog'!$C$56,((D880+E880)*C880)*'Assumptions and Catalog'!$H$56+'Assumptions and Catalog'!$E$56+'Assumptions and Catalog'!$F$56,IF(((D880+E880)*C880)&lt;='Assumptions and Catalog'!$C$57,((D880+E880)*C880)*'Assumptions and Catalog'!$H$57+'Assumptions and Catalog'!$E$57+'Assumptions and Catalog'!$F$57,"Out of range")))))))),IF(((D880+E880)*C880)&lt;='Assumptions and Catalog'!$C$60,((D880+E880)*C880)*'Assumptions and Catalog'!$H$60+'Assumptions and Catalog'!$E$60+'Assumptions and Catalog'!$F$60,IF(((D880+E880)*C880)&lt;='Assumptions and Catalog'!$C$61,((D880+E880)*C880)*'Assumptions and Catalog'!$H$61+'Assumptions and Catalog'!$E$61+'Assumptions and Catalog'!$F$61,IF(((D880+E880)*C880)&lt;='Assumptions and Catalog'!$C$62,((D880+E880)*C880)*'Assumptions and Catalog'!$H$62+'Assumptions and Catalog'!$E$62+'Assumptions and Catalog'!$F$62,IF(((D880+E880)*C880)&lt;='Assumptions and Catalog'!$C$63,((D880+E880)*C880)*'Assumptions and Catalog'!$H$63+'Assumptions and Catalog'!$E$63+'Assumptions and Catalog'!$F$63,IF(((D880+E880)*C880)&lt;='Assumptions and Catalog'!$C$64,((D880+E880)*C880)*'Assumptions and Catalog'!$H$64+'Assumptions and Catalog'!$E$64+'Assumptions and Catalog'!$F$64,IF(((D880+E880)*C880)&lt;='Assumptions and Catalog'!$C$65,((D880+E880)*C880)*'Assumptions and Catalog'!$H$65+'Assumptions and Catalog'!$E$65+'Assumptions and Catalog'!$F$65,"Out of range")))))))))*(1+'Assumptions and Catalog'!$C$8)^(A880-1),0)</f>
        <v>6867.22</v>
      </c>
      <c r="N880" s="5" t="n">
        <f>IF(ISNUMBER(Inputs!$L$5),(IF(Inputs!$L$9="Actual flat rate",L880*Inputs!$L$10,IF(Inputs!$C$9="Residential",IF(L880&lt;='Assumptions and Catalog'!$C$50,L880*'Assumptions and Catalog'!$H$50+'Assumptions and Catalog'!$E$50+'Assumptions and Catalog'!$F$50,IF(L880&lt;='Assumptions and Catalog'!$C$51,L880*'Assumptions and Catalog'!$H$51+'Assumptions and Catalog'!$E$51+'Assumptions and Catalog'!$F$51,IF(L880&lt;='Assumptions and Catalog'!$C$52,L880*'Assumptions and Catalog'!$H$52+'Assumptions and Catalog'!$E$52+'Assumptions and Catalog'!$F$52,IF(L880&lt;='Assumptions and Catalog'!$C$53,L880*'Assumptions and Catalog'!$H$53+'Assumptions and Catalog'!$E$53+'Assumptions and Catalog'!$F$53,IF(L880&lt;='Assumptions and Catalog'!$C$54,L880*'Assumptions and Catalog'!$H$54+'Assumptions and Catalog'!$E$54+'Assumptions and Catalog'!$F$54,IF(L880&lt;='Assumptions and Catalog'!$C$55,L880*'Assumptions and Catalog'!$H$55+'Assumptions and Catalog'!$E$55+'Assumptions and Catalog'!$F$55,IF(L880&lt;='Assumptions and Catalog'!$C$56,L880*'Assumptions and Catalog'!$H$56+'Assumptions and Catalog'!$E$56+'Assumptions and Catalog'!$F$56,IF(L880&lt;='Assumptions and Catalog'!$C$57,L880*'Assumptions and Catalog'!$H$57+'Assumptions and Catalog'!$E$57+'Assumptions and Catalog'!$F$57,"Out of range")))))))),IF(L880&lt;='Assumptions and Catalog'!$C$60,L880*'Assumptions and Catalog'!$H$60+'Assumptions and Catalog'!$E$60+'Assumptions and Catalog'!$F$60,IF(L880&lt;='Assumptions and Catalog'!$C$61,L880*'Assumptions and Catalog'!$H$61+'Assumptions and Catalog'!$E$61+'Assumptions and Catalog'!$F$61,IF(L880&lt;='Assumptions and Catalog'!$C$62,L880*'Assumptions and Catalog'!$H$62+'Assumptions and Catalog'!$E$62+'Assumptions and Catalog'!$F$62,IF(L880&lt;='Assumptions and Catalog'!$C$63,L880*'Assumptions and Catalog'!$H$63+'Assumptions and Catalog'!$E$63+'Assumptions and Catalog'!$F$63,IF(L880&lt;='Assumptions and Catalog'!$C$64,L880*'Assumptions and Catalog'!$H$64+'Assumptions and Catalog'!$E$64+'Assumptions and Catalog'!$F$64,IF(L880&lt;='Assumptions and Catalog'!$C$65,L880*'Assumptions and Catalog'!$H$65+'Assumptions and Catalog'!$E$65+'Assumptions and Catalog'!$F$65,"Out of range")))))))))*(1+'Assumptions and Catalog'!$C$8)^(A880-1),0)</f>
        <v>2612.23210274936</v>
      </c>
      <c r="O880" s="5" t="n">
        <f>M880-N880</f>
        <v>4254.98789725064</v>
      </c>
      <c r="P880" s="5" t="n">
        <f>E$55*(1-L$14)*(1-'Assumptions and Catalog'!$C$23)^R880</f>
        <v>8.71181335123749</v>
      </c>
      <c r="Q880" s="5" t="n">
        <f>IF(ISNUMBER(Inputs!$L$5),(IF(Inputs!$L$9="Actual flat rate",((D880+E880)*C880-G880)*Inputs!$L$10,IF(Inputs!$C$9="Residential",IF(((D880+E880)*C880-G880)&lt;='Assumptions and Catalog'!$C$50,((D880+E880)*C880-G880)*'Assumptions and Catalog'!$H$50+'Assumptions and Catalog'!$E$50+'Assumptions and Catalog'!$F$50,IF(((D880+E880)*C880-G880)&lt;='Assumptions and Catalog'!$C$51,((D880+E880)*C880-G880)*'Assumptions and Catalog'!$H$51+'Assumptions and Catalog'!$E$51+'Assumptions and Catalog'!$F$51,IF(((D880+E880)*C880-G880)&lt;='Assumptions and Catalog'!$C$52,((D880+E880)*C880-G880)*'Assumptions and Catalog'!$H$52+'Assumptions and Catalog'!$E$52+'Assumptions and Catalog'!$F$52,IF(((D880+E880)*C880-G880)&lt;='Assumptions and Catalog'!$C$53,((D880+E880)*C880-G880)*'Assumptions and Catalog'!$H$53+'Assumptions and Catalog'!$E$53+'Assumptions and Catalog'!$F$53,IF(((D880+E880)*C880-G880)&lt;='Assumptions and Catalog'!$C$54,((D880+E880)*C880-G880)*'Assumptions and Catalog'!$H$54+'Assumptions and Catalog'!$E$54+'Assumptions and Catalog'!$F$54,IF(((D880+E880)*C880-G880)&lt;='Assumptions and Catalog'!$C$55,((D880+E880)*C880-G880)*'Assumptions and Catalog'!$H$55+'Assumptions and Catalog'!$E$55+'Assumptions and Catalog'!$F$55,IF(((D880+E880)*C880-G880)&lt;='Assumptions and Catalog'!$C$56,((D880+E880)*C880-G880)*'Assumptions and Catalog'!$H$56+'Assumptions and Catalog'!$E$56+'Assumptions and Catalog'!$F$56,IF(((D880+E880)*C880-G880)&lt;='Assumptions and Catalog'!$C$57,((D880+E880)*C880-G880)*'Assumptions and Catalog'!$H$57+'Assumptions and Catalog'!$E$57+'Assumptions and Catalog'!$F$57,"Out of range")))))))),IF(((D880+E880)*C880-G880)&lt;='Assumptions and Catalog'!$C$60,((D880+E880)*C880-G880)*'Assumptions and Catalog'!$H$60+'Assumptions and Catalog'!$E$60+'Assumptions and Catalog'!$F$60,IF(((D880+E880)*C880-G880)&lt;='Assumptions and Catalog'!$C$61,((D880+E880)*C880-G880)*'Assumptions and Catalog'!$H$61+'Assumptions and Catalog'!$E$61+'Assumptions and Catalog'!$F$61,IF(((D880+E880)*C880-G880)&lt;='Assumptions and Catalog'!$C$62,((D880+E880)*C880-G880)*'Assumptions and Catalog'!$H$62+'Assumptions and Catalog'!$E$62+'Assumptions and Catalog'!$F$62,IF(((D880+E880)*C880-G880)&lt;='Assumptions and Catalog'!$C$63,((D880+E880)*C880-G880)*'Assumptions and Catalog'!$H$63+'Assumptions and Catalog'!$E$63+'Assumptions and Catalog'!$F$63,IF(((D880+E880)*C880-G880)&lt;='Assumptions and Catalog'!$C$64,((D880+E880)*C880-G880)*'Assumptions and Catalog'!$H$64+'Assumptions and Catalog'!$E$64+'Assumptions and Catalog'!$F$64,IF(((D880+E880)*C880-G880)&lt;='Assumptions and Catalog'!$C$65,((D880+E880)*C880-G880)*'Assumptions and Catalog'!$H$65+'Assumptions and Catalog'!$E$65+'Assumptions and Catalog'!$F$65,"Out of range")))))))))*(1+'Assumptions and Catalog'!$C$8)^(A880-1),0)</f>
        <v>3453.61</v>
      </c>
      <c r="R880" s="5" t="n">
        <f>IF(AND('Assumptions and Catalog'!$C$19&gt;0,A880&gt;='Assumptions and Catalog'!$C$19),A880-'Assumptions and Catalog'!$C$19,A880-1)</f>
        <v>8</v>
      </c>
      <c r="S880" s="5" t="n">
        <f>F880+L880-(D880+E880)*C880-J880-K880-IF(E$52&gt;0,'Assumptions and Catalog'!$C$26*C880,0)</f>
        <v>-1.13686837721616E-013</v>
      </c>
      <c r="T880" s="5"/>
      <c r="U880" s="5"/>
    </row>
    <row r="881" ht="23.100000381469727" customHeight="1">
      <c r="A881" s="5" t="n">
        <v>19</v>
      </c>
      <c r="B881" s="5" t="n">
        <v>5</v>
      </c>
      <c r="C881" s="5" t="n">
        <f>DAY(DATE('Assumptions and Catalog'!$C$24+A881-1,B881+1,0))</f>
        <v>31</v>
      </c>
      <c r="D881" s="5" t="n">
        <f>IF(ISNUMBER(Inputs!$L$5),Inputs!$L$5*Inputs!$L$6,0)</f>
        <v>40.35</v>
      </c>
      <c r="E881" s="5" t="n">
        <f>IF(ISNUMBER(Inputs!$L$5),Inputs!$L$5-D881,0)</f>
        <v>40.35</v>
      </c>
      <c r="F881" s="5" t="n">
        <f>E$51*INDEX('Solar Production'!$D$20:$D$31,B881)*C881*(1-'Assumptions and Catalog'!$C$10)^(A881-1)</f>
        <v>1635.49444797166</v>
      </c>
      <c r="G881" s="5" t="n">
        <f>MIN(F881,D881*C881)</f>
        <v>1250.85</v>
      </c>
      <c r="H881" s="5" t="n">
        <f>I881/('Assumptions and Catalog'!$C$11*'Assumptions and Catalog'!$C$12)</f>
        <v>276.990988603448</v>
      </c>
      <c r="I881" s="5" t="n">
        <f>MIN(E881*C881,P881*'Assumptions and Catalog'!$C$12*C881,(F881-G881)*'Assumptions and Catalog'!$C$11*'Assumptions and Catalog'!$C$12,E$56*'Assumptions and Catalog'!$C$14*'Assumptions and Catalog'!$C$11*'Assumptions and Catalog'!$C$12*C881,E$57*(24-'Assumptions and Catalog'!$C$13)*C881)</f>
        <v>263.314558541153</v>
      </c>
      <c r="J881" s="5" t="n">
        <f>MAX(F881-G881-H881,0)</f>
        <v>107.653459368212</v>
      </c>
      <c r="K881" s="5" t="n">
        <f>H881-I881</f>
        <v>13.6764300622953</v>
      </c>
      <c r="L881" s="5" t="n">
        <f>(D881+E881)*C881-G881-I881+0+IF(E$52&gt;0,'Assumptions and Catalog'!$C$26*C881,0)</f>
        <v>987.535441458847</v>
      </c>
      <c r="M881" s="5" t="n">
        <f>IF(ISNUMBER(Inputs!$L$5),(IF(Inputs!$L$9="Actual flat rate",((D881+E881)*C881)*Inputs!$L$10,IF(Inputs!$C$9="Residential",IF(((D881+E881)*C881)&lt;='Assumptions and Catalog'!$C$50,((D881+E881)*C881)*'Assumptions and Catalog'!$H$50+'Assumptions and Catalog'!$E$50+'Assumptions and Catalog'!$F$50,IF(((D881+E881)*C881)&lt;='Assumptions and Catalog'!$C$51,((D881+E881)*C881)*'Assumptions and Catalog'!$H$51+'Assumptions and Catalog'!$E$51+'Assumptions and Catalog'!$F$51,IF(((D881+E881)*C881)&lt;='Assumptions and Catalog'!$C$52,((D881+E881)*C881)*'Assumptions and Catalog'!$H$52+'Assumptions and Catalog'!$E$52+'Assumptions and Catalog'!$F$52,IF(((D881+E881)*C881)&lt;='Assumptions and Catalog'!$C$53,((D881+E881)*C881)*'Assumptions and Catalog'!$H$53+'Assumptions and Catalog'!$E$53+'Assumptions and Catalog'!$F$53,IF(((D881+E881)*C881)&lt;='Assumptions and Catalog'!$C$54,((D881+E881)*C881)*'Assumptions and Catalog'!$H$54+'Assumptions and Catalog'!$E$54+'Assumptions and Catalog'!$F$54,IF(((D881+E881)*C881)&lt;='Assumptions and Catalog'!$C$55,((D881+E881)*C881)*'Assumptions and Catalog'!$H$55+'Assumptions and Catalog'!$E$55+'Assumptions and Catalog'!$F$55,IF(((D881+E881)*C881)&lt;='Assumptions and Catalog'!$C$56,((D881+E881)*C881)*'Assumptions and Catalog'!$H$56+'Assumptions and Catalog'!$E$56+'Assumptions and Catalog'!$F$56,IF(((D881+E881)*C881)&lt;='Assumptions and Catalog'!$C$57,((D881+E881)*C881)*'Assumptions and Catalog'!$H$57+'Assumptions and Catalog'!$E$57+'Assumptions and Catalog'!$F$57,"Out of range")))))))),IF(((D881+E881)*C881)&lt;='Assumptions and Catalog'!$C$60,((D881+E881)*C881)*'Assumptions and Catalog'!$H$60+'Assumptions and Catalog'!$E$60+'Assumptions and Catalog'!$F$60,IF(((D881+E881)*C881)&lt;='Assumptions and Catalog'!$C$61,((D881+E881)*C881)*'Assumptions and Catalog'!$H$61+'Assumptions and Catalog'!$E$61+'Assumptions and Catalog'!$F$61,IF(((D881+E881)*C881)&lt;='Assumptions and Catalog'!$C$62,((D881+E881)*C881)*'Assumptions and Catalog'!$H$62+'Assumptions and Catalog'!$E$62+'Assumptions and Catalog'!$F$62,IF(((D881+E881)*C881)&lt;='Assumptions and Catalog'!$C$63,((D881+E881)*C881)*'Assumptions and Catalog'!$H$63+'Assumptions and Catalog'!$E$63+'Assumptions and Catalog'!$F$63,IF(((D881+E881)*C881)&lt;='Assumptions and Catalog'!$C$64,((D881+E881)*C881)*'Assumptions and Catalog'!$H$64+'Assumptions and Catalog'!$E$64+'Assumptions and Catalog'!$F$64,IF(((D881+E881)*C881)&lt;='Assumptions and Catalog'!$C$65,((D881+E881)*C881)*'Assumptions and Catalog'!$H$65+'Assumptions and Catalog'!$E$65+'Assumptions and Catalog'!$F$65,"Out of range")))))))))*(1+'Assumptions and Catalog'!$C$8)^(A881-1),0)</f>
        <v>7094.794</v>
      </c>
      <c r="N881" s="5" t="n">
        <f>IF(ISNUMBER(Inputs!$L$5),(IF(Inputs!$L$9="Actual flat rate",L881*Inputs!$L$10,IF(Inputs!$C$9="Residential",IF(L881&lt;='Assumptions and Catalog'!$C$50,L881*'Assumptions and Catalog'!$H$50+'Assumptions and Catalog'!$E$50+'Assumptions and Catalog'!$F$50,IF(L881&lt;='Assumptions and Catalog'!$C$51,L881*'Assumptions and Catalog'!$H$51+'Assumptions and Catalog'!$E$51+'Assumptions and Catalog'!$F$51,IF(L881&lt;='Assumptions and Catalog'!$C$52,L881*'Assumptions and Catalog'!$H$52+'Assumptions and Catalog'!$E$52+'Assumptions and Catalog'!$F$52,IF(L881&lt;='Assumptions and Catalog'!$C$53,L881*'Assumptions and Catalog'!$H$53+'Assumptions and Catalog'!$E$53+'Assumptions and Catalog'!$F$53,IF(L881&lt;='Assumptions and Catalog'!$C$54,L881*'Assumptions and Catalog'!$H$54+'Assumptions and Catalog'!$E$54+'Assumptions and Catalog'!$F$54,IF(L881&lt;='Assumptions and Catalog'!$C$55,L881*'Assumptions and Catalog'!$H$55+'Assumptions and Catalog'!$E$55+'Assumptions and Catalog'!$F$55,IF(L881&lt;='Assumptions and Catalog'!$C$56,L881*'Assumptions and Catalog'!$H$56+'Assumptions and Catalog'!$E$56+'Assumptions and Catalog'!$F$56,IF(L881&lt;='Assumptions and Catalog'!$C$57,L881*'Assumptions and Catalog'!$H$57+'Assumptions and Catalog'!$E$57+'Assumptions and Catalog'!$F$57,"Out of range")))))))),IF(L881&lt;='Assumptions and Catalog'!$C$60,L881*'Assumptions and Catalog'!$H$60+'Assumptions and Catalog'!$E$60+'Assumptions and Catalog'!$F$60,IF(L881&lt;='Assumptions and Catalog'!$C$61,L881*'Assumptions and Catalog'!$H$61+'Assumptions and Catalog'!$E$61+'Assumptions and Catalog'!$F$61,IF(L881&lt;='Assumptions and Catalog'!$C$62,L881*'Assumptions and Catalog'!$H$62+'Assumptions and Catalog'!$E$62+'Assumptions and Catalog'!$F$62,IF(L881&lt;='Assumptions and Catalog'!$C$63,L881*'Assumptions and Catalog'!$H$63+'Assumptions and Catalog'!$E$63+'Assumptions and Catalog'!$F$63,IF(L881&lt;='Assumptions and Catalog'!$C$64,L881*'Assumptions and Catalog'!$H$64+'Assumptions and Catalog'!$E$64+'Assumptions and Catalog'!$F$64,IF(L881&lt;='Assumptions and Catalog'!$C$65,L881*'Assumptions and Catalog'!$H$65+'Assumptions and Catalog'!$E$65+'Assumptions and Catalog'!$F$65,"Out of range")))))))))*(1+'Assumptions and Catalog'!$C$8)^(A881-1),0)</f>
        <v>2700.47317284101</v>
      </c>
      <c r="O881" s="5" t="n">
        <f>M881-N881</f>
        <v>4394.320827159</v>
      </c>
      <c r="P881" s="5" t="n">
        <f>E$55*(1-L$14)*(1-'Assumptions and Catalog'!$C$23)^R881</f>
        <v>8.71181335123749</v>
      </c>
      <c r="Q881" s="5" t="n">
        <f>IF(ISNUMBER(Inputs!$L$5),(IF(Inputs!$L$9="Actual flat rate",((D881+E881)*C881-G881)*Inputs!$L$10,IF(Inputs!$C$9="Residential",IF(((D881+E881)*C881-G881)&lt;='Assumptions and Catalog'!$C$50,((D881+E881)*C881-G881)*'Assumptions and Catalog'!$H$50+'Assumptions and Catalog'!$E$50+'Assumptions and Catalog'!$F$50,IF(((D881+E881)*C881-G881)&lt;='Assumptions and Catalog'!$C$51,((D881+E881)*C881-G881)*'Assumptions and Catalog'!$H$51+'Assumptions and Catalog'!$E$51+'Assumptions and Catalog'!$F$51,IF(((D881+E881)*C881-G881)&lt;='Assumptions and Catalog'!$C$52,((D881+E881)*C881-G881)*'Assumptions and Catalog'!$H$52+'Assumptions and Catalog'!$E$52+'Assumptions and Catalog'!$F$52,IF(((D881+E881)*C881-G881)&lt;='Assumptions and Catalog'!$C$53,((D881+E881)*C881-G881)*'Assumptions and Catalog'!$H$53+'Assumptions and Catalog'!$E$53+'Assumptions and Catalog'!$F$53,IF(((D881+E881)*C881-G881)&lt;='Assumptions and Catalog'!$C$54,((D881+E881)*C881-G881)*'Assumptions and Catalog'!$H$54+'Assumptions and Catalog'!$E$54+'Assumptions and Catalog'!$F$54,IF(((D881+E881)*C881-G881)&lt;='Assumptions and Catalog'!$C$55,((D881+E881)*C881-G881)*'Assumptions and Catalog'!$H$55+'Assumptions and Catalog'!$E$55+'Assumptions and Catalog'!$F$55,IF(((D881+E881)*C881-G881)&lt;='Assumptions and Catalog'!$C$56,((D881+E881)*C881-G881)*'Assumptions and Catalog'!$H$56+'Assumptions and Catalog'!$E$56+'Assumptions and Catalog'!$F$56,IF(((D881+E881)*C881-G881)&lt;='Assumptions and Catalog'!$C$57,((D881+E881)*C881-G881)*'Assumptions and Catalog'!$H$57+'Assumptions and Catalog'!$E$57+'Assumptions and Catalog'!$F$57,"Out of range")))))))),IF(((D881+E881)*C881-G881)&lt;='Assumptions and Catalog'!$C$60,((D881+E881)*C881-G881)*'Assumptions and Catalog'!$H$60+'Assumptions and Catalog'!$E$60+'Assumptions and Catalog'!$F$60,IF(((D881+E881)*C881-G881)&lt;='Assumptions and Catalog'!$C$61,((D881+E881)*C881-G881)*'Assumptions and Catalog'!$H$61+'Assumptions and Catalog'!$E$61+'Assumptions and Catalog'!$F$61,IF(((D881+E881)*C881-G881)&lt;='Assumptions and Catalog'!$C$62,((D881+E881)*C881-G881)*'Assumptions and Catalog'!$H$62+'Assumptions and Catalog'!$E$62+'Assumptions and Catalog'!$F$62,IF(((D881+E881)*C881-G881)&lt;='Assumptions and Catalog'!$C$63,((D881+E881)*C881-G881)*'Assumptions and Catalog'!$H$63+'Assumptions and Catalog'!$E$63+'Assumptions and Catalog'!$F$63,IF(((D881+E881)*C881-G881)&lt;='Assumptions and Catalog'!$C$64,((D881+E881)*C881-G881)*'Assumptions and Catalog'!$H$64+'Assumptions and Catalog'!$E$64+'Assumptions and Catalog'!$F$64,IF(((D881+E881)*C881-G881)&lt;='Assumptions and Catalog'!$C$65,((D881+E881)*C881-G881)*'Assumptions and Catalog'!$H$65+'Assumptions and Catalog'!$E$65+'Assumptions and Catalog'!$F$65,"Out of range")))))))))*(1+'Assumptions and Catalog'!$C$8)^(A881-1),0)</f>
        <v>3567.397</v>
      </c>
      <c r="R881" s="5" t="n">
        <f>IF(AND('Assumptions and Catalog'!$C$19&gt;0,A881&gt;='Assumptions and Catalog'!$C$19),A881-'Assumptions and Catalog'!$C$19,A881-1)</f>
        <v>8</v>
      </c>
      <c r="S881" s="5" t="n">
        <f>F881+L881-(D881+E881)*C881-J881-K881-IF(E$52&gt;0,'Assumptions and Catalog'!$C$26*C881,0)</f>
        <v>-5.6843418860808E-014</v>
      </c>
      <c r="T881" s="5"/>
      <c r="U881" s="5"/>
    </row>
    <row r="882" ht="23.100000381469727" customHeight="1">
      <c r="A882" s="5" t="n">
        <v>19</v>
      </c>
      <c r="B882" s="5" t="n">
        <v>6</v>
      </c>
      <c r="C882" s="5" t="n">
        <f>DAY(DATE('Assumptions and Catalog'!$C$24+A882-1,B882+1,0))</f>
        <v>30</v>
      </c>
      <c r="D882" s="5" t="n">
        <f>IF(ISNUMBER(Inputs!$L$5),Inputs!$L$5*Inputs!$L$6,0)</f>
        <v>40.35</v>
      </c>
      <c r="E882" s="5" t="n">
        <f>IF(ISNUMBER(Inputs!$L$5),Inputs!$L$5-D882,0)</f>
        <v>40.35</v>
      </c>
      <c r="F882" s="5" t="n">
        <f>E$51*INDEX('Solar Production'!$D$20:$D$31,B882)*C882*(1-'Assumptions and Catalog'!$C$10)^(A882-1)</f>
        <v>1594.28545561249</v>
      </c>
      <c r="G882" s="5" t="n">
        <f>MIN(F882,D882*C882)</f>
        <v>1210.5</v>
      </c>
      <c r="H882" s="5" t="n">
        <f>I882/('Assumptions and Catalog'!$C$11*'Assumptions and Catalog'!$C$12)</f>
        <v>268.055795422692</v>
      </c>
      <c r="I882" s="5" t="n">
        <f>MIN(E882*C882,P882*'Assumptions and Catalog'!$C$12*C882,(F882-G882)*'Assumptions and Catalog'!$C$11*'Assumptions and Catalog'!$C$12,E$56*'Assumptions and Catalog'!$C$14*'Assumptions and Catalog'!$C$11*'Assumptions and Catalog'!$C$12*C882,E$57*(24-'Assumptions and Catalog'!$C$13)*C882)</f>
        <v>254.820540523696</v>
      </c>
      <c r="J882" s="5" t="n">
        <f>MAX(F882-G882-H882,0)</f>
        <v>115.729660189801</v>
      </c>
      <c r="K882" s="5" t="n">
        <f>H882-I882</f>
        <v>13.2352548989954</v>
      </c>
      <c r="L882" s="5" t="n">
        <f>(D882+E882)*C882-G882-I882+0+IF(E$52&gt;0,'Assumptions and Catalog'!$C$26*C882,0)</f>
        <v>955.679459476304</v>
      </c>
      <c r="M882" s="5" t="n">
        <f>IF(ISNUMBER(Inputs!$L$5),(IF(Inputs!$L$9="Actual flat rate",((D882+E882)*C882)*Inputs!$L$10,IF(Inputs!$C$9="Residential",IF(((D882+E882)*C882)&lt;='Assumptions and Catalog'!$C$50,((D882+E882)*C882)*'Assumptions and Catalog'!$H$50+'Assumptions and Catalog'!$E$50+'Assumptions and Catalog'!$F$50,IF(((D882+E882)*C882)&lt;='Assumptions and Catalog'!$C$51,((D882+E882)*C882)*'Assumptions and Catalog'!$H$51+'Assumptions and Catalog'!$E$51+'Assumptions and Catalog'!$F$51,IF(((D882+E882)*C882)&lt;='Assumptions and Catalog'!$C$52,((D882+E882)*C882)*'Assumptions and Catalog'!$H$52+'Assumptions and Catalog'!$E$52+'Assumptions and Catalog'!$F$52,IF(((D882+E882)*C882)&lt;='Assumptions and Catalog'!$C$53,((D882+E882)*C882)*'Assumptions and Catalog'!$H$53+'Assumptions and Catalog'!$E$53+'Assumptions and Catalog'!$F$53,IF(((D882+E882)*C882)&lt;='Assumptions and Catalog'!$C$54,((D882+E882)*C882)*'Assumptions and Catalog'!$H$54+'Assumptions and Catalog'!$E$54+'Assumptions and Catalog'!$F$54,IF(((D882+E882)*C882)&lt;='Assumptions and Catalog'!$C$55,((D882+E882)*C882)*'Assumptions and Catalog'!$H$55+'Assumptions and Catalog'!$E$55+'Assumptions and Catalog'!$F$55,IF(((D882+E882)*C882)&lt;='Assumptions and Catalog'!$C$56,((D882+E882)*C882)*'Assumptions and Catalog'!$H$56+'Assumptions and Catalog'!$E$56+'Assumptions and Catalog'!$F$56,IF(((D882+E882)*C882)&lt;='Assumptions and Catalog'!$C$57,((D882+E882)*C882)*'Assumptions and Catalog'!$H$57+'Assumptions and Catalog'!$E$57+'Assumptions and Catalog'!$F$57,"Out of range")))))))),IF(((D882+E882)*C882)&lt;='Assumptions and Catalog'!$C$60,((D882+E882)*C882)*'Assumptions and Catalog'!$H$60+'Assumptions and Catalog'!$E$60+'Assumptions and Catalog'!$F$60,IF(((D882+E882)*C882)&lt;='Assumptions and Catalog'!$C$61,((D882+E882)*C882)*'Assumptions and Catalog'!$H$61+'Assumptions and Catalog'!$E$61+'Assumptions and Catalog'!$F$61,IF(((D882+E882)*C882)&lt;='Assumptions and Catalog'!$C$62,((D882+E882)*C882)*'Assumptions and Catalog'!$H$62+'Assumptions and Catalog'!$E$62+'Assumptions and Catalog'!$F$62,IF(((D882+E882)*C882)&lt;='Assumptions and Catalog'!$C$63,((D882+E882)*C882)*'Assumptions and Catalog'!$H$63+'Assumptions and Catalog'!$E$63+'Assumptions and Catalog'!$F$63,IF(((D882+E882)*C882)&lt;='Assumptions and Catalog'!$C$64,((D882+E882)*C882)*'Assumptions and Catalog'!$H$64+'Assumptions and Catalog'!$E$64+'Assumptions and Catalog'!$F$64,IF(((D882+E882)*C882)&lt;='Assumptions and Catalog'!$C$65,((D882+E882)*C882)*'Assumptions and Catalog'!$H$65+'Assumptions and Catalog'!$E$65+'Assumptions and Catalog'!$F$65,"Out of range")))))))))*(1+'Assumptions and Catalog'!$C$8)^(A882-1),0)</f>
        <v>6867.22</v>
      </c>
      <c r="N882" s="5" t="n">
        <f>IF(ISNUMBER(Inputs!$L$5),(IF(Inputs!$L$9="Actual flat rate",L882*Inputs!$L$10,IF(Inputs!$C$9="Residential",IF(L882&lt;='Assumptions and Catalog'!$C$50,L882*'Assumptions and Catalog'!$H$50+'Assumptions and Catalog'!$E$50+'Assumptions and Catalog'!$F$50,IF(L882&lt;='Assumptions and Catalog'!$C$51,L882*'Assumptions and Catalog'!$H$51+'Assumptions and Catalog'!$E$51+'Assumptions and Catalog'!$F$51,IF(L882&lt;='Assumptions and Catalog'!$C$52,L882*'Assumptions and Catalog'!$H$52+'Assumptions and Catalog'!$E$52+'Assumptions and Catalog'!$F$52,IF(L882&lt;='Assumptions and Catalog'!$C$53,L882*'Assumptions and Catalog'!$H$53+'Assumptions and Catalog'!$E$53+'Assumptions and Catalog'!$F$53,IF(L882&lt;='Assumptions and Catalog'!$C$54,L882*'Assumptions and Catalog'!$H$54+'Assumptions and Catalog'!$E$54+'Assumptions and Catalog'!$F$54,IF(L882&lt;='Assumptions and Catalog'!$C$55,L882*'Assumptions and Catalog'!$H$55+'Assumptions and Catalog'!$E$55+'Assumptions and Catalog'!$F$55,IF(L882&lt;='Assumptions and Catalog'!$C$56,L882*'Assumptions and Catalog'!$H$56+'Assumptions and Catalog'!$E$56+'Assumptions and Catalog'!$F$56,IF(L882&lt;='Assumptions and Catalog'!$C$57,L882*'Assumptions and Catalog'!$H$57+'Assumptions and Catalog'!$E$57+'Assumptions and Catalog'!$F$57,"Out of range")))))))),IF(L882&lt;='Assumptions and Catalog'!$C$60,L882*'Assumptions and Catalog'!$H$60+'Assumptions and Catalog'!$E$60+'Assumptions and Catalog'!$F$60,IF(L882&lt;='Assumptions and Catalog'!$C$61,L882*'Assumptions and Catalog'!$H$61+'Assumptions and Catalog'!$E$61+'Assumptions and Catalog'!$F$61,IF(L882&lt;='Assumptions and Catalog'!$C$62,L882*'Assumptions and Catalog'!$H$62+'Assumptions and Catalog'!$E$62+'Assumptions and Catalog'!$F$62,IF(L882&lt;='Assumptions and Catalog'!$C$63,L882*'Assumptions and Catalog'!$H$63+'Assumptions and Catalog'!$E$63+'Assumptions and Catalog'!$F$63,IF(L882&lt;='Assumptions and Catalog'!$C$64,L882*'Assumptions and Catalog'!$H$64+'Assumptions and Catalog'!$E$64+'Assumptions and Catalog'!$F$64,IF(L882&lt;='Assumptions and Catalog'!$C$65,L882*'Assumptions and Catalog'!$H$65+'Assumptions and Catalog'!$E$65+'Assumptions and Catalog'!$F$65,"Out of range")))))))))*(1+'Assumptions and Catalog'!$C$8)^(A882-1),0)</f>
        <v>2612.23210274936</v>
      </c>
      <c r="O882" s="5" t="n">
        <f>M882-N882</f>
        <v>4254.98789725064</v>
      </c>
      <c r="P882" s="5" t="n">
        <f>E$55*(1-L$14)*(1-'Assumptions and Catalog'!$C$23)^R882</f>
        <v>8.71181335123749</v>
      </c>
      <c r="Q882" s="5" t="n">
        <f>IF(ISNUMBER(Inputs!$L$5),(IF(Inputs!$L$9="Actual flat rate",((D882+E882)*C882-G882)*Inputs!$L$10,IF(Inputs!$C$9="Residential",IF(((D882+E882)*C882-G882)&lt;='Assumptions and Catalog'!$C$50,((D882+E882)*C882-G882)*'Assumptions and Catalog'!$H$50+'Assumptions and Catalog'!$E$50+'Assumptions and Catalog'!$F$50,IF(((D882+E882)*C882-G882)&lt;='Assumptions and Catalog'!$C$51,((D882+E882)*C882-G882)*'Assumptions and Catalog'!$H$51+'Assumptions and Catalog'!$E$51+'Assumptions and Catalog'!$F$51,IF(((D882+E882)*C882-G882)&lt;='Assumptions and Catalog'!$C$52,((D882+E882)*C882-G882)*'Assumptions and Catalog'!$H$52+'Assumptions and Catalog'!$E$52+'Assumptions and Catalog'!$F$52,IF(((D882+E882)*C882-G882)&lt;='Assumptions and Catalog'!$C$53,((D882+E882)*C882-G882)*'Assumptions and Catalog'!$H$53+'Assumptions and Catalog'!$E$53+'Assumptions and Catalog'!$F$53,IF(((D882+E882)*C882-G882)&lt;='Assumptions and Catalog'!$C$54,((D882+E882)*C882-G882)*'Assumptions and Catalog'!$H$54+'Assumptions and Catalog'!$E$54+'Assumptions and Catalog'!$F$54,IF(((D882+E882)*C882-G882)&lt;='Assumptions and Catalog'!$C$55,((D882+E882)*C882-G882)*'Assumptions and Catalog'!$H$55+'Assumptions and Catalog'!$E$55+'Assumptions and Catalog'!$F$55,IF(((D882+E882)*C882-G882)&lt;='Assumptions and Catalog'!$C$56,((D882+E882)*C882-G882)*'Assumptions and Catalog'!$H$56+'Assumptions and Catalog'!$E$56+'Assumptions and Catalog'!$F$56,IF(((D882+E882)*C882-G882)&lt;='Assumptions and Catalog'!$C$57,((D882+E882)*C882-G882)*'Assumptions and Catalog'!$H$57+'Assumptions and Catalog'!$E$57+'Assumptions and Catalog'!$F$57,"Out of range")))))))),IF(((D882+E882)*C882-G882)&lt;='Assumptions and Catalog'!$C$60,((D882+E882)*C882-G882)*'Assumptions and Catalog'!$H$60+'Assumptions and Catalog'!$E$60+'Assumptions and Catalog'!$F$60,IF(((D882+E882)*C882-G882)&lt;='Assumptions and Catalog'!$C$61,((D882+E882)*C882-G882)*'Assumptions and Catalog'!$H$61+'Assumptions and Catalog'!$E$61+'Assumptions and Catalog'!$F$61,IF(((D882+E882)*C882-G882)&lt;='Assumptions and Catalog'!$C$62,((D882+E882)*C882-G882)*'Assumptions and Catalog'!$H$62+'Assumptions and Catalog'!$E$62+'Assumptions and Catalog'!$F$62,IF(((D882+E882)*C882-G882)&lt;='Assumptions and Catalog'!$C$63,((D882+E882)*C882-G882)*'Assumptions and Catalog'!$H$63+'Assumptions and Catalog'!$E$63+'Assumptions and Catalog'!$F$63,IF(((D882+E882)*C882-G882)&lt;='Assumptions and Catalog'!$C$64,((D882+E882)*C882-G882)*'Assumptions and Catalog'!$H$64+'Assumptions and Catalog'!$E$64+'Assumptions and Catalog'!$F$64,IF(((D882+E882)*C882-G882)&lt;='Assumptions and Catalog'!$C$65,((D882+E882)*C882-G882)*'Assumptions and Catalog'!$H$65+'Assumptions and Catalog'!$E$65+'Assumptions and Catalog'!$F$65,"Out of range")))))))))*(1+'Assumptions and Catalog'!$C$8)^(A882-1),0)</f>
        <v>3453.61</v>
      </c>
      <c r="R882" s="5" t="n">
        <f>IF(AND('Assumptions and Catalog'!$C$19&gt;0,A882&gt;='Assumptions and Catalog'!$C$19),A882-'Assumptions and Catalog'!$C$19,A882-1)</f>
        <v>8</v>
      </c>
      <c r="S882" s="5" t="n">
        <f>F882+L882-(D882+E882)*C882-J882-K882-IF(E$52&gt;0,'Assumptions and Catalog'!$C$26*C882,0)</f>
        <v>1.13686837721616E-013</v>
      </c>
      <c r="T882" s="5"/>
      <c r="U882" s="5"/>
    </row>
    <row r="883" ht="23.100000381469727" customHeight="1">
      <c r="A883" s="5" t="n">
        <v>19</v>
      </c>
      <c r="B883" s="5" t="n">
        <v>7</v>
      </c>
      <c r="C883" s="5" t="n">
        <f>DAY(DATE('Assumptions and Catalog'!$C$24+A883-1,B883+1,0))</f>
        <v>31</v>
      </c>
      <c r="D883" s="5" t="n">
        <f>IF(ISNUMBER(Inputs!$L$5),Inputs!$L$5*Inputs!$L$6,0)</f>
        <v>40.35</v>
      </c>
      <c r="E883" s="5" t="n">
        <f>IF(ISNUMBER(Inputs!$L$5),Inputs!$L$5-D883,0)</f>
        <v>40.35</v>
      </c>
      <c r="F883" s="5" t="n">
        <f>E$51*INDEX('Solar Production'!$D$20:$D$31,B883)*C883*(1-'Assumptions and Catalog'!$C$10)^(A883-1)</f>
        <v>1654.99333703917</v>
      </c>
      <c r="G883" s="5" t="n">
        <f>MIN(F883,D883*C883)</f>
        <v>1250.85</v>
      </c>
      <c r="H883" s="5" t="n">
        <f>I883/('Assumptions and Catalog'!$C$11*'Assumptions and Catalog'!$C$12)</f>
        <v>276.990988603448</v>
      </c>
      <c r="I883" s="5" t="n">
        <f>MIN(E883*C883,P883*'Assumptions and Catalog'!$C$12*C883,(F883-G883)*'Assumptions and Catalog'!$C$11*'Assumptions and Catalog'!$C$12,E$56*'Assumptions and Catalog'!$C$14*'Assumptions and Catalog'!$C$11*'Assumptions and Catalog'!$C$12*C883,E$57*(24-'Assumptions and Catalog'!$C$13)*C883)</f>
        <v>263.314558541153</v>
      </c>
      <c r="J883" s="5" t="n">
        <f>MAX(F883-G883-H883,0)</f>
        <v>127.152348435721</v>
      </c>
      <c r="K883" s="5" t="n">
        <f>H883-I883</f>
        <v>13.6764300622953</v>
      </c>
      <c r="L883" s="5" t="n">
        <f>(D883+E883)*C883-G883-I883+0+IF(E$52&gt;0,'Assumptions and Catalog'!$C$26*C883,0)</f>
        <v>987.535441458847</v>
      </c>
      <c r="M883" s="5" t="n">
        <f>IF(ISNUMBER(Inputs!$L$5),(IF(Inputs!$L$9="Actual flat rate",((D883+E883)*C883)*Inputs!$L$10,IF(Inputs!$C$9="Residential",IF(((D883+E883)*C883)&lt;='Assumptions and Catalog'!$C$50,((D883+E883)*C883)*'Assumptions and Catalog'!$H$50+'Assumptions and Catalog'!$E$50+'Assumptions and Catalog'!$F$50,IF(((D883+E883)*C883)&lt;='Assumptions and Catalog'!$C$51,((D883+E883)*C883)*'Assumptions and Catalog'!$H$51+'Assumptions and Catalog'!$E$51+'Assumptions and Catalog'!$F$51,IF(((D883+E883)*C883)&lt;='Assumptions and Catalog'!$C$52,((D883+E883)*C883)*'Assumptions and Catalog'!$H$52+'Assumptions and Catalog'!$E$52+'Assumptions and Catalog'!$F$52,IF(((D883+E883)*C883)&lt;='Assumptions and Catalog'!$C$53,((D883+E883)*C883)*'Assumptions and Catalog'!$H$53+'Assumptions and Catalog'!$E$53+'Assumptions and Catalog'!$F$53,IF(((D883+E883)*C883)&lt;='Assumptions and Catalog'!$C$54,((D883+E883)*C883)*'Assumptions and Catalog'!$H$54+'Assumptions and Catalog'!$E$54+'Assumptions and Catalog'!$F$54,IF(((D883+E883)*C883)&lt;='Assumptions and Catalog'!$C$55,((D883+E883)*C883)*'Assumptions and Catalog'!$H$55+'Assumptions and Catalog'!$E$55+'Assumptions and Catalog'!$F$55,IF(((D883+E883)*C883)&lt;='Assumptions and Catalog'!$C$56,((D883+E883)*C883)*'Assumptions and Catalog'!$H$56+'Assumptions and Catalog'!$E$56+'Assumptions and Catalog'!$F$56,IF(((D883+E883)*C883)&lt;='Assumptions and Catalog'!$C$57,((D883+E883)*C883)*'Assumptions and Catalog'!$H$57+'Assumptions and Catalog'!$E$57+'Assumptions and Catalog'!$F$57,"Out of range")))))))),IF(((D883+E883)*C883)&lt;='Assumptions and Catalog'!$C$60,((D883+E883)*C883)*'Assumptions and Catalog'!$H$60+'Assumptions and Catalog'!$E$60+'Assumptions and Catalog'!$F$60,IF(((D883+E883)*C883)&lt;='Assumptions and Catalog'!$C$61,((D883+E883)*C883)*'Assumptions and Catalog'!$H$61+'Assumptions and Catalog'!$E$61+'Assumptions and Catalog'!$F$61,IF(((D883+E883)*C883)&lt;='Assumptions and Catalog'!$C$62,((D883+E883)*C883)*'Assumptions and Catalog'!$H$62+'Assumptions and Catalog'!$E$62+'Assumptions and Catalog'!$F$62,IF(((D883+E883)*C883)&lt;='Assumptions and Catalog'!$C$63,((D883+E883)*C883)*'Assumptions and Catalog'!$H$63+'Assumptions and Catalog'!$E$63+'Assumptions and Catalog'!$F$63,IF(((D883+E883)*C883)&lt;='Assumptions and Catalog'!$C$64,((D883+E883)*C883)*'Assumptions and Catalog'!$H$64+'Assumptions and Catalog'!$E$64+'Assumptions and Catalog'!$F$64,IF(((D883+E883)*C883)&lt;='Assumptions and Catalog'!$C$65,((D883+E883)*C883)*'Assumptions and Catalog'!$H$65+'Assumptions and Catalog'!$E$65+'Assumptions and Catalog'!$F$65,"Out of range")))))))))*(1+'Assumptions and Catalog'!$C$8)^(A883-1),0)</f>
        <v>7094.794</v>
      </c>
      <c r="N883" s="5" t="n">
        <f>IF(ISNUMBER(Inputs!$L$5),(IF(Inputs!$L$9="Actual flat rate",L883*Inputs!$L$10,IF(Inputs!$C$9="Residential",IF(L883&lt;='Assumptions and Catalog'!$C$50,L883*'Assumptions and Catalog'!$H$50+'Assumptions and Catalog'!$E$50+'Assumptions and Catalog'!$F$50,IF(L883&lt;='Assumptions and Catalog'!$C$51,L883*'Assumptions and Catalog'!$H$51+'Assumptions and Catalog'!$E$51+'Assumptions and Catalog'!$F$51,IF(L883&lt;='Assumptions and Catalog'!$C$52,L883*'Assumptions and Catalog'!$H$52+'Assumptions and Catalog'!$E$52+'Assumptions and Catalog'!$F$52,IF(L883&lt;='Assumptions and Catalog'!$C$53,L883*'Assumptions and Catalog'!$H$53+'Assumptions and Catalog'!$E$53+'Assumptions and Catalog'!$F$53,IF(L883&lt;='Assumptions and Catalog'!$C$54,L883*'Assumptions and Catalog'!$H$54+'Assumptions and Catalog'!$E$54+'Assumptions and Catalog'!$F$54,IF(L883&lt;='Assumptions and Catalog'!$C$55,L883*'Assumptions and Catalog'!$H$55+'Assumptions and Catalog'!$E$55+'Assumptions and Catalog'!$F$55,IF(L883&lt;='Assumptions and Catalog'!$C$56,L883*'Assumptions and Catalog'!$H$56+'Assumptions and Catalog'!$E$56+'Assumptions and Catalog'!$F$56,IF(L883&lt;='Assumptions and Catalog'!$C$57,L883*'Assumptions and Catalog'!$H$57+'Assumptions and Catalog'!$E$57+'Assumptions and Catalog'!$F$57,"Out of range")))))))),IF(L883&lt;='Assumptions and Catalog'!$C$60,L883*'Assumptions and Catalog'!$H$60+'Assumptions and Catalog'!$E$60+'Assumptions and Catalog'!$F$60,IF(L883&lt;='Assumptions and Catalog'!$C$61,L883*'Assumptions and Catalog'!$H$61+'Assumptions and Catalog'!$E$61+'Assumptions and Catalog'!$F$61,IF(L883&lt;='Assumptions and Catalog'!$C$62,L883*'Assumptions and Catalog'!$H$62+'Assumptions and Catalog'!$E$62+'Assumptions and Catalog'!$F$62,IF(L883&lt;='Assumptions and Catalog'!$C$63,L883*'Assumptions and Catalog'!$H$63+'Assumptions and Catalog'!$E$63+'Assumptions and Catalog'!$F$63,IF(L883&lt;='Assumptions and Catalog'!$C$64,L883*'Assumptions and Catalog'!$H$64+'Assumptions and Catalog'!$E$64+'Assumptions and Catalog'!$F$64,IF(L883&lt;='Assumptions and Catalog'!$C$65,L883*'Assumptions and Catalog'!$H$65+'Assumptions and Catalog'!$E$65+'Assumptions and Catalog'!$F$65,"Out of range")))))))))*(1+'Assumptions and Catalog'!$C$8)^(A883-1),0)</f>
        <v>2700.47317284101</v>
      </c>
      <c r="O883" s="5" t="n">
        <f>M883-N883</f>
        <v>4394.320827159</v>
      </c>
      <c r="P883" s="5" t="n">
        <f>E$55*(1-L$14)*(1-'Assumptions and Catalog'!$C$23)^R883</f>
        <v>8.71181335123749</v>
      </c>
      <c r="Q883" s="5" t="n">
        <f>IF(ISNUMBER(Inputs!$L$5),(IF(Inputs!$L$9="Actual flat rate",((D883+E883)*C883-G883)*Inputs!$L$10,IF(Inputs!$C$9="Residential",IF(((D883+E883)*C883-G883)&lt;='Assumptions and Catalog'!$C$50,((D883+E883)*C883-G883)*'Assumptions and Catalog'!$H$50+'Assumptions and Catalog'!$E$50+'Assumptions and Catalog'!$F$50,IF(((D883+E883)*C883-G883)&lt;='Assumptions and Catalog'!$C$51,((D883+E883)*C883-G883)*'Assumptions and Catalog'!$H$51+'Assumptions and Catalog'!$E$51+'Assumptions and Catalog'!$F$51,IF(((D883+E883)*C883-G883)&lt;='Assumptions and Catalog'!$C$52,((D883+E883)*C883-G883)*'Assumptions and Catalog'!$H$52+'Assumptions and Catalog'!$E$52+'Assumptions and Catalog'!$F$52,IF(((D883+E883)*C883-G883)&lt;='Assumptions and Catalog'!$C$53,((D883+E883)*C883-G883)*'Assumptions and Catalog'!$H$53+'Assumptions and Catalog'!$E$53+'Assumptions and Catalog'!$F$53,IF(((D883+E883)*C883-G883)&lt;='Assumptions and Catalog'!$C$54,((D883+E883)*C883-G883)*'Assumptions and Catalog'!$H$54+'Assumptions and Catalog'!$E$54+'Assumptions and Catalog'!$F$54,IF(((D883+E883)*C883-G883)&lt;='Assumptions and Catalog'!$C$55,((D883+E883)*C883-G883)*'Assumptions and Catalog'!$H$55+'Assumptions and Catalog'!$E$55+'Assumptions and Catalog'!$F$55,IF(((D883+E883)*C883-G883)&lt;='Assumptions and Catalog'!$C$56,((D883+E883)*C883-G883)*'Assumptions and Catalog'!$H$56+'Assumptions and Catalog'!$E$56+'Assumptions and Catalog'!$F$56,IF(((D883+E883)*C883-G883)&lt;='Assumptions and Catalog'!$C$57,((D883+E883)*C883-G883)*'Assumptions and Catalog'!$H$57+'Assumptions and Catalog'!$E$57+'Assumptions and Catalog'!$F$57,"Out of range")))))))),IF(((D883+E883)*C883-G883)&lt;='Assumptions and Catalog'!$C$60,((D883+E883)*C883-G883)*'Assumptions and Catalog'!$H$60+'Assumptions and Catalog'!$E$60+'Assumptions and Catalog'!$F$60,IF(((D883+E883)*C883-G883)&lt;='Assumptions and Catalog'!$C$61,((D883+E883)*C883-G883)*'Assumptions and Catalog'!$H$61+'Assumptions and Catalog'!$E$61+'Assumptions and Catalog'!$F$61,IF(((D883+E883)*C883-G883)&lt;='Assumptions and Catalog'!$C$62,((D883+E883)*C883-G883)*'Assumptions and Catalog'!$H$62+'Assumptions and Catalog'!$E$62+'Assumptions and Catalog'!$F$62,IF(((D883+E883)*C883-G883)&lt;='Assumptions and Catalog'!$C$63,((D883+E883)*C883-G883)*'Assumptions and Catalog'!$H$63+'Assumptions and Catalog'!$E$63+'Assumptions and Catalog'!$F$63,IF(((D883+E883)*C883-G883)&lt;='Assumptions and Catalog'!$C$64,((D883+E883)*C883-G883)*'Assumptions and Catalog'!$H$64+'Assumptions and Catalog'!$E$64+'Assumptions and Catalog'!$F$64,IF(((D883+E883)*C883-G883)&lt;='Assumptions and Catalog'!$C$65,((D883+E883)*C883-G883)*'Assumptions and Catalog'!$H$65+'Assumptions and Catalog'!$E$65+'Assumptions and Catalog'!$F$65,"Out of range")))))))))*(1+'Assumptions and Catalog'!$C$8)^(A883-1),0)</f>
        <v>3567.397</v>
      </c>
      <c r="R883" s="5" t="n">
        <f>IF(AND('Assumptions and Catalog'!$C$19&gt;0,A883&gt;='Assumptions and Catalog'!$C$19),A883-'Assumptions and Catalog'!$C$19,A883-1)</f>
        <v>8</v>
      </c>
      <c r="S883" s="5" t="n">
        <f>F883+L883-(D883+E883)*C883-J883-K883-IF(E$52&gt;0,'Assumptions and Catalog'!$C$26*C883,0)</f>
        <v>-2.8421709430404E-013</v>
      </c>
      <c r="T883" s="5"/>
      <c r="U883" s="5"/>
    </row>
    <row r="884" ht="23.100000381469727" customHeight="1">
      <c r="A884" s="5" t="n">
        <v>19</v>
      </c>
      <c r="B884" s="5" t="n">
        <v>8</v>
      </c>
      <c r="C884" s="5" t="n">
        <f>DAY(DATE('Assumptions and Catalog'!$C$24+A884-1,B884+1,0))</f>
        <v>31</v>
      </c>
      <c r="D884" s="5" t="n">
        <f>IF(ISNUMBER(Inputs!$L$5),Inputs!$L$5*Inputs!$L$6,0)</f>
        <v>40.35</v>
      </c>
      <c r="E884" s="5" t="n">
        <f>IF(ISNUMBER(Inputs!$L$5),Inputs!$L$5-D884,0)</f>
        <v>40.35</v>
      </c>
      <c r="F884" s="5" t="n">
        <f>E$51*INDEX('Solar Production'!$D$20:$D$31,B884)*C884*(1-'Assumptions and Catalog'!$C$10)^(A884-1)</f>
        <v>1676.50242085591</v>
      </c>
      <c r="G884" s="5" t="n">
        <f>MIN(F884,D884*C884)</f>
        <v>1250.85</v>
      </c>
      <c r="H884" s="5" t="n">
        <f>I884/('Assumptions and Catalog'!$C$11*'Assumptions and Catalog'!$C$12)</f>
        <v>276.990988603448</v>
      </c>
      <c r="I884" s="5" t="n">
        <f>MIN(E884*C884,P884*'Assumptions and Catalog'!$C$12*C884,(F884-G884)*'Assumptions and Catalog'!$C$11*'Assumptions and Catalog'!$C$12,E$56*'Assumptions and Catalog'!$C$14*'Assumptions and Catalog'!$C$11*'Assumptions and Catalog'!$C$12*C884,E$57*(24-'Assumptions and Catalog'!$C$13)*C884)</f>
        <v>263.314558541153</v>
      </c>
      <c r="J884" s="5" t="n">
        <f>MAX(F884-G884-H884,0)</f>
        <v>148.661432252458</v>
      </c>
      <c r="K884" s="5" t="n">
        <f>H884-I884</f>
        <v>13.6764300622953</v>
      </c>
      <c r="L884" s="5" t="n">
        <f>(D884+E884)*C884-G884-I884+0+IF(E$52&gt;0,'Assumptions and Catalog'!$C$26*C884,0)</f>
        <v>987.535441458847</v>
      </c>
      <c r="M884" s="5" t="n">
        <f>IF(ISNUMBER(Inputs!$L$5),(IF(Inputs!$L$9="Actual flat rate",((D884+E884)*C884)*Inputs!$L$10,IF(Inputs!$C$9="Residential",IF(((D884+E884)*C884)&lt;='Assumptions and Catalog'!$C$50,((D884+E884)*C884)*'Assumptions and Catalog'!$H$50+'Assumptions and Catalog'!$E$50+'Assumptions and Catalog'!$F$50,IF(((D884+E884)*C884)&lt;='Assumptions and Catalog'!$C$51,((D884+E884)*C884)*'Assumptions and Catalog'!$H$51+'Assumptions and Catalog'!$E$51+'Assumptions and Catalog'!$F$51,IF(((D884+E884)*C884)&lt;='Assumptions and Catalog'!$C$52,((D884+E884)*C884)*'Assumptions and Catalog'!$H$52+'Assumptions and Catalog'!$E$52+'Assumptions and Catalog'!$F$52,IF(((D884+E884)*C884)&lt;='Assumptions and Catalog'!$C$53,((D884+E884)*C884)*'Assumptions and Catalog'!$H$53+'Assumptions and Catalog'!$E$53+'Assumptions and Catalog'!$F$53,IF(((D884+E884)*C884)&lt;='Assumptions and Catalog'!$C$54,((D884+E884)*C884)*'Assumptions and Catalog'!$H$54+'Assumptions and Catalog'!$E$54+'Assumptions and Catalog'!$F$54,IF(((D884+E884)*C884)&lt;='Assumptions and Catalog'!$C$55,((D884+E884)*C884)*'Assumptions and Catalog'!$H$55+'Assumptions and Catalog'!$E$55+'Assumptions and Catalog'!$F$55,IF(((D884+E884)*C884)&lt;='Assumptions and Catalog'!$C$56,((D884+E884)*C884)*'Assumptions and Catalog'!$H$56+'Assumptions and Catalog'!$E$56+'Assumptions and Catalog'!$F$56,IF(((D884+E884)*C884)&lt;='Assumptions and Catalog'!$C$57,((D884+E884)*C884)*'Assumptions and Catalog'!$H$57+'Assumptions and Catalog'!$E$57+'Assumptions and Catalog'!$F$57,"Out of range")))))))),IF(((D884+E884)*C884)&lt;='Assumptions and Catalog'!$C$60,((D884+E884)*C884)*'Assumptions and Catalog'!$H$60+'Assumptions and Catalog'!$E$60+'Assumptions and Catalog'!$F$60,IF(((D884+E884)*C884)&lt;='Assumptions and Catalog'!$C$61,((D884+E884)*C884)*'Assumptions and Catalog'!$H$61+'Assumptions and Catalog'!$E$61+'Assumptions and Catalog'!$F$61,IF(((D884+E884)*C884)&lt;='Assumptions and Catalog'!$C$62,((D884+E884)*C884)*'Assumptions and Catalog'!$H$62+'Assumptions and Catalog'!$E$62+'Assumptions and Catalog'!$F$62,IF(((D884+E884)*C884)&lt;='Assumptions and Catalog'!$C$63,((D884+E884)*C884)*'Assumptions and Catalog'!$H$63+'Assumptions and Catalog'!$E$63+'Assumptions and Catalog'!$F$63,IF(((D884+E884)*C884)&lt;='Assumptions and Catalog'!$C$64,((D884+E884)*C884)*'Assumptions and Catalog'!$H$64+'Assumptions and Catalog'!$E$64+'Assumptions and Catalog'!$F$64,IF(((D884+E884)*C884)&lt;='Assumptions and Catalog'!$C$65,((D884+E884)*C884)*'Assumptions and Catalog'!$H$65+'Assumptions and Catalog'!$E$65+'Assumptions and Catalog'!$F$65,"Out of range")))))))))*(1+'Assumptions and Catalog'!$C$8)^(A884-1),0)</f>
        <v>7094.794</v>
      </c>
      <c r="N884" s="5" t="n">
        <f>IF(ISNUMBER(Inputs!$L$5),(IF(Inputs!$L$9="Actual flat rate",L884*Inputs!$L$10,IF(Inputs!$C$9="Residential",IF(L884&lt;='Assumptions and Catalog'!$C$50,L884*'Assumptions and Catalog'!$H$50+'Assumptions and Catalog'!$E$50+'Assumptions and Catalog'!$F$50,IF(L884&lt;='Assumptions and Catalog'!$C$51,L884*'Assumptions and Catalog'!$H$51+'Assumptions and Catalog'!$E$51+'Assumptions and Catalog'!$F$51,IF(L884&lt;='Assumptions and Catalog'!$C$52,L884*'Assumptions and Catalog'!$H$52+'Assumptions and Catalog'!$E$52+'Assumptions and Catalog'!$F$52,IF(L884&lt;='Assumptions and Catalog'!$C$53,L884*'Assumptions and Catalog'!$H$53+'Assumptions and Catalog'!$E$53+'Assumptions and Catalog'!$F$53,IF(L884&lt;='Assumptions and Catalog'!$C$54,L884*'Assumptions and Catalog'!$H$54+'Assumptions and Catalog'!$E$54+'Assumptions and Catalog'!$F$54,IF(L884&lt;='Assumptions and Catalog'!$C$55,L884*'Assumptions and Catalog'!$H$55+'Assumptions and Catalog'!$E$55+'Assumptions and Catalog'!$F$55,IF(L884&lt;='Assumptions and Catalog'!$C$56,L884*'Assumptions and Catalog'!$H$56+'Assumptions and Catalog'!$E$56+'Assumptions and Catalog'!$F$56,IF(L884&lt;='Assumptions and Catalog'!$C$57,L884*'Assumptions and Catalog'!$H$57+'Assumptions and Catalog'!$E$57+'Assumptions and Catalog'!$F$57,"Out of range")))))))),IF(L884&lt;='Assumptions and Catalog'!$C$60,L884*'Assumptions and Catalog'!$H$60+'Assumptions and Catalog'!$E$60+'Assumptions and Catalog'!$F$60,IF(L884&lt;='Assumptions and Catalog'!$C$61,L884*'Assumptions and Catalog'!$H$61+'Assumptions and Catalog'!$E$61+'Assumptions and Catalog'!$F$61,IF(L884&lt;='Assumptions and Catalog'!$C$62,L884*'Assumptions and Catalog'!$H$62+'Assumptions and Catalog'!$E$62+'Assumptions and Catalog'!$F$62,IF(L884&lt;='Assumptions and Catalog'!$C$63,L884*'Assumptions and Catalog'!$H$63+'Assumptions and Catalog'!$E$63+'Assumptions and Catalog'!$F$63,IF(L884&lt;='Assumptions and Catalog'!$C$64,L884*'Assumptions and Catalog'!$H$64+'Assumptions and Catalog'!$E$64+'Assumptions and Catalog'!$F$64,IF(L884&lt;='Assumptions and Catalog'!$C$65,L884*'Assumptions and Catalog'!$H$65+'Assumptions and Catalog'!$E$65+'Assumptions and Catalog'!$F$65,"Out of range")))))))))*(1+'Assumptions and Catalog'!$C$8)^(A884-1),0)</f>
        <v>2700.47317284101</v>
      </c>
      <c r="O884" s="5" t="n">
        <f>M884-N884</f>
        <v>4394.320827159</v>
      </c>
      <c r="P884" s="5" t="n">
        <f>E$55*(1-L$14)*(1-'Assumptions and Catalog'!$C$23)^R884</f>
        <v>8.71181335123749</v>
      </c>
      <c r="Q884" s="5" t="n">
        <f>IF(ISNUMBER(Inputs!$L$5),(IF(Inputs!$L$9="Actual flat rate",((D884+E884)*C884-G884)*Inputs!$L$10,IF(Inputs!$C$9="Residential",IF(((D884+E884)*C884-G884)&lt;='Assumptions and Catalog'!$C$50,((D884+E884)*C884-G884)*'Assumptions and Catalog'!$H$50+'Assumptions and Catalog'!$E$50+'Assumptions and Catalog'!$F$50,IF(((D884+E884)*C884-G884)&lt;='Assumptions and Catalog'!$C$51,((D884+E884)*C884-G884)*'Assumptions and Catalog'!$H$51+'Assumptions and Catalog'!$E$51+'Assumptions and Catalog'!$F$51,IF(((D884+E884)*C884-G884)&lt;='Assumptions and Catalog'!$C$52,((D884+E884)*C884-G884)*'Assumptions and Catalog'!$H$52+'Assumptions and Catalog'!$E$52+'Assumptions and Catalog'!$F$52,IF(((D884+E884)*C884-G884)&lt;='Assumptions and Catalog'!$C$53,((D884+E884)*C884-G884)*'Assumptions and Catalog'!$H$53+'Assumptions and Catalog'!$E$53+'Assumptions and Catalog'!$F$53,IF(((D884+E884)*C884-G884)&lt;='Assumptions and Catalog'!$C$54,((D884+E884)*C884-G884)*'Assumptions and Catalog'!$H$54+'Assumptions and Catalog'!$E$54+'Assumptions and Catalog'!$F$54,IF(((D884+E884)*C884-G884)&lt;='Assumptions and Catalog'!$C$55,((D884+E884)*C884-G884)*'Assumptions and Catalog'!$H$55+'Assumptions and Catalog'!$E$55+'Assumptions and Catalog'!$F$55,IF(((D884+E884)*C884-G884)&lt;='Assumptions and Catalog'!$C$56,((D884+E884)*C884-G884)*'Assumptions and Catalog'!$H$56+'Assumptions and Catalog'!$E$56+'Assumptions and Catalog'!$F$56,IF(((D884+E884)*C884-G884)&lt;='Assumptions and Catalog'!$C$57,((D884+E884)*C884-G884)*'Assumptions and Catalog'!$H$57+'Assumptions and Catalog'!$E$57+'Assumptions and Catalog'!$F$57,"Out of range")))))))),IF(((D884+E884)*C884-G884)&lt;='Assumptions and Catalog'!$C$60,((D884+E884)*C884-G884)*'Assumptions and Catalog'!$H$60+'Assumptions and Catalog'!$E$60+'Assumptions and Catalog'!$F$60,IF(((D884+E884)*C884-G884)&lt;='Assumptions and Catalog'!$C$61,((D884+E884)*C884-G884)*'Assumptions and Catalog'!$H$61+'Assumptions and Catalog'!$E$61+'Assumptions and Catalog'!$F$61,IF(((D884+E884)*C884-G884)&lt;='Assumptions and Catalog'!$C$62,((D884+E884)*C884-G884)*'Assumptions and Catalog'!$H$62+'Assumptions and Catalog'!$E$62+'Assumptions and Catalog'!$F$62,IF(((D884+E884)*C884-G884)&lt;='Assumptions and Catalog'!$C$63,((D884+E884)*C884-G884)*'Assumptions and Catalog'!$H$63+'Assumptions and Catalog'!$E$63+'Assumptions and Catalog'!$F$63,IF(((D884+E884)*C884-G884)&lt;='Assumptions and Catalog'!$C$64,((D884+E884)*C884-G884)*'Assumptions and Catalog'!$H$64+'Assumptions and Catalog'!$E$64+'Assumptions and Catalog'!$F$64,IF(((D884+E884)*C884-G884)&lt;='Assumptions and Catalog'!$C$65,((D884+E884)*C884-G884)*'Assumptions and Catalog'!$H$65+'Assumptions and Catalog'!$E$65+'Assumptions and Catalog'!$F$65,"Out of range")))))))))*(1+'Assumptions and Catalog'!$C$8)^(A884-1),0)</f>
        <v>3567.397</v>
      </c>
      <c r="R884" s="5" t="n">
        <f>IF(AND('Assumptions and Catalog'!$C$19&gt;0,A884&gt;='Assumptions and Catalog'!$C$19),A884-'Assumptions and Catalog'!$C$19,A884-1)</f>
        <v>8</v>
      </c>
      <c r="S884" s="5" t="n">
        <f>F884+L884-(D884+E884)*C884-J884-K884-IF(E$52&gt;0,'Assumptions and Catalog'!$C$26*C884,0)</f>
        <v>-5.6843418860808E-014</v>
      </c>
      <c r="T884" s="5"/>
      <c r="U884" s="5"/>
    </row>
    <row r="885" ht="23.100000381469727" customHeight="1">
      <c r="A885" s="5" t="n">
        <v>19</v>
      </c>
      <c r="B885" s="5" t="n">
        <v>9</v>
      </c>
      <c r="C885" s="5" t="n">
        <f>DAY(DATE('Assumptions and Catalog'!$C$24+A885-1,B885+1,0))</f>
        <v>30</v>
      </c>
      <c r="D885" s="5" t="n">
        <f>IF(ISNUMBER(Inputs!$L$5),Inputs!$L$5*Inputs!$L$6,0)</f>
        <v>40.35</v>
      </c>
      <c r="E885" s="5" t="n">
        <f>IF(ISNUMBER(Inputs!$L$5),Inputs!$L$5-D885,0)</f>
        <v>40.35</v>
      </c>
      <c r="F885" s="5" t="n">
        <f>E$51*INDEX('Solar Production'!$D$20:$D$31,B885)*C885*(1-'Assumptions and Catalog'!$C$10)^(A885-1)</f>
        <v>1618.2067731283</v>
      </c>
      <c r="G885" s="5" t="n">
        <f>MIN(F885,D885*C885)</f>
        <v>1210.5</v>
      </c>
      <c r="H885" s="5" t="n">
        <f>I885/('Assumptions and Catalog'!$C$11*'Assumptions and Catalog'!$C$12)</f>
        <v>268.055795422692</v>
      </c>
      <c r="I885" s="5" t="n">
        <f>MIN(E885*C885,P885*'Assumptions and Catalog'!$C$12*C885,(F885-G885)*'Assumptions and Catalog'!$C$11*'Assumptions and Catalog'!$C$12,E$56*'Assumptions and Catalog'!$C$14*'Assumptions and Catalog'!$C$11*'Assumptions and Catalog'!$C$12*C885,E$57*(24-'Assumptions and Catalog'!$C$13)*C885)</f>
        <v>254.820540523696</v>
      </c>
      <c r="J885" s="5" t="n">
        <f>MAX(F885-G885-H885,0)</f>
        <v>139.650977705611</v>
      </c>
      <c r="K885" s="5" t="n">
        <f>H885-I885</f>
        <v>13.2352548989954</v>
      </c>
      <c r="L885" s="5" t="n">
        <f>(D885+E885)*C885-G885-I885+0+IF(E$52&gt;0,'Assumptions and Catalog'!$C$26*C885,0)</f>
        <v>955.679459476304</v>
      </c>
      <c r="M885" s="5" t="n">
        <f>IF(ISNUMBER(Inputs!$L$5),(IF(Inputs!$L$9="Actual flat rate",((D885+E885)*C885)*Inputs!$L$10,IF(Inputs!$C$9="Residential",IF(((D885+E885)*C885)&lt;='Assumptions and Catalog'!$C$50,((D885+E885)*C885)*'Assumptions and Catalog'!$H$50+'Assumptions and Catalog'!$E$50+'Assumptions and Catalog'!$F$50,IF(((D885+E885)*C885)&lt;='Assumptions and Catalog'!$C$51,((D885+E885)*C885)*'Assumptions and Catalog'!$H$51+'Assumptions and Catalog'!$E$51+'Assumptions and Catalog'!$F$51,IF(((D885+E885)*C885)&lt;='Assumptions and Catalog'!$C$52,((D885+E885)*C885)*'Assumptions and Catalog'!$H$52+'Assumptions and Catalog'!$E$52+'Assumptions and Catalog'!$F$52,IF(((D885+E885)*C885)&lt;='Assumptions and Catalog'!$C$53,((D885+E885)*C885)*'Assumptions and Catalog'!$H$53+'Assumptions and Catalog'!$E$53+'Assumptions and Catalog'!$F$53,IF(((D885+E885)*C885)&lt;='Assumptions and Catalog'!$C$54,((D885+E885)*C885)*'Assumptions and Catalog'!$H$54+'Assumptions and Catalog'!$E$54+'Assumptions and Catalog'!$F$54,IF(((D885+E885)*C885)&lt;='Assumptions and Catalog'!$C$55,((D885+E885)*C885)*'Assumptions and Catalog'!$H$55+'Assumptions and Catalog'!$E$55+'Assumptions and Catalog'!$F$55,IF(((D885+E885)*C885)&lt;='Assumptions and Catalog'!$C$56,((D885+E885)*C885)*'Assumptions and Catalog'!$H$56+'Assumptions and Catalog'!$E$56+'Assumptions and Catalog'!$F$56,IF(((D885+E885)*C885)&lt;='Assumptions and Catalog'!$C$57,((D885+E885)*C885)*'Assumptions and Catalog'!$H$57+'Assumptions and Catalog'!$E$57+'Assumptions and Catalog'!$F$57,"Out of range")))))))),IF(((D885+E885)*C885)&lt;='Assumptions and Catalog'!$C$60,((D885+E885)*C885)*'Assumptions and Catalog'!$H$60+'Assumptions and Catalog'!$E$60+'Assumptions and Catalog'!$F$60,IF(((D885+E885)*C885)&lt;='Assumptions and Catalog'!$C$61,((D885+E885)*C885)*'Assumptions and Catalog'!$H$61+'Assumptions and Catalog'!$E$61+'Assumptions and Catalog'!$F$61,IF(((D885+E885)*C885)&lt;='Assumptions and Catalog'!$C$62,((D885+E885)*C885)*'Assumptions and Catalog'!$H$62+'Assumptions and Catalog'!$E$62+'Assumptions and Catalog'!$F$62,IF(((D885+E885)*C885)&lt;='Assumptions and Catalog'!$C$63,((D885+E885)*C885)*'Assumptions and Catalog'!$H$63+'Assumptions and Catalog'!$E$63+'Assumptions and Catalog'!$F$63,IF(((D885+E885)*C885)&lt;='Assumptions and Catalog'!$C$64,((D885+E885)*C885)*'Assumptions and Catalog'!$H$64+'Assumptions and Catalog'!$E$64+'Assumptions and Catalog'!$F$64,IF(((D885+E885)*C885)&lt;='Assumptions and Catalog'!$C$65,((D885+E885)*C885)*'Assumptions and Catalog'!$H$65+'Assumptions and Catalog'!$E$65+'Assumptions and Catalog'!$F$65,"Out of range")))))))))*(1+'Assumptions and Catalog'!$C$8)^(A885-1),0)</f>
        <v>6867.22</v>
      </c>
      <c r="N885" s="5" t="n">
        <f>IF(ISNUMBER(Inputs!$L$5),(IF(Inputs!$L$9="Actual flat rate",L885*Inputs!$L$10,IF(Inputs!$C$9="Residential",IF(L885&lt;='Assumptions and Catalog'!$C$50,L885*'Assumptions and Catalog'!$H$50+'Assumptions and Catalog'!$E$50+'Assumptions and Catalog'!$F$50,IF(L885&lt;='Assumptions and Catalog'!$C$51,L885*'Assumptions and Catalog'!$H$51+'Assumptions and Catalog'!$E$51+'Assumptions and Catalog'!$F$51,IF(L885&lt;='Assumptions and Catalog'!$C$52,L885*'Assumptions and Catalog'!$H$52+'Assumptions and Catalog'!$E$52+'Assumptions and Catalog'!$F$52,IF(L885&lt;='Assumptions and Catalog'!$C$53,L885*'Assumptions and Catalog'!$H$53+'Assumptions and Catalog'!$E$53+'Assumptions and Catalog'!$F$53,IF(L885&lt;='Assumptions and Catalog'!$C$54,L885*'Assumptions and Catalog'!$H$54+'Assumptions and Catalog'!$E$54+'Assumptions and Catalog'!$F$54,IF(L885&lt;='Assumptions and Catalog'!$C$55,L885*'Assumptions and Catalog'!$H$55+'Assumptions and Catalog'!$E$55+'Assumptions and Catalog'!$F$55,IF(L885&lt;='Assumptions and Catalog'!$C$56,L885*'Assumptions and Catalog'!$H$56+'Assumptions and Catalog'!$E$56+'Assumptions and Catalog'!$F$56,IF(L885&lt;='Assumptions and Catalog'!$C$57,L885*'Assumptions and Catalog'!$H$57+'Assumptions and Catalog'!$E$57+'Assumptions and Catalog'!$F$57,"Out of range")))))))),IF(L885&lt;='Assumptions and Catalog'!$C$60,L885*'Assumptions and Catalog'!$H$60+'Assumptions and Catalog'!$E$60+'Assumptions and Catalog'!$F$60,IF(L885&lt;='Assumptions and Catalog'!$C$61,L885*'Assumptions and Catalog'!$H$61+'Assumptions and Catalog'!$E$61+'Assumptions and Catalog'!$F$61,IF(L885&lt;='Assumptions and Catalog'!$C$62,L885*'Assumptions and Catalog'!$H$62+'Assumptions and Catalog'!$E$62+'Assumptions and Catalog'!$F$62,IF(L885&lt;='Assumptions and Catalog'!$C$63,L885*'Assumptions and Catalog'!$H$63+'Assumptions and Catalog'!$E$63+'Assumptions and Catalog'!$F$63,IF(L885&lt;='Assumptions and Catalog'!$C$64,L885*'Assumptions and Catalog'!$H$64+'Assumptions and Catalog'!$E$64+'Assumptions and Catalog'!$F$64,IF(L885&lt;='Assumptions and Catalog'!$C$65,L885*'Assumptions and Catalog'!$H$65+'Assumptions and Catalog'!$E$65+'Assumptions and Catalog'!$F$65,"Out of range")))))))))*(1+'Assumptions and Catalog'!$C$8)^(A885-1),0)</f>
        <v>2612.23210274936</v>
      </c>
      <c r="O885" s="5" t="n">
        <f>M885-N885</f>
        <v>4254.98789725064</v>
      </c>
      <c r="P885" s="5" t="n">
        <f>E$55*(1-L$14)*(1-'Assumptions and Catalog'!$C$23)^R885</f>
        <v>8.71181335123749</v>
      </c>
      <c r="Q885" s="5" t="n">
        <f>IF(ISNUMBER(Inputs!$L$5),(IF(Inputs!$L$9="Actual flat rate",((D885+E885)*C885-G885)*Inputs!$L$10,IF(Inputs!$C$9="Residential",IF(((D885+E885)*C885-G885)&lt;='Assumptions and Catalog'!$C$50,((D885+E885)*C885-G885)*'Assumptions and Catalog'!$H$50+'Assumptions and Catalog'!$E$50+'Assumptions and Catalog'!$F$50,IF(((D885+E885)*C885-G885)&lt;='Assumptions and Catalog'!$C$51,((D885+E885)*C885-G885)*'Assumptions and Catalog'!$H$51+'Assumptions and Catalog'!$E$51+'Assumptions and Catalog'!$F$51,IF(((D885+E885)*C885-G885)&lt;='Assumptions and Catalog'!$C$52,((D885+E885)*C885-G885)*'Assumptions and Catalog'!$H$52+'Assumptions and Catalog'!$E$52+'Assumptions and Catalog'!$F$52,IF(((D885+E885)*C885-G885)&lt;='Assumptions and Catalog'!$C$53,((D885+E885)*C885-G885)*'Assumptions and Catalog'!$H$53+'Assumptions and Catalog'!$E$53+'Assumptions and Catalog'!$F$53,IF(((D885+E885)*C885-G885)&lt;='Assumptions and Catalog'!$C$54,((D885+E885)*C885-G885)*'Assumptions and Catalog'!$H$54+'Assumptions and Catalog'!$E$54+'Assumptions and Catalog'!$F$54,IF(((D885+E885)*C885-G885)&lt;='Assumptions and Catalog'!$C$55,((D885+E885)*C885-G885)*'Assumptions and Catalog'!$H$55+'Assumptions and Catalog'!$E$55+'Assumptions and Catalog'!$F$55,IF(((D885+E885)*C885-G885)&lt;='Assumptions and Catalog'!$C$56,((D885+E885)*C885-G885)*'Assumptions and Catalog'!$H$56+'Assumptions and Catalog'!$E$56+'Assumptions and Catalog'!$F$56,IF(((D885+E885)*C885-G885)&lt;='Assumptions and Catalog'!$C$57,((D885+E885)*C885-G885)*'Assumptions and Catalog'!$H$57+'Assumptions and Catalog'!$E$57+'Assumptions and Catalog'!$F$57,"Out of range")))))))),IF(((D885+E885)*C885-G885)&lt;='Assumptions and Catalog'!$C$60,((D885+E885)*C885-G885)*'Assumptions and Catalog'!$H$60+'Assumptions and Catalog'!$E$60+'Assumptions and Catalog'!$F$60,IF(((D885+E885)*C885-G885)&lt;='Assumptions and Catalog'!$C$61,((D885+E885)*C885-G885)*'Assumptions and Catalog'!$H$61+'Assumptions and Catalog'!$E$61+'Assumptions and Catalog'!$F$61,IF(((D885+E885)*C885-G885)&lt;='Assumptions and Catalog'!$C$62,((D885+E885)*C885-G885)*'Assumptions and Catalog'!$H$62+'Assumptions and Catalog'!$E$62+'Assumptions and Catalog'!$F$62,IF(((D885+E885)*C885-G885)&lt;='Assumptions and Catalog'!$C$63,((D885+E885)*C885-G885)*'Assumptions and Catalog'!$H$63+'Assumptions and Catalog'!$E$63+'Assumptions and Catalog'!$F$63,IF(((D885+E885)*C885-G885)&lt;='Assumptions and Catalog'!$C$64,((D885+E885)*C885-G885)*'Assumptions and Catalog'!$H$64+'Assumptions and Catalog'!$E$64+'Assumptions and Catalog'!$F$64,IF(((D885+E885)*C885-G885)&lt;='Assumptions and Catalog'!$C$65,((D885+E885)*C885-G885)*'Assumptions and Catalog'!$H$65+'Assumptions and Catalog'!$E$65+'Assumptions and Catalog'!$F$65,"Out of range")))))))))*(1+'Assumptions and Catalog'!$C$8)^(A885-1),0)</f>
        <v>3453.61</v>
      </c>
      <c r="R885" s="5" t="n">
        <f>IF(AND('Assumptions and Catalog'!$C$19&gt;0,A885&gt;='Assumptions and Catalog'!$C$19),A885-'Assumptions and Catalog'!$C$19,A885-1)</f>
        <v>8</v>
      </c>
      <c r="S885" s="5" t="n">
        <f>F885+L885-(D885+E885)*C885-J885-K885-IF(E$52&gt;0,'Assumptions and Catalog'!$C$26*C885,0)</f>
        <v>-1.13686837721616E-013</v>
      </c>
      <c r="T885" s="5"/>
      <c r="U885" s="5"/>
    </row>
    <row r="886" ht="23.100000381469727" customHeight="1">
      <c r="A886" s="5" t="n">
        <v>19</v>
      </c>
      <c r="B886" s="5" t="n">
        <v>10</v>
      </c>
      <c r="C886" s="5" t="n">
        <f>DAY(DATE('Assumptions and Catalog'!$C$24+A886-1,B886+1,0))</f>
        <v>31</v>
      </c>
      <c r="D886" s="5" t="n">
        <f>IF(ISNUMBER(Inputs!$L$5),Inputs!$L$5*Inputs!$L$6,0)</f>
        <v>40.35</v>
      </c>
      <c r="E886" s="5" t="n">
        <f>IF(ISNUMBER(Inputs!$L$5),Inputs!$L$5-D886,0)</f>
        <v>40.35</v>
      </c>
      <c r="F886" s="5" t="n">
        <f>E$51*INDEX('Solar Production'!$D$20:$D$31,B886)*C886*(1-'Assumptions and Catalog'!$C$10)^(A886-1)</f>
        <v>1553.17697299079</v>
      </c>
      <c r="G886" s="5" t="n">
        <f>MIN(F886,D886*C886)</f>
        <v>1250.85</v>
      </c>
      <c r="H886" s="5" t="n">
        <f>I886/('Assumptions and Catalog'!$C$11*'Assumptions and Catalog'!$C$12)</f>
        <v>276.990988603448</v>
      </c>
      <c r="I886" s="5" t="n">
        <f>MIN(E886*C886,P886*'Assumptions and Catalog'!$C$12*C886,(F886-G886)*'Assumptions and Catalog'!$C$11*'Assumptions and Catalog'!$C$12,E$56*'Assumptions and Catalog'!$C$14*'Assumptions and Catalog'!$C$11*'Assumptions and Catalog'!$C$12*C886,E$57*(24-'Assumptions and Catalog'!$C$13)*C886)</f>
        <v>263.314558541153</v>
      </c>
      <c r="J886" s="5" t="n">
        <f>MAX(F886-G886-H886,0)</f>
        <v>25.3359843873381</v>
      </c>
      <c r="K886" s="5" t="n">
        <f>H886-I886</f>
        <v>13.6764300622953</v>
      </c>
      <c r="L886" s="5" t="n">
        <f>(D886+E886)*C886-G886-I886+0+IF(E$52&gt;0,'Assumptions and Catalog'!$C$26*C886,0)</f>
        <v>987.535441458847</v>
      </c>
      <c r="M886" s="5" t="n">
        <f>IF(ISNUMBER(Inputs!$L$5),(IF(Inputs!$L$9="Actual flat rate",((D886+E886)*C886)*Inputs!$L$10,IF(Inputs!$C$9="Residential",IF(((D886+E886)*C886)&lt;='Assumptions and Catalog'!$C$50,((D886+E886)*C886)*'Assumptions and Catalog'!$H$50+'Assumptions and Catalog'!$E$50+'Assumptions and Catalog'!$F$50,IF(((D886+E886)*C886)&lt;='Assumptions and Catalog'!$C$51,((D886+E886)*C886)*'Assumptions and Catalog'!$H$51+'Assumptions and Catalog'!$E$51+'Assumptions and Catalog'!$F$51,IF(((D886+E886)*C886)&lt;='Assumptions and Catalog'!$C$52,((D886+E886)*C886)*'Assumptions and Catalog'!$H$52+'Assumptions and Catalog'!$E$52+'Assumptions and Catalog'!$F$52,IF(((D886+E886)*C886)&lt;='Assumptions and Catalog'!$C$53,((D886+E886)*C886)*'Assumptions and Catalog'!$H$53+'Assumptions and Catalog'!$E$53+'Assumptions and Catalog'!$F$53,IF(((D886+E886)*C886)&lt;='Assumptions and Catalog'!$C$54,((D886+E886)*C886)*'Assumptions and Catalog'!$H$54+'Assumptions and Catalog'!$E$54+'Assumptions and Catalog'!$F$54,IF(((D886+E886)*C886)&lt;='Assumptions and Catalog'!$C$55,((D886+E886)*C886)*'Assumptions and Catalog'!$H$55+'Assumptions and Catalog'!$E$55+'Assumptions and Catalog'!$F$55,IF(((D886+E886)*C886)&lt;='Assumptions and Catalog'!$C$56,((D886+E886)*C886)*'Assumptions and Catalog'!$H$56+'Assumptions and Catalog'!$E$56+'Assumptions and Catalog'!$F$56,IF(((D886+E886)*C886)&lt;='Assumptions and Catalog'!$C$57,((D886+E886)*C886)*'Assumptions and Catalog'!$H$57+'Assumptions and Catalog'!$E$57+'Assumptions and Catalog'!$F$57,"Out of range")))))))),IF(((D886+E886)*C886)&lt;='Assumptions and Catalog'!$C$60,((D886+E886)*C886)*'Assumptions and Catalog'!$H$60+'Assumptions and Catalog'!$E$60+'Assumptions and Catalog'!$F$60,IF(((D886+E886)*C886)&lt;='Assumptions and Catalog'!$C$61,((D886+E886)*C886)*'Assumptions and Catalog'!$H$61+'Assumptions and Catalog'!$E$61+'Assumptions and Catalog'!$F$61,IF(((D886+E886)*C886)&lt;='Assumptions and Catalog'!$C$62,((D886+E886)*C886)*'Assumptions and Catalog'!$H$62+'Assumptions and Catalog'!$E$62+'Assumptions and Catalog'!$F$62,IF(((D886+E886)*C886)&lt;='Assumptions and Catalog'!$C$63,((D886+E886)*C886)*'Assumptions and Catalog'!$H$63+'Assumptions and Catalog'!$E$63+'Assumptions and Catalog'!$F$63,IF(((D886+E886)*C886)&lt;='Assumptions and Catalog'!$C$64,((D886+E886)*C886)*'Assumptions and Catalog'!$H$64+'Assumptions and Catalog'!$E$64+'Assumptions and Catalog'!$F$64,IF(((D886+E886)*C886)&lt;='Assumptions and Catalog'!$C$65,((D886+E886)*C886)*'Assumptions and Catalog'!$H$65+'Assumptions and Catalog'!$E$65+'Assumptions and Catalog'!$F$65,"Out of range")))))))))*(1+'Assumptions and Catalog'!$C$8)^(A886-1),0)</f>
        <v>7094.794</v>
      </c>
      <c r="N886" s="5" t="n">
        <f>IF(ISNUMBER(Inputs!$L$5),(IF(Inputs!$L$9="Actual flat rate",L886*Inputs!$L$10,IF(Inputs!$C$9="Residential",IF(L886&lt;='Assumptions and Catalog'!$C$50,L886*'Assumptions and Catalog'!$H$50+'Assumptions and Catalog'!$E$50+'Assumptions and Catalog'!$F$50,IF(L886&lt;='Assumptions and Catalog'!$C$51,L886*'Assumptions and Catalog'!$H$51+'Assumptions and Catalog'!$E$51+'Assumptions and Catalog'!$F$51,IF(L886&lt;='Assumptions and Catalog'!$C$52,L886*'Assumptions and Catalog'!$H$52+'Assumptions and Catalog'!$E$52+'Assumptions and Catalog'!$F$52,IF(L886&lt;='Assumptions and Catalog'!$C$53,L886*'Assumptions and Catalog'!$H$53+'Assumptions and Catalog'!$E$53+'Assumptions and Catalog'!$F$53,IF(L886&lt;='Assumptions and Catalog'!$C$54,L886*'Assumptions and Catalog'!$H$54+'Assumptions and Catalog'!$E$54+'Assumptions and Catalog'!$F$54,IF(L886&lt;='Assumptions and Catalog'!$C$55,L886*'Assumptions and Catalog'!$H$55+'Assumptions and Catalog'!$E$55+'Assumptions and Catalog'!$F$55,IF(L886&lt;='Assumptions and Catalog'!$C$56,L886*'Assumptions and Catalog'!$H$56+'Assumptions and Catalog'!$E$56+'Assumptions and Catalog'!$F$56,IF(L886&lt;='Assumptions and Catalog'!$C$57,L886*'Assumptions and Catalog'!$H$57+'Assumptions and Catalog'!$E$57+'Assumptions and Catalog'!$F$57,"Out of range")))))))),IF(L886&lt;='Assumptions and Catalog'!$C$60,L886*'Assumptions and Catalog'!$H$60+'Assumptions and Catalog'!$E$60+'Assumptions and Catalog'!$F$60,IF(L886&lt;='Assumptions and Catalog'!$C$61,L886*'Assumptions and Catalog'!$H$61+'Assumptions and Catalog'!$E$61+'Assumptions and Catalog'!$F$61,IF(L886&lt;='Assumptions and Catalog'!$C$62,L886*'Assumptions and Catalog'!$H$62+'Assumptions and Catalog'!$E$62+'Assumptions and Catalog'!$F$62,IF(L886&lt;='Assumptions and Catalog'!$C$63,L886*'Assumptions and Catalog'!$H$63+'Assumptions and Catalog'!$E$63+'Assumptions and Catalog'!$F$63,IF(L886&lt;='Assumptions and Catalog'!$C$64,L886*'Assumptions and Catalog'!$H$64+'Assumptions and Catalog'!$E$64+'Assumptions and Catalog'!$F$64,IF(L886&lt;='Assumptions and Catalog'!$C$65,L886*'Assumptions and Catalog'!$H$65+'Assumptions and Catalog'!$E$65+'Assumptions and Catalog'!$F$65,"Out of range")))))))))*(1+'Assumptions and Catalog'!$C$8)^(A886-1),0)</f>
        <v>2700.47317284101</v>
      </c>
      <c r="O886" s="5" t="n">
        <f>M886-N886</f>
        <v>4394.320827159</v>
      </c>
      <c r="P886" s="5" t="n">
        <f>E$55*(1-L$14)*(1-'Assumptions and Catalog'!$C$23)^R886</f>
        <v>8.71181335123749</v>
      </c>
      <c r="Q886" s="5" t="n">
        <f>IF(ISNUMBER(Inputs!$L$5),(IF(Inputs!$L$9="Actual flat rate",((D886+E886)*C886-G886)*Inputs!$L$10,IF(Inputs!$C$9="Residential",IF(((D886+E886)*C886-G886)&lt;='Assumptions and Catalog'!$C$50,((D886+E886)*C886-G886)*'Assumptions and Catalog'!$H$50+'Assumptions and Catalog'!$E$50+'Assumptions and Catalog'!$F$50,IF(((D886+E886)*C886-G886)&lt;='Assumptions and Catalog'!$C$51,((D886+E886)*C886-G886)*'Assumptions and Catalog'!$H$51+'Assumptions and Catalog'!$E$51+'Assumptions and Catalog'!$F$51,IF(((D886+E886)*C886-G886)&lt;='Assumptions and Catalog'!$C$52,((D886+E886)*C886-G886)*'Assumptions and Catalog'!$H$52+'Assumptions and Catalog'!$E$52+'Assumptions and Catalog'!$F$52,IF(((D886+E886)*C886-G886)&lt;='Assumptions and Catalog'!$C$53,((D886+E886)*C886-G886)*'Assumptions and Catalog'!$H$53+'Assumptions and Catalog'!$E$53+'Assumptions and Catalog'!$F$53,IF(((D886+E886)*C886-G886)&lt;='Assumptions and Catalog'!$C$54,((D886+E886)*C886-G886)*'Assumptions and Catalog'!$H$54+'Assumptions and Catalog'!$E$54+'Assumptions and Catalog'!$F$54,IF(((D886+E886)*C886-G886)&lt;='Assumptions and Catalog'!$C$55,((D886+E886)*C886-G886)*'Assumptions and Catalog'!$H$55+'Assumptions and Catalog'!$E$55+'Assumptions and Catalog'!$F$55,IF(((D886+E886)*C886-G886)&lt;='Assumptions and Catalog'!$C$56,((D886+E886)*C886-G886)*'Assumptions and Catalog'!$H$56+'Assumptions and Catalog'!$E$56+'Assumptions and Catalog'!$F$56,IF(((D886+E886)*C886-G886)&lt;='Assumptions and Catalog'!$C$57,((D886+E886)*C886-G886)*'Assumptions and Catalog'!$H$57+'Assumptions and Catalog'!$E$57+'Assumptions and Catalog'!$F$57,"Out of range")))))))),IF(((D886+E886)*C886-G886)&lt;='Assumptions and Catalog'!$C$60,((D886+E886)*C886-G886)*'Assumptions and Catalog'!$H$60+'Assumptions and Catalog'!$E$60+'Assumptions and Catalog'!$F$60,IF(((D886+E886)*C886-G886)&lt;='Assumptions and Catalog'!$C$61,((D886+E886)*C886-G886)*'Assumptions and Catalog'!$H$61+'Assumptions and Catalog'!$E$61+'Assumptions and Catalog'!$F$61,IF(((D886+E886)*C886-G886)&lt;='Assumptions and Catalog'!$C$62,((D886+E886)*C886-G886)*'Assumptions and Catalog'!$H$62+'Assumptions and Catalog'!$E$62+'Assumptions and Catalog'!$F$62,IF(((D886+E886)*C886-G886)&lt;='Assumptions and Catalog'!$C$63,((D886+E886)*C886-G886)*'Assumptions and Catalog'!$H$63+'Assumptions and Catalog'!$E$63+'Assumptions and Catalog'!$F$63,IF(((D886+E886)*C886-G886)&lt;='Assumptions and Catalog'!$C$64,((D886+E886)*C886-G886)*'Assumptions and Catalog'!$H$64+'Assumptions and Catalog'!$E$64+'Assumptions and Catalog'!$F$64,IF(((D886+E886)*C886-G886)&lt;='Assumptions and Catalog'!$C$65,((D886+E886)*C886-G886)*'Assumptions and Catalog'!$H$65+'Assumptions and Catalog'!$E$65+'Assumptions and Catalog'!$F$65,"Out of range")))))))))*(1+'Assumptions and Catalog'!$C$8)^(A886-1),0)</f>
        <v>3567.397</v>
      </c>
      <c r="R886" s="5" t="n">
        <f>IF(AND('Assumptions and Catalog'!$C$19&gt;0,A886&gt;='Assumptions and Catalog'!$C$19),A886-'Assumptions and Catalog'!$C$19,A886-1)</f>
        <v>8</v>
      </c>
      <c r="S886" s="5" t="n">
        <f>F886+L886-(D886+E886)*C886-J886-K886-IF(E$52&gt;0,'Assumptions and Catalog'!$C$26*C886,0)</f>
        <v>1.70530256582424E-013</v>
      </c>
      <c r="T886" s="5"/>
      <c r="U886" s="5"/>
    </row>
    <row r="887" ht="23.100000381469727" customHeight="1">
      <c r="A887" s="5" t="n">
        <v>19</v>
      </c>
      <c r="B887" s="5" t="n">
        <v>11</v>
      </c>
      <c r="C887" s="5" t="n">
        <f>DAY(DATE('Assumptions and Catalog'!$C$24+A887-1,B887+1,0))</f>
        <v>30</v>
      </c>
      <c r="D887" s="5" t="n">
        <f>IF(ISNUMBER(Inputs!$L$5),Inputs!$L$5*Inputs!$L$6,0)</f>
        <v>40.35</v>
      </c>
      <c r="E887" s="5" t="n">
        <f>IF(ISNUMBER(Inputs!$L$5),Inputs!$L$5-D887,0)</f>
        <v>40.35</v>
      </c>
      <c r="F887" s="5" t="n">
        <f>E$51*INDEX('Solar Production'!$D$20:$D$31,B887)*C887*(1-'Assumptions and Catalog'!$C$10)^(A887-1)</f>
        <v>1376.68187400859</v>
      </c>
      <c r="G887" s="5" t="n">
        <f>MIN(F887,D887*C887)</f>
        <v>1210.5</v>
      </c>
      <c r="H887" s="5" t="n">
        <f>I887/('Assumptions and Catalog'!$C$11*'Assumptions and Catalog'!$C$12)</f>
        <v>166.181874008594</v>
      </c>
      <c r="I887" s="5" t="n">
        <f>MIN(E887*C887,P887*'Assumptions and Catalog'!$C$12*C887,(F887-G887)*'Assumptions and Catalog'!$C$11*'Assumptions and Catalog'!$C$12,E$56*'Assumptions and Catalog'!$C$14*'Assumptions and Catalog'!$C$11*'Assumptions and Catalog'!$C$12*C887,E$57*(24-'Assumptions and Catalog'!$C$13)*C887)</f>
        <v>157.976643979419</v>
      </c>
      <c r="J887" s="5" t="n">
        <f>MAX(F887-G887-H887,0)</f>
        <v>0</v>
      </c>
      <c r="K887" s="5" t="n">
        <f>H887-I887</f>
        <v>8.20523002917432</v>
      </c>
      <c r="L887" s="5" t="n">
        <f>(D887+E887)*C887-G887-I887+0+IF(E$52&gt;0,'Assumptions and Catalog'!$C$26*C887,0)</f>
        <v>1052.52335602058</v>
      </c>
      <c r="M887" s="5" t="n">
        <f>IF(ISNUMBER(Inputs!$L$5),(IF(Inputs!$L$9="Actual flat rate",((D887+E887)*C887)*Inputs!$L$10,IF(Inputs!$C$9="Residential",IF(((D887+E887)*C887)&lt;='Assumptions and Catalog'!$C$50,((D887+E887)*C887)*'Assumptions and Catalog'!$H$50+'Assumptions and Catalog'!$E$50+'Assumptions and Catalog'!$F$50,IF(((D887+E887)*C887)&lt;='Assumptions and Catalog'!$C$51,((D887+E887)*C887)*'Assumptions and Catalog'!$H$51+'Assumptions and Catalog'!$E$51+'Assumptions and Catalog'!$F$51,IF(((D887+E887)*C887)&lt;='Assumptions and Catalog'!$C$52,((D887+E887)*C887)*'Assumptions and Catalog'!$H$52+'Assumptions and Catalog'!$E$52+'Assumptions and Catalog'!$F$52,IF(((D887+E887)*C887)&lt;='Assumptions and Catalog'!$C$53,((D887+E887)*C887)*'Assumptions and Catalog'!$H$53+'Assumptions and Catalog'!$E$53+'Assumptions and Catalog'!$F$53,IF(((D887+E887)*C887)&lt;='Assumptions and Catalog'!$C$54,((D887+E887)*C887)*'Assumptions and Catalog'!$H$54+'Assumptions and Catalog'!$E$54+'Assumptions and Catalog'!$F$54,IF(((D887+E887)*C887)&lt;='Assumptions and Catalog'!$C$55,((D887+E887)*C887)*'Assumptions and Catalog'!$H$55+'Assumptions and Catalog'!$E$55+'Assumptions and Catalog'!$F$55,IF(((D887+E887)*C887)&lt;='Assumptions and Catalog'!$C$56,((D887+E887)*C887)*'Assumptions and Catalog'!$H$56+'Assumptions and Catalog'!$E$56+'Assumptions and Catalog'!$F$56,IF(((D887+E887)*C887)&lt;='Assumptions and Catalog'!$C$57,((D887+E887)*C887)*'Assumptions and Catalog'!$H$57+'Assumptions and Catalog'!$E$57+'Assumptions and Catalog'!$F$57,"Out of range")))))))),IF(((D887+E887)*C887)&lt;='Assumptions and Catalog'!$C$60,((D887+E887)*C887)*'Assumptions and Catalog'!$H$60+'Assumptions and Catalog'!$E$60+'Assumptions and Catalog'!$F$60,IF(((D887+E887)*C887)&lt;='Assumptions and Catalog'!$C$61,((D887+E887)*C887)*'Assumptions and Catalog'!$H$61+'Assumptions and Catalog'!$E$61+'Assumptions and Catalog'!$F$61,IF(((D887+E887)*C887)&lt;='Assumptions and Catalog'!$C$62,((D887+E887)*C887)*'Assumptions and Catalog'!$H$62+'Assumptions and Catalog'!$E$62+'Assumptions and Catalog'!$F$62,IF(((D887+E887)*C887)&lt;='Assumptions and Catalog'!$C$63,((D887+E887)*C887)*'Assumptions and Catalog'!$H$63+'Assumptions and Catalog'!$E$63+'Assumptions and Catalog'!$F$63,IF(((D887+E887)*C887)&lt;='Assumptions and Catalog'!$C$64,((D887+E887)*C887)*'Assumptions and Catalog'!$H$64+'Assumptions and Catalog'!$E$64+'Assumptions and Catalog'!$F$64,IF(((D887+E887)*C887)&lt;='Assumptions and Catalog'!$C$65,((D887+E887)*C887)*'Assumptions and Catalog'!$H$65+'Assumptions and Catalog'!$E$65+'Assumptions and Catalog'!$F$65,"Out of range")))))))))*(1+'Assumptions and Catalog'!$C$8)^(A887-1),0)</f>
        <v>6867.22</v>
      </c>
      <c r="N887" s="5" t="n">
        <f>IF(ISNUMBER(Inputs!$L$5),(IF(Inputs!$L$9="Actual flat rate",L887*Inputs!$L$10,IF(Inputs!$C$9="Residential",IF(L887&lt;='Assumptions and Catalog'!$C$50,L887*'Assumptions and Catalog'!$H$50+'Assumptions and Catalog'!$E$50+'Assumptions and Catalog'!$F$50,IF(L887&lt;='Assumptions and Catalog'!$C$51,L887*'Assumptions and Catalog'!$H$51+'Assumptions and Catalog'!$E$51+'Assumptions and Catalog'!$F$51,IF(L887&lt;='Assumptions and Catalog'!$C$52,L887*'Assumptions and Catalog'!$H$52+'Assumptions and Catalog'!$E$52+'Assumptions and Catalog'!$F$52,IF(L887&lt;='Assumptions and Catalog'!$C$53,L887*'Assumptions and Catalog'!$H$53+'Assumptions and Catalog'!$E$53+'Assumptions and Catalog'!$F$53,IF(L887&lt;='Assumptions and Catalog'!$C$54,L887*'Assumptions and Catalog'!$H$54+'Assumptions and Catalog'!$E$54+'Assumptions and Catalog'!$F$54,IF(L887&lt;='Assumptions and Catalog'!$C$55,L887*'Assumptions and Catalog'!$H$55+'Assumptions and Catalog'!$E$55+'Assumptions and Catalog'!$F$55,IF(L887&lt;='Assumptions and Catalog'!$C$56,L887*'Assumptions and Catalog'!$H$56+'Assumptions and Catalog'!$E$56+'Assumptions and Catalog'!$F$56,IF(L887&lt;='Assumptions and Catalog'!$C$57,L887*'Assumptions and Catalog'!$H$57+'Assumptions and Catalog'!$E$57+'Assumptions and Catalog'!$F$57,"Out of range")))))))),IF(L887&lt;='Assumptions and Catalog'!$C$60,L887*'Assumptions and Catalog'!$H$60+'Assumptions and Catalog'!$E$60+'Assumptions and Catalog'!$F$60,IF(L887&lt;='Assumptions and Catalog'!$C$61,L887*'Assumptions and Catalog'!$H$61+'Assumptions and Catalog'!$E$61+'Assumptions and Catalog'!$F$61,IF(L887&lt;='Assumptions and Catalog'!$C$62,L887*'Assumptions and Catalog'!$H$62+'Assumptions and Catalog'!$E$62+'Assumptions and Catalog'!$F$62,IF(L887&lt;='Assumptions and Catalog'!$C$63,L887*'Assumptions and Catalog'!$H$63+'Assumptions and Catalog'!$E$63+'Assumptions and Catalog'!$F$63,IF(L887&lt;='Assumptions and Catalog'!$C$64,L887*'Assumptions and Catalog'!$H$64+'Assumptions and Catalog'!$E$64+'Assumptions and Catalog'!$F$64,IF(L887&lt;='Assumptions and Catalog'!$C$65,L887*'Assumptions and Catalog'!$H$65+'Assumptions and Catalog'!$E$65+'Assumptions and Catalog'!$F$65,"Out of range")))))))))*(1+'Assumptions and Catalog'!$C$8)^(A887-1),0)</f>
        <v>3008.11586397804</v>
      </c>
      <c r="O887" s="5" t="n">
        <f>M887-N887</f>
        <v>3859.10413602196</v>
      </c>
      <c r="P887" s="5" t="n">
        <f>E$55*(1-L$14)*(1-'Assumptions and Catalog'!$C$23)^R887</f>
        <v>8.71181335123749</v>
      </c>
      <c r="Q887" s="5" t="n">
        <f>IF(ISNUMBER(Inputs!$L$5),(IF(Inputs!$L$9="Actual flat rate",((D887+E887)*C887-G887)*Inputs!$L$10,IF(Inputs!$C$9="Residential",IF(((D887+E887)*C887-G887)&lt;='Assumptions and Catalog'!$C$50,((D887+E887)*C887-G887)*'Assumptions and Catalog'!$H$50+'Assumptions and Catalog'!$E$50+'Assumptions and Catalog'!$F$50,IF(((D887+E887)*C887-G887)&lt;='Assumptions and Catalog'!$C$51,((D887+E887)*C887-G887)*'Assumptions and Catalog'!$H$51+'Assumptions and Catalog'!$E$51+'Assumptions and Catalog'!$F$51,IF(((D887+E887)*C887-G887)&lt;='Assumptions and Catalog'!$C$52,((D887+E887)*C887-G887)*'Assumptions and Catalog'!$H$52+'Assumptions and Catalog'!$E$52+'Assumptions and Catalog'!$F$52,IF(((D887+E887)*C887-G887)&lt;='Assumptions and Catalog'!$C$53,((D887+E887)*C887-G887)*'Assumptions and Catalog'!$H$53+'Assumptions and Catalog'!$E$53+'Assumptions and Catalog'!$F$53,IF(((D887+E887)*C887-G887)&lt;='Assumptions and Catalog'!$C$54,((D887+E887)*C887-G887)*'Assumptions and Catalog'!$H$54+'Assumptions and Catalog'!$E$54+'Assumptions and Catalog'!$F$54,IF(((D887+E887)*C887-G887)&lt;='Assumptions and Catalog'!$C$55,((D887+E887)*C887-G887)*'Assumptions and Catalog'!$H$55+'Assumptions and Catalog'!$E$55+'Assumptions and Catalog'!$F$55,IF(((D887+E887)*C887-G887)&lt;='Assumptions and Catalog'!$C$56,((D887+E887)*C887-G887)*'Assumptions and Catalog'!$H$56+'Assumptions and Catalog'!$E$56+'Assumptions and Catalog'!$F$56,IF(((D887+E887)*C887-G887)&lt;='Assumptions and Catalog'!$C$57,((D887+E887)*C887-G887)*'Assumptions and Catalog'!$H$57+'Assumptions and Catalog'!$E$57+'Assumptions and Catalog'!$F$57,"Out of range")))))))),IF(((D887+E887)*C887-G887)&lt;='Assumptions and Catalog'!$C$60,((D887+E887)*C887-G887)*'Assumptions and Catalog'!$H$60+'Assumptions and Catalog'!$E$60+'Assumptions and Catalog'!$F$60,IF(((D887+E887)*C887-G887)&lt;='Assumptions and Catalog'!$C$61,((D887+E887)*C887-G887)*'Assumptions and Catalog'!$H$61+'Assumptions and Catalog'!$E$61+'Assumptions and Catalog'!$F$61,IF(((D887+E887)*C887-G887)&lt;='Assumptions and Catalog'!$C$62,((D887+E887)*C887-G887)*'Assumptions and Catalog'!$H$62+'Assumptions and Catalog'!$E$62+'Assumptions and Catalog'!$F$62,IF(((D887+E887)*C887-G887)&lt;='Assumptions and Catalog'!$C$63,((D887+E887)*C887-G887)*'Assumptions and Catalog'!$H$63+'Assumptions and Catalog'!$E$63+'Assumptions and Catalog'!$F$63,IF(((D887+E887)*C887-G887)&lt;='Assumptions and Catalog'!$C$64,((D887+E887)*C887-G887)*'Assumptions and Catalog'!$H$64+'Assumptions and Catalog'!$E$64+'Assumptions and Catalog'!$F$64,IF(((D887+E887)*C887-G887)&lt;='Assumptions and Catalog'!$C$65,((D887+E887)*C887-G887)*'Assumptions and Catalog'!$H$65+'Assumptions and Catalog'!$E$65+'Assumptions and Catalog'!$F$65,"Out of range")))))))))*(1+'Assumptions and Catalog'!$C$8)^(A887-1),0)</f>
        <v>3453.61</v>
      </c>
      <c r="R887" s="5" t="n">
        <f>IF(AND('Assumptions and Catalog'!$C$19&gt;0,A887&gt;='Assumptions and Catalog'!$C$19),A887-'Assumptions and Catalog'!$C$19,A887-1)</f>
        <v>8</v>
      </c>
      <c r="S887" s="5" t="n">
        <f>F887+L887-(D887+E887)*C887-J887-K887-IF(E$52&gt;0,'Assumptions and Catalog'!$C$26*C887,0)</f>
        <v>0</v>
      </c>
      <c r="T887" s="5"/>
      <c r="U887" s="5"/>
    </row>
    <row r="888" ht="23.100000381469727" customHeight="1">
      <c r="A888" s="5" t="n">
        <v>19</v>
      </c>
      <c r="B888" s="5" t="n">
        <v>12</v>
      </c>
      <c r="C888" s="5" t="n">
        <f>DAY(DATE('Assumptions and Catalog'!$C$24+A888-1,B888+1,0))</f>
        <v>31</v>
      </c>
      <c r="D888" s="5" t="n">
        <f>IF(ISNUMBER(Inputs!$L$5),Inputs!$L$5*Inputs!$L$6,0)</f>
        <v>40.35</v>
      </c>
      <c r="E888" s="5" t="n">
        <f>IF(ISNUMBER(Inputs!$L$5),Inputs!$L$5-D888,0)</f>
        <v>40.35</v>
      </c>
      <c r="F888" s="5" t="n">
        <f>E$51*INDEX('Solar Production'!$D$20:$D$31,B888)*C888*(1-'Assumptions and Catalog'!$C$10)^(A888-1)</f>
        <v>1310.64697649646</v>
      </c>
      <c r="G888" s="5" t="n">
        <f>MIN(F888,D888*C888)</f>
        <v>1250.85</v>
      </c>
      <c r="H888" s="5" t="n">
        <f>I888/('Assumptions and Catalog'!$C$11*'Assumptions and Catalog'!$C$12)</f>
        <v>59.7969764964637</v>
      </c>
      <c r="I888" s="5" t="n">
        <f>MIN(E888*C888,P888*'Assumptions and Catalog'!$C$12*C888,(F888-G888)*'Assumptions and Catalog'!$C$11*'Assumptions and Catalog'!$C$12,E$56*'Assumptions and Catalog'!$C$14*'Assumptions and Catalog'!$C$11*'Assumptions and Catalog'!$C$12*C888,E$57*(24-'Assumptions and Catalog'!$C$13)*C888)</f>
        <v>56.8445007819508</v>
      </c>
      <c r="J888" s="5" t="n">
        <f>MAX(F888-G888-H888,0)</f>
        <v>0</v>
      </c>
      <c r="K888" s="5" t="n">
        <f>H888-I888</f>
        <v>2.9524757145129</v>
      </c>
      <c r="L888" s="5" t="n">
        <f>(D888+E888)*C888-G888-I888+0+IF(E$52&gt;0,'Assumptions and Catalog'!$C$26*C888,0)</f>
        <v>1194.00549921805</v>
      </c>
      <c r="M888" s="5" t="n">
        <f>IF(ISNUMBER(Inputs!$L$5),(IF(Inputs!$L$9="Actual flat rate",((D888+E888)*C888)*Inputs!$L$10,IF(Inputs!$C$9="Residential",IF(((D888+E888)*C888)&lt;='Assumptions and Catalog'!$C$50,((D888+E888)*C888)*'Assumptions and Catalog'!$H$50+'Assumptions and Catalog'!$E$50+'Assumptions and Catalog'!$F$50,IF(((D888+E888)*C888)&lt;='Assumptions and Catalog'!$C$51,((D888+E888)*C888)*'Assumptions and Catalog'!$H$51+'Assumptions and Catalog'!$E$51+'Assumptions and Catalog'!$F$51,IF(((D888+E888)*C888)&lt;='Assumptions and Catalog'!$C$52,((D888+E888)*C888)*'Assumptions and Catalog'!$H$52+'Assumptions and Catalog'!$E$52+'Assumptions and Catalog'!$F$52,IF(((D888+E888)*C888)&lt;='Assumptions and Catalog'!$C$53,((D888+E888)*C888)*'Assumptions and Catalog'!$H$53+'Assumptions and Catalog'!$E$53+'Assumptions and Catalog'!$F$53,IF(((D888+E888)*C888)&lt;='Assumptions and Catalog'!$C$54,((D888+E888)*C888)*'Assumptions and Catalog'!$H$54+'Assumptions and Catalog'!$E$54+'Assumptions and Catalog'!$F$54,IF(((D888+E888)*C888)&lt;='Assumptions and Catalog'!$C$55,((D888+E888)*C888)*'Assumptions and Catalog'!$H$55+'Assumptions and Catalog'!$E$55+'Assumptions and Catalog'!$F$55,IF(((D888+E888)*C888)&lt;='Assumptions and Catalog'!$C$56,((D888+E888)*C888)*'Assumptions and Catalog'!$H$56+'Assumptions and Catalog'!$E$56+'Assumptions and Catalog'!$F$56,IF(((D888+E888)*C888)&lt;='Assumptions and Catalog'!$C$57,((D888+E888)*C888)*'Assumptions and Catalog'!$H$57+'Assumptions and Catalog'!$E$57+'Assumptions and Catalog'!$F$57,"Out of range")))))))),IF(((D888+E888)*C888)&lt;='Assumptions and Catalog'!$C$60,((D888+E888)*C888)*'Assumptions and Catalog'!$H$60+'Assumptions and Catalog'!$E$60+'Assumptions and Catalog'!$F$60,IF(((D888+E888)*C888)&lt;='Assumptions and Catalog'!$C$61,((D888+E888)*C888)*'Assumptions and Catalog'!$H$61+'Assumptions and Catalog'!$E$61+'Assumptions and Catalog'!$F$61,IF(((D888+E888)*C888)&lt;='Assumptions and Catalog'!$C$62,((D888+E888)*C888)*'Assumptions and Catalog'!$H$62+'Assumptions and Catalog'!$E$62+'Assumptions and Catalog'!$F$62,IF(((D888+E888)*C888)&lt;='Assumptions and Catalog'!$C$63,((D888+E888)*C888)*'Assumptions and Catalog'!$H$63+'Assumptions and Catalog'!$E$63+'Assumptions and Catalog'!$F$63,IF(((D888+E888)*C888)&lt;='Assumptions and Catalog'!$C$64,((D888+E888)*C888)*'Assumptions and Catalog'!$H$64+'Assumptions and Catalog'!$E$64+'Assumptions and Catalog'!$F$64,IF(((D888+E888)*C888)&lt;='Assumptions and Catalog'!$C$65,((D888+E888)*C888)*'Assumptions and Catalog'!$H$65+'Assumptions and Catalog'!$E$65+'Assumptions and Catalog'!$F$65,"Out of range")))))))))*(1+'Assumptions and Catalog'!$C$8)^(A888-1),0)</f>
        <v>7094.794</v>
      </c>
      <c r="N888" s="5" t="n">
        <f>IF(ISNUMBER(Inputs!$L$5),(IF(Inputs!$L$9="Actual flat rate",L888*Inputs!$L$10,IF(Inputs!$C$9="Residential",IF(L888&lt;='Assumptions and Catalog'!$C$50,L888*'Assumptions and Catalog'!$H$50+'Assumptions and Catalog'!$E$50+'Assumptions and Catalog'!$F$50,IF(L888&lt;='Assumptions and Catalog'!$C$51,L888*'Assumptions and Catalog'!$H$51+'Assumptions and Catalog'!$E$51+'Assumptions and Catalog'!$F$51,IF(L888&lt;='Assumptions and Catalog'!$C$52,L888*'Assumptions and Catalog'!$H$52+'Assumptions and Catalog'!$E$52+'Assumptions and Catalog'!$F$52,IF(L888&lt;='Assumptions and Catalog'!$C$53,L888*'Assumptions and Catalog'!$H$53+'Assumptions and Catalog'!$E$53+'Assumptions and Catalog'!$F$53,IF(L888&lt;='Assumptions and Catalog'!$C$54,L888*'Assumptions and Catalog'!$H$54+'Assumptions and Catalog'!$E$54+'Assumptions and Catalog'!$F$54,IF(L888&lt;='Assumptions and Catalog'!$C$55,L888*'Assumptions and Catalog'!$H$55+'Assumptions and Catalog'!$E$55+'Assumptions and Catalog'!$F$55,IF(L888&lt;='Assumptions and Catalog'!$C$56,L888*'Assumptions and Catalog'!$H$56+'Assumptions and Catalog'!$E$56+'Assumptions and Catalog'!$F$56,IF(L888&lt;='Assumptions and Catalog'!$C$57,L888*'Assumptions and Catalog'!$H$57+'Assumptions and Catalog'!$E$57+'Assumptions and Catalog'!$F$57,"Out of range")))))))),IF(L888&lt;='Assumptions and Catalog'!$C$60,L888*'Assumptions and Catalog'!$H$60+'Assumptions and Catalog'!$E$60+'Assumptions and Catalog'!$F$60,IF(L888&lt;='Assumptions and Catalog'!$C$61,L888*'Assumptions and Catalog'!$H$61+'Assumptions and Catalog'!$E$61+'Assumptions and Catalog'!$F$61,IF(L888&lt;='Assumptions and Catalog'!$C$62,L888*'Assumptions and Catalog'!$H$62+'Assumptions and Catalog'!$E$62+'Assumptions and Catalog'!$F$62,IF(L888&lt;='Assumptions and Catalog'!$C$63,L888*'Assumptions and Catalog'!$H$63+'Assumptions and Catalog'!$E$63+'Assumptions and Catalog'!$F$63,IF(L888&lt;='Assumptions and Catalog'!$C$64,L888*'Assumptions and Catalog'!$H$64+'Assumptions and Catalog'!$E$64+'Assumptions and Catalog'!$F$64,IF(L888&lt;='Assumptions and Catalog'!$C$65,L888*'Assumptions and Catalog'!$H$65+'Assumptions and Catalog'!$E$65+'Assumptions and Catalog'!$F$65,"Out of range")))))))))*(1+'Assumptions and Catalog'!$C$8)^(A888-1),0)</f>
        <v>3407.0955077949</v>
      </c>
      <c r="O888" s="5" t="n">
        <f>M888-N888</f>
        <v>3687.6984922051</v>
      </c>
      <c r="P888" s="5" t="n">
        <f>E$55*(1-L$14)*(1-'Assumptions and Catalog'!$C$23)^R888</f>
        <v>8.71181335123749</v>
      </c>
      <c r="Q888" s="5" t="n">
        <f>IF(ISNUMBER(Inputs!$L$5),(IF(Inputs!$L$9="Actual flat rate",((D888+E888)*C888-G888)*Inputs!$L$10,IF(Inputs!$C$9="Residential",IF(((D888+E888)*C888-G888)&lt;='Assumptions and Catalog'!$C$50,((D888+E888)*C888-G888)*'Assumptions and Catalog'!$H$50+'Assumptions and Catalog'!$E$50+'Assumptions and Catalog'!$F$50,IF(((D888+E888)*C888-G888)&lt;='Assumptions and Catalog'!$C$51,((D888+E888)*C888-G888)*'Assumptions and Catalog'!$H$51+'Assumptions and Catalog'!$E$51+'Assumptions and Catalog'!$F$51,IF(((D888+E888)*C888-G888)&lt;='Assumptions and Catalog'!$C$52,((D888+E888)*C888-G888)*'Assumptions and Catalog'!$H$52+'Assumptions and Catalog'!$E$52+'Assumptions and Catalog'!$F$52,IF(((D888+E888)*C888-G888)&lt;='Assumptions and Catalog'!$C$53,((D888+E888)*C888-G888)*'Assumptions and Catalog'!$H$53+'Assumptions and Catalog'!$E$53+'Assumptions and Catalog'!$F$53,IF(((D888+E888)*C888-G888)&lt;='Assumptions and Catalog'!$C$54,((D888+E888)*C888-G888)*'Assumptions and Catalog'!$H$54+'Assumptions and Catalog'!$E$54+'Assumptions and Catalog'!$F$54,IF(((D888+E888)*C888-G888)&lt;='Assumptions and Catalog'!$C$55,((D888+E888)*C888-G888)*'Assumptions and Catalog'!$H$55+'Assumptions and Catalog'!$E$55+'Assumptions and Catalog'!$F$55,IF(((D888+E888)*C888-G888)&lt;='Assumptions and Catalog'!$C$56,((D888+E888)*C888-G888)*'Assumptions and Catalog'!$H$56+'Assumptions and Catalog'!$E$56+'Assumptions and Catalog'!$F$56,IF(((D888+E888)*C888-G888)&lt;='Assumptions and Catalog'!$C$57,((D888+E888)*C888-G888)*'Assumptions and Catalog'!$H$57+'Assumptions and Catalog'!$E$57+'Assumptions and Catalog'!$F$57,"Out of range")))))))),IF(((D888+E888)*C888-G888)&lt;='Assumptions and Catalog'!$C$60,((D888+E888)*C888-G888)*'Assumptions and Catalog'!$H$60+'Assumptions and Catalog'!$E$60+'Assumptions and Catalog'!$F$60,IF(((D888+E888)*C888-G888)&lt;='Assumptions and Catalog'!$C$61,((D888+E888)*C888-G888)*'Assumptions and Catalog'!$H$61+'Assumptions and Catalog'!$E$61+'Assumptions and Catalog'!$F$61,IF(((D888+E888)*C888-G888)&lt;='Assumptions and Catalog'!$C$62,((D888+E888)*C888-G888)*'Assumptions and Catalog'!$H$62+'Assumptions and Catalog'!$E$62+'Assumptions and Catalog'!$F$62,IF(((D888+E888)*C888-G888)&lt;='Assumptions and Catalog'!$C$63,((D888+E888)*C888-G888)*'Assumptions and Catalog'!$H$63+'Assumptions and Catalog'!$E$63+'Assumptions and Catalog'!$F$63,IF(((D888+E888)*C888-G888)&lt;='Assumptions and Catalog'!$C$64,((D888+E888)*C888-G888)*'Assumptions and Catalog'!$H$64+'Assumptions and Catalog'!$E$64+'Assumptions and Catalog'!$F$64,IF(((D888+E888)*C888-G888)&lt;='Assumptions and Catalog'!$C$65,((D888+E888)*C888-G888)*'Assumptions and Catalog'!$H$65+'Assumptions and Catalog'!$E$65+'Assumptions and Catalog'!$F$65,"Out of range")))))))))*(1+'Assumptions and Catalog'!$C$8)^(A888-1),0)</f>
        <v>3567.397</v>
      </c>
      <c r="R888" s="5" t="n">
        <f>IF(AND('Assumptions and Catalog'!$C$19&gt;0,A888&gt;='Assumptions and Catalog'!$C$19),A888-'Assumptions and Catalog'!$C$19,A888-1)</f>
        <v>8</v>
      </c>
      <c r="S888" s="5" t="n">
        <f>F888+L888-(D888+E888)*C888-J888-K888-IF(E$52&gt;0,'Assumptions and Catalog'!$C$26*C888,0)</f>
        <v>2.8421709430404E-013</v>
      </c>
      <c r="T888" s="5"/>
      <c r="U888" s="5"/>
    </row>
    <row r="889" ht="23.100000381469727" customHeight="1">
      <c r="A889" s="5" t="n">
        <v>20</v>
      </c>
      <c r="B889" s="5" t="n">
        <v>1</v>
      </c>
      <c r="C889" s="5" t="n">
        <f>DAY(DATE('Assumptions and Catalog'!$C$24+A889-1,B889+1,0))</f>
        <v>31</v>
      </c>
      <c r="D889" s="5" t="n">
        <f>IF(ISNUMBER(Inputs!$L$5),Inputs!$L$5*Inputs!$L$6,0)</f>
        <v>40.35</v>
      </c>
      <c r="E889" s="5" t="n">
        <f>IF(ISNUMBER(Inputs!$L$5),Inputs!$L$5-D889,0)</f>
        <v>40.35</v>
      </c>
      <c r="F889" s="5" t="n">
        <f>E$51*INDEX('Solar Production'!$D$20:$D$31,B889)*C889*(1-'Assumptions and Catalog'!$C$10)^(A889-1)</f>
        <v>1313.09438860365</v>
      </c>
      <c r="G889" s="5" t="n">
        <f>MIN(F889,D889*C889)</f>
        <v>1250.85</v>
      </c>
      <c r="H889" s="5" t="n">
        <f>I889/('Assumptions and Catalog'!$C$11*'Assumptions and Catalog'!$C$12)</f>
        <v>62.2443886036485</v>
      </c>
      <c r="I889" s="5" t="n">
        <f>MIN(E889*C889,P889*'Assumptions and Catalog'!$C$12*C889,(F889-G889)*'Assumptions and Catalog'!$C$11*'Assumptions and Catalog'!$C$12,E$56*'Assumptions and Catalog'!$C$14*'Assumptions and Catalog'!$C$11*'Assumptions and Catalog'!$C$12*C889,E$57*(24-'Assumptions and Catalog'!$C$13)*C889)</f>
        <v>59.1710719163434</v>
      </c>
      <c r="J889" s="5" t="n">
        <f>MAX(F889-G889-H889,0)</f>
        <v>0</v>
      </c>
      <c r="K889" s="5" t="n">
        <f>H889-I889</f>
        <v>3.07331668730515</v>
      </c>
      <c r="L889" s="5" t="n">
        <f>(D889+E889)*C889-G889-I889+0+IF(E$52&gt;0,'Assumptions and Catalog'!$C$26*C889,0)</f>
        <v>1191.67892808366</v>
      </c>
      <c r="M889" s="5" t="n">
        <f>IF(ISNUMBER(Inputs!$L$5),(IF(Inputs!$L$9="Actual flat rate",((D889+E889)*C889)*Inputs!$L$10,IF(Inputs!$C$9="Residential",IF(((D889+E889)*C889)&lt;='Assumptions and Catalog'!$C$50,((D889+E889)*C889)*'Assumptions and Catalog'!$H$50+'Assumptions and Catalog'!$E$50+'Assumptions and Catalog'!$F$50,IF(((D889+E889)*C889)&lt;='Assumptions and Catalog'!$C$51,((D889+E889)*C889)*'Assumptions and Catalog'!$H$51+'Assumptions and Catalog'!$E$51+'Assumptions and Catalog'!$F$51,IF(((D889+E889)*C889)&lt;='Assumptions and Catalog'!$C$52,((D889+E889)*C889)*'Assumptions and Catalog'!$H$52+'Assumptions and Catalog'!$E$52+'Assumptions and Catalog'!$F$52,IF(((D889+E889)*C889)&lt;='Assumptions and Catalog'!$C$53,((D889+E889)*C889)*'Assumptions and Catalog'!$H$53+'Assumptions and Catalog'!$E$53+'Assumptions and Catalog'!$F$53,IF(((D889+E889)*C889)&lt;='Assumptions and Catalog'!$C$54,((D889+E889)*C889)*'Assumptions and Catalog'!$H$54+'Assumptions and Catalog'!$E$54+'Assumptions and Catalog'!$F$54,IF(((D889+E889)*C889)&lt;='Assumptions and Catalog'!$C$55,((D889+E889)*C889)*'Assumptions and Catalog'!$H$55+'Assumptions and Catalog'!$E$55+'Assumptions and Catalog'!$F$55,IF(((D889+E889)*C889)&lt;='Assumptions and Catalog'!$C$56,((D889+E889)*C889)*'Assumptions and Catalog'!$H$56+'Assumptions and Catalog'!$E$56+'Assumptions and Catalog'!$F$56,IF(((D889+E889)*C889)&lt;='Assumptions and Catalog'!$C$57,((D889+E889)*C889)*'Assumptions and Catalog'!$H$57+'Assumptions and Catalog'!$E$57+'Assumptions and Catalog'!$F$57,"Out of range")))))))),IF(((D889+E889)*C889)&lt;='Assumptions and Catalog'!$C$60,((D889+E889)*C889)*'Assumptions and Catalog'!$H$60+'Assumptions and Catalog'!$E$60+'Assumptions and Catalog'!$F$60,IF(((D889+E889)*C889)&lt;='Assumptions and Catalog'!$C$61,((D889+E889)*C889)*'Assumptions and Catalog'!$H$61+'Assumptions and Catalog'!$E$61+'Assumptions and Catalog'!$F$61,IF(((D889+E889)*C889)&lt;='Assumptions and Catalog'!$C$62,((D889+E889)*C889)*'Assumptions and Catalog'!$H$62+'Assumptions and Catalog'!$E$62+'Assumptions and Catalog'!$F$62,IF(((D889+E889)*C889)&lt;='Assumptions and Catalog'!$C$63,((D889+E889)*C889)*'Assumptions and Catalog'!$H$63+'Assumptions and Catalog'!$E$63+'Assumptions and Catalog'!$F$63,IF(((D889+E889)*C889)&lt;='Assumptions and Catalog'!$C$64,((D889+E889)*C889)*'Assumptions and Catalog'!$H$64+'Assumptions and Catalog'!$E$64+'Assumptions and Catalog'!$F$64,IF(((D889+E889)*C889)&lt;='Assumptions and Catalog'!$C$65,((D889+E889)*C889)*'Assumptions and Catalog'!$H$65+'Assumptions and Catalog'!$E$65+'Assumptions and Catalog'!$F$65,"Out of range")))))))))*(1+'Assumptions and Catalog'!$C$8)^(A889-1),0)</f>
        <v>7094.794</v>
      </c>
      <c r="N889" s="5" t="n">
        <f>IF(ISNUMBER(Inputs!$L$5),(IF(Inputs!$L$9="Actual flat rate",L889*Inputs!$L$10,IF(Inputs!$C$9="Residential",IF(L889&lt;='Assumptions and Catalog'!$C$50,L889*'Assumptions and Catalog'!$H$50+'Assumptions and Catalog'!$E$50+'Assumptions and Catalog'!$F$50,IF(L889&lt;='Assumptions and Catalog'!$C$51,L889*'Assumptions and Catalog'!$H$51+'Assumptions and Catalog'!$E$51+'Assumptions and Catalog'!$F$51,IF(L889&lt;='Assumptions and Catalog'!$C$52,L889*'Assumptions and Catalog'!$H$52+'Assumptions and Catalog'!$E$52+'Assumptions and Catalog'!$F$52,IF(L889&lt;='Assumptions and Catalog'!$C$53,L889*'Assumptions and Catalog'!$H$53+'Assumptions and Catalog'!$E$53+'Assumptions and Catalog'!$F$53,IF(L889&lt;='Assumptions and Catalog'!$C$54,L889*'Assumptions and Catalog'!$H$54+'Assumptions and Catalog'!$E$54+'Assumptions and Catalog'!$F$54,IF(L889&lt;='Assumptions and Catalog'!$C$55,L889*'Assumptions and Catalog'!$H$55+'Assumptions and Catalog'!$E$55+'Assumptions and Catalog'!$F$55,IF(L889&lt;='Assumptions and Catalog'!$C$56,L889*'Assumptions and Catalog'!$H$56+'Assumptions and Catalog'!$E$56+'Assumptions and Catalog'!$F$56,IF(L889&lt;='Assumptions and Catalog'!$C$57,L889*'Assumptions and Catalog'!$H$57+'Assumptions and Catalog'!$E$57+'Assumptions and Catalog'!$F$57,"Out of range")))))))),IF(L889&lt;='Assumptions and Catalog'!$C$60,L889*'Assumptions and Catalog'!$H$60+'Assumptions and Catalog'!$E$60+'Assumptions and Catalog'!$F$60,IF(L889&lt;='Assumptions and Catalog'!$C$61,L889*'Assumptions and Catalog'!$H$61+'Assumptions and Catalog'!$E$61+'Assumptions and Catalog'!$F$61,IF(L889&lt;='Assumptions and Catalog'!$C$62,L889*'Assumptions and Catalog'!$H$62+'Assumptions and Catalog'!$E$62+'Assumptions and Catalog'!$F$62,IF(L889&lt;='Assumptions and Catalog'!$C$63,L889*'Assumptions and Catalog'!$H$63+'Assumptions and Catalog'!$E$63+'Assumptions and Catalog'!$F$63,IF(L889&lt;='Assumptions and Catalog'!$C$64,L889*'Assumptions and Catalog'!$H$64+'Assumptions and Catalog'!$E$64+'Assumptions and Catalog'!$F$64,IF(L889&lt;='Assumptions and Catalog'!$C$65,L889*'Assumptions and Catalog'!$H$65+'Assumptions and Catalog'!$E$65+'Assumptions and Catalog'!$F$65,"Out of range")))))))))*(1+'Assumptions and Catalog'!$C$8)^(A889-1),0)</f>
        <v>3400.53457719591</v>
      </c>
      <c r="O889" s="5" t="n">
        <f>M889-N889</f>
        <v>3694.25942280409</v>
      </c>
      <c r="P889" s="5" t="n">
        <f>E$55*(1-L$14)*(1-'Assumptions and Catalog'!$C$23)^R889</f>
        <v>8.53757708421274</v>
      </c>
      <c r="Q889" s="5" t="n">
        <f>IF(ISNUMBER(Inputs!$L$5),(IF(Inputs!$L$9="Actual flat rate",((D889+E889)*C889-G889)*Inputs!$L$10,IF(Inputs!$C$9="Residential",IF(((D889+E889)*C889-G889)&lt;='Assumptions and Catalog'!$C$50,((D889+E889)*C889-G889)*'Assumptions and Catalog'!$H$50+'Assumptions and Catalog'!$E$50+'Assumptions and Catalog'!$F$50,IF(((D889+E889)*C889-G889)&lt;='Assumptions and Catalog'!$C$51,((D889+E889)*C889-G889)*'Assumptions and Catalog'!$H$51+'Assumptions and Catalog'!$E$51+'Assumptions and Catalog'!$F$51,IF(((D889+E889)*C889-G889)&lt;='Assumptions and Catalog'!$C$52,((D889+E889)*C889-G889)*'Assumptions and Catalog'!$H$52+'Assumptions and Catalog'!$E$52+'Assumptions and Catalog'!$F$52,IF(((D889+E889)*C889-G889)&lt;='Assumptions and Catalog'!$C$53,((D889+E889)*C889-G889)*'Assumptions and Catalog'!$H$53+'Assumptions and Catalog'!$E$53+'Assumptions and Catalog'!$F$53,IF(((D889+E889)*C889-G889)&lt;='Assumptions and Catalog'!$C$54,((D889+E889)*C889-G889)*'Assumptions and Catalog'!$H$54+'Assumptions and Catalog'!$E$54+'Assumptions and Catalog'!$F$54,IF(((D889+E889)*C889-G889)&lt;='Assumptions and Catalog'!$C$55,((D889+E889)*C889-G889)*'Assumptions and Catalog'!$H$55+'Assumptions and Catalog'!$E$55+'Assumptions and Catalog'!$F$55,IF(((D889+E889)*C889-G889)&lt;='Assumptions and Catalog'!$C$56,((D889+E889)*C889-G889)*'Assumptions and Catalog'!$H$56+'Assumptions and Catalog'!$E$56+'Assumptions and Catalog'!$F$56,IF(((D889+E889)*C889-G889)&lt;='Assumptions and Catalog'!$C$57,((D889+E889)*C889-G889)*'Assumptions and Catalog'!$H$57+'Assumptions and Catalog'!$E$57+'Assumptions and Catalog'!$F$57,"Out of range")))))))),IF(((D889+E889)*C889-G889)&lt;='Assumptions and Catalog'!$C$60,((D889+E889)*C889-G889)*'Assumptions and Catalog'!$H$60+'Assumptions and Catalog'!$E$60+'Assumptions and Catalog'!$F$60,IF(((D889+E889)*C889-G889)&lt;='Assumptions and Catalog'!$C$61,((D889+E889)*C889-G889)*'Assumptions and Catalog'!$H$61+'Assumptions and Catalog'!$E$61+'Assumptions and Catalog'!$F$61,IF(((D889+E889)*C889-G889)&lt;='Assumptions and Catalog'!$C$62,((D889+E889)*C889-G889)*'Assumptions and Catalog'!$H$62+'Assumptions and Catalog'!$E$62+'Assumptions and Catalog'!$F$62,IF(((D889+E889)*C889-G889)&lt;='Assumptions and Catalog'!$C$63,((D889+E889)*C889-G889)*'Assumptions and Catalog'!$H$63+'Assumptions and Catalog'!$E$63+'Assumptions and Catalog'!$F$63,IF(((D889+E889)*C889-G889)&lt;='Assumptions and Catalog'!$C$64,((D889+E889)*C889-G889)*'Assumptions and Catalog'!$H$64+'Assumptions and Catalog'!$E$64+'Assumptions and Catalog'!$F$64,IF(((D889+E889)*C889-G889)&lt;='Assumptions and Catalog'!$C$65,((D889+E889)*C889-G889)*'Assumptions and Catalog'!$H$65+'Assumptions and Catalog'!$E$65+'Assumptions and Catalog'!$F$65,"Out of range")))))))))*(1+'Assumptions and Catalog'!$C$8)^(A889-1),0)</f>
        <v>3567.397</v>
      </c>
      <c r="R889" s="5" t="n">
        <f>IF(AND('Assumptions and Catalog'!$C$19&gt;0,A889&gt;='Assumptions and Catalog'!$C$19),A889-'Assumptions and Catalog'!$C$19,A889-1)</f>
        <v>9</v>
      </c>
      <c r="S889" s="5" t="n">
        <f>F889+L889-(D889+E889)*C889-J889-K889-IF(E$52&gt;0,'Assumptions and Catalog'!$C$26*C889,0)</f>
        <v>-2.8421709430404E-014</v>
      </c>
      <c r="T889" s="5"/>
      <c r="U889" s="5"/>
    </row>
    <row r="890" ht="23.100000381469727" customHeight="1">
      <c r="A890" s="5" t="n">
        <v>20</v>
      </c>
      <c r="B890" s="5" t="n">
        <v>2</v>
      </c>
      <c r="C890" s="5" t="n">
        <f>DAY(DATE('Assumptions and Catalog'!$C$24+A890-1,B890+1,0))</f>
        <v>28</v>
      </c>
      <c r="D890" s="5" t="n">
        <f>IF(ISNUMBER(Inputs!$L$5),Inputs!$L$5*Inputs!$L$6,0)</f>
        <v>40.35</v>
      </c>
      <c r="E890" s="5" t="n">
        <f>IF(ISNUMBER(Inputs!$L$5),Inputs!$L$5-D890,0)</f>
        <v>40.35</v>
      </c>
      <c r="F890" s="5" t="n">
        <f>E$51*INDEX('Solar Production'!$D$20:$D$31,B890)*C890*(1-'Assumptions and Catalog'!$C$10)^(A890-1)</f>
        <v>1294.59305868044</v>
      </c>
      <c r="G890" s="5" t="n">
        <f>MIN(F890,D890*C890)</f>
        <v>1129.8</v>
      </c>
      <c r="H890" s="5" t="n">
        <f>I890/('Assumptions and Catalog'!$C$11*'Assumptions and Catalog'!$C$12)</f>
        <v>164.793058680444</v>
      </c>
      <c r="I890" s="5" t="n">
        <f>MIN(E890*C890,P890*'Assumptions and Catalog'!$C$12*C890,(F890-G890)*'Assumptions and Catalog'!$C$11*'Assumptions and Catalog'!$C$12,E$56*'Assumptions and Catalog'!$C$14*'Assumptions and Catalog'!$C$11*'Assumptions and Catalog'!$C$12*C890,E$57*(24-'Assumptions and Catalog'!$C$13)*C890)</f>
        <v>156.656401408097</v>
      </c>
      <c r="J890" s="5" t="n">
        <f>MAX(F890-G890-H890,0)</f>
        <v>0</v>
      </c>
      <c r="K890" s="5" t="n">
        <f>H890-I890</f>
        <v>8.13665727234692</v>
      </c>
      <c r="L890" s="5" t="n">
        <f>(D890+E890)*C890-G890-I890+0+IF(E$52&gt;0,'Assumptions and Catalog'!$C$26*C890,0)</f>
        <v>973.143598591903</v>
      </c>
      <c r="M890" s="5" t="n">
        <f>IF(ISNUMBER(Inputs!$L$5),(IF(Inputs!$L$9="Actual flat rate",((D890+E890)*C890)*Inputs!$L$10,IF(Inputs!$C$9="Residential",IF(((D890+E890)*C890)&lt;='Assumptions and Catalog'!$C$50,((D890+E890)*C890)*'Assumptions and Catalog'!$H$50+'Assumptions and Catalog'!$E$50+'Assumptions and Catalog'!$F$50,IF(((D890+E890)*C890)&lt;='Assumptions and Catalog'!$C$51,((D890+E890)*C890)*'Assumptions and Catalog'!$H$51+'Assumptions and Catalog'!$E$51+'Assumptions and Catalog'!$F$51,IF(((D890+E890)*C890)&lt;='Assumptions and Catalog'!$C$52,((D890+E890)*C890)*'Assumptions and Catalog'!$H$52+'Assumptions and Catalog'!$E$52+'Assumptions and Catalog'!$F$52,IF(((D890+E890)*C890)&lt;='Assumptions and Catalog'!$C$53,((D890+E890)*C890)*'Assumptions and Catalog'!$H$53+'Assumptions and Catalog'!$E$53+'Assumptions and Catalog'!$F$53,IF(((D890+E890)*C890)&lt;='Assumptions and Catalog'!$C$54,((D890+E890)*C890)*'Assumptions and Catalog'!$H$54+'Assumptions and Catalog'!$E$54+'Assumptions and Catalog'!$F$54,IF(((D890+E890)*C890)&lt;='Assumptions and Catalog'!$C$55,((D890+E890)*C890)*'Assumptions and Catalog'!$H$55+'Assumptions and Catalog'!$E$55+'Assumptions and Catalog'!$F$55,IF(((D890+E890)*C890)&lt;='Assumptions and Catalog'!$C$56,((D890+E890)*C890)*'Assumptions and Catalog'!$H$56+'Assumptions and Catalog'!$E$56+'Assumptions and Catalog'!$F$56,IF(((D890+E890)*C890)&lt;='Assumptions and Catalog'!$C$57,((D890+E890)*C890)*'Assumptions and Catalog'!$H$57+'Assumptions and Catalog'!$E$57+'Assumptions and Catalog'!$F$57,"Out of range")))))))),IF(((D890+E890)*C890)&lt;='Assumptions and Catalog'!$C$60,((D890+E890)*C890)*'Assumptions and Catalog'!$H$60+'Assumptions and Catalog'!$E$60+'Assumptions and Catalog'!$F$60,IF(((D890+E890)*C890)&lt;='Assumptions and Catalog'!$C$61,((D890+E890)*C890)*'Assumptions and Catalog'!$H$61+'Assumptions and Catalog'!$E$61+'Assumptions and Catalog'!$F$61,IF(((D890+E890)*C890)&lt;='Assumptions and Catalog'!$C$62,((D890+E890)*C890)*'Assumptions and Catalog'!$H$62+'Assumptions and Catalog'!$E$62+'Assumptions and Catalog'!$F$62,IF(((D890+E890)*C890)&lt;='Assumptions and Catalog'!$C$63,((D890+E890)*C890)*'Assumptions and Catalog'!$H$63+'Assumptions and Catalog'!$E$63+'Assumptions and Catalog'!$F$63,IF(((D890+E890)*C890)&lt;='Assumptions and Catalog'!$C$64,((D890+E890)*C890)*'Assumptions and Catalog'!$H$64+'Assumptions and Catalog'!$E$64+'Assumptions and Catalog'!$F$64,IF(((D890+E890)*C890)&lt;='Assumptions and Catalog'!$C$65,((D890+E890)*C890)*'Assumptions and Catalog'!$H$65+'Assumptions and Catalog'!$E$65+'Assumptions and Catalog'!$F$65,"Out of range")))))))))*(1+'Assumptions and Catalog'!$C$8)^(A890-1),0)</f>
        <v>6412.072</v>
      </c>
      <c r="N890" s="5" t="n">
        <f>IF(ISNUMBER(Inputs!$L$5),(IF(Inputs!$L$9="Actual flat rate",L890*Inputs!$L$10,IF(Inputs!$C$9="Residential",IF(L890&lt;='Assumptions and Catalog'!$C$50,L890*'Assumptions and Catalog'!$H$50+'Assumptions and Catalog'!$E$50+'Assumptions and Catalog'!$F$50,IF(L890&lt;='Assumptions and Catalog'!$C$51,L890*'Assumptions and Catalog'!$H$51+'Assumptions and Catalog'!$E$51+'Assumptions and Catalog'!$F$51,IF(L890&lt;='Assumptions and Catalog'!$C$52,L890*'Assumptions and Catalog'!$H$52+'Assumptions and Catalog'!$E$52+'Assumptions and Catalog'!$F$52,IF(L890&lt;='Assumptions and Catalog'!$C$53,L890*'Assumptions and Catalog'!$H$53+'Assumptions and Catalog'!$E$53+'Assumptions and Catalog'!$F$53,IF(L890&lt;='Assumptions and Catalog'!$C$54,L890*'Assumptions and Catalog'!$H$54+'Assumptions and Catalog'!$E$54+'Assumptions and Catalog'!$F$54,IF(L890&lt;='Assumptions and Catalog'!$C$55,L890*'Assumptions and Catalog'!$H$55+'Assumptions and Catalog'!$E$55+'Assumptions and Catalog'!$F$55,IF(L890&lt;='Assumptions and Catalog'!$C$56,L890*'Assumptions and Catalog'!$H$56+'Assumptions and Catalog'!$E$56+'Assumptions and Catalog'!$F$56,IF(L890&lt;='Assumptions and Catalog'!$C$57,L890*'Assumptions and Catalog'!$H$57+'Assumptions and Catalog'!$E$57+'Assumptions and Catalog'!$F$57,"Out of range")))))))),IF(L890&lt;='Assumptions and Catalog'!$C$60,L890*'Assumptions and Catalog'!$H$60+'Assumptions and Catalog'!$E$60+'Assumptions and Catalog'!$F$60,IF(L890&lt;='Assumptions and Catalog'!$C$61,L890*'Assumptions and Catalog'!$H$61+'Assumptions and Catalog'!$E$61+'Assumptions and Catalog'!$F$61,IF(L890&lt;='Assumptions and Catalog'!$C$62,L890*'Assumptions and Catalog'!$H$62+'Assumptions and Catalog'!$E$62+'Assumptions and Catalog'!$F$62,IF(L890&lt;='Assumptions and Catalog'!$C$63,L890*'Assumptions and Catalog'!$H$63+'Assumptions and Catalog'!$E$63+'Assumptions and Catalog'!$F$63,IF(L890&lt;='Assumptions and Catalog'!$C$64,L890*'Assumptions and Catalog'!$H$64+'Assumptions and Catalog'!$E$64+'Assumptions and Catalog'!$F$64,IF(L890&lt;='Assumptions and Catalog'!$C$65,L890*'Assumptions and Catalog'!$H$65+'Assumptions and Catalog'!$E$65+'Assumptions and Catalog'!$F$65,"Out of range")))))))))*(1+'Assumptions and Catalog'!$C$8)^(A890-1),0)</f>
        <v>2660.60776809957</v>
      </c>
      <c r="O890" s="5" t="n">
        <f>M890-N890</f>
        <v>3751.46423190043</v>
      </c>
      <c r="P890" s="5" t="n">
        <f>E$55*(1-L$14)*(1-'Assumptions and Catalog'!$C$23)^R890</f>
        <v>8.53757708421274</v>
      </c>
      <c r="Q890" s="5" t="n">
        <f>IF(ISNUMBER(Inputs!$L$5),(IF(Inputs!$L$9="Actual flat rate",((D890+E890)*C890-G890)*Inputs!$L$10,IF(Inputs!$C$9="Residential",IF(((D890+E890)*C890-G890)&lt;='Assumptions and Catalog'!$C$50,((D890+E890)*C890-G890)*'Assumptions and Catalog'!$H$50+'Assumptions and Catalog'!$E$50+'Assumptions and Catalog'!$F$50,IF(((D890+E890)*C890-G890)&lt;='Assumptions and Catalog'!$C$51,((D890+E890)*C890-G890)*'Assumptions and Catalog'!$H$51+'Assumptions and Catalog'!$E$51+'Assumptions and Catalog'!$F$51,IF(((D890+E890)*C890-G890)&lt;='Assumptions and Catalog'!$C$52,((D890+E890)*C890-G890)*'Assumptions and Catalog'!$H$52+'Assumptions and Catalog'!$E$52+'Assumptions and Catalog'!$F$52,IF(((D890+E890)*C890-G890)&lt;='Assumptions and Catalog'!$C$53,((D890+E890)*C890-G890)*'Assumptions and Catalog'!$H$53+'Assumptions and Catalog'!$E$53+'Assumptions and Catalog'!$F$53,IF(((D890+E890)*C890-G890)&lt;='Assumptions and Catalog'!$C$54,((D890+E890)*C890-G890)*'Assumptions and Catalog'!$H$54+'Assumptions and Catalog'!$E$54+'Assumptions and Catalog'!$F$54,IF(((D890+E890)*C890-G890)&lt;='Assumptions and Catalog'!$C$55,((D890+E890)*C890-G890)*'Assumptions and Catalog'!$H$55+'Assumptions and Catalog'!$E$55+'Assumptions and Catalog'!$F$55,IF(((D890+E890)*C890-G890)&lt;='Assumptions and Catalog'!$C$56,((D890+E890)*C890-G890)*'Assumptions and Catalog'!$H$56+'Assumptions and Catalog'!$E$56+'Assumptions and Catalog'!$F$56,IF(((D890+E890)*C890-G890)&lt;='Assumptions and Catalog'!$C$57,((D890+E890)*C890-G890)*'Assumptions and Catalog'!$H$57+'Assumptions and Catalog'!$E$57+'Assumptions and Catalog'!$F$57,"Out of range")))))))),IF(((D890+E890)*C890-G890)&lt;='Assumptions and Catalog'!$C$60,((D890+E890)*C890-G890)*'Assumptions and Catalog'!$H$60+'Assumptions and Catalog'!$E$60+'Assumptions and Catalog'!$F$60,IF(((D890+E890)*C890-G890)&lt;='Assumptions and Catalog'!$C$61,((D890+E890)*C890-G890)*'Assumptions and Catalog'!$H$61+'Assumptions and Catalog'!$E$61+'Assumptions and Catalog'!$F$61,IF(((D890+E890)*C890-G890)&lt;='Assumptions and Catalog'!$C$62,((D890+E890)*C890-G890)*'Assumptions and Catalog'!$H$62+'Assumptions and Catalog'!$E$62+'Assumptions and Catalog'!$F$62,IF(((D890+E890)*C890-G890)&lt;='Assumptions and Catalog'!$C$63,((D890+E890)*C890-G890)*'Assumptions and Catalog'!$H$63+'Assumptions and Catalog'!$E$63+'Assumptions and Catalog'!$F$63,IF(((D890+E890)*C890-G890)&lt;='Assumptions and Catalog'!$C$64,((D890+E890)*C890-G890)*'Assumptions and Catalog'!$H$64+'Assumptions and Catalog'!$E$64+'Assumptions and Catalog'!$F$64,IF(((D890+E890)*C890-G890)&lt;='Assumptions and Catalog'!$C$65,((D890+E890)*C890-G890)*'Assumptions and Catalog'!$H$65+'Assumptions and Catalog'!$E$65+'Assumptions and Catalog'!$F$65,"Out of range")))))))))*(1+'Assumptions and Catalog'!$C$8)^(A890-1),0)</f>
        <v>3226.036</v>
      </c>
      <c r="R890" s="5" t="n">
        <f>IF(AND('Assumptions and Catalog'!$C$19&gt;0,A890&gt;='Assumptions and Catalog'!$C$19),A890-'Assumptions and Catalog'!$C$19,A890-1)</f>
        <v>9</v>
      </c>
      <c r="S890" s="5" t="n">
        <f>F890+L890-(D890+E890)*C890-J890-K890-IF(E$52&gt;0,'Assumptions and Catalog'!$C$26*C890,0)</f>
        <v>-8.5265128291212E-014</v>
      </c>
      <c r="T890" s="5"/>
      <c r="U890" s="5"/>
    </row>
    <row r="891" ht="23.100000381469727" customHeight="1">
      <c r="A891" s="5" t="n">
        <v>20</v>
      </c>
      <c r="B891" s="5" t="n">
        <v>3</v>
      </c>
      <c r="C891" s="5" t="n">
        <f>DAY(DATE('Assumptions and Catalog'!$C$24+A891-1,B891+1,0))</f>
        <v>31</v>
      </c>
      <c r="D891" s="5" t="n">
        <f>IF(ISNUMBER(Inputs!$L$5),Inputs!$L$5*Inputs!$L$6,0)</f>
        <v>40.35</v>
      </c>
      <c r="E891" s="5" t="n">
        <f>IF(ISNUMBER(Inputs!$L$5),Inputs!$L$5-D891,0)</f>
        <v>40.35</v>
      </c>
      <c r="F891" s="5" t="n">
        <f>E$51*INDEX('Solar Production'!$D$20:$D$31,B891)*C891*(1-'Assumptions and Catalog'!$C$10)^(A891-1)</f>
        <v>1610.71578239531</v>
      </c>
      <c r="G891" s="5" t="n">
        <f>MIN(F891,D891*C891)</f>
        <v>1250.85</v>
      </c>
      <c r="H891" s="5" t="n">
        <f>I891/('Assumptions and Catalog'!$C$11*'Assumptions and Catalog'!$C$12)</f>
        <v>271.451168831379</v>
      </c>
      <c r="I891" s="5" t="n">
        <f>MIN(E891*C891,P891*'Assumptions and Catalog'!$C$12*C891,(F891-G891)*'Assumptions and Catalog'!$C$11*'Assumptions and Catalog'!$C$12,E$56*'Assumptions and Catalog'!$C$14*'Assumptions and Catalog'!$C$11*'Assumptions and Catalog'!$C$12*C891,E$57*(24-'Assumptions and Catalog'!$C$13)*C891)</f>
        <v>258.04826737033</v>
      </c>
      <c r="J891" s="5" t="n">
        <f>MAX(F891-G891-H891,0)</f>
        <v>88.4146135639259</v>
      </c>
      <c r="K891" s="5" t="n">
        <f>H891-I891</f>
        <v>13.4029014610493</v>
      </c>
      <c r="L891" s="5" t="n">
        <f>(D891+E891)*C891-G891-I891+0+IF(E$52&gt;0,'Assumptions and Catalog'!$C$26*C891,0)</f>
        <v>992.80173262967</v>
      </c>
      <c r="M891" s="5" t="n">
        <f>IF(ISNUMBER(Inputs!$L$5),(IF(Inputs!$L$9="Actual flat rate",((D891+E891)*C891)*Inputs!$L$10,IF(Inputs!$C$9="Residential",IF(((D891+E891)*C891)&lt;='Assumptions and Catalog'!$C$50,((D891+E891)*C891)*'Assumptions and Catalog'!$H$50+'Assumptions and Catalog'!$E$50+'Assumptions and Catalog'!$F$50,IF(((D891+E891)*C891)&lt;='Assumptions and Catalog'!$C$51,((D891+E891)*C891)*'Assumptions and Catalog'!$H$51+'Assumptions and Catalog'!$E$51+'Assumptions and Catalog'!$F$51,IF(((D891+E891)*C891)&lt;='Assumptions and Catalog'!$C$52,((D891+E891)*C891)*'Assumptions and Catalog'!$H$52+'Assumptions and Catalog'!$E$52+'Assumptions and Catalog'!$F$52,IF(((D891+E891)*C891)&lt;='Assumptions and Catalog'!$C$53,((D891+E891)*C891)*'Assumptions and Catalog'!$H$53+'Assumptions and Catalog'!$E$53+'Assumptions and Catalog'!$F$53,IF(((D891+E891)*C891)&lt;='Assumptions and Catalog'!$C$54,((D891+E891)*C891)*'Assumptions and Catalog'!$H$54+'Assumptions and Catalog'!$E$54+'Assumptions and Catalog'!$F$54,IF(((D891+E891)*C891)&lt;='Assumptions and Catalog'!$C$55,((D891+E891)*C891)*'Assumptions and Catalog'!$H$55+'Assumptions and Catalog'!$E$55+'Assumptions and Catalog'!$F$55,IF(((D891+E891)*C891)&lt;='Assumptions and Catalog'!$C$56,((D891+E891)*C891)*'Assumptions and Catalog'!$H$56+'Assumptions and Catalog'!$E$56+'Assumptions and Catalog'!$F$56,IF(((D891+E891)*C891)&lt;='Assumptions and Catalog'!$C$57,((D891+E891)*C891)*'Assumptions and Catalog'!$H$57+'Assumptions and Catalog'!$E$57+'Assumptions and Catalog'!$F$57,"Out of range")))))))),IF(((D891+E891)*C891)&lt;='Assumptions and Catalog'!$C$60,((D891+E891)*C891)*'Assumptions and Catalog'!$H$60+'Assumptions and Catalog'!$E$60+'Assumptions and Catalog'!$F$60,IF(((D891+E891)*C891)&lt;='Assumptions and Catalog'!$C$61,((D891+E891)*C891)*'Assumptions and Catalog'!$H$61+'Assumptions and Catalog'!$E$61+'Assumptions and Catalog'!$F$61,IF(((D891+E891)*C891)&lt;='Assumptions and Catalog'!$C$62,((D891+E891)*C891)*'Assumptions and Catalog'!$H$62+'Assumptions and Catalog'!$E$62+'Assumptions and Catalog'!$F$62,IF(((D891+E891)*C891)&lt;='Assumptions and Catalog'!$C$63,((D891+E891)*C891)*'Assumptions and Catalog'!$H$63+'Assumptions and Catalog'!$E$63+'Assumptions and Catalog'!$F$63,IF(((D891+E891)*C891)&lt;='Assumptions and Catalog'!$C$64,((D891+E891)*C891)*'Assumptions and Catalog'!$H$64+'Assumptions and Catalog'!$E$64+'Assumptions and Catalog'!$F$64,IF(((D891+E891)*C891)&lt;='Assumptions and Catalog'!$C$65,((D891+E891)*C891)*'Assumptions and Catalog'!$H$65+'Assumptions and Catalog'!$E$65+'Assumptions and Catalog'!$F$65,"Out of range")))))))))*(1+'Assumptions and Catalog'!$C$8)^(A891-1),0)</f>
        <v>7094.794</v>
      </c>
      <c r="N891" s="5" t="n">
        <f>IF(ISNUMBER(Inputs!$L$5),(IF(Inputs!$L$9="Actual flat rate",L891*Inputs!$L$10,IF(Inputs!$C$9="Residential",IF(L891&lt;='Assumptions and Catalog'!$C$50,L891*'Assumptions and Catalog'!$H$50+'Assumptions and Catalog'!$E$50+'Assumptions and Catalog'!$F$50,IF(L891&lt;='Assumptions and Catalog'!$C$51,L891*'Assumptions and Catalog'!$H$51+'Assumptions and Catalog'!$E$51+'Assumptions and Catalog'!$F$51,IF(L891&lt;='Assumptions and Catalog'!$C$52,L891*'Assumptions and Catalog'!$H$52+'Assumptions and Catalog'!$E$52+'Assumptions and Catalog'!$F$52,IF(L891&lt;='Assumptions and Catalog'!$C$53,L891*'Assumptions and Catalog'!$H$53+'Assumptions and Catalog'!$E$53+'Assumptions and Catalog'!$F$53,IF(L891&lt;='Assumptions and Catalog'!$C$54,L891*'Assumptions and Catalog'!$H$54+'Assumptions and Catalog'!$E$54+'Assumptions and Catalog'!$F$54,IF(L891&lt;='Assumptions and Catalog'!$C$55,L891*'Assumptions and Catalog'!$H$55+'Assumptions and Catalog'!$E$55+'Assumptions and Catalog'!$F$55,IF(L891&lt;='Assumptions and Catalog'!$C$56,L891*'Assumptions and Catalog'!$H$56+'Assumptions and Catalog'!$E$56+'Assumptions and Catalog'!$F$56,IF(L891&lt;='Assumptions and Catalog'!$C$57,L891*'Assumptions and Catalog'!$H$57+'Assumptions and Catalog'!$E$57+'Assumptions and Catalog'!$F$57,"Out of range")))))))),IF(L891&lt;='Assumptions and Catalog'!$C$60,L891*'Assumptions and Catalog'!$H$60+'Assumptions and Catalog'!$E$60+'Assumptions and Catalog'!$F$60,IF(L891&lt;='Assumptions and Catalog'!$C$61,L891*'Assumptions and Catalog'!$H$61+'Assumptions and Catalog'!$E$61+'Assumptions and Catalog'!$F$61,IF(L891&lt;='Assumptions and Catalog'!$C$62,L891*'Assumptions and Catalog'!$H$62+'Assumptions and Catalog'!$E$62+'Assumptions and Catalog'!$F$62,IF(L891&lt;='Assumptions and Catalog'!$C$63,L891*'Assumptions and Catalog'!$H$63+'Assumptions and Catalog'!$E$63+'Assumptions and Catalog'!$F$63,IF(L891&lt;='Assumptions and Catalog'!$C$64,L891*'Assumptions and Catalog'!$H$64+'Assumptions and Catalog'!$E$64+'Assumptions and Catalog'!$F$64,IF(L891&lt;='Assumptions and Catalog'!$C$65,L891*'Assumptions and Catalog'!$H$65+'Assumptions and Catalog'!$E$65+'Assumptions and Catalog'!$F$65,"Out of range")))))))))*(1+'Assumptions and Catalog'!$C$8)^(A891-1),0)</f>
        <v>2715.06079938419</v>
      </c>
      <c r="O891" s="5" t="n">
        <f>M891-N891</f>
        <v>4379.73320061581</v>
      </c>
      <c r="P891" s="5" t="n">
        <f>E$55*(1-L$14)*(1-'Assumptions and Catalog'!$C$23)^R891</f>
        <v>8.53757708421274</v>
      </c>
      <c r="Q891" s="5" t="n">
        <f>IF(ISNUMBER(Inputs!$L$5),(IF(Inputs!$L$9="Actual flat rate",((D891+E891)*C891-G891)*Inputs!$L$10,IF(Inputs!$C$9="Residential",IF(((D891+E891)*C891-G891)&lt;='Assumptions and Catalog'!$C$50,((D891+E891)*C891-G891)*'Assumptions and Catalog'!$H$50+'Assumptions and Catalog'!$E$50+'Assumptions and Catalog'!$F$50,IF(((D891+E891)*C891-G891)&lt;='Assumptions and Catalog'!$C$51,((D891+E891)*C891-G891)*'Assumptions and Catalog'!$H$51+'Assumptions and Catalog'!$E$51+'Assumptions and Catalog'!$F$51,IF(((D891+E891)*C891-G891)&lt;='Assumptions and Catalog'!$C$52,((D891+E891)*C891-G891)*'Assumptions and Catalog'!$H$52+'Assumptions and Catalog'!$E$52+'Assumptions and Catalog'!$F$52,IF(((D891+E891)*C891-G891)&lt;='Assumptions and Catalog'!$C$53,((D891+E891)*C891-G891)*'Assumptions and Catalog'!$H$53+'Assumptions and Catalog'!$E$53+'Assumptions and Catalog'!$F$53,IF(((D891+E891)*C891-G891)&lt;='Assumptions and Catalog'!$C$54,((D891+E891)*C891-G891)*'Assumptions and Catalog'!$H$54+'Assumptions and Catalog'!$E$54+'Assumptions and Catalog'!$F$54,IF(((D891+E891)*C891-G891)&lt;='Assumptions and Catalog'!$C$55,((D891+E891)*C891-G891)*'Assumptions and Catalog'!$H$55+'Assumptions and Catalog'!$E$55+'Assumptions and Catalog'!$F$55,IF(((D891+E891)*C891-G891)&lt;='Assumptions and Catalog'!$C$56,((D891+E891)*C891-G891)*'Assumptions and Catalog'!$H$56+'Assumptions and Catalog'!$E$56+'Assumptions and Catalog'!$F$56,IF(((D891+E891)*C891-G891)&lt;='Assumptions and Catalog'!$C$57,((D891+E891)*C891-G891)*'Assumptions and Catalog'!$H$57+'Assumptions and Catalog'!$E$57+'Assumptions and Catalog'!$F$57,"Out of range")))))))),IF(((D891+E891)*C891-G891)&lt;='Assumptions and Catalog'!$C$60,((D891+E891)*C891-G891)*'Assumptions and Catalog'!$H$60+'Assumptions and Catalog'!$E$60+'Assumptions and Catalog'!$F$60,IF(((D891+E891)*C891-G891)&lt;='Assumptions and Catalog'!$C$61,((D891+E891)*C891-G891)*'Assumptions and Catalog'!$H$61+'Assumptions and Catalog'!$E$61+'Assumptions and Catalog'!$F$61,IF(((D891+E891)*C891-G891)&lt;='Assumptions and Catalog'!$C$62,((D891+E891)*C891-G891)*'Assumptions and Catalog'!$H$62+'Assumptions and Catalog'!$E$62+'Assumptions and Catalog'!$F$62,IF(((D891+E891)*C891-G891)&lt;='Assumptions and Catalog'!$C$63,((D891+E891)*C891-G891)*'Assumptions and Catalog'!$H$63+'Assumptions and Catalog'!$E$63+'Assumptions and Catalog'!$F$63,IF(((D891+E891)*C891-G891)&lt;='Assumptions and Catalog'!$C$64,((D891+E891)*C891-G891)*'Assumptions and Catalog'!$H$64+'Assumptions and Catalog'!$E$64+'Assumptions and Catalog'!$F$64,IF(((D891+E891)*C891-G891)&lt;='Assumptions and Catalog'!$C$65,((D891+E891)*C891-G891)*'Assumptions and Catalog'!$H$65+'Assumptions and Catalog'!$E$65+'Assumptions and Catalog'!$F$65,"Out of range")))))))))*(1+'Assumptions and Catalog'!$C$8)^(A891-1),0)</f>
        <v>3567.397</v>
      </c>
      <c r="R891" s="5" t="n">
        <f>IF(AND('Assumptions and Catalog'!$C$19&gt;0,A891&gt;='Assumptions and Catalog'!$C$19),A891-'Assumptions and Catalog'!$C$19,A891-1)</f>
        <v>9</v>
      </c>
      <c r="S891" s="5" t="n">
        <f>F891+L891-(D891+E891)*C891-J891-K891-IF(E$52&gt;0,'Assumptions and Catalog'!$C$26*C891,0)</f>
        <v>1.13686837721616E-013</v>
      </c>
      <c r="T891" s="5"/>
      <c r="U891" s="5"/>
    </row>
    <row r="892" ht="23.100000381469727" customHeight="1">
      <c r="A892" s="5" t="n">
        <v>20</v>
      </c>
      <c r="B892" s="5" t="n">
        <v>4</v>
      </c>
      <c r="C892" s="5" t="n">
        <f>DAY(DATE('Assumptions and Catalog'!$C$24+A892-1,B892+1,0))</f>
        <v>30</v>
      </c>
      <c r="D892" s="5" t="n">
        <f>IF(ISNUMBER(Inputs!$L$5),Inputs!$L$5*Inputs!$L$6,0)</f>
        <v>40.35</v>
      </c>
      <c r="E892" s="5" t="n">
        <f>IF(ISNUMBER(Inputs!$L$5),Inputs!$L$5-D892,0)</f>
        <v>40.35</v>
      </c>
      <c r="F892" s="5" t="n">
        <f>E$51*INDEX('Solar Production'!$D$20:$D$31,B892)*C892*(1-'Assumptions and Catalog'!$C$10)^(A892-1)</f>
        <v>1608.71563861982</v>
      </c>
      <c r="G892" s="5" t="n">
        <f>MIN(F892,D892*C892)</f>
        <v>1210.5</v>
      </c>
      <c r="H892" s="5" t="n">
        <f>I892/('Assumptions and Catalog'!$C$11*'Assumptions and Catalog'!$C$12)</f>
        <v>262.694679514238</v>
      </c>
      <c r="I892" s="5" t="n">
        <f>MIN(E892*C892,P892*'Assumptions and Catalog'!$C$12*C892,(F892-G892)*'Assumptions and Catalog'!$C$11*'Assumptions and Catalog'!$C$12,E$56*'Assumptions and Catalog'!$C$14*'Assumptions and Catalog'!$C$11*'Assumptions and Catalog'!$C$12*C892,E$57*(24-'Assumptions and Catalog'!$C$13)*C892)</f>
        <v>249.724129713222</v>
      </c>
      <c r="J892" s="5" t="n">
        <f>MAX(F892-G892-H892,0)</f>
        <v>135.520959105586</v>
      </c>
      <c r="K892" s="5" t="n">
        <f>H892-I892</f>
        <v>12.9705498010155</v>
      </c>
      <c r="L892" s="5" t="n">
        <f>(D892+E892)*C892-G892-I892+0+IF(E$52&gt;0,'Assumptions and Catalog'!$C$26*C892,0)</f>
        <v>960.775870286778</v>
      </c>
      <c r="M892" s="5" t="n">
        <f>IF(ISNUMBER(Inputs!$L$5),(IF(Inputs!$L$9="Actual flat rate",((D892+E892)*C892)*Inputs!$L$10,IF(Inputs!$C$9="Residential",IF(((D892+E892)*C892)&lt;='Assumptions and Catalog'!$C$50,((D892+E892)*C892)*'Assumptions and Catalog'!$H$50+'Assumptions and Catalog'!$E$50+'Assumptions and Catalog'!$F$50,IF(((D892+E892)*C892)&lt;='Assumptions and Catalog'!$C$51,((D892+E892)*C892)*'Assumptions and Catalog'!$H$51+'Assumptions and Catalog'!$E$51+'Assumptions and Catalog'!$F$51,IF(((D892+E892)*C892)&lt;='Assumptions and Catalog'!$C$52,((D892+E892)*C892)*'Assumptions and Catalog'!$H$52+'Assumptions and Catalog'!$E$52+'Assumptions and Catalog'!$F$52,IF(((D892+E892)*C892)&lt;='Assumptions and Catalog'!$C$53,((D892+E892)*C892)*'Assumptions and Catalog'!$H$53+'Assumptions and Catalog'!$E$53+'Assumptions and Catalog'!$F$53,IF(((D892+E892)*C892)&lt;='Assumptions and Catalog'!$C$54,((D892+E892)*C892)*'Assumptions and Catalog'!$H$54+'Assumptions and Catalog'!$E$54+'Assumptions and Catalog'!$F$54,IF(((D892+E892)*C892)&lt;='Assumptions and Catalog'!$C$55,((D892+E892)*C892)*'Assumptions and Catalog'!$H$55+'Assumptions and Catalog'!$E$55+'Assumptions and Catalog'!$F$55,IF(((D892+E892)*C892)&lt;='Assumptions and Catalog'!$C$56,((D892+E892)*C892)*'Assumptions and Catalog'!$H$56+'Assumptions and Catalog'!$E$56+'Assumptions and Catalog'!$F$56,IF(((D892+E892)*C892)&lt;='Assumptions and Catalog'!$C$57,((D892+E892)*C892)*'Assumptions and Catalog'!$H$57+'Assumptions and Catalog'!$E$57+'Assumptions and Catalog'!$F$57,"Out of range")))))))),IF(((D892+E892)*C892)&lt;='Assumptions and Catalog'!$C$60,((D892+E892)*C892)*'Assumptions and Catalog'!$H$60+'Assumptions and Catalog'!$E$60+'Assumptions and Catalog'!$F$60,IF(((D892+E892)*C892)&lt;='Assumptions and Catalog'!$C$61,((D892+E892)*C892)*'Assumptions and Catalog'!$H$61+'Assumptions and Catalog'!$E$61+'Assumptions and Catalog'!$F$61,IF(((D892+E892)*C892)&lt;='Assumptions and Catalog'!$C$62,((D892+E892)*C892)*'Assumptions and Catalog'!$H$62+'Assumptions and Catalog'!$E$62+'Assumptions and Catalog'!$F$62,IF(((D892+E892)*C892)&lt;='Assumptions and Catalog'!$C$63,((D892+E892)*C892)*'Assumptions and Catalog'!$H$63+'Assumptions and Catalog'!$E$63+'Assumptions and Catalog'!$F$63,IF(((D892+E892)*C892)&lt;='Assumptions and Catalog'!$C$64,((D892+E892)*C892)*'Assumptions and Catalog'!$H$64+'Assumptions and Catalog'!$E$64+'Assumptions and Catalog'!$F$64,IF(((D892+E892)*C892)&lt;='Assumptions and Catalog'!$C$65,((D892+E892)*C892)*'Assumptions and Catalog'!$H$65+'Assumptions and Catalog'!$E$65+'Assumptions and Catalog'!$F$65,"Out of range")))))))))*(1+'Assumptions and Catalog'!$C$8)^(A892-1),0)</f>
        <v>6867.22</v>
      </c>
      <c r="N892" s="5" t="n">
        <f>IF(ISNUMBER(Inputs!$L$5),(IF(Inputs!$L$9="Actual flat rate",L892*Inputs!$L$10,IF(Inputs!$C$9="Residential",IF(L892&lt;='Assumptions and Catalog'!$C$50,L892*'Assumptions and Catalog'!$H$50+'Assumptions and Catalog'!$E$50+'Assumptions and Catalog'!$F$50,IF(L892&lt;='Assumptions and Catalog'!$C$51,L892*'Assumptions and Catalog'!$H$51+'Assumptions and Catalog'!$E$51+'Assumptions and Catalog'!$F$51,IF(L892&lt;='Assumptions and Catalog'!$C$52,L892*'Assumptions and Catalog'!$H$52+'Assumptions and Catalog'!$E$52+'Assumptions and Catalog'!$F$52,IF(L892&lt;='Assumptions and Catalog'!$C$53,L892*'Assumptions and Catalog'!$H$53+'Assumptions and Catalog'!$E$53+'Assumptions and Catalog'!$F$53,IF(L892&lt;='Assumptions and Catalog'!$C$54,L892*'Assumptions and Catalog'!$H$54+'Assumptions and Catalog'!$E$54+'Assumptions and Catalog'!$F$54,IF(L892&lt;='Assumptions and Catalog'!$C$55,L892*'Assumptions and Catalog'!$H$55+'Assumptions and Catalog'!$E$55+'Assumptions and Catalog'!$F$55,IF(L892&lt;='Assumptions and Catalog'!$C$56,L892*'Assumptions and Catalog'!$H$56+'Assumptions and Catalog'!$E$56+'Assumptions and Catalog'!$F$56,IF(L892&lt;='Assumptions and Catalog'!$C$57,L892*'Assumptions and Catalog'!$H$57+'Assumptions and Catalog'!$E$57+'Assumptions and Catalog'!$F$57,"Out of range")))))))),IF(L892&lt;='Assumptions and Catalog'!$C$60,L892*'Assumptions and Catalog'!$H$60+'Assumptions and Catalog'!$E$60+'Assumptions and Catalog'!$F$60,IF(L892&lt;='Assumptions and Catalog'!$C$61,L892*'Assumptions and Catalog'!$H$61+'Assumptions and Catalog'!$E$61+'Assumptions and Catalog'!$F$61,IF(L892&lt;='Assumptions and Catalog'!$C$62,L892*'Assumptions and Catalog'!$H$62+'Assumptions and Catalog'!$E$62+'Assumptions and Catalog'!$F$62,IF(L892&lt;='Assumptions and Catalog'!$C$63,L892*'Assumptions and Catalog'!$H$63+'Assumptions and Catalog'!$E$63+'Assumptions and Catalog'!$F$63,IF(L892&lt;='Assumptions and Catalog'!$C$64,L892*'Assumptions and Catalog'!$H$64+'Assumptions and Catalog'!$E$64+'Assumptions and Catalog'!$F$64,IF(L892&lt;='Assumptions and Catalog'!$C$65,L892*'Assumptions and Catalog'!$H$65+'Assumptions and Catalog'!$E$65+'Assumptions and Catalog'!$F$65,"Out of range")))))))))*(1+'Assumptions and Catalog'!$C$8)^(A892-1),0)</f>
        <v>2626.34916069437</v>
      </c>
      <c r="O892" s="5" t="n">
        <f>M892-N892</f>
        <v>4240.87083930563</v>
      </c>
      <c r="P892" s="5" t="n">
        <f>E$55*(1-L$14)*(1-'Assumptions and Catalog'!$C$23)^R892</f>
        <v>8.53757708421274</v>
      </c>
      <c r="Q892" s="5" t="n">
        <f>IF(ISNUMBER(Inputs!$L$5),(IF(Inputs!$L$9="Actual flat rate",((D892+E892)*C892-G892)*Inputs!$L$10,IF(Inputs!$C$9="Residential",IF(((D892+E892)*C892-G892)&lt;='Assumptions and Catalog'!$C$50,((D892+E892)*C892-G892)*'Assumptions and Catalog'!$H$50+'Assumptions and Catalog'!$E$50+'Assumptions and Catalog'!$F$50,IF(((D892+E892)*C892-G892)&lt;='Assumptions and Catalog'!$C$51,((D892+E892)*C892-G892)*'Assumptions and Catalog'!$H$51+'Assumptions and Catalog'!$E$51+'Assumptions and Catalog'!$F$51,IF(((D892+E892)*C892-G892)&lt;='Assumptions and Catalog'!$C$52,((D892+E892)*C892-G892)*'Assumptions and Catalog'!$H$52+'Assumptions and Catalog'!$E$52+'Assumptions and Catalog'!$F$52,IF(((D892+E892)*C892-G892)&lt;='Assumptions and Catalog'!$C$53,((D892+E892)*C892-G892)*'Assumptions and Catalog'!$H$53+'Assumptions and Catalog'!$E$53+'Assumptions and Catalog'!$F$53,IF(((D892+E892)*C892-G892)&lt;='Assumptions and Catalog'!$C$54,((D892+E892)*C892-G892)*'Assumptions and Catalog'!$H$54+'Assumptions and Catalog'!$E$54+'Assumptions and Catalog'!$F$54,IF(((D892+E892)*C892-G892)&lt;='Assumptions and Catalog'!$C$55,((D892+E892)*C892-G892)*'Assumptions and Catalog'!$H$55+'Assumptions and Catalog'!$E$55+'Assumptions and Catalog'!$F$55,IF(((D892+E892)*C892-G892)&lt;='Assumptions and Catalog'!$C$56,((D892+E892)*C892-G892)*'Assumptions and Catalog'!$H$56+'Assumptions and Catalog'!$E$56+'Assumptions and Catalog'!$F$56,IF(((D892+E892)*C892-G892)&lt;='Assumptions and Catalog'!$C$57,((D892+E892)*C892-G892)*'Assumptions and Catalog'!$H$57+'Assumptions and Catalog'!$E$57+'Assumptions and Catalog'!$F$57,"Out of range")))))))),IF(((D892+E892)*C892-G892)&lt;='Assumptions and Catalog'!$C$60,((D892+E892)*C892-G892)*'Assumptions and Catalog'!$H$60+'Assumptions and Catalog'!$E$60+'Assumptions and Catalog'!$F$60,IF(((D892+E892)*C892-G892)&lt;='Assumptions and Catalog'!$C$61,((D892+E892)*C892-G892)*'Assumptions and Catalog'!$H$61+'Assumptions and Catalog'!$E$61+'Assumptions and Catalog'!$F$61,IF(((D892+E892)*C892-G892)&lt;='Assumptions and Catalog'!$C$62,((D892+E892)*C892-G892)*'Assumptions and Catalog'!$H$62+'Assumptions and Catalog'!$E$62+'Assumptions and Catalog'!$F$62,IF(((D892+E892)*C892-G892)&lt;='Assumptions and Catalog'!$C$63,((D892+E892)*C892-G892)*'Assumptions and Catalog'!$H$63+'Assumptions and Catalog'!$E$63+'Assumptions and Catalog'!$F$63,IF(((D892+E892)*C892-G892)&lt;='Assumptions and Catalog'!$C$64,((D892+E892)*C892-G892)*'Assumptions and Catalog'!$H$64+'Assumptions and Catalog'!$E$64+'Assumptions and Catalog'!$F$64,IF(((D892+E892)*C892-G892)&lt;='Assumptions and Catalog'!$C$65,((D892+E892)*C892-G892)*'Assumptions and Catalog'!$H$65+'Assumptions and Catalog'!$E$65+'Assumptions and Catalog'!$F$65,"Out of range")))))))))*(1+'Assumptions and Catalog'!$C$8)^(A892-1),0)</f>
        <v>3453.61</v>
      </c>
      <c r="R892" s="5" t="n">
        <f>IF(AND('Assumptions and Catalog'!$C$19&gt;0,A892&gt;='Assumptions and Catalog'!$C$19),A892-'Assumptions and Catalog'!$C$19,A892-1)</f>
        <v>9</v>
      </c>
      <c r="S892" s="5" t="n">
        <f>F892+L892-(D892+E892)*C892-J892-K892-IF(E$52&gt;0,'Assumptions and Catalog'!$C$26*C892,0)</f>
        <v>1.98951966012828E-013</v>
      </c>
      <c r="T892" s="5"/>
      <c r="U892" s="5"/>
    </row>
    <row r="893" ht="23.100000381469727" customHeight="1">
      <c r="A893" s="5" t="n">
        <v>20</v>
      </c>
      <c r="B893" s="5" t="n">
        <v>5</v>
      </c>
      <c r="C893" s="5" t="n">
        <f>DAY(DATE('Assumptions and Catalog'!$C$24+A893-1,B893+1,0))</f>
        <v>31</v>
      </c>
      <c r="D893" s="5" t="n">
        <f>IF(ISNUMBER(Inputs!$L$5),Inputs!$L$5*Inputs!$L$6,0)</f>
        <v>40.35</v>
      </c>
      <c r="E893" s="5" t="n">
        <f>IF(ISNUMBER(Inputs!$L$5),Inputs!$L$5-D893,0)</f>
        <v>40.35</v>
      </c>
      <c r="F893" s="5" t="n">
        <f>E$51*INDEX('Solar Production'!$D$20:$D$31,B893)*C893*(1-'Assumptions and Catalog'!$C$10)^(A893-1)</f>
        <v>1627.3169757318</v>
      </c>
      <c r="G893" s="5" t="n">
        <f>MIN(F893,D893*C893)</f>
        <v>1250.85</v>
      </c>
      <c r="H893" s="5" t="n">
        <f>I893/('Assumptions and Catalog'!$C$11*'Assumptions and Catalog'!$C$12)</f>
        <v>271.451168831379</v>
      </c>
      <c r="I893" s="5" t="n">
        <f>MIN(E893*C893,P893*'Assumptions and Catalog'!$C$12*C893,(F893-G893)*'Assumptions and Catalog'!$C$11*'Assumptions and Catalog'!$C$12,E$56*'Assumptions and Catalog'!$C$14*'Assumptions and Catalog'!$C$11*'Assumptions and Catalog'!$C$12*C893,E$57*(24-'Assumptions and Catalog'!$C$13)*C893)</f>
        <v>258.04826737033</v>
      </c>
      <c r="J893" s="5" t="n">
        <f>MAX(F893-G893-H893,0)</f>
        <v>105.015806900423</v>
      </c>
      <c r="K893" s="5" t="n">
        <f>H893-I893</f>
        <v>13.4029014610493</v>
      </c>
      <c r="L893" s="5" t="n">
        <f>(D893+E893)*C893-G893-I893+0+IF(E$52&gt;0,'Assumptions and Catalog'!$C$26*C893,0)</f>
        <v>992.80173262967</v>
      </c>
      <c r="M893" s="5" t="n">
        <f>IF(ISNUMBER(Inputs!$L$5),(IF(Inputs!$L$9="Actual flat rate",((D893+E893)*C893)*Inputs!$L$10,IF(Inputs!$C$9="Residential",IF(((D893+E893)*C893)&lt;='Assumptions and Catalog'!$C$50,((D893+E893)*C893)*'Assumptions and Catalog'!$H$50+'Assumptions and Catalog'!$E$50+'Assumptions and Catalog'!$F$50,IF(((D893+E893)*C893)&lt;='Assumptions and Catalog'!$C$51,((D893+E893)*C893)*'Assumptions and Catalog'!$H$51+'Assumptions and Catalog'!$E$51+'Assumptions and Catalog'!$F$51,IF(((D893+E893)*C893)&lt;='Assumptions and Catalog'!$C$52,((D893+E893)*C893)*'Assumptions and Catalog'!$H$52+'Assumptions and Catalog'!$E$52+'Assumptions and Catalog'!$F$52,IF(((D893+E893)*C893)&lt;='Assumptions and Catalog'!$C$53,((D893+E893)*C893)*'Assumptions and Catalog'!$H$53+'Assumptions and Catalog'!$E$53+'Assumptions and Catalog'!$F$53,IF(((D893+E893)*C893)&lt;='Assumptions and Catalog'!$C$54,((D893+E893)*C893)*'Assumptions and Catalog'!$H$54+'Assumptions and Catalog'!$E$54+'Assumptions and Catalog'!$F$54,IF(((D893+E893)*C893)&lt;='Assumptions and Catalog'!$C$55,((D893+E893)*C893)*'Assumptions and Catalog'!$H$55+'Assumptions and Catalog'!$E$55+'Assumptions and Catalog'!$F$55,IF(((D893+E893)*C893)&lt;='Assumptions and Catalog'!$C$56,((D893+E893)*C893)*'Assumptions and Catalog'!$H$56+'Assumptions and Catalog'!$E$56+'Assumptions and Catalog'!$F$56,IF(((D893+E893)*C893)&lt;='Assumptions and Catalog'!$C$57,((D893+E893)*C893)*'Assumptions and Catalog'!$H$57+'Assumptions and Catalog'!$E$57+'Assumptions and Catalog'!$F$57,"Out of range")))))))),IF(((D893+E893)*C893)&lt;='Assumptions and Catalog'!$C$60,((D893+E893)*C893)*'Assumptions and Catalog'!$H$60+'Assumptions and Catalog'!$E$60+'Assumptions and Catalog'!$F$60,IF(((D893+E893)*C893)&lt;='Assumptions and Catalog'!$C$61,((D893+E893)*C893)*'Assumptions and Catalog'!$H$61+'Assumptions and Catalog'!$E$61+'Assumptions and Catalog'!$F$61,IF(((D893+E893)*C893)&lt;='Assumptions and Catalog'!$C$62,((D893+E893)*C893)*'Assumptions and Catalog'!$H$62+'Assumptions and Catalog'!$E$62+'Assumptions and Catalog'!$F$62,IF(((D893+E893)*C893)&lt;='Assumptions and Catalog'!$C$63,((D893+E893)*C893)*'Assumptions and Catalog'!$H$63+'Assumptions and Catalog'!$E$63+'Assumptions and Catalog'!$F$63,IF(((D893+E893)*C893)&lt;='Assumptions and Catalog'!$C$64,((D893+E893)*C893)*'Assumptions and Catalog'!$H$64+'Assumptions and Catalog'!$E$64+'Assumptions and Catalog'!$F$64,IF(((D893+E893)*C893)&lt;='Assumptions and Catalog'!$C$65,((D893+E893)*C893)*'Assumptions and Catalog'!$H$65+'Assumptions and Catalog'!$E$65+'Assumptions and Catalog'!$F$65,"Out of range")))))))))*(1+'Assumptions and Catalog'!$C$8)^(A893-1),0)</f>
        <v>7094.794</v>
      </c>
      <c r="N893" s="5" t="n">
        <f>IF(ISNUMBER(Inputs!$L$5),(IF(Inputs!$L$9="Actual flat rate",L893*Inputs!$L$10,IF(Inputs!$C$9="Residential",IF(L893&lt;='Assumptions and Catalog'!$C$50,L893*'Assumptions and Catalog'!$H$50+'Assumptions and Catalog'!$E$50+'Assumptions and Catalog'!$F$50,IF(L893&lt;='Assumptions and Catalog'!$C$51,L893*'Assumptions and Catalog'!$H$51+'Assumptions and Catalog'!$E$51+'Assumptions and Catalog'!$F$51,IF(L893&lt;='Assumptions and Catalog'!$C$52,L893*'Assumptions and Catalog'!$H$52+'Assumptions and Catalog'!$E$52+'Assumptions and Catalog'!$F$52,IF(L893&lt;='Assumptions and Catalog'!$C$53,L893*'Assumptions and Catalog'!$H$53+'Assumptions and Catalog'!$E$53+'Assumptions and Catalog'!$F$53,IF(L893&lt;='Assumptions and Catalog'!$C$54,L893*'Assumptions and Catalog'!$H$54+'Assumptions and Catalog'!$E$54+'Assumptions and Catalog'!$F$54,IF(L893&lt;='Assumptions and Catalog'!$C$55,L893*'Assumptions and Catalog'!$H$55+'Assumptions and Catalog'!$E$55+'Assumptions and Catalog'!$F$55,IF(L893&lt;='Assumptions and Catalog'!$C$56,L893*'Assumptions and Catalog'!$H$56+'Assumptions and Catalog'!$E$56+'Assumptions and Catalog'!$F$56,IF(L893&lt;='Assumptions and Catalog'!$C$57,L893*'Assumptions and Catalog'!$H$57+'Assumptions and Catalog'!$E$57+'Assumptions and Catalog'!$F$57,"Out of range")))))))),IF(L893&lt;='Assumptions and Catalog'!$C$60,L893*'Assumptions and Catalog'!$H$60+'Assumptions and Catalog'!$E$60+'Assumptions and Catalog'!$F$60,IF(L893&lt;='Assumptions and Catalog'!$C$61,L893*'Assumptions and Catalog'!$H$61+'Assumptions and Catalog'!$E$61+'Assumptions and Catalog'!$F$61,IF(L893&lt;='Assumptions and Catalog'!$C$62,L893*'Assumptions and Catalog'!$H$62+'Assumptions and Catalog'!$E$62+'Assumptions and Catalog'!$F$62,IF(L893&lt;='Assumptions and Catalog'!$C$63,L893*'Assumptions and Catalog'!$H$63+'Assumptions and Catalog'!$E$63+'Assumptions and Catalog'!$F$63,IF(L893&lt;='Assumptions and Catalog'!$C$64,L893*'Assumptions and Catalog'!$H$64+'Assumptions and Catalog'!$E$64+'Assumptions and Catalog'!$F$64,IF(L893&lt;='Assumptions and Catalog'!$C$65,L893*'Assumptions and Catalog'!$H$65+'Assumptions and Catalog'!$E$65+'Assumptions and Catalog'!$F$65,"Out of range")))))))))*(1+'Assumptions and Catalog'!$C$8)^(A893-1),0)</f>
        <v>2715.06079938419</v>
      </c>
      <c r="O893" s="5" t="n">
        <f>M893-N893</f>
        <v>4379.73320061581</v>
      </c>
      <c r="P893" s="5" t="n">
        <f>E$55*(1-L$14)*(1-'Assumptions and Catalog'!$C$23)^R893</f>
        <v>8.53757708421274</v>
      </c>
      <c r="Q893" s="5" t="n">
        <f>IF(ISNUMBER(Inputs!$L$5),(IF(Inputs!$L$9="Actual flat rate",((D893+E893)*C893-G893)*Inputs!$L$10,IF(Inputs!$C$9="Residential",IF(((D893+E893)*C893-G893)&lt;='Assumptions and Catalog'!$C$50,((D893+E893)*C893-G893)*'Assumptions and Catalog'!$H$50+'Assumptions and Catalog'!$E$50+'Assumptions and Catalog'!$F$50,IF(((D893+E893)*C893-G893)&lt;='Assumptions and Catalog'!$C$51,((D893+E893)*C893-G893)*'Assumptions and Catalog'!$H$51+'Assumptions and Catalog'!$E$51+'Assumptions and Catalog'!$F$51,IF(((D893+E893)*C893-G893)&lt;='Assumptions and Catalog'!$C$52,((D893+E893)*C893-G893)*'Assumptions and Catalog'!$H$52+'Assumptions and Catalog'!$E$52+'Assumptions and Catalog'!$F$52,IF(((D893+E893)*C893-G893)&lt;='Assumptions and Catalog'!$C$53,((D893+E893)*C893-G893)*'Assumptions and Catalog'!$H$53+'Assumptions and Catalog'!$E$53+'Assumptions and Catalog'!$F$53,IF(((D893+E893)*C893-G893)&lt;='Assumptions and Catalog'!$C$54,((D893+E893)*C893-G893)*'Assumptions and Catalog'!$H$54+'Assumptions and Catalog'!$E$54+'Assumptions and Catalog'!$F$54,IF(((D893+E893)*C893-G893)&lt;='Assumptions and Catalog'!$C$55,((D893+E893)*C893-G893)*'Assumptions and Catalog'!$H$55+'Assumptions and Catalog'!$E$55+'Assumptions and Catalog'!$F$55,IF(((D893+E893)*C893-G893)&lt;='Assumptions and Catalog'!$C$56,((D893+E893)*C893-G893)*'Assumptions and Catalog'!$H$56+'Assumptions and Catalog'!$E$56+'Assumptions and Catalog'!$F$56,IF(((D893+E893)*C893-G893)&lt;='Assumptions and Catalog'!$C$57,((D893+E893)*C893-G893)*'Assumptions and Catalog'!$H$57+'Assumptions and Catalog'!$E$57+'Assumptions and Catalog'!$F$57,"Out of range")))))))),IF(((D893+E893)*C893-G893)&lt;='Assumptions and Catalog'!$C$60,((D893+E893)*C893-G893)*'Assumptions and Catalog'!$H$60+'Assumptions and Catalog'!$E$60+'Assumptions and Catalog'!$F$60,IF(((D893+E893)*C893-G893)&lt;='Assumptions and Catalog'!$C$61,((D893+E893)*C893-G893)*'Assumptions and Catalog'!$H$61+'Assumptions and Catalog'!$E$61+'Assumptions and Catalog'!$F$61,IF(((D893+E893)*C893-G893)&lt;='Assumptions and Catalog'!$C$62,((D893+E893)*C893-G893)*'Assumptions and Catalog'!$H$62+'Assumptions and Catalog'!$E$62+'Assumptions and Catalog'!$F$62,IF(((D893+E893)*C893-G893)&lt;='Assumptions and Catalog'!$C$63,((D893+E893)*C893-G893)*'Assumptions and Catalog'!$H$63+'Assumptions and Catalog'!$E$63+'Assumptions and Catalog'!$F$63,IF(((D893+E893)*C893-G893)&lt;='Assumptions and Catalog'!$C$64,((D893+E893)*C893-G893)*'Assumptions and Catalog'!$H$64+'Assumptions and Catalog'!$E$64+'Assumptions and Catalog'!$F$64,IF(((D893+E893)*C893-G893)&lt;='Assumptions and Catalog'!$C$65,((D893+E893)*C893-G893)*'Assumptions and Catalog'!$H$65+'Assumptions and Catalog'!$E$65+'Assumptions and Catalog'!$F$65,"Out of range")))))))))*(1+'Assumptions and Catalog'!$C$8)^(A893-1),0)</f>
        <v>3567.397</v>
      </c>
      <c r="R893" s="5" t="n">
        <f>IF(AND('Assumptions and Catalog'!$C$19&gt;0,A893&gt;='Assumptions and Catalog'!$C$19),A893-'Assumptions and Catalog'!$C$19,A893-1)</f>
        <v>9</v>
      </c>
      <c r="S893" s="5" t="n">
        <f>F893+L893-(D893+E893)*C893-J893-K893-IF(E$52&gt;0,'Assumptions and Catalog'!$C$26*C893,0)</f>
        <v>1.13686837721616E-013</v>
      </c>
      <c r="T893" s="5"/>
      <c r="U893" s="5"/>
    </row>
    <row r="894" ht="23.100000381469727" customHeight="1">
      <c r="A894" s="5" t="n">
        <v>20</v>
      </c>
      <c r="B894" s="5" t="n">
        <v>6</v>
      </c>
      <c r="C894" s="5" t="n">
        <f>DAY(DATE('Assumptions and Catalog'!$C$24+A894-1,B894+1,0))</f>
        <v>30</v>
      </c>
      <c r="D894" s="5" t="n">
        <f>IF(ISNUMBER(Inputs!$L$5),Inputs!$L$5*Inputs!$L$6,0)</f>
        <v>40.35</v>
      </c>
      <c r="E894" s="5" t="n">
        <f>IF(ISNUMBER(Inputs!$L$5),Inputs!$L$5-D894,0)</f>
        <v>40.35</v>
      </c>
      <c r="F894" s="5" t="n">
        <f>E$51*INDEX('Solar Production'!$D$20:$D$31,B894)*C894*(1-'Assumptions and Catalog'!$C$10)^(A894-1)</f>
        <v>1586.31402833443</v>
      </c>
      <c r="G894" s="5" t="n">
        <f>MIN(F894,D894*C894)</f>
        <v>1210.5</v>
      </c>
      <c r="H894" s="5" t="n">
        <f>I894/('Assumptions and Catalog'!$C$11*'Assumptions and Catalog'!$C$12)</f>
        <v>262.694679514238</v>
      </c>
      <c r="I894" s="5" t="n">
        <f>MIN(E894*C894,P894*'Assumptions and Catalog'!$C$12*C894,(F894-G894)*'Assumptions and Catalog'!$C$11*'Assumptions and Catalog'!$C$12,E$56*'Assumptions and Catalog'!$C$14*'Assumptions and Catalog'!$C$11*'Assumptions and Catalog'!$C$12*C894,E$57*(24-'Assumptions and Catalog'!$C$13)*C894)</f>
        <v>249.724129713222</v>
      </c>
      <c r="J894" s="5" t="n">
        <f>MAX(F894-G894-H894,0)</f>
        <v>113.119348820192</v>
      </c>
      <c r="K894" s="5" t="n">
        <f>H894-I894</f>
        <v>12.9705498010155</v>
      </c>
      <c r="L894" s="5" t="n">
        <f>(D894+E894)*C894-G894-I894+0+IF(E$52&gt;0,'Assumptions and Catalog'!$C$26*C894,0)</f>
        <v>960.775870286778</v>
      </c>
      <c r="M894" s="5" t="n">
        <f>IF(ISNUMBER(Inputs!$L$5),(IF(Inputs!$L$9="Actual flat rate",((D894+E894)*C894)*Inputs!$L$10,IF(Inputs!$C$9="Residential",IF(((D894+E894)*C894)&lt;='Assumptions and Catalog'!$C$50,((D894+E894)*C894)*'Assumptions and Catalog'!$H$50+'Assumptions and Catalog'!$E$50+'Assumptions and Catalog'!$F$50,IF(((D894+E894)*C894)&lt;='Assumptions and Catalog'!$C$51,((D894+E894)*C894)*'Assumptions and Catalog'!$H$51+'Assumptions and Catalog'!$E$51+'Assumptions and Catalog'!$F$51,IF(((D894+E894)*C894)&lt;='Assumptions and Catalog'!$C$52,((D894+E894)*C894)*'Assumptions and Catalog'!$H$52+'Assumptions and Catalog'!$E$52+'Assumptions and Catalog'!$F$52,IF(((D894+E894)*C894)&lt;='Assumptions and Catalog'!$C$53,((D894+E894)*C894)*'Assumptions and Catalog'!$H$53+'Assumptions and Catalog'!$E$53+'Assumptions and Catalog'!$F$53,IF(((D894+E894)*C894)&lt;='Assumptions and Catalog'!$C$54,((D894+E894)*C894)*'Assumptions and Catalog'!$H$54+'Assumptions and Catalog'!$E$54+'Assumptions and Catalog'!$F$54,IF(((D894+E894)*C894)&lt;='Assumptions and Catalog'!$C$55,((D894+E894)*C894)*'Assumptions and Catalog'!$H$55+'Assumptions and Catalog'!$E$55+'Assumptions and Catalog'!$F$55,IF(((D894+E894)*C894)&lt;='Assumptions and Catalog'!$C$56,((D894+E894)*C894)*'Assumptions and Catalog'!$H$56+'Assumptions and Catalog'!$E$56+'Assumptions and Catalog'!$F$56,IF(((D894+E894)*C894)&lt;='Assumptions and Catalog'!$C$57,((D894+E894)*C894)*'Assumptions and Catalog'!$H$57+'Assumptions and Catalog'!$E$57+'Assumptions and Catalog'!$F$57,"Out of range")))))))),IF(((D894+E894)*C894)&lt;='Assumptions and Catalog'!$C$60,((D894+E894)*C894)*'Assumptions and Catalog'!$H$60+'Assumptions and Catalog'!$E$60+'Assumptions and Catalog'!$F$60,IF(((D894+E894)*C894)&lt;='Assumptions and Catalog'!$C$61,((D894+E894)*C894)*'Assumptions and Catalog'!$H$61+'Assumptions and Catalog'!$E$61+'Assumptions and Catalog'!$F$61,IF(((D894+E894)*C894)&lt;='Assumptions and Catalog'!$C$62,((D894+E894)*C894)*'Assumptions and Catalog'!$H$62+'Assumptions and Catalog'!$E$62+'Assumptions and Catalog'!$F$62,IF(((D894+E894)*C894)&lt;='Assumptions and Catalog'!$C$63,((D894+E894)*C894)*'Assumptions and Catalog'!$H$63+'Assumptions and Catalog'!$E$63+'Assumptions and Catalog'!$F$63,IF(((D894+E894)*C894)&lt;='Assumptions and Catalog'!$C$64,((D894+E894)*C894)*'Assumptions and Catalog'!$H$64+'Assumptions and Catalog'!$E$64+'Assumptions and Catalog'!$F$64,IF(((D894+E894)*C894)&lt;='Assumptions and Catalog'!$C$65,((D894+E894)*C894)*'Assumptions and Catalog'!$H$65+'Assumptions and Catalog'!$E$65+'Assumptions and Catalog'!$F$65,"Out of range")))))))))*(1+'Assumptions and Catalog'!$C$8)^(A894-1),0)</f>
        <v>6867.22</v>
      </c>
      <c r="N894" s="5" t="n">
        <f>IF(ISNUMBER(Inputs!$L$5),(IF(Inputs!$L$9="Actual flat rate",L894*Inputs!$L$10,IF(Inputs!$C$9="Residential",IF(L894&lt;='Assumptions and Catalog'!$C$50,L894*'Assumptions and Catalog'!$H$50+'Assumptions and Catalog'!$E$50+'Assumptions and Catalog'!$F$50,IF(L894&lt;='Assumptions and Catalog'!$C$51,L894*'Assumptions and Catalog'!$H$51+'Assumptions and Catalog'!$E$51+'Assumptions and Catalog'!$F$51,IF(L894&lt;='Assumptions and Catalog'!$C$52,L894*'Assumptions and Catalog'!$H$52+'Assumptions and Catalog'!$E$52+'Assumptions and Catalog'!$F$52,IF(L894&lt;='Assumptions and Catalog'!$C$53,L894*'Assumptions and Catalog'!$H$53+'Assumptions and Catalog'!$E$53+'Assumptions and Catalog'!$F$53,IF(L894&lt;='Assumptions and Catalog'!$C$54,L894*'Assumptions and Catalog'!$H$54+'Assumptions and Catalog'!$E$54+'Assumptions and Catalog'!$F$54,IF(L894&lt;='Assumptions and Catalog'!$C$55,L894*'Assumptions and Catalog'!$H$55+'Assumptions and Catalog'!$E$55+'Assumptions and Catalog'!$F$55,IF(L894&lt;='Assumptions and Catalog'!$C$56,L894*'Assumptions and Catalog'!$H$56+'Assumptions and Catalog'!$E$56+'Assumptions and Catalog'!$F$56,IF(L894&lt;='Assumptions and Catalog'!$C$57,L894*'Assumptions and Catalog'!$H$57+'Assumptions and Catalog'!$E$57+'Assumptions and Catalog'!$F$57,"Out of range")))))))),IF(L894&lt;='Assumptions and Catalog'!$C$60,L894*'Assumptions and Catalog'!$H$60+'Assumptions and Catalog'!$E$60+'Assumptions and Catalog'!$F$60,IF(L894&lt;='Assumptions and Catalog'!$C$61,L894*'Assumptions and Catalog'!$H$61+'Assumptions and Catalog'!$E$61+'Assumptions and Catalog'!$F$61,IF(L894&lt;='Assumptions and Catalog'!$C$62,L894*'Assumptions and Catalog'!$H$62+'Assumptions and Catalog'!$E$62+'Assumptions and Catalog'!$F$62,IF(L894&lt;='Assumptions and Catalog'!$C$63,L894*'Assumptions and Catalog'!$H$63+'Assumptions and Catalog'!$E$63+'Assumptions and Catalog'!$F$63,IF(L894&lt;='Assumptions and Catalog'!$C$64,L894*'Assumptions and Catalog'!$H$64+'Assumptions and Catalog'!$E$64+'Assumptions and Catalog'!$F$64,IF(L894&lt;='Assumptions and Catalog'!$C$65,L894*'Assumptions and Catalog'!$H$65+'Assumptions and Catalog'!$E$65+'Assumptions and Catalog'!$F$65,"Out of range")))))))))*(1+'Assumptions and Catalog'!$C$8)^(A894-1),0)</f>
        <v>2626.34916069437</v>
      </c>
      <c r="O894" s="5" t="n">
        <f>M894-N894</f>
        <v>4240.87083930563</v>
      </c>
      <c r="P894" s="5" t="n">
        <f>E$55*(1-L$14)*(1-'Assumptions and Catalog'!$C$23)^R894</f>
        <v>8.53757708421274</v>
      </c>
      <c r="Q894" s="5" t="n">
        <f>IF(ISNUMBER(Inputs!$L$5),(IF(Inputs!$L$9="Actual flat rate",((D894+E894)*C894-G894)*Inputs!$L$10,IF(Inputs!$C$9="Residential",IF(((D894+E894)*C894-G894)&lt;='Assumptions and Catalog'!$C$50,((D894+E894)*C894-G894)*'Assumptions and Catalog'!$H$50+'Assumptions and Catalog'!$E$50+'Assumptions and Catalog'!$F$50,IF(((D894+E894)*C894-G894)&lt;='Assumptions and Catalog'!$C$51,((D894+E894)*C894-G894)*'Assumptions and Catalog'!$H$51+'Assumptions and Catalog'!$E$51+'Assumptions and Catalog'!$F$51,IF(((D894+E894)*C894-G894)&lt;='Assumptions and Catalog'!$C$52,((D894+E894)*C894-G894)*'Assumptions and Catalog'!$H$52+'Assumptions and Catalog'!$E$52+'Assumptions and Catalog'!$F$52,IF(((D894+E894)*C894-G894)&lt;='Assumptions and Catalog'!$C$53,((D894+E894)*C894-G894)*'Assumptions and Catalog'!$H$53+'Assumptions and Catalog'!$E$53+'Assumptions and Catalog'!$F$53,IF(((D894+E894)*C894-G894)&lt;='Assumptions and Catalog'!$C$54,((D894+E894)*C894-G894)*'Assumptions and Catalog'!$H$54+'Assumptions and Catalog'!$E$54+'Assumptions and Catalog'!$F$54,IF(((D894+E894)*C894-G894)&lt;='Assumptions and Catalog'!$C$55,((D894+E894)*C894-G894)*'Assumptions and Catalog'!$H$55+'Assumptions and Catalog'!$E$55+'Assumptions and Catalog'!$F$55,IF(((D894+E894)*C894-G894)&lt;='Assumptions and Catalog'!$C$56,((D894+E894)*C894-G894)*'Assumptions and Catalog'!$H$56+'Assumptions and Catalog'!$E$56+'Assumptions and Catalog'!$F$56,IF(((D894+E894)*C894-G894)&lt;='Assumptions and Catalog'!$C$57,((D894+E894)*C894-G894)*'Assumptions and Catalog'!$H$57+'Assumptions and Catalog'!$E$57+'Assumptions and Catalog'!$F$57,"Out of range")))))))),IF(((D894+E894)*C894-G894)&lt;='Assumptions and Catalog'!$C$60,((D894+E894)*C894-G894)*'Assumptions and Catalog'!$H$60+'Assumptions and Catalog'!$E$60+'Assumptions and Catalog'!$F$60,IF(((D894+E894)*C894-G894)&lt;='Assumptions and Catalog'!$C$61,((D894+E894)*C894-G894)*'Assumptions and Catalog'!$H$61+'Assumptions and Catalog'!$E$61+'Assumptions and Catalog'!$F$61,IF(((D894+E894)*C894-G894)&lt;='Assumptions and Catalog'!$C$62,((D894+E894)*C894-G894)*'Assumptions and Catalog'!$H$62+'Assumptions and Catalog'!$E$62+'Assumptions and Catalog'!$F$62,IF(((D894+E894)*C894-G894)&lt;='Assumptions and Catalog'!$C$63,((D894+E894)*C894-G894)*'Assumptions and Catalog'!$H$63+'Assumptions and Catalog'!$E$63+'Assumptions and Catalog'!$F$63,IF(((D894+E894)*C894-G894)&lt;='Assumptions and Catalog'!$C$64,((D894+E894)*C894-G894)*'Assumptions and Catalog'!$H$64+'Assumptions and Catalog'!$E$64+'Assumptions and Catalog'!$F$64,IF(((D894+E894)*C894-G894)&lt;='Assumptions and Catalog'!$C$65,((D894+E894)*C894-G894)*'Assumptions and Catalog'!$H$65+'Assumptions and Catalog'!$E$65+'Assumptions and Catalog'!$F$65,"Out of range")))))))))*(1+'Assumptions and Catalog'!$C$8)^(A894-1),0)</f>
        <v>3453.61</v>
      </c>
      <c r="R894" s="5" t="n">
        <f>IF(AND('Assumptions and Catalog'!$C$19&gt;0,A894&gt;='Assumptions and Catalog'!$C$19),A894-'Assumptions and Catalog'!$C$19,A894-1)</f>
        <v>9</v>
      </c>
      <c r="S894" s="5" t="n">
        <f>F894+L894-(D894+E894)*C894-J894-K894-IF(E$52&gt;0,'Assumptions and Catalog'!$C$26*C894,0)</f>
        <v>0</v>
      </c>
      <c r="T894" s="5"/>
      <c r="U894" s="5"/>
    </row>
    <row r="895" ht="23.100000381469727" customHeight="1">
      <c r="A895" s="5" t="n">
        <v>20</v>
      </c>
      <c r="B895" s="5" t="n">
        <v>7</v>
      </c>
      <c r="C895" s="5" t="n">
        <f>DAY(DATE('Assumptions and Catalog'!$C$24+A895-1,B895+1,0))</f>
        <v>31</v>
      </c>
      <c r="D895" s="5" t="n">
        <f>IF(ISNUMBER(Inputs!$L$5),Inputs!$L$5*Inputs!$L$6,0)</f>
        <v>40.35</v>
      </c>
      <c r="E895" s="5" t="n">
        <f>IF(ISNUMBER(Inputs!$L$5),Inputs!$L$5-D895,0)</f>
        <v>40.35</v>
      </c>
      <c r="F895" s="5" t="n">
        <f>E$51*INDEX('Solar Production'!$D$20:$D$31,B895)*C895*(1-'Assumptions and Catalog'!$C$10)^(A895-1)</f>
        <v>1646.71837035397</v>
      </c>
      <c r="G895" s="5" t="n">
        <f>MIN(F895,D895*C895)</f>
        <v>1250.85</v>
      </c>
      <c r="H895" s="5" t="n">
        <f>I895/('Assumptions and Catalog'!$C$11*'Assumptions and Catalog'!$C$12)</f>
        <v>271.451168831379</v>
      </c>
      <c r="I895" s="5" t="n">
        <f>MIN(E895*C895,P895*'Assumptions and Catalog'!$C$12*C895,(F895-G895)*'Assumptions and Catalog'!$C$11*'Assumptions and Catalog'!$C$12,E$56*'Assumptions and Catalog'!$C$14*'Assumptions and Catalog'!$C$11*'Assumptions and Catalog'!$C$12*C895,E$57*(24-'Assumptions and Catalog'!$C$13)*C895)</f>
        <v>258.04826737033</v>
      </c>
      <c r="J895" s="5" t="n">
        <f>MAX(F895-G895-H895,0)</f>
        <v>124.417201522594</v>
      </c>
      <c r="K895" s="5" t="n">
        <f>H895-I895</f>
        <v>13.4029014610493</v>
      </c>
      <c r="L895" s="5" t="n">
        <f>(D895+E895)*C895-G895-I895+0+IF(E$52&gt;0,'Assumptions and Catalog'!$C$26*C895,0)</f>
        <v>992.80173262967</v>
      </c>
      <c r="M895" s="5" t="n">
        <f>IF(ISNUMBER(Inputs!$L$5),(IF(Inputs!$L$9="Actual flat rate",((D895+E895)*C895)*Inputs!$L$10,IF(Inputs!$C$9="Residential",IF(((D895+E895)*C895)&lt;='Assumptions and Catalog'!$C$50,((D895+E895)*C895)*'Assumptions and Catalog'!$H$50+'Assumptions and Catalog'!$E$50+'Assumptions and Catalog'!$F$50,IF(((D895+E895)*C895)&lt;='Assumptions and Catalog'!$C$51,((D895+E895)*C895)*'Assumptions and Catalog'!$H$51+'Assumptions and Catalog'!$E$51+'Assumptions and Catalog'!$F$51,IF(((D895+E895)*C895)&lt;='Assumptions and Catalog'!$C$52,((D895+E895)*C895)*'Assumptions and Catalog'!$H$52+'Assumptions and Catalog'!$E$52+'Assumptions and Catalog'!$F$52,IF(((D895+E895)*C895)&lt;='Assumptions and Catalog'!$C$53,((D895+E895)*C895)*'Assumptions and Catalog'!$H$53+'Assumptions and Catalog'!$E$53+'Assumptions and Catalog'!$F$53,IF(((D895+E895)*C895)&lt;='Assumptions and Catalog'!$C$54,((D895+E895)*C895)*'Assumptions and Catalog'!$H$54+'Assumptions and Catalog'!$E$54+'Assumptions and Catalog'!$F$54,IF(((D895+E895)*C895)&lt;='Assumptions and Catalog'!$C$55,((D895+E895)*C895)*'Assumptions and Catalog'!$H$55+'Assumptions and Catalog'!$E$55+'Assumptions and Catalog'!$F$55,IF(((D895+E895)*C895)&lt;='Assumptions and Catalog'!$C$56,((D895+E895)*C895)*'Assumptions and Catalog'!$H$56+'Assumptions and Catalog'!$E$56+'Assumptions and Catalog'!$F$56,IF(((D895+E895)*C895)&lt;='Assumptions and Catalog'!$C$57,((D895+E895)*C895)*'Assumptions and Catalog'!$H$57+'Assumptions and Catalog'!$E$57+'Assumptions and Catalog'!$F$57,"Out of range")))))))),IF(((D895+E895)*C895)&lt;='Assumptions and Catalog'!$C$60,((D895+E895)*C895)*'Assumptions and Catalog'!$H$60+'Assumptions and Catalog'!$E$60+'Assumptions and Catalog'!$F$60,IF(((D895+E895)*C895)&lt;='Assumptions and Catalog'!$C$61,((D895+E895)*C895)*'Assumptions and Catalog'!$H$61+'Assumptions and Catalog'!$E$61+'Assumptions and Catalog'!$F$61,IF(((D895+E895)*C895)&lt;='Assumptions and Catalog'!$C$62,((D895+E895)*C895)*'Assumptions and Catalog'!$H$62+'Assumptions and Catalog'!$E$62+'Assumptions and Catalog'!$F$62,IF(((D895+E895)*C895)&lt;='Assumptions and Catalog'!$C$63,((D895+E895)*C895)*'Assumptions and Catalog'!$H$63+'Assumptions and Catalog'!$E$63+'Assumptions and Catalog'!$F$63,IF(((D895+E895)*C895)&lt;='Assumptions and Catalog'!$C$64,((D895+E895)*C895)*'Assumptions and Catalog'!$H$64+'Assumptions and Catalog'!$E$64+'Assumptions and Catalog'!$F$64,IF(((D895+E895)*C895)&lt;='Assumptions and Catalog'!$C$65,((D895+E895)*C895)*'Assumptions and Catalog'!$H$65+'Assumptions and Catalog'!$E$65+'Assumptions and Catalog'!$F$65,"Out of range")))))))))*(1+'Assumptions and Catalog'!$C$8)^(A895-1),0)</f>
        <v>7094.794</v>
      </c>
      <c r="N895" s="5" t="n">
        <f>IF(ISNUMBER(Inputs!$L$5),(IF(Inputs!$L$9="Actual flat rate",L895*Inputs!$L$10,IF(Inputs!$C$9="Residential",IF(L895&lt;='Assumptions and Catalog'!$C$50,L895*'Assumptions and Catalog'!$H$50+'Assumptions and Catalog'!$E$50+'Assumptions and Catalog'!$F$50,IF(L895&lt;='Assumptions and Catalog'!$C$51,L895*'Assumptions and Catalog'!$H$51+'Assumptions and Catalog'!$E$51+'Assumptions and Catalog'!$F$51,IF(L895&lt;='Assumptions and Catalog'!$C$52,L895*'Assumptions and Catalog'!$H$52+'Assumptions and Catalog'!$E$52+'Assumptions and Catalog'!$F$52,IF(L895&lt;='Assumptions and Catalog'!$C$53,L895*'Assumptions and Catalog'!$H$53+'Assumptions and Catalog'!$E$53+'Assumptions and Catalog'!$F$53,IF(L895&lt;='Assumptions and Catalog'!$C$54,L895*'Assumptions and Catalog'!$H$54+'Assumptions and Catalog'!$E$54+'Assumptions and Catalog'!$F$54,IF(L895&lt;='Assumptions and Catalog'!$C$55,L895*'Assumptions and Catalog'!$H$55+'Assumptions and Catalog'!$E$55+'Assumptions and Catalog'!$F$55,IF(L895&lt;='Assumptions and Catalog'!$C$56,L895*'Assumptions and Catalog'!$H$56+'Assumptions and Catalog'!$E$56+'Assumptions and Catalog'!$F$56,IF(L895&lt;='Assumptions and Catalog'!$C$57,L895*'Assumptions and Catalog'!$H$57+'Assumptions and Catalog'!$E$57+'Assumptions and Catalog'!$F$57,"Out of range")))))))),IF(L895&lt;='Assumptions and Catalog'!$C$60,L895*'Assumptions and Catalog'!$H$60+'Assumptions and Catalog'!$E$60+'Assumptions and Catalog'!$F$60,IF(L895&lt;='Assumptions and Catalog'!$C$61,L895*'Assumptions and Catalog'!$H$61+'Assumptions and Catalog'!$E$61+'Assumptions and Catalog'!$F$61,IF(L895&lt;='Assumptions and Catalog'!$C$62,L895*'Assumptions and Catalog'!$H$62+'Assumptions and Catalog'!$E$62+'Assumptions and Catalog'!$F$62,IF(L895&lt;='Assumptions and Catalog'!$C$63,L895*'Assumptions and Catalog'!$H$63+'Assumptions and Catalog'!$E$63+'Assumptions and Catalog'!$F$63,IF(L895&lt;='Assumptions and Catalog'!$C$64,L895*'Assumptions and Catalog'!$H$64+'Assumptions and Catalog'!$E$64+'Assumptions and Catalog'!$F$64,IF(L895&lt;='Assumptions and Catalog'!$C$65,L895*'Assumptions and Catalog'!$H$65+'Assumptions and Catalog'!$E$65+'Assumptions and Catalog'!$F$65,"Out of range")))))))))*(1+'Assumptions and Catalog'!$C$8)^(A895-1),0)</f>
        <v>2715.06079938419</v>
      </c>
      <c r="O895" s="5" t="n">
        <f>M895-N895</f>
        <v>4379.73320061581</v>
      </c>
      <c r="P895" s="5" t="n">
        <f>E$55*(1-L$14)*(1-'Assumptions and Catalog'!$C$23)^R895</f>
        <v>8.53757708421274</v>
      </c>
      <c r="Q895" s="5" t="n">
        <f>IF(ISNUMBER(Inputs!$L$5),(IF(Inputs!$L$9="Actual flat rate",((D895+E895)*C895-G895)*Inputs!$L$10,IF(Inputs!$C$9="Residential",IF(((D895+E895)*C895-G895)&lt;='Assumptions and Catalog'!$C$50,((D895+E895)*C895-G895)*'Assumptions and Catalog'!$H$50+'Assumptions and Catalog'!$E$50+'Assumptions and Catalog'!$F$50,IF(((D895+E895)*C895-G895)&lt;='Assumptions and Catalog'!$C$51,((D895+E895)*C895-G895)*'Assumptions and Catalog'!$H$51+'Assumptions and Catalog'!$E$51+'Assumptions and Catalog'!$F$51,IF(((D895+E895)*C895-G895)&lt;='Assumptions and Catalog'!$C$52,((D895+E895)*C895-G895)*'Assumptions and Catalog'!$H$52+'Assumptions and Catalog'!$E$52+'Assumptions and Catalog'!$F$52,IF(((D895+E895)*C895-G895)&lt;='Assumptions and Catalog'!$C$53,((D895+E895)*C895-G895)*'Assumptions and Catalog'!$H$53+'Assumptions and Catalog'!$E$53+'Assumptions and Catalog'!$F$53,IF(((D895+E895)*C895-G895)&lt;='Assumptions and Catalog'!$C$54,((D895+E895)*C895-G895)*'Assumptions and Catalog'!$H$54+'Assumptions and Catalog'!$E$54+'Assumptions and Catalog'!$F$54,IF(((D895+E895)*C895-G895)&lt;='Assumptions and Catalog'!$C$55,((D895+E895)*C895-G895)*'Assumptions and Catalog'!$H$55+'Assumptions and Catalog'!$E$55+'Assumptions and Catalog'!$F$55,IF(((D895+E895)*C895-G895)&lt;='Assumptions and Catalog'!$C$56,((D895+E895)*C895-G895)*'Assumptions and Catalog'!$H$56+'Assumptions and Catalog'!$E$56+'Assumptions and Catalog'!$F$56,IF(((D895+E895)*C895-G895)&lt;='Assumptions and Catalog'!$C$57,((D895+E895)*C895-G895)*'Assumptions and Catalog'!$H$57+'Assumptions and Catalog'!$E$57+'Assumptions and Catalog'!$F$57,"Out of range")))))))),IF(((D895+E895)*C895-G895)&lt;='Assumptions and Catalog'!$C$60,((D895+E895)*C895-G895)*'Assumptions and Catalog'!$H$60+'Assumptions and Catalog'!$E$60+'Assumptions and Catalog'!$F$60,IF(((D895+E895)*C895-G895)&lt;='Assumptions and Catalog'!$C$61,((D895+E895)*C895-G895)*'Assumptions and Catalog'!$H$61+'Assumptions and Catalog'!$E$61+'Assumptions and Catalog'!$F$61,IF(((D895+E895)*C895-G895)&lt;='Assumptions and Catalog'!$C$62,((D895+E895)*C895-G895)*'Assumptions and Catalog'!$H$62+'Assumptions and Catalog'!$E$62+'Assumptions and Catalog'!$F$62,IF(((D895+E895)*C895-G895)&lt;='Assumptions and Catalog'!$C$63,((D895+E895)*C895-G895)*'Assumptions and Catalog'!$H$63+'Assumptions and Catalog'!$E$63+'Assumptions and Catalog'!$F$63,IF(((D895+E895)*C895-G895)&lt;='Assumptions and Catalog'!$C$64,((D895+E895)*C895-G895)*'Assumptions and Catalog'!$H$64+'Assumptions and Catalog'!$E$64+'Assumptions and Catalog'!$F$64,IF(((D895+E895)*C895-G895)&lt;='Assumptions and Catalog'!$C$65,((D895+E895)*C895-G895)*'Assumptions and Catalog'!$H$65+'Assumptions and Catalog'!$E$65+'Assumptions and Catalog'!$F$65,"Out of range")))))))))*(1+'Assumptions and Catalog'!$C$8)^(A895-1),0)</f>
        <v>3567.397</v>
      </c>
      <c r="R895" s="5" t="n">
        <f>IF(AND('Assumptions and Catalog'!$C$19&gt;0,A895&gt;='Assumptions and Catalog'!$C$19),A895-'Assumptions and Catalog'!$C$19,A895-1)</f>
        <v>9</v>
      </c>
      <c r="S895" s="5" t="n">
        <f>F895+L895-(D895+E895)*C895-J895-K895-IF(E$52&gt;0,'Assumptions and Catalog'!$C$26*C895,0)</f>
        <v>1.13686837721616E-013</v>
      </c>
      <c r="T895" s="5"/>
      <c r="U895" s="5"/>
    </row>
    <row r="896" ht="23.100000381469727" customHeight="1">
      <c r="A896" s="5" t="n">
        <v>20</v>
      </c>
      <c r="B896" s="5" t="n">
        <v>8</v>
      </c>
      <c r="C896" s="5" t="n">
        <f>DAY(DATE('Assumptions and Catalog'!$C$24+A896-1,B896+1,0))</f>
        <v>31</v>
      </c>
      <c r="D896" s="5" t="n">
        <f>IF(ISNUMBER(Inputs!$L$5),Inputs!$L$5*Inputs!$L$6,0)</f>
        <v>40.35</v>
      </c>
      <c r="E896" s="5" t="n">
        <f>IF(ISNUMBER(Inputs!$L$5),Inputs!$L$5-D896,0)</f>
        <v>40.35</v>
      </c>
      <c r="F896" s="5" t="n">
        <f>E$51*INDEX('Solar Production'!$D$20:$D$31,B896)*C896*(1-'Assumptions and Catalog'!$C$10)^(A896-1)</f>
        <v>1668.11990875163</v>
      </c>
      <c r="G896" s="5" t="n">
        <f>MIN(F896,D896*C896)</f>
        <v>1250.85</v>
      </c>
      <c r="H896" s="5" t="n">
        <f>I896/('Assumptions and Catalog'!$C$11*'Assumptions and Catalog'!$C$12)</f>
        <v>271.451168831379</v>
      </c>
      <c r="I896" s="5" t="n">
        <f>MIN(E896*C896,P896*'Assumptions and Catalog'!$C$12*C896,(F896-G896)*'Assumptions and Catalog'!$C$11*'Assumptions and Catalog'!$C$12,E$56*'Assumptions and Catalog'!$C$14*'Assumptions and Catalog'!$C$11*'Assumptions and Catalog'!$C$12*C896,E$57*(24-'Assumptions and Catalog'!$C$13)*C896)</f>
        <v>258.04826737033</v>
      </c>
      <c r="J896" s="5" t="n">
        <f>MAX(F896-G896-H896,0)</f>
        <v>145.818739920247</v>
      </c>
      <c r="K896" s="5" t="n">
        <f>H896-I896</f>
        <v>13.4029014610493</v>
      </c>
      <c r="L896" s="5" t="n">
        <f>(D896+E896)*C896-G896-I896+0+IF(E$52&gt;0,'Assumptions and Catalog'!$C$26*C896,0)</f>
        <v>992.80173262967</v>
      </c>
      <c r="M896" s="5" t="n">
        <f>IF(ISNUMBER(Inputs!$L$5),(IF(Inputs!$L$9="Actual flat rate",((D896+E896)*C896)*Inputs!$L$10,IF(Inputs!$C$9="Residential",IF(((D896+E896)*C896)&lt;='Assumptions and Catalog'!$C$50,((D896+E896)*C896)*'Assumptions and Catalog'!$H$50+'Assumptions and Catalog'!$E$50+'Assumptions and Catalog'!$F$50,IF(((D896+E896)*C896)&lt;='Assumptions and Catalog'!$C$51,((D896+E896)*C896)*'Assumptions and Catalog'!$H$51+'Assumptions and Catalog'!$E$51+'Assumptions and Catalog'!$F$51,IF(((D896+E896)*C896)&lt;='Assumptions and Catalog'!$C$52,((D896+E896)*C896)*'Assumptions and Catalog'!$H$52+'Assumptions and Catalog'!$E$52+'Assumptions and Catalog'!$F$52,IF(((D896+E896)*C896)&lt;='Assumptions and Catalog'!$C$53,((D896+E896)*C896)*'Assumptions and Catalog'!$H$53+'Assumptions and Catalog'!$E$53+'Assumptions and Catalog'!$F$53,IF(((D896+E896)*C896)&lt;='Assumptions and Catalog'!$C$54,((D896+E896)*C896)*'Assumptions and Catalog'!$H$54+'Assumptions and Catalog'!$E$54+'Assumptions and Catalog'!$F$54,IF(((D896+E896)*C896)&lt;='Assumptions and Catalog'!$C$55,((D896+E896)*C896)*'Assumptions and Catalog'!$H$55+'Assumptions and Catalog'!$E$55+'Assumptions and Catalog'!$F$55,IF(((D896+E896)*C896)&lt;='Assumptions and Catalog'!$C$56,((D896+E896)*C896)*'Assumptions and Catalog'!$H$56+'Assumptions and Catalog'!$E$56+'Assumptions and Catalog'!$F$56,IF(((D896+E896)*C896)&lt;='Assumptions and Catalog'!$C$57,((D896+E896)*C896)*'Assumptions and Catalog'!$H$57+'Assumptions and Catalog'!$E$57+'Assumptions and Catalog'!$F$57,"Out of range")))))))),IF(((D896+E896)*C896)&lt;='Assumptions and Catalog'!$C$60,((D896+E896)*C896)*'Assumptions and Catalog'!$H$60+'Assumptions and Catalog'!$E$60+'Assumptions and Catalog'!$F$60,IF(((D896+E896)*C896)&lt;='Assumptions and Catalog'!$C$61,((D896+E896)*C896)*'Assumptions and Catalog'!$H$61+'Assumptions and Catalog'!$E$61+'Assumptions and Catalog'!$F$61,IF(((D896+E896)*C896)&lt;='Assumptions and Catalog'!$C$62,((D896+E896)*C896)*'Assumptions and Catalog'!$H$62+'Assumptions and Catalog'!$E$62+'Assumptions and Catalog'!$F$62,IF(((D896+E896)*C896)&lt;='Assumptions and Catalog'!$C$63,((D896+E896)*C896)*'Assumptions and Catalog'!$H$63+'Assumptions and Catalog'!$E$63+'Assumptions and Catalog'!$F$63,IF(((D896+E896)*C896)&lt;='Assumptions and Catalog'!$C$64,((D896+E896)*C896)*'Assumptions and Catalog'!$H$64+'Assumptions and Catalog'!$E$64+'Assumptions and Catalog'!$F$64,IF(((D896+E896)*C896)&lt;='Assumptions and Catalog'!$C$65,((D896+E896)*C896)*'Assumptions and Catalog'!$H$65+'Assumptions and Catalog'!$E$65+'Assumptions and Catalog'!$F$65,"Out of range")))))))))*(1+'Assumptions and Catalog'!$C$8)^(A896-1),0)</f>
        <v>7094.794</v>
      </c>
      <c r="N896" s="5" t="n">
        <f>IF(ISNUMBER(Inputs!$L$5),(IF(Inputs!$L$9="Actual flat rate",L896*Inputs!$L$10,IF(Inputs!$C$9="Residential",IF(L896&lt;='Assumptions and Catalog'!$C$50,L896*'Assumptions and Catalog'!$H$50+'Assumptions and Catalog'!$E$50+'Assumptions and Catalog'!$F$50,IF(L896&lt;='Assumptions and Catalog'!$C$51,L896*'Assumptions and Catalog'!$H$51+'Assumptions and Catalog'!$E$51+'Assumptions and Catalog'!$F$51,IF(L896&lt;='Assumptions and Catalog'!$C$52,L896*'Assumptions and Catalog'!$H$52+'Assumptions and Catalog'!$E$52+'Assumptions and Catalog'!$F$52,IF(L896&lt;='Assumptions and Catalog'!$C$53,L896*'Assumptions and Catalog'!$H$53+'Assumptions and Catalog'!$E$53+'Assumptions and Catalog'!$F$53,IF(L896&lt;='Assumptions and Catalog'!$C$54,L896*'Assumptions and Catalog'!$H$54+'Assumptions and Catalog'!$E$54+'Assumptions and Catalog'!$F$54,IF(L896&lt;='Assumptions and Catalog'!$C$55,L896*'Assumptions and Catalog'!$H$55+'Assumptions and Catalog'!$E$55+'Assumptions and Catalog'!$F$55,IF(L896&lt;='Assumptions and Catalog'!$C$56,L896*'Assumptions and Catalog'!$H$56+'Assumptions and Catalog'!$E$56+'Assumptions and Catalog'!$F$56,IF(L896&lt;='Assumptions and Catalog'!$C$57,L896*'Assumptions and Catalog'!$H$57+'Assumptions and Catalog'!$E$57+'Assumptions and Catalog'!$F$57,"Out of range")))))))),IF(L896&lt;='Assumptions and Catalog'!$C$60,L896*'Assumptions and Catalog'!$H$60+'Assumptions and Catalog'!$E$60+'Assumptions and Catalog'!$F$60,IF(L896&lt;='Assumptions and Catalog'!$C$61,L896*'Assumptions and Catalog'!$H$61+'Assumptions and Catalog'!$E$61+'Assumptions and Catalog'!$F$61,IF(L896&lt;='Assumptions and Catalog'!$C$62,L896*'Assumptions and Catalog'!$H$62+'Assumptions and Catalog'!$E$62+'Assumptions and Catalog'!$F$62,IF(L896&lt;='Assumptions and Catalog'!$C$63,L896*'Assumptions and Catalog'!$H$63+'Assumptions and Catalog'!$E$63+'Assumptions and Catalog'!$F$63,IF(L896&lt;='Assumptions and Catalog'!$C$64,L896*'Assumptions and Catalog'!$H$64+'Assumptions and Catalog'!$E$64+'Assumptions and Catalog'!$F$64,IF(L896&lt;='Assumptions and Catalog'!$C$65,L896*'Assumptions and Catalog'!$H$65+'Assumptions and Catalog'!$E$65+'Assumptions and Catalog'!$F$65,"Out of range")))))))))*(1+'Assumptions and Catalog'!$C$8)^(A896-1),0)</f>
        <v>2715.06079938419</v>
      </c>
      <c r="O896" s="5" t="n">
        <f>M896-N896</f>
        <v>4379.73320061581</v>
      </c>
      <c r="P896" s="5" t="n">
        <f>E$55*(1-L$14)*(1-'Assumptions and Catalog'!$C$23)^R896</f>
        <v>8.53757708421274</v>
      </c>
      <c r="Q896" s="5" t="n">
        <f>IF(ISNUMBER(Inputs!$L$5),(IF(Inputs!$L$9="Actual flat rate",((D896+E896)*C896-G896)*Inputs!$L$10,IF(Inputs!$C$9="Residential",IF(((D896+E896)*C896-G896)&lt;='Assumptions and Catalog'!$C$50,((D896+E896)*C896-G896)*'Assumptions and Catalog'!$H$50+'Assumptions and Catalog'!$E$50+'Assumptions and Catalog'!$F$50,IF(((D896+E896)*C896-G896)&lt;='Assumptions and Catalog'!$C$51,((D896+E896)*C896-G896)*'Assumptions and Catalog'!$H$51+'Assumptions and Catalog'!$E$51+'Assumptions and Catalog'!$F$51,IF(((D896+E896)*C896-G896)&lt;='Assumptions and Catalog'!$C$52,((D896+E896)*C896-G896)*'Assumptions and Catalog'!$H$52+'Assumptions and Catalog'!$E$52+'Assumptions and Catalog'!$F$52,IF(((D896+E896)*C896-G896)&lt;='Assumptions and Catalog'!$C$53,((D896+E896)*C896-G896)*'Assumptions and Catalog'!$H$53+'Assumptions and Catalog'!$E$53+'Assumptions and Catalog'!$F$53,IF(((D896+E896)*C896-G896)&lt;='Assumptions and Catalog'!$C$54,((D896+E896)*C896-G896)*'Assumptions and Catalog'!$H$54+'Assumptions and Catalog'!$E$54+'Assumptions and Catalog'!$F$54,IF(((D896+E896)*C896-G896)&lt;='Assumptions and Catalog'!$C$55,((D896+E896)*C896-G896)*'Assumptions and Catalog'!$H$55+'Assumptions and Catalog'!$E$55+'Assumptions and Catalog'!$F$55,IF(((D896+E896)*C896-G896)&lt;='Assumptions and Catalog'!$C$56,((D896+E896)*C896-G896)*'Assumptions and Catalog'!$H$56+'Assumptions and Catalog'!$E$56+'Assumptions and Catalog'!$F$56,IF(((D896+E896)*C896-G896)&lt;='Assumptions and Catalog'!$C$57,((D896+E896)*C896-G896)*'Assumptions and Catalog'!$H$57+'Assumptions and Catalog'!$E$57+'Assumptions and Catalog'!$F$57,"Out of range")))))))),IF(((D896+E896)*C896-G896)&lt;='Assumptions and Catalog'!$C$60,((D896+E896)*C896-G896)*'Assumptions and Catalog'!$H$60+'Assumptions and Catalog'!$E$60+'Assumptions and Catalog'!$F$60,IF(((D896+E896)*C896-G896)&lt;='Assumptions and Catalog'!$C$61,((D896+E896)*C896-G896)*'Assumptions and Catalog'!$H$61+'Assumptions and Catalog'!$E$61+'Assumptions and Catalog'!$F$61,IF(((D896+E896)*C896-G896)&lt;='Assumptions and Catalog'!$C$62,((D896+E896)*C896-G896)*'Assumptions and Catalog'!$H$62+'Assumptions and Catalog'!$E$62+'Assumptions and Catalog'!$F$62,IF(((D896+E896)*C896-G896)&lt;='Assumptions and Catalog'!$C$63,((D896+E896)*C896-G896)*'Assumptions and Catalog'!$H$63+'Assumptions and Catalog'!$E$63+'Assumptions and Catalog'!$F$63,IF(((D896+E896)*C896-G896)&lt;='Assumptions and Catalog'!$C$64,((D896+E896)*C896-G896)*'Assumptions and Catalog'!$H$64+'Assumptions and Catalog'!$E$64+'Assumptions and Catalog'!$F$64,IF(((D896+E896)*C896-G896)&lt;='Assumptions and Catalog'!$C$65,((D896+E896)*C896-G896)*'Assumptions and Catalog'!$H$65+'Assumptions and Catalog'!$E$65+'Assumptions and Catalog'!$F$65,"Out of range")))))))))*(1+'Assumptions and Catalog'!$C$8)^(A896-1),0)</f>
        <v>3567.397</v>
      </c>
      <c r="R896" s="5" t="n">
        <f>IF(AND('Assumptions and Catalog'!$C$19&gt;0,A896&gt;='Assumptions and Catalog'!$C$19),A896-'Assumptions and Catalog'!$C$19,A896-1)</f>
        <v>9</v>
      </c>
      <c r="S896" s="5" t="n">
        <f>F896+L896-(D896+E896)*C896-J896-K896-IF(E$52&gt;0,'Assumptions and Catalog'!$C$26*C896,0)</f>
        <v>-1.13686837721616E-013</v>
      </c>
      <c r="T896" s="5"/>
      <c r="U896" s="5"/>
    </row>
    <row r="897" ht="23.100000381469727" customHeight="1">
      <c r="A897" s="5" t="n">
        <v>20</v>
      </c>
      <c r="B897" s="5" t="n">
        <v>9</v>
      </c>
      <c r="C897" s="5" t="n">
        <f>DAY(DATE('Assumptions and Catalog'!$C$24+A897-1,B897+1,0))</f>
        <v>30</v>
      </c>
      <c r="D897" s="5" t="n">
        <f>IF(ISNUMBER(Inputs!$L$5),Inputs!$L$5*Inputs!$L$6,0)</f>
        <v>40.35</v>
      </c>
      <c r="E897" s="5" t="n">
        <f>IF(ISNUMBER(Inputs!$L$5),Inputs!$L$5-D897,0)</f>
        <v>40.35</v>
      </c>
      <c r="F897" s="5" t="n">
        <f>E$51*INDEX('Solar Production'!$D$20:$D$31,B897)*C897*(1-'Assumptions and Catalog'!$C$10)^(A897-1)</f>
        <v>1610.11573926266</v>
      </c>
      <c r="G897" s="5" t="n">
        <f>MIN(F897,D897*C897)</f>
        <v>1210.5</v>
      </c>
      <c r="H897" s="5" t="n">
        <f>I897/('Assumptions and Catalog'!$C$11*'Assumptions and Catalog'!$C$12)</f>
        <v>262.694679514238</v>
      </c>
      <c r="I897" s="5" t="n">
        <f>MIN(E897*C897,P897*'Assumptions and Catalog'!$C$12*C897,(F897-G897)*'Assumptions and Catalog'!$C$11*'Assumptions and Catalog'!$C$12,E$56*'Assumptions and Catalog'!$C$14*'Assumptions and Catalog'!$C$11*'Assumptions and Catalog'!$C$12*C897,E$57*(24-'Assumptions and Catalog'!$C$13)*C897)</f>
        <v>249.724129713222</v>
      </c>
      <c r="J897" s="5" t="n">
        <f>MAX(F897-G897-H897,0)</f>
        <v>136.921059748423</v>
      </c>
      <c r="K897" s="5" t="n">
        <f>H897-I897</f>
        <v>12.9705498010155</v>
      </c>
      <c r="L897" s="5" t="n">
        <f>(D897+E897)*C897-G897-I897+0+IF(E$52&gt;0,'Assumptions and Catalog'!$C$26*C897,0)</f>
        <v>960.775870286778</v>
      </c>
      <c r="M897" s="5" t="n">
        <f>IF(ISNUMBER(Inputs!$L$5),(IF(Inputs!$L$9="Actual flat rate",((D897+E897)*C897)*Inputs!$L$10,IF(Inputs!$C$9="Residential",IF(((D897+E897)*C897)&lt;='Assumptions and Catalog'!$C$50,((D897+E897)*C897)*'Assumptions and Catalog'!$H$50+'Assumptions and Catalog'!$E$50+'Assumptions and Catalog'!$F$50,IF(((D897+E897)*C897)&lt;='Assumptions and Catalog'!$C$51,((D897+E897)*C897)*'Assumptions and Catalog'!$H$51+'Assumptions and Catalog'!$E$51+'Assumptions and Catalog'!$F$51,IF(((D897+E897)*C897)&lt;='Assumptions and Catalog'!$C$52,((D897+E897)*C897)*'Assumptions and Catalog'!$H$52+'Assumptions and Catalog'!$E$52+'Assumptions and Catalog'!$F$52,IF(((D897+E897)*C897)&lt;='Assumptions and Catalog'!$C$53,((D897+E897)*C897)*'Assumptions and Catalog'!$H$53+'Assumptions and Catalog'!$E$53+'Assumptions and Catalog'!$F$53,IF(((D897+E897)*C897)&lt;='Assumptions and Catalog'!$C$54,((D897+E897)*C897)*'Assumptions and Catalog'!$H$54+'Assumptions and Catalog'!$E$54+'Assumptions and Catalog'!$F$54,IF(((D897+E897)*C897)&lt;='Assumptions and Catalog'!$C$55,((D897+E897)*C897)*'Assumptions and Catalog'!$H$55+'Assumptions and Catalog'!$E$55+'Assumptions and Catalog'!$F$55,IF(((D897+E897)*C897)&lt;='Assumptions and Catalog'!$C$56,((D897+E897)*C897)*'Assumptions and Catalog'!$H$56+'Assumptions and Catalog'!$E$56+'Assumptions and Catalog'!$F$56,IF(((D897+E897)*C897)&lt;='Assumptions and Catalog'!$C$57,((D897+E897)*C897)*'Assumptions and Catalog'!$H$57+'Assumptions and Catalog'!$E$57+'Assumptions and Catalog'!$F$57,"Out of range")))))))),IF(((D897+E897)*C897)&lt;='Assumptions and Catalog'!$C$60,((D897+E897)*C897)*'Assumptions and Catalog'!$H$60+'Assumptions and Catalog'!$E$60+'Assumptions and Catalog'!$F$60,IF(((D897+E897)*C897)&lt;='Assumptions and Catalog'!$C$61,((D897+E897)*C897)*'Assumptions and Catalog'!$H$61+'Assumptions and Catalog'!$E$61+'Assumptions and Catalog'!$F$61,IF(((D897+E897)*C897)&lt;='Assumptions and Catalog'!$C$62,((D897+E897)*C897)*'Assumptions and Catalog'!$H$62+'Assumptions and Catalog'!$E$62+'Assumptions and Catalog'!$F$62,IF(((D897+E897)*C897)&lt;='Assumptions and Catalog'!$C$63,((D897+E897)*C897)*'Assumptions and Catalog'!$H$63+'Assumptions and Catalog'!$E$63+'Assumptions and Catalog'!$F$63,IF(((D897+E897)*C897)&lt;='Assumptions and Catalog'!$C$64,((D897+E897)*C897)*'Assumptions and Catalog'!$H$64+'Assumptions and Catalog'!$E$64+'Assumptions and Catalog'!$F$64,IF(((D897+E897)*C897)&lt;='Assumptions and Catalog'!$C$65,((D897+E897)*C897)*'Assumptions and Catalog'!$H$65+'Assumptions and Catalog'!$E$65+'Assumptions and Catalog'!$F$65,"Out of range")))))))))*(1+'Assumptions and Catalog'!$C$8)^(A897-1),0)</f>
        <v>6867.22</v>
      </c>
      <c r="N897" s="5" t="n">
        <f>IF(ISNUMBER(Inputs!$L$5),(IF(Inputs!$L$9="Actual flat rate",L897*Inputs!$L$10,IF(Inputs!$C$9="Residential",IF(L897&lt;='Assumptions and Catalog'!$C$50,L897*'Assumptions and Catalog'!$H$50+'Assumptions and Catalog'!$E$50+'Assumptions and Catalog'!$F$50,IF(L897&lt;='Assumptions and Catalog'!$C$51,L897*'Assumptions and Catalog'!$H$51+'Assumptions and Catalog'!$E$51+'Assumptions and Catalog'!$F$51,IF(L897&lt;='Assumptions and Catalog'!$C$52,L897*'Assumptions and Catalog'!$H$52+'Assumptions and Catalog'!$E$52+'Assumptions and Catalog'!$F$52,IF(L897&lt;='Assumptions and Catalog'!$C$53,L897*'Assumptions and Catalog'!$H$53+'Assumptions and Catalog'!$E$53+'Assumptions and Catalog'!$F$53,IF(L897&lt;='Assumptions and Catalog'!$C$54,L897*'Assumptions and Catalog'!$H$54+'Assumptions and Catalog'!$E$54+'Assumptions and Catalog'!$F$54,IF(L897&lt;='Assumptions and Catalog'!$C$55,L897*'Assumptions and Catalog'!$H$55+'Assumptions and Catalog'!$E$55+'Assumptions and Catalog'!$F$55,IF(L897&lt;='Assumptions and Catalog'!$C$56,L897*'Assumptions and Catalog'!$H$56+'Assumptions and Catalog'!$E$56+'Assumptions and Catalog'!$F$56,IF(L897&lt;='Assumptions and Catalog'!$C$57,L897*'Assumptions and Catalog'!$H$57+'Assumptions and Catalog'!$E$57+'Assumptions and Catalog'!$F$57,"Out of range")))))))),IF(L897&lt;='Assumptions and Catalog'!$C$60,L897*'Assumptions and Catalog'!$H$60+'Assumptions and Catalog'!$E$60+'Assumptions and Catalog'!$F$60,IF(L897&lt;='Assumptions and Catalog'!$C$61,L897*'Assumptions and Catalog'!$H$61+'Assumptions and Catalog'!$E$61+'Assumptions and Catalog'!$F$61,IF(L897&lt;='Assumptions and Catalog'!$C$62,L897*'Assumptions and Catalog'!$H$62+'Assumptions and Catalog'!$E$62+'Assumptions and Catalog'!$F$62,IF(L897&lt;='Assumptions and Catalog'!$C$63,L897*'Assumptions and Catalog'!$H$63+'Assumptions and Catalog'!$E$63+'Assumptions and Catalog'!$F$63,IF(L897&lt;='Assumptions and Catalog'!$C$64,L897*'Assumptions and Catalog'!$H$64+'Assumptions and Catalog'!$E$64+'Assumptions and Catalog'!$F$64,IF(L897&lt;='Assumptions and Catalog'!$C$65,L897*'Assumptions and Catalog'!$H$65+'Assumptions and Catalog'!$E$65+'Assumptions and Catalog'!$F$65,"Out of range")))))))))*(1+'Assumptions and Catalog'!$C$8)^(A897-1),0)</f>
        <v>2626.34916069437</v>
      </c>
      <c r="O897" s="5" t="n">
        <f>M897-N897</f>
        <v>4240.87083930563</v>
      </c>
      <c r="P897" s="5" t="n">
        <f>E$55*(1-L$14)*(1-'Assumptions and Catalog'!$C$23)^R897</f>
        <v>8.53757708421274</v>
      </c>
      <c r="Q897" s="5" t="n">
        <f>IF(ISNUMBER(Inputs!$L$5),(IF(Inputs!$L$9="Actual flat rate",((D897+E897)*C897-G897)*Inputs!$L$10,IF(Inputs!$C$9="Residential",IF(((D897+E897)*C897-G897)&lt;='Assumptions and Catalog'!$C$50,((D897+E897)*C897-G897)*'Assumptions and Catalog'!$H$50+'Assumptions and Catalog'!$E$50+'Assumptions and Catalog'!$F$50,IF(((D897+E897)*C897-G897)&lt;='Assumptions and Catalog'!$C$51,((D897+E897)*C897-G897)*'Assumptions and Catalog'!$H$51+'Assumptions and Catalog'!$E$51+'Assumptions and Catalog'!$F$51,IF(((D897+E897)*C897-G897)&lt;='Assumptions and Catalog'!$C$52,((D897+E897)*C897-G897)*'Assumptions and Catalog'!$H$52+'Assumptions and Catalog'!$E$52+'Assumptions and Catalog'!$F$52,IF(((D897+E897)*C897-G897)&lt;='Assumptions and Catalog'!$C$53,((D897+E897)*C897-G897)*'Assumptions and Catalog'!$H$53+'Assumptions and Catalog'!$E$53+'Assumptions and Catalog'!$F$53,IF(((D897+E897)*C897-G897)&lt;='Assumptions and Catalog'!$C$54,((D897+E897)*C897-G897)*'Assumptions and Catalog'!$H$54+'Assumptions and Catalog'!$E$54+'Assumptions and Catalog'!$F$54,IF(((D897+E897)*C897-G897)&lt;='Assumptions and Catalog'!$C$55,((D897+E897)*C897-G897)*'Assumptions and Catalog'!$H$55+'Assumptions and Catalog'!$E$55+'Assumptions and Catalog'!$F$55,IF(((D897+E897)*C897-G897)&lt;='Assumptions and Catalog'!$C$56,((D897+E897)*C897-G897)*'Assumptions and Catalog'!$H$56+'Assumptions and Catalog'!$E$56+'Assumptions and Catalog'!$F$56,IF(((D897+E897)*C897-G897)&lt;='Assumptions and Catalog'!$C$57,((D897+E897)*C897-G897)*'Assumptions and Catalog'!$H$57+'Assumptions and Catalog'!$E$57+'Assumptions and Catalog'!$F$57,"Out of range")))))))),IF(((D897+E897)*C897-G897)&lt;='Assumptions and Catalog'!$C$60,((D897+E897)*C897-G897)*'Assumptions and Catalog'!$H$60+'Assumptions and Catalog'!$E$60+'Assumptions and Catalog'!$F$60,IF(((D897+E897)*C897-G897)&lt;='Assumptions and Catalog'!$C$61,((D897+E897)*C897-G897)*'Assumptions and Catalog'!$H$61+'Assumptions and Catalog'!$E$61+'Assumptions and Catalog'!$F$61,IF(((D897+E897)*C897-G897)&lt;='Assumptions and Catalog'!$C$62,((D897+E897)*C897-G897)*'Assumptions and Catalog'!$H$62+'Assumptions and Catalog'!$E$62+'Assumptions and Catalog'!$F$62,IF(((D897+E897)*C897-G897)&lt;='Assumptions and Catalog'!$C$63,((D897+E897)*C897-G897)*'Assumptions and Catalog'!$H$63+'Assumptions and Catalog'!$E$63+'Assumptions and Catalog'!$F$63,IF(((D897+E897)*C897-G897)&lt;='Assumptions and Catalog'!$C$64,((D897+E897)*C897-G897)*'Assumptions and Catalog'!$H$64+'Assumptions and Catalog'!$E$64+'Assumptions and Catalog'!$F$64,IF(((D897+E897)*C897-G897)&lt;='Assumptions and Catalog'!$C$65,((D897+E897)*C897-G897)*'Assumptions and Catalog'!$H$65+'Assumptions and Catalog'!$E$65+'Assumptions and Catalog'!$F$65,"Out of range")))))))))*(1+'Assumptions and Catalog'!$C$8)^(A897-1),0)</f>
        <v>3453.61</v>
      </c>
      <c r="R897" s="5" t="n">
        <f>IF(AND('Assumptions and Catalog'!$C$19&gt;0,A897&gt;='Assumptions and Catalog'!$C$19),A897-'Assumptions and Catalog'!$C$19,A897-1)</f>
        <v>9</v>
      </c>
      <c r="S897" s="5" t="n">
        <f>F897+L897-(D897+E897)*C897-J897-K897-IF(E$52&gt;0,'Assumptions and Catalog'!$C$26*C897,0)</f>
        <v>1.98951966012828E-013</v>
      </c>
      <c r="T897" s="5"/>
      <c r="U897" s="5"/>
    </row>
    <row r="898" ht="23.100000381469727" customHeight="1">
      <c r="A898" s="5" t="n">
        <v>20</v>
      </c>
      <c r="B898" s="5" t="n">
        <v>10</v>
      </c>
      <c r="C898" s="5" t="n">
        <f>DAY(DATE('Assumptions and Catalog'!$C$24+A898-1,B898+1,0))</f>
        <v>31</v>
      </c>
      <c r="D898" s="5" t="n">
        <f>IF(ISNUMBER(Inputs!$L$5),Inputs!$L$5*Inputs!$L$6,0)</f>
        <v>40.35</v>
      </c>
      <c r="E898" s="5" t="n">
        <f>IF(ISNUMBER(Inputs!$L$5),Inputs!$L$5-D898,0)</f>
        <v>40.35</v>
      </c>
      <c r="F898" s="5" t="n">
        <f>E$51*INDEX('Solar Production'!$D$20:$D$31,B898)*C898*(1-'Assumptions and Catalog'!$C$10)^(A898-1)</f>
        <v>1545.41108812583</v>
      </c>
      <c r="G898" s="5" t="n">
        <f>MIN(F898,D898*C898)</f>
        <v>1250.85</v>
      </c>
      <c r="H898" s="5" t="n">
        <f>I898/('Assumptions and Catalog'!$C$11*'Assumptions and Catalog'!$C$12)</f>
        <v>271.451168831379</v>
      </c>
      <c r="I898" s="5" t="n">
        <f>MIN(E898*C898,P898*'Assumptions and Catalog'!$C$12*C898,(F898-G898)*'Assumptions and Catalog'!$C$11*'Assumptions and Catalog'!$C$12,E$56*'Assumptions and Catalog'!$C$14*'Assumptions and Catalog'!$C$11*'Assumptions and Catalog'!$C$12*C898,E$57*(24-'Assumptions and Catalog'!$C$13)*C898)</f>
        <v>258.04826737033</v>
      </c>
      <c r="J898" s="5" t="n">
        <f>MAX(F898-G898-H898,0)</f>
        <v>23.1099192944529</v>
      </c>
      <c r="K898" s="5" t="n">
        <f>H898-I898</f>
        <v>13.4029014610493</v>
      </c>
      <c r="L898" s="5" t="n">
        <f>(D898+E898)*C898-G898-I898+0+IF(E$52&gt;0,'Assumptions and Catalog'!$C$26*C898,0)</f>
        <v>992.80173262967</v>
      </c>
      <c r="M898" s="5" t="n">
        <f>IF(ISNUMBER(Inputs!$L$5),(IF(Inputs!$L$9="Actual flat rate",((D898+E898)*C898)*Inputs!$L$10,IF(Inputs!$C$9="Residential",IF(((D898+E898)*C898)&lt;='Assumptions and Catalog'!$C$50,((D898+E898)*C898)*'Assumptions and Catalog'!$H$50+'Assumptions and Catalog'!$E$50+'Assumptions and Catalog'!$F$50,IF(((D898+E898)*C898)&lt;='Assumptions and Catalog'!$C$51,((D898+E898)*C898)*'Assumptions and Catalog'!$H$51+'Assumptions and Catalog'!$E$51+'Assumptions and Catalog'!$F$51,IF(((D898+E898)*C898)&lt;='Assumptions and Catalog'!$C$52,((D898+E898)*C898)*'Assumptions and Catalog'!$H$52+'Assumptions and Catalog'!$E$52+'Assumptions and Catalog'!$F$52,IF(((D898+E898)*C898)&lt;='Assumptions and Catalog'!$C$53,((D898+E898)*C898)*'Assumptions and Catalog'!$H$53+'Assumptions and Catalog'!$E$53+'Assumptions and Catalog'!$F$53,IF(((D898+E898)*C898)&lt;='Assumptions and Catalog'!$C$54,((D898+E898)*C898)*'Assumptions and Catalog'!$H$54+'Assumptions and Catalog'!$E$54+'Assumptions and Catalog'!$F$54,IF(((D898+E898)*C898)&lt;='Assumptions and Catalog'!$C$55,((D898+E898)*C898)*'Assumptions and Catalog'!$H$55+'Assumptions and Catalog'!$E$55+'Assumptions and Catalog'!$F$55,IF(((D898+E898)*C898)&lt;='Assumptions and Catalog'!$C$56,((D898+E898)*C898)*'Assumptions and Catalog'!$H$56+'Assumptions and Catalog'!$E$56+'Assumptions and Catalog'!$F$56,IF(((D898+E898)*C898)&lt;='Assumptions and Catalog'!$C$57,((D898+E898)*C898)*'Assumptions and Catalog'!$H$57+'Assumptions and Catalog'!$E$57+'Assumptions and Catalog'!$F$57,"Out of range")))))))),IF(((D898+E898)*C898)&lt;='Assumptions and Catalog'!$C$60,((D898+E898)*C898)*'Assumptions and Catalog'!$H$60+'Assumptions and Catalog'!$E$60+'Assumptions and Catalog'!$F$60,IF(((D898+E898)*C898)&lt;='Assumptions and Catalog'!$C$61,((D898+E898)*C898)*'Assumptions and Catalog'!$H$61+'Assumptions and Catalog'!$E$61+'Assumptions and Catalog'!$F$61,IF(((D898+E898)*C898)&lt;='Assumptions and Catalog'!$C$62,((D898+E898)*C898)*'Assumptions and Catalog'!$H$62+'Assumptions and Catalog'!$E$62+'Assumptions and Catalog'!$F$62,IF(((D898+E898)*C898)&lt;='Assumptions and Catalog'!$C$63,((D898+E898)*C898)*'Assumptions and Catalog'!$H$63+'Assumptions and Catalog'!$E$63+'Assumptions and Catalog'!$F$63,IF(((D898+E898)*C898)&lt;='Assumptions and Catalog'!$C$64,((D898+E898)*C898)*'Assumptions and Catalog'!$H$64+'Assumptions and Catalog'!$E$64+'Assumptions and Catalog'!$F$64,IF(((D898+E898)*C898)&lt;='Assumptions and Catalog'!$C$65,((D898+E898)*C898)*'Assumptions and Catalog'!$H$65+'Assumptions and Catalog'!$E$65+'Assumptions and Catalog'!$F$65,"Out of range")))))))))*(1+'Assumptions and Catalog'!$C$8)^(A898-1),0)</f>
        <v>7094.794</v>
      </c>
      <c r="N898" s="5" t="n">
        <f>IF(ISNUMBER(Inputs!$L$5),(IF(Inputs!$L$9="Actual flat rate",L898*Inputs!$L$10,IF(Inputs!$C$9="Residential",IF(L898&lt;='Assumptions and Catalog'!$C$50,L898*'Assumptions and Catalog'!$H$50+'Assumptions and Catalog'!$E$50+'Assumptions and Catalog'!$F$50,IF(L898&lt;='Assumptions and Catalog'!$C$51,L898*'Assumptions and Catalog'!$H$51+'Assumptions and Catalog'!$E$51+'Assumptions and Catalog'!$F$51,IF(L898&lt;='Assumptions and Catalog'!$C$52,L898*'Assumptions and Catalog'!$H$52+'Assumptions and Catalog'!$E$52+'Assumptions and Catalog'!$F$52,IF(L898&lt;='Assumptions and Catalog'!$C$53,L898*'Assumptions and Catalog'!$H$53+'Assumptions and Catalog'!$E$53+'Assumptions and Catalog'!$F$53,IF(L898&lt;='Assumptions and Catalog'!$C$54,L898*'Assumptions and Catalog'!$H$54+'Assumptions and Catalog'!$E$54+'Assumptions and Catalog'!$F$54,IF(L898&lt;='Assumptions and Catalog'!$C$55,L898*'Assumptions and Catalog'!$H$55+'Assumptions and Catalog'!$E$55+'Assumptions and Catalog'!$F$55,IF(L898&lt;='Assumptions and Catalog'!$C$56,L898*'Assumptions and Catalog'!$H$56+'Assumptions and Catalog'!$E$56+'Assumptions and Catalog'!$F$56,IF(L898&lt;='Assumptions and Catalog'!$C$57,L898*'Assumptions and Catalog'!$H$57+'Assumptions and Catalog'!$E$57+'Assumptions and Catalog'!$F$57,"Out of range")))))))),IF(L898&lt;='Assumptions and Catalog'!$C$60,L898*'Assumptions and Catalog'!$H$60+'Assumptions and Catalog'!$E$60+'Assumptions and Catalog'!$F$60,IF(L898&lt;='Assumptions and Catalog'!$C$61,L898*'Assumptions and Catalog'!$H$61+'Assumptions and Catalog'!$E$61+'Assumptions and Catalog'!$F$61,IF(L898&lt;='Assumptions and Catalog'!$C$62,L898*'Assumptions and Catalog'!$H$62+'Assumptions and Catalog'!$E$62+'Assumptions and Catalog'!$F$62,IF(L898&lt;='Assumptions and Catalog'!$C$63,L898*'Assumptions and Catalog'!$H$63+'Assumptions and Catalog'!$E$63+'Assumptions and Catalog'!$F$63,IF(L898&lt;='Assumptions and Catalog'!$C$64,L898*'Assumptions and Catalog'!$H$64+'Assumptions and Catalog'!$E$64+'Assumptions and Catalog'!$F$64,IF(L898&lt;='Assumptions and Catalog'!$C$65,L898*'Assumptions and Catalog'!$H$65+'Assumptions and Catalog'!$E$65+'Assumptions and Catalog'!$F$65,"Out of range")))))))))*(1+'Assumptions and Catalog'!$C$8)^(A898-1),0)</f>
        <v>2715.06079938419</v>
      </c>
      <c r="O898" s="5" t="n">
        <f>M898-N898</f>
        <v>4379.73320061581</v>
      </c>
      <c r="P898" s="5" t="n">
        <f>E$55*(1-L$14)*(1-'Assumptions and Catalog'!$C$23)^R898</f>
        <v>8.53757708421274</v>
      </c>
      <c r="Q898" s="5" t="n">
        <f>IF(ISNUMBER(Inputs!$L$5),(IF(Inputs!$L$9="Actual flat rate",((D898+E898)*C898-G898)*Inputs!$L$10,IF(Inputs!$C$9="Residential",IF(((D898+E898)*C898-G898)&lt;='Assumptions and Catalog'!$C$50,((D898+E898)*C898-G898)*'Assumptions and Catalog'!$H$50+'Assumptions and Catalog'!$E$50+'Assumptions and Catalog'!$F$50,IF(((D898+E898)*C898-G898)&lt;='Assumptions and Catalog'!$C$51,((D898+E898)*C898-G898)*'Assumptions and Catalog'!$H$51+'Assumptions and Catalog'!$E$51+'Assumptions and Catalog'!$F$51,IF(((D898+E898)*C898-G898)&lt;='Assumptions and Catalog'!$C$52,((D898+E898)*C898-G898)*'Assumptions and Catalog'!$H$52+'Assumptions and Catalog'!$E$52+'Assumptions and Catalog'!$F$52,IF(((D898+E898)*C898-G898)&lt;='Assumptions and Catalog'!$C$53,((D898+E898)*C898-G898)*'Assumptions and Catalog'!$H$53+'Assumptions and Catalog'!$E$53+'Assumptions and Catalog'!$F$53,IF(((D898+E898)*C898-G898)&lt;='Assumptions and Catalog'!$C$54,((D898+E898)*C898-G898)*'Assumptions and Catalog'!$H$54+'Assumptions and Catalog'!$E$54+'Assumptions and Catalog'!$F$54,IF(((D898+E898)*C898-G898)&lt;='Assumptions and Catalog'!$C$55,((D898+E898)*C898-G898)*'Assumptions and Catalog'!$H$55+'Assumptions and Catalog'!$E$55+'Assumptions and Catalog'!$F$55,IF(((D898+E898)*C898-G898)&lt;='Assumptions and Catalog'!$C$56,((D898+E898)*C898-G898)*'Assumptions and Catalog'!$H$56+'Assumptions and Catalog'!$E$56+'Assumptions and Catalog'!$F$56,IF(((D898+E898)*C898-G898)&lt;='Assumptions and Catalog'!$C$57,((D898+E898)*C898-G898)*'Assumptions and Catalog'!$H$57+'Assumptions and Catalog'!$E$57+'Assumptions and Catalog'!$F$57,"Out of range")))))))),IF(((D898+E898)*C898-G898)&lt;='Assumptions and Catalog'!$C$60,((D898+E898)*C898-G898)*'Assumptions and Catalog'!$H$60+'Assumptions and Catalog'!$E$60+'Assumptions and Catalog'!$F$60,IF(((D898+E898)*C898-G898)&lt;='Assumptions and Catalog'!$C$61,((D898+E898)*C898-G898)*'Assumptions and Catalog'!$H$61+'Assumptions and Catalog'!$E$61+'Assumptions and Catalog'!$F$61,IF(((D898+E898)*C898-G898)&lt;='Assumptions and Catalog'!$C$62,((D898+E898)*C898-G898)*'Assumptions and Catalog'!$H$62+'Assumptions and Catalog'!$E$62+'Assumptions and Catalog'!$F$62,IF(((D898+E898)*C898-G898)&lt;='Assumptions and Catalog'!$C$63,((D898+E898)*C898-G898)*'Assumptions and Catalog'!$H$63+'Assumptions and Catalog'!$E$63+'Assumptions and Catalog'!$F$63,IF(((D898+E898)*C898-G898)&lt;='Assumptions and Catalog'!$C$64,((D898+E898)*C898-G898)*'Assumptions and Catalog'!$H$64+'Assumptions and Catalog'!$E$64+'Assumptions and Catalog'!$F$64,IF(((D898+E898)*C898-G898)&lt;='Assumptions and Catalog'!$C$65,((D898+E898)*C898-G898)*'Assumptions and Catalog'!$H$65+'Assumptions and Catalog'!$E$65+'Assumptions and Catalog'!$F$65,"Out of range")))))))))*(1+'Assumptions and Catalog'!$C$8)^(A898-1),0)</f>
        <v>3567.397</v>
      </c>
      <c r="R898" s="5" t="n">
        <f>IF(AND('Assumptions and Catalog'!$C$19&gt;0,A898&gt;='Assumptions and Catalog'!$C$19),A898-'Assumptions and Catalog'!$C$19,A898-1)</f>
        <v>9</v>
      </c>
      <c r="S898" s="5" t="n">
        <f>F898+L898-(D898+E898)*C898-J898-K898-IF(E$52&gt;0,'Assumptions and Catalog'!$C$26*C898,0)</f>
        <v>-1.13686837721616E-013</v>
      </c>
      <c r="T898" s="5"/>
      <c r="U898" s="5"/>
    </row>
    <row r="899" ht="23.100000381469727" customHeight="1">
      <c r="A899" s="5" t="n">
        <v>20</v>
      </c>
      <c r="B899" s="5" t="n">
        <v>11</v>
      </c>
      <c r="C899" s="5" t="n">
        <f>DAY(DATE('Assumptions and Catalog'!$C$24+A899-1,B899+1,0))</f>
        <v>30</v>
      </c>
      <c r="D899" s="5" t="n">
        <f>IF(ISNUMBER(Inputs!$L$5),Inputs!$L$5*Inputs!$L$6,0)</f>
        <v>40.35</v>
      </c>
      <c r="E899" s="5" t="n">
        <f>IF(ISNUMBER(Inputs!$L$5),Inputs!$L$5-D899,0)</f>
        <v>40.35</v>
      </c>
      <c r="F899" s="5" t="n">
        <f>E$51*INDEX('Solar Production'!$D$20:$D$31,B899)*C899*(1-'Assumptions and Catalog'!$C$10)^(A899-1)</f>
        <v>1369.79846463855</v>
      </c>
      <c r="G899" s="5" t="n">
        <f>MIN(F899,D899*C899)</f>
        <v>1210.5</v>
      </c>
      <c r="H899" s="5" t="n">
        <f>I899/('Assumptions and Catalog'!$C$11*'Assumptions and Catalog'!$C$12)</f>
        <v>159.298464638551</v>
      </c>
      <c r="I899" s="5" t="n">
        <f>MIN(E899*C899,P899*'Assumptions and Catalog'!$C$12*C899,(F899-G899)*'Assumptions and Catalog'!$C$11*'Assumptions and Catalog'!$C$12,E$56*'Assumptions and Catalog'!$C$14*'Assumptions and Catalog'!$C$11*'Assumptions and Catalog'!$C$12*C899,E$57*(24-'Assumptions and Catalog'!$C$13)*C899)</f>
        <v>151.433102947022</v>
      </c>
      <c r="J899" s="5" t="n">
        <f>MAX(F899-G899-H899,0)</f>
        <v>0</v>
      </c>
      <c r="K899" s="5" t="n">
        <f>H899-I899</f>
        <v>7.86536169152845</v>
      </c>
      <c r="L899" s="5" t="n">
        <f>(D899+E899)*C899-G899-I899+0+IF(E$52&gt;0,'Assumptions and Catalog'!$C$26*C899,0)</f>
        <v>1059.06689705298</v>
      </c>
      <c r="M899" s="5" t="n">
        <f>IF(ISNUMBER(Inputs!$L$5),(IF(Inputs!$L$9="Actual flat rate",((D899+E899)*C899)*Inputs!$L$10,IF(Inputs!$C$9="Residential",IF(((D899+E899)*C899)&lt;='Assumptions and Catalog'!$C$50,((D899+E899)*C899)*'Assumptions and Catalog'!$H$50+'Assumptions and Catalog'!$E$50+'Assumptions and Catalog'!$F$50,IF(((D899+E899)*C899)&lt;='Assumptions and Catalog'!$C$51,((D899+E899)*C899)*'Assumptions and Catalog'!$H$51+'Assumptions and Catalog'!$E$51+'Assumptions and Catalog'!$F$51,IF(((D899+E899)*C899)&lt;='Assumptions and Catalog'!$C$52,((D899+E899)*C899)*'Assumptions and Catalog'!$H$52+'Assumptions and Catalog'!$E$52+'Assumptions and Catalog'!$F$52,IF(((D899+E899)*C899)&lt;='Assumptions and Catalog'!$C$53,((D899+E899)*C899)*'Assumptions and Catalog'!$H$53+'Assumptions and Catalog'!$E$53+'Assumptions and Catalog'!$F$53,IF(((D899+E899)*C899)&lt;='Assumptions and Catalog'!$C$54,((D899+E899)*C899)*'Assumptions and Catalog'!$H$54+'Assumptions and Catalog'!$E$54+'Assumptions and Catalog'!$F$54,IF(((D899+E899)*C899)&lt;='Assumptions and Catalog'!$C$55,((D899+E899)*C899)*'Assumptions and Catalog'!$H$55+'Assumptions and Catalog'!$E$55+'Assumptions and Catalog'!$F$55,IF(((D899+E899)*C899)&lt;='Assumptions and Catalog'!$C$56,((D899+E899)*C899)*'Assumptions and Catalog'!$H$56+'Assumptions and Catalog'!$E$56+'Assumptions and Catalog'!$F$56,IF(((D899+E899)*C899)&lt;='Assumptions and Catalog'!$C$57,((D899+E899)*C899)*'Assumptions and Catalog'!$H$57+'Assumptions and Catalog'!$E$57+'Assumptions and Catalog'!$F$57,"Out of range")))))))),IF(((D899+E899)*C899)&lt;='Assumptions and Catalog'!$C$60,((D899+E899)*C899)*'Assumptions and Catalog'!$H$60+'Assumptions and Catalog'!$E$60+'Assumptions and Catalog'!$F$60,IF(((D899+E899)*C899)&lt;='Assumptions and Catalog'!$C$61,((D899+E899)*C899)*'Assumptions and Catalog'!$H$61+'Assumptions and Catalog'!$E$61+'Assumptions and Catalog'!$F$61,IF(((D899+E899)*C899)&lt;='Assumptions and Catalog'!$C$62,((D899+E899)*C899)*'Assumptions and Catalog'!$H$62+'Assumptions and Catalog'!$E$62+'Assumptions and Catalog'!$F$62,IF(((D899+E899)*C899)&lt;='Assumptions and Catalog'!$C$63,((D899+E899)*C899)*'Assumptions and Catalog'!$H$63+'Assumptions and Catalog'!$E$63+'Assumptions and Catalog'!$F$63,IF(((D899+E899)*C899)&lt;='Assumptions and Catalog'!$C$64,((D899+E899)*C899)*'Assumptions and Catalog'!$H$64+'Assumptions and Catalog'!$E$64+'Assumptions and Catalog'!$F$64,IF(((D899+E899)*C899)&lt;='Assumptions and Catalog'!$C$65,((D899+E899)*C899)*'Assumptions and Catalog'!$H$65+'Assumptions and Catalog'!$E$65+'Assumptions and Catalog'!$F$65,"Out of range")))))))))*(1+'Assumptions and Catalog'!$C$8)^(A899-1),0)</f>
        <v>6867.22</v>
      </c>
      <c r="N899" s="5" t="n">
        <f>IF(ISNUMBER(Inputs!$L$5),(IF(Inputs!$L$9="Actual flat rate",L899*Inputs!$L$10,IF(Inputs!$C$9="Residential",IF(L899&lt;='Assumptions and Catalog'!$C$50,L899*'Assumptions and Catalog'!$H$50+'Assumptions and Catalog'!$E$50+'Assumptions and Catalog'!$F$50,IF(L899&lt;='Assumptions and Catalog'!$C$51,L899*'Assumptions and Catalog'!$H$51+'Assumptions and Catalog'!$E$51+'Assumptions and Catalog'!$F$51,IF(L899&lt;='Assumptions and Catalog'!$C$52,L899*'Assumptions and Catalog'!$H$52+'Assumptions and Catalog'!$E$52+'Assumptions and Catalog'!$F$52,IF(L899&lt;='Assumptions and Catalog'!$C$53,L899*'Assumptions and Catalog'!$H$53+'Assumptions and Catalog'!$E$53+'Assumptions and Catalog'!$F$53,IF(L899&lt;='Assumptions and Catalog'!$C$54,L899*'Assumptions and Catalog'!$H$54+'Assumptions and Catalog'!$E$54+'Assumptions and Catalog'!$F$54,IF(L899&lt;='Assumptions and Catalog'!$C$55,L899*'Assumptions and Catalog'!$H$55+'Assumptions and Catalog'!$E$55+'Assumptions and Catalog'!$F$55,IF(L899&lt;='Assumptions and Catalog'!$C$56,L899*'Assumptions and Catalog'!$H$56+'Assumptions and Catalog'!$E$56+'Assumptions and Catalog'!$F$56,IF(L899&lt;='Assumptions and Catalog'!$C$57,L899*'Assumptions and Catalog'!$H$57+'Assumptions and Catalog'!$E$57+'Assumptions and Catalog'!$F$57,"Out of range")))))))),IF(L899&lt;='Assumptions and Catalog'!$C$60,L899*'Assumptions and Catalog'!$H$60+'Assumptions and Catalog'!$E$60+'Assumptions and Catalog'!$F$60,IF(L899&lt;='Assumptions and Catalog'!$C$61,L899*'Assumptions and Catalog'!$H$61+'Assumptions and Catalog'!$E$61+'Assumptions and Catalog'!$F$61,IF(L899&lt;='Assumptions and Catalog'!$C$62,L899*'Assumptions and Catalog'!$H$62+'Assumptions and Catalog'!$E$62+'Assumptions and Catalog'!$F$62,IF(L899&lt;='Assumptions and Catalog'!$C$63,L899*'Assumptions and Catalog'!$H$63+'Assumptions and Catalog'!$E$63+'Assumptions and Catalog'!$F$63,IF(L899&lt;='Assumptions and Catalog'!$C$64,L899*'Assumptions and Catalog'!$H$64+'Assumptions and Catalog'!$E$64+'Assumptions and Catalog'!$F$64,IF(L899&lt;='Assumptions and Catalog'!$C$65,L899*'Assumptions and Catalog'!$H$65+'Assumptions and Catalog'!$E$65+'Assumptions and Catalog'!$F$65,"Out of range")))))))))*(1+'Assumptions and Catalog'!$C$8)^(A899-1),0)</f>
        <v>3026.5686496894</v>
      </c>
      <c r="O899" s="5" t="n">
        <f>M899-N899</f>
        <v>3840.6513503106</v>
      </c>
      <c r="P899" s="5" t="n">
        <f>E$55*(1-L$14)*(1-'Assumptions and Catalog'!$C$23)^R899</f>
        <v>8.53757708421274</v>
      </c>
      <c r="Q899" s="5" t="n">
        <f>IF(ISNUMBER(Inputs!$L$5),(IF(Inputs!$L$9="Actual flat rate",((D899+E899)*C899-G899)*Inputs!$L$10,IF(Inputs!$C$9="Residential",IF(((D899+E899)*C899-G899)&lt;='Assumptions and Catalog'!$C$50,((D899+E899)*C899-G899)*'Assumptions and Catalog'!$H$50+'Assumptions and Catalog'!$E$50+'Assumptions and Catalog'!$F$50,IF(((D899+E899)*C899-G899)&lt;='Assumptions and Catalog'!$C$51,((D899+E899)*C899-G899)*'Assumptions and Catalog'!$H$51+'Assumptions and Catalog'!$E$51+'Assumptions and Catalog'!$F$51,IF(((D899+E899)*C899-G899)&lt;='Assumptions and Catalog'!$C$52,((D899+E899)*C899-G899)*'Assumptions and Catalog'!$H$52+'Assumptions and Catalog'!$E$52+'Assumptions and Catalog'!$F$52,IF(((D899+E899)*C899-G899)&lt;='Assumptions and Catalog'!$C$53,((D899+E899)*C899-G899)*'Assumptions and Catalog'!$H$53+'Assumptions and Catalog'!$E$53+'Assumptions and Catalog'!$F$53,IF(((D899+E899)*C899-G899)&lt;='Assumptions and Catalog'!$C$54,((D899+E899)*C899-G899)*'Assumptions and Catalog'!$H$54+'Assumptions and Catalog'!$E$54+'Assumptions and Catalog'!$F$54,IF(((D899+E899)*C899-G899)&lt;='Assumptions and Catalog'!$C$55,((D899+E899)*C899-G899)*'Assumptions and Catalog'!$H$55+'Assumptions and Catalog'!$E$55+'Assumptions and Catalog'!$F$55,IF(((D899+E899)*C899-G899)&lt;='Assumptions and Catalog'!$C$56,((D899+E899)*C899-G899)*'Assumptions and Catalog'!$H$56+'Assumptions and Catalog'!$E$56+'Assumptions and Catalog'!$F$56,IF(((D899+E899)*C899-G899)&lt;='Assumptions and Catalog'!$C$57,((D899+E899)*C899-G899)*'Assumptions and Catalog'!$H$57+'Assumptions and Catalog'!$E$57+'Assumptions and Catalog'!$F$57,"Out of range")))))))),IF(((D899+E899)*C899-G899)&lt;='Assumptions and Catalog'!$C$60,((D899+E899)*C899-G899)*'Assumptions and Catalog'!$H$60+'Assumptions and Catalog'!$E$60+'Assumptions and Catalog'!$F$60,IF(((D899+E899)*C899-G899)&lt;='Assumptions and Catalog'!$C$61,((D899+E899)*C899-G899)*'Assumptions and Catalog'!$H$61+'Assumptions and Catalog'!$E$61+'Assumptions and Catalog'!$F$61,IF(((D899+E899)*C899-G899)&lt;='Assumptions and Catalog'!$C$62,((D899+E899)*C899-G899)*'Assumptions and Catalog'!$H$62+'Assumptions and Catalog'!$E$62+'Assumptions and Catalog'!$F$62,IF(((D899+E899)*C899-G899)&lt;='Assumptions and Catalog'!$C$63,((D899+E899)*C899-G899)*'Assumptions and Catalog'!$H$63+'Assumptions and Catalog'!$E$63+'Assumptions and Catalog'!$F$63,IF(((D899+E899)*C899-G899)&lt;='Assumptions and Catalog'!$C$64,((D899+E899)*C899-G899)*'Assumptions and Catalog'!$H$64+'Assumptions and Catalog'!$E$64+'Assumptions and Catalog'!$F$64,IF(((D899+E899)*C899-G899)&lt;='Assumptions and Catalog'!$C$65,((D899+E899)*C899-G899)*'Assumptions and Catalog'!$H$65+'Assumptions and Catalog'!$E$65+'Assumptions and Catalog'!$F$65,"Out of range")))))))))*(1+'Assumptions and Catalog'!$C$8)^(A899-1),0)</f>
        <v>3453.61</v>
      </c>
      <c r="R899" s="5" t="n">
        <f>IF(AND('Assumptions and Catalog'!$C$19&gt;0,A899&gt;='Assumptions and Catalog'!$C$19),A899-'Assumptions and Catalog'!$C$19,A899-1)</f>
        <v>9</v>
      </c>
      <c r="S899" s="5" t="n">
        <f>F899+L899-(D899+E899)*C899-J899-K899-IF(E$52&gt;0,'Assumptions and Catalog'!$C$26*C899,0)</f>
        <v>5.6843418860808E-014</v>
      </c>
      <c r="T899" s="5"/>
      <c r="U899" s="5"/>
    </row>
    <row r="900" ht="23.100000381469727" customHeight="1">
      <c r="A900" s="5" t="n">
        <v>20</v>
      </c>
      <c r="B900" s="5" t="n">
        <v>12</v>
      </c>
      <c r="C900" s="5" t="n">
        <f>DAY(DATE('Assumptions and Catalog'!$C$24+A900-1,B900+1,0))</f>
        <v>31</v>
      </c>
      <c r="D900" s="5" t="n">
        <f>IF(ISNUMBER(Inputs!$L$5),Inputs!$L$5*Inputs!$L$6,0)</f>
        <v>40.35</v>
      </c>
      <c r="E900" s="5" t="n">
        <f>IF(ISNUMBER(Inputs!$L$5),Inputs!$L$5-D900,0)</f>
        <v>40.35</v>
      </c>
      <c r="F900" s="5" t="n">
        <f>E$51*INDEX('Solar Production'!$D$20:$D$31,B900)*C900*(1-'Assumptions and Catalog'!$C$10)^(A900-1)</f>
        <v>1304.09374161398</v>
      </c>
      <c r="G900" s="5" t="n">
        <f>MIN(F900,D900*C900)</f>
        <v>1250.85</v>
      </c>
      <c r="H900" s="5" t="n">
        <f>I900/('Assumptions and Catalog'!$C$11*'Assumptions and Catalog'!$C$12)</f>
        <v>53.2437416139815</v>
      </c>
      <c r="I900" s="5" t="n">
        <f>MIN(E900*C900,P900*'Assumptions and Catalog'!$C$12*C900,(F900-G900)*'Assumptions and Catalog'!$C$11*'Assumptions and Catalog'!$C$12,E$56*'Assumptions and Catalog'!$C$14*'Assumptions and Catalog'!$C$11*'Assumptions and Catalog'!$C$12*C900,E$57*(24-'Assumptions and Catalog'!$C$13)*C900)</f>
        <v>50.6148318717911</v>
      </c>
      <c r="J900" s="5" t="n">
        <f>MAX(F900-G900-H900,0)</f>
        <v>0</v>
      </c>
      <c r="K900" s="5" t="n">
        <f>H900-I900</f>
        <v>2.62890974219034</v>
      </c>
      <c r="L900" s="5" t="n">
        <f>(D900+E900)*C900-G900-I900+0+IF(E$52&gt;0,'Assumptions and Catalog'!$C$26*C900,0)</f>
        <v>1200.23516812821</v>
      </c>
      <c r="M900" s="5" t="n">
        <f>IF(ISNUMBER(Inputs!$L$5),(IF(Inputs!$L$9="Actual flat rate",((D900+E900)*C900)*Inputs!$L$10,IF(Inputs!$C$9="Residential",IF(((D900+E900)*C900)&lt;='Assumptions and Catalog'!$C$50,((D900+E900)*C900)*'Assumptions and Catalog'!$H$50+'Assumptions and Catalog'!$E$50+'Assumptions and Catalog'!$F$50,IF(((D900+E900)*C900)&lt;='Assumptions and Catalog'!$C$51,((D900+E900)*C900)*'Assumptions and Catalog'!$H$51+'Assumptions and Catalog'!$E$51+'Assumptions and Catalog'!$F$51,IF(((D900+E900)*C900)&lt;='Assumptions and Catalog'!$C$52,((D900+E900)*C900)*'Assumptions and Catalog'!$H$52+'Assumptions and Catalog'!$E$52+'Assumptions and Catalog'!$F$52,IF(((D900+E900)*C900)&lt;='Assumptions and Catalog'!$C$53,((D900+E900)*C900)*'Assumptions and Catalog'!$H$53+'Assumptions and Catalog'!$E$53+'Assumptions and Catalog'!$F$53,IF(((D900+E900)*C900)&lt;='Assumptions and Catalog'!$C$54,((D900+E900)*C900)*'Assumptions and Catalog'!$H$54+'Assumptions and Catalog'!$E$54+'Assumptions and Catalog'!$F$54,IF(((D900+E900)*C900)&lt;='Assumptions and Catalog'!$C$55,((D900+E900)*C900)*'Assumptions and Catalog'!$H$55+'Assumptions and Catalog'!$E$55+'Assumptions and Catalog'!$F$55,IF(((D900+E900)*C900)&lt;='Assumptions and Catalog'!$C$56,((D900+E900)*C900)*'Assumptions and Catalog'!$H$56+'Assumptions and Catalog'!$E$56+'Assumptions and Catalog'!$F$56,IF(((D900+E900)*C900)&lt;='Assumptions and Catalog'!$C$57,((D900+E900)*C900)*'Assumptions and Catalog'!$H$57+'Assumptions and Catalog'!$E$57+'Assumptions and Catalog'!$F$57,"Out of range")))))))),IF(((D900+E900)*C900)&lt;='Assumptions and Catalog'!$C$60,((D900+E900)*C900)*'Assumptions and Catalog'!$H$60+'Assumptions and Catalog'!$E$60+'Assumptions and Catalog'!$F$60,IF(((D900+E900)*C900)&lt;='Assumptions and Catalog'!$C$61,((D900+E900)*C900)*'Assumptions and Catalog'!$H$61+'Assumptions and Catalog'!$E$61+'Assumptions and Catalog'!$F$61,IF(((D900+E900)*C900)&lt;='Assumptions and Catalog'!$C$62,((D900+E900)*C900)*'Assumptions and Catalog'!$H$62+'Assumptions and Catalog'!$E$62+'Assumptions and Catalog'!$F$62,IF(((D900+E900)*C900)&lt;='Assumptions and Catalog'!$C$63,((D900+E900)*C900)*'Assumptions and Catalog'!$H$63+'Assumptions and Catalog'!$E$63+'Assumptions and Catalog'!$F$63,IF(((D900+E900)*C900)&lt;='Assumptions and Catalog'!$C$64,((D900+E900)*C900)*'Assumptions and Catalog'!$H$64+'Assumptions and Catalog'!$E$64+'Assumptions and Catalog'!$F$64,IF(((D900+E900)*C900)&lt;='Assumptions and Catalog'!$C$65,((D900+E900)*C900)*'Assumptions and Catalog'!$H$65+'Assumptions and Catalog'!$E$65+'Assumptions and Catalog'!$F$65,"Out of range")))))))))*(1+'Assumptions and Catalog'!$C$8)^(A900-1),0)</f>
        <v>7094.794</v>
      </c>
      <c r="N900" s="5" t="n">
        <f>IF(ISNUMBER(Inputs!$L$5),(IF(Inputs!$L$9="Actual flat rate",L900*Inputs!$L$10,IF(Inputs!$C$9="Residential",IF(L900&lt;='Assumptions and Catalog'!$C$50,L900*'Assumptions and Catalog'!$H$50+'Assumptions and Catalog'!$E$50+'Assumptions and Catalog'!$F$50,IF(L900&lt;='Assumptions and Catalog'!$C$51,L900*'Assumptions and Catalog'!$H$51+'Assumptions and Catalog'!$E$51+'Assumptions and Catalog'!$F$51,IF(L900&lt;='Assumptions and Catalog'!$C$52,L900*'Assumptions and Catalog'!$H$52+'Assumptions and Catalog'!$E$52+'Assumptions and Catalog'!$F$52,IF(L900&lt;='Assumptions and Catalog'!$C$53,L900*'Assumptions and Catalog'!$H$53+'Assumptions and Catalog'!$E$53+'Assumptions and Catalog'!$F$53,IF(L900&lt;='Assumptions and Catalog'!$C$54,L900*'Assumptions and Catalog'!$H$54+'Assumptions and Catalog'!$E$54+'Assumptions and Catalog'!$F$54,IF(L900&lt;='Assumptions and Catalog'!$C$55,L900*'Assumptions and Catalog'!$H$55+'Assumptions and Catalog'!$E$55+'Assumptions and Catalog'!$F$55,IF(L900&lt;='Assumptions and Catalog'!$C$56,L900*'Assumptions and Catalog'!$H$56+'Assumptions and Catalog'!$E$56+'Assumptions and Catalog'!$F$56,IF(L900&lt;='Assumptions and Catalog'!$C$57,L900*'Assumptions and Catalog'!$H$57+'Assumptions and Catalog'!$E$57+'Assumptions and Catalog'!$F$57,"Out of range")))))))),IF(L900&lt;='Assumptions and Catalog'!$C$60,L900*'Assumptions and Catalog'!$H$60+'Assumptions and Catalog'!$E$60+'Assumptions and Catalog'!$F$60,IF(L900&lt;='Assumptions and Catalog'!$C$61,L900*'Assumptions and Catalog'!$H$61+'Assumptions and Catalog'!$E$61+'Assumptions and Catalog'!$F$61,IF(L900&lt;='Assumptions and Catalog'!$C$62,L900*'Assumptions and Catalog'!$H$62+'Assumptions and Catalog'!$E$62+'Assumptions and Catalog'!$F$62,IF(L900&lt;='Assumptions and Catalog'!$C$63,L900*'Assumptions and Catalog'!$H$63+'Assumptions and Catalog'!$E$63+'Assumptions and Catalog'!$F$63,IF(L900&lt;='Assumptions and Catalog'!$C$64,L900*'Assumptions and Catalog'!$H$64+'Assumptions and Catalog'!$E$64+'Assumptions and Catalog'!$F$64,IF(L900&lt;='Assumptions and Catalog'!$C$65,L900*'Assumptions and Catalog'!$H$65+'Assumptions and Catalog'!$E$65+'Assumptions and Catalog'!$F$65,"Out of range")))))))))*(1+'Assumptions and Catalog'!$C$8)^(A900-1),0)</f>
        <v>3424.66317412155</v>
      </c>
      <c r="O900" s="5" t="n">
        <f>M900-N900</f>
        <v>3670.13082587845</v>
      </c>
      <c r="P900" s="5" t="n">
        <f>E$55*(1-L$14)*(1-'Assumptions and Catalog'!$C$23)^R900</f>
        <v>8.53757708421274</v>
      </c>
      <c r="Q900" s="5" t="n">
        <f>IF(ISNUMBER(Inputs!$L$5),(IF(Inputs!$L$9="Actual flat rate",((D900+E900)*C900-G900)*Inputs!$L$10,IF(Inputs!$C$9="Residential",IF(((D900+E900)*C900-G900)&lt;='Assumptions and Catalog'!$C$50,((D900+E900)*C900-G900)*'Assumptions and Catalog'!$H$50+'Assumptions and Catalog'!$E$50+'Assumptions and Catalog'!$F$50,IF(((D900+E900)*C900-G900)&lt;='Assumptions and Catalog'!$C$51,((D900+E900)*C900-G900)*'Assumptions and Catalog'!$H$51+'Assumptions and Catalog'!$E$51+'Assumptions and Catalog'!$F$51,IF(((D900+E900)*C900-G900)&lt;='Assumptions and Catalog'!$C$52,((D900+E900)*C900-G900)*'Assumptions and Catalog'!$H$52+'Assumptions and Catalog'!$E$52+'Assumptions and Catalog'!$F$52,IF(((D900+E900)*C900-G900)&lt;='Assumptions and Catalog'!$C$53,((D900+E900)*C900-G900)*'Assumptions and Catalog'!$H$53+'Assumptions and Catalog'!$E$53+'Assumptions and Catalog'!$F$53,IF(((D900+E900)*C900-G900)&lt;='Assumptions and Catalog'!$C$54,((D900+E900)*C900-G900)*'Assumptions and Catalog'!$H$54+'Assumptions and Catalog'!$E$54+'Assumptions and Catalog'!$F$54,IF(((D900+E900)*C900-G900)&lt;='Assumptions and Catalog'!$C$55,((D900+E900)*C900-G900)*'Assumptions and Catalog'!$H$55+'Assumptions and Catalog'!$E$55+'Assumptions and Catalog'!$F$55,IF(((D900+E900)*C900-G900)&lt;='Assumptions and Catalog'!$C$56,((D900+E900)*C900-G900)*'Assumptions and Catalog'!$H$56+'Assumptions and Catalog'!$E$56+'Assumptions and Catalog'!$F$56,IF(((D900+E900)*C900-G900)&lt;='Assumptions and Catalog'!$C$57,((D900+E900)*C900-G900)*'Assumptions and Catalog'!$H$57+'Assumptions and Catalog'!$E$57+'Assumptions and Catalog'!$F$57,"Out of range")))))))),IF(((D900+E900)*C900-G900)&lt;='Assumptions and Catalog'!$C$60,((D900+E900)*C900-G900)*'Assumptions and Catalog'!$H$60+'Assumptions and Catalog'!$E$60+'Assumptions and Catalog'!$F$60,IF(((D900+E900)*C900-G900)&lt;='Assumptions and Catalog'!$C$61,((D900+E900)*C900-G900)*'Assumptions and Catalog'!$H$61+'Assumptions and Catalog'!$E$61+'Assumptions and Catalog'!$F$61,IF(((D900+E900)*C900-G900)&lt;='Assumptions and Catalog'!$C$62,((D900+E900)*C900-G900)*'Assumptions and Catalog'!$H$62+'Assumptions and Catalog'!$E$62+'Assumptions and Catalog'!$F$62,IF(((D900+E900)*C900-G900)&lt;='Assumptions and Catalog'!$C$63,((D900+E900)*C900-G900)*'Assumptions and Catalog'!$H$63+'Assumptions and Catalog'!$E$63+'Assumptions and Catalog'!$F$63,IF(((D900+E900)*C900-G900)&lt;='Assumptions and Catalog'!$C$64,((D900+E900)*C900-G900)*'Assumptions and Catalog'!$H$64+'Assumptions and Catalog'!$E$64+'Assumptions and Catalog'!$F$64,IF(((D900+E900)*C900-G900)&lt;='Assumptions and Catalog'!$C$65,((D900+E900)*C900-G900)*'Assumptions and Catalog'!$H$65+'Assumptions and Catalog'!$E$65+'Assumptions and Catalog'!$F$65,"Out of range")))))))))*(1+'Assumptions and Catalog'!$C$8)^(A900-1),0)</f>
        <v>3567.397</v>
      </c>
      <c r="R900" s="5" t="n">
        <f>IF(AND('Assumptions and Catalog'!$C$19&gt;0,A900&gt;='Assumptions and Catalog'!$C$19),A900-'Assumptions and Catalog'!$C$19,A900-1)</f>
        <v>9</v>
      </c>
      <c r="S900" s="5" t="n">
        <f>F900+L900-(D900+E900)*C900-J900-K900-IF(E$52&gt;0,'Assumptions and Catalog'!$C$26*C900,0)</f>
        <v>-3.48165940522449E-013</v>
      </c>
      <c r="T900" s="5"/>
      <c r="U900" s="5"/>
    </row>
    <row r="920" ht="28" customHeight="1">
      <c r="A920" s="172" t="str">
        <v>LIVE CHECKS AND MESSAGES</v>
      </c>
      <c r="B920" s="172"/>
      <c r="C920" s="172"/>
      <c r="D920" s="172"/>
      <c r="E920" s="172"/>
      <c r="F920" s="172"/>
      <c r="G920" s="172"/>
      <c r="H920" s="172"/>
      <c r="I920" s="172"/>
      <c r="J920" s="172"/>
      <c r="K920" s="172"/>
      <c r="L920" s="172"/>
      <c r="M920" s="172"/>
      <c r="N920" s="172"/>
    </row>
    <row r="921" ht="30" customHeight="1">
      <c r="A921" s="170" t="str">
        <v>Fix ERROR items before using results. WARNING items state limitations; a negative NPV is a financial outcome, not an input error.</v>
      </c>
      <c r="B921" s="170"/>
      <c r="C921" s="170"/>
      <c r="D921" s="170"/>
      <c r="E921" s="170"/>
      <c r="F921" s="170"/>
      <c r="G921" s="170"/>
      <c r="H921" s="170"/>
      <c r="I921" s="170"/>
      <c r="J921" s="170"/>
      <c r="K921" s="170"/>
      <c r="L921" s="170"/>
      <c r="M921" s="170"/>
      <c r="N921" s="170"/>
    </row>
    <row r="922" ht="30" customHeight="1">
      <c r="A922" s="170" t="str">
        <v>These checks update automatically. When saving a scenario manually, copy its checks as values together with its inputs and results.</v>
      </c>
      <c r="B922" s="170"/>
      <c r="C922" s="170"/>
      <c r="D922" s="170"/>
      <c r="E922" s="170"/>
      <c r="F922" s="170"/>
      <c r="G922" s="170"/>
      <c r="H922" s="170"/>
      <c r="I922" s="170"/>
      <c r="J922" s="170"/>
      <c r="K922" s="170"/>
      <c r="L922" s="170"/>
      <c r="M922" s="170"/>
      <c r="N922" s="170"/>
    </row>
    <row r="923">
      <c r="A923" s="170"/>
      <c r="B923" s="170"/>
      <c r="C923" s="170"/>
      <c r="D923" s="170"/>
      <c r="E923" s="170"/>
      <c r="F923" s="170"/>
      <c r="G923" s="170"/>
      <c r="H923" s="170"/>
      <c r="I923" s="170"/>
      <c r="J923" s="170"/>
      <c r="K923" s="170"/>
      <c r="L923" s="170"/>
      <c r="M923" s="170"/>
      <c r="N923" s="170"/>
    </row>
    <row r="924">
      <c r="A924" s="170" t="str">
        <v>Check / setting</v>
      </c>
      <c r="B924" s="170"/>
      <c r="C924" s="170" t="str">
        <v>Solar only</v>
      </c>
      <c r="D924" s="170"/>
      <c r="E924" s="170"/>
      <c r="F924" s="170"/>
      <c r="G924" s="170" t="str">
        <v>Battery only</v>
      </c>
      <c r="H924" s="170"/>
      <c r="I924" s="170"/>
      <c r="J924" s="170"/>
      <c r="K924" s="170" t="str">
        <v>Solar and battery</v>
      </c>
      <c r="L924" s="170"/>
      <c r="M924" s="170"/>
      <c r="N924" s="170"/>
    </row>
    <row r="925">
      <c r="A925" s="170"/>
      <c r="B925" s="170"/>
      <c r="C925" s="170" t="str">
        <f>COUNTIFS(C926:C980,"ERROR:*")&amp;" errors; "&amp;COUNTIFS(C926:C980,"WARNING:*")&amp;" warnings"</f>
        <v>0 errors; 1 warnings</v>
      </c>
      <c r="D925" s="170"/>
      <c r="E925" s="170"/>
      <c r="F925" s="170"/>
      <c r="G925" s="170" t="str">
        <f>COUNTIFS(G926:G980,"ERROR:*")&amp;" errors; "&amp;COUNTIFS(G926:G980,"WARNING:*")&amp;" warnings"</f>
        <v>0 errors; 1 warnings</v>
      </c>
      <c r="H925" s="170"/>
      <c r="I925" s="170"/>
      <c r="J925" s="170"/>
      <c r="K925" s="170" t="str">
        <f>COUNTIFS(K926:K980,"ERROR:*")&amp;" errors; "&amp;COUNTIFS(K926:K980,"WARNING:*")&amp;" warnings"</f>
        <v>0 errors; 2 warnings</v>
      </c>
      <c r="L925" s="170"/>
      <c r="M925" s="170"/>
      <c r="N925" s="170"/>
    </row>
    <row r="926" ht="54" customHeight="1">
      <c r="A926" s="173" t="str">
        <v>Input mode</v>
      </c>
      <c r="B926" s="173"/>
      <c r="C926" s="173" t="str">
        <f>IFERROR(IF(AND(Inputs!C6&lt;&gt;"Bill only",Inputs!C6&lt;&gt;"Consumption only",Inputs!C6&lt;&gt;"Bill and consumption"),"ERROR: Choose an input mode at Inputs!C6.","OK"),"ERROR: Cannot evaluate Input mode check. Fix model / numeric inputs above; see calculation diagnostics below.")</f>
        <v>OK</v>
      </c>
      <c r="D926" s="173"/>
      <c r="E926" s="173"/>
      <c r="F926" s="173"/>
      <c r="G926" s="173" t="str">
        <f>IFERROR(IF(AND(Inputs!C6&lt;&gt;"Bill only",Inputs!C6&lt;&gt;"Consumption only",Inputs!C6&lt;&gt;"Bill and consumption"),"ERROR: Choose an input mode at Inputs!C6.","OK"),"ERROR: Cannot evaluate Input mode check. Fix model / numeric inputs above; see calculation diagnostics below.")</f>
        <v>OK</v>
      </c>
      <c r="H926" s="173"/>
      <c r="I926" s="173"/>
      <c r="J926" s="173"/>
      <c r="K926" s="173" t="str">
        <f>IFERROR(IF(AND(Inputs!C6&lt;&gt;"Bill only",Inputs!C6&lt;&gt;"Consumption only",Inputs!C6&lt;&gt;"Bill and consumption"),"ERROR: Choose an input mode at Inputs!C6.","OK"),"ERROR: Cannot evaluate Input mode check. Fix model / numeric inputs above; see calculation diagnostics below.")</f>
        <v>OK</v>
      </c>
      <c r="L926" s="173"/>
      <c r="M926" s="173"/>
      <c r="N926" s="173"/>
    </row>
    <row r="927" ht="54" customHeight="1">
      <c r="A927" s="174" t="str">
        <v>Monthly consumption</v>
      </c>
      <c r="B927" s="174"/>
      <c r="C927" s="174" t="str">
        <f>IFERROR(IF(AND(Inputs!C6&lt;&gt;"Bill only",OR(COUNT(Inputs!C7)&lt;&gt;1,Inputs!C7&lt;0)),"ERROR: Enter non-negative monthly kWh at Inputs!C7.","OK"),"ERROR: Cannot evaluate Monthly consumption check. Fix model / numeric inputs above; see calculation diagnostics below.")</f>
        <v>OK</v>
      </c>
      <c r="D927" s="174"/>
      <c r="E927" s="174"/>
      <c r="F927" s="174"/>
      <c r="G927" s="174" t="str">
        <f>IFERROR(IF(AND(Inputs!C6&lt;&gt;"Bill only",OR(COUNT(Inputs!C7)&lt;&gt;1,Inputs!C7&lt;0)),"ERROR: Enter non-negative monthly kWh at Inputs!C7.","OK"),"ERROR: Cannot evaluate Monthly consumption check. Fix model / numeric inputs above; see calculation diagnostics below.")</f>
        <v>OK</v>
      </c>
      <c r="H927" s="174"/>
      <c r="I927" s="174"/>
      <c r="J927" s="174"/>
      <c r="K927" s="174" t="str">
        <f>IFERROR(IF(AND(Inputs!C6&lt;&gt;"Bill only",OR(COUNT(Inputs!C7)&lt;&gt;1,Inputs!C7&lt;0)),"ERROR: Enter non-negative monthly kWh at Inputs!C7.","OK"),"ERROR: Cannot evaluate Monthly consumption check. Fix model / numeric inputs above; see calculation diagnostics below.")</f>
        <v>OK</v>
      </c>
      <c r="L927" s="174"/>
      <c r="M927" s="174"/>
      <c r="N927" s="174"/>
    </row>
    <row r="928" ht="54" customHeight="1">
      <c r="A928" s="173" t="str">
        <v>Monthly bill</v>
      </c>
      <c r="B928" s="173"/>
      <c r="C928" s="173" t="str">
        <f>IFERROR(IF(AND(Inputs!C6&lt;&gt;"Consumption only",OR(COUNT(Inputs!C8)&lt;&gt;1,Inputs!C8&lt;0)),"ERROR: Enter a non-negative bill at Inputs!C8.","OK"),"ERROR: Cannot evaluate Monthly bill check. Fix model / numeric inputs above; see calculation diagnostics below.")</f>
        <v>OK</v>
      </c>
      <c r="D928" s="173"/>
      <c r="E928" s="173"/>
      <c r="F928" s="173"/>
      <c r="G928" s="173" t="str">
        <f>IFERROR(IF(AND(Inputs!C6&lt;&gt;"Consumption only",OR(COUNT(Inputs!C8)&lt;&gt;1,Inputs!C8&lt;0)),"ERROR: Enter a non-negative bill at Inputs!C8.","OK"),"ERROR: Cannot evaluate Monthly bill check. Fix model / numeric inputs above; see calculation diagnostics below.")</f>
        <v>OK</v>
      </c>
      <c r="H928" s="173"/>
      <c r="I928" s="173"/>
      <c r="J928" s="173"/>
      <c r="K928" s="173" t="str">
        <f>IFERROR(IF(AND(Inputs!C6&lt;&gt;"Consumption only",OR(COUNT(Inputs!C8)&lt;&gt;1,Inputs!C8&lt;0)),"ERROR: Enter a non-negative bill at Inputs!C8.","OK"),"ERROR: Cannot evaluate Monthly bill check. Fix model / numeric inputs above; see calculation diagnostics below.")</f>
        <v>OK</v>
      </c>
      <c r="L928" s="173"/>
      <c r="M928" s="173"/>
      <c r="N928" s="173"/>
    </row>
    <row r="929" ht="54" customHeight="1">
      <c r="A929" s="174" t="str">
        <v>Billing days</v>
      </c>
      <c r="B929" s="174"/>
      <c r="C929" s="174" t="str">
        <f>IFERROR(IF(OR(COUNT(Inputs!C10)&lt;&gt;1,Inputs!C10&lt;1,MOD(Inputs!C10,1)&lt;&gt;0),"ERROR: Enter positive whole billing days at Inputs!C10.","OK"),"ERROR: Cannot evaluate Billing days check. Fix model / numeric inputs above; see calculation diagnostics below.")</f>
        <v>OK</v>
      </c>
      <c r="D929" s="174"/>
      <c r="E929" s="174"/>
      <c r="F929" s="174"/>
      <c r="G929" s="174" t="str">
        <f>IFERROR(IF(OR(COUNT(Inputs!C10)&lt;&gt;1,Inputs!C10&lt;1,MOD(Inputs!C10,1)&lt;&gt;0),"ERROR: Enter positive whole billing days at Inputs!C10.","OK"),"ERROR: Cannot evaluate Billing days check. Fix model / numeric inputs above; see calculation diagnostics below.")</f>
        <v>OK</v>
      </c>
      <c r="H929" s="174"/>
      <c r="I929" s="174"/>
      <c r="J929" s="174"/>
      <c r="K929" s="174" t="str">
        <f>IFERROR(IF(OR(COUNT(Inputs!C10)&lt;&gt;1,Inputs!C10&lt;1,MOD(Inputs!C10,1)&lt;&gt;0),"ERROR: Enter positive whole billing days at Inputs!C10.","OK"),"ERROR: Cannot evaluate Billing days check. Fix model / numeric inputs above; see calculation diagnostics below.")</f>
        <v>OK</v>
      </c>
      <c r="L929" s="174"/>
      <c r="M929" s="174"/>
      <c r="N929" s="174"/>
    </row>
    <row r="930" ht="54" customHeight="1">
      <c r="A930" s="173" t="str">
        <v>Tariff category</v>
      </c>
      <c r="B930" s="173"/>
      <c r="C930" s="173" t="str">
        <f>IFERROR(IF(AND(Inputs!C9&lt;&gt;"Residential",Inputs!C9&lt;&gt;"Commercial"),"ERROR: Choose Residential or Commercial at Inputs!C9.","OK"),"ERROR: Cannot evaluate Tariff category check. Fix model / numeric inputs above; see calculation diagnostics below.")</f>
        <v>OK</v>
      </c>
      <c r="D930" s="173"/>
      <c r="E930" s="173"/>
      <c r="F930" s="173"/>
      <c r="G930" s="173" t="str">
        <f>IFERROR(IF(AND(Inputs!C9&lt;&gt;"Residential",Inputs!C9&lt;&gt;"Commercial"),"ERROR: Choose Residential or Commercial at Inputs!C9.","OK"),"ERROR: Cannot evaluate Tariff category check. Fix model / numeric inputs above; see calculation diagnostics below.")</f>
        <v>OK</v>
      </c>
      <c r="H930" s="173"/>
      <c r="I930" s="173"/>
      <c r="J930" s="173"/>
      <c r="K930" s="173" t="str">
        <f>IFERROR(IF(AND(Inputs!C9&lt;&gt;"Residential",Inputs!C9&lt;&gt;"Commercial"),"ERROR: Choose Residential or Commercial at Inputs!C9.","OK"),"ERROR: Cannot evaluate Tariff category check. Fix model / numeric inputs above; see calculation diagnostics below.")</f>
        <v>OK</v>
      </c>
      <c r="L930" s="173"/>
      <c r="M930" s="173"/>
      <c r="N930" s="173"/>
    </row>
    <row r="931" ht="54" customHeight="1">
      <c r="A931" s="174" t="str">
        <v>Pricing basis</v>
      </c>
      <c r="B931" s="174"/>
      <c r="C931" s="174" t="str">
        <f>IFERROR(IF(AND(Inputs!C11&lt;&gt;"Official",Inputs!C11&lt;&gt;"Actual flat rate"),"ERROR: Choose a pricing basis at Inputs!C11.","OK"),"ERROR: Cannot evaluate Pricing basis check. Fix model / numeric inputs above; see calculation diagnostics below.")</f>
        <v>OK</v>
      </c>
      <c r="D931" s="174"/>
      <c r="E931" s="174"/>
      <c r="F931" s="174"/>
      <c r="G931" s="174" t="str">
        <f>IFERROR(IF(AND(Inputs!C11&lt;&gt;"Official",Inputs!C11&lt;&gt;"Actual flat rate"),"ERROR: Choose a pricing basis at Inputs!C11.","OK"),"ERROR: Cannot evaluate Pricing basis check. Fix model / numeric inputs above; see calculation diagnostics below.")</f>
        <v>OK</v>
      </c>
      <c r="H931" s="174"/>
      <c r="I931" s="174"/>
      <c r="J931" s="174"/>
      <c r="K931" s="174" t="str">
        <f>IFERROR(IF(AND(Inputs!C11&lt;&gt;"Official",Inputs!C11&lt;&gt;"Actual flat rate"),"ERROR: Choose a pricing basis at Inputs!C11.","OK"),"ERROR: Cannot evaluate Pricing basis check. Fix model / numeric inputs above; see calculation diagnostics below.")</f>
        <v>OK</v>
      </c>
      <c r="L931" s="174"/>
      <c r="M931" s="174"/>
      <c r="N931" s="174"/>
    </row>
    <row r="932" ht="54" customHeight="1">
      <c r="A932" s="173" t="str">
        <v>Actual rate availability</v>
      </c>
      <c r="B932" s="173"/>
      <c r="C932" s="173" t="str">
        <f>IFERROR(IF(AND(Inputs!C11="Actual flat rate",OR(Inputs!C6&lt;&gt;"Bill and consumption",Inputs!C7&lt;=0)),"WARNING: Actual rate needs bill and positive consumption. Review Inputs!C6:C8; current model uses Official.","OK"),"ERROR: Cannot evaluate Actual rate availability check. Fix model / numeric inputs above; see calculation diagnostics below.")</f>
        <v>OK</v>
      </c>
      <c r="D932" s="173"/>
      <c r="E932" s="173"/>
      <c r="F932" s="173"/>
      <c r="G932" s="173" t="str">
        <f>IFERROR(IF(AND(Inputs!C11="Actual flat rate",OR(Inputs!C6&lt;&gt;"Bill and consumption",Inputs!C7&lt;=0)),"WARNING: Actual rate needs bill and positive consumption. Review Inputs!C6:C8; current model uses Official.","OK"),"ERROR: Cannot evaluate Actual rate availability check. Fix model / numeric inputs above; see calculation diagnostics below.")</f>
        <v>OK</v>
      </c>
      <c r="H932" s="173"/>
      <c r="I932" s="173"/>
      <c r="J932" s="173"/>
      <c r="K932" s="173" t="str">
        <f>IFERROR(IF(AND(Inputs!C11="Actual flat rate",OR(Inputs!C6&lt;&gt;"Bill and consumption",Inputs!C7&lt;=0)),"WARNING: Actual rate needs bill and positive consumption. Review Inputs!C6:C8; current model uses Official.","OK"),"ERROR: Cannot evaluate Actual rate availability check. Fix model / numeric inputs above; see calculation diagnostics below.")</f>
        <v>OK</v>
      </c>
      <c r="L932" s="173"/>
      <c r="M932" s="173"/>
      <c r="N932" s="173"/>
    </row>
    <row r="933" ht="54" customHeight="1">
      <c r="A933" s="174" t="str">
        <v>Bill inversion</v>
      </c>
      <c r="B933" s="174"/>
      <c r="C933" s="174" t="str">
        <f>IFERROR(IF(AND(Inputs!C6="Bill only",Inputs!C66&lt;&gt;1),"ERROR: Bill does not identify one consumption value. Review Inputs!C8:C9 or provide kWh.","OK"),"ERROR: Cannot evaluate Bill inversion check. Fix model / numeric inputs above; see calculation diagnostics below.")</f>
        <v>OK</v>
      </c>
      <c r="D933" s="174"/>
      <c r="E933" s="174"/>
      <c r="F933" s="174"/>
      <c r="G933" s="174" t="str">
        <f>IFERROR(IF(AND(Inputs!C6="Bill only",Inputs!C66&lt;&gt;1),"ERROR: Bill does not identify one consumption value. Review Inputs!C8:C9 or provide kWh.","OK"),"ERROR: Cannot evaluate Bill inversion check. Fix model / numeric inputs above; see calculation diagnostics below.")</f>
        <v>OK</v>
      </c>
      <c r="H933" s="174"/>
      <c r="I933" s="174"/>
      <c r="J933" s="174"/>
      <c r="K933" s="174" t="str">
        <f>IFERROR(IF(AND(Inputs!C6="Bill only",Inputs!C66&lt;&gt;1),"ERROR: Bill does not identify one consumption value. Review Inputs!C8:C9 or provide kWh.","OK"),"ERROR: Cannot evaluate Bill inversion check. Fix model / numeric inputs above; see calculation diagnostics below.")</f>
        <v>OK</v>
      </c>
      <c r="L933" s="174"/>
      <c r="M933" s="174"/>
      <c r="N933" s="174"/>
    </row>
    <row r="934" ht="54" customHeight="1">
      <c r="A934" s="173" t="str">
        <v>Area selection</v>
      </c>
      <c r="B934" s="173"/>
      <c r="C934" s="173" t="str">
        <f>IFERROR(IF(AND(Inputs!C14&lt;&gt;"Specified",Inputs!C14&lt;&gt;"Unspecified"),"ERROR: Choose area mode at Inputs!C14.","OK"),"ERROR: Cannot evaluate Area selection check. Fix model / numeric inputs above; see calculation diagnostics below.")</f>
        <v>OK</v>
      </c>
      <c r="D934" s="173"/>
      <c r="E934" s="173"/>
      <c r="F934" s="173"/>
      <c r="G934" s="173" t="str">
        <f>IFERROR(IF(AND(Inputs!C14&lt;&gt;"Specified",Inputs!C14&lt;&gt;"Unspecified"),"ERROR: Choose area mode at Inputs!C14.","OK"),"ERROR: Cannot evaluate Area selection check. Fix model / numeric inputs above; see calculation diagnostics below.")</f>
        <v>OK</v>
      </c>
      <c r="H934" s="173"/>
      <c r="I934" s="173"/>
      <c r="J934" s="173"/>
      <c r="K934" s="173" t="str">
        <f>IFERROR(IF(AND(Inputs!C14&lt;&gt;"Specified",Inputs!C14&lt;&gt;"Unspecified"),"ERROR: Choose area mode at Inputs!C14.","OK"),"ERROR: Cannot evaluate Area selection check. Fix model / numeric inputs above; see calculation diagnostics below.")</f>
        <v>OK</v>
      </c>
      <c r="L934" s="173"/>
      <c r="M934" s="173"/>
      <c r="N934" s="173"/>
    </row>
    <row r="935" ht="54" customHeight="1">
      <c r="A935" s="174" t="str">
        <v>Available area</v>
      </c>
      <c r="B935" s="174"/>
      <c r="C935" s="174" t="str">
        <f>IFERROR(IF(AND(Inputs!C14="Specified",OR(COUNT(Inputs!C15)&lt;&gt;1,Inputs!C15&lt;0.000001)),"ERROR: Enter positive area at Inputs!C15.","OK"),"ERROR: Cannot evaluate Available area check. Fix model / numeric inputs above; see calculation diagnostics below.")</f>
        <v>OK</v>
      </c>
      <c r="D935" s="174"/>
      <c r="E935" s="174"/>
      <c r="F935" s="174"/>
      <c r="G935" s="174" t="str">
        <f>IFERROR(IF(AND(Inputs!C14="Specified",OR(COUNT(Inputs!C15)&lt;&gt;1,Inputs!C15&lt;0.000001)),"ERROR: Enter positive area at Inputs!C15.","OK"),"ERROR: Cannot evaluate Available area check. Fix model / numeric inputs above; see calculation diagnostics below.")</f>
        <v>OK</v>
      </c>
      <c r="H935" s="174"/>
      <c r="I935" s="174"/>
      <c r="J935" s="174"/>
      <c r="K935" s="174" t="str">
        <f>IFERROR(IF(AND(Inputs!C14="Specified",OR(COUNT(Inputs!C15)&lt;&gt;1,Inputs!C15&lt;0.000001)),"ERROR: Enter positive area at Inputs!C15.","OK"),"ERROR: Cannot evaluate Available area check. Fix model / numeric inputs above; see calculation diagnostics below.")</f>
        <v>OK</v>
      </c>
      <c r="L935" s="174"/>
      <c r="M935" s="174"/>
      <c r="N935" s="174"/>
    </row>
    <row r="936" ht="54" customHeight="1">
      <c r="A936" s="173" t="str">
        <v>Load distribution</v>
      </c>
      <c r="B936" s="173"/>
      <c r="C936" s="173" t="str">
        <f>IFERROR(IF(AND(Inputs!C17&lt;&gt;"Known",Inputs!C17&lt;&gt;"Constant load"),"ERROR: Choose load distribution at Inputs!C17.","OK"),"ERROR: Cannot evaluate Load distribution check. Fix model / numeric inputs above; see calculation diagnostics below.")</f>
        <v>OK</v>
      </c>
      <c r="D936" s="173"/>
      <c r="E936" s="173"/>
      <c r="F936" s="173"/>
      <c r="G936" s="173" t="str">
        <f>IFERROR(IF(AND(Inputs!C17&lt;&gt;"Known",Inputs!C17&lt;&gt;"Constant load"),"ERROR: Choose load distribution at Inputs!C17.","OK"),"ERROR: Cannot evaluate Load distribution check. Fix model / numeric inputs above; see calculation diagnostics below.")</f>
        <v>OK</v>
      </c>
      <c r="H936" s="173"/>
      <c r="I936" s="173"/>
      <c r="J936" s="173"/>
      <c r="K936" s="173" t="str">
        <f>IFERROR(IF(AND(Inputs!C17&lt;&gt;"Known",Inputs!C17&lt;&gt;"Constant load"),"ERROR: Choose load distribution at Inputs!C17.","OK"),"ERROR: Cannot evaluate Load distribution check. Fix model / numeric inputs above; see calculation diagnostics below.")</f>
        <v>OK</v>
      </c>
      <c r="L936" s="173"/>
      <c r="M936" s="173"/>
      <c r="N936" s="173"/>
    </row>
    <row r="937" ht="54" customHeight="1">
      <c r="A937" s="174" t="str">
        <v>Daytime energy share</v>
      </c>
      <c r="B937" s="174"/>
      <c r="C937" s="174" t="str">
        <f>IFERROR(IF(AND(Inputs!C17="Known",OR(COUNT(Inputs!C18)&lt;&gt;1,Inputs!C18&lt;0,Inputs!C18&gt;1)),"ERROR: Enter 0% to 100% at Inputs!C18.","OK"),"ERROR: Cannot evaluate Daytime energy share check. Fix model / numeric inputs above; see calculation diagnostics below.")</f>
        <v>OK</v>
      </c>
      <c r="D937" s="174"/>
      <c r="E937" s="174"/>
      <c r="F937" s="174"/>
      <c r="G937" s="174" t="str">
        <f>IFERROR(IF(AND(Inputs!C17="Known",OR(COUNT(Inputs!C18)&lt;&gt;1,Inputs!C18&lt;0,Inputs!C18&gt;1)),"ERROR: Enter 0% to 100% at Inputs!C18.","OK"),"ERROR: Cannot evaluate Daytime energy share check. Fix model / numeric inputs above; see calculation diagnostics below.")</f>
        <v>OK</v>
      </c>
      <c r="H937" s="174"/>
      <c r="I937" s="174"/>
      <c r="J937" s="174"/>
      <c r="K937" s="174" t="str">
        <f>IFERROR(IF(AND(Inputs!C17="Known",OR(COUNT(Inputs!C18)&lt;&gt;1,Inputs!C18&lt;0,Inputs!C18&gt;1)),"ERROR: Enter 0% to 100% at Inputs!C18.","OK"),"ERROR: Cannot evaluate Daytime energy share check. Fix model / numeric inputs above; see calculation diagnostics below.")</f>
        <v>OK</v>
      </c>
      <c r="L937" s="174"/>
      <c r="M937" s="174"/>
      <c r="N937" s="174"/>
    </row>
    <row r="938" ht="54" customHeight="1">
      <c r="A938" s="173" t="str">
        <v>Critical load selection</v>
      </c>
      <c r="B938" s="173"/>
      <c r="C938" s="173" t="str">
        <f>IFERROR(IF(AND(Inputs!C20&lt;&gt;"Known",Inputs!C20&lt;&gt;"Unknown"),"ERROR: Choose Known or Unknown at Inputs!C20.","OK"),"ERROR: Cannot evaluate Critical load selection check. Fix model / numeric inputs above; see calculation diagnostics below.")</f>
        <v>OK</v>
      </c>
      <c r="D938" s="173"/>
      <c r="E938" s="173"/>
      <c r="F938" s="173"/>
      <c r="G938" s="173" t="str">
        <f>IFERROR(IF(AND(Inputs!C20&lt;&gt;"Known",Inputs!C20&lt;&gt;"Unknown"),"ERROR: Choose Known or Unknown at Inputs!C20.","OK"),"ERROR: Cannot evaluate Critical load selection check. Fix model / numeric inputs above; see calculation diagnostics below.")</f>
        <v>OK</v>
      </c>
      <c r="H938" s="173"/>
      <c r="I938" s="173"/>
      <c r="J938" s="173"/>
      <c r="K938" s="173" t="str">
        <f>IFERROR(IF(AND(Inputs!C20&lt;&gt;"Known",Inputs!C20&lt;&gt;"Unknown"),"ERROR: Choose Known or Unknown at Inputs!C20.","OK"),"ERROR: Cannot evaluate Critical load selection check. Fix model / numeric inputs above; see calculation diagnostics below.")</f>
        <v>OK</v>
      </c>
      <c r="L938" s="173"/>
      <c r="M938" s="173"/>
      <c r="N938" s="173"/>
    </row>
    <row r="939" ht="54" customHeight="1">
      <c r="A939" s="174" t="str">
        <v>Critical load input</v>
      </c>
      <c r="B939" s="174"/>
      <c r="C939" s="174" t="str">
        <f>IFERROR(IF(AND(Inputs!C20="Known",OR(COUNT(Inputs!C21)&lt;&gt;1,Inputs!C21&lt;0.000001)),"ERROR: Enter positive critical kW at Inputs!C21.","OK"),"ERROR: Cannot evaluate Critical load input check. Fix model / numeric inputs above; see calculation diagnostics below.")</f>
        <v>OK</v>
      </c>
      <c r="D939" s="174"/>
      <c r="E939" s="174"/>
      <c r="F939" s="174"/>
      <c r="G939" s="174" t="str">
        <f>IFERROR(IF(AND(Inputs!C20="Known",OR(COUNT(Inputs!C21)&lt;&gt;1,Inputs!C21&lt;0.000001)),"ERROR: Enter positive critical kW at Inputs!C21.","OK"),"ERROR: Cannot evaluate Critical load input check. Fix model / numeric inputs above; see calculation diagnostics below.")</f>
        <v>OK</v>
      </c>
      <c r="H939" s="174"/>
      <c r="I939" s="174"/>
      <c r="J939" s="174"/>
      <c r="K939" s="174" t="str">
        <f>IFERROR(IF(AND(Inputs!C20="Known",OR(COUNT(Inputs!C21)&lt;&gt;1,Inputs!C21&lt;0.000001)),"ERROR: Enter positive critical kW at Inputs!C21.","OK"),"ERROR: Cannot evaluate Critical load input check. Fix model / numeric inputs above; see calculation diagnostics below.")</f>
        <v>OK</v>
      </c>
      <c r="L939" s="174"/>
      <c r="M939" s="174"/>
      <c r="N939" s="174"/>
    </row>
    <row r="940" ht="54" customHeight="1">
      <c r="A940" s="173" t="str">
        <v>Panel model</v>
      </c>
      <c r="B940" s="173"/>
      <c r="C940" s="173" t="str">
        <f>IFERROR(IF(COUNTIFS('Assumptions and Catalog'!$A$73:$A$74,J9)&lt;&gt;1,"ERROR: Select a unique catalog panel at Scenarios!J9. Even inactive legacy fields need a valid model.","OK"),"ERROR: Cannot evaluate Panel model check. Fix model / numeric inputs above; see calculation diagnostics below.")</f>
        <v>OK</v>
      </c>
      <c r="D940" s="173"/>
      <c r="E940" s="173"/>
      <c r="F940" s="173"/>
      <c r="G940" s="173" t="str">
        <f>IFERROR(IF(COUNTIFS('Assumptions and Catalog'!$A$73:$A$74,K9)&lt;&gt;1,"ERROR: Select a unique catalog panel at Scenarios!K9. Even inactive legacy fields need a valid model.","OK"),"ERROR: Cannot evaluate Panel model check. Fix model / numeric inputs above; see calculation diagnostics below.")</f>
        <v>OK</v>
      </c>
      <c r="H940" s="173"/>
      <c r="I940" s="173"/>
      <c r="J940" s="173"/>
      <c r="K940" s="173" t="str">
        <f>IFERROR(IF(COUNTIFS('Assumptions and Catalog'!$A$73:$A$74,L9)&lt;&gt;1,"ERROR: Select a unique catalog panel at Scenarios!L9. Even inactive legacy fields need a valid model.","OK"),"ERROR: Cannot evaluate Panel model check. Fix model / numeric inputs above; see calculation diagnostics below.")</f>
        <v>OK</v>
      </c>
      <c r="L940" s="173"/>
      <c r="M940" s="173"/>
      <c r="N940" s="173"/>
    </row>
    <row r="941" ht="54" customHeight="1">
      <c r="A941" s="174" t="str">
        <v>Panel quantity</v>
      </c>
      <c r="B941" s="174"/>
      <c r="C941" s="174" t="str">
        <f>IFERROR(IF(OR(COUNT(J10)&lt;&gt;1,J10&lt;0,MOD(J10,1)&lt;&gt;0),"ERROR: Enter a non-negative whole panel count at Scenarios!J10.","OK"),"ERROR: Cannot evaluate Panel quantity check. Fix model / numeric inputs above; see calculation diagnostics below.")</f>
        <v>OK</v>
      </c>
      <c r="D941" s="174"/>
      <c r="E941" s="174"/>
      <c r="F941" s="174"/>
      <c r="G941" s="174" t="str">
        <f>IFERROR(IF(OR(COUNT(K10)&lt;&gt;1,K10&lt;0,MOD(K10,1)&lt;&gt;0),"ERROR: Enter a non-negative whole panel count at Scenarios!K10.","OK"),"ERROR: Cannot evaluate Panel quantity check. Fix model / numeric inputs above; see calculation diagnostics below.")</f>
        <v>OK</v>
      </c>
      <c r="H941" s="174"/>
      <c r="I941" s="174"/>
      <c r="J941" s="174"/>
      <c r="K941" s="174" t="str">
        <f>IFERROR(IF(OR(COUNT(L10)&lt;&gt;1,L10&lt;0,MOD(L10,1)&lt;&gt;0),"ERROR: Enter a non-negative whole panel count at Scenarios!L10.","OK"),"ERROR: Cannot evaluate Panel quantity check. Fix model / numeric inputs above; see calculation diagnostics below.")</f>
        <v>OK</v>
      </c>
      <c r="L941" s="174"/>
      <c r="M941" s="174"/>
      <c r="N941" s="174"/>
    </row>
    <row r="942" ht="54" customHeight="1">
      <c r="A942" s="173" t="str">
        <v>Battery model</v>
      </c>
      <c r="B942" s="173"/>
      <c r="C942" s="173" t="str">
        <f>IFERROR(IF(COUNTIFS('Assumptions and Catalog'!$A$79:$A$81,J11)&lt;&gt;1,"ERROR: Select a unique catalog battery at Scenarios!J11. Even inactive legacy fields need a valid model.","OK"),"ERROR: Cannot evaluate Battery model check. Fix model / numeric inputs above; see calculation diagnostics below.")</f>
        <v>OK</v>
      </c>
      <c r="D942" s="173"/>
      <c r="E942" s="173"/>
      <c r="F942" s="173"/>
      <c r="G942" s="173" t="str">
        <f>IFERROR(IF(COUNTIFS('Assumptions and Catalog'!$A$79:$A$81,K11)&lt;&gt;1,"ERROR: Select a unique catalog battery at Scenarios!K11. Even inactive legacy fields need a valid model.","OK"),"ERROR: Cannot evaluate Battery model check. Fix model / numeric inputs above; see calculation diagnostics below.")</f>
        <v>OK</v>
      </c>
      <c r="H942" s="173"/>
      <c r="I942" s="173"/>
      <c r="J942" s="173"/>
      <c r="K942" s="173" t="str">
        <f>IFERROR(IF(COUNTIFS('Assumptions and Catalog'!$A$79:$A$81,L11)&lt;&gt;1,"ERROR: Select a unique catalog battery at Scenarios!L11. Even inactive legacy fields need a valid model.","OK"),"ERROR: Cannot evaluate Battery model check. Fix model / numeric inputs above; see calculation diagnostics below.")</f>
        <v>OK</v>
      </c>
      <c r="L942" s="173"/>
      <c r="M942" s="173"/>
      <c r="N942" s="173"/>
    </row>
    <row r="943" ht="54" customHeight="1">
      <c r="A943" s="174" t="str">
        <v>Battery quantity</v>
      </c>
      <c r="B943" s="174"/>
      <c r="C943" s="174" t="str">
        <f>IFERROR(IF(OR(COUNT(J12)&lt;&gt;1,J12&lt;0,MOD(J12,1)&lt;&gt;0),"ERROR: Enter a non-negative whole battery count at Scenarios!J12.","OK"),"ERROR: Cannot evaluate Battery quantity check. Fix model / numeric inputs above; see calculation diagnostics below.")</f>
        <v>OK</v>
      </c>
      <c r="D943" s="174"/>
      <c r="E943" s="174"/>
      <c r="F943" s="174"/>
      <c r="G943" s="174" t="str">
        <f>IFERROR(IF(OR(COUNT(K12)&lt;&gt;1,K12&lt;0,MOD(K12,1)&lt;&gt;0),"ERROR: Enter a non-negative whole battery count at Scenarios!K12.","OK"),"ERROR: Cannot evaluate Battery quantity check. Fix model / numeric inputs above; see calculation diagnostics below.")</f>
        <v>OK</v>
      </c>
      <c r="H943" s="174"/>
      <c r="I943" s="174"/>
      <c r="J943" s="174"/>
      <c r="K943" s="174" t="str">
        <f>IFERROR(IF(OR(COUNT(L12)&lt;&gt;1,L12&lt;0,MOD(L12,1)&lt;&gt;0),"ERROR: Enter a non-negative whole battery count at Scenarios!L12.","OK"),"ERROR: Cannot evaluate Battery quantity check. Fix model / numeric inputs above; see calculation diagnostics below.")</f>
        <v>OK</v>
      </c>
      <c r="L943" s="174"/>
      <c r="M943" s="174"/>
      <c r="N943" s="174"/>
    </row>
    <row r="944" ht="54" customHeight="1">
      <c r="A944" s="173" t="str">
        <v>Inverter model</v>
      </c>
      <c r="B944" s="173"/>
      <c r="C944" s="173" t="str">
        <f>IFERROR(IF(COUNTIFS('Assumptions and Catalog'!$A$86:$A$89,J13)&lt;&gt;1,"ERROR: Select a unique catalog inverter at Scenarios!J13.","OK"),"ERROR: Cannot evaluate Inverter model check. Fix model / numeric inputs above; see calculation diagnostics below.")</f>
        <v>OK</v>
      </c>
      <c r="D944" s="173"/>
      <c r="E944" s="173"/>
      <c r="F944" s="173"/>
      <c r="G944" s="173" t="str">
        <f>IFERROR(IF(COUNTIFS('Assumptions and Catalog'!$A$86:$A$89,K13)&lt;&gt;1,"ERROR: Select a unique catalog inverter at Scenarios!K13.","OK"),"ERROR: Cannot evaluate Inverter model check. Fix model / numeric inputs above; see calculation diagnostics below.")</f>
        <v>OK</v>
      </c>
      <c r="H944" s="173"/>
      <c r="I944" s="173"/>
      <c r="J944" s="173"/>
      <c r="K944" s="173" t="str">
        <f>IFERROR(IF(COUNTIFS('Assumptions and Catalog'!$A$86:$A$89,L13)&lt;&gt;1,"ERROR: Select a unique catalog inverter at Scenarios!L13.","OK"),"ERROR: Cannot evaluate Inverter model check. Fix model / numeric inputs above; see calculation diagnostics below.")</f>
        <v>OK</v>
      </c>
      <c r="L944" s="173"/>
      <c r="M944" s="173"/>
      <c r="N944" s="173"/>
    </row>
    <row r="945" ht="54" customHeight="1">
      <c r="A945" s="174" t="str">
        <v>Battery reserve</v>
      </c>
      <c r="B945" s="174"/>
      <c r="C945" s="174" t="str">
        <f>IFERROR(IF(OR(COUNT(J14)&lt;&gt;1,J14&lt;0,J14&gt;1),"ERROR: Enter a reserve from 0% to 100% at Scenarios!J14.","OK"),"ERROR: Cannot evaluate Battery reserve check. Fix model / numeric inputs above; see calculation diagnostics below.")</f>
        <v>OK</v>
      </c>
      <c r="D945" s="174"/>
      <c r="E945" s="174"/>
      <c r="F945" s="174"/>
      <c r="G945" s="174" t="str">
        <f>IFERROR(IF(OR(COUNT(K14)&lt;&gt;1,K14&lt;0,K14&gt;1),"ERROR: Enter a reserve from 0% to 100% at Scenarios!K14.","OK"),"ERROR: Cannot evaluate Battery reserve check. Fix model / numeric inputs above; see calculation diagnostics below.")</f>
        <v>OK</v>
      </c>
      <c r="H945" s="174"/>
      <c r="I945" s="174"/>
      <c r="J945" s="174"/>
      <c r="K945" s="174" t="str">
        <f>IFERROR(IF(OR(COUNT(L14)&lt;&gt;1,L14&lt;0,L14&gt;1),"ERROR: Enter a reserve from 0% to 100% at Scenarios!L14.","OK"),"ERROR: Cannot evaluate Battery reserve check. Fix model / numeric inputs above; see calculation diagnostics below.")</f>
        <v>OK</v>
      </c>
      <c r="L945" s="174"/>
      <c r="M945" s="174"/>
      <c r="N945" s="174"/>
    </row>
    <row r="946" ht="54" customHeight="1">
      <c r="A946" s="173" t="str">
        <v>PV / inverter limit</v>
      </c>
      <c r="B946" s="173"/>
      <c r="C946" s="173" t="str">
        <f>IFERROR(IF(C51&gt;C54,"ERROR: PV "&amp;TEXT(C51,"0.00")&amp;" kWp exceeds inverter limit "&amp;TEXT(C54,"0.00")&amp;" kWp. Change Scenarios!J13 or J10.","OK"),"ERROR: Cannot evaluate PV / inverter limit check. Fix model / numeric inputs above; see calculation diagnostics below.")</f>
        <v>OK</v>
      </c>
      <c r="D946" s="173"/>
      <c r="E946" s="173"/>
      <c r="F946" s="173"/>
      <c r="G946" s="173" t="str">
        <f>IFERROR(IF(D51&gt;D54,"ERROR: PV "&amp;TEXT(D51,"0.00")&amp;" kWp exceeds inverter limit "&amp;TEXT(D54,"0.00")&amp;" kWp. Change Scenarios!K13 or K10.","OK"),"ERROR: Cannot evaluate PV / inverter limit check. Fix model / numeric inputs above; see calculation diagnostics below.")</f>
        <v>OK</v>
      </c>
      <c r="H946" s="173"/>
      <c r="I946" s="173"/>
      <c r="J946" s="173"/>
      <c r="K946" s="173" t="str">
        <f>IFERROR(IF(E51&gt;E54,"ERROR: PV "&amp;TEXT(E51,"0.00")&amp;" kWp exceeds inverter limit "&amp;TEXT(E54,"0.00")&amp;" kWp. Change Scenarios!L13 or L10.","OK"),"ERROR: Cannot evaluate PV / inverter limit check. Fix model / numeric inputs above; see calculation diagnostics below.")</f>
        <v>OK</v>
      </c>
      <c r="L946" s="173"/>
      <c r="M946" s="173"/>
      <c r="N946" s="173"/>
    </row>
    <row r="947" ht="54" customHeight="1">
      <c r="A947" s="174" t="str">
        <v>Roof fit</v>
      </c>
      <c r="B947" s="174"/>
      <c r="C947" s="174" t="str">
        <f>IFERROR(IF(AND(Inputs!C14="Specified",C59&gt;Inputs!C15),"ERROR: Requires "&amp;TEXT(C59,"0.0")&amp;" m2; available "&amp;TEXT(Inputs!C15,"0.0")&amp;" m2. Review Inputs!C15 or Scenarios!J10.","OK"),"ERROR: Cannot evaluate Roof fit check. Fix model / numeric inputs above; see calculation diagnostics below.")</f>
        <v>OK</v>
      </c>
      <c r="D947" s="174"/>
      <c r="E947" s="174"/>
      <c r="F947" s="174"/>
      <c r="G947" s="174" t="str">
        <f>IFERROR(IF(AND(Inputs!C14="Specified",D59&gt;Inputs!C15),"ERROR: Requires "&amp;TEXT(D59,"0.0")&amp;" m2; available "&amp;TEXT(Inputs!C15,"0.0")&amp;" m2. Review Inputs!C15 or Scenarios!K10.","OK"),"ERROR: Cannot evaluate Roof fit check. Fix model / numeric inputs above; see calculation diagnostics below.")</f>
        <v>OK</v>
      </c>
      <c r="H947" s="174"/>
      <c r="I947" s="174"/>
      <c r="J947" s="174"/>
      <c r="K947" s="174" t="str">
        <f>IFERROR(IF(AND(Inputs!C14="Specified",E59&gt;Inputs!C15),"ERROR: Requires "&amp;TEXT(E59,"0.0")&amp;" m2; available "&amp;TEXT(Inputs!C15,"0.0")&amp;" m2. Review Inputs!C15 or Scenarios!L10.","OK"),"ERROR: Cannot evaluate Roof fit check. Fix model / numeric inputs above; see calculation diagnostics below.")</f>
        <v>OK</v>
      </c>
      <c r="L947" s="174"/>
      <c r="M947" s="174"/>
      <c r="N947" s="174"/>
    </row>
    <row r="948" ht="54" customHeight="1">
      <c r="A948" s="173" t="str">
        <v>Equipment compatibility</v>
      </c>
      <c r="B948" s="173"/>
      <c r="C948" s="173" t="str">
        <f>IFERROR(IF(C66&lt;&gt;"Compatible under assumptions","ERROR: Battery / inverter groups differ. Review Scenarios!J11 and J13; catalog column H.","OK"),"ERROR: Cannot evaluate Equipment compatibility check. Fix model / numeric inputs above; see calculation diagnostics below.")</f>
        <v>OK</v>
      </c>
      <c r="D948" s="173"/>
      <c r="E948" s="173"/>
      <c r="F948" s="173"/>
      <c r="G948" s="173" t="str">
        <f>IFERROR(IF(D66&lt;&gt;"Compatible under assumptions","ERROR: Battery / inverter groups differ. Review Scenarios!K11 and K13; catalog column H.","OK"),"ERROR: Cannot evaluate Equipment compatibility check. Fix model / numeric inputs above; see calculation diagnostics below.")</f>
        <v>OK</v>
      </c>
      <c r="H948" s="173"/>
      <c r="I948" s="173"/>
      <c r="J948" s="173"/>
      <c r="K948" s="173" t="str">
        <f>IFERROR(IF(E66&lt;&gt;"Compatible under assumptions","ERROR: Battery / inverter groups differ. Review Scenarios!L11 and L13; catalog column H.","OK"),"ERROR: Cannot evaluate Equipment compatibility check. Fix model / numeric inputs above; see calculation diagnostics below.")</f>
        <v>OK</v>
      </c>
      <c r="L948" s="173"/>
      <c r="M948" s="173"/>
      <c r="N948" s="173"/>
    </row>
    <row r="949" ht="54" customHeight="1">
      <c r="A949" s="174" t="str">
        <v>Battery operating mode</v>
      </c>
      <c r="B949" s="174"/>
      <c r="C949" s="174" t="str">
        <f>IFERROR("Not applicable","ERROR: Cannot evaluate Battery operating mode check. Fix model / numeric inputs above; see calculation diagnostics below.")</f>
        <v>Not applicable</v>
      </c>
      <c r="D949" s="174"/>
      <c r="E949" s="174"/>
      <c r="F949" s="174"/>
      <c r="G949" s="174" t="str">
        <f>IFERROR(IF(AND(K15&lt;&gt;"Backup",K15&lt;&gt;"Grid cycle"),"ERROR: Choose Backup or Grid cycle at Scenarios!K15.","OK"),"ERROR: Cannot evaluate Battery operating mode check. Fix model / numeric inputs above; see calculation diagnostics below.")</f>
        <v>OK</v>
      </c>
      <c r="H949" s="174"/>
      <c r="I949" s="174"/>
      <c r="J949" s="174"/>
      <c r="K949" s="174" t="str">
        <f>IFERROR("Not applicable","ERROR: Cannot evaluate Battery operating mode check. Fix model / numeric inputs above; see calculation diagnostics below.")</f>
        <v>Not applicable</v>
      </c>
      <c r="L949" s="174"/>
      <c r="M949" s="174"/>
      <c r="N949" s="174"/>
    </row>
    <row r="950" ht="54" customHeight="1">
      <c r="A950" s="173" t="str">
        <v>Grid delivery limit</v>
      </c>
      <c r="B950" s="173"/>
      <c r="C950" s="173" t="str">
        <f>IFERROR("Not applicable","ERROR: Cannot evaluate Grid delivery limit check. Fix model / numeric inputs above; see calculation diagnostics below.")</f>
        <v>Not applicable</v>
      </c>
      <c r="D950" s="173"/>
      <c r="E950" s="173"/>
      <c r="F950" s="173"/>
      <c r="G950" s="173" t="str">
        <f>IFERROR(IF(AND(K15="Grid cycle",OR(COUNT(K16)&lt;&gt;1,K16&lt;0)),"ERROR: Enter non-negative kWh/day at Scenarios!K16.","OK"),"ERROR: Cannot evaluate Grid delivery limit check. Fix model / numeric inputs above; see calculation diagnostics below.")</f>
        <v>OK</v>
      </c>
      <c r="H950" s="173"/>
      <c r="I950" s="173"/>
      <c r="J950" s="173"/>
      <c r="K950" s="173" t="str">
        <f>IFERROR("Not applicable","ERROR: Cannot evaluate Grid delivery limit check. Fix model / numeric inputs above; see calculation diagnostics below.")</f>
        <v>Not applicable</v>
      </c>
      <c r="L950" s="173"/>
      <c r="M950" s="173"/>
      <c r="N950" s="173"/>
    </row>
    <row r="951" ht="54" customHeight="1">
      <c r="A951" s="174" t="str">
        <v>Backup power</v>
      </c>
      <c r="B951" s="174"/>
      <c r="C951" s="174" t="str">
        <f>IFERROR("Not applicable","ERROR: Cannot evaluate Backup power check. Fix model / numeric inputs above; see calculation diagnostics below.")</f>
        <v>Not applicable</v>
      </c>
      <c r="D951" s="174"/>
      <c r="E951" s="174"/>
      <c r="F951" s="174"/>
      <c r="G951" s="174" t="str">
        <f>IFERROR(IF(AND(Inputs!C20="Known",D52&gt;0,Inputs!C21&gt;D69),"WARNING: Critical load "&amp;TEXT(Inputs!C21,"0.00")&amp;" kW exceeds backup limit "&amp;TEXT(D69,"0.00")&amp;" kW. Review Inputs!C21 and Scenarios!K12:K13. Full load cannot be backed up.","OK"),"ERROR: Cannot evaluate Backup power check. Fix model / numeric inputs above; see calculation diagnostics below.")</f>
        <v>OK</v>
      </c>
      <c r="H951" s="174"/>
      <c r="I951" s="174"/>
      <c r="J951" s="174"/>
      <c r="K951" s="174" t="str">
        <f>IFERROR(IF(AND(Inputs!C20="Known",E52&gt;0,Inputs!C21&gt;E69),"WARNING: Critical load "&amp;TEXT(Inputs!C21,"0.00")&amp;" kW exceeds backup limit "&amp;TEXT(E69,"0.00")&amp;" kW. Review Inputs!C21 and Scenarios!L12:L13. Full load cannot be backed up.","OK"),"ERROR: Cannot evaluate Backup power check. Fix model / numeric inputs above; see calculation diagnostics below.")</f>
        <v>OK</v>
      </c>
      <c r="L951" s="174"/>
      <c r="M951" s="174"/>
      <c r="N951" s="174"/>
    </row>
    <row r="952" ht="54" customHeight="1">
      <c r="A952" s="173" t="str">
        <v>Unknown critical load</v>
      </c>
      <c r="B952" s="173"/>
      <c r="C952" s="173" t="str">
        <f>IFERROR("Not applicable","ERROR: Cannot evaluate Unknown critical load check. Fix model / numeric inputs above; see calculation diagnostics below.")</f>
        <v>Not applicable</v>
      </c>
      <c r="D952" s="173"/>
      <c r="E952" s="173"/>
      <c r="F952" s="173"/>
      <c r="G952" s="173" t="str">
        <f>IFERROR(IF(AND(Inputs!C20="Unknown",D52&gt;0),"WARNING: Inputs!C20 is Unknown; backup duration cannot be determined.","OK"),"ERROR: Cannot evaluate Unknown critical load check. Fix model / numeric inputs above; see calculation diagnostics below.")</f>
        <v>WARNING: Inputs!C20 is Unknown; backup duration cannot be determined.</v>
      </c>
      <c r="H952" s="173"/>
      <c r="I952" s="173"/>
      <c r="J952" s="173"/>
      <c r="K952" s="173" t="str">
        <f>IFERROR(IF(AND(Inputs!C20="Unknown",E52&gt;0),"WARNING: Inputs!C20 is Unknown; backup duration cannot be determined.","OK"),"ERROR: Cannot evaluate Unknown critical load check. Fix model / numeric inputs above; see calculation diagnostics below.")</f>
        <v>WARNING: Inputs!C20 is Unknown; backup duration cannot be determined.</v>
      </c>
      <c r="L952" s="173"/>
      <c r="M952" s="173"/>
      <c r="N952" s="173"/>
    </row>
    <row r="953" ht="54" customHeight="1">
      <c r="A953" s="174" t="str">
        <v>Unknown roof area</v>
      </c>
      <c r="B953" s="174"/>
      <c r="C953" s="174" t="str">
        <f>IFERROR(IF(AND(Inputs!C14="Unspecified",C51&gt;0),"WARNING: Inputs!C14 is Unspecified; roof fit has not been verified.","OK"),"ERROR: Cannot evaluate Unknown roof area check. Fix model / numeric inputs above; see calculation diagnostics below.")</f>
        <v>WARNING: Inputs!C14 is Unspecified; roof fit has not been verified.</v>
      </c>
      <c r="D953" s="174"/>
      <c r="E953" s="174"/>
      <c r="F953" s="174"/>
      <c r="G953" s="174" t="str">
        <f>IFERROR(IF(AND(Inputs!C14="Unspecified",D51&gt;0),"WARNING: Inputs!C14 is Unspecified; roof fit has not been verified.","OK"),"ERROR: Cannot evaluate Unknown roof area check. Fix model / numeric inputs above; see calculation diagnostics below.")</f>
        <v>OK</v>
      </c>
      <c r="H953" s="174"/>
      <c r="I953" s="174"/>
      <c r="J953" s="174"/>
      <c r="K953" s="174" t="str">
        <f>IFERROR(IF(AND(Inputs!C14="Unspecified",E51&gt;0),"WARNING: Inputs!C14 is Unspecified; roof fit has not been verified.","OK"),"ERROR: Cannot evaluate Unknown roof area check. Fix model / numeric inputs above; see calculation diagnostics below.")</f>
        <v>WARNING: Inputs!C14 is Unspecified; roof fit has not been verified.</v>
      </c>
      <c r="L953" s="174"/>
      <c r="M953" s="174"/>
      <c r="N953" s="174"/>
    </row>
    <row r="954" ht="54" customHeight="1">
      <c r="A954" s="173" t="str">
        <v>Study period</v>
      </c>
      <c r="B954" s="173"/>
      <c r="C954" s="173" t="str">
        <f>IFERROR(IF(OR(COUNT('Assumptions and Catalog'!C6)&lt;&gt;1,'Assumptions and Catalog'!C6&lt;1,'Assumptions and Catalog'!C6&gt;20,MOD('Assumptions and Catalog'!C6,1)&lt;&gt;0),"ERROR: Study period: review 'Assumptions and Catalog'!C6. Required 1 to 20, whole number.","OK"),"ERROR: Cannot evaluate Study period check. Fix model / numeric inputs above; see calculation diagnostics below.")</f>
        <v>OK</v>
      </c>
      <c r="D954" s="173"/>
      <c r="E954" s="173"/>
      <c r="F954" s="173"/>
      <c r="G954" s="173" t="str">
        <f>IFERROR(IF(OR(COUNT('Assumptions and Catalog'!C6)&lt;&gt;1,'Assumptions and Catalog'!C6&lt;1,'Assumptions and Catalog'!C6&gt;20,MOD('Assumptions and Catalog'!C6,1)&lt;&gt;0),"ERROR: Study period: review 'Assumptions and Catalog'!C6. Required 1 to 20, whole number.","OK"),"ERROR: Cannot evaluate Study period check. Fix model / numeric inputs above; see calculation diagnostics below.")</f>
        <v>OK</v>
      </c>
      <c r="H954" s="173"/>
      <c r="I954" s="173"/>
      <c r="J954" s="173"/>
      <c r="K954" s="173" t="str">
        <f>IFERROR(IF(OR(COUNT('Assumptions and Catalog'!C6)&lt;&gt;1,'Assumptions and Catalog'!C6&lt;1,'Assumptions and Catalog'!C6&gt;20,MOD('Assumptions and Catalog'!C6,1)&lt;&gt;0),"ERROR: Study period: review 'Assumptions and Catalog'!C6. Required 1 to 20, whole number.","OK"),"ERROR: Cannot evaluate Study period check. Fix model / numeric inputs above; see calculation diagnostics below.")</f>
        <v>OK</v>
      </c>
      <c r="L954" s="173"/>
      <c r="M954" s="173"/>
      <c r="N954" s="173"/>
    </row>
    <row r="955" ht="54" customHeight="1">
      <c r="A955" s="174" t="str">
        <v>Nominal discount rate</v>
      </c>
      <c r="B955" s="174"/>
      <c r="C955" s="174" t="str">
        <f>IFERROR(IF(OR(COUNT('Assumptions and Catalog'!C7)&lt;&gt;1,'Assumptions and Catalog'!C7&lt;-0.999999),"ERROR: Nominal discount rate: review 'Assumptions and Catalog'!C7. Required -0.999999 to no upper limit.","OK"),"ERROR: Cannot evaluate Nominal discount rate check. Fix model / numeric inputs above; see calculation diagnostics below.")</f>
        <v>OK</v>
      </c>
      <c r="D955" s="174"/>
      <c r="E955" s="174"/>
      <c r="F955" s="174"/>
      <c r="G955" s="174" t="str">
        <f>IFERROR(IF(OR(COUNT('Assumptions and Catalog'!C7)&lt;&gt;1,'Assumptions and Catalog'!C7&lt;-0.999999),"ERROR: Nominal discount rate: review 'Assumptions and Catalog'!C7. Required -0.999999 to no upper limit.","OK"),"ERROR: Cannot evaluate Nominal discount rate check. Fix model / numeric inputs above; see calculation diagnostics below.")</f>
        <v>OK</v>
      </c>
      <c r="H955" s="174"/>
      <c r="I955" s="174"/>
      <c r="J955" s="174"/>
      <c r="K955" s="174" t="str">
        <f>IFERROR(IF(OR(COUNT('Assumptions and Catalog'!C7)&lt;&gt;1,'Assumptions and Catalog'!C7&lt;-0.999999),"ERROR: Nominal discount rate: review 'Assumptions and Catalog'!C7. Required -0.999999 to no upper limit.","OK"),"ERROR: Cannot evaluate Nominal discount rate check. Fix model / numeric inputs above; see calculation diagnostics below.")</f>
        <v>OK</v>
      </c>
      <c r="L955" s="174"/>
      <c r="M955" s="174"/>
      <c r="N955" s="174"/>
    </row>
    <row r="956" ht="54" customHeight="1">
      <c r="A956" s="173" t="str">
        <v>Tariff and fee escalation</v>
      </c>
      <c r="B956" s="173"/>
      <c r="C956" s="173" t="str">
        <f>IFERROR(IF(OR(COUNT('Assumptions and Catalog'!C8)&lt;&gt;1,'Assumptions and Catalog'!C8&lt;-0.999999),"ERROR: Tariff and fee escalation: review 'Assumptions and Catalog'!C8. Required -0.999999 to no upper limit.","OK"),"ERROR: Cannot evaluate Tariff and fee escalation check. Fix model / numeric inputs above; see calculation diagnostics below.")</f>
        <v>OK</v>
      </c>
      <c r="D956" s="173"/>
      <c r="E956" s="173"/>
      <c r="F956" s="173"/>
      <c r="G956" s="173" t="str">
        <f>IFERROR(IF(OR(COUNT('Assumptions and Catalog'!C8)&lt;&gt;1,'Assumptions and Catalog'!C8&lt;-0.999999),"ERROR: Tariff and fee escalation: review 'Assumptions and Catalog'!C8. Required -0.999999 to no upper limit.","OK"),"ERROR: Cannot evaluate Tariff and fee escalation check. Fix model / numeric inputs above; see calculation diagnostics below.")</f>
        <v>OK</v>
      </c>
      <c r="H956" s="173"/>
      <c r="I956" s="173"/>
      <c r="J956" s="173"/>
      <c r="K956" s="173" t="str">
        <f>IFERROR(IF(OR(COUNT('Assumptions and Catalog'!C8)&lt;&gt;1,'Assumptions and Catalog'!C8&lt;-0.999999),"ERROR: Tariff and fee escalation: review 'Assumptions and Catalog'!C8. Required -0.999999 to no upper limit.","OK"),"ERROR: Cannot evaluate Tariff and fee escalation check. Fix model / numeric inputs above; see calculation diagnostics below.")</f>
        <v>OK</v>
      </c>
      <c r="L956" s="173"/>
      <c r="M956" s="173"/>
      <c r="N956" s="173"/>
    </row>
    <row r="957" ht="54" customHeight="1">
      <c r="A957" s="174" t="str">
        <v>Maintenance cost escalation</v>
      </c>
      <c r="B957" s="174"/>
      <c r="C957" s="174" t="str">
        <f>IFERROR(IF(OR(COUNT('Assumptions and Catalog'!C9)&lt;&gt;1,'Assumptions and Catalog'!C9&lt;-0.999999),"ERROR: Maintenance cost escalation: review 'Assumptions and Catalog'!C9. Required -0.999999 to no upper limit.","OK"),"ERROR: Cannot evaluate Maintenance cost escalation check. Fix model / numeric inputs above; see calculation diagnostics below.")</f>
        <v>OK</v>
      </c>
      <c r="D957" s="174"/>
      <c r="E957" s="174"/>
      <c r="F957" s="174"/>
      <c r="G957" s="174" t="str">
        <f>IFERROR(IF(OR(COUNT('Assumptions and Catalog'!C9)&lt;&gt;1,'Assumptions and Catalog'!C9&lt;-0.999999),"ERROR: Maintenance cost escalation: review 'Assumptions and Catalog'!C9. Required -0.999999 to no upper limit.","OK"),"ERROR: Cannot evaluate Maintenance cost escalation check. Fix model / numeric inputs above; see calculation diagnostics below.")</f>
        <v>OK</v>
      </c>
      <c r="H957" s="174"/>
      <c r="I957" s="174"/>
      <c r="J957" s="174"/>
      <c r="K957" s="174" t="str">
        <f>IFERROR(IF(OR(COUNT('Assumptions and Catalog'!C9)&lt;&gt;1,'Assumptions and Catalog'!C9&lt;-0.999999),"ERROR: Maintenance cost escalation: review 'Assumptions and Catalog'!C9. Required -0.999999 to no upper limit.","OK"),"ERROR: Cannot evaluate Maintenance cost escalation check. Fix model / numeric inputs above; see calculation diagnostics below.")</f>
        <v>OK</v>
      </c>
      <c r="L957" s="174"/>
      <c r="M957" s="174"/>
      <c r="N957" s="174"/>
    </row>
    <row r="958" ht="54" customHeight="1">
      <c r="A958" s="173" t="str">
        <v>Annual PV degradation</v>
      </c>
      <c r="B958" s="173"/>
      <c r="C958" s="173" t="str">
        <f>IFERROR(IF(OR(COUNT('Assumptions and Catalog'!C10)&lt;&gt;1,'Assumptions and Catalog'!C10&lt;0,'Assumptions and Catalog'!C10&gt;1),"ERROR: Annual PV degradation: review 'Assumptions and Catalog'!C10. Required 0 to 1.","OK"),"ERROR: Cannot evaluate Annual PV degradation check. Fix model / numeric inputs above; see calculation diagnostics below.")</f>
        <v>OK</v>
      </c>
      <c r="D958" s="173"/>
      <c r="E958" s="173"/>
      <c r="F958" s="173"/>
      <c r="G958" s="173" t="str">
        <f>IFERROR(IF(OR(COUNT('Assumptions and Catalog'!C10)&lt;&gt;1,'Assumptions and Catalog'!C10&lt;0,'Assumptions and Catalog'!C10&gt;1),"ERROR: Annual PV degradation: review 'Assumptions and Catalog'!C10. Required 0 to 1.","OK"),"ERROR: Cannot evaluate Annual PV degradation check. Fix model / numeric inputs above; see calculation diagnostics below.")</f>
        <v>OK</v>
      </c>
      <c r="H958" s="173"/>
      <c r="I958" s="173"/>
      <c r="J958" s="173"/>
      <c r="K958" s="173" t="str">
        <f>IFERROR(IF(OR(COUNT('Assumptions and Catalog'!C10)&lt;&gt;1,'Assumptions and Catalog'!C10&lt;0,'Assumptions and Catalog'!C10&gt;1),"ERROR: Annual PV degradation: review 'Assumptions and Catalog'!C10. Required 0 to 1.","OK"),"ERROR: Cannot evaluate Annual PV degradation check. Fix model / numeric inputs above; see calculation diagnostics below.")</f>
        <v>OK</v>
      </c>
      <c r="L958" s="173"/>
      <c r="M958" s="173"/>
      <c r="N958" s="173"/>
    </row>
    <row r="959" ht="54" customHeight="1">
      <c r="A959" s="174" t="str">
        <v>Charge efficiency</v>
      </c>
      <c r="B959" s="174"/>
      <c r="C959" s="174" t="str">
        <f>IFERROR(IF(OR(COUNT('Assumptions and Catalog'!C11)&lt;&gt;1,'Assumptions and Catalog'!C11&lt;0.000001,'Assumptions and Catalog'!C11&gt;1),"ERROR: Charge efficiency: review 'Assumptions and Catalog'!C11. Required 0.000001 to 1.","OK"),"ERROR: Cannot evaluate Charge efficiency check. Fix model / numeric inputs above; see calculation diagnostics below.")</f>
        <v>OK</v>
      </c>
      <c r="D959" s="174"/>
      <c r="E959" s="174"/>
      <c r="F959" s="174"/>
      <c r="G959" s="174" t="str">
        <f>IFERROR(IF(OR(COUNT('Assumptions and Catalog'!C11)&lt;&gt;1,'Assumptions and Catalog'!C11&lt;0.000001,'Assumptions and Catalog'!C11&gt;1),"ERROR: Charge efficiency: review 'Assumptions and Catalog'!C11. Required 0.000001 to 1.","OK"),"ERROR: Cannot evaluate Charge efficiency check. Fix model / numeric inputs above; see calculation diagnostics below.")</f>
        <v>OK</v>
      </c>
      <c r="H959" s="174"/>
      <c r="I959" s="174"/>
      <c r="J959" s="174"/>
      <c r="K959" s="174" t="str">
        <f>IFERROR(IF(OR(COUNT('Assumptions and Catalog'!C11)&lt;&gt;1,'Assumptions and Catalog'!C11&lt;0.000001,'Assumptions and Catalog'!C11&gt;1),"ERROR: Charge efficiency: review 'Assumptions and Catalog'!C11. Required 0.000001 to 1.","OK"),"ERROR: Cannot evaluate Charge efficiency check. Fix model / numeric inputs above; see calculation diagnostics below.")</f>
        <v>OK</v>
      </c>
      <c r="L959" s="174"/>
      <c r="M959" s="174"/>
      <c r="N959" s="174"/>
    </row>
    <row r="960" ht="54" customHeight="1">
      <c r="A960" s="173" t="str">
        <v>Discharge efficiency</v>
      </c>
      <c r="B960" s="173"/>
      <c r="C960" s="173" t="str">
        <f>IFERROR(IF(OR(COUNT('Assumptions and Catalog'!C12)&lt;&gt;1,'Assumptions and Catalog'!C12&lt;0.000001,'Assumptions and Catalog'!C12&gt;1),"ERROR: Discharge efficiency: review 'Assumptions and Catalog'!C12. Required 0.000001 to 1.","OK"),"ERROR: Cannot evaluate Discharge efficiency check. Fix model / numeric inputs above; see calculation diagnostics below.")</f>
        <v>OK</v>
      </c>
      <c r="D960" s="173"/>
      <c r="E960" s="173"/>
      <c r="F960" s="173"/>
      <c r="G960" s="173" t="str">
        <f>IFERROR(IF(OR(COUNT('Assumptions and Catalog'!C12)&lt;&gt;1,'Assumptions and Catalog'!C12&lt;0.000001,'Assumptions and Catalog'!C12&gt;1),"ERROR: Discharge efficiency: review 'Assumptions and Catalog'!C12. Required 0.000001 to 1.","OK"),"ERROR: Cannot evaluate Discharge efficiency check. Fix model / numeric inputs above; see calculation diagnostics below.")</f>
        <v>OK</v>
      </c>
      <c r="H960" s="173"/>
      <c r="I960" s="173"/>
      <c r="J960" s="173"/>
      <c r="K960" s="173" t="str">
        <f>IFERROR(IF(OR(COUNT('Assumptions and Catalog'!C12)&lt;&gt;1,'Assumptions and Catalog'!C12&lt;0.000001,'Assumptions and Catalog'!C12&gt;1),"ERROR: Discharge efficiency: review 'Assumptions and Catalog'!C12. Required 0.000001 to 1.","OK"),"ERROR: Cannot evaluate Discharge efficiency check. Fix model / numeric inputs above; see calculation diagnostics below.")</f>
        <v>OK</v>
      </c>
      <c r="L960" s="173"/>
      <c r="M960" s="173"/>
      <c r="N960" s="173"/>
    </row>
    <row r="961" ht="54" customHeight="1">
      <c r="A961" s="174" t="str">
        <v>Daytime duration</v>
      </c>
      <c r="B961" s="174"/>
      <c r="C961" s="174" t="str">
        <f>IFERROR(IF(OR(COUNT('Assumptions and Catalog'!C13)&lt;&gt;1,'Assumptions and Catalog'!C13&lt;0,'Assumptions and Catalog'!C13&gt;24),"ERROR: Daytime duration: review 'Assumptions and Catalog'!C13. Required 0 to 24.","OK"),"ERROR: Cannot evaluate Daytime duration check. Fix model / numeric inputs above; see calculation diagnostics below.")</f>
        <v>OK</v>
      </c>
      <c r="D961" s="174"/>
      <c r="E961" s="174"/>
      <c r="F961" s="174"/>
      <c r="G961" s="174" t="str">
        <f>IFERROR(IF(OR(COUNT('Assumptions and Catalog'!C13)&lt;&gt;1,'Assumptions and Catalog'!C13&lt;0,'Assumptions and Catalog'!C13&gt;24),"ERROR: Daytime duration: review 'Assumptions and Catalog'!C13. Required 0 to 24.","OK"),"ERROR: Cannot evaluate Daytime duration check. Fix model / numeric inputs above; see calculation diagnostics below.")</f>
        <v>OK</v>
      </c>
      <c r="H961" s="174"/>
      <c r="I961" s="174"/>
      <c r="J961" s="174"/>
      <c r="K961" s="174" t="str">
        <f>IFERROR(IF(OR(COUNT('Assumptions and Catalog'!C13)&lt;&gt;1,'Assumptions and Catalog'!C13&lt;0,'Assumptions and Catalog'!C13&gt;24),"ERROR: Daytime duration: review 'Assumptions and Catalog'!C13. Required 0 to 24.","OK"),"ERROR: Cannot evaluate Daytime duration check. Fix model / numeric inputs above; see calculation diagnostics below.")</f>
        <v>OK</v>
      </c>
      <c r="L961" s="174"/>
      <c r="M961" s="174"/>
      <c r="N961" s="174"/>
    </row>
    <row r="962" ht="54" customHeight="1">
      <c r="A962" s="173" t="str">
        <v>PV charging window</v>
      </c>
      <c r="B962" s="173"/>
      <c r="C962" s="173" t="str">
        <f>IFERROR(IF(OR(COUNT('Assumptions and Catalog'!C14)&lt;&gt;1,'Assumptions and Catalog'!C14&lt;0,'Assumptions and Catalog'!C14&gt;24),"ERROR: PV charging window: review 'Assumptions and Catalog'!C14. Required 0 to 24.","OK"),"ERROR: Cannot evaluate PV charging window check. Fix model / numeric inputs above; see calculation diagnostics below.")</f>
        <v>OK</v>
      </c>
      <c r="D962" s="173"/>
      <c r="E962" s="173"/>
      <c r="F962" s="173"/>
      <c r="G962" s="173" t="str">
        <f>IFERROR(IF(OR(COUNT('Assumptions and Catalog'!C14)&lt;&gt;1,'Assumptions and Catalog'!C14&lt;0,'Assumptions and Catalog'!C14&gt;24),"ERROR: PV charging window: review 'Assumptions and Catalog'!C14. Required 0 to 24.","OK"),"ERROR: Cannot evaluate PV charging window check. Fix model / numeric inputs above; see calculation diagnostics below.")</f>
        <v>OK</v>
      </c>
      <c r="H962" s="173"/>
      <c r="I962" s="173"/>
      <c r="J962" s="173"/>
      <c r="K962" s="173" t="str">
        <f>IFERROR(IF(OR(COUNT('Assumptions and Catalog'!C14)&lt;&gt;1,'Assumptions and Catalog'!C14&lt;0,'Assumptions and Catalog'!C14&gt;24),"ERROR: PV charging window: review 'Assumptions and Catalog'!C14. Required 0 to 24.","OK"),"ERROR: Cannot evaluate PV charging window check. Fix model / numeric inputs above; see calculation diagnostics below.")</f>
        <v>OK</v>
      </c>
      <c r="L962" s="173"/>
      <c r="M962" s="173"/>
      <c r="N962" s="173"/>
    </row>
    <row r="963" ht="54" customHeight="1">
      <c r="A963" s="174" t="str">
        <v>Grid charging window</v>
      </c>
      <c r="B963" s="174"/>
      <c r="C963" s="174" t="str">
        <f>IFERROR(IF(OR(COUNT('Assumptions and Catalog'!C15)&lt;&gt;1,'Assumptions and Catalog'!C15&lt;0,'Assumptions and Catalog'!C15&gt;24),"ERROR: Grid charging window: review 'Assumptions and Catalog'!C15. Required 0 to 24.","OK"),"ERROR: Cannot evaluate Grid charging window check. Fix model / numeric inputs above; see calculation diagnostics below.")</f>
        <v>OK</v>
      </c>
      <c r="D963" s="174"/>
      <c r="E963" s="174"/>
      <c r="F963" s="174"/>
      <c r="G963" s="174" t="str">
        <f>IFERROR(IF(OR(COUNT('Assumptions and Catalog'!C15)&lt;&gt;1,'Assumptions and Catalog'!C15&lt;0,'Assumptions and Catalog'!C15&gt;24),"ERROR: Grid charging window: review 'Assumptions and Catalog'!C15. Required 0 to 24.","OK"),"ERROR: Cannot evaluate Grid charging window check. Fix model / numeric inputs above; see calculation diagnostics below.")</f>
        <v>OK</v>
      </c>
      <c r="H963" s="174"/>
      <c r="I963" s="174"/>
      <c r="J963" s="174"/>
      <c r="K963" s="174" t="str">
        <f>IFERROR(IF(OR(COUNT('Assumptions and Catalog'!C15)&lt;&gt;1,'Assumptions and Catalog'!C15&lt;0,'Assumptions and Catalog'!C15&gt;24),"ERROR: Grid charging window: review 'Assumptions and Catalog'!C15. Required 0 to 24.","OK"),"ERROR: Cannot evaluate Grid charging window check. Fix model / numeric inputs above; see calculation diagnostics below.")</f>
        <v>OK</v>
      </c>
      <c r="L963" s="174"/>
      <c r="M963" s="174"/>
      <c r="N963" s="174"/>
    </row>
    <row r="964" ht="54" customHeight="1">
      <c r="A964" s="173" t="str">
        <v>Installation area multiplier</v>
      </c>
      <c r="B964" s="173"/>
      <c r="C964" s="173" t="str">
        <f>IFERROR(IF(OR(COUNT('Assumptions and Catalog'!C16)&lt;&gt;1,'Assumptions and Catalog'!C16&lt;1),"ERROR: Installation area multiplier: review 'Assumptions and Catalog'!C16. Required 1 to no upper limit.","OK"),"ERROR: Cannot evaluate Installation area multiplier check. Fix model / numeric inputs above; see calculation diagnostics below.")</f>
        <v>OK</v>
      </c>
      <c r="D964" s="173"/>
      <c r="E964" s="173"/>
      <c r="F964" s="173"/>
      <c r="G964" s="173" t="str">
        <f>IFERROR(IF(OR(COUNT('Assumptions and Catalog'!C16)&lt;&gt;1,'Assumptions and Catalog'!C16&lt;1),"ERROR: Installation area multiplier: review 'Assumptions and Catalog'!C16. Required 1 to no upper limit.","OK"),"ERROR: Cannot evaluate Installation area multiplier check. Fix model / numeric inputs above; see calculation diagnostics below.")</f>
        <v>OK</v>
      </c>
      <c r="H964" s="173"/>
      <c r="I964" s="173"/>
      <c r="J964" s="173"/>
      <c r="K964" s="173" t="str">
        <f>IFERROR(IF(OR(COUNT('Assumptions and Catalog'!C16)&lt;&gt;1,'Assumptions and Catalog'!C16&lt;1),"ERROR: Installation area multiplier: review 'Assumptions and Catalog'!C16. Required 1 to no upper limit.","OK"),"ERROR: Cannot evaluate Installation area multiplier check. Fix model / numeric inputs above; see calculation diagnostics below.")</f>
        <v>OK</v>
      </c>
      <c r="L964" s="173"/>
      <c r="M964" s="173"/>
      <c r="N964" s="173"/>
    </row>
    <row r="965" ht="54" customHeight="1">
      <c r="A965" s="174" t="str">
        <v>Installation and BOS</v>
      </c>
      <c r="B965" s="174"/>
      <c r="C965" s="174" t="str">
        <f>IFERROR(IF(OR(COUNT('Assumptions and Catalog'!C17)&lt;&gt;1,'Assumptions and Catalog'!C17&lt;0),"ERROR: Installation and BOS: review 'Assumptions and Catalog'!C17. Required 0 to no upper limit.","OK"),"ERROR: Cannot evaluate Installation and BOS check. Fix model / numeric inputs above; see calculation diagnostics below.")</f>
        <v>OK</v>
      </c>
      <c r="D965" s="174"/>
      <c r="E965" s="174"/>
      <c r="F965" s="174"/>
      <c r="G965" s="174" t="str">
        <f>IFERROR(IF(OR(COUNT('Assumptions and Catalog'!C17)&lt;&gt;1,'Assumptions and Catalog'!C17&lt;0),"ERROR: Installation and BOS: review 'Assumptions and Catalog'!C17. Required 0 to no upper limit.","OK"),"ERROR: Cannot evaluate Installation and BOS check. Fix model / numeric inputs above; see calculation diagnostics below.")</f>
        <v>OK</v>
      </c>
      <c r="H965" s="174"/>
      <c r="I965" s="174"/>
      <c r="J965" s="174"/>
      <c r="K965" s="174" t="str">
        <f>IFERROR(IF(OR(COUNT('Assumptions and Catalog'!C17)&lt;&gt;1,'Assumptions and Catalog'!C17&lt;0),"ERROR: Installation and BOS: review 'Assumptions and Catalog'!C17. Required 0 to no upper limit.","OK"),"ERROR: Cannot evaluate Installation and BOS check. Fix model / numeric inputs above; see calculation diagnostics below.")</f>
        <v>OK</v>
      </c>
      <c r="L965" s="174"/>
      <c r="M965" s="174"/>
      <c r="N965" s="174"/>
    </row>
    <row r="966" ht="54" customHeight="1">
      <c r="A966" s="173" t="str">
        <v>Annual maintenance</v>
      </c>
      <c r="B966" s="173"/>
      <c r="C966" s="173" t="str">
        <f>IFERROR(IF(OR(COUNT('Assumptions and Catalog'!C18)&lt;&gt;1,'Assumptions and Catalog'!C18&lt;0),"ERROR: Annual maintenance: review 'Assumptions and Catalog'!C18. Required 0 to no upper limit.","OK"),"ERROR: Cannot evaluate Annual maintenance check. Fix model / numeric inputs above; see calculation diagnostics below.")</f>
        <v>OK</v>
      </c>
      <c r="D966" s="173"/>
      <c r="E966" s="173"/>
      <c r="F966" s="173"/>
      <c r="G966" s="173" t="str">
        <f>IFERROR(IF(OR(COUNT('Assumptions and Catalog'!C18)&lt;&gt;1,'Assumptions and Catalog'!C18&lt;0),"ERROR: Annual maintenance: review 'Assumptions and Catalog'!C18. Required 0 to no upper limit.","OK"),"ERROR: Cannot evaluate Annual maintenance check. Fix model / numeric inputs above; see calculation diagnostics below.")</f>
        <v>OK</v>
      </c>
      <c r="H966" s="173"/>
      <c r="I966" s="173"/>
      <c r="J966" s="173"/>
      <c r="K966" s="173" t="str">
        <f>IFERROR(IF(OR(COUNT('Assumptions and Catalog'!C18)&lt;&gt;1,'Assumptions and Catalog'!C18&lt;0),"ERROR: Annual maintenance: review 'Assumptions and Catalog'!C18. Required 0 to no upper limit.","OK"),"ERROR: Cannot evaluate Annual maintenance check. Fix model / numeric inputs above; see calculation diagnostics below.")</f>
        <v>OK</v>
      </c>
      <c r="L966" s="173"/>
      <c r="M966" s="173"/>
      <c r="N966" s="173"/>
    </row>
    <row r="967" ht="54" customHeight="1">
      <c r="A967" s="174" t="str">
        <v>Battery replacement year</v>
      </c>
      <c r="B967" s="174"/>
      <c r="C967" s="174" t="str">
        <f>IFERROR(IF(OR(COUNT('Assumptions and Catalog'!C19)&lt;&gt;1,'Assumptions and Catalog'!C19&lt;0,MOD('Assumptions and Catalog'!C19,1)&lt;&gt;0),"ERROR: Battery replacement year: review 'Assumptions and Catalog'!C19. Required 0 to no upper limit, whole number.","OK"),"ERROR: Cannot evaluate Battery replacement year check. Fix model / numeric inputs above; see calculation diagnostics below.")</f>
        <v>OK</v>
      </c>
      <c r="D967" s="174"/>
      <c r="E967" s="174"/>
      <c r="F967" s="174"/>
      <c r="G967" s="174" t="str">
        <f>IFERROR(IF(OR(COUNT('Assumptions and Catalog'!C19)&lt;&gt;1,'Assumptions and Catalog'!C19&lt;0,MOD('Assumptions and Catalog'!C19,1)&lt;&gt;0),"ERROR: Battery replacement year: review 'Assumptions and Catalog'!C19. Required 0 to no upper limit, whole number.","OK"),"ERROR: Cannot evaluate Battery replacement year check. Fix model / numeric inputs above; see calculation diagnostics below.")</f>
        <v>OK</v>
      </c>
      <c r="H967" s="174"/>
      <c r="I967" s="174"/>
      <c r="J967" s="174"/>
      <c r="K967" s="174" t="str">
        <f>IFERROR(IF(OR(COUNT('Assumptions and Catalog'!C19)&lt;&gt;1,'Assumptions and Catalog'!C19&lt;0,MOD('Assumptions and Catalog'!C19,1)&lt;&gt;0),"ERROR: Battery replacement year: review 'Assumptions and Catalog'!C19. Required 0 to no upper limit, whole number.","OK"),"ERROR: Cannot evaluate Battery replacement year check. Fix model / numeric inputs above; see calculation diagnostics below.")</f>
        <v>OK</v>
      </c>
      <c r="L967" s="174"/>
      <c r="M967" s="174"/>
      <c r="N967" s="174"/>
    </row>
    <row r="968" ht="54" customHeight="1">
      <c r="A968" s="173" t="str">
        <v>Battery replacement cost</v>
      </c>
      <c r="B968" s="173"/>
      <c r="C968" s="173" t="str">
        <f>IFERROR(IF(OR(COUNT('Assumptions and Catalog'!C20)&lt;&gt;1,'Assumptions and Catalog'!C20&lt;0),"ERROR: Battery replacement cost: review 'Assumptions and Catalog'!C20. Required 0 to no upper limit.","OK"),"ERROR: Cannot evaluate Battery replacement cost check. Fix model / numeric inputs above; see calculation diagnostics below.")</f>
        <v>OK</v>
      </c>
      <c r="D968" s="173"/>
      <c r="E968" s="173"/>
      <c r="F968" s="173"/>
      <c r="G968" s="173" t="str">
        <f>IFERROR(IF(OR(COUNT('Assumptions and Catalog'!C20)&lt;&gt;1,'Assumptions and Catalog'!C20&lt;0),"ERROR: Battery replacement cost: review 'Assumptions and Catalog'!C20. Required 0 to no upper limit.","OK"),"ERROR: Cannot evaluate Battery replacement cost check. Fix model / numeric inputs above; see calculation diagnostics below.")</f>
        <v>OK</v>
      </c>
      <c r="H968" s="173"/>
      <c r="I968" s="173"/>
      <c r="J968" s="173"/>
      <c r="K968" s="173" t="str">
        <f>IFERROR(IF(OR(COUNT('Assumptions and Catalog'!C20)&lt;&gt;1,'Assumptions and Catalog'!C20&lt;0),"ERROR: Battery replacement cost: review 'Assumptions and Catalog'!C20. Required 0 to no upper limit.","OK"),"ERROR: Cannot evaluate Battery replacement cost check. Fix model / numeric inputs above; see calculation diagnostics below.")</f>
        <v>OK</v>
      </c>
      <c r="L968" s="173"/>
      <c r="M968" s="173"/>
      <c r="N968" s="173"/>
    </row>
    <row r="969" ht="54" customHeight="1">
      <c r="A969" s="174" t="str">
        <v>Inverter replacement year</v>
      </c>
      <c r="B969" s="174"/>
      <c r="C969" s="174" t="str">
        <f>IFERROR(IF(OR(COUNT('Assumptions and Catalog'!C21)&lt;&gt;1,'Assumptions and Catalog'!C21&lt;0,MOD('Assumptions and Catalog'!C21,1)&lt;&gt;0),"ERROR: Inverter replacement year: review 'Assumptions and Catalog'!C21. Required 0 to no upper limit, whole number.","OK"),"ERROR: Cannot evaluate Inverter replacement year check. Fix model / numeric inputs above; see calculation diagnostics below.")</f>
        <v>OK</v>
      </c>
      <c r="D969" s="174"/>
      <c r="E969" s="174"/>
      <c r="F969" s="174"/>
      <c r="G969" s="174" t="str">
        <f>IFERROR(IF(OR(COUNT('Assumptions and Catalog'!C21)&lt;&gt;1,'Assumptions and Catalog'!C21&lt;0,MOD('Assumptions and Catalog'!C21,1)&lt;&gt;0),"ERROR: Inverter replacement year: review 'Assumptions and Catalog'!C21. Required 0 to no upper limit, whole number.","OK"),"ERROR: Cannot evaluate Inverter replacement year check. Fix model / numeric inputs above; see calculation diagnostics below.")</f>
        <v>OK</v>
      </c>
      <c r="H969" s="174"/>
      <c r="I969" s="174"/>
      <c r="J969" s="174"/>
      <c r="K969" s="174" t="str">
        <f>IFERROR(IF(OR(COUNT('Assumptions and Catalog'!C21)&lt;&gt;1,'Assumptions and Catalog'!C21&lt;0,MOD('Assumptions and Catalog'!C21,1)&lt;&gt;0),"ERROR: Inverter replacement year: review 'Assumptions and Catalog'!C21. Required 0 to no upper limit, whole number.","OK"),"ERROR: Cannot evaluate Inverter replacement year check. Fix model / numeric inputs above; see calculation diagnostics below.")</f>
        <v>OK</v>
      </c>
      <c r="L969" s="174"/>
      <c r="M969" s="174"/>
      <c r="N969" s="174"/>
    </row>
    <row r="970" ht="54" customHeight="1">
      <c r="A970" s="173" t="str">
        <v>Inverter replacement cost</v>
      </c>
      <c r="B970" s="173"/>
      <c r="C970" s="173" t="str">
        <f>IFERROR(IF(OR(COUNT('Assumptions and Catalog'!C22)&lt;&gt;1,'Assumptions and Catalog'!C22&lt;0),"ERROR: Inverter replacement cost: review 'Assumptions and Catalog'!C22. Required 0 to no upper limit.","OK"),"ERROR: Cannot evaluate Inverter replacement cost check. Fix model / numeric inputs above; see calculation diagnostics below.")</f>
        <v>OK</v>
      </c>
      <c r="D970" s="173"/>
      <c r="E970" s="173"/>
      <c r="F970" s="173"/>
      <c r="G970" s="173" t="str">
        <f>IFERROR(IF(OR(COUNT('Assumptions and Catalog'!C22)&lt;&gt;1,'Assumptions and Catalog'!C22&lt;0),"ERROR: Inverter replacement cost: review 'Assumptions and Catalog'!C22. Required 0 to no upper limit.","OK"),"ERROR: Cannot evaluate Inverter replacement cost check. Fix model / numeric inputs above; see calculation diagnostics below.")</f>
        <v>OK</v>
      </c>
      <c r="H970" s="173"/>
      <c r="I970" s="173"/>
      <c r="J970" s="173"/>
      <c r="K970" s="173" t="str">
        <f>IFERROR(IF(OR(COUNT('Assumptions and Catalog'!C22)&lt;&gt;1,'Assumptions and Catalog'!C22&lt;0),"ERROR: Inverter replacement cost: review 'Assumptions and Catalog'!C22. Required 0 to no upper limit.","OK"),"ERROR: Cannot evaluate Inverter replacement cost check. Fix model / numeric inputs above; see calculation diagnostics below.")</f>
        <v>OK</v>
      </c>
      <c r="L970" s="173"/>
      <c r="M970" s="173"/>
      <c r="N970" s="173"/>
    </row>
    <row r="971" ht="54" customHeight="1">
      <c r="A971" s="174" t="str">
        <v>Annual battery degradation</v>
      </c>
      <c r="B971" s="174"/>
      <c r="C971" s="174" t="str">
        <f>IFERROR(IF(OR(COUNT('Assumptions and Catalog'!C23)&lt;&gt;1,'Assumptions and Catalog'!C23&lt;0,'Assumptions and Catalog'!C23&gt;1),"ERROR: Annual battery degradation: review 'Assumptions and Catalog'!C23. Required 0 to 1.","OK"),"ERROR: Cannot evaluate Annual battery degradation check. Fix model / numeric inputs above; see calculation diagnostics below.")</f>
        <v>OK</v>
      </c>
      <c r="D971" s="174"/>
      <c r="E971" s="174"/>
      <c r="F971" s="174"/>
      <c r="G971" s="174" t="str">
        <f>IFERROR(IF(OR(COUNT('Assumptions and Catalog'!C23)&lt;&gt;1,'Assumptions and Catalog'!C23&lt;0,'Assumptions and Catalog'!C23&gt;1),"ERROR: Annual battery degradation: review 'Assumptions and Catalog'!C23. Required 0 to 1.","OK"),"ERROR: Cannot evaluate Annual battery degradation check. Fix model / numeric inputs above; see calculation diagnostics below.")</f>
        <v>OK</v>
      </c>
      <c r="H971" s="174"/>
      <c r="I971" s="174"/>
      <c r="J971" s="174"/>
      <c r="K971" s="174" t="str">
        <f>IFERROR(IF(OR(COUNT('Assumptions and Catalog'!C23)&lt;&gt;1,'Assumptions and Catalog'!C23&lt;0,'Assumptions and Catalog'!C23&gt;1),"ERROR: Annual battery degradation: review 'Assumptions and Catalog'!C23. Required 0 to 1.","OK"),"ERROR: Cannot evaluate Annual battery degradation check. Fix model / numeric inputs above; see calculation diagnostics below.")</f>
        <v>OK</v>
      </c>
      <c r="L971" s="174"/>
      <c r="M971" s="174"/>
      <c r="N971" s="174"/>
    </row>
    <row r="972" ht="54" customHeight="1">
      <c r="A972" s="173" t="str">
        <v>First forecast calendar year</v>
      </c>
      <c r="B972" s="173"/>
      <c r="C972" s="173" t="str">
        <f>IFERROR(IF(OR(COUNT('Assumptions and Catalog'!C24)&lt;&gt;1,'Assumptions and Catalog'!C24&lt;1900,'Assumptions and Catalog'!C24&gt;9999,MOD('Assumptions and Catalog'!C24,1)&lt;&gt;0),"ERROR: First forecast calendar year: review 'Assumptions and Catalog'!C24. Required 1900 to 9999, whole number.","OK"),"ERROR: Cannot evaluate First forecast calendar year check. Fix model / numeric inputs above; see calculation diagnostics below.")</f>
        <v>OK</v>
      </c>
      <c r="D972" s="173"/>
      <c r="E972" s="173"/>
      <c r="F972" s="173"/>
      <c r="G972" s="173" t="str">
        <f>IFERROR(IF(OR(COUNT('Assumptions and Catalog'!C24)&lt;&gt;1,'Assumptions and Catalog'!C24&lt;1900,'Assumptions and Catalog'!C24&gt;9999,MOD('Assumptions and Catalog'!C24,1)&lt;&gt;0),"ERROR: First forecast calendar year: review 'Assumptions and Catalog'!C24. Required 1900 to 9999, whole number.","OK"),"ERROR: Cannot evaluate First forecast calendar year check. Fix model / numeric inputs above; see calculation diagnostics below.")</f>
        <v>OK</v>
      </c>
      <c r="H972" s="173"/>
      <c r="I972" s="173"/>
      <c r="J972" s="173"/>
      <c r="K972" s="173" t="str">
        <f>IFERROR(IF(OR(COUNT('Assumptions and Catalog'!C24)&lt;&gt;1,'Assumptions and Catalog'!C24&lt;1900,'Assumptions and Catalog'!C24&gt;9999,MOD('Assumptions and Catalog'!C24,1)&lt;&gt;0),"ERROR: First forecast calendar year: review 'Assumptions and Catalog'!C24. Required 1900 to 9999, whole number.","OK"),"ERROR: Cannot evaluate First forecast calendar year check. Fix model / numeric inputs above; see calculation diagnostics below.")</f>
        <v>OK</v>
      </c>
      <c r="L972" s="173"/>
      <c r="M972" s="173"/>
      <c r="N972" s="173"/>
    </row>
    <row r="973" ht="54" customHeight="1">
      <c r="A973" s="174" t="str">
        <v>Inverse-bill tolerance</v>
      </c>
      <c r="B973" s="174"/>
      <c r="C973" s="174" t="str">
        <f>IFERROR(IF(OR(COUNT('Assumptions and Catalog'!C25)&lt;&gt;1,'Assumptions and Catalog'!C25&lt;0),"ERROR: Inverse-bill tolerance: review 'Assumptions and Catalog'!C25. Required 0 to no upper limit.","OK"),"ERROR: Cannot evaluate Inverse-bill tolerance check. Fix model / numeric inputs above; see calculation diagnostics below.")</f>
        <v>OK</v>
      </c>
      <c r="D973" s="174"/>
      <c r="E973" s="174"/>
      <c r="F973" s="174"/>
      <c r="G973" s="174" t="str">
        <f>IFERROR(IF(OR(COUNT('Assumptions and Catalog'!C25)&lt;&gt;1,'Assumptions and Catalog'!C25&lt;0),"ERROR: Inverse-bill tolerance: review 'Assumptions and Catalog'!C25. Required 0 to no upper limit.","OK"),"ERROR: Cannot evaluate Inverse-bill tolerance check. Fix model / numeric inputs above; see calculation diagnostics below.")</f>
        <v>OK</v>
      </c>
      <c r="H973" s="174"/>
      <c r="I973" s="174"/>
      <c r="J973" s="174"/>
      <c r="K973" s="174" t="str">
        <f>IFERROR(IF(OR(COUNT('Assumptions and Catalog'!C25)&lt;&gt;1,'Assumptions and Catalog'!C25&lt;0),"ERROR: Inverse-bill tolerance: review 'Assumptions and Catalog'!C25. Required 0 to no upper limit.","OK"),"ERROR: Cannot evaluate Inverse-bill tolerance check. Fix model / numeric inputs above; see calculation diagnostics below.")</f>
        <v>OK</v>
      </c>
      <c r="L973" s="174"/>
      <c r="M973" s="174"/>
      <c r="N973" s="174"/>
    </row>
    <row r="974" ht="54" customHeight="1">
      <c r="A974" s="173" t="str">
        <v>Battery auxiliary consumption</v>
      </c>
      <c r="B974" s="173"/>
      <c r="C974" s="173" t="str">
        <f>IFERROR(IF(OR(COUNT('Assumptions and Catalog'!C26)&lt;&gt;1,'Assumptions and Catalog'!C26&lt;0),"ERROR: Battery auxiliary consumption: review 'Assumptions and Catalog'!C26. Required 0 to no upper limit.","OK"),"ERROR: Cannot evaluate Battery auxiliary consumption check. Fix model / numeric inputs above; see calculation diagnostics below.")</f>
        <v>OK</v>
      </c>
      <c r="D974" s="173"/>
      <c r="E974" s="173"/>
      <c r="F974" s="173"/>
      <c r="G974" s="173" t="str">
        <f>IFERROR(IF(OR(COUNT('Assumptions and Catalog'!C26)&lt;&gt;1,'Assumptions and Catalog'!C26&lt;0),"ERROR: Battery auxiliary consumption: review 'Assumptions and Catalog'!C26. Required 0 to no upper limit.","OK"),"ERROR: Cannot evaluate Battery auxiliary consumption check. Fix model / numeric inputs above; see calculation diagnostics below.")</f>
        <v>OK</v>
      </c>
      <c r="H974" s="173"/>
      <c r="I974" s="173"/>
      <c r="J974" s="173"/>
      <c r="K974" s="173" t="str">
        <f>IFERROR(IF(OR(COUNT('Assumptions and Catalog'!C26)&lt;&gt;1,'Assumptions and Catalog'!C26&lt;0),"ERROR: Battery auxiliary consumption: review 'Assumptions and Catalog'!C26. Required 0 to no upper limit.","OK"),"ERROR: Cannot evaluate Battery auxiliary consumption check. Fix model / numeric inputs above; see calculation diagnostics below.")</f>
        <v>OK</v>
      </c>
      <c r="L974" s="173"/>
      <c r="M974" s="173"/>
      <c r="N974" s="173"/>
    </row>
    <row r="975" ht="54" customHeight="1">
      <c r="A975" s="174" t="str">
        <v>Average daily PV yield</v>
      </c>
      <c r="B975" s="174"/>
      <c r="C975" s="174" t="str">
        <f>IFERROR(IF(OR(COUNT('Assumptions and Catalog'!C31)&lt;&gt;1,'Assumptions and Catalog'!C31&lt;0),"ERROR: Average daily PV yield: review 'Assumptions and Catalog'!C31. Required 0 to no upper limit.","OK"),"ERROR: Cannot evaluate Average daily PV yield check. Fix model / numeric inputs above; see calculation diagnostics below.")</f>
        <v>OK</v>
      </c>
      <c r="D975" s="174"/>
      <c r="E975" s="174"/>
      <c r="F975" s="174"/>
      <c r="G975" s="174" t="str">
        <f>IFERROR(IF(OR(COUNT('Assumptions and Catalog'!C31)&lt;&gt;1,'Assumptions and Catalog'!C31&lt;0),"ERROR: Average daily PV yield: review 'Assumptions and Catalog'!C31. Required 0 to no upper limit.","OK"),"ERROR: Cannot evaluate Average daily PV yield check. Fix model / numeric inputs above; see calculation diagnostics below.")</f>
        <v>OK</v>
      </c>
      <c r="H975" s="174"/>
      <c r="I975" s="174"/>
      <c r="J975" s="174"/>
      <c r="K975" s="174" t="str">
        <f>IFERROR(IF(OR(COUNT('Assumptions and Catalog'!C31)&lt;&gt;1,'Assumptions and Catalog'!C31&lt;0),"ERROR: Average daily PV yield: review 'Assumptions and Catalog'!C31. Required 0 to no upper limit.","OK"),"ERROR: Cannot evaluate Average daily PV yield check. Fix model / numeric inputs above; see calculation diagnostics below.")</f>
        <v>OK</v>
      </c>
      <c r="L975" s="174"/>
      <c r="M975" s="174"/>
      <c r="N975" s="174"/>
    </row>
    <row r="976" ht="54" customHeight="1">
      <c r="A976" s="173" t="str">
        <v>Panel catalog</v>
      </c>
      <c r="B976" s="173"/>
      <c r="C976" s="173" t="str">
        <f>IFERROR(IF(OR(OR(COUNT(INDEX('Assumptions and Catalog'!$C$73:$C$74,MATCH(J9,'Assumptions and Catalog'!$A$73:$A$74,0)))&lt;&gt;1,INDEX('Assumptions and Catalog'!$C$73:$C$74,MATCH(J9,'Assumptions and Catalog'!$A$73:$A$74,0))&lt;0.000001),OR(COUNT(INDEX('Assumptions and Catalog'!$D$73:$D$74,MATCH(J9,'Assumptions and Catalog'!$A$73:$A$74,0)))&lt;&gt;1,INDEX('Assumptions and Catalog'!$D$73:$D$74,MATCH(J9,'Assumptions and Catalog'!$A$73:$A$74,0))&lt;0.000001),OR(COUNT(INDEX('Assumptions and Catalog'!$E$73:$E$74,MATCH(J9,'Assumptions and Catalog'!$A$73:$A$74,0)))&lt;&gt;1,INDEX('Assumptions and Catalog'!$E$73:$E$74,MATCH(J9,'Assumptions and Catalog'!$A$73:$A$74,0))&lt;0)),"ERROR: Panel catalog: selected model at Scenarios!J9 has missing/invalid ratings or prices. Review 'Assumptions and Catalog'!C73:G74.","OK"),"ERROR: Cannot evaluate Panel catalog check. Fix model / numeric inputs above; see calculation diagnostics below.")</f>
        <v>OK</v>
      </c>
      <c r="D976" s="173"/>
      <c r="E976" s="173"/>
      <c r="F976" s="173"/>
      <c r="G976" s="173" t="str">
        <f>IFERROR(IF(OR(OR(COUNT(INDEX('Assumptions and Catalog'!$C$73:$C$74,MATCH(K9,'Assumptions and Catalog'!$A$73:$A$74,0)))&lt;&gt;1,INDEX('Assumptions and Catalog'!$C$73:$C$74,MATCH(K9,'Assumptions and Catalog'!$A$73:$A$74,0))&lt;0.000001),OR(COUNT(INDEX('Assumptions and Catalog'!$D$73:$D$74,MATCH(K9,'Assumptions and Catalog'!$A$73:$A$74,0)))&lt;&gt;1,INDEX('Assumptions and Catalog'!$D$73:$D$74,MATCH(K9,'Assumptions and Catalog'!$A$73:$A$74,0))&lt;0.000001),OR(COUNT(INDEX('Assumptions and Catalog'!$E$73:$E$74,MATCH(K9,'Assumptions and Catalog'!$A$73:$A$74,0)))&lt;&gt;1,INDEX('Assumptions and Catalog'!$E$73:$E$74,MATCH(K9,'Assumptions and Catalog'!$A$73:$A$74,0))&lt;0)),"ERROR: Panel catalog: selected model at Scenarios!K9 has missing/invalid ratings or prices. Review 'Assumptions and Catalog'!C73:G74.","OK"),"ERROR: Cannot evaluate Panel catalog check. Fix model / numeric inputs above; see calculation diagnostics below.")</f>
        <v>OK</v>
      </c>
      <c r="H976" s="173"/>
      <c r="I976" s="173"/>
      <c r="J976" s="173"/>
      <c r="K976" s="173" t="str">
        <f>IFERROR(IF(OR(OR(COUNT(INDEX('Assumptions and Catalog'!$C$73:$C$74,MATCH(L9,'Assumptions and Catalog'!$A$73:$A$74,0)))&lt;&gt;1,INDEX('Assumptions and Catalog'!$C$73:$C$74,MATCH(L9,'Assumptions and Catalog'!$A$73:$A$74,0))&lt;0.000001),OR(COUNT(INDEX('Assumptions and Catalog'!$D$73:$D$74,MATCH(L9,'Assumptions and Catalog'!$A$73:$A$74,0)))&lt;&gt;1,INDEX('Assumptions and Catalog'!$D$73:$D$74,MATCH(L9,'Assumptions and Catalog'!$A$73:$A$74,0))&lt;0.000001),OR(COUNT(INDEX('Assumptions and Catalog'!$E$73:$E$74,MATCH(L9,'Assumptions and Catalog'!$A$73:$A$74,0)))&lt;&gt;1,INDEX('Assumptions and Catalog'!$E$73:$E$74,MATCH(L9,'Assumptions and Catalog'!$A$73:$A$74,0))&lt;0)),"ERROR: Panel catalog: selected model at Scenarios!L9 has missing/invalid ratings or prices. Review 'Assumptions and Catalog'!C73:G74.","OK"),"ERROR: Cannot evaluate Panel catalog check. Fix model / numeric inputs above; see calculation diagnostics below.")</f>
        <v>OK</v>
      </c>
      <c r="L976" s="173"/>
      <c r="M976" s="173"/>
      <c r="N976" s="173"/>
    </row>
    <row r="977" ht="54" customHeight="1">
      <c r="A977" s="174" t="str">
        <v>Battery catalog</v>
      </c>
      <c r="B977" s="174"/>
      <c r="C977" s="174" t="str">
        <f>IFERROR(IF(OR(OR(COUNT(INDEX('Assumptions and Catalog'!$C$79:$C$81,MATCH(J11,'Assumptions and Catalog'!$A$79:$A$81,0)))&lt;&gt;1,INDEX('Assumptions and Catalog'!$C$79:$C$81,MATCH(J11,'Assumptions and Catalog'!$A$79:$A$81,0))&lt;0.000001),OR(COUNT(INDEX('Assumptions and Catalog'!$D$79:$D$81,MATCH(J11,'Assumptions and Catalog'!$A$79:$A$81,0)))&lt;&gt;1,INDEX('Assumptions and Catalog'!$D$79:$D$81,MATCH(J11,'Assumptions and Catalog'!$A$79:$A$81,0))&lt;0.000001,INDEX('Assumptions and Catalog'!$D$79:$D$81,MATCH(J11,'Assumptions and Catalog'!$A$79:$A$81,0))&gt;1),OR(COUNT(INDEX('Assumptions and Catalog'!$E$79:$E$81,MATCH(J11,'Assumptions and Catalog'!$A$79:$A$81,0)))&lt;&gt;1,INDEX('Assumptions and Catalog'!$E$79:$E$81,MATCH(J11,'Assumptions and Catalog'!$A$79:$A$81,0))&lt;0),OR(COUNT(INDEX('Assumptions and Catalog'!$F$79:$F$81,MATCH(J11,'Assumptions and Catalog'!$A$79:$A$81,0)))&lt;&gt;1,INDEX('Assumptions and Catalog'!$F$79:$F$81,MATCH(J11,'Assumptions and Catalog'!$A$79:$A$81,0))&lt;0),OR(COUNT(INDEX('Assumptions and Catalog'!$G$79:$G$81,MATCH(J11,'Assumptions and Catalog'!$A$79:$A$81,0)))&lt;&gt;1,INDEX('Assumptions and Catalog'!$G$79:$G$81,MATCH(J11,'Assumptions and Catalog'!$A$79:$A$81,0))&lt;0)),"ERROR: Battery catalog: selected model at Scenarios!J11 has missing/invalid ratings or prices. Review 'Assumptions and Catalog'!C79:G81.","OK"),"ERROR: Cannot evaluate Battery catalog check. Fix model / numeric inputs above; see calculation diagnostics below.")</f>
        <v>OK</v>
      </c>
      <c r="D977" s="174"/>
      <c r="E977" s="174"/>
      <c r="F977" s="174"/>
      <c r="G977" s="174" t="str">
        <f>IFERROR(IF(OR(OR(COUNT(INDEX('Assumptions and Catalog'!$C$79:$C$81,MATCH(K11,'Assumptions and Catalog'!$A$79:$A$81,0)))&lt;&gt;1,INDEX('Assumptions and Catalog'!$C$79:$C$81,MATCH(K11,'Assumptions and Catalog'!$A$79:$A$81,0))&lt;0.000001),OR(COUNT(INDEX('Assumptions and Catalog'!$D$79:$D$81,MATCH(K11,'Assumptions and Catalog'!$A$79:$A$81,0)))&lt;&gt;1,INDEX('Assumptions and Catalog'!$D$79:$D$81,MATCH(K11,'Assumptions and Catalog'!$A$79:$A$81,0))&lt;0.000001,INDEX('Assumptions and Catalog'!$D$79:$D$81,MATCH(K11,'Assumptions and Catalog'!$A$79:$A$81,0))&gt;1),OR(COUNT(INDEX('Assumptions and Catalog'!$E$79:$E$81,MATCH(K11,'Assumptions and Catalog'!$A$79:$A$81,0)))&lt;&gt;1,INDEX('Assumptions and Catalog'!$E$79:$E$81,MATCH(K11,'Assumptions and Catalog'!$A$79:$A$81,0))&lt;0),OR(COUNT(INDEX('Assumptions and Catalog'!$F$79:$F$81,MATCH(K11,'Assumptions and Catalog'!$A$79:$A$81,0)))&lt;&gt;1,INDEX('Assumptions and Catalog'!$F$79:$F$81,MATCH(K11,'Assumptions and Catalog'!$A$79:$A$81,0))&lt;0),OR(COUNT(INDEX('Assumptions and Catalog'!$G$79:$G$81,MATCH(K11,'Assumptions and Catalog'!$A$79:$A$81,0)))&lt;&gt;1,INDEX('Assumptions and Catalog'!$G$79:$G$81,MATCH(K11,'Assumptions and Catalog'!$A$79:$A$81,0))&lt;0)),"ERROR: Battery catalog: selected model at Scenarios!K11 has missing/invalid ratings or prices. Review 'Assumptions and Catalog'!C79:G81.","OK"),"ERROR: Cannot evaluate Battery catalog check. Fix model / numeric inputs above; see calculation diagnostics below.")</f>
        <v>OK</v>
      </c>
      <c r="H977" s="174"/>
      <c r="I977" s="174"/>
      <c r="J977" s="174"/>
      <c r="K977" s="174" t="str">
        <f>IFERROR(IF(OR(OR(COUNT(INDEX('Assumptions and Catalog'!$C$79:$C$81,MATCH(L11,'Assumptions and Catalog'!$A$79:$A$81,0)))&lt;&gt;1,INDEX('Assumptions and Catalog'!$C$79:$C$81,MATCH(L11,'Assumptions and Catalog'!$A$79:$A$81,0))&lt;0.000001),OR(COUNT(INDEX('Assumptions and Catalog'!$D$79:$D$81,MATCH(L11,'Assumptions and Catalog'!$A$79:$A$81,0)))&lt;&gt;1,INDEX('Assumptions and Catalog'!$D$79:$D$81,MATCH(L11,'Assumptions and Catalog'!$A$79:$A$81,0))&lt;0.000001,INDEX('Assumptions and Catalog'!$D$79:$D$81,MATCH(L11,'Assumptions and Catalog'!$A$79:$A$81,0))&gt;1),OR(COUNT(INDEX('Assumptions and Catalog'!$E$79:$E$81,MATCH(L11,'Assumptions and Catalog'!$A$79:$A$81,0)))&lt;&gt;1,INDEX('Assumptions and Catalog'!$E$79:$E$81,MATCH(L11,'Assumptions and Catalog'!$A$79:$A$81,0))&lt;0),OR(COUNT(INDEX('Assumptions and Catalog'!$F$79:$F$81,MATCH(L11,'Assumptions and Catalog'!$A$79:$A$81,0)))&lt;&gt;1,INDEX('Assumptions and Catalog'!$F$79:$F$81,MATCH(L11,'Assumptions and Catalog'!$A$79:$A$81,0))&lt;0),OR(COUNT(INDEX('Assumptions and Catalog'!$G$79:$G$81,MATCH(L11,'Assumptions and Catalog'!$A$79:$A$81,0)))&lt;&gt;1,INDEX('Assumptions and Catalog'!$G$79:$G$81,MATCH(L11,'Assumptions and Catalog'!$A$79:$A$81,0))&lt;0)),"ERROR: Battery catalog: selected model at Scenarios!L11 has missing/invalid ratings or prices. Review 'Assumptions and Catalog'!C79:G81.","OK"),"ERROR: Cannot evaluate Battery catalog check. Fix model / numeric inputs above; see calculation diagnostics below.")</f>
        <v>OK</v>
      </c>
      <c r="L977" s="174"/>
      <c r="M977" s="174"/>
      <c r="N977" s="174"/>
    </row>
    <row r="978" ht="54" customHeight="1">
      <c r="A978" s="173" t="str">
        <v>Inverter catalog</v>
      </c>
      <c r="B978" s="173"/>
      <c r="C978" s="173" t="str">
        <f>IFERROR(IF(OR(OR(COUNT(INDEX('Assumptions and Catalog'!$C$86:$C$89,MATCH(J13,'Assumptions and Catalog'!$A$86:$A$89,0)))&lt;&gt;1,INDEX('Assumptions and Catalog'!$C$86:$C$89,MATCH(J13,'Assumptions and Catalog'!$A$86:$A$89,0))&lt;0.000001),OR(COUNT(INDEX('Assumptions and Catalog'!$D$86:$D$89,MATCH(J13,'Assumptions and Catalog'!$A$86:$A$89,0)))&lt;&gt;1,INDEX('Assumptions and Catalog'!$D$86:$D$89,MATCH(J13,'Assumptions and Catalog'!$A$86:$A$89,0))&lt;0),OR(COUNT(INDEX('Assumptions and Catalog'!$E$86:$E$89,MATCH(J13,'Assumptions and Catalog'!$A$86:$A$89,0)))&lt;&gt;1,INDEX('Assumptions and Catalog'!$E$86:$E$89,MATCH(J13,'Assumptions and Catalog'!$A$86:$A$89,0))&lt;0),OR(COUNT(INDEX('Assumptions and Catalog'!$F$86:$F$89,MATCH(J13,'Assumptions and Catalog'!$A$86:$A$89,0)))&lt;&gt;1,INDEX('Assumptions and Catalog'!$F$86:$F$89,MATCH(J13,'Assumptions and Catalog'!$A$86:$A$89,0))&lt;0,INDEX('Assumptions and Catalog'!$F$86:$F$89,MATCH(J13,'Assumptions and Catalog'!$A$86:$A$89,0))&gt;1,MOD(INDEX('Assumptions and Catalog'!$F$86:$F$89,MATCH(J13,'Assumptions and Catalog'!$A$86:$A$89,0)),1)&lt;&gt;0),OR(COUNT(INDEX('Assumptions and Catalog'!$G$86:$G$89,MATCH(J13,'Assumptions and Catalog'!$A$86:$A$89,0)))&lt;&gt;1,INDEX('Assumptions and Catalog'!$G$86:$G$89,MATCH(J13,'Assumptions and Catalog'!$A$86:$A$89,0))&lt;0)),"ERROR: Inverter catalog: selected model at Scenarios!J13 has missing/invalid ratings or prices. Review 'Assumptions and Catalog'!C86:G89.","OK"),"ERROR: Cannot evaluate Inverter catalog check. Fix model / numeric inputs above; see calculation diagnostics below.")</f>
        <v>OK</v>
      </c>
      <c r="D978" s="173"/>
      <c r="E978" s="173"/>
      <c r="F978" s="173"/>
      <c r="G978" s="173" t="str">
        <f>IFERROR(IF(OR(OR(COUNT(INDEX('Assumptions and Catalog'!$C$86:$C$89,MATCH(K13,'Assumptions and Catalog'!$A$86:$A$89,0)))&lt;&gt;1,INDEX('Assumptions and Catalog'!$C$86:$C$89,MATCH(K13,'Assumptions and Catalog'!$A$86:$A$89,0))&lt;0.000001),OR(COUNT(INDEX('Assumptions and Catalog'!$D$86:$D$89,MATCH(K13,'Assumptions and Catalog'!$A$86:$A$89,0)))&lt;&gt;1,INDEX('Assumptions and Catalog'!$D$86:$D$89,MATCH(K13,'Assumptions and Catalog'!$A$86:$A$89,0))&lt;0),OR(COUNT(INDEX('Assumptions and Catalog'!$E$86:$E$89,MATCH(K13,'Assumptions and Catalog'!$A$86:$A$89,0)))&lt;&gt;1,INDEX('Assumptions and Catalog'!$E$86:$E$89,MATCH(K13,'Assumptions and Catalog'!$A$86:$A$89,0))&lt;0),OR(COUNT(INDEX('Assumptions and Catalog'!$F$86:$F$89,MATCH(K13,'Assumptions and Catalog'!$A$86:$A$89,0)))&lt;&gt;1,INDEX('Assumptions and Catalog'!$F$86:$F$89,MATCH(K13,'Assumptions and Catalog'!$A$86:$A$89,0))&lt;0,INDEX('Assumptions and Catalog'!$F$86:$F$89,MATCH(K13,'Assumptions and Catalog'!$A$86:$A$89,0))&gt;1,MOD(INDEX('Assumptions and Catalog'!$F$86:$F$89,MATCH(K13,'Assumptions and Catalog'!$A$86:$A$89,0)),1)&lt;&gt;0),OR(COUNT(INDEX('Assumptions and Catalog'!$G$86:$G$89,MATCH(K13,'Assumptions and Catalog'!$A$86:$A$89,0)))&lt;&gt;1,INDEX('Assumptions and Catalog'!$G$86:$G$89,MATCH(K13,'Assumptions and Catalog'!$A$86:$A$89,0))&lt;0)),"ERROR: Inverter catalog: selected model at Scenarios!K13 has missing/invalid ratings or prices. Review 'Assumptions and Catalog'!C86:G89.","OK"),"ERROR: Cannot evaluate Inverter catalog check. Fix model / numeric inputs above; see calculation diagnostics below.")</f>
        <v>OK</v>
      </c>
      <c r="H978" s="173"/>
      <c r="I978" s="173"/>
      <c r="J978" s="173"/>
      <c r="K978" s="173" t="str">
        <f>IFERROR(IF(OR(OR(COUNT(INDEX('Assumptions and Catalog'!$C$86:$C$89,MATCH(L13,'Assumptions and Catalog'!$A$86:$A$89,0)))&lt;&gt;1,INDEX('Assumptions and Catalog'!$C$86:$C$89,MATCH(L13,'Assumptions and Catalog'!$A$86:$A$89,0))&lt;0.000001),OR(COUNT(INDEX('Assumptions and Catalog'!$D$86:$D$89,MATCH(L13,'Assumptions and Catalog'!$A$86:$A$89,0)))&lt;&gt;1,INDEX('Assumptions and Catalog'!$D$86:$D$89,MATCH(L13,'Assumptions and Catalog'!$A$86:$A$89,0))&lt;0),OR(COUNT(INDEX('Assumptions and Catalog'!$E$86:$E$89,MATCH(L13,'Assumptions and Catalog'!$A$86:$A$89,0)))&lt;&gt;1,INDEX('Assumptions and Catalog'!$E$86:$E$89,MATCH(L13,'Assumptions and Catalog'!$A$86:$A$89,0))&lt;0),OR(COUNT(INDEX('Assumptions and Catalog'!$F$86:$F$89,MATCH(L13,'Assumptions and Catalog'!$A$86:$A$89,0)))&lt;&gt;1,INDEX('Assumptions and Catalog'!$F$86:$F$89,MATCH(L13,'Assumptions and Catalog'!$A$86:$A$89,0))&lt;0,INDEX('Assumptions and Catalog'!$F$86:$F$89,MATCH(L13,'Assumptions and Catalog'!$A$86:$A$89,0))&gt;1,MOD(INDEX('Assumptions and Catalog'!$F$86:$F$89,MATCH(L13,'Assumptions and Catalog'!$A$86:$A$89,0)),1)&lt;&gt;0),OR(COUNT(INDEX('Assumptions and Catalog'!$G$86:$G$89,MATCH(L13,'Assumptions and Catalog'!$A$86:$A$89,0)))&lt;&gt;1,INDEX('Assumptions and Catalog'!$G$86:$G$89,MATCH(L13,'Assumptions and Catalog'!$A$86:$A$89,0))&lt;0)),"ERROR: Inverter catalog: selected model at Scenarios!L13 has missing/invalid ratings or prices. Review 'Assumptions and Catalog'!C86:G89.","OK"),"ERROR: Cannot evaluate Inverter catalog check. Fix model / numeric inputs above; see calculation diagnostics below.")</f>
        <v>OK</v>
      </c>
      <c r="L978" s="173"/>
      <c r="M978" s="173"/>
      <c r="N978" s="173"/>
    </row>
    <row r="979" ht="54" customHeight="1">
      <c r="A979" s="174" t="str">
        <v>Original model validity</v>
      </c>
      <c r="B979" s="174"/>
      <c r="C979" s="174" t="str">
        <f>IFERROR(IF(C65&lt;&gt;1,"ERROR: Original model rejects this configuration. Resolve the specific checks above; see Scenarios!C65.","OK"),"ERROR: Cannot evaluate Original model validity check. Fix model / numeric inputs above; see calculation diagnostics below.")</f>
        <v>OK</v>
      </c>
      <c r="D979" s="174"/>
      <c r="E979" s="174"/>
      <c r="F979" s="174"/>
      <c r="G979" s="174" t="str">
        <f>IFERROR(IF(D65&lt;&gt;1,"ERROR: Original model rejects this configuration. Resolve the specific checks above; see Scenarios!D65.","OK"),"ERROR: Cannot evaluate Original model validity check. Fix model / numeric inputs above; see calculation diagnostics below.")</f>
        <v>OK</v>
      </c>
      <c r="H979" s="174"/>
      <c r="I979" s="174"/>
      <c r="J979" s="174"/>
      <c r="K979" s="174" t="str">
        <f>IFERROR(IF(E65&lt;&gt;1,"ERROR: Original model rejects this configuration. Resolve the specific checks above; see Scenarios!E65.","OK"),"ERROR: Cannot evaluate Original model validity check. Fix model / numeric inputs above; see calculation diagnostics below.")</f>
        <v>OK</v>
      </c>
      <c r="L979" s="174"/>
      <c r="M979" s="174"/>
      <c r="N979" s="174"/>
    </row>
    <row r="980" ht="54" customHeight="1">
      <c r="A980" s="173" t="str">
        <v>Calculation errors</v>
      </c>
      <c r="B980" s="173"/>
      <c r="C980" s="173" t="str">
        <f>IFERROR(IF(COUNTIFS($C$990:$C$1090,"ERROR:*")&gt;0,"ERROR: A formula failed. See calculation diagnostics at Scenarios!A988 (first failing cell per column).","OK"),"ERROR: Cannot evaluate Calculation errors check. Fix model / numeric inputs above; see calculation diagnostics below.")</f>
        <v>OK</v>
      </c>
      <c r="D980" s="173"/>
      <c r="E980" s="173"/>
      <c r="F980" s="173"/>
      <c r="G980" s="173" t="str">
        <f>IFERROR(IF(COUNTIFS($C$990:$C$1090,"ERROR:*")&gt;0,"ERROR: A formula failed. See calculation diagnostics at Scenarios!A988 (first failing cell per column).","OK"),"ERROR: Cannot evaluate Calculation errors check. Fix model / numeric inputs above; see calculation diagnostics below.")</f>
        <v>OK</v>
      </c>
      <c r="H980" s="173"/>
      <c r="I980" s="173"/>
      <c r="J980" s="173"/>
      <c r="K980" s="173" t="str">
        <f>IFERROR(IF(COUNTIFS($C$990:$C$1090,"ERROR:*")&gt;0,"ERROR: A formula failed. See calculation diagnostics at Scenarios!A988 (first failing cell per column).","OK"),"ERROR: Cannot evaluate Calculation errors check. Fix model / numeric inputs above; see calculation diagnostics below.")</f>
        <v>OK</v>
      </c>
      <c r="L980" s="173"/>
      <c r="M980" s="173"/>
      <c r="N980" s="173"/>
    </row>
    <row r="988">
      <c r="A988" s="179" t="str">
        <v>CALCULATION DIAGNOSTICS - first error cell in each checked column</v>
      </c>
      <c r="B988" s="179"/>
      <c r="C988" s="179"/>
      <c r="D988" s="179"/>
      <c r="E988" s="179"/>
      <c r="F988" s="179"/>
      <c r="G988" s="179"/>
      <c r="H988" s="179"/>
      <c r="I988" s="179"/>
      <c r="J988" s="179"/>
      <c r="K988" s="179"/>
      <c r="L988" s="179"/>
      <c r="M988" s="179"/>
      <c r="N988" s="179"/>
    </row>
    <row r="990" ht="24" customHeight="1">
      <c r="A990" s="168" t="str">
        <v>Scenarios!C7:C900</v>
      </c>
      <c r="B990" s="168"/>
      <c r="C990" s="168" t="str">
        <f>IF(SUMPRODUCT(--ISERROR('Scenarios'!C7:C900))=0,"OK","ERROR: 'Scenarios'!C"&amp;(MATCH(TRUE,INDEX(ISERROR('Scenarios'!C7:C900),0),0)+6)&amp;" has an Excel formula error. Review that formula and its precedents.")</f>
        <v>OK</v>
      </c>
      <c r="D990" s="168"/>
      <c r="E990" s="168"/>
      <c r="F990" s="168"/>
      <c r="G990" s="168"/>
      <c r="H990" s="168"/>
      <c r="I990" s="168"/>
      <c r="J990" s="168"/>
      <c r="K990" s="168"/>
      <c r="L990" s="168"/>
      <c r="M990" s="168"/>
      <c r="N990" s="168"/>
    </row>
    <row r="991" ht="24" customHeight="1">
      <c r="A991" s="168" t="str">
        <v>Scenarios!D7:D900</v>
      </c>
      <c r="B991" s="168"/>
      <c r="C991" s="168" t="str">
        <f>IF(SUMPRODUCT(--ISERROR('Scenarios'!D7:D900))=0,"OK","ERROR: 'Scenarios'!D"&amp;(MATCH(TRUE,INDEX(ISERROR('Scenarios'!D7:D900),0),0)+6)&amp;" has an Excel formula error. Review that formula and its precedents.")</f>
        <v>OK</v>
      </c>
      <c r="D991" s="168"/>
      <c r="E991" s="168"/>
      <c r="F991" s="168"/>
      <c r="G991" s="168"/>
      <c r="H991" s="168"/>
      <c r="I991" s="168"/>
      <c r="J991" s="168"/>
      <c r="K991" s="168"/>
      <c r="L991" s="168"/>
      <c r="M991" s="168"/>
      <c r="N991" s="168"/>
    </row>
    <row r="992" ht="24" customHeight="1">
      <c r="A992" s="168" t="str">
        <v>Scenarios!E7:E900</v>
      </c>
      <c r="B992" s="168"/>
      <c r="C992" s="168" t="str">
        <f>IF(SUMPRODUCT(--ISERROR('Scenarios'!E7:E900))=0,"OK","ERROR: 'Scenarios'!E"&amp;(MATCH(TRUE,INDEX(ISERROR('Scenarios'!E7:E900),0),0)+6)&amp;" has an Excel formula error. Review that formula and its precedents.")</f>
        <v>OK</v>
      </c>
      <c r="D992" s="168"/>
      <c r="E992" s="168"/>
      <c r="F992" s="168"/>
      <c r="G992" s="168"/>
      <c r="H992" s="168"/>
      <c r="I992" s="168"/>
      <c r="J992" s="168"/>
      <c r="K992" s="168"/>
      <c r="L992" s="168"/>
      <c r="M992" s="168"/>
      <c r="N992" s="168"/>
    </row>
    <row r="993" ht="24" customHeight="1">
      <c r="A993" s="168" t="str">
        <v>Scenarios!F7:F900</v>
      </c>
      <c r="B993" s="168"/>
      <c r="C993" s="168" t="str">
        <f>IF(SUMPRODUCT(--ISERROR('Scenarios'!F7:F900))=0,"OK","ERROR: 'Scenarios'!F"&amp;(MATCH(TRUE,INDEX(ISERROR('Scenarios'!F7:F900),0),0)+6)&amp;" has an Excel formula error. Review that formula and its precedents.")</f>
        <v>OK</v>
      </c>
      <c r="D993" s="168"/>
      <c r="E993" s="168"/>
      <c r="F993" s="168"/>
      <c r="G993" s="168"/>
      <c r="H993" s="168"/>
      <c r="I993" s="168"/>
      <c r="J993" s="168"/>
      <c r="K993" s="168"/>
      <c r="L993" s="168"/>
      <c r="M993" s="168"/>
      <c r="N993" s="168"/>
    </row>
    <row r="994" ht="24" customHeight="1">
      <c r="A994" s="168" t="str">
        <v>Scenarios!G7:G900</v>
      </c>
      <c r="B994" s="168"/>
      <c r="C994" s="168" t="str">
        <f>IF(SUMPRODUCT(--ISERROR('Scenarios'!G7:G900))=0,"OK","ERROR: 'Scenarios'!G"&amp;(MATCH(TRUE,INDEX(ISERROR('Scenarios'!G7:G900),0),0)+6)&amp;" has an Excel formula error. Review that formula and its precedents.")</f>
        <v>OK</v>
      </c>
      <c r="D994" s="168"/>
      <c r="E994" s="168"/>
      <c r="F994" s="168"/>
      <c r="G994" s="168"/>
      <c r="H994" s="168"/>
      <c r="I994" s="168"/>
      <c r="J994" s="168"/>
      <c r="K994" s="168"/>
      <c r="L994" s="168"/>
      <c r="M994" s="168"/>
      <c r="N994" s="168"/>
    </row>
    <row r="995" ht="24" customHeight="1">
      <c r="A995" s="168" t="str">
        <v>Scenarios!H7:H19</v>
      </c>
      <c r="B995" s="168"/>
      <c r="C995" s="168" t="str">
        <f>IF(SUMPRODUCT(--ISERROR('Scenarios'!H7:H19))=0,"OK","ERROR: 'Scenarios'!H"&amp;(MATCH(TRUE,INDEX(ISERROR('Scenarios'!H7:H19),0),0)+6)&amp;" has an Excel formula error. Review that formula and its precedents.")</f>
        <v>OK</v>
      </c>
      <c r="D995" s="168"/>
      <c r="E995" s="168"/>
      <c r="F995" s="168"/>
      <c r="G995" s="168"/>
      <c r="H995" s="168"/>
      <c r="I995" s="168"/>
      <c r="J995" s="168"/>
      <c r="K995" s="168"/>
      <c r="L995" s="168"/>
      <c r="M995" s="168"/>
      <c r="N995" s="168"/>
    </row>
    <row r="996" ht="24" customHeight="1">
      <c r="A996" s="168" t="str">
        <v>Scenarios!H24:H900</v>
      </c>
      <c r="B996" s="168"/>
      <c r="C996" s="168" t="str">
        <f>IF(SUMPRODUCT(--ISERROR('Scenarios'!H24:H900))=0,"OK","ERROR: 'Scenarios'!H"&amp;(MATCH(TRUE,INDEX(ISERROR('Scenarios'!H24:H900),0),0)+23)&amp;" has an Excel formula error. Review that formula and its precedents.")</f>
        <v>OK</v>
      </c>
      <c r="D996" s="168"/>
      <c r="E996" s="168"/>
      <c r="F996" s="168"/>
      <c r="G996" s="168"/>
      <c r="H996" s="168"/>
      <c r="I996" s="168"/>
      <c r="J996" s="168"/>
      <c r="K996" s="168"/>
      <c r="L996" s="168"/>
      <c r="M996" s="168"/>
      <c r="N996" s="168"/>
    </row>
    <row r="997" ht="24" customHeight="1">
      <c r="A997" s="168" t="str">
        <v>Scenarios!I7:I19</v>
      </c>
      <c r="B997" s="168"/>
      <c r="C997" s="168" t="str">
        <f>IF(SUMPRODUCT(--ISERROR('Scenarios'!I7:I19))=0,"OK","ERROR: 'Scenarios'!I"&amp;(MATCH(TRUE,INDEX(ISERROR('Scenarios'!I7:I19),0),0)+6)&amp;" has an Excel formula error. Review that formula and its precedents.")</f>
        <v>OK</v>
      </c>
      <c r="D997" s="168"/>
      <c r="E997" s="168"/>
      <c r="F997" s="168"/>
      <c r="G997" s="168"/>
      <c r="H997" s="168"/>
      <c r="I997" s="168"/>
      <c r="J997" s="168"/>
      <c r="K997" s="168"/>
      <c r="L997" s="168"/>
      <c r="M997" s="168"/>
      <c r="N997" s="168"/>
    </row>
    <row r="998" ht="24" customHeight="1">
      <c r="A998" s="168" t="str">
        <v>Scenarios!I24:I900</v>
      </c>
      <c r="B998" s="168"/>
      <c r="C998" s="168" t="str">
        <f>IF(SUMPRODUCT(--ISERROR('Scenarios'!I24:I900))=0,"OK","ERROR: 'Scenarios'!I"&amp;(MATCH(TRUE,INDEX(ISERROR('Scenarios'!I24:I900),0),0)+23)&amp;" has an Excel formula error. Review that formula and its precedents.")</f>
        <v>OK</v>
      </c>
      <c r="D998" s="168"/>
      <c r="E998" s="168"/>
      <c r="F998" s="168"/>
      <c r="G998" s="168"/>
      <c r="H998" s="168"/>
      <c r="I998" s="168"/>
      <c r="J998" s="168"/>
      <c r="K998" s="168"/>
      <c r="L998" s="168"/>
      <c r="M998" s="168"/>
      <c r="N998" s="168"/>
    </row>
    <row r="999" ht="24" customHeight="1">
      <c r="A999" s="168" t="str">
        <v>Scenarios!J7:J19</v>
      </c>
      <c r="B999" s="168"/>
      <c r="C999" s="168" t="str">
        <f>IF(SUMPRODUCT(--ISERROR('Scenarios'!J7:J19))=0,"OK","ERROR: 'Scenarios'!J"&amp;(MATCH(TRUE,INDEX(ISERROR('Scenarios'!J7:J19),0),0)+6)&amp;" has an Excel formula error. Review that formula and its precedents.")</f>
        <v>OK</v>
      </c>
      <c r="D999" s="168"/>
      <c r="E999" s="168"/>
      <c r="F999" s="168"/>
      <c r="G999" s="168"/>
      <c r="H999" s="168"/>
      <c r="I999" s="168"/>
      <c r="J999" s="168"/>
      <c r="K999" s="168"/>
      <c r="L999" s="168"/>
      <c r="M999" s="168"/>
      <c r="N999" s="168"/>
    </row>
    <row r="1000" ht="24" customHeight="1">
      <c r="A1000" s="168" t="str">
        <v>Scenarios!J24:J900</v>
      </c>
      <c r="B1000" s="168"/>
      <c r="C1000" s="168" t="str">
        <f>IF(SUMPRODUCT(--ISERROR('Scenarios'!J24:J900))=0,"OK","ERROR: 'Scenarios'!J"&amp;(MATCH(TRUE,INDEX(ISERROR('Scenarios'!J24:J900),0),0)+23)&amp;" has an Excel formula error. Review that formula and its precedents.")</f>
        <v>OK</v>
      </c>
      <c r="D1000" s="168"/>
      <c r="E1000" s="168"/>
      <c r="F1000" s="168"/>
      <c r="G1000" s="168"/>
      <c r="H1000" s="168"/>
      <c r="I1000" s="168"/>
      <c r="J1000" s="168"/>
      <c r="K1000" s="168"/>
      <c r="L1000" s="168"/>
      <c r="M1000" s="168"/>
      <c r="N1000" s="168"/>
    </row>
    <row r="1001" ht="24" customHeight="1">
      <c r="A1001" s="168" t="str">
        <v>Scenarios!K7:K19</v>
      </c>
      <c r="B1001" s="168"/>
      <c r="C1001" s="168" t="str">
        <f>IF(SUMPRODUCT(--ISERROR('Scenarios'!K7:K19))=0,"OK","ERROR: 'Scenarios'!K"&amp;(MATCH(TRUE,INDEX(ISERROR('Scenarios'!K7:K19),0),0)+6)&amp;" has an Excel formula error. Review that formula and its precedents.")</f>
        <v>OK</v>
      </c>
      <c r="D1001" s="168"/>
      <c r="E1001" s="168"/>
      <c r="F1001" s="168"/>
      <c r="G1001" s="168"/>
      <c r="H1001" s="168"/>
      <c r="I1001" s="168"/>
      <c r="J1001" s="168"/>
      <c r="K1001" s="168"/>
      <c r="L1001" s="168"/>
      <c r="M1001" s="168"/>
      <c r="N1001" s="168"/>
    </row>
    <row r="1002" ht="24" customHeight="1">
      <c r="A1002" s="168" t="str">
        <v>Scenarios!K24:K900</v>
      </c>
      <c r="B1002" s="168"/>
      <c r="C1002" s="168" t="str">
        <f>IF(SUMPRODUCT(--ISERROR('Scenarios'!K24:K900))=0,"OK","ERROR: 'Scenarios'!K"&amp;(MATCH(TRUE,INDEX(ISERROR('Scenarios'!K24:K900),0),0)+23)&amp;" has an Excel formula error. Review that formula and its precedents.")</f>
        <v>OK</v>
      </c>
      <c r="D1002" s="168"/>
      <c r="E1002" s="168"/>
      <c r="F1002" s="168"/>
      <c r="G1002" s="168"/>
      <c r="H1002" s="168"/>
      <c r="I1002" s="168"/>
      <c r="J1002" s="168"/>
      <c r="K1002" s="168"/>
      <c r="L1002" s="168"/>
      <c r="M1002" s="168"/>
      <c r="N1002" s="168"/>
    </row>
    <row r="1003" ht="24" customHeight="1">
      <c r="A1003" s="168" t="str">
        <v>Scenarios!L7:L19</v>
      </c>
      <c r="B1003" s="168"/>
      <c r="C1003" s="168" t="str">
        <f>IF(SUMPRODUCT(--ISERROR('Scenarios'!L7:L19))=0,"OK","ERROR: 'Scenarios'!L"&amp;(MATCH(TRUE,INDEX(ISERROR('Scenarios'!L7:L19),0),0)+6)&amp;" has an Excel formula error. Review that formula and its precedents.")</f>
        <v>OK</v>
      </c>
      <c r="D1003" s="168"/>
      <c r="E1003" s="168"/>
      <c r="F1003" s="168"/>
      <c r="G1003" s="168"/>
      <c r="H1003" s="168"/>
      <c r="I1003" s="168"/>
      <c r="J1003" s="168"/>
      <c r="K1003" s="168"/>
      <c r="L1003" s="168"/>
      <c r="M1003" s="168"/>
      <c r="N1003" s="168"/>
    </row>
    <row r="1004" ht="24" customHeight="1">
      <c r="A1004" s="168" t="str">
        <v>Scenarios!L24:L900</v>
      </c>
      <c r="B1004" s="168"/>
      <c r="C1004" s="168" t="str">
        <f>IF(SUMPRODUCT(--ISERROR('Scenarios'!L24:L900))=0,"OK","ERROR: 'Scenarios'!L"&amp;(MATCH(TRUE,INDEX(ISERROR('Scenarios'!L24:L900),0),0)+23)&amp;" has an Excel formula error. Review that formula and its precedents.")</f>
        <v>OK</v>
      </c>
      <c r="D1004" s="168"/>
      <c r="E1004" s="168"/>
      <c r="F1004" s="168"/>
      <c r="G1004" s="168"/>
      <c r="H1004" s="168"/>
      <c r="I1004" s="168"/>
      <c r="J1004" s="168"/>
      <c r="K1004" s="168"/>
      <c r="L1004" s="168"/>
      <c r="M1004" s="168"/>
      <c r="N1004" s="168"/>
    </row>
    <row r="1005" ht="24" customHeight="1">
      <c r="A1005" s="168" t="str">
        <v>Scenarios!M7:M900</v>
      </c>
      <c r="B1005" s="168"/>
      <c r="C1005" s="168" t="str">
        <f>IF(SUMPRODUCT(--ISERROR('Scenarios'!M7:M900))=0,"OK","ERROR: 'Scenarios'!M"&amp;(MATCH(TRUE,INDEX(ISERROR('Scenarios'!M7:M900),0),0)+6)&amp;" has an Excel formula error. Review that formula and its precedents.")</f>
        <v>OK</v>
      </c>
      <c r="D1005" s="168"/>
      <c r="E1005" s="168"/>
      <c r="F1005" s="168"/>
      <c r="G1005" s="168"/>
      <c r="H1005" s="168"/>
      <c r="I1005" s="168"/>
      <c r="J1005" s="168"/>
      <c r="K1005" s="168"/>
      <c r="L1005" s="168"/>
      <c r="M1005" s="168"/>
      <c r="N1005" s="168"/>
    </row>
    <row r="1006" ht="24" customHeight="1">
      <c r="A1006" s="168" t="str">
        <v>Scenarios!N7:N900</v>
      </c>
      <c r="B1006" s="168"/>
      <c r="C1006" s="168" t="str">
        <f>IF(SUMPRODUCT(--ISERROR('Scenarios'!N7:N900))=0,"OK","ERROR: 'Scenarios'!N"&amp;(MATCH(TRUE,INDEX(ISERROR('Scenarios'!N7:N900),0),0)+6)&amp;" has an Excel formula error. Review that formula and its precedents.")</f>
        <v>OK</v>
      </c>
      <c r="D1006" s="168"/>
      <c r="E1006" s="168"/>
      <c r="F1006" s="168"/>
      <c r="G1006" s="168"/>
      <c r="H1006" s="168"/>
      <c r="I1006" s="168"/>
      <c r="J1006" s="168"/>
      <c r="K1006" s="168"/>
      <c r="L1006" s="168"/>
      <c r="M1006" s="168"/>
      <c r="N1006" s="168"/>
    </row>
    <row r="1007" ht="24" customHeight="1">
      <c r="A1007" s="168" t="str">
        <v>Scenarios!O7:O900</v>
      </c>
      <c r="B1007" s="168"/>
      <c r="C1007" s="168" t="str">
        <f>IF(SUMPRODUCT(--ISERROR('Scenarios'!O7:O900))=0,"OK","ERROR: 'Scenarios'!O"&amp;(MATCH(TRUE,INDEX(ISERROR('Scenarios'!O7:O900),0),0)+6)&amp;" has an Excel formula error. Review that formula and its precedents.")</f>
        <v>OK</v>
      </c>
      <c r="D1007" s="168"/>
      <c r="E1007" s="168"/>
      <c r="F1007" s="168"/>
      <c r="G1007" s="168"/>
      <c r="H1007" s="168"/>
      <c r="I1007" s="168"/>
      <c r="J1007" s="168"/>
      <c r="K1007" s="168"/>
      <c r="L1007" s="168"/>
      <c r="M1007" s="168"/>
      <c r="N1007" s="168"/>
    </row>
    <row r="1008" ht="24" customHeight="1">
      <c r="A1008" s="168" t="str">
        <v>Scenarios!P7:P900</v>
      </c>
      <c r="B1008" s="168"/>
      <c r="C1008" s="168" t="str">
        <f>IF(SUMPRODUCT(--ISERROR('Scenarios'!P7:P900))=0,"OK","ERROR: 'Scenarios'!P"&amp;(MATCH(TRUE,INDEX(ISERROR('Scenarios'!P7:P900),0),0)+6)&amp;" has an Excel formula error. Review that formula and its precedents.")</f>
        <v>OK</v>
      </c>
      <c r="D1008" s="168"/>
      <c r="E1008" s="168"/>
      <c r="F1008" s="168"/>
      <c r="G1008" s="168"/>
      <c r="H1008" s="168"/>
      <c r="I1008" s="168"/>
      <c r="J1008" s="168"/>
      <c r="K1008" s="168"/>
      <c r="L1008" s="168"/>
      <c r="M1008" s="168"/>
      <c r="N1008" s="168"/>
    </row>
    <row r="1009" ht="24" customHeight="1">
      <c r="A1009" s="168" t="str">
        <v>Scenarios!Q7:Q900</v>
      </c>
      <c r="B1009" s="168"/>
      <c r="C1009" s="168" t="str">
        <f>IF(SUMPRODUCT(--ISERROR('Scenarios'!Q7:Q900))=0,"OK","ERROR: 'Scenarios'!Q"&amp;(MATCH(TRUE,INDEX(ISERROR('Scenarios'!Q7:Q900),0),0)+6)&amp;" has an Excel formula error. Review that formula and its precedents.")</f>
        <v>OK</v>
      </c>
      <c r="D1009" s="168"/>
      <c r="E1009" s="168"/>
      <c r="F1009" s="168"/>
      <c r="G1009" s="168"/>
      <c r="H1009" s="168"/>
      <c r="I1009" s="168"/>
      <c r="J1009" s="168"/>
      <c r="K1009" s="168"/>
      <c r="L1009" s="168"/>
      <c r="M1009" s="168"/>
      <c r="N1009" s="168"/>
    </row>
    <row r="1010" ht="24" customHeight="1">
      <c r="A1010" s="168" t="str">
        <v>Scenarios!R7:R900</v>
      </c>
      <c r="B1010" s="168"/>
      <c r="C1010" s="168" t="str">
        <f>IF(SUMPRODUCT(--ISERROR('Scenarios'!R7:R900))=0,"OK","ERROR: 'Scenarios'!R"&amp;(MATCH(TRUE,INDEX(ISERROR('Scenarios'!R7:R900),0),0)+6)&amp;" has an Excel formula error. Review that formula and its precedents.")</f>
        <v>OK</v>
      </c>
      <c r="D1010" s="168"/>
      <c r="E1010" s="168"/>
      <c r="F1010" s="168"/>
      <c r="G1010" s="168"/>
      <c r="H1010" s="168"/>
      <c r="I1010" s="168"/>
      <c r="J1010" s="168"/>
      <c r="K1010" s="168"/>
      <c r="L1010" s="168"/>
      <c r="M1010" s="168"/>
      <c r="N1010" s="168"/>
    </row>
    <row r="1011" ht="24" customHeight="1">
      <c r="A1011" s="168" t="str">
        <v>Scenarios!S7:S900</v>
      </c>
      <c r="B1011" s="168"/>
      <c r="C1011" s="168" t="str">
        <f>IF(SUMPRODUCT(--ISERROR('Scenarios'!S7:S900))=0,"OK","ERROR: 'Scenarios'!S"&amp;(MATCH(TRUE,INDEX(ISERROR('Scenarios'!S7:S900),0),0)+6)&amp;" has an Excel formula error. Review that formula and its precedents.")</f>
        <v>OK</v>
      </c>
      <c r="D1011" s="168"/>
      <c r="E1011" s="168"/>
      <c r="F1011" s="168"/>
      <c r="G1011" s="168"/>
      <c r="H1011" s="168"/>
      <c r="I1011" s="168"/>
      <c r="J1011" s="168"/>
      <c r="K1011" s="168"/>
      <c r="L1011" s="168"/>
      <c r="M1011" s="168"/>
      <c r="N1011" s="168"/>
    </row>
    <row r="1012" ht="24" customHeight="1">
      <c r="A1012" s="168" t="str">
        <v>Scenarios!T7:T900</v>
      </c>
      <c r="B1012" s="168"/>
      <c r="C1012" s="168" t="str">
        <f>IF(SUMPRODUCT(--ISERROR('Scenarios'!T7:T900))=0,"OK","ERROR: 'Scenarios'!T"&amp;(MATCH(TRUE,INDEX(ISERROR('Scenarios'!T7:T900),0),0)+6)&amp;" has an Excel formula error. Review that formula and its precedents.")</f>
        <v>OK</v>
      </c>
      <c r="D1012" s="168"/>
      <c r="E1012" s="168"/>
      <c r="F1012" s="168"/>
      <c r="G1012" s="168"/>
      <c r="H1012" s="168"/>
      <c r="I1012" s="168"/>
      <c r="J1012" s="168"/>
      <c r="K1012" s="168"/>
      <c r="L1012" s="168"/>
      <c r="M1012" s="168"/>
      <c r="N1012" s="168"/>
    </row>
    <row r="1013" ht="24" customHeight="1">
      <c r="A1013" s="168" t="str">
        <v>Scenarios!U7:U900</v>
      </c>
      <c r="B1013" s="168"/>
      <c r="C1013" s="168" t="str">
        <f>IF(SUMPRODUCT(--ISERROR('Scenarios'!U7:U900))=0,"OK","ERROR: 'Scenarios'!U"&amp;(MATCH(TRUE,INDEX(ISERROR('Scenarios'!U7:U900),0),0)+6)&amp;" has an Excel formula error. Review that formula and its precedents.")</f>
        <v>OK</v>
      </c>
      <c r="D1013" s="168"/>
      <c r="E1013" s="168"/>
      <c r="F1013" s="168"/>
      <c r="G1013" s="168"/>
      <c r="H1013" s="168"/>
      <c r="I1013" s="168"/>
      <c r="J1013" s="168"/>
      <c r="K1013" s="168"/>
      <c r="L1013" s="168"/>
      <c r="M1013" s="168"/>
      <c r="N1013" s="168"/>
    </row>
    <row r="1014" ht="24" customHeight="1">
      <c r="A1014" s="168" t="str">
        <v>Inputs!A1:A100</v>
      </c>
      <c r="B1014" s="168"/>
      <c r="C1014" s="168" t="str">
        <f>IF(SUMPRODUCT(--ISERROR('Inputs'!A1:A100))=0,"OK","ERROR: 'Inputs'!A"&amp;(MATCH(TRUE,INDEX(ISERROR('Inputs'!A1:A100),0),0)+0)&amp;" has an Excel formula error. Review that formula and its precedents.")</f>
        <v>OK</v>
      </c>
      <c r="D1014" s="168"/>
      <c r="E1014" s="168"/>
      <c r="F1014" s="168"/>
      <c r="G1014" s="168"/>
      <c r="H1014" s="168"/>
      <c r="I1014" s="168"/>
      <c r="J1014" s="168"/>
      <c r="K1014" s="168"/>
      <c r="L1014" s="168"/>
      <c r="M1014" s="168"/>
      <c r="N1014" s="168"/>
    </row>
    <row r="1015" ht="24" customHeight="1">
      <c r="A1015" s="168" t="str">
        <v>Inputs!B1:B100</v>
      </c>
      <c r="B1015" s="168"/>
      <c r="C1015" s="168" t="str">
        <f>IF(SUMPRODUCT(--ISERROR('Inputs'!B1:B100))=0,"OK","ERROR: 'Inputs'!B"&amp;(MATCH(TRUE,INDEX(ISERROR('Inputs'!B1:B100),0),0)+0)&amp;" has an Excel formula error. Review that formula and its precedents.")</f>
        <v>OK</v>
      </c>
      <c r="D1015" s="168"/>
      <c r="E1015" s="168"/>
      <c r="F1015" s="168"/>
      <c r="G1015" s="168"/>
      <c r="H1015" s="168"/>
      <c r="I1015" s="168"/>
      <c r="J1015" s="168"/>
      <c r="K1015" s="168"/>
      <c r="L1015" s="168"/>
      <c r="M1015" s="168"/>
      <c r="N1015" s="168"/>
    </row>
    <row r="1016" ht="24" customHeight="1">
      <c r="A1016" s="168" t="str">
        <v>Inputs!C1:C100</v>
      </c>
      <c r="B1016" s="168"/>
      <c r="C1016" s="168" t="str">
        <f>IF(SUMPRODUCT(--ISERROR('Inputs'!C1:C100))=0,"OK","ERROR: 'Inputs'!C"&amp;(MATCH(TRUE,INDEX(ISERROR('Inputs'!C1:C100),0),0)+0)&amp;" has an Excel formula error. Review that formula and its precedents.")</f>
        <v>OK</v>
      </c>
      <c r="D1016" s="168"/>
      <c r="E1016" s="168"/>
      <c r="F1016" s="168"/>
      <c r="G1016" s="168"/>
      <c r="H1016" s="168"/>
      <c r="I1016" s="168"/>
      <c r="J1016" s="168"/>
      <c r="K1016" s="168"/>
      <c r="L1016" s="168"/>
      <c r="M1016" s="168"/>
      <c r="N1016" s="168"/>
    </row>
    <row r="1017" ht="24" customHeight="1">
      <c r="A1017" s="168" t="str">
        <v>Inputs!D1:D100</v>
      </c>
      <c r="B1017" s="168"/>
      <c r="C1017" s="168" t="str">
        <f>IF(SUMPRODUCT(--ISERROR('Inputs'!D1:D100))=0,"OK","ERROR: 'Inputs'!D"&amp;(MATCH(TRUE,INDEX(ISERROR('Inputs'!D1:D100),0),0)+0)&amp;" has an Excel formula error. Review that formula and its precedents.")</f>
        <v>OK</v>
      </c>
      <c r="D1017" s="168"/>
      <c r="E1017" s="168"/>
      <c r="F1017" s="168"/>
      <c r="G1017" s="168"/>
      <c r="H1017" s="168"/>
      <c r="I1017" s="168"/>
      <c r="J1017" s="168"/>
      <c r="K1017" s="168"/>
      <c r="L1017" s="168"/>
      <c r="M1017" s="168"/>
      <c r="N1017" s="168"/>
    </row>
    <row r="1018" ht="24" customHeight="1">
      <c r="A1018" s="168" t="str">
        <v>Inputs!E1:E100</v>
      </c>
      <c r="B1018" s="168"/>
      <c r="C1018" s="168" t="str">
        <f>IF(SUMPRODUCT(--ISERROR('Inputs'!E1:E100))=0,"OK","ERROR: 'Inputs'!E"&amp;(MATCH(TRUE,INDEX(ISERROR('Inputs'!E1:E100),0),0)+0)&amp;" has an Excel formula error. Review that formula and its precedents.")</f>
        <v>OK</v>
      </c>
      <c r="D1018" s="168"/>
      <c r="E1018" s="168"/>
      <c r="F1018" s="168"/>
      <c r="G1018" s="168"/>
      <c r="H1018" s="168"/>
      <c r="I1018" s="168"/>
      <c r="J1018" s="168"/>
      <c r="K1018" s="168"/>
      <c r="L1018" s="168"/>
      <c r="M1018" s="168"/>
      <c r="N1018" s="168"/>
    </row>
    <row r="1019" ht="24" customHeight="1">
      <c r="A1019" s="168" t="str">
        <v>Inputs!F1:F100</v>
      </c>
      <c r="B1019" s="168"/>
      <c r="C1019" s="168" t="str">
        <f>IF(SUMPRODUCT(--ISERROR('Inputs'!F1:F100))=0,"OK","ERROR: 'Inputs'!F"&amp;(MATCH(TRUE,INDEX(ISERROR('Inputs'!F1:F100),0),0)+0)&amp;" has an Excel formula error. Review that formula and its precedents.")</f>
        <v>OK</v>
      </c>
      <c r="D1019" s="168"/>
      <c r="E1019" s="168"/>
      <c r="F1019" s="168"/>
      <c r="G1019" s="168"/>
      <c r="H1019" s="168"/>
      <c r="I1019" s="168"/>
      <c r="J1019" s="168"/>
      <c r="K1019" s="168"/>
      <c r="L1019" s="168"/>
      <c r="M1019" s="168"/>
      <c r="N1019" s="168"/>
    </row>
    <row r="1020" ht="24" customHeight="1">
      <c r="A1020" s="168" t="str">
        <v>Inputs!G1:G100</v>
      </c>
      <c r="B1020" s="168"/>
      <c r="C1020" s="168" t="str">
        <f>IF(SUMPRODUCT(--ISERROR('Inputs'!G1:G100))=0,"OK","ERROR: 'Inputs'!G"&amp;(MATCH(TRUE,INDEX(ISERROR('Inputs'!G1:G100),0),0)+0)&amp;" has an Excel formula error. Review that formula and its precedents.")</f>
        <v>OK</v>
      </c>
      <c r="D1020" s="168"/>
      <c r="E1020" s="168"/>
      <c r="F1020" s="168"/>
      <c r="G1020" s="168"/>
      <c r="H1020" s="168"/>
      <c r="I1020" s="168"/>
      <c r="J1020" s="168"/>
      <c r="K1020" s="168"/>
      <c r="L1020" s="168"/>
      <c r="M1020" s="168"/>
      <c r="N1020" s="168"/>
    </row>
    <row r="1021" ht="24" customHeight="1">
      <c r="A1021" s="168" t="str">
        <v>Inputs!H1:H100</v>
      </c>
      <c r="B1021" s="168"/>
      <c r="C1021" s="168" t="str">
        <f>IF(SUMPRODUCT(--ISERROR('Inputs'!H1:H100))=0,"OK","ERROR: 'Inputs'!H"&amp;(MATCH(TRUE,INDEX(ISERROR('Inputs'!H1:H100),0),0)+0)&amp;" has an Excel formula error. Review that formula and its precedents.")</f>
        <v>OK</v>
      </c>
      <c r="D1021" s="168"/>
      <c r="E1021" s="168"/>
      <c r="F1021" s="168"/>
      <c r="G1021" s="168"/>
      <c r="H1021" s="168"/>
      <c r="I1021" s="168"/>
      <c r="J1021" s="168"/>
      <c r="K1021" s="168"/>
      <c r="L1021" s="168"/>
      <c r="M1021" s="168"/>
      <c r="N1021" s="168"/>
    </row>
    <row r="1022" ht="24" customHeight="1">
      <c r="A1022" s="168" t="str">
        <v>Inputs!I1:I100</v>
      </c>
      <c r="B1022" s="168"/>
      <c r="C1022" s="168" t="str">
        <f>IF(SUMPRODUCT(--ISERROR('Inputs'!I1:I100))=0,"OK","ERROR: 'Inputs'!I"&amp;(MATCH(TRUE,INDEX(ISERROR('Inputs'!I1:I100),0),0)+0)&amp;" has an Excel formula error. Review that formula and its precedents.")</f>
        <v>OK</v>
      </c>
      <c r="D1022" s="168"/>
      <c r="E1022" s="168"/>
      <c r="F1022" s="168"/>
      <c r="G1022" s="168"/>
      <c r="H1022" s="168"/>
      <c r="I1022" s="168"/>
      <c r="J1022" s="168"/>
      <c r="K1022" s="168"/>
      <c r="L1022" s="168"/>
      <c r="M1022" s="168"/>
      <c r="N1022" s="168"/>
    </row>
    <row r="1023" ht="24" customHeight="1">
      <c r="A1023" s="168" t="str">
        <v>Inputs!L3:L14</v>
      </c>
      <c r="B1023" s="168"/>
      <c r="C1023" s="168" t="str">
        <f>IF(SUMPRODUCT(--ISERROR('Inputs'!L3:L14))=0,"OK","ERROR: 'Inputs'!L"&amp;(MATCH(TRUE,INDEX(ISERROR('Inputs'!L3:L14),0),0)+2)&amp;" has an Excel formula error. Review that formula and its precedents.")</f>
        <v>OK</v>
      </c>
      <c r="D1023" s="168"/>
      <c r="E1023" s="168"/>
      <c r="F1023" s="168"/>
      <c r="G1023" s="168"/>
      <c r="H1023" s="168"/>
      <c r="I1023" s="168"/>
      <c r="J1023" s="168"/>
      <c r="K1023" s="168"/>
      <c r="L1023" s="168"/>
      <c r="M1023" s="168"/>
      <c r="N1023" s="168"/>
    </row>
    <row r="1024" ht="24" customHeight="1">
      <c r="A1024" s="168" t="str">
        <v>Assumptions and Catalog!A1:A168</v>
      </c>
      <c r="B1024" s="168"/>
      <c r="C1024" s="168" t="str">
        <f>IF(SUMPRODUCT(--ISERROR('Assumptions and Catalog'!A1:A168))=0,"OK","ERROR: 'Assumptions and Catalog'!A"&amp;(MATCH(TRUE,INDEX(ISERROR('Assumptions and Catalog'!A1:A168),0),0)+0)&amp;" has an Excel formula error. Review that formula and its precedents.")</f>
        <v>OK</v>
      </c>
      <c r="D1024" s="168"/>
      <c r="E1024" s="168"/>
      <c r="F1024" s="168"/>
      <c r="G1024" s="168"/>
      <c r="H1024" s="168"/>
      <c r="I1024" s="168"/>
      <c r="J1024" s="168"/>
      <c r="K1024" s="168"/>
      <c r="L1024" s="168"/>
      <c r="M1024" s="168"/>
      <c r="N1024" s="168"/>
    </row>
    <row r="1025" ht="24" customHeight="1">
      <c r="A1025" s="168" t="str">
        <v>Assumptions and Catalog!B1:B168</v>
      </c>
      <c r="B1025" s="168"/>
      <c r="C1025" s="168" t="str">
        <f>IF(SUMPRODUCT(--ISERROR('Assumptions and Catalog'!B1:B168))=0,"OK","ERROR: 'Assumptions and Catalog'!B"&amp;(MATCH(TRUE,INDEX(ISERROR('Assumptions and Catalog'!B1:B168),0),0)+0)&amp;" has an Excel formula error. Review that formula and its precedents.")</f>
        <v>OK</v>
      </c>
      <c r="D1025" s="168"/>
      <c r="E1025" s="168"/>
      <c r="F1025" s="168"/>
      <c r="G1025" s="168"/>
      <c r="H1025" s="168"/>
      <c r="I1025" s="168"/>
      <c r="J1025" s="168"/>
      <c r="K1025" s="168"/>
      <c r="L1025" s="168"/>
      <c r="M1025" s="168"/>
      <c r="N1025" s="168"/>
    </row>
    <row r="1026" ht="24" customHeight="1">
      <c r="A1026" s="168" t="str">
        <v>Assumptions and Catalog!C1:C168</v>
      </c>
      <c r="B1026" s="168"/>
      <c r="C1026" s="168" t="str">
        <f>IF(SUMPRODUCT(--ISERROR('Assumptions and Catalog'!C1:C168))=0,"OK","ERROR: 'Assumptions and Catalog'!C"&amp;(MATCH(TRUE,INDEX(ISERROR('Assumptions and Catalog'!C1:C168),0),0)+0)&amp;" has an Excel formula error. Review that formula and its precedents.")</f>
        <v>OK</v>
      </c>
      <c r="D1026" s="168"/>
      <c r="E1026" s="168"/>
      <c r="F1026" s="168"/>
      <c r="G1026" s="168"/>
      <c r="H1026" s="168"/>
      <c r="I1026" s="168"/>
      <c r="J1026" s="168"/>
      <c r="K1026" s="168"/>
      <c r="L1026" s="168"/>
      <c r="M1026" s="168"/>
      <c r="N1026" s="168"/>
    </row>
    <row r="1027" ht="24" customHeight="1">
      <c r="A1027" s="168" t="str">
        <v>Assumptions and Catalog!D1:D168</v>
      </c>
      <c r="B1027" s="168"/>
      <c r="C1027" s="168" t="str">
        <f>IF(SUMPRODUCT(--ISERROR('Assumptions and Catalog'!D1:D168))=0,"OK","ERROR: 'Assumptions and Catalog'!D"&amp;(MATCH(TRUE,INDEX(ISERROR('Assumptions and Catalog'!D1:D168),0),0)+0)&amp;" has an Excel formula error. Review that formula and its precedents.")</f>
        <v>OK</v>
      </c>
      <c r="D1027" s="168"/>
      <c r="E1027" s="168"/>
      <c r="F1027" s="168"/>
      <c r="G1027" s="168"/>
      <c r="H1027" s="168"/>
      <c r="I1027" s="168"/>
      <c r="J1027" s="168"/>
      <c r="K1027" s="168"/>
      <c r="L1027" s="168"/>
      <c r="M1027" s="168"/>
      <c r="N1027" s="168"/>
    </row>
    <row r="1028" ht="24" customHeight="1">
      <c r="A1028" s="168" t="str">
        <v>Assumptions and Catalog!E1:E168</v>
      </c>
      <c r="B1028" s="168"/>
      <c r="C1028" s="168" t="str">
        <f>IF(SUMPRODUCT(--ISERROR('Assumptions and Catalog'!E1:E168))=0,"OK","ERROR: 'Assumptions and Catalog'!E"&amp;(MATCH(TRUE,INDEX(ISERROR('Assumptions and Catalog'!E1:E168),0),0)+0)&amp;" has an Excel formula error. Review that formula and its precedents.")</f>
        <v>OK</v>
      </c>
      <c r="D1028" s="168"/>
      <c r="E1028" s="168"/>
      <c r="F1028" s="168"/>
      <c r="G1028" s="168"/>
      <c r="H1028" s="168"/>
      <c r="I1028" s="168"/>
      <c r="J1028" s="168"/>
      <c r="K1028" s="168"/>
      <c r="L1028" s="168"/>
      <c r="M1028" s="168"/>
      <c r="N1028" s="168"/>
    </row>
    <row r="1029" ht="24" customHeight="1">
      <c r="A1029" s="168" t="str">
        <v>Assumptions and Catalog!F1:F168</v>
      </c>
      <c r="B1029" s="168"/>
      <c r="C1029" s="168" t="str">
        <f>IF(SUMPRODUCT(--ISERROR('Assumptions and Catalog'!F1:F168))=0,"OK","ERROR: 'Assumptions and Catalog'!F"&amp;(MATCH(TRUE,INDEX(ISERROR('Assumptions and Catalog'!F1:F168),0),0)+0)&amp;" has an Excel formula error. Review that formula and its precedents.")</f>
        <v>OK</v>
      </c>
      <c r="D1029" s="168"/>
      <c r="E1029" s="168"/>
      <c r="F1029" s="168"/>
      <c r="G1029" s="168"/>
      <c r="H1029" s="168"/>
      <c r="I1029" s="168"/>
      <c r="J1029" s="168"/>
      <c r="K1029" s="168"/>
      <c r="L1029" s="168"/>
      <c r="M1029" s="168"/>
      <c r="N1029" s="168"/>
    </row>
    <row r="1030" ht="24" customHeight="1">
      <c r="A1030" s="168" t="str">
        <v>Assumptions and Catalog!G1:G168</v>
      </c>
      <c r="B1030" s="168"/>
      <c r="C1030" s="168" t="str">
        <f>IF(SUMPRODUCT(--ISERROR('Assumptions and Catalog'!G1:G168))=0,"OK","ERROR: 'Assumptions and Catalog'!G"&amp;(MATCH(TRUE,INDEX(ISERROR('Assumptions and Catalog'!G1:G168),0),0)+0)&amp;" has an Excel formula error. Review that formula and its precedents.")</f>
        <v>OK</v>
      </c>
      <c r="D1030" s="168"/>
      <c r="E1030" s="168"/>
      <c r="F1030" s="168"/>
      <c r="G1030" s="168"/>
      <c r="H1030" s="168"/>
      <c r="I1030" s="168"/>
      <c r="J1030" s="168"/>
      <c r="K1030" s="168"/>
      <c r="L1030" s="168"/>
      <c r="M1030" s="168"/>
      <c r="N1030" s="168"/>
    </row>
    <row r="1031" ht="24" customHeight="1">
      <c r="A1031" s="168" t="str">
        <v>Assumptions and Catalog!H1:H168</v>
      </c>
      <c r="B1031" s="168"/>
      <c r="C1031" s="168" t="str">
        <f>IF(SUMPRODUCT(--ISERROR('Assumptions and Catalog'!H1:H168))=0,"OK","ERROR: 'Assumptions and Catalog'!H"&amp;(MATCH(TRUE,INDEX(ISERROR('Assumptions and Catalog'!H1:H168),0),0)+0)&amp;" has an Excel formula error. Review that formula and its precedents.")</f>
        <v>OK</v>
      </c>
      <c r="D1031" s="168"/>
      <c r="E1031" s="168"/>
      <c r="F1031" s="168"/>
      <c r="G1031" s="168"/>
      <c r="H1031" s="168"/>
      <c r="I1031" s="168"/>
      <c r="J1031" s="168"/>
      <c r="K1031" s="168"/>
      <c r="L1031" s="168"/>
      <c r="M1031" s="168"/>
      <c r="N1031" s="168"/>
    </row>
    <row r="1032" ht="24" customHeight="1">
      <c r="A1032" s="168" t="str">
        <v>Assumptions and Catalog!I1:I168</v>
      </c>
      <c r="B1032" s="168"/>
      <c r="C1032" s="168" t="str">
        <f>IF(SUMPRODUCT(--ISERROR('Assumptions and Catalog'!I1:I168))=0,"OK","ERROR: 'Assumptions and Catalog'!I"&amp;(MATCH(TRUE,INDEX(ISERROR('Assumptions and Catalog'!I1:I168),0),0)+0)&amp;" has an Excel formula error. Review that formula and its precedents.")</f>
        <v>OK</v>
      </c>
      <c r="D1032" s="168"/>
      <c r="E1032" s="168"/>
      <c r="F1032" s="168"/>
      <c r="G1032" s="168"/>
      <c r="H1032" s="168"/>
      <c r="I1032" s="168"/>
      <c r="J1032" s="168"/>
      <c r="K1032" s="168"/>
      <c r="L1032" s="168"/>
      <c r="M1032" s="168"/>
      <c r="N1032" s="168"/>
    </row>
  </sheetData>
  <sheetProtection formatColumns="0" formatRows="0"/>
  <mergeCells count="486">
    <mergeCell ref="A2:E2"/>
    <mergeCell ref="A3:E3"/>
    <mergeCell ref="A28:E28"/>
    <mergeCell ref="A29:E29"/>
    <mergeCell ref="A33:E33"/>
    <mergeCell ref="H7:L7"/>
    <mergeCell ref="H18:L18"/>
    <mergeCell ref="A50:E50"/>
    <mergeCell ref="A75:N75"/>
    <mergeCell ref="A102:E102"/>
    <mergeCell ref="A103:E103"/>
    <mergeCell ref="A104:E104"/>
    <mergeCell ref="A158:S158"/>
    <mergeCell ref="A408:S408"/>
    <mergeCell ref="A658:S658"/>
    <mergeCell ref="W2:AF2"/>
    <mergeCell ref="W3:AF3"/>
    <mergeCell ref="W10:AF10"/>
    <mergeCell ref="W46:AF46"/>
    <mergeCell ref="W67:AF67"/>
    <mergeCell ref="W77:AF77"/>
    <mergeCell ref="W83:AF83"/>
    <mergeCell ref="W92:AF92"/>
    <mergeCell ref="W100:AF100"/>
    <mergeCell ref="W107:AF107"/>
    <mergeCell ref="W45:AF45"/>
    <mergeCell ref="W82:AF82"/>
    <mergeCell ref="W93:W99"/>
    <mergeCell ref="X93:X99"/>
    <mergeCell ref="Y93:Y99"/>
    <mergeCell ref="Z93:Z99"/>
    <mergeCell ref="AA93:AA99"/>
    <mergeCell ref="AB93:AB99"/>
    <mergeCell ref="AC93:AC99"/>
    <mergeCell ref="AD93:AD99"/>
    <mergeCell ref="AE93:AE99"/>
    <mergeCell ref="AF93:AF99"/>
    <mergeCell ref="W104:AF104"/>
    <mergeCell ref="W106:AF106"/>
    <mergeCell ref="W119:AF119"/>
    <mergeCell ref="W120:AF121"/>
    <mergeCell ref="AH2:AL2"/>
    <mergeCell ref="AH4:AJ4"/>
    <mergeCell ref="AK4:AL4"/>
    <mergeCell ref="AH5:AJ5"/>
    <mergeCell ref="AK5:AL5"/>
    <mergeCell ref="AH6:AJ6"/>
    <mergeCell ref="AK6:AL6"/>
    <mergeCell ref="AH7:AJ7"/>
    <mergeCell ref="AK7:AL7"/>
    <mergeCell ref="AH8:AJ8"/>
    <mergeCell ref="AK8:AL8"/>
    <mergeCell ref="AH9:AJ9"/>
    <mergeCell ref="AK9:AL9"/>
    <mergeCell ref="AH10:AJ10"/>
    <mergeCell ref="AK10:AL10"/>
    <mergeCell ref="AH11:AJ11"/>
    <mergeCell ref="AK11:AL11"/>
    <mergeCell ref="AH12:AJ12"/>
    <mergeCell ref="AK12:AL12"/>
    <mergeCell ref="AH13:AJ13"/>
    <mergeCell ref="AK13:AL13"/>
    <mergeCell ref="AH14:AJ14"/>
    <mergeCell ref="AK14:AL14"/>
    <mergeCell ref="AH15:AJ15"/>
    <mergeCell ref="AK15:AL15"/>
    <mergeCell ref="AH16:AJ16"/>
    <mergeCell ref="AK16:AL16"/>
    <mergeCell ref="AH17:AJ17"/>
    <mergeCell ref="AK17:AL17"/>
    <mergeCell ref="AH18:AJ18"/>
    <mergeCell ref="AK18:AL18"/>
    <mergeCell ref="AH19:AJ19"/>
    <mergeCell ref="AK19:AL19"/>
    <mergeCell ref="AH20:AJ20"/>
    <mergeCell ref="AK20:AL20"/>
    <mergeCell ref="AH21:AJ21"/>
    <mergeCell ref="AK21:AL21"/>
    <mergeCell ref="AH22:AJ22"/>
    <mergeCell ref="AK22:AL22"/>
    <mergeCell ref="AH23:AJ23"/>
    <mergeCell ref="AK23:AL23"/>
    <mergeCell ref="AH24:AJ24"/>
    <mergeCell ref="AK24:AL24"/>
    <mergeCell ref="AH25:AJ25"/>
    <mergeCell ref="AK25:AL25"/>
    <mergeCell ref="AH26:AJ26"/>
    <mergeCell ref="AK26:AL26"/>
    <mergeCell ref="AH27:AJ27"/>
    <mergeCell ref="AK27:AL27"/>
    <mergeCell ref="AH28:AJ28"/>
    <mergeCell ref="AK28:AL28"/>
    <mergeCell ref="AH29:AJ29"/>
    <mergeCell ref="AK29:AL29"/>
    <mergeCell ref="AH30:AJ30"/>
    <mergeCell ref="AK30:AL30"/>
    <mergeCell ref="AH31:AJ31"/>
    <mergeCell ref="AK31:AL31"/>
    <mergeCell ref="AH32:AJ32"/>
    <mergeCell ref="AK32:AL32"/>
    <mergeCell ref="AH33:AJ33"/>
    <mergeCell ref="AK33:AL33"/>
    <mergeCell ref="AH34:AJ34"/>
    <mergeCell ref="AK34:AL34"/>
    <mergeCell ref="AH35:AJ35"/>
    <mergeCell ref="AK35:AL35"/>
    <mergeCell ref="AH36:AJ36"/>
    <mergeCell ref="AK36:AL36"/>
    <mergeCell ref="AH37:AJ37"/>
    <mergeCell ref="AK37:AL37"/>
    <mergeCell ref="AH38:AJ38"/>
    <mergeCell ref="AK38:AL38"/>
    <mergeCell ref="AH39:AJ39"/>
    <mergeCell ref="AK39:AL39"/>
    <mergeCell ref="AH40:AJ40"/>
    <mergeCell ref="AK40:AL40"/>
    <mergeCell ref="AH41:AJ41"/>
    <mergeCell ref="AK41:AL41"/>
    <mergeCell ref="AH42:AJ42"/>
    <mergeCell ref="AK42:AL42"/>
    <mergeCell ref="AH43:AJ43"/>
    <mergeCell ref="AK43:AL43"/>
    <mergeCell ref="AH44:AJ44"/>
    <mergeCell ref="AK44:AL44"/>
    <mergeCell ref="AH45:AJ45"/>
    <mergeCell ref="AK45:AL45"/>
    <mergeCell ref="AH46:AJ46"/>
    <mergeCell ref="AK46:AL46"/>
    <mergeCell ref="AH47:AJ47"/>
    <mergeCell ref="AK47:AL47"/>
    <mergeCell ref="AH48:AJ48"/>
    <mergeCell ref="AK48:AL48"/>
    <mergeCell ref="AH49:AJ49"/>
    <mergeCell ref="AK49:AL49"/>
    <mergeCell ref="AH50:AJ50"/>
    <mergeCell ref="AK50:AL50"/>
    <mergeCell ref="AH51:AJ51"/>
    <mergeCell ref="AK51:AL51"/>
    <mergeCell ref="AH52:AJ52"/>
    <mergeCell ref="AK52:AL52"/>
    <mergeCell ref="AH53:AJ53"/>
    <mergeCell ref="AK53:AL53"/>
    <mergeCell ref="AH55:AL55"/>
    <mergeCell ref="AH56:AL58"/>
    <mergeCell ref="AH59:AL61"/>
    <mergeCell ref="AH62:AL64"/>
    <mergeCell ref="AH65:AL67"/>
    <mergeCell ref="AH68:AL68"/>
    <mergeCell ref="AH70:AJ71"/>
    <mergeCell ref="AK70:AL71"/>
    <mergeCell ref="AH72:AJ73"/>
    <mergeCell ref="AK72:AL73"/>
    <mergeCell ref="AH74:AJ75"/>
    <mergeCell ref="AK74:AL75"/>
    <mergeCell ref="AH76:AJ77"/>
    <mergeCell ref="AK76:AL77"/>
    <mergeCell ref="AH78:AJ79"/>
    <mergeCell ref="AK78:AL79"/>
    <mergeCell ref="AH80:AJ81"/>
    <mergeCell ref="AK80:AL81"/>
    <mergeCell ref="AH83:AL86"/>
    <mergeCell ref="AH88:AL91"/>
    <mergeCell ref="AH93:AL96"/>
    <mergeCell ref="A920:N920"/>
    <mergeCell ref="A921:N921"/>
    <mergeCell ref="A922:N922"/>
    <mergeCell ref="A924:B925"/>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G924:J924"/>
    <mergeCell ref="G925:J925"/>
    <mergeCell ref="G926:J926"/>
    <mergeCell ref="G927:J927"/>
    <mergeCell ref="G928:J928"/>
    <mergeCell ref="G929:J929"/>
    <mergeCell ref="G930:J930"/>
    <mergeCell ref="G931:J931"/>
    <mergeCell ref="G932:J932"/>
    <mergeCell ref="G933:J933"/>
    <mergeCell ref="G934:J934"/>
    <mergeCell ref="G935:J935"/>
    <mergeCell ref="G936:J936"/>
    <mergeCell ref="G937:J937"/>
    <mergeCell ref="G938:J938"/>
    <mergeCell ref="G939:J939"/>
    <mergeCell ref="G940:J940"/>
    <mergeCell ref="G941:J941"/>
    <mergeCell ref="G942:J942"/>
    <mergeCell ref="G943:J943"/>
    <mergeCell ref="G944:J944"/>
    <mergeCell ref="G945:J945"/>
    <mergeCell ref="G946:J946"/>
    <mergeCell ref="G947:J947"/>
    <mergeCell ref="G948:J948"/>
    <mergeCell ref="G949:J949"/>
    <mergeCell ref="G950:J950"/>
    <mergeCell ref="G951:J951"/>
    <mergeCell ref="G952:J952"/>
    <mergeCell ref="G953:J953"/>
    <mergeCell ref="G954:J954"/>
    <mergeCell ref="G955:J955"/>
    <mergeCell ref="G956:J956"/>
    <mergeCell ref="G957:J957"/>
    <mergeCell ref="G958:J958"/>
    <mergeCell ref="G959:J959"/>
    <mergeCell ref="G960:J960"/>
    <mergeCell ref="G961:J961"/>
    <mergeCell ref="G962:J962"/>
    <mergeCell ref="G963:J963"/>
    <mergeCell ref="G964:J964"/>
    <mergeCell ref="G965:J965"/>
    <mergeCell ref="G966:J966"/>
    <mergeCell ref="G967:J967"/>
    <mergeCell ref="G968:J968"/>
    <mergeCell ref="G969:J969"/>
    <mergeCell ref="G970:J970"/>
    <mergeCell ref="G971:J971"/>
    <mergeCell ref="G972:J972"/>
    <mergeCell ref="G973:J973"/>
    <mergeCell ref="G974:J974"/>
    <mergeCell ref="G975:J975"/>
    <mergeCell ref="G976:J976"/>
    <mergeCell ref="G977:J977"/>
    <mergeCell ref="G978:J978"/>
    <mergeCell ref="G979:J979"/>
    <mergeCell ref="G980:J980"/>
    <mergeCell ref="K924:N924"/>
    <mergeCell ref="K925:N925"/>
    <mergeCell ref="K926:N926"/>
    <mergeCell ref="K927:N927"/>
    <mergeCell ref="K928:N928"/>
    <mergeCell ref="K929:N929"/>
    <mergeCell ref="K930:N930"/>
    <mergeCell ref="K931:N931"/>
    <mergeCell ref="K932:N932"/>
    <mergeCell ref="K933:N933"/>
    <mergeCell ref="K934:N934"/>
    <mergeCell ref="K935:N935"/>
    <mergeCell ref="K936:N936"/>
    <mergeCell ref="K937:N937"/>
    <mergeCell ref="K938:N938"/>
    <mergeCell ref="K939:N939"/>
    <mergeCell ref="K940:N940"/>
    <mergeCell ref="K941:N941"/>
    <mergeCell ref="K942:N942"/>
    <mergeCell ref="K943:N943"/>
    <mergeCell ref="K944:N944"/>
    <mergeCell ref="K945:N945"/>
    <mergeCell ref="K946:N946"/>
    <mergeCell ref="K947:N947"/>
    <mergeCell ref="K948:N948"/>
    <mergeCell ref="K949:N949"/>
    <mergeCell ref="K950:N950"/>
    <mergeCell ref="K951:N951"/>
    <mergeCell ref="K952:N952"/>
    <mergeCell ref="K953:N953"/>
    <mergeCell ref="K954:N954"/>
    <mergeCell ref="K955:N955"/>
    <mergeCell ref="K956:N956"/>
    <mergeCell ref="K957:N957"/>
    <mergeCell ref="K958:N958"/>
    <mergeCell ref="K959:N959"/>
    <mergeCell ref="K960:N960"/>
    <mergeCell ref="K961:N961"/>
    <mergeCell ref="K962:N962"/>
    <mergeCell ref="K963:N963"/>
    <mergeCell ref="K964:N964"/>
    <mergeCell ref="K965:N965"/>
    <mergeCell ref="K966:N966"/>
    <mergeCell ref="K967:N967"/>
    <mergeCell ref="K968:N968"/>
    <mergeCell ref="K969:N969"/>
    <mergeCell ref="K970:N970"/>
    <mergeCell ref="K971:N971"/>
    <mergeCell ref="K972:N972"/>
    <mergeCell ref="K973:N973"/>
    <mergeCell ref="K974:N974"/>
    <mergeCell ref="K975:N975"/>
    <mergeCell ref="K976:N976"/>
    <mergeCell ref="K977:N977"/>
    <mergeCell ref="K978:N978"/>
    <mergeCell ref="K979:N979"/>
    <mergeCell ref="K980:N980"/>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39:B939"/>
    <mergeCell ref="A940:B940"/>
    <mergeCell ref="A941:B941"/>
    <mergeCell ref="A942:B942"/>
    <mergeCell ref="A943:B943"/>
    <mergeCell ref="A944:B944"/>
    <mergeCell ref="A945:B945"/>
    <mergeCell ref="A946:B946"/>
    <mergeCell ref="A947:B947"/>
    <mergeCell ref="A948:B948"/>
    <mergeCell ref="A949:B949"/>
    <mergeCell ref="A950:B950"/>
    <mergeCell ref="A951:B951"/>
    <mergeCell ref="A952:B952"/>
    <mergeCell ref="A953:B953"/>
    <mergeCell ref="A954:B954"/>
    <mergeCell ref="A955:B955"/>
    <mergeCell ref="A956:B956"/>
    <mergeCell ref="A957:B957"/>
    <mergeCell ref="A958:B958"/>
    <mergeCell ref="A959:B959"/>
    <mergeCell ref="A960:B960"/>
    <mergeCell ref="A961:B961"/>
    <mergeCell ref="A962:B962"/>
    <mergeCell ref="A963:B963"/>
    <mergeCell ref="A964:B964"/>
    <mergeCell ref="A965:B965"/>
    <mergeCell ref="A966:B966"/>
    <mergeCell ref="A967:B967"/>
    <mergeCell ref="A968:B968"/>
    <mergeCell ref="A969:B969"/>
    <mergeCell ref="A970:B970"/>
    <mergeCell ref="A971:B971"/>
    <mergeCell ref="A972:B972"/>
    <mergeCell ref="A973:B973"/>
    <mergeCell ref="A974:B974"/>
    <mergeCell ref="A975:B975"/>
    <mergeCell ref="A976:B976"/>
    <mergeCell ref="A977:B977"/>
    <mergeCell ref="A978:B978"/>
    <mergeCell ref="A979:B979"/>
    <mergeCell ref="A980:B980"/>
    <mergeCell ref="H20:I20"/>
    <mergeCell ref="H21:I21"/>
    <mergeCell ref="H22:I22"/>
    <mergeCell ref="H23:I23"/>
    <mergeCell ref="A988:N988"/>
    <mergeCell ref="A990:B990"/>
    <mergeCell ref="C990:N990"/>
    <mergeCell ref="A991:B991"/>
    <mergeCell ref="C991:N991"/>
    <mergeCell ref="A992:B992"/>
    <mergeCell ref="C992:N992"/>
    <mergeCell ref="A993:B993"/>
    <mergeCell ref="C993:N993"/>
    <mergeCell ref="A994:B994"/>
    <mergeCell ref="C994:N994"/>
    <mergeCell ref="A995:B995"/>
    <mergeCell ref="C995:N995"/>
    <mergeCell ref="A996:B996"/>
    <mergeCell ref="C996:N996"/>
    <mergeCell ref="A997:B997"/>
    <mergeCell ref="C997:N997"/>
    <mergeCell ref="A998:B998"/>
    <mergeCell ref="C998:N998"/>
    <mergeCell ref="A999:B999"/>
    <mergeCell ref="C999:N999"/>
    <mergeCell ref="A1000:B1000"/>
    <mergeCell ref="C1000:N1000"/>
    <mergeCell ref="A1001:B1001"/>
    <mergeCell ref="C1001:N1001"/>
    <mergeCell ref="A1002:B1002"/>
    <mergeCell ref="C1002:N1002"/>
    <mergeCell ref="A1003:B1003"/>
    <mergeCell ref="C1003:N1003"/>
    <mergeCell ref="A1004:B1004"/>
    <mergeCell ref="C1004:N1004"/>
    <mergeCell ref="A1005:B1005"/>
    <mergeCell ref="C1005:N1005"/>
    <mergeCell ref="A1006:B1006"/>
    <mergeCell ref="C1006:N1006"/>
    <mergeCell ref="A1007:B1007"/>
    <mergeCell ref="C1007:N1007"/>
    <mergeCell ref="A1008:B1008"/>
    <mergeCell ref="C1008:N1008"/>
    <mergeCell ref="A1009:B1009"/>
    <mergeCell ref="C1009:N1009"/>
    <mergeCell ref="A1010:B1010"/>
    <mergeCell ref="C1010:N1010"/>
    <mergeCell ref="A1011:B1011"/>
    <mergeCell ref="C1011:N1011"/>
    <mergeCell ref="A1012:B1012"/>
    <mergeCell ref="C1012:N1012"/>
    <mergeCell ref="A1013:B1013"/>
    <mergeCell ref="C1013:N1013"/>
    <mergeCell ref="A1014:B1014"/>
    <mergeCell ref="C1014:N1014"/>
    <mergeCell ref="A1015:B1015"/>
    <mergeCell ref="C1015:N1015"/>
    <mergeCell ref="A1016:B1016"/>
    <mergeCell ref="C1016:N1016"/>
    <mergeCell ref="A1017:B1017"/>
    <mergeCell ref="C1017:N1017"/>
    <mergeCell ref="A1018:B1018"/>
    <mergeCell ref="C1018:N1018"/>
    <mergeCell ref="A1019:B1019"/>
    <mergeCell ref="C1019:N1019"/>
    <mergeCell ref="A1020:B1020"/>
    <mergeCell ref="C1020:N1020"/>
    <mergeCell ref="A1021:B1021"/>
    <mergeCell ref="C1021:N1021"/>
    <mergeCell ref="A1022:B1022"/>
    <mergeCell ref="C1022:N1022"/>
    <mergeCell ref="A1023:B1023"/>
    <mergeCell ref="C1023:N1023"/>
    <mergeCell ref="A1024:B1024"/>
    <mergeCell ref="C1024:N1024"/>
    <mergeCell ref="A1025:B1025"/>
    <mergeCell ref="C1025:N1025"/>
    <mergeCell ref="A1026:B1026"/>
    <mergeCell ref="C1026:N1026"/>
    <mergeCell ref="A1027:B1027"/>
    <mergeCell ref="C1027:N1027"/>
    <mergeCell ref="A1028:B1028"/>
    <mergeCell ref="C1028:N1028"/>
    <mergeCell ref="A1029:B1029"/>
    <mergeCell ref="C1029:N1029"/>
    <mergeCell ref="A1030:B1030"/>
    <mergeCell ref="C1030:N1030"/>
    <mergeCell ref="A1031:B1031"/>
    <mergeCell ref="C1031:N1031"/>
    <mergeCell ref="A1032:B1032"/>
    <mergeCell ref="C1032:N1032"/>
    <mergeCell ref="A35:L35"/>
    <mergeCell ref="A36:L36"/>
  </mergeCells>
  <conditionalFormatting sqref="C6">
    <cfRule type="expression" dxfId="7" priority="1" stopIfTrue="1">
      <formula>LEFT(C6,5)="ERROR"</formula>
    </cfRule>
  </conditionalFormatting>
  <conditionalFormatting sqref="J21">
    <cfRule type="expression" dxfId="7" priority="2" stopIfTrue="1">
      <formula>J21&gt;0</formula>
    </cfRule>
  </conditionalFormatting>
  <conditionalFormatting sqref="J22">
    <cfRule type="expression" dxfId="8" priority="3" stopIfTrue="1">
      <formula>J22&gt;0</formula>
    </cfRule>
  </conditionalFormatting>
  <conditionalFormatting sqref="C926">
    <cfRule type="expression" dxfId="7" priority="4" stopIfTrue="1">
      <formula>LEFT(C926,6)="ERROR:"</formula>
    </cfRule>
  </conditionalFormatting>
  <conditionalFormatting sqref="C926">
    <cfRule type="expression" dxfId="8" priority="5" stopIfTrue="1">
      <formula>LEFT(C926,8)="WARNING:"</formula>
    </cfRule>
  </conditionalFormatting>
  <conditionalFormatting sqref="C927">
    <cfRule type="expression" dxfId="7" priority="6" stopIfTrue="1">
      <formula>LEFT(C927,6)="ERROR:"</formula>
    </cfRule>
  </conditionalFormatting>
  <conditionalFormatting sqref="C927">
    <cfRule type="expression" dxfId="8" priority="7" stopIfTrue="1">
      <formula>LEFT(C927,8)="WARNING:"</formula>
    </cfRule>
  </conditionalFormatting>
  <conditionalFormatting sqref="C928">
    <cfRule type="expression" dxfId="7" priority="8" stopIfTrue="1">
      <formula>LEFT(C928,6)="ERROR:"</formula>
    </cfRule>
  </conditionalFormatting>
  <conditionalFormatting sqref="C928">
    <cfRule type="expression" dxfId="8" priority="9" stopIfTrue="1">
      <formula>LEFT(C928,8)="WARNING:"</formula>
    </cfRule>
  </conditionalFormatting>
  <conditionalFormatting sqref="C929">
    <cfRule type="expression" dxfId="7" priority="10" stopIfTrue="1">
      <formula>LEFT(C929,6)="ERROR:"</formula>
    </cfRule>
  </conditionalFormatting>
  <conditionalFormatting sqref="C929">
    <cfRule type="expression" dxfId="8" priority="11" stopIfTrue="1">
      <formula>LEFT(C929,8)="WARNING:"</formula>
    </cfRule>
  </conditionalFormatting>
  <conditionalFormatting sqref="C930">
    <cfRule type="expression" dxfId="7" priority="12" stopIfTrue="1">
      <formula>LEFT(C930,6)="ERROR:"</formula>
    </cfRule>
  </conditionalFormatting>
  <conditionalFormatting sqref="C930">
    <cfRule type="expression" dxfId="8" priority="13" stopIfTrue="1">
      <formula>LEFT(C930,8)="WARNING:"</formula>
    </cfRule>
  </conditionalFormatting>
  <conditionalFormatting sqref="C931">
    <cfRule type="expression" dxfId="7" priority="14" stopIfTrue="1">
      <formula>LEFT(C931,6)="ERROR:"</formula>
    </cfRule>
  </conditionalFormatting>
  <conditionalFormatting sqref="C931">
    <cfRule type="expression" dxfId="8" priority="15" stopIfTrue="1">
      <formula>LEFT(C931,8)="WARNING:"</formula>
    </cfRule>
  </conditionalFormatting>
  <conditionalFormatting sqref="C932">
    <cfRule type="expression" dxfId="7" priority="16" stopIfTrue="1">
      <formula>LEFT(C932,6)="ERROR:"</formula>
    </cfRule>
  </conditionalFormatting>
  <conditionalFormatting sqref="C932">
    <cfRule type="expression" dxfId="8" priority="17" stopIfTrue="1">
      <formula>LEFT(C932,8)="WARNING:"</formula>
    </cfRule>
  </conditionalFormatting>
  <conditionalFormatting sqref="C933">
    <cfRule type="expression" dxfId="7" priority="18" stopIfTrue="1">
      <formula>LEFT(C933,6)="ERROR:"</formula>
    </cfRule>
  </conditionalFormatting>
  <conditionalFormatting sqref="C933">
    <cfRule type="expression" dxfId="8" priority="19" stopIfTrue="1">
      <formula>LEFT(C933,8)="WARNING:"</formula>
    </cfRule>
  </conditionalFormatting>
  <conditionalFormatting sqref="C934">
    <cfRule type="expression" dxfId="7" priority="20" stopIfTrue="1">
      <formula>LEFT(C934,6)="ERROR:"</formula>
    </cfRule>
  </conditionalFormatting>
  <conditionalFormatting sqref="C934">
    <cfRule type="expression" dxfId="8" priority="21" stopIfTrue="1">
      <formula>LEFT(C934,8)="WARNING:"</formula>
    </cfRule>
  </conditionalFormatting>
  <conditionalFormatting sqref="C935">
    <cfRule type="expression" dxfId="7" priority="22" stopIfTrue="1">
      <formula>LEFT(C935,6)="ERROR:"</formula>
    </cfRule>
  </conditionalFormatting>
  <conditionalFormatting sqref="C935">
    <cfRule type="expression" dxfId="8" priority="23" stopIfTrue="1">
      <formula>LEFT(C935,8)="WARNING:"</formula>
    </cfRule>
  </conditionalFormatting>
  <conditionalFormatting sqref="C936">
    <cfRule type="expression" dxfId="7" priority="24" stopIfTrue="1">
      <formula>LEFT(C936,6)="ERROR:"</formula>
    </cfRule>
  </conditionalFormatting>
  <conditionalFormatting sqref="C936">
    <cfRule type="expression" dxfId="8" priority="25" stopIfTrue="1">
      <formula>LEFT(C936,8)="WARNING:"</formula>
    </cfRule>
  </conditionalFormatting>
  <conditionalFormatting sqref="C937">
    <cfRule type="expression" dxfId="7" priority="26" stopIfTrue="1">
      <formula>LEFT(C937,6)="ERROR:"</formula>
    </cfRule>
  </conditionalFormatting>
  <conditionalFormatting sqref="C937">
    <cfRule type="expression" dxfId="8" priority="27" stopIfTrue="1">
      <formula>LEFT(C937,8)="WARNING:"</formula>
    </cfRule>
  </conditionalFormatting>
  <conditionalFormatting sqref="C938">
    <cfRule type="expression" dxfId="7" priority="28" stopIfTrue="1">
      <formula>LEFT(C938,6)="ERROR:"</formula>
    </cfRule>
  </conditionalFormatting>
  <conditionalFormatting sqref="C938">
    <cfRule type="expression" dxfId="8" priority="29" stopIfTrue="1">
      <formula>LEFT(C938,8)="WARNING:"</formula>
    </cfRule>
  </conditionalFormatting>
  <conditionalFormatting sqref="C939">
    <cfRule type="expression" dxfId="7" priority="30" stopIfTrue="1">
      <formula>LEFT(C939,6)="ERROR:"</formula>
    </cfRule>
  </conditionalFormatting>
  <conditionalFormatting sqref="C939">
    <cfRule type="expression" dxfId="8" priority="31" stopIfTrue="1">
      <formula>LEFT(C939,8)="WARNING:"</formula>
    </cfRule>
  </conditionalFormatting>
  <conditionalFormatting sqref="C940">
    <cfRule type="expression" dxfId="7" priority="32" stopIfTrue="1">
      <formula>LEFT(C940,6)="ERROR:"</formula>
    </cfRule>
  </conditionalFormatting>
  <conditionalFormatting sqref="C940">
    <cfRule type="expression" dxfId="8" priority="33" stopIfTrue="1">
      <formula>LEFT(C940,8)="WARNING:"</formula>
    </cfRule>
  </conditionalFormatting>
  <conditionalFormatting sqref="C941">
    <cfRule type="expression" dxfId="7" priority="34" stopIfTrue="1">
      <formula>LEFT(C941,6)="ERROR:"</formula>
    </cfRule>
  </conditionalFormatting>
  <conditionalFormatting sqref="C941">
    <cfRule type="expression" dxfId="8" priority="35" stopIfTrue="1">
      <formula>LEFT(C941,8)="WARNING:"</formula>
    </cfRule>
  </conditionalFormatting>
  <conditionalFormatting sqref="C942">
    <cfRule type="expression" dxfId="7" priority="36" stopIfTrue="1">
      <formula>LEFT(C942,6)="ERROR:"</formula>
    </cfRule>
  </conditionalFormatting>
  <conditionalFormatting sqref="C942">
    <cfRule type="expression" dxfId="8" priority="37" stopIfTrue="1">
      <formula>LEFT(C942,8)="WARNING:"</formula>
    </cfRule>
  </conditionalFormatting>
  <conditionalFormatting sqref="C943">
    <cfRule type="expression" dxfId="7" priority="38" stopIfTrue="1">
      <formula>LEFT(C943,6)="ERROR:"</formula>
    </cfRule>
  </conditionalFormatting>
  <conditionalFormatting sqref="C943">
    <cfRule type="expression" dxfId="8" priority="39" stopIfTrue="1">
      <formula>LEFT(C943,8)="WARNING:"</formula>
    </cfRule>
  </conditionalFormatting>
  <conditionalFormatting sqref="C944">
    <cfRule type="expression" dxfId="7" priority="40" stopIfTrue="1">
      <formula>LEFT(C944,6)="ERROR:"</formula>
    </cfRule>
  </conditionalFormatting>
  <conditionalFormatting sqref="C944">
    <cfRule type="expression" dxfId="8" priority="41" stopIfTrue="1">
      <formula>LEFT(C944,8)="WARNING:"</formula>
    </cfRule>
  </conditionalFormatting>
  <conditionalFormatting sqref="C945">
    <cfRule type="expression" dxfId="7" priority="42" stopIfTrue="1">
      <formula>LEFT(C945,6)="ERROR:"</formula>
    </cfRule>
  </conditionalFormatting>
  <conditionalFormatting sqref="C945">
    <cfRule type="expression" dxfId="8" priority="43" stopIfTrue="1">
      <formula>LEFT(C945,8)="WARNING:"</formula>
    </cfRule>
  </conditionalFormatting>
  <conditionalFormatting sqref="C946">
    <cfRule type="expression" dxfId="7" priority="44" stopIfTrue="1">
      <formula>LEFT(C946,6)="ERROR:"</formula>
    </cfRule>
  </conditionalFormatting>
  <conditionalFormatting sqref="C946">
    <cfRule type="expression" dxfId="8" priority="45" stopIfTrue="1">
      <formula>LEFT(C946,8)="WARNING:"</formula>
    </cfRule>
  </conditionalFormatting>
  <conditionalFormatting sqref="C947">
    <cfRule type="expression" dxfId="7" priority="46" stopIfTrue="1">
      <formula>LEFT(C947,6)="ERROR:"</formula>
    </cfRule>
  </conditionalFormatting>
  <conditionalFormatting sqref="C947">
    <cfRule type="expression" dxfId="8" priority="47" stopIfTrue="1">
      <formula>LEFT(C947,8)="WARNING:"</formula>
    </cfRule>
  </conditionalFormatting>
  <conditionalFormatting sqref="C948">
    <cfRule type="expression" dxfId="7" priority="48" stopIfTrue="1">
      <formula>LEFT(C948,6)="ERROR:"</formula>
    </cfRule>
  </conditionalFormatting>
  <conditionalFormatting sqref="C948">
    <cfRule type="expression" dxfId="8" priority="49" stopIfTrue="1">
      <formula>LEFT(C948,8)="WARNING:"</formula>
    </cfRule>
  </conditionalFormatting>
  <conditionalFormatting sqref="C949">
    <cfRule type="expression" dxfId="7" priority="50" stopIfTrue="1">
      <formula>LEFT(C949,6)="ERROR:"</formula>
    </cfRule>
  </conditionalFormatting>
  <conditionalFormatting sqref="C949">
    <cfRule type="expression" dxfId="8" priority="51" stopIfTrue="1">
      <formula>LEFT(C949,8)="WARNING:"</formula>
    </cfRule>
  </conditionalFormatting>
  <conditionalFormatting sqref="C950">
    <cfRule type="expression" dxfId="7" priority="52" stopIfTrue="1">
      <formula>LEFT(C950,6)="ERROR:"</formula>
    </cfRule>
  </conditionalFormatting>
  <conditionalFormatting sqref="C950">
    <cfRule type="expression" dxfId="8" priority="53" stopIfTrue="1">
      <formula>LEFT(C950,8)="WARNING:"</formula>
    </cfRule>
  </conditionalFormatting>
  <conditionalFormatting sqref="C951">
    <cfRule type="expression" dxfId="7" priority="54" stopIfTrue="1">
      <formula>LEFT(C951,6)="ERROR:"</formula>
    </cfRule>
  </conditionalFormatting>
  <conditionalFormatting sqref="C951">
    <cfRule type="expression" dxfId="8" priority="55" stopIfTrue="1">
      <formula>LEFT(C951,8)="WARNING:"</formula>
    </cfRule>
  </conditionalFormatting>
  <conditionalFormatting sqref="C952">
    <cfRule type="expression" dxfId="7" priority="56" stopIfTrue="1">
      <formula>LEFT(C952,6)="ERROR:"</formula>
    </cfRule>
  </conditionalFormatting>
  <conditionalFormatting sqref="C952">
    <cfRule type="expression" dxfId="8" priority="57" stopIfTrue="1">
      <formula>LEFT(C952,8)="WARNING:"</formula>
    </cfRule>
  </conditionalFormatting>
  <conditionalFormatting sqref="C953">
    <cfRule type="expression" dxfId="7" priority="58" stopIfTrue="1">
      <formula>LEFT(C953,6)="ERROR:"</formula>
    </cfRule>
  </conditionalFormatting>
  <conditionalFormatting sqref="C953">
    <cfRule type="expression" dxfId="8" priority="59" stopIfTrue="1">
      <formula>LEFT(C953,8)="WARNING:"</formula>
    </cfRule>
  </conditionalFormatting>
  <conditionalFormatting sqref="C954">
    <cfRule type="expression" dxfId="7" priority="60" stopIfTrue="1">
      <formula>LEFT(C954,6)="ERROR:"</formula>
    </cfRule>
  </conditionalFormatting>
  <conditionalFormatting sqref="C954">
    <cfRule type="expression" dxfId="8" priority="61" stopIfTrue="1">
      <formula>LEFT(C954,8)="WARNING:"</formula>
    </cfRule>
  </conditionalFormatting>
  <conditionalFormatting sqref="C955">
    <cfRule type="expression" dxfId="7" priority="62" stopIfTrue="1">
      <formula>LEFT(C955,6)="ERROR:"</formula>
    </cfRule>
  </conditionalFormatting>
  <conditionalFormatting sqref="C955">
    <cfRule type="expression" dxfId="8" priority="63" stopIfTrue="1">
      <formula>LEFT(C955,8)="WARNING:"</formula>
    </cfRule>
  </conditionalFormatting>
  <conditionalFormatting sqref="C956">
    <cfRule type="expression" dxfId="7" priority="64" stopIfTrue="1">
      <formula>LEFT(C956,6)="ERROR:"</formula>
    </cfRule>
  </conditionalFormatting>
  <conditionalFormatting sqref="C956">
    <cfRule type="expression" dxfId="8" priority="65" stopIfTrue="1">
      <formula>LEFT(C956,8)="WARNING:"</formula>
    </cfRule>
  </conditionalFormatting>
  <conditionalFormatting sqref="C957">
    <cfRule type="expression" dxfId="7" priority="66" stopIfTrue="1">
      <formula>LEFT(C957,6)="ERROR:"</formula>
    </cfRule>
  </conditionalFormatting>
  <conditionalFormatting sqref="C957">
    <cfRule type="expression" dxfId="8" priority="67" stopIfTrue="1">
      <formula>LEFT(C957,8)="WARNING:"</formula>
    </cfRule>
  </conditionalFormatting>
  <conditionalFormatting sqref="C958">
    <cfRule type="expression" dxfId="7" priority="68" stopIfTrue="1">
      <formula>LEFT(C958,6)="ERROR:"</formula>
    </cfRule>
  </conditionalFormatting>
  <conditionalFormatting sqref="C958">
    <cfRule type="expression" dxfId="8" priority="69" stopIfTrue="1">
      <formula>LEFT(C958,8)="WARNING:"</formula>
    </cfRule>
  </conditionalFormatting>
  <conditionalFormatting sqref="C959">
    <cfRule type="expression" dxfId="7" priority="70" stopIfTrue="1">
      <formula>LEFT(C959,6)="ERROR:"</formula>
    </cfRule>
  </conditionalFormatting>
  <conditionalFormatting sqref="C959">
    <cfRule type="expression" dxfId="8" priority="71" stopIfTrue="1">
      <formula>LEFT(C959,8)="WARNING:"</formula>
    </cfRule>
  </conditionalFormatting>
  <conditionalFormatting sqref="C960">
    <cfRule type="expression" dxfId="7" priority="72" stopIfTrue="1">
      <formula>LEFT(C960,6)="ERROR:"</formula>
    </cfRule>
  </conditionalFormatting>
  <conditionalFormatting sqref="C960">
    <cfRule type="expression" dxfId="8" priority="73" stopIfTrue="1">
      <formula>LEFT(C960,8)="WARNING:"</formula>
    </cfRule>
  </conditionalFormatting>
  <conditionalFormatting sqref="C961">
    <cfRule type="expression" dxfId="7" priority="74" stopIfTrue="1">
      <formula>LEFT(C961,6)="ERROR:"</formula>
    </cfRule>
  </conditionalFormatting>
  <conditionalFormatting sqref="C961">
    <cfRule type="expression" dxfId="8" priority="75" stopIfTrue="1">
      <formula>LEFT(C961,8)="WARNING:"</formula>
    </cfRule>
  </conditionalFormatting>
  <conditionalFormatting sqref="C962">
    <cfRule type="expression" dxfId="7" priority="76" stopIfTrue="1">
      <formula>LEFT(C962,6)="ERROR:"</formula>
    </cfRule>
  </conditionalFormatting>
  <conditionalFormatting sqref="C962">
    <cfRule type="expression" dxfId="8" priority="77" stopIfTrue="1">
      <formula>LEFT(C962,8)="WARNING:"</formula>
    </cfRule>
  </conditionalFormatting>
  <conditionalFormatting sqref="C963">
    <cfRule type="expression" dxfId="7" priority="78" stopIfTrue="1">
      <formula>LEFT(C963,6)="ERROR:"</formula>
    </cfRule>
  </conditionalFormatting>
  <conditionalFormatting sqref="C963">
    <cfRule type="expression" dxfId="8" priority="79" stopIfTrue="1">
      <formula>LEFT(C963,8)="WARNING:"</formula>
    </cfRule>
  </conditionalFormatting>
  <conditionalFormatting sqref="C964">
    <cfRule type="expression" dxfId="7" priority="80" stopIfTrue="1">
      <formula>LEFT(C964,6)="ERROR:"</formula>
    </cfRule>
  </conditionalFormatting>
  <conditionalFormatting sqref="C964">
    <cfRule type="expression" dxfId="8" priority="81" stopIfTrue="1">
      <formula>LEFT(C964,8)="WARNING:"</formula>
    </cfRule>
  </conditionalFormatting>
  <conditionalFormatting sqref="C965">
    <cfRule type="expression" dxfId="7" priority="82" stopIfTrue="1">
      <formula>LEFT(C965,6)="ERROR:"</formula>
    </cfRule>
  </conditionalFormatting>
  <conditionalFormatting sqref="C965">
    <cfRule type="expression" dxfId="8" priority="83" stopIfTrue="1">
      <formula>LEFT(C965,8)="WARNING:"</formula>
    </cfRule>
  </conditionalFormatting>
  <conditionalFormatting sqref="C966">
    <cfRule type="expression" dxfId="7" priority="84" stopIfTrue="1">
      <formula>LEFT(C966,6)="ERROR:"</formula>
    </cfRule>
  </conditionalFormatting>
  <conditionalFormatting sqref="C966">
    <cfRule type="expression" dxfId="8" priority="85" stopIfTrue="1">
      <formula>LEFT(C966,8)="WARNING:"</formula>
    </cfRule>
  </conditionalFormatting>
  <conditionalFormatting sqref="C967">
    <cfRule type="expression" dxfId="7" priority="86" stopIfTrue="1">
      <formula>LEFT(C967,6)="ERROR:"</formula>
    </cfRule>
  </conditionalFormatting>
  <conditionalFormatting sqref="C967">
    <cfRule type="expression" dxfId="8" priority="87" stopIfTrue="1">
      <formula>LEFT(C967,8)="WARNING:"</formula>
    </cfRule>
  </conditionalFormatting>
  <conditionalFormatting sqref="C968">
    <cfRule type="expression" dxfId="7" priority="88" stopIfTrue="1">
      <formula>LEFT(C968,6)="ERROR:"</formula>
    </cfRule>
  </conditionalFormatting>
  <conditionalFormatting sqref="C968">
    <cfRule type="expression" dxfId="8" priority="89" stopIfTrue="1">
      <formula>LEFT(C968,8)="WARNING:"</formula>
    </cfRule>
  </conditionalFormatting>
  <conditionalFormatting sqref="C969">
    <cfRule type="expression" dxfId="7" priority="90" stopIfTrue="1">
      <formula>LEFT(C969,6)="ERROR:"</formula>
    </cfRule>
  </conditionalFormatting>
  <conditionalFormatting sqref="C969">
    <cfRule type="expression" dxfId="8" priority="91" stopIfTrue="1">
      <formula>LEFT(C969,8)="WARNING:"</formula>
    </cfRule>
  </conditionalFormatting>
  <conditionalFormatting sqref="C970">
    <cfRule type="expression" dxfId="7" priority="92" stopIfTrue="1">
      <formula>LEFT(C970,6)="ERROR:"</formula>
    </cfRule>
  </conditionalFormatting>
  <conditionalFormatting sqref="C970">
    <cfRule type="expression" dxfId="8" priority="93" stopIfTrue="1">
      <formula>LEFT(C970,8)="WARNING:"</formula>
    </cfRule>
  </conditionalFormatting>
  <conditionalFormatting sqref="C971">
    <cfRule type="expression" dxfId="7" priority="94" stopIfTrue="1">
      <formula>LEFT(C971,6)="ERROR:"</formula>
    </cfRule>
  </conditionalFormatting>
  <conditionalFormatting sqref="C971">
    <cfRule type="expression" dxfId="8" priority="95" stopIfTrue="1">
      <formula>LEFT(C971,8)="WARNING:"</formula>
    </cfRule>
  </conditionalFormatting>
  <conditionalFormatting sqref="C972">
    <cfRule type="expression" dxfId="7" priority="96" stopIfTrue="1">
      <formula>LEFT(C972,6)="ERROR:"</formula>
    </cfRule>
  </conditionalFormatting>
  <conditionalFormatting sqref="C972">
    <cfRule type="expression" dxfId="8" priority="97" stopIfTrue="1">
      <formula>LEFT(C972,8)="WARNING:"</formula>
    </cfRule>
  </conditionalFormatting>
  <conditionalFormatting sqref="C973">
    <cfRule type="expression" dxfId="7" priority="98" stopIfTrue="1">
      <formula>LEFT(C973,6)="ERROR:"</formula>
    </cfRule>
  </conditionalFormatting>
  <conditionalFormatting sqref="C973">
    <cfRule type="expression" dxfId="8" priority="99" stopIfTrue="1">
      <formula>LEFT(C973,8)="WARNING:"</formula>
    </cfRule>
  </conditionalFormatting>
  <conditionalFormatting sqref="C974">
    <cfRule type="expression" dxfId="7" priority="100" stopIfTrue="1">
      <formula>LEFT(C974,6)="ERROR:"</formula>
    </cfRule>
  </conditionalFormatting>
  <conditionalFormatting sqref="C974">
    <cfRule type="expression" dxfId="8" priority="101" stopIfTrue="1">
      <formula>LEFT(C974,8)="WARNING:"</formula>
    </cfRule>
  </conditionalFormatting>
  <conditionalFormatting sqref="C975">
    <cfRule type="expression" dxfId="7" priority="102" stopIfTrue="1">
      <formula>LEFT(C975,6)="ERROR:"</formula>
    </cfRule>
  </conditionalFormatting>
  <conditionalFormatting sqref="C975">
    <cfRule type="expression" dxfId="8" priority="103" stopIfTrue="1">
      <formula>LEFT(C975,8)="WARNING:"</formula>
    </cfRule>
  </conditionalFormatting>
  <conditionalFormatting sqref="C976">
    <cfRule type="expression" dxfId="7" priority="104" stopIfTrue="1">
      <formula>LEFT(C976,6)="ERROR:"</formula>
    </cfRule>
  </conditionalFormatting>
  <conditionalFormatting sqref="C976">
    <cfRule type="expression" dxfId="8" priority="105" stopIfTrue="1">
      <formula>LEFT(C976,8)="WARNING:"</formula>
    </cfRule>
  </conditionalFormatting>
  <conditionalFormatting sqref="C977">
    <cfRule type="expression" dxfId="7" priority="106" stopIfTrue="1">
      <formula>LEFT(C977,6)="ERROR:"</formula>
    </cfRule>
  </conditionalFormatting>
  <conditionalFormatting sqref="C977">
    <cfRule type="expression" dxfId="8" priority="107" stopIfTrue="1">
      <formula>LEFT(C977,8)="WARNING:"</formula>
    </cfRule>
  </conditionalFormatting>
  <conditionalFormatting sqref="C978">
    <cfRule type="expression" dxfId="7" priority="108" stopIfTrue="1">
      <formula>LEFT(C978,6)="ERROR:"</formula>
    </cfRule>
  </conditionalFormatting>
  <conditionalFormatting sqref="C978">
    <cfRule type="expression" dxfId="8" priority="109" stopIfTrue="1">
      <formula>LEFT(C978,8)="WARNING:"</formula>
    </cfRule>
  </conditionalFormatting>
  <conditionalFormatting sqref="C979">
    <cfRule type="expression" dxfId="7" priority="110" stopIfTrue="1">
      <formula>LEFT(C979,6)="ERROR:"</formula>
    </cfRule>
  </conditionalFormatting>
  <conditionalFormatting sqref="C979">
    <cfRule type="expression" dxfId="8" priority="111" stopIfTrue="1">
      <formula>LEFT(C979,8)="WARNING:"</formula>
    </cfRule>
  </conditionalFormatting>
  <conditionalFormatting sqref="C980">
    <cfRule type="expression" dxfId="7" priority="112" stopIfTrue="1">
      <formula>LEFT(C980,6)="ERROR:"</formula>
    </cfRule>
  </conditionalFormatting>
  <conditionalFormatting sqref="C980">
    <cfRule type="expression" dxfId="8" priority="113" stopIfTrue="1">
      <formula>LEFT(C980,8)="WARNING:"</formula>
    </cfRule>
  </conditionalFormatting>
  <conditionalFormatting sqref="J9">
    <cfRule type="expression" dxfId="7" priority="114" stopIfTrue="1">
      <formula>OR(LEFT(C940,6)="ERROR:",LEFT(C976,6)="ERROR:")</formula>
    </cfRule>
  </conditionalFormatting>
  <conditionalFormatting sqref="J10">
    <cfRule type="expression" dxfId="7" priority="115" stopIfTrue="1">
      <formula>OR(LEFT(C941,6)="ERROR:",LEFT(C946,6)="ERROR:",LEFT(C947,6)="ERROR:")</formula>
    </cfRule>
  </conditionalFormatting>
  <conditionalFormatting sqref="J11">
    <cfRule type="expression" dxfId="7" priority="116" stopIfTrue="1">
      <formula>OR(LEFT(C942,6)="ERROR:",LEFT(C948,6)="ERROR:",LEFT(C977,6)="ERROR:")</formula>
    </cfRule>
  </conditionalFormatting>
  <conditionalFormatting sqref="J12">
    <cfRule type="expression" dxfId="7" priority="117" stopIfTrue="1">
      <formula>OR(LEFT(C943,6)="ERROR:",LEFT(C951,6)="ERROR:")</formula>
    </cfRule>
  </conditionalFormatting>
  <conditionalFormatting sqref="J13">
    <cfRule type="expression" dxfId="7" priority="118" stopIfTrue="1">
      <formula>OR(LEFT(C944,6)="ERROR:",LEFT(C946,6)="ERROR:",LEFT(C948,6)="ERROR:",LEFT(C951,6)="ERROR:",LEFT(C978,6)="ERROR:")</formula>
    </cfRule>
  </conditionalFormatting>
  <conditionalFormatting sqref="J14">
    <cfRule type="expression" dxfId="7" priority="119" stopIfTrue="1">
      <formula>OR(LEFT(C945,6)="ERROR:")</formula>
    </cfRule>
  </conditionalFormatting>
  <conditionalFormatting sqref="J15">
    <cfRule type="expression" dxfId="7" priority="120" stopIfTrue="1">
      <formula>OR(LEFT(C949,6)="ERROR:")</formula>
    </cfRule>
  </conditionalFormatting>
  <conditionalFormatting sqref="J16">
    <cfRule type="expression" dxfId="7" priority="121" stopIfTrue="1">
      <formula>OR(LEFT(C950,6)="ERROR:")</formula>
    </cfRule>
  </conditionalFormatting>
  <conditionalFormatting sqref="D6">
    <cfRule type="expression" dxfId="7" priority="122" stopIfTrue="1">
      <formula>LEFT(D6,5)="ERROR"</formula>
    </cfRule>
  </conditionalFormatting>
  <conditionalFormatting sqref="K21">
    <cfRule type="expression" dxfId="7" priority="123" stopIfTrue="1">
      <formula>K21&gt;0</formula>
    </cfRule>
  </conditionalFormatting>
  <conditionalFormatting sqref="K22">
    <cfRule type="expression" dxfId="8" priority="124" stopIfTrue="1">
      <formula>K22&gt;0</formula>
    </cfRule>
  </conditionalFormatting>
  <conditionalFormatting sqref="G926">
    <cfRule type="expression" dxfId="7" priority="125" stopIfTrue="1">
      <formula>LEFT(G926,6)="ERROR:"</formula>
    </cfRule>
  </conditionalFormatting>
  <conditionalFormatting sqref="G926">
    <cfRule type="expression" dxfId="8" priority="126" stopIfTrue="1">
      <formula>LEFT(G926,8)="WARNING:"</formula>
    </cfRule>
  </conditionalFormatting>
  <conditionalFormatting sqref="G927">
    <cfRule type="expression" dxfId="7" priority="127" stopIfTrue="1">
      <formula>LEFT(G927,6)="ERROR:"</formula>
    </cfRule>
  </conditionalFormatting>
  <conditionalFormatting sqref="G927">
    <cfRule type="expression" dxfId="8" priority="128" stopIfTrue="1">
      <formula>LEFT(G927,8)="WARNING:"</formula>
    </cfRule>
  </conditionalFormatting>
  <conditionalFormatting sqref="G928">
    <cfRule type="expression" dxfId="7" priority="129" stopIfTrue="1">
      <formula>LEFT(G928,6)="ERROR:"</formula>
    </cfRule>
  </conditionalFormatting>
  <conditionalFormatting sqref="G928">
    <cfRule type="expression" dxfId="8" priority="130" stopIfTrue="1">
      <formula>LEFT(G928,8)="WARNING:"</formula>
    </cfRule>
  </conditionalFormatting>
  <conditionalFormatting sqref="G929">
    <cfRule type="expression" dxfId="7" priority="131" stopIfTrue="1">
      <formula>LEFT(G929,6)="ERROR:"</formula>
    </cfRule>
  </conditionalFormatting>
  <conditionalFormatting sqref="G929">
    <cfRule type="expression" dxfId="8" priority="132" stopIfTrue="1">
      <formula>LEFT(G929,8)="WARNING:"</formula>
    </cfRule>
  </conditionalFormatting>
  <conditionalFormatting sqref="G930">
    <cfRule type="expression" dxfId="7" priority="133" stopIfTrue="1">
      <formula>LEFT(G930,6)="ERROR:"</formula>
    </cfRule>
  </conditionalFormatting>
  <conditionalFormatting sqref="G930">
    <cfRule type="expression" dxfId="8" priority="134" stopIfTrue="1">
      <formula>LEFT(G930,8)="WARNING:"</formula>
    </cfRule>
  </conditionalFormatting>
  <conditionalFormatting sqref="G931">
    <cfRule type="expression" dxfId="7" priority="135" stopIfTrue="1">
      <formula>LEFT(G931,6)="ERROR:"</formula>
    </cfRule>
  </conditionalFormatting>
  <conditionalFormatting sqref="G931">
    <cfRule type="expression" dxfId="8" priority="136" stopIfTrue="1">
      <formula>LEFT(G931,8)="WARNING:"</formula>
    </cfRule>
  </conditionalFormatting>
  <conditionalFormatting sqref="G932">
    <cfRule type="expression" dxfId="7" priority="137" stopIfTrue="1">
      <formula>LEFT(G932,6)="ERROR:"</formula>
    </cfRule>
  </conditionalFormatting>
  <conditionalFormatting sqref="G932">
    <cfRule type="expression" dxfId="8" priority="138" stopIfTrue="1">
      <formula>LEFT(G932,8)="WARNING:"</formula>
    </cfRule>
  </conditionalFormatting>
  <conditionalFormatting sqref="G933">
    <cfRule type="expression" dxfId="7" priority="139" stopIfTrue="1">
      <formula>LEFT(G933,6)="ERROR:"</formula>
    </cfRule>
  </conditionalFormatting>
  <conditionalFormatting sqref="G933">
    <cfRule type="expression" dxfId="8" priority="140" stopIfTrue="1">
      <formula>LEFT(G933,8)="WARNING:"</formula>
    </cfRule>
  </conditionalFormatting>
  <conditionalFormatting sqref="G934">
    <cfRule type="expression" dxfId="7" priority="141" stopIfTrue="1">
      <formula>LEFT(G934,6)="ERROR:"</formula>
    </cfRule>
  </conditionalFormatting>
  <conditionalFormatting sqref="G934">
    <cfRule type="expression" dxfId="8" priority="142" stopIfTrue="1">
      <formula>LEFT(G934,8)="WARNING:"</formula>
    </cfRule>
  </conditionalFormatting>
  <conditionalFormatting sqref="G935">
    <cfRule type="expression" dxfId="7" priority="143" stopIfTrue="1">
      <formula>LEFT(G935,6)="ERROR:"</formula>
    </cfRule>
  </conditionalFormatting>
  <conditionalFormatting sqref="G935">
    <cfRule type="expression" dxfId="8" priority="144" stopIfTrue="1">
      <formula>LEFT(G935,8)="WARNING:"</formula>
    </cfRule>
  </conditionalFormatting>
  <conditionalFormatting sqref="G936">
    <cfRule type="expression" dxfId="7" priority="145" stopIfTrue="1">
      <formula>LEFT(G936,6)="ERROR:"</formula>
    </cfRule>
  </conditionalFormatting>
  <conditionalFormatting sqref="G936">
    <cfRule type="expression" dxfId="8" priority="146" stopIfTrue="1">
      <formula>LEFT(G936,8)="WARNING:"</formula>
    </cfRule>
  </conditionalFormatting>
  <conditionalFormatting sqref="G937">
    <cfRule type="expression" dxfId="7" priority="147" stopIfTrue="1">
      <formula>LEFT(G937,6)="ERROR:"</formula>
    </cfRule>
  </conditionalFormatting>
  <conditionalFormatting sqref="G937">
    <cfRule type="expression" dxfId="8" priority="148" stopIfTrue="1">
      <formula>LEFT(G937,8)="WARNING:"</formula>
    </cfRule>
  </conditionalFormatting>
  <conditionalFormatting sqref="G938">
    <cfRule type="expression" dxfId="7" priority="149" stopIfTrue="1">
      <formula>LEFT(G938,6)="ERROR:"</formula>
    </cfRule>
  </conditionalFormatting>
  <conditionalFormatting sqref="G938">
    <cfRule type="expression" dxfId="8" priority="150" stopIfTrue="1">
      <formula>LEFT(G938,8)="WARNING:"</formula>
    </cfRule>
  </conditionalFormatting>
  <conditionalFormatting sqref="G939">
    <cfRule type="expression" dxfId="7" priority="151" stopIfTrue="1">
      <formula>LEFT(G939,6)="ERROR:"</formula>
    </cfRule>
  </conditionalFormatting>
  <conditionalFormatting sqref="G939">
    <cfRule type="expression" dxfId="8" priority="152" stopIfTrue="1">
      <formula>LEFT(G939,8)="WARNING:"</formula>
    </cfRule>
  </conditionalFormatting>
  <conditionalFormatting sqref="G940">
    <cfRule type="expression" dxfId="7" priority="153" stopIfTrue="1">
      <formula>LEFT(G940,6)="ERROR:"</formula>
    </cfRule>
  </conditionalFormatting>
  <conditionalFormatting sqref="G940">
    <cfRule type="expression" dxfId="8" priority="154" stopIfTrue="1">
      <formula>LEFT(G940,8)="WARNING:"</formula>
    </cfRule>
  </conditionalFormatting>
  <conditionalFormatting sqref="G941">
    <cfRule type="expression" dxfId="7" priority="155" stopIfTrue="1">
      <formula>LEFT(G941,6)="ERROR:"</formula>
    </cfRule>
  </conditionalFormatting>
  <conditionalFormatting sqref="G941">
    <cfRule type="expression" dxfId="8" priority="156" stopIfTrue="1">
      <formula>LEFT(G941,8)="WARNING:"</formula>
    </cfRule>
  </conditionalFormatting>
  <conditionalFormatting sqref="G942">
    <cfRule type="expression" dxfId="7" priority="157" stopIfTrue="1">
      <formula>LEFT(G942,6)="ERROR:"</formula>
    </cfRule>
  </conditionalFormatting>
  <conditionalFormatting sqref="G942">
    <cfRule type="expression" dxfId="8" priority="158" stopIfTrue="1">
      <formula>LEFT(G942,8)="WARNING:"</formula>
    </cfRule>
  </conditionalFormatting>
  <conditionalFormatting sqref="G943">
    <cfRule type="expression" dxfId="7" priority="159" stopIfTrue="1">
      <formula>LEFT(G943,6)="ERROR:"</formula>
    </cfRule>
  </conditionalFormatting>
  <conditionalFormatting sqref="G943">
    <cfRule type="expression" dxfId="8" priority="160" stopIfTrue="1">
      <formula>LEFT(G943,8)="WARNING:"</formula>
    </cfRule>
  </conditionalFormatting>
  <conditionalFormatting sqref="G944">
    <cfRule type="expression" dxfId="7" priority="161" stopIfTrue="1">
      <formula>LEFT(G944,6)="ERROR:"</formula>
    </cfRule>
  </conditionalFormatting>
  <conditionalFormatting sqref="G944">
    <cfRule type="expression" dxfId="8" priority="162" stopIfTrue="1">
      <formula>LEFT(G944,8)="WARNING:"</formula>
    </cfRule>
  </conditionalFormatting>
  <conditionalFormatting sqref="G945">
    <cfRule type="expression" dxfId="7" priority="163" stopIfTrue="1">
      <formula>LEFT(G945,6)="ERROR:"</formula>
    </cfRule>
  </conditionalFormatting>
  <conditionalFormatting sqref="G945">
    <cfRule type="expression" dxfId="8" priority="164" stopIfTrue="1">
      <formula>LEFT(G945,8)="WARNING:"</formula>
    </cfRule>
  </conditionalFormatting>
  <conditionalFormatting sqref="G946">
    <cfRule type="expression" dxfId="7" priority="165" stopIfTrue="1">
      <formula>LEFT(G946,6)="ERROR:"</formula>
    </cfRule>
  </conditionalFormatting>
  <conditionalFormatting sqref="G946">
    <cfRule type="expression" dxfId="8" priority="166" stopIfTrue="1">
      <formula>LEFT(G946,8)="WARNING:"</formula>
    </cfRule>
  </conditionalFormatting>
  <conditionalFormatting sqref="G947">
    <cfRule type="expression" dxfId="7" priority="167" stopIfTrue="1">
      <formula>LEFT(G947,6)="ERROR:"</formula>
    </cfRule>
  </conditionalFormatting>
  <conditionalFormatting sqref="G947">
    <cfRule type="expression" dxfId="8" priority="168" stopIfTrue="1">
      <formula>LEFT(G947,8)="WARNING:"</formula>
    </cfRule>
  </conditionalFormatting>
  <conditionalFormatting sqref="G948">
    <cfRule type="expression" dxfId="7" priority="169" stopIfTrue="1">
      <formula>LEFT(G948,6)="ERROR:"</formula>
    </cfRule>
  </conditionalFormatting>
  <conditionalFormatting sqref="G948">
    <cfRule type="expression" dxfId="8" priority="170" stopIfTrue="1">
      <formula>LEFT(G948,8)="WARNING:"</formula>
    </cfRule>
  </conditionalFormatting>
  <conditionalFormatting sqref="G949">
    <cfRule type="expression" dxfId="7" priority="171" stopIfTrue="1">
      <formula>LEFT(G949,6)="ERROR:"</formula>
    </cfRule>
  </conditionalFormatting>
  <conditionalFormatting sqref="G949">
    <cfRule type="expression" dxfId="8" priority="172" stopIfTrue="1">
      <formula>LEFT(G949,8)="WARNING:"</formula>
    </cfRule>
  </conditionalFormatting>
  <conditionalFormatting sqref="G950">
    <cfRule type="expression" dxfId="7" priority="173" stopIfTrue="1">
      <formula>LEFT(G950,6)="ERROR:"</formula>
    </cfRule>
  </conditionalFormatting>
  <conditionalFormatting sqref="G950">
    <cfRule type="expression" dxfId="8" priority="174" stopIfTrue="1">
      <formula>LEFT(G950,8)="WARNING:"</formula>
    </cfRule>
  </conditionalFormatting>
  <conditionalFormatting sqref="G951">
    <cfRule type="expression" dxfId="7" priority="175" stopIfTrue="1">
      <formula>LEFT(G951,6)="ERROR:"</formula>
    </cfRule>
  </conditionalFormatting>
  <conditionalFormatting sqref="G951">
    <cfRule type="expression" dxfId="8" priority="176" stopIfTrue="1">
      <formula>LEFT(G951,8)="WARNING:"</formula>
    </cfRule>
  </conditionalFormatting>
  <conditionalFormatting sqref="G952">
    <cfRule type="expression" dxfId="7" priority="177" stopIfTrue="1">
      <formula>LEFT(G952,6)="ERROR:"</formula>
    </cfRule>
  </conditionalFormatting>
  <conditionalFormatting sqref="G952">
    <cfRule type="expression" dxfId="8" priority="178" stopIfTrue="1">
      <formula>LEFT(G952,8)="WARNING:"</formula>
    </cfRule>
  </conditionalFormatting>
  <conditionalFormatting sqref="G953">
    <cfRule type="expression" dxfId="7" priority="179" stopIfTrue="1">
      <formula>LEFT(G953,6)="ERROR:"</formula>
    </cfRule>
  </conditionalFormatting>
  <conditionalFormatting sqref="G953">
    <cfRule type="expression" dxfId="8" priority="180" stopIfTrue="1">
      <formula>LEFT(G953,8)="WARNING:"</formula>
    </cfRule>
  </conditionalFormatting>
  <conditionalFormatting sqref="G954">
    <cfRule type="expression" dxfId="7" priority="181" stopIfTrue="1">
      <formula>LEFT(G954,6)="ERROR:"</formula>
    </cfRule>
  </conditionalFormatting>
  <conditionalFormatting sqref="G954">
    <cfRule type="expression" dxfId="8" priority="182" stopIfTrue="1">
      <formula>LEFT(G954,8)="WARNING:"</formula>
    </cfRule>
  </conditionalFormatting>
  <conditionalFormatting sqref="G955">
    <cfRule type="expression" dxfId="7" priority="183" stopIfTrue="1">
      <formula>LEFT(G955,6)="ERROR:"</formula>
    </cfRule>
  </conditionalFormatting>
  <conditionalFormatting sqref="G955">
    <cfRule type="expression" dxfId="8" priority="184" stopIfTrue="1">
      <formula>LEFT(G955,8)="WARNING:"</formula>
    </cfRule>
  </conditionalFormatting>
  <conditionalFormatting sqref="G956">
    <cfRule type="expression" dxfId="7" priority="185" stopIfTrue="1">
      <formula>LEFT(G956,6)="ERROR:"</formula>
    </cfRule>
  </conditionalFormatting>
  <conditionalFormatting sqref="G956">
    <cfRule type="expression" dxfId="8" priority="186" stopIfTrue="1">
      <formula>LEFT(G956,8)="WARNING:"</formula>
    </cfRule>
  </conditionalFormatting>
  <conditionalFormatting sqref="G957">
    <cfRule type="expression" dxfId="7" priority="187" stopIfTrue="1">
      <formula>LEFT(G957,6)="ERROR:"</formula>
    </cfRule>
  </conditionalFormatting>
  <conditionalFormatting sqref="G957">
    <cfRule type="expression" dxfId="8" priority="188" stopIfTrue="1">
      <formula>LEFT(G957,8)="WARNING:"</formula>
    </cfRule>
  </conditionalFormatting>
  <conditionalFormatting sqref="G958">
    <cfRule type="expression" dxfId="7" priority="189" stopIfTrue="1">
      <formula>LEFT(G958,6)="ERROR:"</formula>
    </cfRule>
  </conditionalFormatting>
  <conditionalFormatting sqref="G958">
    <cfRule type="expression" dxfId="8" priority="190" stopIfTrue="1">
      <formula>LEFT(G958,8)="WARNING:"</formula>
    </cfRule>
  </conditionalFormatting>
  <conditionalFormatting sqref="G959">
    <cfRule type="expression" dxfId="7" priority="191" stopIfTrue="1">
      <formula>LEFT(G959,6)="ERROR:"</formula>
    </cfRule>
  </conditionalFormatting>
  <conditionalFormatting sqref="G959">
    <cfRule type="expression" dxfId="8" priority="192" stopIfTrue="1">
      <formula>LEFT(G959,8)="WARNING:"</formula>
    </cfRule>
  </conditionalFormatting>
  <conditionalFormatting sqref="G960">
    <cfRule type="expression" dxfId="7" priority="193" stopIfTrue="1">
      <formula>LEFT(G960,6)="ERROR:"</formula>
    </cfRule>
  </conditionalFormatting>
  <conditionalFormatting sqref="G960">
    <cfRule type="expression" dxfId="8" priority="194" stopIfTrue="1">
      <formula>LEFT(G960,8)="WARNING:"</formula>
    </cfRule>
  </conditionalFormatting>
  <conditionalFormatting sqref="G961">
    <cfRule type="expression" dxfId="7" priority="195" stopIfTrue="1">
      <formula>LEFT(G961,6)="ERROR:"</formula>
    </cfRule>
  </conditionalFormatting>
  <conditionalFormatting sqref="G961">
    <cfRule type="expression" dxfId="8" priority="196" stopIfTrue="1">
      <formula>LEFT(G961,8)="WARNING:"</formula>
    </cfRule>
  </conditionalFormatting>
  <conditionalFormatting sqref="G962">
    <cfRule type="expression" dxfId="7" priority="197" stopIfTrue="1">
      <formula>LEFT(G962,6)="ERROR:"</formula>
    </cfRule>
  </conditionalFormatting>
  <conditionalFormatting sqref="G962">
    <cfRule type="expression" dxfId="8" priority="198" stopIfTrue="1">
      <formula>LEFT(G962,8)="WARNING:"</formula>
    </cfRule>
  </conditionalFormatting>
  <conditionalFormatting sqref="G963">
    <cfRule type="expression" dxfId="7" priority="199" stopIfTrue="1">
      <formula>LEFT(G963,6)="ERROR:"</formula>
    </cfRule>
  </conditionalFormatting>
  <conditionalFormatting sqref="G963">
    <cfRule type="expression" dxfId="8" priority="200" stopIfTrue="1">
      <formula>LEFT(G963,8)="WARNING:"</formula>
    </cfRule>
  </conditionalFormatting>
  <conditionalFormatting sqref="G964">
    <cfRule type="expression" dxfId="7" priority="201" stopIfTrue="1">
      <formula>LEFT(G964,6)="ERROR:"</formula>
    </cfRule>
  </conditionalFormatting>
  <conditionalFormatting sqref="G964">
    <cfRule type="expression" dxfId="8" priority="202" stopIfTrue="1">
      <formula>LEFT(G964,8)="WARNING:"</formula>
    </cfRule>
  </conditionalFormatting>
  <conditionalFormatting sqref="G965">
    <cfRule type="expression" dxfId="7" priority="203" stopIfTrue="1">
      <formula>LEFT(G965,6)="ERROR:"</formula>
    </cfRule>
  </conditionalFormatting>
  <conditionalFormatting sqref="G965">
    <cfRule type="expression" dxfId="8" priority="204" stopIfTrue="1">
      <formula>LEFT(G965,8)="WARNING:"</formula>
    </cfRule>
  </conditionalFormatting>
  <conditionalFormatting sqref="G966">
    <cfRule type="expression" dxfId="7" priority="205" stopIfTrue="1">
      <formula>LEFT(G966,6)="ERROR:"</formula>
    </cfRule>
  </conditionalFormatting>
  <conditionalFormatting sqref="G966">
    <cfRule type="expression" dxfId="8" priority="206" stopIfTrue="1">
      <formula>LEFT(G966,8)="WARNING:"</formula>
    </cfRule>
  </conditionalFormatting>
  <conditionalFormatting sqref="G967">
    <cfRule type="expression" dxfId="7" priority="207" stopIfTrue="1">
      <formula>LEFT(G967,6)="ERROR:"</formula>
    </cfRule>
  </conditionalFormatting>
  <conditionalFormatting sqref="G967">
    <cfRule type="expression" dxfId="8" priority="208" stopIfTrue="1">
      <formula>LEFT(G967,8)="WARNING:"</formula>
    </cfRule>
  </conditionalFormatting>
  <conditionalFormatting sqref="G968">
    <cfRule type="expression" dxfId="7" priority="209" stopIfTrue="1">
      <formula>LEFT(G968,6)="ERROR:"</formula>
    </cfRule>
  </conditionalFormatting>
  <conditionalFormatting sqref="G968">
    <cfRule type="expression" dxfId="8" priority="210" stopIfTrue="1">
      <formula>LEFT(G968,8)="WARNING:"</formula>
    </cfRule>
  </conditionalFormatting>
  <conditionalFormatting sqref="G969">
    <cfRule type="expression" dxfId="7" priority="211" stopIfTrue="1">
      <formula>LEFT(G969,6)="ERROR:"</formula>
    </cfRule>
  </conditionalFormatting>
  <conditionalFormatting sqref="G969">
    <cfRule type="expression" dxfId="8" priority="212" stopIfTrue="1">
      <formula>LEFT(G969,8)="WARNING:"</formula>
    </cfRule>
  </conditionalFormatting>
  <conditionalFormatting sqref="G970">
    <cfRule type="expression" dxfId="7" priority="213" stopIfTrue="1">
      <formula>LEFT(G970,6)="ERROR:"</formula>
    </cfRule>
  </conditionalFormatting>
  <conditionalFormatting sqref="G970">
    <cfRule type="expression" dxfId="8" priority="214" stopIfTrue="1">
      <formula>LEFT(G970,8)="WARNING:"</formula>
    </cfRule>
  </conditionalFormatting>
  <conditionalFormatting sqref="G971">
    <cfRule type="expression" dxfId="7" priority="215" stopIfTrue="1">
      <formula>LEFT(G971,6)="ERROR:"</formula>
    </cfRule>
  </conditionalFormatting>
  <conditionalFormatting sqref="G971">
    <cfRule type="expression" dxfId="8" priority="216" stopIfTrue="1">
      <formula>LEFT(G971,8)="WARNING:"</formula>
    </cfRule>
  </conditionalFormatting>
  <conditionalFormatting sqref="G972">
    <cfRule type="expression" dxfId="7" priority="217" stopIfTrue="1">
      <formula>LEFT(G972,6)="ERROR:"</formula>
    </cfRule>
  </conditionalFormatting>
  <conditionalFormatting sqref="G972">
    <cfRule type="expression" dxfId="8" priority="218" stopIfTrue="1">
      <formula>LEFT(G972,8)="WARNING:"</formula>
    </cfRule>
  </conditionalFormatting>
  <conditionalFormatting sqref="G973">
    <cfRule type="expression" dxfId="7" priority="219" stopIfTrue="1">
      <formula>LEFT(G973,6)="ERROR:"</formula>
    </cfRule>
  </conditionalFormatting>
  <conditionalFormatting sqref="G973">
    <cfRule type="expression" dxfId="8" priority="220" stopIfTrue="1">
      <formula>LEFT(G973,8)="WARNING:"</formula>
    </cfRule>
  </conditionalFormatting>
  <conditionalFormatting sqref="G974">
    <cfRule type="expression" dxfId="7" priority="221" stopIfTrue="1">
      <formula>LEFT(G974,6)="ERROR:"</formula>
    </cfRule>
  </conditionalFormatting>
  <conditionalFormatting sqref="G974">
    <cfRule type="expression" dxfId="8" priority="222" stopIfTrue="1">
      <formula>LEFT(G974,8)="WARNING:"</formula>
    </cfRule>
  </conditionalFormatting>
  <conditionalFormatting sqref="G975">
    <cfRule type="expression" dxfId="7" priority="223" stopIfTrue="1">
      <formula>LEFT(G975,6)="ERROR:"</formula>
    </cfRule>
  </conditionalFormatting>
  <conditionalFormatting sqref="G975">
    <cfRule type="expression" dxfId="8" priority="224" stopIfTrue="1">
      <formula>LEFT(G975,8)="WARNING:"</formula>
    </cfRule>
  </conditionalFormatting>
  <conditionalFormatting sqref="G976">
    <cfRule type="expression" dxfId="7" priority="225" stopIfTrue="1">
      <formula>LEFT(G976,6)="ERROR:"</formula>
    </cfRule>
  </conditionalFormatting>
  <conditionalFormatting sqref="G976">
    <cfRule type="expression" dxfId="8" priority="226" stopIfTrue="1">
      <formula>LEFT(G976,8)="WARNING:"</formula>
    </cfRule>
  </conditionalFormatting>
  <conditionalFormatting sqref="G977">
    <cfRule type="expression" dxfId="7" priority="227" stopIfTrue="1">
      <formula>LEFT(G977,6)="ERROR:"</formula>
    </cfRule>
  </conditionalFormatting>
  <conditionalFormatting sqref="G977">
    <cfRule type="expression" dxfId="8" priority="228" stopIfTrue="1">
      <formula>LEFT(G977,8)="WARNING:"</formula>
    </cfRule>
  </conditionalFormatting>
  <conditionalFormatting sqref="G978">
    <cfRule type="expression" dxfId="7" priority="229" stopIfTrue="1">
      <formula>LEFT(G978,6)="ERROR:"</formula>
    </cfRule>
  </conditionalFormatting>
  <conditionalFormatting sqref="G978">
    <cfRule type="expression" dxfId="8" priority="230" stopIfTrue="1">
      <formula>LEFT(G978,8)="WARNING:"</formula>
    </cfRule>
  </conditionalFormatting>
  <conditionalFormatting sqref="G979">
    <cfRule type="expression" dxfId="7" priority="231" stopIfTrue="1">
      <formula>LEFT(G979,6)="ERROR:"</formula>
    </cfRule>
  </conditionalFormatting>
  <conditionalFormatting sqref="G979">
    <cfRule type="expression" dxfId="8" priority="232" stopIfTrue="1">
      <formula>LEFT(G979,8)="WARNING:"</formula>
    </cfRule>
  </conditionalFormatting>
  <conditionalFormatting sqref="G980">
    <cfRule type="expression" dxfId="7" priority="233" stopIfTrue="1">
      <formula>LEFT(G980,6)="ERROR:"</formula>
    </cfRule>
  </conditionalFormatting>
  <conditionalFormatting sqref="G980">
    <cfRule type="expression" dxfId="8" priority="234" stopIfTrue="1">
      <formula>LEFT(G980,8)="WARNING:"</formula>
    </cfRule>
  </conditionalFormatting>
  <conditionalFormatting sqref="K9">
    <cfRule type="expression" dxfId="7" priority="235" stopIfTrue="1">
      <formula>OR(LEFT(G940,6)="ERROR:",LEFT(G976,6)="ERROR:")</formula>
    </cfRule>
  </conditionalFormatting>
  <conditionalFormatting sqref="K10">
    <cfRule type="expression" dxfId="7" priority="236" stopIfTrue="1">
      <formula>OR(LEFT(G941,6)="ERROR:",LEFT(G946,6)="ERROR:",LEFT(G947,6)="ERROR:")</formula>
    </cfRule>
  </conditionalFormatting>
  <conditionalFormatting sqref="K11">
    <cfRule type="expression" dxfId="7" priority="237" stopIfTrue="1">
      <formula>OR(LEFT(G942,6)="ERROR:",LEFT(G948,6)="ERROR:",LEFT(G977,6)="ERROR:")</formula>
    </cfRule>
  </conditionalFormatting>
  <conditionalFormatting sqref="K12">
    <cfRule type="expression" dxfId="7" priority="238" stopIfTrue="1">
      <formula>OR(LEFT(G943,6)="ERROR:",LEFT(G951,6)="ERROR:")</formula>
    </cfRule>
  </conditionalFormatting>
  <conditionalFormatting sqref="K13">
    <cfRule type="expression" dxfId="7" priority="239" stopIfTrue="1">
      <formula>OR(LEFT(G944,6)="ERROR:",LEFT(G946,6)="ERROR:",LEFT(G948,6)="ERROR:",LEFT(G951,6)="ERROR:",LEFT(G978,6)="ERROR:")</formula>
    </cfRule>
  </conditionalFormatting>
  <conditionalFormatting sqref="K14">
    <cfRule type="expression" dxfId="7" priority="240" stopIfTrue="1">
      <formula>OR(LEFT(G945,6)="ERROR:")</formula>
    </cfRule>
  </conditionalFormatting>
  <conditionalFormatting sqref="K15">
    <cfRule type="expression" dxfId="7" priority="241" stopIfTrue="1">
      <formula>OR(LEFT(G949,6)="ERROR:")</formula>
    </cfRule>
  </conditionalFormatting>
  <conditionalFormatting sqref="K16">
    <cfRule type="expression" dxfId="7" priority="242" stopIfTrue="1">
      <formula>OR(LEFT(G950,6)="ERROR:")</formula>
    </cfRule>
  </conditionalFormatting>
  <conditionalFormatting sqref="E6">
    <cfRule type="expression" dxfId="7" priority="243" stopIfTrue="1">
      <formula>LEFT(E6,5)="ERROR"</formula>
    </cfRule>
  </conditionalFormatting>
  <conditionalFormatting sqref="L21">
    <cfRule type="expression" dxfId="7" priority="244" stopIfTrue="1">
      <formula>L21&gt;0</formula>
    </cfRule>
  </conditionalFormatting>
  <conditionalFormatting sqref="L22">
    <cfRule type="expression" dxfId="8" priority="245" stopIfTrue="1">
      <formula>L22&gt;0</formula>
    </cfRule>
  </conditionalFormatting>
  <conditionalFormatting sqref="K926">
    <cfRule type="expression" dxfId="7" priority="246" stopIfTrue="1">
      <formula>LEFT(K926,6)="ERROR:"</formula>
    </cfRule>
  </conditionalFormatting>
  <conditionalFormatting sqref="K926">
    <cfRule type="expression" dxfId="8" priority="247" stopIfTrue="1">
      <formula>LEFT(K926,8)="WARNING:"</formula>
    </cfRule>
  </conditionalFormatting>
  <conditionalFormatting sqref="K927">
    <cfRule type="expression" dxfId="7" priority="248" stopIfTrue="1">
      <formula>LEFT(K927,6)="ERROR:"</formula>
    </cfRule>
  </conditionalFormatting>
  <conditionalFormatting sqref="K927">
    <cfRule type="expression" dxfId="8" priority="249" stopIfTrue="1">
      <formula>LEFT(K927,8)="WARNING:"</formula>
    </cfRule>
  </conditionalFormatting>
  <conditionalFormatting sqref="K928">
    <cfRule type="expression" dxfId="7" priority="250" stopIfTrue="1">
      <formula>LEFT(K928,6)="ERROR:"</formula>
    </cfRule>
  </conditionalFormatting>
  <conditionalFormatting sqref="K928">
    <cfRule type="expression" dxfId="8" priority="251" stopIfTrue="1">
      <formula>LEFT(K928,8)="WARNING:"</formula>
    </cfRule>
  </conditionalFormatting>
  <conditionalFormatting sqref="K929">
    <cfRule type="expression" dxfId="7" priority="252" stopIfTrue="1">
      <formula>LEFT(K929,6)="ERROR:"</formula>
    </cfRule>
  </conditionalFormatting>
  <conditionalFormatting sqref="K929">
    <cfRule type="expression" dxfId="8" priority="253" stopIfTrue="1">
      <formula>LEFT(K929,8)="WARNING:"</formula>
    </cfRule>
  </conditionalFormatting>
  <conditionalFormatting sqref="K930">
    <cfRule type="expression" dxfId="7" priority="254" stopIfTrue="1">
      <formula>LEFT(K930,6)="ERROR:"</formula>
    </cfRule>
  </conditionalFormatting>
  <conditionalFormatting sqref="K930">
    <cfRule type="expression" dxfId="8" priority="255" stopIfTrue="1">
      <formula>LEFT(K930,8)="WARNING:"</formula>
    </cfRule>
  </conditionalFormatting>
  <conditionalFormatting sqref="K931">
    <cfRule type="expression" dxfId="7" priority="256" stopIfTrue="1">
      <formula>LEFT(K931,6)="ERROR:"</formula>
    </cfRule>
  </conditionalFormatting>
  <conditionalFormatting sqref="K931">
    <cfRule type="expression" dxfId="8" priority="257" stopIfTrue="1">
      <formula>LEFT(K931,8)="WARNING:"</formula>
    </cfRule>
  </conditionalFormatting>
  <conditionalFormatting sqref="K932">
    <cfRule type="expression" dxfId="7" priority="258" stopIfTrue="1">
      <formula>LEFT(K932,6)="ERROR:"</formula>
    </cfRule>
  </conditionalFormatting>
  <conditionalFormatting sqref="K932">
    <cfRule type="expression" dxfId="8" priority="259" stopIfTrue="1">
      <formula>LEFT(K932,8)="WARNING:"</formula>
    </cfRule>
  </conditionalFormatting>
  <conditionalFormatting sqref="K933">
    <cfRule type="expression" dxfId="7" priority="260" stopIfTrue="1">
      <formula>LEFT(K933,6)="ERROR:"</formula>
    </cfRule>
  </conditionalFormatting>
  <conditionalFormatting sqref="K933">
    <cfRule type="expression" dxfId="8" priority="261" stopIfTrue="1">
      <formula>LEFT(K933,8)="WARNING:"</formula>
    </cfRule>
  </conditionalFormatting>
  <conditionalFormatting sqref="K934">
    <cfRule type="expression" dxfId="7" priority="262" stopIfTrue="1">
      <formula>LEFT(K934,6)="ERROR:"</formula>
    </cfRule>
  </conditionalFormatting>
  <conditionalFormatting sqref="K934">
    <cfRule type="expression" dxfId="8" priority="263" stopIfTrue="1">
      <formula>LEFT(K934,8)="WARNING:"</formula>
    </cfRule>
  </conditionalFormatting>
  <conditionalFormatting sqref="K935">
    <cfRule type="expression" dxfId="7" priority="264" stopIfTrue="1">
      <formula>LEFT(K935,6)="ERROR:"</formula>
    </cfRule>
  </conditionalFormatting>
  <conditionalFormatting sqref="K935">
    <cfRule type="expression" dxfId="8" priority="265" stopIfTrue="1">
      <formula>LEFT(K935,8)="WARNING:"</formula>
    </cfRule>
  </conditionalFormatting>
  <conditionalFormatting sqref="K936">
    <cfRule type="expression" dxfId="7" priority="266" stopIfTrue="1">
      <formula>LEFT(K936,6)="ERROR:"</formula>
    </cfRule>
  </conditionalFormatting>
  <conditionalFormatting sqref="K936">
    <cfRule type="expression" dxfId="8" priority="267" stopIfTrue="1">
      <formula>LEFT(K936,8)="WARNING:"</formula>
    </cfRule>
  </conditionalFormatting>
  <conditionalFormatting sqref="K937">
    <cfRule type="expression" dxfId="7" priority="268" stopIfTrue="1">
      <formula>LEFT(K937,6)="ERROR:"</formula>
    </cfRule>
  </conditionalFormatting>
  <conditionalFormatting sqref="K937">
    <cfRule type="expression" dxfId="8" priority="269" stopIfTrue="1">
      <formula>LEFT(K937,8)="WARNING:"</formula>
    </cfRule>
  </conditionalFormatting>
  <conditionalFormatting sqref="K938">
    <cfRule type="expression" dxfId="7" priority="270" stopIfTrue="1">
      <formula>LEFT(K938,6)="ERROR:"</formula>
    </cfRule>
  </conditionalFormatting>
  <conditionalFormatting sqref="K938">
    <cfRule type="expression" dxfId="8" priority="271" stopIfTrue="1">
      <formula>LEFT(K938,8)="WARNING:"</formula>
    </cfRule>
  </conditionalFormatting>
  <conditionalFormatting sqref="K939">
    <cfRule type="expression" dxfId="7" priority="272" stopIfTrue="1">
      <formula>LEFT(K939,6)="ERROR:"</formula>
    </cfRule>
  </conditionalFormatting>
  <conditionalFormatting sqref="K939">
    <cfRule type="expression" dxfId="8" priority="273" stopIfTrue="1">
      <formula>LEFT(K939,8)="WARNING:"</formula>
    </cfRule>
  </conditionalFormatting>
  <conditionalFormatting sqref="K940">
    <cfRule type="expression" dxfId="7" priority="274" stopIfTrue="1">
      <formula>LEFT(K940,6)="ERROR:"</formula>
    </cfRule>
  </conditionalFormatting>
  <conditionalFormatting sqref="K940">
    <cfRule type="expression" dxfId="8" priority="275" stopIfTrue="1">
      <formula>LEFT(K940,8)="WARNING:"</formula>
    </cfRule>
  </conditionalFormatting>
  <conditionalFormatting sqref="K941">
    <cfRule type="expression" dxfId="7" priority="276" stopIfTrue="1">
      <formula>LEFT(K941,6)="ERROR:"</formula>
    </cfRule>
  </conditionalFormatting>
  <conditionalFormatting sqref="K941">
    <cfRule type="expression" dxfId="8" priority="277" stopIfTrue="1">
      <formula>LEFT(K941,8)="WARNING:"</formula>
    </cfRule>
  </conditionalFormatting>
  <conditionalFormatting sqref="K942">
    <cfRule type="expression" dxfId="7" priority="278" stopIfTrue="1">
      <formula>LEFT(K942,6)="ERROR:"</formula>
    </cfRule>
  </conditionalFormatting>
  <conditionalFormatting sqref="K942">
    <cfRule type="expression" dxfId="8" priority="279" stopIfTrue="1">
      <formula>LEFT(K942,8)="WARNING:"</formula>
    </cfRule>
  </conditionalFormatting>
  <conditionalFormatting sqref="K943">
    <cfRule type="expression" dxfId="7" priority="280" stopIfTrue="1">
      <formula>LEFT(K943,6)="ERROR:"</formula>
    </cfRule>
  </conditionalFormatting>
  <conditionalFormatting sqref="K943">
    <cfRule type="expression" dxfId="8" priority="281" stopIfTrue="1">
      <formula>LEFT(K943,8)="WARNING:"</formula>
    </cfRule>
  </conditionalFormatting>
  <conditionalFormatting sqref="K944">
    <cfRule type="expression" dxfId="7" priority="282" stopIfTrue="1">
      <formula>LEFT(K944,6)="ERROR:"</formula>
    </cfRule>
  </conditionalFormatting>
  <conditionalFormatting sqref="K944">
    <cfRule type="expression" dxfId="8" priority="283" stopIfTrue="1">
      <formula>LEFT(K944,8)="WARNING:"</formula>
    </cfRule>
  </conditionalFormatting>
  <conditionalFormatting sqref="K945">
    <cfRule type="expression" dxfId="7" priority="284" stopIfTrue="1">
      <formula>LEFT(K945,6)="ERROR:"</formula>
    </cfRule>
  </conditionalFormatting>
  <conditionalFormatting sqref="K945">
    <cfRule type="expression" dxfId="8" priority="285" stopIfTrue="1">
      <formula>LEFT(K945,8)="WARNING:"</formula>
    </cfRule>
  </conditionalFormatting>
  <conditionalFormatting sqref="K946">
    <cfRule type="expression" dxfId="7" priority="286" stopIfTrue="1">
      <formula>LEFT(K946,6)="ERROR:"</formula>
    </cfRule>
  </conditionalFormatting>
  <conditionalFormatting sqref="K946">
    <cfRule type="expression" dxfId="8" priority="287" stopIfTrue="1">
      <formula>LEFT(K946,8)="WARNING:"</formula>
    </cfRule>
  </conditionalFormatting>
  <conditionalFormatting sqref="K947">
    <cfRule type="expression" dxfId="7" priority="288" stopIfTrue="1">
      <formula>LEFT(K947,6)="ERROR:"</formula>
    </cfRule>
  </conditionalFormatting>
  <conditionalFormatting sqref="K947">
    <cfRule type="expression" dxfId="8" priority="289" stopIfTrue="1">
      <formula>LEFT(K947,8)="WARNING:"</formula>
    </cfRule>
  </conditionalFormatting>
  <conditionalFormatting sqref="K948">
    <cfRule type="expression" dxfId="7" priority="290" stopIfTrue="1">
      <formula>LEFT(K948,6)="ERROR:"</formula>
    </cfRule>
  </conditionalFormatting>
  <conditionalFormatting sqref="K948">
    <cfRule type="expression" dxfId="8" priority="291" stopIfTrue="1">
      <formula>LEFT(K948,8)="WARNING:"</formula>
    </cfRule>
  </conditionalFormatting>
  <conditionalFormatting sqref="K949">
    <cfRule type="expression" dxfId="7" priority="292" stopIfTrue="1">
      <formula>LEFT(K949,6)="ERROR:"</formula>
    </cfRule>
  </conditionalFormatting>
  <conditionalFormatting sqref="K949">
    <cfRule type="expression" dxfId="8" priority="293" stopIfTrue="1">
      <formula>LEFT(K949,8)="WARNING:"</formula>
    </cfRule>
  </conditionalFormatting>
  <conditionalFormatting sqref="K950">
    <cfRule type="expression" dxfId="7" priority="294" stopIfTrue="1">
      <formula>LEFT(K950,6)="ERROR:"</formula>
    </cfRule>
  </conditionalFormatting>
  <conditionalFormatting sqref="K950">
    <cfRule type="expression" dxfId="8" priority="295" stopIfTrue="1">
      <formula>LEFT(K950,8)="WARNING:"</formula>
    </cfRule>
  </conditionalFormatting>
  <conditionalFormatting sqref="K951">
    <cfRule type="expression" dxfId="7" priority="296" stopIfTrue="1">
      <formula>LEFT(K951,6)="ERROR:"</formula>
    </cfRule>
  </conditionalFormatting>
  <conditionalFormatting sqref="K951">
    <cfRule type="expression" dxfId="8" priority="297" stopIfTrue="1">
      <formula>LEFT(K951,8)="WARNING:"</formula>
    </cfRule>
  </conditionalFormatting>
  <conditionalFormatting sqref="K952">
    <cfRule type="expression" dxfId="7" priority="298" stopIfTrue="1">
      <formula>LEFT(K952,6)="ERROR:"</formula>
    </cfRule>
  </conditionalFormatting>
  <conditionalFormatting sqref="K952">
    <cfRule type="expression" dxfId="8" priority="299" stopIfTrue="1">
      <formula>LEFT(K952,8)="WARNING:"</formula>
    </cfRule>
  </conditionalFormatting>
  <conditionalFormatting sqref="K953">
    <cfRule type="expression" dxfId="7" priority="300" stopIfTrue="1">
      <formula>LEFT(K953,6)="ERROR:"</formula>
    </cfRule>
  </conditionalFormatting>
  <conditionalFormatting sqref="K953">
    <cfRule type="expression" dxfId="8" priority="301" stopIfTrue="1">
      <formula>LEFT(K953,8)="WARNING:"</formula>
    </cfRule>
  </conditionalFormatting>
  <conditionalFormatting sqref="K954">
    <cfRule type="expression" dxfId="7" priority="302" stopIfTrue="1">
      <formula>LEFT(K954,6)="ERROR:"</formula>
    </cfRule>
  </conditionalFormatting>
  <conditionalFormatting sqref="K954">
    <cfRule type="expression" dxfId="8" priority="303" stopIfTrue="1">
      <formula>LEFT(K954,8)="WARNING:"</formula>
    </cfRule>
  </conditionalFormatting>
  <conditionalFormatting sqref="K955">
    <cfRule type="expression" dxfId="7" priority="304" stopIfTrue="1">
      <formula>LEFT(K955,6)="ERROR:"</formula>
    </cfRule>
  </conditionalFormatting>
  <conditionalFormatting sqref="K955">
    <cfRule type="expression" dxfId="8" priority="305" stopIfTrue="1">
      <formula>LEFT(K955,8)="WARNING:"</formula>
    </cfRule>
  </conditionalFormatting>
  <conditionalFormatting sqref="K956">
    <cfRule type="expression" dxfId="7" priority="306" stopIfTrue="1">
      <formula>LEFT(K956,6)="ERROR:"</formula>
    </cfRule>
  </conditionalFormatting>
  <conditionalFormatting sqref="K956">
    <cfRule type="expression" dxfId="8" priority="307" stopIfTrue="1">
      <formula>LEFT(K956,8)="WARNING:"</formula>
    </cfRule>
  </conditionalFormatting>
  <conditionalFormatting sqref="K957">
    <cfRule type="expression" dxfId="7" priority="308" stopIfTrue="1">
      <formula>LEFT(K957,6)="ERROR:"</formula>
    </cfRule>
  </conditionalFormatting>
  <conditionalFormatting sqref="K957">
    <cfRule type="expression" dxfId="8" priority="309" stopIfTrue="1">
      <formula>LEFT(K957,8)="WARNING:"</formula>
    </cfRule>
  </conditionalFormatting>
  <conditionalFormatting sqref="K958">
    <cfRule type="expression" dxfId="7" priority="310" stopIfTrue="1">
      <formula>LEFT(K958,6)="ERROR:"</formula>
    </cfRule>
  </conditionalFormatting>
  <conditionalFormatting sqref="K958">
    <cfRule type="expression" dxfId="8" priority="311" stopIfTrue="1">
      <formula>LEFT(K958,8)="WARNING:"</formula>
    </cfRule>
  </conditionalFormatting>
  <conditionalFormatting sqref="K959">
    <cfRule type="expression" dxfId="7" priority="312" stopIfTrue="1">
      <formula>LEFT(K959,6)="ERROR:"</formula>
    </cfRule>
  </conditionalFormatting>
  <conditionalFormatting sqref="K959">
    <cfRule type="expression" dxfId="8" priority="313" stopIfTrue="1">
      <formula>LEFT(K959,8)="WARNING:"</formula>
    </cfRule>
  </conditionalFormatting>
  <conditionalFormatting sqref="K960">
    <cfRule type="expression" dxfId="7" priority="314" stopIfTrue="1">
      <formula>LEFT(K960,6)="ERROR:"</formula>
    </cfRule>
  </conditionalFormatting>
  <conditionalFormatting sqref="K960">
    <cfRule type="expression" dxfId="8" priority="315" stopIfTrue="1">
      <formula>LEFT(K960,8)="WARNING:"</formula>
    </cfRule>
  </conditionalFormatting>
  <conditionalFormatting sqref="K961">
    <cfRule type="expression" dxfId="7" priority="316" stopIfTrue="1">
      <formula>LEFT(K961,6)="ERROR:"</formula>
    </cfRule>
  </conditionalFormatting>
  <conditionalFormatting sqref="K961">
    <cfRule type="expression" dxfId="8" priority="317" stopIfTrue="1">
      <formula>LEFT(K961,8)="WARNING:"</formula>
    </cfRule>
  </conditionalFormatting>
  <conditionalFormatting sqref="K962">
    <cfRule type="expression" dxfId="7" priority="318" stopIfTrue="1">
      <formula>LEFT(K962,6)="ERROR:"</formula>
    </cfRule>
  </conditionalFormatting>
  <conditionalFormatting sqref="K962">
    <cfRule type="expression" dxfId="8" priority="319" stopIfTrue="1">
      <formula>LEFT(K962,8)="WARNING:"</formula>
    </cfRule>
  </conditionalFormatting>
  <conditionalFormatting sqref="K963">
    <cfRule type="expression" dxfId="7" priority="320" stopIfTrue="1">
      <formula>LEFT(K963,6)="ERROR:"</formula>
    </cfRule>
  </conditionalFormatting>
  <conditionalFormatting sqref="K963">
    <cfRule type="expression" dxfId="8" priority="321" stopIfTrue="1">
      <formula>LEFT(K963,8)="WARNING:"</formula>
    </cfRule>
  </conditionalFormatting>
  <conditionalFormatting sqref="K964">
    <cfRule type="expression" dxfId="7" priority="322" stopIfTrue="1">
      <formula>LEFT(K964,6)="ERROR:"</formula>
    </cfRule>
  </conditionalFormatting>
  <conditionalFormatting sqref="K964">
    <cfRule type="expression" dxfId="8" priority="323" stopIfTrue="1">
      <formula>LEFT(K964,8)="WARNING:"</formula>
    </cfRule>
  </conditionalFormatting>
  <conditionalFormatting sqref="K965">
    <cfRule type="expression" dxfId="7" priority="324" stopIfTrue="1">
      <formula>LEFT(K965,6)="ERROR:"</formula>
    </cfRule>
  </conditionalFormatting>
  <conditionalFormatting sqref="K965">
    <cfRule type="expression" dxfId="8" priority="325" stopIfTrue="1">
      <formula>LEFT(K965,8)="WARNING:"</formula>
    </cfRule>
  </conditionalFormatting>
  <conditionalFormatting sqref="K966">
    <cfRule type="expression" dxfId="7" priority="326" stopIfTrue="1">
      <formula>LEFT(K966,6)="ERROR:"</formula>
    </cfRule>
  </conditionalFormatting>
  <conditionalFormatting sqref="K966">
    <cfRule type="expression" dxfId="8" priority="327" stopIfTrue="1">
      <formula>LEFT(K966,8)="WARNING:"</formula>
    </cfRule>
  </conditionalFormatting>
  <conditionalFormatting sqref="K967">
    <cfRule type="expression" dxfId="7" priority="328" stopIfTrue="1">
      <formula>LEFT(K967,6)="ERROR:"</formula>
    </cfRule>
  </conditionalFormatting>
  <conditionalFormatting sqref="K967">
    <cfRule type="expression" dxfId="8" priority="329" stopIfTrue="1">
      <formula>LEFT(K967,8)="WARNING:"</formula>
    </cfRule>
  </conditionalFormatting>
  <conditionalFormatting sqref="K968">
    <cfRule type="expression" dxfId="7" priority="330" stopIfTrue="1">
      <formula>LEFT(K968,6)="ERROR:"</formula>
    </cfRule>
  </conditionalFormatting>
  <conditionalFormatting sqref="K968">
    <cfRule type="expression" dxfId="8" priority="331" stopIfTrue="1">
      <formula>LEFT(K968,8)="WARNING:"</formula>
    </cfRule>
  </conditionalFormatting>
  <conditionalFormatting sqref="K969">
    <cfRule type="expression" dxfId="7" priority="332" stopIfTrue="1">
      <formula>LEFT(K969,6)="ERROR:"</formula>
    </cfRule>
  </conditionalFormatting>
  <conditionalFormatting sqref="K969">
    <cfRule type="expression" dxfId="8" priority="333" stopIfTrue="1">
      <formula>LEFT(K969,8)="WARNING:"</formula>
    </cfRule>
  </conditionalFormatting>
  <conditionalFormatting sqref="K970">
    <cfRule type="expression" dxfId="7" priority="334" stopIfTrue="1">
      <formula>LEFT(K970,6)="ERROR:"</formula>
    </cfRule>
  </conditionalFormatting>
  <conditionalFormatting sqref="K970">
    <cfRule type="expression" dxfId="8" priority="335" stopIfTrue="1">
      <formula>LEFT(K970,8)="WARNING:"</formula>
    </cfRule>
  </conditionalFormatting>
  <conditionalFormatting sqref="K971">
    <cfRule type="expression" dxfId="7" priority="336" stopIfTrue="1">
      <formula>LEFT(K971,6)="ERROR:"</formula>
    </cfRule>
  </conditionalFormatting>
  <conditionalFormatting sqref="K971">
    <cfRule type="expression" dxfId="8" priority="337" stopIfTrue="1">
      <formula>LEFT(K971,8)="WARNING:"</formula>
    </cfRule>
  </conditionalFormatting>
  <conditionalFormatting sqref="K972">
    <cfRule type="expression" dxfId="7" priority="338" stopIfTrue="1">
      <formula>LEFT(K972,6)="ERROR:"</formula>
    </cfRule>
  </conditionalFormatting>
  <conditionalFormatting sqref="K972">
    <cfRule type="expression" dxfId="8" priority="339" stopIfTrue="1">
      <formula>LEFT(K972,8)="WARNING:"</formula>
    </cfRule>
  </conditionalFormatting>
  <conditionalFormatting sqref="K973">
    <cfRule type="expression" dxfId="7" priority="340" stopIfTrue="1">
      <formula>LEFT(K973,6)="ERROR:"</formula>
    </cfRule>
  </conditionalFormatting>
  <conditionalFormatting sqref="K973">
    <cfRule type="expression" dxfId="8" priority="341" stopIfTrue="1">
      <formula>LEFT(K973,8)="WARNING:"</formula>
    </cfRule>
  </conditionalFormatting>
  <conditionalFormatting sqref="K974">
    <cfRule type="expression" dxfId="7" priority="342" stopIfTrue="1">
      <formula>LEFT(K974,6)="ERROR:"</formula>
    </cfRule>
  </conditionalFormatting>
  <conditionalFormatting sqref="K974">
    <cfRule type="expression" dxfId="8" priority="343" stopIfTrue="1">
      <formula>LEFT(K974,8)="WARNING:"</formula>
    </cfRule>
  </conditionalFormatting>
  <conditionalFormatting sqref="K975">
    <cfRule type="expression" dxfId="7" priority="344" stopIfTrue="1">
      <formula>LEFT(K975,6)="ERROR:"</formula>
    </cfRule>
  </conditionalFormatting>
  <conditionalFormatting sqref="K975">
    <cfRule type="expression" dxfId="8" priority="345" stopIfTrue="1">
      <formula>LEFT(K975,8)="WARNING:"</formula>
    </cfRule>
  </conditionalFormatting>
  <conditionalFormatting sqref="K976">
    <cfRule type="expression" dxfId="7" priority="346" stopIfTrue="1">
      <formula>LEFT(K976,6)="ERROR:"</formula>
    </cfRule>
  </conditionalFormatting>
  <conditionalFormatting sqref="K976">
    <cfRule type="expression" dxfId="8" priority="347" stopIfTrue="1">
      <formula>LEFT(K976,8)="WARNING:"</formula>
    </cfRule>
  </conditionalFormatting>
  <conditionalFormatting sqref="K977">
    <cfRule type="expression" dxfId="7" priority="348" stopIfTrue="1">
      <formula>LEFT(K977,6)="ERROR:"</formula>
    </cfRule>
  </conditionalFormatting>
  <conditionalFormatting sqref="K977">
    <cfRule type="expression" dxfId="8" priority="349" stopIfTrue="1">
      <formula>LEFT(K977,8)="WARNING:"</formula>
    </cfRule>
  </conditionalFormatting>
  <conditionalFormatting sqref="K978">
    <cfRule type="expression" dxfId="7" priority="350" stopIfTrue="1">
      <formula>LEFT(K978,6)="ERROR:"</formula>
    </cfRule>
  </conditionalFormatting>
  <conditionalFormatting sqref="K978">
    <cfRule type="expression" dxfId="8" priority="351" stopIfTrue="1">
      <formula>LEFT(K978,8)="WARNING:"</formula>
    </cfRule>
  </conditionalFormatting>
  <conditionalFormatting sqref="K979">
    <cfRule type="expression" dxfId="7" priority="352" stopIfTrue="1">
      <formula>LEFT(K979,6)="ERROR:"</formula>
    </cfRule>
  </conditionalFormatting>
  <conditionalFormatting sqref="K979">
    <cfRule type="expression" dxfId="8" priority="353" stopIfTrue="1">
      <formula>LEFT(K979,8)="WARNING:"</formula>
    </cfRule>
  </conditionalFormatting>
  <conditionalFormatting sqref="K980">
    <cfRule type="expression" dxfId="7" priority="354" stopIfTrue="1">
      <formula>LEFT(K980,6)="ERROR:"</formula>
    </cfRule>
  </conditionalFormatting>
  <conditionalFormatting sqref="K980">
    <cfRule type="expression" dxfId="8" priority="355" stopIfTrue="1">
      <formula>LEFT(K980,8)="WARNING:"</formula>
    </cfRule>
  </conditionalFormatting>
  <conditionalFormatting sqref="L9">
    <cfRule type="expression" dxfId="7" priority="356" stopIfTrue="1">
      <formula>OR(LEFT(K940,6)="ERROR:",LEFT(K976,6)="ERROR:")</formula>
    </cfRule>
  </conditionalFormatting>
  <conditionalFormatting sqref="L10">
    <cfRule type="expression" dxfId="7" priority="357" stopIfTrue="1">
      <formula>OR(LEFT(K941,6)="ERROR:",LEFT(K946,6)="ERROR:",LEFT(K947,6)="ERROR:")</formula>
    </cfRule>
  </conditionalFormatting>
  <conditionalFormatting sqref="L11">
    <cfRule type="expression" dxfId="7" priority="358" stopIfTrue="1">
      <formula>OR(LEFT(K942,6)="ERROR:",LEFT(K948,6)="ERROR:",LEFT(K977,6)="ERROR:")</formula>
    </cfRule>
  </conditionalFormatting>
  <conditionalFormatting sqref="L12">
    <cfRule type="expression" dxfId="7" priority="359" stopIfTrue="1">
      <formula>OR(LEFT(K943,6)="ERROR:",LEFT(K951,6)="ERROR:")</formula>
    </cfRule>
  </conditionalFormatting>
  <conditionalFormatting sqref="L13">
    <cfRule type="expression" dxfId="7" priority="360" stopIfTrue="1">
      <formula>OR(LEFT(K944,6)="ERROR:",LEFT(K946,6)="ERROR:",LEFT(K948,6)="ERROR:",LEFT(K951,6)="ERROR:",LEFT(K978,6)="ERROR:")</formula>
    </cfRule>
  </conditionalFormatting>
  <conditionalFormatting sqref="L14">
    <cfRule type="expression" dxfId="7" priority="361" stopIfTrue="1">
      <formula>OR(LEFT(K945,6)="ERROR:")</formula>
    </cfRule>
  </conditionalFormatting>
  <conditionalFormatting sqref="L15">
    <cfRule type="expression" dxfId="7" priority="362" stopIfTrue="1">
      <formula>OR(LEFT(K949,6)="ERROR:")</formula>
    </cfRule>
  </conditionalFormatting>
  <conditionalFormatting sqref="L16">
    <cfRule type="expression" dxfId="7" priority="363" stopIfTrue="1">
      <formula>OR(LEFT(K950,6)="ERROR:")</formula>
    </cfRule>
  </conditionalFormatting>
  <conditionalFormatting sqref="C990">
    <cfRule type="expression" dxfId="7" priority="364" stopIfTrue="1">
      <formula>LEFT(C990,6)="ERROR:"</formula>
    </cfRule>
  </conditionalFormatting>
  <conditionalFormatting sqref="C991">
    <cfRule type="expression" dxfId="7" priority="365" stopIfTrue="1">
      <formula>LEFT(C991,6)="ERROR:"</formula>
    </cfRule>
  </conditionalFormatting>
  <conditionalFormatting sqref="C992">
    <cfRule type="expression" dxfId="7" priority="366" stopIfTrue="1">
      <formula>LEFT(C992,6)="ERROR:"</formula>
    </cfRule>
  </conditionalFormatting>
  <conditionalFormatting sqref="C993">
    <cfRule type="expression" dxfId="7" priority="367" stopIfTrue="1">
      <formula>LEFT(C993,6)="ERROR:"</formula>
    </cfRule>
  </conditionalFormatting>
  <conditionalFormatting sqref="C994">
    <cfRule type="expression" dxfId="7" priority="368" stopIfTrue="1">
      <formula>LEFT(C994,6)="ERROR:"</formula>
    </cfRule>
  </conditionalFormatting>
  <conditionalFormatting sqref="C995">
    <cfRule type="expression" dxfId="7" priority="369" stopIfTrue="1">
      <formula>LEFT(C995,6)="ERROR:"</formula>
    </cfRule>
  </conditionalFormatting>
  <conditionalFormatting sqref="C996">
    <cfRule type="expression" dxfId="7" priority="370" stopIfTrue="1">
      <formula>LEFT(C996,6)="ERROR:"</formula>
    </cfRule>
  </conditionalFormatting>
  <conditionalFormatting sqref="C997">
    <cfRule type="expression" dxfId="7" priority="371" stopIfTrue="1">
      <formula>LEFT(C997,6)="ERROR:"</formula>
    </cfRule>
  </conditionalFormatting>
  <conditionalFormatting sqref="C998">
    <cfRule type="expression" dxfId="7" priority="372" stopIfTrue="1">
      <formula>LEFT(C998,6)="ERROR:"</formula>
    </cfRule>
  </conditionalFormatting>
  <conditionalFormatting sqref="C999">
    <cfRule type="expression" dxfId="7" priority="373" stopIfTrue="1">
      <formula>LEFT(C999,6)="ERROR:"</formula>
    </cfRule>
  </conditionalFormatting>
  <conditionalFormatting sqref="C1000">
    <cfRule type="expression" dxfId="7" priority="374" stopIfTrue="1">
      <formula>LEFT(C1000,6)="ERROR:"</formula>
    </cfRule>
  </conditionalFormatting>
  <conditionalFormatting sqref="C1001">
    <cfRule type="expression" dxfId="7" priority="375" stopIfTrue="1">
      <formula>LEFT(C1001,6)="ERROR:"</formula>
    </cfRule>
  </conditionalFormatting>
  <conditionalFormatting sqref="C1002">
    <cfRule type="expression" dxfId="7" priority="376" stopIfTrue="1">
      <formula>LEFT(C1002,6)="ERROR:"</formula>
    </cfRule>
  </conditionalFormatting>
  <conditionalFormatting sqref="C1003">
    <cfRule type="expression" dxfId="7" priority="377" stopIfTrue="1">
      <formula>LEFT(C1003,6)="ERROR:"</formula>
    </cfRule>
  </conditionalFormatting>
  <conditionalFormatting sqref="C1004">
    <cfRule type="expression" dxfId="7" priority="378" stopIfTrue="1">
      <formula>LEFT(C1004,6)="ERROR:"</formula>
    </cfRule>
  </conditionalFormatting>
  <conditionalFormatting sqref="C1005">
    <cfRule type="expression" dxfId="7" priority="379" stopIfTrue="1">
      <formula>LEFT(C1005,6)="ERROR:"</formula>
    </cfRule>
  </conditionalFormatting>
  <conditionalFormatting sqref="C1006">
    <cfRule type="expression" dxfId="7" priority="380" stopIfTrue="1">
      <formula>LEFT(C1006,6)="ERROR:"</formula>
    </cfRule>
  </conditionalFormatting>
  <conditionalFormatting sqref="C1007">
    <cfRule type="expression" dxfId="7" priority="381" stopIfTrue="1">
      <formula>LEFT(C1007,6)="ERROR:"</formula>
    </cfRule>
  </conditionalFormatting>
  <conditionalFormatting sqref="C1008">
    <cfRule type="expression" dxfId="7" priority="382" stopIfTrue="1">
      <formula>LEFT(C1008,6)="ERROR:"</formula>
    </cfRule>
  </conditionalFormatting>
  <conditionalFormatting sqref="C1009">
    <cfRule type="expression" dxfId="7" priority="383" stopIfTrue="1">
      <formula>LEFT(C1009,6)="ERROR:"</formula>
    </cfRule>
  </conditionalFormatting>
  <conditionalFormatting sqref="C1010">
    <cfRule type="expression" dxfId="7" priority="384" stopIfTrue="1">
      <formula>LEFT(C1010,6)="ERROR:"</formula>
    </cfRule>
  </conditionalFormatting>
  <conditionalFormatting sqref="C1011">
    <cfRule type="expression" dxfId="7" priority="385" stopIfTrue="1">
      <formula>LEFT(C1011,6)="ERROR:"</formula>
    </cfRule>
  </conditionalFormatting>
  <conditionalFormatting sqref="C1012">
    <cfRule type="expression" dxfId="7" priority="386" stopIfTrue="1">
      <formula>LEFT(C1012,6)="ERROR:"</formula>
    </cfRule>
  </conditionalFormatting>
  <conditionalFormatting sqref="C1013">
    <cfRule type="expression" dxfId="7" priority="387" stopIfTrue="1">
      <formula>LEFT(C1013,6)="ERROR:"</formula>
    </cfRule>
  </conditionalFormatting>
  <conditionalFormatting sqref="C1014">
    <cfRule type="expression" dxfId="7" priority="388" stopIfTrue="1">
      <formula>LEFT(C1014,6)="ERROR:"</formula>
    </cfRule>
  </conditionalFormatting>
  <conditionalFormatting sqref="C1015">
    <cfRule type="expression" dxfId="7" priority="389" stopIfTrue="1">
      <formula>LEFT(C1015,6)="ERROR:"</formula>
    </cfRule>
  </conditionalFormatting>
  <conditionalFormatting sqref="C1016">
    <cfRule type="expression" dxfId="7" priority="390" stopIfTrue="1">
      <formula>LEFT(C1016,6)="ERROR:"</formula>
    </cfRule>
  </conditionalFormatting>
  <conditionalFormatting sqref="C1017">
    <cfRule type="expression" dxfId="7" priority="391" stopIfTrue="1">
      <formula>LEFT(C1017,6)="ERROR:"</formula>
    </cfRule>
  </conditionalFormatting>
  <conditionalFormatting sqref="C1018">
    <cfRule type="expression" dxfId="7" priority="392" stopIfTrue="1">
      <formula>LEFT(C1018,6)="ERROR:"</formula>
    </cfRule>
  </conditionalFormatting>
  <conditionalFormatting sqref="C1019">
    <cfRule type="expression" dxfId="7" priority="393" stopIfTrue="1">
      <formula>LEFT(C1019,6)="ERROR:"</formula>
    </cfRule>
  </conditionalFormatting>
  <conditionalFormatting sqref="C1020">
    <cfRule type="expression" dxfId="7" priority="394" stopIfTrue="1">
      <formula>LEFT(C1020,6)="ERROR:"</formula>
    </cfRule>
  </conditionalFormatting>
  <conditionalFormatting sqref="C1021">
    <cfRule type="expression" dxfId="7" priority="395" stopIfTrue="1">
      <formula>LEFT(C1021,6)="ERROR:"</formula>
    </cfRule>
  </conditionalFormatting>
  <conditionalFormatting sqref="C1022">
    <cfRule type="expression" dxfId="7" priority="396" stopIfTrue="1">
      <formula>LEFT(C1022,6)="ERROR:"</formula>
    </cfRule>
  </conditionalFormatting>
  <conditionalFormatting sqref="C1023">
    <cfRule type="expression" dxfId="7" priority="397" stopIfTrue="1">
      <formula>LEFT(C1023,6)="ERROR:"</formula>
    </cfRule>
  </conditionalFormatting>
  <conditionalFormatting sqref="C1024">
    <cfRule type="expression" dxfId="7" priority="398" stopIfTrue="1">
      <formula>LEFT(C1024,6)="ERROR:"</formula>
    </cfRule>
  </conditionalFormatting>
  <conditionalFormatting sqref="C1025">
    <cfRule type="expression" dxfId="7" priority="399" stopIfTrue="1">
      <formula>LEFT(C1025,6)="ERROR:"</formula>
    </cfRule>
  </conditionalFormatting>
  <conditionalFormatting sqref="C1026">
    <cfRule type="expression" dxfId="7" priority="400" stopIfTrue="1">
      <formula>LEFT(C1026,6)="ERROR:"</formula>
    </cfRule>
  </conditionalFormatting>
  <conditionalFormatting sqref="C1027">
    <cfRule type="expression" dxfId="7" priority="401" stopIfTrue="1">
      <formula>LEFT(C1027,6)="ERROR:"</formula>
    </cfRule>
  </conditionalFormatting>
  <conditionalFormatting sqref="C1028">
    <cfRule type="expression" dxfId="7" priority="402" stopIfTrue="1">
      <formula>LEFT(C1028,6)="ERROR:"</formula>
    </cfRule>
  </conditionalFormatting>
  <conditionalFormatting sqref="C1029">
    <cfRule type="expression" dxfId="7" priority="403" stopIfTrue="1">
      <formula>LEFT(C1029,6)="ERROR:"</formula>
    </cfRule>
  </conditionalFormatting>
  <conditionalFormatting sqref="C1030">
    <cfRule type="expression" dxfId="7" priority="404" stopIfTrue="1">
      <formula>LEFT(C1030,6)="ERROR:"</formula>
    </cfRule>
  </conditionalFormatting>
  <conditionalFormatting sqref="C1031">
    <cfRule type="expression" dxfId="7" priority="405" stopIfTrue="1">
      <formula>LEFT(C1031,6)="ERROR:"</formula>
    </cfRule>
  </conditionalFormatting>
  <conditionalFormatting sqref="C1032">
    <cfRule type="expression" dxfId="7" priority="406" stopIfTrue="1">
      <formula>LEFT(C1032,6)="ERROR:"</formula>
    </cfRule>
  </conditionalFormatting>
  <conditionalFormatting sqref="C6:E6">
    <cfRule type="containsText" dxfId="1" priority="409" operator="containsText" text="Check">
      <formula>NOT(ISERROR(SEARCH("Check",C6)))</formula>
    </cfRule>
  </conditionalFormatting>
  <conditionalFormatting sqref="C15:E17">
    <cfRule type="cellIs" dxfId="0" priority="408" operator="lessThan">
      <formula>0</formula>
    </cfRule>
  </conditionalFormatting>
  <conditionalFormatting sqref="C6">
    <cfRule type="expression" dxfId="8" priority="410" stopIfTrue="1">
      <formula>COUNTIFS(C926:C980,"WARNING:*")&gt;0</formula>
    </cfRule>
  </conditionalFormatting>
  <conditionalFormatting sqref="D6">
    <cfRule type="expression" dxfId="8" priority="411" stopIfTrue="1">
      <formula>COUNTIFS(G926:G980,"WARNING:*")&gt;0</formula>
    </cfRule>
  </conditionalFormatting>
  <conditionalFormatting sqref="E6">
    <cfRule type="expression" dxfId="8" priority="412" stopIfTrue="1">
      <formula>COUNTIFS(K926:K980,"WARNING:*")&gt;0</formula>
    </cfRule>
  </conditionalFormatting>
  <conditionalFormatting sqref="K13">
    <cfRule type="expression" dxfId="8" priority="413" stopIfTrue="1">
      <formula>LEFT(G951,8)="WARNING:"</formula>
    </cfRule>
  </conditionalFormatting>
  <conditionalFormatting sqref="L13">
    <cfRule type="expression" dxfId="8" priority="414" stopIfTrue="1">
      <formula>LEFT(K951,8)="WARNING:"</formula>
    </cfRule>
  </conditionalFormatting>
  <dataValidations count="6">
    <dataValidation type="list" sqref="J9:L9">
      <formula1>"PV550,PV670"</formula1>
      <formula2>0</formula2>
    </dataValidation>
    <dataValidation type="list" sqref="J11:L11">
      <formula1>"BAT10,BAT16,BAT32"</formula1>
      <formula2>0</formula2>
    </dataValidation>
    <dataValidation type="list" sqref="J13:L13">
      <formula1>"GRID10,HYB5,HYB12,HYB20"</formula1>
      <formula2>0</formula2>
    </dataValidation>
    <dataValidation type="list" sqref="J15:L15">
      <formula1>"Backup,Grid cycle"</formula1>
      <formula2>0</formula2>
    </dataValidation>
    <dataValidation type="whole" sqref="J10:L10 J12:L12">
      <formula1>0</formula1>
      <formula2>10000</formula2>
    </dataValidation>
    <dataValidation type="decimal" sqref="J14:L14">
      <formula1>0</formula1>
      <formula2>1</formula2>
    </dataValidation>
  </dataValidations>
  <pageMargins left="0.7" right="0.7" top="0.75" bottom="0.75" header="0.3" footer="0.3"/>
  <pageSetup orientation="landscape" paperSize="66" fitToWidth="1" fitToHeight="0"/>
</worksheet>
</file>

<file path=xl/worksheets/sheet4.xml><?xml version="1.0" encoding="utf-8"?>
<worksheet xmlns="http://schemas.openxmlformats.org/spreadsheetml/2006/main">
  <sheetViews>
    <sheetView workbookViewId="0" tabSelected="0" showGridLines="1"/>
  </sheetViews>
  <sheetFormatPr defaultRowHeight="15"/>
  <sheetData/>
  <pageMargins left="0.7" right="0.7" top="0.75" bottom="0.75" header="0.3" footer="0.3"/>
</worksheet>
</file>

<file path=xl/worksheets/sheet5.xml><?xml version="1.0" encoding="utf-8"?>
<worksheet xmlns="http://schemas.openxmlformats.org/spreadsheetml/2006/main">
  <sheetViews>
    <sheetView workbookViewId="0" tabSelected="0" showGridLines="1"/>
  </sheetViews>
  <sheetFormatPr defaultRowHeight="15"/>
  <sheetData/>
  <pageMargins left="0.7" right="0.7" top="0.75" bottom="0.75" header="0.3" footer="0.3"/>
</worksheet>
</file>

<file path=xl/worksheets/sheet6.xml><?xml version="1.0" encoding="utf-8"?>
<worksheet xmlns="http://schemas.openxmlformats.org/spreadsheetml/2006/main">
  <sheetPr>
    <tabColor rgb="FF19344C"/>
  </sheetPr>
  <sheetViews>
    <sheetView showGridLines="0" workbookViewId="0" tabSelected="1" zoomScale="75" zoomScaleNormal="100">
      <selection activeCell="C5" sqref="C5"/>
    </sheetView>
  </sheetViews>
  <sheetFormatPr defaultRowHeight="15"/>
  <cols>
    <col min="1" max="1" width="24" hidden="0" customWidth="1"/>
    <col min="2" max="2" width="17" hidden="0" customWidth="1"/>
    <col min="3" max="3" width="17" hidden="0" customWidth="1"/>
    <col min="4" max="4" width="17" hidden="0" customWidth="1"/>
    <col min="5" max="5" width="19" hidden="0" customWidth="1"/>
    <col min="6" max="6" width="19" hidden="0" customWidth="1"/>
    <col min="7" max="7" width="19" hidden="0" customWidth="1"/>
    <col min="8" max="8" width="19" hidden="0" customWidth="1"/>
    <col min="9" max="9" width="19" hidden="0" customWidth="1"/>
    <col min="10" max="10" width="19" hidden="0" customWidth="1"/>
  </cols>
  <sheetData>
    <row r="1" ht="23" customHeight="1">
      <c r="A1" s="190"/>
      <c r="B1" s="190"/>
      <c r="C1" s="190"/>
      <c r="D1" s="190"/>
      <c r="E1" s="190"/>
      <c r="F1" s="190"/>
      <c r="G1" s="190"/>
      <c r="H1" s="190"/>
      <c r="I1" s="190"/>
      <c r="J1" s="190"/>
    </row>
    <row r="2" ht="32" customHeight="1">
      <c r="A2" s="192" t="str">
        <v>AVESTA - Solar Production | Experimental Copy</v>
      </c>
      <c r="B2" s="192"/>
      <c r="C2" s="192"/>
      <c r="D2" s="192"/>
      <c r="E2" s="192"/>
      <c r="F2" s="192"/>
      <c r="G2" s="192"/>
      <c r="H2" s="192"/>
      <c r="I2" s="192"/>
      <c r="J2" s="192"/>
    </row>
    <row r="3" ht="23" customHeight="1">
      <c r="A3" s="190" t="str">
        <v>Cairo fixed location. Yellow cells are editable. Monthly battery dispatch remains an approximation.</v>
      </c>
      <c r="B3" s="190"/>
      <c r="C3" s="190"/>
      <c r="D3" s="190"/>
      <c r="E3" s="190"/>
      <c r="F3" s="190"/>
      <c r="G3" s="190"/>
      <c r="H3" s="190"/>
      <c r="I3" s="190"/>
      <c r="J3" s="190"/>
    </row>
    <row r="4" ht="23" customHeight="1">
      <c r="A4" s="190"/>
      <c r="B4" s="190"/>
      <c r="C4" s="190"/>
      <c r="D4" s="190"/>
      <c r="E4" s="190"/>
      <c r="F4" s="190"/>
      <c r="G4" s="190"/>
      <c r="H4" s="190"/>
      <c r="I4" s="190"/>
      <c r="J4" s="190"/>
    </row>
    <row r="5" ht="23" customHeight="1">
      <c r="A5" s="190" t="str">
        <v>Panel tilt (degrees)</v>
      </c>
      <c r="B5" s="190"/>
      <c r="C5" s="194" t="n">
        <v>30</v>
      </c>
      <c r="D5" s="190"/>
      <c r="E5" s="190" t="str">
        <v>Tilt: 0 = horizontal; 90 = vertical.</v>
      </c>
      <c r="F5" s="190"/>
      <c r="G5" s="190"/>
      <c r="H5" s="190"/>
      <c r="I5" s="190"/>
      <c r="J5" s="190"/>
    </row>
    <row r="6" ht="23" customHeight="1">
      <c r="A6" s="190" t="str">
        <v>Compass azimuth (deg)</v>
      </c>
      <c r="B6" s="190"/>
      <c r="C6" s="194" t="n">
        <v>180</v>
      </c>
      <c r="D6" s="190"/>
      <c r="E6" s="190" t="str">
        <v>Azimuth: 0/360 = north; 90 = east; 180 = south; 270 = west.</v>
      </c>
      <c r="F6" s="190"/>
      <c r="G6" s="190"/>
      <c r="H6" s="190"/>
      <c r="I6" s="190"/>
      <c r="J6" s="190"/>
    </row>
    <row r="7" ht="23" customHeight="1">
      <c r="A7" s="190" t="str">
        <v>Study year shown</v>
      </c>
      <c r="B7" s="190"/>
      <c r="C7" s="194" t="n">
        <v>1</v>
      </c>
      <c r="D7" s="190"/>
      <c r="E7" s="190" t="str">
        <v>The same roof orientation applies to both solar configurations.</v>
      </c>
      <c r="F7" s="190"/>
      <c r="G7" s="190"/>
      <c r="H7" s="190"/>
      <c r="I7" s="190"/>
      <c r="J7" s="190"/>
    </row>
    <row r="8" ht="23" customHeight="1">
      <c r="A8" s="190" t="str">
        <v>Calendar year shown</v>
      </c>
      <c r="B8" s="190"/>
      <c r="C8" s="190" t="n">
        <f>'Assumptions and Catalog'!C24+C7-1</f>
        <v>2027</v>
      </c>
      <c r="D8" s="190"/>
      <c r="E8" s="190"/>
      <c r="F8" s="190"/>
      <c r="G8" s="190"/>
      <c r="H8" s="190"/>
      <c r="I8" s="190"/>
      <c r="J8" s="190"/>
    </row>
    <row r="9" ht="23" customHeight="1">
      <c r="A9" s="190" t="str">
        <v>Latitude (fixed)</v>
      </c>
      <c r="B9" s="190"/>
      <c r="C9" s="195" t="n">
        <v>30.0444</v>
      </c>
      <c r="D9" s="190"/>
      <c r="E9" s="190" t="str">
        <v>PVGIS 5.3 / SARAH3 | Climate: 2005-2023 | Retrieved: 26 Oct 2026</v>
      </c>
      <c r="F9" s="190"/>
      <c r="G9" s="190"/>
      <c r="H9" s="190"/>
      <c r="I9" s="190"/>
      <c r="J9" s="190"/>
    </row>
    <row r="10" ht="23" customHeight="1">
      <c r="A10" s="190" t="str">
        <v>Longitude (fixed)</v>
      </c>
      <c r="B10" s="190"/>
      <c r="C10" s="195" t="n">
        <v>31.2357</v>
      </c>
      <c r="D10" s="190"/>
      <c r="E10" s="190" t="str">
        <v>Crystalline silicon; free-standing; terrain horizon included.</v>
      </c>
      <c r="F10" s="190"/>
      <c r="G10" s="190"/>
      <c r="H10" s="190"/>
      <c r="I10" s="190"/>
      <c r="J10" s="190"/>
    </row>
    <row r="11" ht="23" customHeight="1">
      <c r="A11" s="190" t="str">
        <v>PVGIS system loss</v>
      </c>
      <c r="B11" s="190"/>
      <c r="C11" s="196" t="n">
        <v>0.14</v>
      </c>
      <c r="D11" s="190"/>
      <c r="E11" s="190" t="str">
        <v>14% system loss is already included; no second performance ratio.</v>
      </c>
      <c r="F11" s="190"/>
      <c r="G11" s="190"/>
      <c r="H11" s="190"/>
      <c r="I11" s="190"/>
      <c r="J11" s="190"/>
    </row>
    <row r="12" ht="23" customHeight="1">
      <c r="A12" s="190" t="str">
        <v>Solar input status</v>
      </c>
      <c r="B12" s="190"/>
      <c r="C12" s="190" t="str">
        <f>IF(AND(ISNUMBER(C5),C5&gt;=0,C5&lt;=90,ISNUMBER(C6),C6&gt;=0,C6&lt;=360,ISNUMBER(C7),C7&gt;=1,C7&lt;='Assumptions and Catalog'!C6,C7&lt;=20,C7=INT(C7)),"OK","INVALID: tilt 0-90, azimuth 0-360, study year within horizon (max 20)")</f>
        <v>OK</v>
      </c>
      <c r="D12" s="190"/>
      <c r="E12" s="190"/>
      <c r="F12" s="190"/>
      <c r="G12" s="190"/>
      <c r="H12" s="190"/>
      <c r="I12" s="190"/>
      <c r="J12" s="190"/>
    </row>
    <row r="13" ht="23" customHeight="1">
      <c r="A13" s="190"/>
      <c r="B13" s="190"/>
      <c r="C13" s="190"/>
      <c r="D13" s="190"/>
      <c r="E13" s="190"/>
      <c r="F13" s="190"/>
      <c r="G13" s="190"/>
      <c r="H13" s="190"/>
      <c r="I13" s="190"/>
      <c r="J13" s="190"/>
    </row>
    <row r="14" ht="23" customHeight="1">
      <c r="A14" s="190" t="str">
        <f>HYPERLINK("https://re.jrc.ec.europa.eu/api/v5_3/PVcalc?lat=30.0444&amp;lon=31.2357&amp;peakpower=1&amp;loss=14&amp;raddatabase=PVGIS-SARAH3&amp;pvtechchoice=crystSi&amp;mountingplace=free&amp;angle="&amp;C5&amp;"&amp;aspect="&amp;(C6-180)&amp;"&amp;outputformat=json","Open PVGIS source for selected tilt and azimuth (internet required)")</f>
        <v>Open PVGIS source for selected tilt and azimuth (internet required)</v>
      </c>
      <c r="B14" s="190"/>
      <c r="C14" s="190"/>
      <c r="D14" s="190"/>
      <c r="E14" s="190"/>
      <c r="F14" s="190"/>
      <c r="G14" s="190"/>
      <c r="H14" s="190"/>
      <c r="I14" s="190"/>
      <c r="J14" s="190"/>
    </row>
    <row r="15" ht="23" customHeight="1">
      <c r="A15" s="190" t="str">
        <f>HYPERLINK("https://joint-research-centre.ec.europa.eu/photovoltaic-geographical-information-system-pvgis/using-pvgis-5/pvgis-5-user-manual_en","PVGIS methodology and data documentation")</f>
        <v>PVGIS methodology and data documentation</v>
      </c>
      <c r="B15" s="190"/>
      <c r="C15" s="190"/>
      <c r="D15" s="190"/>
      <c r="E15" s="190"/>
      <c r="F15" s="190"/>
      <c r="G15" s="190"/>
      <c r="H15" s="190"/>
      <c r="I15" s="190"/>
      <c r="J15" s="190"/>
    </row>
    <row r="16" ht="23" customHeight="1">
      <c r="A16" s="190" t="str">
        <v>Offline calculation: bilinear interpolation of PVGIS results on a 5-degree tilt / 15-degree azimuth grid.</v>
      </c>
      <c r="B16" s="190"/>
      <c r="C16" s="190"/>
      <c r="D16" s="190"/>
      <c r="E16" s="190"/>
      <c r="F16" s="190"/>
      <c r="G16" s="190"/>
      <c r="H16" s="190"/>
      <c r="I16" s="190"/>
      <c r="J16" s="190"/>
    </row>
    <row r="17" ht="23" customHeight="1">
      <c r="A17" s="190" t="str">
        <v>Source values are for 1 kWp. Monthly climate averages are not a forecast of the selected calendar year.</v>
      </c>
      <c r="B17" s="190"/>
      <c r="C17" s="190"/>
      <c r="D17" s="190"/>
      <c r="E17" s="190"/>
      <c r="F17" s="190"/>
      <c r="G17" s="190"/>
      <c r="H17" s="190"/>
      <c r="I17" s="190"/>
      <c r="J17" s="190"/>
    </row>
    <row r="18" ht="23" customHeight="1">
      <c r="A18" s="190"/>
      <c r="B18" s="190"/>
      <c r="C18" s="190"/>
      <c r="D18" s="190"/>
      <c r="E18" s="190"/>
      <c r="F18" s="190"/>
      <c r="G18" s="190"/>
      <c r="H18" s="190"/>
      <c r="I18" s="190"/>
      <c r="J18" s="190"/>
    </row>
    <row r="19" ht="42" customHeight="1">
      <c r="A19" s="199" t="str">
        <v>Month</v>
      </c>
      <c r="B19" s="199" t="str">
        <v>Ref. days</v>
      </c>
      <c r="C19" s="199" t="str">
        <v>PV yield
kWh/kWp/mo</v>
      </c>
      <c r="D19" s="199" t="str">
        <v>PV yield
kWh/kWp/day</v>
      </c>
      <c r="E19" s="199" t="str">
        <v>Solar only
PV kWh</v>
      </c>
      <c r="F19" s="199" t="str">
        <v>Solar only
Bill saving EGP</v>
      </c>
      <c r="G19" s="199" t="str">
        <v>Combined
PV kWh</v>
      </c>
      <c r="H19" s="199" t="str">
        <v>Combined
Bill saving EGP</v>
      </c>
      <c r="I19" s="199" t="str">
        <v>Battery only
Bill saving EGP</v>
      </c>
      <c r="J19" s="199" t="str">
        <v>Calendar
days</v>
      </c>
    </row>
    <row r="20" ht="23" customHeight="1">
      <c r="A20" s="200" t="n">
        <v>1</v>
      </c>
      <c r="B20" s="190" t="n">
        <v>31</v>
      </c>
      <c r="C20" s="212" t="n">
        <f>IF($C$12="OK",(1-$C$44)*(1-$C$45)*INDEX($D$70:$D$5769,($C$40/5*25+$C$42/15)*12+A20)+$C$44*(1-$C$45)*INDEX($D$70:$D$5769,($C$41/5*25+$C$42/15)*12+A20)+(1-$C$44)*$C$45*INDEX($D$70:$D$5769,($C$40/5*25+$C$43/15)*12+A20)+$C$44*$C$45*INDEX($D$70:$D$5769,($C$41/5*25+$C$43/15)*12+A20),NA())</f>
        <v>131.3</v>
      </c>
      <c r="D20" s="212" t="n">
        <f>C20/B20</f>
        <v>4.23548387096774</v>
      </c>
      <c r="E20" s="212" t="n">
        <f>IF(AND($C$12="OK",Scenarios!C$65=1),SUMIFS(Scenarios!$F$161:$F$400,Scenarios!$A$161:$A$400,$C$7,Scenarios!$B$161:$B$400,A20),NA())</f>
        <v>1155.44</v>
      </c>
      <c r="F20" s="212" t="n">
        <f>IF(AND($C$12="OK",Scenarios!C$65=1),SUMIFS(Scenarios!$O$161:$O$400,Scenarios!$A$161:$A$400,$C$7,Scenarios!$B$161:$B$400,A20),NA())</f>
        <v>3258.3408</v>
      </c>
      <c r="G20" s="212" t="n">
        <f>IF(AND($C$12="OK",Scenarios!E$65=1),SUMIFS(Scenarios!$F$661:$F$900,Scenarios!$A$661:$A$900,$C$7,Scenarios!$B$661:$B$900,A20),NA())</f>
        <v>1444.3</v>
      </c>
      <c r="H20" s="212" t="n">
        <f>IF(AND($C$12="OK",Scenarios!E$65=1),SUMIFS(Scenarios!$O$661:$O$900,Scenarios!$A$661:$A$900,$C$7,Scenarios!$B$661:$B$900,A20),NA())</f>
        <v>4045.990505625</v>
      </c>
      <c r="I20" s="212" t="n">
        <f>IF(AND($C$12="OK",Scenarios!D$65=1),SUMIFS(Scenarios!$O$411:$O$650,Scenarios!$A$411:$A$650,$C$7,Scenarios!$B$411:$B$650,A20),NA())</f>
        <v>0</v>
      </c>
      <c r="J20" s="190" t="n">
        <f>DAY(DATE($C$8,A20+1,0))</f>
        <v>31</v>
      </c>
    </row>
    <row r="21" ht="23" customHeight="1">
      <c r="A21" s="201" t="n">
        <v>2</v>
      </c>
      <c r="B21" s="190" t="n">
        <v>28</v>
      </c>
      <c r="C21" s="212" t="n">
        <f>IF($C$12="OK",(1-$C$44)*(1-$C$45)*INDEX($D$70:$D$5769,($C$40/5*25+$C$42/15)*12+A21)+$C$44*(1-$C$45)*INDEX($D$70:$D$5769,($C$41/5*25+$C$42/15)*12+A21)+(1-$C$44)*$C$45*INDEX($D$70:$D$5769,($C$40/5*25+$C$43/15)*12+A21)+$C$44*$C$45*INDEX($D$70:$D$5769,($C$41/5*25+$C$43/15)*12+A21),NA())</f>
        <v>129.45</v>
      </c>
      <c r="D21" s="212" t="n">
        <f>C21/B21</f>
        <v>4.62321428571429</v>
      </c>
      <c r="E21" s="212" t="n">
        <f>IF(AND($C$12="OK",Scenarios!C$65=1),SUMIFS(Scenarios!$F$161:$F$400,Scenarios!$A$161:$A$400,$C$7,Scenarios!$B$161:$B$400,A21),NA())</f>
        <v>1139.16</v>
      </c>
      <c r="F21" s="212" t="n">
        <f>IF(AND($C$12="OK",Scenarios!C$65=1),SUMIFS(Scenarios!$O$161:$O$400,Scenarios!$A$161:$A$400,$C$7,Scenarios!$B$161:$B$400,A21),NA())</f>
        <v>3186.036</v>
      </c>
      <c r="G21" s="212" t="n">
        <f>IF(AND($C$12="OK",Scenarios!E$65=1),SUMIFS(Scenarios!$F$661:$F$900,Scenarios!$A$661:$A$900,$C$7,Scenarios!$B$661:$B$900,A21),NA())</f>
        <v>1423.95</v>
      </c>
      <c r="H21" s="212" t="n">
        <f>IF(AND($C$12="OK",Scenarios!E$65=1),SUMIFS(Scenarios!$O$661:$O$900,Scenarios!$A$661:$A$900,$C$7,Scenarios!$B$661:$B$900,A21),NA())</f>
        <v>4091.88504</v>
      </c>
      <c r="I21" s="212" t="n">
        <f>IF(AND($C$12="OK",Scenarios!D$65=1),SUMIFS(Scenarios!$O$411:$O$650,Scenarios!$A$411:$A$650,$C$7,Scenarios!$B$411:$B$650,A21),NA())</f>
        <v>0</v>
      </c>
      <c r="J21" s="190" t="n">
        <f>DAY(DATE($C$8,A21+1,0))</f>
        <v>28</v>
      </c>
    </row>
    <row r="22" ht="23" customHeight="1">
      <c r="A22" s="202" t="n">
        <v>3</v>
      </c>
      <c r="B22" s="190" t="n">
        <v>31</v>
      </c>
      <c r="C22" s="212" t="n">
        <f>IF($C$12="OK",(1-$C$44)*(1-$C$45)*INDEX($D$70:$D$5769,($C$40/5*25+$C$42/15)*12+A22)+$C$44*(1-$C$45)*INDEX($D$70:$D$5769,($C$41/5*25+$C$42/15)*12+A22)+(1-$C$44)*$C$45*INDEX($D$70:$D$5769,($C$40/5*25+$C$43/15)*12+A22)+$C$44*$C$45*INDEX($D$70:$D$5769,($C$41/5*25+$C$43/15)*12+A22),NA())</f>
        <v>161.06</v>
      </c>
      <c r="D22" s="212" t="n">
        <f>C22/B22</f>
        <v>5.19548387096774</v>
      </c>
      <c r="E22" s="212" t="n">
        <f>IF(AND($C$12="OK",Scenarios!C$65=1),SUMIFS(Scenarios!$F$161:$F$400,Scenarios!$A$161:$A$400,$C$7,Scenarios!$B$161:$B$400,A22),NA())</f>
        <v>1417.328</v>
      </c>
      <c r="F22" s="212" t="n">
        <f>IF(AND($C$12="OK",Scenarios!C$65=1),SUMIFS(Scenarios!$O$161:$O$400,Scenarios!$A$161:$A$400,$C$7,Scenarios!$B$161:$B$400,A22),NA())</f>
        <v>3527.397</v>
      </c>
      <c r="G22" s="212" t="n">
        <f>IF(AND($C$12="OK",Scenarios!E$65=1),SUMIFS(Scenarios!$F$661:$F$900,Scenarios!$A$661:$A$900,$C$7,Scenarios!$B$661:$B$900,A22),NA())</f>
        <v>1771.66</v>
      </c>
      <c r="H22" s="212" t="n">
        <f>IF(AND($C$12="OK",Scenarios!E$65=1),SUMIFS(Scenarios!$O$661:$O$900,Scenarios!$A$661:$A$900,$C$7,Scenarios!$B$661:$B$900,A22),NA())</f>
        <v>4522.26558</v>
      </c>
      <c r="I22" s="212" t="n">
        <f>IF(AND($C$12="OK",Scenarios!D$65=1),SUMIFS(Scenarios!$O$411:$O$650,Scenarios!$A$411:$A$650,$C$7,Scenarios!$B$411:$B$650,A22),NA())</f>
        <v>0</v>
      </c>
      <c r="J22" s="190" t="n">
        <f>DAY(DATE($C$8,A22+1,0))</f>
        <v>31</v>
      </c>
    </row>
    <row r="23" ht="23" customHeight="1">
      <c r="A23" s="203" t="n">
        <v>4</v>
      </c>
      <c r="B23" s="190" t="n">
        <v>30</v>
      </c>
      <c r="C23" s="212" t="n">
        <f>IF($C$12="OK",(1-$C$44)*(1-$C$45)*INDEX($D$70:$D$5769,($C$40/5*25+$C$42/15)*12+A23)+$C$44*(1-$C$45)*INDEX($D$70:$D$5769,($C$41/5*25+$C$42/15)*12+A23)+(1-$C$44)*$C$45*INDEX($D$70:$D$5769,($C$40/5*25+$C$43/15)*12+A23)+$C$44*$C$45*INDEX($D$70:$D$5769,($C$41/5*25+$C$43/15)*12+A23),NA())</f>
        <v>160.86</v>
      </c>
      <c r="D23" s="212" t="n">
        <f>C23/B23</f>
        <v>5.362</v>
      </c>
      <c r="E23" s="212" t="n">
        <f>IF(AND($C$12="OK",Scenarios!C$65=1),SUMIFS(Scenarios!$F$161:$F$400,Scenarios!$A$161:$A$400,$C$7,Scenarios!$B$161:$B$400,A23),NA())</f>
        <v>1415.568</v>
      </c>
      <c r="F23" s="212" t="n">
        <f>IF(AND($C$12="OK",Scenarios!C$65=1),SUMIFS(Scenarios!$O$161:$O$400,Scenarios!$A$161:$A$400,$C$7,Scenarios!$B$161:$B$400,A23),NA())</f>
        <v>3413.61</v>
      </c>
      <c r="G23" s="212" t="n">
        <f>IF(AND($C$12="OK",Scenarios!E$65=1),SUMIFS(Scenarios!$F$661:$F$900,Scenarios!$A$661:$A$900,$C$7,Scenarios!$B$661:$B$900,A23),NA())</f>
        <v>1769.46</v>
      </c>
      <c r="H23" s="212" t="n">
        <f>IF(AND($C$12="OK",Scenarios!E$65=1),SUMIFS(Scenarios!$O$661:$O$900,Scenarios!$A$661:$A$900,$C$7,Scenarios!$B$661:$B$900,A23),NA())</f>
        <v>4378.8054</v>
      </c>
      <c r="I23" s="212" t="n">
        <f>IF(AND($C$12="OK",Scenarios!D$65=1),SUMIFS(Scenarios!$O$411:$O$650,Scenarios!$A$411:$A$650,$C$7,Scenarios!$B$411:$B$650,A23),NA())</f>
        <v>0</v>
      </c>
      <c r="J23" s="190" t="n">
        <f>DAY(DATE($C$8,A23+1,0))</f>
        <v>30</v>
      </c>
    </row>
    <row r="24" ht="23" customHeight="1">
      <c r="A24" s="204" t="n">
        <v>5</v>
      </c>
      <c r="B24" s="190" t="n">
        <v>31</v>
      </c>
      <c r="C24" s="212" t="n">
        <f>IF($C$12="OK",(1-$C$44)*(1-$C$45)*INDEX($D$70:$D$5769,($C$40/5*25+$C$42/15)*12+A24)+$C$44*(1-$C$45)*INDEX($D$70:$D$5769,($C$41/5*25+$C$42/15)*12+A24)+(1-$C$44)*$C$45*INDEX($D$70:$D$5769,($C$40/5*25+$C$43/15)*12+A24)+$C$44*$C$45*INDEX($D$70:$D$5769,($C$41/5*25+$C$43/15)*12+A24),NA())</f>
        <v>162.72</v>
      </c>
      <c r="D24" s="212" t="n">
        <f>C24/B24</f>
        <v>5.24903225806452</v>
      </c>
      <c r="E24" s="212" t="n">
        <f>IF(AND($C$12="OK",Scenarios!C$65=1),SUMIFS(Scenarios!$F$161:$F$400,Scenarios!$A$161:$A$400,$C$7,Scenarios!$B$161:$B$400,A24),NA())</f>
        <v>1431.936</v>
      </c>
      <c r="F24" s="212" t="n">
        <f>IF(AND($C$12="OK",Scenarios!C$65=1),SUMIFS(Scenarios!$O$161:$O$400,Scenarios!$A$161:$A$400,$C$7,Scenarios!$B$161:$B$400,A24),NA())</f>
        <v>3527.397</v>
      </c>
      <c r="G24" s="212" t="n">
        <f>IF(AND($C$12="OK",Scenarios!E$65=1),SUMIFS(Scenarios!$F$661:$F$900,Scenarios!$A$661:$A$900,$C$7,Scenarios!$B$661:$B$900,A24),NA())</f>
        <v>1789.92</v>
      </c>
      <c r="H24" s="212" t="n">
        <f>IF(AND($C$12="OK",Scenarios!E$65=1),SUMIFS(Scenarios!$O$661:$O$900,Scenarios!$A$661:$A$900,$C$7,Scenarios!$B$661:$B$900,A24),NA())</f>
        <v>4522.26558</v>
      </c>
      <c r="I24" s="212" t="n">
        <f>IF(AND($C$12="OK",Scenarios!D$65=1),SUMIFS(Scenarios!$O$411:$O$650,Scenarios!$A$411:$A$650,$C$7,Scenarios!$B$411:$B$650,A24),NA())</f>
        <v>0</v>
      </c>
      <c r="J24" s="190" t="n">
        <f>DAY(DATE($C$8,A24+1,0))</f>
        <v>31</v>
      </c>
    </row>
    <row r="25" ht="23" customHeight="1">
      <c r="A25" s="205" t="n">
        <v>6</v>
      </c>
      <c r="B25" s="190" t="n">
        <v>30</v>
      </c>
      <c r="C25" s="212" t="n">
        <f>IF($C$12="OK",(1-$C$44)*(1-$C$45)*INDEX($D$70:$D$5769,($C$40/5*25+$C$42/15)*12+A25)+$C$44*(1-$C$45)*INDEX($D$70:$D$5769,($C$41/5*25+$C$42/15)*12+A25)+(1-$C$44)*$C$45*INDEX($D$70:$D$5769,($C$40/5*25+$C$43/15)*12+A25)+$C$44*$C$45*INDEX($D$70:$D$5769,($C$41/5*25+$C$43/15)*12+A25),NA())</f>
        <v>158.62</v>
      </c>
      <c r="D25" s="212" t="n">
        <f>C25/B25</f>
        <v>5.28733333333333</v>
      </c>
      <c r="E25" s="212" t="n">
        <f>IF(AND($C$12="OK",Scenarios!C$65=1),SUMIFS(Scenarios!$F$161:$F$400,Scenarios!$A$161:$A$400,$C$7,Scenarios!$B$161:$B$400,A25),NA())</f>
        <v>1395.856</v>
      </c>
      <c r="F25" s="212" t="n">
        <f>IF(AND($C$12="OK",Scenarios!C$65=1),SUMIFS(Scenarios!$O$161:$O$400,Scenarios!$A$161:$A$400,$C$7,Scenarios!$B$161:$B$400,A25),NA())</f>
        <v>3413.61</v>
      </c>
      <c r="G25" s="212" t="n">
        <f>IF(AND($C$12="OK",Scenarios!E$65=1),SUMIFS(Scenarios!$F$661:$F$900,Scenarios!$A$661:$A$900,$C$7,Scenarios!$B$661:$B$900,A25),NA())</f>
        <v>1744.82</v>
      </c>
      <c r="H25" s="212" t="n">
        <f>IF(AND($C$12="OK",Scenarios!E$65=1),SUMIFS(Scenarios!$O$661:$O$900,Scenarios!$A$661:$A$900,$C$7,Scenarios!$B$661:$B$900,A25),NA())</f>
        <v>4378.8054</v>
      </c>
      <c r="I25" s="212" t="n">
        <f>IF(AND($C$12="OK",Scenarios!D$65=1),SUMIFS(Scenarios!$O$411:$O$650,Scenarios!$A$411:$A$650,$C$7,Scenarios!$B$411:$B$650,A25),NA())</f>
        <v>0</v>
      </c>
      <c r="J25" s="190" t="n">
        <f>DAY(DATE($C$8,A25+1,0))</f>
        <v>30</v>
      </c>
    </row>
    <row r="26" ht="23" customHeight="1">
      <c r="A26" s="206" t="n">
        <v>7</v>
      </c>
      <c r="B26" s="190" t="n">
        <v>31</v>
      </c>
      <c r="C26" s="212" t="n">
        <f>IF($C$12="OK",(1-$C$44)*(1-$C$45)*INDEX($D$70:$D$5769,($C$40/5*25+$C$42/15)*12+A26)+$C$44*(1-$C$45)*INDEX($D$70:$D$5769,($C$41/5*25+$C$42/15)*12+A26)+(1-$C$44)*$C$45*INDEX($D$70:$D$5769,($C$40/5*25+$C$43/15)*12+A26)+$C$44*$C$45*INDEX($D$70:$D$5769,($C$41/5*25+$C$43/15)*12+A26),NA())</f>
        <v>164.66</v>
      </c>
      <c r="D26" s="212" t="n">
        <f>C26/B26</f>
        <v>5.31161290322581</v>
      </c>
      <c r="E26" s="212" t="n">
        <f>IF(AND($C$12="OK",Scenarios!C$65=1),SUMIFS(Scenarios!$F$161:$F$400,Scenarios!$A$161:$A$400,$C$7,Scenarios!$B$161:$B$400,A26),NA())</f>
        <v>1449.008</v>
      </c>
      <c r="F26" s="212" t="n">
        <f>IF(AND($C$12="OK",Scenarios!C$65=1),SUMIFS(Scenarios!$O$161:$O$400,Scenarios!$A$161:$A$400,$C$7,Scenarios!$B$161:$B$400,A26),NA())</f>
        <v>3527.397</v>
      </c>
      <c r="G26" s="212" t="n">
        <f>IF(AND($C$12="OK",Scenarios!E$65=1),SUMIFS(Scenarios!$F$661:$F$900,Scenarios!$A$661:$A$900,$C$7,Scenarios!$B$661:$B$900,A26),NA())</f>
        <v>1811.26</v>
      </c>
      <c r="H26" s="212" t="n">
        <f>IF(AND($C$12="OK",Scenarios!E$65=1),SUMIFS(Scenarios!$O$661:$O$900,Scenarios!$A$661:$A$900,$C$7,Scenarios!$B$661:$B$900,A26),NA())</f>
        <v>4522.26558</v>
      </c>
      <c r="I26" s="212" t="n">
        <f>IF(AND($C$12="OK",Scenarios!D$65=1),SUMIFS(Scenarios!$O$411:$O$650,Scenarios!$A$411:$A$650,$C$7,Scenarios!$B$411:$B$650,A26),NA())</f>
        <v>0</v>
      </c>
      <c r="J26" s="190" t="n">
        <f>DAY(DATE($C$8,A26+1,0))</f>
        <v>31</v>
      </c>
    </row>
    <row r="27" ht="23" customHeight="1">
      <c r="A27" s="207" t="n">
        <v>8</v>
      </c>
      <c r="B27" s="190" t="n">
        <v>31</v>
      </c>
      <c r="C27" s="212" t="n">
        <f>IF($C$12="OK",(1-$C$44)*(1-$C$45)*INDEX($D$70:$D$5769,($C$40/5*25+$C$42/15)*12+A27)+$C$44*(1-$C$45)*INDEX($D$70:$D$5769,($C$41/5*25+$C$42/15)*12+A27)+(1-$C$44)*$C$45*INDEX($D$70:$D$5769,($C$40/5*25+$C$43/15)*12+A27)+$C$44*$C$45*INDEX($D$70:$D$5769,($C$41/5*25+$C$43/15)*12+A27),NA())</f>
        <v>166.8</v>
      </c>
      <c r="D27" s="212" t="n">
        <f>C27/B27</f>
        <v>5.38064516129032</v>
      </c>
      <c r="E27" s="212" t="n">
        <f>IF(AND($C$12="OK",Scenarios!C$65=1),SUMIFS(Scenarios!$F$161:$F$400,Scenarios!$A$161:$A$400,$C$7,Scenarios!$B$161:$B$400,A27),NA())</f>
        <v>1467.84</v>
      </c>
      <c r="F27" s="212" t="n">
        <f>IF(AND($C$12="OK",Scenarios!C$65=1),SUMIFS(Scenarios!$O$161:$O$400,Scenarios!$A$161:$A$400,$C$7,Scenarios!$B$161:$B$400,A27),NA())</f>
        <v>3527.397</v>
      </c>
      <c r="G27" s="212" t="n">
        <f>IF(AND($C$12="OK",Scenarios!E$65=1),SUMIFS(Scenarios!$F$661:$F$900,Scenarios!$A$661:$A$900,$C$7,Scenarios!$B$661:$B$900,A27),NA())</f>
        <v>1834.8</v>
      </c>
      <c r="H27" s="212" t="n">
        <f>IF(AND($C$12="OK",Scenarios!E$65=1),SUMIFS(Scenarios!$O$661:$O$900,Scenarios!$A$661:$A$900,$C$7,Scenarios!$B$661:$B$900,A27),NA())</f>
        <v>4522.26558</v>
      </c>
      <c r="I27" s="212" t="n">
        <f>IF(AND($C$12="OK",Scenarios!D$65=1),SUMIFS(Scenarios!$O$411:$O$650,Scenarios!$A$411:$A$650,$C$7,Scenarios!$B$411:$B$650,A27),NA())</f>
        <v>0</v>
      </c>
      <c r="J27" s="190" t="n">
        <f>DAY(DATE($C$8,A27+1,0))</f>
        <v>31</v>
      </c>
    </row>
    <row r="28" ht="23" customHeight="1">
      <c r="A28" s="208" t="n">
        <v>9</v>
      </c>
      <c r="B28" s="190" t="n">
        <v>30</v>
      </c>
      <c r="C28" s="212" t="n">
        <f>IF($C$12="OK",(1-$C$44)*(1-$C$45)*INDEX($D$70:$D$5769,($C$40/5*25+$C$42/15)*12+A28)+$C$44*(1-$C$45)*INDEX($D$70:$D$5769,($C$41/5*25+$C$42/15)*12+A28)+(1-$C$44)*$C$45*INDEX($D$70:$D$5769,($C$40/5*25+$C$43/15)*12+A28)+$C$44*$C$45*INDEX($D$70:$D$5769,($C$41/5*25+$C$43/15)*12+A28),NA())</f>
        <v>161</v>
      </c>
      <c r="D28" s="212" t="n">
        <f>C28/B28</f>
        <v>5.36666666666667</v>
      </c>
      <c r="E28" s="212" t="n">
        <f>IF(AND($C$12="OK",Scenarios!C$65=1),SUMIFS(Scenarios!$F$161:$F$400,Scenarios!$A$161:$A$400,$C$7,Scenarios!$B$161:$B$400,A28),NA())</f>
        <v>1416.8</v>
      </c>
      <c r="F28" s="212" t="n">
        <f>IF(AND($C$12="OK",Scenarios!C$65=1),SUMIFS(Scenarios!$O$161:$O$400,Scenarios!$A$161:$A$400,$C$7,Scenarios!$B$161:$B$400,A28),NA())</f>
        <v>3413.61</v>
      </c>
      <c r="G28" s="212" t="n">
        <f>IF(AND($C$12="OK",Scenarios!E$65=1),SUMIFS(Scenarios!$F$661:$F$900,Scenarios!$A$661:$A$900,$C$7,Scenarios!$B$661:$B$900,A28),NA())</f>
        <v>1771</v>
      </c>
      <c r="H28" s="212" t="n">
        <f>IF(AND($C$12="OK",Scenarios!E$65=1),SUMIFS(Scenarios!$O$661:$O$900,Scenarios!$A$661:$A$900,$C$7,Scenarios!$B$661:$B$900,A28),NA())</f>
        <v>4378.8054</v>
      </c>
      <c r="I28" s="212" t="n">
        <f>IF(AND($C$12="OK",Scenarios!D$65=1),SUMIFS(Scenarios!$O$411:$O$650,Scenarios!$A$411:$A$650,$C$7,Scenarios!$B$411:$B$650,A28),NA())</f>
        <v>0</v>
      </c>
      <c r="J28" s="190" t="n">
        <f>DAY(DATE($C$8,A28+1,0))</f>
        <v>30</v>
      </c>
    </row>
    <row r="29" ht="23" customHeight="1">
      <c r="A29" s="209" t="n">
        <v>10</v>
      </c>
      <c r="B29" s="190" t="n">
        <v>31</v>
      </c>
      <c r="C29" s="212" t="n">
        <f>IF($C$12="OK",(1-$C$44)*(1-$C$45)*INDEX($D$70:$D$5769,($C$40/5*25+$C$42/15)*12+A29)+$C$44*(1-$C$45)*INDEX($D$70:$D$5769,($C$41/5*25+$C$42/15)*12+A29)+(1-$C$44)*$C$45*INDEX($D$70:$D$5769,($C$40/5*25+$C$43/15)*12+A29)+$C$44*$C$45*INDEX($D$70:$D$5769,($C$41/5*25+$C$43/15)*12+A29),NA())</f>
        <v>154.53</v>
      </c>
      <c r="D29" s="212" t="n">
        <f>C29/B29</f>
        <v>4.98483870967742</v>
      </c>
      <c r="E29" s="212" t="n">
        <f>IF(AND($C$12="OK",Scenarios!C$65=1),SUMIFS(Scenarios!$F$161:$F$400,Scenarios!$A$161:$A$400,$C$7,Scenarios!$B$161:$B$400,A29),NA())</f>
        <v>1359.864</v>
      </c>
      <c r="F29" s="212" t="n">
        <f>IF(AND($C$12="OK",Scenarios!C$65=1),SUMIFS(Scenarios!$O$161:$O$400,Scenarios!$A$161:$A$400,$C$7,Scenarios!$B$161:$B$400,A29),NA())</f>
        <v>3527.397</v>
      </c>
      <c r="G29" s="212" t="n">
        <f>IF(AND($C$12="OK",Scenarios!E$65=1),SUMIFS(Scenarios!$F$661:$F$900,Scenarios!$A$661:$A$900,$C$7,Scenarios!$B$661:$B$900,A29),NA())</f>
        <v>1699.83</v>
      </c>
      <c r="H29" s="212" t="n">
        <f>IF(AND($C$12="OK",Scenarios!E$65=1),SUMIFS(Scenarios!$O$661:$O$900,Scenarios!$A$661:$A$900,$C$7,Scenarios!$B$661:$B$900,A29),NA())</f>
        <v>4522.26558</v>
      </c>
      <c r="I29" s="212" t="n">
        <f>IF(AND($C$12="OK",Scenarios!D$65=1),SUMIFS(Scenarios!$O$411:$O$650,Scenarios!$A$411:$A$650,$C$7,Scenarios!$B$411:$B$650,A29),NA())</f>
        <v>0</v>
      </c>
      <c r="J29" s="190" t="n">
        <f>DAY(DATE($C$8,A29+1,0))</f>
        <v>31</v>
      </c>
    </row>
    <row r="30" ht="23" customHeight="1">
      <c r="A30" s="210" t="n">
        <v>11</v>
      </c>
      <c r="B30" s="190" t="n">
        <v>30</v>
      </c>
      <c r="C30" s="212" t="n">
        <f>IF($C$12="OK",(1-$C$44)*(1-$C$45)*INDEX($D$70:$D$5769,($C$40/5*25+$C$42/15)*12+A30)+$C$44*(1-$C$45)*INDEX($D$70:$D$5769,($C$41/5*25+$C$42/15)*12+A30)+(1-$C$44)*$C$45*INDEX($D$70:$D$5769,($C$40/5*25+$C$43/15)*12+A30)+$C$44*$C$45*INDEX($D$70:$D$5769,($C$41/5*25+$C$43/15)*12+A30),NA())</f>
        <v>136.97</v>
      </c>
      <c r="D30" s="212" t="n">
        <f>C30/B30</f>
        <v>4.56566666666667</v>
      </c>
      <c r="E30" s="212" t="n">
        <f>IF(AND($C$12="OK",Scenarios!C$65=1),SUMIFS(Scenarios!$F$161:$F$400,Scenarios!$A$161:$A$400,$C$7,Scenarios!$B$161:$B$400,A30),NA())</f>
        <v>1205.336</v>
      </c>
      <c r="F30" s="212" t="n">
        <f>IF(AND($C$12="OK",Scenarios!C$65=1),SUMIFS(Scenarios!$O$161:$O$400,Scenarios!$A$161:$A$400,$C$7,Scenarios!$B$161:$B$400,A30),NA())</f>
        <v>3399.04752</v>
      </c>
      <c r="G30" s="212" t="n">
        <f>IF(AND($C$12="OK",Scenarios!E$65=1),SUMIFS(Scenarios!$F$661:$F$900,Scenarios!$A$661:$A$900,$C$7,Scenarios!$B$661:$B$900,A30),NA())</f>
        <v>1506.67</v>
      </c>
      <c r="H30" s="212" t="n">
        <f>IF(AND($C$12="OK",Scenarios!E$65=1),SUMIFS(Scenarios!$O$661:$O$900,Scenarios!$A$661:$A$900,$C$7,Scenarios!$B$661:$B$900,A30),NA())</f>
        <v>4329.0190993125</v>
      </c>
      <c r="I30" s="212" t="n">
        <f>IF(AND($C$12="OK",Scenarios!D$65=1),SUMIFS(Scenarios!$O$411:$O$650,Scenarios!$A$411:$A$650,$C$7,Scenarios!$B$411:$B$650,A30),NA())</f>
        <v>0</v>
      </c>
      <c r="J30" s="190" t="n">
        <f>DAY(DATE($C$8,A30+1,0))</f>
        <v>30</v>
      </c>
    </row>
    <row r="31" ht="23" customHeight="1">
      <c r="A31" s="211" t="n">
        <v>12</v>
      </c>
      <c r="B31" s="190" t="n">
        <v>31</v>
      </c>
      <c r="C31" s="212" t="n">
        <f>IF($C$12="OK",(1-$C$44)*(1-$C$45)*INDEX($D$70:$D$5769,($C$40/5*25+$C$42/15)*12+A31)+$C$44*(1-$C$45)*INDEX($D$70:$D$5769,($C$41/5*25+$C$42/15)*12+A31)+(1-$C$44)*$C$45*INDEX($D$70:$D$5769,($C$40/5*25+$C$43/15)*12+A31)+$C$44*$C$45*INDEX($D$70:$D$5769,($C$41/5*25+$C$43/15)*12+A31),NA())</f>
        <v>130.4</v>
      </c>
      <c r="D31" s="212" t="n">
        <f>C31/B31</f>
        <v>4.20645161290323</v>
      </c>
      <c r="E31" s="212" t="n">
        <f>IF(AND($C$12="OK",Scenarios!C$65=1),SUMIFS(Scenarios!$F$161:$F$400,Scenarios!$A$161:$A$400,$C$7,Scenarios!$B$161:$B$400,A31),NA())</f>
        <v>1147.52</v>
      </c>
      <c r="F31" s="212" t="n">
        <f>IF(AND($C$12="OK",Scenarios!C$65=1),SUMIFS(Scenarios!$O$161:$O$400,Scenarios!$A$161:$A$400,$C$7,Scenarios!$B$161:$B$400,A31),NA())</f>
        <v>3236.0064</v>
      </c>
      <c r="G31" s="212" t="n">
        <f>IF(AND($C$12="OK",Scenarios!E$65=1),SUMIFS(Scenarios!$F$661:$F$900,Scenarios!$A$661:$A$900,$C$7,Scenarios!$B$661:$B$900,A31),NA())</f>
        <v>1434.4</v>
      </c>
      <c r="H31" s="212" t="n">
        <f>IF(AND($C$12="OK",Scenarios!E$65=1),SUMIFS(Scenarios!$O$661:$O$900,Scenarios!$A$661:$A$900,$C$7,Scenarios!$B$661:$B$900,A31),NA())</f>
        <v>4019.450956875</v>
      </c>
      <c r="I31" s="212" t="n">
        <f>IF(AND($C$12="OK",Scenarios!D$65=1),SUMIFS(Scenarios!$O$411:$O$650,Scenarios!$A$411:$A$650,$C$7,Scenarios!$B$411:$B$650,A31),NA())</f>
        <v>0</v>
      </c>
      <c r="J31" s="190" t="n">
        <f>DAY(DATE($C$8,A31+1,0))</f>
        <v>31</v>
      </c>
    </row>
    <row r="32" ht="28" customHeight="1">
      <c r="A32" s="198" t="str">
        <v>Annual total</v>
      </c>
      <c r="B32" s="198" t="n">
        <f>SUM(B20:B31)</f>
        <v>365</v>
      </c>
      <c r="C32" s="214" t="n">
        <f>SUM(C20:C31)</f>
        <v>1818.37</v>
      </c>
      <c r="D32" s="214" t="n">
        <f>C32/B32</f>
        <v>4.98183561643836</v>
      </c>
      <c r="E32" s="214" t="n">
        <f>SUM(E20:E31)</f>
        <v>16001.656</v>
      </c>
      <c r="F32" s="214" t="n">
        <f>SUM(F20:F31)</f>
        <v>40957.24572</v>
      </c>
      <c r="G32" s="214" t="n">
        <f>SUM(G20:G31)</f>
        <v>20002.07</v>
      </c>
      <c r="H32" s="214" t="n">
        <f>SUM(H20:H31)</f>
        <v>52234.0897018125</v>
      </c>
      <c r="I32" s="214" t="n">
        <f>SUM(I20:I31)</f>
        <v>0</v>
      </c>
      <c r="J32" s="198" t="n">
        <f>SUM(J20:J31)</f>
        <v>365</v>
      </c>
    </row>
    <row r="33" ht="23" customHeight="1">
      <c r="A33" s="190"/>
      <c r="B33" s="190"/>
      <c r="C33" s="190"/>
      <c r="D33" s="190"/>
      <c r="E33" s="190"/>
      <c r="F33" s="190"/>
      <c r="G33" s="190"/>
      <c r="H33" s="190"/>
      <c r="I33" s="190"/>
      <c r="J33" s="190"/>
    </row>
    <row r="34" ht="23" customHeight="1">
      <c r="A34" s="190" t="str">
        <v>Bill savings = baseline bill minus new bill. Unused PV has no export revenue.</v>
      </c>
      <c r="B34" s="190"/>
      <c r="C34" s="190"/>
      <c r="D34" s="190"/>
      <c r="E34" s="190"/>
      <c r="F34" s="190"/>
      <c r="G34" s="190"/>
      <c r="H34" s="190"/>
      <c r="I34" s="190"/>
      <c r="J34" s="190"/>
    </row>
    <row r="35" ht="23" customHeight="1">
      <c r="A35" s="190" t="str">
        <v>Net savings below include annual maintenance and replacement costs from the existing financial model.</v>
      </c>
      <c r="B35" s="190"/>
      <c r="C35" s="190"/>
      <c r="D35" s="190"/>
      <c r="E35" s="190"/>
      <c r="F35" s="190"/>
      <c r="G35" s="190"/>
      <c r="H35" s="190"/>
      <c r="I35" s="190"/>
      <c r="J35" s="190"/>
    </row>
    <row r="36" ht="23" customHeight="1">
      <c r="A36" s="190" t="str">
        <v>Annual net saving EGP</v>
      </c>
      <c r="B36" s="190"/>
      <c r="C36" s="190"/>
      <c r="D36" s="190"/>
      <c r="E36" s="212" t="n">
        <f>IF(AND($C$12="OK",Scenarios!C65=1),INDEX(Scenarios!C79:C98,$C$7),NA())</f>
        <v>39522.84572</v>
      </c>
      <c r="F36" s="212"/>
      <c r="G36" s="212" t="n">
        <f>IF(AND($C$12="OK",Scenarios!E65=1),INDEX(Scenarios!K79:K98,$C$7),NA())</f>
        <v>48073.4497018125</v>
      </c>
      <c r="H36" s="212"/>
      <c r="I36" s="212" t="n">
        <f>IF(AND($C$12="OK",Scenarios!D65=1),INDEX(Scenarios!G79:G98,$C$7),NA())</f>
        <v>-2730.64</v>
      </c>
      <c r="J36" s="190"/>
    </row>
    <row r="37" ht="23" customHeight="1">
      <c r="A37" s="190"/>
      <c r="B37" s="190"/>
      <c r="C37" s="190"/>
      <c r="D37" s="190"/>
      <c r="E37" s="190"/>
      <c r="F37" s="190"/>
      <c r="G37" s="190"/>
      <c r="H37" s="190"/>
      <c r="I37" s="190"/>
      <c r="J37" s="190"/>
    </row>
    <row r="38" ht="23" customHeight="1">
      <c r="A38" s="192" t="str">
        <v>Interpolation calculations</v>
      </c>
      <c r="B38" s="192"/>
      <c r="C38" s="192"/>
      <c r="D38" s="192"/>
      <c r="E38" s="192"/>
      <c r="F38" s="192"/>
      <c r="G38" s="192"/>
      <c r="H38" s="192"/>
      <c r="I38" s="192"/>
      <c r="J38" s="192"/>
    </row>
    <row r="39" ht="23" customHeight="1">
      <c r="A39" s="190"/>
      <c r="B39" s="190"/>
      <c r="C39" s="190"/>
      <c r="D39" s="190"/>
      <c r="E39" s="190"/>
      <c r="F39" s="190"/>
      <c r="G39" s="190"/>
      <c r="H39" s="190"/>
      <c r="I39" s="190"/>
      <c r="J39" s="190"/>
    </row>
    <row r="40" ht="23" customHeight="1">
      <c r="A40" s="190" t="str">
        <v>Lower tilt</v>
      </c>
      <c r="B40" s="190"/>
      <c r="C40" s="190" t="n">
        <f>MIN(85,INT(C5/5)*5)</f>
        <v>30</v>
      </c>
      <c r="D40" s="190"/>
      <c r="E40" s="190"/>
      <c r="F40" s="190"/>
      <c r="G40" s="190"/>
      <c r="H40" s="190"/>
      <c r="I40" s="190"/>
      <c r="J40" s="190"/>
    </row>
    <row r="41" ht="23" customHeight="1">
      <c r="A41" s="190" t="str">
        <v>Upper tilt</v>
      </c>
      <c r="B41" s="190"/>
      <c r="C41" s="190" t="n">
        <f>C40+5</f>
        <v>35</v>
      </c>
      <c r="D41" s="190"/>
      <c r="E41" s="190"/>
      <c r="F41" s="190"/>
      <c r="G41" s="190"/>
      <c r="H41" s="190"/>
      <c r="I41" s="190"/>
      <c r="J41" s="190"/>
    </row>
    <row r="42" ht="23" customHeight="1">
      <c r="A42" s="190" t="str">
        <v>Lower azimuth</v>
      </c>
      <c r="B42" s="190"/>
      <c r="C42" s="190" t="n">
        <f>MIN(345,INT(C6/15)*15)</f>
        <v>180</v>
      </c>
      <c r="D42" s="190"/>
      <c r="E42" s="190"/>
      <c r="F42" s="190"/>
      <c r="G42" s="190"/>
      <c r="H42" s="190"/>
      <c r="I42" s="190"/>
      <c r="J42" s="190"/>
    </row>
    <row r="43" ht="23" customHeight="1">
      <c r="A43" s="190" t="str">
        <v>Upper azimuth</v>
      </c>
      <c r="B43" s="190"/>
      <c r="C43" s="190" t="n">
        <f>C42+15</f>
        <v>195</v>
      </c>
      <c r="D43" s="190"/>
      <c r="E43" s="190"/>
      <c r="F43" s="190"/>
      <c r="G43" s="190"/>
      <c r="H43" s="190"/>
      <c r="I43" s="190"/>
      <c r="J43" s="190"/>
    </row>
    <row r="44" ht="23" customHeight="1">
      <c r="A44" s="190" t="str">
        <v>Tilt weight</v>
      </c>
      <c r="B44" s="190"/>
      <c r="C44" s="190" t="n">
        <f>(C5-C40)/5</f>
        <v>0</v>
      </c>
      <c r="D44" s="190"/>
      <c r="E44" s="190"/>
      <c r="F44" s="190"/>
      <c r="G44" s="190"/>
      <c r="H44" s="190"/>
      <c r="I44" s="190"/>
      <c r="J44" s="190"/>
    </row>
    <row r="45" ht="23" customHeight="1">
      <c r="A45" s="190" t="str">
        <v>Azimuth weight</v>
      </c>
      <c r="B45" s="190"/>
      <c r="C45" s="190" t="n">
        <f>(C6-C42)/15</f>
        <v>0</v>
      </c>
      <c r="D45" s="190"/>
      <c r="E45" s="190"/>
      <c r="F45" s="190"/>
      <c r="G45" s="190"/>
      <c r="H45" s="190"/>
      <c r="I45" s="190"/>
      <c r="J45" s="190"/>
    </row>
    <row r="46" ht="23" customHeight="1">
      <c r="A46" s="190"/>
      <c r="B46" s="190"/>
      <c r="C46" s="190"/>
      <c r="D46" s="190"/>
      <c r="E46" s="190"/>
      <c r="F46" s="190"/>
      <c r="G46" s="190"/>
      <c r="H46" s="190"/>
      <c r="I46" s="190"/>
      <c r="J46" s="190"/>
    </row>
    <row r="47" ht="23" customHeight="1">
      <c r="A47" s="192" t="str">
        <v>Model limits and next step</v>
      </c>
      <c r="B47" s="192"/>
      <c r="C47" s="192"/>
      <c r="D47" s="192"/>
      <c r="E47" s="192"/>
      <c r="F47" s="192"/>
      <c r="G47" s="192"/>
      <c r="H47" s="192"/>
      <c r="I47" s="192"/>
      <c r="J47" s="192"/>
    </row>
    <row r="48" ht="23" customHeight="1">
      <c r="A48" s="190" t="str">
        <v>Next: evaluate battery benefit with hourly PV, load and state-of-charge calculations, not monthly budgets.</v>
      </c>
      <c r="B48" s="190"/>
      <c r="C48" s="190"/>
      <c r="D48" s="190"/>
      <c r="E48" s="190"/>
      <c r="F48" s="190"/>
      <c r="G48" s="190"/>
      <c r="H48" s="190"/>
      <c r="I48" s="190"/>
      <c r="J48" s="190"/>
    </row>
    <row r="49" ht="23" customHeight="1">
      <c r="A49" s="190" t="str">
        <v>Roof/building shadows, row shading and inverter-specific clipping are not resolved by this monthly table.</v>
      </c>
      <c r="B49" s="190"/>
      <c r="C49" s="190"/>
      <c r="D49" s="190"/>
      <c r="E49" s="190"/>
      <c r="F49" s="190"/>
      <c r="G49" s="190"/>
      <c r="H49" s="190"/>
      <c r="I49" s="190"/>
      <c r="J49" s="190"/>
    </row>
    <row r="50" ht="23" customHeight="1">
      <c r="A50" s="190" t="str">
        <v>Changing orientation does not recalculate roof spacing. Existing saved scenarios remain historical captures.</v>
      </c>
      <c r="B50" s="190"/>
      <c r="C50" s="190"/>
      <c r="D50" s="190"/>
      <c r="E50" s="190"/>
      <c r="F50" s="190"/>
      <c r="G50" s="190"/>
      <c r="H50" s="190"/>
      <c r="I50" s="190"/>
      <c r="J50" s="190"/>
    </row>
    <row r="51" ht="23" customHeight="1">
      <c r="A51" s="190" t="str">
        <v>Calendar scaling: PVGIS monthly E_m / reference-month days x actual month days; then annual degradation.</v>
      </c>
      <c r="B51" s="190"/>
      <c r="C51" s="190"/>
      <c r="D51" s="190"/>
      <c r="E51" s="190"/>
      <c r="F51" s="190"/>
      <c r="G51" s="190"/>
      <c r="H51" s="190"/>
      <c r="I51" s="190"/>
      <c r="J51" s="190"/>
    </row>
    <row r="52" ht="23" customHeight="1">
      <c r="A52" s="190" t="str">
        <v>This is an experimental copy. The original workbook is retained until the trial is accepted.</v>
      </c>
      <c r="B52" s="190"/>
      <c r="C52" s="190"/>
      <c r="D52" s="190"/>
      <c r="E52" s="190"/>
      <c r="F52" s="190"/>
      <c r="G52" s="190"/>
      <c r="H52" s="190"/>
      <c r="I52" s="190"/>
      <c r="J52" s="190"/>
    </row>
    <row r="53" ht="23" customHeight="1">
      <c r="A53" s="190"/>
      <c r="B53" s="190"/>
      <c r="C53" s="190"/>
      <c r="D53" s="190"/>
      <c r="E53" s="190"/>
      <c r="F53" s="190"/>
      <c r="G53" s="190"/>
      <c r="H53" s="190"/>
      <c r="I53" s="190"/>
      <c r="J53" s="190"/>
    </row>
    <row r="54" ht="23" customHeight="1">
      <c r="A54" s="190" t="str">
        <v>Raw PVGIS source table below: 475 orientations x 12 months. Values already include modeled PV losses.</v>
      </c>
      <c r="B54" s="190"/>
      <c r="C54" s="190"/>
      <c r="D54" s="190"/>
      <c r="E54" s="190"/>
      <c r="F54" s="190"/>
      <c r="G54" s="190"/>
      <c r="H54" s="190"/>
      <c r="I54" s="190"/>
      <c r="J54" s="190"/>
    </row>
    <row r="55" ht="23" customHeight="1">
      <c r="A55" s="190"/>
      <c r="B55" s="190"/>
      <c r="C55" s="190"/>
      <c r="D55" s="190"/>
      <c r="E55" s="190"/>
      <c r="F55" s="190"/>
      <c r="G55" s="190"/>
      <c r="H55" s="190"/>
      <c r="I55" s="190"/>
      <c r="J55" s="190"/>
    </row>
    <row r="69" ht="32" customHeight="1">
      <c r="A69" s="217" t="str">
        <v>Tilt deg</v>
      </c>
      <c r="B69" s="217" t="str">
        <v>Compass deg</v>
      </c>
      <c r="C69" s="217" t="str">
        <v>Month</v>
      </c>
      <c r="D69" s="217" t="str">
        <v>E_m kWh/kWp</v>
      </c>
      <c r="E69" s="217" t="str">
        <v>E_d source rounded</v>
      </c>
      <c r="F69" s="217" t="str">
        <v>PVGIS source URL</v>
      </c>
    </row>
    <row r="70">
      <c r="A70" t="n">
        <v>0</v>
      </c>
      <c r="B70" t="n">
        <v>0</v>
      </c>
      <c r="C70" t="n">
        <v>1</v>
      </c>
      <c r="D70" s="218" t="n">
        <v>88.85</v>
      </c>
      <c r="E70" s="218" t="n">
        <v>2.87</v>
      </c>
      <c r="F70" t="str">
        <v>https://re.jrc.ec.europa.eu/api/v5_3/PVcalc?lat=30.0444&amp;lon=31.2357&amp;peakpower=1&amp;loss=14&amp;angle=0&amp;aspect=-180&amp;outputformat=json&amp;raddatabase=PVGIS-SARAH3&amp;pvtechchoice=crystSi&amp;mountingplace=free&amp;usehorizon=1</v>
      </c>
    </row>
    <row r="71">
      <c r="A71" t="n">
        <v>0</v>
      </c>
      <c r="B71" t="n">
        <v>0</v>
      </c>
      <c r="C71" t="n">
        <v>2</v>
      </c>
      <c r="D71" s="218" t="n">
        <v>98.94</v>
      </c>
      <c r="E71" s="218" t="n">
        <v>3.53</v>
      </c>
      <c r="F71" t="str">
        <v>https://re.jrc.ec.europa.eu/api/v5_3/PVcalc?lat=30.0444&amp;lon=31.2357&amp;peakpower=1&amp;loss=14&amp;angle=0&amp;aspect=-180&amp;outputformat=json&amp;raddatabase=PVGIS-SARAH3&amp;pvtechchoice=crystSi&amp;mountingplace=free&amp;usehorizon=1</v>
      </c>
    </row>
    <row r="72">
      <c r="A72" t="n">
        <v>0</v>
      </c>
      <c r="B72" t="n">
        <v>0</v>
      </c>
      <c r="C72" t="n">
        <v>3</v>
      </c>
      <c r="D72" s="218" t="n">
        <v>139.85</v>
      </c>
      <c r="E72" s="218" t="n">
        <v>4.51</v>
      </c>
      <c r="F72" t="str">
        <v>https://re.jrc.ec.europa.eu/api/v5_3/PVcalc?lat=30.0444&amp;lon=31.2357&amp;peakpower=1&amp;loss=14&amp;angle=0&amp;aspect=-180&amp;outputformat=json&amp;raddatabase=PVGIS-SARAH3&amp;pvtechchoice=crystSi&amp;mountingplace=free&amp;usehorizon=1</v>
      </c>
    </row>
    <row r="73">
      <c r="A73" t="n">
        <v>0</v>
      </c>
      <c r="B73" t="n">
        <v>0</v>
      </c>
      <c r="C73" t="n">
        <v>4</v>
      </c>
      <c r="D73" s="218" t="n">
        <v>158.15</v>
      </c>
      <c r="E73" s="218" t="n">
        <v>5.27</v>
      </c>
      <c r="F73" t="str">
        <v>https://re.jrc.ec.europa.eu/api/v5_3/PVcalc?lat=30.0444&amp;lon=31.2357&amp;peakpower=1&amp;loss=14&amp;angle=0&amp;aspect=-180&amp;outputformat=json&amp;raddatabase=PVGIS-SARAH3&amp;pvtechchoice=crystSi&amp;mountingplace=free&amp;usehorizon=1</v>
      </c>
    </row>
    <row r="74">
      <c r="A74" t="n">
        <v>0</v>
      </c>
      <c r="B74" t="n">
        <v>0</v>
      </c>
      <c r="C74" t="n">
        <v>5</v>
      </c>
      <c r="D74" s="218" t="n">
        <v>176.18</v>
      </c>
      <c r="E74" s="218" t="n">
        <v>5.68</v>
      </c>
      <c r="F74" t="str">
        <v>https://re.jrc.ec.europa.eu/api/v5_3/PVcalc?lat=30.0444&amp;lon=31.2357&amp;peakpower=1&amp;loss=14&amp;angle=0&amp;aspect=-180&amp;outputformat=json&amp;raddatabase=PVGIS-SARAH3&amp;pvtechchoice=crystSi&amp;mountingplace=free&amp;usehorizon=1</v>
      </c>
    </row>
    <row r="75">
      <c r="A75" t="n">
        <v>0</v>
      </c>
      <c r="B75" t="n">
        <v>0</v>
      </c>
      <c r="C75" t="n">
        <v>6</v>
      </c>
      <c r="D75" s="218" t="n">
        <v>181.03</v>
      </c>
      <c r="E75" s="218" t="n">
        <v>6.03</v>
      </c>
      <c r="F75" t="str">
        <v>https://re.jrc.ec.europa.eu/api/v5_3/PVcalc?lat=30.0444&amp;lon=31.2357&amp;peakpower=1&amp;loss=14&amp;angle=0&amp;aspect=-180&amp;outputformat=json&amp;raddatabase=PVGIS-SARAH3&amp;pvtechchoice=crystSi&amp;mountingplace=free&amp;usehorizon=1</v>
      </c>
    </row>
    <row r="76">
      <c r="A76" t="n">
        <v>0</v>
      </c>
      <c r="B76" t="n">
        <v>0</v>
      </c>
      <c r="C76" t="n">
        <v>7</v>
      </c>
      <c r="D76" s="218" t="n">
        <v>183.54</v>
      </c>
      <c r="E76" s="218" t="n">
        <v>5.92</v>
      </c>
      <c r="F76" t="str">
        <v>https://re.jrc.ec.europa.eu/api/v5_3/PVcalc?lat=30.0444&amp;lon=31.2357&amp;peakpower=1&amp;loss=14&amp;angle=0&amp;aspect=-180&amp;outputformat=json&amp;raddatabase=PVGIS-SARAH3&amp;pvtechchoice=crystSi&amp;mountingplace=free&amp;usehorizon=1</v>
      </c>
    </row>
    <row r="77">
      <c r="A77" t="n">
        <v>0</v>
      </c>
      <c r="B77" t="n">
        <v>0</v>
      </c>
      <c r="C77" t="n">
        <v>8</v>
      </c>
      <c r="D77" s="218" t="n">
        <v>170.73</v>
      </c>
      <c r="E77" s="218" t="n">
        <v>5.51</v>
      </c>
      <c r="F77" t="str">
        <v>https://re.jrc.ec.europa.eu/api/v5_3/PVcalc?lat=30.0444&amp;lon=31.2357&amp;peakpower=1&amp;loss=14&amp;angle=0&amp;aspect=-180&amp;outputformat=json&amp;raddatabase=PVGIS-SARAH3&amp;pvtechchoice=crystSi&amp;mountingplace=free&amp;usehorizon=1</v>
      </c>
    </row>
    <row r="78">
      <c r="A78" t="n">
        <v>0</v>
      </c>
      <c r="B78" t="n">
        <v>0</v>
      </c>
      <c r="C78" t="n">
        <v>9</v>
      </c>
      <c r="D78" s="218" t="n">
        <v>146.05</v>
      </c>
      <c r="E78" s="218" t="n">
        <v>4.87</v>
      </c>
      <c r="F78" t="str">
        <v>https://re.jrc.ec.europa.eu/api/v5_3/PVcalc?lat=30.0444&amp;lon=31.2357&amp;peakpower=1&amp;loss=14&amp;angle=0&amp;aspect=-180&amp;outputformat=json&amp;raddatabase=PVGIS-SARAH3&amp;pvtechchoice=crystSi&amp;mountingplace=free&amp;usehorizon=1</v>
      </c>
    </row>
    <row r="79">
      <c r="A79" t="n">
        <v>0</v>
      </c>
      <c r="B79" t="n">
        <v>0</v>
      </c>
      <c r="C79" t="n">
        <v>10</v>
      </c>
      <c r="D79" s="218" t="n">
        <v>122.34</v>
      </c>
      <c r="E79" s="218" t="n">
        <v>3.95</v>
      </c>
      <c r="F79" t="str">
        <v>https://re.jrc.ec.europa.eu/api/v5_3/PVcalc?lat=30.0444&amp;lon=31.2357&amp;peakpower=1&amp;loss=14&amp;angle=0&amp;aspect=-180&amp;outputformat=json&amp;raddatabase=PVGIS-SARAH3&amp;pvtechchoice=crystSi&amp;mountingplace=free&amp;usehorizon=1</v>
      </c>
    </row>
    <row r="80">
      <c r="A80" t="n">
        <v>0</v>
      </c>
      <c r="B80" t="n">
        <v>0</v>
      </c>
      <c r="C80" t="n">
        <v>11</v>
      </c>
      <c r="D80" s="218" t="n">
        <v>94.5</v>
      </c>
      <c r="E80" s="218" t="n">
        <v>3.15</v>
      </c>
      <c r="F80" t="str">
        <v>https://re.jrc.ec.europa.eu/api/v5_3/PVcalc?lat=30.0444&amp;lon=31.2357&amp;peakpower=1&amp;loss=14&amp;angle=0&amp;aspect=-180&amp;outputformat=json&amp;raddatabase=PVGIS-SARAH3&amp;pvtechchoice=crystSi&amp;mountingplace=free&amp;usehorizon=1</v>
      </c>
    </row>
    <row r="81">
      <c r="A81" t="n">
        <v>0</v>
      </c>
      <c r="B81" t="n">
        <v>0</v>
      </c>
      <c r="C81" t="n">
        <v>12</v>
      </c>
      <c r="D81" s="218" t="n">
        <v>83.98</v>
      </c>
      <c r="E81" s="218" t="n">
        <v>2.71</v>
      </c>
      <c r="F81" t="str">
        <v>https://re.jrc.ec.europa.eu/api/v5_3/PVcalc?lat=30.0444&amp;lon=31.2357&amp;peakpower=1&amp;loss=14&amp;angle=0&amp;aspect=-180&amp;outputformat=json&amp;raddatabase=PVGIS-SARAH3&amp;pvtechchoice=crystSi&amp;mountingplace=free&amp;usehorizon=1</v>
      </c>
    </row>
    <row r="82">
      <c r="A82" t="n">
        <v>0</v>
      </c>
      <c r="B82" t="n">
        <v>15</v>
      </c>
      <c r="C82" t="n">
        <v>1</v>
      </c>
      <c r="D82" s="218" t="n">
        <v>88.85</v>
      </c>
      <c r="E82" s="218" t="n">
        <v>2.87</v>
      </c>
      <c r="F82" t="str">
        <v>https://re.jrc.ec.europa.eu/api/v5_3/PVcalc?lat=30.0444&amp;lon=31.2357&amp;peakpower=1&amp;loss=14&amp;angle=0&amp;aspect=-165&amp;outputformat=json&amp;raddatabase=PVGIS-SARAH3&amp;pvtechchoice=crystSi&amp;mountingplace=free&amp;usehorizon=1</v>
      </c>
    </row>
    <row r="83">
      <c r="A83" t="n">
        <v>0</v>
      </c>
      <c r="B83" t="n">
        <v>15</v>
      </c>
      <c r="C83" t="n">
        <v>2</v>
      </c>
      <c r="D83" s="218" t="n">
        <v>98.94</v>
      </c>
      <c r="E83" s="218" t="n">
        <v>3.53</v>
      </c>
      <c r="F83" t="str">
        <v>https://re.jrc.ec.europa.eu/api/v5_3/PVcalc?lat=30.0444&amp;lon=31.2357&amp;peakpower=1&amp;loss=14&amp;angle=0&amp;aspect=-165&amp;outputformat=json&amp;raddatabase=PVGIS-SARAH3&amp;pvtechchoice=crystSi&amp;mountingplace=free&amp;usehorizon=1</v>
      </c>
    </row>
    <row r="84">
      <c r="A84" t="n">
        <v>0</v>
      </c>
      <c r="B84" t="n">
        <v>15</v>
      </c>
      <c r="C84" t="n">
        <v>3</v>
      </c>
      <c r="D84" s="218" t="n">
        <v>139.85</v>
      </c>
      <c r="E84" s="218" t="n">
        <v>4.51</v>
      </c>
      <c r="F84" t="str">
        <v>https://re.jrc.ec.europa.eu/api/v5_3/PVcalc?lat=30.0444&amp;lon=31.2357&amp;peakpower=1&amp;loss=14&amp;angle=0&amp;aspect=-165&amp;outputformat=json&amp;raddatabase=PVGIS-SARAH3&amp;pvtechchoice=crystSi&amp;mountingplace=free&amp;usehorizon=1</v>
      </c>
    </row>
    <row r="85">
      <c r="A85" t="n">
        <v>0</v>
      </c>
      <c r="B85" t="n">
        <v>15</v>
      </c>
      <c r="C85" t="n">
        <v>4</v>
      </c>
      <c r="D85" s="218" t="n">
        <v>158.15</v>
      </c>
      <c r="E85" s="218" t="n">
        <v>5.27</v>
      </c>
      <c r="F85" t="str">
        <v>https://re.jrc.ec.europa.eu/api/v5_3/PVcalc?lat=30.0444&amp;lon=31.2357&amp;peakpower=1&amp;loss=14&amp;angle=0&amp;aspect=-165&amp;outputformat=json&amp;raddatabase=PVGIS-SARAH3&amp;pvtechchoice=crystSi&amp;mountingplace=free&amp;usehorizon=1</v>
      </c>
    </row>
    <row r="86">
      <c r="A86" t="n">
        <v>0</v>
      </c>
      <c r="B86" t="n">
        <v>15</v>
      </c>
      <c r="C86" t="n">
        <v>5</v>
      </c>
      <c r="D86" s="218" t="n">
        <v>176.18</v>
      </c>
      <c r="E86" s="218" t="n">
        <v>5.68</v>
      </c>
      <c r="F86" t="str">
        <v>https://re.jrc.ec.europa.eu/api/v5_3/PVcalc?lat=30.0444&amp;lon=31.2357&amp;peakpower=1&amp;loss=14&amp;angle=0&amp;aspect=-165&amp;outputformat=json&amp;raddatabase=PVGIS-SARAH3&amp;pvtechchoice=crystSi&amp;mountingplace=free&amp;usehorizon=1</v>
      </c>
    </row>
    <row r="87">
      <c r="A87" t="n">
        <v>0</v>
      </c>
      <c r="B87" t="n">
        <v>15</v>
      </c>
      <c r="C87" t="n">
        <v>6</v>
      </c>
      <c r="D87" s="218" t="n">
        <v>181.03</v>
      </c>
      <c r="E87" s="218" t="n">
        <v>6.03</v>
      </c>
      <c r="F87" t="str">
        <v>https://re.jrc.ec.europa.eu/api/v5_3/PVcalc?lat=30.0444&amp;lon=31.2357&amp;peakpower=1&amp;loss=14&amp;angle=0&amp;aspect=-165&amp;outputformat=json&amp;raddatabase=PVGIS-SARAH3&amp;pvtechchoice=crystSi&amp;mountingplace=free&amp;usehorizon=1</v>
      </c>
    </row>
    <row r="88">
      <c r="A88" t="n">
        <v>0</v>
      </c>
      <c r="B88" t="n">
        <v>15</v>
      </c>
      <c r="C88" t="n">
        <v>7</v>
      </c>
      <c r="D88" s="218" t="n">
        <v>183.54</v>
      </c>
      <c r="E88" s="218" t="n">
        <v>5.92</v>
      </c>
      <c r="F88" t="str">
        <v>https://re.jrc.ec.europa.eu/api/v5_3/PVcalc?lat=30.0444&amp;lon=31.2357&amp;peakpower=1&amp;loss=14&amp;angle=0&amp;aspect=-165&amp;outputformat=json&amp;raddatabase=PVGIS-SARAH3&amp;pvtechchoice=crystSi&amp;mountingplace=free&amp;usehorizon=1</v>
      </c>
    </row>
    <row r="89">
      <c r="A89" t="n">
        <v>0</v>
      </c>
      <c r="B89" t="n">
        <v>15</v>
      </c>
      <c r="C89" t="n">
        <v>8</v>
      </c>
      <c r="D89" s="218" t="n">
        <v>170.73</v>
      </c>
      <c r="E89" s="218" t="n">
        <v>5.51</v>
      </c>
      <c r="F89" t="str">
        <v>https://re.jrc.ec.europa.eu/api/v5_3/PVcalc?lat=30.0444&amp;lon=31.2357&amp;peakpower=1&amp;loss=14&amp;angle=0&amp;aspect=-165&amp;outputformat=json&amp;raddatabase=PVGIS-SARAH3&amp;pvtechchoice=crystSi&amp;mountingplace=free&amp;usehorizon=1</v>
      </c>
    </row>
    <row r="90">
      <c r="A90" t="n">
        <v>0</v>
      </c>
      <c r="B90" t="n">
        <v>15</v>
      </c>
      <c r="C90" t="n">
        <v>9</v>
      </c>
      <c r="D90" s="218" t="n">
        <v>146.05</v>
      </c>
      <c r="E90" s="218" t="n">
        <v>4.87</v>
      </c>
      <c r="F90" t="str">
        <v>https://re.jrc.ec.europa.eu/api/v5_3/PVcalc?lat=30.0444&amp;lon=31.2357&amp;peakpower=1&amp;loss=14&amp;angle=0&amp;aspect=-165&amp;outputformat=json&amp;raddatabase=PVGIS-SARAH3&amp;pvtechchoice=crystSi&amp;mountingplace=free&amp;usehorizon=1</v>
      </c>
    </row>
    <row r="91">
      <c r="A91" t="n">
        <v>0</v>
      </c>
      <c r="B91" t="n">
        <v>15</v>
      </c>
      <c r="C91" t="n">
        <v>10</v>
      </c>
      <c r="D91" s="218" t="n">
        <v>122.34</v>
      </c>
      <c r="E91" s="218" t="n">
        <v>3.95</v>
      </c>
      <c r="F91" t="str">
        <v>https://re.jrc.ec.europa.eu/api/v5_3/PVcalc?lat=30.0444&amp;lon=31.2357&amp;peakpower=1&amp;loss=14&amp;angle=0&amp;aspect=-165&amp;outputformat=json&amp;raddatabase=PVGIS-SARAH3&amp;pvtechchoice=crystSi&amp;mountingplace=free&amp;usehorizon=1</v>
      </c>
    </row>
    <row r="92">
      <c r="A92" t="n">
        <v>0</v>
      </c>
      <c r="B92" t="n">
        <v>15</v>
      </c>
      <c r="C92" t="n">
        <v>11</v>
      </c>
      <c r="D92" s="218" t="n">
        <v>94.5</v>
      </c>
      <c r="E92" s="218" t="n">
        <v>3.15</v>
      </c>
      <c r="F92" t="str">
        <v>https://re.jrc.ec.europa.eu/api/v5_3/PVcalc?lat=30.0444&amp;lon=31.2357&amp;peakpower=1&amp;loss=14&amp;angle=0&amp;aspect=-165&amp;outputformat=json&amp;raddatabase=PVGIS-SARAH3&amp;pvtechchoice=crystSi&amp;mountingplace=free&amp;usehorizon=1</v>
      </c>
    </row>
    <row r="93">
      <c r="A93" t="n">
        <v>0</v>
      </c>
      <c r="B93" t="n">
        <v>15</v>
      </c>
      <c r="C93" t="n">
        <v>12</v>
      </c>
      <c r="D93" s="218" t="n">
        <v>83.98</v>
      </c>
      <c r="E93" s="218" t="n">
        <v>2.71</v>
      </c>
      <c r="F93" t="str">
        <v>https://re.jrc.ec.europa.eu/api/v5_3/PVcalc?lat=30.0444&amp;lon=31.2357&amp;peakpower=1&amp;loss=14&amp;angle=0&amp;aspect=-165&amp;outputformat=json&amp;raddatabase=PVGIS-SARAH3&amp;pvtechchoice=crystSi&amp;mountingplace=free&amp;usehorizon=1</v>
      </c>
    </row>
    <row r="94">
      <c r="A94" t="n">
        <v>0</v>
      </c>
      <c r="B94" t="n">
        <v>30</v>
      </c>
      <c r="C94" t="n">
        <v>1</v>
      </c>
      <c r="D94" s="218" t="n">
        <v>88.85</v>
      </c>
      <c r="E94" s="218" t="n">
        <v>2.87</v>
      </c>
      <c r="F94" t="str">
        <v>https://re.jrc.ec.europa.eu/api/v5_3/PVcalc?lat=30.0444&amp;lon=31.2357&amp;peakpower=1&amp;loss=14&amp;angle=0&amp;aspect=-150&amp;outputformat=json&amp;raddatabase=PVGIS-SARAH3&amp;pvtechchoice=crystSi&amp;mountingplace=free&amp;usehorizon=1</v>
      </c>
    </row>
    <row r="95">
      <c r="A95" t="n">
        <v>0</v>
      </c>
      <c r="B95" t="n">
        <v>30</v>
      </c>
      <c r="C95" t="n">
        <v>2</v>
      </c>
      <c r="D95" s="218" t="n">
        <v>98.94</v>
      </c>
      <c r="E95" s="218" t="n">
        <v>3.53</v>
      </c>
      <c r="F95" t="str">
        <v>https://re.jrc.ec.europa.eu/api/v5_3/PVcalc?lat=30.0444&amp;lon=31.2357&amp;peakpower=1&amp;loss=14&amp;angle=0&amp;aspect=-150&amp;outputformat=json&amp;raddatabase=PVGIS-SARAH3&amp;pvtechchoice=crystSi&amp;mountingplace=free&amp;usehorizon=1</v>
      </c>
    </row>
    <row r="96">
      <c r="A96" t="n">
        <v>0</v>
      </c>
      <c r="B96" t="n">
        <v>30</v>
      </c>
      <c r="C96" t="n">
        <v>3</v>
      </c>
      <c r="D96" s="218" t="n">
        <v>139.85</v>
      </c>
      <c r="E96" s="218" t="n">
        <v>4.51</v>
      </c>
      <c r="F96" t="str">
        <v>https://re.jrc.ec.europa.eu/api/v5_3/PVcalc?lat=30.0444&amp;lon=31.2357&amp;peakpower=1&amp;loss=14&amp;angle=0&amp;aspect=-150&amp;outputformat=json&amp;raddatabase=PVGIS-SARAH3&amp;pvtechchoice=crystSi&amp;mountingplace=free&amp;usehorizon=1</v>
      </c>
    </row>
    <row r="97">
      <c r="A97" t="n">
        <v>0</v>
      </c>
      <c r="B97" t="n">
        <v>30</v>
      </c>
      <c r="C97" t="n">
        <v>4</v>
      </c>
      <c r="D97" s="218" t="n">
        <v>158.15</v>
      </c>
      <c r="E97" s="218" t="n">
        <v>5.27</v>
      </c>
      <c r="F97" t="str">
        <v>https://re.jrc.ec.europa.eu/api/v5_3/PVcalc?lat=30.0444&amp;lon=31.2357&amp;peakpower=1&amp;loss=14&amp;angle=0&amp;aspect=-150&amp;outputformat=json&amp;raddatabase=PVGIS-SARAH3&amp;pvtechchoice=crystSi&amp;mountingplace=free&amp;usehorizon=1</v>
      </c>
    </row>
    <row r="98">
      <c r="A98" t="n">
        <v>0</v>
      </c>
      <c r="B98" t="n">
        <v>30</v>
      </c>
      <c r="C98" t="n">
        <v>5</v>
      </c>
      <c r="D98" s="218" t="n">
        <v>176.18</v>
      </c>
      <c r="E98" s="218" t="n">
        <v>5.68</v>
      </c>
      <c r="F98" t="str">
        <v>https://re.jrc.ec.europa.eu/api/v5_3/PVcalc?lat=30.0444&amp;lon=31.2357&amp;peakpower=1&amp;loss=14&amp;angle=0&amp;aspect=-150&amp;outputformat=json&amp;raddatabase=PVGIS-SARAH3&amp;pvtechchoice=crystSi&amp;mountingplace=free&amp;usehorizon=1</v>
      </c>
    </row>
    <row r="99">
      <c r="A99" t="n">
        <v>0</v>
      </c>
      <c r="B99" t="n">
        <v>30</v>
      </c>
      <c r="C99" t="n">
        <v>6</v>
      </c>
      <c r="D99" s="218" t="n">
        <v>181.03</v>
      </c>
      <c r="E99" s="218" t="n">
        <v>6.03</v>
      </c>
      <c r="F99" t="str">
        <v>https://re.jrc.ec.europa.eu/api/v5_3/PVcalc?lat=30.0444&amp;lon=31.2357&amp;peakpower=1&amp;loss=14&amp;angle=0&amp;aspect=-150&amp;outputformat=json&amp;raddatabase=PVGIS-SARAH3&amp;pvtechchoice=crystSi&amp;mountingplace=free&amp;usehorizon=1</v>
      </c>
    </row>
    <row r="100">
      <c r="A100" t="n">
        <v>0</v>
      </c>
      <c r="B100" t="n">
        <v>30</v>
      </c>
      <c r="C100" t="n">
        <v>7</v>
      </c>
      <c r="D100" s="218" t="n">
        <v>183.54</v>
      </c>
      <c r="E100" s="218" t="n">
        <v>5.92</v>
      </c>
      <c r="F100" t="str">
        <v>https://re.jrc.ec.europa.eu/api/v5_3/PVcalc?lat=30.0444&amp;lon=31.2357&amp;peakpower=1&amp;loss=14&amp;angle=0&amp;aspect=-150&amp;outputformat=json&amp;raddatabase=PVGIS-SARAH3&amp;pvtechchoice=crystSi&amp;mountingplace=free&amp;usehorizon=1</v>
      </c>
    </row>
    <row r="101">
      <c r="A101" t="n">
        <v>0</v>
      </c>
      <c r="B101" t="n">
        <v>30</v>
      </c>
      <c r="C101" t="n">
        <v>8</v>
      </c>
      <c r="D101" s="218" t="n">
        <v>170.73</v>
      </c>
      <c r="E101" s="218" t="n">
        <v>5.51</v>
      </c>
      <c r="F101" t="str">
        <v>https://re.jrc.ec.europa.eu/api/v5_3/PVcalc?lat=30.0444&amp;lon=31.2357&amp;peakpower=1&amp;loss=14&amp;angle=0&amp;aspect=-150&amp;outputformat=json&amp;raddatabase=PVGIS-SARAH3&amp;pvtechchoice=crystSi&amp;mountingplace=free&amp;usehorizon=1</v>
      </c>
    </row>
    <row r="102">
      <c r="A102" t="n">
        <v>0</v>
      </c>
      <c r="B102" t="n">
        <v>30</v>
      </c>
      <c r="C102" t="n">
        <v>9</v>
      </c>
      <c r="D102" s="218" t="n">
        <v>146.05</v>
      </c>
      <c r="E102" s="218" t="n">
        <v>4.87</v>
      </c>
      <c r="F102" t="str">
        <v>https://re.jrc.ec.europa.eu/api/v5_3/PVcalc?lat=30.0444&amp;lon=31.2357&amp;peakpower=1&amp;loss=14&amp;angle=0&amp;aspect=-150&amp;outputformat=json&amp;raddatabase=PVGIS-SARAH3&amp;pvtechchoice=crystSi&amp;mountingplace=free&amp;usehorizon=1</v>
      </c>
    </row>
    <row r="103">
      <c r="A103" t="n">
        <v>0</v>
      </c>
      <c r="B103" t="n">
        <v>30</v>
      </c>
      <c r="C103" t="n">
        <v>10</v>
      </c>
      <c r="D103" s="218" t="n">
        <v>122.34</v>
      </c>
      <c r="E103" s="218" t="n">
        <v>3.95</v>
      </c>
      <c r="F103" t="str">
        <v>https://re.jrc.ec.europa.eu/api/v5_3/PVcalc?lat=30.0444&amp;lon=31.2357&amp;peakpower=1&amp;loss=14&amp;angle=0&amp;aspect=-150&amp;outputformat=json&amp;raddatabase=PVGIS-SARAH3&amp;pvtechchoice=crystSi&amp;mountingplace=free&amp;usehorizon=1</v>
      </c>
    </row>
    <row r="104">
      <c r="A104" t="n">
        <v>0</v>
      </c>
      <c r="B104" t="n">
        <v>30</v>
      </c>
      <c r="C104" t="n">
        <v>11</v>
      </c>
      <c r="D104" s="218" t="n">
        <v>94.5</v>
      </c>
      <c r="E104" s="218" t="n">
        <v>3.15</v>
      </c>
      <c r="F104" t="str">
        <v>https://re.jrc.ec.europa.eu/api/v5_3/PVcalc?lat=30.0444&amp;lon=31.2357&amp;peakpower=1&amp;loss=14&amp;angle=0&amp;aspect=-150&amp;outputformat=json&amp;raddatabase=PVGIS-SARAH3&amp;pvtechchoice=crystSi&amp;mountingplace=free&amp;usehorizon=1</v>
      </c>
    </row>
    <row r="105">
      <c r="A105" t="n">
        <v>0</v>
      </c>
      <c r="B105" t="n">
        <v>30</v>
      </c>
      <c r="C105" t="n">
        <v>12</v>
      </c>
      <c r="D105" s="218" t="n">
        <v>83.98</v>
      </c>
      <c r="E105" s="218" t="n">
        <v>2.71</v>
      </c>
      <c r="F105" t="str">
        <v>https://re.jrc.ec.europa.eu/api/v5_3/PVcalc?lat=30.0444&amp;lon=31.2357&amp;peakpower=1&amp;loss=14&amp;angle=0&amp;aspect=-150&amp;outputformat=json&amp;raddatabase=PVGIS-SARAH3&amp;pvtechchoice=crystSi&amp;mountingplace=free&amp;usehorizon=1</v>
      </c>
    </row>
    <row r="106">
      <c r="A106" t="n">
        <v>0</v>
      </c>
      <c r="B106" t="n">
        <v>45</v>
      </c>
      <c r="C106" t="n">
        <v>1</v>
      </c>
      <c r="D106" s="218" t="n">
        <v>88.85</v>
      </c>
      <c r="E106" s="218" t="n">
        <v>2.87</v>
      </c>
      <c r="F106" t="str">
        <v>https://re.jrc.ec.europa.eu/api/v5_3/PVcalc?lat=30.0444&amp;lon=31.2357&amp;peakpower=1&amp;loss=14&amp;angle=0&amp;aspect=-135&amp;outputformat=json&amp;raddatabase=PVGIS-SARAH3&amp;pvtechchoice=crystSi&amp;mountingplace=free&amp;usehorizon=1</v>
      </c>
    </row>
    <row r="107">
      <c r="A107" t="n">
        <v>0</v>
      </c>
      <c r="B107" t="n">
        <v>45</v>
      </c>
      <c r="C107" t="n">
        <v>2</v>
      </c>
      <c r="D107" s="218" t="n">
        <v>98.94</v>
      </c>
      <c r="E107" s="218" t="n">
        <v>3.53</v>
      </c>
      <c r="F107" t="str">
        <v>https://re.jrc.ec.europa.eu/api/v5_3/PVcalc?lat=30.0444&amp;lon=31.2357&amp;peakpower=1&amp;loss=14&amp;angle=0&amp;aspect=-135&amp;outputformat=json&amp;raddatabase=PVGIS-SARAH3&amp;pvtechchoice=crystSi&amp;mountingplace=free&amp;usehorizon=1</v>
      </c>
    </row>
    <row r="108">
      <c r="A108" t="n">
        <v>0</v>
      </c>
      <c r="B108" t="n">
        <v>45</v>
      </c>
      <c r="C108" t="n">
        <v>3</v>
      </c>
      <c r="D108" s="218" t="n">
        <v>139.85</v>
      </c>
      <c r="E108" s="218" t="n">
        <v>4.51</v>
      </c>
      <c r="F108" t="str">
        <v>https://re.jrc.ec.europa.eu/api/v5_3/PVcalc?lat=30.0444&amp;lon=31.2357&amp;peakpower=1&amp;loss=14&amp;angle=0&amp;aspect=-135&amp;outputformat=json&amp;raddatabase=PVGIS-SARAH3&amp;pvtechchoice=crystSi&amp;mountingplace=free&amp;usehorizon=1</v>
      </c>
    </row>
    <row r="109">
      <c r="A109" t="n">
        <v>0</v>
      </c>
      <c r="B109" t="n">
        <v>45</v>
      </c>
      <c r="C109" t="n">
        <v>4</v>
      </c>
      <c r="D109" s="218" t="n">
        <v>158.15</v>
      </c>
      <c r="E109" s="218" t="n">
        <v>5.27</v>
      </c>
      <c r="F109" t="str">
        <v>https://re.jrc.ec.europa.eu/api/v5_3/PVcalc?lat=30.0444&amp;lon=31.2357&amp;peakpower=1&amp;loss=14&amp;angle=0&amp;aspect=-135&amp;outputformat=json&amp;raddatabase=PVGIS-SARAH3&amp;pvtechchoice=crystSi&amp;mountingplace=free&amp;usehorizon=1</v>
      </c>
    </row>
    <row r="110">
      <c r="A110" t="n">
        <v>0</v>
      </c>
      <c r="B110" t="n">
        <v>45</v>
      </c>
      <c r="C110" t="n">
        <v>5</v>
      </c>
      <c r="D110" s="218" t="n">
        <v>176.18</v>
      </c>
      <c r="E110" s="218" t="n">
        <v>5.68</v>
      </c>
      <c r="F110" t="str">
        <v>https://re.jrc.ec.europa.eu/api/v5_3/PVcalc?lat=30.0444&amp;lon=31.2357&amp;peakpower=1&amp;loss=14&amp;angle=0&amp;aspect=-135&amp;outputformat=json&amp;raddatabase=PVGIS-SARAH3&amp;pvtechchoice=crystSi&amp;mountingplace=free&amp;usehorizon=1</v>
      </c>
    </row>
    <row r="111">
      <c r="A111" t="n">
        <v>0</v>
      </c>
      <c r="B111" t="n">
        <v>45</v>
      </c>
      <c r="C111" t="n">
        <v>6</v>
      </c>
      <c r="D111" s="218" t="n">
        <v>181.03</v>
      </c>
      <c r="E111" s="218" t="n">
        <v>6.03</v>
      </c>
      <c r="F111" t="str">
        <v>https://re.jrc.ec.europa.eu/api/v5_3/PVcalc?lat=30.0444&amp;lon=31.2357&amp;peakpower=1&amp;loss=14&amp;angle=0&amp;aspect=-135&amp;outputformat=json&amp;raddatabase=PVGIS-SARAH3&amp;pvtechchoice=crystSi&amp;mountingplace=free&amp;usehorizon=1</v>
      </c>
    </row>
    <row r="112">
      <c r="A112" t="n">
        <v>0</v>
      </c>
      <c r="B112" t="n">
        <v>45</v>
      </c>
      <c r="C112" t="n">
        <v>7</v>
      </c>
      <c r="D112" s="218" t="n">
        <v>183.54</v>
      </c>
      <c r="E112" s="218" t="n">
        <v>5.92</v>
      </c>
      <c r="F112" t="str">
        <v>https://re.jrc.ec.europa.eu/api/v5_3/PVcalc?lat=30.0444&amp;lon=31.2357&amp;peakpower=1&amp;loss=14&amp;angle=0&amp;aspect=-135&amp;outputformat=json&amp;raddatabase=PVGIS-SARAH3&amp;pvtechchoice=crystSi&amp;mountingplace=free&amp;usehorizon=1</v>
      </c>
    </row>
    <row r="113">
      <c r="A113" t="n">
        <v>0</v>
      </c>
      <c r="B113" t="n">
        <v>45</v>
      </c>
      <c r="C113" t="n">
        <v>8</v>
      </c>
      <c r="D113" s="218" t="n">
        <v>170.73</v>
      </c>
      <c r="E113" s="218" t="n">
        <v>5.51</v>
      </c>
      <c r="F113" t="str">
        <v>https://re.jrc.ec.europa.eu/api/v5_3/PVcalc?lat=30.0444&amp;lon=31.2357&amp;peakpower=1&amp;loss=14&amp;angle=0&amp;aspect=-135&amp;outputformat=json&amp;raddatabase=PVGIS-SARAH3&amp;pvtechchoice=crystSi&amp;mountingplace=free&amp;usehorizon=1</v>
      </c>
    </row>
    <row r="114">
      <c r="A114" t="n">
        <v>0</v>
      </c>
      <c r="B114" t="n">
        <v>45</v>
      </c>
      <c r="C114" t="n">
        <v>9</v>
      </c>
      <c r="D114" s="218" t="n">
        <v>146.05</v>
      </c>
      <c r="E114" s="218" t="n">
        <v>4.87</v>
      </c>
      <c r="F114" t="str">
        <v>https://re.jrc.ec.europa.eu/api/v5_3/PVcalc?lat=30.0444&amp;lon=31.2357&amp;peakpower=1&amp;loss=14&amp;angle=0&amp;aspect=-135&amp;outputformat=json&amp;raddatabase=PVGIS-SARAH3&amp;pvtechchoice=crystSi&amp;mountingplace=free&amp;usehorizon=1</v>
      </c>
    </row>
    <row r="115">
      <c r="A115" t="n">
        <v>0</v>
      </c>
      <c r="B115" t="n">
        <v>45</v>
      </c>
      <c r="C115" t="n">
        <v>10</v>
      </c>
      <c r="D115" s="218" t="n">
        <v>122.34</v>
      </c>
      <c r="E115" s="218" t="n">
        <v>3.95</v>
      </c>
      <c r="F115" t="str">
        <v>https://re.jrc.ec.europa.eu/api/v5_3/PVcalc?lat=30.0444&amp;lon=31.2357&amp;peakpower=1&amp;loss=14&amp;angle=0&amp;aspect=-135&amp;outputformat=json&amp;raddatabase=PVGIS-SARAH3&amp;pvtechchoice=crystSi&amp;mountingplace=free&amp;usehorizon=1</v>
      </c>
    </row>
    <row r="116">
      <c r="A116" t="n">
        <v>0</v>
      </c>
      <c r="B116" t="n">
        <v>45</v>
      </c>
      <c r="C116" t="n">
        <v>11</v>
      </c>
      <c r="D116" s="218" t="n">
        <v>94.5</v>
      </c>
      <c r="E116" s="218" t="n">
        <v>3.15</v>
      </c>
      <c r="F116" t="str">
        <v>https://re.jrc.ec.europa.eu/api/v5_3/PVcalc?lat=30.0444&amp;lon=31.2357&amp;peakpower=1&amp;loss=14&amp;angle=0&amp;aspect=-135&amp;outputformat=json&amp;raddatabase=PVGIS-SARAH3&amp;pvtechchoice=crystSi&amp;mountingplace=free&amp;usehorizon=1</v>
      </c>
    </row>
    <row r="117">
      <c r="A117" t="n">
        <v>0</v>
      </c>
      <c r="B117" t="n">
        <v>45</v>
      </c>
      <c r="C117" t="n">
        <v>12</v>
      </c>
      <c r="D117" s="218" t="n">
        <v>83.98</v>
      </c>
      <c r="E117" s="218" t="n">
        <v>2.71</v>
      </c>
      <c r="F117" t="str">
        <v>https://re.jrc.ec.europa.eu/api/v5_3/PVcalc?lat=30.0444&amp;lon=31.2357&amp;peakpower=1&amp;loss=14&amp;angle=0&amp;aspect=-135&amp;outputformat=json&amp;raddatabase=PVGIS-SARAH3&amp;pvtechchoice=crystSi&amp;mountingplace=free&amp;usehorizon=1</v>
      </c>
    </row>
    <row r="118">
      <c r="A118" t="n">
        <v>0</v>
      </c>
      <c r="B118" t="n">
        <v>60</v>
      </c>
      <c r="C118" t="n">
        <v>1</v>
      </c>
      <c r="D118" s="218" t="n">
        <v>88.85</v>
      </c>
      <c r="E118" s="218" t="n">
        <v>2.87</v>
      </c>
      <c r="F118" t="str">
        <v>https://re.jrc.ec.europa.eu/api/v5_3/PVcalc?lat=30.0444&amp;lon=31.2357&amp;peakpower=1&amp;loss=14&amp;angle=0&amp;aspect=-120&amp;outputformat=json&amp;raddatabase=PVGIS-SARAH3&amp;pvtechchoice=crystSi&amp;mountingplace=free&amp;usehorizon=1</v>
      </c>
    </row>
    <row r="119">
      <c r="A119" t="n">
        <v>0</v>
      </c>
      <c r="B119" t="n">
        <v>60</v>
      </c>
      <c r="C119" t="n">
        <v>2</v>
      </c>
      <c r="D119" s="218" t="n">
        <v>98.94</v>
      </c>
      <c r="E119" s="218" t="n">
        <v>3.53</v>
      </c>
      <c r="F119" t="str">
        <v>https://re.jrc.ec.europa.eu/api/v5_3/PVcalc?lat=30.0444&amp;lon=31.2357&amp;peakpower=1&amp;loss=14&amp;angle=0&amp;aspect=-120&amp;outputformat=json&amp;raddatabase=PVGIS-SARAH3&amp;pvtechchoice=crystSi&amp;mountingplace=free&amp;usehorizon=1</v>
      </c>
    </row>
    <row r="120">
      <c r="A120" t="n">
        <v>0</v>
      </c>
      <c r="B120" t="n">
        <v>60</v>
      </c>
      <c r="C120" t="n">
        <v>3</v>
      </c>
      <c r="D120" s="218" t="n">
        <v>139.85</v>
      </c>
      <c r="E120" s="218" t="n">
        <v>4.51</v>
      </c>
      <c r="F120" t="str">
        <v>https://re.jrc.ec.europa.eu/api/v5_3/PVcalc?lat=30.0444&amp;lon=31.2357&amp;peakpower=1&amp;loss=14&amp;angle=0&amp;aspect=-120&amp;outputformat=json&amp;raddatabase=PVGIS-SARAH3&amp;pvtechchoice=crystSi&amp;mountingplace=free&amp;usehorizon=1</v>
      </c>
    </row>
    <row r="121">
      <c r="A121" t="n">
        <v>0</v>
      </c>
      <c r="B121" t="n">
        <v>60</v>
      </c>
      <c r="C121" t="n">
        <v>4</v>
      </c>
      <c r="D121" s="218" t="n">
        <v>158.15</v>
      </c>
      <c r="E121" s="218" t="n">
        <v>5.27</v>
      </c>
      <c r="F121" t="str">
        <v>https://re.jrc.ec.europa.eu/api/v5_3/PVcalc?lat=30.0444&amp;lon=31.2357&amp;peakpower=1&amp;loss=14&amp;angle=0&amp;aspect=-120&amp;outputformat=json&amp;raddatabase=PVGIS-SARAH3&amp;pvtechchoice=crystSi&amp;mountingplace=free&amp;usehorizon=1</v>
      </c>
    </row>
    <row r="122">
      <c r="A122" t="n">
        <v>0</v>
      </c>
      <c r="B122" t="n">
        <v>60</v>
      </c>
      <c r="C122" t="n">
        <v>5</v>
      </c>
      <c r="D122" s="218" t="n">
        <v>176.18</v>
      </c>
      <c r="E122" s="218" t="n">
        <v>5.68</v>
      </c>
      <c r="F122" t="str">
        <v>https://re.jrc.ec.europa.eu/api/v5_3/PVcalc?lat=30.0444&amp;lon=31.2357&amp;peakpower=1&amp;loss=14&amp;angle=0&amp;aspect=-120&amp;outputformat=json&amp;raddatabase=PVGIS-SARAH3&amp;pvtechchoice=crystSi&amp;mountingplace=free&amp;usehorizon=1</v>
      </c>
    </row>
    <row r="123">
      <c r="A123" t="n">
        <v>0</v>
      </c>
      <c r="B123" t="n">
        <v>60</v>
      </c>
      <c r="C123" t="n">
        <v>6</v>
      </c>
      <c r="D123" s="218" t="n">
        <v>181.03</v>
      </c>
      <c r="E123" s="218" t="n">
        <v>6.03</v>
      </c>
      <c r="F123" t="str">
        <v>https://re.jrc.ec.europa.eu/api/v5_3/PVcalc?lat=30.0444&amp;lon=31.2357&amp;peakpower=1&amp;loss=14&amp;angle=0&amp;aspect=-120&amp;outputformat=json&amp;raddatabase=PVGIS-SARAH3&amp;pvtechchoice=crystSi&amp;mountingplace=free&amp;usehorizon=1</v>
      </c>
    </row>
    <row r="124">
      <c r="A124" t="n">
        <v>0</v>
      </c>
      <c r="B124" t="n">
        <v>60</v>
      </c>
      <c r="C124" t="n">
        <v>7</v>
      </c>
      <c r="D124" s="218" t="n">
        <v>183.54</v>
      </c>
      <c r="E124" s="218" t="n">
        <v>5.92</v>
      </c>
      <c r="F124" t="str">
        <v>https://re.jrc.ec.europa.eu/api/v5_3/PVcalc?lat=30.0444&amp;lon=31.2357&amp;peakpower=1&amp;loss=14&amp;angle=0&amp;aspect=-120&amp;outputformat=json&amp;raddatabase=PVGIS-SARAH3&amp;pvtechchoice=crystSi&amp;mountingplace=free&amp;usehorizon=1</v>
      </c>
    </row>
    <row r="125">
      <c r="A125" t="n">
        <v>0</v>
      </c>
      <c r="B125" t="n">
        <v>60</v>
      </c>
      <c r="C125" t="n">
        <v>8</v>
      </c>
      <c r="D125" s="218" t="n">
        <v>170.73</v>
      </c>
      <c r="E125" s="218" t="n">
        <v>5.51</v>
      </c>
      <c r="F125" t="str">
        <v>https://re.jrc.ec.europa.eu/api/v5_3/PVcalc?lat=30.0444&amp;lon=31.2357&amp;peakpower=1&amp;loss=14&amp;angle=0&amp;aspect=-120&amp;outputformat=json&amp;raddatabase=PVGIS-SARAH3&amp;pvtechchoice=crystSi&amp;mountingplace=free&amp;usehorizon=1</v>
      </c>
    </row>
    <row r="126">
      <c r="A126" t="n">
        <v>0</v>
      </c>
      <c r="B126" t="n">
        <v>60</v>
      </c>
      <c r="C126" t="n">
        <v>9</v>
      </c>
      <c r="D126" s="218" t="n">
        <v>146.05</v>
      </c>
      <c r="E126" s="218" t="n">
        <v>4.87</v>
      </c>
      <c r="F126" t="str">
        <v>https://re.jrc.ec.europa.eu/api/v5_3/PVcalc?lat=30.0444&amp;lon=31.2357&amp;peakpower=1&amp;loss=14&amp;angle=0&amp;aspect=-120&amp;outputformat=json&amp;raddatabase=PVGIS-SARAH3&amp;pvtechchoice=crystSi&amp;mountingplace=free&amp;usehorizon=1</v>
      </c>
    </row>
    <row r="127">
      <c r="A127" t="n">
        <v>0</v>
      </c>
      <c r="B127" t="n">
        <v>60</v>
      </c>
      <c r="C127" t="n">
        <v>10</v>
      </c>
      <c r="D127" s="218" t="n">
        <v>122.34</v>
      </c>
      <c r="E127" s="218" t="n">
        <v>3.95</v>
      </c>
      <c r="F127" t="str">
        <v>https://re.jrc.ec.europa.eu/api/v5_3/PVcalc?lat=30.0444&amp;lon=31.2357&amp;peakpower=1&amp;loss=14&amp;angle=0&amp;aspect=-120&amp;outputformat=json&amp;raddatabase=PVGIS-SARAH3&amp;pvtechchoice=crystSi&amp;mountingplace=free&amp;usehorizon=1</v>
      </c>
    </row>
    <row r="128">
      <c r="A128" t="n">
        <v>0</v>
      </c>
      <c r="B128" t="n">
        <v>60</v>
      </c>
      <c r="C128" t="n">
        <v>11</v>
      </c>
      <c r="D128" s="218" t="n">
        <v>94.5</v>
      </c>
      <c r="E128" s="218" t="n">
        <v>3.15</v>
      </c>
      <c r="F128" t="str">
        <v>https://re.jrc.ec.europa.eu/api/v5_3/PVcalc?lat=30.0444&amp;lon=31.2357&amp;peakpower=1&amp;loss=14&amp;angle=0&amp;aspect=-120&amp;outputformat=json&amp;raddatabase=PVGIS-SARAH3&amp;pvtechchoice=crystSi&amp;mountingplace=free&amp;usehorizon=1</v>
      </c>
    </row>
    <row r="129">
      <c r="A129" t="n">
        <v>0</v>
      </c>
      <c r="B129" t="n">
        <v>60</v>
      </c>
      <c r="C129" t="n">
        <v>12</v>
      </c>
      <c r="D129" s="218" t="n">
        <v>83.98</v>
      </c>
      <c r="E129" s="218" t="n">
        <v>2.71</v>
      </c>
      <c r="F129" t="str">
        <v>https://re.jrc.ec.europa.eu/api/v5_3/PVcalc?lat=30.0444&amp;lon=31.2357&amp;peakpower=1&amp;loss=14&amp;angle=0&amp;aspect=-120&amp;outputformat=json&amp;raddatabase=PVGIS-SARAH3&amp;pvtechchoice=crystSi&amp;mountingplace=free&amp;usehorizon=1</v>
      </c>
    </row>
    <row r="130">
      <c r="A130" t="n">
        <v>0</v>
      </c>
      <c r="B130" t="n">
        <v>75</v>
      </c>
      <c r="C130" t="n">
        <v>1</v>
      </c>
      <c r="D130" s="218" t="n">
        <v>88.85</v>
      </c>
      <c r="E130" s="218" t="n">
        <v>2.87</v>
      </c>
      <c r="F130" t="str">
        <v>https://re.jrc.ec.europa.eu/api/v5_3/PVcalc?lat=30.0444&amp;lon=31.2357&amp;peakpower=1&amp;loss=14&amp;angle=0&amp;aspect=-105&amp;outputformat=json&amp;raddatabase=PVGIS-SARAH3&amp;pvtechchoice=crystSi&amp;mountingplace=free&amp;usehorizon=1</v>
      </c>
    </row>
    <row r="131">
      <c r="A131" t="n">
        <v>0</v>
      </c>
      <c r="B131" t="n">
        <v>75</v>
      </c>
      <c r="C131" t="n">
        <v>2</v>
      </c>
      <c r="D131" s="218" t="n">
        <v>98.94</v>
      </c>
      <c r="E131" s="218" t="n">
        <v>3.53</v>
      </c>
      <c r="F131" t="str">
        <v>https://re.jrc.ec.europa.eu/api/v5_3/PVcalc?lat=30.0444&amp;lon=31.2357&amp;peakpower=1&amp;loss=14&amp;angle=0&amp;aspect=-105&amp;outputformat=json&amp;raddatabase=PVGIS-SARAH3&amp;pvtechchoice=crystSi&amp;mountingplace=free&amp;usehorizon=1</v>
      </c>
    </row>
    <row r="132">
      <c r="A132" t="n">
        <v>0</v>
      </c>
      <c r="B132" t="n">
        <v>75</v>
      </c>
      <c r="C132" t="n">
        <v>3</v>
      </c>
      <c r="D132" s="218" t="n">
        <v>139.85</v>
      </c>
      <c r="E132" s="218" t="n">
        <v>4.51</v>
      </c>
      <c r="F132" t="str">
        <v>https://re.jrc.ec.europa.eu/api/v5_3/PVcalc?lat=30.0444&amp;lon=31.2357&amp;peakpower=1&amp;loss=14&amp;angle=0&amp;aspect=-105&amp;outputformat=json&amp;raddatabase=PVGIS-SARAH3&amp;pvtechchoice=crystSi&amp;mountingplace=free&amp;usehorizon=1</v>
      </c>
    </row>
    <row r="133">
      <c r="A133" t="n">
        <v>0</v>
      </c>
      <c r="B133" t="n">
        <v>75</v>
      </c>
      <c r="C133" t="n">
        <v>4</v>
      </c>
      <c r="D133" s="218" t="n">
        <v>158.15</v>
      </c>
      <c r="E133" s="218" t="n">
        <v>5.27</v>
      </c>
      <c r="F133" t="str">
        <v>https://re.jrc.ec.europa.eu/api/v5_3/PVcalc?lat=30.0444&amp;lon=31.2357&amp;peakpower=1&amp;loss=14&amp;angle=0&amp;aspect=-105&amp;outputformat=json&amp;raddatabase=PVGIS-SARAH3&amp;pvtechchoice=crystSi&amp;mountingplace=free&amp;usehorizon=1</v>
      </c>
    </row>
    <row r="134">
      <c r="A134" t="n">
        <v>0</v>
      </c>
      <c r="B134" t="n">
        <v>75</v>
      </c>
      <c r="C134" t="n">
        <v>5</v>
      </c>
      <c r="D134" s="218" t="n">
        <v>176.18</v>
      </c>
      <c r="E134" s="218" t="n">
        <v>5.68</v>
      </c>
      <c r="F134" t="str">
        <v>https://re.jrc.ec.europa.eu/api/v5_3/PVcalc?lat=30.0444&amp;lon=31.2357&amp;peakpower=1&amp;loss=14&amp;angle=0&amp;aspect=-105&amp;outputformat=json&amp;raddatabase=PVGIS-SARAH3&amp;pvtechchoice=crystSi&amp;mountingplace=free&amp;usehorizon=1</v>
      </c>
    </row>
    <row r="135">
      <c r="A135" t="n">
        <v>0</v>
      </c>
      <c r="B135" t="n">
        <v>75</v>
      </c>
      <c r="C135" t="n">
        <v>6</v>
      </c>
      <c r="D135" s="218" t="n">
        <v>181.03</v>
      </c>
      <c r="E135" s="218" t="n">
        <v>6.03</v>
      </c>
      <c r="F135" t="str">
        <v>https://re.jrc.ec.europa.eu/api/v5_3/PVcalc?lat=30.0444&amp;lon=31.2357&amp;peakpower=1&amp;loss=14&amp;angle=0&amp;aspect=-105&amp;outputformat=json&amp;raddatabase=PVGIS-SARAH3&amp;pvtechchoice=crystSi&amp;mountingplace=free&amp;usehorizon=1</v>
      </c>
    </row>
    <row r="136">
      <c r="A136" t="n">
        <v>0</v>
      </c>
      <c r="B136" t="n">
        <v>75</v>
      </c>
      <c r="C136" t="n">
        <v>7</v>
      </c>
      <c r="D136" s="218" t="n">
        <v>183.54</v>
      </c>
      <c r="E136" s="218" t="n">
        <v>5.92</v>
      </c>
      <c r="F136" t="str">
        <v>https://re.jrc.ec.europa.eu/api/v5_3/PVcalc?lat=30.0444&amp;lon=31.2357&amp;peakpower=1&amp;loss=14&amp;angle=0&amp;aspect=-105&amp;outputformat=json&amp;raddatabase=PVGIS-SARAH3&amp;pvtechchoice=crystSi&amp;mountingplace=free&amp;usehorizon=1</v>
      </c>
    </row>
    <row r="137">
      <c r="A137" t="n">
        <v>0</v>
      </c>
      <c r="B137" t="n">
        <v>75</v>
      </c>
      <c r="C137" t="n">
        <v>8</v>
      </c>
      <c r="D137" s="218" t="n">
        <v>170.73</v>
      </c>
      <c r="E137" s="218" t="n">
        <v>5.51</v>
      </c>
      <c r="F137" t="str">
        <v>https://re.jrc.ec.europa.eu/api/v5_3/PVcalc?lat=30.0444&amp;lon=31.2357&amp;peakpower=1&amp;loss=14&amp;angle=0&amp;aspect=-105&amp;outputformat=json&amp;raddatabase=PVGIS-SARAH3&amp;pvtechchoice=crystSi&amp;mountingplace=free&amp;usehorizon=1</v>
      </c>
    </row>
    <row r="138">
      <c r="A138" t="n">
        <v>0</v>
      </c>
      <c r="B138" t="n">
        <v>75</v>
      </c>
      <c r="C138" t="n">
        <v>9</v>
      </c>
      <c r="D138" s="218" t="n">
        <v>146.05</v>
      </c>
      <c r="E138" s="218" t="n">
        <v>4.87</v>
      </c>
      <c r="F138" t="str">
        <v>https://re.jrc.ec.europa.eu/api/v5_3/PVcalc?lat=30.0444&amp;lon=31.2357&amp;peakpower=1&amp;loss=14&amp;angle=0&amp;aspect=-105&amp;outputformat=json&amp;raddatabase=PVGIS-SARAH3&amp;pvtechchoice=crystSi&amp;mountingplace=free&amp;usehorizon=1</v>
      </c>
    </row>
    <row r="139">
      <c r="A139" t="n">
        <v>0</v>
      </c>
      <c r="B139" t="n">
        <v>75</v>
      </c>
      <c r="C139" t="n">
        <v>10</v>
      </c>
      <c r="D139" s="218" t="n">
        <v>122.34</v>
      </c>
      <c r="E139" s="218" t="n">
        <v>3.95</v>
      </c>
      <c r="F139" t="str">
        <v>https://re.jrc.ec.europa.eu/api/v5_3/PVcalc?lat=30.0444&amp;lon=31.2357&amp;peakpower=1&amp;loss=14&amp;angle=0&amp;aspect=-105&amp;outputformat=json&amp;raddatabase=PVGIS-SARAH3&amp;pvtechchoice=crystSi&amp;mountingplace=free&amp;usehorizon=1</v>
      </c>
    </row>
    <row r="140">
      <c r="A140" t="n">
        <v>0</v>
      </c>
      <c r="B140" t="n">
        <v>75</v>
      </c>
      <c r="C140" t="n">
        <v>11</v>
      </c>
      <c r="D140" s="218" t="n">
        <v>94.5</v>
      </c>
      <c r="E140" s="218" t="n">
        <v>3.15</v>
      </c>
      <c r="F140" t="str">
        <v>https://re.jrc.ec.europa.eu/api/v5_3/PVcalc?lat=30.0444&amp;lon=31.2357&amp;peakpower=1&amp;loss=14&amp;angle=0&amp;aspect=-105&amp;outputformat=json&amp;raddatabase=PVGIS-SARAH3&amp;pvtechchoice=crystSi&amp;mountingplace=free&amp;usehorizon=1</v>
      </c>
    </row>
    <row r="141">
      <c r="A141" t="n">
        <v>0</v>
      </c>
      <c r="B141" t="n">
        <v>75</v>
      </c>
      <c r="C141" t="n">
        <v>12</v>
      </c>
      <c r="D141" s="218" t="n">
        <v>83.98</v>
      </c>
      <c r="E141" s="218" t="n">
        <v>2.71</v>
      </c>
      <c r="F141" t="str">
        <v>https://re.jrc.ec.europa.eu/api/v5_3/PVcalc?lat=30.0444&amp;lon=31.2357&amp;peakpower=1&amp;loss=14&amp;angle=0&amp;aspect=-105&amp;outputformat=json&amp;raddatabase=PVGIS-SARAH3&amp;pvtechchoice=crystSi&amp;mountingplace=free&amp;usehorizon=1</v>
      </c>
    </row>
    <row r="142">
      <c r="A142" t="n">
        <v>0</v>
      </c>
      <c r="B142" t="n">
        <v>90</v>
      </c>
      <c r="C142" t="n">
        <v>1</v>
      </c>
      <c r="D142" s="218" t="n">
        <v>88.85</v>
      </c>
      <c r="E142" s="218" t="n">
        <v>2.87</v>
      </c>
      <c r="F142" t="str">
        <v>https://re.jrc.ec.europa.eu/api/v5_3/PVcalc?lat=30.0444&amp;lon=31.2357&amp;peakpower=1&amp;loss=14&amp;angle=0&amp;aspect=-90&amp;outputformat=json&amp;raddatabase=PVGIS-SARAH3&amp;pvtechchoice=crystSi&amp;mountingplace=free&amp;usehorizon=1</v>
      </c>
    </row>
    <row r="143">
      <c r="A143" t="n">
        <v>0</v>
      </c>
      <c r="B143" t="n">
        <v>90</v>
      </c>
      <c r="C143" t="n">
        <v>2</v>
      </c>
      <c r="D143" s="218" t="n">
        <v>98.94</v>
      </c>
      <c r="E143" s="218" t="n">
        <v>3.53</v>
      </c>
      <c r="F143" t="str">
        <v>https://re.jrc.ec.europa.eu/api/v5_3/PVcalc?lat=30.0444&amp;lon=31.2357&amp;peakpower=1&amp;loss=14&amp;angle=0&amp;aspect=-90&amp;outputformat=json&amp;raddatabase=PVGIS-SARAH3&amp;pvtechchoice=crystSi&amp;mountingplace=free&amp;usehorizon=1</v>
      </c>
    </row>
    <row r="144">
      <c r="A144" t="n">
        <v>0</v>
      </c>
      <c r="B144" t="n">
        <v>90</v>
      </c>
      <c r="C144" t="n">
        <v>3</v>
      </c>
      <c r="D144" s="218" t="n">
        <v>139.85</v>
      </c>
      <c r="E144" s="218" t="n">
        <v>4.51</v>
      </c>
      <c r="F144" t="str">
        <v>https://re.jrc.ec.europa.eu/api/v5_3/PVcalc?lat=30.0444&amp;lon=31.2357&amp;peakpower=1&amp;loss=14&amp;angle=0&amp;aspect=-90&amp;outputformat=json&amp;raddatabase=PVGIS-SARAH3&amp;pvtechchoice=crystSi&amp;mountingplace=free&amp;usehorizon=1</v>
      </c>
    </row>
    <row r="145">
      <c r="A145" t="n">
        <v>0</v>
      </c>
      <c r="B145" t="n">
        <v>90</v>
      </c>
      <c r="C145" t="n">
        <v>4</v>
      </c>
      <c r="D145" s="218" t="n">
        <v>158.15</v>
      </c>
      <c r="E145" s="218" t="n">
        <v>5.27</v>
      </c>
      <c r="F145" t="str">
        <v>https://re.jrc.ec.europa.eu/api/v5_3/PVcalc?lat=30.0444&amp;lon=31.2357&amp;peakpower=1&amp;loss=14&amp;angle=0&amp;aspect=-90&amp;outputformat=json&amp;raddatabase=PVGIS-SARAH3&amp;pvtechchoice=crystSi&amp;mountingplace=free&amp;usehorizon=1</v>
      </c>
    </row>
    <row r="146">
      <c r="A146" t="n">
        <v>0</v>
      </c>
      <c r="B146" t="n">
        <v>90</v>
      </c>
      <c r="C146" t="n">
        <v>5</v>
      </c>
      <c r="D146" s="218" t="n">
        <v>176.18</v>
      </c>
      <c r="E146" s="218" t="n">
        <v>5.68</v>
      </c>
      <c r="F146" t="str">
        <v>https://re.jrc.ec.europa.eu/api/v5_3/PVcalc?lat=30.0444&amp;lon=31.2357&amp;peakpower=1&amp;loss=14&amp;angle=0&amp;aspect=-90&amp;outputformat=json&amp;raddatabase=PVGIS-SARAH3&amp;pvtechchoice=crystSi&amp;mountingplace=free&amp;usehorizon=1</v>
      </c>
    </row>
    <row r="147">
      <c r="A147" t="n">
        <v>0</v>
      </c>
      <c r="B147" t="n">
        <v>90</v>
      </c>
      <c r="C147" t="n">
        <v>6</v>
      </c>
      <c r="D147" s="218" t="n">
        <v>181.03</v>
      </c>
      <c r="E147" s="218" t="n">
        <v>6.03</v>
      </c>
      <c r="F147" t="str">
        <v>https://re.jrc.ec.europa.eu/api/v5_3/PVcalc?lat=30.0444&amp;lon=31.2357&amp;peakpower=1&amp;loss=14&amp;angle=0&amp;aspect=-90&amp;outputformat=json&amp;raddatabase=PVGIS-SARAH3&amp;pvtechchoice=crystSi&amp;mountingplace=free&amp;usehorizon=1</v>
      </c>
    </row>
    <row r="148">
      <c r="A148" t="n">
        <v>0</v>
      </c>
      <c r="B148" t="n">
        <v>90</v>
      </c>
      <c r="C148" t="n">
        <v>7</v>
      </c>
      <c r="D148" s="218" t="n">
        <v>183.54</v>
      </c>
      <c r="E148" s="218" t="n">
        <v>5.92</v>
      </c>
      <c r="F148" t="str">
        <v>https://re.jrc.ec.europa.eu/api/v5_3/PVcalc?lat=30.0444&amp;lon=31.2357&amp;peakpower=1&amp;loss=14&amp;angle=0&amp;aspect=-90&amp;outputformat=json&amp;raddatabase=PVGIS-SARAH3&amp;pvtechchoice=crystSi&amp;mountingplace=free&amp;usehorizon=1</v>
      </c>
    </row>
    <row r="149">
      <c r="A149" t="n">
        <v>0</v>
      </c>
      <c r="B149" t="n">
        <v>90</v>
      </c>
      <c r="C149" t="n">
        <v>8</v>
      </c>
      <c r="D149" s="218" t="n">
        <v>170.73</v>
      </c>
      <c r="E149" s="218" t="n">
        <v>5.51</v>
      </c>
      <c r="F149" t="str">
        <v>https://re.jrc.ec.europa.eu/api/v5_3/PVcalc?lat=30.0444&amp;lon=31.2357&amp;peakpower=1&amp;loss=14&amp;angle=0&amp;aspect=-90&amp;outputformat=json&amp;raddatabase=PVGIS-SARAH3&amp;pvtechchoice=crystSi&amp;mountingplace=free&amp;usehorizon=1</v>
      </c>
    </row>
    <row r="150">
      <c r="A150" t="n">
        <v>0</v>
      </c>
      <c r="B150" t="n">
        <v>90</v>
      </c>
      <c r="C150" t="n">
        <v>9</v>
      </c>
      <c r="D150" s="218" t="n">
        <v>146.05</v>
      </c>
      <c r="E150" s="218" t="n">
        <v>4.87</v>
      </c>
      <c r="F150" t="str">
        <v>https://re.jrc.ec.europa.eu/api/v5_3/PVcalc?lat=30.0444&amp;lon=31.2357&amp;peakpower=1&amp;loss=14&amp;angle=0&amp;aspect=-90&amp;outputformat=json&amp;raddatabase=PVGIS-SARAH3&amp;pvtechchoice=crystSi&amp;mountingplace=free&amp;usehorizon=1</v>
      </c>
    </row>
    <row r="151">
      <c r="A151" t="n">
        <v>0</v>
      </c>
      <c r="B151" t="n">
        <v>90</v>
      </c>
      <c r="C151" t="n">
        <v>10</v>
      </c>
      <c r="D151" s="218" t="n">
        <v>122.34</v>
      </c>
      <c r="E151" s="218" t="n">
        <v>3.95</v>
      </c>
      <c r="F151" t="str">
        <v>https://re.jrc.ec.europa.eu/api/v5_3/PVcalc?lat=30.0444&amp;lon=31.2357&amp;peakpower=1&amp;loss=14&amp;angle=0&amp;aspect=-90&amp;outputformat=json&amp;raddatabase=PVGIS-SARAH3&amp;pvtechchoice=crystSi&amp;mountingplace=free&amp;usehorizon=1</v>
      </c>
    </row>
    <row r="152">
      <c r="A152" t="n">
        <v>0</v>
      </c>
      <c r="B152" t="n">
        <v>90</v>
      </c>
      <c r="C152" t="n">
        <v>11</v>
      </c>
      <c r="D152" s="218" t="n">
        <v>94.5</v>
      </c>
      <c r="E152" s="218" t="n">
        <v>3.15</v>
      </c>
      <c r="F152" t="str">
        <v>https://re.jrc.ec.europa.eu/api/v5_3/PVcalc?lat=30.0444&amp;lon=31.2357&amp;peakpower=1&amp;loss=14&amp;angle=0&amp;aspect=-90&amp;outputformat=json&amp;raddatabase=PVGIS-SARAH3&amp;pvtechchoice=crystSi&amp;mountingplace=free&amp;usehorizon=1</v>
      </c>
    </row>
    <row r="153">
      <c r="A153" t="n">
        <v>0</v>
      </c>
      <c r="B153" t="n">
        <v>90</v>
      </c>
      <c r="C153" t="n">
        <v>12</v>
      </c>
      <c r="D153" s="218" t="n">
        <v>83.99</v>
      </c>
      <c r="E153" s="218" t="n">
        <v>2.71</v>
      </c>
      <c r="F153" t="str">
        <v>https://re.jrc.ec.europa.eu/api/v5_3/PVcalc?lat=30.0444&amp;lon=31.2357&amp;peakpower=1&amp;loss=14&amp;angle=0&amp;aspect=-90&amp;outputformat=json&amp;raddatabase=PVGIS-SARAH3&amp;pvtechchoice=crystSi&amp;mountingplace=free&amp;usehorizon=1</v>
      </c>
    </row>
    <row r="154">
      <c r="A154" t="n">
        <v>0</v>
      </c>
      <c r="B154" t="n">
        <v>105</v>
      </c>
      <c r="C154" t="n">
        <v>1</v>
      </c>
      <c r="D154" s="218" t="n">
        <v>88.85</v>
      </c>
      <c r="E154" s="218" t="n">
        <v>2.87</v>
      </c>
      <c r="F154" t="str">
        <v>https://re.jrc.ec.europa.eu/api/v5_3/PVcalc?lat=30.0444&amp;lon=31.2357&amp;peakpower=1&amp;loss=14&amp;angle=0&amp;aspect=-75&amp;outputformat=json&amp;raddatabase=PVGIS-SARAH3&amp;pvtechchoice=crystSi&amp;mountingplace=free&amp;usehorizon=1</v>
      </c>
    </row>
    <row r="155">
      <c r="A155" t="n">
        <v>0</v>
      </c>
      <c r="B155" t="n">
        <v>105</v>
      </c>
      <c r="C155" t="n">
        <v>2</v>
      </c>
      <c r="D155" s="218" t="n">
        <v>98.95</v>
      </c>
      <c r="E155" s="218" t="n">
        <v>3.53</v>
      </c>
      <c r="F155" t="str">
        <v>https://re.jrc.ec.europa.eu/api/v5_3/PVcalc?lat=30.0444&amp;lon=31.2357&amp;peakpower=1&amp;loss=14&amp;angle=0&amp;aspect=-75&amp;outputformat=json&amp;raddatabase=PVGIS-SARAH3&amp;pvtechchoice=crystSi&amp;mountingplace=free&amp;usehorizon=1</v>
      </c>
    </row>
    <row r="156">
      <c r="A156" t="n">
        <v>0</v>
      </c>
      <c r="B156" t="n">
        <v>105</v>
      </c>
      <c r="C156" t="n">
        <v>3</v>
      </c>
      <c r="D156" s="218" t="n">
        <v>139.85</v>
      </c>
      <c r="E156" s="218" t="n">
        <v>4.51</v>
      </c>
      <c r="F156" t="str">
        <v>https://re.jrc.ec.europa.eu/api/v5_3/PVcalc?lat=30.0444&amp;lon=31.2357&amp;peakpower=1&amp;loss=14&amp;angle=0&amp;aspect=-75&amp;outputformat=json&amp;raddatabase=PVGIS-SARAH3&amp;pvtechchoice=crystSi&amp;mountingplace=free&amp;usehorizon=1</v>
      </c>
    </row>
    <row r="157">
      <c r="A157" t="n">
        <v>0</v>
      </c>
      <c r="B157" t="n">
        <v>105</v>
      </c>
      <c r="C157" t="n">
        <v>4</v>
      </c>
      <c r="D157" s="218" t="n">
        <v>158.15</v>
      </c>
      <c r="E157" s="218" t="n">
        <v>5.27</v>
      </c>
      <c r="F157" t="str">
        <v>https://re.jrc.ec.europa.eu/api/v5_3/PVcalc?lat=30.0444&amp;lon=31.2357&amp;peakpower=1&amp;loss=14&amp;angle=0&amp;aspect=-75&amp;outputformat=json&amp;raddatabase=PVGIS-SARAH3&amp;pvtechchoice=crystSi&amp;mountingplace=free&amp;usehorizon=1</v>
      </c>
    </row>
    <row r="158">
      <c r="A158" t="n">
        <v>0</v>
      </c>
      <c r="B158" t="n">
        <v>105</v>
      </c>
      <c r="C158" t="n">
        <v>5</v>
      </c>
      <c r="D158" s="218" t="n">
        <v>176.18</v>
      </c>
      <c r="E158" s="218" t="n">
        <v>5.68</v>
      </c>
      <c r="F158" t="str">
        <v>https://re.jrc.ec.europa.eu/api/v5_3/PVcalc?lat=30.0444&amp;lon=31.2357&amp;peakpower=1&amp;loss=14&amp;angle=0&amp;aspect=-75&amp;outputformat=json&amp;raddatabase=PVGIS-SARAH3&amp;pvtechchoice=crystSi&amp;mountingplace=free&amp;usehorizon=1</v>
      </c>
    </row>
    <row r="159">
      <c r="A159" t="n">
        <v>0</v>
      </c>
      <c r="B159" t="n">
        <v>105</v>
      </c>
      <c r="C159" t="n">
        <v>6</v>
      </c>
      <c r="D159" s="218" t="n">
        <v>181.03</v>
      </c>
      <c r="E159" s="218" t="n">
        <v>6.03</v>
      </c>
      <c r="F159" t="str">
        <v>https://re.jrc.ec.europa.eu/api/v5_3/PVcalc?lat=30.0444&amp;lon=31.2357&amp;peakpower=1&amp;loss=14&amp;angle=0&amp;aspect=-75&amp;outputformat=json&amp;raddatabase=PVGIS-SARAH3&amp;pvtechchoice=crystSi&amp;mountingplace=free&amp;usehorizon=1</v>
      </c>
    </row>
    <row r="160">
      <c r="A160" t="n">
        <v>0</v>
      </c>
      <c r="B160" t="n">
        <v>105</v>
      </c>
      <c r="C160" t="n">
        <v>7</v>
      </c>
      <c r="D160" s="218" t="n">
        <v>183.54</v>
      </c>
      <c r="E160" s="218" t="n">
        <v>5.92</v>
      </c>
      <c r="F160" t="str">
        <v>https://re.jrc.ec.europa.eu/api/v5_3/PVcalc?lat=30.0444&amp;lon=31.2357&amp;peakpower=1&amp;loss=14&amp;angle=0&amp;aspect=-75&amp;outputformat=json&amp;raddatabase=PVGIS-SARAH3&amp;pvtechchoice=crystSi&amp;mountingplace=free&amp;usehorizon=1</v>
      </c>
    </row>
    <row r="161">
      <c r="A161" t="n">
        <v>0</v>
      </c>
      <c r="B161" t="n">
        <v>105</v>
      </c>
      <c r="C161" t="n">
        <v>8</v>
      </c>
      <c r="D161" s="218" t="n">
        <v>170.73</v>
      </c>
      <c r="E161" s="218" t="n">
        <v>5.51</v>
      </c>
      <c r="F161" t="str">
        <v>https://re.jrc.ec.europa.eu/api/v5_3/PVcalc?lat=30.0444&amp;lon=31.2357&amp;peakpower=1&amp;loss=14&amp;angle=0&amp;aspect=-75&amp;outputformat=json&amp;raddatabase=PVGIS-SARAH3&amp;pvtechchoice=crystSi&amp;mountingplace=free&amp;usehorizon=1</v>
      </c>
    </row>
    <row r="162">
      <c r="A162" t="n">
        <v>0</v>
      </c>
      <c r="B162" t="n">
        <v>105</v>
      </c>
      <c r="C162" t="n">
        <v>9</v>
      </c>
      <c r="D162" s="218" t="n">
        <v>146.05</v>
      </c>
      <c r="E162" s="218" t="n">
        <v>4.87</v>
      </c>
      <c r="F162" t="str">
        <v>https://re.jrc.ec.europa.eu/api/v5_3/PVcalc?lat=30.0444&amp;lon=31.2357&amp;peakpower=1&amp;loss=14&amp;angle=0&amp;aspect=-75&amp;outputformat=json&amp;raddatabase=PVGIS-SARAH3&amp;pvtechchoice=crystSi&amp;mountingplace=free&amp;usehorizon=1</v>
      </c>
    </row>
    <row r="163">
      <c r="A163" t="n">
        <v>0</v>
      </c>
      <c r="B163" t="n">
        <v>105</v>
      </c>
      <c r="C163" t="n">
        <v>10</v>
      </c>
      <c r="D163" s="218" t="n">
        <v>122.34</v>
      </c>
      <c r="E163" s="218" t="n">
        <v>3.95</v>
      </c>
      <c r="F163" t="str">
        <v>https://re.jrc.ec.europa.eu/api/v5_3/PVcalc?lat=30.0444&amp;lon=31.2357&amp;peakpower=1&amp;loss=14&amp;angle=0&amp;aspect=-75&amp;outputformat=json&amp;raddatabase=PVGIS-SARAH3&amp;pvtechchoice=crystSi&amp;mountingplace=free&amp;usehorizon=1</v>
      </c>
    </row>
    <row r="164">
      <c r="A164" t="n">
        <v>0</v>
      </c>
      <c r="B164" t="n">
        <v>105</v>
      </c>
      <c r="C164" t="n">
        <v>11</v>
      </c>
      <c r="D164" s="218" t="n">
        <v>94.5</v>
      </c>
      <c r="E164" s="218" t="n">
        <v>3.15</v>
      </c>
      <c r="F164" t="str">
        <v>https://re.jrc.ec.europa.eu/api/v5_3/PVcalc?lat=30.0444&amp;lon=31.2357&amp;peakpower=1&amp;loss=14&amp;angle=0&amp;aspect=-75&amp;outputformat=json&amp;raddatabase=PVGIS-SARAH3&amp;pvtechchoice=crystSi&amp;mountingplace=free&amp;usehorizon=1</v>
      </c>
    </row>
    <row r="165">
      <c r="A165" t="n">
        <v>0</v>
      </c>
      <c r="B165" t="n">
        <v>105</v>
      </c>
      <c r="C165" t="n">
        <v>12</v>
      </c>
      <c r="D165" s="218" t="n">
        <v>83.99</v>
      </c>
      <c r="E165" s="218" t="n">
        <v>2.71</v>
      </c>
      <c r="F165" t="str">
        <v>https://re.jrc.ec.europa.eu/api/v5_3/PVcalc?lat=30.0444&amp;lon=31.2357&amp;peakpower=1&amp;loss=14&amp;angle=0&amp;aspect=-75&amp;outputformat=json&amp;raddatabase=PVGIS-SARAH3&amp;pvtechchoice=crystSi&amp;mountingplace=free&amp;usehorizon=1</v>
      </c>
    </row>
    <row r="166">
      <c r="A166" t="n">
        <v>0</v>
      </c>
      <c r="B166" t="n">
        <v>120</v>
      </c>
      <c r="C166" t="n">
        <v>1</v>
      </c>
      <c r="D166" s="218" t="n">
        <v>88.85</v>
      </c>
      <c r="E166" s="218" t="n">
        <v>2.87</v>
      </c>
      <c r="F166" t="str">
        <v>https://re.jrc.ec.europa.eu/api/v5_3/PVcalc?lat=30.0444&amp;lon=31.2357&amp;peakpower=1&amp;loss=14&amp;angle=0&amp;aspect=-60&amp;outputformat=json&amp;raddatabase=PVGIS-SARAH3&amp;pvtechchoice=crystSi&amp;mountingplace=free&amp;usehorizon=1</v>
      </c>
    </row>
    <row r="167">
      <c r="A167" t="n">
        <v>0</v>
      </c>
      <c r="B167" t="n">
        <v>120</v>
      </c>
      <c r="C167" t="n">
        <v>2</v>
      </c>
      <c r="D167" s="218" t="n">
        <v>98.95</v>
      </c>
      <c r="E167" s="218" t="n">
        <v>3.53</v>
      </c>
      <c r="F167" t="str">
        <v>https://re.jrc.ec.europa.eu/api/v5_3/PVcalc?lat=30.0444&amp;lon=31.2357&amp;peakpower=1&amp;loss=14&amp;angle=0&amp;aspect=-60&amp;outputformat=json&amp;raddatabase=PVGIS-SARAH3&amp;pvtechchoice=crystSi&amp;mountingplace=free&amp;usehorizon=1</v>
      </c>
    </row>
    <row r="168">
      <c r="A168" t="n">
        <v>0</v>
      </c>
      <c r="B168" t="n">
        <v>120</v>
      </c>
      <c r="C168" t="n">
        <v>3</v>
      </c>
      <c r="D168" s="218" t="n">
        <v>139.85</v>
      </c>
      <c r="E168" s="218" t="n">
        <v>4.51</v>
      </c>
      <c r="F168" t="str">
        <v>https://re.jrc.ec.europa.eu/api/v5_3/PVcalc?lat=30.0444&amp;lon=31.2357&amp;peakpower=1&amp;loss=14&amp;angle=0&amp;aspect=-60&amp;outputformat=json&amp;raddatabase=PVGIS-SARAH3&amp;pvtechchoice=crystSi&amp;mountingplace=free&amp;usehorizon=1</v>
      </c>
    </row>
    <row r="169">
      <c r="A169" t="n">
        <v>0</v>
      </c>
      <c r="B169" t="n">
        <v>120</v>
      </c>
      <c r="C169" t="n">
        <v>4</v>
      </c>
      <c r="D169" s="218" t="n">
        <v>158.15</v>
      </c>
      <c r="E169" s="218" t="n">
        <v>5.27</v>
      </c>
      <c r="F169" t="str">
        <v>https://re.jrc.ec.europa.eu/api/v5_3/PVcalc?lat=30.0444&amp;lon=31.2357&amp;peakpower=1&amp;loss=14&amp;angle=0&amp;aspect=-60&amp;outputformat=json&amp;raddatabase=PVGIS-SARAH3&amp;pvtechchoice=crystSi&amp;mountingplace=free&amp;usehorizon=1</v>
      </c>
    </row>
    <row r="170">
      <c r="A170" t="n">
        <v>0</v>
      </c>
      <c r="B170" t="n">
        <v>120</v>
      </c>
      <c r="C170" t="n">
        <v>5</v>
      </c>
      <c r="D170" s="218" t="n">
        <v>176.18</v>
      </c>
      <c r="E170" s="218" t="n">
        <v>5.68</v>
      </c>
      <c r="F170" t="str">
        <v>https://re.jrc.ec.europa.eu/api/v5_3/PVcalc?lat=30.0444&amp;lon=31.2357&amp;peakpower=1&amp;loss=14&amp;angle=0&amp;aspect=-60&amp;outputformat=json&amp;raddatabase=PVGIS-SARAH3&amp;pvtechchoice=crystSi&amp;mountingplace=free&amp;usehorizon=1</v>
      </c>
    </row>
    <row r="171">
      <c r="A171" t="n">
        <v>0</v>
      </c>
      <c r="B171" t="n">
        <v>120</v>
      </c>
      <c r="C171" t="n">
        <v>6</v>
      </c>
      <c r="D171" s="218" t="n">
        <v>181.03</v>
      </c>
      <c r="E171" s="218" t="n">
        <v>6.03</v>
      </c>
      <c r="F171" t="str">
        <v>https://re.jrc.ec.europa.eu/api/v5_3/PVcalc?lat=30.0444&amp;lon=31.2357&amp;peakpower=1&amp;loss=14&amp;angle=0&amp;aspect=-60&amp;outputformat=json&amp;raddatabase=PVGIS-SARAH3&amp;pvtechchoice=crystSi&amp;mountingplace=free&amp;usehorizon=1</v>
      </c>
    </row>
    <row r="172">
      <c r="A172" t="n">
        <v>0</v>
      </c>
      <c r="B172" t="n">
        <v>120</v>
      </c>
      <c r="C172" t="n">
        <v>7</v>
      </c>
      <c r="D172" s="218" t="n">
        <v>183.54</v>
      </c>
      <c r="E172" s="218" t="n">
        <v>5.92</v>
      </c>
      <c r="F172" t="str">
        <v>https://re.jrc.ec.europa.eu/api/v5_3/PVcalc?lat=30.0444&amp;lon=31.2357&amp;peakpower=1&amp;loss=14&amp;angle=0&amp;aspect=-60&amp;outputformat=json&amp;raddatabase=PVGIS-SARAH3&amp;pvtechchoice=crystSi&amp;mountingplace=free&amp;usehorizon=1</v>
      </c>
    </row>
    <row r="173">
      <c r="A173" t="n">
        <v>0</v>
      </c>
      <c r="B173" t="n">
        <v>120</v>
      </c>
      <c r="C173" t="n">
        <v>8</v>
      </c>
      <c r="D173" s="218" t="n">
        <v>170.74</v>
      </c>
      <c r="E173" s="218" t="n">
        <v>5.51</v>
      </c>
      <c r="F173" t="str">
        <v>https://re.jrc.ec.europa.eu/api/v5_3/PVcalc?lat=30.0444&amp;lon=31.2357&amp;peakpower=1&amp;loss=14&amp;angle=0&amp;aspect=-60&amp;outputformat=json&amp;raddatabase=PVGIS-SARAH3&amp;pvtechchoice=crystSi&amp;mountingplace=free&amp;usehorizon=1</v>
      </c>
    </row>
    <row r="174">
      <c r="A174" t="n">
        <v>0</v>
      </c>
      <c r="B174" t="n">
        <v>120</v>
      </c>
      <c r="C174" t="n">
        <v>9</v>
      </c>
      <c r="D174" s="218" t="n">
        <v>146.06</v>
      </c>
      <c r="E174" s="218" t="n">
        <v>4.87</v>
      </c>
      <c r="F174" t="str">
        <v>https://re.jrc.ec.europa.eu/api/v5_3/PVcalc?lat=30.0444&amp;lon=31.2357&amp;peakpower=1&amp;loss=14&amp;angle=0&amp;aspect=-60&amp;outputformat=json&amp;raddatabase=PVGIS-SARAH3&amp;pvtechchoice=crystSi&amp;mountingplace=free&amp;usehorizon=1</v>
      </c>
    </row>
    <row r="175">
      <c r="A175" t="n">
        <v>0</v>
      </c>
      <c r="B175" t="n">
        <v>120</v>
      </c>
      <c r="C175" t="n">
        <v>10</v>
      </c>
      <c r="D175" s="218" t="n">
        <v>122.34</v>
      </c>
      <c r="E175" s="218" t="n">
        <v>3.95</v>
      </c>
      <c r="F175" t="str">
        <v>https://re.jrc.ec.europa.eu/api/v5_3/PVcalc?lat=30.0444&amp;lon=31.2357&amp;peakpower=1&amp;loss=14&amp;angle=0&amp;aspect=-60&amp;outputformat=json&amp;raddatabase=PVGIS-SARAH3&amp;pvtechchoice=crystSi&amp;mountingplace=free&amp;usehorizon=1</v>
      </c>
    </row>
    <row r="176">
      <c r="A176" t="n">
        <v>0</v>
      </c>
      <c r="B176" t="n">
        <v>120</v>
      </c>
      <c r="C176" t="n">
        <v>11</v>
      </c>
      <c r="D176" s="218" t="n">
        <v>94.5</v>
      </c>
      <c r="E176" s="218" t="n">
        <v>3.15</v>
      </c>
      <c r="F176" t="str">
        <v>https://re.jrc.ec.europa.eu/api/v5_3/PVcalc?lat=30.0444&amp;lon=31.2357&amp;peakpower=1&amp;loss=14&amp;angle=0&amp;aspect=-60&amp;outputformat=json&amp;raddatabase=PVGIS-SARAH3&amp;pvtechchoice=crystSi&amp;mountingplace=free&amp;usehorizon=1</v>
      </c>
    </row>
    <row r="177">
      <c r="A177" t="n">
        <v>0</v>
      </c>
      <c r="B177" t="n">
        <v>120</v>
      </c>
      <c r="C177" t="n">
        <v>12</v>
      </c>
      <c r="D177" s="218" t="n">
        <v>83.99</v>
      </c>
      <c r="E177" s="218" t="n">
        <v>2.71</v>
      </c>
      <c r="F177" t="str">
        <v>https://re.jrc.ec.europa.eu/api/v5_3/PVcalc?lat=30.0444&amp;lon=31.2357&amp;peakpower=1&amp;loss=14&amp;angle=0&amp;aspect=-60&amp;outputformat=json&amp;raddatabase=PVGIS-SARAH3&amp;pvtechchoice=crystSi&amp;mountingplace=free&amp;usehorizon=1</v>
      </c>
    </row>
    <row r="178">
      <c r="A178" t="n">
        <v>0</v>
      </c>
      <c r="B178" t="n">
        <v>135</v>
      </c>
      <c r="C178" t="n">
        <v>1</v>
      </c>
      <c r="D178" s="218" t="n">
        <v>88.85</v>
      </c>
      <c r="E178" s="218" t="n">
        <v>2.87</v>
      </c>
      <c r="F178" t="str">
        <v>https://re.jrc.ec.europa.eu/api/v5_3/PVcalc?lat=30.0444&amp;lon=31.2357&amp;peakpower=1&amp;loss=14&amp;angle=0&amp;aspect=-45&amp;outputformat=json&amp;raddatabase=PVGIS-SARAH3&amp;pvtechchoice=crystSi&amp;mountingplace=free&amp;usehorizon=1</v>
      </c>
    </row>
    <row r="179">
      <c r="A179" t="n">
        <v>0</v>
      </c>
      <c r="B179" t="n">
        <v>135</v>
      </c>
      <c r="C179" t="n">
        <v>2</v>
      </c>
      <c r="D179" s="218" t="n">
        <v>98.95</v>
      </c>
      <c r="E179" s="218" t="n">
        <v>3.53</v>
      </c>
      <c r="F179" t="str">
        <v>https://re.jrc.ec.europa.eu/api/v5_3/PVcalc?lat=30.0444&amp;lon=31.2357&amp;peakpower=1&amp;loss=14&amp;angle=0&amp;aspect=-45&amp;outputformat=json&amp;raddatabase=PVGIS-SARAH3&amp;pvtechchoice=crystSi&amp;mountingplace=free&amp;usehorizon=1</v>
      </c>
    </row>
    <row r="180">
      <c r="A180" t="n">
        <v>0</v>
      </c>
      <c r="B180" t="n">
        <v>135</v>
      </c>
      <c r="C180" t="n">
        <v>3</v>
      </c>
      <c r="D180" s="218" t="n">
        <v>139.85</v>
      </c>
      <c r="E180" s="218" t="n">
        <v>4.51</v>
      </c>
      <c r="F180" t="str">
        <v>https://re.jrc.ec.europa.eu/api/v5_3/PVcalc?lat=30.0444&amp;lon=31.2357&amp;peakpower=1&amp;loss=14&amp;angle=0&amp;aspect=-45&amp;outputformat=json&amp;raddatabase=PVGIS-SARAH3&amp;pvtechchoice=crystSi&amp;mountingplace=free&amp;usehorizon=1</v>
      </c>
    </row>
    <row r="181">
      <c r="A181" t="n">
        <v>0</v>
      </c>
      <c r="B181" t="n">
        <v>135</v>
      </c>
      <c r="C181" t="n">
        <v>4</v>
      </c>
      <c r="D181" s="218" t="n">
        <v>158.15</v>
      </c>
      <c r="E181" s="218" t="n">
        <v>5.27</v>
      </c>
      <c r="F181" t="str">
        <v>https://re.jrc.ec.europa.eu/api/v5_3/PVcalc?lat=30.0444&amp;lon=31.2357&amp;peakpower=1&amp;loss=14&amp;angle=0&amp;aspect=-45&amp;outputformat=json&amp;raddatabase=PVGIS-SARAH3&amp;pvtechchoice=crystSi&amp;mountingplace=free&amp;usehorizon=1</v>
      </c>
    </row>
    <row r="182">
      <c r="A182" t="n">
        <v>0</v>
      </c>
      <c r="B182" t="n">
        <v>135</v>
      </c>
      <c r="C182" t="n">
        <v>5</v>
      </c>
      <c r="D182" s="218" t="n">
        <v>176.18</v>
      </c>
      <c r="E182" s="218" t="n">
        <v>5.68</v>
      </c>
      <c r="F182" t="str">
        <v>https://re.jrc.ec.europa.eu/api/v5_3/PVcalc?lat=30.0444&amp;lon=31.2357&amp;peakpower=1&amp;loss=14&amp;angle=0&amp;aspect=-45&amp;outputformat=json&amp;raddatabase=PVGIS-SARAH3&amp;pvtechchoice=crystSi&amp;mountingplace=free&amp;usehorizon=1</v>
      </c>
    </row>
    <row r="183">
      <c r="A183" t="n">
        <v>0</v>
      </c>
      <c r="B183" t="n">
        <v>135</v>
      </c>
      <c r="C183" t="n">
        <v>6</v>
      </c>
      <c r="D183" s="218" t="n">
        <v>181.03</v>
      </c>
      <c r="E183" s="218" t="n">
        <v>6.03</v>
      </c>
      <c r="F183" t="str">
        <v>https://re.jrc.ec.europa.eu/api/v5_3/PVcalc?lat=30.0444&amp;lon=31.2357&amp;peakpower=1&amp;loss=14&amp;angle=0&amp;aspect=-45&amp;outputformat=json&amp;raddatabase=PVGIS-SARAH3&amp;pvtechchoice=crystSi&amp;mountingplace=free&amp;usehorizon=1</v>
      </c>
    </row>
    <row r="184">
      <c r="A184" t="n">
        <v>0</v>
      </c>
      <c r="B184" t="n">
        <v>135</v>
      </c>
      <c r="C184" t="n">
        <v>7</v>
      </c>
      <c r="D184" s="218" t="n">
        <v>183.54</v>
      </c>
      <c r="E184" s="218" t="n">
        <v>5.92</v>
      </c>
      <c r="F184" t="str">
        <v>https://re.jrc.ec.europa.eu/api/v5_3/PVcalc?lat=30.0444&amp;lon=31.2357&amp;peakpower=1&amp;loss=14&amp;angle=0&amp;aspect=-45&amp;outputformat=json&amp;raddatabase=PVGIS-SARAH3&amp;pvtechchoice=crystSi&amp;mountingplace=free&amp;usehorizon=1</v>
      </c>
    </row>
    <row r="185">
      <c r="A185" t="n">
        <v>0</v>
      </c>
      <c r="B185" t="n">
        <v>135</v>
      </c>
      <c r="C185" t="n">
        <v>8</v>
      </c>
      <c r="D185" s="218" t="n">
        <v>170.74</v>
      </c>
      <c r="E185" s="218" t="n">
        <v>5.51</v>
      </c>
      <c r="F185" t="str">
        <v>https://re.jrc.ec.europa.eu/api/v5_3/PVcalc?lat=30.0444&amp;lon=31.2357&amp;peakpower=1&amp;loss=14&amp;angle=0&amp;aspect=-45&amp;outputformat=json&amp;raddatabase=PVGIS-SARAH3&amp;pvtechchoice=crystSi&amp;mountingplace=free&amp;usehorizon=1</v>
      </c>
    </row>
    <row r="186">
      <c r="A186" t="n">
        <v>0</v>
      </c>
      <c r="B186" t="n">
        <v>135</v>
      </c>
      <c r="C186" t="n">
        <v>9</v>
      </c>
      <c r="D186" s="218" t="n">
        <v>146.06</v>
      </c>
      <c r="E186" s="218" t="n">
        <v>4.87</v>
      </c>
      <c r="F186" t="str">
        <v>https://re.jrc.ec.europa.eu/api/v5_3/PVcalc?lat=30.0444&amp;lon=31.2357&amp;peakpower=1&amp;loss=14&amp;angle=0&amp;aspect=-45&amp;outputformat=json&amp;raddatabase=PVGIS-SARAH3&amp;pvtechchoice=crystSi&amp;mountingplace=free&amp;usehorizon=1</v>
      </c>
    </row>
    <row r="187">
      <c r="A187" t="n">
        <v>0</v>
      </c>
      <c r="B187" t="n">
        <v>135</v>
      </c>
      <c r="C187" t="n">
        <v>10</v>
      </c>
      <c r="D187" s="218" t="n">
        <v>122.34</v>
      </c>
      <c r="E187" s="218" t="n">
        <v>3.95</v>
      </c>
      <c r="F187" t="str">
        <v>https://re.jrc.ec.europa.eu/api/v5_3/PVcalc?lat=30.0444&amp;lon=31.2357&amp;peakpower=1&amp;loss=14&amp;angle=0&amp;aspect=-45&amp;outputformat=json&amp;raddatabase=PVGIS-SARAH3&amp;pvtechchoice=crystSi&amp;mountingplace=free&amp;usehorizon=1</v>
      </c>
    </row>
    <row r="188">
      <c r="A188" t="n">
        <v>0</v>
      </c>
      <c r="B188" t="n">
        <v>135</v>
      </c>
      <c r="C188" t="n">
        <v>11</v>
      </c>
      <c r="D188" s="218" t="n">
        <v>94.5</v>
      </c>
      <c r="E188" s="218" t="n">
        <v>3.15</v>
      </c>
      <c r="F188" t="str">
        <v>https://re.jrc.ec.europa.eu/api/v5_3/PVcalc?lat=30.0444&amp;lon=31.2357&amp;peakpower=1&amp;loss=14&amp;angle=0&amp;aspect=-45&amp;outputformat=json&amp;raddatabase=PVGIS-SARAH3&amp;pvtechchoice=crystSi&amp;mountingplace=free&amp;usehorizon=1</v>
      </c>
    </row>
    <row r="189">
      <c r="A189" t="n">
        <v>0</v>
      </c>
      <c r="B189" t="n">
        <v>135</v>
      </c>
      <c r="C189" t="n">
        <v>12</v>
      </c>
      <c r="D189" s="218" t="n">
        <v>83.99</v>
      </c>
      <c r="E189" s="218" t="n">
        <v>2.71</v>
      </c>
      <c r="F189" t="str">
        <v>https://re.jrc.ec.europa.eu/api/v5_3/PVcalc?lat=30.0444&amp;lon=31.2357&amp;peakpower=1&amp;loss=14&amp;angle=0&amp;aspect=-45&amp;outputformat=json&amp;raddatabase=PVGIS-SARAH3&amp;pvtechchoice=crystSi&amp;mountingplace=free&amp;usehorizon=1</v>
      </c>
    </row>
    <row r="190">
      <c r="A190" t="n">
        <v>0</v>
      </c>
      <c r="B190" t="n">
        <v>150</v>
      </c>
      <c r="C190" t="n">
        <v>1</v>
      </c>
      <c r="D190" s="218" t="n">
        <v>88.85</v>
      </c>
      <c r="E190" s="218" t="n">
        <v>2.87</v>
      </c>
      <c r="F190" t="str">
        <v>https://re.jrc.ec.europa.eu/api/v5_3/PVcalc?lat=30.0444&amp;lon=31.2357&amp;peakpower=1&amp;loss=14&amp;angle=0&amp;aspect=-30&amp;outputformat=json&amp;raddatabase=PVGIS-SARAH3&amp;pvtechchoice=crystSi&amp;mountingplace=free&amp;usehorizon=1</v>
      </c>
    </row>
    <row r="191">
      <c r="A191" t="n">
        <v>0</v>
      </c>
      <c r="B191" t="n">
        <v>150</v>
      </c>
      <c r="C191" t="n">
        <v>2</v>
      </c>
      <c r="D191" s="218" t="n">
        <v>98.95</v>
      </c>
      <c r="E191" s="218" t="n">
        <v>3.53</v>
      </c>
      <c r="F191" t="str">
        <v>https://re.jrc.ec.europa.eu/api/v5_3/PVcalc?lat=30.0444&amp;lon=31.2357&amp;peakpower=1&amp;loss=14&amp;angle=0&amp;aspect=-30&amp;outputformat=json&amp;raddatabase=PVGIS-SARAH3&amp;pvtechchoice=crystSi&amp;mountingplace=free&amp;usehorizon=1</v>
      </c>
    </row>
    <row r="192">
      <c r="A192" t="n">
        <v>0</v>
      </c>
      <c r="B192" t="n">
        <v>150</v>
      </c>
      <c r="C192" t="n">
        <v>3</v>
      </c>
      <c r="D192" s="218" t="n">
        <v>139.85</v>
      </c>
      <c r="E192" s="218" t="n">
        <v>4.51</v>
      </c>
      <c r="F192" t="str">
        <v>https://re.jrc.ec.europa.eu/api/v5_3/PVcalc?lat=30.0444&amp;lon=31.2357&amp;peakpower=1&amp;loss=14&amp;angle=0&amp;aspect=-30&amp;outputformat=json&amp;raddatabase=PVGIS-SARAH3&amp;pvtechchoice=crystSi&amp;mountingplace=free&amp;usehorizon=1</v>
      </c>
    </row>
    <row r="193">
      <c r="A193" t="n">
        <v>0</v>
      </c>
      <c r="B193" t="n">
        <v>150</v>
      </c>
      <c r="C193" t="n">
        <v>4</v>
      </c>
      <c r="D193" s="218" t="n">
        <v>158.15</v>
      </c>
      <c r="E193" s="218" t="n">
        <v>5.27</v>
      </c>
      <c r="F193" t="str">
        <v>https://re.jrc.ec.europa.eu/api/v5_3/PVcalc?lat=30.0444&amp;lon=31.2357&amp;peakpower=1&amp;loss=14&amp;angle=0&amp;aspect=-30&amp;outputformat=json&amp;raddatabase=PVGIS-SARAH3&amp;pvtechchoice=crystSi&amp;mountingplace=free&amp;usehorizon=1</v>
      </c>
    </row>
    <row r="194">
      <c r="A194" t="n">
        <v>0</v>
      </c>
      <c r="B194" t="n">
        <v>150</v>
      </c>
      <c r="C194" t="n">
        <v>5</v>
      </c>
      <c r="D194" s="218" t="n">
        <v>176.18</v>
      </c>
      <c r="E194" s="218" t="n">
        <v>5.68</v>
      </c>
      <c r="F194" t="str">
        <v>https://re.jrc.ec.europa.eu/api/v5_3/PVcalc?lat=30.0444&amp;lon=31.2357&amp;peakpower=1&amp;loss=14&amp;angle=0&amp;aspect=-30&amp;outputformat=json&amp;raddatabase=PVGIS-SARAH3&amp;pvtechchoice=crystSi&amp;mountingplace=free&amp;usehorizon=1</v>
      </c>
    </row>
    <row r="195">
      <c r="A195" t="n">
        <v>0</v>
      </c>
      <c r="B195" t="n">
        <v>150</v>
      </c>
      <c r="C195" t="n">
        <v>6</v>
      </c>
      <c r="D195" s="218" t="n">
        <v>181.03</v>
      </c>
      <c r="E195" s="218" t="n">
        <v>6.03</v>
      </c>
      <c r="F195" t="str">
        <v>https://re.jrc.ec.europa.eu/api/v5_3/PVcalc?lat=30.0444&amp;lon=31.2357&amp;peakpower=1&amp;loss=14&amp;angle=0&amp;aspect=-30&amp;outputformat=json&amp;raddatabase=PVGIS-SARAH3&amp;pvtechchoice=crystSi&amp;mountingplace=free&amp;usehorizon=1</v>
      </c>
    </row>
    <row r="196">
      <c r="A196" t="n">
        <v>0</v>
      </c>
      <c r="B196" t="n">
        <v>150</v>
      </c>
      <c r="C196" t="n">
        <v>7</v>
      </c>
      <c r="D196" s="218" t="n">
        <v>183.54</v>
      </c>
      <c r="E196" s="218" t="n">
        <v>5.92</v>
      </c>
      <c r="F196" t="str">
        <v>https://re.jrc.ec.europa.eu/api/v5_3/PVcalc?lat=30.0444&amp;lon=31.2357&amp;peakpower=1&amp;loss=14&amp;angle=0&amp;aspect=-30&amp;outputformat=json&amp;raddatabase=PVGIS-SARAH3&amp;pvtechchoice=crystSi&amp;mountingplace=free&amp;usehorizon=1</v>
      </c>
    </row>
    <row r="197">
      <c r="A197" t="n">
        <v>0</v>
      </c>
      <c r="B197" t="n">
        <v>150</v>
      </c>
      <c r="C197" t="n">
        <v>8</v>
      </c>
      <c r="D197" s="218" t="n">
        <v>170.74</v>
      </c>
      <c r="E197" s="218" t="n">
        <v>5.51</v>
      </c>
      <c r="F197" t="str">
        <v>https://re.jrc.ec.europa.eu/api/v5_3/PVcalc?lat=30.0444&amp;lon=31.2357&amp;peakpower=1&amp;loss=14&amp;angle=0&amp;aspect=-30&amp;outputformat=json&amp;raddatabase=PVGIS-SARAH3&amp;pvtechchoice=crystSi&amp;mountingplace=free&amp;usehorizon=1</v>
      </c>
    </row>
    <row r="198">
      <c r="A198" t="n">
        <v>0</v>
      </c>
      <c r="B198" t="n">
        <v>150</v>
      </c>
      <c r="C198" t="n">
        <v>9</v>
      </c>
      <c r="D198" s="218" t="n">
        <v>146.06</v>
      </c>
      <c r="E198" s="218" t="n">
        <v>4.87</v>
      </c>
      <c r="F198" t="str">
        <v>https://re.jrc.ec.europa.eu/api/v5_3/PVcalc?lat=30.0444&amp;lon=31.2357&amp;peakpower=1&amp;loss=14&amp;angle=0&amp;aspect=-30&amp;outputformat=json&amp;raddatabase=PVGIS-SARAH3&amp;pvtechchoice=crystSi&amp;mountingplace=free&amp;usehorizon=1</v>
      </c>
    </row>
    <row r="199">
      <c r="A199" t="n">
        <v>0</v>
      </c>
      <c r="B199" t="n">
        <v>150</v>
      </c>
      <c r="C199" t="n">
        <v>10</v>
      </c>
      <c r="D199" s="218" t="n">
        <v>122.34</v>
      </c>
      <c r="E199" s="218" t="n">
        <v>3.95</v>
      </c>
      <c r="F199" t="str">
        <v>https://re.jrc.ec.europa.eu/api/v5_3/PVcalc?lat=30.0444&amp;lon=31.2357&amp;peakpower=1&amp;loss=14&amp;angle=0&amp;aspect=-30&amp;outputformat=json&amp;raddatabase=PVGIS-SARAH3&amp;pvtechchoice=crystSi&amp;mountingplace=free&amp;usehorizon=1</v>
      </c>
    </row>
    <row r="200">
      <c r="A200" t="n">
        <v>0</v>
      </c>
      <c r="B200" t="n">
        <v>150</v>
      </c>
      <c r="C200" t="n">
        <v>11</v>
      </c>
      <c r="D200" s="218" t="n">
        <v>94.5</v>
      </c>
      <c r="E200" s="218" t="n">
        <v>3.15</v>
      </c>
      <c r="F200" t="str">
        <v>https://re.jrc.ec.europa.eu/api/v5_3/PVcalc?lat=30.0444&amp;lon=31.2357&amp;peakpower=1&amp;loss=14&amp;angle=0&amp;aspect=-30&amp;outputformat=json&amp;raddatabase=PVGIS-SARAH3&amp;pvtechchoice=crystSi&amp;mountingplace=free&amp;usehorizon=1</v>
      </c>
    </row>
    <row r="201">
      <c r="A201" t="n">
        <v>0</v>
      </c>
      <c r="B201" t="n">
        <v>150</v>
      </c>
      <c r="C201" t="n">
        <v>12</v>
      </c>
      <c r="D201" s="218" t="n">
        <v>83.99</v>
      </c>
      <c r="E201" s="218" t="n">
        <v>2.71</v>
      </c>
      <c r="F201" t="str">
        <v>https://re.jrc.ec.europa.eu/api/v5_3/PVcalc?lat=30.0444&amp;lon=31.2357&amp;peakpower=1&amp;loss=14&amp;angle=0&amp;aspect=-30&amp;outputformat=json&amp;raddatabase=PVGIS-SARAH3&amp;pvtechchoice=crystSi&amp;mountingplace=free&amp;usehorizon=1</v>
      </c>
    </row>
    <row r="202">
      <c r="A202" t="n">
        <v>0</v>
      </c>
      <c r="B202" t="n">
        <v>165</v>
      </c>
      <c r="C202" t="n">
        <v>1</v>
      </c>
      <c r="D202" s="218" t="n">
        <v>88.85</v>
      </c>
      <c r="E202" s="218" t="n">
        <v>2.87</v>
      </c>
      <c r="F202" t="str">
        <v>https://re.jrc.ec.europa.eu/api/v5_3/PVcalc?lat=30.0444&amp;lon=31.2357&amp;peakpower=1&amp;loss=14&amp;angle=0&amp;aspect=-15&amp;outputformat=json&amp;raddatabase=PVGIS-SARAH3&amp;pvtechchoice=crystSi&amp;mountingplace=free&amp;usehorizon=1</v>
      </c>
    </row>
    <row r="203">
      <c r="A203" t="n">
        <v>0</v>
      </c>
      <c r="B203" t="n">
        <v>165</v>
      </c>
      <c r="C203" t="n">
        <v>2</v>
      </c>
      <c r="D203" s="218" t="n">
        <v>98.95</v>
      </c>
      <c r="E203" s="218" t="n">
        <v>3.53</v>
      </c>
      <c r="F203" t="str">
        <v>https://re.jrc.ec.europa.eu/api/v5_3/PVcalc?lat=30.0444&amp;lon=31.2357&amp;peakpower=1&amp;loss=14&amp;angle=0&amp;aspect=-15&amp;outputformat=json&amp;raddatabase=PVGIS-SARAH3&amp;pvtechchoice=crystSi&amp;mountingplace=free&amp;usehorizon=1</v>
      </c>
    </row>
    <row r="204">
      <c r="A204" t="n">
        <v>0</v>
      </c>
      <c r="B204" t="n">
        <v>165</v>
      </c>
      <c r="C204" t="n">
        <v>3</v>
      </c>
      <c r="D204" s="218" t="n">
        <v>139.85</v>
      </c>
      <c r="E204" s="218" t="n">
        <v>4.51</v>
      </c>
      <c r="F204" t="str">
        <v>https://re.jrc.ec.europa.eu/api/v5_3/PVcalc?lat=30.0444&amp;lon=31.2357&amp;peakpower=1&amp;loss=14&amp;angle=0&amp;aspect=-15&amp;outputformat=json&amp;raddatabase=PVGIS-SARAH3&amp;pvtechchoice=crystSi&amp;mountingplace=free&amp;usehorizon=1</v>
      </c>
    </row>
    <row r="205">
      <c r="A205" t="n">
        <v>0</v>
      </c>
      <c r="B205" t="n">
        <v>165</v>
      </c>
      <c r="C205" t="n">
        <v>4</v>
      </c>
      <c r="D205" s="218" t="n">
        <v>158.15</v>
      </c>
      <c r="E205" s="218" t="n">
        <v>5.27</v>
      </c>
      <c r="F205" t="str">
        <v>https://re.jrc.ec.europa.eu/api/v5_3/PVcalc?lat=30.0444&amp;lon=31.2357&amp;peakpower=1&amp;loss=14&amp;angle=0&amp;aspect=-15&amp;outputformat=json&amp;raddatabase=PVGIS-SARAH3&amp;pvtechchoice=crystSi&amp;mountingplace=free&amp;usehorizon=1</v>
      </c>
    </row>
    <row r="206">
      <c r="A206" t="n">
        <v>0</v>
      </c>
      <c r="B206" t="n">
        <v>165</v>
      </c>
      <c r="C206" t="n">
        <v>5</v>
      </c>
      <c r="D206" s="218" t="n">
        <v>176.18</v>
      </c>
      <c r="E206" s="218" t="n">
        <v>5.68</v>
      </c>
      <c r="F206" t="str">
        <v>https://re.jrc.ec.europa.eu/api/v5_3/PVcalc?lat=30.0444&amp;lon=31.2357&amp;peakpower=1&amp;loss=14&amp;angle=0&amp;aspect=-15&amp;outputformat=json&amp;raddatabase=PVGIS-SARAH3&amp;pvtechchoice=crystSi&amp;mountingplace=free&amp;usehorizon=1</v>
      </c>
    </row>
    <row r="207">
      <c r="A207" t="n">
        <v>0</v>
      </c>
      <c r="B207" t="n">
        <v>165</v>
      </c>
      <c r="C207" t="n">
        <v>6</v>
      </c>
      <c r="D207" s="218" t="n">
        <v>181.03</v>
      </c>
      <c r="E207" s="218" t="n">
        <v>6.03</v>
      </c>
      <c r="F207" t="str">
        <v>https://re.jrc.ec.europa.eu/api/v5_3/PVcalc?lat=30.0444&amp;lon=31.2357&amp;peakpower=1&amp;loss=14&amp;angle=0&amp;aspect=-15&amp;outputformat=json&amp;raddatabase=PVGIS-SARAH3&amp;pvtechchoice=crystSi&amp;mountingplace=free&amp;usehorizon=1</v>
      </c>
    </row>
    <row r="208">
      <c r="A208" t="n">
        <v>0</v>
      </c>
      <c r="B208" t="n">
        <v>165</v>
      </c>
      <c r="C208" t="n">
        <v>7</v>
      </c>
      <c r="D208" s="218" t="n">
        <v>183.54</v>
      </c>
      <c r="E208" s="218" t="n">
        <v>5.92</v>
      </c>
      <c r="F208" t="str">
        <v>https://re.jrc.ec.europa.eu/api/v5_3/PVcalc?lat=30.0444&amp;lon=31.2357&amp;peakpower=1&amp;loss=14&amp;angle=0&amp;aspect=-15&amp;outputformat=json&amp;raddatabase=PVGIS-SARAH3&amp;pvtechchoice=crystSi&amp;mountingplace=free&amp;usehorizon=1</v>
      </c>
    </row>
    <row r="209">
      <c r="A209" t="n">
        <v>0</v>
      </c>
      <c r="B209" t="n">
        <v>165</v>
      </c>
      <c r="C209" t="n">
        <v>8</v>
      </c>
      <c r="D209" s="218" t="n">
        <v>170.74</v>
      </c>
      <c r="E209" s="218" t="n">
        <v>5.51</v>
      </c>
      <c r="F209" t="str">
        <v>https://re.jrc.ec.europa.eu/api/v5_3/PVcalc?lat=30.0444&amp;lon=31.2357&amp;peakpower=1&amp;loss=14&amp;angle=0&amp;aspect=-15&amp;outputformat=json&amp;raddatabase=PVGIS-SARAH3&amp;pvtechchoice=crystSi&amp;mountingplace=free&amp;usehorizon=1</v>
      </c>
    </row>
    <row r="210">
      <c r="A210" t="n">
        <v>0</v>
      </c>
      <c r="B210" t="n">
        <v>165</v>
      </c>
      <c r="C210" t="n">
        <v>9</v>
      </c>
      <c r="D210" s="218" t="n">
        <v>146.06</v>
      </c>
      <c r="E210" s="218" t="n">
        <v>4.87</v>
      </c>
      <c r="F210" t="str">
        <v>https://re.jrc.ec.europa.eu/api/v5_3/PVcalc?lat=30.0444&amp;lon=31.2357&amp;peakpower=1&amp;loss=14&amp;angle=0&amp;aspect=-15&amp;outputformat=json&amp;raddatabase=PVGIS-SARAH3&amp;pvtechchoice=crystSi&amp;mountingplace=free&amp;usehorizon=1</v>
      </c>
    </row>
    <row r="211">
      <c r="A211" t="n">
        <v>0</v>
      </c>
      <c r="B211" t="n">
        <v>165</v>
      </c>
      <c r="C211" t="n">
        <v>10</v>
      </c>
      <c r="D211" s="218" t="n">
        <v>122.34</v>
      </c>
      <c r="E211" s="218" t="n">
        <v>3.95</v>
      </c>
      <c r="F211" t="str">
        <v>https://re.jrc.ec.europa.eu/api/v5_3/PVcalc?lat=30.0444&amp;lon=31.2357&amp;peakpower=1&amp;loss=14&amp;angle=0&amp;aspect=-15&amp;outputformat=json&amp;raddatabase=PVGIS-SARAH3&amp;pvtechchoice=crystSi&amp;mountingplace=free&amp;usehorizon=1</v>
      </c>
    </row>
    <row r="212">
      <c r="A212" t="n">
        <v>0</v>
      </c>
      <c r="B212" t="n">
        <v>165</v>
      </c>
      <c r="C212" t="n">
        <v>11</v>
      </c>
      <c r="D212" s="218" t="n">
        <v>94.5</v>
      </c>
      <c r="E212" s="218" t="n">
        <v>3.15</v>
      </c>
      <c r="F212" t="str">
        <v>https://re.jrc.ec.europa.eu/api/v5_3/PVcalc?lat=30.0444&amp;lon=31.2357&amp;peakpower=1&amp;loss=14&amp;angle=0&amp;aspect=-15&amp;outputformat=json&amp;raddatabase=PVGIS-SARAH3&amp;pvtechchoice=crystSi&amp;mountingplace=free&amp;usehorizon=1</v>
      </c>
    </row>
    <row r="213">
      <c r="A213" t="n">
        <v>0</v>
      </c>
      <c r="B213" t="n">
        <v>165</v>
      </c>
      <c r="C213" t="n">
        <v>12</v>
      </c>
      <c r="D213" s="218" t="n">
        <v>83.99</v>
      </c>
      <c r="E213" s="218" t="n">
        <v>2.71</v>
      </c>
      <c r="F213" t="str">
        <v>https://re.jrc.ec.europa.eu/api/v5_3/PVcalc?lat=30.0444&amp;lon=31.2357&amp;peakpower=1&amp;loss=14&amp;angle=0&amp;aspect=-15&amp;outputformat=json&amp;raddatabase=PVGIS-SARAH3&amp;pvtechchoice=crystSi&amp;mountingplace=free&amp;usehorizon=1</v>
      </c>
    </row>
    <row r="214">
      <c r="A214" t="n">
        <v>0</v>
      </c>
      <c r="B214" t="n">
        <v>180</v>
      </c>
      <c r="C214" t="n">
        <v>1</v>
      </c>
      <c r="D214" s="218" t="n">
        <v>88.85</v>
      </c>
      <c r="E214" s="218" t="n">
        <v>2.87</v>
      </c>
      <c r="F214" t="str">
        <v>https://re.jrc.ec.europa.eu/api/v5_3/PVcalc?lat=30.0444&amp;lon=31.2357&amp;peakpower=1&amp;loss=14&amp;angle=0&amp;aspect=0&amp;outputformat=json&amp;raddatabase=PVGIS-SARAH3&amp;pvtechchoice=crystSi&amp;mountingplace=free&amp;usehorizon=1</v>
      </c>
    </row>
    <row r="215">
      <c r="A215" t="n">
        <v>0</v>
      </c>
      <c r="B215" t="n">
        <v>180</v>
      </c>
      <c r="C215" t="n">
        <v>2</v>
      </c>
      <c r="D215" s="218" t="n">
        <v>98.95</v>
      </c>
      <c r="E215" s="218" t="n">
        <v>3.53</v>
      </c>
      <c r="F215" t="str">
        <v>https://re.jrc.ec.europa.eu/api/v5_3/PVcalc?lat=30.0444&amp;lon=31.2357&amp;peakpower=1&amp;loss=14&amp;angle=0&amp;aspect=0&amp;outputformat=json&amp;raddatabase=PVGIS-SARAH3&amp;pvtechchoice=crystSi&amp;mountingplace=free&amp;usehorizon=1</v>
      </c>
    </row>
    <row r="216">
      <c r="A216" t="n">
        <v>0</v>
      </c>
      <c r="B216" t="n">
        <v>180</v>
      </c>
      <c r="C216" t="n">
        <v>3</v>
      </c>
      <c r="D216" s="218" t="n">
        <v>139.85</v>
      </c>
      <c r="E216" s="218" t="n">
        <v>4.51</v>
      </c>
      <c r="F216" t="str">
        <v>https://re.jrc.ec.europa.eu/api/v5_3/PVcalc?lat=30.0444&amp;lon=31.2357&amp;peakpower=1&amp;loss=14&amp;angle=0&amp;aspect=0&amp;outputformat=json&amp;raddatabase=PVGIS-SARAH3&amp;pvtechchoice=crystSi&amp;mountingplace=free&amp;usehorizon=1</v>
      </c>
    </row>
    <row r="217">
      <c r="A217" t="n">
        <v>0</v>
      </c>
      <c r="B217" t="n">
        <v>180</v>
      </c>
      <c r="C217" t="n">
        <v>4</v>
      </c>
      <c r="D217" s="218" t="n">
        <v>158.15</v>
      </c>
      <c r="E217" s="218" t="n">
        <v>5.27</v>
      </c>
      <c r="F217" t="str">
        <v>https://re.jrc.ec.europa.eu/api/v5_3/PVcalc?lat=30.0444&amp;lon=31.2357&amp;peakpower=1&amp;loss=14&amp;angle=0&amp;aspect=0&amp;outputformat=json&amp;raddatabase=PVGIS-SARAH3&amp;pvtechchoice=crystSi&amp;mountingplace=free&amp;usehorizon=1</v>
      </c>
    </row>
    <row r="218">
      <c r="A218" t="n">
        <v>0</v>
      </c>
      <c r="B218" t="n">
        <v>180</v>
      </c>
      <c r="C218" t="n">
        <v>5</v>
      </c>
      <c r="D218" s="218" t="n">
        <v>176.18</v>
      </c>
      <c r="E218" s="218" t="n">
        <v>5.68</v>
      </c>
      <c r="F218" t="str">
        <v>https://re.jrc.ec.europa.eu/api/v5_3/PVcalc?lat=30.0444&amp;lon=31.2357&amp;peakpower=1&amp;loss=14&amp;angle=0&amp;aspect=0&amp;outputformat=json&amp;raddatabase=PVGIS-SARAH3&amp;pvtechchoice=crystSi&amp;mountingplace=free&amp;usehorizon=1</v>
      </c>
    </row>
    <row r="219">
      <c r="A219" t="n">
        <v>0</v>
      </c>
      <c r="B219" t="n">
        <v>180</v>
      </c>
      <c r="C219" t="n">
        <v>6</v>
      </c>
      <c r="D219" s="218" t="n">
        <v>181.03</v>
      </c>
      <c r="E219" s="218" t="n">
        <v>6.03</v>
      </c>
      <c r="F219" t="str">
        <v>https://re.jrc.ec.europa.eu/api/v5_3/PVcalc?lat=30.0444&amp;lon=31.2357&amp;peakpower=1&amp;loss=14&amp;angle=0&amp;aspect=0&amp;outputformat=json&amp;raddatabase=PVGIS-SARAH3&amp;pvtechchoice=crystSi&amp;mountingplace=free&amp;usehorizon=1</v>
      </c>
    </row>
    <row r="220">
      <c r="A220" t="n">
        <v>0</v>
      </c>
      <c r="B220" t="n">
        <v>180</v>
      </c>
      <c r="C220" t="n">
        <v>7</v>
      </c>
      <c r="D220" s="218" t="n">
        <v>183.54</v>
      </c>
      <c r="E220" s="218" t="n">
        <v>5.92</v>
      </c>
      <c r="F220" t="str">
        <v>https://re.jrc.ec.europa.eu/api/v5_3/PVcalc?lat=30.0444&amp;lon=31.2357&amp;peakpower=1&amp;loss=14&amp;angle=0&amp;aspect=0&amp;outputformat=json&amp;raddatabase=PVGIS-SARAH3&amp;pvtechchoice=crystSi&amp;mountingplace=free&amp;usehorizon=1</v>
      </c>
    </row>
    <row r="221">
      <c r="A221" t="n">
        <v>0</v>
      </c>
      <c r="B221" t="n">
        <v>180</v>
      </c>
      <c r="C221" t="n">
        <v>8</v>
      </c>
      <c r="D221" s="218" t="n">
        <v>170.74</v>
      </c>
      <c r="E221" s="218" t="n">
        <v>5.51</v>
      </c>
      <c r="F221" t="str">
        <v>https://re.jrc.ec.europa.eu/api/v5_3/PVcalc?lat=30.0444&amp;lon=31.2357&amp;peakpower=1&amp;loss=14&amp;angle=0&amp;aspect=0&amp;outputformat=json&amp;raddatabase=PVGIS-SARAH3&amp;pvtechchoice=crystSi&amp;mountingplace=free&amp;usehorizon=1</v>
      </c>
    </row>
    <row r="222">
      <c r="A222" t="n">
        <v>0</v>
      </c>
      <c r="B222" t="n">
        <v>180</v>
      </c>
      <c r="C222" t="n">
        <v>9</v>
      </c>
      <c r="D222" s="218" t="n">
        <v>146.06</v>
      </c>
      <c r="E222" s="218" t="n">
        <v>4.87</v>
      </c>
      <c r="F222" t="str">
        <v>https://re.jrc.ec.europa.eu/api/v5_3/PVcalc?lat=30.0444&amp;lon=31.2357&amp;peakpower=1&amp;loss=14&amp;angle=0&amp;aspect=0&amp;outputformat=json&amp;raddatabase=PVGIS-SARAH3&amp;pvtechchoice=crystSi&amp;mountingplace=free&amp;usehorizon=1</v>
      </c>
    </row>
    <row r="223">
      <c r="A223" t="n">
        <v>0</v>
      </c>
      <c r="B223" t="n">
        <v>180</v>
      </c>
      <c r="C223" t="n">
        <v>10</v>
      </c>
      <c r="D223" s="218" t="n">
        <v>122.34</v>
      </c>
      <c r="E223" s="218" t="n">
        <v>3.95</v>
      </c>
      <c r="F223" t="str">
        <v>https://re.jrc.ec.europa.eu/api/v5_3/PVcalc?lat=30.0444&amp;lon=31.2357&amp;peakpower=1&amp;loss=14&amp;angle=0&amp;aspect=0&amp;outputformat=json&amp;raddatabase=PVGIS-SARAH3&amp;pvtechchoice=crystSi&amp;mountingplace=free&amp;usehorizon=1</v>
      </c>
    </row>
    <row r="224">
      <c r="A224" t="n">
        <v>0</v>
      </c>
      <c r="B224" t="n">
        <v>180</v>
      </c>
      <c r="C224" t="n">
        <v>11</v>
      </c>
      <c r="D224" s="218" t="n">
        <v>94.5</v>
      </c>
      <c r="E224" s="218" t="n">
        <v>3.15</v>
      </c>
      <c r="F224" t="str">
        <v>https://re.jrc.ec.europa.eu/api/v5_3/PVcalc?lat=30.0444&amp;lon=31.2357&amp;peakpower=1&amp;loss=14&amp;angle=0&amp;aspect=0&amp;outputformat=json&amp;raddatabase=PVGIS-SARAH3&amp;pvtechchoice=crystSi&amp;mountingplace=free&amp;usehorizon=1</v>
      </c>
    </row>
    <row r="225">
      <c r="A225" t="n">
        <v>0</v>
      </c>
      <c r="B225" t="n">
        <v>180</v>
      </c>
      <c r="C225" t="n">
        <v>12</v>
      </c>
      <c r="D225" s="218" t="n">
        <v>83.99</v>
      </c>
      <c r="E225" s="218" t="n">
        <v>2.71</v>
      </c>
      <c r="F225" t="str">
        <v>https://re.jrc.ec.europa.eu/api/v5_3/PVcalc?lat=30.0444&amp;lon=31.2357&amp;peakpower=1&amp;loss=14&amp;angle=0&amp;aspect=0&amp;outputformat=json&amp;raddatabase=PVGIS-SARAH3&amp;pvtechchoice=crystSi&amp;mountingplace=free&amp;usehorizon=1</v>
      </c>
    </row>
    <row r="226">
      <c r="A226" t="n">
        <v>0</v>
      </c>
      <c r="B226" t="n">
        <v>195</v>
      </c>
      <c r="C226" t="n">
        <v>1</v>
      </c>
      <c r="D226" s="218" t="n">
        <v>88.85</v>
      </c>
      <c r="E226" s="218" t="n">
        <v>2.87</v>
      </c>
      <c r="F226" t="str">
        <v>https://re.jrc.ec.europa.eu/api/v5_3/PVcalc?lat=30.0444&amp;lon=31.2357&amp;peakpower=1&amp;loss=14&amp;angle=0&amp;aspect=15&amp;outputformat=json&amp;raddatabase=PVGIS-SARAH3&amp;pvtechchoice=crystSi&amp;mountingplace=free&amp;usehorizon=1</v>
      </c>
    </row>
    <row r="227">
      <c r="A227" t="n">
        <v>0</v>
      </c>
      <c r="B227" t="n">
        <v>195</v>
      </c>
      <c r="C227" t="n">
        <v>2</v>
      </c>
      <c r="D227" s="218" t="n">
        <v>98.95</v>
      </c>
      <c r="E227" s="218" t="n">
        <v>3.53</v>
      </c>
      <c r="F227" t="str">
        <v>https://re.jrc.ec.europa.eu/api/v5_3/PVcalc?lat=30.0444&amp;lon=31.2357&amp;peakpower=1&amp;loss=14&amp;angle=0&amp;aspect=15&amp;outputformat=json&amp;raddatabase=PVGIS-SARAH3&amp;pvtechchoice=crystSi&amp;mountingplace=free&amp;usehorizon=1</v>
      </c>
    </row>
    <row r="228">
      <c r="A228" t="n">
        <v>0</v>
      </c>
      <c r="B228" t="n">
        <v>195</v>
      </c>
      <c r="C228" t="n">
        <v>3</v>
      </c>
      <c r="D228" s="218" t="n">
        <v>139.85</v>
      </c>
      <c r="E228" s="218" t="n">
        <v>4.51</v>
      </c>
      <c r="F228" t="str">
        <v>https://re.jrc.ec.europa.eu/api/v5_3/PVcalc?lat=30.0444&amp;lon=31.2357&amp;peakpower=1&amp;loss=14&amp;angle=0&amp;aspect=15&amp;outputformat=json&amp;raddatabase=PVGIS-SARAH3&amp;pvtechchoice=crystSi&amp;mountingplace=free&amp;usehorizon=1</v>
      </c>
    </row>
    <row r="229">
      <c r="A229" t="n">
        <v>0</v>
      </c>
      <c r="B229" t="n">
        <v>195</v>
      </c>
      <c r="C229" t="n">
        <v>4</v>
      </c>
      <c r="D229" s="218" t="n">
        <v>158.15</v>
      </c>
      <c r="E229" s="218" t="n">
        <v>5.27</v>
      </c>
      <c r="F229" t="str">
        <v>https://re.jrc.ec.europa.eu/api/v5_3/PVcalc?lat=30.0444&amp;lon=31.2357&amp;peakpower=1&amp;loss=14&amp;angle=0&amp;aspect=15&amp;outputformat=json&amp;raddatabase=PVGIS-SARAH3&amp;pvtechchoice=crystSi&amp;mountingplace=free&amp;usehorizon=1</v>
      </c>
    </row>
    <row r="230">
      <c r="A230" t="n">
        <v>0</v>
      </c>
      <c r="B230" t="n">
        <v>195</v>
      </c>
      <c r="C230" t="n">
        <v>5</v>
      </c>
      <c r="D230" s="218" t="n">
        <v>176.18</v>
      </c>
      <c r="E230" s="218" t="n">
        <v>5.68</v>
      </c>
      <c r="F230" t="str">
        <v>https://re.jrc.ec.europa.eu/api/v5_3/PVcalc?lat=30.0444&amp;lon=31.2357&amp;peakpower=1&amp;loss=14&amp;angle=0&amp;aspect=15&amp;outputformat=json&amp;raddatabase=PVGIS-SARAH3&amp;pvtechchoice=crystSi&amp;mountingplace=free&amp;usehorizon=1</v>
      </c>
    </row>
    <row r="231">
      <c r="A231" t="n">
        <v>0</v>
      </c>
      <c r="B231" t="n">
        <v>195</v>
      </c>
      <c r="C231" t="n">
        <v>6</v>
      </c>
      <c r="D231" s="218" t="n">
        <v>181.03</v>
      </c>
      <c r="E231" s="218" t="n">
        <v>6.03</v>
      </c>
      <c r="F231" t="str">
        <v>https://re.jrc.ec.europa.eu/api/v5_3/PVcalc?lat=30.0444&amp;lon=31.2357&amp;peakpower=1&amp;loss=14&amp;angle=0&amp;aspect=15&amp;outputformat=json&amp;raddatabase=PVGIS-SARAH3&amp;pvtechchoice=crystSi&amp;mountingplace=free&amp;usehorizon=1</v>
      </c>
    </row>
    <row r="232">
      <c r="A232" t="n">
        <v>0</v>
      </c>
      <c r="B232" t="n">
        <v>195</v>
      </c>
      <c r="C232" t="n">
        <v>7</v>
      </c>
      <c r="D232" s="218" t="n">
        <v>183.54</v>
      </c>
      <c r="E232" s="218" t="n">
        <v>5.92</v>
      </c>
      <c r="F232" t="str">
        <v>https://re.jrc.ec.europa.eu/api/v5_3/PVcalc?lat=30.0444&amp;lon=31.2357&amp;peakpower=1&amp;loss=14&amp;angle=0&amp;aspect=15&amp;outputformat=json&amp;raddatabase=PVGIS-SARAH3&amp;pvtechchoice=crystSi&amp;mountingplace=free&amp;usehorizon=1</v>
      </c>
    </row>
    <row r="233">
      <c r="A233" t="n">
        <v>0</v>
      </c>
      <c r="B233" t="n">
        <v>195</v>
      </c>
      <c r="C233" t="n">
        <v>8</v>
      </c>
      <c r="D233" s="218" t="n">
        <v>170.74</v>
      </c>
      <c r="E233" s="218" t="n">
        <v>5.51</v>
      </c>
      <c r="F233" t="str">
        <v>https://re.jrc.ec.europa.eu/api/v5_3/PVcalc?lat=30.0444&amp;lon=31.2357&amp;peakpower=1&amp;loss=14&amp;angle=0&amp;aspect=15&amp;outputformat=json&amp;raddatabase=PVGIS-SARAH3&amp;pvtechchoice=crystSi&amp;mountingplace=free&amp;usehorizon=1</v>
      </c>
    </row>
    <row r="234">
      <c r="A234" t="n">
        <v>0</v>
      </c>
      <c r="B234" t="n">
        <v>195</v>
      </c>
      <c r="C234" t="n">
        <v>9</v>
      </c>
      <c r="D234" s="218" t="n">
        <v>146.06</v>
      </c>
      <c r="E234" s="218" t="n">
        <v>4.87</v>
      </c>
      <c r="F234" t="str">
        <v>https://re.jrc.ec.europa.eu/api/v5_3/PVcalc?lat=30.0444&amp;lon=31.2357&amp;peakpower=1&amp;loss=14&amp;angle=0&amp;aspect=15&amp;outputformat=json&amp;raddatabase=PVGIS-SARAH3&amp;pvtechchoice=crystSi&amp;mountingplace=free&amp;usehorizon=1</v>
      </c>
    </row>
    <row r="235">
      <c r="A235" t="n">
        <v>0</v>
      </c>
      <c r="B235" t="n">
        <v>195</v>
      </c>
      <c r="C235" t="n">
        <v>10</v>
      </c>
      <c r="D235" s="218" t="n">
        <v>122.34</v>
      </c>
      <c r="E235" s="218" t="n">
        <v>3.95</v>
      </c>
      <c r="F235" t="str">
        <v>https://re.jrc.ec.europa.eu/api/v5_3/PVcalc?lat=30.0444&amp;lon=31.2357&amp;peakpower=1&amp;loss=14&amp;angle=0&amp;aspect=15&amp;outputformat=json&amp;raddatabase=PVGIS-SARAH3&amp;pvtechchoice=crystSi&amp;mountingplace=free&amp;usehorizon=1</v>
      </c>
    </row>
    <row r="236">
      <c r="A236" t="n">
        <v>0</v>
      </c>
      <c r="B236" t="n">
        <v>195</v>
      </c>
      <c r="C236" t="n">
        <v>11</v>
      </c>
      <c r="D236" s="218" t="n">
        <v>94.5</v>
      </c>
      <c r="E236" s="218" t="n">
        <v>3.15</v>
      </c>
      <c r="F236" t="str">
        <v>https://re.jrc.ec.europa.eu/api/v5_3/PVcalc?lat=30.0444&amp;lon=31.2357&amp;peakpower=1&amp;loss=14&amp;angle=0&amp;aspect=15&amp;outputformat=json&amp;raddatabase=PVGIS-SARAH3&amp;pvtechchoice=crystSi&amp;mountingplace=free&amp;usehorizon=1</v>
      </c>
    </row>
    <row r="237">
      <c r="A237" t="n">
        <v>0</v>
      </c>
      <c r="B237" t="n">
        <v>195</v>
      </c>
      <c r="C237" t="n">
        <v>12</v>
      </c>
      <c r="D237" s="218" t="n">
        <v>83.99</v>
      </c>
      <c r="E237" s="218" t="n">
        <v>2.71</v>
      </c>
      <c r="F237" t="str">
        <v>https://re.jrc.ec.europa.eu/api/v5_3/PVcalc?lat=30.0444&amp;lon=31.2357&amp;peakpower=1&amp;loss=14&amp;angle=0&amp;aspect=15&amp;outputformat=json&amp;raddatabase=PVGIS-SARAH3&amp;pvtechchoice=crystSi&amp;mountingplace=free&amp;usehorizon=1</v>
      </c>
    </row>
    <row r="238">
      <c r="A238" t="n">
        <v>0</v>
      </c>
      <c r="B238" t="n">
        <v>210</v>
      </c>
      <c r="C238" t="n">
        <v>1</v>
      </c>
      <c r="D238" s="218" t="n">
        <v>88.85</v>
      </c>
      <c r="E238" s="218" t="n">
        <v>2.87</v>
      </c>
      <c r="F238" t="str">
        <v>https://re.jrc.ec.europa.eu/api/v5_3/PVcalc?lat=30.0444&amp;lon=31.2357&amp;peakpower=1&amp;loss=14&amp;angle=0&amp;aspect=30&amp;outputformat=json&amp;raddatabase=PVGIS-SARAH3&amp;pvtechchoice=crystSi&amp;mountingplace=free&amp;usehorizon=1</v>
      </c>
    </row>
    <row r="239">
      <c r="A239" t="n">
        <v>0</v>
      </c>
      <c r="B239" t="n">
        <v>210</v>
      </c>
      <c r="C239" t="n">
        <v>2</v>
      </c>
      <c r="D239" s="218" t="n">
        <v>98.95</v>
      </c>
      <c r="E239" s="218" t="n">
        <v>3.53</v>
      </c>
      <c r="F239" t="str">
        <v>https://re.jrc.ec.europa.eu/api/v5_3/PVcalc?lat=30.0444&amp;lon=31.2357&amp;peakpower=1&amp;loss=14&amp;angle=0&amp;aspect=30&amp;outputformat=json&amp;raddatabase=PVGIS-SARAH3&amp;pvtechchoice=crystSi&amp;mountingplace=free&amp;usehorizon=1</v>
      </c>
    </row>
    <row r="240">
      <c r="A240" t="n">
        <v>0</v>
      </c>
      <c r="B240" t="n">
        <v>210</v>
      </c>
      <c r="C240" t="n">
        <v>3</v>
      </c>
      <c r="D240" s="218" t="n">
        <v>139.85</v>
      </c>
      <c r="E240" s="218" t="n">
        <v>4.51</v>
      </c>
      <c r="F240" t="str">
        <v>https://re.jrc.ec.europa.eu/api/v5_3/PVcalc?lat=30.0444&amp;lon=31.2357&amp;peakpower=1&amp;loss=14&amp;angle=0&amp;aspect=30&amp;outputformat=json&amp;raddatabase=PVGIS-SARAH3&amp;pvtechchoice=crystSi&amp;mountingplace=free&amp;usehorizon=1</v>
      </c>
    </row>
    <row r="241">
      <c r="A241" t="n">
        <v>0</v>
      </c>
      <c r="B241" t="n">
        <v>210</v>
      </c>
      <c r="C241" t="n">
        <v>4</v>
      </c>
      <c r="D241" s="218" t="n">
        <v>158.15</v>
      </c>
      <c r="E241" s="218" t="n">
        <v>5.27</v>
      </c>
      <c r="F241" t="str">
        <v>https://re.jrc.ec.europa.eu/api/v5_3/PVcalc?lat=30.0444&amp;lon=31.2357&amp;peakpower=1&amp;loss=14&amp;angle=0&amp;aspect=30&amp;outputformat=json&amp;raddatabase=PVGIS-SARAH3&amp;pvtechchoice=crystSi&amp;mountingplace=free&amp;usehorizon=1</v>
      </c>
    </row>
    <row r="242">
      <c r="A242" t="n">
        <v>0</v>
      </c>
      <c r="B242" t="n">
        <v>210</v>
      </c>
      <c r="C242" t="n">
        <v>5</v>
      </c>
      <c r="D242" s="218" t="n">
        <v>176.18</v>
      </c>
      <c r="E242" s="218" t="n">
        <v>5.68</v>
      </c>
      <c r="F242" t="str">
        <v>https://re.jrc.ec.europa.eu/api/v5_3/PVcalc?lat=30.0444&amp;lon=31.2357&amp;peakpower=1&amp;loss=14&amp;angle=0&amp;aspect=30&amp;outputformat=json&amp;raddatabase=PVGIS-SARAH3&amp;pvtechchoice=crystSi&amp;mountingplace=free&amp;usehorizon=1</v>
      </c>
    </row>
    <row r="243">
      <c r="A243" t="n">
        <v>0</v>
      </c>
      <c r="B243" t="n">
        <v>210</v>
      </c>
      <c r="C243" t="n">
        <v>6</v>
      </c>
      <c r="D243" s="218" t="n">
        <v>181.03</v>
      </c>
      <c r="E243" s="218" t="n">
        <v>6.03</v>
      </c>
      <c r="F243" t="str">
        <v>https://re.jrc.ec.europa.eu/api/v5_3/PVcalc?lat=30.0444&amp;lon=31.2357&amp;peakpower=1&amp;loss=14&amp;angle=0&amp;aspect=30&amp;outputformat=json&amp;raddatabase=PVGIS-SARAH3&amp;pvtechchoice=crystSi&amp;mountingplace=free&amp;usehorizon=1</v>
      </c>
    </row>
    <row r="244">
      <c r="A244" t="n">
        <v>0</v>
      </c>
      <c r="B244" t="n">
        <v>210</v>
      </c>
      <c r="C244" t="n">
        <v>7</v>
      </c>
      <c r="D244" s="218" t="n">
        <v>183.54</v>
      </c>
      <c r="E244" s="218" t="n">
        <v>5.92</v>
      </c>
      <c r="F244" t="str">
        <v>https://re.jrc.ec.europa.eu/api/v5_3/PVcalc?lat=30.0444&amp;lon=31.2357&amp;peakpower=1&amp;loss=14&amp;angle=0&amp;aspect=30&amp;outputformat=json&amp;raddatabase=PVGIS-SARAH3&amp;pvtechchoice=crystSi&amp;mountingplace=free&amp;usehorizon=1</v>
      </c>
    </row>
    <row r="245">
      <c r="A245" t="n">
        <v>0</v>
      </c>
      <c r="B245" t="n">
        <v>210</v>
      </c>
      <c r="C245" t="n">
        <v>8</v>
      </c>
      <c r="D245" s="218" t="n">
        <v>170.74</v>
      </c>
      <c r="E245" s="218" t="n">
        <v>5.51</v>
      </c>
      <c r="F245" t="str">
        <v>https://re.jrc.ec.europa.eu/api/v5_3/PVcalc?lat=30.0444&amp;lon=31.2357&amp;peakpower=1&amp;loss=14&amp;angle=0&amp;aspect=30&amp;outputformat=json&amp;raddatabase=PVGIS-SARAH3&amp;pvtechchoice=crystSi&amp;mountingplace=free&amp;usehorizon=1</v>
      </c>
    </row>
    <row r="246">
      <c r="A246" t="n">
        <v>0</v>
      </c>
      <c r="B246" t="n">
        <v>210</v>
      </c>
      <c r="C246" t="n">
        <v>9</v>
      </c>
      <c r="D246" s="218" t="n">
        <v>146.06</v>
      </c>
      <c r="E246" s="218" t="n">
        <v>4.87</v>
      </c>
      <c r="F246" t="str">
        <v>https://re.jrc.ec.europa.eu/api/v5_3/PVcalc?lat=30.0444&amp;lon=31.2357&amp;peakpower=1&amp;loss=14&amp;angle=0&amp;aspect=30&amp;outputformat=json&amp;raddatabase=PVGIS-SARAH3&amp;pvtechchoice=crystSi&amp;mountingplace=free&amp;usehorizon=1</v>
      </c>
    </row>
    <row r="247">
      <c r="A247" t="n">
        <v>0</v>
      </c>
      <c r="B247" t="n">
        <v>210</v>
      </c>
      <c r="C247" t="n">
        <v>10</v>
      </c>
      <c r="D247" s="218" t="n">
        <v>122.34</v>
      </c>
      <c r="E247" s="218" t="n">
        <v>3.95</v>
      </c>
      <c r="F247" t="str">
        <v>https://re.jrc.ec.europa.eu/api/v5_3/PVcalc?lat=30.0444&amp;lon=31.2357&amp;peakpower=1&amp;loss=14&amp;angle=0&amp;aspect=30&amp;outputformat=json&amp;raddatabase=PVGIS-SARAH3&amp;pvtechchoice=crystSi&amp;mountingplace=free&amp;usehorizon=1</v>
      </c>
    </row>
    <row r="248">
      <c r="A248" t="n">
        <v>0</v>
      </c>
      <c r="B248" t="n">
        <v>210</v>
      </c>
      <c r="C248" t="n">
        <v>11</v>
      </c>
      <c r="D248" s="218" t="n">
        <v>94.5</v>
      </c>
      <c r="E248" s="218" t="n">
        <v>3.15</v>
      </c>
      <c r="F248" t="str">
        <v>https://re.jrc.ec.europa.eu/api/v5_3/PVcalc?lat=30.0444&amp;lon=31.2357&amp;peakpower=1&amp;loss=14&amp;angle=0&amp;aspect=30&amp;outputformat=json&amp;raddatabase=PVGIS-SARAH3&amp;pvtechchoice=crystSi&amp;mountingplace=free&amp;usehorizon=1</v>
      </c>
    </row>
    <row r="249">
      <c r="A249" t="n">
        <v>0</v>
      </c>
      <c r="B249" t="n">
        <v>210</v>
      </c>
      <c r="C249" t="n">
        <v>12</v>
      </c>
      <c r="D249" s="218" t="n">
        <v>83.99</v>
      </c>
      <c r="E249" s="218" t="n">
        <v>2.71</v>
      </c>
      <c r="F249" t="str">
        <v>https://re.jrc.ec.europa.eu/api/v5_3/PVcalc?lat=30.0444&amp;lon=31.2357&amp;peakpower=1&amp;loss=14&amp;angle=0&amp;aspect=30&amp;outputformat=json&amp;raddatabase=PVGIS-SARAH3&amp;pvtechchoice=crystSi&amp;mountingplace=free&amp;usehorizon=1</v>
      </c>
    </row>
    <row r="250">
      <c r="A250" t="n">
        <v>0</v>
      </c>
      <c r="B250" t="n">
        <v>225</v>
      </c>
      <c r="C250" t="n">
        <v>1</v>
      </c>
      <c r="D250" s="218" t="n">
        <v>88.85</v>
      </c>
      <c r="E250" s="218" t="n">
        <v>2.87</v>
      </c>
      <c r="F250" t="str">
        <v>https://re.jrc.ec.europa.eu/api/v5_3/PVcalc?lat=30.0444&amp;lon=31.2357&amp;peakpower=1&amp;loss=14&amp;angle=0&amp;aspect=45&amp;outputformat=json&amp;raddatabase=PVGIS-SARAH3&amp;pvtechchoice=crystSi&amp;mountingplace=free&amp;usehorizon=1</v>
      </c>
    </row>
    <row r="251">
      <c r="A251" t="n">
        <v>0</v>
      </c>
      <c r="B251" t="n">
        <v>225</v>
      </c>
      <c r="C251" t="n">
        <v>2</v>
      </c>
      <c r="D251" s="218" t="n">
        <v>98.95</v>
      </c>
      <c r="E251" s="218" t="n">
        <v>3.53</v>
      </c>
      <c r="F251" t="str">
        <v>https://re.jrc.ec.europa.eu/api/v5_3/PVcalc?lat=30.0444&amp;lon=31.2357&amp;peakpower=1&amp;loss=14&amp;angle=0&amp;aspect=45&amp;outputformat=json&amp;raddatabase=PVGIS-SARAH3&amp;pvtechchoice=crystSi&amp;mountingplace=free&amp;usehorizon=1</v>
      </c>
    </row>
    <row r="252">
      <c r="A252" t="n">
        <v>0</v>
      </c>
      <c r="B252" t="n">
        <v>225</v>
      </c>
      <c r="C252" t="n">
        <v>3</v>
      </c>
      <c r="D252" s="218" t="n">
        <v>139.85</v>
      </c>
      <c r="E252" s="218" t="n">
        <v>4.51</v>
      </c>
      <c r="F252" t="str">
        <v>https://re.jrc.ec.europa.eu/api/v5_3/PVcalc?lat=30.0444&amp;lon=31.2357&amp;peakpower=1&amp;loss=14&amp;angle=0&amp;aspect=45&amp;outputformat=json&amp;raddatabase=PVGIS-SARAH3&amp;pvtechchoice=crystSi&amp;mountingplace=free&amp;usehorizon=1</v>
      </c>
    </row>
    <row r="253">
      <c r="A253" t="n">
        <v>0</v>
      </c>
      <c r="B253" t="n">
        <v>225</v>
      </c>
      <c r="C253" t="n">
        <v>4</v>
      </c>
      <c r="D253" s="218" t="n">
        <v>158.15</v>
      </c>
      <c r="E253" s="218" t="n">
        <v>5.27</v>
      </c>
      <c r="F253" t="str">
        <v>https://re.jrc.ec.europa.eu/api/v5_3/PVcalc?lat=30.0444&amp;lon=31.2357&amp;peakpower=1&amp;loss=14&amp;angle=0&amp;aspect=45&amp;outputformat=json&amp;raddatabase=PVGIS-SARAH3&amp;pvtechchoice=crystSi&amp;mountingplace=free&amp;usehorizon=1</v>
      </c>
    </row>
    <row r="254">
      <c r="A254" t="n">
        <v>0</v>
      </c>
      <c r="B254" t="n">
        <v>225</v>
      </c>
      <c r="C254" t="n">
        <v>5</v>
      </c>
      <c r="D254" s="218" t="n">
        <v>176.18</v>
      </c>
      <c r="E254" s="218" t="n">
        <v>5.68</v>
      </c>
      <c r="F254" t="str">
        <v>https://re.jrc.ec.europa.eu/api/v5_3/PVcalc?lat=30.0444&amp;lon=31.2357&amp;peakpower=1&amp;loss=14&amp;angle=0&amp;aspect=45&amp;outputformat=json&amp;raddatabase=PVGIS-SARAH3&amp;pvtechchoice=crystSi&amp;mountingplace=free&amp;usehorizon=1</v>
      </c>
    </row>
    <row r="255">
      <c r="A255" t="n">
        <v>0</v>
      </c>
      <c r="B255" t="n">
        <v>225</v>
      </c>
      <c r="C255" t="n">
        <v>6</v>
      </c>
      <c r="D255" s="218" t="n">
        <v>181.03</v>
      </c>
      <c r="E255" s="218" t="n">
        <v>6.03</v>
      </c>
      <c r="F255" t="str">
        <v>https://re.jrc.ec.europa.eu/api/v5_3/PVcalc?lat=30.0444&amp;lon=31.2357&amp;peakpower=1&amp;loss=14&amp;angle=0&amp;aspect=45&amp;outputformat=json&amp;raddatabase=PVGIS-SARAH3&amp;pvtechchoice=crystSi&amp;mountingplace=free&amp;usehorizon=1</v>
      </c>
    </row>
    <row r="256">
      <c r="A256" t="n">
        <v>0</v>
      </c>
      <c r="B256" t="n">
        <v>225</v>
      </c>
      <c r="C256" t="n">
        <v>7</v>
      </c>
      <c r="D256" s="218" t="n">
        <v>183.54</v>
      </c>
      <c r="E256" s="218" t="n">
        <v>5.92</v>
      </c>
      <c r="F256" t="str">
        <v>https://re.jrc.ec.europa.eu/api/v5_3/PVcalc?lat=30.0444&amp;lon=31.2357&amp;peakpower=1&amp;loss=14&amp;angle=0&amp;aspect=45&amp;outputformat=json&amp;raddatabase=PVGIS-SARAH3&amp;pvtechchoice=crystSi&amp;mountingplace=free&amp;usehorizon=1</v>
      </c>
    </row>
    <row r="257">
      <c r="A257" t="n">
        <v>0</v>
      </c>
      <c r="B257" t="n">
        <v>225</v>
      </c>
      <c r="C257" t="n">
        <v>8</v>
      </c>
      <c r="D257" s="218" t="n">
        <v>170.74</v>
      </c>
      <c r="E257" s="218" t="n">
        <v>5.51</v>
      </c>
      <c r="F257" t="str">
        <v>https://re.jrc.ec.europa.eu/api/v5_3/PVcalc?lat=30.0444&amp;lon=31.2357&amp;peakpower=1&amp;loss=14&amp;angle=0&amp;aspect=45&amp;outputformat=json&amp;raddatabase=PVGIS-SARAH3&amp;pvtechchoice=crystSi&amp;mountingplace=free&amp;usehorizon=1</v>
      </c>
    </row>
    <row r="258">
      <c r="A258" t="n">
        <v>0</v>
      </c>
      <c r="B258" t="n">
        <v>225</v>
      </c>
      <c r="C258" t="n">
        <v>9</v>
      </c>
      <c r="D258" s="218" t="n">
        <v>146.06</v>
      </c>
      <c r="E258" s="218" t="n">
        <v>4.87</v>
      </c>
      <c r="F258" t="str">
        <v>https://re.jrc.ec.europa.eu/api/v5_3/PVcalc?lat=30.0444&amp;lon=31.2357&amp;peakpower=1&amp;loss=14&amp;angle=0&amp;aspect=45&amp;outputformat=json&amp;raddatabase=PVGIS-SARAH3&amp;pvtechchoice=crystSi&amp;mountingplace=free&amp;usehorizon=1</v>
      </c>
    </row>
    <row r="259">
      <c r="A259" t="n">
        <v>0</v>
      </c>
      <c r="B259" t="n">
        <v>225</v>
      </c>
      <c r="C259" t="n">
        <v>10</v>
      </c>
      <c r="D259" s="218" t="n">
        <v>122.34</v>
      </c>
      <c r="E259" s="218" t="n">
        <v>3.95</v>
      </c>
      <c r="F259" t="str">
        <v>https://re.jrc.ec.europa.eu/api/v5_3/PVcalc?lat=30.0444&amp;lon=31.2357&amp;peakpower=1&amp;loss=14&amp;angle=0&amp;aspect=45&amp;outputformat=json&amp;raddatabase=PVGIS-SARAH3&amp;pvtechchoice=crystSi&amp;mountingplace=free&amp;usehorizon=1</v>
      </c>
    </row>
    <row r="260">
      <c r="A260" t="n">
        <v>0</v>
      </c>
      <c r="B260" t="n">
        <v>225</v>
      </c>
      <c r="C260" t="n">
        <v>11</v>
      </c>
      <c r="D260" s="218" t="n">
        <v>94.5</v>
      </c>
      <c r="E260" s="218" t="n">
        <v>3.15</v>
      </c>
      <c r="F260" t="str">
        <v>https://re.jrc.ec.europa.eu/api/v5_3/PVcalc?lat=30.0444&amp;lon=31.2357&amp;peakpower=1&amp;loss=14&amp;angle=0&amp;aspect=45&amp;outputformat=json&amp;raddatabase=PVGIS-SARAH3&amp;pvtechchoice=crystSi&amp;mountingplace=free&amp;usehorizon=1</v>
      </c>
    </row>
    <row r="261">
      <c r="A261" t="n">
        <v>0</v>
      </c>
      <c r="B261" t="n">
        <v>225</v>
      </c>
      <c r="C261" t="n">
        <v>12</v>
      </c>
      <c r="D261" s="218" t="n">
        <v>83.99</v>
      </c>
      <c r="E261" s="218" t="n">
        <v>2.71</v>
      </c>
      <c r="F261" t="str">
        <v>https://re.jrc.ec.europa.eu/api/v5_3/PVcalc?lat=30.0444&amp;lon=31.2357&amp;peakpower=1&amp;loss=14&amp;angle=0&amp;aspect=45&amp;outputformat=json&amp;raddatabase=PVGIS-SARAH3&amp;pvtechchoice=crystSi&amp;mountingplace=free&amp;usehorizon=1</v>
      </c>
    </row>
    <row r="262">
      <c r="A262" t="n">
        <v>0</v>
      </c>
      <c r="B262" t="n">
        <v>240</v>
      </c>
      <c r="C262" t="n">
        <v>1</v>
      </c>
      <c r="D262" s="218" t="n">
        <v>88.85</v>
      </c>
      <c r="E262" s="218" t="n">
        <v>2.87</v>
      </c>
      <c r="F262" t="str">
        <v>https://re.jrc.ec.europa.eu/api/v5_3/PVcalc?lat=30.0444&amp;lon=31.2357&amp;peakpower=1&amp;loss=14&amp;angle=0&amp;aspect=60&amp;outputformat=json&amp;raddatabase=PVGIS-SARAH3&amp;pvtechchoice=crystSi&amp;mountingplace=free&amp;usehorizon=1</v>
      </c>
    </row>
    <row r="263">
      <c r="A263" t="n">
        <v>0</v>
      </c>
      <c r="B263" t="n">
        <v>240</v>
      </c>
      <c r="C263" t="n">
        <v>2</v>
      </c>
      <c r="D263" s="218" t="n">
        <v>98.95</v>
      </c>
      <c r="E263" s="218" t="n">
        <v>3.53</v>
      </c>
      <c r="F263" t="str">
        <v>https://re.jrc.ec.europa.eu/api/v5_3/PVcalc?lat=30.0444&amp;lon=31.2357&amp;peakpower=1&amp;loss=14&amp;angle=0&amp;aspect=60&amp;outputformat=json&amp;raddatabase=PVGIS-SARAH3&amp;pvtechchoice=crystSi&amp;mountingplace=free&amp;usehorizon=1</v>
      </c>
    </row>
    <row r="264">
      <c r="A264" t="n">
        <v>0</v>
      </c>
      <c r="B264" t="n">
        <v>240</v>
      </c>
      <c r="C264" t="n">
        <v>3</v>
      </c>
      <c r="D264" s="218" t="n">
        <v>139.85</v>
      </c>
      <c r="E264" s="218" t="n">
        <v>4.51</v>
      </c>
      <c r="F264" t="str">
        <v>https://re.jrc.ec.europa.eu/api/v5_3/PVcalc?lat=30.0444&amp;lon=31.2357&amp;peakpower=1&amp;loss=14&amp;angle=0&amp;aspect=60&amp;outputformat=json&amp;raddatabase=PVGIS-SARAH3&amp;pvtechchoice=crystSi&amp;mountingplace=free&amp;usehorizon=1</v>
      </c>
    </row>
    <row r="265">
      <c r="A265" t="n">
        <v>0</v>
      </c>
      <c r="B265" t="n">
        <v>240</v>
      </c>
      <c r="C265" t="n">
        <v>4</v>
      </c>
      <c r="D265" s="218" t="n">
        <v>158.15</v>
      </c>
      <c r="E265" s="218" t="n">
        <v>5.27</v>
      </c>
      <c r="F265" t="str">
        <v>https://re.jrc.ec.europa.eu/api/v5_3/PVcalc?lat=30.0444&amp;lon=31.2357&amp;peakpower=1&amp;loss=14&amp;angle=0&amp;aspect=60&amp;outputformat=json&amp;raddatabase=PVGIS-SARAH3&amp;pvtechchoice=crystSi&amp;mountingplace=free&amp;usehorizon=1</v>
      </c>
    </row>
    <row r="266">
      <c r="A266" t="n">
        <v>0</v>
      </c>
      <c r="B266" t="n">
        <v>240</v>
      </c>
      <c r="C266" t="n">
        <v>5</v>
      </c>
      <c r="D266" s="218" t="n">
        <v>176.18</v>
      </c>
      <c r="E266" s="218" t="n">
        <v>5.68</v>
      </c>
      <c r="F266" t="str">
        <v>https://re.jrc.ec.europa.eu/api/v5_3/PVcalc?lat=30.0444&amp;lon=31.2357&amp;peakpower=1&amp;loss=14&amp;angle=0&amp;aspect=60&amp;outputformat=json&amp;raddatabase=PVGIS-SARAH3&amp;pvtechchoice=crystSi&amp;mountingplace=free&amp;usehorizon=1</v>
      </c>
    </row>
    <row r="267">
      <c r="A267" t="n">
        <v>0</v>
      </c>
      <c r="B267" t="n">
        <v>240</v>
      </c>
      <c r="C267" t="n">
        <v>6</v>
      </c>
      <c r="D267" s="218" t="n">
        <v>181.03</v>
      </c>
      <c r="E267" s="218" t="n">
        <v>6.03</v>
      </c>
      <c r="F267" t="str">
        <v>https://re.jrc.ec.europa.eu/api/v5_3/PVcalc?lat=30.0444&amp;lon=31.2357&amp;peakpower=1&amp;loss=14&amp;angle=0&amp;aspect=60&amp;outputformat=json&amp;raddatabase=PVGIS-SARAH3&amp;pvtechchoice=crystSi&amp;mountingplace=free&amp;usehorizon=1</v>
      </c>
    </row>
    <row r="268">
      <c r="A268" t="n">
        <v>0</v>
      </c>
      <c r="B268" t="n">
        <v>240</v>
      </c>
      <c r="C268" t="n">
        <v>7</v>
      </c>
      <c r="D268" s="218" t="n">
        <v>183.54</v>
      </c>
      <c r="E268" s="218" t="n">
        <v>5.92</v>
      </c>
      <c r="F268" t="str">
        <v>https://re.jrc.ec.europa.eu/api/v5_3/PVcalc?lat=30.0444&amp;lon=31.2357&amp;peakpower=1&amp;loss=14&amp;angle=0&amp;aspect=60&amp;outputformat=json&amp;raddatabase=PVGIS-SARAH3&amp;pvtechchoice=crystSi&amp;mountingplace=free&amp;usehorizon=1</v>
      </c>
    </row>
    <row r="269">
      <c r="A269" t="n">
        <v>0</v>
      </c>
      <c r="B269" t="n">
        <v>240</v>
      </c>
      <c r="C269" t="n">
        <v>8</v>
      </c>
      <c r="D269" s="218" t="n">
        <v>170.74</v>
      </c>
      <c r="E269" s="218" t="n">
        <v>5.51</v>
      </c>
      <c r="F269" t="str">
        <v>https://re.jrc.ec.europa.eu/api/v5_3/PVcalc?lat=30.0444&amp;lon=31.2357&amp;peakpower=1&amp;loss=14&amp;angle=0&amp;aspect=60&amp;outputformat=json&amp;raddatabase=PVGIS-SARAH3&amp;pvtechchoice=crystSi&amp;mountingplace=free&amp;usehorizon=1</v>
      </c>
    </row>
    <row r="270">
      <c r="A270" t="n">
        <v>0</v>
      </c>
      <c r="B270" t="n">
        <v>240</v>
      </c>
      <c r="C270" t="n">
        <v>9</v>
      </c>
      <c r="D270" s="218" t="n">
        <v>146.06</v>
      </c>
      <c r="E270" s="218" t="n">
        <v>4.87</v>
      </c>
      <c r="F270" t="str">
        <v>https://re.jrc.ec.europa.eu/api/v5_3/PVcalc?lat=30.0444&amp;lon=31.2357&amp;peakpower=1&amp;loss=14&amp;angle=0&amp;aspect=60&amp;outputformat=json&amp;raddatabase=PVGIS-SARAH3&amp;pvtechchoice=crystSi&amp;mountingplace=free&amp;usehorizon=1</v>
      </c>
    </row>
    <row r="271">
      <c r="A271" t="n">
        <v>0</v>
      </c>
      <c r="B271" t="n">
        <v>240</v>
      </c>
      <c r="C271" t="n">
        <v>10</v>
      </c>
      <c r="D271" s="218" t="n">
        <v>122.34</v>
      </c>
      <c r="E271" s="218" t="n">
        <v>3.95</v>
      </c>
      <c r="F271" t="str">
        <v>https://re.jrc.ec.europa.eu/api/v5_3/PVcalc?lat=30.0444&amp;lon=31.2357&amp;peakpower=1&amp;loss=14&amp;angle=0&amp;aspect=60&amp;outputformat=json&amp;raddatabase=PVGIS-SARAH3&amp;pvtechchoice=crystSi&amp;mountingplace=free&amp;usehorizon=1</v>
      </c>
    </row>
    <row r="272">
      <c r="A272" t="n">
        <v>0</v>
      </c>
      <c r="B272" t="n">
        <v>240</v>
      </c>
      <c r="C272" t="n">
        <v>11</v>
      </c>
      <c r="D272" s="218" t="n">
        <v>94.5</v>
      </c>
      <c r="E272" s="218" t="n">
        <v>3.15</v>
      </c>
      <c r="F272" t="str">
        <v>https://re.jrc.ec.europa.eu/api/v5_3/PVcalc?lat=30.0444&amp;lon=31.2357&amp;peakpower=1&amp;loss=14&amp;angle=0&amp;aspect=60&amp;outputformat=json&amp;raddatabase=PVGIS-SARAH3&amp;pvtechchoice=crystSi&amp;mountingplace=free&amp;usehorizon=1</v>
      </c>
    </row>
    <row r="273">
      <c r="A273" t="n">
        <v>0</v>
      </c>
      <c r="B273" t="n">
        <v>240</v>
      </c>
      <c r="C273" t="n">
        <v>12</v>
      </c>
      <c r="D273" s="218" t="n">
        <v>83.99</v>
      </c>
      <c r="E273" s="218" t="n">
        <v>2.71</v>
      </c>
      <c r="F273" t="str">
        <v>https://re.jrc.ec.europa.eu/api/v5_3/PVcalc?lat=30.0444&amp;lon=31.2357&amp;peakpower=1&amp;loss=14&amp;angle=0&amp;aspect=60&amp;outputformat=json&amp;raddatabase=PVGIS-SARAH3&amp;pvtechchoice=crystSi&amp;mountingplace=free&amp;usehorizon=1</v>
      </c>
    </row>
    <row r="274">
      <c r="A274" t="n">
        <v>0</v>
      </c>
      <c r="B274" t="n">
        <v>255</v>
      </c>
      <c r="C274" t="n">
        <v>1</v>
      </c>
      <c r="D274" s="218" t="n">
        <v>88.85</v>
      </c>
      <c r="E274" s="218" t="n">
        <v>2.87</v>
      </c>
      <c r="F274" t="str">
        <v>https://re.jrc.ec.europa.eu/api/v5_3/PVcalc?lat=30.0444&amp;lon=31.2357&amp;peakpower=1&amp;loss=14&amp;angle=0&amp;aspect=75&amp;outputformat=json&amp;raddatabase=PVGIS-SARAH3&amp;pvtechchoice=crystSi&amp;mountingplace=free&amp;usehorizon=1</v>
      </c>
    </row>
    <row r="275">
      <c r="A275" t="n">
        <v>0</v>
      </c>
      <c r="B275" t="n">
        <v>255</v>
      </c>
      <c r="C275" t="n">
        <v>2</v>
      </c>
      <c r="D275" s="218" t="n">
        <v>98.95</v>
      </c>
      <c r="E275" s="218" t="n">
        <v>3.53</v>
      </c>
      <c r="F275" t="str">
        <v>https://re.jrc.ec.europa.eu/api/v5_3/PVcalc?lat=30.0444&amp;lon=31.2357&amp;peakpower=1&amp;loss=14&amp;angle=0&amp;aspect=75&amp;outputformat=json&amp;raddatabase=PVGIS-SARAH3&amp;pvtechchoice=crystSi&amp;mountingplace=free&amp;usehorizon=1</v>
      </c>
    </row>
    <row r="276">
      <c r="A276" t="n">
        <v>0</v>
      </c>
      <c r="B276" t="n">
        <v>255</v>
      </c>
      <c r="C276" t="n">
        <v>3</v>
      </c>
      <c r="D276" s="218" t="n">
        <v>139.85</v>
      </c>
      <c r="E276" s="218" t="n">
        <v>4.51</v>
      </c>
      <c r="F276" t="str">
        <v>https://re.jrc.ec.europa.eu/api/v5_3/PVcalc?lat=30.0444&amp;lon=31.2357&amp;peakpower=1&amp;loss=14&amp;angle=0&amp;aspect=75&amp;outputformat=json&amp;raddatabase=PVGIS-SARAH3&amp;pvtechchoice=crystSi&amp;mountingplace=free&amp;usehorizon=1</v>
      </c>
    </row>
    <row r="277">
      <c r="A277" t="n">
        <v>0</v>
      </c>
      <c r="B277" t="n">
        <v>255</v>
      </c>
      <c r="C277" t="n">
        <v>4</v>
      </c>
      <c r="D277" s="218" t="n">
        <v>158.15</v>
      </c>
      <c r="E277" s="218" t="n">
        <v>5.27</v>
      </c>
      <c r="F277" t="str">
        <v>https://re.jrc.ec.europa.eu/api/v5_3/PVcalc?lat=30.0444&amp;lon=31.2357&amp;peakpower=1&amp;loss=14&amp;angle=0&amp;aspect=75&amp;outputformat=json&amp;raddatabase=PVGIS-SARAH3&amp;pvtechchoice=crystSi&amp;mountingplace=free&amp;usehorizon=1</v>
      </c>
    </row>
    <row r="278">
      <c r="A278" t="n">
        <v>0</v>
      </c>
      <c r="B278" t="n">
        <v>255</v>
      </c>
      <c r="C278" t="n">
        <v>5</v>
      </c>
      <c r="D278" s="218" t="n">
        <v>176.18</v>
      </c>
      <c r="E278" s="218" t="n">
        <v>5.68</v>
      </c>
      <c r="F278" t="str">
        <v>https://re.jrc.ec.europa.eu/api/v5_3/PVcalc?lat=30.0444&amp;lon=31.2357&amp;peakpower=1&amp;loss=14&amp;angle=0&amp;aspect=75&amp;outputformat=json&amp;raddatabase=PVGIS-SARAH3&amp;pvtechchoice=crystSi&amp;mountingplace=free&amp;usehorizon=1</v>
      </c>
    </row>
    <row r="279">
      <c r="A279" t="n">
        <v>0</v>
      </c>
      <c r="B279" t="n">
        <v>255</v>
      </c>
      <c r="C279" t="n">
        <v>6</v>
      </c>
      <c r="D279" s="218" t="n">
        <v>181.03</v>
      </c>
      <c r="E279" s="218" t="n">
        <v>6.03</v>
      </c>
      <c r="F279" t="str">
        <v>https://re.jrc.ec.europa.eu/api/v5_3/PVcalc?lat=30.0444&amp;lon=31.2357&amp;peakpower=1&amp;loss=14&amp;angle=0&amp;aspect=75&amp;outputformat=json&amp;raddatabase=PVGIS-SARAH3&amp;pvtechchoice=crystSi&amp;mountingplace=free&amp;usehorizon=1</v>
      </c>
    </row>
    <row r="280">
      <c r="A280" t="n">
        <v>0</v>
      </c>
      <c r="B280" t="n">
        <v>255</v>
      </c>
      <c r="C280" t="n">
        <v>7</v>
      </c>
      <c r="D280" s="218" t="n">
        <v>183.54</v>
      </c>
      <c r="E280" s="218" t="n">
        <v>5.92</v>
      </c>
      <c r="F280" t="str">
        <v>https://re.jrc.ec.europa.eu/api/v5_3/PVcalc?lat=30.0444&amp;lon=31.2357&amp;peakpower=1&amp;loss=14&amp;angle=0&amp;aspect=75&amp;outputformat=json&amp;raddatabase=PVGIS-SARAH3&amp;pvtechchoice=crystSi&amp;mountingplace=free&amp;usehorizon=1</v>
      </c>
    </row>
    <row r="281">
      <c r="A281" t="n">
        <v>0</v>
      </c>
      <c r="B281" t="n">
        <v>255</v>
      </c>
      <c r="C281" t="n">
        <v>8</v>
      </c>
      <c r="D281" s="218" t="n">
        <v>170.74</v>
      </c>
      <c r="E281" s="218" t="n">
        <v>5.51</v>
      </c>
      <c r="F281" t="str">
        <v>https://re.jrc.ec.europa.eu/api/v5_3/PVcalc?lat=30.0444&amp;lon=31.2357&amp;peakpower=1&amp;loss=14&amp;angle=0&amp;aspect=75&amp;outputformat=json&amp;raddatabase=PVGIS-SARAH3&amp;pvtechchoice=crystSi&amp;mountingplace=free&amp;usehorizon=1</v>
      </c>
    </row>
    <row r="282">
      <c r="A282" t="n">
        <v>0</v>
      </c>
      <c r="B282" t="n">
        <v>255</v>
      </c>
      <c r="C282" t="n">
        <v>9</v>
      </c>
      <c r="D282" s="218" t="n">
        <v>146.06</v>
      </c>
      <c r="E282" s="218" t="n">
        <v>4.87</v>
      </c>
      <c r="F282" t="str">
        <v>https://re.jrc.ec.europa.eu/api/v5_3/PVcalc?lat=30.0444&amp;lon=31.2357&amp;peakpower=1&amp;loss=14&amp;angle=0&amp;aspect=75&amp;outputformat=json&amp;raddatabase=PVGIS-SARAH3&amp;pvtechchoice=crystSi&amp;mountingplace=free&amp;usehorizon=1</v>
      </c>
    </row>
    <row r="283">
      <c r="A283" t="n">
        <v>0</v>
      </c>
      <c r="B283" t="n">
        <v>255</v>
      </c>
      <c r="C283" t="n">
        <v>10</v>
      </c>
      <c r="D283" s="218" t="n">
        <v>122.34</v>
      </c>
      <c r="E283" s="218" t="n">
        <v>3.95</v>
      </c>
      <c r="F283" t="str">
        <v>https://re.jrc.ec.europa.eu/api/v5_3/PVcalc?lat=30.0444&amp;lon=31.2357&amp;peakpower=1&amp;loss=14&amp;angle=0&amp;aspect=75&amp;outputformat=json&amp;raddatabase=PVGIS-SARAH3&amp;pvtechchoice=crystSi&amp;mountingplace=free&amp;usehorizon=1</v>
      </c>
    </row>
    <row r="284">
      <c r="A284" t="n">
        <v>0</v>
      </c>
      <c r="B284" t="n">
        <v>255</v>
      </c>
      <c r="C284" t="n">
        <v>11</v>
      </c>
      <c r="D284" s="218" t="n">
        <v>94.5</v>
      </c>
      <c r="E284" s="218" t="n">
        <v>3.15</v>
      </c>
      <c r="F284" t="str">
        <v>https://re.jrc.ec.europa.eu/api/v5_3/PVcalc?lat=30.0444&amp;lon=31.2357&amp;peakpower=1&amp;loss=14&amp;angle=0&amp;aspect=75&amp;outputformat=json&amp;raddatabase=PVGIS-SARAH3&amp;pvtechchoice=crystSi&amp;mountingplace=free&amp;usehorizon=1</v>
      </c>
    </row>
    <row r="285">
      <c r="A285" t="n">
        <v>0</v>
      </c>
      <c r="B285" t="n">
        <v>255</v>
      </c>
      <c r="C285" t="n">
        <v>12</v>
      </c>
      <c r="D285" s="218" t="n">
        <v>83.99</v>
      </c>
      <c r="E285" s="218" t="n">
        <v>2.71</v>
      </c>
      <c r="F285" t="str">
        <v>https://re.jrc.ec.europa.eu/api/v5_3/PVcalc?lat=30.0444&amp;lon=31.2357&amp;peakpower=1&amp;loss=14&amp;angle=0&amp;aspect=75&amp;outputformat=json&amp;raddatabase=PVGIS-SARAH3&amp;pvtechchoice=crystSi&amp;mountingplace=free&amp;usehorizon=1</v>
      </c>
    </row>
    <row r="286">
      <c r="A286" t="n">
        <v>0</v>
      </c>
      <c r="B286" t="n">
        <v>270</v>
      </c>
      <c r="C286" t="n">
        <v>1</v>
      </c>
      <c r="D286" s="218" t="n">
        <v>88.85</v>
      </c>
      <c r="E286" s="218" t="n">
        <v>2.87</v>
      </c>
      <c r="F286" t="str">
        <v>https://re.jrc.ec.europa.eu/api/v5_3/PVcalc?lat=30.0444&amp;lon=31.2357&amp;peakpower=1&amp;loss=14&amp;angle=0&amp;aspect=90&amp;outputformat=json&amp;raddatabase=PVGIS-SARAH3&amp;pvtechchoice=crystSi&amp;mountingplace=free&amp;usehorizon=1</v>
      </c>
    </row>
    <row r="287">
      <c r="A287" t="n">
        <v>0</v>
      </c>
      <c r="B287" t="n">
        <v>270</v>
      </c>
      <c r="C287" t="n">
        <v>2</v>
      </c>
      <c r="D287" s="218" t="n">
        <v>98.94</v>
      </c>
      <c r="E287" s="218" t="n">
        <v>3.53</v>
      </c>
      <c r="F287" t="str">
        <v>https://re.jrc.ec.europa.eu/api/v5_3/PVcalc?lat=30.0444&amp;lon=31.2357&amp;peakpower=1&amp;loss=14&amp;angle=0&amp;aspect=90&amp;outputformat=json&amp;raddatabase=PVGIS-SARAH3&amp;pvtechchoice=crystSi&amp;mountingplace=free&amp;usehorizon=1</v>
      </c>
    </row>
    <row r="288">
      <c r="A288" t="n">
        <v>0</v>
      </c>
      <c r="B288" t="n">
        <v>270</v>
      </c>
      <c r="C288" t="n">
        <v>3</v>
      </c>
      <c r="D288" s="218" t="n">
        <v>139.85</v>
      </c>
      <c r="E288" s="218" t="n">
        <v>4.51</v>
      </c>
      <c r="F288" t="str">
        <v>https://re.jrc.ec.europa.eu/api/v5_3/PVcalc?lat=30.0444&amp;lon=31.2357&amp;peakpower=1&amp;loss=14&amp;angle=0&amp;aspect=90&amp;outputformat=json&amp;raddatabase=PVGIS-SARAH3&amp;pvtechchoice=crystSi&amp;mountingplace=free&amp;usehorizon=1</v>
      </c>
    </row>
    <row r="289">
      <c r="A289" t="n">
        <v>0</v>
      </c>
      <c r="B289" t="n">
        <v>270</v>
      </c>
      <c r="C289" t="n">
        <v>4</v>
      </c>
      <c r="D289" s="218" t="n">
        <v>158.15</v>
      </c>
      <c r="E289" s="218" t="n">
        <v>5.27</v>
      </c>
      <c r="F289" t="str">
        <v>https://re.jrc.ec.europa.eu/api/v5_3/PVcalc?lat=30.0444&amp;lon=31.2357&amp;peakpower=1&amp;loss=14&amp;angle=0&amp;aspect=90&amp;outputformat=json&amp;raddatabase=PVGIS-SARAH3&amp;pvtechchoice=crystSi&amp;mountingplace=free&amp;usehorizon=1</v>
      </c>
    </row>
    <row r="290">
      <c r="A290" t="n">
        <v>0</v>
      </c>
      <c r="B290" t="n">
        <v>270</v>
      </c>
      <c r="C290" t="n">
        <v>5</v>
      </c>
      <c r="D290" s="218" t="n">
        <v>176.18</v>
      </c>
      <c r="E290" s="218" t="n">
        <v>5.68</v>
      </c>
      <c r="F290" t="str">
        <v>https://re.jrc.ec.europa.eu/api/v5_3/PVcalc?lat=30.0444&amp;lon=31.2357&amp;peakpower=1&amp;loss=14&amp;angle=0&amp;aspect=90&amp;outputformat=json&amp;raddatabase=PVGIS-SARAH3&amp;pvtechchoice=crystSi&amp;mountingplace=free&amp;usehorizon=1</v>
      </c>
    </row>
    <row r="291">
      <c r="A291" t="n">
        <v>0</v>
      </c>
      <c r="B291" t="n">
        <v>270</v>
      </c>
      <c r="C291" t="n">
        <v>6</v>
      </c>
      <c r="D291" s="218" t="n">
        <v>181.03</v>
      </c>
      <c r="E291" s="218" t="n">
        <v>6.03</v>
      </c>
      <c r="F291" t="str">
        <v>https://re.jrc.ec.europa.eu/api/v5_3/PVcalc?lat=30.0444&amp;lon=31.2357&amp;peakpower=1&amp;loss=14&amp;angle=0&amp;aspect=90&amp;outputformat=json&amp;raddatabase=PVGIS-SARAH3&amp;pvtechchoice=crystSi&amp;mountingplace=free&amp;usehorizon=1</v>
      </c>
    </row>
    <row r="292">
      <c r="A292" t="n">
        <v>0</v>
      </c>
      <c r="B292" t="n">
        <v>270</v>
      </c>
      <c r="C292" t="n">
        <v>7</v>
      </c>
      <c r="D292" s="218" t="n">
        <v>183.54</v>
      </c>
      <c r="E292" s="218" t="n">
        <v>5.92</v>
      </c>
      <c r="F292" t="str">
        <v>https://re.jrc.ec.europa.eu/api/v5_3/PVcalc?lat=30.0444&amp;lon=31.2357&amp;peakpower=1&amp;loss=14&amp;angle=0&amp;aspect=90&amp;outputformat=json&amp;raddatabase=PVGIS-SARAH3&amp;pvtechchoice=crystSi&amp;mountingplace=free&amp;usehorizon=1</v>
      </c>
    </row>
    <row r="293">
      <c r="A293" t="n">
        <v>0</v>
      </c>
      <c r="B293" t="n">
        <v>270</v>
      </c>
      <c r="C293" t="n">
        <v>8</v>
      </c>
      <c r="D293" s="218" t="n">
        <v>170.74</v>
      </c>
      <c r="E293" s="218" t="n">
        <v>5.51</v>
      </c>
      <c r="F293" t="str">
        <v>https://re.jrc.ec.europa.eu/api/v5_3/PVcalc?lat=30.0444&amp;lon=31.2357&amp;peakpower=1&amp;loss=14&amp;angle=0&amp;aspect=90&amp;outputformat=json&amp;raddatabase=PVGIS-SARAH3&amp;pvtechchoice=crystSi&amp;mountingplace=free&amp;usehorizon=1</v>
      </c>
    </row>
    <row r="294">
      <c r="A294" t="n">
        <v>0</v>
      </c>
      <c r="B294" t="n">
        <v>270</v>
      </c>
      <c r="C294" t="n">
        <v>9</v>
      </c>
      <c r="D294" s="218" t="n">
        <v>146.05</v>
      </c>
      <c r="E294" s="218" t="n">
        <v>4.87</v>
      </c>
      <c r="F294" t="str">
        <v>https://re.jrc.ec.europa.eu/api/v5_3/PVcalc?lat=30.0444&amp;lon=31.2357&amp;peakpower=1&amp;loss=14&amp;angle=0&amp;aspect=90&amp;outputformat=json&amp;raddatabase=PVGIS-SARAH3&amp;pvtechchoice=crystSi&amp;mountingplace=free&amp;usehorizon=1</v>
      </c>
    </row>
    <row r="295">
      <c r="A295" t="n">
        <v>0</v>
      </c>
      <c r="B295" t="n">
        <v>270</v>
      </c>
      <c r="C295" t="n">
        <v>10</v>
      </c>
      <c r="D295" s="218" t="n">
        <v>122.34</v>
      </c>
      <c r="E295" s="218" t="n">
        <v>3.95</v>
      </c>
      <c r="F295" t="str">
        <v>https://re.jrc.ec.europa.eu/api/v5_3/PVcalc?lat=30.0444&amp;lon=31.2357&amp;peakpower=1&amp;loss=14&amp;angle=0&amp;aspect=90&amp;outputformat=json&amp;raddatabase=PVGIS-SARAH3&amp;pvtechchoice=crystSi&amp;mountingplace=free&amp;usehorizon=1</v>
      </c>
    </row>
    <row r="296">
      <c r="A296" t="n">
        <v>0</v>
      </c>
      <c r="B296" t="n">
        <v>270</v>
      </c>
      <c r="C296" t="n">
        <v>11</v>
      </c>
      <c r="D296" s="218" t="n">
        <v>94.5</v>
      </c>
      <c r="E296" s="218" t="n">
        <v>3.15</v>
      </c>
      <c r="F296" t="str">
        <v>https://re.jrc.ec.europa.eu/api/v5_3/PVcalc?lat=30.0444&amp;lon=31.2357&amp;peakpower=1&amp;loss=14&amp;angle=0&amp;aspect=90&amp;outputformat=json&amp;raddatabase=PVGIS-SARAH3&amp;pvtechchoice=crystSi&amp;mountingplace=free&amp;usehorizon=1</v>
      </c>
    </row>
    <row r="297">
      <c r="A297" t="n">
        <v>0</v>
      </c>
      <c r="B297" t="n">
        <v>270</v>
      </c>
      <c r="C297" t="n">
        <v>12</v>
      </c>
      <c r="D297" s="218" t="n">
        <v>83.98</v>
      </c>
      <c r="E297" s="218" t="n">
        <v>2.71</v>
      </c>
      <c r="F297" t="str">
        <v>https://re.jrc.ec.europa.eu/api/v5_3/PVcalc?lat=30.0444&amp;lon=31.2357&amp;peakpower=1&amp;loss=14&amp;angle=0&amp;aspect=90&amp;outputformat=json&amp;raddatabase=PVGIS-SARAH3&amp;pvtechchoice=crystSi&amp;mountingplace=free&amp;usehorizon=1</v>
      </c>
    </row>
    <row r="298">
      <c r="A298" t="n">
        <v>0</v>
      </c>
      <c r="B298" t="n">
        <v>285</v>
      </c>
      <c r="C298" t="n">
        <v>1</v>
      </c>
      <c r="D298" s="218" t="n">
        <v>88.85</v>
      </c>
      <c r="E298" s="218" t="n">
        <v>2.87</v>
      </c>
      <c r="F298" t="str">
        <v>https://re.jrc.ec.europa.eu/api/v5_3/PVcalc?lat=30.0444&amp;lon=31.2357&amp;peakpower=1&amp;loss=14&amp;angle=0&amp;aspect=105&amp;outputformat=json&amp;raddatabase=PVGIS-SARAH3&amp;pvtechchoice=crystSi&amp;mountingplace=free&amp;usehorizon=1</v>
      </c>
    </row>
    <row r="299">
      <c r="A299" t="n">
        <v>0</v>
      </c>
      <c r="B299" t="n">
        <v>285</v>
      </c>
      <c r="C299" t="n">
        <v>2</v>
      </c>
      <c r="D299" s="218" t="n">
        <v>98.94</v>
      </c>
      <c r="E299" s="218" t="n">
        <v>3.53</v>
      </c>
      <c r="F299" t="str">
        <v>https://re.jrc.ec.europa.eu/api/v5_3/PVcalc?lat=30.0444&amp;lon=31.2357&amp;peakpower=1&amp;loss=14&amp;angle=0&amp;aspect=105&amp;outputformat=json&amp;raddatabase=PVGIS-SARAH3&amp;pvtechchoice=crystSi&amp;mountingplace=free&amp;usehorizon=1</v>
      </c>
    </row>
    <row r="300">
      <c r="A300" t="n">
        <v>0</v>
      </c>
      <c r="B300" t="n">
        <v>285</v>
      </c>
      <c r="C300" t="n">
        <v>3</v>
      </c>
      <c r="D300" s="218" t="n">
        <v>139.85</v>
      </c>
      <c r="E300" s="218" t="n">
        <v>4.51</v>
      </c>
      <c r="F300" t="str">
        <v>https://re.jrc.ec.europa.eu/api/v5_3/PVcalc?lat=30.0444&amp;lon=31.2357&amp;peakpower=1&amp;loss=14&amp;angle=0&amp;aspect=105&amp;outputformat=json&amp;raddatabase=PVGIS-SARAH3&amp;pvtechchoice=crystSi&amp;mountingplace=free&amp;usehorizon=1</v>
      </c>
    </row>
    <row r="301">
      <c r="A301" t="n">
        <v>0</v>
      </c>
      <c r="B301" t="n">
        <v>285</v>
      </c>
      <c r="C301" t="n">
        <v>4</v>
      </c>
      <c r="D301" s="218" t="n">
        <v>158.15</v>
      </c>
      <c r="E301" s="218" t="n">
        <v>5.27</v>
      </c>
      <c r="F301" t="str">
        <v>https://re.jrc.ec.europa.eu/api/v5_3/PVcalc?lat=30.0444&amp;lon=31.2357&amp;peakpower=1&amp;loss=14&amp;angle=0&amp;aspect=105&amp;outputformat=json&amp;raddatabase=PVGIS-SARAH3&amp;pvtechchoice=crystSi&amp;mountingplace=free&amp;usehorizon=1</v>
      </c>
    </row>
    <row r="302">
      <c r="A302" t="n">
        <v>0</v>
      </c>
      <c r="B302" t="n">
        <v>285</v>
      </c>
      <c r="C302" t="n">
        <v>5</v>
      </c>
      <c r="D302" s="218" t="n">
        <v>176.18</v>
      </c>
      <c r="E302" s="218" t="n">
        <v>5.68</v>
      </c>
      <c r="F302" t="str">
        <v>https://re.jrc.ec.europa.eu/api/v5_3/PVcalc?lat=30.0444&amp;lon=31.2357&amp;peakpower=1&amp;loss=14&amp;angle=0&amp;aspect=105&amp;outputformat=json&amp;raddatabase=PVGIS-SARAH3&amp;pvtechchoice=crystSi&amp;mountingplace=free&amp;usehorizon=1</v>
      </c>
    </row>
    <row r="303">
      <c r="A303" t="n">
        <v>0</v>
      </c>
      <c r="B303" t="n">
        <v>285</v>
      </c>
      <c r="C303" t="n">
        <v>6</v>
      </c>
      <c r="D303" s="218" t="n">
        <v>181.03</v>
      </c>
      <c r="E303" s="218" t="n">
        <v>6.03</v>
      </c>
      <c r="F303" t="str">
        <v>https://re.jrc.ec.europa.eu/api/v5_3/PVcalc?lat=30.0444&amp;lon=31.2357&amp;peakpower=1&amp;loss=14&amp;angle=0&amp;aspect=105&amp;outputformat=json&amp;raddatabase=PVGIS-SARAH3&amp;pvtechchoice=crystSi&amp;mountingplace=free&amp;usehorizon=1</v>
      </c>
    </row>
    <row r="304">
      <c r="A304" t="n">
        <v>0</v>
      </c>
      <c r="B304" t="n">
        <v>285</v>
      </c>
      <c r="C304" t="n">
        <v>7</v>
      </c>
      <c r="D304" s="218" t="n">
        <v>183.54</v>
      </c>
      <c r="E304" s="218" t="n">
        <v>5.92</v>
      </c>
      <c r="F304" t="str">
        <v>https://re.jrc.ec.europa.eu/api/v5_3/PVcalc?lat=30.0444&amp;lon=31.2357&amp;peakpower=1&amp;loss=14&amp;angle=0&amp;aspect=105&amp;outputformat=json&amp;raddatabase=PVGIS-SARAH3&amp;pvtechchoice=crystSi&amp;mountingplace=free&amp;usehorizon=1</v>
      </c>
    </row>
    <row r="305">
      <c r="A305" t="n">
        <v>0</v>
      </c>
      <c r="B305" t="n">
        <v>285</v>
      </c>
      <c r="C305" t="n">
        <v>8</v>
      </c>
      <c r="D305" s="218" t="n">
        <v>170.74</v>
      </c>
      <c r="E305" s="218" t="n">
        <v>5.51</v>
      </c>
      <c r="F305" t="str">
        <v>https://re.jrc.ec.europa.eu/api/v5_3/PVcalc?lat=30.0444&amp;lon=31.2357&amp;peakpower=1&amp;loss=14&amp;angle=0&amp;aspect=105&amp;outputformat=json&amp;raddatabase=PVGIS-SARAH3&amp;pvtechchoice=crystSi&amp;mountingplace=free&amp;usehorizon=1</v>
      </c>
    </row>
    <row r="306">
      <c r="A306" t="n">
        <v>0</v>
      </c>
      <c r="B306" t="n">
        <v>285</v>
      </c>
      <c r="C306" t="n">
        <v>9</v>
      </c>
      <c r="D306" s="218" t="n">
        <v>146.05</v>
      </c>
      <c r="E306" s="218" t="n">
        <v>4.87</v>
      </c>
      <c r="F306" t="str">
        <v>https://re.jrc.ec.europa.eu/api/v5_3/PVcalc?lat=30.0444&amp;lon=31.2357&amp;peakpower=1&amp;loss=14&amp;angle=0&amp;aspect=105&amp;outputformat=json&amp;raddatabase=PVGIS-SARAH3&amp;pvtechchoice=crystSi&amp;mountingplace=free&amp;usehorizon=1</v>
      </c>
    </row>
    <row r="307">
      <c r="A307" t="n">
        <v>0</v>
      </c>
      <c r="B307" t="n">
        <v>285</v>
      </c>
      <c r="C307" t="n">
        <v>10</v>
      </c>
      <c r="D307" s="218" t="n">
        <v>122.34</v>
      </c>
      <c r="E307" s="218" t="n">
        <v>3.95</v>
      </c>
      <c r="F307" t="str">
        <v>https://re.jrc.ec.europa.eu/api/v5_3/PVcalc?lat=30.0444&amp;lon=31.2357&amp;peakpower=1&amp;loss=14&amp;angle=0&amp;aspect=105&amp;outputformat=json&amp;raddatabase=PVGIS-SARAH3&amp;pvtechchoice=crystSi&amp;mountingplace=free&amp;usehorizon=1</v>
      </c>
    </row>
    <row r="308">
      <c r="A308" t="n">
        <v>0</v>
      </c>
      <c r="B308" t="n">
        <v>285</v>
      </c>
      <c r="C308" t="n">
        <v>11</v>
      </c>
      <c r="D308" s="218" t="n">
        <v>94.5</v>
      </c>
      <c r="E308" s="218" t="n">
        <v>3.15</v>
      </c>
      <c r="F308" t="str">
        <v>https://re.jrc.ec.europa.eu/api/v5_3/PVcalc?lat=30.0444&amp;lon=31.2357&amp;peakpower=1&amp;loss=14&amp;angle=0&amp;aspect=105&amp;outputformat=json&amp;raddatabase=PVGIS-SARAH3&amp;pvtechchoice=crystSi&amp;mountingplace=free&amp;usehorizon=1</v>
      </c>
    </row>
    <row r="309">
      <c r="A309" t="n">
        <v>0</v>
      </c>
      <c r="B309" t="n">
        <v>285</v>
      </c>
      <c r="C309" t="n">
        <v>12</v>
      </c>
      <c r="D309" s="218" t="n">
        <v>83.98</v>
      </c>
      <c r="E309" s="218" t="n">
        <v>2.71</v>
      </c>
      <c r="F309" t="str">
        <v>https://re.jrc.ec.europa.eu/api/v5_3/PVcalc?lat=30.0444&amp;lon=31.2357&amp;peakpower=1&amp;loss=14&amp;angle=0&amp;aspect=105&amp;outputformat=json&amp;raddatabase=PVGIS-SARAH3&amp;pvtechchoice=crystSi&amp;mountingplace=free&amp;usehorizon=1</v>
      </c>
    </row>
    <row r="310">
      <c r="A310" t="n">
        <v>0</v>
      </c>
      <c r="B310" t="n">
        <v>300</v>
      </c>
      <c r="C310" t="n">
        <v>1</v>
      </c>
      <c r="D310" s="218" t="n">
        <v>88.85</v>
      </c>
      <c r="E310" s="218" t="n">
        <v>2.87</v>
      </c>
      <c r="F310" t="str">
        <v>https://re.jrc.ec.europa.eu/api/v5_3/PVcalc?lat=30.0444&amp;lon=31.2357&amp;peakpower=1&amp;loss=14&amp;angle=0&amp;aspect=120&amp;outputformat=json&amp;raddatabase=PVGIS-SARAH3&amp;pvtechchoice=crystSi&amp;mountingplace=free&amp;usehorizon=1</v>
      </c>
    </row>
    <row r="311">
      <c r="A311" t="n">
        <v>0</v>
      </c>
      <c r="B311" t="n">
        <v>300</v>
      </c>
      <c r="C311" t="n">
        <v>2</v>
      </c>
      <c r="D311" s="218" t="n">
        <v>98.94</v>
      </c>
      <c r="E311" s="218" t="n">
        <v>3.53</v>
      </c>
      <c r="F311" t="str">
        <v>https://re.jrc.ec.europa.eu/api/v5_3/PVcalc?lat=30.0444&amp;lon=31.2357&amp;peakpower=1&amp;loss=14&amp;angle=0&amp;aspect=120&amp;outputformat=json&amp;raddatabase=PVGIS-SARAH3&amp;pvtechchoice=crystSi&amp;mountingplace=free&amp;usehorizon=1</v>
      </c>
    </row>
    <row r="312">
      <c r="A312" t="n">
        <v>0</v>
      </c>
      <c r="B312" t="n">
        <v>300</v>
      </c>
      <c r="C312" t="n">
        <v>3</v>
      </c>
      <c r="D312" s="218" t="n">
        <v>139.85</v>
      </c>
      <c r="E312" s="218" t="n">
        <v>4.51</v>
      </c>
      <c r="F312" t="str">
        <v>https://re.jrc.ec.europa.eu/api/v5_3/PVcalc?lat=30.0444&amp;lon=31.2357&amp;peakpower=1&amp;loss=14&amp;angle=0&amp;aspect=120&amp;outputformat=json&amp;raddatabase=PVGIS-SARAH3&amp;pvtechchoice=crystSi&amp;mountingplace=free&amp;usehorizon=1</v>
      </c>
    </row>
    <row r="313">
      <c r="A313" t="n">
        <v>0</v>
      </c>
      <c r="B313" t="n">
        <v>300</v>
      </c>
      <c r="C313" t="n">
        <v>4</v>
      </c>
      <c r="D313" s="218" t="n">
        <v>158.15</v>
      </c>
      <c r="E313" s="218" t="n">
        <v>5.27</v>
      </c>
      <c r="F313" t="str">
        <v>https://re.jrc.ec.europa.eu/api/v5_3/PVcalc?lat=30.0444&amp;lon=31.2357&amp;peakpower=1&amp;loss=14&amp;angle=0&amp;aspect=120&amp;outputformat=json&amp;raddatabase=PVGIS-SARAH3&amp;pvtechchoice=crystSi&amp;mountingplace=free&amp;usehorizon=1</v>
      </c>
    </row>
    <row r="314">
      <c r="A314" t="n">
        <v>0</v>
      </c>
      <c r="B314" t="n">
        <v>300</v>
      </c>
      <c r="C314" t="n">
        <v>5</v>
      </c>
      <c r="D314" s="218" t="n">
        <v>176.18</v>
      </c>
      <c r="E314" s="218" t="n">
        <v>5.68</v>
      </c>
      <c r="F314" t="str">
        <v>https://re.jrc.ec.europa.eu/api/v5_3/PVcalc?lat=30.0444&amp;lon=31.2357&amp;peakpower=1&amp;loss=14&amp;angle=0&amp;aspect=120&amp;outputformat=json&amp;raddatabase=PVGIS-SARAH3&amp;pvtechchoice=crystSi&amp;mountingplace=free&amp;usehorizon=1</v>
      </c>
    </row>
    <row r="315">
      <c r="A315" t="n">
        <v>0</v>
      </c>
      <c r="B315" t="n">
        <v>300</v>
      </c>
      <c r="C315" t="n">
        <v>6</v>
      </c>
      <c r="D315" s="218" t="n">
        <v>181.03</v>
      </c>
      <c r="E315" s="218" t="n">
        <v>6.03</v>
      </c>
      <c r="F315" t="str">
        <v>https://re.jrc.ec.europa.eu/api/v5_3/PVcalc?lat=30.0444&amp;lon=31.2357&amp;peakpower=1&amp;loss=14&amp;angle=0&amp;aspect=120&amp;outputformat=json&amp;raddatabase=PVGIS-SARAH3&amp;pvtechchoice=crystSi&amp;mountingplace=free&amp;usehorizon=1</v>
      </c>
    </row>
    <row r="316">
      <c r="A316" t="n">
        <v>0</v>
      </c>
      <c r="B316" t="n">
        <v>300</v>
      </c>
      <c r="C316" t="n">
        <v>7</v>
      </c>
      <c r="D316" s="218" t="n">
        <v>183.54</v>
      </c>
      <c r="E316" s="218" t="n">
        <v>5.92</v>
      </c>
      <c r="F316" t="str">
        <v>https://re.jrc.ec.europa.eu/api/v5_3/PVcalc?lat=30.0444&amp;lon=31.2357&amp;peakpower=1&amp;loss=14&amp;angle=0&amp;aspect=120&amp;outputformat=json&amp;raddatabase=PVGIS-SARAH3&amp;pvtechchoice=crystSi&amp;mountingplace=free&amp;usehorizon=1</v>
      </c>
    </row>
    <row r="317">
      <c r="A317" t="n">
        <v>0</v>
      </c>
      <c r="B317" t="n">
        <v>300</v>
      </c>
      <c r="C317" t="n">
        <v>8</v>
      </c>
      <c r="D317" s="218" t="n">
        <v>170.74</v>
      </c>
      <c r="E317" s="218" t="n">
        <v>5.51</v>
      </c>
      <c r="F317" t="str">
        <v>https://re.jrc.ec.europa.eu/api/v5_3/PVcalc?lat=30.0444&amp;lon=31.2357&amp;peakpower=1&amp;loss=14&amp;angle=0&amp;aspect=120&amp;outputformat=json&amp;raddatabase=PVGIS-SARAH3&amp;pvtechchoice=crystSi&amp;mountingplace=free&amp;usehorizon=1</v>
      </c>
    </row>
    <row r="318">
      <c r="A318" t="n">
        <v>0</v>
      </c>
      <c r="B318" t="n">
        <v>300</v>
      </c>
      <c r="C318" t="n">
        <v>9</v>
      </c>
      <c r="D318" s="218" t="n">
        <v>146.05</v>
      </c>
      <c r="E318" s="218" t="n">
        <v>4.87</v>
      </c>
      <c r="F318" t="str">
        <v>https://re.jrc.ec.europa.eu/api/v5_3/PVcalc?lat=30.0444&amp;lon=31.2357&amp;peakpower=1&amp;loss=14&amp;angle=0&amp;aspect=120&amp;outputformat=json&amp;raddatabase=PVGIS-SARAH3&amp;pvtechchoice=crystSi&amp;mountingplace=free&amp;usehorizon=1</v>
      </c>
    </row>
    <row r="319">
      <c r="A319" t="n">
        <v>0</v>
      </c>
      <c r="B319" t="n">
        <v>300</v>
      </c>
      <c r="C319" t="n">
        <v>10</v>
      </c>
      <c r="D319" s="218" t="n">
        <v>122.34</v>
      </c>
      <c r="E319" s="218" t="n">
        <v>3.95</v>
      </c>
      <c r="F319" t="str">
        <v>https://re.jrc.ec.europa.eu/api/v5_3/PVcalc?lat=30.0444&amp;lon=31.2357&amp;peakpower=1&amp;loss=14&amp;angle=0&amp;aspect=120&amp;outputformat=json&amp;raddatabase=PVGIS-SARAH3&amp;pvtechchoice=crystSi&amp;mountingplace=free&amp;usehorizon=1</v>
      </c>
    </row>
    <row r="320">
      <c r="A320" t="n">
        <v>0</v>
      </c>
      <c r="B320" t="n">
        <v>300</v>
      </c>
      <c r="C320" t="n">
        <v>11</v>
      </c>
      <c r="D320" s="218" t="n">
        <v>94.5</v>
      </c>
      <c r="E320" s="218" t="n">
        <v>3.15</v>
      </c>
      <c r="F320" t="str">
        <v>https://re.jrc.ec.europa.eu/api/v5_3/PVcalc?lat=30.0444&amp;lon=31.2357&amp;peakpower=1&amp;loss=14&amp;angle=0&amp;aspect=120&amp;outputformat=json&amp;raddatabase=PVGIS-SARAH3&amp;pvtechchoice=crystSi&amp;mountingplace=free&amp;usehorizon=1</v>
      </c>
    </row>
    <row r="321">
      <c r="A321" t="n">
        <v>0</v>
      </c>
      <c r="B321" t="n">
        <v>300</v>
      </c>
      <c r="C321" t="n">
        <v>12</v>
      </c>
      <c r="D321" s="218" t="n">
        <v>83.98</v>
      </c>
      <c r="E321" s="218" t="n">
        <v>2.71</v>
      </c>
      <c r="F321" t="str">
        <v>https://re.jrc.ec.europa.eu/api/v5_3/PVcalc?lat=30.0444&amp;lon=31.2357&amp;peakpower=1&amp;loss=14&amp;angle=0&amp;aspect=120&amp;outputformat=json&amp;raddatabase=PVGIS-SARAH3&amp;pvtechchoice=crystSi&amp;mountingplace=free&amp;usehorizon=1</v>
      </c>
    </row>
    <row r="322">
      <c r="A322" t="n">
        <v>0</v>
      </c>
      <c r="B322" t="n">
        <v>315</v>
      </c>
      <c r="C322" t="n">
        <v>1</v>
      </c>
      <c r="D322" s="218" t="n">
        <v>88.85</v>
      </c>
      <c r="E322" s="218" t="n">
        <v>2.87</v>
      </c>
      <c r="F322" t="str">
        <v>https://re.jrc.ec.europa.eu/api/v5_3/PVcalc?lat=30.0444&amp;lon=31.2357&amp;peakpower=1&amp;loss=14&amp;angle=0&amp;aspect=135&amp;outputformat=json&amp;raddatabase=PVGIS-SARAH3&amp;pvtechchoice=crystSi&amp;mountingplace=free&amp;usehorizon=1</v>
      </c>
    </row>
    <row r="323">
      <c r="A323" t="n">
        <v>0</v>
      </c>
      <c r="B323" t="n">
        <v>315</v>
      </c>
      <c r="C323" t="n">
        <v>2</v>
      </c>
      <c r="D323" s="218" t="n">
        <v>98.94</v>
      </c>
      <c r="E323" s="218" t="n">
        <v>3.53</v>
      </c>
      <c r="F323" t="str">
        <v>https://re.jrc.ec.europa.eu/api/v5_3/PVcalc?lat=30.0444&amp;lon=31.2357&amp;peakpower=1&amp;loss=14&amp;angle=0&amp;aspect=135&amp;outputformat=json&amp;raddatabase=PVGIS-SARAH3&amp;pvtechchoice=crystSi&amp;mountingplace=free&amp;usehorizon=1</v>
      </c>
    </row>
    <row r="324">
      <c r="A324" t="n">
        <v>0</v>
      </c>
      <c r="B324" t="n">
        <v>315</v>
      </c>
      <c r="C324" t="n">
        <v>3</v>
      </c>
      <c r="D324" s="218" t="n">
        <v>139.85</v>
      </c>
      <c r="E324" s="218" t="n">
        <v>4.51</v>
      </c>
      <c r="F324" t="str">
        <v>https://re.jrc.ec.europa.eu/api/v5_3/PVcalc?lat=30.0444&amp;lon=31.2357&amp;peakpower=1&amp;loss=14&amp;angle=0&amp;aspect=135&amp;outputformat=json&amp;raddatabase=PVGIS-SARAH3&amp;pvtechchoice=crystSi&amp;mountingplace=free&amp;usehorizon=1</v>
      </c>
    </row>
    <row r="325">
      <c r="A325" t="n">
        <v>0</v>
      </c>
      <c r="B325" t="n">
        <v>315</v>
      </c>
      <c r="C325" t="n">
        <v>4</v>
      </c>
      <c r="D325" s="218" t="n">
        <v>158.15</v>
      </c>
      <c r="E325" s="218" t="n">
        <v>5.27</v>
      </c>
      <c r="F325" t="str">
        <v>https://re.jrc.ec.europa.eu/api/v5_3/PVcalc?lat=30.0444&amp;lon=31.2357&amp;peakpower=1&amp;loss=14&amp;angle=0&amp;aspect=135&amp;outputformat=json&amp;raddatabase=PVGIS-SARAH3&amp;pvtechchoice=crystSi&amp;mountingplace=free&amp;usehorizon=1</v>
      </c>
    </row>
    <row r="326">
      <c r="A326" t="n">
        <v>0</v>
      </c>
      <c r="B326" t="n">
        <v>315</v>
      </c>
      <c r="C326" t="n">
        <v>5</v>
      </c>
      <c r="D326" s="218" t="n">
        <v>176.18</v>
      </c>
      <c r="E326" s="218" t="n">
        <v>5.68</v>
      </c>
      <c r="F326" t="str">
        <v>https://re.jrc.ec.europa.eu/api/v5_3/PVcalc?lat=30.0444&amp;lon=31.2357&amp;peakpower=1&amp;loss=14&amp;angle=0&amp;aspect=135&amp;outputformat=json&amp;raddatabase=PVGIS-SARAH3&amp;pvtechchoice=crystSi&amp;mountingplace=free&amp;usehorizon=1</v>
      </c>
    </row>
    <row r="327">
      <c r="A327" t="n">
        <v>0</v>
      </c>
      <c r="B327" t="n">
        <v>315</v>
      </c>
      <c r="C327" t="n">
        <v>6</v>
      </c>
      <c r="D327" s="218" t="n">
        <v>181.03</v>
      </c>
      <c r="E327" s="218" t="n">
        <v>6.03</v>
      </c>
      <c r="F327" t="str">
        <v>https://re.jrc.ec.europa.eu/api/v5_3/PVcalc?lat=30.0444&amp;lon=31.2357&amp;peakpower=1&amp;loss=14&amp;angle=0&amp;aspect=135&amp;outputformat=json&amp;raddatabase=PVGIS-SARAH3&amp;pvtechchoice=crystSi&amp;mountingplace=free&amp;usehorizon=1</v>
      </c>
    </row>
    <row r="328">
      <c r="A328" t="n">
        <v>0</v>
      </c>
      <c r="B328" t="n">
        <v>315</v>
      </c>
      <c r="C328" t="n">
        <v>7</v>
      </c>
      <c r="D328" s="218" t="n">
        <v>183.54</v>
      </c>
      <c r="E328" s="218" t="n">
        <v>5.92</v>
      </c>
      <c r="F328" t="str">
        <v>https://re.jrc.ec.europa.eu/api/v5_3/PVcalc?lat=30.0444&amp;lon=31.2357&amp;peakpower=1&amp;loss=14&amp;angle=0&amp;aspect=135&amp;outputformat=json&amp;raddatabase=PVGIS-SARAH3&amp;pvtechchoice=crystSi&amp;mountingplace=free&amp;usehorizon=1</v>
      </c>
    </row>
    <row r="329">
      <c r="A329" t="n">
        <v>0</v>
      </c>
      <c r="B329" t="n">
        <v>315</v>
      </c>
      <c r="C329" t="n">
        <v>8</v>
      </c>
      <c r="D329" s="218" t="n">
        <v>170.73</v>
      </c>
      <c r="E329" s="218" t="n">
        <v>5.51</v>
      </c>
      <c r="F329" t="str">
        <v>https://re.jrc.ec.europa.eu/api/v5_3/PVcalc?lat=30.0444&amp;lon=31.2357&amp;peakpower=1&amp;loss=14&amp;angle=0&amp;aspect=135&amp;outputformat=json&amp;raddatabase=PVGIS-SARAH3&amp;pvtechchoice=crystSi&amp;mountingplace=free&amp;usehorizon=1</v>
      </c>
    </row>
    <row r="330">
      <c r="A330" t="n">
        <v>0</v>
      </c>
      <c r="B330" t="n">
        <v>315</v>
      </c>
      <c r="C330" t="n">
        <v>9</v>
      </c>
      <c r="D330" s="218" t="n">
        <v>146.05</v>
      </c>
      <c r="E330" s="218" t="n">
        <v>4.87</v>
      </c>
      <c r="F330" t="str">
        <v>https://re.jrc.ec.europa.eu/api/v5_3/PVcalc?lat=30.0444&amp;lon=31.2357&amp;peakpower=1&amp;loss=14&amp;angle=0&amp;aspect=135&amp;outputformat=json&amp;raddatabase=PVGIS-SARAH3&amp;pvtechchoice=crystSi&amp;mountingplace=free&amp;usehorizon=1</v>
      </c>
    </row>
    <row r="331">
      <c r="A331" t="n">
        <v>0</v>
      </c>
      <c r="B331" t="n">
        <v>315</v>
      </c>
      <c r="C331" t="n">
        <v>10</v>
      </c>
      <c r="D331" s="218" t="n">
        <v>122.34</v>
      </c>
      <c r="E331" s="218" t="n">
        <v>3.95</v>
      </c>
      <c r="F331" t="str">
        <v>https://re.jrc.ec.europa.eu/api/v5_3/PVcalc?lat=30.0444&amp;lon=31.2357&amp;peakpower=1&amp;loss=14&amp;angle=0&amp;aspect=135&amp;outputformat=json&amp;raddatabase=PVGIS-SARAH3&amp;pvtechchoice=crystSi&amp;mountingplace=free&amp;usehorizon=1</v>
      </c>
    </row>
    <row r="332">
      <c r="A332" t="n">
        <v>0</v>
      </c>
      <c r="B332" t="n">
        <v>315</v>
      </c>
      <c r="C332" t="n">
        <v>11</v>
      </c>
      <c r="D332" s="218" t="n">
        <v>94.5</v>
      </c>
      <c r="E332" s="218" t="n">
        <v>3.15</v>
      </c>
      <c r="F332" t="str">
        <v>https://re.jrc.ec.europa.eu/api/v5_3/PVcalc?lat=30.0444&amp;lon=31.2357&amp;peakpower=1&amp;loss=14&amp;angle=0&amp;aspect=135&amp;outputformat=json&amp;raddatabase=PVGIS-SARAH3&amp;pvtechchoice=crystSi&amp;mountingplace=free&amp;usehorizon=1</v>
      </c>
    </row>
    <row r="333">
      <c r="A333" t="n">
        <v>0</v>
      </c>
      <c r="B333" t="n">
        <v>315</v>
      </c>
      <c r="C333" t="n">
        <v>12</v>
      </c>
      <c r="D333" s="218" t="n">
        <v>83.98</v>
      </c>
      <c r="E333" s="218" t="n">
        <v>2.71</v>
      </c>
      <c r="F333" t="str">
        <v>https://re.jrc.ec.europa.eu/api/v5_3/PVcalc?lat=30.0444&amp;lon=31.2357&amp;peakpower=1&amp;loss=14&amp;angle=0&amp;aspect=135&amp;outputformat=json&amp;raddatabase=PVGIS-SARAH3&amp;pvtechchoice=crystSi&amp;mountingplace=free&amp;usehorizon=1</v>
      </c>
    </row>
    <row r="334">
      <c r="A334" t="n">
        <v>0</v>
      </c>
      <c r="B334" t="n">
        <v>330</v>
      </c>
      <c r="C334" t="n">
        <v>1</v>
      </c>
      <c r="D334" s="218" t="n">
        <v>88.85</v>
      </c>
      <c r="E334" s="218" t="n">
        <v>2.87</v>
      </c>
      <c r="F334" t="str">
        <v>https://re.jrc.ec.europa.eu/api/v5_3/PVcalc?lat=30.0444&amp;lon=31.2357&amp;peakpower=1&amp;loss=14&amp;angle=0&amp;aspect=150&amp;outputformat=json&amp;raddatabase=PVGIS-SARAH3&amp;pvtechchoice=crystSi&amp;mountingplace=free&amp;usehorizon=1</v>
      </c>
    </row>
    <row r="335">
      <c r="A335" t="n">
        <v>0</v>
      </c>
      <c r="B335" t="n">
        <v>330</v>
      </c>
      <c r="C335" t="n">
        <v>2</v>
      </c>
      <c r="D335" s="218" t="n">
        <v>98.94</v>
      </c>
      <c r="E335" s="218" t="n">
        <v>3.53</v>
      </c>
      <c r="F335" t="str">
        <v>https://re.jrc.ec.europa.eu/api/v5_3/PVcalc?lat=30.0444&amp;lon=31.2357&amp;peakpower=1&amp;loss=14&amp;angle=0&amp;aspect=150&amp;outputformat=json&amp;raddatabase=PVGIS-SARAH3&amp;pvtechchoice=crystSi&amp;mountingplace=free&amp;usehorizon=1</v>
      </c>
    </row>
    <row r="336">
      <c r="A336" t="n">
        <v>0</v>
      </c>
      <c r="B336" t="n">
        <v>330</v>
      </c>
      <c r="C336" t="n">
        <v>3</v>
      </c>
      <c r="D336" s="218" t="n">
        <v>139.85</v>
      </c>
      <c r="E336" s="218" t="n">
        <v>4.51</v>
      </c>
      <c r="F336" t="str">
        <v>https://re.jrc.ec.europa.eu/api/v5_3/PVcalc?lat=30.0444&amp;lon=31.2357&amp;peakpower=1&amp;loss=14&amp;angle=0&amp;aspect=150&amp;outputformat=json&amp;raddatabase=PVGIS-SARAH3&amp;pvtechchoice=crystSi&amp;mountingplace=free&amp;usehorizon=1</v>
      </c>
    </row>
    <row r="337">
      <c r="A337" t="n">
        <v>0</v>
      </c>
      <c r="B337" t="n">
        <v>330</v>
      </c>
      <c r="C337" t="n">
        <v>4</v>
      </c>
      <c r="D337" s="218" t="n">
        <v>158.15</v>
      </c>
      <c r="E337" s="218" t="n">
        <v>5.27</v>
      </c>
      <c r="F337" t="str">
        <v>https://re.jrc.ec.europa.eu/api/v5_3/PVcalc?lat=30.0444&amp;lon=31.2357&amp;peakpower=1&amp;loss=14&amp;angle=0&amp;aspect=150&amp;outputformat=json&amp;raddatabase=PVGIS-SARAH3&amp;pvtechchoice=crystSi&amp;mountingplace=free&amp;usehorizon=1</v>
      </c>
    </row>
    <row r="338">
      <c r="A338" t="n">
        <v>0</v>
      </c>
      <c r="B338" t="n">
        <v>330</v>
      </c>
      <c r="C338" t="n">
        <v>5</v>
      </c>
      <c r="D338" s="218" t="n">
        <v>176.18</v>
      </c>
      <c r="E338" s="218" t="n">
        <v>5.68</v>
      </c>
      <c r="F338" t="str">
        <v>https://re.jrc.ec.europa.eu/api/v5_3/PVcalc?lat=30.0444&amp;lon=31.2357&amp;peakpower=1&amp;loss=14&amp;angle=0&amp;aspect=150&amp;outputformat=json&amp;raddatabase=PVGIS-SARAH3&amp;pvtechchoice=crystSi&amp;mountingplace=free&amp;usehorizon=1</v>
      </c>
    </row>
    <row r="339">
      <c r="A339" t="n">
        <v>0</v>
      </c>
      <c r="B339" t="n">
        <v>330</v>
      </c>
      <c r="C339" t="n">
        <v>6</v>
      </c>
      <c r="D339" s="218" t="n">
        <v>181.03</v>
      </c>
      <c r="E339" s="218" t="n">
        <v>6.03</v>
      </c>
      <c r="F339" t="str">
        <v>https://re.jrc.ec.europa.eu/api/v5_3/PVcalc?lat=30.0444&amp;lon=31.2357&amp;peakpower=1&amp;loss=14&amp;angle=0&amp;aspect=150&amp;outputformat=json&amp;raddatabase=PVGIS-SARAH3&amp;pvtechchoice=crystSi&amp;mountingplace=free&amp;usehorizon=1</v>
      </c>
    </row>
    <row r="340">
      <c r="A340" t="n">
        <v>0</v>
      </c>
      <c r="B340" t="n">
        <v>330</v>
      </c>
      <c r="C340" t="n">
        <v>7</v>
      </c>
      <c r="D340" s="218" t="n">
        <v>183.54</v>
      </c>
      <c r="E340" s="218" t="n">
        <v>5.92</v>
      </c>
      <c r="F340" t="str">
        <v>https://re.jrc.ec.europa.eu/api/v5_3/PVcalc?lat=30.0444&amp;lon=31.2357&amp;peakpower=1&amp;loss=14&amp;angle=0&amp;aspect=150&amp;outputformat=json&amp;raddatabase=PVGIS-SARAH3&amp;pvtechchoice=crystSi&amp;mountingplace=free&amp;usehorizon=1</v>
      </c>
    </row>
    <row r="341">
      <c r="A341" t="n">
        <v>0</v>
      </c>
      <c r="B341" t="n">
        <v>330</v>
      </c>
      <c r="C341" t="n">
        <v>8</v>
      </c>
      <c r="D341" s="218" t="n">
        <v>170.73</v>
      </c>
      <c r="E341" s="218" t="n">
        <v>5.51</v>
      </c>
      <c r="F341" t="str">
        <v>https://re.jrc.ec.europa.eu/api/v5_3/PVcalc?lat=30.0444&amp;lon=31.2357&amp;peakpower=1&amp;loss=14&amp;angle=0&amp;aspect=150&amp;outputformat=json&amp;raddatabase=PVGIS-SARAH3&amp;pvtechchoice=crystSi&amp;mountingplace=free&amp;usehorizon=1</v>
      </c>
    </row>
    <row r="342">
      <c r="A342" t="n">
        <v>0</v>
      </c>
      <c r="B342" t="n">
        <v>330</v>
      </c>
      <c r="C342" t="n">
        <v>9</v>
      </c>
      <c r="D342" s="218" t="n">
        <v>146.05</v>
      </c>
      <c r="E342" s="218" t="n">
        <v>4.87</v>
      </c>
      <c r="F342" t="str">
        <v>https://re.jrc.ec.europa.eu/api/v5_3/PVcalc?lat=30.0444&amp;lon=31.2357&amp;peakpower=1&amp;loss=14&amp;angle=0&amp;aspect=150&amp;outputformat=json&amp;raddatabase=PVGIS-SARAH3&amp;pvtechchoice=crystSi&amp;mountingplace=free&amp;usehorizon=1</v>
      </c>
    </row>
    <row r="343">
      <c r="A343" t="n">
        <v>0</v>
      </c>
      <c r="B343" t="n">
        <v>330</v>
      </c>
      <c r="C343" t="n">
        <v>10</v>
      </c>
      <c r="D343" s="218" t="n">
        <v>122.34</v>
      </c>
      <c r="E343" s="218" t="n">
        <v>3.95</v>
      </c>
      <c r="F343" t="str">
        <v>https://re.jrc.ec.europa.eu/api/v5_3/PVcalc?lat=30.0444&amp;lon=31.2357&amp;peakpower=1&amp;loss=14&amp;angle=0&amp;aspect=150&amp;outputformat=json&amp;raddatabase=PVGIS-SARAH3&amp;pvtechchoice=crystSi&amp;mountingplace=free&amp;usehorizon=1</v>
      </c>
    </row>
    <row r="344">
      <c r="A344" t="n">
        <v>0</v>
      </c>
      <c r="B344" t="n">
        <v>330</v>
      </c>
      <c r="C344" t="n">
        <v>11</v>
      </c>
      <c r="D344" s="218" t="n">
        <v>94.5</v>
      </c>
      <c r="E344" s="218" t="n">
        <v>3.15</v>
      </c>
      <c r="F344" t="str">
        <v>https://re.jrc.ec.europa.eu/api/v5_3/PVcalc?lat=30.0444&amp;lon=31.2357&amp;peakpower=1&amp;loss=14&amp;angle=0&amp;aspect=150&amp;outputformat=json&amp;raddatabase=PVGIS-SARAH3&amp;pvtechchoice=crystSi&amp;mountingplace=free&amp;usehorizon=1</v>
      </c>
    </row>
    <row r="345">
      <c r="A345" t="n">
        <v>0</v>
      </c>
      <c r="B345" t="n">
        <v>330</v>
      </c>
      <c r="C345" t="n">
        <v>12</v>
      </c>
      <c r="D345" s="218" t="n">
        <v>83.98</v>
      </c>
      <c r="E345" s="218" t="n">
        <v>2.71</v>
      </c>
      <c r="F345" t="str">
        <v>https://re.jrc.ec.europa.eu/api/v5_3/PVcalc?lat=30.0444&amp;lon=31.2357&amp;peakpower=1&amp;loss=14&amp;angle=0&amp;aspect=150&amp;outputformat=json&amp;raddatabase=PVGIS-SARAH3&amp;pvtechchoice=crystSi&amp;mountingplace=free&amp;usehorizon=1</v>
      </c>
    </row>
    <row r="346">
      <c r="A346" t="n">
        <v>0</v>
      </c>
      <c r="B346" t="n">
        <v>345</v>
      </c>
      <c r="C346" t="n">
        <v>1</v>
      </c>
      <c r="D346" s="218" t="n">
        <v>88.85</v>
      </c>
      <c r="E346" s="218" t="n">
        <v>2.87</v>
      </c>
      <c r="F346" t="str">
        <v>https://re.jrc.ec.europa.eu/api/v5_3/PVcalc?lat=30.0444&amp;lon=31.2357&amp;peakpower=1&amp;loss=14&amp;angle=0&amp;aspect=165&amp;outputformat=json&amp;raddatabase=PVGIS-SARAH3&amp;pvtechchoice=crystSi&amp;mountingplace=free&amp;usehorizon=1</v>
      </c>
    </row>
    <row r="347">
      <c r="A347" t="n">
        <v>0</v>
      </c>
      <c r="B347" t="n">
        <v>345</v>
      </c>
      <c r="C347" t="n">
        <v>2</v>
      </c>
      <c r="D347" s="218" t="n">
        <v>98.94</v>
      </c>
      <c r="E347" s="218" t="n">
        <v>3.53</v>
      </c>
      <c r="F347" t="str">
        <v>https://re.jrc.ec.europa.eu/api/v5_3/PVcalc?lat=30.0444&amp;lon=31.2357&amp;peakpower=1&amp;loss=14&amp;angle=0&amp;aspect=165&amp;outputformat=json&amp;raddatabase=PVGIS-SARAH3&amp;pvtechchoice=crystSi&amp;mountingplace=free&amp;usehorizon=1</v>
      </c>
    </row>
    <row r="348">
      <c r="A348" t="n">
        <v>0</v>
      </c>
      <c r="B348" t="n">
        <v>345</v>
      </c>
      <c r="C348" t="n">
        <v>3</v>
      </c>
      <c r="D348" s="218" t="n">
        <v>139.85</v>
      </c>
      <c r="E348" s="218" t="n">
        <v>4.51</v>
      </c>
      <c r="F348" t="str">
        <v>https://re.jrc.ec.europa.eu/api/v5_3/PVcalc?lat=30.0444&amp;lon=31.2357&amp;peakpower=1&amp;loss=14&amp;angle=0&amp;aspect=165&amp;outputformat=json&amp;raddatabase=PVGIS-SARAH3&amp;pvtechchoice=crystSi&amp;mountingplace=free&amp;usehorizon=1</v>
      </c>
    </row>
    <row r="349">
      <c r="A349" t="n">
        <v>0</v>
      </c>
      <c r="B349" t="n">
        <v>345</v>
      </c>
      <c r="C349" t="n">
        <v>4</v>
      </c>
      <c r="D349" s="218" t="n">
        <v>158.15</v>
      </c>
      <c r="E349" s="218" t="n">
        <v>5.27</v>
      </c>
      <c r="F349" t="str">
        <v>https://re.jrc.ec.europa.eu/api/v5_3/PVcalc?lat=30.0444&amp;lon=31.2357&amp;peakpower=1&amp;loss=14&amp;angle=0&amp;aspect=165&amp;outputformat=json&amp;raddatabase=PVGIS-SARAH3&amp;pvtechchoice=crystSi&amp;mountingplace=free&amp;usehorizon=1</v>
      </c>
    </row>
    <row r="350">
      <c r="A350" t="n">
        <v>0</v>
      </c>
      <c r="B350" t="n">
        <v>345</v>
      </c>
      <c r="C350" t="n">
        <v>5</v>
      </c>
      <c r="D350" s="218" t="n">
        <v>176.18</v>
      </c>
      <c r="E350" s="218" t="n">
        <v>5.68</v>
      </c>
      <c r="F350" t="str">
        <v>https://re.jrc.ec.europa.eu/api/v5_3/PVcalc?lat=30.0444&amp;lon=31.2357&amp;peakpower=1&amp;loss=14&amp;angle=0&amp;aspect=165&amp;outputformat=json&amp;raddatabase=PVGIS-SARAH3&amp;pvtechchoice=crystSi&amp;mountingplace=free&amp;usehorizon=1</v>
      </c>
    </row>
    <row r="351">
      <c r="A351" t="n">
        <v>0</v>
      </c>
      <c r="B351" t="n">
        <v>345</v>
      </c>
      <c r="C351" t="n">
        <v>6</v>
      </c>
      <c r="D351" s="218" t="n">
        <v>181.03</v>
      </c>
      <c r="E351" s="218" t="n">
        <v>6.03</v>
      </c>
      <c r="F351" t="str">
        <v>https://re.jrc.ec.europa.eu/api/v5_3/PVcalc?lat=30.0444&amp;lon=31.2357&amp;peakpower=1&amp;loss=14&amp;angle=0&amp;aspect=165&amp;outputformat=json&amp;raddatabase=PVGIS-SARAH3&amp;pvtechchoice=crystSi&amp;mountingplace=free&amp;usehorizon=1</v>
      </c>
    </row>
    <row r="352">
      <c r="A352" t="n">
        <v>0</v>
      </c>
      <c r="B352" t="n">
        <v>345</v>
      </c>
      <c r="C352" t="n">
        <v>7</v>
      </c>
      <c r="D352" s="218" t="n">
        <v>183.54</v>
      </c>
      <c r="E352" s="218" t="n">
        <v>5.92</v>
      </c>
      <c r="F352" t="str">
        <v>https://re.jrc.ec.europa.eu/api/v5_3/PVcalc?lat=30.0444&amp;lon=31.2357&amp;peakpower=1&amp;loss=14&amp;angle=0&amp;aspect=165&amp;outputformat=json&amp;raddatabase=PVGIS-SARAH3&amp;pvtechchoice=crystSi&amp;mountingplace=free&amp;usehorizon=1</v>
      </c>
    </row>
    <row r="353">
      <c r="A353" t="n">
        <v>0</v>
      </c>
      <c r="B353" t="n">
        <v>345</v>
      </c>
      <c r="C353" t="n">
        <v>8</v>
      </c>
      <c r="D353" s="218" t="n">
        <v>170.73</v>
      </c>
      <c r="E353" s="218" t="n">
        <v>5.51</v>
      </c>
      <c r="F353" t="str">
        <v>https://re.jrc.ec.europa.eu/api/v5_3/PVcalc?lat=30.0444&amp;lon=31.2357&amp;peakpower=1&amp;loss=14&amp;angle=0&amp;aspect=165&amp;outputformat=json&amp;raddatabase=PVGIS-SARAH3&amp;pvtechchoice=crystSi&amp;mountingplace=free&amp;usehorizon=1</v>
      </c>
    </row>
    <row r="354">
      <c r="A354" t="n">
        <v>0</v>
      </c>
      <c r="B354" t="n">
        <v>345</v>
      </c>
      <c r="C354" t="n">
        <v>9</v>
      </c>
      <c r="D354" s="218" t="n">
        <v>146.05</v>
      </c>
      <c r="E354" s="218" t="n">
        <v>4.87</v>
      </c>
      <c r="F354" t="str">
        <v>https://re.jrc.ec.europa.eu/api/v5_3/PVcalc?lat=30.0444&amp;lon=31.2357&amp;peakpower=1&amp;loss=14&amp;angle=0&amp;aspect=165&amp;outputformat=json&amp;raddatabase=PVGIS-SARAH3&amp;pvtechchoice=crystSi&amp;mountingplace=free&amp;usehorizon=1</v>
      </c>
    </row>
    <row r="355">
      <c r="A355" t="n">
        <v>0</v>
      </c>
      <c r="B355" t="n">
        <v>345</v>
      </c>
      <c r="C355" t="n">
        <v>10</v>
      </c>
      <c r="D355" s="218" t="n">
        <v>122.34</v>
      </c>
      <c r="E355" s="218" t="n">
        <v>3.95</v>
      </c>
      <c r="F355" t="str">
        <v>https://re.jrc.ec.europa.eu/api/v5_3/PVcalc?lat=30.0444&amp;lon=31.2357&amp;peakpower=1&amp;loss=14&amp;angle=0&amp;aspect=165&amp;outputformat=json&amp;raddatabase=PVGIS-SARAH3&amp;pvtechchoice=crystSi&amp;mountingplace=free&amp;usehorizon=1</v>
      </c>
    </row>
    <row r="356">
      <c r="A356" t="n">
        <v>0</v>
      </c>
      <c r="B356" t="n">
        <v>345</v>
      </c>
      <c r="C356" t="n">
        <v>11</v>
      </c>
      <c r="D356" s="218" t="n">
        <v>94.5</v>
      </c>
      <c r="E356" s="218" t="n">
        <v>3.15</v>
      </c>
      <c r="F356" t="str">
        <v>https://re.jrc.ec.europa.eu/api/v5_3/PVcalc?lat=30.0444&amp;lon=31.2357&amp;peakpower=1&amp;loss=14&amp;angle=0&amp;aspect=165&amp;outputformat=json&amp;raddatabase=PVGIS-SARAH3&amp;pvtechchoice=crystSi&amp;mountingplace=free&amp;usehorizon=1</v>
      </c>
    </row>
    <row r="357">
      <c r="A357" t="n">
        <v>0</v>
      </c>
      <c r="B357" t="n">
        <v>345</v>
      </c>
      <c r="C357" t="n">
        <v>12</v>
      </c>
      <c r="D357" s="218" t="n">
        <v>83.98</v>
      </c>
      <c r="E357" s="218" t="n">
        <v>2.71</v>
      </c>
      <c r="F357" t="str">
        <v>https://re.jrc.ec.europa.eu/api/v5_3/PVcalc?lat=30.0444&amp;lon=31.2357&amp;peakpower=1&amp;loss=14&amp;angle=0&amp;aspect=165&amp;outputformat=json&amp;raddatabase=PVGIS-SARAH3&amp;pvtechchoice=crystSi&amp;mountingplace=free&amp;usehorizon=1</v>
      </c>
    </row>
    <row r="358">
      <c r="A358" t="n">
        <v>0</v>
      </c>
      <c r="B358" t="n">
        <v>360</v>
      </c>
      <c r="C358" t="n">
        <v>1</v>
      </c>
      <c r="D358" s="218" t="n">
        <v>88.85</v>
      </c>
      <c r="E358" s="218" t="n">
        <v>2.87</v>
      </c>
      <c r="F358" t="str">
        <v>https://re.jrc.ec.europa.eu/api/v5_3/PVcalc?lat=30.0444&amp;lon=31.2357&amp;peakpower=1&amp;loss=14&amp;angle=0&amp;aspect=180&amp;outputformat=json&amp;raddatabase=PVGIS-SARAH3&amp;pvtechchoice=crystSi&amp;mountingplace=free&amp;usehorizon=1</v>
      </c>
    </row>
    <row r="359">
      <c r="A359" t="n">
        <v>0</v>
      </c>
      <c r="B359" t="n">
        <v>360</v>
      </c>
      <c r="C359" t="n">
        <v>2</v>
      </c>
      <c r="D359" s="218" t="n">
        <v>98.94</v>
      </c>
      <c r="E359" s="218" t="n">
        <v>3.53</v>
      </c>
      <c r="F359" t="str">
        <v>https://re.jrc.ec.europa.eu/api/v5_3/PVcalc?lat=30.0444&amp;lon=31.2357&amp;peakpower=1&amp;loss=14&amp;angle=0&amp;aspect=180&amp;outputformat=json&amp;raddatabase=PVGIS-SARAH3&amp;pvtechchoice=crystSi&amp;mountingplace=free&amp;usehorizon=1</v>
      </c>
    </row>
    <row r="360">
      <c r="A360" t="n">
        <v>0</v>
      </c>
      <c r="B360" t="n">
        <v>360</v>
      </c>
      <c r="C360" t="n">
        <v>3</v>
      </c>
      <c r="D360" s="218" t="n">
        <v>139.85</v>
      </c>
      <c r="E360" s="218" t="n">
        <v>4.51</v>
      </c>
      <c r="F360" t="str">
        <v>https://re.jrc.ec.europa.eu/api/v5_3/PVcalc?lat=30.0444&amp;lon=31.2357&amp;peakpower=1&amp;loss=14&amp;angle=0&amp;aspect=180&amp;outputformat=json&amp;raddatabase=PVGIS-SARAH3&amp;pvtechchoice=crystSi&amp;mountingplace=free&amp;usehorizon=1</v>
      </c>
    </row>
    <row r="361">
      <c r="A361" t="n">
        <v>0</v>
      </c>
      <c r="B361" t="n">
        <v>360</v>
      </c>
      <c r="C361" t="n">
        <v>4</v>
      </c>
      <c r="D361" s="218" t="n">
        <v>158.15</v>
      </c>
      <c r="E361" s="218" t="n">
        <v>5.27</v>
      </c>
      <c r="F361" t="str">
        <v>https://re.jrc.ec.europa.eu/api/v5_3/PVcalc?lat=30.0444&amp;lon=31.2357&amp;peakpower=1&amp;loss=14&amp;angle=0&amp;aspect=180&amp;outputformat=json&amp;raddatabase=PVGIS-SARAH3&amp;pvtechchoice=crystSi&amp;mountingplace=free&amp;usehorizon=1</v>
      </c>
    </row>
    <row r="362">
      <c r="A362" t="n">
        <v>0</v>
      </c>
      <c r="B362" t="n">
        <v>360</v>
      </c>
      <c r="C362" t="n">
        <v>5</v>
      </c>
      <c r="D362" s="218" t="n">
        <v>176.18</v>
      </c>
      <c r="E362" s="218" t="n">
        <v>5.68</v>
      </c>
      <c r="F362" t="str">
        <v>https://re.jrc.ec.europa.eu/api/v5_3/PVcalc?lat=30.0444&amp;lon=31.2357&amp;peakpower=1&amp;loss=14&amp;angle=0&amp;aspect=180&amp;outputformat=json&amp;raddatabase=PVGIS-SARAH3&amp;pvtechchoice=crystSi&amp;mountingplace=free&amp;usehorizon=1</v>
      </c>
    </row>
    <row r="363">
      <c r="A363" t="n">
        <v>0</v>
      </c>
      <c r="B363" t="n">
        <v>360</v>
      </c>
      <c r="C363" t="n">
        <v>6</v>
      </c>
      <c r="D363" s="218" t="n">
        <v>181.03</v>
      </c>
      <c r="E363" s="218" t="n">
        <v>6.03</v>
      </c>
      <c r="F363" t="str">
        <v>https://re.jrc.ec.europa.eu/api/v5_3/PVcalc?lat=30.0444&amp;lon=31.2357&amp;peakpower=1&amp;loss=14&amp;angle=0&amp;aspect=180&amp;outputformat=json&amp;raddatabase=PVGIS-SARAH3&amp;pvtechchoice=crystSi&amp;mountingplace=free&amp;usehorizon=1</v>
      </c>
    </row>
    <row r="364">
      <c r="A364" t="n">
        <v>0</v>
      </c>
      <c r="B364" t="n">
        <v>360</v>
      </c>
      <c r="C364" t="n">
        <v>7</v>
      </c>
      <c r="D364" s="218" t="n">
        <v>183.54</v>
      </c>
      <c r="E364" s="218" t="n">
        <v>5.92</v>
      </c>
      <c r="F364" t="str">
        <v>https://re.jrc.ec.europa.eu/api/v5_3/PVcalc?lat=30.0444&amp;lon=31.2357&amp;peakpower=1&amp;loss=14&amp;angle=0&amp;aspect=180&amp;outputformat=json&amp;raddatabase=PVGIS-SARAH3&amp;pvtechchoice=crystSi&amp;mountingplace=free&amp;usehorizon=1</v>
      </c>
    </row>
    <row r="365">
      <c r="A365" t="n">
        <v>0</v>
      </c>
      <c r="B365" t="n">
        <v>360</v>
      </c>
      <c r="C365" t="n">
        <v>8</v>
      </c>
      <c r="D365" s="218" t="n">
        <v>170.73</v>
      </c>
      <c r="E365" s="218" t="n">
        <v>5.51</v>
      </c>
      <c r="F365" t="str">
        <v>https://re.jrc.ec.europa.eu/api/v5_3/PVcalc?lat=30.0444&amp;lon=31.2357&amp;peakpower=1&amp;loss=14&amp;angle=0&amp;aspect=180&amp;outputformat=json&amp;raddatabase=PVGIS-SARAH3&amp;pvtechchoice=crystSi&amp;mountingplace=free&amp;usehorizon=1</v>
      </c>
    </row>
    <row r="366">
      <c r="A366" t="n">
        <v>0</v>
      </c>
      <c r="B366" t="n">
        <v>360</v>
      </c>
      <c r="C366" t="n">
        <v>9</v>
      </c>
      <c r="D366" s="218" t="n">
        <v>146.05</v>
      </c>
      <c r="E366" s="218" t="n">
        <v>4.87</v>
      </c>
      <c r="F366" t="str">
        <v>https://re.jrc.ec.europa.eu/api/v5_3/PVcalc?lat=30.0444&amp;lon=31.2357&amp;peakpower=1&amp;loss=14&amp;angle=0&amp;aspect=180&amp;outputformat=json&amp;raddatabase=PVGIS-SARAH3&amp;pvtechchoice=crystSi&amp;mountingplace=free&amp;usehorizon=1</v>
      </c>
    </row>
    <row r="367">
      <c r="A367" t="n">
        <v>0</v>
      </c>
      <c r="B367" t="n">
        <v>360</v>
      </c>
      <c r="C367" t="n">
        <v>10</v>
      </c>
      <c r="D367" s="218" t="n">
        <v>122.34</v>
      </c>
      <c r="E367" s="218" t="n">
        <v>3.95</v>
      </c>
      <c r="F367" t="str">
        <v>https://re.jrc.ec.europa.eu/api/v5_3/PVcalc?lat=30.0444&amp;lon=31.2357&amp;peakpower=1&amp;loss=14&amp;angle=0&amp;aspect=180&amp;outputformat=json&amp;raddatabase=PVGIS-SARAH3&amp;pvtechchoice=crystSi&amp;mountingplace=free&amp;usehorizon=1</v>
      </c>
    </row>
    <row r="368">
      <c r="A368" t="n">
        <v>0</v>
      </c>
      <c r="B368" t="n">
        <v>360</v>
      </c>
      <c r="C368" t="n">
        <v>11</v>
      </c>
      <c r="D368" s="218" t="n">
        <v>94.5</v>
      </c>
      <c r="E368" s="218" t="n">
        <v>3.15</v>
      </c>
      <c r="F368" t="str">
        <v>https://re.jrc.ec.europa.eu/api/v5_3/PVcalc?lat=30.0444&amp;lon=31.2357&amp;peakpower=1&amp;loss=14&amp;angle=0&amp;aspect=180&amp;outputformat=json&amp;raddatabase=PVGIS-SARAH3&amp;pvtechchoice=crystSi&amp;mountingplace=free&amp;usehorizon=1</v>
      </c>
    </row>
    <row r="369">
      <c r="A369" t="n">
        <v>0</v>
      </c>
      <c r="B369" t="n">
        <v>360</v>
      </c>
      <c r="C369" t="n">
        <v>12</v>
      </c>
      <c r="D369" s="218" t="n">
        <v>83.98</v>
      </c>
      <c r="E369" s="218" t="n">
        <v>2.71</v>
      </c>
      <c r="F369" t="str">
        <v>https://re.jrc.ec.europa.eu/api/v5_3/PVcalc?lat=30.0444&amp;lon=31.2357&amp;peakpower=1&amp;loss=14&amp;angle=0&amp;aspect=180&amp;outputformat=json&amp;raddatabase=PVGIS-SARAH3&amp;pvtechchoice=crystSi&amp;mountingplace=free&amp;usehorizon=1</v>
      </c>
    </row>
    <row r="370">
      <c r="A370" t="n">
        <v>5</v>
      </c>
      <c r="B370" t="n">
        <v>0</v>
      </c>
      <c r="C370" t="n">
        <v>1</v>
      </c>
      <c r="D370" s="218" t="n">
        <v>79.01</v>
      </c>
      <c r="E370" s="218" t="n">
        <v>2.55</v>
      </c>
      <c r="F370" t="str">
        <v>https://re.jrc.ec.europa.eu/api/v5_3/PVcalc?lat=30.0444&amp;lon=31.2357&amp;peakpower=1&amp;loss=14&amp;angle=5&amp;aspect=-180&amp;outputformat=json&amp;raddatabase=PVGIS-SARAH3&amp;pvtechchoice=crystSi&amp;mountingplace=free&amp;usehorizon=1</v>
      </c>
    </row>
    <row r="371">
      <c r="A371" t="n">
        <v>5</v>
      </c>
      <c r="B371" t="n">
        <v>0</v>
      </c>
      <c r="C371" t="n">
        <v>2</v>
      </c>
      <c r="D371" s="218" t="n">
        <v>91.33</v>
      </c>
      <c r="E371" s="218" t="n">
        <v>3.26</v>
      </c>
      <c r="F371" t="str">
        <v>https://re.jrc.ec.europa.eu/api/v5_3/PVcalc?lat=30.0444&amp;lon=31.2357&amp;peakpower=1&amp;loss=14&amp;angle=5&amp;aspect=-180&amp;outputformat=json&amp;raddatabase=PVGIS-SARAH3&amp;pvtechchoice=crystSi&amp;mountingplace=free&amp;usehorizon=1</v>
      </c>
    </row>
    <row r="372">
      <c r="A372" t="n">
        <v>5</v>
      </c>
      <c r="B372" t="n">
        <v>0</v>
      </c>
      <c r="C372" t="n">
        <v>3</v>
      </c>
      <c r="D372" s="218" t="n">
        <v>133.17</v>
      </c>
      <c r="E372" s="218" t="n">
        <v>4.3</v>
      </c>
      <c r="F372" t="str">
        <v>https://re.jrc.ec.europa.eu/api/v5_3/PVcalc?lat=30.0444&amp;lon=31.2357&amp;peakpower=1&amp;loss=14&amp;angle=5&amp;aspect=-180&amp;outputformat=json&amp;raddatabase=PVGIS-SARAH3&amp;pvtechchoice=crystSi&amp;mountingplace=free&amp;usehorizon=1</v>
      </c>
    </row>
    <row r="373">
      <c r="A373" t="n">
        <v>5</v>
      </c>
      <c r="B373" t="n">
        <v>0</v>
      </c>
      <c r="C373" t="n">
        <v>4</v>
      </c>
      <c r="D373" s="218" t="n">
        <v>154.49</v>
      </c>
      <c r="E373" s="218" t="n">
        <v>5.15</v>
      </c>
      <c r="F373" t="str">
        <v>https://re.jrc.ec.europa.eu/api/v5_3/PVcalc?lat=30.0444&amp;lon=31.2357&amp;peakpower=1&amp;loss=14&amp;angle=5&amp;aspect=-180&amp;outputformat=json&amp;raddatabase=PVGIS-SARAH3&amp;pvtechchoice=crystSi&amp;mountingplace=free&amp;usehorizon=1</v>
      </c>
    </row>
    <row r="374">
      <c r="A374" t="n">
        <v>5</v>
      </c>
      <c r="B374" t="n">
        <v>0</v>
      </c>
      <c r="C374" t="n">
        <v>5</v>
      </c>
      <c r="D374" s="218" t="n">
        <v>175.07</v>
      </c>
      <c r="E374" s="218" t="n">
        <v>5.65</v>
      </c>
      <c r="F374" t="str">
        <v>https://re.jrc.ec.europa.eu/api/v5_3/PVcalc?lat=30.0444&amp;lon=31.2357&amp;peakpower=1&amp;loss=14&amp;angle=5&amp;aspect=-180&amp;outputformat=json&amp;raddatabase=PVGIS-SARAH3&amp;pvtechchoice=crystSi&amp;mountingplace=free&amp;usehorizon=1</v>
      </c>
    </row>
    <row r="375">
      <c r="A375" t="n">
        <v>5</v>
      </c>
      <c r="B375" t="n">
        <v>0</v>
      </c>
      <c r="C375" t="n">
        <v>6</v>
      </c>
      <c r="D375" s="218" t="n">
        <v>181.34</v>
      </c>
      <c r="E375" s="218" t="n">
        <v>6.04</v>
      </c>
      <c r="F375" t="str">
        <v>https://re.jrc.ec.europa.eu/api/v5_3/PVcalc?lat=30.0444&amp;lon=31.2357&amp;peakpower=1&amp;loss=14&amp;angle=5&amp;aspect=-180&amp;outputformat=json&amp;raddatabase=PVGIS-SARAH3&amp;pvtechchoice=crystSi&amp;mountingplace=free&amp;usehorizon=1</v>
      </c>
    </row>
    <row r="376">
      <c r="A376" t="n">
        <v>5</v>
      </c>
      <c r="B376" t="n">
        <v>0</v>
      </c>
      <c r="C376" t="n">
        <v>7</v>
      </c>
      <c r="D376" s="218" t="n">
        <v>183.17</v>
      </c>
      <c r="E376" s="218" t="n">
        <v>5.91</v>
      </c>
      <c r="F376" t="str">
        <v>https://re.jrc.ec.europa.eu/api/v5_3/PVcalc?lat=30.0444&amp;lon=31.2357&amp;peakpower=1&amp;loss=14&amp;angle=5&amp;aspect=-180&amp;outputformat=json&amp;raddatabase=PVGIS-SARAH3&amp;pvtechchoice=crystSi&amp;mountingplace=free&amp;usehorizon=1</v>
      </c>
    </row>
    <row r="377">
      <c r="A377" t="n">
        <v>5</v>
      </c>
      <c r="B377" t="n">
        <v>0</v>
      </c>
      <c r="C377" t="n">
        <v>8</v>
      </c>
      <c r="D377" s="218" t="n">
        <v>167.93</v>
      </c>
      <c r="E377" s="218" t="n">
        <v>5.42</v>
      </c>
      <c r="F377" t="str">
        <v>https://re.jrc.ec.europa.eu/api/v5_3/PVcalc?lat=30.0444&amp;lon=31.2357&amp;peakpower=1&amp;loss=14&amp;angle=5&amp;aspect=-180&amp;outputformat=json&amp;raddatabase=PVGIS-SARAH3&amp;pvtechchoice=crystSi&amp;mountingplace=free&amp;usehorizon=1</v>
      </c>
    </row>
    <row r="378">
      <c r="A378" t="n">
        <v>5</v>
      </c>
      <c r="B378" t="n">
        <v>0</v>
      </c>
      <c r="C378" t="n">
        <v>9</v>
      </c>
      <c r="D378" s="218" t="n">
        <v>140.3</v>
      </c>
      <c r="E378" s="218" t="n">
        <v>4.68</v>
      </c>
      <c r="F378" t="str">
        <v>https://re.jrc.ec.europa.eu/api/v5_3/PVcalc?lat=30.0444&amp;lon=31.2357&amp;peakpower=1&amp;loss=14&amp;angle=5&amp;aspect=-180&amp;outputformat=json&amp;raddatabase=PVGIS-SARAH3&amp;pvtechchoice=crystSi&amp;mountingplace=free&amp;usehorizon=1</v>
      </c>
    </row>
    <row r="379">
      <c r="A379" t="n">
        <v>5</v>
      </c>
      <c r="B379" t="n">
        <v>0</v>
      </c>
      <c r="C379" t="n">
        <v>10</v>
      </c>
      <c r="D379" s="218" t="n">
        <v>113.85</v>
      </c>
      <c r="E379" s="218" t="n">
        <v>3.67</v>
      </c>
      <c r="F379" t="str">
        <v>https://re.jrc.ec.europa.eu/api/v5_3/PVcalc?lat=30.0444&amp;lon=31.2357&amp;peakpower=1&amp;loss=14&amp;angle=5&amp;aspect=-180&amp;outputformat=json&amp;raddatabase=PVGIS-SARAH3&amp;pvtechchoice=crystSi&amp;mountingplace=free&amp;usehorizon=1</v>
      </c>
    </row>
    <row r="380">
      <c r="A380" t="n">
        <v>5</v>
      </c>
      <c r="B380" t="n">
        <v>0</v>
      </c>
      <c r="C380" t="n">
        <v>11</v>
      </c>
      <c r="D380" s="218" t="n">
        <v>84.58</v>
      </c>
      <c r="E380" s="218" t="n">
        <v>2.82</v>
      </c>
      <c r="F380" t="str">
        <v>https://re.jrc.ec.europa.eu/api/v5_3/PVcalc?lat=30.0444&amp;lon=31.2357&amp;peakpower=1&amp;loss=14&amp;angle=5&amp;aspect=-180&amp;outputformat=json&amp;raddatabase=PVGIS-SARAH3&amp;pvtechchoice=crystSi&amp;mountingplace=free&amp;usehorizon=1</v>
      </c>
    </row>
    <row r="381">
      <c r="A381" t="n">
        <v>5</v>
      </c>
      <c r="B381" t="n">
        <v>0</v>
      </c>
      <c r="C381" t="n">
        <v>12</v>
      </c>
      <c r="D381" s="218" t="n">
        <v>73.55</v>
      </c>
      <c r="E381" s="218" t="n">
        <v>2.37</v>
      </c>
      <c r="F381" t="str">
        <v>https://re.jrc.ec.europa.eu/api/v5_3/PVcalc?lat=30.0444&amp;lon=31.2357&amp;peakpower=1&amp;loss=14&amp;angle=5&amp;aspect=-180&amp;outputformat=json&amp;raddatabase=PVGIS-SARAH3&amp;pvtechchoice=crystSi&amp;mountingplace=free&amp;usehorizon=1</v>
      </c>
    </row>
    <row r="382">
      <c r="A382" t="n">
        <v>5</v>
      </c>
      <c r="B382" t="n">
        <v>15</v>
      </c>
      <c r="C382" t="n">
        <v>1</v>
      </c>
      <c r="D382" s="218" t="n">
        <v>79.42</v>
      </c>
      <c r="E382" s="218" t="n">
        <v>2.56</v>
      </c>
      <c r="F382" t="str">
        <v>https://re.jrc.ec.europa.eu/api/v5_3/PVcalc?lat=30.0444&amp;lon=31.2357&amp;peakpower=1&amp;loss=14&amp;angle=5&amp;aspect=-165&amp;outputformat=json&amp;raddatabase=PVGIS-SARAH3&amp;pvtechchoice=crystSi&amp;mountingplace=free&amp;usehorizon=1</v>
      </c>
    </row>
    <row r="383">
      <c r="A383" t="n">
        <v>5</v>
      </c>
      <c r="B383" t="n">
        <v>15</v>
      </c>
      <c r="C383" t="n">
        <v>2</v>
      </c>
      <c r="D383" s="218" t="n">
        <v>91.67</v>
      </c>
      <c r="E383" s="218" t="n">
        <v>3.27</v>
      </c>
      <c r="F383" t="str">
        <v>https://re.jrc.ec.europa.eu/api/v5_3/PVcalc?lat=30.0444&amp;lon=31.2357&amp;peakpower=1&amp;loss=14&amp;angle=5&amp;aspect=-165&amp;outputformat=json&amp;raddatabase=PVGIS-SARAH3&amp;pvtechchoice=crystSi&amp;mountingplace=free&amp;usehorizon=1</v>
      </c>
    </row>
    <row r="384">
      <c r="A384" t="n">
        <v>5</v>
      </c>
      <c r="B384" t="n">
        <v>15</v>
      </c>
      <c r="C384" t="n">
        <v>3</v>
      </c>
      <c r="D384" s="218" t="n">
        <v>133.28</v>
      </c>
      <c r="E384" s="218" t="n">
        <v>4.3</v>
      </c>
      <c r="F384" t="str">
        <v>https://re.jrc.ec.europa.eu/api/v5_3/PVcalc?lat=30.0444&amp;lon=31.2357&amp;peakpower=1&amp;loss=14&amp;angle=5&amp;aspect=-165&amp;outputformat=json&amp;raddatabase=PVGIS-SARAH3&amp;pvtechchoice=crystSi&amp;mountingplace=free&amp;usehorizon=1</v>
      </c>
    </row>
    <row r="385">
      <c r="A385" t="n">
        <v>5</v>
      </c>
      <c r="B385" t="n">
        <v>15</v>
      </c>
      <c r="C385" t="n">
        <v>4</v>
      </c>
      <c r="D385" s="218" t="n">
        <v>154.45</v>
      </c>
      <c r="E385" s="218" t="n">
        <v>5.15</v>
      </c>
      <c r="F385" t="str">
        <v>https://re.jrc.ec.europa.eu/api/v5_3/PVcalc?lat=30.0444&amp;lon=31.2357&amp;peakpower=1&amp;loss=14&amp;angle=5&amp;aspect=-165&amp;outputformat=json&amp;raddatabase=PVGIS-SARAH3&amp;pvtechchoice=crystSi&amp;mountingplace=free&amp;usehorizon=1</v>
      </c>
    </row>
    <row r="386">
      <c r="A386" t="n">
        <v>5</v>
      </c>
      <c r="B386" t="n">
        <v>15</v>
      </c>
      <c r="C386" t="n">
        <v>5</v>
      </c>
      <c r="D386" s="218" t="n">
        <v>174.96</v>
      </c>
      <c r="E386" s="218" t="n">
        <v>5.64</v>
      </c>
      <c r="F386" t="str">
        <v>https://re.jrc.ec.europa.eu/api/v5_3/PVcalc?lat=30.0444&amp;lon=31.2357&amp;peakpower=1&amp;loss=14&amp;angle=5&amp;aspect=-165&amp;outputformat=json&amp;raddatabase=PVGIS-SARAH3&amp;pvtechchoice=crystSi&amp;mountingplace=free&amp;usehorizon=1</v>
      </c>
    </row>
    <row r="387">
      <c r="A387" t="n">
        <v>5</v>
      </c>
      <c r="B387" t="n">
        <v>15</v>
      </c>
      <c r="C387" t="n">
        <v>6</v>
      </c>
      <c r="D387" s="218" t="n">
        <v>181.05</v>
      </c>
      <c r="E387" s="218" t="n">
        <v>6.04</v>
      </c>
      <c r="F387" t="str">
        <v>https://re.jrc.ec.europa.eu/api/v5_3/PVcalc?lat=30.0444&amp;lon=31.2357&amp;peakpower=1&amp;loss=14&amp;angle=5&amp;aspect=-165&amp;outputformat=json&amp;raddatabase=PVGIS-SARAH3&amp;pvtechchoice=crystSi&amp;mountingplace=free&amp;usehorizon=1</v>
      </c>
    </row>
    <row r="388">
      <c r="A388" t="n">
        <v>5</v>
      </c>
      <c r="B388" t="n">
        <v>15</v>
      </c>
      <c r="C388" t="n">
        <v>7</v>
      </c>
      <c r="D388" s="218" t="n">
        <v>182.81</v>
      </c>
      <c r="E388" s="218" t="n">
        <v>5.9</v>
      </c>
      <c r="F388" t="str">
        <v>https://re.jrc.ec.europa.eu/api/v5_3/PVcalc?lat=30.0444&amp;lon=31.2357&amp;peakpower=1&amp;loss=14&amp;angle=5&amp;aspect=-165&amp;outputformat=json&amp;raddatabase=PVGIS-SARAH3&amp;pvtechchoice=crystSi&amp;mountingplace=free&amp;usehorizon=1</v>
      </c>
    </row>
    <row r="389">
      <c r="A389" t="n">
        <v>5</v>
      </c>
      <c r="B389" t="n">
        <v>15</v>
      </c>
      <c r="C389" t="n">
        <v>8</v>
      </c>
      <c r="D389" s="218" t="n">
        <v>167.73</v>
      </c>
      <c r="E389" s="218" t="n">
        <v>5.41</v>
      </c>
      <c r="F389" t="str">
        <v>https://re.jrc.ec.europa.eu/api/v5_3/PVcalc?lat=30.0444&amp;lon=31.2357&amp;peakpower=1&amp;loss=14&amp;angle=5&amp;aspect=-165&amp;outputformat=json&amp;raddatabase=PVGIS-SARAH3&amp;pvtechchoice=crystSi&amp;mountingplace=free&amp;usehorizon=1</v>
      </c>
    </row>
    <row r="390">
      <c r="A390" t="n">
        <v>5</v>
      </c>
      <c r="B390" t="n">
        <v>15</v>
      </c>
      <c r="C390" t="n">
        <v>9</v>
      </c>
      <c r="D390" s="218" t="n">
        <v>140.24</v>
      </c>
      <c r="E390" s="218" t="n">
        <v>4.67</v>
      </c>
      <c r="F390" t="str">
        <v>https://re.jrc.ec.europa.eu/api/v5_3/PVcalc?lat=30.0444&amp;lon=31.2357&amp;peakpower=1&amp;loss=14&amp;angle=5&amp;aspect=-165&amp;outputformat=json&amp;raddatabase=PVGIS-SARAH3&amp;pvtechchoice=crystSi&amp;mountingplace=free&amp;usehorizon=1</v>
      </c>
    </row>
    <row r="391">
      <c r="A391" t="n">
        <v>5</v>
      </c>
      <c r="B391" t="n">
        <v>15</v>
      </c>
      <c r="C391" t="n">
        <v>10</v>
      </c>
      <c r="D391" s="218" t="n">
        <v>114.08</v>
      </c>
      <c r="E391" s="218" t="n">
        <v>3.68</v>
      </c>
      <c r="F391" t="str">
        <v>https://re.jrc.ec.europa.eu/api/v5_3/PVcalc?lat=30.0444&amp;lon=31.2357&amp;peakpower=1&amp;loss=14&amp;angle=5&amp;aspect=-165&amp;outputformat=json&amp;raddatabase=PVGIS-SARAH3&amp;pvtechchoice=crystSi&amp;mountingplace=free&amp;usehorizon=1</v>
      </c>
    </row>
    <row r="392">
      <c r="A392" t="n">
        <v>5</v>
      </c>
      <c r="B392" t="n">
        <v>15</v>
      </c>
      <c r="C392" t="n">
        <v>11</v>
      </c>
      <c r="D392" s="218" t="n">
        <v>84.95</v>
      </c>
      <c r="E392" s="218" t="n">
        <v>2.83</v>
      </c>
      <c r="F392" t="str">
        <v>https://re.jrc.ec.europa.eu/api/v5_3/PVcalc?lat=30.0444&amp;lon=31.2357&amp;peakpower=1&amp;loss=14&amp;angle=5&amp;aspect=-165&amp;outputformat=json&amp;raddatabase=PVGIS-SARAH3&amp;pvtechchoice=crystSi&amp;mountingplace=free&amp;usehorizon=1</v>
      </c>
    </row>
    <row r="393">
      <c r="A393" t="n">
        <v>5</v>
      </c>
      <c r="B393" t="n">
        <v>15</v>
      </c>
      <c r="C393" t="n">
        <v>12</v>
      </c>
      <c r="D393" s="218" t="n">
        <v>73.97</v>
      </c>
      <c r="E393" s="218" t="n">
        <v>2.39</v>
      </c>
      <c r="F393" t="str">
        <v>https://re.jrc.ec.europa.eu/api/v5_3/PVcalc?lat=30.0444&amp;lon=31.2357&amp;peakpower=1&amp;loss=14&amp;angle=5&amp;aspect=-165&amp;outputformat=json&amp;raddatabase=PVGIS-SARAH3&amp;pvtechchoice=crystSi&amp;mountingplace=free&amp;usehorizon=1</v>
      </c>
    </row>
    <row r="394">
      <c r="A394" t="n">
        <v>5</v>
      </c>
      <c r="B394" t="n">
        <v>30</v>
      </c>
      <c r="C394" t="n">
        <v>1</v>
      </c>
      <c r="D394" s="218" t="n">
        <v>80.47</v>
      </c>
      <c r="E394" s="218" t="n">
        <v>2.6</v>
      </c>
      <c r="F394" t="str">
        <v>https://re.jrc.ec.europa.eu/api/v5_3/PVcalc?lat=30.0444&amp;lon=31.2357&amp;peakpower=1&amp;loss=14&amp;angle=5&amp;aspect=-150&amp;outputformat=json&amp;raddatabase=PVGIS-SARAH3&amp;pvtechchoice=crystSi&amp;mountingplace=free&amp;usehorizon=1</v>
      </c>
    </row>
    <row r="395">
      <c r="A395" t="n">
        <v>5</v>
      </c>
      <c r="B395" t="n">
        <v>30</v>
      </c>
      <c r="C395" t="n">
        <v>2</v>
      </c>
      <c r="D395" s="218" t="n">
        <v>92.51</v>
      </c>
      <c r="E395" s="218" t="n">
        <v>3.3</v>
      </c>
      <c r="F395" t="str">
        <v>https://re.jrc.ec.europa.eu/api/v5_3/PVcalc?lat=30.0444&amp;lon=31.2357&amp;peakpower=1&amp;loss=14&amp;angle=5&amp;aspect=-150&amp;outputformat=json&amp;raddatabase=PVGIS-SARAH3&amp;pvtechchoice=crystSi&amp;mountingplace=free&amp;usehorizon=1</v>
      </c>
    </row>
    <row r="396">
      <c r="A396" t="n">
        <v>5</v>
      </c>
      <c r="B396" t="n">
        <v>30</v>
      </c>
      <c r="C396" t="n">
        <v>3</v>
      </c>
      <c r="D396" s="218" t="n">
        <v>133.81</v>
      </c>
      <c r="E396" s="218" t="n">
        <v>4.32</v>
      </c>
      <c r="F396" t="str">
        <v>https://re.jrc.ec.europa.eu/api/v5_3/PVcalc?lat=30.0444&amp;lon=31.2357&amp;peakpower=1&amp;loss=14&amp;angle=5&amp;aspect=-150&amp;outputformat=json&amp;raddatabase=PVGIS-SARAH3&amp;pvtechchoice=crystSi&amp;mountingplace=free&amp;usehorizon=1</v>
      </c>
    </row>
    <row r="397">
      <c r="A397" t="n">
        <v>5</v>
      </c>
      <c r="B397" t="n">
        <v>30</v>
      </c>
      <c r="C397" t="n">
        <v>4</v>
      </c>
      <c r="D397" s="218" t="n">
        <v>154.61</v>
      </c>
      <c r="E397" s="218" t="n">
        <v>5.15</v>
      </c>
      <c r="F397" t="str">
        <v>https://re.jrc.ec.europa.eu/api/v5_3/PVcalc?lat=30.0444&amp;lon=31.2357&amp;peakpower=1&amp;loss=14&amp;angle=5&amp;aspect=-150&amp;outputformat=json&amp;raddatabase=PVGIS-SARAH3&amp;pvtechchoice=crystSi&amp;mountingplace=free&amp;usehorizon=1</v>
      </c>
    </row>
    <row r="398">
      <c r="A398" t="n">
        <v>5</v>
      </c>
      <c r="B398" t="n">
        <v>30</v>
      </c>
      <c r="C398" t="n">
        <v>5</v>
      </c>
      <c r="D398" s="218" t="n">
        <v>174.89</v>
      </c>
      <c r="E398" s="218" t="n">
        <v>5.64</v>
      </c>
      <c r="F398" t="str">
        <v>https://re.jrc.ec.europa.eu/api/v5_3/PVcalc?lat=30.0444&amp;lon=31.2357&amp;peakpower=1&amp;loss=14&amp;angle=5&amp;aspect=-150&amp;outputformat=json&amp;raddatabase=PVGIS-SARAH3&amp;pvtechchoice=crystSi&amp;mountingplace=free&amp;usehorizon=1</v>
      </c>
    </row>
    <row r="399">
      <c r="A399" t="n">
        <v>5</v>
      </c>
      <c r="B399" t="n">
        <v>30</v>
      </c>
      <c r="C399" t="n">
        <v>6</v>
      </c>
      <c r="D399" s="218" t="n">
        <v>180.7</v>
      </c>
      <c r="E399" s="218" t="n">
        <v>6.02</v>
      </c>
      <c r="F399" t="str">
        <v>https://re.jrc.ec.europa.eu/api/v5_3/PVcalc?lat=30.0444&amp;lon=31.2357&amp;peakpower=1&amp;loss=14&amp;angle=5&amp;aspect=-150&amp;outputformat=json&amp;raddatabase=PVGIS-SARAH3&amp;pvtechchoice=crystSi&amp;mountingplace=free&amp;usehorizon=1</v>
      </c>
    </row>
    <row r="400">
      <c r="A400" t="n">
        <v>5</v>
      </c>
      <c r="B400" t="n">
        <v>30</v>
      </c>
      <c r="C400" t="n">
        <v>7</v>
      </c>
      <c r="D400" s="218" t="n">
        <v>182.43</v>
      </c>
      <c r="E400" s="218" t="n">
        <v>5.88</v>
      </c>
      <c r="F400" t="str">
        <v>https://re.jrc.ec.europa.eu/api/v5_3/PVcalc?lat=30.0444&amp;lon=31.2357&amp;peakpower=1&amp;loss=14&amp;angle=5&amp;aspect=-150&amp;outputformat=json&amp;raddatabase=PVGIS-SARAH3&amp;pvtechchoice=crystSi&amp;mountingplace=free&amp;usehorizon=1</v>
      </c>
    </row>
    <row r="401">
      <c r="A401" t="n">
        <v>5</v>
      </c>
      <c r="B401" t="n">
        <v>30</v>
      </c>
      <c r="C401" t="n">
        <v>8</v>
      </c>
      <c r="D401" s="218" t="n">
        <v>167.68</v>
      </c>
      <c r="E401" s="218" t="n">
        <v>5.41</v>
      </c>
      <c r="F401" t="str">
        <v>https://re.jrc.ec.europa.eu/api/v5_3/PVcalc?lat=30.0444&amp;lon=31.2357&amp;peakpower=1&amp;loss=14&amp;angle=5&amp;aspect=-150&amp;outputformat=json&amp;raddatabase=PVGIS-SARAH3&amp;pvtechchoice=crystSi&amp;mountingplace=free&amp;usehorizon=1</v>
      </c>
    </row>
    <row r="402">
      <c r="A402" t="n">
        <v>5</v>
      </c>
      <c r="B402" t="n">
        <v>30</v>
      </c>
      <c r="C402" t="n">
        <v>9</v>
      </c>
      <c r="D402" s="218" t="n">
        <v>140.53</v>
      </c>
      <c r="E402" s="218" t="n">
        <v>4.68</v>
      </c>
      <c r="F402" t="str">
        <v>https://re.jrc.ec.europa.eu/api/v5_3/PVcalc?lat=30.0444&amp;lon=31.2357&amp;peakpower=1&amp;loss=14&amp;angle=5&amp;aspect=-150&amp;outputformat=json&amp;raddatabase=PVGIS-SARAH3&amp;pvtechchoice=crystSi&amp;mountingplace=free&amp;usehorizon=1</v>
      </c>
    </row>
    <row r="403">
      <c r="A403" t="n">
        <v>5</v>
      </c>
      <c r="B403" t="n">
        <v>30</v>
      </c>
      <c r="C403" t="n">
        <v>10</v>
      </c>
      <c r="D403" s="218" t="n">
        <v>114.86</v>
      </c>
      <c r="E403" s="218" t="n">
        <v>3.71</v>
      </c>
      <c r="F403" t="str">
        <v>https://re.jrc.ec.europa.eu/api/v5_3/PVcalc?lat=30.0444&amp;lon=31.2357&amp;peakpower=1&amp;loss=14&amp;angle=5&amp;aspect=-150&amp;outputformat=json&amp;raddatabase=PVGIS-SARAH3&amp;pvtechchoice=crystSi&amp;mountingplace=free&amp;usehorizon=1</v>
      </c>
    </row>
    <row r="404">
      <c r="A404" t="n">
        <v>5</v>
      </c>
      <c r="B404" t="n">
        <v>30</v>
      </c>
      <c r="C404" t="n">
        <v>11</v>
      </c>
      <c r="D404" s="218" t="n">
        <v>85.98</v>
      </c>
      <c r="E404" s="218" t="n">
        <v>2.87</v>
      </c>
      <c r="F404" t="str">
        <v>https://re.jrc.ec.europa.eu/api/v5_3/PVcalc?lat=30.0444&amp;lon=31.2357&amp;peakpower=1&amp;loss=14&amp;angle=5&amp;aspect=-150&amp;outputformat=json&amp;raddatabase=PVGIS-SARAH3&amp;pvtechchoice=crystSi&amp;mountingplace=free&amp;usehorizon=1</v>
      </c>
    </row>
    <row r="405">
      <c r="A405" t="n">
        <v>5</v>
      </c>
      <c r="B405" t="n">
        <v>30</v>
      </c>
      <c r="C405" t="n">
        <v>12</v>
      </c>
      <c r="D405" s="218" t="n">
        <v>75.08</v>
      </c>
      <c r="E405" s="218" t="n">
        <v>2.42</v>
      </c>
      <c r="F405" t="str">
        <v>https://re.jrc.ec.europa.eu/api/v5_3/PVcalc?lat=30.0444&amp;lon=31.2357&amp;peakpower=1&amp;loss=14&amp;angle=5&amp;aspect=-150&amp;outputformat=json&amp;raddatabase=PVGIS-SARAH3&amp;pvtechchoice=crystSi&amp;mountingplace=free&amp;usehorizon=1</v>
      </c>
    </row>
    <row r="406">
      <c r="A406" t="n">
        <v>5</v>
      </c>
      <c r="B406" t="n">
        <v>45</v>
      </c>
      <c r="C406" t="n">
        <v>1</v>
      </c>
      <c r="D406" s="218" t="n">
        <v>82.07</v>
      </c>
      <c r="E406" s="218" t="n">
        <v>2.65</v>
      </c>
      <c r="F406" t="str">
        <v>https://re.jrc.ec.europa.eu/api/v5_3/PVcalc?lat=30.0444&amp;lon=31.2357&amp;peakpower=1&amp;loss=14&amp;angle=5&amp;aspect=-135&amp;outputformat=json&amp;raddatabase=PVGIS-SARAH3&amp;pvtechchoice=crystSi&amp;mountingplace=free&amp;usehorizon=1</v>
      </c>
    </row>
    <row r="407">
      <c r="A407" t="n">
        <v>5</v>
      </c>
      <c r="B407" t="n">
        <v>45</v>
      </c>
      <c r="C407" t="n">
        <v>2</v>
      </c>
      <c r="D407" s="218" t="n">
        <v>93.79</v>
      </c>
      <c r="E407" s="218" t="n">
        <v>3.35</v>
      </c>
      <c r="F407" t="str">
        <v>https://re.jrc.ec.europa.eu/api/v5_3/PVcalc?lat=30.0444&amp;lon=31.2357&amp;peakpower=1&amp;loss=14&amp;angle=5&amp;aspect=-135&amp;outputformat=json&amp;raddatabase=PVGIS-SARAH3&amp;pvtechchoice=crystSi&amp;mountingplace=free&amp;usehorizon=1</v>
      </c>
    </row>
    <row r="408">
      <c r="A408" t="n">
        <v>5</v>
      </c>
      <c r="B408" t="n">
        <v>45</v>
      </c>
      <c r="C408" t="n">
        <v>3</v>
      </c>
      <c r="D408" s="218" t="n">
        <v>134.73</v>
      </c>
      <c r="E408" s="218" t="n">
        <v>4.35</v>
      </c>
      <c r="F408" t="str">
        <v>https://re.jrc.ec.europa.eu/api/v5_3/PVcalc?lat=30.0444&amp;lon=31.2357&amp;peakpower=1&amp;loss=14&amp;angle=5&amp;aspect=-135&amp;outputformat=json&amp;raddatabase=PVGIS-SARAH3&amp;pvtechchoice=crystSi&amp;mountingplace=free&amp;usehorizon=1</v>
      </c>
    </row>
    <row r="409">
      <c r="A409" t="n">
        <v>5</v>
      </c>
      <c r="B409" t="n">
        <v>45</v>
      </c>
      <c r="C409" t="n">
        <v>4</v>
      </c>
      <c r="D409" s="218" t="n">
        <v>154.98</v>
      </c>
      <c r="E409" s="218" t="n">
        <v>5.17</v>
      </c>
      <c r="F409" t="str">
        <v>https://re.jrc.ec.europa.eu/api/v5_3/PVcalc?lat=30.0444&amp;lon=31.2357&amp;peakpower=1&amp;loss=14&amp;angle=5&amp;aspect=-135&amp;outputformat=json&amp;raddatabase=PVGIS-SARAH3&amp;pvtechchoice=crystSi&amp;mountingplace=free&amp;usehorizon=1</v>
      </c>
    </row>
    <row r="410">
      <c r="A410" t="n">
        <v>5</v>
      </c>
      <c r="B410" t="n">
        <v>45</v>
      </c>
      <c r="C410" t="n">
        <v>5</v>
      </c>
      <c r="D410" s="218" t="n">
        <v>174.86</v>
      </c>
      <c r="E410" s="218" t="n">
        <v>5.64</v>
      </c>
      <c r="F410" t="str">
        <v>https://re.jrc.ec.europa.eu/api/v5_3/PVcalc?lat=30.0444&amp;lon=31.2357&amp;peakpower=1&amp;loss=14&amp;angle=5&amp;aspect=-135&amp;outputformat=json&amp;raddatabase=PVGIS-SARAH3&amp;pvtechchoice=crystSi&amp;mountingplace=free&amp;usehorizon=1</v>
      </c>
    </row>
    <row r="411">
      <c r="A411" t="n">
        <v>5</v>
      </c>
      <c r="B411" t="n">
        <v>45</v>
      </c>
      <c r="C411" t="n">
        <v>6</v>
      </c>
      <c r="D411" s="218" t="n">
        <v>180.34</v>
      </c>
      <c r="E411" s="218" t="n">
        <v>6.01</v>
      </c>
      <c r="F411" t="str">
        <v>https://re.jrc.ec.europa.eu/api/v5_3/PVcalc?lat=30.0444&amp;lon=31.2357&amp;peakpower=1&amp;loss=14&amp;angle=5&amp;aspect=-135&amp;outputformat=json&amp;raddatabase=PVGIS-SARAH3&amp;pvtechchoice=crystSi&amp;mountingplace=free&amp;usehorizon=1</v>
      </c>
    </row>
    <row r="412">
      <c r="A412" t="n">
        <v>5</v>
      </c>
      <c r="B412" t="n">
        <v>45</v>
      </c>
      <c r="C412" t="n">
        <v>7</v>
      </c>
      <c r="D412" s="218" t="n">
        <v>182.09</v>
      </c>
      <c r="E412" s="218" t="n">
        <v>5.87</v>
      </c>
      <c r="F412" t="str">
        <v>https://re.jrc.ec.europa.eu/api/v5_3/PVcalc?lat=30.0444&amp;lon=31.2357&amp;peakpower=1&amp;loss=14&amp;angle=5&amp;aspect=-135&amp;outputformat=json&amp;raddatabase=PVGIS-SARAH3&amp;pvtechchoice=crystSi&amp;mountingplace=free&amp;usehorizon=1</v>
      </c>
    </row>
    <row r="413">
      <c r="A413" t="n">
        <v>5</v>
      </c>
      <c r="B413" t="n">
        <v>45</v>
      </c>
      <c r="C413" t="n">
        <v>8</v>
      </c>
      <c r="D413" s="218" t="n">
        <v>167.81</v>
      </c>
      <c r="E413" s="218" t="n">
        <v>5.41</v>
      </c>
      <c r="F413" t="str">
        <v>https://re.jrc.ec.europa.eu/api/v5_3/PVcalc?lat=30.0444&amp;lon=31.2357&amp;peakpower=1&amp;loss=14&amp;angle=5&amp;aspect=-135&amp;outputformat=json&amp;raddatabase=PVGIS-SARAH3&amp;pvtechchoice=crystSi&amp;mountingplace=free&amp;usehorizon=1</v>
      </c>
    </row>
    <row r="414">
      <c r="A414" t="n">
        <v>5</v>
      </c>
      <c r="B414" t="n">
        <v>45</v>
      </c>
      <c r="C414" t="n">
        <v>9</v>
      </c>
      <c r="D414" s="218" t="n">
        <v>141.17</v>
      </c>
      <c r="E414" s="218" t="n">
        <v>4.71</v>
      </c>
      <c r="F414" t="str">
        <v>https://re.jrc.ec.europa.eu/api/v5_3/PVcalc?lat=30.0444&amp;lon=31.2357&amp;peakpower=1&amp;loss=14&amp;angle=5&amp;aspect=-135&amp;outputformat=json&amp;raddatabase=PVGIS-SARAH3&amp;pvtechchoice=crystSi&amp;mountingplace=free&amp;usehorizon=1</v>
      </c>
    </row>
    <row r="415">
      <c r="A415" t="n">
        <v>5</v>
      </c>
      <c r="B415" t="n">
        <v>45</v>
      </c>
      <c r="C415" t="n">
        <v>10</v>
      </c>
      <c r="D415" s="218" t="n">
        <v>116.13</v>
      </c>
      <c r="E415" s="218" t="n">
        <v>3.75</v>
      </c>
      <c r="F415" t="str">
        <v>https://re.jrc.ec.europa.eu/api/v5_3/PVcalc?lat=30.0444&amp;lon=31.2357&amp;peakpower=1&amp;loss=14&amp;angle=5&amp;aspect=-135&amp;outputformat=json&amp;raddatabase=PVGIS-SARAH3&amp;pvtechchoice=crystSi&amp;mountingplace=free&amp;usehorizon=1</v>
      </c>
    </row>
    <row r="416">
      <c r="A416" t="n">
        <v>5</v>
      </c>
      <c r="B416" t="n">
        <v>45</v>
      </c>
      <c r="C416" t="n">
        <v>11</v>
      </c>
      <c r="D416" s="218" t="n">
        <v>87.56</v>
      </c>
      <c r="E416" s="218" t="n">
        <v>2.92</v>
      </c>
      <c r="F416" t="str">
        <v>https://re.jrc.ec.europa.eu/api/v5_3/PVcalc?lat=30.0444&amp;lon=31.2357&amp;peakpower=1&amp;loss=14&amp;angle=5&amp;aspect=-135&amp;outputformat=json&amp;raddatabase=PVGIS-SARAH3&amp;pvtechchoice=crystSi&amp;mountingplace=free&amp;usehorizon=1</v>
      </c>
    </row>
    <row r="417">
      <c r="A417" t="n">
        <v>5</v>
      </c>
      <c r="B417" t="n">
        <v>45</v>
      </c>
      <c r="C417" t="n">
        <v>12</v>
      </c>
      <c r="D417" s="218" t="n">
        <v>76.79</v>
      </c>
      <c r="E417" s="218" t="n">
        <v>2.48</v>
      </c>
      <c r="F417" t="str">
        <v>https://re.jrc.ec.europa.eu/api/v5_3/PVcalc?lat=30.0444&amp;lon=31.2357&amp;peakpower=1&amp;loss=14&amp;angle=5&amp;aspect=-135&amp;outputformat=json&amp;raddatabase=PVGIS-SARAH3&amp;pvtechchoice=crystSi&amp;mountingplace=free&amp;usehorizon=1</v>
      </c>
    </row>
    <row r="418">
      <c r="A418" t="n">
        <v>5</v>
      </c>
      <c r="B418" t="n">
        <v>60</v>
      </c>
      <c r="C418" t="n">
        <v>1</v>
      </c>
      <c r="D418" s="218" t="n">
        <v>84.1</v>
      </c>
      <c r="E418" s="218" t="n">
        <v>2.71</v>
      </c>
      <c r="F418" t="str">
        <v>https://re.jrc.ec.europa.eu/api/v5_3/PVcalc?lat=30.0444&amp;lon=31.2357&amp;peakpower=1&amp;loss=14&amp;angle=5&amp;aspect=-120&amp;outputformat=json&amp;raddatabase=PVGIS-SARAH3&amp;pvtechchoice=crystSi&amp;mountingplace=free&amp;usehorizon=1</v>
      </c>
    </row>
    <row r="419">
      <c r="A419" t="n">
        <v>5</v>
      </c>
      <c r="B419" t="n">
        <v>60</v>
      </c>
      <c r="C419" t="n">
        <v>2</v>
      </c>
      <c r="D419" s="218" t="n">
        <v>95.39</v>
      </c>
      <c r="E419" s="218" t="n">
        <v>3.41</v>
      </c>
      <c r="F419" t="str">
        <v>https://re.jrc.ec.europa.eu/api/v5_3/PVcalc?lat=30.0444&amp;lon=31.2357&amp;peakpower=1&amp;loss=14&amp;angle=5&amp;aspect=-120&amp;outputformat=json&amp;raddatabase=PVGIS-SARAH3&amp;pvtechchoice=crystSi&amp;mountingplace=free&amp;usehorizon=1</v>
      </c>
    </row>
    <row r="420">
      <c r="A420" t="n">
        <v>5</v>
      </c>
      <c r="B420" t="n">
        <v>60</v>
      </c>
      <c r="C420" t="n">
        <v>3</v>
      </c>
      <c r="D420" s="218" t="n">
        <v>135.97</v>
      </c>
      <c r="E420" s="218" t="n">
        <v>4.39</v>
      </c>
      <c r="F420" t="str">
        <v>https://re.jrc.ec.europa.eu/api/v5_3/PVcalc?lat=30.0444&amp;lon=31.2357&amp;peakpower=1&amp;loss=14&amp;angle=5&amp;aspect=-120&amp;outputformat=json&amp;raddatabase=PVGIS-SARAH3&amp;pvtechchoice=crystSi&amp;mountingplace=free&amp;usehorizon=1</v>
      </c>
    </row>
    <row r="421">
      <c r="A421" t="n">
        <v>5</v>
      </c>
      <c r="B421" t="n">
        <v>60</v>
      </c>
      <c r="C421" t="n">
        <v>4</v>
      </c>
      <c r="D421" s="218" t="n">
        <v>155.53</v>
      </c>
      <c r="E421" s="218" t="n">
        <v>5.18</v>
      </c>
      <c r="F421" t="str">
        <v>https://re.jrc.ec.europa.eu/api/v5_3/PVcalc?lat=30.0444&amp;lon=31.2357&amp;peakpower=1&amp;loss=14&amp;angle=5&amp;aspect=-120&amp;outputformat=json&amp;raddatabase=PVGIS-SARAH3&amp;pvtechchoice=crystSi&amp;mountingplace=free&amp;usehorizon=1</v>
      </c>
    </row>
    <row r="422">
      <c r="A422" t="n">
        <v>5</v>
      </c>
      <c r="B422" t="n">
        <v>60</v>
      </c>
      <c r="C422" t="n">
        <v>5</v>
      </c>
      <c r="D422" s="218" t="n">
        <v>174.9</v>
      </c>
      <c r="E422" s="218" t="n">
        <v>5.64</v>
      </c>
      <c r="F422" t="str">
        <v>https://re.jrc.ec.europa.eu/api/v5_3/PVcalc?lat=30.0444&amp;lon=31.2357&amp;peakpower=1&amp;loss=14&amp;angle=5&amp;aspect=-120&amp;outputformat=json&amp;raddatabase=PVGIS-SARAH3&amp;pvtechchoice=crystSi&amp;mountingplace=free&amp;usehorizon=1</v>
      </c>
    </row>
    <row r="423">
      <c r="A423" t="n">
        <v>5</v>
      </c>
      <c r="B423" t="n">
        <v>60</v>
      </c>
      <c r="C423" t="n">
        <v>6</v>
      </c>
      <c r="D423" s="218" t="n">
        <v>180</v>
      </c>
      <c r="E423" s="218" t="n">
        <v>6</v>
      </c>
      <c r="F423" t="str">
        <v>https://re.jrc.ec.europa.eu/api/v5_3/PVcalc?lat=30.0444&amp;lon=31.2357&amp;peakpower=1&amp;loss=14&amp;angle=5&amp;aspect=-120&amp;outputformat=json&amp;raddatabase=PVGIS-SARAH3&amp;pvtechchoice=crystSi&amp;mountingplace=free&amp;usehorizon=1</v>
      </c>
    </row>
    <row r="424">
      <c r="A424" t="n">
        <v>5</v>
      </c>
      <c r="B424" t="n">
        <v>60</v>
      </c>
      <c r="C424" t="n">
        <v>7</v>
      </c>
      <c r="D424" s="218" t="n">
        <v>181.82</v>
      </c>
      <c r="E424" s="218" t="n">
        <v>5.87</v>
      </c>
      <c r="F424" t="str">
        <v>https://re.jrc.ec.europa.eu/api/v5_3/PVcalc?lat=30.0444&amp;lon=31.2357&amp;peakpower=1&amp;loss=14&amp;angle=5&amp;aspect=-120&amp;outputformat=json&amp;raddatabase=PVGIS-SARAH3&amp;pvtechchoice=crystSi&amp;mountingplace=free&amp;usehorizon=1</v>
      </c>
    </row>
    <row r="425">
      <c r="A425" t="n">
        <v>5</v>
      </c>
      <c r="B425" t="n">
        <v>60</v>
      </c>
      <c r="C425" t="n">
        <v>8</v>
      </c>
      <c r="D425" s="218" t="n">
        <v>168.12</v>
      </c>
      <c r="E425" s="218" t="n">
        <v>5.42</v>
      </c>
      <c r="F425" t="str">
        <v>https://re.jrc.ec.europa.eu/api/v5_3/PVcalc?lat=30.0444&amp;lon=31.2357&amp;peakpower=1&amp;loss=14&amp;angle=5&amp;aspect=-120&amp;outputformat=json&amp;raddatabase=PVGIS-SARAH3&amp;pvtechchoice=crystSi&amp;mountingplace=free&amp;usehorizon=1</v>
      </c>
    </row>
    <row r="426">
      <c r="A426" t="n">
        <v>5</v>
      </c>
      <c r="B426" t="n">
        <v>60</v>
      </c>
      <c r="C426" t="n">
        <v>9</v>
      </c>
      <c r="D426" s="218" t="n">
        <v>142.11</v>
      </c>
      <c r="E426" s="218" t="n">
        <v>4.74</v>
      </c>
      <c r="F426" t="str">
        <v>https://re.jrc.ec.europa.eu/api/v5_3/PVcalc?lat=30.0444&amp;lon=31.2357&amp;peakpower=1&amp;loss=14&amp;angle=5&amp;aspect=-120&amp;outputformat=json&amp;raddatabase=PVGIS-SARAH3&amp;pvtechchoice=crystSi&amp;mountingplace=free&amp;usehorizon=1</v>
      </c>
    </row>
    <row r="427">
      <c r="A427" t="n">
        <v>5</v>
      </c>
      <c r="B427" t="n">
        <v>60</v>
      </c>
      <c r="C427" t="n">
        <v>10</v>
      </c>
      <c r="D427" s="218" t="n">
        <v>117.79</v>
      </c>
      <c r="E427" s="218" t="n">
        <v>3.8</v>
      </c>
      <c r="F427" t="str">
        <v>https://re.jrc.ec.europa.eu/api/v5_3/PVcalc?lat=30.0444&amp;lon=31.2357&amp;peakpower=1&amp;loss=14&amp;angle=5&amp;aspect=-120&amp;outputformat=json&amp;raddatabase=PVGIS-SARAH3&amp;pvtechchoice=crystSi&amp;mountingplace=free&amp;usehorizon=1</v>
      </c>
    </row>
    <row r="428">
      <c r="A428" t="n">
        <v>5</v>
      </c>
      <c r="B428" t="n">
        <v>60</v>
      </c>
      <c r="C428" t="n">
        <v>11</v>
      </c>
      <c r="D428" s="218" t="n">
        <v>89.6</v>
      </c>
      <c r="E428" s="218" t="n">
        <v>2.99</v>
      </c>
      <c r="F428" t="str">
        <v>https://re.jrc.ec.europa.eu/api/v5_3/PVcalc?lat=30.0444&amp;lon=31.2357&amp;peakpower=1&amp;loss=14&amp;angle=5&amp;aspect=-120&amp;outputformat=json&amp;raddatabase=PVGIS-SARAH3&amp;pvtechchoice=crystSi&amp;mountingplace=free&amp;usehorizon=1</v>
      </c>
    </row>
    <row r="429">
      <c r="A429" t="n">
        <v>5</v>
      </c>
      <c r="B429" t="n">
        <v>60</v>
      </c>
      <c r="C429" t="n">
        <v>12</v>
      </c>
      <c r="D429" s="218" t="n">
        <v>78.97</v>
      </c>
      <c r="E429" s="218" t="n">
        <v>2.55</v>
      </c>
      <c r="F429" t="str">
        <v>https://re.jrc.ec.europa.eu/api/v5_3/PVcalc?lat=30.0444&amp;lon=31.2357&amp;peakpower=1&amp;loss=14&amp;angle=5&amp;aspect=-120&amp;outputformat=json&amp;raddatabase=PVGIS-SARAH3&amp;pvtechchoice=crystSi&amp;mountingplace=free&amp;usehorizon=1</v>
      </c>
    </row>
    <row r="430">
      <c r="A430" t="n">
        <v>5</v>
      </c>
      <c r="B430" t="n">
        <v>75</v>
      </c>
      <c r="C430" t="n">
        <v>1</v>
      </c>
      <c r="D430" s="218" t="n">
        <v>86.42</v>
      </c>
      <c r="E430" s="218" t="n">
        <v>2.79</v>
      </c>
      <c r="F430" t="str">
        <v>https://re.jrc.ec.europa.eu/api/v5_3/PVcalc?lat=30.0444&amp;lon=31.2357&amp;peakpower=1&amp;loss=14&amp;angle=5&amp;aspect=-105&amp;outputformat=json&amp;raddatabase=PVGIS-SARAH3&amp;pvtechchoice=crystSi&amp;mountingplace=free&amp;usehorizon=1</v>
      </c>
    </row>
    <row r="431">
      <c r="A431" t="n">
        <v>5</v>
      </c>
      <c r="B431" t="n">
        <v>75</v>
      </c>
      <c r="C431" t="n">
        <v>2</v>
      </c>
      <c r="D431" s="218" t="n">
        <v>97.19</v>
      </c>
      <c r="E431" s="218" t="n">
        <v>3.47</v>
      </c>
      <c r="F431" t="str">
        <v>https://re.jrc.ec.europa.eu/api/v5_3/PVcalc?lat=30.0444&amp;lon=31.2357&amp;peakpower=1&amp;loss=14&amp;angle=5&amp;aspect=-105&amp;outputformat=json&amp;raddatabase=PVGIS-SARAH3&amp;pvtechchoice=crystSi&amp;mountingplace=free&amp;usehorizon=1</v>
      </c>
    </row>
    <row r="432">
      <c r="A432" t="n">
        <v>5</v>
      </c>
      <c r="B432" t="n">
        <v>75</v>
      </c>
      <c r="C432" t="n">
        <v>3</v>
      </c>
      <c r="D432" s="218" t="n">
        <v>137.43</v>
      </c>
      <c r="E432" s="218" t="n">
        <v>4.43</v>
      </c>
      <c r="F432" t="str">
        <v>https://re.jrc.ec.europa.eu/api/v5_3/PVcalc?lat=30.0444&amp;lon=31.2357&amp;peakpower=1&amp;loss=14&amp;angle=5&amp;aspect=-105&amp;outputformat=json&amp;raddatabase=PVGIS-SARAH3&amp;pvtechchoice=crystSi&amp;mountingplace=free&amp;usehorizon=1</v>
      </c>
    </row>
    <row r="433">
      <c r="A433" t="n">
        <v>5</v>
      </c>
      <c r="B433" t="n">
        <v>75</v>
      </c>
      <c r="C433" t="n">
        <v>4</v>
      </c>
      <c r="D433" s="218" t="n">
        <v>156.23</v>
      </c>
      <c r="E433" s="218" t="n">
        <v>5.21</v>
      </c>
      <c r="F433" t="str">
        <v>https://re.jrc.ec.europa.eu/api/v5_3/PVcalc?lat=30.0444&amp;lon=31.2357&amp;peakpower=1&amp;loss=14&amp;angle=5&amp;aspect=-105&amp;outputformat=json&amp;raddatabase=PVGIS-SARAH3&amp;pvtechchoice=crystSi&amp;mountingplace=free&amp;usehorizon=1</v>
      </c>
    </row>
    <row r="434">
      <c r="A434" t="n">
        <v>5</v>
      </c>
      <c r="B434" t="n">
        <v>75</v>
      </c>
      <c r="C434" t="n">
        <v>5</v>
      </c>
      <c r="D434" s="218" t="n">
        <v>175</v>
      </c>
      <c r="E434" s="218" t="n">
        <v>5.65</v>
      </c>
      <c r="F434" t="str">
        <v>https://re.jrc.ec.europa.eu/api/v5_3/PVcalc?lat=30.0444&amp;lon=31.2357&amp;peakpower=1&amp;loss=14&amp;angle=5&amp;aspect=-105&amp;outputformat=json&amp;raddatabase=PVGIS-SARAH3&amp;pvtechchoice=crystSi&amp;mountingplace=free&amp;usehorizon=1</v>
      </c>
    </row>
    <row r="435">
      <c r="A435" t="n">
        <v>5</v>
      </c>
      <c r="B435" t="n">
        <v>75</v>
      </c>
      <c r="C435" t="n">
        <v>6</v>
      </c>
      <c r="D435" s="218" t="n">
        <v>179.7</v>
      </c>
      <c r="E435" s="218" t="n">
        <v>5.99</v>
      </c>
      <c r="F435" t="str">
        <v>https://re.jrc.ec.europa.eu/api/v5_3/PVcalc?lat=30.0444&amp;lon=31.2357&amp;peakpower=1&amp;loss=14&amp;angle=5&amp;aspect=-105&amp;outputformat=json&amp;raddatabase=PVGIS-SARAH3&amp;pvtechchoice=crystSi&amp;mountingplace=free&amp;usehorizon=1</v>
      </c>
    </row>
    <row r="436">
      <c r="A436" t="n">
        <v>5</v>
      </c>
      <c r="B436" t="n">
        <v>75</v>
      </c>
      <c r="C436" t="n">
        <v>7</v>
      </c>
      <c r="D436" s="218" t="n">
        <v>181.65</v>
      </c>
      <c r="E436" s="218" t="n">
        <v>5.86</v>
      </c>
      <c r="F436" t="str">
        <v>https://re.jrc.ec.europa.eu/api/v5_3/PVcalc?lat=30.0444&amp;lon=31.2357&amp;peakpower=1&amp;loss=14&amp;angle=5&amp;aspect=-105&amp;outputformat=json&amp;raddatabase=PVGIS-SARAH3&amp;pvtechchoice=crystSi&amp;mountingplace=free&amp;usehorizon=1</v>
      </c>
    </row>
    <row r="437">
      <c r="A437" t="n">
        <v>5</v>
      </c>
      <c r="B437" t="n">
        <v>75</v>
      </c>
      <c r="C437" t="n">
        <v>8</v>
      </c>
      <c r="D437" s="218" t="n">
        <v>168.58</v>
      </c>
      <c r="E437" s="218" t="n">
        <v>5.44</v>
      </c>
      <c r="F437" t="str">
        <v>https://re.jrc.ec.europa.eu/api/v5_3/PVcalc?lat=30.0444&amp;lon=31.2357&amp;peakpower=1&amp;loss=14&amp;angle=5&amp;aspect=-105&amp;outputformat=json&amp;raddatabase=PVGIS-SARAH3&amp;pvtechchoice=crystSi&amp;mountingplace=free&amp;usehorizon=1</v>
      </c>
    </row>
    <row r="438">
      <c r="A438" t="n">
        <v>5</v>
      </c>
      <c r="B438" t="n">
        <v>75</v>
      </c>
      <c r="C438" t="n">
        <v>9</v>
      </c>
      <c r="D438" s="218" t="n">
        <v>143.29</v>
      </c>
      <c r="E438" s="218" t="n">
        <v>4.78</v>
      </c>
      <c r="F438" t="str">
        <v>https://re.jrc.ec.europa.eu/api/v5_3/PVcalc?lat=30.0444&amp;lon=31.2357&amp;peakpower=1&amp;loss=14&amp;angle=5&amp;aspect=-105&amp;outputformat=json&amp;raddatabase=PVGIS-SARAH3&amp;pvtechchoice=crystSi&amp;mountingplace=free&amp;usehorizon=1</v>
      </c>
    </row>
    <row r="439">
      <c r="A439" t="n">
        <v>5</v>
      </c>
      <c r="B439" t="n">
        <v>75</v>
      </c>
      <c r="C439" t="n">
        <v>10</v>
      </c>
      <c r="D439" s="218" t="n">
        <v>119.73</v>
      </c>
      <c r="E439" s="218" t="n">
        <v>3.86</v>
      </c>
      <c r="F439" t="str">
        <v>https://re.jrc.ec.europa.eu/api/v5_3/PVcalc?lat=30.0444&amp;lon=31.2357&amp;peakpower=1&amp;loss=14&amp;angle=5&amp;aspect=-105&amp;outputformat=json&amp;raddatabase=PVGIS-SARAH3&amp;pvtechchoice=crystSi&amp;mountingplace=free&amp;usehorizon=1</v>
      </c>
    </row>
    <row r="440">
      <c r="A440" t="n">
        <v>5</v>
      </c>
      <c r="B440" t="n">
        <v>75</v>
      </c>
      <c r="C440" t="n">
        <v>11</v>
      </c>
      <c r="D440" s="218" t="n">
        <v>91.93</v>
      </c>
      <c r="E440" s="218" t="n">
        <v>3.06</v>
      </c>
      <c r="F440" t="str">
        <v>https://re.jrc.ec.europa.eu/api/v5_3/PVcalc?lat=30.0444&amp;lon=31.2357&amp;peakpower=1&amp;loss=14&amp;angle=5&amp;aspect=-105&amp;outputformat=json&amp;raddatabase=PVGIS-SARAH3&amp;pvtechchoice=crystSi&amp;mountingplace=free&amp;usehorizon=1</v>
      </c>
    </row>
    <row r="441">
      <c r="A441" t="n">
        <v>5</v>
      </c>
      <c r="B441" t="n">
        <v>75</v>
      </c>
      <c r="C441" t="n">
        <v>12</v>
      </c>
      <c r="D441" s="218" t="n">
        <v>81.44</v>
      </c>
      <c r="E441" s="218" t="n">
        <v>2.63</v>
      </c>
      <c r="F441" t="str">
        <v>https://re.jrc.ec.europa.eu/api/v5_3/PVcalc?lat=30.0444&amp;lon=31.2357&amp;peakpower=1&amp;loss=14&amp;angle=5&amp;aspect=-105&amp;outputformat=json&amp;raddatabase=PVGIS-SARAH3&amp;pvtechchoice=crystSi&amp;mountingplace=free&amp;usehorizon=1</v>
      </c>
    </row>
    <row r="442">
      <c r="A442" t="n">
        <v>5</v>
      </c>
      <c r="B442" t="n">
        <v>90</v>
      </c>
      <c r="C442" t="n">
        <v>1</v>
      </c>
      <c r="D442" s="218" t="n">
        <v>88.87</v>
      </c>
      <c r="E442" s="218" t="n">
        <v>2.87</v>
      </c>
      <c r="F442" t="str">
        <v>https://re.jrc.ec.europa.eu/api/v5_3/PVcalc?lat=30.0444&amp;lon=31.2357&amp;peakpower=1&amp;loss=14&amp;angle=5&amp;aspect=-90&amp;outputformat=json&amp;raddatabase=PVGIS-SARAH3&amp;pvtechchoice=crystSi&amp;mountingplace=free&amp;usehorizon=1</v>
      </c>
    </row>
    <row r="443">
      <c r="A443" t="n">
        <v>5</v>
      </c>
      <c r="B443" t="n">
        <v>90</v>
      </c>
      <c r="C443" t="n">
        <v>2</v>
      </c>
      <c r="D443" s="218" t="n">
        <v>99.07</v>
      </c>
      <c r="E443" s="218" t="n">
        <v>3.54</v>
      </c>
      <c r="F443" t="str">
        <v>https://re.jrc.ec.europa.eu/api/v5_3/PVcalc?lat=30.0444&amp;lon=31.2357&amp;peakpower=1&amp;loss=14&amp;angle=5&amp;aspect=-90&amp;outputformat=json&amp;raddatabase=PVGIS-SARAH3&amp;pvtechchoice=crystSi&amp;mountingplace=free&amp;usehorizon=1</v>
      </c>
    </row>
    <row r="444">
      <c r="A444" t="n">
        <v>5</v>
      </c>
      <c r="B444" t="n">
        <v>90</v>
      </c>
      <c r="C444" t="n">
        <v>3</v>
      </c>
      <c r="D444" s="218" t="n">
        <v>139.03</v>
      </c>
      <c r="E444" s="218" t="n">
        <v>4.48</v>
      </c>
      <c r="F444" t="str">
        <v>https://re.jrc.ec.europa.eu/api/v5_3/PVcalc?lat=30.0444&amp;lon=31.2357&amp;peakpower=1&amp;loss=14&amp;angle=5&amp;aspect=-90&amp;outputformat=json&amp;raddatabase=PVGIS-SARAH3&amp;pvtechchoice=crystSi&amp;mountingplace=free&amp;usehorizon=1</v>
      </c>
    </row>
    <row r="445">
      <c r="A445" t="n">
        <v>5</v>
      </c>
      <c r="B445" t="n">
        <v>90</v>
      </c>
      <c r="C445" t="n">
        <v>4</v>
      </c>
      <c r="D445" s="218" t="n">
        <v>157.03</v>
      </c>
      <c r="E445" s="218" t="n">
        <v>5.23</v>
      </c>
      <c r="F445" t="str">
        <v>https://re.jrc.ec.europa.eu/api/v5_3/PVcalc?lat=30.0444&amp;lon=31.2357&amp;peakpower=1&amp;loss=14&amp;angle=5&amp;aspect=-90&amp;outputformat=json&amp;raddatabase=PVGIS-SARAH3&amp;pvtechchoice=crystSi&amp;mountingplace=free&amp;usehorizon=1</v>
      </c>
    </row>
    <row r="446">
      <c r="A446" t="n">
        <v>5</v>
      </c>
      <c r="B446" t="n">
        <v>90</v>
      </c>
      <c r="C446" t="n">
        <v>5</v>
      </c>
      <c r="D446" s="218" t="n">
        <v>175.15</v>
      </c>
      <c r="E446" s="218" t="n">
        <v>5.65</v>
      </c>
      <c r="F446" t="str">
        <v>https://re.jrc.ec.europa.eu/api/v5_3/PVcalc?lat=30.0444&amp;lon=31.2357&amp;peakpower=1&amp;loss=14&amp;angle=5&amp;aspect=-90&amp;outputformat=json&amp;raddatabase=PVGIS-SARAH3&amp;pvtechchoice=crystSi&amp;mountingplace=free&amp;usehorizon=1</v>
      </c>
    </row>
    <row r="447">
      <c r="A447" t="n">
        <v>5</v>
      </c>
      <c r="B447" t="n">
        <v>90</v>
      </c>
      <c r="C447" t="n">
        <v>6</v>
      </c>
      <c r="D447" s="218" t="n">
        <v>179.47</v>
      </c>
      <c r="E447" s="218" t="n">
        <v>5.98</v>
      </c>
      <c r="F447" t="str">
        <v>https://re.jrc.ec.europa.eu/api/v5_3/PVcalc?lat=30.0444&amp;lon=31.2357&amp;peakpower=1&amp;loss=14&amp;angle=5&amp;aspect=-90&amp;outputformat=json&amp;raddatabase=PVGIS-SARAH3&amp;pvtechchoice=crystSi&amp;mountingplace=free&amp;usehorizon=1</v>
      </c>
    </row>
    <row r="448">
      <c r="A448" t="n">
        <v>5</v>
      </c>
      <c r="B448" t="n">
        <v>90</v>
      </c>
      <c r="C448" t="n">
        <v>7</v>
      </c>
      <c r="D448" s="218" t="n">
        <v>181.57</v>
      </c>
      <c r="E448" s="218" t="n">
        <v>5.86</v>
      </c>
      <c r="F448" t="str">
        <v>https://re.jrc.ec.europa.eu/api/v5_3/PVcalc?lat=30.0444&amp;lon=31.2357&amp;peakpower=1&amp;loss=14&amp;angle=5&amp;aspect=-90&amp;outputformat=json&amp;raddatabase=PVGIS-SARAH3&amp;pvtechchoice=crystSi&amp;mountingplace=free&amp;usehorizon=1</v>
      </c>
    </row>
    <row r="449">
      <c r="A449" t="n">
        <v>5</v>
      </c>
      <c r="B449" t="n">
        <v>90</v>
      </c>
      <c r="C449" t="n">
        <v>8</v>
      </c>
      <c r="D449" s="218" t="n">
        <v>169.15</v>
      </c>
      <c r="E449" s="218" t="n">
        <v>5.46</v>
      </c>
      <c r="F449" t="str">
        <v>https://re.jrc.ec.europa.eu/api/v5_3/PVcalc?lat=30.0444&amp;lon=31.2357&amp;peakpower=1&amp;loss=14&amp;angle=5&amp;aspect=-90&amp;outputformat=json&amp;raddatabase=PVGIS-SARAH3&amp;pvtechchoice=crystSi&amp;mountingplace=free&amp;usehorizon=1</v>
      </c>
    </row>
    <row r="450">
      <c r="A450" t="n">
        <v>5</v>
      </c>
      <c r="B450" t="n">
        <v>90</v>
      </c>
      <c r="C450" t="n">
        <v>9</v>
      </c>
      <c r="D450" s="218" t="n">
        <v>144.62</v>
      </c>
      <c r="E450" s="218" t="n">
        <v>4.82</v>
      </c>
      <c r="F450" t="str">
        <v>https://re.jrc.ec.europa.eu/api/v5_3/PVcalc?lat=30.0444&amp;lon=31.2357&amp;peakpower=1&amp;loss=14&amp;angle=5&amp;aspect=-90&amp;outputformat=json&amp;raddatabase=PVGIS-SARAH3&amp;pvtechchoice=crystSi&amp;mountingplace=free&amp;usehorizon=1</v>
      </c>
    </row>
    <row r="451">
      <c r="A451" t="n">
        <v>5</v>
      </c>
      <c r="B451" t="n">
        <v>90</v>
      </c>
      <c r="C451" t="n">
        <v>10</v>
      </c>
      <c r="D451" s="218" t="n">
        <v>121.79</v>
      </c>
      <c r="E451" s="218" t="n">
        <v>3.93</v>
      </c>
      <c r="F451" t="str">
        <v>https://re.jrc.ec.europa.eu/api/v5_3/PVcalc?lat=30.0444&amp;lon=31.2357&amp;peakpower=1&amp;loss=14&amp;angle=5&amp;aspect=-90&amp;outputformat=json&amp;raddatabase=PVGIS-SARAH3&amp;pvtechchoice=crystSi&amp;mountingplace=free&amp;usehorizon=1</v>
      </c>
    </row>
    <row r="452">
      <c r="A452" t="n">
        <v>5</v>
      </c>
      <c r="B452" t="n">
        <v>90</v>
      </c>
      <c r="C452" t="n">
        <v>11</v>
      </c>
      <c r="D452" s="218" t="n">
        <v>94.39</v>
      </c>
      <c r="E452" s="218" t="n">
        <v>3.15</v>
      </c>
      <c r="F452" t="str">
        <v>https://re.jrc.ec.europa.eu/api/v5_3/PVcalc?lat=30.0444&amp;lon=31.2357&amp;peakpower=1&amp;loss=14&amp;angle=5&amp;aspect=-90&amp;outputformat=json&amp;raddatabase=PVGIS-SARAH3&amp;pvtechchoice=crystSi&amp;mountingplace=free&amp;usehorizon=1</v>
      </c>
    </row>
    <row r="453">
      <c r="A453" t="n">
        <v>5</v>
      </c>
      <c r="B453" t="n">
        <v>90</v>
      </c>
      <c r="C453" t="n">
        <v>12</v>
      </c>
      <c r="D453" s="218" t="n">
        <v>84.06</v>
      </c>
      <c r="E453" s="218" t="n">
        <v>2.71</v>
      </c>
      <c r="F453" t="str">
        <v>https://re.jrc.ec.europa.eu/api/v5_3/PVcalc?lat=30.0444&amp;lon=31.2357&amp;peakpower=1&amp;loss=14&amp;angle=5&amp;aspect=-90&amp;outputformat=json&amp;raddatabase=PVGIS-SARAH3&amp;pvtechchoice=crystSi&amp;mountingplace=free&amp;usehorizon=1</v>
      </c>
    </row>
    <row r="454">
      <c r="A454" t="n">
        <v>5</v>
      </c>
      <c r="B454" t="n">
        <v>105</v>
      </c>
      <c r="C454" t="n">
        <v>1</v>
      </c>
      <c r="D454" s="218" t="n">
        <v>91.29</v>
      </c>
      <c r="E454" s="218" t="n">
        <v>2.94</v>
      </c>
      <c r="F454" t="str">
        <v>https://re.jrc.ec.europa.eu/api/v5_3/PVcalc?lat=30.0444&amp;lon=31.2357&amp;peakpower=1&amp;loss=14&amp;angle=5&amp;aspect=-75&amp;outputformat=json&amp;raddatabase=PVGIS-SARAH3&amp;pvtechchoice=crystSi&amp;mountingplace=free&amp;usehorizon=1</v>
      </c>
    </row>
    <row r="455">
      <c r="A455" t="n">
        <v>5</v>
      </c>
      <c r="B455" t="n">
        <v>105</v>
      </c>
      <c r="C455" t="n">
        <v>2</v>
      </c>
      <c r="D455" s="218" t="n">
        <v>100.91</v>
      </c>
      <c r="E455" s="218" t="n">
        <v>3.6</v>
      </c>
      <c r="F455" t="str">
        <v>https://re.jrc.ec.europa.eu/api/v5_3/PVcalc?lat=30.0444&amp;lon=31.2357&amp;peakpower=1&amp;loss=14&amp;angle=5&amp;aspect=-75&amp;outputformat=json&amp;raddatabase=PVGIS-SARAH3&amp;pvtechchoice=crystSi&amp;mountingplace=free&amp;usehorizon=1</v>
      </c>
    </row>
    <row r="456">
      <c r="A456" t="n">
        <v>5</v>
      </c>
      <c r="B456" t="n">
        <v>105</v>
      </c>
      <c r="C456" t="n">
        <v>3</v>
      </c>
      <c r="D456" s="218" t="n">
        <v>140.64</v>
      </c>
      <c r="E456" s="218" t="n">
        <v>4.54</v>
      </c>
      <c r="F456" t="str">
        <v>https://re.jrc.ec.europa.eu/api/v5_3/PVcalc?lat=30.0444&amp;lon=31.2357&amp;peakpower=1&amp;loss=14&amp;angle=5&amp;aspect=-75&amp;outputformat=json&amp;raddatabase=PVGIS-SARAH3&amp;pvtechchoice=crystSi&amp;mountingplace=free&amp;usehorizon=1</v>
      </c>
    </row>
    <row r="457">
      <c r="A457" t="n">
        <v>5</v>
      </c>
      <c r="B457" t="n">
        <v>105</v>
      </c>
      <c r="C457" t="n">
        <v>4</v>
      </c>
      <c r="D457" s="218" t="n">
        <v>157.87</v>
      </c>
      <c r="E457" s="218" t="n">
        <v>5.26</v>
      </c>
      <c r="F457" t="str">
        <v>https://re.jrc.ec.europa.eu/api/v5_3/PVcalc?lat=30.0444&amp;lon=31.2357&amp;peakpower=1&amp;loss=14&amp;angle=5&amp;aspect=-75&amp;outputformat=json&amp;raddatabase=PVGIS-SARAH3&amp;pvtechchoice=crystSi&amp;mountingplace=free&amp;usehorizon=1</v>
      </c>
    </row>
    <row r="458">
      <c r="A458" t="n">
        <v>5</v>
      </c>
      <c r="B458" t="n">
        <v>105</v>
      </c>
      <c r="C458" t="n">
        <v>5</v>
      </c>
      <c r="D458" s="218" t="n">
        <v>175.33</v>
      </c>
      <c r="E458" s="218" t="n">
        <v>5.66</v>
      </c>
      <c r="F458" t="str">
        <v>https://re.jrc.ec.europa.eu/api/v5_3/PVcalc?lat=30.0444&amp;lon=31.2357&amp;peakpower=1&amp;loss=14&amp;angle=5&amp;aspect=-75&amp;outputformat=json&amp;raddatabase=PVGIS-SARAH3&amp;pvtechchoice=crystSi&amp;mountingplace=free&amp;usehorizon=1</v>
      </c>
    </row>
    <row r="459">
      <c r="A459" t="n">
        <v>5</v>
      </c>
      <c r="B459" t="n">
        <v>105</v>
      </c>
      <c r="C459" t="n">
        <v>6</v>
      </c>
      <c r="D459" s="218" t="n">
        <v>179.3</v>
      </c>
      <c r="E459" s="218" t="n">
        <v>5.98</v>
      </c>
      <c r="F459" t="str">
        <v>https://re.jrc.ec.europa.eu/api/v5_3/PVcalc?lat=30.0444&amp;lon=31.2357&amp;peakpower=1&amp;loss=14&amp;angle=5&amp;aspect=-75&amp;outputformat=json&amp;raddatabase=PVGIS-SARAH3&amp;pvtechchoice=crystSi&amp;mountingplace=free&amp;usehorizon=1</v>
      </c>
    </row>
    <row r="460">
      <c r="A460" t="n">
        <v>5</v>
      </c>
      <c r="B460" t="n">
        <v>105</v>
      </c>
      <c r="C460" t="n">
        <v>7</v>
      </c>
      <c r="D460" s="218" t="n">
        <v>181.59</v>
      </c>
      <c r="E460" s="218" t="n">
        <v>5.86</v>
      </c>
      <c r="F460" t="str">
        <v>https://re.jrc.ec.europa.eu/api/v5_3/PVcalc?lat=30.0444&amp;lon=31.2357&amp;peakpower=1&amp;loss=14&amp;angle=5&amp;aspect=-75&amp;outputformat=json&amp;raddatabase=PVGIS-SARAH3&amp;pvtechchoice=crystSi&amp;mountingplace=free&amp;usehorizon=1</v>
      </c>
    </row>
    <row r="461">
      <c r="A461" t="n">
        <v>5</v>
      </c>
      <c r="B461" t="n">
        <v>105</v>
      </c>
      <c r="C461" t="n">
        <v>8</v>
      </c>
      <c r="D461" s="218" t="n">
        <v>169.8</v>
      </c>
      <c r="E461" s="218" t="n">
        <v>5.48</v>
      </c>
      <c r="F461" t="str">
        <v>https://re.jrc.ec.europa.eu/api/v5_3/PVcalc?lat=30.0444&amp;lon=31.2357&amp;peakpower=1&amp;loss=14&amp;angle=5&amp;aspect=-75&amp;outputformat=json&amp;raddatabase=PVGIS-SARAH3&amp;pvtechchoice=crystSi&amp;mountingplace=free&amp;usehorizon=1</v>
      </c>
    </row>
    <row r="462">
      <c r="A462" t="n">
        <v>5</v>
      </c>
      <c r="B462" t="n">
        <v>105</v>
      </c>
      <c r="C462" t="n">
        <v>9</v>
      </c>
      <c r="D462" s="218" t="n">
        <v>146.01</v>
      </c>
      <c r="E462" s="218" t="n">
        <v>4.87</v>
      </c>
      <c r="F462" t="str">
        <v>https://re.jrc.ec.europa.eu/api/v5_3/PVcalc?lat=30.0444&amp;lon=31.2357&amp;peakpower=1&amp;loss=14&amp;angle=5&amp;aspect=-75&amp;outputformat=json&amp;raddatabase=PVGIS-SARAH3&amp;pvtechchoice=crystSi&amp;mountingplace=free&amp;usehorizon=1</v>
      </c>
    </row>
    <row r="463">
      <c r="A463" t="n">
        <v>5</v>
      </c>
      <c r="B463" t="n">
        <v>105</v>
      </c>
      <c r="C463" t="n">
        <v>10</v>
      </c>
      <c r="D463" s="218" t="n">
        <v>123.86</v>
      </c>
      <c r="E463" s="218" t="n">
        <v>4</v>
      </c>
      <c r="F463" t="str">
        <v>https://re.jrc.ec.europa.eu/api/v5_3/PVcalc?lat=30.0444&amp;lon=31.2357&amp;peakpower=1&amp;loss=14&amp;angle=5&amp;aspect=-75&amp;outputformat=json&amp;raddatabase=PVGIS-SARAH3&amp;pvtechchoice=crystSi&amp;mountingplace=free&amp;usehorizon=1</v>
      </c>
    </row>
    <row r="464">
      <c r="A464" t="n">
        <v>5</v>
      </c>
      <c r="B464" t="n">
        <v>105</v>
      </c>
      <c r="C464" t="n">
        <v>11</v>
      </c>
      <c r="D464" s="218" t="n">
        <v>96.82</v>
      </c>
      <c r="E464" s="218" t="n">
        <v>3.23</v>
      </c>
      <c r="F464" t="str">
        <v>https://re.jrc.ec.europa.eu/api/v5_3/PVcalc?lat=30.0444&amp;lon=31.2357&amp;peakpower=1&amp;loss=14&amp;angle=5&amp;aspect=-75&amp;outputformat=json&amp;raddatabase=PVGIS-SARAH3&amp;pvtechchoice=crystSi&amp;mountingplace=free&amp;usehorizon=1</v>
      </c>
    </row>
    <row r="465">
      <c r="A465" t="n">
        <v>5</v>
      </c>
      <c r="B465" t="n">
        <v>105</v>
      </c>
      <c r="C465" t="n">
        <v>12</v>
      </c>
      <c r="D465" s="218" t="n">
        <v>86.63</v>
      </c>
      <c r="E465" s="218" t="n">
        <v>2.79</v>
      </c>
      <c r="F465" t="str">
        <v>https://re.jrc.ec.europa.eu/api/v5_3/PVcalc?lat=30.0444&amp;lon=31.2357&amp;peakpower=1&amp;loss=14&amp;angle=5&amp;aspect=-75&amp;outputformat=json&amp;raddatabase=PVGIS-SARAH3&amp;pvtechchoice=crystSi&amp;mountingplace=free&amp;usehorizon=1</v>
      </c>
    </row>
    <row r="466">
      <c r="A466" t="n">
        <v>5</v>
      </c>
      <c r="B466" t="n">
        <v>120</v>
      </c>
      <c r="C466" t="n">
        <v>1</v>
      </c>
      <c r="D466" s="218" t="n">
        <v>93.51</v>
      </c>
      <c r="E466" s="218" t="n">
        <v>3.02</v>
      </c>
      <c r="F466" t="str">
        <v>https://re.jrc.ec.europa.eu/api/v5_3/PVcalc?lat=30.0444&amp;lon=31.2357&amp;peakpower=1&amp;loss=14&amp;angle=5&amp;aspect=-60&amp;outputformat=json&amp;raddatabase=PVGIS-SARAH3&amp;pvtechchoice=crystSi&amp;mountingplace=free&amp;usehorizon=1</v>
      </c>
    </row>
    <row r="467">
      <c r="A467" t="n">
        <v>5</v>
      </c>
      <c r="B467" t="n">
        <v>120</v>
      </c>
      <c r="C467" t="n">
        <v>2</v>
      </c>
      <c r="D467" s="218" t="n">
        <v>102.59</v>
      </c>
      <c r="E467" s="218" t="n">
        <v>3.66</v>
      </c>
      <c r="F467" t="str">
        <v>https://re.jrc.ec.europa.eu/api/v5_3/PVcalc?lat=30.0444&amp;lon=31.2357&amp;peakpower=1&amp;loss=14&amp;angle=5&amp;aspect=-60&amp;outputformat=json&amp;raddatabase=PVGIS-SARAH3&amp;pvtechchoice=crystSi&amp;mountingplace=free&amp;usehorizon=1</v>
      </c>
    </row>
    <row r="468">
      <c r="A468" t="n">
        <v>5</v>
      </c>
      <c r="B468" t="n">
        <v>120</v>
      </c>
      <c r="C468" t="n">
        <v>3</v>
      </c>
      <c r="D468" s="218" t="n">
        <v>142.17</v>
      </c>
      <c r="E468" s="218" t="n">
        <v>4.59</v>
      </c>
      <c r="F468" t="str">
        <v>https://re.jrc.ec.europa.eu/api/v5_3/PVcalc?lat=30.0444&amp;lon=31.2357&amp;peakpower=1&amp;loss=14&amp;angle=5&amp;aspect=-60&amp;outputformat=json&amp;raddatabase=PVGIS-SARAH3&amp;pvtechchoice=crystSi&amp;mountingplace=free&amp;usehorizon=1</v>
      </c>
    </row>
    <row r="469">
      <c r="A469" t="n">
        <v>5</v>
      </c>
      <c r="B469" t="n">
        <v>120</v>
      </c>
      <c r="C469" t="n">
        <v>4</v>
      </c>
      <c r="D469" s="218" t="n">
        <v>158.7</v>
      </c>
      <c r="E469" s="218" t="n">
        <v>5.29</v>
      </c>
      <c r="F469" t="str">
        <v>https://re.jrc.ec.europa.eu/api/v5_3/PVcalc?lat=30.0444&amp;lon=31.2357&amp;peakpower=1&amp;loss=14&amp;angle=5&amp;aspect=-60&amp;outputformat=json&amp;raddatabase=PVGIS-SARAH3&amp;pvtechchoice=crystSi&amp;mountingplace=free&amp;usehorizon=1</v>
      </c>
    </row>
    <row r="470">
      <c r="A470" t="n">
        <v>5</v>
      </c>
      <c r="B470" t="n">
        <v>120</v>
      </c>
      <c r="C470" t="n">
        <v>5</v>
      </c>
      <c r="D470" s="218" t="n">
        <v>175.54</v>
      </c>
      <c r="E470" s="218" t="n">
        <v>5.66</v>
      </c>
      <c r="F470" t="str">
        <v>https://re.jrc.ec.europa.eu/api/v5_3/PVcalc?lat=30.0444&amp;lon=31.2357&amp;peakpower=1&amp;loss=14&amp;angle=5&amp;aspect=-60&amp;outputformat=json&amp;raddatabase=PVGIS-SARAH3&amp;pvtechchoice=crystSi&amp;mountingplace=free&amp;usehorizon=1</v>
      </c>
    </row>
    <row r="471">
      <c r="A471" t="n">
        <v>5</v>
      </c>
      <c r="B471" t="n">
        <v>120</v>
      </c>
      <c r="C471" t="n">
        <v>6</v>
      </c>
      <c r="D471" s="218" t="n">
        <v>179.21</v>
      </c>
      <c r="E471" s="218" t="n">
        <v>5.97</v>
      </c>
      <c r="F471" t="str">
        <v>https://re.jrc.ec.europa.eu/api/v5_3/PVcalc?lat=30.0444&amp;lon=31.2357&amp;peakpower=1&amp;loss=14&amp;angle=5&amp;aspect=-60&amp;outputformat=json&amp;raddatabase=PVGIS-SARAH3&amp;pvtechchoice=crystSi&amp;mountingplace=free&amp;usehorizon=1</v>
      </c>
    </row>
    <row r="472">
      <c r="A472" t="n">
        <v>5</v>
      </c>
      <c r="B472" t="n">
        <v>120</v>
      </c>
      <c r="C472" t="n">
        <v>7</v>
      </c>
      <c r="D472" s="218" t="n">
        <v>181.69</v>
      </c>
      <c r="E472" s="218" t="n">
        <v>5.86</v>
      </c>
      <c r="F472" t="str">
        <v>https://re.jrc.ec.europa.eu/api/v5_3/PVcalc?lat=30.0444&amp;lon=31.2357&amp;peakpower=1&amp;loss=14&amp;angle=5&amp;aspect=-60&amp;outputformat=json&amp;raddatabase=PVGIS-SARAH3&amp;pvtechchoice=crystSi&amp;mountingplace=free&amp;usehorizon=1</v>
      </c>
    </row>
    <row r="473">
      <c r="A473" t="n">
        <v>5</v>
      </c>
      <c r="B473" t="n">
        <v>120</v>
      </c>
      <c r="C473" t="n">
        <v>8</v>
      </c>
      <c r="D473" s="218" t="n">
        <v>170.45</v>
      </c>
      <c r="E473" s="218" t="n">
        <v>5.5</v>
      </c>
      <c r="F473" t="str">
        <v>https://re.jrc.ec.europa.eu/api/v5_3/PVcalc?lat=30.0444&amp;lon=31.2357&amp;peakpower=1&amp;loss=14&amp;angle=5&amp;aspect=-60&amp;outputformat=json&amp;raddatabase=PVGIS-SARAH3&amp;pvtechchoice=crystSi&amp;mountingplace=free&amp;usehorizon=1</v>
      </c>
    </row>
    <row r="474">
      <c r="A474" t="n">
        <v>5</v>
      </c>
      <c r="B474" t="n">
        <v>120</v>
      </c>
      <c r="C474" t="n">
        <v>9</v>
      </c>
      <c r="D474" s="218" t="n">
        <v>147.37</v>
      </c>
      <c r="E474" s="218" t="n">
        <v>4.91</v>
      </c>
      <c r="F474" t="str">
        <v>https://re.jrc.ec.europa.eu/api/v5_3/PVcalc?lat=30.0444&amp;lon=31.2357&amp;peakpower=1&amp;loss=14&amp;angle=5&amp;aspect=-60&amp;outputformat=json&amp;raddatabase=PVGIS-SARAH3&amp;pvtechchoice=crystSi&amp;mountingplace=free&amp;usehorizon=1</v>
      </c>
    </row>
    <row r="475">
      <c r="A475" t="n">
        <v>5</v>
      </c>
      <c r="B475" t="n">
        <v>120</v>
      </c>
      <c r="C475" t="n">
        <v>10</v>
      </c>
      <c r="D475" s="218" t="n">
        <v>125.79</v>
      </c>
      <c r="E475" s="218" t="n">
        <v>4.06</v>
      </c>
      <c r="F475" t="str">
        <v>https://re.jrc.ec.europa.eu/api/v5_3/PVcalc?lat=30.0444&amp;lon=31.2357&amp;peakpower=1&amp;loss=14&amp;angle=5&amp;aspect=-60&amp;outputformat=json&amp;raddatabase=PVGIS-SARAH3&amp;pvtechchoice=crystSi&amp;mountingplace=free&amp;usehorizon=1</v>
      </c>
    </row>
    <row r="476">
      <c r="A476" t="n">
        <v>5</v>
      </c>
      <c r="B476" t="n">
        <v>120</v>
      </c>
      <c r="C476" t="n">
        <v>11</v>
      </c>
      <c r="D476" s="218" t="n">
        <v>99.07</v>
      </c>
      <c r="E476" s="218" t="n">
        <v>3.3</v>
      </c>
      <c r="F476" t="str">
        <v>https://re.jrc.ec.europa.eu/api/v5_3/PVcalc?lat=30.0444&amp;lon=31.2357&amp;peakpower=1&amp;loss=14&amp;angle=5&amp;aspect=-60&amp;outputformat=json&amp;raddatabase=PVGIS-SARAH3&amp;pvtechchoice=crystSi&amp;mountingplace=free&amp;usehorizon=1</v>
      </c>
    </row>
    <row r="477">
      <c r="A477" t="n">
        <v>5</v>
      </c>
      <c r="B477" t="n">
        <v>120</v>
      </c>
      <c r="C477" t="n">
        <v>12</v>
      </c>
      <c r="D477" s="218" t="n">
        <v>89</v>
      </c>
      <c r="E477" s="218" t="n">
        <v>2.87</v>
      </c>
      <c r="F477" t="str">
        <v>https://re.jrc.ec.europa.eu/api/v5_3/PVcalc?lat=30.0444&amp;lon=31.2357&amp;peakpower=1&amp;loss=14&amp;angle=5&amp;aspect=-60&amp;outputformat=json&amp;raddatabase=PVGIS-SARAH3&amp;pvtechchoice=crystSi&amp;mountingplace=free&amp;usehorizon=1</v>
      </c>
    </row>
    <row r="478">
      <c r="A478" t="n">
        <v>5</v>
      </c>
      <c r="B478" t="n">
        <v>135</v>
      </c>
      <c r="C478" t="n">
        <v>1</v>
      </c>
      <c r="D478" s="218" t="n">
        <v>95.39</v>
      </c>
      <c r="E478" s="218" t="n">
        <v>3.08</v>
      </c>
      <c r="F478" t="str">
        <v>https://re.jrc.ec.europa.eu/api/v5_3/PVcalc?lat=30.0444&amp;lon=31.2357&amp;peakpower=1&amp;loss=14&amp;angle=5&amp;aspect=-45&amp;outputformat=json&amp;raddatabase=PVGIS-SARAH3&amp;pvtechchoice=crystSi&amp;mountingplace=free&amp;usehorizon=1</v>
      </c>
    </row>
    <row r="479">
      <c r="A479" t="n">
        <v>5</v>
      </c>
      <c r="B479" t="n">
        <v>135</v>
      </c>
      <c r="C479" t="n">
        <v>2</v>
      </c>
      <c r="D479" s="218" t="n">
        <v>104</v>
      </c>
      <c r="E479" s="218" t="n">
        <v>3.71</v>
      </c>
      <c r="F479" t="str">
        <v>https://re.jrc.ec.europa.eu/api/v5_3/PVcalc?lat=30.0444&amp;lon=31.2357&amp;peakpower=1&amp;loss=14&amp;angle=5&amp;aspect=-45&amp;outputformat=json&amp;raddatabase=PVGIS-SARAH3&amp;pvtechchoice=crystSi&amp;mountingplace=free&amp;usehorizon=1</v>
      </c>
    </row>
    <row r="480">
      <c r="A480" t="n">
        <v>5</v>
      </c>
      <c r="B480" t="n">
        <v>135</v>
      </c>
      <c r="C480" t="n">
        <v>3</v>
      </c>
      <c r="D480" s="218" t="n">
        <v>143.51</v>
      </c>
      <c r="E480" s="218" t="n">
        <v>4.63</v>
      </c>
      <c r="F480" t="str">
        <v>https://re.jrc.ec.europa.eu/api/v5_3/PVcalc?lat=30.0444&amp;lon=31.2357&amp;peakpower=1&amp;loss=14&amp;angle=5&amp;aspect=-45&amp;outputformat=json&amp;raddatabase=PVGIS-SARAH3&amp;pvtechchoice=crystSi&amp;mountingplace=free&amp;usehorizon=1</v>
      </c>
    </row>
    <row r="481">
      <c r="A481" t="n">
        <v>5</v>
      </c>
      <c r="B481" t="n">
        <v>135</v>
      </c>
      <c r="C481" t="n">
        <v>4</v>
      </c>
      <c r="D481" s="218" t="n">
        <v>159.47</v>
      </c>
      <c r="E481" s="218" t="n">
        <v>5.32</v>
      </c>
      <c r="F481" t="str">
        <v>https://re.jrc.ec.europa.eu/api/v5_3/PVcalc?lat=30.0444&amp;lon=31.2357&amp;peakpower=1&amp;loss=14&amp;angle=5&amp;aspect=-45&amp;outputformat=json&amp;raddatabase=PVGIS-SARAH3&amp;pvtechchoice=crystSi&amp;mountingplace=free&amp;usehorizon=1</v>
      </c>
    </row>
    <row r="482">
      <c r="A482" t="n">
        <v>5</v>
      </c>
      <c r="B482" t="n">
        <v>135</v>
      </c>
      <c r="C482" t="n">
        <v>5</v>
      </c>
      <c r="D482" s="218" t="n">
        <v>175.75</v>
      </c>
      <c r="E482" s="218" t="n">
        <v>5.67</v>
      </c>
      <c r="F482" t="str">
        <v>https://re.jrc.ec.europa.eu/api/v5_3/PVcalc?lat=30.0444&amp;lon=31.2357&amp;peakpower=1&amp;loss=14&amp;angle=5&amp;aspect=-45&amp;outputformat=json&amp;raddatabase=PVGIS-SARAH3&amp;pvtechchoice=crystSi&amp;mountingplace=free&amp;usehorizon=1</v>
      </c>
    </row>
    <row r="483">
      <c r="A483" t="n">
        <v>5</v>
      </c>
      <c r="B483" t="n">
        <v>135</v>
      </c>
      <c r="C483" t="n">
        <v>6</v>
      </c>
      <c r="D483" s="218" t="n">
        <v>179.2</v>
      </c>
      <c r="E483" s="218" t="n">
        <v>5.97</v>
      </c>
      <c r="F483" t="str">
        <v>https://re.jrc.ec.europa.eu/api/v5_3/PVcalc?lat=30.0444&amp;lon=31.2357&amp;peakpower=1&amp;loss=14&amp;angle=5&amp;aspect=-45&amp;outputformat=json&amp;raddatabase=PVGIS-SARAH3&amp;pvtechchoice=crystSi&amp;mountingplace=free&amp;usehorizon=1</v>
      </c>
    </row>
    <row r="484">
      <c r="A484" t="n">
        <v>5</v>
      </c>
      <c r="B484" t="n">
        <v>135</v>
      </c>
      <c r="C484" t="n">
        <v>7</v>
      </c>
      <c r="D484" s="218" t="n">
        <v>181.88</v>
      </c>
      <c r="E484" s="218" t="n">
        <v>5.87</v>
      </c>
      <c r="F484" t="str">
        <v>https://re.jrc.ec.europa.eu/api/v5_3/PVcalc?lat=30.0444&amp;lon=31.2357&amp;peakpower=1&amp;loss=14&amp;angle=5&amp;aspect=-45&amp;outputformat=json&amp;raddatabase=PVGIS-SARAH3&amp;pvtechchoice=crystSi&amp;mountingplace=free&amp;usehorizon=1</v>
      </c>
    </row>
    <row r="485">
      <c r="A485" t="n">
        <v>5</v>
      </c>
      <c r="B485" t="n">
        <v>135</v>
      </c>
      <c r="C485" t="n">
        <v>8</v>
      </c>
      <c r="D485" s="218" t="n">
        <v>171.08</v>
      </c>
      <c r="E485" s="218" t="n">
        <v>5.52</v>
      </c>
      <c r="F485" t="str">
        <v>https://re.jrc.ec.europa.eu/api/v5_3/PVcalc?lat=30.0444&amp;lon=31.2357&amp;peakpower=1&amp;loss=14&amp;angle=5&amp;aspect=-45&amp;outputformat=json&amp;raddatabase=PVGIS-SARAH3&amp;pvtechchoice=crystSi&amp;mountingplace=free&amp;usehorizon=1</v>
      </c>
    </row>
    <row r="486">
      <c r="A486" t="n">
        <v>5</v>
      </c>
      <c r="B486" t="n">
        <v>135</v>
      </c>
      <c r="C486" t="n">
        <v>9</v>
      </c>
      <c r="D486" s="218" t="n">
        <v>148.6</v>
      </c>
      <c r="E486" s="218" t="n">
        <v>4.95</v>
      </c>
      <c r="F486" t="str">
        <v>https://re.jrc.ec.europa.eu/api/v5_3/PVcalc?lat=30.0444&amp;lon=31.2357&amp;peakpower=1&amp;loss=14&amp;angle=5&amp;aspect=-45&amp;outputformat=json&amp;raddatabase=PVGIS-SARAH3&amp;pvtechchoice=crystSi&amp;mountingplace=free&amp;usehorizon=1</v>
      </c>
    </row>
    <row r="487">
      <c r="A487" t="n">
        <v>5</v>
      </c>
      <c r="B487" t="n">
        <v>135</v>
      </c>
      <c r="C487" t="n">
        <v>10</v>
      </c>
      <c r="D487" s="218" t="n">
        <v>127.45</v>
      </c>
      <c r="E487" s="218" t="n">
        <v>4.11</v>
      </c>
      <c r="F487" t="str">
        <v>https://re.jrc.ec.europa.eu/api/v5_3/PVcalc?lat=30.0444&amp;lon=31.2357&amp;peakpower=1&amp;loss=14&amp;angle=5&amp;aspect=-45&amp;outputformat=json&amp;raddatabase=PVGIS-SARAH3&amp;pvtechchoice=crystSi&amp;mountingplace=free&amp;usehorizon=1</v>
      </c>
    </row>
    <row r="488">
      <c r="A488" t="n">
        <v>5</v>
      </c>
      <c r="B488" t="n">
        <v>135</v>
      </c>
      <c r="C488" t="n">
        <v>11</v>
      </c>
      <c r="D488" s="218" t="n">
        <v>100.99</v>
      </c>
      <c r="E488" s="218" t="n">
        <v>3.37</v>
      </c>
      <c r="F488" t="str">
        <v>https://re.jrc.ec.europa.eu/api/v5_3/PVcalc?lat=30.0444&amp;lon=31.2357&amp;peakpower=1&amp;loss=14&amp;angle=5&amp;aspect=-45&amp;outputformat=json&amp;raddatabase=PVGIS-SARAH3&amp;pvtechchoice=crystSi&amp;mountingplace=free&amp;usehorizon=1</v>
      </c>
    </row>
    <row r="489">
      <c r="A489" t="n">
        <v>5</v>
      </c>
      <c r="B489" t="n">
        <v>135</v>
      </c>
      <c r="C489" t="n">
        <v>12</v>
      </c>
      <c r="D489" s="218" t="n">
        <v>91</v>
      </c>
      <c r="E489" s="218" t="n">
        <v>2.94</v>
      </c>
      <c r="F489" t="str">
        <v>https://re.jrc.ec.europa.eu/api/v5_3/PVcalc?lat=30.0444&amp;lon=31.2357&amp;peakpower=1&amp;loss=14&amp;angle=5&amp;aspect=-45&amp;outputformat=json&amp;raddatabase=PVGIS-SARAH3&amp;pvtechchoice=crystSi&amp;mountingplace=free&amp;usehorizon=1</v>
      </c>
    </row>
    <row r="490">
      <c r="A490" t="n">
        <v>5</v>
      </c>
      <c r="B490" t="n">
        <v>150</v>
      </c>
      <c r="C490" t="n">
        <v>1</v>
      </c>
      <c r="D490" s="218" t="n">
        <v>96.81</v>
      </c>
      <c r="E490" s="218" t="n">
        <v>3.12</v>
      </c>
      <c r="F490" t="str">
        <v>https://re.jrc.ec.europa.eu/api/v5_3/PVcalc?lat=30.0444&amp;lon=31.2357&amp;peakpower=1&amp;loss=14&amp;angle=5&amp;aspect=-30&amp;outputformat=json&amp;raddatabase=PVGIS-SARAH3&amp;pvtechchoice=crystSi&amp;mountingplace=free&amp;usehorizon=1</v>
      </c>
    </row>
    <row r="491">
      <c r="A491" t="n">
        <v>5</v>
      </c>
      <c r="B491" t="n">
        <v>150</v>
      </c>
      <c r="C491" t="n">
        <v>2</v>
      </c>
      <c r="D491" s="218" t="n">
        <v>105.06</v>
      </c>
      <c r="E491" s="218" t="n">
        <v>3.75</v>
      </c>
      <c r="F491" t="str">
        <v>https://re.jrc.ec.europa.eu/api/v5_3/PVcalc?lat=30.0444&amp;lon=31.2357&amp;peakpower=1&amp;loss=14&amp;angle=5&amp;aspect=-30&amp;outputformat=json&amp;raddatabase=PVGIS-SARAH3&amp;pvtechchoice=crystSi&amp;mountingplace=free&amp;usehorizon=1</v>
      </c>
    </row>
    <row r="492">
      <c r="A492" t="n">
        <v>5</v>
      </c>
      <c r="B492" t="n">
        <v>150</v>
      </c>
      <c r="C492" t="n">
        <v>3</v>
      </c>
      <c r="D492" s="218" t="n">
        <v>144.58</v>
      </c>
      <c r="E492" s="218" t="n">
        <v>4.66</v>
      </c>
      <c r="F492" t="str">
        <v>https://re.jrc.ec.europa.eu/api/v5_3/PVcalc?lat=30.0444&amp;lon=31.2357&amp;peakpower=1&amp;loss=14&amp;angle=5&amp;aspect=-30&amp;outputformat=json&amp;raddatabase=PVGIS-SARAH3&amp;pvtechchoice=crystSi&amp;mountingplace=free&amp;usehorizon=1</v>
      </c>
    </row>
    <row r="493">
      <c r="A493" t="n">
        <v>5</v>
      </c>
      <c r="B493" t="n">
        <v>150</v>
      </c>
      <c r="C493" t="n">
        <v>4</v>
      </c>
      <c r="D493" s="218" t="n">
        <v>160.11</v>
      </c>
      <c r="E493" s="218" t="n">
        <v>5.34</v>
      </c>
      <c r="F493" t="str">
        <v>https://re.jrc.ec.europa.eu/api/v5_3/PVcalc?lat=30.0444&amp;lon=31.2357&amp;peakpower=1&amp;loss=14&amp;angle=5&amp;aspect=-30&amp;outputformat=json&amp;raddatabase=PVGIS-SARAH3&amp;pvtechchoice=crystSi&amp;mountingplace=free&amp;usehorizon=1</v>
      </c>
    </row>
    <row r="494">
      <c r="A494" t="n">
        <v>5</v>
      </c>
      <c r="B494" t="n">
        <v>150</v>
      </c>
      <c r="C494" t="n">
        <v>5</v>
      </c>
      <c r="D494" s="218" t="n">
        <v>175.95</v>
      </c>
      <c r="E494" s="218" t="n">
        <v>5.68</v>
      </c>
      <c r="F494" t="str">
        <v>https://re.jrc.ec.europa.eu/api/v5_3/PVcalc?lat=30.0444&amp;lon=31.2357&amp;peakpower=1&amp;loss=14&amp;angle=5&amp;aspect=-30&amp;outputformat=json&amp;raddatabase=PVGIS-SARAH3&amp;pvtechchoice=crystSi&amp;mountingplace=free&amp;usehorizon=1</v>
      </c>
    </row>
    <row r="495">
      <c r="A495" t="n">
        <v>5</v>
      </c>
      <c r="B495" t="n">
        <v>150</v>
      </c>
      <c r="C495" t="n">
        <v>6</v>
      </c>
      <c r="D495" s="218" t="n">
        <v>179.27</v>
      </c>
      <c r="E495" s="218" t="n">
        <v>5.98</v>
      </c>
      <c r="F495" t="str">
        <v>https://re.jrc.ec.europa.eu/api/v5_3/PVcalc?lat=30.0444&amp;lon=31.2357&amp;peakpower=1&amp;loss=14&amp;angle=5&amp;aspect=-30&amp;outputformat=json&amp;raddatabase=PVGIS-SARAH3&amp;pvtechchoice=crystSi&amp;mountingplace=free&amp;usehorizon=1</v>
      </c>
    </row>
    <row r="496">
      <c r="A496" t="n">
        <v>5</v>
      </c>
      <c r="B496" t="n">
        <v>150</v>
      </c>
      <c r="C496" t="n">
        <v>7</v>
      </c>
      <c r="D496" s="218" t="n">
        <v>182.14</v>
      </c>
      <c r="E496" s="218" t="n">
        <v>5.88</v>
      </c>
      <c r="F496" t="str">
        <v>https://re.jrc.ec.europa.eu/api/v5_3/PVcalc?lat=30.0444&amp;lon=31.2357&amp;peakpower=1&amp;loss=14&amp;angle=5&amp;aspect=-30&amp;outputformat=json&amp;raddatabase=PVGIS-SARAH3&amp;pvtechchoice=crystSi&amp;mountingplace=free&amp;usehorizon=1</v>
      </c>
    </row>
    <row r="497">
      <c r="A497" t="n">
        <v>5</v>
      </c>
      <c r="B497" t="n">
        <v>150</v>
      </c>
      <c r="C497" t="n">
        <v>8</v>
      </c>
      <c r="D497" s="218" t="n">
        <v>171.64</v>
      </c>
      <c r="E497" s="218" t="n">
        <v>5.54</v>
      </c>
      <c r="F497" t="str">
        <v>https://re.jrc.ec.europa.eu/api/v5_3/PVcalc?lat=30.0444&amp;lon=31.2357&amp;peakpower=1&amp;loss=14&amp;angle=5&amp;aspect=-30&amp;outputformat=json&amp;raddatabase=PVGIS-SARAH3&amp;pvtechchoice=crystSi&amp;mountingplace=free&amp;usehorizon=1</v>
      </c>
    </row>
    <row r="498">
      <c r="A498" t="n">
        <v>5</v>
      </c>
      <c r="B498" t="n">
        <v>150</v>
      </c>
      <c r="C498" t="n">
        <v>9</v>
      </c>
      <c r="D498" s="218" t="n">
        <v>149.64</v>
      </c>
      <c r="E498" s="218" t="n">
        <v>4.99</v>
      </c>
      <c r="F498" t="str">
        <v>https://re.jrc.ec.europa.eu/api/v5_3/PVcalc?lat=30.0444&amp;lon=31.2357&amp;peakpower=1&amp;loss=14&amp;angle=5&amp;aspect=-30&amp;outputformat=json&amp;raddatabase=PVGIS-SARAH3&amp;pvtechchoice=crystSi&amp;mountingplace=free&amp;usehorizon=1</v>
      </c>
    </row>
    <row r="499">
      <c r="A499" t="n">
        <v>5</v>
      </c>
      <c r="B499" t="n">
        <v>150</v>
      </c>
      <c r="C499" t="n">
        <v>10</v>
      </c>
      <c r="D499" s="218" t="n">
        <v>128.75</v>
      </c>
      <c r="E499" s="218" t="n">
        <v>4.15</v>
      </c>
      <c r="F499" t="str">
        <v>https://re.jrc.ec.europa.eu/api/v5_3/PVcalc?lat=30.0444&amp;lon=31.2357&amp;peakpower=1&amp;loss=14&amp;angle=5&amp;aspect=-30&amp;outputformat=json&amp;raddatabase=PVGIS-SARAH3&amp;pvtechchoice=crystSi&amp;mountingplace=free&amp;usehorizon=1</v>
      </c>
    </row>
    <row r="500">
      <c r="A500" t="n">
        <v>5</v>
      </c>
      <c r="B500" t="n">
        <v>150</v>
      </c>
      <c r="C500" t="n">
        <v>11</v>
      </c>
      <c r="D500" s="218" t="n">
        <v>102.45</v>
      </c>
      <c r="E500" s="218" t="n">
        <v>3.41</v>
      </c>
      <c r="F500" t="str">
        <v>https://re.jrc.ec.europa.eu/api/v5_3/PVcalc?lat=30.0444&amp;lon=31.2357&amp;peakpower=1&amp;loss=14&amp;angle=5&amp;aspect=-30&amp;outputformat=json&amp;raddatabase=PVGIS-SARAH3&amp;pvtechchoice=crystSi&amp;mountingplace=free&amp;usehorizon=1</v>
      </c>
    </row>
    <row r="501">
      <c r="A501" t="n">
        <v>5</v>
      </c>
      <c r="B501" t="n">
        <v>150</v>
      </c>
      <c r="C501" t="n">
        <v>12</v>
      </c>
      <c r="D501" s="218" t="n">
        <v>92.52</v>
      </c>
      <c r="E501" s="218" t="n">
        <v>2.98</v>
      </c>
      <c r="F501" t="str">
        <v>https://re.jrc.ec.europa.eu/api/v5_3/PVcalc?lat=30.0444&amp;lon=31.2357&amp;peakpower=1&amp;loss=14&amp;angle=5&amp;aspect=-30&amp;outputformat=json&amp;raddatabase=PVGIS-SARAH3&amp;pvtechchoice=crystSi&amp;mountingplace=free&amp;usehorizon=1</v>
      </c>
    </row>
    <row r="502">
      <c r="A502" t="n">
        <v>5</v>
      </c>
      <c r="B502" t="n">
        <v>165</v>
      </c>
      <c r="C502" t="n">
        <v>1</v>
      </c>
      <c r="D502" s="218" t="n">
        <v>97.68</v>
      </c>
      <c r="E502" s="218" t="n">
        <v>3.15</v>
      </c>
      <c r="F502" t="str">
        <v>https://re.jrc.ec.europa.eu/api/v5_3/PVcalc?lat=30.0444&amp;lon=31.2357&amp;peakpower=1&amp;loss=14&amp;angle=5&amp;aspect=-15&amp;outputformat=json&amp;raddatabase=PVGIS-SARAH3&amp;pvtechchoice=crystSi&amp;mountingplace=free&amp;usehorizon=1</v>
      </c>
    </row>
    <row r="503">
      <c r="A503" t="n">
        <v>5</v>
      </c>
      <c r="B503" t="n">
        <v>165</v>
      </c>
      <c r="C503" t="n">
        <v>2</v>
      </c>
      <c r="D503" s="218" t="n">
        <v>105.69</v>
      </c>
      <c r="E503" s="218" t="n">
        <v>3.77</v>
      </c>
      <c r="F503" t="str">
        <v>https://re.jrc.ec.europa.eu/api/v5_3/PVcalc?lat=30.0444&amp;lon=31.2357&amp;peakpower=1&amp;loss=14&amp;angle=5&amp;aspect=-15&amp;outputformat=json&amp;raddatabase=PVGIS-SARAH3&amp;pvtechchoice=crystSi&amp;mountingplace=free&amp;usehorizon=1</v>
      </c>
    </row>
    <row r="504">
      <c r="A504" t="n">
        <v>5</v>
      </c>
      <c r="B504" t="n">
        <v>165</v>
      </c>
      <c r="C504" t="n">
        <v>3</v>
      </c>
      <c r="D504" s="218" t="n">
        <v>145.29</v>
      </c>
      <c r="E504" s="218" t="n">
        <v>4.69</v>
      </c>
      <c r="F504" t="str">
        <v>https://re.jrc.ec.europa.eu/api/v5_3/PVcalc?lat=30.0444&amp;lon=31.2357&amp;peakpower=1&amp;loss=14&amp;angle=5&amp;aspect=-15&amp;outputformat=json&amp;raddatabase=PVGIS-SARAH3&amp;pvtechchoice=crystSi&amp;mountingplace=free&amp;usehorizon=1</v>
      </c>
    </row>
    <row r="505">
      <c r="A505" t="n">
        <v>5</v>
      </c>
      <c r="B505" t="n">
        <v>165</v>
      </c>
      <c r="C505" t="n">
        <v>4</v>
      </c>
      <c r="D505" s="218" t="n">
        <v>160.58</v>
      </c>
      <c r="E505" s="218" t="n">
        <v>5.35</v>
      </c>
      <c r="F505" t="str">
        <v>https://re.jrc.ec.europa.eu/api/v5_3/PVcalc?lat=30.0444&amp;lon=31.2357&amp;peakpower=1&amp;loss=14&amp;angle=5&amp;aspect=-15&amp;outputformat=json&amp;raddatabase=PVGIS-SARAH3&amp;pvtechchoice=crystSi&amp;mountingplace=free&amp;usehorizon=1</v>
      </c>
    </row>
    <row r="506">
      <c r="A506" t="n">
        <v>5</v>
      </c>
      <c r="B506" t="n">
        <v>165</v>
      </c>
      <c r="C506" t="n">
        <v>5</v>
      </c>
      <c r="D506" s="218" t="n">
        <v>176.13</v>
      </c>
      <c r="E506" s="218" t="n">
        <v>5.68</v>
      </c>
      <c r="F506" t="str">
        <v>https://re.jrc.ec.europa.eu/api/v5_3/PVcalc?lat=30.0444&amp;lon=31.2357&amp;peakpower=1&amp;loss=14&amp;angle=5&amp;aspect=-15&amp;outputformat=json&amp;raddatabase=PVGIS-SARAH3&amp;pvtechchoice=crystSi&amp;mountingplace=free&amp;usehorizon=1</v>
      </c>
    </row>
    <row r="507">
      <c r="A507" t="n">
        <v>5</v>
      </c>
      <c r="B507" t="n">
        <v>165</v>
      </c>
      <c r="C507" t="n">
        <v>6</v>
      </c>
      <c r="D507" s="218" t="n">
        <v>179.42</v>
      </c>
      <c r="E507" s="218" t="n">
        <v>5.98</v>
      </c>
      <c r="F507" t="str">
        <v>https://re.jrc.ec.europa.eu/api/v5_3/PVcalc?lat=30.0444&amp;lon=31.2357&amp;peakpower=1&amp;loss=14&amp;angle=5&amp;aspect=-15&amp;outputformat=json&amp;raddatabase=PVGIS-SARAH3&amp;pvtechchoice=crystSi&amp;mountingplace=free&amp;usehorizon=1</v>
      </c>
    </row>
    <row r="508">
      <c r="A508" t="n">
        <v>5</v>
      </c>
      <c r="B508" t="n">
        <v>165</v>
      </c>
      <c r="C508" t="n">
        <v>7</v>
      </c>
      <c r="D508" s="218" t="n">
        <v>182.45</v>
      </c>
      <c r="E508" s="218" t="n">
        <v>5.89</v>
      </c>
      <c r="F508" t="str">
        <v>https://re.jrc.ec.europa.eu/api/v5_3/PVcalc?lat=30.0444&amp;lon=31.2357&amp;peakpower=1&amp;loss=14&amp;angle=5&amp;aspect=-15&amp;outputformat=json&amp;raddatabase=PVGIS-SARAH3&amp;pvtechchoice=crystSi&amp;mountingplace=free&amp;usehorizon=1</v>
      </c>
    </row>
    <row r="509">
      <c r="A509" t="n">
        <v>5</v>
      </c>
      <c r="B509" t="n">
        <v>165</v>
      </c>
      <c r="C509" t="n">
        <v>8</v>
      </c>
      <c r="D509" s="218" t="n">
        <v>172.12</v>
      </c>
      <c r="E509" s="218" t="n">
        <v>5.55</v>
      </c>
      <c r="F509" t="str">
        <v>https://re.jrc.ec.europa.eu/api/v5_3/PVcalc?lat=30.0444&amp;lon=31.2357&amp;peakpower=1&amp;loss=14&amp;angle=5&amp;aspect=-15&amp;outputformat=json&amp;raddatabase=PVGIS-SARAH3&amp;pvtechchoice=crystSi&amp;mountingplace=free&amp;usehorizon=1</v>
      </c>
    </row>
    <row r="510">
      <c r="A510" t="n">
        <v>5</v>
      </c>
      <c r="B510" t="n">
        <v>165</v>
      </c>
      <c r="C510" t="n">
        <v>9</v>
      </c>
      <c r="D510" s="218" t="n">
        <v>150.4</v>
      </c>
      <c r="E510" s="218" t="n">
        <v>5.01</v>
      </c>
      <c r="F510" t="str">
        <v>https://re.jrc.ec.europa.eu/api/v5_3/PVcalc?lat=30.0444&amp;lon=31.2357&amp;peakpower=1&amp;loss=14&amp;angle=5&amp;aspect=-15&amp;outputformat=json&amp;raddatabase=PVGIS-SARAH3&amp;pvtechchoice=crystSi&amp;mountingplace=free&amp;usehorizon=1</v>
      </c>
    </row>
    <row r="511">
      <c r="A511" t="n">
        <v>5</v>
      </c>
      <c r="B511" t="n">
        <v>165</v>
      </c>
      <c r="C511" t="n">
        <v>10</v>
      </c>
      <c r="D511" s="218" t="n">
        <v>129.6</v>
      </c>
      <c r="E511" s="218" t="n">
        <v>4.18</v>
      </c>
      <c r="F511" t="str">
        <v>https://re.jrc.ec.europa.eu/api/v5_3/PVcalc?lat=30.0444&amp;lon=31.2357&amp;peakpower=1&amp;loss=14&amp;angle=5&amp;aspect=-15&amp;outputformat=json&amp;raddatabase=PVGIS-SARAH3&amp;pvtechchoice=crystSi&amp;mountingplace=free&amp;usehorizon=1</v>
      </c>
    </row>
    <row r="512">
      <c r="A512" t="n">
        <v>5</v>
      </c>
      <c r="B512" t="n">
        <v>165</v>
      </c>
      <c r="C512" t="n">
        <v>11</v>
      </c>
      <c r="D512" s="218" t="n">
        <v>103.35</v>
      </c>
      <c r="E512" s="218" t="n">
        <v>3.44</v>
      </c>
      <c r="F512" t="str">
        <v>https://re.jrc.ec.europa.eu/api/v5_3/PVcalc?lat=30.0444&amp;lon=31.2357&amp;peakpower=1&amp;loss=14&amp;angle=5&amp;aspect=-15&amp;outputformat=json&amp;raddatabase=PVGIS-SARAH3&amp;pvtechchoice=crystSi&amp;mountingplace=free&amp;usehorizon=1</v>
      </c>
    </row>
    <row r="513">
      <c r="A513" t="n">
        <v>5</v>
      </c>
      <c r="B513" t="n">
        <v>165</v>
      </c>
      <c r="C513" t="n">
        <v>12</v>
      </c>
      <c r="D513" s="218" t="n">
        <v>93.44</v>
      </c>
      <c r="E513" s="218" t="n">
        <v>3.01</v>
      </c>
      <c r="F513" t="str">
        <v>https://re.jrc.ec.europa.eu/api/v5_3/PVcalc?lat=30.0444&amp;lon=31.2357&amp;peakpower=1&amp;loss=14&amp;angle=5&amp;aspect=-15&amp;outputformat=json&amp;raddatabase=PVGIS-SARAH3&amp;pvtechchoice=crystSi&amp;mountingplace=free&amp;usehorizon=1</v>
      </c>
    </row>
    <row r="514">
      <c r="A514" t="n">
        <v>5</v>
      </c>
      <c r="B514" t="n">
        <v>180</v>
      </c>
      <c r="C514" t="n">
        <v>1</v>
      </c>
      <c r="D514" s="218" t="n">
        <v>97.93</v>
      </c>
      <c r="E514" s="218" t="n">
        <v>3.16</v>
      </c>
      <c r="F514" t="str">
        <v>https://re.jrc.ec.europa.eu/api/v5_3/PVcalc?lat=30.0444&amp;lon=31.2357&amp;peakpower=1&amp;loss=14&amp;angle=5&amp;aspect=0&amp;outputformat=json&amp;raddatabase=PVGIS-SARAH3&amp;pvtechchoice=crystSi&amp;mountingplace=free&amp;usehorizon=1</v>
      </c>
    </row>
    <row r="515">
      <c r="A515" t="n">
        <v>5</v>
      </c>
      <c r="B515" t="n">
        <v>180</v>
      </c>
      <c r="C515" t="n">
        <v>2</v>
      </c>
      <c r="D515" s="218" t="n">
        <v>105.85</v>
      </c>
      <c r="E515" s="218" t="n">
        <v>3.78</v>
      </c>
      <c r="F515" t="str">
        <v>https://re.jrc.ec.europa.eu/api/v5_3/PVcalc?lat=30.0444&amp;lon=31.2357&amp;peakpower=1&amp;loss=14&amp;angle=5&amp;aspect=0&amp;outputformat=json&amp;raddatabase=PVGIS-SARAH3&amp;pvtechchoice=crystSi&amp;mountingplace=free&amp;usehorizon=1</v>
      </c>
    </row>
    <row r="516">
      <c r="A516" t="n">
        <v>5</v>
      </c>
      <c r="B516" t="n">
        <v>180</v>
      </c>
      <c r="C516" t="n">
        <v>3</v>
      </c>
      <c r="D516" s="218" t="n">
        <v>145.62</v>
      </c>
      <c r="E516" s="218" t="n">
        <v>4.7</v>
      </c>
      <c r="F516" t="str">
        <v>https://re.jrc.ec.europa.eu/api/v5_3/PVcalc?lat=30.0444&amp;lon=31.2357&amp;peakpower=1&amp;loss=14&amp;angle=5&amp;aspect=0&amp;outputformat=json&amp;raddatabase=PVGIS-SARAH3&amp;pvtechchoice=crystSi&amp;mountingplace=free&amp;usehorizon=1</v>
      </c>
    </row>
    <row r="517">
      <c r="A517" t="n">
        <v>5</v>
      </c>
      <c r="B517" t="n">
        <v>180</v>
      </c>
      <c r="C517" t="n">
        <v>4</v>
      </c>
      <c r="D517" s="218" t="n">
        <v>160.85</v>
      </c>
      <c r="E517" s="218" t="n">
        <v>5.36</v>
      </c>
      <c r="F517" t="str">
        <v>https://re.jrc.ec.europa.eu/api/v5_3/PVcalc?lat=30.0444&amp;lon=31.2357&amp;peakpower=1&amp;loss=14&amp;angle=5&amp;aspect=0&amp;outputformat=json&amp;raddatabase=PVGIS-SARAH3&amp;pvtechchoice=crystSi&amp;mountingplace=free&amp;usehorizon=1</v>
      </c>
    </row>
    <row r="518">
      <c r="A518" t="n">
        <v>5</v>
      </c>
      <c r="B518" t="n">
        <v>180</v>
      </c>
      <c r="C518" t="n">
        <v>5</v>
      </c>
      <c r="D518" s="218" t="n">
        <v>176.27</v>
      </c>
      <c r="E518" s="218" t="n">
        <v>5.69</v>
      </c>
      <c r="F518" t="str">
        <v>https://re.jrc.ec.europa.eu/api/v5_3/PVcalc?lat=30.0444&amp;lon=31.2357&amp;peakpower=1&amp;loss=14&amp;angle=5&amp;aspect=0&amp;outputformat=json&amp;raddatabase=PVGIS-SARAH3&amp;pvtechchoice=crystSi&amp;mountingplace=free&amp;usehorizon=1</v>
      </c>
    </row>
    <row r="519">
      <c r="A519" t="n">
        <v>5</v>
      </c>
      <c r="B519" t="n">
        <v>180</v>
      </c>
      <c r="C519" t="n">
        <v>6</v>
      </c>
      <c r="D519" s="218" t="n">
        <v>179.64</v>
      </c>
      <c r="E519" s="218" t="n">
        <v>5.99</v>
      </c>
      <c r="F519" t="str">
        <v>https://re.jrc.ec.europa.eu/api/v5_3/PVcalc?lat=30.0444&amp;lon=31.2357&amp;peakpower=1&amp;loss=14&amp;angle=5&amp;aspect=0&amp;outputformat=json&amp;raddatabase=PVGIS-SARAH3&amp;pvtechchoice=crystSi&amp;mountingplace=free&amp;usehorizon=1</v>
      </c>
    </row>
    <row r="520">
      <c r="A520" t="n">
        <v>5</v>
      </c>
      <c r="B520" t="n">
        <v>180</v>
      </c>
      <c r="C520" t="n">
        <v>7</v>
      </c>
      <c r="D520" s="218" t="n">
        <v>182.79</v>
      </c>
      <c r="E520" s="218" t="n">
        <v>5.9</v>
      </c>
      <c r="F520" t="str">
        <v>https://re.jrc.ec.europa.eu/api/v5_3/PVcalc?lat=30.0444&amp;lon=31.2357&amp;peakpower=1&amp;loss=14&amp;angle=5&amp;aspect=0&amp;outputformat=json&amp;raddatabase=PVGIS-SARAH3&amp;pvtechchoice=crystSi&amp;mountingplace=free&amp;usehorizon=1</v>
      </c>
    </row>
    <row r="521">
      <c r="A521" t="n">
        <v>5</v>
      </c>
      <c r="B521" t="n">
        <v>180</v>
      </c>
      <c r="C521" t="n">
        <v>8</v>
      </c>
      <c r="D521" s="218" t="n">
        <v>172.48</v>
      </c>
      <c r="E521" s="218" t="n">
        <v>5.56</v>
      </c>
      <c r="F521" t="str">
        <v>https://re.jrc.ec.europa.eu/api/v5_3/PVcalc?lat=30.0444&amp;lon=31.2357&amp;peakpower=1&amp;loss=14&amp;angle=5&amp;aspect=0&amp;outputformat=json&amp;raddatabase=PVGIS-SARAH3&amp;pvtechchoice=crystSi&amp;mountingplace=free&amp;usehorizon=1</v>
      </c>
    </row>
    <row r="522">
      <c r="A522" t="n">
        <v>5</v>
      </c>
      <c r="B522" t="n">
        <v>180</v>
      </c>
      <c r="C522" t="n">
        <v>9</v>
      </c>
      <c r="D522" s="218" t="n">
        <v>150.84</v>
      </c>
      <c r="E522" s="218" t="n">
        <v>5.03</v>
      </c>
      <c r="F522" t="str">
        <v>https://re.jrc.ec.europa.eu/api/v5_3/PVcalc?lat=30.0444&amp;lon=31.2357&amp;peakpower=1&amp;loss=14&amp;angle=5&amp;aspect=0&amp;outputformat=json&amp;raddatabase=PVGIS-SARAH3&amp;pvtechchoice=crystSi&amp;mountingplace=free&amp;usehorizon=1</v>
      </c>
    </row>
    <row r="523">
      <c r="A523" t="n">
        <v>5</v>
      </c>
      <c r="B523" t="n">
        <v>180</v>
      </c>
      <c r="C523" t="n">
        <v>10</v>
      </c>
      <c r="D523" s="218" t="n">
        <v>129.93</v>
      </c>
      <c r="E523" s="218" t="n">
        <v>4.19</v>
      </c>
      <c r="F523" t="str">
        <v>https://re.jrc.ec.europa.eu/api/v5_3/PVcalc?lat=30.0444&amp;lon=31.2357&amp;peakpower=1&amp;loss=14&amp;angle=5&amp;aspect=0&amp;outputformat=json&amp;raddatabase=PVGIS-SARAH3&amp;pvtechchoice=crystSi&amp;mountingplace=free&amp;usehorizon=1</v>
      </c>
    </row>
    <row r="524">
      <c r="A524" t="n">
        <v>5</v>
      </c>
      <c r="B524" t="n">
        <v>180</v>
      </c>
      <c r="C524" t="n">
        <v>11</v>
      </c>
      <c r="D524" s="218" t="n">
        <v>103.64</v>
      </c>
      <c r="E524" s="218" t="n">
        <v>3.45</v>
      </c>
      <c r="F524" t="str">
        <v>https://re.jrc.ec.europa.eu/api/v5_3/PVcalc?lat=30.0444&amp;lon=31.2357&amp;peakpower=1&amp;loss=14&amp;angle=5&amp;aspect=0&amp;outputformat=json&amp;raddatabase=PVGIS-SARAH3&amp;pvtechchoice=crystSi&amp;mountingplace=free&amp;usehorizon=1</v>
      </c>
    </row>
    <row r="525">
      <c r="A525" t="n">
        <v>5</v>
      </c>
      <c r="B525" t="n">
        <v>180</v>
      </c>
      <c r="C525" t="n">
        <v>12</v>
      </c>
      <c r="D525" s="218" t="n">
        <v>93.72</v>
      </c>
      <c r="E525" s="218" t="n">
        <v>3.02</v>
      </c>
      <c r="F525" t="str">
        <v>https://re.jrc.ec.europa.eu/api/v5_3/PVcalc?lat=30.0444&amp;lon=31.2357&amp;peakpower=1&amp;loss=14&amp;angle=5&amp;aspect=0&amp;outputformat=json&amp;raddatabase=PVGIS-SARAH3&amp;pvtechchoice=crystSi&amp;mountingplace=free&amp;usehorizon=1</v>
      </c>
    </row>
    <row r="526">
      <c r="A526" t="n">
        <v>5</v>
      </c>
      <c r="B526" t="n">
        <v>195</v>
      </c>
      <c r="C526" t="n">
        <v>1</v>
      </c>
      <c r="D526" s="218" t="n">
        <v>97.55</v>
      </c>
      <c r="E526" s="218" t="n">
        <v>3.15</v>
      </c>
      <c r="F526" t="str">
        <v>https://re.jrc.ec.europa.eu/api/v5_3/PVcalc?lat=30.0444&amp;lon=31.2357&amp;peakpower=1&amp;loss=14&amp;angle=5&amp;aspect=15&amp;outputformat=json&amp;raddatabase=PVGIS-SARAH3&amp;pvtechchoice=crystSi&amp;mountingplace=free&amp;usehorizon=1</v>
      </c>
    </row>
    <row r="527">
      <c r="A527" t="n">
        <v>5</v>
      </c>
      <c r="B527" t="n">
        <v>195</v>
      </c>
      <c r="C527" t="n">
        <v>2</v>
      </c>
      <c r="D527" s="218" t="n">
        <v>105.52</v>
      </c>
      <c r="E527" s="218" t="n">
        <v>3.77</v>
      </c>
      <c r="F527" t="str">
        <v>https://re.jrc.ec.europa.eu/api/v5_3/PVcalc?lat=30.0444&amp;lon=31.2357&amp;peakpower=1&amp;loss=14&amp;angle=5&amp;aspect=15&amp;outputformat=json&amp;raddatabase=PVGIS-SARAH3&amp;pvtechchoice=crystSi&amp;mountingplace=free&amp;usehorizon=1</v>
      </c>
    </row>
    <row r="528">
      <c r="A528" t="n">
        <v>5</v>
      </c>
      <c r="B528" t="n">
        <v>195</v>
      </c>
      <c r="C528" t="n">
        <v>3</v>
      </c>
      <c r="D528" s="218" t="n">
        <v>145.52</v>
      </c>
      <c r="E528" s="218" t="n">
        <v>4.69</v>
      </c>
      <c r="F528" t="str">
        <v>https://re.jrc.ec.europa.eu/api/v5_3/PVcalc?lat=30.0444&amp;lon=31.2357&amp;peakpower=1&amp;loss=14&amp;angle=5&amp;aspect=15&amp;outputformat=json&amp;raddatabase=PVGIS-SARAH3&amp;pvtechchoice=crystSi&amp;mountingplace=free&amp;usehorizon=1</v>
      </c>
    </row>
    <row r="529">
      <c r="A529" t="n">
        <v>5</v>
      </c>
      <c r="B529" t="n">
        <v>195</v>
      </c>
      <c r="C529" t="n">
        <v>4</v>
      </c>
      <c r="D529" s="218" t="n">
        <v>160.89</v>
      </c>
      <c r="E529" s="218" t="n">
        <v>5.36</v>
      </c>
      <c r="F529" t="str">
        <v>https://re.jrc.ec.europa.eu/api/v5_3/PVcalc?lat=30.0444&amp;lon=31.2357&amp;peakpower=1&amp;loss=14&amp;angle=5&amp;aspect=15&amp;outputformat=json&amp;raddatabase=PVGIS-SARAH3&amp;pvtechchoice=crystSi&amp;mountingplace=free&amp;usehorizon=1</v>
      </c>
    </row>
    <row r="530">
      <c r="A530" t="n">
        <v>5</v>
      </c>
      <c r="B530" t="n">
        <v>195</v>
      </c>
      <c r="C530" t="n">
        <v>5</v>
      </c>
      <c r="D530" s="218" t="n">
        <v>176.37</v>
      </c>
      <c r="E530" s="218" t="n">
        <v>5.69</v>
      </c>
      <c r="F530" t="str">
        <v>https://re.jrc.ec.europa.eu/api/v5_3/PVcalc?lat=30.0444&amp;lon=31.2357&amp;peakpower=1&amp;loss=14&amp;angle=5&amp;aspect=15&amp;outputformat=json&amp;raddatabase=PVGIS-SARAH3&amp;pvtechchoice=crystSi&amp;mountingplace=free&amp;usehorizon=1</v>
      </c>
    </row>
    <row r="531">
      <c r="A531" t="n">
        <v>5</v>
      </c>
      <c r="B531" t="n">
        <v>195</v>
      </c>
      <c r="C531" t="n">
        <v>6</v>
      </c>
      <c r="D531" s="218" t="n">
        <v>179.91</v>
      </c>
      <c r="E531" s="218" t="n">
        <v>6</v>
      </c>
      <c r="F531" t="str">
        <v>https://re.jrc.ec.europa.eu/api/v5_3/PVcalc?lat=30.0444&amp;lon=31.2357&amp;peakpower=1&amp;loss=14&amp;angle=5&amp;aspect=15&amp;outputformat=json&amp;raddatabase=PVGIS-SARAH3&amp;pvtechchoice=crystSi&amp;mountingplace=free&amp;usehorizon=1</v>
      </c>
    </row>
    <row r="532">
      <c r="A532" t="n">
        <v>5</v>
      </c>
      <c r="B532" t="n">
        <v>195</v>
      </c>
      <c r="C532" t="n">
        <v>7</v>
      </c>
      <c r="D532" s="218" t="n">
        <v>183.15</v>
      </c>
      <c r="E532" s="218" t="n">
        <v>5.91</v>
      </c>
      <c r="F532" t="str">
        <v>https://re.jrc.ec.europa.eu/api/v5_3/PVcalc?lat=30.0444&amp;lon=31.2357&amp;peakpower=1&amp;loss=14&amp;angle=5&amp;aspect=15&amp;outputformat=json&amp;raddatabase=PVGIS-SARAH3&amp;pvtechchoice=crystSi&amp;mountingplace=free&amp;usehorizon=1</v>
      </c>
    </row>
    <row r="533">
      <c r="A533" t="n">
        <v>5</v>
      </c>
      <c r="B533" t="n">
        <v>195</v>
      </c>
      <c r="C533" t="n">
        <v>8</v>
      </c>
      <c r="D533" s="218" t="n">
        <v>172.69</v>
      </c>
      <c r="E533" s="218" t="n">
        <v>5.57</v>
      </c>
      <c r="F533" t="str">
        <v>https://re.jrc.ec.europa.eu/api/v5_3/PVcalc?lat=30.0444&amp;lon=31.2357&amp;peakpower=1&amp;loss=14&amp;angle=5&amp;aspect=15&amp;outputformat=json&amp;raddatabase=PVGIS-SARAH3&amp;pvtechchoice=crystSi&amp;mountingplace=free&amp;usehorizon=1</v>
      </c>
    </row>
    <row r="534">
      <c r="A534" t="n">
        <v>5</v>
      </c>
      <c r="B534" t="n">
        <v>195</v>
      </c>
      <c r="C534" t="n">
        <v>9</v>
      </c>
      <c r="D534" s="218" t="n">
        <v>150.92</v>
      </c>
      <c r="E534" s="218" t="n">
        <v>5.03</v>
      </c>
      <c r="F534" t="str">
        <v>https://re.jrc.ec.europa.eu/api/v5_3/PVcalc?lat=30.0444&amp;lon=31.2357&amp;peakpower=1&amp;loss=14&amp;angle=5&amp;aspect=15&amp;outputformat=json&amp;raddatabase=PVGIS-SARAH3&amp;pvtechchoice=crystSi&amp;mountingplace=free&amp;usehorizon=1</v>
      </c>
    </row>
    <row r="535">
      <c r="A535" t="n">
        <v>5</v>
      </c>
      <c r="B535" t="n">
        <v>195</v>
      </c>
      <c r="C535" t="n">
        <v>10</v>
      </c>
      <c r="D535" s="218" t="n">
        <v>129.71</v>
      </c>
      <c r="E535" s="218" t="n">
        <v>4.18</v>
      </c>
      <c r="F535" t="str">
        <v>https://re.jrc.ec.europa.eu/api/v5_3/PVcalc?lat=30.0444&amp;lon=31.2357&amp;peakpower=1&amp;loss=14&amp;angle=5&amp;aspect=15&amp;outputformat=json&amp;raddatabase=PVGIS-SARAH3&amp;pvtechchoice=crystSi&amp;mountingplace=free&amp;usehorizon=1</v>
      </c>
    </row>
    <row r="536">
      <c r="A536" t="n">
        <v>5</v>
      </c>
      <c r="B536" t="n">
        <v>195</v>
      </c>
      <c r="C536" t="n">
        <v>11</v>
      </c>
      <c r="D536" s="218" t="n">
        <v>103.29</v>
      </c>
      <c r="E536" s="218" t="n">
        <v>3.44</v>
      </c>
      <c r="F536" t="str">
        <v>https://re.jrc.ec.europa.eu/api/v5_3/PVcalc?lat=30.0444&amp;lon=31.2357&amp;peakpower=1&amp;loss=14&amp;angle=5&amp;aspect=15&amp;outputformat=json&amp;raddatabase=PVGIS-SARAH3&amp;pvtechchoice=crystSi&amp;mountingplace=free&amp;usehorizon=1</v>
      </c>
    </row>
    <row r="537">
      <c r="A537" t="n">
        <v>5</v>
      </c>
      <c r="B537" t="n">
        <v>195</v>
      </c>
      <c r="C537" t="n">
        <v>12</v>
      </c>
      <c r="D537" s="218" t="n">
        <v>93.32</v>
      </c>
      <c r="E537" s="218" t="n">
        <v>3.01</v>
      </c>
      <c r="F537" t="str">
        <v>https://re.jrc.ec.europa.eu/api/v5_3/PVcalc?lat=30.0444&amp;lon=31.2357&amp;peakpower=1&amp;loss=14&amp;angle=5&amp;aspect=15&amp;outputformat=json&amp;raddatabase=PVGIS-SARAH3&amp;pvtechchoice=crystSi&amp;mountingplace=free&amp;usehorizon=1</v>
      </c>
    </row>
    <row r="538">
      <c r="A538" t="n">
        <v>5</v>
      </c>
      <c r="B538" t="n">
        <v>210</v>
      </c>
      <c r="C538" t="n">
        <v>1</v>
      </c>
      <c r="D538" s="218" t="n">
        <v>96.56</v>
      </c>
      <c r="E538" s="218" t="n">
        <v>3.11</v>
      </c>
      <c r="F538" t="str">
        <v>https://re.jrc.ec.europa.eu/api/v5_3/PVcalc?lat=30.0444&amp;lon=31.2357&amp;peakpower=1&amp;loss=14&amp;angle=5&amp;aspect=30&amp;outputformat=json&amp;raddatabase=PVGIS-SARAH3&amp;pvtechchoice=crystSi&amp;mountingplace=free&amp;usehorizon=1</v>
      </c>
    </row>
    <row r="539">
      <c r="A539" t="n">
        <v>5</v>
      </c>
      <c r="B539" t="n">
        <v>210</v>
      </c>
      <c r="C539" t="n">
        <v>2</v>
      </c>
      <c r="D539" s="218" t="n">
        <v>104.74</v>
      </c>
      <c r="E539" s="218" t="n">
        <v>3.74</v>
      </c>
      <c r="F539" t="str">
        <v>https://re.jrc.ec.europa.eu/api/v5_3/PVcalc?lat=30.0444&amp;lon=31.2357&amp;peakpower=1&amp;loss=14&amp;angle=5&amp;aspect=30&amp;outputformat=json&amp;raddatabase=PVGIS-SARAH3&amp;pvtechchoice=crystSi&amp;mountingplace=free&amp;usehorizon=1</v>
      </c>
    </row>
    <row r="540">
      <c r="A540" t="n">
        <v>5</v>
      </c>
      <c r="B540" t="n">
        <v>210</v>
      </c>
      <c r="C540" t="n">
        <v>3</v>
      </c>
      <c r="D540" s="218" t="n">
        <v>145</v>
      </c>
      <c r="E540" s="218" t="n">
        <v>4.68</v>
      </c>
      <c r="F540" t="str">
        <v>https://re.jrc.ec.europa.eu/api/v5_3/PVcalc?lat=30.0444&amp;lon=31.2357&amp;peakpower=1&amp;loss=14&amp;angle=5&amp;aspect=30&amp;outputformat=json&amp;raddatabase=PVGIS-SARAH3&amp;pvtechchoice=crystSi&amp;mountingplace=free&amp;usehorizon=1</v>
      </c>
    </row>
    <row r="541">
      <c r="A541" t="n">
        <v>5</v>
      </c>
      <c r="B541" t="n">
        <v>210</v>
      </c>
      <c r="C541" t="n">
        <v>4</v>
      </c>
      <c r="D541" s="218" t="n">
        <v>160.71</v>
      </c>
      <c r="E541" s="218" t="n">
        <v>5.36</v>
      </c>
      <c r="F541" t="str">
        <v>https://re.jrc.ec.europa.eu/api/v5_3/PVcalc?lat=30.0444&amp;lon=31.2357&amp;peakpower=1&amp;loss=14&amp;angle=5&amp;aspect=30&amp;outputformat=json&amp;raddatabase=PVGIS-SARAH3&amp;pvtechchoice=crystSi&amp;mountingplace=free&amp;usehorizon=1</v>
      </c>
    </row>
    <row r="542">
      <c r="A542" t="n">
        <v>5</v>
      </c>
      <c r="B542" t="n">
        <v>210</v>
      </c>
      <c r="C542" t="n">
        <v>5</v>
      </c>
      <c r="D542" s="218" t="n">
        <v>176.42</v>
      </c>
      <c r="E542" s="218" t="n">
        <v>5.69</v>
      </c>
      <c r="F542" t="str">
        <v>https://re.jrc.ec.europa.eu/api/v5_3/PVcalc?lat=30.0444&amp;lon=31.2357&amp;peakpower=1&amp;loss=14&amp;angle=5&amp;aspect=30&amp;outputformat=json&amp;raddatabase=PVGIS-SARAH3&amp;pvtechchoice=crystSi&amp;mountingplace=free&amp;usehorizon=1</v>
      </c>
    </row>
    <row r="543">
      <c r="A543" t="n">
        <v>5</v>
      </c>
      <c r="B543" t="n">
        <v>210</v>
      </c>
      <c r="C543" t="n">
        <v>6</v>
      </c>
      <c r="D543" s="218" t="n">
        <v>180.23</v>
      </c>
      <c r="E543" s="218" t="n">
        <v>6.01</v>
      </c>
      <c r="F543" t="str">
        <v>https://re.jrc.ec.europa.eu/api/v5_3/PVcalc?lat=30.0444&amp;lon=31.2357&amp;peakpower=1&amp;loss=14&amp;angle=5&amp;aspect=30&amp;outputformat=json&amp;raddatabase=PVGIS-SARAH3&amp;pvtechchoice=crystSi&amp;mountingplace=free&amp;usehorizon=1</v>
      </c>
    </row>
    <row r="544">
      <c r="A544" t="n">
        <v>5</v>
      </c>
      <c r="B544" t="n">
        <v>210</v>
      </c>
      <c r="C544" t="n">
        <v>7</v>
      </c>
      <c r="D544" s="218" t="n">
        <v>183.5</v>
      </c>
      <c r="E544" s="218" t="n">
        <v>5.92</v>
      </c>
      <c r="F544" t="str">
        <v>https://re.jrc.ec.europa.eu/api/v5_3/PVcalc?lat=30.0444&amp;lon=31.2357&amp;peakpower=1&amp;loss=14&amp;angle=5&amp;aspect=30&amp;outputformat=json&amp;raddatabase=PVGIS-SARAH3&amp;pvtechchoice=crystSi&amp;mountingplace=free&amp;usehorizon=1</v>
      </c>
    </row>
    <row r="545">
      <c r="A545" t="n">
        <v>5</v>
      </c>
      <c r="B545" t="n">
        <v>210</v>
      </c>
      <c r="C545" t="n">
        <v>8</v>
      </c>
      <c r="D545" s="218" t="n">
        <v>172.73</v>
      </c>
      <c r="E545" s="218" t="n">
        <v>5.57</v>
      </c>
      <c r="F545" t="str">
        <v>https://re.jrc.ec.europa.eu/api/v5_3/PVcalc?lat=30.0444&amp;lon=31.2357&amp;peakpower=1&amp;loss=14&amp;angle=5&amp;aspect=30&amp;outputformat=json&amp;raddatabase=PVGIS-SARAH3&amp;pvtechchoice=crystSi&amp;mountingplace=free&amp;usehorizon=1</v>
      </c>
    </row>
    <row r="546">
      <c r="A546" t="n">
        <v>5</v>
      </c>
      <c r="B546" t="n">
        <v>210</v>
      </c>
      <c r="C546" t="n">
        <v>9</v>
      </c>
      <c r="D546" s="218" t="n">
        <v>150.63</v>
      </c>
      <c r="E546" s="218" t="n">
        <v>5.02</v>
      </c>
      <c r="F546" t="str">
        <v>https://re.jrc.ec.europa.eu/api/v5_3/PVcalc?lat=30.0444&amp;lon=31.2357&amp;peakpower=1&amp;loss=14&amp;angle=5&amp;aspect=30&amp;outputformat=json&amp;raddatabase=PVGIS-SARAH3&amp;pvtechchoice=crystSi&amp;mountingplace=free&amp;usehorizon=1</v>
      </c>
    </row>
    <row r="547">
      <c r="A547" t="n">
        <v>5</v>
      </c>
      <c r="B547" t="n">
        <v>210</v>
      </c>
      <c r="C547" t="n">
        <v>10</v>
      </c>
      <c r="D547" s="218" t="n">
        <v>128.97</v>
      </c>
      <c r="E547" s="218" t="n">
        <v>4.16</v>
      </c>
      <c r="F547" t="str">
        <v>https://re.jrc.ec.europa.eu/api/v5_3/PVcalc?lat=30.0444&amp;lon=31.2357&amp;peakpower=1&amp;loss=14&amp;angle=5&amp;aspect=30&amp;outputformat=json&amp;raddatabase=PVGIS-SARAH3&amp;pvtechchoice=crystSi&amp;mountingplace=free&amp;usehorizon=1</v>
      </c>
    </row>
    <row r="548">
      <c r="A548" t="n">
        <v>5</v>
      </c>
      <c r="B548" t="n">
        <v>210</v>
      </c>
      <c r="C548" t="n">
        <v>11</v>
      </c>
      <c r="D548" s="218" t="n">
        <v>102.33</v>
      </c>
      <c r="E548" s="218" t="n">
        <v>3.41</v>
      </c>
      <c r="F548" t="str">
        <v>https://re.jrc.ec.europa.eu/api/v5_3/PVcalc?lat=30.0444&amp;lon=31.2357&amp;peakpower=1&amp;loss=14&amp;angle=5&amp;aspect=30&amp;outputformat=json&amp;raddatabase=PVGIS-SARAH3&amp;pvtechchoice=crystSi&amp;mountingplace=free&amp;usehorizon=1</v>
      </c>
    </row>
    <row r="549">
      <c r="A549" t="n">
        <v>5</v>
      </c>
      <c r="B549" t="n">
        <v>210</v>
      </c>
      <c r="C549" t="n">
        <v>12</v>
      </c>
      <c r="D549" s="218" t="n">
        <v>92.27</v>
      </c>
      <c r="E549" s="218" t="n">
        <v>2.98</v>
      </c>
      <c r="F549" t="str">
        <v>https://re.jrc.ec.europa.eu/api/v5_3/PVcalc?lat=30.0444&amp;lon=31.2357&amp;peakpower=1&amp;loss=14&amp;angle=5&amp;aspect=30&amp;outputformat=json&amp;raddatabase=PVGIS-SARAH3&amp;pvtechchoice=crystSi&amp;mountingplace=free&amp;usehorizon=1</v>
      </c>
    </row>
    <row r="550">
      <c r="A550" t="n">
        <v>5</v>
      </c>
      <c r="B550" t="n">
        <v>225</v>
      </c>
      <c r="C550" t="n">
        <v>1</v>
      </c>
      <c r="D550" s="218" t="n">
        <v>95.03</v>
      </c>
      <c r="E550" s="218" t="n">
        <v>3.07</v>
      </c>
      <c r="F550" t="str">
        <v>https://re.jrc.ec.europa.eu/api/v5_3/PVcalc?lat=30.0444&amp;lon=31.2357&amp;peakpower=1&amp;loss=14&amp;angle=5&amp;aspect=45&amp;outputformat=json&amp;raddatabase=PVGIS-SARAH3&amp;pvtechchoice=crystSi&amp;mountingplace=free&amp;usehorizon=1</v>
      </c>
    </row>
    <row r="551">
      <c r="A551" t="n">
        <v>5</v>
      </c>
      <c r="B551" t="n">
        <v>225</v>
      </c>
      <c r="C551" t="n">
        <v>2</v>
      </c>
      <c r="D551" s="218" t="n">
        <v>103.55</v>
      </c>
      <c r="E551" s="218" t="n">
        <v>3.7</v>
      </c>
      <c r="F551" t="str">
        <v>https://re.jrc.ec.europa.eu/api/v5_3/PVcalc?lat=30.0444&amp;lon=31.2357&amp;peakpower=1&amp;loss=14&amp;angle=5&amp;aspect=45&amp;outputformat=json&amp;raddatabase=PVGIS-SARAH3&amp;pvtechchoice=crystSi&amp;mountingplace=free&amp;usehorizon=1</v>
      </c>
    </row>
    <row r="552">
      <c r="A552" t="n">
        <v>5</v>
      </c>
      <c r="B552" t="n">
        <v>225</v>
      </c>
      <c r="C552" t="n">
        <v>3</v>
      </c>
      <c r="D552" s="218" t="n">
        <v>144.11</v>
      </c>
      <c r="E552" s="218" t="n">
        <v>4.65</v>
      </c>
      <c r="F552" t="str">
        <v>https://re.jrc.ec.europa.eu/api/v5_3/PVcalc?lat=30.0444&amp;lon=31.2357&amp;peakpower=1&amp;loss=14&amp;angle=5&amp;aspect=45&amp;outputformat=json&amp;raddatabase=PVGIS-SARAH3&amp;pvtechchoice=crystSi&amp;mountingplace=free&amp;usehorizon=1</v>
      </c>
    </row>
    <row r="553">
      <c r="A553" t="n">
        <v>5</v>
      </c>
      <c r="B553" t="n">
        <v>225</v>
      </c>
      <c r="C553" t="n">
        <v>4</v>
      </c>
      <c r="D553" s="218" t="n">
        <v>160.32</v>
      </c>
      <c r="E553" s="218" t="n">
        <v>5.34</v>
      </c>
      <c r="F553" t="str">
        <v>https://re.jrc.ec.europa.eu/api/v5_3/PVcalc?lat=30.0444&amp;lon=31.2357&amp;peakpower=1&amp;loss=14&amp;angle=5&amp;aspect=45&amp;outputformat=json&amp;raddatabase=PVGIS-SARAH3&amp;pvtechchoice=crystSi&amp;mountingplace=free&amp;usehorizon=1</v>
      </c>
    </row>
    <row r="554">
      <c r="A554" t="n">
        <v>5</v>
      </c>
      <c r="B554" t="n">
        <v>225</v>
      </c>
      <c r="C554" t="n">
        <v>5</v>
      </c>
      <c r="D554" s="218" t="n">
        <v>176.42</v>
      </c>
      <c r="E554" s="218" t="n">
        <v>5.69</v>
      </c>
      <c r="F554" t="str">
        <v>https://re.jrc.ec.europa.eu/api/v5_3/PVcalc?lat=30.0444&amp;lon=31.2357&amp;peakpower=1&amp;loss=14&amp;angle=5&amp;aspect=45&amp;outputformat=json&amp;raddatabase=PVGIS-SARAH3&amp;pvtechchoice=crystSi&amp;mountingplace=free&amp;usehorizon=1</v>
      </c>
    </row>
    <row r="555">
      <c r="A555" t="n">
        <v>5</v>
      </c>
      <c r="B555" t="n">
        <v>225</v>
      </c>
      <c r="C555" t="n">
        <v>6</v>
      </c>
      <c r="D555" s="218" t="n">
        <v>180.56</v>
      </c>
      <c r="E555" s="218" t="n">
        <v>6.02</v>
      </c>
      <c r="F555" t="str">
        <v>https://re.jrc.ec.europa.eu/api/v5_3/PVcalc?lat=30.0444&amp;lon=31.2357&amp;peakpower=1&amp;loss=14&amp;angle=5&amp;aspect=45&amp;outputformat=json&amp;raddatabase=PVGIS-SARAH3&amp;pvtechchoice=crystSi&amp;mountingplace=free&amp;usehorizon=1</v>
      </c>
    </row>
    <row r="556">
      <c r="A556" t="n">
        <v>5</v>
      </c>
      <c r="B556" t="n">
        <v>225</v>
      </c>
      <c r="C556" t="n">
        <v>7</v>
      </c>
      <c r="D556" s="218" t="n">
        <v>183.82</v>
      </c>
      <c r="E556" s="218" t="n">
        <v>5.93</v>
      </c>
      <c r="F556" t="str">
        <v>https://re.jrc.ec.europa.eu/api/v5_3/PVcalc?lat=30.0444&amp;lon=31.2357&amp;peakpower=1&amp;loss=14&amp;angle=5&amp;aspect=45&amp;outputformat=json&amp;raddatabase=PVGIS-SARAH3&amp;pvtechchoice=crystSi&amp;mountingplace=free&amp;usehorizon=1</v>
      </c>
    </row>
    <row r="557">
      <c r="A557" t="n">
        <v>5</v>
      </c>
      <c r="B557" t="n">
        <v>225</v>
      </c>
      <c r="C557" t="n">
        <v>8</v>
      </c>
      <c r="D557" s="218" t="n">
        <v>172.6</v>
      </c>
      <c r="E557" s="218" t="n">
        <v>5.57</v>
      </c>
      <c r="F557" t="str">
        <v>https://re.jrc.ec.europa.eu/api/v5_3/PVcalc?lat=30.0444&amp;lon=31.2357&amp;peakpower=1&amp;loss=14&amp;angle=5&amp;aspect=45&amp;outputformat=json&amp;raddatabase=PVGIS-SARAH3&amp;pvtechchoice=crystSi&amp;mountingplace=free&amp;usehorizon=1</v>
      </c>
    </row>
    <row r="558">
      <c r="A558" t="n">
        <v>5</v>
      </c>
      <c r="B558" t="n">
        <v>225</v>
      </c>
      <c r="C558" t="n">
        <v>9</v>
      </c>
      <c r="D558" s="218" t="n">
        <v>150</v>
      </c>
      <c r="E558" s="218" t="n">
        <v>5</v>
      </c>
      <c r="F558" t="str">
        <v>https://re.jrc.ec.europa.eu/api/v5_3/PVcalc?lat=30.0444&amp;lon=31.2357&amp;peakpower=1&amp;loss=14&amp;angle=5&amp;aspect=45&amp;outputformat=json&amp;raddatabase=PVGIS-SARAH3&amp;pvtechchoice=crystSi&amp;mountingplace=free&amp;usehorizon=1</v>
      </c>
    </row>
    <row r="559">
      <c r="A559" t="n">
        <v>5</v>
      </c>
      <c r="B559" t="n">
        <v>225</v>
      </c>
      <c r="C559" t="n">
        <v>10</v>
      </c>
      <c r="D559" s="218" t="n">
        <v>127.75</v>
      </c>
      <c r="E559" s="218" t="n">
        <v>4.12</v>
      </c>
      <c r="F559" t="str">
        <v>https://re.jrc.ec.europa.eu/api/v5_3/PVcalc?lat=30.0444&amp;lon=31.2357&amp;peakpower=1&amp;loss=14&amp;angle=5&amp;aspect=45&amp;outputformat=json&amp;raddatabase=PVGIS-SARAH3&amp;pvtechchoice=crystSi&amp;mountingplace=free&amp;usehorizon=1</v>
      </c>
    </row>
    <row r="560">
      <c r="A560" t="n">
        <v>5</v>
      </c>
      <c r="B560" t="n">
        <v>225</v>
      </c>
      <c r="C560" t="n">
        <v>11</v>
      </c>
      <c r="D560" s="218" t="n">
        <v>100.82</v>
      </c>
      <c r="E560" s="218" t="n">
        <v>3.36</v>
      </c>
      <c r="F560" t="str">
        <v>https://re.jrc.ec.europa.eu/api/v5_3/PVcalc?lat=30.0444&amp;lon=31.2357&amp;peakpower=1&amp;loss=14&amp;angle=5&amp;aspect=45&amp;outputformat=json&amp;raddatabase=PVGIS-SARAH3&amp;pvtechchoice=crystSi&amp;mountingplace=free&amp;usehorizon=1</v>
      </c>
    </row>
    <row r="561">
      <c r="A561" t="n">
        <v>5</v>
      </c>
      <c r="B561" t="n">
        <v>225</v>
      </c>
      <c r="C561" t="n">
        <v>12</v>
      </c>
      <c r="D561" s="218" t="n">
        <v>90.66</v>
      </c>
      <c r="E561" s="218" t="n">
        <v>2.92</v>
      </c>
      <c r="F561" t="str">
        <v>https://re.jrc.ec.europa.eu/api/v5_3/PVcalc?lat=30.0444&amp;lon=31.2357&amp;peakpower=1&amp;loss=14&amp;angle=5&amp;aspect=45&amp;outputformat=json&amp;raddatabase=PVGIS-SARAH3&amp;pvtechchoice=crystSi&amp;mountingplace=free&amp;usehorizon=1</v>
      </c>
    </row>
    <row r="562">
      <c r="A562" t="n">
        <v>5</v>
      </c>
      <c r="B562" t="n">
        <v>240</v>
      </c>
      <c r="C562" t="n">
        <v>1</v>
      </c>
      <c r="D562" s="218" t="n">
        <v>93.05</v>
      </c>
      <c r="E562" s="218" t="n">
        <v>3</v>
      </c>
      <c r="F562" t="str">
        <v>https://re.jrc.ec.europa.eu/api/v5_3/PVcalc?lat=30.0444&amp;lon=31.2357&amp;peakpower=1&amp;loss=14&amp;angle=5&amp;aspect=60&amp;outputformat=json&amp;raddatabase=PVGIS-SARAH3&amp;pvtechchoice=crystSi&amp;mountingplace=free&amp;usehorizon=1</v>
      </c>
    </row>
    <row r="563">
      <c r="A563" t="n">
        <v>5</v>
      </c>
      <c r="B563" t="n">
        <v>240</v>
      </c>
      <c r="C563" t="n">
        <v>2</v>
      </c>
      <c r="D563" s="218" t="n">
        <v>102.03</v>
      </c>
      <c r="E563" s="218" t="n">
        <v>3.64</v>
      </c>
      <c r="F563" t="str">
        <v>https://re.jrc.ec.europa.eu/api/v5_3/PVcalc?lat=30.0444&amp;lon=31.2357&amp;peakpower=1&amp;loss=14&amp;angle=5&amp;aspect=60&amp;outputformat=json&amp;raddatabase=PVGIS-SARAH3&amp;pvtechchoice=crystSi&amp;mountingplace=free&amp;usehorizon=1</v>
      </c>
    </row>
    <row r="564">
      <c r="A564" t="n">
        <v>5</v>
      </c>
      <c r="B564" t="n">
        <v>240</v>
      </c>
      <c r="C564" t="n">
        <v>3</v>
      </c>
      <c r="D564" s="218" t="n">
        <v>142.89</v>
      </c>
      <c r="E564" s="218" t="n">
        <v>4.61</v>
      </c>
      <c r="F564" t="str">
        <v>https://re.jrc.ec.europa.eu/api/v5_3/PVcalc?lat=30.0444&amp;lon=31.2357&amp;peakpower=1&amp;loss=14&amp;angle=5&amp;aspect=60&amp;outputformat=json&amp;raddatabase=PVGIS-SARAH3&amp;pvtechchoice=crystSi&amp;mountingplace=free&amp;usehorizon=1</v>
      </c>
    </row>
    <row r="565">
      <c r="A565" t="n">
        <v>5</v>
      </c>
      <c r="B565" t="n">
        <v>240</v>
      </c>
      <c r="C565" t="n">
        <v>4</v>
      </c>
      <c r="D565" s="218" t="n">
        <v>159.75</v>
      </c>
      <c r="E565" s="218" t="n">
        <v>5.32</v>
      </c>
      <c r="F565" t="str">
        <v>https://re.jrc.ec.europa.eu/api/v5_3/PVcalc?lat=30.0444&amp;lon=31.2357&amp;peakpower=1&amp;loss=14&amp;angle=5&amp;aspect=60&amp;outputformat=json&amp;raddatabase=PVGIS-SARAH3&amp;pvtechchoice=crystSi&amp;mountingplace=free&amp;usehorizon=1</v>
      </c>
    </row>
    <row r="566">
      <c r="A566" t="n">
        <v>5</v>
      </c>
      <c r="B566" t="n">
        <v>240</v>
      </c>
      <c r="C566" t="n">
        <v>5</v>
      </c>
      <c r="D566" s="218" t="n">
        <v>176.37</v>
      </c>
      <c r="E566" s="218" t="n">
        <v>5.69</v>
      </c>
      <c r="F566" t="str">
        <v>https://re.jrc.ec.europa.eu/api/v5_3/PVcalc?lat=30.0444&amp;lon=31.2357&amp;peakpower=1&amp;loss=14&amp;angle=5&amp;aspect=60&amp;outputformat=json&amp;raddatabase=PVGIS-SARAH3&amp;pvtechchoice=crystSi&amp;mountingplace=free&amp;usehorizon=1</v>
      </c>
    </row>
    <row r="567">
      <c r="A567" t="n">
        <v>5</v>
      </c>
      <c r="B567" t="n">
        <v>240</v>
      </c>
      <c r="C567" t="n">
        <v>6</v>
      </c>
      <c r="D567" s="218" t="n">
        <v>180.89</v>
      </c>
      <c r="E567" s="218" t="n">
        <v>6.03</v>
      </c>
      <c r="F567" t="str">
        <v>https://re.jrc.ec.europa.eu/api/v5_3/PVcalc?lat=30.0444&amp;lon=31.2357&amp;peakpower=1&amp;loss=14&amp;angle=5&amp;aspect=60&amp;outputformat=json&amp;raddatabase=PVGIS-SARAH3&amp;pvtechchoice=crystSi&amp;mountingplace=free&amp;usehorizon=1</v>
      </c>
    </row>
    <row r="568">
      <c r="A568" t="n">
        <v>5</v>
      </c>
      <c r="B568" t="n">
        <v>240</v>
      </c>
      <c r="C568" t="n">
        <v>7</v>
      </c>
      <c r="D568" s="218" t="n">
        <v>184.08</v>
      </c>
      <c r="E568" s="218" t="n">
        <v>5.94</v>
      </c>
      <c r="F568" t="str">
        <v>https://re.jrc.ec.europa.eu/api/v5_3/PVcalc?lat=30.0444&amp;lon=31.2357&amp;peakpower=1&amp;loss=14&amp;angle=5&amp;aspect=60&amp;outputformat=json&amp;raddatabase=PVGIS-SARAH3&amp;pvtechchoice=crystSi&amp;mountingplace=free&amp;usehorizon=1</v>
      </c>
    </row>
    <row r="569">
      <c r="A569" t="n">
        <v>5</v>
      </c>
      <c r="B569" t="n">
        <v>240</v>
      </c>
      <c r="C569" t="n">
        <v>8</v>
      </c>
      <c r="D569" s="218" t="n">
        <v>172.31</v>
      </c>
      <c r="E569" s="218" t="n">
        <v>5.56</v>
      </c>
      <c r="F569" t="str">
        <v>https://re.jrc.ec.europa.eu/api/v5_3/PVcalc?lat=30.0444&amp;lon=31.2357&amp;peakpower=1&amp;loss=14&amp;angle=5&amp;aspect=60&amp;outputformat=json&amp;raddatabase=PVGIS-SARAH3&amp;pvtechchoice=crystSi&amp;mountingplace=free&amp;usehorizon=1</v>
      </c>
    </row>
    <row r="570">
      <c r="A570" t="n">
        <v>5</v>
      </c>
      <c r="B570" t="n">
        <v>240</v>
      </c>
      <c r="C570" t="n">
        <v>9</v>
      </c>
      <c r="D570" s="218" t="n">
        <v>149.06</v>
      </c>
      <c r="E570" s="218" t="n">
        <v>4.97</v>
      </c>
      <c r="F570" t="str">
        <v>https://re.jrc.ec.europa.eu/api/v5_3/PVcalc?lat=30.0444&amp;lon=31.2357&amp;peakpower=1&amp;loss=14&amp;angle=5&amp;aspect=60&amp;outputformat=json&amp;raddatabase=PVGIS-SARAH3&amp;pvtechchoice=crystSi&amp;mountingplace=free&amp;usehorizon=1</v>
      </c>
    </row>
    <row r="571">
      <c r="A571" t="n">
        <v>5</v>
      </c>
      <c r="B571" t="n">
        <v>240</v>
      </c>
      <c r="C571" t="n">
        <v>10</v>
      </c>
      <c r="D571" s="218" t="n">
        <v>126.13</v>
      </c>
      <c r="E571" s="218" t="n">
        <v>4.07</v>
      </c>
      <c r="F571" t="str">
        <v>https://re.jrc.ec.europa.eu/api/v5_3/PVcalc?lat=30.0444&amp;lon=31.2357&amp;peakpower=1&amp;loss=14&amp;angle=5&amp;aspect=60&amp;outputformat=json&amp;raddatabase=PVGIS-SARAH3&amp;pvtechchoice=crystSi&amp;mountingplace=free&amp;usehorizon=1</v>
      </c>
    </row>
    <row r="572">
      <c r="A572" t="n">
        <v>5</v>
      </c>
      <c r="B572" t="n">
        <v>240</v>
      </c>
      <c r="C572" t="n">
        <v>11</v>
      </c>
      <c r="D572" s="218" t="n">
        <v>98.86</v>
      </c>
      <c r="E572" s="218" t="n">
        <v>3.3</v>
      </c>
      <c r="F572" t="str">
        <v>https://re.jrc.ec.europa.eu/api/v5_3/PVcalc?lat=30.0444&amp;lon=31.2357&amp;peakpower=1&amp;loss=14&amp;angle=5&amp;aspect=60&amp;outputformat=json&amp;raddatabase=PVGIS-SARAH3&amp;pvtechchoice=crystSi&amp;mountingplace=free&amp;usehorizon=1</v>
      </c>
    </row>
    <row r="573">
      <c r="A573" t="n">
        <v>5</v>
      </c>
      <c r="B573" t="n">
        <v>240</v>
      </c>
      <c r="C573" t="n">
        <v>12</v>
      </c>
      <c r="D573" s="218" t="n">
        <v>88.57</v>
      </c>
      <c r="E573" s="218" t="n">
        <v>2.86</v>
      </c>
      <c r="F573" t="str">
        <v>https://re.jrc.ec.europa.eu/api/v5_3/PVcalc?lat=30.0444&amp;lon=31.2357&amp;peakpower=1&amp;loss=14&amp;angle=5&amp;aspect=60&amp;outputformat=json&amp;raddatabase=PVGIS-SARAH3&amp;pvtechchoice=crystSi&amp;mountingplace=free&amp;usehorizon=1</v>
      </c>
    </row>
    <row r="574">
      <c r="A574" t="n">
        <v>5</v>
      </c>
      <c r="B574" t="n">
        <v>255</v>
      </c>
      <c r="C574" t="n">
        <v>1</v>
      </c>
      <c r="D574" s="218" t="n">
        <v>90.79</v>
      </c>
      <c r="E574" s="218" t="n">
        <v>2.93</v>
      </c>
      <c r="F574" t="str">
        <v>https://re.jrc.ec.europa.eu/api/v5_3/PVcalc?lat=30.0444&amp;lon=31.2357&amp;peakpower=1&amp;loss=14&amp;angle=5&amp;aspect=75&amp;outputformat=json&amp;raddatabase=PVGIS-SARAH3&amp;pvtechchoice=crystSi&amp;mountingplace=free&amp;usehorizon=1</v>
      </c>
    </row>
    <row r="575">
      <c r="A575" t="n">
        <v>5</v>
      </c>
      <c r="B575" t="n">
        <v>255</v>
      </c>
      <c r="C575" t="n">
        <v>2</v>
      </c>
      <c r="D575" s="218" t="n">
        <v>100.27</v>
      </c>
      <c r="E575" s="218" t="n">
        <v>3.58</v>
      </c>
      <c r="F575" t="str">
        <v>https://re.jrc.ec.europa.eu/api/v5_3/PVcalc?lat=30.0444&amp;lon=31.2357&amp;peakpower=1&amp;loss=14&amp;angle=5&amp;aspect=75&amp;outputformat=json&amp;raddatabase=PVGIS-SARAH3&amp;pvtechchoice=crystSi&amp;mountingplace=free&amp;usehorizon=1</v>
      </c>
    </row>
    <row r="576">
      <c r="A576" t="n">
        <v>5</v>
      </c>
      <c r="B576" t="n">
        <v>255</v>
      </c>
      <c r="C576" t="n">
        <v>3</v>
      </c>
      <c r="D576" s="218" t="n">
        <v>141.44</v>
      </c>
      <c r="E576" s="218" t="n">
        <v>4.56</v>
      </c>
      <c r="F576" t="str">
        <v>https://re.jrc.ec.europa.eu/api/v5_3/PVcalc?lat=30.0444&amp;lon=31.2357&amp;peakpower=1&amp;loss=14&amp;angle=5&amp;aspect=75&amp;outputformat=json&amp;raddatabase=PVGIS-SARAH3&amp;pvtechchoice=crystSi&amp;mountingplace=free&amp;usehorizon=1</v>
      </c>
    </row>
    <row r="577">
      <c r="A577" t="n">
        <v>5</v>
      </c>
      <c r="B577" t="n">
        <v>255</v>
      </c>
      <c r="C577" t="n">
        <v>4</v>
      </c>
      <c r="D577" s="218" t="n">
        <v>159.03</v>
      </c>
      <c r="E577" s="218" t="n">
        <v>5.3</v>
      </c>
      <c r="F577" t="str">
        <v>https://re.jrc.ec.europa.eu/api/v5_3/PVcalc?lat=30.0444&amp;lon=31.2357&amp;peakpower=1&amp;loss=14&amp;angle=5&amp;aspect=75&amp;outputformat=json&amp;raddatabase=PVGIS-SARAH3&amp;pvtechchoice=crystSi&amp;mountingplace=free&amp;usehorizon=1</v>
      </c>
    </row>
    <row r="578">
      <c r="A578" t="n">
        <v>5</v>
      </c>
      <c r="B578" t="n">
        <v>255</v>
      </c>
      <c r="C578" t="n">
        <v>5</v>
      </c>
      <c r="D578" s="218" t="n">
        <v>176.27</v>
      </c>
      <c r="E578" s="218" t="n">
        <v>5.69</v>
      </c>
      <c r="F578" t="str">
        <v>https://re.jrc.ec.europa.eu/api/v5_3/PVcalc?lat=30.0444&amp;lon=31.2357&amp;peakpower=1&amp;loss=14&amp;angle=5&amp;aspect=75&amp;outputformat=json&amp;raddatabase=PVGIS-SARAH3&amp;pvtechchoice=crystSi&amp;mountingplace=free&amp;usehorizon=1</v>
      </c>
    </row>
    <row r="579">
      <c r="A579" t="n">
        <v>5</v>
      </c>
      <c r="B579" t="n">
        <v>255</v>
      </c>
      <c r="C579" t="n">
        <v>6</v>
      </c>
      <c r="D579" s="218" t="n">
        <v>181.2</v>
      </c>
      <c r="E579" s="218" t="n">
        <v>6.04</v>
      </c>
      <c r="F579" t="str">
        <v>https://re.jrc.ec.europa.eu/api/v5_3/PVcalc?lat=30.0444&amp;lon=31.2357&amp;peakpower=1&amp;loss=14&amp;angle=5&amp;aspect=75&amp;outputformat=json&amp;raddatabase=PVGIS-SARAH3&amp;pvtechchoice=crystSi&amp;mountingplace=free&amp;usehorizon=1</v>
      </c>
    </row>
    <row r="580">
      <c r="A580" t="n">
        <v>5</v>
      </c>
      <c r="B580" t="n">
        <v>255</v>
      </c>
      <c r="C580" t="n">
        <v>7</v>
      </c>
      <c r="D580" s="218" t="n">
        <v>184.27</v>
      </c>
      <c r="E580" s="218" t="n">
        <v>5.94</v>
      </c>
      <c r="F580" t="str">
        <v>https://re.jrc.ec.europa.eu/api/v5_3/PVcalc?lat=30.0444&amp;lon=31.2357&amp;peakpower=1&amp;loss=14&amp;angle=5&amp;aspect=75&amp;outputformat=json&amp;raddatabase=PVGIS-SARAH3&amp;pvtechchoice=crystSi&amp;mountingplace=free&amp;usehorizon=1</v>
      </c>
    </row>
    <row r="581">
      <c r="A581" t="n">
        <v>5</v>
      </c>
      <c r="B581" t="n">
        <v>255</v>
      </c>
      <c r="C581" t="n">
        <v>8</v>
      </c>
      <c r="D581" s="218" t="n">
        <v>171.88</v>
      </c>
      <c r="E581" s="218" t="n">
        <v>5.54</v>
      </c>
      <c r="F581" t="str">
        <v>https://re.jrc.ec.europa.eu/api/v5_3/PVcalc?lat=30.0444&amp;lon=31.2357&amp;peakpower=1&amp;loss=14&amp;angle=5&amp;aspect=75&amp;outputformat=json&amp;raddatabase=PVGIS-SARAH3&amp;pvtechchoice=crystSi&amp;mountingplace=free&amp;usehorizon=1</v>
      </c>
    </row>
    <row r="582">
      <c r="A582" t="n">
        <v>5</v>
      </c>
      <c r="B582" t="n">
        <v>255</v>
      </c>
      <c r="C582" t="n">
        <v>9</v>
      </c>
      <c r="D582" s="218" t="n">
        <v>147.88</v>
      </c>
      <c r="E582" s="218" t="n">
        <v>4.93</v>
      </c>
      <c r="F582" t="str">
        <v>https://re.jrc.ec.europa.eu/api/v5_3/PVcalc?lat=30.0444&amp;lon=31.2357&amp;peakpower=1&amp;loss=14&amp;angle=5&amp;aspect=75&amp;outputformat=json&amp;raddatabase=PVGIS-SARAH3&amp;pvtechchoice=crystSi&amp;mountingplace=free&amp;usehorizon=1</v>
      </c>
    </row>
    <row r="583">
      <c r="A583" t="n">
        <v>5</v>
      </c>
      <c r="B583" t="n">
        <v>255</v>
      </c>
      <c r="C583" t="n">
        <v>10</v>
      </c>
      <c r="D583" s="218" t="n">
        <v>124.22</v>
      </c>
      <c r="E583" s="218" t="n">
        <v>4.01</v>
      </c>
      <c r="F583" t="str">
        <v>https://re.jrc.ec.europa.eu/api/v5_3/PVcalc?lat=30.0444&amp;lon=31.2357&amp;peakpower=1&amp;loss=14&amp;angle=5&amp;aspect=75&amp;outputformat=json&amp;raddatabase=PVGIS-SARAH3&amp;pvtechchoice=crystSi&amp;mountingplace=free&amp;usehorizon=1</v>
      </c>
    </row>
    <row r="584">
      <c r="A584" t="n">
        <v>5</v>
      </c>
      <c r="B584" t="n">
        <v>255</v>
      </c>
      <c r="C584" t="n">
        <v>11</v>
      </c>
      <c r="D584" s="218" t="n">
        <v>96.58</v>
      </c>
      <c r="E584" s="218" t="n">
        <v>3.22</v>
      </c>
      <c r="F584" t="str">
        <v>https://re.jrc.ec.europa.eu/api/v5_3/PVcalc?lat=30.0444&amp;lon=31.2357&amp;peakpower=1&amp;loss=14&amp;angle=5&amp;aspect=75&amp;outputformat=json&amp;raddatabase=PVGIS-SARAH3&amp;pvtechchoice=crystSi&amp;mountingplace=free&amp;usehorizon=1</v>
      </c>
    </row>
    <row r="585">
      <c r="A585" t="n">
        <v>5</v>
      </c>
      <c r="B585" t="n">
        <v>255</v>
      </c>
      <c r="C585" t="n">
        <v>12</v>
      </c>
      <c r="D585" s="218" t="n">
        <v>86.16</v>
      </c>
      <c r="E585" s="218" t="n">
        <v>2.78</v>
      </c>
      <c r="F585" t="str">
        <v>https://re.jrc.ec.europa.eu/api/v5_3/PVcalc?lat=30.0444&amp;lon=31.2357&amp;peakpower=1&amp;loss=14&amp;angle=5&amp;aspect=75&amp;outputformat=json&amp;raddatabase=PVGIS-SARAH3&amp;pvtechchoice=crystSi&amp;mountingplace=free&amp;usehorizon=1</v>
      </c>
    </row>
    <row r="586">
      <c r="A586" t="n">
        <v>5</v>
      </c>
      <c r="B586" t="n">
        <v>270</v>
      </c>
      <c r="C586" t="n">
        <v>1</v>
      </c>
      <c r="D586" s="218" t="n">
        <v>88.34</v>
      </c>
      <c r="E586" s="218" t="n">
        <v>2.85</v>
      </c>
      <c r="F586" t="str">
        <v>https://re.jrc.ec.europa.eu/api/v5_3/PVcalc?lat=30.0444&amp;lon=31.2357&amp;peakpower=1&amp;loss=14&amp;angle=5&amp;aspect=90&amp;outputformat=json&amp;raddatabase=PVGIS-SARAH3&amp;pvtechchoice=crystSi&amp;mountingplace=free&amp;usehorizon=1</v>
      </c>
    </row>
    <row r="587">
      <c r="A587" t="n">
        <v>5</v>
      </c>
      <c r="B587" t="n">
        <v>270</v>
      </c>
      <c r="C587" t="n">
        <v>2</v>
      </c>
      <c r="D587" s="218" t="n">
        <v>98.41</v>
      </c>
      <c r="E587" s="218" t="n">
        <v>3.51</v>
      </c>
      <c r="F587" t="str">
        <v>https://re.jrc.ec.europa.eu/api/v5_3/PVcalc?lat=30.0444&amp;lon=31.2357&amp;peakpower=1&amp;loss=14&amp;angle=5&amp;aspect=90&amp;outputformat=json&amp;raddatabase=PVGIS-SARAH3&amp;pvtechchoice=crystSi&amp;mountingplace=free&amp;usehorizon=1</v>
      </c>
    </row>
    <row r="588">
      <c r="A588" t="n">
        <v>5</v>
      </c>
      <c r="B588" t="n">
        <v>270</v>
      </c>
      <c r="C588" t="n">
        <v>3</v>
      </c>
      <c r="D588" s="218" t="n">
        <v>139.85</v>
      </c>
      <c r="E588" s="218" t="n">
        <v>4.51</v>
      </c>
      <c r="F588" t="str">
        <v>https://re.jrc.ec.europa.eu/api/v5_3/PVcalc?lat=30.0444&amp;lon=31.2357&amp;peakpower=1&amp;loss=14&amp;angle=5&amp;aspect=90&amp;outputformat=json&amp;raddatabase=PVGIS-SARAH3&amp;pvtechchoice=crystSi&amp;mountingplace=free&amp;usehorizon=1</v>
      </c>
    </row>
    <row r="589">
      <c r="A589" t="n">
        <v>5</v>
      </c>
      <c r="B589" t="n">
        <v>270</v>
      </c>
      <c r="C589" t="n">
        <v>4</v>
      </c>
      <c r="D589" s="218" t="n">
        <v>158.23</v>
      </c>
      <c r="E589" s="218" t="n">
        <v>5.27</v>
      </c>
      <c r="F589" t="str">
        <v>https://re.jrc.ec.europa.eu/api/v5_3/PVcalc?lat=30.0444&amp;lon=31.2357&amp;peakpower=1&amp;loss=14&amp;angle=5&amp;aspect=90&amp;outputformat=json&amp;raddatabase=PVGIS-SARAH3&amp;pvtechchoice=crystSi&amp;mountingplace=free&amp;usehorizon=1</v>
      </c>
    </row>
    <row r="590">
      <c r="A590" t="n">
        <v>5</v>
      </c>
      <c r="B590" t="n">
        <v>270</v>
      </c>
      <c r="C590" t="n">
        <v>5</v>
      </c>
      <c r="D590" s="218" t="n">
        <v>176.13</v>
      </c>
      <c r="E590" s="218" t="n">
        <v>5.68</v>
      </c>
      <c r="F590" t="str">
        <v>https://re.jrc.ec.europa.eu/api/v5_3/PVcalc?lat=30.0444&amp;lon=31.2357&amp;peakpower=1&amp;loss=14&amp;angle=5&amp;aspect=90&amp;outputformat=json&amp;raddatabase=PVGIS-SARAH3&amp;pvtechchoice=crystSi&amp;mountingplace=free&amp;usehorizon=1</v>
      </c>
    </row>
    <row r="591">
      <c r="A591" t="n">
        <v>5</v>
      </c>
      <c r="B591" t="n">
        <v>270</v>
      </c>
      <c r="C591" t="n">
        <v>6</v>
      </c>
      <c r="D591" s="218" t="n">
        <v>181.46</v>
      </c>
      <c r="E591" s="218" t="n">
        <v>6.05</v>
      </c>
      <c r="F591" t="str">
        <v>https://re.jrc.ec.europa.eu/api/v5_3/PVcalc?lat=30.0444&amp;lon=31.2357&amp;peakpower=1&amp;loss=14&amp;angle=5&amp;aspect=90&amp;outputformat=json&amp;raddatabase=PVGIS-SARAH3&amp;pvtechchoice=crystSi&amp;mountingplace=free&amp;usehorizon=1</v>
      </c>
    </row>
    <row r="592">
      <c r="A592" t="n">
        <v>5</v>
      </c>
      <c r="B592" t="n">
        <v>270</v>
      </c>
      <c r="C592" t="n">
        <v>7</v>
      </c>
      <c r="D592" s="218" t="n">
        <v>184.37</v>
      </c>
      <c r="E592" s="218" t="n">
        <v>5.95</v>
      </c>
      <c r="F592" t="str">
        <v>https://re.jrc.ec.europa.eu/api/v5_3/PVcalc?lat=30.0444&amp;lon=31.2357&amp;peakpower=1&amp;loss=14&amp;angle=5&amp;aspect=90&amp;outputformat=json&amp;raddatabase=PVGIS-SARAH3&amp;pvtechchoice=crystSi&amp;mountingplace=free&amp;usehorizon=1</v>
      </c>
    </row>
    <row r="593">
      <c r="A593" t="n">
        <v>5</v>
      </c>
      <c r="B593" t="n">
        <v>270</v>
      </c>
      <c r="C593" t="n">
        <v>8</v>
      </c>
      <c r="D593" s="218" t="n">
        <v>171.34</v>
      </c>
      <c r="E593" s="218" t="n">
        <v>5.53</v>
      </c>
      <c r="F593" t="str">
        <v>https://re.jrc.ec.europa.eu/api/v5_3/PVcalc?lat=30.0444&amp;lon=31.2357&amp;peakpower=1&amp;loss=14&amp;angle=5&amp;aspect=90&amp;outputformat=json&amp;raddatabase=PVGIS-SARAH3&amp;pvtechchoice=crystSi&amp;mountingplace=free&amp;usehorizon=1</v>
      </c>
    </row>
    <row r="594">
      <c r="A594" t="n">
        <v>5</v>
      </c>
      <c r="B594" t="n">
        <v>270</v>
      </c>
      <c r="C594" t="n">
        <v>9</v>
      </c>
      <c r="D594" s="218" t="n">
        <v>146.55</v>
      </c>
      <c r="E594" s="218" t="n">
        <v>4.89</v>
      </c>
      <c r="F594" t="str">
        <v>https://re.jrc.ec.europa.eu/api/v5_3/PVcalc?lat=30.0444&amp;lon=31.2357&amp;peakpower=1&amp;loss=14&amp;angle=5&amp;aspect=90&amp;outputformat=json&amp;raddatabase=PVGIS-SARAH3&amp;pvtechchoice=crystSi&amp;mountingplace=free&amp;usehorizon=1</v>
      </c>
    </row>
    <row r="595">
      <c r="A595" t="n">
        <v>5</v>
      </c>
      <c r="B595" t="n">
        <v>270</v>
      </c>
      <c r="C595" t="n">
        <v>10</v>
      </c>
      <c r="D595" s="218" t="n">
        <v>122.16</v>
      </c>
      <c r="E595" s="218" t="n">
        <v>3.94</v>
      </c>
      <c r="F595" t="str">
        <v>https://re.jrc.ec.europa.eu/api/v5_3/PVcalc?lat=30.0444&amp;lon=31.2357&amp;peakpower=1&amp;loss=14&amp;angle=5&amp;aspect=90&amp;outputformat=json&amp;raddatabase=PVGIS-SARAH3&amp;pvtechchoice=crystSi&amp;mountingplace=free&amp;usehorizon=1</v>
      </c>
    </row>
    <row r="596">
      <c r="A596" t="n">
        <v>5</v>
      </c>
      <c r="B596" t="n">
        <v>270</v>
      </c>
      <c r="C596" t="n">
        <v>11</v>
      </c>
      <c r="D596" s="218" t="n">
        <v>94.14</v>
      </c>
      <c r="E596" s="218" t="n">
        <v>3.14</v>
      </c>
      <c r="F596" t="str">
        <v>https://re.jrc.ec.europa.eu/api/v5_3/PVcalc?lat=30.0444&amp;lon=31.2357&amp;peakpower=1&amp;loss=14&amp;angle=5&amp;aspect=90&amp;outputformat=json&amp;raddatabase=PVGIS-SARAH3&amp;pvtechchoice=crystSi&amp;mountingplace=free&amp;usehorizon=1</v>
      </c>
    </row>
    <row r="597">
      <c r="A597" t="n">
        <v>5</v>
      </c>
      <c r="B597" t="n">
        <v>270</v>
      </c>
      <c r="C597" t="n">
        <v>12</v>
      </c>
      <c r="D597" s="218" t="n">
        <v>83.59</v>
      </c>
      <c r="E597" s="218" t="n">
        <v>2.7</v>
      </c>
      <c r="F597" t="str">
        <v>https://re.jrc.ec.europa.eu/api/v5_3/PVcalc?lat=30.0444&amp;lon=31.2357&amp;peakpower=1&amp;loss=14&amp;angle=5&amp;aspect=90&amp;outputformat=json&amp;raddatabase=PVGIS-SARAH3&amp;pvtechchoice=crystSi&amp;mountingplace=free&amp;usehorizon=1</v>
      </c>
    </row>
    <row r="598">
      <c r="A598" t="n">
        <v>5</v>
      </c>
      <c r="B598" t="n">
        <v>285</v>
      </c>
      <c r="C598" t="n">
        <v>1</v>
      </c>
      <c r="D598" s="218" t="n">
        <v>85.9</v>
      </c>
      <c r="E598" s="218" t="n">
        <v>2.77</v>
      </c>
      <c r="F598" t="str">
        <v>https://re.jrc.ec.europa.eu/api/v5_3/PVcalc?lat=30.0444&amp;lon=31.2357&amp;peakpower=1&amp;loss=14&amp;angle=5&amp;aspect=105&amp;outputformat=json&amp;raddatabase=PVGIS-SARAH3&amp;pvtechchoice=crystSi&amp;mountingplace=free&amp;usehorizon=1</v>
      </c>
    </row>
    <row r="599">
      <c r="A599" t="n">
        <v>5</v>
      </c>
      <c r="B599" t="n">
        <v>285</v>
      </c>
      <c r="C599" t="n">
        <v>2</v>
      </c>
      <c r="D599" s="218" t="n">
        <v>96.55</v>
      </c>
      <c r="E599" s="218" t="n">
        <v>3.45</v>
      </c>
      <c r="F599" t="str">
        <v>https://re.jrc.ec.europa.eu/api/v5_3/PVcalc?lat=30.0444&amp;lon=31.2357&amp;peakpower=1&amp;loss=14&amp;angle=5&amp;aspect=105&amp;outputformat=json&amp;raddatabase=PVGIS-SARAH3&amp;pvtechchoice=crystSi&amp;mountingplace=free&amp;usehorizon=1</v>
      </c>
    </row>
    <row r="600">
      <c r="A600" t="n">
        <v>5</v>
      </c>
      <c r="B600" t="n">
        <v>285</v>
      </c>
      <c r="C600" t="n">
        <v>3</v>
      </c>
      <c r="D600" s="218" t="n">
        <v>138.22</v>
      </c>
      <c r="E600" s="218" t="n">
        <v>4.46</v>
      </c>
      <c r="F600" t="str">
        <v>https://re.jrc.ec.europa.eu/api/v5_3/PVcalc?lat=30.0444&amp;lon=31.2357&amp;peakpower=1&amp;loss=14&amp;angle=5&amp;aspect=105&amp;outputformat=json&amp;raddatabase=PVGIS-SARAH3&amp;pvtechchoice=crystSi&amp;mountingplace=free&amp;usehorizon=1</v>
      </c>
    </row>
    <row r="601">
      <c r="A601" t="n">
        <v>5</v>
      </c>
      <c r="B601" t="n">
        <v>285</v>
      </c>
      <c r="C601" t="n">
        <v>4</v>
      </c>
      <c r="D601" s="218" t="n">
        <v>157.39</v>
      </c>
      <c r="E601" s="218" t="n">
        <v>5.25</v>
      </c>
      <c r="F601" t="str">
        <v>https://re.jrc.ec.europa.eu/api/v5_3/PVcalc?lat=30.0444&amp;lon=31.2357&amp;peakpower=1&amp;loss=14&amp;angle=5&amp;aspect=105&amp;outputformat=json&amp;raddatabase=PVGIS-SARAH3&amp;pvtechchoice=crystSi&amp;mountingplace=free&amp;usehorizon=1</v>
      </c>
    </row>
    <row r="602">
      <c r="A602" t="n">
        <v>5</v>
      </c>
      <c r="B602" t="n">
        <v>285</v>
      </c>
      <c r="C602" t="n">
        <v>5</v>
      </c>
      <c r="D602" s="218" t="n">
        <v>175.96</v>
      </c>
      <c r="E602" s="218" t="n">
        <v>5.68</v>
      </c>
      <c r="F602" t="str">
        <v>https://re.jrc.ec.europa.eu/api/v5_3/PVcalc?lat=30.0444&amp;lon=31.2357&amp;peakpower=1&amp;loss=14&amp;angle=5&amp;aspect=105&amp;outputformat=json&amp;raddatabase=PVGIS-SARAH3&amp;pvtechchoice=crystSi&amp;mountingplace=free&amp;usehorizon=1</v>
      </c>
    </row>
    <row r="603">
      <c r="A603" t="n">
        <v>5</v>
      </c>
      <c r="B603" t="n">
        <v>285</v>
      </c>
      <c r="C603" t="n">
        <v>6</v>
      </c>
      <c r="D603" s="218" t="n">
        <v>181.65</v>
      </c>
      <c r="E603" s="218" t="n">
        <v>6.06</v>
      </c>
      <c r="F603" t="str">
        <v>https://re.jrc.ec.europa.eu/api/v5_3/PVcalc?lat=30.0444&amp;lon=31.2357&amp;peakpower=1&amp;loss=14&amp;angle=5&amp;aspect=105&amp;outputformat=json&amp;raddatabase=PVGIS-SARAH3&amp;pvtechchoice=crystSi&amp;mountingplace=free&amp;usehorizon=1</v>
      </c>
    </row>
    <row r="604">
      <c r="A604" t="n">
        <v>5</v>
      </c>
      <c r="B604" t="n">
        <v>285</v>
      </c>
      <c r="C604" t="n">
        <v>7</v>
      </c>
      <c r="D604" s="218" t="n">
        <v>184.38</v>
      </c>
      <c r="E604" s="218" t="n">
        <v>5.95</v>
      </c>
      <c r="F604" t="str">
        <v>https://re.jrc.ec.europa.eu/api/v5_3/PVcalc?lat=30.0444&amp;lon=31.2357&amp;peakpower=1&amp;loss=14&amp;angle=5&amp;aspect=105&amp;outputformat=json&amp;raddatabase=PVGIS-SARAH3&amp;pvtechchoice=crystSi&amp;mountingplace=free&amp;usehorizon=1</v>
      </c>
    </row>
    <row r="605">
      <c r="A605" t="n">
        <v>5</v>
      </c>
      <c r="B605" t="n">
        <v>285</v>
      </c>
      <c r="C605" t="n">
        <v>8</v>
      </c>
      <c r="D605" s="218" t="n">
        <v>170.71</v>
      </c>
      <c r="E605" s="218" t="n">
        <v>5.51</v>
      </c>
      <c r="F605" t="str">
        <v>https://re.jrc.ec.europa.eu/api/v5_3/PVcalc?lat=30.0444&amp;lon=31.2357&amp;peakpower=1&amp;loss=14&amp;angle=5&amp;aspect=105&amp;outputformat=json&amp;raddatabase=PVGIS-SARAH3&amp;pvtechchoice=crystSi&amp;mountingplace=free&amp;usehorizon=1</v>
      </c>
    </row>
    <row r="606">
      <c r="A606" t="n">
        <v>5</v>
      </c>
      <c r="B606" t="n">
        <v>285</v>
      </c>
      <c r="C606" t="n">
        <v>9</v>
      </c>
      <c r="D606" s="218" t="n">
        <v>145.16</v>
      </c>
      <c r="E606" s="218" t="n">
        <v>4.84</v>
      </c>
      <c r="F606" t="str">
        <v>https://re.jrc.ec.europa.eu/api/v5_3/PVcalc?lat=30.0444&amp;lon=31.2357&amp;peakpower=1&amp;loss=14&amp;angle=5&amp;aspect=105&amp;outputformat=json&amp;raddatabase=PVGIS-SARAH3&amp;pvtechchoice=crystSi&amp;mountingplace=free&amp;usehorizon=1</v>
      </c>
    </row>
    <row r="607">
      <c r="A607" t="n">
        <v>5</v>
      </c>
      <c r="B607" t="n">
        <v>285</v>
      </c>
      <c r="C607" t="n">
        <v>10</v>
      </c>
      <c r="D607" s="218" t="n">
        <v>120.07</v>
      </c>
      <c r="E607" s="218" t="n">
        <v>3.87</v>
      </c>
      <c r="F607" t="str">
        <v>https://re.jrc.ec.europa.eu/api/v5_3/PVcalc?lat=30.0444&amp;lon=31.2357&amp;peakpower=1&amp;loss=14&amp;angle=5&amp;aspect=105&amp;outputformat=json&amp;raddatabase=PVGIS-SARAH3&amp;pvtechchoice=crystSi&amp;mountingplace=free&amp;usehorizon=1</v>
      </c>
    </row>
    <row r="608">
      <c r="A608" t="n">
        <v>5</v>
      </c>
      <c r="B608" t="n">
        <v>285</v>
      </c>
      <c r="C608" t="n">
        <v>11</v>
      </c>
      <c r="D608" s="218" t="n">
        <v>91.68</v>
      </c>
      <c r="E608" s="218" t="n">
        <v>3.06</v>
      </c>
      <c r="F608" t="str">
        <v>https://re.jrc.ec.europa.eu/api/v5_3/PVcalc?lat=30.0444&amp;lon=31.2357&amp;peakpower=1&amp;loss=14&amp;angle=5&amp;aspect=105&amp;outputformat=json&amp;raddatabase=PVGIS-SARAH3&amp;pvtechchoice=crystSi&amp;mountingplace=free&amp;usehorizon=1</v>
      </c>
    </row>
    <row r="609">
      <c r="A609" t="n">
        <v>5</v>
      </c>
      <c r="B609" t="n">
        <v>285</v>
      </c>
      <c r="C609" t="n">
        <v>12</v>
      </c>
      <c r="D609" s="218" t="n">
        <v>81</v>
      </c>
      <c r="E609" s="218" t="n">
        <v>2.61</v>
      </c>
      <c r="F609" t="str">
        <v>https://re.jrc.ec.europa.eu/api/v5_3/PVcalc?lat=30.0444&amp;lon=31.2357&amp;peakpower=1&amp;loss=14&amp;angle=5&amp;aspect=105&amp;outputformat=json&amp;raddatabase=PVGIS-SARAH3&amp;pvtechchoice=crystSi&amp;mountingplace=free&amp;usehorizon=1</v>
      </c>
    </row>
    <row r="610">
      <c r="A610" t="n">
        <v>5</v>
      </c>
      <c r="B610" t="n">
        <v>300</v>
      </c>
      <c r="C610" t="n">
        <v>1</v>
      </c>
      <c r="D610" s="218" t="n">
        <v>83.63</v>
      </c>
      <c r="E610" s="218" t="n">
        <v>2.7</v>
      </c>
      <c r="F610" t="str">
        <v>https://re.jrc.ec.europa.eu/api/v5_3/PVcalc?lat=30.0444&amp;lon=31.2357&amp;peakpower=1&amp;loss=14&amp;angle=5&amp;aspect=120&amp;outputformat=json&amp;raddatabase=PVGIS-SARAH3&amp;pvtechchoice=crystSi&amp;mountingplace=free&amp;usehorizon=1</v>
      </c>
    </row>
    <row r="611">
      <c r="A611" t="n">
        <v>5</v>
      </c>
      <c r="B611" t="n">
        <v>300</v>
      </c>
      <c r="C611" t="n">
        <v>2</v>
      </c>
      <c r="D611" s="218" t="n">
        <v>94.81</v>
      </c>
      <c r="E611" s="218" t="n">
        <v>3.39</v>
      </c>
      <c r="F611" t="str">
        <v>https://re.jrc.ec.europa.eu/api/v5_3/PVcalc?lat=30.0444&amp;lon=31.2357&amp;peakpower=1&amp;loss=14&amp;angle=5&amp;aspect=120&amp;outputformat=json&amp;raddatabase=PVGIS-SARAH3&amp;pvtechchoice=crystSi&amp;mountingplace=free&amp;usehorizon=1</v>
      </c>
    </row>
    <row r="612">
      <c r="A612" t="n">
        <v>5</v>
      </c>
      <c r="B612" t="n">
        <v>300</v>
      </c>
      <c r="C612" t="n">
        <v>3</v>
      </c>
      <c r="D612" s="218" t="n">
        <v>136.67</v>
      </c>
      <c r="E612" s="218" t="n">
        <v>4.41</v>
      </c>
      <c r="F612" t="str">
        <v>https://re.jrc.ec.europa.eu/api/v5_3/PVcalc?lat=30.0444&amp;lon=31.2357&amp;peakpower=1&amp;loss=14&amp;angle=5&amp;aspect=120&amp;outputformat=json&amp;raddatabase=PVGIS-SARAH3&amp;pvtechchoice=crystSi&amp;mountingplace=free&amp;usehorizon=1</v>
      </c>
    </row>
    <row r="613">
      <c r="A613" t="n">
        <v>5</v>
      </c>
      <c r="B613" t="n">
        <v>300</v>
      </c>
      <c r="C613" t="n">
        <v>4</v>
      </c>
      <c r="D613" s="218" t="n">
        <v>156.57</v>
      </c>
      <c r="E613" s="218" t="n">
        <v>5.22</v>
      </c>
      <c r="F613" t="str">
        <v>https://re.jrc.ec.europa.eu/api/v5_3/PVcalc?lat=30.0444&amp;lon=31.2357&amp;peakpower=1&amp;loss=14&amp;angle=5&amp;aspect=120&amp;outputformat=json&amp;raddatabase=PVGIS-SARAH3&amp;pvtechchoice=crystSi&amp;mountingplace=free&amp;usehorizon=1</v>
      </c>
    </row>
    <row r="614">
      <c r="A614" t="n">
        <v>5</v>
      </c>
      <c r="B614" t="n">
        <v>300</v>
      </c>
      <c r="C614" t="n">
        <v>5</v>
      </c>
      <c r="D614" s="218" t="n">
        <v>175.78</v>
      </c>
      <c r="E614" s="218" t="n">
        <v>5.67</v>
      </c>
      <c r="F614" t="str">
        <v>https://re.jrc.ec.europa.eu/api/v5_3/PVcalc?lat=30.0444&amp;lon=31.2357&amp;peakpower=1&amp;loss=14&amp;angle=5&amp;aspect=120&amp;outputformat=json&amp;raddatabase=PVGIS-SARAH3&amp;pvtechchoice=crystSi&amp;mountingplace=free&amp;usehorizon=1</v>
      </c>
    </row>
    <row r="615">
      <c r="A615" t="n">
        <v>5</v>
      </c>
      <c r="B615" t="n">
        <v>300</v>
      </c>
      <c r="C615" t="n">
        <v>6</v>
      </c>
      <c r="D615" s="218" t="n">
        <v>181.77</v>
      </c>
      <c r="E615" s="218" t="n">
        <v>6.06</v>
      </c>
      <c r="F615" t="str">
        <v>https://re.jrc.ec.europa.eu/api/v5_3/PVcalc?lat=30.0444&amp;lon=31.2357&amp;peakpower=1&amp;loss=14&amp;angle=5&amp;aspect=120&amp;outputformat=json&amp;raddatabase=PVGIS-SARAH3&amp;pvtechchoice=crystSi&amp;mountingplace=free&amp;usehorizon=1</v>
      </c>
    </row>
    <row r="616">
      <c r="A616" t="n">
        <v>5</v>
      </c>
      <c r="B616" t="n">
        <v>300</v>
      </c>
      <c r="C616" t="n">
        <v>7</v>
      </c>
      <c r="D616" s="218" t="n">
        <v>184.3</v>
      </c>
      <c r="E616" s="218" t="n">
        <v>5.95</v>
      </c>
      <c r="F616" t="str">
        <v>https://re.jrc.ec.europa.eu/api/v5_3/PVcalc?lat=30.0444&amp;lon=31.2357&amp;peakpower=1&amp;loss=14&amp;angle=5&amp;aspect=120&amp;outputformat=json&amp;raddatabase=PVGIS-SARAH3&amp;pvtechchoice=crystSi&amp;mountingplace=free&amp;usehorizon=1</v>
      </c>
    </row>
    <row r="617">
      <c r="A617" t="n">
        <v>5</v>
      </c>
      <c r="B617" t="n">
        <v>300</v>
      </c>
      <c r="C617" t="n">
        <v>8</v>
      </c>
      <c r="D617" s="218" t="n">
        <v>170.06</v>
      </c>
      <c r="E617" s="218" t="n">
        <v>5.49</v>
      </c>
      <c r="F617" t="str">
        <v>https://re.jrc.ec.europa.eu/api/v5_3/PVcalc?lat=30.0444&amp;lon=31.2357&amp;peakpower=1&amp;loss=14&amp;angle=5&amp;aspect=120&amp;outputformat=json&amp;raddatabase=PVGIS-SARAH3&amp;pvtechchoice=crystSi&amp;mountingplace=free&amp;usehorizon=1</v>
      </c>
    </row>
    <row r="618">
      <c r="A618" t="n">
        <v>5</v>
      </c>
      <c r="B618" t="n">
        <v>300</v>
      </c>
      <c r="C618" t="n">
        <v>9</v>
      </c>
      <c r="D618" s="218" t="n">
        <v>143.79</v>
      </c>
      <c r="E618" s="218" t="n">
        <v>4.79</v>
      </c>
      <c r="F618" t="str">
        <v>https://re.jrc.ec.europa.eu/api/v5_3/PVcalc?lat=30.0444&amp;lon=31.2357&amp;peakpower=1&amp;loss=14&amp;angle=5&amp;aspect=120&amp;outputformat=json&amp;raddatabase=PVGIS-SARAH3&amp;pvtechchoice=crystSi&amp;mountingplace=free&amp;usehorizon=1</v>
      </c>
    </row>
    <row r="619">
      <c r="A619" t="n">
        <v>5</v>
      </c>
      <c r="B619" t="n">
        <v>300</v>
      </c>
      <c r="C619" t="n">
        <v>10</v>
      </c>
      <c r="D619" s="218" t="n">
        <v>118.1</v>
      </c>
      <c r="E619" s="218" t="n">
        <v>3.81</v>
      </c>
      <c r="F619" t="str">
        <v>https://re.jrc.ec.europa.eu/api/v5_3/PVcalc?lat=30.0444&amp;lon=31.2357&amp;peakpower=1&amp;loss=14&amp;angle=5&amp;aspect=120&amp;outputformat=json&amp;raddatabase=PVGIS-SARAH3&amp;pvtechchoice=crystSi&amp;mountingplace=free&amp;usehorizon=1</v>
      </c>
    </row>
    <row r="620">
      <c r="A620" t="n">
        <v>5</v>
      </c>
      <c r="B620" t="n">
        <v>300</v>
      </c>
      <c r="C620" t="n">
        <v>11</v>
      </c>
      <c r="D620" s="218" t="n">
        <v>89.37</v>
      </c>
      <c r="E620" s="218" t="n">
        <v>2.98</v>
      </c>
      <c r="F620" t="str">
        <v>https://re.jrc.ec.europa.eu/api/v5_3/PVcalc?lat=30.0444&amp;lon=31.2357&amp;peakpower=1&amp;loss=14&amp;angle=5&amp;aspect=120&amp;outputformat=json&amp;raddatabase=PVGIS-SARAH3&amp;pvtechchoice=crystSi&amp;mountingplace=free&amp;usehorizon=1</v>
      </c>
    </row>
    <row r="621">
      <c r="A621" t="n">
        <v>5</v>
      </c>
      <c r="B621" t="n">
        <v>300</v>
      </c>
      <c r="C621" t="n">
        <v>12</v>
      </c>
      <c r="D621" s="218" t="n">
        <v>78.58</v>
      </c>
      <c r="E621" s="218" t="n">
        <v>2.53</v>
      </c>
      <c r="F621" t="str">
        <v>https://re.jrc.ec.europa.eu/api/v5_3/PVcalc?lat=30.0444&amp;lon=31.2357&amp;peakpower=1&amp;loss=14&amp;angle=5&amp;aspect=120&amp;outputformat=json&amp;raddatabase=PVGIS-SARAH3&amp;pvtechchoice=crystSi&amp;mountingplace=free&amp;usehorizon=1</v>
      </c>
    </row>
    <row r="622">
      <c r="A622" t="n">
        <v>5</v>
      </c>
      <c r="B622" t="n">
        <v>315</v>
      </c>
      <c r="C622" t="n">
        <v>1</v>
      </c>
      <c r="D622" s="218" t="n">
        <v>81.67</v>
      </c>
      <c r="E622" s="218" t="n">
        <v>2.63</v>
      </c>
      <c r="F622" t="str">
        <v>https://re.jrc.ec.europa.eu/api/v5_3/PVcalc?lat=30.0444&amp;lon=31.2357&amp;peakpower=1&amp;loss=14&amp;angle=5&amp;aspect=135&amp;outputformat=json&amp;raddatabase=PVGIS-SARAH3&amp;pvtechchoice=crystSi&amp;mountingplace=free&amp;usehorizon=1</v>
      </c>
    </row>
    <row r="623">
      <c r="A623" t="n">
        <v>5</v>
      </c>
      <c r="B623" t="n">
        <v>315</v>
      </c>
      <c r="C623" t="n">
        <v>2</v>
      </c>
      <c r="D623" s="218" t="n">
        <v>93.31</v>
      </c>
      <c r="E623" s="218" t="n">
        <v>3.33</v>
      </c>
      <c r="F623" t="str">
        <v>https://re.jrc.ec.europa.eu/api/v5_3/PVcalc?lat=30.0444&amp;lon=31.2357&amp;peakpower=1&amp;loss=14&amp;angle=5&amp;aspect=135&amp;outputformat=json&amp;raddatabase=PVGIS-SARAH3&amp;pvtechchoice=crystSi&amp;mountingplace=free&amp;usehorizon=1</v>
      </c>
    </row>
    <row r="624">
      <c r="A624" t="n">
        <v>5</v>
      </c>
      <c r="B624" t="n">
        <v>315</v>
      </c>
      <c r="C624" t="n">
        <v>3</v>
      </c>
      <c r="D624" s="218" t="n">
        <v>135.31</v>
      </c>
      <c r="E624" s="218" t="n">
        <v>4.36</v>
      </c>
      <c r="F624" t="str">
        <v>https://re.jrc.ec.europa.eu/api/v5_3/PVcalc?lat=30.0444&amp;lon=31.2357&amp;peakpower=1&amp;loss=14&amp;angle=5&amp;aspect=135&amp;outputformat=json&amp;raddatabase=PVGIS-SARAH3&amp;pvtechchoice=crystSi&amp;mountingplace=free&amp;usehorizon=1</v>
      </c>
    </row>
    <row r="625">
      <c r="A625" t="n">
        <v>5</v>
      </c>
      <c r="B625" t="n">
        <v>315</v>
      </c>
      <c r="C625" t="n">
        <v>4</v>
      </c>
      <c r="D625" s="218" t="n">
        <v>155.83</v>
      </c>
      <c r="E625" s="218" t="n">
        <v>5.19</v>
      </c>
      <c r="F625" t="str">
        <v>https://re.jrc.ec.europa.eu/api/v5_3/PVcalc?lat=30.0444&amp;lon=31.2357&amp;peakpower=1&amp;loss=14&amp;angle=5&amp;aspect=135&amp;outputformat=json&amp;raddatabase=PVGIS-SARAH3&amp;pvtechchoice=crystSi&amp;mountingplace=free&amp;usehorizon=1</v>
      </c>
    </row>
    <row r="626">
      <c r="A626" t="n">
        <v>5</v>
      </c>
      <c r="B626" t="n">
        <v>315</v>
      </c>
      <c r="C626" t="n">
        <v>5</v>
      </c>
      <c r="D626" s="218" t="n">
        <v>175.59</v>
      </c>
      <c r="E626" s="218" t="n">
        <v>5.66</v>
      </c>
      <c r="F626" t="str">
        <v>https://re.jrc.ec.europa.eu/api/v5_3/PVcalc?lat=30.0444&amp;lon=31.2357&amp;peakpower=1&amp;loss=14&amp;angle=5&amp;aspect=135&amp;outputformat=json&amp;raddatabase=PVGIS-SARAH3&amp;pvtechchoice=crystSi&amp;mountingplace=free&amp;usehorizon=1</v>
      </c>
    </row>
    <row r="627">
      <c r="A627" t="n">
        <v>5</v>
      </c>
      <c r="B627" t="n">
        <v>315</v>
      </c>
      <c r="C627" t="n">
        <v>6</v>
      </c>
      <c r="D627" s="218" t="n">
        <v>181.81</v>
      </c>
      <c r="E627" s="218" t="n">
        <v>6.06</v>
      </c>
      <c r="F627" t="str">
        <v>https://re.jrc.ec.europa.eu/api/v5_3/PVcalc?lat=30.0444&amp;lon=31.2357&amp;peakpower=1&amp;loss=14&amp;angle=5&amp;aspect=135&amp;outputformat=json&amp;raddatabase=PVGIS-SARAH3&amp;pvtechchoice=crystSi&amp;mountingplace=free&amp;usehorizon=1</v>
      </c>
    </row>
    <row r="628">
      <c r="A628" t="n">
        <v>5</v>
      </c>
      <c r="B628" t="n">
        <v>315</v>
      </c>
      <c r="C628" t="n">
        <v>7</v>
      </c>
      <c r="D628" s="218" t="n">
        <v>184.13</v>
      </c>
      <c r="E628" s="218" t="n">
        <v>5.94</v>
      </c>
      <c r="F628" t="str">
        <v>https://re.jrc.ec.europa.eu/api/v5_3/PVcalc?lat=30.0444&amp;lon=31.2357&amp;peakpower=1&amp;loss=14&amp;angle=5&amp;aspect=135&amp;outputformat=json&amp;raddatabase=PVGIS-SARAH3&amp;pvtechchoice=crystSi&amp;mountingplace=free&amp;usehorizon=1</v>
      </c>
    </row>
    <row r="629">
      <c r="A629" t="n">
        <v>5</v>
      </c>
      <c r="B629" t="n">
        <v>315</v>
      </c>
      <c r="C629" t="n">
        <v>8</v>
      </c>
      <c r="D629" s="218" t="n">
        <v>169.42</v>
      </c>
      <c r="E629" s="218" t="n">
        <v>5.47</v>
      </c>
      <c r="F629" t="str">
        <v>https://re.jrc.ec.europa.eu/api/v5_3/PVcalc?lat=30.0444&amp;lon=31.2357&amp;peakpower=1&amp;loss=14&amp;angle=5&amp;aspect=135&amp;outputformat=json&amp;raddatabase=PVGIS-SARAH3&amp;pvtechchoice=crystSi&amp;mountingplace=free&amp;usehorizon=1</v>
      </c>
    </row>
    <row r="630">
      <c r="A630" t="n">
        <v>5</v>
      </c>
      <c r="B630" t="n">
        <v>315</v>
      </c>
      <c r="C630" t="n">
        <v>9</v>
      </c>
      <c r="D630" s="218" t="n">
        <v>142.55</v>
      </c>
      <c r="E630" s="218" t="n">
        <v>4.75</v>
      </c>
      <c r="F630" t="str">
        <v>https://re.jrc.ec.europa.eu/api/v5_3/PVcalc?lat=30.0444&amp;lon=31.2357&amp;peakpower=1&amp;loss=14&amp;angle=5&amp;aspect=135&amp;outputformat=json&amp;raddatabase=PVGIS-SARAH3&amp;pvtechchoice=crystSi&amp;mountingplace=free&amp;usehorizon=1</v>
      </c>
    </row>
    <row r="631">
      <c r="A631" t="n">
        <v>5</v>
      </c>
      <c r="B631" t="n">
        <v>315</v>
      </c>
      <c r="C631" t="n">
        <v>10</v>
      </c>
      <c r="D631" s="218" t="n">
        <v>116.38</v>
      </c>
      <c r="E631" s="218" t="n">
        <v>3.75</v>
      </c>
      <c r="F631" t="str">
        <v>https://re.jrc.ec.europa.eu/api/v5_3/PVcalc?lat=30.0444&amp;lon=31.2357&amp;peakpower=1&amp;loss=14&amp;angle=5&amp;aspect=135&amp;outputformat=json&amp;raddatabase=PVGIS-SARAH3&amp;pvtechchoice=crystSi&amp;mountingplace=free&amp;usehorizon=1</v>
      </c>
    </row>
    <row r="632">
      <c r="A632" t="n">
        <v>5</v>
      </c>
      <c r="B632" t="n">
        <v>315</v>
      </c>
      <c r="C632" t="n">
        <v>11</v>
      </c>
      <c r="D632" s="218" t="n">
        <v>87.38</v>
      </c>
      <c r="E632" s="218" t="n">
        <v>2.91</v>
      </c>
      <c r="F632" t="str">
        <v>https://re.jrc.ec.europa.eu/api/v5_3/PVcalc?lat=30.0444&amp;lon=31.2357&amp;peakpower=1&amp;loss=14&amp;angle=5&amp;aspect=135&amp;outputformat=json&amp;raddatabase=PVGIS-SARAH3&amp;pvtechchoice=crystSi&amp;mountingplace=free&amp;usehorizon=1</v>
      </c>
    </row>
    <row r="633">
      <c r="A633" t="n">
        <v>5</v>
      </c>
      <c r="B633" t="n">
        <v>315</v>
      </c>
      <c r="C633" t="n">
        <v>12</v>
      </c>
      <c r="D633" s="218" t="n">
        <v>76.48</v>
      </c>
      <c r="E633" s="218" t="n">
        <v>2.47</v>
      </c>
      <c r="F633" t="str">
        <v>https://re.jrc.ec.europa.eu/api/v5_3/PVcalc?lat=30.0444&amp;lon=31.2357&amp;peakpower=1&amp;loss=14&amp;angle=5&amp;aspect=135&amp;outputformat=json&amp;raddatabase=PVGIS-SARAH3&amp;pvtechchoice=crystSi&amp;mountingplace=free&amp;usehorizon=1</v>
      </c>
    </row>
    <row r="634">
      <c r="A634" t="n">
        <v>5</v>
      </c>
      <c r="B634" t="n">
        <v>330</v>
      </c>
      <c r="C634" t="n">
        <v>1</v>
      </c>
      <c r="D634" s="218" t="n">
        <v>80.19</v>
      </c>
      <c r="E634" s="218" t="n">
        <v>2.59</v>
      </c>
      <c r="F634" t="str">
        <v>https://re.jrc.ec.europa.eu/api/v5_3/PVcalc?lat=30.0444&amp;lon=31.2357&amp;peakpower=1&amp;loss=14&amp;angle=5&amp;aspect=150&amp;outputformat=json&amp;raddatabase=PVGIS-SARAH3&amp;pvtechchoice=crystSi&amp;mountingplace=free&amp;usehorizon=1</v>
      </c>
    </row>
    <row r="635">
      <c r="A635" t="n">
        <v>5</v>
      </c>
      <c r="B635" t="n">
        <v>330</v>
      </c>
      <c r="C635" t="n">
        <v>2</v>
      </c>
      <c r="D635" s="218" t="n">
        <v>92.17</v>
      </c>
      <c r="E635" s="218" t="n">
        <v>3.29</v>
      </c>
      <c r="F635" t="str">
        <v>https://re.jrc.ec.europa.eu/api/v5_3/PVcalc?lat=30.0444&amp;lon=31.2357&amp;peakpower=1&amp;loss=14&amp;angle=5&amp;aspect=150&amp;outputformat=json&amp;raddatabase=PVGIS-SARAH3&amp;pvtechchoice=crystSi&amp;mountingplace=free&amp;usehorizon=1</v>
      </c>
    </row>
    <row r="636">
      <c r="A636" t="n">
        <v>5</v>
      </c>
      <c r="B636" t="n">
        <v>330</v>
      </c>
      <c r="C636" t="n">
        <v>3</v>
      </c>
      <c r="D636" s="218" t="n">
        <v>134.22</v>
      </c>
      <c r="E636" s="218" t="n">
        <v>4.33</v>
      </c>
      <c r="F636" t="str">
        <v>https://re.jrc.ec.europa.eu/api/v5_3/PVcalc?lat=30.0444&amp;lon=31.2357&amp;peakpower=1&amp;loss=14&amp;angle=5&amp;aspect=150&amp;outputformat=json&amp;raddatabase=PVGIS-SARAH3&amp;pvtechchoice=crystSi&amp;mountingplace=free&amp;usehorizon=1</v>
      </c>
    </row>
    <row r="637">
      <c r="A637" t="n">
        <v>5</v>
      </c>
      <c r="B637" t="n">
        <v>330</v>
      </c>
      <c r="C637" t="n">
        <v>4</v>
      </c>
      <c r="D637" s="218" t="n">
        <v>155.21</v>
      </c>
      <c r="E637" s="218" t="n">
        <v>5.17</v>
      </c>
      <c r="F637" t="str">
        <v>https://re.jrc.ec.europa.eu/api/v5_3/PVcalc?lat=30.0444&amp;lon=31.2357&amp;peakpower=1&amp;loss=14&amp;angle=5&amp;aspect=150&amp;outputformat=json&amp;raddatabase=PVGIS-SARAH3&amp;pvtechchoice=crystSi&amp;mountingplace=free&amp;usehorizon=1</v>
      </c>
    </row>
    <row r="638">
      <c r="A638" t="n">
        <v>5</v>
      </c>
      <c r="B638" t="n">
        <v>330</v>
      </c>
      <c r="C638" t="n">
        <v>5</v>
      </c>
      <c r="D638" s="218" t="n">
        <v>175.4</v>
      </c>
      <c r="E638" s="218" t="n">
        <v>5.66</v>
      </c>
      <c r="F638" t="str">
        <v>https://re.jrc.ec.europa.eu/api/v5_3/PVcalc?lat=30.0444&amp;lon=31.2357&amp;peakpower=1&amp;loss=14&amp;angle=5&amp;aspect=150&amp;outputformat=json&amp;raddatabase=PVGIS-SARAH3&amp;pvtechchoice=crystSi&amp;mountingplace=free&amp;usehorizon=1</v>
      </c>
    </row>
    <row r="639">
      <c r="A639" t="n">
        <v>5</v>
      </c>
      <c r="B639" t="n">
        <v>330</v>
      </c>
      <c r="C639" t="n">
        <v>6</v>
      </c>
      <c r="D639" s="218" t="n">
        <v>181.75</v>
      </c>
      <c r="E639" s="218" t="n">
        <v>6.06</v>
      </c>
      <c r="F639" t="str">
        <v>https://re.jrc.ec.europa.eu/api/v5_3/PVcalc?lat=30.0444&amp;lon=31.2357&amp;peakpower=1&amp;loss=14&amp;angle=5&amp;aspect=150&amp;outputformat=json&amp;raddatabase=PVGIS-SARAH3&amp;pvtechchoice=crystSi&amp;mountingplace=free&amp;usehorizon=1</v>
      </c>
    </row>
    <row r="640">
      <c r="A640" t="n">
        <v>5</v>
      </c>
      <c r="B640" t="n">
        <v>330</v>
      </c>
      <c r="C640" t="n">
        <v>7</v>
      </c>
      <c r="D640" s="218" t="n">
        <v>183.88</v>
      </c>
      <c r="E640" s="218" t="n">
        <v>5.93</v>
      </c>
      <c r="F640" t="str">
        <v>https://re.jrc.ec.europa.eu/api/v5_3/PVcalc?lat=30.0444&amp;lon=31.2357&amp;peakpower=1&amp;loss=14&amp;angle=5&amp;aspect=150&amp;outputformat=json&amp;raddatabase=PVGIS-SARAH3&amp;pvtechchoice=crystSi&amp;mountingplace=free&amp;usehorizon=1</v>
      </c>
    </row>
    <row r="641">
      <c r="A641" t="n">
        <v>5</v>
      </c>
      <c r="B641" t="n">
        <v>330</v>
      </c>
      <c r="C641" t="n">
        <v>8</v>
      </c>
      <c r="D641" s="218" t="n">
        <v>168.83</v>
      </c>
      <c r="E641" s="218" t="n">
        <v>5.45</v>
      </c>
      <c r="F641" t="str">
        <v>https://re.jrc.ec.europa.eu/api/v5_3/PVcalc?lat=30.0444&amp;lon=31.2357&amp;peakpower=1&amp;loss=14&amp;angle=5&amp;aspect=150&amp;outputformat=json&amp;raddatabase=PVGIS-SARAH3&amp;pvtechchoice=crystSi&amp;mountingplace=free&amp;usehorizon=1</v>
      </c>
    </row>
    <row r="642">
      <c r="A642" t="n">
        <v>5</v>
      </c>
      <c r="B642" t="n">
        <v>330</v>
      </c>
      <c r="C642" t="n">
        <v>9</v>
      </c>
      <c r="D642" s="218" t="n">
        <v>141.51</v>
      </c>
      <c r="E642" s="218" t="n">
        <v>4.72</v>
      </c>
      <c r="F642" t="str">
        <v>https://re.jrc.ec.europa.eu/api/v5_3/PVcalc?lat=30.0444&amp;lon=31.2357&amp;peakpower=1&amp;loss=14&amp;angle=5&amp;aspect=150&amp;outputformat=json&amp;raddatabase=PVGIS-SARAH3&amp;pvtechchoice=crystSi&amp;mountingplace=free&amp;usehorizon=1</v>
      </c>
    </row>
    <row r="643">
      <c r="A643" t="n">
        <v>5</v>
      </c>
      <c r="B643" t="n">
        <v>330</v>
      </c>
      <c r="C643" t="n">
        <v>10</v>
      </c>
      <c r="D643" s="218" t="n">
        <v>115.05</v>
      </c>
      <c r="E643" s="218" t="n">
        <v>3.71</v>
      </c>
      <c r="F643" t="str">
        <v>https://re.jrc.ec.europa.eu/api/v5_3/PVcalc?lat=30.0444&amp;lon=31.2357&amp;peakpower=1&amp;loss=14&amp;angle=5&amp;aspect=150&amp;outputformat=json&amp;raddatabase=PVGIS-SARAH3&amp;pvtechchoice=crystSi&amp;mountingplace=free&amp;usehorizon=1</v>
      </c>
    </row>
    <row r="644">
      <c r="A644" t="n">
        <v>5</v>
      </c>
      <c r="B644" t="n">
        <v>330</v>
      </c>
      <c r="C644" t="n">
        <v>11</v>
      </c>
      <c r="D644" s="218" t="n">
        <v>85.85</v>
      </c>
      <c r="E644" s="218" t="n">
        <v>2.86</v>
      </c>
      <c r="F644" t="str">
        <v>https://re.jrc.ec.europa.eu/api/v5_3/PVcalc?lat=30.0444&amp;lon=31.2357&amp;peakpower=1&amp;loss=14&amp;angle=5&amp;aspect=150&amp;outputformat=json&amp;raddatabase=PVGIS-SARAH3&amp;pvtechchoice=crystSi&amp;mountingplace=free&amp;usehorizon=1</v>
      </c>
    </row>
    <row r="645">
      <c r="A645" t="n">
        <v>5</v>
      </c>
      <c r="B645" t="n">
        <v>330</v>
      </c>
      <c r="C645" t="n">
        <v>12</v>
      </c>
      <c r="D645" s="218" t="n">
        <v>74.85</v>
      </c>
      <c r="E645" s="218" t="n">
        <v>2.41</v>
      </c>
      <c r="F645" t="str">
        <v>https://re.jrc.ec.europa.eu/api/v5_3/PVcalc?lat=30.0444&amp;lon=31.2357&amp;peakpower=1&amp;loss=14&amp;angle=5&amp;aspect=150&amp;outputformat=json&amp;raddatabase=PVGIS-SARAH3&amp;pvtechchoice=crystSi&amp;mountingplace=free&amp;usehorizon=1</v>
      </c>
    </row>
    <row r="646">
      <c r="A646" t="n">
        <v>5</v>
      </c>
      <c r="B646" t="n">
        <v>345</v>
      </c>
      <c r="C646" t="n">
        <v>1</v>
      </c>
      <c r="D646" s="218" t="n">
        <v>79.27</v>
      </c>
      <c r="E646" s="218" t="n">
        <v>2.56</v>
      </c>
      <c r="F646" t="str">
        <v>https://re.jrc.ec.europa.eu/api/v5_3/PVcalc?lat=30.0444&amp;lon=31.2357&amp;peakpower=1&amp;loss=14&amp;angle=5&amp;aspect=165&amp;outputformat=json&amp;raddatabase=PVGIS-SARAH3&amp;pvtechchoice=crystSi&amp;mountingplace=free&amp;usehorizon=1</v>
      </c>
    </row>
    <row r="647">
      <c r="A647" t="n">
        <v>5</v>
      </c>
      <c r="B647" t="n">
        <v>345</v>
      </c>
      <c r="C647" t="n">
        <v>2</v>
      </c>
      <c r="D647" s="218" t="n">
        <v>91.49</v>
      </c>
      <c r="E647" s="218" t="n">
        <v>3.27</v>
      </c>
      <c r="F647" t="str">
        <v>https://re.jrc.ec.europa.eu/api/v5_3/PVcalc?lat=30.0444&amp;lon=31.2357&amp;peakpower=1&amp;loss=14&amp;angle=5&amp;aspect=165&amp;outputformat=json&amp;raddatabase=PVGIS-SARAH3&amp;pvtechchoice=crystSi&amp;mountingplace=free&amp;usehorizon=1</v>
      </c>
    </row>
    <row r="648">
      <c r="A648" t="n">
        <v>5</v>
      </c>
      <c r="B648" t="n">
        <v>345</v>
      </c>
      <c r="C648" t="n">
        <v>3</v>
      </c>
      <c r="D648" s="218" t="n">
        <v>133.49</v>
      </c>
      <c r="E648" s="218" t="n">
        <v>4.31</v>
      </c>
      <c r="F648" t="str">
        <v>https://re.jrc.ec.europa.eu/api/v5_3/PVcalc?lat=30.0444&amp;lon=31.2357&amp;peakpower=1&amp;loss=14&amp;angle=5&amp;aspect=165&amp;outputformat=json&amp;raddatabase=PVGIS-SARAH3&amp;pvtechchoice=crystSi&amp;mountingplace=free&amp;usehorizon=1</v>
      </c>
    </row>
    <row r="649">
      <c r="A649" t="n">
        <v>5</v>
      </c>
      <c r="B649" t="n">
        <v>345</v>
      </c>
      <c r="C649" t="n">
        <v>4</v>
      </c>
      <c r="D649" s="218" t="n">
        <v>154.76</v>
      </c>
      <c r="E649" s="218" t="n">
        <v>5.16</v>
      </c>
      <c r="F649" t="str">
        <v>https://re.jrc.ec.europa.eu/api/v5_3/PVcalc?lat=30.0444&amp;lon=31.2357&amp;peakpower=1&amp;loss=14&amp;angle=5&amp;aspect=165&amp;outputformat=json&amp;raddatabase=PVGIS-SARAH3&amp;pvtechchoice=crystSi&amp;mountingplace=free&amp;usehorizon=1</v>
      </c>
    </row>
    <row r="650">
      <c r="A650" t="n">
        <v>5</v>
      </c>
      <c r="B650" t="n">
        <v>345</v>
      </c>
      <c r="C650" t="n">
        <v>5</v>
      </c>
      <c r="D650" s="218" t="n">
        <v>175.23</v>
      </c>
      <c r="E650" s="218" t="n">
        <v>5.65</v>
      </c>
      <c r="F650" t="str">
        <v>https://re.jrc.ec.europa.eu/api/v5_3/PVcalc?lat=30.0444&amp;lon=31.2357&amp;peakpower=1&amp;loss=14&amp;angle=5&amp;aspect=165&amp;outputformat=json&amp;raddatabase=PVGIS-SARAH3&amp;pvtechchoice=crystSi&amp;mountingplace=free&amp;usehorizon=1</v>
      </c>
    </row>
    <row r="651">
      <c r="A651" t="n">
        <v>5</v>
      </c>
      <c r="B651" t="n">
        <v>345</v>
      </c>
      <c r="C651" t="n">
        <v>6</v>
      </c>
      <c r="D651" s="218" t="n">
        <v>181.6</v>
      </c>
      <c r="E651" s="218" t="n">
        <v>6.05</v>
      </c>
      <c r="F651" t="str">
        <v>https://re.jrc.ec.europa.eu/api/v5_3/PVcalc?lat=30.0444&amp;lon=31.2357&amp;peakpower=1&amp;loss=14&amp;angle=5&amp;aspect=165&amp;outputformat=json&amp;raddatabase=PVGIS-SARAH3&amp;pvtechchoice=crystSi&amp;mountingplace=free&amp;usehorizon=1</v>
      </c>
    </row>
    <row r="652">
      <c r="A652" t="n">
        <v>5</v>
      </c>
      <c r="B652" t="n">
        <v>345</v>
      </c>
      <c r="C652" t="n">
        <v>7</v>
      </c>
      <c r="D652" s="218" t="n">
        <v>183.56</v>
      </c>
      <c r="E652" s="218" t="n">
        <v>5.92</v>
      </c>
      <c r="F652" t="str">
        <v>https://re.jrc.ec.europa.eu/api/v5_3/PVcalc?lat=30.0444&amp;lon=31.2357&amp;peakpower=1&amp;loss=14&amp;angle=5&amp;aspect=165&amp;outputformat=json&amp;raddatabase=PVGIS-SARAH3&amp;pvtechchoice=crystSi&amp;mountingplace=free&amp;usehorizon=1</v>
      </c>
    </row>
    <row r="653">
      <c r="A653" t="n">
        <v>5</v>
      </c>
      <c r="B653" t="n">
        <v>345</v>
      </c>
      <c r="C653" t="n">
        <v>8</v>
      </c>
      <c r="D653" s="218" t="n">
        <v>168.33</v>
      </c>
      <c r="E653" s="218" t="n">
        <v>5.43</v>
      </c>
      <c r="F653" t="str">
        <v>https://re.jrc.ec.europa.eu/api/v5_3/PVcalc?lat=30.0444&amp;lon=31.2357&amp;peakpower=1&amp;loss=14&amp;angle=5&amp;aspect=165&amp;outputformat=json&amp;raddatabase=PVGIS-SARAH3&amp;pvtechchoice=crystSi&amp;mountingplace=free&amp;usehorizon=1</v>
      </c>
    </row>
    <row r="654">
      <c r="A654" t="n">
        <v>5</v>
      </c>
      <c r="B654" t="n">
        <v>345</v>
      </c>
      <c r="C654" t="n">
        <v>9</v>
      </c>
      <c r="D654" s="218" t="n">
        <v>140.75</v>
      </c>
      <c r="E654" s="218" t="n">
        <v>4.69</v>
      </c>
      <c r="F654" t="str">
        <v>https://re.jrc.ec.europa.eu/api/v5_3/PVcalc?lat=30.0444&amp;lon=31.2357&amp;peakpower=1&amp;loss=14&amp;angle=5&amp;aspect=165&amp;outputformat=json&amp;raddatabase=PVGIS-SARAH3&amp;pvtechchoice=crystSi&amp;mountingplace=free&amp;usehorizon=1</v>
      </c>
    </row>
    <row r="655">
      <c r="A655" t="n">
        <v>5</v>
      </c>
      <c r="B655" t="n">
        <v>345</v>
      </c>
      <c r="C655" t="n">
        <v>10</v>
      </c>
      <c r="D655" s="218" t="n">
        <v>114.18</v>
      </c>
      <c r="E655" s="218" t="n">
        <v>3.68</v>
      </c>
      <c r="F655" t="str">
        <v>https://re.jrc.ec.europa.eu/api/v5_3/PVcalc?lat=30.0444&amp;lon=31.2357&amp;peakpower=1&amp;loss=14&amp;angle=5&amp;aspect=165&amp;outputformat=json&amp;raddatabase=PVGIS-SARAH3&amp;pvtechchoice=crystSi&amp;mountingplace=free&amp;usehorizon=1</v>
      </c>
    </row>
    <row r="656">
      <c r="A656" t="n">
        <v>5</v>
      </c>
      <c r="B656" t="n">
        <v>345</v>
      </c>
      <c r="C656" t="n">
        <v>11</v>
      </c>
      <c r="D656" s="218" t="n">
        <v>84.89</v>
      </c>
      <c r="E656" s="218" t="n">
        <v>2.83</v>
      </c>
      <c r="F656" t="str">
        <v>https://re.jrc.ec.europa.eu/api/v5_3/PVcalc?lat=30.0444&amp;lon=31.2357&amp;peakpower=1&amp;loss=14&amp;angle=5&amp;aspect=165&amp;outputformat=json&amp;raddatabase=PVGIS-SARAH3&amp;pvtechchoice=crystSi&amp;mountingplace=free&amp;usehorizon=1</v>
      </c>
    </row>
    <row r="657">
      <c r="A657" t="n">
        <v>5</v>
      </c>
      <c r="B657" t="n">
        <v>345</v>
      </c>
      <c r="C657" t="n">
        <v>12</v>
      </c>
      <c r="D657" s="218" t="n">
        <v>73.85</v>
      </c>
      <c r="E657" s="218" t="n">
        <v>2.38</v>
      </c>
      <c r="F657" t="str">
        <v>https://re.jrc.ec.europa.eu/api/v5_3/PVcalc?lat=30.0444&amp;lon=31.2357&amp;peakpower=1&amp;loss=14&amp;angle=5&amp;aspect=165&amp;outputformat=json&amp;raddatabase=PVGIS-SARAH3&amp;pvtechchoice=crystSi&amp;mountingplace=free&amp;usehorizon=1</v>
      </c>
    </row>
    <row r="658">
      <c r="A658" t="n">
        <v>5</v>
      </c>
      <c r="B658" t="n">
        <v>360</v>
      </c>
      <c r="C658" t="n">
        <v>1</v>
      </c>
      <c r="D658" s="218" t="n">
        <v>79.01</v>
      </c>
      <c r="E658" s="218" t="n">
        <v>2.55</v>
      </c>
      <c r="F658" t="str">
        <v>https://re.jrc.ec.europa.eu/api/v5_3/PVcalc?lat=30.0444&amp;lon=31.2357&amp;peakpower=1&amp;loss=14&amp;angle=5&amp;aspect=180&amp;outputformat=json&amp;raddatabase=PVGIS-SARAH3&amp;pvtechchoice=crystSi&amp;mountingplace=free&amp;usehorizon=1</v>
      </c>
    </row>
    <row r="659">
      <c r="A659" t="n">
        <v>5</v>
      </c>
      <c r="B659" t="n">
        <v>360</v>
      </c>
      <c r="C659" t="n">
        <v>2</v>
      </c>
      <c r="D659" s="218" t="n">
        <v>91.33</v>
      </c>
      <c r="E659" s="218" t="n">
        <v>3.26</v>
      </c>
      <c r="F659" t="str">
        <v>https://re.jrc.ec.europa.eu/api/v5_3/PVcalc?lat=30.0444&amp;lon=31.2357&amp;peakpower=1&amp;loss=14&amp;angle=5&amp;aspect=180&amp;outputformat=json&amp;raddatabase=PVGIS-SARAH3&amp;pvtechchoice=crystSi&amp;mountingplace=free&amp;usehorizon=1</v>
      </c>
    </row>
    <row r="660">
      <c r="A660" t="n">
        <v>5</v>
      </c>
      <c r="B660" t="n">
        <v>360</v>
      </c>
      <c r="C660" t="n">
        <v>3</v>
      </c>
      <c r="D660" s="218" t="n">
        <v>133.17</v>
      </c>
      <c r="E660" s="218" t="n">
        <v>4.3</v>
      </c>
      <c r="F660" t="str">
        <v>https://re.jrc.ec.europa.eu/api/v5_3/PVcalc?lat=30.0444&amp;lon=31.2357&amp;peakpower=1&amp;loss=14&amp;angle=5&amp;aspect=180&amp;outputformat=json&amp;raddatabase=PVGIS-SARAH3&amp;pvtechchoice=crystSi&amp;mountingplace=free&amp;usehorizon=1</v>
      </c>
    </row>
    <row r="661">
      <c r="A661" t="n">
        <v>5</v>
      </c>
      <c r="B661" t="n">
        <v>360</v>
      </c>
      <c r="C661" t="n">
        <v>4</v>
      </c>
      <c r="D661" s="218" t="n">
        <v>154.49</v>
      </c>
      <c r="E661" s="218" t="n">
        <v>5.15</v>
      </c>
      <c r="F661" t="str">
        <v>https://re.jrc.ec.europa.eu/api/v5_3/PVcalc?lat=30.0444&amp;lon=31.2357&amp;peakpower=1&amp;loss=14&amp;angle=5&amp;aspect=180&amp;outputformat=json&amp;raddatabase=PVGIS-SARAH3&amp;pvtechchoice=crystSi&amp;mountingplace=free&amp;usehorizon=1</v>
      </c>
    </row>
    <row r="662">
      <c r="A662" t="n">
        <v>5</v>
      </c>
      <c r="B662" t="n">
        <v>360</v>
      </c>
      <c r="C662" t="n">
        <v>5</v>
      </c>
      <c r="D662" s="218" t="n">
        <v>175.07</v>
      </c>
      <c r="E662" s="218" t="n">
        <v>5.65</v>
      </c>
      <c r="F662" t="str">
        <v>https://re.jrc.ec.europa.eu/api/v5_3/PVcalc?lat=30.0444&amp;lon=31.2357&amp;peakpower=1&amp;loss=14&amp;angle=5&amp;aspect=180&amp;outputformat=json&amp;raddatabase=PVGIS-SARAH3&amp;pvtechchoice=crystSi&amp;mountingplace=free&amp;usehorizon=1</v>
      </c>
    </row>
    <row r="663">
      <c r="A663" t="n">
        <v>5</v>
      </c>
      <c r="B663" t="n">
        <v>360</v>
      </c>
      <c r="C663" t="n">
        <v>6</v>
      </c>
      <c r="D663" s="218" t="n">
        <v>181.34</v>
      </c>
      <c r="E663" s="218" t="n">
        <v>6.04</v>
      </c>
      <c r="F663" t="str">
        <v>https://re.jrc.ec.europa.eu/api/v5_3/PVcalc?lat=30.0444&amp;lon=31.2357&amp;peakpower=1&amp;loss=14&amp;angle=5&amp;aspect=180&amp;outputformat=json&amp;raddatabase=PVGIS-SARAH3&amp;pvtechchoice=crystSi&amp;mountingplace=free&amp;usehorizon=1</v>
      </c>
    </row>
    <row r="664">
      <c r="A664" t="n">
        <v>5</v>
      </c>
      <c r="B664" t="n">
        <v>360</v>
      </c>
      <c r="C664" t="n">
        <v>7</v>
      </c>
      <c r="D664" s="218" t="n">
        <v>183.17</v>
      </c>
      <c r="E664" s="218" t="n">
        <v>5.91</v>
      </c>
      <c r="F664" t="str">
        <v>https://re.jrc.ec.europa.eu/api/v5_3/PVcalc?lat=30.0444&amp;lon=31.2357&amp;peakpower=1&amp;loss=14&amp;angle=5&amp;aspect=180&amp;outputformat=json&amp;raddatabase=PVGIS-SARAH3&amp;pvtechchoice=crystSi&amp;mountingplace=free&amp;usehorizon=1</v>
      </c>
    </row>
    <row r="665">
      <c r="A665" t="n">
        <v>5</v>
      </c>
      <c r="B665" t="n">
        <v>360</v>
      </c>
      <c r="C665" t="n">
        <v>8</v>
      </c>
      <c r="D665" s="218" t="n">
        <v>167.93</v>
      </c>
      <c r="E665" s="218" t="n">
        <v>5.42</v>
      </c>
      <c r="F665" t="str">
        <v>https://re.jrc.ec.europa.eu/api/v5_3/PVcalc?lat=30.0444&amp;lon=31.2357&amp;peakpower=1&amp;loss=14&amp;angle=5&amp;aspect=180&amp;outputformat=json&amp;raddatabase=PVGIS-SARAH3&amp;pvtechchoice=crystSi&amp;mountingplace=free&amp;usehorizon=1</v>
      </c>
    </row>
    <row r="666">
      <c r="A666" t="n">
        <v>5</v>
      </c>
      <c r="B666" t="n">
        <v>360</v>
      </c>
      <c r="C666" t="n">
        <v>9</v>
      </c>
      <c r="D666" s="218" t="n">
        <v>140.3</v>
      </c>
      <c r="E666" s="218" t="n">
        <v>4.68</v>
      </c>
      <c r="F666" t="str">
        <v>https://re.jrc.ec.europa.eu/api/v5_3/PVcalc?lat=30.0444&amp;lon=31.2357&amp;peakpower=1&amp;loss=14&amp;angle=5&amp;aspect=180&amp;outputformat=json&amp;raddatabase=PVGIS-SARAH3&amp;pvtechchoice=crystSi&amp;mountingplace=free&amp;usehorizon=1</v>
      </c>
    </row>
    <row r="667">
      <c r="A667" t="n">
        <v>5</v>
      </c>
      <c r="B667" t="n">
        <v>360</v>
      </c>
      <c r="C667" t="n">
        <v>10</v>
      </c>
      <c r="D667" s="218" t="n">
        <v>113.85</v>
      </c>
      <c r="E667" s="218" t="n">
        <v>3.67</v>
      </c>
      <c r="F667" t="str">
        <v>https://re.jrc.ec.europa.eu/api/v5_3/PVcalc?lat=30.0444&amp;lon=31.2357&amp;peakpower=1&amp;loss=14&amp;angle=5&amp;aspect=180&amp;outputformat=json&amp;raddatabase=PVGIS-SARAH3&amp;pvtechchoice=crystSi&amp;mountingplace=free&amp;usehorizon=1</v>
      </c>
    </row>
    <row r="668">
      <c r="A668" t="n">
        <v>5</v>
      </c>
      <c r="B668" t="n">
        <v>360</v>
      </c>
      <c r="C668" t="n">
        <v>11</v>
      </c>
      <c r="D668" s="218" t="n">
        <v>84.58</v>
      </c>
      <c r="E668" s="218" t="n">
        <v>2.82</v>
      </c>
      <c r="F668" t="str">
        <v>https://re.jrc.ec.europa.eu/api/v5_3/PVcalc?lat=30.0444&amp;lon=31.2357&amp;peakpower=1&amp;loss=14&amp;angle=5&amp;aspect=180&amp;outputformat=json&amp;raddatabase=PVGIS-SARAH3&amp;pvtechchoice=crystSi&amp;mountingplace=free&amp;usehorizon=1</v>
      </c>
    </row>
    <row r="669">
      <c r="A669" t="n">
        <v>5</v>
      </c>
      <c r="B669" t="n">
        <v>360</v>
      </c>
      <c r="C669" t="n">
        <v>12</v>
      </c>
      <c r="D669" s="218" t="n">
        <v>73.55</v>
      </c>
      <c r="E669" s="218" t="n">
        <v>2.37</v>
      </c>
      <c r="F669" t="str">
        <v>https://re.jrc.ec.europa.eu/api/v5_3/PVcalc?lat=30.0444&amp;lon=31.2357&amp;peakpower=1&amp;loss=14&amp;angle=5&amp;aspect=180&amp;outputformat=json&amp;raddatabase=PVGIS-SARAH3&amp;pvtechchoice=crystSi&amp;mountingplace=free&amp;usehorizon=1</v>
      </c>
    </row>
    <row r="670">
      <c r="A670" t="n">
        <v>10</v>
      </c>
      <c r="B670" t="n">
        <v>0</v>
      </c>
      <c r="C670" t="n">
        <v>1</v>
      </c>
      <c r="D670" s="218" t="n">
        <v>68.54</v>
      </c>
      <c r="E670" s="218" t="n">
        <v>2.21</v>
      </c>
      <c r="F670" t="str">
        <v>https://re.jrc.ec.europa.eu/api/v5_3/PVcalc?lat=30.0444&amp;lon=31.2357&amp;peakpower=1&amp;loss=14&amp;angle=10&amp;aspect=-180&amp;outputformat=json&amp;raddatabase=PVGIS-SARAH3&amp;pvtechchoice=crystSi&amp;mountingplace=free&amp;usehorizon=1</v>
      </c>
    </row>
    <row r="671">
      <c r="A671" t="n">
        <v>10</v>
      </c>
      <c r="B671" t="n">
        <v>0</v>
      </c>
      <c r="C671" t="n">
        <v>2</v>
      </c>
      <c r="D671" s="218" t="n">
        <v>83.05</v>
      </c>
      <c r="E671" s="218" t="n">
        <v>2.97</v>
      </c>
      <c r="F671" t="str">
        <v>https://re.jrc.ec.europa.eu/api/v5_3/PVcalc?lat=30.0444&amp;lon=31.2357&amp;peakpower=1&amp;loss=14&amp;angle=10&amp;aspect=-180&amp;outputformat=json&amp;raddatabase=PVGIS-SARAH3&amp;pvtechchoice=crystSi&amp;mountingplace=free&amp;usehorizon=1</v>
      </c>
    </row>
    <row r="672">
      <c r="A672" t="n">
        <v>10</v>
      </c>
      <c r="B672" t="n">
        <v>0</v>
      </c>
      <c r="C672" t="n">
        <v>3</v>
      </c>
      <c r="D672" s="218" t="n">
        <v>125.6</v>
      </c>
      <c r="E672" s="218" t="n">
        <v>4.05</v>
      </c>
      <c r="F672" t="str">
        <v>https://re.jrc.ec.europa.eu/api/v5_3/PVcalc?lat=30.0444&amp;lon=31.2357&amp;peakpower=1&amp;loss=14&amp;angle=10&amp;aspect=-180&amp;outputformat=json&amp;raddatabase=PVGIS-SARAH3&amp;pvtechchoice=crystSi&amp;mountingplace=free&amp;usehorizon=1</v>
      </c>
    </row>
    <row r="673">
      <c r="A673" t="n">
        <v>10</v>
      </c>
      <c r="B673" t="n">
        <v>0</v>
      </c>
      <c r="C673" t="n">
        <v>4</v>
      </c>
      <c r="D673" s="218" t="n">
        <v>149.92</v>
      </c>
      <c r="E673" s="218" t="n">
        <v>5</v>
      </c>
      <c r="F673" t="str">
        <v>https://re.jrc.ec.europa.eu/api/v5_3/PVcalc?lat=30.0444&amp;lon=31.2357&amp;peakpower=1&amp;loss=14&amp;angle=10&amp;aspect=-180&amp;outputformat=json&amp;raddatabase=PVGIS-SARAH3&amp;pvtechchoice=crystSi&amp;mountingplace=free&amp;usehorizon=1</v>
      </c>
    </row>
    <row r="674">
      <c r="A674" t="n">
        <v>10</v>
      </c>
      <c r="B674" t="n">
        <v>0</v>
      </c>
      <c r="C674" t="n">
        <v>5</v>
      </c>
      <c r="D674" s="218" t="n">
        <v>172.97</v>
      </c>
      <c r="E674" s="218" t="n">
        <v>5.58</v>
      </c>
      <c r="F674" t="str">
        <v>https://re.jrc.ec.europa.eu/api/v5_3/PVcalc?lat=30.0444&amp;lon=31.2357&amp;peakpower=1&amp;loss=14&amp;angle=10&amp;aspect=-180&amp;outputformat=json&amp;raddatabase=PVGIS-SARAH3&amp;pvtechchoice=crystSi&amp;mountingplace=free&amp;usehorizon=1</v>
      </c>
    </row>
    <row r="675">
      <c r="A675" t="n">
        <v>10</v>
      </c>
      <c r="B675" t="n">
        <v>0</v>
      </c>
      <c r="C675" t="n">
        <v>6</v>
      </c>
      <c r="D675" s="218" t="n">
        <v>180.6</v>
      </c>
      <c r="E675" s="218" t="n">
        <v>6.02</v>
      </c>
      <c r="F675" t="str">
        <v>https://re.jrc.ec.europa.eu/api/v5_3/PVcalc?lat=30.0444&amp;lon=31.2357&amp;peakpower=1&amp;loss=14&amp;angle=10&amp;aspect=-180&amp;outputformat=json&amp;raddatabase=PVGIS-SARAH3&amp;pvtechchoice=crystSi&amp;mountingplace=free&amp;usehorizon=1</v>
      </c>
    </row>
    <row r="676">
      <c r="A676" t="n">
        <v>10</v>
      </c>
      <c r="B676" t="n">
        <v>0</v>
      </c>
      <c r="C676" t="n">
        <v>7</v>
      </c>
      <c r="D676" s="218" t="n">
        <v>181.73</v>
      </c>
      <c r="E676" s="218" t="n">
        <v>5.86</v>
      </c>
      <c r="F676" t="str">
        <v>https://re.jrc.ec.europa.eu/api/v5_3/PVcalc?lat=30.0444&amp;lon=31.2357&amp;peakpower=1&amp;loss=14&amp;angle=10&amp;aspect=-180&amp;outputformat=json&amp;raddatabase=PVGIS-SARAH3&amp;pvtechchoice=crystSi&amp;mountingplace=free&amp;usehorizon=1</v>
      </c>
    </row>
    <row r="677">
      <c r="A677" t="n">
        <v>10</v>
      </c>
      <c r="B677" t="n">
        <v>0</v>
      </c>
      <c r="C677" t="n">
        <v>8</v>
      </c>
      <c r="D677" s="218" t="n">
        <v>164.12</v>
      </c>
      <c r="E677" s="218" t="n">
        <v>5.29</v>
      </c>
      <c r="F677" t="str">
        <v>https://re.jrc.ec.europa.eu/api/v5_3/PVcalc?lat=30.0444&amp;lon=31.2357&amp;peakpower=1&amp;loss=14&amp;angle=10&amp;aspect=-180&amp;outputformat=json&amp;raddatabase=PVGIS-SARAH3&amp;pvtechchoice=crystSi&amp;mountingplace=free&amp;usehorizon=1</v>
      </c>
    </row>
    <row r="678">
      <c r="A678" t="n">
        <v>10</v>
      </c>
      <c r="B678" t="n">
        <v>0</v>
      </c>
      <c r="C678" t="n">
        <v>9</v>
      </c>
      <c r="D678" s="218" t="n">
        <v>133.62</v>
      </c>
      <c r="E678" s="218" t="n">
        <v>4.45</v>
      </c>
      <c r="F678" t="str">
        <v>https://re.jrc.ec.europa.eu/api/v5_3/PVcalc?lat=30.0444&amp;lon=31.2357&amp;peakpower=1&amp;loss=14&amp;angle=10&amp;aspect=-180&amp;outputformat=json&amp;raddatabase=PVGIS-SARAH3&amp;pvtechchoice=crystSi&amp;mountingplace=free&amp;usehorizon=1</v>
      </c>
    </row>
    <row r="679">
      <c r="A679" t="n">
        <v>10</v>
      </c>
      <c r="B679" t="n">
        <v>0</v>
      </c>
      <c r="C679" t="n">
        <v>10</v>
      </c>
      <c r="D679" s="218" t="n">
        <v>104.5</v>
      </c>
      <c r="E679" s="218" t="n">
        <v>3.37</v>
      </c>
      <c r="F679" t="str">
        <v>https://re.jrc.ec.europa.eu/api/v5_3/PVcalc?lat=30.0444&amp;lon=31.2357&amp;peakpower=1&amp;loss=14&amp;angle=10&amp;aspect=-180&amp;outputformat=json&amp;raddatabase=PVGIS-SARAH3&amp;pvtechchoice=crystSi&amp;mountingplace=free&amp;usehorizon=1</v>
      </c>
    </row>
    <row r="680">
      <c r="A680" t="n">
        <v>10</v>
      </c>
      <c r="B680" t="n">
        <v>0</v>
      </c>
      <c r="C680" t="n">
        <v>11</v>
      </c>
      <c r="D680" s="218" t="n">
        <v>73.99</v>
      </c>
      <c r="E680" s="218" t="n">
        <v>2.47</v>
      </c>
      <c r="F680" t="str">
        <v>https://re.jrc.ec.europa.eu/api/v5_3/PVcalc?lat=30.0444&amp;lon=31.2357&amp;peakpower=1&amp;loss=14&amp;angle=10&amp;aspect=-180&amp;outputformat=json&amp;raddatabase=PVGIS-SARAH3&amp;pvtechchoice=crystSi&amp;mountingplace=free&amp;usehorizon=1</v>
      </c>
    </row>
    <row r="681">
      <c r="A681" t="n">
        <v>10</v>
      </c>
      <c r="B681" t="n">
        <v>0</v>
      </c>
      <c r="C681" t="n">
        <v>12</v>
      </c>
      <c r="D681" s="218" t="n">
        <v>62.6</v>
      </c>
      <c r="E681" s="218" t="n">
        <v>2.02</v>
      </c>
      <c r="F681" t="str">
        <v>https://re.jrc.ec.europa.eu/api/v5_3/PVcalc?lat=30.0444&amp;lon=31.2357&amp;peakpower=1&amp;loss=14&amp;angle=10&amp;aspect=-180&amp;outputformat=json&amp;raddatabase=PVGIS-SARAH3&amp;pvtechchoice=crystSi&amp;mountingplace=free&amp;usehorizon=1</v>
      </c>
    </row>
    <row r="682">
      <c r="A682" t="n">
        <v>10</v>
      </c>
      <c r="B682" t="n">
        <v>15</v>
      </c>
      <c r="C682" t="n">
        <v>1</v>
      </c>
      <c r="D682" s="218" t="n">
        <v>69.39</v>
      </c>
      <c r="E682" s="218" t="n">
        <v>2.24</v>
      </c>
      <c r="F682" t="str">
        <v>https://re.jrc.ec.europa.eu/api/v5_3/PVcalc?lat=30.0444&amp;lon=31.2357&amp;peakpower=1&amp;loss=14&amp;angle=10&amp;aspect=-165&amp;outputformat=json&amp;raddatabase=PVGIS-SARAH3&amp;pvtechchoice=crystSi&amp;mountingplace=free&amp;usehorizon=1</v>
      </c>
    </row>
    <row r="683">
      <c r="A683" t="n">
        <v>10</v>
      </c>
      <c r="B683" t="n">
        <v>15</v>
      </c>
      <c r="C683" t="n">
        <v>2</v>
      </c>
      <c r="D683" s="218" t="n">
        <v>83.81</v>
      </c>
      <c r="E683" s="218" t="n">
        <v>2.99</v>
      </c>
      <c r="F683" t="str">
        <v>https://re.jrc.ec.europa.eu/api/v5_3/PVcalc?lat=30.0444&amp;lon=31.2357&amp;peakpower=1&amp;loss=14&amp;angle=10&amp;aspect=-165&amp;outputformat=json&amp;raddatabase=PVGIS-SARAH3&amp;pvtechchoice=crystSi&amp;mountingplace=free&amp;usehorizon=1</v>
      </c>
    </row>
    <row r="684">
      <c r="A684" t="n">
        <v>10</v>
      </c>
      <c r="B684" t="n">
        <v>15</v>
      </c>
      <c r="C684" t="n">
        <v>3</v>
      </c>
      <c r="D684" s="218" t="n">
        <v>125.85</v>
      </c>
      <c r="E684" s="218" t="n">
        <v>4.06</v>
      </c>
      <c r="F684" t="str">
        <v>https://re.jrc.ec.europa.eu/api/v5_3/PVcalc?lat=30.0444&amp;lon=31.2357&amp;peakpower=1&amp;loss=14&amp;angle=10&amp;aspect=-165&amp;outputformat=json&amp;raddatabase=PVGIS-SARAH3&amp;pvtechchoice=crystSi&amp;mountingplace=free&amp;usehorizon=1</v>
      </c>
    </row>
    <row r="685">
      <c r="A685" t="n">
        <v>10</v>
      </c>
      <c r="B685" t="n">
        <v>15</v>
      </c>
      <c r="C685" t="n">
        <v>4</v>
      </c>
      <c r="D685" s="218" t="n">
        <v>149.84</v>
      </c>
      <c r="E685" s="218" t="n">
        <v>4.99</v>
      </c>
      <c r="F685" t="str">
        <v>https://re.jrc.ec.europa.eu/api/v5_3/PVcalc?lat=30.0444&amp;lon=31.2357&amp;peakpower=1&amp;loss=14&amp;angle=10&amp;aspect=-165&amp;outputformat=json&amp;raddatabase=PVGIS-SARAH3&amp;pvtechchoice=crystSi&amp;mountingplace=free&amp;usehorizon=1</v>
      </c>
    </row>
    <row r="686">
      <c r="A686" t="n">
        <v>10</v>
      </c>
      <c r="B686" t="n">
        <v>15</v>
      </c>
      <c r="C686" t="n">
        <v>5</v>
      </c>
      <c r="D686" s="218" t="n">
        <v>172.73</v>
      </c>
      <c r="E686" s="218" t="n">
        <v>5.57</v>
      </c>
      <c r="F686" t="str">
        <v>https://re.jrc.ec.europa.eu/api/v5_3/PVcalc?lat=30.0444&amp;lon=31.2357&amp;peakpower=1&amp;loss=14&amp;angle=10&amp;aspect=-165&amp;outputformat=json&amp;raddatabase=PVGIS-SARAH3&amp;pvtechchoice=crystSi&amp;mountingplace=free&amp;usehorizon=1</v>
      </c>
    </row>
    <row r="687">
      <c r="A687" t="n">
        <v>10</v>
      </c>
      <c r="B687" t="n">
        <v>15</v>
      </c>
      <c r="C687" t="n">
        <v>6</v>
      </c>
      <c r="D687" s="218" t="n">
        <v>180</v>
      </c>
      <c r="E687" s="218" t="n">
        <v>6</v>
      </c>
      <c r="F687" t="str">
        <v>https://re.jrc.ec.europa.eu/api/v5_3/PVcalc?lat=30.0444&amp;lon=31.2357&amp;peakpower=1&amp;loss=14&amp;angle=10&amp;aspect=-165&amp;outputformat=json&amp;raddatabase=PVGIS-SARAH3&amp;pvtechchoice=crystSi&amp;mountingplace=free&amp;usehorizon=1</v>
      </c>
    </row>
    <row r="688">
      <c r="A688" t="n">
        <v>10</v>
      </c>
      <c r="B688" t="n">
        <v>15</v>
      </c>
      <c r="C688" t="n">
        <v>7</v>
      </c>
      <c r="D688" s="218" t="n">
        <v>180.98</v>
      </c>
      <c r="E688" s="218" t="n">
        <v>5.84</v>
      </c>
      <c r="F688" t="str">
        <v>https://re.jrc.ec.europa.eu/api/v5_3/PVcalc?lat=30.0444&amp;lon=31.2357&amp;peakpower=1&amp;loss=14&amp;angle=10&amp;aspect=-165&amp;outputformat=json&amp;raddatabase=PVGIS-SARAH3&amp;pvtechchoice=crystSi&amp;mountingplace=free&amp;usehorizon=1</v>
      </c>
    </row>
    <row r="689">
      <c r="A689" t="n">
        <v>10</v>
      </c>
      <c r="B689" t="n">
        <v>15</v>
      </c>
      <c r="C689" t="n">
        <v>8</v>
      </c>
      <c r="D689" s="218" t="n">
        <v>163.7</v>
      </c>
      <c r="E689" s="218" t="n">
        <v>5.28</v>
      </c>
      <c r="F689" t="str">
        <v>https://re.jrc.ec.europa.eu/api/v5_3/PVcalc?lat=30.0444&amp;lon=31.2357&amp;peakpower=1&amp;loss=14&amp;angle=10&amp;aspect=-165&amp;outputformat=json&amp;raddatabase=PVGIS-SARAH3&amp;pvtechchoice=crystSi&amp;mountingplace=free&amp;usehorizon=1</v>
      </c>
    </row>
    <row r="690">
      <c r="A690" t="n">
        <v>10</v>
      </c>
      <c r="B690" t="n">
        <v>15</v>
      </c>
      <c r="C690" t="n">
        <v>9</v>
      </c>
      <c r="D690" s="218" t="n">
        <v>133.52</v>
      </c>
      <c r="E690" s="218" t="n">
        <v>4.45</v>
      </c>
      <c r="F690" t="str">
        <v>https://re.jrc.ec.europa.eu/api/v5_3/PVcalc?lat=30.0444&amp;lon=31.2357&amp;peakpower=1&amp;loss=14&amp;angle=10&amp;aspect=-165&amp;outputformat=json&amp;raddatabase=PVGIS-SARAH3&amp;pvtechchoice=crystSi&amp;mountingplace=free&amp;usehorizon=1</v>
      </c>
    </row>
    <row r="691">
      <c r="A691" t="n">
        <v>10</v>
      </c>
      <c r="B691" t="n">
        <v>15</v>
      </c>
      <c r="C691" t="n">
        <v>10</v>
      </c>
      <c r="D691" s="218" t="n">
        <v>105.02</v>
      </c>
      <c r="E691" s="218" t="n">
        <v>3.39</v>
      </c>
      <c r="F691" t="str">
        <v>https://re.jrc.ec.europa.eu/api/v5_3/PVcalc?lat=30.0444&amp;lon=31.2357&amp;peakpower=1&amp;loss=14&amp;angle=10&amp;aspect=-165&amp;outputformat=json&amp;raddatabase=PVGIS-SARAH3&amp;pvtechchoice=crystSi&amp;mountingplace=free&amp;usehorizon=1</v>
      </c>
    </row>
    <row r="692">
      <c r="A692" t="n">
        <v>10</v>
      </c>
      <c r="B692" t="n">
        <v>15</v>
      </c>
      <c r="C692" t="n">
        <v>11</v>
      </c>
      <c r="D692" s="218" t="n">
        <v>74.79</v>
      </c>
      <c r="E692" s="218" t="n">
        <v>2.49</v>
      </c>
      <c r="F692" t="str">
        <v>https://re.jrc.ec.europa.eu/api/v5_3/PVcalc?lat=30.0444&amp;lon=31.2357&amp;peakpower=1&amp;loss=14&amp;angle=10&amp;aspect=-165&amp;outputformat=json&amp;raddatabase=PVGIS-SARAH3&amp;pvtechchoice=crystSi&amp;mountingplace=free&amp;usehorizon=1</v>
      </c>
    </row>
    <row r="693">
      <c r="A693" t="n">
        <v>10</v>
      </c>
      <c r="B693" t="n">
        <v>15</v>
      </c>
      <c r="C693" t="n">
        <v>12</v>
      </c>
      <c r="D693" s="218" t="n">
        <v>63.46</v>
      </c>
      <c r="E693" s="218" t="n">
        <v>2.05</v>
      </c>
      <c r="F693" t="str">
        <v>https://re.jrc.ec.europa.eu/api/v5_3/PVcalc?lat=30.0444&amp;lon=31.2357&amp;peakpower=1&amp;loss=14&amp;angle=10&amp;aspect=-165&amp;outputformat=json&amp;raddatabase=PVGIS-SARAH3&amp;pvtechchoice=crystSi&amp;mountingplace=free&amp;usehorizon=1</v>
      </c>
    </row>
    <row r="694">
      <c r="A694" t="n">
        <v>10</v>
      </c>
      <c r="B694" t="n">
        <v>30</v>
      </c>
      <c r="C694" t="n">
        <v>1</v>
      </c>
      <c r="D694" s="218" t="n">
        <v>71.6</v>
      </c>
      <c r="E694" s="218" t="n">
        <v>2.31</v>
      </c>
      <c r="F694" t="str">
        <v>https://re.jrc.ec.europa.eu/api/v5_3/PVcalc?lat=30.0444&amp;lon=31.2357&amp;peakpower=1&amp;loss=14&amp;angle=10&amp;aspect=-150&amp;outputformat=json&amp;raddatabase=PVGIS-SARAH3&amp;pvtechchoice=crystSi&amp;mountingplace=free&amp;usehorizon=1</v>
      </c>
    </row>
    <row r="695">
      <c r="A695" t="n">
        <v>10</v>
      </c>
      <c r="B695" t="n">
        <v>30</v>
      </c>
      <c r="C695" t="n">
        <v>2</v>
      </c>
      <c r="D695" s="218" t="n">
        <v>85.63</v>
      </c>
      <c r="E695" s="218" t="n">
        <v>3.06</v>
      </c>
      <c r="F695" t="str">
        <v>https://re.jrc.ec.europa.eu/api/v5_3/PVcalc?lat=30.0444&amp;lon=31.2357&amp;peakpower=1&amp;loss=14&amp;angle=10&amp;aspect=-150&amp;outputformat=json&amp;raddatabase=PVGIS-SARAH3&amp;pvtechchoice=crystSi&amp;mountingplace=free&amp;usehorizon=1</v>
      </c>
    </row>
    <row r="696">
      <c r="A696" t="n">
        <v>10</v>
      </c>
      <c r="B696" t="n">
        <v>30</v>
      </c>
      <c r="C696" t="n">
        <v>3</v>
      </c>
      <c r="D696" s="218" t="n">
        <v>126.97</v>
      </c>
      <c r="E696" s="218" t="n">
        <v>4.1</v>
      </c>
      <c r="F696" t="str">
        <v>https://re.jrc.ec.europa.eu/api/v5_3/PVcalc?lat=30.0444&amp;lon=31.2357&amp;peakpower=1&amp;loss=14&amp;angle=10&amp;aspect=-150&amp;outputformat=json&amp;raddatabase=PVGIS-SARAH3&amp;pvtechchoice=crystSi&amp;mountingplace=free&amp;usehorizon=1</v>
      </c>
    </row>
    <row r="697">
      <c r="A697" t="n">
        <v>10</v>
      </c>
      <c r="B697" t="n">
        <v>30</v>
      </c>
      <c r="C697" t="n">
        <v>4</v>
      </c>
      <c r="D697" s="218" t="n">
        <v>150.15</v>
      </c>
      <c r="E697" s="218" t="n">
        <v>5.01</v>
      </c>
      <c r="F697" t="str">
        <v>https://re.jrc.ec.europa.eu/api/v5_3/PVcalc?lat=30.0444&amp;lon=31.2357&amp;peakpower=1&amp;loss=14&amp;angle=10&amp;aspect=-150&amp;outputformat=json&amp;raddatabase=PVGIS-SARAH3&amp;pvtechchoice=crystSi&amp;mountingplace=free&amp;usehorizon=1</v>
      </c>
    </row>
    <row r="698">
      <c r="A698" t="n">
        <v>10</v>
      </c>
      <c r="B698" t="n">
        <v>30</v>
      </c>
      <c r="C698" t="n">
        <v>5</v>
      </c>
      <c r="D698" s="218" t="n">
        <v>172.55</v>
      </c>
      <c r="E698" s="218" t="n">
        <v>5.57</v>
      </c>
      <c r="F698" t="str">
        <v>https://re.jrc.ec.europa.eu/api/v5_3/PVcalc?lat=30.0444&amp;lon=31.2357&amp;peakpower=1&amp;loss=14&amp;angle=10&amp;aspect=-150&amp;outputformat=json&amp;raddatabase=PVGIS-SARAH3&amp;pvtechchoice=crystSi&amp;mountingplace=free&amp;usehorizon=1</v>
      </c>
    </row>
    <row r="699">
      <c r="A699" t="n">
        <v>10</v>
      </c>
      <c r="B699" t="n">
        <v>30</v>
      </c>
      <c r="C699" t="n">
        <v>6</v>
      </c>
      <c r="D699" s="218" t="n">
        <v>179.26</v>
      </c>
      <c r="E699" s="218" t="n">
        <v>5.98</v>
      </c>
      <c r="F699" t="str">
        <v>https://re.jrc.ec.europa.eu/api/v5_3/PVcalc?lat=30.0444&amp;lon=31.2357&amp;peakpower=1&amp;loss=14&amp;angle=10&amp;aspect=-150&amp;outputformat=json&amp;raddatabase=PVGIS-SARAH3&amp;pvtechchoice=crystSi&amp;mountingplace=free&amp;usehorizon=1</v>
      </c>
    </row>
    <row r="700">
      <c r="A700" t="n">
        <v>10</v>
      </c>
      <c r="B700" t="n">
        <v>30</v>
      </c>
      <c r="C700" t="n">
        <v>7</v>
      </c>
      <c r="D700" s="218" t="n">
        <v>180.2</v>
      </c>
      <c r="E700" s="218" t="n">
        <v>5.81</v>
      </c>
      <c r="F700" t="str">
        <v>https://re.jrc.ec.europa.eu/api/v5_3/PVcalc?lat=30.0444&amp;lon=31.2357&amp;peakpower=1&amp;loss=14&amp;angle=10&amp;aspect=-150&amp;outputformat=json&amp;raddatabase=PVGIS-SARAH3&amp;pvtechchoice=crystSi&amp;mountingplace=free&amp;usehorizon=1</v>
      </c>
    </row>
    <row r="701">
      <c r="A701" t="n">
        <v>10</v>
      </c>
      <c r="B701" t="n">
        <v>30</v>
      </c>
      <c r="C701" t="n">
        <v>8</v>
      </c>
      <c r="D701" s="218" t="n">
        <v>163.59</v>
      </c>
      <c r="E701" s="218" t="n">
        <v>5.28</v>
      </c>
      <c r="F701" t="str">
        <v>https://re.jrc.ec.europa.eu/api/v5_3/PVcalc?lat=30.0444&amp;lon=31.2357&amp;peakpower=1&amp;loss=14&amp;angle=10&amp;aspect=-150&amp;outputformat=json&amp;raddatabase=PVGIS-SARAH3&amp;pvtechchoice=crystSi&amp;mountingplace=free&amp;usehorizon=1</v>
      </c>
    </row>
    <row r="702">
      <c r="A702" t="n">
        <v>10</v>
      </c>
      <c r="B702" t="n">
        <v>30</v>
      </c>
      <c r="C702" t="n">
        <v>9</v>
      </c>
      <c r="D702" s="218" t="n">
        <v>134.14</v>
      </c>
      <c r="E702" s="218" t="n">
        <v>4.47</v>
      </c>
      <c r="F702" t="str">
        <v>https://re.jrc.ec.europa.eu/api/v5_3/PVcalc?lat=30.0444&amp;lon=31.2357&amp;peakpower=1&amp;loss=14&amp;angle=10&amp;aspect=-150&amp;outputformat=json&amp;raddatabase=PVGIS-SARAH3&amp;pvtechchoice=crystSi&amp;mountingplace=free&amp;usehorizon=1</v>
      </c>
    </row>
    <row r="703">
      <c r="A703" t="n">
        <v>10</v>
      </c>
      <c r="B703" t="n">
        <v>30</v>
      </c>
      <c r="C703" t="n">
        <v>10</v>
      </c>
      <c r="D703" s="218" t="n">
        <v>106.68</v>
      </c>
      <c r="E703" s="218" t="n">
        <v>3.44</v>
      </c>
      <c r="F703" t="str">
        <v>https://re.jrc.ec.europa.eu/api/v5_3/PVcalc?lat=30.0444&amp;lon=31.2357&amp;peakpower=1&amp;loss=14&amp;angle=10&amp;aspect=-150&amp;outputformat=json&amp;raddatabase=PVGIS-SARAH3&amp;pvtechchoice=crystSi&amp;mountingplace=free&amp;usehorizon=1</v>
      </c>
    </row>
    <row r="704">
      <c r="A704" t="n">
        <v>10</v>
      </c>
      <c r="B704" t="n">
        <v>30</v>
      </c>
      <c r="C704" t="n">
        <v>11</v>
      </c>
      <c r="D704" s="218" t="n">
        <v>77.04</v>
      </c>
      <c r="E704" s="218" t="n">
        <v>2.57</v>
      </c>
      <c r="F704" t="str">
        <v>https://re.jrc.ec.europa.eu/api/v5_3/PVcalc?lat=30.0444&amp;lon=31.2357&amp;peakpower=1&amp;loss=14&amp;angle=10&amp;aspect=-150&amp;outputformat=json&amp;raddatabase=PVGIS-SARAH3&amp;pvtechchoice=crystSi&amp;mountingplace=free&amp;usehorizon=1</v>
      </c>
    </row>
    <row r="705">
      <c r="A705" t="n">
        <v>10</v>
      </c>
      <c r="B705" t="n">
        <v>30</v>
      </c>
      <c r="C705" t="n">
        <v>12</v>
      </c>
      <c r="D705" s="218" t="n">
        <v>66.02</v>
      </c>
      <c r="E705" s="218" t="n">
        <v>2.13</v>
      </c>
      <c r="F705" t="str">
        <v>https://re.jrc.ec.europa.eu/api/v5_3/PVcalc?lat=30.0444&amp;lon=31.2357&amp;peakpower=1&amp;loss=14&amp;angle=10&amp;aspect=-150&amp;outputformat=json&amp;raddatabase=PVGIS-SARAH3&amp;pvtechchoice=crystSi&amp;mountingplace=free&amp;usehorizon=1</v>
      </c>
    </row>
    <row r="706">
      <c r="A706" t="n">
        <v>10</v>
      </c>
      <c r="B706" t="n">
        <v>45</v>
      </c>
      <c r="C706" t="n">
        <v>1</v>
      </c>
      <c r="D706" s="218" t="n">
        <v>74.92</v>
      </c>
      <c r="E706" s="218" t="n">
        <v>2.42</v>
      </c>
      <c r="F706" t="str">
        <v>https://re.jrc.ec.europa.eu/api/v5_3/PVcalc?lat=30.0444&amp;lon=31.2357&amp;peakpower=1&amp;loss=14&amp;angle=10&amp;aspect=-135&amp;outputformat=json&amp;raddatabase=PVGIS-SARAH3&amp;pvtechchoice=crystSi&amp;mountingplace=free&amp;usehorizon=1</v>
      </c>
    </row>
    <row r="707">
      <c r="A707" t="n">
        <v>10</v>
      </c>
      <c r="B707" t="n">
        <v>45</v>
      </c>
      <c r="C707" t="n">
        <v>2</v>
      </c>
      <c r="D707" s="218" t="n">
        <v>88.31</v>
      </c>
      <c r="E707" s="218" t="n">
        <v>3.15</v>
      </c>
      <c r="F707" t="str">
        <v>https://re.jrc.ec.europa.eu/api/v5_3/PVcalc?lat=30.0444&amp;lon=31.2357&amp;peakpower=1&amp;loss=14&amp;angle=10&amp;aspect=-135&amp;outputformat=json&amp;raddatabase=PVGIS-SARAH3&amp;pvtechchoice=crystSi&amp;mountingplace=free&amp;usehorizon=1</v>
      </c>
    </row>
    <row r="708">
      <c r="A708" t="n">
        <v>10</v>
      </c>
      <c r="B708" t="n">
        <v>45</v>
      </c>
      <c r="C708" t="n">
        <v>3</v>
      </c>
      <c r="D708" s="218" t="n">
        <v>128.89</v>
      </c>
      <c r="E708" s="218" t="n">
        <v>4.16</v>
      </c>
      <c r="F708" t="str">
        <v>https://re.jrc.ec.europa.eu/api/v5_3/PVcalc?lat=30.0444&amp;lon=31.2357&amp;peakpower=1&amp;loss=14&amp;angle=10&amp;aspect=-135&amp;outputformat=json&amp;raddatabase=PVGIS-SARAH3&amp;pvtechchoice=crystSi&amp;mountingplace=free&amp;usehorizon=1</v>
      </c>
    </row>
    <row r="709">
      <c r="A709" t="n">
        <v>10</v>
      </c>
      <c r="B709" t="n">
        <v>45</v>
      </c>
      <c r="C709" t="n">
        <v>4</v>
      </c>
      <c r="D709" s="218" t="n">
        <v>150.88</v>
      </c>
      <c r="E709" s="218" t="n">
        <v>5.03</v>
      </c>
      <c r="F709" t="str">
        <v>https://re.jrc.ec.europa.eu/api/v5_3/PVcalc?lat=30.0444&amp;lon=31.2357&amp;peakpower=1&amp;loss=14&amp;angle=10&amp;aspect=-135&amp;outputformat=json&amp;raddatabase=PVGIS-SARAH3&amp;pvtechchoice=crystSi&amp;mountingplace=free&amp;usehorizon=1</v>
      </c>
    </row>
    <row r="710">
      <c r="A710" t="n">
        <v>10</v>
      </c>
      <c r="B710" t="n">
        <v>45</v>
      </c>
      <c r="C710" t="n">
        <v>5</v>
      </c>
      <c r="D710" s="218" t="n">
        <v>172.49</v>
      </c>
      <c r="E710" s="218" t="n">
        <v>5.56</v>
      </c>
      <c r="F710" t="str">
        <v>https://re.jrc.ec.europa.eu/api/v5_3/PVcalc?lat=30.0444&amp;lon=31.2357&amp;peakpower=1&amp;loss=14&amp;angle=10&amp;aspect=-135&amp;outputformat=json&amp;raddatabase=PVGIS-SARAH3&amp;pvtechchoice=crystSi&amp;mountingplace=free&amp;usehorizon=1</v>
      </c>
    </row>
    <row r="711">
      <c r="A711" t="n">
        <v>10</v>
      </c>
      <c r="B711" t="n">
        <v>45</v>
      </c>
      <c r="C711" t="n">
        <v>6</v>
      </c>
      <c r="D711" s="218" t="n">
        <v>178.52</v>
      </c>
      <c r="E711" s="218" t="n">
        <v>5.95</v>
      </c>
      <c r="F711" t="str">
        <v>https://re.jrc.ec.europa.eu/api/v5_3/PVcalc?lat=30.0444&amp;lon=31.2357&amp;peakpower=1&amp;loss=14&amp;angle=10&amp;aspect=-135&amp;outputformat=json&amp;raddatabase=PVGIS-SARAH3&amp;pvtechchoice=crystSi&amp;mountingplace=free&amp;usehorizon=1</v>
      </c>
    </row>
    <row r="712">
      <c r="A712" t="n">
        <v>10</v>
      </c>
      <c r="B712" t="n">
        <v>45</v>
      </c>
      <c r="C712" t="n">
        <v>7</v>
      </c>
      <c r="D712" s="218" t="n">
        <v>179.52</v>
      </c>
      <c r="E712" s="218" t="n">
        <v>5.79</v>
      </c>
      <c r="F712" t="str">
        <v>https://re.jrc.ec.europa.eu/api/v5_3/PVcalc?lat=30.0444&amp;lon=31.2357&amp;peakpower=1&amp;loss=14&amp;angle=10&amp;aspect=-135&amp;outputformat=json&amp;raddatabase=PVGIS-SARAH3&amp;pvtechchoice=crystSi&amp;mountingplace=free&amp;usehorizon=1</v>
      </c>
    </row>
    <row r="713">
      <c r="A713" t="n">
        <v>10</v>
      </c>
      <c r="B713" t="n">
        <v>45</v>
      </c>
      <c r="C713" t="n">
        <v>8</v>
      </c>
      <c r="D713" s="218" t="n">
        <v>163.91</v>
      </c>
      <c r="E713" s="218" t="n">
        <v>5.29</v>
      </c>
      <c r="F713" t="str">
        <v>https://re.jrc.ec.europa.eu/api/v5_3/PVcalc?lat=30.0444&amp;lon=31.2357&amp;peakpower=1&amp;loss=14&amp;angle=10&amp;aspect=-135&amp;outputformat=json&amp;raddatabase=PVGIS-SARAH3&amp;pvtechchoice=crystSi&amp;mountingplace=free&amp;usehorizon=1</v>
      </c>
    </row>
    <row r="714">
      <c r="A714" t="n">
        <v>10</v>
      </c>
      <c r="B714" t="n">
        <v>45</v>
      </c>
      <c r="C714" t="n">
        <v>9</v>
      </c>
      <c r="D714" s="218" t="n">
        <v>135.52</v>
      </c>
      <c r="E714" s="218" t="n">
        <v>4.52</v>
      </c>
      <c r="F714" t="str">
        <v>https://re.jrc.ec.europa.eu/api/v5_3/PVcalc?lat=30.0444&amp;lon=31.2357&amp;peakpower=1&amp;loss=14&amp;angle=10&amp;aspect=-135&amp;outputformat=json&amp;raddatabase=PVGIS-SARAH3&amp;pvtechchoice=crystSi&amp;mountingplace=free&amp;usehorizon=1</v>
      </c>
    </row>
    <row r="715">
      <c r="A715" t="n">
        <v>10</v>
      </c>
      <c r="B715" t="n">
        <v>45</v>
      </c>
      <c r="C715" t="n">
        <v>10</v>
      </c>
      <c r="D715" s="218" t="n">
        <v>109.29</v>
      </c>
      <c r="E715" s="218" t="n">
        <v>3.53</v>
      </c>
      <c r="F715" t="str">
        <v>https://re.jrc.ec.europa.eu/api/v5_3/PVcalc?lat=30.0444&amp;lon=31.2357&amp;peakpower=1&amp;loss=14&amp;angle=10&amp;aspect=-135&amp;outputformat=json&amp;raddatabase=PVGIS-SARAH3&amp;pvtechchoice=crystSi&amp;mountingplace=free&amp;usehorizon=1</v>
      </c>
    </row>
    <row r="716">
      <c r="A716" t="n">
        <v>10</v>
      </c>
      <c r="B716" t="n">
        <v>45</v>
      </c>
      <c r="C716" t="n">
        <v>11</v>
      </c>
      <c r="D716" s="218" t="n">
        <v>80.45</v>
      </c>
      <c r="E716" s="218" t="n">
        <v>2.68</v>
      </c>
      <c r="F716" t="str">
        <v>https://re.jrc.ec.europa.eu/api/v5_3/PVcalc?lat=30.0444&amp;lon=31.2357&amp;peakpower=1&amp;loss=14&amp;angle=10&amp;aspect=-135&amp;outputformat=json&amp;raddatabase=PVGIS-SARAH3&amp;pvtechchoice=crystSi&amp;mountingplace=free&amp;usehorizon=1</v>
      </c>
    </row>
    <row r="717">
      <c r="A717" t="n">
        <v>10</v>
      </c>
      <c r="B717" t="n">
        <v>45</v>
      </c>
      <c r="C717" t="n">
        <v>12</v>
      </c>
      <c r="D717" s="218" t="n">
        <v>69.64</v>
      </c>
      <c r="E717" s="218" t="n">
        <v>2.25</v>
      </c>
      <c r="F717" t="str">
        <v>https://re.jrc.ec.europa.eu/api/v5_3/PVcalc?lat=30.0444&amp;lon=31.2357&amp;peakpower=1&amp;loss=14&amp;angle=10&amp;aspect=-135&amp;outputformat=json&amp;raddatabase=PVGIS-SARAH3&amp;pvtechchoice=crystSi&amp;mountingplace=free&amp;usehorizon=1</v>
      </c>
    </row>
    <row r="718">
      <c r="A718" t="n">
        <v>10</v>
      </c>
      <c r="B718" t="n">
        <v>60</v>
      </c>
      <c r="C718" t="n">
        <v>1</v>
      </c>
      <c r="D718" s="218" t="n">
        <v>79.06</v>
      </c>
      <c r="E718" s="218" t="n">
        <v>2.55</v>
      </c>
      <c r="F718" t="str">
        <v>https://re.jrc.ec.europa.eu/api/v5_3/PVcalc?lat=30.0444&amp;lon=31.2357&amp;peakpower=1&amp;loss=14&amp;angle=10&amp;aspect=-120&amp;outputformat=json&amp;raddatabase=PVGIS-SARAH3&amp;pvtechchoice=crystSi&amp;mountingplace=free&amp;usehorizon=1</v>
      </c>
    </row>
    <row r="719">
      <c r="A719" t="n">
        <v>10</v>
      </c>
      <c r="B719" t="n">
        <v>60</v>
      </c>
      <c r="C719" t="n">
        <v>2</v>
      </c>
      <c r="D719" s="218" t="n">
        <v>91.57</v>
      </c>
      <c r="E719" s="218" t="n">
        <v>3.27</v>
      </c>
      <c r="F719" t="str">
        <v>https://re.jrc.ec.europa.eu/api/v5_3/PVcalc?lat=30.0444&amp;lon=31.2357&amp;peakpower=1&amp;loss=14&amp;angle=10&amp;aspect=-120&amp;outputformat=json&amp;raddatabase=PVGIS-SARAH3&amp;pvtechchoice=crystSi&amp;mountingplace=free&amp;usehorizon=1</v>
      </c>
    </row>
    <row r="720">
      <c r="A720" t="n">
        <v>10</v>
      </c>
      <c r="B720" t="n">
        <v>60</v>
      </c>
      <c r="C720" t="n">
        <v>3</v>
      </c>
      <c r="D720" s="218" t="n">
        <v>131.49</v>
      </c>
      <c r="E720" s="218" t="n">
        <v>4.24</v>
      </c>
      <c r="F720" t="str">
        <v>https://re.jrc.ec.europa.eu/api/v5_3/PVcalc?lat=30.0444&amp;lon=31.2357&amp;peakpower=1&amp;loss=14&amp;angle=10&amp;aspect=-120&amp;outputformat=json&amp;raddatabase=PVGIS-SARAH3&amp;pvtechchoice=crystSi&amp;mountingplace=free&amp;usehorizon=1</v>
      </c>
    </row>
    <row r="721">
      <c r="A721" t="n">
        <v>10</v>
      </c>
      <c r="B721" t="n">
        <v>60</v>
      </c>
      <c r="C721" t="n">
        <v>4</v>
      </c>
      <c r="D721" s="218" t="n">
        <v>151.99</v>
      </c>
      <c r="E721" s="218" t="n">
        <v>5.07</v>
      </c>
      <c r="F721" t="str">
        <v>https://re.jrc.ec.europa.eu/api/v5_3/PVcalc?lat=30.0444&amp;lon=31.2357&amp;peakpower=1&amp;loss=14&amp;angle=10&amp;aspect=-120&amp;outputformat=json&amp;raddatabase=PVGIS-SARAH3&amp;pvtechchoice=crystSi&amp;mountingplace=free&amp;usehorizon=1</v>
      </c>
    </row>
    <row r="722">
      <c r="A722" t="n">
        <v>10</v>
      </c>
      <c r="B722" t="n">
        <v>60</v>
      </c>
      <c r="C722" t="n">
        <v>5</v>
      </c>
      <c r="D722" s="218" t="n">
        <v>172.63</v>
      </c>
      <c r="E722" s="218" t="n">
        <v>5.57</v>
      </c>
      <c r="F722" t="str">
        <v>https://re.jrc.ec.europa.eu/api/v5_3/PVcalc?lat=30.0444&amp;lon=31.2357&amp;peakpower=1&amp;loss=14&amp;angle=10&amp;aspect=-120&amp;outputformat=json&amp;raddatabase=PVGIS-SARAH3&amp;pvtechchoice=crystSi&amp;mountingplace=free&amp;usehorizon=1</v>
      </c>
    </row>
    <row r="723">
      <c r="A723" t="n">
        <v>10</v>
      </c>
      <c r="B723" t="n">
        <v>60</v>
      </c>
      <c r="C723" t="n">
        <v>6</v>
      </c>
      <c r="D723" s="218" t="n">
        <v>177.87</v>
      </c>
      <c r="E723" s="218" t="n">
        <v>5.93</v>
      </c>
      <c r="F723" t="str">
        <v>https://re.jrc.ec.europa.eu/api/v5_3/PVcalc?lat=30.0444&amp;lon=31.2357&amp;peakpower=1&amp;loss=14&amp;angle=10&amp;aspect=-120&amp;outputformat=json&amp;raddatabase=PVGIS-SARAH3&amp;pvtechchoice=crystSi&amp;mountingplace=free&amp;usehorizon=1</v>
      </c>
    </row>
    <row r="724">
      <c r="A724" t="n">
        <v>10</v>
      </c>
      <c r="B724" t="n">
        <v>60</v>
      </c>
      <c r="C724" t="n">
        <v>7</v>
      </c>
      <c r="D724" s="218" t="n">
        <v>179.03</v>
      </c>
      <c r="E724" s="218" t="n">
        <v>5.78</v>
      </c>
      <c r="F724" t="str">
        <v>https://re.jrc.ec.europa.eu/api/v5_3/PVcalc?lat=30.0444&amp;lon=31.2357&amp;peakpower=1&amp;loss=14&amp;angle=10&amp;aspect=-120&amp;outputformat=json&amp;raddatabase=PVGIS-SARAH3&amp;pvtechchoice=crystSi&amp;mountingplace=free&amp;usehorizon=1</v>
      </c>
    </row>
    <row r="725">
      <c r="A725" t="n">
        <v>10</v>
      </c>
      <c r="B725" t="n">
        <v>60</v>
      </c>
      <c r="C725" t="n">
        <v>8</v>
      </c>
      <c r="D725" s="218" t="n">
        <v>164.63</v>
      </c>
      <c r="E725" s="218" t="n">
        <v>5.31</v>
      </c>
      <c r="F725" t="str">
        <v>https://re.jrc.ec.europa.eu/api/v5_3/PVcalc?lat=30.0444&amp;lon=31.2357&amp;peakpower=1&amp;loss=14&amp;angle=10&amp;aspect=-120&amp;outputformat=json&amp;raddatabase=PVGIS-SARAH3&amp;pvtechchoice=crystSi&amp;mountingplace=free&amp;usehorizon=1</v>
      </c>
    </row>
    <row r="726">
      <c r="A726" t="n">
        <v>10</v>
      </c>
      <c r="B726" t="n">
        <v>60</v>
      </c>
      <c r="C726" t="n">
        <v>9</v>
      </c>
      <c r="D726" s="218" t="n">
        <v>137.53</v>
      </c>
      <c r="E726" s="218" t="n">
        <v>4.58</v>
      </c>
      <c r="F726" t="str">
        <v>https://re.jrc.ec.europa.eu/api/v5_3/PVcalc?lat=30.0444&amp;lon=31.2357&amp;peakpower=1&amp;loss=14&amp;angle=10&amp;aspect=-120&amp;outputformat=json&amp;raddatabase=PVGIS-SARAH3&amp;pvtechchoice=crystSi&amp;mountingplace=free&amp;usehorizon=1</v>
      </c>
    </row>
    <row r="727">
      <c r="A727" t="n">
        <v>10</v>
      </c>
      <c r="B727" t="n">
        <v>60</v>
      </c>
      <c r="C727" t="n">
        <v>10</v>
      </c>
      <c r="D727" s="218" t="n">
        <v>112.64</v>
      </c>
      <c r="E727" s="218" t="n">
        <v>3.63</v>
      </c>
      <c r="F727" t="str">
        <v>https://re.jrc.ec.europa.eu/api/v5_3/PVcalc?lat=30.0444&amp;lon=31.2357&amp;peakpower=1&amp;loss=14&amp;angle=10&amp;aspect=-120&amp;outputformat=json&amp;raddatabase=PVGIS-SARAH3&amp;pvtechchoice=crystSi&amp;mountingplace=free&amp;usehorizon=1</v>
      </c>
    </row>
    <row r="728">
      <c r="A728" t="n">
        <v>10</v>
      </c>
      <c r="B728" t="n">
        <v>60</v>
      </c>
      <c r="C728" t="n">
        <v>11</v>
      </c>
      <c r="D728" s="218" t="n">
        <v>84.62</v>
      </c>
      <c r="E728" s="218" t="n">
        <v>2.82</v>
      </c>
      <c r="F728" t="str">
        <v>https://re.jrc.ec.europa.eu/api/v5_3/PVcalc?lat=30.0444&amp;lon=31.2357&amp;peakpower=1&amp;loss=14&amp;angle=10&amp;aspect=-120&amp;outputformat=json&amp;raddatabase=PVGIS-SARAH3&amp;pvtechchoice=crystSi&amp;mountingplace=free&amp;usehorizon=1</v>
      </c>
    </row>
    <row r="729">
      <c r="A729" t="n">
        <v>10</v>
      </c>
      <c r="B729" t="n">
        <v>60</v>
      </c>
      <c r="C729" t="n">
        <v>12</v>
      </c>
      <c r="D729" s="218" t="n">
        <v>74.07</v>
      </c>
      <c r="E729" s="218" t="n">
        <v>2.39</v>
      </c>
      <c r="F729" t="str">
        <v>https://re.jrc.ec.europa.eu/api/v5_3/PVcalc?lat=30.0444&amp;lon=31.2357&amp;peakpower=1&amp;loss=14&amp;angle=10&amp;aspect=-120&amp;outputformat=json&amp;raddatabase=PVGIS-SARAH3&amp;pvtechchoice=crystSi&amp;mountingplace=free&amp;usehorizon=1</v>
      </c>
    </row>
    <row r="730">
      <c r="A730" t="n">
        <v>10</v>
      </c>
      <c r="B730" t="n">
        <v>75</v>
      </c>
      <c r="C730" t="n">
        <v>1</v>
      </c>
      <c r="D730" s="218" t="n">
        <v>83.66</v>
      </c>
      <c r="E730" s="218" t="n">
        <v>2.7</v>
      </c>
      <c r="F730" t="str">
        <v>https://re.jrc.ec.europa.eu/api/v5_3/PVcalc?lat=30.0444&amp;lon=31.2357&amp;peakpower=1&amp;loss=14&amp;angle=10&amp;aspect=-105&amp;outputformat=json&amp;raddatabase=PVGIS-SARAH3&amp;pvtechchoice=crystSi&amp;mountingplace=free&amp;usehorizon=1</v>
      </c>
    </row>
    <row r="731">
      <c r="A731" t="n">
        <v>10</v>
      </c>
      <c r="B731" t="n">
        <v>75</v>
      </c>
      <c r="C731" t="n">
        <v>2</v>
      </c>
      <c r="D731" s="218" t="n">
        <v>95.19</v>
      </c>
      <c r="E731" s="218" t="n">
        <v>3.4</v>
      </c>
      <c r="F731" t="str">
        <v>https://re.jrc.ec.europa.eu/api/v5_3/PVcalc?lat=30.0444&amp;lon=31.2357&amp;peakpower=1&amp;loss=14&amp;angle=10&amp;aspect=-105&amp;outputformat=json&amp;raddatabase=PVGIS-SARAH3&amp;pvtechchoice=crystSi&amp;mountingplace=free&amp;usehorizon=1</v>
      </c>
    </row>
    <row r="732">
      <c r="A732" t="n">
        <v>10</v>
      </c>
      <c r="B732" t="n">
        <v>75</v>
      </c>
      <c r="C732" t="n">
        <v>3</v>
      </c>
      <c r="D732" s="218" t="n">
        <v>134.48</v>
      </c>
      <c r="E732" s="218" t="n">
        <v>4.34</v>
      </c>
      <c r="F732" t="str">
        <v>https://re.jrc.ec.europa.eu/api/v5_3/PVcalc?lat=30.0444&amp;lon=31.2357&amp;peakpower=1&amp;loss=14&amp;angle=10&amp;aspect=-105&amp;outputformat=json&amp;raddatabase=PVGIS-SARAH3&amp;pvtechchoice=crystSi&amp;mountingplace=free&amp;usehorizon=1</v>
      </c>
    </row>
    <row r="733">
      <c r="A733" t="n">
        <v>10</v>
      </c>
      <c r="B733" t="n">
        <v>75</v>
      </c>
      <c r="C733" t="n">
        <v>4</v>
      </c>
      <c r="D733" s="218" t="n">
        <v>153.4</v>
      </c>
      <c r="E733" s="218" t="n">
        <v>5.11</v>
      </c>
      <c r="F733" t="str">
        <v>https://re.jrc.ec.europa.eu/api/v5_3/PVcalc?lat=30.0444&amp;lon=31.2357&amp;peakpower=1&amp;loss=14&amp;angle=10&amp;aspect=-105&amp;outputformat=json&amp;raddatabase=PVGIS-SARAH3&amp;pvtechchoice=crystSi&amp;mountingplace=free&amp;usehorizon=1</v>
      </c>
    </row>
    <row r="734">
      <c r="A734" t="n">
        <v>10</v>
      </c>
      <c r="B734" t="n">
        <v>75</v>
      </c>
      <c r="C734" t="n">
        <v>5</v>
      </c>
      <c r="D734" s="218" t="n">
        <v>172.9</v>
      </c>
      <c r="E734" s="218" t="n">
        <v>5.58</v>
      </c>
      <c r="F734" t="str">
        <v>https://re.jrc.ec.europa.eu/api/v5_3/PVcalc?lat=30.0444&amp;lon=31.2357&amp;peakpower=1&amp;loss=14&amp;angle=10&amp;aspect=-105&amp;outputformat=json&amp;raddatabase=PVGIS-SARAH3&amp;pvtechchoice=crystSi&amp;mountingplace=free&amp;usehorizon=1</v>
      </c>
    </row>
    <row r="735">
      <c r="A735" t="n">
        <v>10</v>
      </c>
      <c r="B735" t="n">
        <v>75</v>
      </c>
      <c r="C735" t="n">
        <v>6</v>
      </c>
      <c r="D735" s="218" t="n">
        <v>177.41</v>
      </c>
      <c r="E735" s="218" t="n">
        <v>5.91</v>
      </c>
      <c r="F735" t="str">
        <v>https://re.jrc.ec.europa.eu/api/v5_3/PVcalc?lat=30.0444&amp;lon=31.2357&amp;peakpower=1&amp;loss=14&amp;angle=10&amp;aspect=-105&amp;outputformat=json&amp;raddatabase=PVGIS-SARAH3&amp;pvtechchoice=crystSi&amp;mountingplace=free&amp;usehorizon=1</v>
      </c>
    </row>
    <row r="736">
      <c r="A736" t="n">
        <v>10</v>
      </c>
      <c r="B736" t="n">
        <v>75</v>
      </c>
      <c r="C736" t="n">
        <v>7</v>
      </c>
      <c r="D736" s="218" t="n">
        <v>178.86</v>
      </c>
      <c r="E736" s="218" t="n">
        <v>5.77</v>
      </c>
      <c r="F736" t="str">
        <v>https://re.jrc.ec.europa.eu/api/v5_3/PVcalc?lat=30.0444&amp;lon=31.2357&amp;peakpower=1&amp;loss=14&amp;angle=10&amp;aspect=-105&amp;outputformat=json&amp;raddatabase=PVGIS-SARAH3&amp;pvtechchoice=crystSi&amp;mountingplace=free&amp;usehorizon=1</v>
      </c>
    </row>
    <row r="737">
      <c r="A737" t="n">
        <v>10</v>
      </c>
      <c r="B737" t="n">
        <v>75</v>
      </c>
      <c r="C737" t="n">
        <v>8</v>
      </c>
      <c r="D737" s="218" t="n">
        <v>165.61</v>
      </c>
      <c r="E737" s="218" t="n">
        <v>5.34</v>
      </c>
      <c r="F737" t="str">
        <v>https://re.jrc.ec.europa.eu/api/v5_3/PVcalc?lat=30.0444&amp;lon=31.2357&amp;peakpower=1&amp;loss=14&amp;angle=10&amp;aspect=-105&amp;outputformat=json&amp;raddatabase=PVGIS-SARAH3&amp;pvtechchoice=crystSi&amp;mountingplace=free&amp;usehorizon=1</v>
      </c>
    </row>
    <row r="738">
      <c r="A738" t="n">
        <v>10</v>
      </c>
      <c r="B738" t="n">
        <v>75</v>
      </c>
      <c r="C738" t="n">
        <v>9</v>
      </c>
      <c r="D738" s="218" t="n">
        <v>139.97</v>
      </c>
      <c r="E738" s="218" t="n">
        <v>4.67</v>
      </c>
      <c r="F738" t="str">
        <v>https://re.jrc.ec.europa.eu/api/v5_3/PVcalc?lat=30.0444&amp;lon=31.2357&amp;peakpower=1&amp;loss=14&amp;angle=10&amp;aspect=-105&amp;outputformat=json&amp;raddatabase=PVGIS-SARAH3&amp;pvtechchoice=crystSi&amp;mountingplace=free&amp;usehorizon=1</v>
      </c>
    </row>
    <row r="739">
      <c r="A739" t="n">
        <v>10</v>
      </c>
      <c r="B739" t="n">
        <v>75</v>
      </c>
      <c r="C739" t="n">
        <v>10</v>
      </c>
      <c r="D739" s="218" t="n">
        <v>116.5</v>
      </c>
      <c r="E739" s="218" t="n">
        <v>3.76</v>
      </c>
      <c r="F739" t="str">
        <v>https://re.jrc.ec.europa.eu/api/v5_3/PVcalc?lat=30.0444&amp;lon=31.2357&amp;peakpower=1&amp;loss=14&amp;angle=10&amp;aspect=-105&amp;outputformat=json&amp;raddatabase=PVGIS-SARAH3&amp;pvtechchoice=crystSi&amp;mountingplace=free&amp;usehorizon=1</v>
      </c>
    </row>
    <row r="740">
      <c r="A740" t="n">
        <v>10</v>
      </c>
      <c r="B740" t="n">
        <v>75</v>
      </c>
      <c r="C740" t="n">
        <v>11</v>
      </c>
      <c r="D740" s="218" t="n">
        <v>89.26</v>
      </c>
      <c r="E740" s="218" t="n">
        <v>2.98</v>
      </c>
      <c r="F740" t="str">
        <v>https://re.jrc.ec.europa.eu/api/v5_3/PVcalc?lat=30.0444&amp;lon=31.2357&amp;peakpower=1&amp;loss=14&amp;angle=10&amp;aspect=-105&amp;outputformat=json&amp;raddatabase=PVGIS-SARAH3&amp;pvtechchoice=crystSi&amp;mountingplace=free&amp;usehorizon=1</v>
      </c>
    </row>
    <row r="741">
      <c r="A741" t="n">
        <v>10</v>
      </c>
      <c r="B741" t="n">
        <v>75</v>
      </c>
      <c r="C741" t="n">
        <v>12</v>
      </c>
      <c r="D741" s="218" t="n">
        <v>78.98</v>
      </c>
      <c r="E741" s="218" t="n">
        <v>2.55</v>
      </c>
      <c r="F741" t="str">
        <v>https://re.jrc.ec.europa.eu/api/v5_3/PVcalc?lat=30.0444&amp;lon=31.2357&amp;peakpower=1&amp;loss=14&amp;angle=10&amp;aspect=-105&amp;outputformat=json&amp;raddatabase=PVGIS-SARAH3&amp;pvtechchoice=crystSi&amp;mountingplace=free&amp;usehorizon=1</v>
      </c>
    </row>
    <row r="742">
      <c r="A742" t="n">
        <v>10</v>
      </c>
      <c r="B742" t="n">
        <v>90</v>
      </c>
      <c r="C742" t="n">
        <v>1</v>
      </c>
      <c r="D742" s="218" t="n">
        <v>88.47</v>
      </c>
      <c r="E742" s="218" t="n">
        <v>2.85</v>
      </c>
      <c r="F742" t="str">
        <v>https://re.jrc.ec.europa.eu/api/v5_3/PVcalc?lat=30.0444&amp;lon=31.2357&amp;peakpower=1&amp;loss=14&amp;angle=10&amp;aspect=-90&amp;outputformat=json&amp;raddatabase=PVGIS-SARAH3&amp;pvtechchoice=crystSi&amp;mountingplace=free&amp;usehorizon=1</v>
      </c>
    </row>
    <row r="743">
      <c r="A743" t="n">
        <v>10</v>
      </c>
      <c r="B743" t="n">
        <v>90</v>
      </c>
      <c r="C743" t="n">
        <v>2</v>
      </c>
      <c r="D743" s="218" t="n">
        <v>98.92</v>
      </c>
      <c r="E743" s="218" t="n">
        <v>3.53</v>
      </c>
      <c r="F743" t="str">
        <v>https://re.jrc.ec.europa.eu/api/v5_3/PVcalc?lat=30.0444&amp;lon=31.2357&amp;peakpower=1&amp;loss=14&amp;angle=10&amp;aspect=-90&amp;outputformat=json&amp;raddatabase=PVGIS-SARAH3&amp;pvtechchoice=crystSi&amp;mountingplace=free&amp;usehorizon=1</v>
      </c>
    </row>
    <row r="744">
      <c r="A744" t="n">
        <v>10</v>
      </c>
      <c r="B744" t="n">
        <v>90</v>
      </c>
      <c r="C744" t="n">
        <v>3</v>
      </c>
      <c r="D744" s="218" t="n">
        <v>137.64</v>
      </c>
      <c r="E744" s="218" t="n">
        <v>4.44</v>
      </c>
      <c r="F744" t="str">
        <v>https://re.jrc.ec.europa.eu/api/v5_3/PVcalc?lat=30.0444&amp;lon=31.2357&amp;peakpower=1&amp;loss=14&amp;angle=10&amp;aspect=-90&amp;outputformat=json&amp;raddatabase=PVGIS-SARAH3&amp;pvtechchoice=crystSi&amp;mountingplace=free&amp;usehorizon=1</v>
      </c>
    </row>
    <row r="745">
      <c r="A745" t="n">
        <v>10</v>
      </c>
      <c r="B745" t="n">
        <v>90</v>
      </c>
      <c r="C745" t="n">
        <v>4</v>
      </c>
      <c r="D745" s="218" t="n">
        <v>155.01</v>
      </c>
      <c r="E745" s="218" t="n">
        <v>5.17</v>
      </c>
      <c r="F745" t="str">
        <v>https://re.jrc.ec.europa.eu/api/v5_3/PVcalc?lat=30.0444&amp;lon=31.2357&amp;peakpower=1&amp;loss=14&amp;angle=10&amp;aspect=-90&amp;outputformat=json&amp;raddatabase=PVGIS-SARAH3&amp;pvtechchoice=crystSi&amp;mountingplace=free&amp;usehorizon=1</v>
      </c>
    </row>
    <row r="746">
      <c r="A746" t="n">
        <v>10</v>
      </c>
      <c r="B746" t="n">
        <v>90</v>
      </c>
      <c r="C746" t="n">
        <v>5</v>
      </c>
      <c r="D746" s="218" t="n">
        <v>173.24</v>
      </c>
      <c r="E746" s="218" t="n">
        <v>5.59</v>
      </c>
      <c r="F746" t="str">
        <v>https://re.jrc.ec.europa.eu/api/v5_3/PVcalc?lat=30.0444&amp;lon=31.2357&amp;peakpower=1&amp;loss=14&amp;angle=10&amp;aspect=-90&amp;outputformat=json&amp;raddatabase=PVGIS-SARAH3&amp;pvtechchoice=crystSi&amp;mountingplace=free&amp;usehorizon=1</v>
      </c>
    </row>
    <row r="747">
      <c r="A747" t="n">
        <v>10</v>
      </c>
      <c r="B747" t="n">
        <v>90</v>
      </c>
      <c r="C747" t="n">
        <v>6</v>
      </c>
      <c r="D747" s="218" t="n">
        <v>177.27</v>
      </c>
      <c r="E747" s="218" t="n">
        <v>5.91</v>
      </c>
      <c r="F747" t="str">
        <v>https://re.jrc.ec.europa.eu/api/v5_3/PVcalc?lat=30.0444&amp;lon=31.2357&amp;peakpower=1&amp;loss=14&amp;angle=10&amp;aspect=-90&amp;outputformat=json&amp;raddatabase=PVGIS-SARAH3&amp;pvtechchoice=crystSi&amp;mountingplace=free&amp;usehorizon=1</v>
      </c>
    </row>
    <row r="748">
      <c r="A748" t="n">
        <v>10</v>
      </c>
      <c r="B748" t="n">
        <v>90</v>
      </c>
      <c r="C748" t="n">
        <v>7</v>
      </c>
      <c r="D748" s="218" t="n">
        <v>179.04</v>
      </c>
      <c r="E748" s="218" t="n">
        <v>5.78</v>
      </c>
      <c r="F748" t="str">
        <v>https://re.jrc.ec.europa.eu/api/v5_3/PVcalc?lat=30.0444&amp;lon=31.2357&amp;peakpower=1&amp;loss=14&amp;angle=10&amp;aspect=-90&amp;outputformat=json&amp;raddatabase=PVGIS-SARAH3&amp;pvtechchoice=crystSi&amp;mountingplace=free&amp;usehorizon=1</v>
      </c>
    </row>
    <row r="749">
      <c r="A749" t="n">
        <v>10</v>
      </c>
      <c r="B749" t="n">
        <v>90</v>
      </c>
      <c r="C749" t="n">
        <v>8</v>
      </c>
      <c r="D749" s="218" t="n">
        <v>166.78</v>
      </c>
      <c r="E749" s="218" t="n">
        <v>5.38</v>
      </c>
      <c r="F749" t="str">
        <v>https://re.jrc.ec.europa.eu/api/v5_3/PVcalc?lat=30.0444&amp;lon=31.2357&amp;peakpower=1&amp;loss=14&amp;angle=10&amp;aspect=-90&amp;outputformat=json&amp;raddatabase=PVGIS-SARAH3&amp;pvtechchoice=crystSi&amp;mountingplace=free&amp;usehorizon=1</v>
      </c>
    </row>
    <row r="750">
      <c r="A750" t="n">
        <v>10</v>
      </c>
      <c r="B750" t="n">
        <v>90</v>
      </c>
      <c r="C750" t="n">
        <v>9</v>
      </c>
      <c r="D750" s="218" t="n">
        <v>142.63</v>
      </c>
      <c r="E750" s="218" t="n">
        <v>4.75</v>
      </c>
      <c r="F750" t="str">
        <v>https://re.jrc.ec.europa.eu/api/v5_3/PVcalc?lat=30.0444&amp;lon=31.2357&amp;peakpower=1&amp;loss=14&amp;angle=10&amp;aspect=-90&amp;outputformat=json&amp;raddatabase=PVGIS-SARAH3&amp;pvtechchoice=crystSi&amp;mountingplace=free&amp;usehorizon=1</v>
      </c>
    </row>
    <row r="751">
      <c r="A751" t="n">
        <v>10</v>
      </c>
      <c r="B751" t="n">
        <v>90</v>
      </c>
      <c r="C751" t="n">
        <v>10</v>
      </c>
      <c r="D751" s="218" t="n">
        <v>120.59</v>
      </c>
      <c r="E751" s="218" t="n">
        <v>3.89</v>
      </c>
      <c r="F751" t="str">
        <v>https://re.jrc.ec.europa.eu/api/v5_3/PVcalc?lat=30.0444&amp;lon=31.2357&amp;peakpower=1&amp;loss=14&amp;angle=10&amp;aspect=-90&amp;outputformat=json&amp;raddatabase=PVGIS-SARAH3&amp;pvtechchoice=crystSi&amp;mountingplace=free&amp;usehorizon=1</v>
      </c>
    </row>
    <row r="752">
      <c r="A752" t="n">
        <v>10</v>
      </c>
      <c r="B752" t="n">
        <v>90</v>
      </c>
      <c r="C752" t="n">
        <v>11</v>
      </c>
      <c r="D752" s="218" t="n">
        <v>94.02</v>
      </c>
      <c r="E752" s="218" t="n">
        <v>3.13</v>
      </c>
      <c r="F752" t="str">
        <v>https://re.jrc.ec.europa.eu/api/v5_3/PVcalc?lat=30.0444&amp;lon=31.2357&amp;peakpower=1&amp;loss=14&amp;angle=10&amp;aspect=-90&amp;outputformat=json&amp;raddatabase=PVGIS-SARAH3&amp;pvtechchoice=crystSi&amp;mountingplace=free&amp;usehorizon=1</v>
      </c>
    </row>
    <row r="753">
      <c r="A753" t="n">
        <v>10</v>
      </c>
      <c r="B753" t="n">
        <v>90</v>
      </c>
      <c r="C753" t="n">
        <v>12</v>
      </c>
      <c r="D753" s="218" t="n">
        <v>84</v>
      </c>
      <c r="E753" s="218" t="n">
        <v>2.71</v>
      </c>
      <c r="F753" t="str">
        <v>https://re.jrc.ec.europa.eu/api/v5_3/PVcalc?lat=30.0444&amp;lon=31.2357&amp;peakpower=1&amp;loss=14&amp;angle=10&amp;aspect=-90&amp;outputformat=json&amp;raddatabase=PVGIS-SARAH3&amp;pvtechchoice=crystSi&amp;mountingplace=free&amp;usehorizon=1</v>
      </c>
    </row>
    <row r="754">
      <c r="A754" t="n">
        <v>10</v>
      </c>
      <c r="B754" t="n">
        <v>105</v>
      </c>
      <c r="C754" t="n">
        <v>1</v>
      </c>
      <c r="D754" s="218" t="n">
        <v>93.19</v>
      </c>
      <c r="E754" s="218" t="n">
        <v>3.01</v>
      </c>
      <c r="F754" t="str">
        <v>https://re.jrc.ec.europa.eu/api/v5_3/PVcalc?lat=30.0444&amp;lon=31.2357&amp;peakpower=1&amp;loss=14&amp;angle=10&amp;aspect=-75&amp;outputformat=json&amp;raddatabase=PVGIS-SARAH3&amp;pvtechchoice=crystSi&amp;mountingplace=free&amp;usehorizon=1</v>
      </c>
    </row>
    <row r="755">
      <c r="A755" t="n">
        <v>10</v>
      </c>
      <c r="B755" t="n">
        <v>105</v>
      </c>
      <c r="C755" t="n">
        <v>2</v>
      </c>
      <c r="D755" s="218" t="n">
        <v>102.53</v>
      </c>
      <c r="E755" s="218" t="n">
        <v>3.66</v>
      </c>
      <c r="F755" t="str">
        <v>https://re.jrc.ec.europa.eu/api/v5_3/PVcalc?lat=30.0444&amp;lon=31.2357&amp;peakpower=1&amp;loss=14&amp;angle=10&amp;aspect=-75&amp;outputformat=json&amp;raddatabase=PVGIS-SARAH3&amp;pvtechchoice=crystSi&amp;mountingplace=free&amp;usehorizon=1</v>
      </c>
    </row>
    <row r="756">
      <c r="A756" t="n">
        <v>10</v>
      </c>
      <c r="B756" t="n">
        <v>105</v>
      </c>
      <c r="C756" t="n">
        <v>3</v>
      </c>
      <c r="D756" s="218" t="n">
        <v>140.75</v>
      </c>
      <c r="E756" s="218" t="n">
        <v>4.54</v>
      </c>
      <c r="F756" t="str">
        <v>https://re.jrc.ec.europa.eu/api/v5_3/PVcalc?lat=30.0444&amp;lon=31.2357&amp;peakpower=1&amp;loss=14&amp;angle=10&amp;aspect=-75&amp;outputformat=json&amp;raddatabase=PVGIS-SARAH3&amp;pvtechchoice=crystSi&amp;mountingplace=free&amp;usehorizon=1</v>
      </c>
    </row>
    <row r="757">
      <c r="A757" t="n">
        <v>10</v>
      </c>
      <c r="B757" t="n">
        <v>105</v>
      </c>
      <c r="C757" t="n">
        <v>4</v>
      </c>
      <c r="D757" s="218" t="n">
        <v>156.7</v>
      </c>
      <c r="E757" s="218" t="n">
        <v>5.22</v>
      </c>
      <c r="F757" t="str">
        <v>https://re.jrc.ec.europa.eu/api/v5_3/PVcalc?lat=30.0444&amp;lon=31.2357&amp;peakpower=1&amp;loss=14&amp;angle=10&amp;aspect=-75&amp;outputformat=json&amp;raddatabase=PVGIS-SARAH3&amp;pvtechchoice=crystSi&amp;mountingplace=free&amp;usehorizon=1</v>
      </c>
    </row>
    <row r="758">
      <c r="A758" t="n">
        <v>10</v>
      </c>
      <c r="B758" t="n">
        <v>105</v>
      </c>
      <c r="C758" t="n">
        <v>5</v>
      </c>
      <c r="D758" s="218" t="n">
        <v>173.65</v>
      </c>
      <c r="E758" s="218" t="n">
        <v>5.6</v>
      </c>
      <c r="F758" t="str">
        <v>https://re.jrc.ec.europa.eu/api/v5_3/PVcalc?lat=30.0444&amp;lon=31.2357&amp;peakpower=1&amp;loss=14&amp;angle=10&amp;aspect=-75&amp;outputformat=json&amp;raddatabase=PVGIS-SARAH3&amp;pvtechchoice=crystSi&amp;mountingplace=free&amp;usehorizon=1</v>
      </c>
    </row>
    <row r="759">
      <c r="A759" t="n">
        <v>10</v>
      </c>
      <c r="B759" t="n">
        <v>105</v>
      </c>
      <c r="C759" t="n">
        <v>6</v>
      </c>
      <c r="D759" s="218" t="n">
        <v>177.03</v>
      </c>
      <c r="E759" s="218" t="n">
        <v>5.9</v>
      </c>
      <c r="F759" t="str">
        <v>https://re.jrc.ec.europa.eu/api/v5_3/PVcalc?lat=30.0444&amp;lon=31.2357&amp;peakpower=1&amp;loss=14&amp;angle=10&amp;aspect=-75&amp;outputformat=json&amp;raddatabase=PVGIS-SARAH3&amp;pvtechchoice=crystSi&amp;mountingplace=free&amp;usehorizon=1</v>
      </c>
    </row>
    <row r="760">
      <c r="A760" t="n">
        <v>10</v>
      </c>
      <c r="B760" t="n">
        <v>105</v>
      </c>
      <c r="C760" t="n">
        <v>7</v>
      </c>
      <c r="D760" s="218" t="n">
        <v>179.16</v>
      </c>
      <c r="E760" s="218" t="n">
        <v>5.78</v>
      </c>
      <c r="F760" t="str">
        <v>https://re.jrc.ec.europa.eu/api/v5_3/PVcalc?lat=30.0444&amp;lon=31.2357&amp;peakpower=1&amp;loss=14&amp;angle=10&amp;aspect=-75&amp;outputformat=json&amp;raddatabase=PVGIS-SARAH3&amp;pvtechchoice=crystSi&amp;mountingplace=free&amp;usehorizon=1</v>
      </c>
    </row>
    <row r="761">
      <c r="A761" t="n">
        <v>10</v>
      </c>
      <c r="B761" t="n">
        <v>105</v>
      </c>
      <c r="C761" t="n">
        <v>8</v>
      </c>
      <c r="D761" s="218" t="n">
        <v>168.07</v>
      </c>
      <c r="E761" s="218" t="n">
        <v>5.42</v>
      </c>
      <c r="F761" t="str">
        <v>https://re.jrc.ec.europa.eu/api/v5_3/PVcalc?lat=30.0444&amp;lon=31.2357&amp;peakpower=1&amp;loss=14&amp;angle=10&amp;aspect=-75&amp;outputformat=json&amp;raddatabase=PVGIS-SARAH3&amp;pvtechchoice=crystSi&amp;mountingplace=free&amp;usehorizon=1</v>
      </c>
    </row>
    <row r="762">
      <c r="A762" t="n">
        <v>10</v>
      </c>
      <c r="B762" t="n">
        <v>105</v>
      </c>
      <c r="C762" t="n">
        <v>9</v>
      </c>
      <c r="D762" s="218" t="n">
        <v>145.36</v>
      </c>
      <c r="E762" s="218" t="n">
        <v>4.85</v>
      </c>
      <c r="F762" t="str">
        <v>https://re.jrc.ec.europa.eu/api/v5_3/PVcalc?lat=30.0444&amp;lon=31.2357&amp;peakpower=1&amp;loss=14&amp;angle=10&amp;aspect=-75&amp;outputformat=json&amp;raddatabase=PVGIS-SARAH3&amp;pvtechchoice=crystSi&amp;mountingplace=free&amp;usehorizon=1</v>
      </c>
    </row>
    <row r="763">
      <c r="A763" t="n">
        <v>10</v>
      </c>
      <c r="B763" t="n">
        <v>105</v>
      </c>
      <c r="C763" t="n">
        <v>10</v>
      </c>
      <c r="D763" s="218" t="n">
        <v>124.67</v>
      </c>
      <c r="E763" s="218" t="n">
        <v>4.02</v>
      </c>
      <c r="F763" t="str">
        <v>https://re.jrc.ec.europa.eu/api/v5_3/PVcalc?lat=30.0444&amp;lon=31.2357&amp;peakpower=1&amp;loss=14&amp;angle=10&amp;aspect=-75&amp;outputformat=json&amp;raddatabase=PVGIS-SARAH3&amp;pvtechchoice=crystSi&amp;mountingplace=free&amp;usehorizon=1</v>
      </c>
    </row>
    <row r="764">
      <c r="A764" t="n">
        <v>10</v>
      </c>
      <c r="B764" t="n">
        <v>105</v>
      </c>
      <c r="C764" t="n">
        <v>11</v>
      </c>
      <c r="D764" s="218" t="n">
        <v>98.65</v>
      </c>
      <c r="E764" s="218" t="n">
        <v>3.29</v>
      </c>
      <c r="F764" t="str">
        <v>https://re.jrc.ec.europa.eu/api/v5_3/PVcalc?lat=30.0444&amp;lon=31.2357&amp;peakpower=1&amp;loss=14&amp;angle=10&amp;aspect=-75&amp;outputformat=json&amp;raddatabase=PVGIS-SARAH3&amp;pvtechchoice=crystSi&amp;mountingplace=free&amp;usehorizon=1</v>
      </c>
    </row>
    <row r="765">
      <c r="A765" t="n">
        <v>10</v>
      </c>
      <c r="B765" t="n">
        <v>105</v>
      </c>
      <c r="C765" t="n">
        <v>12</v>
      </c>
      <c r="D765" s="218" t="n">
        <v>88.86</v>
      </c>
      <c r="E765" s="218" t="n">
        <v>2.87</v>
      </c>
      <c r="F765" t="str">
        <v>https://re.jrc.ec.europa.eu/api/v5_3/PVcalc?lat=30.0444&amp;lon=31.2357&amp;peakpower=1&amp;loss=14&amp;angle=10&amp;aspect=-75&amp;outputformat=json&amp;raddatabase=PVGIS-SARAH3&amp;pvtechchoice=crystSi&amp;mountingplace=free&amp;usehorizon=1</v>
      </c>
    </row>
    <row r="766">
      <c r="A766" t="n">
        <v>10</v>
      </c>
      <c r="B766" t="n">
        <v>120</v>
      </c>
      <c r="C766" t="n">
        <v>1</v>
      </c>
      <c r="D766" s="218" t="n">
        <v>97.53</v>
      </c>
      <c r="E766" s="218" t="n">
        <v>3.15</v>
      </c>
      <c r="F766" t="str">
        <v>https://re.jrc.ec.europa.eu/api/v5_3/PVcalc?lat=30.0444&amp;lon=31.2357&amp;peakpower=1&amp;loss=14&amp;angle=10&amp;aspect=-60&amp;outputformat=json&amp;raddatabase=PVGIS-SARAH3&amp;pvtechchoice=crystSi&amp;mountingplace=free&amp;usehorizon=1</v>
      </c>
    </row>
    <row r="767">
      <c r="A767" t="n">
        <v>10</v>
      </c>
      <c r="B767" t="n">
        <v>120</v>
      </c>
      <c r="C767" t="n">
        <v>2</v>
      </c>
      <c r="D767" s="218" t="n">
        <v>105.74</v>
      </c>
      <c r="E767" s="218" t="n">
        <v>3.78</v>
      </c>
      <c r="F767" t="str">
        <v>https://re.jrc.ec.europa.eu/api/v5_3/PVcalc?lat=30.0444&amp;lon=31.2357&amp;peakpower=1&amp;loss=14&amp;angle=10&amp;aspect=-60&amp;outputformat=json&amp;raddatabase=PVGIS-SARAH3&amp;pvtechchoice=crystSi&amp;mountingplace=free&amp;usehorizon=1</v>
      </c>
    </row>
    <row r="768">
      <c r="A768" t="n">
        <v>10</v>
      </c>
      <c r="B768" t="n">
        <v>120</v>
      </c>
      <c r="C768" t="n">
        <v>3</v>
      </c>
      <c r="D768" s="218" t="n">
        <v>143.71</v>
      </c>
      <c r="E768" s="218" t="n">
        <v>4.64</v>
      </c>
      <c r="F768" t="str">
        <v>https://re.jrc.ec.europa.eu/api/v5_3/PVcalc?lat=30.0444&amp;lon=31.2357&amp;peakpower=1&amp;loss=14&amp;angle=10&amp;aspect=-60&amp;outputformat=json&amp;raddatabase=PVGIS-SARAH3&amp;pvtechchoice=crystSi&amp;mountingplace=free&amp;usehorizon=1</v>
      </c>
    </row>
    <row r="769">
      <c r="A769" t="n">
        <v>10</v>
      </c>
      <c r="B769" t="n">
        <v>120</v>
      </c>
      <c r="C769" t="n">
        <v>4</v>
      </c>
      <c r="D769" s="218" t="n">
        <v>158.35</v>
      </c>
      <c r="E769" s="218" t="n">
        <v>5.28</v>
      </c>
      <c r="F769" t="str">
        <v>https://re.jrc.ec.europa.eu/api/v5_3/PVcalc?lat=30.0444&amp;lon=31.2357&amp;peakpower=1&amp;loss=14&amp;angle=10&amp;aspect=-60&amp;outputformat=json&amp;raddatabase=PVGIS-SARAH3&amp;pvtechchoice=crystSi&amp;mountingplace=free&amp;usehorizon=1</v>
      </c>
    </row>
    <row r="770">
      <c r="A770" t="n">
        <v>10</v>
      </c>
      <c r="B770" t="n">
        <v>120</v>
      </c>
      <c r="C770" t="n">
        <v>5</v>
      </c>
      <c r="D770" s="218" t="n">
        <v>174.08</v>
      </c>
      <c r="E770" s="218" t="n">
        <v>5.62</v>
      </c>
      <c r="F770" t="str">
        <v>https://re.jrc.ec.europa.eu/api/v5_3/PVcalc?lat=30.0444&amp;lon=31.2357&amp;peakpower=1&amp;loss=14&amp;angle=10&amp;aspect=-60&amp;outputformat=json&amp;raddatabase=PVGIS-SARAH3&amp;pvtechchoice=crystSi&amp;mountingplace=free&amp;usehorizon=1</v>
      </c>
    </row>
    <row r="771">
      <c r="A771" t="n">
        <v>10</v>
      </c>
      <c r="B771" t="n">
        <v>120</v>
      </c>
      <c r="C771" t="n">
        <v>6</v>
      </c>
      <c r="D771" s="218" t="n">
        <v>176.89</v>
      </c>
      <c r="E771" s="218" t="n">
        <v>5.9</v>
      </c>
      <c r="F771" t="str">
        <v>https://re.jrc.ec.europa.eu/api/v5_3/PVcalc?lat=30.0444&amp;lon=31.2357&amp;peakpower=1&amp;loss=14&amp;angle=10&amp;aspect=-60&amp;outputformat=json&amp;raddatabase=PVGIS-SARAH3&amp;pvtechchoice=crystSi&amp;mountingplace=free&amp;usehorizon=1</v>
      </c>
    </row>
    <row r="772">
      <c r="A772" t="n">
        <v>10</v>
      </c>
      <c r="B772" t="n">
        <v>120</v>
      </c>
      <c r="C772" t="n">
        <v>7</v>
      </c>
      <c r="D772" s="218" t="n">
        <v>179.4</v>
      </c>
      <c r="E772" s="218" t="n">
        <v>5.79</v>
      </c>
      <c r="F772" t="str">
        <v>https://re.jrc.ec.europa.eu/api/v5_3/PVcalc?lat=30.0444&amp;lon=31.2357&amp;peakpower=1&amp;loss=14&amp;angle=10&amp;aspect=-60&amp;outputformat=json&amp;raddatabase=PVGIS-SARAH3&amp;pvtechchoice=crystSi&amp;mountingplace=free&amp;usehorizon=1</v>
      </c>
    </row>
    <row r="773">
      <c r="A773" t="n">
        <v>10</v>
      </c>
      <c r="B773" t="n">
        <v>120</v>
      </c>
      <c r="C773" t="n">
        <v>8</v>
      </c>
      <c r="D773" s="218" t="n">
        <v>169.39</v>
      </c>
      <c r="E773" s="218" t="n">
        <v>5.46</v>
      </c>
      <c r="F773" t="str">
        <v>https://re.jrc.ec.europa.eu/api/v5_3/PVcalc?lat=30.0444&amp;lon=31.2357&amp;peakpower=1&amp;loss=14&amp;angle=10&amp;aspect=-60&amp;outputformat=json&amp;raddatabase=PVGIS-SARAH3&amp;pvtechchoice=crystSi&amp;mountingplace=free&amp;usehorizon=1</v>
      </c>
    </row>
    <row r="774">
      <c r="A774" t="n">
        <v>10</v>
      </c>
      <c r="B774" t="n">
        <v>120</v>
      </c>
      <c r="C774" t="n">
        <v>9</v>
      </c>
      <c r="D774" s="218" t="n">
        <v>147.95</v>
      </c>
      <c r="E774" s="218" t="n">
        <v>4.93</v>
      </c>
      <c r="F774" t="str">
        <v>https://re.jrc.ec.europa.eu/api/v5_3/PVcalc?lat=30.0444&amp;lon=31.2357&amp;peakpower=1&amp;loss=14&amp;angle=10&amp;aspect=-60&amp;outputformat=json&amp;raddatabase=PVGIS-SARAH3&amp;pvtechchoice=crystSi&amp;mountingplace=free&amp;usehorizon=1</v>
      </c>
    </row>
    <row r="775">
      <c r="A775" t="n">
        <v>10</v>
      </c>
      <c r="B775" t="n">
        <v>120</v>
      </c>
      <c r="C775" t="n">
        <v>10</v>
      </c>
      <c r="D775" s="218" t="n">
        <v>128.47</v>
      </c>
      <c r="E775" s="218" t="n">
        <v>4.14</v>
      </c>
      <c r="F775" t="str">
        <v>https://re.jrc.ec.europa.eu/api/v5_3/PVcalc?lat=30.0444&amp;lon=31.2357&amp;peakpower=1&amp;loss=14&amp;angle=10&amp;aspect=-60&amp;outputformat=json&amp;raddatabase=PVGIS-SARAH3&amp;pvtechchoice=crystSi&amp;mountingplace=free&amp;usehorizon=1</v>
      </c>
    </row>
    <row r="776">
      <c r="A776" t="n">
        <v>10</v>
      </c>
      <c r="B776" t="n">
        <v>120</v>
      </c>
      <c r="C776" t="n">
        <v>11</v>
      </c>
      <c r="D776" s="218" t="n">
        <v>103.02</v>
      </c>
      <c r="E776" s="218" t="n">
        <v>3.43</v>
      </c>
      <c r="F776" t="str">
        <v>https://re.jrc.ec.europa.eu/api/v5_3/PVcalc?lat=30.0444&amp;lon=31.2357&amp;peakpower=1&amp;loss=14&amp;angle=10&amp;aspect=-60&amp;outputformat=json&amp;raddatabase=PVGIS-SARAH3&amp;pvtechchoice=crystSi&amp;mountingplace=free&amp;usehorizon=1</v>
      </c>
    </row>
    <row r="777">
      <c r="A777" t="n">
        <v>10</v>
      </c>
      <c r="B777" t="n">
        <v>120</v>
      </c>
      <c r="C777" t="n">
        <v>12</v>
      </c>
      <c r="D777" s="218" t="n">
        <v>93.46</v>
      </c>
      <c r="E777" s="218" t="n">
        <v>3.01</v>
      </c>
      <c r="F777" t="str">
        <v>https://re.jrc.ec.europa.eu/api/v5_3/PVcalc?lat=30.0444&amp;lon=31.2357&amp;peakpower=1&amp;loss=14&amp;angle=10&amp;aspect=-60&amp;outputformat=json&amp;raddatabase=PVGIS-SARAH3&amp;pvtechchoice=crystSi&amp;mountingplace=free&amp;usehorizon=1</v>
      </c>
    </row>
    <row r="778">
      <c r="A778" t="n">
        <v>10</v>
      </c>
      <c r="B778" t="n">
        <v>135</v>
      </c>
      <c r="C778" t="n">
        <v>1</v>
      </c>
      <c r="D778" s="218" t="n">
        <v>101.22</v>
      </c>
      <c r="E778" s="218" t="n">
        <v>3.27</v>
      </c>
      <c r="F778" t="str">
        <v>https://re.jrc.ec.europa.eu/api/v5_3/PVcalc?lat=30.0444&amp;lon=31.2357&amp;peakpower=1&amp;loss=14&amp;angle=10&amp;aspect=-45&amp;outputformat=json&amp;raddatabase=PVGIS-SARAH3&amp;pvtechchoice=crystSi&amp;mountingplace=free&amp;usehorizon=1</v>
      </c>
    </row>
    <row r="779">
      <c r="A779" t="n">
        <v>10</v>
      </c>
      <c r="B779" t="n">
        <v>135</v>
      </c>
      <c r="C779" t="n">
        <v>2</v>
      </c>
      <c r="D779" s="218" t="n">
        <v>108.43</v>
      </c>
      <c r="E779" s="218" t="n">
        <v>3.87</v>
      </c>
      <c r="F779" t="str">
        <v>https://re.jrc.ec.europa.eu/api/v5_3/PVcalc?lat=30.0444&amp;lon=31.2357&amp;peakpower=1&amp;loss=14&amp;angle=10&amp;aspect=-45&amp;outputformat=json&amp;raddatabase=PVGIS-SARAH3&amp;pvtechchoice=crystSi&amp;mountingplace=free&amp;usehorizon=1</v>
      </c>
    </row>
    <row r="780">
      <c r="A780" t="n">
        <v>10</v>
      </c>
      <c r="B780" t="n">
        <v>135</v>
      </c>
      <c r="C780" t="n">
        <v>3</v>
      </c>
      <c r="D780" s="218" t="n">
        <v>146.32</v>
      </c>
      <c r="E780" s="218" t="n">
        <v>4.72</v>
      </c>
      <c r="F780" t="str">
        <v>https://re.jrc.ec.europa.eu/api/v5_3/PVcalc?lat=30.0444&amp;lon=31.2357&amp;peakpower=1&amp;loss=14&amp;angle=10&amp;aspect=-45&amp;outputformat=json&amp;raddatabase=PVGIS-SARAH3&amp;pvtechchoice=crystSi&amp;mountingplace=free&amp;usehorizon=1</v>
      </c>
    </row>
    <row r="781">
      <c r="A781" t="n">
        <v>10</v>
      </c>
      <c r="B781" t="n">
        <v>135</v>
      </c>
      <c r="C781" t="n">
        <v>4</v>
      </c>
      <c r="D781" s="218" t="n">
        <v>159.87</v>
      </c>
      <c r="E781" s="218" t="n">
        <v>5.33</v>
      </c>
      <c r="F781" t="str">
        <v>https://re.jrc.ec.europa.eu/api/v5_3/PVcalc?lat=30.0444&amp;lon=31.2357&amp;peakpower=1&amp;loss=14&amp;angle=10&amp;aspect=-45&amp;outputformat=json&amp;raddatabase=PVGIS-SARAH3&amp;pvtechchoice=crystSi&amp;mountingplace=free&amp;usehorizon=1</v>
      </c>
    </row>
    <row r="782">
      <c r="A782" t="n">
        <v>10</v>
      </c>
      <c r="B782" t="n">
        <v>135</v>
      </c>
      <c r="C782" t="n">
        <v>5</v>
      </c>
      <c r="D782" s="218" t="n">
        <v>174.51</v>
      </c>
      <c r="E782" s="218" t="n">
        <v>5.63</v>
      </c>
      <c r="F782" t="str">
        <v>https://re.jrc.ec.europa.eu/api/v5_3/PVcalc?lat=30.0444&amp;lon=31.2357&amp;peakpower=1&amp;loss=14&amp;angle=10&amp;aspect=-45&amp;outputformat=json&amp;raddatabase=PVGIS-SARAH3&amp;pvtechchoice=crystSi&amp;mountingplace=free&amp;usehorizon=1</v>
      </c>
    </row>
    <row r="783">
      <c r="A783" t="n">
        <v>10</v>
      </c>
      <c r="B783" t="n">
        <v>135</v>
      </c>
      <c r="C783" t="n">
        <v>6</v>
      </c>
      <c r="D783" s="218" t="n">
        <v>176.83</v>
      </c>
      <c r="E783" s="218" t="n">
        <v>5.89</v>
      </c>
      <c r="F783" t="str">
        <v>https://re.jrc.ec.europa.eu/api/v5_3/PVcalc?lat=30.0444&amp;lon=31.2357&amp;peakpower=1&amp;loss=14&amp;angle=10&amp;aspect=-45&amp;outputformat=json&amp;raddatabase=PVGIS-SARAH3&amp;pvtechchoice=crystSi&amp;mountingplace=free&amp;usehorizon=1</v>
      </c>
    </row>
    <row r="784">
      <c r="A784" t="n">
        <v>10</v>
      </c>
      <c r="B784" t="n">
        <v>135</v>
      </c>
      <c r="C784" t="n">
        <v>7</v>
      </c>
      <c r="D784" s="218" t="n">
        <v>179.64</v>
      </c>
      <c r="E784" s="218" t="n">
        <v>5.79</v>
      </c>
      <c r="F784" t="str">
        <v>https://re.jrc.ec.europa.eu/api/v5_3/PVcalc?lat=30.0444&amp;lon=31.2357&amp;peakpower=1&amp;loss=14&amp;angle=10&amp;aspect=-45&amp;outputformat=json&amp;raddatabase=PVGIS-SARAH3&amp;pvtechchoice=crystSi&amp;mountingplace=free&amp;usehorizon=1</v>
      </c>
    </row>
    <row r="785">
      <c r="A785" t="n">
        <v>10</v>
      </c>
      <c r="B785" t="n">
        <v>135</v>
      </c>
      <c r="C785" t="n">
        <v>8</v>
      </c>
      <c r="D785" s="218" t="n">
        <v>170.65</v>
      </c>
      <c r="E785" s="218" t="n">
        <v>5.5</v>
      </c>
      <c r="F785" t="str">
        <v>https://re.jrc.ec.europa.eu/api/v5_3/PVcalc?lat=30.0444&amp;lon=31.2357&amp;peakpower=1&amp;loss=14&amp;angle=10&amp;aspect=-45&amp;outputformat=json&amp;raddatabase=PVGIS-SARAH3&amp;pvtechchoice=crystSi&amp;mountingplace=free&amp;usehorizon=1</v>
      </c>
    </row>
    <row r="786">
      <c r="A786" t="n">
        <v>10</v>
      </c>
      <c r="B786" t="n">
        <v>135</v>
      </c>
      <c r="C786" t="n">
        <v>9</v>
      </c>
      <c r="D786" s="218" t="n">
        <v>150.3</v>
      </c>
      <c r="E786" s="218" t="n">
        <v>5.01</v>
      </c>
      <c r="F786" t="str">
        <v>https://re.jrc.ec.europa.eu/api/v5_3/PVcalc?lat=30.0444&amp;lon=31.2357&amp;peakpower=1&amp;loss=14&amp;angle=10&amp;aspect=-45&amp;outputformat=json&amp;raddatabase=PVGIS-SARAH3&amp;pvtechchoice=crystSi&amp;mountingplace=free&amp;usehorizon=1</v>
      </c>
    </row>
    <row r="787">
      <c r="A787" t="n">
        <v>10</v>
      </c>
      <c r="B787" t="n">
        <v>135</v>
      </c>
      <c r="C787" t="n">
        <v>10</v>
      </c>
      <c r="D787" s="218" t="n">
        <v>131.77</v>
      </c>
      <c r="E787" s="218" t="n">
        <v>4.25</v>
      </c>
      <c r="F787" t="str">
        <v>https://re.jrc.ec.europa.eu/api/v5_3/PVcalc?lat=30.0444&amp;lon=31.2357&amp;peakpower=1&amp;loss=14&amp;angle=10&amp;aspect=-45&amp;outputformat=json&amp;raddatabase=PVGIS-SARAH3&amp;pvtechchoice=crystSi&amp;mountingplace=free&amp;usehorizon=1</v>
      </c>
    </row>
    <row r="788">
      <c r="A788" t="n">
        <v>10</v>
      </c>
      <c r="B788" t="n">
        <v>135</v>
      </c>
      <c r="C788" t="n">
        <v>11</v>
      </c>
      <c r="D788" s="218" t="n">
        <v>106.76</v>
      </c>
      <c r="E788" s="218" t="n">
        <v>3.56</v>
      </c>
      <c r="F788" t="str">
        <v>https://re.jrc.ec.europa.eu/api/v5_3/PVcalc?lat=30.0444&amp;lon=31.2357&amp;peakpower=1&amp;loss=14&amp;angle=10&amp;aspect=-45&amp;outputformat=json&amp;raddatabase=PVGIS-SARAH3&amp;pvtechchoice=crystSi&amp;mountingplace=free&amp;usehorizon=1</v>
      </c>
    </row>
    <row r="789">
      <c r="A789" t="n">
        <v>10</v>
      </c>
      <c r="B789" t="n">
        <v>135</v>
      </c>
      <c r="C789" t="n">
        <v>12</v>
      </c>
      <c r="D789" s="218" t="n">
        <v>97.36</v>
      </c>
      <c r="E789" s="218" t="n">
        <v>3.14</v>
      </c>
      <c r="F789" t="str">
        <v>https://re.jrc.ec.europa.eu/api/v5_3/PVcalc?lat=30.0444&amp;lon=31.2357&amp;peakpower=1&amp;loss=14&amp;angle=10&amp;aspect=-45&amp;outputformat=json&amp;raddatabase=PVGIS-SARAH3&amp;pvtechchoice=crystSi&amp;mountingplace=free&amp;usehorizon=1</v>
      </c>
    </row>
    <row r="790">
      <c r="A790" t="n">
        <v>10</v>
      </c>
      <c r="B790" t="n">
        <v>150</v>
      </c>
      <c r="C790" t="n">
        <v>1</v>
      </c>
      <c r="D790" s="218" t="n">
        <v>104.02</v>
      </c>
      <c r="E790" s="218" t="n">
        <v>3.36</v>
      </c>
      <c r="F790" t="str">
        <v>https://re.jrc.ec.europa.eu/api/v5_3/PVcalc?lat=30.0444&amp;lon=31.2357&amp;peakpower=1&amp;loss=14&amp;angle=10&amp;aspect=-30&amp;outputformat=json&amp;raddatabase=PVGIS-SARAH3&amp;pvtechchoice=crystSi&amp;mountingplace=free&amp;usehorizon=1</v>
      </c>
    </row>
    <row r="791">
      <c r="A791" t="n">
        <v>10</v>
      </c>
      <c r="B791" t="n">
        <v>150</v>
      </c>
      <c r="C791" t="n">
        <v>2</v>
      </c>
      <c r="D791" s="218" t="n">
        <v>110.48</v>
      </c>
      <c r="E791" s="218" t="n">
        <v>3.95</v>
      </c>
      <c r="F791" t="str">
        <v>https://re.jrc.ec.europa.eu/api/v5_3/PVcalc?lat=30.0444&amp;lon=31.2357&amp;peakpower=1&amp;loss=14&amp;angle=10&amp;aspect=-30&amp;outputformat=json&amp;raddatabase=PVGIS-SARAH3&amp;pvtechchoice=crystSi&amp;mountingplace=free&amp;usehorizon=1</v>
      </c>
    </row>
    <row r="792">
      <c r="A792" t="n">
        <v>10</v>
      </c>
      <c r="B792" t="n">
        <v>150</v>
      </c>
      <c r="C792" t="n">
        <v>3</v>
      </c>
      <c r="D792" s="218" t="n">
        <v>148.41</v>
      </c>
      <c r="E792" s="218" t="n">
        <v>4.79</v>
      </c>
      <c r="F792" t="str">
        <v>https://re.jrc.ec.europa.eu/api/v5_3/PVcalc?lat=30.0444&amp;lon=31.2357&amp;peakpower=1&amp;loss=14&amp;angle=10&amp;aspect=-30&amp;outputformat=json&amp;raddatabase=PVGIS-SARAH3&amp;pvtechchoice=crystSi&amp;mountingplace=free&amp;usehorizon=1</v>
      </c>
    </row>
    <row r="793">
      <c r="A793" t="n">
        <v>10</v>
      </c>
      <c r="B793" t="n">
        <v>150</v>
      </c>
      <c r="C793" t="n">
        <v>4</v>
      </c>
      <c r="D793" s="218" t="n">
        <v>161.14</v>
      </c>
      <c r="E793" s="218" t="n">
        <v>5.37</v>
      </c>
      <c r="F793" t="str">
        <v>https://re.jrc.ec.europa.eu/api/v5_3/PVcalc?lat=30.0444&amp;lon=31.2357&amp;peakpower=1&amp;loss=14&amp;angle=10&amp;aspect=-30&amp;outputformat=json&amp;raddatabase=PVGIS-SARAH3&amp;pvtechchoice=crystSi&amp;mountingplace=free&amp;usehorizon=1</v>
      </c>
    </row>
    <row r="794">
      <c r="A794" t="n">
        <v>10</v>
      </c>
      <c r="B794" t="n">
        <v>150</v>
      </c>
      <c r="C794" t="n">
        <v>5</v>
      </c>
      <c r="D794" s="218" t="n">
        <v>174.9</v>
      </c>
      <c r="E794" s="218" t="n">
        <v>5.64</v>
      </c>
      <c r="F794" t="str">
        <v>https://re.jrc.ec.europa.eu/api/v5_3/PVcalc?lat=30.0444&amp;lon=31.2357&amp;peakpower=1&amp;loss=14&amp;angle=10&amp;aspect=-30&amp;outputformat=json&amp;raddatabase=PVGIS-SARAH3&amp;pvtechchoice=crystSi&amp;mountingplace=free&amp;usehorizon=1</v>
      </c>
    </row>
    <row r="795">
      <c r="A795" t="n">
        <v>10</v>
      </c>
      <c r="B795" t="n">
        <v>150</v>
      </c>
      <c r="C795" t="n">
        <v>6</v>
      </c>
      <c r="D795" s="218" t="n">
        <v>176.67</v>
      </c>
      <c r="E795" s="218" t="n">
        <v>5.89</v>
      </c>
      <c r="F795" t="str">
        <v>https://re.jrc.ec.europa.eu/api/v5_3/PVcalc?lat=30.0444&amp;lon=31.2357&amp;peakpower=1&amp;loss=14&amp;angle=10&amp;aspect=-30&amp;outputformat=json&amp;raddatabase=PVGIS-SARAH3&amp;pvtechchoice=crystSi&amp;mountingplace=free&amp;usehorizon=1</v>
      </c>
    </row>
    <row r="796">
      <c r="A796" t="n">
        <v>10</v>
      </c>
      <c r="B796" t="n">
        <v>150</v>
      </c>
      <c r="C796" t="n">
        <v>7</v>
      </c>
      <c r="D796" s="218" t="n">
        <v>179.85</v>
      </c>
      <c r="E796" s="218" t="n">
        <v>5.8</v>
      </c>
      <c r="F796" t="str">
        <v>https://re.jrc.ec.europa.eu/api/v5_3/PVcalc?lat=30.0444&amp;lon=31.2357&amp;peakpower=1&amp;loss=14&amp;angle=10&amp;aspect=-30&amp;outputformat=json&amp;raddatabase=PVGIS-SARAH3&amp;pvtechchoice=crystSi&amp;mountingplace=free&amp;usehorizon=1</v>
      </c>
    </row>
    <row r="797">
      <c r="A797" t="n">
        <v>10</v>
      </c>
      <c r="B797" t="n">
        <v>150</v>
      </c>
      <c r="C797" t="n">
        <v>8</v>
      </c>
      <c r="D797" s="218" t="n">
        <v>171.77</v>
      </c>
      <c r="E797" s="218" t="n">
        <v>5.54</v>
      </c>
      <c r="F797" t="str">
        <v>https://re.jrc.ec.europa.eu/api/v5_3/PVcalc?lat=30.0444&amp;lon=31.2357&amp;peakpower=1&amp;loss=14&amp;angle=10&amp;aspect=-30&amp;outputformat=json&amp;raddatabase=PVGIS-SARAH3&amp;pvtechchoice=crystSi&amp;mountingplace=free&amp;usehorizon=1</v>
      </c>
    </row>
    <row r="798">
      <c r="A798" t="n">
        <v>10</v>
      </c>
      <c r="B798" t="n">
        <v>150</v>
      </c>
      <c r="C798" t="n">
        <v>9</v>
      </c>
      <c r="D798" s="218" t="n">
        <v>152.32</v>
      </c>
      <c r="E798" s="218" t="n">
        <v>5.08</v>
      </c>
      <c r="F798" t="str">
        <v>https://re.jrc.ec.europa.eu/api/v5_3/PVcalc?lat=30.0444&amp;lon=31.2357&amp;peakpower=1&amp;loss=14&amp;angle=10&amp;aspect=-30&amp;outputformat=json&amp;raddatabase=PVGIS-SARAH3&amp;pvtechchoice=crystSi&amp;mountingplace=free&amp;usehorizon=1</v>
      </c>
    </row>
    <row r="799">
      <c r="A799" t="n">
        <v>10</v>
      </c>
      <c r="B799" t="n">
        <v>150</v>
      </c>
      <c r="C799" t="n">
        <v>10</v>
      </c>
      <c r="D799" s="218" t="n">
        <v>134.3</v>
      </c>
      <c r="E799" s="218" t="n">
        <v>4.33</v>
      </c>
      <c r="F799" t="str">
        <v>https://re.jrc.ec.europa.eu/api/v5_3/PVcalc?lat=30.0444&amp;lon=31.2357&amp;peakpower=1&amp;loss=14&amp;angle=10&amp;aspect=-30&amp;outputformat=json&amp;raddatabase=PVGIS-SARAH3&amp;pvtechchoice=crystSi&amp;mountingplace=free&amp;usehorizon=1</v>
      </c>
    </row>
    <row r="800">
      <c r="A800" t="n">
        <v>10</v>
      </c>
      <c r="B800" t="n">
        <v>150</v>
      </c>
      <c r="C800" t="n">
        <v>11</v>
      </c>
      <c r="D800" s="218" t="n">
        <v>109.62</v>
      </c>
      <c r="E800" s="218" t="n">
        <v>3.65</v>
      </c>
      <c r="F800" t="str">
        <v>https://re.jrc.ec.europa.eu/api/v5_3/PVcalc?lat=30.0444&amp;lon=31.2357&amp;peakpower=1&amp;loss=14&amp;angle=10&amp;aspect=-30&amp;outputformat=json&amp;raddatabase=PVGIS-SARAH3&amp;pvtechchoice=crystSi&amp;mountingplace=free&amp;usehorizon=1</v>
      </c>
    </row>
    <row r="801">
      <c r="A801" t="n">
        <v>10</v>
      </c>
      <c r="B801" t="n">
        <v>150</v>
      </c>
      <c r="C801" t="n">
        <v>12</v>
      </c>
      <c r="D801" s="218" t="n">
        <v>100.33</v>
      </c>
      <c r="E801" s="218" t="n">
        <v>3.24</v>
      </c>
      <c r="F801" t="str">
        <v>https://re.jrc.ec.europa.eu/api/v5_3/PVcalc?lat=30.0444&amp;lon=31.2357&amp;peakpower=1&amp;loss=14&amp;angle=10&amp;aspect=-30&amp;outputformat=json&amp;raddatabase=PVGIS-SARAH3&amp;pvtechchoice=crystSi&amp;mountingplace=free&amp;usehorizon=1</v>
      </c>
    </row>
    <row r="802">
      <c r="A802" t="n">
        <v>10</v>
      </c>
      <c r="B802" t="n">
        <v>165</v>
      </c>
      <c r="C802" t="n">
        <v>1</v>
      </c>
      <c r="D802" s="218" t="n">
        <v>105.73</v>
      </c>
      <c r="E802" s="218" t="n">
        <v>3.41</v>
      </c>
      <c r="F802" t="str">
        <v>https://re.jrc.ec.europa.eu/api/v5_3/PVcalc?lat=30.0444&amp;lon=31.2357&amp;peakpower=1&amp;loss=14&amp;angle=10&amp;aspect=-15&amp;outputformat=json&amp;raddatabase=PVGIS-SARAH3&amp;pvtechchoice=crystSi&amp;mountingplace=free&amp;usehorizon=1</v>
      </c>
    </row>
    <row r="803">
      <c r="A803" t="n">
        <v>10</v>
      </c>
      <c r="B803" t="n">
        <v>165</v>
      </c>
      <c r="C803" t="n">
        <v>2</v>
      </c>
      <c r="D803" s="218" t="n">
        <v>111.72</v>
      </c>
      <c r="E803" s="218" t="n">
        <v>3.99</v>
      </c>
      <c r="F803" t="str">
        <v>https://re.jrc.ec.europa.eu/api/v5_3/PVcalc?lat=30.0444&amp;lon=31.2357&amp;peakpower=1&amp;loss=14&amp;angle=10&amp;aspect=-15&amp;outputformat=json&amp;raddatabase=PVGIS-SARAH3&amp;pvtechchoice=crystSi&amp;mountingplace=free&amp;usehorizon=1</v>
      </c>
    </row>
    <row r="804">
      <c r="A804" t="n">
        <v>10</v>
      </c>
      <c r="B804" t="n">
        <v>165</v>
      </c>
      <c r="C804" t="n">
        <v>3</v>
      </c>
      <c r="D804" s="218" t="n">
        <v>149.84</v>
      </c>
      <c r="E804" s="218" t="n">
        <v>4.83</v>
      </c>
      <c r="F804" t="str">
        <v>https://re.jrc.ec.europa.eu/api/v5_3/PVcalc?lat=30.0444&amp;lon=31.2357&amp;peakpower=1&amp;loss=14&amp;angle=10&amp;aspect=-15&amp;outputformat=json&amp;raddatabase=PVGIS-SARAH3&amp;pvtechchoice=crystSi&amp;mountingplace=free&amp;usehorizon=1</v>
      </c>
    </row>
    <row r="805">
      <c r="A805" t="n">
        <v>10</v>
      </c>
      <c r="B805" t="n">
        <v>165</v>
      </c>
      <c r="C805" t="n">
        <v>4</v>
      </c>
      <c r="D805" s="218" t="n">
        <v>162.09</v>
      </c>
      <c r="E805" s="218" t="n">
        <v>5.4</v>
      </c>
      <c r="F805" t="str">
        <v>https://re.jrc.ec.europa.eu/api/v5_3/PVcalc?lat=30.0444&amp;lon=31.2357&amp;peakpower=1&amp;loss=14&amp;angle=10&amp;aspect=-15&amp;outputformat=json&amp;raddatabase=PVGIS-SARAH3&amp;pvtechchoice=crystSi&amp;mountingplace=free&amp;usehorizon=1</v>
      </c>
    </row>
    <row r="806">
      <c r="A806" t="n">
        <v>10</v>
      </c>
      <c r="B806" t="n">
        <v>165</v>
      </c>
      <c r="C806" t="n">
        <v>5</v>
      </c>
      <c r="D806" s="218" t="n">
        <v>175.15</v>
      </c>
      <c r="E806" s="218" t="n">
        <v>5.65</v>
      </c>
      <c r="F806" t="str">
        <v>https://re.jrc.ec.europa.eu/api/v5_3/PVcalc?lat=30.0444&amp;lon=31.2357&amp;peakpower=1&amp;loss=14&amp;angle=10&amp;aspect=-15&amp;outputformat=json&amp;raddatabase=PVGIS-SARAH3&amp;pvtechchoice=crystSi&amp;mountingplace=free&amp;usehorizon=1</v>
      </c>
    </row>
    <row r="807">
      <c r="A807" t="n">
        <v>10</v>
      </c>
      <c r="B807" t="n">
        <v>165</v>
      </c>
      <c r="C807" t="n">
        <v>6</v>
      </c>
      <c r="D807" s="218" t="n">
        <v>176.86</v>
      </c>
      <c r="E807" s="218" t="n">
        <v>5.9</v>
      </c>
      <c r="F807" t="str">
        <v>https://re.jrc.ec.europa.eu/api/v5_3/PVcalc?lat=30.0444&amp;lon=31.2357&amp;peakpower=1&amp;loss=14&amp;angle=10&amp;aspect=-15&amp;outputformat=json&amp;raddatabase=PVGIS-SARAH3&amp;pvtechchoice=crystSi&amp;mountingplace=free&amp;usehorizon=1</v>
      </c>
    </row>
    <row r="808">
      <c r="A808" t="n">
        <v>10</v>
      </c>
      <c r="B808" t="n">
        <v>165</v>
      </c>
      <c r="C808" t="n">
        <v>7</v>
      </c>
      <c r="D808" s="218" t="n">
        <v>180.39</v>
      </c>
      <c r="E808" s="218" t="n">
        <v>5.82</v>
      </c>
      <c r="F808" t="str">
        <v>https://re.jrc.ec.europa.eu/api/v5_3/PVcalc?lat=30.0444&amp;lon=31.2357&amp;peakpower=1&amp;loss=14&amp;angle=10&amp;aspect=-15&amp;outputformat=json&amp;raddatabase=PVGIS-SARAH3&amp;pvtechchoice=crystSi&amp;mountingplace=free&amp;usehorizon=1</v>
      </c>
    </row>
    <row r="809">
      <c r="A809" t="n">
        <v>10</v>
      </c>
      <c r="B809" t="n">
        <v>165</v>
      </c>
      <c r="C809" t="n">
        <v>8</v>
      </c>
      <c r="D809" s="218" t="n">
        <v>172.59</v>
      </c>
      <c r="E809" s="218" t="n">
        <v>5.57</v>
      </c>
      <c r="F809" t="str">
        <v>https://re.jrc.ec.europa.eu/api/v5_3/PVcalc?lat=30.0444&amp;lon=31.2357&amp;peakpower=1&amp;loss=14&amp;angle=10&amp;aspect=-15&amp;outputformat=json&amp;raddatabase=PVGIS-SARAH3&amp;pvtechchoice=crystSi&amp;mountingplace=free&amp;usehorizon=1</v>
      </c>
    </row>
    <row r="810">
      <c r="A810" t="n">
        <v>10</v>
      </c>
      <c r="B810" t="n">
        <v>165</v>
      </c>
      <c r="C810" t="n">
        <v>9</v>
      </c>
      <c r="D810" s="218" t="n">
        <v>153.83</v>
      </c>
      <c r="E810" s="218" t="n">
        <v>5.13</v>
      </c>
      <c r="F810" t="str">
        <v>https://re.jrc.ec.europa.eu/api/v5_3/PVcalc?lat=30.0444&amp;lon=31.2357&amp;peakpower=1&amp;loss=14&amp;angle=10&amp;aspect=-15&amp;outputformat=json&amp;raddatabase=PVGIS-SARAH3&amp;pvtechchoice=crystSi&amp;mountingplace=free&amp;usehorizon=1</v>
      </c>
    </row>
    <row r="811">
      <c r="A811" t="n">
        <v>10</v>
      </c>
      <c r="B811" t="n">
        <v>165</v>
      </c>
      <c r="C811" t="n">
        <v>10</v>
      </c>
      <c r="D811" s="218" t="n">
        <v>135.97</v>
      </c>
      <c r="E811" s="218" t="n">
        <v>4.39</v>
      </c>
      <c r="F811" t="str">
        <v>https://re.jrc.ec.europa.eu/api/v5_3/PVcalc?lat=30.0444&amp;lon=31.2357&amp;peakpower=1&amp;loss=14&amp;angle=10&amp;aspect=-15&amp;outputformat=json&amp;raddatabase=PVGIS-SARAH3&amp;pvtechchoice=crystSi&amp;mountingplace=free&amp;usehorizon=1</v>
      </c>
    </row>
    <row r="812">
      <c r="A812" t="n">
        <v>10</v>
      </c>
      <c r="B812" t="n">
        <v>165</v>
      </c>
      <c r="C812" t="n">
        <v>11</v>
      </c>
      <c r="D812" s="218" t="n">
        <v>111.4</v>
      </c>
      <c r="E812" s="218" t="n">
        <v>3.71</v>
      </c>
      <c r="F812" t="str">
        <v>https://re.jrc.ec.europa.eu/api/v5_3/PVcalc?lat=30.0444&amp;lon=31.2357&amp;peakpower=1&amp;loss=14&amp;angle=10&amp;aspect=-15&amp;outputformat=json&amp;raddatabase=PVGIS-SARAH3&amp;pvtechchoice=crystSi&amp;mountingplace=free&amp;usehorizon=1</v>
      </c>
    </row>
    <row r="813">
      <c r="A813" t="n">
        <v>10</v>
      </c>
      <c r="B813" t="n">
        <v>165</v>
      </c>
      <c r="C813" t="n">
        <v>12</v>
      </c>
      <c r="D813" s="218" t="n">
        <v>102.15</v>
      </c>
      <c r="E813" s="218" t="n">
        <v>3.3</v>
      </c>
      <c r="F813" t="str">
        <v>https://re.jrc.ec.europa.eu/api/v5_3/PVcalc?lat=30.0444&amp;lon=31.2357&amp;peakpower=1&amp;loss=14&amp;angle=10&amp;aspect=-15&amp;outputformat=json&amp;raddatabase=PVGIS-SARAH3&amp;pvtechchoice=crystSi&amp;mountingplace=free&amp;usehorizon=1</v>
      </c>
    </row>
    <row r="814">
      <c r="A814" t="n">
        <v>10</v>
      </c>
      <c r="B814" t="n">
        <v>180</v>
      </c>
      <c r="C814" t="n">
        <v>1</v>
      </c>
      <c r="D814" s="218" t="n">
        <v>106.22</v>
      </c>
      <c r="E814" s="218" t="n">
        <v>3.43</v>
      </c>
      <c r="F814" t="str">
        <v>https://re.jrc.ec.europa.eu/api/v5_3/PVcalc?lat=30.0444&amp;lon=31.2357&amp;peakpower=1&amp;loss=14&amp;angle=10&amp;aspect=0&amp;outputformat=json&amp;raddatabase=PVGIS-SARAH3&amp;pvtechchoice=crystSi&amp;mountingplace=free&amp;usehorizon=1</v>
      </c>
    </row>
    <row r="815">
      <c r="A815" t="n">
        <v>10</v>
      </c>
      <c r="B815" t="n">
        <v>180</v>
      </c>
      <c r="C815" t="n">
        <v>2</v>
      </c>
      <c r="D815" s="218" t="n">
        <v>112.03</v>
      </c>
      <c r="E815" s="218" t="n">
        <v>4</v>
      </c>
      <c r="F815" t="str">
        <v>https://re.jrc.ec.europa.eu/api/v5_3/PVcalc?lat=30.0444&amp;lon=31.2357&amp;peakpower=1&amp;loss=14&amp;angle=10&amp;aspect=0&amp;outputformat=json&amp;raddatabase=PVGIS-SARAH3&amp;pvtechchoice=crystSi&amp;mountingplace=free&amp;usehorizon=1</v>
      </c>
    </row>
    <row r="816">
      <c r="A816" t="n">
        <v>10</v>
      </c>
      <c r="B816" t="n">
        <v>180</v>
      </c>
      <c r="C816" t="n">
        <v>3</v>
      </c>
      <c r="D816" s="218" t="n">
        <v>150.49</v>
      </c>
      <c r="E816" s="218" t="n">
        <v>4.85</v>
      </c>
      <c r="F816" t="str">
        <v>https://re.jrc.ec.europa.eu/api/v5_3/PVcalc?lat=30.0444&amp;lon=31.2357&amp;peakpower=1&amp;loss=14&amp;angle=10&amp;aspect=0&amp;outputformat=json&amp;raddatabase=PVGIS-SARAH3&amp;pvtechchoice=crystSi&amp;mountingplace=free&amp;usehorizon=1</v>
      </c>
    </row>
    <row r="817">
      <c r="A817" t="n">
        <v>10</v>
      </c>
      <c r="B817" t="n">
        <v>180</v>
      </c>
      <c r="C817" t="n">
        <v>4</v>
      </c>
      <c r="D817" s="218" t="n">
        <v>162.63</v>
      </c>
      <c r="E817" s="218" t="n">
        <v>5.42</v>
      </c>
      <c r="F817" t="str">
        <v>https://re.jrc.ec.europa.eu/api/v5_3/PVcalc?lat=30.0444&amp;lon=31.2357&amp;peakpower=1&amp;loss=14&amp;angle=10&amp;aspect=0&amp;outputformat=json&amp;raddatabase=PVGIS-SARAH3&amp;pvtechchoice=crystSi&amp;mountingplace=free&amp;usehorizon=1</v>
      </c>
    </row>
    <row r="818">
      <c r="A818" t="n">
        <v>10</v>
      </c>
      <c r="B818" t="n">
        <v>180</v>
      </c>
      <c r="C818" t="n">
        <v>5</v>
      </c>
      <c r="D818" s="218" t="n">
        <v>175.39</v>
      </c>
      <c r="E818" s="218" t="n">
        <v>5.66</v>
      </c>
      <c r="F818" t="str">
        <v>https://re.jrc.ec.europa.eu/api/v5_3/PVcalc?lat=30.0444&amp;lon=31.2357&amp;peakpower=1&amp;loss=14&amp;angle=10&amp;aspect=0&amp;outputformat=json&amp;raddatabase=PVGIS-SARAH3&amp;pvtechchoice=crystSi&amp;mountingplace=free&amp;usehorizon=1</v>
      </c>
    </row>
    <row r="819">
      <c r="A819" t="n">
        <v>10</v>
      </c>
      <c r="B819" t="n">
        <v>180</v>
      </c>
      <c r="C819" t="n">
        <v>6</v>
      </c>
      <c r="D819" s="218" t="n">
        <v>177.23</v>
      </c>
      <c r="E819" s="218" t="n">
        <v>5.91</v>
      </c>
      <c r="F819" t="str">
        <v>https://re.jrc.ec.europa.eu/api/v5_3/PVcalc?lat=30.0444&amp;lon=31.2357&amp;peakpower=1&amp;loss=14&amp;angle=10&amp;aspect=0&amp;outputformat=json&amp;raddatabase=PVGIS-SARAH3&amp;pvtechchoice=crystSi&amp;mountingplace=free&amp;usehorizon=1</v>
      </c>
    </row>
    <row r="820">
      <c r="A820" t="n">
        <v>10</v>
      </c>
      <c r="B820" t="n">
        <v>180</v>
      </c>
      <c r="C820" t="n">
        <v>7</v>
      </c>
      <c r="D820" s="218" t="n">
        <v>181.02</v>
      </c>
      <c r="E820" s="218" t="n">
        <v>5.84</v>
      </c>
      <c r="F820" t="str">
        <v>https://re.jrc.ec.europa.eu/api/v5_3/PVcalc?lat=30.0444&amp;lon=31.2357&amp;peakpower=1&amp;loss=14&amp;angle=10&amp;aspect=0&amp;outputformat=json&amp;raddatabase=PVGIS-SARAH3&amp;pvtechchoice=crystSi&amp;mountingplace=free&amp;usehorizon=1</v>
      </c>
    </row>
    <row r="821">
      <c r="A821" t="n">
        <v>10</v>
      </c>
      <c r="B821" t="n">
        <v>180</v>
      </c>
      <c r="C821" t="n">
        <v>8</v>
      </c>
      <c r="D821" s="218" t="n">
        <v>173.23</v>
      </c>
      <c r="E821" s="218" t="n">
        <v>5.59</v>
      </c>
      <c r="F821" t="str">
        <v>https://re.jrc.ec.europa.eu/api/v5_3/PVcalc?lat=30.0444&amp;lon=31.2357&amp;peakpower=1&amp;loss=14&amp;angle=10&amp;aspect=0&amp;outputformat=json&amp;raddatabase=PVGIS-SARAH3&amp;pvtechchoice=crystSi&amp;mountingplace=free&amp;usehorizon=1</v>
      </c>
    </row>
    <row r="822">
      <c r="A822" t="n">
        <v>10</v>
      </c>
      <c r="B822" t="n">
        <v>180</v>
      </c>
      <c r="C822" t="n">
        <v>9</v>
      </c>
      <c r="D822" s="218" t="n">
        <v>154.7</v>
      </c>
      <c r="E822" s="218" t="n">
        <v>5.16</v>
      </c>
      <c r="F822" t="str">
        <v>https://re.jrc.ec.europa.eu/api/v5_3/PVcalc?lat=30.0444&amp;lon=31.2357&amp;peakpower=1&amp;loss=14&amp;angle=10&amp;aspect=0&amp;outputformat=json&amp;raddatabase=PVGIS-SARAH3&amp;pvtechchoice=crystSi&amp;mountingplace=free&amp;usehorizon=1</v>
      </c>
    </row>
    <row r="823">
      <c r="A823" t="n">
        <v>10</v>
      </c>
      <c r="B823" t="n">
        <v>180</v>
      </c>
      <c r="C823" t="n">
        <v>10</v>
      </c>
      <c r="D823" s="218" t="n">
        <v>136.63</v>
      </c>
      <c r="E823" s="218" t="n">
        <v>4.41</v>
      </c>
      <c r="F823" t="str">
        <v>https://re.jrc.ec.europa.eu/api/v5_3/PVcalc?lat=30.0444&amp;lon=31.2357&amp;peakpower=1&amp;loss=14&amp;angle=10&amp;aspect=0&amp;outputformat=json&amp;raddatabase=PVGIS-SARAH3&amp;pvtechchoice=crystSi&amp;mountingplace=free&amp;usehorizon=1</v>
      </c>
    </row>
    <row r="824">
      <c r="A824" t="n">
        <v>10</v>
      </c>
      <c r="B824" t="n">
        <v>180</v>
      </c>
      <c r="C824" t="n">
        <v>11</v>
      </c>
      <c r="D824" s="218" t="n">
        <v>111.97</v>
      </c>
      <c r="E824" s="218" t="n">
        <v>3.73</v>
      </c>
      <c r="F824" t="str">
        <v>https://re.jrc.ec.europa.eu/api/v5_3/PVcalc?lat=30.0444&amp;lon=31.2357&amp;peakpower=1&amp;loss=14&amp;angle=10&amp;aspect=0&amp;outputformat=json&amp;raddatabase=PVGIS-SARAH3&amp;pvtechchoice=crystSi&amp;mountingplace=free&amp;usehorizon=1</v>
      </c>
    </row>
    <row r="825">
      <c r="A825" t="n">
        <v>10</v>
      </c>
      <c r="B825" t="n">
        <v>180</v>
      </c>
      <c r="C825" t="n">
        <v>12</v>
      </c>
      <c r="D825" s="218" t="n">
        <v>102.68</v>
      </c>
      <c r="E825" s="218" t="n">
        <v>3.31</v>
      </c>
      <c r="F825" t="str">
        <v>https://re.jrc.ec.europa.eu/api/v5_3/PVcalc?lat=30.0444&amp;lon=31.2357&amp;peakpower=1&amp;loss=14&amp;angle=10&amp;aspect=0&amp;outputformat=json&amp;raddatabase=PVGIS-SARAH3&amp;pvtechchoice=crystSi&amp;mountingplace=free&amp;usehorizon=1</v>
      </c>
    </row>
    <row r="826">
      <c r="A826" t="n">
        <v>10</v>
      </c>
      <c r="B826" t="n">
        <v>195</v>
      </c>
      <c r="C826" t="n">
        <v>1</v>
      </c>
      <c r="D826" s="218" t="n">
        <v>105.48</v>
      </c>
      <c r="E826" s="218" t="n">
        <v>3.4</v>
      </c>
      <c r="F826" t="str">
        <v>https://re.jrc.ec.europa.eu/api/v5_3/PVcalc?lat=30.0444&amp;lon=31.2357&amp;peakpower=1&amp;loss=14&amp;angle=10&amp;aspect=15&amp;outputformat=json&amp;raddatabase=PVGIS-SARAH3&amp;pvtechchoice=crystSi&amp;mountingplace=free&amp;usehorizon=1</v>
      </c>
    </row>
    <row r="827">
      <c r="A827" t="n">
        <v>10</v>
      </c>
      <c r="B827" t="n">
        <v>195</v>
      </c>
      <c r="C827" t="n">
        <v>2</v>
      </c>
      <c r="D827" s="218" t="n">
        <v>111.4</v>
      </c>
      <c r="E827" s="218" t="n">
        <v>3.98</v>
      </c>
      <c r="F827" t="str">
        <v>https://re.jrc.ec.europa.eu/api/v5_3/PVcalc?lat=30.0444&amp;lon=31.2357&amp;peakpower=1&amp;loss=14&amp;angle=10&amp;aspect=15&amp;outputformat=json&amp;raddatabase=PVGIS-SARAH3&amp;pvtechchoice=crystSi&amp;mountingplace=free&amp;usehorizon=1</v>
      </c>
    </row>
    <row r="828">
      <c r="A828" t="n">
        <v>10</v>
      </c>
      <c r="B828" t="n">
        <v>195</v>
      </c>
      <c r="C828" t="n">
        <v>3</v>
      </c>
      <c r="D828" s="218" t="n">
        <v>150.29</v>
      </c>
      <c r="E828" s="218" t="n">
        <v>4.85</v>
      </c>
      <c r="F828" t="str">
        <v>https://re.jrc.ec.europa.eu/api/v5_3/PVcalc?lat=30.0444&amp;lon=31.2357&amp;peakpower=1&amp;loss=14&amp;angle=10&amp;aspect=15&amp;outputformat=json&amp;raddatabase=PVGIS-SARAH3&amp;pvtechchoice=crystSi&amp;mountingplace=free&amp;usehorizon=1</v>
      </c>
    </row>
    <row r="829">
      <c r="A829" t="n">
        <v>10</v>
      </c>
      <c r="B829" t="n">
        <v>195</v>
      </c>
      <c r="C829" t="n">
        <v>4</v>
      </c>
      <c r="D829" s="218" t="n">
        <v>162.72</v>
      </c>
      <c r="E829" s="218" t="n">
        <v>5.42</v>
      </c>
      <c r="F829" t="str">
        <v>https://re.jrc.ec.europa.eu/api/v5_3/PVcalc?lat=30.0444&amp;lon=31.2357&amp;peakpower=1&amp;loss=14&amp;angle=10&amp;aspect=15&amp;outputformat=json&amp;raddatabase=PVGIS-SARAH3&amp;pvtechchoice=crystSi&amp;mountingplace=free&amp;usehorizon=1</v>
      </c>
    </row>
    <row r="830">
      <c r="A830" t="n">
        <v>10</v>
      </c>
      <c r="B830" t="n">
        <v>195</v>
      </c>
      <c r="C830" t="n">
        <v>5</v>
      </c>
      <c r="D830" s="218" t="n">
        <v>175.58</v>
      </c>
      <c r="E830" s="218" t="n">
        <v>5.66</v>
      </c>
      <c r="F830" t="str">
        <v>https://re.jrc.ec.europa.eu/api/v5_3/PVcalc?lat=30.0444&amp;lon=31.2357&amp;peakpower=1&amp;loss=14&amp;angle=10&amp;aspect=15&amp;outputformat=json&amp;raddatabase=PVGIS-SARAH3&amp;pvtechchoice=crystSi&amp;mountingplace=free&amp;usehorizon=1</v>
      </c>
    </row>
    <row r="831">
      <c r="A831" t="n">
        <v>10</v>
      </c>
      <c r="B831" t="n">
        <v>195</v>
      </c>
      <c r="C831" t="n">
        <v>6</v>
      </c>
      <c r="D831" s="218" t="n">
        <v>177.75</v>
      </c>
      <c r="E831" s="218" t="n">
        <v>5.93</v>
      </c>
      <c r="F831" t="str">
        <v>https://re.jrc.ec.europa.eu/api/v5_3/PVcalc?lat=30.0444&amp;lon=31.2357&amp;peakpower=1&amp;loss=14&amp;angle=10&amp;aspect=15&amp;outputformat=json&amp;raddatabase=PVGIS-SARAH3&amp;pvtechchoice=crystSi&amp;mountingplace=free&amp;usehorizon=1</v>
      </c>
    </row>
    <row r="832">
      <c r="A832" t="n">
        <v>10</v>
      </c>
      <c r="B832" t="n">
        <v>195</v>
      </c>
      <c r="C832" t="n">
        <v>7</v>
      </c>
      <c r="D832" s="218" t="n">
        <v>181.71</v>
      </c>
      <c r="E832" s="218" t="n">
        <v>5.86</v>
      </c>
      <c r="F832" t="str">
        <v>https://re.jrc.ec.europa.eu/api/v5_3/PVcalc?lat=30.0444&amp;lon=31.2357&amp;peakpower=1&amp;loss=14&amp;angle=10&amp;aspect=15&amp;outputformat=json&amp;raddatabase=PVGIS-SARAH3&amp;pvtechchoice=crystSi&amp;mountingplace=free&amp;usehorizon=1</v>
      </c>
    </row>
    <row r="833">
      <c r="A833" t="n">
        <v>10</v>
      </c>
      <c r="B833" t="n">
        <v>195</v>
      </c>
      <c r="C833" t="n">
        <v>8</v>
      </c>
      <c r="D833" s="218" t="n">
        <v>173.63</v>
      </c>
      <c r="E833" s="218" t="n">
        <v>5.6</v>
      </c>
      <c r="F833" t="str">
        <v>https://re.jrc.ec.europa.eu/api/v5_3/PVcalc?lat=30.0444&amp;lon=31.2357&amp;peakpower=1&amp;loss=14&amp;angle=10&amp;aspect=15&amp;outputformat=json&amp;raddatabase=PVGIS-SARAH3&amp;pvtechchoice=crystSi&amp;mountingplace=free&amp;usehorizon=1</v>
      </c>
    </row>
    <row r="834">
      <c r="A834" t="n">
        <v>10</v>
      </c>
      <c r="B834" t="n">
        <v>195</v>
      </c>
      <c r="C834" t="n">
        <v>9</v>
      </c>
      <c r="D834" s="218" t="n">
        <v>154.85</v>
      </c>
      <c r="E834" s="218" t="n">
        <v>5.16</v>
      </c>
      <c r="F834" t="str">
        <v>https://re.jrc.ec.europa.eu/api/v5_3/PVcalc?lat=30.0444&amp;lon=31.2357&amp;peakpower=1&amp;loss=14&amp;angle=10&amp;aspect=15&amp;outputformat=json&amp;raddatabase=PVGIS-SARAH3&amp;pvtechchoice=crystSi&amp;mountingplace=free&amp;usehorizon=1</v>
      </c>
    </row>
    <row r="835">
      <c r="A835" t="n">
        <v>10</v>
      </c>
      <c r="B835" t="n">
        <v>195</v>
      </c>
      <c r="C835" t="n">
        <v>10</v>
      </c>
      <c r="D835" s="218" t="n">
        <v>136.21</v>
      </c>
      <c r="E835" s="218" t="n">
        <v>4.39</v>
      </c>
      <c r="F835" t="str">
        <v>https://re.jrc.ec.europa.eu/api/v5_3/PVcalc?lat=30.0444&amp;lon=31.2357&amp;peakpower=1&amp;loss=14&amp;angle=10&amp;aspect=15&amp;outputformat=json&amp;raddatabase=PVGIS-SARAH3&amp;pvtechchoice=crystSi&amp;mountingplace=free&amp;usehorizon=1</v>
      </c>
    </row>
    <row r="836">
      <c r="A836" t="n">
        <v>10</v>
      </c>
      <c r="B836" t="n">
        <v>195</v>
      </c>
      <c r="C836" t="n">
        <v>11</v>
      </c>
      <c r="D836" s="218" t="n">
        <v>111.28</v>
      </c>
      <c r="E836" s="218" t="n">
        <v>3.71</v>
      </c>
      <c r="F836" t="str">
        <v>https://re.jrc.ec.europa.eu/api/v5_3/PVcalc?lat=30.0444&amp;lon=31.2357&amp;peakpower=1&amp;loss=14&amp;angle=10&amp;aspect=15&amp;outputformat=json&amp;raddatabase=PVGIS-SARAH3&amp;pvtechchoice=crystSi&amp;mountingplace=free&amp;usehorizon=1</v>
      </c>
    </row>
    <row r="837">
      <c r="A837" t="n">
        <v>10</v>
      </c>
      <c r="B837" t="n">
        <v>195</v>
      </c>
      <c r="C837" t="n">
        <v>12</v>
      </c>
      <c r="D837" s="218" t="n">
        <v>101.9</v>
      </c>
      <c r="E837" s="218" t="n">
        <v>3.29</v>
      </c>
      <c r="F837" t="str">
        <v>https://re.jrc.ec.europa.eu/api/v5_3/PVcalc?lat=30.0444&amp;lon=31.2357&amp;peakpower=1&amp;loss=14&amp;angle=10&amp;aspect=15&amp;outputformat=json&amp;raddatabase=PVGIS-SARAH3&amp;pvtechchoice=crystSi&amp;mountingplace=free&amp;usehorizon=1</v>
      </c>
    </row>
    <row r="838">
      <c r="A838" t="n">
        <v>10</v>
      </c>
      <c r="B838" t="n">
        <v>210</v>
      </c>
      <c r="C838" t="n">
        <v>1</v>
      </c>
      <c r="D838" s="218" t="n">
        <v>103.53</v>
      </c>
      <c r="E838" s="218" t="n">
        <v>3.34</v>
      </c>
      <c r="F838" t="str">
        <v>https://re.jrc.ec.europa.eu/api/v5_3/PVcalc?lat=30.0444&amp;lon=31.2357&amp;peakpower=1&amp;loss=14&amp;angle=10&amp;aspect=30&amp;outputformat=json&amp;raddatabase=PVGIS-SARAH3&amp;pvtechchoice=crystSi&amp;mountingplace=free&amp;usehorizon=1</v>
      </c>
    </row>
    <row r="839">
      <c r="A839" t="n">
        <v>10</v>
      </c>
      <c r="B839" t="n">
        <v>210</v>
      </c>
      <c r="C839" t="n">
        <v>2</v>
      </c>
      <c r="D839" s="218" t="n">
        <v>109.86</v>
      </c>
      <c r="E839" s="218" t="n">
        <v>3.92</v>
      </c>
      <c r="F839" t="str">
        <v>https://re.jrc.ec.europa.eu/api/v5_3/PVcalc?lat=30.0444&amp;lon=31.2357&amp;peakpower=1&amp;loss=14&amp;angle=10&amp;aspect=30&amp;outputformat=json&amp;raddatabase=PVGIS-SARAH3&amp;pvtechchoice=crystSi&amp;mountingplace=free&amp;usehorizon=1</v>
      </c>
    </row>
    <row r="840">
      <c r="A840" t="n">
        <v>10</v>
      </c>
      <c r="B840" t="n">
        <v>210</v>
      </c>
      <c r="C840" t="n">
        <v>3</v>
      </c>
      <c r="D840" s="218" t="n">
        <v>149.26</v>
      </c>
      <c r="E840" s="218" t="n">
        <v>4.81</v>
      </c>
      <c r="F840" t="str">
        <v>https://re.jrc.ec.europa.eu/api/v5_3/PVcalc?lat=30.0444&amp;lon=31.2357&amp;peakpower=1&amp;loss=14&amp;angle=10&amp;aspect=30&amp;outputformat=json&amp;raddatabase=PVGIS-SARAH3&amp;pvtechchoice=crystSi&amp;mountingplace=free&amp;usehorizon=1</v>
      </c>
    </row>
    <row r="841">
      <c r="A841" t="n">
        <v>10</v>
      </c>
      <c r="B841" t="n">
        <v>210</v>
      </c>
      <c r="C841" t="n">
        <v>4</v>
      </c>
      <c r="D841" s="218" t="n">
        <v>162.36</v>
      </c>
      <c r="E841" s="218" t="n">
        <v>5.41</v>
      </c>
      <c r="F841" t="str">
        <v>https://re.jrc.ec.europa.eu/api/v5_3/PVcalc?lat=30.0444&amp;lon=31.2357&amp;peakpower=1&amp;loss=14&amp;angle=10&amp;aspect=30&amp;outputformat=json&amp;raddatabase=PVGIS-SARAH3&amp;pvtechchoice=crystSi&amp;mountingplace=free&amp;usehorizon=1</v>
      </c>
    </row>
    <row r="842">
      <c r="A842" t="n">
        <v>10</v>
      </c>
      <c r="B842" t="n">
        <v>210</v>
      </c>
      <c r="C842" t="n">
        <v>5</v>
      </c>
      <c r="D842" s="218" t="n">
        <v>175.67</v>
      </c>
      <c r="E842" s="218" t="n">
        <v>5.67</v>
      </c>
      <c r="F842" t="str">
        <v>https://re.jrc.ec.europa.eu/api/v5_3/PVcalc?lat=30.0444&amp;lon=31.2357&amp;peakpower=1&amp;loss=14&amp;angle=10&amp;aspect=30&amp;outputformat=json&amp;raddatabase=PVGIS-SARAH3&amp;pvtechchoice=crystSi&amp;mountingplace=free&amp;usehorizon=1</v>
      </c>
    </row>
    <row r="843">
      <c r="A843" t="n">
        <v>10</v>
      </c>
      <c r="B843" t="n">
        <v>210</v>
      </c>
      <c r="C843" t="n">
        <v>6</v>
      </c>
      <c r="D843" s="218" t="n">
        <v>178.37</v>
      </c>
      <c r="E843" s="218" t="n">
        <v>5.95</v>
      </c>
      <c r="F843" t="str">
        <v>https://re.jrc.ec.europa.eu/api/v5_3/PVcalc?lat=30.0444&amp;lon=31.2357&amp;peakpower=1&amp;loss=14&amp;angle=10&amp;aspect=30&amp;outputformat=json&amp;raddatabase=PVGIS-SARAH3&amp;pvtechchoice=crystSi&amp;mountingplace=free&amp;usehorizon=1</v>
      </c>
    </row>
    <row r="844">
      <c r="A844" t="n">
        <v>10</v>
      </c>
      <c r="B844" t="n">
        <v>210</v>
      </c>
      <c r="C844" t="n">
        <v>7</v>
      </c>
      <c r="D844" s="218" t="n">
        <v>182.4</v>
      </c>
      <c r="E844" s="218" t="n">
        <v>5.88</v>
      </c>
      <c r="F844" t="str">
        <v>https://re.jrc.ec.europa.eu/api/v5_3/PVcalc?lat=30.0444&amp;lon=31.2357&amp;peakpower=1&amp;loss=14&amp;angle=10&amp;aspect=30&amp;outputformat=json&amp;raddatabase=PVGIS-SARAH3&amp;pvtechchoice=crystSi&amp;mountingplace=free&amp;usehorizon=1</v>
      </c>
    </row>
    <row r="845">
      <c r="A845" t="n">
        <v>10</v>
      </c>
      <c r="B845" t="n">
        <v>210</v>
      </c>
      <c r="C845" t="n">
        <v>8</v>
      </c>
      <c r="D845" s="218" t="n">
        <v>173.72</v>
      </c>
      <c r="E845" s="218" t="n">
        <v>5.6</v>
      </c>
      <c r="F845" t="str">
        <v>https://re.jrc.ec.europa.eu/api/v5_3/PVcalc?lat=30.0444&amp;lon=31.2357&amp;peakpower=1&amp;loss=14&amp;angle=10&amp;aspect=30&amp;outputformat=json&amp;raddatabase=PVGIS-SARAH3&amp;pvtechchoice=crystSi&amp;mountingplace=free&amp;usehorizon=1</v>
      </c>
    </row>
    <row r="846">
      <c r="A846" t="n">
        <v>10</v>
      </c>
      <c r="B846" t="n">
        <v>210</v>
      </c>
      <c r="C846" t="n">
        <v>9</v>
      </c>
      <c r="D846" s="218" t="n">
        <v>154.27</v>
      </c>
      <c r="E846" s="218" t="n">
        <v>5.14</v>
      </c>
      <c r="F846" t="str">
        <v>https://re.jrc.ec.europa.eu/api/v5_3/PVcalc?lat=30.0444&amp;lon=31.2357&amp;peakpower=1&amp;loss=14&amp;angle=10&amp;aspect=30&amp;outputformat=json&amp;raddatabase=PVGIS-SARAH3&amp;pvtechchoice=crystSi&amp;mountingplace=free&amp;usehorizon=1</v>
      </c>
    </row>
    <row r="847">
      <c r="A847" t="n">
        <v>10</v>
      </c>
      <c r="B847" t="n">
        <v>210</v>
      </c>
      <c r="C847" t="n">
        <v>10</v>
      </c>
      <c r="D847" s="218" t="n">
        <v>134.73</v>
      </c>
      <c r="E847" s="218" t="n">
        <v>4.35</v>
      </c>
      <c r="F847" t="str">
        <v>https://re.jrc.ec.europa.eu/api/v5_3/PVcalc?lat=30.0444&amp;lon=31.2357&amp;peakpower=1&amp;loss=14&amp;angle=10&amp;aspect=30&amp;outputformat=json&amp;raddatabase=PVGIS-SARAH3&amp;pvtechchoice=crystSi&amp;mountingplace=free&amp;usehorizon=1</v>
      </c>
    </row>
    <row r="848">
      <c r="A848" t="n">
        <v>10</v>
      </c>
      <c r="B848" t="n">
        <v>210</v>
      </c>
      <c r="C848" t="n">
        <v>11</v>
      </c>
      <c r="D848" s="218" t="n">
        <v>109.39</v>
      </c>
      <c r="E848" s="218" t="n">
        <v>3.65</v>
      </c>
      <c r="F848" t="str">
        <v>https://re.jrc.ec.europa.eu/api/v5_3/PVcalc?lat=30.0444&amp;lon=31.2357&amp;peakpower=1&amp;loss=14&amp;angle=10&amp;aspect=30&amp;outputformat=json&amp;raddatabase=PVGIS-SARAH3&amp;pvtechchoice=crystSi&amp;mountingplace=free&amp;usehorizon=1</v>
      </c>
    </row>
    <row r="849">
      <c r="A849" t="n">
        <v>10</v>
      </c>
      <c r="B849" t="n">
        <v>210</v>
      </c>
      <c r="C849" t="n">
        <v>12</v>
      </c>
      <c r="D849" s="218" t="n">
        <v>99.85</v>
      </c>
      <c r="E849" s="218" t="n">
        <v>3.22</v>
      </c>
      <c r="F849" t="str">
        <v>https://re.jrc.ec.europa.eu/api/v5_3/PVcalc?lat=30.0444&amp;lon=31.2357&amp;peakpower=1&amp;loss=14&amp;angle=10&amp;aspect=30&amp;outputformat=json&amp;raddatabase=PVGIS-SARAH3&amp;pvtechchoice=crystSi&amp;mountingplace=free&amp;usehorizon=1</v>
      </c>
    </row>
    <row r="850">
      <c r="A850" t="n">
        <v>10</v>
      </c>
      <c r="B850" t="n">
        <v>225</v>
      </c>
      <c r="C850" t="n">
        <v>1</v>
      </c>
      <c r="D850" s="218" t="n">
        <v>100.53</v>
      </c>
      <c r="E850" s="218" t="n">
        <v>3.24</v>
      </c>
      <c r="F850" t="str">
        <v>https://re.jrc.ec.europa.eu/api/v5_3/PVcalc?lat=30.0444&amp;lon=31.2357&amp;peakpower=1&amp;loss=14&amp;angle=10&amp;aspect=45&amp;outputformat=json&amp;raddatabase=PVGIS-SARAH3&amp;pvtechchoice=crystSi&amp;mountingplace=free&amp;usehorizon=1</v>
      </c>
    </row>
    <row r="851">
      <c r="A851" t="n">
        <v>10</v>
      </c>
      <c r="B851" t="n">
        <v>225</v>
      </c>
      <c r="C851" t="n">
        <v>2</v>
      </c>
      <c r="D851" s="218" t="n">
        <v>107.53</v>
      </c>
      <c r="E851" s="218" t="n">
        <v>3.84</v>
      </c>
      <c r="F851" t="str">
        <v>https://re.jrc.ec.europa.eu/api/v5_3/PVcalc?lat=30.0444&amp;lon=31.2357&amp;peakpower=1&amp;loss=14&amp;angle=10&amp;aspect=45&amp;outputformat=json&amp;raddatabase=PVGIS-SARAH3&amp;pvtechchoice=crystSi&amp;mountingplace=free&amp;usehorizon=1</v>
      </c>
    </row>
    <row r="852">
      <c r="A852" t="n">
        <v>10</v>
      </c>
      <c r="B852" t="n">
        <v>225</v>
      </c>
      <c r="C852" t="n">
        <v>3</v>
      </c>
      <c r="D852" s="218" t="n">
        <v>147.48</v>
      </c>
      <c r="E852" s="218" t="n">
        <v>4.76</v>
      </c>
      <c r="F852" t="str">
        <v>https://re.jrc.ec.europa.eu/api/v5_3/PVcalc?lat=30.0444&amp;lon=31.2357&amp;peakpower=1&amp;loss=14&amp;angle=10&amp;aspect=45&amp;outputformat=json&amp;raddatabase=PVGIS-SARAH3&amp;pvtechchoice=crystSi&amp;mountingplace=free&amp;usehorizon=1</v>
      </c>
    </row>
    <row r="853">
      <c r="A853" t="n">
        <v>10</v>
      </c>
      <c r="B853" t="n">
        <v>225</v>
      </c>
      <c r="C853" t="n">
        <v>4</v>
      </c>
      <c r="D853" s="218" t="n">
        <v>161.57</v>
      </c>
      <c r="E853" s="218" t="n">
        <v>5.39</v>
      </c>
      <c r="F853" t="str">
        <v>https://re.jrc.ec.europa.eu/api/v5_3/PVcalc?lat=30.0444&amp;lon=31.2357&amp;peakpower=1&amp;loss=14&amp;angle=10&amp;aspect=45&amp;outputformat=json&amp;raddatabase=PVGIS-SARAH3&amp;pvtechchoice=crystSi&amp;mountingplace=free&amp;usehorizon=1</v>
      </c>
    </row>
    <row r="854">
      <c r="A854" t="n">
        <v>10</v>
      </c>
      <c r="B854" t="n">
        <v>225</v>
      </c>
      <c r="C854" t="n">
        <v>5</v>
      </c>
      <c r="D854" s="218" t="n">
        <v>175.67</v>
      </c>
      <c r="E854" s="218" t="n">
        <v>5.67</v>
      </c>
      <c r="F854" t="str">
        <v>https://re.jrc.ec.europa.eu/api/v5_3/PVcalc?lat=30.0444&amp;lon=31.2357&amp;peakpower=1&amp;loss=14&amp;angle=10&amp;aspect=45&amp;outputformat=json&amp;raddatabase=PVGIS-SARAH3&amp;pvtechchoice=crystSi&amp;mountingplace=free&amp;usehorizon=1</v>
      </c>
    </row>
    <row r="855">
      <c r="A855" t="n">
        <v>10</v>
      </c>
      <c r="B855" t="n">
        <v>225</v>
      </c>
      <c r="C855" t="n">
        <v>6</v>
      </c>
      <c r="D855" s="218" t="n">
        <v>179.03</v>
      </c>
      <c r="E855" s="218" t="n">
        <v>5.97</v>
      </c>
      <c r="F855" t="str">
        <v>https://re.jrc.ec.europa.eu/api/v5_3/PVcalc?lat=30.0444&amp;lon=31.2357&amp;peakpower=1&amp;loss=14&amp;angle=10&amp;aspect=45&amp;outputformat=json&amp;raddatabase=PVGIS-SARAH3&amp;pvtechchoice=crystSi&amp;mountingplace=free&amp;usehorizon=1</v>
      </c>
    </row>
    <row r="856">
      <c r="A856" t="n">
        <v>10</v>
      </c>
      <c r="B856" t="n">
        <v>225</v>
      </c>
      <c r="C856" t="n">
        <v>7</v>
      </c>
      <c r="D856" s="218" t="n">
        <v>183.02</v>
      </c>
      <c r="E856" s="218" t="n">
        <v>5.9</v>
      </c>
      <c r="F856" t="str">
        <v>https://re.jrc.ec.europa.eu/api/v5_3/PVcalc?lat=30.0444&amp;lon=31.2357&amp;peakpower=1&amp;loss=14&amp;angle=10&amp;aspect=45&amp;outputformat=json&amp;raddatabase=PVGIS-SARAH3&amp;pvtechchoice=crystSi&amp;mountingplace=free&amp;usehorizon=1</v>
      </c>
    </row>
    <row r="857">
      <c r="A857" t="n">
        <v>10</v>
      </c>
      <c r="B857" t="n">
        <v>225</v>
      </c>
      <c r="C857" t="n">
        <v>8</v>
      </c>
      <c r="D857" s="218" t="n">
        <v>173.49</v>
      </c>
      <c r="E857" s="218" t="n">
        <v>5.6</v>
      </c>
      <c r="F857" t="str">
        <v>https://re.jrc.ec.europa.eu/api/v5_3/PVcalc?lat=30.0444&amp;lon=31.2357&amp;peakpower=1&amp;loss=14&amp;angle=10&amp;aspect=45&amp;outputformat=json&amp;raddatabase=PVGIS-SARAH3&amp;pvtechchoice=crystSi&amp;mountingplace=free&amp;usehorizon=1</v>
      </c>
    </row>
    <row r="858">
      <c r="A858" t="n">
        <v>10</v>
      </c>
      <c r="B858" t="n">
        <v>225</v>
      </c>
      <c r="C858" t="n">
        <v>9</v>
      </c>
      <c r="D858" s="218" t="n">
        <v>152.98</v>
      </c>
      <c r="E858" s="218" t="n">
        <v>5.1</v>
      </c>
      <c r="F858" t="str">
        <v>https://re.jrc.ec.europa.eu/api/v5_3/PVcalc?lat=30.0444&amp;lon=31.2357&amp;peakpower=1&amp;loss=14&amp;angle=10&amp;aspect=45&amp;outputformat=json&amp;raddatabase=PVGIS-SARAH3&amp;pvtechchoice=crystSi&amp;mountingplace=free&amp;usehorizon=1</v>
      </c>
    </row>
    <row r="859">
      <c r="A859" t="n">
        <v>10</v>
      </c>
      <c r="B859" t="n">
        <v>225</v>
      </c>
      <c r="C859" t="n">
        <v>10</v>
      </c>
      <c r="D859" s="218" t="n">
        <v>132.31</v>
      </c>
      <c r="E859" s="218" t="n">
        <v>4.27</v>
      </c>
      <c r="F859" t="str">
        <v>https://re.jrc.ec.europa.eu/api/v5_3/PVcalc?lat=30.0444&amp;lon=31.2357&amp;peakpower=1&amp;loss=14&amp;angle=10&amp;aspect=45&amp;outputformat=json&amp;raddatabase=PVGIS-SARAH3&amp;pvtechchoice=crystSi&amp;mountingplace=free&amp;usehorizon=1</v>
      </c>
    </row>
    <row r="860">
      <c r="A860" t="n">
        <v>10</v>
      </c>
      <c r="B860" t="n">
        <v>225</v>
      </c>
      <c r="C860" t="n">
        <v>11</v>
      </c>
      <c r="D860" s="218" t="n">
        <v>106.43</v>
      </c>
      <c r="E860" s="218" t="n">
        <v>3.55</v>
      </c>
      <c r="F860" t="str">
        <v>https://re.jrc.ec.europa.eu/api/v5_3/PVcalc?lat=30.0444&amp;lon=31.2357&amp;peakpower=1&amp;loss=14&amp;angle=10&amp;aspect=45&amp;outputformat=json&amp;raddatabase=PVGIS-SARAH3&amp;pvtechchoice=crystSi&amp;mountingplace=free&amp;usehorizon=1</v>
      </c>
    </row>
    <row r="861">
      <c r="A861" t="n">
        <v>10</v>
      </c>
      <c r="B861" t="n">
        <v>225</v>
      </c>
      <c r="C861" t="n">
        <v>12</v>
      </c>
      <c r="D861" s="218" t="n">
        <v>96.68</v>
      </c>
      <c r="E861" s="218" t="n">
        <v>3.12</v>
      </c>
      <c r="F861" t="str">
        <v>https://re.jrc.ec.europa.eu/api/v5_3/PVcalc?lat=30.0444&amp;lon=31.2357&amp;peakpower=1&amp;loss=14&amp;angle=10&amp;aspect=45&amp;outputformat=json&amp;raddatabase=PVGIS-SARAH3&amp;pvtechchoice=crystSi&amp;mountingplace=free&amp;usehorizon=1</v>
      </c>
    </row>
    <row r="862">
      <c r="A862" t="n">
        <v>10</v>
      </c>
      <c r="B862" t="n">
        <v>240</v>
      </c>
      <c r="C862" t="n">
        <v>1</v>
      </c>
      <c r="D862" s="218" t="n">
        <v>96.65</v>
      </c>
      <c r="E862" s="218" t="n">
        <v>3.12</v>
      </c>
      <c r="F862" t="str">
        <v>https://re.jrc.ec.europa.eu/api/v5_3/PVcalc?lat=30.0444&amp;lon=31.2357&amp;peakpower=1&amp;loss=14&amp;angle=10&amp;aspect=60&amp;outputformat=json&amp;raddatabase=PVGIS-SARAH3&amp;pvtechchoice=crystSi&amp;mountingplace=free&amp;usehorizon=1</v>
      </c>
    </row>
    <row r="863">
      <c r="A863" t="n">
        <v>10</v>
      </c>
      <c r="B863" t="n">
        <v>240</v>
      </c>
      <c r="C863" t="n">
        <v>2</v>
      </c>
      <c r="D863" s="218" t="n">
        <v>104.63</v>
      </c>
      <c r="E863" s="218" t="n">
        <v>3.74</v>
      </c>
      <c r="F863" t="str">
        <v>https://re.jrc.ec.europa.eu/api/v5_3/PVcalc?lat=30.0444&amp;lon=31.2357&amp;peakpower=1&amp;loss=14&amp;angle=10&amp;aspect=60&amp;outputformat=json&amp;raddatabase=PVGIS-SARAH3&amp;pvtechchoice=crystSi&amp;mountingplace=free&amp;usehorizon=1</v>
      </c>
    </row>
    <row r="864">
      <c r="A864" t="n">
        <v>10</v>
      </c>
      <c r="B864" t="n">
        <v>240</v>
      </c>
      <c r="C864" t="n">
        <v>3</v>
      </c>
      <c r="D864" s="218" t="n">
        <v>145.08</v>
      </c>
      <c r="E864" s="218" t="n">
        <v>4.68</v>
      </c>
      <c r="F864" t="str">
        <v>https://re.jrc.ec.europa.eu/api/v5_3/PVcalc?lat=30.0444&amp;lon=31.2357&amp;peakpower=1&amp;loss=14&amp;angle=10&amp;aspect=60&amp;outputformat=json&amp;raddatabase=PVGIS-SARAH3&amp;pvtechchoice=crystSi&amp;mountingplace=free&amp;usehorizon=1</v>
      </c>
    </row>
    <row r="865">
      <c r="A865" t="n">
        <v>10</v>
      </c>
      <c r="B865" t="n">
        <v>240</v>
      </c>
      <c r="C865" t="n">
        <v>4</v>
      </c>
      <c r="D865" s="218" t="n">
        <v>160.44</v>
      </c>
      <c r="E865" s="218" t="n">
        <v>5.35</v>
      </c>
      <c r="F865" t="str">
        <v>https://re.jrc.ec.europa.eu/api/v5_3/PVcalc?lat=30.0444&amp;lon=31.2357&amp;peakpower=1&amp;loss=14&amp;angle=10&amp;aspect=60&amp;outputformat=json&amp;raddatabase=PVGIS-SARAH3&amp;pvtechchoice=crystSi&amp;mountingplace=free&amp;usehorizon=1</v>
      </c>
    </row>
    <row r="866">
      <c r="A866" t="n">
        <v>10</v>
      </c>
      <c r="B866" t="n">
        <v>240</v>
      </c>
      <c r="C866" t="n">
        <v>5</v>
      </c>
      <c r="D866" s="218" t="n">
        <v>175.55</v>
      </c>
      <c r="E866" s="218" t="n">
        <v>5.66</v>
      </c>
      <c r="F866" t="str">
        <v>https://re.jrc.ec.europa.eu/api/v5_3/PVcalc?lat=30.0444&amp;lon=31.2357&amp;peakpower=1&amp;loss=14&amp;angle=10&amp;aspect=60&amp;outputformat=json&amp;raddatabase=PVGIS-SARAH3&amp;pvtechchoice=crystSi&amp;mountingplace=free&amp;usehorizon=1</v>
      </c>
    </row>
    <row r="867">
      <c r="A867" t="n">
        <v>10</v>
      </c>
      <c r="B867" t="n">
        <v>240</v>
      </c>
      <c r="C867" t="n">
        <v>6</v>
      </c>
      <c r="D867" s="218" t="n">
        <v>179.67</v>
      </c>
      <c r="E867" s="218" t="n">
        <v>5.99</v>
      </c>
      <c r="F867" t="str">
        <v>https://re.jrc.ec.europa.eu/api/v5_3/PVcalc?lat=30.0444&amp;lon=31.2357&amp;peakpower=1&amp;loss=14&amp;angle=10&amp;aspect=60&amp;outputformat=json&amp;raddatabase=PVGIS-SARAH3&amp;pvtechchoice=crystSi&amp;mountingplace=free&amp;usehorizon=1</v>
      </c>
    </row>
    <row r="868">
      <c r="A868" t="n">
        <v>10</v>
      </c>
      <c r="B868" t="n">
        <v>240</v>
      </c>
      <c r="C868" t="n">
        <v>7</v>
      </c>
      <c r="D868" s="218" t="n">
        <v>183.52</v>
      </c>
      <c r="E868" s="218" t="n">
        <v>5.92</v>
      </c>
      <c r="F868" t="str">
        <v>https://re.jrc.ec.europa.eu/api/v5_3/PVcalc?lat=30.0444&amp;lon=31.2357&amp;peakpower=1&amp;loss=14&amp;angle=10&amp;aspect=60&amp;outputformat=json&amp;raddatabase=PVGIS-SARAH3&amp;pvtechchoice=crystSi&amp;mountingplace=free&amp;usehorizon=1</v>
      </c>
    </row>
    <row r="869">
      <c r="A869" t="n">
        <v>10</v>
      </c>
      <c r="B869" t="n">
        <v>240</v>
      </c>
      <c r="C869" t="n">
        <v>8</v>
      </c>
      <c r="D869" s="218" t="n">
        <v>172.98</v>
      </c>
      <c r="E869" s="218" t="n">
        <v>5.58</v>
      </c>
      <c r="F869" t="str">
        <v>https://re.jrc.ec.europa.eu/api/v5_3/PVcalc?lat=30.0444&amp;lon=31.2357&amp;peakpower=1&amp;loss=14&amp;angle=10&amp;aspect=60&amp;outputformat=json&amp;raddatabase=PVGIS-SARAH3&amp;pvtechchoice=crystSi&amp;mountingplace=free&amp;usehorizon=1</v>
      </c>
    </row>
    <row r="870">
      <c r="A870" t="n">
        <v>10</v>
      </c>
      <c r="B870" t="n">
        <v>240</v>
      </c>
      <c r="C870" t="n">
        <v>9</v>
      </c>
      <c r="D870" s="218" t="n">
        <v>151.09</v>
      </c>
      <c r="E870" s="218" t="n">
        <v>5.04</v>
      </c>
      <c r="F870" t="str">
        <v>https://re.jrc.ec.europa.eu/api/v5_3/PVcalc?lat=30.0444&amp;lon=31.2357&amp;peakpower=1&amp;loss=14&amp;angle=10&amp;aspect=60&amp;outputformat=json&amp;raddatabase=PVGIS-SARAH3&amp;pvtechchoice=crystSi&amp;mountingplace=free&amp;usehorizon=1</v>
      </c>
    </row>
    <row r="871">
      <c r="A871" t="n">
        <v>10</v>
      </c>
      <c r="B871" t="n">
        <v>240</v>
      </c>
      <c r="C871" t="n">
        <v>10</v>
      </c>
      <c r="D871" s="218" t="n">
        <v>129.11</v>
      </c>
      <c r="E871" s="218" t="n">
        <v>4.16</v>
      </c>
      <c r="F871" t="str">
        <v>https://re.jrc.ec.europa.eu/api/v5_3/PVcalc?lat=30.0444&amp;lon=31.2357&amp;peakpower=1&amp;loss=14&amp;angle=10&amp;aspect=60&amp;outputformat=json&amp;raddatabase=PVGIS-SARAH3&amp;pvtechchoice=crystSi&amp;mountingplace=free&amp;usehorizon=1</v>
      </c>
    </row>
    <row r="872">
      <c r="A872" t="n">
        <v>10</v>
      </c>
      <c r="B872" t="n">
        <v>240</v>
      </c>
      <c r="C872" t="n">
        <v>11</v>
      </c>
      <c r="D872" s="218" t="n">
        <v>102.61</v>
      </c>
      <c r="E872" s="218" t="n">
        <v>3.42</v>
      </c>
      <c r="F872" t="str">
        <v>https://re.jrc.ec.europa.eu/api/v5_3/PVcalc?lat=30.0444&amp;lon=31.2357&amp;peakpower=1&amp;loss=14&amp;angle=10&amp;aspect=60&amp;outputformat=json&amp;raddatabase=PVGIS-SARAH3&amp;pvtechchoice=crystSi&amp;mountingplace=free&amp;usehorizon=1</v>
      </c>
    </row>
    <row r="873">
      <c r="A873" t="n">
        <v>10</v>
      </c>
      <c r="B873" t="n">
        <v>240</v>
      </c>
      <c r="C873" t="n">
        <v>12</v>
      </c>
      <c r="D873" s="218" t="n">
        <v>92.66</v>
      </c>
      <c r="E873" s="218" t="n">
        <v>2.99</v>
      </c>
      <c r="F873" t="str">
        <v>https://re.jrc.ec.europa.eu/api/v5_3/PVcalc?lat=30.0444&amp;lon=31.2357&amp;peakpower=1&amp;loss=14&amp;angle=10&amp;aspect=60&amp;outputformat=json&amp;raddatabase=PVGIS-SARAH3&amp;pvtechchoice=crystSi&amp;mountingplace=free&amp;usehorizon=1</v>
      </c>
    </row>
    <row r="874">
      <c r="A874" t="n">
        <v>10</v>
      </c>
      <c r="B874" t="n">
        <v>255</v>
      </c>
      <c r="C874" t="n">
        <v>1</v>
      </c>
      <c r="D874" s="218" t="n">
        <v>92.16</v>
      </c>
      <c r="E874" s="218" t="n">
        <v>2.97</v>
      </c>
      <c r="F874" t="str">
        <v>https://re.jrc.ec.europa.eu/api/v5_3/PVcalc?lat=30.0444&amp;lon=31.2357&amp;peakpower=1&amp;loss=14&amp;angle=10&amp;aspect=75&amp;outputformat=json&amp;raddatabase=PVGIS-SARAH3&amp;pvtechchoice=crystSi&amp;mountingplace=free&amp;usehorizon=1</v>
      </c>
    </row>
    <row r="875">
      <c r="A875" t="n">
        <v>10</v>
      </c>
      <c r="B875" t="n">
        <v>255</v>
      </c>
      <c r="C875" t="n">
        <v>2</v>
      </c>
      <c r="D875" s="218" t="n">
        <v>101.24</v>
      </c>
      <c r="E875" s="218" t="n">
        <v>3.62</v>
      </c>
      <c r="F875" t="str">
        <v>https://re.jrc.ec.europa.eu/api/v5_3/PVcalc?lat=30.0444&amp;lon=31.2357&amp;peakpower=1&amp;loss=14&amp;angle=10&amp;aspect=75&amp;outputformat=json&amp;raddatabase=PVGIS-SARAH3&amp;pvtechchoice=crystSi&amp;mountingplace=free&amp;usehorizon=1</v>
      </c>
    </row>
    <row r="876">
      <c r="A876" t="n">
        <v>10</v>
      </c>
      <c r="B876" t="n">
        <v>255</v>
      </c>
      <c r="C876" t="n">
        <v>3</v>
      </c>
      <c r="D876" s="218" t="n">
        <v>142.21</v>
      </c>
      <c r="E876" s="218" t="n">
        <v>4.59</v>
      </c>
      <c r="F876" t="str">
        <v>https://re.jrc.ec.europa.eu/api/v5_3/PVcalc?lat=30.0444&amp;lon=31.2357&amp;peakpower=1&amp;loss=14&amp;angle=10&amp;aspect=75&amp;outputformat=json&amp;raddatabase=PVGIS-SARAH3&amp;pvtechchoice=crystSi&amp;mountingplace=free&amp;usehorizon=1</v>
      </c>
    </row>
    <row r="877">
      <c r="A877" t="n">
        <v>10</v>
      </c>
      <c r="B877" t="n">
        <v>255</v>
      </c>
      <c r="C877" t="n">
        <v>4</v>
      </c>
      <c r="D877" s="218" t="n">
        <v>159.01</v>
      </c>
      <c r="E877" s="218" t="n">
        <v>5.3</v>
      </c>
      <c r="F877" t="str">
        <v>https://re.jrc.ec.europa.eu/api/v5_3/PVcalc?lat=30.0444&amp;lon=31.2357&amp;peakpower=1&amp;loss=14&amp;angle=10&amp;aspect=75&amp;outputformat=json&amp;raddatabase=PVGIS-SARAH3&amp;pvtechchoice=crystSi&amp;mountingplace=free&amp;usehorizon=1</v>
      </c>
    </row>
    <row r="878">
      <c r="A878" t="n">
        <v>10</v>
      </c>
      <c r="B878" t="n">
        <v>255</v>
      </c>
      <c r="C878" t="n">
        <v>5</v>
      </c>
      <c r="D878" s="218" t="n">
        <v>175.33</v>
      </c>
      <c r="E878" s="218" t="n">
        <v>5.66</v>
      </c>
      <c r="F878" t="str">
        <v>https://re.jrc.ec.europa.eu/api/v5_3/PVcalc?lat=30.0444&amp;lon=31.2357&amp;peakpower=1&amp;loss=14&amp;angle=10&amp;aspect=75&amp;outputformat=json&amp;raddatabase=PVGIS-SARAH3&amp;pvtechchoice=crystSi&amp;mountingplace=free&amp;usehorizon=1</v>
      </c>
    </row>
    <row r="879">
      <c r="A879" t="n">
        <v>10</v>
      </c>
      <c r="B879" t="n">
        <v>255</v>
      </c>
      <c r="C879" t="n">
        <v>6</v>
      </c>
      <c r="D879" s="218" t="n">
        <v>180.25</v>
      </c>
      <c r="E879" s="218" t="n">
        <v>6.01</v>
      </c>
      <c r="F879" t="str">
        <v>https://re.jrc.ec.europa.eu/api/v5_3/PVcalc?lat=30.0444&amp;lon=31.2357&amp;peakpower=1&amp;loss=14&amp;angle=10&amp;aspect=75&amp;outputformat=json&amp;raddatabase=PVGIS-SARAH3&amp;pvtechchoice=crystSi&amp;mountingplace=free&amp;usehorizon=1</v>
      </c>
    </row>
    <row r="880">
      <c r="A880" t="n">
        <v>10</v>
      </c>
      <c r="B880" t="n">
        <v>255</v>
      </c>
      <c r="C880" t="n">
        <v>7</v>
      </c>
      <c r="D880" s="218" t="n">
        <v>183.86</v>
      </c>
      <c r="E880" s="218" t="n">
        <v>5.93</v>
      </c>
      <c r="F880" t="str">
        <v>https://re.jrc.ec.europa.eu/api/v5_3/PVcalc?lat=30.0444&amp;lon=31.2357&amp;peakpower=1&amp;loss=14&amp;angle=10&amp;aspect=75&amp;outputformat=json&amp;raddatabase=PVGIS-SARAH3&amp;pvtechchoice=crystSi&amp;mountingplace=free&amp;usehorizon=1</v>
      </c>
    </row>
    <row r="881">
      <c r="A881" t="n">
        <v>10</v>
      </c>
      <c r="B881" t="n">
        <v>255</v>
      </c>
      <c r="C881" t="n">
        <v>8</v>
      </c>
      <c r="D881" s="218" t="n">
        <v>172.13</v>
      </c>
      <c r="E881" s="218" t="n">
        <v>5.55</v>
      </c>
      <c r="F881" t="str">
        <v>https://re.jrc.ec.europa.eu/api/v5_3/PVcalc?lat=30.0444&amp;lon=31.2357&amp;peakpower=1&amp;loss=14&amp;angle=10&amp;aspect=75&amp;outputformat=json&amp;raddatabase=PVGIS-SARAH3&amp;pvtechchoice=crystSi&amp;mountingplace=free&amp;usehorizon=1</v>
      </c>
    </row>
    <row r="882">
      <c r="A882" t="n">
        <v>10</v>
      </c>
      <c r="B882" t="n">
        <v>255</v>
      </c>
      <c r="C882" t="n">
        <v>9</v>
      </c>
      <c r="D882" s="218" t="n">
        <v>148.74</v>
      </c>
      <c r="E882" s="218" t="n">
        <v>4.96</v>
      </c>
      <c r="F882" t="str">
        <v>https://re.jrc.ec.europa.eu/api/v5_3/PVcalc?lat=30.0444&amp;lon=31.2357&amp;peakpower=1&amp;loss=14&amp;angle=10&amp;aspect=75&amp;outputformat=json&amp;raddatabase=PVGIS-SARAH3&amp;pvtechchoice=crystSi&amp;mountingplace=free&amp;usehorizon=1</v>
      </c>
    </row>
    <row r="883">
      <c r="A883" t="n">
        <v>10</v>
      </c>
      <c r="B883" t="n">
        <v>255</v>
      </c>
      <c r="C883" t="n">
        <v>10</v>
      </c>
      <c r="D883" s="218" t="n">
        <v>125.35</v>
      </c>
      <c r="E883" s="218" t="n">
        <v>4.04</v>
      </c>
      <c r="F883" t="str">
        <v>https://re.jrc.ec.europa.eu/api/v5_3/PVcalc?lat=30.0444&amp;lon=31.2357&amp;peakpower=1&amp;loss=14&amp;angle=10&amp;aspect=75&amp;outputformat=json&amp;raddatabase=PVGIS-SARAH3&amp;pvtechchoice=crystSi&amp;mountingplace=free&amp;usehorizon=1</v>
      </c>
    </row>
    <row r="884">
      <c r="A884" t="n">
        <v>10</v>
      </c>
      <c r="B884" t="n">
        <v>255</v>
      </c>
      <c r="C884" t="n">
        <v>11</v>
      </c>
      <c r="D884" s="218" t="n">
        <v>98.21</v>
      </c>
      <c r="E884" s="218" t="n">
        <v>3.27</v>
      </c>
      <c r="F884" t="str">
        <v>https://re.jrc.ec.europa.eu/api/v5_3/PVcalc?lat=30.0444&amp;lon=31.2357&amp;peakpower=1&amp;loss=14&amp;angle=10&amp;aspect=75&amp;outputformat=json&amp;raddatabase=PVGIS-SARAH3&amp;pvtechchoice=crystSi&amp;mountingplace=free&amp;usehorizon=1</v>
      </c>
    </row>
    <row r="885">
      <c r="A885" t="n">
        <v>10</v>
      </c>
      <c r="B885" t="n">
        <v>255</v>
      </c>
      <c r="C885" t="n">
        <v>12</v>
      </c>
      <c r="D885" s="218" t="n">
        <v>87.98</v>
      </c>
      <c r="E885" s="218" t="n">
        <v>2.84</v>
      </c>
      <c r="F885" t="str">
        <v>https://re.jrc.ec.europa.eu/api/v5_3/PVcalc?lat=30.0444&amp;lon=31.2357&amp;peakpower=1&amp;loss=14&amp;angle=10&amp;aspect=75&amp;outputformat=json&amp;raddatabase=PVGIS-SARAH3&amp;pvtechchoice=crystSi&amp;mountingplace=free&amp;usehorizon=1</v>
      </c>
    </row>
    <row r="886">
      <c r="A886" t="n">
        <v>10</v>
      </c>
      <c r="B886" t="n">
        <v>270</v>
      </c>
      <c r="C886" t="n">
        <v>1</v>
      </c>
      <c r="D886" s="218" t="n">
        <v>87.36</v>
      </c>
      <c r="E886" s="218" t="n">
        <v>2.82</v>
      </c>
      <c r="F886" t="str">
        <v>https://re.jrc.ec.europa.eu/api/v5_3/PVcalc?lat=30.0444&amp;lon=31.2357&amp;peakpower=1&amp;loss=14&amp;angle=10&amp;aspect=90&amp;outputformat=json&amp;raddatabase=PVGIS-SARAH3&amp;pvtechchoice=crystSi&amp;mountingplace=free&amp;usehorizon=1</v>
      </c>
    </row>
    <row r="887">
      <c r="A887" t="n">
        <v>10</v>
      </c>
      <c r="B887" t="n">
        <v>270</v>
      </c>
      <c r="C887" t="n">
        <v>2</v>
      </c>
      <c r="D887" s="218" t="n">
        <v>97.58</v>
      </c>
      <c r="E887" s="218" t="n">
        <v>3.48</v>
      </c>
      <c r="F887" t="str">
        <v>https://re.jrc.ec.europa.eu/api/v5_3/PVcalc?lat=30.0444&amp;lon=31.2357&amp;peakpower=1&amp;loss=14&amp;angle=10&amp;aspect=90&amp;outputformat=json&amp;raddatabase=PVGIS-SARAH3&amp;pvtechchoice=crystSi&amp;mountingplace=free&amp;usehorizon=1</v>
      </c>
    </row>
    <row r="888">
      <c r="A888" t="n">
        <v>10</v>
      </c>
      <c r="B888" t="n">
        <v>270</v>
      </c>
      <c r="C888" t="n">
        <v>3</v>
      </c>
      <c r="D888" s="218" t="n">
        <v>139.09</v>
      </c>
      <c r="E888" s="218" t="n">
        <v>4.49</v>
      </c>
      <c r="F888" t="str">
        <v>https://re.jrc.ec.europa.eu/api/v5_3/PVcalc?lat=30.0444&amp;lon=31.2357&amp;peakpower=1&amp;loss=14&amp;angle=10&amp;aspect=90&amp;outputformat=json&amp;raddatabase=PVGIS-SARAH3&amp;pvtechchoice=crystSi&amp;mountingplace=free&amp;usehorizon=1</v>
      </c>
    </row>
    <row r="889">
      <c r="A889" t="n">
        <v>10</v>
      </c>
      <c r="B889" t="n">
        <v>270</v>
      </c>
      <c r="C889" t="n">
        <v>4</v>
      </c>
      <c r="D889" s="218" t="n">
        <v>157.39</v>
      </c>
      <c r="E889" s="218" t="n">
        <v>5.25</v>
      </c>
      <c r="F889" t="str">
        <v>https://re.jrc.ec.europa.eu/api/v5_3/PVcalc?lat=30.0444&amp;lon=31.2357&amp;peakpower=1&amp;loss=14&amp;angle=10&amp;aspect=90&amp;outputformat=json&amp;raddatabase=PVGIS-SARAH3&amp;pvtechchoice=crystSi&amp;mountingplace=free&amp;usehorizon=1</v>
      </c>
    </row>
    <row r="890">
      <c r="A890" t="n">
        <v>10</v>
      </c>
      <c r="B890" t="n">
        <v>270</v>
      </c>
      <c r="C890" t="n">
        <v>5</v>
      </c>
      <c r="D890" s="218" t="n">
        <v>175.03</v>
      </c>
      <c r="E890" s="218" t="n">
        <v>5.65</v>
      </c>
      <c r="F890" t="str">
        <v>https://re.jrc.ec.europa.eu/api/v5_3/PVcalc?lat=30.0444&amp;lon=31.2357&amp;peakpower=1&amp;loss=14&amp;angle=10&amp;aspect=90&amp;outputformat=json&amp;raddatabase=PVGIS-SARAH3&amp;pvtechchoice=crystSi&amp;mountingplace=free&amp;usehorizon=1</v>
      </c>
    </row>
    <row r="891">
      <c r="A891" t="n">
        <v>10</v>
      </c>
      <c r="B891" t="n">
        <v>270</v>
      </c>
      <c r="C891" t="n">
        <v>6</v>
      </c>
      <c r="D891" s="218" t="n">
        <v>180.73</v>
      </c>
      <c r="E891" s="218" t="n">
        <v>6.02</v>
      </c>
      <c r="F891" t="str">
        <v>https://re.jrc.ec.europa.eu/api/v5_3/PVcalc?lat=30.0444&amp;lon=31.2357&amp;peakpower=1&amp;loss=14&amp;angle=10&amp;aspect=90&amp;outputformat=json&amp;raddatabase=PVGIS-SARAH3&amp;pvtechchoice=crystSi&amp;mountingplace=free&amp;usehorizon=1</v>
      </c>
    </row>
    <row r="892">
      <c r="A892" t="n">
        <v>10</v>
      </c>
      <c r="B892" t="n">
        <v>270</v>
      </c>
      <c r="C892" t="n">
        <v>7</v>
      </c>
      <c r="D892" s="218" t="n">
        <v>184.03</v>
      </c>
      <c r="E892" s="218" t="n">
        <v>5.94</v>
      </c>
      <c r="F892" t="str">
        <v>https://re.jrc.ec.europa.eu/api/v5_3/PVcalc?lat=30.0444&amp;lon=31.2357&amp;peakpower=1&amp;loss=14&amp;angle=10&amp;aspect=90&amp;outputformat=json&amp;raddatabase=PVGIS-SARAH3&amp;pvtechchoice=crystSi&amp;mountingplace=free&amp;usehorizon=1</v>
      </c>
    </row>
    <row r="893">
      <c r="A893" t="n">
        <v>10</v>
      </c>
      <c r="B893" t="n">
        <v>270</v>
      </c>
      <c r="C893" t="n">
        <v>8</v>
      </c>
      <c r="D893" s="218" t="n">
        <v>171.01</v>
      </c>
      <c r="E893" s="218" t="n">
        <v>5.52</v>
      </c>
      <c r="F893" t="str">
        <v>https://re.jrc.ec.europa.eu/api/v5_3/PVcalc?lat=30.0444&amp;lon=31.2357&amp;peakpower=1&amp;loss=14&amp;angle=10&amp;aspect=90&amp;outputformat=json&amp;raddatabase=PVGIS-SARAH3&amp;pvtechchoice=crystSi&amp;mountingplace=free&amp;usehorizon=1</v>
      </c>
    </row>
    <row r="894">
      <c r="A894" t="n">
        <v>10</v>
      </c>
      <c r="B894" t="n">
        <v>270</v>
      </c>
      <c r="C894" t="n">
        <v>9</v>
      </c>
      <c r="D894" s="218" t="n">
        <v>146.09</v>
      </c>
      <c r="E894" s="218" t="n">
        <v>4.87</v>
      </c>
      <c r="F894" t="str">
        <v>https://re.jrc.ec.europa.eu/api/v5_3/PVcalc?lat=30.0444&amp;lon=31.2357&amp;peakpower=1&amp;loss=14&amp;angle=10&amp;aspect=90&amp;outputformat=json&amp;raddatabase=PVGIS-SARAH3&amp;pvtechchoice=crystSi&amp;mountingplace=free&amp;usehorizon=1</v>
      </c>
    </row>
    <row r="895">
      <c r="A895" t="n">
        <v>10</v>
      </c>
      <c r="B895" t="n">
        <v>270</v>
      </c>
      <c r="C895" t="n">
        <v>10</v>
      </c>
      <c r="D895" s="218" t="n">
        <v>121.28</v>
      </c>
      <c r="E895" s="218" t="n">
        <v>3.91</v>
      </c>
      <c r="F895" t="str">
        <v>https://re.jrc.ec.europa.eu/api/v5_3/PVcalc?lat=30.0444&amp;lon=31.2357&amp;peakpower=1&amp;loss=14&amp;angle=10&amp;aspect=90&amp;outputformat=json&amp;raddatabase=PVGIS-SARAH3&amp;pvtechchoice=crystSi&amp;mountingplace=free&amp;usehorizon=1</v>
      </c>
    </row>
    <row r="896">
      <c r="A896" t="n">
        <v>10</v>
      </c>
      <c r="B896" t="n">
        <v>270</v>
      </c>
      <c r="C896" t="n">
        <v>11</v>
      </c>
      <c r="D896" s="218" t="n">
        <v>93.51</v>
      </c>
      <c r="E896" s="218" t="n">
        <v>3.12</v>
      </c>
      <c r="F896" t="str">
        <v>https://re.jrc.ec.europa.eu/api/v5_3/PVcalc?lat=30.0444&amp;lon=31.2357&amp;peakpower=1&amp;loss=14&amp;angle=10&amp;aspect=90&amp;outputformat=json&amp;raddatabase=PVGIS-SARAH3&amp;pvtechchoice=crystSi&amp;mountingplace=free&amp;usehorizon=1</v>
      </c>
    </row>
    <row r="897">
      <c r="A897" t="n">
        <v>10</v>
      </c>
      <c r="B897" t="n">
        <v>270</v>
      </c>
      <c r="C897" t="n">
        <v>12</v>
      </c>
      <c r="D897" s="218" t="n">
        <v>82.88</v>
      </c>
      <c r="E897" s="218" t="n">
        <v>2.67</v>
      </c>
      <c r="F897" t="str">
        <v>https://re.jrc.ec.europa.eu/api/v5_3/PVcalc?lat=30.0444&amp;lon=31.2357&amp;peakpower=1&amp;loss=14&amp;angle=10&amp;aspect=90&amp;outputformat=json&amp;raddatabase=PVGIS-SARAH3&amp;pvtechchoice=crystSi&amp;mountingplace=free&amp;usehorizon=1</v>
      </c>
    </row>
    <row r="898">
      <c r="A898" t="n">
        <v>10</v>
      </c>
      <c r="B898" t="n">
        <v>285</v>
      </c>
      <c r="C898" t="n">
        <v>1</v>
      </c>
      <c r="D898" s="218" t="n">
        <v>82.53</v>
      </c>
      <c r="E898" s="218" t="n">
        <v>2.66</v>
      </c>
      <c r="F898" t="str">
        <v>https://re.jrc.ec.europa.eu/api/v5_3/PVcalc?lat=30.0444&amp;lon=31.2357&amp;peakpower=1&amp;loss=14&amp;angle=10&amp;aspect=105&amp;outputformat=json&amp;raddatabase=PVGIS-SARAH3&amp;pvtechchoice=crystSi&amp;mountingplace=free&amp;usehorizon=1</v>
      </c>
    </row>
    <row r="899">
      <c r="A899" t="n">
        <v>10</v>
      </c>
      <c r="B899" t="n">
        <v>285</v>
      </c>
      <c r="C899" t="n">
        <v>2</v>
      </c>
      <c r="D899" s="218" t="n">
        <v>93.86</v>
      </c>
      <c r="E899" s="218" t="n">
        <v>3.35</v>
      </c>
      <c r="F899" t="str">
        <v>https://re.jrc.ec.europa.eu/api/v5_3/PVcalc?lat=30.0444&amp;lon=31.2357&amp;peakpower=1&amp;loss=14&amp;angle=10&amp;aspect=105&amp;outputformat=json&amp;raddatabase=PVGIS-SARAH3&amp;pvtechchoice=crystSi&amp;mountingplace=free&amp;usehorizon=1</v>
      </c>
    </row>
    <row r="900">
      <c r="A900" t="n">
        <v>10</v>
      </c>
      <c r="B900" t="n">
        <v>285</v>
      </c>
      <c r="C900" t="n">
        <v>3</v>
      </c>
      <c r="D900" s="218" t="n">
        <v>135.86</v>
      </c>
      <c r="E900" s="218" t="n">
        <v>4.38</v>
      </c>
      <c r="F900" t="str">
        <v>https://re.jrc.ec.europa.eu/api/v5_3/PVcalc?lat=30.0444&amp;lon=31.2357&amp;peakpower=1&amp;loss=14&amp;angle=10&amp;aspect=105&amp;outputformat=json&amp;raddatabase=PVGIS-SARAH3&amp;pvtechchoice=crystSi&amp;mountingplace=free&amp;usehorizon=1</v>
      </c>
    </row>
    <row r="901">
      <c r="A901" t="n">
        <v>10</v>
      </c>
      <c r="B901" t="n">
        <v>285</v>
      </c>
      <c r="C901" t="n">
        <v>4</v>
      </c>
      <c r="D901" s="218" t="n">
        <v>155.68</v>
      </c>
      <c r="E901" s="218" t="n">
        <v>5.19</v>
      </c>
      <c r="F901" t="str">
        <v>https://re.jrc.ec.europa.eu/api/v5_3/PVcalc?lat=30.0444&amp;lon=31.2357&amp;peakpower=1&amp;loss=14&amp;angle=10&amp;aspect=105&amp;outputformat=json&amp;raddatabase=PVGIS-SARAH3&amp;pvtechchoice=crystSi&amp;mountingplace=free&amp;usehorizon=1</v>
      </c>
    </row>
    <row r="902">
      <c r="A902" t="n">
        <v>10</v>
      </c>
      <c r="B902" t="n">
        <v>285</v>
      </c>
      <c r="C902" t="n">
        <v>5</v>
      </c>
      <c r="D902" s="218" t="n">
        <v>174.67</v>
      </c>
      <c r="E902" s="218" t="n">
        <v>5.63</v>
      </c>
      <c r="F902" t="str">
        <v>https://re.jrc.ec.europa.eu/api/v5_3/PVcalc?lat=30.0444&amp;lon=31.2357&amp;peakpower=1&amp;loss=14&amp;angle=10&amp;aspect=105&amp;outputformat=json&amp;raddatabase=PVGIS-SARAH3&amp;pvtechchoice=crystSi&amp;mountingplace=free&amp;usehorizon=1</v>
      </c>
    </row>
    <row r="903">
      <c r="A903" t="n">
        <v>10</v>
      </c>
      <c r="B903" t="n">
        <v>285</v>
      </c>
      <c r="C903" t="n">
        <v>6</v>
      </c>
      <c r="D903" s="218" t="n">
        <v>181.1</v>
      </c>
      <c r="E903" s="218" t="n">
        <v>6.04</v>
      </c>
      <c r="F903" t="str">
        <v>https://re.jrc.ec.europa.eu/api/v5_3/PVcalc?lat=30.0444&amp;lon=31.2357&amp;peakpower=1&amp;loss=14&amp;angle=10&amp;aspect=105&amp;outputformat=json&amp;raddatabase=PVGIS-SARAH3&amp;pvtechchoice=crystSi&amp;mountingplace=free&amp;usehorizon=1</v>
      </c>
    </row>
    <row r="904">
      <c r="A904" t="n">
        <v>10</v>
      </c>
      <c r="B904" t="n">
        <v>285</v>
      </c>
      <c r="C904" t="n">
        <v>7</v>
      </c>
      <c r="D904" s="218" t="n">
        <v>184.03</v>
      </c>
      <c r="E904" s="218" t="n">
        <v>5.94</v>
      </c>
      <c r="F904" t="str">
        <v>https://re.jrc.ec.europa.eu/api/v5_3/PVcalc?lat=30.0444&amp;lon=31.2357&amp;peakpower=1&amp;loss=14&amp;angle=10&amp;aspect=105&amp;outputformat=json&amp;raddatabase=PVGIS-SARAH3&amp;pvtechchoice=crystSi&amp;mountingplace=free&amp;usehorizon=1</v>
      </c>
    </row>
    <row r="905">
      <c r="A905" t="n">
        <v>10</v>
      </c>
      <c r="B905" t="n">
        <v>285</v>
      </c>
      <c r="C905" t="n">
        <v>8</v>
      </c>
      <c r="D905" s="218" t="n">
        <v>169.71</v>
      </c>
      <c r="E905" s="218" t="n">
        <v>5.47</v>
      </c>
      <c r="F905" t="str">
        <v>https://re.jrc.ec.europa.eu/api/v5_3/PVcalc?lat=30.0444&amp;lon=31.2357&amp;peakpower=1&amp;loss=14&amp;angle=10&amp;aspect=105&amp;outputformat=json&amp;raddatabase=PVGIS-SARAH3&amp;pvtechchoice=crystSi&amp;mountingplace=free&amp;usehorizon=1</v>
      </c>
    </row>
    <row r="906">
      <c r="A906" t="n">
        <v>10</v>
      </c>
      <c r="B906" t="n">
        <v>285</v>
      </c>
      <c r="C906" t="n">
        <v>9</v>
      </c>
      <c r="D906" s="218" t="n">
        <v>143.3</v>
      </c>
      <c r="E906" s="218" t="n">
        <v>4.78</v>
      </c>
      <c r="F906" t="str">
        <v>https://re.jrc.ec.europa.eu/api/v5_3/PVcalc?lat=30.0444&amp;lon=31.2357&amp;peakpower=1&amp;loss=14&amp;angle=10&amp;aspect=105&amp;outputformat=json&amp;raddatabase=PVGIS-SARAH3&amp;pvtechchoice=crystSi&amp;mountingplace=free&amp;usehorizon=1</v>
      </c>
    </row>
    <row r="907">
      <c r="A907" t="n">
        <v>10</v>
      </c>
      <c r="B907" t="n">
        <v>285</v>
      </c>
      <c r="C907" t="n">
        <v>10</v>
      </c>
      <c r="D907" s="218" t="n">
        <v>117.13</v>
      </c>
      <c r="E907" s="218" t="n">
        <v>3.78</v>
      </c>
      <c r="F907" t="str">
        <v>https://re.jrc.ec.europa.eu/api/v5_3/PVcalc?lat=30.0444&amp;lon=31.2357&amp;peakpower=1&amp;loss=14&amp;angle=10&amp;aspect=105&amp;outputformat=json&amp;raddatabase=PVGIS-SARAH3&amp;pvtechchoice=crystSi&amp;mountingplace=free&amp;usehorizon=1</v>
      </c>
    </row>
    <row r="908">
      <c r="A908" t="n">
        <v>10</v>
      </c>
      <c r="B908" t="n">
        <v>285</v>
      </c>
      <c r="C908" t="n">
        <v>11</v>
      </c>
      <c r="D908" s="218" t="n">
        <v>88.72</v>
      </c>
      <c r="E908" s="218" t="n">
        <v>2.96</v>
      </c>
      <c r="F908" t="str">
        <v>https://re.jrc.ec.europa.eu/api/v5_3/PVcalc?lat=30.0444&amp;lon=31.2357&amp;peakpower=1&amp;loss=14&amp;angle=10&amp;aspect=105&amp;outputformat=json&amp;raddatabase=PVGIS-SARAH3&amp;pvtechchoice=crystSi&amp;mountingplace=free&amp;usehorizon=1</v>
      </c>
    </row>
    <row r="909">
      <c r="A909" t="n">
        <v>10</v>
      </c>
      <c r="B909" t="n">
        <v>285</v>
      </c>
      <c r="C909" t="n">
        <v>12</v>
      </c>
      <c r="D909" s="218" t="n">
        <v>77.74</v>
      </c>
      <c r="E909" s="218" t="n">
        <v>2.51</v>
      </c>
      <c r="F909" t="str">
        <v>https://re.jrc.ec.europa.eu/api/v5_3/PVcalc?lat=30.0444&amp;lon=31.2357&amp;peakpower=1&amp;loss=14&amp;angle=10&amp;aspect=105&amp;outputformat=json&amp;raddatabase=PVGIS-SARAH3&amp;pvtechchoice=crystSi&amp;mountingplace=free&amp;usehorizon=1</v>
      </c>
    </row>
    <row r="910">
      <c r="A910" t="n">
        <v>10</v>
      </c>
      <c r="B910" t="n">
        <v>300</v>
      </c>
      <c r="C910" t="n">
        <v>1</v>
      </c>
      <c r="D910" s="218" t="n">
        <v>77.99</v>
      </c>
      <c r="E910" s="218" t="n">
        <v>2.52</v>
      </c>
      <c r="F910" t="str">
        <v>https://re.jrc.ec.europa.eu/api/v5_3/PVcalc?lat=30.0444&amp;lon=31.2357&amp;peakpower=1&amp;loss=14&amp;angle=10&amp;aspect=120&amp;outputformat=json&amp;raddatabase=PVGIS-SARAH3&amp;pvtechchoice=crystSi&amp;mountingplace=free&amp;usehorizon=1</v>
      </c>
    </row>
    <row r="911">
      <c r="A911" t="n">
        <v>10</v>
      </c>
      <c r="B911" t="n">
        <v>300</v>
      </c>
      <c r="C911" t="n">
        <v>2</v>
      </c>
      <c r="D911" s="218" t="n">
        <v>90.36</v>
      </c>
      <c r="E911" s="218" t="n">
        <v>3.23</v>
      </c>
      <c r="F911" t="str">
        <v>https://re.jrc.ec.europa.eu/api/v5_3/PVcalc?lat=30.0444&amp;lon=31.2357&amp;peakpower=1&amp;loss=14&amp;angle=10&amp;aspect=120&amp;outputformat=json&amp;raddatabase=PVGIS-SARAH3&amp;pvtechchoice=crystSi&amp;mountingplace=free&amp;usehorizon=1</v>
      </c>
    </row>
    <row r="912">
      <c r="A912" t="n">
        <v>10</v>
      </c>
      <c r="B912" t="n">
        <v>300</v>
      </c>
      <c r="C912" t="n">
        <v>3</v>
      </c>
      <c r="D912" s="218" t="n">
        <v>132.74</v>
      </c>
      <c r="E912" s="218" t="n">
        <v>4.28</v>
      </c>
      <c r="F912" t="str">
        <v>https://re.jrc.ec.europa.eu/api/v5_3/PVcalc?lat=30.0444&amp;lon=31.2357&amp;peakpower=1&amp;loss=14&amp;angle=10&amp;aspect=120&amp;outputformat=json&amp;raddatabase=PVGIS-SARAH3&amp;pvtechchoice=crystSi&amp;mountingplace=free&amp;usehorizon=1</v>
      </c>
    </row>
    <row r="913">
      <c r="A913" t="n">
        <v>10</v>
      </c>
      <c r="B913" t="n">
        <v>300</v>
      </c>
      <c r="C913" t="n">
        <v>4</v>
      </c>
      <c r="D913" s="218" t="n">
        <v>154.02</v>
      </c>
      <c r="E913" s="218" t="n">
        <v>5.13</v>
      </c>
      <c r="F913" t="str">
        <v>https://re.jrc.ec.europa.eu/api/v5_3/PVcalc?lat=30.0444&amp;lon=31.2357&amp;peakpower=1&amp;loss=14&amp;angle=10&amp;aspect=120&amp;outputformat=json&amp;raddatabase=PVGIS-SARAH3&amp;pvtechchoice=crystSi&amp;mountingplace=free&amp;usehorizon=1</v>
      </c>
    </row>
    <row r="914">
      <c r="A914" t="n">
        <v>10</v>
      </c>
      <c r="B914" t="n">
        <v>300</v>
      </c>
      <c r="C914" t="n">
        <v>5</v>
      </c>
      <c r="D914" s="218" t="n">
        <v>174.3</v>
      </c>
      <c r="E914" s="218" t="n">
        <v>5.62</v>
      </c>
      <c r="F914" t="str">
        <v>https://re.jrc.ec.europa.eu/api/v5_3/PVcalc?lat=30.0444&amp;lon=31.2357&amp;peakpower=1&amp;loss=14&amp;angle=10&amp;aspect=120&amp;outputformat=json&amp;raddatabase=PVGIS-SARAH3&amp;pvtechchoice=crystSi&amp;mountingplace=free&amp;usehorizon=1</v>
      </c>
    </row>
    <row r="915">
      <c r="A915" t="n">
        <v>10</v>
      </c>
      <c r="B915" t="n">
        <v>300</v>
      </c>
      <c r="C915" t="n">
        <v>6</v>
      </c>
      <c r="D915" s="218" t="n">
        <v>181.35</v>
      </c>
      <c r="E915" s="218" t="n">
        <v>6.04</v>
      </c>
      <c r="F915" t="str">
        <v>https://re.jrc.ec.europa.eu/api/v5_3/PVcalc?lat=30.0444&amp;lon=31.2357&amp;peakpower=1&amp;loss=14&amp;angle=10&amp;aspect=120&amp;outputformat=json&amp;raddatabase=PVGIS-SARAH3&amp;pvtechchoice=crystSi&amp;mountingplace=free&amp;usehorizon=1</v>
      </c>
    </row>
    <row r="916">
      <c r="A916" t="n">
        <v>10</v>
      </c>
      <c r="B916" t="n">
        <v>300</v>
      </c>
      <c r="C916" t="n">
        <v>7</v>
      </c>
      <c r="D916" s="218" t="n">
        <v>183.87</v>
      </c>
      <c r="E916" s="218" t="n">
        <v>5.93</v>
      </c>
      <c r="F916" t="str">
        <v>https://re.jrc.ec.europa.eu/api/v5_3/PVcalc?lat=30.0444&amp;lon=31.2357&amp;peakpower=1&amp;loss=14&amp;angle=10&amp;aspect=120&amp;outputformat=json&amp;raddatabase=PVGIS-SARAH3&amp;pvtechchoice=crystSi&amp;mountingplace=free&amp;usehorizon=1</v>
      </c>
    </row>
    <row r="917">
      <c r="A917" t="n">
        <v>10</v>
      </c>
      <c r="B917" t="n">
        <v>300</v>
      </c>
      <c r="C917" t="n">
        <v>8</v>
      </c>
      <c r="D917" s="218" t="n">
        <v>168.35</v>
      </c>
      <c r="E917" s="218" t="n">
        <v>5.43</v>
      </c>
      <c r="F917" t="str">
        <v>https://re.jrc.ec.europa.eu/api/v5_3/PVcalc?lat=30.0444&amp;lon=31.2357&amp;peakpower=1&amp;loss=14&amp;angle=10&amp;aspect=120&amp;outputformat=json&amp;raddatabase=PVGIS-SARAH3&amp;pvtechchoice=crystSi&amp;mountingplace=free&amp;usehorizon=1</v>
      </c>
    </row>
    <row r="918">
      <c r="A918" t="n">
        <v>10</v>
      </c>
      <c r="B918" t="n">
        <v>300</v>
      </c>
      <c r="C918" t="n">
        <v>9</v>
      </c>
      <c r="D918" s="218" t="n">
        <v>140.58</v>
      </c>
      <c r="E918" s="218" t="n">
        <v>4.69</v>
      </c>
      <c r="F918" t="str">
        <v>https://re.jrc.ec.europa.eu/api/v5_3/PVcalc?lat=30.0444&amp;lon=31.2357&amp;peakpower=1&amp;loss=14&amp;angle=10&amp;aspect=120&amp;outputformat=json&amp;raddatabase=PVGIS-SARAH3&amp;pvtechchoice=crystSi&amp;mountingplace=free&amp;usehorizon=1</v>
      </c>
    </row>
    <row r="919">
      <c r="A919" t="n">
        <v>10</v>
      </c>
      <c r="B919" t="n">
        <v>300</v>
      </c>
      <c r="C919" t="n">
        <v>10</v>
      </c>
      <c r="D919" s="218" t="n">
        <v>113.19</v>
      </c>
      <c r="E919" s="218" t="n">
        <v>3.65</v>
      </c>
      <c r="F919" t="str">
        <v>https://re.jrc.ec.europa.eu/api/v5_3/PVcalc?lat=30.0444&amp;lon=31.2357&amp;peakpower=1&amp;loss=14&amp;angle=10&amp;aspect=120&amp;outputformat=json&amp;raddatabase=PVGIS-SARAH3&amp;pvtechchoice=crystSi&amp;mountingplace=free&amp;usehorizon=1</v>
      </c>
    </row>
    <row r="920">
      <c r="A920" t="n">
        <v>10</v>
      </c>
      <c r="B920" t="n">
        <v>300</v>
      </c>
      <c r="C920" t="n">
        <v>11</v>
      </c>
      <c r="D920" s="218" t="n">
        <v>84.12</v>
      </c>
      <c r="E920" s="218" t="n">
        <v>2.8</v>
      </c>
      <c r="F920" t="str">
        <v>https://re.jrc.ec.europa.eu/api/v5_3/PVcalc?lat=30.0444&amp;lon=31.2357&amp;peakpower=1&amp;loss=14&amp;angle=10&amp;aspect=120&amp;outputformat=json&amp;raddatabase=PVGIS-SARAH3&amp;pvtechchoice=crystSi&amp;mountingplace=free&amp;usehorizon=1</v>
      </c>
    </row>
    <row r="921">
      <c r="A921" t="n">
        <v>10</v>
      </c>
      <c r="B921" t="n">
        <v>300</v>
      </c>
      <c r="C921" t="n">
        <v>12</v>
      </c>
      <c r="D921" s="218" t="n">
        <v>72.88</v>
      </c>
      <c r="E921" s="218" t="n">
        <v>2.35</v>
      </c>
      <c r="F921" t="str">
        <v>https://re.jrc.ec.europa.eu/api/v5_3/PVcalc?lat=30.0444&amp;lon=31.2357&amp;peakpower=1&amp;loss=14&amp;angle=10&amp;aspect=120&amp;outputformat=json&amp;raddatabase=PVGIS-SARAH3&amp;pvtechchoice=crystSi&amp;mountingplace=free&amp;usehorizon=1</v>
      </c>
    </row>
    <row r="922">
      <c r="A922" t="n">
        <v>10</v>
      </c>
      <c r="B922" t="n">
        <v>315</v>
      </c>
      <c r="C922" t="n">
        <v>1</v>
      </c>
      <c r="D922" s="218" t="n">
        <v>74.04</v>
      </c>
      <c r="E922" s="218" t="n">
        <v>2.39</v>
      </c>
      <c r="F922" t="str">
        <v>https://re.jrc.ec.europa.eu/api/v5_3/PVcalc?lat=30.0444&amp;lon=31.2357&amp;peakpower=1&amp;loss=14&amp;angle=10&amp;aspect=135&amp;outputformat=json&amp;raddatabase=PVGIS-SARAH3&amp;pvtechchoice=crystSi&amp;mountingplace=free&amp;usehorizon=1</v>
      </c>
    </row>
    <row r="923">
      <c r="A923" t="n">
        <v>10</v>
      </c>
      <c r="B923" t="n">
        <v>315</v>
      </c>
      <c r="C923" t="n">
        <v>2</v>
      </c>
      <c r="D923" s="218" t="n">
        <v>87.3</v>
      </c>
      <c r="E923" s="218" t="n">
        <v>3.12</v>
      </c>
      <c r="F923" t="str">
        <v>https://re.jrc.ec.europa.eu/api/v5_3/PVcalc?lat=30.0444&amp;lon=31.2357&amp;peakpower=1&amp;loss=14&amp;angle=10&amp;aspect=135&amp;outputformat=json&amp;raddatabase=PVGIS-SARAH3&amp;pvtechchoice=crystSi&amp;mountingplace=free&amp;usehorizon=1</v>
      </c>
    </row>
    <row r="924">
      <c r="A924" t="n">
        <v>10</v>
      </c>
      <c r="B924" t="n">
        <v>315</v>
      </c>
      <c r="C924" t="n">
        <v>3</v>
      </c>
      <c r="D924" s="218" t="n">
        <v>129.96</v>
      </c>
      <c r="E924" s="218" t="n">
        <v>4.19</v>
      </c>
      <c r="F924" t="str">
        <v>https://re.jrc.ec.europa.eu/api/v5_3/PVcalc?lat=30.0444&amp;lon=31.2357&amp;peakpower=1&amp;loss=14&amp;angle=10&amp;aspect=135&amp;outputformat=json&amp;raddatabase=PVGIS-SARAH3&amp;pvtechchoice=crystSi&amp;mountingplace=free&amp;usehorizon=1</v>
      </c>
    </row>
    <row r="925">
      <c r="A925" t="n">
        <v>10</v>
      </c>
      <c r="B925" t="n">
        <v>315</v>
      </c>
      <c r="C925" t="n">
        <v>4</v>
      </c>
      <c r="D925" s="218" t="n">
        <v>152.54</v>
      </c>
      <c r="E925" s="218" t="n">
        <v>5.08</v>
      </c>
      <c r="F925" t="str">
        <v>https://re.jrc.ec.europa.eu/api/v5_3/PVcalc?lat=30.0444&amp;lon=31.2357&amp;peakpower=1&amp;loss=14&amp;angle=10&amp;aspect=135&amp;outputformat=json&amp;raddatabase=PVGIS-SARAH3&amp;pvtechchoice=crystSi&amp;mountingplace=free&amp;usehorizon=1</v>
      </c>
    </row>
    <row r="926">
      <c r="A926" t="n">
        <v>10</v>
      </c>
      <c r="B926" t="n">
        <v>315</v>
      </c>
      <c r="C926" t="n">
        <v>5</v>
      </c>
      <c r="D926" s="218" t="n">
        <v>173.94</v>
      </c>
      <c r="E926" s="218" t="n">
        <v>5.61</v>
      </c>
      <c r="F926" t="str">
        <v>https://re.jrc.ec.europa.eu/api/v5_3/PVcalc?lat=30.0444&amp;lon=31.2357&amp;peakpower=1&amp;loss=14&amp;angle=10&amp;aspect=135&amp;outputformat=json&amp;raddatabase=PVGIS-SARAH3&amp;pvtechchoice=crystSi&amp;mountingplace=free&amp;usehorizon=1</v>
      </c>
    </row>
    <row r="927">
      <c r="A927" t="n">
        <v>10</v>
      </c>
      <c r="B927" t="n">
        <v>315</v>
      </c>
      <c r="C927" t="n">
        <v>6</v>
      </c>
      <c r="D927" s="218" t="n">
        <v>181.45</v>
      </c>
      <c r="E927" s="218" t="n">
        <v>6.05</v>
      </c>
      <c r="F927" t="str">
        <v>https://re.jrc.ec.europa.eu/api/v5_3/PVcalc?lat=30.0444&amp;lon=31.2357&amp;peakpower=1&amp;loss=14&amp;angle=10&amp;aspect=135&amp;outputformat=json&amp;raddatabase=PVGIS-SARAH3&amp;pvtechchoice=crystSi&amp;mountingplace=free&amp;usehorizon=1</v>
      </c>
    </row>
    <row r="928">
      <c r="A928" t="n">
        <v>10</v>
      </c>
      <c r="B928" t="n">
        <v>315</v>
      </c>
      <c r="C928" t="n">
        <v>7</v>
      </c>
      <c r="D928" s="218" t="n">
        <v>183.57</v>
      </c>
      <c r="E928" s="218" t="n">
        <v>5.92</v>
      </c>
      <c r="F928" t="str">
        <v>https://re.jrc.ec.europa.eu/api/v5_3/PVcalc?lat=30.0444&amp;lon=31.2357&amp;peakpower=1&amp;loss=14&amp;angle=10&amp;aspect=135&amp;outputformat=json&amp;raddatabase=PVGIS-SARAH3&amp;pvtechchoice=crystSi&amp;mountingplace=free&amp;usehorizon=1</v>
      </c>
    </row>
    <row r="929">
      <c r="A929" t="n">
        <v>10</v>
      </c>
      <c r="B929" t="n">
        <v>315</v>
      </c>
      <c r="C929" t="n">
        <v>8</v>
      </c>
      <c r="D929" s="218" t="n">
        <v>167.06</v>
      </c>
      <c r="E929" s="218" t="n">
        <v>5.39</v>
      </c>
      <c r="F929" t="str">
        <v>https://re.jrc.ec.europa.eu/api/v5_3/PVcalc?lat=30.0444&amp;lon=31.2357&amp;peakpower=1&amp;loss=14&amp;angle=10&amp;aspect=135&amp;outputformat=json&amp;raddatabase=PVGIS-SARAH3&amp;pvtechchoice=crystSi&amp;mountingplace=free&amp;usehorizon=1</v>
      </c>
    </row>
    <row r="930">
      <c r="A930" t="n">
        <v>10</v>
      </c>
      <c r="B930" t="n">
        <v>315</v>
      </c>
      <c r="C930" t="n">
        <v>9</v>
      </c>
      <c r="D930" s="218" t="n">
        <v>138.1</v>
      </c>
      <c r="E930" s="218" t="n">
        <v>4.6</v>
      </c>
      <c r="F930" t="str">
        <v>https://re.jrc.ec.europa.eu/api/v5_3/PVcalc?lat=30.0444&amp;lon=31.2357&amp;peakpower=1&amp;loss=14&amp;angle=10&amp;aspect=135&amp;outputformat=json&amp;raddatabase=PVGIS-SARAH3&amp;pvtechchoice=crystSi&amp;mountingplace=free&amp;usehorizon=1</v>
      </c>
    </row>
    <row r="931">
      <c r="A931" t="n">
        <v>10</v>
      </c>
      <c r="B931" t="n">
        <v>315</v>
      </c>
      <c r="C931" t="n">
        <v>10</v>
      </c>
      <c r="D931" s="218" t="n">
        <v>109.71</v>
      </c>
      <c r="E931" s="218" t="n">
        <v>3.54</v>
      </c>
      <c r="F931" t="str">
        <v>https://re.jrc.ec.europa.eu/api/v5_3/PVcalc?lat=30.0444&amp;lon=31.2357&amp;peakpower=1&amp;loss=14&amp;angle=10&amp;aspect=135&amp;outputformat=json&amp;raddatabase=PVGIS-SARAH3&amp;pvtechchoice=crystSi&amp;mountingplace=free&amp;usehorizon=1</v>
      </c>
    </row>
    <row r="932">
      <c r="A932" t="n">
        <v>10</v>
      </c>
      <c r="B932" t="n">
        <v>315</v>
      </c>
      <c r="C932" t="n">
        <v>11</v>
      </c>
      <c r="D932" s="218" t="n">
        <v>80.02</v>
      </c>
      <c r="E932" s="218" t="n">
        <v>2.67</v>
      </c>
      <c r="F932" t="str">
        <v>https://re.jrc.ec.europa.eu/api/v5_3/PVcalc?lat=30.0444&amp;lon=31.2357&amp;peakpower=1&amp;loss=14&amp;angle=10&amp;aspect=135&amp;outputformat=json&amp;raddatabase=PVGIS-SARAH3&amp;pvtechchoice=crystSi&amp;mountingplace=free&amp;usehorizon=1</v>
      </c>
    </row>
    <row r="933">
      <c r="A933" t="n">
        <v>10</v>
      </c>
      <c r="B933" t="n">
        <v>315</v>
      </c>
      <c r="C933" t="n">
        <v>12</v>
      </c>
      <c r="D933" s="218" t="n">
        <v>68.64</v>
      </c>
      <c r="E933" s="218" t="n">
        <v>2.21</v>
      </c>
      <c r="F933" t="str">
        <v>https://re.jrc.ec.europa.eu/api/v5_3/PVcalc?lat=30.0444&amp;lon=31.2357&amp;peakpower=1&amp;loss=14&amp;angle=10&amp;aspect=135&amp;outputformat=json&amp;raddatabase=PVGIS-SARAH3&amp;pvtechchoice=crystSi&amp;mountingplace=free&amp;usehorizon=1</v>
      </c>
    </row>
    <row r="934">
      <c r="A934" t="n">
        <v>10</v>
      </c>
      <c r="B934" t="n">
        <v>330</v>
      </c>
      <c r="C934" t="n">
        <v>1</v>
      </c>
      <c r="D934" s="218" t="n">
        <v>70.97</v>
      </c>
      <c r="E934" s="218" t="n">
        <v>2.29</v>
      </c>
      <c r="F934" t="str">
        <v>https://re.jrc.ec.europa.eu/api/v5_3/PVcalc?lat=30.0444&amp;lon=31.2357&amp;peakpower=1&amp;loss=14&amp;angle=10&amp;aspect=150&amp;outputformat=json&amp;raddatabase=PVGIS-SARAH3&amp;pvtechchoice=crystSi&amp;mountingplace=free&amp;usehorizon=1</v>
      </c>
    </row>
    <row r="935">
      <c r="A935" t="n">
        <v>10</v>
      </c>
      <c r="B935" t="n">
        <v>330</v>
      </c>
      <c r="C935" t="n">
        <v>2</v>
      </c>
      <c r="D935" s="218" t="n">
        <v>84.92</v>
      </c>
      <c r="E935" s="218" t="n">
        <v>3.03</v>
      </c>
      <c r="F935" t="str">
        <v>https://re.jrc.ec.europa.eu/api/v5_3/PVcalc?lat=30.0444&amp;lon=31.2357&amp;peakpower=1&amp;loss=14&amp;angle=10&amp;aspect=150&amp;outputformat=json&amp;raddatabase=PVGIS-SARAH3&amp;pvtechchoice=crystSi&amp;mountingplace=free&amp;usehorizon=1</v>
      </c>
    </row>
    <row r="936">
      <c r="A936" t="n">
        <v>10</v>
      </c>
      <c r="B936" t="n">
        <v>330</v>
      </c>
      <c r="C936" t="n">
        <v>3</v>
      </c>
      <c r="D936" s="218" t="n">
        <v>127.75</v>
      </c>
      <c r="E936" s="218" t="n">
        <v>4.12</v>
      </c>
      <c r="F936" t="str">
        <v>https://re.jrc.ec.europa.eu/api/v5_3/PVcalc?lat=30.0444&amp;lon=31.2357&amp;peakpower=1&amp;loss=14&amp;angle=10&amp;aspect=150&amp;outputformat=json&amp;raddatabase=PVGIS-SARAH3&amp;pvtechchoice=crystSi&amp;mountingplace=free&amp;usehorizon=1</v>
      </c>
    </row>
    <row r="937">
      <c r="A937" t="n">
        <v>10</v>
      </c>
      <c r="B937" t="n">
        <v>330</v>
      </c>
      <c r="C937" t="n">
        <v>4</v>
      </c>
      <c r="D937" s="218" t="n">
        <v>151.33</v>
      </c>
      <c r="E937" s="218" t="n">
        <v>5.04</v>
      </c>
      <c r="F937" t="str">
        <v>https://re.jrc.ec.europa.eu/api/v5_3/PVcalc?lat=30.0444&amp;lon=31.2357&amp;peakpower=1&amp;loss=14&amp;angle=10&amp;aspect=150&amp;outputformat=json&amp;raddatabase=PVGIS-SARAH3&amp;pvtechchoice=crystSi&amp;mountingplace=free&amp;usehorizon=1</v>
      </c>
    </row>
    <row r="938">
      <c r="A938" t="n">
        <v>10</v>
      </c>
      <c r="B938" t="n">
        <v>330</v>
      </c>
      <c r="C938" t="n">
        <v>5</v>
      </c>
      <c r="D938" s="218" t="n">
        <v>173.6</v>
      </c>
      <c r="E938" s="218" t="n">
        <v>5.6</v>
      </c>
      <c r="F938" t="str">
        <v>https://re.jrc.ec.europa.eu/api/v5_3/PVcalc?lat=30.0444&amp;lon=31.2357&amp;peakpower=1&amp;loss=14&amp;angle=10&amp;aspect=150&amp;outputformat=json&amp;raddatabase=PVGIS-SARAH3&amp;pvtechchoice=crystSi&amp;mountingplace=free&amp;usehorizon=1</v>
      </c>
    </row>
    <row r="939">
      <c r="A939" t="n">
        <v>10</v>
      </c>
      <c r="B939" t="n">
        <v>330</v>
      </c>
      <c r="C939" t="n">
        <v>6</v>
      </c>
      <c r="D939" s="218" t="n">
        <v>181.38</v>
      </c>
      <c r="E939" s="218" t="n">
        <v>6.05</v>
      </c>
      <c r="F939" t="str">
        <v>https://re.jrc.ec.europa.eu/api/v5_3/PVcalc?lat=30.0444&amp;lon=31.2357&amp;peakpower=1&amp;loss=14&amp;angle=10&amp;aspect=150&amp;outputformat=json&amp;raddatabase=PVGIS-SARAH3&amp;pvtechchoice=crystSi&amp;mountingplace=free&amp;usehorizon=1</v>
      </c>
    </row>
    <row r="940">
      <c r="A940" t="n">
        <v>10</v>
      </c>
      <c r="B940" t="n">
        <v>330</v>
      </c>
      <c r="C940" t="n">
        <v>7</v>
      </c>
      <c r="D940" s="218" t="n">
        <v>183.11</v>
      </c>
      <c r="E940" s="218" t="n">
        <v>5.91</v>
      </c>
      <c r="F940" t="str">
        <v>https://re.jrc.ec.europa.eu/api/v5_3/PVcalc?lat=30.0444&amp;lon=31.2357&amp;peakpower=1&amp;loss=14&amp;angle=10&amp;aspect=150&amp;outputformat=json&amp;raddatabase=PVGIS-SARAH3&amp;pvtechchoice=crystSi&amp;mountingplace=free&amp;usehorizon=1</v>
      </c>
    </row>
    <row r="941">
      <c r="A941" t="n">
        <v>10</v>
      </c>
      <c r="B941" t="n">
        <v>330</v>
      </c>
      <c r="C941" t="n">
        <v>8</v>
      </c>
      <c r="D941" s="218" t="n">
        <v>165.89</v>
      </c>
      <c r="E941" s="218" t="n">
        <v>5.35</v>
      </c>
      <c r="F941" t="str">
        <v>https://re.jrc.ec.europa.eu/api/v5_3/PVcalc?lat=30.0444&amp;lon=31.2357&amp;peakpower=1&amp;loss=14&amp;angle=10&amp;aspect=150&amp;outputformat=json&amp;raddatabase=PVGIS-SARAH3&amp;pvtechchoice=crystSi&amp;mountingplace=free&amp;usehorizon=1</v>
      </c>
    </row>
    <row r="942">
      <c r="A942" t="n">
        <v>10</v>
      </c>
      <c r="B942" t="n">
        <v>330</v>
      </c>
      <c r="C942" t="n">
        <v>9</v>
      </c>
      <c r="D942" s="218" t="n">
        <v>136.03</v>
      </c>
      <c r="E942" s="218" t="n">
        <v>4.53</v>
      </c>
      <c r="F942" t="str">
        <v>https://re.jrc.ec.europa.eu/api/v5_3/PVcalc?lat=30.0444&amp;lon=31.2357&amp;peakpower=1&amp;loss=14&amp;angle=10&amp;aspect=150&amp;outputformat=json&amp;raddatabase=PVGIS-SARAH3&amp;pvtechchoice=crystSi&amp;mountingplace=free&amp;usehorizon=1</v>
      </c>
    </row>
    <row r="943">
      <c r="A943" t="n">
        <v>10</v>
      </c>
      <c r="B943" t="n">
        <v>330</v>
      </c>
      <c r="C943" t="n">
        <v>10</v>
      </c>
      <c r="D943" s="218" t="n">
        <v>106.96</v>
      </c>
      <c r="E943" s="218" t="n">
        <v>3.45</v>
      </c>
      <c r="F943" t="str">
        <v>https://re.jrc.ec.europa.eu/api/v5_3/PVcalc?lat=30.0444&amp;lon=31.2357&amp;peakpower=1&amp;loss=14&amp;angle=10&amp;aspect=150&amp;outputformat=json&amp;raddatabase=PVGIS-SARAH3&amp;pvtechchoice=crystSi&amp;mountingplace=free&amp;usehorizon=1</v>
      </c>
    </row>
    <row r="944">
      <c r="A944" t="n">
        <v>10</v>
      </c>
      <c r="B944" t="n">
        <v>330</v>
      </c>
      <c r="C944" t="n">
        <v>11</v>
      </c>
      <c r="D944" s="218" t="n">
        <v>76.77</v>
      </c>
      <c r="E944" s="218" t="n">
        <v>2.56</v>
      </c>
      <c r="F944" t="str">
        <v>https://re.jrc.ec.europa.eu/api/v5_3/PVcalc?lat=30.0444&amp;lon=31.2357&amp;peakpower=1&amp;loss=14&amp;angle=10&amp;aspect=150&amp;outputformat=json&amp;raddatabase=PVGIS-SARAH3&amp;pvtechchoice=crystSi&amp;mountingplace=free&amp;usehorizon=1</v>
      </c>
    </row>
    <row r="945">
      <c r="A945" t="n">
        <v>10</v>
      </c>
      <c r="B945" t="n">
        <v>330</v>
      </c>
      <c r="C945" t="n">
        <v>12</v>
      </c>
      <c r="D945" s="218" t="n">
        <v>65.33</v>
      </c>
      <c r="E945" s="218" t="n">
        <v>2.11</v>
      </c>
      <c r="F945" t="str">
        <v>https://re.jrc.ec.europa.eu/api/v5_3/PVcalc?lat=30.0444&amp;lon=31.2357&amp;peakpower=1&amp;loss=14&amp;angle=10&amp;aspect=150&amp;outputformat=json&amp;raddatabase=PVGIS-SARAH3&amp;pvtechchoice=crystSi&amp;mountingplace=free&amp;usehorizon=1</v>
      </c>
    </row>
    <row r="946">
      <c r="A946" t="n">
        <v>10</v>
      </c>
      <c r="B946" t="n">
        <v>345</v>
      </c>
      <c r="C946" t="n">
        <v>1</v>
      </c>
      <c r="D946" s="218" t="n">
        <v>69.07</v>
      </c>
      <c r="E946" s="218" t="n">
        <v>2.23</v>
      </c>
      <c r="F946" t="str">
        <v>https://re.jrc.ec.europa.eu/api/v5_3/PVcalc?lat=30.0444&amp;lon=31.2357&amp;peakpower=1&amp;loss=14&amp;angle=10&amp;aspect=165&amp;outputformat=json&amp;raddatabase=PVGIS-SARAH3&amp;pvtechchoice=crystSi&amp;mountingplace=free&amp;usehorizon=1</v>
      </c>
    </row>
    <row r="947">
      <c r="A947" t="n">
        <v>10</v>
      </c>
      <c r="B947" t="n">
        <v>345</v>
      </c>
      <c r="C947" t="n">
        <v>2</v>
      </c>
      <c r="D947" s="218" t="n">
        <v>83.45</v>
      </c>
      <c r="E947" s="218" t="n">
        <v>2.98</v>
      </c>
      <c r="F947" t="str">
        <v>https://re.jrc.ec.europa.eu/api/v5_3/PVcalc?lat=30.0444&amp;lon=31.2357&amp;peakpower=1&amp;loss=14&amp;angle=10&amp;aspect=165&amp;outputformat=json&amp;raddatabase=PVGIS-SARAH3&amp;pvtechchoice=crystSi&amp;mountingplace=free&amp;usehorizon=1</v>
      </c>
    </row>
    <row r="948">
      <c r="A948" t="n">
        <v>10</v>
      </c>
      <c r="B948" t="n">
        <v>345</v>
      </c>
      <c r="C948" t="n">
        <v>3</v>
      </c>
      <c r="D948" s="218" t="n">
        <v>126.26</v>
      </c>
      <c r="E948" s="218" t="n">
        <v>4.07</v>
      </c>
      <c r="F948" t="str">
        <v>https://re.jrc.ec.europa.eu/api/v5_3/PVcalc?lat=30.0444&amp;lon=31.2357&amp;peakpower=1&amp;loss=14&amp;angle=10&amp;aspect=165&amp;outputformat=json&amp;raddatabase=PVGIS-SARAH3&amp;pvtechchoice=crystSi&amp;mountingplace=free&amp;usehorizon=1</v>
      </c>
    </row>
    <row r="949">
      <c r="A949" t="n">
        <v>10</v>
      </c>
      <c r="B949" t="n">
        <v>345</v>
      </c>
      <c r="C949" t="n">
        <v>4</v>
      </c>
      <c r="D949" s="218" t="n">
        <v>150.45</v>
      </c>
      <c r="E949" s="218" t="n">
        <v>5.02</v>
      </c>
      <c r="F949" t="str">
        <v>https://re.jrc.ec.europa.eu/api/v5_3/PVcalc?lat=30.0444&amp;lon=31.2357&amp;peakpower=1&amp;loss=14&amp;angle=10&amp;aspect=165&amp;outputformat=json&amp;raddatabase=PVGIS-SARAH3&amp;pvtechchoice=crystSi&amp;mountingplace=free&amp;usehorizon=1</v>
      </c>
    </row>
    <row r="950">
      <c r="A950" t="n">
        <v>10</v>
      </c>
      <c r="B950" t="n">
        <v>345</v>
      </c>
      <c r="C950" t="n">
        <v>5</v>
      </c>
      <c r="D950" s="218" t="n">
        <v>173.28</v>
      </c>
      <c r="E950" s="218" t="n">
        <v>5.59</v>
      </c>
      <c r="F950" t="str">
        <v>https://re.jrc.ec.europa.eu/api/v5_3/PVcalc?lat=30.0444&amp;lon=31.2357&amp;peakpower=1&amp;loss=14&amp;angle=10&amp;aspect=165&amp;outputformat=json&amp;raddatabase=PVGIS-SARAH3&amp;pvtechchoice=crystSi&amp;mountingplace=free&amp;usehorizon=1</v>
      </c>
    </row>
    <row r="951">
      <c r="A951" t="n">
        <v>10</v>
      </c>
      <c r="B951" t="n">
        <v>345</v>
      </c>
      <c r="C951" t="n">
        <v>6</v>
      </c>
      <c r="D951" s="218" t="n">
        <v>181.11</v>
      </c>
      <c r="E951" s="218" t="n">
        <v>6.04</v>
      </c>
      <c r="F951" t="str">
        <v>https://re.jrc.ec.europa.eu/api/v5_3/PVcalc?lat=30.0444&amp;lon=31.2357&amp;peakpower=1&amp;loss=14&amp;angle=10&amp;aspect=165&amp;outputformat=json&amp;raddatabase=PVGIS-SARAH3&amp;pvtechchoice=crystSi&amp;mountingplace=free&amp;usehorizon=1</v>
      </c>
    </row>
    <row r="952">
      <c r="A952" t="n">
        <v>10</v>
      </c>
      <c r="B952" t="n">
        <v>345</v>
      </c>
      <c r="C952" t="n">
        <v>7</v>
      </c>
      <c r="D952" s="218" t="n">
        <v>182.51</v>
      </c>
      <c r="E952" s="218" t="n">
        <v>5.89</v>
      </c>
      <c r="F952" t="str">
        <v>https://re.jrc.ec.europa.eu/api/v5_3/PVcalc?lat=30.0444&amp;lon=31.2357&amp;peakpower=1&amp;loss=14&amp;angle=10&amp;aspect=165&amp;outputformat=json&amp;raddatabase=PVGIS-SARAH3&amp;pvtechchoice=crystSi&amp;mountingplace=free&amp;usehorizon=1</v>
      </c>
    </row>
    <row r="953">
      <c r="A953" t="n">
        <v>10</v>
      </c>
      <c r="B953" t="n">
        <v>345</v>
      </c>
      <c r="C953" t="n">
        <v>8</v>
      </c>
      <c r="D953" s="218" t="n">
        <v>164.91</v>
      </c>
      <c r="E953" s="218" t="n">
        <v>5.32</v>
      </c>
      <c r="F953" t="str">
        <v>https://re.jrc.ec.europa.eu/api/v5_3/PVcalc?lat=30.0444&amp;lon=31.2357&amp;peakpower=1&amp;loss=14&amp;angle=10&amp;aspect=165&amp;outputformat=json&amp;raddatabase=PVGIS-SARAH3&amp;pvtechchoice=crystSi&amp;mountingplace=free&amp;usehorizon=1</v>
      </c>
    </row>
    <row r="954">
      <c r="A954" t="n">
        <v>10</v>
      </c>
      <c r="B954" t="n">
        <v>345</v>
      </c>
      <c r="C954" t="n">
        <v>9</v>
      </c>
      <c r="D954" s="218" t="n">
        <v>134.51</v>
      </c>
      <c r="E954" s="218" t="n">
        <v>4.48</v>
      </c>
      <c r="F954" t="str">
        <v>https://re.jrc.ec.europa.eu/api/v5_3/PVcalc?lat=30.0444&amp;lon=31.2357&amp;peakpower=1&amp;loss=14&amp;angle=10&amp;aspect=165&amp;outputformat=json&amp;raddatabase=PVGIS-SARAH3&amp;pvtechchoice=crystSi&amp;mountingplace=free&amp;usehorizon=1</v>
      </c>
    </row>
    <row r="955">
      <c r="A955" t="n">
        <v>10</v>
      </c>
      <c r="B955" t="n">
        <v>345</v>
      </c>
      <c r="C955" t="n">
        <v>10</v>
      </c>
      <c r="D955" s="218" t="n">
        <v>105.18</v>
      </c>
      <c r="E955" s="218" t="n">
        <v>3.39</v>
      </c>
      <c r="F955" t="str">
        <v>https://re.jrc.ec.europa.eu/api/v5_3/PVcalc?lat=30.0444&amp;lon=31.2357&amp;peakpower=1&amp;loss=14&amp;angle=10&amp;aspect=165&amp;outputformat=json&amp;raddatabase=PVGIS-SARAH3&amp;pvtechchoice=crystSi&amp;mountingplace=free&amp;usehorizon=1</v>
      </c>
    </row>
    <row r="956">
      <c r="A956" t="n">
        <v>10</v>
      </c>
      <c r="B956" t="n">
        <v>345</v>
      </c>
      <c r="C956" t="n">
        <v>11</v>
      </c>
      <c r="D956" s="218" t="n">
        <v>74.67</v>
      </c>
      <c r="E956" s="218" t="n">
        <v>2.49</v>
      </c>
      <c r="F956" t="str">
        <v>https://re.jrc.ec.europa.eu/api/v5_3/PVcalc?lat=30.0444&amp;lon=31.2357&amp;peakpower=1&amp;loss=14&amp;angle=10&amp;aspect=165&amp;outputformat=json&amp;raddatabase=PVGIS-SARAH3&amp;pvtechchoice=crystSi&amp;mountingplace=free&amp;usehorizon=1</v>
      </c>
    </row>
    <row r="957">
      <c r="A957" t="n">
        <v>10</v>
      </c>
      <c r="B957" t="n">
        <v>345</v>
      </c>
      <c r="C957" t="n">
        <v>12</v>
      </c>
      <c r="D957" s="218" t="n">
        <v>63.25</v>
      </c>
      <c r="E957" s="218" t="n">
        <v>2.04</v>
      </c>
      <c r="F957" t="str">
        <v>https://re.jrc.ec.europa.eu/api/v5_3/PVcalc?lat=30.0444&amp;lon=31.2357&amp;peakpower=1&amp;loss=14&amp;angle=10&amp;aspect=165&amp;outputformat=json&amp;raddatabase=PVGIS-SARAH3&amp;pvtechchoice=crystSi&amp;mountingplace=free&amp;usehorizon=1</v>
      </c>
    </row>
    <row r="958">
      <c r="A958" t="n">
        <v>10</v>
      </c>
      <c r="B958" t="n">
        <v>360</v>
      </c>
      <c r="C958" t="n">
        <v>1</v>
      </c>
      <c r="D958" s="218" t="n">
        <v>68.54</v>
      </c>
      <c r="E958" s="218" t="n">
        <v>2.21</v>
      </c>
      <c r="F958" t="str">
        <v>https://re.jrc.ec.europa.eu/api/v5_3/PVcalc?lat=30.0444&amp;lon=31.2357&amp;peakpower=1&amp;loss=14&amp;angle=10&amp;aspect=180&amp;outputformat=json&amp;raddatabase=PVGIS-SARAH3&amp;pvtechchoice=crystSi&amp;mountingplace=free&amp;usehorizon=1</v>
      </c>
    </row>
    <row r="959">
      <c r="A959" t="n">
        <v>10</v>
      </c>
      <c r="B959" t="n">
        <v>360</v>
      </c>
      <c r="C959" t="n">
        <v>2</v>
      </c>
      <c r="D959" s="218" t="n">
        <v>83.05</v>
      </c>
      <c r="E959" s="218" t="n">
        <v>2.97</v>
      </c>
      <c r="F959" t="str">
        <v>https://re.jrc.ec.europa.eu/api/v5_3/PVcalc?lat=30.0444&amp;lon=31.2357&amp;peakpower=1&amp;loss=14&amp;angle=10&amp;aspect=180&amp;outputformat=json&amp;raddatabase=PVGIS-SARAH3&amp;pvtechchoice=crystSi&amp;mountingplace=free&amp;usehorizon=1</v>
      </c>
    </row>
    <row r="960">
      <c r="A960" t="n">
        <v>10</v>
      </c>
      <c r="B960" t="n">
        <v>360</v>
      </c>
      <c r="C960" t="n">
        <v>3</v>
      </c>
      <c r="D960" s="218" t="n">
        <v>125.6</v>
      </c>
      <c r="E960" s="218" t="n">
        <v>4.05</v>
      </c>
      <c r="F960" t="str">
        <v>https://re.jrc.ec.europa.eu/api/v5_3/PVcalc?lat=30.0444&amp;lon=31.2357&amp;peakpower=1&amp;loss=14&amp;angle=10&amp;aspect=180&amp;outputformat=json&amp;raddatabase=PVGIS-SARAH3&amp;pvtechchoice=crystSi&amp;mountingplace=free&amp;usehorizon=1</v>
      </c>
    </row>
    <row r="961">
      <c r="A961" t="n">
        <v>10</v>
      </c>
      <c r="B961" t="n">
        <v>360</v>
      </c>
      <c r="C961" t="n">
        <v>4</v>
      </c>
      <c r="D961" s="218" t="n">
        <v>149.92</v>
      </c>
      <c r="E961" s="218" t="n">
        <v>5</v>
      </c>
      <c r="F961" t="str">
        <v>https://re.jrc.ec.europa.eu/api/v5_3/PVcalc?lat=30.0444&amp;lon=31.2357&amp;peakpower=1&amp;loss=14&amp;angle=10&amp;aspect=180&amp;outputformat=json&amp;raddatabase=PVGIS-SARAH3&amp;pvtechchoice=crystSi&amp;mountingplace=free&amp;usehorizon=1</v>
      </c>
    </row>
    <row r="962">
      <c r="A962" t="n">
        <v>10</v>
      </c>
      <c r="B962" t="n">
        <v>360</v>
      </c>
      <c r="C962" t="n">
        <v>5</v>
      </c>
      <c r="D962" s="218" t="n">
        <v>172.97</v>
      </c>
      <c r="E962" s="218" t="n">
        <v>5.58</v>
      </c>
      <c r="F962" t="str">
        <v>https://re.jrc.ec.europa.eu/api/v5_3/PVcalc?lat=30.0444&amp;lon=31.2357&amp;peakpower=1&amp;loss=14&amp;angle=10&amp;aspect=180&amp;outputformat=json&amp;raddatabase=PVGIS-SARAH3&amp;pvtechchoice=crystSi&amp;mountingplace=free&amp;usehorizon=1</v>
      </c>
    </row>
    <row r="963">
      <c r="A963" t="n">
        <v>10</v>
      </c>
      <c r="B963" t="n">
        <v>360</v>
      </c>
      <c r="C963" t="n">
        <v>6</v>
      </c>
      <c r="D963" s="218" t="n">
        <v>180.6</v>
      </c>
      <c r="E963" s="218" t="n">
        <v>6.02</v>
      </c>
      <c r="F963" t="str">
        <v>https://re.jrc.ec.europa.eu/api/v5_3/PVcalc?lat=30.0444&amp;lon=31.2357&amp;peakpower=1&amp;loss=14&amp;angle=10&amp;aspect=180&amp;outputformat=json&amp;raddatabase=PVGIS-SARAH3&amp;pvtechchoice=crystSi&amp;mountingplace=free&amp;usehorizon=1</v>
      </c>
    </row>
    <row r="964">
      <c r="A964" t="n">
        <v>10</v>
      </c>
      <c r="B964" t="n">
        <v>360</v>
      </c>
      <c r="C964" t="n">
        <v>7</v>
      </c>
      <c r="D964" s="218" t="n">
        <v>181.73</v>
      </c>
      <c r="E964" s="218" t="n">
        <v>5.86</v>
      </c>
      <c r="F964" t="str">
        <v>https://re.jrc.ec.europa.eu/api/v5_3/PVcalc?lat=30.0444&amp;lon=31.2357&amp;peakpower=1&amp;loss=14&amp;angle=10&amp;aspect=180&amp;outputformat=json&amp;raddatabase=PVGIS-SARAH3&amp;pvtechchoice=crystSi&amp;mountingplace=free&amp;usehorizon=1</v>
      </c>
    </row>
    <row r="965">
      <c r="A965" t="n">
        <v>10</v>
      </c>
      <c r="B965" t="n">
        <v>360</v>
      </c>
      <c r="C965" t="n">
        <v>8</v>
      </c>
      <c r="D965" s="218" t="n">
        <v>164.12</v>
      </c>
      <c r="E965" s="218" t="n">
        <v>5.29</v>
      </c>
      <c r="F965" t="str">
        <v>https://re.jrc.ec.europa.eu/api/v5_3/PVcalc?lat=30.0444&amp;lon=31.2357&amp;peakpower=1&amp;loss=14&amp;angle=10&amp;aspect=180&amp;outputformat=json&amp;raddatabase=PVGIS-SARAH3&amp;pvtechchoice=crystSi&amp;mountingplace=free&amp;usehorizon=1</v>
      </c>
    </row>
    <row r="966">
      <c r="A966" t="n">
        <v>10</v>
      </c>
      <c r="B966" t="n">
        <v>360</v>
      </c>
      <c r="C966" t="n">
        <v>9</v>
      </c>
      <c r="D966" s="218" t="n">
        <v>133.62</v>
      </c>
      <c r="E966" s="218" t="n">
        <v>4.45</v>
      </c>
      <c r="F966" t="str">
        <v>https://re.jrc.ec.europa.eu/api/v5_3/PVcalc?lat=30.0444&amp;lon=31.2357&amp;peakpower=1&amp;loss=14&amp;angle=10&amp;aspect=180&amp;outputformat=json&amp;raddatabase=PVGIS-SARAH3&amp;pvtechchoice=crystSi&amp;mountingplace=free&amp;usehorizon=1</v>
      </c>
    </row>
    <row r="967">
      <c r="A967" t="n">
        <v>10</v>
      </c>
      <c r="B967" t="n">
        <v>360</v>
      </c>
      <c r="C967" t="n">
        <v>10</v>
      </c>
      <c r="D967" s="218" t="n">
        <v>104.5</v>
      </c>
      <c r="E967" s="218" t="n">
        <v>3.37</v>
      </c>
      <c r="F967" t="str">
        <v>https://re.jrc.ec.europa.eu/api/v5_3/PVcalc?lat=30.0444&amp;lon=31.2357&amp;peakpower=1&amp;loss=14&amp;angle=10&amp;aspect=180&amp;outputformat=json&amp;raddatabase=PVGIS-SARAH3&amp;pvtechchoice=crystSi&amp;mountingplace=free&amp;usehorizon=1</v>
      </c>
    </row>
    <row r="968">
      <c r="A968" t="n">
        <v>10</v>
      </c>
      <c r="B968" t="n">
        <v>360</v>
      </c>
      <c r="C968" t="n">
        <v>11</v>
      </c>
      <c r="D968" s="218" t="n">
        <v>73.99</v>
      </c>
      <c r="E968" s="218" t="n">
        <v>2.47</v>
      </c>
      <c r="F968" t="str">
        <v>https://re.jrc.ec.europa.eu/api/v5_3/PVcalc?lat=30.0444&amp;lon=31.2357&amp;peakpower=1&amp;loss=14&amp;angle=10&amp;aspect=180&amp;outputformat=json&amp;raddatabase=PVGIS-SARAH3&amp;pvtechchoice=crystSi&amp;mountingplace=free&amp;usehorizon=1</v>
      </c>
    </row>
    <row r="969">
      <c r="A969" t="n">
        <v>10</v>
      </c>
      <c r="B969" t="n">
        <v>360</v>
      </c>
      <c r="C969" t="n">
        <v>12</v>
      </c>
      <c r="D969" s="218" t="n">
        <v>62.6</v>
      </c>
      <c r="E969" s="218" t="n">
        <v>2.02</v>
      </c>
      <c r="F969" t="str">
        <v>https://re.jrc.ec.europa.eu/api/v5_3/PVcalc?lat=30.0444&amp;lon=31.2357&amp;peakpower=1&amp;loss=14&amp;angle=10&amp;aspect=180&amp;outputformat=json&amp;raddatabase=PVGIS-SARAH3&amp;pvtechchoice=crystSi&amp;mountingplace=free&amp;usehorizon=1</v>
      </c>
    </row>
    <row r="970">
      <c r="A970" t="n">
        <v>15</v>
      </c>
      <c r="B970" t="n">
        <v>0</v>
      </c>
      <c r="C970" t="n">
        <v>1</v>
      </c>
      <c r="D970" s="218" t="n">
        <v>57.59</v>
      </c>
      <c r="E970" s="218" t="n">
        <v>1.86</v>
      </c>
      <c r="F970" t="str">
        <v>https://re.jrc.ec.europa.eu/api/v5_3/PVcalc?lat=30.0444&amp;lon=31.2357&amp;peakpower=1&amp;loss=14&amp;angle=15&amp;aspect=-180&amp;outputformat=json&amp;raddatabase=PVGIS-SARAH3&amp;pvtechchoice=crystSi&amp;mountingplace=free&amp;usehorizon=1</v>
      </c>
    </row>
    <row r="971">
      <c r="A971" t="n">
        <v>15</v>
      </c>
      <c r="B971" t="n">
        <v>0</v>
      </c>
      <c r="C971" t="n">
        <v>2</v>
      </c>
      <c r="D971" s="218" t="n">
        <v>74.2</v>
      </c>
      <c r="E971" s="218" t="n">
        <v>2.65</v>
      </c>
      <c r="F971" t="str">
        <v>https://re.jrc.ec.europa.eu/api/v5_3/PVcalc?lat=30.0444&amp;lon=31.2357&amp;peakpower=1&amp;loss=14&amp;angle=15&amp;aspect=-180&amp;outputformat=json&amp;raddatabase=PVGIS-SARAH3&amp;pvtechchoice=crystSi&amp;mountingplace=free&amp;usehorizon=1</v>
      </c>
    </row>
    <row r="972">
      <c r="A972" t="n">
        <v>15</v>
      </c>
      <c r="B972" t="n">
        <v>0</v>
      </c>
      <c r="C972" t="n">
        <v>3</v>
      </c>
      <c r="D972" s="218" t="n">
        <v>117.18</v>
      </c>
      <c r="E972" s="218" t="n">
        <v>3.78</v>
      </c>
      <c r="F972" t="str">
        <v>https://re.jrc.ec.europa.eu/api/v5_3/PVcalc?lat=30.0444&amp;lon=31.2357&amp;peakpower=1&amp;loss=14&amp;angle=15&amp;aspect=-180&amp;outputformat=json&amp;raddatabase=PVGIS-SARAH3&amp;pvtechchoice=crystSi&amp;mountingplace=free&amp;usehorizon=1</v>
      </c>
    </row>
    <row r="973">
      <c r="A973" t="n">
        <v>15</v>
      </c>
      <c r="B973" t="n">
        <v>0</v>
      </c>
      <c r="C973" t="n">
        <v>4</v>
      </c>
      <c r="D973" s="218" t="n">
        <v>144.46</v>
      </c>
      <c r="E973" s="218" t="n">
        <v>4.82</v>
      </c>
      <c r="F973" t="str">
        <v>https://re.jrc.ec.europa.eu/api/v5_3/PVcalc?lat=30.0444&amp;lon=31.2357&amp;peakpower=1&amp;loss=14&amp;angle=15&amp;aspect=-180&amp;outputformat=json&amp;raddatabase=PVGIS-SARAH3&amp;pvtechchoice=crystSi&amp;mountingplace=free&amp;usehorizon=1</v>
      </c>
    </row>
    <row r="974">
      <c r="A974" t="n">
        <v>15</v>
      </c>
      <c r="B974" t="n">
        <v>0</v>
      </c>
      <c r="C974" t="n">
        <v>5</v>
      </c>
      <c r="D974" s="218" t="n">
        <v>169.89</v>
      </c>
      <c r="E974" s="218" t="n">
        <v>5.48</v>
      </c>
      <c r="F974" t="str">
        <v>https://re.jrc.ec.europa.eu/api/v5_3/PVcalc?lat=30.0444&amp;lon=31.2357&amp;peakpower=1&amp;loss=14&amp;angle=15&amp;aspect=-180&amp;outputformat=json&amp;raddatabase=PVGIS-SARAH3&amp;pvtechchoice=crystSi&amp;mountingplace=free&amp;usehorizon=1</v>
      </c>
    </row>
    <row r="975">
      <c r="A975" t="n">
        <v>15</v>
      </c>
      <c r="B975" t="n">
        <v>0</v>
      </c>
      <c r="C975" t="n">
        <v>6</v>
      </c>
      <c r="D975" s="218" t="n">
        <v>178.81</v>
      </c>
      <c r="E975" s="218" t="n">
        <v>5.96</v>
      </c>
      <c r="F975" t="str">
        <v>https://re.jrc.ec.europa.eu/api/v5_3/PVcalc?lat=30.0444&amp;lon=31.2357&amp;peakpower=1&amp;loss=14&amp;angle=15&amp;aspect=-180&amp;outputformat=json&amp;raddatabase=PVGIS-SARAH3&amp;pvtechchoice=crystSi&amp;mountingplace=free&amp;usehorizon=1</v>
      </c>
    </row>
    <row r="976">
      <c r="A976" t="n">
        <v>15</v>
      </c>
      <c r="B976" t="n">
        <v>0</v>
      </c>
      <c r="C976" t="n">
        <v>7</v>
      </c>
      <c r="D976" s="218" t="n">
        <v>179.24</v>
      </c>
      <c r="E976" s="218" t="n">
        <v>5.78</v>
      </c>
      <c r="F976" t="str">
        <v>https://re.jrc.ec.europa.eu/api/v5_3/PVcalc?lat=30.0444&amp;lon=31.2357&amp;peakpower=1&amp;loss=14&amp;angle=15&amp;aspect=-180&amp;outputformat=json&amp;raddatabase=PVGIS-SARAH3&amp;pvtechchoice=crystSi&amp;mountingplace=free&amp;usehorizon=1</v>
      </c>
    </row>
    <row r="977">
      <c r="A977" t="n">
        <v>15</v>
      </c>
      <c r="B977" t="n">
        <v>0</v>
      </c>
      <c r="C977" t="n">
        <v>8</v>
      </c>
      <c r="D977" s="218" t="n">
        <v>159.31</v>
      </c>
      <c r="E977" s="218" t="n">
        <v>5.14</v>
      </c>
      <c r="F977" t="str">
        <v>https://re.jrc.ec.europa.eu/api/v5_3/PVcalc?lat=30.0444&amp;lon=31.2357&amp;peakpower=1&amp;loss=14&amp;angle=15&amp;aspect=-180&amp;outputformat=json&amp;raddatabase=PVGIS-SARAH3&amp;pvtechchoice=crystSi&amp;mountingplace=free&amp;usehorizon=1</v>
      </c>
    </row>
    <row r="978">
      <c r="A978" t="n">
        <v>15</v>
      </c>
      <c r="B978" t="n">
        <v>0</v>
      </c>
      <c r="C978" t="n">
        <v>9</v>
      </c>
      <c r="D978" s="218" t="n">
        <v>126.04</v>
      </c>
      <c r="E978" s="218" t="n">
        <v>4.2</v>
      </c>
      <c r="F978" t="str">
        <v>https://re.jrc.ec.europa.eu/api/v5_3/PVcalc?lat=30.0444&amp;lon=31.2357&amp;peakpower=1&amp;loss=14&amp;angle=15&amp;aspect=-180&amp;outputformat=json&amp;raddatabase=PVGIS-SARAH3&amp;pvtechchoice=crystSi&amp;mountingplace=free&amp;usehorizon=1</v>
      </c>
    </row>
    <row r="979">
      <c r="A979" t="n">
        <v>15</v>
      </c>
      <c r="B979" t="n">
        <v>0</v>
      </c>
      <c r="C979" t="n">
        <v>10</v>
      </c>
      <c r="D979" s="218" t="n">
        <v>94.35</v>
      </c>
      <c r="E979" s="218" t="n">
        <v>3.04</v>
      </c>
      <c r="F979" t="str">
        <v>https://re.jrc.ec.europa.eu/api/v5_3/PVcalc?lat=30.0444&amp;lon=31.2357&amp;peakpower=1&amp;loss=14&amp;angle=15&amp;aspect=-180&amp;outputformat=json&amp;raddatabase=PVGIS-SARAH3&amp;pvtechchoice=crystSi&amp;mountingplace=free&amp;usehorizon=1</v>
      </c>
    </row>
    <row r="980">
      <c r="A980" t="n">
        <v>15</v>
      </c>
      <c r="B980" t="n">
        <v>0</v>
      </c>
      <c r="C980" t="n">
        <v>11</v>
      </c>
      <c r="D980" s="218" t="n">
        <v>62.9</v>
      </c>
      <c r="E980" s="218" t="n">
        <v>2.1</v>
      </c>
      <c r="F980" t="str">
        <v>https://re.jrc.ec.europa.eu/api/v5_3/PVcalc?lat=30.0444&amp;lon=31.2357&amp;peakpower=1&amp;loss=14&amp;angle=15&amp;aspect=-180&amp;outputformat=json&amp;raddatabase=PVGIS-SARAH3&amp;pvtechchoice=crystSi&amp;mountingplace=free&amp;usehorizon=1</v>
      </c>
    </row>
    <row r="981">
      <c r="A981" t="n">
        <v>15</v>
      </c>
      <c r="B981" t="n">
        <v>0</v>
      </c>
      <c r="C981" t="n">
        <v>12</v>
      </c>
      <c r="D981" s="218" t="n">
        <v>51.47</v>
      </c>
      <c r="E981" s="218" t="n">
        <v>1.66</v>
      </c>
      <c r="F981" t="str">
        <v>https://re.jrc.ec.europa.eu/api/v5_3/PVcalc?lat=30.0444&amp;lon=31.2357&amp;peakpower=1&amp;loss=14&amp;angle=15&amp;aspect=-180&amp;outputformat=json&amp;raddatabase=PVGIS-SARAH3&amp;pvtechchoice=crystSi&amp;mountingplace=free&amp;usehorizon=1</v>
      </c>
    </row>
    <row r="982">
      <c r="A982" t="n">
        <v>15</v>
      </c>
      <c r="B982" t="n">
        <v>15</v>
      </c>
      <c r="C982" t="n">
        <v>1</v>
      </c>
      <c r="D982" s="218" t="n">
        <v>59.13</v>
      </c>
      <c r="E982" s="218" t="n">
        <v>1.91</v>
      </c>
      <c r="F982" t="str">
        <v>https://re.jrc.ec.europa.eu/api/v5_3/PVcalc?lat=30.0444&amp;lon=31.2357&amp;peakpower=1&amp;loss=14&amp;angle=15&amp;aspect=-165&amp;outputformat=json&amp;raddatabase=PVGIS-SARAH3&amp;pvtechchoice=crystSi&amp;mountingplace=free&amp;usehorizon=1</v>
      </c>
    </row>
    <row r="983">
      <c r="A983" t="n">
        <v>15</v>
      </c>
      <c r="B983" t="n">
        <v>15</v>
      </c>
      <c r="C983" t="n">
        <v>2</v>
      </c>
      <c r="D983" s="218" t="n">
        <v>75.41</v>
      </c>
      <c r="E983" s="218" t="n">
        <v>2.69</v>
      </c>
      <c r="F983" t="str">
        <v>https://re.jrc.ec.europa.eu/api/v5_3/PVcalc?lat=30.0444&amp;lon=31.2357&amp;peakpower=1&amp;loss=14&amp;angle=15&amp;aspect=-165&amp;outputformat=json&amp;raddatabase=PVGIS-SARAH3&amp;pvtechchoice=crystSi&amp;mountingplace=free&amp;usehorizon=1</v>
      </c>
    </row>
    <row r="984">
      <c r="A984" t="n">
        <v>15</v>
      </c>
      <c r="B984" t="n">
        <v>15</v>
      </c>
      <c r="C984" t="n">
        <v>3</v>
      </c>
      <c r="D984" s="218" t="n">
        <v>117.62</v>
      </c>
      <c r="E984" s="218" t="n">
        <v>3.79</v>
      </c>
      <c r="F984" t="str">
        <v>https://re.jrc.ec.europa.eu/api/v5_3/PVcalc?lat=30.0444&amp;lon=31.2357&amp;peakpower=1&amp;loss=14&amp;angle=15&amp;aspect=-165&amp;outputformat=json&amp;raddatabase=PVGIS-SARAH3&amp;pvtechchoice=crystSi&amp;mountingplace=free&amp;usehorizon=1</v>
      </c>
    </row>
    <row r="985">
      <c r="A985" t="n">
        <v>15</v>
      </c>
      <c r="B985" t="n">
        <v>15</v>
      </c>
      <c r="C985" t="n">
        <v>4</v>
      </c>
      <c r="D985" s="218" t="n">
        <v>144.33</v>
      </c>
      <c r="E985" s="218" t="n">
        <v>4.81</v>
      </c>
      <c r="F985" t="str">
        <v>https://re.jrc.ec.europa.eu/api/v5_3/PVcalc?lat=30.0444&amp;lon=31.2357&amp;peakpower=1&amp;loss=14&amp;angle=15&amp;aspect=-165&amp;outputformat=json&amp;raddatabase=PVGIS-SARAH3&amp;pvtechchoice=crystSi&amp;mountingplace=free&amp;usehorizon=1</v>
      </c>
    </row>
    <row r="986">
      <c r="A986" t="n">
        <v>15</v>
      </c>
      <c r="B986" t="n">
        <v>15</v>
      </c>
      <c r="C986" t="n">
        <v>5</v>
      </c>
      <c r="D986" s="218" t="n">
        <v>169.51</v>
      </c>
      <c r="E986" s="218" t="n">
        <v>5.47</v>
      </c>
      <c r="F986" t="str">
        <v>https://re.jrc.ec.europa.eu/api/v5_3/PVcalc?lat=30.0444&amp;lon=31.2357&amp;peakpower=1&amp;loss=14&amp;angle=15&amp;aspect=-165&amp;outputformat=json&amp;raddatabase=PVGIS-SARAH3&amp;pvtechchoice=crystSi&amp;mountingplace=free&amp;usehorizon=1</v>
      </c>
    </row>
    <row r="987">
      <c r="A987" t="n">
        <v>15</v>
      </c>
      <c r="B987" t="n">
        <v>15</v>
      </c>
      <c r="C987" t="n">
        <v>6</v>
      </c>
      <c r="D987" s="218" t="n">
        <v>177.88</v>
      </c>
      <c r="E987" s="218" t="n">
        <v>5.93</v>
      </c>
      <c r="F987" t="str">
        <v>https://re.jrc.ec.europa.eu/api/v5_3/PVcalc?lat=30.0444&amp;lon=31.2357&amp;peakpower=1&amp;loss=14&amp;angle=15&amp;aspect=-165&amp;outputformat=json&amp;raddatabase=PVGIS-SARAH3&amp;pvtechchoice=crystSi&amp;mountingplace=free&amp;usehorizon=1</v>
      </c>
    </row>
    <row r="988">
      <c r="A988" t="n">
        <v>15</v>
      </c>
      <c r="B988" t="n">
        <v>15</v>
      </c>
      <c r="C988" t="n">
        <v>7</v>
      </c>
      <c r="D988" s="218" t="n">
        <v>178.09</v>
      </c>
      <c r="E988" s="218" t="n">
        <v>5.74</v>
      </c>
      <c r="F988" t="str">
        <v>https://re.jrc.ec.europa.eu/api/v5_3/PVcalc?lat=30.0444&amp;lon=31.2357&amp;peakpower=1&amp;loss=14&amp;angle=15&amp;aspect=-165&amp;outputformat=json&amp;raddatabase=PVGIS-SARAH3&amp;pvtechchoice=crystSi&amp;mountingplace=free&amp;usehorizon=1</v>
      </c>
    </row>
    <row r="989">
      <c r="A989" t="n">
        <v>15</v>
      </c>
      <c r="B989" t="n">
        <v>15</v>
      </c>
      <c r="C989" t="n">
        <v>8</v>
      </c>
      <c r="D989" s="218" t="n">
        <v>158.67</v>
      </c>
      <c r="E989" s="218" t="n">
        <v>5.12</v>
      </c>
      <c r="F989" t="str">
        <v>https://re.jrc.ec.europa.eu/api/v5_3/PVcalc?lat=30.0444&amp;lon=31.2357&amp;peakpower=1&amp;loss=14&amp;angle=15&amp;aspect=-165&amp;outputformat=json&amp;raddatabase=PVGIS-SARAH3&amp;pvtechchoice=crystSi&amp;mountingplace=free&amp;usehorizon=1</v>
      </c>
    </row>
    <row r="990">
      <c r="A990" t="n">
        <v>15</v>
      </c>
      <c r="B990" t="n">
        <v>15</v>
      </c>
      <c r="C990" t="n">
        <v>9</v>
      </c>
      <c r="D990" s="218" t="n">
        <v>125.92</v>
      </c>
      <c r="E990" s="218" t="n">
        <v>4.2</v>
      </c>
      <c r="F990" t="str">
        <v>https://re.jrc.ec.europa.eu/api/v5_3/PVcalc?lat=30.0444&amp;lon=31.2357&amp;peakpower=1&amp;loss=14&amp;angle=15&amp;aspect=-165&amp;outputformat=json&amp;raddatabase=PVGIS-SARAH3&amp;pvtechchoice=crystSi&amp;mountingplace=free&amp;usehorizon=1</v>
      </c>
    </row>
    <row r="991">
      <c r="A991" t="n">
        <v>15</v>
      </c>
      <c r="B991" t="n">
        <v>15</v>
      </c>
      <c r="C991" t="n">
        <v>10</v>
      </c>
      <c r="D991" s="218" t="n">
        <v>95.24</v>
      </c>
      <c r="E991" s="218" t="n">
        <v>3.07</v>
      </c>
      <c r="F991" t="str">
        <v>https://re.jrc.ec.europa.eu/api/v5_3/PVcalc?lat=30.0444&amp;lon=31.2357&amp;peakpower=1&amp;loss=14&amp;angle=15&amp;aspect=-165&amp;outputformat=json&amp;raddatabase=PVGIS-SARAH3&amp;pvtechchoice=crystSi&amp;mountingplace=free&amp;usehorizon=1</v>
      </c>
    </row>
    <row r="992">
      <c r="A992" t="n">
        <v>15</v>
      </c>
      <c r="B992" t="n">
        <v>15</v>
      </c>
      <c r="C992" t="n">
        <v>11</v>
      </c>
      <c r="D992" s="218" t="n">
        <v>64.37</v>
      </c>
      <c r="E992" s="218" t="n">
        <v>2.15</v>
      </c>
      <c r="F992" t="str">
        <v>https://re.jrc.ec.europa.eu/api/v5_3/PVcalc?lat=30.0444&amp;lon=31.2357&amp;peakpower=1&amp;loss=14&amp;angle=15&amp;aspect=-165&amp;outputformat=json&amp;raddatabase=PVGIS-SARAH3&amp;pvtechchoice=crystSi&amp;mountingplace=free&amp;usehorizon=1</v>
      </c>
    </row>
    <row r="993">
      <c r="A993" t="n">
        <v>15</v>
      </c>
      <c r="B993" t="n">
        <v>15</v>
      </c>
      <c r="C993" t="n">
        <v>12</v>
      </c>
      <c r="D993" s="218" t="n">
        <v>52.99</v>
      </c>
      <c r="E993" s="218" t="n">
        <v>1.71</v>
      </c>
      <c r="F993" t="str">
        <v>https://re.jrc.ec.europa.eu/api/v5_3/PVcalc?lat=30.0444&amp;lon=31.2357&amp;peakpower=1&amp;loss=14&amp;angle=15&amp;aspect=-165&amp;outputformat=json&amp;raddatabase=PVGIS-SARAH3&amp;pvtechchoice=crystSi&amp;mountingplace=free&amp;usehorizon=1</v>
      </c>
    </row>
    <row r="994">
      <c r="A994" t="n">
        <v>15</v>
      </c>
      <c r="B994" t="n">
        <v>30</v>
      </c>
      <c r="C994" t="n">
        <v>1</v>
      </c>
      <c r="D994" s="218" t="n">
        <v>62.86</v>
      </c>
      <c r="E994" s="218" t="n">
        <v>2.03</v>
      </c>
      <c r="F994" t="str">
        <v>https://re.jrc.ec.europa.eu/api/v5_3/PVcalc?lat=30.0444&amp;lon=31.2357&amp;peakpower=1&amp;loss=14&amp;angle=15&amp;aspect=-150&amp;outputformat=json&amp;raddatabase=PVGIS-SARAH3&amp;pvtechchoice=crystSi&amp;mountingplace=free&amp;usehorizon=1</v>
      </c>
    </row>
    <row r="995">
      <c r="A995" t="n">
        <v>15</v>
      </c>
      <c r="B995" t="n">
        <v>30</v>
      </c>
      <c r="C995" t="n">
        <v>2</v>
      </c>
      <c r="D995" s="218" t="n">
        <v>78.29</v>
      </c>
      <c r="E995" s="218" t="n">
        <v>2.8</v>
      </c>
      <c r="F995" t="str">
        <v>https://re.jrc.ec.europa.eu/api/v5_3/PVcalc?lat=30.0444&amp;lon=31.2357&amp;peakpower=1&amp;loss=14&amp;angle=15&amp;aspect=-150&amp;outputformat=json&amp;raddatabase=PVGIS-SARAH3&amp;pvtechchoice=crystSi&amp;mountingplace=free&amp;usehorizon=1</v>
      </c>
    </row>
    <row r="996">
      <c r="A996" t="n">
        <v>15</v>
      </c>
      <c r="B996" t="n">
        <v>30</v>
      </c>
      <c r="C996" t="n">
        <v>3</v>
      </c>
      <c r="D996" s="218" t="n">
        <v>119.54</v>
      </c>
      <c r="E996" s="218" t="n">
        <v>3.86</v>
      </c>
      <c r="F996" t="str">
        <v>https://re.jrc.ec.europa.eu/api/v5_3/PVcalc?lat=30.0444&amp;lon=31.2357&amp;peakpower=1&amp;loss=14&amp;angle=15&amp;aspect=-150&amp;outputformat=json&amp;raddatabase=PVGIS-SARAH3&amp;pvtechchoice=crystSi&amp;mountingplace=free&amp;usehorizon=1</v>
      </c>
    </row>
    <row r="997">
      <c r="A997" t="n">
        <v>15</v>
      </c>
      <c r="B997" t="n">
        <v>30</v>
      </c>
      <c r="C997" t="n">
        <v>4</v>
      </c>
      <c r="D997" s="218" t="n">
        <v>144.8</v>
      </c>
      <c r="E997" s="218" t="n">
        <v>4.83</v>
      </c>
      <c r="F997" t="str">
        <v>https://re.jrc.ec.europa.eu/api/v5_3/PVcalc?lat=30.0444&amp;lon=31.2357&amp;peakpower=1&amp;loss=14&amp;angle=15&amp;aspect=-150&amp;outputformat=json&amp;raddatabase=PVGIS-SARAH3&amp;pvtechchoice=crystSi&amp;mountingplace=free&amp;usehorizon=1</v>
      </c>
    </row>
    <row r="998">
      <c r="A998" t="n">
        <v>15</v>
      </c>
      <c r="B998" t="n">
        <v>30</v>
      </c>
      <c r="C998" t="n">
        <v>5</v>
      </c>
      <c r="D998" s="218" t="n">
        <v>169.2</v>
      </c>
      <c r="E998" s="218" t="n">
        <v>5.46</v>
      </c>
      <c r="F998" t="str">
        <v>https://re.jrc.ec.europa.eu/api/v5_3/PVcalc?lat=30.0444&amp;lon=31.2357&amp;peakpower=1&amp;loss=14&amp;angle=15&amp;aspect=-150&amp;outputformat=json&amp;raddatabase=PVGIS-SARAH3&amp;pvtechchoice=crystSi&amp;mountingplace=free&amp;usehorizon=1</v>
      </c>
    </row>
    <row r="999">
      <c r="A999" t="n">
        <v>15</v>
      </c>
      <c r="B999" t="n">
        <v>30</v>
      </c>
      <c r="C999" t="n">
        <v>6</v>
      </c>
      <c r="D999" s="218" t="n">
        <v>176.73</v>
      </c>
      <c r="E999" s="218" t="n">
        <v>5.89</v>
      </c>
      <c r="F999" t="str">
        <v>https://re.jrc.ec.europa.eu/api/v5_3/PVcalc?lat=30.0444&amp;lon=31.2357&amp;peakpower=1&amp;loss=14&amp;angle=15&amp;aspect=-150&amp;outputformat=json&amp;raddatabase=PVGIS-SARAH3&amp;pvtechchoice=crystSi&amp;mountingplace=free&amp;usehorizon=1</v>
      </c>
    </row>
    <row r="1000">
      <c r="A1000" t="n">
        <v>15</v>
      </c>
      <c r="B1000" t="n">
        <v>30</v>
      </c>
      <c r="C1000" t="n">
        <v>7</v>
      </c>
      <c r="D1000" s="218" t="n">
        <v>176.87</v>
      </c>
      <c r="E1000" s="218" t="n">
        <v>5.71</v>
      </c>
      <c r="F1000" t="str">
        <v>https://re.jrc.ec.europa.eu/api/v5_3/PVcalc?lat=30.0444&amp;lon=31.2357&amp;peakpower=1&amp;loss=14&amp;angle=15&amp;aspect=-150&amp;outputformat=json&amp;raddatabase=PVGIS-SARAH3&amp;pvtechchoice=crystSi&amp;mountingplace=free&amp;usehorizon=1</v>
      </c>
    </row>
    <row r="1001">
      <c r="A1001" t="n">
        <v>15</v>
      </c>
      <c r="B1001" t="n">
        <v>30</v>
      </c>
      <c r="C1001" t="n">
        <v>8</v>
      </c>
      <c r="D1001" s="218" t="n">
        <v>158.52</v>
      </c>
      <c r="E1001" s="218" t="n">
        <v>5.11</v>
      </c>
      <c r="F1001" t="str">
        <v>https://re.jrc.ec.europa.eu/api/v5_3/PVcalc?lat=30.0444&amp;lon=31.2357&amp;peakpower=1&amp;loss=14&amp;angle=15&amp;aspect=-150&amp;outputformat=json&amp;raddatabase=PVGIS-SARAH3&amp;pvtechchoice=crystSi&amp;mountingplace=free&amp;usehorizon=1</v>
      </c>
    </row>
    <row r="1002">
      <c r="A1002" t="n">
        <v>15</v>
      </c>
      <c r="B1002" t="n">
        <v>30</v>
      </c>
      <c r="C1002" t="n">
        <v>9</v>
      </c>
      <c r="D1002" s="218" t="n">
        <v>127.03</v>
      </c>
      <c r="E1002" s="218" t="n">
        <v>4.23</v>
      </c>
      <c r="F1002" t="str">
        <v>https://re.jrc.ec.europa.eu/api/v5_3/PVcalc?lat=30.0444&amp;lon=31.2357&amp;peakpower=1&amp;loss=14&amp;angle=15&amp;aspect=-150&amp;outputformat=json&amp;raddatabase=PVGIS-SARAH3&amp;pvtechchoice=crystSi&amp;mountingplace=free&amp;usehorizon=1</v>
      </c>
    </row>
    <row r="1003">
      <c r="A1003" t="n">
        <v>15</v>
      </c>
      <c r="B1003" t="n">
        <v>30</v>
      </c>
      <c r="C1003" t="n">
        <v>10</v>
      </c>
      <c r="D1003" s="218" t="n">
        <v>97.92</v>
      </c>
      <c r="E1003" s="218" t="n">
        <v>3.16</v>
      </c>
      <c r="F1003" t="str">
        <v>https://re.jrc.ec.europa.eu/api/v5_3/PVcalc?lat=30.0444&amp;lon=31.2357&amp;peakpower=1&amp;loss=14&amp;angle=15&amp;aspect=-150&amp;outputformat=json&amp;raddatabase=PVGIS-SARAH3&amp;pvtechchoice=crystSi&amp;mountingplace=free&amp;usehorizon=1</v>
      </c>
    </row>
    <row r="1004">
      <c r="A1004" t="n">
        <v>15</v>
      </c>
      <c r="B1004" t="n">
        <v>30</v>
      </c>
      <c r="C1004" t="n">
        <v>11</v>
      </c>
      <c r="D1004" s="218" t="n">
        <v>67.99</v>
      </c>
      <c r="E1004" s="218" t="n">
        <v>2.27</v>
      </c>
      <c r="F1004" t="str">
        <v>https://re.jrc.ec.europa.eu/api/v5_3/PVcalc?lat=30.0444&amp;lon=31.2357&amp;peakpower=1&amp;loss=14&amp;angle=15&amp;aspect=-150&amp;outputformat=json&amp;raddatabase=PVGIS-SARAH3&amp;pvtechchoice=crystSi&amp;mountingplace=free&amp;usehorizon=1</v>
      </c>
    </row>
    <row r="1005">
      <c r="A1005" t="n">
        <v>15</v>
      </c>
      <c r="B1005" t="n">
        <v>30</v>
      </c>
      <c r="C1005" t="n">
        <v>12</v>
      </c>
      <c r="D1005" s="218" t="n">
        <v>56.7</v>
      </c>
      <c r="E1005" s="218" t="n">
        <v>1.83</v>
      </c>
      <c r="F1005" t="str">
        <v>https://re.jrc.ec.europa.eu/api/v5_3/PVcalc?lat=30.0444&amp;lon=31.2357&amp;peakpower=1&amp;loss=14&amp;angle=15&amp;aspect=-150&amp;outputformat=json&amp;raddatabase=PVGIS-SARAH3&amp;pvtechchoice=crystSi&amp;mountingplace=free&amp;usehorizon=1</v>
      </c>
    </row>
    <row r="1006">
      <c r="A1006" t="n">
        <v>15</v>
      </c>
      <c r="B1006" t="n">
        <v>45</v>
      </c>
      <c r="C1006" t="n">
        <v>1</v>
      </c>
      <c r="D1006" s="218" t="n">
        <v>68.14</v>
      </c>
      <c r="E1006" s="218" t="n">
        <v>2.2</v>
      </c>
      <c r="F1006" t="str">
        <v>https://re.jrc.ec.europa.eu/api/v5_3/PVcalc?lat=30.0444&amp;lon=31.2357&amp;peakpower=1&amp;loss=14&amp;angle=15&amp;aspect=-135&amp;outputformat=json&amp;raddatabase=PVGIS-SARAH3&amp;pvtechchoice=crystSi&amp;mountingplace=free&amp;usehorizon=1</v>
      </c>
    </row>
    <row r="1007">
      <c r="A1007" t="n">
        <v>15</v>
      </c>
      <c r="B1007" t="n">
        <v>45</v>
      </c>
      <c r="C1007" t="n">
        <v>2</v>
      </c>
      <c r="D1007" s="218" t="n">
        <v>82.38</v>
      </c>
      <c r="E1007" s="218" t="n">
        <v>2.94</v>
      </c>
      <c r="F1007" t="str">
        <v>https://re.jrc.ec.europa.eu/api/v5_3/PVcalc?lat=30.0444&amp;lon=31.2357&amp;peakpower=1&amp;loss=14&amp;angle=15&amp;aspect=-135&amp;outputformat=json&amp;raddatabase=PVGIS-SARAH3&amp;pvtechchoice=crystSi&amp;mountingplace=free&amp;usehorizon=1</v>
      </c>
    </row>
    <row r="1008">
      <c r="A1008" t="n">
        <v>15</v>
      </c>
      <c r="B1008" t="n">
        <v>45</v>
      </c>
      <c r="C1008" t="n">
        <v>3</v>
      </c>
      <c r="D1008" s="218" t="n">
        <v>122.78</v>
      </c>
      <c r="E1008" s="218" t="n">
        <v>3.96</v>
      </c>
      <c r="F1008" t="str">
        <v>https://re.jrc.ec.europa.eu/api/v5_3/PVcalc?lat=30.0444&amp;lon=31.2357&amp;peakpower=1&amp;loss=14&amp;angle=15&amp;aspect=-135&amp;outputformat=json&amp;raddatabase=PVGIS-SARAH3&amp;pvtechchoice=crystSi&amp;mountingplace=free&amp;usehorizon=1</v>
      </c>
    </row>
    <row r="1009">
      <c r="A1009" t="n">
        <v>15</v>
      </c>
      <c r="B1009" t="n">
        <v>45</v>
      </c>
      <c r="C1009" t="n">
        <v>4</v>
      </c>
      <c r="D1009" s="218" t="n">
        <v>145.93</v>
      </c>
      <c r="E1009" s="218" t="n">
        <v>4.86</v>
      </c>
      <c r="F1009" t="str">
        <v>https://re.jrc.ec.europa.eu/api/v5_3/PVcalc?lat=30.0444&amp;lon=31.2357&amp;peakpower=1&amp;loss=14&amp;angle=15&amp;aspect=-135&amp;outputformat=json&amp;raddatabase=PVGIS-SARAH3&amp;pvtechchoice=crystSi&amp;mountingplace=free&amp;usehorizon=1</v>
      </c>
    </row>
    <row r="1010">
      <c r="A1010" t="n">
        <v>15</v>
      </c>
      <c r="B1010" t="n">
        <v>45</v>
      </c>
      <c r="C1010" t="n">
        <v>5</v>
      </c>
      <c r="D1010" s="218" t="n">
        <v>169.15</v>
      </c>
      <c r="E1010" s="218" t="n">
        <v>5.46</v>
      </c>
      <c r="F1010" t="str">
        <v>https://re.jrc.ec.europa.eu/api/v5_3/PVcalc?lat=30.0444&amp;lon=31.2357&amp;peakpower=1&amp;loss=14&amp;angle=15&amp;aspect=-135&amp;outputformat=json&amp;raddatabase=PVGIS-SARAH3&amp;pvtechchoice=crystSi&amp;mountingplace=free&amp;usehorizon=1</v>
      </c>
    </row>
    <row r="1011">
      <c r="A1011" t="n">
        <v>15</v>
      </c>
      <c r="B1011" t="n">
        <v>45</v>
      </c>
      <c r="C1011" t="n">
        <v>6</v>
      </c>
      <c r="D1011" s="218" t="n">
        <v>175.63</v>
      </c>
      <c r="E1011" s="218" t="n">
        <v>5.85</v>
      </c>
      <c r="F1011" t="str">
        <v>https://re.jrc.ec.europa.eu/api/v5_3/PVcalc?lat=30.0444&amp;lon=31.2357&amp;peakpower=1&amp;loss=14&amp;angle=15&amp;aspect=-135&amp;outputformat=json&amp;raddatabase=PVGIS-SARAH3&amp;pvtechchoice=crystSi&amp;mountingplace=free&amp;usehorizon=1</v>
      </c>
    </row>
    <row r="1012">
      <c r="A1012" t="n">
        <v>15</v>
      </c>
      <c r="B1012" t="n">
        <v>45</v>
      </c>
      <c r="C1012" t="n">
        <v>7</v>
      </c>
      <c r="D1012" s="218" t="n">
        <v>175.89</v>
      </c>
      <c r="E1012" s="218" t="n">
        <v>5.67</v>
      </c>
      <c r="F1012" t="str">
        <v>https://re.jrc.ec.europa.eu/api/v5_3/PVcalc?lat=30.0444&amp;lon=31.2357&amp;peakpower=1&amp;loss=14&amp;angle=15&amp;aspect=-135&amp;outputformat=json&amp;raddatabase=PVGIS-SARAH3&amp;pvtechchoice=crystSi&amp;mountingplace=free&amp;usehorizon=1</v>
      </c>
    </row>
    <row r="1013">
      <c r="A1013" t="n">
        <v>15</v>
      </c>
      <c r="B1013" t="n">
        <v>45</v>
      </c>
      <c r="C1013" t="n">
        <v>8</v>
      </c>
      <c r="D1013" s="218" t="n">
        <v>159.1</v>
      </c>
      <c r="E1013" s="218" t="n">
        <v>5.13</v>
      </c>
      <c r="F1013" t="str">
        <v>https://re.jrc.ec.europa.eu/api/v5_3/PVcalc?lat=30.0444&amp;lon=31.2357&amp;peakpower=1&amp;loss=14&amp;angle=15&amp;aspect=-135&amp;outputformat=json&amp;raddatabase=PVGIS-SARAH3&amp;pvtechchoice=crystSi&amp;mountingplace=free&amp;usehorizon=1</v>
      </c>
    </row>
    <row r="1014">
      <c r="A1014" t="n">
        <v>15</v>
      </c>
      <c r="B1014" t="n">
        <v>45</v>
      </c>
      <c r="C1014" t="n">
        <v>9</v>
      </c>
      <c r="D1014" s="218" t="n">
        <v>129.31</v>
      </c>
      <c r="E1014" s="218" t="n">
        <v>4.31</v>
      </c>
      <c r="F1014" t="str">
        <v>https://re.jrc.ec.europa.eu/api/v5_3/PVcalc?lat=30.0444&amp;lon=31.2357&amp;peakpower=1&amp;loss=14&amp;angle=15&amp;aspect=-135&amp;outputformat=json&amp;raddatabase=PVGIS-SARAH3&amp;pvtechchoice=crystSi&amp;mountingplace=free&amp;usehorizon=1</v>
      </c>
    </row>
    <row r="1015">
      <c r="A1015" t="n">
        <v>15</v>
      </c>
      <c r="B1015" t="n">
        <v>45</v>
      </c>
      <c r="C1015" t="n">
        <v>10</v>
      </c>
      <c r="D1015" s="218" t="n">
        <v>102.16</v>
      </c>
      <c r="E1015" s="218" t="n">
        <v>3.3</v>
      </c>
      <c r="F1015" t="str">
        <v>https://re.jrc.ec.europa.eu/api/v5_3/PVcalc?lat=30.0444&amp;lon=31.2357&amp;peakpower=1&amp;loss=14&amp;angle=15&amp;aspect=-135&amp;outputformat=json&amp;raddatabase=PVGIS-SARAH3&amp;pvtechchoice=crystSi&amp;mountingplace=free&amp;usehorizon=1</v>
      </c>
    </row>
    <row r="1016">
      <c r="A1016" t="n">
        <v>15</v>
      </c>
      <c r="B1016" t="n">
        <v>45</v>
      </c>
      <c r="C1016" t="n">
        <v>11</v>
      </c>
      <c r="D1016" s="218" t="n">
        <v>73.16</v>
      </c>
      <c r="E1016" s="218" t="n">
        <v>2.44</v>
      </c>
      <c r="F1016" t="str">
        <v>https://re.jrc.ec.europa.eu/api/v5_3/PVcalc?lat=30.0444&amp;lon=31.2357&amp;peakpower=1&amp;loss=14&amp;angle=15&amp;aspect=-135&amp;outputformat=json&amp;raddatabase=PVGIS-SARAH3&amp;pvtechchoice=crystSi&amp;mountingplace=free&amp;usehorizon=1</v>
      </c>
    </row>
    <row r="1017">
      <c r="A1017" t="n">
        <v>15</v>
      </c>
      <c r="B1017" t="n">
        <v>45</v>
      </c>
      <c r="C1017" t="n">
        <v>12</v>
      </c>
      <c r="D1017" s="218" t="n">
        <v>62.18</v>
      </c>
      <c r="E1017" s="218" t="n">
        <v>2.01</v>
      </c>
      <c r="F1017" t="str">
        <v>https://re.jrc.ec.europa.eu/api/v5_3/PVcalc?lat=30.0444&amp;lon=31.2357&amp;peakpower=1&amp;loss=14&amp;angle=15&amp;aspect=-135&amp;outputformat=json&amp;raddatabase=PVGIS-SARAH3&amp;pvtechchoice=crystSi&amp;mountingplace=free&amp;usehorizon=1</v>
      </c>
    </row>
    <row r="1018">
      <c r="A1018" t="n">
        <v>15</v>
      </c>
      <c r="B1018" t="n">
        <v>60</v>
      </c>
      <c r="C1018" t="n">
        <v>1</v>
      </c>
      <c r="D1018" s="218" t="n">
        <v>74.42</v>
      </c>
      <c r="E1018" s="218" t="n">
        <v>2.4</v>
      </c>
      <c r="F1018" t="str">
        <v>https://re.jrc.ec.europa.eu/api/v5_3/PVcalc?lat=30.0444&amp;lon=31.2357&amp;peakpower=1&amp;loss=14&amp;angle=15&amp;aspect=-120&amp;outputformat=json&amp;raddatabase=PVGIS-SARAH3&amp;pvtechchoice=crystSi&amp;mountingplace=free&amp;usehorizon=1</v>
      </c>
    </row>
    <row r="1019">
      <c r="A1019" t="n">
        <v>15</v>
      </c>
      <c r="B1019" t="n">
        <v>60</v>
      </c>
      <c r="C1019" t="n">
        <v>2</v>
      </c>
      <c r="D1019" s="218" t="n">
        <v>87.33</v>
      </c>
      <c r="E1019" s="218" t="n">
        <v>3.12</v>
      </c>
      <c r="F1019" t="str">
        <v>https://re.jrc.ec.europa.eu/api/v5_3/PVcalc?lat=30.0444&amp;lon=31.2357&amp;peakpower=1&amp;loss=14&amp;angle=15&amp;aspect=-120&amp;outputformat=json&amp;raddatabase=PVGIS-SARAH3&amp;pvtechchoice=crystSi&amp;mountingplace=free&amp;usehorizon=1</v>
      </c>
    </row>
    <row r="1020">
      <c r="A1020" t="n">
        <v>15</v>
      </c>
      <c r="B1020" t="n">
        <v>60</v>
      </c>
      <c r="C1020" t="n">
        <v>3</v>
      </c>
      <c r="D1020" s="218" t="n">
        <v>126.91</v>
      </c>
      <c r="E1020" s="218" t="n">
        <v>4.09</v>
      </c>
      <c r="F1020" t="str">
        <v>https://re.jrc.ec.europa.eu/api/v5_3/PVcalc?lat=30.0444&amp;lon=31.2357&amp;peakpower=1&amp;loss=14&amp;angle=15&amp;aspect=-120&amp;outputformat=json&amp;raddatabase=PVGIS-SARAH3&amp;pvtechchoice=crystSi&amp;mountingplace=free&amp;usehorizon=1</v>
      </c>
    </row>
    <row r="1021">
      <c r="A1021" t="n">
        <v>15</v>
      </c>
      <c r="B1021" t="n">
        <v>60</v>
      </c>
      <c r="C1021" t="n">
        <v>4</v>
      </c>
      <c r="D1021" s="218" t="n">
        <v>147.73</v>
      </c>
      <c r="E1021" s="218" t="n">
        <v>4.92</v>
      </c>
      <c r="F1021" t="str">
        <v>https://re.jrc.ec.europa.eu/api/v5_3/PVcalc?lat=30.0444&amp;lon=31.2357&amp;peakpower=1&amp;loss=14&amp;angle=15&amp;aspect=-120&amp;outputformat=json&amp;raddatabase=PVGIS-SARAH3&amp;pvtechchoice=crystSi&amp;mountingplace=free&amp;usehorizon=1</v>
      </c>
    </row>
    <row r="1022">
      <c r="A1022" t="n">
        <v>15</v>
      </c>
      <c r="B1022" t="n">
        <v>60</v>
      </c>
      <c r="C1022" t="n">
        <v>5</v>
      </c>
      <c r="D1022" s="218" t="n">
        <v>169.38</v>
      </c>
      <c r="E1022" s="218" t="n">
        <v>5.46</v>
      </c>
      <c r="F1022" t="str">
        <v>https://re.jrc.ec.europa.eu/api/v5_3/PVcalc?lat=30.0444&amp;lon=31.2357&amp;peakpower=1&amp;loss=14&amp;angle=15&amp;aspect=-120&amp;outputformat=json&amp;raddatabase=PVGIS-SARAH3&amp;pvtechchoice=crystSi&amp;mountingplace=free&amp;usehorizon=1</v>
      </c>
    </row>
    <row r="1023">
      <c r="A1023" t="n">
        <v>15</v>
      </c>
      <c r="B1023" t="n">
        <v>60</v>
      </c>
      <c r="C1023" t="n">
        <v>6</v>
      </c>
      <c r="D1023" s="218" t="n">
        <v>175.03</v>
      </c>
      <c r="E1023" s="218" t="n">
        <v>5.83</v>
      </c>
      <c r="F1023" t="str">
        <v>https://re.jrc.ec.europa.eu/api/v5_3/PVcalc?lat=30.0444&amp;lon=31.2357&amp;peakpower=1&amp;loss=14&amp;angle=15&amp;aspect=-120&amp;outputformat=json&amp;raddatabase=PVGIS-SARAH3&amp;pvtechchoice=crystSi&amp;mountingplace=free&amp;usehorizon=1</v>
      </c>
    </row>
    <row r="1024">
      <c r="A1024" t="n">
        <v>15</v>
      </c>
      <c r="B1024" t="n">
        <v>60</v>
      </c>
      <c r="C1024" t="n">
        <v>7</v>
      </c>
      <c r="D1024" s="218" t="n">
        <v>175.61</v>
      </c>
      <c r="E1024" s="218" t="n">
        <v>5.66</v>
      </c>
      <c r="F1024" t="str">
        <v>https://re.jrc.ec.europa.eu/api/v5_3/PVcalc?lat=30.0444&amp;lon=31.2357&amp;peakpower=1&amp;loss=14&amp;angle=15&amp;aspect=-120&amp;outputformat=json&amp;raddatabase=PVGIS-SARAH3&amp;pvtechchoice=crystSi&amp;mountingplace=free&amp;usehorizon=1</v>
      </c>
    </row>
    <row r="1025">
      <c r="A1025" t="n">
        <v>15</v>
      </c>
      <c r="B1025" t="n">
        <v>60</v>
      </c>
      <c r="C1025" t="n">
        <v>8</v>
      </c>
      <c r="D1025" s="218" t="n">
        <v>160.18</v>
      </c>
      <c r="E1025" s="218" t="n">
        <v>5.17</v>
      </c>
      <c r="F1025" t="str">
        <v>https://re.jrc.ec.europa.eu/api/v5_3/PVcalc?lat=30.0444&amp;lon=31.2357&amp;peakpower=1&amp;loss=14&amp;angle=15&amp;aspect=-120&amp;outputformat=json&amp;raddatabase=PVGIS-SARAH3&amp;pvtechchoice=crystSi&amp;mountingplace=free&amp;usehorizon=1</v>
      </c>
    </row>
    <row r="1026">
      <c r="A1026" t="n">
        <v>15</v>
      </c>
      <c r="B1026" t="n">
        <v>60</v>
      </c>
      <c r="C1026" t="n">
        <v>9</v>
      </c>
      <c r="D1026" s="218" t="n">
        <v>132.53</v>
      </c>
      <c r="E1026" s="218" t="n">
        <v>4.42</v>
      </c>
      <c r="F1026" t="str">
        <v>https://re.jrc.ec.europa.eu/api/v5_3/PVcalc?lat=30.0444&amp;lon=31.2357&amp;peakpower=1&amp;loss=14&amp;angle=15&amp;aspect=-120&amp;outputformat=json&amp;raddatabase=PVGIS-SARAH3&amp;pvtechchoice=crystSi&amp;mountingplace=free&amp;usehorizon=1</v>
      </c>
    </row>
    <row r="1027">
      <c r="A1027" t="n">
        <v>15</v>
      </c>
      <c r="B1027" t="n">
        <v>60</v>
      </c>
      <c r="C1027" t="n">
        <v>10</v>
      </c>
      <c r="D1027" s="218" t="n">
        <v>107.4</v>
      </c>
      <c r="E1027" s="218" t="n">
        <v>3.46</v>
      </c>
      <c r="F1027" t="str">
        <v>https://re.jrc.ec.europa.eu/api/v5_3/PVcalc?lat=30.0444&amp;lon=31.2357&amp;peakpower=1&amp;loss=14&amp;angle=15&amp;aspect=-120&amp;outputformat=json&amp;raddatabase=PVGIS-SARAH3&amp;pvtechchoice=crystSi&amp;mountingplace=free&amp;usehorizon=1</v>
      </c>
    </row>
    <row r="1028">
      <c r="A1028" t="n">
        <v>15</v>
      </c>
      <c r="B1028" t="n">
        <v>60</v>
      </c>
      <c r="C1028" t="n">
        <v>11</v>
      </c>
      <c r="D1028" s="218" t="n">
        <v>79.44</v>
      </c>
      <c r="E1028" s="218" t="n">
        <v>2.65</v>
      </c>
      <c r="F1028" t="str">
        <v>https://re.jrc.ec.europa.eu/api/v5_3/PVcalc?lat=30.0444&amp;lon=31.2357&amp;peakpower=1&amp;loss=14&amp;angle=15&amp;aspect=-120&amp;outputformat=json&amp;raddatabase=PVGIS-SARAH3&amp;pvtechchoice=crystSi&amp;mountingplace=free&amp;usehorizon=1</v>
      </c>
    </row>
    <row r="1029">
      <c r="A1029" t="n">
        <v>15</v>
      </c>
      <c r="B1029" t="n">
        <v>60</v>
      </c>
      <c r="C1029" t="n">
        <v>12</v>
      </c>
      <c r="D1029" s="218" t="n">
        <v>68.85</v>
      </c>
      <c r="E1029" s="218" t="n">
        <v>2.22</v>
      </c>
      <c r="F1029" t="str">
        <v>https://re.jrc.ec.europa.eu/api/v5_3/PVcalc?lat=30.0444&amp;lon=31.2357&amp;peakpower=1&amp;loss=14&amp;angle=15&amp;aspect=-120&amp;outputformat=json&amp;raddatabase=PVGIS-SARAH3&amp;pvtechchoice=crystSi&amp;mountingplace=free&amp;usehorizon=1</v>
      </c>
    </row>
    <row r="1030">
      <c r="A1030" t="n">
        <v>15</v>
      </c>
      <c r="B1030" t="n">
        <v>75</v>
      </c>
      <c r="C1030" t="n">
        <v>1</v>
      </c>
      <c r="D1030" s="218" t="n">
        <v>81.2</v>
      </c>
      <c r="E1030" s="218" t="n">
        <v>2.62</v>
      </c>
      <c r="F1030" t="str">
        <v>https://re.jrc.ec.europa.eu/api/v5_3/PVcalc?lat=30.0444&amp;lon=31.2357&amp;peakpower=1&amp;loss=14&amp;angle=15&amp;aspect=-105&amp;outputformat=json&amp;raddatabase=PVGIS-SARAH3&amp;pvtechchoice=crystSi&amp;mountingplace=free&amp;usehorizon=1</v>
      </c>
    </row>
    <row r="1031">
      <c r="A1031" t="n">
        <v>15</v>
      </c>
      <c r="B1031" t="n">
        <v>75</v>
      </c>
      <c r="C1031" t="n">
        <v>2</v>
      </c>
      <c r="D1031" s="218" t="n">
        <v>92.72</v>
      </c>
      <c r="E1031" s="218" t="n">
        <v>3.31</v>
      </c>
      <c r="F1031" t="str">
        <v>https://re.jrc.ec.europa.eu/api/v5_3/PVcalc?lat=30.0444&amp;lon=31.2357&amp;peakpower=1&amp;loss=14&amp;angle=15&amp;aspect=-105&amp;outputformat=json&amp;raddatabase=PVGIS-SARAH3&amp;pvtechchoice=crystSi&amp;mountingplace=free&amp;usehorizon=1</v>
      </c>
    </row>
    <row r="1032">
      <c r="A1032" t="n">
        <v>15</v>
      </c>
      <c r="B1032" t="n">
        <v>75</v>
      </c>
      <c r="C1032" t="n">
        <v>3</v>
      </c>
      <c r="D1032" s="218" t="n">
        <v>131.43</v>
      </c>
      <c r="E1032" s="218" t="n">
        <v>4.24</v>
      </c>
      <c r="F1032" t="str">
        <v>https://re.jrc.ec.europa.eu/api/v5_3/PVcalc?lat=30.0444&amp;lon=31.2357&amp;peakpower=1&amp;loss=14&amp;angle=15&amp;aspect=-105&amp;outputformat=json&amp;raddatabase=PVGIS-SARAH3&amp;pvtechchoice=crystSi&amp;mountingplace=free&amp;usehorizon=1</v>
      </c>
    </row>
    <row r="1033">
      <c r="A1033" t="n">
        <v>15</v>
      </c>
      <c r="B1033" t="n">
        <v>75</v>
      </c>
      <c r="C1033" t="n">
        <v>4</v>
      </c>
      <c r="D1033" s="218" t="n">
        <v>150.12</v>
      </c>
      <c r="E1033" s="218" t="n">
        <v>5</v>
      </c>
      <c r="F1033" t="str">
        <v>https://re.jrc.ec.europa.eu/api/v5_3/PVcalc?lat=30.0444&amp;lon=31.2357&amp;peakpower=1&amp;loss=14&amp;angle=15&amp;aspect=-105&amp;outputformat=json&amp;raddatabase=PVGIS-SARAH3&amp;pvtechchoice=crystSi&amp;mountingplace=free&amp;usehorizon=1</v>
      </c>
    </row>
    <row r="1034">
      <c r="A1034" t="n">
        <v>15</v>
      </c>
      <c r="B1034" t="n">
        <v>75</v>
      </c>
      <c r="C1034" t="n">
        <v>5</v>
      </c>
      <c r="D1034" s="218" t="n">
        <v>169.8</v>
      </c>
      <c r="E1034" s="218" t="n">
        <v>5.48</v>
      </c>
      <c r="F1034" t="str">
        <v>https://re.jrc.ec.europa.eu/api/v5_3/PVcalc?lat=30.0444&amp;lon=31.2357&amp;peakpower=1&amp;loss=14&amp;angle=15&amp;aspect=-105&amp;outputformat=json&amp;raddatabase=PVGIS-SARAH3&amp;pvtechchoice=crystSi&amp;mountingplace=free&amp;usehorizon=1</v>
      </c>
    </row>
    <row r="1035">
      <c r="A1035" t="n">
        <v>15</v>
      </c>
      <c r="B1035" t="n">
        <v>75</v>
      </c>
      <c r="C1035" t="n">
        <v>6</v>
      </c>
      <c r="D1035" s="218" t="n">
        <v>174.46</v>
      </c>
      <c r="E1035" s="218" t="n">
        <v>5.82</v>
      </c>
      <c r="F1035" t="str">
        <v>https://re.jrc.ec.europa.eu/api/v5_3/PVcalc?lat=30.0444&amp;lon=31.2357&amp;peakpower=1&amp;loss=14&amp;angle=15&amp;aspect=-105&amp;outputformat=json&amp;raddatabase=PVGIS-SARAH3&amp;pvtechchoice=crystSi&amp;mountingplace=free&amp;usehorizon=1</v>
      </c>
    </row>
    <row r="1036">
      <c r="A1036" t="n">
        <v>15</v>
      </c>
      <c r="B1036" t="n">
        <v>75</v>
      </c>
      <c r="C1036" t="n">
        <v>7</v>
      </c>
      <c r="D1036" s="218" t="n">
        <v>175.42</v>
      </c>
      <c r="E1036" s="218" t="n">
        <v>5.66</v>
      </c>
      <c r="F1036" t="str">
        <v>https://re.jrc.ec.europa.eu/api/v5_3/PVcalc?lat=30.0444&amp;lon=31.2357&amp;peakpower=1&amp;loss=14&amp;angle=15&amp;aspect=-105&amp;outputformat=json&amp;raddatabase=PVGIS-SARAH3&amp;pvtechchoice=crystSi&amp;mountingplace=free&amp;usehorizon=1</v>
      </c>
    </row>
    <row r="1037">
      <c r="A1037" t="n">
        <v>15</v>
      </c>
      <c r="B1037" t="n">
        <v>75</v>
      </c>
      <c r="C1037" t="n">
        <v>8</v>
      </c>
      <c r="D1037" s="218" t="n">
        <v>161.73</v>
      </c>
      <c r="E1037" s="218" t="n">
        <v>5.22</v>
      </c>
      <c r="F1037" t="str">
        <v>https://re.jrc.ec.europa.eu/api/v5_3/PVcalc?lat=30.0444&amp;lon=31.2357&amp;peakpower=1&amp;loss=14&amp;angle=15&amp;aspect=-105&amp;outputformat=json&amp;raddatabase=PVGIS-SARAH3&amp;pvtechchoice=crystSi&amp;mountingplace=free&amp;usehorizon=1</v>
      </c>
    </row>
    <row r="1038">
      <c r="A1038" t="n">
        <v>15</v>
      </c>
      <c r="B1038" t="n">
        <v>75</v>
      </c>
      <c r="C1038" t="n">
        <v>9</v>
      </c>
      <c r="D1038" s="218" t="n">
        <v>136.3</v>
      </c>
      <c r="E1038" s="218" t="n">
        <v>4.54</v>
      </c>
      <c r="F1038" t="str">
        <v>https://re.jrc.ec.europa.eu/api/v5_3/PVcalc?lat=30.0444&amp;lon=31.2357&amp;peakpower=1&amp;loss=14&amp;angle=15&amp;aspect=-105&amp;outputformat=json&amp;raddatabase=PVGIS-SARAH3&amp;pvtechchoice=crystSi&amp;mountingplace=free&amp;usehorizon=1</v>
      </c>
    </row>
    <row r="1039">
      <c r="A1039" t="n">
        <v>15</v>
      </c>
      <c r="B1039" t="n">
        <v>75</v>
      </c>
      <c r="C1039" t="n">
        <v>10</v>
      </c>
      <c r="D1039" s="218" t="n">
        <v>113.21</v>
      </c>
      <c r="E1039" s="218" t="n">
        <v>3.65</v>
      </c>
      <c r="F1039" t="str">
        <v>https://re.jrc.ec.europa.eu/api/v5_3/PVcalc?lat=30.0444&amp;lon=31.2357&amp;peakpower=1&amp;loss=14&amp;angle=15&amp;aspect=-105&amp;outputformat=json&amp;raddatabase=PVGIS-SARAH3&amp;pvtechchoice=crystSi&amp;mountingplace=free&amp;usehorizon=1</v>
      </c>
    </row>
    <row r="1040">
      <c r="A1040" t="n">
        <v>15</v>
      </c>
      <c r="B1040" t="n">
        <v>75</v>
      </c>
      <c r="C1040" t="n">
        <v>11</v>
      </c>
      <c r="D1040" s="218" t="n">
        <v>86.36</v>
      </c>
      <c r="E1040" s="218" t="n">
        <v>2.88</v>
      </c>
      <c r="F1040" t="str">
        <v>https://re.jrc.ec.europa.eu/api/v5_3/PVcalc?lat=30.0444&amp;lon=31.2357&amp;peakpower=1&amp;loss=14&amp;angle=15&amp;aspect=-105&amp;outputformat=json&amp;raddatabase=PVGIS-SARAH3&amp;pvtechchoice=crystSi&amp;mountingplace=free&amp;usehorizon=1</v>
      </c>
    </row>
    <row r="1041">
      <c r="A1041" t="n">
        <v>15</v>
      </c>
      <c r="B1041" t="n">
        <v>75</v>
      </c>
      <c r="C1041" t="n">
        <v>12</v>
      </c>
      <c r="D1041" s="218" t="n">
        <v>76.18</v>
      </c>
      <c r="E1041" s="218" t="n">
        <v>2.46</v>
      </c>
      <c r="F1041" t="str">
        <v>https://re.jrc.ec.europa.eu/api/v5_3/PVcalc?lat=30.0444&amp;lon=31.2357&amp;peakpower=1&amp;loss=14&amp;angle=15&amp;aspect=-105&amp;outputformat=json&amp;raddatabase=PVGIS-SARAH3&amp;pvtechchoice=crystSi&amp;mountingplace=free&amp;usehorizon=1</v>
      </c>
    </row>
    <row r="1042">
      <c r="A1042" t="n">
        <v>15</v>
      </c>
      <c r="B1042" t="n">
        <v>90</v>
      </c>
      <c r="C1042" t="n">
        <v>1</v>
      </c>
      <c r="D1042" s="218" t="n">
        <v>88.05</v>
      </c>
      <c r="E1042" s="218" t="n">
        <v>2.84</v>
      </c>
      <c r="F1042" t="str">
        <v>https://re.jrc.ec.europa.eu/api/v5_3/PVcalc?lat=30.0444&amp;lon=31.2357&amp;peakpower=1&amp;loss=14&amp;angle=15&amp;aspect=-90&amp;outputformat=json&amp;raddatabase=PVGIS-SARAH3&amp;pvtechchoice=crystSi&amp;mountingplace=free&amp;usehorizon=1</v>
      </c>
    </row>
    <row r="1043">
      <c r="A1043" t="n">
        <v>15</v>
      </c>
      <c r="B1043" t="n">
        <v>90</v>
      </c>
      <c r="C1043" t="n">
        <v>2</v>
      </c>
      <c r="D1043" s="218" t="n">
        <v>98.23</v>
      </c>
      <c r="E1043" s="218" t="n">
        <v>3.51</v>
      </c>
      <c r="F1043" t="str">
        <v>https://re.jrc.ec.europa.eu/api/v5_3/PVcalc?lat=30.0444&amp;lon=31.2357&amp;peakpower=1&amp;loss=14&amp;angle=15&amp;aspect=-90&amp;outputformat=json&amp;raddatabase=PVGIS-SARAH3&amp;pvtechchoice=crystSi&amp;mountingplace=free&amp;usehorizon=1</v>
      </c>
    </row>
    <row r="1044">
      <c r="A1044" t="n">
        <v>15</v>
      </c>
      <c r="B1044" t="n">
        <v>90</v>
      </c>
      <c r="C1044" t="n">
        <v>3</v>
      </c>
      <c r="D1044" s="218" t="n">
        <v>136.15</v>
      </c>
      <c r="E1044" s="218" t="n">
        <v>4.39</v>
      </c>
      <c r="F1044" t="str">
        <v>https://re.jrc.ec.europa.eu/api/v5_3/PVcalc?lat=30.0444&amp;lon=31.2357&amp;peakpower=1&amp;loss=14&amp;angle=15&amp;aspect=-90&amp;outputformat=json&amp;raddatabase=PVGIS-SARAH3&amp;pvtechchoice=crystSi&amp;mountingplace=free&amp;usehorizon=1</v>
      </c>
    </row>
    <row r="1045">
      <c r="A1045" t="n">
        <v>15</v>
      </c>
      <c r="B1045" t="n">
        <v>90</v>
      </c>
      <c r="C1045" t="n">
        <v>4</v>
      </c>
      <c r="D1045" s="218" t="n">
        <v>152.7</v>
      </c>
      <c r="E1045" s="218" t="n">
        <v>5.09</v>
      </c>
      <c r="F1045" t="str">
        <v>https://re.jrc.ec.europa.eu/api/v5_3/PVcalc?lat=30.0444&amp;lon=31.2357&amp;peakpower=1&amp;loss=14&amp;angle=15&amp;aspect=-90&amp;outputformat=json&amp;raddatabase=PVGIS-SARAH3&amp;pvtechchoice=crystSi&amp;mountingplace=free&amp;usehorizon=1</v>
      </c>
    </row>
    <row r="1046">
      <c r="A1046" t="n">
        <v>15</v>
      </c>
      <c r="B1046" t="n">
        <v>90</v>
      </c>
      <c r="C1046" t="n">
        <v>5</v>
      </c>
      <c r="D1046" s="218" t="n">
        <v>170.38</v>
      </c>
      <c r="E1046" s="218" t="n">
        <v>5.5</v>
      </c>
      <c r="F1046" t="str">
        <v>https://re.jrc.ec.europa.eu/api/v5_3/PVcalc?lat=30.0444&amp;lon=31.2357&amp;peakpower=1&amp;loss=14&amp;angle=15&amp;aspect=-90&amp;outputformat=json&amp;raddatabase=PVGIS-SARAH3&amp;pvtechchoice=crystSi&amp;mountingplace=free&amp;usehorizon=1</v>
      </c>
    </row>
    <row r="1047">
      <c r="A1047" t="n">
        <v>15</v>
      </c>
      <c r="B1047" t="n">
        <v>90</v>
      </c>
      <c r="C1047" t="n">
        <v>6</v>
      </c>
      <c r="D1047" s="218" t="n">
        <v>174.03</v>
      </c>
      <c r="E1047" s="218" t="n">
        <v>5.8</v>
      </c>
      <c r="F1047" t="str">
        <v>https://re.jrc.ec.europa.eu/api/v5_3/PVcalc?lat=30.0444&amp;lon=31.2357&amp;peakpower=1&amp;loss=14&amp;angle=15&amp;aspect=-90&amp;outputformat=json&amp;raddatabase=PVGIS-SARAH3&amp;pvtechchoice=crystSi&amp;mountingplace=free&amp;usehorizon=1</v>
      </c>
    </row>
    <row r="1048">
      <c r="A1048" t="n">
        <v>15</v>
      </c>
      <c r="B1048" t="n">
        <v>90</v>
      </c>
      <c r="C1048" t="n">
        <v>7</v>
      </c>
      <c r="D1048" s="218" t="n">
        <v>175.47</v>
      </c>
      <c r="E1048" s="218" t="n">
        <v>5.66</v>
      </c>
      <c r="F1048" t="str">
        <v>https://re.jrc.ec.europa.eu/api/v5_3/PVcalc?lat=30.0444&amp;lon=31.2357&amp;peakpower=1&amp;loss=14&amp;angle=15&amp;aspect=-90&amp;outputformat=json&amp;raddatabase=PVGIS-SARAH3&amp;pvtechchoice=crystSi&amp;mountingplace=free&amp;usehorizon=1</v>
      </c>
    </row>
    <row r="1049">
      <c r="A1049" t="n">
        <v>15</v>
      </c>
      <c r="B1049" t="n">
        <v>90</v>
      </c>
      <c r="C1049" t="n">
        <v>8</v>
      </c>
      <c r="D1049" s="218" t="n">
        <v>163.62</v>
      </c>
      <c r="E1049" s="218" t="n">
        <v>5.28</v>
      </c>
      <c r="F1049" t="str">
        <v>https://re.jrc.ec.europa.eu/api/v5_3/PVcalc?lat=30.0444&amp;lon=31.2357&amp;peakpower=1&amp;loss=14&amp;angle=15&amp;aspect=-90&amp;outputformat=json&amp;raddatabase=PVGIS-SARAH3&amp;pvtechchoice=crystSi&amp;mountingplace=free&amp;usehorizon=1</v>
      </c>
    </row>
    <row r="1050">
      <c r="A1050" t="n">
        <v>15</v>
      </c>
      <c r="B1050" t="n">
        <v>90</v>
      </c>
      <c r="C1050" t="n">
        <v>9</v>
      </c>
      <c r="D1050" s="218" t="n">
        <v>140.3</v>
      </c>
      <c r="E1050" s="218" t="n">
        <v>4.68</v>
      </c>
      <c r="F1050" t="str">
        <v>https://re.jrc.ec.europa.eu/api/v5_3/PVcalc?lat=30.0444&amp;lon=31.2357&amp;peakpower=1&amp;loss=14&amp;angle=15&amp;aspect=-90&amp;outputformat=json&amp;raddatabase=PVGIS-SARAH3&amp;pvtechchoice=crystSi&amp;mountingplace=free&amp;usehorizon=1</v>
      </c>
    </row>
    <row r="1051">
      <c r="A1051" t="n">
        <v>15</v>
      </c>
      <c r="B1051" t="n">
        <v>90</v>
      </c>
      <c r="C1051" t="n">
        <v>10</v>
      </c>
      <c r="D1051" s="218" t="n">
        <v>119.14</v>
      </c>
      <c r="E1051" s="218" t="n">
        <v>3.84</v>
      </c>
      <c r="F1051" t="str">
        <v>https://re.jrc.ec.europa.eu/api/v5_3/PVcalc?lat=30.0444&amp;lon=31.2357&amp;peakpower=1&amp;loss=14&amp;angle=15&amp;aspect=-90&amp;outputformat=json&amp;raddatabase=PVGIS-SARAH3&amp;pvtechchoice=crystSi&amp;mountingplace=free&amp;usehorizon=1</v>
      </c>
    </row>
    <row r="1052">
      <c r="A1052" t="n">
        <v>15</v>
      </c>
      <c r="B1052" t="n">
        <v>90</v>
      </c>
      <c r="C1052" t="n">
        <v>11</v>
      </c>
      <c r="D1052" s="218" t="n">
        <v>93.47</v>
      </c>
      <c r="E1052" s="218" t="n">
        <v>3.12</v>
      </c>
      <c r="F1052" t="str">
        <v>https://re.jrc.ec.europa.eu/api/v5_3/PVcalc?lat=30.0444&amp;lon=31.2357&amp;peakpower=1&amp;loss=14&amp;angle=15&amp;aspect=-90&amp;outputformat=json&amp;raddatabase=PVGIS-SARAH3&amp;pvtechchoice=crystSi&amp;mountingplace=free&amp;usehorizon=1</v>
      </c>
    </row>
    <row r="1053">
      <c r="A1053" t="n">
        <v>15</v>
      </c>
      <c r="B1053" t="n">
        <v>90</v>
      </c>
      <c r="C1053" t="n">
        <v>12</v>
      </c>
      <c r="D1053" s="218" t="n">
        <v>83.71</v>
      </c>
      <c r="E1053" s="218" t="n">
        <v>2.7</v>
      </c>
      <c r="F1053" t="str">
        <v>https://re.jrc.ec.europa.eu/api/v5_3/PVcalc?lat=30.0444&amp;lon=31.2357&amp;peakpower=1&amp;loss=14&amp;angle=15&amp;aspect=-90&amp;outputformat=json&amp;raddatabase=PVGIS-SARAH3&amp;pvtechchoice=crystSi&amp;mountingplace=free&amp;usehorizon=1</v>
      </c>
    </row>
    <row r="1054">
      <c r="A1054" t="n">
        <v>15</v>
      </c>
      <c r="B1054" t="n">
        <v>105</v>
      </c>
      <c r="C1054" t="n">
        <v>1</v>
      </c>
      <c r="D1054" s="218" t="n">
        <v>94.65</v>
      </c>
      <c r="E1054" s="218" t="n">
        <v>3.05</v>
      </c>
      <c r="F1054" t="str">
        <v>https://re.jrc.ec.europa.eu/api/v5_3/PVcalc?lat=30.0444&amp;lon=31.2357&amp;peakpower=1&amp;loss=14&amp;angle=15&amp;aspect=-75&amp;outputformat=json&amp;raddatabase=PVGIS-SARAH3&amp;pvtechchoice=crystSi&amp;mountingplace=free&amp;usehorizon=1</v>
      </c>
    </row>
    <row r="1055">
      <c r="A1055" t="n">
        <v>15</v>
      </c>
      <c r="B1055" t="n">
        <v>105</v>
      </c>
      <c r="C1055" t="n">
        <v>2</v>
      </c>
      <c r="D1055" s="218" t="n">
        <v>103.53</v>
      </c>
      <c r="E1055" s="218" t="n">
        <v>3.7</v>
      </c>
      <c r="F1055" t="str">
        <v>https://re.jrc.ec.europa.eu/api/v5_3/PVcalc?lat=30.0444&amp;lon=31.2357&amp;peakpower=1&amp;loss=14&amp;angle=15&amp;aspect=-75&amp;outputformat=json&amp;raddatabase=PVGIS-SARAH3&amp;pvtechchoice=crystSi&amp;mountingplace=free&amp;usehorizon=1</v>
      </c>
    </row>
    <row r="1056">
      <c r="A1056" t="n">
        <v>15</v>
      </c>
      <c r="B1056" t="n">
        <v>105</v>
      </c>
      <c r="C1056" t="n">
        <v>3</v>
      </c>
      <c r="D1056" s="218" t="n">
        <v>140.79</v>
      </c>
      <c r="E1056" s="218" t="n">
        <v>4.54</v>
      </c>
      <c r="F1056" t="str">
        <v>https://re.jrc.ec.europa.eu/api/v5_3/PVcalc?lat=30.0444&amp;lon=31.2357&amp;peakpower=1&amp;loss=14&amp;angle=15&amp;aspect=-75&amp;outputformat=json&amp;raddatabase=PVGIS-SARAH3&amp;pvtechchoice=crystSi&amp;mountingplace=free&amp;usehorizon=1</v>
      </c>
    </row>
    <row r="1057">
      <c r="A1057" t="n">
        <v>15</v>
      </c>
      <c r="B1057" t="n">
        <v>105</v>
      </c>
      <c r="C1057" t="n">
        <v>4</v>
      </c>
      <c r="D1057" s="218" t="n">
        <v>155.14</v>
      </c>
      <c r="E1057" s="218" t="n">
        <v>5.17</v>
      </c>
      <c r="F1057" t="str">
        <v>https://re.jrc.ec.europa.eu/api/v5_3/PVcalc?lat=30.0444&amp;lon=31.2357&amp;peakpower=1&amp;loss=14&amp;angle=15&amp;aspect=-75&amp;outputformat=json&amp;raddatabase=PVGIS-SARAH3&amp;pvtechchoice=crystSi&amp;mountingplace=free&amp;usehorizon=1</v>
      </c>
    </row>
    <row r="1058">
      <c r="A1058" t="n">
        <v>15</v>
      </c>
      <c r="B1058" t="n">
        <v>105</v>
      </c>
      <c r="C1058" t="n">
        <v>5</v>
      </c>
      <c r="D1058" s="218" t="n">
        <v>171.04</v>
      </c>
      <c r="E1058" s="218" t="n">
        <v>5.52</v>
      </c>
      <c r="F1058" t="str">
        <v>https://re.jrc.ec.europa.eu/api/v5_3/PVcalc?lat=30.0444&amp;lon=31.2357&amp;peakpower=1&amp;loss=14&amp;angle=15&amp;aspect=-75&amp;outputformat=json&amp;raddatabase=PVGIS-SARAH3&amp;pvtechchoice=crystSi&amp;mountingplace=free&amp;usehorizon=1</v>
      </c>
    </row>
    <row r="1059">
      <c r="A1059" t="n">
        <v>15</v>
      </c>
      <c r="B1059" t="n">
        <v>105</v>
      </c>
      <c r="C1059" t="n">
        <v>6</v>
      </c>
      <c r="D1059" s="218" t="n">
        <v>173.73</v>
      </c>
      <c r="E1059" s="218" t="n">
        <v>5.79</v>
      </c>
      <c r="F1059" t="str">
        <v>https://re.jrc.ec.europa.eu/api/v5_3/PVcalc?lat=30.0444&amp;lon=31.2357&amp;peakpower=1&amp;loss=14&amp;angle=15&amp;aspect=-75&amp;outputformat=json&amp;raddatabase=PVGIS-SARAH3&amp;pvtechchoice=crystSi&amp;mountingplace=free&amp;usehorizon=1</v>
      </c>
    </row>
    <row r="1060">
      <c r="A1060" t="n">
        <v>15</v>
      </c>
      <c r="B1060" t="n">
        <v>105</v>
      </c>
      <c r="C1060" t="n">
        <v>7</v>
      </c>
      <c r="D1060" s="218" t="n">
        <v>175.7</v>
      </c>
      <c r="E1060" s="218" t="n">
        <v>5.67</v>
      </c>
      <c r="F1060" t="str">
        <v>https://re.jrc.ec.europa.eu/api/v5_3/PVcalc?lat=30.0444&amp;lon=31.2357&amp;peakpower=1&amp;loss=14&amp;angle=15&amp;aspect=-75&amp;outputformat=json&amp;raddatabase=PVGIS-SARAH3&amp;pvtechchoice=crystSi&amp;mountingplace=free&amp;usehorizon=1</v>
      </c>
    </row>
    <row r="1061">
      <c r="A1061" t="n">
        <v>15</v>
      </c>
      <c r="B1061" t="n">
        <v>105</v>
      </c>
      <c r="C1061" t="n">
        <v>8</v>
      </c>
      <c r="D1061" s="218" t="n">
        <v>165.53</v>
      </c>
      <c r="E1061" s="218" t="n">
        <v>5.34</v>
      </c>
      <c r="F1061" t="str">
        <v>https://re.jrc.ec.europa.eu/api/v5_3/PVcalc?lat=30.0444&amp;lon=31.2357&amp;peakpower=1&amp;loss=14&amp;angle=15&amp;aspect=-75&amp;outputformat=json&amp;raddatabase=PVGIS-SARAH3&amp;pvtechchoice=crystSi&amp;mountingplace=free&amp;usehorizon=1</v>
      </c>
    </row>
    <row r="1062">
      <c r="A1062" t="n">
        <v>15</v>
      </c>
      <c r="B1062" t="n">
        <v>105</v>
      </c>
      <c r="C1062" t="n">
        <v>9</v>
      </c>
      <c r="D1062" s="218" t="n">
        <v>144.35</v>
      </c>
      <c r="E1062" s="218" t="n">
        <v>4.81</v>
      </c>
      <c r="F1062" t="str">
        <v>https://re.jrc.ec.europa.eu/api/v5_3/PVcalc?lat=30.0444&amp;lon=31.2357&amp;peakpower=1&amp;loss=14&amp;angle=15&amp;aspect=-75&amp;outputformat=json&amp;raddatabase=PVGIS-SARAH3&amp;pvtechchoice=crystSi&amp;mountingplace=free&amp;usehorizon=1</v>
      </c>
    </row>
    <row r="1063">
      <c r="A1063" t="n">
        <v>15</v>
      </c>
      <c r="B1063" t="n">
        <v>105</v>
      </c>
      <c r="C1063" t="n">
        <v>10</v>
      </c>
      <c r="D1063" s="218" t="n">
        <v>124.88</v>
      </c>
      <c r="E1063" s="218" t="n">
        <v>4.03</v>
      </c>
      <c r="F1063" t="str">
        <v>https://re.jrc.ec.europa.eu/api/v5_3/PVcalc?lat=30.0444&amp;lon=31.2357&amp;peakpower=1&amp;loss=14&amp;angle=15&amp;aspect=-75&amp;outputformat=json&amp;raddatabase=PVGIS-SARAH3&amp;pvtechchoice=crystSi&amp;mountingplace=free&amp;usehorizon=1</v>
      </c>
    </row>
    <row r="1064">
      <c r="A1064" t="n">
        <v>15</v>
      </c>
      <c r="B1064" t="n">
        <v>105</v>
      </c>
      <c r="C1064" t="n">
        <v>11</v>
      </c>
      <c r="D1064" s="218" t="n">
        <v>100.34</v>
      </c>
      <c r="E1064" s="218" t="n">
        <v>3.34</v>
      </c>
      <c r="F1064" t="str">
        <v>https://re.jrc.ec.europa.eu/api/v5_3/PVcalc?lat=30.0444&amp;lon=31.2357&amp;peakpower=1&amp;loss=14&amp;angle=15&amp;aspect=-75&amp;outputformat=json&amp;raddatabase=PVGIS-SARAH3&amp;pvtechchoice=crystSi&amp;mountingplace=free&amp;usehorizon=1</v>
      </c>
    </row>
    <row r="1065">
      <c r="A1065" t="n">
        <v>15</v>
      </c>
      <c r="B1065" t="n">
        <v>105</v>
      </c>
      <c r="C1065" t="n">
        <v>12</v>
      </c>
      <c r="D1065" s="218" t="n">
        <v>90.96</v>
      </c>
      <c r="E1065" s="218" t="n">
        <v>2.93</v>
      </c>
      <c r="F1065" t="str">
        <v>https://re.jrc.ec.europa.eu/api/v5_3/PVcalc?lat=30.0444&amp;lon=31.2357&amp;peakpower=1&amp;loss=14&amp;angle=15&amp;aspect=-75&amp;outputformat=json&amp;raddatabase=PVGIS-SARAH3&amp;pvtechchoice=crystSi&amp;mountingplace=free&amp;usehorizon=1</v>
      </c>
    </row>
    <row r="1066">
      <c r="A1066" t="n">
        <v>15</v>
      </c>
      <c r="B1066" t="n">
        <v>120</v>
      </c>
      <c r="C1066" t="n">
        <v>1</v>
      </c>
      <c r="D1066" s="218" t="n">
        <v>100.91</v>
      </c>
      <c r="E1066" s="218" t="n">
        <v>3.26</v>
      </c>
      <c r="F1066" t="str">
        <v>https://re.jrc.ec.europa.eu/api/v5_3/PVcalc?lat=30.0444&amp;lon=31.2357&amp;peakpower=1&amp;loss=14&amp;angle=15&amp;aspect=-60&amp;outputformat=json&amp;raddatabase=PVGIS-SARAH3&amp;pvtechchoice=crystSi&amp;mountingplace=free&amp;usehorizon=1</v>
      </c>
    </row>
    <row r="1067">
      <c r="A1067" t="n">
        <v>15</v>
      </c>
      <c r="B1067" t="n">
        <v>120</v>
      </c>
      <c r="C1067" t="n">
        <v>2</v>
      </c>
      <c r="D1067" s="218" t="n">
        <v>108.33</v>
      </c>
      <c r="E1067" s="218" t="n">
        <v>3.87</v>
      </c>
      <c r="F1067" t="str">
        <v>https://re.jrc.ec.europa.eu/api/v5_3/PVcalc?lat=30.0444&amp;lon=31.2357&amp;peakpower=1&amp;loss=14&amp;angle=15&amp;aspect=-60&amp;outputformat=json&amp;raddatabase=PVGIS-SARAH3&amp;pvtechchoice=crystSi&amp;mountingplace=free&amp;usehorizon=1</v>
      </c>
    </row>
    <row r="1068">
      <c r="A1068" t="n">
        <v>15</v>
      </c>
      <c r="B1068" t="n">
        <v>120</v>
      </c>
      <c r="C1068" t="n">
        <v>3</v>
      </c>
      <c r="D1068" s="218" t="n">
        <v>144.96</v>
      </c>
      <c r="E1068" s="218" t="n">
        <v>4.68</v>
      </c>
      <c r="F1068" t="str">
        <v>https://re.jrc.ec.europa.eu/api/v5_3/PVcalc?lat=30.0444&amp;lon=31.2357&amp;peakpower=1&amp;loss=14&amp;angle=15&amp;aspect=-60&amp;outputformat=json&amp;raddatabase=PVGIS-SARAH3&amp;pvtechchoice=crystSi&amp;mountingplace=free&amp;usehorizon=1</v>
      </c>
    </row>
    <row r="1069">
      <c r="A1069" t="n">
        <v>15</v>
      </c>
      <c r="B1069" t="n">
        <v>120</v>
      </c>
      <c r="C1069" t="n">
        <v>4</v>
      </c>
      <c r="D1069" s="218" t="n">
        <v>157.31</v>
      </c>
      <c r="E1069" s="218" t="n">
        <v>5.24</v>
      </c>
      <c r="F1069" t="str">
        <v>https://re.jrc.ec.europa.eu/api/v5_3/PVcalc?lat=30.0444&amp;lon=31.2357&amp;peakpower=1&amp;loss=14&amp;angle=15&amp;aspect=-60&amp;outputformat=json&amp;raddatabase=PVGIS-SARAH3&amp;pvtechchoice=crystSi&amp;mountingplace=free&amp;usehorizon=1</v>
      </c>
    </row>
    <row r="1070">
      <c r="A1070" t="n">
        <v>15</v>
      </c>
      <c r="B1070" t="n">
        <v>120</v>
      </c>
      <c r="C1070" t="n">
        <v>5</v>
      </c>
      <c r="D1070" s="218" t="n">
        <v>171.69</v>
      </c>
      <c r="E1070" s="218" t="n">
        <v>5.54</v>
      </c>
      <c r="F1070" t="str">
        <v>https://re.jrc.ec.europa.eu/api/v5_3/PVcalc?lat=30.0444&amp;lon=31.2357&amp;peakpower=1&amp;loss=14&amp;angle=15&amp;aspect=-60&amp;outputformat=json&amp;raddatabase=PVGIS-SARAH3&amp;pvtechchoice=crystSi&amp;mountingplace=free&amp;usehorizon=1</v>
      </c>
    </row>
    <row r="1071">
      <c r="A1071" t="n">
        <v>15</v>
      </c>
      <c r="B1071" t="n">
        <v>120</v>
      </c>
      <c r="C1071" t="n">
        <v>6</v>
      </c>
      <c r="D1071" s="218" t="n">
        <v>173.56</v>
      </c>
      <c r="E1071" s="218" t="n">
        <v>5.79</v>
      </c>
      <c r="F1071" t="str">
        <v>https://re.jrc.ec.europa.eu/api/v5_3/PVcalc?lat=30.0444&amp;lon=31.2357&amp;peakpower=1&amp;loss=14&amp;angle=15&amp;aspect=-60&amp;outputformat=json&amp;raddatabase=PVGIS-SARAH3&amp;pvtechchoice=crystSi&amp;mountingplace=free&amp;usehorizon=1</v>
      </c>
    </row>
    <row r="1072">
      <c r="A1072" t="n">
        <v>15</v>
      </c>
      <c r="B1072" t="n">
        <v>120</v>
      </c>
      <c r="C1072" t="n">
        <v>7</v>
      </c>
      <c r="D1072" s="218" t="n">
        <v>176.08</v>
      </c>
      <c r="E1072" s="218" t="n">
        <v>5.68</v>
      </c>
      <c r="F1072" t="str">
        <v>https://re.jrc.ec.europa.eu/api/v5_3/PVcalc?lat=30.0444&amp;lon=31.2357&amp;peakpower=1&amp;loss=14&amp;angle=15&amp;aspect=-60&amp;outputformat=json&amp;raddatabase=PVGIS-SARAH3&amp;pvtechchoice=crystSi&amp;mountingplace=free&amp;usehorizon=1</v>
      </c>
    </row>
    <row r="1073">
      <c r="A1073" t="n">
        <v>15</v>
      </c>
      <c r="B1073" t="n">
        <v>120</v>
      </c>
      <c r="C1073" t="n">
        <v>8</v>
      </c>
      <c r="D1073" s="218" t="n">
        <v>167.41</v>
      </c>
      <c r="E1073" s="218" t="n">
        <v>5.4</v>
      </c>
      <c r="F1073" t="str">
        <v>https://re.jrc.ec.europa.eu/api/v5_3/PVcalc?lat=30.0444&amp;lon=31.2357&amp;peakpower=1&amp;loss=14&amp;angle=15&amp;aspect=-60&amp;outputformat=json&amp;raddatabase=PVGIS-SARAH3&amp;pvtechchoice=crystSi&amp;mountingplace=free&amp;usehorizon=1</v>
      </c>
    </row>
    <row r="1074">
      <c r="A1074" t="n">
        <v>15</v>
      </c>
      <c r="B1074" t="n">
        <v>120</v>
      </c>
      <c r="C1074" t="n">
        <v>9</v>
      </c>
      <c r="D1074" s="218" t="n">
        <v>148.12</v>
      </c>
      <c r="E1074" s="218" t="n">
        <v>4.94</v>
      </c>
      <c r="F1074" t="str">
        <v>https://re.jrc.ec.europa.eu/api/v5_3/PVcalc?lat=30.0444&amp;lon=31.2357&amp;peakpower=1&amp;loss=14&amp;angle=15&amp;aspect=-60&amp;outputformat=json&amp;raddatabase=PVGIS-SARAH3&amp;pvtechchoice=crystSi&amp;mountingplace=free&amp;usehorizon=1</v>
      </c>
    </row>
    <row r="1075">
      <c r="A1075" t="n">
        <v>15</v>
      </c>
      <c r="B1075" t="n">
        <v>120</v>
      </c>
      <c r="C1075" t="n">
        <v>10</v>
      </c>
      <c r="D1075" s="218" t="n">
        <v>130.37</v>
      </c>
      <c r="E1075" s="218" t="n">
        <v>4.21</v>
      </c>
      <c r="F1075" t="str">
        <v>https://re.jrc.ec.europa.eu/api/v5_3/PVcalc?lat=30.0444&amp;lon=31.2357&amp;peakpower=1&amp;loss=14&amp;angle=15&amp;aspect=-60&amp;outputformat=json&amp;raddatabase=PVGIS-SARAH3&amp;pvtechchoice=crystSi&amp;mountingplace=free&amp;usehorizon=1</v>
      </c>
    </row>
    <row r="1076">
      <c r="A1076" t="n">
        <v>15</v>
      </c>
      <c r="B1076" t="n">
        <v>120</v>
      </c>
      <c r="C1076" t="n">
        <v>11</v>
      </c>
      <c r="D1076" s="218" t="n">
        <v>106.35</v>
      </c>
      <c r="E1076" s="218" t="n">
        <v>3.55</v>
      </c>
      <c r="F1076" t="str">
        <v>https://re.jrc.ec.europa.eu/api/v5_3/PVcalc?lat=30.0444&amp;lon=31.2357&amp;peakpower=1&amp;loss=14&amp;angle=15&amp;aspect=-60&amp;outputformat=json&amp;raddatabase=PVGIS-SARAH3&amp;pvtechchoice=crystSi&amp;mountingplace=free&amp;usehorizon=1</v>
      </c>
    </row>
    <row r="1077">
      <c r="A1077" t="n">
        <v>15</v>
      </c>
      <c r="B1077" t="n">
        <v>120</v>
      </c>
      <c r="C1077" t="n">
        <v>12</v>
      </c>
      <c r="D1077" s="218" t="n">
        <v>97.34</v>
      </c>
      <c r="E1077" s="218" t="n">
        <v>3.14</v>
      </c>
      <c r="F1077" t="str">
        <v>https://re.jrc.ec.europa.eu/api/v5_3/PVcalc?lat=30.0444&amp;lon=31.2357&amp;peakpower=1&amp;loss=14&amp;angle=15&amp;aspect=-60&amp;outputformat=json&amp;raddatabase=PVGIS-SARAH3&amp;pvtechchoice=crystSi&amp;mountingplace=free&amp;usehorizon=1</v>
      </c>
    </row>
    <row r="1078">
      <c r="A1078" t="n">
        <v>15</v>
      </c>
      <c r="B1078" t="n">
        <v>135</v>
      </c>
      <c r="C1078" t="n">
        <v>1</v>
      </c>
      <c r="D1078" s="218" t="n">
        <v>106.32</v>
      </c>
      <c r="E1078" s="218" t="n">
        <v>3.43</v>
      </c>
      <c r="F1078" t="str">
        <v>https://re.jrc.ec.europa.eu/api/v5_3/PVcalc?lat=30.0444&amp;lon=31.2357&amp;peakpower=1&amp;loss=14&amp;angle=15&amp;aspect=-45&amp;outputformat=json&amp;raddatabase=PVGIS-SARAH3&amp;pvtechchoice=crystSi&amp;mountingplace=free&amp;usehorizon=1</v>
      </c>
    </row>
    <row r="1079">
      <c r="A1079" t="n">
        <v>15</v>
      </c>
      <c r="B1079" t="n">
        <v>135</v>
      </c>
      <c r="C1079" t="n">
        <v>2</v>
      </c>
      <c r="D1079" s="218" t="n">
        <v>112.26</v>
      </c>
      <c r="E1079" s="218" t="n">
        <v>4.01</v>
      </c>
      <c r="F1079" t="str">
        <v>https://re.jrc.ec.europa.eu/api/v5_3/PVcalc?lat=30.0444&amp;lon=31.2357&amp;peakpower=1&amp;loss=14&amp;angle=15&amp;aspect=-45&amp;outputformat=json&amp;raddatabase=PVGIS-SARAH3&amp;pvtechchoice=crystSi&amp;mountingplace=free&amp;usehorizon=1</v>
      </c>
    </row>
    <row r="1080">
      <c r="A1080" t="n">
        <v>15</v>
      </c>
      <c r="B1080" t="n">
        <v>135</v>
      </c>
      <c r="C1080" t="n">
        <v>3</v>
      </c>
      <c r="D1080" s="218" t="n">
        <v>148.37</v>
      </c>
      <c r="E1080" s="218" t="n">
        <v>4.79</v>
      </c>
      <c r="F1080" t="str">
        <v>https://re.jrc.ec.europa.eu/api/v5_3/PVcalc?lat=30.0444&amp;lon=31.2357&amp;peakpower=1&amp;loss=14&amp;angle=15&amp;aspect=-45&amp;outputformat=json&amp;raddatabase=PVGIS-SARAH3&amp;pvtechchoice=crystSi&amp;mountingplace=free&amp;usehorizon=1</v>
      </c>
    </row>
    <row r="1081">
      <c r="A1081" t="n">
        <v>15</v>
      </c>
      <c r="B1081" t="n">
        <v>135</v>
      </c>
      <c r="C1081" t="n">
        <v>4</v>
      </c>
      <c r="D1081" s="218" t="n">
        <v>159.47</v>
      </c>
      <c r="E1081" s="218" t="n">
        <v>5.32</v>
      </c>
      <c r="F1081" t="str">
        <v>https://re.jrc.ec.europa.eu/api/v5_3/PVcalc?lat=30.0444&amp;lon=31.2357&amp;peakpower=1&amp;loss=14&amp;angle=15&amp;aspect=-45&amp;outputformat=json&amp;raddatabase=PVGIS-SARAH3&amp;pvtechchoice=crystSi&amp;mountingplace=free&amp;usehorizon=1</v>
      </c>
    </row>
    <row r="1082">
      <c r="A1082" t="n">
        <v>15</v>
      </c>
      <c r="B1082" t="n">
        <v>135</v>
      </c>
      <c r="C1082" t="n">
        <v>5</v>
      </c>
      <c r="D1082" s="218" t="n">
        <v>172.31</v>
      </c>
      <c r="E1082" s="218" t="n">
        <v>5.56</v>
      </c>
      <c r="F1082" t="str">
        <v>https://re.jrc.ec.europa.eu/api/v5_3/PVcalc?lat=30.0444&amp;lon=31.2357&amp;peakpower=1&amp;loss=14&amp;angle=15&amp;aspect=-45&amp;outputformat=json&amp;raddatabase=PVGIS-SARAH3&amp;pvtechchoice=crystSi&amp;mountingplace=free&amp;usehorizon=1</v>
      </c>
    </row>
    <row r="1083">
      <c r="A1083" t="n">
        <v>15</v>
      </c>
      <c r="B1083" t="n">
        <v>135</v>
      </c>
      <c r="C1083" t="n">
        <v>6</v>
      </c>
      <c r="D1083" s="218" t="n">
        <v>173.49</v>
      </c>
      <c r="E1083" s="218" t="n">
        <v>5.78</v>
      </c>
      <c r="F1083" t="str">
        <v>https://re.jrc.ec.europa.eu/api/v5_3/PVcalc?lat=30.0444&amp;lon=31.2357&amp;peakpower=1&amp;loss=14&amp;angle=15&amp;aspect=-45&amp;outputformat=json&amp;raddatabase=PVGIS-SARAH3&amp;pvtechchoice=crystSi&amp;mountingplace=free&amp;usehorizon=1</v>
      </c>
    </row>
    <row r="1084">
      <c r="A1084" t="n">
        <v>15</v>
      </c>
      <c r="B1084" t="n">
        <v>135</v>
      </c>
      <c r="C1084" t="n">
        <v>7</v>
      </c>
      <c r="D1084" s="218" t="n">
        <v>176.57</v>
      </c>
      <c r="E1084" s="218" t="n">
        <v>5.7</v>
      </c>
      <c r="F1084" t="str">
        <v>https://re.jrc.ec.europa.eu/api/v5_3/PVcalc?lat=30.0444&amp;lon=31.2357&amp;peakpower=1&amp;loss=14&amp;angle=15&amp;aspect=-45&amp;outputformat=json&amp;raddatabase=PVGIS-SARAH3&amp;pvtechchoice=crystSi&amp;mountingplace=free&amp;usehorizon=1</v>
      </c>
    </row>
    <row r="1085">
      <c r="A1085" t="n">
        <v>15</v>
      </c>
      <c r="B1085" t="n">
        <v>135</v>
      </c>
      <c r="C1085" t="n">
        <v>8</v>
      </c>
      <c r="D1085" s="218" t="n">
        <v>169.24</v>
      </c>
      <c r="E1085" s="218" t="n">
        <v>5.46</v>
      </c>
      <c r="F1085" t="str">
        <v>https://re.jrc.ec.europa.eu/api/v5_3/PVcalc?lat=30.0444&amp;lon=31.2357&amp;peakpower=1&amp;loss=14&amp;angle=15&amp;aspect=-45&amp;outputformat=json&amp;raddatabase=PVGIS-SARAH3&amp;pvtechchoice=crystSi&amp;mountingplace=free&amp;usehorizon=1</v>
      </c>
    </row>
    <row r="1086">
      <c r="A1086" t="n">
        <v>15</v>
      </c>
      <c r="B1086" t="n">
        <v>135</v>
      </c>
      <c r="C1086" t="n">
        <v>9</v>
      </c>
      <c r="D1086" s="218" t="n">
        <v>151.38</v>
      </c>
      <c r="E1086" s="218" t="n">
        <v>5.05</v>
      </c>
      <c r="F1086" t="str">
        <v>https://re.jrc.ec.europa.eu/api/v5_3/PVcalc?lat=30.0444&amp;lon=31.2357&amp;peakpower=1&amp;loss=14&amp;angle=15&amp;aspect=-45&amp;outputformat=json&amp;raddatabase=PVGIS-SARAH3&amp;pvtechchoice=crystSi&amp;mountingplace=free&amp;usehorizon=1</v>
      </c>
    </row>
    <row r="1087">
      <c r="A1087" t="n">
        <v>15</v>
      </c>
      <c r="B1087" t="n">
        <v>135</v>
      </c>
      <c r="C1087" t="n">
        <v>10</v>
      </c>
      <c r="D1087" s="218" t="n">
        <v>135.21</v>
      </c>
      <c r="E1087" s="218" t="n">
        <v>4.36</v>
      </c>
      <c r="F1087" t="str">
        <v>https://re.jrc.ec.europa.eu/api/v5_3/PVcalc?lat=30.0444&amp;lon=31.2357&amp;peakpower=1&amp;loss=14&amp;angle=15&amp;aspect=-45&amp;outputformat=json&amp;raddatabase=PVGIS-SARAH3&amp;pvtechchoice=crystSi&amp;mountingplace=free&amp;usehorizon=1</v>
      </c>
    </row>
    <row r="1088">
      <c r="A1088" t="n">
        <v>15</v>
      </c>
      <c r="B1088" t="n">
        <v>135</v>
      </c>
      <c r="C1088" t="n">
        <v>11</v>
      </c>
      <c r="D1088" s="218" t="n">
        <v>111.78</v>
      </c>
      <c r="E1088" s="218" t="n">
        <v>3.73</v>
      </c>
      <c r="F1088" t="str">
        <v>https://re.jrc.ec.europa.eu/api/v5_3/PVcalc?lat=30.0444&amp;lon=31.2357&amp;peakpower=1&amp;loss=14&amp;angle=15&amp;aspect=-45&amp;outputformat=json&amp;raddatabase=PVGIS-SARAH3&amp;pvtechchoice=crystSi&amp;mountingplace=free&amp;usehorizon=1</v>
      </c>
    </row>
    <row r="1089">
      <c r="A1089" t="n">
        <v>15</v>
      </c>
      <c r="B1089" t="n">
        <v>135</v>
      </c>
      <c r="C1089" t="n">
        <v>12</v>
      </c>
      <c r="D1089" s="218" t="n">
        <v>103.02</v>
      </c>
      <c r="E1089" s="218" t="n">
        <v>3.32</v>
      </c>
      <c r="F1089" t="str">
        <v>https://re.jrc.ec.europa.eu/api/v5_3/PVcalc?lat=30.0444&amp;lon=31.2357&amp;peakpower=1&amp;loss=14&amp;angle=15&amp;aspect=-45&amp;outputformat=json&amp;raddatabase=PVGIS-SARAH3&amp;pvtechchoice=crystSi&amp;mountingplace=free&amp;usehorizon=1</v>
      </c>
    </row>
    <row r="1090">
      <c r="A1090" t="n">
        <v>15</v>
      </c>
      <c r="B1090" t="n">
        <v>150</v>
      </c>
      <c r="C1090" t="n">
        <v>1</v>
      </c>
      <c r="D1090" s="218" t="n">
        <v>110.44</v>
      </c>
      <c r="E1090" s="218" t="n">
        <v>3.56</v>
      </c>
      <c r="F1090" t="str">
        <v>https://re.jrc.ec.europa.eu/api/v5_3/PVcalc?lat=30.0444&amp;lon=31.2357&amp;peakpower=1&amp;loss=14&amp;angle=15&amp;aspect=-30&amp;outputformat=json&amp;raddatabase=PVGIS-SARAH3&amp;pvtechchoice=crystSi&amp;mountingplace=free&amp;usehorizon=1</v>
      </c>
    </row>
    <row r="1091">
      <c r="A1091" t="n">
        <v>15</v>
      </c>
      <c r="B1091" t="n">
        <v>150</v>
      </c>
      <c r="C1091" t="n">
        <v>2</v>
      </c>
      <c r="D1091" s="218" t="n">
        <v>115.2</v>
      </c>
      <c r="E1091" s="218" t="n">
        <v>4.11</v>
      </c>
      <c r="F1091" t="str">
        <v>https://re.jrc.ec.europa.eu/api/v5_3/PVcalc?lat=30.0444&amp;lon=31.2357&amp;peakpower=1&amp;loss=14&amp;angle=15&amp;aspect=-30&amp;outputformat=json&amp;raddatabase=PVGIS-SARAH3&amp;pvtechchoice=crystSi&amp;mountingplace=free&amp;usehorizon=1</v>
      </c>
    </row>
    <row r="1092">
      <c r="A1092" t="n">
        <v>15</v>
      </c>
      <c r="B1092" t="n">
        <v>150</v>
      </c>
      <c r="C1092" t="n">
        <v>3</v>
      </c>
      <c r="D1092" s="218" t="n">
        <v>151.4</v>
      </c>
      <c r="E1092" s="218" t="n">
        <v>4.88</v>
      </c>
      <c r="F1092" t="str">
        <v>https://re.jrc.ec.europa.eu/api/v5_3/PVcalc?lat=30.0444&amp;lon=31.2357&amp;peakpower=1&amp;loss=14&amp;angle=15&amp;aspect=-30&amp;outputformat=json&amp;raddatabase=PVGIS-SARAH3&amp;pvtechchoice=crystSi&amp;mountingplace=free&amp;usehorizon=1</v>
      </c>
    </row>
    <row r="1093">
      <c r="A1093" t="n">
        <v>15</v>
      </c>
      <c r="B1093" t="n">
        <v>150</v>
      </c>
      <c r="C1093" t="n">
        <v>4</v>
      </c>
      <c r="D1093" s="218" t="n">
        <v>161.32</v>
      </c>
      <c r="E1093" s="218" t="n">
        <v>5.38</v>
      </c>
      <c r="F1093" t="str">
        <v>https://re.jrc.ec.europa.eu/api/v5_3/PVcalc?lat=30.0444&amp;lon=31.2357&amp;peakpower=1&amp;loss=14&amp;angle=15&amp;aspect=-30&amp;outputformat=json&amp;raddatabase=PVGIS-SARAH3&amp;pvtechchoice=crystSi&amp;mountingplace=free&amp;usehorizon=1</v>
      </c>
    </row>
    <row r="1094">
      <c r="A1094" t="n">
        <v>15</v>
      </c>
      <c r="B1094" t="n">
        <v>150</v>
      </c>
      <c r="C1094" t="n">
        <v>5</v>
      </c>
      <c r="D1094" s="218" t="n">
        <v>172.87</v>
      </c>
      <c r="E1094" s="218" t="n">
        <v>5.58</v>
      </c>
      <c r="F1094" t="str">
        <v>https://re.jrc.ec.europa.eu/api/v5_3/PVcalc?lat=30.0444&amp;lon=31.2357&amp;peakpower=1&amp;loss=14&amp;angle=15&amp;aspect=-30&amp;outputformat=json&amp;raddatabase=PVGIS-SARAH3&amp;pvtechchoice=crystSi&amp;mountingplace=free&amp;usehorizon=1</v>
      </c>
    </row>
    <row r="1095">
      <c r="A1095" t="n">
        <v>15</v>
      </c>
      <c r="B1095" t="n">
        <v>150</v>
      </c>
      <c r="C1095" t="n">
        <v>6</v>
      </c>
      <c r="D1095" s="218" t="n">
        <v>173.55</v>
      </c>
      <c r="E1095" s="218" t="n">
        <v>5.79</v>
      </c>
      <c r="F1095" t="str">
        <v>https://re.jrc.ec.europa.eu/api/v5_3/PVcalc?lat=30.0444&amp;lon=31.2357&amp;peakpower=1&amp;loss=14&amp;angle=15&amp;aspect=-30&amp;outputformat=json&amp;raddatabase=PVGIS-SARAH3&amp;pvtechchoice=crystSi&amp;mountingplace=free&amp;usehorizon=1</v>
      </c>
    </row>
    <row r="1096">
      <c r="A1096" t="n">
        <v>15</v>
      </c>
      <c r="B1096" t="n">
        <v>150</v>
      </c>
      <c r="C1096" t="n">
        <v>7</v>
      </c>
      <c r="D1096" s="218" t="n">
        <v>177.14</v>
      </c>
      <c r="E1096" s="218" t="n">
        <v>5.71</v>
      </c>
      <c r="F1096" t="str">
        <v>https://re.jrc.ec.europa.eu/api/v5_3/PVcalc?lat=30.0444&amp;lon=31.2357&amp;peakpower=1&amp;loss=14&amp;angle=15&amp;aspect=-30&amp;outputformat=json&amp;raddatabase=PVGIS-SARAH3&amp;pvtechchoice=crystSi&amp;mountingplace=free&amp;usehorizon=1</v>
      </c>
    </row>
    <row r="1097">
      <c r="A1097" t="n">
        <v>15</v>
      </c>
      <c r="B1097" t="n">
        <v>150</v>
      </c>
      <c r="C1097" t="n">
        <v>8</v>
      </c>
      <c r="D1097" s="218" t="n">
        <v>170.88</v>
      </c>
      <c r="E1097" s="218" t="n">
        <v>5.51</v>
      </c>
      <c r="F1097" t="str">
        <v>https://re.jrc.ec.europa.eu/api/v5_3/PVcalc?lat=30.0444&amp;lon=31.2357&amp;peakpower=1&amp;loss=14&amp;angle=15&amp;aspect=-30&amp;outputformat=json&amp;raddatabase=PVGIS-SARAH3&amp;pvtechchoice=crystSi&amp;mountingplace=free&amp;usehorizon=1</v>
      </c>
    </row>
    <row r="1098">
      <c r="A1098" t="n">
        <v>15</v>
      </c>
      <c r="B1098" t="n">
        <v>150</v>
      </c>
      <c r="C1098" t="n">
        <v>9</v>
      </c>
      <c r="D1098" s="218" t="n">
        <v>154.15</v>
      </c>
      <c r="E1098" s="218" t="n">
        <v>5.14</v>
      </c>
      <c r="F1098" t="str">
        <v>https://re.jrc.ec.europa.eu/api/v5_3/PVcalc?lat=30.0444&amp;lon=31.2357&amp;peakpower=1&amp;loss=14&amp;angle=15&amp;aspect=-30&amp;outputformat=json&amp;raddatabase=PVGIS-SARAH3&amp;pvtechchoice=crystSi&amp;mountingplace=free&amp;usehorizon=1</v>
      </c>
    </row>
    <row r="1099">
      <c r="A1099" t="n">
        <v>15</v>
      </c>
      <c r="B1099" t="n">
        <v>150</v>
      </c>
      <c r="C1099" t="n">
        <v>10</v>
      </c>
      <c r="D1099" s="218" t="n">
        <v>139.02</v>
      </c>
      <c r="E1099" s="218" t="n">
        <v>4.48</v>
      </c>
      <c r="F1099" t="str">
        <v>https://re.jrc.ec.europa.eu/api/v5_3/PVcalc?lat=30.0444&amp;lon=31.2357&amp;peakpower=1&amp;loss=14&amp;angle=15&amp;aspect=-30&amp;outputformat=json&amp;raddatabase=PVGIS-SARAH3&amp;pvtechchoice=crystSi&amp;mountingplace=free&amp;usehorizon=1</v>
      </c>
    </row>
    <row r="1100">
      <c r="A1100" t="n">
        <v>15</v>
      </c>
      <c r="B1100" t="n">
        <v>150</v>
      </c>
      <c r="C1100" t="n">
        <v>11</v>
      </c>
      <c r="D1100" s="218" t="n">
        <v>115.99</v>
      </c>
      <c r="E1100" s="218" t="n">
        <v>3.87</v>
      </c>
      <c r="F1100" t="str">
        <v>https://re.jrc.ec.europa.eu/api/v5_3/PVcalc?lat=30.0444&amp;lon=31.2357&amp;peakpower=1&amp;loss=14&amp;angle=15&amp;aspect=-30&amp;outputformat=json&amp;raddatabase=PVGIS-SARAH3&amp;pvtechchoice=crystSi&amp;mountingplace=free&amp;usehorizon=1</v>
      </c>
    </row>
    <row r="1101">
      <c r="A1101" t="n">
        <v>15</v>
      </c>
      <c r="B1101" t="n">
        <v>150</v>
      </c>
      <c r="C1101" t="n">
        <v>12</v>
      </c>
      <c r="D1101" s="218" t="n">
        <v>107.38</v>
      </c>
      <c r="E1101" s="218" t="n">
        <v>3.46</v>
      </c>
      <c r="F1101" t="str">
        <v>https://re.jrc.ec.europa.eu/api/v5_3/PVcalc?lat=30.0444&amp;lon=31.2357&amp;peakpower=1&amp;loss=14&amp;angle=15&amp;aspect=-30&amp;outputformat=json&amp;raddatabase=PVGIS-SARAH3&amp;pvtechchoice=crystSi&amp;mountingplace=free&amp;usehorizon=1</v>
      </c>
    </row>
    <row r="1102">
      <c r="A1102" t="n">
        <v>15</v>
      </c>
      <c r="B1102" t="n">
        <v>165</v>
      </c>
      <c r="C1102" t="n">
        <v>1</v>
      </c>
      <c r="D1102" s="218" t="n">
        <v>112.98</v>
      </c>
      <c r="E1102" s="218" t="n">
        <v>3.64</v>
      </c>
      <c r="F1102" t="str">
        <v>https://re.jrc.ec.europa.eu/api/v5_3/PVcalc?lat=30.0444&amp;lon=31.2357&amp;peakpower=1&amp;loss=14&amp;angle=15&amp;aspect=-15&amp;outputformat=json&amp;raddatabase=PVGIS-SARAH3&amp;pvtechchoice=crystSi&amp;mountingplace=free&amp;usehorizon=1</v>
      </c>
    </row>
    <row r="1103">
      <c r="A1103" t="n">
        <v>15</v>
      </c>
      <c r="B1103" t="n">
        <v>165</v>
      </c>
      <c r="C1103" t="n">
        <v>2</v>
      </c>
      <c r="D1103" s="218" t="n">
        <v>117.02</v>
      </c>
      <c r="E1103" s="218" t="n">
        <v>4.18</v>
      </c>
      <c r="F1103" t="str">
        <v>https://re.jrc.ec.europa.eu/api/v5_3/PVcalc?lat=30.0444&amp;lon=31.2357&amp;peakpower=1&amp;loss=14&amp;angle=15&amp;aspect=-15&amp;outputformat=json&amp;raddatabase=PVGIS-SARAH3&amp;pvtechchoice=crystSi&amp;mountingplace=free&amp;usehorizon=1</v>
      </c>
    </row>
    <row r="1104">
      <c r="A1104" t="n">
        <v>15</v>
      </c>
      <c r="B1104" t="n">
        <v>165</v>
      </c>
      <c r="C1104" t="n">
        <v>3</v>
      </c>
      <c r="D1104" s="218" t="n">
        <v>153.51</v>
      </c>
      <c r="E1104" s="218" t="n">
        <v>4.95</v>
      </c>
      <c r="F1104" t="str">
        <v>https://re.jrc.ec.europa.eu/api/v5_3/PVcalc?lat=30.0444&amp;lon=31.2357&amp;peakpower=1&amp;loss=14&amp;angle=15&amp;aspect=-15&amp;outputformat=json&amp;raddatabase=PVGIS-SARAH3&amp;pvtechchoice=crystSi&amp;mountingplace=free&amp;usehorizon=1</v>
      </c>
    </row>
    <row r="1105">
      <c r="A1105" t="n">
        <v>15</v>
      </c>
      <c r="B1105" t="n">
        <v>165</v>
      </c>
      <c r="C1105" t="n">
        <v>4</v>
      </c>
      <c r="D1105" s="218" t="n">
        <v>162.72</v>
      </c>
      <c r="E1105" s="218" t="n">
        <v>5.42</v>
      </c>
      <c r="F1105" t="str">
        <v>https://re.jrc.ec.europa.eu/api/v5_3/PVcalc?lat=30.0444&amp;lon=31.2357&amp;peakpower=1&amp;loss=14&amp;angle=15&amp;aspect=-15&amp;outputformat=json&amp;raddatabase=PVGIS-SARAH3&amp;pvtechchoice=crystSi&amp;mountingplace=free&amp;usehorizon=1</v>
      </c>
    </row>
    <row r="1106">
      <c r="A1106" t="n">
        <v>15</v>
      </c>
      <c r="B1106" t="n">
        <v>165</v>
      </c>
      <c r="C1106" t="n">
        <v>5</v>
      </c>
      <c r="D1106" s="218" t="n">
        <v>173.33</v>
      </c>
      <c r="E1106" s="218" t="n">
        <v>5.59</v>
      </c>
      <c r="F1106" t="str">
        <v>https://re.jrc.ec.europa.eu/api/v5_3/PVcalc?lat=30.0444&amp;lon=31.2357&amp;peakpower=1&amp;loss=14&amp;angle=15&amp;aspect=-15&amp;outputformat=json&amp;raddatabase=PVGIS-SARAH3&amp;pvtechchoice=crystSi&amp;mountingplace=free&amp;usehorizon=1</v>
      </c>
    </row>
    <row r="1107">
      <c r="A1107" t="n">
        <v>15</v>
      </c>
      <c r="B1107" t="n">
        <v>165</v>
      </c>
      <c r="C1107" t="n">
        <v>6</v>
      </c>
      <c r="D1107" s="218" t="n">
        <v>173.67</v>
      </c>
      <c r="E1107" s="218" t="n">
        <v>5.79</v>
      </c>
      <c r="F1107" t="str">
        <v>https://re.jrc.ec.europa.eu/api/v5_3/PVcalc?lat=30.0444&amp;lon=31.2357&amp;peakpower=1&amp;loss=14&amp;angle=15&amp;aspect=-15&amp;outputformat=json&amp;raddatabase=PVGIS-SARAH3&amp;pvtechchoice=crystSi&amp;mountingplace=free&amp;usehorizon=1</v>
      </c>
    </row>
    <row r="1108">
      <c r="A1108" t="n">
        <v>15</v>
      </c>
      <c r="B1108" t="n">
        <v>165</v>
      </c>
      <c r="C1108" t="n">
        <v>7</v>
      </c>
      <c r="D1108" s="218" t="n">
        <v>177.55</v>
      </c>
      <c r="E1108" s="218" t="n">
        <v>5.73</v>
      </c>
      <c r="F1108" t="str">
        <v>https://re.jrc.ec.europa.eu/api/v5_3/PVcalc?lat=30.0444&amp;lon=31.2357&amp;peakpower=1&amp;loss=14&amp;angle=15&amp;aspect=-15&amp;outputformat=json&amp;raddatabase=PVGIS-SARAH3&amp;pvtechchoice=crystSi&amp;mountingplace=free&amp;usehorizon=1</v>
      </c>
    </row>
    <row r="1109">
      <c r="A1109" t="n">
        <v>15</v>
      </c>
      <c r="B1109" t="n">
        <v>165</v>
      </c>
      <c r="C1109" t="n">
        <v>8</v>
      </c>
      <c r="D1109" s="218" t="n">
        <v>172.21</v>
      </c>
      <c r="E1109" s="218" t="n">
        <v>5.56</v>
      </c>
      <c r="F1109" t="str">
        <v>https://re.jrc.ec.europa.eu/api/v5_3/PVcalc?lat=30.0444&amp;lon=31.2357&amp;peakpower=1&amp;loss=14&amp;angle=15&amp;aspect=-15&amp;outputformat=json&amp;raddatabase=PVGIS-SARAH3&amp;pvtechchoice=crystSi&amp;mountingplace=free&amp;usehorizon=1</v>
      </c>
    </row>
    <row r="1110">
      <c r="A1110" t="n">
        <v>15</v>
      </c>
      <c r="B1110" t="n">
        <v>165</v>
      </c>
      <c r="C1110" t="n">
        <v>9</v>
      </c>
      <c r="D1110" s="218" t="n">
        <v>156.35</v>
      </c>
      <c r="E1110" s="218" t="n">
        <v>5.21</v>
      </c>
      <c r="F1110" t="str">
        <v>https://re.jrc.ec.europa.eu/api/v5_3/PVcalc?lat=30.0444&amp;lon=31.2357&amp;peakpower=1&amp;loss=14&amp;angle=15&amp;aspect=-15&amp;outputformat=json&amp;raddatabase=PVGIS-SARAH3&amp;pvtechchoice=crystSi&amp;mountingplace=free&amp;usehorizon=1</v>
      </c>
    </row>
    <row r="1111">
      <c r="A1111" t="n">
        <v>15</v>
      </c>
      <c r="B1111" t="n">
        <v>165</v>
      </c>
      <c r="C1111" t="n">
        <v>10</v>
      </c>
      <c r="D1111" s="218" t="n">
        <v>141.47</v>
      </c>
      <c r="E1111" s="218" t="n">
        <v>4.56</v>
      </c>
      <c r="F1111" t="str">
        <v>https://re.jrc.ec.europa.eu/api/v5_3/PVcalc?lat=30.0444&amp;lon=31.2357&amp;peakpower=1&amp;loss=14&amp;angle=15&amp;aspect=-15&amp;outputformat=json&amp;raddatabase=PVGIS-SARAH3&amp;pvtechchoice=crystSi&amp;mountingplace=free&amp;usehorizon=1</v>
      </c>
    </row>
    <row r="1112">
      <c r="A1112" t="n">
        <v>15</v>
      </c>
      <c r="B1112" t="n">
        <v>165</v>
      </c>
      <c r="C1112" t="n">
        <v>11</v>
      </c>
      <c r="D1112" s="218" t="n">
        <v>118.64</v>
      </c>
      <c r="E1112" s="218" t="n">
        <v>3.95</v>
      </c>
      <c r="F1112" t="str">
        <v>https://re.jrc.ec.europa.eu/api/v5_3/PVcalc?lat=30.0444&amp;lon=31.2357&amp;peakpower=1&amp;loss=14&amp;angle=15&amp;aspect=-15&amp;outputformat=json&amp;raddatabase=PVGIS-SARAH3&amp;pvtechchoice=crystSi&amp;mountingplace=free&amp;usehorizon=1</v>
      </c>
    </row>
    <row r="1113">
      <c r="A1113" t="n">
        <v>15</v>
      </c>
      <c r="B1113" t="n">
        <v>165</v>
      </c>
      <c r="C1113" t="n">
        <v>12</v>
      </c>
      <c r="D1113" s="218" t="n">
        <v>110.06</v>
      </c>
      <c r="E1113" s="218" t="n">
        <v>3.55</v>
      </c>
      <c r="F1113" t="str">
        <v>https://re.jrc.ec.europa.eu/api/v5_3/PVcalc?lat=30.0444&amp;lon=31.2357&amp;peakpower=1&amp;loss=14&amp;angle=15&amp;aspect=-15&amp;outputformat=json&amp;raddatabase=PVGIS-SARAH3&amp;pvtechchoice=crystSi&amp;mountingplace=free&amp;usehorizon=1</v>
      </c>
    </row>
    <row r="1114">
      <c r="A1114" t="n">
        <v>15</v>
      </c>
      <c r="B1114" t="n">
        <v>180</v>
      </c>
      <c r="C1114" t="n">
        <v>1</v>
      </c>
      <c r="D1114" s="218" t="n">
        <v>113.73</v>
      </c>
      <c r="E1114" s="218" t="n">
        <v>3.67</v>
      </c>
      <c r="F1114" t="str">
        <v>https://re.jrc.ec.europa.eu/api/v5_3/PVcalc?lat=30.0444&amp;lon=31.2357&amp;peakpower=1&amp;loss=14&amp;angle=15&amp;aspect=0&amp;outputformat=json&amp;raddatabase=PVGIS-SARAH3&amp;pvtechchoice=crystSi&amp;mountingplace=free&amp;usehorizon=1</v>
      </c>
    </row>
    <row r="1115">
      <c r="A1115" t="n">
        <v>15</v>
      </c>
      <c r="B1115" t="n">
        <v>180</v>
      </c>
      <c r="C1115" t="n">
        <v>2</v>
      </c>
      <c r="D1115" s="218" t="n">
        <v>117.5</v>
      </c>
      <c r="E1115" s="218" t="n">
        <v>4.2</v>
      </c>
      <c r="F1115" t="str">
        <v>https://re.jrc.ec.europa.eu/api/v5_3/PVcalc?lat=30.0444&amp;lon=31.2357&amp;peakpower=1&amp;loss=14&amp;angle=15&amp;aspect=0&amp;outputformat=json&amp;raddatabase=PVGIS-SARAH3&amp;pvtechchoice=crystSi&amp;mountingplace=free&amp;usehorizon=1</v>
      </c>
    </row>
    <row r="1116">
      <c r="A1116" t="n">
        <v>15</v>
      </c>
      <c r="B1116" t="n">
        <v>180</v>
      </c>
      <c r="C1116" t="n">
        <v>3</v>
      </c>
      <c r="D1116" s="218" t="n">
        <v>154.48</v>
      </c>
      <c r="E1116" s="218" t="n">
        <v>4.98</v>
      </c>
      <c r="F1116" t="str">
        <v>https://re.jrc.ec.europa.eu/api/v5_3/PVcalc?lat=30.0444&amp;lon=31.2357&amp;peakpower=1&amp;loss=14&amp;angle=15&amp;aspect=0&amp;outputformat=json&amp;raddatabase=PVGIS-SARAH3&amp;pvtechchoice=crystSi&amp;mountingplace=free&amp;usehorizon=1</v>
      </c>
    </row>
    <row r="1117">
      <c r="A1117" t="n">
        <v>15</v>
      </c>
      <c r="B1117" t="n">
        <v>180</v>
      </c>
      <c r="C1117" t="n">
        <v>4</v>
      </c>
      <c r="D1117" s="218" t="n">
        <v>163.53</v>
      </c>
      <c r="E1117" s="218" t="n">
        <v>5.45</v>
      </c>
      <c r="F1117" t="str">
        <v>https://re.jrc.ec.europa.eu/api/v5_3/PVcalc?lat=30.0444&amp;lon=31.2357&amp;peakpower=1&amp;loss=14&amp;angle=15&amp;aspect=0&amp;outputformat=json&amp;raddatabase=PVGIS-SARAH3&amp;pvtechchoice=crystSi&amp;mountingplace=free&amp;usehorizon=1</v>
      </c>
    </row>
    <row r="1118">
      <c r="A1118" t="n">
        <v>15</v>
      </c>
      <c r="B1118" t="n">
        <v>180</v>
      </c>
      <c r="C1118" t="n">
        <v>5</v>
      </c>
      <c r="D1118" s="218" t="n">
        <v>173.58</v>
      </c>
      <c r="E1118" s="218" t="n">
        <v>5.6</v>
      </c>
      <c r="F1118" t="str">
        <v>https://re.jrc.ec.europa.eu/api/v5_3/PVcalc?lat=30.0444&amp;lon=31.2357&amp;peakpower=1&amp;loss=14&amp;angle=15&amp;aspect=0&amp;outputformat=json&amp;raddatabase=PVGIS-SARAH3&amp;pvtechchoice=crystSi&amp;mountingplace=free&amp;usehorizon=1</v>
      </c>
    </row>
    <row r="1119">
      <c r="A1119" t="n">
        <v>15</v>
      </c>
      <c r="B1119" t="n">
        <v>180</v>
      </c>
      <c r="C1119" t="n">
        <v>6</v>
      </c>
      <c r="D1119" s="218" t="n">
        <v>173.88</v>
      </c>
      <c r="E1119" s="218" t="n">
        <v>5.8</v>
      </c>
      <c r="F1119" t="str">
        <v>https://re.jrc.ec.europa.eu/api/v5_3/PVcalc?lat=30.0444&amp;lon=31.2357&amp;peakpower=1&amp;loss=14&amp;angle=15&amp;aspect=0&amp;outputformat=json&amp;raddatabase=PVGIS-SARAH3&amp;pvtechchoice=crystSi&amp;mountingplace=free&amp;usehorizon=1</v>
      </c>
    </row>
    <row r="1120">
      <c r="A1120" t="n">
        <v>15</v>
      </c>
      <c r="B1120" t="n">
        <v>180</v>
      </c>
      <c r="C1120" t="n">
        <v>7</v>
      </c>
      <c r="D1120" s="218" t="n">
        <v>178.27</v>
      </c>
      <c r="E1120" s="218" t="n">
        <v>5.75</v>
      </c>
      <c r="F1120" t="str">
        <v>https://re.jrc.ec.europa.eu/api/v5_3/PVcalc?lat=30.0444&amp;lon=31.2357&amp;peakpower=1&amp;loss=14&amp;angle=15&amp;aspect=0&amp;outputformat=json&amp;raddatabase=PVGIS-SARAH3&amp;pvtechchoice=crystSi&amp;mountingplace=free&amp;usehorizon=1</v>
      </c>
    </row>
    <row r="1121">
      <c r="A1121" t="n">
        <v>15</v>
      </c>
      <c r="B1121" t="n">
        <v>180</v>
      </c>
      <c r="C1121" t="n">
        <v>8</v>
      </c>
      <c r="D1121" s="218" t="n">
        <v>173.02</v>
      </c>
      <c r="E1121" s="218" t="n">
        <v>5.58</v>
      </c>
      <c r="F1121" t="str">
        <v>https://re.jrc.ec.europa.eu/api/v5_3/PVcalc?lat=30.0444&amp;lon=31.2357&amp;peakpower=1&amp;loss=14&amp;angle=15&amp;aspect=0&amp;outputformat=json&amp;raddatabase=PVGIS-SARAH3&amp;pvtechchoice=crystSi&amp;mountingplace=free&amp;usehorizon=1</v>
      </c>
    </row>
    <row r="1122">
      <c r="A1122" t="n">
        <v>15</v>
      </c>
      <c r="B1122" t="n">
        <v>180</v>
      </c>
      <c r="C1122" t="n">
        <v>9</v>
      </c>
      <c r="D1122" s="218" t="n">
        <v>157.65</v>
      </c>
      <c r="E1122" s="218" t="n">
        <v>5.26</v>
      </c>
      <c r="F1122" t="str">
        <v>https://re.jrc.ec.europa.eu/api/v5_3/PVcalc?lat=30.0444&amp;lon=31.2357&amp;peakpower=1&amp;loss=14&amp;angle=15&amp;aspect=0&amp;outputformat=json&amp;raddatabase=PVGIS-SARAH3&amp;pvtechchoice=crystSi&amp;mountingplace=free&amp;usehorizon=1</v>
      </c>
    </row>
    <row r="1123">
      <c r="A1123" t="n">
        <v>15</v>
      </c>
      <c r="B1123" t="n">
        <v>180</v>
      </c>
      <c r="C1123" t="n">
        <v>10</v>
      </c>
      <c r="D1123" s="218" t="n">
        <v>142.45</v>
      </c>
      <c r="E1123" s="218" t="n">
        <v>4.6</v>
      </c>
      <c r="F1123" t="str">
        <v>https://re.jrc.ec.europa.eu/api/v5_3/PVcalc?lat=30.0444&amp;lon=31.2357&amp;peakpower=1&amp;loss=14&amp;angle=15&amp;aspect=0&amp;outputformat=json&amp;raddatabase=PVGIS-SARAH3&amp;pvtechchoice=crystSi&amp;mountingplace=free&amp;usehorizon=1</v>
      </c>
    </row>
    <row r="1124">
      <c r="A1124" t="n">
        <v>15</v>
      </c>
      <c r="B1124" t="n">
        <v>180</v>
      </c>
      <c r="C1124" t="n">
        <v>11</v>
      </c>
      <c r="D1124" s="218" t="n">
        <v>119.49</v>
      </c>
      <c r="E1124" s="218" t="n">
        <v>3.98</v>
      </c>
      <c r="F1124" t="str">
        <v>https://re.jrc.ec.europa.eu/api/v5_3/PVcalc?lat=30.0444&amp;lon=31.2357&amp;peakpower=1&amp;loss=14&amp;angle=15&amp;aspect=0&amp;outputformat=json&amp;raddatabase=PVGIS-SARAH3&amp;pvtechchoice=crystSi&amp;mountingplace=free&amp;usehorizon=1</v>
      </c>
    </row>
    <row r="1125">
      <c r="A1125" t="n">
        <v>15</v>
      </c>
      <c r="B1125" t="n">
        <v>180</v>
      </c>
      <c r="C1125" t="n">
        <v>12</v>
      </c>
      <c r="D1125" s="218" t="n">
        <v>110.86</v>
      </c>
      <c r="E1125" s="218" t="n">
        <v>3.58</v>
      </c>
      <c r="F1125" t="str">
        <v>https://re.jrc.ec.europa.eu/api/v5_3/PVcalc?lat=30.0444&amp;lon=31.2357&amp;peakpower=1&amp;loss=14&amp;angle=15&amp;aspect=0&amp;outputformat=json&amp;raddatabase=PVGIS-SARAH3&amp;pvtechchoice=crystSi&amp;mountingplace=free&amp;usehorizon=1</v>
      </c>
    </row>
    <row r="1126">
      <c r="A1126" t="n">
        <v>15</v>
      </c>
      <c r="B1126" t="n">
        <v>195</v>
      </c>
      <c r="C1126" t="n">
        <v>1</v>
      </c>
      <c r="D1126" s="218" t="n">
        <v>112.62</v>
      </c>
      <c r="E1126" s="218" t="n">
        <v>3.63</v>
      </c>
      <c r="F1126" t="str">
        <v>https://re.jrc.ec.europa.eu/api/v5_3/PVcalc?lat=30.0444&amp;lon=31.2357&amp;peakpower=1&amp;loss=14&amp;angle=15&amp;aspect=15&amp;outputformat=json&amp;raddatabase=PVGIS-SARAH3&amp;pvtechchoice=crystSi&amp;mountingplace=free&amp;usehorizon=1</v>
      </c>
    </row>
    <row r="1127">
      <c r="A1127" t="n">
        <v>15</v>
      </c>
      <c r="B1127" t="n">
        <v>195</v>
      </c>
      <c r="C1127" t="n">
        <v>2</v>
      </c>
      <c r="D1127" s="218" t="n">
        <v>116.56</v>
      </c>
      <c r="E1127" s="218" t="n">
        <v>4.16</v>
      </c>
      <c r="F1127" t="str">
        <v>https://re.jrc.ec.europa.eu/api/v5_3/PVcalc?lat=30.0444&amp;lon=31.2357&amp;peakpower=1&amp;loss=14&amp;angle=15&amp;aspect=15&amp;outputformat=json&amp;raddatabase=PVGIS-SARAH3&amp;pvtechchoice=crystSi&amp;mountingplace=free&amp;usehorizon=1</v>
      </c>
    </row>
    <row r="1128">
      <c r="A1128" t="n">
        <v>15</v>
      </c>
      <c r="B1128" t="n">
        <v>195</v>
      </c>
      <c r="C1128" t="n">
        <v>3</v>
      </c>
      <c r="D1128" s="218" t="n">
        <v>154.18</v>
      </c>
      <c r="E1128" s="218" t="n">
        <v>4.97</v>
      </c>
      <c r="F1128" t="str">
        <v>https://re.jrc.ec.europa.eu/api/v5_3/PVcalc?lat=30.0444&amp;lon=31.2357&amp;peakpower=1&amp;loss=14&amp;angle=15&amp;aspect=15&amp;outputformat=json&amp;raddatabase=PVGIS-SARAH3&amp;pvtechchoice=crystSi&amp;mountingplace=free&amp;usehorizon=1</v>
      </c>
    </row>
    <row r="1129">
      <c r="A1129" t="n">
        <v>15</v>
      </c>
      <c r="B1129" t="n">
        <v>195</v>
      </c>
      <c r="C1129" t="n">
        <v>4</v>
      </c>
      <c r="D1129" s="218" t="n">
        <v>163.67</v>
      </c>
      <c r="E1129" s="218" t="n">
        <v>5.46</v>
      </c>
      <c r="F1129" t="str">
        <v>https://re.jrc.ec.europa.eu/api/v5_3/PVcalc?lat=30.0444&amp;lon=31.2357&amp;peakpower=1&amp;loss=14&amp;angle=15&amp;aspect=15&amp;outputformat=json&amp;raddatabase=PVGIS-SARAH3&amp;pvtechchoice=crystSi&amp;mountingplace=free&amp;usehorizon=1</v>
      </c>
    </row>
    <row r="1130">
      <c r="A1130" t="n">
        <v>15</v>
      </c>
      <c r="B1130" t="n">
        <v>195</v>
      </c>
      <c r="C1130" t="n">
        <v>5</v>
      </c>
      <c r="D1130" s="218" t="n">
        <v>173.85</v>
      </c>
      <c r="E1130" s="218" t="n">
        <v>5.61</v>
      </c>
      <c r="F1130" t="str">
        <v>https://re.jrc.ec.europa.eu/api/v5_3/PVcalc?lat=30.0444&amp;lon=31.2357&amp;peakpower=1&amp;loss=14&amp;angle=15&amp;aspect=15&amp;outputformat=json&amp;raddatabase=PVGIS-SARAH3&amp;pvtechchoice=crystSi&amp;mountingplace=free&amp;usehorizon=1</v>
      </c>
    </row>
    <row r="1131">
      <c r="A1131" t="n">
        <v>15</v>
      </c>
      <c r="B1131" t="n">
        <v>195</v>
      </c>
      <c r="C1131" t="n">
        <v>6</v>
      </c>
      <c r="D1131" s="218" t="n">
        <v>174.61</v>
      </c>
      <c r="E1131" s="218" t="n">
        <v>5.82</v>
      </c>
      <c r="F1131" t="str">
        <v>https://re.jrc.ec.europa.eu/api/v5_3/PVcalc?lat=30.0444&amp;lon=31.2357&amp;peakpower=1&amp;loss=14&amp;angle=15&amp;aspect=15&amp;outputformat=json&amp;raddatabase=PVGIS-SARAH3&amp;pvtechchoice=crystSi&amp;mountingplace=free&amp;usehorizon=1</v>
      </c>
    </row>
    <row r="1132">
      <c r="A1132" t="n">
        <v>15</v>
      </c>
      <c r="B1132" t="n">
        <v>195</v>
      </c>
      <c r="C1132" t="n">
        <v>7</v>
      </c>
      <c r="D1132" s="218" t="n">
        <v>179.26</v>
      </c>
      <c r="E1132" s="218" t="n">
        <v>5.78</v>
      </c>
      <c r="F1132" t="str">
        <v>https://re.jrc.ec.europa.eu/api/v5_3/PVcalc?lat=30.0444&amp;lon=31.2357&amp;peakpower=1&amp;loss=14&amp;angle=15&amp;aspect=15&amp;outputformat=json&amp;raddatabase=PVGIS-SARAH3&amp;pvtechchoice=crystSi&amp;mountingplace=free&amp;usehorizon=1</v>
      </c>
    </row>
    <row r="1133">
      <c r="A1133" t="n">
        <v>15</v>
      </c>
      <c r="B1133" t="n">
        <v>195</v>
      </c>
      <c r="C1133" t="n">
        <v>8</v>
      </c>
      <c r="D1133" s="218" t="n">
        <v>173.62</v>
      </c>
      <c r="E1133" s="218" t="n">
        <v>5.6</v>
      </c>
      <c r="F1133" t="str">
        <v>https://re.jrc.ec.europa.eu/api/v5_3/PVcalc?lat=30.0444&amp;lon=31.2357&amp;peakpower=1&amp;loss=14&amp;angle=15&amp;aspect=15&amp;outputformat=json&amp;raddatabase=PVGIS-SARAH3&amp;pvtechchoice=crystSi&amp;mountingplace=free&amp;usehorizon=1</v>
      </c>
    </row>
    <row r="1134">
      <c r="A1134" t="n">
        <v>15</v>
      </c>
      <c r="B1134" t="n">
        <v>195</v>
      </c>
      <c r="C1134" t="n">
        <v>9</v>
      </c>
      <c r="D1134" s="218" t="n">
        <v>157.87</v>
      </c>
      <c r="E1134" s="218" t="n">
        <v>5.26</v>
      </c>
      <c r="F1134" t="str">
        <v>https://re.jrc.ec.europa.eu/api/v5_3/PVcalc?lat=30.0444&amp;lon=31.2357&amp;peakpower=1&amp;loss=14&amp;angle=15&amp;aspect=15&amp;outputformat=json&amp;raddatabase=PVGIS-SARAH3&amp;pvtechchoice=crystSi&amp;mountingplace=free&amp;usehorizon=1</v>
      </c>
    </row>
    <row r="1135">
      <c r="A1135" t="n">
        <v>15</v>
      </c>
      <c r="B1135" t="n">
        <v>195</v>
      </c>
      <c r="C1135" t="n">
        <v>10</v>
      </c>
      <c r="D1135" s="218" t="n">
        <v>141.83</v>
      </c>
      <c r="E1135" s="218" t="n">
        <v>4.58</v>
      </c>
      <c r="F1135" t="str">
        <v>https://re.jrc.ec.europa.eu/api/v5_3/PVcalc?lat=30.0444&amp;lon=31.2357&amp;peakpower=1&amp;loss=14&amp;angle=15&amp;aspect=15&amp;outputformat=json&amp;raddatabase=PVGIS-SARAH3&amp;pvtechchoice=crystSi&amp;mountingplace=free&amp;usehorizon=1</v>
      </c>
    </row>
    <row r="1136">
      <c r="A1136" t="n">
        <v>15</v>
      </c>
      <c r="B1136" t="n">
        <v>195</v>
      </c>
      <c r="C1136" t="n">
        <v>11</v>
      </c>
      <c r="D1136" s="218" t="n">
        <v>118.47</v>
      </c>
      <c r="E1136" s="218" t="n">
        <v>3.95</v>
      </c>
      <c r="F1136" t="str">
        <v>https://re.jrc.ec.europa.eu/api/v5_3/PVcalc?lat=30.0444&amp;lon=31.2357&amp;peakpower=1&amp;loss=14&amp;angle=15&amp;aspect=15&amp;outputformat=json&amp;raddatabase=PVGIS-SARAH3&amp;pvtechchoice=crystSi&amp;mountingplace=free&amp;usehorizon=1</v>
      </c>
    </row>
    <row r="1137">
      <c r="A1137" t="n">
        <v>15</v>
      </c>
      <c r="B1137" t="n">
        <v>195</v>
      </c>
      <c r="C1137" t="n">
        <v>12</v>
      </c>
      <c r="D1137" s="218" t="n">
        <v>109.69</v>
      </c>
      <c r="E1137" s="218" t="n">
        <v>3.54</v>
      </c>
      <c r="F1137" t="str">
        <v>https://re.jrc.ec.europa.eu/api/v5_3/PVcalc?lat=30.0444&amp;lon=31.2357&amp;peakpower=1&amp;loss=14&amp;angle=15&amp;aspect=15&amp;outputformat=json&amp;raddatabase=PVGIS-SARAH3&amp;pvtechchoice=crystSi&amp;mountingplace=free&amp;usehorizon=1</v>
      </c>
    </row>
    <row r="1138">
      <c r="A1138" t="n">
        <v>15</v>
      </c>
      <c r="B1138" t="n">
        <v>210</v>
      </c>
      <c r="C1138" t="n">
        <v>1</v>
      </c>
      <c r="D1138" s="218" t="n">
        <v>109.74</v>
      </c>
      <c r="E1138" s="218" t="n">
        <v>3.54</v>
      </c>
      <c r="F1138" t="str">
        <v>https://re.jrc.ec.europa.eu/api/v5_3/PVcalc?lat=30.0444&amp;lon=31.2357&amp;peakpower=1&amp;loss=14&amp;angle=15&amp;aspect=30&amp;outputformat=json&amp;raddatabase=PVGIS-SARAH3&amp;pvtechchoice=crystSi&amp;mountingplace=free&amp;usehorizon=1</v>
      </c>
    </row>
    <row r="1139">
      <c r="A1139" t="n">
        <v>15</v>
      </c>
      <c r="B1139" t="n">
        <v>210</v>
      </c>
      <c r="C1139" t="n">
        <v>2</v>
      </c>
      <c r="D1139" s="218" t="n">
        <v>114.29</v>
      </c>
      <c r="E1139" s="218" t="n">
        <v>4.08</v>
      </c>
      <c r="F1139" t="str">
        <v>https://re.jrc.ec.europa.eu/api/v5_3/PVcalc?lat=30.0444&amp;lon=31.2357&amp;peakpower=1&amp;loss=14&amp;angle=15&amp;aspect=30&amp;outputformat=json&amp;raddatabase=PVGIS-SARAH3&amp;pvtechchoice=crystSi&amp;mountingplace=free&amp;usehorizon=1</v>
      </c>
    </row>
    <row r="1140">
      <c r="A1140" t="n">
        <v>15</v>
      </c>
      <c r="B1140" t="n">
        <v>210</v>
      </c>
      <c r="C1140" t="n">
        <v>3</v>
      </c>
      <c r="D1140" s="218" t="n">
        <v>152.64</v>
      </c>
      <c r="E1140" s="218" t="n">
        <v>4.92</v>
      </c>
      <c r="F1140" t="str">
        <v>https://re.jrc.ec.europa.eu/api/v5_3/PVcalc?lat=30.0444&amp;lon=31.2357&amp;peakpower=1&amp;loss=14&amp;angle=15&amp;aspect=30&amp;outputformat=json&amp;raddatabase=PVGIS-SARAH3&amp;pvtechchoice=crystSi&amp;mountingplace=free&amp;usehorizon=1</v>
      </c>
    </row>
    <row r="1141">
      <c r="A1141" t="n">
        <v>15</v>
      </c>
      <c r="B1141" t="n">
        <v>210</v>
      </c>
      <c r="C1141" t="n">
        <v>4</v>
      </c>
      <c r="D1141" s="218" t="n">
        <v>163.15</v>
      </c>
      <c r="E1141" s="218" t="n">
        <v>5.44</v>
      </c>
      <c r="F1141" t="str">
        <v>https://re.jrc.ec.europa.eu/api/v5_3/PVcalc?lat=30.0444&amp;lon=31.2357&amp;peakpower=1&amp;loss=14&amp;angle=15&amp;aspect=30&amp;outputformat=json&amp;raddatabase=PVGIS-SARAH3&amp;pvtechchoice=crystSi&amp;mountingplace=free&amp;usehorizon=1</v>
      </c>
    </row>
    <row r="1142">
      <c r="A1142" t="n">
        <v>15</v>
      </c>
      <c r="B1142" t="n">
        <v>210</v>
      </c>
      <c r="C1142" t="n">
        <v>5</v>
      </c>
      <c r="D1142" s="218" t="n">
        <v>174.02</v>
      </c>
      <c r="E1142" s="218" t="n">
        <v>5.61</v>
      </c>
      <c r="F1142" t="str">
        <v>https://re.jrc.ec.europa.eu/api/v5_3/PVcalc?lat=30.0444&amp;lon=31.2357&amp;peakpower=1&amp;loss=14&amp;angle=15&amp;aspect=30&amp;outputformat=json&amp;raddatabase=PVGIS-SARAH3&amp;pvtechchoice=crystSi&amp;mountingplace=free&amp;usehorizon=1</v>
      </c>
    </row>
    <row r="1143">
      <c r="A1143" t="n">
        <v>15</v>
      </c>
      <c r="B1143" t="n">
        <v>210</v>
      </c>
      <c r="C1143" t="n">
        <v>6</v>
      </c>
      <c r="D1143" s="218" t="n">
        <v>175.55</v>
      </c>
      <c r="E1143" s="218" t="n">
        <v>5.85</v>
      </c>
      <c r="F1143" t="str">
        <v>https://re.jrc.ec.europa.eu/api/v5_3/PVcalc?lat=30.0444&amp;lon=31.2357&amp;peakpower=1&amp;loss=14&amp;angle=15&amp;aspect=30&amp;outputformat=json&amp;raddatabase=PVGIS-SARAH3&amp;pvtechchoice=crystSi&amp;mountingplace=free&amp;usehorizon=1</v>
      </c>
    </row>
    <row r="1144">
      <c r="A1144" t="n">
        <v>15</v>
      </c>
      <c r="B1144" t="n">
        <v>210</v>
      </c>
      <c r="C1144" t="n">
        <v>7</v>
      </c>
      <c r="D1144" s="218" t="n">
        <v>180.31</v>
      </c>
      <c r="E1144" s="218" t="n">
        <v>5.82</v>
      </c>
      <c r="F1144" t="str">
        <v>https://re.jrc.ec.europa.eu/api/v5_3/PVcalc?lat=30.0444&amp;lon=31.2357&amp;peakpower=1&amp;loss=14&amp;angle=15&amp;aspect=30&amp;outputformat=json&amp;raddatabase=PVGIS-SARAH3&amp;pvtechchoice=crystSi&amp;mountingplace=free&amp;usehorizon=1</v>
      </c>
    </row>
    <row r="1145">
      <c r="A1145" t="n">
        <v>15</v>
      </c>
      <c r="B1145" t="n">
        <v>210</v>
      </c>
      <c r="C1145" t="n">
        <v>8</v>
      </c>
      <c r="D1145" s="218" t="n">
        <v>173.9</v>
      </c>
      <c r="E1145" s="218" t="n">
        <v>5.61</v>
      </c>
      <c r="F1145" t="str">
        <v>https://re.jrc.ec.europa.eu/api/v5_3/PVcalc?lat=30.0444&amp;lon=31.2357&amp;peakpower=1&amp;loss=14&amp;angle=15&amp;aspect=30&amp;outputformat=json&amp;raddatabase=PVGIS-SARAH3&amp;pvtechchoice=crystSi&amp;mountingplace=free&amp;usehorizon=1</v>
      </c>
    </row>
    <row r="1146">
      <c r="A1146" t="n">
        <v>15</v>
      </c>
      <c r="B1146" t="n">
        <v>210</v>
      </c>
      <c r="C1146" t="n">
        <v>9</v>
      </c>
      <c r="D1146" s="218" t="n">
        <v>156.97</v>
      </c>
      <c r="E1146" s="218" t="n">
        <v>5.23</v>
      </c>
      <c r="F1146" t="str">
        <v>https://re.jrc.ec.europa.eu/api/v5_3/PVcalc?lat=30.0444&amp;lon=31.2357&amp;peakpower=1&amp;loss=14&amp;angle=15&amp;aspect=30&amp;outputformat=json&amp;raddatabase=PVGIS-SARAH3&amp;pvtechchoice=crystSi&amp;mountingplace=free&amp;usehorizon=1</v>
      </c>
    </row>
    <row r="1147">
      <c r="A1147" t="n">
        <v>15</v>
      </c>
      <c r="B1147" t="n">
        <v>210</v>
      </c>
      <c r="C1147" t="n">
        <v>10</v>
      </c>
      <c r="D1147" s="218" t="n">
        <v>139.62</v>
      </c>
      <c r="E1147" s="218" t="n">
        <v>4.5</v>
      </c>
      <c r="F1147" t="str">
        <v>https://re.jrc.ec.europa.eu/api/v5_3/PVcalc?lat=30.0444&amp;lon=31.2357&amp;peakpower=1&amp;loss=14&amp;angle=15&amp;aspect=30&amp;outputformat=json&amp;raddatabase=PVGIS-SARAH3&amp;pvtechchoice=crystSi&amp;mountingplace=free&amp;usehorizon=1</v>
      </c>
    </row>
    <row r="1148">
      <c r="A1148" t="n">
        <v>15</v>
      </c>
      <c r="B1148" t="n">
        <v>210</v>
      </c>
      <c r="C1148" t="n">
        <v>11</v>
      </c>
      <c r="D1148" s="218" t="n">
        <v>115.66</v>
      </c>
      <c r="E1148" s="218" t="n">
        <v>3.86</v>
      </c>
      <c r="F1148" t="str">
        <v>https://re.jrc.ec.europa.eu/api/v5_3/PVcalc?lat=30.0444&amp;lon=31.2357&amp;peakpower=1&amp;loss=14&amp;angle=15&amp;aspect=30&amp;outputformat=json&amp;raddatabase=PVGIS-SARAH3&amp;pvtechchoice=crystSi&amp;mountingplace=free&amp;usehorizon=1</v>
      </c>
    </row>
    <row r="1149">
      <c r="A1149" t="n">
        <v>15</v>
      </c>
      <c r="B1149" t="n">
        <v>210</v>
      </c>
      <c r="C1149" t="n">
        <v>12</v>
      </c>
      <c r="D1149" s="218" t="n">
        <v>106.67</v>
      </c>
      <c r="E1149" s="218" t="n">
        <v>3.44</v>
      </c>
      <c r="F1149" t="str">
        <v>https://re.jrc.ec.europa.eu/api/v5_3/PVcalc?lat=30.0444&amp;lon=31.2357&amp;peakpower=1&amp;loss=14&amp;angle=15&amp;aspect=30&amp;outputformat=json&amp;raddatabase=PVGIS-SARAH3&amp;pvtechchoice=crystSi&amp;mountingplace=free&amp;usehorizon=1</v>
      </c>
    </row>
    <row r="1150">
      <c r="A1150" t="n">
        <v>15</v>
      </c>
      <c r="B1150" t="n">
        <v>225</v>
      </c>
      <c r="C1150" t="n">
        <v>1</v>
      </c>
      <c r="D1150" s="218" t="n">
        <v>105.31</v>
      </c>
      <c r="E1150" s="218" t="n">
        <v>3.4</v>
      </c>
      <c r="F1150" t="str">
        <v>https://re.jrc.ec.europa.eu/api/v5_3/PVcalc?lat=30.0444&amp;lon=31.2357&amp;peakpower=1&amp;loss=14&amp;angle=15&amp;aspect=45&amp;outputformat=json&amp;raddatabase=PVGIS-SARAH3&amp;pvtechchoice=crystSi&amp;mountingplace=free&amp;usehorizon=1</v>
      </c>
    </row>
    <row r="1151">
      <c r="A1151" t="n">
        <v>15</v>
      </c>
      <c r="B1151" t="n">
        <v>225</v>
      </c>
      <c r="C1151" t="n">
        <v>2</v>
      </c>
      <c r="D1151" s="218" t="n">
        <v>110.95</v>
      </c>
      <c r="E1151" s="218" t="n">
        <v>3.96</v>
      </c>
      <c r="F1151" t="str">
        <v>https://re.jrc.ec.europa.eu/api/v5_3/PVcalc?lat=30.0444&amp;lon=31.2357&amp;peakpower=1&amp;loss=14&amp;angle=15&amp;aspect=45&amp;outputformat=json&amp;raddatabase=PVGIS-SARAH3&amp;pvtechchoice=crystSi&amp;mountingplace=free&amp;usehorizon=1</v>
      </c>
    </row>
    <row r="1152">
      <c r="A1152" t="n">
        <v>15</v>
      </c>
      <c r="B1152" t="n">
        <v>225</v>
      </c>
      <c r="C1152" t="n">
        <v>3</v>
      </c>
      <c r="D1152" s="218" t="n">
        <v>150.01</v>
      </c>
      <c r="E1152" s="218" t="n">
        <v>4.84</v>
      </c>
      <c r="F1152" t="str">
        <v>https://re.jrc.ec.europa.eu/api/v5_3/PVcalc?lat=30.0444&amp;lon=31.2357&amp;peakpower=1&amp;loss=14&amp;angle=15&amp;aspect=45&amp;outputformat=json&amp;raddatabase=PVGIS-SARAH3&amp;pvtechchoice=crystSi&amp;mountingplace=free&amp;usehorizon=1</v>
      </c>
    </row>
    <row r="1153">
      <c r="A1153" t="n">
        <v>15</v>
      </c>
      <c r="B1153" t="n">
        <v>225</v>
      </c>
      <c r="C1153" t="n">
        <v>4</v>
      </c>
      <c r="D1153" s="218" t="n">
        <v>162.03</v>
      </c>
      <c r="E1153" s="218" t="n">
        <v>5.4</v>
      </c>
      <c r="F1153" t="str">
        <v>https://re.jrc.ec.europa.eu/api/v5_3/PVcalc?lat=30.0444&amp;lon=31.2357&amp;peakpower=1&amp;loss=14&amp;angle=15&amp;aspect=45&amp;outputformat=json&amp;raddatabase=PVGIS-SARAH3&amp;pvtechchoice=crystSi&amp;mountingplace=free&amp;usehorizon=1</v>
      </c>
    </row>
    <row r="1154">
      <c r="A1154" t="n">
        <v>15</v>
      </c>
      <c r="B1154" t="n">
        <v>225</v>
      </c>
      <c r="C1154" t="n">
        <v>5</v>
      </c>
      <c r="D1154" s="218" t="n">
        <v>174.17</v>
      </c>
      <c r="E1154" s="218" t="n">
        <v>5.62</v>
      </c>
      <c r="F1154" t="str">
        <v>https://re.jrc.ec.europa.eu/api/v5_3/PVcalc?lat=30.0444&amp;lon=31.2357&amp;peakpower=1&amp;loss=14&amp;angle=15&amp;aspect=45&amp;outputformat=json&amp;raddatabase=PVGIS-SARAH3&amp;pvtechchoice=crystSi&amp;mountingplace=free&amp;usehorizon=1</v>
      </c>
    </row>
    <row r="1155">
      <c r="A1155" t="n">
        <v>15</v>
      </c>
      <c r="B1155" t="n">
        <v>225</v>
      </c>
      <c r="C1155" t="n">
        <v>6</v>
      </c>
      <c r="D1155" s="218" t="n">
        <v>176.58</v>
      </c>
      <c r="E1155" s="218" t="n">
        <v>5.89</v>
      </c>
      <c r="F1155" t="str">
        <v>https://re.jrc.ec.europa.eu/api/v5_3/PVcalc?lat=30.0444&amp;lon=31.2357&amp;peakpower=1&amp;loss=14&amp;angle=15&amp;aspect=45&amp;outputformat=json&amp;raddatabase=PVGIS-SARAH3&amp;pvtechchoice=crystSi&amp;mountingplace=free&amp;usehorizon=1</v>
      </c>
    </row>
    <row r="1156">
      <c r="A1156" t="n">
        <v>15</v>
      </c>
      <c r="B1156" t="n">
        <v>225</v>
      </c>
      <c r="C1156" t="n">
        <v>7</v>
      </c>
      <c r="D1156" s="218" t="n">
        <v>181.46</v>
      </c>
      <c r="E1156" s="218" t="n">
        <v>5.85</v>
      </c>
      <c r="F1156" t="str">
        <v>https://re.jrc.ec.europa.eu/api/v5_3/PVcalc?lat=30.0444&amp;lon=31.2357&amp;peakpower=1&amp;loss=14&amp;angle=15&amp;aspect=45&amp;outputformat=json&amp;raddatabase=PVGIS-SARAH3&amp;pvtechchoice=crystSi&amp;mountingplace=free&amp;usehorizon=1</v>
      </c>
    </row>
    <row r="1157">
      <c r="A1157" t="n">
        <v>15</v>
      </c>
      <c r="B1157" t="n">
        <v>225</v>
      </c>
      <c r="C1157" t="n">
        <v>8</v>
      </c>
      <c r="D1157" s="218" t="n">
        <v>173.58</v>
      </c>
      <c r="E1157" s="218" t="n">
        <v>5.6</v>
      </c>
      <c r="F1157" t="str">
        <v>https://re.jrc.ec.europa.eu/api/v5_3/PVcalc?lat=30.0444&amp;lon=31.2357&amp;peakpower=1&amp;loss=14&amp;angle=15&amp;aspect=45&amp;outputformat=json&amp;raddatabase=PVGIS-SARAH3&amp;pvtechchoice=crystSi&amp;mountingplace=free&amp;usehorizon=1</v>
      </c>
    </row>
    <row r="1158">
      <c r="A1158" t="n">
        <v>15</v>
      </c>
      <c r="B1158" t="n">
        <v>225</v>
      </c>
      <c r="C1158" t="n">
        <v>9</v>
      </c>
      <c r="D1158" s="218" t="n">
        <v>155.03</v>
      </c>
      <c r="E1158" s="218" t="n">
        <v>5.17</v>
      </c>
      <c r="F1158" t="str">
        <v>https://re.jrc.ec.europa.eu/api/v5_3/PVcalc?lat=30.0444&amp;lon=31.2357&amp;peakpower=1&amp;loss=14&amp;angle=15&amp;aspect=45&amp;outputformat=json&amp;raddatabase=PVGIS-SARAH3&amp;pvtechchoice=crystSi&amp;mountingplace=free&amp;usehorizon=1</v>
      </c>
    </row>
    <row r="1159">
      <c r="A1159" t="n">
        <v>15</v>
      </c>
      <c r="B1159" t="n">
        <v>225</v>
      </c>
      <c r="C1159" t="n">
        <v>10</v>
      </c>
      <c r="D1159" s="218" t="n">
        <v>136.02</v>
      </c>
      <c r="E1159" s="218" t="n">
        <v>4.39</v>
      </c>
      <c r="F1159" t="str">
        <v>https://re.jrc.ec.europa.eu/api/v5_3/PVcalc?lat=30.0444&amp;lon=31.2357&amp;peakpower=1&amp;loss=14&amp;angle=15&amp;aspect=45&amp;outputformat=json&amp;raddatabase=PVGIS-SARAH3&amp;pvtechchoice=crystSi&amp;mountingplace=free&amp;usehorizon=1</v>
      </c>
    </row>
    <row r="1160">
      <c r="A1160" t="n">
        <v>15</v>
      </c>
      <c r="B1160" t="n">
        <v>225</v>
      </c>
      <c r="C1160" t="n">
        <v>11</v>
      </c>
      <c r="D1160" s="218" t="n">
        <v>111.3</v>
      </c>
      <c r="E1160" s="218" t="n">
        <v>3.71</v>
      </c>
      <c r="F1160" t="str">
        <v>https://re.jrc.ec.europa.eu/api/v5_3/PVcalc?lat=30.0444&amp;lon=31.2357&amp;peakpower=1&amp;loss=14&amp;angle=15&amp;aspect=45&amp;outputformat=json&amp;raddatabase=PVGIS-SARAH3&amp;pvtechchoice=crystSi&amp;mountingplace=free&amp;usehorizon=1</v>
      </c>
    </row>
    <row r="1161">
      <c r="A1161" t="n">
        <v>15</v>
      </c>
      <c r="B1161" t="n">
        <v>225</v>
      </c>
      <c r="C1161" t="n">
        <v>12</v>
      </c>
      <c r="D1161" s="218" t="n">
        <v>102.03</v>
      </c>
      <c r="E1161" s="218" t="n">
        <v>3.29</v>
      </c>
      <c r="F1161" t="str">
        <v>https://re.jrc.ec.europa.eu/api/v5_3/PVcalc?lat=30.0444&amp;lon=31.2357&amp;peakpower=1&amp;loss=14&amp;angle=15&amp;aspect=45&amp;outputformat=json&amp;raddatabase=PVGIS-SARAH3&amp;pvtechchoice=crystSi&amp;mountingplace=free&amp;usehorizon=1</v>
      </c>
    </row>
    <row r="1162">
      <c r="A1162" t="n">
        <v>15</v>
      </c>
      <c r="B1162" t="n">
        <v>240</v>
      </c>
      <c r="C1162" t="n">
        <v>1</v>
      </c>
      <c r="D1162" s="218" t="n">
        <v>99.6</v>
      </c>
      <c r="E1162" s="218" t="n">
        <v>3.21</v>
      </c>
      <c r="F1162" t="str">
        <v>https://re.jrc.ec.europa.eu/api/v5_3/PVcalc?lat=30.0444&amp;lon=31.2357&amp;peakpower=1&amp;loss=14&amp;angle=15&amp;aspect=60&amp;outputformat=json&amp;raddatabase=PVGIS-SARAH3&amp;pvtechchoice=crystSi&amp;mountingplace=free&amp;usehorizon=1</v>
      </c>
    </row>
    <row r="1163">
      <c r="A1163" t="n">
        <v>15</v>
      </c>
      <c r="B1163" t="n">
        <v>240</v>
      </c>
      <c r="C1163" t="n">
        <v>2</v>
      </c>
      <c r="D1163" s="218" t="n">
        <v>106.66</v>
      </c>
      <c r="E1163" s="218" t="n">
        <v>3.81</v>
      </c>
      <c r="F1163" t="str">
        <v>https://re.jrc.ec.europa.eu/api/v5_3/PVcalc?lat=30.0444&amp;lon=31.2357&amp;peakpower=1&amp;loss=14&amp;angle=15&amp;aspect=60&amp;outputformat=json&amp;raddatabase=PVGIS-SARAH3&amp;pvtechchoice=crystSi&amp;mountingplace=free&amp;usehorizon=1</v>
      </c>
    </row>
    <row r="1164">
      <c r="A1164" t="n">
        <v>15</v>
      </c>
      <c r="B1164" t="n">
        <v>240</v>
      </c>
      <c r="C1164" t="n">
        <v>3</v>
      </c>
      <c r="D1164" s="218" t="n">
        <v>146.58</v>
      </c>
      <c r="E1164" s="218" t="n">
        <v>4.73</v>
      </c>
      <c r="F1164" t="str">
        <v>https://re.jrc.ec.europa.eu/api/v5_3/PVcalc?lat=30.0444&amp;lon=31.2357&amp;peakpower=1&amp;loss=14&amp;angle=15&amp;aspect=60&amp;outputformat=json&amp;raddatabase=PVGIS-SARAH3&amp;pvtechchoice=crystSi&amp;mountingplace=free&amp;usehorizon=1</v>
      </c>
    </row>
    <row r="1165">
      <c r="A1165" t="n">
        <v>15</v>
      </c>
      <c r="B1165" t="n">
        <v>240</v>
      </c>
      <c r="C1165" t="n">
        <v>4</v>
      </c>
      <c r="D1165" s="218" t="n">
        <v>160.3</v>
      </c>
      <c r="E1165" s="218" t="n">
        <v>5.34</v>
      </c>
      <c r="F1165" t="str">
        <v>https://re.jrc.ec.europa.eu/api/v5_3/PVcalc?lat=30.0444&amp;lon=31.2357&amp;peakpower=1&amp;loss=14&amp;angle=15&amp;aspect=60&amp;outputformat=json&amp;raddatabase=PVGIS-SARAH3&amp;pvtechchoice=crystSi&amp;mountingplace=free&amp;usehorizon=1</v>
      </c>
    </row>
    <row r="1166">
      <c r="A1166" t="n">
        <v>15</v>
      </c>
      <c r="B1166" t="n">
        <v>240</v>
      </c>
      <c r="C1166" t="n">
        <v>5</v>
      </c>
      <c r="D1166" s="218" t="n">
        <v>174.24</v>
      </c>
      <c r="E1166" s="218" t="n">
        <v>5.62</v>
      </c>
      <c r="F1166" t="str">
        <v>https://re.jrc.ec.europa.eu/api/v5_3/PVcalc?lat=30.0444&amp;lon=31.2357&amp;peakpower=1&amp;loss=14&amp;angle=15&amp;aspect=60&amp;outputformat=json&amp;raddatabase=PVGIS-SARAH3&amp;pvtechchoice=crystSi&amp;mountingplace=free&amp;usehorizon=1</v>
      </c>
    </row>
    <row r="1167">
      <c r="A1167" t="n">
        <v>15</v>
      </c>
      <c r="B1167" t="n">
        <v>240</v>
      </c>
      <c r="C1167" t="n">
        <v>6</v>
      </c>
      <c r="D1167" s="218" t="n">
        <v>177.89</v>
      </c>
      <c r="E1167" s="218" t="n">
        <v>5.93</v>
      </c>
      <c r="F1167" t="str">
        <v>https://re.jrc.ec.europa.eu/api/v5_3/PVcalc?lat=30.0444&amp;lon=31.2357&amp;peakpower=1&amp;loss=14&amp;angle=15&amp;aspect=60&amp;outputformat=json&amp;raddatabase=PVGIS-SARAH3&amp;pvtechchoice=crystSi&amp;mountingplace=free&amp;usehorizon=1</v>
      </c>
    </row>
    <row r="1168">
      <c r="A1168" t="n">
        <v>15</v>
      </c>
      <c r="B1168" t="n">
        <v>240</v>
      </c>
      <c r="C1168" t="n">
        <v>7</v>
      </c>
      <c r="D1168" s="218" t="n">
        <v>182.21</v>
      </c>
      <c r="E1168" s="218" t="n">
        <v>5.88</v>
      </c>
      <c r="F1168" t="str">
        <v>https://re.jrc.ec.europa.eu/api/v5_3/PVcalc?lat=30.0444&amp;lon=31.2357&amp;peakpower=1&amp;loss=14&amp;angle=15&amp;aspect=60&amp;outputformat=json&amp;raddatabase=PVGIS-SARAH3&amp;pvtechchoice=crystSi&amp;mountingplace=free&amp;usehorizon=1</v>
      </c>
    </row>
    <row r="1169">
      <c r="A1169" t="n">
        <v>15</v>
      </c>
      <c r="B1169" t="n">
        <v>240</v>
      </c>
      <c r="C1169" t="n">
        <v>8</v>
      </c>
      <c r="D1169" s="218" t="n">
        <v>172.71</v>
      </c>
      <c r="E1169" s="218" t="n">
        <v>5.57</v>
      </c>
      <c r="F1169" t="str">
        <v>https://re.jrc.ec.europa.eu/api/v5_3/PVcalc?lat=30.0444&amp;lon=31.2357&amp;peakpower=1&amp;loss=14&amp;angle=15&amp;aspect=60&amp;outputformat=json&amp;raddatabase=PVGIS-SARAH3&amp;pvtechchoice=crystSi&amp;mountingplace=free&amp;usehorizon=1</v>
      </c>
    </row>
    <row r="1170">
      <c r="A1170" t="n">
        <v>15</v>
      </c>
      <c r="B1170" t="n">
        <v>240</v>
      </c>
      <c r="C1170" t="n">
        <v>9</v>
      </c>
      <c r="D1170" s="218" t="n">
        <v>152.21</v>
      </c>
      <c r="E1170" s="218" t="n">
        <v>5.07</v>
      </c>
      <c r="F1170" t="str">
        <v>https://re.jrc.ec.europa.eu/api/v5_3/PVcalc?lat=30.0444&amp;lon=31.2357&amp;peakpower=1&amp;loss=14&amp;angle=15&amp;aspect=60&amp;outputformat=json&amp;raddatabase=PVGIS-SARAH3&amp;pvtechchoice=crystSi&amp;mountingplace=free&amp;usehorizon=1</v>
      </c>
    </row>
    <row r="1171">
      <c r="A1171" t="n">
        <v>15</v>
      </c>
      <c r="B1171" t="n">
        <v>240</v>
      </c>
      <c r="C1171" t="n">
        <v>10</v>
      </c>
      <c r="D1171" s="218" t="n">
        <v>131.32</v>
      </c>
      <c r="E1171" s="218" t="n">
        <v>4.24</v>
      </c>
      <c r="F1171" t="str">
        <v>https://re.jrc.ec.europa.eu/api/v5_3/PVcalc?lat=30.0444&amp;lon=31.2357&amp;peakpower=1&amp;loss=14&amp;angle=15&amp;aspect=60&amp;outputformat=json&amp;raddatabase=PVGIS-SARAH3&amp;pvtechchoice=crystSi&amp;mountingplace=free&amp;usehorizon=1</v>
      </c>
    </row>
    <row r="1172">
      <c r="A1172" t="n">
        <v>15</v>
      </c>
      <c r="B1172" t="n">
        <v>240</v>
      </c>
      <c r="C1172" t="n">
        <v>11</v>
      </c>
      <c r="D1172" s="218" t="n">
        <v>105.81</v>
      </c>
      <c r="E1172" s="218" t="n">
        <v>3.53</v>
      </c>
      <c r="F1172" t="str">
        <v>https://re.jrc.ec.europa.eu/api/v5_3/PVcalc?lat=30.0444&amp;lon=31.2357&amp;peakpower=1&amp;loss=14&amp;angle=15&amp;aspect=60&amp;outputformat=json&amp;raddatabase=PVGIS-SARAH3&amp;pvtechchoice=crystSi&amp;mountingplace=free&amp;usehorizon=1</v>
      </c>
    </row>
    <row r="1173">
      <c r="A1173" t="n">
        <v>15</v>
      </c>
      <c r="B1173" t="n">
        <v>240</v>
      </c>
      <c r="C1173" t="n">
        <v>12</v>
      </c>
      <c r="D1173" s="218" t="n">
        <v>96.13</v>
      </c>
      <c r="E1173" s="218" t="n">
        <v>3.1</v>
      </c>
      <c r="F1173" t="str">
        <v>https://re.jrc.ec.europa.eu/api/v5_3/PVcalc?lat=30.0444&amp;lon=31.2357&amp;peakpower=1&amp;loss=14&amp;angle=15&amp;aspect=60&amp;outputformat=json&amp;raddatabase=PVGIS-SARAH3&amp;pvtechchoice=crystSi&amp;mountingplace=free&amp;usehorizon=1</v>
      </c>
    </row>
    <row r="1174">
      <c r="A1174" t="n">
        <v>15</v>
      </c>
      <c r="B1174" t="n">
        <v>255</v>
      </c>
      <c r="C1174" t="n">
        <v>1</v>
      </c>
      <c r="D1174" s="218" t="n">
        <v>93.04</v>
      </c>
      <c r="E1174" s="218" t="n">
        <v>3</v>
      </c>
      <c r="F1174" t="str">
        <v>https://re.jrc.ec.europa.eu/api/v5_3/PVcalc?lat=30.0444&amp;lon=31.2357&amp;peakpower=1&amp;loss=14&amp;angle=15&amp;aspect=75&amp;outputformat=json&amp;raddatabase=PVGIS-SARAH3&amp;pvtechchoice=crystSi&amp;mountingplace=free&amp;usehorizon=1</v>
      </c>
    </row>
    <row r="1175">
      <c r="A1175" t="n">
        <v>15</v>
      </c>
      <c r="B1175" t="n">
        <v>255</v>
      </c>
      <c r="C1175" t="n">
        <v>2</v>
      </c>
      <c r="D1175" s="218" t="n">
        <v>101.63</v>
      </c>
      <c r="E1175" s="218" t="n">
        <v>3.63</v>
      </c>
      <c r="F1175" t="str">
        <v>https://re.jrc.ec.europa.eu/api/v5_3/PVcalc?lat=30.0444&amp;lon=31.2357&amp;peakpower=1&amp;loss=14&amp;angle=15&amp;aspect=75&amp;outputformat=json&amp;raddatabase=PVGIS-SARAH3&amp;pvtechchoice=crystSi&amp;mountingplace=free&amp;usehorizon=1</v>
      </c>
    </row>
    <row r="1176">
      <c r="A1176" t="n">
        <v>15</v>
      </c>
      <c r="B1176" t="n">
        <v>255</v>
      </c>
      <c r="C1176" t="n">
        <v>3</v>
      </c>
      <c r="D1176" s="218" t="n">
        <v>142.52</v>
      </c>
      <c r="E1176" s="218" t="n">
        <v>4.6</v>
      </c>
      <c r="F1176" t="str">
        <v>https://re.jrc.ec.europa.eu/api/v5_3/PVcalc?lat=30.0444&amp;lon=31.2357&amp;peakpower=1&amp;loss=14&amp;angle=15&amp;aspect=75&amp;outputformat=json&amp;raddatabase=PVGIS-SARAH3&amp;pvtechchoice=crystSi&amp;mountingplace=free&amp;usehorizon=1</v>
      </c>
    </row>
    <row r="1177">
      <c r="A1177" t="n">
        <v>15</v>
      </c>
      <c r="B1177" t="n">
        <v>255</v>
      </c>
      <c r="C1177" t="n">
        <v>4</v>
      </c>
      <c r="D1177" s="218" t="n">
        <v>158.14</v>
      </c>
      <c r="E1177" s="218" t="n">
        <v>5.27</v>
      </c>
      <c r="F1177" t="str">
        <v>https://re.jrc.ec.europa.eu/api/v5_3/PVcalc?lat=30.0444&amp;lon=31.2357&amp;peakpower=1&amp;loss=14&amp;angle=15&amp;aspect=75&amp;outputformat=json&amp;raddatabase=PVGIS-SARAH3&amp;pvtechchoice=crystSi&amp;mountingplace=free&amp;usehorizon=1</v>
      </c>
    </row>
    <row r="1178">
      <c r="A1178" t="n">
        <v>15</v>
      </c>
      <c r="B1178" t="n">
        <v>255</v>
      </c>
      <c r="C1178" t="n">
        <v>5</v>
      </c>
      <c r="D1178" s="218" t="n">
        <v>173.9</v>
      </c>
      <c r="E1178" s="218" t="n">
        <v>5.61</v>
      </c>
      <c r="F1178" t="str">
        <v>https://re.jrc.ec.europa.eu/api/v5_3/PVcalc?lat=30.0444&amp;lon=31.2357&amp;peakpower=1&amp;loss=14&amp;angle=15&amp;aspect=75&amp;outputformat=json&amp;raddatabase=PVGIS-SARAH3&amp;pvtechchoice=crystSi&amp;mountingplace=free&amp;usehorizon=1</v>
      </c>
    </row>
    <row r="1179">
      <c r="A1179" t="n">
        <v>15</v>
      </c>
      <c r="B1179" t="n">
        <v>255</v>
      </c>
      <c r="C1179" t="n">
        <v>6</v>
      </c>
      <c r="D1179" s="218" t="n">
        <v>178.72</v>
      </c>
      <c r="E1179" s="218" t="n">
        <v>5.96</v>
      </c>
      <c r="F1179" t="str">
        <v>https://re.jrc.ec.europa.eu/api/v5_3/PVcalc?lat=30.0444&amp;lon=31.2357&amp;peakpower=1&amp;loss=14&amp;angle=15&amp;aspect=75&amp;outputformat=json&amp;raddatabase=PVGIS-SARAH3&amp;pvtechchoice=crystSi&amp;mountingplace=free&amp;usehorizon=1</v>
      </c>
    </row>
    <row r="1180">
      <c r="A1180" t="n">
        <v>15</v>
      </c>
      <c r="B1180" t="n">
        <v>255</v>
      </c>
      <c r="C1180" t="n">
        <v>7</v>
      </c>
      <c r="D1180" s="218" t="n">
        <v>182.68</v>
      </c>
      <c r="E1180" s="218" t="n">
        <v>5.89</v>
      </c>
      <c r="F1180" t="str">
        <v>https://re.jrc.ec.europa.eu/api/v5_3/PVcalc?lat=30.0444&amp;lon=31.2357&amp;peakpower=1&amp;loss=14&amp;angle=15&amp;aspect=75&amp;outputformat=json&amp;raddatabase=PVGIS-SARAH3&amp;pvtechchoice=crystSi&amp;mountingplace=free&amp;usehorizon=1</v>
      </c>
    </row>
    <row r="1181">
      <c r="A1181" t="n">
        <v>15</v>
      </c>
      <c r="B1181" t="n">
        <v>255</v>
      </c>
      <c r="C1181" t="n">
        <v>8</v>
      </c>
      <c r="D1181" s="218" t="n">
        <v>171.39</v>
      </c>
      <c r="E1181" s="218" t="n">
        <v>5.53</v>
      </c>
      <c r="F1181" t="str">
        <v>https://re.jrc.ec.europa.eu/api/v5_3/PVcalc?lat=30.0444&amp;lon=31.2357&amp;peakpower=1&amp;loss=14&amp;angle=15&amp;aspect=75&amp;outputformat=json&amp;raddatabase=PVGIS-SARAH3&amp;pvtechchoice=crystSi&amp;mountingplace=free&amp;usehorizon=1</v>
      </c>
    </row>
    <row r="1182">
      <c r="A1182" t="n">
        <v>15</v>
      </c>
      <c r="B1182" t="n">
        <v>255</v>
      </c>
      <c r="C1182" t="n">
        <v>9</v>
      </c>
      <c r="D1182" s="218" t="n">
        <v>148.72</v>
      </c>
      <c r="E1182" s="218" t="n">
        <v>4.96</v>
      </c>
      <c r="F1182" t="str">
        <v>https://re.jrc.ec.europa.eu/api/v5_3/PVcalc?lat=30.0444&amp;lon=31.2357&amp;peakpower=1&amp;loss=14&amp;angle=15&amp;aspect=75&amp;outputformat=json&amp;raddatabase=PVGIS-SARAH3&amp;pvtechchoice=crystSi&amp;mountingplace=free&amp;usehorizon=1</v>
      </c>
    </row>
    <row r="1183">
      <c r="A1183" t="n">
        <v>15</v>
      </c>
      <c r="B1183" t="n">
        <v>255</v>
      </c>
      <c r="C1183" t="n">
        <v>10</v>
      </c>
      <c r="D1183" s="218" t="n">
        <v>125.87</v>
      </c>
      <c r="E1183" s="218" t="n">
        <v>4.06</v>
      </c>
      <c r="F1183" t="str">
        <v>https://re.jrc.ec.europa.eu/api/v5_3/PVcalc?lat=30.0444&amp;lon=31.2357&amp;peakpower=1&amp;loss=14&amp;angle=15&amp;aspect=75&amp;outputformat=json&amp;raddatabase=PVGIS-SARAH3&amp;pvtechchoice=crystSi&amp;mountingplace=free&amp;usehorizon=1</v>
      </c>
    </row>
    <row r="1184">
      <c r="A1184" t="n">
        <v>15</v>
      </c>
      <c r="B1184" t="n">
        <v>255</v>
      </c>
      <c r="C1184" t="n">
        <v>11</v>
      </c>
      <c r="D1184" s="218" t="n">
        <v>99.58</v>
      </c>
      <c r="E1184" s="218" t="n">
        <v>3.32</v>
      </c>
      <c r="F1184" t="str">
        <v>https://re.jrc.ec.europa.eu/api/v5_3/PVcalc?lat=30.0444&amp;lon=31.2357&amp;peakpower=1&amp;loss=14&amp;angle=15&amp;aspect=75&amp;outputformat=json&amp;raddatabase=PVGIS-SARAH3&amp;pvtechchoice=crystSi&amp;mountingplace=free&amp;usehorizon=1</v>
      </c>
    </row>
    <row r="1185">
      <c r="A1185" t="n">
        <v>15</v>
      </c>
      <c r="B1185" t="n">
        <v>255</v>
      </c>
      <c r="C1185" t="n">
        <v>12</v>
      </c>
      <c r="D1185" s="218" t="n">
        <v>89.22</v>
      </c>
      <c r="E1185" s="218" t="n">
        <v>2.88</v>
      </c>
      <c r="F1185" t="str">
        <v>https://re.jrc.ec.europa.eu/api/v5_3/PVcalc?lat=30.0444&amp;lon=31.2357&amp;peakpower=1&amp;loss=14&amp;angle=15&amp;aspect=75&amp;outputformat=json&amp;raddatabase=PVGIS-SARAH3&amp;pvtechchoice=crystSi&amp;mountingplace=free&amp;usehorizon=1</v>
      </c>
    </row>
    <row r="1186">
      <c r="A1186" t="n">
        <v>15</v>
      </c>
      <c r="B1186" t="n">
        <v>270</v>
      </c>
      <c r="C1186" t="n">
        <v>1</v>
      </c>
      <c r="D1186" s="218" t="n">
        <v>86.07</v>
      </c>
      <c r="E1186" s="218" t="n">
        <v>2.78</v>
      </c>
      <c r="F1186" t="str">
        <v>https://re.jrc.ec.europa.eu/api/v5_3/PVcalc?lat=30.0444&amp;lon=31.2357&amp;peakpower=1&amp;loss=14&amp;angle=15&amp;aspect=90&amp;outputformat=json&amp;raddatabase=PVGIS-SARAH3&amp;pvtechchoice=crystSi&amp;mountingplace=free&amp;usehorizon=1</v>
      </c>
    </row>
    <row r="1187">
      <c r="A1187" t="n">
        <v>15</v>
      </c>
      <c r="B1187" t="n">
        <v>270</v>
      </c>
      <c r="C1187" t="n">
        <v>2</v>
      </c>
      <c r="D1187" s="218" t="n">
        <v>96.21</v>
      </c>
      <c r="E1187" s="218" t="n">
        <v>3.44</v>
      </c>
      <c r="F1187" t="str">
        <v>https://re.jrc.ec.europa.eu/api/v5_3/PVcalc?lat=30.0444&amp;lon=31.2357&amp;peakpower=1&amp;loss=14&amp;angle=15&amp;aspect=90&amp;outputformat=json&amp;raddatabase=PVGIS-SARAH3&amp;pvtechchoice=crystSi&amp;mountingplace=free&amp;usehorizon=1</v>
      </c>
    </row>
    <row r="1188">
      <c r="A1188" t="n">
        <v>15</v>
      </c>
      <c r="B1188" t="n">
        <v>270</v>
      </c>
      <c r="C1188" t="n">
        <v>3</v>
      </c>
      <c r="D1188" s="218" t="n">
        <v>137.95</v>
      </c>
      <c r="E1188" s="218" t="n">
        <v>4.45</v>
      </c>
      <c r="F1188" t="str">
        <v>https://re.jrc.ec.europa.eu/api/v5_3/PVcalc?lat=30.0444&amp;lon=31.2357&amp;peakpower=1&amp;loss=14&amp;angle=15&amp;aspect=90&amp;outputformat=json&amp;raddatabase=PVGIS-SARAH3&amp;pvtechchoice=crystSi&amp;mountingplace=free&amp;usehorizon=1</v>
      </c>
    </row>
    <row r="1189">
      <c r="A1189" t="n">
        <v>15</v>
      </c>
      <c r="B1189" t="n">
        <v>270</v>
      </c>
      <c r="C1189" t="n">
        <v>4</v>
      </c>
      <c r="D1189" s="218" t="n">
        <v>155.71</v>
      </c>
      <c r="E1189" s="218" t="n">
        <v>5.19</v>
      </c>
      <c r="F1189" t="str">
        <v>https://re.jrc.ec.europa.eu/api/v5_3/PVcalc?lat=30.0444&amp;lon=31.2357&amp;peakpower=1&amp;loss=14&amp;angle=15&amp;aspect=90&amp;outputformat=json&amp;raddatabase=PVGIS-SARAH3&amp;pvtechchoice=crystSi&amp;mountingplace=free&amp;usehorizon=1</v>
      </c>
    </row>
    <row r="1190">
      <c r="A1190" t="n">
        <v>15</v>
      </c>
      <c r="B1190" t="n">
        <v>270</v>
      </c>
      <c r="C1190" t="n">
        <v>5</v>
      </c>
      <c r="D1190" s="218" t="n">
        <v>173.37</v>
      </c>
      <c r="E1190" s="218" t="n">
        <v>5.59</v>
      </c>
      <c r="F1190" t="str">
        <v>https://re.jrc.ec.europa.eu/api/v5_3/PVcalc?lat=30.0444&amp;lon=31.2357&amp;peakpower=1&amp;loss=14&amp;angle=15&amp;aspect=90&amp;outputformat=json&amp;raddatabase=PVGIS-SARAH3&amp;pvtechchoice=crystSi&amp;mountingplace=free&amp;usehorizon=1</v>
      </c>
    </row>
    <row r="1191">
      <c r="A1191" t="n">
        <v>15</v>
      </c>
      <c r="B1191" t="n">
        <v>270</v>
      </c>
      <c r="C1191" t="n">
        <v>6</v>
      </c>
      <c r="D1191" s="218" t="n">
        <v>179.2</v>
      </c>
      <c r="E1191" s="218" t="n">
        <v>5.97</v>
      </c>
      <c r="F1191" t="str">
        <v>https://re.jrc.ec.europa.eu/api/v5_3/PVcalc?lat=30.0444&amp;lon=31.2357&amp;peakpower=1&amp;loss=14&amp;angle=15&amp;aspect=90&amp;outputformat=json&amp;raddatabase=PVGIS-SARAH3&amp;pvtechchoice=crystSi&amp;mountingplace=free&amp;usehorizon=1</v>
      </c>
    </row>
    <row r="1192">
      <c r="A1192" t="n">
        <v>15</v>
      </c>
      <c r="B1192" t="n">
        <v>270</v>
      </c>
      <c r="C1192" t="n">
        <v>7</v>
      </c>
      <c r="D1192" s="218" t="n">
        <v>182.85</v>
      </c>
      <c r="E1192" s="218" t="n">
        <v>5.9</v>
      </c>
      <c r="F1192" t="str">
        <v>https://re.jrc.ec.europa.eu/api/v5_3/PVcalc?lat=30.0444&amp;lon=31.2357&amp;peakpower=1&amp;loss=14&amp;angle=15&amp;aspect=90&amp;outputformat=json&amp;raddatabase=PVGIS-SARAH3&amp;pvtechchoice=crystSi&amp;mountingplace=free&amp;usehorizon=1</v>
      </c>
    </row>
    <row r="1193">
      <c r="A1193" t="n">
        <v>15</v>
      </c>
      <c r="B1193" t="n">
        <v>270</v>
      </c>
      <c r="C1193" t="n">
        <v>8</v>
      </c>
      <c r="D1193" s="218" t="n">
        <v>169.7</v>
      </c>
      <c r="E1193" s="218" t="n">
        <v>5.47</v>
      </c>
      <c r="F1193" t="str">
        <v>https://re.jrc.ec.europa.eu/api/v5_3/PVcalc?lat=30.0444&amp;lon=31.2357&amp;peakpower=1&amp;loss=14&amp;angle=15&amp;aspect=90&amp;outputformat=json&amp;raddatabase=PVGIS-SARAH3&amp;pvtechchoice=crystSi&amp;mountingplace=free&amp;usehorizon=1</v>
      </c>
    </row>
    <row r="1194">
      <c r="A1194" t="n">
        <v>15</v>
      </c>
      <c r="B1194" t="n">
        <v>270</v>
      </c>
      <c r="C1194" t="n">
        <v>9</v>
      </c>
      <c r="D1194" s="218" t="n">
        <v>144.78</v>
      </c>
      <c r="E1194" s="218" t="n">
        <v>4.83</v>
      </c>
      <c r="F1194" t="str">
        <v>https://re.jrc.ec.europa.eu/api/v5_3/PVcalc?lat=30.0444&amp;lon=31.2357&amp;peakpower=1&amp;loss=14&amp;angle=15&amp;aspect=90&amp;outputformat=json&amp;raddatabase=PVGIS-SARAH3&amp;pvtechchoice=crystSi&amp;mountingplace=free&amp;usehorizon=1</v>
      </c>
    </row>
    <row r="1195">
      <c r="A1195" t="n">
        <v>15</v>
      </c>
      <c r="B1195" t="n">
        <v>270</v>
      </c>
      <c r="C1195" t="n">
        <v>10</v>
      </c>
      <c r="D1195" s="218" t="n">
        <v>120.11</v>
      </c>
      <c r="E1195" s="218" t="n">
        <v>3.87</v>
      </c>
      <c r="F1195" t="str">
        <v>https://re.jrc.ec.europa.eu/api/v5_3/PVcalc?lat=30.0444&amp;lon=31.2357&amp;peakpower=1&amp;loss=14&amp;angle=15&amp;aspect=90&amp;outputformat=json&amp;raddatabase=PVGIS-SARAH3&amp;pvtechchoice=crystSi&amp;mountingplace=free&amp;usehorizon=1</v>
      </c>
    </row>
    <row r="1196">
      <c r="A1196" t="n">
        <v>15</v>
      </c>
      <c r="B1196" t="n">
        <v>270</v>
      </c>
      <c r="C1196" t="n">
        <v>11</v>
      </c>
      <c r="D1196" s="218" t="n">
        <v>92.64</v>
      </c>
      <c r="E1196" s="218" t="n">
        <v>3.09</v>
      </c>
      <c r="F1196" t="str">
        <v>https://re.jrc.ec.europa.eu/api/v5_3/PVcalc?lat=30.0444&amp;lon=31.2357&amp;peakpower=1&amp;loss=14&amp;angle=15&amp;aspect=90&amp;outputformat=json&amp;raddatabase=PVGIS-SARAH3&amp;pvtechchoice=crystSi&amp;mountingplace=free&amp;usehorizon=1</v>
      </c>
    </row>
    <row r="1197">
      <c r="A1197" t="n">
        <v>15</v>
      </c>
      <c r="B1197" t="n">
        <v>270</v>
      </c>
      <c r="C1197" t="n">
        <v>12</v>
      </c>
      <c r="D1197" s="218" t="n">
        <v>81.79</v>
      </c>
      <c r="E1197" s="218" t="n">
        <v>2.64</v>
      </c>
      <c r="F1197" t="str">
        <v>https://re.jrc.ec.europa.eu/api/v5_3/PVcalc?lat=30.0444&amp;lon=31.2357&amp;peakpower=1&amp;loss=14&amp;angle=15&amp;aspect=90&amp;outputformat=json&amp;raddatabase=PVGIS-SARAH3&amp;pvtechchoice=crystSi&amp;mountingplace=free&amp;usehorizon=1</v>
      </c>
    </row>
    <row r="1198">
      <c r="A1198" t="n">
        <v>15</v>
      </c>
      <c r="B1198" t="n">
        <v>285</v>
      </c>
      <c r="C1198" t="n">
        <v>1</v>
      </c>
      <c r="D1198" s="218" t="n">
        <v>79.4</v>
      </c>
      <c r="E1198" s="218" t="n">
        <v>2.56</v>
      </c>
      <c r="F1198" t="str">
        <v>https://re.jrc.ec.europa.eu/api/v5_3/PVcalc?lat=30.0444&amp;lon=31.2357&amp;peakpower=1&amp;loss=14&amp;angle=15&amp;aspect=105&amp;outputformat=json&amp;raddatabase=PVGIS-SARAH3&amp;pvtechchoice=crystSi&amp;mountingplace=free&amp;usehorizon=1</v>
      </c>
    </row>
    <row r="1199">
      <c r="A1199" t="n">
        <v>15</v>
      </c>
      <c r="B1199" t="n">
        <v>285</v>
      </c>
      <c r="C1199" t="n">
        <v>2</v>
      </c>
      <c r="D1199" s="218" t="n">
        <v>90.74</v>
      </c>
      <c r="E1199" s="218" t="n">
        <v>3.24</v>
      </c>
      <c r="F1199" t="str">
        <v>https://re.jrc.ec.europa.eu/api/v5_3/PVcalc?lat=30.0444&amp;lon=31.2357&amp;peakpower=1&amp;loss=14&amp;angle=15&amp;aspect=105&amp;outputformat=json&amp;raddatabase=PVGIS-SARAH3&amp;pvtechchoice=crystSi&amp;mountingplace=free&amp;usehorizon=1</v>
      </c>
    </row>
    <row r="1200">
      <c r="A1200" t="n">
        <v>15</v>
      </c>
      <c r="B1200" t="n">
        <v>285</v>
      </c>
      <c r="C1200" t="n">
        <v>3</v>
      </c>
      <c r="D1200" s="218" t="n">
        <v>133.13</v>
      </c>
      <c r="E1200" s="218" t="n">
        <v>4.29</v>
      </c>
      <c r="F1200" t="str">
        <v>https://re.jrc.ec.europa.eu/api/v5_3/PVcalc?lat=30.0444&amp;lon=31.2357&amp;peakpower=1&amp;loss=14&amp;angle=15&amp;aspect=105&amp;outputformat=json&amp;raddatabase=PVGIS-SARAH3&amp;pvtechchoice=crystSi&amp;mountingplace=free&amp;usehorizon=1</v>
      </c>
    </row>
    <row r="1201">
      <c r="A1201" t="n">
        <v>15</v>
      </c>
      <c r="B1201" t="n">
        <v>285</v>
      </c>
      <c r="C1201" t="n">
        <v>4</v>
      </c>
      <c r="D1201" s="218" t="n">
        <v>153.15</v>
      </c>
      <c r="E1201" s="218" t="n">
        <v>5.11</v>
      </c>
      <c r="F1201" t="str">
        <v>https://re.jrc.ec.europa.eu/api/v5_3/PVcalc?lat=30.0444&amp;lon=31.2357&amp;peakpower=1&amp;loss=14&amp;angle=15&amp;aspect=105&amp;outputformat=json&amp;raddatabase=PVGIS-SARAH3&amp;pvtechchoice=crystSi&amp;mountingplace=free&amp;usehorizon=1</v>
      </c>
    </row>
    <row r="1202">
      <c r="A1202" t="n">
        <v>15</v>
      </c>
      <c r="B1202" t="n">
        <v>285</v>
      </c>
      <c r="C1202" t="n">
        <v>5</v>
      </c>
      <c r="D1202" s="218" t="n">
        <v>172.56</v>
      </c>
      <c r="E1202" s="218" t="n">
        <v>5.57</v>
      </c>
      <c r="F1202" t="str">
        <v>https://re.jrc.ec.europa.eu/api/v5_3/PVcalc?lat=30.0444&amp;lon=31.2357&amp;peakpower=1&amp;loss=14&amp;angle=15&amp;aspect=105&amp;outputformat=json&amp;raddatabase=PVGIS-SARAH3&amp;pvtechchoice=crystSi&amp;mountingplace=free&amp;usehorizon=1</v>
      </c>
    </row>
    <row r="1203">
      <c r="A1203" t="n">
        <v>15</v>
      </c>
      <c r="B1203" t="n">
        <v>285</v>
      </c>
      <c r="C1203" t="n">
        <v>6</v>
      </c>
      <c r="D1203" s="218" t="n">
        <v>179.47</v>
      </c>
      <c r="E1203" s="218" t="n">
        <v>5.98</v>
      </c>
      <c r="F1203" t="str">
        <v>https://re.jrc.ec.europa.eu/api/v5_3/PVcalc?lat=30.0444&amp;lon=31.2357&amp;peakpower=1&amp;loss=14&amp;angle=15&amp;aspect=105&amp;outputformat=json&amp;raddatabase=PVGIS-SARAH3&amp;pvtechchoice=crystSi&amp;mountingplace=free&amp;usehorizon=1</v>
      </c>
    </row>
    <row r="1204">
      <c r="A1204" t="n">
        <v>15</v>
      </c>
      <c r="B1204" t="n">
        <v>285</v>
      </c>
      <c r="C1204" t="n">
        <v>7</v>
      </c>
      <c r="D1204" s="218" t="n">
        <v>182.69</v>
      </c>
      <c r="E1204" s="218" t="n">
        <v>5.89</v>
      </c>
      <c r="F1204" t="str">
        <v>https://re.jrc.ec.europa.eu/api/v5_3/PVcalc?lat=30.0444&amp;lon=31.2357&amp;peakpower=1&amp;loss=14&amp;angle=15&amp;aspect=105&amp;outputformat=json&amp;raddatabase=PVGIS-SARAH3&amp;pvtechchoice=crystSi&amp;mountingplace=free&amp;usehorizon=1</v>
      </c>
    </row>
    <row r="1205">
      <c r="A1205" t="n">
        <v>15</v>
      </c>
      <c r="B1205" t="n">
        <v>285</v>
      </c>
      <c r="C1205" t="n">
        <v>8</v>
      </c>
      <c r="D1205" s="218" t="n">
        <v>167.77</v>
      </c>
      <c r="E1205" s="218" t="n">
        <v>5.41</v>
      </c>
      <c r="F1205" t="str">
        <v>https://re.jrc.ec.europa.eu/api/v5_3/PVcalc?lat=30.0444&amp;lon=31.2357&amp;peakpower=1&amp;loss=14&amp;angle=15&amp;aspect=105&amp;outputformat=json&amp;raddatabase=PVGIS-SARAH3&amp;pvtechchoice=crystSi&amp;mountingplace=free&amp;usehorizon=1</v>
      </c>
    </row>
    <row r="1206">
      <c r="A1206" t="n">
        <v>15</v>
      </c>
      <c r="B1206" t="n">
        <v>285</v>
      </c>
      <c r="C1206" t="n">
        <v>9</v>
      </c>
      <c r="D1206" s="218" t="n">
        <v>140.63</v>
      </c>
      <c r="E1206" s="218" t="n">
        <v>4.69</v>
      </c>
      <c r="F1206" t="str">
        <v>https://re.jrc.ec.europa.eu/api/v5_3/PVcalc?lat=30.0444&amp;lon=31.2357&amp;peakpower=1&amp;loss=14&amp;angle=15&amp;aspect=105&amp;outputformat=json&amp;raddatabase=PVGIS-SARAH3&amp;pvtechchoice=crystSi&amp;mountingplace=free&amp;usehorizon=1</v>
      </c>
    </row>
    <row r="1207">
      <c r="A1207" t="n">
        <v>15</v>
      </c>
      <c r="B1207" t="n">
        <v>285</v>
      </c>
      <c r="C1207" t="n">
        <v>10</v>
      </c>
      <c r="D1207" s="218" t="n">
        <v>114.1</v>
      </c>
      <c r="E1207" s="218" t="n">
        <v>3.68</v>
      </c>
      <c r="F1207" t="str">
        <v>https://re.jrc.ec.europa.eu/api/v5_3/PVcalc?lat=30.0444&amp;lon=31.2357&amp;peakpower=1&amp;loss=14&amp;angle=15&amp;aspect=105&amp;outputformat=json&amp;raddatabase=PVGIS-SARAH3&amp;pvtechchoice=crystSi&amp;mountingplace=free&amp;usehorizon=1</v>
      </c>
    </row>
    <row r="1208">
      <c r="A1208" t="n">
        <v>15</v>
      </c>
      <c r="B1208" t="n">
        <v>285</v>
      </c>
      <c r="C1208" t="n">
        <v>11</v>
      </c>
      <c r="D1208" s="218" t="n">
        <v>85.52</v>
      </c>
      <c r="E1208" s="218" t="n">
        <v>2.85</v>
      </c>
      <c r="F1208" t="str">
        <v>https://re.jrc.ec.europa.eu/api/v5_3/PVcalc?lat=30.0444&amp;lon=31.2357&amp;peakpower=1&amp;loss=14&amp;angle=15&amp;aspect=105&amp;outputformat=json&amp;raddatabase=PVGIS-SARAH3&amp;pvtechchoice=crystSi&amp;mountingplace=free&amp;usehorizon=1</v>
      </c>
    </row>
    <row r="1209">
      <c r="A1209" t="n">
        <v>15</v>
      </c>
      <c r="B1209" t="n">
        <v>285</v>
      </c>
      <c r="C1209" t="n">
        <v>12</v>
      </c>
      <c r="D1209" s="218" t="n">
        <v>74.4</v>
      </c>
      <c r="E1209" s="218" t="n">
        <v>2.4</v>
      </c>
      <c r="F1209" t="str">
        <v>https://re.jrc.ec.europa.eu/api/v5_3/PVcalc?lat=30.0444&amp;lon=31.2357&amp;peakpower=1&amp;loss=14&amp;angle=15&amp;aspect=105&amp;outputformat=json&amp;raddatabase=PVGIS-SARAH3&amp;pvtechchoice=crystSi&amp;mountingplace=free&amp;usehorizon=1</v>
      </c>
    </row>
    <row r="1210">
      <c r="A1210" t="n">
        <v>15</v>
      </c>
      <c r="B1210" t="n">
        <v>300</v>
      </c>
      <c r="C1210" t="n">
        <v>1</v>
      </c>
      <c r="D1210" s="218" t="n">
        <v>72.82</v>
      </c>
      <c r="E1210" s="218" t="n">
        <v>2.35</v>
      </c>
      <c r="F1210" t="str">
        <v>https://re.jrc.ec.europa.eu/api/v5_3/PVcalc?lat=30.0444&amp;lon=31.2357&amp;peakpower=1&amp;loss=14&amp;angle=15&amp;aspect=120&amp;outputformat=json&amp;raddatabase=PVGIS-SARAH3&amp;pvtechchoice=crystSi&amp;mountingplace=free&amp;usehorizon=1</v>
      </c>
    </row>
    <row r="1211">
      <c r="A1211" t="n">
        <v>15</v>
      </c>
      <c r="B1211" t="n">
        <v>300</v>
      </c>
      <c r="C1211" t="n">
        <v>2</v>
      </c>
      <c r="D1211" s="218" t="n">
        <v>85.51</v>
      </c>
      <c r="E1211" s="218" t="n">
        <v>3.05</v>
      </c>
      <c r="F1211" t="str">
        <v>https://re.jrc.ec.europa.eu/api/v5_3/PVcalc?lat=30.0444&amp;lon=31.2357&amp;peakpower=1&amp;loss=14&amp;angle=15&amp;aspect=120&amp;outputformat=json&amp;raddatabase=PVGIS-SARAH3&amp;pvtechchoice=crystSi&amp;mountingplace=free&amp;usehorizon=1</v>
      </c>
    </row>
    <row r="1212">
      <c r="A1212" t="n">
        <v>15</v>
      </c>
      <c r="B1212" t="n">
        <v>300</v>
      </c>
      <c r="C1212" t="n">
        <v>3</v>
      </c>
      <c r="D1212" s="218" t="n">
        <v>128.39</v>
      </c>
      <c r="E1212" s="218" t="n">
        <v>4.14</v>
      </c>
      <c r="F1212" t="str">
        <v>https://re.jrc.ec.europa.eu/api/v5_3/PVcalc?lat=30.0444&amp;lon=31.2357&amp;peakpower=1&amp;loss=14&amp;angle=15&amp;aspect=120&amp;outputformat=json&amp;raddatabase=PVGIS-SARAH3&amp;pvtechchoice=crystSi&amp;mountingplace=free&amp;usehorizon=1</v>
      </c>
    </row>
    <row r="1213">
      <c r="A1213" t="n">
        <v>15</v>
      </c>
      <c r="B1213" t="n">
        <v>300</v>
      </c>
      <c r="C1213" t="n">
        <v>4</v>
      </c>
      <c r="D1213" s="218" t="n">
        <v>150.66</v>
      </c>
      <c r="E1213" s="218" t="n">
        <v>5.02</v>
      </c>
      <c r="F1213" t="str">
        <v>https://re.jrc.ec.europa.eu/api/v5_3/PVcalc?lat=30.0444&amp;lon=31.2357&amp;peakpower=1&amp;loss=14&amp;angle=15&amp;aspect=120&amp;outputformat=json&amp;raddatabase=PVGIS-SARAH3&amp;pvtechchoice=crystSi&amp;mountingplace=free&amp;usehorizon=1</v>
      </c>
    </row>
    <row r="1214">
      <c r="A1214" t="n">
        <v>15</v>
      </c>
      <c r="B1214" t="n">
        <v>300</v>
      </c>
      <c r="C1214" t="n">
        <v>5</v>
      </c>
      <c r="D1214" s="218" t="n">
        <v>171.81</v>
      </c>
      <c r="E1214" s="218" t="n">
        <v>5.54</v>
      </c>
      <c r="F1214" t="str">
        <v>https://re.jrc.ec.europa.eu/api/v5_3/PVcalc?lat=30.0444&amp;lon=31.2357&amp;peakpower=1&amp;loss=14&amp;angle=15&amp;aspect=120&amp;outputformat=json&amp;raddatabase=PVGIS-SARAH3&amp;pvtechchoice=crystSi&amp;mountingplace=free&amp;usehorizon=1</v>
      </c>
    </row>
    <row r="1215">
      <c r="A1215" t="n">
        <v>15</v>
      </c>
      <c r="B1215" t="n">
        <v>300</v>
      </c>
      <c r="C1215" t="n">
        <v>6</v>
      </c>
      <c r="D1215" s="218" t="n">
        <v>179.78</v>
      </c>
      <c r="E1215" s="218" t="n">
        <v>5.99</v>
      </c>
      <c r="F1215" t="str">
        <v>https://re.jrc.ec.europa.eu/api/v5_3/PVcalc?lat=30.0444&amp;lon=31.2357&amp;peakpower=1&amp;loss=14&amp;angle=15&amp;aspect=120&amp;outputformat=json&amp;raddatabase=PVGIS-SARAH3&amp;pvtechchoice=crystSi&amp;mountingplace=free&amp;usehorizon=1</v>
      </c>
    </row>
    <row r="1216">
      <c r="A1216" t="n">
        <v>15</v>
      </c>
      <c r="B1216" t="n">
        <v>300</v>
      </c>
      <c r="C1216" t="n">
        <v>7</v>
      </c>
      <c r="D1216" s="218" t="n">
        <v>182.29</v>
      </c>
      <c r="E1216" s="218" t="n">
        <v>5.88</v>
      </c>
      <c r="F1216" t="str">
        <v>https://re.jrc.ec.europa.eu/api/v5_3/PVcalc?lat=30.0444&amp;lon=31.2357&amp;peakpower=1&amp;loss=14&amp;angle=15&amp;aspect=120&amp;outputformat=json&amp;raddatabase=PVGIS-SARAH3&amp;pvtechchoice=crystSi&amp;mountingplace=free&amp;usehorizon=1</v>
      </c>
    </row>
    <row r="1217">
      <c r="A1217" t="n">
        <v>15</v>
      </c>
      <c r="B1217" t="n">
        <v>300</v>
      </c>
      <c r="C1217" t="n">
        <v>8</v>
      </c>
      <c r="D1217" s="218" t="n">
        <v>165.74</v>
      </c>
      <c r="E1217" s="218" t="n">
        <v>5.35</v>
      </c>
      <c r="F1217" t="str">
        <v>https://re.jrc.ec.europa.eu/api/v5_3/PVcalc?lat=30.0444&amp;lon=31.2357&amp;peakpower=1&amp;loss=14&amp;angle=15&amp;aspect=120&amp;outputformat=json&amp;raddatabase=PVGIS-SARAH3&amp;pvtechchoice=crystSi&amp;mountingplace=free&amp;usehorizon=1</v>
      </c>
    </row>
    <row r="1218">
      <c r="A1218" t="n">
        <v>15</v>
      </c>
      <c r="B1218" t="n">
        <v>300</v>
      </c>
      <c r="C1218" t="n">
        <v>9</v>
      </c>
      <c r="D1218" s="218" t="n">
        <v>136.53</v>
      </c>
      <c r="E1218" s="218" t="n">
        <v>4.55</v>
      </c>
      <c r="F1218" t="str">
        <v>https://re.jrc.ec.europa.eu/api/v5_3/PVcalc?lat=30.0444&amp;lon=31.2357&amp;peakpower=1&amp;loss=14&amp;angle=15&amp;aspect=120&amp;outputformat=json&amp;raddatabase=PVGIS-SARAH3&amp;pvtechchoice=crystSi&amp;mountingplace=free&amp;usehorizon=1</v>
      </c>
    </row>
    <row r="1219">
      <c r="A1219" t="n">
        <v>15</v>
      </c>
      <c r="B1219" t="n">
        <v>300</v>
      </c>
      <c r="C1219" t="n">
        <v>10</v>
      </c>
      <c r="D1219" s="218" t="n">
        <v>108.15</v>
      </c>
      <c r="E1219" s="218" t="n">
        <v>3.49</v>
      </c>
      <c r="F1219" t="str">
        <v>https://re.jrc.ec.europa.eu/api/v5_3/PVcalc?lat=30.0444&amp;lon=31.2357&amp;peakpower=1&amp;loss=14&amp;angle=15&amp;aspect=120&amp;outputformat=json&amp;raddatabase=PVGIS-SARAH3&amp;pvtechchoice=crystSi&amp;mountingplace=free&amp;usehorizon=1</v>
      </c>
    </row>
    <row r="1220">
      <c r="A1220" t="n">
        <v>15</v>
      </c>
      <c r="B1220" t="n">
        <v>300</v>
      </c>
      <c r="C1220" t="n">
        <v>11</v>
      </c>
      <c r="D1220" s="218" t="n">
        <v>78.66</v>
      </c>
      <c r="E1220" s="218" t="n">
        <v>2.62</v>
      </c>
      <c r="F1220" t="str">
        <v>https://re.jrc.ec.europa.eu/api/v5_3/PVcalc?lat=30.0444&amp;lon=31.2357&amp;peakpower=1&amp;loss=14&amp;angle=15&amp;aspect=120&amp;outputformat=json&amp;raddatabase=PVGIS-SARAH3&amp;pvtechchoice=crystSi&amp;mountingplace=free&amp;usehorizon=1</v>
      </c>
    </row>
    <row r="1221">
      <c r="A1221" t="n">
        <v>15</v>
      </c>
      <c r="B1221" t="n">
        <v>300</v>
      </c>
      <c r="C1221" t="n">
        <v>12</v>
      </c>
      <c r="D1221" s="218" t="n">
        <v>67.46</v>
      </c>
      <c r="E1221" s="218" t="n">
        <v>2.18</v>
      </c>
      <c r="F1221" t="str">
        <v>https://re.jrc.ec.europa.eu/api/v5_3/PVcalc?lat=30.0444&amp;lon=31.2357&amp;peakpower=1&amp;loss=14&amp;angle=15&amp;aspect=120&amp;outputformat=json&amp;raddatabase=PVGIS-SARAH3&amp;pvtechchoice=crystSi&amp;mountingplace=free&amp;usehorizon=1</v>
      </c>
    </row>
    <row r="1222">
      <c r="A1222" t="n">
        <v>15</v>
      </c>
      <c r="B1222" t="n">
        <v>315</v>
      </c>
      <c r="C1222" t="n">
        <v>1</v>
      </c>
      <c r="D1222" s="218" t="n">
        <v>66.79</v>
      </c>
      <c r="E1222" s="218" t="n">
        <v>2.15</v>
      </c>
      <c r="F1222" t="str">
        <v>https://re.jrc.ec.europa.eu/api/v5_3/PVcalc?lat=30.0444&amp;lon=31.2357&amp;peakpower=1&amp;loss=14&amp;angle=15&amp;aspect=135&amp;outputformat=json&amp;raddatabase=PVGIS-SARAH3&amp;pvtechchoice=crystSi&amp;mountingplace=free&amp;usehorizon=1</v>
      </c>
    </row>
    <row r="1223">
      <c r="A1223" t="n">
        <v>15</v>
      </c>
      <c r="B1223" t="n">
        <v>315</v>
      </c>
      <c r="C1223" t="n">
        <v>2</v>
      </c>
      <c r="D1223" s="218" t="n">
        <v>80.87</v>
      </c>
      <c r="E1223" s="218" t="n">
        <v>2.89</v>
      </c>
      <c r="F1223" t="str">
        <v>https://re.jrc.ec.europa.eu/api/v5_3/PVcalc?lat=30.0444&amp;lon=31.2357&amp;peakpower=1&amp;loss=14&amp;angle=15&amp;aspect=135&amp;outputformat=json&amp;raddatabase=PVGIS-SARAH3&amp;pvtechchoice=crystSi&amp;mountingplace=free&amp;usehorizon=1</v>
      </c>
    </row>
    <row r="1224">
      <c r="A1224" t="n">
        <v>15</v>
      </c>
      <c r="B1224" t="n">
        <v>315</v>
      </c>
      <c r="C1224" t="n">
        <v>3</v>
      </c>
      <c r="D1224" s="218" t="n">
        <v>124.06</v>
      </c>
      <c r="E1224" s="218" t="n">
        <v>4</v>
      </c>
      <c r="F1224" t="str">
        <v>https://re.jrc.ec.europa.eu/api/v5_3/PVcalc?lat=30.0444&amp;lon=31.2357&amp;peakpower=1&amp;loss=14&amp;angle=15&amp;aspect=135&amp;outputformat=json&amp;raddatabase=PVGIS-SARAH3&amp;pvtechchoice=crystSi&amp;mountingplace=free&amp;usehorizon=1</v>
      </c>
    </row>
    <row r="1225">
      <c r="A1225" t="n">
        <v>15</v>
      </c>
      <c r="B1225" t="n">
        <v>315</v>
      </c>
      <c r="C1225" t="n">
        <v>4</v>
      </c>
      <c r="D1225" s="218" t="n">
        <v>148.36</v>
      </c>
      <c r="E1225" s="218" t="n">
        <v>4.95</v>
      </c>
      <c r="F1225" t="str">
        <v>https://re.jrc.ec.europa.eu/api/v5_3/PVcalc?lat=30.0444&amp;lon=31.2357&amp;peakpower=1&amp;loss=14&amp;angle=15&amp;aspect=135&amp;outputformat=json&amp;raddatabase=PVGIS-SARAH3&amp;pvtechchoice=crystSi&amp;mountingplace=free&amp;usehorizon=1</v>
      </c>
    </row>
    <row r="1226">
      <c r="A1226" t="n">
        <v>15</v>
      </c>
      <c r="B1226" t="n">
        <v>315</v>
      </c>
      <c r="C1226" t="n">
        <v>5</v>
      </c>
      <c r="D1226" s="218" t="n">
        <v>171.24</v>
      </c>
      <c r="E1226" s="218" t="n">
        <v>5.52</v>
      </c>
      <c r="F1226" t="str">
        <v>https://re.jrc.ec.europa.eu/api/v5_3/PVcalc?lat=30.0444&amp;lon=31.2357&amp;peakpower=1&amp;loss=14&amp;angle=15&amp;aspect=135&amp;outputformat=json&amp;raddatabase=PVGIS-SARAH3&amp;pvtechchoice=crystSi&amp;mountingplace=free&amp;usehorizon=1</v>
      </c>
    </row>
    <row r="1227">
      <c r="A1227" t="n">
        <v>15</v>
      </c>
      <c r="B1227" t="n">
        <v>315</v>
      </c>
      <c r="C1227" t="n">
        <v>6</v>
      </c>
      <c r="D1227" s="218" t="n">
        <v>179.94</v>
      </c>
      <c r="E1227" s="218" t="n">
        <v>6</v>
      </c>
      <c r="F1227" t="str">
        <v>https://re.jrc.ec.europa.eu/api/v5_3/PVcalc?lat=30.0444&amp;lon=31.2357&amp;peakpower=1&amp;loss=14&amp;angle=15&amp;aspect=135&amp;outputformat=json&amp;raddatabase=PVGIS-SARAH3&amp;pvtechchoice=crystSi&amp;mountingplace=free&amp;usehorizon=1</v>
      </c>
    </row>
    <row r="1228">
      <c r="A1228" t="n">
        <v>15</v>
      </c>
      <c r="B1228" t="n">
        <v>315</v>
      </c>
      <c r="C1228" t="n">
        <v>7</v>
      </c>
      <c r="D1228" s="218" t="n">
        <v>181.84</v>
      </c>
      <c r="E1228" s="218" t="n">
        <v>5.87</v>
      </c>
      <c r="F1228" t="str">
        <v>https://re.jrc.ec.europa.eu/api/v5_3/PVcalc?lat=30.0444&amp;lon=31.2357&amp;peakpower=1&amp;loss=14&amp;angle=15&amp;aspect=135&amp;outputformat=json&amp;raddatabase=PVGIS-SARAH3&amp;pvtechchoice=crystSi&amp;mountingplace=free&amp;usehorizon=1</v>
      </c>
    </row>
    <row r="1229">
      <c r="A1229" t="n">
        <v>15</v>
      </c>
      <c r="B1229" t="n">
        <v>315</v>
      </c>
      <c r="C1229" t="n">
        <v>8</v>
      </c>
      <c r="D1229" s="218" t="n">
        <v>163.7</v>
      </c>
      <c r="E1229" s="218" t="n">
        <v>5.28</v>
      </c>
      <c r="F1229" t="str">
        <v>https://re.jrc.ec.europa.eu/api/v5_3/PVcalc?lat=30.0444&amp;lon=31.2357&amp;peakpower=1&amp;loss=14&amp;angle=15&amp;aspect=135&amp;outputformat=json&amp;raddatabase=PVGIS-SARAH3&amp;pvtechchoice=crystSi&amp;mountingplace=free&amp;usehorizon=1</v>
      </c>
    </row>
    <row r="1230">
      <c r="A1230" t="n">
        <v>15</v>
      </c>
      <c r="B1230" t="n">
        <v>315</v>
      </c>
      <c r="C1230" t="n">
        <v>9</v>
      </c>
      <c r="D1230" s="218" t="n">
        <v>132.78</v>
      </c>
      <c r="E1230" s="218" t="n">
        <v>4.43</v>
      </c>
      <c r="F1230" t="str">
        <v>https://re.jrc.ec.europa.eu/api/v5_3/PVcalc?lat=30.0444&amp;lon=31.2357&amp;peakpower=1&amp;loss=14&amp;angle=15&amp;aspect=135&amp;outputformat=json&amp;raddatabase=PVGIS-SARAH3&amp;pvtechchoice=crystSi&amp;mountingplace=free&amp;usehorizon=1</v>
      </c>
    </row>
    <row r="1231">
      <c r="A1231" t="n">
        <v>15</v>
      </c>
      <c r="B1231" t="n">
        <v>315</v>
      </c>
      <c r="C1231" t="n">
        <v>10</v>
      </c>
      <c r="D1231" s="218" t="n">
        <v>102.71</v>
      </c>
      <c r="E1231" s="218" t="n">
        <v>3.31</v>
      </c>
      <c r="F1231" t="str">
        <v>https://re.jrc.ec.europa.eu/api/v5_3/PVcalc?lat=30.0444&amp;lon=31.2357&amp;peakpower=1&amp;loss=14&amp;angle=15&amp;aspect=135&amp;outputformat=json&amp;raddatabase=PVGIS-SARAH3&amp;pvtechchoice=crystSi&amp;mountingplace=free&amp;usehorizon=1</v>
      </c>
    </row>
    <row r="1232">
      <c r="A1232" t="n">
        <v>15</v>
      </c>
      <c r="B1232" t="n">
        <v>315</v>
      </c>
      <c r="C1232" t="n">
        <v>11</v>
      </c>
      <c r="D1232" s="218" t="n">
        <v>72.49</v>
      </c>
      <c r="E1232" s="218" t="n">
        <v>2.42</v>
      </c>
      <c r="F1232" t="str">
        <v>https://re.jrc.ec.europa.eu/api/v5_3/PVcalc?lat=30.0444&amp;lon=31.2357&amp;peakpower=1&amp;loss=14&amp;angle=15&amp;aspect=135&amp;outputformat=json&amp;raddatabase=PVGIS-SARAH3&amp;pvtechchoice=crystSi&amp;mountingplace=free&amp;usehorizon=1</v>
      </c>
    </row>
    <row r="1233">
      <c r="A1233" t="n">
        <v>15</v>
      </c>
      <c r="B1233" t="n">
        <v>315</v>
      </c>
      <c r="C1233" t="n">
        <v>12</v>
      </c>
      <c r="D1233" s="218" t="n">
        <v>61.07</v>
      </c>
      <c r="E1233" s="218" t="n">
        <v>1.97</v>
      </c>
      <c r="F1233" t="str">
        <v>https://re.jrc.ec.europa.eu/api/v5_3/PVcalc?lat=30.0444&amp;lon=31.2357&amp;peakpower=1&amp;loss=14&amp;angle=15&amp;aspect=135&amp;outputformat=json&amp;raddatabase=PVGIS-SARAH3&amp;pvtechchoice=crystSi&amp;mountingplace=free&amp;usehorizon=1</v>
      </c>
    </row>
    <row r="1234">
      <c r="A1234" t="n">
        <v>15</v>
      </c>
      <c r="B1234" t="n">
        <v>330</v>
      </c>
      <c r="C1234" t="n">
        <v>1</v>
      </c>
      <c r="D1234" s="218" t="n">
        <v>61.75</v>
      </c>
      <c r="E1234" s="218" t="n">
        <v>1.99</v>
      </c>
      <c r="F1234" t="str">
        <v>https://re.jrc.ec.europa.eu/api/v5_3/PVcalc?lat=30.0444&amp;lon=31.2357&amp;peakpower=1&amp;loss=14&amp;angle=15&amp;aspect=150&amp;outputformat=json&amp;raddatabase=PVGIS-SARAH3&amp;pvtechchoice=crystSi&amp;mountingplace=free&amp;usehorizon=1</v>
      </c>
    </row>
    <row r="1235">
      <c r="A1235" t="n">
        <v>15</v>
      </c>
      <c r="B1235" t="n">
        <v>330</v>
      </c>
      <c r="C1235" t="n">
        <v>2</v>
      </c>
      <c r="D1235" s="218" t="n">
        <v>77.19</v>
      </c>
      <c r="E1235" s="218" t="n">
        <v>2.76</v>
      </c>
      <c r="F1235" t="str">
        <v>https://re.jrc.ec.europa.eu/api/v5_3/PVcalc?lat=30.0444&amp;lon=31.2357&amp;peakpower=1&amp;loss=14&amp;angle=15&amp;aspect=150&amp;outputformat=json&amp;raddatabase=PVGIS-SARAH3&amp;pvtechchoice=crystSi&amp;mountingplace=free&amp;usehorizon=1</v>
      </c>
    </row>
    <row r="1236">
      <c r="A1236" t="n">
        <v>15</v>
      </c>
      <c r="B1236" t="n">
        <v>330</v>
      </c>
      <c r="C1236" t="n">
        <v>3</v>
      </c>
      <c r="D1236" s="218" t="n">
        <v>120.55</v>
      </c>
      <c r="E1236" s="218" t="n">
        <v>3.89</v>
      </c>
      <c r="F1236" t="str">
        <v>https://re.jrc.ec.europa.eu/api/v5_3/PVcalc?lat=30.0444&amp;lon=31.2357&amp;peakpower=1&amp;loss=14&amp;angle=15&amp;aspect=150&amp;outputformat=json&amp;raddatabase=PVGIS-SARAH3&amp;pvtechchoice=crystSi&amp;mountingplace=free&amp;usehorizon=1</v>
      </c>
    </row>
    <row r="1237">
      <c r="A1237" t="n">
        <v>15</v>
      </c>
      <c r="B1237" t="n">
        <v>330</v>
      </c>
      <c r="C1237" t="n">
        <v>4</v>
      </c>
      <c r="D1237" s="218" t="n">
        <v>146.53</v>
      </c>
      <c r="E1237" s="218" t="n">
        <v>4.88</v>
      </c>
      <c r="F1237" t="str">
        <v>https://re.jrc.ec.europa.eu/api/v5_3/PVcalc?lat=30.0444&amp;lon=31.2357&amp;peakpower=1&amp;loss=14&amp;angle=15&amp;aspect=150&amp;outputformat=json&amp;raddatabase=PVGIS-SARAH3&amp;pvtechchoice=crystSi&amp;mountingplace=free&amp;usehorizon=1</v>
      </c>
    </row>
    <row r="1238">
      <c r="A1238" t="n">
        <v>15</v>
      </c>
      <c r="B1238" t="n">
        <v>330</v>
      </c>
      <c r="C1238" t="n">
        <v>5</v>
      </c>
      <c r="D1238" s="218" t="n">
        <v>170.77</v>
      </c>
      <c r="E1238" s="218" t="n">
        <v>5.51</v>
      </c>
      <c r="F1238" t="str">
        <v>https://re.jrc.ec.europa.eu/api/v5_3/PVcalc?lat=30.0444&amp;lon=31.2357&amp;peakpower=1&amp;loss=14&amp;angle=15&amp;aspect=150&amp;outputformat=json&amp;raddatabase=PVGIS-SARAH3&amp;pvtechchoice=crystSi&amp;mountingplace=free&amp;usehorizon=1</v>
      </c>
    </row>
    <row r="1239">
      <c r="A1239" t="n">
        <v>15</v>
      </c>
      <c r="B1239" t="n">
        <v>330</v>
      </c>
      <c r="C1239" t="n">
        <v>6</v>
      </c>
      <c r="D1239" s="218" t="n">
        <v>179.9</v>
      </c>
      <c r="E1239" s="218" t="n">
        <v>6</v>
      </c>
      <c r="F1239" t="str">
        <v>https://re.jrc.ec.europa.eu/api/v5_3/PVcalc?lat=30.0444&amp;lon=31.2357&amp;peakpower=1&amp;loss=14&amp;angle=15&amp;aspect=150&amp;outputformat=json&amp;raddatabase=PVGIS-SARAH3&amp;pvtechchoice=crystSi&amp;mountingplace=free&amp;usehorizon=1</v>
      </c>
    </row>
    <row r="1240">
      <c r="A1240" t="n">
        <v>15</v>
      </c>
      <c r="B1240" t="n">
        <v>330</v>
      </c>
      <c r="C1240" t="n">
        <v>7</v>
      </c>
      <c r="D1240" s="218" t="n">
        <v>181.22</v>
      </c>
      <c r="E1240" s="218" t="n">
        <v>5.85</v>
      </c>
      <c r="F1240" t="str">
        <v>https://re.jrc.ec.europa.eu/api/v5_3/PVcalc?lat=30.0444&amp;lon=31.2357&amp;peakpower=1&amp;loss=14&amp;angle=15&amp;aspect=150&amp;outputformat=json&amp;raddatabase=PVGIS-SARAH3&amp;pvtechchoice=crystSi&amp;mountingplace=free&amp;usehorizon=1</v>
      </c>
    </row>
    <row r="1241">
      <c r="A1241" t="n">
        <v>15</v>
      </c>
      <c r="B1241" t="n">
        <v>330</v>
      </c>
      <c r="C1241" t="n">
        <v>8</v>
      </c>
      <c r="D1241" s="218" t="n">
        <v>161.93</v>
      </c>
      <c r="E1241" s="218" t="n">
        <v>5.22</v>
      </c>
      <c r="F1241" t="str">
        <v>https://re.jrc.ec.europa.eu/api/v5_3/PVcalc?lat=30.0444&amp;lon=31.2357&amp;peakpower=1&amp;loss=14&amp;angle=15&amp;aspect=150&amp;outputformat=json&amp;raddatabase=PVGIS-SARAH3&amp;pvtechchoice=crystSi&amp;mountingplace=free&amp;usehorizon=1</v>
      </c>
    </row>
    <row r="1242">
      <c r="A1242" t="n">
        <v>15</v>
      </c>
      <c r="B1242" t="n">
        <v>330</v>
      </c>
      <c r="C1242" t="n">
        <v>9</v>
      </c>
      <c r="D1242" s="218" t="n">
        <v>129.66</v>
      </c>
      <c r="E1242" s="218" t="n">
        <v>4.32</v>
      </c>
      <c r="F1242" t="str">
        <v>https://re.jrc.ec.europa.eu/api/v5_3/PVcalc?lat=30.0444&amp;lon=31.2357&amp;peakpower=1&amp;loss=14&amp;angle=15&amp;aspect=150&amp;outputformat=json&amp;raddatabase=PVGIS-SARAH3&amp;pvtechchoice=crystSi&amp;mountingplace=free&amp;usehorizon=1</v>
      </c>
    </row>
    <row r="1243">
      <c r="A1243" t="n">
        <v>15</v>
      </c>
      <c r="B1243" t="n">
        <v>330</v>
      </c>
      <c r="C1243" t="n">
        <v>10</v>
      </c>
      <c r="D1243" s="218" t="n">
        <v>98.28</v>
      </c>
      <c r="E1243" s="218" t="n">
        <v>3.17</v>
      </c>
      <c r="F1243" t="str">
        <v>https://re.jrc.ec.europa.eu/api/v5_3/PVcalc?lat=30.0444&amp;lon=31.2357&amp;peakpower=1&amp;loss=14&amp;angle=15&amp;aspect=150&amp;outputformat=json&amp;raddatabase=PVGIS-SARAH3&amp;pvtechchoice=crystSi&amp;mountingplace=free&amp;usehorizon=1</v>
      </c>
    </row>
    <row r="1244">
      <c r="A1244" t="n">
        <v>15</v>
      </c>
      <c r="B1244" t="n">
        <v>330</v>
      </c>
      <c r="C1244" t="n">
        <v>11</v>
      </c>
      <c r="D1244" s="218" t="n">
        <v>67.5</v>
      </c>
      <c r="E1244" s="218" t="n">
        <v>2.25</v>
      </c>
      <c r="F1244" t="str">
        <v>https://re.jrc.ec.europa.eu/api/v5_3/PVcalc?lat=30.0444&amp;lon=31.2357&amp;peakpower=1&amp;loss=14&amp;angle=15&amp;aspect=150&amp;outputformat=json&amp;raddatabase=PVGIS-SARAH3&amp;pvtechchoice=crystSi&amp;mountingplace=free&amp;usehorizon=1</v>
      </c>
    </row>
    <row r="1245">
      <c r="A1245" t="n">
        <v>15</v>
      </c>
      <c r="B1245" t="n">
        <v>330</v>
      </c>
      <c r="C1245" t="n">
        <v>12</v>
      </c>
      <c r="D1245" s="218" t="n">
        <v>55.73</v>
      </c>
      <c r="E1245" s="218" t="n">
        <v>1.8</v>
      </c>
      <c r="F1245" t="str">
        <v>https://re.jrc.ec.europa.eu/api/v5_3/PVcalc?lat=30.0444&amp;lon=31.2357&amp;peakpower=1&amp;loss=14&amp;angle=15&amp;aspect=150&amp;outputformat=json&amp;raddatabase=PVGIS-SARAH3&amp;pvtechchoice=crystSi&amp;mountingplace=free&amp;usehorizon=1</v>
      </c>
    </row>
    <row r="1246">
      <c r="A1246" t="n">
        <v>15</v>
      </c>
      <c r="B1246" t="n">
        <v>345</v>
      </c>
      <c r="C1246" t="n">
        <v>1</v>
      </c>
      <c r="D1246" s="218" t="n">
        <v>58.47</v>
      </c>
      <c r="E1246" s="218" t="n">
        <v>1.89</v>
      </c>
      <c r="F1246" t="str">
        <v>https://re.jrc.ec.europa.eu/api/v5_3/PVcalc?lat=30.0444&amp;lon=31.2357&amp;peakpower=1&amp;loss=14&amp;angle=15&amp;aspect=165&amp;outputformat=json&amp;raddatabase=PVGIS-SARAH3&amp;pvtechchoice=crystSi&amp;mountingplace=free&amp;usehorizon=1</v>
      </c>
    </row>
    <row r="1247">
      <c r="A1247" t="n">
        <v>15</v>
      </c>
      <c r="B1247" t="n">
        <v>345</v>
      </c>
      <c r="C1247" t="n">
        <v>2</v>
      </c>
      <c r="D1247" s="218" t="n">
        <v>74.84</v>
      </c>
      <c r="E1247" s="218" t="n">
        <v>2.67</v>
      </c>
      <c r="F1247" t="str">
        <v>https://re.jrc.ec.europa.eu/api/v5_3/PVcalc?lat=30.0444&amp;lon=31.2357&amp;peakpower=1&amp;loss=14&amp;angle=15&amp;aspect=165&amp;outputformat=json&amp;raddatabase=PVGIS-SARAH3&amp;pvtechchoice=crystSi&amp;mountingplace=free&amp;usehorizon=1</v>
      </c>
    </row>
    <row r="1248">
      <c r="A1248" t="n">
        <v>15</v>
      </c>
      <c r="B1248" t="n">
        <v>345</v>
      </c>
      <c r="C1248" t="n">
        <v>3</v>
      </c>
      <c r="D1248" s="218" t="n">
        <v>118.19</v>
      </c>
      <c r="E1248" s="218" t="n">
        <v>3.81</v>
      </c>
      <c r="F1248" t="str">
        <v>https://re.jrc.ec.europa.eu/api/v5_3/PVcalc?lat=30.0444&amp;lon=31.2357&amp;peakpower=1&amp;loss=14&amp;angle=15&amp;aspect=165&amp;outputformat=json&amp;raddatabase=PVGIS-SARAH3&amp;pvtechchoice=crystSi&amp;mountingplace=free&amp;usehorizon=1</v>
      </c>
    </row>
    <row r="1249">
      <c r="A1249" t="n">
        <v>15</v>
      </c>
      <c r="B1249" t="n">
        <v>345</v>
      </c>
      <c r="C1249" t="n">
        <v>4</v>
      </c>
      <c r="D1249" s="218" t="n">
        <v>145.23</v>
      </c>
      <c r="E1249" s="218" t="n">
        <v>4.84</v>
      </c>
      <c r="F1249" t="str">
        <v>https://re.jrc.ec.europa.eu/api/v5_3/PVcalc?lat=30.0444&amp;lon=31.2357&amp;peakpower=1&amp;loss=14&amp;angle=15&amp;aspect=165&amp;outputformat=json&amp;raddatabase=PVGIS-SARAH3&amp;pvtechchoice=crystSi&amp;mountingplace=free&amp;usehorizon=1</v>
      </c>
    </row>
    <row r="1250">
      <c r="A1250" t="n">
        <v>15</v>
      </c>
      <c r="B1250" t="n">
        <v>345</v>
      </c>
      <c r="C1250" t="n">
        <v>5</v>
      </c>
      <c r="D1250" s="218" t="n">
        <v>170.35</v>
      </c>
      <c r="E1250" s="218" t="n">
        <v>5.5</v>
      </c>
      <c r="F1250" t="str">
        <v>https://re.jrc.ec.europa.eu/api/v5_3/PVcalc?lat=30.0444&amp;lon=31.2357&amp;peakpower=1&amp;loss=14&amp;angle=15&amp;aspect=165&amp;outputformat=json&amp;raddatabase=PVGIS-SARAH3&amp;pvtechchoice=crystSi&amp;mountingplace=free&amp;usehorizon=1</v>
      </c>
    </row>
    <row r="1251">
      <c r="A1251" t="n">
        <v>15</v>
      </c>
      <c r="B1251" t="n">
        <v>345</v>
      </c>
      <c r="C1251" t="n">
        <v>6</v>
      </c>
      <c r="D1251" s="218" t="n">
        <v>179.55</v>
      </c>
      <c r="E1251" s="218" t="n">
        <v>5.99</v>
      </c>
      <c r="F1251" t="str">
        <v>https://re.jrc.ec.europa.eu/api/v5_3/PVcalc?lat=30.0444&amp;lon=31.2357&amp;peakpower=1&amp;loss=14&amp;angle=15&amp;aspect=165&amp;outputformat=json&amp;raddatabase=PVGIS-SARAH3&amp;pvtechchoice=crystSi&amp;mountingplace=free&amp;usehorizon=1</v>
      </c>
    </row>
    <row r="1252">
      <c r="A1252" t="n">
        <v>15</v>
      </c>
      <c r="B1252" t="n">
        <v>345</v>
      </c>
      <c r="C1252" t="n">
        <v>7</v>
      </c>
      <c r="D1252" s="218" t="n">
        <v>180.39</v>
      </c>
      <c r="E1252" s="218" t="n">
        <v>5.82</v>
      </c>
      <c r="F1252" t="str">
        <v>https://re.jrc.ec.europa.eu/api/v5_3/PVcalc?lat=30.0444&amp;lon=31.2357&amp;peakpower=1&amp;loss=14&amp;angle=15&amp;aspect=165&amp;outputformat=json&amp;raddatabase=PVGIS-SARAH3&amp;pvtechchoice=crystSi&amp;mountingplace=free&amp;usehorizon=1</v>
      </c>
    </row>
    <row r="1253">
      <c r="A1253" t="n">
        <v>15</v>
      </c>
      <c r="B1253" t="n">
        <v>345</v>
      </c>
      <c r="C1253" t="n">
        <v>8</v>
      </c>
      <c r="D1253" s="218" t="n">
        <v>160.49</v>
      </c>
      <c r="E1253" s="218" t="n">
        <v>5.18</v>
      </c>
      <c r="F1253" t="str">
        <v>https://re.jrc.ec.europa.eu/api/v5_3/PVcalc?lat=30.0444&amp;lon=31.2357&amp;peakpower=1&amp;loss=14&amp;angle=15&amp;aspect=165&amp;outputformat=json&amp;raddatabase=PVGIS-SARAH3&amp;pvtechchoice=crystSi&amp;mountingplace=free&amp;usehorizon=1</v>
      </c>
    </row>
    <row r="1254">
      <c r="A1254" t="n">
        <v>15</v>
      </c>
      <c r="B1254" t="n">
        <v>345</v>
      </c>
      <c r="C1254" t="n">
        <v>9</v>
      </c>
      <c r="D1254" s="218" t="n">
        <v>127.37</v>
      </c>
      <c r="E1254" s="218" t="n">
        <v>4.25</v>
      </c>
      <c r="F1254" t="str">
        <v>https://re.jrc.ec.europa.eu/api/v5_3/PVcalc?lat=30.0444&amp;lon=31.2357&amp;peakpower=1&amp;loss=14&amp;angle=15&amp;aspect=165&amp;outputformat=json&amp;raddatabase=PVGIS-SARAH3&amp;pvtechchoice=crystSi&amp;mountingplace=free&amp;usehorizon=1</v>
      </c>
    </row>
    <row r="1255">
      <c r="A1255" t="n">
        <v>15</v>
      </c>
      <c r="B1255" t="n">
        <v>345</v>
      </c>
      <c r="C1255" t="n">
        <v>10</v>
      </c>
      <c r="D1255" s="218" t="n">
        <v>95.4</v>
      </c>
      <c r="E1255" s="218" t="n">
        <v>3.08</v>
      </c>
      <c r="F1255" t="str">
        <v>https://re.jrc.ec.europa.eu/api/v5_3/PVcalc?lat=30.0444&amp;lon=31.2357&amp;peakpower=1&amp;loss=14&amp;angle=15&amp;aspect=165&amp;outputformat=json&amp;raddatabase=PVGIS-SARAH3&amp;pvtechchoice=crystSi&amp;mountingplace=free&amp;usehorizon=1</v>
      </c>
    </row>
    <row r="1256">
      <c r="A1256" t="n">
        <v>15</v>
      </c>
      <c r="B1256" t="n">
        <v>345</v>
      </c>
      <c r="C1256" t="n">
        <v>11</v>
      </c>
      <c r="D1256" s="218" t="n">
        <v>64.1</v>
      </c>
      <c r="E1256" s="218" t="n">
        <v>2.14</v>
      </c>
      <c r="F1256" t="str">
        <v>https://re.jrc.ec.europa.eu/api/v5_3/PVcalc?lat=30.0444&amp;lon=31.2357&amp;peakpower=1&amp;loss=14&amp;angle=15&amp;aspect=165&amp;outputformat=json&amp;raddatabase=PVGIS-SARAH3&amp;pvtechchoice=crystSi&amp;mountingplace=free&amp;usehorizon=1</v>
      </c>
    </row>
    <row r="1257">
      <c r="A1257" t="n">
        <v>15</v>
      </c>
      <c r="B1257" t="n">
        <v>345</v>
      </c>
      <c r="C1257" t="n">
        <v>12</v>
      </c>
      <c r="D1257" s="218" t="n">
        <v>52.28</v>
      </c>
      <c r="E1257" s="218" t="n">
        <v>1.69</v>
      </c>
      <c r="F1257" t="str">
        <v>https://re.jrc.ec.europa.eu/api/v5_3/PVcalc?lat=30.0444&amp;lon=31.2357&amp;peakpower=1&amp;loss=14&amp;angle=15&amp;aspect=165&amp;outputformat=json&amp;raddatabase=PVGIS-SARAH3&amp;pvtechchoice=crystSi&amp;mountingplace=free&amp;usehorizon=1</v>
      </c>
    </row>
    <row r="1258">
      <c r="A1258" t="n">
        <v>15</v>
      </c>
      <c r="B1258" t="n">
        <v>360</v>
      </c>
      <c r="C1258" t="n">
        <v>1</v>
      </c>
      <c r="D1258" s="218" t="n">
        <v>57.59</v>
      </c>
      <c r="E1258" s="218" t="n">
        <v>1.86</v>
      </c>
      <c r="F1258" t="str">
        <v>https://re.jrc.ec.europa.eu/api/v5_3/PVcalc?lat=30.0444&amp;lon=31.2357&amp;peakpower=1&amp;loss=14&amp;angle=15&amp;aspect=180&amp;outputformat=json&amp;raddatabase=PVGIS-SARAH3&amp;pvtechchoice=crystSi&amp;mountingplace=free&amp;usehorizon=1</v>
      </c>
    </row>
    <row r="1259">
      <c r="A1259" t="n">
        <v>15</v>
      </c>
      <c r="B1259" t="n">
        <v>360</v>
      </c>
      <c r="C1259" t="n">
        <v>2</v>
      </c>
      <c r="D1259" s="218" t="n">
        <v>74.2</v>
      </c>
      <c r="E1259" s="218" t="n">
        <v>2.65</v>
      </c>
      <c r="F1259" t="str">
        <v>https://re.jrc.ec.europa.eu/api/v5_3/PVcalc?lat=30.0444&amp;lon=31.2357&amp;peakpower=1&amp;loss=14&amp;angle=15&amp;aspect=180&amp;outputformat=json&amp;raddatabase=PVGIS-SARAH3&amp;pvtechchoice=crystSi&amp;mountingplace=free&amp;usehorizon=1</v>
      </c>
    </row>
    <row r="1260">
      <c r="A1260" t="n">
        <v>15</v>
      </c>
      <c r="B1260" t="n">
        <v>360</v>
      </c>
      <c r="C1260" t="n">
        <v>3</v>
      </c>
      <c r="D1260" s="218" t="n">
        <v>117.18</v>
      </c>
      <c r="E1260" s="218" t="n">
        <v>3.78</v>
      </c>
      <c r="F1260" t="str">
        <v>https://re.jrc.ec.europa.eu/api/v5_3/PVcalc?lat=30.0444&amp;lon=31.2357&amp;peakpower=1&amp;loss=14&amp;angle=15&amp;aspect=180&amp;outputformat=json&amp;raddatabase=PVGIS-SARAH3&amp;pvtechchoice=crystSi&amp;mountingplace=free&amp;usehorizon=1</v>
      </c>
    </row>
    <row r="1261">
      <c r="A1261" t="n">
        <v>15</v>
      </c>
      <c r="B1261" t="n">
        <v>360</v>
      </c>
      <c r="C1261" t="n">
        <v>4</v>
      </c>
      <c r="D1261" s="218" t="n">
        <v>144.46</v>
      </c>
      <c r="E1261" s="218" t="n">
        <v>4.82</v>
      </c>
      <c r="F1261" t="str">
        <v>https://re.jrc.ec.europa.eu/api/v5_3/PVcalc?lat=30.0444&amp;lon=31.2357&amp;peakpower=1&amp;loss=14&amp;angle=15&amp;aspect=180&amp;outputformat=json&amp;raddatabase=PVGIS-SARAH3&amp;pvtechchoice=crystSi&amp;mountingplace=free&amp;usehorizon=1</v>
      </c>
    </row>
    <row r="1262">
      <c r="A1262" t="n">
        <v>15</v>
      </c>
      <c r="B1262" t="n">
        <v>360</v>
      </c>
      <c r="C1262" t="n">
        <v>5</v>
      </c>
      <c r="D1262" s="218" t="n">
        <v>169.89</v>
      </c>
      <c r="E1262" s="218" t="n">
        <v>5.48</v>
      </c>
      <c r="F1262" t="str">
        <v>https://re.jrc.ec.europa.eu/api/v5_3/PVcalc?lat=30.0444&amp;lon=31.2357&amp;peakpower=1&amp;loss=14&amp;angle=15&amp;aspect=180&amp;outputformat=json&amp;raddatabase=PVGIS-SARAH3&amp;pvtechchoice=crystSi&amp;mountingplace=free&amp;usehorizon=1</v>
      </c>
    </row>
    <row r="1263">
      <c r="A1263" t="n">
        <v>15</v>
      </c>
      <c r="B1263" t="n">
        <v>360</v>
      </c>
      <c r="C1263" t="n">
        <v>6</v>
      </c>
      <c r="D1263" s="218" t="n">
        <v>178.81</v>
      </c>
      <c r="E1263" s="218" t="n">
        <v>5.96</v>
      </c>
      <c r="F1263" t="str">
        <v>https://re.jrc.ec.europa.eu/api/v5_3/PVcalc?lat=30.0444&amp;lon=31.2357&amp;peakpower=1&amp;loss=14&amp;angle=15&amp;aspect=180&amp;outputformat=json&amp;raddatabase=PVGIS-SARAH3&amp;pvtechchoice=crystSi&amp;mountingplace=free&amp;usehorizon=1</v>
      </c>
    </row>
    <row r="1264">
      <c r="A1264" t="n">
        <v>15</v>
      </c>
      <c r="B1264" t="n">
        <v>360</v>
      </c>
      <c r="C1264" t="n">
        <v>7</v>
      </c>
      <c r="D1264" s="218" t="n">
        <v>179.24</v>
      </c>
      <c r="E1264" s="218" t="n">
        <v>5.78</v>
      </c>
      <c r="F1264" t="str">
        <v>https://re.jrc.ec.europa.eu/api/v5_3/PVcalc?lat=30.0444&amp;lon=31.2357&amp;peakpower=1&amp;loss=14&amp;angle=15&amp;aspect=180&amp;outputformat=json&amp;raddatabase=PVGIS-SARAH3&amp;pvtechchoice=crystSi&amp;mountingplace=free&amp;usehorizon=1</v>
      </c>
    </row>
    <row r="1265">
      <c r="A1265" t="n">
        <v>15</v>
      </c>
      <c r="B1265" t="n">
        <v>360</v>
      </c>
      <c r="C1265" t="n">
        <v>8</v>
      </c>
      <c r="D1265" s="218" t="n">
        <v>159.31</v>
      </c>
      <c r="E1265" s="218" t="n">
        <v>5.14</v>
      </c>
      <c r="F1265" t="str">
        <v>https://re.jrc.ec.europa.eu/api/v5_3/PVcalc?lat=30.0444&amp;lon=31.2357&amp;peakpower=1&amp;loss=14&amp;angle=15&amp;aspect=180&amp;outputformat=json&amp;raddatabase=PVGIS-SARAH3&amp;pvtechchoice=crystSi&amp;mountingplace=free&amp;usehorizon=1</v>
      </c>
    </row>
    <row r="1266">
      <c r="A1266" t="n">
        <v>15</v>
      </c>
      <c r="B1266" t="n">
        <v>360</v>
      </c>
      <c r="C1266" t="n">
        <v>9</v>
      </c>
      <c r="D1266" s="218" t="n">
        <v>126.04</v>
      </c>
      <c r="E1266" s="218" t="n">
        <v>4.2</v>
      </c>
      <c r="F1266" t="str">
        <v>https://re.jrc.ec.europa.eu/api/v5_3/PVcalc?lat=30.0444&amp;lon=31.2357&amp;peakpower=1&amp;loss=14&amp;angle=15&amp;aspect=180&amp;outputformat=json&amp;raddatabase=PVGIS-SARAH3&amp;pvtechchoice=crystSi&amp;mountingplace=free&amp;usehorizon=1</v>
      </c>
    </row>
    <row r="1267">
      <c r="A1267" t="n">
        <v>15</v>
      </c>
      <c r="B1267" t="n">
        <v>360</v>
      </c>
      <c r="C1267" t="n">
        <v>10</v>
      </c>
      <c r="D1267" s="218" t="n">
        <v>94.35</v>
      </c>
      <c r="E1267" s="218" t="n">
        <v>3.04</v>
      </c>
      <c r="F1267" t="str">
        <v>https://re.jrc.ec.europa.eu/api/v5_3/PVcalc?lat=30.0444&amp;lon=31.2357&amp;peakpower=1&amp;loss=14&amp;angle=15&amp;aspect=180&amp;outputformat=json&amp;raddatabase=PVGIS-SARAH3&amp;pvtechchoice=crystSi&amp;mountingplace=free&amp;usehorizon=1</v>
      </c>
    </row>
    <row r="1268">
      <c r="A1268" t="n">
        <v>15</v>
      </c>
      <c r="B1268" t="n">
        <v>360</v>
      </c>
      <c r="C1268" t="n">
        <v>11</v>
      </c>
      <c r="D1268" s="218" t="n">
        <v>62.9</v>
      </c>
      <c r="E1268" s="218" t="n">
        <v>2.1</v>
      </c>
      <c r="F1268" t="str">
        <v>https://re.jrc.ec.europa.eu/api/v5_3/PVcalc?lat=30.0444&amp;lon=31.2357&amp;peakpower=1&amp;loss=14&amp;angle=15&amp;aspect=180&amp;outputformat=json&amp;raddatabase=PVGIS-SARAH3&amp;pvtechchoice=crystSi&amp;mountingplace=free&amp;usehorizon=1</v>
      </c>
    </row>
    <row r="1269">
      <c r="A1269" t="n">
        <v>15</v>
      </c>
      <c r="B1269" t="n">
        <v>360</v>
      </c>
      <c r="C1269" t="n">
        <v>12</v>
      </c>
      <c r="D1269" s="218" t="n">
        <v>51.47</v>
      </c>
      <c r="E1269" s="218" t="n">
        <v>1.66</v>
      </c>
      <c r="F1269" t="str">
        <v>https://re.jrc.ec.europa.eu/api/v5_3/PVcalc?lat=30.0444&amp;lon=31.2357&amp;peakpower=1&amp;loss=14&amp;angle=15&amp;aspect=180&amp;outputformat=json&amp;raddatabase=PVGIS-SARAH3&amp;pvtechchoice=crystSi&amp;mountingplace=free&amp;usehorizon=1</v>
      </c>
    </row>
    <row r="1270">
      <c r="A1270" t="n">
        <v>20</v>
      </c>
      <c r="B1270" t="n">
        <v>0</v>
      </c>
      <c r="C1270" t="n">
        <v>1</v>
      </c>
      <c r="D1270" s="218" t="n">
        <v>46.65</v>
      </c>
      <c r="E1270" s="218" t="n">
        <v>1.5</v>
      </c>
      <c r="F1270" t="str">
        <v>https://re.jrc.ec.europa.eu/api/v5_3/PVcalc?lat=30.0444&amp;lon=31.2357&amp;peakpower=1&amp;loss=14&amp;angle=20&amp;aspect=-180&amp;outputformat=json&amp;raddatabase=PVGIS-SARAH3&amp;pvtechchoice=crystSi&amp;mountingplace=free&amp;usehorizon=1</v>
      </c>
    </row>
    <row r="1271">
      <c r="A1271" t="n">
        <v>20</v>
      </c>
      <c r="B1271" t="n">
        <v>0</v>
      </c>
      <c r="C1271" t="n">
        <v>2</v>
      </c>
      <c r="D1271" s="218" t="n">
        <v>64.81</v>
      </c>
      <c r="E1271" s="218" t="n">
        <v>2.31</v>
      </c>
      <c r="F1271" t="str">
        <v>https://re.jrc.ec.europa.eu/api/v5_3/PVcalc?lat=30.0444&amp;lon=31.2357&amp;peakpower=1&amp;loss=14&amp;angle=20&amp;aspect=-180&amp;outputformat=json&amp;raddatabase=PVGIS-SARAH3&amp;pvtechchoice=crystSi&amp;mountingplace=free&amp;usehorizon=1</v>
      </c>
    </row>
    <row r="1272">
      <c r="A1272" t="n">
        <v>20</v>
      </c>
      <c r="B1272" t="n">
        <v>0</v>
      </c>
      <c r="C1272" t="n">
        <v>3</v>
      </c>
      <c r="D1272" s="218" t="n">
        <v>107.92</v>
      </c>
      <c r="E1272" s="218" t="n">
        <v>3.48</v>
      </c>
      <c r="F1272" t="str">
        <v>https://re.jrc.ec.europa.eu/api/v5_3/PVcalc?lat=30.0444&amp;lon=31.2357&amp;peakpower=1&amp;loss=14&amp;angle=20&amp;aspect=-180&amp;outputformat=json&amp;raddatabase=PVGIS-SARAH3&amp;pvtechchoice=crystSi&amp;mountingplace=free&amp;usehorizon=1</v>
      </c>
    </row>
    <row r="1273">
      <c r="A1273" t="n">
        <v>20</v>
      </c>
      <c r="B1273" t="n">
        <v>0</v>
      </c>
      <c r="C1273" t="n">
        <v>4</v>
      </c>
      <c r="D1273" s="218" t="n">
        <v>138.11</v>
      </c>
      <c r="E1273" s="218" t="n">
        <v>4.6</v>
      </c>
      <c r="F1273" t="str">
        <v>https://re.jrc.ec.europa.eu/api/v5_3/PVcalc?lat=30.0444&amp;lon=31.2357&amp;peakpower=1&amp;loss=14&amp;angle=20&amp;aspect=-180&amp;outputformat=json&amp;raddatabase=PVGIS-SARAH3&amp;pvtechchoice=crystSi&amp;mountingplace=free&amp;usehorizon=1</v>
      </c>
    </row>
    <row r="1274">
      <c r="A1274" t="n">
        <v>20</v>
      </c>
      <c r="B1274" t="n">
        <v>0</v>
      </c>
      <c r="C1274" t="n">
        <v>5</v>
      </c>
      <c r="D1274" s="218" t="n">
        <v>165.84</v>
      </c>
      <c r="E1274" s="218" t="n">
        <v>5.35</v>
      </c>
      <c r="F1274" t="str">
        <v>https://re.jrc.ec.europa.eu/api/v5_3/PVcalc?lat=30.0444&amp;lon=31.2357&amp;peakpower=1&amp;loss=14&amp;angle=20&amp;aspect=-180&amp;outputformat=json&amp;raddatabase=PVGIS-SARAH3&amp;pvtechchoice=crystSi&amp;mountingplace=free&amp;usehorizon=1</v>
      </c>
    </row>
    <row r="1275">
      <c r="A1275" t="n">
        <v>20</v>
      </c>
      <c r="B1275" t="n">
        <v>0</v>
      </c>
      <c r="C1275" t="n">
        <v>6</v>
      </c>
      <c r="D1275" s="218" t="n">
        <v>175.98</v>
      </c>
      <c r="E1275" s="218" t="n">
        <v>5.87</v>
      </c>
      <c r="F1275" t="str">
        <v>https://re.jrc.ec.europa.eu/api/v5_3/PVcalc?lat=30.0444&amp;lon=31.2357&amp;peakpower=1&amp;loss=14&amp;angle=20&amp;aspect=-180&amp;outputformat=json&amp;raddatabase=PVGIS-SARAH3&amp;pvtechchoice=crystSi&amp;mountingplace=free&amp;usehorizon=1</v>
      </c>
    </row>
    <row r="1276">
      <c r="A1276" t="n">
        <v>20</v>
      </c>
      <c r="B1276" t="n">
        <v>0</v>
      </c>
      <c r="C1276" t="n">
        <v>7</v>
      </c>
      <c r="D1276" s="218" t="n">
        <v>175.69</v>
      </c>
      <c r="E1276" s="218" t="n">
        <v>5.67</v>
      </c>
      <c r="F1276" t="str">
        <v>https://re.jrc.ec.europa.eu/api/v5_3/PVcalc?lat=30.0444&amp;lon=31.2357&amp;peakpower=1&amp;loss=14&amp;angle=20&amp;aspect=-180&amp;outputformat=json&amp;raddatabase=PVGIS-SARAH3&amp;pvtechchoice=crystSi&amp;mountingplace=free&amp;usehorizon=1</v>
      </c>
    </row>
    <row r="1277">
      <c r="A1277" t="n">
        <v>20</v>
      </c>
      <c r="B1277" t="n">
        <v>0</v>
      </c>
      <c r="C1277" t="n">
        <v>8</v>
      </c>
      <c r="D1277" s="218" t="n">
        <v>153.51</v>
      </c>
      <c r="E1277" s="218" t="n">
        <v>4.95</v>
      </c>
      <c r="F1277" t="str">
        <v>https://re.jrc.ec.europa.eu/api/v5_3/PVcalc?lat=30.0444&amp;lon=31.2357&amp;peakpower=1&amp;loss=14&amp;angle=20&amp;aspect=-180&amp;outputformat=json&amp;raddatabase=PVGIS-SARAH3&amp;pvtechchoice=crystSi&amp;mountingplace=free&amp;usehorizon=1</v>
      </c>
    </row>
    <row r="1278">
      <c r="A1278" t="n">
        <v>20</v>
      </c>
      <c r="B1278" t="n">
        <v>0</v>
      </c>
      <c r="C1278" t="n">
        <v>9</v>
      </c>
      <c r="D1278" s="218" t="n">
        <v>117.56</v>
      </c>
      <c r="E1278" s="218" t="n">
        <v>3.92</v>
      </c>
      <c r="F1278" t="str">
        <v>https://re.jrc.ec.europa.eu/api/v5_3/PVcalc?lat=30.0444&amp;lon=31.2357&amp;peakpower=1&amp;loss=14&amp;angle=20&amp;aspect=-180&amp;outputformat=json&amp;raddatabase=PVGIS-SARAH3&amp;pvtechchoice=crystSi&amp;mountingplace=free&amp;usehorizon=1</v>
      </c>
    </row>
    <row r="1279">
      <c r="A1279" t="n">
        <v>20</v>
      </c>
      <c r="B1279" t="n">
        <v>0</v>
      </c>
      <c r="C1279" t="n">
        <v>10</v>
      </c>
      <c r="D1279" s="218" t="n">
        <v>83.44</v>
      </c>
      <c r="E1279" s="218" t="n">
        <v>2.69</v>
      </c>
      <c r="F1279" t="str">
        <v>https://re.jrc.ec.europa.eu/api/v5_3/PVcalc?lat=30.0444&amp;lon=31.2357&amp;peakpower=1&amp;loss=14&amp;angle=20&amp;aspect=-180&amp;outputformat=json&amp;raddatabase=PVGIS-SARAH3&amp;pvtechchoice=crystSi&amp;mountingplace=free&amp;usehorizon=1</v>
      </c>
    </row>
    <row r="1280">
      <c r="A1280" t="n">
        <v>20</v>
      </c>
      <c r="B1280" t="n">
        <v>0</v>
      </c>
      <c r="C1280" t="n">
        <v>11</v>
      </c>
      <c r="D1280" s="218" t="n">
        <v>51.69</v>
      </c>
      <c r="E1280" s="218" t="n">
        <v>1.72</v>
      </c>
      <c r="F1280" t="str">
        <v>https://re.jrc.ec.europa.eu/api/v5_3/PVcalc?lat=30.0444&amp;lon=31.2357&amp;peakpower=1&amp;loss=14&amp;angle=20&amp;aspect=-180&amp;outputformat=json&amp;raddatabase=PVGIS-SARAH3&amp;pvtechchoice=crystSi&amp;mountingplace=free&amp;usehorizon=1</v>
      </c>
    </row>
    <row r="1281">
      <c r="A1281" t="n">
        <v>20</v>
      </c>
      <c r="B1281" t="n">
        <v>0</v>
      </c>
      <c r="C1281" t="n">
        <v>12</v>
      </c>
      <c r="D1281" s="218" t="n">
        <v>40.32</v>
      </c>
      <c r="E1281" s="218" t="n">
        <v>1.3</v>
      </c>
      <c r="F1281" t="str">
        <v>https://re.jrc.ec.europa.eu/api/v5_3/PVcalc?lat=30.0444&amp;lon=31.2357&amp;peakpower=1&amp;loss=14&amp;angle=20&amp;aspect=-180&amp;outputformat=json&amp;raddatabase=PVGIS-SARAH3&amp;pvtechchoice=crystSi&amp;mountingplace=free&amp;usehorizon=1</v>
      </c>
    </row>
    <row r="1282">
      <c r="A1282" t="n">
        <v>20</v>
      </c>
      <c r="B1282" t="n">
        <v>15</v>
      </c>
      <c r="C1282" t="n">
        <v>1</v>
      </c>
      <c r="D1282" s="218" t="n">
        <v>48.95</v>
      </c>
      <c r="E1282" s="218" t="n">
        <v>1.58</v>
      </c>
      <c r="F1282" t="str">
        <v>https://re.jrc.ec.europa.eu/api/v5_3/PVcalc?lat=30.0444&amp;lon=31.2357&amp;peakpower=1&amp;loss=14&amp;angle=20&amp;aspect=-165&amp;outputformat=json&amp;raddatabase=PVGIS-SARAH3&amp;pvtechchoice=crystSi&amp;mountingplace=free&amp;usehorizon=1</v>
      </c>
    </row>
    <row r="1283">
      <c r="A1283" t="n">
        <v>20</v>
      </c>
      <c r="B1283" t="n">
        <v>15</v>
      </c>
      <c r="C1283" t="n">
        <v>2</v>
      </c>
      <c r="D1283" s="218" t="n">
        <v>66.53</v>
      </c>
      <c r="E1283" s="218" t="n">
        <v>2.38</v>
      </c>
      <c r="F1283" t="str">
        <v>https://re.jrc.ec.europa.eu/api/v5_3/PVcalc?lat=30.0444&amp;lon=31.2357&amp;peakpower=1&amp;loss=14&amp;angle=20&amp;aspect=-165&amp;outputformat=json&amp;raddatabase=PVGIS-SARAH3&amp;pvtechchoice=crystSi&amp;mountingplace=free&amp;usehorizon=1</v>
      </c>
    </row>
    <row r="1284">
      <c r="A1284" t="n">
        <v>20</v>
      </c>
      <c r="B1284" t="n">
        <v>15</v>
      </c>
      <c r="C1284" t="n">
        <v>3</v>
      </c>
      <c r="D1284" s="218" t="n">
        <v>108.67</v>
      </c>
      <c r="E1284" s="218" t="n">
        <v>3.51</v>
      </c>
      <c r="F1284" t="str">
        <v>https://re.jrc.ec.europa.eu/api/v5_3/PVcalc?lat=30.0444&amp;lon=31.2357&amp;peakpower=1&amp;loss=14&amp;angle=20&amp;aspect=-165&amp;outputformat=json&amp;raddatabase=PVGIS-SARAH3&amp;pvtechchoice=crystSi&amp;mountingplace=free&amp;usehorizon=1</v>
      </c>
    </row>
    <row r="1285">
      <c r="A1285" t="n">
        <v>20</v>
      </c>
      <c r="B1285" t="n">
        <v>15</v>
      </c>
      <c r="C1285" t="n">
        <v>4</v>
      </c>
      <c r="D1285" s="218" t="n">
        <v>137.93</v>
      </c>
      <c r="E1285" s="218" t="n">
        <v>4.6</v>
      </c>
      <c r="F1285" t="str">
        <v>https://re.jrc.ec.europa.eu/api/v5_3/PVcalc?lat=30.0444&amp;lon=31.2357&amp;peakpower=1&amp;loss=14&amp;angle=20&amp;aspect=-165&amp;outputformat=json&amp;raddatabase=PVGIS-SARAH3&amp;pvtechchoice=crystSi&amp;mountingplace=free&amp;usehorizon=1</v>
      </c>
    </row>
    <row r="1286">
      <c r="A1286" t="n">
        <v>20</v>
      </c>
      <c r="B1286" t="n">
        <v>15</v>
      </c>
      <c r="C1286" t="n">
        <v>5</v>
      </c>
      <c r="D1286" s="218" t="n">
        <v>165.3</v>
      </c>
      <c r="E1286" s="218" t="n">
        <v>5.33</v>
      </c>
      <c r="F1286" t="str">
        <v>https://re.jrc.ec.europa.eu/api/v5_3/PVcalc?lat=30.0444&amp;lon=31.2357&amp;peakpower=1&amp;loss=14&amp;angle=20&amp;aspect=-165&amp;outputformat=json&amp;raddatabase=PVGIS-SARAH3&amp;pvtechchoice=crystSi&amp;mountingplace=free&amp;usehorizon=1</v>
      </c>
    </row>
    <row r="1287">
      <c r="A1287" t="n">
        <v>20</v>
      </c>
      <c r="B1287" t="n">
        <v>15</v>
      </c>
      <c r="C1287" t="n">
        <v>6</v>
      </c>
      <c r="D1287" s="218" t="n">
        <v>174.7</v>
      </c>
      <c r="E1287" s="218" t="n">
        <v>5.82</v>
      </c>
      <c r="F1287" t="str">
        <v>https://re.jrc.ec.europa.eu/api/v5_3/PVcalc?lat=30.0444&amp;lon=31.2357&amp;peakpower=1&amp;loss=14&amp;angle=20&amp;aspect=-165&amp;outputformat=json&amp;raddatabase=PVGIS-SARAH3&amp;pvtechchoice=crystSi&amp;mountingplace=free&amp;usehorizon=1</v>
      </c>
    </row>
    <row r="1288">
      <c r="A1288" t="n">
        <v>20</v>
      </c>
      <c r="B1288" t="n">
        <v>15</v>
      </c>
      <c r="C1288" t="n">
        <v>7</v>
      </c>
      <c r="D1288" s="218" t="n">
        <v>174.12</v>
      </c>
      <c r="E1288" s="218" t="n">
        <v>5.62</v>
      </c>
      <c r="F1288" t="str">
        <v>https://re.jrc.ec.europa.eu/api/v5_3/PVcalc?lat=30.0444&amp;lon=31.2357&amp;peakpower=1&amp;loss=14&amp;angle=20&amp;aspect=-165&amp;outputformat=json&amp;raddatabase=PVGIS-SARAH3&amp;pvtechchoice=crystSi&amp;mountingplace=free&amp;usehorizon=1</v>
      </c>
    </row>
    <row r="1289">
      <c r="A1289" t="n">
        <v>20</v>
      </c>
      <c r="B1289" t="n">
        <v>15</v>
      </c>
      <c r="C1289" t="n">
        <v>8</v>
      </c>
      <c r="D1289" s="218" t="n">
        <v>152.63</v>
      </c>
      <c r="E1289" s="218" t="n">
        <v>4.92</v>
      </c>
      <c r="F1289" t="str">
        <v>https://re.jrc.ec.europa.eu/api/v5_3/PVcalc?lat=30.0444&amp;lon=31.2357&amp;peakpower=1&amp;loss=14&amp;angle=20&amp;aspect=-165&amp;outputformat=json&amp;raddatabase=PVGIS-SARAH3&amp;pvtechchoice=crystSi&amp;mountingplace=free&amp;usehorizon=1</v>
      </c>
    </row>
    <row r="1290">
      <c r="A1290" t="n">
        <v>20</v>
      </c>
      <c r="B1290" t="n">
        <v>15</v>
      </c>
      <c r="C1290" t="n">
        <v>9</v>
      </c>
      <c r="D1290" s="218" t="n">
        <v>117.5</v>
      </c>
      <c r="E1290" s="218" t="n">
        <v>3.92</v>
      </c>
      <c r="F1290" t="str">
        <v>https://re.jrc.ec.europa.eu/api/v5_3/PVcalc?lat=30.0444&amp;lon=31.2357&amp;peakpower=1&amp;loss=14&amp;angle=20&amp;aspect=-165&amp;outputformat=json&amp;raddatabase=PVGIS-SARAH3&amp;pvtechchoice=crystSi&amp;mountingplace=free&amp;usehorizon=1</v>
      </c>
    </row>
    <row r="1291">
      <c r="A1291" t="n">
        <v>20</v>
      </c>
      <c r="B1291" t="n">
        <v>15</v>
      </c>
      <c r="C1291" t="n">
        <v>10</v>
      </c>
      <c r="D1291" s="218" t="n">
        <v>84.86</v>
      </c>
      <c r="E1291" s="218" t="n">
        <v>2.74</v>
      </c>
      <c r="F1291" t="str">
        <v>https://re.jrc.ec.europa.eu/api/v5_3/PVcalc?lat=30.0444&amp;lon=31.2357&amp;peakpower=1&amp;loss=14&amp;angle=20&amp;aspect=-165&amp;outputformat=json&amp;raddatabase=PVGIS-SARAH3&amp;pvtechchoice=crystSi&amp;mountingplace=free&amp;usehorizon=1</v>
      </c>
    </row>
    <row r="1292">
      <c r="A1292" t="n">
        <v>20</v>
      </c>
      <c r="B1292" t="n">
        <v>15</v>
      </c>
      <c r="C1292" t="n">
        <v>11</v>
      </c>
      <c r="D1292" s="218" t="n">
        <v>53.63</v>
      </c>
      <c r="E1292" s="218" t="n">
        <v>1.79</v>
      </c>
      <c r="F1292" t="str">
        <v>https://re.jrc.ec.europa.eu/api/v5_3/PVcalc?lat=30.0444&amp;lon=31.2357&amp;peakpower=1&amp;loss=14&amp;angle=20&amp;aspect=-165&amp;outputformat=json&amp;raddatabase=PVGIS-SARAH3&amp;pvtechchoice=crystSi&amp;mountingplace=free&amp;usehorizon=1</v>
      </c>
    </row>
    <row r="1293">
      <c r="A1293" t="n">
        <v>20</v>
      </c>
      <c r="B1293" t="n">
        <v>15</v>
      </c>
      <c r="C1293" t="n">
        <v>12</v>
      </c>
      <c r="D1293" s="218" t="n">
        <v>42.31</v>
      </c>
      <c r="E1293" s="218" t="n">
        <v>1.36</v>
      </c>
      <c r="F1293" t="str">
        <v>https://re.jrc.ec.europa.eu/api/v5_3/PVcalc?lat=30.0444&amp;lon=31.2357&amp;peakpower=1&amp;loss=14&amp;angle=20&amp;aspect=-165&amp;outputformat=json&amp;raddatabase=PVGIS-SARAH3&amp;pvtechchoice=crystSi&amp;mountingplace=free&amp;usehorizon=1</v>
      </c>
    </row>
    <row r="1294">
      <c r="A1294" t="n">
        <v>20</v>
      </c>
      <c r="B1294" t="n">
        <v>30</v>
      </c>
      <c r="C1294" t="n">
        <v>1</v>
      </c>
      <c r="D1294" s="218" t="n">
        <v>54.03</v>
      </c>
      <c r="E1294" s="218" t="n">
        <v>1.74</v>
      </c>
      <c r="F1294" t="str">
        <v>https://re.jrc.ec.europa.eu/api/v5_3/PVcalc?lat=30.0444&amp;lon=31.2357&amp;peakpower=1&amp;loss=14&amp;angle=20&amp;aspect=-150&amp;outputformat=json&amp;raddatabase=PVGIS-SARAH3&amp;pvtechchoice=crystSi&amp;mountingplace=free&amp;usehorizon=1</v>
      </c>
    </row>
    <row r="1295">
      <c r="A1295" t="n">
        <v>20</v>
      </c>
      <c r="B1295" t="n">
        <v>30</v>
      </c>
      <c r="C1295" t="n">
        <v>2</v>
      </c>
      <c r="D1295" s="218" t="n">
        <v>70.79</v>
      </c>
      <c r="E1295" s="218" t="n">
        <v>2.53</v>
      </c>
      <c r="F1295" t="str">
        <v>https://re.jrc.ec.europa.eu/api/v5_3/PVcalc?lat=30.0444&amp;lon=31.2357&amp;peakpower=1&amp;loss=14&amp;angle=20&amp;aspect=-150&amp;outputformat=json&amp;raddatabase=PVGIS-SARAH3&amp;pvtechchoice=crystSi&amp;mountingplace=free&amp;usehorizon=1</v>
      </c>
    </row>
    <row r="1296">
      <c r="A1296" t="n">
        <v>20</v>
      </c>
      <c r="B1296" t="n">
        <v>30</v>
      </c>
      <c r="C1296" t="n">
        <v>3</v>
      </c>
      <c r="D1296" s="218" t="n">
        <v>111.61</v>
      </c>
      <c r="E1296" s="218" t="n">
        <v>3.6</v>
      </c>
      <c r="F1296" t="str">
        <v>https://re.jrc.ec.europa.eu/api/v5_3/PVcalc?lat=30.0444&amp;lon=31.2357&amp;peakpower=1&amp;loss=14&amp;angle=20&amp;aspect=-150&amp;outputformat=json&amp;raddatabase=PVGIS-SARAH3&amp;pvtechchoice=crystSi&amp;mountingplace=free&amp;usehorizon=1</v>
      </c>
    </row>
    <row r="1297">
      <c r="A1297" t="n">
        <v>20</v>
      </c>
      <c r="B1297" t="n">
        <v>30</v>
      </c>
      <c r="C1297" t="n">
        <v>4</v>
      </c>
      <c r="D1297" s="218" t="n">
        <v>138.59</v>
      </c>
      <c r="E1297" s="218" t="n">
        <v>4.62</v>
      </c>
      <c r="F1297" t="str">
        <v>https://re.jrc.ec.europa.eu/api/v5_3/PVcalc?lat=30.0444&amp;lon=31.2357&amp;peakpower=1&amp;loss=14&amp;angle=20&amp;aspect=-150&amp;outputformat=json&amp;raddatabase=PVGIS-SARAH3&amp;pvtechchoice=crystSi&amp;mountingplace=free&amp;usehorizon=1</v>
      </c>
    </row>
    <row r="1298">
      <c r="A1298" t="n">
        <v>20</v>
      </c>
      <c r="B1298" t="n">
        <v>30</v>
      </c>
      <c r="C1298" t="n">
        <v>5</v>
      </c>
      <c r="D1298" s="218" t="n">
        <v>164.84</v>
      </c>
      <c r="E1298" s="218" t="n">
        <v>5.32</v>
      </c>
      <c r="F1298" t="str">
        <v>https://re.jrc.ec.europa.eu/api/v5_3/PVcalc?lat=30.0444&amp;lon=31.2357&amp;peakpower=1&amp;loss=14&amp;angle=20&amp;aspect=-150&amp;outputformat=json&amp;raddatabase=PVGIS-SARAH3&amp;pvtechchoice=crystSi&amp;mountingplace=free&amp;usehorizon=1</v>
      </c>
    </row>
    <row r="1299">
      <c r="A1299" t="n">
        <v>20</v>
      </c>
      <c r="B1299" t="n">
        <v>30</v>
      </c>
      <c r="C1299" t="n">
        <v>6</v>
      </c>
      <c r="D1299" s="218" t="n">
        <v>173.11</v>
      </c>
      <c r="E1299" s="218" t="n">
        <v>5.77</v>
      </c>
      <c r="F1299" t="str">
        <v>https://re.jrc.ec.europa.eu/api/v5_3/PVcalc?lat=30.0444&amp;lon=31.2357&amp;peakpower=1&amp;loss=14&amp;angle=20&amp;aspect=-150&amp;outputformat=json&amp;raddatabase=PVGIS-SARAH3&amp;pvtechchoice=crystSi&amp;mountingplace=free&amp;usehorizon=1</v>
      </c>
    </row>
    <row r="1300">
      <c r="A1300" t="n">
        <v>20</v>
      </c>
      <c r="B1300" t="n">
        <v>30</v>
      </c>
      <c r="C1300" t="n">
        <v>7</v>
      </c>
      <c r="D1300" s="218" t="n">
        <v>172.45</v>
      </c>
      <c r="E1300" s="218" t="n">
        <v>5.56</v>
      </c>
      <c r="F1300" t="str">
        <v>https://re.jrc.ec.europa.eu/api/v5_3/PVcalc?lat=30.0444&amp;lon=31.2357&amp;peakpower=1&amp;loss=14&amp;angle=20&amp;aspect=-150&amp;outputformat=json&amp;raddatabase=PVGIS-SARAH3&amp;pvtechchoice=crystSi&amp;mountingplace=free&amp;usehorizon=1</v>
      </c>
    </row>
    <row r="1301">
      <c r="A1301" t="n">
        <v>20</v>
      </c>
      <c r="B1301" t="n">
        <v>30</v>
      </c>
      <c r="C1301" t="n">
        <v>8</v>
      </c>
      <c r="D1301" s="218" t="n">
        <v>152.49</v>
      </c>
      <c r="E1301" s="218" t="n">
        <v>4.92</v>
      </c>
      <c r="F1301" t="str">
        <v>https://re.jrc.ec.europa.eu/api/v5_3/PVcalc?lat=30.0444&amp;lon=31.2357&amp;peakpower=1&amp;loss=14&amp;angle=20&amp;aspect=-150&amp;outputformat=json&amp;raddatabase=PVGIS-SARAH3&amp;pvtechchoice=crystSi&amp;mountingplace=free&amp;usehorizon=1</v>
      </c>
    </row>
    <row r="1302">
      <c r="A1302" t="n">
        <v>20</v>
      </c>
      <c r="B1302" t="n">
        <v>30</v>
      </c>
      <c r="C1302" t="n">
        <v>9</v>
      </c>
      <c r="D1302" s="218" t="n">
        <v>119.22</v>
      </c>
      <c r="E1302" s="218" t="n">
        <v>3.97</v>
      </c>
      <c r="F1302" t="str">
        <v>https://re.jrc.ec.europa.eu/api/v5_3/PVcalc?lat=30.0444&amp;lon=31.2357&amp;peakpower=1&amp;loss=14&amp;angle=20&amp;aspect=-150&amp;outputformat=json&amp;raddatabase=PVGIS-SARAH3&amp;pvtechchoice=crystSi&amp;mountingplace=free&amp;usehorizon=1</v>
      </c>
    </row>
    <row r="1303">
      <c r="A1303" t="n">
        <v>20</v>
      </c>
      <c r="B1303" t="n">
        <v>30</v>
      </c>
      <c r="C1303" t="n">
        <v>10</v>
      </c>
      <c r="D1303" s="218" t="n">
        <v>88.95</v>
      </c>
      <c r="E1303" s="218" t="n">
        <v>2.87</v>
      </c>
      <c r="F1303" t="str">
        <v>https://re.jrc.ec.europa.eu/api/v5_3/PVcalc?lat=30.0444&amp;lon=31.2357&amp;peakpower=1&amp;loss=14&amp;angle=20&amp;aspect=-150&amp;outputformat=json&amp;raddatabase=PVGIS-SARAH3&amp;pvtechchoice=crystSi&amp;mountingplace=free&amp;usehorizon=1</v>
      </c>
    </row>
    <row r="1304">
      <c r="A1304" t="n">
        <v>20</v>
      </c>
      <c r="B1304" t="n">
        <v>30</v>
      </c>
      <c r="C1304" t="n">
        <v>11</v>
      </c>
      <c r="D1304" s="218" t="n">
        <v>58.72</v>
      </c>
      <c r="E1304" s="218" t="n">
        <v>1.96</v>
      </c>
      <c r="F1304" t="str">
        <v>https://re.jrc.ec.europa.eu/api/v5_3/PVcalc?lat=30.0444&amp;lon=31.2357&amp;peakpower=1&amp;loss=14&amp;angle=20&amp;aspect=-150&amp;outputformat=json&amp;raddatabase=PVGIS-SARAH3&amp;pvtechchoice=crystSi&amp;mountingplace=free&amp;usehorizon=1</v>
      </c>
    </row>
    <row r="1305">
      <c r="A1305" t="n">
        <v>20</v>
      </c>
      <c r="B1305" t="n">
        <v>30</v>
      </c>
      <c r="C1305" t="n">
        <v>12</v>
      </c>
      <c r="D1305" s="218" t="n">
        <v>48.01</v>
      </c>
      <c r="E1305" s="218" t="n">
        <v>1.55</v>
      </c>
      <c r="F1305" t="str">
        <v>https://re.jrc.ec.europa.eu/api/v5_3/PVcalc?lat=30.0444&amp;lon=31.2357&amp;peakpower=1&amp;loss=14&amp;angle=20&amp;aspect=-150&amp;outputformat=json&amp;raddatabase=PVGIS-SARAH3&amp;pvtechchoice=crystSi&amp;mountingplace=free&amp;usehorizon=1</v>
      </c>
    </row>
    <row r="1306">
      <c r="A1306" t="n">
        <v>20</v>
      </c>
      <c r="B1306" t="n">
        <v>45</v>
      </c>
      <c r="C1306" t="n">
        <v>1</v>
      </c>
      <c r="D1306" s="218" t="n">
        <v>61.12</v>
      </c>
      <c r="E1306" s="218" t="n">
        <v>1.97</v>
      </c>
      <c r="F1306" t="str">
        <v>https://re.jrc.ec.europa.eu/api/v5_3/PVcalc?lat=30.0444&amp;lon=31.2357&amp;peakpower=1&amp;loss=14&amp;angle=20&amp;aspect=-135&amp;outputformat=json&amp;raddatabase=PVGIS-SARAH3&amp;pvtechchoice=crystSi&amp;mountingplace=free&amp;usehorizon=1</v>
      </c>
    </row>
    <row r="1307">
      <c r="A1307" t="n">
        <v>20</v>
      </c>
      <c r="B1307" t="n">
        <v>45</v>
      </c>
      <c r="C1307" t="n">
        <v>2</v>
      </c>
      <c r="D1307" s="218" t="n">
        <v>76.67</v>
      </c>
      <c r="E1307" s="218" t="n">
        <v>2.74</v>
      </c>
      <c r="F1307" t="str">
        <v>https://re.jrc.ec.europa.eu/api/v5_3/PVcalc?lat=30.0444&amp;lon=31.2357&amp;peakpower=1&amp;loss=14&amp;angle=20&amp;aspect=-135&amp;outputformat=json&amp;raddatabase=PVGIS-SARAH3&amp;pvtechchoice=crystSi&amp;mountingplace=free&amp;usehorizon=1</v>
      </c>
    </row>
    <row r="1308">
      <c r="A1308" t="n">
        <v>20</v>
      </c>
      <c r="B1308" t="n">
        <v>45</v>
      </c>
      <c r="C1308" t="n">
        <v>3</v>
      </c>
      <c r="D1308" s="218" t="n">
        <v>116.11</v>
      </c>
      <c r="E1308" s="218" t="n">
        <v>3.75</v>
      </c>
      <c r="F1308" t="str">
        <v>https://re.jrc.ec.europa.eu/api/v5_3/PVcalc?lat=30.0444&amp;lon=31.2357&amp;peakpower=1&amp;loss=14&amp;angle=20&amp;aspect=-135&amp;outputformat=json&amp;raddatabase=PVGIS-SARAH3&amp;pvtechchoice=crystSi&amp;mountingplace=free&amp;usehorizon=1</v>
      </c>
    </row>
    <row r="1309">
      <c r="A1309" t="n">
        <v>20</v>
      </c>
      <c r="B1309" t="n">
        <v>45</v>
      </c>
      <c r="C1309" t="n">
        <v>4</v>
      </c>
      <c r="D1309" s="218" t="n">
        <v>140.42</v>
      </c>
      <c r="E1309" s="218" t="n">
        <v>4.68</v>
      </c>
      <c r="F1309" t="str">
        <v>https://re.jrc.ec.europa.eu/api/v5_3/PVcalc?lat=30.0444&amp;lon=31.2357&amp;peakpower=1&amp;loss=14&amp;angle=20&amp;aspect=-135&amp;outputformat=json&amp;raddatabase=PVGIS-SARAH3&amp;pvtechchoice=crystSi&amp;mountingplace=free&amp;usehorizon=1</v>
      </c>
    </row>
    <row r="1310">
      <c r="A1310" t="n">
        <v>20</v>
      </c>
      <c r="B1310" t="n">
        <v>45</v>
      </c>
      <c r="C1310" t="n">
        <v>5</v>
      </c>
      <c r="D1310" s="218" t="n">
        <v>164.84</v>
      </c>
      <c r="E1310" s="218" t="n">
        <v>5.32</v>
      </c>
      <c r="F1310" t="str">
        <v>https://re.jrc.ec.europa.eu/api/v5_3/PVcalc?lat=30.0444&amp;lon=31.2357&amp;peakpower=1&amp;loss=14&amp;angle=20&amp;aspect=-135&amp;outputformat=json&amp;raddatabase=PVGIS-SARAH3&amp;pvtechchoice=crystSi&amp;mountingplace=free&amp;usehorizon=1</v>
      </c>
    </row>
    <row r="1311">
      <c r="A1311" t="n">
        <v>20</v>
      </c>
      <c r="B1311" t="n">
        <v>45</v>
      </c>
      <c r="C1311" t="n">
        <v>6</v>
      </c>
      <c r="D1311" s="218" t="n">
        <v>171.75</v>
      </c>
      <c r="E1311" s="218" t="n">
        <v>5.72</v>
      </c>
      <c r="F1311" t="str">
        <v>https://re.jrc.ec.europa.eu/api/v5_3/PVcalc?lat=30.0444&amp;lon=31.2357&amp;peakpower=1&amp;loss=14&amp;angle=20&amp;aspect=-135&amp;outputformat=json&amp;raddatabase=PVGIS-SARAH3&amp;pvtechchoice=crystSi&amp;mountingplace=free&amp;usehorizon=1</v>
      </c>
    </row>
    <row r="1312">
      <c r="A1312" t="n">
        <v>20</v>
      </c>
      <c r="B1312" t="n">
        <v>45</v>
      </c>
      <c r="C1312" t="n">
        <v>7</v>
      </c>
      <c r="D1312" s="218" t="n">
        <v>171.38</v>
      </c>
      <c r="E1312" s="218" t="n">
        <v>5.53</v>
      </c>
      <c r="F1312" t="str">
        <v>https://re.jrc.ec.europa.eu/api/v5_3/PVcalc?lat=30.0444&amp;lon=31.2357&amp;peakpower=1&amp;loss=14&amp;angle=20&amp;aspect=-135&amp;outputformat=json&amp;raddatabase=PVGIS-SARAH3&amp;pvtechchoice=crystSi&amp;mountingplace=free&amp;usehorizon=1</v>
      </c>
    </row>
    <row r="1313">
      <c r="A1313" t="n">
        <v>20</v>
      </c>
      <c r="B1313" t="n">
        <v>45</v>
      </c>
      <c r="C1313" t="n">
        <v>8</v>
      </c>
      <c r="D1313" s="218" t="n">
        <v>153.34</v>
      </c>
      <c r="E1313" s="218" t="n">
        <v>4.95</v>
      </c>
      <c r="F1313" t="str">
        <v>https://re.jrc.ec.europa.eu/api/v5_3/PVcalc?lat=30.0444&amp;lon=31.2357&amp;peakpower=1&amp;loss=14&amp;angle=20&amp;aspect=-135&amp;outputformat=json&amp;raddatabase=PVGIS-SARAH3&amp;pvtechchoice=crystSi&amp;mountingplace=free&amp;usehorizon=1</v>
      </c>
    </row>
    <row r="1314">
      <c r="A1314" t="n">
        <v>20</v>
      </c>
      <c r="B1314" t="n">
        <v>45</v>
      </c>
      <c r="C1314" t="n">
        <v>9</v>
      </c>
      <c r="D1314" s="218" t="n">
        <v>122.6</v>
      </c>
      <c r="E1314" s="218" t="n">
        <v>4.09</v>
      </c>
      <c r="F1314" t="str">
        <v>https://re.jrc.ec.europa.eu/api/v5_3/PVcalc?lat=30.0444&amp;lon=31.2357&amp;peakpower=1&amp;loss=14&amp;angle=20&amp;aspect=-135&amp;outputformat=json&amp;raddatabase=PVGIS-SARAH3&amp;pvtechchoice=crystSi&amp;mountingplace=free&amp;usehorizon=1</v>
      </c>
    </row>
    <row r="1315">
      <c r="A1315" t="n">
        <v>20</v>
      </c>
      <c r="B1315" t="n">
        <v>45</v>
      </c>
      <c r="C1315" t="n">
        <v>10</v>
      </c>
      <c r="D1315" s="218" t="n">
        <v>94.96</v>
      </c>
      <c r="E1315" s="218" t="n">
        <v>3.06</v>
      </c>
      <c r="F1315" t="str">
        <v>https://re.jrc.ec.europa.eu/api/v5_3/PVcalc?lat=30.0444&amp;lon=31.2357&amp;peakpower=1&amp;loss=14&amp;angle=20&amp;aspect=-135&amp;outputformat=json&amp;raddatabase=PVGIS-SARAH3&amp;pvtechchoice=crystSi&amp;mountingplace=free&amp;usehorizon=1</v>
      </c>
    </row>
    <row r="1316">
      <c r="A1316" t="n">
        <v>20</v>
      </c>
      <c r="B1316" t="n">
        <v>45</v>
      </c>
      <c r="C1316" t="n">
        <v>11</v>
      </c>
      <c r="D1316" s="218" t="n">
        <v>66.12</v>
      </c>
      <c r="E1316" s="218" t="n">
        <v>2.2</v>
      </c>
      <c r="F1316" t="str">
        <v>https://re.jrc.ec.europa.eu/api/v5_3/PVcalc?lat=30.0444&amp;lon=31.2357&amp;peakpower=1&amp;loss=14&amp;angle=20&amp;aspect=-135&amp;outputformat=json&amp;raddatabase=PVGIS-SARAH3&amp;pvtechchoice=crystSi&amp;mountingplace=free&amp;usehorizon=1</v>
      </c>
    </row>
    <row r="1317">
      <c r="A1317" t="n">
        <v>20</v>
      </c>
      <c r="B1317" t="n">
        <v>45</v>
      </c>
      <c r="C1317" t="n">
        <v>12</v>
      </c>
      <c r="D1317" s="218" t="n">
        <v>55.62</v>
      </c>
      <c r="E1317" s="218" t="n">
        <v>1.79</v>
      </c>
      <c r="F1317" t="str">
        <v>https://re.jrc.ec.europa.eu/api/v5_3/PVcalc?lat=30.0444&amp;lon=31.2357&amp;peakpower=1&amp;loss=14&amp;angle=20&amp;aspect=-135&amp;outputformat=json&amp;raddatabase=PVGIS-SARAH3&amp;pvtechchoice=crystSi&amp;mountingplace=free&amp;usehorizon=1</v>
      </c>
    </row>
    <row r="1318">
      <c r="A1318" t="n">
        <v>20</v>
      </c>
      <c r="B1318" t="n">
        <v>60</v>
      </c>
      <c r="C1318" t="n">
        <v>1</v>
      </c>
      <c r="D1318" s="218" t="n">
        <v>69.41</v>
      </c>
      <c r="E1318" s="218" t="n">
        <v>2.24</v>
      </c>
      <c r="F1318" t="str">
        <v>https://re.jrc.ec.europa.eu/api/v5_3/PVcalc?lat=30.0444&amp;lon=31.2357&amp;peakpower=1&amp;loss=14&amp;angle=20&amp;aspect=-120&amp;outputformat=json&amp;raddatabase=PVGIS-SARAH3&amp;pvtechchoice=crystSi&amp;mountingplace=free&amp;usehorizon=1</v>
      </c>
    </row>
    <row r="1319">
      <c r="A1319" t="n">
        <v>20</v>
      </c>
      <c r="B1319" t="n">
        <v>60</v>
      </c>
      <c r="C1319" t="n">
        <v>2</v>
      </c>
      <c r="D1319" s="218" t="n">
        <v>83.47</v>
      </c>
      <c r="E1319" s="218" t="n">
        <v>2.98</v>
      </c>
      <c r="F1319" t="str">
        <v>https://re.jrc.ec.europa.eu/api/v5_3/PVcalc?lat=30.0444&amp;lon=31.2357&amp;peakpower=1&amp;loss=14&amp;angle=20&amp;aspect=-120&amp;outputformat=json&amp;raddatabase=PVGIS-SARAH3&amp;pvtechchoice=crystSi&amp;mountingplace=free&amp;usehorizon=1</v>
      </c>
    </row>
    <row r="1320">
      <c r="A1320" t="n">
        <v>20</v>
      </c>
      <c r="B1320" t="n">
        <v>60</v>
      </c>
      <c r="C1320" t="n">
        <v>3</v>
      </c>
      <c r="D1320" s="218" t="n">
        <v>121.54</v>
      </c>
      <c r="E1320" s="218" t="n">
        <v>3.92</v>
      </c>
      <c r="F1320" t="str">
        <v>https://re.jrc.ec.europa.eu/api/v5_3/PVcalc?lat=30.0444&amp;lon=31.2357&amp;peakpower=1&amp;loss=14&amp;angle=20&amp;aspect=-120&amp;outputformat=json&amp;raddatabase=PVGIS-SARAH3&amp;pvtechchoice=crystSi&amp;mountingplace=free&amp;usehorizon=1</v>
      </c>
    </row>
    <row r="1321">
      <c r="A1321" t="n">
        <v>20</v>
      </c>
      <c r="B1321" t="n">
        <v>60</v>
      </c>
      <c r="C1321" t="n">
        <v>4</v>
      </c>
      <c r="D1321" s="218" t="n">
        <v>143.37</v>
      </c>
      <c r="E1321" s="218" t="n">
        <v>4.78</v>
      </c>
      <c r="F1321" t="str">
        <v>https://re.jrc.ec.europa.eu/api/v5_3/PVcalc?lat=30.0444&amp;lon=31.2357&amp;peakpower=1&amp;loss=14&amp;angle=20&amp;aspect=-120&amp;outputformat=json&amp;raddatabase=PVGIS-SARAH3&amp;pvtechchoice=crystSi&amp;mountingplace=free&amp;usehorizon=1</v>
      </c>
    </row>
    <row r="1322">
      <c r="A1322" t="n">
        <v>20</v>
      </c>
      <c r="B1322" t="n">
        <v>60</v>
      </c>
      <c r="C1322" t="n">
        <v>5</v>
      </c>
      <c r="D1322" s="218" t="n">
        <v>165.21</v>
      </c>
      <c r="E1322" s="218" t="n">
        <v>5.33</v>
      </c>
      <c r="F1322" t="str">
        <v>https://re.jrc.ec.europa.eu/api/v5_3/PVcalc?lat=30.0444&amp;lon=31.2357&amp;peakpower=1&amp;loss=14&amp;angle=20&amp;aspect=-120&amp;outputformat=json&amp;raddatabase=PVGIS-SARAH3&amp;pvtechchoice=crystSi&amp;mountingplace=free&amp;usehorizon=1</v>
      </c>
    </row>
    <row r="1323">
      <c r="A1323" t="n">
        <v>20</v>
      </c>
      <c r="B1323" t="n">
        <v>60</v>
      </c>
      <c r="C1323" t="n">
        <v>6</v>
      </c>
      <c r="D1323" s="218" t="n">
        <v>171.02</v>
      </c>
      <c r="E1323" s="218" t="n">
        <v>5.7</v>
      </c>
      <c r="F1323" t="str">
        <v>https://re.jrc.ec.europa.eu/api/v5_3/PVcalc?lat=30.0444&amp;lon=31.2357&amp;peakpower=1&amp;loss=14&amp;angle=20&amp;aspect=-120&amp;outputformat=json&amp;raddatabase=PVGIS-SARAH3&amp;pvtechchoice=crystSi&amp;mountingplace=free&amp;usehorizon=1</v>
      </c>
    </row>
    <row r="1324">
      <c r="A1324" t="n">
        <v>20</v>
      </c>
      <c r="B1324" t="n">
        <v>60</v>
      </c>
      <c r="C1324" t="n">
        <v>7</v>
      </c>
      <c r="D1324" s="218" t="n">
        <v>171</v>
      </c>
      <c r="E1324" s="218" t="n">
        <v>5.52</v>
      </c>
      <c r="F1324" t="str">
        <v>https://re.jrc.ec.europa.eu/api/v5_3/PVcalc?lat=30.0444&amp;lon=31.2357&amp;peakpower=1&amp;loss=14&amp;angle=20&amp;aspect=-120&amp;outputformat=json&amp;raddatabase=PVGIS-SARAH3&amp;pvtechchoice=crystSi&amp;mountingplace=free&amp;usehorizon=1</v>
      </c>
    </row>
    <row r="1325">
      <c r="A1325" t="n">
        <v>20</v>
      </c>
      <c r="B1325" t="n">
        <v>60</v>
      </c>
      <c r="C1325" t="n">
        <v>8</v>
      </c>
      <c r="D1325" s="218" t="n">
        <v>155.23</v>
      </c>
      <c r="E1325" s="218" t="n">
        <v>5.01</v>
      </c>
      <c r="F1325" t="str">
        <v>https://re.jrc.ec.europa.eu/api/v5_3/PVcalc?lat=30.0444&amp;lon=31.2357&amp;peakpower=1&amp;loss=14&amp;angle=20&amp;aspect=-120&amp;outputformat=json&amp;raddatabase=PVGIS-SARAH3&amp;pvtechchoice=crystSi&amp;mountingplace=free&amp;usehorizon=1</v>
      </c>
    </row>
    <row r="1326">
      <c r="A1326" t="n">
        <v>20</v>
      </c>
      <c r="B1326" t="n">
        <v>60</v>
      </c>
      <c r="C1326" t="n">
        <v>9</v>
      </c>
      <c r="D1326" s="218" t="n">
        <v>126.96</v>
      </c>
      <c r="E1326" s="218" t="n">
        <v>4.23</v>
      </c>
      <c r="F1326" t="str">
        <v>https://re.jrc.ec.europa.eu/api/v5_3/PVcalc?lat=30.0444&amp;lon=31.2357&amp;peakpower=1&amp;loss=14&amp;angle=20&amp;aspect=-120&amp;outputformat=json&amp;raddatabase=PVGIS-SARAH3&amp;pvtechchoice=crystSi&amp;mountingplace=free&amp;usehorizon=1</v>
      </c>
    </row>
    <row r="1327">
      <c r="A1327" t="n">
        <v>20</v>
      </c>
      <c r="B1327" t="n">
        <v>60</v>
      </c>
      <c r="C1327" t="n">
        <v>10</v>
      </c>
      <c r="D1327" s="218" t="n">
        <v>102.1</v>
      </c>
      <c r="E1327" s="218" t="n">
        <v>3.29</v>
      </c>
      <c r="F1327" t="str">
        <v>https://re.jrc.ec.europa.eu/api/v5_3/PVcalc?lat=30.0444&amp;lon=31.2357&amp;peakpower=1&amp;loss=14&amp;angle=20&amp;aspect=-120&amp;outputformat=json&amp;raddatabase=PVGIS-SARAH3&amp;pvtechchoice=crystSi&amp;mountingplace=free&amp;usehorizon=1</v>
      </c>
    </row>
    <row r="1328">
      <c r="A1328" t="n">
        <v>20</v>
      </c>
      <c r="B1328" t="n">
        <v>60</v>
      </c>
      <c r="C1328" t="n">
        <v>11</v>
      </c>
      <c r="D1328" s="218" t="n">
        <v>74.52</v>
      </c>
      <c r="E1328" s="218" t="n">
        <v>2.48</v>
      </c>
      <c r="F1328" t="str">
        <v>https://re.jrc.ec.europa.eu/api/v5_3/PVcalc?lat=30.0444&amp;lon=31.2357&amp;peakpower=1&amp;loss=14&amp;angle=20&amp;aspect=-120&amp;outputformat=json&amp;raddatabase=PVGIS-SARAH3&amp;pvtechchoice=crystSi&amp;mountingplace=free&amp;usehorizon=1</v>
      </c>
    </row>
    <row r="1329">
      <c r="A1329" t="n">
        <v>20</v>
      </c>
      <c r="B1329" t="n">
        <v>60</v>
      </c>
      <c r="C1329" t="n">
        <v>12</v>
      </c>
      <c r="D1329" s="218" t="n">
        <v>64.38</v>
      </c>
      <c r="E1329" s="218" t="n">
        <v>2.08</v>
      </c>
      <c r="F1329" t="str">
        <v>https://re.jrc.ec.europa.eu/api/v5_3/PVcalc?lat=30.0444&amp;lon=31.2357&amp;peakpower=1&amp;loss=14&amp;angle=20&amp;aspect=-120&amp;outputformat=json&amp;raddatabase=PVGIS-SARAH3&amp;pvtechchoice=crystSi&amp;mountingplace=free&amp;usehorizon=1</v>
      </c>
    </row>
    <row r="1330">
      <c r="A1330" t="n">
        <v>20</v>
      </c>
      <c r="B1330" t="n">
        <v>75</v>
      </c>
      <c r="C1330" t="n">
        <v>1</v>
      </c>
      <c r="D1330" s="218" t="n">
        <v>78.35</v>
      </c>
      <c r="E1330" s="218" t="n">
        <v>2.53</v>
      </c>
      <c r="F1330" t="str">
        <v>https://re.jrc.ec.europa.eu/api/v5_3/PVcalc?lat=30.0444&amp;lon=31.2357&amp;peakpower=1&amp;loss=14&amp;angle=20&amp;aspect=-105&amp;outputformat=json&amp;raddatabase=PVGIS-SARAH3&amp;pvtechchoice=crystSi&amp;mountingplace=free&amp;usehorizon=1</v>
      </c>
    </row>
    <row r="1331">
      <c r="A1331" t="n">
        <v>20</v>
      </c>
      <c r="B1331" t="n">
        <v>75</v>
      </c>
      <c r="C1331" t="n">
        <v>2</v>
      </c>
      <c r="D1331" s="218" t="n">
        <v>90.57</v>
      </c>
      <c r="E1331" s="218" t="n">
        <v>3.23</v>
      </c>
      <c r="F1331" t="str">
        <v>https://re.jrc.ec.europa.eu/api/v5_3/PVcalc?lat=30.0444&amp;lon=31.2357&amp;peakpower=1&amp;loss=14&amp;angle=20&amp;aspect=-105&amp;outputformat=json&amp;raddatabase=PVGIS-SARAH3&amp;pvtechchoice=crystSi&amp;mountingplace=free&amp;usehorizon=1</v>
      </c>
    </row>
    <row r="1332">
      <c r="A1332" t="n">
        <v>20</v>
      </c>
      <c r="B1332" t="n">
        <v>75</v>
      </c>
      <c r="C1332" t="n">
        <v>3</v>
      </c>
      <c r="D1332" s="218" t="n">
        <v>127.57</v>
      </c>
      <c r="E1332" s="218" t="n">
        <v>4.12</v>
      </c>
      <c r="F1332" t="str">
        <v>https://re.jrc.ec.europa.eu/api/v5_3/PVcalc?lat=30.0444&amp;lon=31.2357&amp;peakpower=1&amp;loss=14&amp;angle=20&amp;aspect=-105&amp;outputformat=json&amp;raddatabase=PVGIS-SARAH3&amp;pvtechchoice=crystSi&amp;mountingplace=free&amp;usehorizon=1</v>
      </c>
    </row>
    <row r="1333">
      <c r="A1333" t="n">
        <v>20</v>
      </c>
      <c r="B1333" t="n">
        <v>75</v>
      </c>
      <c r="C1333" t="n">
        <v>4</v>
      </c>
      <c r="D1333" s="218" t="n">
        <v>146.6</v>
      </c>
      <c r="E1333" s="218" t="n">
        <v>4.89</v>
      </c>
      <c r="F1333" t="str">
        <v>https://re.jrc.ec.europa.eu/api/v5_3/PVcalc?lat=30.0444&amp;lon=31.2357&amp;peakpower=1&amp;loss=14&amp;angle=20&amp;aspect=-105&amp;outputformat=json&amp;raddatabase=PVGIS-SARAH3&amp;pvtechchoice=crystSi&amp;mountingplace=free&amp;usehorizon=1</v>
      </c>
    </row>
    <row r="1334">
      <c r="A1334" t="n">
        <v>20</v>
      </c>
      <c r="B1334" t="n">
        <v>75</v>
      </c>
      <c r="C1334" t="n">
        <v>5</v>
      </c>
      <c r="D1334" s="218" t="n">
        <v>166.26</v>
      </c>
      <c r="E1334" s="218" t="n">
        <v>5.36</v>
      </c>
      <c r="F1334" t="str">
        <v>https://re.jrc.ec.europa.eu/api/v5_3/PVcalc?lat=30.0444&amp;lon=31.2357&amp;peakpower=1&amp;loss=14&amp;angle=20&amp;aspect=-105&amp;outputformat=json&amp;raddatabase=PVGIS-SARAH3&amp;pvtechchoice=crystSi&amp;mountingplace=free&amp;usehorizon=1</v>
      </c>
    </row>
    <row r="1335">
      <c r="A1335" t="n">
        <v>20</v>
      </c>
      <c r="B1335" t="n">
        <v>75</v>
      </c>
      <c r="C1335" t="n">
        <v>6</v>
      </c>
      <c r="D1335" s="218" t="n">
        <v>170.4</v>
      </c>
      <c r="E1335" s="218" t="n">
        <v>5.68</v>
      </c>
      <c r="F1335" t="str">
        <v>https://re.jrc.ec.europa.eu/api/v5_3/PVcalc?lat=30.0444&amp;lon=31.2357&amp;peakpower=1&amp;loss=14&amp;angle=20&amp;aspect=-105&amp;outputformat=json&amp;raddatabase=PVGIS-SARAH3&amp;pvtechchoice=crystSi&amp;mountingplace=free&amp;usehorizon=1</v>
      </c>
    </row>
    <row r="1336">
      <c r="A1336" t="n">
        <v>20</v>
      </c>
      <c r="B1336" t="n">
        <v>75</v>
      </c>
      <c r="C1336" t="n">
        <v>7</v>
      </c>
      <c r="D1336" s="218" t="n">
        <v>170.91</v>
      </c>
      <c r="E1336" s="218" t="n">
        <v>5.51</v>
      </c>
      <c r="F1336" t="str">
        <v>https://re.jrc.ec.europa.eu/api/v5_3/PVcalc?lat=30.0444&amp;lon=31.2357&amp;peakpower=1&amp;loss=14&amp;angle=20&amp;aspect=-105&amp;outputformat=json&amp;raddatabase=PVGIS-SARAH3&amp;pvtechchoice=crystSi&amp;mountingplace=free&amp;usehorizon=1</v>
      </c>
    </row>
    <row r="1337">
      <c r="A1337" t="n">
        <v>20</v>
      </c>
      <c r="B1337" t="n">
        <v>75</v>
      </c>
      <c r="C1337" t="n">
        <v>8</v>
      </c>
      <c r="D1337" s="218" t="n">
        <v>157.78</v>
      </c>
      <c r="E1337" s="218" t="n">
        <v>5.09</v>
      </c>
      <c r="F1337" t="str">
        <v>https://re.jrc.ec.europa.eu/api/v5_3/PVcalc?lat=30.0444&amp;lon=31.2357&amp;peakpower=1&amp;loss=14&amp;angle=20&amp;aspect=-105&amp;outputformat=json&amp;raddatabase=PVGIS-SARAH3&amp;pvtechchoice=crystSi&amp;mountingplace=free&amp;usehorizon=1</v>
      </c>
    </row>
    <row r="1338">
      <c r="A1338" t="n">
        <v>20</v>
      </c>
      <c r="B1338" t="n">
        <v>75</v>
      </c>
      <c r="C1338" t="n">
        <v>9</v>
      </c>
      <c r="D1338" s="218" t="n">
        <v>132.02</v>
      </c>
      <c r="E1338" s="218" t="n">
        <v>4.4</v>
      </c>
      <c r="F1338" t="str">
        <v>https://re.jrc.ec.europa.eu/api/v5_3/PVcalc?lat=30.0444&amp;lon=31.2357&amp;peakpower=1&amp;loss=14&amp;angle=20&amp;aspect=-105&amp;outputformat=json&amp;raddatabase=PVGIS-SARAH3&amp;pvtechchoice=crystSi&amp;mountingplace=free&amp;usehorizon=1</v>
      </c>
    </row>
    <row r="1339">
      <c r="A1339" t="n">
        <v>20</v>
      </c>
      <c r="B1339" t="n">
        <v>75</v>
      </c>
      <c r="C1339" t="n">
        <v>10</v>
      </c>
      <c r="D1339" s="218" t="n">
        <v>109.79</v>
      </c>
      <c r="E1339" s="218" t="n">
        <v>3.54</v>
      </c>
      <c r="F1339" t="str">
        <v>https://re.jrc.ec.europa.eu/api/v5_3/PVcalc?lat=30.0444&amp;lon=31.2357&amp;peakpower=1&amp;loss=14&amp;angle=20&amp;aspect=-105&amp;outputformat=json&amp;raddatabase=PVGIS-SARAH3&amp;pvtechchoice=crystSi&amp;mountingplace=free&amp;usehorizon=1</v>
      </c>
    </row>
    <row r="1340">
      <c r="A1340" t="n">
        <v>20</v>
      </c>
      <c r="B1340" t="n">
        <v>75</v>
      </c>
      <c r="C1340" t="n">
        <v>11</v>
      </c>
      <c r="D1340" s="218" t="n">
        <v>83.18</v>
      </c>
      <c r="E1340" s="218" t="n">
        <v>2.77</v>
      </c>
      <c r="F1340" t="str">
        <v>https://re.jrc.ec.europa.eu/api/v5_3/PVcalc?lat=30.0444&amp;lon=31.2357&amp;peakpower=1&amp;loss=14&amp;angle=20&amp;aspect=-105&amp;outputformat=json&amp;raddatabase=PVGIS-SARAH3&amp;pvtechchoice=crystSi&amp;mountingplace=free&amp;usehorizon=1</v>
      </c>
    </row>
    <row r="1341">
      <c r="A1341" t="n">
        <v>20</v>
      </c>
      <c r="B1341" t="n">
        <v>75</v>
      </c>
      <c r="C1341" t="n">
        <v>12</v>
      </c>
      <c r="D1341" s="218" t="n">
        <v>73.26</v>
      </c>
      <c r="E1341" s="218" t="n">
        <v>2.36</v>
      </c>
      <c r="F1341" t="str">
        <v>https://re.jrc.ec.europa.eu/api/v5_3/PVcalc?lat=30.0444&amp;lon=31.2357&amp;peakpower=1&amp;loss=14&amp;angle=20&amp;aspect=-105&amp;outputformat=json&amp;raddatabase=PVGIS-SARAH3&amp;pvtechchoice=crystSi&amp;mountingplace=free&amp;usehorizon=1</v>
      </c>
    </row>
    <row r="1342">
      <c r="A1342" t="n">
        <v>20</v>
      </c>
      <c r="B1342" t="n">
        <v>90</v>
      </c>
      <c r="C1342" t="n">
        <v>1</v>
      </c>
      <c r="D1342" s="218" t="n">
        <v>87.41</v>
      </c>
      <c r="E1342" s="218" t="n">
        <v>2.82</v>
      </c>
      <c r="F1342" t="str">
        <v>https://re.jrc.ec.europa.eu/api/v5_3/PVcalc?lat=30.0444&amp;lon=31.2357&amp;peakpower=1&amp;loss=14&amp;angle=20&amp;aspect=-90&amp;outputformat=json&amp;raddatabase=PVGIS-SARAH3&amp;pvtechchoice=crystSi&amp;mountingplace=free&amp;usehorizon=1</v>
      </c>
    </row>
    <row r="1343">
      <c r="A1343" t="n">
        <v>20</v>
      </c>
      <c r="B1343" t="n">
        <v>90</v>
      </c>
      <c r="C1343" t="n">
        <v>2</v>
      </c>
      <c r="D1343" s="218" t="n">
        <v>97.48</v>
      </c>
      <c r="E1343" s="218" t="n">
        <v>3.48</v>
      </c>
      <c r="F1343" t="str">
        <v>https://re.jrc.ec.europa.eu/api/v5_3/PVcalc?lat=30.0444&amp;lon=31.2357&amp;peakpower=1&amp;loss=14&amp;angle=20&amp;aspect=-90&amp;outputformat=json&amp;raddatabase=PVGIS-SARAH3&amp;pvtechchoice=crystSi&amp;mountingplace=free&amp;usehorizon=1</v>
      </c>
    </row>
    <row r="1344">
      <c r="A1344" t="n">
        <v>20</v>
      </c>
      <c r="B1344" t="n">
        <v>90</v>
      </c>
      <c r="C1344" t="n">
        <v>3</v>
      </c>
      <c r="D1344" s="218" t="n">
        <v>133.77</v>
      </c>
      <c r="E1344" s="218" t="n">
        <v>4.32</v>
      </c>
      <c r="F1344" t="str">
        <v>https://re.jrc.ec.europa.eu/api/v5_3/PVcalc?lat=30.0444&amp;lon=31.2357&amp;peakpower=1&amp;loss=14&amp;angle=20&amp;aspect=-90&amp;outputformat=json&amp;raddatabase=PVGIS-SARAH3&amp;pvtechchoice=crystSi&amp;mountingplace=free&amp;usehorizon=1</v>
      </c>
    </row>
    <row r="1345">
      <c r="A1345" t="n">
        <v>20</v>
      </c>
      <c r="B1345" t="n">
        <v>90</v>
      </c>
      <c r="C1345" t="n">
        <v>4</v>
      </c>
      <c r="D1345" s="218" t="n">
        <v>149.96</v>
      </c>
      <c r="E1345" s="218" t="n">
        <v>5</v>
      </c>
      <c r="F1345" t="str">
        <v>https://re.jrc.ec.europa.eu/api/v5_3/PVcalc?lat=30.0444&amp;lon=31.2357&amp;peakpower=1&amp;loss=14&amp;angle=20&amp;aspect=-90&amp;outputformat=json&amp;raddatabase=PVGIS-SARAH3&amp;pvtechchoice=crystSi&amp;mountingplace=free&amp;usehorizon=1</v>
      </c>
    </row>
    <row r="1346">
      <c r="A1346" t="n">
        <v>20</v>
      </c>
      <c r="B1346" t="n">
        <v>90</v>
      </c>
      <c r="C1346" t="n">
        <v>5</v>
      </c>
      <c r="D1346" s="218" t="n">
        <v>167.58</v>
      </c>
      <c r="E1346" s="218" t="n">
        <v>5.41</v>
      </c>
      <c r="F1346" t="str">
        <v>https://re.jrc.ec.europa.eu/api/v5_3/PVcalc?lat=30.0444&amp;lon=31.2357&amp;peakpower=1&amp;loss=14&amp;angle=20&amp;aspect=-90&amp;outputformat=json&amp;raddatabase=PVGIS-SARAH3&amp;pvtechchoice=crystSi&amp;mountingplace=free&amp;usehorizon=1</v>
      </c>
    </row>
    <row r="1347">
      <c r="A1347" t="n">
        <v>20</v>
      </c>
      <c r="B1347" t="n">
        <v>90</v>
      </c>
      <c r="C1347" t="n">
        <v>6</v>
      </c>
      <c r="D1347" s="218" t="n">
        <v>170.04</v>
      </c>
      <c r="E1347" s="218" t="n">
        <v>5.67</v>
      </c>
      <c r="F1347" t="str">
        <v>https://re.jrc.ec.europa.eu/api/v5_3/PVcalc?lat=30.0444&amp;lon=31.2357&amp;peakpower=1&amp;loss=14&amp;angle=20&amp;aspect=-90&amp;outputformat=json&amp;raddatabase=PVGIS-SARAH3&amp;pvtechchoice=crystSi&amp;mountingplace=free&amp;usehorizon=1</v>
      </c>
    </row>
    <row r="1348">
      <c r="A1348" t="n">
        <v>20</v>
      </c>
      <c r="B1348" t="n">
        <v>90</v>
      </c>
      <c r="C1348" t="n">
        <v>7</v>
      </c>
      <c r="D1348" s="218" t="n">
        <v>171.17</v>
      </c>
      <c r="E1348" s="218" t="n">
        <v>5.52</v>
      </c>
      <c r="F1348" t="str">
        <v>https://re.jrc.ec.europa.eu/api/v5_3/PVcalc?lat=30.0444&amp;lon=31.2357&amp;peakpower=1&amp;loss=14&amp;angle=20&amp;aspect=-90&amp;outputformat=json&amp;raddatabase=PVGIS-SARAH3&amp;pvtechchoice=crystSi&amp;mountingplace=free&amp;usehorizon=1</v>
      </c>
    </row>
    <row r="1349">
      <c r="A1349" t="n">
        <v>20</v>
      </c>
      <c r="B1349" t="n">
        <v>90</v>
      </c>
      <c r="C1349" t="n">
        <v>8</v>
      </c>
      <c r="D1349" s="218" t="n">
        <v>160.59</v>
      </c>
      <c r="E1349" s="218" t="n">
        <v>5.18</v>
      </c>
      <c r="F1349" t="str">
        <v>https://re.jrc.ec.europa.eu/api/v5_3/PVcalc?lat=30.0444&amp;lon=31.2357&amp;peakpower=1&amp;loss=14&amp;angle=20&amp;aspect=-90&amp;outputformat=json&amp;raddatabase=PVGIS-SARAH3&amp;pvtechchoice=crystSi&amp;mountingplace=free&amp;usehorizon=1</v>
      </c>
    </row>
    <row r="1350">
      <c r="A1350" t="n">
        <v>20</v>
      </c>
      <c r="B1350" t="n">
        <v>90</v>
      </c>
      <c r="C1350" t="n">
        <v>9</v>
      </c>
      <c r="D1350" s="218" t="n">
        <v>137.25</v>
      </c>
      <c r="E1350" s="218" t="n">
        <v>4.57</v>
      </c>
      <c r="F1350" t="str">
        <v>https://re.jrc.ec.europa.eu/api/v5_3/PVcalc?lat=30.0444&amp;lon=31.2357&amp;peakpower=1&amp;loss=14&amp;angle=20&amp;aspect=-90&amp;outputformat=json&amp;raddatabase=PVGIS-SARAH3&amp;pvtechchoice=crystSi&amp;mountingplace=free&amp;usehorizon=1</v>
      </c>
    </row>
    <row r="1351">
      <c r="A1351" t="n">
        <v>20</v>
      </c>
      <c r="B1351" t="n">
        <v>90</v>
      </c>
      <c r="C1351" t="n">
        <v>10</v>
      </c>
      <c r="D1351" s="218" t="n">
        <v>117.64</v>
      </c>
      <c r="E1351" s="218" t="n">
        <v>3.79</v>
      </c>
      <c r="F1351" t="str">
        <v>https://re.jrc.ec.europa.eu/api/v5_3/PVcalc?lat=30.0444&amp;lon=31.2357&amp;peakpower=1&amp;loss=14&amp;angle=20&amp;aspect=-90&amp;outputformat=json&amp;raddatabase=PVGIS-SARAH3&amp;pvtechchoice=crystSi&amp;mountingplace=free&amp;usehorizon=1</v>
      </c>
    </row>
    <row r="1352">
      <c r="A1352" t="n">
        <v>20</v>
      </c>
      <c r="B1352" t="n">
        <v>90</v>
      </c>
      <c r="C1352" t="n">
        <v>11</v>
      </c>
      <c r="D1352" s="218" t="n">
        <v>92.35</v>
      </c>
      <c r="E1352" s="218" t="n">
        <v>3.08</v>
      </c>
      <c r="F1352" t="str">
        <v>https://re.jrc.ec.europa.eu/api/v5_3/PVcalc?lat=30.0444&amp;lon=31.2357&amp;peakpower=1&amp;loss=14&amp;angle=20&amp;aspect=-90&amp;outputformat=json&amp;raddatabase=PVGIS-SARAH3&amp;pvtechchoice=crystSi&amp;mountingplace=free&amp;usehorizon=1</v>
      </c>
    </row>
    <row r="1353">
      <c r="A1353" t="n">
        <v>20</v>
      </c>
      <c r="B1353" t="n">
        <v>90</v>
      </c>
      <c r="C1353" t="n">
        <v>12</v>
      </c>
      <c r="D1353" s="218" t="n">
        <v>82.95</v>
      </c>
      <c r="E1353" s="218" t="n">
        <v>2.68</v>
      </c>
      <c r="F1353" t="str">
        <v>https://re.jrc.ec.europa.eu/api/v5_3/PVcalc?lat=30.0444&amp;lon=31.2357&amp;peakpower=1&amp;loss=14&amp;angle=20&amp;aspect=-90&amp;outputformat=json&amp;raddatabase=PVGIS-SARAH3&amp;pvtechchoice=crystSi&amp;mountingplace=free&amp;usehorizon=1</v>
      </c>
    </row>
    <row r="1354">
      <c r="A1354" t="n">
        <v>20</v>
      </c>
      <c r="B1354" t="n">
        <v>105</v>
      </c>
      <c r="C1354" t="n">
        <v>1</v>
      </c>
      <c r="D1354" s="218" t="n">
        <v>96</v>
      </c>
      <c r="E1354" s="218" t="n">
        <v>3.1</v>
      </c>
      <c r="F1354" t="str">
        <v>https://re.jrc.ec.europa.eu/api/v5_3/PVcalc?lat=30.0444&amp;lon=31.2357&amp;peakpower=1&amp;loss=14&amp;angle=20&amp;aspect=-75&amp;outputformat=json&amp;raddatabase=PVGIS-SARAH3&amp;pvtechchoice=crystSi&amp;mountingplace=free&amp;usehorizon=1</v>
      </c>
    </row>
    <row r="1355">
      <c r="A1355" t="n">
        <v>20</v>
      </c>
      <c r="B1355" t="n">
        <v>105</v>
      </c>
      <c r="C1355" t="n">
        <v>2</v>
      </c>
      <c r="D1355" s="218" t="n">
        <v>104.02</v>
      </c>
      <c r="E1355" s="218" t="n">
        <v>3.72</v>
      </c>
      <c r="F1355" t="str">
        <v>https://re.jrc.ec.europa.eu/api/v5_3/PVcalc?lat=30.0444&amp;lon=31.2357&amp;peakpower=1&amp;loss=14&amp;angle=20&amp;aspect=-75&amp;outputformat=json&amp;raddatabase=PVGIS-SARAH3&amp;pvtechchoice=crystSi&amp;mountingplace=free&amp;usehorizon=1</v>
      </c>
    </row>
    <row r="1356">
      <c r="A1356" t="n">
        <v>20</v>
      </c>
      <c r="B1356" t="n">
        <v>105</v>
      </c>
      <c r="C1356" t="n">
        <v>3</v>
      </c>
      <c r="D1356" s="218" t="n">
        <v>139.8</v>
      </c>
      <c r="E1356" s="218" t="n">
        <v>4.51</v>
      </c>
      <c r="F1356" t="str">
        <v>https://re.jrc.ec.europa.eu/api/v5_3/PVcalc?lat=30.0444&amp;lon=31.2357&amp;peakpower=1&amp;loss=14&amp;angle=20&amp;aspect=-75&amp;outputformat=json&amp;raddatabase=PVGIS-SARAH3&amp;pvtechchoice=crystSi&amp;mountingplace=free&amp;usehorizon=1</v>
      </c>
    </row>
    <row r="1357">
      <c r="A1357" t="n">
        <v>20</v>
      </c>
      <c r="B1357" t="n">
        <v>105</v>
      </c>
      <c r="C1357" t="n">
        <v>4</v>
      </c>
      <c r="D1357" s="218" t="n">
        <v>153.28</v>
      </c>
      <c r="E1357" s="218" t="n">
        <v>5.11</v>
      </c>
      <c r="F1357" t="str">
        <v>https://re.jrc.ec.europa.eu/api/v5_3/PVcalc?lat=30.0444&amp;lon=31.2357&amp;peakpower=1&amp;loss=14&amp;angle=20&amp;aspect=-75&amp;outputformat=json&amp;raddatabase=PVGIS-SARAH3&amp;pvtechchoice=crystSi&amp;mountingplace=free&amp;usehorizon=1</v>
      </c>
    </row>
    <row r="1358">
      <c r="A1358" t="n">
        <v>20</v>
      </c>
      <c r="B1358" t="n">
        <v>105</v>
      </c>
      <c r="C1358" t="n">
        <v>5</v>
      </c>
      <c r="D1358" s="218" t="n">
        <v>168.64</v>
      </c>
      <c r="E1358" s="218" t="n">
        <v>5.44</v>
      </c>
      <c r="F1358" t="str">
        <v>https://re.jrc.ec.europa.eu/api/v5_3/PVcalc?lat=30.0444&amp;lon=31.2357&amp;peakpower=1&amp;loss=14&amp;angle=20&amp;aspect=-75&amp;outputformat=json&amp;raddatabase=PVGIS-SARAH3&amp;pvtechchoice=crystSi&amp;mountingplace=free&amp;usehorizon=1</v>
      </c>
    </row>
    <row r="1359">
      <c r="A1359" t="n">
        <v>20</v>
      </c>
      <c r="B1359" t="n">
        <v>105</v>
      </c>
      <c r="C1359" t="n">
        <v>6</v>
      </c>
      <c r="D1359" s="218" t="n">
        <v>169.83</v>
      </c>
      <c r="E1359" s="218" t="n">
        <v>5.66</v>
      </c>
      <c r="F1359" t="str">
        <v>https://re.jrc.ec.europa.eu/api/v5_3/PVcalc?lat=30.0444&amp;lon=31.2357&amp;peakpower=1&amp;loss=14&amp;angle=20&amp;aspect=-75&amp;outputformat=json&amp;raddatabase=PVGIS-SARAH3&amp;pvtechchoice=crystSi&amp;mountingplace=free&amp;usehorizon=1</v>
      </c>
    </row>
    <row r="1360">
      <c r="A1360" t="n">
        <v>20</v>
      </c>
      <c r="B1360" t="n">
        <v>105</v>
      </c>
      <c r="C1360" t="n">
        <v>7</v>
      </c>
      <c r="D1360" s="218" t="n">
        <v>171.6</v>
      </c>
      <c r="E1360" s="218" t="n">
        <v>5.54</v>
      </c>
      <c r="F1360" t="str">
        <v>https://re.jrc.ec.europa.eu/api/v5_3/PVcalc?lat=30.0444&amp;lon=31.2357&amp;peakpower=1&amp;loss=14&amp;angle=20&amp;aspect=-75&amp;outputformat=json&amp;raddatabase=PVGIS-SARAH3&amp;pvtechchoice=crystSi&amp;mountingplace=free&amp;usehorizon=1</v>
      </c>
    </row>
    <row r="1361">
      <c r="A1361" t="n">
        <v>20</v>
      </c>
      <c r="B1361" t="n">
        <v>105</v>
      </c>
      <c r="C1361" t="n">
        <v>8</v>
      </c>
      <c r="D1361" s="218" t="n">
        <v>163.24</v>
      </c>
      <c r="E1361" s="218" t="n">
        <v>5.27</v>
      </c>
      <c r="F1361" t="str">
        <v>https://re.jrc.ec.europa.eu/api/v5_3/PVcalc?lat=30.0444&amp;lon=31.2357&amp;peakpower=1&amp;loss=14&amp;angle=20&amp;aspect=-75&amp;outputformat=json&amp;raddatabase=PVGIS-SARAH3&amp;pvtechchoice=crystSi&amp;mountingplace=free&amp;usehorizon=1</v>
      </c>
    </row>
    <row r="1362">
      <c r="A1362" t="n">
        <v>20</v>
      </c>
      <c r="B1362" t="n">
        <v>105</v>
      </c>
      <c r="C1362" t="n">
        <v>9</v>
      </c>
      <c r="D1362" s="218" t="n">
        <v>142.45</v>
      </c>
      <c r="E1362" s="218" t="n">
        <v>4.75</v>
      </c>
      <c r="F1362" t="str">
        <v>https://re.jrc.ec.europa.eu/api/v5_3/PVcalc?lat=30.0444&amp;lon=31.2357&amp;peakpower=1&amp;loss=14&amp;angle=20&amp;aspect=-75&amp;outputformat=json&amp;raddatabase=PVGIS-SARAH3&amp;pvtechchoice=crystSi&amp;mountingplace=free&amp;usehorizon=1</v>
      </c>
    </row>
    <row r="1363">
      <c r="A1363" t="n">
        <v>20</v>
      </c>
      <c r="B1363" t="n">
        <v>105</v>
      </c>
      <c r="C1363" t="n">
        <v>10</v>
      </c>
      <c r="D1363" s="218" t="n">
        <v>125.08</v>
      </c>
      <c r="E1363" s="218" t="n">
        <v>4.03</v>
      </c>
      <c r="F1363" t="str">
        <v>https://re.jrc.ec.europa.eu/api/v5_3/PVcalc?lat=30.0444&amp;lon=31.2357&amp;peakpower=1&amp;loss=14&amp;angle=20&amp;aspect=-75&amp;outputformat=json&amp;raddatabase=PVGIS-SARAH3&amp;pvtechchoice=crystSi&amp;mountingplace=free&amp;usehorizon=1</v>
      </c>
    </row>
    <row r="1364">
      <c r="A1364" t="n">
        <v>20</v>
      </c>
      <c r="B1364" t="n">
        <v>105</v>
      </c>
      <c r="C1364" t="n">
        <v>11</v>
      </c>
      <c r="D1364" s="218" t="n">
        <v>101.25</v>
      </c>
      <c r="E1364" s="218" t="n">
        <v>3.38</v>
      </c>
      <c r="F1364" t="str">
        <v>https://re.jrc.ec.europa.eu/api/v5_3/PVcalc?lat=30.0444&amp;lon=31.2357&amp;peakpower=1&amp;loss=14&amp;angle=20&amp;aspect=-75&amp;outputformat=json&amp;raddatabase=PVGIS-SARAH3&amp;pvtechchoice=crystSi&amp;mountingplace=free&amp;usehorizon=1</v>
      </c>
    </row>
    <row r="1365">
      <c r="A1365" t="n">
        <v>20</v>
      </c>
      <c r="B1365" t="n">
        <v>105</v>
      </c>
      <c r="C1365" t="n">
        <v>12</v>
      </c>
      <c r="D1365" s="218" t="n">
        <v>92.34</v>
      </c>
      <c r="E1365" s="218" t="n">
        <v>2.98</v>
      </c>
      <c r="F1365" t="str">
        <v>https://re.jrc.ec.europa.eu/api/v5_3/PVcalc?lat=30.0444&amp;lon=31.2357&amp;peakpower=1&amp;loss=14&amp;angle=20&amp;aspect=-75&amp;outputformat=json&amp;raddatabase=PVGIS-SARAH3&amp;pvtechchoice=crystSi&amp;mountingplace=free&amp;usehorizon=1</v>
      </c>
    </row>
    <row r="1366">
      <c r="A1366" t="n">
        <v>20</v>
      </c>
      <c r="B1366" t="n">
        <v>120</v>
      </c>
      <c r="C1366" t="n">
        <v>1</v>
      </c>
      <c r="D1366" s="218" t="n">
        <v>103.69</v>
      </c>
      <c r="E1366" s="218" t="n">
        <v>3.34</v>
      </c>
      <c r="F1366" t="str">
        <v>https://re.jrc.ec.europa.eu/api/v5_3/PVcalc?lat=30.0444&amp;lon=31.2357&amp;peakpower=1&amp;loss=14&amp;angle=20&amp;aspect=-60&amp;outputformat=json&amp;raddatabase=PVGIS-SARAH3&amp;pvtechchoice=crystSi&amp;mountingplace=free&amp;usehorizon=1</v>
      </c>
    </row>
    <row r="1367">
      <c r="A1367" t="n">
        <v>20</v>
      </c>
      <c r="B1367" t="n">
        <v>120</v>
      </c>
      <c r="C1367" t="n">
        <v>2</v>
      </c>
      <c r="D1367" s="218" t="n">
        <v>110.21</v>
      </c>
      <c r="E1367" s="218" t="n">
        <v>3.94</v>
      </c>
      <c r="F1367" t="str">
        <v>https://re.jrc.ec.europa.eu/api/v5_3/PVcalc?lat=30.0444&amp;lon=31.2357&amp;peakpower=1&amp;loss=14&amp;angle=20&amp;aspect=-60&amp;outputformat=json&amp;raddatabase=PVGIS-SARAH3&amp;pvtechchoice=crystSi&amp;mountingplace=free&amp;usehorizon=1</v>
      </c>
    </row>
    <row r="1368">
      <c r="A1368" t="n">
        <v>20</v>
      </c>
      <c r="B1368" t="n">
        <v>120</v>
      </c>
      <c r="C1368" t="n">
        <v>3</v>
      </c>
      <c r="D1368" s="218" t="n">
        <v>145.37</v>
      </c>
      <c r="E1368" s="218" t="n">
        <v>4.69</v>
      </c>
      <c r="F1368" t="str">
        <v>https://re.jrc.ec.europa.eu/api/v5_3/PVcalc?lat=30.0444&amp;lon=31.2357&amp;peakpower=1&amp;loss=14&amp;angle=20&amp;aspect=-60&amp;outputformat=json&amp;raddatabase=PVGIS-SARAH3&amp;pvtechchoice=crystSi&amp;mountingplace=free&amp;usehorizon=1</v>
      </c>
    </row>
    <row r="1369">
      <c r="A1369" t="n">
        <v>20</v>
      </c>
      <c r="B1369" t="n">
        <v>120</v>
      </c>
      <c r="C1369" t="n">
        <v>4</v>
      </c>
      <c r="D1369" s="218" t="n">
        <v>156.34</v>
      </c>
      <c r="E1369" s="218" t="n">
        <v>5.21</v>
      </c>
      <c r="F1369" t="str">
        <v>https://re.jrc.ec.europa.eu/api/v5_3/PVcalc?lat=30.0444&amp;lon=31.2357&amp;peakpower=1&amp;loss=14&amp;angle=20&amp;aspect=-60&amp;outputformat=json&amp;raddatabase=PVGIS-SARAH3&amp;pvtechchoice=crystSi&amp;mountingplace=free&amp;usehorizon=1</v>
      </c>
    </row>
    <row r="1370">
      <c r="A1370" t="n">
        <v>20</v>
      </c>
      <c r="B1370" t="n">
        <v>120</v>
      </c>
      <c r="C1370" t="n">
        <v>5</v>
      </c>
      <c r="D1370" s="218" t="n">
        <v>169.3</v>
      </c>
      <c r="E1370" s="218" t="n">
        <v>5.46</v>
      </c>
      <c r="F1370" t="str">
        <v>https://re.jrc.ec.europa.eu/api/v5_3/PVcalc?lat=30.0444&amp;lon=31.2357&amp;peakpower=1&amp;loss=14&amp;angle=20&amp;aspect=-60&amp;outputformat=json&amp;raddatabase=PVGIS-SARAH3&amp;pvtechchoice=crystSi&amp;mountingplace=free&amp;usehorizon=1</v>
      </c>
    </row>
    <row r="1371">
      <c r="A1371" t="n">
        <v>20</v>
      </c>
      <c r="B1371" t="n">
        <v>120</v>
      </c>
      <c r="C1371" t="n">
        <v>6</v>
      </c>
      <c r="D1371" s="218" t="n">
        <v>169.54</v>
      </c>
      <c r="E1371" s="218" t="n">
        <v>5.65</v>
      </c>
      <c r="F1371" t="str">
        <v>https://re.jrc.ec.europa.eu/api/v5_3/PVcalc?lat=30.0444&amp;lon=31.2357&amp;peakpower=1&amp;loss=14&amp;angle=20&amp;aspect=-60&amp;outputformat=json&amp;raddatabase=PVGIS-SARAH3&amp;pvtechchoice=crystSi&amp;mountingplace=free&amp;usehorizon=1</v>
      </c>
    </row>
    <row r="1372">
      <c r="A1372" t="n">
        <v>20</v>
      </c>
      <c r="B1372" t="n">
        <v>120</v>
      </c>
      <c r="C1372" t="n">
        <v>7</v>
      </c>
      <c r="D1372" s="218" t="n">
        <v>172.06</v>
      </c>
      <c r="E1372" s="218" t="n">
        <v>5.55</v>
      </c>
      <c r="F1372" t="str">
        <v>https://re.jrc.ec.europa.eu/api/v5_3/PVcalc?lat=30.0444&amp;lon=31.2357&amp;peakpower=1&amp;loss=14&amp;angle=20&amp;aspect=-60&amp;outputformat=json&amp;raddatabase=PVGIS-SARAH3&amp;pvtechchoice=crystSi&amp;mountingplace=free&amp;usehorizon=1</v>
      </c>
    </row>
    <row r="1373">
      <c r="A1373" t="n">
        <v>20</v>
      </c>
      <c r="B1373" t="n">
        <v>120</v>
      </c>
      <c r="C1373" t="n">
        <v>8</v>
      </c>
      <c r="D1373" s="218" t="n">
        <v>165.4</v>
      </c>
      <c r="E1373" s="218" t="n">
        <v>5.34</v>
      </c>
      <c r="F1373" t="str">
        <v>https://re.jrc.ec.europa.eu/api/v5_3/PVcalc?lat=30.0444&amp;lon=31.2357&amp;peakpower=1&amp;loss=14&amp;angle=20&amp;aspect=-60&amp;outputformat=json&amp;raddatabase=PVGIS-SARAH3&amp;pvtechchoice=crystSi&amp;mountingplace=free&amp;usehorizon=1</v>
      </c>
    </row>
    <row r="1374">
      <c r="A1374" t="n">
        <v>20</v>
      </c>
      <c r="B1374" t="n">
        <v>120</v>
      </c>
      <c r="C1374" t="n">
        <v>9</v>
      </c>
      <c r="D1374" s="218" t="n">
        <v>147.44</v>
      </c>
      <c r="E1374" s="218" t="n">
        <v>4.91</v>
      </c>
      <c r="F1374" t="str">
        <v>https://re.jrc.ec.europa.eu/api/v5_3/PVcalc?lat=30.0444&amp;lon=31.2357&amp;peakpower=1&amp;loss=14&amp;angle=20&amp;aspect=-60&amp;outputformat=json&amp;raddatabase=PVGIS-SARAH3&amp;pvtechchoice=crystSi&amp;mountingplace=free&amp;usehorizon=1</v>
      </c>
    </row>
    <row r="1375">
      <c r="A1375" t="n">
        <v>20</v>
      </c>
      <c r="B1375" t="n">
        <v>120</v>
      </c>
      <c r="C1375" t="n">
        <v>10</v>
      </c>
      <c r="D1375" s="218" t="n">
        <v>131.71</v>
      </c>
      <c r="E1375" s="218" t="n">
        <v>4.25</v>
      </c>
      <c r="F1375" t="str">
        <v>https://re.jrc.ec.europa.eu/api/v5_3/PVcalc?lat=30.0444&amp;lon=31.2357&amp;peakpower=1&amp;loss=14&amp;angle=20&amp;aspect=-60&amp;outputformat=json&amp;raddatabase=PVGIS-SARAH3&amp;pvtechchoice=crystSi&amp;mountingplace=free&amp;usehorizon=1</v>
      </c>
    </row>
    <row r="1376">
      <c r="A1376" t="n">
        <v>20</v>
      </c>
      <c r="B1376" t="n">
        <v>120</v>
      </c>
      <c r="C1376" t="n">
        <v>11</v>
      </c>
      <c r="D1376" s="218" t="n">
        <v>109.36</v>
      </c>
      <c r="E1376" s="218" t="n">
        <v>3.65</v>
      </c>
      <c r="F1376" t="str">
        <v>https://re.jrc.ec.europa.eu/api/v5_3/PVcalc?lat=30.0444&amp;lon=31.2357&amp;peakpower=1&amp;loss=14&amp;angle=20&amp;aspect=-60&amp;outputformat=json&amp;raddatabase=PVGIS-SARAH3&amp;pvtechchoice=crystSi&amp;mountingplace=free&amp;usehorizon=1</v>
      </c>
    </row>
    <row r="1377">
      <c r="A1377" t="n">
        <v>20</v>
      </c>
      <c r="B1377" t="n">
        <v>120</v>
      </c>
      <c r="C1377" t="n">
        <v>12</v>
      </c>
      <c r="D1377" s="218" t="n">
        <v>100.82</v>
      </c>
      <c r="E1377" s="218" t="n">
        <v>3.25</v>
      </c>
      <c r="F1377" t="str">
        <v>https://re.jrc.ec.europa.eu/api/v5_3/PVcalc?lat=30.0444&amp;lon=31.2357&amp;peakpower=1&amp;loss=14&amp;angle=20&amp;aspect=-60&amp;outputformat=json&amp;raddatabase=PVGIS-SARAH3&amp;pvtechchoice=crystSi&amp;mountingplace=free&amp;usehorizon=1</v>
      </c>
    </row>
    <row r="1378">
      <c r="A1378" t="n">
        <v>20</v>
      </c>
      <c r="B1378" t="n">
        <v>135</v>
      </c>
      <c r="C1378" t="n">
        <v>1</v>
      </c>
      <c r="D1378" s="218" t="n">
        <v>110.68</v>
      </c>
      <c r="E1378" s="218" t="n">
        <v>3.57</v>
      </c>
      <c r="F1378" t="str">
        <v>https://re.jrc.ec.europa.eu/api/v5_3/PVcalc?lat=30.0444&amp;lon=31.2357&amp;peakpower=1&amp;loss=14&amp;angle=20&amp;aspect=-45&amp;outputformat=json&amp;raddatabase=PVGIS-SARAH3&amp;pvtechchoice=crystSi&amp;mountingplace=free&amp;usehorizon=1</v>
      </c>
    </row>
    <row r="1379">
      <c r="A1379" t="n">
        <v>20</v>
      </c>
      <c r="B1379" t="n">
        <v>135</v>
      </c>
      <c r="C1379" t="n">
        <v>2</v>
      </c>
      <c r="D1379" s="218" t="n">
        <v>115.42</v>
      </c>
      <c r="E1379" s="218" t="n">
        <v>4.12</v>
      </c>
      <c r="F1379" t="str">
        <v>https://re.jrc.ec.europa.eu/api/v5_3/PVcalc?lat=30.0444&amp;lon=31.2357&amp;peakpower=1&amp;loss=14&amp;angle=20&amp;aspect=-45&amp;outputformat=json&amp;raddatabase=PVGIS-SARAH3&amp;pvtechchoice=crystSi&amp;mountingplace=free&amp;usehorizon=1</v>
      </c>
    </row>
    <row r="1380">
      <c r="A1380" t="n">
        <v>20</v>
      </c>
      <c r="B1380" t="n">
        <v>135</v>
      </c>
      <c r="C1380" t="n">
        <v>3</v>
      </c>
      <c r="D1380" s="218" t="n">
        <v>150.1</v>
      </c>
      <c r="E1380" s="218" t="n">
        <v>4.84</v>
      </c>
      <c r="F1380" t="str">
        <v>https://re.jrc.ec.europa.eu/api/v5_3/PVcalc?lat=30.0444&amp;lon=31.2357&amp;peakpower=1&amp;loss=14&amp;angle=20&amp;aspect=-45&amp;outputformat=json&amp;raddatabase=PVGIS-SARAH3&amp;pvtechchoice=crystSi&amp;mountingplace=free&amp;usehorizon=1</v>
      </c>
    </row>
    <row r="1381">
      <c r="A1381" t="n">
        <v>20</v>
      </c>
      <c r="B1381" t="n">
        <v>135</v>
      </c>
      <c r="C1381" t="n">
        <v>4</v>
      </c>
      <c r="D1381" s="218" t="n">
        <v>158.79</v>
      </c>
      <c r="E1381" s="218" t="n">
        <v>5.29</v>
      </c>
      <c r="F1381" t="str">
        <v>https://re.jrc.ec.europa.eu/api/v5_3/PVcalc?lat=30.0444&amp;lon=31.2357&amp;peakpower=1&amp;loss=14&amp;angle=20&amp;aspect=-45&amp;outputformat=json&amp;raddatabase=PVGIS-SARAH3&amp;pvtechchoice=crystSi&amp;mountingplace=free&amp;usehorizon=1</v>
      </c>
    </row>
    <row r="1382">
      <c r="A1382" t="n">
        <v>20</v>
      </c>
      <c r="B1382" t="n">
        <v>135</v>
      </c>
      <c r="C1382" t="n">
        <v>5</v>
      </c>
      <c r="D1382" s="218" t="n">
        <v>169.4</v>
      </c>
      <c r="E1382" s="218" t="n">
        <v>5.46</v>
      </c>
      <c r="F1382" t="str">
        <v>https://re.jrc.ec.europa.eu/api/v5_3/PVcalc?lat=30.0444&amp;lon=31.2357&amp;peakpower=1&amp;loss=14&amp;angle=20&amp;aspect=-45&amp;outputformat=json&amp;raddatabase=PVGIS-SARAH3&amp;pvtechchoice=crystSi&amp;mountingplace=free&amp;usehorizon=1</v>
      </c>
    </row>
    <row r="1383">
      <c r="A1383" t="n">
        <v>20</v>
      </c>
      <c r="B1383" t="n">
        <v>135</v>
      </c>
      <c r="C1383" t="n">
        <v>6</v>
      </c>
      <c r="D1383" s="218" t="n">
        <v>169.35</v>
      </c>
      <c r="E1383" s="218" t="n">
        <v>5.64</v>
      </c>
      <c r="F1383" t="str">
        <v>https://re.jrc.ec.europa.eu/api/v5_3/PVcalc?lat=30.0444&amp;lon=31.2357&amp;peakpower=1&amp;loss=14&amp;angle=20&amp;aspect=-45&amp;outputformat=json&amp;raddatabase=PVGIS-SARAH3&amp;pvtechchoice=crystSi&amp;mountingplace=free&amp;usehorizon=1</v>
      </c>
    </row>
    <row r="1384">
      <c r="A1384" t="n">
        <v>20</v>
      </c>
      <c r="B1384" t="n">
        <v>135</v>
      </c>
      <c r="C1384" t="n">
        <v>7</v>
      </c>
      <c r="D1384" s="218" t="n">
        <v>172.59</v>
      </c>
      <c r="E1384" s="218" t="n">
        <v>5.57</v>
      </c>
      <c r="F1384" t="str">
        <v>https://re.jrc.ec.europa.eu/api/v5_3/PVcalc?lat=30.0444&amp;lon=31.2357&amp;peakpower=1&amp;loss=14&amp;angle=20&amp;aspect=-45&amp;outputformat=json&amp;raddatabase=PVGIS-SARAH3&amp;pvtechchoice=crystSi&amp;mountingplace=free&amp;usehorizon=1</v>
      </c>
    </row>
    <row r="1385">
      <c r="A1385" t="n">
        <v>20</v>
      </c>
      <c r="B1385" t="n">
        <v>135</v>
      </c>
      <c r="C1385" t="n">
        <v>8</v>
      </c>
      <c r="D1385" s="218" t="n">
        <v>167.18</v>
      </c>
      <c r="E1385" s="218" t="n">
        <v>5.39</v>
      </c>
      <c r="F1385" t="str">
        <v>https://re.jrc.ec.europa.eu/api/v5_3/PVcalc?lat=30.0444&amp;lon=31.2357&amp;peakpower=1&amp;loss=14&amp;angle=20&amp;aspect=-45&amp;outputformat=json&amp;raddatabase=PVGIS-SARAH3&amp;pvtechchoice=crystSi&amp;mountingplace=free&amp;usehorizon=1</v>
      </c>
    </row>
    <row r="1386">
      <c r="A1386" t="n">
        <v>20</v>
      </c>
      <c r="B1386" t="n">
        <v>135</v>
      </c>
      <c r="C1386" t="n">
        <v>9</v>
      </c>
      <c r="D1386" s="218" t="n">
        <v>151.88</v>
      </c>
      <c r="E1386" s="218" t="n">
        <v>5.06</v>
      </c>
      <c r="F1386" t="str">
        <v>https://re.jrc.ec.europa.eu/api/v5_3/PVcalc?lat=30.0444&amp;lon=31.2357&amp;peakpower=1&amp;loss=14&amp;angle=20&amp;aspect=-45&amp;outputformat=json&amp;raddatabase=PVGIS-SARAH3&amp;pvtechchoice=crystSi&amp;mountingplace=free&amp;usehorizon=1</v>
      </c>
    </row>
    <row r="1387">
      <c r="A1387" t="n">
        <v>20</v>
      </c>
      <c r="B1387" t="n">
        <v>135</v>
      </c>
      <c r="C1387" t="n">
        <v>10</v>
      </c>
      <c r="D1387" s="218" t="n">
        <v>137.82</v>
      </c>
      <c r="E1387" s="218" t="n">
        <v>4.45</v>
      </c>
      <c r="F1387" t="str">
        <v>https://re.jrc.ec.europa.eu/api/v5_3/PVcalc?lat=30.0444&amp;lon=31.2357&amp;peakpower=1&amp;loss=14&amp;angle=20&amp;aspect=-45&amp;outputformat=json&amp;raddatabase=PVGIS-SARAH3&amp;pvtechchoice=crystSi&amp;mountingplace=free&amp;usehorizon=1</v>
      </c>
    </row>
    <row r="1388">
      <c r="A1388" t="n">
        <v>20</v>
      </c>
      <c r="B1388" t="n">
        <v>135</v>
      </c>
      <c r="C1388" t="n">
        <v>11</v>
      </c>
      <c r="D1388" s="218" t="n">
        <v>116.06</v>
      </c>
      <c r="E1388" s="218" t="n">
        <v>3.87</v>
      </c>
      <c r="F1388" t="str">
        <v>https://re.jrc.ec.europa.eu/api/v5_3/PVcalc?lat=30.0444&amp;lon=31.2357&amp;peakpower=1&amp;loss=14&amp;angle=20&amp;aspect=-45&amp;outputformat=json&amp;raddatabase=PVGIS-SARAH3&amp;pvtechchoice=crystSi&amp;mountingplace=free&amp;usehorizon=1</v>
      </c>
    </row>
    <row r="1389">
      <c r="A1389" t="n">
        <v>20</v>
      </c>
      <c r="B1389" t="n">
        <v>135</v>
      </c>
      <c r="C1389" t="n">
        <v>12</v>
      </c>
      <c r="D1389" s="218" t="n">
        <v>107.94</v>
      </c>
      <c r="E1389" s="218" t="n">
        <v>3.48</v>
      </c>
      <c r="F1389" t="str">
        <v>https://re.jrc.ec.europa.eu/api/v5_3/PVcalc?lat=30.0444&amp;lon=31.2357&amp;peakpower=1&amp;loss=14&amp;angle=20&amp;aspect=-45&amp;outputformat=json&amp;raddatabase=PVGIS-SARAH3&amp;pvtechchoice=crystSi&amp;mountingplace=free&amp;usehorizon=1</v>
      </c>
    </row>
    <row r="1390">
      <c r="A1390" t="n">
        <v>20</v>
      </c>
      <c r="B1390" t="n">
        <v>150</v>
      </c>
      <c r="C1390" t="n">
        <v>1</v>
      </c>
      <c r="D1390" s="218" t="n">
        <v>116.08</v>
      </c>
      <c r="E1390" s="218" t="n">
        <v>3.74</v>
      </c>
      <c r="F1390" t="str">
        <v>https://re.jrc.ec.europa.eu/api/v5_3/PVcalc?lat=30.0444&amp;lon=31.2357&amp;peakpower=1&amp;loss=14&amp;angle=20&amp;aspect=-30&amp;outputformat=json&amp;raddatabase=PVGIS-SARAH3&amp;pvtechchoice=crystSi&amp;mountingplace=free&amp;usehorizon=1</v>
      </c>
    </row>
    <row r="1391">
      <c r="A1391" t="n">
        <v>20</v>
      </c>
      <c r="B1391" t="n">
        <v>150</v>
      </c>
      <c r="C1391" t="n">
        <v>2</v>
      </c>
      <c r="D1391" s="218" t="n">
        <v>119.19</v>
      </c>
      <c r="E1391" s="218" t="n">
        <v>4.26</v>
      </c>
      <c r="F1391" t="str">
        <v>https://re.jrc.ec.europa.eu/api/v5_3/PVcalc?lat=30.0444&amp;lon=31.2357&amp;peakpower=1&amp;loss=14&amp;angle=20&amp;aspect=-30&amp;outputformat=json&amp;raddatabase=PVGIS-SARAH3&amp;pvtechchoice=crystSi&amp;mountingplace=free&amp;usehorizon=1</v>
      </c>
    </row>
    <row r="1392">
      <c r="A1392" t="n">
        <v>20</v>
      </c>
      <c r="B1392" t="n">
        <v>150</v>
      </c>
      <c r="C1392" t="n">
        <v>3</v>
      </c>
      <c r="D1392" s="218" t="n">
        <v>153.55</v>
      </c>
      <c r="E1392" s="218" t="n">
        <v>4.95</v>
      </c>
      <c r="F1392" t="str">
        <v>https://re.jrc.ec.europa.eu/api/v5_3/PVcalc?lat=30.0444&amp;lon=31.2357&amp;peakpower=1&amp;loss=14&amp;angle=20&amp;aspect=-30&amp;outputformat=json&amp;raddatabase=PVGIS-SARAH3&amp;pvtechchoice=crystSi&amp;mountingplace=free&amp;usehorizon=1</v>
      </c>
    </row>
    <row r="1393">
      <c r="A1393" t="n">
        <v>20</v>
      </c>
      <c r="B1393" t="n">
        <v>150</v>
      </c>
      <c r="C1393" t="n">
        <v>4</v>
      </c>
      <c r="D1393" s="218" t="n">
        <v>160.68</v>
      </c>
      <c r="E1393" s="218" t="n">
        <v>5.36</v>
      </c>
      <c r="F1393" t="str">
        <v>https://re.jrc.ec.europa.eu/api/v5_3/PVcalc?lat=30.0444&amp;lon=31.2357&amp;peakpower=1&amp;loss=14&amp;angle=20&amp;aspect=-30&amp;outputformat=json&amp;raddatabase=PVGIS-SARAH3&amp;pvtechchoice=crystSi&amp;mountingplace=free&amp;usehorizon=1</v>
      </c>
    </row>
    <row r="1394">
      <c r="A1394" t="n">
        <v>20</v>
      </c>
      <c r="B1394" t="n">
        <v>150</v>
      </c>
      <c r="C1394" t="n">
        <v>5</v>
      </c>
      <c r="D1394" s="218" t="n">
        <v>169.99</v>
      </c>
      <c r="E1394" s="218" t="n">
        <v>5.48</v>
      </c>
      <c r="F1394" t="str">
        <v>https://re.jrc.ec.europa.eu/api/v5_3/PVcalc?lat=30.0444&amp;lon=31.2357&amp;peakpower=1&amp;loss=14&amp;angle=20&amp;aspect=-30&amp;outputformat=json&amp;raddatabase=PVGIS-SARAH3&amp;pvtechchoice=crystSi&amp;mountingplace=free&amp;usehorizon=1</v>
      </c>
    </row>
    <row r="1395">
      <c r="A1395" t="n">
        <v>20</v>
      </c>
      <c r="B1395" t="n">
        <v>150</v>
      </c>
      <c r="C1395" t="n">
        <v>6</v>
      </c>
      <c r="D1395" s="218" t="n">
        <v>169.31</v>
      </c>
      <c r="E1395" s="218" t="n">
        <v>5.64</v>
      </c>
      <c r="F1395" t="str">
        <v>https://re.jrc.ec.europa.eu/api/v5_3/PVcalc?lat=30.0444&amp;lon=31.2357&amp;peakpower=1&amp;loss=14&amp;angle=20&amp;aspect=-30&amp;outputformat=json&amp;raddatabase=PVGIS-SARAH3&amp;pvtechchoice=crystSi&amp;mountingplace=free&amp;usehorizon=1</v>
      </c>
    </row>
    <row r="1396">
      <c r="A1396" t="n">
        <v>20</v>
      </c>
      <c r="B1396" t="n">
        <v>150</v>
      </c>
      <c r="C1396" t="n">
        <v>7</v>
      </c>
      <c r="D1396" s="218" t="n">
        <v>173.24</v>
      </c>
      <c r="E1396" s="218" t="n">
        <v>5.59</v>
      </c>
      <c r="F1396" t="str">
        <v>https://re.jrc.ec.europa.eu/api/v5_3/PVcalc?lat=30.0444&amp;lon=31.2357&amp;peakpower=1&amp;loss=14&amp;angle=20&amp;aspect=-30&amp;outputformat=json&amp;raddatabase=PVGIS-SARAH3&amp;pvtechchoice=crystSi&amp;mountingplace=free&amp;usehorizon=1</v>
      </c>
    </row>
    <row r="1397">
      <c r="A1397" t="n">
        <v>20</v>
      </c>
      <c r="B1397" t="n">
        <v>150</v>
      </c>
      <c r="C1397" t="n">
        <v>8</v>
      </c>
      <c r="D1397" s="218" t="n">
        <v>169.09</v>
      </c>
      <c r="E1397" s="218" t="n">
        <v>5.45</v>
      </c>
      <c r="F1397" t="str">
        <v>https://re.jrc.ec.europa.eu/api/v5_3/PVcalc?lat=30.0444&amp;lon=31.2357&amp;peakpower=1&amp;loss=14&amp;angle=20&amp;aspect=-30&amp;outputformat=json&amp;raddatabase=PVGIS-SARAH3&amp;pvtechchoice=crystSi&amp;mountingplace=free&amp;usehorizon=1</v>
      </c>
    </row>
    <row r="1398">
      <c r="A1398" t="n">
        <v>20</v>
      </c>
      <c r="B1398" t="n">
        <v>150</v>
      </c>
      <c r="C1398" t="n">
        <v>9</v>
      </c>
      <c r="D1398" s="218" t="n">
        <v>155.25</v>
      </c>
      <c r="E1398" s="218" t="n">
        <v>5.17</v>
      </c>
      <c r="F1398" t="str">
        <v>https://re.jrc.ec.europa.eu/api/v5_3/PVcalc?lat=30.0444&amp;lon=31.2357&amp;peakpower=1&amp;loss=14&amp;angle=20&amp;aspect=-30&amp;outputformat=json&amp;raddatabase=PVGIS-SARAH3&amp;pvtechchoice=crystSi&amp;mountingplace=free&amp;usehorizon=1</v>
      </c>
    </row>
    <row r="1399">
      <c r="A1399" t="n">
        <v>20</v>
      </c>
      <c r="B1399" t="n">
        <v>150</v>
      </c>
      <c r="C1399" t="n">
        <v>10</v>
      </c>
      <c r="D1399" s="218" t="n">
        <v>142.82</v>
      </c>
      <c r="E1399" s="218" t="n">
        <v>4.61</v>
      </c>
      <c r="F1399" t="str">
        <v>https://re.jrc.ec.europa.eu/api/v5_3/PVcalc?lat=30.0444&amp;lon=31.2357&amp;peakpower=1&amp;loss=14&amp;angle=20&amp;aspect=-30&amp;outputformat=json&amp;raddatabase=PVGIS-SARAH3&amp;pvtechchoice=crystSi&amp;mountingplace=free&amp;usehorizon=1</v>
      </c>
    </row>
    <row r="1400">
      <c r="A1400" t="n">
        <v>20</v>
      </c>
      <c r="B1400" t="n">
        <v>150</v>
      </c>
      <c r="C1400" t="n">
        <v>11</v>
      </c>
      <c r="D1400" s="218" t="n">
        <v>121.55</v>
      </c>
      <c r="E1400" s="218" t="n">
        <v>4.05</v>
      </c>
      <c r="F1400" t="str">
        <v>https://re.jrc.ec.europa.eu/api/v5_3/PVcalc?lat=30.0444&amp;lon=31.2357&amp;peakpower=1&amp;loss=14&amp;angle=20&amp;aspect=-30&amp;outputformat=json&amp;raddatabase=PVGIS-SARAH3&amp;pvtechchoice=crystSi&amp;mountingplace=free&amp;usehorizon=1</v>
      </c>
    </row>
    <row r="1401">
      <c r="A1401" t="n">
        <v>20</v>
      </c>
      <c r="B1401" t="n">
        <v>150</v>
      </c>
      <c r="C1401" t="n">
        <v>12</v>
      </c>
      <c r="D1401" s="218" t="n">
        <v>113.63</v>
      </c>
      <c r="E1401" s="218" t="n">
        <v>3.67</v>
      </c>
      <c r="F1401" t="str">
        <v>https://re.jrc.ec.europa.eu/api/v5_3/PVcalc?lat=30.0444&amp;lon=31.2357&amp;peakpower=1&amp;loss=14&amp;angle=20&amp;aspect=-30&amp;outputformat=json&amp;raddatabase=PVGIS-SARAH3&amp;pvtechchoice=crystSi&amp;mountingplace=free&amp;usehorizon=1</v>
      </c>
    </row>
    <row r="1402">
      <c r="A1402" t="n">
        <v>20</v>
      </c>
      <c r="B1402" t="n">
        <v>165</v>
      </c>
      <c r="C1402" t="n">
        <v>1</v>
      </c>
      <c r="D1402" s="218" t="n">
        <v>119.43</v>
      </c>
      <c r="E1402" s="218" t="n">
        <v>3.85</v>
      </c>
      <c r="F1402" t="str">
        <v>https://re.jrc.ec.europa.eu/api/v5_3/PVcalc?lat=30.0444&amp;lon=31.2357&amp;peakpower=1&amp;loss=14&amp;angle=20&amp;aspect=-15&amp;outputformat=json&amp;raddatabase=PVGIS-SARAH3&amp;pvtechchoice=crystSi&amp;mountingplace=free&amp;usehorizon=1</v>
      </c>
    </row>
    <row r="1403">
      <c r="A1403" t="n">
        <v>20</v>
      </c>
      <c r="B1403" t="n">
        <v>165</v>
      </c>
      <c r="C1403" t="n">
        <v>2</v>
      </c>
      <c r="D1403" s="218" t="n">
        <v>121.6</v>
      </c>
      <c r="E1403" s="218" t="n">
        <v>4.34</v>
      </c>
      <c r="F1403" t="str">
        <v>https://re.jrc.ec.europa.eu/api/v5_3/PVcalc?lat=30.0444&amp;lon=31.2357&amp;peakpower=1&amp;loss=14&amp;angle=20&amp;aspect=-15&amp;outputformat=json&amp;raddatabase=PVGIS-SARAH3&amp;pvtechchoice=crystSi&amp;mountingplace=free&amp;usehorizon=1</v>
      </c>
    </row>
    <row r="1404">
      <c r="A1404" t="n">
        <v>20</v>
      </c>
      <c r="B1404" t="n">
        <v>165</v>
      </c>
      <c r="C1404" t="n">
        <v>3</v>
      </c>
      <c r="D1404" s="218" t="n">
        <v>156.3</v>
      </c>
      <c r="E1404" s="218" t="n">
        <v>5.04</v>
      </c>
      <c r="F1404" t="str">
        <v>https://re.jrc.ec.europa.eu/api/v5_3/PVcalc?lat=30.0444&amp;lon=31.2357&amp;peakpower=1&amp;loss=14&amp;angle=20&amp;aspect=-15&amp;outputformat=json&amp;raddatabase=PVGIS-SARAH3&amp;pvtechchoice=crystSi&amp;mountingplace=free&amp;usehorizon=1</v>
      </c>
    </row>
    <row r="1405">
      <c r="A1405" t="n">
        <v>20</v>
      </c>
      <c r="B1405" t="n">
        <v>165</v>
      </c>
      <c r="C1405" t="n">
        <v>4</v>
      </c>
      <c r="D1405" s="218" t="n">
        <v>162.47</v>
      </c>
      <c r="E1405" s="218" t="n">
        <v>5.42</v>
      </c>
      <c r="F1405" t="str">
        <v>https://re.jrc.ec.europa.eu/api/v5_3/PVcalc?lat=30.0444&amp;lon=31.2357&amp;peakpower=1&amp;loss=14&amp;angle=20&amp;aspect=-15&amp;outputformat=json&amp;raddatabase=PVGIS-SARAH3&amp;pvtechchoice=crystSi&amp;mountingplace=free&amp;usehorizon=1</v>
      </c>
    </row>
    <row r="1406">
      <c r="A1406" t="n">
        <v>20</v>
      </c>
      <c r="B1406" t="n">
        <v>165</v>
      </c>
      <c r="C1406" t="n">
        <v>5</v>
      </c>
      <c r="D1406" s="218" t="n">
        <v>170.53</v>
      </c>
      <c r="E1406" s="218" t="n">
        <v>5.5</v>
      </c>
      <c r="F1406" t="str">
        <v>https://re.jrc.ec.europa.eu/api/v5_3/PVcalc?lat=30.0444&amp;lon=31.2357&amp;peakpower=1&amp;loss=14&amp;angle=20&amp;aspect=-15&amp;outputformat=json&amp;raddatabase=PVGIS-SARAH3&amp;pvtechchoice=crystSi&amp;mountingplace=free&amp;usehorizon=1</v>
      </c>
    </row>
    <row r="1407">
      <c r="A1407" t="n">
        <v>20</v>
      </c>
      <c r="B1407" t="n">
        <v>165</v>
      </c>
      <c r="C1407" t="n">
        <v>6</v>
      </c>
      <c r="D1407" s="218" t="n">
        <v>169.48</v>
      </c>
      <c r="E1407" s="218" t="n">
        <v>5.65</v>
      </c>
      <c r="F1407" t="str">
        <v>https://re.jrc.ec.europa.eu/api/v5_3/PVcalc?lat=30.0444&amp;lon=31.2357&amp;peakpower=1&amp;loss=14&amp;angle=20&amp;aspect=-15&amp;outputformat=json&amp;raddatabase=PVGIS-SARAH3&amp;pvtechchoice=crystSi&amp;mountingplace=free&amp;usehorizon=1</v>
      </c>
    </row>
    <row r="1408">
      <c r="A1408" t="n">
        <v>20</v>
      </c>
      <c r="B1408" t="n">
        <v>165</v>
      </c>
      <c r="C1408" t="n">
        <v>7</v>
      </c>
      <c r="D1408" s="218" t="n">
        <v>173.99</v>
      </c>
      <c r="E1408" s="218" t="n">
        <v>5.61</v>
      </c>
      <c r="F1408" t="str">
        <v>https://re.jrc.ec.europa.eu/api/v5_3/PVcalc?lat=30.0444&amp;lon=31.2357&amp;peakpower=1&amp;loss=14&amp;angle=20&amp;aspect=-15&amp;outputformat=json&amp;raddatabase=PVGIS-SARAH3&amp;pvtechchoice=crystSi&amp;mountingplace=free&amp;usehorizon=1</v>
      </c>
    </row>
    <row r="1409">
      <c r="A1409" t="n">
        <v>20</v>
      </c>
      <c r="B1409" t="n">
        <v>165</v>
      </c>
      <c r="C1409" t="n">
        <v>8</v>
      </c>
      <c r="D1409" s="218" t="n">
        <v>170.79</v>
      </c>
      <c r="E1409" s="218" t="n">
        <v>5.51</v>
      </c>
      <c r="F1409" t="str">
        <v>https://re.jrc.ec.europa.eu/api/v5_3/PVcalc?lat=30.0444&amp;lon=31.2357&amp;peakpower=1&amp;loss=14&amp;angle=20&amp;aspect=-15&amp;outputformat=json&amp;raddatabase=PVGIS-SARAH3&amp;pvtechchoice=crystSi&amp;mountingplace=free&amp;usehorizon=1</v>
      </c>
    </row>
    <row r="1410">
      <c r="A1410" t="n">
        <v>20</v>
      </c>
      <c r="B1410" t="n">
        <v>165</v>
      </c>
      <c r="C1410" t="n">
        <v>9</v>
      </c>
      <c r="D1410" s="218" t="n">
        <v>157.98</v>
      </c>
      <c r="E1410" s="218" t="n">
        <v>5.27</v>
      </c>
      <c r="F1410" t="str">
        <v>https://re.jrc.ec.europa.eu/api/v5_3/PVcalc?lat=30.0444&amp;lon=31.2357&amp;peakpower=1&amp;loss=14&amp;angle=20&amp;aspect=-15&amp;outputformat=json&amp;raddatabase=PVGIS-SARAH3&amp;pvtechchoice=crystSi&amp;mountingplace=free&amp;usehorizon=1</v>
      </c>
    </row>
    <row r="1411">
      <c r="A1411" t="n">
        <v>20</v>
      </c>
      <c r="B1411" t="n">
        <v>165</v>
      </c>
      <c r="C1411" t="n">
        <v>10</v>
      </c>
      <c r="D1411" s="218" t="n">
        <v>146.07</v>
      </c>
      <c r="E1411" s="218" t="n">
        <v>4.71</v>
      </c>
      <c r="F1411" t="str">
        <v>https://re.jrc.ec.europa.eu/api/v5_3/PVcalc?lat=30.0444&amp;lon=31.2357&amp;peakpower=1&amp;loss=14&amp;angle=20&amp;aspect=-15&amp;outputformat=json&amp;raddatabase=PVGIS-SARAH3&amp;pvtechchoice=crystSi&amp;mountingplace=free&amp;usehorizon=1</v>
      </c>
    </row>
    <row r="1412">
      <c r="A1412" t="n">
        <v>20</v>
      </c>
      <c r="B1412" t="n">
        <v>165</v>
      </c>
      <c r="C1412" t="n">
        <v>11</v>
      </c>
      <c r="D1412" s="218" t="n">
        <v>125.04</v>
      </c>
      <c r="E1412" s="218" t="n">
        <v>4.17</v>
      </c>
      <c r="F1412" t="str">
        <v>https://re.jrc.ec.europa.eu/api/v5_3/PVcalc?lat=30.0444&amp;lon=31.2357&amp;peakpower=1&amp;loss=14&amp;angle=20&amp;aspect=-15&amp;outputformat=json&amp;raddatabase=PVGIS-SARAH3&amp;pvtechchoice=crystSi&amp;mountingplace=free&amp;usehorizon=1</v>
      </c>
    </row>
    <row r="1413">
      <c r="A1413" t="n">
        <v>20</v>
      </c>
      <c r="B1413" t="n">
        <v>165</v>
      </c>
      <c r="C1413" t="n">
        <v>12</v>
      </c>
      <c r="D1413" s="218" t="n">
        <v>117.17</v>
      </c>
      <c r="E1413" s="218" t="n">
        <v>3.78</v>
      </c>
      <c r="F1413" t="str">
        <v>https://re.jrc.ec.europa.eu/api/v5_3/PVcalc?lat=30.0444&amp;lon=31.2357&amp;peakpower=1&amp;loss=14&amp;angle=20&amp;aspect=-15&amp;outputformat=json&amp;raddatabase=PVGIS-SARAH3&amp;pvtechchoice=crystSi&amp;mountingplace=free&amp;usehorizon=1</v>
      </c>
    </row>
    <row r="1414">
      <c r="A1414" t="n">
        <v>20</v>
      </c>
      <c r="B1414" t="n">
        <v>180</v>
      </c>
      <c r="C1414" t="n">
        <v>1</v>
      </c>
      <c r="D1414" s="218" t="n">
        <v>120.42</v>
      </c>
      <c r="E1414" s="218" t="n">
        <v>3.88</v>
      </c>
      <c r="F1414" t="str">
        <v>https://re.jrc.ec.europa.eu/api/v5_3/PVcalc?lat=30.0444&amp;lon=31.2357&amp;peakpower=1&amp;loss=14&amp;angle=20&amp;aspect=0&amp;outputformat=json&amp;raddatabase=PVGIS-SARAH3&amp;pvtechchoice=crystSi&amp;mountingplace=free&amp;usehorizon=1</v>
      </c>
    </row>
    <row r="1415">
      <c r="A1415" t="n">
        <v>20</v>
      </c>
      <c r="B1415" t="n">
        <v>180</v>
      </c>
      <c r="C1415" t="n">
        <v>2</v>
      </c>
      <c r="D1415" s="218" t="n">
        <v>122.24</v>
      </c>
      <c r="E1415" s="218" t="n">
        <v>4.37</v>
      </c>
      <c r="F1415" t="str">
        <v>https://re.jrc.ec.europa.eu/api/v5_3/PVcalc?lat=30.0444&amp;lon=31.2357&amp;peakpower=1&amp;loss=14&amp;angle=20&amp;aspect=0&amp;outputformat=json&amp;raddatabase=PVGIS-SARAH3&amp;pvtechchoice=crystSi&amp;mountingplace=free&amp;usehorizon=1</v>
      </c>
    </row>
    <row r="1416">
      <c r="A1416" t="n">
        <v>20</v>
      </c>
      <c r="B1416" t="n">
        <v>180</v>
      </c>
      <c r="C1416" t="n">
        <v>3</v>
      </c>
      <c r="D1416" s="218" t="n">
        <v>157.58</v>
      </c>
      <c r="E1416" s="218" t="n">
        <v>5.08</v>
      </c>
      <c r="F1416" t="str">
        <v>https://re.jrc.ec.europa.eu/api/v5_3/PVcalc?lat=30.0444&amp;lon=31.2357&amp;peakpower=1&amp;loss=14&amp;angle=20&amp;aspect=0&amp;outputformat=json&amp;raddatabase=PVGIS-SARAH3&amp;pvtechchoice=crystSi&amp;mountingplace=free&amp;usehorizon=1</v>
      </c>
    </row>
    <row r="1417">
      <c r="A1417" t="n">
        <v>20</v>
      </c>
      <c r="B1417" t="n">
        <v>180</v>
      </c>
      <c r="C1417" t="n">
        <v>4</v>
      </c>
      <c r="D1417" s="218" t="n">
        <v>163.54</v>
      </c>
      <c r="E1417" s="218" t="n">
        <v>5.45</v>
      </c>
      <c r="F1417" t="str">
        <v>https://re.jrc.ec.europa.eu/api/v5_3/PVcalc?lat=30.0444&amp;lon=31.2357&amp;peakpower=1&amp;loss=14&amp;angle=20&amp;aspect=0&amp;outputformat=json&amp;raddatabase=PVGIS-SARAH3&amp;pvtechchoice=crystSi&amp;mountingplace=free&amp;usehorizon=1</v>
      </c>
    </row>
    <row r="1418">
      <c r="A1418" t="n">
        <v>20</v>
      </c>
      <c r="B1418" t="n">
        <v>180</v>
      </c>
      <c r="C1418" t="n">
        <v>5</v>
      </c>
      <c r="D1418" s="218" t="n">
        <v>170.94</v>
      </c>
      <c r="E1418" s="218" t="n">
        <v>5.51</v>
      </c>
      <c r="F1418" t="str">
        <v>https://re.jrc.ec.europa.eu/api/v5_3/PVcalc?lat=30.0444&amp;lon=31.2357&amp;peakpower=1&amp;loss=14&amp;angle=20&amp;aspect=0&amp;outputformat=json&amp;raddatabase=PVGIS-SARAH3&amp;pvtechchoice=crystSi&amp;mountingplace=free&amp;usehorizon=1</v>
      </c>
    </row>
    <row r="1419">
      <c r="A1419" t="n">
        <v>20</v>
      </c>
      <c r="B1419" t="n">
        <v>180</v>
      </c>
      <c r="C1419" t="n">
        <v>6</v>
      </c>
      <c r="D1419" s="218" t="n">
        <v>169.62</v>
      </c>
      <c r="E1419" s="218" t="n">
        <v>5.65</v>
      </c>
      <c r="F1419" t="str">
        <v>https://re.jrc.ec.europa.eu/api/v5_3/PVcalc?lat=30.0444&amp;lon=31.2357&amp;peakpower=1&amp;loss=14&amp;angle=20&amp;aspect=0&amp;outputformat=json&amp;raddatabase=PVGIS-SARAH3&amp;pvtechchoice=crystSi&amp;mountingplace=free&amp;usehorizon=1</v>
      </c>
    </row>
    <row r="1420">
      <c r="A1420" t="n">
        <v>20</v>
      </c>
      <c r="B1420" t="n">
        <v>180</v>
      </c>
      <c r="C1420" t="n">
        <v>7</v>
      </c>
      <c r="D1420" s="218" t="n">
        <v>174.57</v>
      </c>
      <c r="E1420" s="218" t="n">
        <v>5.63</v>
      </c>
      <c r="F1420" t="str">
        <v>https://re.jrc.ec.europa.eu/api/v5_3/PVcalc?lat=30.0444&amp;lon=31.2357&amp;peakpower=1&amp;loss=14&amp;angle=20&amp;aspect=0&amp;outputformat=json&amp;raddatabase=PVGIS-SARAH3&amp;pvtechchoice=crystSi&amp;mountingplace=free&amp;usehorizon=1</v>
      </c>
    </row>
    <row r="1421">
      <c r="A1421" t="n">
        <v>20</v>
      </c>
      <c r="B1421" t="n">
        <v>180</v>
      </c>
      <c r="C1421" t="n">
        <v>8</v>
      </c>
      <c r="D1421" s="218" t="n">
        <v>171.89</v>
      </c>
      <c r="E1421" s="218" t="n">
        <v>5.54</v>
      </c>
      <c r="F1421" t="str">
        <v>https://re.jrc.ec.europa.eu/api/v5_3/PVcalc?lat=30.0444&amp;lon=31.2357&amp;peakpower=1&amp;loss=14&amp;angle=20&amp;aspect=0&amp;outputformat=json&amp;raddatabase=PVGIS-SARAH3&amp;pvtechchoice=crystSi&amp;mountingplace=free&amp;usehorizon=1</v>
      </c>
    </row>
    <row r="1422">
      <c r="A1422" t="n">
        <v>20</v>
      </c>
      <c r="B1422" t="n">
        <v>180</v>
      </c>
      <c r="C1422" t="n">
        <v>9</v>
      </c>
      <c r="D1422" s="218" t="n">
        <v>159.69</v>
      </c>
      <c r="E1422" s="218" t="n">
        <v>5.32</v>
      </c>
      <c r="F1422" t="str">
        <v>https://re.jrc.ec.europa.eu/api/v5_3/PVcalc?lat=30.0444&amp;lon=31.2357&amp;peakpower=1&amp;loss=14&amp;angle=20&amp;aspect=0&amp;outputformat=json&amp;raddatabase=PVGIS-SARAH3&amp;pvtechchoice=crystSi&amp;mountingplace=free&amp;usehorizon=1</v>
      </c>
    </row>
    <row r="1423">
      <c r="A1423" t="n">
        <v>20</v>
      </c>
      <c r="B1423" t="n">
        <v>180</v>
      </c>
      <c r="C1423" t="n">
        <v>10</v>
      </c>
      <c r="D1423" s="218" t="n">
        <v>147.39</v>
      </c>
      <c r="E1423" s="218" t="n">
        <v>4.75</v>
      </c>
      <c r="F1423" t="str">
        <v>https://re.jrc.ec.europa.eu/api/v5_3/PVcalc?lat=30.0444&amp;lon=31.2357&amp;peakpower=1&amp;loss=14&amp;angle=20&amp;aspect=0&amp;outputformat=json&amp;raddatabase=PVGIS-SARAH3&amp;pvtechchoice=crystSi&amp;mountingplace=free&amp;usehorizon=1</v>
      </c>
    </row>
    <row r="1424">
      <c r="A1424" t="n">
        <v>20</v>
      </c>
      <c r="B1424" t="n">
        <v>180</v>
      </c>
      <c r="C1424" t="n">
        <v>11</v>
      </c>
      <c r="D1424" s="218" t="n">
        <v>126.17</v>
      </c>
      <c r="E1424" s="218" t="n">
        <v>4.21</v>
      </c>
      <c r="F1424" t="str">
        <v>https://re.jrc.ec.europa.eu/api/v5_3/PVcalc?lat=30.0444&amp;lon=31.2357&amp;peakpower=1&amp;loss=14&amp;angle=20&amp;aspect=0&amp;outputformat=json&amp;raddatabase=PVGIS-SARAH3&amp;pvtechchoice=crystSi&amp;mountingplace=free&amp;usehorizon=1</v>
      </c>
    </row>
    <row r="1425">
      <c r="A1425" t="n">
        <v>20</v>
      </c>
      <c r="B1425" t="n">
        <v>180</v>
      </c>
      <c r="C1425" t="n">
        <v>12</v>
      </c>
      <c r="D1425" s="218" t="n">
        <v>118.22</v>
      </c>
      <c r="E1425" s="218" t="n">
        <v>3.81</v>
      </c>
      <c r="F1425" t="str">
        <v>https://re.jrc.ec.europa.eu/api/v5_3/PVcalc?lat=30.0444&amp;lon=31.2357&amp;peakpower=1&amp;loss=14&amp;angle=20&amp;aspect=0&amp;outputformat=json&amp;raddatabase=PVGIS-SARAH3&amp;pvtechchoice=crystSi&amp;mountingplace=free&amp;usehorizon=1</v>
      </c>
    </row>
    <row r="1426">
      <c r="A1426" t="n">
        <v>20</v>
      </c>
      <c r="B1426" t="n">
        <v>195</v>
      </c>
      <c r="C1426" t="n">
        <v>1</v>
      </c>
      <c r="D1426" s="218" t="n">
        <v>118.96</v>
      </c>
      <c r="E1426" s="218" t="n">
        <v>3.84</v>
      </c>
      <c r="F1426" t="str">
        <v>https://re.jrc.ec.europa.eu/api/v5_3/PVcalc?lat=30.0444&amp;lon=31.2357&amp;peakpower=1&amp;loss=14&amp;angle=20&amp;aspect=15&amp;outputformat=json&amp;raddatabase=PVGIS-SARAH3&amp;pvtechchoice=crystSi&amp;mountingplace=free&amp;usehorizon=1</v>
      </c>
    </row>
    <row r="1427">
      <c r="A1427" t="n">
        <v>20</v>
      </c>
      <c r="B1427" t="n">
        <v>195</v>
      </c>
      <c r="C1427" t="n">
        <v>2</v>
      </c>
      <c r="D1427" s="218" t="n">
        <v>121</v>
      </c>
      <c r="E1427" s="218" t="n">
        <v>4.32</v>
      </c>
      <c r="F1427" t="str">
        <v>https://re.jrc.ec.europa.eu/api/v5_3/PVcalc?lat=30.0444&amp;lon=31.2357&amp;peakpower=1&amp;loss=14&amp;angle=20&amp;aspect=15&amp;outputformat=json&amp;raddatabase=PVGIS-SARAH3&amp;pvtechchoice=crystSi&amp;mountingplace=free&amp;usehorizon=1</v>
      </c>
    </row>
    <row r="1428">
      <c r="A1428" t="n">
        <v>20</v>
      </c>
      <c r="B1428" t="n">
        <v>195</v>
      </c>
      <c r="C1428" t="n">
        <v>3</v>
      </c>
      <c r="D1428" s="218" t="n">
        <v>157.18</v>
      </c>
      <c r="E1428" s="218" t="n">
        <v>5.07</v>
      </c>
      <c r="F1428" t="str">
        <v>https://re.jrc.ec.europa.eu/api/v5_3/PVcalc?lat=30.0444&amp;lon=31.2357&amp;peakpower=1&amp;loss=14&amp;angle=20&amp;aspect=15&amp;outputformat=json&amp;raddatabase=PVGIS-SARAH3&amp;pvtechchoice=crystSi&amp;mountingplace=free&amp;usehorizon=1</v>
      </c>
    </row>
    <row r="1429">
      <c r="A1429" t="n">
        <v>20</v>
      </c>
      <c r="B1429" t="n">
        <v>195</v>
      </c>
      <c r="C1429" t="n">
        <v>4</v>
      </c>
      <c r="D1429" s="218" t="n">
        <v>163.73</v>
      </c>
      <c r="E1429" s="218" t="n">
        <v>5.46</v>
      </c>
      <c r="F1429" t="str">
        <v>https://re.jrc.ec.europa.eu/api/v5_3/PVcalc?lat=30.0444&amp;lon=31.2357&amp;peakpower=1&amp;loss=14&amp;angle=20&amp;aspect=15&amp;outputformat=json&amp;raddatabase=PVGIS-SARAH3&amp;pvtechchoice=crystSi&amp;mountingplace=free&amp;usehorizon=1</v>
      </c>
    </row>
    <row r="1430">
      <c r="A1430" t="n">
        <v>20</v>
      </c>
      <c r="B1430" t="n">
        <v>195</v>
      </c>
      <c r="C1430" t="n">
        <v>5</v>
      </c>
      <c r="D1430" s="218" t="n">
        <v>171.21</v>
      </c>
      <c r="E1430" s="218" t="n">
        <v>5.52</v>
      </c>
      <c r="F1430" t="str">
        <v>https://re.jrc.ec.europa.eu/api/v5_3/PVcalc?lat=30.0444&amp;lon=31.2357&amp;peakpower=1&amp;loss=14&amp;angle=20&amp;aspect=15&amp;outputformat=json&amp;raddatabase=PVGIS-SARAH3&amp;pvtechchoice=crystSi&amp;mountingplace=free&amp;usehorizon=1</v>
      </c>
    </row>
    <row r="1431">
      <c r="A1431" t="n">
        <v>20</v>
      </c>
      <c r="B1431" t="n">
        <v>195</v>
      </c>
      <c r="C1431" t="n">
        <v>6</v>
      </c>
      <c r="D1431" s="218" t="n">
        <v>170.53</v>
      </c>
      <c r="E1431" s="218" t="n">
        <v>5.68</v>
      </c>
      <c r="F1431" t="str">
        <v>https://re.jrc.ec.europa.eu/api/v5_3/PVcalc?lat=30.0444&amp;lon=31.2357&amp;peakpower=1&amp;loss=14&amp;angle=20&amp;aspect=15&amp;outputformat=json&amp;raddatabase=PVGIS-SARAH3&amp;pvtechchoice=crystSi&amp;mountingplace=free&amp;usehorizon=1</v>
      </c>
    </row>
    <row r="1432">
      <c r="A1432" t="n">
        <v>20</v>
      </c>
      <c r="B1432" t="n">
        <v>195</v>
      </c>
      <c r="C1432" t="n">
        <v>7</v>
      </c>
      <c r="D1432" s="218" t="n">
        <v>175.84</v>
      </c>
      <c r="E1432" s="218" t="n">
        <v>5.67</v>
      </c>
      <c r="F1432" t="str">
        <v>https://re.jrc.ec.europa.eu/api/v5_3/PVcalc?lat=30.0444&amp;lon=31.2357&amp;peakpower=1&amp;loss=14&amp;angle=20&amp;aspect=15&amp;outputformat=json&amp;raddatabase=PVGIS-SARAH3&amp;pvtechchoice=crystSi&amp;mountingplace=free&amp;usehorizon=1</v>
      </c>
    </row>
    <row r="1433">
      <c r="A1433" t="n">
        <v>20</v>
      </c>
      <c r="B1433" t="n">
        <v>195</v>
      </c>
      <c r="C1433" t="n">
        <v>8</v>
      </c>
      <c r="D1433" s="218" t="n">
        <v>172.69</v>
      </c>
      <c r="E1433" s="218" t="n">
        <v>5.57</v>
      </c>
      <c r="F1433" t="str">
        <v>https://re.jrc.ec.europa.eu/api/v5_3/PVcalc?lat=30.0444&amp;lon=31.2357&amp;peakpower=1&amp;loss=14&amp;angle=20&amp;aspect=15&amp;outputformat=json&amp;raddatabase=PVGIS-SARAH3&amp;pvtechchoice=crystSi&amp;mountingplace=free&amp;usehorizon=1</v>
      </c>
    </row>
    <row r="1434">
      <c r="A1434" t="n">
        <v>20</v>
      </c>
      <c r="B1434" t="n">
        <v>195</v>
      </c>
      <c r="C1434" t="n">
        <v>9</v>
      </c>
      <c r="D1434" s="218" t="n">
        <v>159.98</v>
      </c>
      <c r="E1434" s="218" t="n">
        <v>5.33</v>
      </c>
      <c r="F1434" t="str">
        <v>https://re.jrc.ec.europa.eu/api/v5_3/PVcalc?lat=30.0444&amp;lon=31.2357&amp;peakpower=1&amp;loss=14&amp;angle=20&amp;aspect=15&amp;outputformat=json&amp;raddatabase=PVGIS-SARAH3&amp;pvtechchoice=crystSi&amp;mountingplace=free&amp;usehorizon=1</v>
      </c>
    </row>
    <row r="1435">
      <c r="A1435" t="n">
        <v>20</v>
      </c>
      <c r="B1435" t="n">
        <v>195</v>
      </c>
      <c r="C1435" t="n">
        <v>10</v>
      </c>
      <c r="D1435" s="218" t="n">
        <v>146.56</v>
      </c>
      <c r="E1435" s="218" t="n">
        <v>4.73</v>
      </c>
      <c r="F1435" t="str">
        <v>https://re.jrc.ec.europa.eu/api/v5_3/PVcalc?lat=30.0444&amp;lon=31.2357&amp;peakpower=1&amp;loss=14&amp;angle=20&amp;aspect=15&amp;outputformat=json&amp;raddatabase=PVGIS-SARAH3&amp;pvtechchoice=crystSi&amp;mountingplace=free&amp;usehorizon=1</v>
      </c>
    </row>
    <row r="1436">
      <c r="A1436" t="n">
        <v>20</v>
      </c>
      <c r="B1436" t="n">
        <v>195</v>
      </c>
      <c r="C1436" t="n">
        <v>11</v>
      </c>
      <c r="D1436" s="218" t="n">
        <v>124.83</v>
      </c>
      <c r="E1436" s="218" t="n">
        <v>4.16</v>
      </c>
      <c r="F1436" t="str">
        <v>https://re.jrc.ec.europa.eu/api/v5_3/PVcalc?lat=30.0444&amp;lon=31.2357&amp;peakpower=1&amp;loss=14&amp;angle=20&amp;aspect=15&amp;outputformat=json&amp;raddatabase=PVGIS-SARAH3&amp;pvtechchoice=crystSi&amp;mountingplace=free&amp;usehorizon=1</v>
      </c>
    </row>
    <row r="1437">
      <c r="A1437" t="n">
        <v>20</v>
      </c>
      <c r="B1437" t="n">
        <v>195</v>
      </c>
      <c r="C1437" t="n">
        <v>12</v>
      </c>
      <c r="D1437" s="218" t="n">
        <v>116.69</v>
      </c>
      <c r="E1437" s="218" t="n">
        <v>3.76</v>
      </c>
      <c r="F1437" t="str">
        <v>https://re.jrc.ec.europa.eu/api/v5_3/PVcalc?lat=30.0444&amp;lon=31.2357&amp;peakpower=1&amp;loss=14&amp;angle=20&amp;aspect=15&amp;outputformat=json&amp;raddatabase=PVGIS-SARAH3&amp;pvtechchoice=crystSi&amp;mountingplace=free&amp;usehorizon=1</v>
      </c>
    </row>
    <row r="1438">
      <c r="A1438" t="n">
        <v>20</v>
      </c>
      <c r="B1438" t="n">
        <v>210</v>
      </c>
      <c r="C1438" t="n">
        <v>1</v>
      </c>
      <c r="D1438" s="218" t="n">
        <v>115.18</v>
      </c>
      <c r="E1438" s="218" t="n">
        <v>3.72</v>
      </c>
      <c r="F1438" t="str">
        <v>https://re.jrc.ec.europa.eu/api/v5_3/PVcalc?lat=30.0444&amp;lon=31.2357&amp;peakpower=1&amp;loss=14&amp;angle=20&amp;aspect=30&amp;outputformat=json&amp;raddatabase=PVGIS-SARAH3&amp;pvtechchoice=crystSi&amp;mountingplace=free&amp;usehorizon=1</v>
      </c>
    </row>
    <row r="1439">
      <c r="A1439" t="n">
        <v>20</v>
      </c>
      <c r="B1439" t="n">
        <v>210</v>
      </c>
      <c r="C1439" t="n">
        <v>2</v>
      </c>
      <c r="D1439" s="218" t="n">
        <v>118.02</v>
      </c>
      <c r="E1439" s="218" t="n">
        <v>4.21</v>
      </c>
      <c r="F1439" t="str">
        <v>https://re.jrc.ec.europa.eu/api/v5_3/PVcalc?lat=30.0444&amp;lon=31.2357&amp;peakpower=1&amp;loss=14&amp;angle=20&amp;aspect=30&amp;outputformat=json&amp;raddatabase=PVGIS-SARAH3&amp;pvtechchoice=crystSi&amp;mountingplace=free&amp;usehorizon=1</v>
      </c>
    </row>
    <row r="1440">
      <c r="A1440" t="n">
        <v>20</v>
      </c>
      <c r="B1440" t="n">
        <v>210</v>
      </c>
      <c r="C1440" t="n">
        <v>3</v>
      </c>
      <c r="D1440" s="218" t="n">
        <v>155.14</v>
      </c>
      <c r="E1440" s="218" t="n">
        <v>5</v>
      </c>
      <c r="F1440" t="str">
        <v>https://re.jrc.ec.europa.eu/api/v5_3/PVcalc?lat=30.0444&amp;lon=31.2357&amp;peakpower=1&amp;loss=14&amp;angle=20&amp;aspect=30&amp;outputformat=json&amp;raddatabase=PVGIS-SARAH3&amp;pvtechchoice=crystSi&amp;mountingplace=free&amp;usehorizon=1</v>
      </c>
    </row>
    <row r="1441">
      <c r="A1441" t="n">
        <v>20</v>
      </c>
      <c r="B1441" t="n">
        <v>210</v>
      </c>
      <c r="C1441" t="n">
        <v>4</v>
      </c>
      <c r="D1441" s="218" t="n">
        <v>163.1</v>
      </c>
      <c r="E1441" s="218" t="n">
        <v>5.44</v>
      </c>
      <c r="F1441" t="str">
        <v>https://re.jrc.ec.europa.eu/api/v5_3/PVcalc?lat=30.0444&amp;lon=31.2357&amp;peakpower=1&amp;loss=14&amp;angle=20&amp;aspect=30&amp;outputformat=json&amp;raddatabase=PVGIS-SARAH3&amp;pvtechchoice=crystSi&amp;mountingplace=free&amp;usehorizon=1</v>
      </c>
    </row>
    <row r="1442">
      <c r="A1442" t="n">
        <v>20</v>
      </c>
      <c r="B1442" t="n">
        <v>210</v>
      </c>
      <c r="C1442" t="n">
        <v>5</v>
      </c>
      <c r="D1442" s="218" t="n">
        <v>171.83</v>
      </c>
      <c r="E1442" s="218" t="n">
        <v>5.54</v>
      </c>
      <c r="F1442" t="str">
        <v>https://re.jrc.ec.europa.eu/api/v5_3/PVcalc?lat=30.0444&amp;lon=31.2357&amp;peakpower=1&amp;loss=14&amp;angle=20&amp;aspect=30&amp;outputformat=json&amp;raddatabase=PVGIS-SARAH3&amp;pvtechchoice=crystSi&amp;mountingplace=free&amp;usehorizon=1</v>
      </c>
    </row>
    <row r="1443">
      <c r="A1443" t="n">
        <v>20</v>
      </c>
      <c r="B1443" t="n">
        <v>210</v>
      </c>
      <c r="C1443" t="n">
        <v>6</v>
      </c>
      <c r="D1443" s="218" t="n">
        <v>172.21</v>
      </c>
      <c r="E1443" s="218" t="n">
        <v>5.74</v>
      </c>
      <c r="F1443" t="str">
        <v>https://re.jrc.ec.europa.eu/api/v5_3/PVcalc?lat=30.0444&amp;lon=31.2357&amp;peakpower=1&amp;loss=14&amp;angle=20&amp;aspect=30&amp;outputformat=json&amp;raddatabase=PVGIS-SARAH3&amp;pvtechchoice=crystSi&amp;mountingplace=free&amp;usehorizon=1</v>
      </c>
    </row>
    <row r="1444">
      <c r="A1444" t="n">
        <v>20</v>
      </c>
      <c r="B1444" t="n">
        <v>210</v>
      </c>
      <c r="C1444" t="n">
        <v>7</v>
      </c>
      <c r="D1444" s="218" t="n">
        <v>177.48</v>
      </c>
      <c r="E1444" s="218" t="n">
        <v>5.73</v>
      </c>
      <c r="F1444" t="str">
        <v>https://re.jrc.ec.europa.eu/api/v5_3/PVcalc?lat=30.0444&amp;lon=31.2357&amp;peakpower=1&amp;loss=14&amp;angle=20&amp;aspect=30&amp;outputformat=json&amp;raddatabase=PVGIS-SARAH3&amp;pvtechchoice=crystSi&amp;mountingplace=free&amp;usehorizon=1</v>
      </c>
    </row>
    <row r="1445">
      <c r="A1445" t="n">
        <v>20</v>
      </c>
      <c r="B1445" t="n">
        <v>210</v>
      </c>
      <c r="C1445" t="n">
        <v>8</v>
      </c>
      <c r="D1445" s="218" t="n">
        <v>173.02</v>
      </c>
      <c r="E1445" s="218" t="n">
        <v>5.58</v>
      </c>
      <c r="F1445" t="str">
        <v>https://re.jrc.ec.europa.eu/api/v5_3/PVcalc?lat=30.0444&amp;lon=31.2357&amp;peakpower=1&amp;loss=14&amp;angle=20&amp;aspect=30&amp;outputformat=json&amp;raddatabase=PVGIS-SARAH3&amp;pvtechchoice=crystSi&amp;mountingplace=free&amp;usehorizon=1</v>
      </c>
    </row>
    <row r="1446">
      <c r="A1446" t="n">
        <v>20</v>
      </c>
      <c r="B1446" t="n">
        <v>210</v>
      </c>
      <c r="C1446" t="n">
        <v>9</v>
      </c>
      <c r="D1446" s="218" t="n">
        <v>158.75</v>
      </c>
      <c r="E1446" s="218" t="n">
        <v>5.29</v>
      </c>
      <c r="F1446" t="str">
        <v>https://re.jrc.ec.europa.eu/api/v5_3/PVcalc?lat=30.0444&amp;lon=31.2357&amp;peakpower=1&amp;loss=14&amp;angle=20&amp;aspect=30&amp;outputformat=json&amp;raddatabase=PVGIS-SARAH3&amp;pvtechchoice=crystSi&amp;mountingplace=free&amp;usehorizon=1</v>
      </c>
    </row>
    <row r="1447">
      <c r="A1447" t="n">
        <v>20</v>
      </c>
      <c r="B1447" t="n">
        <v>210</v>
      </c>
      <c r="C1447" t="n">
        <v>10</v>
      </c>
      <c r="D1447" s="218" t="n">
        <v>143.63</v>
      </c>
      <c r="E1447" s="218" t="n">
        <v>4.63</v>
      </c>
      <c r="F1447" t="str">
        <v>https://re.jrc.ec.europa.eu/api/v5_3/PVcalc?lat=30.0444&amp;lon=31.2357&amp;peakpower=1&amp;loss=14&amp;angle=20&amp;aspect=30&amp;outputformat=json&amp;raddatabase=PVGIS-SARAH3&amp;pvtechchoice=crystSi&amp;mountingplace=free&amp;usehorizon=1</v>
      </c>
    </row>
    <row r="1448">
      <c r="A1448" t="n">
        <v>20</v>
      </c>
      <c r="B1448" t="n">
        <v>210</v>
      </c>
      <c r="C1448" t="n">
        <v>11</v>
      </c>
      <c r="D1448" s="218" t="n">
        <v>121.13</v>
      </c>
      <c r="E1448" s="218" t="n">
        <v>4.04</v>
      </c>
      <c r="F1448" t="str">
        <v>https://re.jrc.ec.europa.eu/api/v5_3/PVcalc?lat=30.0444&amp;lon=31.2357&amp;peakpower=1&amp;loss=14&amp;angle=20&amp;aspect=30&amp;outputformat=json&amp;raddatabase=PVGIS-SARAH3&amp;pvtechchoice=crystSi&amp;mountingplace=free&amp;usehorizon=1</v>
      </c>
    </row>
    <row r="1449">
      <c r="A1449" t="n">
        <v>20</v>
      </c>
      <c r="B1449" t="n">
        <v>210</v>
      </c>
      <c r="C1449" t="n">
        <v>12</v>
      </c>
      <c r="D1449" s="218" t="n">
        <v>112.7</v>
      </c>
      <c r="E1449" s="218" t="n">
        <v>3.64</v>
      </c>
      <c r="F1449" t="str">
        <v>https://re.jrc.ec.europa.eu/api/v5_3/PVcalc?lat=30.0444&amp;lon=31.2357&amp;peakpower=1&amp;loss=14&amp;angle=20&amp;aspect=30&amp;outputformat=json&amp;raddatabase=PVGIS-SARAH3&amp;pvtechchoice=crystSi&amp;mountingplace=free&amp;usehorizon=1</v>
      </c>
    </row>
    <row r="1450">
      <c r="A1450" t="n">
        <v>20</v>
      </c>
      <c r="B1450" t="n">
        <v>225</v>
      </c>
      <c r="C1450" t="n">
        <v>1</v>
      </c>
      <c r="D1450" s="218" t="n">
        <v>109.36</v>
      </c>
      <c r="E1450" s="218" t="n">
        <v>3.53</v>
      </c>
      <c r="F1450" t="str">
        <v>https://re.jrc.ec.europa.eu/api/v5_3/PVcalc?lat=30.0444&amp;lon=31.2357&amp;peakpower=1&amp;loss=14&amp;angle=20&amp;aspect=45&amp;outputformat=json&amp;raddatabase=PVGIS-SARAH3&amp;pvtechchoice=crystSi&amp;mountingplace=free&amp;usehorizon=1</v>
      </c>
    </row>
    <row r="1451">
      <c r="A1451" t="n">
        <v>20</v>
      </c>
      <c r="B1451" t="n">
        <v>225</v>
      </c>
      <c r="C1451" t="n">
        <v>2</v>
      </c>
      <c r="D1451" s="218" t="n">
        <v>113.69</v>
      </c>
      <c r="E1451" s="218" t="n">
        <v>4.06</v>
      </c>
      <c r="F1451" t="str">
        <v>https://re.jrc.ec.europa.eu/api/v5_3/PVcalc?lat=30.0444&amp;lon=31.2357&amp;peakpower=1&amp;loss=14&amp;angle=20&amp;aspect=45&amp;outputformat=json&amp;raddatabase=PVGIS-SARAH3&amp;pvtechchoice=crystSi&amp;mountingplace=free&amp;usehorizon=1</v>
      </c>
    </row>
    <row r="1452">
      <c r="A1452" t="n">
        <v>20</v>
      </c>
      <c r="B1452" t="n">
        <v>225</v>
      </c>
      <c r="C1452" t="n">
        <v>3</v>
      </c>
      <c r="D1452" s="218" t="n">
        <v>151.8</v>
      </c>
      <c r="E1452" s="218" t="n">
        <v>4.9</v>
      </c>
      <c r="F1452" t="str">
        <v>https://re.jrc.ec.europa.eu/api/v5_3/PVcalc?lat=30.0444&amp;lon=31.2357&amp;peakpower=1&amp;loss=14&amp;angle=20&amp;aspect=45&amp;outputformat=json&amp;raddatabase=PVGIS-SARAH3&amp;pvtechchoice=crystSi&amp;mountingplace=free&amp;usehorizon=1</v>
      </c>
    </row>
    <row r="1453">
      <c r="A1453" t="n">
        <v>20</v>
      </c>
      <c r="B1453" t="n">
        <v>225</v>
      </c>
      <c r="C1453" t="n">
        <v>4</v>
      </c>
      <c r="D1453" s="218" t="n">
        <v>161.54</v>
      </c>
      <c r="E1453" s="218" t="n">
        <v>5.38</v>
      </c>
      <c r="F1453" t="str">
        <v>https://re.jrc.ec.europa.eu/api/v5_3/PVcalc?lat=30.0444&amp;lon=31.2357&amp;peakpower=1&amp;loss=14&amp;angle=20&amp;aspect=45&amp;outputformat=json&amp;raddatabase=PVGIS-SARAH3&amp;pvtechchoice=crystSi&amp;mountingplace=free&amp;usehorizon=1</v>
      </c>
    </row>
    <row r="1454">
      <c r="A1454" t="n">
        <v>20</v>
      </c>
      <c r="B1454" t="n">
        <v>225</v>
      </c>
      <c r="C1454" t="n">
        <v>5</v>
      </c>
      <c r="D1454" s="218" t="n">
        <v>171.99</v>
      </c>
      <c r="E1454" s="218" t="n">
        <v>5.55</v>
      </c>
      <c r="F1454" t="str">
        <v>https://re.jrc.ec.europa.eu/api/v5_3/PVcalc?lat=30.0444&amp;lon=31.2357&amp;peakpower=1&amp;loss=14&amp;angle=20&amp;aspect=45&amp;outputformat=json&amp;raddatabase=PVGIS-SARAH3&amp;pvtechchoice=crystSi&amp;mountingplace=free&amp;usehorizon=1</v>
      </c>
    </row>
    <row r="1455">
      <c r="A1455" t="n">
        <v>20</v>
      </c>
      <c r="B1455" t="n">
        <v>225</v>
      </c>
      <c r="C1455" t="n">
        <v>6</v>
      </c>
      <c r="D1455" s="218" t="n">
        <v>173.68</v>
      </c>
      <c r="E1455" s="218" t="n">
        <v>5.79</v>
      </c>
      <c r="F1455" t="str">
        <v>https://re.jrc.ec.europa.eu/api/v5_3/PVcalc?lat=30.0444&amp;lon=31.2357&amp;peakpower=1&amp;loss=14&amp;angle=20&amp;aspect=45&amp;outputformat=json&amp;raddatabase=PVGIS-SARAH3&amp;pvtechchoice=crystSi&amp;mountingplace=free&amp;usehorizon=1</v>
      </c>
    </row>
    <row r="1456">
      <c r="A1456" t="n">
        <v>20</v>
      </c>
      <c r="B1456" t="n">
        <v>225</v>
      </c>
      <c r="C1456" t="n">
        <v>7</v>
      </c>
      <c r="D1456" s="218" t="n">
        <v>178.76</v>
      </c>
      <c r="E1456" s="218" t="n">
        <v>5.77</v>
      </c>
      <c r="F1456" t="str">
        <v>https://re.jrc.ec.europa.eu/api/v5_3/PVcalc?lat=30.0444&amp;lon=31.2357&amp;peakpower=1&amp;loss=14&amp;angle=20&amp;aspect=45&amp;outputformat=json&amp;raddatabase=PVGIS-SARAH3&amp;pvtechchoice=crystSi&amp;mountingplace=free&amp;usehorizon=1</v>
      </c>
    </row>
    <row r="1457">
      <c r="A1457" t="n">
        <v>20</v>
      </c>
      <c r="B1457" t="n">
        <v>225</v>
      </c>
      <c r="C1457" t="n">
        <v>8</v>
      </c>
      <c r="D1457" s="218" t="n">
        <v>172.57</v>
      </c>
      <c r="E1457" s="218" t="n">
        <v>5.57</v>
      </c>
      <c r="F1457" t="str">
        <v>https://re.jrc.ec.europa.eu/api/v5_3/PVcalc?lat=30.0444&amp;lon=31.2357&amp;peakpower=1&amp;loss=14&amp;angle=20&amp;aspect=45&amp;outputformat=json&amp;raddatabase=PVGIS-SARAH3&amp;pvtechchoice=crystSi&amp;mountingplace=free&amp;usehorizon=1</v>
      </c>
    </row>
    <row r="1458">
      <c r="A1458" t="n">
        <v>20</v>
      </c>
      <c r="B1458" t="n">
        <v>225</v>
      </c>
      <c r="C1458" t="n">
        <v>9</v>
      </c>
      <c r="D1458" s="218" t="n">
        <v>156.17</v>
      </c>
      <c r="E1458" s="218" t="n">
        <v>5.21</v>
      </c>
      <c r="F1458" t="str">
        <v>https://re.jrc.ec.europa.eu/api/v5_3/PVcalc?lat=30.0444&amp;lon=31.2357&amp;peakpower=1&amp;loss=14&amp;angle=20&amp;aspect=45&amp;outputformat=json&amp;raddatabase=PVGIS-SARAH3&amp;pvtechchoice=crystSi&amp;mountingplace=free&amp;usehorizon=1</v>
      </c>
    </row>
    <row r="1459">
      <c r="A1459" t="n">
        <v>20</v>
      </c>
      <c r="B1459" t="n">
        <v>225</v>
      </c>
      <c r="C1459" t="n">
        <v>10</v>
      </c>
      <c r="D1459" s="218" t="n">
        <v>138.91</v>
      </c>
      <c r="E1459" s="218" t="n">
        <v>4.48</v>
      </c>
      <c r="F1459" t="str">
        <v>https://re.jrc.ec.europa.eu/api/v5_3/PVcalc?lat=30.0444&amp;lon=31.2357&amp;peakpower=1&amp;loss=14&amp;angle=20&amp;aspect=45&amp;outputformat=json&amp;raddatabase=PVGIS-SARAH3&amp;pvtechchoice=crystSi&amp;mountingplace=free&amp;usehorizon=1</v>
      </c>
    </row>
    <row r="1460">
      <c r="A1460" t="n">
        <v>20</v>
      </c>
      <c r="B1460" t="n">
        <v>225</v>
      </c>
      <c r="C1460" t="n">
        <v>11</v>
      </c>
      <c r="D1460" s="218" t="n">
        <v>115.44</v>
      </c>
      <c r="E1460" s="218" t="n">
        <v>3.85</v>
      </c>
      <c r="F1460" t="str">
        <v>https://re.jrc.ec.europa.eu/api/v5_3/PVcalc?lat=30.0444&amp;lon=31.2357&amp;peakpower=1&amp;loss=14&amp;angle=20&amp;aspect=45&amp;outputformat=json&amp;raddatabase=PVGIS-SARAH3&amp;pvtechchoice=crystSi&amp;mountingplace=free&amp;usehorizon=1</v>
      </c>
    </row>
    <row r="1461">
      <c r="A1461" t="n">
        <v>20</v>
      </c>
      <c r="B1461" t="n">
        <v>225</v>
      </c>
      <c r="C1461" t="n">
        <v>12</v>
      </c>
      <c r="D1461" s="218" t="n">
        <v>106.68</v>
      </c>
      <c r="E1461" s="218" t="n">
        <v>3.44</v>
      </c>
      <c r="F1461" t="str">
        <v>https://re.jrc.ec.europa.eu/api/v5_3/PVcalc?lat=30.0444&amp;lon=31.2357&amp;peakpower=1&amp;loss=14&amp;angle=20&amp;aspect=45&amp;outputformat=json&amp;raddatabase=PVGIS-SARAH3&amp;pvtechchoice=crystSi&amp;mountingplace=free&amp;usehorizon=1</v>
      </c>
    </row>
    <row r="1462">
      <c r="A1462" t="n">
        <v>20</v>
      </c>
      <c r="B1462" t="n">
        <v>240</v>
      </c>
      <c r="C1462" t="n">
        <v>1</v>
      </c>
      <c r="D1462" s="218" t="n">
        <v>101.92</v>
      </c>
      <c r="E1462" s="218" t="n">
        <v>3.29</v>
      </c>
      <c r="F1462" t="str">
        <v>https://re.jrc.ec.europa.eu/api/v5_3/PVcalc?lat=30.0444&amp;lon=31.2357&amp;peakpower=1&amp;loss=14&amp;angle=20&amp;aspect=60&amp;outputformat=json&amp;raddatabase=PVGIS-SARAH3&amp;pvtechchoice=crystSi&amp;mountingplace=free&amp;usehorizon=1</v>
      </c>
    </row>
    <row r="1463">
      <c r="A1463" t="n">
        <v>20</v>
      </c>
      <c r="B1463" t="n">
        <v>240</v>
      </c>
      <c r="C1463" t="n">
        <v>2</v>
      </c>
      <c r="D1463" s="218" t="n">
        <v>108.03</v>
      </c>
      <c r="E1463" s="218" t="n">
        <v>3.86</v>
      </c>
      <c r="F1463" t="str">
        <v>https://re.jrc.ec.europa.eu/api/v5_3/PVcalc?lat=30.0444&amp;lon=31.2357&amp;peakpower=1&amp;loss=14&amp;angle=20&amp;aspect=60&amp;outputformat=json&amp;raddatabase=PVGIS-SARAH3&amp;pvtechchoice=crystSi&amp;mountingplace=free&amp;usehorizon=1</v>
      </c>
    </row>
    <row r="1464">
      <c r="A1464" t="n">
        <v>20</v>
      </c>
      <c r="B1464" t="n">
        <v>240</v>
      </c>
      <c r="C1464" t="n">
        <v>3</v>
      </c>
      <c r="D1464" s="218" t="n">
        <v>147.56</v>
      </c>
      <c r="E1464" s="218" t="n">
        <v>4.76</v>
      </c>
      <c r="F1464" t="str">
        <v>https://re.jrc.ec.europa.eu/api/v5_3/PVcalc?lat=30.0444&amp;lon=31.2357&amp;peakpower=1&amp;loss=14&amp;angle=20&amp;aspect=60&amp;outputformat=json&amp;raddatabase=PVGIS-SARAH3&amp;pvtechchoice=crystSi&amp;mountingplace=free&amp;usehorizon=1</v>
      </c>
    </row>
    <row r="1465">
      <c r="A1465" t="n">
        <v>20</v>
      </c>
      <c r="B1465" t="n">
        <v>240</v>
      </c>
      <c r="C1465" t="n">
        <v>4</v>
      </c>
      <c r="D1465" s="218" t="n">
        <v>159.28</v>
      </c>
      <c r="E1465" s="218" t="n">
        <v>5.31</v>
      </c>
      <c r="F1465" t="str">
        <v>https://re.jrc.ec.europa.eu/api/v5_3/PVcalc?lat=30.0444&amp;lon=31.2357&amp;peakpower=1&amp;loss=14&amp;angle=20&amp;aspect=60&amp;outputformat=json&amp;raddatabase=PVGIS-SARAH3&amp;pvtechchoice=crystSi&amp;mountingplace=free&amp;usehorizon=1</v>
      </c>
    </row>
    <row r="1466">
      <c r="A1466" t="n">
        <v>20</v>
      </c>
      <c r="B1466" t="n">
        <v>240</v>
      </c>
      <c r="C1466" t="n">
        <v>5</v>
      </c>
      <c r="D1466" s="218" t="n">
        <v>171.81</v>
      </c>
      <c r="E1466" s="218" t="n">
        <v>5.54</v>
      </c>
      <c r="F1466" t="str">
        <v>https://re.jrc.ec.europa.eu/api/v5_3/PVcalc?lat=30.0444&amp;lon=31.2357&amp;peakpower=1&amp;loss=14&amp;angle=20&amp;aspect=60&amp;outputformat=json&amp;raddatabase=PVGIS-SARAH3&amp;pvtechchoice=crystSi&amp;mountingplace=free&amp;usehorizon=1</v>
      </c>
    </row>
    <row r="1467">
      <c r="A1467" t="n">
        <v>20</v>
      </c>
      <c r="B1467" t="n">
        <v>240</v>
      </c>
      <c r="C1467" t="n">
        <v>6</v>
      </c>
      <c r="D1467" s="218" t="n">
        <v>174.98</v>
      </c>
      <c r="E1467" s="218" t="n">
        <v>5.83</v>
      </c>
      <c r="F1467" t="str">
        <v>https://re.jrc.ec.europa.eu/api/v5_3/PVcalc?lat=30.0444&amp;lon=31.2357&amp;peakpower=1&amp;loss=14&amp;angle=20&amp;aspect=60&amp;outputformat=json&amp;raddatabase=PVGIS-SARAH3&amp;pvtechchoice=crystSi&amp;mountingplace=free&amp;usehorizon=1</v>
      </c>
    </row>
    <row r="1468">
      <c r="A1468" t="n">
        <v>20</v>
      </c>
      <c r="B1468" t="n">
        <v>240</v>
      </c>
      <c r="C1468" t="n">
        <v>7</v>
      </c>
      <c r="D1468" s="218" t="n">
        <v>179.71</v>
      </c>
      <c r="E1468" s="218" t="n">
        <v>5.8</v>
      </c>
      <c r="F1468" t="str">
        <v>https://re.jrc.ec.europa.eu/api/v5_3/PVcalc?lat=30.0444&amp;lon=31.2357&amp;peakpower=1&amp;loss=14&amp;angle=20&amp;aspect=60&amp;outputformat=json&amp;raddatabase=PVGIS-SARAH3&amp;pvtechchoice=crystSi&amp;mountingplace=free&amp;usehorizon=1</v>
      </c>
    </row>
    <row r="1469">
      <c r="A1469" t="n">
        <v>20</v>
      </c>
      <c r="B1469" t="n">
        <v>240</v>
      </c>
      <c r="C1469" t="n">
        <v>8</v>
      </c>
      <c r="D1469" s="218" t="n">
        <v>171.43</v>
      </c>
      <c r="E1469" s="218" t="n">
        <v>5.53</v>
      </c>
      <c r="F1469" t="str">
        <v>https://re.jrc.ec.europa.eu/api/v5_3/PVcalc?lat=30.0444&amp;lon=31.2357&amp;peakpower=1&amp;loss=14&amp;angle=20&amp;aspect=60&amp;outputformat=json&amp;raddatabase=PVGIS-SARAH3&amp;pvtechchoice=crystSi&amp;mountingplace=free&amp;usehorizon=1</v>
      </c>
    </row>
    <row r="1470">
      <c r="A1470" t="n">
        <v>20</v>
      </c>
      <c r="B1470" t="n">
        <v>240</v>
      </c>
      <c r="C1470" t="n">
        <v>9</v>
      </c>
      <c r="D1470" s="218" t="n">
        <v>152.52</v>
      </c>
      <c r="E1470" s="218" t="n">
        <v>5.08</v>
      </c>
      <c r="F1470" t="str">
        <v>https://re.jrc.ec.europa.eu/api/v5_3/PVcalc?lat=30.0444&amp;lon=31.2357&amp;peakpower=1&amp;loss=14&amp;angle=20&amp;aspect=60&amp;outputformat=json&amp;raddatabase=PVGIS-SARAH3&amp;pvtechchoice=crystSi&amp;mountingplace=free&amp;usehorizon=1</v>
      </c>
    </row>
    <row r="1471">
      <c r="A1471" t="n">
        <v>20</v>
      </c>
      <c r="B1471" t="n">
        <v>240</v>
      </c>
      <c r="C1471" t="n">
        <v>10</v>
      </c>
      <c r="D1471" s="218" t="n">
        <v>132.92</v>
      </c>
      <c r="E1471" s="218" t="n">
        <v>4.29</v>
      </c>
      <c r="F1471" t="str">
        <v>https://re.jrc.ec.europa.eu/api/v5_3/PVcalc?lat=30.0444&amp;lon=31.2357&amp;peakpower=1&amp;loss=14&amp;angle=20&amp;aspect=60&amp;outputformat=json&amp;raddatabase=PVGIS-SARAH3&amp;pvtechchoice=crystSi&amp;mountingplace=free&amp;usehorizon=1</v>
      </c>
    </row>
    <row r="1472">
      <c r="A1472" t="n">
        <v>20</v>
      </c>
      <c r="B1472" t="n">
        <v>240</v>
      </c>
      <c r="C1472" t="n">
        <v>11</v>
      </c>
      <c r="D1472" s="218" t="n">
        <v>108.52</v>
      </c>
      <c r="E1472" s="218" t="n">
        <v>3.62</v>
      </c>
      <c r="F1472" t="str">
        <v>https://re.jrc.ec.europa.eu/api/v5_3/PVcalc?lat=30.0444&amp;lon=31.2357&amp;peakpower=1&amp;loss=14&amp;angle=20&amp;aspect=60&amp;outputformat=json&amp;raddatabase=PVGIS-SARAH3&amp;pvtechchoice=crystSi&amp;mountingplace=free&amp;usehorizon=1</v>
      </c>
    </row>
    <row r="1473">
      <c r="A1473" t="n">
        <v>20</v>
      </c>
      <c r="B1473" t="n">
        <v>240</v>
      </c>
      <c r="C1473" t="n">
        <v>12</v>
      </c>
      <c r="D1473" s="218" t="n">
        <v>98.94</v>
      </c>
      <c r="E1473" s="218" t="n">
        <v>3.19</v>
      </c>
      <c r="F1473" t="str">
        <v>https://re.jrc.ec.europa.eu/api/v5_3/PVcalc?lat=30.0444&amp;lon=31.2357&amp;peakpower=1&amp;loss=14&amp;angle=20&amp;aspect=60&amp;outputformat=json&amp;raddatabase=PVGIS-SARAH3&amp;pvtechchoice=crystSi&amp;mountingplace=free&amp;usehorizon=1</v>
      </c>
    </row>
    <row r="1474">
      <c r="A1474" t="n">
        <v>20</v>
      </c>
      <c r="B1474" t="n">
        <v>255</v>
      </c>
      <c r="C1474" t="n">
        <v>1</v>
      </c>
      <c r="D1474" s="218" t="n">
        <v>93.53</v>
      </c>
      <c r="E1474" s="218" t="n">
        <v>3.02</v>
      </c>
      <c r="F1474" t="str">
        <v>https://re.jrc.ec.europa.eu/api/v5_3/PVcalc?lat=30.0444&amp;lon=31.2357&amp;peakpower=1&amp;loss=14&amp;angle=20&amp;aspect=75&amp;outputformat=json&amp;raddatabase=PVGIS-SARAH3&amp;pvtechchoice=crystSi&amp;mountingplace=free&amp;usehorizon=1</v>
      </c>
    </row>
    <row r="1475">
      <c r="A1475" t="n">
        <v>20</v>
      </c>
      <c r="B1475" t="n">
        <v>255</v>
      </c>
      <c r="C1475" t="n">
        <v>2</v>
      </c>
      <c r="D1475" s="218" t="n">
        <v>101.52</v>
      </c>
      <c r="E1475" s="218" t="n">
        <v>3.63</v>
      </c>
      <c r="F1475" t="str">
        <v>https://re.jrc.ec.europa.eu/api/v5_3/PVcalc?lat=30.0444&amp;lon=31.2357&amp;peakpower=1&amp;loss=14&amp;angle=20&amp;aspect=75&amp;outputformat=json&amp;raddatabase=PVGIS-SARAH3&amp;pvtechchoice=crystSi&amp;mountingplace=free&amp;usehorizon=1</v>
      </c>
    </row>
    <row r="1476">
      <c r="A1476" t="n">
        <v>20</v>
      </c>
      <c r="B1476" t="n">
        <v>255</v>
      </c>
      <c r="C1476" t="n">
        <v>3</v>
      </c>
      <c r="D1476" s="218" t="n">
        <v>142.23</v>
      </c>
      <c r="E1476" s="218" t="n">
        <v>4.59</v>
      </c>
      <c r="F1476" t="str">
        <v>https://re.jrc.ec.europa.eu/api/v5_3/PVcalc?lat=30.0444&amp;lon=31.2357&amp;peakpower=1&amp;loss=14&amp;angle=20&amp;aspect=75&amp;outputformat=json&amp;raddatabase=PVGIS-SARAH3&amp;pvtechchoice=crystSi&amp;mountingplace=free&amp;usehorizon=1</v>
      </c>
    </row>
    <row r="1477">
      <c r="A1477" t="n">
        <v>20</v>
      </c>
      <c r="B1477" t="n">
        <v>255</v>
      </c>
      <c r="C1477" t="n">
        <v>4</v>
      </c>
      <c r="D1477" s="218" t="n">
        <v>156.63</v>
      </c>
      <c r="E1477" s="218" t="n">
        <v>5.22</v>
      </c>
      <c r="F1477" t="str">
        <v>https://re.jrc.ec.europa.eu/api/v5_3/PVcalc?lat=30.0444&amp;lon=31.2357&amp;peakpower=1&amp;loss=14&amp;angle=20&amp;aspect=75&amp;outputformat=json&amp;raddatabase=PVGIS-SARAH3&amp;pvtechchoice=crystSi&amp;mountingplace=free&amp;usehorizon=1</v>
      </c>
    </row>
    <row r="1478">
      <c r="A1478" t="n">
        <v>20</v>
      </c>
      <c r="B1478" t="n">
        <v>255</v>
      </c>
      <c r="C1478" t="n">
        <v>5</v>
      </c>
      <c r="D1478" s="218" t="n">
        <v>171.33</v>
      </c>
      <c r="E1478" s="218" t="n">
        <v>5.53</v>
      </c>
      <c r="F1478" t="str">
        <v>https://re.jrc.ec.europa.eu/api/v5_3/PVcalc?lat=30.0444&amp;lon=31.2357&amp;peakpower=1&amp;loss=14&amp;angle=20&amp;aspect=75&amp;outputformat=json&amp;raddatabase=PVGIS-SARAH3&amp;pvtechchoice=crystSi&amp;mountingplace=free&amp;usehorizon=1</v>
      </c>
    </row>
    <row r="1479">
      <c r="A1479" t="n">
        <v>20</v>
      </c>
      <c r="B1479" t="n">
        <v>255</v>
      </c>
      <c r="C1479" t="n">
        <v>6</v>
      </c>
      <c r="D1479" s="218" t="n">
        <v>176.01</v>
      </c>
      <c r="E1479" s="218" t="n">
        <v>5.87</v>
      </c>
      <c r="F1479" t="str">
        <v>https://re.jrc.ec.europa.eu/api/v5_3/PVcalc?lat=30.0444&amp;lon=31.2357&amp;peakpower=1&amp;loss=14&amp;angle=20&amp;aspect=75&amp;outputformat=json&amp;raddatabase=PVGIS-SARAH3&amp;pvtechchoice=crystSi&amp;mountingplace=free&amp;usehorizon=1</v>
      </c>
    </row>
    <row r="1480">
      <c r="A1480" t="n">
        <v>20</v>
      </c>
      <c r="B1480" t="n">
        <v>255</v>
      </c>
      <c r="C1480" t="n">
        <v>7</v>
      </c>
      <c r="D1480" s="218" t="n">
        <v>180.27</v>
      </c>
      <c r="E1480" s="218" t="n">
        <v>5.82</v>
      </c>
      <c r="F1480" t="str">
        <v>https://re.jrc.ec.europa.eu/api/v5_3/PVcalc?lat=30.0444&amp;lon=31.2357&amp;peakpower=1&amp;loss=14&amp;angle=20&amp;aspect=75&amp;outputformat=json&amp;raddatabase=PVGIS-SARAH3&amp;pvtechchoice=crystSi&amp;mountingplace=free&amp;usehorizon=1</v>
      </c>
    </row>
    <row r="1481">
      <c r="A1481" t="n">
        <v>20</v>
      </c>
      <c r="B1481" t="n">
        <v>255</v>
      </c>
      <c r="C1481" t="n">
        <v>8</v>
      </c>
      <c r="D1481" s="218" t="n">
        <v>169.7</v>
      </c>
      <c r="E1481" s="218" t="n">
        <v>5.47</v>
      </c>
      <c r="F1481" t="str">
        <v>https://re.jrc.ec.europa.eu/api/v5_3/PVcalc?lat=30.0444&amp;lon=31.2357&amp;peakpower=1&amp;loss=14&amp;angle=20&amp;aspect=75&amp;outputformat=json&amp;raddatabase=PVGIS-SARAH3&amp;pvtechchoice=crystSi&amp;mountingplace=free&amp;usehorizon=1</v>
      </c>
    </row>
    <row r="1482">
      <c r="A1482" t="n">
        <v>20</v>
      </c>
      <c r="B1482" t="n">
        <v>255</v>
      </c>
      <c r="C1482" t="n">
        <v>9</v>
      </c>
      <c r="D1482" s="218" t="n">
        <v>148.33</v>
      </c>
      <c r="E1482" s="218" t="n">
        <v>4.94</v>
      </c>
      <c r="F1482" t="str">
        <v>https://re.jrc.ec.europa.eu/api/v5_3/PVcalc?lat=30.0444&amp;lon=31.2357&amp;peakpower=1&amp;loss=14&amp;angle=20&amp;aspect=75&amp;outputformat=json&amp;raddatabase=PVGIS-SARAH3&amp;pvtechchoice=crystSi&amp;mountingplace=free&amp;usehorizon=1</v>
      </c>
    </row>
    <row r="1483">
      <c r="A1483" t="n">
        <v>20</v>
      </c>
      <c r="B1483" t="n">
        <v>255</v>
      </c>
      <c r="C1483" t="n">
        <v>10</v>
      </c>
      <c r="D1483" s="218" t="n">
        <v>126.4</v>
      </c>
      <c r="E1483" s="218" t="n">
        <v>4.08</v>
      </c>
      <c r="F1483" t="str">
        <v>https://re.jrc.ec.europa.eu/api/v5_3/PVcalc?lat=30.0444&amp;lon=31.2357&amp;peakpower=1&amp;loss=14&amp;angle=20&amp;aspect=75&amp;outputformat=json&amp;raddatabase=PVGIS-SARAH3&amp;pvtechchoice=crystSi&amp;mountingplace=free&amp;usehorizon=1</v>
      </c>
    </row>
    <row r="1484">
      <c r="A1484" t="n">
        <v>20</v>
      </c>
      <c r="B1484" t="n">
        <v>255</v>
      </c>
      <c r="C1484" t="n">
        <v>11</v>
      </c>
      <c r="D1484" s="218" t="n">
        <v>100.24</v>
      </c>
      <c r="E1484" s="218" t="n">
        <v>3.34</v>
      </c>
      <c r="F1484" t="str">
        <v>https://re.jrc.ec.europa.eu/api/v5_3/PVcalc?lat=30.0444&amp;lon=31.2357&amp;peakpower=1&amp;loss=14&amp;angle=20&amp;aspect=75&amp;outputformat=json&amp;raddatabase=PVGIS-SARAH3&amp;pvtechchoice=crystSi&amp;mountingplace=free&amp;usehorizon=1</v>
      </c>
    </row>
    <row r="1485">
      <c r="A1485" t="n">
        <v>20</v>
      </c>
      <c r="B1485" t="n">
        <v>255</v>
      </c>
      <c r="C1485" t="n">
        <v>12</v>
      </c>
      <c r="D1485" s="218" t="n">
        <v>90.02</v>
      </c>
      <c r="E1485" s="218" t="n">
        <v>2.9</v>
      </c>
      <c r="F1485" t="str">
        <v>https://re.jrc.ec.europa.eu/api/v5_3/PVcalc?lat=30.0444&amp;lon=31.2357&amp;peakpower=1&amp;loss=14&amp;angle=20&amp;aspect=75&amp;outputformat=json&amp;raddatabase=PVGIS-SARAH3&amp;pvtechchoice=crystSi&amp;mountingplace=free&amp;usehorizon=1</v>
      </c>
    </row>
    <row r="1486">
      <c r="A1486" t="n">
        <v>20</v>
      </c>
      <c r="B1486" t="n">
        <v>270</v>
      </c>
      <c r="C1486" t="n">
        <v>1</v>
      </c>
      <c r="D1486" s="218" t="n">
        <v>85.2</v>
      </c>
      <c r="E1486" s="218" t="n">
        <v>2.75</v>
      </c>
      <c r="F1486" t="str">
        <v>https://re.jrc.ec.europa.eu/api/v5_3/PVcalc?lat=30.0444&amp;lon=31.2357&amp;peakpower=1&amp;loss=14&amp;angle=20&amp;aspect=90&amp;outputformat=json&amp;raddatabase=PVGIS-SARAH3&amp;pvtechchoice=crystSi&amp;mountingplace=free&amp;usehorizon=1</v>
      </c>
    </row>
    <row r="1487">
      <c r="A1487" t="n">
        <v>20</v>
      </c>
      <c r="B1487" t="n">
        <v>270</v>
      </c>
      <c r="C1487" t="n">
        <v>2</v>
      </c>
      <c r="D1487" s="218" t="n">
        <v>94.85</v>
      </c>
      <c r="E1487" s="218" t="n">
        <v>3.39</v>
      </c>
      <c r="F1487" t="str">
        <v>https://re.jrc.ec.europa.eu/api/v5_3/PVcalc?lat=30.0444&amp;lon=31.2357&amp;peakpower=1&amp;loss=14&amp;angle=20&amp;aspect=90&amp;outputformat=json&amp;raddatabase=PVGIS-SARAH3&amp;pvtechchoice=crystSi&amp;mountingplace=free&amp;usehorizon=1</v>
      </c>
    </row>
    <row r="1488">
      <c r="A1488" t="n">
        <v>20</v>
      </c>
      <c r="B1488" t="n">
        <v>270</v>
      </c>
      <c r="C1488" t="n">
        <v>3</v>
      </c>
      <c r="D1488" s="218" t="n">
        <v>136.18</v>
      </c>
      <c r="E1488" s="218" t="n">
        <v>4.39</v>
      </c>
      <c r="F1488" t="str">
        <v>https://re.jrc.ec.europa.eu/api/v5_3/PVcalc?lat=30.0444&amp;lon=31.2357&amp;peakpower=1&amp;loss=14&amp;angle=20&amp;aspect=90&amp;outputformat=json&amp;raddatabase=PVGIS-SARAH3&amp;pvtechchoice=crystSi&amp;mountingplace=free&amp;usehorizon=1</v>
      </c>
    </row>
    <row r="1489">
      <c r="A1489" t="n">
        <v>20</v>
      </c>
      <c r="B1489" t="n">
        <v>270</v>
      </c>
      <c r="C1489" t="n">
        <v>4</v>
      </c>
      <c r="D1489" s="218" t="n">
        <v>153.5</v>
      </c>
      <c r="E1489" s="218" t="n">
        <v>5.12</v>
      </c>
      <c r="F1489" t="str">
        <v>https://re.jrc.ec.europa.eu/api/v5_3/PVcalc?lat=30.0444&amp;lon=31.2357&amp;peakpower=1&amp;loss=14&amp;angle=20&amp;aspect=90&amp;outputformat=json&amp;raddatabase=PVGIS-SARAH3&amp;pvtechchoice=crystSi&amp;mountingplace=free&amp;usehorizon=1</v>
      </c>
    </row>
    <row r="1490">
      <c r="A1490" t="n">
        <v>20</v>
      </c>
      <c r="B1490" t="n">
        <v>270</v>
      </c>
      <c r="C1490" t="n">
        <v>5</v>
      </c>
      <c r="D1490" s="218" t="n">
        <v>170.59</v>
      </c>
      <c r="E1490" s="218" t="n">
        <v>5.5</v>
      </c>
      <c r="F1490" t="str">
        <v>https://re.jrc.ec.europa.eu/api/v5_3/PVcalc?lat=30.0444&amp;lon=31.2357&amp;peakpower=1&amp;loss=14&amp;angle=20&amp;aspect=90&amp;outputformat=json&amp;raddatabase=PVGIS-SARAH3&amp;pvtechchoice=crystSi&amp;mountingplace=free&amp;usehorizon=1</v>
      </c>
    </row>
    <row r="1491">
      <c r="A1491" t="n">
        <v>20</v>
      </c>
      <c r="B1491" t="n">
        <v>270</v>
      </c>
      <c r="C1491" t="n">
        <v>6</v>
      </c>
      <c r="D1491" s="218" t="n">
        <v>176.76</v>
      </c>
      <c r="E1491" s="218" t="n">
        <v>5.89</v>
      </c>
      <c r="F1491" t="str">
        <v>https://re.jrc.ec.europa.eu/api/v5_3/PVcalc?lat=30.0444&amp;lon=31.2357&amp;peakpower=1&amp;loss=14&amp;angle=20&amp;aspect=90&amp;outputformat=json&amp;raddatabase=PVGIS-SARAH3&amp;pvtechchoice=crystSi&amp;mountingplace=free&amp;usehorizon=1</v>
      </c>
    </row>
    <row r="1492">
      <c r="A1492" t="n">
        <v>20</v>
      </c>
      <c r="B1492" t="n">
        <v>270</v>
      </c>
      <c r="C1492" t="n">
        <v>7</v>
      </c>
      <c r="D1492" s="218" t="n">
        <v>180.44</v>
      </c>
      <c r="E1492" s="218" t="n">
        <v>5.82</v>
      </c>
      <c r="F1492" t="str">
        <v>https://re.jrc.ec.europa.eu/api/v5_3/PVcalc?lat=30.0444&amp;lon=31.2357&amp;peakpower=1&amp;loss=14&amp;angle=20&amp;aspect=90&amp;outputformat=json&amp;raddatabase=PVGIS-SARAH3&amp;pvtechchoice=crystSi&amp;mountingplace=free&amp;usehorizon=1</v>
      </c>
    </row>
    <row r="1493">
      <c r="A1493" t="n">
        <v>20</v>
      </c>
      <c r="B1493" t="n">
        <v>270</v>
      </c>
      <c r="C1493" t="n">
        <v>8</v>
      </c>
      <c r="D1493" s="218" t="n">
        <v>167.44</v>
      </c>
      <c r="E1493" s="218" t="n">
        <v>5.4</v>
      </c>
      <c r="F1493" t="str">
        <v>https://re.jrc.ec.europa.eu/api/v5_3/PVcalc?lat=30.0444&amp;lon=31.2357&amp;peakpower=1&amp;loss=14&amp;angle=20&amp;aspect=90&amp;outputformat=json&amp;raddatabase=PVGIS-SARAH3&amp;pvtechchoice=crystSi&amp;mountingplace=free&amp;usehorizon=1</v>
      </c>
    </row>
    <row r="1494">
      <c r="A1494" t="n">
        <v>20</v>
      </c>
      <c r="B1494" t="n">
        <v>270</v>
      </c>
      <c r="C1494" t="n">
        <v>9</v>
      </c>
      <c r="D1494" s="218" t="n">
        <v>143.5</v>
      </c>
      <c r="E1494" s="218" t="n">
        <v>4.78</v>
      </c>
      <c r="F1494" t="str">
        <v>https://re.jrc.ec.europa.eu/api/v5_3/PVcalc?lat=30.0444&amp;lon=31.2357&amp;peakpower=1&amp;loss=14&amp;angle=20&amp;aspect=90&amp;outputformat=json&amp;raddatabase=PVGIS-SARAH3&amp;pvtechchoice=crystSi&amp;mountingplace=free&amp;usehorizon=1</v>
      </c>
    </row>
    <row r="1495">
      <c r="A1495" t="n">
        <v>20</v>
      </c>
      <c r="B1495" t="n">
        <v>270</v>
      </c>
      <c r="C1495" t="n">
        <v>10</v>
      </c>
      <c r="D1495" s="218" t="n">
        <v>118.74</v>
      </c>
      <c r="E1495" s="218" t="n">
        <v>3.83</v>
      </c>
      <c r="F1495" t="str">
        <v>https://re.jrc.ec.europa.eu/api/v5_3/PVcalc?lat=30.0444&amp;lon=31.2357&amp;peakpower=1&amp;loss=14&amp;angle=20&amp;aspect=90&amp;outputformat=json&amp;raddatabase=PVGIS-SARAH3&amp;pvtechchoice=crystSi&amp;mountingplace=free&amp;usehorizon=1</v>
      </c>
    </row>
    <row r="1496">
      <c r="A1496" t="n">
        <v>20</v>
      </c>
      <c r="B1496" t="n">
        <v>270</v>
      </c>
      <c r="C1496" t="n">
        <v>11</v>
      </c>
      <c r="D1496" s="218" t="n">
        <v>91.26</v>
      </c>
      <c r="E1496" s="218" t="n">
        <v>3.04</v>
      </c>
      <c r="F1496" t="str">
        <v>https://re.jrc.ec.europa.eu/api/v5_3/PVcalc?lat=30.0444&amp;lon=31.2357&amp;peakpower=1&amp;loss=14&amp;angle=20&amp;aspect=90&amp;outputformat=json&amp;raddatabase=PVGIS-SARAH3&amp;pvtechchoice=crystSi&amp;mountingplace=free&amp;usehorizon=1</v>
      </c>
    </row>
    <row r="1497">
      <c r="A1497" t="n">
        <v>20</v>
      </c>
      <c r="B1497" t="n">
        <v>270</v>
      </c>
      <c r="C1497" t="n">
        <v>12</v>
      </c>
      <c r="D1497" s="218" t="n">
        <v>81.02</v>
      </c>
      <c r="E1497" s="218" t="n">
        <v>2.61</v>
      </c>
      <c r="F1497" t="str">
        <v>https://re.jrc.ec.europa.eu/api/v5_3/PVcalc?lat=30.0444&amp;lon=31.2357&amp;peakpower=1&amp;loss=14&amp;angle=20&amp;aspect=90&amp;outputformat=json&amp;raddatabase=PVGIS-SARAH3&amp;pvtechchoice=crystSi&amp;mountingplace=free&amp;usehorizon=1</v>
      </c>
    </row>
    <row r="1498">
      <c r="A1498" t="n">
        <v>20</v>
      </c>
      <c r="B1498" t="n">
        <v>285</v>
      </c>
      <c r="C1498" t="n">
        <v>1</v>
      </c>
      <c r="D1498" s="218" t="n">
        <v>76.17</v>
      </c>
      <c r="E1498" s="218" t="n">
        <v>2.46</v>
      </c>
      <c r="F1498" t="str">
        <v>https://re.jrc.ec.europa.eu/api/v5_3/PVcalc?lat=30.0444&amp;lon=31.2357&amp;peakpower=1&amp;loss=14&amp;angle=20&amp;aspect=105&amp;outputformat=json&amp;raddatabase=PVGIS-SARAH3&amp;pvtechchoice=crystSi&amp;mountingplace=free&amp;usehorizon=1</v>
      </c>
    </row>
    <row r="1499">
      <c r="A1499" t="n">
        <v>20</v>
      </c>
      <c r="B1499" t="n">
        <v>285</v>
      </c>
      <c r="C1499" t="n">
        <v>2</v>
      </c>
      <c r="D1499" s="218" t="n">
        <v>87.97</v>
      </c>
      <c r="E1499" s="218" t="n">
        <v>3.14</v>
      </c>
      <c r="F1499" t="str">
        <v>https://re.jrc.ec.europa.eu/api/v5_3/PVcalc?lat=30.0444&amp;lon=31.2357&amp;peakpower=1&amp;loss=14&amp;angle=20&amp;aspect=105&amp;outputformat=json&amp;raddatabase=PVGIS-SARAH3&amp;pvtechchoice=crystSi&amp;mountingplace=free&amp;usehorizon=1</v>
      </c>
    </row>
    <row r="1500">
      <c r="A1500" t="n">
        <v>20</v>
      </c>
      <c r="B1500" t="n">
        <v>285</v>
      </c>
      <c r="C1500" t="n">
        <v>3</v>
      </c>
      <c r="D1500" s="218" t="n">
        <v>129.84</v>
      </c>
      <c r="E1500" s="218" t="n">
        <v>4.19</v>
      </c>
      <c r="F1500" t="str">
        <v>https://re.jrc.ec.europa.eu/api/v5_3/PVcalc?lat=30.0444&amp;lon=31.2357&amp;peakpower=1&amp;loss=14&amp;angle=20&amp;aspect=105&amp;outputformat=json&amp;raddatabase=PVGIS-SARAH3&amp;pvtechchoice=crystSi&amp;mountingplace=free&amp;usehorizon=1</v>
      </c>
    </row>
    <row r="1501">
      <c r="A1501" t="n">
        <v>20</v>
      </c>
      <c r="B1501" t="n">
        <v>285</v>
      </c>
      <c r="C1501" t="n">
        <v>4</v>
      </c>
      <c r="D1501" s="218" t="n">
        <v>150.02</v>
      </c>
      <c r="E1501" s="218" t="n">
        <v>5</v>
      </c>
      <c r="F1501" t="str">
        <v>https://re.jrc.ec.europa.eu/api/v5_3/PVcalc?lat=30.0444&amp;lon=31.2357&amp;peakpower=1&amp;loss=14&amp;angle=20&amp;aspect=105&amp;outputformat=json&amp;raddatabase=PVGIS-SARAH3&amp;pvtechchoice=crystSi&amp;mountingplace=free&amp;usehorizon=1</v>
      </c>
    </row>
    <row r="1502">
      <c r="A1502" t="n">
        <v>20</v>
      </c>
      <c r="B1502" t="n">
        <v>285</v>
      </c>
      <c r="C1502" t="n">
        <v>5</v>
      </c>
      <c r="D1502" s="218" t="n">
        <v>169.67</v>
      </c>
      <c r="E1502" s="218" t="n">
        <v>5.47</v>
      </c>
      <c r="F1502" t="str">
        <v>https://re.jrc.ec.europa.eu/api/v5_3/PVcalc?lat=30.0444&amp;lon=31.2357&amp;peakpower=1&amp;loss=14&amp;angle=20&amp;aspect=105&amp;outputformat=json&amp;raddatabase=PVGIS-SARAH3&amp;pvtechchoice=crystSi&amp;mountingplace=free&amp;usehorizon=1</v>
      </c>
    </row>
    <row r="1503">
      <c r="A1503" t="n">
        <v>20</v>
      </c>
      <c r="B1503" t="n">
        <v>285</v>
      </c>
      <c r="C1503" t="n">
        <v>6</v>
      </c>
      <c r="D1503" s="218" t="n">
        <v>177.22</v>
      </c>
      <c r="E1503" s="218" t="n">
        <v>5.91</v>
      </c>
      <c r="F1503" t="str">
        <v>https://re.jrc.ec.europa.eu/api/v5_3/PVcalc?lat=30.0444&amp;lon=31.2357&amp;peakpower=1&amp;loss=14&amp;angle=20&amp;aspect=105&amp;outputformat=json&amp;raddatabase=PVGIS-SARAH3&amp;pvtechchoice=crystSi&amp;mountingplace=free&amp;usehorizon=1</v>
      </c>
    </row>
    <row r="1504">
      <c r="A1504" t="n">
        <v>20</v>
      </c>
      <c r="B1504" t="n">
        <v>285</v>
      </c>
      <c r="C1504" t="n">
        <v>7</v>
      </c>
      <c r="D1504" s="218" t="n">
        <v>180.24</v>
      </c>
      <c r="E1504" s="218" t="n">
        <v>5.81</v>
      </c>
      <c r="F1504" t="str">
        <v>https://re.jrc.ec.europa.eu/api/v5_3/PVcalc?lat=30.0444&amp;lon=31.2357&amp;peakpower=1&amp;loss=14&amp;angle=20&amp;aspect=105&amp;outputformat=json&amp;raddatabase=PVGIS-SARAH3&amp;pvtechchoice=crystSi&amp;mountingplace=free&amp;usehorizon=1</v>
      </c>
    </row>
    <row r="1505">
      <c r="A1505" t="n">
        <v>20</v>
      </c>
      <c r="B1505" t="n">
        <v>285</v>
      </c>
      <c r="C1505" t="n">
        <v>8</v>
      </c>
      <c r="D1505" s="218" t="n">
        <v>164.8</v>
      </c>
      <c r="E1505" s="218" t="n">
        <v>5.32</v>
      </c>
      <c r="F1505" t="str">
        <v>https://re.jrc.ec.europa.eu/api/v5_3/PVcalc?lat=30.0444&amp;lon=31.2357&amp;peakpower=1&amp;loss=14&amp;angle=20&amp;aspect=105&amp;outputformat=json&amp;raddatabase=PVGIS-SARAH3&amp;pvtechchoice=crystSi&amp;mountingplace=free&amp;usehorizon=1</v>
      </c>
    </row>
    <row r="1506">
      <c r="A1506" t="n">
        <v>20</v>
      </c>
      <c r="B1506" t="n">
        <v>285</v>
      </c>
      <c r="C1506" t="n">
        <v>9</v>
      </c>
      <c r="D1506" s="218" t="n">
        <v>137.94</v>
      </c>
      <c r="E1506" s="218" t="n">
        <v>4.6</v>
      </c>
      <c r="F1506" t="str">
        <v>https://re.jrc.ec.europa.eu/api/v5_3/PVcalc?lat=30.0444&amp;lon=31.2357&amp;peakpower=1&amp;loss=14&amp;angle=20&amp;aspect=105&amp;outputformat=json&amp;raddatabase=PVGIS-SARAH3&amp;pvtechchoice=crystSi&amp;mountingplace=free&amp;usehorizon=1</v>
      </c>
    </row>
    <row r="1507">
      <c r="A1507" t="n">
        <v>20</v>
      </c>
      <c r="B1507" t="n">
        <v>285</v>
      </c>
      <c r="C1507" t="n">
        <v>10</v>
      </c>
      <c r="D1507" s="218" t="n">
        <v>110.74</v>
      </c>
      <c r="E1507" s="218" t="n">
        <v>3.57</v>
      </c>
      <c r="F1507" t="str">
        <v>https://re.jrc.ec.europa.eu/api/v5_3/PVcalc?lat=30.0444&amp;lon=31.2357&amp;peakpower=1&amp;loss=14&amp;angle=20&amp;aspect=105&amp;outputformat=json&amp;raddatabase=PVGIS-SARAH3&amp;pvtechchoice=crystSi&amp;mountingplace=free&amp;usehorizon=1</v>
      </c>
    </row>
    <row r="1508">
      <c r="A1508" t="n">
        <v>20</v>
      </c>
      <c r="B1508" t="n">
        <v>285</v>
      </c>
      <c r="C1508" t="n">
        <v>11</v>
      </c>
      <c r="D1508" s="218" t="n">
        <v>82.32</v>
      </c>
      <c r="E1508" s="218" t="n">
        <v>2.74</v>
      </c>
      <c r="F1508" t="str">
        <v>https://re.jrc.ec.europa.eu/api/v5_3/PVcalc?lat=30.0444&amp;lon=31.2357&amp;peakpower=1&amp;loss=14&amp;angle=20&amp;aspect=105&amp;outputformat=json&amp;raddatabase=PVGIS-SARAH3&amp;pvtechchoice=crystSi&amp;mountingplace=free&amp;usehorizon=1</v>
      </c>
    </row>
    <row r="1509">
      <c r="A1509" t="n">
        <v>20</v>
      </c>
      <c r="B1509" t="n">
        <v>285</v>
      </c>
      <c r="C1509" t="n">
        <v>12</v>
      </c>
      <c r="D1509" s="218" t="n">
        <v>71.58</v>
      </c>
      <c r="E1509" s="218" t="n">
        <v>2.31</v>
      </c>
      <c r="F1509" t="str">
        <v>https://re.jrc.ec.europa.eu/api/v5_3/PVcalc?lat=30.0444&amp;lon=31.2357&amp;peakpower=1&amp;loss=14&amp;angle=20&amp;aspect=105&amp;outputformat=json&amp;raddatabase=PVGIS-SARAH3&amp;pvtechchoice=crystSi&amp;mountingplace=free&amp;usehorizon=1</v>
      </c>
    </row>
    <row r="1510">
      <c r="A1510" t="n">
        <v>20</v>
      </c>
      <c r="B1510" t="n">
        <v>300</v>
      </c>
      <c r="C1510" t="n">
        <v>1</v>
      </c>
      <c r="D1510" s="218" t="n">
        <v>67.41</v>
      </c>
      <c r="E1510" s="218" t="n">
        <v>2.17</v>
      </c>
      <c r="F1510" t="str">
        <v>https://re.jrc.ec.europa.eu/api/v5_3/PVcalc?lat=30.0444&amp;lon=31.2357&amp;peakpower=1&amp;loss=14&amp;angle=20&amp;aspect=120&amp;outputformat=json&amp;raddatabase=PVGIS-SARAH3&amp;pvtechchoice=crystSi&amp;mountingplace=free&amp;usehorizon=1</v>
      </c>
    </row>
    <row r="1511">
      <c r="A1511" t="n">
        <v>20</v>
      </c>
      <c r="B1511" t="n">
        <v>300</v>
      </c>
      <c r="C1511" t="n">
        <v>2</v>
      </c>
      <c r="D1511" s="218" t="n">
        <v>81.1</v>
      </c>
      <c r="E1511" s="218" t="n">
        <v>2.9</v>
      </c>
      <c r="F1511" t="str">
        <v>https://re.jrc.ec.europa.eu/api/v5_3/PVcalc?lat=30.0444&amp;lon=31.2357&amp;peakpower=1&amp;loss=14&amp;angle=20&amp;aspect=120&amp;outputformat=json&amp;raddatabase=PVGIS-SARAH3&amp;pvtechchoice=crystSi&amp;mountingplace=free&amp;usehorizon=1</v>
      </c>
    </row>
    <row r="1512">
      <c r="A1512" t="n">
        <v>20</v>
      </c>
      <c r="B1512" t="n">
        <v>300</v>
      </c>
      <c r="C1512" t="n">
        <v>3</v>
      </c>
      <c r="D1512" s="218" t="n">
        <v>123.56</v>
      </c>
      <c r="E1512" s="218" t="n">
        <v>3.99</v>
      </c>
      <c r="F1512" t="str">
        <v>https://re.jrc.ec.europa.eu/api/v5_3/PVcalc?lat=30.0444&amp;lon=31.2357&amp;peakpower=1&amp;loss=14&amp;angle=20&amp;aspect=120&amp;outputformat=json&amp;raddatabase=PVGIS-SARAH3&amp;pvtechchoice=crystSi&amp;mountingplace=free&amp;usehorizon=1</v>
      </c>
    </row>
    <row r="1513">
      <c r="A1513" t="n">
        <v>20</v>
      </c>
      <c r="B1513" t="n">
        <v>300</v>
      </c>
      <c r="C1513" t="n">
        <v>4</v>
      </c>
      <c r="D1513" s="218" t="n">
        <v>146.49</v>
      </c>
      <c r="E1513" s="218" t="n">
        <v>4.88</v>
      </c>
      <c r="F1513" t="str">
        <v>https://re.jrc.ec.europa.eu/api/v5_3/PVcalc?lat=30.0444&amp;lon=31.2357&amp;peakpower=1&amp;loss=14&amp;angle=20&amp;aspect=120&amp;outputformat=json&amp;raddatabase=PVGIS-SARAH3&amp;pvtechchoice=crystSi&amp;mountingplace=free&amp;usehorizon=1</v>
      </c>
    </row>
    <row r="1514">
      <c r="A1514" t="n">
        <v>20</v>
      </c>
      <c r="B1514" t="n">
        <v>300</v>
      </c>
      <c r="C1514" t="n">
        <v>5</v>
      </c>
      <c r="D1514" s="218" t="n">
        <v>168.61</v>
      </c>
      <c r="E1514" s="218" t="n">
        <v>5.44</v>
      </c>
      <c r="F1514" t="str">
        <v>https://re.jrc.ec.europa.eu/api/v5_3/PVcalc?lat=30.0444&amp;lon=31.2357&amp;peakpower=1&amp;loss=14&amp;angle=20&amp;aspect=120&amp;outputformat=json&amp;raddatabase=PVGIS-SARAH3&amp;pvtechchoice=crystSi&amp;mountingplace=free&amp;usehorizon=1</v>
      </c>
    </row>
    <row r="1515">
      <c r="A1515" t="n">
        <v>20</v>
      </c>
      <c r="B1515" t="n">
        <v>300</v>
      </c>
      <c r="C1515" t="n">
        <v>6</v>
      </c>
      <c r="D1515" s="218" t="n">
        <v>177.13</v>
      </c>
      <c r="E1515" s="218" t="n">
        <v>5.9</v>
      </c>
      <c r="F1515" t="str">
        <v>https://re.jrc.ec.europa.eu/api/v5_3/PVcalc?lat=30.0444&amp;lon=31.2357&amp;peakpower=1&amp;loss=14&amp;angle=20&amp;aspect=120&amp;outputformat=json&amp;raddatabase=PVGIS-SARAH3&amp;pvtechchoice=crystSi&amp;mountingplace=free&amp;usehorizon=1</v>
      </c>
    </row>
    <row r="1516">
      <c r="A1516" t="n">
        <v>20</v>
      </c>
      <c r="B1516" t="n">
        <v>300</v>
      </c>
      <c r="C1516" t="n">
        <v>7</v>
      </c>
      <c r="D1516" s="218" t="n">
        <v>179.74</v>
      </c>
      <c r="E1516" s="218" t="n">
        <v>5.8</v>
      </c>
      <c r="F1516" t="str">
        <v>https://re.jrc.ec.europa.eu/api/v5_3/PVcalc?lat=30.0444&amp;lon=31.2357&amp;peakpower=1&amp;loss=14&amp;angle=20&amp;aspect=120&amp;outputformat=json&amp;raddatabase=PVGIS-SARAH3&amp;pvtechchoice=crystSi&amp;mountingplace=free&amp;usehorizon=1</v>
      </c>
    </row>
    <row r="1517">
      <c r="A1517" t="n">
        <v>20</v>
      </c>
      <c r="B1517" t="n">
        <v>300</v>
      </c>
      <c r="C1517" t="n">
        <v>8</v>
      </c>
      <c r="D1517" s="218" t="n">
        <v>162.03</v>
      </c>
      <c r="E1517" s="218" t="n">
        <v>5.23</v>
      </c>
      <c r="F1517" t="str">
        <v>https://re.jrc.ec.europa.eu/api/v5_3/PVcalc?lat=30.0444&amp;lon=31.2357&amp;peakpower=1&amp;loss=14&amp;angle=20&amp;aspect=120&amp;outputformat=json&amp;raddatabase=PVGIS-SARAH3&amp;pvtechchoice=crystSi&amp;mountingplace=free&amp;usehorizon=1</v>
      </c>
    </row>
    <row r="1518">
      <c r="A1518" t="n">
        <v>20</v>
      </c>
      <c r="B1518" t="n">
        <v>300</v>
      </c>
      <c r="C1518" t="n">
        <v>9</v>
      </c>
      <c r="D1518" s="218" t="n">
        <v>132.2</v>
      </c>
      <c r="E1518" s="218" t="n">
        <v>4.41</v>
      </c>
      <c r="F1518" t="str">
        <v>https://re.jrc.ec.europa.eu/api/v5_3/PVcalc?lat=30.0444&amp;lon=31.2357&amp;peakpower=1&amp;loss=14&amp;angle=20&amp;aspect=120&amp;outputformat=json&amp;raddatabase=PVGIS-SARAH3&amp;pvtechchoice=crystSi&amp;mountingplace=free&amp;usehorizon=1</v>
      </c>
    </row>
    <row r="1519">
      <c r="A1519" t="n">
        <v>20</v>
      </c>
      <c r="B1519" t="n">
        <v>300</v>
      </c>
      <c r="C1519" t="n">
        <v>10</v>
      </c>
      <c r="D1519" s="218" t="n">
        <v>102.88</v>
      </c>
      <c r="E1519" s="218" t="n">
        <v>3.32</v>
      </c>
      <c r="F1519" t="str">
        <v>https://re.jrc.ec.europa.eu/api/v5_3/PVcalc?lat=30.0444&amp;lon=31.2357&amp;peakpower=1&amp;loss=14&amp;angle=20&amp;aspect=120&amp;outputformat=json&amp;raddatabase=PVGIS-SARAH3&amp;pvtechchoice=crystSi&amp;mountingplace=free&amp;usehorizon=1</v>
      </c>
    </row>
    <row r="1520">
      <c r="A1520" t="n">
        <v>20</v>
      </c>
      <c r="B1520" t="n">
        <v>300</v>
      </c>
      <c r="C1520" t="n">
        <v>11</v>
      </c>
      <c r="D1520" s="218" t="n">
        <v>73.57</v>
      </c>
      <c r="E1520" s="218" t="n">
        <v>2.45</v>
      </c>
      <c r="F1520" t="str">
        <v>https://re.jrc.ec.europa.eu/api/v5_3/PVcalc?lat=30.0444&amp;lon=31.2357&amp;peakpower=1&amp;loss=14&amp;angle=20&amp;aspect=120&amp;outputformat=json&amp;raddatabase=PVGIS-SARAH3&amp;pvtechchoice=crystSi&amp;mountingplace=free&amp;usehorizon=1</v>
      </c>
    </row>
    <row r="1521">
      <c r="A1521" t="n">
        <v>20</v>
      </c>
      <c r="B1521" t="n">
        <v>300</v>
      </c>
      <c r="C1521" t="n">
        <v>12</v>
      </c>
      <c r="D1521" s="218" t="n">
        <v>62.27</v>
      </c>
      <c r="E1521" s="218" t="n">
        <v>2.01</v>
      </c>
      <c r="F1521" t="str">
        <v>https://re.jrc.ec.europa.eu/api/v5_3/PVcalc?lat=30.0444&amp;lon=31.2357&amp;peakpower=1&amp;loss=14&amp;angle=20&amp;aspect=120&amp;outputformat=json&amp;raddatabase=PVGIS-SARAH3&amp;pvtechchoice=crystSi&amp;mountingplace=free&amp;usehorizon=1</v>
      </c>
    </row>
    <row r="1522">
      <c r="A1522" t="n">
        <v>20</v>
      </c>
      <c r="B1522" t="n">
        <v>315</v>
      </c>
      <c r="C1522" t="n">
        <v>1</v>
      </c>
      <c r="D1522" s="218" t="n">
        <v>59.44</v>
      </c>
      <c r="E1522" s="218" t="n">
        <v>1.92</v>
      </c>
      <c r="F1522" t="str">
        <v>https://re.jrc.ec.europa.eu/api/v5_3/PVcalc?lat=30.0444&amp;lon=31.2357&amp;peakpower=1&amp;loss=14&amp;angle=20&amp;aspect=135&amp;outputformat=json&amp;raddatabase=PVGIS-SARAH3&amp;pvtechchoice=crystSi&amp;mountingplace=free&amp;usehorizon=1</v>
      </c>
    </row>
    <row r="1523">
      <c r="A1523" t="n">
        <v>20</v>
      </c>
      <c r="B1523" t="n">
        <v>315</v>
      </c>
      <c r="C1523" t="n">
        <v>2</v>
      </c>
      <c r="D1523" s="218" t="n">
        <v>74.71</v>
      </c>
      <c r="E1523" s="218" t="n">
        <v>2.67</v>
      </c>
      <c r="F1523" t="str">
        <v>https://re.jrc.ec.europa.eu/api/v5_3/PVcalc?lat=30.0444&amp;lon=31.2357&amp;peakpower=1&amp;loss=14&amp;angle=20&amp;aspect=135&amp;outputformat=json&amp;raddatabase=PVGIS-SARAH3&amp;pvtechchoice=crystSi&amp;mountingplace=free&amp;usehorizon=1</v>
      </c>
    </row>
    <row r="1524">
      <c r="A1524" t="n">
        <v>20</v>
      </c>
      <c r="B1524" t="n">
        <v>315</v>
      </c>
      <c r="C1524" t="n">
        <v>3</v>
      </c>
      <c r="D1524" s="218" t="n">
        <v>117.67</v>
      </c>
      <c r="E1524" s="218" t="n">
        <v>3.8</v>
      </c>
      <c r="F1524" t="str">
        <v>https://re.jrc.ec.europa.eu/api/v5_3/PVcalc?lat=30.0444&amp;lon=31.2357&amp;peakpower=1&amp;loss=14&amp;angle=20&amp;aspect=135&amp;outputformat=json&amp;raddatabase=PVGIS-SARAH3&amp;pvtechchoice=crystSi&amp;mountingplace=free&amp;usehorizon=1</v>
      </c>
    </row>
    <row r="1525">
      <c r="A1525" t="n">
        <v>20</v>
      </c>
      <c r="B1525" t="n">
        <v>315</v>
      </c>
      <c r="C1525" t="n">
        <v>4</v>
      </c>
      <c r="D1525" s="218" t="n">
        <v>143.36</v>
      </c>
      <c r="E1525" s="218" t="n">
        <v>4.78</v>
      </c>
      <c r="F1525" t="str">
        <v>https://re.jrc.ec.europa.eu/api/v5_3/PVcalc?lat=30.0444&amp;lon=31.2357&amp;peakpower=1&amp;loss=14&amp;angle=20&amp;aspect=135&amp;outputformat=json&amp;raddatabase=PVGIS-SARAH3&amp;pvtechchoice=crystSi&amp;mountingplace=free&amp;usehorizon=1</v>
      </c>
    </row>
    <row r="1526">
      <c r="A1526" t="n">
        <v>20</v>
      </c>
      <c r="B1526" t="n">
        <v>315</v>
      </c>
      <c r="C1526" t="n">
        <v>5</v>
      </c>
      <c r="D1526" s="218" t="n">
        <v>167.55</v>
      </c>
      <c r="E1526" s="218" t="n">
        <v>5.4</v>
      </c>
      <c r="F1526" t="str">
        <v>https://re.jrc.ec.europa.eu/api/v5_3/PVcalc?lat=30.0444&amp;lon=31.2357&amp;peakpower=1&amp;loss=14&amp;angle=20&amp;aspect=135&amp;outputformat=json&amp;raddatabase=PVGIS-SARAH3&amp;pvtechchoice=crystSi&amp;mountingplace=free&amp;usehorizon=1</v>
      </c>
    </row>
    <row r="1527">
      <c r="A1527" t="n">
        <v>20</v>
      </c>
      <c r="B1527" t="n">
        <v>315</v>
      </c>
      <c r="C1527" t="n">
        <v>6</v>
      </c>
      <c r="D1527" s="218" t="n">
        <v>177.29</v>
      </c>
      <c r="E1527" s="218" t="n">
        <v>5.91</v>
      </c>
      <c r="F1527" t="str">
        <v>https://re.jrc.ec.europa.eu/api/v5_3/PVcalc?lat=30.0444&amp;lon=31.2357&amp;peakpower=1&amp;loss=14&amp;angle=20&amp;aspect=135&amp;outputformat=json&amp;raddatabase=PVGIS-SARAH3&amp;pvtechchoice=crystSi&amp;mountingplace=free&amp;usehorizon=1</v>
      </c>
    </row>
    <row r="1528">
      <c r="A1528" t="n">
        <v>20</v>
      </c>
      <c r="B1528" t="n">
        <v>315</v>
      </c>
      <c r="C1528" t="n">
        <v>7</v>
      </c>
      <c r="D1528" s="218" t="n">
        <v>178.94</v>
      </c>
      <c r="E1528" s="218" t="n">
        <v>5.77</v>
      </c>
      <c r="F1528" t="str">
        <v>https://re.jrc.ec.europa.eu/api/v5_3/PVcalc?lat=30.0444&amp;lon=31.2357&amp;peakpower=1&amp;loss=14&amp;angle=20&amp;aspect=135&amp;outputformat=json&amp;raddatabase=PVGIS-SARAH3&amp;pvtechchoice=crystSi&amp;mountingplace=free&amp;usehorizon=1</v>
      </c>
    </row>
    <row r="1529">
      <c r="A1529" t="n">
        <v>20</v>
      </c>
      <c r="B1529" t="n">
        <v>315</v>
      </c>
      <c r="C1529" t="n">
        <v>8</v>
      </c>
      <c r="D1529" s="218" t="n">
        <v>159.36</v>
      </c>
      <c r="E1529" s="218" t="n">
        <v>5.14</v>
      </c>
      <c r="F1529" t="str">
        <v>https://re.jrc.ec.europa.eu/api/v5_3/PVcalc?lat=30.0444&amp;lon=31.2357&amp;peakpower=1&amp;loss=14&amp;angle=20&amp;aspect=135&amp;outputformat=json&amp;raddatabase=PVGIS-SARAH3&amp;pvtechchoice=crystSi&amp;mountingplace=free&amp;usehorizon=1</v>
      </c>
    </row>
    <row r="1530">
      <c r="A1530" t="n">
        <v>20</v>
      </c>
      <c r="B1530" t="n">
        <v>315</v>
      </c>
      <c r="C1530" t="n">
        <v>9</v>
      </c>
      <c r="D1530" s="218" t="n">
        <v>126.77</v>
      </c>
      <c r="E1530" s="218" t="n">
        <v>4.23</v>
      </c>
      <c r="F1530" t="str">
        <v>https://re.jrc.ec.europa.eu/api/v5_3/PVcalc?lat=30.0444&amp;lon=31.2357&amp;peakpower=1&amp;loss=14&amp;angle=20&amp;aspect=135&amp;outputformat=json&amp;raddatabase=PVGIS-SARAH3&amp;pvtechchoice=crystSi&amp;mountingplace=free&amp;usehorizon=1</v>
      </c>
    </row>
    <row r="1531">
      <c r="A1531" t="n">
        <v>20</v>
      </c>
      <c r="B1531" t="n">
        <v>315</v>
      </c>
      <c r="C1531" t="n">
        <v>10</v>
      </c>
      <c r="D1531" s="218" t="n">
        <v>95.63</v>
      </c>
      <c r="E1531" s="218" t="n">
        <v>3.08</v>
      </c>
      <c r="F1531" t="str">
        <v>https://re.jrc.ec.europa.eu/api/v5_3/PVcalc?lat=30.0444&amp;lon=31.2357&amp;peakpower=1&amp;loss=14&amp;angle=20&amp;aspect=135&amp;outputformat=json&amp;raddatabase=PVGIS-SARAH3&amp;pvtechchoice=crystSi&amp;mountingplace=free&amp;usehorizon=1</v>
      </c>
    </row>
    <row r="1532">
      <c r="A1532" t="n">
        <v>20</v>
      </c>
      <c r="B1532" t="n">
        <v>315</v>
      </c>
      <c r="C1532" t="n">
        <v>11</v>
      </c>
      <c r="D1532" s="218" t="n">
        <v>65.3</v>
      </c>
      <c r="E1532" s="218" t="n">
        <v>2.18</v>
      </c>
      <c r="F1532" t="str">
        <v>https://re.jrc.ec.europa.eu/api/v5_3/PVcalc?lat=30.0444&amp;lon=31.2357&amp;peakpower=1&amp;loss=14&amp;angle=20&amp;aspect=135&amp;outputformat=json&amp;raddatabase=PVGIS-SARAH3&amp;pvtechchoice=crystSi&amp;mountingplace=free&amp;usehorizon=1</v>
      </c>
    </row>
    <row r="1533">
      <c r="A1533" t="n">
        <v>20</v>
      </c>
      <c r="B1533" t="n">
        <v>315</v>
      </c>
      <c r="C1533" t="n">
        <v>12</v>
      </c>
      <c r="D1533" s="218" t="n">
        <v>53.79</v>
      </c>
      <c r="E1533" s="218" t="n">
        <v>1.74</v>
      </c>
      <c r="F1533" t="str">
        <v>https://re.jrc.ec.europa.eu/api/v5_3/PVcalc?lat=30.0444&amp;lon=31.2357&amp;peakpower=1&amp;loss=14&amp;angle=20&amp;aspect=135&amp;outputformat=json&amp;raddatabase=PVGIS-SARAH3&amp;pvtechchoice=crystSi&amp;mountingplace=free&amp;usehorizon=1</v>
      </c>
    </row>
    <row r="1534">
      <c r="A1534" t="n">
        <v>20</v>
      </c>
      <c r="B1534" t="n">
        <v>330</v>
      </c>
      <c r="C1534" t="n">
        <v>1</v>
      </c>
      <c r="D1534" s="218" t="n">
        <v>52.85</v>
      </c>
      <c r="E1534" s="218" t="n">
        <v>1.7</v>
      </c>
      <c r="F1534" t="str">
        <v>https://re.jrc.ec.europa.eu/api/v5_3/PVcalc?lat=30.0444&amp;lon=31.2357&amp;peakpower=1&amp;loss=14&amp;angle=20&amp;aspect=150&amp;outputformat=json&amp;raddatabase=PVGIS-SARAH3&amp;pvtechchoice=crystSi&amp;mountingplace=free&amp;usehorizon=1</v>
      </c>
    </row>
    <row r="1535">
      <c r="A1535" t="n">
        <v>20</v>
      </c>
      <c r="B1535" t="n">
        <v>330</v>
      </c>
      <c r="C1535" t="n">
        <v>2</v>
      </c>
      <c r="D1535" s="218" t="n">
        <v>69.34</v>
      </c>
      <c r="E1535" s="218" t="n">
        <v>2.48</v>
      </c>
      <c r="F1535" t="str">
        <v>https://re.jrc.ec.europa.eu/api/v5_3/PVcalc?lat=30.0444&amp;lon=31.2357&amp;peakpower=1&amp;loss=14&amp;angle=20&amp;aspect=150&amp;outputformat=json&amp;raddatabase=PVGIS-SARAH3&amp;pvtechchoice=crystSi&amp;mountingplace=free&amp;usehorizon=1</v>
      </c>
    </row>
    <row r="1536">
      <c r="A1536" t="n">
        <v>20</v>
      </c>
      <c r="B1536" t="n">
        <v>330</v>
      </c>
      <c r="C1536" t="n">
        <v>3</v>
      </c>
      <c r="D1536" s="218" t="n">
        <v>112.75</v>
      </c>
      <c r="E1536" s="218" t="n">
        <v>3.64</v>
      </c>
      <c r="F1536" t="str">
        <v>https://re.jrc.ec.europa.eu/api/v5_3/PVcalc?lat=30.0444&amp;lon=31.2357&amp;peakpower=1&amp;loss=14&amp;angle=20&amp;aspect=150&amp;outputformat=json&amp;raddatabase=PVGIS-SARAH3&amp;pvtechchoice=crystSi&amp;mountingplace=free&amp;usehorizon=1</v>
      </c>
    </row>
    <row r="1537">
      <c r="A1537" t="n">
        <v>20</v>
      </c>
      <c r="B1537" t="n">
        <v>330</v>
      </c>
      <c r="C1537" t="n">
        <v>4</v>
      </c>
      <c r="D1537" s="218" t="n">
        <v>140.83</v>
      </c>
      <c r="E1537" s="218" t="n">
        <v>4.69</v>
      </c>
      <c r="F1537" t="str">
        <v>https://re.jrc.ec.europa.eu/api/v5_3/PVcalc?lat=30.0444&amp;lon=31.2357&amp;peakpower=1&amp;loss=14&amp;angle=20&amp;aspect=150&amp;outputformat=json&amp;raddatabase=PVGIS-SARAH3&amp;pvtechchoice=crystSi&amp;mountingplace=free&amp;usehorizon=1</v>
      </c>
    </row>
    <row r="1538">
      <c r="A1538" t="n">
        <v>20</v>
      </c>
      <c r="B1538" t="n">
        <v>330</v>
      </c>
      <c r="C1538" t="n">
        <v>5</v>
      </c>
      <c r="D1538" s="218" t="n">
        <v>166.92</v>
      </c>
      <c r="E1538" s="218" t="n">
        <v>5.38</v>
      </c>
      <c r="F1538" t="str">
        <v>https://re.jrc.ec.europa.eu/api/v5_3/PVcalc?lat=30.0444&amp;lon=31.2357&amp;peakpower=1&amp;loss=14&amp;angle=20&amp;aspect=150&amp;outputformat=json&amp;raddatabase=PVGIS-SARAH3&amp;pvtechchoice=crystSi&amp;mountingplace=free&amp;usehorizon=1</v>
      </c>
    </row>
    <row r="1539">
      <c r="A1539" t="n">
        <v>20</v>
      </c>
      <c r="B1539" t="n">
        <v>330</v>
      </c>
      <c r="C1539" t="n">
        <v>6</v>
      </c>
      <c r="D1539" s="218" t="n">
        <v>177.29</v>
      </c>
      <c r="E1539" s="218" t="n">
        <v>5.91</v>
      </c>
      <c r="F1539" t="str">
        <v>https://re.jrc.ec.europa.eu/api/v5_3/PVcalc?lat=30.0444&amp;lon=31.2357&amp;peakpower=1&amp;loss=14&amp;angle=20&amp;aspect=150&amp;outputformat=json&amp;raddatabase=PVGIS-SARAH3&amp;pvtechchoice=crystSi&amp;mountingplace=free&amp;usehorizon=1</v>
      </c>
    </row>
    <row r="1540">
      <c r="A1540" t="n">
        <v>20</v>
      </c>
      <c r="B1540" t="n">
        <v>330</v>
      </c>
      <c r="C1540" t="n">
        <v>7</v>
      </c>
      <c r="D1540" s="218" t="n">
        <v>178.18</v>
      </c>
      <c r="E1540" s="218" t="n">
        <v>5.75</v>
      </c>
      <c r="F1540" t="str">
        <v>https://re.jrc.ec.europa.eu/api/v5_3/PVcalc?lat=30.0444&amp;lon=31.2357&amp;peakpower=1&amp;loss=14&amp;angle=20&amp;aspect=150&amp;outputformat=json&amp;raddatabase=PVGIS-SARAH3&amp;pvtechchoice=crystSi&amp;mountingplace=free&amp;usehorizon=1</v>
      </c>
    </row>
    <row r="1541">
      <c r="A1541" t="n">
        <v>20</v>
      </c>
      <c r="B1541" t="n">
        <v>330</v>
      </c>
      <c r="C1541" t="n">
        <v>8</v>
      </c>
      <c r="D1541" s="218" t="n">
        <v>156.94</v>
      </c>
      <c r="E1541" s="218" t="n">
        <v>5.06</v>
      </c>
      <c r="F1541" t="str">
        <v>https://re.jrc.ec.europa.eu/api/v5_3/PVcalc?lat=30.0444&amp;lon=31.2357&amp;peakpower=1&amp;loss=14&amp;angle=20&amp;aspect=150&amp;outputformat=json&amp;raddatabase=PVGIS-SARAH3&amp;pvtechchoice=crystSi&amp;mountingplace=free&amp;usehorizon=1</v>
      </c>
    </row>
    <row r="1542">
      <c r="A1542" t="n">
        <v>20</v>
      </c>
      <c r="B1542" t="n">
        <v>330</v>
      </c>
      <c r="C1542" t="n">
        <v>9</v>
      </c>
      <c r="D1542" s="218" t="n">
        <v>122.44</v>
      </c>
      <c r="E1542" s="218" t="n">
        <v>4.08</v>
      </c>
      <c r="F1542" t="str">
        <v>https://re.jrc.ec.europa.eu/api/v5_3/PVcalc?lat=30.0444&amp;lon=31.2357&amp;peakpower=1&amp;loss=14&amp;angle=20&amp;aspect=150&amp;outputformat=json&amp;raddatabase=PVGIS-SARAH3&amp;pvtechchoice=crystSi&amp;mountingplace=free&amp;usehorizon=1</v>
      </c>
    </row>
    <row r="1543">
      <c r="A1543" t="n">
        <v>20</v>
      </c>
      <c r="B1543" t="n">
        <v>330</v>
      </c>
      <c r="C1543" t="n">
        <v>10</v>
      </c>
      <c r="D1543" s="218" t="n">
        <v>89.37</v>
      </c>
      <c r="E1543" s="218" t="n">
        <v>2.88</v>
      </c>
      <c r="F1543" t="str">
        <v>https://re.jrc.ec.europa.eu/api/v5_3/PVcalc?lat=30.0444&amp;lon=31.2357&amp;peakpower=1&amp;loss=14&amp;angle=20&amp;aspect=150&amp;outputformat=json&amp;raddatabase=PVGIS-SARAH3&amp;pvtechchoice=crystSi&amp;mountingplace=free&amp;usehorizon=1</v>
      </c>
    </row>
    <row r="1544">
      <c r="A1544" t="n">
        <v>20</v>
      </c>
      <c r="B1544" t="n">
        <v>330</v>
      </c>
      <c r="C1544" t="n">
        <v>11</v>
      </c>
      <c r="D1544" s="218" t="n">
        <v>58.22</v>
      </c>
      <c r="E1544" s="218" t="n">
        <v>1.94</v>
      </c>
      <c r="F1544" t="str">
        <v>https://re.jrc.ec.europa.eu/api/v5_3/PVcalc?lat=30.0444&amp;lon=31.2357&amp;peakpower=1&amp;loss=14&amp;angle=20&amp;aspect=150&amp;outputformat=json&amp;raddatabase=PVGIS-SARAH3&amp;pvtechchoice=crystSi&amp;mountingplace=free&amp;usehorizon=1</v>
      </c>
    </row>
    <row r="1545">
      <c r="A1545" t="n">
        <v>20</v>
      </c>
      <c r="B1545" t="n">
        <v>330</v>
      </c>
      <c r="C1545" t="n">
        <v>12</v>
      </c>
      <c r="D1545" s="218" t="n">
        <v>46.78</v>
      </c>
      <c r="E1545" s="218" t="n">
        <v>1.51</v>
      </c>
      <c r="F1545" t="str">
        <v>https://re.jrc.ec.europa.eu/api/v5_3/PVcalc?lat=30.0444&amp;lon=31.2357&amp;peakpower=1&amp;loss=14&amp;angle=20&amp;aspect=150&amp;outputformat=json&amp;raddatabase=PVGIS-SARAH3&amp;pvtechchoice=crystSi&amp;mountingplace=free&amp;usehorizon=1</v>
      </c>
    </row>
    <row r="1546">
      <c r="A1546" t="n">
        <v>20</v>
      </c>
      <c r="B1546" t="n">
        <v>345</v>
      </c>
      <c r="C1546" t="n">
        <v>1</v>
      </c>
      <c r="D1546" s="218" t="n">
        <v>48.31</v>
      </c>
      <c r="E1546" s="218" t="n">
        <v>1.56</v>
      </c>
      <c r="F1546" t="str">
        <v>https://re.jrc.ec.europa.eu/api/v5_3/PVcalc?lat=30.0444&amp;lon=31.2357&amp;peakpower=1&amp;loss=14&amp;angle=20&amp;aspect=165&amp;outputformat=json&amp;raddatabase=PVGIS-SARAH3&amp;pvtechchoice=crystSi&amp;mountingplace=free&amp;usehorizon=1</v>
      </c>
    </row>
    <row r="1547">
      <c r="A1547" t="n">
        <v>20</v>
      </c>
      <c r="B1547" t="n">
        <v>345</v>
      </c>
      <c r="C1547" t="n">
        <v>2</v>
      </c>
      <c r="D1547" s="218" t="n">
        <v>65.75</v>
      </c>
      <c r="E1547" s="218" t="n">
        <v>2.35</v>
      </c>
      <c r="F1547" t="str">
        <v>https://re.jrc.ec.europa.eu/api/v5_3/PVcalc?lat=30.0444&amp;lon=31.2357&amp;peakpower=1&amp;loss=14&amp;angle=20&amp;aspect=165&amp;outputformat=json&amp;raddatabase=PVGIS-SARAH3&amp;pvtechchoice=crystSi&amp;mountingplace=free&amp;usehorizon=1</v>
      </c>
    </row>
    <row r="1548">
      <c r="A1548" t="n">
        <v>20</v>
      </c>
      <c r="B1548" t="n">
        <v>345</v>
      </c>
      <c r="C1548" t="n">
        <v>3</v>
      </c>
      <c r="D1548" s="218" t="n">
        <v>109.34</v>
      </c>
      <c r="E1548" s="218" t="n">
        <v>3.53</v>
      </c>
      <c r="F1548" t="str">
        <v>https://re.jrc.ec.europa.eu/api/v5_3/PVcalc?lat=30.0444&amp;lon=31.2357&amp;peakpower=1&amp;loss=14&amp;angle=20&amp;aspect=165&amp;outputformat=json&amp;raddatabase=PVGIS-SARAH3&amp;pvtechchoice=crystSi&amp;mountingplace=free&amp;usehorizon=1</v>
      </c>
    </row>
    <row r="1549">
      <c r="A1549" t="n">
        <v>20</v>
      </c>
      <c r="B1549" t="n">
        <v>345</v>
      </c>
      <c r="C1549" t="n">
        <v>4</v>
      </c>
      <c r="D1549" s="218" t="n">
        <v>139.11</v>
      </c>
      <c r="E1549" s="218" t="n">
        <v>4.64</v>
      </c>
      <c r="F1549" t="str">
        <v>https://re.jrc.ec.europa.eu/api/v5_3/PVcalc?lat=30.0444&amp;lon=31.2357&amp;peakpower=1&amp;loss=14&amp;angle=20&amp;aspect=165&amp;outputformat=json&amp;raddatabase=PVGIS-SARAH3&amp;pvtechchoice=crystSi&amp;mountingplace=free&amp;usehorizon=1</v>
      </c>
    </row>
    <row r="1550">
      <c r="A1550" t="n">
        <v>20</v>
      </c>
      <c r="B1550" t="n">
        <v>345</v>
      </c>
      <c r="C1550" t="n">
        <v>5</v>
      </c>
      <c r="D1550" s="218" t="n">
        <v>166.41</v>
      </c>
      <c r="E1550" s="218" t="n">
        <v>5.37</v>
      </c>
      <c r="F1550" t="str">
        <v>https://re.jrc.ec.europa.eu/api/v5_3/PVcalc?lat=30.0444&amp;lon=31.2357&amp;peakpower=1&amp;loss=14&amp;angle=20&amp;aspect=165&amp;outputformat=json&amp;raddatabase=PVGIS-SARAH3&amp;pvtechchoice=crystSi&amp;mountingplace=free&amp;usehorizon=1</v>
      </c>
    </row>
    <row r="1551">
      <c r="A1551" t="n">
        <v>20</v>
      </c>
      <c r="B1551" t="n">
        <v>345</v>
      </c>
      <c r="C1551" t="n">
        <v>6</v>
      </c>
      <c r="D1551" s="218" t="n">
        <v>176.93</v>
      </c>
      <c r="E1551" s="218" t="n">
        <v>5.9</v>
      </c>
      <c r="F1551" t="str">
        <v>https://re.jrc.ec.europa.eu/api/v5_3/PVcalc?lat=30.0444&amp;lon=31.2357&amp;peakpower=1&amp;loss=14&amp;angle=20&amp;aspect=165&amp;outputformat=json&amp;raddatabase=PVGIS-SARAH3&amp;pvtechchoice=crystSi&amp;mountingplace=free&amp;usehorizon=1</v>
      </c>
    </row>
    <row r="1552">
      <c r="A1552" t="n">
        <v>20</v>
      </c>
      <c r="B1552" t="n">
        <v>345</v>
      </c>
      <c r="C1552" t="n">
        <v>7</v>
      </c>
      <c r="D1552" s="218" t="n">
        <v>177.17</v>
      </c>
      <c r="E1552" s="218" t="n">
        <v>5.72</v>
      </c>
      <c r="F1552" t="str">
        <v>https://re.jrc.ec.europa.eu/api/v5_3/PVcalc?lat=30.0444&amp;lon=31.2357&amp;peakpower=1&amp;loss=14&amp;angle=20&amp;aspect=165&amp;outputformat=json&amp;raddatabase=PVGIS-SARAH3&amp;pvtechchoice=crystSi&amp;mountingplace=free&amp;usehorizon=1</v>
      </c>
    </row>
    <row r="1553">
      <c r="A1553" t="n">
        <v>20</v>
      </c>
      <c r="B1553" t="n">
        <v>345</v>
      </c>
      <c r="C1553" t="n">
        <v>8</v>
      </c>
      <c r="D1553" s="218" t="n">
        <v>155.05</v>
      </c>
      <c r="E1553" s="218" t="n">
        <v>5</v>
      </c>
      <c r="F1553" t="str">
        <v>https://re.jrc.ec.europa.eu/api/v5_3/PVcalc?lat=30.0444&amp;lon=31.2357&amp;peakpower=1&amp;loss=14&amp;angle=20&amp;aspect=165&amp;outputformat=json&amp;raddatabase=PVGIS-SARAH3&amp;pvtechchoice=crystSi&amp;mountingplace=free&amp;usehorizon=1</v>
      </c>
    </row>
    <row r="1554">
      <c r="A1554" t="n">
        <v>20</v>
      </c>
      <c r="B1554" t="n">
        <v>345</v>
      </c>
      <c r="C1554" t="n">
        <v>9</v>
      </c>
      <c r="D1554" s="218" t="n">
        <v>119.34</v>
      </c>
      <c r="E1554" s="218" t="n">
        <v>3.98</v>
      </c>
      <c r="F1554" t="str">
        <v>https://re.jrc.ec.europa.eu/api/v5_3/PVcalc?lat=30.0444&amp;lon=31.2357&amp;peakpower=1&amp;loss=14&amp;angle=20&amp;aspect=165&amp;outputformat=json&amp;raddatabase=PVGIS-SARAH3&amp;pvtechchoice=crystSi&amp;mountingplace=free&amp;usehorizon=1</v>
      </c>
    </row>
    <row r="1555">
      <c r="A1555" t="n">
        <v>20</v>
      </c>
      <c r="B1555" t="n">
        <v>345</v>
      </c>
      <c r="C1555" t="n">
        <v>10</v>
      </c>
      <c r="D1555" s="218" t="n">
        <v>85.02</v>
      </c>
      <c r="E1555" s="218" t="n">
        <v>2.74</v>
      </c>
      <c r="F1555" t="str">
        <v>https://re.jrc.ec.europa.eu/api/v5_3/PVcalc?lat=30.0444&amp;lon=31.2357&amp;peakpower=1&amp;loss=14&amp;angle=20&amp;aspect=165&amp;outputformat=json&amp;raddatabase=PVGIS-SARAH3&amp;pvtechchoice=crystSi&amp;mountingplace=free&amp;usehorizon=1</v>
      </c>
    </row>
    <row r="1556">
      <c r="A1556" t="n">
        <v>20</v>
      </c>
      <c r="B1556" t="n">
        <v>345</v>
      </c>
      <c r="C1556" t="n">
        <v>11</v>
      </c>
      <c r="D1556" s="218" t="n">
        <v>53.27</v>
      </c>
      <c r="E1556" s="218" t="n">
        <v>1.78</v>
      </c>
      <c r="F1556" t="str">
        <v>https://re.jrc.ec.europa.eu/api/v5_3/PVcalc?lat=30.0444&amp;lon=31.2357&amp;peakpower=1&amp;loss=14&amp;angle=20&amp;aspect=165&amp;outputformat=json&amp;raddatabase=PVGIS-SARAH3&amp;pvtechchoice=crystSi&amp;mountingplace=free&amp;usehorizon=1</v>
      </c>
    </row>
    <row r="1557">
      <c r="A1557" t="n">
        <v>20</v>
      </c>
      <c r="B1557" t="n">
        <v>345</v>
      </c>
      <c r="C1557" t="n">
        <v>12</v>
      </c>
      <c r="D1557" s="218" t="n">
        <v>42.01</v>
      </c>
      <c r="E1557" s="218" t="n">
        <v>1.36</v>
      </c>
      <c r="F1557" t="str">
        <v>https://re.jrc.ec.europa.eu/api/v5_3/PVcalc?lat=30.0444&amp;lon=31.2357&amp;peakpower=1&amp;loss=14&amp;angle=20&amp;aspect=165&amp;outputformat=json&amp;raddatabase=PVGIS-SARAH3&amp;pvtechchoice=crystSi&amp;mountingplace=free&amp;usehorizon=1</v>
      </c>
    </row>
    <row r="1558">
      <c r="A1558" t="n">
        <v>20</v>
      </c>
      <c r="B1558" t="n">
        <v>360</v>
      </c>
      <c r="C1558" t="n">
        <v>1</v>
      </c>
      <c r="D1558" s="218" t="n">
        <v>46.65</v>
      </c>
      <c r="E1558" s="218" t="n">
        <v>1.5</v>
      </c>
      <c r="F1558" t="str">
        <v>https://re.jrc.ec.europa.eu/api/v5_3/PVcalc?lat=30.0444&amp;lon=31.2357&amp;peakpower=1&amp;loss=14&amp;angle=20&amp;aspect=180&amp;outputformat=json&amp;raddatabase=PVGIS-SARAH3&amp;pvtechchoice=crystSi&amp;mountingplace=free&amp;usehorizon=1</v>
      </c>
    </row>
    <row r="1559">
      <c r="A1559" t="n">
        <v>20</v>
      </c>
      <c r="B1559" t="n">
        <v>360</v>
      </c>
      <c r="C1559" t="n">
        <v>2</v>
      </c>
      <c r="D1559" s="218" t="n">
        <v>64.81</v>
      </c>
      <c r="E1559" s="218" t="n">
        <v>2.31</v>
      </c>
      <c r="F1559" t="str">
        <v>https://re.jrc.ec.europa.eu/api/v5_3/PVcalc?lat=30.0444&amp;lon=31.2357&amp;peakpower=1&amp;loss=14&amp;angle=20&amp;aspect=180&amp;outputformat=json&amp;raddatabase=PVGIS-SARAH3&amp;pvtechchoice=crystSi&amp;mountingplace=free&amp;usehorizon=1</v>
      </c>
    </row>
    <row r="1560">
      <c r="A1560" t="n">
        <v>20</v>
      </c>
      <c r="B1560" t="n">
        <v>360</v>
      </c>
      <c r="C1560" t="n">
        <v>3</v>
      </c>
      <c r="D1560" s="218" t="n">
        <v>107.92</v>
      </c>
      <c r="E1560" s="218" t="n">
        <v>3.48</v>
      </c>
      <c r="F1560" t="str">
        <v>https://re.jrc.ec.europa.eu/api/v5_3/PVcalc?lat=30.0444&amp;lon=31.2357&amp;peakpower=1&amp;loss=14&amp;angle=20&amp;aspect=180&amp;outputformat=json&amp;raddatabase=PVGIS-SARAH3&amp;pvtechchoice=crystSi&amp;mountingplace=free&amp;usehorizon=1</v>
      </c>
    </row>
    <row r="1561">
      <c r="A1561" t="n">
        <v>20</v>
      </c>
      <c r="B1561" t="n">
        <v>360</v>
      </c>
      <c r="C1561" t="n">
        <v>4</v>
      </c>
      <c r="D1561" s="218" t="n">
        <v>138.11</v>
      </c>
      <c r="E1561" s="218" t="n">
        <v>4.6</v>
      </c>
      <c r="F1561" t="str">
        <v>https://re.jrc.ec.europa.eu/api/v5_3/PVcalc?lat=30.0444&amp;lon=31.2357&amp;peakpower=1&amp;loss=14&amp;angle=20&amp;aspect=180&amp;outputformat=json&amp;raddatabase=PVGIS-SARAH3&amp;pvtechchoice=crystSi&amp;mountingplace=free&amp;usehorizon=1</v>
      </c>
    </row>
    <row r="1562">
      <c r="A1562" t="n">
        <v>20</v>
      </c>
      <c r="B1562" t="n">
        <v>360</v>
      </c>
      <c r="C1562" t="n">
        <v>5</v>
      </c>
      <c r="D1562" s="218" t="n">
        <v>165.84</v>
      </c>
      <c r="E1562" s="218" t="n">
        <v>5.35</v>
      </c>
      <c r="F1562" t="str">
        <v>https://re.jrc.ec.europa.eu/api/v5_3/PVcalc?lat=30.0444&amp;lon=31.2357&amp;peakpower=1&amp;loss=14&amp;angle=20&amp;aspect=180&amp;outputformat=json&amp;raddatabase=PVGIS-SARAH3&amp;pvtechchoice=crystSi&amp;mountingplace=free&amp;usehorizon=1</v>
      </c>
    </row>
    <row r="1563">
      <c r="A1563" t="n">
        <v>20</v>
      </c>
      <c r="B1563" t="n">
        <v>360</v>
      </c>
      <c r="C1563" t="n">
        <v>6</v>
      </c>
      <c r="D1563" s="218" t="n">
        <v>175.98</v>
      </c>
      <c r="E1563" s="218" t="n">
        <v>5.87</v>
      </c>
      <c r="F1563" t="str">
        <v>https://re.jrc.ec.europa.eu/api/v5_3/PVcalc?lat=30.0444&amp;lon=31.2357&amp;peakpower=1&amp;loss=14&amp;angle=20&amp;aspect=180&amp;outputformat=json&amp;raddatabase=PVGIS-SARAH3&amp;pvtechchoice=crystSi&amp;mountingplace=free&amp;usehorizon=1</v>
      </c>
    </row>
    <row r="1564">
      <c r="A1564" t="n">
        <v>20</v>
      </c>
      <c r="B1564" t="n">
        <v>360</v>
      </c>
      <c r="C1564" t="n">
        <v>7</v>
      </c>
      <c r="D1564" s="218" t="n">
        <v>175.69</v>
      </c>
      <c r="E1564" s="218" t="n">
        <v>5.67</v>
      </c>
      <c r="F1564" t="str">
        <v>https://re.jrc.ec.europa.eu/api/v5_3/PVcalc?lat=30.0444&amp;lon=31.2357&amp;peakpower=1&amp;loss=14&amp;angle=20&amp;aspect=180&amp;outputformat=json&amp;raddatabase=PVGIS-SARAH3&amp;pvtechchoice=crystSi&amp;mountingplace=free&amp;usehorizon=1</v>
      </c>
    </row>
    <row r="1565">
      <c r="A1565" t="n">
        <v>20</v>
      </c>
      <c r="B1565" t="n">
        <v>360</v>
      </c>
      <c r="C1565" t="n">
        <v>8</v>
      </c>
      <c r="D1565" s="218" t="n">
        <v>153.51</v>
      </c>
      <c r="E1565" s="218" t="n">
        <v>4.95</v>
      </c>
      <c r="F1565" t="str">
        <v>https://re.jrc.ec.europa.eu/api/v5_3/PVcalc?lat=30.0444&amp;lon=31.2357&amp;peakpower=1&amp;loss=14&amp;angle=20&amp;aspect=180&amp;outputformat=json&amp;raddatabase=PVGIS-SARAH3&amp;pvtechchoice=crystSi&amp;mountingplace=free&amp;usehorizon=1</v>
      </c>
    </row>
    <row r="1566">
      <c r="A1566" t="n">
        <v>20</v>
      </c>
      <c r="B1566" t="n">
        <v>360</v>
      </c>
      <c r="C1566" t="n">
        <v>9</v>
      </c>
      <c r="D1566" s="218" t="n">
        <v>117.56</v>
      </c>
      <c r="E1566" s="218" t="n">
        <v>3.92</v>
      </c>
      <c r="F1566" t="str">
        <v>https://re.jrc.ec.europa.eu/api/v5_3/PVcalc?lat=30.0444&amp;lon=31.2357&amp;peakpower=1&amp;loss=14&amp;angle=20&amp;aspect=180&amp;outputformat=json&amp;raddatabase=PVGIS-SARAH3&amp;pvtechchoice=crystSi&amp;mountingplace=free&amp;usehorizon=1</v>
      </c>
    </row>
    <row r="1567">
      <c r="A1567" t="n">
        <v>20</v>
      </c>
      <c r="B1567" t="n">
        <v>360</v>
      </c>
      <c r="C1567" t="n">
        <v>10</v>
      </c>
      <c r="D1567" s="218" t="n">
        <v>83.44</v>
      </c>
      <c r="E1567" s="218" t="n">
        <v>2.69</v>
      </c>
      <c r="F1567" t="str">
        <v>https://re.jrc.ec.europa.eu/api/v5_3/PVcalc?lat=30.0444&amp;lon=31.2357&amp;peakpower=1&amp;loss=14&amp;angle=20&amp;aspect=180&amp;outputformat=json&amp;raddatabase=PVGIS-SARAH3&amp;pvtechchoice=crystSi&amp;mountingplace=free&amp;usehorizon=1</v>
      </c>
    </row>
    <row r="1568">
      <c r="A1568" t="n">
        <v>20</v>
      </c>
      <c r="B1568" t="n">
        <v>360</v>
      </c>
      <c r="C1568" t="n">
        <v>11</v>
      </c>
      <c r="D1568" s="218" t="n">
        <v>51.69</v>
      </c>
      <c r="E1568" s="218" t="n">
        <v>1.72</v>
      </c>
      <c r="F1568" t="str">
        <v>https://re.jrc.ec.europa.eu/api/v5_3/PVcalc?lat=30.0444&amp;lon=31.2357&amp;peakpower=1&amp;loss=14&amp;angle=20&amp;aspect=180&amp;outputformat=json&amp;raddatabase=PVGIS-SARAH3&amp;pvtechchoice=crystSi&amp;mountingplace=free&amp;usehorizon=1</v>
      </c>
    </row>
    <row r="1569">
      <c r="A1569" t="n">
        <v>20</v>
      </c>
      <c r="B1569" t="n">
        <v>360</v>
      </c>
      <c r="C1569" t="n">
        <v>12</v>
      </c>
      <c r="D1569" s="218" t="n">
        <v>40.32</v>
      </c>
      <c r="E1569" s="218" t="n">
        <v>1.3</v>
      </c>
      <c r="F1569" t="str">
        <v>https://re.jrc.ec.europa.eu/api/v5_3/PVcalc?lat=30.0444&amp;lon=31.2357&amp;peakpower=1&amp;loss=14&amp;angle=20&amp;aspect=180&amp;outputformat=json&amp;raddatabase=PVGIS-SARAH3&amp;pvtechchoice=crystSi&amp;mountingplace=free&amp;usehorizon=1</v>
      </c>
    </row>
    <row r="1570">
      <c r="A1570" t="n">
        <v>25</v>
      </c>
      <c r="B1570" t="n">
        <v>0</v>
      </c>
      <c r="C1570" t="n">
        <v>1</v>
      </c>
      <c r="D1570" s="218" t="n">
        <v>36.46</v>
      </c>
      <c r="E1570" s="218" t="n">
        <v>1.18</v>
      </c>
      <c r="F1570" t="str">
        <v>https://re.jrc.ec.europa.eu/api/v5_3/PVcalc?lat=30.0444&amp;lon=31.2357&amp;peakpower=1&amp;loss=14&amp;angle=25&amp;aspect=-180&amp;outputformat=json&amp;raddatabase=PVGIS-SARAH3&amp;pvtechchoice=crystSi&amp;mountingplace=free&amp;usehorizon=1</v>
      </c>
    </row>
    <row r="1571">
      <c r="A1571" t="n">
        <v>25</v>
      </c>
      <c r="B1571" t="n">
        <v>0</v>
      </c>
      <c r="C1571" t="n">
        <v>2</v>
      </c>
      <c r="D1571" s="218" t="n">
        <v>55.01</v>
      </c>
      <c r="E1571" s="218" t="n">
        <v>1.96</v>
      </c>
      <c r="F1571" t="str">
        <v>https://re.jrc.ec.europa.eu/api/v5_3/PVcalc?lat=30.0444&amp;lon=31.2357&amp;peakpower=1&amp;loss=14&amp;angle=25&amp;aspect=-180&amp;outputformat=json&amp;raddatabase=PVGIS-SARAH3&amp;pvtechchoice=crystSi&amp;mountingplace=free&amp;usehorizon=1</v>
      </c>
    </row>
    <row r="1572">
      <c r="A1572" t="n">
        <v>25</v>
      </c>
      <c r="B1572" t="n">
        <v>0</v>
      </c>
      <c r="C1572" t="n">
        <v>3</v>
      </c>
      <c r="D1572" s="218" t="n">
        <v>97.83</v>
      </c>
      <c r="E1572" s="218" t="n">
        <v>3.16</v>
      </c>
      <c r="F1572" t="str">
        <v>https://re.jrc.ec.europa.eu/api/v5_3/PVcalc?lat=30.0444&amp;lon=31.2357&amp;peakpower=1&amp;loss=14&amp;angle=25&amp;aspect=-180&amp;outputformat=json&amp;raddatabase=PVGIS-SARAH3&amp;pvtechchoice=crystSi&amp;mountingplace=free&amp;usehorizon=1</v>
      </c>
    </row>
    <row r="1573">
      <c r="A1573" t="n">
        <v>25</v>
      </c>
      <c r="B1573" t="n">
        <v>0</v>
      </c>
      <c r="C1573" t="n">
        <v>4</v>
      </c>
      <c r="D1573" s="218" t="n">
        <v>130.84</v>
      </c>
      <c r="E1573" s="218" t="n">
        <v>4.36</v>
      </c>
      <c r="F1573" t="str">
        <v>https://re.jrc.ec.europa.eu/api/v5_3/PVcalc?lat=30.0444&amp;lon=31.2357&amp;peakpower=1&amp;loss=14&amp;angle=25&amp;aspect=-180&amp;outputformat=json&amp;raddatabase=PVGIS-SARAH3&amp;pvtechchoice=crystSi&amp;mountingplace=free&amp;usehorizon=1</v>
      </c>
    </row>
    <row r="1574">
      <c r="A1574" t="n">
        <v>25</v>
      </c>
      <c r="B1574" t="n">
        <v>0</v>
      </c>
      <c r="C1574" t="n">
        <v>5</v>
      </c>
      <c r="D1574" s="218" t="n">
        <v>160.78</v>
      </c>
      <c r="E1574" s="218" t="n">
        <v>5.19</v>
      </c>
      <c r="F1574" t="str">
        <v>https://re.jrc.ec.europa.eu/api/v5_3/PVcalc?lat=30.0444&amp;lon=31.2357&amp;peakpower=1&amp;loss=14&amp;angle=25&amp;aspect=-180&amp;outputformat=json&amp;raddatabase=PVGIS-SARAH3&amp;pvtechchoice=crystSi&amp;mountingplace=free&amp;usehorizon=1</v>
      </c>
    </row>
    <row r="1575">
      <c r="A1575" t="n">
        <v>25</v>
      </c>
      <c r="B1575" t="n">
        <v>0</v>
      </c>
      <c r="C1575" t="n">
        <v>6</v>
      </c>
      <c r="D1575" s="218" t="n">
        <v>172.07</v>
      </c>
      <c r="E1575" s="218" t="n">
        <v>5.74</v>
      </c>
      <c r="F1575" t="str">
        <v>https://re.jrc.ec.europa.eu/api/v5_3/PVcalc?lat=30.0444&amp;lon=31.2357&amp;peakpower=1&amp;loss=14&amp;angle=25&amp;aspect=-180&amp;outputformat=json&amp;raddatabase=PVGIS-SARAH3&amp;pvtechchoice=crystSi&amp;mountingplace=free&amp;usehorizon=1</v>
      </c>
    </row>
    <row r="1576">
      <c r="A1576" t="n">
        <v>25</v>
      </c>
      <c r="B1576" t="n">
        <v>0</v>
      </c>
      <c r="C1576" t="n">
        <v>7</v>
      </c>
      <c r="D1576" s="218" t="n">
        <v>171.05</v>
      </c>
      <c r="E1576" s="218" t="n">
        <v>5.52</v>
      </c>
      <c r="F1576" t="str">
        <v>https://re.jrc.ec.europa.eu/api/v5_3/PVcalc?lat=30.0444&amp;lon=31.2357&amp;peakpower=1&amp;loss=14&amp;angle=25&amp;aspect=-180&amp;outputformat=json&amp;raddatabase=PVGIS-SARAH3&amp;pvtechchoice=crystSi&amp;mountingplace=free&amp;usehorizon=1</v>
      </c>
    </row>
    <row r="1577">
      <c r="A1577" t="n">
        <v>25</v>
      </c>
      <c r="B1577" t="n">
        <v>0</v>
      </c>
      <c r="C1577" t="n">
        <v>8</v>
      </c>
      <c r="D1577" s="218" t="n">
        <v>146.69</v>
      </c>
      <c r="E1577" s="218" t="n">
        <v>4.73</v>
      </c>
      <c r="F1577" t="str">
        <v>https://re.jrc.ec.europa.eu/api/v5_3/PVcalc?lat=30.0444&amp;lon=31.2357&amp;peakpower=1&amp;loss=14&amp;angle=25&amp;aspect=-180&amp;outputformat=json&amp;raddatabase=PVGIS-SARAH3&amp;pvtechchoice=crystSi&amp;mountingplace=free&amp;usehorizon=1</v>
      </c>
    </row>
    <row r="1578">
      <c r="A1578" t="n">
        <v>25</v>
      </c>
      <c r="B1578" t="n">
        <v>0</v>
      </c>
      <c r="C1578" t="n">
        <v>9</v>
      </c>
      <c r="D1578" s="218" t="n">
        <v>108.18</v>
      </c>
      <c r="E1578" s="218" t="n">
        <v>3.61</v>
      </c>
      <c r="F1578" t="str">
        <v>https://re.jrc.ec.europa.eu/api/v5_3/PVcalc?lat=30.0444&amp;lon=31.2357&amp;peakpower=1&amp;loss=14&amp;angle=25&amp;aspect=-180&amp;outputformat=json&amp;raddatabase=PVGIS-SARAH3&amp;pvtechchoice=crystSi&amp;mountingplace=free&amp;usehorizon=1</v>
      </c>
    </row>
    <row r="1579">
      <c r="A1579" t="n">
        <v>25</v>
      </c>
      <c r="B1579" t="n">
        <v>0</v>
      </c>
      <c r="C1579" t="n">
        <v>10</v>
      </c>
      <c r="D1579" s="218" t="n">
        <v>71.86</v>
      </c>
      <c r="E1579" s="218" t="n">
        <v>2.32</v>
      </c>
      <c r="F1579" t="str">
        <v>https://re.jrc.ec.europa.eu/api/v5_3/PVcalc?lat=30.0444&amp;lon=31.2357&amp;peakpower=1&amp;loss=14&amp;angle=25&amp;aspect=-180&amp;outputformat=json&amp;raddatabase=PVGIS-SARAH3&amp;pvtechchoice=crystSi&amp;mountingplace=free&amp;usehorizon=1</v>
      </c>
    </row>
    <row r="1580">
      <c r="A1580" t="n">
        <v>25</v>
      </c>
      <c r="B1580" t="n">
        <v>0</v>
      </c>
      <c r="C1580" t="n">
        <v>11</v>
      </c>
      <c r="D1580" s="218" t="n">
        <v>40.53</v>
      </c>
      <c r="E1580" s="218" t="n">
        <v>1.35</v>
      </c>
      <c r="F1580" t="str">
        <v>https://re.jrc.ec.europa.eu/api/v5_3/PVcalc?lat=30.0444&amp;lon=31.2357&amp;peakpower=1&amp;loss=14&amp;angle=25&amp;aspect=-180&amp;outputformat=json&amp;raddatabase=PVGIS-SARAH3&amp;pvtechchoice=crystSi&amp;mountingplace=free&amp;usehorizon=1</v>
      </c>
    </row>
    <row r="1581">
      <c r="A1581" t="n">
        <v>25</v>
      </c>
      <c r="B1581" t="n">
        <v>0</v>
      </c>
      <c r="C1581" t="n">
        <v>12</v>
      </c>
      <c r="D1581" s="218" t="n">
        <v>30.26</v>
      </c>
      <c r="E1581" s="218" t="n">
        <v>0.98</v>
      </c>
      <c r="F1581" t="str">
        <v>https://re.jrc.ec.europa.eu/api/v5_3/PVcalc?lat=30.0444&amp;lon=31.2357&amp;peakpower=1&amp;loss=14&amp;angle=25&amp;aspect=-180&amp;outputformat=json&amp;raddatabase=PVGIS-SARAH3&amp;pvtechchoice=crystSi&amp;mountingplace=free&amp;usehorizon=1</v>
      </c>
    </row>
    <row r="1582">
      <c r="A1582" t="n">
        <v>25</v>
      </c>
      <c r="B1582" t="n">
        <v>15</v>
      </c>
      <c r="C1582" t="n">
        <v>1</v>
      </c>
      <c r="D1582" s="218" t="n">
        <v>39.16</v>
      </c>
      <c r="E1582" s="218" t="n">
        <v>1.26</v>
      </c>
      <c r="F1582" t="str">
        <v>https://re.jrc.ec.europa.eu/api/v5_3/PVcalc?lat=30.0444&amp;lon=31.2357&amp;peakpower=1&amp;loss=14&amp;angle=25&amp;aspect=-165&amp;outputformat=json&amp;raddatabase=PVGIS-SARAH3&amp;pvtechchoice=crystSi&amp;mountingplace=free&amp;usehorizon=1</v>
      </c>
    </row>
    <row r="1583">
      <c r="A1583" t="n">
        <v>25</v>
      </c>
      <c r="B1583" t="n">
        <v>15</v>
      </c>
      <c r="C1583" t="n">
        <v>2</v>
      </c>
      <c r="D1583" s="218" t="n">
        <v>57.54</v>
      </c>
      <c r="E1583" s="218" t="n">
        <v>2.06</v>
      </c>
      <c r="F1583" t="str">
        <v>https://re.jrc.ec.europa.eu/api/v5_3/PVcalc?lat=30.0444&amp;lon=31.2357&amp;peakpower=1&amp;loss=14&amp;angle=25&amp;aspect=-165&amp;outputformat=json&amp;raddatabase=PVGIS-SARAH3&amp;pvtechchoice=crystSi&amp;mountingplace=free&amp;usehorizon=1</v>
      </c>
    </row>
    <row r="1584">
      <c r="A1584" t="n">
        <v>25</v>
      </c>
      <c r="B1584" t="n">
        <v>15</v>
      </c>
      <c r="C1584" t="n">
        <v>3</v>
      </c>
      <c r="D1584" s="218" t="n">
        <v>99.05</v>
      </c>
      <c r="E1584" s="218" t="n">
        <v>3.2</v>
      </c>
      <c r="F1584" t="str">
        <v>https://re.jrc.ec.europa.eu/api/v5_3/PVcalc?lat=30.0444&amp;lon=31.2357&amp;peakpower=1&amp;loss=14&amp;angle=25&amp;aspect=-165&amp;outputformat=json&amp;raddatabase=PVGIS-SARAH3&amp;pvtechchoice=crystSi&amp;mountingplace=free&amp;usehorizon=1</v>
      </c>
    </row>
    <row r="1585">
      <c r="A1585" t="n">
        <v>25</v>
      </c>
      <c r="B1585" t="n">
        <v>15</v>
      </c>
      <c r="C1585" t="n">
        <v>4</v>
      </c>
      <c r="D1585" s="218" t="n">
        <v>130.63</v>
      </c>
      <c r="E1585" s="218" t="n">
        <v>4.35</v>
      </c>
      <c r="F1585" t="str">
        <v>https://re.jrc.ec.europa.eu/api/v5_3/PVcalc?lat=30.0444&amp;lon=31.2357&amp;peakpower=1&amp;loss=14&amp;angle=25&amp;aspect=-165&amp;outputformat=json&amp;raddatabase=PVGIS-SARAH3&amp;pvtechchoice=crystSi&amp;mountingplace=free&amp;usehorizon=1</v>
      </c>
    </row>
    <row r="1586">
      <c r="A1586" t="n">
        <v>25</v>
      </c>
      <c r="B1586" t="n">
        <v>15</v>
      </c>
      <c r="C1586" t="n">
        <v>5</v>
      </c>
      <c r="D1586" s="218" t="n">
        <v>160.07</v>
      </c>
      <c r="E1586" s="218" t="n">
        <v>5.16</v>
      </c>
      <c r="F1586" t="str">
        <v>https://re.jrc.ec.europa.eu/api/v5_3/PVcalc?lat=30.0444&amp;lon=31.2357&amp;peakpower=1&amp;loss=14&amp;angle=25&amp;aspect=-165&amp;outputformat=json&amp;raddatabase=PVGIS-SARAH3&amp;pvtechchoice=crystSi&amp;mountingplace=free&amp;usehorizon=1</v>
      </c>
    </row>
    <row r="1587">
      <c r="A1587" t="n">
        <v>25</v>
      </c>
      <c r="B1587" t="n">
        <v>15</v>
      </c>
      <c r="C1587" t="n">
        <v>6</v>
      </c>
      <c r="D1587" s="218" t="n">
        <v>170.44</v>
      </c>
      <c r="E1587" s="218" t="n">
        <v>5.68</v>
      </c>
      <c r="F1587" t="str">
        <v>https://re.jrc.ec.europa.eu/api/v5_3/PVcalc?lat=30.0444&amp;lon=31.2357&amp;peakpower=1&amp;loss=14&amp;angle=25&amp;aspect=-165&amp;outputformat=json&amp;raddatabase=PVGIS-SARAH3&amp;pvtechchoice=crystSi&amp;mountingplace=free&amp;usehorizon=1</v>
      </c>
    </row>
    <row r="1588">
      <c r="A1588" t="n">
        <v>25</v>
      </c>
      <c r="B1588" t="n">
        <v>15</v>
      </c>
      <c r="C1588" t="n">
        <v>7</v>
      </c>
      <c r="D1588" s="218" t="n">
        <v>169.06</v>
      </c>
      <c r="E1588" s="218" t="n">
        <v>5.45</v>
      </c>
      <c r="F1588" t="str">
        <v>https://re.jrc.ec.europa.eu/api/v5_3/PVcalc?lat=30.0444&amp;lon=31.2357&amp;peakpower=1&amp;loss=14&amp;angle=25&amp;aspect=-165&amp;outputformat=json&amp;raddatabase=PVGIS-SARAH3&amp;pvtechchoice=crystSi&amp;mountingplace=free&amp;usehorizon=1</v>
      </c>
    </row>
    <row r="1589">
      <c r="A1589" t="n">
        <v>25</v>
      </c>
      <c r="B1589" t="n">
        <v>15</v>
      </c>
      <c r="C1589" t="n">
        <v>8</v>
      </c>
      <c r="D1589" s="218" t="n">
        <v>145.58</v>
      </c>
      <c r="E1589" s="218" t="n">
        <v>4.7</v>
      </c>
      <c r="F1589" t="str">
        <v>https://re.jrc.ec.europa.eu/api/v5_3/PVcalc?lat=30.0444&amp;lon=31.2357&amp;peakpower=1&amp;loss=14&amp;angle=25&amp;aspect=-165&amp;outputformat=json&amp;raddatabase=PVGIS-SARAH3&amp;pvtechchoice=crystSi&amp;mountingplace=free&amp;usehorizon=1</v>
      </c>
    </row>
    <row r="1590">
      <c r="A1590" t="n">
        <v>25</v>
      </c>
      <c r="B1590" t="n">
        <v>15</v>
      </c>
      <c r="C1590" t="n">
        <v>9</v>
      </c>
      <c r="D1590" s="218" t="n">
        <v>108.28</v>
      </c>
      <c r="E1590" s="218" t="n">
        <v>3.61</v>
      </c>
      <c r="F1590" t="str">
        <v>https://re.jrc.ec.europa.eu/api/v5_3/PVcalc?lat=30.0444&amp;lon=31.2357&amp;peakpower=1&amp;loss=14&amp;angle=25&amp;aspect=-165&amp;outputformat=json&amp;raddatabase=PVGIS-SARAH3&amp;pvtechchoice=crystSi&amp;mountingplace=free&amp;usehorizon=1</v>
      </c>
    </row>
    <row r="1591">
      <c r="A1591" t="n">
        <v>25</v>
      </c>
      <c r="B1591" t="n">
        <v>15</v>
      </c>
      <c r="C1591" t="n">
        <v>10</v>
      </c>
      <c r="D1591" s="218" t="n">
        <v>74.07</v>
      </c>
      <c r="E1591" s="218" t="n">
        <v>2.39</v>
      </c>
      <c r="F1591" t="str">
        <v>https://re.jrc.ec.europa.eu/api/v5_3/PVcalc?lat=30.0444&amp;lon=31.2357&amp;peakpower=1&amp;loss=14&amp;angle=25&amp;aspect=-165&amp;outputformat=json&amp;raddatabase=PVGIS-SARAH3&amp;pvtechchoice=crystSi&amp;mountingplace=free&amp;usehorizon=1</v>
      </c>
    </row>
    <row r="1592">
      <c r="A1592" t="n">
        <v>25</v>
      </c>
      <c r="B1592" t="n">
        <v>15</v>
      </c>
      <c r="C1592" t="n">
        <v>11</v>
      </c>
      <c r="D1592" s="218" t="n">
        <v>43.34</v>
      </c>
      <c r="E1592" s="218" t="n">
        <v>1.44</v>
      </c>
      <c r="F1592" t="str">
        <v>https://re.jrc.ec.europa.eu/api/v5_3/PVcalc?lat=30.0444&amp;lon=31.2357&amp;peakpower=1&amp;loss=14&amp;angle=25&amp;aspect=-165&amp;outputformat=json&amp;raddatabase=PVGIS-SARAH3&amp;pvtechchoice=crystSi&amp;mountingplace=free&amp;usehorizon=1</v>
      </c>
    </row>
    <row r="1593">
      <c r="A1593" t="n">
        <v>25</v>
      </c>
      <c r="B1593" t="n">
        <v>15</v>
      </c>
      <c r="C1593" t="n">
        <v>12</v>
      </c>
      <c r="D1593" s="218" t="n">
        <v>33.01</v>
      </c>
      <c r="E1593" s="218" t="n">
        <v>1.06</v>
      </c>
      <c r="F1593" t="str">
        <v>https://re.jrc.ec.europa.eu/api/v5_3/PVcalc?lat=30.0444&amp;lon=31.2357&amp;peakpower=1&amp;loss=14&amp;angle=25&amp;aspect=-165&amp;outputformat=json&amp;raddatabase=PVGIS-SARAH3&amp;pvtechchoice=crystSi&amp;mountingplace=free&amp;usehorizon=1</v>
      </c>
    </row>
    <row r="1594">
      <c r="A1594" t="n">
        <v>25</v>
      </c>
      <c r="B1594" t="n">
        <v>30</v>
      </c>
      <c r="C1594" t="n">
        <v>1</v>
      </c>
      <c r="D1594" s="218" t="n">
        <v>45.96</v>
      </c>
      <c r="E1594" s="218" t="n">
        <v>1.48</v>
      </c>
      <c r="F1594" t="str">
        <v>https://re.jrc.ec.europa.eu/api/v5_3/PVcalc?lat=30.0444&amp;lon=31.2357&amp;peakpower=1&amp;loss=14&amp;angle=25&amp;aspect=-150&amp;outputformat=json&amp;raddatabase=PVGIS-SARAH3&amp;pvtechchoice=crystSi&amp;mountingplace=free&amp;usehorizon=1</v>
      </c>
    </row>
    <row r="1595">
      <c r="A1595" t="n">
        <v>25</v>
      </c>
      <c r="B1595" t="n">
        <v>30</v>
      </c>
      <c r="C1595" t="n">
        <v>2</v>
      </c>
      <c r="D1595" s="218" t="n">
        <v>63.36</v>
      </c>
      <c r="E1595" s="218" t="n">
        <v>2.26</v>
      </c>
      <c r="F1595" t="str">
        <v>https://re.jrc.ec.europa.eu/api/v5_3/PVcalc?lat=30.0444&amp;lon=31.2357&amp;peakpower=1&amp;loss=14&amp;angle=25&amp;aspect=-150&amp;outputformat=json&amp;raddatabase=PVGIS-SARAH3&amp;pvtechchoice=crystSi&amp;mountingplace=free&amp;usehorizon=1</v>
      </c>
    </row>
    <row r="1596">
      <c r="A1596" t="n">
        <v>25</v>
      </c>
      <c r="B1596" t="n">
        <v>30</v>
      </c>
      <c r="C1596" t="n">
        <v>3</v>
      </c>
      <c r="D1596" s="218" t="n">
        <v>103.11</v>
      </c>
      <c r="E1596" s="218" t="n">
        <v>3.33</v>
      </c>
      <c r="F1596" t="str">
        <v>https://re.jrc.ec.europa.eu/api/v5_3/PVcalc?lat=30.0444&amp;lon=31.2357&amp;peakpower=1&amp;loss=14&amp;angle=25&amp;aspect=-150&amp;outputformat=json&amp;raddatabase=PVGIS-SARAH3&amp;pvtechchoice=crystSi&amp;mountingplace=free&amp;usehorizon=1</v>
      </c>
    </row>
    <row r="1597">
      <c r="A1597" t="n">
        <v>25</v>
      </c>
      <c r="B1597" t="n">
        <v>30</v>
      </c>
      <c r="C1597" t="n">
        <v>4</v>
      </c>
      <c r="D1597" s="218" t="n">
        <v>131.64</v>
      </c>
      <c r="E1597" s="218" t="n">
        <v>4.39</v>
      </c>
      <c r="F1597" t="str">
        <v>https://re.jrc.ec.europa.eu/api/v5_3/PVcalc?lat=30.0444&amp;lon=31.2357&amp;peakpower=1&amp;loss=14&amp;angle=25&amp;aspect=-150&amp;outputformat=json&amp;raddatabase=PVGIS-SARAH3&amp;pvtechchoice=crystSi&amp;mountingplace=free&amp;usehorizon=1</v>
      </c>
    </row>
    <row r="1598">
      <c r="A1598" t="n">
        <v>25</v>
      </c>
      <c r="B1598" t="n">
        <v>30</v>
      </c>
      <c r="C1598" t="n">
        <v>5</v>
      </c>
      <c r="D1598" s="218" t="n">
        <v>159.48</v>
      </c>
      <c r="E1598" s="218" t="n">
        <v>5.14</v>
      </c>
      <c r="F1598" t="str">
        <v>https://re.jrc.ec.europa.eu/api/v5_3/PVcalc?lat=30.0444&amp;lon=31.2357&amp;peakpower=1&amp;loss=14&amp;angle=25&amp;aspect=-150&amp;outputformat=json&amp;raddatabase=PVGIS-SARAH3&amp;pvtechchoice=crystSi&amp;mountingplace=free&amp;usehorizon=1</v>
      </c>
    </row>
    <row r="1599">
      <c r="A1599" t="n">
        <v>25</v>
      </c>
      <c r="B1599" t="n">
        <v>30</v>
      </c>
      <c r="C1599" t="n">
        <v>6</v>
      </c>
      <c r="D1599" s="218" t="n">
        <v>168.4</v>
      </c>
      <c r="E1599" s="218" t="n">
        <v>5.61</v>
      </c>
      <c r="F1599" t="str">
        <v>https://re.jrc.ec.europa.eu/api/v5_3/PVcalc?lat=30.0444&amp;lon=31.2357&amp;peakpower=1&amp;loss=14&amp;angle=25&amp;aspect=-150&amp;outputformat=json&amp;raddatabase=PVGIS-SARAH3&amp;pvtechchoice=crystSi&amp;mountingplace=free&amp;usehorizon=1</v>
      </c>
    </row>
    <row r="1600">
      <c r="A1600" t="n">
        <v>25</v>
      </c>
      <c r="B1600" t="n">
        <v>30</v>
      </c>
      <c r="C1600" t="n">
        <v>7</v>
      </c>
      <c r="D1600" s="218" t="n">
        <v>166.96</v>
      </c>
      <c r="E1600" s="218" t="n">
        <v>5.39</v>
      </c>
      <c r="F1600" t="str">
        <v>https://re.jrc.ec.europa.eu/api/v5_3/PVcalc?lat=30.0444&amp;lon=31.2357&amp;peakpower=1&amp;loss=14&amp;angle=25&amp;aspect=-150&amp;outputformat=json&amp;raddatabase=PVGIS-SARAH3&amp;pvtechchoice=crystSi&amp;mountingplace=free&amp;usehorizon=1</v>
      </c>
    </row>
    <row r="1601">
      <c r="A1601" t="n">
        <v>25</v>
      </c>
      <c r="B1601" t="n">
        <v>30</v>
      </c>
      <c r="C1601" t="n">
        <v>8</v>
      </c>
      <c r="D1601" s="218" t="n">
        <v>145.5</v>
      </c>
      <c r="E1601" s="218" t="n">
        <v>4.69</v>
      </c>
      <c r="F1601" t="str">
        <v>https://re.jrc.ec.europa.eu/api/v5_3/PVcalc?lat=30.0444&amp;lon=31.2357&amp;peakpower=1&amp;loss=14&amp;angle=25&amp;aspect=-150&amp;outputformat=json&amp;raddatabase=PVGIS-SARAH3&amp;pvtechchoice=crystSi&amp;mountingplace=free&amp;usehorizon=1</v>
      </c>
    </row>
    <row r="1602">
      <c r="A1602" t="n">
        <v>25</v>
      </c>
      <c r="B1602" t="n">
        <v>30</v>
      </c>
      <c r="C1602" t="n">
        <v>9</v>
      </c>
      <c r="D1602" s="218" t="n">
        <v>110.8</v>
      </c>
      <c r="E1602" s="218" t="n">
        <v>3.69</v>
      </c>
      <c r="F1602" t="str">
        <v>https://re.jrc.ec.europa.eu/api/v5_3/PVcalc?lat=30.0444&amp;lon=31.2357&amp;peakpower=1&amp;loss=14&amp;angle=25&amp;aspect=-150&amp;outputformat=json&amp;raddatabase=PVGIS-SARAH3&amp;pvtechchoice=crystSi&amp;mountingplace=free&amp;usehorizon=1</v>
      </c>
    </row>
    <row r="1603">
      <c r="A1603" t="n">
        <v>25</v>
      </c>
      <c r="B1603" t="n">
        <v>30</v>
      </c>
      <c r="C1603" t="n">
        <v>10</v>
      </c>
      <c r="D1603" s="218" t="n">
        <v>79.74</v>
      </c>
      <c r="E1603" s="218" t="n">
        <v>2.57</v>
      </c>
      <c r="F1603" t="str">
        <v>https://re.jrc.ec.europa.eu/api/v5_3/PVcalc?lat=30.0444&amp;lon=31.2357&amp;peakpower=1&amp;loss=14&amp;angle=25&amp;aspect=-150&amp;outputformat=json&amp;raddatabase=PVGIS-SARAH3&amp;pvtechchoice=crystSi&amp;mountingplace=free&amp;usehorizon=1</v>
      </c>
    </row>
    <row r="1604">
      <c r="A1604" t="n">
        <v>25</v>
      </c>
      <c r="B1604" t="n">
        <v>30</v>
      </c>
      <c r="C1604" t="n">
        <v>11</v>
      </c>
      <c r="D1604" s="218" t="n">
        <v>50.37</v>
      </c>
      <c r="E1604" s="218" t="n">
        <v>1.68</v>
      </c>
      <c r="F1604" t="str">
        <v>https://re.jrc.ec.europa.eu/api/v5_3/PVcalc?lat=30.0444&amp;lon=31.2357&amp;peakpower=1&amp;loss=14&amp;angle=25&amp;aspect=-150&amp;outputformat=json&amp;raddatabase=PVGIS-SARAH3&amp;pvtechchoice=crystSi&amp;mountingplace=free&amp;usehorizon=1</v>
      </c>
    </row>
    <row r="1605">
      <c r="A1605" t="n">
        <v>25</v>
      </c>
      <c r="B1605" t="n">
        <v>30</v>
      </c>
      <c r="C1605" t="n">
        <v>12</v>
      </c>
      <c r="D1605" s="218" t="n">
        <v>39.46</v>
      </c>
      <c r="E1605" s="218" t="n">
        <v>1.27</v>
      </c>
      <c r="F1605" t="str">
        <v>https://re.jrc.ec.europa.eu/api/v5_3/PVcalc?lat=30.0444&amp;lon=31.2357&amp;peakpower=1&amp;loss=14&amp;angle=25&amp;aspect=-150&amp;outputformat=json&amp;raddatabase=PVGIS-SARAH3&amp;pvtechchoice=crystSi&amp;mountingplace=free&amp;usehorizon=1</v>
      </c>
    </row>
    <row r="1606">
      <c r="A1606" t="n">
        <v>25</v>
      </c>
      <c r="B1606" t="n">
        <v>45</v>
      </c>
      <c r="C1606" t="n">
        <v>1</v>
      </c>
      <c r="D1606" s="218" t="n">
        <v>55.03</v>
      </c>
      <c r="E1606" s="218" t="n">
        <v>1.78</v>
      </c>
      <c r="F1606" t="str">
        <v>https://re.jrc.ec.europa.eu/api/v5_3/PVcalc?lat=30.0444&amp;lon=31.2357&amp;peakpower=1&amp;loss=14&amp;angle=25&amp;aspect=-135&amp;outputformat=json&amp;raddatabase=PVGIS-SARAH3&amp;pvtechchoice=crystSi&amp;mountingplace=free&amp;usehorizon=1</v>
      </c>
    </row>
    <row r="1607">
      <c r="A1607" t="n">
        <v>25</v>
      </c>
      <c r="B1607" t="n">
        <v>45</v>
      </c>
      <c r="C1607" t="n">
        <v>2</v>
      </c>
      <c r="D1607" s="218" t="n">
        <v>70.86</v>
      </c>
      <c r="E1607" s="218" t="n">
        <v>2.53</v>
      </c>
      <c r="F1607" t="str">
        <v>https://re.jrc.ec.europa.eu/api/v5_3/PVcalc?lat=30.0444&amp;lon=31.2357&amp;peakpower=1&amp;loss=14&amp;angle=25&amp;aspect=-135&amp;outputformat=json&amp;raddatabase=PVGIS-SARAH3&amp;pvtechchoice=crystSi&amp;mountingplace=free&amp;usehorizon=1</v>
      </c>
    </row>
    <row r="1608">
      <c r="A1608" t="n">
        <v>25</v>
      </c>
      <c r="B1608" t="n">
        <v>45</v>
      </c>
      <c r="C1608" t="n">
        <v>3</v>
      </c>
      <c r="D1608" s="218" t="n">
        <v>109.22</v>
      </c>
      <c r="E1608" s="218" t="n">
        <v>3.52</v>
      </c>
      <c r="F1608" t="str">
        <v>https://re.jrc.ec.europa.eu/api/v5_3/PVcalc?lat=30.0444&amp;lon=31.2357&amp;peakpower=1&amp;loss=14&amp;angle=25&amp;aspect=-135&amp;outputformat=json&amp;raddatabase=PVGIS-SARAH3&amp;pvtechchoice=crystSi&amp;mountingplace=free&amp;usehorizon=1</v>
      </c>
    </row>
    <row r="1609">
      <c r="A1609" t="n">
        <v>25</v>
      </c>
      <c r="B1609" t="n">
        <v>45</v>
      </c>
      <c r="C1609" t="n">
        <v>4</v>
      </c>
      <c r="D1609" s="218" t="n">
        <v>134.44</v>
      </c>
      <c r="E1609" s="218" t="n">
        <v>4.48</v>
      </c>
      <c r="F1609" t="str">
        <v>https://re.jrc.ec.europa.eu/api/v5_3/PVcalc?lat=30.0444&amp;lon=31.2357&amp;peakpower=1&amp;loss=14&amp;angle=25&amp;aspect=-135&amp;outputformat=json&amp;raddatabase=PVGIS-SARAH3&amp;pvtechchoice=crystSi&amp;mountingplace=free&amp;usehorizon=1</v>
      </c>
    </row>
    <row r="1610">
      <c r="A1610" t="n">
        <v>25</v>
      </c>
      <c r="B1610" t="n">
        <v>45</v>
      </c>
      <c r="C1610" t="n">
        <v>5</v>
      </c>
      <c r="D1610" s="218" t="n">
        <v>159.56</v>
      </c>
      <c r="E1610" s="218" t="n">
        <v>5.15</v>
      </c>
      <c r="F1610" t="str">
        <v>https://re.jrc.ec.europa.eu/api/v5_3/PVcalc?lat=30.0444&amp;lon=31.2357&amp;peakpower=1&amp;loss=14&amp;angle=25&amp;aspect=-135&amp;outputformat=json&amp;raddatabase=PVGIS-SARAH3&amp;pvtechchoice=crystSi&amp;mountingplace=free&amp;usehorizon=1</v>
      </c>
    </row>
    <row r="1611">
      <c r="A1611" t="n">
        <v>25</v>
      </c>
      <c r="B1611" t="n">
        <v>45</v>
      </c>
      <c r="C1611" t="n">
        <v>6</v>
      </c>
      <c r="D1611" s="218" t="n">
        <v>167.01</v>
      </c>
      <c r="E1611" s="218" t="n">
        <v>5.57</v>
      </c>
      <c r="F1611" t="str">
        <v>https://re.jrc.ec.europa.eu/api/v5_3/PVcalc?lat=30.0444&amp;lon=31.2357&amp;peakpower=1&amp;loss=14&amp;angle=25&amp;aspect=-135&amp;outputformat=json&amp;raddatabase=PVGIS-SARAH3&amp;pvtechchoice=crystSi&amp;mountingplace=free&amp;usehorizon=1</v>
      </c>
    </row>
    <row r="1612">
      <c r="A1612" t="n">
        <v>25</v>
      </c>
      <c r="B1612" t="n">
        <v>45</v>
      </c>
      <c r="C1612" t="n">
        <v>7</v>
      </c>
      <c r="D1612" s="218" t="n">
        <v>165.92</v>
      </c>
      <c r="E1612" s="218" t="n">
        <v>5.35</v>
      </c>
      <c r="F1612" t="str">
        <v>https://re.jrc.ec.europa.eu/api/v5_3/PVcalc?lat=30.0444&amp;lon=31.2357&amp;peakpower=1&amp;loss=14&amp;angle=25&amp;aspect=-135&amp;outputformat=json&amp;raddatabase=PVGIS-SARAH3&amp;pvtechchoice=crystSi&amp;mountingplace=free&amp;usehorizon=1</v>
      </c>
    </row>
    <row r="1613">
      <c r="A1613" t="n">
        <v>25</v>
      </c>
      <c r="B1613" t="n">
        <v>45</v>
      </c>
      <c r="C1613" t="n">
        <v>8</v>
      </c>
      <c r="D1613" s="218" t="n">
        <v>147.02</v>
      </c>
      <c r="E1613" s="218" t="n">
        <v>4.74</v>
      </c>
      <c r="F1613" t="str">
        <v>https://re.jrc.ec.europa.eu/api/v5_3/PVcalc?lat=30.0444&amp;lon=31.2357&amp;peakpower=1&amp;loss=14&amp;angle=25&amp;aspect=-135&amp;outputformat=json&amp;raddatabase=PVGIS-SARAH3&amp;pvtechchoice=crystSi&amp;mountingplace=free&amp;usehorizon=1</v>
      </c>
    </row>
    <row r="1614">
      <c r="A1614" t="n">
        <v>25</v>
      </c>
      <c r="B1614" t="n">
        <v>45</v>
      </c>
      <c r="C1614" t="n">
        <v>9</v>
      </c>
      <c r="D1614" s="218" t="n">
        <v>115.49</v>
      </c>
      <c r="E1614" s="218" t="n">
        <v>3.85</v>
      </c>
      <c r="F1614" t="str">
        <v>https://re.jrc.ec.europa.eu/api/v5_3/PVcalc?lat=30.0444&amp;lon=31.2357&amp;peakpower=1&amp;loss=14&amp;angle=25&amp;aspect=-135&amp;outputformat=json&amp;raddatabase=PVGIS-SARAH3&amp;pvtechchoice=crystSi&amp;mountingplace=free&amp;usehorizon=1</v>
      </c>
    </row>
    <row r="1615">
      <c r="A1615" t="n">
        <v>25</v>
      </c>
      <c r="B1615" t="n">
        <v>45</v>
      </c>
      <c r="C1615" t="n">
        <v>10</v>
      </c>
      <c r="D1615" s="218" t="n">
        <v>87.64</v>
      </c>
      <c r="E1615" s="218" t="n">
        <v>2.83</v>
      </c>
      <c r="F1615" t="str">
        <v>https://re.jrc.ec.europa.eu/api/v5_3/PVcalc?lat=30.0444&amp;lon=31.2357&amp;peakpower=1&amp;loss=14&amp;angle=25&amp;aspect=-135&amp;outputformat=json&amp;raddatabase=PVGIS-SARAH3&amp;pvtechchoice=crystSi&amp;mountingplace=free&amp;usehorizon=1</v>
      </c>
    </row>
    <row r="1616">
      <c r="A1616" t="n">
        <v>25</v>
      </c>
      <c r="B1616" t="n">
        <v>45</v>
      </c>
      <c r="C1616" t="n">
        <v>11</v>
      </c>
      <c r="D1616" s="218" t="n">
        <v>59.51</v>
      </c>
      <c r="E1616" s="218" t="n">
        <v>1.98</v>
      </c>
      <c r="F1616" t="str">
        <v>https://re.jrc.ec.europa.eu/api/v5_3/PVcalc?lat=30.0444&amp;lon=31.2357&amp;peakpower=1&amp;loss=14&amp;angle=25&amp;aspect=-135&amp;outputformat=json&amp;raddatabase=PVGIS-SARAH3&amp;pvtechchoice=crystSi&amp;mountingplace=free&amp;usehorizon=1</v>
      </c>
    </row>
    <row r="1617">
      <c r="A1617" t="n">
        <v>25</v>
      </c>
      <c r="B1617" t="n">
        <v>45</v>
      </c>
      <c r="C1617" t="n">
        <v>12</v>
      </c>
      <c r="D1617" s="218" t="n">
        <v>48.75</v>
      </c>
      <c r="E1617" s="218" t="n">
        <v>1.57</v>
      </c>
      <c r="F1617" t="str">
        <v>https://re.jrc.ec.europa.eu/api/v5_3/PVcalc?lat=30.0444&amp;lon=31.2357&amp;peakpower=1&amp;loss=14&amp;angle=25&amp;aspect=-135&amp;outputformat=json&amp;raddatabase=PVGIS-SARAH3&amp;pvtechchoice=crystSi&amp;mountingplace=free&amp;usehorizon=1</v>
      </c>
    </row>
    <row r="1618">
      <c r="A1618" t="n">
        <v>25</v>
      </c>
      <c r="B1618" t="n">
        <v>60</v>
      </c>
      <c r="C1618" t="n">
        <v>1</v>
      </c>
      <c r="D1618" s="218" t="n">
        <v>65.22</v>
      </c>
      <c r="E1618" s="218" t="n">
        <v>2.1</v>
      </c>
      <c r="F1618" t="str">
        <v>https://re.jrc.ec.europa.eu/api/v5_3/PVcalc?lat=30.0444&amp;lon=31.2357&amp;peakpower=1&amp;loss=14&amp;angle=25&amp;aspect=-120&amp;outputformat=json&amp;raddatabase=PVGIS-SARAH3&amp;pvtechchoice=crystSi&amp;mountingplace=free&amp;usehorizon=1</v>
      </c>
    </row>
    <row r="1619">
      <c r="A1619" t="n">
        <v>25</v>
      </c>
      <c r="B1619" t="n">
        <v>60</v>
      </c>
      <c r="C1619" t="n">
        <v>2</v>
      </c>
      <c r="D1619" s="218" t="n">
        <v>79.25</v>
      </c>
      <c r="E1619" s="218" t="n">
        <v>2.83</v>
      </c>
      <c r="F1619" t="str">
        <v>https://re.jrc.ec.europa.eu/api/v5_3/PVcalc?lat=30.0444&amp;lon=31.2357&amp;peakpower=1&amp;loss=14&amp;angle=25&amp;aspect=-120&amp;outputformat=json&amp;raddatabase=PVGIS-SARAH3&amp;pvtechchoice=crystSi&amp;mountingplace=free&amp;usehorizon=1</v>
      </c>
    </row>
    <row r="1620">
      <c r="A1620" t="n">
        <v>25</v>
      </c>
      <c r="B1620" t="n">
        <v>60</v>
      </c>
      <c r="C1620" t="n">
        <v>3</v>
      </c>
      <c r="D1620" s="218" t="n">
        <v>116.54</v>
      </c>
      <c r="E1620" s="218" t="n">
        <v>3.76</v>
      </c>
      <c r="F1620" t="str">
        <v>https://re.jrc.ec.europa.eu/api/v5_3/PVcalc?lat=30.0444&amp;lon=31.2357&amp;peakpower=1&amp;loss=14&amp;angle=25&amp;aspect=-120&amp;outputformat=json&amp;raddatabase=PVGIS-SARAH3&amp;pvtechchoice=crystSi&amp;mountingplace=free&amp;usehorizon=1</v>
      </c>
    </row>
    <row r="1621">
      <c r="A1621" t="n">
        <v>25</v>
      </c>
      <c r="B1621" t="n">
        <v>60</v>
      </c>
      <c r="C1621" t="n">
        <v>4</v>
      </c>
      <c r="D1621" s="218" t="n">
        <v>138.06</v>
      </c>
      <c r="E1621" s="218" t="n">
        <v>4.6</v>
      </c>
      <c r="F1621" t="str">
        <v>https://re.jrc.ec.europa.eu/api/v5_3/PVcalc?lat=30.0444&amp;lon=31.2357&amp;peakpower=1&amp;loss=14&amp;angle=25&amp;aspect=-120&amp;outputformat=json&amp;raddatabase=PVGIS-SARAH3&amp;pvtechchoice=crystSi&amp;mountingplace=free&amp;usehorizon=1</v>
      </c>
    </row>
    <row r="1622">
      <c r="A1622" t="n">
        <v>25</v>
      </c>
      <c r="B1622" t="n">
        <v>60</v>
      </c>
      <c r="C1622" t="n">
        <v>5</v>
      </c>
      <c r="D1622" s="218" t="n">
        <v>160.78</v>
      </c>
      <c r="E1622" s="218" t="n">
        <v>5.19</v>
      </c>
      <c r="F1622" t="str">
        <v>https://re.jrc.ec.europa.eu/api/v5_3/PVcalc?lat=30.0444&amp;lon=31.2357&amp;peakpower=1&amp;loss=14&amp;angle=25&amp;aspect=-120&amp;outputformat=json&amp;raddatabase=PVGIS-SARAH3&amp;pvtechchoice=crystSi&amp;mountingplace=free&amp;usehorizon=1</v>
      </c>
    </row>
    <row r="1623">
      <c r="A1623" t="n">
        <v>25</v>
      </c>
      <c r="B1623" t="n">
        <v>60</v>
      </c>
      <c r="C1623" t="n">
        <v>6</v>
      </c>
      <c r="D1623" s="218" t="n">
        <v>166.11</v>
      </c>
      <c r="E1623" s="218" t="n">
        <v>5.54</v>
      </c>
      <c r="F1623" t="str">
        <v>https://re.jrc.ec.europa.eu/api/v5_3/PVcalc?lat=30.0444&amp;lon=31.2357&amp;peakpower=1&amp;loss=14&amp;angle=25&amp;aspect=-120&amp;outputformat=json&amp;raddatabase=PVGIS-SARAH3&amp;pvtechchoice=crystSi&amp;mountingplace=free&amp;usehorizon=1</v>
      </c>
    </row>
    <row r="1624">
      <c r="A1624" t="n">
        <v>25</v>
      </c>
      <c r="B1624" t="n">
        <v>60</v>
      </c>
      <c r="C1624" t="n">
        <v>7</v>
      </c>
      <c r="D1624" s="218" t="n">
        <v>165.55</v>
      </c>
      <c r="E1624" s="218" t="n">
        <v>5.34</v>
      </c>
      <c r="F1624" t="str">
        <v>https://re.jrc.ec.europa.eu/api/v5_3/PVcalc?lat=30.0444&amp;lon=31.2357&amp;peakpower=1&amp;loss=14&amp;angle=25&amp;aspect=-120&amp;outputformat=json&amp;raddatabase=PVGIS-SARAH3&amp;pvtechchoice=crystSi&amp;mountingplace=free&amp;usehorizon=1</v>
      </c>
    </row>
    <row r="1625">
      <c r="A1625" t="n">
        <v>25</v>
      </c>
      <c r="B1625" t="n">
        <v>60</v>
      </c>
      <c r="C1625" t="n">
        <v>8</v>
      </c>
      <c r="D1625" s="218" t="n">
        <v>149.94</v>
      </c>
      <c r="E1625" s="218" t="n">
        <v>4.84</v>
      </c>
      <c r="F1625" t="str">
        <v>https://re.jrc.ec.europa.eu/api/v5_3/PVcalc?lat=30.0444&amp;lon=31.2357&amp;peakpower=1&amp;loss=14&amp;angle=25&amp;aspect=-120&amp;outputformat=json&amp;raddatabase=PVGIS-SARAH3&amp;pvtechchoice=crystSi&amp;mountingplace=free&amp;usehorizon=1</v>
      </c>
    </row>
    <row r="1626">
      <c r="A1626" t="n">
        <v>25</v>
      </c>
      <c r="B1626" t="n">
        <v>60</v>
      </c>
      <c r="C1626" t="n">
        <v>9</v>
      </c>
      <c r="D1626" s="218" t="n">
        <v>121.43</v>
      </c>
      <c r="E1626" s="218" t="n">
        <v>4.05</v>
      </c>
      <c r="F1626" t="str">
        <v>https://re.jrc.ec.europa.eu/api/v5_3/PVcalc?lat=30.0444&amp;lon=31.2357&amp;peakpower=1&amp;loss=14&amp;angle=25&amp;aspect=-120&amp;outputformat=json&amp;raddatabase=PVGIS-SARAH3&amp;pvtechchoice=crystSi&amp;mountingplace=free&amp;usehorizon=1</v>
      </c>
    </row>
    <row r="1627">
      <c r="A1627" t="n">
        <v>25</v>
      </c>
      <c r="B1627" t="n">
        <v>60</v>
      </c>
      <c r="C1627" t="n">
        <v>10</v>
      </c>
      <c r="D1627" s="218" t="n">
        <v>96.63</v>
      </c>
      <c r="E1627" s="218" t="n">
        <v>3.12</v>
      </c>
      <c r="F1627" t="str">
        <v>https://re.jrc.ec.europa.eu/api/v5_3/PVcalc?lat=30.0444&amp;lon=31.2357&amp;peakpower=1&amp;loss=14&amp;angle=25&amp;aspect=-120&amp;outputformat=json&amp;raddatabase=PVGIS-SARAH3&amp;pvtechchoice=crystSi&amp;mountingplace=free&amp;usehorizon=1</v>
      </c>
    </row>
    <row r="1628">
      <c r="A1628" t="n">
        <v>25</v>
      </c>
      <c r="B1628" t="n">
        <v>60</v>
      </c>
      <c r="C1628" t="n">
        <v>11</v>
      </c>
      <c r="D1628" s="218" t="n">
        <v>69.94</v>
      </c>
      <c r="E1628" s="218" t="n">
        <v>2.33</v>
      </c>
      <c r="F1628" t="str">
        <v>https://re.jrc.ec.europa.eu/api/v5_3/PVcalc?lat=30.0444&amp;lon=31.2357&amp;peakpower=1&amp;loss=14&amp;angle=25&amp;aspect=-120&amp;outputformat=json&amp;raddatabase=PVGIS-SARAH3&amp;pvtechchoice=crystSi&amp;mountingplace=free&amp;usehorizon=1</v>
      </c>
    </row>
    <row r="1629">
      <c r="A1629" t="n">
        <v>25</v>
      </c>
      <c r="B1629" t="n">
        <v>60</v>
      </c>
      <c r="C1629" t="n">
        <v>12</v>
      </c>
      <c r="D1629" s="218" t="n">
        <v>59.59</v>
      </c>
      <c r="E1629" s="218" t="n">
        <v>1.92</v>
      </c>
      <c r="F1629" t="str">
        <v>https://re.jrc.ec.europa.eu/api/v5_3/PVcalc?lat=30.0444&amp;lon=31.2357&amp;peakpower=1&amp;loss=14&amp;angle=25&amp;aspect=-120&amp;outputformat=json&amp;raddatabase=PVGIS-SARAH3&amp;pvtechchoice=crystSi&amp;mountingplace=free&amp;usehorizon=1</v>
      </c>
    </row>
    <row r="1630">
      <c r="A1630" t="n">
        <v>25</v>
      </c>
      <c r="B1630" t="n">
        <v>75</v>
      </c>
      <c r="C1630" t="n">
        <v>1</v>
      </c>
      <c r="D1630" s="218" t="n">
        <v>75.71</v>
      </c>
      <c r="E1630" s="218" t="n">
        <v>2.44</v>
      </c>
      <c r="F1630" t="str">
        <v>https://re.jrc.ec.europa.eu/api/v5_3/PVcalc?lat=30.0444&amp;lon=31.2357&amp;peakpower=1&amp;loss=14&amp;angle=25&amp;aspect=-105&amp;outputformat=json&amp;raddatabase=PVGIS-SARAH3&amp;pvtechchoice=crystSi&amp;mountingplace=free&amp;usehorizon=1</v>
      </c>
    </row>
    <row r="1631">
      <c r="A1631" t="n">
        <v>25</v>
      </c>
      <c r="B1631" t="n">
        <v>75</v>
      </c>
      <c r="C1631" t="n">
        <v>2</v>
      </c>
      <c r="D1631" s="218" t="n">
        <v>87.99</v>
      </c>
      <c r="E1631" s="218" t="n">
        <v>3.14</v>
      </c>
      <c r="F1631" t="str">
        <v>https://re.jrc.ec.europa.eu/api/v5_3/PVcalc?lat=30.0444&amp;lon=31.2357&amp;peakpower=1&amp;loss=14&amp;angle=25&amp;aspect=-105&amp;outputformat=json&amp;raddatabase=PVGIS-SARAH3&amp;pvtechchoice=crystSi&amp;mountingplace=free&amp;usehorizon=1</v>
      </c>
    </row>
    <row r="1632">
      <c r="A1632" t="n">
        <v>25</v>
      </c>
      <c r="B1632" t="n">
        <v>75</v>
      </c>
      <c r="C1632" t="n">
        <v>3</v>
      </c>
      <c r="D1632" s="218" t="n">
        <v>124.25</v>
      </c>
      <c r="E1632" s="218" t="n">
        <v>4.01</v>
      </c>
      <c r="F1632" t="str">
        <v>https://re.jrc.ec.europa.eu/api/v5_3/PVcalc?lat=30.0444&amp;lon=31.2357&amp;peakpower=1&amp;loss=14&amp;angle=25&amp;aspect=-105&amp;outputformat=json&amp;raddatabase=PVGIS-SARAH3&amp;pvtechchoice=crystSi&amp;mountingplace=free&amp;usehorizon=1</v>
      </c>
    </row>
    <row r="1633">
      <c r="A1633" t="n">
        <v>25</v>
      </c>
      <c r="B1633" t="n">
        <v>75</v>
      </c>
      <c r="C1633" t="n">
        <v>4</v>
      </c>
      <c r="D1633" s="218" t="n">
        <v>142.12</v>
      </c>
      <c r="E1633" s="218" t="n">
        <v>4.74</v>
      </c>
      <c r="F1633" t="str">
        <v>https://re.jrc.ec.europa.eu/api/v5_3/PVcalc?lat=30.0444&amp;lon=31.2357&amp;peakpower=1&amp;loss=14&amp;angle=25&amp;aspect=-105&amp;outputformat=json&amp;raddatabase=PVGIS-SARAH3&amp;pvtechchoice=crystSi&amp;mountingplace=free&amp;usehorizon=1</v>
      </c>
    </row>
    <row r="1634">
      <c r="A1634" t="n">
        <v>25</v>
      </c>
      <c r="B1634" t="n">
        <v>75</v>
      </c>
      <c r="C1634" t="n">
        <v>5</v>
      </c>
      <c r="D1634" s="218" t="n">
        <v>162.33</v>
      </c>
      <c r="E1634" s="218" t="n">
        <v>5.24</v>
      </c>
      <c r="F1634" t="str">
        <v>https://re.jrc.ec.europa.eu/api/v5_3/PVcalc?lat=30.0444&amp;lon=31.2357&amp;peakpower=1&amp;loss=14&amp;angle=25&amp;aspect=-105&amp;outputformat=json&amp;raddatabase=PVGIS-SARAH3&amp;pvtechchoice=crystSi&amp;mountingplace=free&amp;usehorizon=1</v>
      </c>
    </row>
    <row r="1635">
      <c r="A1635" t="n">
        <v>25</v>
      </c>
      <c r="B1635" t="n">
        <v>75</v>
      </c>
      <c r="C1635" t="n">
        <v>6</v>
      </c>
      <c r="D1635" s="218" t="n">
        <v>166.56</v>
      </c>
      <c r="E1635" s="218" t="n">
        <v>5.55</v>
      </c>
      <c r="F1635" t="str">
        <v>https://re.jrc.ec.europa.eu/api/v5_3/PVcalc?lat=30.0444&amp;lon=31.2357&amp;peakpower=1&amp;loss=14&amp;angle=25&amp;aspect=-105&amp;outputformat=json&amp;raddatabase=PVGIS-SARAH3&amp;pvtechchoice=crystSi&amp;mountingplace=free&amp;usehorizon=1</v>
      </c>
    </row>
    <row r="1636">
      <c r="A1636" t="n">
        <v>25</v>
      </c>
      <c r="B1636" t="n">
        <v>75</v>
      </c>
      <c r="C1636" t="n">
        <v>7</v>
      </c>
      <c r="D1636" s="218" t="n">
        <v>166.75</v>
      </c>
      <c r="E1636" s="218" t="n">
        <v>5.38</v>
      </c>
      <c r="F1636" t="str">
        <v>https://re.jrc.ec.europa.eu/api/v5_3/PVcalc?lat=30.0444&amp;lon=31.2357&amp;peakpower=1&amp;loss=14&amp;angle=25&amp;aspect=-105&amp;outputformat=json&amp;raddatabase=PVGIS-SARAH3&amp;pvtechchoice=crystSi&amp;mountingplace=free&amp;usehorizon=1</v>
      </c>
    </row>
    <row r="1637">
      <c r="A1637" t="n">
        <v>25</v>
      </c>
      <c r="B1637" t="n">
        <v>75</v>
      </c>
      <c r="C1637" t="n">
        <v>8</v>
      </c>
      <c r="D1637" s="218" t="n">
        <v>153.13</v>
      </c>
      <c r="E1637" s="218" t="n">
        <v>4.94</v>
      </c>
      <c r="F1637" t="str">
        <v>https://re.jrc.ec.europa.eu/api/v5_3/PVcalc?lat=30.0444&amp;lon=31.2357&amp;peakpower=1&amp;loss=14&amp;angle=25&amp;aspect=-105&amp;outputformat=json&amp;raddatabase=PVGIS-SARAH3&amp;pvtechchoice=crystSi&amp;mountingplace=free&amp;usehorizon=1</v>
      </c>
    </row>
    <row r="1638">
      <c r="A1638" t="n">
        <v>25</v>
      </c>
      <c r="B1638" t="n">
        <v>75</v>
      </c>
      <c r="C1638" t="n">
        <v>9</v>
      </c>
      <c r="D1638" s="218" t="n">
        <v>127.93</v>
      </c>
      <c r="E1638" s="218" t="n">
        <v>4.26</v>
      </c>
      <c r="F1638" t="str">
        <v>https://re.jrc.ec.europa.eu/api/v5_3/PVcalc?lat=30.0444&amp;lon=31.2357&amp;peakpower=1&amp;loss=14&amp;angle=25&amp;aspect=-105&amp;outputformat=json&amp;raddatabase=PVGIS-SARAH3&amp;pvtechchoice=crystSi&amp;mountingplace=free&amp;usehorizon=1</v>
      </c>
    </row>
    <row r="1639">
      <c r="A1639" t="n">
        <v>25</v>
      </c>
      <c r="B1639" t="n">
        <v>75</v>
      </c>
      <c r="C1639" t="n">
        <v>10</v>
      </c>
      <c r="D1639" s="218" t="n">
        <v>105.96</v>
      </c>
      <c r="E1639" s="218" t="n">
        <v>3.42</v>
      </c>
      <c r="F1639" t="str">
        <v>https://re.jrc.ec.europa.eu/api/v5_3/PVcalc?lat=30.0444&amp;lon=31.2357&amp;peakpower=1&amp;loss=14&amp;angle=25&amp;aspect=-105&amp;outputformat=json&amp;raddatabase=PVGIS-SARAH3&amp;pvtechchoice=crystSi&amp;mountingplace=free&amp;usehorizon=1</v>
      </c>
    </row>
    <row r="1640">
      <c r="A1640" t="n">
        <v>25</v>
      </c>
      <c r="B1640" t="n">
        <v>75</v>
      </c>
      <c r="C1640" t="n">
        <v>11</v>
      </c>
      <c r="D1640" s="218" t="n">
        <v>80.9</v>
      </c>
      <c r="E1640" s="218" t="n">
        <v>2.7</v>
      </c>
      <c r="F1640" t="str">
        <v>https://re.jrc.ec.europa.eu/api/v5_3/PVcalc?lat=30.0444&amp;lon=31.2357&amp;peakpower=1&amp;loss=14&amp;angle=25&amp;aspect=-105&amp;outputformat=json&amp;raddatabase=PVGIS-SARAH3&amp;pvtechchoice=crystSi&amp;mountingplace=free&amp;usehorizon=1</v>
      </c>
    </row>
    <row r="1641">
      <c r="A1641" t="n">
        <v>25</v>
      </c>
      <c r="B1641" t="n">
        <v>75</v>
      </c>
      <c r="C1641" t="n">
        <v>12</v>
      </c>
      <c r="D1641" s="218" t="n">
        <v>71.12</v>
      </c>
      <c r="E1641" s="218" t="n">
        <v>2.29</v>
      </c>
      <c r="F1641" t="str">
        <v>https://re.jrc.ec.europa.eu/api/v5_3/PVcalc?lat=30.0444&amp;lon=31.2357&amp;peakpower=1&amp;loss=14&amp;angle=25&amp;aspect=-105&amp;outputformat=json&amp;raddatabase=PVGIS-SARAH3&amp;pvtechchoice=crystSi&amp;mountingplace=free&amp;usehorizon=1</v>
      </c>
    </row>
    <row r="1642">
      <c r="A1642" t="n">
        <v>25</v>
      </c>
      <c r="B1642" t="n">
        <v>90</v>
      </c>
      <c r="C1642" t="n">
        <v>1</v>
      </c>
      <c r="D1642" s="218" t="n">
        <v>86.22</v>
      </c>
      <c r="E1642" s="218" t="n">
        <v>2.78</v>
      </c>
      <c r="F1642" t="str">
        <v>https://re.jrc.ec.europa.eu/api/v5_3/PVcalc?lat=30.0444&amp;lon=31.2357&amp;peakpower=1&amp;loss=14&amp;angle=25&amp;aspect=-90&amp;outputformat=json&amp;raddatabase=PVGIS-SARAH3&amp;pvtechchoice=crystSi&amp;mountingplace=free&amp;usehorizon=1</v>
      </c>
    </row>
    <row r="1643">
      <c r="A1643" t="n">
        <v>25</v>
      </c>
      <c r="B1643" t="n">
        <v>90</v>
      </c>
      <c r="C1643" t="n">
        <v>2</v>
      </c>
      <c r="D1643" s="218" t="n">
        <v>96.62</v>
      </c>
      <c r="E1643" s="218" t="n">
        <v>3.45</v>
      </c>
      <c r="F1643" t="str">
        <v>https://re.jrc.ec.europa.eu/api/v5_3/PVcalc?lat=30.0444&amp;lon=31.2357&amp;peakpower=1&amp;loss=14&amp;angle=25&amp;aspect=-90&amp;outputformat=json&amp;raddatabase=PVGIS-SARAH3&amp;pvtechchoice=crystSi&amp;mountingplace=free&amp;usehorizon=1</v>
      </c>
    </row>
    <row r="1644">
      <c r="A1644" t="n">
        <v>25</v>
      </c>
      <c r="B1644" t="n">
        <v>90</v>
      </c>
      <c r="C1644" t="n">
        <v>3</v>
      </c>
      <c r="D1644" s="218" t="n">
        <v>131.63</v>
      </c>
      <c r="E1644" s="218" t="n">
        <v>4.25</v>
      </c>
      <c r="F1644" t="str">
        <v>https://re.jrc.ec.europa.eu/api/v5_3/PVcalc?lat=30.0444&amp;lon=31.2357&amp;peakpower=1&amp;loss=14&amp;angle=25&amp;aspect=-90&amp;outputformat=json&amp;raddatabase=PVGIS-SARAH3&amp;pvtechchoice=crystSi&amp;mountingplace=free&amp;usehorizon=1</v>
      </c>
    </row>
    <row r="1645">
      <c r="A1645" t="n">
        <v>25</v>
      </c>
      <c r="B1645" t="n">
        <v>90</v>
      </c>
      <c r="C1645" t="n">
        <v>4</v>
      </c>
      <c r="D1645" s="218" t="n">
        <v>146.33</v>
      </c>
      <c r="E1645" s="218" t="n">
        <v>4.88</v>
      </c>
      <c r="F1645" t="str">
        <v>https://re.jrc.ec.europa.eu/api/v5_3/PVcalc?lat=30.0444&amp;lon=31.2357&amp;peakpower=1&amp;loss=14&amp;angle=25&amp;aspect=-90&amp;outputformat=json&amp;raddatabase=PVGIS-SARAH3&amp;pvtechchoice=crystSi&amp;mountingplace=free&amp;usehorizon=1</v>
      </c>
    </row>
    <row r="1646">
      <c r="A1646" t="n">
        <v>25</v>
      </c>
      <c r="B1646" t="n">
        <v>90</v>
      </c>
      <c r="C1646" t="n">
        <v>5</v>
      </c>
      <c r="D1646" s="218" t="n">
        <v>163.7</v>
      </c>
      <c r="E1646" s="218" t="n">
        <v>5.28</v>
      </c>
      <c r="F1646" t="str">
        <v>https://re.jrc.ec.europa.eu/api/v5_3/PVcalc?lat=30.0444&amp;lon=31.2357&amp;peakpower=1&amp;loss=14&amp;angle=25&amp;aspect=-90&amp;outputformat=json&amp;raddatabase=PVGIS-SARAH3&amp;pvtechchoice=crystSi&amp;mountingplace=free&amp;usehorizon=1</v>
      </c>
    </row>
    <row r="1647">
      <c r="A1647" t="n">
        <v>25</v>
      </c>
      <c r="B1647" t="n">
        <v>90</v>
      </c>
      <c r="C1647" t="n">
        <v>6</v>
      </c>
      <c r="D1647" s="218" t="n">
        <v>166.48</v>
      </c>
      <c r="E1647" s="218" t="n">
        <v>5.55</v>
      </c>
      <c r="F1647" t="str">
        <v>https://re.jrc.ec.europa.eu/api/v5_3/PVcalc?lat=30.0444&amp;lon=31.2357&amp;peakpower=1&amp;loss=14&amp;angle=25&amp;aspect=-90&amp;outputformat=json&amp;raddatabase=PVGIS-SARAH3&amp;pvtechchoice=crystSi&amp;mountingplace=free&amp;usehorizon=1</v>
      </c>
    </row>
    <row r="1648">
      <c r="A1648" t="n">
        <v>25</v>
      </c>
      <c r="B1648" t="n">
        <v>90</v>
      </c>
      <c r="C1648" t="n">
        <v>7</v>
      </c>
      <c r="D1648" s="218" t="n">
        <v>167.43</v>
      </c>
      <c r="E1648" s="218" t="n">
        <v>5.4</v>
      </c>
      <c r="F1648" t="str">
        <v>https://re.jrc.ec.europa.eu/api/v5_3/PVcalc?lat=30.0444&amp;lon=31.2357&amp;peakpower=1&amp;loss=14&amp;angle=25&amp;aspect=-90&amp;outputformat=json&amp;raddatabase=PVGIS-SARAH3&amp;pvtechchoice=crystSi&amp;mountingplace=free&amp;usehorizon=1</v>
      </c>
    </row>
    <row r="1649">
      <c r="A1649" t="n">
        <v>25</v>
      </c>
      <c r="B1649" t="n">
        <v>90</v>
      </c>
      <c r="C1649" t="n">
        <v>8</v>
      </c>
      <c r="D1649" s="218" t="n">
        <v>156.45</v>
      </c>
      <c r="E1649" s="218" t="n">
        <v>5.05</v>
      </c>
      <c r="F1649" t="str">
        <v>https://re.jrc.ec.europa.eu/api/v5_3/PVcalc?lat=30.0444&amp;lon=31.2357&amp;peakpower=1&amp;loss=14&amp;angle=25&amp;aspect=-90&amp;outputformat=json&amp;raddatabase=PVGIS-SARAH3&amp;pvtechchoice=crystSi&amp;mountingplace=free&amp;usehorizon=1</v>
      </c>
    </row>
    <row r="1650">
      <c r="A1650" t="n">
        <v>25</v>
      </c>
      <c r="B1650" t="n">
        <v>90</v>
      </c>
      <c r="C1650" t="n">
        <v>9</v>
      </c>
      <c r="D1650" s="218" t="n">
        <v>134.45</v>
      </c>
      <c r="E1650" s="218" t="n">
        <v>4.48</v>
      </c>
      <c r="F1650" t="str">
        <v>https://re.jrc.ec.europa.eu/api/v5_3/PVcalc?lat=30.0444&amp;lon=31.2357&amp;peakpower=1&amp;loss=14&amp;angle=25&amp;aspect=-90&amp;outputformat=json&amp;raddatabase=PVGIS-SARAH3&amp;pvtechchoice=crystSi&amp;mountingplace=free&amp;usehorizon=1</v>
      </c>
    </row>
    <row r="1651">
      <c r="A1651" t="n">
        <v>25</v>
      </c>
      <c r="B1651" t="n">
        <v>90</v>
      </c>
      <c r="C1651" t="n">
        <v>10</v>
      </c>
      <c r="D1651" s="218" t="n">
        <v>115.31</v>
      </c>
      <c r="E1651" s="218" t="n">
        <v>3.72</v>
      </c>
      <c r="F1651" t="str">
        <v>https://re.jrc.ec.europa.eu/api/v5_3/PVcalc?lat=30.0444&amp;lon=31.2357&amp;peakpower=1&amp;loss=14&amp;angle=25&amp;aspect=-90&amp;outputformat=json&amp;raddatabase=PVGIS-SARAH3&amp;pvtechchoice=crystSi&amp;mountingplace=free&amp;usehorizon=1</v>
      </c>
    </row>
    <row r="1652">
      <c r="A1652" t="n">
        <v>25</v>
      </c>
      <c r="B1652" t="n">
        <v>90</v>
      </c>
      <c r="C1652" t="n">
        <v>11</v>
      </c>
      <c r="D1652" s="218" t="n">
        <v>91.5</v>
      </c>
      <c r="E1652" s="218" t="n">
        <v>3.05</v>
      </c>
      <c r="F1652" t="str">
        <v>https://re.jrc.ec.europa.eu/api/v5_3/PVcalc?lat=30.0444&amp;lon=31.2357&amp;peakpower=1&amp;loss=14&amp;angle=25&amp;aspect=-90&amp;outputformat=json&amp;raddatabase=PVGIS-SARAH3&amp;pvtechchoice=crystSi&amp;mountingplace=free&amp;usehorizon=1</v>
      </c>
    </row>
    <row r="1653">
      <c r="A1653" t="n">
        <v>25</v>
      </c>
      <c r="B1653" t="n">
        <v>90</v>
      </c>
      <c r="C1653" t="n">
        <v>12</v>
      </c>
      <c r="D1653" s="218" t="n">
        <v>82.43</v>
      </c>
      <c r="E1653" s="218" t="n">
        <v>2.66</v>
      </c>
      <c r="F1653" t="str">
        <v>https://re.jrc.ec.europa.eu/api/v5_3/PVcalc?lat=30.0444&amp;lon=31.2357&amp;peakpower=1&amp;loss=14&amp;angle=25&amp;aspect=-90&amp;outputformat=json&amp;raddatabase=PVGIS-SARAH3&amp;pvtechchoice=crystSi&amp;mountingplace=free&amp;usehorizon=1</v>
      </c>
    </row>
    <row r="1654">
      <c r="A1654" t="n">
        <v>25</v>
      </c>
      <c r="B1654" t="n">
        <v>105</v>
      </c>
      <c r="C1654" t="n">
        <v>1</v>
      </c>
      <c r="D1654" s="218" t="n">
        <v>96.73</v>
      </c>
      <c r="E1654" s="218" t="n">
        <v>3.12</v>
      </c>
      <c r="F1654" t="str">
        <v>https://re.jrc.ec.europa.eu/api/v5_3/PVcalc?lat=30.0444&amp;lon=31.2357&amp;peakpower=1&amp;loss=14&amp;angle=25&amp;aspect=-75&amp;outputformat=json&amp;raddatabase=PVGIS-SARAH3&amp;pvtechchoice=crystSi&amp;mountingplace=free&amp;usehorizon=1</v>
      </c>
    </row>
    <row r="1655">
      <c r="A1655" t="n">
        <v>25</v>
      </c>
      <c r="B1655" t="n">
        <v>105</v>
      </c>
      <c r="C1655" t="n">
        <v>2</v>
      </c>
      <c r="D1655" s="218" t="n">
        <v>104.53</v>
      </c>
      <c r="E1655" s="218" t="n">
        <v>3.73</v>
      </c>
      <c r="F1655" t="str">
        <v>https://re.jrc.ec.europa.eu/api/v5_3/PVcalc?lat=30.0444&amp;lon=31.2357&amp;peakpower=1&amp;loss=14&amp;angle=25&amp;aspect=-75&amp;outputformat=json&amp;raddatabase=PVGIS-SARAH3&amp;pvtechchoice=crystSi&amp;mountingplace=free&amp;usehorizon=1</v>
      </c>
    </row>
    <row r="1656">
      <c r="A1656" t="n">
        <v>25</v>
      </c>
      <c r="B1656" t="n">
        <v>105</v>
      </c>
      <c r="C1656" t="n">
        <v>3</v>
      </c>
      <c r="D1656" s="218" t="n">
        <v>138.27</v>
      </c>
      <c r="E1656" s="218" t="n">
        <v>4.46</v>
      </c>
      <c r="F1656" t="str">
        <v>https://re.jrc.ec.europa.eu/api/v5_3/PVcalc?lat=30.0444&amp;lon=31.2357&amp;peakpower=1&amp;loss=14&amp;angle=25&amp;aspect=-75&amp;outputformat=json&amp;raddatabase=PVGIS-SARAH3&amp;pvtechchoice=crystSi&amp;mountingplace=free&amp;usehorizon=1</v>
      </c>
    </row>
    <row r="1657">
      <c r="A1657" t="n">
        <v>25</v>
      </c>
      <c r="B1657" t="n">
        <v>105</v>
      </c>
      <c r="C1657" t="n">
        <v>4</v>
      </c>
      <c r="D1657" s="218" t="n">
        <v>150.38</v>
      </c>
      <c r="E1657" s="218" t="n">
        <v>5.01</v>
      </c>
      <c r="F1657" t="str">
        <v>https://re.jrc.ec.europa.eu/api/v5_3/PVcalc?lat=30.0444&amp;lon=31.2357&amp;peakpower=1&amp;loss=14&amp;angle=25&amp;aspect=-75&amp;outputformat=json&amp;raddatabase=PVGIS-SARAH3&amp;pvtechchoice=crystSi&amp;mountingplace=free&amp;usehorizon=1</v>
      </c>
    </row>
    <row r="1658">
      <c r="A1658" t="n">
        <v>25</v>
      </c>
      <c r="B1658" t="n">
        <v>105</v>
      </c>
      <c r="C1658" t="n">
        <v>5</v>
      </c>
      <c r="D1658" s="218" t="n">
        <v>164.94</v>
      </c>
      <c r="E1658" s="218" t="n">
        <v>5.32</v>
      </c>
      <c r="F1658" t="str">
        <v>https://re.jrc.ec.europa.eu/api/v5_3/PVcalc?lat=30.0444&amp;lon=31.2357&amp;peakpower=1&amp;loss=14&amp;angle=25&amp;aspect=-75&amp;outputformat=json&amp;raddatabase=PVGIS-SARAH3&amp;pvtechchoice=crystSi&amp;mountingplace=free&amp;usehorizon=1</v>
      </c>
    </row>
    <row r="1659">
      <c r="A1659" t="n">
        <v>25</v>
      </c>
      <c r="B1659" t="n">
        <v>105</v>
      </c>
      <c r="C1659" t="n">
        <v>6</v>
      </c>
      <c r="D1659" s="218" t="n">
        <v>166.3</v>
      </c>
      <c r="E1659" s="218" t="n">
        <v>5.54</v>
      </c>
      <c r="F1659" t="str">
        <v>https://re.jrc.ec.europa.eu/api/v5_3/PVcalc?lat=30.0444&amp;lon=31.2357&amp;peakpower=1&amp;loss=14&amp;angle=25&amp;aspect=-75&amp;outputformat=json&amp;raddatabase=PVGIS-SARAH3&amp;pvtechchoice=crystSi&amp;mountingplace=free&amp;usehorizon=1</v>
      </c>
    </row>
    <row r="1660">
      <c r="A1660" t="n">
        <v>25</v>
      </c>
      <c r="B1660" t="n">
        <v>105</v>
      </c>
      <c r="C1660" t="n">
        <v>7</v>
      </c>
      <c r="D1660" s="218" t="n">
        <v>168.07</v>
      </c>
      <c r="E1660" s="218" t="n">
        <v>5.42</v>
      </c>
      <c r="F1660" t="str">
        <v>https://re.jrc.ec.europa.eu/api/v5_3/PVcalc?lat=30.0444&amp;lon=31.2357&amp;peakpower=1&amp;loss=14&amp;angle=25&amp;aspect=-75&amp;outputformat=json&amp;raddatabase=PVGIS-SARAH3&amp;pvtechchoice=crystSi&amp;mountingplace=free&amp;usehorizon=1</v>
      </c>
    </row>
    <row r="1661">
      <c r="A1661" t="n">
        <v>25</v>
      </c>
      <c r="B1661" t="n">
        <v>105</v>
      </c>
      <c r="C1661" t="n">
        <v>8</v>
      </c>
      <c r="D1661" s="218" t="n">
        <v>159.67</v>
      </c>
      <c r="E1661" s="218" t="n">
        <v>5.15</v>
      </c>
      <c r="F1661" t="str">
        <v>https://re.jrc.ec.europa.eu/api/v5_3/PVcalc?lat=30.0444&amp;lon=31.2357&amp;peakpower=1&amp;loss=14&amp;angle=25&amp;aspect=-75&amp;outputformat=json&amp;raddatabase=PVGIS-SARAH3&amp;pvtechchoice=crystSi&amp;mountingplace=free&amp;usehorizon=1</v>
      </c>
    </row>
    <row r="1662">
      <c r="A1662" t="n">
        <v>25</v>
      </c>
      <c r="B1662" t="n">
        <v>105</v>
      </c>
      <c r="C1662" t="n">
        <v>9</v>
      </c>
      <c r="D1662" s="218" t="n">
        <v>140.52</v>
      </c>
      <c r="E1662" s="218" t="n">
        <v>4.68</v>
      </c>
      <c r="F1662" t="str">
        <v>https://re.jrc.ec.europa.eu/api/v5_3/PVcalc?lat=30.0444&amp;lon=31.2357&amp;peakpower=1&amp;loss=14&amp;angle=25&amp;aspect=-75&amp;outputformat=json&amp;raddatabase=PVGIS-SARAH3&amp;pvtechchoice=crystSi&amp;mountingplace=free&amp;usehorizon=1</v>
      </c>
    </row>
    <row r="1663">
      <c r="A1663" t="n">
        <v>25</v>
      </c>
      <c r="B1663" t="n">
        <v>105</v>
      </c>
      <c r="C1663" t="n">
        <v>10</v>
      </c>
      <c r="D1663" s="218" t="n">
        <v>124.5</v>
      </c>
      <c r="E1663" s="218" t="n">
        <v>4.02</v>
      </c>
      <c r="F1663" t="str">
        <v>https://re.jrc.ec.europa.eu/api/v5_3/PVcalc?lat=30.0444&amp;lon=31.2357&amp;peakpower=1&amp;loss=14&amp;angle=25&amp;aspect=-75&amp;outputformat=json&amp;raddatabase=PVGIS-SARAH3&amp;pvtechchoice=crystSi&amp;mountingplace=free&amp;usehorizon=1</v>
      </c>
    </row>
    <row r="1664">
      <c r="A1664" t="n">
        <v>25</v>
      </c>
      <c r="B1664" t="n">
        <v>105</v>
      </c>
      <c r="C1664" t="n">
        <v>11</v>
      </c>
      <c r="D1664" s="218" t="n">
        <v>101.62</v>
      </c>
      <c r="E1664" s="218" t="n">
        <v>3.39</v>
      </c>
      <c r="F1664" t="str">
        <v>https://re.jrc.ec.europa.eu/api/v5_3/PVcalc?lat=30.0444&amp;lon=31.2357&amp;peakpower=1&amp;loss=14&amp;angle=25&amp;aspect=-75&amp;outputformat=json&amp;raddatabase=PVGIS-SARAH3&amp;pvtechchoice=crystSi&amp;mountingplace=free&amp;usehorizon=1</v>
      </c>
    </row>
    <row r="1665">
      <c r="A1665" t="n">
        <v>25</v>
      </c>
      <c r="B1665" t="n">
        <v>105</v>
      </c>
      <c r="C1665" t="n">
        <v>12</v>
      </c>
      <c r="D1665" s="218" t="n">
        <v>93.2</v>
      </c>
      <c r="E1665" s="218" t="n">
        <v>3.01</v>
      </c>
      <c r="F1665" t="str">
        <v>https://re.jrc.ec.europa.eu/api/v5_3/PVcalc?lat=30.0444&amp;lon=31.2357&amp;peakpower=1&amp;loss=14&amp;angle=25&amp;aspect=-75&amp;outputformat=json&amp;raddatabase=PVGIS-SARAH3&amp;pvtechchoice=crystSi&amp;mountingplace=free&amp;usehorizon=1</v>
      </c>
    </row>
    <row r="1666">
      <c r="A1666" t="n">
        <v>25</v>
      </c>
      <c r="B1666" t="n">
        <v>120</v>
      </c>
      <c r="C1666" t="n">
        <v>1</v>
      </c>
      <c r="D1666" s="218" t="n">
        <v>106.04</v>
      </c>
      <c r="E1666" s="218" t="n">
        <v>3.42</v>
      </c>
      <c r="F1666" t="str">
        <v>https://re.jrc.ec.europa.eu/api/v5_3/PVcalc?lat=30.0444&amp;lon=31.2357&amp;peakpower=1&amp;loss=14&amp;angle=25&amp;aspect=-60&amp;outputformat=json&amp;raddatabase=PVGIS-SARAH3&amp;pvtechchoice=crystSi&amp;mountingplace=free&amp;usehorizon=1</v>
      </c>
    </row>
    <row r="1667">
      <c r="A1667" t="n">
        <v>25</v>
      </c>
      <c r="B1667" t="n">
        <v>120</v>
      </c>
      <c r="C1667" t="n">
        <v>2</v>
      </c>
      <c r="D1667" s="218" t="n">
        <v>111.49</v>
      </c>
      <c r="E1667" s="218" t="n">
        <v>3.98</v>
      </c>
      <c r="F1667" t="str">
        <v>https://re.jrc.ec.europa.eu/api/v5_3/PVcalc?lat=30.0444&amp;lon=31.2357&amp;peakpower=1&amp;loss=14&amp;angle=25&amp;aspect=-60&amp;outputformat=json&amp;raddatabase=PVGIS-SARAH3&amp;pvtechchoice=crystSi&amp;mountingplace=free&amp;usehorizon=1</v>
      </c>
    </row>
    <row r="1668">
      <c r="A1668" t="n">
        <v>25</v>
      </c>
      <c r="B1668" t="n">
        <v>120</v>
      </c>
      <c r="C1668" t="n">
        <v>3</v>
      </c>
      <c r="D1668" s="218" t="n">
        <v>144.93</v>
      </c>
      <c r="E1668" s="218" t="n">
        <v>4.68</v>
      </c>
      <c r="F1668" t="str">
        <v>https://re.jrc.ec.europa.eu/api/v5_3/PVcalc?lat=30.0444&amp;lon=31.2357&amp;peakpower=1&amp;loss=14&amp;angle=25&amp;aspect=-60&amp;outputformat=json&amp;raddatabase=PVGIS-SARAH3&amp;pvtechchoice=crystSi&amp;mountingplace=free&amp;usehorizon=1</v>
      </c>
    </row>
    <row r="1669">
      <c r="A1669" t="n">
        <v>25</v>
      </c>
      <c r="B1669" t="n">
        <v>120</v>
      </c>
      <c r="C1669" t="n">
        <v>4</v>
      </c>
      <c r="D1669" s="218" t="n">
        <v>154.1</v>
      </c>
      <c r="E1669" s="218" t="n">
        <v>5.14</v>
      </c>
      <c r="F1669" t="str">
        <v>https://re.jrc.ec.europa.eu/api/v5_3/PVcalc?lat=30.0444&amp;lon=31.2357&amp;peakpower=1&amp;loss=14&amp;angle=25&amp;aspect=-60&amp;outputformat=json&amp;raddatabase=PVGIS-SARAH3&amp;pvtechchoice=crystSi&amp;mountingplace=free&amp;usehorizon=1</v>
      </c>
    </row>
    <row r="1670">
      <c r="A1670" t="n">
        <v>25</v>
      </c>
      <c r="B1670" t="n">
        <v>120</v>
      </c>
      <c r="C1670" t="n">
        <v>5</v>
      </c>
      <c r="D1670" s="218" t="n">
        <v>165.94</v>
      </c>
      <c r="E1670" s="218" t="n">
        <v>5.35</v>
      </c>
      <c r="F1670" t="str">
        <v>https://re.jrc.ec.europa.eu/api/v5_3/PVcalc?lat=30.0444&amp;lon=31.2357&amp;peakpower=1&amp;loss=14&amp;angle=25&amp;aspect=-60&amp;outputformat=json&amp;raddatabase=PVGIS-SARAH3&amp;pvtechchoice=crystSi&amp;mountingplace=free&amp;usehorizon=1</v>
      </c>
    </row>
    <row r="1671">
      <c r="A1671" t="n">
        <v>25</v>
      </c>
      <c r="B1671" t="n">
        <v>120</v>
      </c>
      <c r="C1671" t="n">
        <v>6</v>
      </c>
      <c r="D1671" s="218" t="n">
        <v>165.98</v>
      </c>
      <c r="E1671" s="218" t="n">
        <v>5.53</v>
      </c>
      <c r="F1671" t="str">
        <v>https://re.jrc.ec.europa.eu/api/v5_3/PVcalc?lat=30.0444&amp;lon=31.2357&amp;peakpower=1&amp;loss=14&amp;angle=25&amp;aspect=-60&amp;outputformat=json&amp;raddatabase=PVGIS-SARAH3&amp;pvtechchoice=crystSi&amp;mountingplace=free&amp;usehorizon=1</v>
      </c>
    </row>
    <row r="1672">
      <c r="A1672" t="n">
        <v>25</v>
      </c>
      <c r="B1672" t="n">
        <v>120</v>
      </c>
      <c r="C1672" t="n">
        <v>7</v>
      </c>
      <c r="D1672" s="218" t="n">
        <v>168.59</v>
      </c>
      <c r="E1672" s="218" t="n">
        <v>5.44</v>
      </c>
      <c r="F1672" t="str">
        <v>https://re.jrc.ec.europa.eu/api/v5_3/PVcalc?lat=30.0444&amp;lon=31.2357&amp;peakpower=1&amp;loss=14&amp;angle=25&amp;aspect=-60&amp;outputformat=json&amp;raddatabase=PVGIS-SARAH3&amp;pvtechchoice=crystSi&amp;mountingplace=free&amp;usehorizon=1</v>
      </c>
    </row>
    <row r="1673">
      <c r="A1673" t="n">
        <v>25</v>
      </c>
      <c r="B1673" t="n">
        <v>120</v>
      </c>
      <c r="C1673" t="n">
        <v>8</v>
      </c>
      <c r="D1673" s="218" t="n">
        <v>162.62</v>
      </c>
      <c r="E1673" s="218" t="n">
        <v>5.25</v>
      </c>
      <c r="F1673" t="str">
        <v>https://re.jrc.ec.europa.eu/api/v5_3/PVcalc?lat=30.0444&amp;lon=31.2357&amp;peakpower=1&amp;loss=14&amp;angle=25&amp;aspect=-60&amp;outputformat=json&amp;raddatabase=PVGIS-SARAH3&amp;pvtechchoice=crystSi&amp;mountingplace=free&amp;usehorizon=1</v>
      </c>
    </row>
    <row r="1674">
      <c r="A1674" t="n">
        <v>25</v>
      </c>
      <c r="B1674" t="n">
        <v>120</v>
      </c>
      <c r="C1674" t="n">
        <v>9</v>
      </c>
      <c r="D1674" s="218" t="n">
        <v>146</v>
      </c>
      <c r="E1674" s="218" t="n">
        <v>4.87</v>
      </c>
      <c r="F1674" t="str">
        <v>https://re.jrc.ec.europa.eu/api/v5_3/PVcalc?lat=30.0444&amp;lon=31.2357&amp;peakpower=1&amp;loss=14&amp;angle=25&amp;aspect=-60&amp;outputformat=json&amp;raddatabase=PVGIS-SARAH3&amp;pvtechchoice=crystSi&amp;mountingplace=free&amp;usehorizon=1</v>
      </c>
    </row>
    <row r="1675">
      <c r="A1675" t="n">
        <v>25</v>
      </c>
      <c r="B1675" t="n">
        <v>120</v>
      </c>
      <c r="C1675" t="n">
        <v>10</v>
      </c>
      <c r="D1675" s="218" t="n">
        <v>132.81</v>
      </c>
      <c r="E1675" s="218" t="n">
        <v>4.28</v>
      </c>
      <c r="F1675" t="str">
        <v>https://re.jrc.ec.europa.eu/api/v5_3/PVcalc?lat=30.0444&amp;lon=31.2357&amp;peakpower=1&amp;loss=14&amp;angle=25&amp;aspect=-60&amp;outputformat=json&amp;raddatabase=PVGIS-SARAH3&amp;pvtechchoice=crystSi&amp;mountingplace=free&amp;usehorizon=1</v>
      </c>
    </row>
    <row r="1676">
      <c r="A1676" t="n">
        <v>25</v>
      </c>
      <c r="B1676" t="n">
        <v>120</v>
      </c>
      <c r="C1676" t="n">
        <v>11</v>
      </c>
      <c r="D1676" s="218" t="n">
        <v>111.45</v>
      </c>
      <c r="E1676" s="218" t="n">
        <v>3.72</v>
      </c>
      <c r="F1676" t="str">
        <v>https://re.jrc.ec.europa.eu/api/v5_3/PVcalc?lat=30.0444&amp;lon=31.2357&amp;peakpower=1&amp;loss=14&amp;angle=25&amp;aspect=-60&amp;outputformat=json&amp;raddatabase=PVGIS-SARAH3&amp;pvtechchoice=crystSi&amp;mountingplace=free&amp;usehorizon=1</v>
      </c>
    </row>
    <row r="1677">
      <c r="A1677" t="n">
        <v>25</v>
      </c>
      <c r="B1677" t="n">
        <v>120</v>
      </c>
      <c r="C1677" t="n">
        <v>12</v>
      </c>
      <c r="D1677" s="218" t="n">
        <v>103.54</v>
      </c>
      <c r="E1677" s="218" t="n">
        <v>3.34</v>
      </c>
      <c r="F1677" t="str">
        <v>https://re.jrc.ec.europa.eu/api/v5_3/PVcalc?lat=30.0444&amp;lon=31.2357&amp;peakpower=1&amp;loss=14&amp;angle=25&amp;aspect=-60&amp;outputformat=json&amp;raddatabase=PVGIS-SARAH3&amp;pvtechchoice=crystSi&amp;mountingplace=free&amp;usehorizon=1</v>
      </c>
    </row>
    <row r="1678">
      <c r="A1678" t="n">
        <v>25</v>
      </c>
      <c r="B1678" t="n">
        <v>135</v>
      </c>
      <c r="C1678" t="n">
        <v>1</v>
      </c>
      <c r="D1678" s="218" t="n">
        <v>114.3</v>
      </c>
      <c r="E1678" s="218" t="n">
        <v>3.69</v>
      </c>
      <c r="F1678" t="str">
        <v>https://re.jrc.ec.europa.eu/api/v5_3/PVcalc?lat=30.0444&amp;lon=31.2357&amp;peakpower=1&amp;loss=14&amp;angle=25&amp;aspect=-45&amp;outputformat=json&amp;raddatabase=PVGIS-SARAH3&amp;pvtechchoice=crystSi&amp;mountingplace=free&amp;usehorizon=1</v>
      </c>
    </row>
    <row r="1679">
      <c r="A1679" t="n">
        <v>25</v>
      </c>
      <c r="B1679" t="n">
        <v>135</v>
      </c>
      <c r="C1679" t="n">
        <v>2</v>
      </c>
      <c r="D1679" s="218" t="n">
        <v>117.82</v>
      </c>
      <c r="E1679" s="218" t="n">
        <v>4.21</v>
      </c>
      <c r="F1679" t="str">
        <v>https://re.jrc.ec.europa.eu/api/v5_3/PVcalc?lat=30.0444&amp;lon=31.2357&amp;peakpower=1&amp;loss=14&amp;angle=25&amp;aspect=-45&amp;outputformat=json&amp;raddatabase=PVGIS-SARAH3&amp;pvtechchoice=crystSi&amp;mountingplace=free&amp;usehorizon=1</v>
      </c>
    </row>
    <row r="1680">
      <c r="A1680" t="n">
        <v>25</v>
      </c>
      <c r="B1680" t="n">
        <v>135</v>
      </c>
      <c r="C1680" t="n">
        <v>3</v>
      </c>
      <c r="D1680" s="218" t="n">
        <v>150.72</v>
      </c>
      <c r="E1680" s="218" t="n">
        <v>4.86</v>
      </c>
      <c r="F1680" t="str">
        <v>https://re.jrc.ec.europa.eu/api/v5_3/PVcalc?lat=30.0444&amp;lon=31.2357&amp;peakpower=1&amp;loss=14&amp;angle=25&amp;aspect=-45&amp;outputformat=json&amp;raddatabase=PVGIS-SARAH3&amp;pvtechchoice=crystSi&amp;mountingplace=free&amp;usehorizon=1</v>
      </c>
    </row>
    <row r="1681">
      <c r="A1681" t="n">
        <v>25</v>
      </c>
      <c r="B1681" t="n">
        <v>135</v>
      </c>
      <c r="C1681" t="n">
        <v>4</v>
      </c>
      <c r="D1681" s="218" t="n">
        <v>157.32</v>
      </c>
      <c r="E1681" s="218" t="n">
        <v>5.24</v>
      </c>
      <c r="F1681" t="str">
        <v>https://re.jrc.ec.europa.eu/api/v5_3/PVcalc?lat=30.0444&amp;lon=31.2357&amp;peakpower=1&amp;loss=14&amp;angle=25&amp;aspect=-45&amp;outputformat=json&amp;raddatabase=PVGIS-SARAH3&amp;pvtechchoice=crystSi&amp;mountingplace=free&amp;usehorizon=1</v>
      </c>
    </row>
    <row r="1682">
      <c r="A1682" t="n">
        <v>25</v>
      </c>
      <c r="B1682" t="n">
        <v>135</v>
      </c>
      <c r="C1682" t="n">
        <v>5</v>
      </c>
      <c r="D1682" s="218" t="n">
        <v>166.63</v>
      </c>
      <c r="E1682" s="218" t="n">
        <v>5.38</v>
      </c>
      <c r="F1682" t="str">
        <v>https://re.jrc.ec.europa.eu/api/v5_3/PVcalc?lat=30.0444&amp;lon=31.2357&amp;peakpower=1&amp;loss=14&amp;angle=25&amp;aspect=-45&amp;outputformat=json&amp;raddatabase=PVGIS-SARAH3&amp;pvtechchoice=crystSi&amp;mountingplace=free&amp;usehorizon=1</v>
      </c>
    </row>
    <row r="1683">
      <c r="A1683" t="n">
        <v>25</v>
      </c>
      <c r="B1683" t="n">
        <v>135</v>
      </c>
      <c r="C1683" t="n">
        <v>6</v>
      </c>
      <c r="D1683" s="218" t="n">
        <v>165.5</v>
      </c>
      <c r="E1683" s="218" t="n">
        <v>5.52</v>
      </c>
      <c r="F1683" t="str">
        <v>https://re.jrc.ec.europa.eu/api/v5_3/PVcalc?lat=30.0444&amp;lon=31.2357&amp;peakpower=1&amp;loss=14&amp;angle=25&amp;aspect=-45&amp;outputformat=json&amp;raddatabase=PVGIS-SARAH3&amp;pvtechchoice=crystSi&amp;mountingplace=free&amp;usehorizon=1</v>
      </c>
    </row>
    <row r="1684">
      <c r="A1684" t="n">
        <v>25</v>
      </c>
      <c r="B1684" t="n">
        <v>135</v>
      </c>
      <c r="C1684" t="n">
        <v>7</v>
      </c>
      <c r="D1684" s="218" t="n">
        <v>168.9</v>
      </c>
      <c r="E1684" s="218" t="n">
        <v>5.45</v>
      </c>
      <c r="F1684" t="str">
        <v>https://re.jrc.ec.europa.eu/api/v5_3/PVcalc?lat=30.0444&amp;lon=31.2357&amp;peakpower=1&amp;loss=14&amp;angle=25&amp;aspect=-45&amp;outputformat=json&amp;raddatabase=PVGIS-SARAH3&amp;pvtechchoice=crystSi&amp;mountingplace=free&amp;usehorizon=1</v>
      </c>
    </row>
    <row r="1685">
      <c r="A1685" t="n">
        <v>25</v>
      </c>
      <c r="B1685" t="n">
        <v>135</v>
      </c>
      <c r="C1685" t="n">
        <v>8</v>
      </c>
      <c r="D1685" s="218" t="n">
        <v>165.13</v>
      </c>
      <c r="E1685" s="218" t="n">
        <v>5.33</v>
      </c>
      <c r="F1685" t="str">
        <v>https://re.jrc.ec.europa.eu/api/v5_3/PVcalc?lat=30.0444&amp;lon=31.2357&amp;peakpower=1&amp;loss=14&amp;angle=25&amp;aspect=-45&amp;outputformat=json&amp;raddatabase=PVGIS-SARAH3&amp;pvtechchoice=crystSi&amp;mountingplace=free&amp;usehorizon=1</v>
      </c>
    </row>
    <row r="1686">
      <c r="A1686" t="n">
        <v>25</v>
      </c>
      <c r="B1686" t="n">
        <v>135</v>
      </c>
      <c r="C1686" t="n">
        <v>9</v>
      </c>
      <c r="D1686" s="218" t="n">
        <v>151.34</v>
      </c>
      <c r="E1686" s="218" t="n">
        <v>5.04</v>
      </c>
      <c r="F1686" t="str">
        <v>https://re.jrc.ec.europa.eu/api/v5_3/PVcalc?lat=30.0444&amp;lon=31.2357&amp;peakpower=1&amp;loss=14&amp;angle=25&amp;aspect=-45&amp;outputformat=json&amp;raddatabase=PVGIS-SARAH3&amp;pvtechchoice=crystSi&amp;mountingplace=free&amp;usehorizon=1</v>
      </c>
    </row>
    <row r="1687">
      <c r="A1687" t="n">
        <v>25</v>
      </c>
      <c r="B1687" t="n">
        <v>135</v>
      </c>
      <c r="C1687" t="n">
        <v>10</v>
      </c>
      <c r="D1687" s="218" t="n">
        <v>139.66</v>
      </c>
      <c r="E1687" s="218" t="n">
        <v>4.51</v>
      </c>
      <c r="F1687" t="str">
        <v>https://re.jrc.ec.europa.eu/api/v5_3/PVcalc?lat=30.0444&amp;lon=31.2357&amp;peakpower=1&amp;loss=14&amp;angle=25&amp;aspect=-45&amp;outputformat=json&amp;raddatabase=PVGIS-SARAH3&amp;pvtechchoice=crystSi&amp;mountingplace=free&amp;usehorizon=1</v>
      </c>
    </row>
    <row r="1688">
      <c r="A1688" t="n">
        <v>25</v>
      </c>
      <c r="B1688" t="n">
        <v>135</v>
      </c>
      <c r="C1688" t="n">
        <v>11</v>
      </c>
      <c r="D1688" s="218" t="n">
        <v>119.59</v>
      </c>
      <c r="E1688" s="218" t="n">
        <v>3.99</v>
      </c>
      <c r="F1688" t="str">
        <v>https://re.jrc.ec.europa.eu/api/v5_3/PVcalc?lat=30.0444&amp;lon=31.2357&amp;peakpower=1&amp;loss=14&amp;angle=25&amp;aspect=-45&amp;outputformat=json&amp;raddatabase=PVGIS-SARAH3&amp;pvtechchoice=crystSi&amp;mountingplace=free&amp;usehorizon=1</v>
      </c>
    </row>
    <row r="1689">
      <c r="A1689" t="n">
        <v>25</v>
      </c>
      <c r="B1689" t="n">
        <v>135</v>
      </c>
      <c r="C1689" t="n">
        <v>12</v>
      </c>
      <c r="D1689" s="218" t="n">
        <v>112.14</v>
      </c>
      <c r="E1689" s="218" t="n">
        <v>3.62</v>
      </c>
      <c r="F1689" t="str">
        <v>https://re.jrc.ec.europa.eu/api/v5_3/PVcalc?lat=30.0444&amp;lon=31.2357&amp;peakpower=1&amp;loss=14&amp;angle=25&amp;aspect=-45&amp;outputformat=json&amp;raddatabase=PVGIS-SARAH3&amp;pvtechchoice=crystSi&amp;mountingplace=free&amp;usehorizon=1</v>
      </c>
    </row>
    <row r="1690">
      <c r="A1690" t="n">
        <v>25</v>
      </c>
      <c r="B1690" t="n">
        <v>150</v>
      </c>
      <c r="C1690" t="n">
        <v>1</v>
      </c>
      <c r="D1690" s="218" t="n">
        <v>120.93</v>
      </c>
      <c r="E1690" s="218" t="n">
        <v>3.9</v>
      </c>
      <c r="F1690" t="str">
        <v>https://re.jrc.ec.europa.eu/api/v5_3/PVcalc?lat=30.0444&amp;lon=31.2357&amp;peakpower=1&amp;loss=14&amp;angle=25&amp;aspect=-30&amp;outputformat=json&amp;raddatabase=PVGIS-SARAH3&amp;pvtechchoice=crystSi&amp;mountingplace=free&amp;usehorizon=1</v>
      </c>
    </row>
    <row r="1691">
      <c r="A1691" t="n">
        <v>25</v>
      </c>
      <c r="B1691" t="n">
        <v>150</v>
      </c>
      <c r="C1691" t="n">
        <v>2</v>
      </c>
      <c r="D1691" s="218" t="n">
        <v>122.46</v>
      </c>
      <c r="E1691" s="218" t="n">
        <v>4.37</v>
      </c>
      <c r="F1691" t="str">
        <v>https://re.jrc.ec.europa.eu/api/v5_3/PVcalc?lat=30.0444&amp;lon=31.2357&amp;peakpower=1&amp;loss=14&amp;angle=25&amp;aspect=-30&amp;outputformat=json&amp;raddatabase=PVGIS-SARAH3&amp;pvtechchoice=crystSi&amp;mountingplace=free&amp;usehorizon=1</v>
      </c>
    </row>
    <row r="1692">
      <c r="A1692" t="n">
        <v>25</v>
      </c>
      <c r="B1692" t="n">
        <v>150</v>
      </c>
      <c r="C1692" t="n">
        <v>3</v>
      </c>
      <c r="D1692" s="218" t="n">
        <v>154.89</v>
      </c>
      <c r="E1692" s="218" t="n">
        <v>5</v>
      </c>
      <c r="F1692" t="str">
        <v>https://re.jrc.ec.europa.eu/api/v5_3/PVcalc?lat=30.0444&amp;lon=31.2357&amp;peakpower=1&amp;loss=14&amp;angle=25&amp;aspect=-30&amp;outputformat=json&amp;raddatabase=PVGIS-SARAH3&amp;pvtechchoice=crystSi&amp;mountingplace=free&amp;usehorizon=1</v>
      </c>
    </row>
    <row r="1693">
      <c r="A1693" t="n">
        <v>25</v>
      </c>
      <c r="B1693" t="n">
        <v>150</v>
      </c>
      <c r="C1693" t="n">
        <v>4</v>
      </c>
      <c r="D1693" s="218" t="n">
        <v>159.32</v>
      </c>
      <c r="E1693" s="218" t="n">
        <v>5.31</v>
      </c>
      <c r="F1693" t="str">
        <v>https://re.jrc.ec.europa.eu/api/v5_3/PVcalc?lat=30.0444&amp;lon=31.2357&amp;peakpower=1&amp;loss=14&amp;angle=25&amp;aspect=-30&amp;outputformat=json&amp;raddatabase=PVGIS-SARAH3&amp;pvtechchoice=crystSi&amp;mountingplace=free&amp;usehorizon=1</v>
      </c>
    </row>
    <row r="1694">
      <c r="A1694" t="n">
        <v>25</v>
      </c>
      <c r="B1694" t="n">
        <v>150</v>
      </c>
      <c r="C1694" t="n">
        <v>5</v>
      </c>
      <c r="D1694" s="218" t="n">
        <v>166.37</v>
      </c>
      <c r="E1694" s="218" t="n">
        <v>5.37</v>
      </c>
      <c r="F1694" t="str">
        <v>https://re.jrc.ec.europa.eu/api/v5_3/PVcalc?lat=30.0444&amp;lon=31.2357&amp;peakpower=1&amp;loss=14&amp;angle=25&amp;aspect=-30&amp;outputformat=json&amp;raddatabase=PVGIS-SARAH3&amp;pvtechchoice=crystSi&amp;mountingplace=free&amp;usehorizon=1</v>
      </c>
    </row>
    <row r="1695">
      <c r="A1695" t="n">
        <v>25</v>
      </c>
      <c r="B1695" t="n">
        <v>150</v>
      </c>
      <c r="C1695" t="n">
        <v>6</v>
      </c>
      <c r="D1695" s="218" t="n">
        <v>164.31</v>
      </c>
      <c r="E1695" s="218" t="n">
        <v>5.48</v>
      </c>
      <c r="F1695" t="str">
        <v>https://re.jrc.ec.europa.eu/api/v5_3/PVcalc?lat=30.0444&amp;lon=31.2357&amp;peakpower=1&amp;loss=14&amp;angle=25&amp;aspect=-30&amp;outputformat=json&amp;raddatabase=PVGIS-SARAH3&amp;pvtechchoice=crystSi&amp;mountingplace=free&amp;usehorizon=1</v>
      </c>
    </row>
    <row r="1696">
      <c r="A1696" t="n">
        <v>25</v>
      </c>
      <c r="B1696" t="n">
        <v>150</v>
      </c>
      <c r="C1696" t="n">
        <v>7</v>
      </c>
      <c r="D1696" s="218" t="n">
        <v>168.52</v>
      </c>
      <c r="E1696" s="218" t="n">
        <v>5.44</v>
      </c>
      <c r="F1696" t="str">
        <v>https://re.jrc.ec.europa.eu/api/v5_3/PVcalc?lat=30.0444&amp;lon=31.2357&amp;peakpower=1&amp;loss=14&amp;angle=25&amp;aspect=-30&amp;outputformat=json&amp;raddatabase=PVGIS-SARAH3&amp;pvtechchoice=crystSi&amp;mountingplace=free&amp;usehorizon=1</v>
      </c>
    </row>
    <row r="1697">
      <c r="A1697" t="n">
        <v>25</v>
      </c>
      <c r="B1697" t="n">
        <v>150</v>
      </c>
      <c r="C1697" t="n">
        <v>8</v>
      </c>
      <c r="D1697" s="218" t="n">
        <v>166.51</v>
      </c>
      <c r="E1697" s="218" t="n">
        <v>5.37</v>
      </c>
      <c r="F1697" t="str">
        <v>https://re.jrc.ec.europa.eu/api/v5_3/PVcalc?lat=30.0444&amp;lon=31.2357&amp;peakpower=1&amp;loss=14&amp;angle=25&amp;aspect=-30&amp;outputformat=json&amp;raddatabase=PVGIS-SARAH3&amp;pvtechchoice=crystSi&amp;mountingplace=free&amp;usehorizon=1</v>
      </c>
    </row>
    <row r="1698">
      <c r="A1698" t="n">
        <v>25</v>
      </c>
      <c r="B1698" t="n">
        <v>150</v>
      </c>
      <c r="C1698" t="n">
        <v>9</v>
      </c>
      <c r="D1698" s="218" t="n">
        <v>155.69</v>
      </c>
      <c r="E1698" s="218" t="n">
        <v>5.19</v>
      </c>
      <c r="F1698" t="str">
        <v>https://re.jrc.ec.europa.eu/api/v5_3/PVcalc?lat=30.0444&amp;lon=31.2357&amp;peakpower=1&amp;loss=14&amp;angle=25&amp;aspect=-30&amp;outputformat=json&amp;raddatabase=PVGIS-SARAH3&amp;pvtechchoice=crystSi&amp;mountingplace=free&amp;usehorizon=1</v>
      </c>
    </row>
    <row r="1699">
      <c r="A1699" t="n">
        <v>25</v>
      </c>
      <c r="B1699" t="n">
        <v>150</v>
      </c>
      <c r="C1699" t="n">
        <v>10</v>
      </c>
      <c r="D1699" s="218" t="n">
        <v>145.73</v>
      </c>
      <c r="E1699" s="218" t="n">
        <v>4.7</v>
      </c>
      <c r="F1699" t="str">
        <v>https://re.jrc.ec.europa.eu/api/v5_3/PVcalc?lat=30.0444&amp;lon=31.2357&amp;peakpower=1&amp;loss=14&amp;angle=25&amp;aspect=-30&amp;outputformat=json&amp;raddatabase=PVGIS-SARAH3&amp;pvtechchoice=crystSi&amp;mountingplace=free&amp;usehorizon=1</v>
      </c>
    </row>
    <row r="1700">
      <c r="A1700" t="n">
        <v>25</v>
      </c>
      <c r="B1700" t="n">
        <v>150</v>
      </c>
      <c r="C1700" t="n">
        <v>11</v>
      </c>
      <c r="D1700" s="218" t="n">
        <v>126.28</v>
      </c>
      <c r="E1700" s="218" t="n">
        <v>4.21</v>
      </c>
      <c r="F1700" t="str">
        <v>https://re.jrc.ec.europa.eu/api/v5_3/PVcalc?lat=30.0444&amp;lon=31.2357&amp;peakpower=1&amp;loss=14&amp;angle=25&amp;aspect=-30&amp;outputformat=json&amp;raddatabase=PVGIS-SARAH3&amp;pvtechchoice=crystSi&amp;mountingplace=free&amp;usehorizon=1</v>
      </c>
    </row>
    <row r="1701">
      <c r="A1701" t="n">
        <v>25</v>
      </c>
      <c r="B1701" t="n">
        <v>150</v>
      </c>
      <c r="C1701" t="n">
        <v>12</v>
      </c>
      <c r="D1701" s="218" t="n">
        <v>119.08</v>
      </c>
      <c r="E1701" s="218" t="n">
        <v>3.84</v>
      </c>
      <c r="F1701" t="str">
        <v>https://re.jrc.ec.europa.eu/api/v5_3/PVcalc?lat=30.0444&amp;lon=31.2357&amp;peakpower=1&amp;loss=14&amp;angle=25&amp;aspect=-30&amp;outputformat=json&amp;raddatabase=PVGIS-SARAH3&amp;pvtechchoice=crystSi&amp;mountingplace=free&amp;usehorizon=1</v>
      </c>
    </row>
    <row r="1702">
      <c r="A1702" t="n">
        <v>25</v>
      </c>
      <c r="B1702" t="n">
        <v>165</v>
      </c>
      <c r="C1702" t="n">
        <v>1</v>
      </c>
      <c r="D1702" s="218" t="n">
        <v>125.05</v>
      </c>
      <c r="E1702" s="218" t="n">
        <v>4.03</v>
      </c>
      <c r="F1702" t="str">
        <v>https://re.jrc.ec.europa.eu/api/v5_3/PVcalc?lat=30.0444&amp;lon=31.2357&amp;peakpower=1&amp;loss=14&amp;angle=25&amp;aspect=-15&amp;outputformat=json&amp;raddatabase=PVGIS-SARAH3&amp;pvtechchoice=crystSi&amp;mountingplace=free&amp;usehorizon=1</v>
      </c>
    </row>
    <row r="1703">
      <c r="A1703" t="n">
        <v>25</v>
      </c>
      <c r="B1703" t="n">
        <v>165</v>
      </c>
      <c r="C1703" t="n">
        <v>2</v>
      </c>
      <c r="D1703" s="218" t="n">
        <v>125.42</v>
      </c>
      <c r="E1703" s="218" t="n">
        <v>4.48</v>
      </c>
      <c r="F1703" t="str">
        <v>https://re.jrc.ec.europa.eu/api/v5_3/PVcalc?lat=30.0444&amp;lon=31.2357&amp;peakpower=1&amp;loss=14&amp;angle=25&amp;aspect=-15&amp;outputformat=json&amp;raddatabase=PVGIS-SARAH3&amp;pvtechchoice=crystSi&amp;mountingplace=free&amp;usehorizon=1</v>
      </c>
    </row>
    <row r="1704">
      <c r="A1704" t="n">
        <v>25</v>
      </c>
      <c r="B1704" t="n">
        <v>165</v>
      </c>
      <c r="C1704" t="n">
        <v>3</v>
      </c>
      <c r="D1704" s="218" t="n">
        <v>158.19</v>
      </c>
      <c r="E1704" s="218" t="n">
        <v>5.1</v>
      </c>
      <c r="F1704" t="str">
        <v>https://re.jrc.ec.europa.eu/api/v5_3/PVcalc?lat=30.0444&amp;lon=31.2357&amp;peakpower=1&amp;loss=14&amp;angle=25&amp;aspect=-15&amp;outputformat=json&amp;raddatabase=PVGIS-SARAH3&amp;pvtechchoice=crystSi&amp;mountingplace=free&amp;usehorizon=1</v>
      </c>
    </row>
    <row r="1705">
      <c r="A1705" t="n">
        <v>25</v>
      </c>
      <c r="B1705" t="n">
        <v>165</v>
      </c>
      <c r="C1705" t="n">
        <v>4</v>
      </c>
      <c r="D1705" s="218" t="n">
        <v>161.35</v>
      </c>
      <c r="E1705" s="218" t="n">
        <v>5.38</v>
      </c>
      <c r="F1705" t="str">
        <v>https://re.jrc.ec.europa.eu/api/v5_3/PVcalc?lat=30.0444&amp;lon=31.2357&amp;peakpower=1&amp;loss=14&amp;angle=25&amp;aspect=-15&amp;outputformat=json&amp;raddatabase=PVGIS-SARAH3&amp;pvtechchoice=crystSi&amp;mountingplace=free&amp;usehorizon=1</v>
      </c>
    </row>
    <row r="1706">
      <c r="A1706" t="n">
        <v>25</v>
      </c>
      <c r="B1706" t="n">
        <v>165</v>
      </c>
      <c r="C1706" t="n">
        <v>5</v>
      </c>
      <c r="D1706" s="218" t="n">
        <v>166.82</v>
      </c>
      <c r="E1706" s="218" t="n">
        <v>5.38</v>
      </c>
      <c r="F1706" t="str">
        <v>https://re.jrc.ec.europa.eu/api/v5_3/PVcalc?lat=30.0444&amp;lon=31.2357&amp;peakpower=1&amp;loss=14&amp;angle=25&amp;aspect=-15&amp;outputformat=json&amp;raddatabase=PVGIS-SARAH3&amp;pvtechchoice=crystSi&amp;mountingplace=free&amp;usehorizon=1</v>
      </c>
    </row>
    <row r="1707">
      <c r="A1707" t="n">
        <v>25</v>
      </c>
      <c r="B1707" t="n">
        <v>165</v>
      </c>
      <c r="C1707" t="n">
        <v>6</v>
      </c>
      <c r="D1707" s="218" t="n">
        <v>164.31</v>
      </c>
      <c r="E1707" s="218" t="n">
        <v>5.48</v>
      </c>
      <c r="F1707" t="str">
        <v>https://re.jrc.ec.europa.eu/api/v5_3/PVcalc?lat=30.0444&amp;lon=31.2357&amp;peakpower=1&amp;loss=14&amp;angle=25&amp;aspect=-15&amp;outputformat=json&amp;raddatabase=PVGIS-SARAH3&amp;pvtechchoice=crystSi&amp;mountingplace=free&amp;usehorizon=1</v>
      </c>
    </row>
    <row r="1708">
      <c r="A1708" t="n">
        <v>25</v>
      </c>
      <c r="B1708" t="n">
        <v>165</v>
      </c>
      <c r="C1708" t="n">
        <v>7</v>
      </c>
      <c r="D1708" s="218" t="n">
        <v>169.28</v>
      </c>
      <c r="E1708" s="218" t="n">
        <v>5.46</v>
      </c>
      <c r="F1708" t="str">
        <v>https://re.jrc.ec.europa.eu/api/v5_3/PVcalc?lat=30.0444&amp;lon=31.2357&amp;peakpower=1&amp;loss=14&amp;angle=25&amp;aspect=-15&amp;outputformat=json&amp;raddatabase=PVGIS-SARAH3&amp;pvtechchoice=crystSi&amp;mountingplace=free&amp;usehorizon=1</v>
      </c>
    </row>
    <row r="1709">
      <c r="A1709" t="n">
        <v>25</v>
      </c>
      <c r="B1709" t="n">
        <v>165</v>
      </c>
      <c r="C1709" t="n">
        <v>8</v>
      </c>
      <c r="D1709" s="218" t="n">
        <v>168.42</v>
      </c>
      <c r="E1709" s="218" t="n">
        <v>5.43</v>
      </c>
      <c r="F1709" t="str">
        <v>https://re.jrc.ec.europa.eu/api/v5_3/PVcalc?lat=30.0444&amp;lon=31.2357&amp;peakpower=1&amp;loss=14&amp;angle=25&amp;aspect=-15&amp;outputformat=json&amp;raddatabase=PVGIS-SARAH3&amp;pvtechchoice=crystSi&amp;mountingplace=free&amp;usehorizon=1</v>
      </c>
    </row>
    <row r="1710">
      <c r="A1710" t="n">
        <v>25</v>
      </c>
      <c r="B1710" t="n">
        <v>165</v>
      </c>
      <c r="C1710" t="n">
        <v>9</v>
      </c>
      <c r="D1710" s="218" t="n">
        <v>158.72</v>
      </c>
      <c r="E1710" s="218" t="n">
        <v>5.29</v>
      </c>
      <c r="F1710" t="str">
        <v>https://re.jrc.ec.europa.eu/api/v5_3/PVcalc?lat=30.0444&amp;lon=31.2357&amp;peakpower=1&amp;loss=14&amp;angle=25&amp;aspect=-15&amp;outputformat=json&amp;raddatabase=PVGIS-SARAH3&amp;pvtechchoice=crystSi&amp;mountingplace=free&amp;usehorizon=1</v>
      </c>
    </row>
    <row r="1711">
      <c r="A1711" t="n">
        <v>25</v>
      </c>
      <c r="B1711" t="n">
        <v>165</v>
      </c>
      <c r="C1711" t="n">
        <v>10</v>
      </c>
      <c r="D1711" s="218" t="n">
        <v>149.78</v>
      </c>
      <c r="E1711" s="218" t="n">
        <v>4.83</v>
      </c>
      <c r="F1711" t="str">
        <v>https://re.jrc.ec.europa.eu/api/v5_3/PVcalc?lat=30.0444&amp;lon=31.2357&amp;peakpower=1&amp;loss=14&amp;angle=25&amp;aspect=-15&amp;outputformat=json&amp;raddatabase=PVGIS-SARAH3&amp;pvtechchoice=crystSi&amp;mountingplace=free&amp;usehorizon=1</v>
      </c>
    </row>
    <row r="1712">
      <c r="A1712" t="n">
        <v>25</v>
      </c>
      <c r="B1712" t="n">
        <v>165</v>
      </c>
      <c r="C1712" t="n">
        <v>11</v>
      </c>
      <c r="D1712" s="218" t="n">
        <v>130.6</v>
      </c>
      <c r="E1712" s="218" t="n">
        <v>4.35</v>
      </c>
      <c r="F1712" t="str">
        <v>https://re.jrc.ec.europa.eu/api/v5_3/PVcalc?lat=30.0444&amp;lon=31.2357&amp;peakpower=1&amp;loss=14&amp;angle=25&amp;aspect=-15&amp;outputformat=json&amp;raddatabase=PVGIS-SARAH3&amp;pvtechchoice=crystSi&amp;mountingplace=free&amp;usehorizon=1</v>
      </c>
    </row>
    <row r="1713">
      <c r="A1713" t="n">
        <v>25</v>
      </c>
      <c r="B1713" t="n">
        <v>165</v>
      </c>
      <c r="C1713" t="n">
        <v>12</v>
      </c>
      <c r="D1713" s="218" t="n">
        <v>123.44</v>
      </c>
      <c r="E1713" s="218" t="n">
        <v>3.98</v>
      </c>
      <c r="F1713" t="str">
        <v>https://re.jrc.ec.europa.eu/api/v5_3/PVcalc?lat=30.0444&amp;lon=31.2357&amp;peakpower=1&amp;loss=14&amp;angle=25&amp;aspect=-15&amp;outputformat=json&amp;raddatabase=PVGIS-SARAH3&amp;pvtechchoice=crystSi&amp;mountingplace=free&amp;usehorizon=1</v>
      </c>
    </row>
    <row r="1714">
      <c r="A1714" t="n">
        <v>25</v>
      </c>
      <c r="B1714" t="n">
        <v>180</v>
      </c>
      <c r="C1714" t="n">
        <v>1</v>
      </c>
      <c r="D1714" s="218" t="n">
        <v>126.28</v>
      </c>
      <c r="E1714" s="218" t="n">
        <v>4.07</v>
      </c>
      <c r="F1714" t="str">
        <v>https://re.jrc.ec.europa.eu/api/v5_3/PVcalc?lat=30.0444&amp;lon=31.2357&amp;peakpower=1&amp;loss=14&amp;angle=25&amp;aspect=0&amp;outputformat=json&amp;raddatabase=PVGIS-SARAH3&amp;pvtechchoice=crystSi&amp;mountingplace=free&amp;usehorizon=1</v>
      </c>
    </row>
    <row r="1715">
      <c r="A1715" t="n">
        <v>25</v>
      </c>
      <c r="B1715" t="n">
        <v>180</v>
      </c>
      <c r="C1715" t="n">
        <v>2</v>
      </c>
      <c r="D1715" s="218" t="n">
        <v>126.22</v>
      </c>
      <c r="E1715" s="218" t="n">
        <v>4.51</v>
      </c>
      <c r="F1715" t="str">
        <v>https://re.jrc.ec.europa.eu/api/v5_3/PVcalc?lat=30.0444&amp;lon=31.2357&amp;peakpower=1&amp;loss=14&amp;angle=25&amp;aspect=0&amp;outputformat=json&amp;raddatabase=PVGIS-SARAH3&amp;pvtechchoice=crystSi&amp;mountingplace=free&amp;usehorizon=1</v>
      </c>
    </row>
    <row r="1716">
      <c r="A1716" t="n">
        <v>25</v>
      </c>
      <c r="B1716" t="n">
        <v>180</v>
      </c>
      <c r="C1716" t="n">
        <v>3</v>
      </c>
      <c r="D1716" s="218" t="n">
        <v>159.78</v>
      </c>
      <c r="E1716" s="218" t="n">
        <v>5.15</v>
      </c>
      <c r="F1716" t="str">
        <v>https://re.jrc.ec.europa.eu/api/v5_3/PVcalc?lat=30.0444&amp;lon=31.2357&amp;peakpower=1&amp;loss=14&amp;angle=25&amp;aspect=0&amp;outputformat=json&amp;raddatabase=PVGIS-SARAH3&amp;pvtechchoice=crystSi&amp;mountingplace=free&amp;usehorizon=1</v>
      </c>
    </row>
    <row r="1717">
      <c r="A1717" t="n">
        <v>25</v>
      </c>
      <c r="B1717" t="n">
        <v>180</v>
      </c>
      <c r="C1717" t="n">
        <v>4</v>
      </c>
      <c r="D1717" s="218" t="n">
        <v>162.65</v>
      </c>
      <c r="E1717" s="218" t="n">
        <v>5.42</v>
      </c>
      <c r="F1717" t="str">
        <v>https://re.jrc.ec.europa.eu/api/v5_3/PVcalc?lat=30.0444&amp;lon=31.2357&amp;peakpower=1&amp;loss=14&amp;angle=25&amp;aspect=0&amp;outputformat=json&amp;raddatabase=PVGIS-SARAH3&amp;pvtechchoice=crystSi&amp;mountingplace=free&amp;usehorizon=1</v>
      </c>
    </row>
    <row r="1718">
      <c r="A1718" t="n">
        <v>25</v>
      </c>
      <c r="B1718" t="n">
        <v>180</v>
      </c>
      <c r="C1718" t="n">
        <v>5</v>
      </c>
      <c r="D1718" s="218" t="n">
        <v>167.3</v>
      </c>
      <c r="E1718" s="218" t="n">
        <v>5.4</v>
      </c>
      <c r="F1718" t="str">
        <v>https://re.jrc.ec.europa.eu/api/v5_3/PVcalc?lat=30.0444&amp;lon=31.2357&amp;peakpower=1&amp;loss=14&amp;angle=25&amp;aspect=0&amp;outputformat=json&amp;raddatabase=PVGIS-SARAH3&amp;pvtechchoice=crystSi&amp;mountingplace=free&amp;usehorizon=1</v>
      </c>
    </row>
    <row r="1719">
      <c r="A1719" t="n">
        <v>25</v>
      </c>
      <c r="B1719" t="n">
        <v>180</v>
      </c>
      <c r="C1719" t="n">
        <v>6</v>
      </c>
      <c r="D1719" s="218" t="n">
        <v>164.68</v>
      </c>
      <c r="E1719" s="218" t="n">
        <v>5.49</v>
      </c>
      <c r="F1719" t="str">
        <v>https://re.jrc.ec.europa.eu/api/v5_3/PVcalc?lat=30.0444&amp;lon=31.2357&amp;peakpower=1&amp;loss=14&amp;angle=25&amp;aspect=0&amp;outputformat=json&amp;raddatabase=PVGIS-SARAH3&amp;pvtechchoice=crystSi&amp;mountingplace=free&amp;usehorizon=1</v>
      </c>
    </row>
    <row r="1720">
      <c r="A1720" t="n">
        <v>25</v>
      </c>
      <c r="B1720" t="n">
        <v>180</v>
      </c>
      <c r="C1720" t="n">
        <v>7</v>
      </c>
      <c r="D1720" s="218" t="n">
        <v>170.19</v>
      </c>
      <c r="E1720" s="218" t="n">
        <v>5.49</v>
      </c>
      <c r="F1720" t="str">
        <v>https://re.jrc.ec.europa.eu/api/v5_3/PVcalc?lat=30.0444&amp;lon=31.2357&amp;peakpower=1&amp;loss=14&amp;angle=25&amp;aspect=0&amp;outputformat=json&amp;raddatabase=PVGIS-SARAH3&amp;pvtechchoice=crystSi&amp;mountingplace=free&amp;usehorizon=1</v>
      </c>
    </row>
    <row r="1721">
      <c r="A1721" t="n">
        <v>25</v>
      </c>
      <c r="B1721" t="n">
        <v>180</v>
      </c>
      <c r="C1721" t="n">
        <v>8</v>
      </c>
      <c r="D1721" s="218" t="n">
        <v>169.87</v>
      </c>
      <c r="E1721" s="218" t="n">
        <v>5.48</v>
      </c>
      <c r="F1721" t="str">
        <v>https://re.jrc.ec.europa.eu/api/v5_3/PVcalc?lat=30.0444&amp;lon=31.2357&amp;peakpower=1&amp;loss=14&amp;angle=25&amp;aspect=0&amp;outputformat=json&amp;raddatabase=PVGIS-SARAH3&amp;pvtechchoice=crystSi&amp;mountingplace=free&amp;usehorizon=1</v>
      </c>
    </row>
    <row r="1722">
      <c r="A1722" t="n">
        <v>25</v>
      </c>
      <c r="B1722" t="n">
        <v>180</v>
      </c>
      <c r="C1722" t="n">
        <v>9</v>
      </c>
      <c r="D1722" s="218" t="n">
        <v>160.82</v>
      </c>
      <c r="E1722" s="218" t="n">
        <v>5.36</v>
      </c>
      <c r="F1722" t="str">
        <v>https://re.jrc.ec.europa.eu/api/v5_3/PVcalc?lat=30.0444&amp;lon=31.2357&amp;peakpower=1&amp;loss=14&amp;angle=25&amp;aspect=0&amp;outputformat=json&amp;raddatabase=PVGIS-SARAH3&amp;pvtechchoice=crystSi&amp;mountingplace=free&amp;usehorizon=1</v>
      </c>
    </row>
    <row r="1723">
      <c r="A1723" t="n">
        <v>25</v>
      </c>
      <c r="B1723" t="n">
        <v>180</v>
      </c>
      <c r="C1723" t="n">
        <v>10</v>
      </c>
      <c r="D1723" s="218" t="n">
        <v>151.42</v>
      </c>
      <c r="E1723" s="218" t="n">
        <v>4.88</v>
      </c>
      <c r="F1723" t="str">
        <v>https://re.jrc.ec.europa.eu/api/v5_3/PVcalc?lat=30.0444&amp;lon=31.2357&amp;peakpower=1&amp;loss=14&amp;angle=25&amp;aspect=0&amp;outputformat=json&amp;raddatabase=PVGIS-SARAH3&amp;pvtechchoice=crystSi&amp;mountingplace=free&amp;usehorizon=1</v>
      </c>
    </row>
    <row r="1724">
      <c r="A1724" t="n">
        <v>25</v>
      </c>
      <c r="B1724" t="n">
        <v>180</v>
      </c>
      <c r="C1724" t="n">
        <v>11</v>
      </c>
      <c r="D1724" s="218" t="n">
        <v>132.01</v>
      </c>
      <c r="E1724" s="218" t="n">
        <v>4.4</v>
      </c>
      <c r="F1724" t="str">
        <v>https://re.jrc.ec.europa.eu/api/v5_3/PVcalc?lat=30.0444&amp;lon=31.2357&amp;peakpower=1&amp;loss=14&amp;angle=25&amp;aspect=0&amp;outputformat=json&amp;raddatabase=PVGIS-SARAH3&amp;pvtechchoice=crystSi&amp;mountingplace=free&amp;usehorizon=1</v>
      </c>
    </row>
    <row r="1725">
      <c r="A1725" t="n">
        <v>25</v>
      </c>
      <c r="B1725" t="n">
        <v>180</v>
      </c>
      <c r="C1725" t="n">
        <v>12</v>
      </c>
      <c r="D1725" s="218" t="n">
        <v>124.74</v>
      </c>
      <c r="E1725" s="218" t="n">
        <v>4.02</v>
      </c>
      <c r="F1725" t="str">
        <v>https://re.jrc.ec.europa.eu/api/v5_3/PVcalc?lat=30.0444&amp;lon=31.2357&amp;peakpower=1&amp;loss=14&amp;angle=25&amp;aspect=0&amp;outputformat=json&amp;raddatabase=PVGIS-SARAH3&amp;pvtechchoice=crystSi&amp;mountingplace=free&amp;usehorizon=1</v>
      </c>
    </row>
    <row r="1726">
      <c r="A1726" t="n">
        <v>25</v>
      </c>
      <c r="B1726" t="n">
        <v>195</v>
      </c>
      <c r="C1726" t="n">
        <v>1</v>
      </c>
      <c r="D1726" s="218" t="n">
        <v>124.49</v>
      </c>
      <c r="E1726" s="218" t="n">
        <v>4.02</v>
      </c>
      <c r="F1726" t="str">
        <v>https://re.jrc.ec.europa.eu/api/v5_3/PVcalc?lat=30.0444&amp;lon=31.2357&amp;peakpower=1&amp;loss=14&amp;angle=25&amp;aspect=15&amp;outputformat=json&amp;raddatabase=PVGIS-SARAH3&amp;pvtechchoice=crystSi&amp;mountingplace=free&amp;usehorizon=1</v>
      </c>
    </row>
    <row r="1727">
      <c r="A1727" t="n">
        <v>25</v>
      </c>
      <c r="B1727" t="n">
        <v>195</v>
      </c>
      <c r="C1727" t="n">
        <v>2</v>
      </c>
      <c r="D1727" s="218" t="n">
        <v>124.69</v>
      </c>
      <c r="E1727" s="218" t="n">
        <v>4.45</v>
      </c>
      <c r="F1727" t="str">
        <v>https://re.jrc.ec.europa.eu/api/v5_3/PVcalc?lat=30.0444&amp;lon=31.2357&amp;peakpower=1&amp;loss=14&amp;angle=25&amp;aspect=15&amp;outputformat=json&amp;raddatabase=PVGIS-SARAH3&amp;pvtechchoice=crystSi&amp;mountingplace=free&amp;usehorizon=1</v>
      </c>
    </row>
    <row r="1728">
      <c r="A1728" t="n">
        <v>25</v>
      </c>
      <c r="B1728" t="n">
        <v>195</v>
      </c>
      <c r="C1728" t="n">
        <v>3</v>
      </c>
      <c r="D1728" s="218" t="n">
        <v>159.27</v>
      </c>
      <c r="E1728" s="218" t="n">
        <v>5.14</v>
      </c>
      <c r="F1728" t="str">
        <v>https://re.jrc.ec.europa.eu/api/v5_3/PVcalc?lat=30.0444&amp;lon=31.2357&amp;peakpower=1&amp;loss=14&amp;angle=25&amp;aspect=15&amp;outputformat=json&amp;raddatabase=PVGIS-SARAH3&amp;pvtechchoice=crystSi&amp;mountingplace=free&amp;usehorizon=1</v>
      </c>
    </row>
    <row r="1729">
      <c r="A1729" t="n">
        <v>25</v>
      </c>
      <c r="B1729" t="n">
        <v>195</v>
      </c>
      <c r="C1729" t="n">
        <v>4</v>
      </c>
      <c r="D1729" s="218" t="n">
        <v>162.97</v>
      </c>
      <c r="E1729" s="218" t="n">
        <v>5.43</v>
      </c>
      <c r="F1729" t="str">
        <v>https://re.jrc.ec.europa.eu/api/v5_3/PVcalc?lat=30.0444&amp;lon=31.2357&amp;peakpower=1&amp;loss=14&amp;angle=25&amp;aspect=15&amp;outputformat=json&amp;raddatabase=PVGIS-SARAH3&amp;pvtechchoice=crystSi&amp;mountingplace=free&amp;usehorizon=1</v>
      </c>
    </row>
    <row r="1730">
      <c r="A1730" t="n">
        <v>25</v>
      </c>
      <c r="B1730" t="n">
        <v>195</v>
      </c>
      <c r="C1730" t="n">
        <v>5</v>
      </c>
      <c r="D1730" s="218" t="n">
        <v>167.77</v>
      </c>
      <c r="E1730" s="218" t="n">
        <v>5.41</v>
      </c>
      <c r="F1730" t="str">
        <v>https://re.jrc.ec.europa.eu/api/v5_3/PVcalc?lat=30.0444&amp;lon=31.2357&amp;peakpower=1&amp;loss=14&amp;angle=25&amp;aspect=15&amp;outputformat=json&amp;raddatabase=PVGIS-SARAH3&amp;pvtechchoice=crystSi&amp;mountingplace=free&amp;usehorizon=1</v>
      </c>
    </row>
    <row r="1731">
      <c r="A1731" t="n">
        <v>25</v>
      </c>
      <c r="B1731" t="n">
        <v>195</v>
      </c>
      <c r="C1731" t="n">
        <v>6</v>
      </c>
      <c r="D1731" s="218" t="n">
        <v>165.79</v>
      </c>
      <c r="E1731" s="218" t="n">
        <v>5.53</v>
      </c>
      <c r="F1731" t="str">
        <v>https://re.jrc.ec.europa.eu/api/v5_3/PVcalc?lat=30.0444&amp;lon=31.2357&amp;peakpower=1&amp;loss=14&amp;angle=25&amp;aspect=15&amp;outputformat=json&amp;raddatabase=PVGIS-SARAH3&amp;pvtechchoice=crystSi&amp;mountingplace=free&amp;usehorizon=1</v>
      </c>
    </row>
    <row r="1732">
      <c r="A1732" t="n">
        <v>25</v>
      </c>
      <c r="B1732" t="n">
        <v>195</v>
      </c>
      <c r="C1732" t="n">
        <v>7</v>
      </c>
      <c r="D1732" s="218" t="n">
        <v>171.63</v>
      </c>
      <c r="E1732" s="218" t="n">
        <v>5.54</v>
      </c>
      <c r="F1732" t="str">
        <v>https://re.jrc.ec.europa.eu/api/v5_3/PVcalc?lat=30.0444&amp;lon=31.2357&amp;peakpower=1&amp;loss=14&amp;angle=25&amp;aspect=15&amp;outputformat=json&amp;raddatabase=PVGIS-SARAH3&amp;pvtechchoice=crystSi&amp;mountingplace=free&amp;usehorizon=1</v>
      </c>
    </row>
    <row r="1733">
      <c r="A1733" t="n">
        <v>25</v>
      </c>
      <c r="B1733" t="n">
        <v>195</v>
      </c>
      <c r="C1733" t="n">
        <v>8</v>
      </c>
      <c r="D1733" s="218" t="n">
        <v>170.83</v>
      </c>
      <c r="E1733" s="218" t="n">
        <v>5.51</v>
      </c>
      <c r="F1733" t="str">
        <v>https://re.jrc.ec.europa.eu/api/v5_3/PVcalc?lat=30.0444&amp;lon=31.2357&amp;peakpower=1&amp;loss=14&amp;angle=25&amp;aspect=15&amp;outputformat=json&amp;raddatabase=PVGIS-SARAH3&amp;pvtechchoice=crystSi&amp;mountingplace=free&amp;usehorizon=1</v>
      </c>
    </row>
    <row r="1734">
      <c r="A1734" t="n">
        <v>25</v>
      </c>
      <c r="B1734" t="n">
        <v>195</v>
      </c>
      <c r="C1734" t="n">
        <v>9</v>
      </c>
      <c r="D1734" s="218" t="n">
        <v>161.15</v>
      </c>
      <c r="E1734" s="218" t="n">
        <v>5.37</v>
      </c>
      <c r="F1734" t="str">
        <v>https://re.jrc.ec.europa.eu/api/v5_3/PVcalc?lat=30.0444&amp;lon=31.2357&amp;peakpower=1&amp;loss=14&amp;angle=25&amp;aspect=15&amp;outputformat=json&amp;raddatabase=PVGIS-SARAH3&amp;pvtechchoice=crystSi&amp;mountingplace=free&amp;usehorizon=1</v>
      </c>
    </row>
    <row r="1735">
      <c r="A1735" t="n">
        <v>25</v>
      </c>
      <c r="B1735" t="n">
        <v>195</v>
      </c>
      <c r="C1735" t="n">
        <v>10</v>
      </c>
      <c r="D1735" s="218" t="n">
        <v>150.38</v>
      </c>
      <c r="E1735" s="218" t="n">
        <v>4.85</v>
      </c>
      <c r="F1735" t="str">
        <v>https://re.jrc.ec.europa.eu/api/v5_3/PVcalc?lat=30.0444&amp;lon=31.2357&amp;peakpower=1&amp;loss=14&amp;angle=25&amp;aspect=15&amp;outputformat=json&amp;raddatabase=PVGIS-SARAH3&amp;pvtechchoice=crystSi&amp;mountingplace=free&amp;usehorizon=1</v>
      </c>
    </row>
    <row r="1736">
      <c r="A1736" t="n">
        <v>25</v>
      </c>
      <c r="B1736" t="n">
        <v>195</v>
      </c>
      <c r="C1736" t="n">
        <v>11</v>
      </c>
      <c r="D1736" s="218" t="n">
        <v>130.34</v>
      </c>
      <c r="E1736" s="218" t="n">
        <v>4.34</v>
      </c>
      <c r="F1736" t="str">
        <v>https://re.jrc.ec.europa.eu/api/v5_3/PVcalc?lat=30.0444&amp;lon=31.2357&amp;peakpower=1&amp;loss=14&amp;angle=25&amp;aspect=15&amp;outputformat=json&amp;raddatabase=PVGIS-SARAH3&amp;pvtechchoice=crystSi&amp;mountingplace=free&amp;usehorizon=1</v>
      </c>
    </row>
    <row r="1737">
      <c r="A1737" t="n">
        <v>25</v>
      </c>
      <c r="B1737" t="n">
        <v>195</v>
      </c>
      <c r="C1737" t="n">
        <v>12</v>
      </c>
      <c r="D1737" s="218" t="n">
        <v>122.85</v>
      </c>
      <c r="E1737" s="218" t="n">
        <v>3.96</v>
      </c>
      <c r="F1737" t="str">
        <v>https://re.jrc.ec.europa.eu/api/v5_3/PVcalc?lat=30.0444&amp;lon=31.2357&amp;peakpower=1&amp;loss=14&amp;angle=25&amp;aspect=15&amp;outputformat=json&amp;raddatabase=PVGIS-SARAH3&amp;pvtechchoice=crystSi&amp;mountingplace=free&amp;usehorizon=1</v>
      </c>
    </row>
    <row r="1738">
      <c r="A1738" t="n">
        <v>25</v>
      </c>
      <c r="B1738" t="n">
        <v>210</v>
      </c>
      <c r="C1738" t="n">
        <v>1</v>
      </c>
      <c r="D1738" s="218" t="n">
        <v>119.83</v>
      </c>
      <c r="E1738" s="218" t="n">
        <v>3.87</v>
      </c>
      <c r="F1738" t="str">
        <v>https://re.jrc.ec.europa.eu/api/v5_3/PVcalc?lat=30.0444&amp;lon=31.2357&amp;peakpower=1&amp;loss=14&amp;angle=25&amp;aspect=30&amp;outputformat=json&amp;raddatabase=PVGIS-SARAH3&amp;pvtechchoice=crystSi&amp;mountingplace=free&amp;usehorizon=1</v>
      </c>
    </row>
    <row r="1739">
      <c r="A1739" t="n">
        <v>25</v>
      </c>
      <c r="B1739" t="n">
        <v>210</v>
      </c>
      <c r="C1739" t="n">
        <v>2</v>
      </c>
      <c r="D1739" s="218" t="n">
        <v>121.03</v>
      </c>
      <c r="E1739" s="218" t="n">
        <v>4.32</v>
      </c>
      <c r="F1739" t="str">
        <v>https://re.jrc.ec.europa.eu/api/v5_3/PVcalc?lat=30.0444&amp;lon=31.2357&amp;peakpower=1&amp;loss=14&amp;angle=25&amp;aspect=30&amp;outputformat=json&amp;raddatabase=PVGIS-SARAH3&amp;pvtechchoice=crystSi&amp;mountingplace=free&amp;usehorizon=1</v>
      </c>
    </row>
    <row r="1740">
      <c r="A1740" t="n">
        <v>25</v>
      </c>
      <c r="B1740" t="n">
        <v>210</v>
      </c>
      <c r="C1740" t="n">
        <v>3</v>
      </c>
      <c r="D1740" s="218" t="n">
        <v>156.76</v>
      </c>
      <c r="E1740" s="218" t="n">
        <v>5.06</v>
      </c>
      <c r="F1740" t="str">
        <v>https://re.jrc.ec.europa.eu/api/v5_3/PVcalc?lat=30.0444&amp;lon=31.2357&amp;peakpower=1&amp;loss=14&amp;angle=25&amp;aspect=30&amp;outputformat=json&amp;raddatabase=PVGIS-SARAH3&amp;pvtechchoice=crystSi&amp;mountingplace=free&amp;usehorizon=1</v>
      </c>
    </row>
    <row r="1741">
      <c r="A1741" t="n">
        <v>25</v>
      </c>
      <c r="B1741" t="n">
        <v>210</v>
      </c>
      <c r="C1741" t="n">
        <v>4</v>
      </c>
      <c r="D1741" s="218" t="n">
        <v>162.1</v>
      </c>
      <c r="E1741" s="218" t="n">
        <v>5.4</v>
      </c>
      <c r="F1741" t="str">
        <v>https://re.jrc.ec.europa.eu/api/v5_3/PVcalc?lat=30.0444&amp;lon=31.2357&amp;peakpower=1&amp;loss=14&amp;angle=25&amp;aspect=30&amp;outputformat=json&amp;raddatabase=PVGIS-SARAH3&amp;pvtechchoice=crystSi&amp;mountingplace=free&amp;usehorizon=1</v>
      </c>
    </row>
    <row r="1742">
      <c r="A1742" t="n">
        <v>25</v>
      </c>
      <c r="B1742" t="n">
        <v>210</v>
      </c>
      <c r="C1742" t="n">
        <v>5</v>
      </c>
      <c r="D1742" s="218" t="n">
        <v>168.51</v>
      </c>
      <c r="E1742" s="218" t="n">
        <v>5.44</v>
      </c>
      <c r="F1742" t="str">
        <v>https://re.jrc.ec.europa.eu/api/v5_3/PVcalc?lat=30.0444&amp;lon=31.2357&amp;peakpower=1&amp;loss=14&amp;angle=25&amp;aspect=30&amp;outputformat=json&amp;raddatabase=PVGIS-SARAH3&amp;pvtechchoice=crystSi&amp;mountingplace=free&amp;usehorizon=1</v>
      </c>
    </row>
    <row r="1743">
      <c r="A1743" t="n">
        <v>25</v>
      </c>
      <c r="B1743" t="n">
        <v>210</v>
      </c>
      <c r="C1743" t="n">
        <v>6</v>
      </c>
      <c r="D1743" s="218" t="n">
        <v>167.68</v>
      </c>
      <c r="E1743" s="218" t="n">
        <v>5.59</v>
      </c>
      <c r="F1743" t="str">
        <v>https://re.jrc.ec.europa.eu/api/v5_3/PVcalc?lat=30.0444&amp;lon=31.2357&amp;peakpower=1&amp;loss=14&amp;angle=25&amp;aspect=30&amp;outputformat=json&amp;raddatabase=PVGIS-SARAH3&amp;pvtechchoice=crystSi&amp;mountingplace=free&amp;usehorizon=1</v>
      </c>
    </row>
    <row r="1744">
      <c r="A1744" t="n">
        <v>25</v>
      </c>
      <c r="B1744" t="n">
        <v>210</v>
      </c>
      <c r="C1744" t="n">
        <v>7</v>
      </c>
      <c r="D1744" s="218" t="n">
        <v>173.47</v>
      </c>
      <c r="E1744" s="218" t="n">
        <v>5.6</v>
      </c>
      <c r="F1744" t="str">
        <v>https://re.jrc.ec.europa.eu/api/v5_3/PVcalc?lat=30.0444&amp;lon=31.2357&amp;peakpower=1&amp;loss=14&amp;angle=25&amp;aspect=30&amp;outputformat=json&amp;raddatabase=PVGIS-SARAH3&amp;pvtechchoice=crystSi&amp;mountingplace=free&amp;usehorizon=1</v>
      </c>
    </row>
    <row r="1745">
      <c r="A1745" t="n">
        <v>25</v>
      </c>
      <c r="B1745" t="n">
        <v>210</v>
      </c>
      <c r="C1745" t="n">
        <v>8</v>
      </c>
      <c r="D1745" s="218" t="n">
        <v>171.16</v>
      </c>
      <c r="E1745" s="218" t="n">
        <v>5.52</v>
      </c>
      <c r="F1745" t="str">
        <v>https://re.jrc.ec.europa.eu/api/v5_3/PVcalc?lat=30.0444&amp;lon=31.2357&amp;peakpower=1&amp;loss=14&amp;angle=25&amp;aspect=30&amp;outputformat=json&amp;raddatabase=PVGIS-SARAH3&amp;pvtechchoice=crystSi&amp;mountingplace=free&amp;usehorizon=1</v>
      </c>
    </row>
    <row r="1746">
      <c r="A1746" t="n">
        <v>25</v>
      </c>
      <c r="B1746" t="n">
        <v>210</v>
      </c>
      <c r="C1746" t="n">
        <v>9</v>
      </c>
      <c r="D1746" s="218" t="n">
        <v>159.6</v>
      </c>
      <c r="E1746" s="218" t="n">
        <v>5.32</v>
      </c>
      <c r="F1746" t="str">
        <v>https://re.jrc.ec.europa.eu/api/v5_3/PVcalc?lat=30.0444&amp;lon=31.2357&amp;peakpower=1&amp;loss=14&amp;angle=25&amp;aspect=30&amp;outputformat=json&amp;raddatabase=PVGIS-SARAH3&amp;pvtechchoice=crystSi&amp;mountingplace=free&amp;usehorizon=1</v>
      </c>
    </row>
    <row r="1747">
      <c r="A1747" t="n">
        <v>25</v>
      </c>
      <c r="B1747" t="n">
        <v>210</v>
      </c>
      <c r="C1747" t="n">
        <v>10</v>
      </c>
      <c r="D1747" s="218" t="n">
        <v>146.75</v>
      </c>
      <c r="E1747" s="218" t="n">
        <v>4.73</v>
      </c>
      <c r="F1747" t="str">
        <v>https://re.jrc.ec.europa.eu/api/v5_3/PVcalc?lat=30.0444&amp;lon=31.2357&amp;peakpower=1&amp;loss=14&amp;angle=25&amp;aspect=30&amp;outputformat=json&amp;raddatabase=PVGIS-SARAH3&amp;pvtechchoice=crystSi&amp;mountingplace=free&amp;usehorizon=1</v>
      </c>
    </row>
    <row r="1748">
      <c r="A1748" t="n">
        <v>25</v>
      </c>
      <c r="B1748" t="n">
        <v>210</v>
      </c>
      <c r="C1748" t="n">
        <v>11</v>
      </c>
      <c r="D1748" s="218" t="n">
        <v>125.77</v>
      </c>
      <c r="E1748" s="218" t="n">
        <v>4.19</v>
      </c>
      <c r="F1748" t="str">
        <v>https://re.jrc.ec.europa.eu/api/v5_3/PVcalc?lat=30.0444&amp;lon=31.2357&amp;peakpower=1&amp;loss=14&amp;angle=25&amp;aspect=30&amp;outputformat=json&amp;raddatabase=PVGIS-SARAH3&amp;pvtechchoice=crystSi&amp;mountingplace=free&amp;usehorizon=1</v>
      </c>
    </row>
    <row r="1749">
      <c r="A1749" t="n">
        <v>25</v>
      </c>
      <c r="B1749" t="n">
        <v>210</v>
      </c>
      <c r="C1749" t="n">
        <v>12</v>
      </c>
      <c r="D1749" s="218" t="n">
        <v>117.95</v>
      </c>
      <c r="E1749" s="218" t="n">
        <v>3.8</v>
      </c>
      <c r="F1749" t="str">
        <v>https://re.jrc.ec.europa.eu/api/v5_3/PVcalc?lat=30.0444&amp;lon=31.2357&amp;peakpower=1&amp;loss=14&amp;angle=25&amp;aspect=30&amp;outputformat=json&amp;raddatabase=PVGIS-SARAH3&amp;pvtechchoice=crystSi&amp;mountingplace=free&amp;usehorizon=1</v>
      </c>
    </row>
    <row r="1750">
      <c r="A1750" t="n">
        <v>25</v>
      </c>
      <c r="B1750" t="n">
        <v>225</v>
      </c>
      <c r="C1750" t="n">
        <v>1</v>
      </c>
      <c r="D1750" s="218" t="n">
        <v>112.68</v>
      </c>
      <c r="E1750" s="218" t="n">
        <v>3.63</v>
      </c>
      <c r="F1750" t="str">
        <v>https://re.jrc.ec.europa.eu/api/v5_3/PVcalc?lat=30.0444&amp;lon=31.2357&amp;peakpower=1&amp;loss=14&amp;angle=25&amp;aspect=45&amp;outputformat=json&amp;raddatabase=PVGIS-SARAH3&amp;pvtechchoice=crystSi&amp;mountingplace=free&amp;usehorizon=1</v>
      </c>
    </row>
    <row r="1751">
      <c r="A1751" t="n">
        <v>25</v>
      </c>
      <c r="B1751" t="n">
        <v>225</v>
      </c>
      <c r="C1751" t="n">
        <v>2</v>
      </c>
      <c r="D1751" s="218" t="n">
        <v>115.7</v>
      </c>
      <c r="E1751" s="218" t="n">
        <v>4.13</v>
      </c>
      <c r="F1751" t="str">
        <v>https://re.jrc.ec.europa.eu/api/v5_3/PVcalc?lat=30.0444&amp;lon=31.2357&amp;peakpower=1&amp;loss=14&amp;angle=25&amp;aspect=45&amp;outputformat=json&amp;raddatabase=PVGIS-SARAH3&amp;pvtechchoice=crystSi&amp;mountingplace=free&amp;usehorizon=1</v>
      </c>
    </row>
    <row r="1752">
      <c r="A1752" t="n">
        <v>25</v>
      </c>
      <c r="B1752" t="n">
        <v>225</v>
      </c>
      <c r="C1752" t="n">
        <v>3</v>
      </c>
      <c r="D1752" s="218" t="n">
        <v>152.97</v>
      </c>
      <c r="E1752" s="218" t="n">
        <v>4.93</v>
      </c>
      <c r="F1752" t="str">
        <v>https://re.jrc.ec.europa.eu/api/v5_3/PVcalc?lat=30.0444&amp;lon=31.2357&amp;peakpower=1&amp;loss=14&amp;angle=25&amp;aspect=45&amp;outputformat=json&amp;raddatabase=PVGIS-SARAH3&amp;pvtechchoice=crystSi&amp;mountingplace=free&amp;usehorizon=1</v>
      </c>
    </row>
    <row r="1753">
      <c r="A1753" t="n">
        <v>25</v>
      </c>
      <c r="B1753" t="n">
        <v>225</v>
      </c>
      <c r="C1753" t="n">
        <v>4</v>
      </c>
      <c r="D1753" s="218" t="n">
        <v>160.24</v>
      </c>
      <c r="E1753" s="218" t="n">
        <v>5.34</v>
      </c>
      <c r="F1753" t="str">
        <v>https://re.jrc.ec.europa.eu/api/v5_3/PVcalc?lat=30.0444&amp;lon=31.2357&amp;peakpower=1&amp;loss=14&amp;angle=25&amp;aspect=45&amp;outputformat=json&amp;raddatabase=PVGIS-SARAH3&amp;pvtechchoice=crystSi&amp;mountingplace=free&amp;usehorizon=1</v>
      </c>
    </row>
    <row r="1754">
      <c r="A1754" t="n">
        <v>25</v>
      </c>
      <c r="B1754" t="n">
        <v>225</v>
      </c>
      <c r="C1754" t="n">
        <v>5</v>
      </c>
      <c r="D1754" s="218" t="n">
        <v>168.73</v>
      </c>
      <c r="E1754" s="218" t="n">
        <v>5.44</v>
      </c>
      <c r="F1754" t="str">
        <v>https://re.jrc.ec.europa.eu/api/v5_3/PVcalc?lat=30.0444&amp;lon=31.2357&amp;peakpower=1&amp;loss=14&amp;angle=25&amp;aspect=45&amp;outputformat=json&amp;raddatabase=PVGIS-SARAH3&amp;pvtechchoice=crystSi&amp;mountingplace=free&amp;usehorizon=1</v>
      </c>
    </row>
    <row r="1755">
      <c r="A1755" t="n">
        <v>25</v>
      </c>
      <c r="B1755" t="n">
        <v>225</v>
      </c>
      <c r="C1755" t="n">
        <v>6</v>
      </c>
      <c r="D1755" s="218" t="n">
        <v>169.54</v>
      </c>
      <c r="E1755" s="218" t="n">
        <v>5.65</v>
      </c>
      <c r="F1755" t="str">
        <v>https://re.jrc.ec.europa.eu/api/v5_3/PVcalc?lat=30.0444&amp;lon=31.2357&amp;peakpower=1&amp;loss=14&amp;angle=25&amp;aspect=45&amp;outputformat=json&amp;raddatabase=PVGIS-SARAH3&amp;pvtechchoice=crystSi&amp;mountingplace=free&amp;usehorizon=1</v>
      </c>
    </row>
    <row r="1756">
      <c r="A1756" t="n">
        <v>25</v>
      </c>
      <c r="B1756" t="n">
        <v>225</v>
      </c>
      <c r="C1756" t="n">
        <v>7</v>
      </c>
      <c r="D1756" s="218" t="n">
        <v>175.1</v>
      </c>
      <c r="E1756" s="218" t="n">
        <v>5.65</v>
      </c>
      <c r="F1756" t="str">
        <v>https://re.jrc.ec.europa.eu/api/v5_3/PVcalc?lat=30.0444&amp;lon=31.2357&amp;peakpower=1&amp;loss=14&amp;angle=25&amp;aspect=45&amp;outputformat=json&amp;raddatabase=PVGIS-SARAH3&amp;pvtechchoice=crystSi&amp;mountingplace=free&amp;usehorizon=1</v>
      </c>
    </row>
    <row r="1757">
      <c r="A1757" t="n">
        <v>25</v>
      </c>
      <c r="B1757" t="n">
        <v>225</v>
      </c>
      <c r="C1757" t="n">
        <v>8</v>
      </c>
      <c r="D1757" s="218" t="n">
        <v>170.67</v>
      </c>
      <c r="E1757" s="218" t="n">
        <v>5.51</v>
      </c>
      <c r="F1757" t="str">
        <v>https://re.jrc.ec.europa.eu/api/v5_3/PVcalc?lat=30.0444&amp;lon=31.2357&amp;peakpower=1&amp;loss=14&amp;angle=25&amp;aspect=45&amp;outputformat=json&amp;raddatabase=PVGIS-SARAH3&amp;pvtechchoice=crystSi&amp;mountingplace=free&amp;usehorizon=1</v>
      </c>
    </row>
    <row r="1758">
      <c r="A1758" t="n">
        <v>25</v>
      </c>
      <c r="B1758" t="n">
        <v>225</v>
      </c>
      <c r="C1758" t="n">
        <v>9</v>
      </c>
      <c r="D1758" s="218" t="n">
        <v>156.47</v>
      </c>
      <c r="E1758" s="218" t="n">
        <v>5.22</v>
      </c>
      <c r="F1758" t="str">
        <v>https://re.jrc.ec.europa.eu/api/v5_3/PVcalc?lat=30.0444&amp;lon=31.2357&amp;peakpower=1&amp;loss=14&amp;angle=25&amp;aspect=45&amp;outputformat=json&amp;raddatabase=PVGIS-SARAH3&amp;pvtechchoice=crystSi&amp;mountingplace=free&amp;usehorizon=1</v>
      </c>
    </row>
    <row r="1759">
      <c r="A1759" t="n">
        <v>25</v>
      </c>
      <c r="B1759" t="n">
        <v>225</v>
      </c>
      <c r="C1759" t="n">
        <v>10</v>
      </c>
      <c r="D1759" s="218" t="n">
        <v>141</v>
      </c>
      <c r="E1759" s="218" t="n">
        <v>4.55</v>
      </c>
      <c r="F1759" t="str">
        <v>https://re.jrc.ec.europa.eu/api/v5_3/PVcalc?lat=30.0444&amp;lon=31.2357&amp;peakpower=1&amp;loss=14&amp;angle=25&amp;aspect=45&amp;outputformat=json&amp;raddatabase=PVGIS-SARAH3&amp;pvtechchoice=crystSi&amp;mountingplace=free&amp;usehorizon=1</v>
      </c>
    </row>
    <row r="1760">
      <c r="A1760" t="n">
        <v>25</v>
      </c>
      <c r="B1760" t="n">
        <v>225</v>
      </c>
      <c r="C1760" t="n">
        <v>11</v>
      </c>
      <c r="D1760" s="218" t="n">
        <v>118.89</v>
      </c>
      <c r="E1760" s="218" t="n">
        <v>3.96</v>
      </c>
      <c r="F1760" t="str">
        <v>https://re.jrc.ec.europa.eu/api/v5_3/PVcalc?lat=30.0444&amp;lon=31.2357&amp;peakpower=1&amp;loss=14&amp;angle=25&amp;aspect=45&amp;outputformat=json&amp;raddatabase=PVGIS-SARAH3&amp;pvtechchoice=crystSi&amp;mountingplace=free&amp;usehorizon=1</v>
      </c>
    </row>
    <row r="1761">
      <c r="A1761" t="n">
        <v>25</v>
      </c>
      <c r="B1761" t="n">
        <v>225</v>
      </c>
      <c r="C1761" t="n">
        <v>12</v>
      </c>
      <c r="D1761" s="218" t="n">
        <v>110.58</v>
      </c>
      <c r="E1761" s="218" t="n">
        <v>3.57</v>
      </c>
      <c r="F1761" t="str">
        <v>https://re.jrc.ec.europa.eu/api/v5_3/PVcalc?lat=30.0444&amp;lon=31.2357&amp;peakpower=1&amp;loss=14&amp;angle=25&amp;aspect=45&amp;outputformat=json&amp;raddatabase=PVGIS-SARAH3&amp;pvtechchoice=crystSi&amp;mountingplace=free&amp;usehorizon=1</v>
      </c>
    </row>
    <row r="1762">
      <c r="A1762" t="n">
        <v>25</v>
      </c>
      <c r="B1762" t="n">
        <v>240</v>
      </c>
      <c r="C1762" t="n">
        <v>1</v>
      </c>
      <c r="D1762" s="218" t="n">
        <v>103.67</v>
      </c>
      <c r="E1762" s="218" t="n">
        <v>3.34</v>
      </c>
      <c r="F1762" t="str">
        <v>https://re.jrc.ec.europa.eu/api/v5_3/PVcalc?lat=30.0444&amp;lon=31.2357&amp;peakpower=1&amp;loss=14&amp;angle=25&amp;aspect=60&amp;outputformat=json&amp;raddatabase=PVGIS-SARAH3&amp;pvtechchoice=crystSi&amp;mountingplace=free&amp;usehorizon=1</v>
      </c>
    </row>
    <row r="1763">
      <c r="A1763" t="n">
        <v>25</v>
      </c>
      <c r="B1763" t="n">
        <v>240</v>
      </c>
      <c r="C1763" t="n">
        <v>2</v>
      </c>
      <c r="D1763" s="218" t="n">
        <v>108.81</v>
      </c>
      <c r="E1763" s="218" t="n">
        <v>3.89</v>
      </c>
      <c r="F1763" t="str">
        <v>https://re.jrc.ec.europa.eu/api/v5_3/PVcalc?lat=30.0444&amp;lon=31.2357&amp;peakpower=1&amp;loss=14&amp;angle=25&amp;aspect=60&amp;outputformat=json&amp;raddatabase=PVGIS-SARAH3&amp;pvtechchoice=crystSi&amp;mountingplace=free&amp;usehorizon=1</v>
      </c>
    </row>
    <row r="1764">
      <c r="A1764" t="n">
        <v>25</v>
      </c>
      <c r="B1764" t="n">
        <v>240</v>
      </c>
      <c r="C1764" t="n">
        <v>3</v>
      </c>
      <c r="D1764" s="218" t="n">
        <v>147.61</v>
      </c>
      <c r="E1764" s="218" t="n">
        <v>4.76</v>
      </c>
      <c r="F1764" t="str">
        <v>https://re.jrc.ec.europa.eu/api/v5_3/PVcalc?lat=30.0444&amp;lon=31.2357&amp;peakpower=1&amp;loss=14&amp;angle=25&amp;aspect=60&amp;outputformat=json&amp;raddatabase=PVGIS-SARAH3&amp;pvtechchoice=crystSi&amp;mountingplace=free&amp;usehorizon=1</v>
      </c>
    </row>
    <row r="1765">
      <c r="A1765" t="n">
        <v>25</v>
      </c>
      <c r="B1765" t="n">
        <v>240</v>
      </c>
      <c r="C1765" t="n">
        <v>4</v>
      </c>
      <c r="D1765" s="218" t="n">
        <v>158.04</v>
      </c>
      <c r="E1765" s="218" t="n">
        <v>5.27</v>
      </c>
      <c r="F1765" t="str">
        <v>https://re.jrc.ec.europa.eu/api/v5_3/PVcalc?lat=30.0444&amp;lon=31.2357&amp;peakpower=1&amp;loss=14&amp;angle=25&amp;aspect=60&amp;outputformat=json&amp;raddatabase=PVGIS-SARAH3&amp;pvtechchoice=crystSi&amp;mountingplace=free&amp;usehorizon=1</v>
      </c>
    </row>
    <row r="1766">
      <c r="A1766" t="n">
        <v>25</v>
      </c>
      <c r="B1766" t="n">
        <v>240</v>
      </c>
      <c r="C1766" t="n">
        <v>5</v>
      </c>
      <c r="D1766" s="218" t="n">
        <v>168.59</v>
      </c>
      <c r="E1766" s="218" t="n">
        <v>5.44</v>
      </c>
      <c r="F1766" t="str">
        <v>https://re.jrc.ec.europa.eu/api/v5_3/PVcalc?lat=30.0444&amp;lon=31.2357&amp;peakpower=1&amp;loss=14&amp;angle=25&amp;aspect=60&amp;outputformat=json&amp;raddatabase=PVGIS-SARAH3&amp;pvtechchoice=crystSi&amp;mountingplace=free&amp;usehorizon=1</v>
      </c>
    </row>
    <row r="1767">
      <c r="A1767" t="n">
        <v>25</v>
      </c>
      <c r="B1767" t="n">
        <v>240</v>
      </c>
      <c r="C1767" t="n">
        <v>6</v>
      </c>
      <c r="D1767" s="218" t="n">
        <v>171.2</v>
      </c>
      <c r="E1767" s="218" t="n">
        <v>5.71</v>
      </c>
      <c r="F1767" t="str">
        <v>https://re.jrc.ec.europa.eu/api/v5_3/PVcalc?lat=30.0444&amp;lon=31.2357&amp;peakpower=1&amp;loss=14&amp;angle=25&amp;aspect=60&amp;outputformat=json&amp;raddatabase=PVGIS-SARAH3&amp;pvtechchoice=crystSi&amp;mountingplace=free&amp;usehorizon=1</v>
      </c>
    </row>
    <row r="1768">
      <c r="A1768" t="n">
        <v>25</v>
      </c>
      <c r="B1768" t="n">
        <v>240</v>
      </c>
      <c r="C1768" t="n">
        <v>7</v>
      </c>
      <c r="D1768" s="218" t="n">
        <v>176.4</v>
      </c>
      <c r="E1768" s="218" t="n">
        <v>5.69</v>
      </c>
      <c r="F1768" t="str">
        <v>https://re.jrc.ec.europa.eu/api/v5_3/PVcalc?lat=30.0444&amp;lon=31.2357&amp;peakpower=1&amp;loss=14&amp;angle=25&amp;aspect=60&amp;outputformat=json&amp;raddatabase=PVGIS-SARAH3&amp;pvtechchoice=crystSi&amp;mountingplace=free&amp;usehorizon=1</v>
      </c>
    </row>
    <row r="1769">
      <c r="A1769" t="n">
        <v>25</v>
      </c>
      <c r="B1769" t="n">
        <v>240</v>
      </c>
      <c r="C1769" t="n">
        <v>8</v>
      </c>
      <c r="D1769" s="218" t="n">
        <v>170.1</v>
      </c>
      <c r="E1769" s="218" t="n">
        <v>5.49</v>
      </c>
      <c r="F1769" t="str">
        <v>https://re.jrc.ec.europa.eu/api/v5_3/PVcalc?lat=30.0444&amp;lon=31.2357&amp;peakpower=1&amp;loss=14&amp;angle=25&amp;aspect=60&amp;outputformat=json&amp;raddatabase=PVGIS-SARAH3&amp;pvtechchoice=crystSi&amp;mountingplace=free&amp;usehorizon=1</v>
      </c>
    </row>
    <row r="1770">
      <c r="A1770" t="n">
        <v>25</v>
      </c>
      <c r="B1770" t="n">
        <v>240</v>
      </c>
      <c r="C1770" t="n">
        <v>9</v>
      </c>
      <c r="D1770" s="218" t="n">
        <v>152.76</v>
      </c>
      <c r="E1770" s="218" t="n">
        <v>5.09</v>
      </c>
      <c r="F1770" t="str">
        <v>https://re.jrc.ec.europa.eu/api/v5_3/PVcalc?lat=30.0444&amp;lon=31.2357&amp;peakpower=1&amp;loss=14&amp;angle=25&amp;aspect=60&amp;outputformat=json&amp;raddatabase=PVGIS-SARAH3&amp;pvtechchoice=crystSi&amp;mountingplace=free&amp;usehorizon=1</v>
      </c>
    </row>
    <row r="1771">
      <c r="A1771" t="n">
        <v>25</v>
      </c>
      <c r="B1771" t="n">
        <v>240</v>
      </c>
      <c r="C1771" t="n">
        <v>10</v>
      </c>
      <c r="D1771" s="218" t="n">
        <v>134.28</v>
      </c>
      <c r="E1771" s="218" t="n">
        <v>4.33</v>
      </c>
      <c r="F1771" t="str">
        <v>https://re.jrc.ec.europa.eu/api/v5_3/PVcalc?lat=30.0444&amp;lon=31.2357&amp;peakpower=1&amp;loss=14&amp;angle=25&amp;aspect=60&amp;outputformat=json&amp;raddatabase=PVGIS-SARAH3&amp;pvtechchoice=crystSi&amp;mountingplace=free&amp;usehorizon=1</v>
      </c>
    </row>
    <row r="1772">
      <c r="A1772" t="n">
        <v>25</v>
      </c>
      <c r="B1772" t="n">
        <v>240</v>
      </c>
      <c r="C1772" t="n">
        <v>11</v>
      </c>
      <c r="D1772" s="218" t="n">
        <v>110.42</v>
      </c>
      <c r="E1772" s="218" t="n">
        <v>3.68</v>
      </c>
      <c r="F1772" t="str">
        <v>https://re.jrc.ec.europa.eu/api/v5_3/PVcalc?lat=30.0444&amp;lon=31.2357&amp;peakpower=1&amp;loss=14&amp;angle=25&amp;aspect=60&amp;outputformat=json&amp;raddatabase=PVGIS-SARAH3&amp;pvtechchoice=crystSi&amp;mountingplace=free&amp;usehorizon=1</v>
      </c>
    </row>
    <row r="1773">
      <c r="A1773" t="n">
        <v>25</v>
      </c>
      <c r="B1773" t="n">
        <v>240</v>
      </c>
      <c r="C1773" t="n">
        <v>12</v>
      </c>
      <c r="D1773" s="218" t="n">
        <v>101.13</v>
      </c>
      <c r="E1773" s="218" t="n">
        <v>3.26</v>
      </c>
      <c r="F1773" t="str">
        <v>https://re.jrc.ec.europa.eu/api/v5_3/PVcalc?lat=30.0444&amp;lon=31.2357&amp;peakpower=1&amp;loss=14&amp;angle=25&amp;aspect=60&amp;outputformat=json&amp;raddatabase=PVGIS-SARAH3&amp;pvtechchoice=crystSi&amp;mountingplace=free&amp;usehorizon=1</v>
      </c>
    </row>
    <row r="1774">
      <c r="A1774" t="n">
        <v>25</v>
      </c>
      <c r="B1774" t="n">
        <v>255</v>
      </c>
      <c r="C1774" t="n">
        <v>1</v>
      </c>
      <c r="D1774" s="218" t="n">
        <v>94.19</v>
      </c>
      <c r="E1774" s="218" t="n">
        <v>3.04</v>
      </c>
      <c r="F1774" t="str">
        <v>https://re.jrc.ec.europa.eu/api/v5_3/PVcalc?lat=30.0444&amp;lon=31.2357&amp;peakpower=1&amp;loss=14&amp;angle=25&amp;aspect=75&amp;outputformat=json&amp;raddatabase=PVGIS-SARAH3&amp;pvtechchoice=crystSi&amp;mountingplace=free&amp;usehorizon=1</v>
      </c>
    </row>
    <row r="1775">
      <c r="A1775" t="n">
        <v>25</v>
      </c>
      <c r="B1775" t="n">
        <v>255</v>
      </c>
      <c r="C1775" t="n">
        <v>2</v>
      </c>
      <c r="D1775" s="218" t="n">
        <v>101.49</v>
      </c>
      <c r="E1775" s="218" t="n">
        <v>3.62</v>
      </c>
      <c r="F1775" t="str">
        <v>https://re.jrc.ec.europa.eu/api/v5_3/PVcalc?lat=30.0444&amp;lon=31.2357&amp;peakpower=1&amp;loss=14&amp;angle=25&amp;aspect=75&amp;outputformat=json&amp;raddatabase=PVGIS-SARAH3&amp;pvtechchoice=crystSi&amp;mountingplace=free&amp;usehorizon=1</v>
      </c>
    </row>
    <row r="1776">
      <c r="A1776" t="n">
        <v>25</v>
      </c>
      <c r="B1776" t="n">
        <v>255</v>
      </c>
      <c r="C1776" t="n">
        <v>3</v>
      </c>
      <c r="D1776" s="218" t="n">
        <v>141.06</v>
      </c>
      <c r="E1776" s="218" t="n">
        <v>4.55</v>
      </c>
      <c r="F1776" t="str">
        <v>https://re.jrc.ec.europa.eu/api/v5_3/PVcalc?lat=30.0444&amp;lon=31.2357&amp;peakpower=1&amp;loss=14&amp;angle=25&amp;aspect=75&amp;outputformat=json&amp;raddatabase=PVGIS-SARAH3&amp;pvtechchoice=crystSi&amp;mountingplace=free&amp;usehorizon=1</v>
      </c>
    </row>
    <row r="1777">
      <c r="A1777" t="n">
        <v>25</v>
      </c>
      <c r="B1777" t="n">
        <v>255</v>
      </c>
      <c r="C1777" t="n">
        <v>4</v>
      </c>
      <c r="D1777" s="218" t="n">
        <v>154.95</v>
      </c>
      <c r="E1777" s="218" t="n">
        <v>5.16</v>
      </c>
      <c r="F1777" t="str">
        <v>https://re.jrc.ec.europa.eu/api/v5_3/PVcalc?lat=30.0444&amp;lon=31.2357&amp;peakpower=1&amp;loss=14&amp;angle=25&amp;aspect=75&amp;outputformat=json&amp;raddatabase=PVGIS-SARAH3&amp;pvtechchoice=crystSi&amp;mountingplace=free&amp;usehorizon=1</v>
      </c>
    </row>
    <row r="1778">
      <c r="A1778" t="n">
        <v>25</v>
      </c>
      <c r="B1778" t="n">
        <v>255</v>
      </c>
      <c r="C1778" t="n">
        <v>5</v>
      </c>
      <c r="D1778" s="218" t="n">
        <v>168.18</v>
      </c>
      <c r="E1778" s="218" t="n">
        <v>5.43</v>
      </c>
      <c r="F1778" t="str">
        <v>https://re.jrc.ec.europa.eu/api/v5_3/PVcalc?lat=30.0444&amp;lon=31.2357&amp;peakpower=1&amp;loss=14&amp;angle=25&amp;aspect=75&amp;outputformat=json&amp;raddatabase=PVGIS-SARAH3&amp;pvtechchoice=crystSi&amp;mountingplace=free&amp;usehorizon=1</v>
      </c>
    </row>
    <row r="1779">
      <c r="A1779" t="n">
        <v>25</v>
      </c>
      <c r="B1779" t="n">
        <v>255</v>
      </c>
      <c r="C1779" t="n">
        <v>6</v>
      </c>
      <c r="D1779" s="218" t="n">
        <v>172.49</v>
      </c>
      <c r="E1779" s="218" t="n">
        <v>5.75</v>
      </c>
      <c r="F1779" t="str">
        <v>https://re.jrc.ec.europa.eu/api/v5_3/PVcalc?lat=30.0444&amp;lon=31.2357&amp;peakpower=1&amp;loss=14&amp;angle=25&amp;aspect=75&amp;outputformat=json&amp;raddatabase=PVGIS-SARAH3&amp;pvtechchoice=crystSi&amp;mountingplace=free&amp;usehorizon=1</v>
      </c>
    </row>
    <row r="1780">
      <c r="A1780" t="n">
        <v>25</v>
      </c>
      <c r="B1780" t="n">
        <v>255</v>
      </c>
      <c r="C1780" t="n">
        <v>7</v>
      </c>
      <c r="D1780" s="218" t="n">
        <v>177.51</v>
      </c>
      <c r="E1780" s="218" t="n">
        <v>5.73</v>
      </c>
      <c r="F1780" t="str">
        <v>https://re.jrc.ec.europa.eu/api/v5_3/PVcalc?lat=30.0444&amp;lon=31.2357&amp;peakpower=1&amp;loss=14&amp;angle=25&amp;aspect=75&amp;outputformat=json&amp;raddatabase=PVGIS-SARAH3&amp;pvtechchoice=crystSi&amp;mountingplace=free&amp;usehorizon=1</v>
      </c>
    </row>
    <row r="1781">
      <c r="A1781" t="n">
        <v>25</v>
      </c>
      <c r="B1781" t="n">
        <v>255</v>
      </c>
      <c r="C1781" t="n">
        <v>8</v>
      </c>
      <c r="D1781" s="218" t="n">
        <v>168.09</v>
      </c>
      <c r="E1781" s="218" t="n">
        <v>5.42</v>
      </c>
      <c r="F1781" t="str">
        <v>https://re.jrc.ec.europa.eu/api/v5_3/PVcalc?lat=30.0444&amp;lon=31.2357&amp;peakpower=1&amp;loss=14&amp;angle=25&amp;aspect=75&amp;outputformat=json&amp;raddatabase=PVGIS-SARAH3&amp;pvtechchoice=crystSi&amp;mountingplace=free&amp;usehorizon=1</v>
      </c>
    </row>
    <row r="1782">
      <c r="A1782" t="n">
        <v>25</v>
      </c>
      <c r="B1782" t="n">
        <v>255</v>
      </c>
      <c r="C1782" t="n">
        <v>9</v>
      </c>
      <c r="D1782" s="218" t="n">
        <v>147.43</v>
      </c>
      <c r="E1782" s="218" t="n">
        <v>4.91</v>
      </c>
      <c r="F1782" t="str">
        <v>https://re.jrc.ec.europa.eu/api/v5_3/PVcalc?lat=30.0444&amp;lon=31.2357&amp;peakpower=1&amp;loss=14&amp;angle=25&amp;aspect=75&amp;outputformat=json&amp;raddatabase=PVGIS-SARAH3&amp;pvtechchoice=crystSi&amp;mountingplace=free&amp;usehorizon=1</v>
      </c>
    </row>
    <row r="1783">
      <c r="A1783" t="n">
        <v>25</v>
      </c>
      <c r="B1783" t="n">
        <v>255</v>
      </c>
      <c r="C1783" t="n">
        <v>10</v>
      </c>
      <c r="D1783" s="218" t="n">
        <v>125.85</v>
      </c>
      <c r="E1783" s="218" t="n">
        <v>4.06</v>
      </c>
      <c r="F1783" t="str">
        <v>https://re.jrc.ec.europa.eu/api/v5_3/PVcalc?lat=30.0444&amp;lon=31.2357&amp;peakpower=1&amp;loss=14&amp;angle=25&amp;aspect=75&amp;outputformat=json&amp;raddatabase=PVGIS-SARAH3&amp;pvtechchoice=crystSi&amp;mountingplace=free&amp;usehorizon=1</v>
      </c>
    </row>
    <row r="1784">
      <c r="A1784" t="n">
        <v>25</v>
      </c>
      <c r="B1784" t="n">
        <v>255</v>
      </c>
      <c r="C1784" t="n">
        <v>11</v>
      </c>
      <c r="D1784" s="218" t="n">
        <v>100.4</v>
      </c>
      <c r="E1784" s="218" t="n">
        <v>3.35</v>
      </c>
      <c r="F1784" t="str">
        <v>https://re.jrc.ec.europa.eu/api/v5_3/PVcalc?lat=30.0444&amp;lon=31.2357&amp;peakpower=1&amp;loss=14&amp;angle=25&amp;aspect=75&amp;outputformat=json&amp;raddatabase=PVGIS-SARAH3&amp;pvtechchoice=crystSi&amp;mountingplace=free&amp;usehorizon=1</v>
      </c>
    </row>
    <row r="1785">
      <c r="A1785" t="n">
        <v>25</v>
      </c>
      <c r="B1785" t="n">
        <v>255</v>
      </c>
      <c r="C1785" t="n">
        <v>12</v>
      </c>
      <c r="D1785" s="218" t="n">
        <v>90.83</v>
      </c>
      <c r="E1785" s="218" t="n">
        <v>2.93</v>
      </c>
      <c r="F1785" t="str">
        <v>https://re.jrc.ec.europa.eu/api/v5_3/PVcalc?lat=30.0444&amp;lon=31.2357&amp;peakpower=1&amp;loss=14&amp;angle=25&amp;aspect=75&amp;outputformat=json&amp;raddatabase=PVGIS-SARAH3&amp;pvtechchoice=crystSi&amp;mountingplace=free&amp;usehorizon=1</v>
      </c>
    </row>
    <row r="1786">
      <c r="A1786" t="n">
        <v>25</v>
      </c>
      <c r="B1786" t="n">
        <v>270</v>
      </c>
      <c r="C1786" t="n">
        <v>1</v>
      </c>
      <c r="D1786" s="218" t="n">
        <v>83.53</v>
      </c>
      <c r="E1786" s="218" t="n">
        <v>2.69</v>
      </c>
      <c r="F1786" t="str">
        <v>https://re.jrc.ec.europa.eu/api/v5_3/PVcalc?lat=30.0444&amp;lon=31.2357&amp;peakpower=1&amp;loss=14&amp;angle=25&amp;aspect=90&amp;outputformat=json&amp;raddatabase=PVGIS-SARAH3&amp;pvtechchoice=crystSi&amp;mountingplace=free&amp;usehorizon=1</v>
      </c>
    </row>
    <row r="1787">
      <c r="A1787" t="n">
        <v>25</v>
      </c>
      <c r="B1787" t="n">
        <v>270</v>
      </c>
      <c r="C1787" t="n">
        <v>2</v>
      </c>
      <c r="D1787" s="218" t="n">
        <v>93.41</v>
      </c>
      <c r="E1787" s="218" t="n">
        <v>3.34</v>
      </c>
      <c r="F1787" t="str">
        <v>https://re.jrc.ec.europa.eu/api/v5_3/PVcalc?lat=30.0444&amp;lon=31.2357&amp;peakpower=1&amp;loss=14&amp;angle=25&amp;aspect=90&amp;outputformat=json&amp;raddatabase=PVGIS-SARAH3&amp;pvtechchoice=crystSi&amp;mountingplace=free&amp;usehorizon=1</v>
      </c>
    </row>
    <row r="1788">
      <c r="A1788" t="n">
        <v>25</v>
      </c>
      <c r="B1788" t="n">
        <v>270</v>
      </c>
      <c r="C1788" t="n">
        <v>3</v>
      </c>
      <c r="D1788" s="218" t="n">
        <v>133.99</v>
      </c>
      <c r="E1788" s="218" t="n">
        <v>4.32</v>
      </c>
      <c r="F1788" t="str">
        <v>https://re.jrc.ec.europa.eu/api/v5_3/PVcalc?lat=30.0444&amp;lon=31.2357&amp;peakpower=1&amp;loss=14&amp;angle=25&amp;aspect=90&amp;outputformat=json&amp;raddatabase=PVGIS-SARAH3&amp;pvtechchoice=crystSi&amp;mountingplace=free&amp;usehorizon=1</v>
      </c>
    </row>
    <row r="1789">
      <c r="A1789" t="n">
        <v>25</v>
      </c>
      <c r="B1789" t="n">
        <v>270</v>
      </c>
      <c r="C1789" t="n">
        <v>4</v>
      </c>
      <c r="D1789" s="218" t="n">
        <v>151.01</v>
      </c>
      <c r="E1789" s="218" t="n">
        <v>5.03</v>
      </c>
      <c r="F1789" t="str">
        <v>https://re.jrc.ec.europa.eu/api/v5_3/PVcalc?lat=30.0444&amp;lon=31.2357&amp;peakpower=1&amp;loss=14&amp;angle=25&amp;aspect=90&amp;outputformat=json&amp;raddatabase=PVGIS-SARAH3&amp;pvtechchoice=crystSi&amp;mountingplace=free&amp;usehorizon=1</v>
      </c>
    </row>
    <row r="1790">
      <c r="A1790" t="n">
        <v>25</v>
      </c>
      <c r="B1790" t="n">
        <v>270</v>
      </c>
      <c r="C1790" t="n">
        <v>5</v>
      </c>
      <c r="D1790" s="218" t="n">
        <v>167.25</v>
      </c>
      <c r="E1790" s="218" t="n">
        <v>5.4</v>
      </c>
      <c r="F1790" t="str">
        <v>https://re.jrc.ec.europa.eu/api/v5_3/PVcalc?lat=30.0444&amp;lon=31.2357&amp;peakpower=1&amp;loss=14&amp;angle=25&amp;aspect=90&amp;outputformat=json&amp;raddatabase=PVGIS-SARAH3&amp;pvtechchoice=crystSi&amp;mountingplace=free&amp;usehorizon=1</v>
      </c>
    </row>
    <row r="1791">
      <c r="A1791" t="n">
        <v>25</v>
      </c>
      <c r="B1791" t="n">
        <v>270</v>
      </c>
      <c r="C1791" t="n">
        <v>6</v>
      </c>
      <c r="D1791" s="218" t="n">
        <v>173.3</v>
      </c>
      <c r="E1791" s="218" t="n">
        <v>5.78</v>
      </c>
      <c r="F1791" t="str">
        <v>https://re.jrc.ec.europa.eu/api/v5_3/PVcalc?lat=30.0444&amp;lon=31.2357&amp;peakpower=1&amp;loss=14&amp;angle=25&amp;aspect=90&amp;outputformat=json&amp;raddatabase=PVGIS-SARAH3&amp;pvtechchoice=crystSi&amp;mountingplace=free&amp;usehorizon=1</v>
      </c>
    </row>
    <row r="1792">
      <c r="A1792" t="n">
        <v>25</v>
      </c>
      <c r="B1792" t="n">
        <v>270</v>
      </c>
      <c r="C1792" t="n">
        <v>7</v>
      </c>
      <c r="D1792" s="218" t="n">
        <v>177.5</v>
      </c>
      <c r="E1792" s="218" t="n">
        <v>5.73</v>
      </c>
      <c r="F1792" t="str">
        <v>https://re.jrc.ec.europa.eu/api/v5_3/PVcalc?lat=30.0444&amp;lon=31.2357&amp;peakpower=1&amp;loss=14&amp;angle=25&amp;aspect=90&amp;outputformat=json&amp;raddatabase=PVGIS-SARAH3&amp;pvtechchoice=crystSi&amp;mountingplace=free&amp;usehorizon=1</v>
      </c>
    </row>
    <row r="1793">
      <c r="A1793" t="n">
        <v>25</v>
      </c>
      <c r="B1793" t="n">
        <v>270</v>
      </c>
      <c r="C1793" t="n">
        <v>8</v>
      </c>
      <c r="D1793" s="218" t="n">
        <v>165.27</v>
      </c>
      <c r="E1793" s="218" t="n">
        <v>5.33</v>
      </c>
      <c r="F1793" t="str">
        <v>https://re.jrc.ec.europa.eu/api/v5_3/PVcalc?lat=30.0444&amp;lon=31.2357&amp;peakpower=1&amp;loss=14&amp;angle=25&amp;aspect=90&amp;outputformat=json&amp;raddatabase=PVGIS-SARAH3&amp;pvtechchoice=crystSi&amp;mountingplace=free&amp;usehorizon=1</v>
      </c>
    </row>
    <row r="1794">
      <c r="A1794" t="n">
        <v>25</v>
      </c>
      <c r="B1794" t="n">
        <v>270</v>
      </c>
      <c r="C1794" t="n">
        <v>9</v>
      </c>
      <c r="D1794" s="218" t="n">
        <v>141.18</v>
      </c>
      <c r="E1794" s="218" t="n">
        <v>4.71</v>
      </c>
      <c r="F1794" t="str">
        <v>https://re.jrc.ec.europa.eu/api/v5_3/PVcalc?lat=30.0444&amp;lon=31.2357&amp;peakpower=1&amp;loss=14&amp;angle=25&amp;aspect=90&amp;outputformat=json&amp;raddatabase=PVGIS-SARAH3&amp;pvtechchoice=crystSi&amp;mountingplace=free&amp;usehorizon=1</v>
      </c>
    </row>
    <row r="1795">
      <c r="A1795" t="n">
        <v>25</v>
      </c>
      <c r="B1795" t="n">
        <v>270</v>
      </c>
      <c r="C1795" t="n">
        <v>10</v>
      </c>
      <c r="D1795" s="218" t="n">
        <v>116.54</v>
      </c>
      <c r="E1795" s="218" t="n">
        <v>3.76</v>
      </c>
      <c r="F1795" t="str">
        <v>https://re.jrc.ec.europa.eu/api/v5_3/PVcalc?lat=30.0444&amp;lon=31.2357&amp;peakpower=1&amp;loss=14&amp;angle=25&amp;aspect=90&amp;outputformat=json&amp;raddatabase=PVGIS-SARAH3&amp;pvtechchoice=crystSi&amp;mountingplace=free&amp;usehorizon=1</v>
      </c>
    </row>
    <row r="1796">
      <c r="A1796" t="n">
        <v>25</v>
      </c>
      <c r="B1796" t="n">
        <v>270</v>
      </c>
      <c r="C1796" t="n">
        <v>11</v>
      </c>
      <c r="D1796" s="218" t="n">
        <v>90.2</v>
      </c>
      <c r="E1796" s="218" t="n">
        <v>3.01</v>
      </c>
      <c r="F1796" t="str">
        <v>https://re.jrc.ec.europa.eu/api/v5_3/PVcalc?lat=30.0444&amp;lon=31.2357&amp;peakpower=1&amp;loss=14&amp;angle=25&amp;aspect=90&amp;outputformat=json&amp;raddatabase=PVGIS-SARAH3&amp;pvtechchoice=crystSi&amp;mountingplace=free&amp;usehorizon=1</v>
      </c>
    </row>
    <row r="1797">
      <c r="A1797" t="n">
        <v>25</v>
      </c>
      <c r="B1797" t="n">
        <v>270</v>
      </c>
      <c r="C1797" t="n">
        <v>12</v>
      </c>
      <c r="D1797" s="218" t="n">
        <v>79.76</v>
      </c>
      <c r="E1797" s="218" t="n">
        <v>2.57</v>
      </c>
      <c r="F1797" t="str">
        <v>https://re.jrc.ec.europa.eu/api/v5_3/PVcalc?lat=30.0444&amp;lon=31.2357&amp;peakpower=1&amp;loss=14&amp;angle=25&amp;aspect=90&amp;outputformat=json&amp;raddatabase=PVGIS-SARAH3&amp;pvtechchoice=crystSi&amp;mountingplace=free&amp;usehorizon=1</v>
      </c>
    </row>
    <row r="1798">
      <c r="A1798" t="n">
        <v>25</v>
      </c>
      <c r="B1798" t="n">
        <v>285</v>
      </c>
      <c r="C1798" t="n">
        <v>1</v>
      </c>
      <c r="D1798" s="218" t="n">
        <v>72.66</v>
      </c>
      <c r="E1798" s="218" t="n">
        <v>2.34</v>
      </c>
      <c r="F1798" t="str">
        <v>https://re.jrc.ec.europa.eu/api/v5_3/PVcalc?lat=30.0444&amp;lon=31.2357&amp;peakpower=1&amp;loss=14&amp;angle=25&amp;aspect=105&amp;outputformat=json&amp;raddatabase=PVGIS-SARAH3&amp;pvtechchoice=crystSi&amp;mountingplace=free&amp;usehorizon=1</v>
      </c>
    </row>
    <row r="1799">
      <c r="A1799" t="n">
        <v>25</v>
      </c>
      <c r="B1799" t="n">
        <v>285</v>
      </c>
      <c r="C1799" t="n">
        <v>2</v>
      </c>
      <c r="D1799" s="218" t="n">
        <v>84.83</v>
      </c>
      <c r="E1799" s="218" t="n">
        <v>3.03</v>
      </c>
      <c r="F1799" t="str">
        <v>https://re.jrc.ec.europa.eu/api/v5_3/PVcalc?lat=30.0444&amp;lon=31.2357&amp;peakpower=1&amp;loss=14&amp;angle=25&amp;aspect=105&amp;outputformat=json&amp;raddatabase=PVGIS-SARAH3&amp;pvtechchoice=crystSi&amp;mountingplace=free&amp;usehorizon=1</v>
      </c>
    </row>
    <row r="1800">
      <c r="A1800" t="n">
        <v>25</v>
      </c>
      <c r="B1800" t="n">
        <v>285</v>
      </c>
      <c r="C1800" t="n">
        <v>3</v>
      </c>
      <c r="D1800" s="218" t="n">
        <v>126.39</v>
      </c>
      <c r="E1800" s="218" t="n">
        <v>4.08</v>
      </c>
      <c r="F1800" t="str">
        <v>https://re.jrc.ec.europa.eu/api/v5_3/PVcalc?lat=30.0444&amp;lon=31.2357&amp;peakpower=1&amp;loss=14&amp;angle=25&amp;aspect=105&amp;outputformat=json&amp;raddatabase=PVGIS-SARAH3&amp;pvtechchoice=crystSi&amp;mountingplace=free&amp;usehorizon=1</v>
      </c>
    </row>
    <row r="1801">
      <c r="A1801" t="n">
        <v>25</v>
      </c>
      <c r="B1801" t="n">
        <v>285</v>
      </c>
      <c r="C1801" t="n">
        <v>4</v>
      </c>
      <c r="D1801" s="218" t="n">
        <v>146.66</v>
      </c>
      <c r="E1801" s="218" t="n">
        <v>4.89</v>
      </c>
      <c r="F1801" t="str">
        <v>https://re.jrc.ec.europa.eu/api/v5_3/PVcalc?lat=30.0444&amp;lon=31.2357&amp;peakpower=1&amp;loss=14&amp;angle=25&amp;aspect=105&amp;outputformat=json&amp;raddatabase=PVGIS-SARAH3&amp;pvtechchoice=crystSi&amp;mountingplace=free&amp;usehorizon=1</v>
      </c>
    </row>
    <row r="1802">
      <c r="A1802" t="n">
        <v>25</v>
      </c>
      <c r="B1802" t="n">
        <v>285</v>
      </c>
      <c r="C1802" t="n">
        <v>5</v>
      </c>
      <c r="D1802" s="218" t="n">
        <v>165.77</v>
      </c>
      <c r="E1802" s="218" t="n">
        <v>5.35</v>
      </c>
      <c r="F1802" t="str">
        <v>https://re.jrc.ec.europa.eu/api/v5_3/PVcalc?lat=30.0444&amp;lon=31.2357&amp;peakpower=1&amp;loss=14&amp;angle=25&amp;aspect=105&amp;outputformat=json&amp;raddatabase=PVGIS-SARAH3&amp;pvtechchoice=crystSi&amp;mountingplace=free&amp;usehorizon=1</v>
      </c>
    </row>
    <row r="1803">
      <c r="A1803" t="n">
        <v>25</v>
      </c>
      <c r="B1803" t="n">
        <v>285</v>
      </c>
      <c r="C1803" t="n">
        <v>6</v>
      </c>
      <c r="D1803" s="218" t="n">
        <v>173.68</v>
      </c>
      <c r="E1803" s="218" t="n">
        <v>5.79</v>
      </c>
      <c r="F1803" t="str">
        <v>https://re.jrc.ec.europa.eu/api/v5_3/PVcalc?lat=30.0444&amp;lon=31.2357&amp;peakpower=1&amp;loss=14&amp;angle=25&amp;aspect=105&amp;outputformat=json&amp;raddatabase=PVGIS-SARAH3&amp;pvtechchoice=crystSi&amp;mountingplace=free&amp;usehorizon=1</v>
      </c>
    </row>
    <row r="1804">
      <c r="A1804" t="n">
        <v>25</v>
      </c>
      <c r="B1804" t="n">
        <v>285</v>
      </c>
      <c r="C1804" t="n">
        <v>7</v>
      </c>
      <c r="D1804" s="218" t="n">
        <v>176.74</v>
      </c>
      <c r="E1804" s="218" t="n">
        <v>5.7</v>
      </c>
      <c r="F1804" t="str">
        <v>https://re.jrc.ec.europa.eu/api/v5_3/PVcalc?lat=30.0444&amp;lon=31.2357&amp;peakpower=1&amp;loss=14&amp;angle=25&amp;aspect=105&amp;outputformat=json&amp;raddatabase=PVGIS-SARAH3&amp;pvtechchoice=crystSi&amp;mountingplace=free&amp;usehorizon=1</v>
      </c>
    </row>
    <row r="1805">
      <c r="A1805" t="n">
        <v>25</v>
      </c>
      <c r="B1805" t="n">
        <v>285</v>
      </c>
      <c r="C1805" t="n">
        <v>8</v>
      </c>
      <c r="D1805" s="218" t="n">
        <v>161.82</v>
      </c>
      <c r="E1805" s="218" t="n">
        <v>5.22</v>
      </c>
      <c r="F1805" t="str">
        <v>https://re.jrc.ec.europa.eu/api/v5_3/PVcalc?lat=30.0444&amp;lon=31.2357&amp;peakpower=1&amp;loss=14&amp;angle=25&amp;aspect=105&amp;outputformat=json&amp;raddatabase=PVGIS-SARAH3&amp;pvtechchoice=crystSi&amp;mountingplace=free&amp;usehorizon=1</v>
      </c>
    </row>
    <row r="1806">
      <c r="A1806" t="n">
        <v>25</v>
      </c>
      <c r="B1806" t="n">
        <v>285</v>
      </c>
      <c r="C1806" t="n">
        <v>9</v>
      </c>
      <c r="D1806" s="218" t="n">
        <v>134.37</v>
      </c>
      <c r="E1806" s="218" t="n">
        <v>4.48</v>
      </c>
      <c r="F1806" t="str">
        <v>https://re.jrc.ec.europa.eu/api/v5_3/PVcalc?lat=30.0444&amp;lon=31.2357&amp;peakpower=1&amp;loss=14&amp;angle=25&amp;aspect=105&amp;outputformat=json&amp;raddatabase=PVGIS-SARAH3&amp;pvtechchoice=crystSi&amp;mountingplace=free&amp;usehorizon=1</v>
      </c>
    </row>
    <row r="1807">
      <c r="A1807" t="n">
        <v>25</v>
      </c>
      <c r="B1807" t="n">
        <v>285</v>
      </c>
      <c r="C1807" t="n">
        <v>10</v>
      </c>
      <c r="D1807" s="218" t="n">
        <v>106.99</v>
      </c>
      <c r="E1807" s="218" t="n">
        <v>3.45</v>
      </c>
      <c r="F1807" t="str">
        <v>https://re.jrc.ec.europa.eu/api/v5_3/PVcalc?lat=30.0444&amp;lon=31.2357&amp;peakpower=1&amp;loss=14&amp;angle=25&amp;aspect=105&amp;outputformat=json&amp;raddatabase=PVGIS-SARAH3&amp;pvtechchoice=crystSi&amp;mountingplace=free&amp;usehorizon=1</v>
      </c>
    </row>
    <row r="1808">
      <c r="A1808" t="n">
        <v>25</v>
      </c>
      <c r="B1808" t="n">
        <v>285</v>
      </c>
      <c r="C1808" t="n">
        <v>11</v>
      </c>
      <c r="D1808" s="218" t="n">
        <v>79.57</v>
      </c>
      <c r="E1808" s="218" t="n">
        <v>2.65</v>
      </c>
      <c r="F1808" t="str">
        <v>https://re.jrc.ec.europa.eu/api/v5_3/PVcalc?lat=30.0444&amp;lon=31.2357&amp;peakpower=1&amp;loss=14&amp;angle=25&amp;aspect=105&amp;outputformat=json&amp;raddatabase=PVGIS-SARAH3&amp;pvtechchoice=crystSi&amp;mountingplace=free&amp;usehorizon=1</v>
      </c>
    </row>
    <row r="1809">
      <c r="A1809" t="n">
        <v>25</v>
      </c>
      <c r="B1809" t="n">
        <v>285</v>
      </c>
      <c r="C1809" t="n">
        <v>12</v>
      </c>
      <c r="D1809" s="218" t="n">
        <v>68.22</v>
      </c>
      <c r="E1809" s="218" t="n">
        <v>2.2</v>
      </c>
      <c r="F1809" t="str">
        <v>https://re.jrc.ec.europa.eu/api/v5_3/PVcalc?lat=30.0444&amp;lon=31.2357&amp;peakpower=1&amp;loss=14&amp;angle=25&amp;aspect=105&amp;outputformat=json&amp;raddatabase=PVGIS-SARAH3&amp;pvtechchoice=crystSi&amp;mountingplace=free&amp;usehorizon=1</v>
      </c>
    </row>
    <row r="1810">
      <c r="A1810" t="n">
        <v>25</v>
      </c>
      <c r="B1810" t="n">
        <v>300</v>
      </c>
      <c r="C1810" t="n">
        <v>1</v>
      </c>
      <c r="D1810" s="218" t="n">
        <v>62.71</v>
      </c>
      <c r="E1810" s="218" t="n">
        <v>2.02</v>
      </c>
      <c r="F1810" t="str">
        <v>https://re.jrc.ec.europa.eu/api/v5_3/PVcalc?lat=30.0444&amp;lon=31.2357&amp;peakpower=1&amp;loss=14&amp;angle=25&amp;aspect=120&amp;outputformat=json&amp;raddatabase=PVGIS-SARAH3&amp;pvtechchoice=crystSi&amp;mountingplace=free&amp;usehorizon=1</v>
      </c>
    </row>
    <row r="1811">
      <c r="A1811" t="n">
        <v>25</v>
      </c>
      <c r="B1811" t="n">
        <v>300</v>
      </c>
      <c r="C1811" t="n">
        <v>2</v>
      </c>
      <c r="D1811" s="218" t="n">
        <v>76.37</v>
      </c>
      <c r="E1811" s="218" t="n">
        <v>2.73</v>
      </c>
      <c r="F1811" t="str">
        <v>https://re.jrc.ec.europa.eu/api/v5_3/PVcalc?lat=30.0444&amp;lon=31.2357&amp;peakpower=1&amp;loss=14&amp;angle=25&amp;aspect=120&amp;outputformat=json&amp;raddatabase=PVGIS-SARAH3&amp;pvtechchoice=crystSi&amp;mountingplace=free&amp;usehorizon=1</v>
      </c>
    </row>
    <row r="1812">
      <c r="A1812" t="n">
        <v>25</v>
      </c>
      <c r="B1812" t="n">
        <v>300</v>
      </c>
      <c r="C1812" t="n">
        <v>3</v>
      </c>
      <c r="D1812" s="218" t="n">
        <v>118.53</v>
      </c>
      <c r="E1812" s="218" t="n">
        <v>3.82</v>
      </c>
      <c r="F1812" t="str">
        <v>https://re.jrc.ec.europa.eu/api/v5_3/PVcalc?lat=30.0444&amp;lon=31.2357&amp;peakpower=1&amp;loss=14&amp;angle=25&amp;aspect=120&amp;outputformat=json&amp;raddatabase=PVGIS-SARAH3&amp;pvtechchoice=crystSi&amp;mountingplace=free&amp;usehorizon=1</v>
      </c>
    </row>
    <row r="1813">
      <c r="A1813" t="n">
        <v>25</v>
      </c>
      <c r="B1813" t="n">
        <v>300</v>
      </c>
      <c r="C1813" t="n">
        <v>4</v>
      </c>
      <c r="D1813" s="218" t="n">
        <v>141.98</v>
      </c>
      <c r="E1813" s="218" t="n">
        <v>4.73</v>
      </c>
      <c r="F1813" t="str">
        <v>https://re.jrc.ec.europa.eu/api/v5_3/PVcalc?lat=30.0444&amp;lon=31.2357&amp;peakpower=1&amp;loss=14&amp;angle=25&amp;aspect=120&amp;outputformat=json&amp;raddatabase=PVGIS-SARAH3&amp;pvtechchoice=crystSi&amp;mountingplace=free&amp;usehorizon=1</v>
      </c>
    </row>
    <row r="1814">
      <c r="A1814" t="n">
        <v>25</v>
      </c>
      <c r="B1814" t="n">
        <v>300</v>
      </c>
      <c r="C1814" t="n">
        <v>5</v>
      </c>
      <c r="D1814" s="218" t="n">
        <v>164.36</v>
      </c>
      <c r="E1814" s="218" t="n">
        <v>5.3</v>
      </c>
      <c r="F1814" t="str">
        <v>https://re.jrc.ec.europa.eu/api/v5_3/PVcalc?lat=30.0444&amp;lon=31.2357&amp;peakpower=1&amp;loss=14&amp;angle=25&amp;aspect=120&amp;outputformat=json&amp;raddatabase=PVGIS-SARAH3&amp;pvtechchoice=crystSi&amp;mountingplace=free&amp;usehorizon=1</v>
      </c>
    </row>
    <row r="1815">
      <c r="A1815" t="n">
        <v>25</v>
      </c>
      <c r="B1815" t="n">
        <v>300</v>
      </c>
      <c r="C1815" t="n">
        <v>6</v>
      </c>
      <c r="D1815" s="218" t="n">
        <v>173.79</v>
      </c>
      <c r="E1815" s="218" t="n">
        <v>5.79</v>
      </c>
      <c r="F1815" t="str">
        <v>https://re.jrc.ec.europa.eu/api/v5_3/PVcalc?lat=30.0444&amp;lon=31.2357&amp;peakpower=1&amp;loss=14&amp;angle=25&amp;aspect=120&amp;outputformat=json&amp;raddatabase=PVGIS-SARAH3&amp;pvtechchoice=crystSi&amp;mountingplace=free&amp;usehorizon=1</v>
      </c>
    </row>
    <row r="1816">
      <c r="A1816" t="n">
        <v>25</v>
      </c>
      <c r="B1816" t="n">
        <v>300</v>
      </c>
      <c r="C1816" t="n">
        <v>7</v>
      </c>
      <c r="D1816" s="218" t="n">
        <v>175.97</v>
      </c>
      <c r="E1816" s="218" t="n">
        <v>5.68</v>
      </c>
      <c r="F1816" t="str">
        <v>https://re.jrc.ec.europa.eu/api/v5_3/PVcalc?lat=30.0444&amp;lon=31.2357&amp;peakpower=1&amp;loss=14&amp;angle=25&amp;aspect=120&amp;outputformat=json&amp;raddatabase=PVGIS-SARAH3&amp;pvtechchoice=crystSi&amp;mountingplace=free&amp;usehorizon=1</v>
      </c>
    </row>
    <row r="1817">
      <c r="A1817" t="n">
        <v>25</v>
      </c>
      <c r="B1817" t="n">
        <v>300</v>
      </c>
      <c r="C1817" t="n">
        <v>8</v>
      </c>
      <c r="D1817" s="218" t="n">
        <v>157.73</v>
      </c>
      <c r="E1817" s="218" t="n">
        <v>5.09</v>
      </c>
      <c r="F1817" t="str">
        <v>https://re.jrc.ec.europa.eu/api/v5_3/PVcalc?lat=30.0444&amp;lon=31.2357&amp;peakpower=1&amp;loss=14&amp;angle=25&amp;aspect=120&amp;outputformat=json&amp;raddatabase=PVGIS-SARAH3&amp;pvtechchoice=crystSi&amp;mountingplace=free&amp;usehorizon=1</v>
      </c>
    </row>
    <row r="1818">
      <c r="A1818" t="n">
        <v>25</v>
      </c>
      <c r="B1818" t="n">
        <v>300</v>
      </c>
      <c r="C1818" t="n">
        <v>9</v>
      </c>
      <c r="D1818" s="218" t="n">
        <v>127.39</v>
      </c>
      <c r="E1818" s="218" t="n">
        <v>4.25</v>
      </c>
      <c r="F1818" t="str">
        <v>https://re.jrc.ec.europa.eu/api/v5_3/PVcalc?lat=30.0444&amp;lon=31.2357&amp;peakpower=1&amp;loss=14&amp;angle=25&amp;aspect=120&amp;outputformat=json&amp;raddatabase=PVGIS-SARAH3&amp;pvtechchoice=crystSi&amp;mountingplace=free&amp;usehorizon=1</v>
      </c>
    </row>
    <row r="1819">
      <c r="A1819" t="n">
        <v>25</v>
      </c>
      <c r="B1819" t="n">
        <v>300</v>
      </c>
      <c r="C1819" t="n">
        <v>10</v>
      </c>
      <c r="D1819" s="218" t="n">
        <v>97.47</v>
      </c>
      <c r="E1819" s="218" t="n">
        <v>3.14</v>
      </c>
      <c r="F1819" t="str">
        <v>https://re.jrc.ec.europa.eu/api/v5_3/PVcalc?lat=30.0444&amp;lon=31.2357&amp;peakpower=1&amp;loss=14&amp;angle=25&amp;aspect=120&amp;outputformat=json&amp;raddatabase=PVGIS-SARAH3&amp;pvtechchoice=crystSi&amp;mountingplace=free&amp;usehorizon=1</v>
      </c>
    </row>
    <row r="1820">
      <c r="A1820" t="n">
        <v>25</v>
      </c>
      <c r="B1820" t="n">
        <v>300</v>
      </c>
      <c r="C1820" t="n">
        <v>11</v>
      </c>
      <c r="D1820" s="218" t="n">
        <v>68.71</v>
      </c>
      <c r="E1820" s="218" t="n">
        <v>2.29</v>
      </c>
      <c r="F1820" t="str">
        <v>https://re.jrc.ec.europa.eu/api/v5_3/PVcalc?lat=30.0444&amp;lon=31.2357&amp;peakpower=1&amp;loss=14&amp;angle=25&amp;aspect=120&amp;outputformat=json&amp;raddatabase=PVGIS-SARAH3&amp;pvtechchoice=crystSi&amp;mountingplace=free&amp;usehorizon=1</v>
      </c>
    </row>
    <row r="1821">
      <c r="A1821" t="n">
        <v>25</v>
      </c>
      <c r="B1821" t="n">
        <v>300</v>
      </c>
      <c r="C1821" t="n">
        <v>12</v>
      </c>
      <c r="D1821" s="218" t="n">
        <v>57.44</v>
      </c>
      <c r="E1821" s="218" t="n">
        <v>1.85</v>
      </c>
      <c r="F1821" t="str">
        <v>https://re.jrc.ec.europa.eu/api/v5_3/PVcalc?lat=30.0444&amp;lon=31.2357&amp;peakpower=1&amp;loss=14&amp;angle=25&amp;aspect=120&amp;outputformat=json&amp;raddatabase=PVGIS-SARAH3&amp;pvtechchoice=crystSi&amp;mountingplace=free&amp;usehorizon=1</v>
      </c>
    </row>
    <row r="1822">
      <c r="A1822" t="n">
        <v>25</v>
      </c>
      <c r="B1822" t="n">
        <v>315</v>
      </c>
      <c r="C1822" t="n">
        <v>1</v>
      </c>
      <c r="D1822" s="218" t="n">
        <v>53.12</v>
      </c>
      <c r="E1822" s="218" t="n">
        <v>1.71</v>
      </c>
      <c r="F1822" t="str">
        <v>https://re.jrc.ec.europa.eu/api/v5_3/PVcalc?lat=30.0444&amp;lon=31.2357&amp;peakpower=1&amp;loss=14&amp;angle=25&amp;aspect=135&amp;outputformat=json&amp;raddatabase=PVGIS-SARAH3&amp;pvtechchoice=crystSi&amp;mountingplace=free&amp;usehorizon=1</v>
      </c>
    </row>
    <row r="1823">
      <c r="A1823" t="n">
        <v>25</v>
      </c>
      <c r="B1823" t="n">
        <v>315</v>
      </c>
      <c r="C1823" t="n">
        <v>2</v>
      </c>
      <c r="D1823" s="218" t="n">
        <v>68.46</v>
      </c>
      <c r="E1823" s="218" t="n">
        <v>2.44</v>
      </c>
      <c r="F1823" t="str">
        <v>https://re.jrc.ec.europa.eu/api/v5_3/PVcalc?lat=30.0444&amp;lon=31.2357&amp;peakpower=1&amp;loss=14&amp;angle=25&amp;aspect=135&amp;outputformat=json&amp;raddatabase=PVGIS-SARAH3&amp;pvtechchoice=crystSi&amp;mountingplace=free&amp;usehorizon=1</v>
      </c>
    </row>
    <row r="1824">
      <c r="A1824" t="n">
        <v>25</v>
      </c>
      <c r="B1824" t="n">
        <v>315</v>
      </c>
      <c r="C1824" t="n">
        <v>3</v>
      </c>
      <c r="D1824" s="218" t="n">
        <v>110.96</v>
      </c>
      <c r="E1824" s="218" t="n">
        <v>3.58</v>
      </c>
      <c r="F1824" t="str">
        <v>https://re.jrc.ec.europa.eu/api/v5_3/PVcalc?lat=30.0444&amp;lon=31.2357&amp;peakpower=1&amp;loss=14&amp;angle=25&amp;aspect=135&amp;outputformat=json&amp;raddatabase=PVGIS-SARAH3&amp;pvtechchoice=crystSi&amp;mountingplace=free&amp;usehorizon=1</v>
      </c>
    </row>
    <row r="1825">
      <c r="A1825" t="n">
        <v>25</v>
      </c>
      <c r="B1825" t="n">
        <v>315</v>
      </c>
      <c r="C1825" t="n">
        <v>4</v>
      </c>
      <c r="D1825" s="218" t="n">
        <v>137.68</v>
      </c>
      <c r="E1825" s="218" t="n">
        <v>4.59</v>
      </c>
      <c r="F1825" t="str">
        <v>https://re.jrc.ec.europa.eu/api/v5_3/PVcalc?lat=30.0444&amp;lon=31.2357&amp;peakpower=1&amp;loss=14&amp;angle=25&amp;aspect=135&amp;outputformat=json&amp;raddatabase=PVGIS-SARAH3&amp;pvtechchoice=crystSi&amp;mountingplace=free&amp;usehorizon=1</v>
      </c>
    </row>
    <row r="1826">
      <c r="A1826" t="n">
        <v>25</v>
      </c>
      <c r="B1826" t="n">
        <v>315</v>
      </c>
      <c r="C1826" t="n">
        <v>5</v>
      </c>
      <c r="D1826" s="218" t="n">
        <v>162.96</v>
      </c>
      <c r="E1826" s="218" t="n">
        <v>5.26</v>
      </c>
      <c r="F1826" t="str">
        <v>https://re.jrc.ec.europa.eu/api/v5_3/PVcalc?lat=30.0444&amp;lon=31.2357&amp;peakpower=1&amp;loss=14&amp;angle=25&amp;aspect=135&amp;outputformat=json&amp;raddatabase=PVGIS-SARAH3&amp;pvtechchoice=crystSi&amp;mountingplace=free&amp;usehorizon=1</v>
      </c>
    </row>
    <row r="1827">
      <c r="A1827" t="n">
        <v>25</v>
      </c>
      <c r="B1827" t="n">
        <v>315</v>
      </c>
      <c r="C1827" t="n">
        <v>6</v>
      </c>
      <c r="D1827" s="218" t="n">
        <v>173.52</v>
      </c>
      <c r="E1827" s="218" t="n">
        <v>5.78</v>
      </c>
      <c r="F1827" t="str">
        <v>https://re.jrc.ec.europa.eu/api/v5_3/PVcalc?lat=30.0444&amp;lon=31.2357&amp;peakpower=1&amp;loss=14&amp;angle=25&amp;aspect=135&amp;outputformat=json&amp;raddatabase=PVGIS-SARAH3&amp;pvtechchoice=crystSi&amp;mountingplace=free&amp;usehorizon=1</v>
      </c>
    </row>
    <row r="1828">
      <c r="A1828" t="n">
        <v>25</v>
      </c>
      <c r="B1828" t="n">
        <v>315</v>
      </c>
      <c r="C1828" t="n">
        <v>7</v>
      </c>
      <c r="D1828" s="218" t="n">
        <v>174.97</v>
      </c>
      <c r="E1828" s="218" t="n">
        <v>5.64</v>
      </c>
      <c r="F1828" t="str">
        <v>https://re.jrc.ec.europa.eu/api/v5_3/PVcalc?lat=30.0444&amp;lon=31.2357&amp;peakpower=1&amp;loss=14&amp;angle=25&amp;aspect=135&amp;outputformat=json&amp;raddatabase=PVGIS-SARAH3&amp;pvtechchoice=crystSi&amp;mountingplace=free&amp;usehorizon=1</v>
      </c>
    </row>
    <row r="1829">
      <c r="A1829" t="n">
        <v>25</v>
      </c>
      <c r="B1829" t="n">
        <v>315</v>
      </c>
      <c r="C1829" t="n">
        <v>8</v>
      </c>
      <c r="D1829" s="218" t="n">
        <v>153.98</v>
      </c>
      <c r="E1829" s="218" t="n">
        <v>4.97</v>
      </c>
      <c r="F1829" t="str">
        <v>https://re.jrc.ec.europa.eu/api/v5_3/PVcalc?lat=30.0444&amp;lon=31.2357&amp;peakpower=1&amp;loss=14&amp;angle=25&amp;aspect=135&amp;outputformat=json&amp;raddatabase=PVGIS-SARAH3&amp;pvtechchoice=crystSi&amp;mountingplace=free&amp;usehorizon=1</v>
      </c>
    </row>
    <row r="1830">
      <c r="A1830" t="n">
        <v>25</v>
      </c>
      <c r="B1830" t="n">
        <v>315</v>
      </c>
      <c r="C1830" t="n">
        <v>9</v>
      </c>
      <c r="D1830" s="218" t="n">
        <v>120.6</v>
      </c>
      <c r="E1830" s="218" t="n">
        <v>4.02</v>
      </c>
      <c r="F1830" t="str">
        <v>https://re.jrc.ec.europa.eu/api/v5_3/PVcalc?lat=30.0444&amp;lon=31.2357&amp;peakpower=1&amp;loss=14&amp;angle=25&amp;aspect=135&amp;outputformat=json&amp;raddatabase=PVGIS-SARAH3&amp;pvtechchoice=crystSi&amp;mountingplace=free&amp;usehorizon=1</v>
      </c>
    </row>
    <row r="1831">
      <c r="A1831" t="n">
        <v>25</v>
      </c>
      <c r="B1831" t="n">
        <v>315</v>
      </c>
      <c r="C1831" t="n">
        <v>10</v>
      </c>
      <c r="D1831" s="218" t="n">
        <v>88.22</v>
      </c>
      <c r="E1831" s="218" t="n">
        <v>2.85</v>
      </c>
      <c r="F1831" t="str">
        <v>https://re.jrc.ec.europa.eu/api/v5_3/PVcalc?lat=30.0444&amp;lon=31.2357&amp;peakpower=1&amp;loss=14&amp;angle=25&amp;aspect=135&amp;outputformat=json&amp;raddatabase=PVGIS-SARAH3&amp;pvtechchoice=crystSi&amp;mountingplace=free&amp;usehorizon=1</v>
      </c>
    </row>
    <row r="1832">
      <c r="A1832" t="n">
        <v>25</v>
      </c>
      <c r="B1832" t="n">
        <v>315</v>
      </c>
      <c r="C1832" t="n">
        <v>11</v>
      </c>
      <c r="D1832" s="218" t="n">
        <v>58.49</v>
      </c>
      <c r="E1832" s="218" t="n">
        <v>1.95</v>
      </c>
      <c r="F1832" t="str">
        <v>https://re.jrc.ec.europa.eu/api/v5_3/PVcalc?lat=30.0444&amp;lon=31.2357&amp;peakpower=1&amp;loss=14&amp;angle=25&amp;aspect=135&amp;outputformat=json&amp;raddatabase=PVGIS-SARAH3&amp;pvtechchoice=crystSi&amp;mountingplace=free&amp;usehorizon=1</v>
      </c>
    </row>
    <row r="1833">
      <c r="A1833" t="n">
        <v>25</v>
      </c>
      <c r="B1833" t="n">
        <v>315</v>
      </c>
      <c r="C1833" t="n">
        <v>12</v>
      </c>
      <c r="D1833" s="218" t="n">
        <v>47.47</v>
      </c>
      <c r="E1833" s="218" t="n">
        <v>1.53</v>
      </c>
      <c r="F1833" t="str">
        <v>https://re.jrc.ec.europa.eu/api/v5_3/PVcalc?lat=30.0444&amp;lon=31.2357&amp;peakpower=1&amp;loss=14&amp;angle=25&amp;aspect=135&amp;outputformat=json&amp;raddatabase=PVGIS-SARAH3&amp;pvtechchoice=crystSi&amp;mountingplace=free&amp;usehorizon=1</v>
      </c>
    </row>
    <row r="1834">
      <c r="A1834" t="n">
        <v>25</v>
      </c>
      <c r="B1834" t="n">
        <v>330</v>
      </c>
      <c r="C1834" t="n">
        <v>1</v>
      </c>
      <c r="D1834" s="218" t="n">
        <v>44.58</v>
      </c>
      <c r="E1834" s="218" t="n">
        <v>1.44</v>
      </c>
      <c r="F1834" t="str">
        <v>https://re.jrc.ec.europa.eu/api/v5_3/PVcalc?lat=30.0444&amp;lon=31.2357&amp;peakpower=1&amp;loss=14&amp;angle=25&amp;aspect=150&amp;outputformat=json&amp;raddatabase=PVGIS-SARAH3&amp;pvtechchoice=crystSi&amp;mountingplace=free&amp;usehorizon=1</v>
      </c>
    </row>
    <row r="1835">
      <c r="A1835" t="n">
        <v>25</v>
      </c>
      <c r="B1835" t="n">
        <v>330</v>
      </c>
      <c r="C1835" t="n">
        <v>2</v>
      </c>
      <c r="D1835" s="218" t="n">
        <v>61.6</v>
      </c>
      <c r="E1835" s="218" t="n">
        <v>2.2</v>
      </c>
      <c r="F1835" t="str">
        <v>https://re.jrc.ec.europa.eu/api/v5_3/PVcalc?lat=30.0444&amp;lon=31.2357&amp;peakpower=1&amp;loss=14&amp;angle=25&amp;aspect=150&amp;outputformat=json&amp;raddatabase=PVGIS-SARAH3&amp;pvtechchoice=crystSi&amp;mountingplace=free&amp;usehorizon=1</v>
      </c>
    </row>
    <row r="1836">
      <c r="A1836" t="n">
        <v>25</v>
      </c>
      <c r="B1836" t="n">
        <v>330</v>
      </c>
      <c r="C1836" t="n">
        <v>3</v>
      </c>
      <c r="D1836" s="218" t="n">
        <v>104.37</v>
      </c>
      <c r="E1836" s="218" t="n">
        <v>3.37</v>
      </c>
      <c r="F1836" t="str">
        <v>https://re.jrc.ec.europa.eu/api/v5_3/PVcalc?lat=30.0444&amp;lon=31.2357&amp;peakpower=1&amp;loss=14&amp;angle=25&amp;aspect=150&amp;outputformat=json&amp;raddatabase=PVGIS-SARAH3&amp;pvtechchoice=crystSi&amp;mountingplace=free&amp;usehorizon=1</v>
      </c>
    </row>
    <row r="1837">
      <c r="A1837" t="n">
        <v>25</v>
      </c>
      <c r="B1837" t="n">
        <v>330</v>
      </c>
      <c r="C1837" t="n">
        <v>4</v>
      </c>
      <c r="D1837" s="218" t="n">
        <v>134.27</v>
      </c>
      <c r="E1837" s="218" t="n">
        <v>4.48</v>
      </c>
      <c r="F1837" t="str">
        <v>https://re.jrc.ec.europa.eu/api/v5_3/PVcalc?lat=30.0444&amp;lon=31.2357&amp;peakpower=1&amp;loss=14&amp;angle=25&amp;aspect=150&amp;outputformat=json&amp;raddatabase=PVGIS-SARAH3&amp;pvtechchoice=crystSi&amp;mountingplace=free&amp;usehorizon=1</v>
      </c>
    </row>
    <row r="1838">
      <c r="A1838" t="n">
        <v>25</v>
      </c>
      <c r="B1838" t="n">
        <v>330</v>
      </c>
      <c r="C1838" t="n">
        <v>5</v>
      </c>
      <c r="D1838" s="218" t="n">
        <v>162.02</v>
      </c>
      <c r="E1838" s="218" t="n">
        <v>5.23</v>
      </c>
      <c r="F1838" t="str">
        <v>https://re.jrc.ec.europa.eu/api/v5_3/PVcalc?lat=30.0444&amp;lon=31.2357&amp;peakpower=1&amp;loss=14&amp;angle=25&amp;aspect=150&amp;outputformat=json&amp;raddatabase=PVGIS-SARAH3&amp;pvtechchoice=crystSi&amp;mountingplace=free&amp;usehorizon=1</v>
      </c>
    </row>
    <row r="1839">
      <c r="A1839" t="n">
        <v>25</v>
      </c>
      <c r="B1839" t="n">
        <v>330</v>
      </c>
      <c r="C1839" t="n">
        <v>6</v>
      </c>
      <c r="D1839" s="218" t="n">
        <v>173.54</v>
      </c>
      <c r="E1839" s="218" t="n">
        <v>5.78</v>
      </c>
      <c r="F1839" t="str">
        <v>https://re.jrc.ec.europa.eu/api/v5_3/PVcalc?lat=30.0444&amp;lon=31.2357&amp;peakpower=1&amp;loss=14&amp;angle=25&amp;aspect=150&amp;outputformat=json&amp;raddatabase=PVGIS-SARAH3&amp;pvtechchoice=crystSi&amp;mountingplace=free&amp;usehorizon=1</v>
      </c>
    </row>
    <row r="1840">
      <c r="A1840" t="n">
        <v>25</v>
      </c>
      <c r="B1840" t="n">
        <v>330</v>
      </c>
      <c r="C1840" t="n">
        <v>7</v>
      </c>
      <c r="D1840" s="218" t="n">
        <v>173.98</v>
      </c>
      <c r="E1840" s="218" t="n">
        <v>5.61</v>
      </c>
      <c r="F1840" t="str">
        <v>https://re.jrc.ec.europa.eu/api/v5_3/PVcalc?lat=30.0444&amp;lon=31.2357&amp;peakpower=1&amp;loss=14&amp;angle=25&amp;aspect=150&amp;outputformat=json&amp;raddatabase=PVGIS-SARAH3&amp;pvtechchoice=crystSi&amp;mountingplace=free&amp;usehorizon=1</v>
      </c>
    </row>
    <row r="1841">
      <c r="A1841" t="n">
        <v>25</v>
      </c>
      <c r="B1841" t="n">
        <v>330</v>
      </c>
      <c r="C1841" t="n">
        <v>8</v>
      </c>
      <c r="D1841" s="218" t="n">
        <v>150.92</v>
      </c>
      <c r="E1841" s="218" t="n">
        <v>4.87</v>
      </c>
      <c r="F1841" t="str">
        <v>https://re.jrc.ec.europa.eu/api/v5_3/PVcalc?lat=30.0444&amp;lon=31.2357&amp;peakpower=1&amp;loss=14&amp;angle=25&amp;aspect=150&amp;outputformat=json&amp;raddatabase=PVGIS-SARAH3&amp;pvtechchoice=crystSi&amp;mountingplace=free&amp;usehorizon=1</v>
      </c>
    </row>
    <row r="1842">
      <c r="A1842" t="n">
        <v>25</v>
      </c>
      <c r="B1842" t="n">
        <v>330</v>
      </c>
      <c r="C1842" t="n">
        <v>9</v>
      </c>
      <c r="D1842" s="218" t="n">
        <v>114.55</v>
      </c>
      <c r="E1842" s="218" t="n">
        <v>3.82</v>
      </c>
      <c r="F1842" t="str">
        <v>https://re.jrc.ec.europa.eu/api/v5_3/PVcalc?lat=30.0444&amp;lon=31.2357&amp;peakpower=1&amp;loss=14&amp;angle=25&amp;aspect=150&amp;outputformat=json&amp;raddatabase=PVGIS-SARAH3&amp;pvtechchoice=crystSi&amp;mountingplace=free&amp;usehorizon=1</v>
      </c>
    </row>
    <row r="1843">
      <c r="A1843" t="n">
        <v>25</v>
      </c>
      <c r="B1843" t="n">
        <v>330</v>
      </c>
      <c r="C1843" t="n">
        <v>10</v>
      </c>
      <c r="D1843" s="218" t="n">
        <v>80.12</v>
      </c>
      <c r="E1843" s="218" t="n">
        <v>2.58</v>
      </c>
      <c r="F1843" t="str">
        <v>https://re.jrc.ec.europa.eu/api/v5_3/PVcalc?lat=30.0444&amp;lon=31.2357&amp;peakpower=1&amp;loss=14&amp;angle=25&amp;aspect=150&amp;outputformat=json&amp;raddatabase=PVGIS-SARAH3&amp;pvtechchoice=crystSi&amp;mountingplace=free&amp;usehorizon=1</v>
      </c>
    </row>
    <row r="1844">
      <c r="A1844" t="n">
        <v>25</v>
      </c>
      <c r="B1844" t="n">
        <v>330</v>
      </c>
      <c r="C1844" t="n">
        <v>11</v>
      </c>
      <c r="D1844" s="218" t="n">
        <v>49.61</v>
      </c>
      <c r="E1844" s="218" t="n">
        <v>1.65</v>
      </c>
      <c r="F1844" t="str">
        <v>https://re.jrc.ec.europa.eu/api/v5_3/PVcalc?lat=30.0444&amp;lon=31.2357&amp;peakpower=1&amp;loss=14&amp;angle=25&amp;aspect=150&amp;outputformat=json&amp;raddatabase=PVGIS-SARAH3&amp;pvtechchoice=crystSi&amp;mountingplace=free&amp;usehorizon=1</v>
      </c>
    </row>
    <row r="1845">
      <c r="A1845" t="n">
        <v>25</v>
      </c>
      <c r="B1845" t="n">
        <v>330</v>
      </c>
      <c r="C1845" t="n">
        <v>12</v>
      </c>
      <c r="D1845" s="218" t="n">
        <v>38.68</v>
      </c>
      <c r="E1845" s="218" t="n">
        <v>1.25</v>
      </c>
      <c r="F1845" t="str">
        <v>https://re.jrc.ec.europa.eu/api/v5_3/PVcalc?lat=30.0444&amp;lon=31.2357&amp;peakpower=1&amp;loss=14&amp;angle=25&amp;aspect=150&amp;outputformat=json&amp;raddatabase=PVGIS-SARAH3&amp;pvtechchoice=crystSi&amp;mountingplace=free&amp;usehorizon=1</v>
      </c>
    </row>
    <row r="1846">
      <c r="A1846" t="n">
        <v>25</v>
      </c>
      <c r="B1846" t="n">
        <v>345</v>
      </c>
      <c r="C1846" t="n">
        <v>1</v>
      </c>
      <c r="D1846" s="218" t="n">
        <v>38.22</v>
      </c>
      <c r="E1846" s="218" t="n">
        <v>1.23</v>
      </c>
      <c r="F1846" t="str">
        <v>https://re.jrc.ec.europa.eu/api/v5_3/PVcalc?lat=30.0444&amp;lon=31.2357&amp;peakpower=1&amp;loss=14&amp;angle=25&amp;aspect=165&amp;outputformat=json&amp;raddatabase=PVGIS-SARAH3&amp;pvtechchoice=crystSi&amp;mountingplace=free&amp;usehorizon=1</v>
      </c>
    </row>
    <row r="1847">
      <c r="A1847" t="n">
        <v>25</v>
      </c>
      <c r="B1847" t="n">
        <v>345</v>
      </c>
      <c r="C1847" t="n">
        <v>2</v>
      </c>
      <c r="D1847" s="218" t="n">
        <v>56.61</v>
      </c>
      <c r="E1847" s="218" t="n">
        <v>2.02</v>
      </c>
      <c r="F1847" t="str">
        <v>https://re.jrc.ec.europa.eu/api/v5_3/PVcalc?lat=30.0444&amp;lon=31.2357&amp;peakpower=1&amp;loss=14&amp;angle=25&amp;aspect=165&amp;outputformat=json&amp;raddatabase=PVGIS-SARAH3&amp;pvtechchoice=crystSi&amp;mountingplace=free&amp;usehorizon=1</v>
      </c>
    </row>
    <row r="1848">
      <c r="A1848" t="n">
        <v>25</v>
      </c>
      <c r="B1848" t="n">
        <v>345</v>
      </c>
      <c r="C1848" t="n">
        <v>3</v>
      </c>
      <c r="D1848" s="218" t="n">
        <v>99.78</v>
      </c>
      <c r="E1848" s="218" t="n">
        <v>3.22</v>
      </c>
      <c r="F1848" t="str">
        <v>https://re.jrc.ec.europa.eu/api/v5_3/PVcalc?lat=30.0444&amp;lon=31.2357&amp;peakpower=1&amp;loss=14&amp;angle=25&amp;aspect=165&amp;outputformat=json&amp;raddatabase=PVGIS-SARAH3&amp;pvtechchoice=crystSi&amp;mountingplace=free&amp;usehorizon=1</v>
      </c>
    </row>
    <row r="1849">
      <c r="A1849" t="n">
        <v>25</v>
      </c>
      <c r="B1849" t="n">
        <v>345</v>
      </c>
      <c r="C1849" t="n">
        <v>4</v>
      </c>
      <c r="D1849" s="218" t="n">
        <v>132.08</v>
      </c>
      <c r="E1849" s="218" t="n">
        <v>4.4</v>
      </c>
      <c r="F1849" t="str">
        <v>https://re.jrc.ec.europa.eu/api/v5_3/PVcalc?lat=30.0444&amp;lon=31.2357&amp;peakpower=1&amp;loss=14&amp;angle=25&amp;aspect=165&amp;outputformat=json&amp;raddatabase=PVGIS-SARAH3&amp;pvtechchoice=crystSi&amp;mountingplace=free&amp;usehorizon=1</v>
      </c>
    </row>
    <row r="1850">
      <c r="A1850" t="n">
        <v>25</v>
      </c>
      <c r="B1850" t="n">
        <v>345</v>
      </c>
      <c r="C1850" t="n">
        <v>5</v>
      </c>
      <c r="D1850" s="218" t="n">
        <v>161.46</v>
      </c>
      <c r="E1850" s="218" t="n">
        <v>5.21</v>
      </c>
      <c r="F1850" t="str">
        <v>https://re.jrc.ec.europa.eu/api/v5_3/PVcalc?lat=30.0444&amp;lon=31.2357&amp;peakpower=1&amp;loss=14&amp;angle=25&amp;aspect=165&amp;outputformat=json&amp;raddatabase=PVGIS-SARAH3&amp;pvtechchoice=crystSi&amp;mountingplace=free&amp;usehorizon=1</v>
      </c>
    </row>
    <row r="1851">
      <c r="A1851" t="n">
        <v>25</v>
      </c>
      <c r="B1851" t="n">
        <v>345</v>
      </c>
      <c r="C1851" t="n">
        <v>6</v>
      </c>
      <c r="D1851" s="218" t="n">
        <v>173.2</v>
      </c>
      <c r="E1851" s="218" t="n">
        <v>5.77</v>
      </c>
      <c r="F1851" t="str">
        <v>https://re.jrc.ec.europa.eu/api/v5_3/PVcalc?lat=30.0444&amp;lon=31.2357&amp;peakpower=1&amp;loss=14&amp;angle=25&amp;aspect=165&amp;outputformat=json&amp;raddatabase=PVGIS-SARAH3&amp;pvtechchoice=crystSi&amp;mountingplace=free&amp;usehorizon=1</v>
      </c>
    </row>
    <row r="1852">
      <c r="A1852" t="n">
        <v>25</v>
      </c>
      <c r="B1852" t="n">
        <v>345</v>
      </c>
      <c r="C1852" t="n">
        <v>7</v>
      </c>
      <c r="D1852" s="218" t="n">
        <v>172.83</v>
      </c>
      <c r="E1852" s="218" t="n">
        <v>5.58</v>
      </c>
      <c r="F1852" t="str">
        <v>https://re.jrc.ec.europa.eu/api/v5_3/PVcalc?lat=30.0444&amp;lon=31.2357&amp;peakpower=1&amp;loss=14&amp;angle=25&amp;aspect=165&amp;outputformat=json&amp;raddatabase=PVGIS-SARAH3&amp;pvtechchoice=crystSi&amp;mountingplace=free&amp;usehorizon=1</v>
      </c>
    </row>
    <row r="1853">
      <c r="A1853" t="n">
        <v>25</v>
      </c>
      <c r="B1853" t="n">
        <v>345</v>
      </c>
      <c r="C1853" t="n">
        <v>8</v>
      </c>
      <c r="D1853" s="218" t="n">
        <v>148.58</v>
      </c>
      <c r="E1853" s="218" t="n">
        <v>4.79</v>
      </c>
      <c r="F1853" t="str">
        <v>https://re.jrc.ec.europa.eu/api/v5_3/PVcalc?lat=30.0444&amp;lon=31.2357&amp;peakpower=1&amp;loss=14&amp;angle=25&amp;aspect=165&amp;outputformat=json&amp;raddatabase=PVGIS-SARAH3&amp;pvtechchoice=crystSi&amp;mountingplace=free&amp;usehorizon=1</v>
      </c>
    </row>
    <row r="1854">
      <c r="A1854" t="n">
        <v>25</v>
      </c>
      <c r="B1854" t="n">
        <v>345</v>
      </c>
      <c r="C1854" t="n">
        <v>9</v>
      </c>
      <c r="D1854" s="218" t="n">
        <v>110.43</v>
      </c>
      <c r="E1854" s="218" t="n">
        <v>3.68</v>
      </c>
      <c r="F1854" t="str">
        <v>https://re.jrc.ec.europa.eu/api/v5_3/PVcalc?lat=30.0444&amp;lon=31.2357&amp;peakpower=1&amp;loss=14&amp;angle=25&amp;aspect=165&amp;outputformat=json&amp;raddatabase=PVGIS-SARAH3&amp;pvtechchoice=crystSi&amp;mountingplace=free&amp;usehorizon=1</v>
      </c>
    </row>
    <row r="1855">
      <c r="A1855" t="n">
        <v>25</v>
      </c>
      <c r="B1855" t="n">
        <v>345</v>
      </c>
      <c r="C1855" t="n">
        <v>10</v>
      </c>
      <c r="D1855" s="218" t="n">
        <v>74.21</v>
      </c>
      <c r="E1855" s="218" t="n">
        <v>2.39</v>
      </c>
      <c r="F1855" t="str">
        <v>https://re.jrc.ec.europa.eu/api/v5_3/PVcalc?lat=30.0444&amp;lon=31.2357&amp;peakpower=1&amp;loss=14&amp;angle=25&amp;aspect=165&amp;outputformat=json&amp;raddatabase=PVGIS-SARAH3&amp;pvtechchoice=crystSi&amp;mountingplace=free&amp;usehorizon=1</v>
      </c>
    </row>
    <row r="1856">
      <c r="A1856" t="n">
        <v>25</v>
      </c>
      <c r="B1856" t="n">
        <v>345</v>
      </c>
      <c r="C1856" t="n">
        <v>11</v>
      </c>
      <c r="D1856" s="218" t="n">
        <v>42.93</v>
      </c>
      <c r="E1856" s="218" t="n">
        <v>1.43</v>
      </c>
      <c r="F1856" t="str">
        <v>https://re.jrc.ec.europa.eu/api/v5_3/PVcalc?lat=30.0444&amp;lon=31.2357&amp;peakpower=1&amp;loss=14&amp;angle=25&amp;aspect=165&amp;outputformat=json&amp;raddatabase=PVGIS-SARAH3&amp;pvtechchoice=crystSi&amp;mountingplace=free&amp;usehorizon=1</v>
      </c>
    </row>
    <row r="1857">
      <c r="A1857" t="n">
        <v>25</v>
      </c>
      <c r="B1857" t="n">
        <v>345</v>
      </c>
      <c r="C1857" t="n">
        <v>12</v>
      </c>
      <c r="D1857" s="218" t="n">
        <v>32.11</v>
      </c>
      <c r="E1857" s="218" t="n">
        <v>1.04</v>
      </c>
      <c r="F1857" t="str">
        <v>https://re.jrc.ec.europa.eu/api/v5_3/PVcalc?lat=30.0444&amp;lon=31.2357&amp;peakpower=1&amp;loss=14&amp;angle=25&amp;aspect=165&amp;outputformat=json&amp;raddatabase=PVGIS-SARAH3&amp;pvtechchoice=crystSi&amp;mountingplace=free&amp;usehorizon=1</v>
      </c>
    </row>
    <row r="1858">
      <c r="A1858" t="n">
        <v>25</v>
      </c>
      <c r="B1858" t="n">
        <v>360</v>
      </c>
      <c r="C1858" t="n">
        <v>1</v>
      </c>
      <c r="D1858" s="218" t="n">
        <v>36.46</v>
      </c>
      <c r="E1858" s="218" t="n">
        <v>1.18</v>
      </c>
      <c r="F1858" t="str">
        <v>https://re.jrc.ec.europa.eu/api/v5_3/PVcalc?lat=30.0444&amp;lon=31.2357&amp;peakpower=1&amp;loss=14&amp;angle=25&amp;aspect=180&amp;outputformat=json&amp;raddatabase=PVGIS-SARAH3&amp;pvtechchoice=crystSi&amp;mountingplace=free&amp;usehorizon=1</v>
      </c>
    </row>
    <row r="1859">
      <c r="A1859" t="n">
        <v>25</v>
      </c>
      <c r="B1859" t="n">
        <v>360</v>
      </c>
      <c r="C1859" t="n">
        <v>2</v>
      </c>
      <c r="D1859" s="218" t="n">
        <v>55.01</v>
      </c>
      <c r="E1859" s="218" t="n">
        <v>1.96</v>
      </c>
      <c r="F1859" t="str">
        <v>https://re.jrc.ec.europa.eu/api/v5_3/PVcalc?lat=30.0444&amp;lon=31.2357&amp;peakpower=1&amp;loss=14&amp;angle=25&amp;aspect=180&amp;outputformat=json&amp;raddatabase=PVGIS-SARAH3&amp;pvtechchoice=crystSi&amp;mountingplace=free&amp;usehorizon=1</v>
      </c>
    </row>
    <row r="1860">
      <c r="A1860" t="n">
        <v>25</v>
      </c>
      <c r="B1860" t="n">
        <v>360</v>
      </c>
      <c r="C1860" t="n">
        <v>3</v>
      </c>
      <c r="D1860" s="218" t="n">
        <v>97.83</v>
      </c>
      <c r="E1860" s="218" t="n">
        <v>3.16</v>
      </c>
      <c r="F1860" t="str">
        <v>https://re.jrc.ec.europa.eu/api/v5_3/PVcalc?lat=30.0444&amp;lon=31.2357&amp;peakpower=1&amp;loss=14&amp;angle=25&amp;aspect=180&amp;outputformat=json&amp;raddatabase=PVGIS-SARAH3&amp;pvtechchoice=crystSi&amp;mountingplace=free&amp;usehorizon=1</v>
      </c>
    </row>
    <row r="1861">
      <c r="A1861" t="n">
        <v>25</v>
      </c>
      <c r="B1861" t="n">
        <v>360</v>
      </c>
      <c r="C1861" t="n">
        <v>4</v>
      </c>
      <c r="D1861" s="218" t="n">
        <v>130.84</v>
      </c>
      <c r="E1861" s="218" t="n">
        <v>4.36</v>
      </c>
      <c r="F1861" t="str">
        <v>https://re.jrc.ec.europa.eu/api/v5_3/PVcalc?lat=30.0444&amp;lon=31.2357&amp;peakpower=1&amp;loss=14&amp;angle=25&amp;aspect=180&amp;outputformat=json&amp;raddatabase=PVGIS-SARAH3&amp;pvtechchoice=crystSi&amp;mountingplace=free&amp;usehorizon=1</v>
      </c>
    </row>
    <row r="1862">
      <c r="A1862" t="n">
        <v>25</v>
      </c>
      <c r="B1862" t="n">
        <v>360</v>
      </c>
      <c r="C1862" t="n">
        <v>5</v>
      </c>
      <c r="D1862" s="218" t="n">
        <v>160.78</v>
      </c>
      <c r="E1862" s="218" t="n">
        <v>5.19</v>
      </c>
      <c r="F1862" t="str">
        <v>https://re.jrc.ec.europa.eu/api/v5_3/PVcalc?lat=30.0444&amp;lon=31.2357&amp;peakpower=1&amp;loss=14&amp;angle=25&amp;aspect=180&amp;outputformat=json&amp;raddatabase=PVGIS-SARAH3&amp;pvtechchoice=crystSi&amp;mountingplace=free&amp;usehorizon=1</v>
      </c>
    </row>
    <row r="1863">
      <c r="A1863" t="n">
        <v>25</v>
      </c>
      <c r="B1863" t="n">
        <v>360</v>
      </c>
      <c r="C1863" t="n">
        <v>6</v>
      </c>
      <c r="D1863" s="218" t="n">
        <v>172.07</v>
      </c>
      <c r="E1863" s="218" t="n">
        <v>5.74</v>
      </c>
      <c r="F1863" t="str">
        <v>https://re.jrc.ec.europa.eu/api/v5_3/PVcalc?lat=30.0444&amp;lon=31.2357&amp;peakpower=1&amp;loss=14&amp;angle=25&amp;aspect=180&amp;outputformat=json&amp;raddatabase=PVGIS-SARAH3&amp;pvtechchoice=crystSi&amp;mountingplace=free&amp;usehorizon=1</v>
      </c>
    </row>
    <row r="1864">
      <c r="A1864" t="n">
        <v>25</v>
      </c>
      <c r="B1864" t="n">
        <v>360</v>
      </c>
      <c r="C1864" t="n">
        <v>7</v>
      </c>
      <c r="D1864" s="218" t="n">
        <v>171.05</v>
      </c>
      <c r="E1864" s="218" t="n">
        <v>5.52</v>
      </c>
      <c r="F1864" t="str">
        <v>https://re.jrc.ec.europa.eu/api/v5_3/PVcalc?lat=30.0444&amp;lon=31.2357&amp;peakpower=1&amp;loss=14&amp;angle=25&amp;aspect=180&amp;outputformat=json&amp;raddatabase=PVGIS-SARAH3&amp;pvtechchoice=crystSi&amp;mountingplace=free&amp;usehorizon=1</v>
      </c>
    </row>
    <row r="1865">
      <c r="A1865" t="n">
        <v>25</v>
      </c>
      <c r="B1865" t="n">
        <v>360</v>
      </c>
      <c r="C1865" t="n">
        <v>8</v>
      </c>
      <c r="D1865" s="218" t="n">
        <v>146.69</v>
      </c>
      <c r="E1865" s="218" t="n">
        <v>4.73</v>
      </c>
      <c r="F1865" t="str">
        <v>https://re.jrc.ec.europa.eu/api/v5_3/PVcalc?lat=30.0444&amp;lon=31.2357&amp;peakpower=1&amp;loss=14&amp;angle=25&amp;aspect=180&amp;outputformat=json&amp;raddatabase=PVGIS-SARAH3&amp;pvtechchoice=crystSi&amp;mountingplace=free&amp;usehorizon=1</v>
      </c>
    </row>
    <row r="1866">
      <c r="A1866" t="n">
        <v>25</v>
      </c>
      <c r="B1866" t="n">
        <v>360</v>
      </c>
      <c r="C1866" t="n">
        <v>9</v>
      </c>
      <c r="D1866" s="218" t="n">
        <v>108.18</v>
      </c>
      <c r="E1866" s="218" t="n">
        <v>3.61</v>
      </c>
      <c r="F1866" t="str">
        <v>https://re.jrc.ec.europa.eu/api/v5_3/PVcalc?lat=30.0444&amp;lon=31.2357&amp;peakpower=1&amp;loss=14&amp;angle=25&amp;aspect=180&amp;outputformat=json&amp;raddatabase=PVGIS-SARAH3&amp;pvtechchoice=crystSi&amp;mountingplace=free&amp;usehorizon=1</v>
      </c>
    </row>
    <row r="1867">
      <c r="A1867" t="n">
        <v>25</v>
      </c>
      <c r="B1867" t="n">
        <v>360</v>
      </c>
      <c r="C1867" t="n">
        <v>10</v>
      </c>
      <c r="D1867" s="218" t="n">
        <v>71.86</v>
      </c>
      <c r="E1867" s="218" t="n">
        <v>2.32</v>
      </c>
      <c r="F1867" t="str">
        <v>https://re.jrc.ec.europa.eu/api/v5_3/PVcalc?lat=30.0444&amp;lon=31.2357&amp;peakpower=1&amp;loss=14&amp;angle=25&amp;aspect=180&amp;outputformat=json&amp;raddatabase=PVGIS-SARAH3&amp;pvtechchoice=crystSi&amp;mountingplace=free&amp;usehorizon=1</v>
      </c>
    </row>
    <row r="1868">
      <c r="A1868" t="n">
        <v>25</v>
      </c>
      <c r="B1868" t="n">
        <v>360</v>
      </c>
      <c r="C1868" t="n">
        <v>11</v>
      </c>
      <c r="D1868" s="218" t="n">
        <v>40.53</v>
      </c>
      <c r="E1868" s="218" t="n">
        <v>1.35</v>
      </c>
      <c r="F1868" t="str">
        <v>https://re.jrc.ec.europa.eu/api/v5_3/PVcalc?lat=30.0444&amp;lon=31.2357&amp;peakpower=1&amp;loss=14&amp;angle=25&amp;aspect=180&amp;outputformat=json&amp;raddatabase=PVGIS-SARAH3&amp;pvtechchoice=crystSi&amp;mountingplace=free&amp;usehorizon=1</v>
      </c>
    </row>
    <row r="1869">
      <c r="A1869" t="n">
        <v>25</v>
      </c>
      <c r="B1869" t="n">
        <v>360</v>
      </c>
      <c r="C1869" t="n">
        <v>12</v>
      </c>
      <c r="D1869" s="218" t="n">
        <v>30.26</v>
      </c>
      <c r="E1869" s="218" t="n">
        <v>0.98</v>
      </c>
      <c r="F1869" t="str">
        <v>https://re.jrc.ec.europa.eu/api/v5_3/PVcalc?lat=30.0444&amp;lon=31.2357&amp;peakpower=1&amp;loss=14&amp;angle=25&amp;aspect=180&amp;outputformat=json&amp;raddatabase=PVGIS-SARAH3&amp;pvtechchoice=crystSi&amp;mountingplace=free&amp;usehorizon=1</v>
      </c>
    </row>
    <row r="1870">
      <c r="A1870" t="n">
        <v>30</v>
      </c>
      <c r="B1870" t="n">
        <v>0</v>
      </c>
      <c r="C1870" t="n">
        <v>1</v>
      </c>
      <c r="D1870" s="218" t="n">
        <v>27.65</v>
      </c>
      <c r="E1870" s="218" t="n">
        <v>0.89</v>
      </c>
      <c r="F1870" t="str">
        <v>https://re.jrc.ec.europa.eu/api/v5_3/PVcalc?lat=30.0444&amp;lon=31.2357&amp;peakpower=1&amp;loss=14&amp;angle=30&amp;aspect=-180&amp;outputformat=json&amp;raddatabase=PVGIS-SARAH3&amp;pvtechchoice=crystSi&amp;mountingplace=free&amp;usehorizon=1</v>
      </c>
    </row>
    <row r="1871">
      <c r="A1871" t="n">
        <v>30</v>
      </c>
      <c r="B1871" t="n">
        <v>0</v>
      </c>
      <c r="C1871" t="n">
        <v>2</v>
      </c>
      <c r="D1871" s="218" t="n">
        <v>45.24</v>
      </c>
      <c r="E1871" s="218" t="n">
        <v>1.62</v>
      </c>
      <c r="F1871" t="str">
        <v>https://re.jrc.ec.europa.eu/api/v5_3/PVcalc?lat=30.0444&amp;lon=31.2357&amp;peakpower=1&amp;loss=14&amp;angle=30&amp;aspect=-180&amp;outputformat=json&amp;raddatabase=PVGIS-SARAH3&amp;pvtechchoice=crystSi&amp;mountingplace=free&amp;usehorizon=1</v>
      </c>
    </row>
    <row r="1872">
      <c r="A1872" t="n">
        <v>30</v>
      </c>
      <c r="B1872" t="n">
        <v>0</v>
      </c>
      <c r="C1872" t="n">
        <v>3</v>
      </c>
      <c r="D1872" s="218" t="n">
        <v>86.95</v>
      </c>
      <c r="E1872" s="218" t="n">
        <v>2.8</v>
      </c>
      <c r="F1872" t="str">
        <v>https://re.jrc.ec.europa.eu/api/v5_3/PVcalc?lat=30.0444&amp;lon=31.2357&amp;peakpower=1&amp;loss=14&amp;angle=30&amp;aspect=-180&amp;outputformat=json&amp;raddatabase=PVGIS-SARAH3&amp;pvtechchoice=crystSi&amp;mountingplace=free&amp;usehorizon=1</v>
      </c>
    </row>
    <row r="1873">
      <c r="A1873" t="n">
        <v>30</v>
      </c>
      <c r="B1873" t="n">
        <v>0</v>
      </c>
      <c r="C1873" t="n">
        <v>4</v>
      </c>
      <c r="D1873" s="218" t="n">
        <v>122.65</v>
      </c>
      <c r="E1873" s="218" t="n">
        <v>4.09</v>
      </c>
      <c r="F1873" t="str">
        <v>https://re.jrc.ec.europa.eu/api/v5_3/PVcalc?lat=30.0444&amp;lon=31.2357&amp;peakpower=1&amp;loss=14&amp;angle=30&amp;aspect=-180&amp;outputformat=json&amp;raddatabase=PVGIS-SARAH3&amp;pvtechchoice=crystSi&amp;mountingplace=free&amp;usehorizon=1</v>
      </c>
    </row>
    <row r="1874">
      <c r="A1874" t="n">
        <v>30</v>
      </c>
      <c r="B1874" t="n">
        <v>0</v>
      </c>
      <c r="C1874" t="n">
        <v>5</v>
      </c>
      <c r="D1874" s="218" t="n">
        <v>154.71</v>
      </c>
      <c r="E1874" s="218" t="n">
        <v>4.99</v>
      </c>
      <c r="F1874" t="str">
        <v>https://re.jrc.ec.europa.eu/api/v5_3/PVcalc?lat=30.0444&amp;lon=31.2357&amp;peakpower=1&amp;loss=14&amp;angle=30&amp;aspect=-180&amp;outputformat=json&amp;raddatabase=PVGIS-SARAH3&amp;pvtechchoice=crystSi&amp;mountingplace=free&amp;usehorizon=1</v>
      </c>
    </row>
    <row r="1875">
      <c r="A1875" t="n">
        <v>30</v>
      </c>
      <c r="B1875" t="n">
        <v>0</v>
      </c>
      <c r="C1875" t="n">
        <v>6</v>
      </c>
      <c r="D1875" s="218" t="n">
        <v>167.07</v>
      </c>
      <c r="E1875" s="218" t="n">
        <v>5.57</v>
      </c>
      <c r="F1875" t="str">
        <v>https://re.jrc.ec.europa.eu/api/v5_3/PVcalc?lat=30.0444&amp;lon=31.2357&amp;peakpower=1&amp;loss=14&amp;angle=30&amp;aspect=-180&amp;outputformat=json&amp;raddatabase=PVGIS-SARAH3&amp;pvtechchoice=crystSi&amp;mountingplace=free&amp;usehorizon=1</v>
      </c>
    </row>
    <row r="1876">
      <c r="A1876" t="n">
        <v>30</v>
      </c>
      <c r="B1876" t="n">
        <v>0</v>
      </c>
      <c r="C1876" t="n">
        <v>7</v>
      </c>
      <c r="D1876" s="218" t="n">
        <v>165.3</v>
      </c>
      <c r="E1876" s="218" t="n">
        <v>5.33</v>
      </c>
      <c r="F1876" t="str">
        <v>https://re.jrc.ec.europa.eu/api/v5_3/PVcalc?lat=30.0444&amp;lon=31.2357&amp;peakpower=1&amp;loss=14&amp;angle=30&amp;aspect=-180&amp;outputformat=json&amp;raddatabase=PVGIS-SARAH3&amp;pvtechchoice=crystSi&amp;mountingplace=free&amp;usehorizon=1</v>
      </c>
    </row>
    <row r="1877">
      <c r="A1877" t="n">
        <v>30</v>
      </c>
      <c r="B1877" t="n">
        <v>0</v>
      </c>
      <c r="C1877" t="n">
        <v>8</v>
      </c>
      <c r="D1877" s="218" t="n">
        <v>138.82</v>
      </c>
      <c r="E1877" s="218" t="n">
        <v>4.48</v>
      </c>
      <c r="F1877" t="str">
        <v>https://re.jrc.ec.europa.eu/api/v5_3/PVcalc?lat=30.0444&amp;lon=31.2357&amp;peakpower=1&amp;loss=14&amp;angle=30&amp;aspect=-180&amp;outputformat=json&amp;raddatabase=PVGIS-SARAH3&amp;pvtechchoice=crystSi&amp;mountingplace=free&amp;usehorizon=1</v>
      </c>
    </row>
    <row r="1878">
      <c r="A1878" t="n">
        <v>30</v>
      </c>
      <c r="B1878" t="n">
        <v>0</v>
      </c>
      <c r="C1878" t="n">
        <v>9</v>
      </c>
      <c r="D1878" s="218" t="n">
        <v>97.9</v>
      </c>
      <c r="E1878" s="218" t="n">
        <v>3.26</v>
      </c>
      <c r="F1878" t="str">
        <v>https://re.jrc.ec.europa.eu/api/v5_3/PVcalc?lat=30.0444&amp;lon=31.2357&amp;peakpower=1&amp;loss=14&amp;angle=30&amp;aspect=-180&amp;outputformat=json&amp;raddatabase=PVGIS-SARAH3&amp;pvtechchoice=crystSi&amp;mountingplace=free&amp;usehorizon=1</v>
      </c>
    </row>
    <row r="1879">
      <c r="A1879" t="n">
        <v>30</v>
      </c>
      <c r="B1879" t="n">
        <v>0</v>
      </c>
      <c r="C1879" t="n">
        <v>10</v>
      </c>
      <c r="D1879" s="218" t="n">
        <v>59.93</v>
      </c>
      <c r="E1879" s="218" t="n">
        <v>1.93</v>
      </c>
      <c r="F1879" t="str">
        <v>https://re.jrc.ec.europa.eu/api/v5_3/PVcalc?lat=30.0444&amp;lon=31.2357&amp;peakpower=1&amp;loss=14&amp;angle=30&amp;aspect=-180&amp;outputformat=json&amp;raddatabase=PVGIS-SARAH3&amp;pvtechchoice=crystSi&amp;mountingplace=free&amp;usehorizon=1</v>
      </c>
    </row>
    <row r="1880">
      <c r="A1880" t="n">
        <v>30</v>
      </c>
      <c r="B1880" t="n">
        <v>0</v>
      </c>
      <c r="C1880" t="n">
        <v>11</v>
      </c>
      <c r="D1880" s="218" t="n">
        <v>30.63</v>
      </c>
      <c r="E1880" s="218" t="n">
        <v>1.02</v>
      </c>
      <c r="F1880" t="str">
        <v>https://re.jrc.ec.europa.eu/api/v5_3/PVcalc?lat=30.0444&amp;lon=31.2357&amp;peakpower=1&amp;loss=14&amp;angle=30&amp;aspect=-180&amp;outputformat=json&amp;raddatabase=PVGIS-SARAH3&amp;pvtechchoice=crystSi&amp;mountingplace=free&amp;usehorizon=1</v>
      </c>
    </row>
    <row r="1881">
      <c r="A1881" t="n">
        <v>30</v>
      </c>
      <c r="B1881" t="n">
        <v>0</v>
      </c>
      <c r="C1881" t="n">
        <v>12</v>
      </c>
      <c r="D1881" s="218" t="n">
        <v>22.56</v>
      </c>
      <c r="E1881" s="218" t="n">
        <v>0.73</v>
      </c>
      <c r="F1881" t="str">
        <v>https://re.jrc.ec.europa.eu/api/v5_3/PVcalc?lat=30.0444&amp;lon=31.2357&amp;peakpower=1&amp;loss=14&amp;angle=30&amp;aspect=-180&amp;outputformat=json&amp;raddatabase=PVGIS-SARAH3&amp;pvtechchoice=crystSi&amp;mountingplace=free&amp;usehorizon=1</v>
      </c>
    </row>
    <row r="1882">
      <c r="A1882" t="n">
        <v>30</v>
      </c>
      <c r="B1882" t="n">
        <v>15</v>
      </c>
      <c r="C1882" t="n">
        <v>1</v>
      </c>
      <c r="D1882" s="218" t="n">
        <v>30.63</v>
      </c>
      <c r="E1882" s="218" t="n">
        <v>0.99</v>
      </c>
      <c r="F1882" t="str">
        <v>https://re.jrc.ec.europa.eu/api/v5_3/PVcalc?lat=30.0444&amp;lon=31.2357&amp;peakpower=1&amp;loss=14&amp;angle=30&amp;aspect=-165&amp;outputformat=json&amp;raddatabase=PVGIS-SARAH3&amp;pvtechchoice=crystSi&amp;mountingplace=free&amp;usehorizon=1</v>
      </c>
    </row>
    <row r="1883">
      <c r="A1883" t="n">
        <v>30</v>
      </c>
      <c r="B1883" t="n">
        <v>15</v>
      </c>
      <c r="C1883" t="n">
        <v>2</v>
      </c>
      <c r="D1883" s="218" t="n">
        <v>48.55</v>
      </c>
      <c r="E1883" s="218" t="n">
        <v>1.73</v>
      </c>
      <c r="F1883" t="str">
        <v>https://re.jrc.ec.europa.eu/api/v5_3/PVcalc?lat=30.0444&amp;lon=31.2357&amp;peakpower=1&amp;loss=14&amp;angle=30&amp;aspect=-165&amp;outputformat=json&amp;raddatabase=PVGIS-SARAH3&amp;pvtechchoice=crystSi&amp;mountingplace=free&amp;usehorizon=1</v>
      </c>
    </row>
    <row r="1884">
      <c r="A1884" t="n">
        <v>30</v>
      </c>
      <c r="B1884" t="n">
        <v>15</v>
      </c>
      <c r="C1884" t="n">
        <v>3</v>
      </c>
      <c r="D1884" s="218" t="n">
        <v>88.79</v>
      </c>
      <c r="E1884" s="218" t="n">
        <v>2.86</v>
      </c>
      <c r="F1884" t="str">
        <v>https://re.jrc.ec.europa.eu/api/v5_3/PVcalc?lat=30.0444&amp;lon=31.2357&amp;peakpower=1&amp;loss=14&amp;angle=30&amp;aspect=-165&amp;outputformat=json&amp;raddatabase=PVGIS-SARAH3&amp;pvtechchoice=crystSi&amp;mountingplace=free&amp;usehorizon=1</v>
      </c>
    </row>
    <row r="1885">
      <c r="A1885" t="n">
        <v>30</v>
      </c>
      <c r="B1885" t="n">
        <v>15</v>
      </c>
      <c r="C1885" t="n">
        <v>4</v>
      </c>
      <c r="D1885" s="218" t="n">
        <v>122.44</v>
      </c>
      <c r="E1885" s="218" t="n">
        <v>4.08</v>
      </c>
      <c r="F1885" t="str">
        <v>https://re.jrc.ec.europa.eu/api/v5_3/PVcalc?lat=30.0444&amp;lon=31.2357&amp;peakpower=1&amp;loss=14&amp;angle=30&amp;aspect=-165&amp;outputformat=json&amp;raddatabase=PVGIS-SARAH3&amp;pvtechchoice=crystSi&amp;mountingplace=free&amp;usehorizon=1</v>
      </c>
    </row>
    <row r="1886">
      <c r="A1886" t="n">
        <v>30</v>
      </c>
      <c r="B1886" t="n">
        <v>15</v>
      </c>
      <c r="C1886" t="n">
        <v>5</v>
      </c>
      <c r="D1886" s="218" t="n">
        <v>153.82</v>
      </c>
      <c r="E1886" s="218" t="n">
        <v>4.96</v>
      </c>
      <c r="F1886" t="str">
        <v>https://re.jrc.ec.europa.eu/api/v5_3/PVcalc?lat=30.0444&amp;lon=31.2357&amp;peakpower=1&amp;loss=14&amp;angle=30&amp;aspect=-165&amp;outputformat=json&amp;raddatabase=PVGIS-SARAH3&amp;pvtechchoice=crystSi&amp;mountingplace=free&amp;usehorizon=1</v>
      </c>
    </row>
    <row r="1887">
      <c r="A1887" t="n">
        <v>30</v>
      </c>
      <c r="B1887" t="n">
        <v>15</v>
      </c>
      <c r="C1887" t="n">
        <v>6</v>
      </c>
      <c r="D1887" s="218" t="n">
        <v>165.08</v>
      </c>
      <c r="E1887" s="218" t="n">
        <v>5.5</v>
      </c>
      <c r="F1887" t="str">
        <v>https://re.jrc.ec.europa.eu/api/v5_3/PVcalc?lat=30.0444&amp;lon=31.2357&amp;peakpower=1&amp;loss=14&amp;angle=30&amp;aspect=-165&amp;outputformat=json&amp;raddatabase=PVGIS-SARAH3&amp;pvtechchoice=crystSi&amp;mountingplace=free&amp;usehorizon=1</v>
      </c>
    </row>
    <row r="1888">
      <c r="A1888" t="n">
        <v>30</v>
      </c>
      <c r="B1888" t="n">
        <v>15</v>
      </c>
      <c r="C1888" t="n">
        <v>7</v>
      </c>
      <c r="D1888" s="218" t="n">
        <v>162.89</v>
      </c>
      <c r="E1888" s="218" t="n">
        <v>5.25</v>
      </c>
      <c r="F1888" t="str">
        <v>https://re.jrc.ec.europa.eu/api/v5_3/PVcalc?lat=30.0444&amp;lon=31.2357&amp;peakpower=1&amp;loss=14&amp;angle=30&amp;aspect=-165&amp;outputformat=json&amp;raddatabase=PVGIS-SARAH3&amp;pvtechchoice=crystSi&amp;mountingplace=free&amp;usehorizon=1</v>
      </c>
    </row>
    <row r="1889">
      <c r="A1889" t="n">
        <v>30</v>
      </c>
      <c r="B1889" t="n">
        <v>15</v>
      </c>
      <c r="C1889" t="n">
        <v>8</v>
      </c>
      <c r="D1889" s="218" t="n">
        <v>137.49</v>
      </c>
      <c r="E1889" s="218" t="n">
        <v>4.44</v>
      </c>
      <c r="F1889" t="str">
        <v>https://re.jrc.ec.europa.eu/api/v5_3/PVcalc?lat=30.0444&amp;lon=31.2357&amp;peakpower=1&amp;loss=14&amp;angle=30&amp;aspect=-165&amp;outputformat=json&amp;raddatabase=PVGIS-SARAH3&amp;pvtechchoice=crystSi&amp;mountingplace=free&amp;usehorizon=1</v>
      </c>
    </row>
    <row r="1890">
      <c r="A1890" t="n">
        <v>30</v>
      </c>
      <c r="B1890" t="n">
        <v>15</v>
      </c>
      <c r="C1890" t="n">
        <v>9</v>
      </c>
      <c r="D1890" s="218" t="n">
        <v>98.26</v>
      </c>
      <c r="E1890" s="218" t="n">
        <v>3.28</v>
      </c>
      <c r="F1890" t="str">
        <v>https://re.jrc.ec.europa.eu/api/v5_3/PVcalc?lat=30.0444&amp;lon=31.2357&amp;peakpower=1&amp;loss=14&amp;angle=30&amp;aspect=-165&amp;outputformat=json&amp;raddatabase=PVGIS-SARAH3&amp;pvtechchoice=crystSi&amp;mountingplace=free&amp;usehorizon=1</v>
      </c>
    </row>
    <row r="1891">
      <c r="A1891" t="n">
        <v>30</v>
      </c>
      <c r="B1891" t="n">
        <v>15</v>
      </c>
      <c r="C1891" t="n">
        <v>10</v>
      </c>
      <c r="D1891" s="218" t="n">
        <v>63.05</v>
      </c>
      <c r="E1891" s="218" t="n">
        <v>2.03</v>
      </c>
      <c r="F1891" t="str">
        <v>https://re.jrc.ec.europa.eu/api/v5_3/PVcalc?lat=30.0444&amp;lon=31.2357&amp;peakpower=1&amp;loss=14&amp;angle=30&amp;aspect=-165&amp;outputformat=json&amp;raddatabase=PVGIS-SARAH3&amp;pvtechchoice=crystSi&amp;mountingplace=free&amp;usehorizon=1</v>
      </c>
    </row>
    <row r="1892">
      <c r="A1892" t="n">
        <v>30</v>
      </c>
      <c r="B1892" t="n">
        <v>15</v>
      </c>
      <c r="C1892" t="n">
        <v>11</v>
      </c>
      <c r="D1892" s="218" t="n">
        <v>33.9</v>
      </c>
      <c r="E1892" s="218" t="n">
        <v>1.13</v>
      </c>
      <c r="F1892" t="str">
        <v>https://re.jrc.ec.europa.eu/api/v5_3/PVcalc?lat=30.0444&amp;lon=31.2357&amp;peakpower=1&amp;loss=14&amp;angle=30&amp;aspect=-165&amp;outputformat=json&amp;raddatabase=PVGIS-SARAH3&amp;pvtechchoice=crystSi&amp;mountingplace=free&amp;usehorizon=1</v>
      </c>
    </row>
    <row r="1893">
      <c r="A1893" t="n">
        <v>30</v>
      </c>
      <c r="B1893" t="n">
        <v>15</v>
      </c>
      <c r="C1893" t="n">
        <v>12</v>
      </c>
      <c r="D1893" s="218" t="n">
        <v>25.49</v>
      </c>
      <c r="E1893" s="218" t="n">
        <v>0.82</v>
      </c>
      <c r="F1893" t="str">
        <v>https://re.jrc.ec.europa.eu/api/v5_3/PVcalc?lat=30.0444&amp;lon=31.2357&amp;peakpower=1&amp;loss=14&amp;angle=30&amp;aspect=-165&amp;outputformat=json&amp;raddatabase=PVGIS-SARAH3&amp;pvtechchoice=crystSi&amp;mountingplace=free&amp;usehorizon=1</v>
      </c>
    </row>
    <row r="1894">
      <c r="A1894" t="n">
        <v>30</v>
      </c>
      <c r="B1894" t="n">
        <v>30</v>
      </c>
      <c r="C1894" t="n">
        <v>1</v>
      </c>
      <c r="D1894" s="218" t="n">
        <v>38.59</v>
      </c>
      <c r="E1894" s="218" t="n">
        <v>1.24</v>
      </c>
      <c r="F1894" t="str">
        <v>https://re.jrc.ec.europa.eu/api/v5_3/PVcalc?lat=30.0444&amp;lon=31.2357&amp;peakpower=1&amp;loss=14&amp;angle=30&amp;aspect=-150&amp;outputformat=json&amp;raddatabase=PVGIS-SARAH3&amp;pvtechchoice=crystSi&amp;mountingplace=free&amp;usehorizon=1</v>
      </c>
    </row>
    <row r="1895">
      <c r="A1895" t="n">
        <v>30</v>
      </c>
      <c r="B1895" t="n">
        <v>30</v>
      </c>
      <c r="C1895" t="n">
        <v>2</v>
      </c>
      <c r="D1895" s="218" t="n">
        <v>56.08</v>
      </c>
      <c r="E1895" s="218" t="n">
        <v>2</v>
      </c>
      <c r="F1895" t="str">
        <v>https://re.jrc.ec.europa.eu/api/v5_3/PVcalc?lat=30.0444&amp;lon=31.2357&amp;peakpower=1&amp;loss=14&amp;angle=30&amp;aspect=-150&amp;outputformat=json&amp;raddatabase=PVGIS-SARAH3&amp;pvtechchoice=crystSi&amp;mountingplace=free&amp;usehorizon=1</v>
      </c>
    </row>
    <row r="1896">
      <c r="A1896" t="n">
        <v>30</v>
      </c>
      <c r="B1896" t="n">
        <v>30</v>
      </c>
      <c r="C1896" t="n">
        <v>3</v>
      </c>
      <c r="D1896" s="218" t="n">
        <v>94.48</v>
      </c>
      <c r="E1896" s="218" t="n">
        <v>3.05</v>
      </c>
      <c r="F1896" t="str">
        <v>https://re.jrc.ec.europa.eu/api/v5_3/PVcalc?lat=30.0444&amp;lon=31.2357&amp;peakpower=1&amp;loss=14&amp;angle=30&amp;aspect=-150&amp;outputformat=json&amp;raddatabase=PVGIS-SARAH3&amp;pvtechchoice=crystSi&amp;mountingplace=free&amp;usehorizon=1</v>
      </c>
    </row>
    <row r="1897">
      <c r="A1897" t="n">
        <v>30</v>
      </c>
      <c r="B1897" t="n">
        <v>30</v>
      </c>
      <c r="C1897" t="n">
        <v>4</v>
      </c>
      <c r="D1897" s="218" t="n">
        <v>124.04</v>
      </c>
      <c r="E1897" s="218" t="n">
        <v>4.13</v>
      </c>
      <c r="F1897" t="str">
        <v>https://re.jrc.ec.europa.eu/api/v5_3/PVcalc?lat=30.0444&amp;lon=31.2357&amp;peakpower=1&amp;loss=14&amp;angle=30&amp;aspect=-150&amp;outputformat=json&amp;raddatabase=PVGIS-SARAH3&amp;pvtechchoice=crystSi&amp;mountingplace=free&amp;usehorizon=1</v>
      </c>
    </row>
    <row r="1898">
      <c r="A1898" t="n">
        <v>30</v>
      </c>
      <c r="B1898" t="n">
        <v>30</v>
      </c>
      <c r="C1898" t="n">
        <v>5</v>
      </c>
      <c r="D1898" s="218" t="n">
        <v>153.13</v>
      </c>
      <c r="E1898" s="218" t="n">
        <v>4.94</v>
      </c>
      <c r="F1898" t="str">
        <v>https://re.jrc.ec.europa.eu/api/v5_3/PVcalc?lat=30.0444&amp;lon=31.2357&amp;peakpower=1&amp;loss=14&amp;angle=30&amp;aspect=-150&amp;outputformat=json&amp;raddatabase=PVGIS-SARAH3&amp;pvtechchoice=crystSi&amp;mountingplace=free&amp;usehorizon=1</v>
      </c>
    </row>
    <row r="1899">
      <c r="A1899" t="n">
        <v>30</v>
      </c>
      <c r="B1899" t="n">
        <v>30</v>
      </c>
      <c r="C1899" t="n">
        <v>6</v>
      </c>
      <c r="D1899" s="218" t="n">
        <v>162.6</v>
      </c>
      <c r="E1899" s="218" t="n">
        <v>5.42</v>
      </c>
      <c r="F1899" t="str">
        <v>https://re.jrc.ec.europa.eu/api/v5_3/PVcalc?lat=30.0444&amp;lon=31.2357&amp;peakpower=1&amp;loss=14&amp;angle=30&amp;aspect=-150&amp;outputformat=json&amp;raddatabase=PVGIS-SARAH3&amp;pvtechchoice=crystSi&amp;mountingplace=free&amp;usehorizon=1</v>
      </c>
    </row>
    <row r="1900">
      <c r="A1900" t="n">
        <v>30</v>
      </c>
      <c r="B1900" t="n">
        <v>30</v>
      </c>
      <c r="C1900" t="n">
        <v>7</v>
      </c>
      <c r="D1900" s="218" t="n">
        <v>160.38</v>
      </c>
      <c r="E1900" s="218" t="n">
        <v>5.17</v>
      </c>
      <c r="F1900" t="str">
        <v>https://re.jrc.ec.europa.eu/api/v5_3/PVcalc?lat=30.0444&amp;lon=31.2357&amp;peakpower=1&amp;loss=14&amp;angle=30&amp;aspect=-150&amp;outputformat=json&amp;raddatabase=PVGIS-SARAH3&amp;pvtechchoice=crystSi&amp;mountingplace=free&amp;usehorizon=1</v>
      </c>
    </row>
    <row r="1901">
      <c r="A1901" t="n">
        <v>30</v>
      </c>
      <c r="B1901" t="n">
        <v>30</v>
      </c>
      <c r="C1901" t="n">
        <v>8</v>
      </c>
      <c r="D1901" s="218" t="n">
        <v>137.65</v>
      </c>
      <c r="E1901" s="218" t="n">
        <v>4.44</v>
      </c>
      <c r="F1901" t="str">
        <v>https://re.jrc.ec.europa.eu/api/v5_3/PVcalc?lat=30.0444&amp;lon=31.2357&amp;peakpower=1&amp;loss=14&amp;angle=30&amp;aspect=-150&amp;outputformat=json&amp;raddatabase=PVGIS-SARAH3&amp;pvtechchoice=crystSi&amp;mountingplace=free&amp;usehorizon=1</v>
      </c>
    </row>
    <row r="1902">
      <c r="A1902" t="n">
        <v>30</v>
      </c>
      <c r="B1902" t="n">
        <v>30</v>
      </c>
      <c r="C1902" t="n">
        <v>9</v>
      </c>
      <c r="D1902" s="218" t="n">
        <v>102.05</v>
      </c>
      <c r="E1902" s="218" t="n">
        <v>3.4</v>
      </c>
      <c r="F1902" t="str">
        <v>https://re.jrc.ec.europa.eu/api/v5_3/PVcalc?lat=30.0444&amp;lon=31.2357&amp;peakpower=1&amp;loss=14&amp;angle=30&amp;aspect=-150&amp;outputformat=json&amp;raddatabase=PVGIS-SARAH3&amp;pvtechchoice=crystSi&amp;mountingplace=free&amp;usehorizon=1</v>
      </c>
    </row>
    <row r="1903">
      <c r="A1903" t="n">
        <v>30</v>
      </c>
      <c r="B1903" t="n">
        <v>30</v>
      </c>
      <c r="C1903" t="n">
        <v>10</v>
      </c>
      <c r="D1903" s="218" t="n">
        <v>70.78</v>
      </c>
      <c r="E1903" s="218" t="n">
        <v>2.28</v>
      </c>
      <c r="F1903" t="str">
        <v>https://re.jrc.ec.europa.eu/api/v5_3/PVcalc?lat=30.0444&amp;lon=31.2357&amp;peakpower=1&amp;loss=14&amp;angle=30&amp;aspect=-150&amp;outputformat=json&amp;raddatabase=PVGIS-SARAH3&amp;pvtechchoice=crystSi&amp;mountingplace=free&amp;usehorizon=1</v>
      </c>
    </row>
    <row r="1904">
      <c r="A1904" t="n">
        <v>30</v>
      </c>
      <c r="B1904" t="n">
        <v>30</v>
      </c>
      <c r="C1904" t="n">
        <v>11</v>
      </c>
      <c r="D1904" s="218" t="n">
        <v>42.39</v>
      </c>
      <c r="E1904" s="218" t="n">
        <v>1.41</v>
      </c>
      <c r="F1904" t="str">
        <v>https://re.jrc.ec.europa.eu/api/v5_3/PVcalc?lat=30.0444&amp;lon=31.2357&amp;peakpower=1&amp;loss=14&amp;angle=30&amp;aspect=-150&amp;outputformat=json&amp;raddatabase=PVGIS-SARAH3&amp;pvtechchoice=crystSi&amp;mountingplace=free&amp;usehorizon=1</v>
      </c>
    </row>
    <row r="1905">
      <c r="A1905" t="n">
        <v>30</v>
      </c>
      <c r="B1905" t="n">
        <v>30</v>
      </c>
      <c r="C1905" t="n">
        <v>12</v>
      </c>
      <c r="D1905" s="218" t="n">
        <v>32.76</v>
      </c>
      <c r="E1905" s="218" t="n">
        <v>1.06</v>
      </c>
      <c r="F1905" t="str">
        <v>https://re.jrc.ec.europa.eu/api/v5_3/PVcalc?lat=30.0444&amp;lon=31.2357&amp;peakpower=1&amp;loss=14&amp;angle=30&amp;aspect=-150&amp;outputformat=json&amp;raddatabase=PVGIS-SARAH3&amp;pvtechchoice=crystSi&amp;mountingplace=free&amp;usehorizon=1</v>
      </c>
    </row>
    <row r="1906">
      <c r="A1906" t="n">
        <v>30</v>
      </c>
      <c r="B1906" t="n">
        <v>45</v>
      </c>
      <c r="C1906" t="n">
        <v>1</v>
      </c>
      <c r="D1906" s="218" t="n">
        <v>49.06</v>
      </c>
      <c r="E1906" s="218" t="n">
        <v>1.58</v>
      </c>
      <c r="F1906" t="str">
        <v>https://re.jrc.ec.europa.eu/api/v5_3/PVcalc?lat=30.0444&amp;lon=31.2357&amp;peakpower=1&amp;loss=14&amp;angle=30&amp;aspect=-135&amp;outputformat=json&amp;raddatabase=PVGIS-SARAH3&amp;pvtechchoice=crystSi&amp;mountingplace=free&amp;usehorizon=1</v>
      </c>
    </row>
    <row r="1907">
      <c r="A1907" t="n">
        <v>30</v>
      </c>
      <c r="B1907" t="n">
        <v>45</v>
      </c>
      <c r="C1907" t="n">
        <v>2</v>
      </c>
      <c r="D1907" s="218" t="n">
        <v>65.41</v>
      </c>
      <c r="E1907" s="218" t="n">
        <v>2.34</v>
      </c>
      <c r="F1907" t="str">
        <v>https://re.jrc.ec.europa.eu/api/v5_3/PVcalc?lat=30.0444&amp;lon=31.2357&amp;peakpower=1&amp;loss=14&amp;angle=30&amp;aspect=-135&amp;outputformat=json&amp;raddatabase=PVGIS-SARAH3&amp;pvtechchoice=crystSi&amp;mountingplace=free&amp;usehorizon=1</v>
      </c>
    </row>
    <row r="1908">
      <c r="A1908" t="n">
        <v>30</v>
      </c>
      <c r="B1908" t="n">
        <v>45</v>
      </c>
      <c r="C1908" t="n">
        <v>3</v>
      </c>
      <c r="D1908" s="218" t="n">
        <v>102.46</v>
      </c>
      <c r="E1908" s="218" t="n">
        <v>3.31</v>
      </c>
      <c r="F1908" t="str">
        <v>https://re.jrc.ec.europa.eu/api/v5_3/PVcalc?lat=30.0444&amp;lon=31.2357&amp;peakpower=1&amp;loss=14&amp;angle=30&amp;aspect=-135&amp;outputformat=json&amp;raddatabase=PVGIS-SARAH3&amp;pvtechchoice=crystSi&amp;mountingplace=free&amp;usehorizon=1</v>
      </c>
    </row>
    <row r="1909">
      <c r="A1909" t="n">
        <v>30</v>
      </c>
      <c r="B1909" t="n">
        <v>45</v>
      </c>
      <c r="C1909" t="n">
        <v>4</v>
      </c>
      <c r="D1909" s="218" t="n">
        <v>127.67</v>
      </c>
      <c r="E1909" s="218" t="n">
        <v>4.26</v>
      </c>
      <c r="F1909" t="str">
        <v>https://re.jrc.ec.europa.eu/api/v5_3/PVcalc?lat=30.0444&amp;lon=31.2357&amp;peakpower=1&amp;loss=14&amp;angle=30&amp;aspect=-135&amp;outputformat=json&amp;raddatabase=PVGIS-SARAH3&amp;pvtechchoice=crystSi&amp;mountingplace=free&amp;usehorizon=1</v>
      </c>
    </row>
    <row r="1910">
      <c r="A1910" t="n">
        <v>30</v>
      </c>
      <c r="B1910" t="n">
        <v>45</v>
      </c>
      <c r="C1910" t="n">
        <v>5</v>
      </c>
      <c r="D1910" s="218" t="n">
        <v>153.67</v>
      </c>
      <c r="E1910" s="218" t="n">
        <v>4.96</v>
      </c>
      <c r="F1910" t="str">
        <v>https://re.jrc.ec.europa.eu/api/v5_3/PVcalc?lat=30.0444&amp;lon=31.2357&amp;peakpower=1&amp;loss=14&amp;angle=30&amp;aspect=-135&amp;outputformat=json&amp;raddatabase=PVGIS-SARAH3&amp;pvtechchoice=crystSi&amp;mountingplace=free&amp;usehorizon=1</v>
      </c>
    </row>
    <row r="1911">
      <c r="A1911" t="n">
        <v>30</v>
      </c>
      <c r="B1911" t="n">
        <v>45</v>
      </c>
      <c r="C1911" t="n">
        <v>6</v>
      </c>
      <c r="D1911" s="218" t="n">
        <v>161.13</v>
      </c>
      <c r="E1911" s="218" t="n">
        <v>5.37</v>
      </c>
      <c r="F1911" t="str">
        <v>https://re.jrc.ec.europa.eu/api/v5_3/PVcalc?lat=30.0444&amp;lon=31.2357&amp;peakpower=1&amp;loss=14&amp;angle=30&amp;aspect=-135&amp;outputformat=json&amp;raddatabase=PVGIS-SARAH3&amp;pvtechchoice=crystSi&amp;mountingplace=free&amp;usehorizon=1</v>
      </c>
    </row>
    <row r="1912">
      <c r="A1912" t="n">
        <v>30</v>
      </c>
      <c r="B1912" t="n">
        <v>45</v>
      </c>
      <c r="C1912" t="n">
        <v>7</v>
      </c>
      <c r="D1912" s="218" t="n">
        <v>159.38</v>
      </c>
      <c r="E1912" s="218" t="n">
        <v>5.14</v>
      </c>
      <c r="F1912" t="str">
        <v>https://re.jrc.ec.europa.eu/api/v5_3/PVcalc?lat=30.0444&amp;lon=31.2357&amp;peakpower=1&amp;loss=14&amp;angle=30&amp;aspect=-135&amp;outputformat=json&amp;raddatabase=PVGIS-SARAH3&amp;pvtechchoice=crystSi&amp;mountingplace=free&amp;usehorizon=1</v>
      </c>
    </row>
    <row r="1913">
      <c r="A1913" t="n">
        <v>30</v>
      </c>
      <c r="B1913" t="n">
        <v>45</v>
      </c>
      <c r="C1913" t="n">
        <v>8</v>
      </c>
      <c r="D1913" s="218" t="n">
        <v>140.1</v>
      </c>
      <c r="E1913" s="218" t="n">
        <v>4.52</v>
      </c>
      <c r="F1913" t="str">
        <v>https://re.jrc.ec.europa.eu/api/v5_3/PVcalc?lat=30.0444&amp;lon=31.2357&amp;peakpower=1&amp;loss=14&amp;angle=30&amp;aspect=-135&amp;outputformat=json&amp;raddatabase=PVGIS-SARAH3&amp;pvtechchoice=crystSi&amp;mountingplace=free&amp;usehorizon=1</v>
      </c>
    </row>
    <row r="1914">
      <c r="A1914" t="n">
        <v>30</v>
      </c>
      <c r="B1914" t="n">
        <v>45</v>
      </c>
      <c r="C1914" t="n">
        <v>9</v>
      </c>
      <c r="D1914" s="218" t="n">
        <v>108.22</v>
      </c>
      <c r="E1914" s="218" t="n">
        <v>3.61</v>
      </c>
      <c r="F1914" t="str">
        <v>https://re.jrc.ec.europa.eu/api/v5_3/PVcalc?lat=30.0444&amp;lon=31.2357&amp;peakpower=1&amp;loss=14&amp;angle=30&amp;aspect=-135&amp;outputformat=json&amp;raddatabase=PVGIS-SARAH3&amp;pvtechchoice=crystSi&amp;mountingplace=free&amp;usehorizon=1</v>
      </c>
    </row>
    <row r="1915">
      <c r="A1915" t="n">
        <v>30</v>
      </c>
      <c r="B1915" t="n">
        <v>45</v>
      </c>
      <c r="C1915" t="n">
        <v>10</v>
      </c>
      <c r="D1915" s="218" t="n">
        <v>80.67</v>
      </c>
      <c r="E1915" s="218" t="n">
        <v>2.6</v>
      </c>
      <c r="F1915" t="str">
        <v>https://re.jrc.ec.europa.eu/api/v5_3/PVcalc?lat=30.0444&amp;lon=31.2357&amp;peakpower=1&amp;loss=14&amp;angle=30&amp;aspect=-135&amp;outputformat=json&amp;raddatabase=PVGIS-SARAH3&amp;pvtechchoice=crystSi&amp;mountingplace=free&amp;usehorizon=1</v>
      </c>
    </row>
    <row r="1916">
      <c r="A1916" t="n">
        <v>30</v>
      </c>
      <c r="B1916" t="n">
        <v>45</v>
      </c>
      <c r="C1916" t="n">
        <v>11</v>
      </c>
      <c r="D1916" s="218" t="n">
        <v>53.39</v>
      </c>
      <c r="E1916" s="218" t="n">
        <v>1.78</v>
      </c>
      <c r="F1916" t="str">
        <v>https://re.jrc.ec.europa.eu/api/v5_3/PVcalc?lat=30.0444&amp;lon=31.2357&amp;peakpower=1&amp;loss=14&amp;angle=30&amp;aspect=-135&amp;outputformat=json&amp;raddatabase=PVGIS-SARAH3&amp;pvtechchoice=crystSi&amp;mountingplace=free&amp;usehorizon=1</v>
      </c>
    </row>
    <row r="1917">
      <c r="A1917" t="n">
        <v>30</v>
      </c>
      <c r="B1917" t="n">
        <v>45</v>
      </c>
      <c r="C1917" t="n">
        <v>12</v>
      </c>
      <c r="D1917" s="218" t="n">
        <v>43.51</v>
      </c>
      <c r="E1917" s="218" t="n">
        <v>1.4</v>
      </c>
      <c r="F1917" t="str">
        <v>https://re.jrc.ec.europa.eu/api/v5_3/PVcalc?lat=30.0444&amp;lon=31.2357&amp;peakpower=1&amp;loss=14&amp;angle=30&amp;aspect=-135&amp;outputformat=json&amp;raddatabase=PVGIS-SARAH3&amp;pvtechchoice=crystSi&amp;mountingplace=free&amp;usehorizon=1</v>
      </c>
    </row>
    <row r="1918">
      <c r="A1918" t="n">
        <v>30</v>
      </c>
      <c r="B1918" t="n">
        <v>60</v>
      </c>
      <c r="C1918" t="n">
        <v>1</v>
      </c>
      <c r="D1918" s="218" t="n">
        <v>60.7</v>
      </c>
      <c r="E1918" s="218" t="n">
        <v>1.96</v>
      </c>
      <c r="F1918" t="str">
        <v>https://re.jrc.ec.europa.eu/api/v5_3/PVcalc?lat=30.0444&amp;lon=31.2357&amp;peakpower=1&amp;loss=14&amp;angle=30&amp;aspect=-120&amp;outputformat=json&amp;raddatabase=PVGIS-SARAH3&amp;pvtechchoice=crystSi&amp;mountingplace=free&amp;usehorizon=1</v>
      </c>
    </row>
    <row r="1919">
      <c r="A1919" t="n">
        <v>30</v>
      </c>
      <c r="B1919" t="n">
        <v>60</v>
      </c>
      <c r="C1919" t="n">
        <v>2</v>
      </c>
      <c r="D1919" s="218" t="n">
        <v>75.42</v>
      </c>
      <c r="E1919" s="218" t="n">
        <v>2.69</v>
      </c>
      <c r="F1919" t="str">
        <v>https://re.jrc.ec.europa.eu/api/v5_3/PVcalc?lat=30.0444&amp;lon=31.2357&amp;peakpower=1&amp;loss=14&amp;angle=30&amp;aspect=-120&amp;outputformat=json&amp;raddatabase=PVGIS-SARAH3&amp;pvtechchoice=crystSi&amp;mountingplace=free&amp;usehorizon=1</v>
      </c>
    </row>
    <row r="1920">
      <c r="A1920" t="n">
        <v>30</v>
      </c>
      <c r="B1920" t="n">
        <v>60</v>
      </c>
      <c r="C1920" t="n">
        <v>3</v>
      </c>
      <c r="D1920" s="218" t="n">
        <v>111.2</v>
      </c>
      <c r="E1920" s="218" t="n">
        <v>3.59</v>
      </c>
      <c r="F1920" t="str">
        <v>https://re.jrc.ec.europa.eu/api/v5_3/PVcalc?lat=30.0444&amp;lon=31.2357&amp;peakpower=1&amp;loss=14&amp;angle=30&amp;aspect=-120&amp;outputformat=json&amp;raddatabase=PVGIS-SARAH3&amp;pvtechchoice=crystSi&amp;mountingplace=free&amp;usehorizon=1</v>
      </c>
    </row>
    <row r="1921">
      <c r="A1921" t="n">
        <v>30</v>
      </c>
      <c r="B1921" t="n">
        <v>60</v>
      </c>
      <c r="C1921" t="n">
        <v>4</v>
      </c>
      <c r="D1921" s="218" t="n">
        <v>132.67</v>
      </c>
      <c r="E1921" s="218" t="n">
        <v>4.42</v>
      </c>
      <c r="F1921" t="str">
        <v>https://re.jrc.ec.europa.eu/api/v5_3/PVcalc?lat=30.0444&amp;lon=31.2357&amp;peakpower=1&amp;loss=14&amp;angle=30&amp;aspect=-120&amp;outputformat=json&amp;raddatabase=PVGIS-SARAH3&amp;pvtechchoice=crystSi&amp;mountingplace=free&amp;usehorizon=1</v>
      </c>
    </row>
    <row r="1922">
      <c r="A1922" t="n">
        <v>30</v>
      </c>
      <c r="B1922" t="n">
        <v>60</v>
      </c>
      <c r="C1922" t="n">
        <v>5</v>
      </c>
      <c r="D1922" s="218" t="n">
        <v>155.49</v>
      </c>
      <c r="E1922" s="218" t="n">
        <v>5.02</v>
      </c>
      <c r="F1922" t="str">
        <v>https://re.jrc.ec.europa.eu/api/v5_3/PVcalc?lat=30.0444&amp;lon=31.2357&amp;peakpower=1&amp;loss=14&amp;angle=30&amp;aspect=-120&amp;outputformat=json&amp;raddatabase=PVGIS-SARAH3&amp;pvtechchoice=crystSi&amp;mountingplace=free&amp;usehorizon=1</v>
      </c>
    </row>
    <row r="1923">
      <c r="A1923" t="n">
        <v>30</v>
      </c>
      <c r="B1923" t="n">
        <v>60</v>
      </c>
      <c r="C1923" t="n">
        <v>6</v>
      </c>
      <c r="D1923" s="218" t="n">
        <v>161.27</v>
      </c>
      <c r="E1923" s="218" t="n">
        <v>5.38</v>
      </c>
      <c r="F1923" t="str">
        <v>https://re.jrc.ec.europa.eu/api/v5_3/PVcalc?lat=30.0444&amp;lon=31.2357&amp;peakpower=1&amp;loss=14&amp;angle=30&amp;aspect=-120&amp;outputformat=json&amp;raddatabase=PVGIS-SARAH3&amp;pvtechchoice=crystSi&amp;mountingplace=free&amp;usehorizon=1</v>
      </c>
    </row>
    <row r="1924">
      <c r="A1924" t="n">
        <v>30</v>
      </c>
      <c r="B1924" t="n">
        <v>60</v>
      </c>
      <c r="C1924" t="n">
        <v>7</v>
      </c>
      <c r="D1924" s="218" t="n">
        <v>160.3</v>
      </c>
      <c r="E1924" s="218" t="n">
        <v>5.17</v>
      </c>
      <c r="F1924" t="str">
        <v>https://re.jrc.ec.europa.eu/api/v5_3/PVcalc?lat=30.0444&amp;lon=31.2357&amp;peakpower=1&amp;loss=14&amp;angle=30&amp;aspect=-120&amp;outputformat=json&amp;raddatabase=PVGIS-SARAH3&amp;pvtechchoice=crystSi&amp;mountingplace=free&amp;usehorizon=1</v>
      </c>
    </row>
    <row r="1925">
      <c r="A1925" t="n">
        <v>30</v>
      </c>
      <c r="B1925" t="n">
        <v>60</v>
      </c>
      <c r="C1925" t="n">
        <v>8</v>
      </c>
      <c r="D1925" s="218" t="n">
        <v>143.79</v>
      </c>
      <c r="E1925" s="218" t="n">
        <v>4.64</v>
      </c>
      <c r="F1925" t="str">
        <v>https://re.jrc.ec.europa.eu/api/v5_3/PVcalc?lat=30.0444&amp;lon=31.2357&amp;peakpower=1&amp;loss=14&amp;angle=30&amp;aspect=-120&amp;outputformat=json&amp;raddatabase=PVGIS-SARAH3&amp;pvtechchoice=crystSi&amp;mountingplace=free&amp;usehorizon=1</v>
      </c>
    </row>
    <row r="1926">
      <c r="A1926" t="n">
        <v>30</v>
      </c>
      <c r="B1926" t="n">
        <v>60</v>
      </c>
      <c r="C1926" t="n">
        <v>9</v>
      </c>
      <c r="D1926" s="218" t="n">
        <v>115.66</v>
      </c>
      <c r="E1926" s="218" t="n">
        <v>3.86</v>
      </c>
      <c r="F1926" t="str">
        <v>https://re.jrc.ec.europa.eu/api/v5_3/PVcalc?lat=30.0444&amp;lon=31.2357&amp;peakpower=1&amp;loss=14&amp;angle=30&amp;aspect=-120&amp;outputformat=json&amp;raddatabase=PVGIS-SARAH3&amp;pvtechchoice=crystSi&amp;mountingplace=free&amp;usehorizon=1</v>
      </c>
    </row>
    <row r="1927">
      <c r="A1927" t="n">
        <v>30</v>
      </c>
      <c r="B1927" t="n">
        <v>60</v>
      </c>
      <c r="C1927" t="n">
        <v>10</v>
      </c>
      <c r="D1927" s="218" t="n">
        <v>91.57</v>
      </c>
      <c r="E1927" s="218" t="n">
        <v>2.95</v>
      </c>
      <c r="F1927" t="str">
        <v>https://re.jrc.ec.europa.eu/api/v5_3/PVcalc?lat=30.0444&amp;lon=31.2357&amp;peakpower=1&amp;loss=14&amp;angle=30&amp;aspect=-120&amp;outputformat=json&amp;raddatabase=PVGIS-SARAH3&amp;pvtechchoice=crystSi&amp;mountingplace=free&amp;usehorizon=1</v>
      </c>
    </row>
    <row r="1928">
      <c r="A1928" t="n">
        <v>30</v>
      </c>
      <c r="B1928" t="n">
        <v>60</v>
      </c>
      <c r="C1928" t="n">
        <v>11</v>
      </c>
      <c r="D1928" s="218" t="n">
        <v>65.28</v>
      </c>
      <c r="E1928" s="218" t="n">
        <v>2.18</v>
      </c>
      <c r="F1928" t="str">
        <v>https://re.jrc.ec.europa.eu/api/v5_3/PVcalc?lat=30.0444&amp;lon=31.2357&amp;peakpower=1&amp;loss=14&amp;angle=30&amp;aspect=-120&amp;outputformat=json&amp;raddatabase=PVGIS-SARAH3&amp;pvtechchoice=crystSi&amp;mountingplace=free&amp;usehorizon=1</v>
      </c>
    </row>
    <row r="1929">
      <c r="A1929" t="n">
        <v>30</v>
      </c>
      <c r="B1929" t="n">
        <v>60</v>
      </c>
      <c r="C1929" t="n">
        <v>12</v>
      </c>
      <c r="D1929" s="218" t="n">
        <v>55.71</v>
      </c>
      <c r="E1929" s="218" t="n">
        <v>1.8</v>
      </c>
      <c r="F1929" t="str">
        <v>https://re.jrc.ec.europa.eu/api/v5_3/PVcalc?lat=30.0444&amp;lon=31.2357&amp;peakpower=1&amp;loss=14&amp;angle=30&amp;aspect=-120&amp;outputformat=json&amp;raddatabase=PVGIS-SARAH3&amp;pvtechchoice=crystSi&amp;mountingplace=free&amp;usehorizon=1</v>
      </c>
    </row>
    <row r="1930">
      <c r="A1930" t="n">
        <v>30</v>
      </c>
      <c r="B1930" t="n">
        <v>75</v>
      </c>
      <c r="C1930" t="n">
        <v>1</v>
      </c>
      <c r="D1930" s="218" t="n">
        <v>73.16</v>
      </c>
      <c r="E1930" s="218" t="n">
        <v>2.36</v>
      </c>
      <c r="F1930" t="str">
        <v>https://re.jrc.ec.europa.eu/api/v5_3/PVcalc?lat=30.0444&amp;lon=31.2357&amp;peakpower=1&amp;loss=14&amp;angle=30&amp;aspect=-105&amp;outputformat=json&amp;raddatabase=PVGIS-SARAH3&amp;pvtechchoice=crystSi&amp;mountingplace=free&amp;usehorizon=1</v>
      </c>
    </row>
    <row r="1931">
      <c r="A1931" t="n">
        <v>30</v>
      </c>
      <c r="B1931" t="n">
        <v>75</v>
      </c>
      <c r="C1931" t="n">
        <v>2</v>
      </c>
      <c r="D1931" s="218" t="n">
        <v>85.32</v>
      </c>
      <c r="E1931" s="218" t="n">
        <v>3.05</v>
      </c>
      <c r="F1931" t="str">
        <v>https://re.jrc.ec.europa.eu/api/v5_3/PVcalc?lat=30.0444&amp;lon=31.2357&amp;peakpower=1&amp;loss=14&amp;angle=30&amp;aspect=-105&amp;outputformat=json&amp;raddatabase=PVGIS-SARAH3&amp;pvtechchoice=crystSi&amp;mountingplace=free&amp;usehorizon=1</v>
      </c>
    </row>
    <row r="1932">
      <c r="A1932" t="n">
        <v>30</v>
      </c>
      <c r="B1932" t="n">
        <v>75</v>
      </c>
      <c r="C1932" t="n">
        <v>3</v>
      </c>
      <c r="D1932" s="218" t="n">
        <v>120.21</v>
      </c>
      <c r="E1932" s="218" t="n">
        <v>3.88</v>
      </c>
      <c r="F1932" t="str">
        <v>https://re.jrc.ec.europa.eu/api/v5_3/PVcalc?lat=30.0444&amp;lon=31.2357&amp;peakpower=1&amp;loss=14&amp;angle=30&amp;aspect=-105&amp;outputformat=json&amp;raddatabase=PVGIS-SARAH3&amp;pvtechchoice=crystSi&amp;mountingplace=free&amp;usehorizon=1</v>
      </c>
    </row>
    <row r="1933">
      <c r="A1933" t="n">
        <v>30</v>
      </c>
      <c r="B1933" t="n">
        <v>75</v>
      </c>
      <c r="C1933" t="n">
        <v>4</v>
      </c>
      <c r="D1933" s="218" t="n">
        <v>138.28</v>
      </c>
      <c r="E1933" s="218" t="n">
        <v>4.61</v>
      </c>
      <c r="F1933" t="str">
        <v>https://re.jrc.ec.europa.eu/api/v5_3/PVcalc?lat=30.0444&amp;lon=31.2357&amp;peakpower=1&amp;loss=14&amp;angle=30&amp;aspect=-105&amp;outputformat=json&amp;raddatabase=PVGIS-SARAH3&amp;pvtechchoice=crystSi&amp;mountingplace=free&amp;usehorizon=1</v>
      </c>
    </row>
    <row r="1934">
      <c r="A1934" t="n">
        <v>30</v>
      </c>
      <c r="B1934" t="n">
        <v>75</v>
      </c>
      <c r="C1934" t="n">
        <v>5</v>
      </c>
      <c r="D1934" s="218" t="n">
        <v>157.34</v>
      </c>
      <c r="E1934" s="218" t="n">
        <v>5.08</v>
      </c>
      <c r="F1934" t="str">
        <v>https://re.jrc.ec.europa.eu/api/v5_3/PVcalc?lat=30.0444&amp;lon=31.2357&amp;peakpower=1&amp;loss=14&amp;angle=30&amp;aspect=-105&amp;outputformat=json&amp;raddatabase=PVGIS-SARAH3&amp;pvtechchoice=crystSi&amp;mountingplace=free&amp;usehorizon=1</v>
      </c>
    </row>
    <row r="1935">
      <c r="A1935" t="n">
        <v>30</v>
      </c>
      <c r="B1935" t="n">
        <v>75</v>
      </c>
      <c r="C1935" t="n">
        <v>6</v>
      </c>
      <c r="D1935" s="218" t="n">
        <v>161.36</v>
      </c>
      <c r="E1935" s="218" t="n">
        <v>5.38</v>
      </c>
      <c r="F1935" t="str">
        <v>https://re.jrc.ec.europa.eu/api/v5_3/PVcalc?lat=30.0444&amp;lon=31.2357&amp;peakpower=1&amp;loss=14&amp;angle=30&amp;aspect=-105&amp;outputformat=json&amp;raddatabase=PVGIS-SARAH3&amp;pvtechchoice=crystSi&amp;mountingplace=free&amp;usehorizon=1</v>
      </c>
    </row>
    <row r="1936">
      <c r="A1936" t="n">
        <v>30</v>
      </c>
      <c r="B1936" t="n">
        <v>75</v>
      </c>
      <c r="C1936" t="n">
        <v>7</v>
      </c>
      <c r="D1936" s="218" t="n">
        <v>161.2</v>
      </c>
      <c r="E1936" s="218" t="n">
        <v>5.2</v>
      </c>
      <c r="F1936" t="str">
        <v>https://re.jrc.ec.europa.eu/api/v5_3/PVcalc?lat=30.0444&amp;lon=31.2357&amp;peakpower=1&amp;loss=14&amp;angle=30&amp;aspect=-105&amp;outputformat=json&amp;raddatabase=PVGIS-SARAH3&amp;pvtechchoice=crystSi&amp;mountingplace=free&amp;usehorizon=1</v>
      </c>
    </row>
    <row r="1937">
      <c r="A1937" t="n">
        <v>30</v>
      </c>
      <c r="B1937" t="n">
        <v>75</v>
      </c>
      <c r="C1937" t="n">
        <v>8</v>
      </c>
      <c r="D1937" s="218" t="n">
        <v>148.13</v>
      </c>
      <c r="E1937" s="218" t="n">
        <v>4.78</v>
      </c>
      <c r="F1937" t="str">
        <v>https://re.jrc.ec.europa.eu/api/v5_3/PVcalc?lat=30.0444&amp;lon=31.2357&amp;peakpower=1&amp;loss=14&amp;angle=30&amp;aspect=-105&amp;outputformat=json&amp;raddatabase=PVGIS-SARAH3&amp;pvtechchoice=crystSi&amp;mountingplace=free&amp;usehorizon=1</v>
      </c>
    </row>
    <row r="1938">
      <c r="A1938" t="n">
        <v>30</v>
      </c>
      <c r="B1938" t="n">
        <v>75</v>
      </c>
      <c r="C1938" t="n">
        <v>9</v>
      </c>
      <c r="D1938" s="218" t="n">
        <v>123.36</v>
      </c>
      <c r="E1938" s="218" t="n">
        <v>4.11</v>
      </c>
      <c r="F1938" t="str">
        <v>https://re.jrc.ec.europa.eu/api/v5_3/PVcalc?lat=30.0444&amp;lon=31.2357&amp;peakpower=1&amp;loss=14&amp;angle=30&amp;aspect=-105&amp;outputformat=json&amp;raddatabase=PVGIS-SARAH3&amp;pvtechchoice=crystSi&amp;mountingplace=free&amp;usehorizon=1</v>
      </c>
    </row>
    <row r="1939">
      <c r="A1939" t="n">
        <v>30</v>
      </c>
      <c r="B1939" t="n">
        <v>75</v>
      </c>
      <c r="C1939" t="n">
        <v>10</v>
      </c>
      <c r="D1939" s="218" t="n">
        <v>102.65</v>
      </c>
      <c r="E1939" s="218" t="n">
        <v>3.31</v>
      </c>
      <c r="F1939" t="str">
        <v>https://re.jrc.ec.europa.eu/api/v5_3/PVcalc?lat=30.0444&amp;lon=31.2357&amp;peakpower=1&amp;loss=14&amp;angle=30&amp;aspect=-105&amp;outputformat=json&amp;raddatabase=PVGIS-SARAH3&amp;pvtechchoice=crystSi&amp;mountingplace=free&amp;usehorizon=1</v>
      </c>
    </row>
    <row r="1940">
      <c r="A1940" t="n">
        <v>30</v>
      </c>
      <c r="B1940" t="n">
        <v>75</v>
      </c>
      <c r="C1940" t="n">
        <v>11</v>
      </c>
      <c r="D1940" s="218" t="n">
        <v>77.7</v>
      </c>
      <c r="E1940" s="218" t="n">
        <v>2.59</v>
      </c>
      <c r="F1940" t="str">
        <v>https://re.jrc.ec.europa.eu/api/v5_3/PVcalc?lat=30.0444&amp;lon=31.2357&amp;peakpower=1&amp;loss=14&amp;angle=30&amp;aspect=-105&amp;outputformat=json&amp;raddatabase=PVGIS-SARAH3&amp;pvtechchoice=crystSi&amp;mountingplace=free&amp;usehorizon=1</v>
      </c>
    </row>
    <row r="1941">
      <c r="A1941" t="n">
        <v>30</v>
      </c>
      <c r="B1941" t="n">
        <v>75</v>
      </c>
      <c r="C1941" t="n">
        <v>12</v>
      </c>
      <c r="D1941" s="218" t="n">
        <v>68.17</v>
      </c>
      <c r="E1941" s="218" t="n">
        <v>2.2</v>
      </c>
      <c r="F1941" t="str">
        <v>https://re.jrc.ec.europa.eu/api/v5_3/PVcalc?lat=30.0444&amp;lon=31.2357&amp;peakpower=1&amp;loss=14&amp;angle=30&amp;aspect=-105&amp;outputformat=json&amp;raddatabase=PVGIS-SARAH3&amp;pvtechchoice=crystSi&amp;mountingplace=free&amp;usehorizon=1</v>
      </c>
    </row>
    <row r="1942">
      <c r="A1942" t="n">
        <v>30</v>
      </c>
      <c r="B1942" t="n">
        <v>90</v>
      </c>
      <c r="C1942" t="n">
        <v>1</v>
      </c>
      <c r="D1942" s="218" t="n">
        <v>85.22</v>
      </c>
      <c r="E1942" s="218" t="n">
        <v>2.75</v>
      </c>
      <c r="F1942" t="str">
        <v>https://re.jrc.ec.europa.eu/api/v5_3/PVcalc?lat=30.0444&amp;lon=31.2357&amp;peakpower=1&amp;loss=14&amp;angle=30&amp;aspect=-90&amp;outputformat=json&amp;raddatabase=PVGIS-SARAH3&amp;pvtechchoice=crystSi&amp;mountingplace=free&amp;usehorizon=1</v>
      </c>
    </row>
    <row r="1943">
      <c r="A1943" t="n">
        <v>30</v>
      </c>
      <c r="B1943" t="n">
        <v>90</v>
      </c>
      <c r="C1943" t="n">
        <v>2</v>
      </c>
      <c r="D1943" s="218" t="n">
        <v>95.04</v>
      </c>
      <c r="E1943" s="218" t="n">
        <v>3.39</v>
      </c>
      <c r="F1943" t="str">
        <v>https://re.jrc.ec.europa.eu/api/v5_3/PVcalc?lat=30.0444&amp;lon=31.2357&amp;peakpower=1&amp;loss=14&amp;angle=30&amp;aspect=-90&amp;outputformat=json&amp;raddatabase=PVGIS-SARAH3&amp;pvtechchoice=crystSi&amp;mountingplace=free&amp;usehorizon=1</v>
      </c>
    </row>
    <row r="1944">
      <c r="A1944" t="n">
        <v>30</v>
      </c>
      <c r="B1944" t="n">
        <v>90</v>
      </c>
      <c r="C1944" t="n">
        <v>3</v>
      </c>
      <c r="D1944" s="218" t="n">
        <v>129.06</v>
      </c>
      <c r="E1944" s="218" t="n">
        <v>4.16</v>
      </c>
      <c r="F1944" t="str">
        <v>https://re.jrc.ec.europa.eu/api/v5_3/PVcalc?lat=30.0444&amp;lon=31.2357&amp;peakpower=1&amp;loss=14&amp;angle=30&amp;aspect=-90&amp;outputformat=json&amp;raddatabase=PVGIS-SARAH3&amp;pvtechchoice=crystSi&amp;mountingplace=free&amp;usehorizon=1</v>
      </c>
    </row>
    <row r="1945">
      <c r="A1945" t="n">
        <v>30</v>
      </c>
      <c r="B1945" t="n">
        <v>90</v>
      </c>
      <c r="C1945" t="n">
        <v>4</v>
      </c>
      <c r="D1945" s="218" t="n">
        <v>143.47</v>
      </c>
      <c r="E1945" s="218" t="n">
        <v>4.78</v>
      </c>
      <c r="F1945" t="str">
        <v>https://re.jrc.ec.europa.eu/api/v5_3/PVcalc?lat=30.0444&amp;lon=31.2357&amp;peakpower=1&amp;loss=14&amp;angle=30&amp;aspect=-90&amp;outputformat=json&amp;raddatabase=PVGIS-SARAH3&amp;pvtechchoice=crystSi&amp;mountingplace=free&amp;usehorizon=1</v>
      </c>
    </row>
    <row r="1946">
      <c r="A1946" t="n">
        <v>30</v>
      </c>
      <c r="B1946" t="n">
        <v>90</v>
      </c>
      <c r="C1946" t="n">
        <v>5</v>
      </c>
      <c r="D1946" s="218" t="n">
        <v>159.29</v>
      </c>
      <c r="E1946" s="218" t="n">
        <v>5.14</v>
      </c>
      <c r="F1946" t="str">
        <v>https://re.jrc.ec.europa.eu/api/v5_3/PVcalc?lat=30.0444&amp;lon=31.2357&amp;peakpower=1&amp;loss=14&amp;angle=30&amp;aspect=-90&amp;outputformat=json&amp;raddatabase=PVGIS-SARAH3&amp;pvtechchoice=crystSi&amp;mountingplace=free&amp;usehorizon=1</v>
      </c>
    </row>
    <row r="1947">
      <c r="A1947" t="n">
        <v>30</v>
      </c>
      <c r="B1947" t="n">
        <v>90</v>
      </c>
      <c r="C1947" t="n">
        <v>6</v>
      </c>
      <c r="D1947" s="218" t="n">
        <v>161.43</v>
      </c>
      <c r="E1947" s="218" t="n">
        <v>5.38</v>
      </c>
      <c r="F1947" t="str">
        <v>https://re.jrc.ec.europa.eu/api/v5_3/PVcalc?lat=30.0444&amp;lon=31.2357&amp;peakpower=1&amp;loss=14&amp;angle=30&amp;aspect=-90&amp;outputformat=json&amp;raddatabase=PVGIS-SARAH3&amp;pvtechchoice=crystSi&amp;mountingplace=free&amp;usehorizon=1</v>
      </c>
    </row>
    <row r="1948">
      <c r="A1948" t="n">
        <v>30</v>
      </c>
      <c r="B1948" t="n">
        <v>90</v>
      </c>
      <c r="C1948" t="n">
        <v>7</v>
      </c>
      <c r="D1948" s="218" t="n">
        <v>162.16</v>
      </c>
      <c r="E1948" s="218" t="n">
        <v>5.23</v>
      </c>
      <c r="F1948" t="str">
        <v>https://re.jrc.ec.europa.eu/api/v5_3/PVcalc?lat=30.0444&amp;lon=31.2357&amp;peakpower=1&amp;loss=14&amp;angle=30&amp;aspect=-90&amp;outputformat=json&amp;raddatabase=PVGIS-SARAH3&amp;pvtechchoice=crystSi&amp;mountingplace=free&amp;usehorizon=1</v>
      </c>
    </row>
    <row r="1949">
      <c r="A1949" t="n">
        <v>30</v>
      </c>
      <c r="B1949" t="n">
        <v>90</v>
      </c>
      <c r="C1949" t="n">
        <v>8</v>
      </c>
      <c r="D1949" s="218" t="n">
        <v>152.31</v>
      </c>
      <c r="E1949" s="218" t="n">
        <v>4.91</v>
      </c>
      <c r="F1949" t="str">
        <v>https://re.jrc.ec.europa.eu/api/v5_3/PVcalc?lat=30.0444&amp;lon=31.2357&amp;peakpower=1&amp;loss=14&amp;angle=30&amp;aspect=-90&amp;outputformat=json&amp;raddatabase=PVGIS-SARAH3&amp;pvtechchoice=crystSi&amp;mountingplace=free&amp;usehorizon=1</v>
      </c>
    </row>
    <row r="1950">
      <c r="A1950" t="n">
        <v>30</v>
      </c>
      <c r="B1950" t="n">
        <v>90</v>
      </c>
      <c r="C1950" t="n">
        <v>9</v>
      </c>
      <c r="D1950" s="218" t="n">
        <v>131.05</v>
      </c>
      <c r="E1950" s="218" t="n">
        <v>4.37</v>
      </c>
      <c r="F1950" t="str">
        <v>https://re.jrc.ec.europa.eu/api/v5_3/PVcalc?lat=30.0444&amp;lon=31.2357&amp;peakpower=1&amp;loss=14&amp;angle=30&amp;aspect=-90&amp;outputformat=json&amp;raddatabase=PVGIS-SARAH3&amp;pvtechchoice=crystSi&amp;mountingplace=free&amp;usehorizon=1</v>
      </c>
    </row>
    <row r="1951">
      <c r="A1951" t="n">
        <v>30</v>
      </c>
      <c r="B1951" t="n">
        <v>90</v>
      </c>
      <c r="C1951" t="n">
        <v>10</v>
      </c>
      <c r="D1951" s="218" t="n">
        <v>113.24</v>
      </c>
      <c r="E1951" s="218" t="n">
        <v>3.65</v>
      </c>
      <c r="F1951" t="str">
        <v>https://re.jrc.ec.europa.eu/api/v5_3/PVcalc?lat=30.0444&amp;lon=31.2357&amp;peakpower=1&amp;loss=14&amp;angle=30&amp;aspect=-90&amp;outputformat=json&amp;raddatabase=PVGIS-SARAH3&amp;pvtechchoice=crystSi&amp;mountingplace=free&amp;usehorizon=1</v>
      </c>
    </row>
    <row r="1952">
      <c r="A1952" t="n">
        <v>30</v>
      </c>
      <c r="B1952" t="n">
        <v>90</v>
      </c>
      <c r="C1952" t="n">
        <v>11</v>
      </c>
      <c r="D1952" s="218" t="n">
        <v>90.34</v>
      </c>
      <c r="E1952" s="218" t="n">
        <v>3.01</v>
      </c>
      <c r="F1952" t="str">
        <v>https://re.jrc.ec.europa.eu/api/v5_3/PVcalc?lat=30.0444&amp;lon=31.2357&amp;peakpower=1&amp;loss=14&amp;angle=30&amp;aspect=-90&amp;outputformat=json&amp;raddatabase=PVGIS-SARAH3&amp;pvtechchoice=crystSi&amp;mountingplace=free&amp;usehorizon=1</v>
      </c>
    </row>
    <row r="1953">
      <c r="A1953" t="n">
        <v>30</v>
      </c>
      <c r="B1953" t="n">
        <v>90</v>
      </c>
      <c r="C1953" t="n">
        <v>12</v>
      </c>
      <c r="D1953" s="218" t="n">
        <v>81.49</v>
      </c>
      <c r="E1953" s="218" t="n">
        <v>2.63</v>
      </c>
      <c r="F1953" t="str">
        <v>https://re.jrc.ec.europa.eu/api/v5_3/PVcalc?lat=30.0444&amp;lon=31.2357&amp;peakpower=1&amp;loss=14&amp;angle=30&amp;aspect=-90&amp;outputformat=json&amp;raddatabase=PVGIS-SARAH3&amp;pvtechchoice=crystSi&amp;mountingplace=free&amp;usehorizon=1</v>
      </c>
    </row>
    <row r="1954">
      <c r="A1954" t="n">
        <v>30</v>
      </c>
      <c r="B1954" t="n">
        <v>105</v>
      </c>
      <c r="C1954" t="n">
        <v>1</v>
      </c>
      <c r="D1954" s="218" t="n">
        <v>96.84</v>
      </c>
      <c r="E1954" s="218" t="n">
        <v>3.12</v>
      </c>
      <c r="F1954" t="str">
        <v>https://re.jrc.ec.europa.eu/api/v5_3/PVcalc?lat=30.0444&amp;lon=31.2357&amp;peakpower=1&amp;loss=14&amp;angle=30&amp;aspect=-75&amp;outputformat=json&amp;raddatabase=PVGIS-SARAH3&amp;pvtechchoice=crystSi&amp;mountingplace=free&amp;usehorizon=1</v>
      </c>
    </row>
    <row r="1955">
      <c r="A1955" t="n">
        <v>30</v>
      </c>
      <c r="B1955" t="n">
        <v>105</v>
      </c>
      <c r="C1955" t="n">
        <v>2</v>
      </c>
      <c r="D1955" s="218" t="n">
        <v>104.42</v>
      </c>
      <c r="E1955" s="218" t="n">
        <v>3.73</v>
      </c>
      <c r="F1955" t="str">
        <v>https://re.jrc.ec.europa.eu/api/v5_3/PVcalc?lat=30.0444&amp;lon=31.2357&amp;peakpower=1&amp;loss=14&amp;angle=30&amp;aspect=-75&amp;outputformat=json&amp;raddatabase=PVGIS-SARAH3&amp;pvtechchoice=crystSi&amp;mountingplace=free&amp;usehorizon=1</v>
      </c>
    </row>
    <row r="1956">
      <c r="A1956" t="n">
        <v>30</v>
      </c>
      <c r="B1956" t="n">
        <v>105</v>
      </c>
      <c r="C1956" t="n">
        <v>3</v>
      </c>
      <c r="D1956" s="218" t="n">
        <v>137.31</v>
      </c>
      <c r="E1956" s="218" t="n">
        <v>4.43</v>
      </c>
      <c r="F1956" t="str">
        <v>https://re.jrc.ec.europa.eu/api/v5_3/PVcalc?lat=30.0444&amp;lon=31.2357&amp;peakpower=1&amp;loss=14&amp;angle=30&amp;aspect=-75&amp;outputformat=json&amp;raddatabase=PVGIS-SARAH3&amp;pvtechchoice=crystSi&amp;mountingplace=free&amp;usehorizon=1</v>
      </c>
    </row>
    <row r="1957">
      <c r="A1957" t="n">
        <v>30</v>
      </c>
      <c r="B1957" t="n">
        <v>105</v>
      </c>
      <c r="C1957" t="n">
        <v>4</v>
      </c>
      <c r="D1957" s="218" t="n">
        <v>147.94</v>
      </c>
      <c r="E1957" s="218" t="n">
        <v>4.93</v>
      </c>
      <c r="F1957" t="str">
        <v>https://re.jrc.ec.europa.eu/api/v5_3/PVcalc?lat=30.0444&amp;lon=31.2357&amp;peakpower=1&amp;loss=14&amp;angle=30&amp;aspect=-75&amp;outputformat=json&amp;raddatabase=PVGIS-SARAH3&amp;pvtechchoice=crystSi&amp;mountingplace=free&amp;usehorizon=1</v>
      </c>
    </row>
    <row r="1958">
      <c r="A1958" t="n">
        <v>30</v>
      </c>
      <c r="B1958" t="n">
        <v>105</v>
      </c>
      <c r="C1958" t="n">
        <v>5</v>
      </c>
      <c r="D1958" s="218" t="n">
        <v>160.65</v>
      </c>
      <c r="E1958" s="218" t="n">
        <v>5.18</v>
      </c>
      <c r="F1958" t="str">
        <v>https://re.jrc.ec.europa.eu/api/v5_3/PVcalc?lat=30.0444&amp;lon=31.2357&amp;peakpower=1&amp;loss=14&amp;angle=30&amp;aspect=-75&amp;outputformat=json&amp;raddatabase=PVGIS-SARAH3&amp;pvtechchoice=crystSi&amp;mountingplace=free&amp;usehorizon=1</v>
      </c>
    </row>
    <row r="1959">
      <c r="A1959" t="n">
        <v>30</v>
      </c>
      <c r="B1959" t="n">
        <v>105</v>
      </c>
      <c r="C1959" t="n">
        <v>6</v>
      </c>
      <c r="D1959" s="218" t="n">
        <v>161.3</v>
      </c>
      <c r="E1959" s="218" t="n">
        <v>5.38</v>
      </c>
      <c r="F1959" t="str">
        <v>https://re.jrc.ec.europa.eu/api/v5_3/PVcalc?lat=30.0444&amp;lon=31.2357&amp;peakpower=1&amp;loss=14&amp;angle=30&amp;aspect=-75&amp;outputformat=json&amp;raddatabase=PVGIS-SARAH3&amp;pvtechchoice=crystSi&amp;mountingplace=free&amp;usehorizon=1</v>
      </c>
    </row>
    <row r="1960">
      <c r="A1960" t="n">
        <v>30</v>
      </c>
      <c r="B1960" t="n">
        <v>105</v>
      </c>
      <c r="C1960" t="n">
        <v>7</v>
      </c>
      <c r="D1960" s="218" t="n">
        <v>162.96</v>
      </c>
      <c r="E1960" s="218" t="n">
        <v>5.26</v>
      </c>
      <c r="F1960" t="str">
        <v>https://re.jrc.ec.europa.eu/api/v5_3/PVcalc?lat=30.0444&amp;lon=31.2357&amp;peakpower=1&amp;loss=14&amp;angle=30&amp;aspect=-75&amp;outputformat=json&amp;raddatabase=PVGIS-SARAH3&amp;pvtechchoice=crystSi&amp;mountingplace=free&amp;usehorizon=1</v>
      </c>
    </row>
    <row r="1961">
      <c r="A1961" t="n">
        <v>30</v>
      </c>
      <c r="B1961" t="n">
        <v>105</v>
      </c>
      <c r="C1961" t="n">
        <v>8</v>
      </c>
      <c r="D1961" s="218" t="n">
        <v>155.77</v>
      </c>
      <c r="E1961" s="218" t="n">
        <v>5.02</v>
      </c>
      <c r="F1961" t="str">
        <v>https://re.jrc.ec.europa.eu/api/v5_3/PVcalc?lat=30.0444&amp;lon=31.2357&amp;peakpower=1&amp;loss=14&amp;angle=30&amp;aspect=-75&amp;outputformat=json&amp;raddatabase=PVGIS-SARAH3&amp;pvtechchoice=crystSi&amp;mountingplace=free&amp;usehorizon=1</v>
      </c>
    </row>
    <row r="1962">
      <c r="A1962" t="n">
        <v>30</v>
      </c>
      <c r="B1962" t="n">
        <v>105</v>
      </c>
      <c r="C1962" t="n">
        <v>9</v>
      </c>
      <c r="D1962" s="218" t="n">
        <v>138.35</v>
      </c>
      <c r="E1962" s="218" t="n">
        <v>4.61</v>
      </c>
      <c r="F1962" t="str">
        <v>https://re.jrc.ec.europa.eu/api/v5_3/PVcalc?lat=30.0444&amp;lon=31.2357&amp;peakpower=1&amp;loss=14&amp;angle=30&amp;aspect=-75&amp;outputformat=json&amp;raddatabase=PVGIS-SARAH3&amp;pvtechchoice=crystSi&amp;mountingplace=free&amp;usehorizon=1</v>
      </c>
    </row>
    <row r="1963">
      <c r="A1963" t="n">
        <v>30</v>
      </c>
      <c r="B1963" t="n">
        <v>105</v>
      </c>
      <c r="C1963" t="n">
        <v>10</v>
      </c>
      <c r="D1963" s="218" t="n">
        <v>123.21</v>
      </c>
      <c r="E1963" s="218" t="n">
        <v>3.97</v>
      </c>
      <c r="F1963" t="str">
        <v>https://re.jrc.ec.europa.eu/api/v5_3/PVcalc?lat=30.0444&amp;lon=31.2357&amp;peakpower=1&amp;loss=14&amp;angle=30&amp;aspect=-75&amp;outputformat=json&amp;raddatabase=PVGIS-SARAH3&amp;pvtechchoice=crystSi&amp;mountingplace=free&amp;usehorizon=1</v>
      </c>
    </row>
    <row r="1964">
      <c r="A1964" t="n">
        <v>30</v>
      </c>
      <c r="B1964" t="n">
        <v>105</v>
      </c>
      <c r="C1964" t="n">
        <v>11</v>
      </c>
      <c r="D1964" s="218" t="n">
        <v>101.62</v>
      </c>
      <c r="E1964" s="218" t="n">
        <v>3.39</v>
      </c>
      <c r="F1964" t="str">
        <v>https://re.jrc.ec.europa.eu/api/v5_3/PVcalc?lat=30.0444&amp;lon=31.2357&amp;peakpower=1&amp;loss=14&amp;angle=30&amp;aspect=-75&amp;outputformat=json&amp;raddatabase=PVGIS-SARAH3&amp;pvtechchoice=crystSi&amp;mountingplace=free&amp;usehorizon=1</v>
      </c>
    </row>
    <row r="1965">
      <c r="A1965" t="n">
        <v>30</v>
      </c>
      <c r="B1965" t="n">
        <v>105</v>
      </c>
      <c r="C1965" t="n">
        <v>12</v>
      </c>
      <c r="D1965" s="218" t="n">
        <v>93.64</v>
      </c>
      <c r="E1965" s="218" t="n">
        <v>3.02</v>
      </c>
      <c r="F1965" t="str">
        <v>https://re.jrc.ec.europa.eu/api/v5_3/PVcalc?lat=30.0444&amp;lon=31.2357&amp;peakpower=1&amp;loss=14&amp;angle=30&amp;aspect=-75&amp;outputformat=json&amp;raddatabase=PVGIS-SARAH3&amp;pvtechchoice=crystSi&amp;mountingplace=free&amp;usehorizon=1</v>
      </c>
    </row>
    <row r="1966">
      <c r="A1966" t="n">
        <v>30</v>
      </c>
      <c r="B1966" t="n">
        <v>120</v>
      </c>
      <c r="C1966" t="n">
        <v>1</v>
      </c>
      <c r="D1966" s="218" t="n">
        <v>107.89</v>
      </c>
      <c r="E1966" s="218" t="n">
        <v>3.48</v>
      </c>
      <c r="F1966" t="str">
        <v>https://re.jrc.ec.europa.eu/api/v5_3/PVcalc?lat=30.0444&amp;lon=31.2357&amp;peakpower=1&amp;loss=14&amp;angle=30&amp;aspect=-60&amp;outputformat=json&amp;raddatabase=PVGIS-SARAH3&amp;pvtechchoice=crystSi&amp;mountingplace=free&amp;usehorizon=1</v>
      </c>
    </row>
    <row r="1967">
      <c r="A1967" t="n">
        <v>30</v>
      </c>
      <c r="B1967" t="n">
        <v>120</v>
      </c>
      <c r="C1967" t="n">
        <v>2</v>
      </c>
      <c r="D1967" s="218" t="n">
        <v>112.32</v>
      </c>
      <c r="E1967" s="218" t="n">
        <v>4.01</v>
      </c>
      <c r="F1967" t="str">
        <v>https://re.jrc.ec.europa.eu/api/v5_3/PVcalc?lat=30.0444&amp;lon=31.2357&amp;peakpower=1&amp;loss=14&amp;angle=30&amp;aspect=-60&amp;outputformat=json&amp;raddatabase=PVGIS-SARAH3&amp;pvtechchoice=crystSi&amp;mountingplace=free&amp;usehorizon=1</v>
      </c>
    </row>
    <row r="1968">
      <c r="A1968" t="n">
        <v>30</v>
      </c>
      <c r="B1968" t="n">
        <v>120</v>
      </c>
      <c r="C1968" t="n">
        <v>3</v>
      </c>
      <c r="D1968" s="218" t="n">
        <v>143.86</v>
      </c>
      <c r="E1968" s="218" t="n">
        <v>4.64</v>
      </c>
      <c r="F1968" t="str">
        <v>https://re.jrc.ec.europa.eu/api/v5_3/PVcalc?lat=30.0444&amp;lon=31.2357&amp;peakpower=1&amp;loss=14&amp;angle=30&amp;aspect=-60&amp;outputformat=json&amp;raddatabase=PVGIS-SARAH3&amp;pvtechchoice=crystSi&amp;mountingplace=free&amp;usehorizon=1</v>
      </c>
    </row>
    <row r="1969">
      <c r="A1969" t="n">
        <v>30</v>
      </c>
      <c r="B1969" t="n">
        <v>120</v>
      </c>
      <c r="C1969" t="n">
        <v>4</v>
      </c>
      <c r="D1969" s="218" t="n">
        <v>151.23</v>
      </c>
      <c r="E1969" s="218" t="n">
        <v>5.04</v>
      </c>
      <c r="F1969" t="str">
        <v>https://re.jrc.ec.europa.eu/api/v5_3/PVcalc?lat=30.0444&amp;lon=31.2357&amp;peakpower=1&amp;loss=14&amp;angle=30&amp;aspect=-60&amp;outputformat=json&amp;raddatabase=PVGIS-SARAH3&amp;pvtechchoice=crystSi&amp;mountingplace=free&amp;usehorizon=1</v>
      </c>
    </row>
    <row r="1970">
      <c r="A1970" t="n">
        <v>30</v>
      </c>
      <c r="B1970" t="n">
        <v>120</v>
      </c>
      <c r="C1970" t="n">
        <v>5</v>
      </c>
      <c r="D1970" s="218" t="n">
        <v>161.7</v>
      </c>
      <c r="E1970" s="218" t="n">
        <v>5.22</v>
      </c>
      <c r="F1970" t="str">
        <v>https://re.jrc.ec.europa.eu/api/v5_3/PVcalc?lat=30.0444&amp;lon=31.2357&amp;peakpower=1&amp;loss=14&amp;angle=30&amp;aspect=-60&amp;outputformat=json&amp;raddatabase=PVGIS-SARAH3&amp;pvtechchoice=crystSi&amp;mountingplace=free&amp;usehorizon=1</v>
      </c>
    </row>
    <row r="1971">
      <c r="A1971" t="n">
        <v>30</v>
      </c>
      <c r="B1971" t="n">
        <v>120</v>
      </c>
      <c r="C1971" t="n">
        <v>6</v>
      </c>
      <c r="D1971" s="218" t="n">
        <v>160.88</v>
      </c>
      <c r="E1971" s="218" t="n">
        <v>5.36</v>
      </c>
      <c r="F1971" t="str">
        <v>https://re.jrc.ec.europa.eu/api/v5_3/PVcalc?lat=30.0444&amp;lon=31.2357&amp;peakpower=1&amp;loss=14&amp;angle=30&amp;aspect=-60&amp;outputformat=json&amp;raddatabase=PVGIS-SARAH3&amp;pvtechchoice=crystSi&amp;mountingplace=free&amp;usehorizon=1</v>
      </c>
    </row>
    <row r="1972">
      <c r="A1972" t="n">
        <v>30</v>
      </c>
      <c r="B1972" t="n">
        <v>120</v>
      </c>
      <c r="C1972" t="n">
        <v>7</v>
      </c>
      <c r="D1972" s="218" t="n">
        <v>163.52</v>
      </c>
      <c r="E1972" s="218" t="n">
        <v>5.27</v>
      </c>
      <c r="F1972" t="str">
        <v>https://re.jrc.ec.europa.eu/api/v5_3/PVcalc?lat=30.0444&amp;lon=31.2357&amp;peakpower=1&amp;loss=14&amp;angle=30&amp;aspect=-60&amp;outputformat=json&amp;raddatabase=PVGIS-SARAH3&amp;pvtechchoice=crystSi&amp;mountingplace=free&amp;usehorizon=1</v>
      </c>
    </row>
    <row r="1973">
      <c r="A1973" t="n">
        <v>30</v>
      </c>
      <c r="B1973" t="n">
        <v>120</v>
      </c>
      <c r="C1973" t="n">
        <v>8</v>
      </c>
      <c r="D1973" s="218" t="n">
        <v>158.83</v>
      </c>
      <c r="E1973" s="218" t="n">
        <v>5.12</v>
      </c>
      <c r="F1973" t="str">
        <v>https://re.jrc.ec.europa.eu/api/v5_3/PVcalc?lat=30.0444&amp;lon=31.2357&amp;peakpower=1&amp;loss=14&amp;angle=30&amp;aspect=-60&amp;outputformat=json&amp;raddatabase=PVGIS-SARAH3&amp;pvtechchoice=crystSi&amp;mountingplace=free&amp;usehorizon=1</v>
      </c>
    </row>
    <row r="1974">
      <c r="A1974" t="n">
        <v>30</v>
      </c>
      <c r="B1974" t="n">
        <v>120</v>
      </c>
      <c r="C1974" t="n">
        <v>9</v>
      </c>
      <c r="D1974" s="218" t="n">
        <v>144.56</v>
      </c>
      <c r="E1974" s="218" t="n">
        <v>4.82</v>
      </c>
      <c r="F1974" t="str">
        <v>https://re.jrc.ec.europa.eu/api/v5_3/PVcalc?lat=30.0444&amp;lon=31.2357&amp;peakpower=1&amp;loss=14&amp;angle=30&amp;aspect=-60&amp;outputformat=json&amp;raddatabase=PVGIS-SARAH3&amp;pvtechchoice=crystSi&amp;mountingplace=free&amp;usehorizon=1</v>
      </c>
    </row>
    <row r="1975">
      <c r="A1975" t="n">
        <v>30</v>
      </c>
      <c r="B1975" t="n">
        <v>120</v>
      </c>
      <c r="C1975" t="n">
        <v>10</v>
      </c>
      <c r="D1975" s="218" t="n">
        <v>132.92</v>
      </c>
      <c r="E1975" s="218" t="n">
        <v>4.29</v>
      </c>
      <c r="F1975" t="str">
        <v>https://re.jrc.ec.europa.eu/api/v5_3/PVcalc?lat=30.0444&amp;lon=31.2357&amp;peakpower=1&amp;loss=14&amp;angle=30&amp;aspect=-60&amp;outputformat=json&amp;raddatabase=PVGIS-SARAH3&amp;pvtechchoice=crystSi&amp;mountingplace=free&amp;usehorizon=1</v>
      </c>
    </row>
    <row r="1976">
      <c r="A1976" t="n">
        <v>30</v>
      </c>
      <c r="B1976" t="n">
        <v>120</v>
      </c>
      <c r="C1976" t="n">
        <v>11</v>
      </c>
      <c r="D1976" s="218" t="n">
        <v>112.85</v>
      </c>
      <c r="E1976" s="218" t="n">
        <v>3.76</v>
      </c>
      <c r="F1976" t="str">
        <v>https://re.jrc.ec.europa.eu/api/v5_3/PVcalc?lat=30.0444&amp;lon=31.2357&amp;peakpower=1&amp;loss=14&amp;angle=30&amp;aspect=-60&amp;outputformat=json&amp;raddatabase=PVGIS-SARAH3&amp;pvtechchoice=crystSi&amp;mountingplace=free&amp;usehorizon=1</v>
      </c>
    </row>
    <row r="1977">
      <c r="A1977" t="n">
        <v>30</v>
      </c>
      <c r="B1977" t="n">
        <v>120</v>
      </c>
      <c r="C1977" t="n">
        <v>12</v>
      </c>
      <c r="D1977" s="218" t="n">
        <v>105.56</v>
      </c>
      <c r="E1977" s="218" t="n">
        <v>3.41</v>
      </c>
      <c r="F1977" t="str">
        <v>https://re.jrc.ec.europa.eu/api/v5_3/PVcalc?lat=30.0444&amp;lon=31.2357&amp;peakpower=1&amp;loss=14&amp;angle=30&amp;aspect=-60&amp;outputformat=json&amp;raddatabase=PVGIS-SARAH3&amp;pvtechchoice=crystSi&amp;mountingplace=free&amp;usehorizon=1</v>
      </c>
    </row>
    <row r="1978">
      <c r="A1978" t="n">
        <v>30</v>
      </c>
      <c r="B1978" t="n">
        <v>135</v>
      </c>
      <c r="C1978" t="n">
        <v>1</v>
      </c>
      <c r="D1978" s="218" t="n">
        <v>117.19</v>
      </c>
      <c r="E1978" s="218" t="n">
        <v>3.78</v>
      </c>
      <c r="F1978" t="str">
        <v>https://re.jrc.ec.europa.eu/api/v5_3/PVcalc?lat=30.0444&amp;lon=31.2357&amp;peakpower=1&amp;loss=14&amp;angle=30&amp;aspect=-45&amp;outputformat=json&amp;raddatabase=PVGIS-SARAH3&amp;pvtechchoice=crystSi&amp;mountingplace=free&amp;usehorizon=1</v>
      </c>
    </row>
    <row r="1979">
      <c r="A1979" t="n">
        <v>30</v>
      </c>
      <c r="B1979" t="n">
        <v>135</v>
      </c>
      <c r="C1979" t="n">
        <v>2</v>
      </c>
      <c r="D1979" s="218" t="n">
        <v>119.51</v>
      </c>
      <c r="E1979" s="218" t="n">
        <v>4.27</v>
      </c>
      <c r="F1979" t="str">
        <v>https://re.jrc.ec.europa.eu/api/v5_3/PVcalc?lat=30.0444&amp;lon=31.2357&amp;peakpower=1&amp;loss=14&amp;angle=30&amp;aspect=-45&amp;outputformat=json&amp;raddatabase=PVGIS-SARAH3&amp;pvtechchoice=crystSi&amp;mountingplace=free&amp;usehorizon=1</v>
      </c>
    </row>
    <row r="1980">
      <c r="A1980" t="n">
        <v>30</v>
      </c>
      <c r="B1980" t="n">
        <v>135</v>
      </c>
      <c r="C1980" t="n">
        <v>3</v>
      </c>
      <c r="D1980" s="218" t="n">
        <v>150.48</v>
      </c>
      <c r="E1980" s="218" t="n">
        <v>4.85</v>
      </c>
      <c r="F1980" t="str">
        <v>https://re.jrc.ec.europa.eu/api/v5_3/PVcalc?lat=30.0444&amp;lon=31.2357&amp;peakpower=1&amp;loss=14&amp;angle=30&amp;aspect=-45&amp;outputformat=json&amp;raddatabase=PVGIS-SARAH3&amp;pvtechchoice=crystSi&amp;mountingplace=free&amp;usehorizon=1</v>
      </c>
    </row>
    <row r="1981">
      <c r="A1981" t="n">
        <v>30</v>
      </c>
      <c r="B1981" t="n">
        <v>135</v>
      </c>
      <c r="C1981" t="n">
        <v>4</v>
      </c>
      <c r="D1981" s="218" t="n">
        <v>154.84</v>
      </c>
      <c r="E1981" s="218" t="n">
        <v>5.16</v>
      </c>
      <c r="F1981" t="str">
        <v>https://re.jrc.ec.europa.eu/api/v5_3/PVcalc?lat=30.0444&amp;lon=31.2357&amp;peakpower=1&amp;loss=14&amp;angle=30&amp;aspect=-45&amp;outputformat=json&amp;raddatabase=PVGIS-SARAH3&amp;pvtechchoice=crystSi&amp;mountingplace=free&amp;usehorizon=1</v>
      </c>
    </row>
    <row r="1982">
      <c r="A1982" t="n">
        <v>30</v>
      </c>
      <c r="B1982" t="n">
        <v>135</v>
      </c>
      <c r="C1982" t="n">
        <v>5</v>
      </c>
      <c r="D1982" s="218" t="n">
        <v>162.39</v>
      </c>
      <c r="E1982" s="218" t="n">
        <v>5.24</v>
      </c>
      <c r="F1982" t="str">
        <v>https://re.jrc.ec.europa.eu/api/v5_3/PVcalc?lat=30.0444&amp;lon=31.2357&amp;peakpower=1&amp;loss=14&amp;angle=30&amp;aspect=-45&amp;outputformat=json&amp;raddatabase=PVGIS-SARAH3&amp;pvtechchoice=crystSi&amp;mountingplace=free&amp;usehorizon=1</v>
      </c>
    </row>
    <row r="1983">
      <c r="A1983" t="n">
        <v>30</v>
      </c>
      <c r="B1983" t="n">
        <v>135</v>
      </c>
      <c r="C1983" t="n">
        <v>6</v>
      </c>
      <c r="D1983" s="218" t="n">
        <v>160.25</v>
      </c>
      <c r="E1983" s="218" t="n">
        <v>5.34</v>
      </c>
      <c r="F1983" t="str">
        <v>https://re.jrc.ec.europa.eu/api/v5_3/PVcalc?lat=30.0444&amp;lon=31.2357&amp;peakpower=1&amp;loss=14&amp;angle=30&amp;aspect=-45&amp;outputformat=json&amp;raddatabase=PVGIS-SARAH3&amp;pvtechchoice=crystSi&amp;mountingplace=free&amp;usehorizon=1</v>
      </c>
    </row>
    <row r="1984">
      <c r="A1984" t="n">
        <v>30</v>
      </c>
      <c r="B1984" t="n">
        <v>135</v>
      </c>
      <c r="C1984" t="n">
        <v>7</v>
      </c>
      <c r="D1984" s="218" t="n">
        <v>163.87</v>
      </c>
      <c r="E1984" s="218" t="n">
        <v>5.29</v>
      </c>
      <c r="F1984" t="str">
        <v>https://re.jrc.ec.europa.eu/api/v5_3/PVcalc?lat=30.0444&amp;lon=31.2357&amp;peakpower=1&amp;loss=14&amp;angle=30&amp;aspect=-45&amp;outputformat=json&amp;raddatabase=PVGIS-SARAH3&amp;pvtechchoice=crystSi&amp;mountingplace=free&amp;usehorizon=1</v>
      </c>
    </row>
    <row r="1985">
      <c r="A1985" t="n">
        <v>30</v>
      </c>
      <c r="B1985" t="n">
        <v>135</v>
      </c>
      <c r="C1985" t="n">
        <v>8</v>
      </c>
      <c r="D1985" s="218" t="n">
        <v>161.68</v>
      </c>
      <c r="E1985" s="218" t="n">
        <v>5.22</v>
      </c>
      <c r="F1985" t="str">
        <v>https://re.jrc.ec.europa.eu/api/v5_3/PVcalc?lat=30.0444&amp;lon=31.2357&amp;peakpower=1&amp;loss=14&amp;angle=30&amp;aspect=-45&amp;outputformat=json&amp;raddatabase=PVGIS-SARAH3&amp;pvtechchoice=crystSi&amp;mountingplace=free&amp;usehorizon=1</v>
      </c>
    </row>
    <row r="1986">
      <c r="A1986" t="n">
        <v>30</v>
      </c>
      <c r="B1986" t="n">
        <v>135</v>
      </c>
      <c r="C1986" t="n">
        <v>9</v>
      </c>
      <c r="D1986" s="218" t="n">
        <v>150</v>
      </c>
      <c r="E1986" s="218" t="n">
        <v>5</v>
      </c>
      <c r="F1986" t="str">
        <v>https://re.jrc.ec.europa.eu/api/v5_3/PVcalc?lat=30.0444&amp;lon=31.2357&amp;peakpower=1&amp;loss=14&amp;angle=30&amp;aspect=-45&amp;outputformat=json&amp;raddatabase=PVGIS-SARAH3&amp;pvtechchoice=crystSi&amp;mountingplace=free&amp;usehorizon=1</v>
      </c>
    </row>
    <row r="1987">
      <c r="A1987" t="n">
        <v>30</v>
      </c>
      <c r="B1987" t="n">
        <v>135</v>
      </c>
      <c r="C1987" t="n">
        <v>10</v>
      </c>
      <c r="D1987" s="218" t="n">
        <v>140.84</v>
      </c>
      <c r="E1987" s="218" t="n">
        <v>4.54</v>
      </c>
      <c r="F1987" t="str">
        <v>https://re.jrc.ec.europa.eu/api/v5_3/PVcalc?lat=30.0444&amp;lon=31.2357&amp;peakpower=1&amp;loss=14&amp;angle=30&amp;aspect=-45&amp;outputformat=json&amp;raddatabase=PVGIS-SARAH3&amp;pvtechchoice=crystSi&amp;mountingplace=free&amp;usehorizon=1</v>
      </c>
    </row>
    <row r="1988">
      <c r="A1988" t="n">
        <v>30</v>
      </c>
      <c r="B1988" t="n">
        <v>135</v>
      </c>
      <c r="C1988" t="n">
        <v>11</v>
      </c>
      <c r="D1988" s="218" t="n">
        <v>122.57</v>
      </c>
      <c r="E1988" s="218" t="n">
        <v>4.09</v>
      </c>
      <c r="F1988" t="str">
        <v>https://re.jrc.ec.europa.eu/api/v5_3/PVcalc?lat=30.0444&amp;lon=31.2357&amp;peakpower=1&amp;loss=14&amp;angle=30&amp;aspect=-45&amp;outputformat=json&amp;raddatabase=PVGIS-SARAH3&amp;pvtechchoice=crystSi&amp;mountingplace=free&amp;usehorizon=1</v>
      </c>
    </row>
    <row r="1989">
      <c r="A1989" t="n">
        <v>30</v>
      </c>
      <c r="B1989" t="n">
        <v>135</v>
      </c>
      <c r="C1989" t="n">
        <v>12</v>
      </c>
      <c r="D1989" s="218" t="n">
        <v>115.6</v>
      </c>
      <c r="E1989" s="218" t="n">
        <v>3.73</v>
      </c>
      <c r="F1989" t="str">
        <v>https://re.jrc.ec.europa.eu/api/v5_3/PVcalc?lat=30.0444&amp;lon=31.2357&amp;peakpower=1&amp;loss=14&amp;angle=30&amp;aspect=-45&amp;outputformat=json&amp;raddatabase=PVGIS-SARAH3&amp;pvtechchoice=crystSi&amp;mountingplace=free&amp;usehorizon=1</v>
      </c>
    </row>
    <row r="1990">
      <c r="A1990" t="n">
        <v>30</v>
      </c>
      <c r="B1990" t="n">
        <v>150</v>
      </c>
      <c r="C1990" t="n">
        <v>1</v>
      </c>
      <c r="D1990" s="218" t="n">
        <v>124.97</v>
      </c>
      <c r="E1990" s="218" t="n">
        <v>4.03</v>
      </c>
      <c r="F1990" t="str">
        <v>https://re.jrc.ec.europa.eu/api/v5_3/PVcalc?lat=30.0444&amp;lon=31.2357&amp;peakpower=1&amp;loss=14&amp;angle=30&amp;aspect=-30&amp;outputformat=json&amp;raddatabase=PVGIS-SARAH3&amp;pvtechchoice=crystSi&amp;mountingplace=free&amp;usehorizon=1</v>
      </c>
    </row>
    <row r="1991">
      <c r="A1991" t="n">
        <v>30</v>
      </c>
      <c r="B1991" t="n">
        <v>150</v>
      </c>
      <c r="C1991" t="n">
        <v>2</v>
      </c>
      <c r="D1991" s="218" t="n">
        <v>125.07</v>
      </c>
      <c r="E1991" s="218" t="n">
        <v>4.47</v>
      </c>
      <c r="F1991" t="str">
        <v>https://re.jrc.ec.europa.eu/api/v5_3/PVcalc?lat=30.0444&amp;lon=31.2357&amp;peakpower=1&amp;loss=14&amp;angle=30&amp;aspect=-30&amp;outputformat=json&amp;raddatabase=PVGIS-SARAH3&amp;pvtechchoice=crystSi&amp;mountingplace=free&amp;usehorizon=1</v>
      </c>
    </row>
    <row r="1992">
      <c r="A1992" t="n">
        <v>30</v>
      </c>
      <c r="B1992" t="n">
        <v>150</v>
      </c>
      <c r="C1992" t="n">
        <v>3</v>
      </c>
      <c r="D1992" s="218" t="n">
        <v>155.7</v>
      </c>
      <c r="E1992" s="218" t="n">
        <v>5.02</v>
      </c>
      <c r="F1992" t="str">
        <v>https://re.jrc.ec.europa.eu/api/v5_3/PVcalc?lat=30.0444&amp;lon=31.2357&amp;peakpower=1&amp;loss=14&amp;angle=30&amp;aspect=-30&amp;outputformat=json&amp;raddatabase=PVGIS-SARAH3&amp;pvtechchoice=crystSi&amp;mountingplace=free&amp;usehorizon=1</v>
      </c>
    </row>
    <row r="1993">
      <c r="A1993" t="n">
        <v>30</v>
      </c>
      <c r="B1993" t="n">
        <v>150</v>
      </c>
      <c r="C1993" t="n">
        <v>4</v>
      </c>
      <c r="D1993" s="218" t="n">
        <v>157.7</v>
      </c>
      <c r="E1993" s="218" t="n">
        <v>5.26</v>
      </c>
      <c r="F1993" t="str">
        <v>https://re.jrc.ec.europa.eu/api/v5_3/PVcalc?lat=30.0444&amp;lon=31.2357&amp;peakpower=1&amp;loss=14&amp;angle=30&amp;aspect=-30&amp;outputformat=json&amp;raddatabase=PVGIS-SARAH3&amp;pvtechchoice=crystSi&amp;mountingplace=free&amp;usehorizon=1</v>
      </c>
    </row>
    <row r="1994">
      <c r="A1994" t="n">
        <v>30</v>
      </c>
      <c r="B1994" t="n">
        <v>150</v>
      </c>
      <c r="C1994" t="n">
        <v>5</v>
      </c>
      <c r="D1994" s="218" t="n">
        <v>162.71</v>
      </c>
      <c r="E1994" s="218" t="n">
        <v>5.25</v>
      </c>
      <c r="F1994" t="str">
        <v>https://re.jrc.ec.europa.eu/api/v5_3/PVcalc?lat=30.0444&amp;lon=31.2357&amp;peakpower=1&amp;loss=14&amp;angle=30&amp;aspect=-30&amp;outputformat=json&amp;raddatabase=PVGIS-SARAH3&amp;pvtechchoice=crystSi&amp;mountingplace=free&amp;usehorizon=1</v>
      </c>
    </row>
    <row r="1995">
      <c r="A1995" t="n">
        <v>30</v>
      </c>
      <c r="B1995" t="n">
        <v>150</v>
      </c>
      <c r="C1995" t="n">
        <v>6</v>
      </c>
      <c r="D1995" s="218" t="n">
        <v>159.45</v>
      </c>
      <c r="E1995" s="218" t="n">
        <v>5.32</v>
      </c>
      <c r="F1995" t="str">
        <v>https://re.jrc.ec.europa.eu/api/v5_3/PVcalc?lat=30.0444&amp;lon=31.2357&amp;peakpower=1&amp;loss=14&amp;angle=30&amp;aspect=-30&amp;outputformat=json&amp;raddatabase=PVGIS-SARAH3&amp;pvtechchoice=crystSi&amp;mountingplace=free&amp;usehorizon=1</v>
      </c>
    </row>
    <row r="1996">
      <c r="A1996" t="n">
        <v>30</v>
      </c>
      <c r="B1996" t="n">
        <v>150</v>
      </c>
      <c r="C1996" t="n">
        <v>7</v>
      </c>
      <c r="D1996" s="218" t="n">
        <v>163.92</v>
      </c>
      <c r="E1996" s="218" t="n">
        <v>5.29</v>
      </c>
      <c r="F1996" t="str">
        <v>https://re.jrc.ec.europa.eu/api/v5_3/PVcalc?lat=30.0444&amp;lon=31.2357&amp;peakpower=1&amp;loss=14&amp;angle=30&amp;aspect=-30&amp;outputformat=json&amp;raddatabase=PVGIS-SARAH3&amp;pvtechchoice=crystSi&amp;mountingplace=free&amp;usehorizon=1</v>
      </c>
    </row>
    <row r="1997">
      <c r="A1997" t="n">
        <v>30</v>
      </c>
      <c r="B1997" t="n">
        <v>150</v>
      </c>
      <c r="C1997" t="n">
        <v>8</v>
      </c>
      <c r="D1997" s="218" t="n">
        <v>163.87</v>
      </c>
      <c r="E1997" s="218" t="n">
        <v>5.29</v>
      </c>
      <c r="F1997" t="str">
        <v>https://re.jrc.ec.europa.eu/api/v5_3/PVcalc?lat=30.0444&amp;lon=31.2357&amp;peakpower=1&amp;loss=14&amp;angle=30&amp;aspect=-30&amp;outputformat=json&amp;raddatabase=PVGIS-SARAH3&amp;pvtechchoice=crystSi&amp;mountingplace=free&amp;usehorizon=1</v>
      </c>
    </row>
    <row r="1998">
      <c r="A1998" t="n">
        <v>30</v>
      </c>
      <c r="B1998" t="n">
        <v>150</v>
      </c>
      <c r="C1998" t="n">
        <v>9</v>
      </c>
      <c r="D1998" s="218" t="n">
        <v>155.11</v>
      </c>
      <c r="E1998" s="218" t="n">
        <v>5.17</v>
      </c>
      <c r="F1998" t="str">
        <v>https://re.jrc.ec.europa.eu/api/v5_3/PVcalc?lat=30.0444&amp;lon=31.2357&amp;peakpower=1&amp;loss=14&amp;angle=30&amp;aspect=-30&amp;outputformat=json&amp;raddatabase=PVGIS-SARAH3&amp;pvtechchoice=crystSi&amp;mountingplace=free&amp;usehorizon=1</v>
      </c>
    </row>
    <row r="1999">
      <c r="A1999" t="n">
        <v>30</v>
      </c>
      <c r="B1999" t="n">
        <v>150</v>
      </c>
      <c r="C1999" t="n">
        <v>10</v>
      </c>
      <c r="D1999" s="218" t="n">
        <v>147.76</v>
      </c>
      <c r="E1999" s="218" t="n">
        <v>4.77</v>
      </c>
      <c r="F1999" t="str">
        <v>https://re.jrc.ec.europa.eu/api/v5_3/PVcalc?lat=30.0444&amp;lon=31.2357&amp;peakpower=1&amp;loss=14&amp;angle=30&amp;aspect=-30&amp;outputformat=json&amp;raddatabase=PVGIS-SARAH3&amp;pvtechchoice=crystSi&amp;mountingplace=free&amp;usehorizon=1</v>
      </c>
    </row>
    <row r="2000">
      <c r="A2000" t="n">
        <v>30</v>
      </c>
      <c r="B2000" t="n">
        <v>150</v>
      </c>
      <c r="C2000" t="n">
        <v>11</v>
      </c>
      <c r="D2000" s="218" t="n">
        <v>130.17</v>
      </c>
      <c r="E2000" s="218" t="n">
        <v>4.34</v>
      </c>
      <c r="F2000" t="str">
        <v>https://re.jrc.ec.europa.eu/api/v5_3/PVcalc?lat=30.0444&amp;lon=31.2357&amp;peakpower=1&amp;loss=14&amp;angle=30&amp;aspect=-30&amp;outputformat=json&amp;raddatabase=PVGIS-SARAH3&amp;pvtechchoice=crystSi&amp;mountingplace=free&amp;usehorizon=1</v>
      </c>
    </row>
    <row r="2001">
      <c r="A2001" t="n">
        <v>30</v>
      </c>
      <c r="B2001" t="n">
        <v>150</v>
      </c>
      <c r="C2001" t="n">
        <v>12</v>
      </c>
      <c r="D2001" s="218" t="n">
        <v>123.72</v>
      </c>
      <c r="E2001" s="218" t="n">
        <v>3.99</v>
      </c>
      <c r="F2001" t="str">
        <v>https://re.jrc.ec.europa.eu/api/v5_3/PVcalc?lat=30.0444&amp;lon=31.2357&amp;peakpower=1&amp;loss=14&amp;angle=30&amp;aspect=-30&amp;outputformat=json&amp;raddatabase=PVGIS-SARAH3&amp;pvtechchoice=crystSi&amp;mountingplace=free&amp;usehorizon=1</v>
      </c>
    </row>
    <row r="2002">
      <c r="A2002" t="n">
        <v>30</v>
      </c>
      <c r="B2002" t="n">
        <v>165</v>
      </c>
      <c r="C2002" t="n">
        <v>1</v>
      </c>
      <c r="D2002" s="218" t="n">
        <v>129.85</v>
      </c>
      <c r="E2002" s="218" t="n">
        <v>4.19</v>
      </c>
      <c r="F2002" t="str">
        <v>https://re.jrc.ec.europa.eu/api/v5_3/PVcalc?lat=30.0444&amp;lon=31.2357&amp;peakpower=1&amp;loss=14&amp;angle=30&amp;aspect=-15&amp;outputformat=json&amp;raddatabase=PVGIS-SARAH3&amp;pvtechchoice=crystSi&amp;mountingplace=free&amp;usehorizon=1</v>
      </c>
    </row>
    <row r="2003">
      <c r="A2003" t="n">
        <v>30</v>
      </c>
      <c r="B2003" t="n">
        <v>165</v>
      </c>
      <c r="C2003" t="n">
        <v>2</v>
      </c>
      <c r="D2003" s="218" t="n">
        <v>128.47</v>
      </c>
      <c r="E2003" s="218" t="n">
        <v>4.59</v>
      </c>
      <c r="F2003" t="str">
        <v>https://re.jrc.ec.europa.eu/api/v5_3/PVcalc?lat=30.0444&amp;lon=31.2357&amp;peakpower=1&amp;loss=14&amp;angle=30&amp;aspect=-15&amp;outputformat=json&amp;raddatabase=PVGIS-SARAH3&amp;pvtechchoice=crystSi&amp;mountingplace=free&amp;usehorizon=1</v>
      </c>
    </row>
    <row r="2004">
      <c r="A2004" t="n">
        <v>30</v>
      </c>
      <c r="B2004" t="n">
        <v>165</v>
      </c>
      <c r="C2004" t="n">
        <v>3</v>
      </c>
      <c r="D2004" s="218" t="n">
        <v>159.18</v>
      </c>
      <c r="E2004" s="218" t="n">
        <v>5.13</v>
      </c>
      <c r="F2004" t="str">
        <v>https://re.jrc.ec.europa.eu/api/v5_3/PVcalc?lat=30.0444&amp;lon=31.2357&amp;peakpower=1&amp;loss=14&amp;angle=30&amp;aspect=-15&amp;outputformat=json&amp;raddatabase=PVGIS-SARAH3&amp;pvtechchoice=crystSi&amp;mountingplace=free&amp;usehorizon=1</v>
      </c>
    </row>
    <row r="2005">
      <c r="A2005" t="n">
        <v>30</v>
      </c>
      <c r="B2005" t="n">
        <v>165</v>
      </c>
      <c r="C2005" t="n">
        <v>4</v>
      </c>
      <c r="D2005" s="218" t="n">
        <v>159.37</v>
      </c>
      <c r="E2005" s="218" t="n">
        <v>5.31</v>
      </c>
      <c r="F2005" t="str">
        <v>https://re.jrc.ec.europa.eu/api/v5_3/PVcalc?lat=30.0444&amp;lon=31.2357&amp;peakpower=1&amp;loss=14&amp;angle=30&amp;aspect=-15&amp;outputformat=json&amp;raddatabase=PVGIS-SARAH3&amp;pvtechchoice=crystSi&amp;mountingplace=free&amp;usehorizon=1</v>
      </c>
    </row>
    <row r="2006">
      <c r="A2006" t="n">
        <v>30</v>
      </c>
      <c r="B2006" t="n">
        <v>165</v>
      </c>
      <c r="C2006" t="n">
        <v>5</v>
      </c>
      <c r="D2006" s="218" t="n">
        <v>162.26</v>
      </c>
      <c r="E2006" s="218" t="n">
        <v>5.23</v>
      </c>
      <c r="F2006" t="str">
        <v>https://re.jrc.ec.europa.eu/api/v5_3/PVcalc?lat=30.0444&amp;lon=31.2357&amp;peakpower=1&amp;loss=14&amp;angle=30&amp;aspect=-15&amp;outputformat=json&amp;raddatabase=PVGIS-SARAH3&amp;pvtechchoice=crystSi&amp;mountingplace=free&amp;usehorizon=1</v>
      </c>
    </row>
    <row r="2007">
      <c r="A2007" t="n">
        <v>30</v>
      </c>
      <c r="B2007" t="n">
        <v>165</v>
      </c>
      <c r="C2007" t="n">
        <v>6</v>
      </c>
      <c r="D2007" s="218" t="n">
        <v>158.27</v>
      </c>
      <c r="E2007" s="218" t="n">
        <v>5.28</v>
      </c>
      <c r="F2007" t="str">
        <v>https://re.jrc.ec.europa.eu/api/v5_3/PVcalc?lat=30.0444&amp;lon=31.2357&amp;peakpower=1&amp;loss=14&amp;angle=30&amp;aspect=-15&amp;outputformat=json&amp;raddatabase=PVGIS-SARAH3&amp;pvtechchoice=crystSi&amp;mountingplace=free&amp;usehorizon=1</v>
      </c>
    </row>
    <row r="2008">
      <c r="A2008" t="n">
        <v>30</v>
      </c>
      <c r="B2008" t="n">
        <v>165</v>
      </c>
      <c r="C2008" t="n">
        <v>7</v>
      </c>
      <c r="D2008" s="218" t="n">
        <v>163.65</v>
      </c>
      <c r="E2008" s="218" t="n">
        <v>5.28</v>
      </c>
      <c r="F2008" t="str">
        <v>https://re.jrc.ec.europa.eu/api/v5_3/PVcalc?lat=30.0444&amp;lon=31.2357&amp;peakpower=1&amp;loss=14&amp;angle=30&amp;aspect=-15&amp;outputformat=json&amp;raddatabase=PVGIS-SARAH3&amp;pvtechchoice=crystSi&amp;mountingplace=free&amp;usehorizon=1</v>
      </c>
    </row>
    <row r="2009">
      <c r="A2009" t="n">
        <v>30</v>
      </c>
      <c r="B2009" t="n">
        <v>165</v>
      </c>
      <c r="C2009" t="n">
        <v>8</v>
      </c>
      <c r="D2009" s="218" t="n">
        <v>165.13</v>
      </c>
      <c r="E2009" s="218" t="n">
        <v>5.33</v>
      </c>
      <c r="F2009" t="str">
        <v>https://re.jrc.ec.europa.eu/api/v5_3/PVcalc?lat=30.0444&amp;lon=31.2357&amp;peakpower=1&amp;loss=14&amp;angle=30&amp;aspect=-15&amp;outputformat=json&amp;raddatabase=PVGIS-SARAH3&amp;pvtechchoice=crystSi&amp;mountingplace=free&amp;usehorizon=1</v>
      </c>
    </row>
    <row r="2010">
      <c r="A2010" t="n">
        <v>30</v>
      </c>
      <c r="B2010" t="n">
        <v>165</v>
      </c>
      <c r="C2010" t="n">
        <v>9</v>
      </c>
      <c r="D2010" s="218" t="n">
        <v>158.57</v>
      </c>
      <c r="E2010" s="218" t="n">
        <v>5.29</v>
      </c>
      <c r="F2010" t="str">
        <v>https://re.jrc.ec.europa.eu/api/v5_3/PVcalc?lat=30.0444&amp;lon=31.2357&amp;peakpower=1&amp;loss=14&amp;angle=30&amp;aspect=-15&amp;outputformat=json&amp;raddatabase=PVGIS-SARAH3&amp;pvtechchoice=crystSi&amp;mountingplace=free&amp;usehorizon=1</v>
      </c>
    </row>
    <row r="2011">
      <c r="A2011" t="n">
        <v>30</v>
      </c>
      <c r="B2011" t="n">
        <v>165</v>
      </c>
      <c r="C2011" t="n">
        <v>10</v>
      </c>
      <c r="D2011" s="218" t="n">
        <v>152.57</v>
      </c>
      <c r="E2011" s="218" t="n">
        <v>4.92</v>
      </c>
      <c r="F2011" t="str">
        <v>https://re.jrc.ec.europa.eu/api/v5_3/PVcalc?lat=30.0444&amp;lon=31.2357&amp;peakpower=1&amp;loss=14&amp;angle=30&amp;aspect=-15&amp;outputformat=json&amp;raddatabase=PVGIS-SARAH3&amp;pvtechchoice=crystSi&amp;mountingplace=free&amp;usehorizon=1</v>
      </c>
    </row>
    <row r="2012">
      <c r="A2012" t="n">
        <v>30</v>
      </c>
      <c r="B2012" t="n">
        <v>165</v>
      </c>
      <c r="C2012" t="n">
        <v>11</v>
      </c>
      <c r="D2012" s="218" t="n">
        <v>135.28</v>
      </c>
      <c r="E2012" s="218" t="n">
        <v>4.51</v>
      </c>
      <c r="F2012" t="str">
        <v>https://re.jrc.ec.europa.eu/api/v5_3/PVcalc?lat=30.0444&amp;lon=31.2357&amp;peakpower=1&amp;loss=14&amp;angle=30&amp;aspect=-15&amp;outputformat=json&amp;raddatabase=PVGIS-SARAH3&amp;pvtechchoice=crystSi&amp;mountingplace=free&amp;usehorizon=1</v>
      </c>
    </row>
    <row r="2013">
      <c r="A2013" t="n">
        <v>30</v>
      </c>
      <c r="B2013" t="n">
        <v>165</v>
      </c>
      <c r="C2013" t="n">
        <v>12</v>
      </c>
      <c r="D2013" s="218" t="n">
        <v>128.87</v>
      </c>
      <c r="E2013" s="218" t="n">
        <v>4.16</v>
      </c>
      <c r="F2013" t="str">
        <v>https://re.jrc.ec.europa.eu/api/v5_3/PVcalc?lat=30.0444&amp;lon=31.2357&amp;peakpower=1&amp;loss=14&amp;angle=30&amp;aspect=-15&amp;outputformat=json&amp;raddatabase=PVGIS-SARAH3&amp;pvtechchoice=crystSi&amp;mountingplace=free&amp;usehorizon=1</v>
      </c>
    </row>
    <row r="2014">
      <c r="A2014" t="n">
        <v>30</v>
      </c>
      <c r="B2014" t="n">
        <v>180</v>
      </c>
      <c r="C2014" t="n">
        <v>1</v>
      </c>
      <c r="D2014" s="218" t="n">
        <v>131.3</v>
      </c>
      <c r="E2014" s="218" t="n">
        <v>4.24</v>
      </c>
      <c r="F2014" t="str">
        <v>https://re.jrc.ec.europa.eu/api/v5_3/PVcalc?lat=30.0444&amp;lon=31.2357&amp;peakpower=1&amp;loss=14&amp;angle=30&amp;aspect=0&amp;outputformat=json&amp;raddatabase=PVGIS-SARAH3&amp;pvtechchoice=crystSi&amp;mountingplace=free&amp;usehorizon=1</v>
      </c>
    </row>
    <row r="2015">
      <c r="A2015" t="n">
        <v>30</v>
      </c>
      <c r="B2015" t="n">
        <v>180</v>
      </c>
      <c r="C2015" t="n">
        <v>2</v>
      </c>
      <c r="D2015" s="218" t="n">
        <v>129.45</v>
      </c>
      <c r="E2015" s="218" t="n">
        <v>4.62</v>
      </c>
      <c r="F2015" t="str">
        <v>https://re.jrc.ec.europa.eu/api/v5_3/PVcalc?lat=30.0444&amp;lon=31.2357&amp;peakpower=1&amp;loss=14&amp;angle=30&amp;aspect=0&amp;outputformat=json&amp;raddatabase=PVGIS-SARAH3&amp;pvtechchoice=crystSi&amp;mountingplace=free&amp;usehorizon=1</v>
      </c>
    </row>
    <row r="2016">
      <c r="A2016" t="n">
        <v>30</v>
      </c>
      <c r="B2016" t="n">
        <v>180</v>
      </c>
      <c r="C2016" t="n">
        <v>3</v>
      </c>
      <c r="D2016" s="218" t="n">
        <v>161.06</v>
      </c>
      <c r="E2016" s="218" t="n">
        <v>5.2</v>
      </c>
      <c r="F2016" t="str">
        <v>https://re.jrc.ec.europa.eu/api/v5_3/PVcalc?lat=30.0444&amp;lon=31.2357&amp;peakpower=1&amp;loss=14&amp;angle=30&amp;aspect=0&amp;outputformat=json&amp;raddatabase=PVGIS-SARAH3&amp;pvtechchoice=crystSi&amp;mountingplace=free&amp;usehorizon=1</v>
      </c>
    </row>
    <row r="2017">
      <c r="A2017" t="n">
        <v>30</v>
      </c>
      <c r="B2017" t="n">
        <v>180</v>
      </c>
      <c r="C2017" t="n">
        <v>4</v>
      </c>
      <c r="D2017" s="218" t="n">
        <v>160.86</v>
      </c>
      <c r="E2017" s="218" t="n">
        <v>5.36</v>
      </c>
      <c r="F2017" t="str">
        <v>https://re.jrc.ec.europa.eu/api/v5_3/PVcalc?lat=30.0444&amp;lon=31.2357&amp;peakpower=1&amp;loss=14&amp;angle=30&amp;aspect=0&amp;outputformat=json&amp;raddatabase=PVGIS-SARAH3&amp;pvtechchoice=crystSi&amp;mountingplace=free&amp;usehorizon=1</v>
      </c>
    </row>
    <row r="2018">
      <c r="A2018" t="n">
        <v>30</v>
      </c>
      <c r="B2018" t="n">
        <v>180</v>
      </c>
      <c r="C2018" t="n">
        <v>5</v>
      </c>
      <c r="D2018" s="218" t="n">
        <v>162.72</v>
      </c>
      <c r="E2018" s="218" t="n">
        <v>5.25</v>
      </c>
      <c r="F2018" t="str">
        <v>https://re.jrc.ec.europa.eu/api/v5_3/PVcalc?lat=30.0444&amp;lon=31.2357&amp;peakpower=1&amp;loss=14&amp;angle=30&amp;aspect=0&amp;outputformat=json&amp;raddatabase=PVGIS-SARAH3&amp;pvtechchoice=crystSi&amp;mountingplace=free&amp;usehorizon=1</v>
      </c>
    </row>
    <row r="2019">
      <c r="A2019" t="n">
        <v>30</v>
      </c>
      <c r="B2019" t="n">
        <v>180</v>
      </c>
      <c r="C2019" t="n">
        <v>6</v>
      </c>
      <c r="D2019" s="218" t="n">
        <v>158.62</v>
      </c>
      <c r="E2019" s="218" t="n">
        <v>5.29</v>
      </c>
      <c r="F2019" t="str">
        <v>https://re.jrc.ec.europa.eu/api/v5_3/PVcalc?lat=30.0444&amp;lon=31.2357&amp;peakpower=1&amp;loss=14&amp;angle=30&amp;aspect=0&amp;outputformat=json&amp;raddatabase=PVGIS-SARAH3&amp;pvtechchoice=crystSi&amp;mountingplace=free&amp;usehorizon=1</v>
      </c>
    </row>
    <row r="2020">
      <c r="A2020" t="n">
        <v>30</v>
      </c>
      <c r="B2020" t="n">
        <v>180</v>
      </c>
      <c r="C2020" t="n">
        <v>7</v>
      </c>
      <c r="D2020" s="218" t="n">
        <v>164.66</v>
      </c>
      <c r="E2020" s="218" t="n">
        <v>5.31</v>
      </c>
      <c r="F2020" t="str">
        <v>https://re.jrc.ec.europa.eu/api/v5_3/PVcalc?lat=30.0444&amp;lon=31.2357&amp;peakpower=1&amp;loss=14&amp;angle=30&amp;aspect=0&amp;outputformat=json&amp;raddatabase=PVGIS-SARAH3&amp;pvtechchoice=crystSi&amp;mountingplace=free&amp;usehorizon=1</v>
      </c>
    </row>
    <row r="2021">
      <c r="A2021" t="n">
        <v>30</v>
      </c>
      <c r="B2021" t="n">
        <v>180</v>
      </c>
      <c r="C2021" t="n">
        <v>8</v>
      </c>
      <c r="D2021" s="218" t="n">
        <v>166.8</v>
      </c>
      <c r="E2021" s="218" t="n">
        <v>5.38</v>
      </c>
      <c r="F2021" t="str">
        <v>https://re.jrc.ec.europa.eu/api/v5_3/PVcalc?lat=30.0444&amp;lon=31.2357&amp;peakpower=1&amp;loss=14&amp;angle=30&amp;aspect=0&amp;outputformat=json&amp;raddatabase=PVGIS-SARAH3&amp;pvtechchoice=crystSi&amp;mountingplace=free&amp;usehorizon=1</v>
      </c>
    </row>
    <row r="2022">
      <c r="A2022" t="n">
        <v>30</v>
      </c>
      <c r="B2022" t="n">
        <v>180</v>
      </c>
      <c r="C2022" t="n">
        <v>9</v>
      </c>
      <c r="D2022" s="218" t="n">
        <v>161</v>
      </c>
      <c r="E2022" s="218" t="n">
        <v>5.37</v>
      </c>
      <c r="F2022" t="str">
        <v>https://re.jrc.ec.europa.eu/api/v5_3/PVcalc?lat=30.0444&amp;lon=31.2357&amp;peakpower=1&amp;loss=14&amp;angle=30&amp;aspect=0&amp;outputformat=json&amp;raddatabase=PVGIS-SARAH3&amp;pvtechchoice=crystSi&amp;mountingplace=free&amp;usehorizon=1</v>
      </c>
    </row>
    <row r="2023">
      <c r="A2023" t="n">
        <v>30</v>
      </c>
      <c r="B2023" t="n">
        <v>180</v>
      </c>
      <c r="C2023" t="n">
        <v>10</v>
      </c>
      <c r="D2023" s="218" t="n">
        <v>154.53</v>
      </c>
      <c r="E2023" s="218" t="n">
        <v>4.98</v>
      </c>
      <c r="F2023" t="str">
        <v>https://re.jrc.ec.europa.eu/api/v5_3/PVcalc?lat=30.0444&amp;lon=31.2357&amp;peakpower=1&amp;loss=14&amp;angle=30&amp;aspect=0&amp;outputformat=json&amp;raddatabase=PVGIS-SARAH3&amp;pvtechchoice=crystSi&amp;mountingplace=free&amp;usehorizon=1</v>
      </c>
    </row>
    <row r="2024">
      <c r="A2024" t="n">
        <v>30</v>
      </c>
      <c r="B2024" t="n">
        <v>180</v>
      </c>
      <c r="C2024" t="n">
        <v>11</v>
      </c>
      <c r="D2024" s="218" t="n">
        <v>136.97</v>
      </c>
      <c r="E2024" s="218" t="n">
        <v>4.57</v>
      </c>
      <c r="F2024" t="str">
        <v>https://re.jrc.ec.europa.eu/api/v5_3/PVcalc?lat=30.0444&amp;lon=31.2357&amp;peakpower=1&amp;loss=14&amp;angle=30&amp;aspect=0&amp;outputformat=json&amp;raddatabase=PVGIS-SARAH3&amp;pvtechchoice=crystSi&amp;mountingplace=free&amp;usehorizon=1</v>
      </c>
    </row>
    <row r="2025">
      <c r="A2025" t="n">
        <v>30</v>
      </c>
      <c r="B2025" t="n">
        <v>180</v>
      </c>
      <c r="C2025" t="n">
        <v>12</v>
      </c>
      <c r="D2025" s="218" t="n">
        <v>130.4</v>
      </c>
      <c r="E2025" s="218" t="n">
        <v>4.21</v>
      </c>
      <c r="F2025" t="str">
        <v>https://re.jrc.ec.europa.eu/api/v5_3/PVcalc?lat=30.0444&amp;lon=31.2357&amp;peakpower=1&amp;loss=14&amp;angle=30&amp;aspect=0&amp;outputformat=json&amp;raddatabase=PVGIS-SARAH3&amp;pvtechchoice=crystSi&amp;mountingplace=free&amp;usehorizon=1</v>
      </c>
    </row>
    <row r="2026">
      <c r="A2026" t="n">
        <v>30</v>
      </c>
      <c r="B2026" t="n">
        <v>195</v>
      </c>
      <c r="C2026" t="n">
        <v>1</v>
      </c>
      <c r="D2026" s="218" t="n">
        <v>129.2</v>
      </c>
      <c r="E2026" s="218" t="n">
        <v>4.17</v>
      </c>
      <c r="F2026" t="str">
        <v>https://re.jrc.ec.europa.eu/api/v5_3/PVcalc?lat=30.0444&amp;lon=31.2357&amp;peakpower=1&amp;loss=14&amp;angle=30&amp;aspect=15&amp;outputformat=json&amp;raddatabase=PVGIS-SARAH3&amp;pvtechchoice=crystSi&amp;mountingplace=free&amp;usehorizon=1</v>
      </c>
    </row>
    <row r="2027">
      <c r="A2027" t="n">
        <v>30</v>
      </c>
      <c r="B2027" t="n">
        <v>195</v>
      </c>
      <c r="C2027" t="n">
        <v>2</v>
      </c>
      <c r="D2027" s="218" t="n">
        <v>127.63</v>
      </c>
      <c r="E2027" s="218" t="n">
        <v>4.56</v>
      </c>
      <c r="F2027" t="str">
        <v>https://re.jrc.ec.europa.eu/api/v5_3/PVcalc?lat=30.0444&amp;lon=31.2357&amp;peakpower=1&amp;loss=14&amp;angle=30&amp;aspect=15&amp;outputformat=json&amp;raddatabase=PVGIS-SARAH3&amp;pvtechchoice=crystSi&amp;mountingplace=free&amp;usehorizon=1</v>
      </c>
    </row>
    <row r="2028">
      <c r="A2028" t="n">
        <v>30</v>
      </c>
      <c r="B2028" t="n">
        <v>195</v>
      </c>
      <c r="C2028" t="n">
        <v>3</v>
      </c>
      <c r="D2028" s="218" t="n">
        <v>160.44</v>
      </c>
      <c r="E2028" s="218" t="n">
        <v>5.18</v>
      </c>
      <c r="F2028" t="str">
        <v>https://re.jrc.ec.europa.eu/api/v5_3/PVcalc?lat=30.0444&amp;lon=31.2357&amp;peakpower=1&amp;loss=14&amp;angle=30&amp;aspect=15&amp;outputformat=json&amp;raddatabase=PVGIS-SARAH3&amp;pvtechchoice=crystSi&amp;mountingplace=free&amp;usehorizon=1</v>
      </c>
    </row>
    <row r="2029">
      <c r="A2029" t="n">
        <v>30</v>
      </c>
      <c r="B2029" t="n">
        <v>195</v>
      </c>
      <c r="C2029" t="n">
        <v>4</v>
      </c>
      <c r="D2029" s="218" t="n">
        <v>161.24</v>
      </c>
      <c r="E2029" s="218" t="n">
        <v>5.37</v>
      </c>
      <c r="F2029" t="str">
        <v>https://re.jrc.ec.europa.eu/api/v5_3/PVcalc?lat=30.0444&amp;lon=31.2357&amp;peakpower=1&amp;loss=14&amp;angle=30&amp;aspect=15&amp;outputformat=json&amp;raddatabase=PVGIS-SARAH3&amp;pvtechchoice=crystSi&amp;mountingplace=free&amp;usehorizon=1</v>
      </c>
    </row>
    <row r="2030">
      <c r="A2030" t="n">
        <v>30</v>
      </c>
      <c r="B2030" t="n">
        <v>195</v>
      </c>
      <c r="C2030" t="n">
        <v>5</v>
      </c>
      <c r="D2030" s="218" t="n">
        <v>163.56</v>
      </c>
      <c r="E2030" s="218" t="n">
        <v>5.28</v>
      </c>
      <c r="F2030" t="str">
        <v>https://re.jrc.ec.europa.eu/api/v5_3/PVcalc?lat=30.0444&amp;lon=31.2357&amp;peakpower=1&amp;loss=14&amp;angle=30&amp;aspect=15&amp;outputformat=json&amp;raddatabase=PVGIS-SARAH3&amp;pvtechchoice=crystSi&amp;mountingplace=free&amp;usehorizon=1</v>
      </c>
    </row>
    <row r="2031">
      <c r="A2031" t="n">
        <v>30</v>
      </c>
      <c r="B2031" t="n">
        <v>195</v>
      </c>
      <c r="C2031" t="n">
        <v>6</v>
      </c>
      <c r="D2031" s="218" t="n">
        <v>160</v>
      </c>
      <c r="E2031" s="218" t="n">
        <v>5.33</v>
      </c>
      <c r="F2031" t="str">
        <v>https://re.jrc.ec.europa.eu/api/v5_3/PVcalc?lat=30.0444&amp;lon=31.2357&amp;peakpower=1&amp;loss=14&amp;angle=30&amp;aspect=15&amp;outputformat=json&amp;raddatabase=PVGIS-SARAH3&amp;pvtechchoice=crystSi&amp;mountingplace=free&amp;usehorizon=1</v>
      </c>
    </row>
    <row r="2032">
      <c r="A2032" t="n">
        <v>30</v>
      </c>
      <c r="B2032" t="n">
        <v>195</v>
      </c>
      <c r="C2032" t="n">
        <v>7</v>
      </c>
      <c r="D2032" s="218" t="n">
        <v>166.28</v>
      </c>
      <c r="E2032" s="218" t="n">
        <v>5.36</v>
      </c>
      <c r="F2032" t="str">
        <v>https://re.jrc.ec.europa.eu/api/v5_3/PVcalc?lat=30.0444&amp;lon=31.2357&amp;peakpower=1&amp;loss=14&amp;angle=30&amp;aspect=15&amp;outputformat=json&amp;raddatabase=PVGIS-SARAH3&amp;pvtechchoice=crystSi&amp;mountingplace=free&amp;usehorizon=1</v>
      </c>
    </row>
    <row r="2033">
      <c r="A2033" t="n">
        <v>30</v>
      </c>
      <c r="B2033" t="n">
        <v>195</v>
      </c>
      <c r="C2033" t="n">
        <v>8</v>
      </c>
      <c r="D2033" s="218" t="n">
        <v>167.92</v>
      </c>
      <c r="E2033" s="218" t="n">
        <v>5.42</v>
      </c>
      <c r="F2033" t="str">
        <v>https://re.jrc.ec.europa.eu/api/v5_3/PVcalc?lat=30.0444&amp;lon=31.2357&amp;peakpower=1&amp;loss=14&amp;angle=30&amp;aspect=15&amp;outputformat=json&amp;raddatabase=PVGIS-SARAH3&amp;pvtechchoice=crystSi&amp;mountingplace=free&amp;usehorizon=1</v>
      </c>
    </row>
    <row r="2034">
      <c r="A2034" t="n">
        <v>30</v>
      </c>
      <c r="B2034" t="n">
        <v>195</v>
      </c>
      <c r="C2034" t="n">
        <v>9</v>
      </c>
      <c r="D2034" s="218" t="n">
        <v>161.37</v>
      </c>
      <c r="E2034" s="218" t="n">
        <v>5.38</v>
      </c>
      <c r="F2034" t="str">
        <v>https://re.jrc.ec.europa.eu/api/v5_3/PVcalc?lat=30.0444&amp;lon=31.2357&amp;peakpower=1&amp;loss=14&amp;angle=30&amp;aspect=15&amp;outputformat=json&amp;raddatabase=PVGIS-SARAH3&amp;pvtechchoice=crystSi&amp;mountingplace=free&amp;usehorizon=1</v>
      </c>
    </row>
    <row r="2035">
      <c r="A2035" t="n">
        <v>30</v>
      </c>
      <c r="B2035" t="n">
        <v>195</v>
      </c>
      <c r="C2035" t="n">
        <v>10</v>
      </c>
      <c r="D2035" s="218" t="n">
        <v>153.29</v>
      </c>
      <c r="E2035" s="218" t="n">
        <v>4.94</v>
      </c>
      <c r="F2035" t="str">
        <v>https://re.jrc.ec.europa.eu/api/v5_3/PVcalc?lat=30.0444&amp;lon=31.2357&amp;peakpower=1&amp;loss=14&amp;angle=30&amp;aspect=15&amp;outputformat=json&amp;raddatabase=PVGIS-SARAH3&amp;pvtechchoice=crystSi&amp;mountingplace=free&amp;usehorizon=1</v>
      </c>
    </row>
    <row r="2036">
      <c r="A2036" t="n">
        <v>30</v>
      </c>
      <c r="B2036" t="n">
        <v>195</v>
      </c>
      <c r="C2036" t="n">
        <v>11</v>
      </c>
      <c r="D2036" s="218" t="n">
        <v>134.99</v>
      </c>
      <c r="E2036" s="218" t="n">
        <v>4.5</v>
      </c>
      <c r="F2036" t="str">
        <v>https://re.jrc.ec.europa.eu/api/v5_3/PVcalc?lat=30.0444&amp;lon=31.2357&amp;peakpower=1&amp;loss=14&amp;angle=30&amp;aspect=15&amp;outputformat=json&amp;raddatabase=PVGIS-SARAH3&amp;pvtechchoice=crystSi&amp;mountingplace=free&amp;usehorizon=1</v>
      </c>
    </row>
    <row r="2037">
      <c r="A2037" t="n">
        <v>30</v>
      </c>
      <c r="B2037" t="n">
        <v>195</v>
      </c>
      <c r="C2037" t="n">
        <v>12</v>
      </c>
      <c r="D2037" s="218" t="n">
        <v>128.17</v>
      </c>
      <c r="E2037" s="218" t="n">
        <v>4.13</v>
      </c>
      <c r="F2037" t="str">
        <v>https://re.jrc.ec.europa.eu/api/v5_3/PVcalc?lat=30.0444&amp;lon=31.2357&amp;peakpower=1&amp;loss=14&amp;angle=30&amp;aspect=15&amp;outputformat=json&amp;raddatabase=PVGIS-SARAH3&amp;pvtechchoice=crystSi&amp;mountingplace=free&amp;usehorizon=1</v>
      </c>
    </row>
    <row r="2038">
      <c r="A2038" t="n">
        <v>30</v>
      </c>
      <c r="B2038" t="n">
        <v>210</v>
      </c>
      <c r="C2038" t="n">
        <v>1</v>
      </c>
      <c r="D2038" s="218" t="n">
        <v>123.7</v>
      </c>
      <c r="E2038" s="218" t="n">
        <v>3.99</v>
      </c>
      <c r="F2038" t="str">
        <v>https://re.jrc.ec.europa.eu/api/v5_3/PVcalc?lat=30.0444&amp;lon=31.2357&amp;peakpower=1&amp;loss=14&amp;angle=30&amp;aspect=30&amp;outputformat=json&amp;raddatabase=PVGIS-SARAH3&amp;pvtechchoice=crystSi&amp;mountingplace=free&amp;usehorizon=1</v>
      </c>
    </row>
    <row r="2039">
      <c r="A2039" t="n">
        <v>30</v>
      </c>
      <c r="B2039" t="n">
        <v>210</v>
      </c>
      <c r="C2039" t="n">
        <v>2</v>
      </c>
      <c r="D2039" s="218" t="n">
        <v>123.36</v>
      </c>
      <c r="E2039" s="218" t="n">
        <v>4.41</v>
      </c>
      <c r="F2039" t="str">
        <v>https://re.jrc.ec.europa.eu/api/v5_3/PVcalc?lat=30.0444&amp;lon=31.2357&amp;peakpower=1&amp;loss=14&amp;angle=30&amp;aspect=30&amp;outputformat=json&amp;raddatabase=PVGIS-SARAH3&amp;pvtechchoice=crystSi&amp;mountingplace=free&amp;usehorizon=1</v>
      </c>
    </row>
    <row r="2040">
      <c r="A2040" t="n">
        <v>30</v>
      </c>
      <c r="B2040" t="n">
        <v>210</v>
      </c>
      <c r="C2040" t="n">
        <v>3</v>
      </c>
      <c r="D2040" s="218" t="n">
        <v>157.51</v>
      </c>
      <c r="E2040" s="218" t="n">
        <v>5.08</v>
      </c>
      <c r="F2040" t="str">
        <v>https://re.jrc.ec.europa.eu/api/v5_3/PVcalc?lat=30.0444&amp;lon=31.2357&amp;peakpower=1&amp;loss=14&amp;angle=30&amp;aspect=30&amp;outputformat=json&amp;raddatabase=PVGIS-SARAH3&amp;pvtechchoice=crystSi&amp;mountingplace=free&amp;usehorizon=1</v>
      </c>
    </row>
    <row r="2041">
      <c r="A2041" t="n">
        <v>30</v>
      </c>
      <c r="B2041" t="n">
        <v>210</v>
      </c>
      <c r="C2041" t="n">
        <v>4</v>
      </c>
      <c r="D2041" s="218" t="n">
        <v>160.24</v>
      </c>
      <c r="E2041" s="218" t="n">
        <v>5.34</v>
      </c>
      <c r="F2041" t="str">
        <v>https://re.jrc.ec.europa.eu/api/v5_3/PVcalc?lat=30.0444&amp;lon=31.2357&amp;peakpower=1&amp;loss=14&amp;angle=30&amp;aspect=30&amp;outputformat=json&amp;raddatabase=PVGIS-SARAH3&amp;pvtechchoice=crystSi&amp;mountingplace=free&amp;usehorizon=1</v>
      </c>
    </row>
    <row r="2042">
      <c r="A2042" t="n">
        <v>30</v>
      </c>
      <c r="B2042" t="n">
        <v>210</v>
      </c>
      <c r="C2042" t="n">
        <v>5</v>
      </c>
      <c r="D2042" s="218" t="n">
        <v>164.28</v>
      </c>
      <c r="E2042" s="218" t="n">
        <v>5.3</v>
      </c>
      <c r="F2042" t="str">
        <v>https://re.jrc.ec.europa.eu/api/v5_3/PVcalc?lat=30.0444&amp;lon=31.2357&amp;peakpower=1&amp;loss=14&amp;angle=30&amp;aspect=30&amp;outputformat=json&amp;raddatabase=PVGIS-SARAH3&amp;pvtechchoice=crystSi&amp;mountingplace=free&amp;usehorizon=1</v>
      </c>
    </row>
    <row r="2043">
      <c r="A2043" t="n">
        <v>30</v>
      </c>
      <c r="B2043" t="n">
        <v>210</v>
      </c>
      <c r="C2043" t="n">
        <v>6</v>
      </c>
      <c r="D2043" s="218" t="n">
        <v>162.23</v>
      </c>
      <c r="E2043" s="218" t="n">
        <v>5.41</v>
      </c>
      <c r="F2043" t="str">
        <v>https://re.jrc.ec.europa.eu/api/v5_3/PVcalc?lat=30.0444&amp;lon=31.2357&amp;peakpower=1&amp;loss=14&amp;angle=30&amp;aspect=30&amp;outputformat=json&amp;raddatabase=PVGIS-SARAH3&amp;pvtechchoice=crystSi&amp;mountingplace=free&amp;usehorizon=1</v>
      </c>
    </row>
    <row r="2044">
      <c r="A2044" t="n">
        <v>30</v>
      </c>
      <c r="B2044" t="n">
        <v>210</v>
      </c>
      <c r="C2044" t="n">
        <v>7</v>
      </c>
      <c r="D2044" s="218" t="n">
        <v>168.52</v>
      </c>
      <c r="E2044" s="218" t="n">
        <v>5.44</v>
      </c>
      <c r="F2044" t="str">
        <v>https://re.jrc.ec.europa.eu/api/v5_3/PVcalc?lat=30.0444&amp;lon=31.2357&amp;peakpower=1&amp;loss=14&amp;angle=30&amp;aspect=30&amp;outputformat=json&amp;raddatabase=PVGIS-SARAH3&amp;pvtechchoice=crystSi&amp;mountingplace=free&amp;usehorizon=1</v>
      </c>
    </row>
    <row r="2045">
      <c r="A2045" t="n">
        <v>30</v>
      </c>
      <c r="B2045" t="n">
        <v>210</v>
      </c>
      <c r="C2045" t="n">
        <v>8</v>
      </c>
      <c r="D2045" s="218" t="n">
        <v>168.36</v>
      </c>
      <c r="E2045" s="218" t="n">
        <v>5.43</v>
      </c>
      <c r="F2045" t="str">
        <v>https://re.jrc.ec.europa.eu/api/v5_3/PVcalc?lat=30.0444&amp;lon=31.2357&amp;peakpower=1&amp;loss=14&amp;angle=30&amp;aspect=30&amp;outputformat=json&amp;raddatabase=PVGIS-SARAH3&amp;pvtechchoice=crystSi&amp;mountingplace=free&amp;usehorizon=1</v>
      </c>
    </row>
    <row r="2046">
      <c r="A2046" t="n">
        <v>30</v>
      </c>
      <c r="B2046" t="n">
        <v>210</v>
      </c>
      <c r="C2046" t="n">
        <v>9</v>
      </c>
      <c r="D2046" s="218" t="n">
        <v>159.53</v>
      </c>
      <c r="E2046" s="218" t="n">
        <v>5.32</v>
      </c>
      <c r="F2046" t="str">
        <v>https://re.jrc.ec.europa.eu/api/v5_3/PVcalc?lat=30.0444&amp;lon=31.2357&amp;peakpower=1&amp;loss=14&amp;angle=30&amp;aspect=30&amp;outputformat=json&amp;raddatabase=PVGIS-SARAH3&amp;pvtechchoice=crystSi&amp;mountingplace=free&amp;usehorizon=1</v>
      </c>
    </row>
    <row r="2047">
      <c r="A2047" t="n">
        <v>30</v>
      </c>
      <c r="B2047" t="n">
        <v>210</v>
      </c>
      <c r="C2047" t="n">
        <v>10</v>
      </c>
      <c r="D2047" s="218" t="n">
        <v>148.96</v>
      </c>
      <c r="E2047" s="218" t="n">
        <v>4.81</v>
      </c>
      <c r="F2047" t="str">
        <v>https://re.jrc.ec.europa.eu/api/v5_3/PVcalc?lat=30.0444&amp;lon=31.2357&amp;peakpower=1&amp;loss=14&amp;angle=30&amp;aspect=30&amp;outputformat=json&amp;raddatabase=PVGIS-SARAH3&amp;pvtechchoice=crystSi&amp;mountingplace=free&amp;usehorizon=1</v>
      </c>
    </row>
    <row r="2048">
      <c r="A2048" t="n">
        <v>30</v>
      </c>
      <c r="B2048" t="n">
        <v>210</v>
      </c>
      <c r="C2048" t="n">
        <v>11</v>
      </c>
      <c r="D2048" s="218" t="n">
        <v>129.59</v>
      </c>
      <c r="E2048" s="218" t="n">
        <v>4.32</v>
      </c>
      <c r="F2048" t="str">
        <v>https://re.jrc.ec.europa.eu/api/v5_3/PVcalc?lat=30.0444&amp;lon=31.2357&amp;peakpower=1&amp;loss=14&amp;angle=30&amp;aspect=30&amp;outputformat=json&amp;raddatabase=PVGIS-SARAH3&amp;pvtechchoice=crystSi&amp;mountingplace=free&amp;usehorizon=1</v>
      </c>
    </row>
    <row r="2049">
      <c r="A2049" t="n">
        <v>30</v>
      </c>
      <c r="B2049" t="n">
        <v>210</v>
      </c>
      <c r="C2049" t="n">
        <v>12</v>
      </c>
      <c r="D2049" s="218" t="n">
        <v>122.39</v>
      </c>
      <c r="E2049" s="218" t="n">
        <v>3.95</v>
      </c>
      <c r="F2049" t="str">
        <v>https://re.jrc.ec.europa.eu/api/v5_3/PVcalc?lat=30.0444&amp;lon=31.2357&amp;peakpower=1&amp;loss=14&amp;angle=30&amp;aspect=30&amp;outputformat=json&amp;raddatabase=PVGIS-SARAH3&amp;pvtechchoice=crystSi&amp;mountingplace=free&amp;usehorizon=1</v>
      </c>
    </row>
    <row r="2050">
      <c r="A2050" t="n">
        <v>30</v>
      </c>
      <c r="B2050" t="n">
        <v>225</v>
      </c>
      <c r="C2050" t="n">
        <v>1</v>
      </c>
      <c r="D2050" s="218" t="n">
        <v>115.27</v>
      </c>
      <c r="E2050" s="218" t="n">
        <v>3.72</v>
      </c>
      <c r="F2050" t="str">
        <v>https://re.jrc.ec.europa.eu/api/v5_3/PVcalc?lat=30.0444&amp;lon=31.2357&amp;peakpower=1&amp;loss=14&amp;angle=30&amp;aspect=45&amp;outputformat=json&amp;raddatabase=PVGIS-SARAH3&amp;pvtechchoice=crystSi&amp;mountingplace=free&amp;usehorizon=1</v>
      </c>
    </row>
    <row r="2051">
      <c r="A2051" t="n">
        <v>30</v>
      </c>
      <c r="B2051" t="n">
        <v>225</v>
      </c>
      <c r="C2051" t="n">
        <v>2</v>
      </c>
      <c r="D2051" s="218" t="n">
        <v>117.01</v>
      </c>
      <c r="E2051" s="218" t="n">
        <v>4.18</v>
      </c>
      <c r="F2051" t="str">
        <v>https://re.jrc.ec.europa.eu/api/v5_3/PVcalc?lat=30.0444&amp;lon=31.2357&amp;peakpower=1&amp;loss=14&amp;angle=30&amp;aspect=45&amp;outputformat=json&amp;raddatabase=PVGIS-SARAH3&amp;pvtechchoice=crystSi&amp;mountingplace=free&amp;usehorizon=1</v>
      </c>
    </row>
    <row r="2052">
      <c r="A2052" t="n">
        <v>30</v>
      </c>
      <c r="B2052" t="n">
        <v>225</v>
      </c>
      <c r="C2052" t="n">
        <v>3</v>
      </c>
      <c r="D2052" s="218" t="n">
        <v>153.15</v>
      </c>
      <c r="E2052" s="218" t="n">
        <v>4.94</v>
      </c>
      <c r="F2052" t="str">
        <v>https://re.jrc.ec.europa.eu/api/v5_3/PVcalc?lat=30.0444&amp;lon=31.2357&amp;peakpower=1&amp;loss=14&amp;angle=30&amp;aspect=45&amp;outputformat=json&amp;raddatabase=PVGIS-SARAH3&amp;pvtechchoice=crystSi&amp;mountingplace=free&amp;usehorizon=1</v>
      </c>
    </row>
    <row r="2053">
      <c r="A2053" t="n">
        <v>30</v>
      </c>
      <c r="B2053" t="n">
        <v>225</v>
      </c>
      <c r="C2053" t="n">
        <v>4</v>
      </c>
      <c r="D2053" s="218" t="n">
        <v>158.7</v>
      </c>
      <c r="E2053" s="218" t="n">
        <v>5.29</v>
      </c>
      <c r="F2053" t="str">
        <v>https://re.jrc.ec.europa.eu/api/v5_3/PVcalc?lat=30.0444&amp;lon=31.2357&amp;peakpower=1&amp;loss=14&amp;angle=30&amp;aspect=45&amp;outputformat=json&amp;raddatabase=PVGIS-SARAH3&amp;pvtechchoice=crystSi&amp;mountingplace=free&amp;usehorizon=1</v>
      </c>
    </row>
    <row r="2054">
      <c r="A2054" t="n">
        <v>30</v>
      </c>
      <c r="B2054" t="n">
        <v>225</v>
      </c>
      <c r="C2054" t="n">
        <v>5</v>
      </c>
      <c r="D2054" s="218" t="n">
        <v>164.75</v>
      </c>
      <c r="E2054" s="218" t="n">
        <v>5.31</v>
      </c>
      <c r="F2054" t="str">
        <v>https://re.jrc.ec.europa.eu/api/v5_3/PVcalc?lat=30.0444&amp;lon=31.2357&amp;peakpower=1&amp;loss=14&amp;angle=30&amp;aspect=45&amp;outputformat=json&amp;raddatabase=PVGIS-SARAH3&amp;pvtechchoice=crystSi&amp;mountingplace=free&amp;usehorizon=1</v>
      </c>
    </row>
    <row r="2055">
      <c r="A2055" t="n">
        <v>30</v>
      </c>
      <c r="B2055" t="n">
        <v>225</v>
      </c>
      <c r="C2055" t="n">
        <v>6</v>
      </c>
      <c r="D2055" s="218" t="n">
        <v>164.73</v>
      </c>
      <c r="E2055" s="218" t="n">
        <v>5.49</v>
      </c>
      <c r="F2055" t="str">
        <v>https://re.jrc.ec.europa.eu/api/v5_3/PVcalc?lat=30.0444&amp;lon=31.2357&amp;peakpower=1&amp;loss=14&amp;angle=30&amp;aspect=45&amp;outputformat=json&amp;raddatabase=PVGIS-SARAH3&amp;pvtechchoice=crystSi&amp;mountingplace=free&amp;usehorizon=1</v>
      </c>
    </row>
    <row r="2056">
      <c r="A2056" t="n">
        <v>30</v>
      </c>
      <c r="B2056" t="n">
        <v>225</v>
      </c>
      <c r="C2056" t="n">
        <v>7</v>
      </c>
      <c r="D2056" s="218" t="n">
        <v>171.41</v>
      </c>
      <c r="E2056" s="218" t="n">
        <v>5.53</v>
      </c>
      <c r="F2056" t="str">
        <v>https://re.jrc.ec.europa.eu/api/v5_3/PVcalc?lat=30.0444&amp;lon=31.2357&amp;peakpower=1&amp;loss=14&amp;angle=30&amp;aspect=45&amp;outputformat=json&amp;raddatabase=PVGIS-SARAH3&amp;pvtechchoice=crystSi&amp;mountingplace=free&amp;usehorizon=1</v>
      </c>
    </row>
    <row r="2057">
      <c r="A2057" t="n">
        <v>30</v>
      </c>
      <c r="B2057" t="n">
        <v>225</v>
      </c>
      <c r="C2057" t="n">
        <v>8</v>
      </c>
      <c r="D2057" s="218" t="n">
        <v>168.64</v>
      </c>
      <c r="E2057" s="218" t="n">
        <v>5.44</v>
      </c>
      <c r="F2057" t="str">
        <v>https://re.jrc.ec.europa.eu/api/v5_3/PVcalc?lat=30.0444&amp;lon=31.2357&amp;peakpower=1&amp;loss=14&amp;angle=30&amp;aspect=45&amp;outputformat=json&amp;raddatabase=PVGIS-SARAH3&amp;pvtechchoice=crystSi&amp;mountingplace=free&amp;usehorizon=1</v>
      </c>
    </row>
    <row r="2058">
      <c r="A2058" t="n">
        <v>30</v>
      </c>
      <c r="B2058" t="n">
        <v>225</v>
      </c>
      <c r="C2058" t="n">
        <v>9</v>
      </c>
      <c r="D2058" s="218" t="n">
        <v>156.5</v>
      </c>
      <c r="E2058" s="218" t="n">
        <v>5.22</v>
      </c>
      <c r="F2058" t="str">
        <v>https://re.jrc.ec.europa.eu/api/v5_3/PVcalc?lat=30.0444&amp;lon=31.2357&amp;peakpower=1&amp;loss=14&amp;angle=30&amp;aspect=45&amp;outputformat=json&amp;raddatabase=PVGIS-SARAH3&amp;pvtechchoice=crystSi&amp;mountingplace=free&amp;usehorizon=1</v>
      </c>
    </row>
    <row r="2059">
      <c r="A2059" t="n">
        <v>30</v>
      </c>
      <c r="B2059" t="n">
        <v>225</v>
      </c>
      <c r="C2059" t="n">
        <v>10</v>
      </c>
      <c r="D2059" s="218" t="n">
        <v>142.35</v>
      </c>
      <c r="E2059" s="218" t="n">
        <v>4.59</v>
      </c>
      <c r="F2059" t="str">
        <v>https://re.jrc.ec.europa.eu/api/v5_3/PVcalc?lat=30.0444&amp;lon=31.2357&amp;peakpower=1&amp;loss=14&amp;angle=30&amp;aspect=45&amp;outputformat=json&amp;raddatabase=PVGIS-SARAH3&amp;pvtechchoice=crystSi&amp;mountingplace=free&amp;usehorizon=1</v>
      </c>
    </row>
    <row r="2060">
      <c r="A2060" t="n">
        <v>30</v>
      </c>
      <c r="B2060" t="n">
        <v>225</v>
      </c>
      <c r="C2060" t="n">
        <v>11</v>
      </c>
      <c r="D2060" s="218" t="n">
        <v>121.68</v>
      </c>
      <c r="E2060" s="218" t="n">
        <v>4.06</v>
      </c>
      <c r="F2060" t="str">
        <v>https://re.jrc.ec.europa.eu/api/v5_3/PVcalc?lat=30.0444&amp;lon=31.2357&amp;peakpower=1&amp;loss=14&amp;angle=30&amp;aspect=45&amp;outputformat=json&amp;raddatabase=PVGIS-SARAH3&amp;pvtechchoice=crystSi&amp;mountingplace=free&amp;usehorizon=1</v>
      </c>
    </row>
    <row r="2061">
      <c r="A2061" t="n">
        <v>30</v>
      </c>
      <c r="B2061" t="n">
        <v>225</v>
      </c>
      <c r="C2061" t="n">
        <v>12</v>
      </c>
      <c r="D2061" s="218" t="n">
        <v>113.72</v>
      </c>
      <c r="E2061" s="218" t="n">
        <v>3.67</v>
      </c>
      <c r="F2061" t="str">
        <v>https://re.jrc.ec.europa.eu/api/v5_3/PVcalc?lat=30.0444&amp;lon=31.2357&amp;peakpower=1&amp;loss=14&amp;angle=30&amp;aspect=45&amp;outputformat=json&amp;raddatabase=PVGIS-SARAH3&amp;pvtechchoice=crystSi&amp;mountingplace=free&amp;usehorizon=1</v>
      </c>
    </row>
    <row r="2062">
      <c r="A2062" t="n">
        <v>30</v>
      </c>
      <c r="B2062" t="n">
        <v>240</v>
      </c>
      <c r="C2062" t="n">
        <v>1</v>
      </c>
      <c r="D2062" s="218" t="n">
        <v>105.1</v>
      </c>
      <c r="E2062" s="218" t="n">
        <v>3.39</v>
      </c>
      <c r="F2062" t="str">
        <v>https://re.jrc.ec.europa.eu/api/v5_3/PVcalc?lat=30.0444&amp;lon=31.2357&amp;peakpower=1&amp;loss=14&amp;angle=30&amp;aspect=60&amp;outputformat=json&amp;raddatabase=PVGIS-SARAH3&amp;pvtechchoice=crystSi&amp;mountingplace=free&amp;usehorizon=1</v>
      </c>
    </row>
    <row r="2063">
      <c r="A2063" t="n">
        <v>30</v>
      </c>
      <c r="B2063" t="n">
        <v>240</v>
      </c>
      <c r="C2063" t="n">
        <v>2</v>
      </c>
      <c r="D2063" s="218" t="n">
        <v>109.14</v>
      </c>
      <c r="E2063" s="218" t="n">
        <v>3.9</v>
      </c>
      <c r="F2063" t="str">
        <v>https://re.jrc.ec.europa.eu/api/v5_3/PVcalc?lat=30.0444&amp;lon=31.2357&amp;peakpower=1&amp;loss=14&amp;angle=30&amp;aspect=60&amp;outputformat=json&amp;raddatabase=PVGIS-SARAH3&amp;pvtechchoice=crystSi&amp;mountingplace=free&amp;usehorizon=1</v>
      </c>
    </row>
    <row r="2064">
      <c r="A2064" t="n">
        <v>30</v>
      </c>
      <c r="B2064" t="n">
        <v>240</v>
      </c>
      <c r="C2064" t="n">
        <v>3</v>
      </c>
      <c r="D2064" s="218" t="n">
        <v>146.84</v>
      </c>
      <c r="E2064" s="218" t="n">
        <v>4.74</v>
      </c>
      <c r="F2064" t="str">
        <v>https://re.jrc.ec.europa.eu/api/v5_3/PVcalc?lat=30.0444&amp;lon=31.2357&amp;peakpower=1&amp;loss=14&amp;angle=30&amp;aspect=60&amp;outputformat=json&amp;raddatabase=PVGIS-SARAH3&amp;pvtechchoice=crystSi&amp;mountingplace=free&amp;usehorizon=1</v>
      </c>
    </row>
    <row r="2065">
      <c r="A2065" t="n">
        <v>30</v>
      </c>
      <c r="B2065" t="n">
        <v>240</v>
      </c>
      <c r="C2065" t="n">
        <v>4</v>
      </c>
      <c r="D2065" s="218" t="n">
        <v>155.93</v>
      </c>
      <c r="E2065" s="218" t="n">
        <v>5.2</v>
      </c>
      <c r="F2065" t="str">
        <v>https://re.jrc.ec.europa.eu/api/v5_3/PVcalc?lat=30.0444&amp;lon=31.2357&amp;peakpower=1&amp;loss=14&amp;angle=30&amp;aspect=60&amp;outputformat=json&amp;raddatabase=PVGIS-SARAH3&amp;pvtechchoice=crystSi&amp;mountingplace=free&amp;usehorizon=1</v>
      </c>
    </row>
    <row r="2066">
      <c r="A2066" t="n">
        <v>30</v>
      </c>
      <c r="B2066" t="n">
        <v>240</v>
      </c>
      <c r="C2066" t="n">
        <v>5</v>
      </c>
      <c r="D2066" s="218" t="n">
        <v>165.69</v>
      </c>
      <c r="E2066" s="218" t="n">
        <v>5.34</v>
      </c>
      <c r="F2066" t="str">
        <v>https://re.jrc.ec.europa.eu/api/v5_3/PVcalc?lat=30.0444&amp;lon=31.2357&amp;peakpower=1&amp;loss=14&amp;angle=30&amp;aspect=60&amp;outputformat=json&amp;raddatabase=PVGIS-SARAH3&amp;pvtechchoice=crystSi&amp;mountingplace=free&amp;usehorizon=1</v>
      </c>
    </row>
    <row r="2067">
      <c r="A2067" t="n">
        <v>30</v>
      </c>
      <c r="B2067" t="n">
        <v>240</v>
      </c>
      <c r="C2067" t="n">
        <v>6</v>
      </c>
      <c r="D2067" s="218" t="n">
        <v>167.8</v>
      </c>
      <c r="E2067" s="218" t="n">
        <v>5.59</v>
      </c>
      <c r="F2067" t="str">
        <v>https://re.jrc.ec.europa.eu/api/v5_3/PVcalc?lat=30.0444&amp;lon=31.2357&amp;peakpower=1&amp;loss=14&amp;angle=30&amp;aspect=60&amp;outputformat=json&amp;raddatabase=PVGIS-SARAH3&amp;pvtechchoice=crystSi&amp;mountingplace=free&amp;usehorizon=1</v>
      </c>
    </row>
    <row r="2068">
      <c r="A2068" t="n">
        <v>30</v>
      </c>
      <c r="B2068" t="n">
        <v>240</v>
      </c>
      <c r="C2068" t="n">
        <v>7</v>
      </c>
      <c r="D2068" s="218" t="n">
        <v>173.15</v>
      </c>
      <c r="E2068" s="218" t="n">
        <v>5.59</v>
      </c>
      <c r="F2068" t="str">
        <v>https://re.jrc.ec.europa.eu/api/v5_3/PVcalc?lat=30.0444&amp;lon=31.2357&amp;peakpower=1&amp;loss=14&amp;angle=30&amp;aspect=60&amp;outputformat=json&amp;raddatabase=PVGIS-SARAH3&amp;pvtechchoice=crystSi&amp;mountingplace=free&amp;usehorizon=1</v>
      </c>
    </row>
    <row r="2069">
      <c r="A2069" t="n">
        <v>30</v>
      </c>
      <c r="B2069" t="n">
        <v>240</v>
      </c>
      <c r="C2069" t="n">
        <v>8</v>
      </c>
      <c r="D2069" s="218" t="n">
        <v>167.37</v>
      </c>
      <c r="E2069" s="218" t="n">
        <v>5.4</v>
      </c>
      <c r="F2069" t="str">
        <v>https://re.jrc.ec.europa.eu/api/v5_3/PVcalc?lat=30.0444&amp;lon=31.2357&amp;peakpower=1&amp;loss=14&amp;angle=30&amp;aspect=60&amp;outputformat=json&amp;raddatabase=PVGIS-SARAH3&amp;pvtechchoice=crystSi&amp;mountingplace=free&amp;usehorizon=1</v>
      </c>
    </row>
    <row r="2070">
      <c r="A2070" t="n">
        <v>30</v>
      </c>
      <c r="B2070" t="n">
        <v>240</v>
      </c>
      <c r="C2070" t="n">
        <v>9</v>
      </c>
      <c r="D2070" s="218" t="n">
        <v>151.69</v>
      </c>
      <c r="E2070" s="218" t="n">
        <v>5.06</v>
      </c>
      <c r="F2070" t="str">
        <v>https://re.jrc.ec.europa.eu/api/v5_3/PVcalc?lat=30.0444&amp;lon=31.2357&amp;peakpower=1&amp;loss=14&amp;angle=30&amp;aspect=60&amp;outputformat=json&amp;raddatabase=PVGIS-SARAH3&amp;pvtechchoice=crystSi&amp;mountingplace=free&amp;usehorizon=1</v>
      </c>
    </row>
    <row r="2071">
      <c r="A2071" t="n">
        <v>30</v>
      </c>
      <c r="B2071" t="n">
        <v>240</v>
      </c>
      <c r="C2071" t="n">
        <v>10</v>
      </c>
      <c r="D2071" s="218" t="n">
        <v>134.47</v>
      </c>
      <c r="E2071" s="218" t="n">
        <v>4.34</v>
      </c>
      <c r="F2071" t="str">
        <v>https://re.jrc.ec.europa.eu/api/v5_3/PVcalc?lat=30.0444&amp;lon=31.2357&amp;peakpower=1&amp;loss=14&amp;angle=30&amp;aspect=60&amp;outputformat=json&amp;raddatabase=PVGIS-SARAH3&amp;pvtechchoice=crystSi&amp;mountingplace=free&amp;usehorizon=1</v>
      </c>
    </row>
    <row r="2072">
      <c r="A2072" t="n">
        <v>30</v>
      </c>
      <c r="B2072" t="n">
        <v>240</v>
      </c>
      <c r="C2072" t="n">
        <v>11</v>
      </c>
      <c r="D2072" s="218" t="n">
        <v>111.64</v>
      </c>
      <c r="E2072" s="218" t="n">
        <v>3.72</v>
      </c>
      <c r="F2072" t="str">
        <v>https://re.jrc.ec.europa.eu/api/v5_3/PVcalc?lat=30.0444&amp;lon=31.2357&amp;peakpower=1&amp;loss=14&amp;angle=30&amp;aspect=60&amp;outputformat=json&amp;raddatabase=PVGIS-SARAH3&amp;pvtechchoice=crystSi&amp;mountingplace=free&amp;usehorizon=1</v>
      </c>
    </row>
    <row r="2073">
      <c r="A2073" t="n">
        <v>30</v>
      </c>
      <c r="B2073" t="n">
        <v>240</v>
      </c>
      <c r="C2073" t="n">
        <v>12</v>
      </c>
      <c r="D2073" s="218" t="n">
        <v>102.73</v>
      </c>
      <c r="E2073" s="218" t="n">
        <v>3.31</v>
      </c>
      <c r="F2073" t="str">
        <v>https://re.jrc.ec.europa.eu/api/v5_3/PVcalc?lat=30.0444&amp;lon=31.2357&amp;peakpower=1&amp;loss=14&amp;angle=30&amp;aspect=60&amp;outputformat=json&amp;raddatabase=PVGIS-SARAH3&amp;pvtechchoice=crystSi&amp;mountingplace=free&amp;usehorizon=1</v>
      </c>
    </row>
    <row r="2074">
      <c r="A2074" t="n">
        <v>30</v>
      </c>
      <c r="B2074" t="n">
        <v>255</v>
      </c>
      <c r="C2074" t="n">
        <v>1</v>
      </c>
      <c r="D2074" s="218" t="n">
        <v>93.88</v>
      </c>
      <c r="E2074" s="218" t="n">
        <v>3.03</v>
      </c>
      <c r="F2074" t="str">
        <v>https://re.jrc.ec.europa.eu/api/v5_3/PVcalc?lat=30.0444&amp;lon=31.2357&amp;peakpower=1&amp;loss=14&amp;angle=30&amp;aspect=75&amp;outputformat=json&amp;raddatabase=PVGIS-SARAH3&amp;pvtechchoice=crystSi&amp;mountingplace=free&amp;usehorizon=1</v>
      </c>
    </row>
    <row r="2075">
      <c r="A2075" t="n">
        <v>30</v>
      </c>
      <c r="B2075" t="n">
        <v>255</v>
      </c>
      <c r="C2075" t="n">
        <v>2</v>
      </c>
      <c r="D2075" s="218" t="n">
        <v>100.85</v>
      </c>
      <c r="E2075" s="218" t="n">
        <v>3.6</v>
      </c>
      <c r="F2075" t="str">
        <v>https://re.jrc.ec.europa.eu/api/v5_3/PVcalc?lat=30.0444&amp;lon=31.2357&amp;peakpower=1&amp;loss=14&amp;angle=30&amp;aspect=75&amp;outputformat=json&amp;raddatabase=PVGIS-SARAH3&amp;pvtechchoice=crystSi&amp;mountingplace=free&amp;usehorizon=1</v>
      </c>
    </row>
    <row r="2076">
      <c r="A2076" t="n">
        <v>30</v>
      </c>
      <c r="B2076" t="n">
        <v>255</v>
      </c>
      <c r="C2076" t="n">
        <v>3</v>
      </c>
      <c r="D2076" s="218" t="n">
        <v>139.82</v>
      </c>
      <c r="E2076" s="218" t="n">
        <v>4.51</v>
      </c>
      <c r="F2076" t="str">
        <v>https://re.jrc.ec.europa.eu/api/v5_3/PVcalc?lat=30.0444&amp;lon=31.2357&amp;peakpower=1&amp;loss=14&amp;angle=30&amp;aspect=75&amp;outputformat=json&amp;raddatabase=PVGIS-SARAH3&amp;pvtechchoice=crystSi&amp;mountingplace=free&amp;usehorizon=1</v>
      </c>
    </row>
    <row r="2077">
      <c r="A2077" t="n">
        <v>30</v>
      </c>
      <c r="B2077" t="n">
        <v>255</v>
      </c>
      <c r="C2077" t="n">
        <v>4</v>
      </c>
      <c r="D2077" s="218" t="n">
        <v>152.06</v>
      </c>
      <c r="E2077" s="218" t="n">
        <v>5.07</v>
      </c>
      <c r="F2077" t="str">
        <v>https://re.jrc.ec.europa.eu/api/v5_3/PVcalc?lat=30.0444&amp;lon=31.2357&amp;peakpower=1&amp;loss=14&amp;angle=30&amp;aspect=75&amp;outputformat=json&amp;raddatabase=PVGIS-SARAH3&amp;pvtechchoice=crystSi&amp;mountingplace=free&amp;usehorizon=1</v>
      </c>
    </row>
    <row r="2078">
      <c r="A2078" t="n">
        <v>30</v>
      </c>
      <c r="B2078" t="n">
        <v>255</v>
      </c>
      <c r="C2078" t="n">
        <v>5</v>
      </c>
      <c r="D2078" s="218" t="n">
        <v>165.17</v>
      </c>
      <c r="E2078" s="218" t="n">
        <v>5.33</v>
      </c>
      <c r="F2078" t="str">
        <v>https://re.jrc.ec.europa.eu/api/v5_3/PVcalc?lat=30.0444&amp;lon=31.2357&amp;peakpower=1&amp;loss=14&amp;angle=30&amp;aspect=75&amp;outputformat=json&amp;raddatabase=PVGIS-SARAH3&amp;pvtechchoice=crystSi&amp;mountingplace=free&amp;usehorizon=1</v>
      </c>
    </row>
    <row r="2079">
      <c r="A2079" t="n">
        <v>30</v>
      </c>
      <c r="B2079" t="n">
        <v>255</v>
      </c>
      <c r="C2079" t="n">
        <v>6</v>
      </c>
      <c r="D2079" s="218" t="n">
        <v>169.4</v>
      </c>
      <c r="E2079" s="218" t="n">
        <v>5.65</v>
      </c>
      <c r="F2079" t="str">
        <v>https://re.jrc.ec.europa.eu/api/v5_3/PVcalc?lat=30.0444&amp;lon=31.2357&amp;peakpower=1&amp;loss=14&amp;angle=30&amp;aspect=75&amp;outputformat=json&amp;raddatabase=PVGIS-SARAH3&amp;pvtechchoice=crystSi&amp;mountingplace=free&amp;usehorizon=1</v>
      </c>
    </row>
    <row r="2080">
      <c r="A2080" t="n">
        <v>30</v>
      </c>
      <c r="B2080" t="n">
        <v>255</v>
      </c>
      <c r="C2080" t="n">
        <v>7</v>
      </c>
      <c r="D2080" s="218" t="n">
        <v>174.01</v>
      </c>
      <c r="E2080" s="218" t="n">
        <v>5.61</v>
      </c>
      <c r="F2080" t="str">
        <v>https://re.jrc.ec.europa.eu/api/v5_3/PVcalc?lat=30.0444&amp;lon=31.2357&amp;peakpower=1&amp;loss=14&amp;angle=30&amp;aspect=75&amp;outputformat=json&amp;raddatabase=PVGIS-SARAH3&amp;pvtechchoice=crystSi&amp;mountingplace=free&amp;usehorizon=1</v>
      </c>
    </row>
    <row r="2081">
      <c r="A2081" t="n">
        <v>30</v>
      </c>
      <c r="B2081" t="n">
        <v>255</v>
      </c>
      <c r="C2081" t="n">
        <v>8</v>
      </c>
      <c r="D2081" s="218" t="n">
        <v>164.97</v>
      </c>
      <c r="E2081" s="218" t="n">
        <v>5.32</v>
      </c>
      <c r="F2081" t="str">
        <v>https://re.jrc.ec.europa.eu/api/v5_3/PVcalc?lat=30.0444&amp;lon=31.2357&amp;peakpower=1&amp;loss=14&amp;angle=30&amp;aspect=75&amp;outputformat=json&amp;raddatabase=PVGIS-SARAH3&amp;pvtechchoice=crystSi&amp;mountingplace=free&amp;usehorizon=1</v>
      </c>
    </row>
    <row r="2082">
      <c r="A2082" t="n">
        <v>30</v>
      </c>
      <c r="B2082" t="n">
        <v>255</v>
      </c>
      <c r="C2082" t="n">
        <v>9</v>
      </c>
      <c r="D2082" s="218" t="n">
        <v>145.44</v>
      </c>
      <c r="E2082" s="218" t="n">
        <v>4.85</v>
      </c>
      <c r="F2082" t="str">
        <v>https://re.jrc.ec.europa.eu/api/v5_3/PVcalc?lat=30.0444&amp;lon=31.2357&amp;peakpower=1&amp;loss=14&amp;angle=30&amp;aspect=75&amp;outputformat=json&amp;raddatabase=PVGIS-SARAH3&amp;pvtechchoice=crystSi&amp;mountingplace=free&amp;usehorizon=1</v>
      </c>
    </row>
    <row r="2083">
      <c r="A2083" t="n">
        <v>30</v>
      </c>
      <c r="B2083" t="n">
        <v>255</v>
      </c>
      <c r="C2083" t="n">
        <v>10</v>
      </c>
      <c r="D2083" s="218" t="n">
        <v>124.7</v>
      </c>
      <c r="E2083" s="218" t="n">
        <v>4.02</v>
      </c>
      <c r="F2083" t="str">
        <v>https://re.jrc.ec.europa.eu/api/v5_3/PVcalc?lat=30.0444&amp;lon=31.2357&amp;peakpower=1&amp;loss=14&amp;angle=30&amp;aspect=75&amp;outputformat=json&amp;raddatabase=PVGIS-SARAH3&amp;pvtechchoice=crystSi&amp;mountingplace=free&amp;usehorizon=1</v>
      </c>
    </row>
    <row r="2084">
      <c r="A2084" t="n">
        <v>30</v>
      </c>
      <c r="B2084" t="n">
        <v>255</v>
      </c>
      <c r="C2084" t="n">
        <v>11</v>
      </c>
      <c r="D2084" s="218" t="n">
        <v>100.49</v>
      </c>
      <c r="E2084" s="218" t="n">
        <v>3.35</v>
      </c>
      <c r="F2084" t="str">
        <v>https://re.jrc.ec.europa.eu/api/v5_3/PVcalc?lat=30.0444&amp;lon=31.2357&amp;peakpower=1&amp;loss=14&amp;angle=30&amp;aspect=75&amp;outputformat=json&amp;raddatabase=PVGIS-SARAH3&amp;pvtechchoice=crystSi&amp;mountingplace=free&amp;usehorizon=1</v>
      </c>
    </row>
    <row r="2085">
      <c r="A2085" t="n">
        <v>30</v>
      </c>
      <c r="B2085" t="n">
        <v>255</v>
      </c>
      <c r="C2085" t="n">
        <v>12</v>
      </c>
      <c r="D2085" s="218" t="n">
        <v>91.07</v>
      </c>
      <c r="E2085" s="218" t="n">
        <v>2.94</v>
      </c>
      <c r="F2085" t="str">
        <v>https://re.jrc.ec.europa.eu/api/v5_3/PVcalc?lat=30.0444&amp;lon=31.2357&amp;peakpower=1&amp;loss=14&amp;angle=30&amp;aspect=75&amp;outputformat=json&amp;raddatabase=PVGIS-SARAH3&amp;pvtechchoice=crystSi&amp;mountingplace=free&amp;usehorizon=1</v>
      </c>
    </row>
    <row r="2086">
      <c r="A2086" t="n">
        <v>30</v>
      </c>
      <c r="B2086" t="n">
        <v>270</v>
      </c>
      <c r="C2086" t="n">
        <v>1</v>
      </c>
      <c r="D2086" s="218" t="n">
        <v>81.63</v>
      </c>
      <c r="E2086" s="218" t="n">
        <v>2.63</v>
      </c>
      <c r="F2086" t="str">
        <v>https://re.jrc.ec.europa.eu/api/v5_3/PVcalc?lat=30.0444&amp;lon=31.2357&amp;peakpower=1&amp;loss=14&amp;angle=30&amp;aspect=90&amp;outputformat=json&amp;raddatabase=PVGIS-SARAH3&amp;pvtechchoice=crystSi&amp;mountingplace=free&amp;usehorizon=1</v>
      </c>
    </row>
    <row r="2087">
      <c r="A2087" t="n">
        <v>30</v>
      </c>
      <c r="B2087" t="n">
        <v>270</v>
      </c>
      <c r="C2087" t="n">
        <v>2</v>
      </c>
      <c r="D2087" s="218" t="n">
        <v>91.28</v>
      </c>
      <c r="E2087" s="218" t="n">
        <v>3.26</v>
      </c>
      <c r="F2087" t="str">
        <v>https://re.jrc.ec.europa.eu/api/v5_3/PVcalc?lat=30.0444&amp;lon=31.2357&amp;peakpower=1&amp;loss=14&amp;angle=30&amp;aspect=90&amp;outputformat=json&amp;raddatabase=PVGIS-SARAH3&amp;pvtechchoice=crystSi&amp;mountingplace=free&amp;usehorizon=1</v>
      </c>
    </row>
    <row r="2088">
      <c r="A2088" t="n">
        <v>30</v>
      </c>
      <c r="B2088" t="n">
        <v>270</v>
      </c>
      <c r="C2088" t="n">
        <v>3</v>
      </c>
      <c r="D2088" s="218" t="n">
        <v>131.86</v>
      </c>
      <c r="E2088" s="218" t="n">
        <v>4.25</v>
      </c>
      <c r="F2088" t="str">
        <v>https://re.jrc.ec.europa.eu/api/v5_3/PVcalc?lat=30.0444&amp;lon=31.2357&amp;peakpower=1&amp;loss=14&amp;angle=30&amp;aspect=90&amp;outputformat=json&amp;raddatabase=PVGIS-SARAH3&amp;pvtechchoice=crystSi&amp;mountingplace=free&amp;usehorizon=1</v>
      </c>
    </row>
    <row r="2089">
      <c r="A2089" t="n">
        <v>30</v>
      </c>
      <c r="B2089" t="n">
        <v>270</v>
      </c>
      <c r="C2089" t="n">
        <v>4</v>
      </c>
      <c r="D2089" s="218" t="n">
        <v>147.44</v>
      </c>
      <c r="E2089" s="218" t="n">
        <v>4.91</v>
      </c>
      <c r="F2089" t="str">
        <v>https://re.jrc.ec.europa.eu/api/v5_3/PVcalc?lat=30.0444&amp;lon=31.2357&amp;peakpower=1&amp;loss=14&amp;angle=30&amp;aspect=90&amp;outputformat=json&amp;raddatabase=PVGIS-SARAH3&amp;pvtechchoice=crystSi&amp;mountingplace=free&amp;usehorizon=1</v>
      </c>
    </row>
    <row r="2090">
      <c r="A2090" t="n">
        <v>30</v>
      </c>
      <c r="B2090" t="n">
        <v>270</v>
      </c>
      <c r="C2090" t="n">
        <v>5</v>
      </c>
      <c r="D2090" s="218" t="n">
        <v>163.95</v>
      </c>
      <c r="E2090" s="218" t="n">
        <v>5.29</v>
      </c>
      <c r="F2090" t="str">
        <v>https://re.jrc.ec.europa.eu/api/v5_3/PVcalc?lat=30.0444&amp;lon=31.2357&amp;peakpower=1&amp;loss=14&amp;angle=30&amp;aspect=90&amp;outputformat=json&amp;raddatabase=PVGIS-SARAH3&amp;pvtechchoice=crystSi&amp;mountingplace=free&amp;usehorizon=1</v>
      </c>
    </row>
    <row r="2091">
      <c r="A2091" t="n">
        <v>30</v>
      </c>
      <c r="B2091" t="n">
        <v>270</v>
      </c>
      <c r="C2091" t="n">
        <v>6</v>
      </c>
      <c r="D2091" s="218" t="n">
        <v>170.21</v>
      </c>
      <c r="E2091" s="218" t="n">
        <v>5.67</v>
      </c>
      <c r="F2091" t="str">
        <v>https://re.jrc.ec.europa.eu/api/v5_3/PVcalc?lat=30.0444&amp;lon=31.2357&amp;peakpower=1&amp;loss=14&amp;angle=30&amp;aspect=90&amp;outputformat=json&amp;raddatabase=PVGIS-SARAH3&amp;pvtechchoice=crystSi&amp;mountingplace=free&amp;usehorizon=1</v>
      </c>
    </row>
    <row r="2092">
      <c r="A2092" t="n">
        <v>30</v>
      </c>
      <c r="B2092" t="n">
        <v>270</v>
      </c>
      <c r="C2092" t="n">
        <v>7</v>
      </c>
      <c r="D2092" s="218" t="n">
        <v>174.02</v>
      </c>
      <c r="E2092" s="218" t="n">
        <v>5.61</v>
      </c>
      <c r="F2092" t="str">
        <v>https://re.jrc.ec.europa.eu/api/v5_3/PVcalc?lat=30.0444&amp;lon=31.2357&amp;peakpower=1&amp;loss=14&amp;angle=30&amp;aspect=90&amp;outputformat=json&amp;raddatabase=PVGIS-SARAH3&amp;pvtechchoice=crystSi&amp;mountingplace=free&amp;usehorizon=1</v>
      </c>
    </row>
    <row r="2093">
      <c r="A2093" t="n">
        <v>30</v>
      </c>
      <c r="B2093" t="n">
        <v>270</v>
      </c>
      <c r="C2093" t="n">
        <v>8</v>
      </c>
      <c r="D2093" s="218" t="n">
        <v>161.63</v>
      </c>
      <c r="E2093" s="218" t="n">
        <v>5.21</v>
      </c>
      <c r="F2093" t="str">
        <v>https://re.jrc.ec.europa.eu/api/v5_3/PVcalc?lat=30.0444&amp;lon=31.2357&amp;peakpower=1&amp;loss=14&amp;angle=30&amp;aspect=90&amp;outputformat=json&amp;raddatabase=PVGIS-SARAH3&amp;pvtechchoice=crystSi&amp;mountingplace=free&amp;usehorizon=1</v>
      </c>
    </row>
    <row r="2094">
      <c r="A2094" t="n">
        <v>30</v>
      </c>
      <c r="B2094" t="n">
        <v>270</v>
      </c>
      <c r="C2094" t="n">
        <v>9</v>
      </c>
      <c r="D2094" s="218" t="n">
        <v>138.19</v>
      </c>
      <c r="E2094" s="218" t="n">
        <v>4.61</v>
      </c>
      <c r="F2094" t="str">
        <v>https://re.jrc.ec.europa.eu/api/v5_3/PVcalc?lat=30.0444&amp;lon=31.2357&amp;peakpower=1&amp;loss=14&amp;angle=30&amp;aspect=90&amp;outputformat=json&amp;raddatabase=PVGIS-SARAH3&amp;pvtechchoice=crystSi&amp;mountingplace=free&amp;usehorizon=1</v>
      </c>
    </row>
    <row r="2095">
      <c r="A2095" t="n">
        <v>30</v>
      </c>
      <c r="B2095" t="n">
        <v>270</v>
      </c>
      <c r="C2095" t="n">
        <v>10</v>
      </c>
      <c r="D2095" s="218" t="n">
        <v>114.74</v>
      </c>
      <c r="E2095" s="218" t="n">
        <v>3.7</v>
      </c>
      <c r="F2095" t="str">
        <v>https://re.jrc.ec.europa.eu/api/v5_3/PVcalc?lat=30.0444&amp;lon=31.2357&amp;peakpower=1&amp;loss=14&amp;angle=30&amp;aspect=90&amp;outputformat=json&amp;raddatabase=PVGIS-SARAH3&amp;pvtechchoice=crystSi&amp;mountingplace=free&amp;usehorizon=1</v>
      </c>
    </row>
    <row r="2096">
      <c r="A2096" t="n">
        <v>30</v>
      </c>
      <c r="B2096" t="n">
        <v>270</v>
      </c>
      <c r="C2096" t="n">
        <v>11</v>
      </c>
      <c r="D2096" s="218" t="n">
        <v>88.79</v>
      </c>
      <c r="E2096" s="218" t="n">
        <v>2.96</v>
      </c>
      <c r="F2096" t="str">
        <v>https://re.jrc.ec.europa.eu/api/v5_3/PVcalc?lat=30.0444&amp;lon=31.2357&amp;peakpower=1&amp;loss=14&amp;angle=30&amp;aspect=90&amp;outputformat=json&amp;raddatabase=PVGIS-SARAH3&amp;pvtechchoice=crystSi&amp;mountingplace=free&amp;usehorizon=1</v>
      </c>
    </row>
    <row r="2097">
      <c r="A2097" t="n">
        <v>30</v>
      </c>
      <c r="B2097" t="n">
        <v>270</v>
      </c>
      <c r="C2097" t="n">
        <v>12</v>
      </c>
      <c r="D2097" s="218" t="n">
        <v>78.09</v>
      </c>
      <c r="E2097" s="218" t="n">
        <v>2.52</v>
      </c>
      <c r="F2097" t="str">
        <v>https://re.jrc.ec.europa.eu/api/v5_3/PVcalc?lat=30.0444&amp;lon=31.2357&amp;peakpower=1&amp;loss=14&amp;angle=30&amp;aspect=90&amp;outputformat=json&amp;raddatabase=PVGIS-SARAH3&amp;pvtechchoice=crystSi&amp;mountingplace=free&amp;usehorizon=1</v>
      </c>
    </row>
    <row r="2098">
      <c r="A2098" t="n">
        <v>30</v>
      </c>
      <c r="B2098" t="n">
        <v>285</v>
      </c>
      <c r="C2098" t="n">
        <v>1</v>
      </c>
      <c r="D2098" s="218" t="n">
        <v>70.24</v>
      </c>
      <c r="E2098" s="218" t="n">
        <v>2.27</v>
      </c>
      <c r="F2098" t="str">
        <v>https://re.jrc.ec.europa.eu/api/v5_3/PVcalc?lat=30.0444&amp;lon=31.2357&amp;peakpower=1&amp;loss=14&amp;angle=30&amp;aspect=105&amp;outputformat=json&amp;raddatabase=PVGIS-SARAH3&amp;pvtechchoice=crystSi&amp;mountingplace=free&amp;usehorizon=1</v>
      </c>
    </row>
    <row r="2099">
      <c r="A2099" t="n">
        <v>30</v>
      </c>
      <c r="B2099" t="n">
        <v>285</v>
      </c>
      <c r="C2099" t="n">
        <v>2</v>
      </c>
      <c r="D2099" s="218" t="n">
        <v>81.69</v>
      </c>
      <c r="E2099" s="218" t="n">
        <v>2.92</v>
      </c>
      <c r="F2099" t="str">
        <v>https://re.jrc.ec.europa.eu/api/v5_3/PVcalc?lat=30.0444&amp;lon=31.2357&amp;peakpower=1&amp;loss=14&amp;angle=30&amp;aspect=105&amp;outputformat=json&amp;raddatabase=PVGIS-SARAH3&amp;pvtechchoice=crystSi&amp;mountingplace=free&amp;usehorizon=1</v>
      </c>
    </row>
    <row r="2100">
      <c r="A2100" t="n">
        <v>30</v>
      </c>
      <c r="B2100" t="n">
        <v>285</v>
      </c>
      <c r="C2100" t="n">
        <v>3</v>
      </c>
      <c r="D2100" s="218" t="n">
        <v>122.93</v>
      </c>
      <c r="E2100" s="218" t="n">
        <v>3.97</v>
      </c>
      <c r="F2100" t="str">
        <v>https://re.jrc.ec.europa.eu/api/v5_3/PVcalc?lat=30.0444&amp;lon=31.2357&amp;peakpower=1&amp;loss=14&amp;angle=30&amp;aspect=105&amp;outputformat=json&amp;raddatabase=PVGIS-SARAH3&amp;pvtechchoice=crystSi&amp;mountingplace=free&amp;usehorizon=1</v>
      </c>
    </row>
    <row r="2101">
      <c r="A2101" t="n">
        <v>30</v>
      </c>
      <c r="B2101" t="n">
        <v>285</v>
      </c>
      <c r="C2101" t="n">
        <v>4</v>
      </c>
      <c r="D2101" s="218" t="n">
        <v>142.27</v>
      </c>
      <c r="E2101" s="218" t="n">
        <v>4.74</v>
      </c>
      <c r="F2101" t="str">
        <v>https://re.jrc.ec.europa.eu/api/v5_3/PVcalc?lat=30.0444&amp;lon=31.2357&amp;peakpower=1&amp;loss=14&amp;angle=30&amp;aspect=105&amp;outputformat=json&amp;raddatabase=PVGIS-SARAH3&amp;pvtechchoice=crystSi&amp;mountingplace=free&amp;usehorizon=1</v>
      </c>
    </row>
    <row r="2102">
      <c r="A2102" t="n">
        <v>30</v>
      </c>
      <c r="B2102" t="n">
        <v>285</v>
      </c>
      <c r="C2102" t="n">
        <v>5</v>
      </c>
      <c r="D2102" s="218" t="n">
        <v>162.14</v>
      </c>
      <c r="E2102" s="218" t="n">
        <v>5.23</v>
      </c>
      <c r="F2102" t="str">
        <v>https://re.jrc.ec.europa.eu/api/v5_3/PVcalc?lat=30.0444&amp;lon=31.2357&amp;peakpower=1&amp;loss=14&amp;angle=30&amp;aspect=105&amp;outputformat=json&amp;raddatabase=PVGIS-SARAH3&amp;pvtechchoice=crystSi&amp;mountingplace=free&amp;usehorizon=1</v>
      </c>
    </row>
    <row r="2103">
      <c r="A2103" t="n">
        <v>30</v>
      </c>
      <c r="B2103" t="n">
        <v>285</v>
      </c>
      <c r="C2103" t="n">
        <v>6</v>
      </c>
      <c r="D2103" s="218" t="n">
        <v>170.26</v>
      </c>
      <c r="E2103" s="218" t="n">
        <v>5.68</v>
      </c>
      <c r="F2103" t="str">
        <v>https://re.jrc.ec.europa.eu/api/v5_3/PVcalc?lat=30.0444&amp;lon=31.2357&amp;peakpower=1&amp;loss=14&amp;angle=30&amp;aspect=105&amp;outputformat=json&amp;raddatabase=PVGIS-SARAH3&amp;pvtechchoice=crystSi&amp;mountingplace=free&amp;usehorizon=1</v>
      </c>
    </row>
    <row r="2104">
      <c r="A2104" t="n">
        <v>30</v>
      </c>
      <c r="B2104" t="n">
        <v>285</v>
      </c>
      <c r="C2104" t="n">
        <v>7</v>
      </c>
      <c r="D2104" s="218" t="n">
        <v>173.24</v>
      </c>
      <c r="E2104" s="218" t="n">
        <v>5.59</v>
      </c>
      <c r="F2104" t="str">
        <v>https://re.jrc.ec.europa.eu/api/v5_3/PVcalc?lat=30.0444&amp;lon=31.2357&amp;peakpower=1&amp;loss=14&amp;angle=30&amp;aspect=105&amp;outputformat=json&amp;raddatabase=PVGIS-SARAH3&amp;pvtechchoice=crystSi&amp;mountingplace=free&amp;usehorizon=1</v>
      </c>
    </row>
    <row r="2105">
      <c r="A2105" t="n">
        <v>30</v>
      </c>
      <c r="B2105" t="n">
        <v>285</v>
      </c>
      <c r="C2105" t="n">
        <v>8</v>
      </c>
      <c r="D2105" s="218" t="n">
        <v>157.5</v>
      </c>
      <c r="E2105" s="218" t="n">
        <v>5.08</v>
      </c>
      <c r="F2105" t="str">
        <v>https://re.jrc.ec.europa.eu/api/v5_3/PVcalc?lat=30.0444&amp;lon=31.2357&amp;peakpower=1&amp;loss=14&amp;angle=30&amp;aspect=105&amp;outputformat=json&amp;raddatabase=PVGIS-SARAH3&amp;pvtechchoice=crystSi&amp;mountingplace=free&amp;usehorizon=1</v>
      </c>
    </row>
    <row r="2106">
      <c r="A2106" t="n">
        <v>30</v>
      </c>
      <c r="B2106" t="n">
        <v>285</v>
      </c>
      <c r="C2106" t="n">
        <v>9</v>
      </c>
      <c r="D2106" s="218" t="n">
        <v>130.39</v>
      </c>
      <c r="E2106" s="218" t="n">
        <v>4.35</v>
      </c>
      <c r="F2106" t="str">
        <v>https://re.jrc.ec.europa.eu/api/v5_3/PVcalc?lat=30.0444&amp;lon=31.2357&amp;peakpower=1&amp;loss=14&amp;angle=30&amp;aspect=105&amp;outputformat=json&amp;raddatabase=PVGIS-SARAH3&amp;pvtechchoice=crystSi&amp;mountingplace=free&amp;usehorizon=1</v>
      </c>
    </row>
    <row r="2107">
      <c r="A2107" t="n">
        <v>30</v>
      </c>
      <c r="B2107" t="n">
        <v>285</v>
      </c>
      <c r="C2107" t="n">
        <v>10</v>
      </c>
      <c r="D2107" s="218" t="n">
        <v>103.97</v>
      </c>
      <c r="E2107" s="218" t="n">
        <v>3.35</v>
      </c>
      <c r="F2107" t="str">
        <v>https://re.jrc.ec.europa.eu/api/v5_3/PVcalc?lat=30.0444&amp;lon=31.2357&amp;peakpower=1&amp;loss=14&amp;angle=30&amp;aspect=105&amp;outputformat=json&amp;raddatabase=PVGIS-SARAH3&amp;pvtechchoice=crystSi&amp;mountingplace=free&amp;usehorizon=1</v>
      </c>
    </row>
    <row r="2108">
      <c r="A2108" t="n">
        <v>30</v>
      </c>
      <c r="B2108" t="n">
        <v>285</v>
      </c>
      <c r="C2108" t="n">
        <v>11</v>
      </c>
      <c r="D2108" s="218" t="n">
        <v>76.18</v>
      </c>
      <c r="E2108" s="218" t="n">
        <v>2.54</v>
      </c>
      <c r="F2108" t="str">
        <v>https://re.jrc.ec.europa.eu/api/v5_3/PVcalc?lat=30.0444&amp;lon=31.2357&amp;peakpower=1&amp;loss=14&amp;angle=30&amp;aspect=105&amp;outputformat=json&amp;raddatabase=PVGIS-SARAH3&amp;pvtechchoice=crystSi&amp;mountingplace=free&amp;usehorizon=1</v>
      </c>
    </row>
    <row r="2109">
      <c r="A2109" t="n">
        <v>30</v>
      </c>
      <c r="B2109" t="n">
        <v>285</v>
      </c>
      <c r="C2109" t="n">
        <v>12</v>
      </c>
      <c r="D2109" s="218" t="n">
        <v>65.8</v>
      </c>
      <c r="E2109" s="218" t="n">
        <v>2.12</v>
      </c>
      <c r="F2109" t="str">
        <v>https://re.jrc.ec.europa.eu/api/v5_3/PVcalc?lat=30.0444&amp;lon=31.2357&amp;peakpower=1&amp;loss=14&amp;angle=30&amp;aspect=105&amp;outputformat=json&amp;raddatabase=PVGIS-SARAH3&amp;pvtechchoice=crystSi&amp;mountingplace=free&amp;usehorizon=1</v>
      </c>
    </row>
    <row r="2110">
      <c r="A2110" t="n">
        <v>30</v>
      </c>
      <c r="B2110" t="n">
        <v>300</v>
      </c>
      <c r="C2110" t="n">
        <v>1</v>
      </c>
      <c r="D2110" s="218" t="n">
        <v>58.2</v>
      </c>
      <c r="E2110" s="218" t="n">
        <v>1.88</v>
      </c>
      <c r="F2110" t="str">
        <v>https://re.jrc.ec.europa.eu/api/v5_3/PVcalc?lat=30.0444&amp;lon=31.2357&amp;peakpower=1&amp;loss=14&amp;angle=30&amp;aspect=120&amp;outputformat=json&amp;raddatabase=PVGIS-SARAH3&amp;pvtechchoice=crystSi&amp;mountingplace=free&amp;usehorizon=1</v>
      </c>
    </row>
    <row r="2111">
      <c r="A2111" t="n">
        <v>30</v>
      </c>
      <c r="B2111" t="n">
        <v>300</v>
      </c>
      <c r="C2111" t="n">
        <v>2</v>
      </c>
      <c r="D2111" s="218" t="n">
        <v>72.15</v>
      </c>
      <c r="E2111" s="218" t="n">
        <v>2.58</v>
      </c>
      <c r="F2111" t="str">
        <v>https://re.jrc.ec.europa.eu/api/v5_3/PVcalc?lat=30.0444&amp;lon=31.2357&amp;peakpower=1&amp;loss=14&amp;angle=30&amp;aspect=120&amp;outputformat=json&amp;raddatabase=PVGIS-SARAH3&amp;pvtechchoice=crystSi&amp;mountingplace=free&amp;usehorizon=1</v>
      </c>
    </row>
    <row r="2112">
      <c r="A2112" t="n">
        <v>30</v>
      </c>
      <c r="B2112" t="n">
        <v>300</v>
      </c>
      <c r="C2112" t="n">
        <v>3</v>
      </c>
      <c r="D2112" s="218" t="n">
        <v>113.47</v>
      </c>
      <c r="E2112" s="218" t="n">
        <v>3.66</v>
      </c>
      <c r="F2112" t="str">
        <v>https://re.jrc.ec.europa.eu/api/v5_3/PVcalc?lat=30.0444&amp;lon=31.2357&amp;peakpower=1&amp;loss=14&amp;angle=30&amp;aspect=120&amp;outputformat=json&amp;raddatabase=PVGIS-SARAH3&amp;pvtechchoice=crystSi&amp;mountingplace=free&amp;usehorizon=1</v>
      </c>
    </row>
    <row r="2113">
      <c r="A2113" t="n">
        <v>30</v>
      </c>
      <c r="B2113" t="n">
        <v>300</v>
      </c>
      <c r="C2113" t="n">
        <v>4</v>
      </c>
      <c r="D2113" s="218" t="n">
        <v>136.85</v>
      </c>
      <c r="E2113" s="218" t="n">
        <v>4.56</v>
      </c>
      <c r="F2113" t="str">
        <v>https://re.jrc.ec.europa.eu/api/v5_3/PVcalc?lat=30.0444&amp;lon=31.2357&amp;peakpower=1&amp;loss=14&amp;angle=30&amp;aspect=120&amp;outputformat=json&amp;raddatabase=PVGIS-SARAH3&amp;pvtechchoice=crystSi&amp;mountingplace=free&amp;usehorizon=1</v>
      </c>
    </row>
    <row r="2114">
      <c r="A2114" t="n">
        <v>30</v>
      </c>
      <c r="B2114" t="n">
        <v>300</v>
      </c>
      <c r="C2114" t="n">
        <v>5</v>
      </c>
      <c r="D2114" s="218" t="n">
        <v>159.45</v>
      </c>
      <c r="E2114" s="218" t="n">
        <v>5.14</v>
      </c>
      <c r="F2114" t="str">
        <v>https://re.jrc.ec.europa.eu/api/v5_3/PVcalc?lat=30.0444&amp;lon=31.2357&amp;peakpower=1&amp;loss=14&amp;angle=30&amp;aspect=120&amp;outputformat=json&amp;raddatabase=PVGIS-SARAH3&amp;pvtechchoice=crystSi&amp;mountingplace=free&amp;usehorizon=1</v>
      </c>
    </row>
    <row r="2115">
      <c r="A2115" t="n">
        <v>30</v>
      </c>
      <c r="B2115" t="n">
        <v>300</v>
      </c>
      <c r="C2115" t="n">
        <v>6</v>
      </c>
      <c r="D2115" s="218" t="n">
        <v>169.18</v>
      </c>
      <c r="E2115" s="218" t="n">
        <v>5.64</v>
      </c>
      <c r="F2115" t="str">
        <v>https://re.jrc.ec.europa.eu/api/v5_3/PVcalc?lat=30.0444&amp;lon=31.2357&amp;peakpower=1&amp;loss=14&amp;angle=30&amp;aspect=120&amp;outputformat=json&amp;raddatabase=PVGIS-SARAH3&amp;pvtechchoice=crystSi&amp;mountingplace=free&amp;usehorizon=1</v>
      </c>
    </row>
    <row r="2116">
      <c r="A2116" t="n">
        <v>30</v>
      </c>
      <c r="B2116" t="n">
        <v>300</v>
      </c>
      <c r="C2116" t="n">
        <v>7</v>
      </c>
      <c r="D2116" s="218" t="n">
        <v>171.36</v>
      </c>
      <c r="E2116" s="218" t="n">
        <v>5.53</v>
      </c>
      <c r="F2116" t="str">
        <v>https://re.jrc.ec.europa.eu/api/v5_3/PVcalc?lat=30.0444&amp;lon=31.2357&amp;peakpower=1&amp;loss=14&amp;angle=30&amp;aspect=120&amp;outputformat=json&amp;raddatabase=PVGIS-SARAH3&amp;pvtechchoice=crystSi&amp;mountingplace=free&amp;usehorizon=1</v>
      </c>
    </row>
    <row r="2117">
      <c r="A2117" t="n">
        <v>30</v>
      </c>
      <c r="B2117" t="n">
        <v>300</v>
      </c>
      <c r="C2117" t="n">
        <v>8</v>
      </c>
      <c r="D2117" s="218" t="n">
        <v>152.9</v>
      </c>
      <c r="E2117" s="218" t="n">
        <v>4.93</v>
      </c>
      <c r="F2117" t="str">
        <v>https://re.jrc.ec.europa.eu/api/v5_3/PVcalc?lat=30.0444&amp;lon=31.2357&amp;peakpower=1&amp;loss=14&amp;angle=30&amp;aspect=120&amp;outputformat=json&amp;raddatabase=PVGIS-SARAH3&amp;pvtechchoice=crystSi&amp;mountingplace=free&amp;usehorizon=1</v>
      </c>
    </row>
    <row r="2118">
      <c r="A2118" t="n">
        <v>30</v>
      </c>
      <c r="B2118" t="n">
        <v>300</v>
      </c>
      <c r="C2118" t="n">
        <v>9</v>
      </c>
      <c r="D2118" s="218" t="n">
        <v>121.98</v>
      </c>
      <c r="E2118" s="218" t="n">
        <v>4.07</v>
      </c>
      <c r="F2118" t="str">
        <v>https://re.jrc.ec.europa.eu/api/v5_3/PVcalc?lat=30.0444&amp;lon=31.2357&amp;peakpower=1&amp;loss=14&amp;angle=30&amp;aspect=120&amp;outputformat=json&amp;raddatabase=PVGIS-SARAH3&amp;pvtechchoice=crystSi&amp;mountingplace=free&amp;usehorizon=1</v>
      </c>
    </row>
    <row r="2119">
      <c r="A2119" t="n">
        <v>30</v>
      </c>
      <c r="B2119" t="n">
        <v>300</v>
      </c>
      <c r="C2119" t="n">
        <v>10</v>
      </c>
      <c r="D2119" s="218" t="n">
        <v>92.59</v>
      </c>
      <c r="E2119" s="218" t="n">
        <v>2.99</v>
      </c>
      <c r="F2119" t="str">
        <v>https://re.jrc.ec.europa.eu/api/v5_3/PVcalc?lat=30.0444&amp;lon=31.2357&amp;peakpower=1&amp;loss=14&amp;angle=30&amp;aspect=120&amp;outputformat=json&amp;raddatabase=PVGIS-SARAH3&amp;pvtechchoice=crystSi&amp;mountingplace=free&amp;usehorizon=1</v>
      </c>
    </row>
    <row r="2120">
      <c r="A2120" t="n">
        <v>30</v>
      </c>
      <c r="B2120" t="n">
        <v>300</v>
      </c>
      <c r="C2120" t="n">
        <v>11</v>
      </c>
      <c r="D2120" s="218" t="n">
        <v>64.1</v>
      </c>
      <c r="E2120" s="218" t="n">
        <v>2.14</v>
      </c>
      <c r="F2120" t="str">
        <v>https://re.jrc.ec.europa.eu/api/v5_3/PVcalc?lat=30.0444&amp;lon=31.2357&amp;peakpower=1&amp;loss=14&amp;angle=30&amp;aspect=120&amp;outputformat=json&amp;raddatabase=PVGIS-SARAH3&amp;pvtechchoice=crystSi&amp;mountingplace=free&amp;usehorizon=1</v>
      </c>
    </row>
    <row r="2121">
      <c r="A2121" t="n">
        <v>30</v>
      </c>
      <c r="B2121" t="n">
        <v>300</v>
      </c>
      <c r="C2121" t="n">
        <v>12</v>
      </c>
      <c r="D2121" s="218" t="n">
        <v>53.3</v>
      </c>
      <c r="E2121" s="218" t="n">
        <v>1.72</v>
      </c>
      <c r="F2121" t="str">
        <v>https://re.jrc.ec.europa.eu/api/v5_3/PVcalc?lat=30.0444&amp;lon=31.2357&amp;peakpower=1&amp;loss=14&amp;angle=30&amp;aspect=120&amp;outputformat=json&amp;raddatabase=PVGIS-SARAH3&amp;pvtechchoice=crystSi&amp;mountingplace=free&amp;usehorizon=1</v>
      </c>
    </row>
    <row r="2122">
      <c r="A2122" t="n">
        <v>30</v>
      </c>
      <c r="B2122" t="n">
        <v>315</v>
      </c>
      <c r="C2122" t="n">
        <v>1</v>
      </c>
      <c r="D2122" s="218" t="n">
        <v>46.88</v>
      </c>
      <c r="E2122" s="218" t="n">
        <v>1.51</v>
      </c>
      <c r="F2122" t="str">
        <v>https://re.jrc.ec.europa.eu/api/v5_3/PVcalc?lat=30.0444&amp;lon=31.2357&amp;peakpower=1&amp;loss=14&amp;angle=30&amp;aspect=135&amp;outputformat=json&amp;raddatabase=PVGIS-SARAH3&amp;pvtechchoice=crystSi&amp;mountingplace=free&amp;usehorizon=1</v>
      </c>
    </row>
    <row r="2123">
      <c r="A2123" t="n">
        <v>30</v>
      </c>
      <c r="B2123" t="n">
        <v>315</v>
      </c>
      <c r="C2123" t="n">
        <v>2</v>
      </c>
      <c r="D2123" s="218" t="n">
        <v>62.74</v>
      </c>
      <c r="E2123" s="218" t="n">
        <v>2.24</v>
      </c>
      <c r="F2123" t="str">
        <v>https://re.jrc.ec.europa.eu/api/v5_3/PVcalc?lat=30.0444&amp;lon=31.2357&amp;peakpower=1&amp;loss=14&amp;angle=30&amp;aspect=135&amp;outputformat=json&amp;raddatabase=PVGIS-SARAH3&amp;pvtechchoice=crystSi&amp;mountingplace=free&amp;usehorizon=1</v>
      </c>
    </row>
    <row r="2124">
      <c r="A2124" t="n">
        <v>30</v>
      </c>
      <c r="B2124" t="n">
        <v>315</v>
      </c>
      <c r="C2124" t="n">
        <v>3</v>
      </c>
      <c r="D2124" s="218" t="n">
        <v>104.14</v>
      </c>
      <c r="E2124" s="218" t="n">
        <v>3.36</v>
      </c>
      <c r="F2124" t="str">
        <v>https://re.jrc.ec.europa.eu/api/v5_3/PVcalc?lat=30.0444&amp;lon=31.2357&amp;peakpower=1&amp;loss=14&amp;angle=30&amp;aspect=135&amp;outputformat=json&amp;raddatabase=PVGIS-SARAH3&amp;pvtechchoice=crystSi&amp;mountingplace=free&amp;usehorizon=1</v>
      </c>
    </row>
    <row r="2125">
      <c r="A2125" t="n">
        <v>30</v>
      </c>
      <c r="B2125" t="n">
        <v>315</v>
      </c>
      <c r="C2125" t="n">
        <v>4</v>
      </c>
      <c r="D2125" s="218" t="n">
        <v>131.44</v>
      </c>
      <c r="E2125" s="218" t="n">
        <v>4.38</v>
      </c>
      <c r="F2125" t="str">
        <v>https://re.jrc.ec.europa.eu/api/v5_3/PVcalc?lat=30.0444&amp;lon=31.2357&amp;peakpower=1&amp;loss=14&amp;angle=30&amp;aspect=135&amp;outputformat=json&amp;raddatabase=PVGIS-SARAH3&amp;pvtechchoice=crystSi&amp;mountingplace=free&amp;usehorizon=1</v>
      </c>
    </row>
    <row r="2126">
      <c r="A2126" t="n">
        <v>30</v>
      </c>
      <c r="B2126" t="n">
        <v>315</v>
      </c>
      <c r="C2126" t="n">
        <v>5</v>
      </c>
      <c r="D2126" s="218" t="n">
        <v>157.47</v>
      </c>
      <c r="E2126" s="218" t="n">
        <v>5.08</v>
      </c>
      <c r="F2126" t="str">
        <v>https://re.jrc.ec.europa.eu/api/v5_3/PVcalc?lat=30.0444&amp;lon=31.2357&amp;peakpower=1&amp;loss=14&amp;angle=30&amp;aspect=135&amp;outputformat=json&amp;raddatabase=PVGIS-SARAH3&amp;pvtechchoice=crystSi&amp;mountingplace=free&amp;usehorizon=1</v>
      </c>
    </row>
    <row r="2127">
      <c r="A2127" t="n">
        <v>30</v>
      </c>
      <c r="B2127" t="n">
        <v>315</v>
      </c>
      <c r="C2127" t="n">
        <v>6</v>
      </c>
      <c r="D2127" s="218" t="n">
        <v>168.83</v>
      </c>
      <c r="E2127" s="218" t="n">
        <v>5.63</v>
      </c>
      <c r="F2127" t="str">
        <v>https://re.jrc.ec.europa.eu/api/v5_3/PVcalc?lat=30.0444&amp;lon=31.2357&amp;peakpower=1&amp;loss=14&amp;angle=30&amp;aspect=135&amp;outputformat=json&amp;raddatabase=PVGIS-SARAH3&amp;pvtechchoice=crystSi&amp;mountingplace=free&amp;usehorizon=1</v>
      </c>
    </row>
    <row r="2128">
      <c r="A2128" t="n">
        <v>30</v>
      </c>
      <c r="B2128" t="n">
        <v>315</v>
      </c>
      <c r="C2128" t="n">
        <v>7</v>
      </c>
      <c r="D2128" s="218" t="n">
        <v>169.89</v>
      </c>
      <c r="E2128" s="218" t="n">
        <v>5.48</v>
      </c>
      <c r="F2128" t="str">
        <v>https://re.jrc.ec.europa.eu/api/v5_3/PVcalc?lat=30.0444&amp;lon=31.2357&amp;peakpower=1&amp;loss=14&amp;angle=30&amp;aspect=135&amp;outputformat=json&amp;raddatabase=PVGIS-SARAH3&amp;pvtechchoice=crystSi&amp;mountingplace=free&amp;usehorizon=1</v>
      </c>
    </row>
    <row r="2129">
      <c r="A2129" t="n">
        <v>30</v>
      </c>
      <c r="B2129" t="n">
        <v>315</v>
      </c>
      <c r="C2129" t="n">
        <v>8</v>
      </c>
      <c r="D2129" s="218" t="n">
        <v>147.93</v>
      </c>
      <c r="E2129" s="218" t="n">
        <v>4.77</v>
      </c>
      <c r="F2129" t="str">
        <v>https://re.jrc.ec.europa.eu/api/v5_3/PVcalc?lat=30.0444&amp;lon=31.2357&amp;peakpower=1&amp;loss=14&amp;angle=30&amp;aspect=135&amp;outputformat=json&amp;raddatabase=PVGIS-SARAH3&amp;pvtechchoice=crystSi&amp;mountingplace=free&amp;usehorizon=1</v>
      </c>
    </row>
    <row r="2130">
      <c r="A2130" t="n">
        <v>30</v>
      </c>
      <c r="B2130" t="n">
        <v>315</v>
      </c>
      <c r="C2130" t="n">
        <v>9</v>
      </c>
      <c r="D2130" s="218" t="n">
        <v>113.65</v>
      </c>
      <c r="E2130" s="218" t="n">
        <v>3.79</v>
      </c>
      <c r="F2130" t="str">
        <v>https://re.jrc.ec.europa.eu/api/v5_3/PVcalc?lat=30.0444&amp;lon=31.2357&amp;peakpower=1&amp;loss=14&amp;angle=30&amp;aspect=135&amp;outputformat=json&amp;raddatabase=PVGIS-SARAH3&amp;pvtechchoice=crystSi&amp;mountingplace=free&amp;usehorizon=1</v>
      </c>
    </row>
    <row r="2131">
      <c r="A2131" t="n">
        <v>30</v>
      </c>
      <c r="B2131" t="n">
        <v>315</v>
      </c>
      <c r="C2131" t="n">
        <v>10</v>
      </c>
      <c r="D2131" s="218" t="n">
        <v>81.39</v>
      </c>
      <c r="E2131" s="218" t="n">
        <v>2.63</v>
      </c>
      <c r="F2131" t="str">
        <v>https://re.jrc.ec.europa.eu/api/v5_3/PVcalc?lat=30.0444&amp;lon=31.2357&amp;peakpower=1&amp;loss=14&amp;angle=30&amp;aspect=135&amp;outputformat=json&amp;raddatabase=PVGIS-SARAH3&amp;pvtechchoice=crystSi&amp;mountingplace=free&amp;usehorizon=1</v>
      </c>
    </row>
    <row r="2132">
      <c r="A2132" t="n">
        <v>30</v>
      </c>
      <c r="B2132" t="n">
        <v>315</v>
      </c>
      <c r="C2132" t="n">
        <v>11</v>
      </c>
      <c r="D2132" s="218" t="n">
        <v>52.39</v>
      </c>
      <c r="E2132" s="218" t="n">
        <v>1.75</v>
      </c>
      <c r="F2132" t="str">
        <v>https://re.jrc.ec.europa.eu/api/v5_3/PVcalc?lat=30.0444&amp;lon=31.2357&amp;peakpower=1&amp;loss=14&amp;angle=30&amp;aspect=135&amp;outputformat=json&amp;raddatabase=PVGIS-SARAH3&amp;pvtechchoice=crystSi&amp;mountingplace=free&amp;usehorizon=1</v>
      </c>
    </row>
    <row r="2133">
      <c r="A2133" t="n">
        <v>30</v>
      </c>
      <c r="B2133" t="n">
        <v>315</v>
      </c>
      <c r="C2133" t="n">
        <v>12</v>
      </c>
      <c r="D2133" s="218" t="n">
        <v>41.47</v>
      </c>
      <c r="E2133" s="218" t="n">
        <v>1.34</v>
      </c>
      <c r="F2133" t="str">
        <v>https://re.jrc.ec.europa.eu/api/v5_3/PVcalc?lat=30.0444&amp;lon=31.2357&amp;peakpower=1&amp;loss=14&amp;angle=30&amp;aspect=135&amp;outputformat=json&amp;raddatabase=PVGIS-SARAH3&amp;pvtechchoice=crystSi&amp;mountingplace=free&amp;usehorizon=1</v>
      </c>
    </row>
    <row r="2134">
      <c r="A2134" t="n">
        <v>30</v>
      </c>
      <c r="B2134" t="n">
        <v>330</v>
      </c>
      <c r="C2134" t="n">
        <v>1</v>
      </c>
      <c r="D2134" s="218" t="n">
        <v>37.08</v>
      </c>
      <c r="E2134" s="218" t="n">
        <v>1.2</v>
      </c>
      <c r="F2134" t="str">
        <v>https://re.jrc.ec.europa.eu/api/v5_3/PVcalc?lat=30.0444&amp;lon=31.2357&amp;peakpower=1&amp;loss=14&amp;angle=30&amp;aspect=150&amp;outputformat=json&amp;raddatabase=PVGIS-SARAH3&amp;pvtechchoice=crystSi&amp;mountingplace=free&amp;usehorizon=1</v>
      </c>
    </row>
    <row r="2135">
      <c r="A2135" t="n">
        <v>30</v>
      </c>
      <c r="B2135" t="n">
        <v>330</v>
      </c>
      <c r="C2135" t="n">
        <v>2</v>
      </c>
      <c r="D2135" s="218" t="n">
        <v>54.15</v>
      </c>
      <c r="E2135" s="218" t="n">
        <v>1.93</v>
      </c>
      <c r="F2135" t="str">
        <v>https://re.jrc.ec.europa.eu/api/v5_3/PVcalc?lat=30.0444&amp;lon=31.2357&amp;peakpower=1&amp;loss=14&amp;angle=30&amp;aspect=150&amp;outputformat=json&amp;raddatabase=PVGIS-SARAH3&amp;pvtechchoice=crystSi&amp;mountingplace=free&amp;usehorizon=1</v>
      </c>
    </row>
    <row r="2136">
      <c r="A2136" t="n">
        <v>30</v>
      </c>
      <c r="B2136" t="n">
        <v>330</v>
      </c>
      <c r="C2136" t="n">
        <v>3</v>
      </c>
      <c r="D2136" s="218" t="n">
        <v>95.78</v>
      </c>
      <c r="E2136" s="218" t="n">
        <v>3.09</v>
      </c>
      <c r="F2136" t="str">
        <v>https://re.jrc.ec.europa.eu/api/v5_3/PVcalc?lat=30.0444&amp;lon=31.2357&amp;peakpower=1&amp;loss=14&amp;angle=30&amp;aspect=150&amp;outputformat=json&amp;raddatabase=PVGIS-SARAH3&amp;pvtechchoice=crystSi&amp;mountingplace=free&amp;usehorizon=1</v>
      </c>
    </row>
    <row r="2137">
      <c r="A2137" t="n">
        <v>30</v>
      </c>
      <c r="B2137" t="n">
        <v>330</v>
      </c>
      <c r="C2137" t="n">
        <v>4</v>
      </c>
      <c r="D2137" s="218" t="n">
        <v>126.94</v>
      </c>
      <c r="E2137" s="218" t="n">
        <v>4.23</v>
      </c>
      <c r="F2137" t="str">
        <v>https://re.jrc.ec.europa.eu/api/v5_3/PVcalc?lat=30.0444&amp;lon=31.2357&amp;peakpower=1&amp;loss=14&amp;angle=30&amp;aspect=150&amp;outputformat=json&amp;raddatabase=PVGIS-SARAH3&amp;pvtechchoice=crystSi&amp;mountingplace=free&amp;usehorizon=1</v>
      </c>
    </row>
    <row r="2138">
      <c r="A2138" t="n">
        <v>30</v>
      </c>
      <c r="B2138" t="n">
        <v>330</v>
      </c>
      <c r="C2138" t="n">
        <v>5</v>
      </c>
      <c r="D2138" s="218" t="n">
        <v>156.09</v>
      </c>
      <c r="E2138" s="218" t="n">
        <v>5.04</v>
      </c>
      <c r="F2138" t="str">
        <v>https://re.jrc.ec.europa.eu/api/v5_3/PVcalc?lat=30.0444&amp;lon=31.2357&amp;peakpower=1&amp;loss=14&amp;angle=30&amp;aspect=150&amp;outputformat=json&amp;raddatabase=PVGIS-SARAH3&amp;pvtechchoice=crystSi&amp;mountingplace=free&amp;usehorizon=1</v>
      </c>
    </row>
    <row r="2139">
      <c r="A2139" t="n">
        <v>30</v>
      </c>
      <c r="B2139" t="n">
        <v>330</v>
      </c>
      <c r="C2139" t="n">
        <v>6</v>
      </c>
      <c r="D2139" s="218" t="n">
        <v>168.64</v>
      </c>
      <c r="E2139" s="218" t="n">
        <v>5.62</v>
      </c>
      <c r="F2139" t="str">
        <v>https://re.jrc.ec.europa.eu/api/v5_3/PVcalc?lat=30.0444&amp;lon=31.2357&amp;peakpower=1&amp;loss=14&amp;angle=30&amp;aspect=150&amp;outputformat=json&amp;raddatabase=PVGIS-SARAH3&amp;pvtechchoice=crystSi&amp;mountingplace=free&amp;usehorizon=1</v>
      </c>
    </row>
    <row r="2140">
      <c r="A2140" t="n">
        <v>30</v>
      </c>
      <c r="B2140" t="n">
        <v>330</v>
      </c>
      <c r="C2140" t="n">
        <v>7</v>
      </c>
      <c r="D2140" s="218" t="n">
        <v>168.61</v>
      </c>
      <c r="E2140" s="218" t="n">
        <v>5.44</v>
      </c>
      <c r="F2140" t="str">
        <v>https://re.jrc.ec.europa.eu/api/v5_3/PVcalc?lat=30.0444&amp;lon=31.2357&amp;peakpower=1&amp;loss=14&amp;angle=30&amp;aspect=150&amp;outputformat=json&amp;raddatabase=PVGIS-SARAH3&amp;pvtechchoice=crystSi&amp;mountingplace=free&amp;usehorizon=1</v>
      </c>
    </row>
    <row r="2141">
      <c r="A2141" t="n">
        <v>30</v>
      </c>
      <c r="B2141" t="n">
        <v>330</v>
      </c>
      <c r="C2141" t="n">
        <v>8</v>
      </c>
      <c r="D2141" s="218" t="n">
        <v>143.88</v>
      </c>
      <c r="E2141" s="218" t="n">
        <v>4.64</v>
      </c>
      <c r="F2141" t="str">
        <v>https://re.jrc.ec.europa.eu/api/v5_3/PVcalc?lat=30.0444&amp;lon=31.2357&amp;peakpower=1&amp;loss=14&amp;angle=30&amp;aspect=150&amp;outputformat=json&amp;raddatabase=PVGIS-SARAH3&amp;pvtechchoice=crystSi&amp;mountingplace=free&amp;usehorizon=1</v>
      </c>
    </row>
    <row r="2142">
      <c r="A2142" t="n">
        <v>30</v>
      </c>
      <c r="B2142" t="n">
        <v>330</v>
      </c>
      <c r="C2142" t="n">
        <v>9</v>
      </c>
      <c r="D2142" s="218" t="n">
        <v>106.22</v>
      </c>
      <c r="E2142" s="218" t="n">
        <v>3.54</v>
      </c>
      <c r="F2142" t="str">
        <v>https://re.jrc.ec.europa.eu/api/v5_3/PVcalc?lat=30.0444&amp;lon=31.2357&amp;peakpower=1&amp;loss=14&amp;angle=30&amp;aspect=150&amp;outputformat=json&amp;raddatabase=PVGIS-SARAH3&amp;pvtechchoice=crystSi&amp;mountingplace=free&amp;usehorizon=1</v>
      </c>
    </row>
    <row r="2143">
      <c r="A2143" t="n">
        <v>30</v>
      </c>
      <c r="B2143" t="n">
        <v>330</v>
      </c>
      <c r="C2143" t="n">
        <v>10</v>
      </c>
      <c r="D2143" s="218" t="n">
        <v>71.08</v>
      </c>
      <c r="E2143" s="218" t="n">
        <v>2.29</v>
      </c>
      <c r="F2143" t="str">
        <v>https://re.jrc.ec.europa.eu/api/v5_3/PVcalc?lat=30.0444&amp;lon=31.2357&amp;peakpower=1&amp;loss=14&amp;angle=30&amp;aspect=150&amp;outputformat=json&amp;raddatabase=PVGIS-SARAH3&amp;pvtechchoice=crystSi&amp;mountingplace=free&amp;usehorizon=1</v>
      </c>
    </row>
    <row r="2144">
      <c r="A2144" t="n">
        <v>30</v>
      </c>
      <c r="B2144" t="n">
        <v>330</v>
      </c>
      <c r="C2144" t="n">
        <v>11</v>
      </c>
      <c r="D2144" s="218" t="n">
        <v>41.72</v>
      </c>
      <c r="E2144" s="218" t="n">
        <v>1.39</v>
      </c>
      <c r="F2144" t="str">
        <v>https://re.jrc.ec.europa.eu/api/v5_3/PVcalc?lat=30.0444&amp;lon=31.2357&amp;peakpower=1&amp;loss=14&amp;angle=30&amp;aspect=150&amp;outputformat=json&amp;raddatabase=PVGIS-SARAH3&amp;pvtechchoice=crystSi&amp;mountingplace=free&amp;usehorizon=1</v>
      </c>
    </row>
    <row r="2145">
      <c r="A2145" t="n">
        <v>30</v>
      </c>
      <c r="B2145" t="n">
        <v>330</v>
      </c>
      <c r="C2145" t="n">
        <v>12</v>
      </c>
      <c r="D2145" s="218" t="n">
        <v>31.44</v>
      </c>
      <c r="E2145" s="218" t="n">
        <v>1.01</v>
      </c>
      <c r="F2145" t="str">
        <v>https://re.jrc.ec.europa.eu/api/v5_3/PVcalc?lat=30.0444&amp;lon=31.2357&amp;peakpower=1&amp;loss=14&amp;angle=30&amp;aspect=150&amp;outputformat=json&amp;raddatabase=PVGIS-SARAH3&amp;pvtechchoice=crystSi&amp;mountingplace=free&amp;usehorizon=1</v>
      </c>
    </row>
    <row r="2146">
      <c r="A2146" t="n">
        <v>30</v>
      </c>
      <c r="B2146" t="n">
        <v>345</v>
      </c>
      <c r="C2146" t="n">
        <v>1</v>
      </c>
      <c r="D2146" s="218" t="n">
        <v>30.16</v>
      </c>
      <c r="E2146" s="218" t="n">
        <v>0.97</v>
      </c>
      <c r="F2146" t="str">
        <v>https://re.jrc.ec.europa.eu/api/v5_3/PVcalc?lat=30.0444&amp;lon=31.2357&amp;peakpower=1&amp;loss=14&amp;angle=30&amp;aspect=165&amp;outputformat=json&amp;raddatabase=PVGIS-SARAH3&amp;pvtechchoice=crystSi&amp;mountingplace=free&amp;usehorizon=1</v>
      </c>
    </row>
    <row r="2147">
      <c r="A2147" t="n">
        <v>30</v>
      </c>
      <c r="B2147" t="n">
        <v>345</v>
      </c>
      <c r="C2147" t="n">
        <v>2</v>
      </c>
      <c r="D2147" s="218" t="n">
        <v>47.51</v>
      </c>
      <c r="E2147" s="218" t="n">
        <v>1.7</v>
      </c>
      <c r="F2147" t="str">
        <v>https://re.jrc.ec.europa.eu/api/v5_3/PVcalc?lat=30.0444&amp;lon=31.2357&amp;peakpower=1&amp;loss=14&amp;angle=30&amp;aspect=165&amp;outputformat=json&amp;raddatabase=PVGIS-SARAH3&amp;pvtechchoice=crystSi&amp;mountingplace=free&amp;usehorizon=1</v>
      </c>
    </row>
    <row r="2148">
      <c r="A2148" t="n">
        <v>30</v>
      </c>
      <c r="B2148" t="n">
        <v>345</v>
      </c>
      <c r="C2148" t="n">
        <v>3</v>
      </c>
      <c r="D2148" s="218" t="n">
        <v>89.54</v>
      </c>
      <c r="E2148" s="218" t="n">
        <v>2.89</v>
      </c>
      <c r="F2148" t="str">
        <v>https://re.jrc.ec.europa.eu/api/v5_3/PVcalc?lat=30.0444&amp;lon=31.2357&amp;peakpower=1&amp;loss=14&amp;angle=30&amp;aspect=165&amp;outputformat=json&amp;raddatabase=PVGIS-SARAH3&amp;pvtechchoice=crystSi&amp;mountingplace=free&amp;usehorizon=1</v>
      </c>
    </row>
    <row r="2149">
      <c r="A2149" t="n">
        <v>30</v>
      </c>
      <c r="B2149" t="n">
        <v>345</v>
      </c>
      <c r="C2149" t="n">
        <v>4</v>
      </c>
      <c r="D2149" s="218" t="n">
        <v>124.13</v>
      </c>
      <c r="E2149" s="218" t="n">
        <v>4.14</v>
      </c>
      <c r="F2149" t="str">
        <v>https://re.jrc.ec.europa.eu/api/v5_3/PVcalc?lat=30.0444&amp;lon=31.2357&amp;peakpower=1&amp;loss=14&amp;angle=30&amp;aspect=165&amp;outputformat=json&amp;raddatabase=PVGIS-SARAH3&amp;pvtechchoice=crystSi&amp;mountingplace=free&amp;usehorizon=1</v>
      </c>
    </row>
    <row r="2150">
      <c r="A2150" t="n">
        <v>30</v>
      </c>
      <c r="B2150" t="n">
        <v>345</v>
      </c>
      <c r="C2150" t="n">
        <v>5</v>
      </c>
      <c r="D2150" s="218" t="n">
        <v>155.46</v>
      </c>
      <c r="E2150" s="218" t="n">
        <v>5.01</v>
      </c>
      <c r="F2150" t="str">
        <v>https://re.jrc.ec.europa.eu/api/v5_3/PVcalc?lat=30.0444&amp;lon=31.2357&amp;peakpower=1&amp;loss=14&amp;angle=30&amp;aspect=165&amp;outputformat=json&amp;raddatabase=PVGIS-SARAH3&amp;pvtechchoice=crystSi&amp;mountingplace=free&amp;usehorizon=1</v>
      </c>
    </row>
    <row r="2151">
      <c r="A2151" t="n">
        <v>30</v>
      </c>
      <c r="B2151" t="n">
        <v>345</v>
      </c>
      <c r="C2151" t="n">
        <v>6</v>
      </c>
      <c r="D2151" s="218" t="n">
        <v>168.34</v>
      </c>
      <c r="E2151" s="218" t="n">
        <v>5.61</v>
      </c>
      <c r="F2151" t="str">
        <v>https://re.jrc.ec.europa.eu/api/v5_3/PVcalc?lat=30.0444&amp;lon=31.2357&amp;peakpower=1&amp;loss=14&amp;angle=30&amp;aspect=165&amp;outputformat=json&amp;raddatabase=PVGIS-SARAH3&amp;pvtechchoice=crystSi&amp;mountingplace=free&amp;usehorizon=1</v>
      </c>
    </row>
    <row r="2152">
      <c r="A2152" t="n">
        <v>30</v>
      </c>
      <c r="B2152" t="n">
        <v>345</v>
      </c>
      <c r="C2152" t="n">
        <v>7</v>
      </c>
      <c r="D2152" s="218" t="n">
        <v>167.35</v>
      </c>
      <c r="E2152" s="218" t="n">
        <v>5.4</v>
      </c>
      <c r="F2152" t="str">
        <v>https://re.jrc.ec.europa.eu/api/v5_3/PVcalc?lat=30.0444&amp;lon=31.2357&amp;peakpower=1&amp;loss=14&amp;angle=30&amp;aspect=165&amp;outputformat=json&amp;raddatabase=PVGIS-SARAH3&amp;pvtechchoice=crystSi&amp;mountingplace=free&amp;usehorizon=1</v>
      </c>
    </row>
    <row r="2153">
      <c r="A2153" t="n">
        <v>30</v>
      </c>
      <c r="B2153" t="n">
        <v>345</v>
      </c>
      <c r="C2153" t="n">
        <v>8</v>
      </c>
      <c r="D2153" s="218" t="n">
        <v>141.04</v>
      </c>
      <c r="E2153" s="218" t="n">
        <v>4.55</v>
      </c>
      <c r="F2153" t="str">
        <v>https://re.jrc.ec.europa.eu/api/v5_3/PVcalc?lat=30.0444&amp;lon=31.2357&amp;peakpower=1&amp;loss=14&amp;angle=30&amp;aspect=165&amp;outputformat=json&amp;raddatabase=PVGIS-SARAH3&amp;pvtechchoice=crystSi&amp;mountingplace=free&amp;usehorizon=1</v>
      </c>
    </row>
    <row r="2154">
      <c r="A2154" t="n">
        <v>30</v>
      </c>
      <c r="B2154" t="n">
        <v>345</v>
      </c>
      <c r="C2154" t="n">
        <v>9</v>
      </c>
      <c r="D2154" s="218" t="n">
        <v>100.67</v>
      </c>
      <c r="E2154" s="218" t="n">
        <v>3.36</v>
      </c>
      <c r="F2154" t="str">
        <v>https://re.jrc.ec.europa.eu/api/v5_3/PVcalc?lat=30.0444&amp;lon=31.2357&amp;peakpower=1&amp;loss=14&amp;angle=30&amp;aspect=165&amp;outputformat=json&amp;raddatabase=PVGIS-SARAH3&amp;pvtechchoice=crystSi&amp;mountingplace=free&amp;usehorizon=1</v>
      </c>
    </row>
    <row r="2155">
      <c r="A2155" t="n">
        <v>30</v>
      </c>
      <c r="B2155" t="n">
        <v>345</v>
      </c>
      <c r="C2155" t="n">
        <v>10</v>
      </c>
      <c r="D2155" s="218" t="n">
        <v>63.12</v>
      </c>
      <c r="E2155" s="218" t="n">
        <v>2.04</v>
      </c>
      <c r="F2155" t="str">
        <v>https://re.jrc.ec.europa.eu/api/v5_3/PVcalc?lat=30.0444&amp;lon=31.2357&amp;peakpower=1&amp;loss=14&amp;angle=30&amp;aspect=165&amp;outputformat=json&amp;raddatabase=PVGIS-SARAH3&amp;pvtechchoice=crystSi&amp;mountingplace=free&amp;usehorizon=1</v>
      </c>
    </row>
    <row r="2156">
      <c r="A2156" t="n">
        <v>30</v>
      </c>
      <c r="B2156" t="n">
        <v>345</v>
      </c>
      <c r="C2156" t="n">
        <v>11</v>
      </c>
      <c r="D2156" s="218" t="n">
        <v>33.61</v>
      </c>
      <c r="E2156" s="218" t="n">
        <v>1.12</v>
      </c>
      <c r="F2156" t="str">
        <v>https://re.jrc.ec.europa.eu/api/v5_3/PVcalc?lat=30.0444&amp;lon=31.2357&amp;peakpower=1&amp;loss=14&amp;angle=30&amp;aspect=165&amp;outputformat=json&amp;raddatabase=PVGIS-SARAH3&amp;pvtechchoice=crystSi&amp;mountingplace=free&amp;usehorizon=1</v>
      </c>
    </row>
    <row r="2157">
      <c r="A2157" t="n">
        <v>30</v>
      </c>
      <c r="B2157" t="n">
        <v>345</v>
      </c>
      <c r="C2157" t="n">
        <v>12</v>
      </c>
      <c r="D2157" s="218" t="n">
        <v>24.95</v>
      </c>
      <c r="E2157" s="218" t="n">
        <v>0.8</v>
      </c>
      <c r="F2157" t="str">
        <v>https://re.jrc.ec.europa.eu/api/v5_3/PVcalc?lat=30.0444&amp;lon=31.2357&amp;peakpower=1&amp;loss=14&amp;angle=30&amp;aspect=165&amp;outputformat=json&amp;raddatabase=PVGIS-SARAH3&amp;pvtechchoice=crystSi&amp;mountingplace=free&amp;usehorizon=1</v>
      </c>
    </row>
    <row r="2158">
      <c r="A2158" t="n">
        <v>30</v>
      </c>
      <c r="B2158" t="n">
        <v>360</v>
      </c>
      <c r="C2158" t="n">
        <v>1</v>
      </c>
      <c r="D2158" s="218" t="n">
        <v>27.65</v>
      </c>
      <c r="E2158" s="218" t="n">
        <v>0.89</v>
      </c>
      <c r="F2158" t="str">
        <v>https://re.jrc.ec.europa.eu/api/v5_3/PVcalc?lat=30.0444&amp;lon=31.2357&amp;peakpower=1&amp;loss=14&amp;angle=30&amp;aspect=180&amp;outputformat=json&amp;raddatabase=PVGIS-SARAH3&amp;pvtechchoice=crystSi&amp;mountingplace=free&amp;usehorizon=1</v>
      </c>
    </row>
    <row r="2159">
      <c r="A2159" t="n">
        <v>30</v>
      </c>
      <c r="B2159" t="n">
        <v>360</v>
      </c>
      <c r="C2159" t="n">
        <v>2</v>
      </c>
      <c r="D2159" s="218" t="n">
        <v>45.24</v>
      </c>
      <c r="E2159" s="218" t="n">
        <v>1.62</v>
      </c>
      <c r="F2159" t="str">
        <v>https://re.jrc.ec.europa.eu/api/v5_3/PVcalc?lat=30.0444&amp;lon=31.2357&amp;peakpower=1&amp;loss=14&amp;angle=30&amp;aspect=180&amp;outputformat=json&amp;raddatabase=PVGIS-SARAH3&amp;pvtechchoice=crystSi&amp;mountingplace=free&amp;usehorizon=1</v>
      </c>
    </row>
    <row r="2160">
      <c r="A2160" t="n">
        <v>30</v>
      </c>
      <c r="B2160" t="n">
        <v>360</v>
      </c>
      <c r="C2160" t="n">
        <v>3</v>
      </c>
      <c r="D2160" s="218" t="n">
        <v>86.95</v>
      </c>
      <c r="E2160" s="218" t="n">
        <v>2.8</v>
      </c>
      <c r="F2160" t="str">
        <v>https://re.jrc.ec.europa.eu/api/v5_3/PVcalc?lat=30.0444&amp;lon=31.2357&amp;peakpower=1&amp;loss=14&amp;angle=30&amp;aspect=180&amp;outputformat=json&amp;raddatabase=PVGIS-SARAH3&amp;pvtechchoice=crystSi&amp;mountingplace=free&amp;usehorizon=1</v>
      </c>
    </row>
    <row r="2161">
      <c r="A2161" t="n">
        <v>30</v>
      </c>
      <c r="B2161" t="n">
        <v>360</v>
      </c>
      <c r="C2161" t="n">
        <v>4</v>
      </c>
      <c r="D2161" s="218" t="n">
        <v>122.65</v>
      </c>
      <c r="E2161" s="218" t="n">
        <v>4.09</v>
      </c>
      <c r="F2161" t="str">
        <v>https://re.jrc.ec.europa.eu/api/v5_3/PVcalc?lat=30.0444&amp;lon=31.2357&amp;peakpower=1&amp;loss=14&amp;angle=30&amp;aspect=180&amp;outputformat=json&amp;raddatabase=PVGIS-SARAH3&amp;pvtechchoice=crystSi&amp;mountingplace=free&amp;usehorizon=1</v>
      </c>
    </row>
    <row r="2162">
      <c r="A2162" t="n">
        <v>30</v>
      </c>
      <c r="B2162" t="n">
        <v>360</v>
      </c>
      <c r="C2162" t="n">
        <v>5</v>
      </c>
      <c r="D2162" s="218" t="n">
        <v>154.71</v>
      </c>
      <c r="E2162" s="218" t="n">
        <v>4.99</v>
      </c>
      <c r="F2162" t="str">
        <v>https://re.jrc.ec.europa.eu/api/v5_3/PVcalc?lat=30.0444&amp;lon=31.2357&amp;peakpower=1&amp;loss=14&amp;angle=30&amp;aspect=180&amp;outputformat=json&amp;raddatabase=PVGIS-SARAH3&amp;pvtechchoice=crystSi&amp;mountingplace=free&amp;usehorizon=1</v>
      </c>
    </row>
    <row r="2163">
      <c r="A2163" t="n">
        <v>30</v>
      </c>
      <c r="B2163" t="n">
        <v>360</v>
      </c>
      <c r="C2163" t="n">
        <v>6</v>
      </c>
      <c r="D2163" s="218" t="n">
        <v>167.07</v>
      </c>
      <c r="E2163" s="218" t="n">
        <v>5.57</v>
      </c>
      <c r="F2163" t="str">
        <v>https://re.jrc.ec.europa.eu/api/v5_3/PVcalc?lat=30.0444&amp;lon=31.2357&amp;peakpower=1&amp;loss=14&amp;angle=30&amp;aspect=180&amp;outputformat=json&amp;raddatabase=PVGIS-SARAH3&amp;pvtechchoice=crystSi&amp;mountingplace=free&amp;usehorizon=1</v>
      </c>
    </row>
    <row r="2164">
      <c r="A2164" t="n">
        <v>30</v>
      </c>
      <c r="B2164" t="n">
        <v>360</v>
      </c>
      <c r="C2164" t="n">
        <v>7</v>
      </c>
      <c r="D2164" s="218" t="n">
        <v>165.3</v>
      </c>
      <c r="E2164" s="218" t="n">
        <v>5.33</v>
      </c>
      <c r="F2164" t="str">
        <v>https://re.jrc.ec.europa.eu/api/v5_3/PVcalc?lat=30.0444&amp;lon=31.2357&amp;peakpower=1&amp;loss=14&amp;angle=30&amp;aspect=180&amp;outputformat=json&amp;raddatabase=PVGIS-SARAH3&amp;pvtechchoice=crystSi&amp;mountingplace=free&amp;usehorizon=1</v>
      </c>
    </row>
    <row r="2165">
      <c r="A2165" t="n">
        <v>30</v>
      </c>
      <c r="B2165" t="n">
        <v>360</v>
      </c>
      <c r="C2165" t="n">
        <v>8</v>
      </c>
      <c r="D2165" s="218" t="n">
        <v>138.82</v>
      </c>
      <c r="E2165" s="218" t="n">
        <v>4.48</v>
      </c>
      <c r="F2165" t="str">
        <v>https://re.jrc.ec.europa.eu/api/v5_3/PVcalc?lat=30.0444&amp;lon=31.2357&amp;peakpower=1&amp;loss=14&amp;angle=30&amp;aspect=180&amp;outputformat=json&amp;raddatabase=PVGIS-SARAH3&amp;pvtechchoice=crystSi&amp;mountingplace=free&amp;usehorizon=1</v>
      </c>
    </row>
    <row r="2166">
      <c r="A2166" t="n">
        <v>30</v>
      </c>
      <c r="B2166" t="n">
        <v>360</v>
      </c>
      <c r="C2166" t="n">
        <v>9</v>
      </c>
      <c r="D2166" s="218" t="n">
        <v>97.9</v>
      </c>
      <c r="E2166" s="218" t="n">
        <v>3.26</v>
      </c>
      <c r="F2166" t="str">
        <v>https://re.jrc.ec.europa.eu/api/v5_3/PVcalc?lat=30.0444&amp;lon=31.2357&amp;peakpower=1&amp;loss=14&amp;angle=30&amp;aspect=180&amp;outputformat=json&amp;raddatabase=PVGIS-SARAH3&amp;pvtechchoice=crystSi&amp;mountingplace=free&amp;usehorizon=1</v>
      </c>
    </row>
    <row r="2167">
      <c r="A2167" t="n">
        <v>30</v>
      </c>
      <c r="B2167" t="n">
        <v>360</v>
      </c>
      <c r="C2167" t="n">
        <v>10</v>
      </c>
      <c r="D2167" s="218" t="n">
        <v>59.93</v>
      </c>
      <c r="E2167" s="218" t="n">
        <v>1.93</v>
      </c>
      <c r="F2167" t="str">
        <v>https://re.jrc.ec.europa.eu/api/v5_3/PVcalc?lat=30.0444&amp;lon=31.2357&amp;peakpower=1&amp;loss=14&amp;angle=30&amp;aspect=180&amp;outputformat=json&amp;raddatabase=PVGIS-SARAH3&amp;pvtechchoice=crystSi&amp;mountingplace=free&amp;usehorizon=1</v>
      </c>
    </row>
    <row r="2168">
      <c r="A2168" t="n">
        <v>30</v>
      </c>
      <c r="B2168" t="n">
        <v>360</v>
      </c>
      <c r="C2168" t="n">
        <v>11</v>
      </c>
      <c r="D2168" s="218" t="n">
        <v>30.63</v>
      </c>
      <c r="E2168" s="218" t="n">
        <v>1.02</v>
      </c>
      <c r="F2168" t="str">
        <v>https://re.jrc.ec.europa.eu/api/v5_3/PVcalc?lat=30.0444&amp;lon=31.2357&amp;peakpower=1&amp;loss=14&amp;angle=30&amp;aspect=180&amp;outputformat=json&amp;raddatabase=PVGIS-SARAH3&amp;pvtechchoice=crystSi&amp;mountingplace=free&amp;usehorizon=1</v>
      </c>
    </row>
    <row r="2169">
      <c r="A2169" t="n">
        <v>30</v>
      </c>
      <c r="B2169" t="n">
        <v>360</v>
      </c>
      <c r="C2169" t="n">
        <v>12</v>
      </c>
      <c r="D2169" s="218" t="n">
        <v>22.56</v>
      </c>
      <c r="E2169" s="218" t="n">
        <v>0.73</v>
      </c>
      <c r="F2169" t="str">
        <v>https://re.jrc.ec.europa.eu/api/v5_3/PVcalc?lat=30.0444&amp;lon=31.2357&amp;peakpower=1&amp;loss=14&amp;angle=30&amp;aspect=180&amp;outputformat=json&amp;raddatabase=PVGIS-SARAH3&amp;pvtechchoice=crystSi&amp;mountingplace=free&amp;usehorizon=1</v>
      </c>
    </row>
    <row r="2170">
      <c r="A2170" t="n">
        <v>35</v>
      </c>
      <c r="B2170" t="n">
        <v>0</v>
      </c>
      <c r="C2170" t="n">
        <v>1</v>
      </c>
      <c r="D2170" s="218" t="n">
        <v>22.5</v>
      </c>
      <c r="E2170" s="218" t="n">
        <v>0.73</v>
      </c>
      <c r="F2170" t="str">
        <v>https://re.jrc.ec.europa.eu/api/v5_3/PVcalc?lat=30.0444&amp;lon=31.2357&amp;peakpower=1&amp;loss=14&amp;angle=35&amp;aspect=-180&amp;outputformat=json&amp;raddatabase=PVGIS-SARAH3&amp;pvtechchoice=crystSi&amp;mountingplace=free&amp;usehorizon=1</v>
      </c>
    </row>
    <row r="2171">
      <c r="A2171" t="n">
        <v>35</v>
      </c>
      <c r="B2171" t="n">
        <v>0</v>
      </c>
      <c r="C2171" t="n">
        <v>2</v>
      </c>
      <c r="D2171" s="218" t="n">
        <v>36.07</v>
      </c>
      <c r="E2171" s="218" t="n">
        <v>1.29</v>
      </c>
      <c r="F2171" t="str">
        <v>https://re.jrc.ec.europa.eu/api/v5_3/PVcalc?lat=30.0444&amp;lon=31.2357&amp;peakpower=1&amp;loss=14&amp;angle=35&amp;aspect=-180&amp;outputformat=json&amp;raddatabase=PVGIS-SARAH3&amp;pvtechchoice=crystSi&amp;mountingplace=free&amp;usehorizon=1</v>
      </c>
    </row>
    <row r="2172">
      <c r="A2172" t="n">
        <v>35</v>
      </c>
      <c r="B2172" t="n">
        <v>0</v>
      </c>
      <c r="C2172" t="n">
        <v>3</v>
      </c>
      <c r="D2172" s="218" t="n">
        <v>75.4</v>
      </c>
      <c r="E2172" s="218" t="n">
        <v>2.43</v>
      </c>
      <c r="F2172" t="str">
        <v>https://re.jrc.ec.europa.eu/api/v5_3/PVcalc?lat=30.0444&amp;lon=31.2357&amp;peakpower=1&amp;loss=14&amp;angle=35&amp;aspect=-180&amp;outputformat=json&amp;raddatabase=PVGIS-SARAH3&amp;pvtechchoice=crystSi&amp;mountingplace=free&amp;usehorizon=1</v>
      </c>
    </row>
    <row r="2173">
      <c r="A2173" t="n">
        <v>35</v>
      </c>
      <c r="B2173" t="n">
        <v>0</v>
      </c>
      <c r="C2173" t="n">
        <v>4</v>
      </c>
      <c r="D2173" s="218" t="n">
        <v>113.51</v>
      </c>
      <c r="E2173" s="218" t="n">
        <v>3.78</v>
      </c>
      <c r="F2173" t="str">
        <v>https://re.jrc.ec.europa.eu/api/v5_3/PVcalc?lat=30.0444&amp;lon=31.2357&amp;peakpower=1&amp;loss=14&amp;angle=35&amp;aspect=-180&amp;outputformat=json&amp;raddatabase=PVGIS-SARAH3&amp;pvtechchoice=crystSi&amp;mountingplace=free&amp;usehorizon=1</v>
      </c>
    </row>
    <row r="2174">
      <c r="A2174" t="n">
        <v>35</v>
      </c>
      <c r="B2174" t="n">
        <v>0</v>
      </c>
      <c r="C2174" t="n">
        <v>5</v>
      </c>
      <c r="D2174" s="218" t="n">
        <v>147.58</v>
      </c>
      <c r="E2174" s="218" t="n">
        <v>4.76</v>
      </c>
      <c r="F2174" t="str">
        <v>https://re.jrc.ec.europa.eu/api/v5_3/PVcalc?lat=30.0444&amp;lon=31.2357&amp;peakpower=1&amp;loss=14&amp;angle=35&amp;aspect=-180&amp;outputformat=json&amp;raddatabase=PVGIS-SARAH3&amp;pvtechchoice=crystSi&amp;mountingplace=free&amp;usehorizon=1</v>
      </c>
    </row>
    <row r="2175">
      <c r="A2175" t="n">
        <v>35</v>
      </c>
      <c r="B2175" t="n">
        <v>0</v>
      </c>
      <c r="C2175" t="n">
        <v>6</v>
      </c>
      <c r="D2175" s="218" t="n">
        <v>160.95</v>
      </c>
      <c r="E2175" s="218" t="n">
        <v>5.36</v>
      </c>
      <c r="F2175" t="str">
        <v>https://re.jrc.ec.europa.eu/api/v5_3/PVcalc?lat=30.0444&amp;lon=31.2357&amp;peakpower=1&amp;loss=14&amp;angle=35&amp;aspect=-180&amp;outputformat=json&amp;raddatabase=PVGIS-SARAH3&amp;pvtechchoice=crystSi&amp;mountingplace=free&amp;usehorizon=1</v>
      </c>
    </row>
    <row r="2176">
      <c r="A2176" t="n">
        <v>35</v>
      </c>
      <c r="B2176" t="n">
        <v>0</v>
      </c>
      <c r="C2176" t="n">
        <v>7</v>
      </c>
      <c r="D2176" s="218" t="n">
        <v>158.41</v>
      </c>
      <c r="E2176" s="218" t="n">
        <v>5.11</v>
      </c>
      <c r="F2176" t="str">
        <v>https://re.jrc.ec.europa.eu/api/v5_3/PVcalc?lat=30.0444&amp;lon=31.2357&amp;peakpower=1&amp;loss=14&amp;angle=35&amp;aspect=-180&amp;outputformat=json&amp;raddatabase=PVGIS-SARAH3&amp;pvtechchoice=crystSi&amp;mountingplace=free&amp;usehorizon=1</v>
      </c>
    </row>
    <row r="2177">
      <c r="A2177" t="n">
        <v>35</v>
      </c>
      <c r="B2177" t="n">
        <v>0</v>
      </c>
      <c r="C2177" t="n">
        <v>8</v>
      </c>
      <c r="D2177" s="218" t="n">
        <v>129.89</v>
      </c>
      <c r="E2177" s="218" t="n">
        <v>4.19</v>
      </c>
      <c r="F2177" t="str">
        <v>https://re.jrc.ec.europa.eu/api/v5_3/PVcalc?lat=30.0444&amp;lon=31.2357&amp;peakpower=1&amp;loss=14&amp;angle=35&amp;aspect=-180&amp;outputformat=json&amp;raddatabase=PVGIS-SARAH3&amp;pvtechchoice=crystSi&amp;mountingplace=free&amp;usehorizon=1</v>
      </c>
    </row>
    <row r="2178">
      <c r="A2178" t="n">
        <v>35</v>
      </c>
      <c r="B2178" t="n">
        <v>0</v>
      </c>
      <c r="C2178" t="n">
        <v>9</v>
      </c>
      <c r="D2178" s="218" t="n">
        <v>86.72</v>
      </c>
      <c r="E2178" s="218" t="n">
        <v>2.89</v>
      </c>
      <c r="F2178" t="str">
        <v>https://re.jrc.ec.europa.eu/api/v5_3/PVcalc?lat=30.0444&amp;lon=31.2357&amp;peakpower=1&amp;loss=14&amp;angle=35&amp;aspect=-180&amp;outputformat=json&amp;raddatabase=PVGIS-SARAH3&amp;pvtechchoice=crystSi&amp;mountingplace=free&amp;usehorizon=1</v>
      </c>
    </row>
    <row r="2179">
      <c r="A2179" t="n">
        <v>35</v>
      </c>
      <c r="B2179" t="n">
        <v>0</v>
      </c>
      <c r="C2179" t="n">
        <v>10</v>
      </c>
      <c r="D2179" s="218" t="n">
        <v>47.93</v>
      </c>
      <c r="E2179" s="218" t="n">
        <v>1.55</v>
      </c>
      <c r="F2179" t="str">
        <v>https://re.jrc.ec.europa.eu/api/v5_3/PVcalc?lat=30.0444&amp;lon=31.2357&amp;peakpower=1&amp;loss=14&amp;angle=35&amp;aspect=-180&amp;outputformat=json&amp;raddatabase=PVGIS-SARAH3&amp;pvtechchoice=crystSi&amp;mountingplace=free&amp;usehorizon=1</v>
      </c>
    </row>
    <row r="2180">
      <c r="A2180" t="n">
        <v>35</v>
      </c>
      <c r="B2180" t="n">
        <v>0</v>
      </c>
      <c r="C2180" t="n">
        <v>11</v>
      </c>
      <c r="D2180" s="218" t="n">
        <v>23.31</v>
      </c>
      <c r="E2180" s="218" t="n">
        <v>0.78</v>
      </c>
      <c r="F2180" t="str">
        <v>https://re.jrc.ec.europa.eu/api/v5_3/PVcalc?lat=30.0444&amp;lon=31.2357&amp;peakpower=1&amp;loss=14&amp;angle=35&amp;aspect=-180&amp;outputformat=json&amp;raddatabase=PVGIS-SARAH3&amp;pvtechchoice=crystSi&amp;mountingplace=free&amp;usehorizon=1</v>
      </c>
    </row>
    <row r="2181">
      <c r="A2181" t="n">
        <v>35</v>
      </c>
      <c r="B2181" t="n">
        <v>0</v>
      </c>
      <c r="C2181" t="n">
        <v>12</v>
      </c>
      <c r="D2181" s="218" t="n">
        <v>20.04</v>
      </c>
      <c r="E2181" s="218" t="n">
        <v>0.65</v>
      </c>
      <c r="F2181" t="str">
        <v>https://re.jrc.ec.europa.eu/api/v5_3/PVcalc?lat=30.0444&amp;lon=31.2357&amp;peakpower=1&amp;loss=14&amp;angle=35&amp;aspect=-180&amp;outputformat=json&amp;raddatabase=PVGIS-SARAH3&amp;pvtechchoice=crystSi&amp;mountingplace=free&amp;usehorizon=1</v>
      </c>
    </row>
    <row r="2182">
      <c r="A2182" t="n">
        <v>35</v>
      </c>
      <c r="B2182" t="n">
        <v>15</v>
      </c>
      <c r="C2182" t="n">
        <v>1</v>
      </c>
      <c r="D2182" s="218" t="n">
        <v>24.59</v>
      </c>
      <c r="E2182" s="218" t="n">
        <v>0.79</v>
      </c>
      <c r="F2182" t="str">
        <v>https://re.jrc.ec.europa.eu/api/v5_3/PVcalc?lat=30.0444&amp;lon=31.2357&amp;peakpower=1&amp;loss=14&amp;angle=35&amp;aspect=-165&amp;outputformat=json&amp;raddatabase=PVGIS-SARAH3&amp;pvtechchoice=crystSi&amp;mountingplace=free&amp;usehorizon=1</v>
      </c>
    </row>
    <row r="2183">
      <c r="A2183" t="n">
        <v>35</v>
      </c>
      <c r="B2183" t="n">
        <v>15</v>
      </c>
      <c r="C2183" t="n">
        <v>2</v>
      </c>
      <c r="D2183" s="218" t="n">
        <v>40.22</v>
      </c>
      <c r="E2183" s="218" t="n">
        <v>1.44</v>
      </c>
      <c r="F2183" t="str">
        <v>https://re.jrc.ec.europa.eu/api/v5_3/PVcalc?lat=30.0444&amp;lon=31.2357&amp;peakpower=1&amp;loss=14&amp;angle=35&amp;aspect=-165&amp;outputformat=json&amp;raddatabase=PVGIS-SARAH3&amp;pvtechchoice=crystSi&amp;mountingplace=free&amp;usehorizon=1</v>
      </c>
    </row>
    <row r="2184">
      <c r="A2184" t="n">
        <v>35</v>
      </c>
      <c r="B2184" t="n">
        <v>15</v>
      </c>
      <c r="C2184" t="n">
        <v>3</v>
      </c>
      <c r="D2184" s="218" t="n">
        <v>78.18</v>
      </c>
      <c r="E2184" s="218" t="n">
        <v>2.52</v>
      </c>
      <c r="F2184" t="str">
        <v>https://re.jrc.ec.europa.eu/api/v5_3/PVcalc?lat=30.0444&amp;lon=31.2357&amp;peakpower=1&amp;loss=14&amp;angle=35&amp;aspect=-165&amp;outputformat=json&amp;raddatabase=PVGIS-SARAH3&amp;pvtechchoice=crystSi&amp;mountingplace=free&amp;usehorizon=1</v>
      </c>
    </row>
    <row r="2185">
      <c r="A2185" t="n">
        <v>35</v>
      </c>
      <c r="B2185" t="n">
        <v>15</v>
      </c>
      <c r="C2185" t="n">
        <v>4</v>
      </c>
      <c r="D2185" s="218" t="n">
        <v>113.36</v>
      </c>
      <c r="E2185" s="218" t="n">
        <v>3.78</v>
      </c>
      <c r="F2185" t="str">
        <v>https://re.jrc.ec.europa.eu/api/v5_3/PVcalc?lat=30.0444&amp;lon=31.2357&amp;peakpower=1&amp;loss=14&amp;angle=35&amp;aspect=-165&amp;outputformat=json&amp;raddatabase=PVGIS-SARAH3&amp;pvtechchoice=crystSi&amp;mountingplace=free&amp;usehorizon=1</v>
      </c>
    </row>
    <row r="2186">
      <c r="A2186" t="n">
        <v>35</v>
      </c>
      <c r="B2186" t="n">
        <v>15</v>
      </c>
      <c r="C2186" t="n">
        <v>5</v>
      </c>
      <c r="D2186" s="218" t="n">
        <v>146.53</v>
      </c>
      <c r="E2186" s="218" t="n">
        <v>4.73</v>
      </c>
      <c r="F2186" t="str">
        <v>https://re.jrc.ec.europa.eu/api/v5_3/PVcalc?lat=30.0444&amp;lon=31.2357&amp;peakpower=1&amp;loss=14&amp;angle=35&amp;aspect=-165&amp;outputformat=json&amp;raddatabase=PVGIS-SARAH3&amp;pvtechchoice=crystSi&amp;mountingplace=free&amp;usehorizon=1</v>
      </c>
    </row>
    <row r="2187">
      <c r="A2187" t="n">
        <v>35</v>
      </c>
      <c r="B2187" t="n">
        <v>15</v>
      </c>
      <c r="C2187" t="n">
        <v>6</v>
      </c>
      <c r="D2187" s="218" t="n">
        <v>158.6</v>
      </c>
      <c r="E2187" s="218" t="n">
        <v>5.29</v>
      </c>
      <c r="F2187" t="str">
        <v>https://re.jrc.ec.europa.eu/api/v5_3/PVcalc?lat=30.0444&amp;lon=31.2357&amp;peakpower=1&amp;loss=14&amp;angle=35&amp;aspect=-165&amp;outputformat=json&amp;raddatabase=PVGIS-SARAH3&amp;pvtechchoice=crystSi&amp;mountingplace=free&amp;usehorizon=1</v>
      </c>
    </row>
    <row r="2188">
      <c r="A2188" t="n">
        <v>35</v>
      </c>
      <c r="B2188" t="n">
        <v>15</v>
      </c>
      <c r="C2188" t="n">
        <v>7</v>
      </c>
      <c r="D2188" s="218" t="n">
        <v>155.59</v>
      </c>
      <c r="E2188" s="218" t="n">
        <v>5.02</v>
      </c>
      <c r="F2188" t="str">
        <v>https://re.jrc.ec.europa.eu/api/v5_3/PVcalc?lat=30.0444&amp;lon=31.2357&amp;peakpower=1&amp;loss=14&amp;angle=35&amp;aspect=-165&amp;outputformat=json&amp;raddatabase=PVGIS-SARAH3&amp;pvtechchoice=crystSi&amp;mountingplace=free&amp;usehorizon=1</v>
      </c>
    </row>
    <row r="2189">
      <c r="A2189" t="n">
        <v>35</v>
      </c>
      <c r="B2189" t="n">
        <v>15</v>
      </c>
      <c r="C2189" t="n">
        <v>8</v>
      </c>
      <c r="D2189" s="218" t="n">
        <v>128.38</v>
      </c>
      <c r="E2189" s="218" t="n">
        <v>4.14</v>
      </c>
      <c r="F2189" t="str">
        <v>https://re.jrc.ec.europa.eu/api/v5_3/PVcalc?lat=30.0444&amp;lon=31.2357&amp;peakpower=1&amp;loss=14&amp;angle=35&amp;aspect=-165&amp;outputformat=json&amp;raddatabase=PVGIS-SARAH3&amp;pvtechchoice=crystSi&amp;mountingplace=free&amp;usehorizon=1</v>
      </c>
    </row>
    <row r="2190">
      <c r="A2190" t="n">
        <v>35</v>
      </c>
      <c r="B2190" t="n">
        <v>15</v>
      </c>
      <c r="C2190" t="n">
        <v>9</v>
      </c>
      <c r="D2190" s="218" t="n">
        <v>87.56</v>
      </c>
      <c r="E2190" s="218" t="n">
        <v>2.92</v>
      </c>
      <c r="F2190" t="str">
        <v>https://re.jrc.ec.europa.eu/api/v5_3/PVcalc?lat=30.0444&amp;lon=31.2357&amp;peakpower=1&amp;loss=14&amp;angle=35&amp;aspect=-165&amp;outputformat=json&amp;raddatabase=PVGIS-SARAH3&amp;pvtechchoice=crystSi&amp;mountingplace=free&amp;usehorizon=1</v>
      </c>
    </row>
    <row r="2191">
      <c r="A2191" t="n">
        <v>35</v>
      </c>
      <c r="B2191" t="n">
        <v>15</v>
      </c>
      <c r="C2191" t="n">
        <v>10</v>
      </c>
      <c r="D2191" s="218" t="n">
        <v>52.37</v>
      </c>
      <c r="E2191" s="218" t="n">
        <v>1.69</v>
      </c>
      <c r="F2191" t="str">
        <v>https://re.jrc.ec.europa.eu/api/v5_3/PVcalc?lat=30.0444&amp;lon=31.2357&amp;peakpower=1&amp;loss=14&amp;angle=35&amp;aspect=-165&amp;outputformat=json&amp;raddatabase=PVGIS-SARAH3&amp;pvtechchoice=crystSi&amp;mountingplace=free&amp;usehorizon=1</v>
      </c>
    </row>
    <row r="2192">
      <c r="A2192" t="n">
        <v>35</v>
      </c>
      <c r="B2192" t="n">
        <v>15</v>
      </c>
      <c r="C2192" t="n">
        <v>11</v>
      </c>
      <c r="D2192" s="218" t="n">
        <v>26.36</v>
      </c>
      <c r="E2192" s="218" t="n">
        <v>0.88</v>
      </c>
      <c r="F2192" t="str">
        <v>https://re.jrc.ec.europa.eu/api/v5_3/PVcalc?lat=30.0444&amp;lon=31.2357&amp;peakpower=1&amp;loss=14&amp;angle=35&amp;aspect=-165&amp;outputformat=json&amp;raddatabase=PVGIS-SARAH3&amp;pvtechchoice=crystSi&amp;mountingplace=free&amp;usehorizon=1</v>
      </c>
    </row>
    <row r="2193">
      <c r="A2193" t="n">
        <v>35</v>
      </c>
      <c r="B2193" t="n">
        <v>15</v>
      </c>
      <c r="C2193" t="n">
        <v>12</v>
      </c>
      <c r="D2193" s="218" t="n">
        <v>21.04</v>
      </c>
      <c r="E2193" s="218" t="n">
        <v>0.68</v>
      </c>
      <c r="F2193" t="str">
        <v>https://re.jrc.ec.europa.eu/api/v5_3/PVcalc?lat=30.0444&amp;lon=31.2357&amp;peakpower=1&amp;loss=14&amp;angle=35&amp;aspect=-165&amp;outputformat=json&amp;raddatabase=PVGIS-SARAH3&amp;pvtechchoice=crystSi&amp;mountingplace=free&amp;usehorizon=1</v>
      </c>
    </row>
    <row r="2194">
      <c r="A2194" t="n">
        <v>35</v>
      </c>
      <c r="B2194" t="n">
        <v>30</v>
      </c>
      <c r="C2194" t="n">
        <v>1</v>
      </c>
      <c r="D2194" s="218" t="n">
        <v>32.51</v>
      </c>
      <c r="E2194" s="218" t="n">
        <v>1.05</v>
      </c>
      <c r="F2194" t="str">
        <v>https://re.jrc.ec.europa.eu/api/v5_3/PVcalc?lat=30.0444&amp;lon=31.2357&amp;peakpower=1&amp;loss=14&amp;angle=35&amp;aspect=-150&amp;outputformat=json&amp;raddatabase=PVGIS-SARAH3&amp;pvtechchoice=crystSi&amp;mountingplace=free&amp;usehorizon=1</v>
      </c>
    </row>
    <row r="2195">
      <c r="A2195" t="n">
        <v>35</v>
      </c>
      <c r="B2195" t="n">
        <v>30</v>
      </c>
      <c r="C2195" t="n">
        <v>2</v>
      </c>
      <c r="D2195" s="218" t="n">
        <v>49.26</v>
      </c>
      <c r="E2195" s="218" t="n">
        <v>1.76</v>
      </c>
      <c r="F2195" t="str">
        <v>https://re.jrc.ec.europa.eu/api/v5_3/PVcalc?lat=30.0444&amp;lon=31.2357&amp;peakpower=1&amp;loss=14&amp;angle=35&amp;aspect=-150&amp;outputformat=json&amp;raddatabase=PVGIS-SARAH3&amp;pvtechchoice=crystSi&amp;mountingplace=free&amp;usehorizon=1</v>
      </c>
    </row>
    <row r="2196">
      <c r="A2196" t="n">
        <v>35</v>
      </c>
      <c r="B2196" t="n">
        <v>30</v>
      </c>
      <c r="C2196" t="n">
        <v>3</v>
      </c>
      <c r="D2196" s="218" t="n">
        <v>85.67</v>
      </c>
      <c r="E2196" s="218" t="n">
        <v>2.76</v>
      </c>
      <c r="F2196" t="str">
        <v>https://re.jrc.ec.europa.eu/api/v5_3/PVcalc?lat=30.0444&amp;lon=31.2357&amp;peakpower=1&amp;loss=14&amp;angle=35&amp;aspect=-150&amp;outputformat=json&amp;raddatabase=PVGIS-SARAH3&amp;pvtechchoice=crystSi&amp;mountingplace=free&amp;usehorizon=1</v>
      </c>
    </row>
    <row r="2197">
      <c r="A2197" t="n">
        <v>35</v>
      </c>
      <c r="B2197" t="n">
        <v>30</v>
      </c>
      <c r="C2197" t="n">
        <v>4</v>
      </c>
      <c r="D2197" s="218" t="n">
        <v>115.77</v>
      </c>
      <c r="E2197" s="218" t="n">
        <v>3.86</v>
      </c>
      <c r="F2197" t="str">
        <v>https://re.jrc.ec.europa.eu/api/v5_3/PVcalc?lat=30.0444&amp;lon=31.2357&amp;peakpower=1&amp;loss=14&amp;angle=35&amp;aspect=-150&amp;outputformat=json&amp;raddatabase=PVGIS-SARAH3&amp;pvtechchoice=crystSi&amp;mountingplace=free&amp;usehorizon=1</v>
      </c>
    </row>
    <row r="2198">
      <c r="A2198" t="n">
        <v>35</v>
      </c>
      <c r="B2198" t="n">
        <v>30</v>
      </c>
      <c r="C2198" t="n">
        <v>5</v>
      </c>
      <c r="D2198" s="218" t="n">
        <v>145.79</v>
      </c>
      <c r="E2198" s="218" t="n">
        <v>4.7</v>
      </c>
      <c r="F2198" t="str">
        <v>https://re.jrc.ec.europa.eu/api/v5_3/PVcalc?lat=30.0444&amp;lon=31.2357&amp;peakpower=1&amp;loss=14&amp;angle=35&amp;aspect=-150&amp;outputformat=json&amp;raddatabase=PVGIS-SARAH3&amp;pvtechchoice=crystSi&amp;mountingplace=free&amp;usehorizon=1</v>
      </c>
    </row>
    <row r="2199">
      <c r="A2199" t="n">
        <v>35</v>
      </c>
      <c r="B2199" t="n">
        <v>30</v>
      </c>
      <c r="C2199" t="n">
        <v>6</v>
      </c>
      <c r="D2199" s="218" t="n">
        <v>155.72</v>
      </c>
      <c r="E2199" s="218" t="n">
        <v>5.19</v>
      </c>
      <c r="F2199" t="str">
        <v>https://re.jrc.ec.europa.eu/api/v5_3/PVcalc?lat=30.0444&amp;lon=31.2357&amp;peakpower=1&amp;loss=14&amp;angle=35&amp;aspect=-150&amp;outputformat=json&amp;raddatabase=PVGIS-SARAH3&amp;pvtechchoice=crystSi&amp;mountingplace=free&amp;usehorizon=1</v>
      </c>
    </row>
    <row r="2200">
      <c r="A2200" t="n">
        <v>35</v>
      </c>
      <c r="B2200" t="n">
        <v>30</v>
      </c>
      <c r="C2200" t="n">
        <v>7</v>
      </c>
      <c r="D2200" s="218" t="n">
        <v>152.78</v>
      </c>
      <c r="E2200" s="218" t="n">
        <v>4.93</v>
      </c>
      <c r="F2200" t="str">
        <v>https://re.jrc.ec.europa.eu/api/v5_3/PVcalc?lat=30.0444&amp;lon=31.2357&amp;peakpower=1&amp;loss=14&amp;angle=35&amp;aspect=-150&amp;outputformat=json&amp;raddatabase=PVGIS-SARAH3&amp;pvtechchoice=crystSi&amp;mountingplace=free&amp;usehorizon=1</v>
      </c>
    </row>
    <row r="2201">
      <c r="A2201" t="n">
        <v>35</v>
      </c>
      <c r="B2201" t="n">
        <v>30</v>
      </c>
      <c r="C2201" t="n">
        <v>8</v>
      </c>
      <c r="D2201" s="218" t="n">
        <v>129.02</v>
      </c>
      <c r="E2201" s="218" t="n">
        <v>4.16</v>
      </c>
      <c r="F2201" t="str">
        <v>https://re.jrc.ec.europa.eu/api/v5_3/PVcalc?lat=30.0444&amp;lon=31.2357&amp;peakpower=1&amp;loss=14&amp;angle=35&amp;aspect=-150&amp;outputformat=json&amp;raddatabase=PVGIS-SARAH3&amp;pvtechchoice=crystSi&amp;mountingplace=free&amp;usehorizon=1</v>
      </c>
    </row>
    <row r="2202">
      <c r="A2202" t="n">
        <v>35</v>
      </c>
      <c r="B2202" t="n">
        <v>30</v>
      </c>
      <c r="C2202" t="n">
        <v>9</v>
      </c>
      <c r="D2202" s="218" t="n">
        <v>92.86</v>
      </c>
      <c r="E2202" s="218" t="n">
        <v>3.1</v>
      </c>
      <c r="F2202" t="str">
        <v>https://re.jrc.ec.europa.eu/api/v5_3/PVcalc?lat=30.0444&amp;lon=31.2357&amp;peakpower=1&amp;loss=14&amp;angle=35&amp;aspect=-150&amp;outputformat=json&amp;raddatabase=PVGIS-SARAH3&amp;pvtechchoice=crystSi&amp;mountingplace=free&amp;usehorizon=1</v>
      </c>
    </row>
    <row r="2203">
      <c r="A2203" t="n">
        <v>35</v>
      </c>
      <c r="B2203" t="n">
        <v>30</v>
      </c>
      <c r="C2203" t="n">
        <v>10</v>
      </c>
      <c r="D2203" s="218" t="n">
        <v>62.17</v>
      </c>
      <c r="E2203" s="218" t="n">
        <v>2.01</v>
      </c>
      <c r="F2203" t="str">
        <v>https://re.jrc.ec.europa.eu/api/v5_3/PVcalc?lat=30.0444&amp;lon=31.2357&amp;peakpower=1&amp;loss=14&amp;angle=35&amp;aspect=-150&amp;outputformat=json&amp;raddatabase=PVGIS-SARAH3&amp;pvtechchoice=crystSi&amp;mountingplace=free&amp;usehorizon=1</v>
      </c>
    </row>
    <row r="2204">
      <c r="A2204" t="n">
        <v>35</v>
      </c>
      <c r="B2204" t="n">
        <v>30</v>
      </c>
      <c r="C2204" t="n">
        <v>11</v>
      </c>
      <c r="D2204" s="218" t="n">
        <v>35.56</v>
      </c>
      <c r="E2204" s="218" t="n">
        <v>1.19</v>
      </c>
      <c r="F2204" t="str">
        <v>https://re.jrc.ec.europa.eu/api/v5_3/PVcalc?lat=30.0444&amp;lon=31.2357&amp;peakpower=1&amp;loss=14&amp;angle=35&amp;aspect=-150&amp;outputformat=json&amp;raddatabase=PVGIS-SARAH3&amp;pvtechchoice=crystSi&amp;mountingplace=free&amp;usehorizon=1</v>
      </c>
    </row>
    <row r="2205">
      <c r="A2205" t="n">
        <v>35</v>
      </c>
      <c r="B2205" t="n">
        <v>30</v>
      </c>
      <c r="C2205" t="n">
        <v>12</v>
      </c>
      <c r="D2205" s="218" t="n">
        <v>27.49</v>
      </c>
      <c r="E2205" s="218" t="n">
        <v>0.89</v>
      </c>
      <c r="F2205" t="str">
        <v>https://re.jrc.ec.europa.eu/api/v5_3/PVcalc?lat=30.0444&amp;lon=31.2357&amp;peakpower=1&amp;loss=14&amp;angle=35&amp;aspect=-150&amp;outputformat=json&amp;raddatabase=PVGIS-SARAH3&amp;pvtechchoice=crystSi&amp;mountingplace=free&amp;usehorizon=1</v>
      </c>
    </row>
    <row r="2206">
      <c r="A2206" t="n">
        <v>35</v>
      </c>
      <c r="B2206" t="n">
        <v>45</v>
      </c>
      <c r="C2206" t="n">
        <v>1</v>
      </c>
      <c r="D2206" s="218" t="n">
        <v>44.04</v>
      </c>
      <c r="E2206" s="218" t="n">
        <v>1.42</v>
      </c>
      <c r="F2206" t="str">
        <v>https://re.jrc.ec.europa.eu/api/v5_3/PVcalc?lat=30.0444&amp;lon=31.2357&amp;peakpower=1&amp;loss=14&amp;angle=35&amp;aspect=-135&amp;outputformat=json&amp;raddatabase=PVGIS-SARAH3&amp;pvtechchoice=crystSi&amp;mountingplace=free&amp;usehorizon=1</v>
      </c>
    </row>
    <row r="2207">
      <c r="A2207" t="n">
        <v>35</v>
      </c>
      <c r="B2207" t="n">
        <v>45</v>
      </c>
      <c r="C2207" t="n">
        <v>2</v>
      </c>
      <c r="D2207" s="218" t="n">
        <v>60.07</v>
      </c>
      <c r="E2207" s="218" t="n">
        <v>2.15</v>
      </c>
      <c r="F2207" t="str">
        <v>https://re.jrc.ec.europa.eu/api/v5_3/PVcalc?lat=30.0444&amp;lon=31.2357&amp;peakpower=1&amp;loss=14&amp;angle=35&amp;aspect=-135&amp;outputformat=json&amp;raddatabase=PVGIS-SARAH3&amp;pvtechchoice=crystSi&amp;mountingplace=free&amp;usehorizon=1</v>
      </c>
    </row>
    <row r="2208">
      <c r="A2208" t="n">
        <v>35</v>
      </c>
      <c r="B2208" t="n">
        <v>45</v>
      </c>
      <c r="C2208" t="n">
        <v>3</v>
      </c>
      <c r="D2208" s="218" t="n">
        <v>95.42</v>
      </c>
      <c r="E2208" s="218" t="n">
        <v>3.08</v>
      </c>
      <c r="F2208" t="str">
        <v>https://re.jrc.ec.europa.eu/api/v5_3/PVcalc?lat=30.0444&amp;lon=31.2357&amp;peakpower=1&amp;loss=14&amp;angle=35&amp;aspect=-135&amp;outputformat=json&amp;raddatabase=PVGIS-SARAH3&amp;pvtechchoice=crystSi&amp;mountingplace=free&amp;usehorizon=1</v>
      </c>
    </row>
    <row r="2209">
      <c r="A2209" t="n">
        <v>35</v>
      </c>
      <c r="B2209" t="n">
        <v>45</v>
      </c>
      <c r="C2209" t="n">
        <v>4</v>
      </c>
      <c r="D2209" s="218" t="n">
        <v>120.86</v>
      </c>
      <c r="E2209" s="218" t="n">
        <v>4.03</v>
      </c>
      <c r="F2209" t="str">
        <v>https://re.jrc.ec.europa.eu/api/v5_3/PVcalc?lat=30.0444&amp;lon=31.2357&amp;peakpower=1&amp;loss=14&amp;angle=35&amp;aspect=-135&amp;outputformat=json&amp;raddatabase=PVGIS-SARAH3&amp;pvtechchoice=crystSi&amp;mountingplace=free&amp;usehorizon=1</v>
      </c>
    </row>
    <row r="2210">
      <c r="A2210" t="n">
        <v>35</v>
      </c>
      <c r="B2210" t="n">
        <v>45</v>
      </c>
      <c r="C2210" t="n">
        <v>5</v>
      </c>
      <c r="D2210" s="218" t="n">
        <v>147.15</v>
      </c>
      <c r="E2210" s="218" t="n">
        <v>4.75</v>
      </c>
      <c r="F2210" t="str">
        <v>https://re.jrc.ec.europa.eu/api/v5_3/PVcalc?lat=30.0444&amp;lon=31.2357&amp;peakpower=1&amp;loss=14&amp;angle=35&amp;aspect=-135&amp;outputformat=json&amp;raddatabase=PVGIS-SARAH3&amp;pvtechchoice=crystSi&amp;mountingplace=free&amp;usehorizon=1</v>
      </c>
    </row>
    <row r="2211">
      <c r="A2211" t="n">
        <v>35</v>
      </c>
      <c r="B2211" t="n">
        <v>45</v>
      </c>
      <c r="C2211" t="n">
        <v>6</v>
      </c>
      <c r="D2211" s="218" t="n">
        <v>154.37</v>
      </c>
      <c r="E2211" s="218" t="n">
        <v>5.15</v>
      </c>
      <c r="F2211" t="str">
        <v>https://re.jrc.ec.europa.eu/api/v5_3/PVcalc?lat=30.0444&amp;lon=31.2357&amp;peakpower=1&amp;loss=14&amp;angle=35&amp;aspect=-135&amp;outputformat=json&amp;raddatabase=PVGIS-SARAH3&amp;pvtechchoice=crystSi&amp;mountingplace=free&amp;usehorizon=1</v>
      </c>
    </row>
    <row r="2212">
      <c r="A2212" t="n">
        <v>35</v>
      </c>
      <c r="B2212" t="n">
        <v>45</v>
      </c>
      <c r="C2212" t="n">
        <v>7</v>
      </c>
      <c r="D2212" s="218" t="n">
        <v>152.25</v>
      </c>
      <c r="E2212" s="218" t="n">
        <v>4.91</v>
      </c>
      <c r="F2212" t="str">
        <v>https://re.jrc.ec.europa.eu/api/v5_3/PVcalc?lat=30.0444&amp;lon=31.2357&amp;peakpower=1&amp;loss=14&amp;angle=35&amp;aspect=-135&amp;outputformat=json&amp;raddatabase=PVGIS-SARAH3&amp;pvtechchoice=crystSi&amp;mountingplace=free&amp;usehorizon=1</v>
      </c>
    </row>
    <row r="2213">
      <c r="A2213" t="n">
        <v>35</v>
      </c>
      <c r="B2213" t="n">
        <v>45</v>
      </c>
      <c r="C2213" t="n">
        <v>8</v>
      </c>
      <c r="D2213" s="218" t="n">
        <v>132.62</v>
      </c>
      <c r="E2213" s="218" t="n">
        <v>4.28</v>
      </c>
      <c r="F2213" t="str">
        <v>https://re.jrc.ec.europa.eu/api/v5_3/PVcalc?lat=30.0444&amp;lon=31.2357&amp;peakpower=1&amp;loss=14&amp;angle=35&amp;aspect=-135&amp;outputformat=json&amp;raddatabase=PVGIS-SARAH3&amp;pvtechchoice=crystSi&amp;mountingplace=free&amp;usehorizon=1</v>
      </c>
    </row>
    <row r="2214">
      <c r="A2214" t="n">
        <v>35</v>
      </c>
      <c r="B2214" t="n">
        <v>45</v>
      </c>
      <c r="C2214" t="n">
        <v>9</v>
      </c>
      <c r="D2214" s="218" t="n">
        <v>100.88</v>
      </c>
      <c r="E2214" s="218" t="n">
        <v>3.36</v>
      </c>
      <c r="F2214" t="str">
        <v>https://re.jrc.ec.europa.eu/api/v5_3/PVcalc?lat=30.0444&amp;lon=31.2357&amp;peakpower=1&amp;loss=14&amp;angle=35&amp;aspect=-135&amp;outputformat=json&amp;raddatabase=PVGIS-SARAH3&amp;pvtechchoice=crystSi&amp;mountingplace=free&amp;usehorizon=1</v>
      </c>
    </row>
    <row r="2215">
      <c r="A2215" t="n">
        <v>35</v>
      </c>
      <c r="B2215" t="n">
        <v>45</v>
      </c>
      <c r="C2215" t="n">
        <v>10</v>
      </c>
      <c r="D2215" s="218" t="n">
        <v>73.94</v>
      </c>
      <c r="E2215" s="218" t="n">
        <v>2.39</v>
      </c>
      <c r="F2215" t="str">
        <v>https://re.jrc.ec.europa.eu/api/v5_3/PVcalc?lat=30.0444&amp;lon=31.2357&amp;peakpower=1&amp;loss=14&amp;angle=35&amp;aspect=-135&amp;outputformat=json&amp;raddatabase=PVGIS-SARAH3&amp;pvtechchoice=crystSi&amp;mountingplace=free&amp;usehorizon=1</v>
      </c>
    </row>
    <row r="2216">
      <c r="A2216" t="n">
        <v>35</v>
      </c>
      <c r="B2216" t="n">
        <v>45</v>
      </c>
      <c r="C2216" t="n">
        <v>11</v>
      </c>
      <c r="D2216" s="218" t="n">
        <v>47.77</v>
      </c>
      <c r="E2216" s="218" t="n">
        <v>1.59</v>
      </c>
      <c r="F2216" t="str">
        <v>https://re.jrc.ec.europa.eu/api/v5_3/PVcalc?lat=30.0444&amp;lon=31.2357&amp;peakpower=1&amp;loss=14&amp;angle=35&amp;aspect=-135&amp;outputformat=json&amp;raddatabase=PVGIS-SARAH3&amp;pvtechchoice=crystSi&amp;mountingplace=free&amp;usehorizon=1</v>
      </c>
    </row>
    <row r="2217">
      <c r="A2217" t="n">
        <v>35</v>
      </c>
      <c r="B2217" t="n">
        <v>45</v>
      </c>
      <c r="C2217" t="n">
        <v>12</v>
      </c>
      <c r="D2217" s="218" t="n">
        <v>37.97</v>
      </c>
      <c r="E2217" s="218" t="n">
        <v>1.22</v>
      </c>
      <c r="F2217" t="str">
        <v>https://re.jrc.ec.europa.eu/api/v5_3/PVcalc?lat=30.0444&amp;lon=31.2357&amp;peakpower=1&amp;loss=14&amp;angle=35&amp;aspect=-135&amp;outputformat=json&amp;raddatabase=PVGIS-SARAH3&amp;pvtechchoice=crystSi&amp;mountingplace=free&amp;usehorizon=1</v>
      </c>
    </row>
    <row r="2218">
      <c r="A2218" t="n">
        <v>35</v>
      </c>
      <c r="B2218" t="n">
        <v>60</v>
      </c>
      <c r="C2218" t="n">
        <v>1</v>
      </c>
      <c r="D2218" s="218" t="n">
        <v>56.98</v>
      </c>
      <c r="E2218" s="218" t="n">
        <v>1.84</v>
      </c>
      <c r="F2218" t="str">
        <v>https://re.jrc.ec.europa.eu/api/v5_3/PVcalc?lat=30.0444&amp;lon=31.2357&amp;peakpower=1&amp;loss=14&amp;angle=35&amp;aspect=-120&amp;outputformat=json&amp;raddatabase=PVGIS-SARAH3&amp;pvtechchoice=crystSi&amp;mountingplace=free&amp;usehorizon=1</v>
      </c>
    </row>
    <row r="2219">
      <c r="A2219" t="n">
        <v>35</v>
      </c>
      <c r="B2219" t="n">
        <v>60</v>
      </c>
      <c r="C2219" t="n">
        <v>2</v>
      </c>
      <c r="D2219" s="218" t="n">
        <v>71.5</v>
      </c>
      <c r="E2219" s="218" t="n">
        <v>2.55</v>
      </c>
      <c r="F2219" t="str">
        <v>https://re.jrc.ec.europa.eu/api/v5_3/PVcalc?lat=30.0444&amp;lon=31.2357&amp;peakpower=1&amp;loss=14&amp;angle=35&amp;aspect=-120&amp;outputformat=json&amp;raddatabase=PVGIS-SARAH3&amp;pvtechchoice=crystSi&amp;mountingplace=free&amp;usehorizon=1</v>
      </c>
    </row>
    <row r="2220">
      <c r="A2220" t="n">
        <v>35</v>
      </c>
      <c r="B2220" t="n">
        <v>60</v>
      </c>
      <c r="C2220" t="n">
        <v>3</v>
      </c>
      <c r="D2220" s="218" t="n">
        <v>105.78</v>
      </c>
      <c r="E2220" s="218" t="n">
        <v>3.41</v>
      </c>
      <c r="F2220" t="str">
        <v>https://re.jrc.ec.europa.eu/api/v5_3/PVcalc?lat=30.0444&amp;lon=31.2357&amp;peakpower=1&amp;loss=14&amp;angle=35&amp;aspect=-120&amp;outputformat=json&amp;raddatabase=PVGIS-SARAH3&amp;pvtechchoice=crystSi&amp;mountingplace=free&amp;usehorizon=1</v>
      </c>
    </row>
    <row r="2221">
      <c r="A2221" t="n">
        <v>35</v>
      </c>
      <c r="B2221" t="n">
        <v>60</v>
      </c>
      <c r="C2221" t="n">
        <v>4</v>
      </c>
      <c r="D2221" s="218" t="n">
        <v>127.16</v>
      </c>
      <c r="E2221" s="218" t="n">
        <v>4.24</v>
      </c>
      <c r="F2221" t="str">
        <v>https://re.jrc.ec.europa.eu/api/v5_3/PVcalc?lat=30.0444&amp;lon=31.2357&amp;peakpower=1&amp;loss=14&amp;angle=35&amp;aspect=-120&amp;outputformat=json&amp;raddatabase=PVGIS-SARAH3&amp;pvtechchoice=crystSi&amp;mountingplace=free&amp;usehorizon=1</v>
      </c>
    </row>
    <row r="2222">
      <c r="A2222" t="n">
        <v>35</v>
      </c>
      <c r="B2222" t="n">
        <v>60</v>
      </c>
      <c r="C2222" t="n">
        <v>5</v>
      </c>
      <c r="D2222" s="218" t="n">
        <v>149.62</v>
      </c>
      <c r="E2222" s="218" t="n">
        <v>4.83</v>
      </c>
      <c r="F2222" t="str">
        <v>https://re.jrc.ec.europa.eu/api/v5_3/PVcalc?lat=30.0444&amp;lon=31.2357&amp;peakpower=1&amp;loss=14&amp;angle=35&amp;aspect=-120&amp;outputformat=json&amp;raddatabase=PVGIS-SARAH3&amp;pvtechchoice=crystSi&amp;mountingplace=free&amp;usehorizon=1</v>
      </c>
    </row>
    <row r="2223">
      <c r="A2223" t="n">
        <v>35</v>
      </c>
      <c r="B2223" t="n">
        <v>60</v>
      </c>
      <c r="C2223" t="n">
        <v>6</v>
      </c>
      <c r="D2223" s="218" t="n">
        <v>155.06</v>
      </c>
      <c r="E2223" s="218" t="n">
        <v>5.17</v>
      </c>
      <c r="F2223" t="str">
        <v>https://re.jrc.ec.europa.eu/api/v5_3/PVcalc?lat=30.0444&amp;lon=31.2357&amp;peakpower=1&amp;loss=14&amp;angle=35&amp;aspect=-120&amp;outputformat=json&amp;raddatabase=PVGIS-SARAH3&amp;pvtechchoice=crystSi&amp;mountingplace=free&amp;usehorizon=1</v>
      </c>
    </row>
    <row r="2224">
      <c r="A2224" t="n">
        <v>35</v>
      </c>
      <c r="B2224" t="n">
        <v>60</v>
      </c>
      <c r="C2224" t="n">
        <v>7</v>
      </c>
      <c r="D2224" s="218" t="n">
        <v>153.65</v>
      </c>
      <c r="E2224" s="218" t="n">
        <v>4.96</v>
      </c>
      <c r="F2224" t="str">
        <v>https://re.jrc.ec.europa.eu/api/v5_3/PVcalc?lat=30.0444&amp;lon=31.2357&amp;peakpower=1&amp;loss=14&amp;angle=35&amp;aspect=-120&amp;outputformat=json&amp;raddatabase=PVGIS-SARAH3&amp;pvtechchoice=crystSi&amp;mountingplace=free&amp;usehorizon=1</v>
      </c>
    </row>
    <row r="2225">
      <c r="A2225" t="n">
        <v>35</v>
      </c>
      <c r="B2225" t="n">
        <v>60</v>
      </c>
      <c r="C2225" t="n">
        <v>8</v>
      </c>
      <c r="D2225" s="218" t="n">
        <v>137.78</v>
      </c>
      <c r="E2225" s="218" t="n">
        <v>4.44</v>
      </c>
      <c r="F2225" t="str">
        <v>https://re.jrc.ec.europa.eu/api/v5_3/PVcalc?lat=30.0444&amp;lon=31.2357&amp;peakpower=1&amp;loss=14&amp;angle=35&amp;aspect=-120&amp;outputformat=json&amp;raddatabase=PVGIS-SARAH3&amp;pvtechchoice=crystSi&amp;mountingplace=free&amp;usehorizon=1</v>
      </c>
    </row>
    <row r="2226">
      <c r="A2226" t="n">
        <v>35</v>
      </c>
      <c r="B2226" t="n">
        <v>60</v>
      </c>
      <c r="C2226" t="n">
        <v>9</v>
      </c>
      <c r="D2226" s="218" t="n">
        <v>109.78</v>
      </c>
      <c r="E2226" s="218" t="n">
        <v>3.66</v>
      </c>
      <c r="F2226" t="str">
        <v>https://re.jrc.ec.europa.eu/api/v5_3/PVcalc?lat=30.0444&amp;lon=31.2357&amp;peakpower=1&amp;loss=14&amp;angle=35&amp;aspect=-120&amp;outputformat=json&amp;raddatabase=PVGIS-SARAH3&amp;pvtechchoice=crystSi&amp;mountingplace=free&amp;usehorizon=1</v>
      </c>
    </row>
    <row r="2227">
      <c r="A2227" t="n">
        <v>35</v>
      </c>
      <c r="B2227" t="n">
        <v>60</v>
      </c>
      <c r="C2227" t="n">
        <v>10</v>
      </c>
      <c r="D2227" s="218" t="n">
        <v>86.3</v>
      </c>
      <c r="E2227" s="218" t="n">
        <v>2.78</v>
      </c>
      <c r="F2227" t="str">
        <v>https://re.jrc.ec.europa.eu/api/v5_3/PVcalc?lat=30.0444&amp;lon=31.2357&amp;peakpower=1&amp;loss=14&amp;angle=35&amp;aspect=-120&amp;outputformat=json&amp;raddatabase=PVGIS-SARAH3&amp;pvtechchoice=crystSi&amp;mountingplace=free&amp;usehorizon=1</v>
      </c>
    </row>
    <row r="2228">
      <c r="A2228" t="n">
        <v>35</v>
      </c>
      <c r="B2228" t="n">
        <v>60</v>
      </c>
      <c r="C2228" t="n">
        <v>11</v>
      </c>
      <c r="D2228" s="218" t="n">
        <v>61.46</v>
      </c>
      <c r="E2228" s="218" t="n">
        <v>2.05</v>
      </c>
      <c r="F2228" t="str">
        <v>https://re.jrc.ec.europa.eu/api/v5_3/PVcalc?lat=30.0444&amp;lon=31.2357&amp;peakpower=1&amp;loss=14&amp;angle=35&amp;aspect=-120&amp;outputformat=json&amp;raddatabase=PVGIS-SARAH3&amp;pvtechchoice=crystSi&amp;mountingplace=free&amp;usehorizon=1</v>
      </c>
    </row>
    <row r="2229">
      <c r="A2229" t="n">
        <v>35</v>
      </c>
      <c r="B2229" t="n">
        <v>60</v>
      </c>
      <c r="C2229" t="n">
        <v>12</v>
      </c>
      <c r="D2229" s="218" t="n">
        <v>51.7</v>
      </c>
      <c r="E2229" s="218" t="n">
        <v>1.67</v>
      </c>
      <c r="F2229" t="str">
        <v>https://re.jrc.ec.europa.eu/api/v5_3/PVcalc?lat=30.0444&amp;lon=31.2357&amp;peakpower=1&amp;loss=14&amp;angle=35&amp;aspect=-120&amp;outputformat=json&amp;raddatabase=PVGIS-SARAH3&amp;pvtechchoice=crystSi&amp;mountingplace=free&amp;usehorizon=1</v>
      </c>
    </row>
    <row r="2230">
      <c r="A2230" t="n">
        <v>35</v>
      </c>
      <c r="B2230" t="n">
        <v>75</v>
      </c>
      <c r="C2230" t="n">
        <v>1</v>
      </c>
      <c r="D2230" s="218" t="n">
        <v>70.11</v>
      </c>
      <c r="E2230" s="218" t="n">
        <v>2.26</v>
      </c>
      <c r="F2230" t="str">
        <v>https://re.jrc.ec.europa.eu/api/v5_3/PVcalc?lat=30.0444&amp;lon=31.2357&amp;peakpower=1&amp;loss=14&amp;angle=35&amp;aspect=-105&amp;outputformat=json&amp;raddatabase=PVGIS-SARAH3&amp;pvtechchoice=crystSi&amp;mountingplace=free&amp;usehorizon=1</v>
      </c>
    </row>
    <row r="2231">
      <c r="A2231" t="n">
        <v>35</v>
      </c>
      <c r="B2231" t="n">
        <v>75</v>
      </c>
      <c r="C2231" t="n">
        <v>2</v>
      </c>
      <c r="D2231" s="218" t="n">
        <v>82.97</v>
      </c>
      <c r="E2231" s="218" t="n">
        <v>2.96</v>
      </c>
      <c r="F2231" t="str">
        <v>https://re.jrc.ec.europa.eu/api/v5_3/PVcalc?lat=30.0444&amp;lon=31.2357&amp;peakpower=1&amp;loss=14&amp;angle=35&amp;aspect=-105&amp;outputformat=json&amp;raddatabase=PVGIS-SARAH3&amp;pvtechchoice=crystSi&amp;mountingplace=free&amp;usehorizon=1</v>
      </c>
    </row>
    <row r="2232">
      <c r="A2232" t="n">
        <v>35</v>
      </c>
      <c r="B2232" t="n">
        <v>75</v>
      </c>
      <c r="C2232" t="n">
        <v>3</v>
      </c>
      <c r="D2232" s="218" t="n">
        <v>115.93</v>
      </c>
      <c r="E2232" s="218" t="n">
        <v>3.74</v>
      </c>
      <c r="F2232" t="str">
        <v>https://re.jrc.ec.europa.eu/api/v5_3/PVcalc?lat=30.0444&amp;lon=31.2357&amp;peakpower=1&amp;loss=14&amp;angle=35&amp;aspect=-105&amp;outputformat=json&amp;raddatabase=PVGIS-SARAH3&amp;pvtechchoice=crystSi&amp;mountingplace=free&amp;usehorizon=1</v>
      </c>
    </row>
    <row r="2233">
      <c r="A2233" t="n">
        <v>35</v>
      </c>
      <c r="B2233" t="n">
        <v>75</v>
      </c>
      <c r="C2233" t="n">
        <v>4</v>
      </c>
      <c r="D2233" s="218" t="n">
        <v>133.31</v>
      </c>
      <c r="E2233" s="218" t="n">
        <v>4.44</v>
      </c>
      <c r="F2233" t="str">
        <v>https://re.jrc.ec.europa.eu/api/v5_3/PVcalc?lat=30.0444&amp;lon=31.2357&amp;peakpower=1&amp;loss=14&amp;angle=35&amp;aspect=-105&amp;outputformat=json&amp;raddatabase=PVGIS-SARAH3&amp;pvtechchoice=crystSi&amp;mountingplace=free&amp;usehorizon=1</v>
      </c>
    </row>
    <row r="2234">
      <c r="A2234" t="n">
        <v>35</v>
      </c>
      <c r="B2234" t="n">
        <v>75</v>
      </c>
      <c r="C2234" t="n">
        <v>5</v>
      </c>
      <c r="D2234" s="218" t="n">
        <v>153</v>
      </c>
      <c r="E2234" s="218" t="n">
        <v>4.94</v>
      </c>
      <c r="F2234" t="str">
        <v>https://re.jrc.ec.europa.eu/api/v5_3/PVcalc?lat=30.0444&amp;lon=31.2357&amp;peakpower=1&amp;loss=14&amp;angle=35&amp;aspect=-105&amp;outputformat=json&amp;raddatabase=PVGIS-SARAH3&amp;pvtechchoice=crystSi&amp;mountingplace=free&amp;usehorizon=1</v>
      </c>
    </row>
    <row r="2235">
      <c r="A2235" t="n">
        <v>35</v>
      </c>
      <c r="B2235" t="n">
        <v>75</v>
      </c>
      <c r="C2235" t="n">
        <v>6</v>
      </c>
      <c r="D2235" s="218" t="n">
        <v>155.68</v>
      </c>
      <c r="E2235" s="218" t="n">
        <v>5.19</v>
      </c>
      <c r="F2235" t="str">
        <v>https://re.jrc.ec.europa.eu/api/v5_3/PVcalc?lat=30.0444&amp;lon=31.2357&amp;peakpower=1&amp;loss=14&amp;angle=35&amp;aspect=-105&amp;outputformat=json&amp;raddatabase=PVGIS-SARAH3&amp;pvtechchoice=crystSi&amp;mountingplace=free&amp;usehorizon=1</v>
      </c>
    </row>
    <row r="2236">
      <c r="A2236" t="n">
        <v>35</v>
      </c>
      <c r="B2236" t="n">
        <v>75</v>
      </c>
      <c r="C2236" t="n">
        <v>7</v>
      </c>
      <c r="D2236" s="218" t="n">
        <v>155.36</v>
      </c>
      <c r="E2236" s="218" t="n">
        <v>5.01</v>
      </c>
      <c r="F2236" t="str">
        <v>https://re.jrc.ec.europa.eu/api/v5_3/PVcalc?lat=30.0444&amp;lon=31.2357&amp;peakpower=1&amp;loss=14&amp;angle=35&amp;aspect=-105&amp;outputformat=json&amp;raddatabase=PVGIS-SARAH3&amp;pvtechchoice=crystSi&amp;mountingplace=free&amp;usehorizon=1</v>
      </c>
    </row>
    <row r="2237">
      <c r="A2237" t="n">
        <v>35</v>
      </c>
      <c r="B2237" t="n">
        <v>75</v>
      </c>
      <c r="C2237" t="n">
        <v>8</v>
      </c>
      <c r="D2237" s="218" t="n">
        <v>143.27</v>
      </c>
      <c r="E2237" s="218" t="n">
        <v>4.62</v>
      </c>
      <c r="F2237" t="str">
        <v>https://re.jrc.ec.europa.eu/api/v5_3/PVcalc?lat=30.0444&amp;lon=31.2357&amp;peakpower=1&amp;loss=14&amp;angle=35&amp;aspect=-105&amp;outputformat=json&amp;raddatabase=PVGIS-SARAH3&amp;pvtechchoice=crystSi&amp;mountingplace=free&amp;usehorizon=1</v>
      </c>
    </row>
    <row r="2238">
      <c r="A2238" t="n">
        <v>35</v>
      </c>
      <c r="B2238" t="n">
        <v>75</v>
      </c>
      <c r="C2238" t="n">
        <v>9</v>
      </c>
      <c r="D2238" s="218" t="n">
        <v>118.77</v>
      </c>
      <c r="E2238" s="218" t="n">
        <v>3.96</v>
      </c>
      <c r="F2238" t="str">
        <v>https://re.jrc.ec.europa.eu/api/v5_3/PVcalc?lat=30.0444&amp;lon=31.2357&amp;peakpower=1&amp;loss=14&amp;angle=35&amp;aspect=-105&amp;outputformat=json&amp;raddatabase=PVGIS-SARAH3&amp;pvtechchoice=crystSi&amp;mountingplace=free&amp;usehorizon=1</v>
      </c>
    </row>
    <row r="2239">
      <c r="A2239" t="n">
        <v>35</v>
      </c>
      <c r="B2239" t="n">
        <v>75</v>
      </c>
      <c r="C2239" t="n">
        <v>10</v>
      </c>
      <c r="D2239" s="218" t="n">
        <v>98.69</v>
      </c>
      <c r="E2239" s="218" t="n">
        <v>3.18</v>
      </c>
      <c r="F2239" t="str">
        <v>https://re.jrc.ec.europa.eu/api/v5_3/PVcalc?lat=30.0444&amp;lon=31.2357&amp;peakpower=1&amp;loss=14&amp;angle=35&amp;aspect=-105&amp;outputformat=json&amp;raddatabase=PVGIS-SARAH3&amp;pvtechchoice=crystSi&amp;mountingplace=free&amp;usehorizon=1</v>
      </c>
    </row>
    <row r="2240">
      <c r="A2240" t="n">
        <v>35</v>
      </c>
      <c r="B2240" t="n">
        <v>75</v>
      </c>
      <c r="C2240" t="n">
        <v>11</v>
      </c>
      <c r="D2240" s="218" t="n">
        <v>75.12</v>
      </c>
      <c r="E2240" s="218" t="n">
        <v>2.5</v>
      </c>
      <c r="F2240" t="str">
        <v>https://re.jrc.ec.europa.eu/api/v5_3/PVcalc?lat=30.0444&amp;lon=31.2357&amp;peakpower=1&amp;loss=14&amp;angle=35&amp;aspect=-105&amp;outputformat=json&amp;raddatabase=PVGIS-SARAH3&amp;pvtechchoice=crystSi&amp;mountingplace=free&amp;usehorizon=1</v>
      </c>
    </row>
    <row r="2241">
      <c r="A2241" t="n">
        <v>35</v>
      </c>
      <c r="B2241" t="n">
        <v>75</v>
      </c>
      <c r="C2241" t="n">
        <v>12</v>
      </c>
      <c r="D2241" s="218" t="n">
        <v>66.12</v>
      </c>
      <c r="E2241" s="218" t="n">
        <v>2.13</v>
      </c>
      <c r="F2241" t="str">
        <v>https://re.jrc.ec.europa.eu/api/v5_3/PVcalc?lat=30.0444&amp;lon=31.2357&amp;peakpower=1&amp;loss=14&amp;angle=35&amp;aspect=-105&amp;outputformat=json&amp;raddatabase=PVGIS-SARAH3&amp;pvtechchoice=crystSi&amp;mountingplace=free&amp;usehorizon=1</v>
      </c>
    </row>
    <row r="2242">
      <c r="A2242" t="n">
        <v>35</v>
      </c>
      <c r="B2242" t="n">
        <v>90</v>
      </c>
      <c r="C2242" t="n">
        <v>1</v>
      </c>
      <c r="D2242" s="218" t="n">
        <v>83.92</v>
      </c>
      <c r="E2242" s="218" t="n">
        <v>2.71</v>
      </c>
      <c r="F2242" t="str">
        <v>https://re.jrc.ec.europa.eu/api/v5_3/PVcalc?lat=30.0444&amp;lon=31.2357&amp;peakpower=1&amp;loss=14&amp;angle=35&amp;aspect=-90&amp;outputformat=json&amp;raddatabase=PVGIS-SARAH3&amp;pvtechchoice=crystSi&amp;mountingplace=free&amp;usehorizon=1</v>
      </c>
    </row>
    <row r="2243">
      <c r="A2243" t="n">
        <v>35</v>
      </c>
      <c r="B2243" t="n">
        <v>90</v>
      </c>
      <c r="C2243" t="n">
        <v>2</v>
      </c>
      <c r="D2243" s="218" t="n">
        <v>93.55</v>
      </c>
      <c r="E2243" s="218" t="n">
        <v>3.34</v>
      </c>
      <c r="F2243" t="str">
        <v>https://re.jrc.ec.europa.eu/api/v5_3/PVcalc?lat=30.0444&amp;lon=31.2357&amp;peakpower=1&amp;loss=14&amp;angle=35&amp;aspect=-90&amp;outputformat=json&amp;raddatabase=PVGIS-SARAH3&amp;pvtechchoice=crystSi&amp;mountingplace=free&amp;usehorizon=1</v>
      </c>
    </row>
    <row r="2244">
      <c r="A2244" t="n">
        <v>35</v>
      </c>
      <c r="B2244" t="n">
        <v>90</v>
      </c>
      <c r="C2244" t="n">
        <v>3</v>
      </c>
      <c r="D2244" s="218" t="n">
        <v>125.62</v>
      </c>
      <c r="E2244" s="218" t="n">
        <v>4.05</v>
      </c>
      <c r="F2244" t="str">
        <v>https://re.jrc.ec.europa.eu/api/v5_3/PVcalc?lat=30.0444&amp;lon=31.2357&amp;peakpower=1&amp;loss=14&amp;angle=35&amp;aspect=-90&amp;outputformat=json&amp;raddatabase=PVGIS-SARAH3&amp;pvtechchoice=crystSi&amp;mountingplace=free&amp;usehorizon=1</v>
      </c>
    </row>
    <row r="2245">
      <c r="A2245" t="n">
        <v>35</v>
      </c>
      <c r="B2245" t="n">
        <v>90</v>
      </c>
      <c r="C2245" t="n">
        <v>4</v>
      </c>
      <c r="D2245" s="218" t="n">
        <v>139.17</v>
      </c>
      <c r="E2245" s="218" t="n">
        <v>4.64</v>
      </c>
      <c r="F2245" t="str">
        <v>https://re.jrc.ec.europa.eu/api/v5_3/PVcalc?lat=30.0444&amp;lon=31.2357&amp;peakpower=1&amp;loss=14&amp;angle=35&amp;aspect=-90&amp;outputformat=json&amp;raddatabase=PVGIS-SARAH3&amp;pvtechchoice=crystSi&amp;mountingplace=free&amp;usehorizon=1</v>
      </c>
    </row>
    <row r="2246">
      <c r="A2246" t="n">
        <v>35</v>
      </c>
      <c r="B2246" t="n">
        <v>90</v>
      </c>
      <c r="C2246" t="n">
        <v>5</v>
      </c>
      <c r="D2246" s="218" t="n">
        <v>155.39</v>
      </c>
      <c r="E2246" s="218" t="n">
        <v>5.01</v>
      </c>
      <c r="F2246" t="str">
        <v>https://re.jrc.ec.europa.eu/api/v5_3/PVcalc?lat=30.0444&amp;lon=31.2357&amp;peakpower=1&amp;loss=14&amp;angle=35&amp;aspect=-90&amp;outputformat=json&amp;raddatabase=PVGIS-SARAH3&amp;pvtechchoice=crystSi&amp;mountingplace=free&amp;usehorizon=1</v>
      </c>
    </row>
    <row r="2247">
      <c r="A2247" t="n">
        <v>35</v>
      </c>
      <c r="B2247" t="n">
        <v>90</v>
      </c>
      <c r="C2247" t="n">
        <v>6</v>
      </c>
      <c r="D2247" s="218" t="n">
        <v>157.11</v>
      </c>
      <c r="E2247" s="218" t="n">
        <v>5.24</v>
      </c>
      <c r="F2247" t="str">
        <v>https://re.jrc.ec.europa.eu/api/v5_3/PVcalc?lat=30.0444&amp;lon=31.2357&amp;peakpower=1&amp;loss=14&amp;angle=35&amp;aspect=-90&amp;outputformat=json&amp;raddatabase=PVGIS-SARAH3&amp;pvtechchoice=crystSi&amp;mountingplace=free&amp;usehorizon=1</v>
      </c>
    </row>
    <row r="2248">
      <c r="A2248" t="n">
        <v>35</v>
      </c>
      <c r="B2248" t="n">
        <v>90</v>
      </c>
      <c r="C2248" t="n">
        <v>7</v>
      </c>
      <c r="D2248" s="218" t="n">
        <v>157.68</v>
      </c>
      <c r="E2248" s="218" t="n">
        <v>5.09</v>
      </c>
      <c r="F2248" t="str">
        <v>https://re.jrc.ec.europa.eu/api/v5_3/PVcalc?lat=30.0444&amp;lon=31.2357&amp;peakpower=1&amp;loss=14&amp;angle=35&amp;aspect=-90&amp;outputformat=json&amp;raddatabase=PVGIS-SARAH3&amp;pvtechchoice=crystSi&amp;mountingplace=free&amp;usehorizon=1</v>
      </c>
    </row>
    <row r="2249">
      <c r="A2249" t="n">
        <v>35</v>
      </c>
      <c r="B2249" t="n">
        <v>90</v>
      </c>
      <c r="C2249" t="n">
        <v>8</v>
      </c>
      <c r="D2249" s="218" t="n">
        <v>148.1</v>
      </c>
      <c r="E2249" s="218" t="n">
        <v>4.78</v>
      </c>
      <c r="F2249" t="str">
        <v>https://re.jrc.ec.europa.eu/api/v5_3/PVcalc?lat=30.0444&amp;lon=31.2357&amp;peakpower=1&amp;loss=14&amp;angle=35&amp;aspect=-90&amp;outputformat=json&amp;raddatabase=PVGIS-SARAH3&amp;pvtechchoice=crystSi&amp;mountingplace=free&amp;usehorizon=1</v>
      </c>
    </row>
    <row r="2250">
      <c r="A2250" t="n">
        <v>35</v>
      </c>
      <c r="B2250" t="n">
        <v>90</v>
      </c>
      <c r="C2250" t="n">
        <v>9</v>
      </c>
      <c r="D2250" s="218" t="n">
        <v>127.17</v>
      </c>
      <c r="E2250" s="218" t="n">
        <v>4.24</v>
      </c>
      <c r="F2250" t="str">
        <v>https://re.jrc.ec.europa.eu/api/v5_3/PVcalc?lat=30.0444&amp;lon=31.2357&amp;peakpower=1&amp;loss=14&amp;angle=35&amp;aspect=-90&amp;outputformat=json&amp;raddatabase=PVGIS-SARAH3&amp;pvtechchoice=crystSi&amp;mountingplace=free&amp;usehorizon=1</v>
      </c>
    </row>
    <row r="2251">
      <c r="A2251" t="n">
        <v>35</v>
      </c>
      <c r="B2251" t="n">
        <v>90</v>
      </c>
      <c r="C2251" t="n">
        <v>10</v>
      </c>
      <c r="D2251" s="218" t="n">
        <v>110.97</v>
      </c>
      <c r="E2251" s="218" t="n">
        <v>3.58</v>
      </c>
      <c r="F2251" t="str">
        <v>https://re.jrc.ec.europa.eu/api/v5_3/PVcalc?lat=30.0444&amp;lon=31.2357&amp;peakpower=1&amp;loss=14&amp;angle=35&amp;aspect=-90&amp;outputformat=json&amp;raddatabase=PVGIS-SARAH3&amp;pvtechchoice=crystSi&amp;mountingplace=free&amp;usehorizon=1</v>
      </c>
    </row>
    <row r="2252">
      <c r="A2252" t="n">
        <v>35</v>
      </c>
      <c r="B2252" t="n">
        <v>90</v>
      </c>
      <c r="C2252" t="n">
        <v>11</v>
      </c>
      <c r="D2252" s="218" t="n">
        <v>88.49</v>
      </c>
      <c r="E2252" s="218" t="n">
        <v>2.95</v>
      </c>
      <c r="F2252" t="str">
        <v>https://re.jrc.ec.europa.eu/api/v5_3/PVcalc?lat=30.0444&amp;lon=31.2357&amp;peakpower=1&amp;loss=14&amp;angle=35&amp;aspect=-90&amp;outputformat=json&amp;raddatabase=PVGIS-SARAH3&amp;pvtechchoice=crystSi&amp;mountingplace=free&amp;usehorizon=1</v>
      </c>
    </row>
    <row r="2253">
      <c r="A2253" t="n">
        <v>35</v>
      </c>
      <c r="B2253" t="n">
        <v>90</v>
      </c>
      <c r="C2253" t="n">
        <v>12</v>
      </c>
      <c r="D2253" s="218" t="n">
        <v>80</v>
      </c>
      <c r="E2253" s="218" t="n">
        <v>2.58</v>
      </c>
      <c r="F2253" t="str">
        <v>https://re.jrc.ec.europa.eu/api/v5_3/PVcalc?lat=30.0444&amp;lon=31.2357&amp;peakpower=1&amp;loss=14&amp;angle=35&amp;aspect=-90&amp;outputformat=json&amp;raddatabase=PVGIS-SARAH3&amp;pvtechchoice=crystSi&amp;mountingplace=free&amp;usehorizon=1</v>
      </c>
    </row>
    <row r="2254">
      <c r="A2254" t="n">
        <v>35</v>
      </c>
      <c r="B2254" t="n">
        <v>105</v>
      </c>
      <c r="C2254" t="n">
        <v>1</v>
      </c>
      <c r="D2254" s="218" t="n">
        <v>96.52</v>
      </c>
      <c r="E2254" s="218" t="n">
        <v>3.11</v>
      </c>
      <c r="F2254" t="str">
        <v>https://re.jrc.ec.europa.eu/api/v5_3/PVcalc?lat=30.0444&amp;lon=31.2357&amp;peakpower=1&amp;loss=14&amp;angle=35&amp;aspect=-75&amp;outputformat=json&amp;raddatabase=PVGIS-SARAH3&amp;pvtechchoice=crystSi&amp;mountingplace=free&amp;usehorizon=1</v>
      </c>
    </row>
    <row r="2255">
      <c r="A2255" t="n">
        <v>35</v>
      </c>
      <c r="B2255" t="n">
        <v>105</v>
      </c>
      <c r="C2255" t="n">
        <v>2</v>
      </c>
      <c r="D2255" s="218" t="n">
        <v>103.61</v>
      </c>
      <c r="E2255" s="218" t="n">
        <v>3.7</v>
      </c>
      <c r="F2255" t="str">
        <v>https://re.jrc.ec.europa.eu/api/v5_3/PVcalc?lat=30.0444&amp;lon=31.2357&amp;peakpower=1&amp;loss=14&amp;angle=35&amp;aspect=-75&amp;outputformat=json&amp;raddatabase=PVGIS-SARAH3&amp;pvtechchoice=crystSi&amp;mountingplace=free&amp;usehorizon=1</v>
      </c>
    </row>
    <row r="2256">
      <c r="A2256" t="n">
        <v>35</v>
      </c>
      <c r="B2256" t="n">
        <v>105</v>
      </c>
      <c r="C2256" t="n">
        <v>3</v>
      </c>
      <c r="D2256" s="218" t="n">
        <v>134.91</v>
      </c>
      <c r="E2256" s="218" t="n">
        <v>4.35</v>
      </c>
      <c r="F2256" t="str">
        <v>https://re.jrc.ec.europa.eu/api/v5_3/PVcalc?lat=30.0444&amp;lon=31.2357&amp;peakpower=1&amp;loss=14&amp;angle=35&amp;aspect=-75&amp;outputformat=json&amp;raddatabase=PVGIS-SARAH3&amp;pvtechchoice=crystSi&amp;mountingplace=free&amp;usehorizon=1</v>
      </c>
    </row>
    <row r="2257">
      <c r="A2257" t="n">
        <v>35</v>
      </c>
      <c r="B2257" t="n">
        <v>105</v>
      </c>
      <c r="C2257" t="n">
        <v>4</v>
      </c>
      <c r="D2257" s="218" t="n">
        <v>144.44</v>
      </c>
      <c r="E2257" s="218" t="n">
        <v>4.81</v>
      </c>
      <c r="F2257" t="str">
        <v>https://re.jrc.ec.europa.eu/api/v5_3/PVcalc?lat=30.0444&amp;lon=31.2357&amp;peakpower=1&amp;loss=14&amp;angle=35&amp;aspect=-75&amp;outputformat=json&amp;raddatabase=PVGIS-SARAH3&amp;pvtechchoice=crystSi&amp;mountingplace=free&amp;usehorizon=1</v>
      </c>
    </row>
    <row r="2258">
      <c r="A2258" t="n">
        <v>35</v>
      </c>
      <c r="B2258" t="n">
        <v>105</v>
      </c>
      <c r="C2258" t="n">
        <v>5</v>
      </c>
      <c r="D2258" s="218" t="n">
        <v>157.11</v>
      </c>
      <c r="E2258" s="218" t="n">
        <v>5.07</v>
      </c>
      <c r="F2258" t="str">
        <v>https://re.jrc.ec.europa.eu/api/v5_3/PVcalc?lat=30.0444&amp;lon=31.2357&amp;peakpower=1&amp;loss=14&amp;angle=35&amp;aspect=-75&amp;outputformat=json&amp;raddatabase=PVGIS-SARAH3&amp;pvtechchoice=crystSi&amp;mountingplace=free&amp;usehorizon=1</v>
      </c>
    </row>
    <row r="2259">
      <c r="A2259" t="n">
        <v>35</v>
      </c>
      <c r="B2259" t="n">
        <v>105</v>
      </c>
      <c r="C2259" t="n">
        <v>6</v>
      </c>
      <c r="D2259" s="218" t="n">
        <v>157.05</v>
      </c>
      <c r="E2259" s="218" t="n">
        <v>5.24</v>
      </c>
      <c r="F2259" t="str">
        <v>https://re.jrc.ec.europa.eu/api/v5_3/PVcalc?lat=30.0444&amp;lon=31.2357&amp;peakpower=1&amp;loss=14&amp;angle=35&amp;aspect=-75&amp;outputformat=json&amp;raddatabase=PVGIS-SARAH3&amp;pvtechchoice=crystSi&amp;mountingplace=free&amp;usehorizon=1</v>
      </c>
    </row>
    <row r="2260">
      <c r="A2260" t="n">
        <v>35</v>
      </c>
      <c r="B2260" t="n">
        <v>105</v>
      </c>
      <c r="C2260" t="n">
        <v>7</v>
      </c>
      <c r="D2260" s="218" t="n">
        <v>158.65</v>
      </c>
      <c r="E2260" s="218" t="n">
        <v>5.12</v>
      </c>
      <c r="F2260" t="str">
        <v>https://re.jrc.ec.europa.eu/api/v5_3/PVcalc?lat=30.0444&amp;lon=31.2357&amp;peakpower=1&amp;loss=14&amp;angle=35&amp;aspect=-75&amp;outputformat=json&amp;raddatabase=PVGIS-SARAH3&amp;pvtechchoice=crystSi&amp;mountingplace=free&amp;usehorizon=1</v>
      </c>
    </row>
    <row r="2261">
      <c r="A2261" t="n">
        <v>35</v>
      </c>
      <c r="B2261" t="n">
        <v>105</v>
      </c>
      <c r="C2261" t="n">
        <v>8</v>
      </c>
      <c r="D2261" s="218" t="n">
        <v>152.29</v>
      </c>
      <c r="E2261" s="218" t="n">
        <v>4.91</v>
      </c>
      <c r="F2261" t="str">
        <v>https://re.jrc.ec.europa.eu/api/v5_3/PVcalc?lat=30.0444&amp;lon=31.2357&amp;peakpower=1&amp;loss=14&amp;angle=35&amp;aspect=-75&amp;outputformat=json&amp;raddatabase=PVGIS-SARAH3&amp;pvtechchoice=crystSi&amp;mountingplace=free&amp;usehorizon=1</v>
      </c>
    </row>
    <row r="2262">
      <c r="A2262" t="n">
        <v>35</v>
      </c>
      <c r="B2262" t="n">
        <v>105</v>
      </c>
      <c r="C2262" t="n">
        <v>9</v>
      </c>
      <c r="D2262" s="218" t="n">
        <v>135.09</v>
      </c>
      <c r="E2262" s="218" t="n">
        <v>4.5</v>
      </c>
      <c r="F2262" t="str">
        <v>https://re.jrc.ec.europa.eu/api/v5_3/PVcalc?lat=30.0444&amp;lon=31.2357&amp;peakpower=1&amp;loss=14&amp;angle=35&amp;aspect=-75&amp;outputformat=json&amp;raddatabase=PVGIS-SARAH3&amp;pvtechchoice=crystSi&amp;mountingplace=free&amp;usehorizon=1</v>
      </c>
    </row>
    <row r="2263">
      <c r="A2263" t="n">
        <v>35</v>
      </c>
      <c r="B2263" t="n">
        <v>105</v>
      </c>
      <c r="C2263" t="n">
        <v>10</v>
      </c>
      <c r="D2263" s="218" t="n">
        <v>121.98</v>
      </c>
      <c r="E2263" s="218" t="n">
        <v>3.93</v>
      </c>
      <c r="F2263" t="str">
        <v>https://re.jrc.ec.europa.eu/api/v5_3/PVcalc?lat=30.0444&amp;lon=31.2357&amp;peakpower=1&amp;loss=14&amp;angle=35&amp;aspect=-75&amp;outputformat=json&amp;raddatabase=PVGIS-SARAH3&amp;pvtechchoice=crystSi&amp;mountingplace=free&amp;usehorizon=1</v>
      </c>
    </row>
    <row r="2264">
      <c r="A2264" t="n">
        <v>35</v>
      </c>
      <c r="B2264" t="n">
        <v>105</v>
      </c>
      <c r="C2264" t="n">
        <v>11</v>
      </c>
      <c r="D2264" s="218" t="n">
        <v>101.89</v>
      </c>
      <c r="E2264" s="218" t="n">
        <v>3.4</v>
      </c>
      <c r="F2264" t="str">
        <v>https://re.jrc.ec.europa.eu/api/v5_3/PVcalc?lat=30.0444&amp;lon=31.2357&amp;peakpower=1&amp;loss=14&amp;angle=35&amp;aspect=-75&amp;outputformat=json&amp;raddatabase=PVGIS-SARAH3&amp;pvtechchoice=crystSi&amp;mountingplace=free&amp;usehorizon=1</v>
      </c>
    </row>
    <row r="2265">
      <c r="A2265" t="n">
        <v>35</v>
      </c>
      <c r="B2265" t="n">
        <v>105</v>
      </c>
      <c r="C2265" t="n">
        <v>12</v>
      </c>
      <c r="D2265" s="218" t="n">
        <v>94.2</v>
      </c>
      <c r="E2265" s="218" t="n">
        <v>3.04</v>
      </c>
      <c r="F2265" t="str">
        <v>https://re.jrc.ec.europa.eu/api/v5_3/PVcalc?lat=30.0444&amp;lon=31.2357&amp;peakpower=1&amp;loss=14&amp;angle=35&amp;aspect=-75&amp;outputformat=json&amp;raddatabase=PVGIS-SARAH3&amp;pvtechchoice=crystSi&amp;mountingplace=free&amp;usehorizon=1</v>
      </c>
    </row>
    <row r="2266">
      <c r="A2266" t="n">
        <v>35</v>
      </c>
      <c r="B2266" t="n">
        <v>120</v>
      </c>
      <c r="C2266" t="n">
        <v>1</v>
      </c>
      <c r="D2266" s="218" t="n">
        <v>108.9</v>
      </c>
      <c r="E2266" s="218" t="n">
        <v>3.51</v>
      </c>
      <c r="F2266" t="str">
        <v>https://re.jrc.ec.europa.eu/api/v5_3/PVcalc?lat=30.0444&amp;lon=31.2357&amp;peakpower=1&amp;loss=14&amp;angle=35&amp;aspect=-60&amp;outputformat=json&amp;raddatabase=PVGIS-SARAH3&amp;pvtechchoice=crystSi&amp;mountingplace=free&amp;usehorizon=1</v>
      </c>
    </row>
    <row r="2267">
      <c r="A2267" t="n">
        <v>35</v>
      </c>
      <c r="B2267" t="n">
        <v>120</v>
      </c>
      <c r="C2267" t="n">
        <v>2</v>
      </c>
      <c r="D2267" s="218" t="n">
        <v>112.94</v>
      </c>
      <c r="E2267" s="218" t="n">
        <v>4.03</v>
      </c>
      <c r="F2267" t="str">
        <v>https://re.jrc.ec.europa.eu/api/v5_3/PVcalc?lat=30.0444&amp;lon=31.2357&amp;peakpower=1&amp;loss=14&amp;angle=35&amp;aspect=-60&amp;outputformat=json&amp;raddatabase=PVGIS-SARAH3&amp;pvtechchoice=crystSi&amp;mountingplace=free&amp;usehorizon=1</v>
      </c>
    </row>
    <row r="2268">
      <c r="A2268" t="n">
        <v>35</v>
      </c>
      <c r="B2268" t="n">
        <v>120</v>
      </c>
      <c r="C2268" t="n">
        <v>3</v>
      </c>
      <c r="D2268" s="218" t="n">
        <v>143.08</v>
      </c>
      <c r="E2268" s="218" t="n">
        <v>4.62</v>
      </c>
      <c r="F2268" t="str">
        <v>https://re.jrc.ec.europa.eu/api/v5_3/PVcalc?lat=30.0444&amp;lon=31.2357&amp;peakpower=1&amp;loss=14&amp;angle=35&amp;aspect=-60&amp;outputformat=json&amp;raddatabase=PVGIS-SARAH3&amp;pvtechchoice=crystSi&amp;mountingplace=free&amp;usehorizon=1</v>
      </c>
    </row>
    <row r="2269">
      <c r="A2269" t="n">
        <v>35</v>
      </c>
      <c r="B2269" t="n">
        <v>120</v>
      </c>
      <c r="C2269" t="n">
        <v>4</v>
      </c>
      <c r="D2269" s="218" t="n">
        <v>148.86</v>
      </c>
      <c r="E2269" s="218" t="n">
        <v>4.96</v>
      </c>
      <c r="F2269" t="str">
        <v>https://re.jrc.ec.europa.eu/api/v5_3/PVcalc?lat=30.0444&amp;lon=31.2357&amp;peakpower=1&amp;loss=14&amp;angle=35&amp;aspect=-60&amp;outputformat=json&amp;raddatabase=PVGIS-SARAH3&amp;pvtechchoice=crystSi&amp;mountingplace=free&amp;usehorizon=1</v>
      </c>
    </row>
    <row r="2270">
      <c r="A2270" t="n">
        <v>35</v>
      </c>
      <c r="B2270" t="n">
        <v>120</v>
      </c>
      <c r="C2270" t="n">
        <v>5</v>
      </c>
      <c r="D2270" s="218" t="n">
        <v>158.04</v>
      </c>
      <c r="E2270" s="218" t="n">
        <v>5.1</v>
      </c>
      <c r="F2270" t="str">
        <v>https://re.jrc.ec.europa.eu/api/v5_3/PVcalc?lat=30.0444&amp;lon=31.2357&amp;peakpower=1&amp;loss=14&amp;angle=35&amp;aspect=-60&amp;outputformat=json&amp;raddatabase=PVGIS-SARAH3&amp;pvtechchoice=crystSi&amp;mountingplace=free&amp;usehorizon=1</v>
      </c>
    </row>
    <row r="2271">
      <c r="A2271" t="n">
        <v>35</v>
      </c>
      <c r="B2271" t="n">
        <v>120</v>
      </c>
      <c r="C2271" t="n">
        <v>6</v>
      </c>
      <c r="D2271" s="218" t="n">
        <v>155.61</v>
      </c>
      <c r="E2271" s="218" t="n">
        <v>5.19</v>
      </c>
      <c r="F2271" t="str">
        <v>https://re.jrc.ec.europa.eu/api/v5_3/PVcalc?lat=30.0444&amp;lon=31.2357&amp;peakpower=1&amp;loss=14&amp;angle=35&amp;aspect=-60&amp;outputformat=json&amp;raddatabase=PVGIS-SARAH3&amp;pvtechchoice=crystSi&amp;mountingplace=free&amp;usehorizon=1</v>
      </c>
    </row>
    <row r="2272">
      <c r="A2272" t="n">
        <v>35</v>
      </c>
      <c r="B2272" t="n">
        <v>120</v>
      </c>
      <c r="C2272" t="n">
        <v>7</v>
      </c>
      <c r="D2272" s="218" t="n">
        <v>157.96</v>
      </c>
      <c r="E2272" s="218" t="n">
        <v>5.1</v>
      </c>
      <c r="F2272" t="str">
        <v>https://re.jrc.ec.europa.eu/api/v5_3/PVcalc?lat=30.0444&amp;lon=31.2357&amp;peakpower=1&amp;loss=14&amp;angle=35&amp;aspect=-60&amp;outputformat=json&amp;raddatabase=PVGIS-SARAH3&amp;pvtechchoice=crystSi&amp;mountingplace=free&amp;usehorizon=1</v>
      </c>
    </row>
    <row r="2273">
      <c r="A2273" t="n">
        <v>35</v>
      </c>
      <c r="B2273" t="n">
        <v>120</v>
      </c>
      <c r="C2273" t="n">
        <v>8</v>
      </c>
      <c r="D2273" s="218" t="n">
        <v>155.27</v>
      </c>
      <c r="E2273" s="218" t="n">
        <v>5.01</v>
      </c>
      <c r="F2273" t="str">
        <v>https://re.jrc.ec.europa.eu/api/v5_3/PVcalc?lat=30.0444&amp;lon=31.2357&amp;peakpower=1&amp;loss=14&amp;angle=35&amp;aspect=-60&amp;outputformat=json&amp;raddatabase=PVGIS-SARAH3&amp;pvtechchoice=crystSi&amp;mountingplace=free&amp;usehorizon=1</v>
      </c>
    </row>
    <row r="2274">
      <c r="A2274" t="n">
        <v>35</v>
      </c>
      <c r="B2274" t="n">
        <v>120</v>
      </c>
      <c r="C2274" t="n">
        <v>9</v>
      </c>
      <c r="D2274" s="218" t="n">
        <v>142.47</v>
      </c>
      <c r="E2274" s="218" t="n">
        <v>4.75</v>
      </c>
      <c r="F2274" t="str">
        <v>https://re.jrc.ec.europa.eu/api/v5_3/PVcalc?lat=30.0444&amp;lon=31.2357&amp;peakpower=1&amp;loss=14&amp;angle=35&amp;aspect=-60&amp;outputformat=json&amp;raddatabase=PVGIS-SARAH3&amp;pvtechchoice=crystSi&amp;mountingplace=free&amp;usehorizon=1</v>
      </c>
    </row>
    <row r="2275">
      <c r="A2275" t="n">
        <v>35</v>
      </c>
      <c r="B2275" t="n">
        <v>120</v>
      </c>
      <c r="C2275" t="n">
        <v>10</v>
      </c>
      <c r="D2275" s="218" t="n">
        <v>132.22</v>
      </c>
      <c r="E2275" s="218" t="n">
        <v>4.27</v>
      </c>
      <c r="F2275" t="str">
        <v>https://re.jrc.ec.europa.eu/api/v5_3/PVcalc?lat=30.0444&amp;lon=31.2357&amp;peakpower=1&amp;loss=14&amp;angle=35&amp;aspect=-60&amp;outputformat=json&amp;raddatabase=PVGIS-SARAH3&amp;pvtechchoice=crystSi&amp;mountingplace=free&amp;usehorizon=1</v>
      </c>
    </row>
    <row r="2276">
      <c r="A2276" t="n">
        <v>35</v>
      </c>
      <c r="B2276" t="n">
        <v>120</v>
      </c>
      <c r="C2276" t="n">
        <v>11</v>
      </c>
      <c r="D2276" s="218" t="n">
        <v>113.6</v>
      </c>
      <c r="E2276" s="218" t="n">
        <v>3.79</v>
      </c>
      <c r="F2276" t="str">
        <v>https://re.jrc.ec.europa.eu/api/v5_3/PVcalc?lat=30.0444&amp;lon=31.2357&amp;peakpower=1&amp;loss=14&amp;angle=35&amp;aspect=-60&amp;outputformat=json&amp;raddatabase=PVGIS-SARAH3&amp;pvtechchoice=crystSi&amp;mountingplace=free&amp;usehorizon=1</v>
      </c>
    </row>
    <row r="2277">
      <c r="A2277" t="n">
        <v>35</v>
      </c>
      <c r="B2277" t="n">
        <v>120</v>
      </c>
      <c r="C2277" t="n">
        <v>12</v>
      </c>
      <c r="D2277" s="218" t="n">
        <v>106.91</v>
      </c>
      <c r="E2277" s="218" t="n">
        <v>3.45</v>
      </c>
      <c r="F2277" t="str">
        <v>https://re.jrc.ec.europa.eu/api/v5_3/PVcalc?lat=30.0444&amp;lon=31.2357&amp;peakpower=1&amp;loss=14&amp;angle=35&amp;aspect=-60&amp;outputformat=json&amp;raddatabase=PVGIS-SARAH3&amp;pvtechchoice=crystSi&amp;mountingplace=free&amp;usehorizon=1</v>
      </c>
    </row>
    <row r="2278">
      <c r="A2278" t="n">
        <v>35</v>
      </c>
      <c r="B2278" t="n">
        <v>135</v>
      </c>
      <c r="C2278" t="n">
        <v>1</v>
      </c>
      <c r="D2278" s="218" t="n">
        <v>119.35</v>
      </c>
      <c r="E2278" s="218" t="n">
        <v>3.85</v>
      </c>
      <c r="F2278" t="str">
        <v>https://re.jrc.ec.europa.eu/api/v5_3/PVcalc?lat=30.0444&amp;lon=31.2357&amp;peakpower=1&amp;loss=14&amp;angle=35&amp;aspect=-45&amp;outputformat=json&amp;raddatabase=PVGIS-SARAH3&amp;pvtechchoice=crystSi&amp;mountingplace=free&amp;usehorizon=1</v>
      </c>
    </row>
    <row r="2279">
      <c r="A2279" t="n">
        <v>35</v>
      </c>
      <c r="B2279" t="n">
        <v>135</v>
      </c>
      <c r="C2279" t="n">
        <v>2</v>
      </c>
      <c r="D2279" s="218" t="n">
        <v>120.5</v>
      </c>
      <c r="E2279" s="218" t="n">
        <v>4.3</v>
      </c>
      <c r="F2279" t="str">
        <v>https://re.jrc.ec.europa.eu/api/v5_3/PVcalc?lat=30.0444&amp;lon=31.2357&amp;peakpower=1&amp;loss=14&amp;angle=35&amp;aspect=-45&amp;outputformat=json&amp;raddatabase=PVGIS-SARAH3&amp;pvtechchoice=crystSi&amp;mountingplace=free&amp;usehorizon=1</v>
      </c>
    </row>
    <row r="2280">
      <c r="A2280" t="n">
        <v>35</v>
      </c>
      <c r="B2280" t="n">
        <v>135</v>
      </c>
      <c r="C2280" t="n">
        <v>3</v>
      </c>
      <c r="D2280" s="218" t="n">
        <v>149.45</v>
      </c>
      <c r="E2280" s="218" t="n">
        <v>4.82</v>
      </c>
      <c r="F2280" t="str">
        <v>https://re.jrc.ec.europa.eu/api/v5_3/PVcalc?lat=30.0444&amp;lon=31.2357&amp;peakpower=1&amp;loss=14&amp;angle=35&amp;aspect=-45&amp;outputformat=json&amp;raddatabase=PVGIS-SARAH3&amp;pvtechchoice=crystSi&amp;mountingplace=free&amp;usehorizon=1</v>
      </c>
    </row>
    <row r="2281">
      <c r="A2281" t="n">
        <v>35</v>
      </c>
      <c r="B2281" t="n">
        <v>135</v>
      </c>
      <c r="C2281" t="n">
        <v>4</v>
      </c>
      <c r="D2281" s="218" t="n">
        <v>151.65</v>
      </c>
      <c r="E2281" s="218" t="n">
        <v>5.06</v>
      </c>
      <c r="F2281" t="str">
        <v>https://re.jrc.ec.europa.eu/api/v5_3/PVcalc?lat=30.0444&amp;lon=31.2357&amp;peakpower=1&amp;loss=14&amp;angle=35&amp;aspect=-45&amp;outputformat=json&amp;raddatabase=PVGIS-SARAH3&amp;pvtechchoice=crystSi&amp;mountingplace=free&amp;usehorizon=1</v>
      </c>
    </row>
    <row r="2282">
      <c r="A2282" t="n">
        <v>35</v>
      </c>
      <c r="B2282" t="n">
        <v>135</v>
      </c>
      <c r="C2282" t="n">
        <v>5</v>
      </c>
      <c r="D2282" s="218" t="n">
        <v>157.45</v>
      </c>
      <c r="E2282" s="218" t="n">
        <v>5.08</v>
      </c>
      <c r="F2282" t="str">
        <v>https://re.jrc.ec.europa.eu/api/v5_3/PVcalc?lat=30.0444&amp;lon=31.2357&amp;peakpower=1&amp;loss=14&amp;angle=35&amp;aspect=-45&amp;outputformat=json&amp;raddatabase=PVGIS-SARAH3&amp;pvtechchoice=crystSi&amp;mountingplace=free&amp;usehorizon=1</v>
      </c>
    </row>
    <row r="2283">
      <c r="A2283" t="n">
        <v>35</v>
      </c>
      <c r="B2283" t="n">
        <v>135</v>
      </c>
      <c r="C2283" t="n">
        <v>6</v>
      </c>
      <c r="D2283" s="218" t="n">
        <v>154.25</v>
      </c>
      <c r="E2283" s="218" t="n">
        <v>5.14</v>
      </c>
      <c r="F2283" t="str">
        <v>https://re.jrc.ec.europa.eu/api/v5_3/PVcalc?lat=30.0444&amp;lon=31.2357&amp;peakpower=1&amp;loss=14&amp;angle=35&amp;aspect=-45&amp;outputformat=json&amp;raddatabase=PVGIS-SARAH3&amp;pvtechchoice=crystSi&amp;mountingplace=free&amp;usehorizon=1</v>
      </c>
    </row>
    <row r="2284">
      <c r="A2284" t="n">
        <v>35</v>
      </c>
      <c r="B2284" t="n">
        <v>135</v>
      </c>
      <c r="C2284" t="n">
        <v>7</v>
      </c>
      <c r="D2284" s="218" t="n">
        <v>158</v>
      </c>
      <c r="E2284" s="218" t="n">
        <v>5.1</v>
      </c>
      <c r="F2284" t="str">
        <v>https://re.jrc.ec.europa.eu/api/v5_3/PVcalc?lat=30.0444&amp;lon=31.2357&amp;peakpower=1&amp;loss=14&amp;angle=35&amp;aspect=-45&amp;outputformat=json&amp;raddatabase=PVGIS-SARAH3&amp;pvtechchoice=crystSi&amp;mountingplace=free&amp;usehorizon=1</v>
      </c>
    </row>
    <row r="2285">
      <c r="A2285" t="n">
        <v>35</v>
      </c>
      <c r="B2285" t="n">
        <v>135</v>
      </c>
      <c r="C2285" t="n">
        <v>8</v>
      </c>
      <c r="D2285" s="218" t="n">
        <v>157.43</v>
      </c>
      <c r="E2285" s="218" t="n">
        <v>5.08</v>
      </c>
      <c r="F2285" t="str">
        <v>https://re.jrc.ec.europa.eu/api/v5_3/PVcalc?lat=30.0444&amp;lon=31.2357&amp;peakpower=1&amp;loss=14&amp;angle=35&amp;aspect=-45&amp;outputformat=json&amp;raddatabase=PVGIS-SARAH3&amp;pvtechchoice=crystSi&amp;mountingplace=free&amp;usehorizon=1</v>
      </c>
    </row>
    <row r="2286">
      <c r="A2286" t="n">
        <v>35</v>
      </c>
      <c r="B2286" t="n">
        <v>135</v>
      </c>
      <c r="C2286" t="n">
        <v>9</v>
      </c>
      <c r="D2286" s="218" t="n">
        <v>148.08</v>
      </c>
      <c r="E2286" s="218" t="n">
        <v>4.94</v>
      </c>
      <c r="F2286" t="str">
        <v>https://re.jrc.ec.europa.eu/api/v5_3/PVcalc?lat=30.0444&amp;lon=31.2357&amp;peakpower=1&amp;loss=14&amp;angle=35&amp;aspect=-45&amp;outputformat=json&amp;raddatabase=PVGIS-SARAH3&amp;pvtechchoice=crystSi&amp;mountingplace=free&amp;usehorizon=1</v>
      </c>
    </row>
    <row r="2287">
      <c r="A2287" t="n">
        <v>35</v>
      </c>
      <c r="B2287" t="n">
        <v>135</v>
      </c>
      <c r="C2287" t="n">
        <v>10</v>
      </c>
      <c r="D2287" s="218" t="n">
        <v>141.57</v>
      </c>
      <c r="E2287" s="218" t="n">
        <v>4.57</v>
      </c>
      <c r="F2287" t="str">
        <v>https://re.jrc.ec.europa.eu/api/v5_3/PVcalc?lat=30.0444&amp;lon=31.2357&amp;peakpower=1&amp;loss=14&amp;angle=35&amp;aspect=-45&amp;outputformat=json&amp;raddatabase=PVGIS-SARAH3&amp;pvtechchoice=crystSi&amp;mountingplace=free&amp;usehorizon=1</v>
      </c>
    </row>
    <row r="2288">
      <c r="A2288" t="n">
        <v>35</v>
      </c>
      <c r="B2288" t="n">
        <v>135</v>
      </c>
      <c r="C2288" t="n">
        <v>11</v>
      </c>
      <c r="D2288" s="218" t="n">
        <v>124.61</v>
      </c>
      <c r="E2288" s="218" t="n">
        <v>4.15</v>
      </c>
      <c r="F2288" t="str">
        <v>https://re.jrc.ec.europa.eu/api/v5_3/PVcalc?lat=30.0444&amp;lon=31.2357&amp;peakpower=1&amp;loss=14&amp;angle=35&amp;aspect=-45&amp;outputformat=json&amp;raddatabase=PVGIS-SARAH3&amp;pvtechchoice=crystSi&amp;mountingplace=free&amp;usehorizon=1</v>
      </c>
    </row>
    <row r="2289">
      <c r="A2289" t="n">
        <v>35</v>
      </c>
      <c r="B2289" t="n">
        <v>135</v>
      </c>
      <c r="C2289" t="n">
        <v>12</v>
      </c>
      <c r="D2289" s="218" t="n">
        <v>118.37</v>
      </c>
      <c r="E2289" s="218" t="n">
        <v>3.82</v>
      </c>
      <c r="F2289" t="str">
        <v>https://re.jrc.ec.europa.eu/api/v5_3/PVcalc?lat=30.0444&amp;lon=31.2357&amp;peakpower=1&amp;loss=14&amp;angle=35&amp;aspect=-45&amp;outputformat=json&amp;raddatabase=PVGIS-SARAH3&amp;pvtechchoice=crystSi&amp;mountingplace=free&amp;usehorizon=1</v>
      </c>
    </row>
    <row r="2290">
      <c r="A2290" t="n">
        <v>35</v>
      </c>
      <c r="B2290" t="n">
        <v>150</v>
      </c>
      <c r="C2290" t="n">
        <v>1</v>
      </c>
      <c r="D2290" s="218" t="n">
        <v>128.19</v>
      </c>
      <c r="E2290" s="218" t="n">
        <v>4.14</v>
      </c>
      <c r="F2290" t="str">
        <v>https://re.jrc.ec.europa.eu/api/v5_3/PVcalc?lat=30.0444&amp;lon=31.2357&amp;peakpower=1&amp;loss=14&amp;angle=35&amp;aspect=-30&amp;outputformat=json&amp;raddatabase=PVGIS-SARAH3&amp;pvtechchoice=crystSi&amp;mountingplace=free&amp;usehorizon=1</v>
      </c>
    </row>
    <row r="2291">
      <c r="A2291" t="n">
        <v>35</v>
      </c>
      <c r="B2291" t="n">
        <v>150</v>
      </c>
      <c r="C2291" t="n">
        <v>2</v>
      </c>
      <c r="D2291" s="218" t="n">
        <v>126.84</v>
      </c>
      <c r="E2291" s="218" t="n">
        <v>4.53</v>
      </c>
      <c r="F2291" t="str">
        <v>https://re.jrc.ec.europa.eu/api/v5_3/PVcalc?lat=30.0444&amp;lon=31.2357&amp;peakpower=1&amp;loss=14&amp;angle=35&amp;aspect=-30&amp;outputformat=json&amp;raddatabase=PVGIS-SARAH3&amp;pvtechchoice=crystSi&amp;mountingplace=free&amp;usehorizon=1</v>
      </c>
    </row>
    <row r="2292">
      <c r="A2292" t="n">
        <v>35</v>
      </c>
      <c r="B2292" t="n">
        <v>150</v>
      </c>
      <c r="C2292" t="n">
        <v>3</v>
      </c>
      <c r="D2292" s="218" t="n">
        <v>155.37</v>
      </c>
      <c r="E2292" s="218" t="n">
        <v>5.01</v>
      </c>
      <c r="F2292" t="str">
        <v>https://re.jrc.ec.europa.eu/api/v5_3/PVcalc?lat=30.0444&amp;lon=31.2357&amp;peakpower=1&amp;loss=14&amp;angle=35&amp;aspect=-30&amp;outputformat=json&amp;raddatabase=PVGIS-SARAH3&amp;pvtechchoice=crystSi&amp;mountingplace=free&amp;usehorizon=1</v>
      </c>
    </row>
    <row r="2293">
      <c r="A2293" t="n">
        <v>35</v>
      </c>
      <c r="B2293" t="n">
        <v>150</v>
      </c>
      <c r="C2293" t="n">
        <v>4</v>
      </c>
      <c r="D2293" s="218" t="n">
        <v>154.78</v>
      </c>
      <c r="E2293" s="218" t="n">
        <v>5.16</v>
      </c>
      <c r="F2293" t="str">
        <v>https://re.jrc.ec.europa.eu/api/v5_3/PVcalc?lat=30.0444&amp;lon=31.2357&amp;peakpower=1&amp;loss=14&amp;angle=35&amp;aspect=-30&amp;outputformat=json&amp;raddatabase=PVGIS-SARAH3&amp;pvtechchoice=crystSi&amp;mountingplace=free&amp;usehorizon=1</v>
      </c>
    </row>
    <row r="2294">
      <c r="A2294" t="n">
        <v>35</v>
      </c>
      <c r="B2294" t="n">
        <v>150</v>
      </c>
      <c r="C2294" t="n">
        <v>5</v>
      </c>
      <c r="D2294" s="218" t="n">
        <v>157.6</v>
      </c>
      <c r="E2294" s="218" t="n">
        <v>5.08</v>
      </c>
      <c r="F2294" t="str">
        <v>https://re.jrc.ec.europa.eu/api/v5_3/PVcalc?lat=30.0444&amp;lon=31.2357&amp;peakpower=1&amp;loss=14&amp;angle=35&amp;aspect=-30&amp;outputformat=json&amp;raddatabase=PVGIS-SARAH3&amp;pvtechchoice=crystSi&amp;mountingplace=free&amp;usehorizon=1</v>
      </c>
    </row>
    <row r="2295">
      <c r="A2295" t="n">
        <v>35</v>
      </c>
      <c r="B2295" t="n">
        <v>150</v>
      </c>
      <c r="C2295" t="n">
        <v>6</v>
      </c>
      <c r="D2295" s="218" t="n">
        <v>153.14</v>
      </c>
      <c r="E2295" s="218" t="n">
        <v>5.1</v>
      </c>
      <c r="F2295" t="str">
        <v>https://re.jrc.ec.europa.eu/api/v5_3/PVcalc?lat=30.0444&amp;lon=31.2357&amp;peakpower=1&amp;loss=14&amp;angle=35&amp;aspect=-30&amp;outputformat=json&amp;raddatabase=PVGIS-SARAH3&amp;pvtechchoice=crystSi&amp;mountingplace=free&amp;usehorizon=1</v>
      </c>
    </row>
    <row r="2296">
      <c r="A2296" t="n">
        <v>35</v>
      </c>
      <c r="B2296" t="n">
        <v>150</v>
      </c>
      <c r="C2296" t="n">
        <v>7</v>
      </c>
      <c r="D2296" s="218" t="n">
        <v>157.94</v>
      </c>
      <c r="E2296" s="218" t="n">
        <v>5.09</v>
      </c>
      <c r="F2296" t="str">
        <v>https://re.jrc.ec.europa.eu/api/v5_3/PVcalc?lat=30.0444&amp;lon=31.2357&amp;peakpower=1&amp;loss=14&amp;angle=35&amp;aspect=-30&amp;outputformat=json&amp;raddatabase=PVGIS-SARAH3&amp;pvtechchoice=crystSi&amp;mountingplace=free&amp;usehorizon=1</v>
      </c>
    </row>
    <row r="2297">
      <c r="A2297" t="n">
        <v>35</v>
      </c>
      <c r="B2297" t="n">
        <v>150</v>
      </c>
      <c r="C2297" t="n">
        <v>8</v>
      </c>
      <c r="D2297" s="218" t="n">
        <v>159.8</v>
      </c>
      <c r="E2297" s="218" t="n">
        <v>5.15</v>
      </c>
      <c r="F2297" t="str">
        <v>https://re.jrc.ec.europa.eu/api/v5_3/PVcalc?lat=30.0444&amp;lon=31.2357&amp;peakpower=1&amp;loss=14&amp;angle=35&amp;aspect=-30&amp;outputformat=json&amp;raddatabase=PVGIS-SARAH3&amp;pvtechchoice=crystSi&amp;mountingplace=free&amp;usehorizon=1</v>
      </c>
    </row>
    <row r="2298">
      <c r="A2298" t="n">
        <v>35</v>
      </c>
      <c r="B2298" t="n">
        <v>150</v>
      </c>
      <c r="C2298" t="n">
        <v>9</v>
      </c>
      <c r="D2298" s="218" t="n">
        <v>153.6</v>
      </c>
      <c r="E2298" s="218" t="n">
        <v>5.12</v>
      </c>
      <c r="F2298" t="str">
        <v>https://re.jrc.ec.europa.eu/api/v5_3/PVcalc?lat=30.0444&amp;lon=31.2357&amp;peakpower=1&amp;loss=14&amp;angle=35&amp;aspect=-30&amp;outputformat=json&amp;raddatabase=PVGIS-SARAH3&amp;pvtechchoice=crystSi&amp;mountingplace=free&amp;usehorizon=1</v>
      </c>
    </row>
    <row r="2299">
      <c r="A2299" t="n">
        <v>35</v>
      </c>
      <c r="B2299" t="n">
        <v>150</v>
      </c>
      <c r="C2299" t="n">
        <v>10</v>
      </c>
      <c r="D2299" s="218" t="n">
        <v>148.9</v>
      </c>
      <c r="E2299" s="218" t="n">
        <v>4.8</v>
      </c>
      <c r="F2299" t="str">
        <v>https://re.jrc.ec.europa.eu/api/v5_3/PVcalc?lat=30.0444&amp;lon=31.2357&amp;peakpower=1&amp;loss=14&amp;angle=35&amp;aspect=-30&amp;outputformat=json&amp;raddatabase=PVGIS-SARAH3&amp;pvtechchoice=crystSi&amp;mountingplace=free&amp;usehorizon=1</v>
      </c>
    </row>
    <row r="2300">
      <c r="A2300" t="n">
        <v>35</v>
      </c>
      <c r="B2300" t="n">
        <v>150</v>
      </c>
      <c r="C2300" t="n">
        <v>11</v>
      </c>
      <c r="D2300" s="218" t="n">
        <v>133.22</v>
      </c>
      <c r="E2300" s="218" t="n">
        <v>4.44</v>
      </c>
      <c r="F2300" t="str">
        <v>https://re.jrc.ec.europa.eu/api/v5_3/PVcalc?lat=30.0444&amp;lon=31.2357&amp;peakpower=1&amp;loss=14&amp;angle=35&amp;aspect=-30&amp;outputformat=json&amp;raddatabase=PVGIS-SARAH3&amp;pvtechchoice=crystSi&amp;mountingplace=free&amp;usehorizon=1</v>
      </c>
    </row>
    <row r="2301">
      <c r="A2301" t="n">
        <v>35</v>
      </c>
      <c r="B2301" t="n">
        <v>150</v>
      </c>
      <c r="C2301" t="n">
        <v>12</v>
      </c>
      <c r="D2301" s="218" t="n">
        <v>127.52</v>
      </c>
      <c r="E2301" s="218" t="n">
        <v>4.11</v>
      </c>
      <c r="F2301" t="str">
        <v>https://re.jrc.ec.europa.eu/api/v5_3/PVcalc?lat=30.0444&amp;lon=31.2357&amp;peakpower=1&amp;loss=14&amp;angle=35&amp;aspect=-30&amp;outputformat=json&amp;raddatabase=PVGIS-SARAH3&amp;pvtechchoice=crystSi&amp;mountingplace=free&amp;usehorizon=1</v>
      </c>
    </row>
    <row r="2302">
      <c r="A2302" t="n">
        <v>35</v>
      </c>
      <c r="B2302" t="n">
        <v>165</v>
      </c>
      <c r="C2302" t="n">
        <v>1</v>
      </c>
      <c r="D2302" s="218" t="n">
        <v>133.79</v>
      </c>
      <c r="E2302" s="218" t="n">
        <v>4.32</v>
      </c>
      <c r="F2302" t="str">
        <v>https://re.jrc.ec.europa.eu/api/v5_3/PVcalc?lat=30.0444&amp;lon=31.2357&amp;peakpower=1&amp;loss=14&amp;angle=35&amp;aspect=-15&amp;outputformat=json&amp;raddatabase=PVGIS-SARAH3&amp;pvtechchoice=crystSi&amp;mountingplace=free&amp;usehorizon=1</v>
      </c>
    </row>
    <row r="2303">
      <c r="A2303" t="n">
        <v>35</v>
      </c>
      <c r="B2303" t="n">
        <v>165</v>
      </c>
      <c r="C2303" t="n">
        <v>2</v>
      </c>
      <c r="D2303" s="218" t="n">
        <v>130.75</v>
      </c>
      <c r="E2303" s="218" t="n">
        <v>4.67</v>
      </c>
      <c r="F2303" t="str">
        <v>https://re.jrc.ec.europa.eu/api/v5_3/PVcalc?lat=30.0444&amp;lon=31.2357&amp;peakpower=1&amp;loss=14&amp;angle=35&amp;aspect=-15&amp;outputformat=json&amp;raddatabase=PVGIS-SARAH3&amp;pvtechchoice=crystSi&amp;mountingplace=free&amp;usehorizon=1</v>
      </c>
    </row>
    <row r="2304">
      <c r="A2304" t="n">
        <v>35</v>
      </c>
      <c r="B2304" t="n">
        <v>165</v>
      </c>
      <c r="C2304" t="n">
        <v>3</v>
      </c>
      <c r="D2304" s="218" t="n">
        <v>159.25</v>
      </c>
      <c r="E2304" s="218" t="n">
        <v>5.14</v>
      </c>
      <c r="F2304" t="str">
        <v>https://re.jrc.ec.europa.eu/api/v5_3/PVcalc?lat=30.0444&amp;lon=31.2357&amp;peakpower=1&amp;loss=14&amp;angle=35&amp;aspect=-15&amp;outputformat=json&amp;raddatabase=PVGIS-SARAH3&amp;pvtechchoice=crystSi&amp;mountingplace=free&amp;usehorizon=1</v>
      </c>
    </row>
    <row r="2305">
      <c r="A2305" t="n">
        <v>35</v>
      </c>
      <c r="B2305" t="n">
        <v>165</v>
      </c>
      <c r="C2305" t="n">
        <v>4</v>
      </c>
      <c r="D2305" s="218" t="n">
        <v>156.55</v>
      </c>
      <c r="E2305" s="218" t="n">
        <v>5.22</v>
      </c>
      <c r="F2305" t="str">
        <v>https://re.jrc.ec.europa.eu/api/v5_3/PVcalc?lat=30.0444&amp;lon=31.2357&amp;peakpower=1&amp;loss=14&amp;angle=35&amp;aspect=-15&amp;outputformat=json&amp;raddatabase=PVGIS-SARAH3&amp;pvtechchoice=crystSi&amp;mountingplace=free&amp;usehorizon=1</v>
      </c>
    </row>
    <row r="2306">
      <c r="A2306" t="n">
        <v>35</v>
      </c>
      <c r="B2306" t="n">
        <v>165</v>
      </c>
      <c r="C2306" t="n">
        <v>5</v>
      </c>
      <c r="D2306" s="218" t="n">
        <v>156.91</v>
      </c>
      <c r="E2306" s="218" t="n">
        <v>5.06</v>
      </c>
      <c r="F2306" t="str">
        <v>https://re.jrc.ec.europa.eu/api/v5_3/PVcalc?lat=30.0444&amp;lon=31.2357&amp;peakpower=1&amp;loss=14&amp;angle=35&amp;aspect=-15&amp;outputformat=json&amp;raddatabase=PVGIS-SARAH3&amp;pvtechchoice=crystSi&amp;mountingplace=free&amp;usehorizon=1</v>
      </c>
    </row>
    <row r="2307">
      <c r="A2307" t="n">
        <v>35</v>
      </c>
      <c r="B2307" t="n">
        <v>165</v>
      </c>
      <c r="C2307" t="n">
        <v>6</v>
      </c>
      <c r="D2307" s="218" t="n">
        <v>151.45</v>
      </c>
      <c r="E2307" s="218" t="n">
        <v>5.05</v>
      </c>
      <c r="F2307" t="str">
        <v>https://re.jrc.ec.europa.eu/api/v5_3/PVcalc?lat=30.0444&amp;lon=31.2357&amp;peakpower=1&amp;loss=14&amp;angle=35&amp;aspect=-15&amp;outputformat=json&amp;raddatabase=PVGIS-SARAH3&amp;pvtechchoice=crystSi&amp;mountingplace=free&amp;usehorizon=1</v>
      </c>
    </row>
    <row r="2308">
      <c r="A2308" t="n">
        <v>35</v>
      </c>
      <c r="B2308" t="n">
        <v>165</v>
      </c>
      <c r="C2308" t="n">
        <v>7</v>
      </c>
      <c r="D2308" s="218" t="n">
        <v>157.17</v>
      </c>
      <c r="E2308" s="218" t="n">
        <v>5.07</v>
      </c>
      <c r="F2308" t="str">
        <v>https://re.jrc.ec.europa.eu/api/v5_3/PVcalc?lat=30.0444&amp;lon=31.2357&amp;peakpower=1&amp;loss=14&amp;angle=35&amp;aspect=-15&amp;outputformat=json&amp;raddatabase=PVGIS-SARAH3&amp;pvtechchoice=crystSi&amp;mountingplace=free&amp;usehorizon=1</v>
      </c>
    </row>
    <row r="2309">
      <c r="A2309" t="n">
        <v>35</v>
      </c>
      <c r="B2309" t="n">
        <v>165</v>
      </c>
      <c r="C2309" t="n">
        <v>8</v>
      </c>
      <c r="D2309" s="218" t="n">
        <v>160.96</v>
      </c>
      <c r="E2309" s="218" t="n">
        <v>5.19</v>
      </c>
      <c r="F2309" t="str">
        <v>https://re.jrc.ec.europa.eu/api/v5_3/PVcalc?lat=30.0444&amp;lon=31.2357&amp;peakpower=1&amp;loss=14&amp;angle=35&amp;aspect=-15&amp;outputformat=json&amp;raddatabase=PVGIS-SARAH3&amp;pvtechchoice=crystSi&amp;mountingplace=free&amp;usehorizon=1</v>
      </c>
    </row>
    <row r="2310">
      <c r="A2310" t="n">
        <v>35</v>
      </c>
      <c r="B2310" t="n">
        <v>165</v>
      </c>
      <c r="C2310" t="n">
        <v>9</v>
      </c>
      <c r="D2310" s="218" t="n">
        <v>157.51</v>
      </c>
      <c r="E2310" s="218" t="n">
        <v>5.25</v>
      </c>
      <c r="F2310" t="str">
        <v>https://re.jrc.ec.europa.eu/api/v5_3/PVcalc?lat=30.0444&amp;lon=31.2357&amp;peakpower=1&amp;loss=14&amp;angle=35&amp;aspect=-15&amp;outputformat=json&amp;raddatabase=PVGIS-SARAH3&amp;pvtechchoice=crystSi&amp;mountingplace=free&amp;usehorizon=1</v>
      </c>
    </row>
    <row r="2311">
      <c r="A2311" t="n">
        <v>35</v>
      </c>
      <c r="B2311" t="n">
        <v>165</v>
      </c>
      <c r="C2311" t="n">
        <v>10</v>
      </c>
      <c r="D2311" s="218" t="n">
        <v>154.44</v>
      </c>
      <c r="E2311" s="218" t="n">
        <v>4.98</v>
      </c>
      <c r="F2311" t="str">
        <v>https://re.jrc.ec.europa.eu/api/v5_3/PVcalc?lat=30.0444&amp;lon=31.2357&amp;peakpower=1&amp;loss=14&amp;angle=35&amp;aspect=-15&amp;outputformat=json&amp;raddatabase=PVGIS-SARAH3&amp;pvtechchoice=crystSi&amp;mountingplace=free&amp;usehorizon=1</v>
      </c>
    </row>
    <row r="2312">
      <c r="A2312" t="n">
        <v>35</v>
      </c>
      <c r="B2312" t="n">
        <v>165</v>
      </c>
      <c r="C2312" t="n">
        <v>11</v>
      </c>
      <c r="D2312" s="218" t="n">
        <v>139.09</v>
      </c>
      <c r="E2312" s="218" t="n">
        <v>4.64</v>
      </c>
      <c r="F2312" t="str">
        <v>https://re.jrc.ec.europa.eu/api/v5_3/PVcalc?lat=30.0444&amp;lon=31.2357&amp;peakpower=1&amp;loss=14&amp;angle=35&amp;aspect=-15&amp;outputformat=json&amp;raddatabase=PVGIS-SARAH3&amp;pvtechchoice=crystSi&amp;mountingplace=free&amp;usehorizon=1</v>
      </c>
    </row>
    <row r="2313">
      <c r="A2313" t="n">
        <v>35</v>
      </c>
      <c r="B2313" t="n">
        <v>165</v>
      </c>
      <c r="C2313" t="n">
        <v>12</v>
      </c>
      <c r="D2313" s="218" t="n">
        <v>133.42</v>
      </c>
      <c r="E2313" s="218" t="n">
        <v>4.3</v>
      </c>
      <c r="F2313" t="str">
        <v>https://re.jrc.ec.europa.eu/api/v5_3/PVcalc?lat=30.0444&amp;lon=31.2357&amp;peakpower=1&amp;loss=14&amp;angle=35&amp;aspect=-15&amp;outputformat=json&amp;raddatabase=PVGIS-SARAH3&amp;pvtechchoice=crystSi&amp;mountingplace=free&amp;usehorizon=1</v>
      </c>
    </row>
    <row r="2314">
      <c r="A2314" t="n">
        <v>35</v>
      </c>
      <c r="B2314" t="n">
        <v>180</v>
      </c>
      <c r="C2314" t="n">
        <v>1</v>
      </c>
      <c r="D2314" s="218" t="n">
        <v>135.47</v>
      </c>
      <c r="E2314" s="218" t="n">
        <v>4.37</v>
      </c>
      <c r="F2314" t="str">
        <v>https://re.jrc.ec.europa.eu/api/v5_3/PVcalc?lat=30.0444&amp;lon=31.2357&amp;peakpower=1&amp;loss=14&amp;angle=35&amp;aspect=0&amp;outputformat=json&amp;raddatabase=PVGIS-SARAH3&amp;pvtechchoice=crystSi&amp;mountingplace=free&amp;usehorizon=1</v>
      </c>
    </row>
    <row r="2315">
      <c r="A2315" t="n">
        <v>35</v>
      </c>
      <c r="B2315" t="n">
        <v>180</v>
      </c>
      <c r="C2315" t="n">
        <v>2</v>
      </c>
      <c r="D2315" s="218" t="n">
        <v>131.89</v>
      </c>
      <c r="E2315" s="218" t="n">
        <v>4.71</v>
      </c>
      <c r="F2315" t="str">
        <v>https://re.jrc.ec.europa.eu/api/v5_3/PVcalc?lat=30.0444&amp;lon=31.2357&amp;peakpower=1&amp;loss=14&amp;angle=35&amp;aspect=0&amp;outputformat=json&amp;raddatabase=PVGIS-SARAH3&amp;pvtechchoice=crystSi&amp;mountingplace=free&amp;usehorizon=1</v>
      </c>
    </row>
    <row r="2316">
      <c r="A2316" t="n">
        <v>35</v>
      </c>
      <c r="B2316" t="n">
        <v>180</v>
      </c>
      <c r="C2316" t="n">
        <v>3</v>
      </c>
      <c r="D2316" s="218" t="n">
        <v>161.41</v>
      </c>
      <c r="E2316" s="218" t="n">
        <v>5.21</v>
      </c>
      <c r="F2316" t="str">
        <v>https://re.jrc.ec.europa.eu/api/v5_3/PVcalc?lat=30.0444&amp;lon=31.2357&amp;peakpower=1&amp;loss=14&amp;angle=35&amp;aspect=0&amp;outputformat=json&amp;raddatabase=PVGIS-SARAH3&amp;pvtechchoice=crystSi&amp;mountingplace=free&amp;usehorizon=1</v>
      </c>
    </row>
    <row r="2317">
      <c r="A2317" t="n">
        <v>35</v>
      </c>
      <c r="B2317" t="n">
        <v>180</v>
      </c>
      <c r="C2317" t="n">
        <v>4</v>
      </c>
      <c r="D2317" s="218" t="n">
        <v>158.15</v>
      </c>
      <c r="E2317" s="218" t="n">
        <v>5.27</v>
      </c>
      <c r="F2317" t="str">
        <v>https://re.jrc.ec.europa.eu/api/v5_3/PVcalc?lat=30.0444&amp;lon=31.2357&amp;peakpower=1&amp;loss=14&amp;angle=35&amp;aspect=0&amp;outputformat=json&amp;raddatabase=PVGIS-SARAH3&amp;pvtechchoice=crystSi&amp;mountingplace=free&amp;usehorizon=1</v>
      </c>
    </row>
    <row r="2318">
      <c r="A2318" t="n">
        <v>35</v>
      </c>
      <c r="B2318" t="n">
        <v>180</v>
      </c>
      <c r="C2318" t="n">
        <v>5</v>
      </c>
      <c r="D2318" s="218" t="n">
        <v>157.23</v>
      </c>
      <c r="E2318" s="218" t="n">
        <v>5.07</v>
      </c>
      <c r="F2318" t="str">
        <v>https://re.jrc.ec.europa.eu/api/v5_3/PVcalc?lat=30.0444&amp;lon=31.2357&amp;peakpower=1&amp;loss=14&amp;angle=35&amp;aspect=0&amp;outputformat=json&amp;raddatabase=PVGIS-SARAH3&amp;pvtechchoice=crystSi&amp;mountingplace=free&amp;usehorizon=1</v>
      </c>
    </row>
    <row r="2319">
      <c r="A2319" t="n">
        <v>35</v>
      </c>
      <c r="B2319" t="n">
        <v>180</v>
      </c>
      <c r="C2319" t="n">
        <v>6</v>
      </c>
      <c r="D2319" s="218" t="n">
        <v>151.62</v>
      </c>
      <c r="E2319" s="218" t="n">
        <v>5.05</v>
      </c>
      <c r="F2319" t="str">
        <v>https://re.jrc.ec.europa.eu/api/v5_3/PVcalc?lat=30.0444&amp;lon=31.2357&amp;peakpower=1&amp;loss=14&amp;angle=35&amp;aspect=0&amp;outputformat=json&amp;raddatabase=PVGIS-SARAH3&amp;pvtechchoice=crystSi&amp;mountingplace=free&amp;usehorizon=1</v>
      </c>
    </row>
    <row r="2320">
      <c r="A2320" t="n">
        <v>35</v>
      </c>
      <c r="B2320" t="n">
        <v>180</v>
      </c>
      <c r="C2320" t="n">
        <v>7</v>
      </c>
      <c r="D2320" s="218" t="n">
        <v>158.15</v>
      </c>
      <c r="E2320" s="218" t="n">
        <v>5.1</v>
      </c>
      <c r="F2320" t="str">
        <v>https://re.jrc.ec.europa.eu/api/v5_3/PVcalc?lat=30.0444&amp;lon=31.2357&amp;peakpower=1&amp;loss=14&amp;angle=35&amp;aspect=0&amp;outputformat=json&amp;raddatabase=PVGIS-SARAH3&amp;pvtechchoice=crystSi&amp;mountingplace=free&amp;usehorizon=1</v>
      </c>
    </row>
    <row r="2321">
      <c r="A2321" t="n">
        <v>35</v>
      </c>
      <c r="B2321" t="n">
        <v>180</v>
      </c>
      <c r="C2321" t="n">
        <v>8</v>
      </c>
      <c r="D2321" s="218" t="n">
        <v>162.74</v>
      </c>
      <c r="E2321" s="218" t="n">
        <v>5.25</v>
      </c>
      <c r="F2321" t="str">
        <v>https://re.jrc.ec.europa.eu/api/v5_3/PVcalc?lat=30.0444&amp;lon=31.2357&amp;peakpower=1&amp;loss=14&amp;angle=35&amp;aspect=0&amp;outputformat=json&amp;raddatabase=PVGIS-SARAH3&amp;pvtechchoice=crystSi&amp;mountingplace=free&amp;usehorizon=1</v>
      </c>
    </row>
    <row r="2322">
      <c r="A2322" t="n">
        <v>35</v>
      </c>
      <c r="B2322" t="n">
        <v>180</v>
      </c>
      <c r="C2322" t="n">
        <v>9</v>
      </c>
      <c r="D2322" s="218" t="n">
        <v>160.24</v>
      </c>
      <c r="E2322" s="218" t="n">
        <v>5.34</v>
      </c>
      <c r="F2322" t="str">
        <v>https://re.jrc.ec.europa.eu/api/v5_3/PVcalc?lat=30.0444&amp;lon=31.2357&amp;peakpower=1&amp;loss=14&amp;angle=35&amp;aspect=0&amp;outputformat=json&amp;raddatabase=PVGIS-SARAH3&amp;pvtechchoice=crystSi&amp;mountingplace=free&amp;usehorizon=1</v>
      </c>
    </row>
    <row r="2323">
      <c r="A2323" t="n">
        <v>35</v>
      </c>
      <c r="B2323" t="n">
        <v>180</v>
      </c>
      <c r="C2323" t="n">
        <v>10</v>
      </c>
      <c r="D2323" s="218" t="n">
        <v>156.7</v>
      </c>
      <c r="E2323" s="218" t="n">
        <v>5.05</v>
      </c>
      <c r="F2323" t="str">
        <v>https://re.jrc.ec.europa.eu/api/v5_3/PVcalc?lat=30.0444&amp;lon=31.2357&amp;peakpower=1&amp;loss=14&amp;angle=35&amp;aspect=0&amp;outputformat=json&amp;raddatabase=PVGIS-SARAH3&amp;pvtechchoice=crystSi&amp;mountingplace=free&amp;usehorizon=1</v>
      </c>
    </row>
    <row r="2324">
      <c r="A2324" t="n">
        <v>35</v>
      </c>
      <c r="B2324" t="n">
        <v>180</v>
      </c>
      <c r="C2324" t="n">
        <v>11</v>
      </c>
      <c r="D2324" s="218" t="n">
        <v>141.04</v>
      </c>
      <c r="E2324" s="218" t="n">
        <v>4.7</v>
      </c>
      <c r="F2324" t="str">
        <v>https://re.jrc.ec.europa.eu/api/v5_3/PVcalc?lat=30.0444&amp;lon=31.2357&amp;peakpower=1&amp;loss=14&amp;angle=35&amp;aspect=0&amp;outputformat=json&amp;raddatabase=PVGIS-SARAH3&amp;pvtechchoice=crystSi&amp;mountingplace=free&amp;usehorizon=1</v>
      </c>
    </row>
    <row r="2325">
      <c r="A2325" t="n">
        <v>35</v>
      </c>
      <c r="B2325" t="n">
        <v>180</v>
      </c>
      <c r="C2325" t="n">
        <v>12</v>
      </c>
      <c r="D2325" s="218" t="n">
        <v>135.19</v>
      </c>
      <c r="E2325" s="218" t="n">
        <v>4.36</v>
      </c>
      <c r="F2325" t="str">
        <v>https://re.jrc.ec.europa.eu/api/v5_3/PVcalc?lat=30.0444&amp;lon=31.2357&amp;peakpower=1&amp;loss=14&amp;angle=35&amp;aspect=0&amp;outputformat=json&amp;raddatabase=PVGIS-SARAH3&amp;pvtechchoice=crystSi&amp;mountingplace=free&amp;usehorizon=1</v>
      </c>
    </row>
    <row r="2326">
      <c r="A2326" t="n">
        <v>35</v>
      </c>
      <c r="B2326" t="n">
        <v>195</v>
      </c>
      <c r="C2326" t="n">
        <v>1</v>
      </c>
      <c r="D2326" s="218" t="n">
        <v>133.06</v>
      </c>
      <c r="E2326" s="218" t="n">
        <v>4.29</v>
      </c>
      <c r="F2326" t="str">
        <v>https://re.jrc.ec.europa.eu/api/v5_3/PVcalc?lat=30.0444&amp;lon=31.2357&amp;peakpower=1&amp;loss=14&amp;angle=35&amp;aspect=15&amp;outputformat=json&amp;raddatabase=PVGIS-SARAH3&amp;pvtechchoice=crystSi&amp;mountingplace=free&amp;usehorizon=1</v>
      </c>
    </row>
    <row r="2327">
      <c r="A2327" t="n">
        <v>35</v>
      </c>
      <c r="B2327" t="n">
        <v>195</v>
      </c>
      <c r="C2327" t="n">
        <v>2</v>
      </c>
      <c r="D2327" s="218" t="n">
        <v>129.79</v>
      </c>
      <c r="E2327" s="218" t="n">
        <v>4.64</v>
      </c>
      <c r="F2327" t="str">
        <v>https://re.jrc.ec.europa.eu/api/v5_3/PVcalc?lat=30.0444&amp;lon=31.2357&amp;peakpower=1&amp;loss=14&amp;angle=35&amp;aspect=15&amp;outputformat=json&amp;raddatabase=PVGIS-SARAH3&amp;pvtechchoice=crystSi&amp;mountingplace=free&amp;usehorizon=1</v>
      </c>
    </row>
    <row r="2328">
      <c r="A2328" t="n">
        <v>35</v>
      </c>
      <c r="B2328" t="n">
        <v>195</v>
      </c>
      <c r="C2328" t="n">
        <v>3</v>
      </c>
      <c r="D2328" s="218" t="n">
        <v>160.68</v>
      </c>
      <c r="E2328" s="218" t="n">
        <v>5.18</v>
      </c>
      <c r="F2328" t="str">
        <v>https://re.jrc.ec.europa.eu/api/v5_3/PVcalc?lat=30.0444&amp;lon=31.2357&amp;peakpower=1&amp;loss=14&amp;angle=35&amp;aspect=15&amp;outputformat=json&amp;raddatabase=PVGIS-SARAH3&amp;pvtechchoice=crystSi&amp;mountingplace=free&amp;usehorizon=1</v>
      </c>
    </row>
    <row r="2329">
      <c r="A2329" t="n">
        <v>35</v>
      </c>
      <c r="B2329" t="n">
        <v>195</v>
      </c>
      <c r="C2329" t="n">
        <v>4</v>
      </c>
      <c r="D2329" s="218" t="n">
        <v>158.59</v>
      </c>
      <c r="E2329" s="218" t="n">
        <v>5.29</v>
      </c>
      <c r="F2329" t="str">
        <v>https://re.jrc.ec.europa.eu/api/v5_3/PVcalc?lat=30.0444&amp;lon=31.2357&amp;peakpower=1&amp;loss=14&amp;angle=35&amp;aspect=15&amp;outputformat=json&amp;raddatabase=PVGIS-SARAH3&amp;pvtechchoice=crystSi&amp;mountingplace=free&amp;usehorizon=1</v>
      </c>
    </row>
    <row r="2330">
      <c r="A2330" t="n">
        <v>35</v>
      </c>
      <c r="B2330" t="n">
        <v>195</v>
      </c>
      <c r="C2330" t="n">
        <v>5</v>
      </c>
      <c r="D2330" s="218" t="n">
        <v>158.24</v>
      </c>
      <c r="E2330" s="218" t="n">
        <v>5.1</v>
      </c>
      <c r="F2330" t="str">
        <v>https://re.jrc.ec.europa.eu/api/v5_3/PVcalc?lat=30.0444&amp;lon=31.2357&amp;peakpower=1&amp;loss=14&amp;angle=35&amp;aspect=15&amp;outputformat=json&amp;raddatabase=PVGIS-SARAH3&amp;pvtechchoice=crystSi&amp;mountingplace=free&amp;usehorizon=1</v>
      </c>
    </row>
    <row r="2331">
      <c r="A2331" t="n">
        <v>35</v>
      </c>
      <c r="B2331" t="n">
        <v>195</v>
      </c>
      <c r="C2331" t="n">
        <v>6</v>
      </c>
      <c r="D2331" s="218" t="n">
        <v>153.2</v>
      </c>
      <c r="E2331" s="218" t="n">
        <v>5.11</v>
      </c>
      <c r="F2331" t="str">
        <v>https://re.jrc.ec.europa.eu/api/v5_3/PVcalc?lat=30.0444&amp;lon=31.2357&amp;peakpower=1&amp;loss=14&amp;angle=35&amp;aspect=15&amp;outputformat=json&amp;raddatabase=PVGIS-SARAH3&amp;pvtechchoice=crystSi&amp;mountingplace=free&amp;usehorizon=1</v>
      </c>
    </row>
    <row r="2332">
      <c r="A2332" t="n">
        <v>35</v>
      </c>
      <c r="B2332" t="n">
        <v>195</v>
      </c>
      <c r="C2332" t="n">
        <v>7</v>
      </c>
      <c r="D2332" s="218" t="n">
        <v>159.93</v>
      </c>
      <c r="E2332" s="218" t="n">
        <v>5.16</v>
      </c>
      <c r="F2332" t="str">
        <v>https://re.jrc.ec.europa.eu/api/v5_3/PVcalc?lat=30.0444&amp;lon=31.2357&amp;peakpower=1&amp;loss=14&amp;angle=35&amp;aspect=15&amp;outputformat=json&amp;raddatabase=PVGIS-SARAH3&amp;pvtechchoice=crystSi&amp;mountingplace=free&amp;usehorizon=1</v>
      </c>
    </row>
    <row r="2333">
      <c r="A2333" t="n">
        <v>35</v>
      </c>
      <c r="B2333" t="n">
        <v>195</v>
      </c>
      <c r="C2333" t="n">
        <v>8</v>
      </c>
      <c r="D2333" s="218" t="n">
        <v>164.01</v>
      </c>
      <c r="E2333" s="218" t="n">
        <v>5.29</v>
      </c>
      <c r="F2333" t="str">
        <v>https://re.jrc.ec.europa.eu/api/v5_3/PVcalc?lat=30.0444&amp;lon=31.2357&amp;peakpower=1&amp;loss=14&amp;angle=35&amp;aspect=15&amp;outputformat=json&amp;raddatabase=PVGIS-SARAH3&amp;pvtechchoice=crystSi&amp;mountingplace=free&amp;usehorizon=1</v>
      </c>
    </row>
    <row r="2334">
      <c r="A2334" t="n">
        <v>35</v>
      </c>
      <c r="B2334" t="n">
        <v>195</v>
      </c>
      <c r="C2334" t="n">
        <v>9</v>
      </c>
      <c r="D2334" s="218" t="n">
        <v>160.64</v>
      </c>
      <c r="E2334" s="218" t="n">
        <v>5.35</v>
      </c>
      <c r="F2334" t="str">
        <v>https://re.jrc.ec.europa.eu/api/v5_3/PVcalc?lat=30.0444&amp;lon=31.2357&amp;peakpower=1&amp;loss=14&amp;angle=35&amp;aspect=15&amp;outputformat=json&amp;raddatabase=PVGIS-SARAH3&amp;pvtechchoice=crystSi&amp;mountingplace=free&amp;usehorizon=1</v>
      </c>
    </row>
    <row r="2335">
      <c r="A2335" t="n">
        <v>35</v>
      </c>
      <c r="B2335" t="n">
        <v>195</v>
      </c>
      <c r="C2335" t="n">
        <v>10</v>
      </c>
      <c r="D2335" s="218" t="n">
        <v>155.25</v>
      </c>
      <c r="E2335" s="218" t="n">
        <v>5.01</v>
      </c>
      <c r="F2335" t="str">
        <v>https://re.jrc.ec.europa.eu/api/v5_3/PVcalc?lat=30.0444&amp;lon=31.2357&amp;peakpower=1&amp;loss=14&amp;angle=35&amp;aspect=15&amp;outputformat=json&amp;raddatabase=PVGIS-SARAH3&amp;pvtechchoice=crystSi&amp;mountingplace=free&amp;usehorizon=1</v>
      </c>
    </row>
    <row r="2336">
      <c r="A2336" t="n">
        <v>35</v>
      </c>
      <c r="B2336" t="n">
        <v>195</v>
      </c>
      <c r="C2336" t="n">
        <v>11</v>
      </c>
      <c r="D2336" s="218" t="n">
        <v>138.77</v>
      </c>
      <c r="E2336" s="218" t="n">
        <v>4.63</v>
      </c>
      <c r="F2336" t="str">
        <v>https://re.jrc.ec.europa.eu/api/v5_3/PVcalc?lat=30.0444&amp;lon=31.2357&amp;peakpower=1&amp;loss=14&amp;angle=35&amp;aspect=15&amp;outputformat=json&amp;raddatabase=PVGIS-SARAH3&amp;pvtechchoice=crystSi&amp;mountingplace=free&amp;usehorizon=1</v>
      </c>
    </row>
    <row r="2337">
      <c r="A2337" t="n">
        <v>35</v>
      </c>
      <c r="B2337" t="n">
        <v>195</v>
      </c>
      <c r="C2337" t="n">
        <v>12</v>
      </c>
      <c r="D2337" s="218" t="n">
        <v>132.64</v>
      </c>
      <c r="E2337" s="218" t="n">
        <v>4.28</v>
      </c>
      <c r="F2337" t="str">
        <v>https://re.jrc.ec.europa.eu/api/v5_3/PVcalc?lat=30.0444&amp;lon=31.2357&amp;peakpower=1&amp;loss=14&amp;angle=35&amp;aspect=15&amp;outputformat=json&amp;raddatabase=PVGIS-SARAH3&amp;pvtechchoice=crystSi&amp;mountingplace=free&amp;usehorizon=1</v>
      </c>
    </row>
    <row r="2338">
      <c r="A2338" t="n">
        <v>35</v>
      </c>
      <c r="B2338" t="n">
        <v>210</v>
      </c>
      <c r="C2338" t="n">
        <v>1</v>
      </c>
      <c r="D2338" s="218" t="n">
        <v>126.76</v>
      </c>
      <c r="E2338" s="218" t="n">
        <v>4.09</v>
      </c>
      <c r="F2338" t="str">
        <v>https://re.jrc.ec.europa.eu/api/v5_3/PVcalc?lat=30.0444&amp;lon=31.2357&amp;peakpower=1&amp;loss=14&amp;angle=35&amp;aspect=30&amp;outputformat=json&amp;raddatabase=PVGIS-SARAH3&amp;pvtechchoice=crystSi&amp;mountingplace=free&amp;usehorizon=1</v>
      </c>
    </row>
    <row r="2339">
      <c r="A2339" t="n">
        <v>35</v>
      </c>
      <c r="B2339" t="n">
        <v>210</v>
      </c>
      <c r="C2339" t="n">
        <v>2</v>
      </c>
      <c r="D2339" s="218" t="n">
        <v>124.91</v>
      </c>
      <c r="E2339" s="218" t="n">
        <v>4.46</v>
      </c>
      <c r="F2339" t="str">
        <v>https://re.jrc.ec.europa.eu/api/v5_3/PVcalc?lat=30.0444&amp;lon=31.2357&amp;peakpower=1&amp;loss=14&amp;angle=35&amp;aspect=30&amp;outputformat=json&amp;raddatabase=PVGIS-SARAH3&amp;pvtechchoice=crystSi&amp;mountingplace=free&amp;usehorizon=1</v>
      </c>
    </row>
    <row r="2340">
      <c r="A2340" t="n">
        <v>35</v>
      </c>
      <c r="B2340" t="n">
        <v>210</v>
      </c>
      <c r="C2340" t="n">
        <v>3</v>
      </c>
      <c r="D2340" s="218" t="n">
        <v>157.53</v>
      </c>
      <c r="E2340" s="218" t="n">
        <v>5.08</v>
      </c>
      <c r="F2340" t="str">
        <v>https://re.jrc.ec.europa.eu/api/v5_3/PVcalc?lat=30.0444&amp;lon=31.2357&amp;peakpower=1&amp;loss=14&amp;angle=35&amp;aspect=30&amp;outputformat=json&amp;raddatabase=PVGIS-SARAH3&amp;pvtechchoice=crystSi&amp;mountingplace=free&amp;usehorizon=1</v>
      </c>
    </row>
    <row r="2341">
      <c r="A2341" t="n">
        <v>35</v>
      </c>
      <c r="B2341" t="n">
        <v>210</v>
      </c>
      <c r="C2341" t="n">
        <v>4</v>
      </c>
      <c r="D2341" s="218" t="n">
        <v>157.57</v>
      </c>
      <c r="E2341" s="218" t="n">
        <v>5.25</v>
      </c>
      <c r="F2341" t="str">
        <v>https://re.jrc.ec.europa.eu/api/v5_3/PVcalc?lat=30.0444&amp;lon=31.2357&amp;peakpower=1&amp;loss=14&amp;angle=35&amp;aspect=30&amp;outputformat=json&amp;raddatabase=PVGIS-SARAH3&amp;pvtechchoice=crystSi&amp;mountingplace=free&amp;usehorizon=1</v>
      </c>
    </row>
    <row r="2342">
      <c r="A2342" t="n">
        <v>35</v>
      </c>
      <c r="B2342" t="n">
        <v>210</v>
      </c>
      <c r="C2342" t="n">
        <v>5</v>
      </c>
      <c r="D2342" s="218" t="n">
        <v>159.24</v>
      </c>
      <c r="E2342" s="218" t="n">
        <v>5.14</v>
      </c>
      <c r="F2342" t="str">
        <v>https://re.jrc.ec.europa.eu/api/v5_3/PVcalc?lat=30.0444&amp;lon=31.2357&amp;peakpower=1&amp;loss=14&amp;angle=35&amp;aspect=30&amp;outputformat=json&amp;raddatabase=PVGIS-SARAH3&amp;pvtechchoice=crystSi&amp;mountingplace=free&amp;usehorizon=1</v>
      </c>
    </row>
    <row r="2343">
      <c r="A2343" t="n">
        <v>35</v>
      </c>
      <c r="B2343" t="n">
        <v>210</v>
      </c>
      <c r="C2343" t="n">
        <v>6</v>
      </c>
      <c r="D2343" s="218" t="n">
        <v>156.02</v>
      </c>
      <c r="E2343" s="218" t="n">
        <v>5.2</v>
      </c>
      <c r="F2343" t="str">
        <v>https://re.jrc.ec.europa.eu/api/v5_3/PVcalc?lat=30.0444&amp;lon=31.2357&amp;peakpower=1&amp;loss=14&amp;angle=35&amp;aspect=30&amp;outputformat=json&amp;raddatabase=PVGIS-SARAH3&amp;pvtechchoice=crystSi&amp;mountingplace=free&amp;usehorizon=1</v>
      </c>
    </row>
    <row r="2344">
      <c r="A2344" t="n">
        <v>35</v>
      </c>
      <c r="B2344" t="n">
        <v>210</v>
      </c>
      <c r="C2344" t="n">
        <v>7</v>
      </c>
      <c r="D2344" s="218" t="n">
        <v>163.06</v>
      </c>
      <c r="E2344" s="218" t="n">
        <v>5.26</v>
      </c>
      <c r="F2344" t="str">
        <v>https://re.jrc.ec.europa.eu/api/v5_3/PVcalc?lat=30.0444&amp;lon=31.2357&amp;peakpower=1&amp;loss=14&amp;angle=35&amp;aspect=30&amp;outputformat=json&amp;raddatabase=PVGIS-SARAH3&amp;pvtechchoice=crystSi&amp;mountingplace=free&amp;usehorizon=1</v>
      </c>
    </row>
    <row r="2345">
      <c r="A2345" t="n">
        <v>35</v>
      </c>
      <c r="B2345" t="n">
        <v>210</v>
      </c>
      <c r="C2345" t="n">
        <v>8</v>
      </c>
      <c r="D2345" s="218" t="n">
        <v>164.76</v>
      </c>
      <c r="E2345" s="218" t="n">
        <v>5.31</v>
      </c>
      <c r="F2345" t="str">
        <v>https://re.jrc.ec.europa.eu/api/v5_3/PVcalc?lat=30.0444&amp;lon=31.2357&amp;peakpower=1&amp;loss=14&amp;angle=35&amp;aspect=30&amp;outputformat=json&amp;raddatabase=PVGIS-SARAH3&amp;pvtechchoice=crystSi&amp;mountingplace=free&amp;usehorizon=1</v>
      </c>
    </row>
    <row r="2346">
      <c r="A2346" t="n">
        <v>35</v>
      </c>
      <c r="B2346" t="n">
        <v>210</v>
      </c>
      <c r="C2346" t="n">
        <v>9</v>
      </c>
      <c r="D2346" s="218" t="n">
        <v>158.56</v>
      </c>
      <c r="E2346" s="218" t="n">
        <v>5.29</v>
      </c>
      <c r="F2346" t="str">
        <v>https://re.jrc.ec.europa.eu/api/v5_3/PVcalc?lat=30.0444&amp;lon=31.2357&amp;peakpower=1&amp;loss=14&amp;angle=35&amp;aspect=30&amp;outputformat=json&amp;raddatabase=PVGIS-SARAH3&amp;pvtechchoice=crystSi&amp;mountingplace=free&amp;usehorizon=1</v>
      </c>
    </row>
    <row r="2347">
      <c r="A2347" t="n">
        <v>35</v>
      </c>
      <c r="B2347" t="n">
        <v>210</v>
      </c>
      <c r="C2347" t="n">
        <v>10</v>
      </c>
      <c r="D2347" s="218" t="n">
        <v>150.28</v>
      </c>
      <c r="E2347" s="218" t="n">
        <v>4.85</v>
      </c>
      <c r="F2347" t="str">
        <v>https://re.jrc.ec.europa.eu/api/v5_3/PVcalc?lat=30.0444&amp;lon=31.2357&amp;peakpower=1&amp;loss=14&amp;angle=35&amp;aspect=30&amp;outputformat=json&amp;raddatabase=PVGIS-SARAH3&amp;pvtechchoice=crystSi&amp;mountingplace=free&amp;usehorizon=1</v>
      </c>
    </row>
    <row r="2348">
      <c r="A2348" t="n">
        <v>35</v>
      </c>
      <c r="B2348" t="n">
        <v>210</v>
      </c>
      <c r="C2348" t="n">
        <v>11</v>
      </c>
      <c r="D2348" s="218" t="n">
        <v>132.57</v>
      </c>
      <c r="E2348" s="218" t="n">
        <v>4.42</v>
      </c>
      <c r="F2348" t="str">
        <v>https://re.jrc.ec.europa.eu/api/v5_3/PVcalc?lat=30.0444&amp;lon=31.2357&amp;peakpower=1&amp;loss=14&amp;angle=35&amp;aspect=30&amp;outputformat=json&amp;raddatabase=PVGIS-SARAH3&amp;pvtechchoice=crystSi&amp;mountingplace=free&amp;usehorizon=1</v>
      </c>
    </row>
    <row r="2349">
      <c r="A2349" t="n">
        <v>35</v>
      </c>
      <c r="B2349" t="n">
        <v>210</v>
      </c>
      <c r="C2349" t="n">
        <v>12</v>
      </c>
      <c r="D2349" s="218" t="n">
        <v>126.02</v>
      </c>
      <c r="E2349" s="218" t="n">
        <v>4.07</v>
      </c>
      <c r="F2349" t="str">
        <v>https://re.jrc.ec.europa.eu/api/v5_3/PVcalc?lat=30.0444&amp;lon=31.2357&amp;peakpower=1&amp;loss=14&amp;angle=35&amp;aspect=30&amp;outputformat=json&amp;raddatabase=PVGIS-SARAH3&amp;pvtechchoice=crystSi&amp;mountingplace=free&amp;usehorizon=1</v>
      </c>
    </row>
    <row r="2350">
      <c r="A2350" t="n">
        <v>35</v>
      </c>
      <c r="B2350" t="n">
        <v>225</v>
      </c>
      <c r="C2350" t="n">
        <v>1</v>
      </c>
      <c r="D2350" s="218" t="n">
        <v>117.14</v>
      </c>
      <c r="E2350" s="218" t="n">
        <v>3.78</v>
      </c>
      <c r="F2350" t="str">
        <v>https://re.jrc.ec.europa.eu/api/v5_3/PVcalc?lat=30.0444&amp;lon=31.2357&amp;peakpower=1&amp;loss=14&amp;angle=35&amp;aspect=45&amp;outputformat=json&amp;raddatabase=PVGIS-SARAH3&amp;pvtechchoice=crystSi&amp;mountingplace=free&amp;usehorizon=1</v>
      </c>
    </row>
    <row r="2351">
      <c r="A2351" t="n">
        <v>35</v>
      </c>
      <c r="B2351" t="n">
        <v>225</v>
      </c>
      <c r="C2351" t="n">
        <v>2</v>
      </c>
      <c r="D2351" s="218" t="n">
        <v>117.65</v>
      </c>
      <c r="E2351" s="218" t="n">
        <v>4.2</v>
      </c>
      <c r="F2351" t="str">
        <v>https://re.jrc.ec.europa.eu/api/v5_3/PVcalc?lat=30.0444&amp;lon=31.2357&amp;peakpower=1&amp;loss=14&amp;angle=35&amp;aspect=45&amp;outputformat=json&amp;raddatabase=PVGIS-SARAH3&amp;pvtechchoice=crystSi&amp;mountingplace=free&amp;usehorizon=1</v>
      </c>
    </row>
    <row r="2352">
      <c r="A2352" t="n">
        <v>35</v>
      </c>
      <c r="B2352" t="n">
        <v>225</v>
      </c>
      <c r="C2352" t="n">
        <v>3</v>
      </c>
      <c r="D2352" s="218" t="n">
        <v>152.4</v>
      </c>
      <c r="E2352" s="218" t="n">
        <v>4.92</v>
      </c>
      <c r="F2352" t="str">
        <v>https://re.jrc.ec.europa.eu/api/v5_3/PVcalc?lat=30.0444&amp;lon=31.2357&amp;peakpower=1&amp;loss=14&amp;angle=35&amp;aspect=45&amp;outputformat=json&amp;raddatabase=PVGIS-SARAH3&amp;pvtechchoice=crystSi&amp;mountingplace=free&amp;usehorizon=1</v>
      </c>
    </row>
    <row r="2353">
      <c r="A2353" t="n">
        <v>35</v>
      </c>
      <c r="B2353" t="n">
        <v>225</v>
      </c>
      <c r="C2353" t="n">
        <v>4</v>
      </c>
      <c r="D2353" s="218" t="n">
        <v>156.05</v>
      </c>
      <c r="E2353" s="218" t="n">
        <v>5.2</v>
      </c>
      <c r="F2353" t="str">
        <v>https://re.jrc.ec.europa.eu/api/v5_3/PVcalc?lat=30.0444&amp;lon=31.2357&amp;peakpower=1&amp;loss=14&amp;angle=35&amp;aspect=45&amp;outputformat=json&amp;raddatabase=PVGIS-SARAH3&amp;pvtechchoice=crystSi&amp;mountingplace=free&amp;usehorizon=1</v>
      </c>
    </row>
    <row r="2354">
      <c r="A2354" t="n">
        <v>35</v>
      </c>
      <c r="B2354" t="n">
        <v>225</v>
      </c>
      <c r="C2354" t="n">
        <v>5</v>
      </c>
      <c r="D2354" s="218" t="n">
        <v>160.92</v>
      </c>
      <c r="E2354" s="218" t="n">
        <v>5.19</v>
      </c>
      <c r="F2354" t="str">
        <v>https://re.jrc.ec.europa.eu/api/v5_3/PVcalc?lat=30.0444&amp;lon=31.2357&amp;peakpower=1&amp;loss=14&amp;angle=35&amp;aspect=45&amp;outputformat=json&amp;raddatabase=PVGIS-SARAH3&amp;pvtechchoice=crystSi&amp;mountingplace=free&amp;usehorizon=1</v>
      </c>
    </row>
    <row r="2355">
      <c r="A2355" t="n">
        <v>35</v>
      </c>
      <c r="B2355" t="n">
        <v>225</v>
      </c>
      <c r="C2355" t="n">
        <v>6</v>
      </c>
      <c r="D2355" s="218" t="n">
        <v>160.07</v>
      </c>
      <c r="E2355" s="218" t="n">
        <v>5.34</v>
      </c>
      <c r="F2355" t="str">
        <v>https://re.jrc.ec.europa.eu/api/v5_3/PVcalc?lat=30.0444&amp;lon=31.2357&amp;peakpower=1&amp;loss=14&amp;angle=35&amp;aspect=45&amp;outputformat=json&amp;raddatabase=PVGIS-SARAH3&amp;pvtechchoice=crystSi&amp;mountingplace=free&amp;usehorizon=1</v>
      </c>
    </row>
    <row r="2356">
      <c r="A2356" t="n">
        <v>35</v>
      </c>
      <c r="B2356" t="n">
        <v>225</v>
      </c>
      <c r="C2356" t="n">
        <v>7</v>
      </c>
      <c r="D2356" s="218" t="n">
        <v>166.25</v>
      </c>
      <c r="E2356" s="218" t="n">
        <v>5.36</v>
      </c>
      <c r="F2356" t="str">
        <v>https://re.jrc.ec.europa.eu/api/v5_3/PVcalc?lat=30.0444&amp;lon=31.2357&amp;peakpower=1&amp;loss=14&amp;angle=35&amp;aspect=45&amp;outputformat=json&amp;raddatabase=PVGIS-SARAH3&amp;pvtechchoice=crystSi&amp;mountingplace=free&amp;usehorizon=1</v>
      </c>
    </row>
    <row r="2357">
      <c r="A2357" t="n">
        <v>35</v>
      </c>
      <c r="B2357" t="n">
        <v>225</v>
      </c>
      <c r="C2357" t="n">
        <v>8</v>
      </c>
      <c r="D2357" s="218" t="n">
        <v>165.15</v>
      </c>
      <c r="E2357" s="218" t="n">
        <v>5.33</v>
      </c>
      <c r="F2357" t="str">
        <v>https://re.jrc.ec.europa.eu/api/v5_3/PVcalc?lat=30.0444&amp;lon=31.2357&amp;peakpower=1&amp;loss=14&amp;angle=35&amp;aspect=45&amp;outputformat=json&amp;raddatabase=PVGIS-SARAH3&amp;pvtechchoice=crystSi&amp;mountingplace=free&amp;usehorizon=1</v>
      </c>
    </row>
    <row r="2358">
      <c r="A2358" t="n">
        <v>35</v>
      </c>
      <c r="B2358" t="n">
        <v>225</v>
      </c>
      <c r="C2358" t="n">
        <v>9</v>
      </c>
      <c r="D2358" s="218" t="n">
        <v>155.26</v>
      </c>
      <c r="E2358" s="218" t="n">
        <v>5.18</v>
      </c>
      <c r="F2358" t="str">
        <v>https://re.jrc.ec.europa.eu/api/v5_3/PVcalc?lat=30.0444&amp;lon=31.2357&amp;peakpower=1&amp;loss=14&amp;angle=35&amp;aspect=45&amp;outputformat=json&amp;raddatabase=PVGIS-SARAH3&amp;pvtechchoice=crystSi&amp;mountingplace=free&amp;usehorizon=1</v>
      </c>
    </row>
    <row r="2359">
      <c r="A2359" t="n">
        <v>35</v>
      </c>
      <c r="B2359" t="n">
        <v>225</v>
      </c>
      <c r="C2359" t="n">
        <v>10</v>
      </c>
      <c r="D2359" s="218" t="n">
        <v>143.23</v>
      </c>
      <c r="E2359" s="218" t="n">
        <v>4.62</v>
      </c>
      <c r="F2359" t="str">
        <v>https://re.jrc.ec.europa.eu/api/v5_3/PVcalc?lat=30.0444&amp;lon=31.2357&amp;peakpower=1&amp;loss=14&amp;angle=35&amp;aspect=45&amp;outputformat=json&amp;raddatabase=PVGIS-SARAH3&amp;pvtechchoice=crystSi&amp;mountingplace=free&amp;usehorizon=1</v>
      </c>
    </row>
    <row r="2360">
      <c r="A2360" t="n">
        <v>35</v>
      </c>
      <c r="B2360" t="n">
        <v>225</v>
      </c>
      <c r="C2360" t="n">
        <v>11</v>
      </c>
      <c r="D2360" s="218" t="n">
        <v>123.6</v>
      </c>
      <c r="E2360" s="218" t="n">
        <v>4.12</v>
      </c>
      <c r="F2360" t="str">
        <v>https://re.jrc.ec.europa.eu/api/v5_3/PVcalc?lat=30.0444&amp;lon=31.2357&amp;peakpower=1&amp;loss=14&amp;angle=35&amp;aspect=45&amp;outputformat=json&amp;raddatabase=PVGIS-SARAH3&amp;pvtechchoice=crystSi&amp;mountingplace=free&amp;usehorizon=1</v>
      </c>
    </row>
    <row r="2361">
      <c r="A2361" t="n">
        <v>35</v>
      </c>
      <c r="B2361" t="n">
        <v>225</v>
      </c>
      <c r="C2361" t="n">
        <v>12</v>
      </c>
      <c r="D2361" s="218" t="n">
        <v>116.12</v>
      </c>
      <c r="E2361" s="218" t="n">
        <v>3.75</v>
      </c>
      <c r="F2361" t="str">
        <v>https://re.jrc.ec.europa.eu/api/v5_3/PVcalc?lat=30.0444&amp;lon=31.2357&amp;peakpower=1&amp;loss=14&amp;angle=35&amp;aspect=45&amp;outputformat=json&amp;raddatabase=PVGIS-SARAH3&amp;pvtechchoice=crystSi&amp;mountingplace=free&amp;usehorizon=1</v>
      </c>
    </row>
    <row r="2362">
      <c r="A2362" t="n">
        <v>35</v>
      </c>
      <c r="B2362" t="n">
        <v>240</v>
      </c>
      <c r="C2362" t="n">
        <v>1</v>
      </c>
      <c r="D2362" s="218" t="n">
        <v>105.94</v>
      </c>
      <c r="E2362" s="218" t="n">
        <v>3.42</v>
      </c>
      <c r="F2362" t="str">
        <v>https://re.jrc.ec.europa.eu/api/v5_3/PVcalc?lat=30.0444&amp;lon=31.2357&amp;peakpower=1&amp;loss=14&amp;angle=35&amp;aspect=60&amp;outputformat=json&amp;raddatabase=PVGIS-SARAH3&amp;pvtechchoice=crystSi&amp;mountingplace=free&amp;usehorizon=1</v>
      </c>
    </row>
    <row r="2363">
      <c r="A2363" t="n">
        <v>35</v>
      </c>
      <c r="B2363" t="n">
        <v>240</v>
      </c>
      <c r="C2363" t="n">
        <v>2</v>
      </c>
      <c r="D2363" s="218" t="n">
        <v>109.36</v>
      </c>
      <c r="E2363" s="218" t="n">
        <v>3.91</v>
      </c>
      <c r="F2363" t="str">
        <v>https://re.jrc.ec.europa.eu/api/v5_3/PVcalc?lat=30.0444&amp;lon=31.2357&amp;peakpower=1&amp;loss=14&amp;angle=35&amp;aspect=60&amp;outputformat=json&amp;raddatabase=PVGIS-SARAH3&amp;pvtechchoice=crystSi&amp;mountingplace=free&amp;usehorizon=1</v>
      </c>
    </row>
    <row r="2364">
      <c r="A2364" t="n">
        <v>35</v>
      </c>
      <c r="B2364" t="n">
        <v>240</v>
      </c>
      <c r="C2364" t="n">
        <v>3</v>
      </c>
      <c r="D2364" s="218" t="n">
        <v>145.66</v>
      </c>
      <c r="E2364" s="218" t="n">
        <v>4.7</v>
      </c>
      <c r="F2364" t="str">
        <v>https://re.jrc.ec.europa.eu/api/v5_3/PVcalc?lat=30.0444&amp;lon=31.2357&amp;peakpower=1&amp;loss=14&amp;angle=35&amp;aspect=60&amp;outputformat=json&amp;raddatabase=PVGIS-SARAH3&amp;pvtechchoice=crystSi&amp;mountingplace=free&amp;usehorizon=1</v>
      </c>
    </row>
    <row r="2365">
      <c r="A2365" t="n">
        <v>35</v>
      </c>
      <c r="B2365" t="n">
        <v>240</v>
      </c>
      <c r="C2365" t="n">
        <v>4</v>
      </c>
      <c r="D2365" s="218" t="n">
        <v>152.82</v>
      </c>
      <c r="E2365" s="218" t="n">
        <v>5.09</v>
      </c>
      <c r="F2365" t="str">
        <v>https://re.jrc.ec.europa.eu/api/v5_3/PVcalc?lat=30.0444&amp;lon=31.2357&amp;peakpower=1&amp;loss=14&amp;angle=35&amp;aspect=60&amp;outputformat=json&amp;raddatabase=PVGIS-SARAH3&amp;pvtechchoice=crystSi&amp;mountingplace=free&amp;usehorizon=1</v>
      </c>
    </row>
    <row r="2366">
      <c r="A2366" t="n">
        <v>35</v>
      </c>
      <c r="B2366" t="n">
        <v>240</v>
      </c>
      <c r="C2366" t="n">
        <v>5</v>
      </c>
      <c r="D2366" s="218" t="n">
        <v>161.22</v>
      </c>
      <c r="E2366" s="218" t="n">
        <v>5.2</v>
      </c>
      <c r="F2366" t="str">
        <v>https://re.jrc.ec.europa.eu/api/v5_3/PVcalc?lat=30.0444&amp;lon=31.2357&amp;peakpower=1&amp;loss=14&amp;angle=35&amp;aspect=60&amp;outputformat=json&amp;raddatabase=PVGIS-SARAH3&amp;pvtechchoice=crystSi&amp;mountingplace=free&amp;usehorizon=1</v>
      </c>
    </row>
    <row r="2367">
      <c r="A2367" t="n">
        <v>35</v>
      </c>
      <c r="B2367" t="n">
        <v>240</v>
      </c>
      <c r="C2367" t="n">
        <v>6</v>
      </c>
      <c r="D2367" s="218" t="n">
        <v>162.78</v>
      </c>
      <c r="E2367" s="218" t="n">
        <v>5.43</v>
      </c>
      <c r="F2367" t="str">
        <v>https://re.jrc.ec.europa.eu/api/v5_3/PVcalc?lat=30.0444&amp;lon=31.2357&amp;peakpower=1&amp;loss=14&amp;angle=35&amp;aspect=60&amp;outputformat=json&amp;raddatabase=PVGIS-SARAH3&amp;pvtechchoice=crystSi&amp;mountingplace=free&amp;usehorizon=1</v>
      </c>
    </row>
    <row r="2368">
      <c r="A2368" t="n">
        <v>35</v>
      </c>
      <c r="B2368" t="n">
        <v>240</v>
      </c>
      <c r="C2368" t="n">
        <v>7</v>
      </c>
      <c r="D2368" s="218" t="n">
        <v>168.28</v>
      </c>
      <c r="E2368" s="218" t="n">
        <v>5.43</v>
      </c>
      <c r="F2368" t="str">
        <v>https://re.jrc.ec.europa.eu/api/v5_3/PVcalc?lat=30.0444&amp;lon=31.2357&amp;peakpower=1&amp;loss=14&amp;angle=35&amp;aspect=60&amp;outputformat=json&amp;raddatabase=PVGIS-SARAH3&amp;pvtechchoice=crystSi&amp;mountingplace=free&amp;usehorizon=1</v>
      </c>
    </row>
    <row r="2369">
      <c r="A2369" t="n">
        <v>35</v>
      </c>
      <c r="B2369" t="n">
        <v>240</v>
      </c>
      <c r="C2369" t="n">
        <v>8</v>
      </c>
      <c r="D2369" s="218" t="n">
        <v>163.76</v>
      </c>
      <c r="E2369" s="218" t="n">
        <v>5.28</v>
      </c>
      <c r="F2369" t="str">
        <v>https://re.jrc.ec.europa.eu/api/v5_3/PVcalc?lat=30.0444&amp;lon=31.2357&amp;peakpower=1&amp;loss=14&amp;angle=35&amp;aspect=60&amp;outputformat=json&amp;raddatabase=PVGIS-SARAH3&amp;pvtechchoice=crystSi&amp;mountingplace=free&amp;usehorizon=1</v>
      </c>
    </row>
    <row r="2370">
      <c r="A2370" t="n">
        <v>35</v>
      </c>
      <c r="B2370" t="n">
        <v>240</v>
      </c>
      <c r="C2370" t="n">
        <v>9</v>
      </c>
      <c r="D2370" s="218" t="n">
        <v>149.78</v>
      </c>
      <c r="E2370" s="218" t="n">
        <v>4.99</v>
      </c>
      <c r="F2370" t="str">
        <v>https://re.jrc.ec.europa.eu/api/v5_3/PVcalc?lat=30.0444&amp;lon=31.2357&amp;peakpower=1&amp;loss=14&amp;angle=35&amp;aspect=60&amp;outputformat=json&amp;raddatabase=PVGIS-SARAH3&amp;pvtechchoice=crystSi&amp;mountingplace=free&amp;usehorizon=1</v>
      </c>
    </row>
    <row r="2371">
      <c r="A2371" t="n">
        <v>35</v>
      </c>
      <c r="B2371" t="n">
        <v>240</v>
      </c>
      <c r="C2371" t="n">
        <v>10</v>
      </c>
      <c r="D2371" s="218" t="n">
        <v>133.91</v>
      </c>
      <c r="E2371" s="218" t="n">
        <v>4.32</v>
      </c>
      <c r="F2371" t="str">
        <v>https://re.jrc.ec.europa.eu/api/v5_3/PVcalc?lat=30.0444&amp;lon=31.2357&amp;peakpower=1&amp;loss=14&amp;angle=35&amp;aspect=60&amp;outputformat=json&amp;raddatabase=PVGIS-SARAH3&amp;pvtechchoice=crystSi&amp;mountingplace=free&amp;usehorizon=1</v>
      </c>
    </row>
    <row r="2372">
      <c r="A2372" t="n">
        <v>35</v>
      </c>
      <c r="B2372" t="n">
        <v>240</v>
      </c>
      <c r="C2372" t="n">
        <v>11</v>
      </c>
      <c r="D2372" s="218" t="n">
        <v>112.23</v>
      </c>
      <c r="E2372" s="218" t="n">
        <v>3.74</v>
      </c>
      <c r="F2372" t="str">
        <v>https://re.jrc.ec.europa.eu/api/v5_3/PVcalc?lat=30.0444&amp;lon=31.2357&amp;peakpower=1&amp;loss=14&amp;angle=35&amp;aspect=60&amp;outputformat=json&amp;raddatabase=PVGIS-SARAH3&amp;pvtechchoice=crystSi&amp;mountingplace=free&amp;usehorizon=1</v>
      </c>
    </row>
    <row r="2373">
      <c r="A2373" t="n">
        <v>35</v>
      </c>
      <c r="B2373" t="n">
        <v>240</v>
      </c>
      <c r="C2373" t="n">
        <v>12</v>
      </c>
      <c r="D2373" s="218" t="n">
        <v>103.92</v>
      </c>
      <c r="E2373" s="218" t="n">
        <v>3.35</v>
      </c>
      <c r="F2373" t="str">
        <v>https://re.jrc.ec.europa.eu/api/v5_3/PVcalc?lat=30.0444&amp;lon=31.2357&amp;peakpower=1&amp;loss=14&amp;angle=35&amp;aspect=60&amp;outputformat=json&amp;raddatabase=PVGIS-SARAH3&amp;pvtechchoice=crystSi&amp;mountingplace=free&amp;usehorizon=1</v>
      </c>
    </row>
    <row r="2374">
      <c r="A2374" t="n">
        <v>35</v>
      </c>
      <c r="B2374" t="n">
        <v>255</v>
      </c>
      <c r="C2374" t="n">
        <v>1</v>
      </c>
      <c r="D2374" s="218" t="n">
        <v>93.1</v>
      </c>
      <c r="E2374" s="218" t="n">
        <v>3</v>
      </c>
      <c r="F2374" t="str">
        <v>https://re.jrc.ec.europa.eu/api/v5_3/PVcalc?lat=30.0444&amp;lon=31.2357&amp;peakpower=1&amp;loss=14&amp;angle=35&amp;aspect=75&amp;outputformat=json&amp;raddatabase=PVGIS-SARAH3&amp;pvtechchoice=crystSi&amp;mountingplace=free&amp;usehorizon=1</v>
      </c>
    </row>
    <row r="2375">
      <c r="A2375" t="n">
        <v>35</v>
      </c>
      <c r="B2375" t="n">
        <v>255</v>
      </c>
      <c r="C2375" t="n">
        <v>2</v>
      </c>
      <c r="D2375" s="218" t="n">
        <v>99.54</v>
      </c>
      <c r="E2375" s="218" t="n">
        <v>3.56</v>
      </c>
      <c r="F2375" t="str">
        <v>https://re.jrc.ec.europa.eu/api/v5_3/PVcalc?lat=30.0444&amp;lon=31.2357&amp;peakpower=1&amp;loss=14&amp;angle=35&amp;aspect=75&amp;outputformat=json&amp;raddatabase=PVGIS-SARAH3&amp;pvtechchoice=crystSi&amp;mountingplace=free&amp;usehorizon=1</v>
      </c>
    </row>
    <row r="2376">
      <c r="A2376" t="n">
        <v>35</v>
      </c>
      <c r="B2376" t="n">
        <v>255</v>
      </c>
      <c r="C2376" t="n">
        <v>3</v>
      </c>
      <c r="D2376" s="218" t="n">
        <v>138.15</v>
      </c>
      <c r="E2376" s="218" t="n">
        <v>4.46</v>
      </c>
      <c r="F2376" t="str">
        <v>https://re.jrc.ec.europa.eu/api/v5_3/PVcalc?lat=30.0444&amp;lon=31.2357&amp;peakpower=1&amp;loss=14&amp;angle=35&amp;aspect=75&amp;outputformat=json&amp;raddatabase=PVGIS-SARAH3&amp;pvtechchoice=crystSi&amp;mountingplace=free&amp;usehorizon=1</v>
      </c>
    </row>
    <row r="2377">
      <c r="A2377" t="n">
        <v>35</v>
      </c>
      <c r="B2377" t="n">
        <v>255</v>
      </c>
      <c r="C2377" t="n">
        <v>4</v>
      </c>
      <c r="D2377" s="218" t="n">
        <v>148.87</v>
      </c>
      <c r="E2377" s="218" t="n">
        <v>4.96</v>
      </c>
      <c r="F2377" t="str">
        <v>https://re.jrc.ec.europa.eu/api/v5_3/PVcalc?lat=30.0444&amp;lon=31.2357&amp;peakpower=1&amp;loss=14&amp;angle=35&amp;aspect=75&amp;outputformat=json&amp;raddatabase=PVGIS-SARAH3&amp;pvtechchoice=crystSi&amp;mountingplace=free&amp;usehorizon=1</v>
      </c>
    </row>
    <row r="2378">
      <c r="A2378" t="n">
        <v>35</v>
      </c>
      <c r="B2378" t="n">
        <v>255</v>
      </c>
      <c r="C2378" t="n">
        <v>5</v>
      </c>
      <c r="D2378" s="218" t="n">
        <v>160.66</v>
      </c>
      <c r="E2378" s="218" t="n">
        <v>5.18</v>
      </c>
      <c r="F2378" t="str">
        <v>https://re.jrc.ec.europa.eu/api/v5_3/PVcalc?lat=30.0444&amp;lon=31.2357&amp;peakpower=1&amp;loss=14&amp;angle=35&amp;aspect=75&amp;outputformat=json&amp;raddatabase=PVGIS-SARAH3&amp;pvtechchoice=crystSi&amp;mountingplace=free&amp;usehorizon=1</v>
      </c>
    </row>
    <row r="2379">
      <c r="A2379" t="n">
        <v>35</v>
      </c>
      <c r="B2379" t="n">
        <v>255</v>
      </c>
      <c r="C2379" t="n">
        <v>6</v>
      </c>
      <c r="D2379" s="218" t="n">
        <v>164.63</v>
      </c>
      <c r="E2379" s="218" t="n">
        <v>5.49</v>
      </c>
      <c r="F2379" t="str">
        <v>https://re.jrc.ec.europa.eu/api/v5_3/PVcalc?lat=30.0444&amp;lon=31.2357&amp;peakpower=1&amp;loss=14&amp;angle=35&amp;aspect=75&amp;outputformat=json&amp;raddatabase=PVGIS-SARAH3&amp;pvtechchoice=crystSi&amp;mountingplace=free&amp;usehorizon=1</v>
      </c>
    </row>
    <row r="2380">
      <c r="A2380" t="n">
        <v>35</v>
      </c>
      <c r="B2380" t="n">
        <v>255</v>
      </c>
      <c r="C2380" t="n">
        <v>7</v>
      </c>
      <c r="D2380" s="218" t="n">
        <v>169.35</v>
      </c>
      <c r="E2380" s="218" t="n">
        <v>5.46</v>
      </c>
      <c r="F2380" t="str">
        <v>https://re.jrc.ec.europa.eu/api/v5_3/PVcalc?lat=30.0444&amp;lon=31.2357&amp;peakpower=1&amp;loss=14&amp;angle=35&amp;aspect=75&amp;outputformat=json&amp;raddatabase=PVGIS-SARAH3&amp;pvtechchoice=crystSi&amp;mountingplace=free&amp;usehorizon=1</v>
      </c>
    </row>
    <row r="2381">
      <c r="A2381" t="n">
        <v>35</v>
      </c>
      <c r="B2381" t="n">
        <v>255</v>
      </c>
      <c r="C2381" t="n">
        <v>8</v>
      </c>
      <c r="D2381" s="218" t="n">
        <v>161.23</v>
      </c>
      <c r="E2381" s="218" t="n">
        <v>5.2</v>
      </c>
      <c r="F2381" t="str">
        <v>https://re.jrc.ec.europa.eu/api/v5_3/PVcalc?lat=30.0444&amp;lon=31.2357&amp;peakpower=1&amp;loss=14&amp;angle=35&amp;aspect=75&amp;outputformat=json&amp;raddatabase=PVGIS-SARAH3&amp;pvtechchoice=crystSi&amp;mountingplace=free&amp;usehorizon=1</v>
      </c>
    </row>
    <row r="2382">
      <c r="A2382" t="n">
        <v>35</v>
      </c>
      <c r="B2382" t="n">
        <v>255</v>
      </c>
      <c r="C2382" t="n">
        <v>9</v>
      </c>
      <c r="D2382" s="218" t="n">
        <v>142.96</v>
      </c>
      <c r="E2382" s="218" t="n">
        <v>4.77</v>
      </c>
      <c r="F2382" t="str">
        <v>https://re.jrc.ec.europa.eu/api/v5_3/PVcalc?lat=30.0444&amp;lon=31.2357&amp;peakpower=1&amp;loss=14&amp;angle=35&amp;aspect=75&amp;outputformat=json&amp;raddatabase=PVGIS-SARAH3&amp;pvtechchoice=crystSi&amp;mountingplace=free&amp;usehorizon=1</v>
      </c>
    </row>
    <row r="2383">
      <c r="A2383" t="n">
        <v>35</v>
      </c>
      <c r="B2383" t="n">
        <v>255</v>
      </c>
      <c r="C2383" t="n">
        <v>10</v>
      </c>
      <c r="D2383" s="218" t="n">
        <v>123.89</v>
      </c>
      <c r="E2383" s="218" t="n">
        <v>4</v>
      </c>
      <c r="F2383" t="str">
        <v>https://re.jrc.ec.europa.eu/api/v5_3/PVcalc?lat=30.0444&amp;lon=31.2357&amp;peakpower=1&amp;loss=14&amp;angle=35&amp;aspect=75&amp;outputformat=json&amp;raddatabase=PVGIS-SARAH3&amp;pvtechchoice=crystSi&amp;mountingplace=free&amp;usehorizon=1</v>
      </c>
    </row>
    <row r="2384">
      <c r="A2384" t="n">
        <v>35</v>
      </c>
      <c r="B2384" t="n">
        <v>255</v>
      </c>
      <c r="C2384" t="n">
        <v>11</v>
      </c>
      <c r="D2384" s="218" t="n">
        <v>100.29</v>
      </c>
      <c r="E2384" s="218" t="n">
        <v>3.34</v>
      </c>
      <c r="F2384" t="str">
        <v>https://re.jrc.ec.europa.eu/api/v5_3/PVcalc?lat=30.0444&amp;lon=31.2357&amp;peakpower=1&amp;loss=14&amp;angle=35&amp;aspect=75&amp;outputformat=json&amp;raddatabase=PVGIS-SARAH3&amp;pvtechchoice=crystSi&amp;mountingplace=free&amp;usehorizon=1</v>
      </c>
    </row>
    <row r="2385">
      <c r="A2385" t="n">
        <v>35</v>
      </c>
      <c r="B2385" t="n">
        <v>255</v>
      </c>
      <c r="C2385" t="n">
        <v>12</v>
      </c>
      <c r="D2385" s="218" t="n">
        <v>90.64</v>
      </c>
      <c r="E2385" s="218" t="n">
        <v>2.92</v>
      </c>
      <c r="F2385" t="str">
        <v>https://re.jrc.ec.europa.eu/api/v5_3/PVcalc?lat=30.0444&amp;lon=31.2357&amp;peakpower=1&amp;loss=14&amp;angle=35&amp;aspect=75&amp;outputformat=json&amp;raddatabase=PVGIS-SARAH3&amp;pvtechchoice=crystSi&amp;mountingplace=free&amp;usehorizon=1</v>
      </c>
    </row>
    <row r="2386">
      <c r="A2386" t="n">
        <v>35</v>
      </c>
      <c r="B2386" t="n">
        <v>270</v>
      </c>
      <c r="C2386" t="n">
        <v>1</v>
      </c>
      <c r="D2386" s="218" t="n">
        <v>80.47</v>
      </c>
      <c r="E2386" s="218" t="n">
        <v>2.6</v>
      </c>
      <c r="F2386" t="str">
        <v>https://re.jrc.ec.europa.eu/api/v5_3/PVcalc?lat=30.0444&amp;lon=31.2357&amp;peakpower=1&amp;loss=14&amp;angle=35&amp;aspect=90&amp;outputformat=json&amp;raddatabase=PVGIS-SARAH3&amp;pvtechchoice=crystSi&amp;mountingplace=free&amp;usehorizon=1</v>
      </c>
    </row>
    <row r="2387">
      <c r="A2387" t="n">
        <v>35</v>
      </c>
      <c r="B2387" t="n">
        <v>270</v>
      </c>
      <c r="C2387" t="n">
        <v>2</v>
      </c>
      <c r="D2387" s="218" t="n">
        <v>89.36</v>
      </c>
      <c r="E2387" s="218" t="n">
        <v>3.19</v>
      </c>
      <c r="F2387" t="str">
        <v>https://re.jrc.ec.europa.eu/api/v5_3/PVcalc?lat=30.0444&amp;lon=31.2357&amp;peakpower=1&amp;loss=14&amp;angle=35&amp;aspect=90&amp;outputformat=json&amp;raddatabase=PVGIS-SARAH3&amp;pvtechchoice=crystSi&amp;mountingplace=free&amp;usehorizon=1</v>
      </c>
    </row>
    <row r="2388">
      <c r="A2388" t="n">
        <v>35</v>
      </c>
      <c r="B2388" t="n">
        <v>270</v>
      </c>
      <c r="C2388" t="n">
        <v>3</v>
      </c>
      <c r="D2388" s="218" t="n">
        <v>128.81</v>
      </c>
      <c r="E2388" s="218" t="n">
        <v>4.16</v>
      </c>
      <c r="F2388" t="str">
        <v>https://re.jrc.ec.europa.eu/api/v5_3/PVcalc?lat=30.0444&amp;lon=31.2357&amp;peakpower=1&amp;loss=14&amp;angle=35&amp;aspect=90&amp;outputformat=json&amp;raddatabase=PVGIS-SARAH3&amp;pvtechchoice=crystSi&amp;mountingplace=free&amp;usehorizon=1</v>
      </c>
    </row>
    <row r="2389">
      <c r="A2389" t="n">
        <v>35</v>
      </c>
      <c r="B2389" t="n">
        <v>270</v>
      </c>
      <c r="C2389" t="n">
        <v>4</v>
      </c>
      <c r="D2389" s="218" t="n">
        <v>144.12</v>
      </c>
      <c r="E2389" s="218" t="n">
        <v>4.8</v>
      </c>
      <c r="F2389" t="str">
        <v>https://re.jrc.ec.europa.eu/api/v5_3/PVcalc?lat=30.0444&amp;lon=31.2357&amp;peakpower=1&amp;loss=14&amp;angle=35&amp;aspect=90&amp;outputformat=json&amp;raddatabase=PVGIS-SARAH3&amp;pvtechchoice=crystSi&amp;mountingplace=free&amp;usehorizon=1</v>
      </c>
    </row>
    <row r="2390">
      <c r="A2390" t="n">
        <v>35</v>
      </c>
      <c r="B2390" t="n">
        <v>270</v>
      </c>
      <c r="C2390" t="n">
        <v>5</v>
      </c>
      <c r="D2390" s="218" t="n">
        <v>159.25</v>
      </c>
      <c r="E2390" s="218" t="n">
        <v>5.14</v>
      </c>
      <c r="F2390" t="str">
        <v>https://re.jrc.ec.europa.eu/api/v5_3/PVcalc?lat=30.0444&amp;lon=31.2357&amp;peakpower=1&amp;loss=14&amp;angle=35&amp;aspect=90&amp;outputformat=json&amp;raddatabase=PVGIS-SARAH3&amp;pvtechchoice=crystSi&amp;mountingplace=free&amp;usehorizon=1</v>
      </c>
    </row>
    <row r="2391">
      <c r="A2391" t="n">
        <v>35</v>
      </c>
      <c r="B2391" t="n">
        <v>270</v>
      </c>
      <c r="C2391" t="n">
        <v>6</v>
      </c>
      <c r="D2391" s="218" t="n">
        <v>165.49</v>
      </c>
      <c r="E2391" s="218" t="n">
        <v>5.52</v>
      </c>
      <c r="F2391" t="str">
        <v>https://re.jrc.ec.europa.eu/api/v5_3/PVcalc?lat=30.0444&amp;lon=31.2357&amp;peakpower=1&amp;loss=14&amp;angle=35&amp;aspect=90&amp;outputformat=json&amp;raddatabase=PVGIS-SARAH3&amp;pvtechchoice=crystSi&amp;mountingplace=free&amp;usehorizon=1</v>
      </c>
    </row>
    <row r="2392">
      <c r="A2392" t="n">
        <v>35</v>
      </c>
      <c r="B2392" t="n">
        <v>270</v>
      </c>
      <c r="C2392" t="n">
        <v>7</v>
      </c>
      <c r="D2392" s="218" t="n">
        <v>169.32</v>
      </c>
      <c r="E2392" s="218" t="n">
        <v>5.46</v>
      </c>
      <c r="F2392" t="str">
        <v>https://re.jrc.ec.europa.eu/api/v5_3/PVcalc?lat=30.0444&amp;lon=31.2357&amp;peakpower=1&amp;loss=14&amp;angle=35&amp;aspect=90&amp;outputformat=json&amp;raddatabase=PVGIS-SARAH3&amp;pvtechchoice=crystSi&amp;mountingplace=free&amp;usehorizon=1</v>
      </c>
    </row>
    <row r="2393">
      <c r="A2393" t="n">
        <v>35</v>
      </c>
      <c r="B2393" t="n">
        <v>270</v>
      </c>
      <c r="C2393" t="n">
        <v>8</v>
      </c>
      <c r="D2393" s="218" t="n">
        <v>158.08</v>
      </c>
      <c r="E2393" s="218" t="n">
        <v>5.1</v>
      </c>
      <c r="F2393" t="str">
        <v>https://re.jrc.ec.europa.eu/api/v5_3/PVcalc?lat=30.0444&amp;lon=31.2357&amp;peakpower=1&amp;loss=14&amp;angle=35&amp;aspect=90&amp;outputformat=json&amp;raddatabase=PVGIS-SARAH3&amp;pvtechchoice=crystSi&amp;mountingplace=free&amp;usehorizon=1</v>
      </c>
    </row>
    <row r="2394">
      <c r="A2394" t="n">
        <v>35</v>
      </c>
      <c r="B2394" t="n">
        <v>270</v>
      </c>
      <c r="C2394" t="n">
        <v>9</v>
      </c>
      <c r="D2394" s="218" t="n">
        <v>135.98</v>
      </c>
      <c r="E2394" s="218" t="n">
        <v>4.53</v>
      </c>
      <c r="F2394" t="str">
        <v>https://re.jrc.ec.europa.eu/api/v5_3/PVcalc?lat=30.0444&amp;lon=31.2357&amp;peakpower=1&amp;loss=14&amp;angle=35&amp;aspect=90&amp;outputformat=json&amp;raddatabase=PVGIS-SARAH3&amp;pvtechchoice=crystSi&amp;mountingplace=free&amp;usehorizon=1</v>
      </c>
    </row>
    <row r="2395">
      <c r="A2395" t="n">
        <v>35</v>
      </c>
      <c r="B2395" t="n">
        <v>270</v>
      </c>
      <c r="C2395" t="n">
        <v>10</v>
      </c>
      <c r="D2395" s="218" t="n">
        <v>112.42</v>
      </c>
      <c r="E2395" s="218" t="n">
        <v>3.63</v>
      </c>
      <c r="F2395" t="str">
        <v>https://re.jrc.ec.europa.eu/api/v5_3/PVcalc?lat=30.0444&amp;lon=31.2357&amp;peakpower=1&amp;loss=14&amp;angle=35&amp;aspect=90&amp;outputformat=json&amp;raddatabase=PVGIS-SARAH3&amp;pvtechchoice=crystSi&amp;mountingplace=free&amp;usehorizon=1</v>
      </c>
    </row>
    <row r="2396">
      <c r="A2396" t="n">
        <v>35</v>
      </c>
      <c r="B2396" t="n">
        <v>270</v>
      </c>
      <c r="C2396" t="n">
        <v>11</v>
      </c>
      <c r="D2396" s="218" t="n">
        <v>86.76</v>
      </c>
      <c r="E2396" s="218" t="n">
        <v>2.89</v>
      </c>
      <c r="F2396" t="str">
        <v>https://re.jrc.ec.europa.eu/api/v5_3/PVcalc?lat=30.0444&amp;lon=31.2357&amp;peakpower=1&amp;loss=14&amp;angle=35&amp;aspect=90&amp;outputformat=json&amp;raddatabase=PVGIS-SARAH3&amp;pvtechchoice=crystSi&amp;mountingplace=free&amp;usehorizon=1</v>
      </c>
    </row>
    <row r="2397">
      <c r="A2397" t="n">
        <v>35</v>
      </c>
      <c r="B2397" t="n">
        <v>270</v>
      </c>
      <c r="C2397" t="n">
        <v>12</v>
      </c>
      <c r="D2397" s="218" t="n">
        <v>76.81</v>
      </c>
      <c r="E2397" s="218" t="n">
        <v>2.48</v>
      </c>
      <c r="F2397" t="str">
        <v>https://re.jrc.ec.europa.eu/api/v5_3/PVcalc?lat=30.0444&amp;lon=31.2357&amp;peakpower=1&amp;loss=14&amp;angle=35&amp;aspect=90&amp;outputformat=json&amp;raddatabase=PVGIS-SARAH3&amp;pvtechchoice=crystSi&amp;mountingplace=free&amp;usehorizon=1</v>
      </c>
    </row>
    <row r="2398">
      <c r="A2398" t="n">
        <v>35</v>
      </c>
      <c r="B2398" t="n">
        <v>285</v>
      </c>
      <c r="C2398" t="n">
        <v>1</v>
      </c>
      <c r="D2398" s="218" t="n">
        <v>66.93</v>
      </c>
      <c r="E2398" s="218" t="n">
        <v>2.16</v>
      </c>
      <c r="F2398" t="str">
        <v>https://re.jrc.ec.europa.eu/api/v5_3/PVcalc?lat=30.0444&amp;lon=31.2357&amp;peakpower=1&amp;loss=14&amp;angle=35&amp;aspect=105&amp;outputformat=json&amp;raddatabase=PVGIS-SARAH3&amp;pvtechchoice=crystSi&amp;mountingplace=free&amp;usehorizon=1</v>
      </c>
    </row>
    <row r="2399">
      <c r="A2399" t="n">
        <v>35</v>
      </c>
      <c r="B2399" t="n">
        <v>285</v>
      </c>
      <c r="C2399" t="n">
        <v>2</v>
      </c>
      <c r="D2399" s="218" t="n">
        <v>79</v>
      </c>
      <c r="E2399" s="218" t="n">
        <v>2.82</v>
      </c>
      <c r="F2399" t="str">
        <v>https://re.jrc.ec.europa.eu/api/v5_3/PVcalc?lat=30.0444&amp;lon=31.2357&amp;peakpower=1&amp;loss=14&amp;angle=35&amp;aspect=105&amp;outputformat=json&amp;raddatabase=PVGIS-SARAH3&amp;pvtechchoice=crystSi&amp;mountingplace=free&amp;usehorizon=1</v>
      </c>
    </row>
    <row r="2400">
      <c r="A2400" t="n">
        <v>35</v>
      </c>
      <c r="B2400" t="n">
        <v>285</v>
      </c>
      <c r="C2400" t="n">
        <v>3</v>
      </c>
      <c r="D2400" s="218" t="n">
        <v>118.7</v>
      </c>
      <c r="E2400" s="218" t="n">
        <v>3.83</v>
      </c>
      <c r="F2400" t="str">
        <v>https://re.jrc.ec.europa.eu/api/v5_3/PVcalc?lat=30.0444&amp;lon=31.2357&amp;peakpower=1&amp;loss=14&amp;angle=35&amp;aspect=105&amp;outputformat=json&amp;raddatabase=PVGIS-SARAH3&amp;pvtechchoice=crystSi&amp;mountingplace=free&amp;usehorizon=1</v>
      </c>
    </row>
    <row r="2401">
      <c r="A2401" t="n">
        <v>35</v>
      </c>
      <c r="B2401" t="n">
        <v>285</v>
      </c>
      <c r="C2401" t="n">
        <v>4</v>
      </c>
      <c r="D2401" s="218" t="n">
        <v>138.15</v>
      </c>
      <c r="E2401" s="218" t="n">
        <v>4.61</v>
      </c>
      <c r="F2401" t="str">
        <v>https://re.jrc.ec.europa.eu/api/v5_3/PVcalc?lat=30.0444&amp;lon=31.2357&amp;peakpower=1&amp;loss=14&amp;angle=35&amp;aspect=105&amp;outputformat=json&amp;raddatabase=PVGIS-SARAH3&amp;pvtechchoice=crystSi&amp;mountingplace=free&amp;usehorizon=1</v>
      </c>
    </row>
    <row r="2402">
      <c r="A2402" t="n">
        <v>35</v>
      </c>
      <c r="B2402" t="n">
        <v>285</v>
      </c>
      <c r="C2402" t="n">
        <v>5</v>
      </c>
      <c r="D2402" s="218" t="n">
        <v>157.05</v>
      </c>
      <c r="E2402" s="218" t="n">
        <v>5.07</v>
      </c>
      <c r="F2402" t="str">
        <v>https://re.jrc.ec.europa.eu/api/v5_3/PVcalc?lat=30.0444&amp;lon=31.2357&amp;peakpower=1&amp;loss=14&amp;angle=35&amp;aspect=105&amp;outputformat=json&amp;raddatabase=PVGIS-SARAH3&amp;pvtechchoice=crystSi&amp;mountingplace=free&amp;usehorizon=1</v>
      </c>
    </row>
    <row r="2403">
      <c r="A2403" t="n">
        <v>35</v>
      </c>
      <c r="B2403" t="n">
        <v>285</v>
      </c>
      <c r="C2403" t="n">
        <v>6</v>
      </c>
      <c r="D2403" s="218" t="n">
        <v>165.41</v>
      </c>
      <c r="E2403" s="218" t="n">
        <v>5.51</v>
      </c>
      <c r="F2403" t="str">
        <v>https://re.jrc.ec.europa.eu/api/v5_3/PVcalc?lat=30.0444&amp;lon=31.2357&amp;peakpower=1&amp;loss=14&amp;angle=35&amp;aspect=105&amp;outputformat=json&amp;raddatabase=PVGIS-SARAH3&amp;pvtechchoice=crystSi&amp;mountingplace=free&amp;usehorizon=1</v>
      </c>
    </row>
    <row r="2404">
      <c r="A2404" t="n">
        <v>35</v>
      </c>
      <c r="B2404" t="n">
        <v>285</v>
      </c>
      <c r="C2404" t="n">
        <v>7</v>
      </c>
      <c r="D2404" s="218" t="n">
        <v>168.22</v>
      </c>
      <c r="E2404" s="218" t="n">
        <v>5.43</v>
      </c>
      <c r="F2404" t="str">
        <v>https://re.jrc.ec.europa.eu/api/v5_3/PVcalc?lat=30.0444&amp;lon=31.2357&amp;peakpower=1&amp;loss=14&amp;angle=35&amp;aspect=105&amp;outputformat=json&amp;raddatabase=PVGIS-SARAH3&amp;pvtechchoice=crystSi&amp;mountingplace=free&amp;usehorizon=1</v>
      </c>
    </row>
    <row r="2405">
      <c r="A2405" t="n">
        <v>35</v>
      </c>
      <c r="B2405" t="n">
        <v>285</v>
      </c>
      <c r="C2405" t="n">
        <v>8</v>
      </c>
      <c r="D2405" s="218" t="n">
        <v>153.09</v>
      </c>
      <c r="E2405" s="218" t="n">
        <v>4.94</v>
      </c>
      <c r="F2405" t="str">
        <v>https://re.jrc.ec.europa.eu/api/v5_3/PVcalc?lat=30.0444&amp;lon=31.2357&amp;peakpower=1&amp;loss=14&amp;angle=35&amp;aspect=105&amp;outputformat=json&amp;raddatabase=PVGIS-SARAH3&amp;pvtechchoice=crystSi&amp;mountingplace=free&amp;usehorizon=1</v>
      </c>
    </row>
    <row r="2406">
      <c r="A2406" t="n">
        <v>35</v>
      </c>
      <c r="B2406" t="n">
        <v>285</v>
      </c>
      <c r="C2406" t="n">
        <v>9</v>
      </c>
      <c r="D2406" s="218" t="n">
        <v>126.93</v>
      </c>
      <c r="E2406" s="218" t="n">
        <v>4.23</v>
      </c>
      <c r="F2406" t="str">
        <v>https://re.jrc.ec.europa.eu/api/v5_3/PVcalc?lat=30.0444&amp;lon=31.2357&amp;peakpower=1&amp;loss=14&amp;angle=35&amp;aspect=105&amp;outputformat=json&amp;raddatabase=PVGIS-SARAH3&amp;pvtechchoice=crystSi&amp;mountingplace=free&amp;usehorizon=1</v>
      </c>
    </row>
    <row r="2407">
      <c r="A2407" t="n">
        <v>35</v>
      </c>
      <c r="B2407" t="n">
        <v>285</v>
      </c>
      <c r="C2407" t="n">
        <v>10</v>
      </c>
      <c r="D2407" s="218" t="n">
        <v>99.88</v>
      </c>
      <c r="E2407" s="218" t="n">
        <v>3.22</v>
      </c>
      <c r="F2407" t="str">
        <v>https://re.jrc.ec.europa.eu/api/v5_3/PVcalc?lat=30.0444&amp;lon=31.2357&amp;peakpower=1&amp;loss=14&amp;angle=35&amp;aspect=105&amp;outputformat=json&amp;raddatabase=PVGIS-SARAH3&amp;pvtechchoice=crystSi&amp;mountingplace=free&amp;usehorizon=1</v>
      </c>
    </row>
    <row r="2408">
      <c r="A2408" t="n">
        <v>35</v>
      </c>
      <c r="B2408" t="n">
        <v>285</v>
      </c>
      <c r="C2408" t="n">
        <v>11</v>
      </c>
      <c r="D2408" s="218" t="n">
        <v>73.54</v>
      </c>
      <c r="E2408" s="218" t="n">
        <v>2.45</v>
      </c>
      <c r="F2408" t="str">
        <v>https://re.jrc.ec.europa.eu/api/v5_3/PVcalc?lat=30.0444&amp;lon=31.2357&amp;peakpower=1&amp;loss=14&amp;angle=35&amp;aspect=105&amp;outputformat=json&amp;raddatabase=PVGIS-SARAH3&amp;pvtechchoice=crystSi&amp;mountingplace=free&amp;usehorizon=1</v>
      </c>
    </row>
    <row r="2409">
      <c r="A2409" t="n">
        <v>35</v>
      </c>
      <c r="B2409" t="n">
        <v>285</v>
      </c>
      <c r="C2409" t="n">
        <v>12</v>
      </c>
      <c r="D2409" s="218" t="n">
        <v>62.88</v>
      </c>
      <c r="E2409" s="218" t="n">
        <v>2.03</v>
      </c>
      <c r="F2409" t="str">
        <v>https://re.jrc.ec.europa.eu/api/v5_3/PVcalc?lat=30.0444&amp;lon=31.2357&amp;peakpower=1&amp;loss=14&amp;angle=35&amp;aspect=105&amp;outputformat=json&amp;raddatabase=PVGIS-SARAH3&amp;pvtechchoice=crystSi&amp;mountingplace=free&amp;usehorizon=1</v>
      </c>
    </row>
    <row r="2410">
      <c r="A2410" t="n">
        <v>35</v>
      </c>
      <c r="B2410" t="n">
        <v>300</v>
      </c>
      <c r="C2410" t="n">
        <v>1</v>
      </c>
      <c r="D2410" s="218" t="n">
        <v>54.04</v>
      </c>
      <c r="E2410" s="218" t="n">
        <v>1.74</v>
      </c>
      <c r="F2410" t="str">
        <v>https://re.jrc.ec.europa.eu/api/v5_3/PVcalc?lat=30.0444&amp;lon=31.2357&amp;peakpower=1&amp;loss=14&amp;angle=35&amp;aspect=120&amp;outputformat=json&amp;raddatabase=PVGIS-SARAH3&amp;pvtechchoice=crystSi&amp;mountingplace=free&amp;usehorizon=1</v>
      </c>
    </row>
    <row r="2411">
      <c r="A2411" t="n">
        <v>35</v>
      </c>
      <c r="B2411" t="n">
        <v>300</v>
      </c>
      <c r="C2411" t="n">
        <v>2</v>
      </c>
      <c r="D2411" s="218" t="n">
        <v>68</v>
      </c>
      <c r="E2411" s="218" t="n">
        <v>2.43</v>
      </c>
      <c r="F2411" t="str">
        <v>https://re.jrc.ec.europa.eu/api/v5_3/PVcalc?lat=30.0444&amp;lon=31.2357&amp;peakpower=1&amp;loss=14&amp;angle=35&amp;aspect=120&amp;outputformat=json&amp;raddatabase=PVGIS-SARAH3&amp;pvtechchoice=crystSi&amp;mountingplace=free&amp;usehorizon=1</v>
      </c>
    </row>
    <row r="2412">
      <c r="A2412" t="n">
        <v>35</v>
      </c>
      <c r="B2412" t="n">
        <v>300</v>
      </c>
      <c r="C2412" t="n">
        <v>3</v>
      </c>
      <c r="D2412" s="218" t="n">
        <v>108.15</v>
      </c>
      <c r="E2412" s="218" t="n">
        <v>3.49</v>
      </c>
      <c r="F2412" t="str">
        <v>https://re.jrc.ec.europa.eu/api/v5_3/PVcalc?lat=30.0444&amp;lon=31.2357&amp;peakpower=1&amp;loss=14&amp;angle=35&amp;aspect=120&amp;outputformat=json&amp;raddatabase=PVGIS-SARAH3&amp;pvtechchoice=crystSi&amp;mountingplace=free&amp;usehorizon=1</v>
      </c>
    </row>
    <row r="2413">
      <c r="A2413" t="n">
        <v>35</v>
      </c>
      <c r="B2413" t="n">
        <v>300</v>
      </c>
      <c r="C2413" t="n">
        <v>4</v>
      </c>
      <c r="D2413" s="218" t="n">
        <v>131.43</v>
      </c>
      <c r="E2413" s="218" t="n">
        <v>4.38</v>
      </c>
      <c r="F2413" t="str">
        <v>https://re.jrc.ec.europa.eu/api/v5_3/PVcalc?lat=30.0444&amp;lon=31.2357&amp;peakpower=1&amp;loss=14&amp;angle=35&amp;aspect=120&amp;outputformat=json&amp;raddatabase=PVGIS-SARAH3&amp;pvtechchoice=crystSi&amp;mountingplace=free&amp;usehorizon=1</v>
      </c>
    </row>
    <row r="2414">
      <c r="A2414" t="n">
        <v>35</v>
      </c>
      <c r="B2414" t="n">
        <v>300</v>
      </c>
      <c r="C2414" t="n">
        <v>5</v>
      </c>
      <c r="D2414" s="218" t="n">
        <v>154.32</v>
      </c>
      <c r="E2414" s="218" t="n">
        <v>4.98</v>
      </c>
      <c r="F2414" t="str">
        <v>https://re.jrc.ec.europa.eu/api/v5_3/PVcalc?lat=30.0444&amp;lon=31.2357&amp;peakpower=1&amp;loss=14&amp;angle=35&amp;aspect=120&amp;outputformat=json&amp;raddatabase=PVGIS-SARAH3&amp;pvtechchoice=crystSi&amp;mountingplace=free&amp;usehorizon=1</v>
      </c>
    </row>
    <row r="2415">
      <c r="A2415" t="n">
        <v>35</v>
      </c>
      <c r="B2415" t="n">
        <v>300</v>
      </c>
      <c r="C2415" t="n">
        <v>6</v>
      </c>
      <c r="D2415" s="218" t="n">
        <v>164.53</v>
      </c>
      <c r="E2415" s="218" t="n">
        <v>5.48</v>
      </c>
      <c r="F2415" t="str">
        <v>https://re.jrc.ec.europa.eu/api/v5_3/PVcalc?lat=30.0444&amp;lon=31.2357&amp;peakpower=1&amp;loss=14&amp;angle=35&amp;aspect=120&amp;outputformat=json&amp;raddatabase=PVGIS-SARAH3&amp;pvtechchoice=crystSi&amp;mountingplace=free&amp;usehorizon=1</v>
      </c>
    </row>
    <row r="2416">
      <c r="A2416" t="n">
        <v>35</v>
      </c>
      <c r="B2416" t="n">
        <v>300</v>
      </c>
      <c r="C2416" t="n">
        <v>7</v>
      </c>
      <c r="D2416" s="218" t="n">
        <v>166.34</v>
      </c>
      <c r="E2416" s="218" t="n">
        <v>5.37</v>
      </c>
      <c r="F2416" t="str">
        <v>https://re.jrc.ec.europa.eu/api/v5_3/PVcalc?lat=30.0444&amp;lon=31.2357&amp;peakpower=1&amp;loss=14&amp;angle=35&amp;aspect=120&amp;outputformat=json&amp;raddatabase=PVGIS-SARAH3&amp;pvtechchoice=crystSi&amp;mountingplace=free&amp;usehorizon=1</v>
      </c>
    </row>
    <row r="2417">
      <c r="A2417" t="n">
        <v>35</v>
      </c>
      <c r="B2417" t="n">
        <v>300</v>
      </c>
      <c r="C2417" t="n">
        <v>8</v>
      </c>
      <c r="D2417" s="218" t="n">
        <v>147.05</v>
      </c>
      <c r="E2417" s="218" t="n">
        <v>4.74</v>
      </c>
      <c r="F2417" t="str">
        <v>https://re.jrc.ec.europa.eu/api/v5_3/PVcalc?lat=30.0444&amp;lon=31.2357&amp;peakpower=1&amp;loss=14&amp;angle=35&amp;aspect=120&amp;outputformat=json&amp;raddatabase=PVGIS-SARAH3&amp;pvtechchoice=crystSi&amp;mountingplace=free&amp;usehorizon=1</v>
      </c>
    </row>
    <row r="2418">
      <c r="A2418" t="n">
        <v>35</v>
      </c>
      <c r="B2418" t="n">
        <v>300</v>
      </c>
      <c r="C2418" t="n">
        <v>9</v>
      </c>
      <c r="D2418" s="218" t="n">
        <v>117.15</v>
      </c>
      <c r="E2418" s="218" t="n">
        <v>3.91</v>
      </c>
      <c r="F2418" t="str">
        <v>https://re.jrc.ec.europa.eu/api/v5_3/PVcalc?lat=30.0444&amp;lon=31.2357&amp;peakpower=1&amp;loss=14&amp;angle=35&amp;aspect=120&amp;outputformat=json&amp;raddatabase=PVGIS-SARAH3&amp;pvtechchoice=crystSi&amp;mountingplace=free&amp;usehorizon=1</v>
      </c>
    </row>
    <row r="2419">
      <c r="A2419" t="n">
        <v>35</v>
      </c>
      <c r="B2419" t="n">
        <v>300</v>
      </c>
      <c r="C2419" t="n">
        <v>10</v>
      </c>
      <c r="D2419" s="218" t="n">
        <v>87.19</v>
      </c>
      <c r="E2419" s="218" t="n">
        <v>2.81</v>
      </c>
      <c r="F2419" t="str">
        <v>https://re.jrc.ec.europa.eu/api/v5_3/PVcalc?lat=30.0444&amp;lon=31.2357&amp;peakpower=1&amp;loss=14&amp;angle=35&amp;aspect=120&amp;outputformat=json&amp;raddatabase=PVGIS-SARAH3&amp;pvtechchoice=crystSi&amp;mountingplace=free&amp;usehorizon=1</v>
      </c>
    </row>
    <row r="2420">
      <c r="A2420" t="n">
        <v>35</v>
      </c>
      <c r="B2420" t="n">
        <v>300</v>
      </c>
      <c r="C2420" t="n">
        <v>11</v>
      </c>
      <c r="D2420" s="218" t="n">
        <v>60.07</v>
      </c>
      <c r="E2420" s="218" t="n">
        <v>2</v>
      </c>
      <c r="F2420" t="str">
        <v>https://re.jrc.ec.europa.eu/api/v5_3/PVcalc?lat=30.0444&amp;lon=31.2357&amp;peakpower=1&amp;loss=14&amp;angle=35&amp;aspect=120&amp;outputformat=json&amp;raddatabase=PVGIS-SARAH3&amp;pvtechchoice=crystSi&amp;mountingplace=free&amp;usehorizon=1</v>
      </c>
    </row>
    <row r="2421">
      <c r="A2421" t="n">
        <v>35</v>
      </c>
      <c r="B2421" t="n">
        <v>300</v>
      </c>
      <c r="C2421" t="n">
        <v>12</v>
      </c>
      <c r="D2421" s="218" t="n">
        <v>49.16</v>
      </c>
      <c r="E2421" s="218" t="n">
        <v>1.59</v>
      </c>
      <c r="F2421" t="str">
        <v>https://re.jrc.ec.europa.eu/api/v5_3/PVcalc?lat=30.0444&amp;lon=31.2357&amp;peakpower=1&amp;loss=14&amp;angle=35&amp;aspect=120&amp;outputformat=json&amp;raddatabase=PVGIS-SARAH3&amp;pvtechchoice=crystSi&amp;mountingplace=free&amp;usehorizon=1</v>
      </c>
    </row>
    <row r="2422">
      <c r="A2422" t="n">
        <v>35</v>
      </c>
      <c r="B2422" t="n">
        <v>315</v>
      </c>
      <c r="C2422" t="n">
        <v>1</v>
      </c>
      <c r="D2422" s="218" t="n">
        <v>42.33</v>
      </c>
      <c r="E2422" s="218" t="n">
        <v>1.37</v>
      </c>
      <c r="F2422" t="str">
        <v>https://re.jrc.ec.europa.eu/api/v5_3/PVcalc?lat=30.0444&amp;lon=31.2357&amp;peakpower=1&amp;loss=14&amp;angle=35&amp;aspect=135&amp;outputformat=json&amp;raddatabase=PVGIS-SARAH3&amp;pvtechchoice=crystSi&amp;mountingplace=free&amp;usehorizon=1</v>
      </c>
    </row>
    <row r="2423">
      <c r="A2423" t="n">
        <v>35</v>
      </c>
      <c r="B2423" t="n">
        <v>315</v>
      </c>
      <c r="C2423" t="n">
        <v>2</v>
      </c>
      <c r="D2423" s="218" t="n">
        <v>57.26</v>
      </c>
      <c r="E2423" s="218" t="n">
        <v>2.05</v>
      </c>
      <c r="F2423" t="str">
        <v>https://re.jrc.ec.europa.eu/api/v5_3/PVcalc?lat=30.0444&amp;lon=31.2357&amp;peakpower=1&amp;loss=14&amp;angle=35&amp;aspect=135&amp;outputformat=json&amp;raddatabase=PVGIS-SARAH3&amp;pvtechchoice=crystSi&amp;mountingplace=free&amp;usehorizon=1</v>
      </c>
    </row>
    <row r="2424">
      <c r="A2424" t="n">
        <v>35</v>
      </c>
      <c r="B2424" t="n">
        <v>315</v>
      </c>
      <c r="C2424" t="n">
        <v>3</v>
      </c>
      <c r="D2424" s="218" t="n">
        <v>97.34</v>
      </c>
      <c r="E2424" s="218" t="n">
        <v>3.14</v>
      </c>
      <c r="F2424" t="str">
        <v>https://re.jrc.ec.europa.eu/api/v5_3/PVcalc?lat=30.0444&amp;lon=31.2357&amp;peakpower=1&amp;loss=14&amp;angle=35&amp;aspect=135&amp;outputformat=json&amp;raddatabase=PVGIS-SARAH3&amp;pvtechchoice=crystSi&amp;mountingplace=free&amp;usehorizon=1</v>
      </c>
    </row>
    <row r="2425">
      <c r="A2425" t="n">
        <v>35</v>
      </c>
      <c r="B2425" t="n">
        <v>315</v>
      </c>
      <c r="C2425" t="n">
        <v>4</v>
      </c>
      <c r="D2425" s="218" t="n">
        <v>124.72</v>
      </c>
      <c r="E2425" s="218" t="n">
        <v>4.16</v>
      </c>
      <c r="F2425" t="str">
        <v>https://re.jrc.ec.europa.eu/api/v5_3/PVcalc?lat=30.0444&amp;lon=31.2357&amp;peakpower=1&amp;loss=14&amp;angle=35&amp;aspect=135&amp;outputformat=json&amp;raddatabase=PVGIS-SARAH3&amp;pvtechchoice=crystSi&amp;mountingplace=free&amp;usehorizon=1</v>
      </c>
    </row>
    <row r="2426">
      <c r="A2426" t="n">
        <v>35</v>
      </c>
      <c r="B2426" t="n">
        <v>315</v>
      </c>
      <c r="C2426" t="n">
        <v>5</v>
      </c>
      <c r="D2426" s="218" t="n">
        <v>151.05</v>
      </c>
      <c r="E2426" s="218" t="n">
        <v>4.87</v>
      </c>
      <c r="F2426" t="str">
        <v>https://re.jrc.ec.europa.eu/api/v5_3/PVcalc?lat=30.0444&amp;lon=31.2357&amp;peakpower=1&amp;loss=14&amp;angle=35&amp;aspect=135&amp;outputformat=json&amp;raddatabase=PVGIS-SARAH3&amp;pvtechchoice=crystSi&amp;mountingplace=free&amp;usehorizon=1</v>
      </c>
    </row>
    <row r="2427">
      <c r="A2427" t="n">
        <v>35</v>
      </c>
      <c r="B2427" t="n">
        <v>315</v>
      </c>
      <c r="C2427" t="n">
        <v>6</v>
      </c>
      <c r="D2427" s="218" t="n">
        <v>163.02</v>
      </c>
      <c r="E2427" s="218" t="n">
        <v>5.43</v>
      </c>
      <c r="F2427" t="str">
        <v>https://re.jrc.ec.europa.eu/api/v5_3/PVcalc?lat=30.0444&amp;lon=31.2357&amp;peakpower=1&amp;loss=14&amp;angle=35&amp;aspect=135&amp;outputformat=json&amp;raddatabase=PVGIS-SARAH3&amp;pvtechchoice=crystSi&amp;mountingplace=free&amp;usehorizon=1</v>
      </c>
    </row>
    <row r="2428">
      <c r="A2428" t="n">
        <v>35</v>
      </c>
      <c r="B2428" t="n">
        <v>315</v>
      </c>
      <c r="C2428" t="n">
        <v>7</v>
      </c>
      <c r="D2428" s="218" t="n">
        <v>163.69</v>
      </c>
      <c r="E2428" s="218" t="n">
        <v>5.28</v>
      </c>
      <c r="F2428" t="str">
        <v>https://re.jrc.ec.europa.eu/api/v5_3/PVcalc?lat=30.0444&amp;lon=31.2357&amp;peakpower=1&amp;loss=14&amp;angle=35&amp;aspect=135&amp;outputformat=json&amp;raddatabase=PVGIS-SARAH3&amp;pvtechchoice=crystSi&amp;mountingplace=free&amp;usehorizon=1</v>
      </c>
    </row>
    <row r="2429">
      <c r="A2429" t="n">
        <v>35</v>
      </c>
      <c r="B2429" t="n">
        <v>315</v>
      </c>
      <c r="C2429" t="n">
        <v>8</v>
      </c>
      <c r="D2429" s="218" t="n">
        <v>141.23</v>
      </c>
      <c r="E2429" s="218" t="n">
        <v>4.56</v>
      </c>
      <c r="F2429" t="str">
        <v>https://re.jrc.ec.europa.eu/api/v5_3/PVcalc?lat=30.0444&amp;lon=31.2357&amp;peakpower=1&amp;loss=14&amp;angle=35&amp;aspect=135&amp;outputformat=json&amp;raddatabase=PVGIS-SARAH3&amp;pvtechchoice=crystSi&amp;mountingplace=free&amp;usehorizon=1</v>
      </c>
    </row>
    <row r="2430">
      <c r="A2430" t="n">
        <v>35</v>
      </c>
      <c r="B2430" t="n">
        <v>315</v>
      </c>
      <c r="C2430" t="n">
        <v>9</v>
      </c>
      <c r="D2430" s="218" t="n">
        <v>106.83</v>
      </c>
      <c r="E2430" s="218" t="n">
        <v>3.56</v>
      </c>
      <c r="F2430" t="str">
        <v>https://re.jrc.ec.europa.eu/api/v5_3/PVcalc?lat=30.0444&amp;lon=31.2357&amp;peakpower=1&amp;loss=14&amp;angle=35&amp;aspect=135&amp;outputformat=json&amp;raddatabase=PVGIS-SARAH3&amp;pvtechchoice=crystSi&amp;mountingplace=free&amp;usehorizon=1</v>
      </c>
    </row>
    <row r="2431">
      <c r="A2431" t="n">
        <v>35</v>
      </c>
      <c r="B2431" t="n">
        <v>315</v>
      </c>
      <c r="C2431" t="n">
        <v>10</v>
      </c>
      <c r="D2431" s="218" t="n">
        <v>74.56</v>
      </c>
      <c r="E2431" s="218" t="n">
        <v>2.41</v>
      </c>
      <c r="F2431" t="str">
        <v>https://re.jrc.ec.europa.eu/api/v5_3/PVcalc?lat=30.0444&amp;lon=31.2357&amp;peakpower=1&amp;loss=14&amp;angle=35&amp;aspect=135&amp;outputformat=json&amp;raddatabase=PVGIS-SARAH3&amp;pvtechchoice=crystSi&amp;mountingplace=free&amp;usehorizon=1</v>
      </c>
    </row>
    <row r="2432">
      <c r="A2432" t="n">
        <v>35</v>
      </c>
      <c r="B2432" t="n">
        <v>315</v>
      </c>
      <c r="C2432" t="n">
        <v>11</v>
      </c>
      <c r="D2432" s="218" t="n">
        <v>46.79</v>
      </c>
      <c r="E2432" s="218" t="n">
        <v>1.56</v>
      </c>
      <c r="F2432" t="str">
        <v>https://re.jrc.ec.europa.eu/api/v5_3/PVcalc?lat=30.0444&amp;lon=31.2357&amp;peakpower=1&amp;loss=14&amp;angle=35&amp;aspect=135&amp;outputformat=json&amp;raddatabase=PVGIS-SARAH3&amp;pvtechchoice=crystSi&amp;mountingplace=free&amp;usehorizon=1</v>
      </c>
    </row>
    <row r="2433">
      <c r="A2433" t="n">
        <v>35</v>
      </c>
      <c r="B2433" t="n">
        <v>315</v>
      </c>
      <c r="C2433" t="n">
        <v>12</v>
      </c>
      <c r="D2433" s="218" t="n">
        <v>37.2</v>
      </c>
      <c r="E2433" s="218" t="n">
        <v>1.2</v>
      </c>
      <c r="F2433" t="str">
        <v>https://re.jrc.ec.europa.eu/api/v5_3/PVcalc?lat=30.0444&amp;lon=31.2357&amp;peakpower=1&amp;loss=14&amp;angle=35&amp;aspect=135&amp;outputformat=json&amp;raddatabase=PVGIS-SARAH3&amp;pvtechchoice=crystSi&amp;mountingplace=free&amp;usehorizon=1</v>
      </c>
    </row>
    <row r="2434">
      <c r="A2434" t="n">
        <v>35</v>
      </c>
      <c r="B2434" t="n">
        <v>330</v>
      </c>
      <c r="C2434" t="n">
        <v>1</v>
      </c>
      <c r="D2434" s="218" t="n">
        <v>31.6</v>
      </c>
      <c r="E2434" s="218" t="n">
        <v>1.02</v>
      </c>
      <c r="F2434" t="str">
        <v>https://re.jrc.ec.europa.eu/api/v5_3/PVcalc?lat=30.0444&amp;lon=31.2357&amp;peakpower=1&amp;loss=14&amp;angle=35&amp;aspect=150&amp;outputformat=json&amp;raddatabase=PVGIS-SARAH3&amp;pvtechchoice=crystSi&amp;mountingplace=free&amp;usehorizon=1</v>
      </c>
    </row>
    <row r="2435">
      <c r="A2435" t="n">
        <v>35</v>
      </c>
      <c r="B2435" t="n">
        <v>330</v>
      </c>
      <c r="C2435" t="n">
        <v>2</v>
      </c>
      <c r="D2435" s="218" t="n">
        <v>47.33</v>
      </c>
      <c r="E2435" s="218" t="n">
        <v>1.69</v>
      </c>
      <c r="F2435" t="str">
        <v>https://re.jrc.ec.europa.eu/api/v5_3/PVcalc?lat=30.0444&amp;lon=31.2357&amp;peakpower=1&amp;loss=14&amp;angle=35&amp;aspect=150&amp;outputformat=json&amp;raddatabase=PVGIS-SARAH3&amp;pvtechchoice=crystSi&amp;mountingplace=free&amp;usehorizon=1</v>
      </c>
    </row>
    <row r="2436">
      <c r="A2436" t="n">
        <v>35</v>
      </c>
      <c r="B2436" t="n">
        <v>330</v>
      </c>
      <c r="C2436" t="n">
        <v>3</v>
      </c>
      <c r="D2436" s="218" t="n">
        <v>86.95</v>
      </c>
      <c r="E2436" s="218" t="n">
        <v>2.8</v>
      </c>
      <c r="F2436" t="str">
        <v>https://re.jrc.ec.europa.eu/api/v5_3/PVcalc?lat=30.0444&amp;lon=31.2357&amp;peakpower=1&amp;loss=14&amp;angle=35&amp;aspect=150&amp;outputformat=json&amp;raddatabase=PVGIS-SARAH3&amp;pvtechchoice=crystSi&amp;mountingplace=free&amp;usehorizon=1</v>
      </c>
    </row>
    <row r="2437">
      <c r="A2437" t="n">
        <v>35</v>
      </c>
      <c r="B2437" t="n">
        <v>330</v>
      </c>
      <c r="C2437" t="n">
        <v>4</v>
      </c>
      <c r="D2437" s="218" t="n">
        <v>118.92</v>
      </c>
      <c r="E2437" s="218" t="n">
        <v>3.96</v>
      </c>
      <c r="F2437" t="str">
        <v>https://re.jrc.ec.europa.eu/api/v5_3/PVcalc?lat=30.0444&amp;lon=31.2357&amp;peakpower=1&amp;loss=14&amp;angle=35&amp;aspect=150&amp;outputformat=json&amp;raddatabase=PVGIS-SARAH3&amp;pvtechchoice=crystSi&amp;mountingplace=free&amp;usehorizon=1</v>
      </c>
    </row>
    <row r="2438">
      <c r="A2438" t="n">
        <v>35</v>
      </c>
      <c r="B2438" t="n">
        <v>330</v>
      </c>
      <c r="C2438" t="n">
        <v>5</v>
      </c>
      <c r="D2438" s="218" t="n">
        <v>149.15</v>
      </c>
      <c r="E2438" s="218" t="n">
        <v>4.81</v>
      </c>
      <c r="F2438" t="str">
        <v>https://re.jrc.ec.europa.eu/api/v5_3/PVcalc?lat=30.0444&amp;lon=31.2357&amp;peakpower=1&amp;loss=14&amp;angle=35&amp;aspect=150&amp;outputformat=json&amp;raddatabase=PVGIS-SARAH3&amp;pvtechchoice=crystSi&amp;mountingplace=free&amp;usehorizon=1</v>
      </c>
    </row>
    <row r="2439">
      <c r="A2439" t="n">
        <v>35</v>
      </c>
      <c r="B2439" t="n">
        <v>330</v>
      </c>
      <c r="C2439" t="n">
        <v>6</v>
      </c>
      <c r="D2439" s="218" t="n">
        <v>162.58</v>
      </c>
      <c r="E2439" s="218" t="n">
        <v>5.42</v>
      </c>
      <c r="F2439" t="str">
        <v>https://re.jrc.ec.europa.eu/api/v5_3/PVcalc?lat=30.0444&amp;lon=31.2357&amp;peakpower=1&amp;loss=14&amp;angle=35&amp;aspect=150&amp;outputformat=json&amp;raddatabase=PVGIS-SARAH3&amp;pvtechchoice=crystSi&amp;mountingplace=free&amp;usehorizon=1</v>
      </c>
    </row>
    <row r="2440">
      <c r="A2440" t="n">
        <v>35</v>
      </c>
      <c r="B2440" t="n">
        <v>330</v>
      </c>
      <c r="C2440" t="n">
        <v>7</v>
      </c>
      <c r="D2440" s="218" t="n">
        <v>162.05</v>
      </c>
      <c r="E2440" s="218" t="n">
        <v>5.23</v>
      </c>
      <c r="F2440" t="str">
        <v>https://re.jrc.ec.europa.eu/api/v5_3/PVcalc?lat=30.0444&amp;lon=31.2357&amp;peakpower=1&amp;loss=14&amp;angle=35&amp;aspect=150&amp;outputformat=json&amp;raddatabase=PVGIS-SARAH3&amp;pvtechchoice=crystSi&amp;mountingplace=free&amp;usehorizon=1</v>
      </c>
    </row>
    <row r="2441">
      <c r="A2441" t="n">
        <v>35</v>
      </c>
      <c r="B2441" t="n">
        <v>330</v>
      </c>
      <c r="C2441" t="n">
        <v>8</v>
      </c>
      <c r="D2441" s="218" t="n">
        <v>135.87</v>
      </c>
      <c r="E2441" s="218" t="n">
        <v>4.38</v>
      </c>
      <c r="F2441" t="str">
        <v>https://re.jrc.ec.europa.eu/api/v5_3/PVcalc?lat=30.0444&amp;lon=31.2357&amp;peakpower=1&amp;loss=14&amp;angle=35&amp;aspect=150&amp;outputformat=json&amp;raddatabase=PVGIS-SARAH3&amp;pvtechchoice=crystSi&amp;mountingplace=free&amp;usehorizon=1</v>
      </c>
    </row>
    <row r="2442">
      <c r="A2442" t="n">
        <v>35</v>
      </c>
      <c r="B2442" t="n">
        <v>330</v>
      </c>
      <c r="C2442" t="n">
        <v>9</v>
      </c>
      <c r="D2442" s="218" t="n">
        <v>97.33</v>
      </c>
      <c r="E2442" s="218" t="n">
        <v>3.24</v>
      </c>
      <c r="F2442" t="str">
        <v>https://re.jrc.ec.europa.eu/api/v5_3/PVcalc?lat=30.0444&amp;lon=31.2357&amp;peakpower=1&amp;loss=14&amp;angle=35&amp;aspect=150&amp;outputformat=json&amp;raddatabase=PVGIS-SARAH3&amp;pvtechchoice=crystSi&amp;mountingplace=free&amp;usehorizon=1</v>
      </c>
    </row>
    <row r="2443">
      <c r="A2443" t="n">
        <v>35</v>
      </c>
      <c r="B2443" t="n">
        <v>330</v>
      </c>
      <c r="C2443" t="n">
        <v>10</v>
      </c>
      <c r="D2443" s="218" t="n">
        <v>62.49</v>
      </c>
      <c r="E2443" s="218" t="n">
        <v>2.02</v>
      </c>
      <c r="F2443" t="str">
        <v>https://re.jrc.ec.europa.eu/api/v5_3/PVcalc?lat=30.0444&amp;lon=31.2357&amp;peakpower=1&amp;loss=14&amp;angle=35&amp;aspect=150&amp;outputformat=json&amp;raddatabase=PVGIS-SARAH3&amp;pvtechchoice=crystSi&amp;mountingplace=free&amp;usehorizon=1</v>
      </c>
    </row>
    <row r="2444">
      <c r="A2444" t="n">
        <v>35</v>
      </c>
      <c r="B2444" t="n">
        <v>330</v>
      </c>
      <c r="C2444" t="n">
        <v>11</v>
      </c>
      <c r="D2444" s="218" t="n">
        <v>35.11</v>
      </c>
      <c r="E2444" s="218" t="n">
        <v>1.17</v>
      </c>
      <c r="F2444" t="str">
        <v>https://re.jrc.ec.europa.eu/api/v5_3/PVcalc?lat=30.0444&amp;lon=31.2357&amp;peakpower=1&amp;loss=14&amp;angle=35&amp;aspect=150&amp;outputformat=json&amp;raddatabase=PVGIS-SARAH3&amp;pvtechchoice=crystSi&amp;mountingplace=free&amp;usehorizon=1</v>
      </c>
    </row>
    <row r="2445">
      <c r="A2445" t="n">
        <v>35</v>
      </c>
      <c r="B2445" t="n">
        <v>330</v>
      </c>
      <c r="C2445" t="n">
        <v>12</v>
      </c>
      <c r="D2445" s="218" t="n">
        <v>26.58</v>
      </c>
      <c r="E2445" s="218" t="n">
        <v>0.86</v>
      </c>
      <c r="F2445" t="str">
        <v>https://re.jrc.ec.europa.eu/api/v5_3/PVcalc?lat=30.0444&amp;lon=31.2357&amp;peakpower=1&amp;loss=14&amp;angle=35&amp;aspect=150&amp;outputformat=json&amp;raddatabase=PVGIS-SARAH3&amp;pvtechchoice=crystSi&amp;mountingplace=free&amp;usehorizon=1</v>
      </c>
    </row>
    <row r="2446">
      <c r="A2446" t="n">
        <v>35</v>
      </c>
      <c r="B2446" t="n">
        <v>345</v>
      </c>
      <c r="C2446" t="n">
        <v>1</v>
      </c>
      <c r="D2446" s="218" t="n">
        <v>24.35</v>
      </c>
      <c r="E2446" s="218" t="n">
        <v>0.79</v>
      </c>
      <c r="F2446" t="str">
        <v>https://re.jrc.ec.europa.eu/api/v5_3/PVcalc?lat=30.0444&amp;lon=31.2357&amp;peakpower=1&amp;loss=14&amp;angle=35&amp;aspect=165&amp;outputformat=json&amp;raddatabase=PVGIS-SARAH3&amp;pvtechchoice=crystSi&amp;mountingplace=free&amp;usehorizon=1</v>
      </c>
    </row>
    <row r="2447">
      <c r="A2447" t="n">
        <v>35</v>
      </c>
      <c r="B2447" t="n">
        <v>345</v>
      </c>
      <c r="C2447" t="n">
        <v>2</v>
      </c>
      <c r="D2447" s="218" t="n">
        <v>39.27</v>
      </c>
      <c r="E2447" s="218" t="n">
        <v>1.4</v>
      </c>
      <c r="F2447" t="str">
        <v>https://re.jrc.ec.europa.eu/api/v5_3/PVcalc?lat=30.0444&amp;lon=31.2357&amp;peakpower=1&amp;loss=14&amp;angle=35&amp;aspect=165&amp;outputformat=json&amp;raddatabase=PVGIS-SARAH3&amp;pvtechchoice=crystSi&amp;mountingplace=free&amp;usehorizon=1</v>
      </c>
    </row>
    <row r="2448">
      <c r="A2448" t="n">
        <v>35</v>
      </c>
      <c r="B2448" t="n">
        <v>345</v>
      </c>
      <c r="C2448" t="n">
        <v>3</v>
      </c>
      <c r="D2448" s="218" t="n">
        <v>78.88</v>
      </c>
      <c r="E2448" s="218" t="n">
        <v>2.54</v>
      </c>
      <c r="F2448" t="str">
        <v>https://re.jrc.ec.europa.eu/api/v5_3/PVcalc?lat=30.0444&amp;lon=31.2357&amp;peakpower=1&amp;loss=14&amp;angle=35&amp;aspect=165&amp;outputformat=json&amp;raddatabase=PVGIS-SARAH3&amp;pvtechchoice=crystSi&amp;mountingplace=free&amp;usehorizon=1</v>
      </c>
    </row>
    <row r="2449">
      <c r="A2449" t="n">
        <v>35</v>
      </c>
      <c r="B2449" t="n">
        <v>345</v>
      </c>
      <c r="C2449" t="n">
        <v>4</v>
      </c>
      <c r="D2449" s="218" t="n">
        <v>115.25</v>
      </c>
      <c r="E2449" s="218" t="n">
        <v>3.84</v>
      </c>
      <c r="F2449" t="str">
        <v>https://re.jrc.ec.europa.eu/api/v5_3/PVcalc?lat=30.0444&amp;lon=31.2357&amp;peakpower=1&amp;loss=14&amp;angle=35&amp;aspect=165&amp;outputformat=json&amp;raddatabase=PVGIS-SARAH3&amp;pvtechchoice=crystSi&amp;mountingplace=free&amp;usehorizon=1</v>
      </c>
    </row>
    <row r="2450">
      <c r="A2450" t="n">
        <v>35</v>
      </c>
      <c r="B2450" t="n">
        <v>345</v>
      </c>
      <c r="C2450" t="n">
        <v>5</v>
      </c>
      <c r="D2450" s="218" t="n">
        <v>148.4</v>
      </c>
      <c r="E2450" s="218" t="n">
        <v>4.79</v>
      </c>
      <c r="F2450" t="str">
        <v>https://re.jrc.ec.europa.eu/api/v5_3/PVcalc?lat=30.0444&amp;lon=31.2357&amp;peakpower=1&amp;loss=14&amp;angle=35&amp;aspect=165&amp;outputformat=json&amp;raddatabase=PVGIS-SARAH3&amp;pvtechchoice=crystSi&amp;mountingplace=free&amp;usehorizon=1</v>
      </c>
    </row>
    <row r="2451">
      <c r="A2451" t="n">
        <v>35</v>
      </c>
      <c r="B2451" t="n">
        <v>345</v>
      </c>
      <c r="C2451" t="n">
        <v>6</v>
      </c>
      <c r="D2451" s="218" t="n">
        <v>162.34</v>
      </c>
      <c r="E2451" s="218" t="n">
        <v>5.41</v>
      </c>
      <c r="F2451" t="str">
        <v>https://re.jrc.ec.europa.eu/api/v5_3/PVcalc?lat=30.0444&amp;lon=31.2357&amp;peakpower=1&amp;loss=14&amp;angle=35&amp;aspect=165&amp;outputformat=json&amp;raddatabase=PVGIS-SARAH3&amp;pvtechchoice=crystSi&amp;mountingplace=free&amp;usehorizon=1</v>
      </c>
    </row>
    <row r="2452">
      <c r="A2452" t="n">
        <v>35</v>
      </c>
      <c r="B2452" t="n">
        <v>345</v>
      </c>
      <c r="C2452" t="n">
        <v>7</v>
      </c>
      <c r="D2452" s="218" t="n">
        <v>160.69</v>
      </c>
      <c r="E2452" s="218" t="n">
        <v>5.18</v>
      </c>
      <c r="F2452" t="str">
        <v>https://re.jrc.ec.europa.eu/api/v5_3/PVcalc?lat=30.0444&amp;lon=31.2357&amp;peakpower=1&amp;loss=14&amp;angle=35&amp;aspect=165&amp;outputformat=json&amp;raddatabase=PVGIS-SARAH3&amp;pvtechchoice=crystSi&amp;mountingplace=free&amp;usehorizon=1</v>
      </c>
    </row>
    <row r="2453">
      <c r="A2453" t="n">
        <v>35</v>
      </c>
      <c r="B2453" t="n">
        <v>345</v>
      </c>
      <c r="C2453" t="n">
        <v>8</v>
      </c>
      <c r="D2453" s="218" t="n">
        <v>132.43</v>
      </c>
      <c r="E2453" s="218" t="n">
        <v>4.27</v>
      </c>
      <c r="F2453" t="str">
        <v>https://re.jrc.ec.europa.eu/api/v5_3/PVcalc?lat=30.0444&amp;lon=31.2357&amp;peakpower=1&amp;loss=14&amp;angle=35&amp;aspect=165&amp;outputformat=json&amp;raddatabase=PVGIS-SARAH3&amp;pvtechchoice=crystSi&amp;mountingplace=free&amp;usehorizon=1</v>
      </c>
    </row>
    <row r="2454">
      <c r="A2454" t="n">
        <v>35</v>
      </c>
      <c r="B2454" t="n">
        <v>345</v>
      </c>
      <c r="C2454" t="n">
        <v>9</v>
      </c>
      <c r="D2454" s="218" t="n">
        <v>90.21</v>
      </c>
      <c r="E2454" s="218" t="n">
        <v>3.01</v>
      </c>
      <c r="F2454" t="str">
        <v>https://re.jrc.ec.europa.eu/api/v5_3/PVcalc?lat=30.0444&amp;lon=31.2357&amp;peakpower=1&amp;loss=14&amp;angle=35&amp;aspect=165&amp;outputformat=json&amp;raddatabase=PVGIS-SARAH3&amp;pvtechchoice=crystSi&amp;mountingplace=free&amp;usehorizon=1</v>
      </c>
    </row>
    <row r="2455">
      <c r="A2455" t="n">
        <v>35</v>
      </c>
      <c r="B2455" t="n">
        <v>345</v>
      </c>
      <c r="C2455" t="n">
        <v>10</v>
      </c>
      <c r="D2455" s="218" t="n">
        <v>52.33</v>
      </c>
      <c r="E2455" s="218" t="n">
        <v>1.69</v>
      </c>
      <c r="F2455" t="str">
        <v>https://re.jrc.ec.europa.eu/api/v5_3/PVcalc?lat=30.0444&amp;lon=31.2357&amp;peakpower=1&amp;loss=14&amp;angle=35&amp;aspect=165&amp;outputformat=json&amp;raddatabase=PVGIS-SARAH3&amp;pvtechchoice=crystSi&amp;mountingplace=free&amp;usehorizon=1</v>
      </c>
    </row>
    <row r="2456">
      <c r="A2456" t="n">
        <v>35</v>
      </c>
      <c r="B2456" t="n">
        <v>345</v>
      </c>
      <c r="C2456" t="n">
        <v>11</v>
      </c>
      <c r="D2456" s="218" t="n">
        <v>26.24</v>
      </c>
      <c r="E2456" s="218" t="n">
        <v>0.87</v>
      </c>
      <c r="F2456" t="str">
        <v>https://re.jrc.ec.europa.eu/api/v5_3/PVcalc?lat=30.0444&amp;lon=31.2357&amp;peakpower=1&amp;loss=14&amp;angle=35&amp;aspect=165&amp;outputformat=json&amp;raddatabase=PVGIS-SARAH3&amp;pvtechchoice=crystSi&amp;mountingplace=free&amp;usehorizon=1</v>
      </c>
    </row>
    <row r="2457">
      <c r="A2457" t="n">
        <v>35</v>
      </c>
      <c r="B2457" t="n">
        <v>345</v>
      </c>
      <c r="C2457" t="n">
        <v>12</v>
      </c>
      <c r="D2457" s="218" t="n">
        <v>20.55</v>
      </c>
      <c r="E2457" s="218" t="n">
        <v>0.66</v>
      </c>
      <c r="F2457" t="str">
        <v>https://re.jrc.ec.europa.eu/api/v5_3/PVcalc?lat=30.0444&amp;lon=31.2357&amp;peakpower=1&amp;loss=14&amp;angle=35&amp;aspect=165&amp;outputformat=json&amp;raddatabase=PVGIS-SARAH3&amp;pvtechchoice=crystSi&amp;mountingplace=free&amp;usehorizon=1</v>
      </c>
    </row>
    <row r="2458">
      <c r="A2458" t="n">
        <v>35</v>
      </c>
      <c r="B2458" t="n">
        <v>360</v>
      </c>
      <c r="C2458" t="n">
        <v>1</v>
      </c>
      <c r="D2458" s="218" t="n">
        <v>22.5</v>
      </c>
      <c r="E2458" s="218" t="n">
        <v>0.73</v>
      </c>
      <c r="F2458" t="str">
        <v>https://re.jrc.ec.europa.eu/api/v5_3/PVcalc?lat=30.0444&amp;lon=31.2357&amp;peakpower=1&amp;loss=14&amp;angle=35&amp;aspect=180&amp;outputformat=json&amp;raddatabase=PVGIS-SARAH3&amp;pvtechchoice=crystSi&amp;mountingplace=free&amp;usehorizon=1</v>
      </c>
    </row>
    <row r="2459">
      <c r="A2459" t="n">
        <v>35</v>
      </c>
      <c r="B2459" t="n">
        <v>360</v>
      </c>
      <c r="C2459" t="n">
        <v>2</v>
      </c>
      <c r="D2459" s="218" t="n">
        <v>36.07</v>
      </c>
      <c r="E2459" s="218" t="n">
        <v>1.29</v>
      </c>
      <c r="F2459" t="str">
        <v>https://re.jrc.ec.europa.eu/api/v5_3/PVcalc?lat=30.0444&amp;lon=31.2357&amp;peakpower=1&amp;loss=14&amp;angle=35&amp;aspect=180&amp;outputformat=json&amp;raddatabase=PVGIS-SARAH3&amp;pvtechchoice=crystSi&amp;mountingplace=free&amp;usehorizon=1</v>
      </c>
    </row>
    <row r="2460">
      <c r="A2460" t="n">
        <v>35</v>
      </c>
      <c r="B2460" t="n">
        <v>360</v>
      </c>
      <c r="C2460" t="n">
        <v>3</v>
      </c>
      <c r="D2460" s="218" t="n">
        <v>75.4</v>
      </c>
      <c r="E2460" s="218" t="n">
        <v>2.43</v>
      </c>
      <c r="F2460" t="str">
        <v>https://re.jrc.ec.europa.eu/api/v5_3/PVcalc?lat=30.0444&amp;lon=31.2357&amp;peakpower=1&amp;loss=14&amp;angle=35&amp;aspect=180&amp;outputformat=json&amp;raddatabase=PVGIS-SARAH3&amp;pvtechchoice=crystSi&amp;mountingplace=free&amp;usehorizon=1</v>
      </c>
    </row>
    <row r="2461">
      <c r="A2461" t="n">
        <v>35</v>
      </c>
      <c r="B2461" t="n">
        <v>360</v>
      </c>
      <c r="C2461" t="n">
        <v>4</v>
      </c>
      <c r="D2461" s="218" t="n">
        <v>113.51</v>
      </c>
      <c r="E2461" s="218" t="n">
        <v>3.78</v>
      </c>
      <c r="F2461" t="str">
        <v>https://re.jrc.ec.europa.eu/api/v5_3/PVcalc?lat=30.0444&amp;lon=31.2357&amp;peakpower=1&amp;loss=14&amp;angle=35&amp;aspect=180&amp;outputformat=json&amp;raddatabase=PVGIS-SARAH3&amp;pvtechchoice=crystSi&amp;mountingplace=free&amp;usehorizon=1</v>
      </c>
    </row>
    <row r="2462">
      <c r="A2462" t="n">
        <v>35</v>
      </c>
      <c r="B2462" t="n">
        <v>360</v>
      </c>
      <c r="C2462" t="n">
        <v>5</v>
      </c>
      <c r="D2462" s="218" t="n">
        <v>147.58</v>
      </c>
      <c r="E2462" s="218" t="n">
        <v>4.76</v>
      </c>
      <c r="F2462" t="str">
        <v>https://re.jrc.ec.europa.eu/api/v5_3/PVcalc?lat=30.0444&amp;lon=31.2357&amp;peakpower=1&amp;loss=14&amp;angle=35&amp;aspect=180&amp;outputformat=json&amp;raddatabase=PVGIS-SARAH3&amp;pvtechchoice=crystSi&amp;mountingplace=free&amp;usehorizon=1</v>
      </c>
    </row>
    <row r="2463">
      <c r="A2463" t="n">
        <v>35</v>
      </c>
      <c r="B2463" t="n">
        <v>360</v>
      </c>
      <c r="C2463" t="n">
        <v>6</v>
      </c>
      <c r="D2463" s="218" t="n">
        <v>160.95</v>
      </c>
      <c r="E2463" s="218" t="n">
        <v>5.36</v>
      </c>
      <c r="F2463" t="str">
        <v>https://re.jrc.ec.europa.eu/api/v5_3/PVcalc?lat=30.0444&amp;lon=31.2357&amp;peakpower=1&amp;loss=14&amp;angle=35&amp;aspect=180&amp;outputformat=json&amp;raddatabase=PVGIS-SARAH3&amp;pvtechchoice=crystSi&amp;mountingplace=free&amp;usehorizon=1</v>
      </c>
    </row>
    <row r="2464">
      <c r="A2464" t="n">
        <v>35</v>
      </c>
      <c r="B2464" t="n">
        <v>360</v>
      </c>
      <c r="C2464" t="n">
        <v>7</v>
      </c>
      <c r="D2464" s="218" t="n">
        <v>158.41</v>
      </c>
      <c r="E2464" s="218" t="n">
        <v>5.11</v>
      </c>
      <c r="F2464" t="str">
        <v>https://re.jrc.ec.europa.eu/api/v5_3/PVcalc?lat=30.0444&amp;lon=31.2357&amp;peakpower=1&amp;loss=14&amp;angle=35&amp;aspect=180&amp;outputformat=json&amp;raddatabase=PVGIS-SARAH3&amp;pvtechchoice=crystSi&amp;mountingplace=free&amp;usehorizon=1</v>
      </c>
    </row>
    <row r="2465">
      <c r="A2465" t="n">
        <v>35</v>
      </c>
      <c r="B2465" t="n">
        <v>360</v>
      </c>
      <c r="C2465" t="n">
        <v>8</v>
      </c>
      <c r="D2465" s="218" t="n">
        <v>129.89</v>
      </c>
      <c r="E2465" s="218" t="n">
        <v>4.19</v>
      </c>
      <c r="F2465" t="str">
        <v>https://re.jrc.ec.europa.eu/api/v5_3/PVcalc?lat=30.0444&amp;lon=31.2357&amp;peakpower=1&amp;loss=14&amp;angle=35&amp;aspect=180&amp;outputformat=json&amp;raddatabase=PVGIS-SARAH3&amp;pvtechchoice=crystSi&amp;mountingplace=free&amp;usehorizon=1</v>
      </c>
    </row>
    <row r="2466">
      <c r="A2466" t="n">
        <v>35</v>
      </c>
      <c r="B2466" t="n">
        <v>360</v>
      </c>
      <c r="C2466" t="n">
        <v>9</v>
      </c>
      <c r="D2466" s="218" t="n">
        <v>86.72</v>
      </c>
      <c r="E2466" s="218" t="n">
        <v>2.89</v>
      </c>
      <c r="F2466" t="str">
        <v>https://re.jrc.ec.europa.eu/api/v5_3/PVcalc?lat=30.0444&amp;lon=31.2357&amp;peakpower=1&amp;loss=14&amp;angle=35&amp;aspect=180&amp;outputformat=json&amp;raddatabase=PVGIS-SARAH3&amp;pvtechchoice=crystSi&amp;mountingplace=free&amp;usehorizon=1</v>
      </c>
    </row>
    <row r="2467">
      <c r="A2467" t="n">
        <v>35</v>
      </c>
      <c r="B2467" t="n">
        <v>360</v>
      </c>
      <c r="C2467" t="n">
        <v>10</v>
      </c>
      <c r="D2467" s="218" t="n">
        <v>47.93</v>
      </c>
      <c r="E2467" s="218" t="n">
        <v>1.55</v>
      </c>
      <c r="F2467" t="str">
        <v>https://re.jrc.ec.europa.eu/api/v5_3/PVcalc?lat=30.0444&amp;lon=31.2357&amp;peakpower=1&amp;loss=14&amp;angle=35&amp;aspect=180&amp;outputformat=json&amp;raddatabase=PVGIS-SARAH3&amp;pvtechchoice=crystSi&amp;mountingplace=free&amp;usehorizon=1</v>
      </c>
    </row>
    <row r="2468">
      <c r="A2468" t="n">
        <v>35</v>
      </c>
      <c r="B2468" t="n">
        <v>360</v>
      </c>
      <c r="C2468" t="n">
        <v>11</v>
      </c>
      <c r="D2468" s="218" t="n">
        <v>23.31</v>
      </c>
      <c r="E2468" s="218" t="n">
        <v>0.78</v>
      </c>
      <c r="F2468" t="str">
        <v>https://re.jrc.ec.europa.eu/api/v5_3/PVcalc?lat=30.0444&amp;lon=31.2357&amp;peakpower=1&amp;loss=14&amp;angle=35&amp;aspect=180&amp;outputformat=json&amp;raddatabase=PVGIS-SARAH3&amp;pvtechchoice=crystSi&amp;mountingplace=free&amp;usehorizon=1</v>
      </c>
    </row>
    <row r="2469">
      <c r="A2469" t="n">
        <v>35</v>
      </c>
      <c r="B2469" t="n">
        <v>360</v>
      </c>
      <c r="C2469" t="n">
        <v>12</v>
      </c>
      <c r="D2469" s="218" t="n">
        <v>20.04</v>
      </c>
      <c r="E2469" s="218" t="n">
        <v>0.65</v>
      </c>
      <c r="F2469" t="str">
        <v>https://re.jrc.ec.europa.eu/api/v5_3/PVcalc?lat=30.0444&amp;lon=31.2357&amp;peakpower=1&amp;loss=14&amp;angle=35&amp;aspect=180&amp;outputformat=json&amp;raddatabase=PVGIS-SARAH3&amp;pvtechchoice=crystSi&amp;mountingplace=free&amp;usehorizon=1</v>
      </c>
    </row>
    <row r="2470">
      <c r="A2470" t="n">
        <v>40</v>
      </c>
      <c r="B2470" t="n">
        <v>0</v>
      </c>
      <c r="C2470" t="n">
        <v>1</v>
      </c>
      <c r="D2470" s="218" t="n">
        <v>23</v>
      </c>
      <c r="E2470" s="218" t="n">
        <v>0.74</v>
      </c>
      <c r="F2470" t="str">
        <v>https://re.jrc.ec.europa.eu/api/v5_3/PVcalc?lat=30.0444&amp;lon=31.2357&amp;peakpower=1&amp;loss=14&amp;angle=40&amp;aspect=-180&amp;outputformat=json&amp;raddatabase=PVGIS-SARAH3&amp;pvtechchoice=crystSi&amp;mountingplace=free&amp;usehorizon=1</v>
      </c>
    </row>
    <row r="2471">
      <c r="A2471" t="n">
        <v>40</v>
      </c>
      <c r="B2471" t="n">
        <v>0</v>
      </c>
      <c r="C2471" t="n">
        <v>2</v>
      </c>
      <c r="D2471" s="218" t="n">
        <v>28.72</v>
      </c>
      <c r="E2471" s="218" t="n">
        <v>1.03</v>
      </c>
      <c r="F2471" t="str">
        <v>https://re.jrc.ec.europa.eu/api/v5_3/PVcalc?lat=30.0444&amp;lon=31.2357&amp;peakpower=1&amp;loss=14&amp;angle=40&amp;aspect=-180&amp;outputformat=json&amp;raddatabase=PVGIS-SARAH3&amp;pvtechchoice=crystSi&amp;mountingplace=free&amp;usehorizon=1</v>
      </c>
    </row>
    <row r="2472">
      <c r="A2472" t="n">
        <v>40</v>
      </c>
      <c r="B2472" t="n">
        <v>0</v>
      </c>
      <c r="C2472" t="n">
        <v>3</v>
      </c>
      <c r="D2472" s="218" t="n">
        <v>63.37</v>
      </c>
      <c r="E2472" s="218" t="n">
        <v>2.04</v>
      </c>
      <c r="F2472" t="str">
        <v>https://re.jrc.ec.europa.eu/api/v5_3/PVcalc?lat=30.0444&amp;lon=31.2357&amp;peakpower=1&amp;loss=14&amp;angle=40&amp;aspect=-180&amp;outputformat=json&amp;raddatabase=PVGIS-SARAH3&amp;pvtechchoice=crystSi&amp;mountingplace=free&amp;usehorizon=1</v>
      </c>
    </row>
    <row r="2473">
      <c r="A2473" t="n">
        <v>40</v>
      </c>
      <c r="B2473" t="n">
        <v>0</v>
      </c>
      <c r="C2473" t="n">
        <v>4</v>
      </c>
      <c r="D2473" s="218" t="n">
        <v>103.41</v>
      </c>
      <c r="E2473" s="218" t="n">
        <v>3.45</v>
      </c>
      <c r="F2473" t="str">
        <v>https://re.jrc.ec.europa.eu/api/v5_3/PVcalc?lat=30.0444&amp;lon=31.2357&amp;peakpower=1&amp;loss=14&amp;angle=40&amp;aspect=-180&amp;outputformat=json&amp;raddatabase=PVGIS-SARAH3&amp;pvtechchoice=crystSi&amp;mountingplace=free&amp;usehorizon=1</v>
      </c>
    </row>
    <row r="2474">
      <c r="A2474" t="n">
        <v>40</v>
      </c>
      <c r="B2474" t="n">
        <v>0</v>
      </c>
      <c r="C2474" t="n">
        <v>5</v>
      </c>
      <c r="D2474" s="218" t="n">
        <v>139.38</v>
      </c>
      <c r="E2474" s="218" t="n">
        <v>4.5</v>
      </c>
      <c r="F2474" t="str">
        <v>https://re.jrc.ec.europa.eu/api/v5_3/PVcalc?lat=30.0444&amp;lon=31.2357&amp;peakpower=1&amp;loss=14&amp;angle=40&amp;aspect=-180&amp;outputformat=json&amp;raddatabase=PVGIS-SARAH3&amp;pvtechchoice=crystSi&amp;mountingplace=free&amp;usehorizon=1</v>
      </c>
    </row>
    <row r="2475">
      <c r="A2475" t="n">
        <v>40</v>
      </c>
      <c r="B2475" t="n">
        <v>0</v>
      </c>
      <c r="C2475" t="n">
        <v>6</v>
      </c>
      <c r="D2475" s="218" t="n">
        <v>153.68</v>
      </c>
      <c r="E2475" s="218" t="n">
        <v>5.12</v>
      </c>
      <c r="F2475" t="str">
        <v>https://re.jrc.ec.europa.eu/api/v5_3/PVcalc?lat=30.0444&amp;lon=31.2357&amp;peakpower=1&amp;loss=14&amp;angle=40&amp;aspect=-180&amp;outputformat=json&amp;raddatabase=PVGIS-SARAH3&amp;pvtechchoice=crystSi&amp;mountingplace=free&amp;usehorizon=1</v>
      </c>
    </row>
    <row r="2476">
      <c r="A2476" t="n">
        <v>40</v>
      </c>
      <c r="B2476" t="n">
        <v>0</v>
      </c>
      <c r="C2476" t="n">
        <v>7</v>
      </c>
      <c r="D2476" s="218" t="n">
        <v>150.35</v>
      </c>
      <c r="E2476" s="218" t="n">
        <v>4.85</v>
      </c>
      <c r="F2476" t="str">
        <v>https://re.jrc.ec.europa.eu/api/v5_3/PVcalc?lat=30.0444&amp;lon=31.2357&amp;peakpower=1&amp;loss=14&amp;angle=40&amp;aspect=-180&amp;outputformat=json&amp;raddatabase=PVGIS-SARAH3&amp;pvtechchoice=crystSi&amp;mountingplace=free&amp;usehorizon=1</v>
      </c>
    </row>
    <row r="2477">
      <c r="A2477" t="n">
        <v>40</v>
      </c>
      <c r="B2477" t="n">
        <v>0</v>
      </c>
      <c r="C2477" t="n">
        <v>8</v>
      </c>
      <c r="D2477" s="218" t="n">
        <v>119.85</v>
      </c>
      <c r="E2477" s="218" t="n">
        <v>3.87</v>
      </c>
      <c r="F2477" t="str">
        <v>https://re.jrc.ec.europa.eu/api/v5_3/PVcalc?lat=30.0444&amp;lon=31.2357&amp;peakpower=1&amp;loss=14&amp;angle=40&amp;aspect=-180&amp;outputformat=json&amp;raddatabase=PVGIS-SARAH3&amp;pvtechchoice=crystSi&amp;mountingplace=free&amp;usehorizon=1</v>
      </c>
    </row>
    <row r="2478">
      <c r="A2478" t="n">
        <v>40</v>
      </c>
      <c r="B2478" t="n">
        <v>0</v>
      </c>
      <c r="C2478" t="n">
        <v>9</v>
      </c>
      <c r="D2478" s="218" t="n">
        <v>74.71</v>
      </c>
      <c r="E2478" s="218" t="n">
        <v>2.49</v>
      </c>
      <c r="F2478" t="str">
        <v>https://re.jrc.ec.europa.eu/api/v5_3/PVcalc?lat=30.0444&amp;lon=31.2357&amp;peakpower=1&amp;loss=14&amp;angle=40&amp;aspect=-180&amp;outputformat=json&amp;raddatabase=PVGIS-SARAH3&amp;pvtechchoice=crystSi&amp;mountingplace=free&amp;usehorizon=1</v>
      </c>
    </row>
    <row r="2479">
      <c r="A2479" t="n">
        <v>40</v>
      </c>
      <c r="B2479" t="n">
        <v>0</v>
      </c>
      <c r="C2479" t="n">
        <v>10</v>
      </c>
      <c r="D2479" s="218" t="n">
        <v>36.83</v>
      </c>
      <c r="E2479" s="218" t="n">
        <v>1.19</v>
      </c>
      <c r="F2479" t="str">
        <v>https://re.jrc.ec.europa.eu/api/v5_3/PVcalc?lat=30.0444&amp;lon=31.2357&amp;peakpower=1&amp;loss=14&amp;angle=40&amp;aspect=-180&amp;outputformat=json&amp;raddatabase=PVGIS-SARAH3&amp;pvtechchoice=crystSi&amp;mountingplace=free&amp;usehorizon=1</v>
      </c>
    </row>
    <row r="2480">
      <c r="A2480" t="n">
        <v>40</v>
      </c>
      <c r="B2480" t="n">
        <v>0</v>
      </c>
      <c r="C2480" t="n">
        <v>11</v>
      </c>
      <c r="D2480" s="218" t="n">
        <v>21.19</v>
      </c>
      <c r="E2480" s="218" t="n">
        <v>0.71</v>
      </c>
      <c r="F2480" t="str">
        <v>https://re.jrc.ec.europa.eu/api/v5_3/PVcalc?lat=30.0444&amp;lon=31.2357&amp;peakpower=1&amp;loss=14&amp;angle=40&amp;aspect=-180&amp;outputformat=json&amp;raddatabase=PVGIS-SARAH3&amp;pvtechchoice=crystSi&amp;mountingplace=free&amp;usehorizon=1</v>
      </c>
    </row>
    <row r="2481">
      <c r="A2481" t="n">
        <v>40</v>
      </c>
      <c r="B2481" t="n">
        <v>0</v>
      </c>
      <c r="C2481" t="n">
        <v>12</v>
      </c>
      <c r="D2481" s="218" t="n">
        <v>22.01</v>
      </c>
      <c r="E2481" s="218" t="n">
        <v>0.71</v>
      </c>
      <c r="F2481" t="str">
        <v>https://re.jrc.ec.europa.eu/api/v5_3/PVcalc?lat=30.0444&amp;lon=31.2357&amp;peakpower=1&amp;loss=14&amp;angle=40&amp;aspect=-180&amp;outputformat=json&amp;raddatabase=PVGIS-SARAH3&amp;pvtechchoice=crystSi&amp;mountingplace=free&amp;usehorizon=1</v>
      </c>
    </row>
    <row r="2482">
      <c r="A2482" t="n">
        <v>40</v>
      </c>
      <c r="B2482" t="n">
        <v>15</v>
      </c>
      <c r="C2482" t="n">
        <v>1</v>
      </c>
      <c r="D2482" s="218" t="n">
        <v>22.31</v>
      </c>
      <c r="E2482" s="218" t="n">
        <v>0.72</v>
      </c>
      <c r="F2482" t="str">
        <v>https://re.jrc.ec.europa.eu/api/v5_3/PVcalc?lat=30.0444&amp;lon=31.2357&amp;peakpower=1&amp;loss=14&amp;angle=40&amp;aspect=-165&amp;outputformat=json&amp;raddatabase=PVGIS-SARAH3&amp;pvtechchoice=crystSi&amp;mountingplace=free&amp;usehorizon=1</v>
      </c>
    </row>
    <row r="2483">
      <c r="A2483" t="n">
        <v>40</v>
      </c>
      <c r="B2483" t="n">
        <v>15</v>
      </c>
      <c r="C2483" t="n">
        <v>2</v>
      </c>
      <c r="D2483" s="218" t="n">
        <v>33.11</v>
      </c>
      <c r="E2483" s="218" t="n">
        <v>1.18</v>
      </c>
      <c r="F2483" t="str">
        <v>https://re.jrc.ec.europa.eu/api/v5_3/PVcalc?lat=30.0444&amp;lon=31.2357&amp;peakpower=1&amp;loss=14&amp;angle=40&amp;aspect=-165&amp;outputformat=json&amp;raddatabase=PVGIS-SARAH3&amp;pvtechchoice=crystSi&amp;mountingplace=free&amp;usehorizon=1</v>
      </c>
    </row>
    <row r="2484">
      <c r="A2484" t="n">
        <v>40</v>
      </c>
      <c r="B2484" t="n">
        <v>15</v>
      </c>
      <c r="C2484" t="n">
        <v>3</v>
      </c>
      <c r="D2484" s="218" t="n">
        <v>67.41</v>
      </c>
      <c r="E2484" s="218" t="n">
        <v>2.17</v>
      </c>
      <c r="F2484" t="str">
        <v>https://re.jrc.ec.europa.eu/api/v5_3/PVcalc?lat=30.0444&amp;lon=31.2357&amp;peakpower=1&amp;loss=14&amp;angle=40&amp;aspect=-165&amp;outputformat=json&amp;raddatabase=PVGIS-SARAH3&amp;pvtechchoice=crystSi&amp;mountingplace=free&amp;usehorizon=1</v>
      </c>
    </row>
    <row r="2485">
      <c r="A2485" t="n">
        <v>40</v>
      </c>
      <c r="B2485" t="n">
        <v>15</v>
      </c>
      <c r="C2485" t="n">
        <v>4</v>
      </c>
      <c r="D2485" s="218" t="n">
        <v>103.46</v>
      </c>
      <c r="E2485" s="218" t="n">
        <v>3.45</v>
      </c>
      <c r="F2485" t="str">
        <v>https://re.jrc.ec.europa.eu/api/v5_3/PVcalc?lat=30.0444&amp;lon=31.2357&amp;peakpower=1&amp;loss=14&amp;angle=40&amp;aspect=-165&amp;outputformat=json&amp;raddatabase=PVGIS-SARAH3&amp;pvtechchoice=crystSi&amp;mountingplace=free&amp;usehorizon=1</v>
      </c>
    </row>
    <row r="2486">
      <c r="A2486" t="n">
        <v>40</v>
      </c>
      <c r="B2486" t="n">
        <v>15</v>
      </c>
      <c r="C2486" t="n">
        <v>5</v>
      </c>
      <c r="D2486" s="218" t="n">
        <v>138.16</v>
      </c>
      <c r="E2486" s="218" t="n">
        <v>4.46</v>
      </c>
      <c r="F2486" t="str">
        <v>https://re.jrc.ec.europa.eu/api/v5_3/PVcalc?lat=30.0444&amp;lon=31.2357&amp;peakpower=1&amp;loss=14&amp;angle=40&amp;aspect=-165&amp;outputformat=json&amp;raddatabase=PVGIS-SARAH3&amp;pvtechchoice=crystSi&amp;mountingplace=free&amp;usehorizon=1</v>
      </c>
    </row>
    <row r="2487">
      <c r="A2487" t="n">
        <v>40</v>
      </c>
      <c r="B2487" t="n">
        <v>15</v>
      </c>
      <c r="C2487" t="n">
        <v>6</v>
      </c>
      <c r="D2487" s="218" t="n">
        <v>150.98</v>
      </c>
      <c r="E2487" s="218" t="n">
        <v>5.03</v>
      </c>
      <c r="F2487" t="str">
        <v>https://re.jrc.ec.europa.eu/api/v5_3/PVcalc?lat=30.0444&amp;lon=31.2357&amp;peakpower=1&amp;loss=14&amp;angle=40&amp;aspect=-165&amp;outputformat=json&amp;raddatabase=PVGIS-SARAH3&amp;pvtechchoice=crystSi&amp;mountingplace=free&amp;usehorizon=1</v>
      </c>
    </row>
    <row r="2488">
      <c r="A2488" t="n">
        <v>40</v>
      </c>
      <c r="B2488" t="n">
        <v>15</v>
      </c>
      <c r="C2488" t="n">
        <v>7</v>
      </c>
      <c r="D2488" s="218" t="n">
        <v>147.13</v>
      </c>
      <c r="E2488" s="218" t="n">
        <v>4.75</v>
      </c>
      <c r="F2488" t="str">
        <v>https://re.jrc.ec.europa.eu/api/v5_3/PVcalc?lat=30.0444&amp;lon=31.2357&amp;peakpower=1&amp;loss=14&amp;angle=40&amp;aspect=-165&amp;outputformat=json&amp;raddatabase=PVGIS-SARAH3&amp;pvtechchoice=crystSi&amp;mountingplace=free&amp;usehorizon=1</v>
      </c>
    </row>
    <row r="2489">
      <c r="A2489" t="n">
        <v>40</v>
      </c>
      <c r="B2489" t="n">
        <v>15</v>
      </c>
      <c r="C2489" t="n">
        <v>8</v>
      </c>
      <c r="D2489" s="218" t="n">
        <v>118.23</v>
      </c>
      <c r="E2489" s="218" t="n">
        <v>3.81</v>
      </c>
      <c r="F2489" t="str">
        <v>https://re.jrc.ec.europa.eu/api/v5_3/PVcalc?lat=30.0444&amp;lon=31.2357&amp;peakpower=1&amp;loss=14&amp;angle=40&amp;aspect=-165&amp;outputformat=json&amp;raddatabase=PVGIS-SARAH3&amp;pvtechchoice=crystSi&amp;mountingplace=free&amp;usehorizon=1</v>
      </c>
    </row>
    <row r="2490">
      <c r="A2490" t="n">
        <v>40</v>
      </c>
      <c r="B2490" t="n">
        <v>15</v>
      </c>
      <c r="C2490" t="n">
        <v>9</v>
      </c>
      <c r="D2490" s="218" t="n">
        <v>76.43</v>
      </c>
      <c r="E2490" s="218" t="n">
        <v>2.55</v>
      </c>
      <c r="F2490" t="str">
        <v>https://re.jrc.ec.europa.eu/api/v5_3/PVcalc?lat=30.0444&amp;lon=31.2357&amp;peakpower=1&amp;loss=14&amp;angle=40&amp;aspect=-165&amp;outputformat=json&amp;raddatabase=PVGIS-SARAH3&amp;pvtechchoice=crystSi&amp;mountingplace=free&amp;usehorizon=1</v>
      </c>
    </row>
    <row r="2491">
      <c r="A2491" t="n">
        <v>40</v>
      </c>
      <c r="B2491" t="n">
        <v>15</v>
      </c>
      <c r="C2491" t="n">
        <v>10</v>
      </c>
      <c r="D2491" s="218" t="n">
        <v>42.53</v>
      </c>
      <c r="E2491" s="218" t="n">
        <v>1.37</v>
      </c>
      <c r="F2491" t="str">
        <v>https://re.jrc.ec.europa.eu/api/v5_3/PVcalc?lat=30.0444&amp;lon=31.2357&amp;peakpower=1&amp;loss=14&amp;angle=40&amp;aspect=-165&amp;outputformat=json&amp;raddatabase=PVGIS-SARAH3&amp;pvtechchoice=crystSi&amp;mountingplace=free&amp;usehorizon=1</v>
      </c>
    </row>
    <row r="2492">
      <c r="A2492" t="n">
        <v>40</v>
      </c>
      <c r="B2492" t="n">
        <v>15</v>
      </c>
      <c r="C2492" t="n">
        <v>11</v>
      </c>
      <c r="D2492" s="218" t="n">
        <v>21.96</v>
      </c>
      <c r="E2492" s="218" t="n">
        <v>0.73</v>
      </c>
      <c r="F2492" t="str">
        <v>https://re.jrc.ec.europa.eu/api/v5_3/PVcalc?lat=30.0444&amp;lon=31.2357&amp;peakpower=1&amp;loss=14&amp;angle=40&amp;aspect=-165&amp;outputformat=json&amp;raddatabase=PVGIS-SARAH3&amp;pvtechchoice=crystSi&amp;mountingplace=free&amp;usehorizon=1</v>
      </c>
    </row>
    <row r="2493">
      <c r="A2493" t="n">
        <v>40</v>
      </c>
      <c r="B2493" t="n">
        <v>15</v>
      </c>
      <c r="C2493" t="n">
        <v>12</v>
      </c>
      <c r="D2493" s="218" t="n">
        <v>21.59</v>
      </c>
      <c r="E2493" s="218" t="n">
        <v>0.7</v>
      </c>
      <c r="F2493" t="str">
        <v>https://re.jrc.ec.europa.eu/api/v5_3/PVcalc?lat=30.0444&amp;lon=31.2357&amp;peakpower=1&amp;loss=14&amp;angle=40&amp;aspect=-165&amp;outputformat=json&amp;raddatabase=PVGIS-SARAH3&amp;pvtechchoice=crystSi&amp;mountingplace=free&amp;usehorizon=1</v>
      </c>
    </row>
    <row r="2494">
      <c r="A2494" t="n">
        <v>40</v>
      </c>
      <c r="B2494" t="n">
        <v>30</v>
      </c>
      <c r="C2494" t="n">
        <v>1</v>
      </c>
      <c r="D2494" s="218" t="n">
        <v>27.8</v>
      </c>
      <c r="E2494" s="218" t="n">
        <v>0.9</v>
      </c>
      <c r="F2494" t="str">
        <v>https://re.jrc.ec.europa.eu/api/v5_3/PVcalc?lat=30.0444&amp;lon=31.2357&amp;peakpower=1&amp;loss=14&amp;angle=40&amp;aspect=-150&amp;outputformat=json&amp;raddatabase=PVGIS-SARAH3&amp;pvtechchoice=crystSi&amp;mountingplace=free&amp;usehorizon=1</v>
      </c>
    </row>
    <row r="2495">
      <c r="A2495" t="n">
        <v>40</v>
      </c>
      <c r="B2495" t="n">
        <v>30</v>
      </c>
      <c r="C2495" t="n">
        <v>2</v>
      </c>
      <c r="D2495" s="218" t="n">
        <v>43.1</v>
      </c>
      <c r="E2495" s="218" t="n">
        <v>1.54</v>
      </c>
      <c r="F2495" t="str">
        <v>https://re.jrc.ec.europa.eu/api/v5_3/PVcalc?lat=30.0444&amp;lon=31.2357&amp;peakpower=1&amp;loss=14&amp;angle=40&amp;aspect=-150&amp;outputformat=json&amp;raddatabase=PVGIS-SARAH3&amp;pvtechchoice=crystSi&amp;mountingplace=free&amp;usehorizon=1</v>
      </c>
    </row>
    <row r="2496">
      <c r="A2496" t="n">
        <v>40</v>
      </c>
      <c r="B2496" t="n">
        <v>30</v>
      </c>
      <c r="C2496" t="n">
        <v>3</v>
      </c>
      <c r="D2496" s="218" t="n">
        <v>77.15</v>
      </c>
      <c r="E2496" s="218" t="n">
        <v>2.49</v>
      </c>
      <c r="F2496" t="str">
        <v>https://re.jrc.ec.europa.eu/api/v5_3/PVcalc?lat=30.0444&amp;lon=31.2357&amp;peakpower=1&amp;loss=14&amp;angle=40&amp;aspect=-150&amp;outputformat=json&amp;raddatabase=PVGIS-SARAH3&amp;pvtechchoice=crystSi&amp;mountingplace=free&amp;usehorizon=1</v>
      </c>
    </row>
    <row r="2497">
      <c r="A2497" t="n">
        <v>40</v>
      </c>
      <c r="B2497" t="n">
        <v>30</v>
      </c>
      <c r="C2497" t="n">
        <v>4</v>
      </c>
      <c r="D2497" s="218" t="n">
        <v>107.1</v>
      </c>
      <c r="E2497" s="218" t="n">
        <v>3.57</v>
      </c>
      <c r="F2497" t="str">
        <v>https://re.jrc.ec.europa.eu/api/v5_3/PVcalc?lat=30.0444&amp;lon=31.2357&amp;peakpower=1&amp;loss=14&amp;angle=40&amp;aspect=-150&amp;outputformat=json&amp;raddatabase=PVGIS-SARAH3&amp;pvtechchoice=crystSi&amp;mountingplace=free&amp;usehorizon=1</v>
      </c>
    </row>
    <row r="2498">
      <c r="A2498" t="n">
        <v>40</v>
      </c>
      <c r="B2498" t="n">
        <v>30</v>
      </c>
      <c r="C2498" t="n">
        <v>5</v>
      </c>
      <c r="D2498" s="218" t="n">
        <v>137.57</v>
      </c>
      <c r="E2498" s="218" t="n">
        <v>4.44</v>
      </c>
      <c r="F2498" t="str">
        <v>https://re.jrc.ec.europa.eu/api/v5_3/PVcalc?lat=30.0444&amp;lon=31.2357&amp;peakpower=1&amp;loss=14&amp;angle=40&amp;aspect=-150&amp;outputformat=json&amp;raddatabase=PVGIS-SARAH3&amp;pvtechchoice=crystSi&amp;mountingplace=free&amp;usehorizon=1</v>
      </c>
    </row>
    <row r="2499">
      <c r="A2499" t="n">
        <v>40</v>
      </c>
      <c r="B2499" t="n">
        <v>30</v>
      </c>
      <c r="C2499" t="n">
        <v>6</v>
      </c>
      <c r="D2499" s="218" t="n">
        <v>147.77</v>
      </c>
      <c r="E2499" s="218" t="n">
        <v>4.93</v>
      </c>
      <c r="F2499" t="str">
        <v>https://re.jrc.ec.europa.eu/api/v5_3/PVcalc?lat=30.0444&amp;lon=31.2357&amp;peakpower=1&amp;loss=14&amp;angle=40&amp;aspect=-150&amp;outputformat=json&amp;raddatabase=PVGIS-SARAH3&amp;pvtechchoice=crystSi&amp;mountingplace=free&amp;usehorizon=1</v>
      </c>
    </row>
    <row r="2500">
      <c r="A2500" t="n">
        <v>40</v>
      </c>
      <c r="B2500" t="n">
        <v>30</v>
      </c>
      <c r="C2500" t="n">
        <v>7</v>
      </c>
      <c r="D2500" s="218" t="n">
        <v>144.15</v>
      </c>
      <c r="E2500" s="218" t="n">
        <v>4.65</v>
      </c>
      <c r="F2500" t="str">
        <v>https://re.jrc.ec.europa.eu/api/v5_3/PVcalc?lat=30.0444&amp;lon=31.2357&amp;peakpower=1&amp;loss=14&amp;angle=40&amp;aspect=-150&amp;outputformat=json&amp;raddatabase=PVGIS-SARAH3&amp;pvtechchoice=crystSi&amp;mountingplace=free&amp;usehorizon=1</v>
      </c>
    </row>
    <row r="2501">
      <c r="A2501" t="n">
        <v>40</v>
      </c>
      <c r="B2501" t="n">
        <v>30</v>
      </c>
      <c r="C2501" t="n">
        <v>8</v>
      </c>
      <c r="D2501" s="218" t="n">
        <v>119.67</v>
      </c>
      <c r="E2501" s="218" t="n">
        <v>3.86</v>
      </c>
      <c r="F2501" t="str">
        <v>https://re.jrc.ec.europa.eu/api/v5_3/PVcalc?lat=30.0444&amp;lon=31.2357&amp;peakpower=1&amp;loss=14&amp;angle=40&amp;aspect=-150&amp;outputformat=json&amp;raddatabase=PVGIS-SARAH3&amp;pvtechchoice=crystSi&amp;mountingplace=free&amp;usehorizon=1</v>
      </c>
    </row>
    <row r="2502">
      <c r="A2502" t="n">
        <v>40</v>
      </c>
      <c r="B2502" t="n">
        <v>30</v>
      </c>
      <c r="C2502" t="n">
        <v>9</v>
      </c>
      <c r="D2502" s="218" t="n">
        <v>83.79</v>
      </c>
      <c r="E2502" s="218" t="n">
        <v>2.79</v>
      </c>
      <c r="F2502" t="str">
        <v>https://re.jrc.ec.europa.eu/api/v5_3/PVcalc?lat=30.0444&amp;lon=31.2357&amp;peakpower=1&amp;loss=14&amp;angle=40&amp;aspect=-150&amp;outputformat=json&amp;raddatabase=PVGIS-SARAH3&amp;pvtechchoice=crystSi&amp;mountingplace=free&amp;usehorizon=1</v>
      </c>
    </row>
    <row r="2503">
      <c r="A2503" t="n">
        <v>40</v>
      </c>
      <c r="B2503" t="n">
        <v>30</v>
      </c>
      <c r="C2503" t="n">
        <v>10</v>
      </c>
      <c r="D2503" s="218" t="n">
        <v>54.13</v>
      </c>
      <c r="E2503" s="218" t="n">
        <v>1.75</v>
      </c>
      <c r="F2503" t="str">
        <v>https://re.jrc.ec.europa.eu/api/v5_3/PVcalc?lat=30.0444&amp;lon=31.2357&amp;peakpower=1&amp;loss=14&amp;angle=40&amp;aspect=-150&amp;outputformat=json&amp;raddatabase=PVGIS-SARAH3&amp;pvtechchoice=crystSi&amp;mountingplace=free&amp;usehorizon=1</v>
      </c>
    </row>
    <row r="2504">
      <c r="A2504" t="n">
        <v>40</v>
      </c>
      <c r="B2504" t="n">
        <v>30</v>
      </c>
      <c r="C2504" t="n">
        <v>11</v>
      </c>
      <c r="D2504" s="218" t="n">
        <v>30.2</v>
      </c>
      <c r="E2504" s="218" t="n">
        <v>1.01</v>
      </c>
      <c r="F2504" t="str">
        <v>https://re.jrc.ec.europa.eu/api/v5_3/PVcalc?lat=30.0444&amp;lon=31.2357&amp;peakpower=1&amp;loss=14&amp;angle=40&amp;aspect=-150&amp;outputformat=json&amp;raddatabase=PVGIS-SARAH3&amp;pvtechchoice=crystSi&amp;mountingplace=free&amp;usehorizon=1</v>
      </c>
    </row>
    <row r="2505">
      <c r="A2505" t="n">
        <v>40</v>
      </c>
      <c r="B2505" t="n">
        <v>30</v>
      </c>
      <c r="C2505" t="n">
        <v>12</v>
      </c>
      <c r="D2505" s="218" t="n">
        <v>23.76</v>
      </c>
      <c r="E2505" s="218" t="n">
        <v>0.77</v>
      </c>
      <c r="F2505" t="str">
        <v>https://re.jrc.ec.europa.eu/api/v5_3/PVcalc?lat=30.0444&amp;lon=31.2357&amp;peakpower=1&amp;loss=14&amp;angle=40&amp;aspect=-150&amp;outputformat=json&amp;raddatabase=PVGIS-SARAH3&amp;pvtechchoice=crystSi&amp;mountingplace=free&amp;usehorizon=1</v>
      </c>
    </row>
    <row r="2506">
      <c r="A2506" t="n">
        <v>40</v>
      </c>
      <c r="B2506" t="n">
        <v>45</v>
      </c>
      <c r="C2506" t="n">
        <v>1</v>
      </c>
      <c r="D2506" s="218" t="n">
        <v>39.44</v>
      </c>
      <c r="E2506" s="218" t="n">
        <v>1.27</v>
      </c>
      <c r="F2506" t="str">
        <v>https://re.jrc.ec.europa.eu/api/v5_3/PVcalc?lat=30.0444&amp;lon=31.2357&amp;peakpower=1&amp;loss=14&amp;angle=40&amp;aspect=-135&amp;outputformat=json&amp;raddatabase=PVGIS-SARAH3&amp;pvtechchoice=crystSi&amp;mountingplace=free&amp;usehorizon=1</v>
      </c>
    </row>
    <row r="2507">
      <c r="A2507" t="n">
        <v>40</v>
      </c>
      <c r="B2507" t="n">
        <v>45</v>
      </c>
      <c r="C2507" t="n">
        <v>2</v>
      </c>
      <c r="D2507" s="218" t="n">
        <v>55.15</v>
      </c>
      <c r="E2507" s="218" t="n">
        <v>1.97</v>
      </c>
      <c r="F2507" t="str">
        <v>https://re.jrc.ec.europa.eu/api/v5_3/PVcalc?lat=30.0444&amp;lon=31.2357&amp;peakpower=1&amp;loss=14&amp;angle=40&amp;aspect=-135&amp;outputformat=json&amp;raddatabase=PVGIS-SARAH3&amp;pvtechchoice=crystSi&amp;mountingplace=free&amp;usehorizon=1</v>
      </c>
    </row>
    <row r="2508">
      <c r="A2508" t="n">
        <v>40</v>
      </c>
      <c r="B2508" t="n">
        <v>45</v>
      </c>
      <c r="C2508" t="n">
        <v>3</v>
      </c>
      <c r="D2508" s="218" t="n">
        <v>88.74</v>
      </c>
      <c r="E2508" s="218" t="n">
        <v>2.86</v>
      </c>
      <c r="F2508" t="str">
        <v>https://re.jrc.ec.europa.eu/api/v5_3/PVcalc?lat=30.0444&amp;lon=31.2357&amp;peakpower=1&amp;loss=14&amp;angle=40&amp;aspect=-135&amp;outputformat=json&amp;raddatabase=PVGIS-SARAH3&amp;pvtechchoice=crystSi&amp;mountingplace=free&amp;usehorizon=1</v>
      </c>
    </row>
    <row r="2509">
      <c r="A2509" t="n">
        <v>40</v>
      </c>
      <c r="B2509" t="n">
        <v>45</v>
      </c>
      <c r="C2509" t="n">
        <v>4</v>
      </c>
      <c r="D2509" s="218" t="n">
        <v>113.69</v>
      </c>
      <c r="E2509" s="218" t="n">
        <v>3.79</v>
      </c>
      <c r="F2509" t="str">
        <v>https://re.jrc.ec.europa.eu/api/v5_3/PVcalc?lat=30.0444&amp;lon=31.2357&amp;peakpower=1&amp;loss=14&amp;angle=40&amp;aspect=-135&amp;outputformat=json&amp;raddatabase=PVGIS-SARAH3&amp;pvtechchoice=crystSi&amp;mountingplace=free&amp;usehorizon=1</v>
      </c>
    </row>
    <row r="2510">
      <c r="A2510" t="n">
        <v>40</v>
      </c>
      <c r="B2510" t="n">
        <v>45</v>
      </c>
      <c r="C2510" t="n">
        <v>5</v>
      </c>
      <c r="D2510" s="218" t="n">
        <v>139.78</v>
      </c>
      <c r="E2510" s="218" t="n">
        <v>4.51</v>
      </c>
      <c r="F2510" t="str">
        <v>https://re.jrc.ec.europa.eu/api/v5_3/PVcalc?lat=30.0444&amp;lon=31.2357&amp;peakpower=1&amp;loss=14&amp;angle=40&amp;aspect=-135&amp;outputformat=json&amp;raddatabase=PVGIS-SARAH3&amp;pvtechchoice=crystSi&amp;mountingplace=free&amp;usehorizon=1</v>
      </c>
    </row>
    <row r="2511">
      <c r="A2511" t="n">
        <v>40</v>
      </c>
      <c r="B2511" t="n">
        <v>45</v>
      </c>
      <c r="C2511" t="n">
        <v>6</v>
      </c>
      <c r="D2511" s="218" t="n">
        <v>147.43</v>
      </c>
      <c r="E2511" s="218" t="n">
        <v>4.91</v>
      </c>
      <c r="F2511" t="str">
        <v>https://re.jrc.ec.europa.eu/api/v5_3/PVcalc?lat=30.0444&amp;lon=31.2357&amp;peakpower=1&amp;loss=14&amp;angle=40&amp;aspect=-135&amp;outputformat=json&amp;raddatabase=PVGIS-SARAH3&amp;pvtechchoice=crystSi&amp;mountingplace=free&amp;usehorizon=1</v>
      </c>
    </row>
    <row r="2512">
      <c r="A2512" t="n">
        <v>40</v>
      </c>
      <c r="B2512" t="n">
        <v>45</v>
      </c>
      <c r="C2512" t="n">
        <v>7</v>
      </c>
      <c r="D2512" s="218" t="n">
        <v>144.7</v>
      </c>
      <c r="E2512" s="218" t="n">
        <v>4.67</v>
      </c>
      <c r="F2512" t="str">
        <v>https://re.jrc.ec.europa.eu/api/v5_3/PVcalc?lat=30.0444&amp;lon=31.2357&amp;peakpower=1&amp;loss=14&amp;angle=40&amp;aspect=-135&amp;outputformat=json&amp;raddatabase=PVGIS-SARAH3&amp;pvtechchoice=crystSi&amp;mountingplace=free&amp;usehorizon=1</v>
      </c>
    </row>
    <row r="2513">
      <c r="A2513" t="n">
        <v>40</v>
      </c>
      <c r="B2513" t="n">
        <v>45</v>
      </c>
      <c r="C2513" t="n">
        <v>8</v>
      </c>
      <c r="D2513" s="218" t="n">
        <v>124.87</v>
      </c>
      <c r="E2513" s="218" t="n">
        <v>4.03</v>
      </c>
      <c r="F2513" t="str">
        <v>https://re.jrc.ec.europa.eu/api/v5_3/PVcalc?lat=30.0444&amp;lon=31.2357&amp;peakpower=1&amp;loss=14&amp;angle=40&amp;aspect=-135&amp;outputformat=json&amp;raddatabase=PVGIS-SARAH3&amp;pvtechchoice=crystSi&amp;mountingplace=free&amp;usehorizon=1</v>
      </c>
    </row>
    <row r="2514">
      <c r="A2514" t="n">
        <v>40</v>
      </c>
      <c r="B2514" t="n">
        <v>45</v>
      </c>
      <c r="C2514" t="n">
        <v>9</v>
      </c>
      <c r="D2514" s="218" t="n">
        <v>93.51</v>
      </c>
      <c r="E2514" s="218" t="n">
        <v>3.12</v>
      </c>
      <c r="F2514" t="str">
        <v>https://re.jrc.ec.europa.eu/api/v5_3/PVcalc?lat=30.0444&amp;lon=31.2357&amp;peakpower=1&amp;loss=14&amp;angle=40&amp;aspect=-135&amp;outputformat=json&amp;raddatabase=PVGIS-SARAH3&amp;pvtechchoice=crystSi&amp;mountingplace=free&amp;usehorizon=1</v>
      </c>
    </row>
    <row r="2515">
      <c r="A2515" t="n">
        <v>40</v>
      </c>
      <c r="B2515" t="n">
        <v>45</v>
      </c>
      <c r="C2515" t="n">
        <v>10</v>
      </c>
      <c r="D2515" s="218" t="n">
        <v>67.59</v>
      </c>
      <c r="E2515" s="218" t="n">
        <v>2.18</v>
      </c>
      <c r="F2515" t="str">
        <v>https://re.jrc.ec.europa.eu/api/v5_3/PVcalc?lat=30.0444&amp;lon=31.2357&amp;peakpower=1&amp;loss=14&amp;angle=40&amp;aspect=-135&amp;outputformat=json&amp;raddatabase=PVGIS-SARAH3&amp;pvtechchoice=crystSi&amp;mountingplace=free&amp;usehorizon=1</v>
      </c>
    </row>
    <row r="2516">
      <c r="A2516" t="n">
        <v>40</v>
      </c>
      <c r="B2516" t="n">
        <v>45</v>
      </c>
      <c r="C2516" t="n">
        <v>11</v>
      </c>
      <c r="D2516" s="218" t="n">
        <v>43.11</v>
      </c>
      <c r="E2516" s="218" t="n">
        <v>1.44</v>
      </c>
      <c r="F2516" t="str">
        <v>https://re.jrc.ec.europa.eu/api/v5_3/PVcalc?lat=30.0444&amp;lon=31.2357&amp;peakpower=1&amp;loss=14&amp;angle=40&amp;aspect=-135&amp;outputformat=json&amp;raddatabase=PVGIS-SARAH3&amp;pvtechchoice=crystSi&amp;mountingplace=free&amp;usehorizon=1</v>
      </c>
    </row>
    <row r="2517">
      <c r="A2517" t="n">
        <v>40</v>
      </c>
      <c r="B2517" t="n">
        <v>45</v>
      </c>
      <c r="C2517" t="n">
        <v>12</v>
      </c>
      <c r="D2517" s="218" t="n">
        <v>34.23</v>
      </c>
      <c r="E2517" s="218" t="n">
        <v>1.1</v>
      </c>
      <c r="F2517" t="str">
        <v>https://re.jrc.ec.europa.eu/api/v5_3/PVcalc?lat=30.0444&amp;lon=31.2357&amp;peakpower=1&amp;loss=14&amp;angle=40&amp;aspect=-135&amp;outputformat=json&amp;raddatabase=PVGIS-SARAH3&amp;pvtechchoice=crystSi&amp;mountingplace=free&amp;usehorizon=1</v>
      </c>
    </row>
    <row r="2518">
      <c r="A2518" t="n">
        <v>40</v>
      </c>
      <c r="B2518" t="n">
        <v>60</v>
      </c>
      <c r="C2518" t="n">
        <v>1</v>
      </c>
      <c r="D2518" s="218" t="n">
        <v>53.12</v>
      </c>
      <c r="E2518" s="218" t="n">
        <v>1.71</v>
      </c>
      <c r="F2518" t="str">
        <v>https://re.jrc.ec.europa.eu/api/v5_3/PVcalc?lat=30.0444&amp;lon=31.2357&amp;peakpower=1&amp;loss=14&amp;angle=40&amp;aspect=-120&amp;outputformat=json&amp;raddatabase=PVGIS-SARAH3&amp;pvtechchoice=crystSi&amp;mountingplace=free&amp;usehorizon=1</v>
      </c>
    </row>
    <row r="2519">
      <c r="A2519" t="n">
        <v>40</v>
      </c>
      <c r="B2519" t="n">
        <v>60</v>
      </c>
      <c r="C2519" t="n">
        <v>2</v>
      </c>
      <c r="D2519" s="218" t="n">
        <v>67.61</v>
      </c>
      <c r="E2519" s="218" t="n">
        <v>2.41</v>
      </c>
      <c r="F2519" t="str">
        <v>https://re.jrc.ec.europa.eu/api/v5_3/PVcalc?lat=30.0444&amp;lon=31.2357&amp;peakpower=1&amp;loss=14&amp;angle=40&amp;aspect=-120&amp;outputformat=json&amp;raddatabase=PVGIS-SARAH3&amp;pvtechchoice=crystSi&amp;mountingplace=free&amp;usehorizon=1</v>
      </c>
    </row>
    <row r="2520">
      <c r="A2520" t="n">
        <v>40</v>
      </c>
      <c r="B2520" t="n">
        <v>60</v>
      </c>
      <c r="C2520" t="n">
        <v>3</v>
      </c>
      <c r="D2520" s="218" t="n">
        <v>100.64</v>
      </c>
      <c r="E2520" s="218" t="n">
        <v>3.25</v>
      </c>
      <c r="F2520" t="str">
        <v>https://re.jrc.ec.europa.eu/api/v5_3/PVcalc?lat=30.0444&amp;lon=31.2357&amp;peakpower=1&amp;loss=14&amp;angle=40&amp;aspect=-120&amp;outputformat=json&amp;raddatabase=PVGIS-SARAH3&amp;pvtechchoice=crystSi&amp;mountingplace=free&amp;usehorizon=1</v>
      </c>
    </row>
    <row r="2521">
      <c r="A2521" t="n">
        <v>40</v>
      </c>
      <c r="B2521" t="n">
        <v>60</v>
      </c>
      <c r="C2521" t="n">
        <v>4</v>
      </c>
      <c r="D2521" s="218" t="n">
        <v>121.01</v>
      </c>
      <c r="E2521" s="218" t="n">
        <v>4.03</v>
      </c>
      <c r="F2521" t="str">
        <v>https://re.jrc.ec.europa.eu/api/v5_3/PVcalc?lat=30.0444&amp;lon=31.2357&amp;peakpower=1&amp;loss=14&amp;angle=40&amp;aspect=-120&amp;outputformat=json&amp;raddatabase=PVGIS-SARAH3&amp;pvtechchoice=crystSi&amp;mountingplace=free&amp;usehorizon=1</v>
      </c>
    </row>
    <row r="2522">
      <c r="A2522" t="n">
        <v>40</v>
      </c>
      <c r="B2522" t="n">
        <v>60</v>
      </c>
      <c r="C2522" t="n">
        <v>5</v>
      </c>
      <c r="D2522" s="218" t="n">
        <v>143.8</v>
      </c>
      <c r="E2522" s="218" t="n">
        <v>4.64</v>
      </c>
      <c r="F2522" t="str">
        <v>https://re.jrc.ec.europa.eu/api/v5_3/PVcalc?lat=30.0444&amp;lon=31.2357&amp;peakpower=1&amp;loss=14&amp;angle=40&amp;aspect=-120&amp;outputformat=json&amp;raddatabase=PVGIS-SARAH3&amp;pvtechchoice=crystSi&amp;mountingplace=free&amp;usehorizon=1</v>
      </c>
    </row>
    <row r="2523">
      <c r="A2523" t="n">
        <v>40</v>
      </c>
      <c r="B2523" t="n">
        <v>60</v>
      </c>
      <c r="C2523" t="n">
        <v>6</v>
      </c>
      <c r="D2523" s="218" t="n">
        <v>148.5</v>
      </c>
      <c r="E2523" s="218" t="n">
        <v>4.95</v>
      </c>
      <c r="F2523" t="str">
        <v>https://re.jrc.ec.europa.eu/api/v5_3/PVcalc?lat=30.0444&amp;lon=31.2357&amp;peakpower=1&amp;loss=14&amp;angle=40&amp;aspect=-120&amp;outputformat=json&amp;raddatabase=PVGIS-SARAH3&amp;pvtechchoice=crystSi&amp;mountingplace=free&amp;usehorizon=1</v>
      </c>
    </row>
    <row r="2524">
      <c r="A2524" t="n">
        <v>40</v>
      </c>
      <c r="B2524" t="n">
        <v>60</v>
      </c>
      <c r="C2524" t="n">
        <v>7</v>
      </c>
      <c r="D2524" s="218" t="n">
        <v>146.99</v>
      </c>
      <c r="E2524" s="218" t="n">
        <v>4.74</v>
      </c>
      <c r="F2524" t="str">
        <v>https://re.jrc.ec.europa.eu/api/v5_3/PVcalc?lat=30.0444&amp;lon=31.2357&amp;peakpower=1&amp;loss=14&amp;angle=40&amp;aspect=-120&amp;outputformat=json&amp;raddatabase=PVGIS-SARAH3&amp;pvtechchoice=crystSi&amp;mountingplace=free&amp;usehorizon=1</v>
      </c>
    </row>
    <row r="2525">
      <c r="A2525" t="n">
        <v>40</v>
      </c>
      <c r="B2525" t="n">
        <v>60</v>
      </c>
      <c r="C2525" t="n">
        <v>8</v>
      </c>
      <c r="D2525" s="218" t="n">
        <v>131.24</v>
      </c>
      <c r="E2525" s="218" t="n">
        <v>4.23</v>
      </c>
      <c r="F2525" t="str">
        <v>https://re.jrc.ec.europa.eu/api/v5_3/PVcalc?lat=30.0444&amp;lon=31.2357&amp;peakpower=1&amp;loss=14&amp;angle=40&amp;aspect=-120&amp;outputformat=json&amp;raddatabase=PVGIS-SARAH3&amp;pvtechchoice=crystSi&amp;mountingplace=free&amp;usehorizon=1</v>
      </c>
    </row>
    <row r="2526">
      <c r="A2526" t="n">
        <v>40</v>
      </c>
      <c r="B2526" t="n">
        <v>60</v>
      </c>
      <c r="C2526" t="n">
        <v>9</v>
      </c>
      <c r="D2526" s="218" t="n">
        <v>103.97</v>
      </c>
      <c r="E2526" s="218" t="n">
        <v>3.47</v>
      </c>
      <c r="F2526" t="str">
        <v>https://re.jrc.ec.europa.eu/api/v5_3/PVcalc?lat=30.0444&amp;lon=31.2357&amp;peakpower=1&amp;loss=14&amp;angle=40&amp;aspect=-120&amp;outputformat=json&amp;raddatabase=PVGIS-SARAH3&amp;pvtechchoice=crystSi&amp;mountingplace=free&amp;usehorizon=1</v>
      </c>
    </row>
    <row r="2527">
      <c r="A2527" t="n">
        <v>40</v>
      </c>
      <c r="B2527" t="n">
        <v>60</v>
      </c>
      <c r="C2527" t="n">
        <v>10</v>
      </c>
      <c r="D2527" s="218" t="n">
        <v>81.45</v>
      </c>
      <c r="E2527" s="218" t="n">
        <v>2.63</v>
      </c>
      <c r="F2527" t="str">
        <v>https://re.jrc.ec.europa.eu/api/v5_3/PVcalc?lat=30.0444&amp;lon=31.2357&amp;peakpower=1&amp;loss=14&amp;angle=40&amp;aspect=-120&amp;outputformat=json&amp;raddatabase=PVGIS-SARAH3&amp;pvtechchoice=crystSi&amp;mountingplace=free&amp;usehorizon=1</v>
      </c>
    </row>
    <row r="2528">
      <c r="A2528" t="n">
        <v>40</v>
      </c>
      <c r="B2528" t="n">
        <v>60</v>
      </c>
      <c r="C2528" t="n">
        <v>11</v>
      </c>
      <c r="D2528" s="218" t="n">
        <v>57.1</v>
      </c>
      <c r="E2528" s="218" t="n">
        <v>1.9</v>
      </c>
      <c r="F2528" t="str">
        <v>https://re.jrc.ec.europa.eu/api/v5_3/PVcalc?lat=30.0444&amp;lon=31.2357&amp;peakpower=1&amp;loss=14&amp;angle=40&amp;aspect=-120&amp;outputformat=json&amp;raddatabase=PVGIS-SARAH3&amp;pvtechchoice=crystSi&amp;mountingplace=free&amp;usehorizon=1</v>
      </c>
    </row>
    <row r="2529">
      <c r="A2529" t="n">
        <v>40</v>
      </c>
      <c r="B2529" t="n">
        <v>60</v>
      </c>
      <c r="C2529" t="n">
        <v>12</v>
      </c>
      <c r="D2529" s="218" t="n">
        <v>47.98</v>
      </c>
      <c r="E2529" s="218" t="n">
        <v>1.55</v>
      </c>
      <c r="F2529" t="str">
        <v>https://re.jrc.ec.europa.eu/api/v5_3/PVcalc?lat=30.0444&amp;lon=31.2357&amp;peakpower=1&amp;loss=14&amp;angle=40&amp;aspect=-120&amp;outputformat=json&amp;raddatabase=PVGIS-SARAH3&amp;pvtechchoice=crystSi&amp;mountingplace=free&amp;usehorizon=1</v>
      </c>
    </row>
    <row r="2530">
      <c r="A2530" t="n">
        <v>40</v>
      </c>
      <c r="B2530" t="n">
        <v>75</v>
      </c>
      <c r="C2530" t="n">
        <v>1</v>
      </c>
      <c r="D2530" s="218" t="n">
        <v>67.72</v>
      </c>
      <c r="E2530" s="218" t="n">
        <v>2.18</v>
      </c>
      <c r="F2530" t="str">
        <v>https://re.jrc.ec.europa.eu/api/v5_3/PVcalc?lat=30.0444&amp;lon=31.2357&amp;peakpower=1&amp;loss=14&amp;angle=40&amp;aspect=-105&amp;outputformat=json&amp;raddatabase=PVGIS-SARAH3&amp;pvtechchoice=crystSi&amp;mountingplace=free&amp;usehorizon=1</v>
      </c>
    </row>
    <row r="2531">
      <c r="A2531" t="n">
        <v>40</v>
      </c>
      <c r="B2531" t="n">
        <v>75</v>
      </c>
      <c r="C2531" t="n">
        <v>2</v>
      </c>
      <c r="D2531" s="218" t="n">
        <v>79.85</v>
      </c>
      <c r="E2531" s="218" t="n">
        <v>2.85</v>
      </c>
      <c r="F2531" t="str">
        <v>https://re.jrc.ec.europa.eu/api/v5_3/PVcalc?lat=30.0444&amp;lon=31.2357&amp;peakpower=1&amp;loss=14&amp;angle=40&amp;aspect=-105&amp;outputformat=json&amp;raddatabase=PVGIS-SARAH3&amp;pvtechchoice=crystSi&amp;mountingplace=free&amp;usehorizon=1</v>
      </c>
    </row>
    <row r="2532">
      <c r="A2532" t="n">
        <v>40</v>
      </c>
      <c r="B2532" t="n">
        <v>75</v>
      </c>
      <c r="C2532" t="n">
        <v>3</v>
      </c>
      <c r="D2532" s="218" t="n">
        <v>112.19</v>
      </c>
      <c r="E2532" s="218" t="n">
        <v>3.62</v>
      </c>
      <c r="F2532" t="str">
        <v>https://re.jrc.ec.europa.eu/api/v5_3/PVcalc?lat=30.0444&amp;lon=31.2357&amp;peakpower=1&amp;loss=14&amp;angle=40&amp;aspect=-105&amp;outputformat=json&amp;raddatabase=PVGIS-SARAH3&amp;pvtechchoice=crystSi&amp;mountingplace=free&amp;usehorizon=1</v>
      </c>
    </row>
    <row r="2533">
      <c r="A2533" t="n">
        <v>40</v>
      </c>
      <c r="B2533" t="n">
        <v>75</v>
      </c>
      <c r="C2533" t="n">
        <v>4</v>
      </c>
      <c r="D2533" s="218" t="n">
        <v>128.27</v>
      </c>
      <c r="E2533" s="218" t="n">
        <v>4.28</v>
      </c>
      <c r="F2533" t="str">
        <v>https://re.jrc.ec.europa.eu/api/v5_3/PVcalc?lat=30.0444&amp;lon=31.2357&amp;peakpower=1&amp;loss=14&amp;angle=40&amp;aspect=-105&amp;outputformat=json&amp;raddatabase=PVGIS-SARAH3&amp;pvtechchoice=crystSi&amp;mountingplace=free&amp;usehorizon=1</v>
      </c>
    </row>
    <row r="2534">
      <c r="A2534" t="n">
        <v>40</v>
      </c>
      <c r="B2534" t="n">
        <v>75</v>
      </c>
      <c r="C2534" t="n">
        <v>5</v>
      </c>
      <c r="D2534" s="218" t="n">
        <v>147.2</v>
      </c>
      <c r="E2534" s="218" t="n">
        <v>4.75</v>
      </c>
      <c r="F2534" t="str">
        <v>https://re.jrc.ec.europa.eu/api/v5_3/PVcalc?lat=30.0444&amp;lon=31.2357&amp;peakpower=1&amp;loss=14&amp;angle=40&amp;aspect=-105&amp;outputformat=json&amp;raddatabase=PVGIS-SARAH3&amp;pvtechchoice=crystSi&amp;mountingplace=free&amp;usehorizon=1</v>
      </c>
    </row>
    <row r="2535">
      <c r="A2535" t="n">
        <v>40</v>
      </c>
      <c r="B2535" t="n">
        <v>75</v>
      </c>
      <c r="C2535" t="n">
        <v>6</v>
      </c>
      <c r="D2535" s="218" t="n">
        <v>150.55</v>
      </c>
      <c r="E2535" s="218" t="n">
        <v>5.02</v>
      </c>
      <c r="F2535" t="str">
        <v>https://re.jrc.ec.europa.eu/api/v5_3/PVcalc?lat=30.0444&amp;lon=31.2357&amp;peakpower=1&amp;loss=14&amp;angle=40&amp;aspect=-105&amp;outputformat=json&amp;raddatabase=PVGIS-SARAH3&amp;pvtechchoice=crystSi&amp;mountingplace=free&amp;usehorizon=1</v>
      </c>
    </row>
    <row r="2536">
      <c r="A2536" t="n">
        <v>40</v>
      </c>
      <c r="B2536" t="n">
        <v>75</v>
      </c>
      <c r="C2536" t="n">
        <v>7</v>
      </c>
      <c r="D2536" s="218" t="n">
        <v>149.9</v>
      </c>
      <c r="E2536" s="218" t="n">
        <v>4.84</v>
      </c>
      <c r="F2536" t="str">
        <v>https://re.jrc.ec.europa.eu/api/v5_3/PVcalc?lat=30.0444&amp;lon=31.2357&amp;peakpower=1&amp;loss=14&amp;angle=40&amp;aspect=-105&amp;outputformat=json&amp;raddatabase=PVGIS-SARAH3&amp;pvtechchoice=crystSi&amp;mountingplace=free&amp;usehorizon=1</v>
      </c>
    </row>
    <row r="2537">
      <c r="A2537" t="n">
        <v>40</v>
      </c>
      <c r="B2537" t="n">
        <v>75</v>
      </c>
      <c r="C2537" t="n">
        <v>8</v>
      </c>
      <c r="D2537" s="218" t="n">
        <v>137.32</v>
      </c>
      <c r="E2537" s="218" t="n">
        <v>4.43</v>
      </c>
      <c r="F2537" t="str">
        <v>https://re.jrc.ec.europa.eu/api/v5_3/PVcalc?lat=30.0444&amp;lon=31.2357&amp;peakpower=1&amp;loss=14&amp;angle=40&amp;aspect=-105&amp;outputformat=json&amp;raddatabase=PVGIS-SARAH3&amp;pvtechchoice=crystSi&amp;mountingplace=free&amp;usehorizon=1</v>
      </c>
    </row>
    <row r="2538">
      <c r="A2538" t="n">
        <v>40</v>
      </c>
      <c r="B2538" t="n">
        <v>75</v>
      </c>
      <c r="C2538" t="n">
        <v>9</v>
      </c>
      <c r="D2538" s="218" t="n">
        <v>114.22</v>
      </c>
      <c r="E2538" s="218" t="n">
        <v>3.81</v>
      </c>
      <c r="F2538" t="str">
        <v>https://re.jrc.ec.europa.eu/api/v5_3/PVcalc?lat=30.0444&amp;lon=31.2357&amp;peakpower=1&amp;loss=14&amp;angle=40&amp;aspect=-105&amp;outputformat=json&amp;raddatabase=PVGIS-SARAH3&amp;pvtechchoice=crystSi&amp;mountingplace=free&amp;usehorizon=1</v>
      </c>
    </row>
    <row r="2539">
      <c r="A2539" t="n">
        <v>40</v>
      </c>
      <c r="B2539" t="n">
        <v>75</v>
      </c>
      <c r="C2539" t="n">
        <v>10</v>
      </c>
      <c r="D2539" s="218" t="n">
        <v>94.94</v>
      </c>
      <c r="E2539" s="218" t="n">
        <v>3.06</v>
      </c>
      <c r="F2539" t="str">
        <v>https://re.jrc.ec.europa.eu/api/v5_3/PVcalc?lat=30.0444&amp;lon=31.2357&amp;peakpower=1&amp;loss=14&amp;angle=40&amp;aspect=-105&amp;outputformat=json&amp;raddatabase=PVGIS-SARAH3&amp;pvtechchoice=crystSi&amp;mountingplace=free&amp;usehorizon=1</v>
      </c>
    </row>
    <row r="2540">
      <c r="A2540" t="n">
        <v>40</v>
      </c>
      <c r="B2540" t="n">
        <v>75</v>
      </c>
      <c r="C2540" t="n">
        <v>11</v>
      </c>
      <c r="D2540" s="218" t="n">
        <v>72.32</v>
      </c>
      <c r="E2540" s="218" t="n">
        <v>2.41</v>
      </c>
      <c r="F2540" t="str">
        <v>https://re.jrc.ec.europa.eu/api/v5_3/PVcalc?lat=30.0444&amp;lon=31.2357&amp;peakpower=1&amp;loss=14&amp;angle=40&amp;aspect=-105&amp;outputformat=json&amp;raddatabase=PVGIS-SARAH3&amp;pvtechchoice=crystSi&amp;mountingplace=free&amp;usehorizon=1</v>
      </c>
    </row>
    <row r="2541">
      <c r="A2541" t="n">
        <v>40</v>
      </c>
      <c r="B2541" t="n">
        <v>75</v>
      </c>
      <c r="C2541" t="n">
        <v>12</v>
      </c>
      <c r="D2541" s="218" t="n">
        <v>63.35</v>
      </c>
      <c r="E2541" s="218" t="n">
        <v>2.04</v>
      </c>
      <c r="F2541" t="str">
        <v>https://re.jrc.ec.europa.eu/api/v5_3/PVcalc?lat=30.0444&amp;lon=31.2357&amp;peakpower=1&amp;loss=14&amp;angle=40&amp;aspect=-105&amp;outputformat=json&amp;raddatabase=PVGIS-SARAH3&amp;pvtechchoice=crystSi&amp;mountingplace=free&amp;usehorizon=1</v>
      </c>
    </row>
    <row r="2542">
      <c r="A2542" t="n">
        <v>40</v>
      </c>
      <c r="B2542" t="n">
        <v>90</v>
      </c>
      <c r="C2542" t="n">
        <v>1</v>
      </c>
      <c r="D2542" s="218" t="n">
        <v>81.98</v>
      </c>
      <c r="E2542" s="218" t="n">
        <v>2.64</v>
      </c>
      <c r="F2542" t="str">
        <v>https://re.jrc.ec.europa.eu/api/v5_3/PVcalc?lat=30.0444&amp;lon=31.2357&amp;peakpower=1&amp;loss=14&amp;angle=40&amp;aspect=-90&amp;outputformat=json&amp;raddatabase=PVGIS-SARAH3&amp;pvtechchoice=crystSi&amp;mountingplace=free&amp;usehorizon=1</v>
      </c>
    </row>
    <row r="2543">
      <c r="A2543" t="n">
        <v>40</v>
      </c>
      <c r="B2543" t="n">
        <v>90</v>
      </c>
      <c r="C2543" t="n">
        <v>2</v>
      </c>
      <c r="D2543" s="218" t="n">
        <v>91.91</v>
      </c>
      <c r="E2543" s="218" t="n">
        <v>3.28</v>
      </c>
      <c r="F2543" t="str">
        <v>https://re.jrc.ec.europa.eu/api/v5_3/PVcalc?lat=30.0444&amp;lon=31.2357&amp;peakpower=1&amp;loss=14&amp;angle=40&amp;aspect=-90&amp;outputformat=json&amp;raddatabase=PVGIS-SARAH3&amp;pvtechchoice=crystSi&amp;mountingplace=free&amp;usehorizon=1</v>
      </c>
    </row>
    <row r="2544">
      <c r="A2544" t="n">
        <v>40</v>
      </c>
      <c r="B2544" t="n">
        <v>90</v>
      </c>
      <c r="C2544" t="n">
        <v>3</v>
      </c>
      <c r="D2544" s="218" t="n">
        <v>122.82</v>
      </c>
      <c r="E2544" s="218" t="n">
        <v>3.96</v>
      </c>
      <c r="F2544" t="str">
        <v>https://re.jrc.ec.europa.eu/api/v5_3/PVcalc?lat=30.0444&amp;lon=31.2357&amp;peakpower=1&amp;loss=14&amp;angle=40&amp;aspect=-90&amp;outputformat=json&amp;raddatabase=PVGIS-SARAH3&amp;pvtechchoice=crystSi&amp;mountingplace=free&amp;usehorizon=1</v>
      </c>
    </row>
    <row r="2545">
      <c r="A2545" t="n">
        <v>40</v>
      </c>
      <c r="B2545" t="n">
        <v>90</v>
      </c>
      <c r="C2545" t="n">
        <v>4</v>
      </c>
      <c r="D2545" s="218" t="n">
        <v>134.46</v>
      </c>
      <c r="E2545" s="218" t="n">
        <v>4.48</v>
      </c>
      <c r="F2545" t="str">
        <v>https://re.jrc.ec.europa.eu/api/v5_3/PVcalc?lat=30.0444&amp;lon=31.2357&amp;peakpower=1&amp;loss=14&amp;angle=40&amp;aspect=-90&amp;outputformat=json&amp;raddatabase=PVGIS-SARAH3&amp;pvtechchoice=crystSi&amp;mountingplace=free&amp;usehorizon=1</v>
      </c>
    </row>
    <row r="2546">
      <c r="A2546" t="n">
        <v>40</v>
      </c>
      <c r="B2546" t="n">
        <v>90</v>
      </c>
      <c r="C2546" t="n">
        <v>5</v>
      </c>
      <c r="D2546" s="218" t="n">
        <v>149.97</v>
      </c>
      <c r="E2546" s="218" t="n">
        <v>4.84</v>
      </c>
      <c r="F2546" t="str">
        <v>https://re.jrc.ec.europa.eu/api/v5_3/PVcalc?lat=30.0444&amp;lon=31.2357&amp;peakpower=1&amp;loss=14&amp;angle=40&amp;aspect=-90&amp;outputformat=json&amp;raddatabase=PVGIS-SARAH3&amp;pvtechchoice=crystSi&amp;mountingplace=free&amp;usehorizon=1</v>
      </c>
    </row>
    <row r="2547">
      <c r="A2547" t="n">
        <v>40</v>
      </c>
      <c r="B2547" t="n">
        <v>90</v>
      </c>
      <c r="C2547" t="n">
        <v>6</v>
      </c>
      <c r="D2547" s="218" t="n">
        <v>151.36</v>
      </c>
      <c r="E2547" s="218" t="n">
        <v>5.05</v>
      </c>
      <c r="F2547" t="str">
        <v>https://re.jrc.ec.europa.eu/api/v5_3/PVcalc?lat=30.0444&amp;lon=31.2357&amp;peakpower=1&amp;loss=14&amp;angle=40&amp;aspect=-90&amp;outputformat=json&amp;raddatabase=PVGIS-SARAH3&amp;pvtechchoice=crystSi&amp;mountingplace=free&amp;usehorizon=1</v>
      </c>
    </row>
    <row r="2548">
      <c r="A2548" t="n">
        <v>40</v>
      </c>
      <c r="B2548" t="n">
        <v>90</v>
      </c>
      <c r="C2548" t="n">
        <v>7</v>
      </c>
      <c r="D2548" s="218" t="n">
        <v>151.79</v>
      </c>
      <c r="E2548" s="218" t="n">
        <v>4.9</v>
      </c>
      <c r="F2548" t="str">
        <v>https://re.jrc.ec.europa.eu/api/v5_3/PVcalc?lat=30.0444&amp;lon=31.2357&amp;peakpower=1&amp;loss=14&amp;angle=40&amp;aspect=-90&amp;outputformat=json&amp;raddatabase=PVGIS-SARAH3&amp;pvtechchoice=crystSi&amp;mountingplace=free&amp;usehorizon=1</v>
      </c>
    </row>
    <row r="2549">
      <c r="A2549" t="n">
        <v>40</v>
      </c>
      <c r="B2549" t="n">
        <v>90</v>
      </c>
      <c r="C2549" t="n">
        <v>8</v>
      </c>
      <c r="D2549" s="218" t="n">
        <v>142.73</v>
      </c>
      <c r="E2549" s="218" t="n">
        <v>4.6</v>
      </c>
      <c r="F2549" t="str">
        <v>https://re.jrc.ec.europa.eu/api/v5_3/PVcalc?lat=30.0444&amp;lon=31.2357&amp;peakpower=1&amp;loss=14&amp;angle=40&amp;aspect=-90&amp;outputformat=json&amp;raddatabase=PVGIS-SARAH3&amp;pvtechchoice=crystSi&amp;mountingplace=free&amp;usehorizon=1</v>
      </c>
    </row>
    <row r="2550">
      <c r="A2550" t="n">
        <v>40</v>
      </c>
      <c r="B2550" t="n">
        <v>90</v>
      </c>
      <c r="C2550" t="n">
        <v>9</v>
      </c>
      <c r="D2550" s="218" t="n">
        <v>123.64</v>
      </c>
      <c r="E2550" s="218" t="n">
        <v>4.12</v>
      </c>
      <c r="F2550" t="str">
        <v>https://re.jrc.ec.europa.eu/api/v5_3/PVcalc?lat=30.0444&amp;lon=31.2357&amp;peakpower=1&amp;loss=14&amp;angle=40&amp;aspect=-90&amp;outputformat=json&amp;raddatabase=PVGIS-SARAH3&amp;pvtechchoice=crystSi&amp;mountingplace=free&amp;usehorizon=1</v>
      </c>
    </row>
    <row r="2551">
      <c r="A2551" t="n">
        <v>40</v>
      </c>
      <c r="B2551" t="n">
        <v>90</v>
      </c>
      <c r="C2551" t="n">
        <v>10</v>
      </c>
      <c r="D2551" s="218" t="n">
        <v>107.82</v>
      </c>
      <c r="E2551" s="218" t="n">
        <v>3.48</v>
      </c>
      <c r="F2551" t="str">
        <v>https://re.jrc.ec.europa.eu/api/v5_3/PVcalc?lat=30.0444&amp;lon=31.2357&amp;peakpower=1&amp;loss=14&amp;angle=40&amp;aspect=-90&amp;outputformat=json&amp;raddatabase=PVGIS-SARAH3&amp;pvtechchoice=crystSi&amp;mountingplace=free&amp;usehorizon=1</v>
      </c>
    </row>
    <row r="2552">
      <c r="A2552" t="n">
        <v>40</v>
      </c>
      <c r="B2552" t="n">
        <v>90</v>
      </c>
      <c r="C2552" t="n">
        <v>11</v>
      </c>
      <c r="D2552" s="218" t="n">
        <v>86.47</v>
      </c>
      <c r="E2552" s="218" t="n">
        <v>2.88</v>
      </c>
      <c r="F2552" t="str">
        <v>https://re.jrc.ec.europa.eu/api/v5_3/PVcalc?lat=30.0444&amp;lon=31.2357&amp;peakpower=1&amp;loss=14&amp;angle=40&amp;aspect=-90&amp;outputformat=json&amp;raddatabase=PVGIS-SARAH3&amp;pvtechchoice=crystSi&amp;mountingplace=free&amp;usehorizon=1</v>
      </c>
    </row>
    <row r="2553">
      <c r="A2553" t="n">
        <v>40</v>
      </c>
      <c r="B2553" t="n">
        <v>90</v>
      </c>
      <c r="C2553" t="n">
        <v>12</v>
      </c>
      <c r="D2553" s="218" t="n">
        <v>78.32</v>
      </c>
      <c r="E2553" s="218" t="n">
        <v>2.53</v>
      </c>
      <c r="F2553" t="str">
        <v>https://re.jrc.ec.europa.eu/api/v5_3/PVcalc?lat=30.0444&amp;lon=31.2357&amp;peakpower=1&amp;loss=14&amp;angle=40&amp;aspect=-90&amp;outputformat=json&amp;raddatabase=PVGIS-SARAH3&amp;pvtechchoice=crystSi&amp;mountingplace=free&amp;usehorizon=1</v>
      </c>
    </row>
    <row r="2554">
      <c r="A2554" t="n">
        <v>40</v>
      </c>
      <c r="B2554" t="n">
        <v>105</v>
      </c>
      <c r="C2554" t="n">
        <v>1</v>
      </c>
      <c r="D2554" s="218" t="n">
        <v>96.21</v>
      </c>
      <c r="E2554" s="218" t="n">
        <v>3.1</v>
      </c>
      <c r="F2554" t="str">
        <v>https://re.jrc.ec.europa.eu/api/v5_3/PVcalc?lat=30.0444&amp;lon=31.2357&amp;peakpower=1&amp;loss=14&amp;angle=40&amp;aspect=-75&amp;outputformat=json&amp;raddatabase=PVGIS-SARAH3&amp;pvtechchoice=crystSi&amp;mountingplace=free&amp;usehorizon=1</v>
      </c>
    </row>
    <row r="2555">
      <c r="A2555" t="n">
        <v>40</v>
      </c>
      <c r="B2555" t="n">
        <v>105</v>
      </c>
      <c r="C2555" t="n">
        <v>2</v>
      </c>
      <c r="D2555" s="218" t="n">
        <v>102.38</v>
      </c>
      <c r="E2555" s="218" t="n">
        <v>3.66</v>
      </c>
      <c r="F2555" t="str">
        <v>https://re.jrc.ec.europa.eu/api/v5_3/PVcalc?lat=30.0444&amp;lon=31.2357&amp;peakpower=1&amp;loss=14&amp;angle=40&amp;aspect=-75&amp;outputformat=json&amp;raddatabase=PVGIS-SARAH3&amp;pvtechchoice=crystSi&amp;mountingplace=free&amp;usehorizon=1</v>
      </c>
    </row>
    <row r="2556">
      <c r="A2556" t="n">
        <v>40</v>
      </c>
      <c r="B2556" t="n">
        <v>105</v>
      </c>
      <c r="C2556" t="n">
        <v>3</v>
      </c>
      <c r="D2556" s="218" t="n">
        <v>131.93</v>
      </c>
      <c r="E2556" s="218" t="n">
        <v>4.26</v>
      </c>
      <c r="F2556" t="str">
        <v>https://re.jrc.ec.europa.eu/api/v5_3/PVcalc?lat=30.0444&amp;lon=31.2357&amp;peakpower=1&amp;loss=14&amp;angle=40&amp;aspect=-75&amp;outputformat=json&amp;raddatabase=PVGIS-SARAH3&amp;pvtechchoice=crystSi&amp;mountingplace=free&amp;usehorizon=1</v>
      </c>
    </row>
    <row r="2557">
      <c r="A2557" t="n">
        <v>40</v>
      </c>
      <c r="B2557" t="n">
        <v>105</v>
      </c>
      <c r="C2557" t="n">
        <v>4</v>
      </c>
      <c r="D2557" s="218" t="n">
        <v>140.15</v>
      </c>
      <c r="E2557" s="218" t="n">
        <v>4.67</v>
      </c>
      <c r="F2557" t="str">
        <v>https://re.jrc.ec.europa.eu/api/v5_3/PVcalc?lat=30.0444&amp;lon=31.2357&amp;peakpower=1&amp;loss=14&amp;angle=40&amp;aspect=-75&amp;outputformat=json&amp;raddatabase=PVGIS-SARAH3&amp;pvtechchoice=crystSi&amp;mountingplace=free&amp;usehorizon=1</v>
      </c>
    </row>
    <row r="2558">
      <c r="A2558" t="n">
        <v>40</v>
      </c>
      <c r="B2558" t="n">
        <v>105</v>
      </c>
      <c r="C2558" t="n">
        <v>5</v>
      </c>
      <c r="D2558" s="218" t="n">
        <v>151.88</v>
      </c>
      <c r="E2558" s="218" t="n">
        <v>4.9</v>
      </c>
      <c r="F2558" t="str">
        <v>https://re.jrc.ec.europa.eu/api/v5_3/PVcalc?lat=30.0444&amp;lon=31.2357&amp;peakpower=1&amp;loss=14&amp;angle=40&amp;aspect=-75&amp;outputformat=json&amp;raddatabase=PVGIS-SARAH3&amp;pvtechchoice=crystSi&amp;mountingplace=free&amp;usehorizon=1</v>
      </c>
    </row>
    <row r="2559">
      <c r="A2559" t="n">
        <v>40</v>
      </c>
      <c r="B2559" t="n">
        <v>105</v>
      </c>
      <c r="C2559" t="n">
        <v>6</v>
      </c>
      <c r="D2559" s="218" t="n">
        <v>151.33</v>
      </c>
      <c r="E2559" s="218" t="n">
        <v>5.04</v>
      </c>
      <c r="F2559" t="str">
        <v>https://re.jrc.ec.europa.eu/api/v5_3/PVcalc?lat=30.0444&amp;lon=31.2357&amp;peakpower=1&amp;loss=14&amp;angle=40&amp;aspect=-75&amp;outputformat=json&amp;raddatabase=PVGIS-SARAH3&amp;pvtechchoice=crystSi&amp;mountingplace=free&amp;usehorizon=1</v>
      </c>
    </row>
    <row r="2560">
      <c r="A2560" t="n">
        <v>40</v>
      </c>
      <c r="B2560" t="n">
        <v>105</v>
      </c>
      <c r="C2560" t="n">
        <v>7</v>
      </c>
      <c r="D2560" s="218" t="n">
        <v>152.89</v>
      </c>
      <c r="E2560" s="218" t="n">
        <v>4.93</v>
      </c>
      <c r="F2560" t="str">
        <v>https://re.jrc.ec.europa.eu/api/v5_3/PVcalc?lat=30.0444&amp;lon=31.2357&amp;peakpower=1&amp;loss=14&amp;angle=40&amp;aspect=-75&amp;outputformat=json&amp;raddatabase=PVGIS-SARAH3&amp;pvtechchoice=crystSi&amp;mountingplace=free&amp;usehorizon=1</v>
      </c>
    </row>
    <row r="2561">
      <c r="A2561" t="n">
        <v>40</v>
      </c>
      <c r="B2561" t="n">
        <v>105</v>
      </c>
      <c r="C2561" t="n">
        <v>8</v>
      </c>
      <c r="D2561" s="218" t="n">
        <v>147.32</v>
      </c>
      <c r="E2561" s="218" t="n">
        <v>4.75</v>
      </c>
      <c r="F2561" t="str">
        <v>https://re.jrc.ec.europa.eu/api/v5_3/PVcalc?lat=30.0444&amp;lon=31.2357&amp;peakpower=1&amp;loss=14&amp;angle=40&amp;aspect=-75&amp;outputformat=json&amp;raddatabase=PVGIS-SARAH3&amp;pvtechchoice=crystSi&amp;mountingplace=free&amp;usehorizon=1</v>
      </c>
    </row>
    <row r="2562">
      <c r="A2562" t="n">
        <v>40</v>
      </c>
      <c r="B2562" t="n">
        <v>105</v>
      </c>
      <c r="C2562" t="n">
        <v>9</v>
      </c>
      <c r="D2562" s="218" t="n">
        <v>131.71</v>
      </c>
      <c r="E2562" s="218" t="n">
        <v>4.39</v>
      </c>
      <c r="F2562" t="str">
        <v>https://re.jrc.ec.europa.eu/api/v5_3/PVcalc?lat=30.0444&amp;lon=31.2357&amp;peakpower=1&amp;loss=14&amp;angle=40&amp;aspect=-75&amp;outputformat=json&amp;raddatabase=PVGIS-SARAH3&amp;pvtechchoice=crystSi&amp;mountingplace=free&amp;usehorizon=1</v>
      </c>
    </row>
    <row r="2563">
      <c r="A2563" t="n">
        <v>40</v>
      </c>
      <c r="B2563" t="n">
        <v>105</v>
      </c>
      <c r="C2563" t="n">
        <v>10</v>
      </c>
      <c r="D2563" s="218" t="n">
        <v>120.36</v>
      </c>
      <c r="E2563" s="218" t="n">
        <v>3.88</v>
      </c>
      <c r="F2563" t="str">
        <v>https://re.jrc.ec.europa.eu/api/v5_3/PVcalc?lat=30.0444&amp;lon=31.2357&amp;peakpower=1&amp;loss=14&amp;angle=40&amp;aspect=-75&amp;outputformat=json&amp;raddatabase=PVGIS-SARAH3&amp;pvtechchoice=crystSi&amp;mountingplace=free&amp;usehorizon=1</v>
      </c>
    </row>
    <row r="2564">
      <c r="A2564" t="n">
        <v>40</v>
      </c>
      <c r="B2564" t="n">
        <v>105</v>
      </c>
      <c r="C2564" t="n">
        <v>11</v>
      </c>
      <c r="D2564" s="218" t="n">
        <v>100.98</v>
      </c>
      <c r="E2564" s="218" t="n">
        <v>3.37</v>
      </c>
      <c r="F2564" t="str">
        <v>https://re.jrc.ec.europa.eu/api/v5_3/PVcalc?lat=30.0444&amp;lon=31.2357&amp;peakpower=1&amp;loss=14&amp;angle=40&amp;aspect=-75&amp;outputformat=json&amp;raddatabase=PVGIS-SARAH3&amp;pvtechchoice=crystSi&amp;mountingplace=free&amp;usehorizon=1</v>
      </c>
    </row>
    <row r="2565">
      <c r="A2565" t="n">
        <v>40</v>
      </c>
      <c r="B2565" t="n">
        <v>105</v>
      </c>
      <c r="C2565" t="n">
        <v>12</v>
      </c>
      <c r="D2565" s="218" t="n">
        <v>93.76</v>
      </c>
      <c r="E2565" s="218" t="n">
        <v>3.02</v>
      </c>
      <c r="F2565" t="str">
        <v>https://re.jrc.ec.europa.eu/api/v5_3/PVcalc?lat=30.0444&amp;lon=31.2357&amp;peakpower=1&amp;loss=14&amp;angle=40&amp;aspect=-75&amp;outputformat=json&amp;raddatabase=PVGIS-SARAH3&amp;pvtechchoice=crystSi&amp;mountingplace=free&amp;usehorizon=1</v>
      </c>
    </row>
    <row r="2566">
      <c r="A2566" t="n">
        <v>40</v>
      </c>
      <c r="B2566" t="n">
        <v>120</v>
      </c>
      <c r="C2566" t="n">
        <v>1</v>
      </c>
      <c r="D2566" s="218" t="n">
        <v>109.24</v>
      </c>
      <c r="E2566" s="218" t="n">
        <v>3.52</v>
      </c>
      <c r="F2566" t="str">
        <v>https://re.jrc.ec.europa.eu/api/v5_3/PVcalc?lat=30.0444&amp;lon=31.2357&amp;peakpower=1&amp;loss=14&amp;angle=40&amp;aspect=-60&amp;outputformat=json&amp;raddatabase=PVGIS-SARAH3&amp;pvtechchoice=crystSi&amp;mountingplace=free&amp;usehorizon=1</v>
      </c>
    </row>
    <row r="2567">
      <c r="A2567" t="n">
        <v>40</v>
      </c>
      <c r="B2567" t="n">
        <v>120</v>
      </c>
      <c r="C2567" t="n">
        <v>2</v>
      </c>
      <c r="D2567" s="218" t="n">
        <v>112.56</v>
      </c>
      <c r="E2567" s="218" t="n">
        <v>4.02</v>
      </c>
      <c r="F2567" t="str">
        <v>https://re.jrc.ec.europa.eu/api/v5_3/PVcalc?lat=30.0444&amp;lon=31.2357&amp;peakpower=1&amp;loss=14&amp;angle=40&amp;aspect=-60&amp;outputformat=json&amp;raddatabase=PVGIS-SARAH3&amp;pvtechchoice=crystSi&amp;mountingplace=free&amp;usehorizon=1</v>
      </c>
    </row>
    <row r="2568">
      <c r="A2568" t="n">
        <v>40</v>
      </c>
      <c r="B2568" t="n">
        <v>120</v>
      </c>
      <c r="C2568" t="n">
        <v>3</v>
      </c>
      <c r="D2568" s="218" t="n">
        <v>140.88</v>
      </c>
      <c r="E2568" s="218" t="n">
        <v>4.54</v>
      </c>
      <c r="F2568" t="str">
        <v>https://re.jrc.ec.europa.eu/api/v5_3/PVcalc?lat=30.0444&amp;lon=31.2357&amp;peakpower=1&amp;loss=14&amp;angle=40&amp;aspect=-60&amp;outputformat=json&amp;raddatabase=PVGIS-SARAH3&amp;pvtechchoice=crystSi&amp;mountingplace=free&amp;usehorizon=1</v>
      </c>
    </row>
    <row r="2569">
      <c r="A2569" t="n">
        <v>40</v>
      </c>
      <c r="B2569" t="n">
        <v>120</v>
      </c>
      <c r="C2569" t="n">
        <v>4</v>
      </c>
      <c r="D2569" s="218" t="n">
        <v>144.97</v>
      </c>
      <c r="E2569" s="218" t="n">
        <v>4.83</v>
      </c>
      <c r="F2569" t="str">
        <v>https://re.jrc.ec.europa.eu/api/v5_3/PVcalc?lat=30.0444&amp;lon=31.2357&amp;peakpower=1&amp;loss=14&amp;angle=40&amp;aspect=-60&amp;outputformat=json&amp;raddatabase=PVGIS-SARAH3&amp;pvtechchoice=crystSi&amp;mountingplace=free&amp;usehorizon=1</v>
      </c>
    </row>
    <row r="2570">
      <c r="A2570" t="n">
        <v>40</v>
      </c>
      <c r="B2570" t="n">
        <v>120</v>
      </c>
      <c r="C2570" t="n">
        <v>5</v>
      </c>
      <c r="D2570" s="218" t="n">
        <v>152.87</v>
      </c>
      <c r="E2570" s="218" t="n">
        <v>4.93</v>
      </c>
      <c r="F2570" t="str">
        <v>https://re.jrc.ec.europa.eu/api/v5_3/PVcalc?lat=30.0444&amp;lon=31.2357&amp;peakpower=1&amp;loss=14&amp;angle=40&amp;aspect=-60&amp;outputformat=json&amp;raddatabase=PVGIS-SARAH3&amp;pvtechchoice=crystSi&amp;mountingplace=free&amp;usehorizon=1</v>
      </c>
    </row>
    <row r="2571">
      <c r="A2571" t="n">
        <v>40</v>
      </c>
      <c r="B2571" t="n">
        <v>120</v>
      </c>
      <c r="C2571" t="n">
        <v>6</v>
      </c>
      <c r="D2571" s="218" t="n">
        <v>150.43</v>
      </c>
      <c r="E2571" s="218" t="n">
        <v>5.01</v>
      </c>
      <c r="F2571" t="str">
        <v>https://re.jrc.ec.europa.eu/api/v5_3/PVcalc?lat=30.0444&amp;lon=31.2357&amp;peakpower=1&amp;loss=14&amp;angle=40&amp;aspect=-60&amp;outputformat=json&amp;raddatabase=PVGIS-SARAH3&amp;pvtechchoice=crystSi&amp;mountingplace=free&amp;usehorizon=1</v>
      </c>
    </row>
    <row r="2572">
      <c r="A2572" t="n">
        <v>40</v>
      </c>
      <c r="B2572" t="n">
        <v>120</v>
      </c>
      <c r="C2572" t="n">
        <v>7</v>
      </c>
      <c r="D2572" s="218" t="n">
        <v>153.14</v>
      </c>
      <c r="E2572" s="218" t="n">
        <v>4.94</v>
      </c>
      <c r="F2572" t="str">
        <v>https://re.jrc.ec.europa.eu/api/v5_3/PVcalc?lat=30.0444&amp;lon=31.2357&amp;peakpower=1&amp;loss=14&amp;angle=40&amp;aspect=-60&amp;outputformat=json&amp;raddatabase=PVGIS-SARAH3&amp;pvtechchoice=crystSi&amp;mountingplace=free&amp;usehorizon=1</v>
      </c>
    </row>
    <row r="2573">
      <c r="A2573" t="n">
        <v>40</v>
      </c>
      <c r="B2573" t="n">
        <v>120</v>
      </c>
      <c r="C2573" t="n">
        <v>8</v>
      </c>
      <c r="D2573" s="218" t="n">
        <v>150.97</v>
      </c>
      <c r="E2573" s="218" t="n">
        <v>4.87</v>
      </c>
      <c r="F2573" t="str">
        <v>https://re.jrc.ec.europa.eu/api/v5_3/PVcalc?lat=30.0444&amp;lon=31.2357&amp;peakpower=1&amp;loss=14&amp;angle=40&amp;aspect=-60&amp;outputformat=json&amp;raddatabase=PVGIS-SARAH3&amp;pvtechchoice=crystSi&amp;mountingplace=free&amp;usehorizon=1</v>
      </c>
    </row>
    <row r="2574">
      <c r="A2574" t="n">
        <v>40</v>
      </c>
      <c r="B2574" t="n">
        <v>120</v>
      </c>
      <c r="C2574" t="n">
        <v>9</v>
      </c>
      <c r="D2574" s="218" t="n">
        <v>139.3</v>
      </c>
      <c r="E2574" s="218" t="n">
        <v>4.64</v>
      </c>
      <c r="F2574" t="str">
        <v>https://re.jrc.ec.europa.eu/api/v5_3/PVcalc?lat=30.0444&amp;lon=31.2357&amp;peakpower=1&amp;loss=14&amp;angle=40&amp;aspect=-60&amp;outputformat=json&amp;raddatabase=PVGIS-SARAH3&amp;pvtechchoice=crystSi&amp;mountingplace=free&amp;usehorizon=1</v>
      </c>
    </row>
    <row r="2575">
      <c r="A2575" t="n">
        <v>40</v>
      </c>
      <c r="B2575" t="n">
        <v>120</v>
      </c>
      <c r="C2575" t="n">
        <v>10</v>
      </c>
      <c r="D2575" s="218" t="n">
        <v>130.9</v>
      </c>
      <c r="E2575" s="218" t="n">
        <v>4.22</v>
      </c>
      <c r="F2575" t="str">
        <v>https://re.jrc.ec.europa.eu/api/v5_3/PVcalc?lat=30.0444&amp;lon=31.2357&amp;peakpower=1&amp;loss=14&amp;angle=40&amp;aspect=-60&amp;outputformat=json&amp;raddatabase=PVGIS-SARAH3&amp;pvtechchoice=crystSi&amp;mountingplace=free&amp;usehorizon=1</v>
      </c>
    </row>
    <row r="2576">
      <c r="A2576" t="n">
        <v>40</v>
      </c>
      <c r="B2576" t="n">
        <v>120</v>
      </c>
      <c r="C2576" t="n">
        <v>11</v>
      </c>
      <c r="D2576" s="218" t="n">
        <v>113.78</v>
      </c>
      <c r="E2576" s="218" t="n">
        <v>3.79</v>
      </c>
      <c r="F2576" t="str">
        <v>https://re.jrc.ec.europa.eu/api/v5_3/PVcalc?lat=30.0444&amp;lon=31.2357&amp;peakpower=1&amp;loss=14&amp;angle=40&amp;aspect=-60&amp;outputformat=json&amp;raddatabase=PVGIS-SARAH3&amp;pvtechchoice=crystSi&amp;mountingplace=free&amp;usehorizon=1</v>
      </c>
    </row>
    <row r="2577">
      <c r="A2577" t="n">
        <v>40</v>
      </c>
      <c r="B2577" t="n">
        <v>120</v>
      </c>
      <c r="C2577" t="n">
        <v>12</v>
      </c>
      <c r="D2577" s="218" t="n">
        <v>107.64</v>
      </c>
      <c r="E2577" s="218" t="n">
        <v>3.47</v>
      </c>
      <c r="F2577" t="str">
        <v>https://re.jrc.ec.europa.eu/api/v5_3/PVcalc?lat=30.0444&amp;lon=31.2357&amp;peakpower=1&amp;loss=14&amp;angle=40&amp;aspect=-60&amp;outputformat=json&amp;raddatabase=PVGIS-SARAH3&amp;pvtechchoice=crystSi&amp;mountingplace=free&amp;usehorizon=1</v>
      </c>
    </row>
    <row r="2578">
      <c r="A2578" t="n">
        <v>40</v>
      </c>
      <c r="B2578" t="n">
        <v>135</v>
      </c>
      <c r="C2578" t="n">
        <v>1</v>
      </c>
      <c r="D2578" s="218" t="n">
        <v>120.79</v>
      </c>
      <c r="E2578" s="218" t="n">
        <v>3.9</v>
      </c>
      <c r="F2578" t="str">
        <v>https://re.jrc.ec.europa.eu/api/v5_3/PVcalc?lat=30.0444&amp;lon=31.2357&amp;peakpower=1&amp;loss=14&amp;angle=40&amp;aspect=-45&amp;outputformat=json&amp;raddatabase=PVGIS-SARAH3&amp;pvtechchoice=crystSi&amp;mountingplace=free&amp;usehorizon=1</v>
      </c>
    </row>
    <row r="2579">
      <c r="A2579" t="n">
        <v>40</v>
      </c>
      <c r="B2579" t="n">
        <v>135</v>
      </c>
      <c r="C2579" t="n">
        <v>2</v>
      </c>
      <c r="D2579" s="218" t="n">
        <v>120.82</v>
      </c>
      <c r="E2579" s="218" t="n">
        <v>4.32</v>
      </c>
      <c r="F2579" t="str">
        <v>https://re.jrc.ec.europa.eu/api/v5_3/PVcalc?lat=30.0444&amp;lon=31.2357&amp;peakpower=1&amp;loss=14&amp;angle=40&amp;aspect=-45&amp;outputformat=json&amp;raddatabase=PVGIS-SARAH3&amp;pvtechchoice=crystSi&amp;mountingplace=free&amp;usehorizon=1</v>
      </c>
    </row>
    <row r="2580">
      <c r="A2580" t="n">
        <v>40</v>
      </c>
      <c r="B2580" t="n">
        <v>135</v>
      </c>
      <c r="C2580" t="n">
        <v>3</v>
      </c>
      <c r="D2580" s="218" t="n">
        <v>147.72</v>
      </c>
      <c r="E2580" s="218" t="n">
        <v>4.77</v>
      </c>
      <c r="F2580" t="str">
        <v>https://re.jrc.ec.europa.eu/api/v5_3/PVcalc?lat=30.0444&amp;lon=31.2357&amp;peakpower=1&amp;loss=14&amp;angle=40&amp;aspect=-45&amp;outputformat=json&amp;raddatabase=PVGIS-SARAH3&amp;pvtechchoice=crystSi&amp;mountingplace=free&amp;usehorizon=1</v>
      </c>
    </row>
    <row r="2581">
      <c r="A2581" t="n">
        <v>40</v>
      </c>
      <c r="B2581" t="n">
        <v>135</v>
      </c>
      <c r="C2581" t="n">
        <v>4</v>
      </c>
      <c r="D2581" s="218" t="n">
        <v>148.49</v>
      </c>
      <c r="E2581" s="218" t="n">
        <v>4.95</v>
      </c>
      <c r="F2581" t="str">
        <v>https://re.jrc.ec.europa.eu/api/v5_3/PVcalc?lat=30.0444&amp;lon=31.2357&amp;peakpower=1&amp;loss=14&amp;angle=40&amp;aspect=-45&amp;outputformat=json&amp;raddatabase=PVGIS-SARAH3&amp;pvtechchoice=crystSi&amp;mountingplace=free&amp;usehorizon=1</v>
      </c>
    </row>
    <row r="2582">
      <c r="A2582" t="n">
        <v>40</v>
      </c>
      <c r="B2582" t="n">
        <v>135</v>
      </c>
      <c r="C2582" t="n">
        <v>5</v>
      </c>
      <c r="D2582" s="218" t="n">
        <v>152.88</v>
      </c>
      <c r="E2582" s="218" t="n">
        <v>4.93</v>
      </c>
      <c r="F2582" t="str">
        <v>https://re.jrc.ec.europa.eu/api/v5_3/PVcalc?lat=30.0444&amp;lon=31.2357&amp;peakpower=1&amp;loss=14&amp;angle=40&amp;aspect=-45&amp;outputformat=json&amp;raddatabase=PVGIS-SARAH3&amp;pvtechchoice=crystSi&amp;mountingplace=free&amp;usehorizon=1</v>
      </c>
    </row>
    <row r="2583">
      <c r="A2583" t="n">
        <v>40</v>
      </c>
      <c r="B2583" t="n">
        <v>135</v>
      </c>
      <c r="C2583" t="n">
        <v>6</v>
      </c>
      <c r="D2583" s="218" t="n">
        <v>148.66</v>
      </c>
      <c r="E2583" s="218" t="n">
        <v>4.96</v>
      </c>
      <c r="F2583" t="str">
        <v>https://re.jrc.ec.europa.eu/api/v5_3/PVcalc?lat=30.0444&amp;lon=31.2357&amp;peakpower=1&amp;loss=14&amp;angle=40&amp;aspect=-45&amp;outputformat=json&amp;raddatabase=PVGIS-SARAH3&amp;pvtechchoice=crystSi&amp;mountingplace=free&amp;usehorizon=1</v>
      </c>
    </row>
    <row r="2584">
      <c r="A2584" t="n">
        <v>40</v>
      </c>
      <c r="B2584" t="n">
        <v>135</v>
      </c>
      <c r="C2584" t="n">
        <v>7</v>
      </c>
      <c r="D2584" s="218" t="n">
        <v>151.66</v>
      </c>
      <c r="E2584" s="218" t="n">
        <v>4.89</v>
      </c>
      <c r="F2584" t="str">
        <v>https://re.jrc.ec.europa.eu/api/v5_3/PVcalc?lat=30.0444&amp;lon=31.2357&amp;peakpower=1&amp;loss=14&amp;angle=40&amp;aspect=-45&amp;outputformat=json&amp;raddatabase=PVGIS-SARAH3&amp;pvtechchoice=crystSi&amp;mountingplace=free&amp;usehorizon=1</v>
      </c>
    </row>
    <row r="2585">
      <c r="A2585" t="n">
        <v>40</v>
      </c>
      <c r="B2585" t="n">
        <v>135</v>
      </c>
      <c r="C2585" t="n">
        <v>8</v>
      </c>
      <c r="D2585" s="218" t="n">
        <v>152.9</v>
      </c>
      <c r="E2585" s="218" t="n">
        <v>4.93</v>
      </c>
      <c r="F2585" t="str">
        <v>https://re.jrc.ec.europa.eu/api/v5_3/PVcalc?lat=30.0444&amp;lon=31.2357&amp;peakpower=1&amp;loss=14&amp;angle=40&amp;aspect=-45&amp;outputformat=json&amp;raddatabase=PVGIS-SARAH3&amp;pvtechchoice=crystSi&amp;mountingplace=free&amp;usehorizon=1</v>
      </c>
    </row>
    <row r="2586">
      <c r="A2586" t="n">
        <v>40</v>
      </c>
      <c r="B2586" t="n">
        <v>135</v>
      </c>
      <c r="C2586" t="n">
        <v>9</v>
      </c>
      <c r="D2586" s="218" t="n">
        <v>146.07</v>
      </c>
      <c r="E2586" s="218" t="n">
        <v>4.87</v>
      </c>
      <c r="F2586" t="str">
        <v>https://re.jrc.ec.europa.eu/api/v5_3/PVcalc?lat=30.0444&amp;lon=31.2357&amp;peakpower=1&amp;loss=14&amp;angle=40&amp;aspect=-45&amp;outputformat=json&amp;raddatabase=PVGIS-SARAH3&amp;pvtechchoice=crystSi&amp;mountingplace=free&amp;usehorizon=1</v>
      </c>
    </row>
    <row r="2587">
      <c r="A2587" t="n">
        <v>40</v>
      </c>
      <c r="B2587" t="n">
        <v>135</v>
      </c>
      <c r="C2587" t="n">
        <v>10</v>
      </c>
      <c r="D2587" s="218" t="n">
        <v>141.15</v>
      </c>
      <c r="E2587" s="218" t="n">
        <v>4.55</v>
      </c>
      <c r="F2587" t="str">
        <v>https://re.jrc.ec.europa.eu/api/v5_3/PVcalc?lat=30.0444&amp;lon=31.2357&amp;peakpower=1&amp;loss=14&amp;angle=40&amp;aspect=-45&amp;outputformat=json&amp;raddatabase=PVGIS-SARAH3&amp;pvtechchoice=crystSi&amp;mountingplace=free&amp;usehorizon=1</v>
      </c>
    </row>
    <row r="2588">
      <c r="A2588" t="n">
        <v>40</v>
      </c>
      <c r="B2588" t="n">
        <v>135</v>
      </c>
      <c r="C2588" t="n">
        <v>11</v>
      </c>
      <c r="D2588" s="218" t="n">
        <v>125.85</v>
      </c>
      <c r="E2588" s="218" t="n">
        <v>4.19</v>
      </c>
      <c r="F2588" t="str">
        <v>https://re.jrc.ec.europa.eu/api/v5_3/PVcalc?lat=30.0444&amp;lon=31.2357&amp;peakpower=1&amp;loss=14&amp;angle=40&amp;aspect=-45&amp;outputformat=json&amp;raddatabase=PVGIS-SARAH3&amp;pvtechchoice=crystSi&amp;mountingplace=free&amp;usehorizon=1</v>
      </c>
    </row>
    <row r="2589">
      <c r="A2589" t="n">
        <v>40</v>
      </c>
      <c r="B2589" t="n">
        <v>135</v>
      </c>
      <c r="C2589" t="n">
        <v>12</v>
      </c>
      <c r="D2589" s="218" t="n">
        <v>120.36</v>
      </c>
      <c r="E2589" s="218" t="n">
        <v>3.88</v>
      </c>
      <c r="F2589" t="str">
        <v>https://re.jrc.ec.europa.eu/api/v5_3/PVcalc?lat=30.0444&amp;lon=31.2357&amp;peakpower=1&amp;loss=14&amp;angle=40&amp;aspect=-45&amp;outputformat=json&amp;raddatabase=PVGIS-SARAH3&amp;pvtechchoice=crystSi&amp;mountingplace=free&amp;usehorizon=1</v>
      </c>
    </row>
    <row r="2590">
      <c r="A2590" t="n">
        <v>40</v>
      </c>
      <c r="B2590" t="n">
        <v>150</v>
      </c>
      <c r="C2590" t="n">
        <v>1</v>
      </c>
      <c r="D2590" s="218" t="n">
        <v>130.59</v>
      </c>
      <c r="E2590" s="218" t="n">
        <v>4.21</v>
      </c>
      <c r="F2590" t="str">
        <v>https://re.jrc.ec.europa.eu/api/v5_3/PVcalc?lat=30.0444&amp;lon=31.2357&amp;peakpower=1&amp;loss=14&amp;angle=40&amp;aspect=-30&amp;outputformat=json&amp;raddatabase=PVGIS-SARAH3&amp;pvtechchoice=crystSi&amp;mountingplace=free&amp;usehorizon=1</v>
      </c>
    </row>
    <row r="2591">
      <c r="A2591" t="n">
        <v>40</v>
      </c>
      <c r="B2591" t="n">
        <v>150</v>
      </c>
      <c r="C2591" t="n">
        <v>2</v>
      </c>
      <c r="D2591" s="218" t="n">
        <v>127.85</v>
      </c>
      <c r="E2591" s="218" t="n">
        <v>4.57</v>
      </c>
      <c r="F2591" t="str">
        <v>https://re.jrc.ec.europa.eu/api/v5_3/PVcalc?lat=30.0444&amp;lon=31.2357&amp;peakpower=1&amp;loss=14&amp;angle=40&amp;aspect=-30&amp;outputformat=json&amp;raddatabase=PVGIS-SARAH3&amp;pvtechchoice=crystSi&amp;mountingplace=free&amp;usehorizon=1</v>
      </c>
    </row>
    <row r="2592">
      <c r="A2592" t="n">
        <v>40</v>
      </c>
      <c r="B2592" t="n">
        <v>150</v>
      </c>
      <c r="C2592" t="n">
        <v>3</v>
      </c>
      <c r="D2592" s="218" t="n">
        <v>154.12</v>
      </c>
      <c r="E2592" s="218" t="n">
        <v>4.97</v>
      </c>
      <c r="F2592" t="str">
        <v>https://re.jrc.ec.europa.eu/api/v5_3/PVcalc?lat=30.0444&amp;lon=31.2357&amp;peakpower=1&amp;loss=14&amp;angle=40&amp;aspect=-30&amp;outputformat=json&amp;raddatabase=PVGIS-SARAH3&amp;pvtechchoice=crystSi&amp;mountingplace=free&amp;usehorizon=1</v>
      </c>
    </row>
    <row r="2593">
      <c r="A2593" t="n">
        <v>40</v>
      </c>
      <c r="B2593" t="n">
        <v>150</v>
      </c>
      <c r="C2593" t="n">
        <v>4</v>
      </c>
      <c r="D2593" s="218" t="n">
        <v>151</v>
      </c>
      <c r="E2593" s="218" t="n">
        <v>5.03</v>
      </c>
      <c r="F2593" t="str">
        <v>https://re.jrc.ec.europa.eu/api/v5_3/PVcalc?lat=30.0444&amp;lon=31.2357&amp;peakpower=1&amp;loss=14&amp;angle=40&amp;aspect=-30&amp;outputformat=json&amp;raddatabase=PVGIS-SARAH3&amp;pvtechchoice=crystSi&amp;mountingplace=free&amp;usehorizon=1</v>
      </c>
    </row>
    <row r="2594">
      <c r="A2594" t="n">
        <v>40</v>
      </c>
      <c r="B2594" t="n">
        <v>150</v>
      </c>
      <c r="C2594" t="n">
        <v>5</v>
      </c>
      <c r="D2594" s="218" t="n">
        <v>151.66</v>
      </c>
      <c r="E2594" s="218" t="n">
        <v>4.89</v>
      </c>
      <c r="F2594" t="str">
        <v>https://re.jrc.ec.europa.eu/api/v5_3/PVcalc?lat=30.0444&amp;lon=31.2357&amp;peakpower=1&amp;loss=14&amp;angle=40&amp;aspect=-30&amp;outputformat=json&amp;raddatabase=PVGIS-SARAH3&amp;pvtechchoice=crystSi&amp;mountingplace=free&amp;usehorizon=1</v>
      </c>
    </row>
    <row r="2595">
      <c r="A2595" t="n">
        <v>40</v>
      </c>
      <c r="B2595" t="n">
        <v>150</v>
      </c>
      <c r="C2595" t="n">
        <v>6</v>
      </c>
      <c r="D2595" s="218" t="n">
        <v>146</v>
      </c>
      <c r="E2595" s="218" t="n">
        <v>4.87</v>
      </c>
      <c r="F2595" t="str">
        <v>https://re.jrc.ec.europa.eu/api/v5_3/PVcalc?lat=30.0444&amp;lon=31.2357&amp;peakpower=1&amp;loss=14&amp;angle=40&amp;aspect=-30&amp;outputformat=json&amp;raddatabase=PVGIS-SARAH3&amp;pvtechchoice=crystSi&amp;mountingplace=free&amp;usehorizon=1</v>
      </c>
    </row>
    <row r="2596">
      <c r="A2596" t="n">
        <v>40</v>
      </c>
      <c r="B2596" t="n">
        <v>150</v>
      </c>
      <c r="C2596" t="n">
        <v>7</v>
      </c>
      <c r="D2596" s="218" t="n">
        <v>151.05</v>
      </c>
      <c r="E2596" s="218" t="n">
        <v>4.87</v>
      </c>
      <c r="F2596" t="str">
        <v>https://re.jrc.ec.europa.eu/api/v5_3/PVcalc?lat=30.0444&amp;lon=31.2357&amp;peakpower=1&amp;loss=14&amp;angle=40&amp;aspect=-30&amp;outputformat=json&amp;raddatabase=PVGIS-SARAH3&amp;pvtechchoice=crystSi&amp;mountingplace=free&amp;usehorizon=1</v>
      </c>
    </row>
    <row r="2597">
      <c r="A2597" t="n">
        <v>40</v>
      </c>
      <c r="B2597" t="n">
        <v>150</v>
      </c>
      <c r="C2597" t="n">
        <v>8</v>
      </c>
      <c r="D2597" s="218" t="n">
        <v>154.82</v>
      </c>
      <c r="E2597" s="218" t="n">
        <v>4.99</v>
      </c>
      <c r="F2597" t="str">
        <v>https://re.jrc.ec.europa.eu/api/v5_3/PVcalc?lat=30.0444&amp;lon=31.2357&amp;peakpower=1&amp;loss=14&amp;angle=40&amp;aspect=-30&amp;outputformat=json&amp;raddatabase=PVGIS-SARAH3&amp;pvtechchoice=crystSi&amp;mountingplace=free&amp;usehorizon=1</v>
      </c>
    </row>
    <row r="2598">
      <c r="A2598" t="n">
        <v>40</v>
      </c>
      <c r="B2598" t="n">
        <v>150</v>
      </c>
      <c r="C2598" t="n">
        <v>9</v>
      </c>
      <c r="D2598" s="218" t="n">
        <v>151.22</v>
      </c>
      <c r="E2598" s="218" t="n">
        <v>5.04</v>
      </c>
      <c r="F2598" t="str">
        <v>https://re.jrc.ec.europa.eu/api/v5_3/PVcalc?lat=30.0444&amp;lon=31.2357&amp;peakpower=1&amp;loss=14&amp;angle=40&amp;aspect=-30&amp;outputformat=json&amp;raddatabase=PVGIS-SARAH3&amp;pvtechchoice=crystSi&amp;mountingplace=free&amp;usehorizon=1</v>
      </c>
    </row>
    <row r="2599">
      <c r="A2599" t="n">
        <v>40</v>
      </c>
      <c r="B2599" t="n">
        <v>150</v>
      </c>
      <c r="C2599" t="n">
        <v>10</v>
      </c>
      <c r="D2599" s="218" t="n">
        <v>149.15</v>
      </c>
      <c r="E2599" s="218" t="n">
        <v>4.81</v>
      </c>
      <c r="F2599" t="str">
        <v>https://re.jrc.ec.europa.eu/api/v5_3/PVcalc?lat=30.0444&amp;lon=31.2357&amp;peakpower=1&amp;loss=14&amp;angle=40&amp;aspect=-30&amp;outputformat=json&amp;raddatabase=PVGIS-SARAH3&amp;pvtechchoice=crystSi&amp;mountingplace=free&amp;usehorizon=1</v>
      </c>
    </row>
    <row r="2600">
      <c r="A2600" t="n">
        <v>40</v>
      </c>
      <c r="B2600" t="n">
        <v>150</v>
      </c>
      <c r="C2600" t="n">
        <v>11</v>
      </c>
      <c r="D2600" s="218" t="n">
        <v>135.41</v>
      </c>
      <c r="E2600" s="218" t="n">
        <v>4.51</v>
      </c>
      <c r="F2600" t="str">
        <v>https://re.jrc.ec.europa.eu/api/v5_3/PVcalc?lat=30.0444&amp;lon=31.2357&amp;peakpower=1&amp;loss=14&amp;angle=40&amp;aspect=-30&amp;outputformat=json&amp;raddatabase=PVGIS-SARAH3&amp;pvtechchoice=crystSi&amp;mountingplace=free&amp;usehorizon=1</v>
      </c>
    </row>
    <row r="2601">
      <c r="A2601" t="n">
        <v>40</v>
      </c>
      <c r="B2601" t="n">
        <v>150</v>
      </c>
      <c r="C2601" t="n">
        <v>12</v>
      </c>
      <c r="D2601" s="218" t="n">
        <v>130.48</v>
      </c>
      <c r="E2601" s="218" t="n">
        <v>4.21</v>
      </c>
      <c r="F2601" t="str">
        <v>https://re.jrc.ec.europa.eu/api/v5_3/PVcalc?lat=30.0444&amp;lon=31.2357&amp;peakpower=1&amp;loss=14&amp;angle=40&amp;aspect=-30&amp;outputformat=json&amp;raddatabase=PVGIS-SARAH3&amp;pvtechchoice=crystSi&amp;mountingplace=free&amp;usehorizon=1</v>
      </c>
    </row>
    <row r="2602">
      <c r="A2602" t="n">
        <v>40</v>
      </c>
      <c r="B2602" t="n">
        <v>165</v>
      </c>
      <c r="C2602" t="n">
        <v>1</v>
      </c>
      <c r="D2602" s="218" t="n">
        <v>136.88</v>
      </c>
      <c r="E2602" s="218" t="n">
        <v>4.42</v>
      </c>
      <c r="F2602" t="str">
        <v>https://re.jrc.ec.europa.eu/api/v5_3/PVcalc?lat=30.0444&amp;lon=31.2357&amp;peakpower=1&amp;loss=14&amp;angle=40&amp;aspect=-15&amp;outputformat=json&amp;raddatabase=PVGIS-SARAH3&amp;pvtechchoice=crystSi&amp;mountingplace=free&amp;usehorizon=1</v>
      </c>
    </row>
    <row r="2603">
      <c r="A2603" t="n">
        <v>40</v>
      </c>
      <c r="B2603" t="n">
        <v>165</v>
      </c>
      <c r="C2603" t="n">
        <v>2</v>
      </c>
      <c r="D2603" s="218" t="n">
        <v>132.23</v>
      </c>
      <c r="E2603" s="218" t="n">
        <v>4.72</v>
      </c>
      <c r="F2603" t="str">
        <v>https://re.jrc.ec.europa.eu/api/v5_3/PVcalc?lat=30.0444&amp;lon=31.2357&amp;peakpower=1&amp;loss=14&amp;angle=40&amp;aspect=-15&amp;outputformat=json&amp;raddatabase=PVGIS-SARAH3&amp;pvtechchoice=crystSi&amp;mountingplace=free&amp;usehorizon=1</v>
      </c>
    </row>
    <row r="2604">
      <c r="A2604" t="n">
        <v>40</v>
      </c>
      <c r="B2604" t="n">
        <v>165</v>
      </c>
      <c r="C2604" t="n">
        <v>3</v>
      </c>
      <c r="D2604" s="218" t="n">
        <v>158.4</v>
      </c>
      <c r="E2604" s="218" t="n">
        <v>5.11</v>
      </c>
      <c r="F2604" t="str">
        <v>https://re.jrc.ec.europa.eu/api/v5_3/PVcalc?lat=30.0444&amp;lon=31.2357&amp;peakpower=1&amp;loss=14&amp;angle=40&amp;aspect=-15&amp;outputformat=json&amp;raddatabase=PVGIS-SARAH3&amp;pvtechchoice=crystSi&amp;mountingplace=free&amp;usehorizon=1</v>
      </c>
    </row>
    <row r="2605">
      <c r="A2605" t="n">
        <v>40</v>
      </c>
      <c r="B2605" t="n">
        <v>165</v>
      </c>
      <c r="C2605" t="n">
        <v>4</v>
      </c>
      <c r="D2605" s="218" t="n">
        <v>153.03</v>
      </c>
      <c r="E2605" s="218" t="n">
        <v>5.1</v>
      </c>
      <c r="F2605" t="str">
        <v>https://re.jrc.ec.europa.eu/api/v5_3/PVcalc?lat=30.0444&amp;lon=31.2357&amp;peakpower=1&amp;loss=14&amp;angle=40&amp;aspect=-15&amp;outputformat=json&amp;raddatabase=PVGIS-SARAH3&amp;pvtechchoice=crystSi&amp;mountingplace=free&amp;usehorizon=1</v>
      </c>
    </row>
    <row r="2606">
      <c r="A2606" t="n">
        <v>40</v>
      </c>
      <c r="B2606" t="n">
        <v>165</v>
      </c>
      <c r="C2606" t="n">
        <v>5</v>
      </c>
      <c r="D2606" s="218" t="n">
        <v>151.19</v>
      </c>
      <c r="E2606" s="218" t="n">
        <v>4.88</v>
      </c>
      <c r="F2606" t="str">
        <v>https://re.jrc.ec.europa.eu/api/v5_3/PVcalc?lat=30.0444&amp;lon=31.2357&amp;peakpower=1&amp;loss=14&amp;angle=40&amp;aspect=-15&amp;outputformat=json&amp;raddatabase=PVGIS-SARAH3&amp;pvtechchoice=crystSi&amp;mountingplace=free&amp;usehorizon=1</v>
      </c>
    </row>
    <row r="2607">
      <c r="A2607" t="n">
        <v>40</v>
      </c>
      <c r="B2607" t="n">
        <v>165</v>
      </c>
      <c r="C2607" t="n">
        <v>6</v>
      </c>
      <c r="D2607" s="218" t="n">
        <v>144.46</v>
      </c>
      <c r="E2607" s="218" t="n">
        <v>4.82</v>
      </c>
      <c r="F2607" t="str">
        <v>https://re.jrc.ec.europa.eu/api/v5_3/PVcalc?lat=30.0444&amp;lon=31.2357&amp;peakpower=1&amp;loss=14&amp;angle=40&amp;aspect=-15&amp;outputformat=json&amp;raddatabase=PVGIS-SARAH3&amp;pvtechchoice=crystSi&amp;mountingplace=free&amp;usehorizon=1</v>
      </c>
    </row>
    <row r="2608">
      <c r="A2608" t="n">
        <v>40</v>
      </c>
      <c r="B2608" t="n">
        <v>165</v>
      </c>
      <c r="C2608" t="n">
        <v>7</v>
      </c>
      <c r="D2608" s="218" t="n">
        <v>150.32</v>
      </c>
      <c r="E2608" s="218" t="n">
        <v>4.85</v>
      </c>
      <c r="F2608" t="str">
        <v>https://re.jrc.ec.europa.eu/api/v5_3/PVcalc?lat=30.0444&amp;lon=31.2357&amp;peakpower=1&amp;loss=14&amp;angle=40&amp;aspect=-15&amp;outputformat=json&amp;raddatabase=PVGIS-SARAH3&amp;pvtechchoice=crystSi&amp;mountingplace=free&amp;usehorizon=1</v>
      </c>
    </row>
    <row r="2609">
      <c r="A2609" t="n">
        <v>40</v>
      </c>
      <c r="B2609" t="n">
        <v>165</v>
      </c>
      <c r="C2609" t="n">
        <v>8</v>
      </c>
      <c r="D2609" s="218" t="n">
        <v>155.94</v>
      </c>
      <c r="E2609" s="218" t="n">
        <v>5.03</v>
      </c>
      <c r="F2609" t="str">
        <v>https://re.jrc.ec.europa.eu/api/v5_3/PVcalc?lat=30.0444&amp;lon=31.2357&amp;peakpower=1&amp;loss=14&amp;angle=40&amp;aspect=-15&amp;outputformat=json&amp;raddatabase=PVGIS-SARAH3&amp;pvtechchoice=crystSi&amp;mountingplace=free&amp;usehorizon=1</v>
      </c>
    </row>
    <row r="2610">
      <c r="A2610" t="n">
        <v>40</v>
      </c>
      <c r="B2610" t="n">
        <v>165</v>
      </c>
      <c r="C2610" t="n">
        <v>9</v>
      </c>
      <c r="D2610" s="218" t="n">
        <v>155.63</v>
      </c>
      <c r="E2610" s="218" t="n">
        <v>5.19</v>
      </c>
      <c r="F2610" t="str">
        <v>https://re.jrc.ec.europa.eu/api/v5_3/PVcalc?lat=30.0444&amp;lon=31.2357&amp;peakpower=1&amp;loss=14&amp;angle=40&amp;aspect=-15&amp;outputformat=json&amp;raddatabase=PVGIS-SARAH3&amp;pvtechchoice=crystSi&amp;mountingplace=free&amp;usehorizon=1</v>
      </c>
    </row>
    <row r="2611">
      <c r="A2611" t="n">
        <v>40</v>
      </c>
      <c r="B2611" t="n">
        <v>165</v>
      </c>
      <c r="C2611" t="n">
        <v>10</v>
      </c>
      <c r="D2611" s="218" t="n">
        <v>155.38</v>
      </c>
      <c r="E2611" s="218" t="n">
        <v>5.01</v>
      </c>
      <c r="F2611" t="str">
        <v>https://re.jrc.ec.europa.eu/api/v5_3/PVcalc?lat=30.0444&amp;lon=31.2357&amp;peakpower=1&amp;loss=14&amp;angle=40&amp;aspect=-15&amp;outputformat=json&amp;raddatabase=PVGIS-SARAH3&amp;pvtechchoice=crystSi&amp;mountingplace=free&amp;usehorizon=1</v>
      </c>
    </row>
    <row r="2612">
      <c r="A2612" t="n">
        <v>40</v>
      </c>
      <c r="B2612" t="n">
        <v>165</v>
      </c>
      <c r="C2612" t="n">
        <v>11</v>
      </c>
      <c r="D2612" s="218" t="n">
        <v>142.01</v>
      </c>
      <c r="E2612" s="218" t="n">
        <v>4.73</v>
      </c>
      <c r="F2612" t="str">
        <v>https://re.jrc.ec.europa.eu/api/v5_3/PVcalc?lat=30.0444&amp;lon=31.2357&amp;peakpower=1&amp;loss=14&amp;angle=40&amp;aspect=-15&amp;outputformat=json&amp;raddatabase=PVGIS-SARAH3&amp;pvtechchoice=crystSi&amp;mountingplace=free&amp;usehorizon=1</v>
      </c>
    </row>
    <row r="2613">
      <c r="A2613" t="n">
        <v>40</v>
      </c>
      <c r="B2613" t="n">
        <v>165</v>
      </c>
      <c r="C2613" t="n">
        <v>12</v>
      </c>
      <c r="D2613" s="218" t="n">
        <v>137.1</v>
      </c>
      <c r="E2613" s="218" t="n">
        <v>4.42</v>
      </c>
      <c r="F2613" t="str">
        <v>https://re.jrc.ec.europa.eu/api/v5_3/PVcalc?lat=30.0444&amp;lon=31.2357&amp;peakpower=1&amp;loss=14&amp;angle=40&amp;aspect=-15&amp;outputformat=json&amp;raddatabase=PVGIS-SARAH3&amp;pvtechchoice=crystSi&amp;mountingplace=free&amp;usehorizon=1</v>
      </c>
    </row>
    <row r="2614">
      <c r="A2614" t="n">
        <v>40</v>
      </c>
      <c r="B2614" t="n">
        <v>180</v>
      </c>
      <c r="C2614" t="n">
        <v>1</v>
      </c>
      <c r="D2614" s="218" t="n">
        <v>138.77</v>
      </c>
      <c r="E2614" s="218" t="n">
        <v>4.48</v>
      </c>
      <c r="F2614" t="str">
        <v>https://re.jrc.ec.europa.eu/api/v5_3/PVcalc?lat=30.0444&amp;lon=31.2357&amp;peakpower=1&amp;loss=14&amp;angle=40&amp;aspect=0&amp;outputformat=json&amp;raddatabase=PVGIS-SARAH3&amp;pvtechchoice=crystSi&amp;mountingplace=free&amp;usehorizon=1</v>
      </c>
    </row>
    <row r="2615">
      <c r="A2615" t="n">
        <v>40</v>
      </c>
      <c r="B2615" t="n">
        <v>180</v>
      </c>
      <c r="C2615" t="n">
        <v>2</v>
      </c>
      <c r="D2615" s="218" t="n">
        <v>133.53</v>
      </c>
      <c r="E2615" s="218" t="n">
        <v>4.77</v>
      </c>
      <c r="F2615" t="str">
        <v>https://re.jrc.ec.europa.eu/api/v5_3/PVcalc?lat=30.0444&amp;lon=31.2357&amp;peakpower=1&amp;loss=14&amp;angle=40&amp;aspect=0&amp;outputformat=json&amp;raddatabase=PVGIS-SARAH3&amp;pvtechchoice=crystSi&amp;mountingplace=free&amp;usehorizon=1</v>
      </c>
    </row>
    <row r="2616">
      <c r="A2616" t="n">
        <v>40</v>
      </c>
      <c r="B2616" t="n">
        <v>180</v>
      </c>
      <c r="C2616" t="n">
        <v>3</v>
      </c>
      <c r="D2616" s="218" t="n">
        <v>160.81</v>
      </c>
      <c r="E2616" s="218" t="n">
        <v>5.19</v>
      </c>
      <c r="F2616" t="str">
        <v>https://re.jrc.ec.europa.eu/api/v5_3/PVcalc?lat=30.0444&amp;lon=31.2357&amp;peakpower=1&amp;loss=14&amp;angle=40&amp;aspect=0&amp;outputformat=json&amp;raddatabase=PVGIS-SARAH3&amp;pvtechchoice=crystSi&amp;mountingplace=free&amp;usehorizon=1</v>
      </c>
    </row>
    <row r="2617">
      <c r="A2617" t="n">
        <v>40</v>
      </c>
      <c r="B2617" t="n">
        <v>180</v>
      </c>
      <c r="C2617" t="n">
        <v>4</v>
      </c>
      <c r="D2617" s="218" t="n">
        <v>154.52</v>
      </c>
      <c r="E2617" s="218" t="n">
        <v>5.15</v>
      </c>
      <c r="F2617" t="str">
        <v>https://re.jrc.ec.europa.eu/api/v5_3/PVcalc?lat=30.0444&amp;lon=31.2357&amp;peakpower=1&amp;loss=14&amp;angle=40&amp;aspect=0&amp;outputformat=json&amp;raddatabase=PVGIS-SARAH3&amp;pvtechchoice=crystSi&amp;mountingplace=free&amp;usehorizon=1</v>
      </c>
    </row>
    <row r="2618">
      <c r="A2618" t="n">
        <v>40</v>
      </c>
      <c r="B2618" t="n">
        <v>180</v>
      </c>
      <c r="C2618" t="n">
        <v>5</v>
      </c>
      <c r="D2618" s="218" t="n">
        <v>150.83</v>
      </c>
      <c r="E2618" s="218" t="n">
        <v>4.87</v>
      </c>
      <c r="F2618" t="str">
        <v>https://re.jrc.ec.europa.eu/api/v5_3/PVcalc?lat=30.0444&amp;lon=31.2357&amp;peakpower=1&amp;loss=14&amp;angle=40&amp;aspect=0&amp;outputformat=json&amp;raddatabase=PVGIS-SARAH3&amp;pvtechchoice=crystSi&amp;mountingplace=free&amp;usehorizon=1</v>
      </c>
    </row>
    <row r="2619">
      <c r="A2619" t="n">
        <v>40</v>
      </c>
      <c r="B2619" t="n">
        <v>180</v>
      </c>
      <c r="C2619" t="n">
        <v>6</v>
      </c>
      <c r="D2619" s="218" t="n">
        <v>143.85</v>
      </c>
      <c r="E2619" s="218" t="n">
        <v>4.79</v>
      </c>
      <c r="F2619" t="str">
        <v>https://re.jrc.ec.europa.eu/api/v5_3/PVcalc?lat=30.0444&amp;lon=31.2357&amp;peakpower=1&amp;loss=14&amp;angle=40&amp;aspect=0&amp;outputformat=json&amp;raddatabase=PVGIS-SARAH3&amp;pvtechchoice=crystSi&amp;mountingplace=free&amp;usehorizon=1</v>
      </c>
    </row>
    <row r="2620">
      <c r="A2620" t="n">
        <v>40</v>
      </c>
      <c r="B2620" t="n">
        <v>180</v>
      </c>
      <c r="C2620" t="n">
        <v>7</v>
      </c>
      <c r="D2620" s="218" t="n">
        <v>150.72</v>
      </c>
      <c r="E2620" s="218" t="n">
        <v>4.86</v>
      </c>
      <c r="F2620" t="str">
        <v>https://re.jrc.ec.europa.eu/api/v5_3/PVcalc?lat=30.0444&amp;lon=31.2357&amp;peakpower=1&amp;loss=14&amp;angle=40&amp;aspect=0&amp;outputformat=json&amp;raddatabase=PVGIS-SARAH3&amp;pvtechchoice=crystSi&amp;mountingplace=free&amp;usehorizon=1</v>
      </c>
    </row>
    <row r="2621">
      <c r="A2621" t="n">
        <v>40</v>
      </c>
      <c r="B2621" t="n">
        <v>180</v>
      </c>
      <c r="C2621" t="n">
        <v>8</v>
      </c>
      <c r="D2621" s="218" t="n">
        <v>157.71</v>
      </c>
      <c r="E2621" s="218" t="n">
        <v>5.09</v>
      </c>
      <c r="F2621" t="str">
        <v>https://re.jrc.ec.europa.eu/api/v5_3/PVcalc?lat=30.0444&amp;lon=31.2357&amp;peakpower=1&amp;loss=14&amp;angle=40&amp;aspect=0&amp;outputformat=json&amp;raddatabase=PVGIS-SARAH3&amp;pvtechchoice=crystSi&amp;mountingplace=free&amp;usehorizon=1</v>
      </c>
    </row>
    <row r="2622">
      <c r="A2622" t="n">
        <v>40</v>
      </c>
      <c r="B2622" t="n">
        <v>180</v>
      </c>
      <c r="C2622" t="n">
        <v>9</v>
      </c>
      <c r="D2622" s="218" t="n">
        <v>158.51</v>
      </c>
      <c r="E2622" s="218" t="n">
        <v>5.28</v>
      </c>
      <c r="F2622" t="str">
        <v>https://re.jrc.ec.europa.eu/api/v5_3/PVcalc?lat=30.0444&amp;lon=31.2357&amp;peakpower=1&amp;loss=14&amp;angle=40&amp;aspect=0&amp;outputformat=json&amp;raddatabase=PVGIS-SARAH3&amp;pvtechchoice=crystSi&amp;mountingplace=free&amp;usehorizon=1</v>
      </c>
    </row>
    <row r="2623">
      <c r="A2623" t="n">
        <v>40</v>
      </c>
      <c r="B2623" t="n">
        <v>180</v>
      </c>
      <c r="C2623" t="n">
        <v>10</v>
      </c>
      <c r="D2623" s="218" t="n">
        <v>157.92</v>
      </c>
      <c r="E2623" s="218" t="n">
        <v>5.09</v>
      </c>
      <c r="F2623" t="str">
        <v>https://re.jrc.ec.europa.eu/api/v5_3/PVcalc?lat=30.0444&amp;lon=31.2357&amp;peakpower=1&amp;loss=14&amp;angle=40&amp;aspect=0&amp;outputformat=json&amp;raddatabase=PVGIS-SARAH3&amp;pvtechchoice=crystSi&amp;mountingplace=free&amp;usehorizon=1</v>
      </c>
    </row>
    <row r="2624">
      <c r="A2624" t="n">
        <v>40</v>
      </c>
      <c r="B2624" t="n">
        <v>180</v>
      </c>
      <c r="C2624" t="n">
        <v>11</v>
      </c>
      <c r="D2624" s="218" t="n">
        <v>144.2</v>
      </c>
      <c r="E2624" s="218" t="n">
        <v>4.81</v>
      </c>
      <c r="F2624" t="str">
        <v>https://re.jrc.ec.europa.eu/api/v5_3/PVcalc?lat=30.0444&amp;lon=31.2357&amp;peakpower=1&amp;loss=14&amp;angle=40&amp;aspect=0&amp;outputformat=json&amp;raddatabase=PVGIS-SARAH3&amp;pvtechchoice=crystSi&amp;mountingplace=free&amp;usehorizon=1</v>
      </c>
    </row>
    <row r="2625">
      <c r="A2625" t="n">
        <v>40</v>
      </c>
      <c r="B2625" t="n">
        <v>180</v>
      </c>
      <c r="C2625" t="n">
        <v>12</v>
      </c>
      <c r="D2625" s="218" t="n">
        <v>139.09</v>
      </c>
      <c r="E2625" s="218" t="n">
        <v>4.49</v>
      </c>
      <c r="F2625" t="str">
        <v>https://re.jrc.ec.europa.eu/api/v5_3/PVcalc?lat=30.0444&amp;lon=31.2357&amp;peakpower=1&amp;loss=14&amp;angle=40&amp;aspect=0&amp;outputformat=json&amp;raddatabase=PVGIS-SARAH3&amp;pvtechchoice=crystSi&amp;mountingplace=free&amp;usehorizon=1</v>
      </c>
    </row>
    <row r="2626">
      <c r="A2626" t="n">
        <v>40</v>
      </c>
      <c r="B2626" t="n">
        <v>195</v>
      </c>
      <c r="C2626" t="n">
        <v>1</v>
      </c>
      <c r="D2626" s="218" t="n">
        <v>136.07</v>
      </c>
      <c r="E2626" s="218" t="n">
        <v>4.39</v>
      </c>
      <c r="F2626" t="str">
        <v>https://re.jrc.ec.europa.eu/api/v5_3/PVcalc?lat=30.0444&amp;lon=31.2357&amp;peakpower=1&amp;loss=14&amp;angle=40&amp;aspect=15&amp;outputformat=json&amp;raddatabase=PVGIS-SARAH3&amp;pvtechchoice=crystSi&amp;mountingplace=free&amp;usehorizon=1</v>
      </c>
    </row>
    <row r="2627">
      <c r="A2627" t="n">
        <v>40</v>
      </c>
      <c r="B2627" t="n">
        <v>195</v>
      </c>
      <c r="C2627" t="n">
        <v>2</v>
      </c>
      <c r="D2627" s="218" t="n">
        <v>131.17</v>
      </c>
      <c r="E2627" s="218" t="n">
        <v>4.68</v>
      </c>
      <c r="F2627" t="str">
        <v>https://re.jrc.ec.europa.eu/api/v5_3/PVcalc?lat=30.0444&amp;lon=31.2357&amp;peakpower=1&amp;loss=14&amp;angle=40&amp;aspect=15&amp;outputformat=json&amp;raddatabase=PVGIS-SARAH3&amp;pvtechchoice=crystSi&amp;mountingplace=free&amp;usehorizon=1</v>
      </c>
    </row>
    <row r="2628">
      <c r="A2628" t="n">
        <v>40</v>
      </c>
      <c r="B2628" t="n">
        <v>195</v>
      </c>
      <c r="C2628" t="n">
        <v>3</v>
      </c>
      <c r="D2628" s="218" t="n">
        <v>159.98</v>
      </c>
      <c r="E2628" s="218" t="n">
        <v>5.16</v>
      </c>
      <c r="F2628" t="str">
        <v>https://re.jrc.ec.europa.eu/api/v5_3/PVcalc?lat=30.0444&amp;lon=31.2357&amp;peakpower=1&amp;loss=14&amp;angle=40&amp;aspect=15&amp;outputformat=json&amp;raddatabase=PVGIS-SARAH3&amp;pvtechchoice=crystSi&amp;mountingplace=free&amp;usehorizon=1</v>
      </c>
    </row>
    <row r="2629">
      <c r="A2629" t="n">
        <v>40</v>
      </c>
      <c r="B2629" t="n">
        <v>195</v>
      </c>
      <c r="C2629" t="n">
        <v>4</v>
      </c>
      <c r="D2629" s="218" t="n">
        <v>155.03</v>
      </c>
      <c r="E2629" s="218" t="n">
        <v>5.17</v>
      </c>
      <c r="F2629" t="str">
        <v>https://re.jrc.ec.europa.eu/api/v5_3/PVcalc?lat=30.0444&amp;lon=31.2357&amp;peakpower=1&amp;loss=14&amp;angle=40&amp;aspect=15&amp;outputformat=json&amp;raddatabase=PVGIS-SARAH3&amp;pvtechchoice=crystSi&amp;mountingplace=free&amp;usehorizon=1</v>
      </c>
    </row>
    <row r="2630">
      <c r="A2630" t="n">
        <v>40</v>
      </c>
      <c r="B2630" t="n">
        <v>195</v>
      </c>
      <c r="C2630" t="n">
        <v>5</v>
      </c>
      <c r="D2630" s="218" t="n">
        <v>152</v>
      </c>
      <c r="E2630" s="218" t="n">
        <v>4.9</v>
      </c>
      <c r="F2630" t="str">
        <v>https://re.jrc.ec.europa.eu/api/v5_3/PVcalc?lat=30.0444&amp;lon=31.2357&amp;peakpower=1&amp;loss=14&amp;angle=40&amp;aspect=15&amp;outputformat=json&amp;raddatabase=PVGIS-SARAH3&amp;pvtechchoice=crystSi&amp;mountingplace=free&amp;usehorizon=1</v>
      </c>
    </row>
    <row r="2631">
      <c r="A2631" t="n">
        <v>40</v>
      </c>
      <c r="B2631" t="n">
        <v>195</v>
      </c>
      <c r="C2631" t="n">
        <v>6</v>
      </c>
      <c r="D2631" s="218" t="n">
        <v>145.51</v>
      </c>
      <c r="E2631" s="218" t="n">
        <v>4.85</v>
      </c>
      <c r="F2631" t="str">
        <v>https://re.jrc.ec.europa.eu/api/v5_3/PVcalc?lat=30.0444&amp;lon=31.2357&amp;peakpower=1&amp;loss=14&amp;angle=40&amp;aspect=15&amp;outputformat=json&amp;raddatabase=PVGIS-SARAH3&amp;pvtechchoice=crystSi&amp;mountingplace=free&amp;usehorizon=1</v>
      </c>
    </row>
    <row r="2632">
      <c r="A2632" t="n">
        <v>40</v>
      </c>
      <c r="B2632" t="n">
        <v>195</v>
      </c>
      <c r="C2632" t="n">
        <v>7</v>
      </c>
      <c r="D2632" s="218" t="n">
        <v>152.63</v>
      </c>
      <c r="E2632" s="218" t="n">
        <v>4.92</v>
      </c>
      <c r="F2632" t="str">
        <v>https://re.jrc.ec.europa.eu/api/v5_3/PVcalc?lat=30.0444&amp;lon=31.2357&amp;peakpower=1&amp;loss=14&amp;angle=40&amp;aspect=15&amp;outputformat=json&amp;raddatabase=PVGIS-SARAH3&amp;pvtechchoice=crystSi&amp;mountingplace=free&amp;usehorizon=1</v>
      </c>
    </row>
    <row r="2633">
      <c r="A2633" t="n">
        <v>40</v>
      </c>
      <c r="B2633" t="n">
        <v>195</v>
      </c>
      <c r="C2633" t="n">
        <v>8</v>
      </c>
      <c r="D2633" s="218" t="n">
        <v>159.13</v>
      </c>
      <c r="E2633" s="218" t="n">
        <v>5.13</v>
      </c>
      <c r="F2633" t="str">
        <v>https://re.jrc.ec.europa.eu/api/v5_3/PVcalc?lat=30.0444&amp;lon=31.2357&amp;peakpower=1&amp;loss=14&amp;angle=40&amp;aspect=15&amp;outputformat=json&amp;raddatabase=PVGIS-SARAH3&amp;pvtechchoice=crystSi&amp;mountingplace=free&amp;usehorizon=1</v>
      </c>
    </row>
    <row r="2634">
      <c r="A2634" t="n">
        <v>40</v>
      </c>
      <c r="B2634" t="n">
        <v>195</v>
      </c>
      <c r="C2634" t="n">
        <v>9</v>
      </c>
      <c r="D2634" s="218" t="n">
        <v>158.94</v>
      </c>
      <c r="E2634" s="218" t="n">
        <v>5.3</v>
      </c>
      <c r="F2634" t="str">
        <v>https://re.jrc.ec.europa.eu/api/v5_3/PVcalc?lat=30.0444&amp;lon=31.2357&amp;peakpower=1&amp;loss=14&amp;angle=40&amp;aspect=15&amp;outputformat=json&amp;raddatabase=PVGIS-SARAH3&amp;pvtechchoice=crystSi&amp;mountingplace=free&amp;usehorizon=1</v>
      </c>
    </row>
    <row r="2635">
      <c r="A2635" t="n">
        <v>40</v>
      </c>
      <c r="B2635" t="n">
        <v>195</v>
      </c>
      <c r="C2635" t="n">
        <v>10</v>
      </c>
      <c r="D2635" s="218" t="n">
        <v>156.27</v>
      </c>
      <c r="E2635" s="218" t="n">
        <v>5.04</v>
      </c>
      <c r="F2635" t="str">
        <v>https://re.jrc.ec.europa.eu/api/v5_3/PVcalc?lat=30.0444&amp;lon=31.2357&amp;peakpower=1&amp;loss=14&amp;angle=40&amp;aspect=15&amp;outputformat=json&amp;raddatabase=PVGIS-SARAH3&amp;pvtechchoice=crystSi&amp;mountingplace=free&amp;usehorizon=1</v>
      </c>
    </row>
    <row r="2636">
      <c r="A2636" t="n">
        <v>40</v>
      </c>
      <c r="B2636" t="n">
        <v>195</v>
      </c>
      <c r="C2636" t="n">
        <v>11</v>
      </c>
      <c r="D2636" s="218" t="n">
        <v>141.66</v>
      </c>
      <c r="E2636" s="218" t="n">
        <v>4.72</v>
      </c>
      <c r="F2636" t="str">
        <v>https://re.jrc.ec.europa.eu/api/v5_3/PVcalc?lat=30.0444&amp;lon=31.2357&amp;peakpower=1&amp;loss=14&amp;angle=40&amp;aspect=15&amp;outputformat=json&amp;raddatabase=PVGIS-SARAH3&amp;pvtechchoice=crystSi&amp;mountingplace=free&amp;usehorizon=1</v>
      </c>
    </row>
    <row r="2637">
      <c r="A2637" t="n">
        <v>40</v>
      </c>
      <c r="B2637" t="n">
        <v>195</v>
      </c>
      <c r="C2637" t="n">
        <v>12</v>
      </c>
      <c r="D2637" s="218" t="n">
        <v>136.23</v>
      </c>
      <c r="E2637" s="218" t="n">
        <v>4.39</v>
      </c>
      <c r="F2637" t="str">
        <v>https://re.jrc.ec.europa.eu/api/v5_3/PVcalc?lat=30.0444&amp;lon=31.2357&amp;peakpower=1&amp;loss=14&amp;angle=40&amp;aspect=15&amp;outputformat=json&amp;raddatabase=PVGIS-SARAH3&amp;pvtechchoice=crystSi&amp;mountingplace=free&amp;usehorizon=1</v>
      </c>
    </row>
    <row r="2638">
      <c r="A2638" t="n">
        <v>40</v>
      </c>
      <c r="B2638" t="n">
        <v>210</v>
      </c>
      <c r="C2638" t="n">
        <v>1</v>
      </c>
      <c r="D2638" s="218" t="n">
        <v>129</v>
      </c>
      <c r="E2638" s="218" t="n">
        <v>4.16</v>
      </c>
      <c r="F2638" t="str">
        <v>https://re.jrc.ec.europa.eu/api/v5_3/PVcalc?lat=30.0444&amp;lon=31.2357&amp;peakpower=1&amp;loss=14&amp;angle=40&amp;aspect=30&amp;outputformat=json&amp;raddatabase=PVGIS-SARAH3&amp;pvtechchoice=crystSi&amp;mountingplace=free&amp;usehorizon=1</v>
      </c>
    </row>
    <row r="2639">
      <c r="A2639" t="n">
        <v>40</v>
      </c>
      <c r="B2639" t="n">
        <v>210</v>
      </c>
      <c r="C2639" t="n">
        <v>2</v>
      </c>
      <c r="D2639" s="218" t="n">
        <v>125.68</v>
      </c>
      <c r="E2639" s="218" t="n">
        <v>4.49</v>
      </c>
      <c r="F2639" t="str">
        <v>https://re.jrc.ec.europa.eu/api/v5_3/PVcalc?lat=30.0444&amp;lon=31.2357&amp;peakpower=1&amp;loss=14&amp;angle=40&amp;aspect=30&amp;outputformat=json&amp;raddatabase=PVGIS-SARAH3&amp;pvtechchoice=crystSi&amp;mountingplace=free&amp;usehorizon=1</v>
      </c>
    </row>
    <row r="2640">
      <c r="A2640" t="n">
        <v>40</v>
      </c>
      <c r="B2640" t="n">
        <v>210</v>
      </c>
      <c r="C2640" t="n">
        <v>3</v>
      </c>
      <c r="D2640" s="218" t="n">
        <v>156.6</v>
      </c>
      <c r="E2640" s="218" t="n">
        <v>5.05</v>
      </c>
      <c r="F2640" t="str">
        <v>https://re.jrc.ec.europa.eu/api/v5_3/PVcalc?lat=30.0444&amp;lon=31.2357&amp;peakpower=1&amp;loss=14&amp;angle=40&amp;aspect=30&amp;outputformat=json&amp;raddatabase=PVGIS-SARAH3&amp;pvtechchoice=crystSi&amp;mountingplace=free&amp;usehorizon=1</v>
      </c>
    </row>
    <row r="2641">
      <c r="A2641" t="n">
        <v>40</v>
      </c>
      <c r="B2641" t="n">
        <v>210</v>
      </c>
      <c r="C2641" t="n">
        <v>4</v>
      </c>
      <c r="D2641" s="218" t="n">
        <v>154.48</v>
      </c>
      <c r="E2641" s="218" t="n">
        <v>5.15</v>
      </c>
      <c r="F2641" t="str">
        <v>https://re.jrc.ec.europa.eu/api/v5_3/PVcalc?lat=30.0444&amp;lon=31.2357&amp;peakpower=1&amp;loss=14&amp;angle=40&amp;aspect=30&amp;outputformat=json&amp;raddatabase=PVGIS-SARAH3&amp;pvtechchoice=crystSi&amp;mountingplace=free&amp;usehorizon=1</v>
      </c>
    </row>
    <row r="2642">
      <c r="A2642" t="n">
        <v>40</v>
      </c>
      <c r="B2642" t="n">
        <v>210</v>
      </c>
      <c r="C2642" t="n">
        <v>5</v>
      </c>
      <c r="D2642" s="218" t="n">
        <v>154.08</v>
      </c>
      <c r="E2642" s="218" t="n">
        <v>4.97</v>
      </c>
      <c r="F2642" t="str">
        <v>https://re.jrc.ec.europa.eu/api/v5_3/PVcalc?lat=30.0444&amp;lon=31.2357&amp;peakpower=1&amp;loss=14&amp;angle=40&amp;aspect=30&amp;outputformat=json&amp;raddatabase=PVGIS-SARAH3&amp;pvtechchoice=crystSi&amp;mountingplace=free&amp;usehorizon=1</v>
      </c>
    </row>
    <row r="2643">
      <c r="A2643" t="n">
        <v>40</v>
      </c>
      <c r="B2643" t="n">
        <v>210</v>
      </c>
      <c r="C2643" t="n">
        <v>6</v>
      </c>
      <c r="D2643" s="218" t="n">
        <v>149.81</v>
      </c>
      <c r="E2643" s="218" t="n">
        <v>4.99</v>
      </c>
      <c r="F2643" t="str">
        <v>https://re.jrc.ec.europa.eu/api/v5_3/PVcalc?lat=30.0444&amp;lon=31.2357&amp;peakpower=1&amp;loss=14&amp;angle=40&amp;aspect=30&amp;outputformat=json&amp;raddatabase=PVGIS-SARAH3&amp;pvtechchoice=crystSi&amp;mountingplace=free&amp;usehorizon=1</v>
      </c>
    </row>
    <row r="2644">
      <c r="A2644" t="n">
        <v>40</v>
      </c>
      <c r="B2644" t="n">
        <v>210</v>
      </c>
      <c r="C2644" t="n">
        <v>7</v>
      </c>
      <c r="D2644" s="218" t="n">
        <v>156.75</v>
      </c>
      <c r="E2644" s="218" t="n">
        <v>5.06</v>
      </c>
      <c r="F2644" t="str">
        <v>https://re.jrc.ec.europa.eu/api/v5_3/PVcalc?lat=30.0444&amp;lon=31.2357&amp;peakpower=1&amp;loss=14&amp;angle=40&amp;aspect=30&amp;outputformat=json&amp;raddatabase=PVGIS-SARAH3&amp;pvtechchoice=crystSi&amp;mountingplace=free&amp;usehorizon=1</v>
      </c>
    </row>
    <row r="2645">
      <c r="A2645" t="n">
        <v>40</v>
      </c>
      <c r="B2645" t="n">
        <v>210</v>
      </c>
      <c r="C2645" t="n">
        <v>8</v>
      </c>
      <c r="D2645" s="218" t="n">
        <v>160.66</v>
      </c>
      <c r="E2645" s="218" t="n">
        <v>5.18</v>
      </c>
      <c r="F2645" t="str">
        <v>https://re.jrc.ec.europa.eu/api/v5_3/PVcalc?lat=30.0444&amp;lon=31.2357&amp;peakpower=1&amp;loss=14&amp;angle=40&amp;aspect=30&amp;outputformat=json&amp;raddatabase=PVGIS-SARAH3&amp;pvtechchoice=crystSi&amp;mountingplace=free&amp;usehorizon=1</v>
      </c>
    </row>
    <row r="2646">
      <c r="A2646" t="n">
        <v>40</v>
      </c>
      <c r="B2646" t="n">
        <v>210</v>
      </c>
      <c r="C2646" t="n">
        <v>9</v>
      </c>
      <c r="D2646" s="218" t="n">
        <v>156.82</v>
      </c>
      <c r="E2646" s="218" t="n">
        <v>5.23</v>
      </c>
      <c r="F2646" t="str">
        <v>https://re.jrc.ec.europa.eu/api/v5_3/PVcalc?lat=30.0444&amp;lon=31.2357&amp;peakpower=1&amp;loss=14&amp;angle=40&amp;aspect=30&amp;outputformat=json&amp;raddatabase=PVGIS-SARAH3&amp;pvtechchoice=crystSi&amp;mountingplace=free&amp;usehorizon=1</v>
      </c>
    </row>
    <row r="2647">
      <c r="A2647" t="n">
        <v>40</v>
      </c>
      <c r="B2647" t="n">
        <v>210</v>
      </c>
      <c r="C2647" t="n">
        <v>10</v>
      </c>
      <c r="D2647" s="218" t="n">
        <v>150.7</v>
      </c>
      <c r="E2647" s="218" t="n">
        <v>4.86</v>
      </c>
      <c r="F2647" t="str">
        <v>https://re.jrc.ec.europa.eu/api/v5_3/PVcalc?lat=30.0444&amp;lon=31.2357&amp;peakpower=1&amp;loss=14&amp;angle=40&amp;aspect=30&amp;outputformat=json&amp;raddatabase=PVGIS-SARAH3&amp;pvtechchoice=crystSi&amp;mountingplace=free&amp;usehorizon=1</v>
      </c>
    </row>
    <row r="2648">
      <c r="A2648" t="n">
        <v>40</v>
      </c>
      <c r="B2648" t="n">
        <v>210</v>
      </c>
      <c r="C2648" t="n">
        <v>11</v>
      </c>
      <c r="D2648" s="218" t="n">
        <v>134.7</v>
      </c>
      <c r="E2648" s="218" t="n">
        <v>4.49</v>
      </c>
      <c r="F2648" t="str">
        <v>https://re.jrc.ec.europa.eu/api/v5_3/PVcalc?lat=30.0444&amp;lon=31.2357&amp;peakpower=1&amp;loss=14&amp;angle=40&amp;aspect=30&amp;outputformat=json&amp;raddatabase=PVGIS-SARAH3&amp;pvtechchoice=crystSi&amp;mountingplace=free&amp;usehorizon=1</v>
      </c>
    </row>
    <row r="2649">
      <c r="A2649" t="n">
        <v>40</v>
      </c>
      <c r="B2649" t="n">
        <v>210</v>
      </c>
      <c r="C2649" t="n">
        <v>12</v>
      </c>
      <c r="D2649" s="218" t="n">
        <v>128.82</v>
      </c>
      <c r="E2649" s="218" t="n">
        <v>4.16</v>
      </c>
      <c r="F2649" t="str">
        <v>https://re.jrc.ec.europa.eu/api/v5_3/PVcalc?lat=30.0444&amp;lon=31.2357&amp;peakpower=1&amp;loss=14&amp;angle=40&amp;aspect=30&amp;outputformat=json&amp;raddatabase=PVGIS-SARAH3&amp;pvtechchoice=crystSi&amp;mountingplace=free&amp;usehorizon=1</v>
      </c>
    </row>
    <row r="2650">
      <c r="A2650" t="n">
        <v>40</v>
      </c>
      <c r="B2650" t="n">
        <v>225</v>
      </c>
      <c r="C2650" t="n">
        <v>1</v>
      </c>
      <c r="D2650" s="218" t="n">
        <v>118.29</v>
      </c>
      <c r="E2650" s="218" t="n">
        <v>3.82</v>
      </c>
      <c r="F2650" t="str">
        <v>https://re.jrc.ec.europa.eu/api/v5_3/PVcalc?lat=30.0444&amp;lon=31.2357&amp;peakpower=1&amp;loss=14&amp;angle=40&amp;aspect=45&amp;outputformat=json&amp;raddatabase=PVGIS-SARAH3&amp;pvtechchoice=crystSi&amp;mountingplace=free&amp;usehorizon=1</v>
      </c>
    </row>
    <row r="2651">
      <c r="A2651" t="n">
        <v>40</v>
      </c>
      <c r="B2651" t="n">
        <v>225</v>
      </c>
      <c r="C2651" t="n">
        <v>2</v>
      </c>
      <c r="D2651" s="218" t="n">
        <v>117.63</v>
      </c>
      <c r="E2651" s="218" t="n">
        <v>4.2</v>
      </c>
      <c r="F2651" t="str">
        <v>https://re.jrc.ec.europa.eu/api/v5_3/PVcalc?lat=30.0444&amp;lon=31.2357&amp;peakpower=1&amp;loss=14&amp;angle=40&amp;aspect=45&amp;outputformat=json&amp;raddatabase=PVGIS-SARAH3&amp;pvtechchoice=crystSi&amp;mountingplace=free&amp;usehorizon=1</v>
      </c>
    </row>
    <row r="2652">
      <c r="A2652" t="n">
        <v>40</v>
      </c>
      <c r="B2652" t="n">
        <v>225</v>
      </c>
      <c r="C2652" t="n">
        <v>3</v>
      </c>
      <c r="D2652" s="218" t="n">
        <v>150.83</v>
      </c>
      <c r="E2652" s="218" t="n">
        <v>4.87</v>
      </c>
      <c r="F2652" t="str">
        <v>https://re.jrc.ec.europa.eu/api/v5_3/PVcalc?lat=30.0444&amp;lon=31.2357&amp;peakpower=1&amp;loss=14&amp;angle=40&amp;aspect=45&amp;outputformat=json&amp;raddatabase=PVGIS-SARAH3&amp;pvtechchoice=crystSi&amp;mountingplace=free&amp;usehorizon=1</v>
      </c>
    </row>
    <row r="2653">
      <c r="A2653" t="n">
        <v>40</v>
      </c>
      <c r="B2653" t="n">
        <v>225</v>
      </c>
      <c r="C2653" t="n">
        <v>4</v>
      </c>
      <c r="D2653" s="218" t="n">
        <v>152.45</v>
      </c>
      <c r="E2653" s="218" t="n">
        <v>5.08</v>
      </c>
      <c r="F2653" t="str">
        <v>https://re.jrc.ec.europa.eu/api/v5_3/PVcalc?lat=30.0444&amp;lon=31.2357&amp;peakpower=1&amp;loss=14&amp;angle=40&amp;aspect=45&amp;outputformat=json&amp;raddatabase=PVGIS-SARAH3&amp;pvtechchoice=crystSi&amp;mountingplace=free&amp;usehorizon=1</v>
      </c>
    </row>
    <row r="2654">
      <c r="A2654" t="n">
        <v>40</v>
      </c>
      <c r="B2654" t="n">
        <v>225</v>
      </c>
      <c r="C2654" t="n">
        <v>5</v>
      </c>
      <c r="D2654" s="218" t="n">
        <v>155.51</v>
      </c>
      <c r="E2654" s="218" t="n">
        <v>5.02</v>
      </c>
      <c r="F2654" t="str">
        <v>https://re.jrc.ec.europa.eu/api/v5_3/PVcalc?lat=30.0444&amp;lon=31.2357&amp;peakpower=1&amp;loss=14&amp;angle=40&amp;aspect=45&amp;outputformat=json&amp;raddatabase=PVGIS-SARAH3&amp;pvtechchoice=crystSi&amp;mountingplace=free&amp;usehorizon=1</v>
      </c>
    </row>
    <row r="2655">
      <c r="A2655" t="n">
        <v>40</v>
      </c>
      <c r="B2655" t="n">
        <v>225</v>
      </c>
      <c r="C2655" t="n">
        <v>6</v>
      </c>
      <c r="D2655" s="218" t="n">
        <v>153.8</v>
      </c>
      <c r="E2655" s="218" t="n">
        <v>5.13</v>
      </c>
      <c r="F2655" t="str">
        <v>https://re.jrc.ec.europa.eu/api/v5_3/PVcalc?lat=30.0444&amp;lon=31.2357&amp;peakpower=1&amp;loss=14&amp;angle=40&amp;aspect=45&amp;outputformat=json&amp;raddatabase=PVGIS-SARAH3&amp;pvtechchoice=crystSi&amp;mountingplace=free&amp;usehorizon=1</v>
      </c>
    </row>
    <row r="2656">
      <c r="A2656" t="n">
        <v>40</v>
      </c>
      <c r="B2656" t="n">
        <v>225</v>
      </c>
      <c r="C2656" t="n">
        <v>7</v>
      </c>
      <c r="D2656" s="218" t="n">
        <v>160.19</v>
      </c>
      <c r="E2656" s="218" t="n">
        <v>5.17</v>
      </c>
      <c r="F2656" t="str">
        <v>https://re.jrc.ec.europa.eu/api/v5_3/PVcalc?lat=30.0444&amp;lon=31.2357&amp;peakpower=1&amp;loss=14&amp;angle=40&amp;aspect=45&amp;outputformat=json&amp;raddatabase=PVGIS-SARAH3&amp;pvtechchoice=crystSi&amp;mountingplace=free&amp;usehorizon=1</v>
      </c>
    </row>
    <row r="2657">
      <c r="A2657" t="n">
        <v>40</v>
      </c>
      <c r="B2657" t="n">
        <v>225</v>
      </c>
      <c r="C2657" t="n">
        <v>8</v>
      </c>
      <c r="D2657" s="218" t="n">
        <v>160.74</v>
      </c>
      <c r="E2657" s="218" t="n">
        <v>5.19</v>
      </c>
      <c r="F2657" t="str">
        <v>https://re.jrc.ec.europa.eu/api/v5_3/PVcalc?lat=30.0444&amp;lon=31.2357&amp;peakpower=1&amp;loss=14&amp;angle=40&amp;aspect=45&amp;outputformat=json&amp;raddatabase=PVGIS-SARAH3&amp;pvtechchoice=crystSi&amp;mountingplace=free&amp;usehorizon=1</v>
      </c>
    </row>
    <row r="2658">
      <c r="A2658" t="n">
        <v>40</v>
      </c>
      <c r="B2658" t="n">
        <v>225</v>
      </c>
      <c r="C2658" t="n">
        <v>9</v>
      </c>
      <c r="D2658" s="218" t="n">
        <v>153.09</v>
      </c>
      <c r="E2658" s="218" t="n">
        <v>5.1</v>
      </c>
      <c r="F2658" t="str">
        <v>https://re.jrc.ec.europa.eu/api/v5_3/PVcalc?lat=30.0444&amp;lon=31.2357&amp;peakpower=1&amp;loss=14&amp;angle=40&amp;aspect=45&amp;outputformat=json&amp;raddatabase=PVGIS-SARAH3&amp;pvtechchoice=crystSi&amp;mountingplace=free&amp;usehorizon=1</v>
      </c>
    </row>
    <row r="2659">
      <c r="A2659" t="n">
        <v>40</v>
      </c>
      <c r="B2659" t="n">
        <v>225</v>
      </c>
      <c r="C2659" t="n">
        <v>10</v>
      </c>
      <c r="D2659" s="218" t="n">
        <v>142.93</v>
      </c>
      <c r="E2659" s="218" t="n">
        <v>4.61</v>
      </c>
      <c r="F2659" t="str">
        <v>https://re.jrc.ec.europa.eu/api/v5_3/PVcalc?lat=30.0444&amp;lon=31.2357&amp;peakpower=1&amp;loss=14&amp;angle=40&amp;aspect=45&amp;outputformat=json&amp;raddatabase=PVGIS-SARAH3&amp;pvtechchoice=crystSi&amp;mountingplace=free&amp;usehorizon=1</v>
      </c>
    </row>
    <row r="2660">
      <c r="A2660" t="n">
        <v>40</v>
      </c>
      <c r="B2660" t="n">
        <v>225</v>
      </c>
      <c r="C2660" t="n">
        <v>11</v>
      </c>
      <c r="D2660" s="218" t="n">
        <v>124.71</v>
      </c>
      <c r="E2660" s="218" t="n">
        <v>4.16</v>
      </c>
      <c r="F2660" t="str">
        <v>https://re.jrc.ec.europa.eu/api/v5_3/PVcalc?lat=30.0444&amp;lon=31.2357&amp;peakpower=1&amp;loss=14&amp;angle=40&amp;aspect=45&amp;outputformat=json&amp;raddatabase=PVGIS-SARAH3&amp;pvtechchoice=crystSi&amp;mountingplace=free&amp;usehorizon=1</v>
      </c>
    </row>
    <row r="2661">
      <c r="A2661" t="n">
        <v>40</v>
      </c>
      <c r="B2661" t="n">
        <v>225</v>
      </c>
      <c r="C2661" t="n">
        <v>12</v>
      </c>
      <c r="D2661" s="218" t="n">
        <v>117.76</v>
      </c>
      <c r="E2661" s="218" t="n">
        <v>3.8</v>
      </c>
      <c r="F2661" t="str">
        <v>https://re.jrc.ec.europa.eu/api/v5_3/PVcalc?lat=30.0444&amp;lon=31.2357&amp;peakpower=1&amp;loss=14&amp;angle=40&amp;aspect=45&amp;outputformat=json&amp;raddatabase=PVGIS-SARAH3&amp;pvtechchoice=crystSi&amp;mountingplace=free&amp;usehorizon=1</v>
      </c>
    </row>
    <row r="2662">
      <c r="A2662" t="n">
        <v>40</v>
      </c>
      <c r="B2662" t="n">
        <v>240</v>
      </c>
      <c r="C2662" t="n">
        <v>1</v>
      </c>
      <c r="D2662" s="218" t="n">
        <v>105.98</v>
      </c>
      <c r="E2662" s="218" t="n">
        <v>3.42</v>
      </c>
      <c r="F2662" t="str">
        <v>https://re.jrc.ec.europa.eu/api/v5_3/PVcalc?lat=30.0444&amp;lon=31.2357&amp;peakpower=1&amp;loss=14&amp;angle=40&amp;aspect=60&amp;outputformat=json&amp;raddatabase=PVGIS-SARAH3&amp;pvtechchoice=crystSi&amp;mountingplace=free&amp;usehorizon=1</v>
      </c>
    </row>
    <row r="2663">
      <c r="A2663" t="n">
        <v>40</v>
      </c>
      <c r="B2663" t="n">
        <v>240</v>
      </c>
      <c r="C2663" t="n">
        <v>2</v>
      </c>
      <c r="D2663" s="218" t="n">
        <v>108.57</v>
      </c>
      <c r="E2663" s="218" t="n">
        <v>3.88</v>
      </c>
      <c r="F2663" t="str">
        <v>https://re.jrc.ec.europa.eu/api/v5_3/PVcalc?lat=30.0444&amp;lon=31.2357&amp;peakpower=1&amp;loss=14&amp;angle=40&amp;aspect=60&amp;outputformat=json&amp;raddatabase=PVGIS-SARAH3&amp;pvtechchoice=crystSi&amp;mountingplace=free&amp;usehorizon=1</v>
      </c>
    </row>
    <row r="2664">
      <c r="A2664" t="n">
        <v>40</v>
      </c>
      <c r="B2664" t="n">
        <v>240</v>
      </c>
      <c r="C2664" t="n">
        <v>3</v>
      </c>
      <c r="D2664" s="218" t="n">
        <v>144.19</v>
      </c>
      <c r="E2664" s="218" t="n">
        <v>4.65</v>
      </c>
      <c r="F2664" t="str">
        <v>https://re.jrc.ec.europa.eu/api/v5_3/PVcalc?lat=30.0444&amp;lon=31.2357&amp;peakpower=1&amp;loss=14&amp;angle=40&amp;aspect=60&amp;outputformat=json&amp;raddatabase=PVGIS-SARAH3&amp;pvtechchoice=crystSi&amp;mountingplace=free&amp;usehorizon=1</v>
      </c>
    </row>
    <row r="2665">
      <c r="A2665" t="n">
        <v>40</v>
      </c>
      <c r="B2665" t="n">
        <v>240</v>
      </c>
      <c r="C2665" t="n">
        <v>4</v>
      </c>
      <c r="D2665" s="218" t="n">
        <v>149.42</v>
      </c>
      <c r="E2665" s="218" t="n">
        <v>4.98</v>
      </c>
      <c r="F2665" t="str">
        <v>https://re.jrc.ec.europa.eu/api/v5_3/PVcalc?lat=30.0444&amp;lon=31.2357&amp;peakpower=1&amp;loss=14&amp;angle=40&amp;aspect=60&amp;outputformat=json&amp;raddatabase=PVGIS-SARAH3&amp;pvtechchoice=crystSi&amp;mountingplace=free&amp;usehorizon=1</v>
      </c>
    </row>
    <row r="2666">
      <c r="A2666" t="n">
        <v>40</v>
      </c>
      <c r="B2666" t="n">
        <v>240</v>
      </c>
      <c r="C2666" t="n">
        <v>5</v>
      </c>
      <c r="D2666" s="218" t="n">
        <v>156.07</v>
      </c>
      <c r="E2666" s="218" t="n">
        <v>5.03</v>
      </c>
      <c r="F2666" t="str">
        <v>https://re.jrc.ec.europa.eu/api/v5_3/PVcalc?lat=30.0444&amp;lon=31.2357&amp;peakpower=1&amp;loss=14&amp;angle=40&amp;aspect=60&amp;outputformat=json&amp;raddatabase=PVGIS-SARAH3&amp;pvtechchoice=crystSi&amp;mountingplace=free&amp;usehorizon=1</v>
      </c>
    </row>
    <row r="2667">
      <c r="A2667" t="n">
        <v>40</v>
      </c>
      <c r="B2667" t="n">
        <v>240</v>
      </c>
      <c r="C2667" t="n">
        <v>6</v>
      </c>
      <c r="D2667" s="218" t="n">
        <v>157.12</v>
      </c>
      <c r="E2667" s="218" t="n">
        <v>5.24</v>
      </c>
      <c r="F2667" t="str">
        <v>https://re.jrc.ec.europa.eu/api/v5_3/PVcalc?lat=30.0444&amp;lon=31.2357&amp;peakpower=1&amp;loss=14&amp;angle=40&amp;aspect=60&amp;outputformat=json&amp;raddatabase=PVGIS-SARAH3&amp;pvtechchoice=crystSi&amp;mountingplace=free&amp;usehorizon=1</v>
      </c>
    </row>
    <row r="2668">
      <c r="A2668" t="n">
        <v>40</v>
      </c>
      <c r="B2668" t="n">
        <v>240</v>
      </c>
      <c r="C2668" t="n">
        <v>7</v>
      </c>
      <c r="D2668" s="218" t="n">
        <v>162.96</v>
      </c>
      <c r="E2668" s="218" t="n">
        <v>5.26</v>
      </c>
      <c r="F2668" t="str">
        <v>https://re.jrc.ec.europa.eu/api/v5_3/PVcalc?lat=30.0444&amp;lon=31.2357&amp;peakpower=1&amp;loss=14&amp;angle=40&amp;aspect=60&amp;outputformat=json&amp;raddatabase=PVGIS-SARAH3&amp;pvtechchoice=crystSi&amp;mountingplace=free&amp;usehorizon=1</v>
      </c>
    </row>
    <row r="2669">
      <c r="A2669" t="n">
        <v>40</v>
      </c>
      <c r="B2669" t="n">
        <v>240</v>
      </c>
      <c r="C2669" t="n">
        <v>8</v>
      </c>
      <c r="D2669" s="218" t="n">
        <v>160.1</v>
      </c>
      <c r="E2669" s="218" t="n">
        <v>5.16</v>
      </c>
      <c r="F2669" t="str">
        <v>https://re.jrc.ec.europa.eu/api/v5_3/PVcalc?lat=30.0444&amp;lon=31.2357&amp;peakpower=1&amp;loss=14&amp;angle=40&amp;aspect=60&amp;outputformat=json&amp;raddatabase=PVGIS-SARAH3&amp;pvtechchoice=crystSi&amp;mountingplace=free&amp;usehorizon=1</v>
      </c>
    </row>
    <row r="2670">
      <c r="A2670" t="n">
        <v>40</v>
      </c>
      <c r="B2670" t="n">
        <v>240</v>
      </c>
      <c r="C2670" t="n">
        <v>9</v>
      </c>
      <c r="D2670" s="218" t="n">
        <v>147.25</v>
      </c>
      <c r="E2670" s="218" t="n">
        <v>4.91</v>
      </c>
      <c r="F2670" t="str">
        <v>https://re.jrc.ec.europa.eu/api/v5_3/PVcalc?lat=30.0444&amp;lon=31.2357&amp;peakpower=1&amp;loss=14&amp;angle=40&amp;aspect=60&amp;outputformat=json&amp;raddatabase=PVGIS-SARAH3&amp;pvtechchoice=crystSi&amp;mountingplace=free&amp;usehorizon=1</v>
      </c>
    </row>
    <row r="2671">
      <c r="A2671" t="n">
        <v>40</v>
      </c>
      <c r="B2671" t="n">
        <v>240</v>
      </c>
      <c r="C2671" t="n">
        <v>10</v>
      </c>
      <c r="D2671" s="218" t="n">
        <v>132.73</v>
      </c>
      <c r="E2671" s="218" t="n">
        <v>4.28</v>
      </c>
      <c r="F2671" t="str">
        <v>https://re.jrc.ec.europa.eu/api/v5_3/PVcalc?lat=30.0444&amp;lon=31.2357&amp;peakpower=1&amp;loss=14&amp;angle=40&amp;aspect=60&amp;outputformat=json&amp;raddatabase=PVGIS-SARAH3&amp;pvtechchoice=crystSi&amp;mountingplace=free&amp;usehorizon=1</v>
      </c>
    </row>
    <row r="2672">
      <c r="A2672" t="n">
        <v>40</v>
      </c>
      <c r="B2672" t="n">
        <v>240</v>
      </c>
      <c r="C2672" t="n">
        <v>11</v>
      </c>
      <c r="D2672" s="218" t="n">
        <v>112.3</v>
      </c>
      <c r="E2672" s="218" t="n">
        <v>3.74</v>
      </c>
      <c r="F2672" t="str">
        <v>https://re.jrc.ec.europa.eu/api/v5_3/PVcalc?lat=30.0444&amp;lon=31.2357&amp;peakpower=1&amp;loss=14&amp;angle=40&amp;aspect=60&amp;outputformat=json&amp;raddatabase=PVGIS-SARAH3&amp;pvtechchoice=crystSi&amp;mountingplace=free&amp;usehorizon=1</v>
      </c>
    </row>
    <row r="2673">
      <c r="A2673" t="n">
        <v>40</v>
      </c>
      <c r="B2673" t="n">
        <v>240</v>
      </c>
      <c r="C2673" t="n">
        <v>12</v>
      </c>
      <c r="D2673" s="218" t="n">
        <v>104.59</v>
      </c>
      <c r="E2673" s="218" t="n">
        <v>3.37</v>
      </c>
      <c r="F2673" t="str">
        <v>https://re.jrc.ec.europa.eu/api/v5_3/PVcalc?lat=30.0444&amp;lon=31.2357&amp;peakpower=1&amp;loss=14&amp;angle=40&amp;aspect=60&amp;outputformat=json&amp;raddatabase=PVGIS-SARAH3&amp;pvtechchoice=crystSi&amp;mountingplace=free&amp;usehorizon=1</v>
      </c>
    </row>
    <row r="2674">
      <c r="A2674" t="n">
        <v>40</v>
      </c>
      <c r="B2674" t="n">
        <v>255</v>
      </c>
      <c r="C2674" t="n">
        <v>1</v>
      </c>
      <c r="D2674" s="218" t="n">
        <v>91.99</v>
      </c>
      <c r="E2674" s="218" t="n">
        <v>2.97</v>
      </c>
      <c r="F2674" t="str">
        <v>https://re.jrc.ec.europa.eu/api/v5_3/PVcalc?lat=30.0444&amp;lon=31.2357&amp;peakpower=1&amp;loss=14&amp;angle=40&amp;aspect=75&amp;outputformat=json&amp;raddatabase=PVGIS-SARAH3&amp;pvtechchoice=crystSi&amp;mountingplace=free&amp;usehorizon=1</v>
      </c>
    </row>
    <row r="2675">
      <c r="A2675" t="n">
        <v>40</v>
      </c>
      <c r="B2675" t="n">
        <v>255</v>
      </c>
      <c r="C2675" t="n">
        <v>2</v>
      </c>
      <c r="D2675" s="218" t="n">
        <v>97.87</v>
      </c>
      <c r="E2675" s="218" t="n">
        <v>3.5</v>
      </c>
      <c r="F2675" t="str">
        <v>https://re.jrc.ec.europa.eu/api/v5_3/PVcalc?lat=30.0444&amp;lon=31.2357&amp;peakpower=1&amp;loss=14&amp;angle=40&amp;aspect=75&amp;outputformat=json&amp;raddatabase=PVGIS-SARAH3&amp;pvtechchoice=crystSi&amp;mountingplace=free&amp;usehorizon=1</v>
      </c>
    </row>
    <row r="2676">
      <c r="A2676" t="n">
        <v>40</v>
      </c>
      <c r="B2676" t="n">
        <v>255</v>
      </c>
      <c r="C2676" t="n">
        <v>3</v>
      </c>
      <c r="D2676" s="218" t="n">
        <v>135.39</v>
      </c>
      <c r="E2676" s="218" t="n">
        <v>4.37</v>
      </c>
      <c r="F2676" t="str">
        <v>https://re.jrc.ec.europa.eu/api/v5_3/PVcalc?lat=30.0444&amp;lon=31.2357&amp;peakpower=1&amp;loss=14&amp;angle=40&amp;aspect=75&amp;outputformat=json&amp;raddatabase=PVGIS-SARAH3&amp;pvtechchoice=crystSi&amp;mountingplace=free&amp;usehorizon=1</v>
      </c>
    </row>
    <row r="2677">
      <c r="A2677" t="n">
        <v>40</v>
      </c>
      <c r="B2677" t="n">
        <v>255</v>
      </c>
      <c r="C2677" t="n">
        <v>4</v>
      </c>
      <c r="D2677" s="218" t="n">
        <v>145.74</v>
      </c>
      <c r="E2677" s="218" t="n">
        <v>4.86</v>
      </c>
      <c r="F2677" t="str">
        <v>https://re.jrc.ec.europa.eu/api/v5_3/PVcalc?lat=30.0444&amp;lon=31.2357&amp;peakpower=1&amp;loss=14&amp;angle=40&amp;aspect=75&amp;outputformat=json&amp;raddatabase=PVGIS-SARAH3&amp;pvtechchoice=crystSi&amp;mountingplace=free&amp;usehorizon=1</v>
      </c>
    </row>
    <row r="2678">
      <c r="A2678" t="n">
        <v>40</v>
      </c>
      <c r="B2678" t="n">
        <v>255</v>
      </c>
      <c r="C2678" t="n">
        <v>5</v>
      </c>
      <c r="D2678" s="218" t="n">
        <v>156.54</v>
      </c>
      <c r="E2678" s="218" t="n">
        <v>5.05</v>
      </c>
      <c r="F2678" t="str">
        <v>https://re.jrc.ec.europa.eu/api/v5_3/PVcalc?lat=30.0444&amp;lon=31.2357&amp;peakpower=1&amp;loss=14&amp;angle=40&amp;aspect=75&amp;outputformat=json&amp;raddatabase=PVGIS-SARAH3&amp;pvtechchoice=crystSi&amp;mountingplace=free&amp;usehorizon=1</v>
      </c>
    </row>
    <row r="2679">
      <c r="A2679" t="n">
        <v>40</v>
      </c>
      <c r="B2679" t="n">
        <v>255</v>
      </c>
      <c r="C2679" t="n">
        <v>6</v>
      </c>
      <c r="D2679" s="218" t="n">
        <v>160.12</v>
      </c>
      <c r="E2679" s="218" t="n">
        <v>5.34</v>
      </c>
      <c r="F2679" t="str">
        <v>https://re.jrc.ec.europa.eu/api/v5_3/PVcalc?lat=30.0444&amp;lon=31.2357&amp;peakpower=1&amp;loss=14&amp;angle=40&amp;aspect=75&amp;outputformat=json&amp;raddatabase=PVGIS-SARAH3&amp;pvtechchoice=crystSi&amp;mountingplace=free&amp;usehorizon=1</v>
      </c>
    </row>
    <row r="2680">
      <c r="A2680" t="n">
        <v>40</v>
      </c>
      <c r="B2680" t="n">
        <v>255</v>
      </c>
      <c r="C2680" t="n">
        <v>7</v>
      </c>
      <c r="D2680" s="218" t="n">
        <v>165.38</v>
      </c>
      <c r="E2680" s="218" t="n">
        <v>5.33</v>
      </c>
      <c r="F2680" t="str">
        <v>https://re.jrc.ec.europa.eu/api/v5_3/PVcalc?lat=30.0444&amp;lon=31.2357&amp;peakpower=1&amp;loss=14&amp;angle=40&amp;aspect=75&amp;outputformat=json&amp;raddatabase=PVGIS-SARAH3&amp;pvtechchoice=crystSi&amp;mountingplace=free&amp;usehorizon=1</v>
      </c>
    </row>
    <row r="2681">
      <c r="A2681" t="n">
        <v>40</v>
      </c>
      <c r="B2681" t="n">
        <v>255</v>
      </c>
      <c r="C2681" t="n">
        <v>8</v>
      </c>
      <c r="D2681" s="218" t="n">
        <v>158.12</v>
      </c>
      <c r="E2681" s="218" t="n">
        <v>5.1</v>
      </c>
      <c r="F2681" t="str">
        <v>https://re.jrc.ec.europa.eu/api/v5_3/PVcalc?lat=30.0444&amp;lon=31.2357&amp;peakpower=1&amp;loss=14&amp;angle=40&amp;aspect=75&amp;outputformat=json&amp;raddatabase=PVGIS-SARAH3&amp;pvtechchoice=crystSi&amp;mountingplace=free&amp;usehorizon=1</v>
      </c>
    </row>
    <row r="2682">
      <c r="A2682" t="n">
        <v>40</v>
      </c>
      <c r="B2682" t="n">
        <v>255</v>
      </c>
      <c r="C2682" t="n">
        <v>9</v>
      </c>
      <c r="D2682" s="218" t="n">
        <v>140.97</v>
      </c>
      <c r="E2682" s="218" t="n">
        <v>4.7</v>
      </c>
      <c r="F2682" t="str">
        <v>https://re.jrc.ec.europa.eu/api/v5_3/PVcalc?lat=30.0444&amp;lon=31.2357&amp;peakpower=1&amp;loss=14&amp;angle=40&amp;aspect=75&amp;outputformat=json&amp;raddatabase=PVGIS-SARAH3&amp;pvtechchoice=crystSi&amp;mountingplace=free&amp;usehorizon=1</v>
      </c>
    </row>
    <row r="2683">
      <c r="A2683" t="n">
        <v>40</v>
      </c>
      <c r="B2683" t="n">
        <v>255</v>
      </c>
      <c r="C2683" t="n">
        <v>10</v>
      </c>
      <c r="D2683" s="218" t="n">
        <v>122.09</v>
      </c>
      <c r="E2683" s="218" t="n">
        <v>3.94</v>
      </c>
      <c r="F2683" t="str">
        <v>https://re.jrc.ec.europa.eu/api/v5_3/PVcalc?lat=30.0444&amp;lon=31.2357&amp;peakpower=1&amp;loss=14&amp;angle=40&amp;aspect=75&amp;outputformat=json&amp;raddatabase=PVGIS-SARAH3&amp;pvtechchoice=crystSi&amp;mountingplace=free&amp;usehorizon=1</v>
      </c>
    </row>
    <row r="2684">
      <c r="A2684" t="n">
        <v>40</v>
      </c>
      <c r="B2684" t="n">
        <v>255</v>
      </c>
      <c r="C2684" t="n">
        <v>11</v>
      </c>
      <c r="D2684" s="218" t="n">
        <v>99.19</v>
      </c>
      <c r="E2684" s="218" t="n">
        <v>3.31</v>
      </c>
      <c r="F2684" t="str">
        <v>https://re.jrc.ec.europa.eu/api/v5_3/PVcalc?lat=30.0444&amp;lon=31.2357&amp;peakpower=1&amp;loss=14&amp;angle=40&amp;aspect=75&amp;outputformat=json&amp;raddatabase=PVGIS-SARAH3&amp;pvtechchoice=crystSi&amp;mountingplace=free&amp;usehorizon=1</v>
      </c>
    </row>
    <row r="2685">
      <c r="A2685" t="n">
        <v>40</v>
      </c>
      <c r="B2685" t="n">
        <v>255</v>
      </c>
      <c r="C2685" t="n">
        <v>12</v>
      </c>
      <c r="D2685" s="218" t="n">
        <v>89.78</v>
      </c>
      <c r="E2685" s="218" t="n">
        <v>2.9</v>
      </c>
      <c r="F2685" t="str">
        <v>https://re.jrc.ec.europa.eu/api/v5_3/PVcalc?lat=30.0444&amp;lon=31.2357&amp;peakpower=1&amp;loss=14&amp;angle=40&amp;aspect=75&amp;outputformat=json&amp;raddatabase=PVGIS-SARAH3&amp;pvtechchoice=crystSi&amp;mountingplace=free&amp;usehorizon=1</v>
      </c>
    </row>
    <row r="2686">
      <c r="A2686" t="n">
        <v>40</v>
      </c>
      <c r="B2686" t="n">
        <v>270</v>
      </c>
      <c r="C2686" t="n">
        <v>1</v>
      </c>
      <c r="D2686" s="218" t="n">
        <v>78.29</v>
      </c>
      <c r="E2686" s="218" t="n">
        <v>2.53</v>
      </c>
      <c r="F2686" t="str">
        <v>https://re.jrc.ec.europa.eu/api/v5_3/PVcalc?lat=30.0444&amp;lon=31.2357&amp;peakpower=1&amp;loss=14&amp;angle=40&amp;aspect=90&amp;outputformat=json&amp;raddatabase=PVGIS-SARAH3&amp;pvtechchoice=crystSi&amp;mountingplace=free&amp;usehorizon=1</v>
      </c>
    </row>
    <row r="2687">
      <c r="A2687" t="n">
        <v>40</v>
      </c>
      <c r="B2687" t="n">
        <v>270</v>
      </c>
      <c r="C2687" t="n">
        <v>2</v>
      </c>
      <c r="D2687" s="218" t="n">
        <v>87.38</v>
      </c>
      <c r="E2687" s="218" t="n">
        <v>3.12</v>
      </c>
      <c r="F2687" t="str">
        <v>https://re.jrc.ec.europa.eu/api/v5_3/PVcalc?lat=30.0444&amp;lon=31.2357&amp;peakpower=1&amp;loss=14&amp;angle=40&amp;aspect=90&amp;outputformat=json&amp;raddatabase=PVGIS-SARAH3&amp;pvtechchoice=crystSi&amp;mountingplace=free&amp;usehorizon=1</v>
      </c>
    </row>
    <row r="2688">
      <c r="A2688" t="n">
        <v>40</v>
      </c>
      <c r="B2688" t="n">
        <v>270</v>
      </c>
      <c r="C2688" t="n">
        <v>3</v>
      </c>
      <c r="D2688" s="218" t="n">
        <v>125.58</v>
      </c>
      <c r="E2688" s="218" t="n">
        <v>4.05</v>
      </c>
      <c r="F2688" t="str">
        <v>https://re.jrc.ec.europa.eu/api/v5_3/PVcalc?lat=30.0444&amp;lon=31.2357&amp;peakpower=1&amp;loss=14&amp;angle=40&amp;aspect=90&amp;outputformat=json&amp;raddatabase=PVGIS-SARAH3&amp;pvtechchoice=crystSi&amp;mountingplace=free&amp;usehorizon=1</v>
      </c>
    </row>
    <row r="2689">
      <c r="A2689" t="n">
        <v>40</v>
      </c>
      <c r="B2689" t="n">
        <v>270</v>
      </c>
      <c r="C2689" t="n">
        <v>4</v>
      </c>
      <c r="D2689" s="218" t="n">
        <v>140.15</v>
      </c>
      <c r="E2689" s="218" t="n">
        <v>4.67</v>
      </c>
      <c r="F2689" t="str">
        <v>https://re.jrc.ec.europa.eu/api/v5_3/PVcalc?lat=30.0444&amp;lon=31.2357&amp;peakpower=1&amp;loss=14&amp;angle=40&amp;aspect=90&amp;outputformat=json&amp;raddatabase=PVGIS-SARAH3&amp;pvtechchoice=crystSi&amp;mountingplace=free&amp;usehorizon=1</v>
      </c>
    </row>
    <row r="2690">
      <c r="A2690" t="n">
        <v>40</v>
      </c>
      <c r="B2690" t="n">
        <v>270</v>
      </c>
      <c r="C2690" t="n">
        <v>5</v>
      </c>
      <c r="D2690" s="218" t="n">
        <v>155.25</v>
      </c>
      <c r="E2690" s="218" t="n">
        <v>5.01</v>
      </c>
      <c r="F2690" t="str">
        <v>https://re.jrc.ec.europa.eu/api/v5_3/PVcalc?lat=30.0444&amp;lon=31.2357&amp;peakpower=1&amp;loss=14&amp;angle=40&amp;aspect=90&amp;outputformat=json&amp;raddatabase=PVGIS-SARAH3&amp;pvtechchoice=crystSi&amp;mountingplace=free&amp;usehorizon=1</v>
      </c>
    </row>
    <row r="2691">
      <c r="A2691" t="n">
        <v>40</v>
      </c>
      <c r="B2691" t="n">
        <v>270</v>
      </c>
      <c r="C2691" t="n">
        <v>6</v>
      </c>
      <c r="D2691" s="218" t="n">
        <v>161.32</v>
      </c>
      <c r="E2691" s="218" t="n">
        <v>5.38</v>
      </c>
      <c r="F2691" t="str">
        <v>https://re.jrc.ec.europa.eu/api/v5_3/PVcalc?lat=30.0444&amp;lon=31.2357&amp;peakpower=1&amp;loss=14&amp;angle=40&amp;aspect=90&amp;outputformat=json&amp;raddatabase=PVGIS-SARAH3&amp;pvtechchoice=crystSi&amp;mountingplace=free&amp;usehorizon=1</v>
      </c>
    </row>
    <row r="2692">
      <c r="A2692" t="n">
        <v>40</v>
      </c>
      <c r="B2692" t="n">
        <v>270</v>
      </c>
      <c r="C2692" t="n">
        <v>7</v>
      </c>
      <c r="D2692" s="218" t="n">
        <v>165.34</v>
      </c>
      <c r="E2692" s="218" t="n">
        <v>5.33</v>
      </c>
      <c r="F2692" t="str">
        <v>https://re.jrc.ec.europa.eu/api/v5_3/PVcalc?lat=30.0444&amp;lon=31.2357&amp;peakpower=1&amp;loss=14&amp;angle=40&amp;aspect=90&amp;outputformat=json&amp;raddatabase=PVGIS-SARAH3&amp;pvtechchoice=crystSi&amp;mountingplace=free&amp;usehorizon=1</v>
      </c>
    </row>
    <row r="2693">
      <c r="A2693" t="n">
        <v>40</v>
      </c>
      <c r="B2693" t="n">
        <v>270</v>
      </c>
      <c r="C2693" t="n">
        <v>8</v>
      </c>
      <c r="D2693" s="218" t="n">
        <v>154.06</v>
      </c>
      <c r="E2693" s="218" t="n">
        <v>4.97</v>
      </c>
      <c r="F2693" t="str">
        <v>https://re.jrc.ec.europa.eu/api/v5_3/PVcalc?lat=30.0444&amp;lon=31.2357&amp;peakpower=1&amp;loss=14&amp;angle=40&amp;aspect=90&amp;outputformat=json&amp;raddatabase=PVGIS-SARAH3&amp;pvtechchoice=crystSi&amp;mountingplace=free&amp;usehorizon=1</v>
      </c>
    </row>
    <row r="2694">
      <c r="A2694" t="n">
        <v>40</v>
      </c>
      <c r="B2694" t="n">
        <v>270</v>
      </c>
      <c r="C2694" t="n">
        <v>9</v>
      </c>
      <c r="D2694" s="218" t="n">
        <v>132.23</v>
      </c>
      <c r="E2694" s="218" t="n">
        <v>4.41</v>
      </c>
      <c r="F2694" t="str">
        <v>https://re.jrc.ec.europa.eu/api/v5_3/PVcalc?lat=30.0444&amp;lon=31.2357&amp;peakpower=1&amp;loss=14&amp;angle=40&amp;aspect=90&amp;outputformat=json&amp;raddatabase=PVGIS-SARAH3&amp;pvtechchoice=crystSi&amp;mountingplace=free&amp;usehorizon=1</v>
      </c>
    </row>
    <row r="2695">
      <c r="A2695" t="n">
        <v>40</v>
      </c>
      <c r="B2695" t="n">
        <v>270</v>
      </c>
      <c r="C2695" t="n">
        <v>10</v>
      </c>
      <c r="D2695" s="218" t="n">
        <v>109.31</v>
      </c>
      <c r="E2695" s="218" t="n">
        <v>3.53</v>
      </c>
      <c r="F2695" t="str">
        <v>https://re.jrc.ec.europa.eu/api/v5_3/PVcalc?lat=30.0444&amp;lon=31.2357&amp;peakpower=1&amp;loss=14&amp;angle=40&amp;aspect=90&amp;outputformat=json&amp;raddatabase=PVGIS-SARAH3&amp;pvtechchoice=crystSi&amp;mountingplace=free&amp;usehorizon=1</v>
      </c>
    </row>
    <row r="2696">
      <c r="A2696" t="n">
        <v>40</v>
      </c>
      <c r="B2696" t="n">
        <v>270</v>
      </c>
      <c r="C2696" t="n">
        <v>11</v>
      </c>
      <c r="D2696" s="218" t="n">
        <v>84.97</v>
      </c>
      <c r="E2696" s="218" t="n">
        <v>2.83</v>
      </c>
      <c r="F2696" t="str">
        <v>https://re.jrc.ec.europa.eu/api/v5_3/PVcalc?lat=30.0444&amp;lon=31.2357&amp;peakpower=1&amp;loss=14&amp;angle=40&amp;aspect=90&amp;outputformat=json&amp;raddatabase=PVGIS-SARAH3&amp;pvtechchoice=crystSi&amp;mountingplace=free&amp;usehorizon=1</v>
      </c>
    </row>
    <row r="2697">
      <c r="A2697" t="n">
        <v>40</v>
      </c>
      <c r="B2697" t="n">
        <v>270</v>
      </c>
      <c r="C2697" t="n">
        <v>12</v>
      </c>
      <c r="D2697" s="218" t="n">
        <v>75.22</v>
      </c>
      <c r="E2697" s="218" t="n">
        <v>2.43</v>
      </c>
      <c r="F2697" t="str">
        <v>https://re.jrc.ec.europa.eu/api/v5_3/PVcalc?lat=30.0444&amp;lon=31.2357&amp;peakpower=1&amp;loss=14&amp;angle=40&amp;aspect=90&amp;outputformat=json&amp;raddatabase=PVGIS-SARAH3&amp;pvtechchoice=crystSi&amp;mountingplace=free&amp;usehorizon=1</v>
      </c>
    </row>
    <row r="2698">
      <c r="A2698" t="n">
        <v>40</v>
      </c>
      <c r="B2698" t="n">
        <v>285</v>
      </c>
      <c r="C2698" t="n">
        <v>1</v>
      </c>
      <c r="D2698" s="218" t="n">
        <v>63.73</v>
      </c>
      <c r="E2698" s="218" t="n">
        <v>2.06</v>
      </c>
      <c r="F2698" t="str">
        <v>https://re.jrc.ec.europa.eu/api/v5_3/PVcalc?lat=30.0444&amp;lon=31.2357&amp;peakpower=1&amp;loss=14&amp;angle=40&amp;aspect=105&amp;outputformat=json&amp;raddatabase=PVGIS-SARAH3&amp;pvtechchoice=crystSi&amp;mountingplace=free&amp;usehorizon=1</v>
      </c>
    </row>
    <row r="2699">
      <c r="A2699" t="n">
        <v>40</v>
      </c>
      <c r="B2699" t="n">
        <v>285</v>
      </c>
      <c r="C2699" t="n">
        <v>2</v>
      </c>
      <c r="D2699" s="218" t="n">
        <v>75.59</v>
      </c>
      <c r="E2699" s="218" t="n">
        <v>2.7</v>
      </c>
      <c r="F2699" t="str">
        <v>https://re.jrc.ec.europa.eu/api/v5_3/PVcalc?lat=30.0444&amp;lon=31.2357&amp;peakpower=1&amp;loss=14&amp;angle=40&amp;aspect=105&amp;outputformat=json&amp;raddatabase=PVGIS-SARAH3&amp;pvtechchoice=crystSi&amp;mountingplace=free&amp;usehorizon=1</v>
      </c>
    </row>
    <row r="2700">
      <c r="A2700" t="n">
        <v>40</v>
      </c>
      <c r="B2700" t="n">
        <v>285</v>
      </c>
      <c r="C2700" t="n">
        <v>3</v>
      </c>
      <c r="D2700" s="218" t="n">
        <v>114.87</v>
      </c>
      <c r="E2700" s="218" t="n">
        <v>3.71</v>
      </c>
      <c r="F2700" t="str">
        <v>https://re.jrc.ec.europa.eu/api/v5_3/PVcalc?lat=30.0444&amp;lon=31.2357&amp;peakpower=1&amp;loss=14&amp;angle=40&amp;aspect=105&amp;outputformat=json&amp;raddatabase=PVGIS-SARAH3&amp;pvtechchoice=crystSi&amp;mountingplace=free&amp;usehorizon=1</v>
      </c>
    </row>
    <row r="2701">
      <c r="A2701" t="n">
        <v>40</v>
      </c>
      <c r="B2701" t="n">
        <v>285</v>
      </c>
      <c r="C2701" t="n">
        <v>4</v>
      </c>
      <c r="D2701" s="218" t="n">
        <v>133.44</v>
      </c>
      <c r="E2701" s="218" t="n">
        <v>4.45</v>
      </c>
      <c r="F2701" t="str">
        <v>https://re.jrc.ec.europa.eu/api/v5_3/PVcalc?lat=30.0444&amp;lon=31.2357&amp;peakpower=1&amp;loss=14&amp;angle=40&amp;aspect=105&amp;outputformat=json&amp;raddatabase=PVGIS-SARAH3&amp;pvtechchoice=crystSi&amp;mountingplace=free&amp;usehorizon=1</v>
      </c>
    </row>
    <row r="2702">
      <c r="A2702" t="n">
        <v>40</v>
      </c>
      <c r="B2702" t="n">
        <v>285</v>
      </c>
      <c r="C2702" t="n">
        <v>5</v>
      </c>
      <c r="D2702" s="218" t="n">
        <v>152.04</v>
      </c>
      <c r="E2702" s="218" t="n">
        <v>4.9</v>
      </c>
      <c r="F2702" t="str">
        <v>https://re.jrc.ec.europa.eu/api/v5_3/PVcalc?lat=30.0444&amp;lon=31.2357&amp;peakpower=1&amp;loss=14&amp;angle=40&amp;aspect=105&amp;outputformat=json&amp;raddatabase=PVGIS-SARAH3&amp;pvtechchoice=crystSi&amp;mountingplace=free&amp;usehorizon=1</v>
      </c>
    </row>
    <row r="2703">
      <c r="A2703" t="n">
        <v>40</v>
      </c>
      <c r="B2703" t="n">
        <v>285</v>
      </c>
      <c r="C2703" t="n">
        <v>6</v>
      </c>
      <c r="D2703" s="218" t="n">
        <v>159.91</v>
      </c>
      <c r="E2703" s="218" t="n">
        <v>5.33</v>
      </c>
      <c r="F2703" t="str">
        <v>https://re.jrc.ec.europa.eu/api/v5_3/PVcalc?lat=30.0444&amp;lon=31.2357&amp;peakpower=1&amp;loss=14&amp;angle=40&amp;aspect=105&amp;outputformat=json&amp;raddatabase=PVGIS-SARAH3&amp;pvtechchoice=crystSi&amp;mountingplace=free&amp;usehorizon=1</v>
      </c>
    </row>
    <row r="2704">
      <c r="A2704" t="n">
        <v>40</v>
      </c>
      <c r="B2704" t="n">
        <v>285</v>
      </c>
      <c r="C2704" t="n">
        <v>7</v>
      </c>
      <c r="D2704" s="218" t="n">
        <v>163.41</v>
      </c>
      <c r="E2704" s="218" t="n">
        <v>5.27</v>
      </c>
      <c r="F2704" t="str">
        <v>https://re.jrc.ec.europa.eu/api/v5_3/PVcalc?lat=30.0444&amp;lon=31.2357&amp;peakpower=1&amp;loss=14&amp;angle=40&amp;aspect=105&amp;outputformat=json&amp;raddatabase=PVGIS-SARAH3&amp;pvtechchoice=crystSi&amp;mountingplace=free&amp;usehorizon=1</v>
      </c>
    </row>
    <row r="2705">
      <c r="A2705" t="n">
        <v>40</v>
      </c>
      <c r="B2705" t="n">
        <v>285</v>
      </c>
      <c r="C2705" t="n">
        <v>8</v>
      </c>
      <c r="D2705" s="218" t="n">
        <v>148.49</v>
      </c>
      <c r="E2705" s="218" t="n">
        <v>4.79</v>
      </c>
      <c r="F2705" t="str">
        <v>https://re.jrc.ec.europa.eu/api/v5_3/PVcalc?lat=30.0444&amp;lon=31.2357&amp;peakpower=1&amp;loss=14&amp;angle=40&amp;aspect=105&amp;outputformat=json&amp;raddatabase=PVGIS-SARAH3&amp;pvtechchoice=crystSi&amp;mountingplace=free&amp;usehorizon=1</v>
      </c>
    </row>
    <row r="2706">
      <c r="A2706" t="n">
        <v>40</v>
      </c>
      <c r="B2706" t="n">
        <v>285</v>
      </c>
      <c r="C2706" t="n">
        <v>9</v>
      </c>
      <c r="D2706" s="218" t="n">
        <v>122.18</v>
      </c>
      <c r="E2706" s="218" t="n">
        <v>4.07</v>
      </c>
      <c r="F2706" t="str">
        <v>https://re.jrc.ec.europa.eu/api/v5_3/PVcalc?lat=30.0444&amp;lon=31.2357&amp;peakpower=1&amp;loss=14&amp;angle=40&amp;aspect=105&amp;outputformat=json&amp;raddatabase=PVGIS-SARAH3&amp;pvtechchoice=crystSi&amp;mountingplace=free&amp;usehorizon=1</v>
      </c>
    </row>
    <row r="2707">
      <c r="A2707" t="n">
        <v>40</v>
      </c>
      <c r="B2707" t="n">
        <v>285</v>
      </c>
      <c r="C2707" t="n">
        <v>10</v>
      </c>
      <c r="D2707" s="218" t="n">
        <v>96.29</v>
      </c>
      <c r="E2707" s="218" t="n">
        <v>3.11</v>
      </c>
      <c r="F2707" t="str">
        <v>https://re.jrc.ec.europa.eu/api/v5_3/PVcalc?lat=30.0444&amp;lon=31.2357&amp;peakpower=1&amp;loss=14&amp;angle=40&amp;aspect=105&amp;outputformat=json&amp;raddatabase=PVGIS-SARAH3&amp;pvtechchoice=crystSi&amp;mountingplace=free&amp;usehorizon=1</v>
      </c>
    </row>
    <row r="2708">
      <c r="A2708" t="n">
        <v>40</v>
      </c>
      <c r="B2708" t="n">
        <v>285</v>
      </c>
      <c r="C2708" t="n">
        <v>11</v>
      </c>
      <c r="D2708" s="218" t="n">
        <v>70.62</v>
      </c>
      <c r="E2708" s="218" t="n">
        <v>2.35</v>
      </c>
      <c r="F2708" t="str">
        <v>https://re.jrc.ec.europa.eu/api/v5_3/PVcalc?lat=30.0444&amp;lon=31.2357&amp;peakpower=1&amp;loss=14&amp;angle=40&amp;aspect=105&amp;outputformat=json&amp;raddatabase=PVGIS-SARAH3&amp;pvtechchoice=crystSi&amp;mountingplace=free&amp;usehorizon=1</v>
      </c>
    </row>
    <row r="2709">
      <c r="A2709" t="n">
        <v>40</v>
      </c>
      <c r="B2709" t="n">
        <v>285</v>
      </c>
      <c r="C2709" t="n">
        <v>12</v>
      </c>
      <c r="D2709" s="218" t="n">
        <v>59.83</v>
      </c>
      <c r="E2709" s="218" t="n">
        <v>1.93</v>
      </c>
      <c r="F2709" t="str">
        <v>https://re.jrc.ec.europa.eu/api/v5_3/PVcalc?lat=30.0444&amp;lon=31.2357&amp;peakpower=1&amp;loss=14&amp;angle=40&amp;aspect=105&amp;outputformat=json&amp;raddatabase=PVGIS-SARAH3&amp;pvtechchoice=crystSi&amp;mountingplace=free&amp;usehorizon=1</v>
      </c>
    </row>
    <row r="2710">
      <c r="A2710" t="n">
        <v>40</v>
      </c>
      <c r="B2710" t="n">
        <v>300</v>
      </c>
      <c r="C2710" t="n">
        <v>1</v>
      </c>
      <c r="D2710" s="218" t="n">
        <v>50.62</v>
      </c>
      <c r="E2710" s="218" t="n">
        <v>1.63</v>
      </c>
      <c r="F2710" t="str">
        <v>https://re.jrc.ec.europa.eu/api/v5_3/PVcalc?lat=30.0444&amp;lon=31.2357&amp;peakpower=1&amp;loss=14&amp;angle=40&amp;aspect=120&amp;outputformat=json&amp;raddatabase=PVGIS-SARAH3&amp;pvtechchoice=crystSi&amp;mountingplace=free&amp;usehorizon=1</v>
      </c>
    </row>
    <row r="2711">
      <c r="A2711" t="n">
        <v>40</v>
      </c>
      <c r="B2711" t="n">
        <v>300</v>
      </c>
      <c r="C2711" t="n">
        <v>2</v>
      </c>
      <c r="D2711" s="218" t="n">
        <v>64.08</v>
      </c>
      <c r="E2711" s="218" t="n">
        <v>2.29</v>
      </c>
      <c r="F2711" t="str">
        <v>https://re.jrc.ec.europa.eu/api/v5_3/PVcalc?lat=30.0444&amp;lon=31.2357&amp;peakpower=1&amp;loss=14&amp;angle=40&amp;aspect=120&amp;outputformat=json&amp;raddatabase=PVGIS-SARAH3&amp;pvtechchoice=crystSi&amp;mountingplace=free&amp;usehorizon=1</v>
      </c>
    </row>
    <row r="2712">
      <c r="A2712" t="n">
        <v>40</v>
      </c>
      <c r="B2712" t="n">
        <v>300</v>
      </c>
      <c r="C2712" t="n">
        <v>3</v>
      </c>
      <c r="D2712" s="218" t="n">
        <v>103.01</v>
      </c>
      <c r="E2712" s="218" t="n">
        <v>3.32</v>
      </c>
      <c r="F2712" t="str">
        <v>https://re.jrc.ec.europa.eu/api/v5_3/PVcalc?lat=30.0444&amp;lon=31.2357&amp;peakpower=1&amp;loss=14&amp;angle=40&amp;aspect=120&amp;outputformat=json&amp;raddatabase=PVGIS-SARAH3&amp;pvtechchoice=crystSi&amp;mountingplace=free&amp;usehorizon=1</v>
      </c>
    </row>
    <row r="2713">
      <c r="A2713" t="n">
        <v>40</v>
      </c>
      <c r="B2713" t="n">
        <v>300</v>
      </c>
      <c r="C2713" t="n">
        <v>4</v>
      </c>
      <c r="D2713" s="218" t="n">
        <v>125.9</v>
      </c>
      <c r="E2713" s="218" t="n">
        <v>4.2</v>
      </c>
      <c r="F2713" t="str">
        <v>https://re.jrc.ec.europa.eu/api/v5_3/PVcalc?lat=30.0444&amp;lon=31.2357&amp;peakpower=1&amp;loss=14&amp;angle=40&amp;aspect=120&amp;outputformat=json&amp;raddatabase=PVGIS-SARAH3&amp;pvtechchoice=crystSi&amp;mountingplace=free&amp;usehorizon=1</v>
      </c>
    </row>
    <row r="2714">
      <c r="A2714" t="n">
        <v>40</v>
      </c>
      <c r="B2714" t="n">
        <v>300</v>
      </c>
      <c r="C2714" t="n">
        <v>5</v>
      </c>
      <c r="D2714" s="218" t="n">
        <v>148.03</v>
      </c>
      <c r="E2714" s="218" t="n">
        <v>4.78</v>
      </c>
      <c r="F2714" t="str">
        <v>https://re.jrc.ec.europa.eu/api/v5_3/PVcalc?lat=30.0444&amp;lon=31.2357&amp;peakpower=1&amp;loss=14&amp;angle=40&amp;aspect=120&amp;outputformat=json&amp;raddatabase=PVGIS-SARAH3&amp;pvtechchoice=crystSi&amp;mountingplace=free&amp;usehorizon=1</v>
      </c>
    </row>
    <row r="2715">
      <c r="A2715" t="n">
        <v>40</v>
      </c>
      <c r="B2715" t="n">
        <v>300</v>
      </c>
      <c r="C2715" t="n">
        <v>6</v>
      </c>
      <c r="D2715" s="218" t="n">
        <v>158.5</v>
      </c>
      <c r="E2715" s="218" t="n">
        <v>5.28</v>
      </c>
      <c r="F2715" t="str">
        <v>https://re.jrc.ec.europa.eu/api/v5_3/PVcalc?lat=30.0444&amp;lon=31.2357&amp;peakpower=1&amp;loss=14&amp;angle=40&amp;aspect=120&amp;outputformat=json&amp;raddatabase=PVGIS-SARAH3&amp;pvtechchoice=crystSi&amp;mountingplace=free&amp;usehorizon=1</v>
      </c>
    </row>
    <row r="2716">
      <c r="A2716" t="n">
        <v>40</v>
      </c>
      <c r="B2716" t="n">
        <v>300</v>
      </c>
      <c r="C2716" t="n">
        <v>7</v>
      </c>
      <c r="D2716" s="218" t="n">
        <v>160.08</v>
      </c>
      <c r="E2716" s="218" t="n">
        <v>5.16</v>
      </c>
      <c r="F2716" t="str">
        <v>https://re.jrc.ec.europa.eu/api/v5_3/PVcalc?lat=30.0444&amp;lon=31.2357&amp;peakpower=1&amp;loss=14&amp;angle=40&amp;aspect=120&amp;outputformat=json&amp;raddatabase=PVGIS-SARAH3&amp;pvtechchoice=crystSi&amp;mountingplace=free&amp;usehorizon=1</v>
      </c>
    </row>
    <row r="2717">
      <c r="A2717" t="n">
        <v>40</v>
      </c>
      <c r="B2717" t="n">
        <v>300</v>
      </c>
      <c r="C2717" t="n">
        <v>8</v>
      </c>
      <c r="D2717" s="218" t="n">
        <v>141.63</v>
      </c>
      <c r="E2717" s="218" t="n">
        <v>4.57</v>
      </c>
      <c r="F2717" t="str">
        <v>https://re.jrc.ec.europa.eu/api/v5_3/PVcalc?lat=30.0444&amp;lon=31.2357&amp;peakpower=1&amp;loss=14&amp;angle=40&amp;aspect=120&amp;outputformat=json&amp;raddatabase=PVGIS-SARAH3&amp;pvtechchoice=crystSi&amp;mountingplace=free&amp;usehorizon=1</v>
      </c>
    </row>
    <row r="2718">
      <c r="A2718" t="n">
        <v>40</v>
      </c>
      <c r="B2718" t="n">
        <v>300</v>
      </c>
      <c r="C2718" t="n">
        <v>9</v>
      </c>
      <c r="D2718" s="218" t="n">
        <v>111.21</v>
      </c>
      <c r="E2718" s="218" t="n">
        <v>3.71</v>
      </c>
      <c r="F2718" t="str">
        <v>https://re.jrc.ec.europa.eu/api/v5_3/PVcalc?lat=30.0444&amp;lon=31.2357&amp;peakpower=1&amp;loss=14&amp;angle=40&amp;aspect=120&amp;outputformat=json&amp;raddatabase=PVGIS-SARAH3&amp;pvtechchoice=crystSi&amp;mountingplace=free&amp;usehorizon=1</v>
      </c>
    </row>
    <row r="2719">
      <c r="A2719" t="n">
        <v>40</v>
      </c>
      <c r="B2719" t="n">
        <v>300</v>
      </c>
      <c r="C2719" t="n">
        <v>10</v>
      </c>
      <c r="D2719" s="218" t="n">
        <v>82.68</v>
      </c>
      <c r="E2719" s="218" t="n">
        <v>2.67</v>
      </c>
      <c r="F2719" t="str">
        <v>https://re.jrc.ec.europa.eu/api/v5_3/PVcalc?lat=30.0444&amp;lon=31.2357&amp;peakpower=1&amp;loss=14&amp;angle=40&amp;aspect=120&amp;outputformat=json&amp;raddatabase=PVGIS-SARAH3&amp;pvtechchoice=crystSi&amp;mountingplace=free&amp;usehorizon=1</v>
      </c>
    </row>
    <row r="2720">
      <c r="A2720" t="n">
        <v>40</v>
      </c>
      <c r="B2720" t="n">
        <v>300</v>
      </c>
      <c r="C2720" t="n">
        <v>11</v>
      </c>
      <c r="D2720" s="218" t="n">
        <v>55.98</v>
      </c>
      <c r="E2720" s="218" t="n">
        <v>1.87</v>
      </c>
      <c r="F2720" t="str">
        <v>https://re.jrc.ec.europa.eu/api/v5_3/PVcalc?lat=30.0444&amp;lon=31.2357&amp;peakpower=1&amp;loss=14&amp;angle=40&amp;aspect=120&amp;outputformat=json&amp;raddatabase=PVGIS-SARAH3&amp;pvtechchoice=crystSi&amp;mountingplace=free&amp;usehorizon=1</v>
      </c>
    </row>
    <row r="2721">
      <c r="A2721" t="n">
        <v>40</v>
      </c>
      <c r="B2721" t="n">
        <v>300</v>
      </c>
      <c r="C2721" t="n">
        <v>12</v>
      </c>
      <c r="D2721" s="218" t="n">
        <v>46.1</v>
      </c>
      <c r="E2721" s="218" t="n">
        <v>1.49</v>
      </c>
      <c r="F2721" t="str">
        <v>https://re.jrc.ec.europa.eu/api/v5_3/PVcalc?lat=30.0444&amp;lon=31.2357&amp;peakpower=1&amp;loss=14&amp;angle=40&amp;aspect=120&amp;outputformat=json&amp;raddatabase=PVGIS-SARAH3&amp;pvtechchoice=crystSi&amp;mountingplace=free&amp;usehorizon=1</v>
      </c>
    </row>
    <row r="2722">
      <c r="A2722" t="n">
        <v>40</v>
      </c>
      <c r="B2722" t="n">
        <v>315</v>
      </c>
      <c r="C2722" t="n">
        <v>1</v>
      </c>
      <c r="D2722" s="218" t="n">
        <v>37.58</v>
      </c>
      <c r="E2722" s="218" t="n">
        <v>1.21</v>
      </c>
      <c r="F2722" t="str">
        <v>https://re.jrc.ec.europa.eu/api/v5_3/PVcalc?lat=30.0444&amp;lon=31.2357&amp;peakpower=1&amp;loss=14&amp;angle=40&amp;aspect=135&amp;outputformat=json&amp;raddatabase=PVGIS-SARAH3&amp;pvtechchoice=crystSi&amp;mountingplace=free&amp;usehorizon=1</v>
      </c>
    </row>
    <row r="2723">
      <c r="A2723" t="n">
        <v>40</v>
      </c>
      <c r="B2723" t="n">
        <v>315</v>
      </c>
      <c r="C2723" t="n">
        <v>2</v>
      </c>
      <c r="D2723" s="218" t="n">
        <v>52.57</v>
      </c>
      <c r="E2723" s="218" t="n">
        <v>1.88</v>
      </c>
      <c r="F2723" t="str">
        <v>https://re.jrc.ec.europa.eu/api/v5_3/PVcalc?lat=30.0444&amp;lon=31.2357&amp;peakpower=1&amp;loss=14&amp;angle=40&amp;aspect=135&amp;outputformat=json&amp;raddatabase=PVGIS-SARAH3&amp;pvtechchoice=crystSi&amp;mountingplace=free&amp;usehorizon=1</v>
      </c>
    </row>
    <row r="2724">
      <c r="A2724" t="n">
        <v>40</v>
      </c>
      <c r="B2724" t="n">
        <v>315</v>
      </c>
      <c r="C2724" t="n">
        <v>3</v>
      </c>
      <c r="D2724" s="218" t="n">
        <v>90.62</v>
      </c>
      <c r="E2724" s="218" t="n">
        <v>2.92</v>
      </c>
      <c r="F2724" t="str">
        <v>https://re.jrc.ec.europa.eu/api/v5_3/PVcalc?lat=30.0444&amp;lon=31.2357&amp;peakpower=1&amp;loss=14&amp;angle=40&amp;aspect=135&amp;outputformat=json&amp;raddatabase=PVGIS-SARAH3&amp;pvtechchoice=crystSi&amp;mountingplace=free&amp;usehorizon=1</v>
      </c>
    </row>
    <row r="2725">
      <c r="A2725" t="n">
        <v>40</v>
      </c>
      <c r="B2725" t="n">
        <v>315</v>
      </c>
      <c r="C2725" t="n">
        <v>4</v>
      </c>
      <c r="D2725" s="218" t="n">
        <v>117.72</v>
      </c>
      <c r="E2725" s="218" t="n">
        <v>3.92</v>
      </c>
      <c r="F2725" t="str">
        <v>https://re.jrc.ec.europa.eu/api/v5_3/PVcalc?lat=30.0444&amp;lon=31.2357&amp;peakpower=1&amp;loss=14&amp;angle=40&amp;aspect=135&amp;outputformat=json&amp;raddatabase=PVGIS-SARAH3&amp;pvtechchoice=crystSi&amp;mountingplace=free&amp;usehorizon=1</v>
      </c>
    </row>
    <row r="2726">
      <c r="A2726" t="n">
        <v>40</v>
      </c>
      <c r="B2726" t="n">
        <v>315</v>
      </c>
      <c r="C2726" t="n">
        <v>5</v>
      </c>
      <c r="D2726" s="218" t="n">
        <v>144.18</v>
      </c>
      <c r="E2726" s="218" t="n">
        <v>4.65</v>
      </c>
      <c r="F2726" t="str">
        <v>https://re.jrc.ec.europa.eu/api/v5_3/PVcalc?lat=30.0444&amp;lon=31.2357&amp;peakpower=1&amp;loss=14&amp;angle=40&amp;aspect=135&amp;outputformat=json&amp;raddatabase=PVGIS-SARAH3&amp;pvtechchoice=crystSi&amp;mountingplace=free&amp;usehorizon=1</v>
      </c>
    </row>
    <row r="2727">
      <c r="A2727" t="n">
        <v>40</v>
      </c>
      <c r="B2727" t="n">
        <v>315</v>
      </c>
      <c r="C2727" t="n">
        <v>6</v>
      </c>
      <c r="D2727" s="218" t="n">
        <v>156.21</v>
      </c>
      <c r="E2727" s="218" t="n">
        <v>5.21</v>
      </c>
      <c r="F2727" t="str">
        <v>https://re.jrc.ec.europa.eu/api/v5_3/PVcalc?lat=30.0444&amp;lon=31.2357&amp;peakpower=1&amp;loss=14&amp;angle=40&amp;aspect=135&amp;outputformat=json&amp;raddatabase=PVGIS-SARAH3&amp;pvtechchoice=crystSi&amp;mountingplace=free&amp;usehorizon=1</v>
      </c>
    </row>
    <row r="2728">
      <c r="A2728" t="n">
        <v>40</v>
      </c>
      <c r="B2728" t="n">
        <v>315</v>
      </c>
      <c r="C2728" t="n">
        <v>7</v>
      </c>
      <c r="D2728" s="218" t="n">
        <v>156.84</v>
      </c>
      <c r="E2728" s="218" t="n">
        <v>5.06</v>
      </c>
      <c r="F2728" t="str">
        <v>https://re.jrc.ec.europa.eu/api/v5_3/PVcalc?lat=30.0444&amp;lon=31.2357&amp;peakpower=1&amp;loss=14&amp;angle=40&amp;aspect=135&amp;outputformat=json&amp;raddatabase=PVGIS-SARAH3&amp;pvtechchoice=crystSi&amp;mountingplace=free&amp;usehorizon=1</v>
      </c>
    </row>
    <row r="2729">
      <c r="A2729" t="n">
        <v>40</v>
      </c>
      <c r="B2729" t="n">
        <v>315</v>
      </c>
      <c r="C2729" t="n">
        <v>8</v>
      </c>
      <c r="D2729" s="218" t="n">
        <v>133.82</v>
      </c>
      <c r="E2729" s="218" t="n">
        <v>4.32</v>
      </c>
      <c r="F2729" t="str">
        <v>https://re.jrc.ec.europa.eu/api/v5_3/PVcalc?lat=30.0444&amp;lon=31.2357&amp;peakpower=1&amp;loss=14&amp;angle=40&amp;aspect=135&amp;outputformat=json&amp;raddatabase=PVGIS-SARAH3&amp;pvtechchoice=crystSi&amp;mountingplace=free&amp;usehorizon=1</v>
      </c>
    </row>
    <row r="2730">
      <c r="A2730" t="n">
        <v>40</v>
      </c>
      <c r="B2730" t="n">
        <v>315</v>
      </c>
      <c r="C2730" t="n">
        <v>9</v>
      </c>
      <c r="D2730" s="218" t="n">
        <v>99.79</v>
      </c>
      <c r="E2730" s="218" t="n">
        <v>3.33</v>
      </c>
      <c r="F2730" t="str">
        <v>https://re.jrc.ec.europa.eu/api/v5_3/PVcalc?lat=30.0444&amp;lon=31.2357&amp;peakpower=1&amp;loss=14&amp;angle=40&amp;aspect=135&amp;outputformat=json&amp;raddatabase=PVGIS-SARAH3&amp;pvtechchoice=crystSi&amp;mountingplace=free&amp;usehorizon=1</v>
      </c>
    </row>
    <row r="2731">
      <c r="A2731" t="n">
        <v>40</v>
      </c>
      <c r="B2731" t="n">
        <v>315</v>
      </c>
      <c r="C2731" t="n">
        <v>10</v>
      </c>
      <c r="D2731" s="218" t="n">
        <v>68.41</v>
      </c>
      <c r="E2731" s="218" t="n">
        <v>2.21</v>
      </c>
      <c r="F2731" t="str">
        <v>https://re.jrc.ec.europa.eu/api/v5_3/PVcalc?lat=30.0444&amp;lon=31.2357&amp;peakpower=1&amp;loss=14&amp;angle=40&amp;aspect=135&amp;outputformat=json&amp;raddatabase=PVGIS-SARAH3&amp;pvtechchoice=crystSi&amp;mountingplace=free&amp;usehorizon=1</v>
      </c>
    </row>
    <row r="2732">
      <c r="A2732" t="n">
        <v>40</v>
      </c>
      <c r="B2732" t="n">
        <v>315</v>
      </c>
      <c r="C2732" t="n">
        <v>11</v>
      </c>
      <c r="D2732" s="218" t="n">
        <v>42.21</v>
      </c>
      <c r="E2732" s="218" t="n">
        <v>1.41</v>
      </c>
      <c r="F2732" t="str">
        <v>https://re.jrc.ec.europa.eu/api/v5_3/PVcalc?lat=30.0444&amp;lon=31.2357&amp;peakpower=1&amp;loss=14&amp;angle=40&amp;aspect=135&amp;outputformat=json&amp;raddatabase=PVGIS-SARAH3&amp;pvtechchoice=crystSi&amp;mountingplace=free&amp;usehorizon=1</v>
      </c>
    </row>
    <row r="2733">
      <c r="A2733" t="n">
        <v>40</v>
      </c>
      <c r="B2733" t="n">
        <v>315</v>
      </c>
      <c r="C2733" t="n">
        <v>12</v>
      </c>
      <c r="D2733" s="218" t="n">
        <v>32.88</v>
      </c>
      <c r="E2733" s="218" t="n">
        <v>1.06</v>
      </c>
      <c r="F2733" t="str">
        <v>https://re.jrc.ec.europa.eu/api/v5_3/PVcalc?lat=30.0444&amp;lon=31.2357&amp;peakpower=1&amp;loss=14&amp;angle=40&amp;aspect=135&amp;outputformat=json&amp;raddatabase=PVGIS-SARAH3&amp;pvtechchoice=crystSi&amp;mountingplace=free&amp;usehorizon=1</v>
      </c>
    </row>
    <row r="2734">
      <c r="A2734" t="n">
        <v>40</v>
      </c>
      <c r="B2734" t="n">
        <v>330</v>
      </c>
      <c r="C2734" t="n">
        <v>1</v>
      </c>
      <c r="D2734" s="218" t="n">
        <v>27.39</v>
      </c>
      <c r="E2734" s="218" t="n">
        <v>0.88</v>
      </c>
      <c r="F2734" t="str">
        <v>https://re.jrc.ec.europa.eu/api/v5_3/PVcalc?lat=30.0444&amp;lon=31.2357&amp;peakpower=1&amp;loss=14&amp;angle=40&amp;aspect=150&amp;outputformat=json&amp;raddatabase=PVGIS-SARAH3&amp;pvtechchoice=crystSi&amp;mountingplace=free&amp;usehorizon=1</v>
      </c>
    </row>
    <row r="2735">
      <c r="A2735" t="n">
        <v>40</v>
      </c>
      <c r="B2735" t="n">
        <v>330</v>
      </c>
      <c r="C2735" t="n">
        <v>2</v>
      </c>
      <c r="D2735" s="218" t="n">
        <v>41.51</v>
      </c>
      <c r="E2735" s="218" t="n">
        <v>1.48</v>
      </c>
      <c r="F2735" t="str">
        <v>https://re.jrc.ec.europa.eu/api/v5_3/PVcalc?lat=30.0444&amp;lon=31.2357&amp;peakpower=1&amp;loss=14&amp;angle=40&amp;aspect=150&amp;outputformat=json&amp;raddatabase=PVGIS-SARAH3&amp;pvtechchoice=crystSi&amp;mountingplace=free&amp;usehorizon=1</v>
      </c>
    </row>
    <row r="2736">
      <c r="A2736" t="n">
        <v>40</v>
      </c>
      <c r="B2736" t="n">
        <v>330</v>
      </c>
      <c r="C2736" t="n">
        <v>3</v>
      </c>
      <c r="D2736" s="218" t="n">
        <v>78.52</v>
      </c>
      <c r="E2736" s="218" t="n">
        <v>2.53</v>
      </c>
      <c r="F2736" t="str">
        <v>https://re.jrc.ec.europa.eu/api/v5_3/PVcalc?lat=30.0444&amp;lon=31.2357&amp;peakpower=1&amp;loss=14&amp;angle=40&amp;aspect=150&amp;outputformat=json&amp;raddatabase=PVGIS-SARAH3&amp;pvtechchoice=crystSi&amp;mountingplace=free&amp;usehorizon=1</v>
      </c>
    </row>
    <row r="2737">
      <c r="A2737" t="n">
        <v>40</v>
      </c>
      <c r="B2737" t="n">
        <v>330</v>
      </c>
      <c r="C2737" t="n">
        <v>4</v>
      </c>
      <c r="D2737" s="218" t="n">
        <v>110.29</v>
      </c>
      <c r="E2737" s="218" t="n">
        <v>3.68</v>
      </c>
      <c r="F2737" t="str">
        <v>https://re.jrc.ec.europa.eu/api/v5_3/PVcalc?lat=30.0444&amp;lon=31.2357&amp;peakpower=1&amp;loss=14&amp;angle=40&amp;aspect=150&amp;outputformat=json&amp;raddatabase=PVGIS-SARAH3&amp;pvtechchoice=crystSi&amp;mountingplace=free&amp;usehorizon=1</v>
      </c>
    </row>
    <row r="2738">
      <c r="A2738" t="n">
        <v>40</v>
      </c>
      <c r="B2738" t="n">
        <v>330</v>
      </c>
      <c r="C2738" t="n">
        <v>5</v>
      </c>
      <c r="D2738" s="218" t="n">
        <v>141.22</v>
      </c>
      <c r="E2738" s="218" t="n">
        <v>4.56</v>
      </c>
      <c r="F2738" t="str">
        <v>https://re.jrc.ec.europa.eu/api/v5_3/PVcalc?lat=30.0444&amp;lon=31.2357&amp;peakpower=1&amp;loss=14&amp;angle=40&amp;aspect=150&amp;outputformat=json&amp;raddatabase=PVGIS-SARAH3&amp;pvtechchoice=crystSi&amp;mountingplace=free&amp;usehorizon=1</v>
      </c>
    </row>
    <row r="2739">
      <c r="A2739" t="n">
        <v>40</v>
      </c>
      <c r="B2739" t="n">
        <v>330</v>
      </c>
      <c r="C2739" t="n">
        <v>6</v>
      </c>
      <c r="D2739" s="218" t="n">
        <v>155.36</v>
      </c>
      <c r="E2739" s="218" t="n">
        <v>5.18</v>
      </c>
      <c r="F2739" t="str">
        <v>https://re.jrc.ec.europa.eu/api/v5_3/PVcalc?lat=30.0444&amp;lon=31.2357&amp;peakpower=1&amp;loss=14&amp;angle=40&amp;aspect=150&amp;outputformat=json&amp;raddatabase=PVGIS-SARAH3&amp;pvtechchoice=crystSi&amp;mountingplace=free&amp;usehorizon=1</v>
      </c>
    </row>
    <row r="2740">
      <c r="A2740" t="n">
        <v>40</v>
      </c>
      <c r="B2740" t="n">
        <v>330</v>
      </c>
      <c r="C2740" t="n">
        <v>7</v>
      </c>
      <c r="D2740" s="218" t="n">
        <v>154.34</v>
      </c>
      <c r="E2740" s="218" t="n">
        <v>4.98</v>
      </c>
      <c r="F2740" t="str">
        <v>https://re.jrc.ec.europa.eu/api/v5_3/PVcalc?lat=30.0444&amp;lon=31.2357&amp;peakpower=1&amp;loss=14&amp;angle=40&amp;aspect=150&amp;outputformat=json&amp;raddatabase=PVGIS-SARAH3&amp;pvtechchoice=crystSi&amp;mountingplace=free&amp;usehorizon=1</v>
      </c>
    </row>
    <row r="2741">
      <c r="A2741" t="n">
        <v>40</v>
      </c>
      <c r="B2741" t="n">
        <v>330</v>
      </c>
      <c r="C2741" t="n">
        <v>8</v>
      </c>
      <c r="D2741" s="218" t="n">
        <v>127.11</v>
      </c>
      <c r="E2741" s="218" t="n">
        <v>4.1</v>
      </c>
      <c r="F2741" t="str">
        <v>https://re.jrc.ec.europa.eu/api/v5_3/PVcalc?lat=30.0444&amp;lon=31.2357&amp;peakpower=1&amp;loss=14&amp;angle=40&amp;aspect=150&amp;outputformat=json&amp;raddatabase=PVGIS-SARAH3&amp;pvtechchoice=crystSi&amp;mountingplace=free&amp;usehorizon=1</v>
      </c>
    </row>
    <row r="2742">
      <c r="A2742" t="n">
        <v>40</v>
      </c>
      <c r="B2742" t="n">
        <v>330</v>
      </c>
      <c r="C2742" t="n">
        <v>9</v>
      </c>
      <c r="D2742" s="218" t="n">
        <v>88.44</v>
      </c>
      <c r="E2742" s="218" t="n">
        <v>2.95</v>
      </c>
      <c r="F2742" t="str">
        <v>https://re.jrc.ec.europa.eu/api/v5_3/PVcalc?lat=30.0444&amp;lon=31.2357&amp;peakpower=1&amp;loss=14&amp;angle=40&amp;aspect=150&amp;outputformat=json&amp;raddatabase=PVGIS-SARAH3&amp;pvtechchoice=crystSi&amp;mountingplace=free&amp;usehorizon=1</v>
      </c>
    </row>
    <row r="2743">
      <c r="A2743" t="n">
        <v>40</v>
      </c>
      <c r="B2743" t="n">
        <v>330</v>
      </c>
      <c r="C2743" t="n">
        <v>10</v>
      </c>
      <c r="D2743" s="218" t="n">
        <v>54.5</v>
      </c>
      <c r="E2743" s="218" t="n">
        <v>1.76</v>
      </c>
      <c r="F2743" t="str">
        <v>https://re.jrc.ec.europa.eu/api/v5_3/PVcalc?lat=30.0444&amp;lon=31.2357&amp;peakpower=1&amp;loss=14&amp;angle=40&amp;aspect=150&amp;outputformat=json&amp;raddatabase=PVGIS-SARAH3&amp;pvtechchoice=crystSi&amp;mountingplace=free&amp;usehorizon=1</v>
      </c>
    </row>
    <row r="2744">
      <c r="A2744" t="n">
        <v>40</v>
      </c>
      <c r="B2744" t="n">
        <v>330</v>
      </c>
      <c r="C2744" t="n">
        <v>11</v>
      </c>
      <c r="D2744" s="218" t="n">
        <v>29.88</v>
      </c>
      <c r="E2744" s="218" t="n">
        <v>1</v>
      </c>
      <c r="F2744" t="str">
        <v>https://re.jrc.ec.europa.eu/api/v5_3/PVcalc?lat=30.0444&amp;lon=31.2357&amp;peakpower=1&amp;loss=14&amp;angle=40&amp;aspect=150&amp;outputformat=json&amp;raddatabase=PVGIS-SARAH3&amp;pvtechchoice=crystSi&amp;mountingplace=free&amp;usehorizon=1</v>
      </c>
    </row>
    <row r="2745">
      <c r="A2745" t="n">
        <v>40</v>
      </c>
      <c r="B2745" t="n">
        <v>330</v>
      </c>
      <c r="C2745" t="n">
        <v>12</v>
      </c>
      <c r="D2745" s="218" t="n">
        <v>23.34</v>
      </c>
      <c r="E2745" s="218" t="n">
        <v>0.75</v>
      </c>
      <c r="F2745" t="str">
        <v>https://re.jrc.ec.europa.eu/api/v5_3/PVcalc?lat=30.0444&amp;lon=31.2357&amp;peakpower=1&amp;loss=14&amp;angle=40&amp;aspect=150&amp;outputformat=json&amp;raddatabase=PVGIS-SARAH3&amp;pvtechchoice=crystSi&amp;mountingplace=free&amp;usehorizon=1</v>
      </c>
    </row>
    <row r="2746">
      <c r="A2746" t="n">
        <v>40</v>
      </c>
      <c r="B2746" t="n">
        <v>345</v>
      </c>
      <c r="C2746" t="n">
        <v>1</v>
      </c>
      <c r="D2746" s="218" t="n">
        <v>22.39</v>
      </c>
      <c r="E2746" s="218" t="n">
        <v>0.72</v>
      </c>
      <c r="F2746" t="str">
        <v>https://re.jrc.ec.europa.eu/api/v5_3/PVcalc?lat=30.0444&amp;lon=31.2357&amp;peakpower=1&amp;loss=14&amp;angle=40&amp;aspect=165&amp;outputformat=json&amp;raddatabase=PVGIS-SARAH3&amp;pvtechchoice=crystSi&amp;mountingplace=free&amp;usehorizon=1</v>
      </c>
    </row>
    <row r="2747">
      <c r="A2747" t="n">
        <v>40</v>
      </c>
      <c r="B2747" t="n">
        <v>345</v>
      </c>
      <c r="C2747" t="n">
        <v>2</v>
      </c>
      <c r="D2747" s="218" t="n">
        <v>32.45</v>
      </c>
      <c r="E2747" s="218" t="n">
        <v>1.16</v>
      </c>
      <c r="F2747" t="str">
        <v>https://re.jrc.ec.europa.eu/api/v5_3/PVcalc?lat=30.0444&amp;lon=31.2357&amp;peakpower=1&amp;loss=14&amp;angle=40&amp;aspect=165&amp;outputformat=json&amp;raddatabase=PVGIS-SARAH3&amp;pvtechchoice=crystSi&amp;mountingplace=free&amp;usehorizon=1</v>
      </c>
    </row>
    <row r="2748">
      <c r="A2748" t="n">
        <v>40</v>
      </c>
      <c r="B2748" t="n">
        <v>345</v>
      </c>
      <c r="C2748" t="n">
        <v>3</v>
      </c>
      <c r="D2748" s="218" t="n">
        <v>68.06</v>
      </c>
      <c r="E2748" s="218" t="n">
        <v>2.2</v>
      </c>
      <c r="F2748" t="str">
        <v>https://re.jrc.ec.europa.eu/api/v5_3/PVcalc?lat=30.0444&amp;lon=31.2357&amp;peakpower=1&amp;loss=14&amp;angle=40&amp;aspect=165&amp;outputformat=json&amp;raddatabase=PVGIS-SARAH3&amp;pvtechchoice=crystSi&amp;mountingplace=free&amp;usehorizon=1</v>
      </c>
    </row>
    <row r="2749">
      <c r="A2749" t="n">
        <v>40</v>
      </c>
      <c r="B2749" t="n">
        <v>345</v>
      </c>
      <c r="C2749" t="n">
        <v>4</v>
      </c>
      <c r="D2749" s="218" t="n">
        <v>105.49</v>
      </c>
      <c r="E2749" s="218" t="n">
        <v>3.52</v>
      </c>
      <c r="F2749" t="str">
        <v>https://re.jrc.ec.europa.eu/api/v5_3/PVcalc?lat=30.0444&amp;lon=31.2357&amp;peakpower=1&amp;loss=14&amp;angle=40&amp;aspect=165&amp;outputformat=json&amp;raddatabase=PVGIS-SARAH3&amp;pvtechchoice=crystSi&amp;mountingplace=free&amp;usehorizon=1</v>
      </c>
    </row>
    <row r="2750">
      <c r="A2750" t="n">
        <v>40</v>
      </c>
      <c r="B2750" t="n">
        <v>345</v>
      </c>
      <c r="C2750" t="n">
        <v>5</v>
      </c>
      <c r="D2750" s="218" t="n">
        <v>140.26</v>
      </c>
      <c r="E2750" s="218" t="n">
        <v>4.52</v>
      </c>
      <c r="F2750" t="str">
        <v>https://re.jrc.ec.europa.eu/api/v5_3/PVcalc?lat=30.0444&amp;lon=31.2357&amp;peakpower=1&amp;loss=14&amp;angle=40&amp;aspect=165&amp;outputformat=json&amp;raddatabase=PVGIS-SARAH3&amp;pvtechchoice=crystSi&amp;mountingplace=free&amp;usehorizon=1</v>
      </c>
    </row>
    <row r="2751">
      <c r="A2751" t="n">
        <v>40</v>
      </c>
      <c r="B2751" t="n">
        <v>345</v>
      </c>
      <c r="C2751" t="n">
        <v>6</v>
      </c>
      <c r="D2751" s="218" t="n">
        <v>155.16</v>
      </c>
      <c r="E2751" s="218" t="n">
        <v>5.17</v>
      </c>
      <c r="F2751" t="str">
        <v>https://re.jrc.ec.europa.eu/api/v5_3/PVcalc?lat=30.0444&amp;lon=31.2357&amp;peakpower=1&amp;loss=14&amp;angle=40&amp;aspect=165&amp;outputformat=json&amp;raddatabase=PVGIS-SARAH3&amp;pvtechchoice=crystSi&amp;mountingplace=free&amp;usehorizon=1</v>
      </c>
    </row>
    <row r="2752">
      <c r="A2752" t="n">
        <v>40</v>
      </c>
      <c r="B2752" t="n">
        <v>345</v>
      </c>
      <c r="C2752" t="n">
        <v>7</v>
      </c>
      <c r="D2752" s="218" t="n">
        <v>152.83</v>
      </c>
      <c r="E2752" s="218" t="n">
        <v>4.93</v>
      </c>
      <c r="F2752" t="str">
        <v>https://re.jrc.ec.europa.eu/api/v5_3/PVcalc?lat=30.0444&amp;lon=31.2357&amp;peakpower=1&amp;loss=14&amp;angle=40&amp;aspect=165&amp;outputformat=json&amp;raddatabase=PVGIS-SARAH3&amp;pvtechchoice=crystSi&amp;mountingplace=free&amp;usehorizon=1</v>
      </c>
    </row>
    <row r="2753">
      <c r="A2753" t="n">
        <v>40</v>
      </c>
      <c r="B2753" t="n">
        <v>345</v>
      </c>
      <c r="C2753" t="n">
        <v>8</v>
      </c>
      <c r="D2753" s="218" t="n">
        <v>122.74</v>
      </c>
      <c r="E2753" s="218" t="n">
        <v>3.96</v>
      </c>
      <c r="F2753" t="str">
        <v>https://re.jrc.ec.europa.eu/api/v5_3/PVcalc?lat=30.0444&amp;lon=31.2357&amp;peakpower=1&amp;loss=14&amp;angle=40&amp;aspect=165&amp;outputformat=json&amp;raddatabase=PVGIS-SARAH3&amp;pvtechchoice=crystSi&amp;mountingplace=free&amp;usehorizon=1</v>
      </c>
    </row>
    <row r="2754">
      <c r="A2754" t="n">
        <v>40</v>
      </c>
      <c r="B2754" t="n">
        <v>345</v>
      </c>
      <c r="C2754" t="n">
        <v>9</v>
      </c>
      <c r="D2754" s="218" t="n">
        <v>79.17</v>
      </c>
      <c r="E2754" s="218" t="n">
        <v>2.64</v>
      </c>
      <c r="F2754" t="str">
        <v>https://re.jrc.ec.europa.eu/api/v5_3/PVcalc?lat=30.0444&amp;lon=31.2357&amp;peakpower=1&amp;loss=14&amp;angle=40&amp;aspect=165&amp;outputformat=json&amp;raddatabase=PVGIS-SARAH3&amp;pvtechchoice=crystSi&amp;mountingplace=free&amp;usehorizon=1</v>
      </c>
    </row>
    <row r="2755">
      <c r="A2755" t="n">
        <v>40</v>
      </c>
      <c r="B2755" t="n">
        <v>345</v>
      </c>
      <c r="C2755" t="n">
        <v>10</v>
      </c>
      <c r="D2755" s="218" t="n">
        <v>42.48</v>
      </c>
      <c r="E2755" s="218" t="n">
        <v>1.37</v>
      </c>
      <c r="F2755" t="str">
        <v>https://re.jrc.ec.europa.eu/api/v5_3/PVcalc?lat=30.0444&amp;lon=31.2357&amp;peakpower=1&amp;loss=14&amp;angle=40&amp;aspect=165&amp;outputformat=json&amp;raddatabase=PVGIS-SARAH3&amp;pvtechchoice=crystSi&amp;mountingplace=free&amp;usehorizon=1</v>
      </c>
    </row>
    <row r="2756">
      <c r="A2756" t="n">
        <v>40</v>
      </c>
      <c r="B2756" t="n">
        <v>345</v>
      </c>
      <c r="C2756" t="n">
        <v>11</v>
      </c>
      <c r="D2756" s="218" t="n">
        <v>21.9</v>
      </c>
      <c r="E2756" s="218" t="n">
        <v>0.73</v>
      </c>
      <c r="F2756" t="str">
        <v>https://re.jrc.ec.europa.eu/api/v5_3/PVcalc?lat=30.0444&amp;lon=31.2357&amp;peakpower=1&amp;loss=14&amp;angle=40&amp;aspect=165&amp;outputformat=json&amp;raddatabase=PVGIS-SARAH3&amp;pvtechchoice=crystSi&amp;mountingplace=free&amp;usehorizon=1</v>
      </c>
    </row>
    <row r="2757">
      <c r="A2757" t="n">
        <v>40</v>
      </c>
      <c r="B2757" t="n">
        <v>345</v>
      </c>
      <c r="C2757" t="n">
        <v>12</v>
      </c>
      <c r="D2757" s="218" t="n">
        <v>21.63</v>
      </c>
      <c r="E2757" s="218" t="n">
        <v>0.7</v>
      </c>
      <c r="F2757" t="str">
        <v>https://re.jrc.ec.europa.eu/api/v5_3/PVcalc?lat=30.0444&amp;lon=31.2357&amp;peakpower=1&amp;loss=14&amp;angle=40&amp;aspect=165&amp;outputformat=json&amp;raddatabase=PVGIS-SARAH3&amp;pvtechchoice=crystSi&amp;mountingplace=free&amp;usehorizon=1</v>
      </c>
    </row>
    <row r="2758">
      <c r="A2758" t="n">
        <v>40</v>
      </c>
      <c r="B2758" t="n">
        <v>360</v>
      </c>
      <c r="C2758" t="n">
        <v>1</v>
      </c>
      <c r="D2758" s="218" t="n">
        <v>23</v>
      </c>
      <c r="E2758" s="218" t="n">
        <v>0.74</v>
      </c>
      <c r="F2758" t="str">
        <v>https://re.jrc.ec.europa.eu/api/v5_3/PVcalc?lat=30.0444&amp;lon=31.2357&amp;peakpower=1&amp;loss=14&amp;angle=40&amp;aspect=180&amp;outputformat=json&amp;raddatabase=PVGIS-SARAH3&amp;pvtechchoice=crystSi&amp;mountingplace=free&amp;usehorizon=1</v>
      </c>
    </row>
    <row r="2759">
      <c r="A2759" t="n">
        <v>40</v>
      </c>
      <c r="B2759" t="n">
        <v>360</v>
      </c>
      <c r="C2759" t="n">
        <v>2</v>
      </c>
      <c r="D2759" s="218" t="n">
        <v>28.72</v>
      </c>
      <c r="E2759" s="218" t="n">
        <v>1.03</v>
      </c>
      <c r="F2759" t="str">
        <v>https://re.jrc.ec.europa.eu/api/v5_3/PVcalc?lat=30.0444&amp;lon=31.2357&amp;peakpower=1&amp;loss=14&amp;angle=40&amp;aspect=180&amp;outputformat=json&amp;raddatabase=PVGIS-SARAH3&amp;pvtechchoice=crystSi&amp;mountingplace=free&amp;usehorizon=1</v>
      </c>
    </row>
    <row r="2760">
      <c r="A2760" t="n">
        <v>40</v>
      </c>
      <c r="B2760" t="n">
        <v>360</v>
      </c>
      <c r="C2760" t="n">
        <v>3</v>
      </c>
      <c r="D2760" s="218" t="n">
        <v>63.37</v>
      </c>
      <c r="E2760" s="218" t="n">
        <v>2.04</v>
      </c>
      <c r="F2760" t="str">
        <v>https://re.jrc.ec.europa.eu/api/v5_3/PVcalc?lat=30.0444&amp;lon=31.2357&amp;peakpower=1&amp;loss=14&amp;angle=40&amp;aspect=180&amp;outputformat=json&amp;raddatabase=PVGIS-SARAH3&amp;pvtechchoice=crystSi&amp;mountingplace=free&amp;usehorizon=1</v>
      </c>
    </row>
    <row r="2761">
      <c r="A2761" t="n">
        <v>40</v>
      </c>
      <c r="B2761" t="n">
        <v>360</v>
      </c>
      <c r="C2761" t="n">
        <v>4</v>
      </c>
      <c r="D2761" s="218" t="n">
        <v>103.41</v>
      </c>
      <c r="E2761" s="218" t="n">
        <v>3.45</v>
      </c>
      <c r="F2761" t="str">
        <v>https://re.jrc.ec.europa.eu/api/v5_3/PVcalc?lat=30.0444&amp;lon=31.2357&amp;peakpower=1&amp;loss=14&amp;angle=40&amp;aspect=180&amp;outputformat=json&amp;raddatabase=PVGIS-SARAH3&amp;pvtechchoice=crystSi&amp;mountingplace=free&amp;usehorizon=1</v>
      </c>
    </row>
    <row r="2762">
      <c r="A2762" t="n">
        <v>40</v>
      </c>
      <c r="B2762" t="n">
        <v>360</v>
      </c>
      <c r="C2762" t="n">
        <v>5</v>
      </c>
      <c r="D2762" s="218" t="n">
        <v>139.38</v>
      </c>
      <c r="E2762" s="218" t="n">
        <v>4.5</v>
      </c>
      <c r="F2762" t="str">
        <v>https://re.jrc.ec.europa.eu/api/v5_3/PVcalc?lat=30.0444&amp;lon=31.2357&amp;peakpower=1&amp;loss=14&amp;angle=40&amp;aspect=180&amp;outputformat=json&amp;raddatabase=PVGIS-SARAH3&amp;pvtechchoice=crystSi&amp;mountingplace=free&amp;usehorizon=1</v>
      </c>
    </row>
    <row r="2763">
      <c r="A2763" t="n">
        <v>40</v>
      </c>
      <c r="B2763" t="n">
        <v>360</v>
      </c>
      <c r="C2763" t="n">
        <v>6</v>
      </c>
      <c r="D2763" s="218" t="n">
        <v>153.68</v>
      </c>
      <c r="E2763" s="218" t="n">
        <v>5.12</v>
      </c>
      <c r="F2763" t="str">
        <v>https://re.jrc.ec.europa.eu/api/v5_3/PVcalc?lat=30.0444&amp;lon=31.2357&amp;peakpower=1&amp;loss=14&amp;angle=40&amp;aspect=180&amp;outputformat=json&amp;raddatabase=PVGIS-SARAH3&amp;pvtechchoice=crystSi&amp;mountingplace=free&amp;usehorizon=1</v>
      </c>
    </row>
    <row r="2764">
      <c r="A2764" t="n">
        <v>40</v>
      </c>
      <c r="B2764" t="n">
        <v>360</v>
      </c>
      <c r="C2764" t="n">
        <v>7</v>
      </c>
      <c r="D2764" s="218" t="n">
        <v>150.35</v>
      </c>
      <c r="E2764" s="218" t="n">
        <v>4.85</v>
      </c>
      <c r="F2764" t="str">
        <v>https://re.jrc.ec.europa.eu/api/v5_3/PVcalc?lat=30.0444&amp;lon=31.2357&amp;peakpower=1&amp;loss=14&amp;angle=40&amp;aspect=180&amp;outputformat=json&amp;raddatabase=PVGIS-SARAH3&amp;pvtechchoice=crystSi&amp;mountingplace=free&amp;usehorizon=1</v>
      </c>
    </row>
    <row r="2765">
      <c r="A2765" t="n">
        <v>40</v>
      </c>
      <c r="B2765" t="n">
        <v>360</v>
      </c>
      <c r="C2765" t="n">
        <v>8</v>
      </c>
      <c r="D2765" s="218" t="n">
        <v>119.85</v>
      </c>
      <c r="E2765" s="218" t="n">
        <v>3.87</v>
      </c>
      <c r="F2765" t="str">
        <v>https://re.jrc.ec.europa.eu/api/v5_3/PVcalc?lat=30.0444&amp;lon=31.2357&amp;peakpower=1&amp;loss=14&amp;angle=40&amp;aspect=180&amp;outputformat=json&amp;raddatabase=PVGIS-SARAH3&amp;pvtechchoice=crystSi&amp;mountingplace=free&amp;usehorizon=1</v>
      </c>
    </row>
    <row r="2766">
      <c r="A2766" t="n">
        <v>40</v>
      </c>
      <c r="B2766" t="n">
        <v>360</v>
      </c>
      <c r="C2766" t="n">
        <v>9</v>
      </c>
      <c r="D2766" s="218" t="n">
        <v>74.71</v>
      </c>
      <c r="E2766" s="218" t="n">
        <v>2.49</v>
      </c>
      <c r="F2766" t="str">
        <v>https://re.jrc.ec.europa.eu/api/v5_3/PVcalc?lat=30.0444&amp;lon=31.2357&amp;peakpower=1&amp;loss=14&amp;angle=40&amp;aspect=180&amp;outputformat=json&amp;raddatabase=PVGIS-SARAH3&amp;pvtechchoice=crystSi&amp;mountingplace=free&amp;usehorizon=1</v>
      </c>
    </row>
    <row r="2767">
      <c r="A2767" t="n">
        <v>40</v>
      </c>
      <c r="B2767" t="n">
        <v>360</v>
      </c>
      <c r="C2767" t="n">
        <v>10</v>
      </c>
      <c r="D2767" s="218" t="n">
        <v>36.83</v>
      </c>
      <c r="E2767" s="218" t="n">
        <v>1.19</v>
      </c>
      <c r="F2767" t="str">
        <v>https://re.jrc.ec.europa.eu/api/v5_3/PVcalc?lat=30.0444&amp;lon=31.2357&amp;peakpower=1&amp;loss=14&amp;angle=40&amp;aspect=180&amp;outputformat=json&amp;raddatabase=PVGIS-SARAH3&amp;pvtechchoice=crystSi&amp;mountingplace=free&amp;usehorizon=1</v>
      </c>
    </row>
    <row r="2768">
      <c r="A2768" t="n">
        <v>40</v>
      </c>
      <c r="B2768" t="n">
        <v>360</v>
      </c>
      <c r="C2768" t="n">
        <v>11</v>
      </c>
      <c r="D2768" s="218" t="n">
        <v>21.19</v>
      </c>
      <c r="E2768" s="218" t="n">
        <v>0.71</v>
      </c>
      <c r="F2768" t="str">
        <v>https://re.jrc.ec.europa.eu/api/v5_3/PVcalc?lat=30.0444&amp;lon=31.2357&amp;peakpower=1&amp;loss=14&amp;angle=40&amp;aspect=180&amp;outputformat=json&amp;raddatabase=PVGIS-SARAH3&amp;pvtechchoice=crystSi&amp;mountingplace=free&amp;usehorizon=1</v>
      </c>
    </row>
    <row r="2769">
      <c r="A2769" t="n">
        <v>40</v>
      </c>
      <c r="B2769" t="n">
        <v>360</v>
      </c>
      <c r="C2769" t="n">
        <v>12</v>
      </c>
      <c r="D2769" s="218" t="n">
        <v>22.01</v>
      </c>
      <c r="E2769" s="218" t="n">
        <v>0.71</v>
      </c>
      <c r="F2769" t="str">
        <v>https://re.jrc.ec.europa.eu/api/v5_3/PVcalc?lat=30.0444&amp;lon=31.2357&amp;peakpower=1&amp;loss=14&amp;angle=40&amp;aspect=180&amp;outputformat=json&amp;raddatabase=PVGIS-SARAH3&amp;pvtechchoice=crystSi&amp;mountingplace=free&amp;usehorizon=1</v>
      </c>
    </row>
    <row r="2770">
      <c r="A2770" t="n">
        <v>45</v>
      </c>
      <c r="B2770" t="n">
        <v>0</v>
      </c>
      <c r="C2770" t="n">
        <v>1</v>
      </c>
      <c r="D2770" s="218" t="n">
        <v>22.53</v>
      </c>
      <c r="E2770" s="218" t="n">
        <v>0.73</v>
      </c>
      <c r="F2770" t="str">
        <v>https://re.jrc.ec.europa.eu/api/v5_3/PVcalc?lat=30.0444&amp;lon=31.2357&amp;peakpower=1&amp;loss=14&amp;angle=45&amp;aspect=-180&amp;outputformat=json&amp;raddatabase=PVGIS-SARAH3&amp;pvtechchoice=crystSi&amp;mountingplace=free&amp;usehorizon=1</v>
      </c>
    </row>
    <row r="2771">
      <c r="A2771" t="n">
        <v>45</v>
      </c>
      <c r="B2771" t="n">
        <v>0</v>
      </c>
      <c r="C2771" t="n">
        <v>2</v>
      </c>
      <c r="D2771" s="218" t="n">
        <v>25.36</v>
      </c>
      <c r="E2771" s="218" t="n">
        <v>0.91</v>
      </c>
      <c r="F2771" t="str">
        <v>https://re.jrc.ec.europa.eu/api/v5_3/PVcalc?lat=30.0444&amp;lon=31.2357&amp;peakpower=1&amp;loss=14&amp;angle=45&amp;aspect=-180&amp;outputformat=json&amp;raddatabase=PVGIS-SARAH3&amp;pvtechchoice=crystSi&amp;mountingplace=free&amp;usehorizon=1</v>
      </c>
    </row>
    <row r="2772">
      <c r="A2772" t="n">
        <v>45</v>
      </c>
      <c r="B2772" t="n">
        <v>0</v>
      </c>
      <c r="C2772" t="n">
        <v>3</v>
      </c>
      <c r="D2772" s="218" t="n">
        <v>51.4</v>
      </c>
      <c r="E2772" s="218" t="n">
        <v>1.66</v>
      </c>
      <c r="F2772" t="str">
        <v>https://re.jrc.ec.europa.eu/api/v5_3/PVcalc?lat=30.0444&amp;lon=31.2357&amp;peakpower=1&amp;loss=14&amp;angle=45&amp;aspect=-180&amp;outputformat=json&amp;raddatabase=PVGIS-SARAH3&amp;pvtechchoice=crystSi&amp;mountingplace=free&amp;usehorizon=1</v>
      </c>
    </row>
    <row r="2773">
      <c r="A2773" t="n">
        <v>45</v>
      </c>
      <c r="B2773" t="n">
        <v>0</v>
      </c>
      <c r="C2773" t="n">
        <v>4</v>
      </c>
      <c r="D2773" s="218" t="n">
        <v>92.36</v>
      </c>
      <c r="E2773" s="218" t="n">
        <v>3.08</v>
      </c>
      <c r="F2773" t="str">
        <v>https://re.jrc.ec.europa.eu/api/v5_3/PVcalc?lat=30.0444&amp;lon=31.2357&amp;peakpower=1&amp;loss=14&amp;angle=45&amp;aspect=-180&amp;outputformat=json&amp;raddatabase=PVGIS-SARAH3&amp;pvtechchoice=crystSi&amp;mountingplace=free&amp;usehorizon=1</v>
      </c>
    </row>
    <row r="2774">
      <c r="A2774" t="n">
        <v>45</v>
      </c>
      <c r="B2774" t="n">
        <v>0</v>
      </c>
      <c r="C2774" t="n">
        <v>5</v>
      </c>
      <c r="D2774" s="218" t="n">
        <v>130.08</v>
      </c>
      <c r="E2774" s="218" t="n">
        <v>4.2</v>
      </c>
      <c r="F2774" t="str">
        <v>https://re.jrc.ec.europa.eu/api/v5_3/PVcalc?lat=30.0444&amp;lon=31.2357&amp;peakpower=1&amp;loss=14&amp;angle=45&amp;aspect=-180&amp;outputformat=json&amp;raddatabase=PVGIS-SARAH3&amp;pvtechchoice=crystSi&amp;mountingplace=free&amp;usehorizon=1</v>
      </c>
    </row>
    <row r="2775">
      <c r="A2775" t="n">
        <v>45</v>
      </c>
      <c r="B2775" t="n">
        <v>0</v>
      </c>
      <c r="C2775" t="n">
        <v>6</v>
      </c>
      <c r="D2775" s="218" t="n">
        <v>145.23</v>
      </c>
      <c r="E2775" s="218" t="n">
        <v>4.84</v>
      </c>
      <c r="F2775" t="str">
        <v>https://re.jrc.ec.europa.eu/api/v5_3/PVcalc?lat=30.0444&amp;lon=31.2357&amp;peakpower=1&amp;loss=14&amp;angle=45&amp;aspect=-180&amp;outputformat=json&amp;raddatabase=PVGIS-SARAH3&amp;pvtechchoice=crystSi&amp;mountingplace=free&amp;usehorizon=1</v>
      </c>
    </row>
    <row r="2776">
      <c r="A2776" t="n">
        <v>45</v>
      </c>
      <c r="B2776" t="n">
        <v>0</v>
      </c>
      <c r="C2776" t="n">
        <v>7</v>
      </c>
      <c r="D2776" s="218" t="n">
        <v>141.08</v>
      </c>
      <c r="E2776" s="218" t="n">
        <v>4.55</v>
      </c>
      <c r="F2776" t="str">
        <v>https://re.jrc.ec.europa.eu/api/v5_3/PVcalc?lat=30.0444&amp;lon=31.2357&amp;peakpower=1&amp;loss=14&amp;angle=45&amp;aspect=-180&amp;outputformat=json&amp;raddatabase=PVGIS-SARAH3&amp;pvtechchoice=crystSi&amp;mountingplace=free&amp;usehorizon=1</v>
      </c>
    </row>
    <row r="2777">
      <c r="A2777" t="n">
        <v>45</v>
      </c>
      <c r="B2777" t="n">
        <v>0</v>
      </c>
      <c r="C2777" t="n">
        <v>8</v>
      </c>
      <c r="D2777" s="218" t="n">
        <v>108.7</v>
      </c>
      <c r="E2777" s="218" t="n">
        <v>3.51</v>
      </c>
      <c r="F2777" t="str">
        <v>https://re.jrc.ec.europa.eu/api/v5_3/PVcalc?lat=30.0444&amp;lon=31.2357&amp;peakpower=1&amp;loss=14&amp;angle=45&amp;aspect=-180&amp;outputformat=json&amp;raddatabase=PVGIS-SARAH3&amp;pvtechchoice=crystSi&amp;mountingplace=free&amp;usehorizon=1</v>
      </c>
    </row>
    <row r="2778">
      <c r="A2778" t="n">
        <v>45</v>
      </c>
      <c r="B2778" t="n">
        <v>0</v>
      </c>
      <c r="C2778" t="n">
        <v>9</v>
      </c>
      <c r="D2778" s="218" t="n">
        <v>62.1</v>
      </c>
      <c r="E2778" s="218" t="n">
        <v>2.07</v>
      </c>
      <c r="F2778" t="str">
        <v>https://re.jrc.ec.europa.eu/api/v5_3/PVcalc?lat=30.0444&amp;lon=31.2357&amp;peakpower=1&amp;loss=14&amp;angle=45&amp;aspect=-180&amp;outputformat=json&amp;raddatabase=PVGIS-SARAH3&amp;pvtechchoice=crystSi&amp;mountingplace=free&amp;usehorizon=1</v>
      </c>
    </row>
    <row r="2779">
      <c r="A2779" t="n">
        <v>45</v>
      </c>
      <c r="B2779" t="n">
        <v>0</v>
      </c>
      <c r="C2779" t="n">
        <v>10</v>
      </c>
      <c r="D2779" s="218" t="n">
        <v>28.25</v>
      </c>
      <c r="E2779" s="218" t="n">
        <v>0.91</v>
      </c>
      <c r="F2779" t="str">
        <v>https://re.jrc.ec.europa.eu/api/v5_3/PVcalc?lat=30.0444&amp;lon=31.2357&amp;peakpower=1&amp;loss=14&amp;angle=45&amp;aspect=-180&amp;outputformat=json&amp;raddatabase=PVGIS-SARAH3&amp;pvtechchoice=crystSi&amp;mountingplace=free&amp;usehorizon=1</v>
      </c>
    </row>
    <row r="2780">
      <c r="A2780" t="n">
        <v>45</v>
      </c>
      <c r="B2780" t="n">
        <v>0</v>
      </c>
      <c r="C2780" t="n">
        <v>11</v>
      </c>
      <c r="D2780" s="218" t="n">
        <v>21.56</v>
      </c>
      <c r="E2780" s="218" t="n">
        <v>0.72</v>
      </c>
      <c r="F2780" t="str">
        <v>https://re.jrc.ec.europa.eu/api/v5_3/PVcalc?lat=30.0444&amp;lon=31.2357&amp;peakpower=1&amp;loss=14&amp;angle=45&amp;aspect=-180&amp;outputformat=json&amp;raddatabase=PVGIS-SARAH3&amp;pvtechchoice=crystSi&amp;mountingplace=free&amp;usehorizon=1</v>
      </c>
    </row>
    <row r="2781">
      <c r="A2781" t="n">
        <v>45</v>
      </c>
      <c r="B2781" t="n">
        <v>0</v>
      </c>
      <c r="C2781" t="n">
        <v>12</v>
      </c>
      <c r="D2781" s="218" t="n">
        <v>20.92</v>
      </c>
      <c r="E2781" s="218" t="n">
        <v>0.67</v>
      </c>
      <c r="F2781" t="str">
        <v>https://re.jrc.ec.europa.eu/api/v5_3/PVcalc?lat=30.0444&amp;lon=31.2357&amp;peakpower=1&amp;loss=14&amp;angle=45&amp;aspect=-180&amp;outputformat=json&amp;raddatabase=PVGIS-SARAH3&amp;pvtechchoice=crystSi&amp;mountingplace=free&amp;usehorizon=1</v>
      </c>
    </row>
    <row r="2782">
      <c r="A2782" t="n">
        <v>45</v>
      </c>
      <c r="B2782" t="n">
        <v>15</v>
      </c>
      <c r="C2782" t="n">
        <v>1</v>
      </c>
      <c r="D2782" s="218" t="n">
        <v>22.29</v>
      </c>
      <c r="E2782" s="218" t="n">
        <v>0.72</v>
      </c>
      <c r="F2782" t="str">
        <v>https://re.jrc.ec.europa.eu/api/v5_3/PVcalc?lat=30.0444&amp;lon=31.2357&amp;peakpower=1&amp;loss=14&amp;angle=45&amp;aspect=-165&amp;outputformat=json&amp;raddatabase=PVGIS-SARAH3&amp;pvtechchoice=crystSi&amp;mountingplace=free&amp;usehorizon=1</v>
      </c>
    </row>
    <row r="2783">
      <c r="A2783" t="n">
        <v>45</v>
      </c>
      <c r="B2783" t="n">
        <v>15</v>
      </c>
      <c r="C2783" t="n">
        <v>2</v>
      </c>
      <c r="D2783" s="218" t="n">
        <v>27.99</v>
      </c>
      <c r="E2783" s="218" t="n">
        <v>1</v>
      </c>
      <c r="F2783" t="str">
        <v>https://re.jrc.ec.europa.eu/api/v5_3/PVcalc?lat=30.0444&amp;lon=31.2357&amp;peakpower=1&amp;loss=14&amp;angle=45&amp;aspect=-165&amp;outputformat=json&amp;raddatabase=PVGIS-SARAH3&amp;pvtechchoice=crystSi&amp;mountingplace=free&amp;usehorizon=1</v>
      </c>
    </row>
    <row r="2784">
      <c r="A2784" t="n">
        <v>45</v>
      </c>
      <c r="B2784" t="n">
        <v>15</v>
      </c>
      <c r="C2784" t="n">
        <v>3</v>
      </c>
      <c r="D2784" s="218" t="n">
        <v>57.11</v>
      </c>
      <c r="E2784" s="218" t="n">
        <v>1.84</v>
      </c>
      <c r="F2784" t="str">
        <v>https://re.jrc.ec.europa.eu/api/v5_3/PVcalc?lat=30.0444&amp;lon=31.2357&amp;peakpower=1&amp;loss=14&amp;angle=45&amp;aspect=-165&amp;outputformat=json&amp;raddatabase=PVGIS-SARAH3&amp;pvtechchoice=crystSi&amp;mountingplace=free&amp;usehorizon=1</v>
      </c>
    </row>
    <row r="2785">
      <c r="A2785" t="n">
        <v>45</v>
      </c>
      <c r="B2785" t="n">
        <v>15</v>
      </c>
      <c r="C2785" t="n">
        <v>4</v>
      </c>
      <c r="D2785" s="218" t="n">
        <v>92.81</v>
      </c>
      <c r="E2785" s="218" t="n">
        <v>3.09</v>
      </c>
      <c r="F2785" t="str">
        <v>https://re.jrc.ec.europa.eu/api/v5_3/PVcalc?lat=30.0444&amp;lon=31.2357&amp;peakpower=1&amp;loss=14&amp;angle=45&amp;aspect=-165&amp;outputformat=json&amp;raddatabase=PVGIS-SARAH3&amp;pvtechchoice=crystSi&amp;mountingplace=free&amp;usehorizon=1</v>
      </c>
    </row>
    <row r="2786">
      <c r="A2786" t="n">
        <v>45</v>
      </c>
      <c r="B2786" t="n">
        <v>15</v>
      </c>
      <c r="C2786" t="n">
        <v>5</v>
      </c>
      <c r="D2786" s="218" t="n">
        <v>128.72</v>
      </c>
      <c r="E2786" s="218" t="n">
        <v>4.15</v>
      </c>
      <c r="F2786" t="str">
        <v>https://re.jrc.ec.europa.eu/api/v5_3/PVcalc?lat=30.0444&amp;lon=31.2357&amp;peakpower=1&amp;loss=14&amp;angle=45&amp;aspect=-165&amp;outputformat=json&amp;raddatabase=PVGIS-SARAH3&amp;pvtechchoice=crystSi&amp;mountingplace=free&amp;usehorizon=1</v>
      </c>
    </row>
    <row r="2787">
      <c r="A2787" t="n">
        <v>45</v>
      </c>
      <c r="B2787" t="n">
        <v>15</v>
      </c>
      <c r="C2787" t="n">
        <v>6</v>
      </c>
      <c r="D2787" s="218" t="n">
        <v>142.19</v>
      </c>
      <c r="E2787" s="218" t="n">
        <v>4.74</v>
      </c>
      <c r="F2787" t="str">
        <v>https://re.jrc.ec.europa.eu/api/v5_3/PVcalc?lat=30.0444&amp;lon=31.2357&amp;peakpower=1&amp;loss=14&amp;angle=45&amp;aspect=-165&amp;outputformat=json&amp;raddatabase=PVGIS-SARAH3&amp;pvtechchoice=crystSi&amp;mountingplace=free&amp;usehorizon=1</v>
      </c>
    </row>
    <row r="2788">
      <c r="A2788" t="n">
        <v>45</v>
      </c>
      <c r="B2788" t="n">
        <v>15</v>
      </c>
      <c r="C2788" t="n">
        <v>7</v>
      </c>
      <c r="D2788" s="218" t="n">
        <v>137.49</v>
      </c>
      <c r="E2788" s="218" t="n">
        <v>4.44</v>
      </c>
      <c r="F2788" t="str">
        <v>https://re.jrc.ec.europa.eu/api/v5_3/PVcalc?lat=30.0444&amp;lon=31.2357&amp;peakpower=1&amp;loss=14&amp;angle=45&amp;aspect=-165&amp;outputformat=json&amp;raddatabase=PVGIS-SARAH3&amp;pvtechchoice=crystSi&amp;mountingplace=free&amp;usehorizon=1</v>
      </c>
    </row>
    <row r="2789">
      <c r="A2789" t="n">
        <v>45</v>
      </c>
      <c r="B2789" t="n">
        <v>15</v>
      </c>
      <c r="C2789" t="n">
        <v>8</v>
      </c>
      <c r="D2789" s="218" t="n">
        <v>107.08</v>
      </c>
      <c r="E2789" s="218" t="n">
        <v>3.45</v>
      </c>
      <c r="F2789" t="str">
        <v>https://re.jrc.ec.europa.eu/api/v5_3/PVcalc?lat=30.0444&amp;lon=31.2357&amp;peakpower=1&amp;loss=14&amp;angle=45&amp;aspect=-165&amp;outputformat=json&amp;raddatabase=PVGIS-SARAH3&amp;pvtechchoice=crystSi&amp;mountingplace=free&amp;usehorizon=1</v>
      </c>
    </row>
    <row r="2790">
      <c r="A2790" t="n">
        <v>45</v>
      </c>
      <c r="B2790" t="n">
        <v>15</v>
      </c>
      <c r="C2790" t="n">
        <v>9</v>
      </c>
      <c r="D2790" s="218" t="n">
        <v>65.14</v>
      </c>
      <c r="E2790" s="218" t="n">
        <v>2.17</v>
      </c>
      <c r="F2790" t="str">
        <v>https://re.jrc.ec.europa.eu/api/v5_3/PVcalc?lat=30.0444&amp;lon=31.2357&amp;peakpower=1&amp;loss=14&amp;angle=45&amp;aspect=-165&amp;outputformat=json&amp;raddatabase=PVGIS-SARAH3&amp;pvtechchoice=crystSi&amp;mountingplace=free&amp;usehorizon=1</v>
      </c>
    </row>
    <row r="2791">
      <c r="A2791" t="n">
        <v>45</v>
      </c>
      <c r="B2791" t="n">
        <v>15</v>
      </c>
      <c r="C2791" t="n">
        <v>10</v>
      </c>
      <c r="D2791" s="218" t="n">
        <v>34.39</v>
      </c>
      <c r="E2791" s="218" t="n">
        <v>1.11</v>
      </c>
      <c r="F2791" t="str">
        <v>https://re.jrc.ec.europa.eu/api/v5_3/PVcalc?lat=30.0444&amp;lon=31.2357&amp;peakpower=1&amp;loss=14&amp;angle=45&amp;aspect=-165&amp;outputformat=json&amp;raddatabase=PVGIS-SARAH3&amp;pvtechchoice=crystSi&amp;mountingplace=free&amp;usehorizon=1</v>
      </c>
    </row>
    <row r="2792">
      <c r="A2792" t="n">
        <v>45</v>
      </c>
      <c r="B2792" t="n">
        <v>15</v>
      </c>
      <c r="C2792" t="n">
        <v>11</v>
      </c>
      <c r="D2792" s="218" t="n">
        <v>21.06</v>
      </c>
      <c r="E2792" s="218" t="n">
        <v>0.7</v>
      </c>
      <c r="F2792" t="str">
        <v>https://re.jrc.ec.europa.eu/api/v5_3/PVcalc?lat=30.0444&amp;lon=31.2357&amp;peakpower=1&amp;loss=14&amp;angle=45&amp;aspect=-165&amp;outputformat=json&amp;raddatabase=PVGIS-SARAH3&amp;pvtechchoice=crystSi&amp;mountingplace=free&amp;usehorizon=1</v>
      </c>
    </row>
    <row r="2793">
      <c r="A2793" t="n">
        <v>45</v>
      </c>
      <c r="B2793" t="n">
        <v>15</v>
      </c>
      <c r="C2793" t="n">
        <v>12</v>
      </c>
      <c r="D2793" s="218" t="n">
        <v>20.92</v>
      </c>
      <c r="E2793" s="218" t="n">
        <v>0.67</v>
      </c>
      <c r="F2793" t="str">
        <v>https://re.jrc.ec.europa.eu/api/v5_3/PVcalc?lat=30.0444&amp;lon=31.2357&amp;peakpower=1&amp;loss=14&amp;angle=45&amp;aspect=-165&amp;outputformat=json&amp;raddatabase=PVGIS-SARAH3&amp;pvtechchoice=crystSi&amp;mountingplace=free&amp;usehorizon=1</v>
      </c>
    </row>
    <row r="2794">
      <c r="A2794" t="n">
        <v>45</v>
      </c>
      <c r="B2794" t="n">
        <v>30</v>
      </c>
      <c r="C2794" t="n">
        <v>1</v>
      </c>
      <c r="D2794" s="218" t="n">
        <v>24.66</v>
      </c>
      <c r="E2794" s="218" t="n">
        <v>0.8</v>
      </c>
      <c r="F2794" t="str">
        <v>https://re.jrc.ec.europa.eu/api/v5_3/PVcalc?lat=30.0444&amp;lon=31.2357&amp;peakpower=1&amp;loss=14&amp;angle=45&amp;aspect=-150&amp;outputformat=json&amp;raddatabase=PVGIS-SARAH3&amp;pvtechchoice=crystSi&amp;mountingplace=free&amp;usehorizon=1</v>
      </c>
    </row>
    <row r="2795">
      <c r="A2795" t="n">
        <v>45</v>
      </c>
      <c r="B2795" t="n">
        <v>30</v>
      </c>
      <c r="C2795" t="n">
        <v>2</v>
      </c>
      <c r="D2795" s="218" t="n">
        <v>37.87</v>
      </c>
      <c r="E2795" s="218" t="n">
        <v>1.35</v>
      </c>
      <c r="F2795" t="str">
        <v>https://re.jrc.ec.europa.eu/api/v5_3/PVcalc?lat=30.0444&amp;lon=31.2357&amp;peakpower=1&amp;loss=14&amp;angle=45&amp;aspect=-150&amp;outputformat=json&amp;raddatabase=PVGIS-SARAH3&amp;pvtechchoice=crystSi&amp;mountingplace=free&amp;usehorizon=1</v>
      </c>
    </row>
    <row r="2796">
      <c r="A2796" t="n">
        <v>45</v>
      </c>
      <c r="B2796" t="n">
        <v>30</v>
      </c>
      <c r="C2796" t="n">
        <v>3</v>
      </c>
      <c r="D2796" s="218" t="n">
        <v>68.97</v>
      </c>
      <c r="E2796" s="218" t="n">
        <v>2.22</v>
      </c>
      <c r="F2796" t="str">
        <v>https://re.jrc.ec.europa.eu/api/v5_3/PVcalc?lat=30.0444&amp;lon=31.2357&amp;peakpower=1&amp;loss=14&amp;angle=45&amp;aspect=-150&amp;outputformat=json&amp;raddatabase=PVGIS-SARAH3&amp;pvtechchoice=crystSi&amp;mountingplace=free&amp;usehorizon=1</v>
      </c>
    </row>
    <row r="2797">
      <c r="A2797" t="n">
        <v>45</v>
      </c>
      <c r="B2797" t="n">
        <v>30</v>
      </c>
      <c r="C2797" t="n">
        <v>4</v>
      </c>
      <c r="D2797" s="218" t="n">
        <v>98.07</v>
      </c>
      <c r="E2797" s="218" t="n">
        <v>3.27</v>
      </c>
      <c r="F2797" t="str">
        <v>https://re.jrc.ec.europa.eu/api/v5_3/PVcalc?lat=30.0444&amp;lon=31.2357&amp;peakpower=1&amp;loss=14&amp;angle=45&amp;aspect=-150&amp;outputformat=json&amp;raddatabase=PVGIS-SARAH3&amp;pvtechchoice=crystSi&amp;mountingplace=free&amp;usehorizon=1</v>
      </c>
    </row>
    <row r="2798">
      <c r="A2798" t="n">
        <v>45</v>
      </c>
      <c r="B2798" t="n">
        <v>30</v>
      </c>
      <c r="C2798" t="n">
        <v>5</v>
      </c>
      <c r="D2798" s="218" t="n">
        <v>128.56</v>
      </c>
      <c r="E2798" s="218" t="n">
        <v>4.15</v>
      </c>
      <c r="F2798" t="str">
        <v>https://re.jrc.ec.europa.eu/api/v5_3/PVcalc?lat=30.0444&amp;lon=31.2357&amp;peakpower=1&amp;loss=14&amp;angle=45&amp;aspect=-150&amp;outputformat=json&amp;raddatabase=PVGIS-SARAH3&amp;pvtechchoice=crystSi&amp;mountingplace=free&amp;usehorizon=1</v>
      </c>
    </row>
    <row r="2799">
      <c r="A2799" t="n">
        <v>45</v>
      </c>
      <c r="B2799" t="n">
        <v>30</v>
      </c>
      <c r="C2799" t="n">
        <v>6</v>
      </c>
      <c r="D2799" s="218" t="n">
        <v>138.84</v>
      </c>
      <c r="E2799" s="218" t="n">
        <v>4.63</v>
      </c>
      <c r="F2799" t="str">
        <v>https://re.jrc.ec.europa.eu/api/v5_3/PVcalc?lat=30.0444&amp;lon=31.2357&amp;peakpower=1&amp;loss=14&amp;angle=45&amp;aspect=-150&amp;outputformat=json&amp;raddatabase=PVGIS-SARAH3&amp;pvtechchoice=crystSi&amp;mountingplace=free&amp;usehorizon=1</v>
      </c>
    </row>
    <row r="2800">
      <c r="A2800" t="n">
        <v>45</v>
      </c>
      <c r="B2800" t="n">
        <v>30</v>
      </c>
      <c r="C2800" t="n">
        <v>7</v>
      </c>
      <c r="D2800" s="218" t="n">
        <v>134.58</v>
      </c>
      <c r="E2800" s="218" t="n">
        <v>4.34</v>
      </c>
      <c r="F2800" t="str">
        <v>https://re.jrc.ec.europa.eu/api/v5_3/PVcalc?lat=30.0444&amp;lon=31.2357&amp;peakpower=1&amp;loss=14&amp;angle=45&amp;aspect=-150&amp;outputformat=json&amp;raddatabase=PVGIS-SARAH3&amp;pvtechchoice=crystSi&amp;mountingplace=free&amp;usehorizon=1</v>
      </c>
    </row>
    <row r="2801">
      <c r="A2801" t="n">
        <v>45</v>
      </c>
      <c r="B2801" t="n">
        <v>30</v>
      </c>
      <c r="C2801" t="n">
        <v>8</v>
      </c>
      <c r="D2801" s="218" t="n">
        <v>109.96</v>
      </c>
      <c r="E2801" s="218" t="n">
        <v>3.55</v>
      </c>
      <c r="F2801" t="str">
        <v>https://re.jrc.ec.europa.eu/api/v5_3/PVcalc?lat=30.0444&amp;lon=31.2357&amp;peakpower=1&amp;loss=14&amp;angle=45&amp;aspect=-150&amp;outputformat=json&amp;raddatabase=PVGIS-SARAH3&amp;pvtechchoice=crystSi&amp;mountingplace=free&amp;usehorizon=1</v>
      </c>
    </row>
    <row r="2802">
      <c r="A2802" t="n">
        <v>45</v>
      </c>
      <c r="B2802" t="n">
        <v>30</v>
      </c>
      <c r="C2802" t="n">
        <v>9</v>
      </c>
      <c r="D2802" s="218" t="n">
        <v>74.72</v>
      </c>
      <c r="E2802" s="218" t="n">
        <v>2.49</v>
      </c>
      <c r="F2802" t="str">
        <v>https://re.jrc.ec.europa.eu/api/v5_3/PVcalc?lat=30.0444&amp;lon=31.2357&amp;peakpower=1&amp;loss=14&amp;angle=45&amp;aspect=-150&amp;outputformat=json&amp;raddatabase=PVGIS-SARAH3&amp;pvtechchoice=crystSi&amp;mountingplace=free&amp;usehorizon=1</v>
      </c>
    </row>
    <row r="2803">
      <c r="A2803" t="n">
        <v>45</v>
      </c>
      <c r="B2803" t="n">
        <v>30</v>
      </c>
      <c r="C2803" t="n">
        <v>10</v>
      </c>
      <c r="D2803" s="218" t="n">
        <v>47.22</v>
      </c>
      <c r="E2803" s="218" t="n">
        <v>1.52</v>
      </c>
      <c r="F2803" t="str">
        <v>https://re.jrc.ec.europa.eu/api/v5_3/PVcalc?lat=30.0444&amp;lon=31.2357&amp;peakpower=1&amp;loss=14&amp;angle=45&amp;aspect=-150&amp;outputformat=json&amp;raddatabase=PVGIS-SARAH3&amp;pvtechchoice=crystSi&amp;mountingplace=free&amp;usehorizon=1</v>
      </c>
    </row>
    <row r="2804">
      <c r="A2804" t="n">
        <v>45</v>
      </c>
      <c r="B2804" t="n">
        <v>30</v>
      </c>
      <c r="C2804" t="n">
        <v>11</v>
      </c>
      <c r="D2804" s="218" t="n">
        <v>26.24</v>
      </c>
      <c r="E2804" s="218" t="n">
        <v>0.87</v>
      </c>
      <c r="F2804" t="str">
        <v>https://re.jrc.ec.europa.eu/api/v5_3/PVcalc?lat=30.0444&amp;lon=31.2357&amp;peakpower=1&amp;loss=14&amp;angle=45&amp;aspect=-150&amp;outputformat=json&amp;raddatabase=PVGIS-SARAH3&amp;pvtechchoice=crystSi&amp;mountingplace=free&amp;usehorizon=1</v>
      </c>
    </row>
    <row r="2805">
      <c r="A2805" t="n">
        <v>45</v>
      </c>
      <c r="B2805" t="n">
        <v>30</v>
      </c>
      <c r="C2805" t="n">
        <v>12</v>
      </c>
      <c r="D2805" s="218" t="n">
        <v>21.47</v>
      </c>
      <c r="E2805" s="218" t="n">
        <v>0.69</v>
      </c>
      <c r="F2805" t="str">
        <v>https://re.jrc.ec.europa.eu/api/v5_3/PVcalc?lat=30.0444&amp;lon=31.2357&amp;peakpower=1&amp;loss=14&amp;angle=45&amp;aspect=-150&amp;outputformat=json&amp;raddatabase=PVGIS-SARAH3&amp;pvtechchoice=crystSi&amp;mountingplace=free&amp;usehorizon=1</v>
      </c>
    </row>
    <row r="2806">
      <c r="A2806" t="n">
        <v>45</v>
      </c>
      <c r="B2806" t="n">
        <v>45</v>
      </c>
      <c r="C2806" t="n">
        <v>1</v>
      </c>
      <c r="D2806" s="218" t="n">
        <v>35.45</v>
      </c>
      <c r="E2806" s="218" t="n">
        <v>1.14</v>
      </c>
      <c r="F2806" t="str">
        <v>https://re.jrc.ec.europa.eu/api/v5_3/PVcalc?lat=30.0444&amp;lon=31.2357&amp;peakpower=1&amp;loss=14&amp;angle=45&amp;aspect=-135&amp;outputformat=json&amp;raddatabase=PVGIS-SARAH3&amp;pvtechchoice=crystSi&amp;mountingplace=free&amp;usehorizon=1</v>
      </c>
    </row>
    <row r="2807">
      <c r="A2807" t="n">
        <v>45</v>
      </c>
      <c r="B2807" t="n">
        <v>45</v>
      </c>
      <c r="C2807" t="n">
        <v>2</v>
      </c>
      <c r="D2807" s="218" t="n">
        <v>50.53</v>
      </c>
      <c r="E2807" s="218" t="n">
        <v>1.8</v>
      </c>
      <c r="F2807" t="str">
        <v>https://re.jrc.ec.europa.eu/api/v5_3/PVcalc?lat=30.0444&amp;lon=31.2357&amp;peakpower=1&amp;loss=14&amp;angle=45&amp;aspect=-135&amp;outputformat=json&amp;raddatabase=PVGIS-SARAH3&amp;pvtechchoice=crystSi&amp;mountingplace=free&amp;usehorizon=1</v>
      </c>
    </row>
    <row r="2808">
      <c r="A2808" t="n">
        <v>45</v>
      </c>
      <c r="B2808" t="n">
        <v>45</v>
      </c>
      <c r="C2808" t="n">
        <v>3</v>
      </c>
      <c r="D2808" s="218" t="n">
        <v>82.07</v>
      </c>
      <c r="E2808" s="218" t="n">
        <v>2.65</v>
      </c>
      <c r="F2808" t="str">
        <v>https://re.jrc.ec.europa.eu/api/v5_3/PVcalc?lat=30.0444&amp;lon=31.2357&amp;peakpower=1&amp;loss=14&amp;angle=45&amp;aspect=-135&amp;outputformat=json&amp;raddatabase=PVGIS-SARAH3&amp;pvtechchoice=crystSi&amp;mountingplace=free&amp;usehorizon=1</v>
      </c>
    </row>
    <row r="2809">
      <c r="A2809" t="n">
        <v>45</v>
      </c>
      <c r="B2809" t="n">
        <v>45</v>
      </c>
      <c r="C2809" t="n">
        <v>4</v>
      </c>
      <c r="D2809" s="218" t="n">
        <v>106.4</v>
      </c>
      <c r="E2809" s="218" t="n">
        <v>3.55</v>
      </c>
      <c r="F2809" t="str">
        <v>https://re.jrc.ec.europa.eu/api/v5_3/PVcalc?lat=30.0444&amp;lon=31.2357&amp;peakpower=1&amp;loss=14&amp;angle=45&amp;aspect=-135&amp;outputformat=json&amp;raddatabase=PVGIS-SARAH3&amp;pvtechchoice=crystSi&amp;mountingplace=free&amp;usehorizon=1</v>
      </c>
    </row>
    <row r="2810">
      <c r="A2810" t="n">
        <v>45</v>
      </c>
      <c r="B2810" t="n">
        <v>45</v>
      </c>
      <c r="C2810" t="n">
        <v>5</v>
      </c>
      <c r="D2810" s="218" t="n">
        <v>132.25</v>
      </c>
      <c r="E2810" s="218" t="n">
        <v>4.27</v>
      </c>
      <c r="F2810" t="str">
        <v>https://re.jrc.ec.europa.eu/api/v5_3/PVcalc?lat=30.0444&amp;lon=31.2357&amp;peakpower=1&amp;loss=14&amp;angle=45&amp;aspect=-135&amp;outputformat=json&amp;raddatabase=PVGIS-SARAH3&amp;pvtechchoice=crystSi&amp;mountingplace=free&amp;usehorizon=1</v>
      </c>
    </row>
    <row r="2811">
      <c r="A2811" t="n">
        <v>45</v>
      </c>
      <c r="B2811" t="n">
        <v>45</v>
      </c>
      <c r="C2811" t="n">
        <v>6</v>
      </c>
      <c r="D2811" s="218" t="n">
        <v>139.3</v>
      </c>
      <c r="E2811" s="218" t="n">
        <v>4.64</v>
      </c>
      <c r="F2811" t="str">
        <v>https://re.jrc.ec.europa.eu/api/v5_3/PVcalc?lat=30.0444&amp;lon=31.2357&amp;peakpower=1&amp;loss=14&amp;angle=45&amp;aspect=-135&amp;outputformat=json&amp;raddatabase=PVGIS-SARAH3&amp;pvtechchoice=crystSi&amp;mountingplace=free&amp;usehorizon=1</v>
      </c>
    </row>
    <row r="2812">
      <c r="A2812" t="n">
        <v>45</v>
      </c>
      <c r="B2812" t="n">
        <v>45</v>
      </c>
      <c r="C2812" t="n">
        <v>7</v>
      </c>
      <c r="D2812" s="218" t="n">
        <v>136.22</v>
      </c>
      <c r="E2812" s="218" t="n">
        <v>4.39</v>
      </c>
      <c r="F2812" t="str">
        <v>https://re.jrc.ec.europa.eu/api/v5_3/PVcalc?lat=30.0444&amp;lon=31.2357&amp;peakpower=1&amp;loss=14&amp;angle=45&amp;aspect=-135&amp;outputformat=json&amp;raddatabase=PVGIS-SARAH3&amp;pvtechchoice=crystSi&amp;mountingplace=free&amp;usehorizon=1</v>
      </c>
    </row>
    <row r="2813">
      <c r="A2813" t="n">
        <v>45</v>
      </c>
      <c r="B2813" t="n">
        <v>45</v>
      </c>
      <c r="C2813" t="n">
        <v>8</v>
      </c>
      <c r="D2813" s="218" t="n">
        <v>116.89</v>
      </c>
      <c r="E2813" s="218" t="n">
        <v>3.77</v>
      </c>
      <c r="F2813" t="str">
        <v>https://re.jrc.ec.europa.eu/api/v5_3/PVcalc?lat=30.0444&amp;lon=31.2357&amp;peakpower=1&amp;loss=14&amp;angle=45&amp;aspect=-135&amp;outputformat=json&amp;raddatabase=PVGIS-SARAH3&amp;pvtechchoice=crystSi&amp;mountingplace=free&amp;usehorizon=1</v>
      </c>
    </row>
    <row r="2814">
      <c r="A2814" t="n">
        <v>45</v>
      </c>
      <c r="B2814" t="n">
        <v>45</v>
      </c>
      <c r="C2814" t="n">
        <v>9</v>
      </c>
      <c r="D2814" s="218" t="n">
        <v>86.36</v>
      </c>
      <c r="E2814" s="218" t="n">
        <v>2.88</v>
      </c>
      <c r="F2814" t="str">
        <v>https://re.jrc.ec.europa.eu/api/v5_3/PVcalc?lat=30.0444&amp;lon=31.2357&amp;peakpower=1&amp;loss=14&amp;angle=45&amp;aspect=-135&amp;outputformat=json&amp;raddatabase=PVGIS-SARAH3&amp;pvtechchoice=crystSi&amp;mountingplace=free&amp;usehorizon=1</v>
      </c>
    </row>
    <row r="2815">
      <c r="A2815" t="n">
        <v>45</v>
      </c>
      <c r="B2815" t="n">
        <v>45</v>
      </c>
      <c r="C2815" t="n">
        <v>10</v>
      </c>
      <c r="D2815" s="218" t="n">
        <v>61.71</v>
      </c>
      <c r="E2815" s="218" t="n">
        <v>1.99</v>
      </c>
      <c r="F2815" t="str">
        <v>https://re.jrc.ec.europa.eu/api/v5_3/PVcalc?lat=30.0444&amp;lon=31.2357&amp;peakpower=1&amp;loss=14&amp;angle=45&amp;aspect=-135&amp;outputformat=json&amp;raddatabase=PVGIS-SARAH3&amp;pvtechchoice=crystSi&amp;mountingplace=free&amp;usehorizon=1</v>
      </c>
    </row>
    <row r="2816">
      <c r="A2816" t="n">
        <v>45</v>
      </c>
      <c r="B2816" t="n">
        <v>45</v>
      </c>
      <c r="C2816" t="n">
        <v>11</v>
      </c>
      <c r="D2816" s="218" t="n">
        <v>38.71</v>
      </c>
      <c r="E2816" s="218" t="n">
        <v>1.29</v>
      </c>
      <c r="F2816" t="str">
        <v>https://re.jrc.ec.europa.eu/api/v5_3/PVcalc?lat=30.0444&amp;lon=31.2357&amp;peakpower=1&amp;loss=14&amp;angle=45&amp;aspect=-135&amp;outputformat=json&amp;raddatabase=PVGIS-SARAH3&amp;pvtechchoice=crystSi&amp;mountingplace=free&amp;usehorizon=1</v>
      </c>
    </row>
    <row r="2817">
      <c r="A2817" t="n">
        <v>45</v>
      </c>
      <c r="B2817" t="n">
        <v>45</v>
      </c>
      <c r="C2817" t="n">
        <v>12</v>
      </c>
      <c r="D2817" s="218" t="n">
        <v>30.98</v>
      </c>
      <c r="E2817" s="218" t="n">
        <v>1</v>
      </c>
      <c r="F2817" t="str">
        <v>https://re.jrc.ec.europa.eu/api/v5_3/PVcalc?lat=30.0444&amp;lon=31.2357&amp;peakpower=1&amp;loss=14&amp;angle=45&amp;aspect=-135&amp;outputformat=json&amp;raddatabase=PVGIS-SARAH3&amp;pvtechchoice=crystSi&amp;mountingplace=free&amp;usehorizon=1</v>
      </c>
    </row>
    <row r="2818">
      <c r="A2818" t="n">
        <v>45</v>
      </c>
      <c r="B2818" t="n">
        <v>60</v>
      </c>
      <c r="C2818" t="n">
        <v>1</v>
      </c>
      <c r="D2818" s="218" t="n">
        <v>49.62</v>
      </c>
      <c r="E2818" s="218" t="n">
        <v>1.6</v>
      </c>
      <c r="F2818" t="str">
        <v>https://re.jrc.ec.europa.eu/api/v5_3/PVcalc?lat=30.0444&amp;lon=31.2357&amp;peakpower=1&amp;loss=14&amp;angle=45&amp;aspect=-120&amp;outputformat=json&amp;raddatabase=PVGIS-SARAH3&amp;pvtechchoice=crystSi&amp;mountingplace=free&amp;usehorizon=1</v>
      </c>
    </row>
    <row r="2819">
      <c r="A2819" t="n">
        <v>45</v>
      </c>
      <c r="B2819" t="n">
        <v>60</v>
      </c>
      <c r="C2819" t="n">
        <v>2</v>
      </c>
      <c r="D2819" s="218" t="n">
        <v>63.92</v>
      </c>
      <c r="E2819" s="218" t="n">
        <v>2.28</v>
      </c>
      <c r="F2819" t="str">
        <v>https://re.jrc.ec.europa.eu/api/v5_3/PVcalc?lat=30.0444&amp;lon=31.2357&amp;peakpower=1&amp;loss=14&amp;angle=45&amp;aspect=-120&amp;outputformat=json&amp;raddatabase=PVGIS-SARAH3&amp;pvtechchoice=crystSi&amp;mountingplace=free&amp;usehorizon=1</v>
      </c>
    </row>
    <row r="2820">
      <c r="A2820" t="n">
        <v>45</v>
      </c>
      <c r="B2820" t="n">
        <v>60</v>
      </c>
      <c r="C2820" t="n">
        <v>3</v>
      </c>
      <c r="D2820" s="218" t="n">
        <v>94.98</v>
      </c>
      <c r="E2820" s="218" t="n">
        <v>3.06</v>
      </c>
      <c r="F2820" t="str">
        <v>https://re.jrc.ec.europa.eu/api/v5_3/PVcalc?lat=30.0444&amp;lon=31.2357&amp;peakpower=1&amp;loss=14&amp;angle=45&amp;aspect=-120&amp;outputformat=json&amp;raddatabase=PVGIS-SARAH3&amp;pvtechchoice=crystSi&amp;mountingplace=free&amp;usehorizon=1</v>
      </c>
    </row>
    <row r="2821">
      <c r="A2821" t="n">
        <v>45</v>
      </c>
      <c r="B2821" t="n">
        <v>60</v>
      </c>
      <c r="C2821" t="n">
        <v>4</v>
      </c>
      <c r="D2821" s="218" t="n">
        <v>115.33</v>
      </c>
      <c r="E2821" s="218" t="n">
        <v>3.84</v>
      </c>
      <c r="F2821" t="str">
        <v>https://re.jrc.ec.europa.eu/api/v5_3/PVcalc?lat=30.0444&amp;lon=31.2357&amp;peakpower=1&amp;loss=14&amp;angle=45&amp;aspect=-120&amp;outputformat=json&amp;raddatabase=PVGIS-SARAH3&amp;pvtechchoice=crystSi&amp;mountingplace=free&amp;usehorizon=1</v>
      </c>
    </row>
    <row r="2822">
      <c r="A2822" t="n">
        <v>45</v>
      </c>
      <c r="B2822" t="n">
        <v>60</v>
      </c>
      <c r="C2822" t="n">
        <v>5</v>
      </c>
      <c r="D2822" s="218" t="n">
        <v>136.92</v>
      </c>
      <c r="E2822" s="218" t="n">
        <v>4.42</v>
      </c>
      <c r="F2822" t="str">
        <v>https://re.jrc.ec.europa.eu/api/v5_3/PVcalc?lat=30.0444&amp;lon=31.2357&amp;peakpower=1&amp;loss=14&amp;angle=45&amp;aspect=-120&amp;outputformat=json&amp;raddatabase=PVGIS-SARAH3&amp;pvtechchoice=crystSi&amp;mountingplace=free&amp;usehorizon=1</v>
      </c>
    </row>
    <row r="2823">
      <c r="A2823" t="n">
        <v>45</v>
      </c>
      <c r="B2823" t="n">
        <v>60</v>
      </c>
      <c r="C2823" t="n">
        <v>6</v>
      </c>
      <c r="D2823" s="218" t="n">
        <v>142.04</v>
      </c>
      <c r="E2823" s="218" t="n">
        <v>4.73</v>
      </c>
      <c r="F2823" t="str">
        <v>https://re.jrc.ec.europa.eu/api/v5_3/PVcalc?lat=30.0444&amp;lon=31.2357&amp;peakpower=1&amp;loss=14&amp;angle=45&amp;aspect=-120&amp;outputformat=json&amp;raddatabase=PVGIS-SARAH3&amp;pvtechchoice=crystSi&amp;mountingplace=free&amp;usehorizon=1</v>
      </c>
    </row>
    <row r="2824">
      <c r="A2824" t="n">
        <v>45</v>
      </c>
      <c r="B2824" t="n">
        <v>60</v>
      </c>
      <c r="C2824" t="n">
        <v>7</v>
      </c>
      <c r="D2824" s="218" t="n">
        <v>140.06</v>
      </c>
      <c r="E2824" s="218" t="n">
        <v>4.52</v>
      </c>
      <c r="F2824" t="str">
        <v>https://re.jrc.ec.europa.eu/api/v5_3/PVcalc?lat=30.0444&amp;lon=31.2357&amp;peakpower=1&amp;loss=14&amp;angle=45&amp;aspect=-120&amp;outputformat=json&amp;raddatabase=PVGIS-SARAH3&amp;pvtechchoice=crystSi&amp;mountingplace=free&amp;usehorizon=1</v>
      </c>
    </row>
    <row r="2825">
      <c r="A2825" t="n">
        <v>45</v>
      </c>
      <c r="B2825" t="n">
        <v>60</v>
      </c>
      <c r="C2825" t="n">
        <v>8</v>
      </c>
      <c r="D2825" s="218" t="n">
        <v>124.61</v>
      </c>
      <c r="E2825" s="218" t="n">
        <v>4.02</v>
      </c>
      <c r="F2825" t="str">
        <v>https://re.jrc.ec.europa.eu/api/v5_3/PVcalc?lat=30.0444&amp;lon=31.2357&amp;peakpower=1&amp;loss=14&amp;angle=45&amp;aspect=-120&amp;outputformat=json&amp;raddatabase=PVGIS-SARAH3&amp;pvtechchoice=crystSi&amp;mountingplace=free&amp;usehorizon=1</v>
      </c>
    </row>
    <row r="2826">
      <c r="A2826" t="n">
        <v>45</v>
      </c>
      <c r="B2826" t="n">
        <v>60</v>
      </c>
      <c r="C2826" t="n">
        <v>9</v>
      </c>
      <c r="D2826" s="218" t="n">
        <v>97.94</v>
      </c>
      <c r="E2826" s="218" t="n">
        <v>3.26</v>
      </c>
      <c r="F2826" t="str">
        <v>https://re.jrc.ec.europa.eu/api/v5_3/PVcalc?lat=30.0444&amp;lon=31.2357&amp;peakpower=1&amp;loss=14&amp;angle=45&amp;aspect=-120&amp;outputformat=json&amp;raddatabase=PVGIS-SARAH3&amp;pvtechchoice=crystSi&amp;mountingplace=free&amp;usehorizon=1</v>
      </c>
    </row>
    <row r="2827">
      <c r="A2827" t="n">
        <v>45</v>
      </c>
      <c r="B2827" t="n">
        <v>60</v>
      </c>
      <c r="C2827" t="n">
        <v>10</v>
      </c>
      <c r="D2827" s="218" t="n">
        <v>76.42</v>
      </c>
      <c r="E2827" s="218" t="n">
        <v>2.47</v>
      </c>
      <c r="F2827" t="str">
        <v>https://re.jrc.ec.europa.eu/api/v5_3/PVcalc?lat=30.0444&amp;lon=31.2357&amp;peakpower=1&amp;loss=14&amp;angle=45&amp;aspect=-120&amp;outputformat=json&amp;raddatabase=PVGIS-SARAH3&amp;pvtechchoice=crystSi&amp;mountingplace=free&amp;usehorizon=1</v>
      </c>
    </row>
    <row r="2828">
      <c r="A2828" t="n">
        <v>45</v>
      </c>
      <c r="B2828" t="n">
        <v>60</v>
      </c>
      <c r="C2828" t="n">
        <v>11</v>
      </c>
      <c r="D2828" s="218" t="n">
        <v>53.92</v>
      </c>
      <c r="E2828" s="218" t="n">
        <v>1.8</v>
      </c>
      <c r="F2828" t="str">
        <v>https://re.jrc.ec.europa.eu/api/v5_3/PVcalc?lat=30.0444&amp;lon=31.2357&amp;peakpower=1&amp;loss=14&amp;angle=45&amp;aspect=-120&amp;outputformat=json&amp;raddatabase=PVGIS-SARAH3&amp;pvtechchoice=crystSi&amp;mountingplace=free&amp;usehorizon=1</v>
      </c>
    </row>
    <row r="2829">
      <c r="A2829" t="n">
        <v>45</v>
      </c>
      <c r="B2829" t="n">
        <v>60</v>
      </c>
      <c r="C2829" t="n">
        <v>12</v>
      </c>
      <c r="D2829" s="218" t="n">
        <v>44.97</v>
      </c>
      <c r="E2829" s="218" t="n">
        <v>1.45</v>
      </c>
      <c r="F2829" t="str">
        <v>https://re.jrc.ec.europa.eu/api/v5_3/PVcalc?lat=30.0444&amp;lon=31.2357&amp;peakpower=1&amp;loss=14&amp;angle=45&amp;aspect=-120&amp;outputformat=json&amp;raddatabase=PVGIS-SARAH3&amp;pvtechchoice=crystSi&amp;mountingplace=free&amp;usehorizon=1</v>
      </c>
    </row>
    <row r="2830">
      <c r="A2830" t="n">
        <v>45</v>
      </c>
      <c r="B2830" t="n">
        <v>75</v>
      </c>
      <c r="C2830" t="n">
        <v>1</v>
      </c>
      <c r="D2830" s="218" t="n">
        <v>64.86</v>
      </c>
      <c r="E2830" s="218" t="n">
        <v>2.09</v>
      </c>
      <c r="F2830" t="str">
        <v>https://re.jrc.ec.europa.eu/api/v5_3/PVcalc?lat=30.0444&amp;lon=31.2357&amp;peakpower=1&amp;loss=14&amp;angle=45&amp;aspect=-105&amp;outputformat=json&amp;raddatabase=PVGIS-SARAH3&amp;pvtechchoice=crystSi&amp;mountingplace=free&amp;usehorizon=1</v>
      </c>
    </row>
    <row r="2831">
      <c r="A2831" t="n">
        <v>45</v>
      </c>
      <c r="B2831" t="n">
        <v>75</v>
      </c>
      <c r="C2831" t="n">
        <v>2</v>
      </c>
      <c r="D2831" s="218" t="n">
        <v>76.98</v>
      </c>
      <c r="E2831" s="218" t="n">
        <v>2.75</v>
      </c>
      <c r="F2831" t="str">
        <v>https://re.jrc.ec.europa.eu/api/v5_3/PVcalc?lat=30.0444&amp;lon=31.2357&amp;peakpower=1&amp;loss=14&amp;angle=45&amp;aspect=-105&amp;outputformat=json&amp;raddatabase=PVGIS-SARAH3&amp;pvtechchoice=crystSi&amp;mountingplace=free&amp;usehorizon=1</v>
      </c>
    </row>
    <row r="2832">
      <c r="A2832" t="n">
        <v>45</v>
      </c>
      <c r="B2832" t="n">
        <v>75</v>
      </c>
      <c r="C2832" t="n">
        <v>3</v>
      </c>
      <c r="D2832" s="218" t="n">
        <v>107.36</v>
      </c>
      <c r="E2832" s="218" t="n">
        <v>3.46</v>
      </c>
      <c r="F2832" t="str">
        <v>https://re.jrc.ec.europa.eu/api/v5_3/PVcalc?lat=30.0444&amp;lon=31.2357&amp;peakpower=1&amp;loss=14&amp;angle=45&amp;aspect=-105&amp;outputformat=json&amp;raddatabase=PVGIS-SARAH3&amp;pvtechchoice=crystSi&amp;mountingplace=free&amp;usehorizon=1</v>
      </c>
    </row>
    <row r="2833">
      <c r="A2833" t="n">
        <v>45</v>
      </c>
      <c r="B2833" t="n">
        <v>75</v>
      </c>
      <c r="C2833" t="n">
        <v>4</v>
      </c>
      <c r="D2833" s="218" t="n">
        <v>123.43</v>
      </c>
      <c r="E2833" s="218" t="n">
        <v>4.11</v>
      </c>
      <c r="F2833" t="str">
        <v>https://re.jrc.ec.europa.eu/api/v5_3/PVcalc?lat=30.0444&amp;lon=31.2357&amp;peakpower=1&amp;loss=14&amp;angle=45&amp;aspect=-105&amp;outputformat=json&amp;raddatabase=PVGIS-SARAH3&amp;pvtechchoice=crystSi&amp;mountingplace=free&amp;usehorizon=1</v>
      </c>
    </row>
    <row r="2834">
      <c r="A2834" t="n">
        <v>45</v>
      </c>
      <c r="B2834" t="n">
        <v>75</v>
      </c>
      <c r="C2834" t="n">
        <v>5</v>
      </c>
      <c r="D2834" s="218" t="n">
        <v>141.56</v>
      </c>
      <c r="E2834" s="218" t="n">
        <v>4.57</v>
      </c>
      <c r="F2834" t="str">
        <v>https://re.jrc.ec.europa.eu/api/v5_3/PVcalc?lat=30.0444&amp;lon=31.2357&amp;peakpower=1&amp;loss=14&amp;angle=45&amp;aspect=-105&amp;outputformat=json&amp;raddatabase=PVGIS-SARAH3&amp;pvtechchoice=crystSi&amp;mountingplace=free&amp;usehorizon=1</v>
      </c>
    </row>
    <row r="2835">
      <c r="A2835" t="n">
        <v>45</v>
      </c>
      <c r="B2835" t="n">
        <v>75</v>
      </c>
      <c r="C2835" t="n">
        <v>6</v>
      </c>
      <c r="D2835" s="218" t="n">
        <v>144.02</v>
      </c>
      <c r="E2835" s="218" t="n">
        <v>4.8</v>
      </c>
      <c r="F2835" t="str">
        <v>https://re.jrc.ec.europa.eu/api/v5_3/PVcalc?lat=30.0444&amp;lon=31.2357&amp;peakpower=1&amp;loss=14&amp;angle=45&amp;aspect=-105&amp;outputformat=json&amp;raddatabase=PVGIS-SARAH3&amp;pvtechchoice=crystSi&amp;mountingplace=free&amp;usehorizon=1</v>
      </c>
    </row>
    <row r="2836">
      <c r="A2836" t="n">
        <v>45</v>
      </c>
      <c r="B2836" t="n">
        <v>75</v>
      </c>
      <c r="C2836" t="n">
        <v>7</v>
      </c>
      <c r="D2836" s="218" t="n">
        <v>143.15</v>
      </c>
      <c r="E2836" s="218" t="n">
        <v>4.62</v>
      </c>
      <c r="F2836" t="str">
        <v>https://re.jrc.ec.europa.eu/api/v5_3/PVcalc?lat=30.0444&amp;lon=31.2357&amp;peakpower=1&amp;loss=14&amp;angle=45&amp;aspect=-105&amp;outputformat=json&amp;raddatabase=PVGIS-SARAH3&amp;pvtechchoice=crystSi&amp;mountingplace=free&amp;usehorizon=1</v>
      </c>
    </row>
    <row r="2837">
      <c r="A2837" t="n">
        <v>45</v>
      </c>
      <c r="B2837" t="n">
        <v>75</v>
      </c>
      <c r="C2837" t="n">
        <v>8</v>
      </c>
      <c r="D2837" s="218" t="n">
        <v>131.94</v>
      </c>
      <c r="E2837" s="218" t="n">
        <v>4.26</v>
      </c>
      <c r="F2837" t="str">
        <v>https://re.jrc.ec.europa.eu/api/v5_3/PVcalc?lat=30.0444&amp;lon=31.2357&amp;peakpower=1&amp;loss=14&amp;angle=45&amp;aspect=-105&amp;outputformat=json&amp;raddatabase=PVGIS-SARAH3&amp;pvtechchoice=crystSi&amp;mountingplace=free&amp;usehorizon=1</v>
      </c>
    </row>
    <row r="2838">
      <c r="A2838" t="n">
        <v>45</v>
      </c>
      <c r="B2838" t="n">
        <v>75</v>
      </c>
      <c r="C2838" t="n">
        <v>9</v>
      </c>
      <c r="D2838" s="218" t="n">
        <v>108.88</v>
      </c>
      <c r="E2838" s="218" t="n">
        <v>3.63</v>
      </c>
      <c r="F2838" t="str">
        <v>https://re.jrc.ec.europa.eu/api/v5_3/PVcalc?lat=30.0444&amp;lon=31.2357&amp;peakpower=1&amp;loss=14&amp;angle=45&amp;aspect=-105&amp;outputformat=json&amp;raddatabase=PVGIS-SARAH3&amp;pvtechchoice=crystSi&amp;mountingplace=free&amp;usehorizon=1</v>
      </c>
    </row>
    <row r="2839">
      <c r="A2839" t="n">
        <v>45</v>
      </c>
      <c r="B2839" t="n">
        <v>75</v>
      </c>
      <c r="C2839" t="n">
        <v>10</v>
      </c>
      <c r="D2839" s="218" t="n">
        <v>91.22</v>
      </c>
      <c r="E2839" s="218" t="n">
        <v>2.94</v>
      </c>
      <c r="F2839" t="str">
        <v>https://re.jrc.ec.europa.eu/api/v5_3/PVcalc?lat=30.0444&amp;lon=31.2357&amp;peakpower=1&amp;loss=14&amp;angle=45&amp;aspect=-105&amp;outputformat=json&amp;raddatabase=PVGIS-SARAH3&amp;pvtechchoice=crystSi&amp;mountingplace=free&amp;usehorizon=1</v>
      </c>
    </row>
    <row r="2840">
      <c r="A2840" t="n">
        <v>45</v>
      </c>
      <c r="B2840" t="n">
        <v>75</v>
      </c>
      <c r="C2840" t="n">
        <v>11</v>
      </c>
      <c r="D2840" s="218" t="n">
        <v>69.07</v>
      </c>
      <c r="E2840" s="218" t="n">
        <v>2.3</v>
      </c>
      <c r="F2840" t="str">
        <v>https://re.jrc.ec.europa.eu/api/v5_3/PVcalc?lat=30.0444&amp;lon=31.2357&amp;peakpower=1&amp;loss=14&amp;angle=45&amp;aspect=-105&amp;outputformat=json&amp;raddatabase=PVGIS-SARAH3&amp;pvtechchoice=crystSi&amp;mountingplace=free&amp;usehorizon=1</v>
      </c>
    </row>
    <row r="2841">
      <c r="A2841" t="n">
        <v>45</v>
      </c>
      <c r="B2841" t="n">
        <v>75</v>
      </c>
      <c r="C2841" t="n">
        <v>12</v>
      </c>
      <c r="D2841" s="218" t="n">
        <v>60.44</v>
      </c>
      <c r="E2841" s="218" t="n">
        <v>1.95</v>
      </c>
      <c r="F2841" t="str">
        <v>https://re.jrc.ec.europa.eu/api/v5_3/PVcalc?lat=30.0444&amp;lon=31.2357&amp;peakpower=1&amp;loss=14&amp;angle=45&amp;aspect=-105&amp;outputformat=json&amp;raddatabase=PVGIS-SARAH3&amp;pvtechchoice=crystSi&amp;mountingplace=free&amp;usehorizon=1</v>
      </c>
    </row>
    <row r="2842">
      <c r="A2842" t="n">
        <v>45</v>
      </c>
      <c r="B2842" t="n">
        <v>90</v>
      </c>
      <c r="C2842" t="n">
        <v>1</v>
      </c>
      <c r="D2842" s="218" t="n">
        <v>79.94</v>
      </c>
      <c r="E2842" s="218" t="n">
        <v>2.58</v>
      </c>
      <c r="F2842" t="str">
        <v>https://re.jrc.ec.europa.eu/api/v5_3/PVcalc?lat=30.0444&amp;lon=31.2357&amp;peakpower=1&amp;loss=14&amp;angle=45&amp;aspect=-90&amp;outputformat=json&amp;raddatabase=PVGIS-SARAH3&amp;pvtechchoice=crystSi&amp;mountingplace=free&amp;usehorizon=1</v>
      </c>
    </row>
    <row r="2843">
      <c r="A2843" t="n">
        <v>45</v>
      </c>
      <c r="B2843" t="n">
        <v>90</v>
      </c>
      <c r="C2843" t="n">
        <v>2</v>
      </c>
      <c r="D2843" s="218" t="n">
        <v>89.49</v>
      </c>
      <c r="E2843" s="218" t="n">
        <v>3.2</v>
      </c>
      <c r="F2843" t="str">
        <v>https://re.jrc.ec.europa.eu/api/v5_3/PVcalc?lat=30.0444&amp;lon=31.2357&amp;peakpower=1&amp;loss=14&amp;angle=45&amp;aspect=-90&amp;outputformat=json&amp;raddatabase=PVGIS-SARAH3&amp;pvtechchoice=crystSi&amp;mountingplace=free&amp;usehorizon=1</v>
      </c>
    </row>
    <row r="2844">
      <c r="A2844" t="n">
        <v>45</v>
      </c>
      <c r="B2844" t="n">
        <v>90</v>
      </c>
      <c r="C2844" t="n">
        <v>3</v>
      </c>
      <c r="D2844" s="218" t="n">
        <v>119.06</v>
      </c>
      <c r="E2844" s="218" t="n">
        <v>3.84</v>
      </c>
      <c r="F2844" t="str">
        <v>https://re.jrc.ec.europa.eu/api/v5_3/PVcalc?lat=30.0444&amp;lon=31.2357&amp;peakpower=1&amp;loss=14&amp;angle=45&amp;aspect=-90&amp;outputformat=json&amp;raddatabase=PVGIS-SARAH3&amp;pvtechchoice=crystSi&amp;mountingplace=free&amp;usehorizon=1</v>
      </c>
    </row>
    <row r="2845">
      <c r="A2845" t="n">
        <v>45</v>
      </c>
      <c r="B2845" t="n">
        <v>90</v>
      </c>
      <c r="C2845" t="n">
        <v>4</v>
      </c>
      <c r="D2845" s="218" t="n">
        <v>130.56</v>
      </c>
      <c r="E2845" s="218" t="n">
        <v>4.35</v>
      </c>
      <c r="F2845" t="str">
        <v>https://re.jrc.ec.europa.eu/api/v5_3/PVcalc?lat=30.0444&amp;lon=31.2357&amp;peakpower=1&amp;loss=14&amp;angle=45&amp;aspect=-90&amp;outputformat=json&amp;raddatabase=PVGIS-SARAH3&amp;pvtechchoice=crystSi&amp;mountingplace=free&amp;usehorizon=1</v>
      </c>
    </row>
    <row r="2846">
      <c r="A2846" t="n">
        <v>45</v>
      </c>
      <c r="B2846" t="n">
        <v>90</v>
      </c>
      <c r="C2846" t="n">
        <v>5</v>
      </c>
      <c r="D2846" s="218" t="n">
        <v>145.06</v>
      </c>
      <c r="E2846" s="218" t="n">
        <v>4.68</v>
      </c>
      <c r="F2846" t="str">
        <v>https://re.jrc.ec.europa.eu/api/v5_3/PVcalc?lat=30.0444&amp;lon=31.2357&amp;peakpower=1&amp;loss=14&amp;angle=45&amp;aspect=-90&amp;outputformat=json&amp;raddatabase=PVGIS-SARAH3&amp;pvtechchoice=crystSi&amp;mountingplace=free&amp;usehorizon=1</v>
      </c>
    </row>
    <row r="2847">
      <c r="A2847" t="n">
        <v>45</v>
      </c>
      <c r="B2847" t="n">
        <v>90</v>
      </c>
      <c r="C2847" t="n">
        <v>6</v>
      </c>
      <c r="D2847" s="218" t="n">
        <v>145.16</v>
      </c>
      <c r="E2847" s="218" t="n">
        <v>4.84</v>
      </c>
      <c r="F2847" t="str">
        <v>https://re.jrc.ec.europa.eu/api/v5_3/PVcalc?lat=30.0444&amp;lon=31.2357&amp;peakpower=1&amp;loss=14&amp;angle=45&amp;aspect=-90&amp;outputformat=json&amp;raddatabase=PVGIS-SARAH3&amp;pvtechchoice=crystSi&amp;mountingplace=free&amp;usehorizon=1</v>
      </c>
    </row>
    <row r="2848">
      <c r="A2848" t="n">
        <v>45</v>
      </c>
      <c r="B2848" t="n">
        <v>90</v>
      </c>
      <c r="C2848" t="n">
        <v>7</v>
      </c>
      <c r="D2848" s="218" t="n">
        <v>145.43</v>
      </c>
      <c r="E2848" s="218" t="n">
        <v>4.69</v>
      </c>
      <c r="F2848" t="str">
        <v>https://re.jrc.ec.europa.eu/api/v5_3/PVcalc?lat=30.0444&amp;lon=31.2357&amp;peakpower=1&amp;loss=14&amp;angle=45&amp;aspect=-90&amp;outputformat=json&amp;raddatabase=PVGIS-SARAH3&amp;pvtechchoice=crystSi&amp;mountingplace=free&amp;usehorizon=1</v>
      </c>
    </row>
    <row r="2849">
      <c r="A2849" t="n">
        <v>45</v>
      </c>
      <c r="B2849" t="n">
        <v>90</v>
      </c>
      <c r="C2849" t="n">
        <v>8</v>
      </c>
      <c r="D2849" s="218" t="n">
        <v>137.96</v>
      </c>
      <c r="E2849" s="218" t="n">
        <v>4.45</v>
      </c>
      <c r="F2849" t="str">
        <v>https://re.jrc.ec.europa.eu/api/v5_3/PVcalc?lat=30.0444&amp;lon=31.2357&amp;peakpower=1&amp;loss=14&amp;angle=45&amp;aspect=-90&amp;outputformat=json&amp;raddatabase=PVGIS-SARAH3&amp;pvtechchoice=crystSi&amp;mountingplace=free&amp;usehorizon=1</v>
      </c>
    </row>
    <row r="2850">
      <c r="A2850" t="n">
        <v>45</v>
      </c>
      <c r="B2850" t="n">
        <v>90</v>
      </c>
      <c r="C2850" t="n">
        <v>9</v>
      </c>
      <c r="D2850" s="218" t="n">
        <v>119.18</v>
      </c>
      <c r="E2850" s="218" t="n">
        <v>3.97</v>
      </c>
      <c r="F2850" t="str">
        <v>https://re.jrc.ec.europa.eu/api/v5_3/PVcalc?lat=30.0444&amp;lon=31.2357&amp;peakpower=1&amp;loss=14&amp;angle=45&amp;aspect=-90&amp;outputformat=json&amp;raddatabase=PVGIS-SARAH3&amp;pvtechchoice=crystSi&amp;mountingplace=free&amp;usehorizon=1</v>
      </c>
    </row>
    <row r="2851">
      <c r="A2851" t="n">
        <v>45</v>
      </c>
      <c r="B2851" t="n">
        <v>90</v>
      </c>
      <c r="C2851" t="n">
        <v>10</v>
      </c>
      <c r="D2851" s="218" t="n">
        <v>104.78</v>
      </c>
      <c r="E2851" s="218" t="n">
        <v>3.38</v>
      </c>
      <c r="F2851" t="str">
        <v>https://re.jrc.ec.europa.eu/api/v5_3/PVcalc?lat=30.0444&amp;lon=31.2357&amp;peakpower=1&amp;loss=14&amp;angle=45&amp;aspect=-90&amp;outputformat=json&amp;raddatabase=PVGIS-SARAH3&amp;pvtechchoice=crystSi&amp;mountingplace=free&amp;usehorizon=1</v>
      </c>
    </row>
    <row r="2852">
      <c r="A2852" t="n">
        <v>45</v>
      </c>
      <c r="B2852" t="n">
        <v>90</v>
      </c>
      <c r="C2852" t="n">
        <v>11</v>
      </c>
      <c r="D2852" s="218" t="n">
        <v>84.97</v>
      </c>
      <c r="E2852" s="218" t="n">
        <v>2.83</v>
      </c>
      <c r="F2852" t="str">
        <v>https://re.jrc.ec.europa.eu/api/v5_3/PVcalc?lat=30.0444&amp;lon=31.2357&amp;peakpower=1&amp;loss=14&amp;angle=45&amp;aspect=-90&amp;outputformat=json&amp;raddatabase=PVGIS-SARAH3&amp;pvtechchoice=crystSi&amp;mountingplace=free&amp;usehorizon=1</v>
      </c>
    </row>
    <row r="2853">
      <c r="A2853" t="n">
        <v>45</v>
      </c>
      <c r="B2853" t="n">
        <v>90</v>
      </c>
      <c r="C2853" t="n">
        <v>12</v>
      </c>
      <c r="D2853" s="218" t="n">
        <v>77.07</v>
      </c>
      <c r="E2853" s="218" t="n">
        <v>2.49</v>
      </c>
      <c r="F2853" t="str">
        <v>https://re.jrc.ec.europa.eu/api/v5_3/PVcalc?lat=30.0444&amp;lon=31.2357&amp;peakpower=1&amp;loss=14&amp;angle=45&amp;aspect=-90&amp;outputformat=json&amp;raddatabase=PVGIS-SARAH3&amp;pvtechchoice=crystSi&amp;mountingplace=free&amp;usehorizon=1</v>
      </c>
    </row>
    <row r="2854">
      <c r="A2854" t="n">
        <v>45</v>
      </c>
      <c r="B2854" t="n">
        <v>105</v>
      </c>
      <c r="C2854" t="n">
        <v>1</v>
      </c>
      <c r="D2854" s="218" t="n">
        <v>95.13</v>
      </c>
      <c r="E2854" s="218" t="n">
        <v>3.07</v>
      </c>
      <c r="F2854" t="str">
        <v>https://re.jrc.ec.europa.eu/api/v5_3/PVcalc?lat=30.0444&amp;lon=31.2357&amp;peakpower=1&amp;loss=14&amp;angle=45&amp;aspect=-75&amp;outputformat=json&amp;raddatabase=PVGIS-SARAH3&amp;pvtechchoice=crystSi&amp;mountingplace=free&amp;usehorizon=1</v>
      </c>
    </row>
    <row r="2855">
      <c r="A2855" t="n">
        <v>45</v>
      </c>
      <c r="B2855" t="n">
        <v>105</v>
      </c>
      <c r="C2855" t="n">
        <v>2</v>
      </c>
      <c r="D2855" s="218" t="n">
        <v>101.3</v>
      </c>
      <c r="E2855" s="218" t="n">
        <v>3.62</v>
      </c>
      <c r="F2855" t="str">
        <v>https://re.jrc.ec.europa.eu/api/v5_3/PVcalc?lat=30.0444&amp;lon=31.2357&amp;peakpower=1&amp;loss=14&amp;angle=45&amp;aspect=-75&amp;outputformat=json&amp;raddatabase=PVGIS-SARAH3&amp;pvtechchoice=crystSi&amp;mountingplace=free&amp;usehorizon=1</v>
      </c>
    </row>
    <row r="2856">
      <c r="A2856" t="n">
        <v>45</v>
      </c>
      <c r="B2856" t="n">
        <v>105</v>
      </c>
      <c r="C2856" t="n">
        <v>3</v>
      </c>
      <c r="D2856" s="218" t="n">
        <v>129.36</v>
      </c>
      <c r="E2856" s="218" t="n">
        <v>4.17</v>
      </c>
      <c r="F2856" t="str">
        <v>https://re.jrc.ec.europa.eu/api/v5_3/PVcalc?lat=30.0444&amp;lon=31.2357&amp;peakpower=1&amp;loss=14&amp;angle=45&amp;aspect=-75&amp;outputformat=json&amp;raddatabase=PVGIS-SARAH3&amp;pvtechchoice=crystSi&amp;mountingplace=free&amp;usehorizon=1</v>
      </c>
    </row>
    <row r="2857">
      <c r="A2857" t="n">
        <v>45</v>
      </c>
      <c r="B2857" t="n">
        <v>105</v>
      </c>
      <c r="C2857" t="n">
        <v>4</v>
      </c>
      <c r="D2857" s="218" t="n">
        <v>136.38</v>
      </c>
      <c r="E2857" s="218" t="n">
        <v>4.55</v>
      </c>
      <c r="F2857" t="str">
        <v>https://re.jrc.ec.europa.eu/api/v5_3/PVcalc?lat=30.0444&amp;lon=31.2357&amp;peakpower=1&amp;loss=14&amp;angle=45&amp;aspect=-75&amp;outputformat=json&amp;raddatabase=PVGIS-SARAH3&amp;pvtechchoice=crystSi&amp;mountingplace=free&amp;usehorizon=1</v>
      </c>
    </row>
    <row r="2858">
      <c r="A2858" t="n">
        <v>45</v>
      </c>
      <c r="B2858" t="n">
        <v>105</v>
      </c>
      <c r="C2858" t="n">
        <v>5</v>
      </c>
      <c r="D2858" s="218" t="n">
        <v>146.52</v>
      </c>
      <c r="E2858" s="218" t="n">
        <v>4.73</v>
      </c>
      <c r="F2858" t="str">
        <v>https://re.jrc.ec.europa.eu/api/v5_3/PVcalc?lat=30.0444&amp;lon=31.2357&amp;peakpower=1&amp;loss=14&amp;angle=45&amp;aspect=-75&amp;outputformat=json&amp;raddatabase=PVGIS-SARAH3&amp;pvtechchoice=crystSi&amp;mountingplace=free&amp;usehorizon=1</v>
      </c>
    </row>
    <row r="2859">
      <c r="A2859" t="n">
        <v>45</v>
      </c>
      <c r="B2859" t="n">
        <v>105</v>
      </c>
      <c r="C2859" t="n">
        <v>6</v>
      </c>
      <c r="D2859" s="218" t="n">
        <v>145.09</v>
      </c>
      <c r="E2859" s="218" t="n">
        <v>4.84</v>
      </c>
      <c r="F2859" t="str">
        <v>https://re.jrc.ec.europa.eu/api/v5_3/PVcalc?lat=30.0444&amp;lon=31.2357&amp;peakpower=1&amp;loss=14&amp;angle=45&amp;aspect=-75&amp;outputformat=json&amp;raddatabase=PVGIS-SARAH3&amp;pvtechchoice=crystSi&amp;mountingplace=free&amp;usehorizon=1</v>
      </c>
    </row>
    <row r="2860">
      <c r="A2860" t="n">
        <v>45</v>
      </c>
      <c r="B2860" t="n">
        <v>105</v>
      </c>
      <c r="C2860" t="n">
        <v>7</v>
      </c>
      <c r="D2860" s="218" t="n">
        <v>146.56</v>
      </c>
      <c r="E2860" s="218" t="n">
        <v>4.73</v>
      </c>
      <c r="F2860" t="str">
        <v>https://re.jrc.ec.europa.eu/api/v5_3/PVcalc?lat=30.0444&amp;lon=31.2357&amp;peakpower=1&amp;loss=14&amp;angle=45&amp;aspect=-75&amp;outputformat=json&amp;raddatabase=PVGIS-SARAH3&amp;pvtechchoice=crystSi&amp;mountingplace=free&amp;usehorizon=1</v>
      </c>
    </row>
    <row r="2861">
      <c r="A2861" t="n">
        <v>45</v>
      </c>
      <c r="B2861" t="n">
        <v>105</v>
      </c>
      <c r="C2861" t="n">
        <v>8</v>
      </c>
      <c r="D2861" s="218" t="n">
        <v>142.18</v>
      </c>
      <c r="E2861" s="218" t="n">
        <v>4.59</v>
      </c>
      <c r="F2861" t="str">
        <v>https://re.jrc.ec.europa.eu/api/v5_3/PVcalc?lat=30.0444&amp;lon=31.2357&amp;peakpower=1&amp;loss=14&amp;angle=45&amp;aspect=-75&amp;outputformat=json&amp;raddatabase=PVGIS-SARAH3&amp;pvtechchoice=crystSi&amp;mountingplace=free&amp;usehorizon=1</v>
      </c>
    </row>
    <row r="2862">
      <c r="A2862" t="n">
        <v>45</v>
      </c>
      <c r="B2862" t="n">
        <v>105</v>
      </c>
      <c r="C2862" t="n">
        <v>9</v>
      </c>
      <c r="D2862" s="218" t="n">
        <v>128.42</v>
      </c>
      <c r="E2862" s="218" t="n">
        <v>4.28</v>
      </c>
      <c r="F2862" t="str">
        <v>https://re.jrc.ec.europa.eu/api/v5_3/PVcalc?lat=30.0444&amp;lon=31.2357&amp;peakpower=1&amp;loss=14&amp;angle=45&amp;aspect=-75&amp;outputformat=json&amp;raddatabase=PVGIS-SARAH3&amp;pvtechchoice=crystSi&amp;mountingplace=free&amp;usehorizon=1</v>
      </c>
    </row>
    <row r="2863">
      <c r="A2863" t="n">
        <v>45</v>
      </c>
      <c r="B2863" t="n">
        <v>105</v>
      </c>
      <c r="C2863" t="n">
        <v>10</v>
      </c>
      <c r="D2863" s="218" t="n">
        <v>117.74</v>
      </c>
      <c r="E2863" s="218" t="n">
        <v>3.8</v>
      </c>
      <c r="F2863" t="str">
        <v>https://re.jrc.ec.europa.eu/api/v5_3/PVcalc?lat=30.0444&amp;lon=31.2357&amp;peakpower=1&amp;loss=14&amp;angle=45&amp;aspect=-75&amp;outputformat=json&amp;raddatabase=PVGIS-SARAH3&amp;pvtechchoice=crystSi&amp;mountingplace=free&amp;usehorizon=1</v>
      </c>
    </row>
    <row r="2864">
      <c r="A2864" t="n">
        <v>45</v>
      </c>
      <c r="B2864" t="n">
        <v>105</v>
      </c>
      <c r="C2864" t="n">
        <v>11</v>
      </c>
      <c r="D2864" s="218" t="n">
        <v>99.55</v>
      </c>
      <c r="E2864" s="218" t="n">
        <v>3.32</v>
      </c>
      <c r="F2864" t="str">
        <v>https://re.jrc.ec.europa.eu/api/v5_3/PVcalc?lat=30.0444&amp;lon=31.2357&amp;peakpower=1&amp;loss=14&amp;angle=45&amp;aspect=-75&amp;outputformat=json&amp;raddatabase=PVGIS-SARAH3&amp;pvtechchoice=crystSi&amp;mountingplace=free&amp;usehorizon=1</v>
      </c>
    </row>
    <row r="2865">
      <c r="A2865" t="n">
        <v>45</v>
      </c>
      <c r="B2865" t="n">
        <v>105</v>
      </c>
      <c r="C2865" t="n">
        <v>12</v>
      </c>
      <c r="D2865" s="218" t="n">
        <v>92.8</v>
      </c>
      <c r="E2865" s="218" t="n">
        <v>2.99</v>
      </c>
      <c r="F2865" t="str">
        <v>https://re.jrc.ec.europa.eu/api/v5_3/PVcalc?lat=30.0444&amp;lon=31.2357&amp;peakpower=1&amp;loss=14&amp;angle=45&amp;aspect=-75&amp;outputformat=json&amp;raddatabase=PVGIS-SARAH3&amp;pvtechchoice=crystSi&amp;mountingplace=free&amp;usehorizon=1</v>
      </c>
    </row>
    <row r="2866">
      <c r="A2866" t="n">
        <v>45</v>
      </c>
      <c r="B2866" t="n">
        <v>120</v>
      </c>
      <c r="C2866" t="n">
        <v>1</v>
      </c>
      <c r="D2866" s="218" t="n">
        <v>108.95</v>
      </c>
      <c r="E2866" s="218" t="n">
        <v>3.51</v>
      </c>
      <c r="F2866" t="str">
        <v>https://re.jrc.ec.europa.eu/api/v5_3/PVcalc?lat=30.0444&amp;lon=31.2357&amp;peakpower=1&amp;loss=14&amp;angle=45&amp;aspect=-60&amp;outputformat=json&amp;raddatabase=PVGIS-SARAH3&amp;pvtechchoice=crystSi&amp;mountingplace=free&amp;usehorizon=1</v>
      </c>
    </row>
    <row r="2867">
      <c r="A2867" t="n">
        <v>45</v>
      </c>
      <c r="B2867" t="n">
        <v>120</v>
      </c>
      <c r="C2867" t="n">
        <v>2</v>
      </c>
      <c r="D2867" s="218" t="n">
        <v>111.55</v>
      </c>
      <c r="E2867" s="218" t="n">
        <v>3.98</v>
      </c>
      <c r="F2867" t="str">
        <v>https://re.jrc.ec.europa.eu/api/v5_3/PVcalc?lat=30.0444&amp;lon=31.2357&amp;peakpower=1&amp;loss=14&amp;angle=45&amp;aspect=-60&amp;outputformat=json&amp;raddatabase=PVGIS-SARAH3&amp;pvtechchoice=crystSi&amp;mountingplace=free&amp;usehorizon=1</v>
      </c>
    </row>
    <row r="2868">
      <c r="A2868" t="n">
        <v>45</v>
      </c>
      <c r="B2868" t="n">
        <v>120</v>
      </c>
      <c r="C2868" t="n">
        <v>3</v>
      </c>
      <c r="D2868" s="218" t="n">
        <v>137.94</v>
      </c>
      <c r="E2868" s="218" t="n">
        <v>4.45</v>
      </c>
      <c r="F2868" t="str">
        <v>https://re.jrc.ec.europa.eu/api/v5_3/PVcalc?lat=30.0444&amp;lon=31.2357&amp;peakpower=1&amp;loss=14&amp;angle=45&amp;aspect=-60&amp;outputformat=json&amp;raddatabase=PVGIS-SARAH3&amp;pvtechchoice=crystSi&amp;mountingplace=free&amp;usehorizon=1</v>
      </c>
    </row>
    <row r="2869">
      <c r="A2869" t="n">
        <v>45</v>
      </c>
      <c r="B2869" t="n">
        <v>120</v>
      </c>
      <c r="C2869" t="n">
        <v>4</v>
      </c>
      <c r="D2869" s="218" t="n">
        <v>140.41</v>
      </c>
      <c r="E2869" s="218" t="n">
        <v>4.68</v>
      </c>
      <c r="F2869" t="str">
        <v>https://re.jrc.ec.europa.eu/api/v5_3/PVcalc?lat=30.0444&amp;lon=31.2357&amp;peakpower=1&amp;loss=14&amp;angle=45&amp;aspect=-60&amp;outputformat=json&amp;raddatabase=PVGIS-SARAH3&amp;pvtechchoice=crystSi&amp;mountingplace=free&amp;usehorizon=1</v>
      </c>
    </row>
    <row r="2870">
      <c r="A2870" t="n">
        <v>45</v>
      </c>
      <c r="B2870" t="n">
        <v>120</v>
      </c>
      <c r="C2870" t="n">
        <v>5</v>
      </c>
      <c r="D2870" s="218" t="n">
        <v>147.01</v>
      </c>
      <c r="E2870" s="218" t="n">
        <v>4.74</v>
      </c>
      <c r="F2870" t="str">
        <v>https://re.jrc.ec.europa.eu/api/v5_3/PVcalc?lat=30.0444&amp;lon=31.2357&amp;peakpower=1&amp;loss=14&amp;angle=45&amp;aspect=-60&amp;outputformat=json&amp;raddatabase=PVGIS-SARAH3&amp;pvtechchoice=crystSi&amp;mountingplace=free&amp;usehorizon=1</v>
      </c>
    </row>
    <row r="2871">
      <c r="A2871" t="n">
        <v>45</v>
      </c>
      <c r="B2871" t="n">
        <v>120</v>
      </c>
      <c r="C2871" t="n">
        <v>6</v>
      </c>
      <c r="D2871" s="218" t="n">
        <v>143.87</v>
      </c>
      <c r="E2871" s="218" t="n">
        <v>4.8</v>
      </c>
      <c r="F2871" t="str">
        <v>https://re.jrc.ec.europa.eu/api/v5_3/PVcalc?lat=30.0444&amp;lon=31.2357&amp;peakpower=1&amp;loss=14&amp;angle=45&amp;aspect=-60&amp;outputformat=json&amp;raddatabase=PVGIS-SARAH3&amp;pvtechchoice=crystSi&amp;mountingplace=free&amp;usehorizon=1</v>
      </c>
    </row>
    <row r="2872">
      <c r="A2872" t="n">
        <v>45</v>
      </c>
      <c r="B2872" t="n">
        <v>120</v>
      </c>
      <c r="C2872" t="n">
        <v>7</v>
      </c>
      <c r="D2872" s="218" t="n">
        <v>146.61</v>
      </c>
      <c r="E2872" s="218" t="n">
        <v>4.73</v>
      </c>
      <c r="F2872" t="str">
        <v>https://re.jrc.ec.europa.eu/api/v5_3/PVcalc?lat=30.0444&amp;lon=31.2357&amp;peakpower=1&amp;loss=14&amp;angle=45&amp;aspect=-60&amp;outputformat=json&amp;raddatabase=PVGIS-SARAH3&amp;pvtechchoice=crystSi&amp;mountingplace=free&amp;usehorizon=1</v>
      </c>
    </row>
    <row r="2873">
      <c r="A2873" t="n">
        <v>45</v>
      </c>
      <c r="B2873" t="n">
        <v>120</v>
      </c>
      <c r="C2873" t="n">
        <v>8</v>
      </c>
      <c r="D2873" s="218" t="n">
        <v>145.57</v>
      </c>
      <c r="E2873" s="218" t="n">
        <v>4.7</v>
      </c>
      <c r="F2873" t="str">
        <v>https://re.jrc.ec.europa.eu/api/v5_3/PVcalc?lat=30.0444&amp;lon=31.2357&amp;peakpower=1&amp;loss=14&amp;angle=45&amp;aspect=-60&amp;outputformat=json&amp;raddatabase=PVGIS-SARAH3&amp;pvtechchoice=crystSi&amp;mountingplace=free&amp;usehorizon=1</v>
      </c>
    </row>
    <row r="2874">
      <c r="A2874" t="n">
        <v>45</v>
      </c>
      <c r="B2874" t="n">
        <v>120</v>
      </c>
      <c r="C2874" t="n">
        <v>9</v>
      </c>
      <c r="D2874" s="218" t="n">
        <v>135.57</v>
      </c>
      <c r="E2874" s="218" t="n">
        <v>4.52</v>
      </c>
      <c r="F2874" t="str">
        <v>https://re.jrc.ec.europa.eu/api/v5_3/PVcalc?lat=30.0444&amp;lon=31.2357&amp;peakpower=1&amp;loss=14&amp;angle=45&amp;aspect=-60&amp;outputformat=json&amp;raddatabase=PVGIS-SARAH3&amp;pvtechchoice=crystSi&amp;mountingplace=free&amp;usehorizon=1</v>
      </c>
    </row>
    <row r="2875">
      <c r="A2875" t="n">
        <v>45</v>
      </c>
      <c r="B2875" t="n">
        <v>120</v>
      </c>
      <c r="C2875" t="n">
        <v>10</v>
      </c>
      <c r="D2875" s="218" t="n">
        <v>129.46</v>
      </c>
      <c r="E2875" s="218" t="n">
        <v>4.18</v>
      </c>
      <c r="F2875" t="str">
        <v>https://re.jrc.ec.europa.eu/api/v5_3/PVcalc?lat=30.0444&amp;lon=31.2357&amp;peakpower=1&amp;loss=14&amp;angle=45&amp;aspect=-60&amp;outputformat=json&amp;raddatabase=PVGIS-SARAH3&amp;pvtechchoice=crystSi&amp;mountingplace=free&amp;usehorizon=1</v>
      </c>
    </row>
    <row r="2876">
      <c r="A2876" t="n">
        <v>45</v>
      </c>
      <c r="B2876" t="n">
        <v>120</v>
      </c>
      <c r="C2876" t="n">
        <v>11</v>
      </c>
      <c r="D2876" s="218" t="n">
        <v>113.77</v>
      </c>
      <c r="E2876" s="218" t="n">
        <v>3.79</v>
      </c>
      <c r="F2876" t="str">
        <v>https://re.jrc.ec.europa.eu/api/v5_3/PVcalc?lat=30.0444&amp;lon=31.2357&amp;peakpower=1&amp;loss=14&amp;angle=45&amp;aspect=-60&amp;outputformat=json&amp;raddatabase=PVGIS-SARAH3&amp;pvtechchoice=crystSi&amp;mountingplace=free&amp;usehorizon=1</v>
      </c>
    </row>
    <row r="2877">
      <c r="A2877" t="n">
        <v>45</v>
      </c>
      <c r="B2877" t="n">
        <v>120</v>
      </c>
      <c r="C2877" t="n">
        <v>12</v>
      </c>
      <c r="D2877" s="218" t="n">
        <v>107.79</v>
      </c>
      <c r="E2877" s="218" t="n">
        <v>3.48</v>
      </c>
      <c r="F2877" t="str">
        <v>https://re.jrc.ec.europa.eu/api/v5_3/PVcalc?lat=30.0444&amp;lon=31.2357&amp;peakpower=1&amp;loss=14&amp;angle=45&amp;aspect=-60&amp;outputformat=json&amp;raddatabase=PVGIS-SARAH3&amp;pvtechchoice=crystSi&amp;mountingplace=free&amp;usehorizon=1</v>
      </c>
    </row>
    <row r="2878">
      <c r="A2878" t="n">
        <v>45</v>
      </c>
      <c r="B2878" t="n">
        <v>135</v>
      </c>
      <c r="C2878" t="n">
        <v>1</v>
      </c>
      <c r="D2878" s="218" t="n">
        <v>121.54</v>
      </c>
      <c r="E2878" s="218" t="n">
        <v>3.92</v>
      </c>
      <c r="F2878" t="str">
        <v>https://re.jrc.ec.europa.eu/api/v5_3/PVcalc?lat=30.0444&amp;lon=31.2357&amp;peakpower=1&amp;loss=14&amp;angle=45&amp;aspect=-45&amp;outputformat=json&amp;raddatabase=PVGIS-SARAH3&amp;pvtechchoice=crystSi&amp;mountingplace=free&amp;usehorizon=1</v>
      </c>
    </row>
    <row r="2879">
      <c r="A2879" t="n">
        <v>45</v>
      </c>
      <c r="B2879" t="n">
        <v>135</v>
      </c>
      <c r="C2879" t="n">
        <v>2</v>
      </c>
      <c r="D2879" s="218" t="n">
        <v>120.5</v>
      </c>
      <c r="E2879" s="218" t="n">
        <v>4.3</v>
      </c>
      <c r="F2879" t="str">
        <v>https://re.jrc.ec.europa.eu/api/v5_3/PVcalc?lat=30.0444&amp;lon=31.2357&amp;peakpower=1&amp;loss=14&amp;angle=45&amp;aspect=-45&amp;outputformat=json&amp;raddatabase=PVGIS-SARAH3&amp;pvtechchoice=crystSi&amp;mountingplace=free&amp;usehorizon=1</v>
      </c>
    </row>
    <row r="2880">
      <c r="A2880" t="n">
        <v>45</v>
      </c>
      <c r="B2880" t="n">
        <v>135</v>
      </c>
      <c r="C2880" t="n">
        <v>3</v>
      </c>
      <c r="D2880" s="218" t="n">
        <v>145.78</v>
      </c>
      <c r="E2880" s="218" t="n">
        <v>4.7</v>
      </c>
      <c r="F2880" t="str">
        <v>https://re.jrc.ec.europa.eu/api/v5_3/PVcalc?lat=30.0444&amp;lon=31.2357&amp;peakpower=1&amp;loss=14&amp;angle=45&amp;aspect=-45&amp;outputformat=json&amp;raddatabase=PVGIS-SARAH3&amp;pvtechchoice=crystSi&amp;mountingplace=free&amp;usehorizon=1</v>
      </c>
    </row>
    <row r="2881">
      <c r="A2881" t="n">
        <v>45</v>
      </c>
      <c r="B2881" t="n">
        <v>135</v>
      </c>
      <c r="C2881" t="n">
        <v>4</v>
      </c>
      <c r="D2881" s="218" t="n">
        <v>144.27</v>
      </c>
      <c r="E2881" s="218" t="n">
        <v>4.81</v>
      </c>
      <c r="F2881" t="str">
        <v>https://re.jrc.ec.europa.eu/api/v5_3/PVcalc?lat=30.0444&amp;lon=31.2357&amp;peakpower=1&amp;loss=14&amp;angle=45&amp;aspect=-45&amp;outputformat=json&amp;raddatabase=PVGIS-SARAH3&amp;pvtechchoice=crystSi&amp;mountingplace=free&amp;usehorizon=1</v>
      </c>
    </row>
    <row r="2882">
      <c r="A2882" t="n">
        <v>45</v>
      </c>
      <c r="B2882" t="n">
        <v>135</v>
      </c>
      <c r="C2882" t="n">
        <v>5</v>
      </c>
      <c r="D2882" s="218" t="n">
        <v>146.83</v>
      </c>
      <c r="E2882" s="218" t="n">
        <v>4.74</v>
      </c>
      <c r="F2882" t="str">
        <v>https://re.jrc.ec.europa.eu/api/v5_3/PVcalc?lat=30.0444&amp;lon=31.2357&amp;peakpower=1&amp;loss=14&amp;angle=45&amp;aspect=-45&amp;outputformat=json&amp;raddatabase=PVGIS-SARAH3&amp;pvtechchoice=crystSi&amp;mountingplace=free&amp;usehorizon=1</v>
      </c>
    </row>
    <row r="2883">
      <c r="A2883" t="n">
        <v>45</v>
      </c>
      <c r="B2883" t="n">
        <v>135</v>
      </c>
      <c r="C2883" t="n">
        <v>6</v>
      </c>
      <c r="D2883" s="218" t="n">
        <v>141.77</v>
      </c>
      <c r="E2883" s="218" t="n">
        <v>4.73</v>
      </c>
      <c r="F2883" t="str">
        <v>https://re.jrc.ec.europa.eu/api/v5_3/PVcalc?lat=30.0444&amp;lon=31.2357&amp;peakpower=1&amp;loss=14&amp;angle=45&amp;aspect=-45&amp;outputformat=json&amp;raddatabase=PVGIS-SARAH3&amp;pvtechchoice=crystSi&amp;mountingplace=free&amp;usehorizon=1</v>
      </c>
    </row>
    <row r="2884">
      <c r="A2884" t="n">
        <v>45</v>
      </c>
      <c r="B2884" t="n">
        <v>135</v>
      </c>
      <c r="C2884" t="n">
        <v>7</v>
      </c>
      <c r="D2884" s="218" t="n">
        <v>145.74</v>
      </c>
      <c r="E2884" s="218" t="n">
        <v>4.7</v>
      </c>
      <c r="F2884" t="str">
        <v>https://re.jrc.ec.europa.eu/api/v5_3/PVcalc?lat=30.0444&amp;lon=31.2357&amp;peakpower=1&amp;loss=14&amp;angle=45&amp;aspect=-45&amp;outputformat=json&amp;raddatabase=PVGIS-SARAH3&amp;pvtechchoice=crystSi&amp;mountingplace=free&amp;usehorizon=1</v>
      </c>
    </row>
    <row r="2885">
      <c r="A2885" t="n">
        <v>45</v>
      </c>
      <c r="B2885" t="n">
        <v>135</v>
      </c>
      <c r="C2885" t="n">
        <v>8</v>
      </c>
      <c r="D2885" s="218" t="n">
        <v>148.14</v>
      </c>
      <c r="E2885" s="218" t="n">
        <v>4.78</v>
      </c>
      <c r="F2885" t="str">
        <v>https://re.jrc.ec.europa.eu/api/v5_3/PVcalc?lat=30.0444&amp;lon=31.2357&amp;peakpower=1&amp;loss=14&amp;angle=45&amp;aspect=-45&amp;outputformat=json&amp;raddatabase=PVGIS-SARAH3&amp;pvtechchoice=crystSi&amp;mountingplace=free&amp;usehorizon=1</v>
      </c>
    </row>
    <row r="2886">
      <c r="A2886" t="n">
        <v>45</v>
      </c>
      <c r="B2886" t="n">
        <v>135</v>
      </c>
      <c r="C2886" t="n">
        <v>9</v>
      </c>
      <c r="D2886" s="218" t="n">
        <v>142.73</v>
      </c>
      <c r="E2886" s="218" t="n">
        <v>4.76</v>
      </c>
      <c r="F2886" t="str">
        <v>https://re.jrc.ec.europa.eu/api/v5_3/PVcalc?lat=30.0444&amp;lon=31.2357&amp;peakpower=1&amp;loss=14&amp;angle=45&amp;aspect=-45&amp;outputformat=json&amp;raddatabase=PVGIS-SARAH3&amp;pvtechchoice=crystSi&amp;mountingplace=free&amp;usehorizon=1</v>
      </c>
    </row>
    <row r="2887">
      <c r="A2887" t="n">
        <v>45</v>
      </c>
      <c r="B2887" t="n">
        <v>135</v>
      </c>
      <c r="C2887" t="n">
        <v>10</v>
      </c>
      <c r="D2887" s="218" t="n">
        <v>139.88</v>
      </c>
      <c r="E2887" s="218" t="n">
        <v>4.51</v>
      </c>
      <c r="F2887" t="str">
        <v>https://re.jrc.ec.europa.eu/api/v5_3/PVcalc?lat=30.0444&amp;lon=31.2357&amp;peakpower=1&amp;loss=14&amp;angle=45&amp;aspect=-45&amp;outputformat=json&amp;raddatabase=PVGIS-SARAH3&amp;pvtechchoice=crystSi&amp;mountingplace=free&amp;usehorizon=1</v>
      </c>
    </row>
    <row r="2888">
      <c r="A2888" t="n">
        <v>45</v>
      </c>
      <c r="B2888" t="n">
        <v>135</v>
      </c>
      <c r="C2888" t="n">
        <v>11</v>
      </c>
      <c r="D2888" s="218" t="n">
        <v>126.3</v>
      </c>
      <c r="E2888" s="218" t="n">
        <v>4.21</v>
      </c>
      <c r="F2888" t="str">
        <v>https://re.jrc.ec.europa.eu/api/v5_3/PVcalc?lat=30.0444&amp;lon=31.2357&amp;peakpower=1&amp;loss=14&amp;angle=45&amp;aspect=-45&amp;outputformat=json&amp;raddatabase=PVGIS-SARAH3&amp;pvtechchoice=crystSi&amp;mountingplace=free&amp;usehorizon=1</v>
      </c>
    </row>
    <row r="2889">
      <c r="A2889" t="n">
        <v>45</v>
      </c>
      <c r="B2889" t="n">
        <v>135</v>
      </c>
      <c r="C2889" t="n">
        <v>12</v>
      </c>
      <c r="D2889" s="218" t="n">
        <v>121.56</v>
      </c>
      <c r="E2889" s="218" t="n">
        <v>3.92</v>
      </c>
      <c r="F2889" t="str">
        <v>https://re.jrc.ec.europa.eu/api/v5_3/PVcalc?lat=30.0444&amp;lon=31.2357&amp;peakpower=1&amp;loss=14&amp;angle=45&amp;aspect=-45&amp;outputformat=json&amp;raddatabase=PVGIS-SARAH3&amp;pvtechchoice=crystSi&amp;mountingplace=free&amp;usehorizon=1</v>
      </c>
    </row>
    <row r="2890">
      <c r="A2890" t="n">
        <v>45</v>
      </c>
      <c r="B2890" t="n">
        <v>150</v>
      </c>
      <c r="C2890" t="n">
        <v>1</v>
      </c>
      <c r="D2890" s="218" t="n">
        <v>132.16</v>
      </c>
      <c r="E2890" s="218" t="n">
        <v>4.26</v>
      </c>
      <c r="F2890" t="str">
        <v>https://re.jrc.ec.europa.eu/api/v5_3/PVcalc?lat=30.0444&amp;lon=31.2357&amp;peakpower=1&amp;loss=14&amp;angle=45&amp;aspect=-30&amp;outputformat=json&amp;raddatabase=PVGIS-SARAH3&amp;pvtechchoice=crystSi&amp;mountingplace=free&amp;usehorizon=1</v>
      </c>
    </row>
    <row r="2891">
      <c r="A2891" t="n">
        <v>45</v>
      </c>
      <c r="B2891" t="n">
        <v>150</v>
      </c>
      <c r="C2891" t="n">
        <v>2</v>
      </c>
      <c r="D2891" s="218" t="n">
        <v>128.07</v>
      </c>
      <c r="E2891" s="218" t="n">
        <v>4.57</v>
      </c>
      <c r="F2891" t="str">
        <v>https://re.jrc.ec.europa.eu/api/v5_3/PVcalc?lat=30.0444&amp;lon=31.2357&amp;peakpower=1&amp;loss=14&amp;angle=45&amp;aspect=-30&amp;outputformat=json&amp;raddatabase=PVGIS-SARAH3&amp;pvtechchoice=crystSi&amp;mountingplace=free&amp;usehorizon=1</v>
      </c>
    </row>
    <row r="2892">
      <c r="A2892" t="n">
        <v>45</v>
      </c>
      <c r="B2892" t="n">
        <v>150</v>
      </c>
      <c r="C2892" t="n">
        <v>3</v>
      </c>
      <c r="D2892" s="218" t="n">
        <v>151.98</v>
      </c>
      <c r="E2892" s="218" t="n">
        <v>4.9</v>
      </c>
      <c r="F2892" t="str">
        <v>https://re.jrc.ec.europa.eu/api/v5_3/PVcalc?lat=30.0444&amp;lon=31.2357&amp;peakpower=1&amp;loss=14&amp;angle=45&amp;aspect=-30&amp;outputformat=json&amp;raddatabase=PVGIS-SARAH3&amp;pvtechchoice=crystSi&amp;mountingplace=free&amp;usehorizon=1</v>
      </c>
    </row>
    <row r="2893">
      <c r="A2893" t="n">
        <v>45</v>
      </c>
      <c r="B2893" t="n">
        <v>150</v>
      </c>
      <c r="C2893" t="n">
        <v>4</v>
      </c>
      <c r="D2893" s="218" t="n">
        <v>146.44</v>
      </c>
      <c r="E2893" s="218" t="n">
        <v>4.88</v>
      </c>
      <c r="F2893" t="str">
        <v>https://re.jrc.ec.europa.eu/api/v5_3/PVcalc?lat=30.0444&amp;lon=31.2357&amp;peakpower=1&amp;loss=14&amp;angle=45&amp;aspect=-30&amp;outputformat=json&amp;raddatabase=PVGIS-SARAH3&amp;pvtechchoice=crystSi&amp;mountingplace=free&amp;usehorizon=1</v>
      </c>
    </row>
    <row r="2894">
      <c r="A2894" t="n">
        <v>45</v>
      </c>
      <c r="B2894" t="n">
        <v>150</v>
      </c>
      <c r="C2894" t="n">
        <v>5</v>
      </c>
      <c r="D2894" s="218" t="n">
        <v>145.09</v>
      </c>
      <c r="E2894" s="218" t="n">
        <v>4.68</v>
      </c>
      <c r="F2894" t="str">
        <v>https://re.jrc.ec.europa.eu/api/v5_3/PVcalc?lat=30.0444&amp;lon=31.2357&amp;peakpower=1&amp;loss=14&amp;angle=45&amp;aspect=-30&amp;outputformat=json&amp;raddatabase=PVGIS-SARAH3&amp;pvtechchoice=crystSi&amp;mountingplace=free&amp;usehorizon=1</v>
      </c>
    </row>
    <row r="2895">
      <c r="A2895" t="n">
        <v>45</v>
      </c>
      <c r="B2895" t="n">
        <v>150</v>
      </c>
      <c r="C2895" t="n">
        <v>6</v>
      </c>
      <c r="D2895" s="218" t="n">
        <v>138.27</v>
      </c>
      <c r="E2895" s="218" t="n">
        <v>4.61</v>
      </c>
      <c r="F2895" t="str">
        <v>https://re.jrc.ec.europa.eu/api/v5_3/PVcalc?lat=30.0444&amp;lon=31.2357&amp;peakpower=1&amp;loss=14&amp;angle=45&amp;aspect=-30&amp;outputformat=json&amp;raddatabase=PVGIS-SARAH3&amp;pvtechchoice=crystSi&amp;mountingplace=free&amp;usehorizon=1</v>
      </c>
    </row>
    <row r="2896">
      <c r="A2896" t="n">
        <v>45</v>
      </c>
      <c r="B2896" t="n">
        <v>150</v>
      </c>
      <c r="C2896" t="n">
        <v>7</v>
      </c>
      <c r="D2896" s="218" t="n">
        <v>143.45</v>
      </c>
      <c r="E2896" s="218" t="n">
        <v>4.63</v>
      </c>
      <c r="F2896" t="str">
        <v>https://re.jrc.ec.europa.eu/api/v5_3/PVcalc?lat=30.0444&amp;lon=31.2357&amp;peakpower=1&amp;loss=14&amp;angle=45&amp;aspect=-30&amp;outputformat=json&amp;raddatabase=PVGIS-SARAH3&amp;pvtechchoice=crystSi&amp;mountingplace=free&amp;usehorizon=1</v>
      </c>
    </row>
    <row r="2897">
      <c r="A2897" t="n">
        <v>45</v>
      </c>
      <c r="B2897" t="n">
        <v>150</v>
      </c>
      <c r="C2897" t="n">
        <v>8</v>
      </c>
      <c r="D2897" s="218" t="n">
        <v>149.03</v>
      </c>
      <c r="E2897" s="218" t="n">
        <v>4.81</v>
      </c>
      <c r="F2897" t="str">
        <v>https://re.jrc.ec.europa.eu/api/v5_3/PVcalc?lat=30.0444&amp;lon=31.2357&amp;peakpower=1&amp;loss=14&amp;angle=45&amp;aspect=-30&amp;outputformat=json&amp;raddatabase=PVGIS-SARAH3&amp;pvtechchoice=crystSi&amp;mountingplace=free&amp;usehorizon=1</v>
      </c>
    </row>
    <row r="2898">
      <c r="A2898" t="n">
        <v>45</v>
      </c>
      <c r="B2898" t="n">
        <v>150</v>
      </c>
      <c r="C2898" t="n">
        <v>9</v>
      </c>
      <c r="D2898" s="218" t="n">
        <v>148.01</v>
      </c>
      <c r="E2898" s="218" t="n">
        <v>4.93</v>
      </c>
      <c r="F2898" t="str">
        <v>https://re.jrc.ec.europa.eu/api/v5_3/PVcalc?lat=30.0444&amp;lon=31.2357&amp;peakpower=1&amp;loss=14&amp;angle=45&amp;aspect=-30&amp;outputformat=json&amp;raddatabase=PVGIS-SARAH3&amp;pvtechchoice=crystSi&amp;mountingplace=free&amp;usehorizon=1</v>
      </c>
    </row>
    <row r="2899">
      <c r="A2899" t="n">
        <v>45</v>
      </c>
      <c r="B2899" t="n">
        <v>150</v>
      </c>
      <c r="C2899" t="n">
        <v>10</v>
      </c>
      <c r="D2899" s="218" t="n">
        <v>148.53</v>
      </c>
      <c r="E2899" s="218" t="n">
        <v>4.79</v>
      </c>
      <c r="F2899" t="str">
        <v>https://re.jrc.ec.europa.eu/api/v5_3/PVcalc?lat=30.0444&amp;lon=31.2357&amp;peakpower=1&amp;loss=14&amp;angle=45&amp;aspect=-30&amp;outputformat=json&amp;raddatabase=PVGIS-SARAH3&amp;pvtechchoice=crystSi&amp;mountingplace=free&amp;usehorizon=1</v>
      </c>
    </row>
    <row r="2900">
      <c r="A2900" t="n">
        <v>45</v>
      </c>
      <c r="B2900" t="n">
        <v>150</v>
      </c>
      <c r="C2900" t="n">
        <v>11</v>
      </c>
      <c r="D2900" s="218" t="n">
        <v>136.75</v>
      </c>
      <c r="E2900" s="218" t="n">
        <v>4.56</v>
      </c>
      <c r="F2900" t="str">
        <v>https://re.jrc.ec.europa.eu/api/v5_3/PVcalc?lat=30.0444&amp;lon=31.2357&amp;peakpower=1&amp;loss=14&amp;angle=45&amp;aspect=-30&amp;outputformat=json&amp;raddatabase=PVGIS-SARAH3&amp;pvtechchoice=crystSi&amp;mountingplace=free&amp;usehorizon=1</v>
      </c>
    </row>
    <row r="2901">
      <c r="A2901" t="n">
        <v>45</v>
      </c>
      <c r="B2901" t="n">
        <v>150</v>
      </c>
      <c r="C2901" t="n">
        <v>12</v>
      </c>
      <c r="D2901" s="218" t="n">
        <v>132.6</v>
      </c>
      <c r="E2901" s="218" t="n">
        <v>4.28</v>
      </c>
      <c r="F2901" t="str">
        <v>https://re.jrc.ec.europa.eu/api/v5_3/PVcalc?lat=30.0444&amp;lon=31.2357&amp;peakpower=1&amp;loss=14&amp;angle=45&amp;aspect=-30&amp;outputformat=json&amp;raddatabase=PVGIS-SARAH3&amp;pvtechchoice=crystSi&amp;mountingplace=free&amp;usehorizon=1</v>
      </c>
    </row>
    <row r="2902">
      <c r="A2902" t="n">
        <v>45</v>
      </c>
      <c r="B2902" t="n">
        <v>165</v>
      </c>
      <c r="C2902" t="n">
        <v>1</v>
      </c>
      <c r="D2902" s="218" t="n">
        <v>139.1</v>
      </c>
      <c r="E2902" s="218" t="n">
        <v>4.49</v>
      </c>
      <c r="F2902" t="str">
        <v>https://re.jrc.ec.europa.eu/api/v5_3/PVcalc?lat=30.0444&amp;lon=31.2357&amp;peakpower=1&amp;loss=14&amp;angle=45&amp;aspect=-15&amp;outputformat=json&amp;raddatabase=PVGIS-SARAH3&amp;pvtechchoice=crystSi&amp;mountingplace=free&amp;usehorizon=1</v>
      </c>
    </row>
    <row r="2903">
      <c r="A2903" t="n">
        <v>45</v>
      </c>
      <c r="B2903" t="n">
        <v>165</v>
      </c>
      <c r="C2903" t="n">
        <v>2</v>
      </c>
      <c r="D2903" s="218" t="n">
        <v>132.92</v>
      </c>
      <c r="E2903" s="218" t="n">
        <v>4.75</v>
      </c>
      <c r="F2903" t="str">
        <v>https://re.jrc.ec.europa.eu/api/v5_3/PVcalc?lat=30.0444&amp;lon=31.2357&amp;peakpower=1&amp;loss=14&amp;angle=45&amp;aspect=-15&amp;outputformat=json&amp;raddatabase=PVGIS-SARAH3&amp;pvtechchoice=crystSi&amp;mountingplace=free&amp;usehorizon=1</v>
      </c>
    </row>
    <row r="2904">
      <c r="A2904" t="n">
        <v>45</v>
      </c>
      <c r="B2904" t="n">
        <v>165</v>
      </c>
      <c r="C2904" t="n">
        <v>3</v>
      </c>
      <c r="D2904" s="218" t="n">
        <v>156.63</v>
      </c>
      <c r="E2904" s="218" t="n">
        <v>5.05</v>
      </c>
      <c r="F2904" t="str">
        <v>https://re.jrc.ec.europa.eu/api/v5_3/PVcalc?lat=30.0444&amp;lon=31.2357&amp;peakpower=1&amp;loss=14&amp;angle=45&amp;aspect=-15&amp;outputformat=json&amp;raddatabase=PVGIS-SARAH3&amp;pvtechchoice=crystSi&amp;mountingplace=free&amp;usehorizon=1</v>
      </c>
    </row>
    <row r="2905">
      <c r="A2905" t="n">
        <v>45</v>
      </c>
      <c r="B2905" t="n">
        <v>165</v>
      </c>
      <c r="C2905" t="n">
        <v>4</v>
      </c>
      <c r="D2905" s="218" t="n">
        <v>148.62</v>
      </c>
      <c r="E2905" s="218" t="n">
        <v>4.95</v>
      </c>
      <c r="F2905" t="str">
        <v>https://re.jrc.ec.europa.eu/api/v5_3/PVcalc?lat=30.0444&amp;lon=31.2357&amp;peakpower=1&amp;loss=14&amp;angle=45&amp;aspect=-15&amp;outputformat=json&amp;raddatabase=PVGIS-SARAH3&amp;pvtechchoice=crystSi&amp;mountingplace=free&amp;usehorizon=1</v>
      </c>
    </row>
    <row r="2906">
      <c r="A2906" t="n">
        <v>45</v>
      </c>
      <c r="B2906" t="n">
        <v>165</v>
      </c>
      <c r="C2906" t="n">
        <v>5</v>
      </c>
      <c r="D2906" s="218" t="n">
        <v>144.14</v>
      </c>
      <c r="E2906" s="218" t="n">
        <v>4.65</v>
      </c>
      <c r="F2906" t="str">
        <v>https://re.jrc.ec.europa.eu/api/v5_3/PVcalc?lat=30.0444&amp;lon=31.2357&amp;peakpower=1&amp;loss=14&amp;angle=45&amp;aspect=-15&amp;outputformat=json&amp;raddatabase=PVGIS-SARAH3&amp;pvtechchoice=crystSi&amp;mountingplace=free&amp;usehorizon=1</v>
      </c>
    </row>
    <row r="2907">
      <c r="A2907" t="n">
        <v>45</v>
      </c>
      <c r="B2907" t="n">
        <v>165</v>
      </c>
      <c r="C2907" t="n">
        <v>6</v>
      </c>
      <c r="D2907" s="218" t="n">
        <v>136.05</v>
      </c>
      <c r="E2907" s="218" t="n">
        <v>4.54</v>
      </c>
      <c r="F2907" t="str">
        <v>https://re.jrc.ec.europa.eu/api/v5_3/PVcalc?lat=30.0444&amp;lon=31.2357&amp;peakpower=1&amp;loss=14&amp;angle=45&amp;aspect=-15&amp;outputformat=json&amp;raddatabase=PVGIS-SARAH3&amp;pvtechchoice=crystSi&amp;mountingplace=free&amp;usehorizon=1</v>
      </c>
    </row>
    <row r="2908">
      <c r="A2908" t="n">
        <v>45</v>
      </c>
      <c r="B2908" t="n">
        <v>165</v>
      </c>
      <c r="C2908" t="n">
        <v>7</v>
      </c>
      <c r="D2908" s="218" t="n">
        <v>142.45</v>
      </c>
      <c r="E2908" s="218" t="n">
        <v>4.6</v>
      </c>
      <c r="F2908" t="str">
        <v>https://re.jrc.ec.europa.eu/api/v5_3/PVcalc?lat=30.0444&amp;lon=31.2357&amp;peakpower=1&amp;loss=14&amp;angle=45&amp;aspect=-15&amp;outputformat=json&amp;raddatabase=PVGIS-SARAH3&amp;pvtechchoice=crystSi&amp;mountingplace=free&amp;usehorizon=1</v>
      </c>
    </row>
    <row r="2909">
      <c r="A2909" t="n">
        <v>45</v>
      </c>
      <c r="B2909" t="n">
        <v>165</v>
      </c>
      <c r="C2909" t="n">
        <v>8</v>
      </c>
      <c r="D2909" s="218" t="n">
        <v>150.46</v>
      </c>
      <c r="E2909" s="218" t="n">
        <v>4.85</v>
      </c>
      <c r="F2909" t="str">
        <v>https://re.jrc.ec.europa.eu/api/v5_3/PVcalc?lat=30.0444&amp;lon=31.2357&amp;peakpower=1&amp;loss=14&amp;angle=45&amp;aspect=-15&amp;outputformat=json&amp;raddatabase=PVGIS-SARAH3&amp;pvtechchoice=crystSi&amp;mountingplace=free&amp;usehorizon=1</v>
      </c>
    </row>
    <row r="2910">
      <c r="A2910" t="n">
        <v>45</v>
      </c>
      <c r="B2910" t="n">
        <v>165</v>
      </c>
      <c r="C2910" t="n">
        <v>9</v>
      </c>
      <c r="D2910" s="218" t="n">
        <v>152.86</v>
      </c>
      <c r="E2910" s="218" t="n">
        <v>5.1</v>
      </c>
      <c r="F2910" t="str">
        <v>https://re.jrc.ec.europa.eu/api/v5_3/PVcalc?lat=30.0444&amp;lon=31.2357&amp;peakpower=1&amp;loss=14&amp;angle=45&amp;aspect=-15&amp;outputformat=json&amp;raddatabase=PVGIS-SARAH3&amp;pvtechchoice=crystSi&amp;mountingplace=free&amp;usehorizon=1</v>
      </c>
    </row>
    <row r="2911">
      <c r="A2911" t="n">
        <v>45</v>
      </c>
      <c r="B2911" t="n">
        <v>165</v>
      </c>
      <c r="C2911" t="n">
        <v>10</v>
      </c>
      <c r="D2911" s="218" t="n">
        <v>155.34</v>
      </c>
      <c r="E2911" s="218" t="n">
        <v>5.01</v>
      </c>
      <c r="F2911" t="str">
        <v>https://re.jrc.ec.europa.eu/api/v5_3/PVcalc?lat=30.0444&amp;lon=31.2357&amp;peakpower=1&amp;loss=14&amp;angle=45&amp;aspect=-15&amp;outputformat=json&amp;raddatabase=PVGIS-SARAH3&amp;pvtechchoice=crystSi&amp;mountingplace=free&amp;usehorizon=1</v>
      </c>
    </row>
    <row r="2912">
      <c r="A2912" t="n">
        <v>45</v>
      </c>
      <c r="B2912" t="n">
        <v>165</v>
      </c>
      <c r="C2912" t="n">
        <v>11</v>
      </c>
      <c r="D2912" s="218" t="n">
        <v>144.03</v>
      </c>
      <c r="E2912" s="218" t="n">
        <v>4.8</v>
      </c>
      <c r="F2912" t="str">
        <v>https://re.jrc.ec.europa.eu/api/v5_3/PVcalc?lat=30.0444&amp;lon=31.2357&amp;peakpower=1&amp;loss=14&amp;angle=45&amp;aspect=-15&amp;outputformat=json&amp;raddatabase=PVGIS-SARAH3&amp;pvtechchoice=crystSi&amp;mountingplace=free&amp;usehorizon=1</v>
      </c>
    </row>
    <row r="2913">
      <c r="A2913" t="n">
        <v>45</v>
      </c>
      <c r="B2913" t="n">
        <v>165</v>
      </c>
      <c r="C2913" t="n">
        <v>12</v>
      </c>
      <c r="D2913" s="218" t="n">
        <v>139.9</v>
      </c>
      <c r="E2913" s="218" t="n">
        <v>4.51</v>
      </c>
      <c r="F2913" t="str">
        <v>https://re.jrc.ec.europa.eu/api/v5_3/PVcalc?lat=30.0444&amp;lon=31.2357&amp;peakpower=1&amp;loss=14&amp;angle=45&amp;aspect=-15&amp;outputformat=json&amp;raddatabase=PVGIS-SARAH3&amp;pvtechchoice=crystSi&amp;mountingplace=free&amp;usehorizon=1</v>
      </c>
    </row>
    <row r="2914">
      <c r="A2914" t="n">
        <v>45</v>
      </c>
      <c r="B2914" t="n">
        <v>180</v>
      </c>
      <c r="C2914" t="n">
        <v>1</v>
      </c>
      <c r="D2914" s="218" t="n">
        <v>141.18</v>
      </c>
      <c r="E2914" s="218" t="n">
        <v>4.55</v>
      </c>
      <c r="F2914" t="str">
        <v>https://re.jrc.ec.europa.eu/api/v5_3/PVcalc?lat=30.0444&amp;lon=31.2357&amp;peakpower=1&amp;loss=14&amp;angle=45&amp;aspect=0&amp;outputformat=json&amp;raddatabase=PVGIS-SARAH3&amp;pvtechchoice=crystSi&amp;mountingplace=free&amp;usehorizon=1</v>
      </c>
    </row>
    <row r="2915">
      <c r="A2915" t="n">
        <v>45</v>
      </c>
      <c r="B2915" t="n">
        <v>180</v>
      </c>
      <c r="C2915" t="n">
        <v>2</v>
      </c>
      <c r="D2915" s="218" t="n">
        <v>134.37</v>
      </c>
      <c r="E2915" s="218" t="n">
        <v>4.8</v>
      </c>
      <c r="F2915" t="str">
        <v>https://re.jrc.ec.europa.eu/api/v5_3/PVcalc?lat=30.0444&amp;lon=31.2357&amp;peakpower=1&amp;loss=14&amp;angle=45&amp;aspect=0&amp;outputformat=json&amp;raddatabase=PVGIS-SARAH3&amp;pvtechchoice=crystSi&amp;mountingplace=free&amp;usehorizon=1</v>
      </c>
    </row>
    <row r="2916">
      <c r="A2916" t="n">
        <v>45</v>
      </c>
      <c r="B2916" t="n">
        <v>180</v>
      </c>
      <c r="C2916" t="n">
        <v>3</v>
      </c>
      <c r="D2916" s="218" t="n">
        <v>159.25</v>
      </c>
      <c r="E2916" s="218" t="n">
        <v>5.14</v>
      </c>
      <c r="F2916" t="str">
        <v>https://re.jrc.ec.europa.eu/api/v5_3/PVcalc?lat=30.0444&amp;lon=31.2357&amp;peakpower=1&amp;loss=14&amp;angle=45&amp;aspect=0&amp;outputformat=json&amp;raddatabase=PVGIS-SARAH3&amp;pvtechchoice=crystSi&amp;mountingplace=free&amp;usehorizon=1</v>
      </c>
    </row>
    <row r="2917">
      <c r="A2917" t="n">
        <v>45</v>
      </c>
      <c r="B2917" t="n">
        <v>180</v>
      </c>
      <c r="C2917" t="n">
        <v>4</v>
      </c>
      <c r="D2917" s="218" t="n">
        <v>149.96</v>
      </c>
      <c r="E2917" s="218" t="n">
        <v>5</v>
      </c>
      <c r="F2917" t="str">
        <v>https://re.jrc.ec.europa.eu/api/v5_3/PVcalc?lat=30.0444&amp;lon=31.2357&amp;peakpower=1&amp;loss=14&amp;angle=45&amp;aspect=0&amp;outputformat=json&amp;raddatabase=PVGIS-SARAH3&amp;pvtechchoice=crystSi&amp;mountingplace=free&amp;usehorizon=1</v>
      </c>
    </row>
    <row r="2918">
      <c r="A2918" t="n">
        <v>45</v>
      </c>
      <c r="B2918" t="n">
        <v>180</v>
      </c>
      <c r="C2918" t="n">
        <v>5</v>
      </c>
      <c r="D2918" s="218" t="n">
        <v>143.59</v>
      </c>
      <c r="E2918" s="218" t="n">
        <v>4.63</v>
      </c>
      <c r="F2918" t="str">
        <v>https://re.jrc.ec.europa.eu/api/v5_3/PVcalc?lat=30.0444&amp;lon=31.2357&amp;peakpower=1&amp;loss=14&amp;angle=45&amp;aspect=0&amp;outputformat=json&amp;raddatabase=PVGIS-SARAH3&amp;pvtechchoice=crystSi&amp;mountingplace=free&amp;usehorizon=1</v>
      </c>
    </row>
    <row r="2919">
      <c r="A2919" t="n">
        <v>45</v>
      </c>
      <c r="B2919" t="n">
        <v>180</v>
      </c>
      <c r="C2919" t="n">
        <v>6</v>
      </c>
      <c r="D2919" s="218" t="n">
        <v>135.06</v>
      </c>
      <c r="E2919" s="218" t="n">
        <v>4.5</v>
      </c>
      <c r="F2919" t="str">
        <v>https://re.jrc.ec.europa.eu/api/v5_3/PVcalc?lat=30.0444&amp;lon=31.2357&amp;peakpower=1&amp;loss=14&amp;angle=45&amp;aspect=0&amp;outputformat=json&amp;raddatabase=PVGIS-SARAH3&amp;pvtechchoice=crystSi&amp;mountingplace=free&amp;usehorizon=1</v>
      </c>
    </row>
    <row r="2920">
      <c r="A2920" t="n">
        <v>45</v>
      </c>
      <c r="B2920" t="n">
        <v>180</v>
      </c>
      <c r="C2920" t="n">
        <v>7</v>
      </c>
      <c r="D2920" s="218" t="n">
        <v>142.26</v>
      </c>
      <c r="E2920" s="218" t="n">
        <v>4.59</v>
      </c>
      <c r="F2920" t="str">
        <v>https://re.jrc.ec.europa.eu/api/v5_3/PVcalc?lat=30.0444&amp;lon=31.2357&amp;peakpower=1&amp;loss=14&amp;angle=45&amp;aspect=0&amp;outputformat=json&amp;raddatabase=PVGIS-SARAH3&amp;pvtechchoice=crystSi&amp;mountingplace=free&amp;usehorizon=1</v>
      </c>
    </row>
    <row r="2921">
      <c r="A2921" t="n">
        <v>45</v>
      </c>
      <c r="B2921" t="n">
        <v>180</v>
      </c>
      <c r="C2921" t="n">
        <v>8</v>
      </c>
      <c r="D2921" s="218" t="n">
        <v>151.67</v>
      </c>
      <c r="E2921" s="218" t="n">
        <v>4.89</v>
      </c>
      <c r="F2921" t="str">
        <v>https://re.jrc.ec.europa.eu/api/v5_3/PVcalc?lat=30.0444&amp;lon=31.2357&amp;peakpower=1&amp;loss=14&amp;angle=45&amp;aspect=0&amp;outputformat=json&amp;raddatabase=PVGIS-SARAH3&amp;pvtechchoice=crystSi&amp;mountingplace=free&amp;usehorizon=1</v>
      </c>
    </row>
    <row r="2922">
      <c r="A2922" t="n">
        <v>45</v>
      </c>
      <c r="B2922" t="n">
        <v>180</v>
      </c>
      <c r="C2922" t="n">
        <v>9</v>
      </c>
      <c r="D2922" s="218" t="n">
        <v>155.82</v>
      </c>
      <c r="E2922" s="218" t="n">
        <v>5.19</v>
      </c>
      <c r="F2922" t="str">
        <v>https://re.jrc.ec.europa.eu/api/v5_3/PVcalc?lat=30.0444&amp;lon=31.2357&amp;peakpower=1&amp;loss=14&amp;angle=45&amp;aspect=0&amp;outputformat=json&amp;raddatabase=PVGIS-SARAH3&amp;pvtechchoice=crystSi&amp;mountingplace=free&amp;usehorizon=1</v>
      </c>
    </row>
    <row r="2923">
      <c r="A2923" t="n">
        <v>45</v>
      </c>
      <c r="B2923" t="n">
        <v>180</v>
      </c>
      <c r="C2923" t="n">
        <v>10</v>
      </c>
      <c r="D2923" s="218" t="n">
        <v>158.17</v>
      </c>
      <c r="E2923" s="218" t="n">
        <v>5.1</v>
      </c>
      <c r="F2923" t="str">
        <v>https://re.jrc.ec.europa.eu/api/v5_3/PVcalc?lat=30.0444&amp;lon=31.2357&amp;peakpower=1&amp;loss=14&amp;angle=45&amp;aspect=0&amp;outputformat=json&amp;raddatabase=PVGIS-SARAH3&amp;pvtechchoice=crystSi&amp;mountingplace=free&amp;usehorizon=1</v>
      </c>
    </row>
    <row r="2924">
      <c r="A2924" t="n">
        <v>45</v>
      </c>
      <c r="B2924" t="n">
        <v>180</v>
      </c>
      <c r="C2924" t="n">
        <v>11</v>
      </c>
      <c r="D2924" s="218" t="n">
        <v>146.46</v>
      </c>
      <c r="E2924" s="218" t="n">
        <v>4.88</v>
      </c>
      <c r="F2924" t="str">
        <v>https://re.jrc.ec.europa.eu/api/v5_3/PVcalc?lat=30.0444&amp;lon=31.2357&amp;peakpower=1&amp;loss=14&amp;angle=45&amp;aspect=0&amp;outputformat=json&amp;raddatabase=PVGIS-SARAH3&amp;pvtechchoice=crystSi&amp;mountingplace=free&amp;usehorizon=1</v>
      </c>
    </row>
    <row r="2925">
      <c r="A2925" t="n">
        <v>45</v>
      </c>
      <c r="B2925" t="n">
        <v>180</v>
      </c>
      <c r="C2925" t="n">
        <v>12</v>
      </c>
      <c r="D2925" s="218" t="n">
        <v>142.09</v>
      </c>
      <c r="E2925" s="218" t="n">
        <v>4.58</v>
      </c>
      <c r="F2925" t="str">
        <v>https://re.jrc.ec.europa.eu/api/v5_3/PVcalc?lat=30.0444&amp;lon=31.2357&amp;peakpower=1&amp;loss=14&amp;angle=45&amp;aspect=0&amp;outputformat=json&amp;raddatabase=PVGIS-SARAH3&amp;pvtechchoice=crystSi&amp;mountingplace=free&amp;usehorizon=1</v>
      </c>
    </row>
    <row r="2926">
      <c r="A2926" t="n">
        <v>45</v>
      </c>
      <c r="B2926" t="n">
        <v>195</v>
      </c>
      <c r="C2926" t="n">
        <v>1</v>
      </c>
      <c r="D2926" s="218" t="n">
        <v>138.21</v>
      </c>
      <c r="E2926" s="218" t="n">
        <v>4.46</v>
      </c>
      <c r="F2926" t="str">
        <v>https://re.jrc.ec.europa.eu/api/v5_3/PVcalc?lat=30.0444&amp;lon=31.2357&amp;peakpower=1&amp;loss=14&amp;angle=45&amp;aspect=15&amp;outputformat=json&amp;raddatabase=PVGIS-SARAH3&amp;pvtechchoice=crystSi&amp;mountingplace=free&amp;usehorizon=1</v>
      </c>
    </row>
    <row r="2927">
      <c r="A2927" t="n">
        <v>45</v>
      </c>
      <c r="B2927" t="n">
        <v>195</v>
      </c>
      <c r="C2927" t="n">
        <v>2</v>
      </c>
      <c r="D2927" s="218" t="n">
        <v>131.75</v>
      </c>
      <c r="E2927" s="218" t="n">
        <v>4.71</v>
      </c>
      <c r="F2927" t="str">
        <v>https://re.jrc.ec.europa.eu/api/v5_3/PVcalc?lat=30.0444&amp;lon=31.2357&amp;peakpower=1&amp;loss=14&amp;angle=45&amp;aspect=15&amp;outputformat=json&amp;raddatabase=PVGIS-SARAH3&amp;pvtechchoice=crystSi&amp;mountingplace=free&amp;usehorizon=1</v>
      </c>
    </row>
    <row r="2928">
      <c r="A2928" t="n">
        <v>45</v>
      </c>
      <c r="B2928" t="n">
        <v>195</v>
      </c>
      <c r="C2928" t="n">
        <v>3</v>
      </c>
      <c r="D2928" s="218" t="n">
        <v>158.32</v>
      </c>
      <c r="E2928" s="218" t="n">
        <v>5.11</v>
      </c>
      <c r="F2928" t="str">
        <v>https://re.jrc.ec.europa.eu/api/v5_3/PVcalc?lat=30.0444&amp;lon=31.2357&amp;peakpower=1&amp;loss=14&amp;angle=45&amp;aspect=15&amp;outputformat=json&amp;raddatabase=PVGIS-SARAH3&amp;pvtechchoice=crystSi&amp;mountingplace=free&amp;usehorizon=1</v>
      </c>
    </row>
    <row r="2929">
      <c r="A2929" t="n">
        <v>45</v>
      </c>
      <c r="B2929" t="n">
        <v>195</v>
      </c>
      <c r="C2929" t="n">
        <v>4</v>
      </c>
      <c r="D2929" s="218" t="n">
        <v>150.55</v>
      </c>
      <c r="E2929" s="218" t="n">
        <v>5.02</v>
      </c>
      <c r="F2929" t="str">
        <v>https://re.jrc.ec.europa.eu/api/v5_3/PVcalc?lat=30.0444&amp;lon=31.2357&amp;peakpower=1&amp;loss=14&amp;angle=45&amp;aspect=15&amp;outputformat=json&amp;raddatabase=PVGIS-SARAH3&amp;pvtechchoice=crystSi&amp;mountingplace=free&amp;usehorizon=1</v>
      </c>
    </row>
    <row r="2930">
      <c r="A2930" t="n">
        <v>45</v>
      </c>
      <c r="B2930" t="n">
        <v>195</v>
      </c>
      <c r="C2930" t="n">
        <v>5</v>
      </c>
      <c r="D2930" s="218" t="n">
        <v>144.88</v>
      </c>
      <c r="E2930" s="218" t="n">
        <v>4.67</v>
      </c>
      <c r="F2930" t="str">
        <v>https://re.jrc.ec.europa.eu/api/v5_3/PVcalc?lat=30.0444&amp;lon=31.2357&amp;peakpower=1&amp;loss=14&amp;angle=45&amp;aspect=15&amp;outputformat=json&amp;raddatabase=PVGIS-SARAH3&amp;pvtechchoice=crystSi&amp;mountingplace=free&amp;usehorizon=1</v>
      </c>
    </row>
    <row r="2931">
      <c r="A2931" t="n">
        <v>45</v>
      </c>
      <c r="B2931" t="n">
        <v>195</v>
      </c>
      <c r="C2931" t="n">
        <v>6</v>
      </c>
      <c r="D2931" s="218" t="n">
        <v>137.02</v>
      </c>
      <c r="E2931" s="218" t="n">
        <v>4.57</v>
      </c>
      <c r="F2931" t="str">
        <v>https://re.jrc.ec.europa.eu/api/v5_3/PVcalc?lat=30.0444&amp;lon=31.2357&amp;peakpower=1&amp;loss=14&amp;angle=45&amp;aspect=15&amp;outputformat=json&amp;raddatabase=PVGIS-SARAH3&amp;pvtechchoice=crystSi&amp;mountingplace=free&amp;usehorizon=1</v>
      </c>
    </row>
    <row r="2932">
      <c r="A2932" t="n">
        <v>45</v>
      </c>
      <c r="B2932" t="n">
        <v>195</v>
      </c>
      <c r="C2932" t="n">
        <v>7</v>
      </c>
      <c r="D2932" s="218" t="n">
        <v>144.48</v>
      </c>
      <c r="E2932" s="218" t="n">
        <v>4.66</v>
      </c>
      <c r="F2932" t="str">
        <v>https://re.jrc.ec.europa.eu/api/v5_3/PVcalc?lat=30.0444&amp;lon=31.2357&amp;peakpower=1&amp;loss=14&amp;angle=45&amp;aspect=15&amp;outputformat=json&amp;raddatabase=PVGIS-SARAH3&amp;pvtechchoice=crystSi&amp;mountingplace=free&amp;usehorizon=1</v>
      </c>
    </row>
    <row r="2933">
      <c r="A2933" t="n">
        <v>45</v>
      </c>
      <c r="B2933" t="n">
        <v>195</v>
      </c>
      <c r="C2933" t="n">
        <v>8</v>
      </c>
      <c r="D2933" s="218" t="n">
        <v>153.29</v>
      </c>
      <c r="E2933" s="218" t="n">
        <v>4.94</v>
      </c>
      <c r="F2933" t="str">
        <v>https://re.jrc.ec.europa.eu/api/v5_3/PVcalc?lat=30.0444&amp;lon=31.2357&amp;peakpower=1&amp;loss=14&amp;angle=45&amp;aspect=15&amp;outputformat=json&amp;raddatabase=PVGIS-SARAH3&amp;pvtechchoice=crystSi&amp;mountingplace=free&amp;usehorizon=1</v>
      </c>
    </row>
    <row r="2934">
      <c r="A2934" t="n">
        <v>45</v>
      </c>
      <c r="B2934" t="n">
        <v>195</v>
      </c>
      <c r="C2934" t="n">
        <v>9</v>
      </c>
      <c r="D2934" s="218" t="n">
        <v>156.26</v>
      </c>
      <c r="E2934" s="218" t="n">
        <v>5.21</v>
      </c>
      <c r="F2934" t="str">
        <v>https://re.jrc.ec.europa.eu/api/v5_3/PVcalc?lat=30.0444&amp;lon=31.2357&amp;peakpower=1&amp;loss=14&amp;angle=45&amp;aspect=15&amp;outputformat=json&amp;raddatabase=PVGIS-SARAH3&amp;pvtechchoice=crystSi&amp;mountingplace=free&amp;usehorizon=1</v>
      </c>
    </row>
    <row r="2935">
      <c r="A2935" t="n">
        <v>45</v>
      </c>
      <c r="B2935" t="n">
        <v>195</v>
      </c>
      <c r="C2935" t="n">
        <v>10</v>
      </c>
      <c r="D2935" s="218" t="n">
        <v>156.32</v>
      </c>
      <c r="E2935" s="218" t="n">
        <v>5.04</v>
      </c>
      <c r="F2935" t="str">
        <v>https://re.jrc.ec.europa.eu/api/v5_3/PVcalc?lat=30.0444&amp;lon=31.2357&amp;peakpower=1&amp;loss=14&amp;angle=45&amp;aspect=15&amp;outputformat=json&amp;raddatabase=PVGIS-SARAH3&amp;pvtechchoice=crystSi&amp;mountingplace=free&amp;usehorizon=1</v>
      </c>
    </row>
    <row r="2936">
      <c r="A2936" t="n">
        <v>45</v>
      </c>
      <c r="B2936" t="n">
        <v>195</v>
      </c>
      <c r="C2936" t="n">
        <v>11</v>
      </c>
      <c r="D2936" s="218" t="n">
        <v>143.64</v>
      </c>
      <c r="E2936" s="218" t="n">
        <v>4.79</v>
      </c>
      <c r="F2936" t="str">
        <v>https://re.jrc.ec.europa.eu/api/v5_3/PVcalc?lat=30.0444&amp;lon=31.2357&amp;peakpower=1&amp;loss=14&amp;angle=45&amp;aspect=15&amp;outputformat=json&amp;raddatabase=PVGIS-SARAH3&amp;pvtechchoice=crystSi&amp;mountingplace=free&amp;usehorizon=1</v>
      </c>
    </row>
    <row r="2937">
      <c r="A2937" t="n">
        <v>45</v>
      </c>
      <c r="B2937" t="n">
        <v>195</v>
      </c>
      <c r="C2937" t="n">
        <v>12</v>
      </c>
      <c r="D2937" s="218" t="n">
        <v>138.95</v>
      </c>
      <c r="E2937" s="218" t="n">
        <v>4.48</v>
      </c>
      <c r="F2937" t="str">
        <v>https://re.jrc.ec.europa.eu/api/v5_3/PVcalc?lat=30.0444&amp;lon=31.2357&amp;peakpower=1&amp;loss=14&amp;angle=45&amp;aspect=15&amp;outputformat=json&amp;raddatabase=PVGIS-SARAH3&amp;pvtechchoice=crystSi&amp;mountingplace=free&amp;usehorizon=1</v>
      </c>
    </row>
    <row r="2938">
      <c r="A2938" t="n">
        <v>45</v>
      </c>
      <c r="B2938" t="n">
        <v>210</v>
      </c>
      <c r="C2938" t="n">
        <v>1</v>
      </c>
      <c r="D2938" s="218" t="n">
        <v>130.42</v>
      </c>
      <c r="E2938" s="218" t="n">
        <v>4.21</v>
      </c>
      <c r="F2938" t="str">
        <v>https://re.jrc.ec.europa.eu/api/v5_3/PVcalc?lat=30.0444&amp;lon=31.2357&amp;peakpower=1&amp;loss=14&amp;angle=45&amp;aspect=30&amp;outputformat=json&amp;raddatabase=PVGIS-SARAH3&amp;pvtechchoice=crystSi&amp;mountingplace=free&amp;usehorizon=1</v>
      </c>
    </row>
    <row r="2939">
      <c r="A2939" t="n">
        <v>45</v>
      </c>
      <c r="B2939" t="n">
        <v>210</v>
      </c>
      <c r="C2939" t="n">
        <v>2</v>
      </c>
      <c r="D2939" s="218" t="n">
        <v>125.69</v>
      </c>
      <c r="E2939" s="218" t="n">
        <v>4.49</v>
      </c>
      <c r="F2939" t="str">
        <v>https://re.jrc.ec.europa.eu/api/v5_3/PVcalc?lat=30.0444&amp;lon=31.2357&amp;peakpower=1&amp;loss=14&amp;angle=45&amp;aspect=30&amp;outputformat=json&amp;raddatabase=PVGIS-SARAH3&amp;pvtechchoice=crystSi&amp;mountingplace=free&amp;usehorizon=1</v>
      </c>
    </row>
    <row r="2940">
      <c r="A2940" t="n">
        <v>45</v>
      </c>
      <c r="B2940" t="n">
        <v>210</v>
      </c>
      <c r="C2940" t="n">
        <v>3</v>
      </c>
      <c r="D2940" s="218" t="n">
        <v>154.66</v>
      </c>
      <c r="E2940" s="218" t="n">
        <v>4.99</v>
      </c>
      <c r="F2940" t="str">
        <v>https://re.jrc.ec.europa.eu/api/v5_3/PVcalc?lat=30.0444&amp;lon=31.2357&amp;peakpower=1&amp;loss=14&amp;angle=45&amp;aspect=30&amp;outputformat=json&amp;raddatabase=PVGIS-SARAH3&amp;pvtechchoice=crystSi&amp;mountingplace=free&amp;usehorizon=1</v>
      </c>
    </row>
    <row r="2941">
      <c r="A2941" t="n">
        <v>45</v>
      </c>
      <c r="B2941" t="n">
        <v>210</v>
      </c>
      <c r="C2941" t="n">
        <v>4</v>
      </c>
      <c r="D2941" s="218" t="n">
        <v>150.17</v>
      </c>
      <c r="E2941" s="218" t="n">
        <v>5.01</v>
      </c>
      <c r="F2941" t="str">
        <v>https://re.jrc.ec.europa.eu/api/v5_3/PVcalc?lat=30.0444&amp;lon=31.2357&amp;peakpower=1&amp;loss=14&amp;angle=45&amp;aspect=30&amp;outputformat=json&amp;raddatabase=PVGIS-SARAH3&amp;pvtechchoice=crystSi&amp;mountingplace=free&amp;usehorizon=1</v>
      </c>
    </row>
    <row r="2942">
      <c r="A2942" t="n">
        <v>45</v>
      </c>
      <c r="B2942" t="n">
        <v>210</v>
      </c>
      <c r="C2942" t="n">
        <v>5</v>
      </c>
      <c r="D2942" s="218" t="n">
        <v>147.55</v>
      </c>
      <c r="E2942" s="218" t="n">
        <v>4.76</v>
      </c>
      <c r="F2942" t="str">
        <v>https://re.jrc.ec.europa.eu/api/v5_3/PVcalc?lat=30.0444&amp;lon=31.2357&amp;peakpower=1&amp;loss=14&amp;angle=45&amp;aspect=30&amp;outputformat=json&amp;raddatabase=PVGIS-SARAH3&amp;pvtechchoice=crystSi&amp;mountingplace=free&amp;usehorizon=1</v>
      </c>
    </row>
    <row r="2943">
      <c r="A2943" t="n">
        <v>45</v>
      </c>
      <c r="B2943" t="n">
        <v>210</v>
      </c>
      <c r="C2943" t="n">
        <v>6</v>
      </c>
      <c r="D2943" s="218" t="n">
        <v>142.08</v>
      </c>
      <c r="E2943" s="218" t="n">
        <v>4.74</v>
      </c>
      <c r="F2943" t="str">
        <v>https://re.jrc.ec.europa.eu/api/v5_3/PVcalc?lat=30.0444&amp;lon=31.2357&amp;peakpower=1&amp;loss=14&amp;angle=45&amp;aspect=30&amp;outputformat=json&amp;raddatabase=PVGIS-SARAH3&amp;pvtechchoice=crystSi&amp;mountingplace=free&amp;usehorizon=1</v>
      </c>
    </row>
    <row r="2944">
      <c r="A2944" t="n">
        <v>45</v>
      </c>
      <c r="B2944" t="n">
        <v>210</v>
      </c>
      <c r="C2944" t="n">
        <v>7</v>
      </c>
      <c r="D2944" s="218" t="n">
        <v>149.24</v>
      </c>
      <c r="E2944" s="218" t="n">
        <v>4.81</v>
      </c>
      <c r="F2944" t="str">
        <v>https://re.jrc.ec.europa.eu/api/v5_3/PVcalc?lat=30.0444&amp;lon=31.2357&amp;peakpower=1&amp;loss=14&amp;angle=45&amp;aspect=30&amp;outputformat=json&amp;raddatabase=PVGIS-SARAH3&amp;pvtechchoice=crystSi&amp;mountingplace=free&amp;usehorizon=1</v>
      </c>
    </row>
    <row r="2945">
      <c r="A2945" t="n">
        <v>45</v>
      </c>
      <c r="B2945" t="n">
        <v>210</v>
      </c>
      <c r="C2945" t="n">
        <v>8</v>
      </c>
      <c r="D2945" s="218" t="n">
        <v>155.21</v>
      </c>
      <c r="E2945" s="218" t="n">
        <v>5.01</v>
      </c>
      <c r="F2945" t="str">
        <v>https://re.jrc.ec.europa.eu/api/v5_3/PVcalc?lat=30.0444&amp;lon=31.2357&amp;peakpower=1&amp;loss=14&amp;angle=45&amp;aspect=30&amp;outputformat=json&amp;raddatabase=PVGIS-SARAH3&amp;pvtechchoice=crystSi&amp;mountingplace=free&amp;usehorizon=1</v>
      </c>
    </row>
    <row r="2946">
      <c r="A2946" t="n">
        <v>45</v>
      </c>
      <c r="B2946" t="n">
        <v>210</v>
      </c>
      <c r="C2946" t="n">
        <v>9</v>
      </c>
      <c r="D2946" s="218" t="n">
        <v>154.24</v>
      </c>
      <c r="E2946" s="218" t="n">
        <v>5.14</v>
      </c>
      <c r="F2946" t="str">
        <v>https://re.jrc.ec.europa.eu/api/v5_3/PVcalc?lat=30.0444&amp;lon=31.2357&amp;peakpower=1&amp;loss=14&amp;angle=45&amp;aspect=30&amp;outputformat=json&amp;raddatabase=PVGIS-SARAH3&amp;pvtechchoice=crystSi&amp;mountingplace=free&amp;usehorizon=1</v>
      </c>
    </row>
    <row r="2947">
      <c r="A2947" t="n">
        <v>45</v>
      </c>
      <c r="B2947" t="n">
        <v>210</v>
      </c>
      <c r="C2947" t="n">
        <v>10</v>
      </c>
      <c r="D2947" s="218" t="n">
        <v>150.22</v>
      </c>
      <c r="E2947" s="218" t="n">
        <v>4.85</v>
      </c>
      <c r="F2947" t="str">
        <v>https://re.jrc.ec.europa.eu/api/v5_3/PVcalc?lat=30.0444&amp;lon=31.2357&amp;peakpower=1&amp;loss=14&amp;angle=45&amp;aspect=30&amp;outputformat=json&amp;raddatabase=PVGIS-SARAH3&amp;pvtechchoice=crystSi&amp;mountingplace=free&amp;usehorizon=1</v>
      </c>
    </row>
    <row r="2948">
      <c r="A2948" t="n">
        <v>45</v>
      </c>
      <c r="B2948" t="n">
        <v>210</v>
      </c>
      <c r="C2948" t="n">
        <v>11</v>
      </c>
      <c r="D2948" s="218" t="n">
        <v>135.97</v>
      </c>
      <c r="E2948" s="218" t="n">
        <v>4.53</v>
      </c>
      <c r="F2948" t="str">
        <v>https://re.jrc.ec.europa.eu/api/v5_3/PVcalc?lat=30.0444&amp;lon=31.2357&amp;peakpower=1&amp;loss=14&amp;angle=45&amp;aspect=30&amp;outputformat=json&amp;raddatabase=PVGIS-SARAH3&amp;pvtechchoice=crystSi&amp;mountingplace=free&amp;usehorizon=1</v>
      </c>
    </row>
    <row r="2949">
      <c r="A2949" t="n">
        <v>45</v>
      </c>
      <c r="B2949" t="n">
        <v>210</v>
      </c>
      <c r="C2949" t="n">
        <v>12</v>
      </c>
      <c r="D2949" s="218" t="n">
        <v>130.78</v>
      </c>
      <c r="E2949" s="218" t="n">
        <v>4.22</v>
      </c>
      <c r="F2949" t="str">
        <v>https://re.jrc.ec.europa.eu/api/v5_3/PVcalc?lat=30.0444&amp;lon=31.2357&amp;peakpower=1&amp;loss=14&amp;angle=45&amp;aspect=30&amp;outputformat=json&amp;raddatabase=PVGIS-SARAH3&amp;pvtechchoice=crystSi&amp;mountingplace=free&amp;usehorizon=1</v>
      </c>
    </row>
    <row r="2950">
      <c r="A2950" t="n">
        <v>45</v>
      </c>
      <c r="B2950" t="n">
        <v>225</v>
      </c>
      <c r="C2950" t="n">
        <v>1</v>
      </c>
      <c r="D2950" s="218" t="n">
        <v>118.73</v>
      </c>
      <c r="E2950" s="218" t="n">
        <v>3.83</v>
      </c>
      <c r="F2950" t="str">
        <v>https://re.jrc.ec.europa.eu/api/v5_3/PVcalc?lat=30.0444&amp;lon=31.2357&amp;peakpower=1&amp;loss=14&amp;angle=45&amp;aspect=45&amp;outputformat=json&amp;raddatabase=PVGIS-SARAH3&amp;pvtechchoice=crystSi&amp;mountingplace=free&amp;usehorizon=1</v>
      </c>
    </row>
    <row r="2951">
      <c r="A2951" t="n">
        <v>45</v>
      </c>
      <c r="B2951" t="n">
        <v>225</v>
      </c>
      <c r="C2951" t="n">
        <v>2</v>
      </c>
      <c r="D2951" s="218" t="n">
        <v>116.99</v>
      </c>
      <c r="E2951" s="218" t="n">
        <v>4.18</v>
      </c>
      <c r="F2951" t="str">
        <v>https://re.jrc.ec.europa.eu/api/v5_3/PVcalc?lat=30.0444&amp;lon=31.2357&amp;peakpower=1&amp;loss=14&amp;angle=45&amp;aspect=45&amp;outputformat=json&amp;raddatabase=PVGIS-SARAH3&amp;pvtechchoice=crystSi&amp;mountingplace=free&amp;usehorizon=1</v>
      </c>
    </row>
    <row r="2952">
      <c r="A2952" t="n">
        <v>45</v>
      </c>
      <c r="B2952" t="n">
        <v>225</v>
      </c>
      <c r="C2952" t="n">
        <v>3</v>
      </c>
      <c r="D2952" s="218" t="n">
        <v>148.53</v>
      </c>
      <c r="E2952" s="218" t="n">
        <v>4.79</v>
      </c>
      <c r="F2952" t="str">
        <v>https://re.jrc.ec.europa.eu/api/v5_3/PVcalc?lat=30.0444&amp;lon=31.2357&amp;peakpower=1&amp;loss=14&amp;angle=45&amp;aspect=45&amp;outputformat=json&amp;raddatabase=PVGIS-SARAH3&amp;pvtechchoice=crystSi&amp;mountingplace=free&amp;usehorizon=1</v>
      </c>
    </row>
    <row r="2953">
      <c r="A2953" t="n">
        <v>45</v>
      </c>
      <c r="B2953" t="n">
        <v>225</v>
      </c>
      <c r="C2953" t="n">
        <v>4</v>
      </c>
      <c r="D2953" s="218" t="n">
        <v>148.12</v>
      </c>
      <c r="E2953" s="218" t="n">
        <v>4.94</v>
      </c>
      <c r="F2953" t="str">
        <v>https://re.jrc.ec.europa.eu/api/v5_3/PVcalc?lat=30.0444&amp;lon=31.2357&amp;peakpower=1&amp;loss=14&amp;angle=45&amp;aspect=45&amp;outputformat=json&amp;raddatabase=PVGIS-SARAH3&amp;pvtechchoice=crystSi&amp;mountingplace=free&amp;usehorizon=1</v>
      </c>
    </row>
    <row r="2954">
      <c r="A2954" t="n">
        <v>45</v>
      </c>
      <c r="B2954" t="n">
        <v>225</v>
      </c>
      <c r="C2954" t="n">
        <v>5</v>
      </c>
      <c r="D2954" s="218" t="n">
        <v>149.39</v>
      </c>
      <c r="E2954" s="218" t="n">
        <v>4.82</v>
      </c>
      <c r="F2954" t="str">
        <v>https://re.jrc.ec.europa.eu/api/v5_3/PVcalc?lat=30.0444&amp;lon=31.2357&amp;peakpower=1&amp;loss=14&amp;angle=45&amp;aspect=45&amp;outputformat=json&amp;raddatabase=PVGIS-SARAH3&amp;pvtechchoice=crystSi&amp;mountingplace=free&amp;usehorizon=1</v>
      </c>
    </row>
    <row r="2955">
      <c r="A2955" t="n">
        <v>45</v>
      </c>
      <c r="B2955" t="n">
        <v>225</v>
      </c>
      <c r="C2955" t="n">
        <v>6</v>
      </c>
      <c r="D2955" s="218" t="n">
        <v>146.93</v>
      </c>
      <c r="E2955" s="218" t="n">
        <v>4.9</v>
      </c>
      <c r="F2955" t="str">
        <v>https://re.jrc.ec.europa.eu/api/v5_3/PVcalc?lat=30.0444&amp;lon=31.2357&amp;peakpower=1&amp;loss=14&amp;angle=45&amp;aspect=45&amp;outputformat=json&amp;raddatabase=PVGIS-SARAH3&amp;pvtechchoice=crystSi&amp;mountingplace=free&amp;usehorizon=1</v>
      </c>
    </row>
    <row r="2956">
      <c r="A2956" t="n">
        <v>45</v>
      </c>
      <c r="B2956" t="n">
        <v>225</v>
      </c>
      <c r="C2956" t="n">
        <v>7</v>
      </c>
      <c r="D2956" s="218" t="n">
        <v>153.59</v>
      </c>
      <c r="E2956" s="218" t="n">
        <v>4.95</v>
      </c>
      <c r="F2956" t="str">
        <v>https://re.jrc.ec.europa.eu/api/v5_3/PVcalc?lat=30.0444&amp;lon=31.2357&amp;peakpower=1&amp;loss=14&amp;angle=45&amp;aspect=45&amp;outputformat=json&amp;raddatabase=PVGIS-SARAH3&amp;pvtechchoice=crystSi&amp;mountingplace=free&amp;usehorizon=1</v>
      </c>
    </row>
    <row r="2957">
      <c r="A2957" t="n">
        <v>45</v>
      </c>
      <c r="B2957" t="n">
        <v>225</v>
      </c>
      <c r="C2957" t="n">
        <v>8</v>
      </c>
      <c r="D2957" s="218" t="n">
        <v>155.65</v>
      </c>
      <c r="E2957" s="218" t="n">
        <v>5.02</v>
      </c>
      <c r="F2957" t="str">
        <v>https://re.jrc.ec.europa.eu/api/v5_3/PVcalc?lat=30.0444&amp;lon=31.2357&amp;peakpower=1&amp;loss=14&amp;angle=45&amp;aspect=45&amp;outputformat=json&amp;raddatabase=PVGIS-SARAH3&amp;pvtechchoice=crystSi&amp;mountingplace=free&amp;usehorizon=1</v>
      </c>
    </row>
    <row r="2958">
      <c r="A2958" t="n">
        <v>45</v>
      </c>
      <c r="B2958" t="n">
        <v>225</v>
      </c>
      <c r="C2958" t="n">
        <v>9</v>
      </c>
      <c r="D2958" s="218" t="n">
        <v>150.08</v>
      </c>
      <c r="E2958" s="218" t="n">
        <v>5</v>
      </c>
      <c r="F2958" t="str">
        <v>https://re.jrc.ec.europa.eu/api/v5_3/PVcalc?lat=30.0444&amp;lon=31.2357&amp;peakpower=1&amp;loss=14&amp;angle=45&amp;aspect=45&amp;outputformat=json&amp;raddatabase=PVGIS-SARAH3&amp;pvtechchoice=crystSi&amp;mountingplace=free&amp;usehorizon=1</v>
      </c>
    </row>
    <row r="2959">
      <c r="A2959" t="n">
        <v>45</v>
      </c>
      <c r="B2959" t="n">
        <v>225</v>
      </c>
      <c r="C2959" t="n">
        <v>10</v>
      </c>
      <c r="D2959" s="218" t="n">
        <v>141.76</v>
      </c>
      <c r="E2959" s="218" t="n">
        <v>4.57</v>
      </c>
      <c r="F2959" t="str">
        <v>https://re.jrc.ec.europa.eu/api/v5_3/PVcalc?lat=30.0444&amp;lon=31.2357&amp;peakpower=1&amp;loss=14&amp;angle=45&amp;aspect=45&amp;outputformat=json&amp;raddatabase=PVGIS-SARAH3&amp;pvtechchoice=crystSi&amp;mountingplace=free&amp;usehorizon=1</v>
      </c>
    </row>
    <row r="2960">
      <c r="A2960" t="n">
        <v>45</v>
      </c>
      <c r="B2960" t="n">
        <v>225</v>
      </c>
      <c r="C2960" t="n">
        <v>11</v>
      </c>
      <c r="D2960" s="218" t="n">
        <v>125.05</v>
      </c>
      <c r="E2960" s="218" t="n">
        <v>4.17</v>
      </c>
      <c r="F2960" t="str">
        <v>https://re.jrc.ec.europa.eu/api/v5_3/PVcalc?lat=30.0444&amp;lon=31.2357&amp;peakpower=1&amp;loss=14&amp;angle=45&amp;aspect=45&amp;outputformat=json&amp;raddatabase=PVGIS-SARAH3&amp;pvtechchoice=crystSi&amp;mountingplace=free&amp;usehorizon=1</v>
      </c>
    </row>
    <row r="2961">
      <c r="A2961" t="n">
        <v>45</v>
      </c>
      <c r="B2961" t="n">
        <v>225</v>
      </c>
      <c r="C2961" t="n">
        <v>12</v>
      </c>
      <c r="D2961" s="218" t="n">
        <v>118.65</v>
      </c>
      <c r="E2961" s="218" t="n">
        <v>3.83</v>
      </c>
      <c r="F2961" t="str">
        <v>https://re.jrc.ec.europa.eu/api/v5_3/PVcalc?lat=30.0444&amp;lon=31.2357&amp;peakpower=1&amp;loss=14&amp;angle=45&amp;aspect=45&amp;outputformat=json&amp;raddatabase=PVGIS-SARAH3&amp;pvtechchoice=crystSi&amp;mountingplace=free&amp;usehorizon=1</v>
      </c>
    </row>
    <row r="2962">
      <c r="A2962" t="n">
        <v>45</v>
      </c>
      <c r="B2962" t="n">
        <v>240</v>
      </c>
      <c r="C2962" t="n">
        <v>1</v>
      </c>
      <c r="D2962" s="218" t="n">
        <v>105.38</v>
      </c>
      <c r="E2962" s="218" t="n">
        <v>3.4</v>
      </c>
      <c r="F2962" t="str">
        <v>https://re.jrc.ec.europa.eu/api/v5_3/PVcalc?lat=30.0444&amp;lon=31.2357&amp;peakpower=1&amp;loss=14&amp;angle=45&amp;aspect=60&amp;outputformat=json&amp;raddatabase=PVGIS-SARAH3&amp;pvtechchoice=crystSi&amp;mountingplace=free&amp;usehorizon=1</v>
      </c>
    </row>
    <row r="2963">
      <c r="A2963" t="n">
        <v>45</v>
      </c>
      <c r="B2963" t="n">
        <v>240</v>
      </c>
      <c r="C2963" t="n">
        <v>2</v>
      </c>
      <c r="D2963" s="218" t="n">
        <v>107.18</v>
      </c>
      <c r="E2963" s="218" t="n">
        <v>3.83</v>
      </c>
      <c r="F2963" t="str">
        <v>https://re.jrc.ec.europa.eu/api/v5_3/PVcalc?lat=30.0444&amp;lon=31.2357&amp;peakpower=1&amp;loss=14&amp;angle=45&amp;aspect=60&amp;outputformat=json&amp;raddatabase=PVGIS-SARAH3&amp;pvtechchoice=crystSi&amp;mountingplace=free&amp;usehorizon=1</v>
      </c>
    </row>
    <row r="2964">
      <c r="A2964" t="n">
        <v>45</v>
      </c>
      <c r="B2964" t="n">
        <v>240</v>
      </c>
      <c r="C2964" t="n">
        <v>3</v>
      </c>
      <c r="D2964" s="218" t="n">
        <v>141.48</v>
      </c>
      <c r="E2964" s="218" t="n">
        <v>4.56</v>
      </c>
      <c r="F2964" t="str">
        <v>https://re.jrc.ec.europa.eu/api/v5_3/PVcalc?lat=30.0444&amp;lon=31.2357&amp;peakpower=1&amp;loss=14&amp;angle=45&amp;aspect=60&amp;outputformat=json&amp;raddatabase=PVGIS-SARAH3&amp;pvtechchoice=crystSi&amp;mountingplace=free&amp;usehorizon=1</v>
      </c>
    </row>
    <row r="2965">
      <c r="A2965" t="n">
        <v>45</v>
      </c>
      <c r="B2965" t="n">
        <v>240</v>
      </c>
      <c r="C2965" t="n">
        <v>4</v>
      </c>
      <c r="D2965" s="218" t="n">
        <v>145.79</v>
      </c>
      <c r="E2965" s="218" t="n">
        <v>4.86</v>
      </c>
      <c r="F2965" t="str">
        <v>https://re.jrc.ec.europa.eu/api/v5_3/PVcalc?lat=30.0444&amp;lon=31.2357&amp;peakpower=1&amp;loss=14&amp;angle=45&amp;aspect=60&amp;outputformat=json&amp;raddatabase=PVGIS-SARAH3&amp;pvtechchoice=crystSi&amp;mountingplace=free&amp;usehorizon=1</v>
      </c>
    </row>
    <row r="2966">
      <c r="A2966" t="n">
        <v>45</v>
      </c>
      <c r="B2966" t="n">
        <v>240</v>
      </c>
      <c r="C2966" t="n">
        <v>5</v>
      </c>
      <c r="D2966" s="218" t="n">
        <v>151.45</v>
      </c>
      <c r="E2966" s="218" t="n">
        <v>4.89</v>
      </c>
      <c r="F2966" t="str">
        <v>https://re.jrc.ec.europa.eu/api/v5_3/PVcalc?lat=30.0444&amp;lon=31.2357&amp;peakpower=1&amp;loss=14&amp;angle=45&amp;aspect=60&amp;outputformat=json&amp;raddatabase=PVGIS-SARAH3&amp;pvtechchoice=crystSi&amp;mountingplace=free&amp;usehorizon=1</v>
      </c>
    </row>
    <row r="2967">
      <c r="A2967" t="n">
        <v>45</v>
      </c>
      <c r="B2967" t="n">
        <v>240</v>
      </c>
      <c r="C2967" t="n">
        <v>6</v>
      </c>
      <c r="D2967" s="218" t="n">
        <v>152.03</v>
      </c>
      <c r="E2967" s="218" t="n">
        <v>5.07</v>
      </c>
      <c r="F2967" t="str">
        <v>https://re.jrc.ec.europa.eu/api/v5_3/PVcalc?lat=30.0444&amp;lon=31.2357&amp;peakpower=1&amp;loss=14&amp;angle=45&amp;aspect=60&amp;outputformat=json&amp;raddatabase=PVGIS-SARAH3&amp;pvtechchoice=crystSi&amp;mountingplace=free&amp;usehorizon=1</v>
      </c>
    </row>
    <row r="2968">
      <c r="A2968" t="n">
        <v>45</v>
      </c>
      <c r="B2968" t="n">
        <v>240</v>
      </c>
      <c r="C2968" t="n">
        <v>7</v>
      </c>
      <c r="D2968" s="218" t="n">
        <v>157.93</v>
      </c>
      <c r="E2968" s="218" t="n">
        <v>5.09</v>
      </c>
      <c r="F2968" t="str">
        <v>https://re.jrc.ec.europa.eu/api/v5_3/PVcalc?lat=30.0444&amp;lon=31.2357&amp;peakpower=1&amp;loss=14&amp;angle=45&amp;aspect=60&amp;outputformat=json&amp;raddatabase=PVGIS-SARAH3&amp;pvtechchoice=crystSi&amp;mountingplace=free&amp;usehorizon=1</v>
      </c>
    </row>
    <row r="2969">
      <c r="A2969" t="n">
        <v>45</v>
      </c>
      <c r="B2969" t="n">
        <v>240</v>
      </c>
      <c r="C2969" t="n">
        <v>8</v>
      </c>
      <c r="D2969" s="218" t="n">
        <v>155.76</v>
      </c>
      <c r="E2969" s="218" t="n">
        <v>5.02</v>
      </c>
      <c r="F2969" t="str">
        <v>https://re.jrc.ec.europa.eu/api/v5_3/PVcalc?lat=30.0444&amp;lon=31.2357&amp;peakpower=1&amp;loss=14&amp;angle=45&amp;aspect=60&amp;outputformat=json&amp;raddatabase=PVGIS-SARAH3&amp;pvtechchoice=crystSi&amp;mountingplace=free&amp;usehorizon=1</v>
      </c>
    </row>
    <row r="2970">
      <c r="A2970" t="n">
        <v>45</v>
      </c>
      <c r="B2970" t="n">
        <v>240</v>
      </c>
      <c r="C2970" t="n">
        <v>9</v>
      </c>
      <c r="D2970" s="218" t="n">
        <v>144.91</v>
      </c>
      <c r="E2970" s="218" t="n">
        <v>4.83</v>
      </c>
      <c r="F2970" t="str">
        <v>https://re.jrc.ec.europa.eu/api/v5_3/PVcalc?lat=30.0444&amp;lon=31.2357&amp;peakpower=1&amp;loss=14&amp;angle=45&amp;aspect=60&amp;outputformat=json&amp;raddatabase=PVGIS-SARAH3&amp;pvtechchoice=crystSi&amp;mountingplace=free&amp;usehorizon=1</v>
      </c>
    </row>
    <row r="2971">
      <c r="A2971" t="n">
        <v>45</v>
      </c>
      <c r="B2971" t="n">
        <v>240</v>
      </c>
      <c r="C2971" t="n">
        <v>10</v>
      </c>
      <c r="D2971" s="218" t="n">
        <v>131.56</v>
      </c>
      <c r="E2971" s="218" t="n">
        <v>4.24</v>
      </c>
      <c r="F2971" t="str">
        <v>https://re.jrc.ec.europa.eu/api/v5_3/PVcalc?lat=30.0444&amp;lon=31.2357&amp;peakpower=1&amp;loss=14&amp;angle=45&amp;aspect=60&amp;outputformat=json&amp;raddatabase=PVGIS-SARAH3&amp;pvtechchoice=crystSi&amp;mountingplace=free&amp;usehorizon=1</v>
      </c>
    </row>
    <row r="2972">
      <c r="A2972" t="n">
        <v>45</v>
      </c>
      <c r="B2972" t="n">
        <v>240</v>
      </c>
      <c r="C2972" t="n">
        <v>11</v>
      </c>
      <c r="D2972" s="218" t="n">
        <v>112.15</v>
      </c>
      <c r="E2972" s="218" t="n">
        <v>3.74</v>
      </c>
      <c r="F2972" t="str">
        <v>https://re.jrc.ec.europa.eu/api/v5_3/PVcalc?lat=30.0444&amp;lon=31.2357&amp;peakpower=1&amp;loss=14&amp;angle=45&amp;aspect=60&amp;outputformat=json&amp;raddatabase=PVGIS-SARAH3&amp;pvtechchoice=crystSi&amp;mountingplace=free&amp;usehorizon=1</v>
      </c>
    </row>
    <row r="2973">
      <c r="A2973" t="n">
        <v>45</v>
      </c>
      <c r="B2973" t="n">
        <v>240</v>
      </c>
      <c r="C2973" t="n">
        <v>12</v>
      </c>
      <c r="D2973" s="218" t="n">
        <v>104.44</v>
      </c>
      <c r="E2973" s="218" t="n">
        <v>3.37</v>
      </c>
      <c r="F2973" t="str">
        <v>https://re.jrc.ec.europa.eu/api/v5_3/PVcalc?lat=30.0444&amp;lon=31.2357&amp;peakpower=1&amp;loss=14&amp;angle=45&amp;aspect=60&amp;outputformat=json&amp;raddatabase=PVGIS-SARAH3&amp;pvtechchoice=crystSi&amp;mountingplace=free&amp;usehorizon=1</v>
      </c>
    </row>
    <row r="2974">
      <c r="A2974" t="n">
        <v>45</v>
      </c>
      <c r="B2974" t="n">
        <v>255</v>
      </c>
      <c r="C2974" t="n">
        <v>1</v>
      </c>
      <c r="D2974" s="218" t="n">
        <v>91.09</v>
      </c>
      <c r="E2974" s="218" t="n">
        <v>2.94</v>
      </c>
      <c r="F2974" t="str">
        <v>https://re.jrc.ec.europa.eu/api/v5_3/PVcalc?lat=30.0444&amp;lon=31.2357&amp;peakpower=1&amp;loss=14&amp;angle=45&amp;aspect=75&amp;outputformat=json&amp;raddatabase=PVGIS-SARAH3&amp;pvtechchoice=crystSi&amp;mountingplace=free&amp;usehorizon=1</v>
      </c>
    </row>
    <row r="2975">
      <c r="A2975" t="n">
        <v>45</v>
      </c>
      <c r="B2975" t="n">
        <v>255</v>
      </c>
      <c r="C2975" t="n">
        <v>2</v>
      </c>
      <c r="D2975" s="218" t="n">
        <v>96.51</v>
      </c>
      <c r="E2975" s="218" t="n">
        <v>3.45</v>
      </c>
      <c r="F2975" t="str">
        <v>https://re.jrc.ec.europa.eu/api/v5_3/PVcalc?lat=30.0444&amp;lon=31.2357&amp;peakpower=1&amp;loss=14&amp;angle=45&amp;aspect=75&amp;outputformat=json&amp;raddatabase=PVGIS-SARAH3&amp;pvtechchoice=crystSi&amp;mountingplace=free&amp;usehorizon=1</v>
      </c>
    </row>
    <row r="2976">
      <c r="A2976" t="n">
        <v>45</v>
      </c>
      <c r="B2976" t="n">
        <v>255</v>
      </c>
      <c r="C2976" t="n">
        <v>3</v>
      </c>
      <c r="D2976" s="218" t="n">
        <v>132.22</v>
      </c>
      <c r="E2976" s="218" t="n">
        <v>4.27</v>
      </c>
      <c r="F2976" t="str">
        <v>https://re.jrc.ec.europa.eu/api/v5_3/PVcalc?lat=30.0444&amp;lon=31.2357&amp;peakpower=1&amp;loss=14&amp;angle=45&amp;aspect=75&amp;outputformat=json&amp;raddatabase=PVGIS-SARAH3&amp;pvtechchoice=crystSi&amp;mountingplace=free&amp;usehorizon=1</v>
      </c>
    </row>
    <row r="2977">
      <c r="A2977" t="n">
        <v>45</v>
      </c>
      <c r="B2977" t="n">
        <v>255</v>
      </c>
      <c r="C2977" t="n">
        <v>4</v>
      </c>
      <c r="D2977" s="218" t="n">
        <v>141.27</v>
      </c>
      <c r="E2977" s="218" t="n">
        <v>4.71</v>
      </c>
      <c r="F2977" t="str">
        <v>https://re.jrc.ec.europa.eu/api/v5_3/PVcalc?lat=30.0444&amp;lon=31.2357&amp;peakpower=1&amp;loss=14&amp;angle=45&amp;aspect=75&amp;outputformat=json&amp;raddatabase=PVGIS-SARAH3&amp;pvtechchoice=crystSi&amp;mountingplace=free&amp;usehorizon=1</v>
      </c>
    </row>
    <row r="2978">
      <c r="A2978" t="n">
        <v>45</v>
      </c>
      <c r="B2978" t="n">
        <v>255</v>
      </c>
      <c r="C2978" t="n">
        <v>5</v>
      </c>
      <c r="D2978" s="218" t="n">
        <v>151.4</v>
      </c>
      <c r="E2978" s="218" t="n">
        <v>4.88</v>
      </c>
      <c r="F2978" t="str">
        <v>https://re.jrc.ec.europa.eu/api/v5_3/PVcalc?lat=30.0444&amp;lon=31.2357&amp;peakpower=1&amp;loss=14&amp;angle=45&amp;aspect=75&amp;outputformat=json&amp;raddatabase=PVGIS-SARAH3&amp;pvtechchoice=crystSi&amp;mountingplace=free&amp;usehorizon=1</v>
      </c>
    </row>
    <row r="2979">
      <c r="A2979" t="n">
        <v>45</v>
      </c>
      <c r="B2979" t="n">
        <v>255</v>
      </c>
      <c r="C2979" t="n">
        <v>6</v>
      </c>
      <c r="D2979" s="218" t="n">
        <v>154.8</v>
      </c>
      <c r="E2979" s="218" t="n">
        <v>5.16</v>
      </c>
      <c r="F2979" t="str">
        <v>https://re.jrc.ec.europa.eu/api/v5_3/PVcalc?lat=30.0444&amp;lon=31.2357&amp;peakpower=1&amp;loss=14&amp;angle=45&amp;aspect=75&amp;outputformat=json&amp;raddatabase=PVGIS-SARAH3&amp;pvtechchoice=crystSi&amp;mountingplace=free&amp;usehorizon=1</v>
      </c>
    </row>
    <row r="2980">
      <c r="A2980" t="n">
        <v>45</v>
      </c>
      <c r="B2980" t="n">
        <v>255</v>
      </c>
      <c r="C2980" t="n">
        <v>7</v>
      </c>
      <c r="D2980" s="218" t="n">
        <v>159.74</v>
      </c>
      <c r="E2980" s="218" t="n">
        <v>5.15</v>
      </c>
      <c r="F2980" t="str">
        <v>https://re.jrc.ec.europa.eu/api/v5_3/PVcalc?lat=30.0444&amp;lon=31.2357&amp;peakpower=1&amp;loss=14&amp;angle=45&amp;aspect=75&amp;outputformat=json&amp;raddatabase=PVGIS-SARAH3&amp;pvtechchoice=crystSi&amp;mountingplace=free&amp;usehorizon=1</v>
      </c>
    </row>
    <row r="2981">
      <c r="A2981" t="n">
        <v>45</v>
      </c>
      <c r="B2981" t="n">
        <v>255</v>
      </c>
      <c r="C2981" t="n">
        <v>8</v>
      </c>
      <c r="D2981" s="218" t="n">
        <v>153.25</v>
      </c>
      <c r="E2981" s="218" t="n">
        <v>4.94</v>
      </c>
      <c r="F2981" t="str">
        <v>https://re.jrc.ec.europa.eu/api/v5_3/PVcalc?lat=30.0444&amp;lon=31.2357&amp;peakpower=1&amp;loss=14&amp;angle=45&amp;aspect=75&amp;outputformat=json&amp;raddatabase=PVGIS-SARAH3&amp;pvtechchoice=crystSi&amp;mountingplace=free&amp;usehorizon=1</v>
      </c>
    </row>
    <row r="2982">
      <c r="A2982" t="n">
        <v>45</v>
      </c>
      <c r="B2982" t="n">
        <v>255</v>
      </c>
      <c r="C2982" t="n">
        <v>9</v>
      </c>
      <c r="D2982" s="218" t="n">
        <v>137.34</v>
      </c>
      <c r="E2982" s="218" t="n">
        <v>4.58</v>
      </c>
      <c r="F2982" t="str">
        <v>https://re.jrc.ec.europa.eu/api/v5_3/PVcalc?lat=30.0444&amp;lon=31.2357&amp;peakpower=1&amp;loss=14&amp;angle=45&amp;aspect=75&amp;outputformat=json&amp;raddatabase=PVGIS-SARAH3&amp;pvtechchoice=crystSi&amp;mountingplace=free&amp;usehorizon=1</v>
      </c>
    </row>
    <row r="2983">
      <c r="A2983" t="n">
        <v>45</v>
      </c>
      <c r="B2983" t="n">
        <v>255</v>
      </c>
      <c r="C2983" t="n">
        <v>10</v>
      </c>
      <c r="D2983" s="218" t="n">
        <v>119.5</v>
      </c>
      <c r="E2983" s="218" t="n">
        <v>3.85</v>
      </c>
      <c r="F2983" t="str">
        <v>https://re.jrc.ec.europa.eu/api/v5_3/PVcalc?lat=30.0444&amp;lon=31.2357&amp;peakpower=1&amp;loss=14&amp;angle=45&amp;aspect=75&amp;outputformat=json&amp;raddatabase=PVGIS-SARAH3&amp;pvtechchoice=crystSi&amp;mountingplace=free&amp;usehorizon=1</v>
      </c>
    </row>
    <row r="2984">
      <c r="A2984" t="n">
        <v>45</v>
      </c>
      <c r="B2984" t="n">
        <v>255</v>
      </c>
      <c r="C2984" t="n">
        <v>11</v>
      </c>
      <c r="D2984" s="218" t="n">
        <v>97.62</v>
      </c>
      <c r="E2984" s="218" t="n">
        <v>3.25</v>
      </c>
      <c r="F2984" t="str">
        <v>https://re.jrc.ec.europa.eu/api/v5_3/PVcalc?lat=30.0444&amp;lon=31.2357&amp;peakpower=1&amp;loss=14&amp;angle=45&amp;aspect=75&amp;outputformat=json&amp;raddatabase=PVGIS-SARAH3&amp;pvtechchoice=crystSi&amp;mountingplace=free&amp;usehorizon=1</v>
      </c>
    </row>
    <row r="2985">
      <c r="A2985" t="n">
        <v>45</v>
      </c>
      <c r="B2985" t="n">
        <v>255</v>
      </c>
      <c r="C2985" t="n">
        <v>12</v>
      </c>
      <c r="D2985" s="218" t="n">
        <v>88.77</v>
      </c>
      <c r="E2985" s="218" t="n">
        <v>2.86</v>
      </c>
      <c r="F2985" t="str">
        <v>https://re.jrc.ec.europa.eu/api/v5_3/PVcalc?lat=30.0444&amp;lon=31.2357&amp;peakpower=1&amp;loss=14&amp;angle=45&amp;aspect=75&amp;outputformat=json&amp;raddatabase=PVGIS-SARAH3&amp;pvtechchoice=crystSi&amp;mountingplace=free&amp;usehorizon=1</v>
      </c>
    </row>
    <row r="2986">
      <c r="A2986" t="n">
        <v>45</v>
      </c>
      <c r="B2986" t="n">
        <v>270</v>
      </c>
      <c r="C2986" t="n">
        <v>1</v>
      </c>
      <c r="D2986" s="218" t="n">
        <v>75.84</v>
      </c>
      <c r="E2986" s="218" t="n">
        <v>2.45</v>
      </c>
      <c r="F2986" t="str">
        <v>https://re.jrc.ec.europa.eu/api/v5_3/PVcalc?lat=30.0444&amp;lon=31.2357&amp;peakpower=1&amp;loss=14&amp;angle=45&amp;aspect=90&amp;outputformat=json&amp;raddatabase=PVGIS-SARAH3&amp;pvtechchoice=crystSi&amp;mountingplace=free&amp;usehorizon=1</v>
      </c>
    </row>
    <row r="2987">
      <c r="A2987" t="n">
        <v>45</v>
      </c>
      <c r="B2987" t="n">
        <v>270</v>
      </c>
      <c r="C2987" t="n">
        <v>2</v>
      </c>
      <c r="D2987" s="218" t="n">
        <v>84.65</v>
      </c>
      <c r="E2987" s="218" t="n">
        <v>3.02</v>
      </c>
      <c r="F2987" t="str">
        <v>https://re.jrc.ec.europa.eu/api/v5_3/PVcalc?lat=30.0444&amp;lon=31.2357&amp;peakpower=1&amp;loss=14&amp;angle=45&amp;aspect=90&amp;outputformat=json&amp;raddatabase=PVGIS-SARAH3&amp;pvtechchoice=crystSi&amp;mountingplace=free&amp;usehorizon=1</v>
      </c>
    </row>
    <row r="2988">
      <c r="A2988" t="n">
        <v>45</v>
      </c>
      <c r="B2988" t="n">
        <v>270</v>
      </c>
      <c r="C2988" t="n">
        <v>3</v>
      </c>
      <c r="D2988" s="218" t="n">
        <v>122.45</v>
      </c>
      <c r="E2988" s="218" t="n">
        <v>3.95</v>
      </c>
      <c r="F2988" t="str">
        <v>https://re.jrc.ec.europa.eu/api/v5_3/PVcalc?lat=30.0444&amp;lon=31.2357&amp;peakpower=1&amp;loss=14&amp;angle=45&amp;aspect=90&amp;outputformat=json&amp;raddatabase=PVGIS-SARAH3&amp;pvtechchoice=crystSi&amp;mountingplace=free&amp;usehorizon=1</v>
      </c>
    </row>
    <row r="2989">
      <c r="A2989" t="n">
        <v>45</v>
      </c>
      <c r="B2989" t="n">
        <v>270</v>
      </c>
      <c r="C2989" t="n">
        <v>4</v>
      </c>
      <c r="D2989" s="218" t="n">
        <v>135.32</v>
      </c>
      <c r="E2989" s="218" t="n">
        <v>4.51</v>
      </c>
      <c r="F2989" t="str">
        <v>https://re.jrc.ec.europa.eu/api/v5_3/PVcalc?lat=30.0444&amp;lon=31.2357&amp;peakpower=1&amp;loss=14&amp;angle=45&amp;aspect=90&amp;outputformat=json&amp;raddatabase=PVGIS-SARAH3&amp;pvtechchoice=crystSi&amp;mountingplace=free&amp;usehorizon=1</v>
      </c>
    </row>
    <row r="2990">
      <c r="A2990" t="n">
        <v>45</v>
      </c>
      <c r="B2990" t="n">
        <v>270</v>
      </c>
      <c r="C2990" t="n">
        <v>5</v>
      </c>
      <c r="D2990" s="218" t="n">
        <v>149.77</v>
      </c>
      <c r="E2990" s="218" t="n">
        <v>4.83</v>
      </c>
      <c r="F2990" t="str">
        <v>https://re.jrc.ec.europa.eu/api/v5_3/PVcalc?lat=30.0444&amp;lon=31.2357&amp;peakpower=1&amp;loss=14&amp;angle=45&amp;aspect=90&amp;outputformat=json&amp;raddatabase=PVGIS-SARAH3&amp;pvtechchoice=crystSi&amp;mountingplace=free&amp;usehorizon=1</v>
      </c>
    </row>
    <row r="2991">
      <c r="A2991" t="n">
        <v>45</v>
      </c>
      <c r="B2991" t="n">
        <v>270</v>
      </c>
      <c r="C2991" t="n">
        <v>6</v>
      </c>
      <c r="D2991" s="218" t="n">
        <v>155.8</v>
      </c>
      <c r="E2991" s="218" t="n">
        <v>5.19</v>
      </c>
      <c r="F2991" t="str">
        <v>https://re.jrc.ec.europa.eu/api/v5_3/PVcalc?lat=30.0444&amp;lon=31.2357&amp;peakpower=1&amp;loss=14&amp;angle=45&amp;aspect=90&amp;outputformat=json&amp;raddatabase=PVGIS-SARAH3&amp;pvtechchoice=crystSi&amp;mountingplace=free&amp;usehorizon=1</v>
      </c>
    </row>
    <row r="2992">
      <c r="A2992" t="n">
        <v>45</v>
      </c>
      <c r="B2992" t="n">
        <v>270</v>
      </c>
      <c r="C2992" t="n">
        <v>7</v>
      </c>
      <c r="D2992" s="218" t="n">
        <v>159.68</v>
      </c>
      <c r="E2992" s="218" t="n">
        <v>5.15</v>
      </c>
      <c r="F2992" t="str">
        <v>https://re.jrc.ec.europa.eu/api/v5_3/PVcalc?lat=30.0444&amp;lon=31.2357&amp;peakpower=1&amp;loss=14&amp;angle=45&amp;aspect=90&amp;outputformat=json&amp;raddatabase=PVGIS-SARAH3&amp;pvtechchoice=crystSi&amp;mountingplace=free&amp;usehorizon=1</v>
      </c>
    </row>
    <row r="2993">
      <c r="A2993" t="n">
        <v>45</v>
      </c>
      <c r="B2993" t="n">
        <v>270</v>
      </c>
      <c r="C2993" t="n">
        <v>8</v>
      </c>
      <c r="D2993" s="218" t="n">
        <v>148.9</v>
      </c>
      <c r="E2993" s="218" t="n">
        <v>4.8</v>
      </c>
      <c r="F2993" t="str">
        <v>https://re.jrc.ec.europa.eu/api/v5_3/PVcalc?lat=30.0444&amp;lon=31.2357&amp;peakpower=1&amp;loss=14&amp;angle=45&amp;aspect=90&amp;outputformat=json&amp;raddatabase=PVGIS-SARAH3&amp;pvtechchoice=crystSi&amp;mountingplace=free&amp;usehorizon=1</v>
      </c>
    </row>
    <row r="2994">
      <c r="A2994" t="n">
        <v>45</v>
      </c>
      <c r="B2994" t="n">
        <v>270</v>
      </c>
      <c r="C2994" t="n">
        <v>9</v>
      </c>
      <c r="D2994" s="218" t="n">
        <v>128.06</v>
      </c>
      <c r="E2994" s="218" t="n">
        <v>4.27</v>
      </c>
      <c r="F2994" t="str">
        <v>https://re.jrc.ec.europa.eu/api/v5_3/PVcalc?lat=30.0444&amp;lon=31.2357&amp;peakpower=1&amp;loss=14&amp;angle=45&amp;aspect=90&amp;outputformat=json&amp;raddatabase=PVGIS-SARAH3&amp;pvtechchoice=crystSi&amp;mountingplace=free&amp;usehorizon=1</v>
      </c>
    </row>
    <row r="2995">
      <c r="A2995" t="n">
        <v>45</v>
      </c>
      <c r="B2995" t="n">
        <v>270</v>
      </c>
      <c r="C2995" t="n">
        <v>10</v>
      </c>
      <c r="D2995" s="218" t="n">
        <v>106.5</v>
      </c>
      <c r="E2995" s="218" t="n">
        <v>3.44</v>
      </c>
      <c r="F2995" t="str">
        <v>https://re.jrc.ec.europa.eu/api/v5_3/PVcalc?lat=30.0444&amp;lon=31.2357&amp;peakpower=1&amp;loss=14&amp;angle=45&amp;aspect=90&amp;outputformat=json&amp;raddatabase=PVGIS-SARAH3&amp;pvtechchoice=crystSi&amp;mountingplace=free&amp;usehorizon=1</v>
      </c>
    </row>
    <row r="2996">
      <c r="A2996" t="n">
        <v>45</v>
      </c>
      <c r="B2996" t="n">
        <v>270</v>
      </c>
      <c r="C2996" t="n">
        <v>11</v>
      </c>
      <c r="D2996" s="218" t="n">
        <v>83.07</v>
      </c>
      <c r="E2996" s="218" t="n">
        <v>2.77</v>
      </c>
      <c r="F2996" t="str">
        <v>https://re.jrc.ec.europa.eu/api/v5_3/PVcalc?lat=30.0444&amp;lon=31.2357&amp;peakpower=1&amp;loss=14&amp;angle=45&amp;aspect=90&amp;outputformat=json&amp;raddatabase=PVGIS-SARAH3&amp;pvtechchoice=crystSi&amp;mountingplace=free&amp;usehorizon=1</v>
      </c>
    </row>
    <row r="2997">
      <c r="A2997" t="n">
        <v>45</v>
      </c>
      <c r="B2997" t="n">
        <v>270</v>
      </c>
      <c r="C2997" t="n">
        <v>12</v>
      </c>
      <c r="D2997" s="218" t="n">
        <v>73.03</v>
      </c>
      <c r="E2997" s="218" t="n">
        <v>2.36</v>
      </c>
      <c r="F2997" t="str">
        <v>https://re.jrc.ec.europa.eu/api/v5_3/PVcalc?lat=30.0444&amp;lon=31.2357&amp;peakpower=1&amp;loss=14&amp;angle=45&amp;aspect=90&amp;outputformat=json&amp;raddatabase=PVGIS-SARAH3&amp;pvtechchoice=crystSi&amp;mountingplace=free&amp;usehorizon=1</v>
      </c>
    </row>
    <row r="2998">
      <c r="A2998" t="n">
        <v>45</v>
      </c>
      <c r="B2998" t="n">
        <v>285</v>
      </c>
      <c r="C2998" t="n">
        <v>1</v>
      </c>
      <c r="D2998" s="218" t="n">
        <v>61.51</v>
      </c>
      <c r="E2998" s="218" t="n">
        <v>1.98</v>
      </c>
      <c r="F2998" t="str">
        <v>https://re.jrc.ec.europa.eu/api/v5_3/PVcalc?lat=30.0444&amp;lon=31.2357&amp;peakpower=1&amp;loss=14&amp;angle=45&amp;aspect=105&amp;outputformat=json&amp;raddatabase=PVGIS-SARAH3&amp;pvtechchoice=crystSi&amp;mountingplace=free&amp;usehorizon=1</v>
      </c>
    </row>
    <row r="2999">
      <c r="A2999" t="n">
        <v>45</v>
      </c>
      <c r="B2999" t="n">
        <v>285</v>
      </c>
      <c r="C2999" t="n">
        <v>2</v>
      </c>
      <c r="D2999" s="218" t="n">
        <v>72.68</v>
      </c>
      <c r="E2999" s="218" t="n">
        <v>2.6</v>
      </c>
      <c r="F2999" t="str">
        <v>https://re.jrc.ec.europa.eu/api/v5_3/PVcalc?lat=30.0444&amp;lon=31.2357&amp;peakpower=1&amp;loss=14&amp;angle=45&amp;aspect=105&amp;outputformat=json&amp;raddatabase=PVGIS-SARAH3&amp;pvtechchoice=crystSi&amp;mountingplace=free&amp;usehorizon=1</v>
      </c>
    </row>
    <row r="3000">
      <c r="A3000" t="n">
        <v>45</v>
      </c>
      <c r="B3000" t="n">
        <v>285</v>
      </c>
      <c r="C3000" t="n">
        <v>3</v>
      </c>
      <c r="D3000" s="218" t="n">
        <v>110.57</v>
      </c>
      <c r="E3000" s="218" t="n">
        <v>3.57</v>
      </c>
      <c r="F3000" t="str">
        <v>https://re.jrc.ec.europa.eu/api/v5_3/PVcalc?lat=30.0444&amp;lon=31.2357&amp;peakpower=1&amp;loss=14&amp;angle=45&amp;aspect=105&amp;outputformat=json&amp;raddatabase=PVGIS-SARAH3&amp;pvtechchoice=crystSi&amp;mountingplace=free&amp;usehorizon=1</v>
      </c>
    </row>
    <row r="3001">
      <c r="A3001" t="n">
        <v>45</v>
      </c>
      <c r="B3001" t="n">
        <v>285</v>
      </c>
      <c r="C3001" t="n">
        <v>4</v>
      </c>
      <c r="D3001" s="218" t="n">
        <v>128.31</v>
      </c>
      <c r="E3001" s="218" t="n">
        <v>4.28</v>
      </c>
      <c r="F3001" t="str">
        <v>https://re.jrc.ec.europa.eu/api/v5_3/PVcalc?lat=30.0444&amp;lon=31.2357&amp;peakpower=1&amp;loss=14&amp;angle=45&amp;aspect=105&amp;outputformat=json&amp;raddatabase=PVGIS-SARAH3&amp;pvtechchoice=crystSi&amp;mountingplace=free&amp;usehorizon=1</v>
      </c>
    </row>
    <row r="3002">
      <c r="A3002" t="n">
        <v>45</v>
      </c>
      <c r="B3002" t="n">
        <v>285</v>
      </c>
      <c r="C3002" t="n">
        <v>5</v>
      </c>
      <c r="D3002" s="218" t="n">
        <v>146.65</v>
      </c>
      <c r="E3002" s="218" t="n">
        <v>4.73</v>
      </c>
      <c r="F3002" t="str">
        <v>https://re.jrc.ec.europa.eu/api/v5_3/PVcalc?lat=30.0444&amp;lon=31.2357&amp;peakpower=1&amp;loss=14&amp;angle=45&amp;aspect=105&amp;outputformat=json&amp;raddatabase=PVGIS-SARAH3&amp;pvtechchoice=crystSi&amp;mountingplace=free&amp;usehorizon=1</v>
      </c>
    </row>
    <row r="3003">
      <c r="A3003" t="n">
        <v>45</v>
      </c>
      <c r="B3003" t="n">
        <v>285</v>
      </c>
      <c r="C3003" t="n">
        <v>6</v>
      </c>
      <c r="D3003" s="218" t="n">
        <v>155.02</v>
      </c>
      <c r="E3003" s="218" t="n">
        <v>5.17</v>
      </c>
      <c r="F3003" t="str">
        <v>https://re.jrc.ec.europa.eu/api/v5_3/PVcalc?lat=30.0444&amp;lon=31.2357&amp;peakpower=1&amp;loss=14&amp;angle=45&amp;aspect=105&amp;outputformat=json&amp;raddatabase=PVGIS-SARAH3&amp;pvtechchoice=crystSi&amp;mountingplace=free&amp;usehorizon=1</v>
      </c>
    </row>
    <row r="3004">
      <c r="A3004" t="n">
        <v>45</v>
      </c>
      <c r="B3004" t="n">
        <v>285</v>
      </c>
      <c r="C3004" t="n">
        <v>7</v>
      </c>
      <c r="D3004" s="218" t="n">
        <v>157.77</v>
      </c>
      <c r="E3004" s="218" t="n">
        <v>5.09</v>
      </c>
      <c r="F3004" t="str">
        <v>https://re.jrc.ec.europa.eu/api/v5_3/PVcalc?lat=30.0444&amp;lon=31.2357&amp;peakpower=1&amp;loss=14&amp;angle=45&amp;aspect=105&amp;outputformat=json&amp;raddatabase=PVGIS-SARAH3&amp;pvtechchoice=crystSi&amp;mountingplace=free&amp;usehorizon=1</v>
      </c>
    </row>
    <row r="3005">
      <c r="A3005" t="n">
        <v>45</v>
      </c>
      <c r="B3005" t="n">
        <v>285</v>
      </c>
      <c r="C3005" t="n">
        <v>8</v>
      </c>
      <c r="D3005" s="218" t="n">
        <v>142.79</v>
      </c>
      <c r="E3005" s="218" t="n">
        <v>4.61</v>
      </c>
      <c r="F3005" t="str">
        <v>https://re.jrc.ec.europa.eu/api/v5_3/PVcalc?lat=30.0444&amp;lon=31.2357&amp;peakpower=1&amp;loss=14&amp;angle=45&amp;aspect=105&amp;outputformat=json&amp;raddatabase=PVGIS-SARAH3&amp;pvtechchoice=crystSi&amp;mountingplace=free&amp;usehorizon=1</v>
      </c>
    </row>
    <row r="3006">
      <c r="A3006" t="n">
        <v>45</v>
      </c>
      <c r="B3006" t="n">
        <v>285</v>
      </c>
      <c r="C3006" t="n">
        <v>9</v>
      </c>
      <c r="D3006" s="218" t="n">
        <v>118.06</v>
      </c>
      <c r="E3006" s="218" t="n">
        <v>3.94</v>
      </c>
      <c r="F3006" t="str">
        <v>https://re.jrc.ec.europa.eu/api/v5_3/PVcalc?lat=30.0444&amp;lon=31.2357&amp;peakpower=1&amp;loss=14&amp;angle=45&amp;aspect=105&amp;outputformat=json&amp;raddatabase=PVGIS-SARAH3&amp;pvtechchoice=crystSi&amp;mountingplace=free&amp;usehorizon=1</v>
      </c>
    </row>
    <row r="3007">
      <c r="A3007" t="n">
        <v>45</v>
      </c>
      <c r="B3007" t="n">
        <v>285</v>
      </c>
      <c r="C3007" t="n">
        <v>10</v>
      </c>
      <c r="D3007" s="218" t="n">
        <v>92.7</v>
      </c>
      <c r="E3007" s="218" t="n">
        <v>2.99</v>
      </c>
      <c r="F3007" t="str">
        <v>https://re.jrc.ec.europa.eu/api/v5_3/PVcalc?lat=30.0444&amp;lon=31.2357&amp;peakpower=1&amp;loss=14&amp;angle=45&amp;aspect=105&amp;outputformat=json&amp;raddatabase=PVGIS-SARAH3&amp;pvtechchoice=crystSi&amp;mountingplace=free&amp;usehorizon=1</v>
      </c>
    </row>
    <row r="3008">
      <c r="A3008" t="n">
        <v>45</v>
      </c>
      <c r="B3008" t="n">
        <v>285</v>
      </c>
      <c r="C3008" t="n">
        <v>11</v>
      </c>
      <c r="D3008" s="218" t="n">
        <v>67.38</v>
      </c>
      <c r="E3008" s="218" t="n">
        <v>2.25</v>
      </c>
      <c r="F3008" t="str">
        <v>https://re.jrc.ec.europa.eu/api/v5_3/PVcalc?lat=30.0444&amp;lon=31.2357&amp;peakpower=1&amp;loss=14&amp;angle=45&amp;aspect=105&amp;outputformat=json&amp;raddatabase=PVGIS-SARAH3&amp;pvtechchoice=crystSi&amp;mountingplace=free&amp;usehorizon=1</v>
      </c>
    </row>
    <row r="3009">
      <c r="A3009" t="n">
        <v>45</v>
      </c>
      <c r="B3009" t="n">
        <v>285</v>
      </c>
      <c r="C3009" t="n">
        <v>12</v>
      </c>
      <c r="D3009" s="218" t="n">
        <v>57.76</v>
      </c>
      <c r="E3009" s="218" t="n">
        <v>1.86</v>
      </c>
      <c r="F3009" t="str">
        <v>https://re.jrc.ec.europa.eu/api/v5_3/PVcalc?lat=30.0444&amp;lon=31.2357&amp;peakpower=1&amp;loss=14&amp;angle=45&amp;aspect=105&amp;outputformat=json&amp;raddatabase=PVGIS-SARAH3&amp;pvtechchoice=crystSi&amp;mountingplace=free&amp;usehorizon=1</v>
      </c>
    </row>
    <row r="3010">
      <c r="A3010" t="n">
        <v>45</v>
      </c>
      <c r="B3010" t="n">
        <v>300</v>
      </c>
      <c r="C3010" t="n">
        <v>1</v>
      </c>
      <c r="D3010" s="218" t="n">
        <v>46.84</v>
      </c>
      <c r="E3010" s="218" t="n">
        <v>1.51</v>
      </c>
      <c r="F3010" t="str">
        <v>https://re.jrc.ec.europa.eu/api/v5_3/PVcalc?lat=30.0444&amp;lon=31.2357&amp;peakpower=1&amp;loss=14&amp;angle=45&amp;aspect=120&amp;outputformat=json&amp;raddatabase=PVGIS-SARAH3&amp;pvtechchoice=crystSi&amp;mountingplace=free&amp;usehorizon=1</v>
      </c>
    </row>
    <row r="3011">
      <c r="A3011" t="n">
        <v>45</v>
      </c>
      <c r="B3011" t="n">
        <v>300</v>
      </c>
      <c r="C3011" t="n">
        <v>2</v>
      </c>
      <c r="D3011" s="218" t="n">
        <v>60.47</v>
      </c>
      <c r="E3011" s="218" t="n">
        <v>2.16</v>
      </c>
      <c r="F3011" t="str">
        <v>https://re.jrc.ec.europa.eu/api/v5_3/PVcalc?lat=30.0444&amp;lon=31.2357&amp;peakpower=1&amp;loss=14&amp;angle=45&amp;aspect=120&amp;outputformat=json&amp;raddatabase=PVGIS-SARAH3&amp;pvtechchoice=crystSi&amp;mountingplace=free&amp;usehorizon=1</v>
      </c>
    </row>
    <row r="3012">
      <c r="A3012" t="n">
        <v>45</v>
      </c>
      <c r="B3012" t="n">
        <v>300</v>
      </c>
      <c r="C3012" t="n">
        <v>3</v>
      </c>
      <c r="D3012" s="218" t="n">
        <v>97.71</v>
      </c>
      <c r="E3012" s="218" t="n">
        <v>3.15</v>
      </c>
      <c r="F3012" t="str">
        <v>https://re.jrc.ec.europa.eu/api/v5_3/PVcalc?lat=30.0444&amp;lon=31.2357&amp;peakpower=1&amp;loss=14&amp;angle=45&amp;aspect=120&amp;outputformat=json&amp;raddatabase=PVGIS-SARAH3&amp;pvtechchoice=crystSi&amp;mountingplace=free&amp;usehorizon=1</v>
      </c>
    </row>
    <row r="3013">
      <c r="A3013" t="n">
        <v>45</v>
      </c>
      <c r="B3013" t="n">
        <v>300</v>
      </c>
      <c r="C3013" t="n">
        <v>4</v>
      </c>
      <c r="D3013" s="218" t="n">
        <v>119.85</v>
      </c>
      <c r="E3013" s="218" t="n">
        <v>4</v>
      </c>
      <c r="F3013" t="str">
        <v>https://re.jrc.ec.europa.eu/api/v5_3/PVcalc?lat=30.0444&amp;lon=31.2357&amp;peakpower=1&amp;loss=14&amp;angle=45&amp;aspect=120&amp;outputformat=json&amp;raddatabase=PVGIS-SARAH3&amp;pvtechchoice=crystSi&amp;mountingplace=free&amp;usehorizon=1</v>
      </c>
    </row>
    <row r="3014">
      <c r="A3014" t="n">
        <v>45</v>
      </c>
      <c r="B3014" t="n">
        <v>300</v>
      </c>
      <c r="C3014" t="n">
        <v>5</v>
      </c>
      <c r="D3014" s="218" t="n">
        <v>142.17</v>
      </c>
      <c r="E3014" s="218" t="n">
        <v>4.59</v>
      </c>
      <c r="F3014" t="str">
        <v>https://re.jrc.ec.europa.eu/api/v5_3/PVcalc?lat=30.0444&amp;lon=31.2357&amp;peakpower=1&amp;loss=14&amp;angle=45&amp;aspect=120&amp;outputformat=json&amp;raddatabase=PVGIS-SARAH3&amp;pvtechchoice=crystSi&amp;mountingplace=free&amp;usehorizon=1</v>
      </c>
    </row>
    <row r="3015">
      <c r="A3015" t="n">
        <v>45</v>
      </c>
      <c r="B3015" t="n">
        <v>300</v>
      </c>
      <c r="C3015" t="n">
        <v>6</v>
      </c>
      <c r="D3015" s="218" t="n">
        <v>151.92</v>
      </c>
      <c r="E3015" s="218" t="n">
        <v>5.06</v>
      </c>
      <c r="F3015" t="str">
        <v>https://re.jrc.ec.europa.eu/api/v5_3/PVcalc?lat=30.0444&amp;lon=31.2357&amp;peakpower=1&amp;loss=14&amp;angle=45&amp;aspect=120&amp;outputformat=json&amp;raddatabase=PVGIS-SARAH3&amp;pvtechchoice=crystSi&amp;mountingplace=free&amp;usehorizon=1</v>
      </c>
    </row>
    <row r="3016">
      <c r="A3016" t="n">
        <v>45</v>
      </c>
      <c r="B3016" t="n">
        <v>300</v>
      </c>
      <c r="C3016" t="n">
        <v>7</v>
      </c>
      <c r="D3016" s="218" t="n">
        <v>154.18</v>
      </c>
      <c r="E3016" s="218" t="n">
        <v>4.97</v>
      </c>
      <c r="F3016" t="str">
        <v>https://re.jrc.ec.europa.eu/api/v5_3/PVcalc?lat=30.0444&amp;lon=31.2357&amp;peakpower=1&amp;loss=14&amp;angle=45&amp;aspect=120&amp;outputformat=json&amp;raddatabase=PVGIS-SARAH3&amp;pvtechchoice=crystSi&amp;mountingplace=free&amp;usehorizon=1</v>
      </c>
    </row>
    <row r="3017">
      <c r="A3017" t="n">
        <v>45</v>
      </c>
      <c r="B3017" t="n">
        <v>300</v>
      </c>
      <c r="C3017" t="n">
        <v>8</v>
      </c>
      <c r="D3017" s="218" t="n">
        <v>135.13</v>
      </c>
      <c r="E3017" s="218" t="n">
        <v>4.36</v>
      </c>
      <c r="F3017" t="str">
        <v>https://re.jrc.ec.europa.eu/api/v5_3/PVcalc?lat=30.0444&amp;lon=31.2357&amp;peakpower=1&amp;loss=14&amp;angle=45&amp;aspect=120&amp;outputformat=json&amp;raddatabase=PVGIS-SARAH3&amp;pvtechchoice=crystSi&amp;mountingplace=free&amp;usehorizon=1</v>
      </c>
    </row>
    <row r="3018">
      <c r="A3018" t="n">
        <v>45</v>
      </c>
      <c r="B3018" t="n">
        <v>300</v>
      </c>
      <c r="C3018" t="n">
        <v>9</v>
      </c>
      <c r="D3018" s="218" t="n">
        <v>106.08</v>
      </c>
      <c r="E3018" s="218" t="n">
        <v>3.54</v>
      </c>
      <c r="F3018" t="str">
        <v>https://re.jrc.ec.europa.eu/api/v5_3/PVcalc?lat=30.0444&amp;lon=31.2357&amp;peakpower=1&amp;loss=14&amp;angle=45&amp;aspect=120&amp;outputformat=json&amp;raddatabase=PVGIS-SARAH3&amp;pvtechchoice=crystSi&amp;mountingplace=free&amp;usehorizon=1</v>
      </c>
    </row>
    <row r="3019">
      <c r="A3019" t="n">
        <v>45</v>
      </c>
      <c r="B3019" t="n">
        <v>300</v>
      </c>
      <c r="C3019" t="n">
        <v>10</v>
      </c>
      <c r="D3019" s="218" t="n">
        <v>77.6</v>
      </c>
      <c r="E3019" s="218" t="n">
        <v>2.5</v>
      </c>
      <c r="F3019" t="str">
        <v>https://re.jrc.ec.europa.eu/api/v5_3/PVcalc?lat=30.0444&amp;lon=31.2357&amp;peakpower=1&amp;loss=14&amp;angle=45&amp;aspect=120&amp;outputformat=json&amp;raddatabase=PVGIS-SARAH3&amp;pvtechchoice=crystSi&amp;mountingplace=free&amp;usehorizon=1</v>
      </c>
    </row>
    <row r="3020">
      <c r="A3020" t="n">
        <v>45</v>
      </c>
      <c r="B3020" t="n">
        <v>300</v>
      </c>
      <c r="C3020" t="n">
        <v>11</v>
      </c>
      <c r="D3020" s="218" t="n">
        <v>52.61</v>
      </c>
      <c r="E3020" s="218" t="n">
        <v>1.75</v>
      </c>
      <c r="F3020" t="str">
        <v>https://re.jrc.ec.europa.eu/api/v5_3/PVcalc?lat=30.0444&amp;lon=31.2357&amp;peakpower=1&amp;loss=14&amp;angle=45&amp;aspect=120&amp;outputformat=json&amp;raddatabase=PVGIS-SARAH3&amp;pvtechchoice=crystSi&amp;mountingplace=free&amp;usehorizon=1</v>
      </c>
    </row>
    <row r="3021">
      <c r="A3021" t="n">
        <v>45</v>
      </c>
      <c r="B3021" t="n">
        <v>300</v>
      </c>
      <c r="C3021" t="n">
        <v>12</v>
      </c>
      <c r="D3021" s="218" t="n">
        <v>42.56</v>
      </c>
      <c r="E3021" s="218" t="n">
        <v>1.37</v>
      </c>
      <c r="F3021" t="str">
        <v>https://re.jrc.ec.europa.eu/api/v5_3/PVcalc?lat=30.0444&amp;lon=31.2357&amp;peakpower=1&amp;loss=14&amp;angle=45&amp;aspect=120&amp;outputformat=json&amp;raddatabase=PVGIS-SARAH3&amp;pvtechchoice=crystSi&amp;mountingplace=free&amp;usehorizon=1</v>
      </c>
    </row>
    <row r="3022">
      <c r="A3022" t="n">
        <v>45</v>
      </c>
      <c r="B3022" t="n">
        <v>315</v>
      </c>
      <c r="C3022" t="n">
        <v>1</v>
      </c>
      <c r="D3022" s="218" t="n">
        <v>34.32</v>
      </c>
      <c r="E3022" s="218" t="n">
        <v>1.11</v>
      </c>
      <c r="F3022" t="str">
        <v>https://re.jrc.ec.europa.eu/api/v5_3/PVcalc?lat=30.0444&amp;lon=31.2357&amp;peakpower=1&amp;loss=14&amp;angle=45&amp;aspect=135&amp;outputformat=json&amp;raddatabase=PVGIS-SARAH3&amp;pvtechchoice=crystSi&amp;mountingplace=free&amp;usehorizon=1</v>
      </c>
    </row>
    <row r="3023">
      <c r="A3023" t="n">
        <v>45</v>
      </c>
      <c r="B3023" t="n">
        <v>315</v>
      </c>
      <c r="C3023" t="n">
        <v>2</v>
      </c>
      <c r="D3023" s="218" t="n">
        <v>48.14</v>
      </c>
      <c r="E3023" s="218" t="n">
        <v>1.72</v>
      </c>
      <c r="F3023" t="str">
        <v>https://re.jrc.ec.europa.eu/api/v5_3/PVcalc?lat=30.0444&amp;lon=31.2357&amp;peakpower=1&amp;loss=14&amp;angle=45&amp;aspect=135&amp;outputformat=json&amp;raddatabase=PVGIS-SARAH3&amp;pvtechchoice=crystSi&amp;mountingplace=free&amp;usehorizon=1</v>
      </c>
    </row>
    <row r="3024">
      <c r="A3024" t="n">
        <v>45</v>
      </c>
      <c r="B3024" t="n">
        <v>315</v>
      </c>
      <c r="C3024" t="n">
        <v>3</v>
      </c>
      <c r="D3024" s="218" t="n">
        <v>84.25</v>
      </c>
      <c r="E3024" s="218" t="n">
        <v>2.72</v>
      </c>
      <c r="F3024" t="str">
        <v>https://re.jrc.ec.europa.eu/api/v5_3/PVcalc?lat=30.0444&amp;lon=31.2357&amp;peakpower=1&amp;loss=14&amp;angle=45&amp;aspect=135&amp;outputformat=json&amp;raddatabase=PVGIS-SARAH3&amp;pvtechchoice=crystSi&amp;mountingplace=free&amp;usehorizon=1</v>
      </c>
    </row>
    <row r="3025">
      <c r="A3025" t="n">
        <v>45</v>
      </c>
      <c r="B3025" t="n">
        <v>315</v>
      </c>
      <c r="C3025" t="n">
        <v>4</v>
      </c>
      <c r="D3025" s="218" t="n">
        <v>110.57</v>
      </c>
      <c r="E3025" s="218" t="n">
        <v>3.69</v>
      </c>
      <c r="F3025" t="str">
        <v>https://re.jrc.ec.europa.eu/api/v5_3/PVcalc?lat=30.0444&amp;lon=31.2357&amp;peakpower=1&amp;loss=14&amp;angle=45&amp;aspect=135&amp;outputformat=json&amp;raddatabase=PVGIS-SARAH3&amp;pvtechchoice=crystSi&amp;mountingplace=free&amp;usehorizon=1</v>
      </c>
    </row>
    <row r="3026">
      <c r="A3026" t="n">
        <v>45</v>
      </c>
      <c r="B3026" t="n">
        <v>315</v>
      </c>
      <c r="C3026" t="n">
        <v>5</v>
      </c>
      <c r="D3026" s="218" t="n">
        <v>136.61</v>
      </c>
      <c r="E3026" s="218" t="n">
        <v>4.41</v>
      </c>
      <c r="F3026" t="str">
        <v>https://re.jrc.ec.europa.eu/api/v5_3/PVcalc?lat=30.0444&amp;lon=31.2357&amp;peakpower=1&amp;loss=14&amp;angle=45&amp;aspect=135&amp;outputformat=json&amp;raddatabase=PVGIS-SARAH3&amp;pvtechchoice=crystSi&amp;mountingplace=free&amp;usehorizon=1</v>
      </c>
    </row>
    <row r="3027">
      <c r="A3027" t="n">
        <v>45</v>
      </c>
      <c r="B3027" t="n">
        <v>315</v>
      </c>
      <c r="C3027" t="n">
        <v>6</v>
      </c>
      <c r="D3027" s="218" t="n">
        <v>149.15</v>
      </c>
      <c r="E3027" s="218" t="n">
        <v>4.97</v>
      </c>
      <c r="F3027" t="str">
        <v>https://re.jrc.ec.europa.eu/api/v5_3/PVcalc?lat=30.0444&amp;lon=31.2357&amp;peakpower=1&amp;loss=14&amp;angle=45&amp;aspect=135&amp;outputformat=json&amp;raddatabase=PVGIS-SARAH3&amp;pvtechchoice=crystSi&amp;mountingplace=free&amp;usehorizon=1</v>
      </c>
    </row>
    <row r="3028">
      <c r="A3028" t="n">
        <v>45</v>
      </c>
      <c r="B3028" t="n">
        <v>315</v>
      </c>
      <c r="C3028" t="n">
        <v>7</v>
      </c>
      <c r="D3028" s="218" t="n">
        <v>149.18</v>
      </c>
      <c r="E3028" s="218" t="n">
        <v>4.81</v>
      </c>
      <c r="F3028" t="str">
        <v>https://re.jrc.ec.europa.eu/api/v5_3/PVcalc?lat=30.0444&amp;lon=31.2357&amp;peakpower=1&amp;loss=14&amp;angle=45&amp;aspect=135&amp;outputformat=json&amp;raddatabase=PVGIS-SARAH3&amp;pvtechchoice=crystSi&amp;mountingplace=free&amp;usehorizon=1</v>
      </c>
    </row>
    <row r="3029">
      <c r="A3029" t="n">
        <v>45</v>
      </c>
      <c r="B3029" t="n">
        <v>315</v>
      </c>
      <c r="C3029" t="n">
        <v>8</v>
      </c>
      <c r="D3029" s="218" t="n">
        <v>126.34</v>
      </c>
      <c r="E3029" s="218" t="n">
        <v>4.08</v>
      </c>
      <c r="F3029" t="str">
        <v>https://re.jrc.ec.europa.eu/api/v5_3/PVcalc?lat=30.0444&amp;lon=31.2357&amp;peakpower=1&amp;loss=14&amp;angle=45&amp;aspect=135&amp;outputformat=json&amp;raddatabase=PVGIS-SARAH3&amp;pvtechchoice=crystSi&amp;mountingplace=free&amp;usehorizon=1</v>
      </c>
    </row>
    <row r="3030">
      <c r="A3030" t="n">
        <v>45</v>
      </c>
      <c r="B3030" t="n">
        <v>315</v>
      </c>
      <c r="C3030" t="n">
        <v>9</v>
      </c>
      <c r="D3030" s="218" t="n">
        <v>92.93</v>
      </c>
      <c r="E3030" s="218" t="n">
        <v>3.1</v>
      </c>
      <c r="F3030" t="str">
        <v>https://re.jrc.ec.europa.eu/api/v5_3/PVcalc?lat=30.0444&amp;lon=31.2357&amp;peakpower=1&amp;loss=14&amp;angle=45&amp;aspect=135&amp;outputformat=json&amp;raddatabase=PVGIS-SARAH3&amp;pvtechchoice=crystSi&amp;mountingplace=free&amp;usehorizon=1</v>
      </c>
    </row>
    <row r="3031">
      <c r="A3031" t="n">
        <v>45</v>
      </c>
      <c r="B3031" t="n">
        <v>315</v>
      </c>
      <c r="C3031" t="n">
        <v>10</v>
      </c>
      <c r="D3031" s="218" t="n">
        <v>62.55</v>
      </c>
      <c r="E3031" s="218" t="n">
        <v>2.02</v>
      </c>
      <c r="F3031" t="str">
        <v>https://re.jrc.ec.europa.eu/api/v5_3/PVcalc?lat=30.0444&amp;lon=31.2357&amp;peakpower=1&amp;loss=14&amp;angle=45&amp;aspect=135&amp;outputformat=json&amp;raddatabase=PVGIS-SARAH3&amp;pvtechchoice=crystSi&amp;mountingplace=free&amp;usehorizon=1</v>
      </c>
    </row>
    <row r="3032">
      <c r="A3032" t="n">
        <v>45</v>
      </c>
      <c r="B3032" t="n">
        <v>315</v>
      </c>
      <c r="C3032" t="n">
        <v>11</v>
      </c>
      <c r="D3032" s="218" t="n">
        <v>38.08</v>
      </c>
      <c r="E3032" s="218" t="n">
        <v>1.27</v>
      </c>
      <c r="F3032" t="str">
        <v>https://re.jrc.ec.europa.eu/api/v5_3/PVcalc?lat=30.0444&amp;lon=31.2357&amp;peakpower=1&amp;loss=14&amp;angle=45&amp;aspect=135&amp;outputformat=json&amp;raddatabase=PVGIS-SARAH3&amp;pvtechchoice=crystSi&amp;mountingplace=free&amp;usehorizon=1</v>
      </c>
    </row>
    <row r="3033">
      <c r="A3033" t="n">
        <v>45</v>
      </c>
      <c r="B3033" t="n">
        <v>315</v>
      </c>
      <c r="C3033" t="n">
        <v>12</v>
      </c>
      <c r="D3033" s="218" t="n">
        <v>29.95</v>
      </c>
      <c r="E3033" s="218" t="n">
        <v>0.97</v>
      </c>
      <c r="F3033" t="str">
        <v>https://re.jrc.ec.europa.eu/api/v5_3/PVcalc?lat=30.0444&amp;lon=31.2357&amp;peakpower=1&amp;loss=14&amp;angle=45&amp;aspect=135&amp;outputformat=json&amp;raddatabase=PVGIS-SARAH3&amp;pvtechchoice=crystSi&amp;mountingplace=free&amp;usehorizon=1</v>
      </c>
    </row>
    <row r="3034">
      <c r="A3034" t="n">
        <v>45</v>
      </c>
      <c r="B3034" t="n">
        <v>330</v>
      </c>
      <c r="C3034" t="n">
        <v>1</v>
      </c>
      <c r="D3034" s="218" t="n">
        <v>24.51</v>
      </c>
      <c r="E3034" s="218" t="n">
        <v>0.79</v>
      </c>
      <c r="F3034" t="str">
        <v>https://re.jrc.ec.europa.eu/api/v5_3/PVcalc?lat=30.0444&amp;lon=31.2357&amp;peakpower=1&amp;loss=14&amp;angle=45&amp;aspect=150&amp;outputformat=json&amp;raddatabase=PVGIS-SARAH3&amp;pvtechchoice=crystSi&amp;mountingplace=free&amp;usehorizon=1</v>
      </c>
    </row>
    <row r="3035">
      <c r="A3035" t="n">
        <v>45</v>
      </c>
      <c r="B3035" t="n">
        <v>330</v>
      </c>
      <c r="C3035" t="n">
        <v>2</v>
      </c>
      <c r="D3035" s="218" t="n">
        <v>36.73</v>
      </c>
      <c r="E3035" s="218" t="n">
        <v>1.31</v>
      </c>
      <c r="F3035" t="str">
        <v>https://re.jrc.ec.europa.eu/api/v5_3/PVcalc?lat=30.0444&amp;lon=31.2357&amp;peakpower=1&amp;loss=14&amp;angle=45&amp;aspect=150&amp;outputformat=json&amp;raddatabase=PVGIS-SARAH3&amp;pvtechchoice=crystSi&amp;mountingplace=free&amp;usehorizon=1</v>
      </c>
    </row>
    <row r="3036">
      <c r="A3036" t="n">
        <v>45</v>
      </c>
      <c r="B3036" t="n">
        <v>330</v>
      </c>
      <c r="C3036" t="n">
        <v>3</v>
      </c>
      <c r="D3036" s="218" t="n">
        <v>70.35</v>
      </c>
      <c r="E3036" s="218" t="n">
        <v>2.27</v>
      </c>
      <c r="F3036" t="str">
        <v>https://re.jrc.ec.europa.eu/api/v5_3/PVcalc?lat=30.0444&amp;lon=31.2357&amp;peakpower=1&amp;loss=14&amp;angle=45&amp;aspect=150&amp;outputformat=json&amp;raddatabase=PVGIS-SARAH3&amp;pvtechchoice=crystSi&amp;mountingplace=free&amp;usehorizon=1</v>
      </c>
    </row>
    <row r="3037">
      <c r="A3037" t="n">
        <v>45</v>
      </c>
      <c r="B3037" t="n">
        <v>330</v>
      </c>
      <c r="C3037" t="n">
        <v>4</v>
      </c>
      <c r="D3037" s="218" t="n">
        <v>101.45</v>
      </c>
      <c r="E3037" s="218" t="n">
        <v>3.38</v>
      </c>
      <c r="F3037" t="str">
        <v>https://re.jrc.ec.europa.eu/api/v5_3/PVcalc?lat=30.0444&amp;lon=31.2357&amp;peakpower=1&amp;loss=14&amp;angle=45&amp;aspect=150&amp;outputformat=json&amp;raddatabase=PVGIS-SARAH3&amp;pvtechchoice=crystSi&amp;mountingplace=free&amp;usehorizon=1</v>
      </c>
    </row>
    <row r="3038">
      <c r="A3038" t="n">
        <v>45</v>
      </c>
      <c r="B3038" t="n">
        <v>330</v>
      </c>
      <c r="C3038" t="n">
        <v>5</v>
      </c>
      <c r="D3038" s="218" t="n">
        <v>132.39</v>
      </c>
      <c r="E3038" s="218" t="n">
        <v>4.27</v>
      </c>
      <c r="F3038" t="str">
        <v>https://re.jrc.ec.europa.eu/api/v5_3/PVcalc?lat=30.0444&amp;lon=31.2357&amp;peakpower=1&amp;loss=14&amp;angle=45&amp;aspect=150&amp;outputformat=json&amp;raddatabase=PVGIS-SARAH3&amp;pvtechchoice=crystSi&amp;mountingplace=free&amp;usehorizon=1</v>
      </c>
    </row>
    <row r="3039">
      <c r="A3039" t="n">
        <v>45</v>
      </c>
      <c r="B3039" t="n">
        <v>330</v>
      </c>
      <c r="C3039" t="n">
        <v>6</v>
      </c>
      <c r="D3039" s="218" t="n">
        <v>147.02</v>
      </c>
      <c r="E3039" s="218" t="n">
        <v>4.9</v>
      </c>
      <c r="F3039" t="str">
        <v>https://re.jrc.ec.europa.eu/api/v5_3/PVcalc?lat=30.0444&amp;lon=31.2357&amp;peakpower=1&amp;loss=14&amp;angle=45&amp;aspect=150&amp;outputformat=json&amp;raddatabase=PVGIS-SARAH3&amp;pvtechchoice=crystSi&amp;mountingplace=free&amp;usehorizon=1</v>
      </c>
    </row>
    <row r="3040">
      <c r="A3040" t="n">
        <v>45</v>
      </c>
      <c r="B3040" t="n">
        <v>330</v>
      </c>
      <c r="C3040" t="n">
        <v>7</v>
      </c>
      <c r="D3040" s="218" t="n">
        <v>145.53</v>
      </c>
      <c r="E3040" s="218" t="n">
        <v>4.69</v>
      </c>
      <c r="F3040" t="str">
        <v>https://re.jrc.ec.europa.eu/api/v5_3/PVcalc?lat=30.0444&amp;lon=31.2357&amp;peakpower=1&amp;loss=14&amp;angle=45&amp;aspect=150&amp;outputformat=json&amp;raddatabase=PVGIS-SARAH3&amp;pvtechchoice=crystSi&amp;mountingplace=free&amp;usehorizon=1</v>
      </c>
    </row>
    <row r="3041">
      <c r="A3041" t="n">
        <v>45</v>
      </c>
      <c r="B3041" t="n">
        <v>330</v>
      </c>
      <c r="C3041" t="n">
        <v>8</v>
      </c>
      <c r="D3041" s="218" t="n">
        <v>117.59</v>
      </c>
      <c r="E3041" s="218" t="n">
        <v>3.79</v>
      </c>
      <c r="F3041" t="str">
        <v>https://re.jrc.ec.europa.eu/api/v5_3/PVcalc?lat=30.0444&amp;lon=31.2357&amp;peakpower=1&amp;loss=14&amp;angle=45&amp;aspect=150&amp;outputformat=json&amp;raddatabase=PVGIS-SARAH3&amp;pvtechchoice=crystSi&amp;mountingplace=free&amp;usehorizon=1</v>
      </c>
    </row>
    <row r="3042">
      <c r="A3042" t="n">
        <v>45</v>
      </c>
      <c r="B3042" t="n">
        <v>330</v>
      </c>
      <c r="C3042" t="n">
        <v>9</v>
      </c>
      <c r="D3042" s="218" t="n">
        <v>79.65</v>
      </c>
      <c r="E3042" s="218" t="n">
        <v>2.65</v>
      </c>
      <c r="F3042" t="str">
        <v>https://re.jrc.ec.europa.eu/api/v5_3/PVcalc?lat=30.0444&amp;lon=31.2357&amp;peakpower=1&amp;loss=14&amp;angle=45&amp;aspect=150&amp;outputformat=json&amp;raddatabase=PVGIS-SARAH3&amp;pvtechchoice=crystSi&amp;mountingplace=free&amp;usehorizon=1</v>
      </c>
    </row>
    <row r="3043">
      <c r="A3043" t="n">
        <v>45</v>
      </c>
      <c r="B3043" t="n">
        <v>330</v>
      </c>
      <c r="C3043" t="n">
        <v>10</v>
      </c>
      <c r="D3043" s="218" t="n">
        <v>47.63</v>
      </c>
      <c r="E3043" s="218" t="n">
        <v>1.54</v>
      </c>
      <c r="F3043" t="str">
        <v>https://re.jrc.ec.europa.eu/api/v5_3/PVcalc?lat=30.0444&amp;lon=31.2357&amp;peakpower=1&amp;loss=14&amp;angle=45&amp;aspect=150&amp;outputformat=json&amp;raddatabase=PVGIS-SARAH3&amp;pvtechchoice=crystSi&amp;mountingplace=free&amp;usehorizon=1</v>
      </c>
    </row>
    <row r="3044">
      <c r="A3044" t="n">
        <v>45</v>
      </c>
      <c r="B3044" t="n">
        <v>330</v>
      </c>
      <c r="C3044" t="n">
        <v>11</v>
      </c>
      <c r="D3044" s="218" t="n">
        <v>26.07</v>
      </c>
      <c r="E3044" s="218" t="n">
        <v>0.87</v>
      </c>
      <c r="F3044" t="str">
        <v>https://re.jrc.ec.europa.eu/api/v5_3/PVcalc?lat=30.0444&amp;lon=31.2357&amp;peakpower=1&amp;loss=14&amp;angle=45&amp;aspect=150&amp;outputformat=json&amp;raddatabase=PVGIS-SARAH3&amp;pvtechchoice=crystSi&amp;mountingplace=free&amp;usehorizon=1</v>
      </c>
    </row>
    <row r="3045">
      <c r="A3045" t="n">
        <v>45</v>
      </c>
      <c r="B3045" t="n">
        <v>330</v>
      </c>
      <c r="C3045" t="n">
        <v>12</v>
      </c>
      <c r="D3045" s="218" t="n">
        <v>21.33</v>
      </c>
      <c r="E3045" s="218" t="n">
        <v>0.69</v>
      </c>
      <c r="F3045" t="str">
        <v>https://re.jrc.ec.europa.eu/api/v5_3/PVcalc?lat=30.0444&amp;lon=31.2357&amp;peakpower=1&amp;loss=14&amp;angle=45&amp;aspect=150&amp;outputformat=json&amp;raddatabase=PVGIS-SARAH3&amp;pvtechchoice=crystSi&amp;mountingplace=free&amp;usehorizon=1</v>
      </c>
    </row>
    <row r="3046">
      <c r="A3046" t="n">
        <v>45</v>
      </c>
      <c r="B3046" t="n">
        <v>345</v>
      </c>
      <c r="C3046" t="n">
        <v>1</v>
      </c>
      <c r="D3046" s="218" t="n">
        <v>22.34</v>
      </c>
      <c r="E3046" s="218" t="n">
        <v>0.72</v>
      </c>
      <c r="F3046" t="str">
        <v>https://re.jrc.ec.europa.eu/api/v5_3/PVcalc?lat=30.0444&amp;lon=31.2357&amp;peakpower=1&amp;loss=14&amp;angle=45&amp;aspect=165&amp;outputformat=json&amp;raddatabase=PVGIS-SARAH3&amp;pvtechchoice=crystSi&amp;mountingplace=free&amp;usehorizon=1</v>
      </c>
    </row>
    <row r="3047">
      <c r="A3047" t="n">
        <v>45</v>
      </c>
      <c r="B3047" t="n">
        <v>345</v>
      </c>
      <c r="C3047" t="n">
        <v>2</v>
      </c>
      <c r="D3047" s="218" t="n">
        <v>27.8</v>
      </c>
      <c r="E3047" s="218" t="n">
        <v>0.99</v>
      </c>
      <c r="F3047" t="str">
        <v>https://re.jrc.ec.europa.eu/api/v5_3/PVcalc?lat=30.0444&amp;lon=31.2357&amp;peakpower=1&amp;loss=14&amp;angle=45&amp;aspect=165&amp;outputformat=json&amp;raddatabase=PVGIS-SARAH3&amp;pvtechchoice=crystSi&amp;mountingplace=free&amp;usehorizon=1</v>
      </c>
    </row>
    <row r="3048">
      <c r="A3048" t="n">
        <v>45</v>
      </c>
      <c r="B3048" t="n">
        <v>345</v>
      </c>
      <c r="C3048" t="n">
        <v>3</v>
      </c>
      <c r="D3048" s="218" t="n">
        <v>57.73</v>
      </c>
      <c r="E3048" s="218" t="n">
        <v>1.86</v>
      </c>
      <c r="F3048" t="str">
        <v>https://re.jrc.ec.europa.eu/api/v5_3/PVcalc?lat=30.0444&amp;lon=31.2357&amp;peakpower=1&amp;loss=14&amp;angle=45&amp;aspect=165&amp;outputformat=json&amp;raddatabase=PVGIS-SARAH3&amp;pvtechchoice=crystSi&amp;mountingplace=free&amp;usehorizon=1</v>
      </c>
    </row>
    <row r="3049">
      <c r="A3049" t="n">
        <v>45</v>
      </c>
      <c r="B3049" t="n">
        <v>345</v>
      </c>
      <c r="C3049" t="n">
        <v>4</v>
      </c>
      <c r="D3049" s="218" t="n">
        <v>94.95</v>
      </c>
      <c r="E3049" s="218" t="n">
        <v>3.17</v>
      </c>
      <c r="F3049" t="str">
        <v>https://re.jrc.ec.europa.eu/api/v5_3/PVcalc?lat=30.0444&amp;lon=31.2357&amp;peakpower=1&amp;loss=14&amp;angle=45&amp;aspect=165&amp;outputformat=json&amp;raddatabase=PVGIS-SARAH3&amp;pvtechchoice=crystSi&amp;mountingplace=free&amp;usehorizon=1</v>
      </c>
    </row>
    <row r="3050">
      <c r="A3050" t="n">
        <v>45</v>
      </c>
      <c r="B3050" t="n">
        <v>345</v>
      </c>
      <c r="C3050" t="n">
        <v>5</v>
      </c>
      <c r="D3050" s="218" t="n">
        <v>131.01</v>
      </c>
      <c r="E3050" s="218" t="n">
        <v>4.23</v>
      </c>
      <c r="F3050" t="str">
        <v>https://re.jrc.ec.europa.eu/api/v5_3/PVcalc?lat=30.0444&amp;lon=31.2357&amp;peakpower=1&amp;loss=14&amp;angle=45&amp;aspect=165&amp;outputformat=json&amp;raddatabase=PVGIS-SARAH3&amp;pvtechchoice=crystSi&amp;mountingplace=free&amp;usehorizon=1</v>
      </c>
    </row>
    <row r="3051">
      <c r="A3051" t="n">
        <v>45</v>
      </c>
      <c r="B3051" t="n">
        <v>345</v>
      </c>
      <c r="C3051" t="n">
        <v>6</v>
      </c>
      <c r="D3051" s="218" t="n">
        <v>146.77</v>
      </c>
      <c r="E3051" s="218" t="n">
        <v>4.89</v>
      </c>
      <c r="F3051" t="str">
        <v>https://re.jrc.ec.europa.eu/api/v5_3/PVcalc?lat=30.0444&amp;lon=31.2357&amp;peakpower=1&amp;loss=14&amp;angle=45&amp;aspect=165&amp;outputformat=json&amp;raddatabase=PVGIS-SARAH3&amp;pvtechchoice=crystSi&amp;mountingplace=free&amp;usehorizon=1</v>
      </c>
    </row>
    <row r="3052">
      <c r="A3052" t="n">
        <v>45</v>
      </c>
      <c r="B3052" t="n">
        <v>345</v>
      </c>
      <c r="C3052" t="n">
        <v>7</v>
      </c>
      <c r="D3052" s="218" t="n">
        <v>143.75</v>
      </c>
      <c r="E3052" s="218" t="n">
        <v>4.64</v>
      </c>
      <c r="F3052" t="str">
        <v>https://re.jrc.ec.europa.eu/api/v5_3/PVcalc?lat=30.0444&amp;lon=31.2357&amp;peakpower=1&amp;loss=14&amp;angle=45&amp;aspect=165&amp;outputformat=json&amp;raddatabase=PVGIS-SARAH3&amp;pvtechchoice=crystSi&amp;mountingplace=free&amp;usehorizon=1</v>
      </c>
    </row>
    <row r="3053">
      <c r="A3053" t="n">
        <v>45</v>
      </c>
      <c r="B3053" t="n">
        <v>345</v>
      </c>
      <c r="C3053" t="n">
        <v>8</v>
      </c>
      <c r="D3053" s="218" t="n">
        <v>111.98</v>
      </c>
      <c r="E3053" s="218" t="n">
        <v>3.61</v>
      </c>
      <c r="F3053" t="str">
        <v>https://re.jrc.ec.europa.eu/api/v5_3/PVcalc?lat=30.0444&amp;lon=31.2357&amp;peakpower=1&amp;loss=14&amp;angle=45&amp;aspect=165&amp;outputformat=json&amp;raddatabase=PVGIS-SARAH3&amp;pvtechchoice=crystSi&amp;mountingplace=free&amp;usehorizon=1</v>
      </c>
    </row>
    <row r="3054">
      <c r="A3054" t="n">
        <v>45</v>
      </c>
      <c r="B3054" t="n">
        <v>345</v>
      </c>
      <c r="C3054" t="n">
        <v>9</v>
      </c>
      <c r="D3054" s="218" t="n">
        <v>67.93</v>
      </c>
      <c r="E3054" s="218" t="n">
        <v>2.26</v>
      </c>
      <c r="F3054" t="str">
        <v>https://re.jrc.ec.europa.eu/api/v5_3/PVcalc?lat=30.0444&amp;lon=31.2357&amp;peakpower=1&amp;loss=14&amp;angle=45&amp;aspect=165&amp;outputformat=json&amp;raddatabase=PVGIS-SARAH3&amp;pvtechchoice=crystSi&amp;mountingplace=free&amp;usehorizon=1</v>
      </c>
    </row>
    <row r="3055">
      <c r="A3055" t="n">
        <v>45</v>
      </c>
      <c r="B3055" t="n">
        <v>345</v>
      </c>
      <c r="C3055" t="n">
        <v>10</v>
      </c>
      <c r="D3055" s="218" t="n">
        <v>34.38</v>
      </c>
      <c r="E3055" s="218" t="n">
        <v>1.11</v>
      </c>
      <c r="F3055" t="str">
        <v>https://re.jrc.ec.europa.eu/api/v5_3/PVcalc?lat=30.0444&amp;lon=31.2357&amp;peakpower=1&amp;loss=14&amp;angle=45&amp;aspect=165&amp;outputformat=json&amp;raddatabase=PVGIS-SARAH3&amp;pvtechchoice=crystSi&amp;mountingplace=free&amp;usehorizon=1</v>
      </c>
    </row>
    <row r="3056">
      <c r="A3056" t="n">
        <v>45</v>
      </c>
      <c r="B3056" t="n">
        <v>345</v>
      </c>
      <c r="C3056" t="n">
        <v>11</v>
      </c>
      <c r="D3056" s="218" t="n">
        <v>21.06</v>
      </c>
      <c r="E3056" s="218" t="n">
        <v>0.7</v>
      </c>
      <c r="F3056" t="str">
        <v>https://re.jrc.ec.europa.eu/api/v5_3/PVcalc?lat=30.0444&amp;lon=31.2357&amp;peakpower=1&amp;loss=14&amp;angle=45&amp;aspect=165&amp;outputformat=json&amp;raddatabase=PVGIS-SARAH3&amp;pvtechchoice=crystSi&amp;mountingplace=free&amp;usehorizon=1</v>
      </c>
    </row>
    <row r="3057">
      <c r="A3057" t="n">
        <v>45</v>
      </c>
      <c r="B3057" t="n">
        <v>345</v>
      </c>
      <c r="C3057" t="n">
        <v>12</v>
      </c>
      <c r="D3057" s="218" t="n">
        <v>20.92</v>
      </c>
      <c r="E3057" s="218" t="n">
        <v>0.67</v>
      </c>
      <c r="F3057" t="str">
        <v>https://re.jrc.ec.europa.eu/api/v5_3/PVcalc?lat=30.0444&amp;lon=31.2357&amp;peakpower=1&amp;loss=14&amp;angle=45&amp;aspect=165&amp;outputformat=json&amp;raddatabase=PVGIS-SARAH3&amp;pvtechchoice=crystSi&amp;mountingplace=free&amp;usehorizon=1</v>
      </c>
    </row>
    <row r="3058">
      <c r="A3058" t="n">
        <v>45</v>
      </c>
      <c r="B3058" t="n">
        <v>360</v>
      </c>
      <c r="C3058" t="n">
        <v>1</v>
      </c>
      <c r="D3058" s="218" t="n">
        <v>22.53</v>
      </c>
      <c r="E3058" s="218" t="n">
        <v>0.73</v>
      </c>
      <c r="F3058" t="str">
        <v>https://re.jrc.ec.europa.eu/api/v5_3/PVcalc?lat=30.0444&amp;lon=31.2357&amp;peakpower=1&amp;loss=14&amp;angle=45&amp;aspect=180&amp;outputformat=json&amp;raddatabase=PVGIS-SARAH3&amp;pvtechchoice=crystSi&amp;mountingplace=free&amp;usehorizon=1</v>
      </c>
    </row>
    <row r="3059">
      <c r="A3059" t="n">
        <v>45</v>
      </c>
      <c r="B3059" t="n">
        <v>360</v>
      </c>
      <c r="C3059" t="n">
        <v>2</v>
      </c>
      <c r="D3059" s="218" t="n">
        <v>25.36</v>
      </c>
      <c r="E3059" s="218" t="n">
        <v>0.91</v>
      </c>
      <c r="F3059" t="str">
        <v>https://re.jrc.ec.europa.eu/api/v5_3/PVcalc?lat=30.0444&amp;lon=31.2357&amp;peakpower=1&amp;loss=14&amp;angle=45&amp;aspect=180&amp;outputformat=json&amp;raddatabase=PVGIS-SARAH3&amp;pvtechchoice=crystSi&amp;mountingplace=free&amp;usehorizon=1</v>
      </c>
    </row>
    <row r="3060">
      <c r="A3060" t="n">
        <v>45</v>
      </c>
      <c r="B3060" t="n">
        <v>360</v>
      </c>
      <c r="C3060" t="n">
        <v>3</v>
      </c>
      <c r="D3060" s="218" t="n">
        <v>51.4</v>
      </c>
      <c r="E3060" s="218" t="n">
        <v>1.66</v>
      </c>
      <c r="F3060" t="str">
        <v>https://re.jrc.ec.europa.eu/api/v5_3/PVcalc?lat=30.0444&amp;lon=31.2357&amp;peakpower=1&amp;loss=14&amp;angle=45&amp;aspect=180&amp;outputformat=json&amp;raddatabase=PVGIS-SARAH3&amp;pvtechchoice=crystSi&amp;mountingplace=free&amp;usehorizon=1</v>
      </c>
    </row>
    <row r="3061">
      <c r="A3061" t="n">
        <v>45</v>
      </c>
      <c r="B3061" t="n">
        <v>360</v>
      </c>
      <c r="C3061" t="n">
        <v>4</v>
      </c>
      <c r="D3061" s="218" t="n">
        <v>92.36</v>
      </c>
      <c r="E3061" s="218" t="n">
        <v>3.08</v>
      </c>
      <c r="F3061" t="str">
        <v>https://re.jrc.ec.europa.eu/api/v5_3/PVcalc?lat=30.0444&amp;lon=31.2357&amp;peakpower=1&amp;loss=14&amp;angle=45&amp;aspect=180&amp;outputformat=json&amp;raddatabase=PVGIS-SARAH3&amp;pvtechchoice=crystSi&amp;mountingplace=free&amp;usehorizon=1</v>
      </c>
    </row>
    <row r="3062">
      <c r="A3062" t="n">
        <v>45</v>
      </c>
      <c r="B3062" t="n">
        <v>360</v>
      </c>
      <c r="C3062" t="n">
        <v>5</v>
      </c>
      <c r="D3062" s="218" t="n">
        <v>130.08</v>
      </c>
      <c r="E3062" s="218" t="n">
        <v>4.2</v>
      </c>
      <c r="F3062" t="str">
        <v>https://re.jrc.ec.europa.eu/api/v5_3/PVcalc?lat=30.0444&amp;lon=31.2357&amp;peakpower=1&amp;loss=14&amp;angle=45&amp;aspect=180&amp;outputformat=json&amp;raddatabase=PVGIS-SARAH3&amp;pvtechchoice=crystSi&amp;mountingplace=free&amp;usehorizon=1</v>
      </c>
    </row>
    <row r="3063">
      <c r="A3063" t="n">
        <v>45</v>
      </c>
      <c r="B3063" t="n">
        <v>360</v>
      </c>
      <c r="C3063" t="n">
        <v>6</v>
      </c>
      <c r="D3063" s="218" t="n">
        <v>145.23</v>
      </c>
      <c r="E3063" s="218" t="n">
        <v>4.84</v>
      </c>
      <c r="F3063" t="str">
        <v>https://re.jrc.ec.europa.eu/api/v5_3/PVcalc?lat=30.0444&amp;lon=31.2357&amp;peakpower=1&amp;loss=14&amp;angle=45&amp;aspect=180&amp;outputformat=json&amp;raddatabase=PVGIS-SARAH3&amp;pvtechchoice=crystSi&amp;mountingplace=free&amp;usehorizon=1</v>
      </c>
    </row>
    <row r="3064">
      <c r="A3064" t="n">
        <v>45</v>
      </c>
      <c r="B3064" t="n">
        <v>360</v>
      </c>
      <c r="C3064" t="n">
        <v>7</v>
      </c>
      <c r="D3064" s="218" t="n">
        <v>141.08</v>
      </c>
      <c r="E3064" s="218" t="n">
        <v>4.55</v>
      </c>
      <c r="F3064" t="str">
        <v>https://re.jrc.ec.europa.eu/api/v5_3/PVcalc?lat=30.0444&amp;lon=31.2357&amp;peakpower=1&amp;loss=14&amp;angle=45&amp;aspect=180&amp;outputformat=json&amp;raddatabase=PVGIS-SARAH3&amp;pvtechchoice=crystSi&amp;mountingplace=free&amp;usehorizon=1</v>
      </c>
    </row>
    <row r="3065">
      <c r="A3065" t="n">
        <v>45</v>
      </c>
      <c r="B3065" t="n">
        <v>360</v>
      </c>
      <c r="C3065" t="n">
        <v>8</v>
      </c>
      <c r="D3065" s="218" t="n">
        <v>108.7</v>
      </c>
      <c r="E3065" s="218" t="n">
        <v>3.51</v>
      </c>
      <c r="F3065" t="str">
        <v>https://re.jrc.ec.europa.eu/api/v5_3/PVcalc?lat=30.0444&amp;lon=31.2357&amp;peakpower=1&amp;loss=14&amp;angle=45&amp;aspect=180&amp;outputformat=json&amp;raddatabase=PVGIS-SARAH3&amp;pvtechchoice=crystSi&amp;mountingplace=free&amp;usehorizon=1</v>
      </c>
    </row>
    <row r="3066">
      <c r="A3066" t="n">
        <v>45</v>
      </c>
      <c r="B3066" t="n">
        <v>360</v>
      </c>
      <c r="C3066" t="n">
        <v>9</v>
      </c>
      <c r="D3066" s="218" t="n">
        <v>62.1</v>
      </c>
      <c r="E3066" s="218" t="n">
        <v>2.07</v>
      </c>
      <c r="F3066" t="str">
        <v>https://re.jrc.ec.europa.eu/api/v5_3/PVcalc?lat=30.0444&amp;lon=31.2357&amp;peakpower=1&amp;loss=14&amp;angle=45&amp;aspect=180&amp;outputformat=json&amp;raddatabase=PVGIS-SARAH3&amp;pvtechchoice=crystSi&amp;mountingplace=free&amp;usehorizon=1</v>
      </c>
    </row>
    <row r="3067">
      <c r="A3067" t="n">
        <v>45</v>
      </c>
      <c r="B3067" t="n">
        <v>360</v>
      </c>
      <c r="C3067" t="n">
        <v>10</v>
      </c>
      <c r="D3067" s="218" t="n">
        <v>28.25</v>
      </c>
      <c r="E3067" s="218" t="n">
        <v>0.91</v>
      </c>
      <c r="F3067" t="str">
        <v>https://re.jrc.ec.europa.eu/api/v5_3/PVcalc?lat=30.0444&amp;lon=31.2357&amp;peakpower=1&amp;loss=14&amp;angle=45&amp;aspect=180&amp;outputformat=json&amp;raddatabase=PVGIS-SARAH3&amp;pvtechchoice=crystSi&amp;mountingplace=free&amp;usehorizon=1</v>
      </c>
    </row>
    <row r="3068">
      <c r="A3068" t="n">
        <v>45</v>
      </c>
      <c r="B3068" t="n">
        <v>360</v>
      </c>
      <c r="C3068" t="n">
        <v>11</v>
      </c>
      <c r="D3068" s="218" t="n">
        <v>21.56</v>
      </c>
      <c r="E3068" s="218" t="n">
        <v>0.72</v>
      </c>
      <c r="F3068" t="str">
        <v>https://re.jrc.ec.europa.eu/api/v5_3/PVcalc?lat=30.0444&amp;lon=31.2357&amp;peakpower=1&amp;loss=14&amp;angle=45&amp;aspect=180&amp;outputformat=json&amp;raddatabase=PVGIS-SARAH3&amp;pvtechchoice=crystSi&amp;mountingplace=free&amp;usehorizon=1</v>
      </c>
    </row>
    <row r="3069">
      <c r="A3069" t="n">
        <v>45</v>
      </c>
      <c r="B3069" t="n">
        <v>360</v>
      </c>
      <c r="C3069" t="n">
        <v>12</v>
      </c>
      <c r="D3069" s="218" t="n">
        <v>20.92</v>
      </c>
      <c r="E3069" s="218" t="n">
        <v>0.67</v>
      </c>
      <c r="F3069" t="str">
        <v>https://re.jrc.ec.europa.eu/api/v5_3/PVcalc?lat=30.0444&amp;lon=31.2357&amp;peakpower=1&amp;loss=14&amp;angle=45&amp;aspect=180&amp;outputformat=json&amp;raddatabase=PVGIS-SARAH3&amp;pvtechchoice=crystSi&amp;mountingplace=free&amp;usehorizon=1</v>
      </c>
    </row>
    <row r="3070">
      <c r="A3070" t="n">
        <v>50</v>
      </c>
      <c r="B3070" t="n">
        <v>0</v>
      </c>
      <c r="C3070" t="n">
        <v>1</v>
      </c>
      <c r="D3070" s="218" t="n">
        <v>21.3</v>
      </c>
      <c r="E3070" s="218" t="n">
        <v>0.69</v>
      </c>
      <c r="F3070" t="str">
        <v>https://re.jrc.ec.europa.eu/api/v5_3/PVcalc?lat=30.0444&amp;lon=31.2357&amp;peakpower=1&amp;loss=14&amp;angle=50&amp;aspect=-180&amp;outputformat=json&amp;raddatabase=PVGIS-SARAH3&amp;pvtechchoice=crystSi&amp;mountingplace=free&amp;usehorizon=1</v>
      </c>
    </row>
    <row r="3071">
      <c r="A3071" t="n">
        <v>50</v>
      </c>
      <c r="B3071" t="n">
        <v>0</v>
      </c>
      <c r="C3071" t="n">
        <v>2</v>
      </c>
      <c r="D3071" s="218" t="n">
        <v>24.4</v>
      </c>
      <c r="E3071" s="218" t="n">
        <v>0.87</v>
      </c>
      <c r="F3071" t="str">
        <v>https://re.jrc.ec.europa.eu/api/v5_3/PVcalc?lat=30.0444&amp;lon=31.2357&amp;peakpower=1&amp;loss=14&amp;angle=50&amp;aspect=-180&amp;outputformat=json&amp;raddatabase=PVGIS-SARAH3&amp;pvtechchoice=crystSi&amp;mountingplace=free&amp;usehorizon=1</v>
      </c>
    </row>
    <row r="3072">
      <c r="A3072" t="n">
        <v>50</v>
      </c>
      <c r="B3072" t="n">
        <v>0</v>
      </c>
      <c r="C3072" t="n">
        <v>3</v>
      </c>
      <c r="D3072" s="218" t="n">
        <v>40.67</v>
      </c>
      <c r="E3072" s="218" t="n">
        <v>1.31</v>
      </c>
      <c r="F3072" t="str">
        <v>https://re.jrc.ec.europa.eu/api/v5_3/PVcalc?lat=30.0444&amp;lon=31.2357&amp;peakpower=1&amp;loss=14&amp;angle=50&amp;aspect=-180&amp;outputformat=json&amp;raddatabase=PVGIS-SARAH3&amp;pvtechchoice=crystSi&amp;mountingplace=free&amp;usehorizon=1</v>
      </c>
    </row>
    <row r="3073">
      <c r="A3073" t="n">
        <v>50</v>
      </c>
      <c r="B3073" t="n">
        <v>0</v>
      </c>
      <c r="C3073" t="n">
        <v>4</v>
      </c>
      <c r="D3073" s="218" t="n">
        <v>80.45</v>
      </c>
      <c r="E3073" s="218" t="n">
        <v>2.68</v>
      </c>
      <c r="F3073" t="str">
        <v>https://re.jrc.ec.europa.eu/api/v5_3/PVcalc?lat=30.0444&amp;lon=31.2357&amp;peakpower=1&amp;loss=14&amp;angle=50&amp;aspect=-180&amp;outputformat=json&amp;raddatabase=PVGIS-SARAH3&amp;pvtechchoice=crystSi&amp;mountingplace=free&amp;usehorizon=1</v>
      </c>
    </row>
    <row r="3074">
      <c r="A3074" t="n">
        <v>50</v>
      </c>
      <c r="B3074" t="n">
        <v>0</v>
      </c>
      <c r="C3074" t="n">
        <v>5</v>
      </c>
      <c r="D3074" s="218" t="n">
        <v>119.64</v>
      </c>
      <c r="E3074" s="218" t="n">
        <v>3.86</v>
      </c>
      <c r="F3074" t="str">
        <v>https://re.jrc.ec.europa.eu/api/v5_3/PVcalc?lat=30.0444&amp;lon=31.2357&amp;peakpower=1&amp;loss=14&amp;angle=50&amp;aspect=-180&amp;outputformat=json&amp;raddatabase=PVGIS-SARAH3&amp;pvtechchoice=crystSi&amp;mountingplace=free&amp;usehorizon=1</v>
      </c>
    </row>
    <row r="3075">
      <c r="A3075" t="n">
        <v>50</v>
      </c>
      <c r="B3075" t="n">
        <v>0</v>
      </c>
      <c r="C3075" t="n">
        <v>6</v>
      </c>
      <c r="D3075" s="218" t="n">
        <v>135.56</v>
      </c>
      <c r="E3075" s="218" t="n">
        <v>4.52</v>
      </c>
      <c r="F3075" t="str">
        <v>https://re.jrc.ec.europa.eu/api/v5_3/PVcalc?lat=30.0444&amp;lon=31.2357&amp;peakpower=1&amp;loss=14&amp;angle=50&amp;aspect=-180&amp;outputformat=json&amp;raddatabase=PVGIS-SARAH3&amp;pvtechchoice=crystSi&amp;mountingplace=free&amp;usehorizon=1</v>
      </c>
    </row>
    <row r="3076">
      <c r="A3076" t="n">
        <v>50</v>
      </c>
      <c r="B3076" t="n">
        <v>0</v>
      </c>
      <c r="C3076" t="n">
        <v>7</v>
      </c>
      <c r="D3076" s="218" t="n">
        <v>130.58</v>
      </c>
      <c r="E3076" s="218" t="n">
        <v>4.21</v>
      </c>
      <c r="F3076" t="str">
        <v>https://re.jrc.ec.europa.eu/api/v5_3/PVcalc?lat=30.0444&amp;lon=31.2357&amp;peakpower=1&amp;loss=14&amp;angle=50&amp;aspect=-180&amp;outputformat=json&amp;raddatabase=PVGIS-SARAH3&amp;pvtechchoice=crystSi&amp;mountingplace=free&amp;usehorizon=1</v>
      </c>
    </row>
    <row r="3077">
      <c r="A3077" t="n">
        <v>50</v>
      </c>
      <c r="B3077" t="n">
        <v>0</v>
      </c>
      <c r="C3077" t="n">
        <v>8</v>
      </c>
      <c r="D3077" s="218" t="n">
        <v>96.42</v>
      </c>
      <c r="E3077" s="218" t="n">
        <v>3.11</v>
      </c>
      <c r="F3077" t="str">
        <v>https://re.jrc.ec.europa.eu/api/v5_3/PVcalc?lat=30.0444&amp;lon=31.2357&amp;peakpower=1&amp;loss=14&amp;angle=50&amp;aspect=-180&amp;outputformat=json&amp;raddatabase=PVGIS-SARAH3&amp;pvtechchoice=crystSi&amp;mountingplace=free&amp;usehorizon=1</v>
      </c>
    </row>
    <row r="3078">
      <c r="A3078" t="n">
        <v>50</v>
      </c>
      <c r="B3078" t="n">
        <v>0</v>
      </c>
      <c r="C3078" t="n">
        <v>9</v>
      </c>
      <c r="D3078" s="218" t="n">
        <v>49.38</v>
      </c>
      <c r="E3078" s="218" t="n">
        <v>1.65</v>
      </c>
      <c r="F3078" t="str">
        <v>https://re.jrc.ec.europa.eu/api/v5_3/PVcalc?lat=30.0444&amp;lon=31.2357&amp;peakpower=1&amp;loss=14&amp;angle=50&amp;aspect=-180&amp;outputformat=json&amp;raddatabase=PVGIS-SARAH3&amp;pvtechchoice=crystSi&amp;mountingplace=free&amp;usehorizon=1</v>
      </c>
    </row>
    <row r="3079">
      <c r="A3079" t="n">
        <v>50</v>
      </c>
      <c r="B3079" t="n">
        <v>0</v>
      </c>
      <c r="C3079" t="n">
        <v>10</v>
      </c>
      <c r="D3079" s="218" t="n">
        <v>24.43</v>
      </c>
      <c r="E3079" s="218" t="n">
        <v>0.79</v>
      </c>
      <c r="F3079" t="str">
        <v>https://re.jrc.ec.europa.eu/api/v5_3/PVcalc?lat=30.0444&amp;lon=31.2357&amp;peakpower=1&amp;loss=14&amp;angle=50&amp;aspect=-180&amp;outputformat=json&amp;raddatabase=PVGIS-SARAH3&amp;pvtechchoice=crystSi&amp;mountingplace=free&amp;usehorizon=1</v>
      </c>
    </row>
    <row r="3080">
      <c r="A3080" t="n">
        <v>50</v>
      </c>
      <c r="B3080" t="n">
        <v>0</v>
      </c>
      <c r="C3080" t="n">
        <v>11</v>
      </c>
      <c r="D3080" s="218" t="n">
        <v>20.47</v>
      </c>
      <c r="E3080" s="218" t="n">
        <v>0.68</v>
      </c>
      <c r="F3080" t="str">
        <v>https://re.jrc.ec.europa.eu/api/v5_3/PVcalc?lat=30.0444&amp;lon=31.2357&amp;peakpower=1&amp;loss=14&amp;angle=50&amp;aspect=-180&amp;outputformat=json&amp;raddatabase=PVGIS-SARAH3&amp;pvtechchoice=crystSi&amp;mountingplace=free&amp;usehorizon=1</v>
      </c>
    </row>
    <row r="3081">
      <c r="A3081" t="n">
        <v>50</v>
      </c>
      <c r="B3081" t="n">
        <v>0</v>
      </c>
      <c r="C3081" t="n">
        <v>12</v>
      </c>
      <c r="D3081" s="218" t="n">
        <v>19.77</v>
      </c>
      <c r="E3081" s="218" t="n">
        <v>0.64</v>
      </c>
      <c r="F3081" t="str">
        <v>https://re.jrc.ec.europa.eu/api/v5_3/PVcalc?lat=30.0444&amp;lon=31.2357&amp;peakpower=1&amp;loss=14&amp;angle=50&amp;aspect=-180&amp;outputformat=json&amp;raddatabase=PVGIS-SARAH3&amp;pvtechchoice=crystSi&amp;mountingplace=free&amp;usehorizon=1</v>
      </c>
    </row>
    <row r="3082">
      <c r="A3082" t="n">
        <v>50</v>
      </c>
      <c r="B3082" t="n">
        <v>15</v>
      </c>
      <c r="C3082" t="n">
        <v>1</v>
      </c>
      <c r="D3082" s="218" t="n">
        <v>21.3</v>
      </c>
      <c r="E3082" s="218" t="n">
        <v>0.69</v>
      </c>
      <c r="F3082" t="str">
        <v>https://re.jrc.ec.europa.eu/api/v5_3/PVcalc?lat=30.0444&amp;lon=31.2357&amp;peakpower=1&amp;loss=14&amp;angle=50&amp;aspect=-165&amp;outputformat=json&amp;raddatabase=PVGIS-SARAH3&amp;pvtechchoice=crystSi&amp;mountingplace=free&amp;usehorizon=1</v>
      </c>
    </row>
    <row r="3083">
      <c r="A3083" t="n">
        <v>50</v>
      </c>
      <c r="B3083" t="n">
        <v>15</v>
      </c>
      <c r="C3083" t="n">
        <v>2</v>
      </c>
      <c r="D3083" s="218" t="n">
        <v>25.33</v>
      </c>
      <c r="E3083" s="218" t="n">
        <v>0.9</v>
      </c>
      <c r="F3083" t="str">
        <v>https://re.jrc.ec.europa.eu/api/v5_3/PVcalc?lat=30.0444&amp;lon=31.2357&amp;peakpower=1&amp;loss=14&amp;angle=50&amp;aspect=-165&amp;outputformat=json&amp;raddatabase=PVGIS-SARAH3&amp;pvtechchoice=crystSi&amp;mountingplace=free&amp;usehorizon=1</v>
      </c>
    </row>
    <row r="3084">
      <c r="A3084" t="n">
        <v>50</v>
      </c>
      <c r="B3084" t="n">
        <v>15</v>
      </c>
      <c r="C3084" t="n">
        <v>3</v>
      </c>
      <c r="D3084" s="218" t="n">
        <v>47.93</v>
      </c>
      <c r="E3084" s="218" t="n">
        <v>1.55</v>
      </c>
      <c r="F3084" t="str">
        <v>https://re.jrc.ec.europa.eu/api/v5_3/PVcalc?lat=30.0444&amp;lon=31.2357&amp;peakpower=1&amp;loss=14&amp;angle=50&amp;aspect=-165&amp;outputformat=json&amp;raddatabase=PVGIS-SARAH3&amp;pvtechchoice=crystSi&amp;mountingplace=free&amp;usehorizon=1</v>
      </c>
    </row>
    <row r="3085">
      <c r="A3085" t="n">
        <v>50</v>
      </c>
      <c r="B3085" t="n">
        <v>15</v>
      </c>
      <c r="C3085" t="n">
        <v>4</v>
      </c>
      <c r="D3085" s="218" t="n">
        <v>81.63</v>
      </c>
      <c r="E3085" s="218" t="n">
        <v>2.72</v>
      </c>
      <c r="F3085" t="str">
        <v>https://re.jrc.ec.europa.eu/api/v5_3/PVcalc?lat=30.0444&amp;lon=31.2357&amp;peakpower=1&amp;loss=14&amp;angle=50&amp;aspect=-165&amp;outputformat=json&amp;raddatabase=PVGIS-SARAH3&amp;pvtechchoice=crystSi&amp;mountingplace=free&amp;usehorizon=1</v>
      </c>
    </row>
    <row r="3086">
      <c r="A3086" t="n">
        <v>50</v>
      </c>
      <c r="B3086" t="n">
        <v>15</v>
      </c>
      <c r="C3086" t="n">
        <v>5</v>
      </c>
      <c r="D3086" s="218" t="n">
        <v>118.21</v>
      </c>
      <c r="E3086" s="218" t="n">
        <v>3.81</v>
      </c>
      <c r="F3086" t="str">
        <v>https://re.jrc.ec.europa.eu/api/v5_3/PVcalc?lat=30.0444&amp;lon=31.2357&amp;peakpower=1&amp;loss=14&amp;angle=50&amp;aspect=-165&amp;outputformat=json&amp;raddatabase=PVGIS-SARAH3&amp;pvtechchoice=crystSi&amp;mountingplace=free&amp;usehorizon=1</v>
      </c>
    </row>
    <row r="3087">
      <c r="A3087" t="n">
        <v>50</v>
      </c>
      <c r="B3087" t="n">
        <v>15</v>
      </c>
      <c r="C3087" t="n">
        <v>6</v>
      </c>
      <c r="D3087" s="218" t="n">
        <v>132.22</v>
      </c>
      <c r="E3087" s="218" t="n">
        <v>4.41</v>
      </c>
      <c r="F3087" t="str">
        <v>https://re.jrc.ec.europa.eu/api/v5_3/PVcalc?lat=30.0444&amp;lon=31.2357&amp;peakpower=1&amp;loss=14&amp;angle=50&amp;aspect=-165&amp;outputformat=json&amp;raddatabase=PVGIS-SARAH3&amp;pvtechchoice=crystSi&amp;mountingplace=free&amp;usehorizon=1</v>
      </c>
    </row>
    <row r="3088">
      <c r="A3088" t="n">
        <v>50</v>
      </c>
      <c r="B3088" t="n">
        <v>15</v>
      </c>
      <c r="C3088" t="n">
        <v>7</v>
      </c>
      <c r="D3088" s="218" t="n">
        <v>126.67</v>
      </c>
      <c r="E3088" s="218" t="n">
        <v>4.09</v>
      </c>
      <c r="F3088" t="str">
        <v>https://re.jrc.ec.europa.eu/api/v5_3/PVcalc?lat=30.0444&amp;lon=31.2357&amp;peakpower=1&amp;loss=14&amp;angle=50&amp;aspect=-165&amp;outputformat=json&amp;raddatabase=PVGIS-SARAH3&amp;pvtechchoice=crystSi&amp;mountingplace=free&amp;usehorizon=1</v>
      </c>
    </row>
    <row r="3089">
      <c r="A3089" t="n">
        <v>50</v>
      </c>
      <c r="B3089" t="n">
        <v>15</v>
      </c>
      <c r="C3089" t="n">
        <v>8</v>
      </c>
      <c r="D3089" s="218" t="n">
        <v>95.07</v>
      </c>
      <c r="E3089" s="218" t="n">
        <v>3.07</v>
      </c>
      <c r="F3089" t="str">
        <v>https://re.jrc.ec.europa.eu/api/v5_3/PVcalc?lat=30.0444&amp;lon=31.2357&amp;peakpower=1&amp;loss=14&amp;angle=50&amp;aspect=-165&amp;outputformat=json&amp;raddatabase=PVGIS-SARAH3&amp;pvtechchoice=crystSi&amp;mountingplace=free&amp;usehorizon=1</v>
      </c>
    </row>
    <row r="3090">
      <c r="A3090" t="n">
        <v>50</v>
      </c>
      <c r="B3090" t="n">
        <v>15</v>
      </c>
      <c r="C3090" t="n">
        <v>9</v>
      </c>
      <c r="D3090" s="218" t="n">
        <v>54.31</v>
      </c>
      <c r="E3090" s="218" t="n">
        <v>1.81</v>
      </c>
      <c r="F3090" t="str">
        <v>https://re.jrc.ec.europa.eu/api/v5_3/PVcalc?lat=30.0444&amp;lon=31.2357&amp;peakpower=1&amp;loss=14&amp;angle=50&amp;aspect=-165&amp;outputformat=json&amp;raddatabase=PVGIS-SARAH3&amp;pvtechchoice=crystSi&amp;mountingplace=free&amp;usehorizon=1</v>
      </c>
    </row>
    <row r="3091">
      <c r="A3091" t="n">
        <v>50</v>
      </c>
      <c r="B3091" t="n">
        <v>15</v>
      </c>
      <c r="C3091" t="n">
        <v>10</v>
      </c>
      <c r="D3091" s="218" t="n">
        <v>28.79</v>
      </c>
      <c r="E3091" s="218" t="n">
        <v>0.93</v>
      </c>
      <c r="F3091" t="str">
        <v>https://re.jrc.ec.europa.eu/api/v5_3/PVcalc?lat=30.0444&amp;lon=31.2357&amp;peakpower=1&amp;loss=14&amp;angle=50&amp;aspect=-165&amp;outputformat=json&amp;raddatabase=PVGIS-SARAH3&amp;pvtechchoice=crystSi&amp;mountingplace=free&amp;usehorizon=1</v>
      </c>
    </row>
    <row r="3092">
      <c r="A3092" t="n">
        <v>50</v>
      </c>
      <c r="B3092" t="n">
        <v>15</v>
      </c>
      <c r="C3092" t="n">
        <v>11</v>
      </c>
      <c r="D3092" s="218" t="n">
        <v>20.39</v>
      </c>
      <c r="E3092" s="218" t="n">
        <v>0.68</v>
      </c>
      <c r="F3092" t="str">
        <v>https://re.jrc.ec.europa.eu/api/v5_3/PVcalc?lat=30.0444&amp;lon=31.2357&amp;peakpower=1&amp;loss=14&amp;angle=50&amp;aspect=-165&amp;outputformat=json&amp;raddatabase=PVGIS-SARAH3&amp;pvtechchoice=crystSi&amp;mountingplace=free&amp;usehorizon=1</v>
      </c>
    </row>
    <row r="3093">
      <c r="A3093" t="n">
        <v>50</v>
      </c>
      <c r="B3093" t="n">
        <v>15</v>
      </c>
      <c r="C3093" t="n">
        <v>12</v>
      </c>
      <c r="D3093" s="218" t="n">
        <v>19.77</v>
      </c>
      <c r="E3093" s="218" t="n">
        <v>0.64</v>
      </c>
      <c r="F3093" t="str">
        <v>https://re.jrc.ec.europa.eu/api/v5_3/PVcalc?lat=30.0444&amp;lon=31.2357&amp;peakpower=1&amp;loss=14&amp;angle=50&amp;aspect=-165&amp;outputformat=json&amp;raddatabase=PVGIS-SARAH3&amp;pvtechchoice=crystSi&amp;mountingplace=free&amp;usehorizon=1</v>
      </c>
    </row>
    <row r="3094">
      <c r="A3094" t="n">
        <v>50</v>
      </c>
      <c r="B3094" t="n">
        <v>30</v>
      </c>
      <c r="C3094" t="n">
        <v>1</v>
      </c>
      <c r="D3094" s="218" t="n">
        <v>22.55</v>
      </c>
      <c r="E3094" s="218" t="n">
        <v>0.73</v>
      </c>
      <c r="F3094" t="str">
        <v>https://re.jrc.ec.europa.eu/api/v5_3/PVcalc?lat=30.0444&amp;lon=31.2357&amp;peakpower=1&amp;loss=14&amp;angle=50&amp;aspect=-150&amp;outputformat=json&amp;raddatabase=PVGIS-SARAH3&amp;pvtechchoice=crystSi&amp;mountingplace=free&amp;usehorizon=1</v>
      </c>
    </row>
    <row r="3095">
      <c r="A3095" t="n">
        <v>50</v>
      </c>
      <c r="B3095" t="n">
        <v>30</v>
      </c>
      <c r="C3095" t="n">
        <v>2</v>
      </c>
      <c r="D3095" s="218" t="n">
        <v>33.58</v>
      </c>
      <c r="E3095" s="218" t="n">
        <v>1.2</v>
      </c>
      <c r="F3095" t="str">
        <v>https://re.jrc.ec.europa.eu/api/v5_3/PVcalc?lat=30.0444&amp;lon=31.2357&amp;peakpower=1&amp;loss=14&amp;angle=50&amp;aspect=-150&amp;outputformat=json&amp;raddatabase=PVGIS-SARAH3&amp;pvtechchoice=crystSi&amp;mountingplace=free&amp;usehorizon=1</v>
      </c>
    </row>
    <row r="3096">
      <c r="A3096" t="n">
        <v>50</v>
      </c>
      <c r="B3096" t="n">
        <v>30</v>
      </c>
      <c r="C3096" t="n">
        <v>3</v>
      </c>
      <c r="D3096" s="218" t="n">
        <v>61.37</v>
      </c>
      <c r="E3096" s="218" t="n">
        <v>1.98</v>
      </c>
      <c r="F3096" t="str">
        <v>https://re.jrc.ec.europa.eu/api/v5_3/PVcalc?lat=30.0444&amp;lon=31.2357&amp;peakpower=1&amp;loss=14&amp;angle=50&amp;aspect=-150&amp;outputformat=json&amp;raddatabase=PVGIS-SARAH3&amp;pvtechchoice=crystSi&amp;mountingplace=free&amp;usehorizon=1</v>
      </c>
    </row>
    <row r="3097">
      <c r="A3097" t="n">
        <v>50</v>
      </c>
      <c r="B3097" t="n">
        <v>30</v>
      </c>
      <c r="C3097" t="n">
        <v>4</v>
      </c>
      <c r="D3097" s="218" t="n">
        <v>89.14</v>
      </c>
      <c r="E3097" s="218" t="n">
        <v>2.97</v>
      </c>
      <c r="F3097" t="str">
        <v>https://re.jrc.ec.europa.eu/api/v5_3/PVcalc?lat=30.0444&amp;lon=31.2357&amp;peakpower=1&amp;loss=14&amp;angle=50&amp;aspect=-150&amp;outputformat=json&amp;raddatabase=PVGIS-SARAH3&amp;pvtechchoice=crystSi&amp;mountingplace=free&amp;usehorizon=1</v>
      </c>
    </row>
    <row r="3098">
      <c r="A3098" t="n">
        <v>50</v>
      </c>
      <c r="B3098" t="n">
        <v>30</v>
      </c>
      <c r="C3098" t="n">
        <v>5</v>
      </c>
      <c r="D3098" s="218" t="n">
        <v>118.91</v>
      </c>
      <c r="E3098" s="218" t="n">
        <v>3.84</v>
      </c>
      <c r="F3098" t="str">
        <v>https://re.jrc.ec.europa.eu/api/v5_3/PVcalc?lat=30.0444&amp;lon=31.2357&amp;peakpower=1&amp;loss=14&amp;angle=50&amp;aspect=-150&amp;outputformat=json&amp;raddatabase=PVGIS-SARAH3&amp;pvtechchoice=crystSi&amp;mountingplace=free&amp;usehorizon=1</v>
      </c>
    </row>
    <row r="3099">
      <c r="A3099" t="n">
        <v>50</v>
      </c>
      <c r="B3099" t="n">
        <v>30</v>
      </c>
      <c r="C3099" t="n">
        <v>6</v>
      </c>
      <c r="D3099" s="218" t="n">
        <v>129.02</v>
      </c>
      <c r="E3099" s="218" t="n">
        <v>4.3</v>
      </c>
      <c r="F3099" t="str">
        <v>https://re.jrc.ec.europa.eu/api/v5_3/PVcalc?lat=30.0444&amp;lon=31.2357&amp;peakpower=1&amp;loss=14&amp;angle=50&amp;aspect=-150&amp;outputformat=json&amp;raddatabase=PVGIS-SARAH3&amp;pvtechchoice=crystSi&amp;mountingplace=free&amp;usehorizon=1</v>
      </c>
    </row>
    <row r="3100">
      <c r="A3100" t="n">
        <v>50</v>
      </c>
      <c r="B3100" t="n">
        <v>30</v>
      </c>
      <c r="C3100" t="n">
        <v>7</v>
      </c>
      <c r="D3100" s="218" t="n">
        <v>124.28</v>
      </c>
      <c r="E3100" s="218" t="n">
        <v>4.01</v>
      </c>
      <c r="F3100" t="str">
        <v>https://re.jrc.ec.europa.eu/api/v5_3/PVcalc?lat=30.0444&amp;lon=31.2357&amp;peakpower=1&amp;loss=14&amp;angle=50&amp;aspect=-150&amp;outputformat=json&amp;raddatabase=PVGIS-SARAH3&amp;pvtechchoice=crystSi&amp;mountingplace=free&amp;usehorizon=1</v>
      </c>
    </row>
    <row r="3101">
      <c r="A3101" t="n">
        <v>50</v>
      </c>
      <c r="B3101" t="n">
        <v>30</v>
      </c>
      <c r="C3101" t="n">
        <v>8</v>
      </c>
      <c r="D3101" s="218" t="n">
        <v>99.91</v>
      </c>
      <c r="E3101" s="218" t="n">
        <v>3.22</v>
      </c>
      <c r="F3101" t="str">
        <v>https://re.jrc.ec.europa.eu/api/v5_3/PVcalc?lat=30.0444&amp;lon=31.2357&amp;peakpower=1&amp;loss=14&amp;angle=50&amp;aspect=-150&amp;outputformat=json&amp;raddatabase=PVGIS-SARAH3&amp;pvtechchoice=crystSi&amp;mountingplace=free&amp;usehorizon=1</v>
      </c>
    </row>
    <row r="3102">
      <c r="A3102" t="n">
        <v>50</v>
      </c>
      <c r="B3102" t="n">
        <v>30</v>
      </c>
      <c r="C3102" t="n">
        <v>9</v>
      </c>
      <c r="D3102" s="218" t="n">
        <v>66.27</v>
      </c>
      <c r="E3102" s="218" t="n">
        <v>2.21</v>
      </c>
      <c r="F3102" t="str">
        <v>https://re.jrc.ec.europa.eu/api/v5_3/PVcalc?lat=30.0444&amp;lon=31.2357&amp;peakpower=1&amp;loss=14&amp;angle=50&amp;aspect=-150&amp;outputformat=json&amp;raddatabase=PVGIS-SARAH3&amp;pvtechchoice=crystSi&amp;mountingplace=free&amp;usehorizon=1</v>
      </c>
    </row>
    <row r="3103">
      <c r="A3103" t="n">
        <v>50</v>
      </c>
      <c r="B3103" t="n">
        <v>30</v>
      </c>
      <c r="C3103" t="n">
        <v>10</v>
      </c>
      <c r="D3103" s="218" t="n">
        <v>41.19</v>
      </c>
      <c r="E3103" s="218" t="n">
        <v>1.33</v>
      </c>
      <c r="F3103" t="str">
        <v>https://re.jrc.ec.europa.eu/api/v5_3/PVcalc?lat=30.0444&amp;lon=31.2357&amp;peakpower=1&amp;loss=14&amp;angle=50&amp;aspect=-150&amp;outputformat=json&amp;raddatabase=PVGIS-SARAH3&amp;pvtechchoice=crystSi&amp;mountingplace=free&amp;usehorizon=1</v>
      </c>
    </row>
    <row r="3104">
      <c r="A3104" t="n">
        <v>50</v>
      </c>
      <c r="B3104" t="n">
        <v>30</v>
      </c>
      <c r="C3104" t="n">
        <v>11</v>
      </c>
      <c r="D3104" s="218" t="n">
        <v>23.44</v>
      </c>
      <c r="E3104" s="218" t="n">
        <v>0.78</v>
      </c>
      <c r="F3104" t="str">
        <v>https://re.jrc.ec.europa.eu/api/v5_3/PVcalc?lat=30.0444&amp;lon=31.2357&amp;peakpower=1&amp;loss=14&amp;angle=50&amp;aspect=-150&amp;outputformat=json&amp;raddatabase=PVGIS-SARAH3&amp;pvtechchoice=crystSi&amp;mountingplace=free&amp;usehorizon=1</v>
      </c>
    </row>
    <row r="3105">
      <c r="A3105" t="n">
        <v>50</v>
      </c>
      <c r="B3105" t="n">
        <v>30</v>
      </c>
      <c r="C3105" t="n">
        <v>12</v>
      </c>
      <c r="D3105" s="218" t="n">
        <v>20.04</v>
      </c>
      <c r="E3105" s="218" t="n">
        <v>0.65</v>
      </c>
      <c r="F3105" t="str">
        <v>https://re.jrc.ec.europa.eu/api/v5_3/PVcalc?lat=30.0444&amp;lon=31.2357&amp;peakpower=1&amp;loss=14&amp;angle=50&amp;aspect=-150&amp;outputformat=json&amp;raddatabase=PVGIS-SARAH3&amp;pvtechchoice=crystSi&amp;mountingplace=free&amp;usehorizon=1</v>
      </c>
    </row>
    <row r="3106">
      <c r="A3106" t="n">
        <v>50</v>
      </c>
      <c r="B3106" t="n">
        <v>45</v>
      </c>
      <c r="C3106" t="n">
        <v>1</v>
      </c>
      <c r="D3106" s="218" t="n">
        <v>32.16</v>
      </c>
      <c r="E3106" s="218" t="n">
        <v>1.04</v>
      </c>
      <c r="F3106" t="str">
        <v>https://re.jrc.ec.europa.eu/api/v5_3/PVcalc?lat=30.0444&amp;lon=31.2357&amp;peakpower=1&amp;loss=14&amp;angle=50&amp;aspect=-135&amp;outputformat=json&amp;raddatabase=PVGIS-SARAH3&amp;pvtechchoice=crystSi&amp;mountingplace=free&amp;usehorizon=1</v>
      </c>
    </row>
    <row r="3107">
      <c r="A3107" t="n">
        <v>50</v>
      </c>
      <c r="B3107" t="n">
        <v>45</v>
      </c>
      <c r="C3107" t="n">
        <v>2</v>
      </c>
      <c r="D3107" s="218" t="n">
        <v>46.28</v>
      </c>
      <c r="E3107" s="218" t="n">
        <v>1.65</v>
      </c>
      <c r="F3107" t="str">
        <v>https://re.jrc.ec.europa.eu/api/v5_3/PVcalc?lat=30.0444&amp;lon=31.2357&amp;peakpower=1&amp;loss=14&amp;angle=50&amp;aspect=-135&amp;outputformat=json&amp;raddatabase=PVGIS-SARAH3&amp;pvtechchoice=crystSi&amp;mountingplace=free&amp;usehorizon=1</v>
      </c>
    </row>
    <row r="3108">
      <c r="A3108" t="n">
        <v>50</v>
      </c>
      <c r="B3108" t="n">
        <v>45</v>
      </c>
      <c r="C3108" t="n">
        <v>3</v>
      </c>
      <c r="D3108" s="218" t="n">
        <v>75.77</v>
      </c>
      <c r="E3108" s="218" t="n">
        <v>2.44</v>
      </c>
      <c r="F3108" t="str">
        <v>https://re.jrc.ec.europa.eu/api/v5_3/PVcalc?lat=30.0444&amp;lon=31.2357&amp;peakpower=1&amp;loss=14&amp;angle=50&amp;aspect=-135&amp;outputformat=json&amp;raddatabase=PVGIS-SARAH3&amp;pvtechchoice=crystSi&amp;mountingplace=free&amp;usehorizon=1</v>
      </c>
    </row>
    <row r="3109">
      <c r="A3109" t="n">
        <v>50</v>
      </c>
      <c r="B3109" t="n">
        <v>45</v>
      </c>
      <c r="C3109" t="n">
        <v>4</v>
      </c>
      <c r="D3109" s="218" t="n">
        <v>99.1</v>
      </c>
      <c r="E3109" s="218" t="n">
        <v>3.3</v>
      </c>
      <c r="F3109" t="str">
        <v>https://re.jrc.ec.europa.eu/api/v5_3/PVcalc?lat=30.0444&amp;lon=31.2357&amp;peakpower=1&amp;loss=14&amp;angle=50&amp;aspect=-135&amp;outputformat=json&amp;raddatabase=PVGIS-SARAH3&amp;pvtechchoice=crystSi&amp;mountingplace=free&amp;usehorizon=1</v>
      </c>
    </row>
    <row r="3110">
      <c r="A3110" t="n">
        <v>50</v>
      </c>
      <c r="B3110" t="n">
        <v>45</v>
      </c>
      <c r="C3110" t="n">
        <v>5</v>
      </c>
      <c r="D3110" s="218" t="n">
        <v>124.2</v>
      </c>
      <c r="E3110" s="218" t="n">
        <v>4.01</v>
      </c>
      <c r="F3110" t="str">
        <v>https://re.jrc.ec.europa.eu/api/v5_3/PVcalc?lat=30.0444&amp;lon=31.2357&amp;peakpower=1&amp;loss=14&amp;angle=50&amp;aspect=-135&amp;outputformat=json&amp;raddatabase=PVGIS-SARAH3&amp;pvtechchoice=crystSi&amp;mountingplace=free&amp;usehorizon=1</v>
      </c>
    </row>
    <row r="3111">
      <c r="A3111" t="n">
        <v>50</v>
      </c>
      <c r="B3111" t="n">
        <v>45</v>
      </c>
      <c r="C3111" t="n">
        <v>6</v>
      </c>
      <c r="D3111" s="218" t="n">
        <v>131.28</v>
      </c>
      <c r="E3111" s="218" t="n">
        <v>4.38</v>
      </c>
      <c r="F3111" t="str">
        <v>https://re.jrc.ec.europa.eu/api/v5_3/PVcalc?lat=30.0444&amp;lon=31.2357&amp;peakpower=1&amp;loss=14&amp;angle=50&amp;aspect=-135&amp;outputformat=json&amp;raddatabase=PVGIS-SARAH3&amp;pvtechchoice=crystSi&amp;mountingplace=free&amp;usehorizon=1</v>
      </c>
    </row>
    <row r="3112">
      <c r="A3112" t="n">
        <v>50</v>
      </c>
      <c r="B3112" t="n">
        <v>45</v>
      </c>
      <c r="C3112" t="n">
        <v>7</v>
      </c>
      <c r="D3112" s="218" t="n">
        <v>127.91</v>
      </c>
      <c r="E3112" s="218" t="n">
        <v>4.13</v>
      </c>
      <c r="F3112" t="str">
        <v>https://re.jrc.ec.europa.eu/api/v5_3/PVcalc?lat=30.0444&amp;lon=31.2357&amp;peakpower=1&amp;loss=14&amp;angle=50&amp;aspect=-135&amp;outputformat=json&amp;raddatabase=PVGIS-SARAH3&amp;pvtechchoice=crystSi&amp;mountingplace=free&amp;usehorizon=1</v>
      </c>
    </row>
    <row r="3113">
      <c r="A3113" t="n">
        <v>50</v>
      </c>
      <c r="B3113" t="n">
        <v>45</v>
      </c>
      <c r="C3113" t="n">
        <v>8</v>
      </c>
      <c r="D3113" s="218" t="n">
        <v>108.82</v>
      </c>
      <c r="E3113" s="218" t="n">
        <v>3.51</v>
      </c>
      <c r="F3113" t="str">
        <v>https://re.jrc.ec.europa.eu/api/v5_3/PVcalc?lat=30.0444&amp;lon=31.2357&amp;peakpower=1&amp;loss=14&amp;angle=50&amp;aspect=-135&amp;outputformat=json&amp;raddatabase=PVGIS-SARAH3&amp;pvtechchoice=crystSi&amp;mountingplace=free&amp;usehorizon=1</v>
      </c>
    </row>
    <row r="3114">
      <c r="A3114" t="n">
        <v>50</v>
      </c>
      <c r="B3114" t="n">
        <v>45</v>
      </c>
      <c r="C3114" t="n">
        <v>9</v>
      </c>
      <c r="D3114" s="218" t="n">
        <v>79.29</v>
      </c>
      <c r="E3114" s="218" t="n">
        <v>2.64</v>
      </c>
      <c r="F3114" t="str">
        <v>https://re.jrc.ec.europa.eu/api/v5_3/PVcalc?lat=30.0444&amp;lon=31.2357&amp;peakpower=1&amp;loss=14&amp;angle=50&amp;aspect=-135&amp;outputformat=json&amp;raddatabase=PVGIS-SARAH3&amp;pvtechchoice=crystSi&amp;mountingplace=free&amp;usehorizon=1</v>
      </c>
    </row>
    <row r="3115">
      <c r="A3115" t="n">
        <v>50</v>
      </c>
      <c r="B3115" t="n">
        <v>45</v>
      </c>
      <c r="C3115" t="n">
        <v>10</v>
      </c>
      <c r="D3115" s="218" t="n">
        <v>56.22</v>
      </c>
      <c r="E3115" s="218" t="n">
        <v>1.81</v>
      </c>
      <c r="F3115" t="str">
        <v>https://re.jrc.ec.europa.eu/api/v5_3/PVcalc?lat=30.0444&amp;lon=31.2357&amp;peakpower=1&amp;loss=14&amp;angle=50&amp;aspect=-135&amp;outputformat=json&amp;raddatabase=PVGIS-SARAH3&amp;pvtechchoice=crystSi&amp;mountingplace=free&amp;usehorizon=1</v>
      </c>
    </row>
    <row r="3116">
      <c r="A3116" t="n">
        <v>50</v>
      </c>
      <c r="B3116" t="n">
        <v>45</v>
      </c>
      <c r="C3116" t="n">
        <v>11</v>
      </c>
      <c r="D3116" s="218" t="n">
        <v>35.19</v>
      </c>
      <c r="E3116" s="218" t="n">
        <v>1.17</v>
      </c>
      <c r="F3116" t="str">
        <v>https://re.jrc.ec.europa.eu/api/v5_3/PVcalc?lat=30.0444&amp;lon=31.2357&amp;peakpower=1&amp;loss=14&amp;angle=50&amp;aspect=-135&amp;outputformat=json&amp;raddatabase=PVGIS-SARAH3&amp;pvtechchoice=crystSi&amp;mountingplace=free&amp;usehorizon=1</v>
      </c>
    </row>
    <row r="3117">
      <c r="A3117" t="n">
        <v>50</v>
      </c>
      <c r="B3117" t="n">
        <v>45</v>
      </c>
      <c r="C3117" t="n">
        <v>12</v>
      </c>
      <c r="D3117" s="218" t="n">
        <v>27.74</v>
      </c>
      <c r="E3117" s="218" t="n">
        <v>0.89</v>
      </c>
      <c r="F3117" t="str">
        <v>https://re.jrc.ec.europa.eu/api/v5_3/PVcalc?lat=30.0444&amp;lon=31.2357&amp;peakpower=1&amp;loss=14&amp;angle=50&amp;aspect=-135&amp;outputformat=json&amp;raddatabase=PVGIS-SARAH3&amp;pvtechchoice=crystSi&amp;mountingplace=free&amp;usehorizon=1</v>
      </c>
    </row>
    <row r="3118">
      <c r="A3118" t="n">
        <v>50</v>
      </c>
      <c r="B3118" t="n">
        <v>60</v>
      </c>
      <c r="C3118" t="n">
        <v>1</v>
      </c>
      <c r="D3118" s="218" t="n">
        <v>46.29</v>
      </c>
      <c r="E3118" s="218" t="n">
        <v>1.49</v>
      </c>
      <c r="F3118" t="str">
        <v>https://re.jrc.ec.europa.eu/api/v5_3/PVcalc?lat=30.0444&amp;lon=31.2357&amp;peakpower=1&amp;loss=14&amp;angle=50&amp;aspect=-120&amp;outputformat=json&amp;raddatabase=PVGIS-SARAH3&amp;pvtechchoice=crystSi&amp;mountingplace=free&amp;usehorizon=1</v>
      </c>
    </row>
    <row r="3119">
      <c r="A3119" t="n">
        <v>50</v>
      </c>
      <c r="B3119" t="n">
        <v>60</v>
      </c>
      <c r="C3119" t="n">
        <v>2</v>
      </c>
      <c r="D3119" s="218" t="n">
        <v>60.02</v>
      </c>
      <c r="E3119" s="218" t="n">
        <v>2.14</v>
      </c>
      <c r="F3119" t="str">
        <v>https://re.jrc.ec.europa.eu/api/v5_3/PVcalc?lat=30.0444&amp;lon=31.2357&amp;peakpower=1&amp;loss=14&amp;angle=50&amp;aspect=-120&amp;outputformat=json&amp;raddatabase=PVGIS-SARAH3&amp;pvtechchoice=crystSi&amp;mountingplace=free&amp;usehorizon=1</v>
      </c>
    </row>
    <row r="3120">
      <c r="A3120" t="n">
        <v>50</v>
      </c>
      <c r="B3120" t="n">
        <v>60</v>
      </c>
      <c r="C3120" t="n">
        <v>3</v>
      </c>
      <c r="D3120" s="218" t="n">
        <v>89.86</v>
      </c>
      <c r="E3120" s="218" t="n">
        <v>2.9</v>
      </c>
      <c r="F3120" t="str">
        <v>https://re.jrc.ec.europa.eu/api/v5_3/PVcalc?lat=30.0444&amp;lon=31.2357&amp;peakpower=1&amp;loss=14&amp;angle=50&amp;aspect=-120&amp;outputformat=json&amp;raddatabase=PVGIS-SARAH3&amp;pvtechchoice=crystSi&amp;mountingplace=free&amp;usehorizon=1</v>
      </c>
    </row>
    <row r="3121">
      <c r="A3121" t="n">
        <v>50</v>
      </c>
      <c r="B3121" t="n">
        <v>60</v>
      </c>
      <c r="C3121" t="n">
        <v>4</v>
      </c>
      <c r="D3121" s="218" t="n">
        <v>108.77</v>
      </c>
      <c r="E3121" s="218" t="n">
        <v>3.63</v>
      </c>
      <c r="F3121" t="str">
        <v>https://re.jrc.ec.europa.eu/api/v5_3/PVcalc?lat=30.0444&amp;lon=31.2357&amp;peakpower=1&amp;loss=14&amp;angle=50&amp;aspect=-120&amp;outputformat=json&amp;raddatabase=PVGIS-SARAH3&amp;pvtechchoice=crystSi&amp;mountingplace=free&amp;usehorizon=1</v>
      </c>
    </row>
    <row r="3122">
      <c r="A3122" t="n">
        <v>50</v>
      </c>
      <c r="B3122" t="n">
        <v>60</v>
      </c>
      <c r="C3122" t="n">
        <v>5</v>
      </c>
      <c r="D3122" s="218" t="n">
        <v>130.51</v>
      </c>
      <c r="E3122" s="218" t="n">
        <v>4.21</v>
      </c>
      <c r="F3122" t="str">
        <v>https://re.jrc.ec.europa.eu/api/v5_3/PVcalc?lat=30.0444&amp;lon=31.2357&amp;peakpower=1&amp;loss=14&amp;angle=50&amp;aspect=-120&amp;outputformat=json&amp;raddatabase=PVGIS-SARAH3&amp;pvtechchoice=crystSi&amp;mountingplace=free&amp;usehorizon=1</v>
      </c>
    </row>
    <row r="3123">
      <c r="A3123" t="n">
        <v>50</v>
      </c>
      <c r="B3123" t="n">
        <v>60</v>
      </c>
      <c r="C3123" t="n">
        <v>6</v>
      </c>
      <c r="D3123" s="218" t="n">
        <v>134.58</v>
      </c>
      <c r="E3123" s="218" t="n">
        <v>4.49</v>
      </c>
      <c r="F3123" t="str">
        <v>https://re.jrc.ec.europa.eu/api/v5_3/PVcalc?lat=30.0444&amp;lon=31.2357&amp;peakpower=1&amp;loss=14&amp;angle=50&amp;aspect=-120&amp;outputformat=json&amp;raddatabase=PVGIS-SARAH3&amp;pvtechchoice=crystSi&amp;mountingplace=free&amp;usehorizon=1</v>
      </c>
    </row>
    <row r="3124">
      <c r="A3124" t="n">
        <v>50</v>
      </c>
      <c r="B3124" t="n">
        <v>60</v>
      </c>
      <c r="C3124" t="n">
        <v>7</v>
      </c>
      <c r="D3124" s="218" t="n">
        <v>132.53</v>
      </c>
      <c r="E3124" s="218" t="n">
        <v>4.28</v>
      </c>
      <c r="F3124" t="str">
        <v>https://re.jrc.ec.europa.eu/api/v5_3/PVcalc?lat=30.0444&amp;lon=31.2357&amp;peakpower=1&amp;loss=14&amp;angle=50&amp;aspect=-120&amp;outputformat=json&amp;raddatabase=PVGIS-SARAH3&amp;pvtechchoice=crystSi&amp;mountingplace=free&amp;usehorizon=1</v>
      </c>
    </row>
    <row r="3125">
      <c r="A3125" t="n">
        <v>50</v>
      </c>
      <c r="B3125" t="n">
        <v>60</v>
      </c>
      <c r="C3125" t="n">
        <v>8</v>
      </c>
      <c r="D3125" s="218" t="n">
        <v>117.9</v>
      </c>
      <c r="E3125" s="218" t="n">
        <v>3.8</v>
      </c>
      <c r="F3125" t="str">
        <v>https://re.jrc.ec.europa.eu/api/v5_3/PVcalc?lat=30.0444&amp;lon=31.2357&amp;peakpower=1&amp;loss=14&amp;angle=50&amp;aspect=-120&amp;outputformat=json&amp;raddatabase=PVGIS-SARAH3&amp;pvtechchoice=crystSi&amp;mountingplace=free&amp;usehorizon=1</v>
      </c>
    </row>
    <row r="3126">
      <c r="A3126" t="n">
        <v>50</v>
      </c>
      <c r="B3126" t="n">
        <v>60</v>
      </c>
      <c r="C3126" t="n">
        <v>9</v>
      </c>
      <c r="D3126" s="218" t="n">
        <v>92.06</v>
      </c>
      <c r="E3126" s="218" t="n">
        <v>3.07</v>
      </c>
      <c r="F3126" t="str">
        <v>https://re.jrc.ec.europa.eu/api/v5_3/PVcalc?lat=30.0444&amp;lon=31.2357&amp;peakpower=1&amp;loss=14&amp;angle=50&amp;aspect=-120&amp;outputformat=json&amp;raddatabase=PVGIS-SARAH3&amp;pvtechchoice=crystSi&amp;mountingplace=free&amp;usehorizon=1</v>
      </c>
    </row>
    <row r="3127">
      <c r="A3127" t="n">
        <v>50</v>
      </c>
      <c r="B3127" t="n">
        <v>60</v>
      </c>
      <c r="C3127" t="n">
        <v>10</v>
      </c>
      <c r="D3127" s="218" t="n">
        <v>71.8</v>
      </c>
      <c r="E3127" s="218" t="n">
        <v>2.32</v>
      </c>
      <c r="F3127" t="str">
        <v>https://re.jrc.ec.europa.eu/api/v5_3/PVcalc?lat=30.0444&amp;lon=31.2357&amp;peakpower=1&amp;loss=14&amp;angle=50&amp;aspect=-120&amp;outputformat=json&amp;raddatabase=PVGIS-SARAH3&amp;pvtechchoice=crystSi&amp;mountingplace=free&amp;usehorizon=1</v>
      </c>
    </row>
    <row r="3128">
      <c r="A3128" t="n">
        <v>50</v>
      </c>
      <c r="B3128" t="n">
        <v>60</v>
      </c>
      <c r="C3128" t="n">
        <v>11</v>
      </c>
      <c r="D3128" s="218" t="n">
        <v>50.11</v>
      </c>
      <c r="E3128" s="218" t="n">
        <v>1.67</v>
      </c>
      <c r="F3128" t="str">
        <v>https://re.jrc.ec.europa.eu/api/v5_3/PVcalc?lat=30.0444&amp;lon=31.2357&amp;peakpower=1&amp;loss=14&amp;angle=50&amp;aspect=-120&amp;outputformat=json&amp;raddatabase=PVGIS-SARAH3&amp;pvtechchoice=crystSi&amp;mountingplace=free&amp;usehorizon=1</v>
      </c>
    </row>
    <row r="3129">
      <c r="A3129" t="n">
        <v>50</v>
      </c>
      <c r="B3129" t="n">
        <v>60</v>
      </c>
      <c r="C3129" t="n">
        <v>12</v>
      </c>
      <c r="D3129" s="218" t="n">
        <v>41.58</v>
      </c>
      <c r="E3129" s="218" t="n">
        <v>1.34</v>
      </c>
      <c r="F3129" t="str">
        <v>https://re.jrc.ec.europa.eu/api/v5_3/PVcalc?lat=30.0444&amp;lon=31.2357&amp;peakpower=1&amp;loss=14&amp;angle=50&amp;aspect=-120&amp;outputformat=json&amp;raddatabase=PVGIS-SARAH3&amp;pvtechchoice=crystSi&amp;mountingplace=free&amp;usehorizon=1</v>
      </c>
    </row>
    <row r="3130">
      <c r="A3130" t="n">
        <v>50</v>
      </c>
      <c r="B3130" t="n">
        <v>75</v>
      </c>
      <c r="C3130" t="n">
        <v>1</v>
      </c>
      <c r="D3130" s="218" t="n">
        <v>61.74</v>
      </c>
      <c r="E3130" s="218" t="n">
        <v>1.99</v>
      </c>
      <c r="F3130" t="str">
        <v>https://re.jrc.ec.europa.eu/api/v5_3/PVcalc?lat=30.0444&amp;lon=31.2357&amp;peakpower=1&amp;loss=14&amp;angle=50&amp;aspect=-105&amp;outputformat=json&amp;raddatabase=PVGIS-SARAH3&amp;pvtechchoice=crystSi&amp;mountingplace=free&amp;usehorizon=1</v>
      </c>
    </row>
    <row r="3131">
      <c r="A3131" t="n">
        <v>50</v>
      </c>
      <c r="B3131" t="n">
        <v>75</v>
      </c>
      <c r="C3131" t="n">
        <v>2</v>
      </c>
      <c r="D3131" s="218" t="n">
        <v>73.94</v>
      </c>
      <c r="E3131" s="218" t="n">
        <v>2.64</v>
      </c>
      <c r="F3131" t="str">
        <v>https://re.jrc.ec.europa.eu/api/v5_3/PVcalc?lat=30.0444&amp;lon=31.2357&amp;peakpower=1&amp;loss=14&amp;angle=50&amp;aspect=-105&amp;outputformat=json&amp;raddatabase=PVGIS-SARAH3&amp;pvtechchoice=crystSi&amp;mountingplace=free&amp;usehorizon=1</v>
      </c>
    </row>
    <row r="3132">
      <c r="A3132" t="n">
        <v>50</v>
      </c>
      <c r="B3132" t="n">
        <v>75</v>
      </c>
      <c r="C3132" t="n">
        <v>3</v>
      </c>
      <c r="D3132" s="218" t="n">
        <v>102.87</v>
      </c>
      <c r="E3132" s="218" t="n">
        <v>3.32</v>
      </c>
      <c r="F3132" t="str">
        <v>https://re.jrc.ec.europa.eu/api/v5_3/PVcalc?lat=30.0444&amp;lon=31.2357&amp;peakpower=1&amp;loss=14&amp;angle=50&amp;aspect=-105&amp;outputformat=json&amp;raddatabase=PVGIS-SARAH3&amp;pvtechchoice=crystSi&amp;mountingplace=free&amp;usehorizon=1</v>
      </c>
    </row>
    <row r="3133">
      <c r="A3133" t="n">
        <v>50</v>
      </c>
      <c r="B3133" t="n">
        <v>75</v>
      </c>
      <c r="C3133" t="n">
        <v>4</v>
      </c>
      <c r="D3133" s="218" t="n">
        <v>117.59</v>
      </c>
      <c r="E3133" s="218" t="n">
        <v>3.92</v>
      </c>
      <c r="F3133" t="str">
        <v>https://re.jrc.ec.europa.eu/api/v5_3/PVcalc?lat=30.0444&amp;lon=31.2357&amp;peakpower=1&amp;loss=14&amp;angle=50&amp;aspect=-105&amp;outputformat=json&amp;raddatabase=PVGIS-SARAH3&amp;pvtechchoice=crystSi&amp;mountingplace=free&amp;usehorizon=1</v>
      </c>
    </row>
    <row r="3134">
      <c r="A3134" t="n">
        <v>50</v>
      </c>
      <c r="B3134" t="n">
        <v>75</v>
      </c>
      <c r="C3134" t="n">
        <v>5</v>
      </c>
      <c r="D3134" s="218" t="n">
        <v>135.57</v>
      </c>
      <c r="E3134" s="218" t="n">
        <v>4.37</v>
      </c>
      <c r="F3134" t="str">
        <v>https://re.jrc.ec.europa.eu/api/v5_3/PVcalc?lat=30.0444&amp;lon=31.2357&amp;peakpower=1&amp;loss=14&amp;angle=50&amp;aspect=-105&amp;outputformat=json&amp;raddatabase=PVGIS-SARAH3&amp;pvtechchoice=crystSi&amp;mountingplace=free&amp;usehorizon=1</v>
      </c>
    </row>
    <row r="3135">
      <c r="A3135" t="n">
        <v>50</v>
      </c>
      <c r="B3135" t="n">
        <v>75</v>
      </c>
      <c r="C3135" t="n">
        <v>6</v>
      </c>
      <c r="D3135" s="218" t="n">
        <v>138.15</v>
      </c>
      <c r="E3135" s="218" t="n">
        <v>4.6</v>
      </c>
      <c r="F3135" t="str">
        <v>https://re.jrc.ec.europa.eu/api/v5_3/PVcalc?lat=30.0444&amp;lon=31.2357&amp;peakpower=1&amp;loss=14&amp;angle=50&amp;aspect=-105&amp;outputformat=json&amp;raddatabase=PVGIS-SARAH3&amp;pvtechchoice=crystSi&amp;mountingplace=free&amp;usehorizon=1</v>
      </c>
    </row>
    <row r="3136">
      <c r="A3136" t="n">
        <v>50</v>
      </c>
      <c r="B3136" t="n">
        <v>75</v>
      </c>
      <c r="C3136" t="n">
        <v>7</v>
      </c>
      <c r="D3136" s="218" t="n">
        <v>137.12</v>
      </c>
      <c r="E3136" s="218" t="n">
        <v>4.42</v>
      </c>
      <c r="F3136" t="str">
        <v>https://re.jrc.ec.europa.eu/api/v5_3/PVcalc?lat=30.0444&amp;lon=31.2357&amp;peakpower=1&amp;loss=14&amp;angle=50&amp;aspect=-105&amp;outputformat=json&amp;raddatabase=PVGIS-SARAH3&amp;pvtechchoice=crystSi&amp;mountingplace=free&amp;usehorizon=1</v>
      </c>
    </row>
    <row r="3137">
      <c r="A3137" t="n">
        <v>50</v>
      </c>
      <c r="B3137" t="n">
        <v>75</v>
      </c>
      <c r="C3137" t="n">
        <v>8</v>
      </c>
      <c r="D3137" s="218" t="n">
        <v>125.82</v>
      </c>
      <c r="E3137" s="218" t="n">
        <v>4.06</v>
      </c>
      <c r="F3137" t="str">
        <v>https://re.jrc.ec.europa.eu/api/v5_3/PVcalc?lat=30.0444&amp;lon=31.2357&amp;peakpower=1&amp;loss=14&amp;angle=50&amp;aspect=-105&amp;outputformat=json&amp;raddatabase=PVGIS-SARAH3&amp;pvtechchoice=crystSi&amp;mountingplace=free&amp;usehorizon=1</v>
      </c>
    </row>
    <row r="3138">
      <c r="A3138" t="n">
        <v>50</v>
      </c>
      <c r="B3138" t="n">
        <v>75</v>
      </c>
      <c r="C3138" t="n">
        <v>9</v>
      </c>
      <c r="D3138" s="218" t="n">
        <v>103.93</v>
      </c>
      <c r="E3138" s="218" t="n">
        <v>3.46</v>
      </c>
      <c r="F3138" t="str">
        <v>https://re.jrc.ec.europa.eu/api/v5_3/PVcalc?lat=30.0444&amp;lon=31.2357&amp;peakpower=1&amp;loss=14&amp;angle=50&amp;aspect=-105&amp;outputformat=json&amp;raddatabase=PVGIS-SARAH3&amp;pvtechchoice=crystSi&amp;mountingplace=free&amp;usehorizon=1</v>
      </c>
    </row>
    <row r="3139">
      <c r="A3139" t="n">
        <v>50</v>
      </c>
      <c r="B3139" t="n">
        <v>75</v>
      </c>
      <c r="C3139" t="n">
        <v>10</v>
      </c>
      <c r="D3139" s="218" t="n">
        <v>86.83</v>
      </c>
      <c r="E3139" s="218" t="n">
        <v>2.8</v>
      </c>
      <c r="F3139" t="str">
        <v>https://re.jrc.ec.europa.eu/api/v5_3/PVcalc?lat=30.0444&amp;lon=31.2357&amp;peakpower=1&amp;loss=14&amp;angle=50&amp;aspect=-105&amp;outputformat=json&amp;raddatabase=PVGIS-SARAH3&amp;pvtechchoice=crystSi&amp;mountingplace=free&amp;usehorizon=1</v>
      </c>
    </row>
    <row r="3140">
      <c r="A3140" t="n">
        <v>50</v>
      </c>
      <c r="B3140" t="n">
        <v>75</v>
      </c>
      <c r="C3140" t="n">
        <v>11</v>
      </c>
      <c r="D3140" s="218" t="n">
        <v>66.41</v>
      </c>
      <c r="E3140" s="218" t="n">
        <v>2.21</v>
      </c>
      <c r="F3140" t="str">
        <v>https://re.jrc.ec.europa.eu/api/v5_3/PVcalc?lat=30.0444&amp;lon=31.2357&amp;peakpower=1&amp;loss=14&amp;angle=50&amp;aspect=-105&amp;outputformat=json&amp;raddatabase=PVGIS-SARAH3&amp;pvtechchoice=crystSi&amp;mountingplace=free&amp;usehorizon=1</v>
      </c>
    </row>
    <row r="3141">
      <c r="A3141" t="n">
        <v>50</v>
      </c>
      <c r="B3141" t="n">
        <v>75</v>
      </c>
      <c r="C3141" t="n">
        <v>12</v>
      </c>
      <c r="D3141" s="218" t="n">
        <v>58.13</v>
      </c>
      <c r="E3141" s="218" t="n">
        <v>1.88</v>
      </c>
      <c r="F3141" t="str">
        <v>https://re.jrc.ec.europa.eu/api/v5_3/PVcalc?lat=30.0444&amp;lon=31.2357&amp;peakpower=1&amp;loss=14&amp;angle=50&amp;aspect=-105&amp;outputformat=json&amp;raddatabase=PVGIS-SARAH3&amp;pvtechchoice=crystSi&amp;mountingplace=free&amp;usehorizon=1</v>
      </c>
    </row>
    <row r="3142">
      <c r="A3142" t="n">
        <v>50</v>
      </c>
      <c r="B3142" t="n">
        <v>90</v>
      </c>
      <c r="C3142" t="n">
        <v>1</v>
      </c>
      <c r="D3142" s="218" t="n">
        <v>77.98</v>
      </c>
      <c r="E3142" s="218" t="n">
        <v>2.52</v>
      </c>
      <c r="F3142" t="str">
        <v>https://re.jrc.ec.europa.eu/api/v5_3/PVcalc?lat=30.0444&amp;lon=31.2357&amp;peakpower=1&amp;loss=14&amp;angle=50&amp;aspect=-90&amp;outputformat=json&amp;raddatabase=PVGIS-SARAH3&amp;pvtechchoice=crystSi&amp;mountingplace=free&amp;usehorizon=1</v>
      </c>
    </row>
    <row r="3143">
      <c r="A3143" t="n">
        <v>50</v>
      </c>
      <c r="B3143" t="n">
        <v>90</v>
      </c>
      <c r="C3143" t="n">
        <v>2</v>
      </c>
      <c r="D3143" s="218" t="n">
        <v>86.83</v>
      </c>
      <c r="E3143" s="218" t="n">
        <v>3.1</v>
      </c>
      <c r="F3143" t="str">
        <v>https://re.jrc.ec.europa.eu/api/v5_3/PVcalc?lat=30.0444&amp;lon=31.2357&amp;peakpower=1&amp;loss=14&amp;angle=50&amp;aspect=-90&amp;outputformat=json&amp;raddatabase=PVGIS-SARAH3&amp;pvtechchoice=crystSi&amp;mountingplace=free&amp;usehorizon=1</v>
      </c>
    </row>
    <row r="3144">
      <c r="A3144" t="n">
        <v>50</v>
      </c>
      <c r="B3144" t="n">
        <v>90</v>
      </c>
      <c r="C3144" t="n">
        <v>3</v>
      </c>
      <c r="D3144" s="218" t="n">
        <v>114.68</v>
      </c>
      <c r="E3144" s="218" t="n">
        <v>3.7</v>
      </c>
      <c r="F3144" t="str">
        <v>https://re.jrc.ec.europa.eu/api/v5_3/PVcalc?lat=30.0444&amp;lon=31.2357&amp;peakpower=1&amp;loss=14&amp;angle=50&amp;aspect=-90&amp;outputformat=json&amp;raddatabase=PVGIS-SARAH3&amp;pvtechchoice=crystSi&amp;mountingplace=free&amp;usehorizon=1</v>
      </c>
    </row>
    <row r="3145">
      <c r="A3145" t="n">
        <v>50</v>
      </c>
      <c r="B3145" t="n">
        <v>90</v>
      </c>
      <c r="C3145" t="n">
        <v>4</v>
      </c>
      <c r="D3145" s="218" t="n">
        <v>125.23</v>
      </c>
      <c r="E3145" s="218" t="n">
        <v>4.17</v>
      </c>
      <c r="F3145" t="str">
        <v>https://re.jrc.ec.europa.eu/api/v5_3/PVcalc?lat=30.0444&amp;lon=31.2357&amp;peakpower=1&amp;loss=14&amp;angle=50&amp;aspect=-90&amp;outputformat=json&amp;raddatabase=PVGIS-SARAH3&amp;pvtechchoice=crystSi&amp;mountingplace=free&amp;usehorizon=1</v>
      </c>
    </row>
    <row r="3146">
      <c r="A3146" t="n">
        <v>50</v>
      </c>
      <c r="B3146" t="n">
        <v>90</v>
      </c>
      <c r="C3146" t="n">
        <v>5</v>
      </c>
      <c r="D3146" s="218" t="n">
        <v>139.19</v>
      </c>
      <c r="E3146" s="218" t="n">
        <v>4.49</v>
      </c>
      <c r="F3146" t="str">
        <v>https://re.jrc.ec.europa.eu/api/v5_3/PVcalc?lat=30.0444&amp;lon=31.2357&amp;peakpower=1&amp;loss=14&amp;angle=50&amp;aspect=-90&amp;outputformat=json&amp;raddatabase=PVGIS-SARAH3&amp;pvtechchoice=crystSi&amp;mountingplace=free&amp;usehorizon=1</v>
      </c>
    </row>
    <row r="3147">
      <c r="A3147" t="n">
        <v>50</v>
      </c>
      <c r="B3147" t="n">
        <v>90</v>
      </c>
      <c r="C3147" t="n">
        <v>6</v>
      </c>
      <c r="D3147" s="218" t="n">
        <v>139.68</v>
      </c>
      <c r="E3147" s="218" t="n">
        <v>4.66</v>
      </c>
      <c r="F3147" t="str">
        <v>https://re.jrc.ec.europa.eu/api/v5_3/PVcalc?lat=30.0444&amp;lon=31.2357&amp;peakpower=1&amp;loss=14&amp;angle=50&amp;aspect=-90&amp;outputformat=json&amp;raddatabase=PVGIS-SARAH3&amp;pvtechchoice=crystSi&amp;mountingplace=free&amp;usehorizon=1</v>
      </c>
    </row>
    <row r="3148">
      <c r="A3148" t="n">
        <v>50</v>
      </c>
      <c r="B3148" t="n">
        <v>90</v>
      </c>
      <c r="C3148" t="n">
        <v>7</v>
      </c>
      <c r="D3148" s="218" t="n">
        <v>139.84</v>
      </c>
      <c r="E3148" s="218" t="n">
        <v>4.51</v>
      </c>
      <c r="F3148" t="str">
        <v>https://re.jrc.ec.europa.eu/api/v5_3/PVcalc?lat=30.0444&amp;lon=31.2357&amp;peakpower=1&amp;loss=14&amp;angle=50&amp;aspect=-90&amp;outputformat=json&amp;raddatabase=PVGIS-SARAH3&amp;pvtechchoice=crystSi&amp;mountingplace=free&amp;usehorizon=1</v>
      </c>
    </row>
    <row r="3149">
      <c r="A3149" t="n">
        <v>50</v>
      </c>
      <c r="B3149" t="n">
        <v>90</v>
      </c>
      <c r="C3149" t="n">
        <v>8</v>
      </c>
      <c r="D3149" s="218" t="n">
        <v>132.36</v>
      </c>
      <c r="E3149" s="218" t="n">
        <v>4.27</v>
      </c>
      <c r="F3149" t="str">
        <v>https://re.jrc.ec.europa.eu/api/v5_3/PVcalc?lat=30.0444&amp;lon=31.2357&amp;peakpower=1&amp;loss=14&amp;angle=50&amp;aspect=-90&amp;outputformat=json&amp;raddatabase=PVGIS-SARAH3&amp;pvtechchoice=crystSi&amp;mountingplace=free&amp;usehorizon=1</v>
      </c>
    </row>
    <row r="3150">
      <c r="A3150" t="n">
        <v>50</v>
      </c>
      <c r="B3150" t="n">
        <v>90</v>
      </c>
      <c r="C3150" t="n">
        <v>9</v>
      </c>
      <c r="D3150" s="218" t="n">
        <v>114.38</v>
      </c>
      <c r="E3150" s="218" t="n">
        <v>3.81</v>
      </c>
      <c r="F3150" t="str">
        <v>https://re.jrc.ec.europa.eu/api/v5_3/PVcalc?lat=30.0444&amp;lon=31.2357&amp;peakpower=1&amp;loss=14&amp;angle=50&amp;aspect=-90&amp;outputformat=json&amp;raddatabase=PVGIS-SARAH3&amp;pvtechchoice=crystSi&amp;mountingplace=free&amp;usehorizon=1</v>
      </c>
    </row>
    <row r="3151">
      <c r="A3151" t="n">
        <v>50</v>
      </c>
      <c r="B3151" t="n">
        <v>90</v>
      </c>
      <c r="C3151" t="n">
        <v>10</v>
      </c>
      <c r="D3151" s="218" t="n">
        <v>101.64</v>
      </c>
      <c r="E3151" s="218" t="n">
        <v>3.28</v>
      </c>
      <c r="F3151" t="str">
        <v>https://re.jrc.ec.europa.eu/api/v5_3/PVcalc?lat=30.0444&amp;lon=31.2357&amp;peakpower=1&amp;loss=14&amp;angle=50&amp;aspect=-90&amp;outputformat=json&amp;raddatabase=PVGIS-SARAH3&amp;pvtechchoice=crystSi&amp;mountingplace=free&amp;usehorizon=1</v>
      </c>
    </row>
    <row r="3152">
      <c r="A3152" t="n">
        <v>50</v>
      </c>
      <c r="B3152" t="n">
        <v>90</v>
      </c>
      <c r="C3152" t="n">
        <v>11</v>
      </c>
      <c r="D3152" s="218" t="n">
        <v>82.42</v>
      </c>
      <c r="E3152" s="218" t="n">
        <v>2.75</v>
      </c>
      <c r="F3152" t="str">
        <v>https://re.jrc.ec.europa.eu/api/v5_3/PVcalc?lat=30.0444&amp;lon=31.2357&amp;peakpower=1&amp;loss=14&amp;angle=50&amp;aspect=-90&amp;outputformat=json&amp;raddatabase=PVGIS-SARAH3&amp;pvtechchoice=crystSi&amp;mountingplace=free&amp;usehorizon=1</v>
      </c>
    </row>
    <row r="3153">
      <c r="A3153" t="n">
        <v>50</v>
      </c>
      <c r="B3153" t="n">
        <v>90</v>
      </c>
      <c r="C3153" t="n">
        <v>12</v>
      </c>
      <c r="D3153" s="218" t="n">
        <v>74.9</v>
      </c>
      <c r="E3153" s="218" t="n">
        <v>2.42</v>
      </c>
      <c r="F3153" t="str">
        <v>https://re.jrc.ec.europa.eu/api/v5_3/PVcalc?lat=30.0444&amp;lon=31.2357&amp;peakpower=1&amp;loss=14&amp;angle=50&amp;aspect=-90&amp;outputformat=json&amp;raddatabase=PVGIS-SARAH3&amp;pvtechchoice=crystSi&amp;mountingplace=free&amp;usehorizon=1</v>
      </c>
    </row>
    <row r="3154">
      <c r="A3154" t="n">
        <v>50</v>
      </c>
      <c r="B3154" t="n">
        <v>105</v>
      </c>
      <c r="C3154" t="n">
        <v>1</v>
      </c>
      <c r="D3154" s="218" t="n">
        <v>93.44</v>
      </c>
      <c r="E3154" s="218" t="n">
        <v>3.01</v>
      </c>
      <c r="F3154" t="str">
        <v>https://re.jrc.ec.europa.eu/api/v5_3/PVcalc?lat=30.0444&amp;lon=31.2357&amp;peakpower=1&amp;loss=14&amp;angle=50&amp;aspect=-75&amp;outputformat=json&amp;raddatabase=PVGIS-SARAH3&amp;pvtechchoice=crystSi&amp;mountingplace=free&amp;usehorizon=1</v>
      </c>
    </row>
    <row r="3155">
      <c r="A3155" t="n">
        <v>50</v>
      </c>
      <c r="B3155" t="n">
        <v>105</v>
      </c>
      <c r="C3155" t="n">
        <v>2</v>
      </c>
      <c r="D3155" s="218" t="n">
        <v>99.28</v>
      </c>
      <c r="E3155" s="218" t="n">
        <v>3.55</v>
      </c>
      <c r="F3155" t="str">
        <v>https://re.jrc.ec.europa.eu/api/v5_3/PVcalc?lat=30.0444&amp;lon=31.2357&amp;peakpower=1&amp;loss=14&amp;angle=50&amp;aspect=-75&amp;outputformat=json&amp;raddatabase=PVGIS-SARAH3&amp;pvtechchoice=crystSi&amp;mountingplace=free&amp;usehorizon=1</v>
      </c>
    </row>
    <row r="3156">
      <c r="A3156" t="n">
        <v>50</v>
      </c>
      <c r="B3156" t="n">
        <v>105</v>
      </c>
      <c r="C3156" t="n">
        <v>3</v>
      </c>
      <c r="D3156" s="218" t="n">
        <v>125.68</v>
      </c>
      <c r="E3156" s="218" t="n">
        <v>4.05</v>
      </c>
      <c r="F3156" t="str">
        <v>https://re.jrc.ec.europa.eu/api/v5_3/PVcalc?lat=30.0444&amp;lon=31.2357&amp;peakpower=1&amp;loss=14&amp;angle=50&amp;aspect=-75&amp;outputformat=json&amp;raddatabase=PVGIS-SARAH3&amp;pvtechchoice=crystSi&amp;mountingplace=free&amp;usehorizon=1</v>
      </c>
    </row>
    <row r="3157">
      <c r="A3157" t="n">
        <v>50</v>
      </c>
      <c r="B3157" t="n">
        <v>105</v>
      </c>
      <c r="C3157" t="n">
        <v>4</v>
      </c>
      <c r="D3157" s="218" t="n">
        <v>131.48</v>
      </c>
      <c r="E3157" s="218" t="n">
        <v>4.38</v>
      </c>
      <c r="F3157" t="str">
        <v>https://re.jrc.ec.europa.eu/api/v5_3/PVcalc?lat=30.0444&amp;lon=31.2357&amp;peakpower=1&amp;loss=14&amp;angle=50&amp;aspect=-75&amp;outputformat=json&amp;raddatabase=PVGIS-SARAH3&amp;pvtechchoice=crystSi&amp;mountingplace=free&amp;usehorizon=1</v>
      </c>
    </row>
    <row r="3158">
      <c r="A3158" t="n">
        <v>50</v>
      </c>
      <c r="B3158" t="n">
        <v>105</v>
      </c>
      <c r="C3158" t="n">
        <v>5</v>
      </c>
      <c r="D3158" s="218" t="n">
        <v>141.21</v>
      </c>
      <c r="E3158" s="218" t="n">
        <v>4.56</v>
      </c>
      <c r="F3158" t="str">
        <v>https://re.jrc.ec.europa.eu/api/v5_3/PVcalc?lat=30.0444&amp;lon=31.2357&amp;peakpower=1&amp;loss=14&amp;angle=50&amp;aspect=-75&amp;outputformat=json&amp;raddatabase=PVGIS-SARAH3&amp;pvtechchoice=crystSi&amp;mountingplace=free&amp;usehorizon=1</v>
      </c>
    </row>
    <row r="3159">
      <c r="A3159" t="n">
        <v>50</v>
      </c>
      <c r="B3159" t="n">
        <v>105</v>
      </c>
      <c r="C3159" t="n">
        <v>6</v>
      </c>
      <c r="D3159" s="218" t="n">
        <v>139.54</v>
      </c>
      <c r="E3159" s="218" t="n">
        <v>4.65</v>
      </c>
      <c r="F3159" t="str">
        <v>https://re.jrc.ec.europa.eu/api/v5_3/PVcalc?lat=30.0444&amp;lon=31.2357&amp;peakpower=1&amp;loss=14&amp;angle=50&amp;aspect=-75&amp;outputformat=json&amp;raddatabase=PVGIS-SARAH3&amp;pvtechchoice=crystSi&amp;mountingplace=free&amp;usehorizon=1</v>
      </c>
    </row>
    <row r="3160">
      <c r="A3160" t="n">
        <v>50</v>
      </c>
      <c r="B3160" t="n">
        <v>105</v>
      </c>
      <c r="C3160" t="n">
        <v>7</v>
      </c>
      <c r="D3160" s="218" t="n">
        <v>140.91</v>
      </c>
      <c r="E3160" s="218" t="n">
        <v>4.55</v>
      </c>
      <c r="F3160" t="str">
        <v>https://re.jrc.ec.europa.eu/api/v5_3/PVcalc?lat=30.0444&amp;lon=31.2357&amp;peakpower=1&amp;loss=14&amp;angle=50&amp;aspect=-75&amp;outputformat=json&amp;raddatabase=PVGIS-SARAH3&amp;pvtechchoice=crystSi&amp;mountingplace=free&amp;usehorizon=1</v>
      </c>
    </row>
    <row r="3161">
      <c r="A3161" t="n">
        <v>50</v>
      </c>
      <c r="B3161" t="n">
        <v>105</v>
      </c>
      <c r="C3161" t="n">
        <v>8</v>
      </c>
      <c r="D3161" s="218" t="n">
        <v>137.28</v>
      </c>
      <c r="E3161" s="218" t="n">
        <v>4.43</v>
      </c>
      <c r="F3161" t="str">
        <v>https://re.jrc.ec.europa.eu/api/v5_3/PVcalc?lat=30.0444&amp;lon=31.2357&amp;peakpower=1&amp;loss=14&amp;angle=50&amp;aspect=-75&amp;outputformat=json&amp;raddatabase=PVGIS-SARAH3&amp;pvtechchoice=crystSi&amp;mountingplace=free&amp;usehorizon=1</v>
      </c>
    </row>
    <row r="3162">
      <c r="A3162" t="n">
        <v>50</v>
      </c>
      <c r="B3162" t="n">
        <v>105</v>
      </c>
      <c r="C3162" t="n">
        <v>9</v>
      </c>
      <c r="D3162" s="218" t="n">
        <v>123.94</v>
      </c>
      <c r="E3162" s="218" t="n">
        <v>4.13</v>
      </c>
      <c r="F3162" t="str">
        <v>https://re.jrc.ec.europa.eu/api/v5_3/PVcalc?lat=30.0444&amp;lon=31.2357&amp;peakpower=1&amp;loss=14&amp;angle=50&amp;aspect=-75&amp;outputformat=json&amp;raddatabase=PVGIS-SARAH3&amp;pvtechchoice=crystSi&amp;mountingplace=free&amp;usehorizon=1</v>
      </c>
    </row>
    <row r="3163">
      <c r="A3163" t="n">
        <v>50</v>
      </c>
      <c r="B3163" t="n">
        <v>105</v>
      </c>
      <c r="C3163" t="n">
        <v>10</v>
      </c>
      <c r="D3163" s="218" t="n">
        <v>114.62</v>
      </c>
      <c r="E3163" s="218" t="n">
        <v>3.7</v>
      </c>
      <c r="F3163" t="str">
        <v>https://re.jrc.ec.europa.eu/api/v5_3/PVcalc?lat=30.0444&amp;lon=31.2357&amp;peakpower=1&amp;loss=14&amp;angle=50&amp;aspect=-75&amp;outputformat=json&amp;raddatabase=PVGIS-SARAH3&amp;pvtechchoice=crystSi&amp;mountingplace=free&amp;usehorizon=1</v>
      </c>
    </row>
    <row r="3164">
      <c r="A3164" t="n">
        <v>50</v>
      </c>
      <c r="B3164" t="n">
        <v>105</v>
      </c>
      <c r="C3164" t="n">
        <v>11</v>
      </c>
      <c r="D3164" s="218" t="n">
        <v>97.74</v>
      </c>
      <c r="E3164" s="218" t="n">
        <v>3.26</v>
      </c>
      <c r="F3164" t="str">
        <v>https://re.jrc.ec.europa.eu/api/v5_3/PVcalc?lat=30.0444&amp;lon=31.2357&amp;peakpower=1&amp;loss=14&amp;angle=50&amp;aspect=-75&amp;outputformat=json&amp;raddatabase=PVGIS-SARAH3&amp;pvtechchoice=crystSi&amp;mountingplace=free&amp;usehorizon=1</v>
      </c>
    </row>
    <row r="3165">
      <c r="A3165" t="n">
        <v>50</v>
      </c>
      <c r="B3165" t="n">
        <v>105</v>
      </c>
      <c r="C3165" t="n">
        <v>12</v>
      </c>
      <c r="D3165" s="218" t="n">
        <v>91.39</v>
      </c>
      <c r="E3165" s="218" t="n">
        <v>2.95</v>
      </c>
      <c r="F3165" t="str">
        <v>https://re.jrc.ec.europa.eu/api/v5_3/PVcalc?lat=30.0444&amp;lon=31.2357&amp;peakpower=1&amp;loss=14&amp;angle=50&amp;aspect=-75&amp;outputformat=json&amp;raddatabase=PVGIS-SARAH3&amp;pvtechchoice=crystSi&amp;mountingplace=free&amp;usehorizon=1</v>
      </c>
    </row>
    <row r="3166">
      <c r="A3166" t="n">
        <v>50</v>
      </c>
      <c r="B3166" t="n">
        <v>120</v>
      </c>
      <c r="C3166" t="n">
        <v>1</v>
      </c>
      <c r="D3166" s="218" t="n">
        <v>108.08</v>
      </c>
      <c r="E3166" s="218" t="n">
        <v>3.49</v>
      </c>
      <c r="F3166" t="str">
        <v>https://re.jrc.ec.europa.eu/api/v5_3/PVcalc?lat=30.0444&amp;lon=31.2357&amp;peakpower=1&amp;loss=14&amp;angle=50&amp;aspect=-60&amp;outputformat=json&amp;raddatabase=PVGIS-SARAH3&amp;pvtechchoice=crystSi&amp;mountingplace=free&amp;usehorizon=1</v>
      </c>
    </row>
    <row r="3167">
      <c r="A3167" t="n">
        <v>50</v>
      </c>
      <c r="B3167" t="n">
        <v>120</v>
      </c>
      <c r="C3167" t="n">
        <v>2</v>
      </c>
      <c r="D3167" s="218" t="n">
        <v>109.97</v>
      </c>
      <c r="E3167" s="218" t="n">
        <v>3.93</v>
      </c>
      <c r="F3167" t="str">
        <v>https://re.jrc.ec.europa.eu/api/v5_3/PVcalc?lat=30.0444&amp;lon=31.2357&amp;peakpower=1&amp;loss=14&amp;angle=50&amp;aspect=-60&amp;outputformat=json&amp;raddatabase=PVGIS-SARAH3&amp;pvtechchoice=crystSi&amp;mountingplace=free&amp;usehorizon=1</v>
      </c>
    </row>
    <row r="3168">
      <c r="A3168" t="n">
        <v>50</v>
      </c>
      <c r="B3168" t="n">
        <v>120</v>
      </c>
      <c r="C3168" t="n">
        <v>3</v>
      </c>
      <c r="D3168" s="218" t="n">
        <v>134.44</v>
      </c>
      <c r="E3168" s="218" t="n">
        <v>4.34</v>
      </c>
      <c r="F3168" t="str">
        <v>https://re.jrc.ec.europa.eu/api/v5_3/PVcalc?lat=30.0444&amp;lon=31.2357&amp;peakpower=1&amp;loss=14&amp;angle=50&amp;aspect=-60&amp;outputformat=json&amp;raddatabase=PVGIS-SARAH3&amp;pvtechchoice=crystSi&amp;mountingplace=free&amp;usehorizon=1</v>
      </c>
    </row>
    <row r="3169">
      <c r="A3169" t="n">
        <v>50</v>
      </c>
      <c r="B3169" t="n">
        <v>120</v>
      </c>
      <c r="C3169" t="n">
        <v>4</v>
      </c>
      <c r="D3169" s="218" t="n">
        <v>135.81</v>
      </c>
      <c r="E3169" s="218" t="n">
        <v>4.53</v>
      </c>
      <c r="F3169" t="str">
        <v>https://re.jrc.ec.europa.eu/api/v5_3/PVcalc?lat=30.0444&amp;lon=31.2357&amp;peakpower=1&amp;loss=14&amp;angle=50&amp;aspect=-60&amp;outputformat=json&amp;raddatabase=PVGIS-SARAH3&amp;pvtechchoice=crystSi&amp;mountingplace=free&amp;usehorizon=1</v>
      </c>
    </row>
    <row r="3170">
      <c r="A3170" t="n">
        <v>50</v>
      </c>
      <c r="B3170" t="n">
        <v>120</v>
      </c>
      <c r="C3170" t="n">
        <v>5</v>
      </c>
      <c r="D3170" s="218" t="n">
        <v>141.51</v>
      </c>
      <c r="E3170" s="218" t="n">
        <v>4.56</v>
      </c>
      <c r="F3170" t="str">
        <v>https://re.jrc.ec.europa.eu/api/v5_3/PVcalc?lat=30.0444&amp;lon=31.2357&amp;peakpower=1&amp;loss=14&amp;angle=50&amp;aspect=-60&amp;outputformat=json&amp;raddatabase=PVGIS-SARAH3&amp;pvtechchoice=crystSi&amp;mountingplace=free&amp;usehorizon=1</v>
      </c>
    </row>
    <row r="3171">
      <c r="A3171" t="n">
        <v>50</v>
      </c>
      <c r="B3171" t="n">
        <v>120</v>
      </c>
      <c r="C3171" t="n">
        <v>6</v>
      </c>
      <c r="D3171" s="218" t="n">
        <v>137.47</v>
      </c>
      <c r="E3171" s="218" t="n">
        <v>4.58</v>
      </c>
      <c r="F3171" t="str">
        <v>https://re.jrc.ec.europa.eu/api/v5_3/PVcalc?lat=30.0444&amp;lon=31.2357&amp;peakpower=1&amp;loss=14&amp;angle=50&amp;aspect=-60&amp;outputformat=json&amp;raddatabase=PVGIS-SARAH3&amp;pvtechchoice=crystSi&amp;mountingplace=free&amp;usehorizon=1</v>
      </c>
    </row>
    <row r="3172">
      <c r="A3172" t="n">
        <v>50</v>
      </c>
      <c r="B3172" t="n">
        <v>120</v>
      </c>
      <c r="C3172" t="n">
        <v>7</v>
      </c>
      <c r="D3172" s="218" t="n">
        <v>139.7</v>
      </c>
      <c r="E3172" s="218" t="n">
        <v>4.51</v>
      </c>
      <c r="F3172" t="str">
        <v>https://re.jrc.ec.europa.eu/api/v5_3/PVcalc?lat=30.0444&amp;lon=31.2357&amp;peakpower=1&amp;loss=14&amp;angle=50&amp;aspect=-60&amp;outputformat=json&amp;raddatabase=PVGIS-SARAH3&amp;pvtechchoice=crystSi&amp;mountingplace=free&amp;usehorizon=1</v>
      </c>
    </row>
    <row r="3173">
      <c r="A3173" t="n">
        <v>50</v>
      </c>
      <c r="B3173" t="n">
        <v>120</v>
      </c>
      <c r="C3173" t="n">
        <v>8</v>
      </c>
      <c r="D3173" s="218" t="n">
        <v>139.85</v>
      </c>
      <c r="E3173" s="218" t="n">
        <v>4.51</v>
      </c>
      <c r="F3173" t="str">
        <v>https://re.jrc.ec.europa.eu/api/v5_3/PVcalc?lat=30.0444&amp;lon=31.2357&amp;peakpower=1&amp;loss=14&amp;angle=50&amp;aspect=-60&amp;outputformat=json&amp;raddatabase=PVGIS-SARAH3&amp;pvtechchoice=crystSi&amp;mountingplace=free&amp;usehorizon=1</v>
      </c>
    </row>
    <row r="3174">
      <c r="A3174" t="n">
        <v>50</v>
      </c>
      <c r="B3174" t="n">
        <v>120</v>
      </c>
      <c r="C3174" t="n">
        <v>9</v>
      </c>
      <c r="D3174" s="218" t="n">
        <v>132.09</v>
      </c>
      <c r="E3174" s="218" t="n">
        <v>4.4</v>
      </c>
      <c r="F3174" t="str">
        <v>https://re.jrc.ec.europa.eu/api/v5_3/PVcalc?lat=30.0444&amp;lon=31.2357&amp;peakpower=1&amp;loss=14&amp;angle=50&amp;aspect=-60&amp;outputformat=json&amp;raddatabase=PVGIS-SARAH3&amp;pvtechchoice=crystSi&amp;mountingplace=free&amp;usehorizon=1</v>
      </c>
    </row>
    <row r="3175">
      <c r="A3175" t="n">
        <v>50</v>
      </c>
      <c r="B3175" t="n">
        <v>120</v>
      </c>
      <c r="C3175" t="n">
        <v>10</v>
      </c>
      <c r="D3175" s="218" t="n">
        <v>127.22</v>
      </c>
      <c r="E3175" s="218" t="n">
        <v>4.1</v>
      </c>
      <c r="F3175" t="str">
        <v>https://re.jrc.ec.europa.eu/api/v5_3/PVcalc?lat=30.0444&amp;lon=31.2357&amp;peakpower=1&amp;loss=14&amp;angle=50&amp;aspect=-60&amp;outputformat=json&amp;raddatabase=PVGIS-SARAH3&amp;pvtechchoice=crystSi&amp;mountingplace=free&amp;usehorizon=1</v>
      </c>
    </row>
    <row r="3176">
      <c r="A3176" t="n">
        <v>50</v>
      </c>
      <c r="B3176" t="n">
        <v>120</v>
      </c>
      <c r="C3176" t="n">
        <v>11</v>
      </c>
      <c r="D3176" s="218" t="n">
        <v>112.77</v>
      </c>
      <c r="E3176" s="218" t="n">
        <v>3.76</v>
      </c>
      <c r="F3176" t="str">
        <v>https://re.jrc.ec.europa.eu/api/v5_3/PVcalc?lat=30.0444&amp;lon=31.2357&amp;peakpower=1&amp;loss=14&amp;angle=50&amp;aspect=-60&amp;outputformat=json&amp;raddatabase=PVGIS-SARAH3&amp;pvtechchoice=crystSi&amp;mountingplace=free&amp;usehorizon=1</v>
      </c>
    </row>
    <row r="3177">
      <c r="A3177" t="n">
        <v>50</v>
      </c>
      <c r="B3177" t="n">
        <v>120</v>
      </c>
      <c r="C3177" t="n">
        <v>12</v>
      </c>
      <c r="D3177" s="218" t="n">
        <v>107.48</v>
      </c>
      <c r="E3177" s="218" t="n">
        <v>3.47</v>
      </c>
      <c r="F3177" t="str">
        <v>https://re.jrc.ec.europa.eu/api/v5_3/PVcalc?lat=30.0444&amp;lon=31.2357&amp;peakpower=1&amp;loss=14&amp;angle=50&amp;aspect=-60&amp;outputformat=json&amp;raddatabase=PVGIS-SARAH3&amp;pvtechchoice=crystSi&amp;mountingplace=free&amp;usehorizon=1</v>
      </c>
    </row>
    <row r="3178">
      <c r="A3178" t="n">
        <v>50</v>
      </c>
      <c r="B3178" t="n">
        <v>135</v>
      </c>
      <c r="C3178" t="n">
        <v>1</v>
      </c>
      <c r="D3178" s="218" t="n">
        <v>121.61</v>
      </c>
      <c r="E3178" s="218" t="n">
        <v>3.92</v>
      </c>
      <c r="F3178" t="str">
        <v>https://re.jrc.ec.europa.eu/api/v5_3/PVcalc?lat=30.0444&amp;lon=31.2357&amp;peakpower=1&amp;loss=14&amp;angle=50&amp;aspect=-45&amp;outputformat=json&amp;raddatabase=PVGIS-SARAH3&amp;pvtechchoice=crystSi&amp;mountingplace=free&amp;usehorizon=1</v>
      </c>
    </row>
    <row r="3179">
      <c r="A3179" t="n">
        <v>50</v>
      </c>
      <c r="B3179" t="n">
        <v>135</v>
      </c>
      <c r="C3179" t="n">
        <v>2</v>
      </c>
      <c r="D3179" s="218" t="n">
        <v>119.69</v>
      </c>
      <c r="E3179" s="218" t="n">
        <v>4.27</v>
      </c>
      <c r="F3179" t="str">
        <v>https://re.jrc.ec.europa.eu/api/v5_3/PVcalc?lat=30.0444&amp;lon=31.2357&amp;peakpower=1&amp;loss=14&amp;angle=50&amp;aspect=-45&amp;outputformat=json&amp;raddatabase=PVGIS-SARAH3&amp;pvtechchoice=crystSi&amp;mountingplace=free&amp;usehorizon=1</v>
      </c>
    </row>
    <row r="3180">
      <c r="A3180" t="n">
        <v>50</v>
      </c>
      <c r="B3180" t="n">
        <v>135</v>
      </c>
      <c r="C3180" t="n">
        <v>3</v>
      </c>
      <c r="D3180" s="218" t="n">
        <v>142.67</v>
      </c>
      <c r="E3180" s="218" t="n">
        <v>4.6</v>
      </c>
      <c r="F3180" t="str">
        <v>https://re.jrc.ec.europa.eu/api/v5_3/PVcalc?lat=30.0444&amp;lon=31.2357&amp;peakpower=1&amp;loss=14&amp;angle=50&amp;aspect=-45&amp;outputformat=json&amp;raddatabase=PVGIS-SARAH3&amp;pvtechchoice=crystSi&amp;mountingplace=free&amp;usehorizon=1</v>
      </c>
    </row>
    <row r="3181">
      <c r="A3181" t="n">
        <v>50</v>
      </c>
      <c r="B3181" t="n">
        <v>135</v>
      </c>
      <c r="C3181" t="n">
        <v>4</v>
      </c>
      <c r="D3181" s="218" t="n">
        <v>139.12</v>
      </c>
      <c r="E3181" s="218" t="n">
        <v>4.64</v>
      </c>
      <c r="F3181" t="str">
        <v>https://re.jrc.ec.europa.eu/api/v5_3/PVcalc?lat=30.0444&amp;lon=31.2357&amp;peakpower=1&amp;loss=14&amp;angle=50&amp;aspect=-45&amp;outputformat=json&amp;raddatabase=PVGIS-SARAH3&amp;pvtechchoice=crystSi&amp;mountingplace=free&amp;usehorizon=1</v>
      </c>
    </row>
    <row r="3182">
      <c r="A3182" t="n">
        <v>50</v>
      </c>
      <c r="B3182" t="n">
        <v>135</v>
      </c>
      <c r="C3182" t="n">
        <v>5</v>
      </c>
      <c r="D3182" s="218" t="n">
        <v>140.04</v>
      </c>
      <c r="E3182" s="218" t="n">
        <v>4.52</v>
      </c>
      <c r="F3182" t="str">
        <v>https://re.jrc.ec.europa.eu/api/v5_3/PVcalc?lat=30.0444&amp;lon=31.2357&amp;peakpower=1&amp;loss=14&amp;angle=50&amp;aspect=-45&amp;outputformat=json&amp;raddatabase=PVGIS-SARAH3&amp;pvtechchoice=crystSi&amp;mountingplace=free&amp;usehorizon=1</v>
      </c>
    </row>
    <row r="3183">
      <c r="A3183" t="n">
        <v>50</v>
      </c>
      <c r="B3183" t="n">
        <v>135</v>
      </c>
      <c r="C3183" t="n">
        <v>6</v>
      </c>
      <c r="D3183" s="218" t="n">
        <v>134.15</v>
      </c>
      <c r="E3183" s="218" t="n">
        <v>4.47</v>
      </c>
      <c r="F3183" t="str">
        <v>https://re.jrc.ec.europa.eu/api/v5_3/PVcalc?lat=30.0444&amp;lon=31.2357&amp;peakpower=1&amp;loss=14&amp;angle=50&amp;aspect=-45&amp;outputformat=json&amp;raddatabase=PVGIS-SARAH3&amp;pvtechchoice=crystSi&amp;mountingplace=free&amp;usehorizon=1</v>
      </c>
    </row>
    <row r="3184">
      <c r="A3184" t="n">
        <v>50</v>
      </c>
      <c r="B3184" t="n">
        <v>135</v>
      </c>
      <c r="C3184" t="n">
        <v>7</v>
      </c>
      <c r="D3184" s="218" t="n">
        <v>138.22</v>
      </c>
      <c r="E3184" s="218" t="n">
        <v>4.46</v>
      </c>
      <c r="F3184" t="str">
        <v>https://re.jrc.ec.europa.eu/api/v5_3/PVcalc?lat=30.0444&amp;lon=31.2357&amp;peakpower=1&amp;loss=14&amp;angle=50&amp;aspect=-45&amp;outputformat=json&amp;raddatabase=PVGIS-SARAH3&amp;pvtechchoice=crystSi&amp;mountingplace=free&amp;usehorizon=1</v>
      </c>
    </row>
    <row r="3185">
      <c r="A3185" t="n">
        <v>50</v>
      </c>
      <c r="B3185" t="n">
        <v>135</v>
      </c>
      <c r="C3185" t="n">
        <v>8</v>
      </c>
      <c r="D3185" s="218" t="n">
        <v>142.02</v>
      </c>
      <c r="E3185" s="218" t="n">
        <v>4.58</v>
      </c>
      <c r="F3185" t="str">
        <v>https://re.jrc.ec.europa.eu/api/v5_3/PVcalc?lat=30.0444&amp;lon=31.2357&amp;peakpower=1&amp;loss=14&amp;angle=50&amp;aspect=-45&amp;outputformat=json&amp;raddatabase=PVGIS-SARAH3&amp;pvtechchoice=crystSi&amp;mountingplace=free&amp;usehorizon=1</v>
      </c>
    </row>
    <row r="3186">
      <c r="A3186" t="n">
        <v>50</v>
      </c>
      <c r="B3186" t="n">
        <v>135</v>
      </c>
      <c r="C3186" t="n">
        <v>9</v>
      </c>
      <c r="D3186" s="218" t="n">
        <v>138.57</v>
      </c>
      <c r="E3186" s="218" t="n">
        <v>4.62</v>
      </c>
      <c r="F3186" t="str">
        <v>https://re.jrc.ec.europa.eu/api/v5_3/PVcalc?lat=30.0444&amp;lon=31.2357&amp;peakpower=1&amp;loss=14&amp;angle=50&amp;aspect=-45&amp;outputformat=json&amp;raddatabase=PVGIS-SARAH3&amp;pvtechchoice=crystSi&amp;mountingplace=free&amp;usehorizon=1</v>
      </c>
    </row>
    <row r="3187">
      <c r="A3187" t="n">
        <v>50</v>
      </c>
      <c r="B3187" t="n">
        <v>135</v>
      </c>
      <c r="C3187" t="n">
        <v>10</v>
      </c>
      <c r="D3187" s="218" t="n">
        <v>137.8</v>
      </c>
      <c r="E3187" s="218" t="n">
        <v>4.45</v>
      </c>
      <c r="F3187" t="str">
        <v>https://re.jrc.ec.europa.eu/api/v5_3/PVcalc?lat=30.0444&amp;lon=31.2357&amp;peakpower=1&amp;loss=14&amp;angle=50&amp;aspect=-45&amp;outputformat=json&amp;raddatabase=PVGIS-SARAH3&amp;pvtechchoice=crystSi&amp;mountingplace=free&amp;usehorizon=1</v>
      </c>
    </row>
    <row r="3188">
      <c r="A3188" t="n">
        <v>50</v>
      </c>
      <c r="B3188" t="n">
        <v>135</v>
      </c>
      <c r="C3188" t="n">
        <v>11</v>
      </c>
      <c r="D3188" s="218" t="n">
        <v>125.97</v>
      </c>
      <c r="E3188" s="218" t="n">
        <v>4.2</v>
      </c>
      <c r="F3188" t="str">
        <v>https://re.jrc.ec.europa.eu/api/v5_3/PVcalc?lat=30.0444&amp;lon=31.2357&amp;peakpower=1&amp;loss=14&amp;angle=50&amp;aspect=-45&amp;outputformat=json&amp;raddatabase=PVGIS-SARAH3&amp;pvtechchoice=crystSi&amp;mountingplace=free&amp;usehorizon=1</v>
      </c>
    </row>
    <row r="3189">
      <c r="A3189" t="n">
        <v>50</v>
      </c>
      <c r="B3189" t="n">
        <v>135</v>
      </c>
      <c r="C3189" t="n">
        <v>12</v>
      </c>
      <c r="D3189" s="218" t="n">
        <v>121.96</v>
      </c>
      <c r="E3189" s="218" t="n">
        <v>3.93</v>
      </c>
      <c r="F3189" t="str">
        <v>https://re.jrc.ec.europa.eu/api/v5_3/PVcalc?lat=30.0444&amp;lon=31.2357&amp;peakpower=1&amp;loss=14&amp;angle=50&amp;aspect=-45&amp;outputformat=json&amp;raddatabase=PVGIS-SARAH3&amp;pvtechchoice=crystSi&amp;mountingplace=free&amp;usehorizon=1</v>
      </c>
    </row>
    <row r="3190">
      <c r="A3190" t="n">
        <v>50</v>
      </c>
      <c r="B3190" t="n">
        <v>150</v>
      </c>
      <c r="C3190" t="n">
        <v>1</v>
      </c>
      <c r="D3190" s="218" t="n">
        <v>132.89</v>
      </c>
      <c r="E3190" s="218" t="n">
        <v>4.29</v>
      </c>
      <c r="F3190" t="str">
        <v>https://re.jrc.ec.europa.eu/api/v5_3/PVcalc?lat=30.0444&amp;lon=31.2357&amp;peakpower=1&amp;loss=14&amp;angle=50&amp;aspect=-30&amp;outputformat=json&amp;raddatabase=PVGIS-SARAH3&amp;pvtechchoice=crystSi&amp;mountingplace=free&amp;usehorizon=1</v>
      </c>
    </row>
    <row r="3191">
      <c r="A3191" t="n">
        <v>50</v>
      </c>
      <c r="B3191" t="n">
        <v>150</v>
      </c>
      <c r="C3191" t="n">
        <v>2</v>
      </c>
      <c r="D3191" s="218" t="n">
        <v>127.52</v>
      </c>
      <c r="E3191" s="218" t="n">
        <v>4.55</v>
      </c>
      <c r="F3191" t="str">
        <v>https://re.jrc.ec.europa.eu/api/v5_3/PVcalc?lat=30.0444&amp;lon=31.2357&amp;peakpower=1&amp;loss=14&amp;angle=50&amp;aspect=-30&amp;outputformat=json&amp;raddatabase=PVGIS-SARAH3&amp;pvtechchoice=crystSi&amp;mountingplace=free&amp;usehorizon=1</v>
      </c>
    </row>
    <row r="3192">
      <c r="A3192" t="n">
        <v>50</v>
      </c>
      <c r="B3192" t="n">
        <v>150</v>
      </c>
      <c r="C3192" t="n">
        <v>3</v>
      </c>
      <c r="D3192" s="218" t="n">
        <v>148.97</v>
      </c>
      <c r="E3192" s="218" t="n">
        <v>4.81</v>
      </c>
      <c r="F3192" t="str">
        <v>https://re.jrc.ec.europa.eu/api/v5_3/PVcalc?lat=30.0444&amp;lon=31.2357&amp;peakpower=1&amp;loss=14&amp;angle=50&amp;aspect=-30&amp;outputformat=json&amp;raddatabase=PVGIS-SARAH3&amp;pvtechchoice=crystSi&amp;mountingplace=free&amp;usehorizon=1</v>
      </c>
    </row>
    <row r="3193">
      <c r="A3193" t="n">
        <v>50</v>
      </c>
      <c r="B3193" t="n">
        <v>150</v>
      </c>
      <c r="C3193" t="n">
        <v>4</v>
      </c>
      <c r="D3193" s="218" t="n">
        <v>141.38</v>
      </c>
      <c r="E3193" s="218" t="n">
        <v>4.71</v>
      </c>
      <c r="F3193" t="str">
        <v>https://re.jrc.ec.europa.eu/api/v5_3/PVcalc?lat=30.0444&amp;lon=31.2357&amp;peakpower=1&amp;loss=14&amp;angle=50&amp;aspect=-30&amp;outputformat=json&amp;raddatabase=PVGIS-SARAH3&amp;pvtechchoice=crystSi&amp;mountingplace=free&amp;usehorizon=1</v>
      </c>
    </row>
    <row r="3194">
      <c r="A3194" t="n">
        <v>50</v>
      </c>
      <c r="B3194" t="n">
        <v>150</v>
      </c>
      <c r="C3194" t="n">
        <v>5</v>
      </c>
      <c r="D3194" s="218" t="n">
        <v>138.45</v>
      </c>
      <c r="E3194" s="218" t="n">
        <v>4.47</v>
      </c>
      <c r="F3194" t="str">
        <v>https://re.jrc.ec.europa.eu/api/v5_3/PVcalc?lat=30.0444&amp;lon=31.2357&amp;peakpower=1&amp;loss=14&amp;angle=50&amp;aspect=-30&amp;outputformat=json&amp;raddatabase=PVGIS-SARAH3&amp;pvtechchoice=crystSi&amp;mountingplace=free&amp;usehorizon=1</v>
      </c>
    </row>
    <row r="3195">
      <c r="A3195" t="n">
        <v>50</v>
      </c>
      <c r="B3195" t="n">
        <v>150</v>
      </c>
      <c r="C3195" t="n">
        <v>6</v>
      </c>
      <c r="D3195" s="218" t="n">
        <v>130.64</v>
      </c>
      <c r="E3195" s="218" t="n">
        <v>4.35</v>
      </c>
      <c r="F3195" t="str">
        <v>https://re.jrc.ec.europa.eu/api/v5_3/PVcalc?lat=30.0444&amp;lon=31.2357&amp;peakpower=1&amp;loss=14&amp;angle=50&amp;aspect=-30&amp;outputformat=json&amp;raddatabase=PVGIS-SARAH3&amp;pvtechchoice=crystSi&amp;mountingplace=free&amp;usehorizon=1</v>
      </c>
    </row>
    <row r="3196">
      <c r="A3196" t="n">
        <v>50</v>
      </c>
      <c r="B3196" t="n">
        <v>150</v>
      </c>
      <c r="C3196" t="n">
        <v>7</v>
      </c>
      <c r="D3196" s="218" t="n">
        <v>135.94</v>
      </c>
      <c r="E3196" s="218" t="n">
        <v>4.39</v>
      </c>
      <c r="F3196" t="str">
        <v>https://re.jrc.ec.europa.eu/api/v5_3/PVcalc?lat=30.0444&amp;lon=31.2357&amp;peakpower=1&amp;loss=14&amp;angle=50&amp;aspect=-30&amp;outputformat=json&amp;raddatabase=PVGIS-SARAH3&amp;pvtechchoice=crystSi&amp;mountingplace=free&amp;usehorizon=1</v>
      </c>
    </row>
    <row r="3197">
      <c r="A3197" t="n">
        <v>50</v>
      </c>
      <c r="B3197" t="n">
        <v>150</v>
      </c>
      <c r="C3197" t="n">
        <v>8</v>
      </c>
      <c r="D3197" s="218" t="n">
        <v>142.68</v>
      </c>
      <c r="E3197" s="218" t="n">
        <v>4.6</v>
      </c>
      <c r="F3197" t="str">
        <v>https://re.jrc.ec.europa.eu/api/v5_3/PVcalc?lat=30.0444&amp;lon=31.2357&amp;peakpower=1&amp;loss=14&amp;angle=50&amp;aspect=-30&amp;outputformat=json&amp;raddatabase=PVGIS-SARAH3&amp;pvtechchoice=crystSi&amp;mountingplace=free&amp;usehorizon=1</v>
      </c>
    </row>
    <row r="3198">
      <c r="A3198" t="n">
        <v>50</v>
      </c>
      <c r="B3198" t="n">
        <v>150</v>
      </c>
      <c r="C3198" t="n">
        <v>9</v>
      </c>
      <c r="D3198" s="218" t="n">
        <v>144.06</v>
      </c>
      <c r="E3198" s="218" t="n">
        <v>4.8</v>
      </c>
      <c r="F3198" t="str">
        <v>https://re.jrc.ec.europa.eu/api/v5_3/PVcalc?lat=30.0444&amp;lon=31.2357&amp;peakpower=1&amp;loss=14&amp;angle=50&amp;aspect=-30&amp;outputformat=json&amp;raddatabase=PVGIS-SARAH3&amp;pvtechchoice=crystSi&amp;mountingplace=free&amp;usehorizon=1</v>
      </c>
    </row>
    <row r="3199">
      <c r="A3199" t="n">
        <v>50</v>
      </c>
      <c r="B3199" t="n">
        <v>150</v>
      </c>
      <c r="C3199" t="n">
        <v>10</v>
      </c>
      <c r="D3199" s="218" t="n">
        <v>147.04</v>
      </c>
      <c r="E3199" s="218" t="n">
        <v>4.74</v>
      </c>
      <c r="F3199" t="str">
        <v>https://re.jrc.ec.europa.eu/api/v5_3/PVcalc?lat=30.0444&amp;lon=31.2357&amp;peakpower=1&amp;loss=14&amp;angle=50&amp;aspect=-30&amp;outputformat=json&amp;raddatabase=PVGIS-SARAH3&amp;pvtechchoice=crystSi&amp;mountingplace=free&amp;usehorizon=1</v>
      </c>
    </row>
    <row r="3200">
      <c r="A3200" t="n">
        <v>50</v>
      </c>
      <c r="B3200" t="n">
        <v>150</v>
      </c>
      <c r="C3200" t="n">
        <v>11</v>
      </c>
      <c r="D3200" s="218" t="n">
        <v>137.22</v>
      </c>
      <c r="E3200" s="218" t="n">
        <v>4.57</v>
      </c>
      <c r="F3200" t="str">
        <v>https://re.jrc.ec.europa.eu/api/v5_3/PVcalc?lat=30.0444&amp;lon=31.2357&amp;peakpower=1&amp;loss=14&amp;angle=50&amp;aspect=-30&amp;outputformat=json&amp;raddatabase=PVGIS-SARAH3&amp;pvtechchoice=crystSi&amp;mountingplace=free&amp;usehorizon=1</v>
      </c>
    </row>
    <row r="3201">
      <c r="A3201" t="n">
        <v>50</v>
      </c>
      <c r="B3201" t="n">
        <v>150</v>
      </c>
      <c r="C3201" t="n">
        <v>12</v>
      </c>
      <c r="D3201" s="218" t="n">
        <v>133.87</v>
      </c>
      <c r="E3201" s="218" t="n">
        <v>4.32</v>
      </c>
      <c r="F3201" t="str">
        <v>https://re.jrc.ec.europa.eu/api/v5_3/PVcalc?lat=30.0444&amp;lon=31.2357&amp;peakpower=1&amp;loss=14&amp;angle=50&amp;aspect=-30&amp;outputformat=json&amp;raddatabase=PVGIS-SARAH3&amp;pvtechchoice=crystSi&amp;mountingplace=free&amp;usehorizon=1</v>
      </c>
    </row>
    <row r="3202">
      <c r="A3202" t="n">
        <v>50</v>
      </c>
      <c r="B3202" t="n">
        <v>165</v>
      </c>
      <c r="C3202" t="n">
        <v>1</v>
      </c>
      <c r="D3202" s="218" t="n">
        <v>140.44</v>
      </c>
      <c r="E3202" s="218" t="n">
        <v>4.53</v>
      </c>
      <c r="F3202" t="str">
        <v>https://re.jrc.ec.europa.eu/api/v5_3/PVcalc?lat=30.0444&amp;lon=31.2357&amp;peakpower=1&amp;loss=14&amp;angle=50&amp;aspect=-15&amp;outputformat=json&amp;raddatabase=PVGIS-SARAH3&amp;pvtechchoice=crystSi&amp;mountingplace=free&amp;usehorizon=1</v>
      </c>
    </row>
    <row r="3203">
      <c r="A3203" t="n">
        <v>50</v>
      </c>
      <c r="B3203" t="n">
        <v>165</v>
      </c>
      <c r="C3203" t="n">
        <v>2</v>
      </c>
      <c r="D3203" s="218" t="n">
        <v>132.79</v>
      </c>
      <c r="E3203" s="218" t="n">
        <v>4.74</v>
      </c>
      <c r="F3203" t="str">
        <v>https://re.jrc.ec.europa.eu/api/v5_3/PVcalc?lat=30.0444&amp;lon=31.2357&amp;peakpower=1&amp;loss=14&amp;angle=50&amp;aspect=-15&amp;outputformat=json&amp;raddatabase=PVGIS-SARAH3&amp;pvtechchoice=crystSi&amp;mountingplace=free&amp;usehorizon=1</v>
      </c>
    </row>
    <row r="3204">
      <c r="A3204" t="n">
        <v>50</v>
      </c>
      <c r="B3204" t="n">
        <v>165</v>
      </c>
      <c r="C3204" t="n">
        <v>3</v>
      </c>
      <c r="D3204" s="218" t="n">
        <v>153.95</v>
      </c>
      <c r="E3204" s="218" t="n">
        <v>4.97</v>
      </c>
      <c r="F3204" t="str">
        <v>https://re.jrc.ec.europa.eu/api/v5_3/PVcalc?lat=30.0444&amp;lon=31.2357&amp;peakpower=1&amp;loss=14&amp;angle=50&amp;aspect=-15&amp;outputformat=json&amp;raddatabase=PVGIS-SARAH3&amp;pvtechchoice=crystSi&amp;mountingplace=free&amp;usehorizon=1</v>
      </c>
    </row>
    <row r="3205">
      <c r="A3205" t="n">
        <v>50</v>
      </c>
      <c r="B3205" t="n">
        <v>165</v>
      </c>
      <c r="C3205" t="n">
        <v>4</v>
      </c>
      <c r="D3205" s="218" t="n">
        <v>143.23</v>
      </c>
      <c r="E3205" s="218" t="n">
        <v>4.77</v>
      </c>
      <c r="F3205" t="str">
        <v>https://re.jrc.ec.europa.eu/api/v5_3/PVcalc?lat=30.0444&amp;lon=31.2357&amp;peakpower=1&amp;loss=14&amp;angle=50&amp;aspect=-15&amp;outputformat=json&amp;raddatabase=PVGIS-SARAH3&amp;pvtechchoice=crystSi&amp;mountingplace=free&amp;usehorizon=1</v>
      </c>
    </row>
    <row r="3206">
      <c r="A3206" t="n">
        <v>50</v>
      </c>
      <c r="B3206" t="n">
        <v>165</v>
      </c>
      <c r="C3206" t="n">
        <v>5</v>
      </c>
      <c r="D3206" s="218" t="n">
        <v>136.2</v>
      </c>
      <c r="E3206" s="218" t="n">
        <v>4.39</v>
      </c>
      <c r="F3206" t="str">
        <v>https://re.jrc.ec.europa.eu/api/v5_3/PVcalc?lat=30.0444&amp;lon=31.2357&amp;peakpower=1&amp;loss=14&amp;angle=50&amp;aspect=-15&amp;outputformat=json&amp;raddatabase=PVGIS-SARAH3&amp;pvtechchoice=crystSi&amp;mountingplace=free&amp;usehorizon=1</v>
      </c>
    </row>
    <row r="3207">
      <c r="A3207" t="n">
        <v>50</v>
      </c>
      <c r="B3207" t="n">
        <v>165</v>
      </c>
      <c r="C3207" t="n">
        <v>6</v>
      </c>
      <c r="D3207" s="218" t="n">
        <v>126.79</v>
      </c>
      <c r="E3207" s="218" t="n">
        <v>4.23</v>
      </c>
      <c r="F3207" t="str">
        <v>https://re.jrc.ec.europa.eu/api/v5_3/PVcalc?lat=30.0444&amp;lon=31.2357&amp;peakpower=1&amp;loss=14&amp;angle=50&amp;aspect=-15&amp;outputformat=json&amp;raddatabase=PVGIS-SARAH3&amp;pvtechchoice=crystSi&amp;mountingplace=free&amp;usehorizon=1</v>
      </c>
    </row>
    <row r="3208">
      <c r="A3208" t="n">
        <v>50</v>
      </c>
      <c r="B3208" t="n">
        <v>165</v>
      </c>
      <c r="C3208" t="n">
        <v>7</v>
      </c>
      <c r="D3208" s="218" t="n">
        <v>133.49</v>
      </c>
      <c r="E3208" s="218" t="n">
        <v>4.31</v>
      </c>
      <c r="F3208" t="str">
        <v>https://re.jrc.ec.europa.eu/api/v5_3/PVcalc?lat=30.0444&amp;lon=31.2357&amp;peakpower=1&amp;loss=14&amp;angle=50&amp;aspect=-15&amp;outputformat=json&amp;raddatabase=PVGIS-SARAH3&amp;pvtechchoice=crystSi&amp;mountingplace=free&amp;usehorizon=1</v>
      </c>
    </row>
    <row r="3209">
      <c r="A3209" t="n">
        <v>50</v>
      </c>
      <c r="B3209" t="n">
        <v>165</v>
      </c>
      <c r="C3209" t="n">
        <v>8</v>
      </c>
      <c r="D3209" s="218" t="n">
        <v>143.64</v>
      </c>
      <c r="E3209" s="218" t="n">
        <v>4.63</v>
      </c>
      <c r="F3209" t="str">
        <v>https://re.jrc.ec.europa.eu/api/v5_3/PVcalc?lat=30.0444&amp;lon=31.2357&amp;peakpower=1&amp;loss=14&amp;angle=50&amp;aspect=-15&amp;outputformat=json&amp;raddatabase=PVGIS-SARAH3&amp;pvtechchoice=crystSi&amp;mountingplace=free&amp;usehorizon=1</v>
      </c>
    </row>
    <row r="3210">
      <c r="A3210" t="n">
        <v>50</v>
      </c>
      <c r="B3210" t="n">
        <v>165</v>
      </c>
      <c r="C3210" t="n">
        <v>9</v>
      </c>
      <c r="D3210" s="218" t="n">
        <v>149.05</v>
      </c>
      <c r="E3210" s="218" t="n">
        <v>4.97</v>
      </c>
      <c r="F3210" t="str">
        <v>https://re.jrc.ec.europa.eu/api/v5_3/PVcalc?lat=30.0444&amp;lon=31.2357&amp;peakpower=1&amp;loss=14&amp;angle=50&amp;aspect=-15&amp;outputformat=json&amp;raddatabase=PVGIS-SARAH3&amp;pvtechchoice=crystSi&amp;mountingplace=free&amp;usehorizon=1</v>
      </c>
    </row>
    <row r="3211">
      <c r="A3211" t="n">
        <v>50</v>
      </c>
      <c r="B3211" t="n">
        <v>165</v>
      </c>
      <c r="C3211" t="n">
        <v>10</v>
      </c>
      <c r="D3211" s="218" t="n">
        <v>154.34</v>
      </c>
      <c r="E3211" s="218" t="n">
        <v>4.98</v>
      </c>
      <c r="F3211" t="str">
        <v>https://re.jrc.ec.europa.eu/api/v5_3/PVcalc?lat=30.0444&amp;lon=31.2357&amp;peakpower=1&amp;loss=14&amp;angle=50&amp;aspect=-15&amp;outputformat=json&amp;raddatabase=PVGIS-SARAH3&amp;pvtechchoice=crystSi&amp;mountingplace=free&amp;usehorizon=1</v>
      </c>
    </row>
    <row r="3212">
      <c r="A3212" t="n">
        <v>50</v>
      </c>
      <c r="B3212" t="n">
        <v>165</v>
      </c>
      <c r="C3212" t="n">
        <v>11</v>
      </c>
      <c r="D3212" s="218" t="n">
        <v>145.13</v>
      </c>
      <c r="E3212" s="218" t="n">
        <v>4.84</v>
      </c>
      <c r="F3212" t="str">
        <v>https://re.jrc.ec.europa.eu/api/v5_3/PVcalc?lat=30.0444&amp;lon=31.2357&amp;peakpower=1&amp;loss=14&amp;angle=50&amp;aspect=-15&amp;outputformat=json&amp;raddatabase=PVGIS-SARAH3&amp;pvtechchoice=crystSi&amp;mountingplace=free&amp;usehorizon=1</v>
      </c>
    </row>
    <row r="3213">
      <c r="A3213" t="n">
        <v>50</v>
      </c>
      <c r="B3213" t="n">
        <v>165</v>
      </c>
      <c r="C3213" t="n">
        <v>12</v>
      </c>
      <c r="D3213" s="218" t="n">
        <v>141.79</v>
      </c>
      <c r="E3213" s="218" t="n">
        <v>4.57</v>
      </c>
      <c r="F3213" t="str">
        <v>https://re.jrc.ec.europa.eu/api/v5_3/PVcalc?lat=30.0444&amp;lon=31.2357&amp;peakpower=1&amp;loss=14&amp;angle=50&amp;aspect=-15&amp;outputformat=json&amp;raddatabase=PVGIS-SARAH3&amp;pvtechchoice=crystSi&amp;mountingplace=free&amp;usehorizon=1</v>
      </c>
    </row>
    <row r="3214">
      <c r="A3214" t="n">
        <v>50</v>
      </c>
      <c r="B3214" t="n">
        <v>180</v>
      </c>
      <c r="C3214" t="n">
        <v>1</v>
      </c>
      <c r="D3214" s="218" t="n">
        <v>142.71</v>
      </c>
      <c r="E3214" s="218" t="n">
        <v>4.6</v>
      </c>
      <c r="F3214" t="str">
        <v>https://re.jrc.ec.europa.eu/api/v5_3/PVcalc?lat=30.0444&amp;lon=31.2357&amp;peakpower=1&amp;loss=14&amp;angle=50&amp;aspect=0&amp;outputformat=json&amp;raddatabase=PVGIS-SARAH3&amp;pvtechchoice=crystSi&amp;mountingplace=free&amp;usehorizon=1</v>
      </c>
    </row>
    <row r="3215">
      <c r="A3215" t="n">
        <v>50</v>
      </c>
      <c r="B3215" t="n">
        <v>180</v>
      </c>
      <c r="C3215" t="n">
        <v>2</v>
      </c>
      <c r="D3215" s="218" t="n">
        <v>134.4</v>
      </c>
      <c r="E3215" s="218" t="n">
        <v>4.8</v>
      </c>
      <c r="F3215" t="str">
        <v>https://re.jrc.ec.europa.eu/api/v5_3/PVcalc?lat=30.0444&amp;lon=31.2357&amp;peakpower=1&amp;loss=14&amp;angle=50&amp;aspect=0&amp;outputformat=json&amp;raddatabase=PVGIS-SARAH3&amp;pvtechchoice=crystSi&amp;mountingplace=free&amp;usehorizon=1</v>
      </c>
    </row>
    <row r="3216">
      <c r="A3216" t="n">
        <v>50</v>
      </c>
      <c r="B3216" t="n">
        <v>180</v>
      </c>
      <c r="C3216" t="n">
        <v>3</v>
      </c>
      <c r="D3216" s="218" t="n">
        <v>156.71</v>
      </c>
      <c r="E3216" s="218" t="n">
        <v>5.06</v>
      </c>
      <c r="F3216" t="str">
        <v>https://re.jrc.ec.europa.eu/api/v5_3/PVcalc?lat=30.0444&amp;lon=31.2357&amp;peakpower=1&amp;loss=14&amp;angle=50&amp;aspect=0&amp;outputformat=json&amp;raddatabase=PVGIS-SARAH3&amp;pvtechchoice=crystSi&amp;mountingplace=free&amp;usehorizon=1</v>
      </c>
    </row>
    <row r="3217">
      <c r="A3217" t="n">
        <v>50</v>
      </c>
      <c r="B3217" t="n">
        <v>180</v>
      </c>
      <c r="C3217" t="n">
        <v>4</v>
      </c>
      <c r="D3217" s="218" t="n">
        <v>144.46</v>
      </c>
      <c r="E3217" s="218" t="n">
        <v>4.82</v>
      </c>
      <c r="F3217" t="str">
        <v>https://re.jrc.ec.europa.eu/api/v5_3/PVcalc?lat=30.0444&amp;lon=31.2357&amp;peakpower=1&amp;loss=14&amp;angle=50&amp;aspect=0&amp;outputformat=json&amp;raddatabase=PVGIS-SARAH3&amp;pvtechchoice=crystSi&amp;mountingplace=free&amp;usehorizon=1</v>
      </c>
    </row>
    <row r="3218">
      <c r="A3218" t="n">
        <v>50</v>
      </c>
      <c r="B3218" t="n">
        <v>180</v>
      </c>
      <c r="C3218" t="n">
        <v>5</v>
      </c>
      <c r="D3218" s="218" t="n">
        <v>135.39</v>
      </c>
      <c r="E3218" s="218" t="n">
        <v>4.37</v>
      </c>
      <c r="F3218" t="str">
        <v>https://re.jrc.ec.europa.eu/api/v5_3/PVcalc?lat=30.0444&amp;lon=31.2357&amp;peakpower=1&amp;loss=14&amp;angle=50&amp;aspect=0&amp;outputformat=json&amp;raddatabase=PVGIS-SARAH3&amp;pvtechchoice=crystSi&amp;mountingplace=free&amp;usehorizon=1</v>
      </c>
    </row>
    <row r="3219">
      <c r="A3219" t="n">
        <v>50</v>
      </c>
      <c r="B3219" t="n">
        <v>180</v>
      </c>
      <c r="C3219" t="n">
        <v>6</v>
      </c>
      <c r="D3219" s="218" t="n">
        <v>125.4</v>
      </c>
      <c r="E3219" s="218" t="n">
        <v>4.18</v>
      </c>
      <c r="F3219" t="str">
        <v>https://re.jrc.ec.europa.eu/api/v5_3/PVcalc?lat=30.0444&amp;lon=31.2357&amp;peakpower=1&amp;loss=14&amp;angle=50&amp;aspect=0&amp;outputformat=json&amp;raddatabase=PVGIS-SARAH3&amp;pvtechchoice=crystSi&amp;mountingplace=free&amp;usehorizon=1</v>
      </c>
    </row>
    <row r="3220">
      <c r="A3220" t="n">
        <v>50</v>
      </c>
      <c r="B3220" t="n">
        <v>180</v>
      </c>
      <c r="C3220" t="n">
        <v>7</v>
      </c>
      <c r="D3220" s="218" t="n">
        <v>132.86</v>
      </c>
      <c r="E3220" s="218" t="n">
        <v>4.29</v>
      </c>
      <c r="F3220" t="str">
        <v>https://re.jrc.ec.europa.eu/api/v5_3/PVcalc?lat=30.0444&amp;lon=31.2357&amp;peakpower=1&amp;loss=14&amp;angle=50&amp;aspect=0&amp;outputformat=json&amp;raddatabase=PVGIS-SARAH3&amp;pvtechchoice=crystSi&amp;mountingplace=free&amp;usehorizon=1</v>
      </c>
    </row>
    <row r="3221">
      <c r="A3221" t="n">
        <v>50</v>
      </c>
      <c r="B3221" t="n">
        <v>180</v>
      </c>
      <c r="C3221" t="n">
        <v>8</v>
      </c>
      <c r="D3221" s="218" t="n">
        <v>144.63</v>
      </c>
      <c r="E3221" s="218" t="n">
        <v>4.67</v>
      </c>
      <c r="F3221" t="str">
        <v>https://re.jrc.ec.europa.eu/api/v5_3/PVcalc?lat=30.0444&amp;lon=31.2357&amp;peakpower=1&amp;loss=14&amp;angle=50&amp;aspect=0&amp;outputformat=json&amp;raddatabase=PVGIS-SARAH3&amp;pvtechchoice=crystSi&amp;mountingplace=free&amp;usehorizon=1</v>
      </c>
    </row>
    <row r="3222">
      <c r="A3222" t="n">
        <v>50</v>
      </c>
      <c r="B3222" t="n">
        <v>180</v>
      </c>
      <c r="C3222" t="n">
        <v>9</v>
      </c>
      <c r="D3222" s="218" t="n">
        <v>152.14</v>
      </c>
      <c r="E3222" s="218" t="n">
        <v>5.07</v>
      </c>
      <c r="F3222" t="str">
        <v>https://re.jrc.ec.europa.eu/api/v5_3/PVcalc?lat=30.0444&amp;lon=31.2357&amp;peakpower=1&amp;loss=14&amp;angle=50&amp;aspect=0&amp;outputformat=json&amp;raddatabase=PVGIS-SARAH3&amp;pvtechchoice=crystSi&amp;mountingplace=free&amp;usehorizon=1</v>
      </c>
    </row>
    <row r="3223">
      <c r="A3223" t="n">
        <v>50</v>
      </c>
      <c r="B3223" t="n">
        <v>180</v>
      </c>
      <c r="C3223" t="n">
        <v>10</v>
      </c>
      <c r="D3223" s="218" t="n">
        <v>157.45</v>
      </c>
      <c r="E3223" s="218" t="n">
        <v>5.08</v>
      </c>
      <c r="F3223" t="str">
        <v>https://re.jrc.ec.europa.eu/api/v5_3/PVcalc?lat=30.0444&amp;lon=31.2357&amp;peakpower=1&amp;loss=14&amp;angle=50&amp;aspect=0&amp;outputformat=json&amp;raddatabase=PVGIS-SARAH3&amp;pvtechchoice=crystSi&amp;mountingplace=free&amp;usehorizon=1</v>
      </c>
    </row>
    <row r="3224">
      <c r="A3224" t="n">
        <v>50</v>
      </c>
      <c r="B3224" t="n">
        <v>180</v>
      </c>
      <c r="C3224" t="n">
        <v>11</v>
      </c>
      <c r="D3224" s="218" t="n">
        <v>147.79</v>
      </c>
      <c r="E3224" s="218" t="n">
        <v>4.93</v>
      </c>
      <c r="F3224" t="str">
        <v>https://re.jrc.ec.europa.eu/api/v5_3/PVcalc?lat=30.0444&amp;lon=31.2357&amp;peakpower=1&amp;loss=14&amp;angle=50&amp;aspect=0&amp;outputformat=json&amp;raddatabase=PVGIS-SARAH3&amp;pvtechchoice=crystSi&amp;mountingplace=free&amp;usehorizon=1</v>
      </c>
    </row>
    <row r="3225">
      <c r="A3225" t="n">
        <v>50</v>
      </c>
      <c r="B3225" t="n">
        <v>180</v>
      </c>
      <c r="C3225" t="n">
        <v>12</v>
      </c>
      <c r="D3225" s="218" t="n">
        <v>144.17</v>
      </c>
      <c r="E3225" s="218" t="n">
        <v>4.65</v>
      </c>
      <c r="F3225" t="str">
        <v>https://re.jrc.ec.europa.eu/api/v5_3/PVcalc?lat=30.0444&amp;lon=31.2357&amp;peakpower=1&amp;loss=14&amp;angle=50&amp;aspect=0&amp;outputformat=json&amp;raddatabase=PVGIS-SARAH3&amp;pvtechchoice=crystSi&amp;mountingplace=free&amp;usehorizon=1</v>
      </c>
    </row>
    <row r="3226">
      <c r="A3226" t="n">
        <v>50</v>
      </c>
      <c r="B3226" t="n">
        <v>195</v>
      </c>
      <c r="C3226" t="n">
        <v>1</v>
      </c>
      <c r="D3226" s="218" t="n">
        <v>139.48</v>
      </c>
      <c r="E3226" s="218" t="n">
        <v>4.5</v>
      </c>
      <c r="F3226" t="str">
        <v>https://re.jrc.ec.europa.eu/api/v5_3/PVcalc?lat=30.0444&amp;lon=31.2357&amp;peakpower=1&amp;loss=14&amp;angle=50&amp;aspect=15&amp;outputformat=json&amp;raddatabase=PVGIS-SARAH3&amp;pvtechchoice=crystSi&amp;mountingplace=free&amp;usehorizon=1</v>
      </c>
    </row>
    <row r="3227">
      <c r="A3227" t="n">
        <v>50</v>
      </c>
      <c r="B3227" t="n">
        <v>195</v>
      </c>
      <c r="C3227" t="n">
        <v>2</v>
      </c>
      <c r="D3227" s="218" t="n">
        <v>131.52</v>
      </c>
      <c r="E3227" s="218" t="n">
        <v>4.7</v>
      </c>
      <c r="F3227" t="str">
        <v>https://re.jrc.ec.europa.eu/api/v5_3/PVcalc?lat=30.0444&amp;lon=31.2357&amp;peakpower=1&amp;loss=14&amp;angle=50&amp;aspect=15&amp;outputformat=json&amp;raddatabase=PVGIS-SARAH3&amp;pvtechchoice=crystSi&amp;mountingplace=free&amp;usehorizon=1</v>
      </c>
    </row>
    <row r="3228">
      <c r="A3228" t="n">
        <v>50</v>
      </c>
      <c r="B3228" t="n">
        <v>195</v>
      </c>
      <c r="C3228" t="n">
        <v>3</v>
      </c>
      <c r="D3228" s="218" t="n">
        <v>155.7</v>
      </c>
      <c r="E3228" s="218" t="n">
        <v>5.02</v>
      </c>
      <c r="F3228" t="str">
        <v>https://re.jrc.ec.europa.eu/api/v5_3/PVcalc?lat=30.0444&amp;lon=31.2357&amp;peakpower=1&amp;loss=14&amp;angle=50&amp;aspect=15&amp;outputformat=json&amp;raddatabase=PVGIS-SARAH3&amp;pvtechchoice=crystSi&amp;mountingplace=free&amp;usehorizon=1</v>
      </c>
    </row>
    <row r="3229">
      <c r="A3229" t="n">
        <v>50</v>
      </c>
      <c r="B3229" t="n">
        <v>195</v>
      </c>
      <c r="C3229" t="n">
        <v>4</v>
      </c>
      <c r="D3229" s="218" t="n">
        <v>145.19</v>
      </c>
      <c r="E3229" s="218" t="n">
        <v>4.84</v>
      </c>
      <c r="F3229" t="str">
        <v>https://re.jrc.ec.europa.eu/api/v5_3/PVcalc?lat=30.0444&amp;lon=31.2357&amp;peakpower=1&amp;loss=14&amp;angle=50&amp;aspect=15&amp;outputformat=json&amp;raddatabase=PVGIS-SARAH3&amp;pvtechchoice=crystSi&amp;mountingplace=free&amp;usehorizon=1</v>
      </c>
    </row>
    <row r="3230">
      <c r="A3230" t="n">
        <v>50</v>
      </c>
      <c r="B3230" t="n">
        <v>195</v>
      </c>
      <c r="C3230" t="n">
        <v>5</v>
      </c>
      <c r="D3230" s="218" t="n">
        <v>137.05</v>
      </c>
      <c r="E3230" s="218" t="n">
        <v>4.42</v>
      </c>
      <c r="F3230" t="str">
        <v>https://re.jrc.ec.europa.eu/api/v5_3/PVcalc?lat=30.0444&amp;lon=31.2357&amp;peakpower=1&amp;loss=14&amp;angle=50&amp;aspect=15&amp;outputformat=json&amp;raddatabase=PVGIS-SARAH3&amp;pvtechchoice=crystSi&amp;mountingplace=free&amp;usehorizon=1</v>
      </c>
    </row>
    <row r="3231">
      <c r="A3231" t="n">
        <v>50</v>
      </c>
      <c r="B3231" t="n">
        <v>195</v>
      </c>
      <c r="C3231" t="n">
        <v>6</v>
      </c>
      <c r="D3231" s="218" t="n">
        <v>128.15</v>
      </c>
      <c r="E3231" s="218" t="n">
        <v>4.27</v>
      </c>
      <c r="F3231" t="str">
        <v>https://re.jrc.ec.europa.eu/api/v5_3/PVcalc?lat=30.0444&amp;lon=31.2357&amp;peakpower=1&amp;loss=14&amp;angle=50&amp;aspect=15&amp;outputformat=json&amp;raddatabase=PVGIS-SARAH3&amp;pvtechchoice=crystSi&amp;mountingplace=free&amp;usehorizon=1</v>
      </c>
    </row>
    <row r="3232">
      <c r="A3232" t="n">
        <v>50</v>
      </c>
      <c r="B3232" t="n">
        <v>195</v>
      </c>
      <c r="C3232" t="n">
        <v>7</v>
      </c>
      <c r="D3232" s="218" t="n">
        <v>135.74</v>
      </c>
      <c r="E3232" s="218" t="n">
        <v>4.38</v>
      </c>
      <c r="F3232" t="str">
        <v>https://re.jrc.ec.europa.eu/api/v5_3/PVcalc?lat=30.0444&amp;lon=31.2357&amp;peakpower=1&amp;loss=14&amp;angle=50&amp;aspect=15&amp;outputformat=json&amp;raddatabase=PVGIS-SARAH3&amp;pvtechchoice=crystSi&amp;mountingplace=free&amp;usehorizon=1</v>
      </c>
    </row>
    <row r="3233">
      <c r="A3233" t="n">
        <v>50</v>
      </c>
      <c r="B3233" t="n">
        <v>195</v>
      </c>
      <c r="C3233" t="n">
        <v>8</v>
      </c>
      <c r="D3233" s="218" t="n">
        <v>146.62</v>
      </c>
      <c r="E3233" s="218" t="n">
        <v>4.73</v>
      </c>
      <c r="F3233" t="str">
        <v>https://re.jrc.ec.europa.eu/api/v5_3/PVcalc?lat=30.0444&amp;lon=31.2357&amp;peakpower=1&amp;loss=14&amp;angle=50&amp;aspect=15&amp;outputformat=json&amp;raddatabase=PVGIS-SARAH3&amp;pvtechchoice=crystSi&amp;mountingplace=free&amp;usehorizon=1</v>
      </c>
    </row>
    <row r="3234">
      <c r="A3234" t="n">
        <v>50</v>
      </c>
      <c r="B3234" t="n">
        <v>195</v>
      </c>
      <c r="C3234" t="n">
        <v>9</v>
      </c>
      <c r="D3234" s="218" t="n">
        <v>152.62</v>
      </c>
      <c r="E3234" s="218" t="n">
        <v>5.09</v>
      </c>
      <c r="F3234" t="str">
        <v>https://re.jrc.ec.europa.eu/api/v5_3/PVcalc?lat=30.0444&amp;lon=31.2357&amp;peakpower=1&amp;loss=14&amp;angle=50&amp;aspect=15&amp;outputformat=json&amp;raddatabase=PVGIS-SARAH3&amp;pvtechchoice=crystSi&amp;mountingplace=free&amp;usehorizon=1</v>
      </c>
    </row>
    <row r="3235">
      <c r="A3235" t="n">
        <v>50</v>
      </c>
      <c r="B3235" t="n">
        <v>195</v>
      </c>
      <c r="C3235" t="n">
        <v>10</v>
      </c>
      <c r="D3235" s="218" t="n">
        <v>155.4</v>
      </c>
      <c r="E3235" s="218" t="n">
        <v>5.01</v>
      </c>
      <c r="F3235" t="str">
        <v>https://re.jrc.ec.europa.eu/api/v5_3/PVcalc?lat=30.0444&amp;lon=31.2357&amp;peakpower=1&amp;loss=14&amp;angle=50&amp;aspect=15&amp;outputformat=json&amp;raddatabase=PVGIS-SARAH3&amp;pvtechchoice=crystSi&amp;mountingplace=free&amp;usehorizon=1</v>
      </c>
    </row>
    <row r="3236">
      <c r="A3236" t="n">
        <v>50</v>
      </c>
      <c r="B3236" t="n">
        <v>195</v>
      </c>
      <c r="C3236" t="n">
        <v>11</v>
      </c>
      <c r="D3236" s="218" t="n">
        <v>144.72</v>
      </c>
      <c r="E3236" s="218" t="n">
        <v>4.82</v>
      </c>
      <c r="F3236" t="str">
        <v>https://re.jrc.ec.europa.eu/api/v5_3/PVcalc?lat=30.0444&amp;lon=31.2357&amp;peakpower=1&amp;loss=14&amp;angle=50&amp;aspect=15&amp;outputformat=json&amp;raddatabase=PVGIS-SARAH3&amp;pvtechchoice=crystSi&amp;mountingplace=free&amp;usehorizon=1</v>
      </c>
    </row>
    <row r="3237">
      <c r="A3237" t="n">
        <v>50</v>
      </c>
      <c r="B3237" t="n">
        <v>195</v>
      </c>
      <c r="C3237" t="n">
        <v>12</v>
      </c>
      <c r="D3237" s="218" t="n">
        <v>140.77</v>
      </c>
      <c r="E3237" s="218" t="n">
        <v>4.54</v>
      </c>
      <c r="F3237" t="str">
        <v>https://re.jrc.ec.europa.eu/api/v5_3/PVcalc?lat=30.0444&amp;lon=31.2357&amp;peakpower=1&amp;loss=14&amp;angle=50&amp;aspect=15&amp;outputformat=json&amp;raddatabase=PVGIS-SARAH3&amp;pvtechchoice=crystSi&amp;mountingplace=free&amp;usehorizon=1</v>
      </c>
    </row>
    <row r="3238">
      <c r="A3238" t="n">
        <v>50</v>
      </c>
      <c r="B3238" t="n">
        <v>210</v>
      </c>
      <c r="C3238" t="n">
        <v>1</v>
      </c>
      <c r="D3238" s="218" t="n">
        <v>131.02</v>
      </c>
      <c r="E3238" s="218" t="n">
        <v>4.23</v>
      </c>
      <c r="F3238" t="str">
        <v>https://re.jrc.ec.europa.eu/api/v5_3/PVcalc?lat=30.0444&amp;lon=31.2357&amp;peakpower=1&amp;loss=14&amp;angle=50&amp;aspect=30&amp;outputformat=json&amp;raddatabase=PVGIS-SARAH3&amp;pvtechchoice=crystSi&amp;mountingplace=free&amp;usehorizon=1</v>
      </c>
    </row>
    <row r="3239">
      <c r="A3239" t="n">
        <v>50</v>
      </c>
      <c r="B3239" t="n">
        <v>210</v>
      </c>
      <c r="C3239" t="n">
        <v>2</v>
      </c>
      <c r="D3239" s="218" t="n">
        <v>124.93</v>
      </c>
      <c r="E3239" s="218" t="n">
        <v>4.46</v>
      </c>
      <c r="F3239" t="str">
        <v>https://re.jrc.ec.europa.eu/api/v5_3/PVcalc?lat=30.0444&amp;lon=31.2357&amp;peakpower=1&amp;loss=14&amp;angle=50&amp;aspect=30&amp;outputformat=json&amp;raddatabase=PVGIS-SARAH3&amp;pvtechchoice=crystSi&amp;mountingplace=free&amp;usehorizon=1</v>
      </c>
    </row>
    <row r="3240">
      <c r="A3240" t="n">
        <v>50</v>
      </c>
      <c r="B3240" t="n">
        <v>210</v>
      </c>
      <c r="C3240" t="n">
        <v>3</v>
      </c>
      <c r="D3240" s="218" t="n">
        <v>151.79</v>
      </c>
      <c r="E3240" s="218" t="n">
        <v>4.9</v>
      </c>
      <c r="F3240" t="str">
        <v>https://re.jrc.ec.europa.eu/api/v5_3/PVcalc?lat=30.0444&amp;lon=31.2357&amp;peakpower=1&amp;loss=14&amp;angle=50&amp;aspect=30&amp;outputformat=json&amp;raddatabase=PVGIS-SARAH3&amp;pvtechchoice=crystSi&amp;mountingplace=free&amp;usehorizon=1</v>
      </c>
    </row>
    <row r="3241">
      <c r="A3241" t="n">
        <v>50</v>
      </c>
      <c r="B3241" t="n">
        <v>210</v>
      </c>
      <c r="C3241" t="n">
        <v>4</v>
      </c>
      <c r="D3241" s="218" t="n">
        <v>144.96</v>
      </c>
      <c r="E3241" s="218" t="n">
        <v>4.83</v>
      </c>
      <c r="F3241" t="str">
        <v>https://re.jrc.ec.europa.eu/api/v5_3/PVcalc?lat=30.0444&amp;lon=31.2357&amp;peakpower=1&amp;loss=14&amp;angle=50&amp;aspect=30&amp;outputformat=json&amp;raddatabase=PVGIS-SARAH3&amp;pvtechchoice=crystSi&amp;mountingplace=free&amp;usehorizon=1</v>
      </c>
    </row>
    <row r="3242">
      <c r="A3242" t="n">
        <v>50</v>
      </c>
      <c r="B3242" t="n">
        <v>210</v>
      </c>
      <c r="C3242" t="n">
        <v>5</v>
      </c>
      <c r="D3242" s="218" t="n">
        <v>140.16</v>
      </c>
      <c r="E3242" s="218" t="n">
        <v>4.52</v>
      </c>
      <c r="F3242" t="str">
        <v>https://re.jrc.ec.europa.eu/api/v5_3/PVcalc?lat=30.0444&amp;lon=31.2357&amp;peakpower=1&amp;loss=14&amp;angle=50&amp;aspect=30&amp;outputformat=json&amp;raddatabase=PVGIS-SARAH3&amp;pvtechchoice=crystSi&amp;mountingplace=free&amp;usehorizon=1</v>
      </c>
    </row>
    <row r="3243">
      <c r="A3243" t="n">
        <v>50</v>
      </c>
      <c r="B3243" t="n">
        <v>210</v>
      </c>
      <c r="C3243" t="n">
        <v>6</v>
      </c>
      <c r="D3243" s="218" t="n">
        <v>133.59</v>
      </c>
      <c r="E3243" s="218" t="n">
        <v>4.45</v>
      </c>
      <c r="F3243" t="str">
        <v>https://re.jrc.ec.europa.eu/api/v5_3/PVcalc?lat=30.0444&amp;lon=31.2357&amp;peakpower=1&amp;loss=14&amp;angle=50&amp;aspect=30&amp;outputformat=json&amp;raddatabase=PVGIS-SARAH3&amp;pvtechchoice=crystSi&amp;mountingplace=free&amp;usehorizon=1</v>
      </c>
    </row>
    <row r="3244">
      <c r="A3244" t="n">
        <v>50</v>
      </c>
      <c r="B3244" t="n">
        <v>210</v>
      </c>
      <c r="C3244" t="n">
        <v>7</v>
      </c>
      <c r="D3244" s="218" t="n">
        <v>140.95</v>
      </c>
      <c r="E3244" s="218" t="n">
        <v>4.55</v>
      </c>
      <c r="F3244" t="str">
        <v>https://re.jrc.ec.europa.eu/api/v5_3/PVcalc?lat=30.0444&amp;lon=31.2357&amp;peakpower=1&amp;loss=14&amp;angle=50&amp;aspect=30&amp;outputformat=json&amp;raddatabase=PVGIS-SARAH3&amp;pvtechchoice=crystSi&amp;mountingplace=free&amp;usehorizon=1</v>
      </c>
    </row>
    <row r="3245">
      <c r="A3245" t="n">
        <v>50</v>
      </c>
      <c r="B3245" t="n">
        <v>210</v>
      </c>
      <c r="C3245" t="n">
        <v>8</v>
      </c>
      <c r="D3245" s="218" t="n">
        <v>148.83</v>
      </c>
      <c r="E3245" s="218" t="n">
        <v>4.8</v>
      </c>
      <c r="F3245" t="str">
        <v>https://re.jrc.ec.europa.eu/api/v5_3/PVcalc?lat=30.0444&amp;lon=31.2357&amp;peakpower=1&amp;loss=14&amp;angle=50&amp;aspect=30&amp;outputformat=json&amp;raddatabase=PVGIS-SARAH3&amp;pvtechchoice=crystSi&amp;mountingplace=free&amp;usehorizon=1</v>
      </c>
    </row>
    <row r="3246">
      <c r="A3246" t="n">
        <v>50</v>
      </c>
      <c r="B3246" t="n">
        <v>210</v>
      </c>
      <c r="C3246" t="n">
        <v>9</v>
      </c>
      <c r="D3246" s="218" t="n">
        <v>150.62</v>
      </c>
      <c r="E3246" s="218" t="n">
        <v>5.02</v>
      </c>
      <c r="F3246" t="str">
        <v>https://re.jrc.ec.europa.eu/api/v5_3/PVcalc?lat=30.0444&amp;lon=31.2357&amp;peakpower=1&amp;loss=14&amp;angle=50&amp;aspect=30&amp;outputformat=json&amp;raddatabase=PVGIS-SARAH3&amp;pvtechchoice=crystSi&amp;mountingplace=free&amp;usehorizon=1</v>
      </c>
    </row>
    <row r="3247">
      <c r="A3247" t="n">
        <v>50</v>
      </c>
      <c r="B3247" t="n">
        <v>210</v>
      </c>
      <c r="C3247" t="n">
        <v>10</v>
      </c>
      <c r="D3247" s="218" t="n">
        <v>148.87</v>
      </c>
      <c r="E3247" s="218" t="n">
        <v>4.8</v>
      </c>
      <c r="F3247" t="str">
        <v>https://re.jrc.ec.europa.eu/api/v5_3/PVcalc?lat=30.0444&amp;lon=31.2357&amp;peakpower=1&amp;loss=14&amp;angle=50&amp;aspect=30&amp;outputformat=json&amp;raddatabase=PVGIS-SARAH3&amp;pvtechchoice=crystSi&amp;mountingplace=free&amp;usehorizon=1</v>
      </c>
    </row>
    <row r="3248">
      <c r="A3248" t="n">
        <v>50</v>
      </c>
      <c r="B3248" t="n">
        <v>210</v>
      </c>
      <c r="C3248" t="n">
        <v>11</v>
      </c>
      <c r="D3248" s="218" t="n">
        <v>136.39</v>
      </c>
      <c r="E3248" s="218" t="n">
        <v>4.55</v>
      </c>
      <c r="F3248" t="str">
        <v>https://re.jrc.ec.europa.eu/api/v5_3/PVcalc?lat=30.0444&amp;lon=31.2357&amp;peakpower=1&amp;loss=14&amp;angle=50&amp;aspect=30&amp;outputformat=json&amp;raddatabase=PVGIS-SARAH3&amp;pvtechchoice=crystSi&amp;mountingplace=free&amp;usehorizon=1</v>
      </c>
    </row>
    <row r="3249">
      <c r="A3249" t="n">
        <v>50</v>
      </c>
      <c r="B3249" t="n">
        <v>210</v>
      </c>
      <c r="C3249" t="n">
        <v>12</v>
      </c>
      <c r="D3249" s="218" t="n">
        <v>131.9</v>
      </c>
      <c r="E3249" s="218" t="n">
        <v>4.25</v>
      </c>
      <c r="F3249" t="str">
        <v>https://re.jrc.ec.europa.eu/api/v5_3/PVcalc?lat=30.0444&amp;lon=31.2357&amp;peakpower=1&amp;loss=14&amp;angle=50&amp;aspect=30&amp;outputformat=json&amp;raddatabase=PVGIS-SARAH3&amp;pvtechchoice=crystSi&amp;mountingplace=free&amp;usehorizon=1</v>
      </c>
    </row>
    <row r="3250">
      <c r="A3250" t="n">
        <v>50</v>
      </c>
      <c r="B3250" t="n">
        <v>225</v>
      </c>
      <c r="C3250" t="n">
        <v>1</v>
      </c>
      <c r="D3250" s="218" t="n">
        <v>118.48</v>
      </c>
      <c r="E3250" s="218" t="n">
        <v>3.82</v>
      </c>
      <c r="F3250" t="str">
        <v>https://re.jrc.ec.europa.eu/api/v5_3/PVcalc?lat=30.0444&amp;lon=31.2357&amp;peakpower=1&amp;loss=14&amp;angle=50&amp;aspect=45&amp;outputformat=json&amp;raddatabase=PVGIS-SARAH3&amp;pvtechchoice=crystSi&amp;mountingplace=free&amp;usehorizon=1</v>
      </c>
    </row>
    <row r="3251">
      <c r="A3251" t="n">
        <v>50</v>
      </c>
      <c r="B3251" t="n">
        <v>225</v>
      </c>
      <c r="C3251" t="n">
        <v>2</v>
      </c>
      <c r="D3251" s="218" t="n">
        <v>115.89</v>
      </c>
      <c r="E3251" s="218" t="n">
        <v>4.14</v>
      </c>
      <c r="F3251" t="str">
        <v>https://re.jrc.ec.europa.eu/api/v5_3/PVcalc?lat=30.0444&amp;lon=31.2357&amp;peakpower=1&amp;loss=14&amp;angle=50&amp;aspect=45&amp;outputformat=json&amp;raddatabase=PVGIS-SARAH3&amp;pvtechchoice=crystSi&amp;mountingplace=free&amp;usehorizon=1</v>
      </c>
    </row>
    <row r="3252">
      <c r="A3252" t="n">
        <v>50</v>
      </c>
      <c r="B3252" t="n">
        <v>225</v>
      </c>
      <c r="C3252" t="n">
        <v>3</v>
      </c>
      <c r="D3252" s="218" t="n">
        <v>145.9</v>
      </c>
      <c r="E3252" s="218" t="n">
        <v>4.71</v>
      </c>
      <c r="F3252" t="str">
        <v>https://re.jrc.ec.europa.eu/api/v5_3/PVcalc?lat=30.0444&amp;lon=31.2357&amp;peakpower=1&amp;loss=14&amp;angle=50&amp;aspect=45&amp;outputformat=json&amp;raddatabase=PVGIS-SARAH3&amp;pvtechchoice=crystSi&amp;mountingplace=free&amp;usehorizon=1</v>
      </c>
    </row>
    <row r="3253">
      <c r="A3253" t="n">
        <v>50</v>
      </c>
      <c r="B3253" t="n">
        <v>225</v>
      </c>
      <c r="C3253" t="n">
        <v>4</v>
      </c>
      <c r="D3253" s="218" t="n">
        <v>143.71</v>
      </c>
      <c r="E3253" s="218" t="n">
        <v>4.79</v>
      </c>
      <c r="F3253" t="str">
        <v>https://re.jrc.ec.europa.eu/api/v5_3/PVcalc?lat=30.0444&amp;lon=31.2357&amp;peakpower=1&amp;loss=14&amp;angle=50&amp;aspect=45&amp;outputformat=json&amp;raddatabase=PVGIS-SARAH3&amp;pvtechchoice=crystSi&amp;mountingplace=free&amp;usehorizon=1</v>
      </c>
    </row>
    <row r="3254">
      <c r="A3254" t="n">
        <v>50</v>
      </c>
      <c r="B3254" t="n">
        <v>225</v>
      </c>
      <c r="C3254" t="n">
        <v>5</v>
      </c>
      <c r="D3254" s="218" t="n">
        <v>143.46</v>
      </c>
      <c r="E3254" s="218" t="n">
        <v>4.63</v>
      </c>
      <c r="F3254" t="str">
        <v>https://re.jrc.ec.europa.eu/api/v5_3/PVcalc?lat=30.0444&amp;lon=31.2357&amp;peakpower=1&amp;loss=14&amp;angle=50&amp;aspect=45&amp;outputformat=json&amp;raddatabase=PVGIS-SARAH3&amp;pvtechchoice=crystSi&amp;mountingplace=free&amp;usehorizon=1</v>
      </c>
    </row>
    <row r="3255">
      <c r="A3255" t="n">
        <v>50</v>
      </c>
      <c r="B3255" t="n">
        <v>225</v>
      </c>
      <c r="C3255" t="n">
        <v>6</v>
      </c>
      <c r="D3255" s="218" t="n">
        <v>140.36</v>
      </c>
      <c r="E3255" s="218" t="n">
        <v>4.68</v>
      </c>
      <c r="F3255" t="str">
        <v>https://re.jrc.ec.europa.eu/api/v5_3/PVcalc?lat=30.0444&amp;lon=31.2357&amp;peakpower=1&amp;loss=14&amp;angle=50&amp;aspect=45&amp;outputformat=json&amp;raddatabase=PVGIS-SARAH3&amp;pvtechchoice=crystSi&amp;mountingplace=free&amp;usehorizon=1</v>
      </c>
    </row>
    <row r="3256">
      <c r="A3256" t="n">
        <v>50</v>
      </c>
      <c r="B3256" t="n">
        <v>225</v>
      </c>
      <c r="C3256" t="n">
        <v>7</v>
      </c>
      <c r="D3256" s="218" t="n">
        <v>147.15</v>
      </c>
      <c r="E3256" s="218" t="n">
        <v>4.75</v>
      </c>
      <c r="F3256" t="str">
        <v>https://re.jrc.ec.europa.eu/api/v5_3/PVcalc?lat=30.0444&amp;lon=31.2357&amp;peakpower=1&amp;loss=14&amp;angle=50&amp;aspect=45&amp;outputformat=json&amp;raddatabase=PVGIS-SARAH3&amp;pvtechchoice=crystSi&amp;mountingplace=free&amp;usehorizon=1</v>
      </c>
    </row>
    <row r="3257">
      <c r="A3257" t="n">
        <v>50</v>
      </c>
      <c r="B3257" t="n">
        <v>225</v>
      </c>
      <c r="C3257" t="n">
        <v>8</v>
      </c>
      <c r="D3257" s="218" t="n">
        <v>150.57</v>
      </c>
      <c r="E3257" s="218" t="n">
        <v>4.86</v>
      </c>
      <c r="F3257" t="str">
        <v>https://re.jrc.ec.europa.eu/api/v5_3/PVcalc?lat=30.0444&amp;lon=31.2357&amp;peakpower=1&amp;loss=14&amp;angle=50&amp;aspect=45&amp;outputformat=json&amp;raddatabase=PVGIS-SARAH3&amp;pvtechchoice=crystSi&amp;mountingplace=free&amp;usehorizon=1</v>
      </c>
    </row>
    <row r="3258">
      <c r="A3258" t="n">
        <v>50</v>
      </c>
      <c r="B3258" t="n">
        <v>225</v>
      </c>
      <c r="C3258" t="n">
        <v>9</v>
      </c>
      <c r="D3258" s="218" t="n">
        <v>146.45</v>
      </c>
      <c r="E3258" s="218" t="n">
        <v>4.88</v>
      </c>
      <c r="F3258" t="str">
        <v>https://re.jrc.ec.europa.eu/api/v5_3/PVcalc?lat=30.0444&amp;lon=31.2357&amp;peakpower=1&amp;loss=14&amp;angle=50&amp;aspect=45&amp;outputformat=json&amp;raddatabase=PVGIS-SARAH3&amp;pvtechchoice=crystSi&amp;mountingplace=free&amp;usehorizon=1</v>
      </c>
    </row>
    <row r="3259">
      <c r="A3259" t="n">
        <v>50</v>
      </c>
      <c r="B3259" t="n">
        <v>225</v>
      </c>
      <c r="C3259" t="n">
        <v>10</v>
      </c>
      <c r="D3259" s="218" t="n">
        <v>139.77</v>
      </c>
      <c r="E3259" s="218" t="n">
        <v>4.51</v>
      </c>
      <c r="F3259" t="str">
        <v>https://re.jrc.ec.europa.eu/api/v5_3/PVcalc?lat=30.0444&amp;lon=31.2357&amp;peakpower=1&amp;loss=14&amp;angle=50&amp;aspect=45&amp;outputformat=json&amp;raddatabase=PVGIS-SARAH3&amp;pvtechchoice=crystSi&amp;mountingplace=free&amp;usehorizon=1</v>
      </c>
    </row>
    <row r="3260">
      <c r="A3260" t="n">
        <v>50</v>
      </c>
      <c r="B3260" t="n">
        <v>225</v>
      </c>
      <c r="C3260" t="n">
        <v>11</v>
      </c>
      <c r="D3260" s="218" t="n">
        <v>124.61</v>
      </c>
      <c r="E3260" s="218" t="n">
        <v>4.15</v>
      </c>
      <c r="F3260" t="str">
        <v>https://re.jrc.ec.europa.eu/api/v5_3/PVcalc?lat=30.0444&amp;lon=31.2357&amp;peakpower=1&amp;loss=14&amp;angle=50&amp;aspect=45&amp;outputformat=json&amp;raddatabase=PVGIS-SARAH3&amp;pvtechchoice=crystSi&amp;mountingplace=free&amp;usehorizon=1</v>
      </c>
    </row>
    <row r="3261">
      <c r="A3261" t="n">
        <v>50</v>
      </c>
      <c r="B3261" t="n">
        <v>225</v>
      </c>
      <c r="C3261" t="n">
        <v>12</v>
      </c>
      <c r="D3261" s="218" t="n">
        <v>118.8</v>
      </c>
      <c r="E3261" s="218" t="n">
        <v>3.83</v>
      </c>
      <c r="F3261" t="str">
        <v>https://re.jrc.ec.europa.eu/api/v5_3/PVcalc?lat=30.0444&amp;lon=31.2357&amp;peakpower=1&amp;loss=14&amp;angle=50&amp;aspect=45&amp;outputformat=json&amp;raddatabase=PVGIS-SARAH3&amp;pvtechchoice=crystSi&amp;mountingplace=free&amp;usehorizon=1</v>
      </c>
    </row>
    <row r="3262">
      <c r="A3262" t="n">
        <v>50</v>
      </c>
      <c r="B3262" t="n">
        <v>240</v>
      </c>
      <c r="C3262" t="n">
        <v>1</v>
      </c>
      <c r="D3262" s="218" t="n">
        <v>104.19</v>
      </c>
      <c r="E3262" s="218" t="n">
        <v>3.36</v>
      </c>
      <c r="F3262" t="str">
        <v>https://re.jrc.ec.europa.eu/api/v5_3/PVcalc?lat=30.0444&amp;lon=31.2357&amp;peakpower=1&amp;loss=14&amp;angle=50&amp;aspect=60&amp;outputformat=json&amp;raddatabase=PVGIS-SARAH3&amp;pvtechchoice=crystSi&amp;mountingplace=free&amp;usehorizon=1</v>
      </c>
    </row>
    <row r="3263">
      <c r="A3263" t="n">
        <v>50</v>
      </c>
      <c r="B3263" t="n">
        <v>240</v>
      </c>
      <c r="C3263" t="n">
        <v>2</v>
      </c>
      <c r="D3263" s="218" t="n">
        <v>105.25</v>
      </c>
      <c r="E3263" s="218" t="n">
        <v>3.76</v>
      </c>
      <c r="F3263" t="str">
        <v>https://re.jrc.ec.europa.eu/api/v5_3/PVcalc?lat=30.0444&amp;lon=31.2357&amp;peakpower=1&amp;loss=14&amp;angle=50&amp;aspect=60&amp;outputformat=json&amp;raddatabase=PVGIS-SARAH3&amp;pvtechchoice=crystSi&amp;mountingplace=free&amp;usehorizon=1</v>
      </c>
    </row>
    <row r="3264">
      <c r="A3264" t="n">
        <v>50</v>
      </c>
      <c r="B3264" t="n">
        <v>240</v>
      </c>
      <c r="C3264" t="n">
        <v>3</v>
      </c>
      <c r="D3264" s="218" t="n">
        <v>138.04</v>
      </c>
      <c r="E3264" s="218" t="n">
        <v>4.45</v>
      </c>
      <c r="F3264" t="str">
        <v>https://re.jrc.ec.europa.eu/api/v5_3/PVcalc?lat=30.0444&amp;lon=31.2357&amp;peakpower=1&amp;loss=14&amp;angle=50&amp;aspect=60&amp;outputformat=json&amp;raddatabase=PVGIS-SARAH3&amp;pvtechchoice=crystSi&amp;mountingplace=free&amp;usehorizon=1</v>
      </c>
    </row>
    <row r="3265">
      <c r="A3265" t="n">
        <v>50</v>
      </c>
      <c r="B3265" t="n">
        <v>240</v>
      </c>
      <c r="C3265" t="n">
        <v>4</v>
      </c>
      <c r="D3265" s="218" t="n">
        <v>140.88</v>
      </c>
      <c r="E3265" s="218" t="n">
        <v>4.7</v>
      </c>
      <c r="F3265" t="str">
        <v>https://re.jrc.ec.europa.eu/api/v5_3/PVcalc?lat=30.0444&amp;lon=31.2357&amp;peakpower=1&amp;loss=14&amp;angle=50&amp;aspect=60&amp;outputformat=json&amp;raddatabase=PVGIS-SARAH3&amp;pvtechchoice=crystSi&amp;mountingplace=free&amp;usehorizon=1</v>
      </c>
    </row>
    <row r="3266">
      <c r="A3266" t="n">
        <v>50</v>
      </c>
      <c r="B3266" t="n">
        <v>240</v>
      </c>
      <c r="C3266" t="n">
        <v>5</v>
      </c>
      <c r="D3266" s="218" t="n">
        <v>145.28</v>
      </c>
      <c r="E3266" s="218" t="n">
        <v>4.69</v>
      </c>
      <c r="F3266" t="str">
        <v>https://re.jrc.ec.europa.eu/api/v5_3/PVcalc?lat=30.0444&amp;lon=31.2357&amp;peakpower=1&amp;loss=14&amp;angle=50&amp;aspect=60&amp;outputformat=json&amp;raddatabase=PVGIS-SARAH3&amp;pvtechchoice=crystSi&amp;mountingplace=free&amp;usehorizon=1</v>
      </c>
    </row>
    <row r="3267">
      <c r="A3267" t="n">
        <v>50</v>
      </c>
      <c r="B3267" t="n">
        <v>240</v>
      </c>
      <c r="C3267" t="n">
        <v>6</v>
      </c>
      <c r="D3267" s="218" t="n">
        <v>145.35</v>
      </c>
      <c r="E3267" s="218" t="n">
        <v>4.84</v>
      </c>
      <c r="F3267" t="str">
        <v>https://re.jrc.ec.europa.eu/api/v5_3/PVcalc?lat=30.0444&amp;lon=31.2357&amp;peakpower=1&amp;loss=14&amp;angle=50&amp;aspect=60&amp;outputformat=json&amp;raddatabase=PVGIS-SARAH3&amp;pvtechchoice=crystSi&amp;mountingplace=free&amp;usehorizon=1</v>
      </c>
    </row>
    <row r="3268">
      <c r="A3268" t="n">
        <v>50</v>
      </c>
      <c r="B3268" t="n">
        <v>240</v>
      </c>
      <c r="C3268" t="n">
        <v>7</v>
      </c>
      <c r="D3268" s="218" t="n">
        <v>151.27</v>
      </c>
      <c r="E3268" s="218" t="n">
        <v>4.88</v>
      </c>
      <c r="F3268" t="str">
        <v>https://re.jrc.ec.europa.eu/api/v5_3/PVcalc?lat=30.0444&amp;lon=31.2357&amp;peakpower=1&amp;loss=14&amp;angle=50&amp;aspect=60&amp;outputformat=json&amp;raddatabase=PVGIS-SARAH3&amp;pvtechchoice=crystSi&amp;mountingplace=free&amp;usehorizon=1</v>
      </c>
    </row>
    <row r="3269">
      <c r="A3269" t="n">
        <v>50</v>
      </c>
      <c r="B3269" t="n">
        <v>240</v>
      </c>
      <c r="C3269" t="n">
        <v>8</v>
      </c>
      <c r="D3269" s="218" t="n">
        <v>150.22</v>
      </c>
      <c r="E3269" s="218" t="n">
        <v>4.85</v>
      </c>
      <c r="F3269" t="str">
        <v>https://re.jrc.ec.europa.eu/api/v5_3/PVcalc?lat=30.0444&amp;lon=31.2357&amp;peakpower=1&amp;loss=14&amp;angle=50&amp;aspect=60&amp;outputformat=json&amp;raddatabase=PVGIS-SARAH3&amp;pvtechchoice=crystSi&amp;mountingplace=free&amp;usehorizon=1</v>
      </c>
    </row>
    <row r="3270">
      <c r="A3270" t="n">
        <v>50</v>
      </c>
      <c r="B3270" t="n">
        <v>240</v>
      </c>
      <c r="C3270" t="n">
        <v>9</v>
      </c>
      <c r="D3270" s="218" t="n">
        <v>141.07</v>
      </c>
      <c r="E3270" s="218" t="n">
        <v>4.7</v>
      </c>
      <c r="F3270" t="str">
        <v>https://re.jrc.ec.europa.eu/api/v5_3/PVcalc?lat=30.0444&amp;lon=31.2357&amp;peakpower=1&amp;loss=14&amp;angle=50&amp;aspect=60&amp;outputformat=json&amp;raddatabase=PVGIS-SARAH3&amp;pvtechchoice=crystSi&amp;mountingplace=free&amp;usehorizon=1</v>
      </c>
    </row>
    <row r="3271">
      <c r="A3271" t="n">
        <v>50</v>
      </c>
      <c r="B3271" t="n">
        <v>240</v>
      </c>
      <c r="C3271" t="n">
        <v>10</v>
      </c>
      <c r="D3271" s="218" t="n">
        <v>129.2</v>
      </c>
      <c r="E3271" s="218" t="n">
        <v>4.17</v>
      </c>
      <c r="F3271" t="str">
        <v>https://re.jrc.ec.europa.eu/api/v5_3/PVcalc?lat=30.0444&amp;lon=31.2357&amp;peakpower=1&amp;loss=14&amp;angle=50&amp;aspect=60&amp;outputformat=json&amp;raddatabase=PVGIS-SARAH3&amp;pvtechchoice=crystSi&amp;mountingplace=free&amp;usehorizon=1</v>
      </c>
    </row>
    <row r="3272">
      <c r="A3272" t="n">
        <v>50</v>
      </c>
      <c r="B3272" t="n">
        <v>240</v>
      </c>
      <c r="C3272" t="n">
        <v>11</v>
      </c>
      <c r="D3272" s="218" t="n">
        <v>111</v>
      </c>
      <c r="E3272" s="218" t="n">
        <v>3.7</v>
      </c>
      <c r="F3272" t="str">
        <v>https://re.jrc.ec.europa.eu/api/v5_3/PVcalc?lat=30.0444&amp;lon=31.2357&amp;peakpower=1&amp;loss=14&amp;angle=50&amp;aspect=60&amp;outputformat=json&amp;raddatabase=PVGIS-SARAH3&amp;pvtechchoice=crystSi&amp;mountingplace=free&amp;usehorizon=1</v>
      </c>
    </row>
    <row r="3273">
      <c r="A3273" t="n">
        <v>50</v>
      </c>
      <c r="B3273" t="n">
        <v>240</v>
      </c>
      <c r="C3273" t="n">
        <v>12</v>
      </c>
      <c r="D3273" s="218" t="n">
        <v>103.64</v>
      </c>
      <c r="E3273" s="218" t="n">
        <v>3.34</v>
      </c>
      <c r="F3273" t="str">
        <v>https://re.jrc.ec.europa.eu/api/v5_3/PVcalc?lat=30.0444&amp;lon=31.2357&amp;peakpower=1&amp;loss=14&amp;angle=50&amp;aspect=60&amp;outputformat=json&amp;raddatabase=PVGIS-SARAH3&amp;pvtechchoice=crystSi&amp;mountingplace=free&amp;usehorizon=1</v>
      </c>
    </row>
    <row r="3274">
      <c r="A3274" t="n">
        <v>50</v>
      </c>
      <c r="B3274" t="n">
        <v>255</v>
      </c>
      <c r="C3274" t="n">
        <v>1</v>
      </c>
      <c r="D3274" s="218" t="n">
        <v>89.22</v>
      </c>
      <c r="E3274" s="218" t="n">
        <v>2.88</v>
      </c>
      <c r="F3274" t="str">
        <v>https://re.jrc.ec.europa.eu/api/v5_3/PVcalc?lat=30.0444&amp;lon=31.2357&amp;peakpower=1&amp;loss=14&amp;angle=50&amp;aspect=75&amp;outputformat=json&amp;raddatabase=PVGIS-SARAH3&amp;pvtechchoice=crystSi&amp;mountingplace=free&amp;usehorizon=1</v>
      </c>
    </row>
    <row r="3275">
      <c r="A3275" t="n">
        <v>50</v>
      </c>
      <c r="B3275" t="n">
        <v>255</v>
      </c>
      <c r="C3275" t="n">
        <v>2</v>
      </c>
      <c r="D3275" s="218" t="n">
        <v>94.19</v>
      </c>
      <c r="E3275" s="218" t="n">
        <v>3.36</v>
      </c>
      <c r="F3275" t="str">
        <v>https://re.jrc.ec.europa.eu/api/v5_3/PVcalc?lat=30.0444&amp;lon=31.2357&amp;peakpower=1&amp;loss=14&amp;angle=50&amp;aspect=75&amp;outputformat=json&amp;raddatabase=PVGIS-SARAH3&amp;pvtechchoice=crystSi&amp;mountingplace=free&amp;usehorizon=1</v>
      </c>
    </row>
    <row r="3276">
      <c r="A3276" t="n">
        <v>50</v>
      </c>
      <c r="B3276" t="n">
        <v>255</v>
      </c>
      <c r="C3276" t="n">
        <v>3</v>
      </c>
      <c r="D3276" s="218" t="n">
        <v>129.24</v>
      </c>
      <c r="E3276" s="218" t="n">
        <v>4.17</v>
      </c>
      <c r="F3276" t="str">
        <v>https://re.jrc.ec.europa.eu/api/v5_3/PVcalc?lat=30.0444&amp;lon=31.2357&amp;peakpower=1&amp;loss=14&amp;angle=50&amp;aspect=75&amp;outputformat=json&amp;raddatabase=PVGIS-SARAH3&amp;pvtechchoice=crystSi&amp;mountingplace=free&amp;usehorizon=1</v>
      </c>
    </row>
    <row r="3277">
      <c r="A3277" t="n">
        <v>50</v>
      </c>
      <c r="B3277" t="n">
        <v>255</v>
      </c>
      <c r="C3277" t="n">
        <v>4</v>
      </c>
      <c r="D3277" s="218" t="n">
        <v>136.41</v>
      </c>
      <c r="E3277" s="218" t="n">
        <v>4.55</v>
      </c>
      <c r="F3277" t="str">
        <v>https://re.jrc.ec.europa.eu/api/v5_3/PVcalc?lat=30.0444&amp;lon=31.2357&amp;peakpower=1&amp;loss=14&amp;angle=50&amp;aspect=75&amp;outputformat=json&amp;raddatabase=PVGIS-SARAH3&amp;pvtechchoice=crystSi&amp;mountingplace=free&amp;usehorizon=1</v>
      </c>
    </row>
    <row r="3278">
      <c r="A3278" t="n">
        <v>50</v>
      </c>
      <c r="B3278" t="n">
        <v>255</v>
      </c>
      <c r="C3278" t="n">
        <v>5</v>
      </c>
      <c r="D3278" s="218" t="n">
        <v>145.4</v>
      </c>
      <c r="E3278" s="218" t="n">
        <v>4.69</v>
      </c>
      <c r="F3278" t="str">
        <v>https://re.jrc.ec.europa.eu/api/v5_3/PVcalc?lat=30.0444&amp;lon=31.2357&amp;peakpower=1&amp;loss=14&amp;angle=50&amp;aspect=75&amp;outputformat=json&amp;raddatabase=PVGIS-SARAH3&amp;pvtechchoice=crystSi&amp;mountingplace=free&amp;usehorizon=1</v>
      </c>
    </row>
    <row r="3279">
      <c r="A3279" t="n">
        <v>50</v>
      </c>
      <c r="B3279" t="n">
        <v>255</v>
      </c>
      <c r="C3279" t="n">
        <v>6</v>
      </c>
      <c r="D3279" s="218" t="n">
        <v>148.53</v>
      </c>
      <c r="E3279" s="218" t="n">
        <v>4.95</v>
      </c>
      <c r="F3279" t="str">
        <v>https://re.jrc.ec.europa.eu/api/v5_3/PVcalc?lat=30.0444&amp;lon=31.2357&amp;peakpower=1&amp;loss=14&amp;angle=50&amp;aspect=75&amp;outputformat=json&amp;raddatabase=PVGIS-SARAH3&amp;pvtechchoice=crystSi&amp;mountingplace=free&amp;usehorizon=1</v>
      </c>
    </row>
    <row r="3280">
      <c r="A3280" t="n">
        <v>50</v>
      </c>
      <c r="B3280" t="n">
        <v>255</v>
      </c>
      <c r="C3280" t="n">
        <v>7</v>
      </c>
      <c r="D3280" s="218" t="n">
        <v>153.53</v>
      </c>
      <c r="E3280" s="218" t="n">
        <v>4.95</v>
      </c>
      <c r="F3280" t="str">
        <v>https://re.jrc.ec.europa.eu/api/v5_3/PVcalc?lat=30.0444&amp;lon=31.2357&amp;peakpower=1&amp;loss=14&amp;angle=50&amp;aspect=75&amp;outputformat=json&amp;raddatabase=PVGIS-SARAH3&amp;pvtechchoice=crystSi&amp;mountingplace=free&amp;usehorizon=1</v>
      </c>
    </row>
    <row r="3281">
      <c r="A3281" t="n">
        <v>50</v>
      </c>
      <c r="B3281" t="n">
        <v>255</v>
      </c>
      <c r="C3281" t="n">
        <v>8</v>
      </c>
      <c r="D3281" s="218" t="n">
        <v>147.91</v>
      </c>
      <c r="E3281" s="218" t="n">
        <v>4.77</v>
      </c>
      <c r="F3281" t="str">
        <v>https://re.jrc.ec.europa.eu/api/v5_3/PVcalc?lat=30.0444&amp;lon=31.2357&amp;peakpower=1&amp;loss=14&amp;angle=50&amp;aspect=75&amp;outputformat=json&amp;raddatabase=PVGIS-SARAH3&amp;pvtechchoice=crystSi&amp;mountingplace=free&amp;usehorizon=1</v>
      </c>
    </row>
    <row r="3282">
      <c r="A3282" t="n">
        <v>50</v>
      </c>
      <c r="B3282" t="n">
        <v>255</v>
      </c>
      <c r="C3282" t="n">
        <v>9</v>
      </c>
      <c r="D3282" s="218" t="n">
        <v>133.23</v>
      </c>
      <c r="E3282" s="218" t="n">
        <v>4.44</v>
      </c>
      <c r="F3282" t="str">
        <v>https://re.jrc.ec.europa.eu/api/v5_3/PVcalc?lat=30.0444&amp;lon=31.2357&amp;peakpower=1&amp;loss=14&amp;angle=50&amp;aspect=75&amp;outputformat=json&amp;raddatabase=PVGIS-SARAH3&amp;pvtechchoice=crystSi&amp;mountingplace=free&amp;usehorizon=1</v>
      </c>
    </row>
    <row r="3283">
      <c r="A3283" t="n">
        <v>50</v>
      </c>
      <c r="B3283" t="n">
        <v>255</v>
      </c>
      <c r="C3283" t="n">
        <v>10</v>
      </c>
      <c r="D3283" s="218" t="n">
        <v>116.47</v>
      </c>
      <c r="E3283" s="218" t="n">
        <v>3.76</v>
      </c>
      <c r="F3283" t="str">
        <v>https://re.jrc.ec.europa.eu/api/v5_3/PVcalc?lat=30.0444&amp;lon=31.2357&amp;peakpower=1&amp;loss=14&amp;angle=50&amp;aspect=75&amp;outputformat=json&amp;raddatabase=PVGIS-SARAH3&amp;pvtechchoice=crystSi&amp;mountingplace=free&amp;usehorizon=1</v>
      </c>
    </row>
    <row r="3284">
      <c r="A3284" t="n">
        <v>50</v>
      </c>
      <c r="B3284" t="n">
        <v>255</v>
      </c>
      <c r="C3284" t="n">
        <v>11</v>
      </c>
      <c r="D3284" s="218" t="n">
        <v>95.81</v>
      </c>
      <c r="E3284" s="218" t="n">
        <v>3.19</v>
      </c>
      <c r="F3284" t="str">
        <v>https://re.jrc.ec.europa.eu/api/v5_3/PVcalc?lat=30.0444&amp;lon=31.2357&amp;peakpower=1&amp;loss=14&amp;angle=50&amp;aspect=75&amp;outputformat=json&amp;raddatabase=PVGIS-SARAH3&amp;pvtechchoice=crystSi&amp;mountingplace=free&amp;usehorizon=1</v>
      </c>
    </row>
    <row r="3285">
      <c r="A3285" t="n">
        <v>50</v>
      </c>
      <c r="B3285" t="n">
        <v>255</v>
      </c>
      <c r="C3285" t="n">
        <v>12</v>
      </c>
      <c r="D3285" s="218" t="n">
        <v>87.51</v>
      </c>
      <c r="E3285" s="218" t="n">
        <v>2.82</v>
      </c>
      <c r="F3285" t="str">
        <v>https://re.jrc.ec.europa.eu/api/v5_3/PVcalc?lat=30.0444&amp;lon=31.2357&amp;peakpower=1&amp;loss=14&amp;angle=50&amp;aspect=75&amp;outputformat=json&amp;raddatabase=PVGIS-SARAH3&amp;pvtechchoice=crystSi&amp;mountingplace=free&amp;usehorizon=1</v>
      </c>
    </row>
    <row r="3286">
      <c r="A3286" t="n">
        <v>50</v>
      </c>
      <c r="B3286" t="n">
        <v>270</v>
      </c>
      <c r="C3286" t="n">
        <v>1</v>
      </c>
      <c r="D3286" s="218" t="n">
        <v>73.67</v>
      </c>
      <c r="E3286" s="218" t="n">
        <v>2.38</v>
      </c>
      <c r="F3286" t="str">
        <v>https://re.jrc.ec.europa.eu/api/v5_3/PVcalc?lat=30.0444&amp;lon=31.2357&amp;peakpower=1&amp;loss=14&amp;angle=50&amp;aspect=90&amp;outputformat=json&amp;raddatabase=PVGIS-SARAH3&amp;pvtechchoice=crystSi&amp;mountingplace=free&amp;usehorizon=1</v>
      </c>
    </row>
    <row r="3287">
      <c r="A3287" t="n">
        <v>50</v>
      </c>
      <c r="B3287" t="n">
        <v>270</v>
      </c>
      <c r="C3287" t="n">
        <v>2</v>
      </c>
      <c r="D3287" s="218" t="n">
        <v>81.76</v>
      </c>
      <c r="E3287" s="218" t="n">
        <v>2.92</v>
      </c>
      <c r="F3287" t="str">
        <v>https://re.jrc.ec.europa.eu/api/v5_3/PVcalc?lat=30.0444&amp;lon=31.2357&amp;peakpower=1&amp;loss=14&amp;angle=50&amp;aspect=90&amp;outputformat=json&amp;raddatabase=PVGIS-SARAH3&amp;pvtechchoice=crystSi&amp;mountingplace=free&amp;usehorizon=1</v>
      </c>
    </row>
    <row r="3288">
      <c r="A3288" t="n">
        <v>50</v>
      </c>
      <c r="B3288" t="n">
        <v>270</v>
      </c>
      <c r="C3288" t="n">
        <v>3</v>
      </c>
      <c r="D3288" s="218" t="n">
        <v>118.29</v>
      </c>
      <c r="E3288" s="218" t="n">
        <v>3.82</v>
      </c>
      <c r="F3288" t="str">
        <v>https://re.jrc.ec.europa.eu/api/v5_3/PVcalc?lat=30.0444&amp;lon=31.2357&amp;peakpower=1&amp;loss=14&amp;angle=50&amp;aspect=90&amp;outputformat=json&amp;raddatabase=PVGIS-SARAH3&amp;pvtechchoice=crystSi&amp;mountingplace=free&amp;usehorizon=1</v>
      </c>
    </row>
    <row r="3289">
      <c r="A3289" t="n">
        <v>50</v>
      </c>
      <c r="B3289" t="n">
        <v>270</v>
      </c>
      <c r="C3289" t="n">
        <v>4</v>
      </c>
      <c r="D3289" s="218" t="n">
        <v>130.99</v>
      </c>
      <c r="E3289" s="218" t="n">
        <v>4.37</v>
      </c>
      <c r="F3289" t="str">
        <v>https://re.jrc.ec.europa.eu/api/v5_3/PVcalc?lat=30.0444&amp;lon=31.2357&amp;peakpower=1&amp;loss=14&amp;angle=50&amp;aspect=90&amp;outputformat=json&amp;raddatabase=PVGIS-SARAH3&amp;pvtechchoice=crystSi&amp;mountingplace=free&amp;usehorizon=1</v>
      </c>
    </row>
    <row r="3290">
      <c r="A3290" t="n">
        <v>50</v>
      </c>
      <c r="B3290" t="n">
        <v>270</v>
      </c>
      <c r="C3290" t="n">
        <v>5</v>
      </c>
      <c r="D3290" s="218" t="n">
        <v>143.8</v>
      </c>
      <c r="E3290" s="218" t="n">
        <v>4.64</v>
      </c>
      <c r="F3290" t="str">
        <v>https://re.jrc.ec.europa.eu/api/v5_3/PVcalc?lat=30.0444&amp;lon=31.2357&amp;peakpower=1&amp;loss=14&amp;angle=50&amp;aspect=90&amp;outputformat=json&amp;raddatabase=PVGIS-SARAH3&amp;pvtechchoice=crystSi&amp;mountingplace=free&amp;usehorizon=1</v>
      </c>
    </row>
    <row r="3291">
      <c r="A3291" t="n">
        <v>50</v>
      </c>
      <c r="B3291" t="n">
        <v>270</v>
      </c>
      <c r="C3291" t="n">
        <v>6</v>
      </c>
      <c r="D3291" s="218" t="n">
        <v>149.68</v>
      </c>
      <c r="E3291" s="218" t="n">
        <v>4.99</v>
      </c>
      <c r="F3291" t="str">
        <v>https://re.jrc.ec.europa.eu/api/v5_3/PVcalc?lat=30.0444&amp;lon=31.2357&amp;peakpower=1&amp;loss=14&amp;angle=50&amp;aspect=90&amp;outputformat=json&amp;raddatabase=PVGIS-SARAH3&amp;pvtechchoice=crystSi&amp;mountingplace=free&amp;usehorizon=1</v>
      </c>
    </row>
    <row r="3292">
      <c r="A3292" t="n">
        <v>50</v>
      </c>
      <c r="B3292" t="n">
        <v>270</v>
      </c>
      <c r="C3292" t="n">
        <v>7</v>
      </c>
      <c r="D3292" s="218" t="n">
        <v>153.79</v>
      </c>
      <c r="E3292" s="218" t="n">
        <v>4.96</v>
      </c>
      <c r="F3292" t="str">
        <v>https://re.jrc.ec.europa.eu/api/v5_3/PVcalc?lat=30.0444&amp;lon=31.2357&amp;peakpower=1&amp;loss=14&amp;angle=50&amp;aspect=90&amp;outputformat=json&amp;raddatabase=PVGIS-SARAH3&amp;pvtechchoice=crystSi&amp;mountingplace=free&amp;usehorizon=1</v>
      </c>
    </row>
    <row r="3293">
      <c r="A3293" t="n">
        <v>50</v>
      </c>
      <c r="B3293" t="n">
        <v>270</v>
      </c>
      <c r="C3293" t="n">
        <v>8</v>
      </c>
      <c r="D3293" s="218" t="n">
        <v>144.36</v>
      </c>
      <c r="E3293" s="218" t="n">
        <v>4.66</v>
      </c>
      <c r="F3293" t="str">
        <v>https://re.jrc.ec.europa.eu/api/v5_3/PVcalc?lat=30.0444&amp;lon=31.2357&amp;peakpower=1&amp;loss=14&amp;angle=50&amp;aspect=90&amp;outputformat=json&amp;raddatabase=PVGIS-SARAH3&amp;pvtechchoice=crystSi&amp;mountingplace=free&amp;usehorizon=1</v>
      </c>
    </row>
    <row r="3294">
      <c r="A3294" t="n">
        <v>50</v>
      </c>
      <c r="B3294" t="n">
        <v>270</v>
      </c>
      <c r="C3294" t="n">
        <v>9</v>
      </c>
      <c r="D3294" s="218" t="n">
        <v>124.56</v>
      </c>
      <c r="E3294" s="218" t="n">
        <v>4.15</v>
      </c>
      <c r="F3294" t="str">
        <v>https://re.jrc.ec.europa.eu/api/v5_3/PVcalc?lat=30.0444&amp;lon=31.2357&amp;peakpower=1&amp;loss=14&amp;angle=50&amp;aspect=90&amp;outputformat=json&amp;raddatabase=PVGIS-SARAH3&amp;pvtechchoice=crystSi&amp;mountingplace=free&amp;usehorizon=1</v>
      </c>
    </row>
    <row r="3295">
      <c r="A3295" t="n">
        <v>50</v>
      </c>
      <c r="B3295" t="n">
        <v>270</v>
      </c>
      <c r="C3295" t="n">
        <v>10</v>
      </c>
      <c r="D3295" s="218" t="n">
        <v>103.44</v>
      </c>
      <c r="E3295" s="218" t="n">
        <v>3.34</v>
      </c>
      <c r="F3295" t="str">
        <v>https://re.jrc.ec.europa.eu/api/v5_3/PVcalc?lat=30.0444&amp;lon=31.2357&amp;peakpower=1&amp;loss=14&amp;angle=50&amp;aspect=90&amp;outputformat=json&amp;raddatabase=PVGIS-SARAH3&amp;pvtechchoice=crystSi&amp;mountingplace=free&amp;usehorizon=1</v>
      </c>
    </row>
    <row r="3296">
      <c r="A3296" t="n">
        <v>50</v>
      </c>
      <c r="B3296" t="n">
        <v>270</v>
      </c>
      <c r="C3296" t="n">
        <v>11</v>
      </c>
      <c r="D3296" s="218" t="n">
        <v>80.44</v>
      </c>
      <c r="E3296" s="218" t="n">
        <v>2.68</v>
      </c>
      <c r="F3296" t="str">
        <v>https://re.jrc.ec.europa.eu/api/v5_3/PVcalc?lat=30.0444&amp;lon=31.2357&amp;peakpower=1&amp;loss=14&amp;angle=50&amp;aspect=90&amp;outputformat=json&amp;raddatabase=PVGIS-SARAH3&amp;pvtechchoice=crystSi&amp;mountingplace=free&amp;usehorizon=1</v>
      </c>
    </row>
    <row r="3297">
      <c r="A3297" t="n">
        <v>50</v>
      </c>
      <c r="B3297" t="n">
        <v>270</v>
      </c>
      <c r="C3297" t="n">
        <v>12</v>
      </c>
      <c r="D3297" s="218" t="n">
        <v>70.68</v>
      </c>
      <c r="E3297" s="218" t="n">
        <v>2.28</v>
      </c>
      <c r="F3297" t="str">
        <v>https://re.jrc.ec.europa.eu/api/v5_3/PVcalc?lat=30.0444&amp;lon=31.2357&amp;peakpower=1&amp;loss=14&amp;angle=50&amp;aspect=90&amp;outputformat=json&amp;raddatabase=PVGIS-SARAH3&amp;pvtechchoice=crystSi&amp;mountingplace=free&amp;usehorizon=1</v>
      </c>
    </row>
    <row r="3298">
      <c r="A3298" t="n">
        <v>50</v>
      </c>
      <c r="B3298" t="n">
        <v>285</v>
      </c>
      <c r="C3298" t="n">
        <v>1</v>
      </c>
      <c r="D3298" s="218" t="n">
        <v>58.39</v>
      </c>
      <c r="E3298" s="218" t="n">
        <v>1.88</v>
      </c>
      <c r="F3298" t="str">
        <v>https://re.jrc.ec.europa.eu/api/v5_3/PVcalc?lat=30.0444&amp;lon=31.2357&amp;peakpower=1&amp;loss=14&amp;angle=50&amp;aspect=105&amp;outputformat=json&amp;raddatabase=PVGIS-SARAH3&amp;pvtechchoice=crystSi&amp;mountingplace=free&amp;usehorizon=1</v>
      </c>
    </row>
    <row r="3299">
      <c r="A3299" t="n">
        <v>50</v>
      </c>
      <c r="B3299" t="n">
        <v>285</v>
      </c>
      <c r="C3299" t="n">
        <v>2</v>
      </c>
      <c r="D3299" s="218" t="n">
        <v>69.64</v>
      </c>
      <c r="E3299" s="218" t="n">
        <v>2.49</v>
      </c>
      <c r="F3299" t="str">
        <v>https://re.jrc.ec.europa.eu/api/v5_3/PVcalc?lat=30.0444&amp;lon=31.2357&amp;peakpower=1&amp;loss=14&amp;angle=50&amp;aspect=105&amp;outputformat=json&amp;raddatabase=PVGIS-SARAH3&amp;pvtechchoice=crystSi&amp;mountingplace=free&amp;usehorizon=1</v>
      </c>
    </row>
    <row r="3300">
      <c r="A3300" t="n">
        <v>50</v>
      </c>
      <c r="B3300" t="n">
        <v>285</v>
      </c>
      <c r="C3300" t="n">
        <v>3</v>
      </c>
      <c r="D3300" s="218" t="n">
        <v>106</v>
      </c>
      <c r="E3300" s="218" t="n">
        <v>3.42</v>
      </c>
      <c r="F3300" t="str">
        <v>https://re.jrc.ec.europa.eu/api/v5_3/PVcalc?lat=30.0444&amp;lon=31.2357&amp;peakpower=1&amp;loss=14&amp;angle=50&amp;aspect=105&amp;outputformat=json&amp;raddatabase=PVGIS-SARAH3&amp;pvtechchoice=crystSi&amp;mountingplace=free&amp;usehorizon=1</v>
      </c>
    </row>
    <row r="3301">
      <c r="A3301" t="n">
        <v>50</v>
      </c>
      <c r="B3301" t="n">
        <v>285</v>
      </c>
      <c r="C3301" t="n">
        <v>4</v>
      </c>
      <c r="D3301" s="218" t="n">
        <v>123.33</v>
      </c>
      <c r="E3301" s="218" t="n">
        <v>4.11</v>
      </c>
      <c r="F3301" t="str">
        <v>https://re.jrc.ec.europa.eu/api/v5_3/PVcalc?lat=30.0444&amp;lon=31.2357&amp;peakpower=1&amp;loss=14&amp;angle=50&amp;aspect=105&amp;outputformat=json&amp;raddatabase=PVGIS-SARAH3&amp;pvtechchoice=crystSi&amp;mountingplace=free&amp;usehorizon=1</v>
      </c>
    </row>
    <row r="3302">
      <c r="A3302" t="n">
        <v>50</v>
      </c>
      <c r="B3302" t="n">
        <v>285</v>
      </c>
      <c r="C3302" t="n">
        <v>5</v>
      </c>
      <c r="D3302" s="218" t="n">
        <v>140.38</v>
      </c>
      <c r="E3302" s="218" t="n">
        <v>4.53</v>
      </c>
      <c r="F3302" t="str">
        <v>https://re.jrc.ec.europa.eu/api/v5_3/PVcalc?lat=30.0444&amp;lon=31.2357&amp;peakpower=1&amp;loss=14&amp;angle=50&amp;aspect=105&amp;outputformat=json&amp;raddatabase=PVGIS-SARAH3&amp;pvtechchoice=crystSi&amp;mountingplace=free&amp;usehorizon=1</v>
      </c>
    </row>
    <row r="3303">
      <c r="A3303" t="n">
        <v>50</v>
      </c>
      <c r="B3303" t="n">
        <v>285</v>
      </c>
      <c r="C3303" t="n">
        <v>6</v>
      </c>
      <c r="D3303" s="218" t="n">
        <v>148.65</v>
      </c>
      <c r="E3303" s="218" t="n">
        <v>4.95</v>
      </c>
      <c r="F3303" t="str">
        <v>https://re.jrc.ec.europa.eu/api/v5_3/PVcalc?lat=30.0444&amp;lon=31.2357&amp;peakpower=1&amp;loss=14&amp;angle=50&amp;aspect=105&amp;outputformat=json&amp;raddatabase=PVGIS-SARAH3&amp;pvtechchoice=crystSi&amp;mountingplace=free&amp;usehorizon=1</v>
      </c>
    </row>
    <row r="3304">
      <c r="A3304" t="n">
        <v>50</v>
      </c>
      <c r="B3304" t="n">
        <v>285</v>
      </c>
      <c r="C3304" t="n">
        <v>7</v>
      </c>
      <c r="D3304" s="218" t="n">
        <v>151.46</v>
      </c>
      <c r="E3304" s="218" t="n">
        <v>4.89</v>
      </c>
      <c r="F3304" t="str">
        <v>https://re.jrc.ec.europa.eu/api/v5_3/PVcalc?lat=30.0444&amp;lon=31.2357&amp;peakpower=1&amp;loss=14&amp;angle=50&amp;aspect=105&amp;outputformat=json&amp;raddatabase=PVGIS-SARAH3&amp;pvtechchoice=crystSi&amp;mountingplace=free&amp;usehorizon=1</v>
      </c>
    </row>
    <row r="3305">
      <c r="A3305" t="n">
        <v>50</v>
      </c>
      <c r="B3305" t="n">
        <v>285</v>
      </c>
      <c r="C3305" t="n">
        <v>8</v>
      </c>
      <c r="D3305" s="218" t="n">
        <v>137.81</v>
      </c>
      <c r="E3305" s="218" t="n">
        <v>4.45</v>
      </c>
      <c r="F3305" t="str">
        <v>https://re.jrc.ec.europa.eu/api/v5_3/PVcalc?lat=30.0444&amp;lon=31.2357&amp;peakpower=1&amp;loss=14&amp;angle=50&amp;aspect=105&amp;outputformat=json&amp;raddatabase=PVGIS-SARAH3&amp;pvtechchoice=crystSi&amp;mountingplace=free&amp;usehorizon=1</v>
      </c>
    </row>
    <row r="3306">
      <c r="A3306" t="n">
        <v>50</v>
      </c>
      <c r="B3306" t="n">
        <v>285</v>
      </c>
      <c r="C3306" t="n">
        <v>9</v>
      </c>
      <c r="D3306" s="218" t="n">
        <v>113.26</v>
      </c>
      <c r="E3306" s="218" t="n">
        <v>3.78</v>
      </c>
      <c r="F3306" t="str">
        <v>https://re.jrc.ec.europa.eu/api/v5_3/PVcalc?lat=30.0444&amp;lon=31.2357&amp;peakpower=1&amp;loss=14&amp;angle=50&amp;aspect=105&amp;outputformat=json&amp;raddatabase=PVGIS-SARAH3&amp;pvtechchoice=crystSi&amp;mountingplace=free&amp;usehorizon=1</v>
      </c>
    </row>
    <row r="3307">
      <c r="A3307" t="n">
        <v>50</v>
      </c>
      <c r="B3307" t="n">
        <v>285</v>
      </c>
      <c r="C3307" t="n">
        <v>10</v>
      </c>
      <c r="D3307" s="218" t="n">
        <v>88.41</v>
      </c>
      <c r="E3307" s="218" t="n">
        <v>2.85</v>
      </c>
      <c r="F3307" t="str">
        <v>https://re.jrc.ec.europa.eu/api/v5_3/PVcalc?lat=30.0444&amp;lon=31.2357&amp;peakpower=1&amp;loss=14&amp;angle=50&amp;aspect=105&amp;outputformat=json&amp;raddatabase=PVGIS-SARAH3&amp;pvtechchoice=crystSi&amp;mountingplace=free&amp;usehorizon=1</v>
      </c>
    </row>
    <row r="3308">
      <c r="A3308" t="n">
        <v>50</v>
      </c>
      <c r="B3308" t="n">
        <v>285</v>
      </c>
      <c r="C3308" t="n">
        <v>11</v>
      </c>
      <c r="D3308" s="218" t="n">
        <v>64.72</v>
      </c>
      <c r="E3308" s="218" t="n">
        <v>2.16</v>
      </c>
      <c r="F3308" t="str">
        <v>https://re.jrc.ec.europa.eu/api/v5_3/PVcalc?lat=30.0444&amp;lon=31.2357&amp;peakpower=1&amp;loss=14&amp;angle=50&amp;aspect=105&amp;outputformat=json&amp;raddatabase=PVGIS-SARAH3&amp;pvtechchoice=crystSi&amp;mountingplace=free&amp;usehorizon=1</v>
      </c>
    </row>
    <row r="3309">
      <c r="A3309" t="n">
        <v>50</v>
      </c>
      <c r="B3309" t="n">
        <v>285</v>
      </c>
      <c r="C3309" t="n">
        <v>12</v>
      </c>
      <c r="D3309" s="218" t="n">
        <v>54.9</v>
      </c>
      <c r="E3309" s="218" t="n">
        <v>1.77</v>
      </c>
      <c r="F3309" t="str">
        <v>https://re.jrc.ec.europa.eu/api/v5_3/PVcalc?lat=30.0444&amp;lon=31.2357&amp;peakpower=1&amp;loss=14&amp;angle=50&amp;aspect=105&amp;outputformat=json&amp;raddatabase=PVGIS-SARAH3&amp;pvtechchoice=crystSi&amp;mountingplace=free&amp;usehorizon=1</v>
      </c>
    </row>
    <row r="3310">
      <c r="A3310" t="n">
        <v>50</v>
      </c>
      <c r="B3310" t="n">
        <v>300</v>
      </c>
      <c r="C3310" t="n">
        <v>1</v>
      </c>
      <c r="D3310" s="218" t="n">
        <v>44.13</v>
      </c>
      <c r="E3310" s="218" t="n">
        <v>1.42</v>
      </c>
      <c r="F3310" t="str">
        <v>https://re.jrc.ec.europa.eu/api/v5_3/PVcalc?lat=30.0444&amp;lon=31.2357&amp;peakpower=1&amp;loss=14&amp;angle=50&amp;aspect=120&amp;outputformat=json&amp;raddatabase=PVGIS-SARAH3&amp;pvtechchoice=crystSi&amp;mountingplace=free&amp;usehorizon=1</v>
      </c>
    </row>
    <row r="3311">
      <c r="A3311" t="n">
        <v>50</v>
      </c>
      <c r="B3311" t="n">
        <v>300</v>
      </c>
      <c r="C3311" t="n">
        <v>2</v>
      </c>
      <c r="D3311" s="218" t="n">
        <v>56.71</v>
      </c>
      <c r="E3311" s="218" t="n">
        <v>2.03</v>
      </c>
      <c r="F3311" t="str">
        <v>https://re.jrc.ec.europa.eu/api/v5_3/PVcalc?lat=30.0444&amp;lon=31.2357&amp;peakpower=1&amp;loss=14&amp;angle=50&amp;aspect=120&amp;outputformat=json&amp;raddatabase=PVGIS-SARAH3&amp;pvtechchoice=crystSi&amp;mountingplace=free&amp;usehorizon=1</v>
      </c>
    </row>
    <row r="3312">
      <c r="A3312" t="n">
        <v>50</v>
      </c>
      <c r="B3312" t="n">
        <v>300</v>
      </c>
      <c r="C3312" t="n">
        <v>3</v>
      </c>
      <c r="D3312" s="218" t="n">
        <v>92.57</v>
      </c>
      <c r="E3312" s="218" t="n">
        <v>2.99</v>
      </c>
      <c r="F3312" t="str">
        <v>https://re.jrc.ec.europa.eu/api/v5_3/PVcalc?lat=30.0444&amp;lon=31.2357&amp;peakpower=1&amp;loss=14&amp;angle=50&amp;aspect=120&amp;outputformat=json&amp;raddatabase=PVGIS-SARAH3&amp;pvtechchoice=crystSi&amp;mountingplace=free&amp;usehorizon=1</v>
      </c>
    </row>
    <row r="3313">
      <c r="A3313" t="n">
        <v>50</v>
      </c>
      <c r="B3313" t="n">
        <v>300</v>
      </c>
      <c r="C3313" t="n">
        <v>4</v>
      </c>
      <c r="D3313" s="218" t="n">
        <v>113.94</v>
      </c>
      <c r="E3313" s="218" t="n">
        <v>3.8</v>
      </c>
      <c r="F3313" t="str">
        <v>https://re.jrc.ec.europa.eu/api/v5_3/PVcalc?lat=30.0444&amp;lon=31.2357&amp;peakpower=1&amp;loss=14&amp;angle=50&amp;aspect=120&amp;outputformat=json&amp;raddatabase=PVGIS-SARAH3&amp;pvtechchoice=crystSi&amp;mountingplace=free&amp;usehorizon=1</v>
      </c>
    </row>
    <row r="3314">
      <c r="A3314" t="n">
        <v>50</v>
      </c>
      <c r="B3314" t="n">
        <v>300</v>
      </c>
      <c r="C3314" t="n">
        <v>5</v>
      </c>
      <c r="D3314" s="218" t="n">
        <v>135.22</v>
      </c>
      <c r="E3314" s="218" t="n">
        <v>4.36</v>
      </c>
      <c r="F3314" t="str">
        <v>https://re.jrc.ec.europa.eu/api/v5_3/PVcalc?lat=30.0444&amp;lon=31.2357&amp;peakpower=1&amp;loss=14&amp;angle=50&amp;aspect=120&amp;outputformat=json&amp;raddatabase=PVGIS-SARAH3&amp;pvtechchoice=crystSi&amp;mountingplace=free&amp;usehorizon=1</v>
      </c>
    </row>
    <row r="3315">
      <c r="A3315" t="n">
        <v>50</v>
      </c>
      <c r="B3315" t="n">
        <v>300</v>
      </c>
      <c r="C3315" t="n">
        <v>6</v>
      </c>
      <c r="D3315" s="218" t="n">
        <v>145.7</v>
      </c>
      <c r="E3315" s="218" t="n">
        <v>4.86</v>
      </c>
      <c r="F3315" t="str">
        <v>https://re.jrc.ec.europa.eu/api/v5_3/PVcalc?lat=30.0444&amp;lon=31.2357&amp;peakpower=1&amp;loss=14&amp;angle=50&amp;aspect=120&amp;outputformat=json&amp;raddatabase=PVGIS-SARAH3&amp;pvtechchoice=crystSi&amp;mountingplace=free&amp;usehorizon=1</v>
      </c>
    </row>
    <row r="3316">
      <c r="A3316" t="n">
        <v>50</v>
      </c>
      <c r="B3316" t="n">
        <v>300</v>
      </c>
      <c r="C3316" t="n">
        <v>7</v>
      </c>
      <c r="D3316" s="218" t="n">
        <v>147.05</v>
      </c>
      <c r="E3316" s="218" t="n">
        <v>4.74</v>
      </c>
      <c r="F3316" t="str">
        <v>https://re.jrc.ec.europa.eu/api/v5_3/PVcalc?lat=30.0444&amp;lon=31.2357&amp;peakpower=1&amp;loss=14&amp;angle=50&amp;aspect=120&amp;outputformat=json&amp;raddatabase=PVGIS-SARAH3&amp;pvtechchoice=crystSi&amp;mountingplace=free&amp;usehorizon=1</v>
      </c>
    </row>
    <row r="3317">
      <c r="A3317" t="n">
        <v>50</v>
      </c>
      <c r="B3317" t="n">
        <v>300</v>
      </c>
      <c r="C3317" t="n">
        <v>8</v>
      </c>
      <c r="D3317" s="218" t="n">
        <v>128.94</v>
      </c>
      <c r="E3317" s="218" t="n">
        <v>4.16</v>
      </c>
      <c r="F3317" t="str">
        <v>https://re.jrc.ec.europa.eu/api/v5_3/PVcalc?lat=30.0444&amp;lon=31.2357&amp;peakpower=1&amp;loss=14&amp;angle=50&amp;aspect=120&amp;outputformat=json&amp;raddatabase=PVGIS-SARAH3&amp;pvtechchoice=crystSi&amp;mountingplace=free&amp;usehorizon=1</v>
      </c>
    </row>
    <row r="3318">
      <c r="A3318" t="n">
        <v>50</v>
      </c>
      <c r="B3318" t="n">
        <v>300</v>
      </c>
      <c r="C3318" t="n">
        <v>9</v>
      </c>
      <c r="D3318" s="218" t="n">
        <v>100.3</v>
      </c>
      <c r="E3318" s="218" t="n">
        <v>3.34</v>
      </c>
      <c r="F3318" t="str">
        <v>https://re.jrc.ec.europa.eu/api/v5_3/PVcalc?lat=30.0444&amp;lon=31.2357&amp;peakpower=1&amp;loss=14&amp;angle=50&amp;aspect=120&amp;outputformat=json&amp;raddatabase=PVGIS-SARAH3&amp;pvtechchoice=crystSi&amp;mountingplace=free&amp;usehorizon=1</v>
      </c>
    </row>
    <row r="3319">
      <c r="A3319" t="n">
        <v>50</v>
      </c>
      <c r="B3319" t="n">
        <v>300</v>
      </c>
      <c r="C3319" t="n">
        <v>10</v>
      </c>
      <c r="D3319" s="218" t="n">
        <v>73.19</v>
      </c>
      <c r="E3319" s="218" t="n">
        <v>2.36</v>
      </c>
      <c r="F3319" t="str">
        <v>https://re.jrc.ec.europa.eu/api/v5_3/PVcalc?lat=30.0444&amp;lon=31.2357&amp;peakpower=1&amp;loss=14&amp;angle=50&amp;aspect=120&amp;outputformat=json&amp;raddatabase=PVGIS-SARAH3&amp;pvtechchoice=crystSi&amp;mountingplace=free&amp;usehorizon=1</v>
      </c>
    </row>
    <row r="3320">
      <c r="A3320" t="n">
        <v>50</v>
      </c>
      <c r="B3320" t="n">
        <v>300</v>
      </c>
      <c r="C3320" t="n">
        <v>11</v>
      </c>
      <c r="D3320" s="218" t="n">
        <v>48.92</v>
      </c>
      <c r="E3320" s="218" t="n">
        <v>1.63</v>
      </c>
      <c r="F3320" t="str">
        <v>https://re.jrc.ec.europa.eu/api/v5_3/PVcalc?lat=30.0444&amp;lon=31.2357&amp;peakpower=1&amp;loss=14&amp;angle=50&amp;aspect=120&amp;outputformat=json&amp;raddatabase=PVGIS-SARAH3&amp;pvtechchoice=crystSi&amp;mountingplace=free&amp;usehorizon=1</v>
      </c>
    </row>
    <row r="3321">
      <c r="A3321" t="n">
        <v>50</v>
      </c>
      <c r="B3321" t="n">
        <v>300</v>
      </c>
      <c r="C3321" t="n">
        <v>12</v>
      </c>
      <c r="D3321" s="218" t="n">
        <v>40.08</v>
      </c>
      <c r="E3321" s="218" t="n">
        <v>1.29</v>
      </c>
      <c r="F3321" t="str">
        <v>https://re.jrc.ec.europa.eu/api/v5_3/PVcalc?lat=30.0444&amp;lon=31.2357&amp;peakpower=1&amp;loss=14&amp;angle=50&amp;aspect=120&amp;outputformat=json&amp;raddatabase=PVGIS-SARAH3&amp;pvtechchoice=crystSi&amp;mountingplace=free&amp;usehorizon=1</v>
      </c>
    </row>
    <row r="3322">
      <c r="A3322" t="n">
        <v>50</v>
      </c>
      <c r="B3322" t="n">
        <v>315</v>
      </c>
      <c r="C3322" t="n">
        <v>1</v>
      </c>
      <c r="D3322" s="218" t="n">
        <v>31.2</v>
      </c>
      <c r="E3322" s="218" t="n">
        <v>1.01</v>
      </c>
      <c r="F3322" t="str">
        <v>https://re.jrc.ec.europa.eu/api/v5_3/PVcalc?lat=30.0444&amp;lon=31.2357&amp;peakpower=1&amp;loss=14&amp;angle=50&amp;aspect=135&amp;outputformat=json&amp;raddatabase=PVGIS-SARAH3&amp;pvtechchoice=crystSi&amp;mountingplace=free&amp;usehorizon=1</v>
      </c>
    </row>
    <row r="3323">
      <c r="A3323" t="n">
        <v>50</v>
      </c>
      <c r="B3323" t="n">
        <v>315</v>
      </c>
      <c r="C3323" t="n">
        <v>2</v>
      </c>
      <c r="D3323" s="218" t="n">
        <v>44.27</v>
      </c>
      <c r="E3323" s="218" t="n">
        <v>1.58</v>
      </c>
      <c r="F3323" t="str">
        <v>https://re.jrc.ec.europa.eu/api/v5_3/PVcalc?lat=30.0444&amp;lon=31.2357&amp;peakpower=1&amp;loss=14&amp;angle=50&amp;aspect=135&amp;outputformat=json&amp;raddatabase=PVGIS-SARAH3&amp;pvtechchoice=crystSi&amp;mountingplace=free&amp;usehorizon=1</v>
      </c>
    </row>
    <row r="3324">
      <c r="A3324" t="n">
        <v>50</v>
      </c>
      <c r="B3324" t="n">
        <v>315</v>
      </c>
      <c r="C3324" t="n">
        <v>3</v>
      </c>
      <c r="D3324" s="218" t="n">
        <v>77.99</v>
      </c>
      <c r="E3324" s="218" t="n">
        <v>2.52</v>
      </c>
      <c r="F3324" t="str">
        <v>https://re.jrc.ec.europa.eu/api/v5_3/PVcalc?lat=30.0444&amp;lon=31.2357&amp;peakpower=1&amp;loss=14&amp;angle=50&amp;aspect=135&amp;outputformat=json&amp;raddatabase=PVGIS-SARAH3&amp;pvtechchoice=crystSi&amp;mountingplace=free&amp;usehorizon=1</v>
      </c>
    </row>
    <row r="3325">
      <c r="A3325" t="n">
        <v>50</v>
      </c>
      <c r="B3325" t="n">
        <v>315</v>
      </c>
      <c r="C3325" t="n">
        <v>4</v>
      </c>
      <c r="D3325" s="218" t="n">
        <v>103.36</v>
      </c>
      <c r="E3325" s="218" t="n">
        <v>3.45</v>
      </c>
      <c r="F3325" t="str">
        <v>https://re.jrc.ec.europa.eu/api/v5_3/PVcalc?lat=30.0444&amp;lon=31.2357&amp;peakpower=1&amp;loss=14&amp;angle=50&amp;aspect=135&amp;outputformat=json&amp;raddatabase=PVGIS-SARAH3&amp;pvtechchoice=crystSi&amp;mountingplace=free&amp;usehorizon=1</v>
      </c>
    </row>
    <row r="3326">
      <c r="A3326" t="n">
        <v>50</v>
      </c>
      <c r="B3326" t="n">
        <v>315</v>
      </c>
      <c r="C3326" t="n">
        <v>5</v>
      </c>
      <c r="D3326" s="218" t="n">
        <v>128.83</v>
      </c>
      <c r="E3326" s="218" t="n">
        <v>4.16</v>
      </c>
      <c r="F3326" t="str">
        <v>https://re.jrc.ec.europa.eu/api/v5_3/PVcalc?lat=30.0444&amp;lon=31.2357&amp;peakpower=1&amp;loss=14&amp;angle=50&amp;aspect=135&amp;outputformat=json&amp;raddatabase=PVGIS-SARAH3&amp;pvtechchoice=crystSi&amp;mountingplace=free&amp;usehorizon=1</v>
      </c>
    </row>
    <row r="3327">
      <c r="A3327" t="n">
        <v>50</v>
      </c>
      <c r="B3327" t="n">
        <v>315</v>
      </c>
      <c r="C3327" t="n">
        <v>6</v>
      </c>
      <c r="D3327" s="218" t="n">
        <v>141</v>
      </c>
      <c r="E3327" s="218" t="n">
        <v>4.7</v>
      </c>
      <c r="F3327" t="str">
        <v>https://re.jrc.ec.europa.eu/api/v5_3/PVcalc?lat=30.0444&amp;lon=31.2357&amp;peakpower=1&amp;loss=14&amp;angle=50&amp;aspect=135&amp;outputformat=json&amp;raddatabase=PVGIS-SARAH3&amp;pvtechchoice=crystSi&amp;mountingplace=free&amp;usehorizon=1</v>
      </c>
    </row>
    <row r="3328">
      <c r="A3328" t="n">
        <v>50</v>
      </c>
      <c r="B3328" t="n">
        <v>315</v>
      </c>
      <c r="C3328" t="n">
        <v>7</v>
      </c>
      <c r="D3328" s="218" t="n">
        <v>141.09</v>
      </c>
      <c r="E3328" s="218" t="n">
        <v>4.55</v>
      </c>
      <c r="F3328" t="str">
        <v>https://re.jrc.ec.europa.eu/api/v5_3/PVcalc?lat=30.0444&amp;lon=31.2357&amp;peakpower=1&amp;loss=14&amp;angle=50&amp;aspect=135&amp;outputformat=json&amp;raddatabase=PVGIS-SARAH3&amp;pvtechchoice=crystSi&amp;mountingplace=free&amp;usehorizon=1</v>
      </c>
    </row>
    <row r="3329">
      <c r="A3329" t="n">
        <v>50</v>
      </c>
      <c r="B3329" t="n">
        <v>315</v>
      </c>
      <c r="C3329" t="n">
        <v>8</v>
      </c>
      <c r="D3329" s="218" t="n">
        <v>118.49</v>
      </c>
      <c r="E3329" s="218" t="n">
        <v>3.82</v>
      </c>
      <c r="F3329" t="str">
        <v>https://re.jrc.ec.europa.eu/api/v5_3/PVcalc?lat=30.0444&amp;lon=31.2357&amp;peakpower=1&amp;loss=14&amp;angle=50&amp;aspect=135&amp;outputformat=json&amp;raddatabase=PVGIS-SARAH3&amp;pvtechchoice=crystSi&amp;mountingplace=free&amp;usehorizon=1</v>
      </c>
    </row>
    <row r="3330">
      <c r="A3330" t="n">
        <v>50</v>
      </c>
      <c r="B3330" t="n">
        <v>315</v>
      </c>
      <c r="C3330" t="n">
        <v>9</v>
      </c>
      <c r="D3330" s="218" t="n">
        <v>86.14</v>
      </c>
      <c r="E3330" s="218" t="n">
        <v>2.87</v>
      </c>
      <c r="F3330" t="str">
        <v>https://re.jrc.ec.europa.eu/api/v5_3/PVcalc?lat=30.0444&amp;lon=31.2357&amp;peakpower=1&amp;loss=14&amp;angle=50&amp;aspect=135&amp;outputformat=json&amp;raddatabase=PVGIS-SARAH3&amp;pvtechchoice=crystSi&amp;mountingplace=free&amp;usehorizon=1</v>
      </c>
    </row>
    <row r="3331">
      <c r="A3331" t="n">
        <v>50</v>
      </c>
      <c r="B3331" t="n">
        <v>315</v>
      </c>
      <c r="C3331" t="n">
        <v>10</v>
      </c>
      <c r="D3331" s="218" t="n">
        <v>57.31</v>
      </c>
      <c r="E3331" s="218" t="n">
        <v>1.85</v>
      </c>
      <c r="F3331" t="str">
        <v>https://re.jrc.ec.europa.eu/api/v5_3/PVcalc?lat=30.0444&amp;lon=31.2357&amp;peakpower=1&amp;loss=14&amp;angle=50&amp;aspect=135&amp;outputformat=json&amp;raddatabase=PVGIS-SARAH3&amp;pvtechchoice=crystSi&amp;mountingplace=free&amp;usehorizon=1</v>
      </c>
    </row>
    <row r="3332">
      <c r="A3332" t="n">
        <v>50</v>
      </c>
      <c r="B3332" t="n">
        <v>315</v>
      </c>
      <c r="C3332" t="n">
        <v>11</v>
      </c>
      <c r="D3332" s="218" t="n">
        <v>34.59</v>
      </c>
      <c r="E3332" s="218" t="n">
        <v>1.15</v>
      </c>
      <c r="F3332" t="str">
        <v>https://re.jrc.ec.europa.eu/api/v5_3/PVcalc?lat=30.0444&amp;lon=31.2357&amp;peakpower=1&amp;loss=14&amp;angle=50&amp;aspect=135&amp;outputformat=json&amp;raddatabase=PVGIS-SARAH3&amp;pvtechchoice=crystSi&amp;mountingplace=free&amp;usehorizon=1</v>
      </c>
    </row>
    <row r="3333">
      <c r="A3333" t="n">
        <v>50</v>
      </c>
      <c r="B3333" t="n">
        <v>315</v>
      </c>
      <c r="C3333" t="n">
        <v>12</v>
      </c>
      <c r="D3333" s="218" t="n">
        <v>27.31</v>
      </c>
      <c r="E3333" s="218" t="n">
        <v>0.88</v>
      </c>
      <c r="F3333" t="str">
        <v>https://re.jrc.ec.europa.eu/api/v5_3/PVcalc?lat=30.0444&amp;lon=31.2357&amp;peakpower=1&amp;loss=14&amp;angle=50&amp;aspect=135&amp;outputformat=json&amp;raddatabase=PVGIS-SARAH3&amp;pvtechchoice=crystSi&amp;mountingplace=free&amp;usehorizon=1</v>
      </c>
    </row>
    <row r="3334">
      <c r="A3334" t="n">
        <v>50</v>
      </c>
      <c r="B3334" t="n">
        <v>330</v>
      </c>
      <c r="C3334" t="n">
        <v>1</v>
      </c>
      <c r="D3334" s="218" t="n">
        <v>22.5</v>
      </c>
      <c r="E3334" s="218" t="n">
        <v>0.73</v>
      </c>
      <c r="F3334" t="str">
        <v>https://re.jrc.ec.europa.eu/api/v5_3/PVcalc?lat=30.0444&amp;lon=31.2357&amp;peakpower=1&amp;loss=14&amp;angle=50&amp;aspect=150&amp;outputformat=json&amp;raddatabase=PVGIS-SARAH3&amp;pvtechchoice=crystSi&amp;mountingplace=free&amp;usehorizon=1</v>
      </c>
    </row>
    <row r="3335">
      <c r="A3335" t="n">
        <v>50</v>
      </c>
      <c r="B3335" t="n">
        <v>330</v>
      </c>
      <c r="C3335" t="n">
        <v>2</v>
      </c>
      <c r="D3335" s="218" t="n">
        <v>32.85</v>
      </c>
      <c r="E3335" s="218" t="n">
        <v>1.17</v>
      </c>
      <c r="F3335" t="str">
        <v>https://re.jrc.ec.europa.eu/api/v5_3/PVcalc?lat=30.0444&amp;lon=31.2357&amp;peakpower=1&amp;loss=14&amp;angle=50&amp;aspect=150&amp;outputformat=json&amp;raddatabase=PVGIS-SARAH3&amp;pvtechchoice=crystSi&amp;mountingplace=free&amp;usehorizon=1</v>
      </c>
    </row>
    <row r="3336">
      <c r="A3336" t="n">
        <v>50</v>
      </c>
      <c r="B3336" t="n">
        <v>330</v>
      </c>
      <c r="C3336" t="n">
        <v>3</v>
      </c>
      <c r="D3336" s="218" t="n">
        <v>62.92</v>
      </c>
      <c r="E3336" s="218" t="n">
        <v>2.03</v>
      </c>
      <c r="F3336" t="str">
        <v>https://re.jrc.ec.europa.eu/api/v5_3/PVcalc?lat=30.0444&amp;lon=31.2357&amp;peakpower=1&amp;loss=14&amp;angle=50&amp;aspect=150&amp;outputformat=json&amp;raddatabase=PVGIS-SARAH3&amp;pvtechchoice=crystSi&amp;mountingplace=free&amp;usehorizon=1</v>
      </c>
    </row>
    <row r="3337">
      <c r="A3337" t="n">
        <v>50</v>
      </c>
      <c r="B3337" t="n">
        <v>330</v>
      </c>
      <c r="C3337" t="n">
        <v>4</v>
      </c>
      <c r="D3337" s="218" t="n">
        <v>92.45</v>
      </c>
      <c r="E3337" s="218" t="n">
        <v>3.08</v>
      </c>
      <c r="F3337" t="str">
        <v>https://re.jrc.ec.europa.eu/api/v5_3/PVcalc?lat=30.0444&amp;lon=31.2357&amp;peakpower=1&amp;loss=14&amp;angle=50&amp;aspect=150&amp;outputformat=json&amp;raddatabase=PVGIS-SARAH3&amp;pvtechchoice=crystSi&amp;mountingplace=free&amp;usehorizon=1</v>
      </c>
    </row>
    <row r="3338">
      <c r="A3338" t="n">
        <v>50</v>
      </c>
      <c r="B3338" t="n">
        <v>330</v>
      </c>
      <c r="C3338" t="n">
        <v>5</v>
      </c>
      <c r="D3338" s="218" t="n">
        <v>122.88</v>
      </c>
      <c r="E3338" s="218" t="n">
        <v>3.96</v>
      </c>
      <c r="F3338" t="str">
        <v>https://re.jrc.ec.europa.eu/api/v5_3/PVcalc?lat=30.0444&amp;lon=31.2357&amp;peakpower=1&amp;loss=14&amp;angle=50&amp;aspect=150&amp;outputformat=json&amp;raddatabase=PVGIS-SARAH3&amp;pvtechchoice=crystSi&amp;mountingplace=free&amp;usehorizon=1</v>
      </c>
    </row>
    <row r="3339">
      <c r="A3339" t="n">
        <v>50</v>
      </c>
      <c r="B3339" t="n">
        <v>330</v>
      </c>
      <c r="C3339" t="n">
        <v>6</v>
      </c>
      <c r="D3339" s="218" t="n">
        <v>137.67</v>
      </c>
      <c r="E3339" s="218" t="n">
        <v>4.59</v>
      </c>
      <c r="F3339" t="str">
        <v>https://re.jrc.ec.europa.eu/api/v5_3/PVcalc?lat=30.0444&amp;lon=31.2357&amp;peakpower=1&amp;loss=14&amp;angle=50&amp;aspect=150&amp;outputformat=json&amp;raddatabase=PVGIS-SARAH3&amp;pvtechchoice=crystSi&amp;mountingplace=free&amp;usehorizon=1</v>
      </c>
    </row>
    <row r="3340">
      <c r="A3340" t="n">
        <v>50</v>
      </c>
      <c r="B3340" t="n">
        <v>330</v>
      </c>
      <c r="C3340" t="n">
        <v>7</v>
      </c>
      <c r="D3340" s="218" t="n">
        <v>135.73</v>
      </c>
      <c r="E3340" s="218" t="n">
        <v>4.38</v>
      </c>
      <c r="F3340" t="str">
        <v>https://re.jrc.ec.europa.eu/api/v5_3/PVcalc?lat=30.0444&amp;lon=31.2357&amp;peakpower=1&amp;loss=14&amp;angle=50&amp;aspect=150&amp;outputformat=json&amp;raddatabase=PVGIS-SARAH3&amp;pvtechchoice=crystSi&amp;mountingplace=free&amp;usehorizon=1</v>
      </c>
    </row>
    <row r="3341">
      <c r="A3341" t="n">
        <v>50</v>
      </c>
      <c r="B3341" t="n">
        <v>330</v>
      </c>
      <c r="C3341" t="n">
        <v>8</v>
      </c>
      <c r="D3341" s="218" t="n">
        <v>107.85</v>
      </c>
      <c r="E3341" s="218" t="n">
        <v>3.48</v>
      </c>
      <c r="F3341" t="str">
        <v>https://re.jrc.ec.europa.eu/api/v5_3/PVcalc?lat=30.0444&amp;lon=31.2357&amp;peakpower=1&amp;loss=14&amp;angle=50&amp;aspect=150&amp;outputformat=json&amp;raddatabase=PVGIS-SARAH3&amp;pvtechchoice=crystSi&amp;mountingplace=free&amp;usehorizon=1</v>
      </c>
    </row>
    <row r="3342">
      <c r="A3342" t="n">
        <v>50</v>
      </c>
      <c r="B3342" t="n">
        <v>330</v>
      </c>
      <c r="C3342" t="n">
        <v>9</v>
      </c>
      <c r="D3342" s="218" t="n">
        <v>71.22</v>
      </c>
      <c r="E3342" s="218" t="n">
        <v>2.37</v>
      </c>
      <c r="F3342" t="str">
        <v>https://re.jrc.ec.europa.eu/api/v5_3/PVcalc?lat=30.0444&amp;lon=31.2357&amp;peakpower=1&amp;loss=14&amp;angle=50&amp;aspect=150&amp;outputformat=json&amp;raddatabase=PVGIS-SARAH3&amp;pvtechchoice=crystSi&amp;mountingplace=free&amp;usehorizon=1</v>
      </c>
    </row>
    <row r="3343">
      <c r="A3343" t="n">
        <v>50</v>
      </c>
      <c r="B3343" t="n">
        <v>330</v>
      </c>
      <c r="C3343" t="n">
        <v>10</v>
      </c>
      <c r="D3343" s="218" t="n">
        <v>41.8</v>
      </c>
      <c r="E3343" s="218" t="n">
        <v>1.35</v>
      </c>
      <c r="F3343" t="str">
        <v>https://re.jrc.ec.europa.eu/api/v5_3/PVcalc?lat=30.0444&amp;lon=31.2357&amp;peakpower=1&amp;loss=14&amp;angle=50&amp;aspect=150&amp;outputformat=json&amp;raddatabase=PVGIS-SARAH3&amp;pvtechchoice=crystSi&amp;mountingplace=free&amp;usehorizon=1</v>
      </c>
    </row>
    <row r="3344">
      <c r="A3344" t="n">
        <v>50</v>
      </c>
      <c r="B3344" t="n">
        <v>330</v>
      </c>
      <c r="C3344" t="n">
        <v>11</v>
      </c>
      <c r="D3344" s="218" t="n">
        <v>23.39</v>
      </c>
      <c r="E3344" s="218" t="n">
        <v>0.78</v>
      </c>
      <c r="F3344" t="str">
        <v>https://re.jrc.ec.europa.eu/api/v5_3/PVcalc?lat=30.0444&amp;lon=31.2357&amp;peakpower=1&amp;loss=14&amp;angle=50&amp;aspect=150&amp;outputformat=json&amp;raddatabase=PVGIS-SARAH3&amp;pvtechchoice=crystSi&amp;mountingplace=free&amp;usehorizon=1</v>
      </c>
    </row>
    <row r="3345">
      <c r="A3345" t="n">
        <v>50</v>
      </c>
      <c r="B3345" t="n">
        <v>330</v>
      </c>
      <c r="C3345" t="n">
        <v>12</v>
      </c>
      <c r="D3345" s="218" t="n">
        <v>20</v>
      </c>
      <c r="E3345" s="218" t="n">
        <v>0.65</v>
      </c>
      <c r="F3345" t="str">
        <v>https://re.jrc.ec.europa.eu/api/v5_3/PVcalc?lat=30.0444&amp;lon=31.2357&amp;peakpower=1&amp;loss=14&amp;angle=50&amp;aspect=150&amp;outputformat=json&amp;raddatabase=PVGIS-SARAH3&amp;pvtechchoice=crystSi&amp;mountingplace=free&amp;usehorizon=1</v>
      </c>
    </row>
    <row r="3346">
      <c r="A3346" t="n">
        <v>50</v>
      </c>
      <c r="B3346" t="n">
        <v>345</v>
      </c>
      <c r="C3346" t="n">
        <v>1</v>
      </c>
      <c r="D3346" s="218" t="n">
        <v>21.3</v>
      </c>
      <c r="E3346" s="218" t="n">
        <v>0.69</v>
      </c>
      <c r="F3346" t="str">
        <v>https://re.jrc.ec.europa.eu/api/v5_3/PVcalc?lat=30.0444&amp;lon=31.2357&amp;peakpower=1&amp;loss=14&amp;angle=50&amp;aspect=165&amp;outputformat=json&amp;raddatabase=PVGIS-SARAH3&amp;pvtechchoice=crystSi&amp;mountingplace=free&amp;usehorizon=1</v>
      </c>
    </row>
    <row r="3347">
      <c r="A3347" t="n">
        <v>50</v>
      </c>
      <c r="B3347" t="n">
        <v>345</v>
      </c>
      <c r="C3347" t="n">
        <v>2</v>
      </c>
      <c r="D3347" s="218" t="n">
        <v>25.36</v>
      </c>
      <c r="E3347" s="218" t="n">
        <v>0.91</v>
      </c>
      <c r="F3347" t="str">
        <v>https://re.jrc.ec.europa.eu/api/v5_3/PVcalc?lat=30.0444&amp;lon=31.2357&amp;peakpower=1&amp;loss=14&amp;angle=50&amp;aspect=165&amp;outputformat=json&amp;raddatabase=PVGIS-SARAH3&amp;pvtechchoice=crystSi&amp;mountingplace=free&amp;usehorizon=1</v>
      </c>
    </row>
    <row r="3348">
      <c r="A3348" t="n">
        <v>50</v>
      </c>
      <c r="B3348" t="n">
        <v>345</v>
      </c>
      <c r="C3348" t="n">
        <v>3</v>
      </c>
      <c r="D3348" s="218" t="n">
        <v>48.59</v>
      </c>
      <c r="E3348" s="218" t="n">
        <v>1.57</v>
      </c>
      <c r="F3348" t="str">
        <v>https://re.jrc.ec.europa.eu/api/v5_3/PVcalc?lat=30.0444&amp;lon=31.2357&amp;peakpower=1&amp;loss=14&amp;angle=50&amp;aspect=165&amp;outputformat=json&amp;raddatabase=PVGIS-SARAH3&amp;pvtechchoice=crystSi&amp;mountingplace=free&amp;usehorizon=1</v>
      </c>
    </row>
    <row r="3349">
      <c r="A3349" t="n">
        <v>50</v>
      </c>
      <c r="B3349" t="n">
        <v>345</v>
      </c>
      <c r="C3349" t="n">
        <v>4</v>
      </c>
      <c r="D3349" s="218" t="n">
        <v>83.82</v>
      </c>
      <c r="E3349" s="218" t="n">
        <v>2.79</v>
      </c>
      <c r="F3349" t="str">
        <v>https://re.jrc.ec.europa.eu/api/v5_3/PVcalc?lat=30.0444&amp;lon=31.2357&amp;peakpower=1&amp;loss=14&amp;angle=50&amp;aspect=165&amp;outputformat=json&amp;raddatabase=PVGIS-SARAH3&amp;pvtechchoice=crystSi&amp;mountingplace=free&amp;usehorizon=1</v>
      </c>
    </row>
    <row r="3350">
      <c r="A3350" t="n">
        <v>50</v>
      </c>
      <c r="B3350" t="n">
        <v>345</v>
      </c>
      <c r="C3350" t="n">
        <v>5</v>
      </c>
      <c r="D3350" s="218" t="n">
        <v>120.67</v>
      </c>
      <c r="E3350" s="218" t="n">
        <v>3.89</v>
      </c>
      <c r="F3350" t="str">
        <v>https://re.jrc.ec.europa.eu/api/v5_3/PVcalc?lat=30.0444&amp;lon=31.2357&amp;peakpower=1&amp;loss=14&amp;angle=50&amp;aspect=165&amp;outputformat=json&amp;raddatabase=PVGIS-SARAH3&amp;pvtechchoice=crystSi&amp;mountingplace=free&amp;usehorizon=1</v>
      </c>
    </row>
    <row r="3351">
      <c r="A3351" t="n">
        <v>50</v>
      </c>
      <c r="B3351" t="n">
        <v>345</v>
      </c>
      <c r="C3351" t="n">
        <v>6</v>
      </c>
      <c r="D3351" s="218" t="n">
        <v>137.17</v>
      </c>
      <c r="E3351" s="218" t="n">
        <v>4.57</v>
      </c>
      <c r="F3351" t="str">
        <v>https://re.jrc.ec.europa.eu/api/v5_3/PVcalc?lat=30.0444&amp;lon=31.2357&amp;peakpower=1&amp;loss=14&amp;angle=50&amp;aspect=165&amp;outputformat=json&amp;raddatabase=PVGIS-SARAH3&amp;pvtechchoice=crystSi&amp;mountingplace=free&amp;usehorizon=1</v>
      </c>
    </row>
    <row r="3352">
      <c r="A3352" t="n">
        <v>50</v>
      </c>
      <c r="B3352" t="n">
        <v>345</v>
      </c>
      <c r="C3352" t="n">
        <v>7</v>
      </c>
      <c r="D3352" s="218" t="n">
        <v>133.43</v>
      </c>
      <c r="E3352" s="218" t="n">
        <v>4.3</v>
      </c>
      <c r="F3352" t="str">
        <v>https://re.jrc.ec.europa.eu/api/v5_3/PVcalc?lat=30.0444&amp;lon=31.2357&amp;peakpower=1&amp;loss=14&amp;angle=50&amp;aspect=165&amp;outputformat=json&amp;raddatabase=PVGIS-SARAH3&amp;pvtechchoice=crystSi&amp;mountingplace=free&amp;usehorizon=1</v>
      </c>
    </row>
    <row r="3353">
      <c r="A3353" t="n">
        <v>50</v>
      </c>
      <c r="B3353" t="n">
        <v>345</v>
      </c>
      <c r="C3353" t="n">
        <v>8</v>
      </c>
      <c r="D3353" s="218" t="n">
        <v>100.26</v>
      </c>
      <c r="E3353" s="218" t="n">
        <v>3.23</v>
      </c>
      <c r="F3353" t="str">
        <v>https://re.jrc.ec.europa.eu/api/v5_3/PVcalc?lat=30.0444&amp;lon=31.2357&amp;peakpower=1&amp;loss=14&amp;angle=50&amp;aspect=165&amp;outputformat=json&amp;raddatabase=PVGIS-SARAH3&amp;pvtechchoice=crystSi&amp;mountingplace=free&amp;usehorizon=1</v>
      </c>
    </row>
    <row r="3354">
      <c r="A3354" t="n">
        <v>50</v>
      </c>
      <c r="B3354" t="n">
        <v>345</v>
      </c>
      <c r="C3354" t="n">
        <v>9</v>
      </c>
      <c r="D3354" s="218" t="n">
        <v>57.09</v>
      </c>
      <c r="E3354" s="218" t="n">
        <v>1.9</v>
      </c>
      <c r="F3354" t="str">
        <v>https://re.jrc.ec.europa.eu/api/v5_3/PVcalc?lat=30.0444&amp;lon=31.2357&amp;peakpower=1&amp;loss=14&amp;angle=50&amp;aspect=165&amp;outputformat=json&amp;raddatabase=PVGIS-SARAH3&amp;pvtechchoice=crystSi&amp;mountingplace=free&amp;usehorizon=1</v>
      </c>
    </row>
    <row r="3355">
      <c r="A3355" t="n">
        <v>50</v>
      </c>
      <c r="B3355" t="n">
        <v>345</v>
      </c>
      <c r="C3355" t="n">
        <v>10</v>
      </c>
      <c r="D3355" s="218" t="n">
        <v>28.84</v>
      </c>
      <c r="E3355" s="218" t="n">
        <v>0.93</v>
      </c>
      <c r="F3355" t="str">
        <v>https://re.jrc.ec.europa.eu/api/v5_3/PVcalc?lat=30.0444&amp;lon=31.2357&amp;peakpower=1&amp;loss=14&amp;angle=50&amp;aspect=165&amp;outputformat=json&amp;raddatabase=PVGIS-SARAH3&amp;pvtechchoice=crystSi&amp;mountingplace=free&amp;usehorizon=1</v>
      </c>
    </row>
    <row r="3356">
      <c r="A3356" t="n">
        <v>50</v>
      </c>
      <c r="B3356" t="n">
        <v>345</v>
      </c>
      <c r="C3356" t="n">
        <v>11</v>
      </c>
      <c r="D3356" s="218" t="n">
        <v>20.39</v>
      </c>
      <c r="E3356" s="218" t="n">
        <v>0.68</v>
      </c>
      <c r="F3356" t="str">
        <v>https://re.jrc.ec.europa.eu/api/v5_3/PVcalc?lat=30.0444&amp;lon=31.2357&amp;peakpower=1&amp;loss=14&amp;angle=50&amp;aspect=165&amp;outputformat=json&amp;raddatabase=PVGIS-SARAH3&amp;pvtechchoice=crystSi&amp;mountingplace=free&amp;usehorizon=1</v>
      </c>
    </row>
    <row r="3357">
      <c r="A3357" t="n">
        <v>50</v>
      </c>
      <c r="B3357" t="n">
        <v>345</v>
      </c>
      <c r="C3357" t="n">
        <v>12</v>
      </c>
      <c r="D3357" s="218" t="n">
        <v>19.77</v>
      </c>
      <c r="E3357" s="218" t="n">
        <v>0.64</v>
      </c>
      <c r="F3357" t="str">
        <v>https://re.jrc.ec.europa.eu/api/v5_3/PVcalc?lat=30.0444&amp;lon=31.2357&amp;peakpower=1&amp;loss=14&amp;angle=50&amp;aspect=165&amp;outputformat=json&amp;raddatabase=PVGIS-SARAH3&amp;pvtechchoice=crystSi&amp;mountingplace=free&amp;usehorizon=1</v>
      </c>
    </row>
    <row r="3358">
      <c r="A3358" t="n">
        <v>50</v>
      </c>
      <c r="B3358" t="n">
        <v>360</v>
      </c>
      <c r="C3358" t="n">
        <v>1</v>
      </c>
      <c r="D3358" s="218" t="n">
        <v>21.3</v>
      </c>
      <c r="E3358" s="218" t="n">
        <v>0.69</v>
      </c>
      <c r="F3358" t="str">
        <v>https://re.jrc.ec.europa.eu/api/v5_3/PVcalc?lat=30.0444&amp;lon=31.2357&amp;peakpower=1&amp;loss=14&amp;angle=50&amp;aspect=180&amp;outputformat=json&amp;raddatabase=PVGIS-SARAH3&amp;pvtechchoice=crystSi&amp;mountingplace=free&amp;usehorizon=1</v>
      </c>
    </row>
    <row r="3359">
      <c r="A3359" t="n">
        <v>50</v>
      </c>
      <c r="B3359" t="n">
        <v>360</v>
      </c>
      <c r="C3359" t="n">
        <v>2</v>
      </c>
      <c r="D3359" s="218" t="n">
        <v>24.4</v>
      </c>
      <c r="E3359" s="218" t="n">
        <v>0.87</v>
      </c>
      <c r="F3359" t="str">
        <v>https://re.jrc.ec.europa.eu/api/v5_3/PVcalc?lat=30.0444&amp;lon=31.2357&amp;peakpower=1&amp;loss=14&amp;angle=50&amp;aspect=180&amp;outputformat=json&amp;raddatabase=PVGIS-SARAH3&amp;pvtechchoice=crystSi&amp;mountingplace=free&amp;usehorizon=1</v>
      </c>
    </row>
    <row r="3360">
      <c r="A3360" t="n">
        <v>50</v>
      </c>
      <c r="B3360" t="n">
        <v>360</v>
      </c>
      <c r="C3360" t="n">
        <v>3</v>
      </c>
      <c r="D3360" s="218" t="n">
        <v>40.67</v>
      </c>
      <c r="E3360" s="218" t="n">
        <v>1.31</v>
      </c>
      <c r="F3360" t="str">
        <v>https://re.jrc.ec.europa.eu/api/v5_3/PVcalc?lat=30.0444&amp;lon=31.2357&amp;peakpower=1&amp;loss=14&amp;angle=50&amp;aspect=180&amp;outputformat=json&amp;raddatabase=PVGIS-SARAH3&amp;pvtechchoice=crystSi&amp;mountingplace=free&amp;usehorizon=1</v>
      </c>
    </row>
    <row r="3361">
      <c r="A3361" t="n">
        <v>50</v>
      </c>
      <c r="B3361" t="n">
        <v>360</v>
      </c>
      <c r="C3361" t="n">
        <v>4</v>
      </c>
      <c r="D3361" s="218" t="n">
        <v>80.45</v>
      </c>
      <c r="E3361" s="218" t="n">
        <v>2.68</v>
      </c>
      <c r="F3361" t="str">
        <v>https://re.jrc.ec.europa.eu/api/v5_3/PVcalc?lat=30.0444&amp;lon=31.2357&amp;peakpower=1&amp;loss=14&amp;angle=50&amp;aspect=180&amp;outputformat=json&amp;raddatabase=PVGIS-SARAH3&amp;pvtechchoice=crystSi&amp;mountingplace=free&amp;usehorizon=1</v>
      </c>
    </row>
    <row r="3362">
      <c r="A3362" t="n">
        <v>50</v>
      </c>
      <c r="B3362" t="n">
        <v>360</v>
      </c>
      <c r="C3362" t="n">
        <v>5</v>
      </c>
      <c r="D3362" s="218" t="n">
        <v>119.64</v>
      </c>
      <c r="E3362" s="218" t="n">
        <v>3.86</v>
      </c>
      <c r="F3362" t="str">
        <v>https://re.jrc.ec.europa.eu/api/v5_3/PVcalc?lat=30.0444&amp;lon=31.2357&amp;peakpower=1&amp;loss=14&amp;angle=50&amp;aspect=180&amp;outputformat=json&amp;raddatabase=PVGIS-SARAH3&amp;pvtechchoice=crystSi&amp;mountingplace=free&amp;usehorizon=1</v>
      </c>
    </row>
    <row r="3363">
      <c r="A3363" t="n">
        <v>50</v>
      </c>
      <c r="B3363" t="n">
        <v>360</v>
      </c>
      <c r="C3363" t="n">
        <v>6</v>
      </c>
      <c r="D3363" s="218" t="n">
        <v>135.56</v>
      </c>
      <c r="E3363" s="218" t="n">
        <v>4.52</v>
      </c>
      <c r="F3363" t="str">
        <v>https://re.jrc.ec.europa.eu/api/v5_3/PVcalc?lat=30.0444&amp;lon=31.2357&amp;peakpower=1&amp;loss=14&amp;angle=50&amp;aspect=180&amp;outputformat=json&amp;raddatabase=PVGIS-SARAH3&amp;pvtechchoice=crystSi&amp;mountingplace=free&amp;usehorizon=1</v>
      </c>
    </row>
    <row r="3364">
      <c r="A3364" t="n">
        <v>50</v>
      </c>
      <c r="B3364" t="n">
        <v>360</v>
      </c>
      <c r="C3364" t="n">
        <v>7</v>
      </c>
      <c r="D3364" s="218" t="n">
        <v>130.58</v>
      </c>
      <c r="E3364" s="218" t="n">
        <v>4.21</v>
      </c>
      <c r="F3364" t="str">
        <v>https://re.jrc.ec.europa.eu/api/v5_3/PVcalc?lat=30.0444&amp;lon=31.2357&amp;peakpower=1&amp;loss=14&amp;angle=50&amp;aspect=180&amp;outputformat=json&amp;raddatabase=PVGIS-SARAH3&amp;pvtechchoice=crystSi&amp;mountingplace=free&amp;usehorizon=1</v>
      </c>
    </row>
    <row r="3365">
      <c r="A3365" t="n">
        <v>50</v>
      </c>
      <c r="B3365" t="n">
        <v>360</v>
      </c>
      <c r="C3365" t="n">
        <v>8</v>
      </c>
      <c r="D3365" s="218" t="n">
        <v>96.42</v>
      </c>
      <c r="E3365" s="218" t="n">
        <v>3.11</v>
      </c>
      <c r="F3365" t="str">
        <v>https://re.jrc.ec.europa.eu/api/v5_3/PVcalc?lat=30.0444&amp;lon=31.2357&amp;peakpower=1&amp;loss=14&amp;angle=50&amp;aspect=180&amp;outputformat=json&amp;raddatabase=PVGIS-SARAH3&amp;pvtechchoice=crystSi&amp;mountingplace=free&amp;usehorizon=1</v>
      </c>
    </row>
    <row r="3366">
      <c r="A3366" t="n">
        <v>50</v>
      </c>
      <c r="B3366" t="n">
        <v>360</v>
      </c>
      <c r="C3366" t="n">
        <v>9</v>
      </c>
      <c r="D3366" s="218" t="n">
        <v>49.38</v>
      </c>
      <c r="E3366" s="218" t="n">
        <v>1.65</v>
      </c>
      <c r="F3366" t="str">
        <v>https://re.jrc.ec.europa.eu/api/v5_3/PVcalc?lat=30.0444&amp;lon=31.2357&amp;peakpower=1&amp;loss=14&amp;angle=50&amp;aspect=180&amp;outputformat=json&amp;raddatabase=PVGIS-SARAH3&amp;pvtechchoice=crystSi&amp;mountingplace=free&amp;usehorizon=1</v>
      </c>
    </row>
    <row r="3367">
      <c r="A3367" t="n">
        <v>50</v>
      </c>
      <c r="B3367" t="n">
        <v>360</v>
      </c>
      <c r="C3367" t="n">
        <v>10</v>
      </c>
      <c r="D3367" s="218" t="n">
        <v>24.43</v>
      </c>
      <c r="E3367" s="218" t="n">
        <v>0.79</v>
      </c>
      <c r="F3367" t="str">
        <v>https://re.jrc.ec.europa.eu/api/v5_3/PVcalc?lat=30.0444&amp;lon=31.2357&amp;peakpower=1&amp;loss=14&amp;angle=50&amp;aspect=180&amp;outputformat=json&amp;raddatabase=PVGIS-SARAH3&amp;pvtechchoice=crystSi&amp;mountingplace=free&amp;usehorizon=1</v>
      </c>
    </row>
    <row r="3368">
      <c r="A3368" t="n">
        <v>50</v>
      </c>
      <c r="B3368" t="n">
        <v>360</v>
      </c>
      <c r="C3368" t="n">
        <v>11</v>
      </c>
      <c r="D3368" s="218" t="n">
        <v>20.47</v>
      </c>
      <c r="E3368" s="218" t="n">
        <v>0.68</v>
      </c>
      <c r="F3368" t="str">
        <v>https://re.jrc.ec.europa.eu/api/v5_3/PVcalc?lat=30.0444&amp;lon=31.2357&amp;peakpower=1&amp;loss=14&amp;angle=50&amp;aspect=180&amp;outputformat=json&amp;raddatabase=PVGIS-SARAH3&amp;pvtechchoice=crystSi&amp;mountingplace=free&amp;usehorizon=1</v>
      </c>
    </row>
    <row r="3369">
      <c r="A3369" t="n">
        <v>50</v>
      </c>
      <c r="B3369" t="n">
        <v>360</v>
      </c>
      <c r="C3369" t="n">
        <v>12</v>
      </c>
      <c r="D3369" s="218" t="n">
        <v>19.77</v>
      </c>
      <c r="E3369" s="218" t="n">
        <v>0.64</v>
      </c>
      <c r="F3369" t="str">
        <v>https://re.jrc.ec.europa.eu/api/v5_3/PVcalc?lat=30.0444&amp;lon=31.2357&amp;peakpower=1&amp;loss=14&amp;angle=50&amp;aspect=180&amp;outputformat=json&amp;raddatabase=PVGIS-SARAH3&amp;pvtechchoice=crystSi&amp;mountingplace=free&amp;usehorizon=1</v>
      </c>
    </row>
    <row r="3370">
      <c r="A3370" t="n">
        <v>55</v>
      </c>
      <c r="B3370" t="n">
        <v>0</v>
      </c>
      <c r="C3370" t="n">
        <v>1</v>
      </c>
      <c r="D3370" s="218" t="n">
        <v>20.03</v>
      </c>
      <c r="E3370" s="218" t="n">
        <v>0.65</v>
      </c>
      <c r="F3370" t="str">
        <v>https://re.jrc.ec.europa.eu/api/v5_3/PVcalc?lat=30.0444&amp;lon=31.2357&amp;peakpower=1&amp;loss=14&amp;angle=55&amp;aspect=-180&amp;outputformat=json&amp;raddatabase=PVGIS-SARAH3&amp;pvtechchoice=crystSi&amp;mountingplace=free&amp;usehorizon=1</v>
      </c>
    </row>
    <row r="3371">
      <c r="A3371" t="n">
        <v>55</v>
      </c>
      <c r="B3371" t="n">
        <v>0</v>
      </c>
      <c r="C3371" t="n">
        <v>2</v>
      </c>
      <c r="D3371" s="218" t="n">
        <v>23.23</v>
      </c>
      <c r="E3371" s="218" t="n">
        <v>0.83</v>
      </c>
      <c r="F3371" t="str">
        <v>https://re.jrc.ec.europa.eu/api/v5_3/PVcalc?lat=30.0444&amp;lon=31.2357&amp;peakpower=1&amp;loss=14&amp;angle=55&amp;aspect=-180&amp;outputformat=json&amp;raddatabase=PVGIS-SARAH3&amp;pvtechchoice=crystSi&amp;mountingplace=free&amp;usehorizon=1</v>
      </c>
    </row>
    <row r="3372">
      <c r="A3372" t="n">
        <v>55</v>
      </c>
      <c r="B3372" t="n">
        <v>0</v>
      </c>
      <c r="C3372" t="n">
        <v>3</v>
      </c>
      <c r="D3372" s="218" t="n">
        <v>33.35</v>
      </c>
      <c r="E3372" s="218" t="n">
        <v>1.08</v>
      </c>
      <c r="F3372" t="str">
        <v>https://re.jrc.ec.europa.eu/api/v5_3/PVcalc?lat=30.0444&amp;lon=31.2357&amp;peakpower=1&amp;loss=14&amp;angle=55&amp;aspect=-180&amp;outputformat=json&amp;raddatabase=PVGIS-SARAH3&amp;pvtechchoice=crystSi&amp;mountingplace=free&amp;usehorizon=1</v>
      </c>
    </row>
    <row r="3373">
      <c r="A3373" t="n">
        <v>55</v>
      </c>
      <c r="B3373" t="n">
        <v>0</v>
      </c>
      <c r="C3373" t="n">
        <v>4</v>
      </c>
      <c r="D3373" s="218" t="n">
        <v>67.92</v>
      </c>
      <c r="E3373" s="218" t="n">
        <v>2.26</v>
      </c>
      <c r="F3373" t="str">
        <v>https://re.jrc.ec.europa.eu/api/v5_3/PVcalc?lat=30.0444&amp;lon=31.2357&amp;peakpower=1&amp;loss=14&amp;angle=55&amp;aspect=-180&amp;outputformat=json&amp;raddatabase=PVGIS-SARAH3&amp;pvtechchoice=crystSi&amp;mountingplace=free&amp;usehorizon=1</v>
      </c>
    </row>
    <row r="3374">
      <c r="A3374" t="n">
        <v>55</v>
      </c>
      <c r="B3374" t="n">
        <v>0</v>
      </c>
      <c r="C3374" t="n">
        <v>5</v>
      </c>
      <c r="D3374" s="218" t="n">
        <v>108.05</v>
      </c>
      <c r="E3374" s="218" t="n">
        <v>3.49</v>
      </c>
      <c r="F3374" t="str">
        <v>https://re.jrc.ec.europa.eu/api/v5_3/PVcalc?lat=30.0444&amp;lon=31.2357&amp;peakpower=1&amp;loss=14&amp;angle=55&amp;aspect=-180&amp;outputformat=json&amp;raddatabase=PVGIS-SARAH3&amp;pvtechchoice=crystSi&amp;mountingplace=free&amp;usehorizon=1</v>
      </c>
    </row>
    <row r="3375">
      <c r="A3375" t="n">
        <v>55</v>
      </c>
      <c r="B3375" t="n">
        <v>0</v>
      </c>
      <c r="C3375" t="n">
        <v>6</v>
      </c>
      <c r="D3375" s="218" t="n">
        <v>124.64</v>
      </c>
      <c r="E3375" s="218" t="n">
        <v>4.15</v>
      </c>
      <c r="F3375" t="str">
        <v>https://re.jrc.ec.europa.eu/api/v5_3/PVcalc?lat=30.0444&amp;lon=31.2357&amp;peakpower=1&amp;loss=14&amp;angle=55&amp;aspect=-180&amp;outputformat=json&amp;raddatabase=PVGIS-SARAH3&amp;pvtechchoice=crystSi&amp;mountingplace=free&amp;usehorizon=1</v>
      </c>
    </row>
    <row r="3376">
      <c r="A3376" t="n">
        <v>55</v>
      </c>
      <c r="B3376" t="n">
        <v>0</v>
      </c>
      <c r="C3376" t="n">
        <v>7</v>
      </c>
      <c r="D3376" s="218" t="n">
        <v>118.8</v>
      </c>
      <c r="E3376" s="218" t="n">
        <v>3.83</v>
      </c>
      <c r="F3376" t="str">
        <v>https://re.jrc.ec.europa.eu/api/v5_3/PVcalc?lat=30.0444&amp;lon=31.2357&amp;peakpower=1&amp;loss=14&amp;angle=55&amp;aspect=-180&amp;outputformat=json&amp;raddatabase=PVGIS-SARAH3&amp;pvtechchoice=crystSi&amp;mountingplace=free&amp;usehorizon=1</v>
      </c>
    </row>
    <row r="3377">
      <c r="A3377" t="n">
        <v>55</v>
      </c>
      <c r="B3377" t="n">
        <v>0</v>
      </c>
      <c r="C3377" t="n">
        <v>8</v>
      </c>
      <c r="D3377" s="218" t="n">
        <v>83.14</v>
      </c>
      <c r="E3377" s="218" t="n">
        <v>2.68</v>
      </c>
      <c r="F3377" t="str">
        <v>https://re.jrc.ec.europa.eu/api/v5_3/PVcalc?lat=30.0444&amp;lon=31.2357&amp;peakpower=1&amp;loss=14&amp;angle=55&amp;aspect=-180&amp;outputformat=json&amp;raddatabase=PVGIS-SARAH3&amp;pvtechchoice=crystSi&amp;mountingplace=free&amp;usehorizon=1</v>
      </c>
    </row>
    <row r="3378">
      <c r="A3378" t="n">
        <v>55</v>
      </c>
      <c r="B3378" t="n">
        <v>0</v>
      </c>
      <c r="C3378" t="n">
        <v>9</v>
      </c>
      <c r="D3378" s="218" t="n">
        <v>37.69</v>
      </c>
      <c r="E3378" s="218" t="n">
        <v>1.26</v>
      </c>
      <c r="F3378" t="str">
        <v>https://re.jrc.ec.europa.eu/api/v5_3/PVcalc?lat=30.0444&amp;lon=31.2357&amp;peakpower=1&amp;loss=14&amp;angle=55&amp;aspect=-180&amp;outputformat=json&amp;raddatabase=PVGIS-SARAH3&amp;pvtechchoice=crystSi&amp;mountingplace=free&amp;usehorizon=1</v>
      </c>
    </row>
    <row r="3379">
      <c r="A3379" t="n">
        <v>55</v>
      </c>
      <c r="B3379" t="n">
        <v>0</v>
      </c>
      <c r="C3379" t="n">
        <v>10</v>
      </c>
      <c r="D3379" s="218" t="n">
        <v>23.04</v>
      </c>
      <c r="E3379" s="218" t="n">
        <v>0.74</v>
      </c>
      <c r="F3379" t="str">
        <v>https://re.jrc.ec.europa.eu/api/v5_3/PVcalc?lat=30.0444&amp;lon=31.2357&amp;peakpower=1&amp;loss=14&amp;angle=55&amp;aspect=-180&amp;outputformat=json&amp;raddatabase=PVGIS-SARAH3&amp;pvtechchoice=crystSi&amp;mountingplace=free&amp;usehorizon=1</v>
      </c>
    </row>
    <row r="3380">
      <c r="A3380" t="n">
        <v>55</v>
      </c>
      <c r="B3380" t="n">
        <v>0</v>
      </c>
      <c r="C3380" t="n">
        <v>11</v>
      </c>
      <c r="D3380" s="218" t="n">
        <v>19.24</v>
      </c>
      <c r="E3380" s="218" t="n">
        <v>0.64</v>
      </c>
      <c r="F3380" t="str">
        <v>https://re.jrc.ec.europa.eu/api/v5_3/PVcalc?lat=30.0444&amp;lon=31.2357&amp;peakpower=1&amp;loss=14&amp;angle=55&amp;aspect=-180&amp;outputformat=json&amp;raddatabase=PVGIS-SARAH3&amp;pvtechchoice=crystSi&amp;mountingplace=free&amp;usehorizon=1</v>
      </c>
    </row>
    <row r="3381">
      <c r="A3381" t="n">
        <v>55</v>
      </c>
      <c r="B3381" t="n">
        <v>0</v>
      </c>
      <c r="C3381" t="n">
        <v>12</v>
      </c>
      <c r="D3381" s="218" t="n">
        <v>18.57</v>
      </c>
      <c r="E3381" s="218" t="n">
        <v>0.6</v>
      </c>
      <c r="F3381" t="str">
        <v>https://re.jrc.ec.europa.eu/api/v5_3/PVcalc?lat=30.0444&amp;lon=31.2357&amp;peakpower=1&amp;loss=14&amp;angle=55&amp;aspect=-180&amp;outputformat=json&amp;raddatabase=PVGIS-SARAH3&amp;pvtechchoice=crystSi&amp;mountingplace=free&amp;usehorizon=1</v>
      </c>
    </row>
    <row r="3382">
      <c r="A3382" t="n">
        <v>55</v>
      </c>
      <c r="B3382" t="n">
        <v>15</v>
      </c>
      <c r="C3382" t="n">
        <v>1</v>
      </c>
      <c r="D3382" s="218" t="n">
        <v>20.03</v>
      </c>
      <c r="E3382" s="218" t="n">
        <v>0.65</v>
      </c>
      <c r="F3382" t="str">
        <v>https://re.jrc.ec.europa.eu/api/v5_3/PVcalc?lat=30.0444&amp;lon=31.2357&amp;peakpower=1&amp;loss=14&amp;angle=55&amp;aspect=-165&amp;outputformat=json&amp;raddatabase=PVGIS-SARAH3&amp;pvtechchoice=crystSi&amp;mountingplace=free&amp;usehorizon=1</v>
      </c>
    </row>
    <row r="3383">
      <c r="A3383" t="n">
        <v>55</v>
      </c>
      <c r="B3383" t="n">
        <v>15</v>
      </c>
      <c r="C3383" t="n">
        <v>2</v>
      </c>
      <c r="D3383" s="218" t="n">
        <v>23.56</v>
      </c>
      <c r="E3383" s="218" t="n">
        <v>0.84</v>
      </c>
      <c r="F3383" t="str">
        <v>https://re.jrc.ec.europa.eu/api/v5_3/PVcalc?lat=30.0444&amp;lon=31.2357&amp;peakpower=1&amp;loss=14&amp;angle=55&amp;aspect=-165&amp;outputformat=json&amp;raddatabase=PVGIS-SARAH3&amp;pvtechchoice=crystSi&amp;mountingplace=free&amp;usehorizon=1</v>
      </c>
    </row>
    <row r="3384">
      <c r="A3384" t="n">
        <v>55</v>
      </c>
      <c r="B3384" t="n">
        <v>15</v>
      </c>
      <c r="C3384" t="n">
        <v>3</v>
      </c>
      <c r="D3384" s="218" t="n">
        <v>40.58</v>
      </c>
      <c r="E3384" s="218" t="n">
        <v>1.31</v>
      </c>
      <c r="F3384" t="str">
        <v>https://re.jrc.ec.europa.eu/api/v5_3/PVcalc?lat=30.0444&amp;lon=31.2357&amp;peakpower=1&amp;loss=14&amp;angle=55&amp;aspect=-165&amp;outputformat=json&amp;raddatabase=PVGIS-SARAH3&amp;pvtechchoice=crystSi&amp;mountingplace=free&amp;usehorizon=1</v>
      </c>
    </row>
    <row r="3385">
      <c r="A3385" t="n">
        <v>55</v>
      </c>
      <c r="B3385" t="n">
        <v>15</v>
      </c>
      <c r="C3385" t="n">
        <v>4</v>
      </c>
      <c r="D3385" s="218" t="n">
        <v>70.39</v>
      </c>
      <c r="E3385" s="218" t="n">
        <v>2.35</v>
      </c>
      <c r="F3385" t="str">
        <v>https://re.jrc.ec.europa.eu/api/v5_3/PVcalc?lat=30.0444&amp;lon=31.2357&amp;peakpower=1&amp;loss=14&amp;angle=55&amp;aspect=-165&amp;outputformat=json&amp;raddatabase=PVGIS-SARAH3&amp;pvtechchoice=crystSi&amp;mountingplace=free&amp;usehorizon=1</v>
      </c>
    </row>
    <row r="3386">
      <c r="A3386" t="n">
        <v>55</v>
      </c>
      <c r="B3386" t="n">
        <v>15</v>
      </c>
      <c r="C3386" t="n">
        <v>5</v>
      </c>
      <c r="D3386" s="218" t="n">
        <v>106.69</v>
      </c>
      <c r="E3386" s="218" t="n">
        <v>3.44</v>
      </c>
      <c r="F3386" t="str">
        <v>https://re.jrc.ec.europa.eu/api/v5_3/PVcalc?lat=30.0444&amp;lon=31.2357&amp;peakpower=1&amp;loss=14&amp;angle=55&amp;aspect=-165&amp;outputformat=json&amp;raddatabase=PVGIS-SARAH3&amp;pvtechchoice=crystSi&amp;mountingplace=free&amp;usehorizon=1</v>
      </c>
    </row>
    <row r="3387">
      <c r="A3387" t="n">
        <v>55</v>
      </c>
      <c r="B3387" t="n">
        <v>15</v>
      </c>
      <c r="C3387" t="n">
        <v>6</v>
      </c>
      <c r="D3387" s="218" t="n">
        <v>121.06</v>
      </c>
      <c r="E3387" s="218" t="n">
        <v>4.04</v>
      </c>
      <c r="F3387" t="str">
        <v>https://re.jrc.ec.europa.eu/api/v5_3/PVcalc?lat=30.0444&amp;lon=31.2357&amp;peakpower=1&amp;loss=14&amp;angle=55&amp;aspect=-165&amp;outputformat=json&amp;raddatabase=PVGIS-SARAH3&amp;pvtechchoice=crystSi&amp;mountingplace=free&amp;usehorizon=1</v>
      </c>
    </row>
    <row r="3388">
      <c r="A3388" t="n">
        <v>55</v>
      </c>
      <c r="B3388" t="n">
        <v>15</v>
      </c>
      <c r="C3388" t="n">
        <v>7</v>
      </c>
      <c r="D3388" s="218" t="n">
        <v>114.69</v>
      </c>
      <c r="E3388" s="218" t="n">
        <v>3.7</v>
      </c>
      <c r="F3388" t="str">
        <v>https://re.jrc.ec.europa.eu/api/v5_3/PVcalc?lat=30.0444&amp;lon=31.2357&amp;peakpower=1&amp;loss=14&amp;angle=55&amp;aspect=-165&amp;outputformat=json&amp;raddatabase=PVGIS-SARAH3&amp;pvtechchoice=crystSi&amp;mountingplace=free&amp;usehorizon=1</v>
      </c>
    </row>
    <row r="3389">
      <c r="A3389" t="n">
        <v>55</v>
      </c>
      <c r="B3389" t="n">
        <v>15</v>
      </c>
      <c r="C3389" t="n">
        <v>8</v>
      </c>
      <c r="D3389" s="218" t="n">
        <v>82.48</v>
      </c>
      <c r="E3389" s="218" t="n">
        <v>2.66</v>
      </c>
      <c r="F3389" t="str">
        <v>https://re.jrc.ec.europa.eu/api/v5_3/PVcalc?lat=30.0444&amp;lon=31.2357&amp;peakpower=1&amp;loss=14&amp;angle=55&amp;aspect=-165&amp;outputformat=json&amp;raddatabase=PVGIS-SARAH3&amp;pvtechchoice=crystSi&amp;mountingplace=free&amp;usehorizon=1</v>
      </c>
    </row>
    <row r="3390">
      <c r="A3390" t="n">
        <v>55</v>
      </c>
      <c r="B3390" t="n">
        <v>15</v>
      </c>
      <c r="C3390" t="n">
        <v>9</v>
      </c>
      <c r="D3390" s="218" t="n">
        <v>44.73</v>
      </c>
      <c r="E3390" s="218" t="n">
        <v>1.49</v>
      </c>
      <c r="F3390" t="str">
        <v>https://re.jrc.ec.europa.eu/api/v5_3/PVcalc?lat=30.0444&amp;lon=31.2357&amp;peakpower=1&amp;loss=14&amp;angle=55&amp;aspect=-165&amp;outputformat=json&amp;raddatabase=PVGIS-SARAH3&amp;pvtechchoice=crystSi&amp;mountingplace=free&amp;usehorizon=1</v>
      </c>
    </row>
    <row r="3391">
      <c r="A3391" t="n">
        <v>55</v>
      </c>
      <c r="B3391" t="n">
        <v>15</v>
      </c>
      <c r="C3391" t="n">
        <v>10</v>
      </c>
      <c r="D3391" s="218" t="n">
        <v>25.37</v>
      </c>
      <c r="E3391" s="218" t="n">
        <v>0.82</v>
      </c>
      <c r="F3391" t="str">
        <v>https://re.jrc.ec.europa.eu/api/v5_3/PVcalc?lat=30.0444&amp;lon=31.2357&amp;peakpower=1&amp;loss=14&amp;angle=55&amp;aspect=-165&amp;outputformat=json&amp;raddatabase=PVGIS-SARAH3&amp;pvtechchoice=crystSi&amp;mountingplace=free&amp;usehorizon=1</v>
      </c>
    </row>
    <row r="3392">
      <c r="A3392" t="n">
        <v>55</v>
      </c>
      <c r="B3392" t="n">
        <v>15</v>
      </c>
      <c r="C3392" t="n">
        <v>11</v>
      </c>
      <c r="D3392" s="218" t="n">
        <v>19.24</v>
      </c>
      <c r="E3392" s="218" t="n">
        <v>0.64</v>
      </c>
      <c r="F3392" t="str">
        <v>https://re.jrc.ec.europa.eu/api/v5_3/PVcalc?lat=30.0444&amp;lon=31.2357&amp;peakpower=1&amp;loss=14&amp;angle=55&amp;aspect=-165&amp;outputformat=json&amp;raddatabase=PVGIS-SARAH3&amp;pvtechchoice=crystSi&amp;mountingplace=free&amp;usehorizon=1</v>
      </c>
    </row>
    <row r="3393">
      <c r="A3393" t="n">
        <v>55</v>
      </c>
      <c r="B3393" t="n">
        <v>15</v>
      </c>
      <c r="C3393" t="n">
        <v>12</v>
      </c>
      <c r="D3393" s="218" t="n">
        <v>18.57</v>
      </c>
      <c r="E3393" s="218" t="n">
        <v>0.6</v>
      </c>
      <c r="F3393" t="str">
        <v>https://re.jrc.ec.europa.eu/api/v5_3/PVcalc?lat=30.0444&amp;lon=31.2357&amp;peakpower=1&amp;loss=14&amp;angle=55&amp;aspect=-165&amp;outputformat=json&amp;raddatabase=PVGIS-SARAH3&amp;pvtechchoice=crystSi&amp;mountingplace=free&amp;usehorizon=1</v>
      </c>
    </row>
    <row r="3394">
      <c r="A3394" t="n">
        <v>55</v>
      </c>
      <c r="B3394" t="n">
        <v>30</v>
      </c>
      <c r="C3394" t="n">
        <v>1</v>
      </c>
      <c r="D3394" s="218" t="n">
        <v>20.9</v>
      </c>
      <c r="E3394" s="218" t="n">
        <v>0.67</v>
      </c>
      <c r="F3394" t="str">
        <v>https://re.jrc.ec.europa.eu/api/v5_3/PVcalc?lat=30.0444&amp;lon=31.2357&amp;peakpower=1&amp;loss=14&amp;angle=55&amp;aspect=-150&amp;outputformat=json&amp;raddatabase=PVGIS-SARAH3&amp;pvtechchoice=crystSi&amp;mountingplace=free&amp;usehorizon=1</v>
      </c>
    </row>
    <row r="3395">
      <c r="A3395" t="n">
        <v>55</v>
      </c>
      <c r="B3395" t="n">
        <v>30</v>
      </c>
      <c r="C3395" t="n">
        <v>2</v>
      </c>
      <c r="D3395" s="218" t="n">
        <v>30.01</v>
      </c>
      <c r="E3395" s="218" t="n">
        <v>1.07</v>
      </c>
      <c r="F3395" t="str">
        <v>https://re.jrc.ec.europa.eu/api/v5_3/PVcalc?lat=30.0444&amp;lon=31.2357&amp;peakpower=1&amp;loss=14&amp;angle=55&amp;aspect=-150&amp;outputformat=json&amp;raddatabase=PVGIS-SARAH3&amp;pvtechchoice=crystSi&amp;mountingplace=free&amp;usehorizon=1</v>
      </c>
    </row>
    <row r="3396">
      <c r="A3396" t="n">
        <v>55</v>
      </c>
      <c r="B3396" t="n">
        <v>30</v>
      </c>
      <c r="C3396" t="n">
        <v>3</v>
      </c>
      <c r="D3396" s="218" t="n">
        <v>54.62</v>
      </c>
      <c r="E3396" s="218" t="n">
        <v>1.76</v>
      </c>
      <c r="F3396" t="str">
        <v>https://re.jrc.ec.europa.eu/api/v5_3/PVcalc?lat=30.0444&amp;lon=31.2357&amp;peakpower=1&amp;loss=14&amp;angle=55&amp;aspect=-150&amp;outputformat=json&amp;raddatabase=PVGIS-SARAH3&amp;pvtechchoice=crystSi&amp;mountingplace=free&amp;usehorizon=1</v>
      </c>
    </row>
    <row r="3397">
      <c r="A3397" t="n">
        <v>55</v>
      </c>
      <c r="B3397" t="n">
        <v>30</v>
      </c>
      <c r="C3397" t="n">
        <v>4</v>
      </c>
      <c r="D3397" s="218" t="n">
        <v>80.39</v>
      </c>
      <c r="E3397" s="218" t="n">
        <v>2.68</v>
      </c>
      <c r="F3397" t="str">
        <v>https://re.jrc.ec.europa.eu/api/v5_3/PVcalc?lat=30.0444&amp;lon=31.2357&amp;peakpower=1&amp;loss=14&amp;angle=55&amp;aspect=-150&amp;outputformat=json&amp;raddatabase=PVGIS-SARAH3&amp;pvtechchoice=crystSi&amp;mountingplace=free&amp;usehorizon=1</v>
      </c>
    </row>
    <row r="3398">
      <c r="A3398" t="n">
        <v>55</v>
      </c>
      <c r="B3398" t="n">
        <v>30</v>
      </c>
      <c r="C3398" t="n">
        <v>5</v>
      </c>
      <c r="D3398" s="218" t="n">
        <v>108.92</v>
      </c>
      <c r="E3398" s="218" t="n">
        <v>3.51</v>
      </c>
      <c r="F3398" t="str">
        <v>https://re.jrc.ec.europa.eu/api/v5_3/PVcalc?lat=30.0444&amp;lon=31.2357&amp;peakpower=1&amp;loss=14&amp;angle=55&amp;aspect=-150&amp;outputformat=json&amp;raddatabase=PVGIS-SARAH3&amp;pvtechchoice=crystSi&amp;mountingplace=free&amp;usehorizon=1</v>
      </c>
    </row>
    <row r="3399">
      <c r="A3399" t="n">
        <v>55</v>
      </c>
      <c r="B3399" t="n">
        <v>30</v>
      </c>
      <c r="C3399" t="n">
        <v>6</v>
      </c>
      <c r="D3399" s="218" t="n">
        <v>118.5</v>
      </c>
      <c r="E3399" s="218" t="n">
        <v>3.95</v>
      </c>
      <c r="F3399" t="str">
        <v>https://re.jrc.ec.europa.eu/api/v5_3/PVcalc?lat=30.0444&amp;lon=31.2357&amp;peakpower=1&amp;loss=14&amp;angle=55&amp;aspect=-150&amp;outputformat=json&amp;raddatabase=PVGIS-SARAH3&amp;pvtechchoice=crystSi&amp;mountingplace=free&amp;usehorizon=1</v>
      </c>
    </row>
    <row r="3400">
      <c r="A3400" t="n">
        <v>55</v>
      </c>
      <c r="B3400" t="n">
        <v>30</v>
      </c>
      <c r="C3400" t="n">
        <v>7</v>
      </c>
      <c r="D3400" s="218" t="n">
        <v>113.47</v>
      </c>
      <c r="E3400" s="218" t="n">
        <v>3.66</v>
      </c>
      <c r="F3400" t="str">
        <v>https://re.jrc.ec.europa.eu/api/v5_3/PVcalc?lat=30.0444&amp;lon=31.2357&amp;peakpower=1&amp;loss=14&amp;angle=55&amp;aspect=-150&amp;outputformat=json&amp;raddatabase=PVGIS-SARAH3&amp;pvtechchoice=crystSi&amp;mountingplace=free&amp;usehorizon=1</v>
      </c>
    </row>
    <row r="3401">
      <c r="A3401" t="n">
        <v>55</v>
      </c>
      <c r="B3401" t="n">
        <v>30</v>
      </c>
      <c r="C3401" t="n">
        <v>8</v>
      </c>
      <c r="D3401" s="218" t="n">
        <v>90.07</v>
      </c>
      <c r="E3401" s="218" t="n">
        <v>2.91</v>
      </c>
      <c r="F3401" t="str">
        <v>https://re.jrc.ec.europa.eu/api/v5_3/PVcalc?lat=30.0444&amp;lon=31.2357&amp;peakpower=1&amp;loss=14&amp;angle=55&amp;aspect=-150&amp;outputformat=json&amp;raddatabase=PVGIS-SARAH3&amp;pvtechchoice=crystSi&amp;mountingplace=free&amp;usehorizon=1</v>
      </c>
    </row>
    <row r="3402">
      <c r="A3402" t="n">
        <v>55</v>
      </c>
      <c r="B3402" t="n">
        <v>30</v>
      </c>
      <c r="C3402" t="n">
        <v>9</v>
      </c>
      <c r="D3402" s="218" t="n">
        <v>58.42</v>
      </c>
      <c r="E3402" s="218" t="n">
        <v>1.95</v>
      </c>
      <c r="F3402" t="str">
        <v>https://re.jrc.ec.europa.eu/api/v5_3/PVcalc?lat=30.0444&amp;lon=31.2357&amp;peakpower=1&amp;loss=14&amp;angle=55&amp;aspect=-150&amp;outputformat=json&amp;raddatabase=PVGIS-SARAH3&amp;pvtechchoice=crystSi&amp;mountingplace=free&amp;usehorizon=1</v>
      </c>
    </row>
    <row r="3403">
      <c r="A3403" t="n">
        <v>55</v>
      </c>
      <c r="B3403" t="n">
        <v>30</v>
      </c>
      <c r="C3403" t="n">
        <v>10</v>
      </c>
      <c r="D3403" s="218" t="n">
        <v>36.18</v>
      </c>
      <c r="E3403" s="218" t="n">
        <v>1.17</v>
      </c>
      <c r="F3403" t="str">
        <v>https://re.jrc.ec.europa.eu/api/v5_3/PVcalc?lat=30.0444&amp;lon=31.2357&amp;peakpower=1&amp;loss=14&amp;angle=55&amp;aspect=-150&amp;outputformat=json&amp;raddatabase=PVGIS-SARAH3&amp;pvtechchoice=crystSi&amp;mountingplace=free&amp;usehorizon=1</v>
      </c>
    </row>
    <row r="3404">
      <c r="A3404" t="n">
        <v>55</v>
      </c>
      <c r="B3404" t="n">
        <v>30</v>
      </c>
      <c r="C3404" t="n">
        <v>11</v>
      </c>
      <c r="D3404" s="218" t="n">
        <v>21.36</v>
      </c>
      <c r="E3404" s="218" t="n">
        <v>0.71</v>
      </c>
      <c r="F3404" t="str">
        <v>https://re.jrc.ec.europa.eu/api/v5_3/PVcalc?lat=30.0444&amp;lon=31.2357&amp;peakpower=1&amp;loss=14&amp;angle=55&amp;aspect=-150&amp;outputformat=json&amp;raddatabase=PVGIS-SARAH3&amp;pvtechchoice=crystSi&amp;mountingplace=free&amp;usehorizon=1</v>
      </c>
    </row>
    <row r="3405">
      <c r="A3405" t="n">
        <v>55</v>
      </c>
      <c r="B3405" t="n">
        <v>30</v>
      </c>
      <c r="C3405" t="n">
        <v>12</v>
      </c>
      <c r="D3405" s="218" t="n">
        <v>18.78</v>
      </c>
      <c r="E3405" s="218" t="n">
        <v>0.61</v>
      </c>
      <c r="F3405" t="str">
        <v>https://re.jrc.ec.europa.eu/api/v5_3/PVcalc?lat=30.0444&amp;lon=31.2357&amp;peakpower=1&amp;loss=14&amp;angle=55&amp;aspect=-150&amp;outputformat=json&amp;raddatabase=PVGIS-SARAH3&amp;pvtechchoice=crystSi&amp;mountingplace=free&amp;usehorizon=1</v>
      </c>
    </row>
    <row r="3406">
      <c r="A3406" t="n">
        <v>55</v>
      </c>
      <c r="B3406" t="n">
        <v>45</v>
      </c>
      <c r="C3406" t="n">
        <v>1</v>
      </c>
      <c r="D3406" s="218" t="n">
        <v>29.14</v>
      </c>
      <c r="E3406" s="218" t="n">
        <v>0.94</v>
      </c>
      <c r="F3406" t="str">
        <v>https://re.jrc.ec.europa.eu/api/v5_3/PVcalc?lat=30.0444&amp;lon=31.2357&amp;peakpower=1&amp;loss=14&amp;angle=55&amp;aspect=-135&amp;outputformat=json&amp;raddatabase=PVGIS-SARAH3&amp;pvtechchoice=crystSi&amp;mountingplace=free&amp;usehorizon=1</v>
      </c>
    </row>
    <row r="3407">
      <c r="A3407" t="n">
        <v>55</v>
      </c>
      <c r="B3407" t="n">
        <v>45</v>
      </c>
      <c r="C3407" t="n">
        <v>2</v>
      </c>
      <c r="D3407" s="218" t="n">
        <v>42.34</v>
      </c>
      <c r="E3407" s="218" t="n">
        <v>1.51</v>
      </c>
      <c r="F3407" t="str">
        <v>https://re.jrc.ec.europa.eu/api/v5_3/PVcalc?lat=30.0444&amp;lon=31.2357&amp;peakpower=1&amp;loss=14&amp;angle=55&amp;aspect=-135&amp;outputformat=json&amp;raddatabase=PVGIS-SARAH3&amp;pvtechchoice=crystSi&amp;mountingplace=free&amp;usehorizon=1</v>
      </c>
    </row>
    <row r="3408">
      <c r="A3408" t="n">
        <v>55</v>
      </c>
      <c r="B3408" t="n">
        <v>45</v>
      </c>
      <c r="C3408" t="n">
        <v>3</v>
      </c>
      <c r="D3408" s="218" t="n">
        <v>69.67</v>
      </c>
      <c r="E3408" s="218" t="n">
        <v>2.25</v>
      </c>
      <c r="F3408" t="str">
        <v>https://re.jrc.ec.europa.eu/api/v5_3/PVcalc?lat=30.0444&amp;lon=31.2357&amp;peakpower=1&amp;loss=14&amp;angle=55&amp;aspect=-135&amp;outputformat=json&amp;raddatabase=PVGIS-SARAH3&amp;pvtechchoice=crystSi&amp;mountingplace=free&amp;usehorizon=1</v>
      </c>
    </row>
    <row r="3409">
      <c r="A3409" t="n">
        <v>55</v>
      </c>
      <c r="B3409" t="n">
        <v>45</v>
      </c>
      <c r="C3409" t="n">
        <v>4</v>
      </c>
      <c r="D3409" s="218" t="n">
        <v>91.88</v>
      </c>
      <c r="E3409" s="218" t="n">
        <v>3.06</v>
      </c>
      <c r="F3409" t="str">
        <v>https://re.jrc.ec.europa.eu/api/v5_3/PVcalc?lat=30.0444&amp;lon=31.2357&amp;peakpower=1&amp;loss=14&amp;angle=55&amp;aspect=-135&amp;outputformat=json&amp;raddatabase=PVGIS-SARAH3&amp;pvtechchoice=crystSi&amp;mountingplace=free&amp;usehorizon=1</v>
      </c>
    </row>
    <row r="3410">
      <c r="A3410" t="n">
        <v>55</v>
      </c>
      <c r="B3410" t="n">
        <v>45</v>
      </c>
      <c r="C3410" t="n">
        <v>5</v>
      </c>
      <c r="D3410" s="218" t="n">
        <v>116.12</v>
      </c>
      <c r="E3410" s="218" t="n">
        <v>3.75</v>
      </c>
      <c r="F3410" t="str">
        <v>https://re.jrc.ec.europa.eu/api/v5_3/PVcalc?lat=30.0444&amp;lon=31.2357&amp;peakpower=1&amp;loss=14&amp;angle=55&amp;aspect=-135&amp;outputformat=json&amp;raddatabase=PVGIS-SARAH3&amp;pvtechchoice=crystSi&amp;mountingplace=free&amp;usehorizon=1</v>
      </c>
    </row>
    <row r="3411">
      <c r="A3411" t="n">
        <v>55</v>
      </c>
      <c r="B3411" t="n">
        <v>45</v>
      </c>
      <c r="C3411" t="n">
        <v>6</v>
      </c>
      <c r="D3411" s="218" t="n">
        <v>122.47</v>
      </c>
      <c r="E3411" s="218" t="n">
        <v>4.08</v>
      </c>
      <c r="F3411" t="str">
        <v>https://re.jrc.ec.europa.eu/api/v5_3/PVcalc?lat=30.0444&amp;lon=31.2357&amp;peakpower=1&amp;loss=14&amp;angle=55&amp;aspect=-135&amp;outputformat=json&amp;raddatabase=PVGIS-SARAH3&amp;pvtechchoice=crystSi&amp;mountingplace=free&amp;usehorizon=1</v>
      </c>
    </row>
    <row r="3412">
      <c r="A3412" t="n">
        <v>55</v>
      </c>
      <c r="B3412" t="n">
        <v>45</v>
      </c>
      <c r="C3412" t="n">
        <v>7</v>
      </c>
      <c r="D3412" s="218" t="n">
        <v>118.97</v>
      </c>
      <c r="E3412" s="218" t="n">
        <v>3.84</v>
      </c>
      <c r="F3412" t="str">
        <v>https://re.jrc.ec.europa.eu/api/v5_3/PVcalc?lat=30.0444&amp;lon=31.2357&amp;peakpower=1&amp;loss=14&amp;angle=55&amp;aspect=-135&amp;outputformat=json&amp;raddatabase=PVGIS-SARAH3&amp;pvtechchoice=crystSi&amp;mountingplace=free&amp;usehorizon=1</v>
      </c>
    </row>
    <row r="3413">
      <c r="A3413" t="n">
        <v>55</v>
      </c>
      <c r="B3413" t="n">
        <v>45</v>
      </c>
      <c r="C3413" t="n">
        <v>8</v>
      </c>
      <c r="D3413" s="218" t="n">
        <v>100.79</v>
      </c>
      <c r="E3413" s="218" t="n">
        <v>3.25</v>
      </c>
      <c r="F3413" t="str">
        <v>https://re.jrc.ec.europa.eu/api/v5_3/PVcalc?lat=30.0444&amp;lon=31.2357&amp;peakpower=1&amp;loss=14&amp;angle=55&amp;aspect=-135&amp;outputformat=json&amp;raddatabase=PVGIS-SARAH3&amp;pvtechchoice=crystSi&amp;mountingplace=free&amp;usehorizon=1</v>
      </c>
    </row>
    <row r="3414">
      <c r="A3414" t="n">
        <v>55</v>
      </c>
      <c r="B3414" t="n">
        <v>45</v>
      </c>
      <c r="C3414" t="n">
        <v>9</v>
      </c>
      <c r="D3414" s="218" t="n">
        <v>72.59</v>
      </c>
      <c r="E3414" s="218" t="n">
        <v>2.42</v>
      </c>
      <c r="F3414" t="str">
        <v>https://re.jrc.ec.europa.eu/api/v5_3/PVcalc?lat=30.0444&amp;lon=31.2357&amp;peakpower=1&amp;loss=14&amp;angle=55&amp;aspect=-135&amp;outputformat=json&amp;raddatabase=PVGIS-SARAH3&amp;pvtechchoice=crystSi&amp;mountingplace=free&amp;usehorizon=1</v>
      </c>
    </row>
    <row r="3415">
      <c r="A3415" t="n">
        <v>55</v>
      </c>
      <c r="B3415" t="n">
        <v>45</v>
      </c>
      <c r="C3415" t="n">
        <v>10</v>
      </c>
      <c r="D3415" s="218" t="n">
        <v>51.21</v>
      </c>
      <c r="E3415" s="218" t="n">
        <v>1.65</v>
      </c>
      <c r="F3415" t="str">
        <v>https://re.jrc.ec.europa.eu/api/v5_3/PVcalc?lat=30.0444&amp;lon=31.2357&amp;peakpower=1&amp;loss=14&amp;angle=55&amp;aspect=-135&amp;outputformat=json&amp;raddatabase=PVGIS-SARAH3&amp;pvtechchoice=crystSi&amp;mountingplace=free&amp;usehorizon=1</v>
      </c>
    </row>
    <row r="3416">
      <c r="A3416" t="n">
        <v>55</v>
      </c>
      <c r="B3416" t="n">
        <v>45</v>
      </c>
      <c r="C3416" t="n">
        <v>11</v>
      </c>
      <c r="D3416" s="218" t="n">
        <v>31.83</v>
      </c>
      <c r="E3416" s="218" t="n">
        <v>1.06</v>
      </c>
      <c r="F3416" t="str">
        <v>https://re.jrc.ec.europa.eu/api/v5_3/PVcalc?lat=30.0444&amp;lon=31.2357&amp;peakpower=1&amp;loss=14&amp;angle=55&amp;aspect=-135&amp;outputformat=json&amp;raddatabase=PVGIS-SARAH3&amp;pvtechchoice=crystSi&amp;mountingplace=free&amp;usehorizon=1</v>
      </c>
    </row>
    <row r="3417">
      <c r="A3417" t="n">
        <v>55</v>
      </c>
      <c r="B3417" t="n">
        <v>45</v>
      </c>
      <c r="C3417" t="n">
        <v>12</v>
      </c>
      <c r="D3417" s="218" t="n">
        <v>25.41</v>
      </c>
      <c r="E3417" s="218" t="n">
        <v>0.82</v>
      </c>
      <c r="F3417" t="str">
        <v>https://re.jrc.ec.europa.eu/api/v5_3/PVcalc?lat=30.0444&amp;lon=31.2357&amp;peakpower=1&amp;loss=14&amp;angle=55&amp;aspect=-135&amp;outputformat=json&amp;raddatabase=PVGIS-SARAH3&amp;pvtechchoice=crystSi&amp;mountingplace=free&amp;usehorizon=1</v>
      </c>
    </row>
    <row r="3418">
      <c r="A3418" t="n">
        <v>55</v>
      </c>
      <c r="B3418" t="n">
        <v>60</v>
      </c>
      <c r="C3418" t="n">
        <v>1</v>
      </c>
      <c r="D3418" s="218" t="n">
        <v>42.93</v>
      </c>
      <c r="E3418" s="218" t="n">
        <v>1.38</v>
      </c>
      <c r="F3418" t="str">
        <v>https://re.jrc.ec.europa.eu/api/v5_3/PVcalc?lat=30.0444&amp;lon=31.2357&amp;peakpower=1&amp;loss=14&amp;angle=55&amp;aspect=-120&amp;outputformat=json&amp;raddatabase=PVGIS-SARAH3&amp;pvtechchoice=crystSi&amp;mountingplace=free&amp;usehorizon=1</v>
      </c>
    </row>
    <row r="3419">
      <c r="A3419" t="n">
        <v>55</v>
      </c>
      <c r="B3419" t="n">
        <v>60</v>
      </c>
      <c r="C3419" t="n">
        <v>2</v>
      </c>
      <c r="D3419" s="218" t="n">
        <v>56.44</v>
      </c>
      <c r="E3419" s="218" t="n">
        <v>2.02</v>
      </c>
      <c r="F3419" t="str">
        <v>https://re.jrc.ec.europa.eu/api/v5_3/PVcalc?lat=30.0444&amp;lon=31.2357&amp;peakpower=1&amp;loss=14&amp;angle=55&amp;aspect=-120&amp;outputformat=json&amp;raddatabase=PVGIS-SARAH3&amp;pvtechchoice=crystSi&amp;mountingplace=free&amp;usehorizon=1</v>
      </c>
    </row>
    <row r="3420">
      <c r="A3420" t="n">
        <v>55</v>
      </c>
      <c r="B3420" t="n">
        <v>60</v>
      </c>
      <c r="C3420" t="n">
        <v>3</v>
      </c>
      <c r="D3420" s="218" t="n">
        <v>84.23</v>
      </c>
      <c r="E3420" s="218" t="n">
        <v>2.72</v>
      </c>
      <c r="F3420" t="str">
        <v>https://re.jrc.ec.europa.eu/api/v5_3/PVcalc?lat=30.0444&amp;lon=31.2357&amp;peakpower=1&amp;loss=14&amp;angle=55&amp;aspect=-120&amp;outputformat=json&amp;raddatabase=PVGIS-SARAH3&amp;pvtechchoice=crystSi&amp;mountingplace=free&amp;usehorizon=1</v>
      </c>
    </row>
    <row r="3421">
      <c r="A3421" t="n">
        <v>55</v>
      </c>
      <c r="B3421" t="n">
        <v>60</v>
      </c>
      <c r="C3421" t="n">
        <v>4</v>
      </c>
      <c r="D3421" s="218" t="n">
        <v>102.75</v>
      </c>
      <c r="E3421" s="218" t="n">
        <v>3.42</v>
      </c>
      <c r="F3421" t="str">
        <v>https://re.jrc.ec.europa.eu/api/v5_3/PVcalc?lat=30.0444&amp;lon=31.2357&amp;peakpower=1&amp;loss=14&amp;angle=55&amp;aspect=-120&amp;outputformat=json&amp;raddatabase=PVGIS-SARAH3&amp;pvtechchoice=crystSi&amp;mountingplace=free&amp;usehorizon=1</v>
      </c>
    </row>
    <row r="3422">
      <c r="A3422" t="n">
        <v>55</v>
      </c>
      <c r="B3422" t="n">
        <v>60</v>
      </c>
      <c r="C3422" t="n">
        <v>5</v>
      </c>
      <c r="D3422" s="218" t="n">
        <v>123.17</v>
      </c>
      <c r="E3422" s="218" t="n">
        <v>3.97</v>
      </c>
      <c r="F3422" t="str">
        <v>https://re.jrc.ec.europa.eu/api/v5_3/PVcalc?lat=30.0444&amp;lon=31.2357&amp;peakpower=1&amp;loss=14&amp;angle=55&amp;aspect=-120&amp;outputformat=json&amp;raddatabase=PVGIS-SARAH3&amp;pvtechchoice=crystSi&amp;mountingplace=free&amp;usehorizon=1</v>
      </c>
    </row>
    <row r="3423">
      <c r="A3423" t="n">
        <v>55</v>
      </c>
      <c r="B3423" t="n">
        <v>60</v>
      </c>
      <c r="C3423" t="n">
        <v>6</v>
      </c>
      <c r="D3423" s="218" t="n">
        <v>127.61</v>
      </c>
      <c r="E3423" s="218" t="n">
        <v>4.25</v>
      </c>
      <c r="F3423" t="str">
        <v>https://re.jrc.ec.europa.eu/api/v5_3/PVcalc?lat=30.0444&amp;lon=31.2357&amp;peakpower=1&amp;loss=14&amp;angle=55&amp;aspect=-120&amp;outputformat=json&amp;raddatabase=PVGIS-SARAH3&amp;pvtechchoice=crystSi&amp;mountingplace=free&amp;usehorizon=1</v>
      </c>
    </row>
    <row r="3424">
      <c r="A3424" t="n">
        <v>55</v>
      </c>
      <c r="B3424" t="n">
        <v>60</v>
      </c>
      <c r="C3424" t="n">
        <v>7</v>
      </c>
      <c r="D3424" s="218" t="n">
        <v>125.24</v>
      </c>
      <c r="E3424" s="218" t="n">
        <v>4.04</v>
      </c>
      <c r="F3424" t="str">
        <v>https://re.jrc.ec.europa.eu/api/v5_3/PVcalc?lat=30.0444&amp;lon=31.2357&amp;peakpower=1&amp;loss=14&amp;angle=55&amp;aspect=-120&amp;outputformat=json&amp;raddatabase=PVGIS-SARAH3&amp;pvtechchoice=crystSi&amp;mountingplace=free&amp;usehorizon=1</v>
      </c>
    </row>
    <row r="3425">
      <c r="A3425" t="n">
        <v>55</v>
      </c>
      <c r="B3425" t="n">
        <v>60</v>
      </c>
      <c r="C3425" t="n">
        <v>8</v>
      </c>
      <c r="D3425" s="218" t="n">
        <v>110.91</v>
      </c>
      <c r="E3425" s="218" t="n">
        <v>3.58</v>
      </c>
      <c r="F3425" t="str">
        <v>https://re.jrc.ec.europa.eu/api/v5_3/PVcalc?lat=30.0444&amp;lon=31.2357&amp;peakpower=1&amp;loss=14&amp;angle=55&amp;aspect=-120&amp;outputformat=json&amp;raddatabase=PVGIS-SARAH3&amp;pvtechchoice=crystSi&amp;mountingplace=free&amp;usehorizon=1</v>
      </c>
    </row>
    <row r="3426">
      <c r="A3426" t="n">
        <v>55</v>
      </c>
      <c r="B3426" t="n">
        <v>60</v>
      </c>
      <c r="C3426" t="n">
        <v>9</v>
      </c>
      <c r="D3426" s="218" t="n">
        <v>86.06</v>
      </c>
      <c r="E3426" s="218" t="n">
        <v>2.87</v>
      </c>
      <c r="F3426" t="str">
        <v>https://re.jrc.ec.europa.eu/api/v5_3/PVcalc?lat=30.0444&amp;lon=31.2357&amp;peakpower=1&amp;loss=14&amp;angle=55&amp;aspect=-120&amp;outputformat=json&amp;raddatabase=PVGIS-SARAH3&amp;pvtechchoice=crystSi&amp;mountingplace=free&amp;usehorizon=1</v>
      </c>
    </row>
    <row r="3427">
      <c r="A3427" t="n">
        <v>55</v>
      </c>
      <c r="B3427" t="n">
        <v>60</v>
      </c>
      <c r="C3427" t="n">
        <v>10</v>
      </c>
      <c r="D3427" s="218" t="n">
        <v>67.14</v>
      </c>
      <c r="E3427" s="218" t="n">
        <v>2.17</v>
      </c>
      <c r="F3427" t="str">
        <v>https://re.jrc.ec.europa.eu/api/v5_3/PVcalc?lat=30.0444&amp;lon=31.2357&amp;peakpower=1&amp;loss=14&amp;angle=55&amp;aspect=-120&amp;outputformat=json&amp;raddatabase=PVGIS-SARAH3&amp;pvtechchoice=crystSi&amp;mountingplace=free&amp;usehorizon=1</v>
      </c>
    </row>
    <row r="3428">
      <c r="A3428" t="n">
        <v>55</v>
      </c>
      <c r="B3428" t="n">
        <v>60</v>
      </c>
      <c r="C3428" t="n">
        <v>11</v>
      </c>
      <c r="D3428" s="218" t="n">
        <v>46.84</v>
      </c>
      <c r="E3428" s="218" t="n">
        <v>1.56</v>
      </c>
      <c r="F3428" t="str">
        <v>https://re.jrc.ec.europa.eu/api/v5_3/PVcalc?lat=30.0444&amp;lon=31.2357&amp;peakpower=1&amp;loss=14&amp;angle=55&amp;aspect=-120&amp;outputformat=json&amp;raddatabase=PVGIS-SARAH3&amp;pvtechchoice=crystSi&amp;mountingplace=free&amp;usehorizon=1</v>
      </c>
    </row>
    <row r="3429">
      <c r="A3429" t="n">
        <v>55</v>
      </c>
      <c r="B3429" t="n">
        <v>60</v>
      </c>
      <c r="C3429" t="n">
        <v>12</v>
      </c>
      <c r="D3429" s="218" t="n">
        <v>38.92</v>
      </c>
      <c r="E3429" s="218" t="n">
        <v>1.26</v>
      </c>
      <c r="F3429" t="str">
        <v>https://re.jrc.ec.europa.eu/api/v5_3/PVcalc?lat=30.0444&amp;lon=31.2357&amp;peakpower=1&amp;loss=14&amp;angle=55&amp;aspect=-120&amp;outputformat=json&amp;raddatabase=PVGIS-SARAH3&amp;pvtechchoice=crystSi&amp;mountingplace=free&amp;usehorizon=1</v>
      </c>
    </row>
    <row r="3430">
      <c r="A3430" t="n">
        <v>55</v>
      </c>
      <c r="B3430" t="n">
        <v>75</v>
      </c>
      <c r="C3430" t="n">
        <v>1</v>
      </c>
      <c r="D3430" s="218" t="n">
        <v>58.9</v>
      </c>
      <c r="E3430" s="218" t="n">
        <v>1.9</v>
      </c>
      <c r="F3430" t="str">
        <v>https://re.jrc.ec.europa.eu/api/v5_3/PVcalc?lat=30.0444&amp;lon=31.2357&amp;peakpower=1&amp;loss=14&amp;angle=55&amp;aspect=-105&amp;outputformat=json&amp;raddatabase=PVGIS-SARAH3&amp;pvtechchoice=crystSi&amp;mountingplace=free&amp;usehorizon=1</v>
      </c>
    </row>
    <row r="3431">
      <c r="A3431" t="n">
        <v>55</v>
      </c>
      <c r="B3431" t="n">
        <v>75</v>
      </c>
      <c r="C3431" t="n">
        <v>2</v>
      </c>
      <c r="D3431" s="218" t="n">
        <v>70.47</v>
      </c>
      <c r="E3431" s="218" t="n">
        <v>2.52</v>
      </c>
      <c r="F3431" t="str">
        <v>https://re.jrc.ec.europa.eu/api/v5_3/PVcalc?lat=30.0444&amp;lon=31.2357&amp;peakpower=1&amp;loss=14&amp;angle=55&amp;aspect=-105&amp;outputformat=json&amp;raddatabase=PVGIS-SARAH3&amp;pvtechchoice=crystSi&amp;mountingplace=free&amp;usehorizon=1</v>
      </c>
    </row>
    <row r="3432">
      <c r="A3432" t="n">
        <v>55</v>
      </c>
      <c r="B3432" t="n">
        <v>75</v>
      </c>
      <c r="C3432" t="n">
        <v>3</v>
      </c>
      <c r="D3432" s="218" t="n">
        <v>98.12</v>
      </c>
      <c r="E3432" s="218" t="n">
        <v>3.17</v>
      </c>
      <c r="F3432" t="str">
        <v>https://re.jrc.ec.europa.eu/api/v5_3/PVcalc?lat=30.0444&amp;lon=31.2357&amp;peakpower=1&amp;loss=14&amp;angle=55&amp;aspect=-105&amp;outputformat=json&amp;raddatabase=PVGIS-SARAH3&amp;pvtechchoice=crystSi&amp;mountingplace=free&amp;usehorizon=1</v>
      </c>
    </row>
    <row r="3433">
      <c r="A3433" t="n">
        <v>55</v>
      </c>
      <c r="B3433" t="n">
        <v>75</v>
      </c>
      <c r="C3433" t="n">
        <v>4</v>
      </c>
      <c r="D3433" s="218" t="n">
        <v>112.25</v>
      </c>
      <c r="E3433" s="218" t="n">
        <v>3.74</v>
      </c>
      <c r="F3433" t="str">
        <v>https://re.jrc.ec.europa.eu/api/v5_3/PVcalc?lat=30.0444&amp;lon=31.2357&amp;peakpower=1&amp;loss=14&amp;angle=55&amp;aspect=-105&amp;outputformat=json&amp;raddatabase=PVGIS-SARAH3&amp;pvtechchoice=crystSi&amp;mountingplace=free&amp;usehorizon=1</v>
      </c>
    </row>
    <row r="3434">
      <c r="A3434" t="n">
        <v>55</v>
      </c>
      <c r="B3434" t="n">
        <v>75</v>
      </c>
      <c r="C3434" t="n">
        <v>5</v>
      </c>
      <c r="D3434" s="218" t="n">
        <v>128.84</v>
      </c>
      <c r="E3434" s="218" t="n">
        <v>4.16</v>
      </c>
      <c r="F3434" t="str">
        <v>https://re.jrc.ec.europa.eu/api/v5_3/PVcalc?lat=30.0444&amp;lon=31.2357&amp;peakpower=1&amp;loss=14&amp;angle=55&amp;aspect=-105&amp;outputformat=json&amp;raddatabase=PVGIS-SARAH3&amp;pvtechchoice=crystSi&amp;mountingplace=free&amp;usehorizon=1</v>
      </c>
    </row>
    <row r="3435">
      <c r="A3435" t="n">
        <v>55</v>
      </c>
      <c r="B3435" t="n">
        <v>75</v>
      </c>
      <c r="C3435" t="n">
        <v>6</v>
      </c>
      <c r="D3435" s="218" t="n">
        <v>131.15</v>
      </c>
      <c r="E3435" s="218" t="n">
        <v>4.37</v>
      </c>
      <c r="F3435" t="str">
        <v>https://re.jrc.ec.europa.eu/api/v5_3/PVcalc?lat=30.0444&amp;lon=31.2357&amp;peakpower=1&amp;loss=14&amp;angle=55&amp;aspect=-105&amp;outputformat=json&amp;raddatabase=PVGIS-SARAH3&amp;pvtechchoice=crystSi&amp;mountingplace=free&amp;usehorizon=1</v>
      </c>
    </row>
    <row r="3436">
      <c r="A3436" t="n">
        <v>55</v>
      </c>
      <c r="B3436" t="n">
        <v>75</v>
      </c>
      <c r="C3436" t="n">
        <v>7</v>
      </c>
      <c r="D3436" s="218" t="n">
        <v>129.96</v>
      </c>
      <c r="E3436" s="218" t="n">
        <v>4.19</v>
      </c>
      <c r="F3436" t="str">
        <v>https://re.jrc.ec.europa.eu/api/v5_3/PVcalc?lat=30.0444&amp;lon=31.2357&amp;peakpower=1&amp;loss=14&amp;angle=55&amp;aspect=-105&amp;outputformat=json&amp;raddatabase=PVGIS-SARAH3&amp;pvtechchoice=crystSi&amp;mountingplace=free&amp;usehorizon=1</v>
      </c>
    </row>
    <row r="3437">
      <c r="A3437" t="n">
        <v>55</v>
      </c>
      <c r="B3437" t="n">
        <v>75</v>
      </c>
      <c r="C3437" t="n">
        <v>8</v>
      </c>
      <c r="D3437" s="218" t="n">
        <v>119.5</v>
      </c>
      <c r="E3437" s="218" t="n">
        <v>3.85</v>
      </c>
      <c r="F3437" t="str">
        <v>https://re.jrc.ec.europa.eu/api/v5_3/PVcalc?lat=30.0444&amp;lon=31.2357&amp;peakpower=1&amp;loss=14&amp;angle=55&amp;aspect=-105&amp;outputformat=json&amp;raddatabase=PVGIS-SARAH3&amp;pvtechchoice=crystSi&amp;mountingplace=free&amp;usehorizon=1</v>
      </c>
    </row>
    <row r="3438">
      <c r="A3438" t="n">
        <v>55</v>
      </c>
      <c r="B3438" t="n">
        <v>75</v>
      </c>
      <c r="C3438" t="n">
        <v>9</v>
      </c>
      <c r="D3438" s="218" t="n">
        <v>98.59</v>
      </c>
      <c r="E3438" s="218" t="n">
        <v>3.29</v>
      </c>
      <c r="F3438" t="str">
        <v>https://re.jrc.ec.europa.eu/api/v5_3/PVcalc?lat=30.0444&amp;lon=31.2357&amp;peakpower=1&amp;loss=14&amp;angle=55&amp;aspect=-105&amp;outputformat=json&amp;raddatabase=PVGIS-SARAH3&amp;pvtechchoice=crystSi&amp;mountingplace=free&amp;usehorizon=1</v>
      </c>
    </row>
    <row r="3439">
      <c r="A3439" t="n">
        <v>55</v>
      </c>
      <c r="B3439" t="n">
        <v>75</v>
      </c>
      <c r="C3439" t="n">
        <v>10</v>
      </c>
      <c r="D3439" s="218" t="n">
        <v>82.77</v>
      </c>
      <c r="E3439" s="218" t="n">
        <v>2.67</v>
      </c>
      <c r="F3439" t="str">
        <v>https://re.jrc.ec.europa.eu/api/v5_3/PVcalc?lat=30.0444&amp;lon=31.2357&amp;peakpower=1&amp;loss=14&amp;angle=55&amp;aspect=-105&amp;outputformat=json&amp;raddatabase=PVGIS-SARAH3&amp;pvtechchoice=crystSi&amp;mountingplace=free&amp;usehorizon=1</v>
      </c>
    </row>
    <row r="3440">
      <c r="A3440" t="n">
        <v>55</v>
      </c>
      <c r="B3440" t="n">
        <v>75</v>
      </c>
      <c r="C3440" t="n">
        <v>11</v>
      </c>
      <c r="D3440" s="218" t="n">
        <v>63.28</v>
      </c>
      <c r="E3440" s="218" t="n">
        <v>2.11</v>
      </c>
      <c r="F3440" t="str">
        <v>https://re.jrc.ec.europa.eu/api/v5_3/PVcalc?lat=30.0444&amp;lon=31.2357&amp;peakpower=1&amp;loss=14&amp;angle=55&amp;aspect=-105&amp;outputformat=json&amp;raddatabase=PVGIS-SARAH3&amp;pvtechchoice=crystSi&amp;mountingplace=free&amp;usehorizon=1</v>
      </c>
    </row>
    <row r="3441">
      <c r="A3441" t="n">
        <v>55</v>
      </c>
      <c r="B3441" t="n">
        <v>75</v>
      </c>
      <c r="C3441" t="n">
        <v>12</v>
      </c>
      <c r="D3441" s="218" t="n">
        <v>55.26</v>
      </c>
      <c r="E3441" s="218" t="n">
        <v>1.78</v>
      </c>
      <c r="F3441" t="str">
        <v>https://re.jrc.ec.europa.eu/api/v5_3/PVcalc?lat=30.0444&amp;lon=31.2357&amp;peakpower=1&amp;loss=14&amp;angle=55&amp;aspect=-105&amp;outputformat=json&amp;raddatabase=PVGIS-SARAH3&amp;pvtechchoice=crystSi&amp;mountingplace=free&amp;usehorizon=1</v>
      </c>
    </row>
    <row r="3442">
      <c r="A3442" t="n">
        <v>55</v>
      </c>
      <c r="B3442" t="n">
        <v>90</v>
      </c>
      <c r="C3442" t="n">
        <v>1</v>
      </c>
      <c r="D3442" s="218" t="n">
        <v>75.35</v>
      </c>
      <c r="E3442" s="218" t="n">
        <v>2.43</v>
      </c>
      <c r="F3442" t="str">
        <v>https://re.jrc.ec.europa.eu/api/v5_3/PVcalc?lat=30.0444&amp;lon=31.2357&amp;peakpower=1&amp;loss=14&amp;angle=55&amp;aspect=-90&amp;outputformat=json&amp;raddatabase=PVGIS-SARAH3&amp;pvtechchoice=crystSi&amp;mountingplace=free&amp;usehorizon=1</v>
      </c>
    </row>
    <row r="3443">
      <c r="A3443" t="n">
        <v>55</v>
      </c>
      <c r="B3443" t="n">
        <v>90</v>
      </c>
      <c r="C3443" t="n">
        <v>2</v>
      </c>
      <c r="D3443" s="218" t="n">
        <v>84.22</v>
      </c>
      <c r="E3443" s="218" t="n">
        <v>3.01</v>
      </c>
      <c r="F3443" t="str">
        <v>https://re.jrc.ec.europa.eu/api/v5_3/PVcalc?lat=30.0444&amp;lon=31.2357&amp;peakpower=1&amp;loss=14&amp;angle=55&amp;aspect=-90&amp;outputformat=json&amp;raddatabase=PVGIS-SARAH3&amp;pvtechchoice=crystSi&amp;mountingplace=free&amp;usehorizon=1</v>
      </c>
    </row>
    <row r="3444">
      <c r="A3444" t="n">
        <v>55</v>
      </c>
      <c r="B3444" t="n">
        <v>90</v>
      </c>
      <c r="C3444" t="n">
        <v>3</v>
      </c>
      <c r="D3444" s="218" t="n">
        <v>110.48</v>
      </c>
      <c r="E3444" s="218" t="n">
        <v>3.56</v>
      </c>
      <c r="F3444" t="str">
        <v>https://re.jrc.ec.europa.eu/api/v5_3/PVcalc?lat=30.0444&amp;lon=31.2357&amp;peakpower=1&amp;loss=14&amp;angle=55&amp;aspect=-90&amp;outputformat=json&amp;raddatabase=PVGIS-SARAH3&amp;pvtechchoice=crystSi&amp;mountingplace=free&amp;usehorizon=1</v>
      </c>
    </row>
    <row r="3445">
      <c r="A3445" t="n">
        <v>55</v>
      </c>
      <c r="B3445" t="n">
        <v>90</v>
      </c>
      <c r="C3445" t="n">
        <v>4</v>
      </c>
      <c r="D3445" s="218" t="n">
        <v>119.68</v>
      </c>
      <c r="E3445" s="218" t="n">
        <v>3.99</v>
      </c>
      <c r="F3445" t="str">
        <v>https://re.jrc.ec.europa.eu/api/v5_3/PVcalc?lat=30.0444&amp;lon=31.2357&amp;peakpower=1&amp;loss=14&amp;angle=55&amp;aspect=-90&amp;outputformat=json&amp;raddatabase=PVGIS-SARAH3&amp;pvtechchoice=crystSi&amp;mountingplace=free&amp;usehorizon=1</v>
      </c>
    </row>
    <row r="3446">
      <c r="A3446" t="n">
        <v>55</v>
      </c>
      <c r="B3446" t="n">
        <v>90</v>
      </c>
      <c r="C3446" t="n">
        <v>5</v>
      </c>
      <c r="D3446" s="218" t="n">
        <v>132.72</v>
      </c>
      <c r="E3446" s="218" t="n">
        <v>4.28</v>
      </c>
      <c r="F3446" t="str">
        <v>https://re.jrc.ec.europa.eu/api/v5_3/PVcalc?lat=30.0444&amp;lon=31.2357&amp;peakpower=1&amp;loss=14&amp;angle=55&amp;aspect=-90&amp;outputformat=json&amp;raddatabase=PVGIS-SARAH3&amp;pvtechchoice=crystSi&amp;mountingplace=free&amp;usehorizon=1</v>
      </c>
    </row>
    <row r="3447">
      <c r="A3447" t="n">
        <v>55</v>
      </c>
      <c r="B3447" t="n">
        <v>90</v>
      </c>
      <c r="C3447" t="n">
        <v>6</v>
      </c>
      <c r="D3447" s="218" t="n">
        <v>132.88</v>
      </c>
      <c r="E3447" s="218" t="n">
        <v>4.43</v>
      </c>
      <c r="F3447" t="str">
        <v>https://re.jrc.ec.europa.eu/api/v5_3/PVcalc?lat=30.0444&amp;lon=31.2357&amp;peakpower=1&amp;loss=14&amp;angle=55&amp;aspect=-90&amp;outputformat=json&amp;raddatabase=PVGIS-SARAH3&amp;pvtechchoice=crystSi&amp;mountingplace=free&amp;usehorizon=1</v>
      </c>
    </row>
    <row r="3448">
      <c r="A3448" t="n">
        <v>55</v>
      </c>
      <c r="B3448" t="n">
        <v>90</v>
      </c>
      <c r="C3448" t="n">
        <v>7</v>
      </c>
      <c r="D3448" s="218" t="n">
        <v>132.93</v>
      </c>
      <c r="E3448" s="218" t="n">
        <v>4.29</v>
      </c>
      <c r="F3448" t="str">
        <v>https://re.jrc.ec.europa.eu/api/v5_3/PVcalc?lat=30.0444&amp;lon=31.2357&amp;peakpower=1&amp;loss=14&amp;angle=55&amp;aspect=-90&amp;outputformat=json&amp;raddatabase=PVGIS-SARAH3&amp;pvtechchoice=crystSi&amp;mountingplace=free&amp;usehorizon=1</v>
      </c>
    </row>
    <row r="3449">
      <c r="A3449" t="n">
        <v>55</v>
      </c>
      <c r="B3449" t="n">
        <v>90</v>
      </c>
      <c r="C3449" t="n">
        <v>8</v>
      </c>
      <c r="D3449" s="218" t="n">
        <v>126.13</v>
      </c>
      <c r="E3449" s="218" t="n">
        <v>4.07</v>
      </c>
      <c r="F3449" t="str">
        <v>https://re.jrc.ec.europa.eu/api/v5_3/PVcalc?lat=30.0444&amp;lon=31.2357&amp;peakpower=1&amp;loss=14&amp;angle=55&amp;aspect=-90&amp;outputformat=json&amp;raddatabase=PVGIS-SARAH3&amp;pvtechchoice=crystSi&amp;mountingplace=free&amp;usehorizon=1</v>
      </c>
    </row>
    <row r="3450">
      <c r="A3450" t="n">
        <v>55</v>
      </c>
      <c r="B3450" t="n">
        <v>90</v>
      </c>
      <c r="C3450" t="n">
        <v>9</v>
      </c>
      <c r="D3450" s="218" t="n">
        <v>109.78</v>
      </c>
      <c r="E3450" s="218" t="n">
        <v>3.66</v>
      </c>
      <c r="F3450" t="str">
        <v>https://re.jrc.ec.europa.eu/api/v5_3/PVcalc?lat=30.0444&amp;lon=31.2357&amp;peakpower=1&amp;loss=14&amp;angle=55&amp;aspect=-90&amp;outputformat=json&amp;raddatabase=PVGIS-SARAH3&amp;pvtechchoice=crystSi&amp;mountingplace=free&amp;usehorizon=1</v>
      </c>
    </row>
    <row r="3451">
      <c r="A3451" t="n">
        <v>55</v>
      </c>
      <c r="B3451" t="n">
        <v>90</v>
      </c>
      <c r="C3451" t="n">
        <v>10</v>
      </c>
      <c r="D3451" s="218" t="n">
        <v>97.67</v>
      </c>
      <c r="E3451" s="218" t="n">
        <v>3.15</v>
      </c>
      <c r="F3451" t="str">
        <v>https://re.jrc.ec.europa.eu/api/v5_3/PVcalc?lat=30.0444&amp;lon=31.2357&amp;peakpower=1&amp;loss=14&amp;angle=55&amp;aspect=-90&amp;outputformat=json&amp;raddatabase=PVGIS-SARAH3&amp;pvtechchoice=crystSi&amp;mountingplace=free&amp;usehorizon=1</v>
      </c>
    </row>
    <row r="3452">
      <c r="A3452" t="n">
        <v>55</v>
      </c>
      <c r="B3452" t="n">
        <v>90</v>
      </c>
      <c r="C3452" t="n">
        <v>11</v>
      </c>
      <c r="D3452" s="218" t="n">
        <v>79.58</v>
      </c>
      <c r="E3452" s="218" t="n">
        <v>2.65</v>
      </c>
      <c r="F3452" t="str">
        <v>https://re.jrc.ec.europa.eu/api/v5_3/PVcalc?lat=30.0444&amp;lon=31.2357&amp;peakpower=1&amp;loss=14&amp;angle=55&amp;aspect=-90&amp;outputformat=json&amp;raddatabase=PVGIS-SARAH3&amp;pvtechchoice=crystSi&amp;mountingplace=free&amp;usehorizon=1</v>
      </c>
    </row>
    <row r="3453">
      <c r="A3453" t="n">
        <v>55</v>
      </c>
      <c r="B3453" t="n">
        <v>90</v>
      </c>
      <c r="C3453" t="n">
        <v>12</v>
      </c>
      <c r="D3453" s="218" t="n">
        <v>72.42</v>
      </c>
      <c r="E3453" s="218" t="n">
        <v>2.34</v>
      </c>
      <c r="F3453" t="str">
        <v>https://re.jrc.ec.europa.eu/api/v5_3/PVcalc?lat=30.0444&amp;lon=31.2357&amp;peakpower=1&amp;loss=14&amp;angle=55&amp;aspect=-90&amp;outputformat=json&amp;raddatabase=PVGIS-SARAH3&amp;pvtechchoice=crystSi&amp;mountingplace=free&amp;usehorizon=1</v>
      </c>
    </row>
    <row r="3454">
      <c r="A3454" t="n">
        <v>55</v>
      </c>
      <c r="B3454" t="n">
        <v>105</v>
      </c>
      <c r="C3454" t="n">
        <v>1</v>
      </c>
      <c r="D3454" s="218" t="n">
        <v>91.31</v>
      </c>
      <c r="E3454" s="218" t="n">
        <v>2.95</v>
      </c>
      <c r="F3454" t="str">
        <v>https://re.jrc.ec.europa.eu/api/v5_3/PVcalc?lat=30.0444&amp;lon=31.2357&amp;peakpower=1&amp;loss=14&amp;angle=55&amp;aspect=-75&amp;outputformat=json&amp;raddatabase=PVGIS-SARAH3&amp;pvtechchoice=crystSi&amp;mountingplace=free&amp;usehorizon=1</v>
      </c>
    </row>
    <row r="3455">
      <c r="A3455" t="n">
        <v>55</v>
      </c>
      <c r="B3455" t="n">
        <v>105</v>
      </c>
      <c r="C3455" t="n">
        <v>2</v>
      </c>
      <c r="D3455" s="218" t="n">
        <v>96.73</v>
      </c>
      <c r="E3455" s="218" t="n">
        <v>3.45</v>
      </c>
      <c r="F3455" t="str">
        <v>https://re.jrc.ec.europa.eu/api/v5_3/PVcalc?lat=30.0444&amp;lon=31.2357&amp;peakpower=1&amp;loss=14&amp;angle=55&amp;aspect=-75&amp;outputformat=json&amp;raddatabase=PVGIS-SARAH3&amp;pvtechchoice=crystSi&amp;mountingplace=free&amp;usehorizon=1</v>
      </c>
    </row>
    <row r="3456">
      <c r="A3456" t="n">
        <v>55</v>
      </c>
      <c r="B3456" t="n">
        <v>105</v>
      </c>
      <c r="C3456" t="n">
        <v>3</v>
      </c>
      <c r="D3456" s="218" t="n">
        <v>121.35</v>
      </c>
      <c r="E3456" s="218" t="n">
        <v>3.91</v>
      </c>
      <c r="F3456" t="str">
        <v>https://re.jrc.ec.europa.eu/api/v5_3/PVcalc?lat=30.0444&amp;lon=31.2357&amp;peakpower=1&amp;loss=14&amp;angle=55&amp;aspect=-75&amp;outputformat=json&amp;raddatabase=PVGIS-SARAH3&amp;pvtechchoice=crystSi&amp;mountingplace=free&amp;usehorizon=1</v>
      </c>
    </row>
    <row r="3457">
      <c r="A3457" t="n">
        <v>55</v>
      </c>
      <c r="B3457" t="n">
        <v>105</v>
      </c>
      <c r="C3457" t="n">
        <v>4</v>
      </c>
      <c r="D3457" s="218" t="n">
        <v>125.96</v>
      </c>
      <c r="E3457" s="218" t="n">
        <v>4.2</v>
      </c>
      <c r="F3457" t="str">
        <v>https://re.jrc.ec.europa.eu/api/v5_3/PVcalc?lat=30.0444&amp;lon=31.2357&amp;peakpower=1&amp;loss=14&amp;angle=55&amp;aspect=-75&amp;outputformat=json&amp;raddatabase=PVGIS-SARAH3&amp;pvtechchoice=crystSi&amp;mountingplace=free&amp;usehorizon=1</v>
      </c>
    </row>
    <row r="3458">
      <c r="A3458" t="n">
        <v>55</v>
      </c>
      <c r="B3458" t="n">
        <v>105</v>
      </c>
      <c r="C3458" t="n">
        <v>5</v>
      </c>
      <c r="D3458" s="218" t="n">
        <v>134.71</v>
      </c>
      <c r="E3458" s="218" t="n">
        <v>4.35</v>
      </c>
      <c r="F3458" t="str">
        <v>https://re.jrc.ec.europa.eu/api/v5_3/PVcalc?lat=30.0444&amp;lon=31.2357&amp;peakpower=1&amp;loss=14&amp;angle=55&amp;aspect=-75&amp;outputformat=json&amp;raddatabase=PVGIS-SARAH3&amp;pvtechchoice=crystSi&amp;mountingplace=free&amp;usehorizon=1</v>
      </c>
    </row>
    <row r="3459">
      <c r="A3459" t="n">
        <v>55</v>
      </c>
      <c r="B3459" t="n">
        <v>105</v>
      </c>
      <c r="C3459" t="n">
        <v>6</v>
      </c>
      <c r="D3459" s="218" t="n">
        <v>132.66</v>
      </c>
      <c r="E3459" s="218" t="n">
        <v>4.42</v>
      </c>
      <c r="F3459" t="str">
        <v>https://re.jrc.ec.europa.eu/api/v5_3/PVcalc?lat=30.0444&amp;lon=31.2357&amp;peakpower=1&amp;loss=14&amp;angle=55&amp;aspect=-75&amp;outputformat=json&amp;raddatabase=PVGIS-SARAH3&amp;pvtechchoice=crystSi&amp;mountingplace=free&amp;usehorizon=1</v>
      </c>
    </row>
    <row r="3460">
      <c r="A3460" t="n">
        <v>55</v>
      </c>
      <c r="B3460" t="n">
        <v>105</v>
      </c>
      <c r="C3460" t="n">
        <v>7</v>
      </c>
      <c r="D3460" s="218" t="n">
        <v>134</v>
      </c>
      <c r="E3460" s="218" t="n">
        <v>4.32</v>
      </c>
      <c r="F3460" t="str">
        <v>https://re.jrc.ec.europa.eu/api/v5_3/PVcalc?lat=30.0444&amp;lon=31.2357&amp;peakpower=1&amp;loss=14&amp;angle=55&amp;aspect=-75&amp;outputformat=json&amp;raddatabase=PVGIS-SARAH3&amp;pvtechchoice=crystSi&amp;mountingplace=free&amp;usehorizon=1</v>
      </c>
    </row>
    <row r="3461">
      <c r="A3461" t="n">
        <v>55</v>
      </c>
      <c r="B3461" t="n">
        <v>105</v>
      </c>
      <c r="C3461" t="n">
        <v>8</v>
      </c>
      <c r="D3461" s="218" t="n">
        <v>131.14</v>
      </c>
      <c r="E3461" s="218" t="n">
        <v>4.23</v>
      </c>
      <c r="F3461" t="str">
        <v>https://re.jrc.ec.europa.eu/api/v5_3/PVcalc?lat=30.0444&amp;lon=31.2357&amp;peakpower=1&amp;loss=14&amp;angle=55&amp;aspect=-75&amp;outputformat=json&amp;raddatabase=PVGIS-SARAH3&amp;pvtechchoice=crystSi&amp;mountingplace=free&amp;usehorizon=1</v>
      </c>
    </row>
    <row r="3462">
      <c r="A3462" t="n">
        <v>55</v>
      </c>
      <c r="B3462" t="n">
        <v>105</v>
      </c>
      <c r="C3462" t="n">
        <v>9</v>
      </c>
      <c r="D3462" s="218" t="n">
        <v>118.99</v>
      </c>
      <c r="E3462" s="218" t="n">
        <v>3.97</v>
      </c>
      <c r="F3462" t="str">
        <v>https://re.jrc.ec.europa.eu/api/v5_3/PVcalc?lat=30.0444&amp;lon=31.2357&amp;peakpower=1&amp;loss=14&amp;angle=55&amp;aspect=-75&amp;outputformat=json&amp;raddatabase=PVGIS-SARAH3&amp;pvtechchoice=crystSi&amp;mountingplace=free&amp;usehorizon=1</v>
      </c>
    </row>
    <row r="3463">
      <c r="A3463" t="n">
        <v>55</v>
      </c>
      <c r="B3463" t="n">
        <v>105</v>
      </c>
      <c r="C3463" t="n">
        <v>10</v>
      </c>
      <c r="D3463" s="218" t="n">
        <v>111.51</v>
      </c>
      <c r="E3463" s="218" t="n">
        <v>3.6</v>
      </c>
      <c r="F3463" t="str">
        <v>https://re.jrc.ec.europa.eu/api/v5_3/PVcalc?lat=30.0444&amp;lon=31.2357&amp;peakpower=1&amp;loss=14&amp;angle=55&amp;aspect=-75&amp;outputformat=json&amp;raddatabase=PVGIS-SARAH3&amp;pvtechchoice=crystSi&amp;mountingplace=free&amp;usehorizon=1</v>
      </c>
    </row>
    <row r="3464">
      <c r="A3464" t="n">
        <v>55</v>
      </c>
      <c r="B3464" t="n">
        <v>105</v>
      </c>
      <c r="C3464" t="n">
        <v>11</v>
      </c>
      <c r="D3464" s="218" t="n">
        <v>95.91</v>
      </c>
      <c r="E3464" s="218" t="n">
        <v>3.2</v>
      </c>
      <c r="F3464" t="str">
        <v>https://re.jrc.ec.europa.eu/api/v5_3/PVcalc?lat=30.0444&amp;lon=31.2357&amp;peakpower=1&amp;loss=14&amp;angle=55&amp;aspect=-75&amp;outputformat=json&amp;raddatabase=PVGIS-SARAH3&amp;pvtechchoice=crystSi&amp;mountingplace=free&amp;usehorizon=1</v>
      </c>
    </row>
    <row r="3465">
      <c r="A3465" t="n">
        <v>55</v>
      </c>
      <c r="B3465" t="n">
        <v>105</v>
      </c>
      <c r="C3465" t="n">
        <v>12</v>
      </c>
      <c r="D3465" s="218" t="n">
        <v>89.71</v>
      </c>
      <c r="E3465" s="218" t="n">
        <v>2.89</v>
      </c>
      <c r="F3465" t="str">
        <v>https://re.jrc.ec.europa.eu/api/v5_3/PVcalc?lat=30.0444&amp;lon=31.2357&amp;peakpower=1&amp;loss=14&amp;angle=55&amp;aspect=-75&amp;outputformat=json&amp;raddatabase=PVGIS-SARAH3&amp;pvtechchoice=crystSi&amp;mountingplace=free&amp;usehorizon=1</v>
      </c>
    </row>
    <row r="3466">
      <c r="A3466" t="n">
        <v>55</v>
      </c>
      <c r="B3466" t="n">
        <v>120</v>
      </c>
      <c r="C3466" t="n">
        <v>1</v>
      </c>
      <c r="D3466" s="218" t="n">
        <v>106.73</v>
      </c>
      <c r="E3466" s="218" t="n">
        <v>3.44</v>
      </c>
      <c r="F3466" t="str">
        <v>https://re.jrc.ec.europa.eu/api/v5_3/PVcalc?lat=30.0444&amp;lon=31.2357&amp;peakpower=1&amp;loss=14&amp;angle=55&amp;aspect=-60&amp;outputformat=json&amp;raddatabase=PVGIS-SARAH3&amp;pvtechchoice=crystSi&amp;mountingplace=free&amp;usehorizon=1</v>
      </c>
    </row>
    <row r="3467">
      <c r="A3467" t="n">
        <v>55</v>
      </c>
      <c r="B3467" t="n">
        <v>120</v>
      </c>
      <c r="C3467" t="n">
        <v>2</v>
      </c>
      <c r="D3467" s="218" t="n">
        <v>107.94</v>
      </c>
      <c r="E3467" s="218" t="n">
        <v>3.85</v>
      </c>
      <c r="F3467" t="str">
        <v>https://re.jrc.ec.europa.eu/api/v5_3/PVcalc?lat=30.0444&amp;lon=31.2357&amp;peakpower=1&amp;loss=14&amp;angle=55&amp;aspect=-60&amp;outputformat=json&amp;raddatabase=PVGIS-SARAH3&amp;pvtechchoice=crystSi&amp;mountingplace=free&amp;usehorizon=1</v>
      </c>
    </row>
    <row r="3468">
      <c r="A3468" t="n">
        <v>55</v>
      </c>
      <c r="B3468" t="n">
        <v>120</v>
      </c>
      <c r="C3468" t="n">
        <v>3</v>
      </c>
      <c r="D3468" s="218" t="n">
        <v>130.85</v>
      </c>
      <c r="E3468" s="218" t="n">
        <v>4.22</v>
      </c>
      <c r="F3468" t="str">
        <v>https://re.jrc.ec.europa.eu/api/v5_3/PVcalc?lat=30.0444&amp;lon=31.2357&amp;peakpower=1&amp;loss=14&amp;angle=55&amp;aspect=-60&amp;outputformat=json&amp;raddatabase=PVGIS-SARAH3&amp;pvtechchoice=crystSi&amp;mountingplace=free&amp;usehorizon=1</v>
      </c>
    </row>
    <row r="3469">
      <c r="A3469" t="n">
        <v>55</v>
      </c>
      <c r="B3469" t="n">
        <v>120</v>
      </c>
      <c r="C3469" t="n">
        <v>4</v>
      </c>
      <c r="D3469" s="218" t="n">
        <v>130.68</v>
      </c>
      <c r="E3469" s="218" t="n">
        <v>4.36</v>
      </c>
      <c r="F3469" t="str">
        <v>https://re.jrc.ec.europa.eu/api/v5_3/PVcalc?lat=30.0444&amp;lon=31.2357&amp;peakpower=1&amp;loss=14&amp;angle=55&amp;aspect=-60&amp;outputformat=json&amp;raddatabase=PVGIS-SARAH3&amp;pvtechchoice=crystSi&amp;mountingplace=free&amp;usehorizon=1</v>
      </c>
    </row>
    <row r="3470">
      <c r="A3470" t="n">
        <v>55</v>
      </c>
      <c r="B3470" t="n">
        <v>120</v>
      </c>
      <c r="C3470" t="n">
        <v>5</v>
      </c>
      <c r="D3470" s="218" t="n">
        <v>134.89</v>
      </c>
      <c r="E3470" s="218" t="n">
        <v>4.35</v>
      </c>
      <c r="F3470" t="str">
        <v>https://re.jrc.ec.europa.eu/api/v5_3/PVcalc?lat=30.0444&amp;lon=31.2357&amp;peakpower=1&amp;loss=14&amp;angle=55&amp;aspect=-60&amp;outputformat=json&amp;raddatabase=PVGIS-SARAH3&amp;pvtechchoice=crystSi&amp;mountingplace=free&amp;usehorizon=1</v>
      </c>
    </row>
    <row r="3471">
      <c r="A3471" t="n">
        <v>55</v>
      </c>
      <c r="B3471" t="n">
        <v>120</v>
      </c>
      <c r="C3471" t="n">
        <v>6</v>
      </c>
      <c r="D3471" s="218" t="n">
        <v>130.55</v>
      </c>
      <c r="E3471" s="218" t="n">
        <v>4.35</v>
      </c>
      <c r="F3471" t="str">
        <v>https://re.jrc.ec.europa.eu/api/v5_3/PVcalc?lat=30.0444&amp;lon=31.2357&amp;peakpower=1&amp;loss=14&amp;angle=55&amp;aspect=-60&amp;outputformat=json&amp;raddatabase=PVGIS-SARAH3&amp;pvtechchoice=crystSi&amp;mountingplace=free&amp;usehorizon=1</v>
      </c>
    </row>
    <row r="3472">
      <c r="A3472" t="n">
        <v>55</v>
      </c>
      <c r="B3472" t="n">
        <v>120</v>
      </c>
      <c r="C3472" t="n">
        <v>7</v>
      </c>
      <c r="D3472" s="218" t="n">
        <v>133.2</v>
      </c>
      <c r="E3472" s="218" t="n">
        <v>4.3</v>
      </c>
      <c r="F3472" t="str">
        <v>https://re.jrc.ec.europa.eu/api/v5_3/PVcalc?lat=30.0444&amp;lon=31.2357&amp;peakpower=1&amp;loss=14&amp;angle=55&amp;aspect=-60&amp;outputformat=json&amp;raddatabase=PVGIS-SARAH3&amp;pvtechchoice=crystSi&amp;mountingplace=free&amp;usehorizon=1</v>
      </c>
    </row>
    <row r="3473">
      <c r="A3473" t="n">
        <v>55</v>
      </c>
      <c r="B3473" t="n">
        <v>120</v>
      </c>
      <c r="C3473" t="n">
        <v>8</v>
      </c>
      <c r="D3473" s="218" t="n">
        <v>134.31</v>
      </c>
      <c r="E3473" s="218" t="n">
        <v>4.33</v>
      </c>
      <c r="F3473" t="str">
        <v>https://re.jrc.ec.europa.eu/api/v5_3/PVcalc?lat=30.0444&amp;lon=31.2357&amp;peakpower=1&amp;loss=14&amp;angle=55&amp;aspect=-60&amp;outputformat=json&amp;raddatabase=PVGIS-SARAH3&amp;pvtechchoice=crystSi&amp;mountingplace=free&amp;usehorizon=1</v>
      </c>
    </row>
    <row r="3474">
      <c r="A3474" t="n">
        <v>55</v>
      </c>
      <c r="B3474" t="n">
        <v>120</v>
      </c>
      <c r="C3474" t="n">
        <v>9</v>
      </c>
      <c r="D3474" s="218" t="n">
        <v>127.42</v>
      </c>
      <c r="E3474" s="218" t="n">
        <v>4.25</v>
      </c>
      <c r="F3474" t="str">
        <v>https://re.jrc.ec.europa.eu/api/v5_3/PVcalc?lat=30.0444&amp;lon=31.2357&amp;peakpower=1&amp;loss=14&amp;angle=55&amp;aspect=-60&amp;outputformat=json&amp;raddatabase=PVGIS-SARAH3&amp;pvtechchoice=crystSi&amp;mountingplace=free&amp;usehorizon=1</v>
      </c>
    </row>
    <row r="3475">
      <c r="A3475" t="n">
        <v>55</v>
      </c>
      <c r="B3475" t="n">
        <v>120</v>
      </c>
      <c r="C3475" t="n">
        <v>10</v>
      </c>
      <c r="D3475" s="218" t="n">
        <v>124.08</v>
      </c>
      <c r="E3475" s="218" t="n">
        <v>4</v>
      </c>
      <c r="F3475" t="str">
        <v>https://re.jrc.ec.europa.eu/api/v5_3/PVcalc?lat=30.0444&amp;lon=31.2357&amp;peakpower=1&amp;loss=14&amp;angle=55&amp;aspect=-60&amp;outputformat=json&amp;raddatabase=PVGIS-SARAH3&amp;pvtechchoice=crystSi&amp;mountingplace=free&amp;usehorizon=1</v>
      </c>
    </row>
    <row r="3476">
      <c r="A3476" t="n">
        <v>55</v>
      </c>
      <c r="B3476" t="n">
        <v>120</v>
      </c>
      <c r="C3476" t="n">
        <v>11</v>
      </c>
      <c r="D3476" s="218" t="n">
        <v>111.08</v>
      </c>
      <c r="E3476" s="218" t="n">
        <v>3.7</v>
      </c>
      <c r="F3476" t="str">
        <v>https://re.jrc.ec.europa.eu/api/v5_3/PVcalc?lat=30.0444&amp;lon=31.2357&amp;peakpower=1&amp;loss=14&amp;angle=55&amp;aspect=-60&amp;outputformat=json&amp;raddatabase=PVGIS-SARAH3&amp;pvtechchoice=crystSi&amp;mountingplace=free&amp;usehorizon=1</v>
      </c>
    </row>
    <row r="3477">
      <c r="A3477" t="n">
        <v>55</v>
      </c>
      <c r="B3477" t="n">
        <v>120</v>
      </c>
      <c r="C3477" t="n">
        <v>12</v>
      </c>
      <c r="D3477" s="218" t="n">
        <v>106.43</v>
      </c>
      <c r="E3477" s="218" t="n">
        <v>3.43</v>
      </c>
      <c r="F3477" t="str">
        <v>https://re.jrc.ec.europa.eu/api/v5_3/PVcalc?lat=30.0444&amp;lon=31.2357&amp;peakpower=1&amp;loss=14&amp;angle=55&amp;aspect=-60&amp;outputformat=json&amp;raddatabase=PVGIS-SARAH3&amp;pvtechchoice=crystSi&amp;mountingplace=free&amp;usehorizon=1</v>
      </c>
    </row>
    <row r="3478">
      <c r="A3478" t="n">
        <v>55</v>
      </c>
      <c r="B3478" t="n">
        <v>135</v>
      </c>
      <c r="C3478" t="n">
        <v>1</v>
      </c>
      <c r="D3478" s="218" t="n">
        <v>120.85</v>
      </c>
      <c r="E3478" s="218" t="n">
        <v>3.9</v>
      </c>
      <c r="F3478" t="str">
        <v>https://re.jrc.ec.europa.eu/api/v5_3/PVcalc?lat=30.0444&amp;lon=31.2357&amp;peakpower=1&amp;loss=14&amp;angle=55&amp;aspect=-45&amp;outputformat=json&amp;raddatabase=PVGIS-SARAH3&amp;pvtechchoice=crystSi&amp;mountingplace=free&amp;usehorizon=1</v>
      </c>
    </row>
    <row r="3479">
      <c r="A3479" t="n">
        <v>55</v>
      </c>
      <c r="B3479" t="n">
        <v>135</v>
      </c>
      <c r="C3479" t="n">
        <v>2</v>
      </c>
      <c r="D3479" s="218" t="n">
        <v>118.01</v>
      </c>
      <c r="E3479" s="218" t="n">
        <v>4.21</v>
      </c>
      <c r="F3479" t="str">
        <v>https://re.jrc.ec.europa.eu/api/v5_3/PVcalc?lat=30.0444&amp;lon=31.2357&amp;peakpower=1&amp;loss=14&amp;angle=55&amp;aspect=-45&amp;outputformat=json&amp;raddatabase=PVGIS-SARAH3&amp;pvtechchoice=crystSi&amp;mountingplace=free&amp;usehorizon=1</v>
      </c>
    </row>
    <row r="3480">
      <c r="A3480" t="n">
        <v>55</v>
      </c>
      <c r="B3480" t="n">
        <v>135</v>
      </c>
      <c r="C3480" t="n">
        <v>3</v>
      </c>
      <c r="D3480" s="218" t="n">
        <v>138.71</v>
      </c>
      <c r="E3480" s="218" t="n">
        <v>4.47</v>
      </c>
      <c r="F3480" t="str">
        <v>https://re.jrc.ec.europa.eu/api/v5_3/PVcalc?lat=30.0444&amp;lon=31.2357&amp;peakpower=1&amp;loss=14&amp;angle=55&amp;aspect=-45&amp;outputformat=json&amp;raddatabase=PVGIS-SARAH3&amp;pvtechchoice=crystSi&amp;mountingplace=free&amp;usehorizon=1</v>
      </c>
    </row>
    <row r="3481">
      <c r="A3481" t="n">
        <v>55</v>
      </c>
      <c r="B3481" t="n">
        <v>135</v>
      </c>
      <c r="C3481" t="n">
        <v>4</v>
      </c>
      <c r="D3481" s="218" t="n">
        <v>133.36</v>
      </c>
      <c r="E3481" s="218" t="n">
        <v>4.45</v>
      </c>
      <c r="F3481" t="str">
        <v>https://re.jrc.ec.europa.eu/api/v5_3/PVcalc?lat=30.0444&amp;lon=31.2357&amp;peakpower=1&amp;loss=14&amp;angle=55&amp;aspect=-45&amp;outputformat=json&amp;raddatabase=PVGIS-SARAH3&amp;pvtechchoice=crystSi&amp;mountingplace=free&amp;usehorizon=1</v>
      </c>
    </row>
    <row r="3482">
      <c r="A3482" t="n">
        <v>55</v>
      </c>
      <c r="B3482" t="n">
        <v>135</v>
      </c>
      <c r="C3482" t="n">
        <v>5</v>
      </c>
      <c r="D3482" s="218" t="n">
        <v>133.08</v>
      </c>
      <c r="E3482" s="218" t="n">
        <v>4.29</v>
      </c>
      <c r="F3482" t="str">
        <v>https://re.jrc.ec.europa.eu/api/v5_3/PVcalc?lat=30.0444&amp;lon=31.2357&amp;peakpower=1&amp;loss=14&amp;angle=55&amp;aspect=-45&amp;outputformat=json&amp;raddatabase=PVGIS-SARAH3&amp;pvtechchoice=crystSi&amp;mountingplace=free&amp;usehorizon=1</v>
      </c>
    </row>
    <row r="3483">
      <c r="A3483" t="n">
        <v>55</v>
      </c>
      <c r="B3483" t="n">
        <v>135</v>
      </c>
      <c r="C3483" t="n">
        <v>6</v>
      </c>
      <c r="D3483" s="218" t="n">
        <v>126.48</v>
      </c>
      <c r="E3483" s="218" t="n">
        <v>4.22</v>
      </c>
      <c r="F3483" t="str">
        <v>https://re.jrc.ec.europa.eu/api/v5_3/PVcalc?lat=30.0444&amp;lon=31.2357&amp;peakpower=1&amp;loss=14&amp;angle=55&amp;aspect=-45&amp;outputformat=json&amp;raddatabase=PVGIS-SARAH3&amp;pvtechchoice=crystSi&amp;mountingplace=free&amp;usehorizon=1</v>
      </c>
    </row>
    <row r="3484">
      <c r="A3484" t="n">
        <v>55</v>
      </c>
      <c r="B3484" t="n">
        <v>135</v>
      </c>
      <c r="C3484" t="n">
        <v>7</v>
      </c>
      <c r="D3484" s="218" t="n">
        <v>130.24</v>
      </c>
      <c r="E3484" s="218" t="n">
        <v>4.2</v>
      </c>
      <c r="F3484" t="str">
        <v>https://re.jrc.ec.europa.eu/api/v5_3/PVcalc?lat=30.0444&amp;lon=31.2357&amp;peakpower=1&amp;loss=14&amp;angle=55&amp;aspect=-45&amp;outputformat=json&amp;raddatabase=PVGIS-SARAH3&amp;pvtechchoice=crystSi&amp;mountingplace=free&amp;usehorizon=1</v>
      </c>
    </row>
    <row r="3485">
      <c r="A3485" t="n">
        <v>55</v>
      </c>
      <c r="B3485" t="n">
        <v>135</v>
      </c>
      <c r="C3485" t="n">
        <v>8</v>
      </c>
      <c r="D3485" s="218" t="n">
        <v>135.27</v>
      </c>
      <c r="E3485" s="218" t="n">
        <v>4.36</v>
      </c>
      <c r="F3485" t="str">
        <v>https://re.jrc.ec.europa.eu/api/v5_3/PVcalc?lat=30.0444&amp;lon=31.2357&amp;peakpower=1&amp;loss=14&amp;angle=55&amp;aspect=-45&amp;outputformat=json&amp;raddatabase=PVGIS-SARAH3&amp;pvtechchoice=crystSi&amp;mountingplace=free&amp;usehorizon=1</v>
      </c>
    </row>
    <row r="3486">
      <c r="A3486" t="n">
        <v>55</v>
      </c>
      <c r="B3486" t="n">
        <v>135</v>
      </c>
      <c r="C3486" t="n">
        <v>9</v>
      </c>
      <c r="D3486" s="218" t="n">
        <v>133.75</v>
      </c>
      <c r="E3486" s="218" t="n">
        <v>4.46</v>
      </c>
      <c r="F3486" t="str">
        <v>https://re.jrc.ec.europa.eu/api/v5_3/PVcalc?lat=30.0444&amp;lon=31.2357&amp;peakpower=1&amp;loss=14&amp;angle=55&amp;aspect=-45&amp;outputformat=json&amp;raddatabase=PVGIS-SARAH3&amp;pvtechchoice=crystSi&amp;mountingplace=free&amp;usehorizon=1</v>
      </c>
    </row>
    <row r="3487">
      <c r="A3487" t="n">
        <v>55</v>
      </c>
      <c r="B3487" t="n">
        <v>135</v>
      </c>
      <c r="C3487" t="n">
        <v>10</v>
      </c>
      <c r="D3487" s="218" t="n">
        <v>134.99</v>
      </c>
      <c r="E3487" s="218" t="n">
        <v>4.35</v>
      </c>
      <c r="F3487" t="str">
        <v>https://re.jrc.ec.europa.eu/api/v5_3/PVcalc?lat=30.0444&amp;lon=31.2357&amp;peakpower=1&amp;loss=14&amp;angle=55&amp;aspect=-45&amp;outputformat=json&amp;raddatabase=PVGIS-SARAH3&amp;pvtechchoice=crystSi&amp;mountingplace=free&amp;usehorizon=1</v>
      </c>
    </row>
    <row r="3488">
      <c r="A3488" t="n">
        <v>55</v>
      </c>
      <c r="B3488" t="n">
        <v>135</v>
      </c>
      <c r="C3488" t="n">
        <v>11</v>
      </c>
      <c r="D3488" s="218" t="n">
        <v>124.87</v>
      </c>
      <c r="E3488" s="218" t="n">
        <v>4.16</v>
      </c>
      <c r="F3488" t="str">
        <v>https://re.jrc.ec.europa.eu/api/v5_3/PVcalc?lat=30.0444&amp;lon=31.2357&amp;peakpower=1&amp;loss=14&amp;angle=55&amp;aspect=-45&amp;outputformat=json&amp;raddatabase=PVGIS-SARAH3&amp;pvtechchoice=crystSi&amp;mountingplace=free&amp;usehorizon=1</v>
      </c>
    </row>
    <row r="3489">
      <c r="A3489" t="n">
        <v>55</v>
      </c>
      <c r="B3489" t="n">
        <v>135</v>
      </c>
      <c r="C3489" t="n">
        <v>12</v>
      </c>
      <c r="D3489" s="218" t="n">
        <v>121.6</v>
      </c>
      <c r="E3489" s="218" t="n">
        <v>3.92</v>
      </c>
      <c r="F3489" t="str">
        <v>https://re.jrc.ec.europa.eu/api/v5_3/PVcalc?lat=30.0444&amp;lon=31.2357&amp;peakpower=1&amp;loss=14&amp;angle=55&amp;aspect=-45&amp;outputformat=json&amp;raddatabase=PVGIS-SARAH3&amp;pvtechchoice=crystSi&amp;mountingplace=free&amp;usehorizon=1</v>
      </c>
    </row>
    <row r="3490">
      <c r="A3490" t="n">
        <v>55</v>
      </c>
      <c r="B3490" t="n">
        <v>150</v>
      </c>
      <c r="C3490" t="n">
        <v>1</v>
      </c>
      <c r="D3490" s="218" t="n">
        <v>132.79</v>
      </c>
      <c r="E3490" s="218" t="n">
        <v>4.28</v>
      </c>
      <c r="F3490" t="str">
        <v>https://re.jrc.ec.europa.eu/api/v5_3/PVcalc?lat=30.0444&amp;lon=31.2357&amp;peakpower=1&amp;loss=14&amp;angle=55&amp;aspect=-30&amp;outputformat=json&amp;raddatabase=PVGIS-SARAH3&amp;pvtechchoice=crystSi&amp;mountingplace=free&amp;usehorizon=1</v>
      </c>
    </row>
    <row r="3491">
      <c r="A3491" t="n">
        <v>55</v>
      </c>
      <c r="B3491" t="n">
        <v>150</v>
      </c>
      <c r="C3491" t="n">
        <v>2</v>
      </c>
      <c r="D3491" s="218" t="n">
        <v>126.19</v>
      </c>
      <c r="E3491" s="218" t="n">
        <v>4.51</v>
      </c>
      <c r="F3491" t="str">
        <v>https://re.jrc.ec.europa.eu/api/v5_3/PVcalc?lat=30.0444&amp;lon=31.2357&amp;peakpower=1&amp;loss=14&amp;angle=55&amp;aspect=-30&amp;outputformat=json&amp;raddatabase=PVGIS-SARAH3&amp;pvtechchoice=crystSi&amp;mountingplace=free&amp;usehorizon=1</v>
      </c>
    </row>
    <row r="3492">
      <c r="A3492" t="n">
        <v>55</v>
      </c>
      <c r="B3492" t="n">
        <v>150</v>
      </c>
      <c r="C3492" t="n">
        <v>3</v>
      </c>
      <c r="D3492" s="218" t="n">
        <v>145.14</v>
      </c>
      <c r="E3492" s="218" t="n">
        <v>4.68</v>
      </c>
      <c r="F3492" t="str">
        <v>https://re.jrc.ec.europa.eu/api/v5_3/PVcalc?lat=30.0444&amp;lon=31.2357&amp;peakpower=1&amp;loss=14&amp;angle=55&amp;aspect=-30&amp;outputformat=json&amp;raddatabase=PVGIS-SARAH3&amp;pvtechchoice=crystSi&amp;mountingplace=free&amp;usehorizon=1</v>
      </c>
    </row>
    <row r="3493">
      <c r="A3493" t="n">
        <v>55</v>
      </c>
      <c r="B3493" t="n">
        <v>150</v>
      </c>
      <c r="C3493" t="n">
        <v>4</v>
      </c>
      <c r="D3493" s="218" t="n">
        <v>135.6</v>
      </c>
      <c r="E3493" s="218" t="n">
        <v>4.52</v>
      </c>
      <c r="F3493" t="str">
        <v>https://re.jrc.ec.europa.eu/api/v5_3/PVcalc?lat=30.0444&amp;lon=31.2357&amp;peakpower=1&amp;loss=14&amp;angle=55&amp;aspect=-30&amp;outputformat=json&amp;raddatabase=PVGIS-SARAH3&amp;pvtechchoice=crystSi&amp;mountingplace=free&amp;usehorizon=1</v>
      </c>
    </row>
    <row r="3494">
      <c r="A3494" t="n">
        <v>55</v>
      </c>
      <c r="B3494" t="n">
        <v>150</v>
      </c>
      <c r="C3494" t="n">
        <v>5</v>
      </c>
      <c r="D3494" s="218" t="n">
        <v>130.49</v>
      </c>
      <c r="E3494" s="218" t="n">
        <v>4.21</v>
      </c>
      <c r="F3494" t="str">
        <v>https://re.jrc.ec.europa.eu/api/v5_3/PVcalc?lat=30.0444&amp;lon=31.2357&amp;peakpower=1&amp;loss=14&amp;angle=55&amp;aspect=-30&amp;outputformat=json&amp;raddatabase=PVGIS-SARAH3&amp;pvtechchoice=crystSi&amp;mountingplace=free&amp;usehorizon=1</v>
      </c>
    </row>
    <row r="3495">
      <c r="A3495" t="n">
        <v>55</v>
      </c>
      <c r="B3495" t="n">
        <v>150</v>
      </c>
      <c r="C3495" t="n">
        <v>6</v>
      </c>
      <c r="D3495" s="218" t="n">
        <v>121.67</v>
      </c>
      <c r="E3495" s="218" t="n">
        <v>4.06</v>
      </c>
      <c r="F3495" t="str">
        <v>https://re.jrc.ec.europa.eu/api/v5_3/PVcalc?lat=30.0444&amp;lon=31.2357&amp;peakpower=1&amp;loss=14&amp;angle=55&amp;aspect=-30&amp;outputformat=json&amp;raddatabase=PVGIS-SARAH3&amp;pvtechchoice=crystSi&amp;mountingplace=free&amp;usehorizon=1</v>
      </c>
    </row>
    <row r="3496">
      <c r="A3496" t="n">
        <v>55</v>
      </c>
      <c r="B3496" t="n">
        <v>150</v>
      </c>
      <c r="C3496" t="n">
        <v>7</v>
      </c>
      <c r="D3496" s="218" t="n">
        <v>127.19</v>
      </c>
      <c r="E3496" s="218" t="n">
        <v>4.1</v>
      </c>
      <c r="F3496" t="str">
        <v>https://re.jrc.ec.europa.eu/api/v5_3/PVcalc?lat=30.0444&amp;lon=31.2357&amp;peakpower=1&amp;loss=14&amp;angle=55&amp;aspect=-30&amp;outputformat=json&amp;raddatabase=PVGIS-SARAH3&amp;pvtechchoice=crystSi&amp;mountingplace=free&amp;usehorizon=1</v>
      </c>
    </row>
    <row r="3497">
      <c r="A3497" t="n">
        <v>55</v>
      </c>
      <c r="B3497" t="n">
        <v>150</v>
      </c>
      <c r="C3497" t="n">
        <v>8</v>
      </c>
      <c r="D3497" s="218" t="n">
        <v>135.98</v>
      </c>
      <c r="E3497" s="218" t="n">
        <v>4.39</v>
      </c>
      <c r="F3497" t="str">
        <v>https://re.jrc.ec.europa.eu/api/v5_3/PVcalc?lat=30.0444&amp;lon=31.2357&amp;peakpower=1&amp;loss=14&amp;angle=55&amp;aspect=-30&amp;outputformat=json&amp;raddatabase=PVGIS-SARAH3&amp;pvtechchoice=crystSi&amp;mountingplace=free&amp;usehorizon=1</v>
      </c>
    </row>
    <row r="3498">
      <c r="A3498" t="n">
        <v>55</v>
      </c>
      <c r="B3498" t="n">
        <v>150</v>
      </c>
      <c r="C3498" t="n">
        <v>9</v>
      </c>
      <c r="D3498" s="218" t="n">
        <v>139.62</v>
      </c>
      <c r="E3498" s="218" t="n">
        <v>4.65</v>
      </c>
      <c r="F3498" t="str">
        <v>https://re.jrc.ec.europa.eu/api/v5_3/PVcalc?lat=30.0444&amp;lon=31.2357&amp;peakpower=1&amp;loss=14&amp;angle=55&amp;aspect=-30&amp;outputformat=json&amp;raddatabase=PVGIS-SARAH3&amp;pvtechchoice=crystSi&amp;mountingplace=free&amp;usehorizon=1</v>
      </c>
    </row>
    <row r="3499">
      <c r="A3499" t="n">
        <v>55</v>
      </c>
      <c r="B3499" t="n">
        <v>150</v>
      </c>
      <c r="C3499" t="n">
        <v>10</v>
      </c>
      <c r="D3499" s="218" t="n">
        <v>144.74</v>
      </c>
      <c r="E3499" s="218" t="n">
        <v>4.67</v>
      </c>
      <c r="F3499" t="str">
        <v>https://re.jrc.ec.europa.eu/api/v5_3/PVcalc?lat=30.0444&amp;lon=31.2357&amp;peakpower=1&amp;loss=14&amp;angle=55&amp;aspect=-30&amp;outputformat=json&amp;raddatabase=PVGIS-SARAH3&amp;pvtechchoice=crystSi&amp;mountingplace=free&amp;usehorizon=1</v>
      </c>
    </row>
    <row r="3500">
      <c r="A3500" t="n">
        <v>55</v>
      </c>
      <c r="B3500" t="n">
        <v>150</v>
      </c>
      <c r="C3500" t="n">
        <v>11</v>
      </c>
      <c r="D3500" s="218" t="n">
        <v>136.84</v>
      </c>
      <c r="E3500" s="218" t="n">
        <v>4.56</v>
      </c>
      <c r="F3500" t="str">
        <v>https://re.jrc.ec.europa.eu/api/v5_3/PVcalc?lat=30.0444&amp;lon=31.2357&amp;peakpower=1&amp;loss=14&amp;angle=55&amp;aspect=-30&amp;outputformat=json&amp;raddatabase=PVGIS-SARAH3&amp;pvtechchoice=crystSi&amp;mountingplace=free&amp;usehorizon=1</v>
      </c>
    </row>
    <row r="3501">
      <c r="A3501" t="n">
        <v>55</v>
      </c>
      <c r="B3501" t="n">
        <v>150</v>
      </c>
      <c r="C3501" t="n">
        <v>12</v>
      </c>
      <c r="D3501" s="218" t="n">
        <v>134.28</v>
      </c>
      <c r="E3501" s="218" t="n">
        <v>4.33</v>
      </c>
      <c r="F3501" t="str">
        <v>https://re.jrc.ec.europa.eu/api/v5_3/PVcalc?lat=30.0444&amp;lon=31.2357&amp;peakpower=1&amp;loss=14&amp;angle=55&amp;aspect=-30&amp;outputformat=json&amp;raddatabase=PVGIS-SARAH3&amp;pvtechchoice=crystSi&amp;mountingplace=free&amp;usehorizon=1</v>
      </c>
    </row>
    <row r="3502">
      <c r="A3502" t="n">
        <v>55</v>
      </c>
      <c r="B3502" t="n">
        <v>165</v>
      </c>
      <c r="C3502" t="n">
        <v>1</v>
      </c>
      <c r="D3502" s="218" t="n">
        <v>140.9</v>
      </c>
      <c r="E3502" s="218" t="n">
        <v>4.55</v>
      </c>
      <c r="F3502" t="str">
        <v>https://re.jrc.ec.europa.eu/api/v5_3/PVcalc?lat=30.0444&amp;lon=31.2357&amp;peakpower=1&amp;loss=14&amp;angle=55&amp;aspect=-15&amp;outputformat=json&amp;raddatabase=PVGIS-SARAH3&amp;pvtechchoice=crystSi&amp;mountingplace=free&amp;usehorizon=1</v>
      </c>
    </row>
    <row r="3503">
      <c r="A3503" t="n">
        <v>55</v>
      </c>
      <c r="B3503" t="n">
        <v>165</v>
      </c>
      <c r="C3503" t="n">
        <v>2</v>
      </c>
      <c r="D3503" s="218" t="n">
        <v>131.85</v>
      </c>
      <c r="E3503" s="218" t="n">
        <v>4.71</v>
      </c>
      <c r="F3503" t="str">
        <v>https://re.jrc.ec.europa.eu/api/v5_3/PVcalc?lat=30.0444&amp;lon=31.2357&amp;peakpower=1&amp;loss=14&amp;angle=55&amp;aspect=-15&amp;outputformat=json&amp;raddatabase=PVGIS-SARAH3&amp;pvtechchoice=crystSi&amp;mountingplace=free&amp;usehorizon=1</v>
      </c>
    </row>
    <row r="3504">
      <c r="A3504" t="n">
        <v>55</v>
      </c>
      <c r="B3504" t="n">
        <v>165</v>
      </c>
      <c r="C3504" t="n">
        <v>3</v>
      </c>
      <c r="D3504" s="218" t="n">
        <v>150.33</v>
      </c>
      <c r="E3504" s="218" t="n">
        <v>4.85</v>
      </c>
      <c r="F3504" t="str">
        <v>https://re.jrc.ec.europa.eu/api/v5_3/PVcalc?lat=30.0444&amp;lon=31.2357&amp;peakpower=1&amp;loss=14&amp;angle=55&amp;aspect=-15&amp;outputformat=json&amp;raddatabase=PVGIS-SARAH3&amp;pvtechchoice=crystSi&amp;mountingplace=free&amp;usehorizon=1</v>
      </c>
    </row>
    <row r="3505">
      <c r="A3505" t="n">
        <v>55</v>
      </c>
      <c r="B3505" t="n">
        <v>165</v>
      </c>
      <c r="C3505" t="n">
        <v>4</v>
      </c>
      <c r="D3505" s="218" t="n">
        <v>136.92</v>
      </c>
      <c r="E3505" s="218" t="n">
        <v>4.56</v>
      </c>
      <c r="F3505" t="str">
        <v>https://re.jrc.ec.europa.eu/api/v5_3/PVcalc?lat=30.0444&amp;lon=31.2357&amp;peakpower=1&amp;loss=14&amp;angle=55&amp;aspect=-15&amp;outputformat=json&amp;raddatabase=PVGIS-SARAH3&amp;pvtechchoice=crystSi&amp;mountingplace=free&amp;usehorizon=1</v>
      </c>
    </row>
    <row r="3506">
      <c r="A3506" t="n">
        <v>55</v>
      </c>
      <c r="B3506" t="n">
        <v>165</v>
      </c>
      <c r="C3506" t="n">
        <v>5</v>
      </c>
      <c r="D3506" s="218" t="n">
        <v>127.46</v>
      </c>
      <c r="E3506" s="218" t="n">
        <v>4.11</v>
      </c>
      <c r="F3506" t="str">
        <v>https://re.jrc.ec.europa.eu/api/v5_3/PVcalc?lat=30.0444&amp;lon=31.2357&amp;peakpower=1&amp;loss=14&amp;angle=55&amp;aspect=-15&amp;outputformat=json&amp;raddatabase=PVGIS-SARAH3&amp;pvtechchoice=crystSi&amp;mountingplace=free&amp;usehorizon=1</v>
      </c>
    </row>
    <row r="3507">
      <c r="A3507" t="n">
        <v>55</v>
      </c>
      <c r="B3507" t="n">
        <v>165</v>
      </c>
      <c r="C3507" t="n">
        <v>6</v>
      </c>
      <c r="D3507" s="218" t="n">
        <v>116.81</v>
      </c>
      <c r="E3507" s="218" t="n">
        <v>3.89</v>
      </c>
      <c r="F3507" t="str">
        <v>https://re.jrc.ec.europa.eu/api/v5_3/PVcalc?lat=30.0444&amp;lon=31.2357&amp;peakpower=1&amp;loss=14&amp;angle=55&amp;aspect=-15&amp;outputformat=json&amp;raddatabase=PVGIS-SARAH3&amp;pvtechchoice=crystSi&amp;mountingplace=free&amp;usehorizon=1</v>
      </c>
    </row>
    <row r="3508">
      <c r="A3508" t="n">
        <v>55</v>
      </c>
      <c r="B3508" t="n">
        <v>165</v>
      </c>
      <c r="C3508" t="n">
        <v>7</v>
      </c>
      <c r="D3508" s="218" t="n">
        <v>123.7</v>
      </c>
      <c r="E3508" s="218" t="n">
        <v>3.99</v>
      </c>
      <c r="F3508" t="str">
        <v>https://re.jrc.ec.europa.eu/api/v5_3/PVcalc?lat=30.0444&amp;lon=31.2357&amp;peakpower=1&amp;loss=14&amp;angle=55&amp;aspect=-15&amp;outputformat=json&amp;raddatabase=PVGIS-SARAH3&amp;pvtechchoice=crystSi&amp;mountingplace=free&amp;usehorizon=1</v>
      </c>
    </row>
    <row r="3509">
      <c r="A3509" t="n">
        <v>55</v>
      </c>
      <c r="B3509" t="n">
        <v>165</v>
      </c>
      <c r="C3509" t="n">
        <v>8</v>
      </c>
      <c r="D3509" s="218" t="n">
        <v>135.88</v>
      </c>
      <c r="E3509" s="218" t="n">
        <v>4.38</v>
      </c>
      <c r="F3509" t="str">
        <v>https://re.jrc.ec.europa.eu/api/v5_3/PVcalc?lat=30.0444&amp;lon=31.2357&amp;peakpower=1&amp;loss=14&amp;angle=55&amp;aspect=-15&amp;outputformat=json&amp;raddatabase=PVGIS-SARAH3&amp;pvtechchoice=crystSi&amp;mountingplace=free&amp;usehorizon=1</v>
      </c>
    </row>
    <row r="3510">
      <c r="A3510" t="n">
        <v>55</v>
      </c>
      <c r="B3510" t="n">
        <v>165</v>
      </c>
      <c r="C3510" t="n">
        <v>9</v>
      </c>
      <c r="D3510" s="218" t="n">
        <v>144.28</v>
      </c>
      <c r="E3510" s="218" t="n">
        <v>4.81</v>
      </c>
      <c r="F3510" t="str">
        <v>https://re.jrc.ec.europa.eu/api/v5_3/PVcalc?lat=30.0444&amp;lon=31.2357&amp;peakpower=1&amp;loss=14&amp;angle=55&amp;aspect=-15&amp;outputformat=json&amp;raddatabase=PVGIS-SARAH3&amp;pvtechchoice=crystSi&amp;mountingplace=free&amp;usehorizon=1</v>
      </c>
    </row>
    <row r="3511">
      <c r="A3511" t="n">
        <v>55</v>
      </c>
      <c r="B3511" t="n">
        <v>165</v>
      </c>
      <c r="C3511" t="n">
        <v>10</v>
      </c>
      <c r="D3511" s="218" t="n">
        <v>152.37</v>
      </c>
      <c r="E3511" s="218" t="n">
        <v>4.92</v>
      </c>
      <c r="F3511" t="str">
        <v>https://re.jrc.ec.europa.eu/api/v5_3/PVcalc?lat=30.0444&amp;lon=31.2357&amp;peakpower=1&amp;loss=14&amp;angle=55&amp;aspect=-15&amp;outputformat=json&amp;raddatabase=PVGIS-SARAH3&amp;pvtechchoice=crystSi&amp;mountingplace=free&amp;usehorizon=1</v>
      </c>
    </row>
    <row r="3512">
      <c r="A3512" t="n">
        <v>55</v>
      </c>
      <c r="B3512" t="n">
        <v>165</v>
      </c>
      <c r="C3512" t="n">
        <v>11</v>
      </c>
      <c r="D3512" s="218" t="n">
        <v>145.32</v>
      </c>
      <c r="E3512" s="218" t="n">
        <v>4.84</v>
      </c>
      <c r="F3512" t="str">
        <v>https://re.jrc.ec.europa.eu/api/v5_3/PVcalc?lat=30.0444&amp;lon=31.2357&amp;peakpower=1&amp;loss=14&amp;angle=55&amp;aspect=-15&amp;outputformat=json&amp;raddatabase=PVGIS-SARAH3&amp;pvtechchoice=crystSi&amp;mountingplace=free&amp;usehorizon=1</v>
      </c>
    </row>
    <row r="3513">
      <c r="A3513" t="n">
        <v>55</v>
      </c>
      <c r="B3513" t="n">
        <v>165</v>
      </c>
      <c r="C3513" t="n">
        <v>12</v>
      </c>
      <c r="D3513" s="218" t="n">
        <v>142.78</v>
      </c>
      <c r="E3513" s="218" t="n">
        <v>4.61</v>
      </c>
      <c r="F3513" t="str">
        <v>https://re.jrc.ec.europa.eu/api/v5_3/PVcalc?lat=30.0444&amp;lon=31.2357&amp;peakpower=1&amp;loss=14&amp;angle=55&amp;aspect=-15&amp;outputformat=json&amp;raddatabase=PVGIS-SARAH3&amp;pvtechchoice=crystSi&amp;mountingplace=free&amp;usehorizon=1</v>
      </c>
    </row>
    <row r="3514">
      <c r="A3514" t="n">
        <v>55</v>
      </c>
      <c r="B3514" t="n">
        <v>180</v>
      </c>
      <c r="C3514" t="n">
        <v>1</v>
      </c>
      <c r="D3514" s="218" t="n">
        <v>143.35</v>
      </c>
      <c r="E3514" s="218" t="n">
        <v>4.62</v>
      </c>
      <c r="F3514" t="str">
        <v>https://re.jrc.ec.europa.eu/api/v5_3/PVcalc?lat=30.0444&amp;lon=31.2357&amp;peakpower=1&amp;loss=14&amp;angle=55&amp;aspect=0&amp;outputformat=json&amp;raddatabase=PVGIS-SARAH3&amp;pvtechchoice=crystSi&amp;mountingplace=free&amp;usehorizon=1</v>
      </c>
    </row>
    <row r="3515">
      <c r="A3515" t="n">
        <v>55</v>
      </c>
      <c r="B3515" t="n">
        <v>180</v>
      </c>
      <c r="C3515" t="n">
        <v>2</v>
      </c>
      <c r="D3515" s="218" t="n">
        <v>133.6</v>
      </c>
      <c r="E3515" s="218" t="n">
        <v>4.77</v>
      </c>
      <c r="F3515" t="str">
        <v>https://re.jrc.ec.europa.eu/api/v5_3/PVcalc?lat=30.0444&amp;lon=31.2357&amp;peakpower=1&amp;loss=14&amp;angle=55&amp;aspect=0&amp;outputformat=json&amp;raddatabase=PVGIS-SARAH3&amp;pvtechchoice=crystSi&amp;mountingplace=free&amp;usehorizon=1</v>
      </c>
    </row>
    <row r="3516">
      <c r="A3516" t="n">
        <v>55</v>
      </c>
      <c r="B3516" t="n">
        <v>180</v>
      </c>
      <c r="C3516" t="n">
        <v>3</v>
      </c>
      <c r="D3516" s="218" t="n">
        <v>153.2</v>
      </c>
      <c r="E3516" s="218" t="n">
        <v>4.94</v>
      </c>
      <c r="F3516" t="str">
        <v>https://re.jrc.ec.europa.eu/api/v5_3/PVcalc?lat=30.0444&amp;lon=31.2357&amp;peakpower=1&amp;loss=14&amp;angle=55&amp;aspect=0&amp;outputformat=json&amp;raddatabase=PVGIS-SARAH3&amp;pvtechchoice=crystSi&amp;mountingplace=free&amp;usehorizon=1</v>
      </c>
    </row>
    <row r="3517">
      <c r="A3517" t="n">
        <v>55</v>
      </c>
      <c r="B3517" t="n">
        <v>180</v>
      </c>
      <c r="C3517" t="n">
        <v>4</v>
      </c>
      <c r="D3517" s="218" t="n">
        <v>138.04</v>
      </c>
      <c r="E3517" s="218" t="n">
        <v>4.6</v>
      </c>
      <c r="F3517" t="str">
        <v>https://re.jrc.ec.europa.eu/api/v5_3/PVcalc?lat=30.0444&amp;lon=31.2357&amp;peakpower=1&amp;loss=14&amp;angle=55&amp;aspect=0&amp;outputformat=json&amp;raddatabase=PVGIS-SARAH3&amp;pvtechchoice=crystSi&amp;mountingplace=free&amp;usehorizon=1</v>
      </c>
    </row>
    <row r="3518">
      <c r="A3518" t="n">
        <v>55</v>
      </c>
      <c r="B3518" t="n">
        <v>180</v>
      </c>
      <c r="C3518" t="n">
        <v>5</v>
      </c>
      <c r="D3518" s="218" t="n">
        <v>126.32</v>
      </c>
      <c r="E3518" s="218" t="n">
        <v>4.07</v>
      </c>
      <c r="F3518" t="str">
        <v>https://re.jrc.ec.europa.eu/api/v5_3/PVcalc?lat=30.0444&amp;lon=31.2357&amp;peakpower=1&amp;loss=14&amp;angle=55&amp;aspect=0&amp;outputformat=json&amp;raddatabase=PVGIS-SARAH3&amp;pvtechchoice=crystSi&amp;mountingplace=free&amp;usehorizon=1</v>
      </c>
    </row>
    <row r="3519">
      <c r="A3519" t="n">
        <v>55</v>
      </c>
      <c r="B3519" t="n">
        <v>180</v>
      </c>
      <c r="C3519" t="n">
        <v>6</v>
      </c>
      <c r="D3519" s="218" t="n">
        <v>115.03</v>
      </c>
      <c r="E3519" s="218" t="n">
        <v>3.83</v>
      </c>
      <c r="F3519" t="str">
        <v>https://re.jrc.ec.europa.eu/api/v5_3/PVcalc?lat=30.0444&amp;lon=31.2357&amp;peakpower=1&amp;loss=14&amp;angle=55&amp;aspect=0&amp;outputformat=json&amp;raddatabase=PVGIS-SARAH3&amp;pvtechchoice=crystSi&amp;mountingplace=free&amp;usehorizon=1</v>
      </c>
    </row>
    <row r="3520">
      <c r="A3520" t="n">
        <v>55</v>
      </c>
      <c r="B3520" t="n">
        <v>180</v>
      </c>
      <c r="C3520" t="n">
        <v>7</v>
      </c>
      <c r="D3520" s="218" t="n">
        <v>122.59</v>
      </c>
      <c r="E3520" s="218" t="n">
        <v>3.95</v>
      </c>
      <c r="F3520" t="str">
        <v>https://re.jrc.ec.europa.eu/api/v5_3/PVcalc?lat=30.0444&amp;lon=31.2357&amp;peakpower=1&amp;loss=14&amp;angle=55&amp;aspect=0&amp;outputformat=json&amp;raddatabase=PVGIS-SARAH3&amp;pvtechchoice=crystSi&amp;mountingplace=free&amp;usehorizon=1</v>
      </c>
    </row>
    <row r="3521">
      <c r="A3521" t="n">
        <v>55</v>
      </c>
      <c r="B3521" t="n">
        <v>180</v>
      </c>
      <c r="C3521" t="n">
        <v>8</v>
      </c>
      <c r="D3521" s="218" t="n">
        <v>136.61</v>
      </c>
      <c r="E3521" s="218" t="n">
        <v>4.41</v>
      </c>
      <c r="F3521" t="str">
        <v>https://re.jrc.ec.europa.eu/api/v5_3/PVcalc?lat=30.0444&amp;lon=31.2357&amp;peakpower=1&amp;loss=14&amp;angle=55&amp;aspect=0&amp;outputformat=json&amp;raddatabase=PVGIS-SARAH3&amp;pvtechchoice=crystSi&amp;mountingplace=free&amp;usehorizon=1</v>
      </c>
    </row>
    <row r="3522">
      <c r="A3522" t="n">
        <v>55</v>
      </c>
      <c r="B3522" t="n">
        <v>180</v>
      </c>
      <c r="C3522" t="n">
        <v>9</v>
      </c>
      <c r="D3522" s="218" t="n">
        <v>147.48</v>
      </c>
      <c r="E3522" s="218" t="n">
        <v>4.92</v>
      </c>
      <c r="F3522" t="str">
        <v>https://re.jrc.ec.europa.eu/api/v5_3/PVcalc?lat=30.0444&amp;lon=31.2357&amp;peakpower=1&amp;loss=14&amp;angle=55&amp;aspect=0&amp;outputformat=json&amp;raddatabase=PVGIS-SARAH3&amp;pvtechchoice=crystSi&amp;mountingplace=free&amp;usehorizon=1</v>
      </c>
    </row>
    <row r="3523">
      <c r="A3523" t="n">
        <v>55</v>
      </c>
      <c r="B3523" t="n">
        <v>180</v>
      </c>
      <c r="C3523" t="n">
        <v>10</v>
      </c>
      <c r="D3523" s="218" t="n">
        <v>155.73</v>
      </c>
      <c r="E3523" s="218" t="n">
        <v>5.02</v>
      </c>
      <c r="F3523" t="str">
        <v>https://re.jrc.ec.europa.eu/api/v5_3/PVcalc?lat=30.0444&amp;lon=31.2357&amp;peakpower=1&amp;loss=14&amp;angle=55&amp;aspect=0&amp;outputformat=json&amp;raddatabase=PVGIS-SARAH3&amp;pvtechchoice=crystSi&amp;mountingplace=free&amp;usehorizon=1</v>
      </c>
    </row>
    <row r="3524">
      <c r="A3524" t="n">
        <v>55</v>
      </c>
      <c r="B3524" t="n">
        <v>180</v>
      </c>
      <c r="C3524" t="n">
        <v>11</v>
      </c>
      <c r="D3524" s="218" t="n">
        <v>148.18</v>
      </c>
      <c r="E3524" s="218" t="n">
        <v>4.94</v>
      </c>
      <c r="F3524" t="str">
        <v>https://re.jrc.ec.europa.eu/api/v5_3/PVcalc?lat=30.0444&amp;lon=31.2357&amp;peakpower=1&amp;loss=14&amp;angle=55&amp;aspect=0&amp;outputformat=json&amp;raddatabase=PVGIS-SARAH3&amp;pvtechchoice=crystSi&amp;mountingplace=free&amp;usehorizon=1</v>
      </c>
    </row>
    <row r="3525">
      <c r="A3525" t="n">
        <v>55</v>
      </c>
      <c r="B3525" t="n">
        <v>180</v>
      </c>
      <c r="C3525" t="n">
        <v>12</v>
      </c>
      <c r="D3525" s="218" t="n">
        <v>145.34</v>
      </c>
      <c r="E3525" s="218" t="n">
        <v>4.69</v>
      </c>
      <c r="F3525" t="str">
        <v>https://re.jrc.ec.europa.eu/api/v5_3/PVcalc?lat=30.0444&amp;lon=31.2357&amp;peakpower=1&amp;loss=14&amp;angle=55&amp;aspect=0&amp;outputformat=json&amp;raddatabase=PVGIS-SARAH3&amp;pvtechchoice=crystSi&amp;mountingplace=free&amp;usehorizon=1</v>
      </c>
    </row>
    <row r="3526">
      <c r="A3526" t="n">
        <v>55</v>
      </c>
      <c r="B3526" t="n">
        <v>195</v>
      </c>
      <c r="C3526" t="n">
        <v>1</v>
      </c>
      <c r="D3526" s="218" t="n">
        <v>139.88</v>
      </c>
      <c r="E3526" s="218" t="n">
        <v>4.51</v>
      </c>
      <c r="F3526" t="str">
        <v>https://re.jrc.ec.europa.eu/api/v5_3/PVcalc?lat=30.0444&amp;lon=31.2357&amp;peakpower=1&amp;loss=14&amp;angle=55&amp;aspect=15&amp;outputformat=json&amp;raddatabase=PVGIS-SARAH3&amp;pvtechchoice=crystSi&amp;mountingplace=free&amp;usehorizon=1</v>
      </c>
    </row>
    <row r="3527">
      <c r="A3527" t="n">
        <v>55</v>
      </c>
      <c r="B3527" t="n">
        <v>195</v>
      </c>
      <c r="C3527" t="n">
        <v>2</v>
      </c>
      <c r="D3527" s="218" t="n">
        <v>130.49</v>
      </c>
      <c r="E3527" s="218" t="n">
        <v>4.66</v>
      </c>
      <c r="F3527" t="str">
        <v>https://re.jrc.ec.europa.eu/api/v5_3/PVcalc?lat=30.0444&amp;lon=31.2357&amp;peakpower=1&amp;loss=14&amp;angle=55&amp;aspect=15&amp;outputformat=json&amp;raddatabase=PVGIS-SARAH3&amp;pvtechchoice=crystSi&amp;mountingplace=free&amp;usehorizon=1</v>
      </c>
    </row>
    <row r="3528">
      <c r="A3528" t="n">
        <v>55</v>
      </c>
      <c r="B3528" t="n">
        <v>195</v>
      </c>
      <c r="C3528" t="n">
        <v>3</v>
      </c>
      <c r="D3528" s="218" t="n">
        <v>152.13</v>
      </c>
      <c r="E3528" s="218" t="n">
        <v>4.91</v>
      </c>
      <c r="F3528" t="str">
        <v>https://re.jrc.ec.europa.eu/api/v5_3/PVcalc?lat=30.0444&amp;lon=31.2357&amp;peakpower=1&amp;loss=14&amp;angle=55&amp;aspect=15&amp;outputformat=json&amp;raddatabase=PVGIS-SARAH3&amp;pvtechchoice=crystSi&amp;mountingplace=free&amp;usehorizon=1</v>
      </c>
    </row>
    <row r="3529">
      <c r="A3529" t="n">
        <v>55</v>
      </c>
      <c r="B3529" t="n">
        <v>195</v>
      </c>
      <c r="C3529" t="n">
        <v>4</v>
      </c>
      <c r="D3529" s="218" t="n">
        <v>138.98</v>
      </c>
      <c r="E3529" s="218" t="n">
        <v>4.63</v>
      </c>
      <c r="F3529" t="str">
        <v>https://re.jrc.ec.europa.eu/api/v5_3/PVcalc?lat=30.0444&amp;lon=31.2357&amp;peakpower=1&amp;loss=14&amp;angle=55&amp;aspect=15&amp;outputformat=json&amp;raddatabase=PVGIS-SARAH3&amp;pvtechchoice=crystSi&amp;mountingplace=free&amp;usehorizon=1</v>
      </c>
    </row>
    <row r="3530">
      <c r="A3530" t="n">
        <v>55</v>
      </c>
      <c r="B3530" t="n">
        <v>195</v>
      </c>
      <c r="C3530" t="n">
        <v>5</v>
      </c>
      <c r="D3530" s="218" t="n">
        <v>128.44</v>
      </c>
      <c r="E3530" s="218" t="n">
        <v>4.14</v>
      </c>
      <c r="F3530" t="str">
        <v>https://re.jrc.ec.europa.eu/api/v5_3/PVcalc?lat=30.0444&amp;lon=31.2357&amp;peakpower=1&amp;loss=14&amp;angle=55&amp;aspect=15&amp;outputformat=json&amp;raddatabase=PVGIS-SARAH3&amp;pvtechchoice=crystSi&amp;mountingplace=free&amp;usehorizon=1</v>
      </c>
    </row>
    <row r="3531">
      <c r="A3531" t="n">
        <v>55</v>
      </c>
      <c r="B3531" t="n">
        <v>195</v>
      </c>
      <c r="C3531" t="n">
        <v>6</v>
      </c>
      <c r="D3531" s="218" t="n">
        <v>118.1</v>
      </c>
      <c r="E3531" s="218" t="n">
        <v>3.94</v>
      </c>
      <c r="F3531" t="str">
        <v>https://re.jrc.ec.europa.eu/api/v5_3/PVcalc?lat=30.0444&amp;lon=31.2357&amp;peakpower=1&amp;loss=14&amp;angle=55&amp;aspect=15&amp;outputformat=json&amp;raddatabase=PVGIS-SARAH3&amp;pvtechchoice=crystSi&amp;mountingplace=free&amp;usehorizon=1</v>
      </c>
    </row>
    <row r="3532">
      <c r="A3532" t="n">
        <v>55</v>
      </c>
      <c r="B3532" t="n">
        <v>195</v>
      </c>
      <c r="C3532" t="n">
        <v>7</v>
      </c>
      <c r="D3532" s="218" t="n">
        <v>125.82</v>
      </c>
      <c r="E3532" s="218" t="n">
        <v>4.06</v>
      </c>
      <c r="F3532" t="str">
        <v>https://re.jrc.ec.europa.eu/api/v5_3/PVcalc?lat=30.0444&amp;lon=31.2357&amp;peakpower=1&amp;loss=14&amp;angle=55&amp;aspect=15&amp;outputformat=json&amp;raddatabase=PVGIS-SARAH3&amp;pvtechchoice=crystSi&amp;mountingplace=free&amp;usehorizon=1</v>
      </c>
    </row>
    <row r="3533">
      <c r="A3533" t="n">
        <v>55</v>
      </c>
      <c r="B3533" t="n">
        <v>195</v>
      </c>
      <c r="C3533" t="n">
        <v>8</v>
      </c>
      <c r="D3533" s="218" t="n">
        <v>138.96</v>
      </c>
      <c r="E3533" s="218" t="n">
        <v>4.48</v>
      </c>
      <c r="F3533" t="str">
        <v>https://re.jrc.ec.europa.eu/api/v5_3/PVcalc?lat=30.0444&amp;lon=31.2357&amp;peakpower=1&amp;loss=14&amp;angle=55&amp;aspect=15&amp;outputformat=json&amp;raddatabase=PVGIS-SARAH3&amp;pvtechchoice=crystSi&amp;mountingplace=free&amp;usehorizon=1</v>
      </c>
    </row>
    <row r="3534">
      <c r="A3534" t="n">
        <v>55</v>
      </c>
      <c r="B3534" t="n">
        <v>195</v>
      </c>
      <c r="C3534" t="n">
        <v>9</v>
      </c>
      <c r="D3534" s="218" t="n">
        <v>148.01</v>
      </c>
      <c r="E3534" s="218" t="n">
        <v>4.93</v>
      </c>
      <c r="F3534" t="str">
        <v>https://re.jrc.ec.europa.eu/api/v5_3/PVcalc?lat=30.0444&amp;lon=31.2357&amp;peakpower=1&amp;loss=14&amp;angle=55&amp;aspect=15&amp;outputformat=json&amp;raddatabase=PVGIS-SARAH3&amp;pvtechchoice=crystSi&amp;mountingplace=free&amp;usehorizon=1</v>
      </c>
    </row>
    <row r="3535">
      <c r="A3535" t="n">
        <v>55</v>
      </c>
      <c r="B3535" t="n">
        <v>195</v>
      </c>
      <c r="C3535" t="n">
        <v>10</v>
      </c>
      <c r="D3535" s="218" t="n">
        <v>153.51</v>
      </c>
      <c r="E3535" s="218" t="n">
        <v>4.95</v>
      </c>
      <c r="F3535" t="str">
        <v>https://re.jrc.ec.europa.eu/api/v5_3/PVcalc?lat=30.0444&amp;lon=31.2357&amp;peakpower=1&amp;loss=14&amp;angle=55&amp;aspect=15&amp;outputformat=json&amp;raddatabase=PVGIS-SARAH3&amp;pvtechchoice=crystSi&amp;mountingplace=free&amp;usehorizon=1</v>
      </c>
    </row>
    <row r="3536">
      <c r="A3536" t="n">
        <v>55</v>
      </c>
      <c r="B3536" t="n">
        <v>195</v>
      </c>
      <c r="C3536" t="n">
        <v>11</v>
      </c>
      <c r="D3536" s="218" t="n">
        <v>144.88</v>
      </c>
      <c r="E3536" s="218" t="n">
        <v>4.83</v>
      </c>
      <c r="F3536" t="str">
        <v>https://re.jrc.ec.europa.eu/api/v5_3/PVcalc?lat=30.0444&amp;lon=31.2357&amp;peakpower=1&amp;loss=14&amp;angle=55&amp;aspect=15&amp;outputformat=json&amp;raddatabase=PVGIS-SARAH3&amp;pvtechchoice=crystSi&amp;mountingplace=free&amp;usehorizon=1</v>
      </c>
    </row>
    <row r="3537">
      <c r="A3537" t="n">
        <v>55</v>
      </c>
      <c r="B3537" t="n">
        <v>195</v>
      </c>
      <c r="C3537" t="n">
        <v>12</v>
      </c>
      <c r="D3537" s="218" t="n">
        <v>141.69</v>
      </c>
      <c r="E3537" s="218" t="n">
        <v>4.57</v>
      </c>
      <c r="F3537" t="str">
        <v>https://re.jrc.ec.europa.eu/api/v5_3/PVcalc?lat=30.0444&amp;lon=31.2357&amp;peakpower=1&amp;loss=14&amp;angle=55&amp;aspect=15&amp;outputformat=json&amp;raddatabase=PVGIS-SARAH3&amp;pvtechchoice=crystSi&amp;mountingplace=free&amp;usehorizon=1</v>
      </c>
    </row>
    <row r="3538">
      <c r="A3538" t="n">
        <v>55</v>
      </c>
      <c r="B3538" t="n">
        <v>210</v>
      </c>
      <c r="C3538" t="n">
        <v>1</v>
      </c>
      <c r="D3538" s="218" t="n">
        <v>130.78</v>
      </c>
      <c r="E3538" s="218" t="n">
        <v>4.22</v>
      </c>
      <c r="F3538" t="str">
        <v>https://re.jrc.ec.europa.eu/api/v5_3/PVcalc?lat=30.0444&amp;lon=31.2357&amp;peakpower=1&amp;loss=14&amp;angle=55&amp;aspect=30&amp;outputformat=json&amp;raddatabase=PVGIS-SARAH3&amp;pvtechchoice=crystSi&amp;mountingplace=free&amp;usehorizon=1</v>
      </c>
    </row>
    <row r="3539">
      <c r="A3539" t="n">
        <v>55</v>
      </c>
      <c r="B3539" t="n">
        <v>210</v>
      </c>
      <c r="C3539" t="n">
        <v>2</v>
      </c>
      <c r="D3539" s="218" t="n">
        <v>123.41</v>
      </c>
      <c r="E3539" s="218" t="n">
        <v>4.41</v>
      </c>
      <c r="F3539" t="str">
        <v>https://re.jrc.ec.europa.eu/api/v5_3/PVcalc?lat=30.0444&amp;lon=31.2357&amp;peakpower=1&amp;loss=14&amp;angle=55&amp;aspect=30&amp;outputformat=json&amp;raddatabase=PVGIS-SARAH3&amp;pvtechchoice=crystSi&amp;mountingplace=free&amp;usehorizon=1</v>
      </c>
    </row>
    <row r="3540">
      <c r="A3540" t="n">
        <v>55</v>
      </c>
      <c r="B3540" t="n">
        <v>210</v>
      </c>
      <c r="C3540" t="n">
        <v>3</v>
      </c>
      <c r="D3540" s="218" t="n">
        <v>148.02</v>
      </c>
      <c r="E3540" s="218" t="n">
        <v>4.77</v>
      </c>
      <c r="F3540" t="str">
        <v>https://re.jrc.ec.europa.eu/api/v5_3/PVcalc?lat=30.0444&amp;lon=31.2357&amp;peakpower=1&amp;loss=14&amp;angle=55&amp;aspect=30&amp;outputformat=json&amp;raddatabase=PVGIS-SARAH3&amp;pvtechchoice=crystSi&amp;mountingplace=free&amp;usehorizon=1</v>
      </c>
    </row>
    <row r="3541">
      <c r="A3541" t="n">
        <v>55</v>
      </c>
      <c r="B3541" t="n">
        <v>210</v>
      </c>
      <c r="C3541" t="n">
        <v>4</v>
      </c>
      <c r="D3541" s="218" t="n">
        <v>138.95</v>
      </c>
      <c r="E3541" s="218" t="n">
        <v>4.63</v>
      </c>
      <c r="F3541" t="str">
        <v>https://re.jrc.ec.europa.eu/api/v5_3/PVcalc?lat=30.0444&amp;lon=31.2357&amp;peakpower=1&amp;loss=14&amp;angle=55&amp;aspect=30&amp;outputformat=json&amp;raddatabase=PVGIS-SARAH3&amp;pvtechchoice=crystSi&amp;mountingplace=free&amp;usehorizon=1</v>
      </c>
    </row>
    <row r="3542">
      <c r="A3542" t="n">
        <v>55</v>
      </c>
      <c r="B3542" t="n">
        <v>210</v>
      </c>
      <c r="C3542" t="n">
        <v>5</v>
      </c>
      <c r="D3542" s="218" t="n">
        <v>132.11</v>
      </c>
      <c r="E3542" s="218" t="n">
        <v>4.26</v>
      </c>
      <c r="F3542" t="str">
        <v>https://re.jrc.ec.europa.eu/api/v5_3/PVcalc?lat=30.0444&amp;lon=31.2357&amp;peakpower=1&amp;loss=14&amp;angle=55&amp;aspect=30&amp;outputformat=json&amp;raddatabase=PVGIS-SARAH3&amp;pvtechchoice=crystSi&amp;mountingplace=free&amp;usehorizon=1</v>
      </c>
    </row>
    <row r="3543">
      <c r="A3543" t="n">
        <v>55</v>
      </c>
      <c r="B3543" t="n">
        <v>210</v>
      </c>
      <c r="C3543" t="n">
        <v>6</v>
      </c>
      <c r="D3543" s="218" t="n">
        <v>124.92</v>
      </c>
      <c r="E3543" s="218" t="n">
        <v>4.16</v>
      </c>
      <c r="F3543" t="str">
        <v>https://re.jrc.ec.europa.eu/api/v5_3/PVcalc?lat=30.0444&amp;lon=31.2357&amp;peakpower=1&amp;loss=14&amp;angle=55&amp;aspect=30&amp;outputformat=json&amp;raddatabase=PVGIS-SARAH3&amp;pvtechchoice=crystSi&amp;mountingplace=free&amp;usehorizon=1</v>
      </c>
    </row>
    <row r="3544">
      <c r="A3544" t="n">
        <v>55</v>
      </c>
      <c r="B3544" t="n">
        <v>210</v>
      </c>
      <c r="C3544" t="n">
        <v>7</v>
      </c>
      <c r="D3544" s="218" t="n">
        <v>132.49</v>
      </c>
      <c r="E3544" s="218" t="n">
        <v>4.27</v>
      </c>
      <c r="F3544" t="str">
        <v>https://re.jrc.ec.europa.eu/api/v5_3/PVcalc?lat=30.0444&amp;lon=31.2357&amp;peakpower=1&amp;loss=14&amp;angle=55&amp;aspect=30&amp;outputformat=json&amp;raddatabase=PVGIS-SARAH3&amp;pvtechchoice=crystSi&amp;mountingplace=free&amp;usehorizon=1</v>
      </c>
    </row>
    <row r="3545">
      <c r="A3545" t="n">
        <v>55</v>
      </c>
      <c r="B3545" t="n">
        <v>210</v>
      </c>
      <c r="C3545" t="n">
        <v>8</v>
      </c>
      <c r="D3545" s="218" t="n">
        <v>141.72</v>
      </c>
      <c r="E3545" s="218" t="n">
        <v>4.57</v>
      </c>
      <c r="F3545" t="str">
        <v>https://re.jrc.ec.europa.eu/api/v5_3/PVcalc?lat=30.0444&amp;lon=31.2357&amp;peakpower=1&amp;loss=14&amp;angle=55&amp;aspect=30&amp;outputformat=json&amp;raddatabase=PVGIS-SARAH3&amp;pvtechchoice=crystSi&amp;mountingplace=free&amp;usehorizon=1</v>
      </c>
    </row>
    <row r="3546">
      <c r="A3546" t="n">
        <v>55</v>
      </c>
      <c r="B3546" t="n">
        <v>210</v>
      </c>
      <c r="C3546" t="n">
        <v>9</v>
      </c>
      <c r="D3546" s="218" t="n">
        <v>146.04</v>
      </c>
      <c r="E3546" s="218" t="n">
        <v>4.87</v>
      </c>
      <c r="F3546" t="str">
        <v>https://re.jrc.ec.europa.eu/api/v5_3/PVcalc?lat=30.0444&amp;lon=31.2357&amp;peakpower=1&amp;loss=14&amp;angle=55&amp;aspect=30&amp;outputformat=json&amp;raddatabase=PVGIS-SARAH3&amp;pvtechchoice=crystSi&amp;mountingplace=free&amp;usehorizon=1</v>
      </c>
    </row>
    <row r="3547">
      <c r="A3547" t="n">
        <v>55</v>
      </c>
      <c r="B3547" t="n">
        <v>210</v>
      </c>
      <c r="C3547" t="n">
        <v>10</v>
      </c>
      <c r="D3547" s="218" t="n">
        <v>146.61</v>
      </c>
      <c r="E3547" s="218" t="n">
        <v>4.73</v>
      </c>
      <c r="F3547" t="str">
        <v>https://re.jrc.ec.europa.eu/api/v5_3/PVcalc?lat=30.0444&amp;lon=31.2357&amp;peakpower=1&amp;loss=14&amp;angle=55&amp;aspect=30&amp;outputformat=json&amp;raddatabase=PVGIS-SARAH3&amp;pvtechchoice=crystSi&amp;mountingplace=free&amp;usehorizon=1</v>
      </c>
    </row>
    <row r="3548">
      <c r="A3548" t="n">
        <v>55</v>
      </c>
      <c r="B3548" t="n">
        <v>210</v>
      </c>
      <c r="C3548" t="n">
        <v>11</v>
      </c>
      <c r="D3548" s="218" t="n">
        <v>135.94</v>
      </c>
      <c r="E3548" s="218" t="n">
        <v>4.53</v>
      </c>
      <c r="F3548" t="str">
        <v>https://re.jrc.ec.europa.eu/api/v5_3/PVcalc?lat=30.0444&amp;lon=31.2357&amp;peakpower=1&amp;loss=14&amp;angle=55&amp;aspect=30&amp;outputformat=json&amp;raddatabase=PVGIS-SARAH3&amp;pvtechchoice=crystSi&amp;mountingplace=free&amp;usehorizon=1</v>
      </c>
    </row>
    <row r="3549">
      <c r="A3549" t="n">
        <v>55</v>
      </c>
      <c r="B3549" t="n">
        <v>210</v>
      </c>
      <c r="C3549" t="n">
        <v>12</v>
      </c>
      <c r="D3549" s="218" t="n">
        <v>132.17</v>
      </c>
      <c r="E3549" s="218" t="n">
        <v>4.26</v>
      </c>
      <c r="F3549" t="str">
        <v>https://re.jrc.ec.europa.eu/api/v5_3/PVcalc?lat=30.0444&amp;lon=31.2357&amp;peakpower=1&amp;loss=14&amp;angle=55&amp;aspect=30&amp;outputformat=json&amp;raddatabase=PVGIS-SARAH3&amp;pvtechchoice=crystSi&amp;mountingplace=free&amp;usehorizon=1</v>
      </c>
    </row>
    <row r="3550">
      <c r="A3550" t="n">
        <v>55</v>
      </c>
      <c r="B3550" t="n">
        <v>225</v>
      </c>
      <c r="C3550" t="n">
        <v>1</v>
      </c>
      <c r="D3550" s="218" t="n">
        <v>117.53</v>
      </c>
      <c r="E3550" s="218" t="n">
        <v>3.79</v>
      </c>
      <c r="F3550" t="str">
        <v>https://re.jrc.ec.europa.eu/api/v5_3/PVcalc?lat=30.0444&amp;lon=31.2357&amp;peakpower=1&amp;loss=14&amp;angle=55&amp;aspect=45&amp;outputformat=json&amp;raddatabase=PVGIS-SARAH3&amp;pvtechchoice=crystSi&amp;mountingplace=free&amp;usehorizon=1</v>
      </c>
    </row>
    <row r="3551">
      <c r="A3551" t="n">
        <v>55</v>
      </c>
      <c r="B3551" t="n">
        <v>225</v>
      </c>
      <c r="C3551" t="n">
        <v>2</v>
      </c>
      <c r="D3551" s="218" t="n">
        <v>113.94</v>
      </c>
      <c r="E3551" s="218" t="n">
        <v>4.07</v>
      </c>
      <c r="F3551" t="str">
        <v>https://re.jrc.ec.europa.eu/api/v5_3/PVcalc?lat=30.0444&amp;lon=31.2357&amp;peakpower=1&amp;loss=14&amp;angle=55&amp;aspect=45&amp;outputformat=json&amp;raddatabase=PVGIS-SARAH3&amp;pvtechchoice=crystSi&amp;mountingplace=free&amp;usehorizon=1</v>
      </c>
    </row>
    <row r="3552">
      <c r="A3552" t="n">
        <v>55</v>
      </c>
      <c r="B3552" t="n">
        <v>225</v>
      </c>
      <c r="C3552" t="n">
        <v>3</v>
      </c>
      <c r="D3552" s="218" t="n">
        <v>142.09</v>
      </c>
      <c r="E3552" s="218" t="n">
        <v>4.58</v>
      </c>
      <c r="F3552" t="str">
        <v>https://re.jrc.ec.europa.eu/api/v5_3/PVcalc?lat=30.0444&amp;lon=31.2357&amp;peakpower=1&amp;loss=14&amp;angle=55&amp;aspect=45&amp;outputformat=json&amp;raddatabase=PVGIS-SARAH3&amp;pvtechchoice=crystSi&amp;mountingplace=free&amp;usehorizon=1</v>
      </c>
    </row>
    <row r="3553">
      <c r="A3553" t="n">
        <v>55</v>
      </c>
      <c r="B3553" t="n">
        <v>225</v>
      </c>
      <c r="C3553" t="n">
        <v>4</v>
      </c>
      <c r="D3553" s="218" t="n">
        <v>138.12</v>
      </c>
      <c r="E3553" s="218" t="n">
        <v>4.6</v>
      </c>
      <c r="F3553" t="str">
        <v>https://re.jrc.ec.europa.eu/api/v5_3/PVcalc?lat=30.0444&amp;lon=31.2357&amp;peakpower=1&amp;loss=14&amp;angle=55&amp;aspect=45&amp;outputformat=json&amp;raddatabase=PVGIS-SARAH3&amp;pvtechchoice=crystSi&amp;mountingplace=free&amp;usehorizon=1</v>
      </c>
    </row>
    <row r="3554">
      <c r="A3554" t="n">
        <v>55</v>
      </c>
      <c r="B3554" t="n">
        <v>225</v>
      </c>
      <c r="C3554" t="n">
        <v>5</v>
      </c>
      <c r="D3554" s="218" t="n">
        <v>136.24</v>
      </c>
      <c r="E3554" s="218" t="n">
        <v>4.39</v>
      </c>
      <c r="F3554" t="str">
        <v>https://re.jrc.ec.europa.eu/api/v5_3/PVcalc?lat=30.0444&amp;lon=31.2357&amp;peakpower=1&amp;loss=14&amp;angle=55&amp;aspect=45&amp;outputformat=json&amp;raddatabase=PVGIS-SARAH3&amp;pvtechchoice=crystSi&amp;mountingplace=free&amp;usehorizon=1</v>
      </c>
    </row>
    <row r="3555">
      <c r="A3555" t="n">
        <v>55</v>
      </c>
      <c r="B3555" t="n">
        <v>225</v>
      </c>
      <c r="C3555" t="n">
        <v>6</v>
      </c>
      <c r="D3555" s="218" t="n">
        <v>132.36</v>
      </c>
      <c r="E3555" s="218" t="n">
        <v>4.41</v>
      </c>
      <c r="F3555" t="str">
        <v>https://re.jrc.ec.europa.eu/api/v5_3/PVcalc?lat=30.0444&amp;lon=31.2357&amp;peakpower=1&amp;loss=14&amp;angle=55&amp;aspect=45&amp;outputformat=json&amp;raddatabase=PVGIS-SARAH3&amp;pvtechchoice=crystSi&amp;mountingplace=free&amp;usehorizon=1</v>
      </c>
    </row>
    <row r="3556">
      <c r="A3556" t="n">
        <v>55</v>
      </c>
      <c r="B3556" t="n">
        <v>225</v>
      </c>
      <c r="C3556" t="n">
        <v>7</v>
      </c>
      <c r="D3556" s="218" t="n">
        <v>139.18</v>
      </c>
      <c r="E3556" s="218" t="n">
        <v>4.49</v>
      </c>
      <c r="F3556" t="str">
        <v>https://re.jrc.ec.europa.eu/api/v5_3/PVcalc?lat=30.0444&amp;lon=31.2357&amp;peakpower=1&amp;loss=14&amp;angle=55&amp;aspect=45&amp;outputformat=json&amp;raddatabase=PVGIS-SARAH3&amp;pvtechchoice=crystSi&amp;mountingplace=free&amp;usehorizon=1</v>
      </c>
    </row>
    <row r="3557">
      <c r="A3557" t="n">
        <v>55</v>
      </c>
      <c r="B3557" t="n">
        <v>225</v>
      </c>
      <c r="C3557" t="n">
        <v>8</v>
      </c>
      <c r="D3557" s="218" t="n">
        <v>144.06</v>
      </c>
      <c r="E3557" s="218" t="n">
        <v>4.65</v>
      </c>
      <c r="F3557" t="str">
        <v>https://re.jrc.ec.europa.eu/api/v5_3/PVcalc?lat=30.0444&amp;lon=31.2357&amp;peakpower=1&amp;loss=14&amp;angle=55&amp;aspect=45&amp;outputformat=json&amp;raddatabase=PVGIS-SARAH3&amp;pvtechchoice=crystSi&amp;mountingplace=free&amp;usehorizon=1</v>
      </c>
    </row>
    <row r="3558">
      <c r="A3558" t="n">
        <v>55</v>
      </c>
      <c r="B3558" t="n">
        <v>225</v>
      </c>
      <c r="C3558" t="n">
        <v>9</v>
      </c>
      <c r="D3558" s="218" t="n">
        <v>142.27</v>
      </c>
      <c r="E3558" s="218" t="n">
        <v>4.74</v>
      </c>
      <c r="F3558" t="str">
        <v>https://re.jrc.ec.europa.eu/api/v5_3/PVcalc?lat=30.0444&amp;lon=31.2357&amp;peakpower=1&amp;loss=14&amp;angle=55&amp;aspect=45&amp;outputformat=json&amp;raddatabase=PVGIS-SARAH3&amp;pvtechchoice=crystSi&amp;mountingplace=free&amp;usehorizon=1</v>
      </c>
    </row>
    <row r="3559">
      <c r="A3559" t="n">
        <v>55</v>
      </c>
      <c r="B3559" t="n">
        <v>225</v>
      </c>
      <c r="C3559" t="n">
        <v>10</v>
      </c>
      <c r="D3559" s="218" t="n">
        <v>137.04</v>
      </c>
      <c r="E3559" s="218" t="n">
        <v>4.42</v>
      </c>
      <c r="F3559" t="str">
        <v>https://re.jrc.ec.europa.eu/api/v5_3/PVcalc?lat=30.0444&amp;lon=31.2357&amp;peakpower=1&amp;loss=14&amp;angle=55&amp;aspect=45&amp;outputformat=json&amp;raddatabase=PVGIS-SARAH3&amp;pvtechchoice=crystSi&amp;mountingplace=free&amp;usehorizon=1</v>
      </c>
    </row>
    <row r="3560">
      <c r="A3560" t="n">
        <v>55</v>
      </c>
      <c r="B3560" t="n">
        <v>225</v>
      </c>
      <c r="C3560" t="n">
        <v>11</v>
      </c>
      <c r="D3560" s="218" t="n">
        <v>123.42</v>
      </c>
      <c r="E3560" s="218" t="n">
        <v>4.11</v>
      </c>
      <c r="F3560" t="str">
        <v>https://re.jrc.ec.europa.eu/api/v5_3/PVcalc?lat=30.0444&amp;lon=31.2357&amp;peakpower=1&amp;loss=14&amp;angle=55&amp;aspect=45&amp;outputformat=json&amp;raddatabase=PVGIS-SARAH3&amp;pvtechchoice=crystSi&amp;mountingplace=free&amp;usehorizon=1</v>
      </c>
    </row>
    <row r="3561">
      <c r="A3561" t="n">
        <v>55</v>
      </c>
      <c r="B3561" t="n">
        <v>225</v>
      </c>
      <c r="C3561" t="n">
        <v>12</v>
      </c>
      <c r="D3561" s="218" t="n">
        <v>118.21</v>
      </c>
      <c r="E3561" s="218" t="n">
        <v>3.81</v>
      </c>
      <c r="F3561" t="str">
        <v>https://re.jrc.ec.europa.eu/api/v5_3/PVcalc?lat=30.0444&amp;lon=31.2357&amp;peakpower=1&amp;loss=14&amp;angle=55&amp;aspect=45&amp;outputformat=json&amp;raddatabase=PVGIS-SARAH3&amp;pvtechchoice=crystSi&amp;mountingplace=free&amp;usehorizon=1</v>
      </c>
    </row>
    <row r="3562">
      <c r="A3562" t="n">
        <v>55</v>
      </c>
      <c r="B3562" t="n">
        <v>240</v>
      </c>
      <c r="C3562" t="n">
        <v>1</v>
      </c>
      <c r="D3562" s="218" t="n">
        <v>102.48</v>
      </c>
      <c r="E3562" s="218" t="n">
        <v>3.31</v>
      </c>
      <c r="F3562" t="str">
        <v>https://re.jrc.ec.europa.eu/api/v5_3/PVcalc?lat=30.0444&amp;lon=31.2357&amp;peakpower=1&amp;loss=14&amp;angle=55&amp;aspect=60&amp;outputformat=json&amp;raddatabase=PVGIS-SARAH3&amp;pvtechchoice=crystSi&amp;mountingplace=free&amp;usehorizon=1</v>
      </c>
    </row>
    <row r="3563">
      <c r="A3563" t="n">
        <v>55</v>
      </c>
      <c r="B3563" t="n">
        <v>240</v>
      </c>
      <c r="C3563" t="n">
        <v>2</v>
      </c>
      <c r="D3563" s="218" t="n">
        <v>102.92</v>
      </c>
      <c r="E3563" s="218" t="n">
        <v>3.68</v>
      </c>
      <c r="F3563" t="str">
        <v>https://re.jrc.ec.europa.eu/api/v5_3/PVcalc?lat=30.0444&amp;lon=31.2357&amp;peakpower=1&amp;loss=14&amp;angle=55&amp;aspect=60&amp;outputformat=json&amp;raddatabase=PVGIS-SARAH3&amp;pvtechchoice=crystSi&amp;mountingplace=free&amp;usehorizon=1</v>
      </c>
    </row>
    <row r="3564">
      <c r="A3564" t="n">
        <v>55</v>
      </c>
      <c r="B3564" t="n">
        <v>240</v>
      </c>
      <c r="C3564" t="n">
        <v>3</v>
      </c>
      <c r="D3564" s="218" t="n">
        <v>134.09</v>
      </c>
      <c r="E3564" s="218" t="n">
        <v>4.33</v>
      </c>
      <c r="F3564" t="str">
        <v>https://re.jrc.ec.europa.eu/api/v5_3/PVcalc?lat=30.0444&amp;lon=31.2357&amp;peakpower=1&amp;loss=14&amp;angle=55&amp;aspect=60&amp;outputformat=json&amp;raddatabase=PVGIS-SARAH3&amp;pvtechchoice=crystSi&amp;mountingplace=free&amp;usehorizon=1</v>
      </c>
    </row>
    <row r="3565">
      <c r="A3565" t="n">
        <v>55</v>
      </c>
      <c r="B3565" t="n">
        <v>240</v>
      </c>
      <c r="C3565" t="n">
        <v>4</v>
      </c>
      <c r="D3565" s="218" t="n">
        <v>135.4</v>
      </c>
      <c r="E3565" s="218" t="n">
        <v>4.51</v>
      </c>
      <c r="F3565" t="str">
        <v>https://re.jrc.ec.europa.eu/api/v5_3/PVcalc?lat=30.0444&amp;lon=31.2357&amp;peakpower=1&amp;loss=14&amp;angle=55&amp;aspect=60&amp;outputformat=json&amp;raddatabase=PVGIS-SARAH3&amp;pvtechchoice=crystSi&amp;mountingplace=free&amp;usehorizon=1</v>
      </c>
    </row>
    <row r="3566">
      <c r="A3566" t="n">
        <v>55</v>
      </c>
      <c r="B3566" t="n">
        <v>240</v>
      </c>
      <c r="C3566" t="n">
        <v>5</v>
      </c>
      <c r="D3566" s="218" t="n">
        <v>138.53</v>
      </c>
      <c r="E3566" s="218" t="n">
        <v>4.47</v>
      </c>
      <c r="F3566" t="str">
        <v>https://re.jrc.ec.europa.eu/api/v5_3/PVcalc?lat=30.0444&amp;lon=31.2357&amp;peakpower=1&amp;loss=14&amp;angle=55&amp;aspect=60&amp;outputformat=json&amp;raddatabase=PVGIS-SARAH3&amp;pvtechchoice=crystSi&amp;mountingplace=free&amp;usehorizon=1</v>
      </c>
    </row>
    <row r="3567">
      <c r="A3567" t="n">
        <v>55</v>
      </c>
      <c r="B3567" t="n">
        <v>240</v>
      </c>
      <c r="C3567" t="n">
        <v>6</v>
      </c>
      <c r="D3567" s="218" t="n">
        <v>138.21</v>
      </c>
      <c r="E3567" s="218" t="n">
        <v>4.61</v>
      </c>
      <c r="F3567" t="str">
        <v>https://re.jrc.ec.europa.eu/api/v5_3/PVcalc?lat=30.0444&amp;lon=31.2357&amp;peakpower=1&amp;loss=14&amp;angle=55&amp;aspect=60&amp;outputformat=json&amp;raddatabase=PVGIS-SARAH3&amp;pvtechchoice=crystSi&amp;mountingplace=free&amp;usehorizon=1</v>
      </c>
    </row>
    <row r="3568">
      <c r="A3568" t="n">
        <v>55</v>
      </c>
      <c r="B3568" t="n">
        <v>240</v>
      </c>
      <c r="C3568" t="n">
        <v>7</v>
      </c>
      <c r="D3568" s="218" t="n">
        <v>144.26</v>
      </c>
      <c r="E3568" s="218" t="n">
        <v>4.65</v>
      </c>
      <c r="F3568" t="str">
        <v>https://re.jrc.ec.europa.eu/api/v5_3/PVcalc?lat=30.0444&amp;lon=31.2357&amp;peakpower=1&amp;loss=14&amp;angle=55&amp;aspect=60&amp;outputformat=json&amp;raddatabase=PVGIS-SARAH3&amp;pvtechchoice=crystSi&amp;mountingplace=free&amp;usehorizon=1</v>
      </c>
    </row>
    <row r="3569">
      <c r="A3569" t="n">
        <v>55</v>
      </c>
      <c r="B3569" t="n">
        <v>240</v>
      </c>
      <c r="C3569" t="n">
        <v>8</v>
      </c>
      <c r="D3569" s="218" t="n">
        <v>144.18</v>
      </c>
      <c r="E3569" s="218" t="n">
        <v>4.65</v>
      </c>
      <c r="F3569" t="str">
        <v>https://re.jrc.ec.europa.eu/api/v5_3/PVcalc?lat=30.0444&amp;lon=31.2357&amp;peakpower=1&amp;loss=14&amp;angle=55&amp;aspect=60&amp;outputformat=json&amp;raddatabase=PVGIS-SARAH3&amp;pvtechchoice=crystSi&amp;mountingplace=free&amp;usehorizon=1</v>
      </c>
    </row>
    <row r="3570">
      <c r="A3570" t="n">
        <v>55</v>
      </c>
      <c r="B3570" t="n">
        <v>240</v>
      </c>
      <c r="C3570" t="n">
        <v>9</v>
      </c>
      <c r="D3570" s="218" t="n">
        <v>136.52</v>
      </c>
      <c r="E3570" s="218" t="n">
        <v>4.55</v>
      </c>
      <c r="F3570" t="str">
        <v>https://re.jrc.ec.europa.eu/api/v5_3/PVcalc?lat=30.0444&amp;lon=31.2357&amp;peakpower=1&amp;loss=14&amp;angle=55&amp;aspect=60&amp;outputformat=json&amp;raddatabase=PVGIS-SARAH3&amp;pvtechchoice=crystSi&amp;mountingplace=free&amp;usehorizon=1</v>
      </c>
    </row>
    <row r="3571">
      <c r="A3571" t="n">
        <v>55</v>
      </c>
      <c r="B3571" t="n">
        <v>240</v>
      </c>
      <c r="C3571" t="n">
        <v>10</v>
      </c>
      <c r="D3571" s="218" t="n">
        <v>126.08</v>
      </c>
      <c r="E3571" s="218" t="n">
        <v>4.07</v>
      </c>
      <c r="F3571" t="str">
        <v>https://re.jrc.ec.europa.eu/api/v5_3/PVcalc?lat=30.0444&amp;lon=31.2357&amp;peakpower=1&amp;loss=14&amp;angle=55&amp;aspect=60&amp;outputformat=json&amp;raddatabase=PVGIS-SARAH3&amp;pvtechchoice=crystSi&amp;mountingplace=free&amp;usehorizon=1</v>
      </c>
    </row>
    <row r="3572">
      <c r="A3572" t="n">
        <v>55</v>
      </c>
      <c r="B3572" t="n">
        <v>240</v>
      </c>
      <c r="C3572" t="n">
        <v>11</v>
      </c>
      <c r="D3572" s="218" t="n">
        <v>109.18</v>
      </c>
      <c r="E3572" s="218" t="n">
        <v>3.64</v>
      </c>
      <c r="F3572" t="str">
        <v>https://re.jrc.ec.europa.eu/api/v5_3/PVcalc?lat=30.0444&amp;lon=31.2357&amp;peakpower=1&amp;loss=14&amp;angle=55&amp;aspect=60&amp;outputformat=json&amp;raddatabase=PVGIS-SARAH3&amp;pvtechchoice=crystSi&amp;mountingplace=free&amp;usehorizon=1</v>
      </c>
    </row>
    <row r="3573">
      <c r="A3573" t="n">
        <v>55</v>
      </c>
      <c r="B3573" t="n">
        <v>240</v>
      </c>
      <c r="C3573" t="n">
        <v>12</v>
      </c>
      <c r="D3573" s="218" t="n">
        <v>102.23</v>
      </c>
      <c r="E3573" s="218" t="n">
        <v>3.3</v>
      </c>
      <c r="F3573" t="str">
        <v>https://re.jrc.ec.europa.eu/api/v5_3/PVcalc?lat=30.0444&amp;lon=31.2357&amp;peakpower=1&amp;loss=14&amp;angle=55&amp;aspect=60&amp;outputformat=json&amp;raddatabase=PVGIS-SARAH3&amp;pvtechchoice=crystSi&amp;mountingplace=free&amp;usehorizon=1</v>
      </c>
    </row>
    <row r="3574">
      <c r="A3574" t="n">
        <v>55</v>
      </c>
      <c r="B3574" t="n">
        <v>255</v>
      </c>
      <c r="C3574" t="n">
        <v>1</v>
      </c>
      <c r="D3574" s="218" t="n">
        <v>86.88</v>
      </c>
      <c r="E3574" s="218" t="n">
        <v>2.8</v>
      </c>
      <c r="F3574" t="str">
        <v>https://re.jrc.ec.europa.eu/api/v5_3/PVcalc?lat=30.0444&amp;lon=31.2357&amp;peakpower=1&amp;loss=14&amp;angle=55&amp;aspect=75&amp;outputformat=json&amp;raddatabase=PVGIS-SARAH3&amp;pvtechchoice=crystSi&amp;mountingplace=free&amp;usehorizon=1</v>
      </c>
    </row>
    <row r="3575">
      <c r="A3575" t="n">
        <v>55</v>
      </c>
      <c r="B3575" t="n">
        <v>255</v>
      </c>
      <c r="C3575" t="n">
        <v>2</v>
      </c>
      <c r="D3575" s="218" t="n">
        <v>91.39</v>
      </c>
      <c r="E3575" s="218" t="n">
        <v>3.26</v>
      </c>
      <c r="F3575" t="str">
        <v>https://re.jrc.ec.europa.eu/api/v5_3/PVcalc?lat=30.0444&amp;lon=31.2357&amp;peakpower=1&amp;loss=14&amp;angle=55&amp;aspect=75&amp;outputformat=json&amp;raddatabase=PVGIS-SARAH3&amp;pvtechchoice=crystSi&amp;mountingplace=free&amp;usehorizon=1</v>
      </c>
    </row>
    <row r="3576">
      <c r="A3576" t="n">
        <v>55</v>
      </c>
      <c r="B3576" t="n">
        <v>255</v>
      </c>
      <c r="C3576" t="n">
        <v>3</v>
      </c>
      <c r="D3576" s="218" t="n">
        <v>125.12</v>
      </c>
      <c r="E3576" s="218" t="n">
        <v>4.04</v>
      </c>
      <c r="F3576" t="str">
        <v>https://re.jrc.ec.europa.eu/api/v5_3/PVcalc?lat=30.0444&amp;lon=31.2357&amp;peakpower=1&amp;loss=14&amp;angle=55&amp;aspect=75&amp;outputformat=json&amp;raddatabase=PVGIS-SARAH3&amp;pvtechchoice=crystSi&amp;mountingplace=free&amp;usehorizon=1</v>
      </c>
    </row>
    <row r="3577">
      <c r="A3577" t="n">
        <v>55</v>
      </c>
      <c r="B3577" t="n">
        <v>255</v>
      </c>
      <c r="C3577" t="n">
        <v>4</v>
      </c>
      <c r="D3577" s="218" t="n">
        <v>131.75</v>
      </c>
      <c r="E3577" s="218" t="n">
        <v>4.39</v>
      </c>
      <c r="F3577" t="str">
        <v>https://re.jrc.ec.europa.eu/api/v5_3/PVcalc?lat=30.0444&amp;lon=31.2357&amp;peakpower=1&amp;loss=14&amp;angle=55&amp;aspect=75&amp;outputformat=json&amp;raddatabase=PVGIS-SARAH3&amp;pvtechchoice=crystSi&amp;mountingplace=free&amp;usehorizon=1</v>
      </c>
    </row>
    <row r="3578">
      <c r="A3578" t="n">
        <v>55</v>
      </c>
      <c r="B3578" t="n">
        <v>255</v>
      </c>
      <c r="C3578" t="n">
        <v>5</v>
      </c>
      <c r="D3578" s="218" t="n">
        <v>139.72</v>
      </c>
      <c r="E3578" s="218" t="n">
        <v>4.51</v>
      </c>
      <c r="F3578" t="str">
        <v>https://re.jrc.ec.europa.eu/api/v5_3/PVcalc?lat=30.0444&amp;lon=31.2357&amp;peakpower=1&amp;loss=14&amp;angle=55&amp;aspect=75&amp;outputformat=json&amp;raddatabase=PVGIS-SARAH3&amp;pvtechchoice=crystSi&amp;mountingplace=free&amp;usehorizon=1</v>
      </c>
    </row>
    <row r="3579">
      <c r="A3579" t="n">
        <v>55</v>
      </c>
      <c r="B3579" t="n">
        <v>255</v>
      </c>
      <c r="C3579" t="n">
        <v>6</v>
      </c>
      <c r="D3579" s="218" t="n">
        <v>142.62</v>
      </c>
      <c r="E3579" s="218" t="n">
        <v>4.75</v>
      </c>
      <c r="F3579" t="str">
        <v>https://re.jrc.ec.europa.eu/api/v5_3/PVcalc?lat=30.0444&amp;lon=31.2357&amp;peakpower=1&amp;loss=14&amp;angle=55&amp;aspect=75&amp;outputformat=json&amp;raddatabase=PVGIS-SARAH3&amp;pvtechchoice=crystSi&amp;mountingplace=free&amp;usehorizon=1</v>
      </c>
    </row>
    <row r="3580">
      <c r="A3580" t="n">
        <v>55</v>
      </c>
      <c r="B3580" t="n">
        <v>255</v>
      </c>
      <c r="C3580" t="n">
        <v>7</v>
      </c>
      <c r="D3580" s="218" t="n">
        <v>147.76</v>
      </c>
      <c r="E3580" s="218" t="n">
        <v>4.77</v>
      </c>
      <c r="F3580" t="str">
        <v>https://re.jrc.ec.europa.eu/api/v5_3/PVcalc?lat=30.0444&amp;lon=31.2357&amp;peakpower=1&amp;loss=14&amp;angle=55&amp;aspect=75&amp;outputformat=json&amp;raddatabase=PVGIS-SARAH3&amp;pvtechchoice=crystSi&amp;mountingplace=free&amp;usehorizon=1</v>
      </c>
    </row>
    <row r="3581">
      <c r="A3581" t="n">
        <v>55</v>
      </c>
      <c r="B3581" t="n">
        <v>255</v>
      </c>
      <c r="C3581" t="n">
        <v>8</v>
      </c>
      <c r="D3581" s="218" t="n">
        <v>142.96</v>
      </c>
      <c r="E3581" s="218" t="n">
        <v>4.61</v>
      </c>
      <c r="F3581" t="str">
        <v>https://re.jrc.ec.europa.eu/api/v5_3/PVcalc?lat=30.0444&amp;lon=31.2357&amp;peakpower=1&amp;loss=14&amp;angle=55&amp;aspect=75&amp;outputformat=json&amp;raddatabase=PVGIS-SARAH3&amp;pvtechchoice=crystSi&amp;mountingplace=free&amp;usehorizon=1</v>
      </c>
    </row>
    <row r="3582">
      <c r="A3582" t="n">
        <v>55</v>
      </c>
      <c r="B3582" t="n">
        <v>255</v>
      </c>
      <c r="C3582" t="n">
        <v>9</v>
      </c>
      <c r="D3582" s="218" t="n">
        <v>129.4</v>
      </c>
      <c r="E3582" s="218" t="n">
        <v>4.31</v>
      </c>
      <c r="F3582" t="str">
        <v>https://re.jrc.ec.europa.eu/api/v5_3/PVcalc?lat=30.0444&amp;lon=31.2357&amp;peakpower=1&amp;loss=14&amp;angle=55&amp;aspect=75&amp;outputformat=json&amp;raddatabase=PVGIS-SARAH3&amp;pvtechchoice=crystSi&amp;mountingplace=free&amp;usehorizon=1</v>
      </c>
    </row>
    <row r="3583">
      <c r="A3583" t="n">
        <v>55</v>
      </c>
      <c r="B3583" t="n">
        <v>255</v>
      </c>
      <c r="C3583" t="n">
        <v>10</v>
      </c>
      <c r="D3583" s="218" t="n">
        <v>113.6</v>
      </c>
      <c r="E3583" s="218" t="n">
        <v>3.66</v>
      </c>
      <c r="F3583" t="str">
        <v>https://re.jrc.ec.europa.eu/api/v5_3/PVcalc?lat=30.0444&amp;lon=31.2357&amp;peakpower=1&amp;loss=14&amp;angle=55&amp;aspect=75&amp;outputformat=json&amp;raddatabase=PVGIS-SARAH3&amp;pvtechchoice=crystSi&amp;mountingplace=free&amp;usehorizon=1</v>
      </c>
    </row>
    <row r="3584">
      <c r="A3584" t="n">
        <v>55</v>
      </c>
      <c r="B3584" t="n">
        <v>255</v>
      </c>
      <c r="C3584" t="n">
        <v>11</v>
      </c>
      <c r="D3584" s="218" t="n">
        <v>93.87</v>
      </c>
      <c r="E3584" s="218" t="n">
        <v>3.13</v>
      </c>
      <c r="F3584" t="str">
        <v>https://re.jrc.ec.europa.eu/api/v5_3/PVcalc?lat=30.0444&amp;lon=31.2357&amp;peakpower=1&amp;loss=14&amp;angle=55&amp;aspect=75&amp;outputformat=json&amp;raddatabase=PVGIS-SARAH3&amp;pvtechchoice=crystSi&amp;mountingplace=free&amp;usehorizon=1</v>
      </c>
    </row>
    <row r="3585">
      <c r="A3585" t="n">
        <v>55</v>
      </c>
      <c r="B3585" t="n">
        <v>255</v>
      </c>
      <c r="C3585" t="n">
        <v>12</v>
      </c>
      <c r="D3585" s="218" t="n">
        <v>85.52</v>
      </c>
      <c r="E3585" s="218" t="n">
        <v>2.76</v>
      </c>
      <c r="F3585" t="str">
        <v>https://re.jrc.ec.europa.eu/api/v5_3/PVcalc?lat=30.0444&amp;lon=31.2357&amp;peakpower=1&amp;loss=14&amp;angle=55&amp;aspect=75&amp;outputformat=json&amp;raddatabase=PVGIS-SARAH3&amp;pvtechchoice=crystSi&amp;mountingplace=free&amp;usehorizon=1</v>
      </c>
    </row>
    <row r="3586">
      <c r="A3586" t="n">
        <v>55</v>
      </c>
      <c r="B3586" t="n">
        <v>270</v>
      </c>
      <c r="C3586" t="n">
        <v>1</v>
      </c>
      <c r="D3586" s="218" t="n">
        <v>71.2</v>
      </c>
      <c r="E3586" s="218" t="n">
        <v>2.3</v>
      </c>
      <c r="F3586" t="str">
        <v>https://re.jrc.ec.europa.eu/api/v5_3/PVcalc?lat=30.0444&amp;lon=31.2357&amp;peakpower=1&amp;loss=14&amp;angle=55&amp;aspect=90&amp;outputformat=json&amp;raddatabase=PVGIS-SARAH3&amp;pvtechchoice=crystSi&amp;mountingplace=free&amp;usehorizon=1</v>
      </c>
    </row>
    <row r="3587">
      <c r="A3587" t="n">
        <v>55</v>
      </c>
      <c r="B3587" t="n">
        <v>270</v>
      </c>
      <c r="C3587" t="n">
        <v>2</v>
      </c>
      <c r="D3587" s="218" t="n">
        <v>79.21</v>
      </c>
      <c r="E3587" s="218" t="n">
        <v>2.83</v>
      </c>
      <c r="F3587" t="str">
        <v>https://re.jrc.ec.europa.eu/api/v5_3/PVcalc?lat=30.0444&amp;lon=31.2357&amp;peakpower=1&amp;loss=14&amp;angle=55&amp;aspect=90&amp;outputformat=json&amp;raddatabase=PVGIS-SARAH3&amp;pvtechchoice=crystSi&amp;mountingplace=free&amp;usehorizon=1</v>
      </c>
    </row>
    <row r="3588">
      <c r="A3588" t="n">
        <v>55</v>
      </c>
      <c r="B3588" t="n">
        <v>270</v>
      </c>
      <c r="C3588" t="n">
        <v>3</v>
      </c>
      <c r="D3588" s="218" t="n">
        <v>113.87</v>
      </c>
      <c r="E3588" s="218" t="n">
        <v>3.67</v>
      </c>
      <c r="F3588" t="str">
        <v>https://re.jrc.ec.europa.eu/api/v5_3/PVcalc?lat=30.0444&amp;lon=31.2357&amp;peakpower=1&amp;loss=14&amp;angle=55&amp;aspect=90&amp;outputformat=json&amp;raddatabase=PVGIS-SARAH3&amp;pvtechchoice=crystSi&amp;mountingplace=free&amp;usehorizon=1</v>
      </c>
    </row>
    <row r="3589">
      <c r="A3589" t="n">
        <v>55</v>
      </c>
      <c r="B3589" t="n">
        <v>270</v>
      </c>
      <c r="C3589" t="n">
        <v>4</v>
      </c>
      <c r="D3589" s="218" t="n">
        <v>125.63</v>
      </c>
      <c r="E3589" s="218" t="n">
        <v>4.19</v>
      </c>
      <c r="F3589" t="str">
        <v>https://re.jrc.ec.europa.eu/api/v5_3/PVcalc?lat=30.0444&amp;lon=31.2357&amp;peakpower=1&amp;loss=14&amp;angle=55&amp;aspect=90&amp;outputformat=json&amp;raddatabase=PVGIS-SARAH3&amp;pvtechchoice=crystSi&amp;mountingplace=free&amp;usehorizon=1</v>
      </c>
    </row>
    <row r="3590">
      <c r="A3590" t="n">
        <v>55</v>
      </c>
      <c r="B3590" t="n">
        <v>270</v>
      </c>
      <c r="C3590" t="n">
        <v>5</v>
      </c>
      <c r="D3590" s="218" t="n">
        <v>138.33</v>
      </c>
      <c r="E3590" s="218" t="n">
        <v>4.46</v>
      </c>
      <c r="F3590" t="str">
        <v>https://re.jrc.ec.europa.eu/api/v5_3/PVcalc?lat=30.0444&amp;lon=31.2357&amp;peakpower=1&amp;loss=14&amp;angle=55&amp;aspect=90&amp;outputformat=json&amp;raddatabase=PVGIS-SARAH3&amp;pvtechchoice=crystSi&amp;mountingplace=free&amp;usehorizon=1</v>
      </c>
    </row>
    <row r="3591">
      <c r="A3591" t="n">
        <v>55</v>
      </c>
      <c r="B3591" t="n">
        <v>270</v>
      </c>
      <c r="C3591" t="n">
        <v>6</v>
      </c>
      <c r="D3591" s="218" t="n">
        <v>144.03</v>
      </c>
      <c r="E3591" s="218" t="n">
        <v>4.8</v>
      </c>
      <c r="F3591" t="str">
        <v>https://re.jrc.ec.europa.eu/api/v5_3/PVcalc?lat=30.0444&amp;lon=31.2357&amp;peakpower=1&amp;loss=14&amp;angle=55&amp;aspect=90&amp;outputformat=json&amp;raddatabase=PVGIS-SARAH3&amp;pvtechchoice=crystSi&amp;mountingplace=free&amp;usehorizon=1</v>
      </c>
    </row>
    <row r="3592">
      <c r="A3592" t="n">
        <v>55</v>
      </c>
      <c r="B3592" t="n">
        <v>270</v>
      </c>
      <c r="C3592" t="n">
        <v>7</v>
      </c>
      <c r="D3592" s="218" t="n">
        <v>148.03</v>
      </c>
      <c r="E3592" s="218" t="n">
        <v>4.78</v>
      </c>
      <c r="F3592" t="str">
        <v>https://re.jrc.ec.europa.eu/api/v5_3/PVcalc?lat=30.0444&amp;lon=31.2357&amp;peakpower=1&amp;loss=14&amp;angle=55&amp;aspect=90&amp;outputformat=json&amp;raddatabase=PVGIS-SARAH3&amp;pvtechchoice=crystSi&amp;mountingplace=free&amp;usehorizon=1</v>
      </c>
    </row>
    <row r="3593">
      <c r="A3593" t="n">
        <v>55</v>
      </c>
      <c r="B3593" t="n">
        <v>270</v>
      </c>
      <c r="C3593" t="n">
        <v>8</v>
      </c>
      <c r="D3593" s="218" t="n">
        <v>138.61</v>
      </c>
      <c r="E3593" s="218" t="n">
        <v>4.47</v>
      </c>
      <c r="F3593" t="str">
        <v>https://re.jrc.ec.europa.eu/api/v5_3/PVcalc?lat=30.0444&amp;lon=31.2357&amp;peakpower=1&amp;loss=14&amp;angle=55&amp;aspect=90&amp;outputformat=json&amp;raddatabase=PVGIS-SARAH3&amp;pvtechchoice=crystSi&amp;mountingplace=free&amp;usehorizon=1</v>
      </c>
    </row>
    <row r="3594">
      <c r="A3594" t="n">
        <v>55</v>
      </c>
      <c r="B3594" t="n">
        <v>270</v>
      </c>
      <c r="C3594" t="n">
        <v>9</v>
      </c>
      <c r="D3594" s="218" t="n">
        <v>119.76</v>
      </c>
      <c r="E3594" s="218" t="n">
        <v>3.99</v>
      </c>
      <c r="F3594" t="str">
        <v>https://re.jrc.ec.europa.eu/api/v5_3/PVcalc?lat=30.0444&amp;lon=31.2357&amp;peakpower=1&amp;loss=14&amp;angle=55&amp;aspect=90&amp;outputformat=json&amp;raddatabase=PVGIS-SARAH3&amp;pvtechchoice=crystSi&amp;mountingplace=free&amp;usehorizon=1</v>
      </c>
    </row>
    <row r="3595">
      <c r="A3595" t="n">
        <v>55</v>
      </c>
      <c r="B3595" t="n">
        <v>270</v>
      </c>
      <c r="C3595" t="n">
        <v>10</v>
      </c>
      <c r="D3595" s="218" t="n">
        <v>99.54</v>
      </c>
      <c r="E3595" s="218" t="n">
        <v>3.21</v>
      </c>
      <c r="F3595" t="str">
        <v>https://re.jrc.ec.europa.eu/api/v5_3/PVcalc?lat=30.0444&amp;lon=31.2357&amp;peakpower=1&amp;loss=14&amp;angle=55&amp;aspect=90&amp;outputformat=json&amp;raddatabase=PVGIS-SARAH3&amp;pvtechchoice=crystSi&amp;mountingplace=free&amp;usehorizon=1</v>
      </c>
    </row>
    <row r="3596">
      <c r="A3596" t="n">
        <v>55</v>
      </c>
      <c r="B3596" t="n">
        <v>270</v>
      </c>
      <c r="C3596" t="n">
        <v>11</v>
      </c>
      <c r="D3596" s="218" t="n">
        <v>77.59</v>
      </c>
      <c r="E3596" s="218" t="n">
        <v>2.59</v>
      </c>
      <c r="F3596" t="str">
        <v>https://re.jrc.ec.europa.eu/api/v5_3/PVcalc?lat=30.0444&amp;lon=31.2357&amp;peakpower=1&amp;loss=14&amp;angle=55&amp;aspect=90&amp;outputformat=json&amp;raddatabase=PVGIS-SARAH3&amp;pvtechchoice=crystSi&amp;mountingplace=free&amp;usehorizon=1</v>
      </c>
    </row>
    <row r="3597">
      <c r="A3597" t="n">
        <v>55</v>
      </c>
      <c r="B3597" t="n">
        <v>270</v>
      </c>
      <c r="C3597" t="n">
        <v>12</v>
      </c>
      <c r="D3597" s="218" t="n">
        <v>68.58</v>
      </c>
      <c r="E3597" s="218" t="n">
        <v>2.21</v>
      </c>
      <c r="F3597" t="str">
        <v>https://re.jrc.ec.europa.eu/api/v5_3/PVcalc?lat=30.0444&amp;lon=31.2357&amp;peakpower=1&amp;loss=14&amp;angle=55&amp;aspect=90&amp;outputformat=json&amp;raddatabase=PVGIS-SARAH3&amp;pvtechchoice=crystSi&amp;mountingplace=free&amp;usehorizon=1</v>
      </c>
    </row>
    <row r="3598">
      <c r="A3598" t="n">
        <v>55</v>
      </c>
      <c r="B3598" t="n">
        <v>285</v>
      </c>
      <c r="C3598" t="n">
        <v>1</v>
      </c>
      <c r="D3598" s="218" t="n">
        <v>55.37</v>
      </c>
      <c r="E3598" s="218" t="n">
        <v>1.79</v>
      </c>
      <c r="F3598" t="str">
        <v>https://re.jrc.ec.europa.eu/api/v5_3/PVcalc?lat=30.0444&amp;lon=31.2357&amp;peakpower=1&amp;loss=14&amp;angle=55&amp;aspect=105&amp;outputformat=json&amp;raddatabase=PVGIS-SARAH3&amp;pvtechchoice=crystSi&amp;mountingplace=free&amp;usehorizon=1</v>
      </c>
    </row>
    <row r="3599">
      <c r="A3599" t="n">
        <v>55</v>
      </c>
      <c r="B3599" t="n">
        <v>285</v>
      </c>
      <c r="C3599" t="n">
        <v>2</v>
      </c>
      <c r="D3599" s="218" t="n">
        <v>66.21</v>
      </c>
      <c r="E3599" s="218" t="n">
        <v>2.36</v>
      </c>
      <c r="F3599" t="str">
        <v>https://re.jrc.ec.europa.eu/api/v5_3/PVcalc?lat=30.0444&amp;lon=31.2357&amp;peakpower=1&amp;loss=14&amp;angle=55&amp;aspect=105&amp;outputformat=json&amp;raddatabase=PVGIS-SARAH3&amp;pvtechchoice=crystSi&amp;mountingplace=free&amp;usehorizon=1</v>
      </c>
    </row>
    <row r="3600">
      <c r="A3600" t="n">
        <v>55</v>
      </c>
      <c r="B3600" t="n">
        <v>285</v>
      </c>
      <c r="C3600" t="n">
        <v>3</v>
      </c>
      <c r="D3600" s="218" t="n">
        <v>101.51</v>
      </c>
      <c r="E3600" s="218" t="n">
        <v>3.27</v>
      </c>
      <c r="F3600" t="str">
        <v>https://re.jrc.ec.europa.eu/api/v5_3/PVcalc?lat=30.0444&amp;lon=31.2357&amp;peakpower=1&amp;loss=14&amp;angle=55&amp;aspect=105&amp;outputformat=json&amp;raddatabase=PVGIS-SARAH3&amp;pvtechchoice=crystSi&amp;mountingplace=free&amp;usehorizon=1</v>
      </c>
    </row>
    <row r="3601">
      <c r="A3601" t="n">
        <v>55</v>
      </c>
      <c r="B3601" t="n">
        <v>285</v>
      </c>
      <c r="C3601" t="n">
        <v>4</v>
      </c>
      <c r="D3601" s="218" t="n">
        <v>117.49</v>
      </c>
      <c r="E3601" s="218" t="n">
        <v>3.92</v>
      </c>
      <c r="F3601" t="str">
        <v>https://re.jrc.ec.europa.eu/api/v5_3/PVcalc?lat=30.0444&amp;lon=31.2357&amp;peakpower=1&amp;loss=14&amp;angle=55&amp;aspect=105&amp;outputformat=json&amp;raddatabase=PVGIS-SARAH3&amp;pvtechchoice=crystSi&amp;mountingplace=free&amp;usehorizon=1</v>
      </c>
    </row>
    <row r="3602">
      <c r="A3602" t="n">
        <v>55</v>
      </c>
      <c r="B3602" t="n">
        <v>285</v>
      </c>
      <c r="C3602" t="n">
        <v>5</v>
      </c>
      <c r="D3602" s="218" t="n">
        <v>134.55</v>
      </c>
      <c r="E3602" s="218" t="n">
        <v>4.34</v>
      </c>
      <c r="F3602" t="str">
        <v>https://re.jrc.ec.europa.eu/api/v5_3/PVcalc?lat=30.0444&amp;lon=31.2357&amp;peakpower=1&amp;loss=14&amp;angle=55&amp;aspect=105&amp;outputformat=json&amp;raddatabase=PVGIS-SARAH3&amp;pvtechchoice=crystSi&amp;mountingplace=free&amp;usehorizon=1</v>
      </c>
    </row>
    <row r="3603">
      <c r="A3603" t="n">
        <v>55</v>
      </c>
      <c r="B3603" t="n">
        <v>285</v>
      </c>
      <c r="C3603" t="n">
        <v>6</v>
      </c>
      <c r="D3603" s="218" t="n">
        <v>142.68</v>
      </c>
      <c r="E3603" s="218" t="n">
        <v>4.76</v>
      </c>
      <c r="F3603" t="str">
        <v>https://re.jrc.ec.europa.eu/api/v5_3/PVcalc?lat=30.0444&amp;lon=31.2357&amp;peakpower=1&amp;loss=14&amp;angle=55&amp;aspect=105&amp;outputformat=json&amp;raddatabase=PVGIS-SARAH3&amp;pvtechchoice=crystSi&amp;mountingplace=free&amp;usehorizon=1</v>
      </c>
    </row>
    <row r="3604">
      <c r="A3604" t="n">
        <v>55</v>
      </c>
      <c r="B3604" t="n">
        <v>285</v>
      </c>
      <c r="C3604" t="n">
        <v>7</v>
      </c>
      <c r="D3604" s="218" t="n">
        <v>145.46</v>
      </c>
      <c r="E3604" s="218" t="n">
        <v>4.69</v>
      </c>
      <c r="F3604" t="str">
        <v>https://re.jrc.ec.europa.eu/api/v5_3/PVcalc?lat=30.0444&amp;lon=31.2357&amp;peakpower=1&amp;loss=14&amp;angle=55&amp;aspect=105&amp;outputformat=json&amp;raddatabase=PVGIS-SARAH3&amp;pvtechchoice=crystSi&amp;mountingplace=free&amp;usehorizon=1</v>
      </c>
    </row>
    <row r="3605">
      <c r="A3605" t="n">
        <v>55</v>
      </c>
      <c r="B3605" t="n">
        <v>285</v>
      </c>
      <c r="C3605" t="n">
        <v>8</v>
      </c>
      <c r="D3605" s="218" t="n">
        <v>131.62</v>
      </c>
      <c r="E3605" s="218" t="n">
        <v>4.25</v>
      </c>
      <c r="F3605" t="str">
        <v>https://re.jrc.ec.europa.eu/api/v5_3/PVcalc?lat=30.0444&amp;lon=31.2357&amp;peakpower=1&amp;loss=14&amp;angle=55&amp;aspect=105&amp;outputformat=json&amp;raddatabase=PVGIS-SARAH3&amp;pvtechchoice=crystSi&amp;mountingplace=free&amp;usehorizon=1</v>
      </c>
    </row>
    <row r="3606">
      <c r="A3606" t="n">
        <v>55</v>
      </c>
      <c r="B3606" t="n">
        <v>285</v>
      </c>
      <c r="C3606" t="n">
        <v>9</v>
      </c>
      <c r="D3606" s="218" t="n">
        <v>107.97</v>
      </c>
      <c r="E3606" s="218" t="n">
        <v>3.6</v>
      </c>
      <c r="F3606" t="str">
        <v>https://re.jrc.ec.europa.eu/api/v5_3/PVcalc?lat=30.0444&amp;lon=31.2357&amp;peakpower=1&amp;loss=14&amp;angle=55&amp;aspect=105&amp;outputformat=json&amp;raddatabase=PVGIS-SARAH3&amp;pvtechchoice=crystSi&amp;mountingplace=free&amp;usehorizon=1</v>
      </c>
    </row>
    <row r="3607">
      <c r="A3607" t="n">
        <v>55</v>
      </c>
      <c r="B3607" t="n">
        <v>285</v>
      </c>
      <c r="C3607" t="n">
        <v>10</v>
      </c>
      <c r="D3607" s="218" t="n">
        <v>84.59</v>
      </c>
      <c r="E3607" s="218" t="n">
        <v>2.73</v>
      </c>
      <c r="F3607" t="str">
        <v>https://re.jrc.ec.europa.eu/api/v5_3/PVcalc?lat=30.0444&amp;lon=31.2357&amp;peakpower=1&amp;loss=14&amp;angle=55&amp;aspect=105&amp;outputformat=json&amp;raddatabase=PVGIS-SARAH3&amp;pvtechchoice=crystSi&amp;mountingplace=free&amp;usehorizon=1</v>
      </c>
    </row>
    <row r="3608">
      <c r="A3608" t="n">
        <v>55</v>
      </c>
      <c r="B3608" t="n">
        <v>285</v>
      </c>
      <c r="C3608" t="n">
        <v>11</v>
      </c>
      <c r="D3608" s="218" t="n">
        <v>61.65</v>
      </c>
      <c r="E3608" s="218" t="n">
        <v>2.05</v>
      </c>
      <c r="F3608" t="str">
        <v>https://re.jrc.ec.europa.eu/api/v5_3/PVcalc?lat=30.0444&amp;lon=31.2357&amp;peakpower=1&amp;loss=14&amp;angle=55&amp;aspect=105&amp;outputformat=json&amp;raddatabase=PVGIS-SARAH3&amp;pvtechchoice=crystSi&amp;mountingplace=free&amp;usehorizon=1</v>
      </c>
    </row>
    <row r="3609">
      <c r="A3609" t="n">
        <v>55</v>
      </c>
      <c r="B3609" t="n">
        <v>285</v>
      </c>
      <c r="C3609" t="n">
        <v>12</v>
      </c>
      <c r="D3609" s="218" t="n">
        <v>52.03</v>
      </c>
      <c r="E3609" s="218" t="n">
        <v>1.68</v>
      </c>
      <c r="F3609" t="str">
        <v>https://re.jrc.ec.europa.eu/api/v5_3/PVcalc?lat=30.0444&amp;lon=31.2357&amp;peakpower=1&amp;loss=14&amp;angle=55&amp;aspect=105&amp;outputformat=json&amp;raddatabase=PVGIS-SARAH3&amp;pvtechchoice=crystSi&amp;mountingplace=free&amp;usehorizon=1</v>
      </c>
    </row>
    <row r="3610">
      <c r="A3610" t="n">
        <v>55</v>
      </c>
      <c r="B3610" t="n">
        <v>300</v>
      </c>
      <c r="C3610" t="n">
        <v>1</v>
      </c>
      <c r="D3610" s="218" t="n">
        <v>40.94</v>
      </c>
      <c r="E3610" s="218" t="n">
        <v>1.32</v>
      </c>
      <c r="F3610" t="str">
        <v>https://re.jrc.ec.europa.eu/api/v5_3/PVcalc?lat=30.0444&amp;lon=31.2357&amp;peakpower=1&amp;loss=14&amp;angle=55&amp;aspect=120&amp;outputformat=json&amp;raddatabase=PVGIS-SARAH3&amp;pvtechchoice=crystSi&amp;mountingplace=free&amp;usehorizon=1</v>
      </c>
    </row>
    <row r="3611">
      <c r="A3611" t="n">
        <v>55</v>
      </c>
      <c r="B3611" t="n">
        <v>300</v>
      </c>
      <c r="C3611" t="n">
        <v>2</v>
      </c>
      <c r="D3611" s="218" t="n">
        <v>53.37</v>
      </c>
      <c r="E3611" s="218" t="n">
        <v>1.91</v>
      </c>
      <c r="F3611" t="str">
        <v>https://re.jrc.ec.europa.eu/api/v5_3/PVcalc?lat=30.0444&amp;lon=31.2357&amp;peakpower=1&amp;loss=14&amp;angle=55&amp;aspect=120&amp;outputformat=json&amp;raddatabase=PVGIS-SARAH3&amp;pvtechchoice=crystSi&amp;mountingplace=free&amp;usehorizon=1</v>
      </c>
    </row>
    <row r="3612">
      <c r="A3612" t="n">
        <v>55</v>
      </c>
      <c r="B3612" t="n">
        <v>300</v>
      </c>
      <c r="C3612" t="n">
        <v>3</v>
      </c>
      <c r="D3612" s="218" t="n">
        <v>87.34</v>
      </c>
      <c r="E3612" s="218" t="n">
        <v>2.82</v>
      </c>
      <c r="F3612" t="str">
        <v>https://re.jrc.ec.europa.eu/api/v5_3/PVcalc?lat=30.0444&amp;lon=31.2357&amp;peakpower=1&amp;loss=14&amp;angle=55&amp;aspect=120&amp;outputformat=json&amp;raddatabase=PVGIS-SARAH3&amp;pvtechchoice=crystSi&amp;mountingplace=free&amp;usehorizon=1</v>
      </c>
    </row>
    <row r="3613">
      <c r="A3613" t="n">
        <v>55</v>
      </c>
      <c r="B3613" t="n">
        <v>300</v>
      </c>
      <c r="C3613" t="n">
        <v>4</v>
      </c>
      <c r="D3613" s="218" t="n">
        <v>107.64</v>
      </c>
      <c r="E3613" s="218" t="n">
        <v>3.59</v>
      </c>
      <c r="F3613" t="str">
        <v>https://re.jrc.ec.europa.eu/api/v5_3/PVcalc?lat=30.0444&amp;lon=31.2357&amp;peakpower=1&amp;loss=14&amp;angle=55&amp;aspect=120&amp;outputformat=json&amp;raddatabase=PVGIS-SARAH3&amp;pvtechchoice=crystSi&amp;mountingplace=free&amp;usehorizon=1</v>
      </c>
    </row>
    <row r="3614">
      <c r="A3614" t="n">
        <v>55</v>
      </c>
      <c r="B3614" t="n">
        <v>300</v>
      </c>
      <c r="C3614" t="n">
        <v>5</v>
      </c>
      <c r="D3614" s="218" t="n">
        <v>128.45</v>
      </c>
      <c r="E3614" s="218" t="n">
        <v>4.14</v>
      </c>
      <c r="F3614" t="str">
        <v>https://re.jrc.ec.europa.eu/api/v5_3/PVcalc?lat=30.0444&amp;lon=31.2357&amp;peakpower=1&amp;loss=14&amp;angle=55&amp;aspect=120&amp;outputformat=json&amp;raddatabase=PVGIS-SARAH3&amp;pvtechchoice=crystSi&amp;mountingplace=free&amp;usehorizon=1</v>
      </c>
    </row>
    <row r="3615">
      <c r="A3615" t="n">
        <v>55</v>
      </c>
      <c r="B3615" t="n">
        <v>300</v>
      </c>
      <c r="C3615" t="n">
        <v>6</v>
      </c>
      <c r="D3615" s="218" t="n">
        <v>138.4</v>
      </c>
      <c r="E3615" s="218" t="n">
        <v>4.61</v>
      </c>
      <c r="F3615" t="str">
        <v>https://re.jrc.ec.europa.eu/api/v5_3/PVcalc?lat=30.0444&amp;lon=31.2357&amp;peakpower=1&amp;loss=14&amp;angle=55&amp;aspect=120&amp;outputformat=json&amp;raddatabase=PVGIS-SARAH3&amp;pvtechchoice=crystSi&amp;mountingplace=free&amp;usehorizon=1</v>
      </c>
    </row>
    <row r="3616">
      <c r="A3616" t="n">
        <v>55</v>
      </c>
      <c r="B3616" t="n">
        <v>300</v>
      </c>
      <c r="C3616" t="n">
        <v>7</v>
      </c>
      <c r="D3616" s="218" t="n">
        <v>140.11</v>
      </c>
      <c r="E3616" s="218" t="n">
        <v>4.52</v>
      </c>
      <c r="F3616" t="str">
        <v>https://re.jrc.ec.europa.eu/api/v5_3/PVcalc?lat=30.0444&amp;lon=31.2357&amp;peakpower=1&amp;loss=14&amp;angle=55&amp;aspect=120&amp;outputformat=json&amp;raddatabase=PVGIS-SARAH3&amp;pvtechchoice=crystSi&amp;mountingplace=free&amp;usehorizon=1</v>
      </c>
    </row>
    <row r="3617">
      <c r="A3617" t="n">
        <v>55</v>
      </c>
      <c r="B3617" t="n">
        <v>300</v>
      </c>
      <c r="C3617" t="n">
        <v>8</v>
      </c>
      <c r="D3617" s="218" t="n">
        <v>122.23</v>
      </c>
      <c r="E3617" s="218" t="n">
        <v>3.94</v>
      </c>
      <c r="F3617" t="str">
        <v>https://re.jrc.ec.europa.eu/api/v5_3/PVcalc?lat=30.0444&amp;lon=31.2357&amp;peakpower=1&amp;loss=14&amp;angle=55&amp;aspect=120&amp;outputformat=json&amp;raddatabase=PVGIS-SARAH3&amp;pvtechchoice=crystSi&amp;mountingplace=free&amp;usehorizon=1</v>
      </c>
    </row>
    <row r="3618">
      <c r="A3618" t="n">
        <v>55</v>
      </c>
      <c r="B3618" t="n">
        <v>300</v>
      </c>
      <c r="C3618" t="n">
        <v>9</v>
      </c>
      <c r="D3618" s="218" t="n">
        <v>94.73</v>
      </c>
      <c r="E3618" s="218" t="n">
        <v>3.16</v>
      </c>
      <c r="F3618" t="str">
        <v>https://re.jrc.ec.europa.eu/api/v5_3/PVcalc?lat=30.0444&amp;lon=31.2357&amp;peakpower=1&amp;loss=14&amp;angle=55&amp;aspect=120&amp;outputformat=json&amp;raddatabase=PVGIS-SARAH3&amp;pvtechchoice=crystSi&amp;mountingplace=free&amp;usehorizon=1</v>
      </c>
    </row>
    <row r="3619">
      <c r="A3619" t="n">
        <v>55</v>
      </c>
      <c r="B3619" t="n">
        <v>300</v>
      </c>
      <c r="C3619" t="n">
        <v>10</v>
      </c>
      <c r="D3619" s="218" t="n">
        <v>68.66</v>
      </c>
      <c r="E3619" s="218" t="n">
        <v>2.21</v>
      </c>
      <c r="F3619" t="str">
        <v>https://re.jrc.ec.europa.eu/api/v5_3/PVcalc?lat=30.0444&amp;lon=31.2357&amp;peakpower=1&amp;loss=14&amp;angle=55&amp;aspect=120&amp;outputformat=json&amp;raddatabase=PVGIS-SARAH3&amp;pvtechchoice=crystSi&amp;mountingplace=free&amp;usehorizon=1</v>
      </c>
    </row>
    <row r="3620">
      <c r="A3620" t="n">
        <v>55</v>
      </c>
      <c r="B3620" t="n">
        <v>300</v>
      </c>
      <c r="C3620" t="n">
        <v>11</v>
      </c>
      <c r="D3620" s="218" t="n">
        <v>45.8</v>
      </c>
      <c r="E3620" s="218" t="n">
        <v>1.53</v>
      </c>
      <c r="F3620" t="str">
        <v>https://re.jrc.ec.europa.eu/api/v5_3/PVcalc?lat=30.0444&amp;lon=31.2357&amp;peakpower=1&amp;loss=14&amp;angle=55&amp;aspect=120&amp;outputformat=json&amp;raddatabase=PVGIS-SARAH3&amp;pvtechchoice=crystSi&amp;mountingplace=free&amp;usehorizon=1</v>
      </c>
    </row>
    <row r="3621">
      <c r="A3621" t="n">
        <v>55</v>
      </c>
      <c r="B3621" t="n">
        <v>300</v>
      </c>
      <c r="C3621" t="n">
        <v>12</v>
      </c>
      <c r="D3621" s="218" t="n">
        <v>37.17</v>
      </c>
      <c r="E3621" s="218" t="n">
        <v>1.2</v>
      </c>
      <c r="F3621" t="str">
        <v>https://re.jrc.ec.europa.eu/api/v5_3/PVcalc?lat=30.0444&amp;lon=31.2357&amp;peakpower=1&amp;loss=14&amp;angle=55&amp;aspect=120&amp;outputformat=json&amp;raddatabase=PVGIS-SARAH3&amp;pvtechchoice=crystSi&amp;mountingplace=free&amp;usehorizon=1</v>
      </c>
    </row>
    <row r="3622">
      <c r="A3622" t="n">
        <v>55</v>
      </c>
      <c r="B3622" t="n">
        <v>315</v>
      </c>
      <c r="C3622" t="n">
        <v>1</v>
      </c>
      <c r="D3622" s="218" t="n">
        <v>28.49</v>
      </c>
      <c r="E3622" s="218" t="n">
        <v>0.92</v>
      </c>
      <c r="F3622" t="str">
        <v>https://re.jrc.ec.europa.eu/api/v5_3/PVcalc?lat=30.0444&amp;lon=31.2357&amp;peakpower=1&amp;loss=14&amp;angle=55&amp;aspect=135&amp;outputformat=json&amp;raddatabase=PVGIS-SARAH3&amp;pvtechchoice=crystSi&amp;mountingplace=free&amp;usehorizon=1</v>
      </c>
    </row>
    <row r="3623">
      <c r="A3623" t="n">
        <v>55</v>
      </c>
      <c r="B3623" t="n">
        <v>315</v>
      </c>
      <c r="C3623" t="n">
        <v>2</v>
      </c>
      <c r="D3623" s="218" t="n">
        <v>40.66</v>
      </c>
      <c r="E3623" s="218" t="n">
        <v>1.45</v>
      </c>
      <c r="F3623" t="str">
        <v>https://re.jrc.ec.europa.eu/api/v5_3/PVcalc?lat=30.0444&amp;lon=31.2357&amp;peakpower=1&amp;loss=14&amp;angle=55&amp;aspect=135&amp;outputformat=json&amp;raddatabase=PVGIS-SARAH3&amp;pvtechchoice=crystSi&amp;mountingplace=free&amp;usehorizon=1</v>
      </c>
    </row>
    <row r="3624">
      <c r="A3624" t="n">
        <v>55</v>
      </c>
      <c r="B3624" t="n">
        <v>315</v>
      </c>
      <c r="C3624" t="n">
        <v>3</v>
      </c>
      <c r="D3624" s="218" t="n">
        <v>72.16</v>
      </c>
      <c r="E3624" s="218" t="n">
        <v>2.33</v>
      </c>
      <c r="F3624" t="str">
        <v>https://re.jrc.ec.europa.eu/api/v5_3/PVcalc?lat=30.0444&amp;lon=31.2357&amp;peakpower=1&amp;loss=14&amp;angle=55&amp;aspect=135&amp;outputformat=json&amp;raddatabase=PVGIS-SARAH3&amp;pvtechchoice=crystSi&amp;mountingplace=free&amp;usehorizon=1</v>
      </c>
    </row>
    <row r="3625">
      <c r="A3625" t="n">
        <v>55</v>
      </c>
      <c r="B3625" t="n">
        <v>315</v>
      </c>
      <c r="C3625" t="n">
        <v>4</v>
      </c>
      <c r="D3625" s="218" t="n">
        <v>96.2</v>
      </c>
      <c r="E3625" s="218" t="n">
        <v>3.21</v>
      </c>
      <c r="F3625" t="str">
        <v>https://re.jrc.ec.europa.eu/api/v5_3/PVcalc?lat=30.0444&amp;lon=31.2357&amp;peakpower=1&amp;loss=14&amp;angle=55&amp;aspect=135&amp;outputformat=json&amp;raddatabase=PVGIS-SARAH3&amp;pvtechchoice=crystSi&amp;mountingplace=free&amp;usehorizon=1</v>
      </c>
    </row>
    <row r="3626">
      <c r="A3626" t="n">
        <v>55</v>
      </c>
      <c r="B3626" t="n">
        <v>315</v>
      </c>
      <c r="C3626" t="n">
        <v>5</v>
      </c>
      <c r="D3626" s="218" t="n">
        <v>120.71</v>
      </c>
      <c r="E3626" s="218" t="n">
        <v>3.89</v>
      </c>
      <c r="F3626" t="str">
        <v>https://re.jrc.ec.europa.eu/api/v5_3/PVcalc?lat=30.0444&amp;lon=31.2357&amp;peakpower=1&amp;loss=14&amp;angle=55&amp;aspect=135&amp;outputformat=json&amp;raddatabase=PVGIS-SARAH3&amp;pvtechchoice=crystSi&amp;mountingplace=free&amp;usehorizon=1</v>
      </c>
    </row>
    <row r="3627">
      <c r="A3627" t="n">
        <v>55</v>
      </c>
      <c r="B3627" t="n">
        <v>315</v>
      </c>
      <c r="C3627" t="n">
        <v>6</v>
      </c>
      <c r="D3627" s="218" t="n">
        <v>132.94</v>
      </c>
      <c r="E3627" s="218" t="n">
        <v>4.43</v>
      </c>
      <c r="F3627" t="str">
        <v>https://re.jrc.ec.europa.eu/api/v5_3/PVcalc?lat=30.0444&amp;lon=31.2357&amp;peakpower=1&amp;loss=14&amp;angle=55&amp;aspect=135&amp;outputformat=json&amp;raddatabase=PVGIS-SARAH3&amp;pvtechchoice=crystSi&amp;mountingplace=free&amp;usehorizon=1</v>
      </c>
    </row>
    <row r="3628">
      <c r="A3628" t="n">
        <v>55</v>
      </c>
      <c r="B3628" t="n">
        <v>315</v>
      </c>
      <c r="C3628" t="n">
        <v>7</v>
      </c>
      <c r="D3628" s="218" t="n">
        <v>132.66</v>
      </c>
      <c r="E3628" s="218" t="n">
        <v>4.28</v>
      </c>
      <c r="F3628" t="str">
        <v>https://re.jrc.ec.europa.eu/api/v5_3/PVcalc?lat=30.0444&amp;lon=31.2357&amp;peakpower=1&amp;loss=14&amp;angle=55&amp;aspect=135&amp;outputformat=json&amp;raddatabase=PVGIS-SARAH3&amp;pvtechchoice=crystSi&amp;mountingplace=free&amp;usehorizon=1</v>
      </c>
    </row>
    <row r="3629">
      <c r="A3629" t="n">
        <v>55</v>
      </c>
      <c r="B3629" t="n">
        <v>315</v>
      </c>
      <c r="C3629" t="n">
        <v>8</v>
      </c>
      <c r="D3629" s="218" t="n">
        <v>110.74</v>
      </c>
      <c r="E3629" s="218" t="n">
        <v>3.57</v>
      </c>
      <c r="F3629" t="str">
        <v>https://re.jrc.ec.europa.eu/api/v5_3/PVcalc?lat=30.0444&amp;lon=31.2357&amp;peakpower=1&amp;loss=14&amp;angle=55&amp;aspect=135&amp;outputformat=json&amp;raddatabase=PVGIS-SARAH3&amp;pvtechchoice=crystSi&amp;mountingplace=free&amp;usehorizon=1</v>
      </c>
    </row>
    <row r="3630">
      <c r="A3630" t="n">
        <v>55</v>
      </c>
      <c r="B3630" t="n">
        <v>315</v>
      </c>
      <c r="C3630" t="n">
        <v>9</v>
      </c>
      <c r="D3630" s="218" t="n">
        <v>79.71</v>
      </c>
      <c r="E3630" s="218" t="n">
        <v>2.66</v>
      </c>
      <c r="F3630" t="str">
        <v>https://re.jrc.ec.europa.eu/api/v5_3/PVcalc?lat=30.0444&amp;lon=31.2357&amp;peakpower=1&amp;loss=14&amp;angle=55&amp;aspect=135&amp;outputformat=json&amp;raddatabase=PVGIS-SARAH3&amp;pvtechchoice=crystSi&amp;mountingplace=free&amp;usehorizon=1</v>
      </c>
    </row>
    <row r="3631">
      <c r="A3631" t="n">
        <v>55</v>
      </c>
      <c r="B3631" t="n">
        <v>315</v>
      </c>
      <c r="C3631" t="n">
        <v>10</v>
      </c>
      <c r="D3631" s="218" t="n">
        <v>52.36</v>
      </c>
      <c r="E3631" s="218" t="n">
        <v>1.69</v>
      </c>
      <c r="F3631" t="str">
        <v>https://re.jrc.ec.europa.eu/api/v5_3/PVcalc?lat=30.0444&amp;lon=31.2357&amp;peakpower=1&amp;loss=14&amp;angle=55&amp;aspect=135&amp;outputformat=json&amp;raddatabase=PVGIS-SARAH3&amp;pvtechchoice=crystSi&amp;mountingplace=free&amp;usehorizon=1</v>
      </c>
    </row>
    <row r="3632">
      <c r="A3632" t="n">
        <v>55</v>
      </c>
      <c r="B3632" t="n">
        <v>315</v>
      </c>
      <c r="C3632" t="n">
        <v>11</v>
      </c>
      <c r="D3632" s="218" t="n">
        <v>31.45</v>
      </c>
      <c r="E3632" s="218" t="n">
        <v>1.05</v>
      </c>
      <c r="F3632" t="str">
        <v>https://re.jrc.ec.europa.eu/api/v5_3/PVcalc?lat=30.0444&amp;lon=31.2357&amp;peakpower=1&amp;loss=14&amp;angle=55&amp;aspect=135&amp;outputformat=json&amp;raddatabase=PVGIS-SARAH3&amp;pvtechchoice=crystSi&amp;mountingplace=free&amp;usehorizon=1</v>
      </c>
    </row>
    <row r="3633">
      <c r="A3633" t="n">
        <v>55</v>
      </c>
      <c r="B3633" t="n">
        <v>315</v>
      </c>
      <c r="C3633" t="n">
        <v>12</v>
      </c>
      <c r="D3633" s="218" t="n">
        <v>24.94</v>
      </c>
      <c r="E3633" s="218" t="n">
        <v>0.8</v>
      </c>
      <c r="F3633" t="str">
        <v>https://re.jrc.ec.europa.eu/api/v5_3/PVcalc?lat=30.0444&amp;lon=31.2357&amp;peakpower=1&amp;loss=14&amp;angle=55&amp;aspect=135&amp;outputformat=json&amp;raddatabase=PVGIS-SARAH3&amp;pvtechchoice=crystSi&amp;mountingplace=free&amp;usehorizon=1</v>
      </c>
    </row>
    <row r="3634">
      <c r="A3634" t="n">
        <v>55</v>
      </c>
      <c r="B3634" t="n">
        <v>330</v>
      </c>
      <c r="C3634" t="n">
        <v>1</v>
      </c>
      <c r="D3634" s="218" t="n">
        <v>20.88</v>
      </c>
      <c r="E3634" s="218" t="n">
        <v>0.67</v>
      </c>
      <c r="F3634" t="str">
        <v>https://re.jrc.ec.europa.eu/api/v5_3/PVcalc?lat=30.0444&amp;lon=31.2357&amp;peakpower=1&amp;loss=14&amp;angle=55&amp;aspect=150&amp;outputformat=json&amp;raddatabase=PVGIS-SARAH3&amp;pvtechchoice=crystSi&amp;mountingplace=free&amp;usehorizon=1</v>
      </c>
    </row>
    <row r="3635">
      <c r="A3635" t="n">
        <v>55</v>
      </c>
      <c r="B3635" t="n">
        <v>330</v>
      </c>
      <c r="C3635" t="n">
        <v>2</v>
      </c>
      <c r="D3635" s="218" t="n">
        <v>29.57</v>
      </c>
      <c r="E3635" s="218" t="n">
        <v>1.06</v>
      </c>
      <c r="F3635" t="str">
        <v>https://re.jrc.ec.europa.eu/api/v5_3/PVcalc?lat=30.0444&amp;lon=31.2357&amp;peakpower=1&amp;loss=14&amp;angle=55&amp;aspect=150&amp;outputformat=json&amp;raddatabase=PVGIS-SARAH3&amp;pvtechchoice=crystSi&amp;mountingplace=free&amp;usehorizon=1</v>
      </c>
    </row>
    <row r="3636">
      <c r="A3636" t="n">
        <v>55</v>
      </c>
      <c r="B3636" t="n">
        <v>330</v>
      </c>
      <c r="C3636" t="n">
        <v>3</v>
      </c>
      <c r="D3636" s="218" t="n">
        <v>56.34</v>
      </c>
      <c r="E3636" s="218" t="n">
        <v>1.82</v>
      </c>
      <c r="F3636" t="str">
        <v>https://re.jrc.ec.europa.eu/api/v5_3/PVcalc?lat=30.0444&amp;lon=31.2357&amp;peakpower=1&amp;loss=14&amp;angle=55&amp;aspect=150&amp;outputformat=json&amp;raddatabase=PVGIS-SARAH3&amp;pvtechchoice=crystSi&amp;mountingplace=free&amp;usehorizon=1</v>
      </c>
    </row>
    <row r="3637">
      <c r="A3637" t="n">
        <v>55</v>
      </c>
      <c r="B3637" t="n">
        <v>330</v>
      </c>
      <c r="C3637" t="n">
        <v>4</v>
      </c>
      <c r="D3637" s="218" t="n">
        <v>83.73</v>
      </c>
      <c r="E3637" s="218" t="n">
        <v>2.79</v>
      </c>
      <c r="F3637" t="str">
        <v>https://re.jrc.ec.europa.eu/api/v5_3/PVcalc?lat=30.0444&amp;lon=31.2357&amp;peakpower=1&amp;loss=14&amp;angle=55&amp;aspect=150&amp;outputformat=json&amp;raddatabase=PVGIS-SARAH3&amp;pvtechchoice=crystSi&amp;mountingplace=free&amp;usehorizon=1</v>
      </c>
    </row>
    <row r="3638">
      <c r="A3638" t="n">
        <v>55</v>
      </c>
      <c r="B3638" t="n">
        <v>330</v>
      </c>
      <c r="C3638" t="n">
        <v>5</v>
      </c>
      <c r="D3638" s="218" t="n">
        <v>112.91</v>
      </c>
      <c r="E3638" s="218" t="n">
        <v>3.64</v>
      </c>
      <c r="F3638" t="str">
        <v>https://re.jrc.ec.europa.eu/api/v5_3/PVcalc?lat=30.0444&amp;lon=31.2357&amp;peakpower=1&amp;loss=14&amp;angle=55&amp;aspect=150&amp;outputformat=json&amp;raddatabase=PVGIS-SARAH3&amp;pvtechchoice=crystSi&amp;mountingplace=free&amp;usehorizon=1</v>
      </c>
    </row>
    <row r="3639">
      <c r="A3639" t="n">
        <v>55</v>
      </c>
      <c r="B3639" t="n">
        <v>330</v>
      </c>
      <c r="C3639" t="n">
        <v>6</v>
      </c>
      <c r="D3639" s="218" t="n">
        <v>127.45</v>
      </c>
      <c r="E3639" s="218" t="n">
        <v>4.25</v>
      </c>
      <c r="F3639" t="str">
        <v>https://re.jrc.ec.europa.eu/api/v5_3/PVcalc?lat=30.0444&amp;lon=31.2357&amp;peakpower=1&amp;loss=14&amp;angle=55&amp;aspect=150&amp;outputformat=json&amp;raddatabase=PVGIS-SARAH3&amp;pvtechchoice=crystSi&amp;mountingplace=free&amp;usehorizon=1</v>
      </c>
    </row>
    <row r="3640">
      <c r="A3640" t="n">
        <v>55</v>
      </c>
      <c r="B3640" t="n">
        <v>330</v>
      </c>
      <c r="C3640" t="n">
        <v>7</v>
      </c>
      <c r="D3640" s="218" t="n">
        <v>125.23</v>
      </c>
      <c r="E3640" s="218" t="n">
        <v>4.04</v>
      </c>
      <c r="F3640" t="str">
        <v>https://re.jrc.ec.europa.eu/api/v5_3/PVcalc?lat=30.0444&amp;lon=31.2357&amp;peakpower=1&amp;loss=14&amp;angle=55&amp;aspect=150&amp;outputformat=json&amp;raddatabase=PVGIS-SARAH3&amp;pvtechchoice=crystSi&amp;mountingplace=free&amp;usehorizon=1</v>
      </c>
    </row>
    <row r="3641">
      <c r="A3641" t="n">
        <v>55</v>
      </c>
      <c r="B3641" t="n">
        <v>330</v>
      </c>
      <c r="C3641" t="n">
        <v>8</v>
      </c>
      <c r="D3641" s="218" t="n">
        <v>98.02</v>
      </c>
      <c r="E3641" s="218" t="n">
        <v>3.16</v>
      </c>
      <c r="F3641" t="str">
        <v>https://re.jrc.ec.europa.eu/api/v5_3/PVcalc?lat=30.0444&amp;lon=31.2357&amp;peakpower=1&amp;loss=14&amp;angle=55&amp;aspect=150&amp;outputformat=json&amp;raddatabase=PVGIS-SARAH3&amp;pvtechchoice=crystSi&amp;mountingplace=free&amp;usehorizon=1</v>
      </c>
    </row>
    <row r="3642">
      <c r="A3642" t="n">
        <v>55</v>
      </c>
      <c r="B3642" t="n">
        <v>330</v>
      </c>
      <c r="C3642" t="n">
        <v>9</v>
      </c>
      <c r="D3642" s="218" t="n">
        <v>63.54</v>
      </c>
      <c r="E3642" s="218" t="n">
        <v>2.12</v>
      </c>
      <c r="F3642" t="str">
        <v>https://re.jrc.ec.europa.eu/api/v5_3/PVcalc?lat=30.0444&amp;lon=31.2357&amp;peakpower=1&amp;loss=14&amp;angle=55&amp;aspect=150&amp;outputformat=json&amp;raddatabase=PVGIS-SARAH3&amp;pvtechchoice=crystSi&amp;mountingplace=free&amp;usehorizon=1</v>
      </c>
    </row>
    <row r="3643">
      <c r="A3643" t="n">
        <v>55</v>
      </c>
      <c r="B3643" t="n">
        <v>330</v>
      </c>
      <c r="C3643" t="n">
        <v>10</v>
      </c>
      <c r="D3643" s="218" t="n">
        <v>36.86</v>
      </c>
      <c r="E3643" s="218" t="n">
        <v>1.19</v>
      </c>
      <c r="F3643" t="str">
        <v>https://re.jrc.ec.europa.eu/api/v5_3/PVcalc?lat=30.0444&amp;lon=31.2357&amp;peakpower=1&amp;loss=14&amp;angle=55&amp;aspect=150&amp;outputformat=json&amp;raddatabase=PVGIS-SARAH3&amp;pvtechchoice=crystSi&amp;mountingplace=free&amp;usehorizon=1</v>
      </c>
    </row>
    <row r="3644">
      <c r="A3644" t="n">
        <v>55</v>
      </c>
      <c r="B3644" t="n">
        <v>330</v>
      </c>
      <c r="C3644" t="n">
        <v>11</v>
      </c>
      <c r="D3644" s="218" t="n">
        <v>21.32</v>
      </c>
      <c r="E3644" s="218" t="n">
        <v>0.71</v>
      </c>
      <c r="F3644" t="str">
        <v>https://re.jrc.ec.europa.eu/api/v5_3/PVcalc?lat=30.0444&amp;lon=31.2357&amp;peakpower=1&amp;loss=14&amp;angle=55&amp;aspect=150&amp;outputformat=json&amp;raddatabase=PVGIS-SARAH3&amp;pvtechchoice=crystSi&amp;mountingplace=free&amp;usehorizon=1</v>
      </c>
    </row>
    <row r="3645">
      <c r="A3645" t="n">
        <v>55</v>
      </c>
      <c r="B3645" t="n">
        <v>330</v>
      </c>
      <c r="C3645" t="n">
        <v>12</v>
      </c>
      <c r="D3645" s="218" t="n">
        <v>18.82</v>
      </c>
      <c r="E3645" s="218" t="n">
        <v>0.61</v>
      </c>
      <c r="F3645" t="str">
        <v>https://re.jrc.ec.europa.eu/api/v5_3/PVcalc?lat=30.0444&amp;lon=31.2357&amp;peakpower=1&amp;loss=14&amp;angle=55&amp;aspect=150&amp;outputformat=json&amp;raddatabase=PVGIS-SARAH3&amp;pvtechchoice=crystSi&amp;mountingplace=free&amp;usehorizon=1</v>
      </c>
    </row>
    <row r="3646">
      <c r="A3646" t="n">
        <v>55</v>
      </c>
      <c r="B3646" t="n">
        <v>345</v>
      </c>
      <c r="C3646" t="n">
        <v>1</v>
      </c>
      <c r="D3646" s="218" t="n">
        <v>20.03</v>
      </c>
      <c r="E3646" s="218" t="n">
        <v>0.65</v>
      </c>
      <c r="F3646" t="str">
        <v>https://re.jrc.ec.europa.eu/api/v5_3/PVcalc?lat=30.0444&amp;lon=31.2357&amp;peakpower=1&amp;loss=14&amp;angle=55&amp;aspect=165&amp;outputformat=json&amp;raddatabase=PVGIS-SARAH3&amp;pvtechchoice=crystSi&amp;mountingplace=free&amp;usehorizon=1</v>
      </c>
    </row>
    <row r="3647">
      <c r="A3647" t="n">
        <v>55</v>
      </c>
      <c r="B3647" t="n">
        <v>345</v>
      </c>
      <c r="C3647" t="n">
        <v>2</v>
      </c>
      <c r="D3647" s="218" t="n">
        <v>23.6</v>
      </c>
      <c r="E3647" s="218" t="n">
        <v>0.84</v>
      </c>
      <c r="F3647" t="str">
        <v>https://re.jrc.ec.europa.eu/api/v5_3/PVcalc?lat=30.0444&amp;lon=31.2357&amp;peakpower=1&amp;loss=14&amp;angle=55&amp;aspect=165&amp;outputformat=json&amp;raddatabase=PVGIS-SARAH3&amp;pvtechchoice=crystSi&amp;mountingplace=free&amp;usehorizon=1</v>
      </c>
    </row>
    <row r="3648">
      <c r="A3648" t="n">
        <v>55</v>
      </c>
      <c r="B3648" t="n">
        <v>345</v>
      </c>
      <c r="C3648" t="n">
        <v>3</v>
      </c>
      <c r="D3648" s="218" t="n">
        <v>41.33</v>
      </c>
      <c r="E3648" s="218" t="n">
        <v>1.33</v>
      </c>
      <c r="F3648" t="str">
        <v>https://re.jrc.ec.europa.eu/api/v5_3/PVcalc?lat=30.0444&amp;lon=31.2357&amp;peakpower=1&amp;loss=14&amp;angle=55&amp;aspect=165&amp;outputformat=json&amp;raddatabase=PVGIS-SARAH3&amp;pvtechchoice=crystSi&amp;mountingplace=free&amp;usehorizon=1</v>
      </c>
    </row>
    <row r="3649">
      <c r="A3649" t="n">
        <v>55</v>
      </c>
      <c r="B3649" t="n">
        <v>345</v>
      </c>
      <c r="C3649" t="n">
        <v>4</v>
      </c>
      <c r="D3649" s="218" t="n">
        <v>72.58</v>
      </c>
      <c r="E3649" s="218" t="n">
        <v>2.42</v>
      </c>
      <c r="F3649" t="str">
        <v>https://re.jrc.ec.europa.eu/api/v5_3/PVcalc?lat=30.0444&amp;lon=31.2357&amp;peakpower=1&amp;loss=14&amp;angle=55&amp;aspect=165&amp;outputformat=json&amp;raddatabase=PVGIS-SARAH3&amp;pvtechchoice=crystSi&amp;mountingplace=free&amp;usehorizon=1</v>
      </c>
    </row>
    <row r="3650">
      <c r="A3650" t="n">
        <v>55</v>
      </c>
      <c r="B3650" t="n">
        <v>345</v>
      </c>
      <c r="C3650" t="n">
        <v>5</v>
      </c>
      <c r="D3650" s="218" t="n">
        <v>109.29</v>
      </c>
      <c r="E3650" s="218" t="n">
        <v>3.53</v>
      </c>
      <c r="F3650" t="str">
        <v>https://re.jrc.ec.europa.eu/api/v5_3/PVcalc?lat=30.0444&amp;lon=31.2357&amp;peakpower=1&amp;loss=14&amp;angle=55&amp;aspect=165&amp;outputformat=json&amp;raddatabase=PVGIS-SARAH3&amp;pvtechchoice=crystSi&amp;mountingplace=free&amp;usehorizon=1</v>
      </c>
    </row>
    <row r="3651">
      <c r="A3651" t="n">
        <v>55</v>
      </c>
      <c r="B3651" t="n">
        <v>345</v>
      </c>
      <c r="C3651" t="n">
        <v>6</v>
      </c>
      <c r="D3651" s="218" t="n">
        <v>126.33</v>
      </c>
      <c r="E3651" s="218" t="n">
        <v>4.21</v>
      </c>
      <c r="F3651" t="str">
        <v>https://re.jrc.ec.europa.eu/api/v5_3/PVcalc?lat=30.0444&amp;lon=31.2357&amp;peakpower=1&amp;loss=14&amp;angle=55&amp;aspect=165&amp;outputformat=json&amp;raddatabase=PVGIS-SARAH3&amp;pvtechchoice=crystSi&amp;mountingplace=free&amp;usehorizon=1</v>
      </c>
    </row>
    <row r="3652">
      <c r="A3652" t="n">
        <v>55</v>
      </c>
      <c r="B3652" t="n">
        <v>345</v>
      </c>
      <c r="C3652" t="n">
        <v>7</v>
      </c>
      <c r="D3652" s="218" t="n">
        <v>121.88</v>
      </c>
      <c r="E3652" s="218" t="n">
        <v>3.93</v>
      </c>
      <c r="F3652" t="str">
        <v>https://re.jrc.ec.europa.eu/api/v5_3/PVcalc?lat=30.0444&amp;lon=31.2357&amp;peakpower=1&amp;loss=14&amp;angle=55&amp;aspect=165&amp;outputformat=json&amp;raddatabase=PVGIS-SARAH3&amp;pvtechchoice=crystSi&amp;mountingplace=free&amp;usehorizon=1</v>
      </c>
    </row>
    <row r="3653">
      <c r="A3653" t="n">
        <v>55</v>
      </c>
      <c r="B3653" t="n">
        <v>345</v>
      </c>
      <c r="C3653" t="n">
        <v>8</v>
      </c>
      <c r="D3653" s="218" t="n">
        <v>87.84</v>
      </c>
      <c r="E3653" s="218" t="n">
        <v>2.83</v>
      </c>
      <c r="F3653" t="str">
        <v>https://re.jrc.ec.europa.eu/api/v5_3/PVcalc?lat=30.0444&amp;lon=31.2357&amp;peakpower=1&amp;loss=14&amp;angle=55&amp;aspect=165&amp;outputformat=json&amp;raddatabase=PVGIS-SARAH3&amp;pvtechchoice=crystSi&amp;mountingplace=free&amp;usehorizon=1</v>
      </c>
    </row>
    <row r="3654">
      <c r="A3654" t="n">
        <v>55</v>
      </c>
      <c r="B3654" t="n">
        <v>345</v>
      </c>
      <c r="C3654" t="n">
        <v>9</v>
      </c>
      <c r="D3654" s="218" t="n">
        <v>47.45</v>
      </c>
      <c r="E3654" s="218" t="n">
        <v>1.58</v>
      </c>
      <c r="F3654" t="str">
        <v>https://re.jrc.ec.europa.eu/api/v5_3/PVcalc?lat=30.0444&amp;lon=31.2357&amp;peakpower=1&amp;loss=14&amp;angle=55&amp;aspect=165&amp;outputformat=json&amp;raddatabase=PVGIS-SARAH3&amp;pvtechchoice=crystSi&amp;mountingplace=free&amp;usehorizon=1</v>
      </c>
    </row>
    <row r="3655">
      <c r="A3655" t="n">
        <v>55</v>
      </c>
      <c r="B3655" t="n">
        <v>345</v>
      </c>
      <c r="C3655" t="n">
        <v>10</v>
      </c>
      <c r="D3655" s="218" t="n">
        <v>25.46</v>
      </c>
      <c r="E3655" s="218" t="n">
        <v>0.82</v>
      </c>
      <c r="F3655" t="str">
        <v>https://re.jrc.ec.europa.eu/api/v5_3/PVcalc?lat=30.0444&amp;lon=31.2357&amp;peakpower=1&amp;loss=14&amp;angle=55&amp;aspect=165&amp;outputformat=json&amp;raddatabase=PVGIS-SARAH3&amp;pvtechchoice=crystSi&amp;mountingplace=free&amp;usehorizon=1</v>
      </c>
    </row>
    <row r="3656">
      <c r="A3656" t="n">
        <v>55</v>
      </c>
      <c r="B3656" t="n">
        <v>345</v>
      </c>
      <c r="C3656" t="n">
        <v>11</v>
      </c>
      <c r="D3656" s="218" t="n">
        <v>19.24</v>
      </c>
      <c r="E3656" s="218" t="n">
        <v>0.64</v>
      </c>
      <c r="F3656" t="str">
        <v>https://re.jrc.ec.europa.eu/api/v5_3/PVcalc?lat=30.0444&amp;lon=31.2357&amp;peakpower=1&amp;loss=14&amp;angle=55&amp;aspect=165&amp;outputformat=json&amp;raddatabase=PVGIS-SARAH3&amp;pvtechchoice=crystSi&amp;mountingplace=free&amp;usehorizon=1</v>
      </c>
    </row>
    <row r="3657">
      <c r="A3657" t="n">
        <v>55</v>
      </c>
      <c r="B3657" t="n">
        <v>345</v>
      </c>
      <c r="C3657" t="n">
        <v>12</v>
      </c>
      <c r="D3657" s="218" t="n">
        <v>18.57</v>
      </c>
      <c r="E3657" s="218" t="n">
        <v>0.6</v>
      </c>
      <c r="F3657" t="str">
        <v>https://re.jrc.ec.europa.eu/api/v5_3/PVcalc?lat=30.0444&amp;lon=31.2357&amp;peakpower=1&amp;loss=14&amp;angle=55&amp;aspect=165&amp;outputformat=json&amp;raddatabase=PVGIS-SARAH3&amp;pvtechchoice=crystSi&amp;mountingplace=free&amp;usehorizon=1</v>
      </c>
    </row>
    <row r="3658">
      <c r="A3658" t="n">
        <v>55</v>
      </c>
      <c r="B3658" t="n">
        <v>360</v>
      </c>
      <c r="C3658" t="n">
        <v>1</v>
      </c>
      <c r="D3658" s="218" t="n">
        <v>20.03</v>
      </c>
      <c r="E3658" s="218" t="n">
        <v>0.65</v>
      </c>
      <c r="F3658" t="str">
        <v>https://re.jrc.ec.europa.eu/api/v5_3/PVcalc?lat=30.0444&amp;lon=31.2357&amp;peakpower=1&amp;loss=14&amp;angle=55&amp;aspect=180&amp;outputformat=json&amp;raddatabase=PVGIS-SARAH3&amp;pvtechchoice=crystSi&amp;mountingplace=free&amp;usehorizon=1</v>
      </c>
    </row>
    <row r="3659">
      <c r="A3659" t="n">
        <v>55</v>
      </c>
      <c r="B3659" t="n">
        <v>360</v>
      </c>
      <c r="C3659" t="n">
        <v>2</v>
      </c>
      <c r="D3659" s="218" t="n">
        <v>23.23</v>
      </c>
      <c r="E3659" s="218" t="n">
        <v>0.83</v>
      </c>
      <c r="F3659" t="str">
        <v>https://re.jrc.ec.europa.eu/api/v5_3/PVcalc?lat=30.0444&amp;lon=31.2357&amp;peakpower=1&amp;loss=14&amp;angle=55&amp;aspect=180&amp;outputformat=json&amp;raddatabase=PVGIS-SARAH3&amp;pvtechchoice=crystSi&amp;mountingplace=free&amp;usehorizon=1</v>
      </c>
    </row>
    <row r="3660">
      <c r="A3660" t="n">
        <v>55</v>
      </c>
      <c r="B3660" t="n">
        <v>360</v>
      </c>
      <c r="C3660" t="n">
        <v>3</v>
      </c>
      <c r="D3660" s="218" t="n">
        <v>33.35</v>
      </c>
      <c r="E3660" s="218" t="n">
        <v>1.08</v>
      </c>
      <c r="F3660" t="str">
        <v>https://re.jrc.ec.europa.eu/api/v5_3/PVcalc?lat=30.0444&amp;lon=31.2357&amp;peakpower=1&amp;loss=14&amp;angle=55&amp;aspect=180&amp;outputformat=json&amp;raddatabase=PVGIS-SARAH3&amp;pvtechchoice=crystSi&amp;mountingplace=free&amp;usehorizon=1</v>
      </c>
    </row>
    <row r="3661">
      <c r="A3661" t="n">
        <v>55</v>
      </c>
      <c r="B3661" t="n">
        <v>360</v>
      </c>
      <c r="C3661" t="n">
        <v>4</v>
      </c>
      <c r="D3661" s="218" t="n">
        <v>67.92</v>
      </c>
      <c r="E3661" s="218" t="n">
        <v>2.26</v>
      </c>
      <c r="F3661" t="str">
        <v>https://re.jrc.ec.europa.eu/api/v5_3/PVcalc?lat=30.0444&amp;lon=31.2357&amp;peakpower=1&amp;loss=14&amp;angle=55&amp;aspect=180&amp;outputformat=json&amp;raddatabase=PVGIS-SARAH3&amp;pvtechchoice=crystSi&amp;mountingplace=free&amp;usehorizon=1</v>
      </c>
    </row>
    <row r="3662">
      <c r="A3662" t="n">
        <v>55</v>
      </c>
      <c r="B3662" t="n">
        <v>360</v>
      </c>
      <c r="C3662" t="n">
        <v>5</v>
      </c>
      <c r="D3662" s="218" t="n">
        <v>108.05</v>
      </c>
      <c r="E3662" s="218" t="n">
        <v>3.49</v>
      </c>
      <c r="F3662" t="str">
        <v>https://re.jrc.ec.europa.eu/api/v5_3/PVcalc?lat=30.0444&amp;lon=31.2357&amp;peakpower=1&amp;loss=14&amp;angle=55&amp;aspect=180&amp;outputformat=json&amp;raddatabase=PVGIS-SARAH3&amp;pvtechchoice=crystSi&amp;mountingplace=free&amp;usehorizon=1</v>
      </c>
    </row>
    <row r="3663">
      <c r="A3663" t="n">
        <v>55</v>
      </c>
      <c r="B3663" t="n">
        <v>360</v>
      </c>
      <c r="C3663" t="n">
        <v>6</v>
      </c>
      <c r="D3663" s="218" t="n">
        <v>124.64</v>
      </c>
      <c r="E3663" s="218" t="n">
        <v>4.15</v>
      </c>
      <c r="F3663" t="str">
        <v>https://re.jrc.ec.europa.eu/api/v5_3/PVcalc?lat=30.0444&amp;lon=31.2357&amp;peakpower=1&amp;loss=14&amp;angle=55&amp;aspect=180&amp;outputformat=json&amp;raddatabase=PVGIS-SARAH3&amp;pvtechchoice=crystSi&amp;mountingplace=free&amp;usehorizon=1</v>
      </c>
    </row>
    <row r="3664">
      <c r="A3664" t="n">
        <v>55</v>
      </c>
      <c r="B3664" t="n">
        <v>360</v>
      </c>
      <c r="C3664" t="n">
        <v>7</v>
      </c>
      <c r="D3664" s="218" t="n">
        <v>118.8</v>
      </c>
      <c r="E3664" s="218" t="n">
        <v>3.83</v>
      </c>
      <c r="F3664" t="str">
        <v>https://re.jrc.ec.europa.eu/api/v5_3/PVcalc?lat=30.0444&amp;lon=31.2357&amp;peakpower=1&amp;loss=14&amp;angle=55&amp;aspect=180&amp;outputformat=json&amp;raddatabase=PVGIS-SARAH3&amp;pvtechchoice=crystSi&amp;mountingplace=free&amp;usehorizon=1</v>
      </c>
    </row>
    <row r="3665">
      <c r="A3665" t="n">
        <v>55</v>
      </c>
      <c r="B3665" t="n">
        <v>360</v>
      </c>
      <c r="C3665" t="n">
        <v>8</v>
      </c>
      <c r="D3665" s="218" t="n">
        <v>83.14</v>
      </c>
      <c r="E3665" s="218" t="n">
        <v>2.68</v>
      </c>
      <c r="F3665" t="str">
        <v>https://re.jrc.ec.europa.eu/api/v5_3/PVcalc?lat=30.0444&amp;lon=31.2357&amp;peakpower=1&amp;loss=14&amp;angle=55&amp;aspect=180&amp;outputformat=json&amp;raddatabase=PVGIS-SARAH3&amp;pvtechchoice=crystSi&amp;mountingplace=free&amp;usehorizon=1</v>
      </c>
    </row>
    <row r="3666">
      <c r="A3666" t="n">
        <v>55</v>
      </c>
      <c r="B3666" t="n">
        <v>360</v>
      </c>
      <c r="C3666" t="n">
        <v>9</v>
      </c>
      <c r="D3666" s="218" t="n">
        <v>37.69</v>
      </c>
      <c r="E3666" s="218" t="n">
        <v>1.26</v>
      </c>
      <c r="F3666" t="str">
        <v>https://re.jrc.ec.europa.eu/api/v5_3/PVcalc?lat=30.0444&amp;lon=31.2357&amp;peakpower=1&amp;loss=14&amp;angle=55&amp;aspect=180&amp;outputformat=json&amp;raddatabase=PVGIS-SARAH3&amp;pvtechchoice=crystSi&amp;mountingplace=free&amp;usehorizon=1</v>
      </c>
    </row>
    <row r="3667">
      <c r="A3667" t="n">
        <v>55</v>
      </c>
      <c r="B3667" t="n">
        <v>360</v>
      </c>
      <c r="C3667" t="n">
        <v>10</v>
      </c>
      <c r="D3667" s="218" t="n">
        <v>23.04</v>
      </c>
      <c r="E3667" s="218" t="n">
        <v>0.74</v>
      </c>
      <c r="F3667" t="str">
        <v>https://re.jrc.ec.europa.eu/api/v5_3/PVcalc?lat=30.0444&amp;lon=31.2357&amp;peakpower=1&amp;loss=14&amp;angle=55&amp;aspect=180&amp;outputformat=json&amp;raddatabase=PVGIS-SARAH3&amp;pvtechchoice=crystSi&amp;mountingplace=free&amp;usehorizon=1</v>
      </c>
    </row>
    <row r="3668">
      <c r="A3668" t="n">
        <v>55</v>
      </c>
      <c r="B3668" t="n">
        <v>360</v>
      </c>
      <c r="C3668" t="n">
        <v>11</v>
      </c>
      <c r="D3668" s="218" t="n">
        <v>19.24</v>
      </c>
      <c r="E3668" s="218" t="n">
        <v>0.64</v>
      </c>
      <c r="F3668" t="str">
        <v>https://re.jrc.ec.europa.eu/api/v5_3/PVcalc?lat=30.0444&amp;lon=31.2357&amp;peakpower=1&amp;loss=14&amp;angle=55&amp;aspect=180&amp;outputformat=json&amp;raddatabase=PVGIS-SARAH3&amp;pvtechchoice=crystSi&amp;mountingplace=free&amp;usehorizon=1</v>
      </c>
    </row>
    <row r="3669">
      <c r="A3669" t="n">
        <v>55</v>
      </c>
      <c r="B3669" t="n">
        <v>360</v>
      </c>
      <c r="C3669" t="n">
        <v>12</v>
      </c>
      <c r="D3669" s="218" t="n">
        <v>18.57</v>
      </c>
      <c r="E3669" s="218" t="n">
        <v>0.6</v>
      </c>
      <c r="F3669" t="str">
        <v>https://re.jrc.ec.europa.eu/api/v5_3/PVcalc?lat=30.0444&amp;lon=31.2357&amp;peakpower=1&amp;loss=14&amp;angle=55&amp;aspect=180&amp;outputformat=json&amp;raddatabase=PVGIS-SARAH3&amp;pvtechchoice=crystSi&amp;mountingplace=free&amp;usehorizon=1</v>
      </c>
    </row>
    <row r="3670">
      <c r="A3670" t="n">
        <v>60</v>
      </c>
      <c r="B3670" t="n">
        <v>0</v>
      </c>
      <c r="C3670" t="n">
        <v>1</v>
      </c>
      <c r="D3670" s="218" t="n">
        <v>18.73</v>
      </c>
      <c r="E3670" s="218" t="n">
        <v>0.6</v>
      </c>
      <c r="F3670" t="str">
        <v>https://re.jrc.ec.europa.eu/api/v5_3/PVcalc?lat=30.0444&amp;lon=31.2357&amp;peakpower=1&amp;loss=14&amp;angle=60&amp;aspect=-180&amp;outputformat=json&amp;raddatabase=PVGIS-SARAH3&amp;pvtechchoice=crystSi&amp;mountingplace=free&amp;usehorizon=1</v>
      </c>
    </row>
    <row r="3671">
      <c r="A3671" t="n">
        <v>60</v>
      </c>
      <c r="B3671" t="n">
        <v>0</v>
      </c>
      <c r="C3671" t="n">
        <v>2</v>
      </c>
      <c r="D3671" s="218" t="n">
        <v>21.75</v>
      </c>
      <c r="E3671" s="218" t="n">
        <v>0.78</v>
      </c>
      <c r="F3671" t="str">
        <v>https://re.jrc.ec.europa.eu/api/v5_3/PVcalc?lat=30.0444&amp;lon=31.2357&amp;peakpower=1&amp;loss=14&amp;angle=60&amp;aspect=-180&amp;outputformat=json&amp;raddatabase=PVGIS-SARAH3&amp;pvtechchoice=crystSi&amp;mountingplace=free&amp;usehorizon=1</v>
      </c>
    </row>
    <row r="3672">
      <c r="A3672" t="n">
        <v>60</v>
      </c>
      <c r="B3672" t="n">
        <v>0</v>
      </c>
      <c r="C3672" t="n">
        <v>3</v>
      </c>
      <c r="D3672" s="218" t="n">
        <v>28.99</v>
      </c>
      <c r="E3672" s="218" t="n">
        <v>0.94</v>
      </c>
      <c r="F3672" t="str">
        <v>https://re.jrc.ec.europa.eu/api/v5_3/PVcalc?lat=30.0444&amp;lon=31.2357&amp;peakpower=1&amp;loss=14&amp;angle=60&amp;aspect=-180&amp;outputformat=json&amp;raddatabase=PVGIS-SARAH3&amp;pvtechchoice=crystSi&amp;mountingplace=free&amp;usehorizon=1</v>
      </c>
    </row>
    <row r="3673">
      <c r="A3673" t="n">
        <v>60</v>
      </c>
      <c r="B3673" t="n">
        <v>0</v>
      </c>
      <c r="C3673" t="n">
        <v>4</v>
      </c>
      <c r="D3673" s="218" t="n">
        <v>55.44</v>
      </c>
      <c r="E3673" s="218" t="n">
        <v>1.85</v>
      </c>
      <c r="F3673" t="str">
        <v>https://re.jrc.ec.europa.eu/api/v5_3/PVcalc?lat=30.0444&amp;lon=31.2357&amp;peakpower=1&amp;loss=14&amp;angle=60&amp;aspect=-180&amp;outputformat=json&amp;raddatabase=PVGIS-SARAH3&amp;pvtechchoice=crystSi&amp;mountingplace=free&amp;usehorizon=1</v>
      </c>
    </row>
    <row r="3674">
      <c r="A3674" t="n">
        <v>60</v>
      </c>
      <c r="B3674" t="n">
        <v>0</v>
      </c>
      <c r="C3674" t="n">
        <v>5</v>
      </c>
      <c r="D3674" s="218" t="n">
        <v>95.38</v>
      </c>
      <c r="E3674" s="218" t="n">
        <v>3.08</v>
      </c>
      <c r="F3674" t="str">
        <v>https://re.jrc.ec.europa.eu/api/v5_3/PVcalc?lat=30.0444&amp;lon=31.2357&amp;peakpower=1&amp;loss=14&amp;angle=60&amp;aspect=-180&amp;outputformat=json&amp;raddatabase=PVGIS-SARAH3&amp;pvtechchoice=crystSi&amp;mountingplace=free&amp;usehorizon=1</v>
      </c>
    </row>
    <row r="3675">
      <c r="A3675" t="n">
        <v>60</v>
      </c>
      <c r="B3675" t="n">
        <v>0</v>
      </c>
      <c r="C3675" t="n">
        <v>6</v>
      </c>
      <c r="D3675" s="218" t="n">
        <v>112.45</v>
      </c>
      <c r="E3675" s="218" t="n">
        <v>3.75</v>
      </c>
      <c r="F3675" t="str">
        <v>https://re.jrc.ec.europa.eu/api/v5_3/PVcalc?lat=30.0444&amp;lon=31.2357&amp;peakpower=1&amp;loss=14&amp;angle=60&amp;aspect=-180&amp;outputformat=json&amp;raddatabase=PVGIS-SARAH3&amp;pvtechchoice=crystSi&amp;mountingplace=free&amp;usehorizon=1</v>
      </c>
    </row>
    <row r="3676">
      <c r="A3676" t="n">
        <v>60</v>
      </c>
      <c r="B3676" t="n">
        <v>0</v>
      </c>
      <c r="C3676" t="n">
        <v>7</v>
      </c>
      <c r="D3676" s="218" t="n">
        <v>105.76</v>
      </c>
      <c r="E3676" s="218" t="n">
        <v>3.41</v>
      </c>
      <c r="F3676" t="str">
        <v>https://re.jrc.ec.europa.eu/api/v5_3/PVcalc?lat=30.0444&amp;lon=31.2357&amp;peakpower=1&amp;loss=14&amp;angle=60&amp;aspect=-180&amp;outputformat=json&amp;raddatabase=PVGIS-SARAH3&amp;pvtechchoice=crystSi&amp;mountingplace=free&amp;usehorizon=1</v>
      </c>
    </row>
    <row r="3677">
      <c r="A3677" t="n">
        <v>60</v>
      </c>
      <c r="B3677" t="n">
        <v>0</v>
      </c>
      <c r="C3677" t="n">
        <v>8</v>
      </c>
      <c r="D3677" s="218" t="n">
        <v>69.16</v>
      </c>
      <c r="E3677" s="218" t="n">
        <v>2.23</v>
      </c>
      <c r="F3677" t="str">
        <v>https://re.jrc.ec.europa.eu/api/v5_3/PVcalc?lat=30.0444&amp;lon=31.2357&amp;peakpower=1&amp;loss=14&amp;angle=60&amp;aspect=-180&amp;outputformat=json&amp;raddatabase=PVGIS-SARAH3&amp;pvtechchoice=crystSi&amp;mountingplace=free&amp;usehorizon=1</v>
      </c>
    </row>
    <row r="3678">
      <c r="A3678" t="n">
        <v>60</v>
      </c>
      <c r="B3678" t="n">
        <v>0</v>
      </c>
      <c r="C3678" t="n">
        <v>9</v>
      </c>
      <c r="D3678" s="218" t="n">
        <v>29.32</v>
      </c>
      <c r="E3678" s="218" t="n">
        <v>0.98</v>
      </c>
      <c r="F3678" t="str">
        <v>https://re.jrc.ec.europa.eu/api/v5_3/PVcalc?lat=30.0444&amp;lon=31.2357&amp;peakpower=1&amp;loss=14&amp;angle=60&amp;aspect=-180&amp;outputformat=json&amp;raddatabase=PVGIS-SARAH3&amp;pvtechchoice=crystSi&amp;mountingplace=free&amp;usehorizon=1</v>
      </c>
    </row>
    <row r="3679">
      <c r="A3679" t="n">
        <v>60</v>
      </c>
      <c r="B3679" t="n">
        <v>0</v>
      </c>
      <c r="C3679" t="n">
        <v>10</v>
      </c>
      <c r="D3679" s="218" t="n">
        <v>21.74</v>
      </c>
      <c r="E3679" s="218" t="n">
        <v>0.7</v>
      </c>
      <c r="F3679" t="str">
        <v>https://re.jrc.ec.europa.eu/api/v5_3/PVcalc?lat=30.0444&amp;lon=31.2357&amp;peakpower=1&amp;loss=14&amp;angle=60&amp;aspect=-180&amp;outputformat=json&amp;raddatabase=PVGIS-SARAH3&amp;pvtechchoice=crystSi&amp;mountingplace=free&amp;usehorizon=1</v>
      </c>
    </row>
    <row r="3680">
      <c r="A3680" t="n">
        <v>60</v>
      </c>
      <c r="B3680" t="n">
        <v>0</v>
      </c>
      <c r="C3680" t="n">
        <v>11</v>
      </c>
      <c r="D3680" s="218" t="n">
        <v>17.99</v>
      </c>
      <c r="E3680" s="218" t="n">
        <v>0.6</v>
      </c>
      <c r="F3680" t="str">
        <v>https://re.jrc.ec.europa.eu/api/v5_3/PVcalc?lat=30.0444&amp;lon=31.2357&amp;peakpower=1&amp;loss=14&amp;angle=60&amp;aspect=-180&amp;outputformat=json&amp;raddatabase=PVGIS-SARAH3&amp;pvtechchoice=crystSi&amp;mountingplace=free&amp;usehorizon=1</v>
      </c>
    </row>
    <row r="3681">
      <c r="A3681" t="n">
        <v>60</v>
      </c>
      <c r="B3681" t="n">
        <v>0</v>
      </c>
      <c r="C3681" t="n">
        <v>12</v>
      </c>
      <c r="D3681" s="218" t="n">
        <v>17.36</v>
      </c>
      <c r="E3681" s="218" t="n">
        <v>0.56</v>
      </c>
      <c r="F3681" t="str">
        <v>https://re.jrc.ec.europa.eu/api/v5_3/PVcalc?lat=30.0444&amp;lon=31.2357&amp;peakpower=1&amp;loss=14&amp;angle=60&amp;aspect=-180&amp;outputformat=json&amp;raddatabase=PVGIS-SARAH3&amp;pvtechchoice=crystSi&amp;mountingplace=free&amp;usehorizon=1</v>
      </c>
    </row>
    <row r="3682">
      <c r="A3682" t="n">
        <v>60</v>
      </c>
      <c r="B3682" t="n">
        <v>15</v>
      </c>
      <c r="C3682" t="n">
        <v>1</v>
      </c>
      <c r="D3682" s="218" t="n">
        <v>18.73</v>
      </c>
      <c r="E3682" s="218" t="n">
        <v>0.6</v>
      </c>
      <c r="F3682" t="str">
        <v>https://re.jrc.ec.europa.eu/api/v5_3/PVcalc?lat=30.0444&amp;lon=31.2357&amp;peakpower=1&amp;loss=14&amp;angle=60&amp;aspect=-165&amp;outputformat=json&amp;raddatabase=PVGIS-SARAH3&amp;pvtechchoice=crystSi&amp;mountingplace=free&amp;usehorizon=1</v>
      </c>
    </row>
    <row r="3683">
      <c r="A3683" t="n">
        <v>60</v>
      </c>
      <c r="B3683" t="n">
        <v>15</v>
      </c>
      <c r="C3683" t="n">
        <v>2</v>
      </c>
      <c r="D3683" s="218" t="n">
        <v>21.96</v>
      </c>
      <c r="E3683" s="218" t="n">
        <v>0.78</v>
      </c>
      <c r="F3683" t="str">
        <v>https://re.jrc.ec.europa.eu/api/v5_3/PVcalc?lat=30.0444&amp;lon=31.2357&amp;peakpower=1&amp;loss=14&amp;angle=60&amp;aspect=-165&amp;outputformat=json&amp;raddatabase=PVGIS-SARAH3&amp;pvtechchoice=crystSi&amp;mountingplace=free&amp;usehorizon=1</v>
      </c>
    </row>
    <row r="3684">
      <c r="A3684" t="n">
        <v>60</v>
      </c>
      <c r="B3684" t="n">
        <v>15</v>
      </c>
      <c r="C3684" t="n">
        <v>3</v>
      </c>
      <c r="D3684" s="218" t="n">
        <v>35.1</v>
      </c>
      <c r="E3684" s="218" t="n">
        <v>1.13</v>
      </c>
      <c r="F3684" t="str">
        <v>https://re.jrc.ec.europa.eu/api/v5_3/PVcalc?lat=30.0444&amp;lon=31.2357&amp;peakpower=1&amp;loss=14&amp;angle=60&amp;aspect=-165&amp;outputformat=json&amp;raddatabase=PVGIS-SARAH3&amp;pvtechchoice=crystSi&amp;mountingplace=free&amp;usehorizon=1</v>
      </c>
    </row>
    <row r="3685">
      <c r="A3685" t="n">
        <v>60</v>
      </c>
      <c r="B3685" t="n">
        <v>15</v>
      </c>
      <c r="C3685" t="n">
        <v>4</v>
      </c>
      <c r="D3685" s="218" t="n">
        <v>59.82</v>
      </c>
      <c r="E3685" s="218" t="n">
        <v>1.99</v>
      </c>
      <c r="F3685" t="str">
        <v>https://re.jrc.ec.europa.eu/api/v5_3/PVcalc?lat=30.0444&amp;lon=31.2357&amp;peakpower=1&amp;loss=14&amp;angle=60&amp;aspect=-165&amp;outputformat=json&amp;raddatabase=PVGIS-SARAH3&amp;pvtechchoice=crystSi&amp;mountingplace=free&amp;usehorizon=1</v>
      </c>
    </row>
    <row r="3686">
      <c r="A3686" t="n">
        <v>60</v>
      </c>
      <c r="B3686" t="n">
        <v>15</v>
      </c>
      <c r="C3686" t="n">
        <v>5</v>
      </c>
      <c r="D3686" s="218" t="n">
        <v>94.35</v>
      </c>
      <c r="E3686" s="218" t="n">
        <v>3.04</v>
      </c>
      <c r="F3686" t="str">
        <v>https://re.jrc.ec.europa.eu/api/v5_3/PVcalc?lat=30.0444&amp;lon=31.2357&amp;peakpower=1&amp;loss=14&amp;angle=60&amp;aspect=-165&amp;outputformat=json&amp;raddatabase=PVGIS-SARAH3&amp;pvtechchoice=crystSi&amp;mountingplace=free&amp;usehorizon=1</v>
      </c>
    </row>
    <row r="3687">
      <c r="A3687" t="n">
        <v>60</v>
      </c>
      <c r="B3687" t="n">
        <v>15</v>
      </c>
      <c r="C3687" t="n">
        <v>6</v>
      </c>
      <c r="D3687" s="218" t="n">
        <v>108.78</v>
      </c>
      <c r="E3687" s="218" t="n">
        <v>3.63</v>
      </c>
      <c r="F3687" t="str">
        <v>https://re.jrc.ec.europa.eu/api/v5_3/PVcalc?lat=30.0444&amp;lon=31.2357&amp;peakpower=1&amp;loss=14&amp;angle=60&amp;aspect=-165&amp;outputformat=json&amp;raddatabase=PVGIS-SARAH3&amp;pvtechchoice=crystSi&amp;mountingplace=free&amp;usehorizon=1</v>
      </c>
    </row>
    <row r="3688">
      <c r="A3688" t="n">
        <v>60</v>
      </c>
      <c r="B3688" t="n">
        <v>15</v>
      </c>
      <c r="C3688" t="n">
        <v>7</v>
      </c>
      <c r="D3688" s="218" t="n">
        <v>101.66</v>
      </c>
      <c r="E3688" s="218" t="n">
        <v>3.28</v>
      </c>
      <c r="F3688" t="str">
        <v>https://re.jrc.ec.europa.eu/api/v5_3/PVcalc?lat=30.0444&amp;lon=31.2357&amp;peakpower=1&amp;loss=14&amp;angle=60&amp;aspect=-165&amp;outputformat=json&amp;raddatabase=PVGIS-SARAH3&amp;pvtechchoice=crystSi&amp;mountingplace=free&amp;usehorizon=1</v>
      </c>
    </row>
    <row r="3689">
      <c r="A3689" t="n">
        <v>60</v>
      </c>
      <c r="B3689" t="n">
        <v>15</v>
      </c>
      <c r="C3689" t="n">
        <v>8</v>
      </c>
      <c r="D3689" s="218" t="n">
        <v>69.9</v>
      </c>
      <c r="E3689" s="218" t="n">
        <v>2.25</v>
      </c>
      <c r="F3689" t="str">
        <v>https://re.jrc.ec.europa.eu/api/v5_3/PVcalc?lat=30.0444&amp;lon=31.2357&amp;peakpower=1&amp;loss=14&amp;angle=60&amp;aspect=-165&amp;outputformat=json&amp;raddatabase=PVGIS-SARAH3&amp;pvtechchoice=crystSi&amp;mountingplace=free&amp;usehorizon=1</v>
      </c>
    </row>
    <row r="3690">
      <c r="A3690" t="n">
        <v>60</v>
      </c>
      <c r="B3690" t="n">
        <v>15</v>
      </c>
      <c r="C3690" t="n">
        <v>9</v>
      </c>
      <c r="D3690" s="218" t="n">
        <v>37.04</v>
      </c>
      <c r="E3690" s="218" t="n">
        <v>1.23</v>
      </c>
      <c r="F3690" t="str">
        <v>https://re.jrc.ec.europa.eu/api/v5_3/PVcalc?lat=30.0444&amp;lon=31.2357&amp;peakpower=1&amp;loss=14&amp;angle=60&amp;aspect=-165&amp;outputformat=json&amp;raddatabase=PVGIS-SARAH3&amp;pvtechchoice=crystSi&amp;mountingplace=free&amp;usehorizon=1</v>
      </c>
    </row>
    <row r="3691">
      <c r="A3691" t="n">
        <v>60</v>
      </c>
      <c r="B3691" t="n">
        <v>15</v>
      </c>
      <c r="C3691" t="n">
        <v>10</v>
      </c>
      <c r="D3691" s="218" t="n">
        <v>22.98</v>
      </c>
      <c r="E3691" s="218" t="n">
        <v>0.74</v>
      </c>
      <c r="F3691" t="str">
        <v>https://re.jrc.ec.europa.eu/api/v5_3/PVcalc?lat=30.0444&amp;lon=31.2357&amp;peakpower=1&amp;loss=14&amp;angle=60&amp;aspect=-165&amp;outputformat=json&amp;raddatabase=PVGIS-SARAH3&amp;pvtechchoice=crystSi&amp;mountingplace=free&amp;usehorizon=1</v>
      </c>
    </row>
    <row r="3692">
      <c r="A3692" t="n">
        <v>60</v>
      </c>
      <c r="B3692" t="n">
        <v>15</v>
      </c>
      <c r="C3692" t="n">
        <v>11</v>
      </c>
      <c r="D3692" s="218" t="n">
        <v>17.99</v>
      </c>
      <c r="E3692" s="218" t="n">
        <v>0.6</v>
      </c>
      <c r="F3692" t="str">
        <v>https://re.jrc.ec.europa.eu/api/v5_3/PVcalc?lat=30.0444&amp;lon=31.2357&amp;peakpower=1&amp;loss=14&amp;angle=60&amp;aspect=-165&amp;outputformat=json&amp;raddatabase=PVGIS-SARAH3&amp;pvtechchoice=crystSi&amp;mountingplace=free&amp;usehorizon=1</v>
      </c>
    </row>
    <row r="3693">
      <c r="A3693" t="n">
        <v>60</v>
      </c>
      <c r="B3693" t="n">
        <v>15</v>
      </c>
      <c r="C3693" t="n">
        <v>12</v>
      </c>
      <c r="D3693" s="218" t="n">
        <v>17.36</v>
      </c>
      <c r="E3693" s="218" t="n">
        <v>0.56</v>
      </c>
      <c r="F3693" t="str">
        <v>https://re.jrc.ec.europa.eu/api/v5_3/PVcalc?lat=30.0444&amp;lon=31.2357&amp;peakpower=1&amp;loss=14&amp;angle=60&amp;aspect=-165&amp;outputformat=json&amp;raddatabase=PVGIS-SARAH3&amp;pvtechchoice=crystSi&amp;mountingplace=free&amp;usehorizon=1</v>
      </c>
    </row>
    <row r="3694">
      <c r="A3694" t="n">
        <v>60</v>
      </c>
      <c r="B3694" t="n">
        <v>30</v>
      </c>
      <c r="C3694" t="n">
        <v>1</v>
      </c>
      <c r="D3694" s="218" t="n">
        <v>19.36</v>
      </c>
      <c r="E3694" s="218" t="n">
        <v>0.62</v>
      </c>
      <c r="F3694" t="str">
        <v>https://re.jrc.ec.europa.eu/api/v5_3/PVcalc?lat=30.0444&amp;lon=31.2357&amp;peakpower=1&amp;loss=14&amp;angle=60&amp;aspect=-150&amp;outputformat=json&amp;raddatabase=PVGIS-SARAH3&amp;pvtechchoice=crystSi&amp;mountingplace=free&amp;usehorizon=1</v>
      </c>
    </row>
    <row r="3695">
      <c r="A3695" t="n">
        <v>60</v>
      </c>
      <c r="B3695" t="n">
        <v>30</v>
      </c>
      <c r="C3695" t="n">
        <v>2</v>
      </c>
      <c r="D3695" s="218" t="n">
        <v>27.07</v>
      </c>
      <c r="E3695" s="218" t="n">
        <v>0.97</v>
      </c>
      <c r="F3695" t="str">
        <v>https://re.jrc.ec.europa.eu/api/v5_3/PVcalc?lat=30.0444&amp;lon=31.2357&amp;peakpower=1&amp;loss=14&amp;angle=60&amp;aspect=-150&amp;outputformat=json&amp;raddatabase=PVGIS-SARAH3&amp;pvtechchoice=crystSi&amp;mountingplace=free&amp;usehorizon=1</v>
      </c>
    </row>
    <row r="3696">
      <c r="A3696" t="n">
        <v>60</v>
      </c>
      <c r="B3696" t="n">
        <v>30</v>
      </c>
      <c r="C3696" t="n">
        <v>3</v>
      </c>
      <c r="D3696" s="218" t="n">
        <v>48.61</v>
      </c>
      <c r="E3696" s="218" t="n">
        <v>1.57</v>
      </c>
      <c r="F3696" t="str">
        <v>https://re.jrc.ec.europa.eu/api/v5_3/PVcalc?lat=30.0444&amp;lon=31.2357&amp;peakpower=1&amp;loss=14&amp;angle=60&amp;aspect=-150&amp;outputformat=json&amp;raddatabase=PVGIS-SARAH3&amp;pvtechchoice=crystSi&amp;mountingplace=free&amp;usehorizon=1</v>
      </c>
    </row>
    <row r="3697">
      <c r="A3697" t="n">
        <v>60</v>
      </c>
      <c r="B3697" t="n">
        <v>30</v>
      </c>
      <c r="C3697" t="n">
        <v>4</v>
      </c>
      <c r="D3697" s="218" t="n">
        <v>72.07</v>
      </c>
      <c r="E3697" s="218" t="n">
        <v>2.4</v>
      </c>
      <c r="F3697" t="str">
        <v>https://re.jrc.ec.europa.eu/api/v5_3/PVcalc?lat=30.0444&amp;lon=31.2357&amp;peakpower=1&amp;loss=14&amp;angle=60&amp;aspect=-150&amp;outputformat=json&amp;raddatabase=PVGIS-SARAH3&amp;pvtechchoice=crystSi&amp;mountingplace=free&amp;usehorizon=1</v>
      </c>
    </row>
    <row r="3698">
      <c r="A3698" t="n">
        <v>60</v>
      </c>
      <c r="B3698" t="n">
        <v>30</v>
      </c>
      <c r="C3698" t="n">
        <v>5</v>
      </c>
      <c r="D3698" s="218" t="n">
        <v>98.88</v>
      </c>
      <c r="E3698" s="218" t="n">
        <v>3.19</v>
      </c>
      <c r="F3698" t="str">
        <v>https://re.jrc.ec.europa.eu/api/v5_3/PVcalc?lat=30.0444&amp;lon=31.2357&amp;peakpower=1&amp;loss=14&amp;angle=60&amp;aspect=-150&amp;outputformat=json&amp;raddatabase=PVGIS-SARAH3&amp;pvtechchoice=crystSi&amp;mountingplace=free&amp;usehorizon=1</v>
      </c>
    </row>
    <row r="3699">
      <c r="A3699" t="n">
        <v>60</v>
      </c>
      <c r="B3699" t="n">
        <v>30</v>
      </c>
      <c r="C3699" t="n">
        <v>6</v>
      </c>
      <c r="D3699" s="218" t="n">
        <v>107.72</v>
      </c>
      <c r="E3699" s="218" t="n">
        <v>3.59</v>
      </c>
      <c r="F3699" t="str">
        <v>https://re.jrc.ec.europa.eu/api/v5_3/PVcalc?lat=30.0444&amp;lon=31.2357&amp;peakpower=1&amp;loss=14&amp;angle=60&amp;aspect=-150&amp;outputformat=json&amp;raddatabase=PVGIS-SARAH3&amp;pvtechchoice=crystSi&amp;mountingplace=free&amp;usehorizon=1</v>
      </c>
    </row>
    <row r="3700">
      <c r="A3700" t="n">
        <v>60</v>
      </c>
      <c r="B3700" t="n">
        <v>30</v>
      </c>
      <c r="C3700" t="n">
        <v>7</v>
      </c>
      <c r="D3700" s="218" t="n">
        <v>102.58</v>
      </c>
      <c r="E3700" s="218" t="n">
        <v>3.31</v>
      </c>
      <c r="F3700" t="str">
        <v>https://re.jrc.ec.europa.eu/api/v5_3/PVcalc?lat=30.0444&amp;lon=31.2357&amp;peakpower=1&amp;loss=14&amp;angle=60&amp;aspect=-150&amp;outputformat=json&amp;raddatabase=PVGIS-SARAH3&amp;pvtechchoice=crystSi&amp;mountingplace=free&amp;usehorizon=1</v>
      </c>
    </row>
    <row r="3701">
      <c r="A3701" t="n">
        <v>60</v>
      </c>
      <c r="B3701" t="n">
        <v>30</v>
      </c>
      <c r="C3701" t="n">
        <v>8</v>
      </c>
      <c r="D3701" s="218" t="n">
        <v>80.52</v>
      </c>
      <c r="E3701" s="218" t="n">
        <v>2.6</v>
      </c>
      <c r="F3701" t="str">
        <v>https://re.jrc.ec.europa.eu/api/v5_3/PVcalc?lat=30.0444&amp;lon=31.2357&amp;peakpower=1&amp;loss=14&amp;angle=60&amp;aspect=-150&amp;outputformat=json&amp;raddatabase=PVGIS-SARAH3&amp;pvtechchoice=crystSi&amp;mountingplace=free&amp;usehorizon=1</v>
      </c>
    </row>
    <row r="3702">
      <c r="A3702" t="n">
        <v>60</v>
      </c>
      <c r="B3702" t="n">
        <v>30</v>
      </c>
      <c r="C3702" t="n">
        <v>9</v>
      </c>
      <c r="D3702" s="218" t="n">
        <v>51.36</v>
      </c>
      <c r="E3702" s="218" t="n">
        <v>1.71</v>
      </c>
      <c r="F3702" t="str">
        <v>https://re.jrc.ec.europa.eu/api/v5_3/PVcalc?lat=30.0444&amp;lon=31.2357&amp;peakpower=1&amp;loss=14&amp;angle=60&amp;aspect=-150&amp;outputformat=json&amp;raddatabase=PVGIS-SARAH3&amp;pvtechchoice=crystSi&amp;mountingplace=free&amp;usehorizon=1</v>
      </c>
    </row>
    <row r="3703">
      <c r="A3703" t="n">
        <v>60</v>
      </c>
      <c r="B3703" t="n">
        <v>30</v>
      </c>
      <c r="C3703" t="n">
        <v>10</v>
      </c>
      <c r="D3703" s="218" t="n">
        <v>32</v>
      </c>
      <c r="E3703" s="218" t="n">
        <v>1.03</v>
      </c>
      <c r="F3703" t="str">
        <v>https://re.jrc.ec.europa.eu/api/v5_3/PVcalc?lat=30.0444&amp;lon=31.2357&amp;peakpower=1&amp;loss=14&amp;angle=60&amp;aspect=-150&amp;outputformat=json&amp;raddatabase=PVGIS-SARAH3&amp;pvtechchoice=crystSi&amp;mountingplace=free&amp;usehorizon=1</v>
      </c>
    </row>
    <row r="3704">
      <c r="A3704" t="n">
        <v>60</v>
      </c>
      <c r="B3704" t="n">
        <v>30</v>
      </c>
      <c r="C3704" t="n">
        <v>11</v>
      </c>
      <c r="D3704" s="218" t="n">
        <v>19.59</v>
      </c>
      <c r="E3704" s="218" t="n">
        <v>0.65</v>
      </c>
      <c r="F3704" t="str">
        <v>https://re.jrc.ec.europa.eu/api/v5_3/PVcalc?lat=30.0444&amp;lon=31.2357&amp;peakpower=1&amp;loss=14&amp;angle=60&amp;aspect=-150&amp;outputformat=json&amp;raddatabase=PVGIS-SARAH3&amp;pvtechchoice=crystSi&amp;mountingplace=free&amp;usehorizon=1</v>
      </c>
    </row>
    <row r="3705">
      <c r="A3705" t="n">
        <v>60</v>
      </c>
      <c r="B3705" t="n">
        <v>30</v>
      </c>
      <c r="C3705" t="n">
        <v>12</v>
      </c>
      <c r="D3705" s="218" t="n">
        <v>17.53</v>
      </c>
      <c r="E3705" s="218" t="n">
        <v>0.57</v>
      </c>
      <c r="F3705" t="str">
        <v>https://re.jrc.ec.europa.eu/api/v5_3/PVcalc?lat=30.0444&amp;lon=31.2357&amp;peakpower=1&amp;loss=14&amp;angle=60&amp;aspect=-150&amp;outputformat=json&amp;raddatabase=PVGIS-SARAH3&amp;pvtechchoice=crystSi&amp;mountingplace=free&amp;usehorizon=1</v>
      </c>
    </row>
    <row r="3706">
      <c r="A3706" t="n">
        <v>60</v>
      </c>
      <c r="B3706" t="n">
        <v>45</v>
      </c>
      <c r="C3706" t="n">
        <v>1</v>
      </c>
      <c r="D3706" s="218" t="n">
        <v>26.52</v>
      </c>
      <c r="E3706" s="218" t="n">
        <v>0.86</v>
      </c>
      <c r="F3706" t="str">
        <v>https://re.jrc.ec.europa.eu/api/v5_3/PVcalc?lat=30.0444&amp;lon=31.2357&amp;peakpower=1&amp;loss=14&amp;angle=60&amp;aspect=-135&amp;outputformat=json&amp;raddatabase=PVGIS-SARAH3&amp;pvtechchoice=crystSi&amp;mountingplace=free&amp;usehorizon=1</v>
      </c>
    </row>
    <row r="3707">
      <c r="A3707" t="n">
        <v>60</v>
      </c>
      <c r="B3707" t="n">
        <v>45</v>
      </c>
      <c r="C3707" t="n">
        <v>2</v>
      </c>
      <c r="D3707" s="218" t="n">
        <v>38.69</v>
      </c>
      <c r="E3707" s="218" t="n">
        <v>1.38</v>
      </c>
      <c r="F3707" t="str">
        <v>https://re.jrc.ec.europa.eu/api/v5_3/PVcalc?lat=30.0444&amp;lon=31.2357&amp;peakpower=1&amp;loss=14&amp;angle=60&amp;aspect=-135&amp;outputformat=json&amp;raddatabase=PVGIS-SARAH3&amp;pvtechchoice=crystSi&amp;mountingplace=free&amp;usehorizon=1</v>
      </c>
    </row>
    <row r="3708">
      <c r="A3708" t="n">
        <v>60</v>
      </c>
      <c r="B3708" t="n">
        <v>45</v>
      </c>
      <c r="C3708" t="n">
        <v>3</v>
      </c>
      <c r="D3708" s="218" t="n">
        <v>63.89</v>
      </c>
      <c r="E3708" s="218" t="n">
        <v>2.06</v>
      </c>
      <c r="F3708" t="str">
        <v>https://re.jrc.ec.europa.eu/api/v5_3/PVcalc?lat=30.0444&amp;lon=31.2357&amp;peakpower=1&amp;loss=14&amp;angle=60&amp;aspect=-135&amp;outputformat=json&amp;raddatabase=PVGIS-SARAH3&amp;pvtechchoice=crystSi&amp;mountingplace=free&amp;usehorizon=1</v>
      </c>
    </row>
    <row r="3709">
      <c r="A3709" t="n">
        <v>60</v>
      </c>
      <c r="B3709" t="n">
        <v>45</v>
      </c>
      <c r="C3709" t="n">
        <v>4</v>
      </c>
      <c r="D3709" s="218" t="n">
        <v>84.74</v>
      </c>
      <c r="E3709" s="218" t="n">
        <v>2.82</v>
      </c>
      <c r="F3709" t="str">
        <v>https://re.jrc.ec.europa.eu/api/v5_3/PVcalc?lat=30.0444&amp;lon=31.2357&amp;peakpower=1&amp;loss=14&amp;angle=60&amp;aspect=-135&amp;outputformat=json&amp;raddatabase=PVGIS-SARAH3&amp;pvtechchoice=crystSi&amp;mountingplace=free&amp;usehorizon=1</v>
      </c>
    </row>
    <row r="3710">
      <c r="A3710" t="n">
        <v>60</v>
      </c>
      <c r="B3710" t="n">
        <v>45</v>
      </c>
      <c r="C3710" t="n">
        <v>5</v>
      </c>
      <c r="D3710" s="218" t="n">
        <v>107.8</v>
      </c>
      <c r="E3710" s="218" t="n">
        <v>3.48</v>
      </c>
      <c r="F3710" t="str">
        <v>https://re.jrc.ec.europa.eu/api/v5_3/PVcalc?lat=30.0444&amp;lon=31.2357&amp;peakpower=1&amp;loss=14&amp;angle=60&amp;aspect=-135&amp;outputformat=json&amp;raddatabase=PVGIS-SARAH3&amp;pvtechchoice=crystSi&amp;mountingplace=free&amp;usehorizon=1</v>
      </c>
    </row>
    <row r="3711">
      <c r="A3711" t="n">
        <v>60</v>
      </c>
      <c r="B3711" t="n">
        <v>45</v>
      </c>
      <c r="C3711" t="n">
        <v>6</v>
      </c>
      <c r="D3711" s="218" t="n">
        <v>113.91</v>
      </c>
      <c r="E3711" s="218" t="n">
        <v>3.8</v>
      </c>
      <c r="F3711" t="str">
        <v>https://re.jrc.ec.europa.eu/api/v5_3/PVcalc?lat=30.0444&amp;lon=31.2357&amp;peakpower=1&amp;loss=14&amp;angle=60&amp;aspect=-135&amp;outputformat=json&amp;raddatabase=PVGIS-SARAH3&amp;pvtechchoice=crystSi&amp;mountingplace=free&amp;usehorizon=1</v>
      </c>
    </row>
    <row r="3712">
      <c r="A3712" t="n">
        <v>60</v>
      </c>
      <c r="B3712" t="n">
        <v>45</v>
      </c>
      <c r="C3712" t="n">
        <v>7</v>
      </c>
      <c r="D3712" s="218" t="n">
        <v>110.22</v>
      </c>
      <c r="E3712" s="218" t="n">
        <v>3.56</v>
      </c>
      <c r="F3712" t="str">
        <v>https://re.jrc.ec.europa.eu/api/v5_3/PVcalc?lat=30.0444&amp;lon=31.2357&amp;peakpower=1&amp;loss=14&amp;angle=60&amp;aspect=-135&amp;outputformat=json&amp;raddatabase=PVGIS-SARAH3&amp;pvtechchoice=crystSi&amp;mountingplace=free&amp;usehorizon=1</v>
      </c>
    </row>
    <row r="3713">
      <c r="A3713" t="n">
        <v>60</v>
      </c>
      <c r="B3713" t="n">
        <v>45</v>
      </c>
      <c r="C3713" t="n">
        <v>8</v>
      </c>
      <c r="D3713" s="218" t="n">
        <v>92.86</v>
      </c>
      <c r="E3713" s="218" t="n">
        <v>3</v>
      </c>
      <c r="F3713" t="str">
        <v>https://re.jrc.ec.europa.eu/api/v5_3/PVcalc?lat=30.0444&amp;lon=31.2357&amp;peakpower=1&amp;loss=14&amp;angle=60&amp;aspect=-135&amp;outputformat=json&amp;raddatabase=PVGIS-SARAH3&amp;pvtechchoice=crystSi&amp;mountingplace=free&amp;usehorizon=1</v>
      </c>
    </row>
    <row r="3714">
      <c r="A3714" t="n">
        <v>60</v>
      </c>
      <c r="B3714" t="n">
        <v>45</v>
      </c>
      <c r="C3714" t="n">
        <v>9</v>
      </c>
      <c r="D3714" s="218" t="n">
        <v>66.15</v>
      </c>
      <c r="E3714" s="218" t="n">
        <v>2.2</v>
      </c>
      <c r="F3714" t="str">
        <v>https://re.jrc.ec.europa.eu/api/v5_3/PVcalc?lat=30.0444&amp;lon=31.2357&amp;peakpower=1&amp;loss=14&amp;angle=60&amp;aspect=-135&amp;outputformat=json&amp;raddatabase=PVGIS-SARAH3&amp;pvtechchoice=crystSi&amp;mountingplace=free&amp;usehorizon=1</v>
      </c>
    </row>
    <row r="3715">
      <c r="A3715" t="n">
        <v>60</v>
      </c>
      <c r="B3715" t="n">
        <v>45</v>
      </c>
      <c r="C3715" t="n">
        <v>10</v>
      </c>
      <c r="D3715" s="218" t="n">
        <v>46.53</v>
      </c>
      <c r="E3715" s="218" t="n">
        <v>1.5</v>
      </c>
      <c r="F3715" t="str">
        <v>https://re.jrc.ec.europa.eu/api/v5_3/PVcalc?lat=30.0444&amp;lon=31.2357&amp;peakpower=1&amp;loss=14&amp;angle=60&amp;aspect=-135&amp;outputformat=json&amp;raddatabase=PVGIS-SARAH3&amp;pvtechchoice=crystSi&amp;mountingplace=free&amp;usehorizon=1</v>
      </c>
    </row>
    <row r="3716">
      <c r="A3716" t="n">
        <v>60</v>
      </c>
      <c r="B3716" t="n">
        <v>45</v>
      </c>
      <c r="C3716" t="n">
        <v>11</v>
      </c>
      <c r="D3716" s="218" t="n">
        <v>28.97</v>
      </c>
      <c r="E3716" s="218" t="n">
        <v>0.97</v>
      </c>
      <c r="F3716" t="str">
        <v>https://re.jrc.ec.europa.eu/api/v5_3/PVcalc?lat=30.0444&amp;lon=31.2357&amp;peakpower=1&amp;loss=14&amp;angle=60&amp;aspect=-135&amp;outputformat=json&amp;raddatabase=PVGIS-SARAH3&amp;pvtechchoice=crystSi&amp;mountingplace=free&amp;usehorizon=1</v>
      </c>
    </row>
    <row r="3717">
      <c r="A3717" t="n">
        <v>60</v>
      </c>
      <c r="B3717" t="n">
        <v>45</v>
      </c>
      <c r="C3717" t="n">
        <v>12</v>
      </c>
      <c r="D3717" s="218" t="n">
        <v>23.09</v>
      </c>
      <c r="E3717" s="218" t="n">
        <v>0.74</v>
      </c>
      <c r="F3717" t="str">
        <v>https://re.jrc.ec.europa.eu/api/v5_3/PVcalc?lat=30.0444&amp;lon=31.2357&amp;peakpower=1&amp;loss=14&amp;angle=60&amp;aspect=-135&amp;outputformat=json&amp;raddatabase=PVGIS-SARAH3&amp;pvtechchoice=crystSi&amp;mountingplace=free&amp;usehorizon=1</v>
      </c>
    </row>
    <row r="3718">
      <c r="A3718" t="n">
        <v>60</v>
      </c>
      <c r="B3718" t="n">
        <v>60</v>
      </c>
      <c r="C3718" t="n">
        <v>1</v>
      </c>
      <c r="D3718" s="218" t="n">
        <v>39.84</v>
      </c>
      <c r="E3718" s="218" t="n">
        <v>1.29</v>
      </c>
      <c r="F3718" t="str">
        <v>https://re.jrc.ec.europa.eu/api/v5_3/PVcalc?lat=30.0444&amp;lon=31.2357&amp;peakpower=1&amp;loss=14&amp;angle=60&amp;aspect=-120&amp;outputformat=json&amp;raddatabase=PVGIS-SARAH3&amp;pvtechchoice=crystSi&amp;mountingplace=free&amp;usehorizon=1</v>
      </c>
    </row>
    <row r="3719">
      <c r="A3719" t="n">
        <v>60</v>
      </c>
      <c r="B3719" t="n">
        <v>60</v>
      </c>
      <c r="C3719" t="n">
        <v>2</v>
      </c>
      <c r="D3719" s="218" t="n">
        <v>52.71</v>
      </c>
      <c r="E3719" s="218" t="n">
        <v>1.88</v>
      </c>
      <c r="F3719" t="str">
        <v>https://re.jrc.ec.europa.eu/api/v5_3/PVcalc?lat=30.0444&amp;lon=31.2357&amp;peakpower=1&amp;loss=14&amp;angle=60&amp;aspect=-120&amp;outputformat=json&amp;raddatabase=PVGIS-SARAH3&amp;pvtechchoice=crystSi&amp;mountingplace=free&amp;usehorizon=1</v>
      </c>
    </row>
    <row r="3720">
      <c r="A3720" t="n">
        <v>60</v>
      </c>
      <c r="B3720" t="n">
        <v>60</v>
      </c>
      <c r="C3720" t="n">
        <v>3</v>
      </c>
      <c r="D3720" s="218" t="n">
        <v>78.92</v>
      </c>
      <c r="E3720" s="218" t="n">
        <v>2.55</v>
      </c>
      <c r="F3720" t="str">
        <v>https://re.jrc.ec.europa.eu/api/v5_3/PVcalc?lat=30.0444&amp;lon=31.2357&amp;peakpower=1&amp;loss=14&amp;angle=60&amp;aspect=-120&amp;outputformat=json&amp;raddatabase=PVGIS-SARAH3&amp;pvtechchoice=crystSi&amp;mountingplace=free&amp;usehorizon=1</v>
      </c>
    </row>
    <row r="3721">
      <c r="A3721" t="n">
        <v>60</v>
      </c>
      <c r="B3721" t="n">
        <v>60</v>
      </c>
      <c r="C3721" t="n">
        <v>4</v>
      </c>
      <c r="D3721" s="218" t="n">
        <v>96.26</v>
      </c>
      <c r="E3721" s="218" t="n">
        <v>3.21</v>
      </c>
      <c r="F3721" t="str">
        <v>https://re.jrc.ec.europa.eu/api/v5_3/PVcalc?lat=30.0444&amp;lon=31.2357&amp;peakpower=1&amp;loss=14&amp;angle=60&amp;aspect=-120&amp;outputformat=json&amp;raddatabase=PVGIS-SARAH3&amp;pvtechchoice=crystSi&amp;mountingplace=free&amp;usehorizon=1</v>
      </c>
    </row>
    <row r="3722">
      <c r="A3722" t="n">
        <v>60</v>
      </c>
      <c r="B3722" t="n">
        <v>60</v>
      </c>
      <c r="C3722" t="n">
        <v>5</v>
      </c>
      <c r="D3722" s="218" t="n">
        <v>116.04</v>
      </c>
      <c r="E3722" s="218" t="n">
        <v>3.74</v>
      </c>
      <c r="F3722" t="str">
        <v>https://re.jrc.ec.europa.eu/api/v5_3/PVcalc?lat=30.0444&amp;lon=31.2357&amp;peakpower=1&amp;loss=14&amp;angle=60&amp;aspect=-120&amp;outputformat=json&amp;raddatabase=PVGIS-SARAH3&amp;pvtechchoice=crystSi&amp;mountingplace=free&amp;usehorizon=1</v>
      </c>
    </row>
    <row r="3723">
      <c r="A3723" t="n">
        <v>60</v>
      </c>
      <c r="B3723" t="n">
        <v>60</v>
      </c>
      <c r="C3723" t="n">
        <v>6</v>
      </c>
      <c r="D3723" s="218" t="n">
        <v>119.84</v>
      </c>
      <c r="E3723" s="218" t="n">
        <v>3.99</v>
      </c>
      <c r="F3723" t="str">
        <v>https://re.jrc.ec.europa.eu/api/v5_3/PVcalc?lat=30.0444&amp;lon=31.2357&amp;peakpower=1&amp;loss=14&amp;angle=60&amp;aspect=-120&amp;outputformat=json&amp;raddatabase=PVGIS-SARAH3&amp;pvtechchoice=crystSi&amp;mountingplace=free&amp;usehorizon=1</v>
      </c>
    </row>
    <row r="3724">
      <c r="A3724" t="n">
        <v>60</v>
      </c>
      <c r="B3724" t="n">
        <v>60</v>
      </c>
      <c r="C3724" t="n">
        <v>7</v>
      </c>
      <c r="D3724" s="218" t="n">
        <v>117.36</v>
      </c>
      <c r="E3724" s="218" t="n">
        <v>3.79</v>
      </c>
      <c r="F3724" t="str">
        <v>https://re.jrc.ec.europa.eu/api/v5_3/PVcalc?lat=30.0444&amp;lon=31.2357&amp;peakpower=1&amp;loss=14&amp;angle=60&amp;aspect=-120&amp;outputformat=json&amp;raddatabase=PVGIS-SARAH3&amp;pvtechchoice=crystSi&amp;mountingplace=free&amp;usehorizon=1</v>
      </c>
    </row>
    <row r="3725">
      <c r="A3725" t="n">
        <v>60</v>
      </c>
      <c r="B3725" t="n">
        <v>60</v>
      </c>
      <c r="C3725" t="n">
        <v>8</v>
      </c>
      <c r="D3725" s="218" t="n">
        <v>104</v>
      </c>
      <c r="E3725" s="218" t="n">
        <v>3.35</v>
      </c>
      <c r="F3725" t="str">
        <v>https://re.jrc.ec.europa.eu/api/v5_3/PVcalc?lat=30.0444&amp;lon=31.2357&amp;peakpower=1&amp;loss=14&amp;angle=60&amp;aspect=-120&amp;outputformat=json&amp;raddatabase=PVGIS-SARAH3&amp;pvtechchoice=crystSi&amp;mountingplace=free&amp;usehorizon=1</v>
      </c>
    </row>
    <row r="3726">
      <c r="A3726" t="n">
        <v>60</v>
      </c>
      <c r="B3726" t="n">
        <v>60</v>
      </c>
      <c r="C3726" t="n">
        <v>9</v>
      </c>
      <c r="D3726" s="218" t="n">
        <v>80.22</v>
      </c>
      <c r="E3726" s="218" t="n">
        <v>2.67</v>
      </c>
      <c r="F3726" t="str">
        <v>https://re.jrc.ec.europa.eu/api/v5_3/PVcalc?lat=30.0444&amp;lon=31.2357&amp;peakpower=1&amp;loss=14&amp;angle=60&amp;aspect=-120&amp;outputformat=json&amp;raddatabase=PVGIS-SARAH3&amp;pvtechchoice=crystSi&amp;mountingplace=free&amp;usehorizon=1</v>
      </c>
    </row>
    <row r="3727">
      <c r="A3727" t="n">
        <v>60</v>
      </c>
      <c r="B3727" t="n">
        <v>60</v>
      </c>
      <c r="C3727" t="n">
        <v>10</v>
      </c>
      <c r="D3727" s="218" t="n">
        <v>62.49</v>
      </c>
      <c r="E3727" s="218" t="n">
        <v>2.02</v>
      </c>
      <c r="F3727" t="str">
        <v>https://re.jrc.ec.europa.eu/api/v5_3/PVcalc?lat=30.0444&amp;lon=31.2357&amp;peakpower=1&amp;loss=14&amp;angle=60&amp;aspect=-120&amp;outputformat=json&amp;raddatabase=PVGIS-SARAH3&amp;pvtechchoice=crystSi&amp;mountingplace=free&amp;usehorizon=1</v>
      </c>
    </row>
    <row r="3728">
      <c r="A3728" t="n">
        <v>60</v>
      </c>
      <c r="B3728" t="n">
        <v>60</v>
      </c>
      <c r="C3728" t="n">
        <v>11</v>
      </c>
      <c r="D3728" s="218" t="n">
        <v>43.58</v>
      </c>
      <c r="E3728" s="218" t="n">
        <v>1.45</v>
      </c>
      <c r="F3728" t="str">
        <v>https://re.jrc.ec.europa.eu/api/v5_3/PVcalc?lat=30.0444&amp;lon=31.2357&amp;peakpower=1&amp;loss=14&amp;angle=60&amp;aspect=-120&amp;outputformat=json&amp;raddatabase=PVGIS-SARAH3&amp;pvtechchoice=crystSi&amp;mountingplace=free&amp;usehorizon=1</v>
      </c>
    </row>
    <row r="3729">
      <c r="A3729" t="n">
        <v>60</v>
      </c>
      <c r="B3729" t="n">
        <v>60</v>
      </c>
      <c r="C3729" t="n">
        <v>12</v>
      </c>
      <c r="D3729" s="218" t="n">
        <v>36</v>
      </c>
      <c r="E3729" s="218" t="n">
        <v>1.16</v>
      </c>
      <c r="F3729" t="str">
        <v>https://re.jrc.ec.europa.eu/api/v5_3/PVcalc?lat=30.0444&amp;lon=31.2357&amp;peakpower=1&amp;loss=14&amp;angle=60&amp;aspect=-120&amp;outputformat=json&amp;raddatabase=PVGIS-SARAH3&amp;pvtechchoice=crystSi&amp;mountingplace=free&amp;usehorizon=1</v>
      </c>
    </row>
    <row r="3730">
      <c r="A3730" t="n">
        <v>60</v>
      </c>
      <c r="B3730" t="n">
        <v>75</v>
      </c>
      <c r="C3730" t="n">
        <v>1</v>
      </c>
      <c r="D3730" s="218" t="n">
        <v>55.8</v>
      </c>
      <c r="E3730" s="218" t="n">
        <v>1.8</v>
      </c>
      <c r="F3730" t="str">
        <v>https://re.jrc.ec.europa.eu/api/v5_3/PVcalc?lat=30.0444&amp;lon=31.2357&amp;peakpower=1&amp;loss=14&amp;angle=60&amp;aspect=-105&amp;outputformat=json&amp;raddatabase=PVGIS-SARAH3&amp;pvtechchoice=crystSi&amp;mountingplace=free&amp;usehorizon=1</v>
      </c>
    </row>
    <row r="3731">
      <c r="A3731" t="n">
        <v>60</v>
      </c>
      <c r="B3731" t="n">
        <v>75</v>
      </c>
      <c r="C3731" t="n">
        <v>2</v>
      </c>
      <c r="D3731" s="218" t="n">
        <v>67.02</v>
      </c>
      <c r="E3731" s="218" t="n">
        <v>2.39</v>
      </c>
      <c r="F3731" t="str">
        <v>https://re.jrc.ec.europa.eu/api/v5_3/PVcalc?lat=30.0444&amp;lon=31.2357&amp;peakpower=1&amp;loss=14&amp;angle=60&amp;aspect=-105&amp;outputformat=json&amp;raddatabase=PVGIS-SARAH3&amp;pvtechchoice=crystSi&amp;mountingplace=free&amp;usehorizon=1</v>
      </c>
    </row>
    <row r="3732">
      <c r="A3732" t="n">
        <v>60</v>
      </c>
      <c r="B3732" t="n">
        <v>75</v>
      </c>
      <c r="C3732" t="n">
        <v>3</v>
      </c>
      <c r="D3732" s="218" t="n">
        <v>92.91</v>
      </c>
      <c r="E3732" s="218" t="n">
        <v>3</v>
      </c>
      <c r="F3732" t="str">
        <v>https://re.jrc.ec.europa.eu/api/v5_3/PVcalc?lat=30.0444&amp;lon=31.2357&amp;peakpower=1&amp;loss=14&amp;angle=60&amp;aspect=-105&amp;outputformat=json&amp;raddatabase=PVGIS-SARAH3&amp;pvtechchoice=crystSi&amp;mountingplace=free&amp;usehorizon=1</v>
      </c>
    </row>
    <row r="3733">
      <c r="A3733" t="n">
        <v>60</v>
      </c>
      <c r="B3733" t="n">
        <v>75</v>
      </c>
      <c r="C3733" t="n">
        <v>4</v>
      </c>
      <c r="D3733" s="218" t="n">
        <v>106.24</v>
      </c>
      <c r="E3733" s="218" t="n">
        <v>3.54</v>
      </c>
      <c r="F3733" t="str">
        <v>https://re.jrc.ec.europa.eu/api/v5_3/PVcalc?lat=30.0444&amp;lon=31.2357&amp;peakpower=1&amp;loss=14&amp;angle=60&amp;aspect=-105&amp;outputformat=json&amp;raddatabase=PVGIS-SARAH3&amp;pvtechchoice=crystSi&amp;mountingplace=free&amp;usehorizon=1</v>
      </c>
    </row>
    <row r="3734">
      <c r="A3734" t="n">
        <v>60</v>
      </c>
      <c r="B3734" t="n">
        <v>75</v>
      </c>
      <c r="C3734" t="n">
        <v>5</v>
      </c>
      <c r="D3734" s="218" t="n">
        <v>122.43</v>
      </c>
      <c r="E3734" s="218" t="n">
        <v>3.95</v>
      </c>
      <c r="F3734" t="str">
        <v>https://re.jrc.ec.europa.eu/api/v5_3/PVcalc?lat=30.0444&amp;lon=31.2357&amp;peakpower=1&amp;loss=14&amp;angle=60&amp;aspect=-105&amp;outputformat=json&amp;raddatabase=PVGIS-SARAH3&amp;pvtechchoice=crystSi&amp;mountingplace=free&amp;usehorizon=1</v>
      </c>
    </row>
    <row r="3735">
      <c r="A3735" t="n">
        <v>60</v>
      </c>
      <c r="B3735" t="n">
        <v>75</v>
      </c>
      <c r="C3735" t="n">
        <v>6</v>
      </c>
      <c r="D3735" s="218" t="n">
        <v>124.17</v>
      </c>
      <c r="E3735" s="218" t="n">
        <v>4.14</v>
      </c>
      <c r="F3735" t="str">
        <v>https://re.jrc.ec.europa.eu/api/v5_3/PVcalc?lat=30.0444&amp;lon=31.2357&amp;peakpower=1&amp;loss=14&amp;angle=60&amp;aspect=-105&amp;outputformat=json&amp;raddatabase=PVGIS-SARAH3&amp;pvtechchoice=crystSi&amp;mountingplace=free&amp;usehorizon=1</v>
      </c>
    </row>
    <row r="3736">
      <c r="A3736" t="n">
        <v>60</v>
      </c>
      <c r="B3736" t="n">
        <v>75</v>
      </c>
      <c r="C3736" t="n">
        <v>7</v>
      </c>
      <c r="D3736" s="218" t="n">
        <v>122.83</v>
      </c>
      <c r="E3736" s="218" t="n">
        <v>3.96</v>
      </c>
      <c r="F3736" t="str">
        <v>https://re.jrc.ec.europa.eu/api/v5_3/PVcalc?lat=30.0444&amp;lon=31.2357&amp;peakpower=1&amp;loss=14&amp;angle=60&amp;aspect=-105&amp;outputformat=json&amp;raddatabase=PVGIS-SARAH3&amp;pvtechchoice=crystSi&amp;mountingplace=free&amp;usehorizon=1</v>
      </c>
    </row>
    <row r="3737">
      <c r="A3737" t="n">
        <v>60</v>
      </c>
      <c r="B3737" t="n">
        <v>75</v>
      </c>
      <c r="C3737" t="n">
        <v>8</v>
      </c>
      <c r="D3737" s="218" t="n">
        <v>113.24</v>
      </c>
      <c r="E3737" s="218" t="n">
        <v>3.65</v>
      </c>
      <c r="F3737" t="str">
        <v>https://re.jrc.ec.europa.eu/api/v5_3/PVcalc?lat=30.0444&amp;lon=31.2357&amp;peakpower=1&amp;loss=14&amp;angle=60&amp;aspect=-105&amp;outputformat=json&amp;raddatabase=PVGIS-SARAH3&amp;pvtechchoice=crystSi&amp;mountingplace=free&amp;usehorizon=1</v>
      </c>
    </row>
    <row r="3738">
      <c r="A3738" t="n">
        <v>60</v>
      </c>
      <c r="B3738" t="n">
        <v>75</v>
      </c>
      <c r="C3738" t="n">
        <v>9</v>
      </c>
      <c r="D3738" s="218" t="n">
        <v>92.97</v>
      </c>
      <c r="E3738" s="218" t="n">
        <v>3.1</v>
      </c>
      <c r="F3738" t="str">
        <v>https://re.jrc.ec.europa.eu/api/v5_3/PVcalc?lat=30.0444&amp;lon=31.2357&amp;peakpower=1&amp;loss=14&amp;angle=60&amp;aspect=-105&amp;outputformat=json&amp;raddatabase=PVGIS-SARAH3&amp;pvtechchoice=crystSi&amp;mountingplace=free&amp;usehorizon=1</v>
      </c>
    </row>
    <row r="3739">
      <c r="A3739" t="n">
        <v>60</v>
      </c>
      <c r="B3739" t="n">
        <v>75</v>
      </c>
      <c r="C3739" t="n">
        <v>10</v>
      </c>
      <c r="D3739" s="218" t="n">
        <v>78.52</v>
      </c>
      <c r="E3739" s="218" t="n">
        <v>2.53</v>
      </c>
      <c r="F3739" t="str">
        <v>https://re.jrc.ec.europa.eu/api/v5_3/PVcalc?lat=30.0444&amp;lon=31.2357&amp;peakpower=1&amp;loss=14&amp;angle=60&amp;aspect=-105&amp;outputformat=json&amp;raddatabase=PVGIS-SARAH3&amp;pvtechchoice=crystSi&amp;mountingplace=free&amp;usehorizon=1</v>
      </c>
    </row>
    <row r="3740">
      <c r="A3740" t="n">
        <v>60</v>
      </c>
      <c r="B3740" t="n">
        <v>75</v>
      </c>
      <c r="C3740" t="n">
        <v>11</v>
      </c>
      <c r="D3740" s="218" t="n">
        <v>59.94</v>
      </c>
      <c r="E3740" s="218" t="n">
        <v>2</v>
      </c>
      <c r="F3740" t="str">
        <v>https://re.jrc.ec.europa.eu/api/v5_3/PVcalc?lat=30.0444&amp;lon=31.2357&amp;peakpower=1&amp;loss=14&amp;angle=60&amp;aspect=-105&amp;outputformat=json&amp;raddatabase=PVGIS-SARAH3&amp;pvtechchoice=crystSi&amp;mountingplace=free&amp;usehorizon=1</v>
      </c>
    </row>
    <row r="3741">
      <c r="A3741" t="n">
        <v>60</v>
      </c>
      <c r="B3741" t="n">
        <v>75</v>
      </c>
      <c r="C3741" t="n">
        <v>12</v>
      </c>
      <c r="D3741" s="218" t="n">
        <v>52.27</v>
      </c>
      <c r="E3741" s="218" t="n">
        <v>1.69</v>
      </c>
      <c r="F3741" t="str">
        <v>https://re.jrc.ec.europa.eu/api/v5_3/PVcalc?lat=30.0444&amp;lon=31.2357&amp;peakpower=1&amp;loss=14&amp;angle=60&amp;aspect=-105&amp;outputformat=json&amp;raddatabase=PVGIS-SARAH3&amp;pvtechchoice=crystSi&amp;mountingplace=free&amp;usehorizon=1</v>
      </c>
    </row>
    <row r="3742">
      <c r="A3742" t="n">
        <v>60</v>
      </c>
      <c r="B3742" t="n">
        <v>90</v>
      </c>
      <c r="C3742" t="n">
        <v>1</v>
      </c>
      <c r="D3742" s="218" t="n">
        <v>72.41</v>
      </c>
      <c r="E3742" s="218" t="n">
        <v>2.34</v>
      </c>
      <c r="F3742" t="str">
        <v>https://re.jrc.ec.europa.eu/api/v5_3/PVcalc?lat=30.0444&amp;lon=31.2357&amp;peakpower=1&amp;loss=14&amp;angle=60&amp;aspect=-90&amp;outputformat=json&amp;raddatabase=PVGIS-SARAH3&amp;pvtechchoice=crystSi&amp;mountingplace=free&amp;usehorizon=1</v>
      </c>
    </row>
    <row r="3743">
      <c r="A3743" t="n">
        <v>60</v>
      </c>
      <c r="B3743" t="n">
        <v>90</v>
      </c>
      <c r="C3743" t="n">
        <v>2</v>
      </c>
      <c r="D3743" s="218" t="n">
        <v>81</v>
      </c>
      <c r="E3743" s="218" t="n">
        <v>2.89</v>
      </c>
      <c r="F3743" t="str">
        <v>https://re.jrc.ec.europa.eu/api/v5_3/PVcalc?lat=30.0444&amp;lon=31.2357&amp;peakpower=1&amp;loss=14&amp;angle=60&amp;aspect=-90&amp;outputformat=json&amp;raddatabase=PVGIS-SARAH3&amp;pvtechchoice=crystSi&amp;mountingplace=free&amp;usehorizon=1</v>
      </c>
    </row>
    <row r="3744">
      <c r="A3744" t="n">
        <v>60</v>
      </c>
      <c r="B3744" t="n">
        <v>90</v>
      </c>
      <c r="C3744" t="n">
        <v>3</v>
      </c>
      <c r="D3744" s="218" t="n">
        <v>105.78</v>
      </c>
      <c r="E3744" s="218" t="n">
        <v>3.41</v>
      </c>
      <c r="F3744" t="str">
        <v>https://re.jrc.ec.europa.eu/api/v5_3/PVcalc?lat=30.0444&amp;lon=31.2357&amp;peakpower=1&amp;loss=14&amp;angle=60&amp;aspect=-90&amp;outputformat=json&amp;raddatabase=PVGIS-SARAH3&amp;pvtechchoice=crystSi&amp;mountingplace=free&amp;usehorizon=1</v>
      </c>
    </row>
    <row r="3745">
      <c r="A3745" t="n">
        <v>60</v>
      </c>
      <c r="B3745" t="n">
        <v>90</v>
      </c>
      <c r="C3745" t="n">
        <v>4</v>
      </c>
      <c r="D3745" s="218" t="n">
        <v>114.38</v>
      </c>
      <c r="E3745" s="218" t="n">
        <v>3.81</v>
      </c>
      <c r="F3745" t="str">
        <v>https://re.jrc.ec.europa.eu/api/v5_3/PVcalc?lat=30.0444&amp;lon=31.2357&amp;peakpower=1&amp;loss=14&amp;angle=60&amp;aspect=-90&amp;outputformat=json&amp;raddatabase=PVGIS-SARAH3&amp;pvtechchoice=crystSi&amp;mountingplace=free&amp;usehorizon=1</v>
      </c>
    </row>
    <row r="3746">
      <c r="A3746" t="n">
        <v>60</v>
      </c>
      <c r="B3746" t="n">
        <v>90</v>
      </c>
      <c r="C3746" t="n">
        <v>5</v>
      </c>
      <c r="D3746" s="218" t="n">
        <v>126.52</v>
      </c>
      <c r="E3746" s="218" t="n">
        <v>4.08</v>
      </c>
      <c r="F3746" t="str">
        <v>https://re.jrc.ec.europa.eu/api/v5_3/PVcalc?lat=30.0444&amp;lon=31.2357&amp;peakpower=1&amp;loss=14&amp;angle=60&amp;aspect=-90&amp;outputformat=json&amp;raddatabase=PVGIS-SARAH3&amp;pvtechchoice=crystSi&amp;mountingplace=free&amp;usehorizon=1</v>
      </c>
    </row>
    <row r="3747">
      <c r="A3747" t="n">
        <v>60</v>
      </c>
      <c r="B3747" t="n">
        <v>90</v>
      </c>
      <c r="C3747" t="n">
        <v>6</v>
      </c>
      <c r="D3747" s="218" t="n">
        <v>126.15</v>
      </c>
      <c r="E3747" s="218" t="n">
        <v>4.21</v>
      </c>
      <c r="F3747" t="str">
        <v>https://re.jrc.ec.europa.eu/api/v5_3/PVcalc?lat=30.0444&amp;lon=31.2357&amp;peakpower=1&amp;loss=14&amp;angle=60&amp;aspect=-90&amp;outputformat=json&amp;raddatabase=PVGIS-SARAH3&amp;pvtechchoice=crystSi&amp;mountingplace=free&amp;usehorizon=1</v>
      </c>
    </row>
    <row r="3748">
      <c r="A3748" t="n">
        <v>60</v>
      </c>
      <c r="B3748" t="n">
        <v>90</v>
      </c>
      <c r="C3748" t="n">
        <v>7</v>
      </c>
      <c r="D3748" s="218" t="n">
        <v>125.96</v>
      </c>
      <c r="E3748" s="218" t="n">
        <v>4.06</v>
      </c>
      <c r="F3748" t="str">
        <v>https://re.jrc.ec.europa.eu/api/v5_3/PVcalc?lat=30.0444&amp;lon=31.2357&amp;peakpower=1&amp;loss=14&amp;angle=60&amp;aspect=-90&amp;outputformat=json&amp;raddatabase=PVGIS-SARAH3&amp;pvtechchoice=crystSi&amp;mountingplace=free&amp;usehorizon=1</v>
      </c>
    </row>
    <row r="3749">
      <c r="A3749" t="n">
        <v>60</v>
      </c>
      <c r="B3749" t="n">
        <v>90</v>
      </c>
      <c r="C3749" t="n">
        <v>8</v>
      </c>
      <c r="D3749" s="218" t="n">
        <v>120.24</v>
      </c>
      <c r="E3749" s="218" t="n">
        <v>3.88</v>
      </c>
      <c r="F3749" t="str">
        <v>https://re.jrc.ec.europa.eu/api/v5_3/PVcalc?lat=30.0444&amp;lon=31.2357&amp;peakpower=1&amp;loss=14&amp;angle=60&amp;aspect=-90&amp;outputformat=json&amp;raddatabase=PVGIS-SARAH3&amp;pvtechchoice=crystSi&amp;mountingplace=free&amp;usehorizon=1</v>
      </c>
    </row>
    <row r="3750">
      <c r="A3750" t="n">
        <v>60</v>
      </c>
      <c r="B3750" t="n">
        <v>90</v>
      </c>
      <c r="C3750" t="n">
        <v>9</v>
      </c>
      <c r="D3750" s="218" t="n">
        <v>104.42</v>
      </c>
      <c r="E3750" s="218" t="n">
        <v>3.48</v>
      </c>
      <c r="F3750" t="str">
        <v>https://re.jrc.ec.europa.eu/api/v5_3/PVcalc?lat=30.0444&amp;lon=31.2357&amp;peakpower=1&amp;loss=14&amp;angle=60&amp;aspect=-90&amp;outputformat=json&amp;raddatabase=PVGIS-SARAH3&amp;pvtechchoice=crystSi&amp;mountingplace=free&amp;usehorizon=1</v>
      </c>
    </row>
    <row r="3751">
      <c r="A3751" t="n">
        <v>60</v>
      </c>
      <c r="B3751" t="n">
        <v>90</v>
      </c>
      <c r="C3751" t="n">
        <v>10</v>
      </c>
      <c r="D3751" s="218" t="n">
        <v>93.45</v>
      </c>
      <c r="E3751" s="218" t="n">
        <v>3.01</v>
      </c>
      <c r="F3751" t="str">
        <v>https://re.jrc.ec.europa.eu/api/v5_3/PVcalc?lat=30.0444&amp;lon=31.2357&amp;peakpower=1&amp;loss=14&amp;angle=60&amp;aspect=-90&amp;outputformat=json&amp;raddatabase=PVGIS-SARAH3&amp;pvtechchoice=crystSi&amp;mountingplace=free&amp;usehorizon=1</v>
      </c>
    </row>
    <row r="3752">
      <c r="A3752" t="n">
        <v>60</v>
      </c>
      <c r="B3752" t="n">
        <v>90</v>
      </c>
      <c r="C3752" t="n">
        <v>11</v>
      </c>
      <c r="D3752" s="218" t="n">
        <v>76.72</v>
      </c>
      <c r="E3752" s="218" t="n">
        <v>2.56</v>
      </c>
      <c r="F3752" t="str">
        <v>https://re.jrc.ec.europa.eu/api/v5_3/PVcalc?lat=30.0444&amp;lon=31.2357&amp;peakpower=1&amp;loss=14&amp;angle=60&amp;aspect=-90&amp;outputformat=json&amp;raddatabase=PVGIS-SARAH3&amp;pvtechchoice=crystSi&amp;mountingplace=free&amp;usehorizon=1</v>
      </c>
    </row>
    <row r="3753">
      <c r="A3753" t="n">
        <v>60</v>
      </c>
      <c r="B3753" t="n">
        <v>90</v>
      </c>
      <c r="C3753" t="n">
        <v>12</v>
      </c>
      <c r="D3753" s="218" t="n">
        <v>69.82</v>
      </c>
      <c r="E3753" s="218" t="n">
        <v>2.25</v>
      </c>
      <c r="F3753" t="str">
        <v>https://re.jrc.ec.europa.eu/api/v5_3/PVcalc?lat=30.0444&amp;lon=31.2357&amp;peakpower=1&amp;loss=14&amp;angle=60&amp;aspect=-90&amp;outputformat=json&amp;raddatabase=PVGIS-SARAH3&amp;pvtechchoice=crystSi&amp;mountingplace=free&amp;usehorizon=1</v>
      </c>
    </row>
    <row r="3754">
      <c r="A3754" t="n">
        <v>60</v>
      </c>
      <c r="B3754" t="n">
        <v>105</v>
      </c>
      <c r="C3754" t="n">
        <v>1</v>
      </c>
      <c r="D3754" s="218" t="n">
        <v>88.86</v>
      </c>
      <c r="E3754" s="218" t="n">
        <v>2.87</v>
      </c>
      <c r="F3754" t="str">
        <v>https://re.jrc.ec.europa.eu/api/v5_3/PVcalc?lat=30.0444&amp;lon=31.2357&amp;peakpower=1&amp;loss=14&amp;angle=60&amp;aspect=-75&amp;outputformat=json&amp;raddatabase=PVGIS-SARAH3&amp;pvtechchoice=crystSi&amp;mountingplace=free&amp;usehorizon=1</v>
      </c>
    </row>
    <row r="3755">
      <c r="A3755" t="n">
        <v>60</v>
      </c>
      <c r="B3755" t="n">
        <v>105</v>
      </c>
      <c r="C3755" t="n">
        <v>2</v>
      </c>
      <c r="D3755" s="218" t="n">
        <v>93.78</v>
      </c>
      <c r="E3755" s="218" t="n">
        <v>3.35</v>
      </c>
      <c r="F3755" t="str">
        <v>https://re.jrc.ec.europa.eu/api/v5_3/PVcalc?lat=30.0444&amp;lon=31.2357&amp;peakpower=1&amp;loss=14&amp;angle=60&amp;aspect=-75&amp;outputformat=json&amp;raddatabase=PVGIS-SARAH3&amp;pvtechchoice=crystSi&amp;mountingplace=free&amp;usehorizon=1</v>
      </c>
    </row>
    <row r="3756">
      <c r="A3756" t="n">
        <v>60</v>
      </c>
      <c r="B3756" t="n">
        <v>105</v>
      </c>
      <c r="C3756" t="n">
        <v>3</v>
      </c>
      <c r="D3756" s="218" t="n">
        <v>116.65</v>
      </c>
      <c r="E3756" s="218" t="n">
        <v>3.76</v>
      </c>
      <c r="F3756" t="str">
        <v>https://re.jrc.ec.europa.eu/api/v5_3/PVcalc?lat=30.0444&amp;lon=31.2357&amp;peakpower=1&amp;loss=14&amp;angle=60&amp;aspect=-75&amp;outputformat=json&amp;raddatabase=PVGIS-SARAH3&amp;pvtechchoice=crystSi&amp;mountingplace=free&amp;usehorizon=1</v>
      </c>
    </row>
    <row r="3757">
      <c r="A3757" t="n">
        <v>60</v>
      </c>
      <c r="B3757" t="n">
        <v>105</v>
      </c>
      <c r="C3757" t="n">
        <v>4</v>
      </c>
      <c r="D3757" s="218" t="n">
        <v>120.26</v>
      </c>
      <c r="E3757" s="218" t="n">
        <v>4.01</v>
      </c>
      <c r="F3757" t="str">
        <v>https://re.jrc.ec.europa.eu/api/v5_3/PVcalc?lat=30.0444&amp;lon=31.2357&amp;peakpower=1&amp;loss=14&amp;angle=60&amp;aspect=-75&amp;outputformat=json&amp;raddatabase=PVGIS-SARAH3&amp;pvtechchoice=crystSi&amp;mountingplace=free&amp;usehorizon=1</v>
      </c>
    </row>
    <row r="3758">
      <c r="A3758" t="n">
        <v>60</v>
      </c>
      <c r="B3758" t="n">
        <v>105</v>
      </c>
      <c r="C3758" t="n">
        <v>5</v>
      </c>
      <c r="D3758" s="218" t="n">
        <v>128.12</v>
      </c>
      <c r="E3758" s="218" t="n">
        <v>4.13</v>
      </c>
      <c r="F3758" t="str">
        <v>https://re.jrc.ec.europa.eu/api/v5_3/PVcalc?lat=30.0444&amp;lon=31.2357&amp;peakpower=1&amp;loss=14&amp;angle=60&amp;aspect=-75&amp;outputformat=json&amp;raddatabase=PVGIS-SARAH3&amp;pvtechchoice=crystSi&amp;mountingplace=free&amp;usehorizon=1</v>
      </c>
    </row>
    <row r="3759">
      <c r="A3759" t="n">
        <v>60</v>
      </c>
      <c r="B3759" t="n">
        <v>105</v>
      </c>
      <c r="C3759" t="n">
        <v>6</v>
      </c>
      <c r="D3759" s="218" t="n">
        <v>125.53</v>
      </c>
      <c r="E3759" s="218" t="n">
        <v>4.18</v>
      </c>
      <c r="F3759" t="str">
        <v>https://re.jrc.ec.europa.eu/api/v5_3/PVcalc?lat=30.0444&amp;lon=31.2357&amp;peakpower=1&amp;loss=14&amp;angle=60&amp;aspect=-75&amp;outputformat=json&amp;raddatabase=PVGIS-SARAH3&amp;pvtechchoice=crystSi&amp;mountingplace=free&amp;usehorizon=1</v>
      </c>
    </row>
    <row r="3760">
      <c r="A3760" t="n">
        <v>60</v>
      </c>
      <c r="B3760" t="n">
        <v>105</v>
      </c>
      <c r="C3760" t="n">
        <v>7</v>
      </c>
      <c r="D3760" s="218" t="n">
        <v>126.72</v>
      </c>
      <c r="E3760" s="218" t="n">
        <v>4.09</v>
      </c>
      <c r="F3760" t="str">
        <v>https://re.jrc.ec.europa.eu/api/v5_3/PVcalc?lat=30.0444&amp;lon=31.2357&amp;peakpower=1&amp;loss=14&amp;angle=60&amp;aspect=-75&amp;outputformat=json&amp;raddatabase=PVGIS-SARAH3&amp;pvtechchoice=crystSi&amp;mountingplace=free&amp;usehorizon=1</v>
      </c>
    </row>
    <row r="3761">
      <c r="A3761" t="n">
        <v>60</v>
      </c>
      <c r="B3761" t="n">
        <v>105</v>
      </c>
      <c r="C3761" t="n">
        <v>8</v>
      </c>
      <c r="D3761" s="218" t="n">
        <v>124.7</v>
      </c>
      <c r="E3761" s="218" t="n">
        <v>4.02</v>
      </c>
      <c r="F3761" t="str">
        <v>https://re.jrc.ec.europa.eu/api/v5_3/PVcalc?lat=30.0444&amp;lon=31.2357&amp;peakpower=1&amp;loss=14&amp;angle=60&amp;aspect=-75&amp;outputformat=json&amp;raddatabase=PVGIS-SARAH3&amp;pvtechchoice=crystSi&amp;mountingplace=free&amp;usehorizon=1</v>
      </c>
    </row>
    <row r="3762">
      <c r="A3762" t="n">
        <v>60</v>
      </c>
      <c r="B3762" t="n">
        <v>105</v>
      </c>
      <c r="C3762" t="n">
        <v>9</v>
      </c>
      <c r="D3762" s="218" t="n">
        <v>114.11</v>
      </c>
      <c r="E3762" s="218" t="n">
        <v>3.8</v>
      </c>
      <c r="F3762" t="str">
        <v>https://re.jrc.ec.europa.eu/api/v5_3/PVcalc?lat=30.0444&amp;lon=31.2357&amp;peakpower=1&amp;loss=14&amp;angle=60&amp;aspect=-75&amp;outputformat=json&amp;raddatabase=PVGIS-SARAH3&amp;pvtechchoice=crystSi&amp;mountingplace=free&amp;usehorizon=1</v>
      </c>
    </row>
    <row r="3763">
      <c r="A3763" t="n">
        <v>60</v>
      </c>
      <c r="B3763" t="n">
        <v>105</v>
      </c>
      <c r="C3763" t="n">
        <v>10</v>
      </c>
      <c r="D3763" s="218" t="n">
        <v>107.75</v>
      </c>
      <c r="E3763" s="218" t="n">
        <v>3.48</v>
      </c>
      <c r="F3763" t="str">
        <v>https://re.jrc.ec.europa.eu/api/v5_3/PVcalc?lat=30.0444&amp;lon=31.2357&amp;peakpower=1&amp;loss=14&amp;angle=60&amp;aspect=-75&amp;outputformat=json&amp;raddatabase=PVGIS-SARAH3&amp;pvtechchoice=crystSi&amp;mountingplace=free&amp;usehorizon=1</v>
      </c>
    </row>
    <row r="3764">
      <c r="A3764" t="n">
        <v>60</v>
      </c>
      <c r="B3764" t="n">
        <v>105</v>
      </c>
      <c r="C3764" t="n">
        <v>11</v>
      </c>
      <c r="D3764" s="218" t="n">
        <v>93.28</v>
      </c>
      <c r="E3764" s="218" t="n">
        <v>3.11</v>
      </c>
      <c r="F3764" t="str">
        <v>https://re.jrc.ec.europa.eu/api/v5_3/PVcalc?lat=30.0444&amp;lon=31.2357&amp;peakpower=1&amp;loss=14&amp;angle=60&amp;aspect=-75&amp;outputformat=json&amp;raddatabase=PVGIS-SARAH3&amp;pvtechchoice=crystSi&amp;mountingplace=free&amp;usehorizon=1</v>
      </c>
    </row>
    <row r="3765">
      <c r="A3765" t="n">
        <v>60</v>
      </c>
      <c r="B3765" t="n">
        <v>105</v>
      </c>
      <c r="C3765" t="n">
        <v>12</v>
      </c>
      <c r="D3765" s="218" t="n">
        <v>87.6</v>
      </c>
      <c r="E3765" s="218" t="n">
        <v>2.83</v>
      </c>
      <c r="F3765" t="str">
        <v>https://re.jrc.ec.europa.eu/api/v5_3/PVcalc?lat=30.0444&amp;lon=31.2357&amp;peakpower=1&amp;loss=14&amp;angle=60&amp;aspect=-75&amp;outputformat=json&amp;raddatabase=PVGIS-SARAH3&amp;pvtechchoice=crystSi&amp;mountingplace=free&amp;usehorizon=1</v>
      </c>
    </row>
    <row r="3766">
      <c r="A3766" t="n">
        <v>60</v>
      </c>
      <c r="B3766" t="n">
        <v>120</v>
      </c>
      <c r="C3766" t="n">
        <v>1</v>
      </c>
      <c r="D3766" s="218" t="n">
        <v>104.76</v>
      </c>
      <c r="E3766" s="218" t="n">
        <v>3.38</v>
      </c>
      <c r="F3766" t="str">
        <v>https://re.jrc.ec.europa.eu/api/v5_3/PVcalc?lat=30.0444&amp;lon=31.2357&amp;peakpower=1&amp;loss=14&amp;angle=60&amp;aspect=-60&amp;outputformat=json&amp;raddatabase=PVGIS-SARAH3&amp;pvtechchoice=crystSi&amp;mountingplace=free&amp;usehorizon=1</v>
      </c>
    </row>
    <row r="3767">
      <c r="A3767" t="n">
        <v>60</v>
      </c>
      <c r="B3767" t="n">
        <v>120</v>
      </c>
      <c r="C3767" t="n">
        <v>2</v>
      </c>
      <c r="D3767" s="218" t="n">
        <v>105.45</v>
      </c>
      <c r="E3767" s="218" t="n">
        <v>3.77</v>
      </c>
      <c r="F3767" t="str">
        <v>https://re.jrc.ec.europa.eu/api/v5_3/PVcalc?lat=30.0444&amp;lon=31.2357&amp;peakpower=1&amp;loss=14&amp;angle=60&amp;aspect=-60&amp;outputformat=json&amp;raddatabase=PVGIS-SARAH3&amp;pvtechchoice=crystSi&amp;mountingplace=free&amp;usehorizon=1</v>
      </c>
    </row>
    <row r="3768">
      <c r="A3768" t="n">
        <v>60</v>
      </c>
      <c r="B3768" t="n">
        <v>120</v>
      </c>
      <c r="C3768" t="n">
        <v>3</v>
      </c>
      <c r="D3768" s="218" t="n">
        <v>126.31</v>
      </c>
      <c r="E3768" s="218" t="n">
        <v>4.07</v>
      </c>
      <c r="F3768" t="str">
        <v>https://re.jrc.ec.europa.eu/api/v5_3/PVcalc?lat=30.0444&amp;lon=31.2357&amp;peakpower=1&amp;loss=14&amp;angle=60&amp;aspect=-60&amp;outputformat=json&amp;raddatabase=PVGIS-SARAH3&amp;pvtechchoice=crystSi&amp;mountingplace=free&amp;usehorizon=1</v>
      </c>
    </row>
    <row r="3769">
      <c r="A3769" t="n">
        <v>60</v>
      </c>
      <c r="B3769" t="n">
        <v>120</v>
      </c>
      <c r="C3769" t="n">
        <v>4</v>
      </c>
      <c r="D3769" s="218" t="n">
        <v>124.65</v>
      </c>
      <c r="E3769" s="218" t="n">
        <v>4.16</v>
      </c>
      <c r="F3769" t="str">
        <v>https://re.jrc.ec.europa.eu/api/v5_3/PVcalc?lat=30.0444&amp;lon=31.2357&amp;peakpower=1&amp;loss=14&amp;angle=60&amp;aspect=-60&amp;outputformat=json&amp;raddatabase=PVGIS-SARAH3&amp;pvtechchoice=crystSi&amp;mountingplace=free&amp;usehorizon=1</v>
      </c>
    </row>
    <row r="3770">
      <c r="A3770" t="n">
        <v>60</v>
      </c>
      <c r="B3770" t="n">
        <v>120</v>
      </c>
      <c r="C3770" t="n">
        <v>5</v>
      </c>
      <c r="D3770" s="218" t="n">
        <v>127.65</v>
      </c>
      <c r="E3770" s="218" t="n">
        <v>4.12</v>
      </c>
      <c r="F3770" t="str">
        <v>https://re.jrc.ec.europa.eu/api/v5_3/PVcalc?lat=30.0444&amp;lon=31.2357&amp;peakpower=1&amp;loss=14&amp;angle=60&amp;aspect=-60&amp;outputformat=json&amp;raddatabase=PVGIS-SARAH3&amp;pvtechchoice=crystSi&amp;mountingplace=free&amp;usehorizon=1</v>
      </c>
    </row>
    <row r="3771">
      <c r="A3771" t="n">
        <v>60</v>
      </c>
      <c r="B3771" t="n">
        <v>120</v>
      </c>
      <c r="C3771" t="n">
        <v>6</v>
      </c>
      <c r="D3771" s="218" t="n">
        <v>122.84</v>
      </c>
      <c r="E3771" s="218" t="n">
        <v>4.09</v>
      </c>
      <c r="F3771" t="str">
        <v>https://re.jrc.ec.europa.eu/api/v5_3/PVcalc?lat=30.0444&amp;lon=31.2357&amp;peakpower=1&amp;loss=14&amp;angle=60&amp;aspect=-60&amp;outputformat=json&amp;raddatabase=PVGIS-SARAH3&amp;pvtechchoice=crystSi&amp;mountingplace=free&amp;usehorizon=1</v>
      </c>
    </row>
    <row r="3772">
      <c r="A3772" t="n">
        <v>60</v>
      </c>
      <c r="B3772" t="n">
        <v>120</v>
      </c>
      <c r="C3772" t="n">
        <v>7</v>
      </c>
      <c r="D3772" s="218" t="n">
        <v>125.47</v>
      </c>
      <c r="E3772" s="218" t="n">
        <v>4.05</v>
      </c>
      <c r="F3772" t="str">
        <v>https://re.jrc.ec.europa.eu/api/v5_3/PVcalc?lat=30.0444&amp;lon=31.2357&amp;peakpower=1&amp;loss=14&amp;angle=60&amp;aspect=-60&amp;outputformat=json&amp;raddatabase=PVGIS-SARAH3&amp;pvtechchoice=crystSi&amp;mountingplace=free&amp;usehorizon=1</v>
      </c>
    </row>
    <row r="3773">
      <c r="A3773" t="n">
        <v>60</v>
      </c>
      <c r="B3773" t="n">
        <v>120</v>
      </c>
      <c r="C3773" t="n">
        <v>8</v>
      </c>
      <c r="D3773" s="218" t="n">
        <v>127.54</v>
      </c>
      <c r="E3773" s="218" t="n">
        <v>4.11</v>
      </c>
      <c r="F3773" t="str">
        <v>https://re.jrc.ec.europa.eu/api/v5_3/PVcalc?lat=30.0444&amp;lon=31.2357&amp;peakpower=1&amp;loss=14&amp;angle=60&amp;aspect=-60&amp;outputformat=json&amp;raddatabase=PVGIS-SARAH3&amp;pvtechchoice=crystSi&amp;mountingplace=free&amp;usehorizon=1</v>
      </c>
    </row>
    <row r="3774">
      <c r="A3774" t="n">
        <v>60</v>
      </c>
      <c r="B3774" t="n">
        <v>120</v>
      </c>
      <c r="C3774" t="n">
        <v>9</v>
      </c>
      <c r="D3774" s="218" t="n">
        <v>122.07</v>
      </c>
      <c r="E3774" s="218" t="n">
        <v>4.07</v>
      </c>
      <c r="F3774" t="str">
        <v>https://re.jrc.ec.europa.eu/api/v5_3/PVcalc?lat=30.0444&amp;lon=31.2357&amp;peakpower=1&amp;loss=14&amp;angle=60&amp;aspect=-60&amp;outputformat=json&amp;raddatabase=PVGIS-SARAH3&amp;pvtechchoice=crystSi&amp;mountingplace=free&amp;usehorizon=1</v>
      </c>
    </row>
    <row r="3775">
      <c r="A3775" t="n">
        <v>60</v>
      </c>
      <c r="B3775" t="n">
        <v>120</v>
      </c>
      <c r="C3775" t="n">
        <v>10</v>
      </c>
      <c r="D3775" s="218" t="n">
        <v>120.28</v>
      </c>
      <c r="E3775" s="218" t="n">
        <v>3.88</v>
      </c>
      <c r="F3775" t="str">
        <v>https://re.jrc.ec.europa.eu/api/v5_3/PVcalc?lat=30.0444&amp;lon=31.2357&amp;peakpower=1&amp;loss=14&amp;angle=60&amp;aspect=-60&amp;outputformat=json&amp;raddatabase=PVGIS-SARAH3&amp;pvtechchoice=crystSi&amp;mountingplace=free&amp;usehorizon=1</v>
      </c>
    </row>
    <row r="3776">
      <c r="A3776" t="n">
        <v>60</v>
      </c>
      <c r="B3776" t="n">
        <v>120</v>
      </c>
      <c r="C3776" t="n">
        <v>11</v>
      </c>
      <c r="D3776" s="218" t="n">
        <v>108.75</v>
      </c>
      <c r="E3776" s="218" t="n">
        <v>3.63</v>
      </c>
      <c r="F3776" t="str">
        <v>https://re.jrc.ec.europa.eu/api/v5_3/PVcalc?lat=30.0444&amp;lon=31.2357&amp;peakpower=1&amp;loss=14&amp;angle=60&amp;aspect=-60&amp;outputformat=json&amp;raddatabase=PVGIS-SARAH3&amp;pvtechchoice=crystSi&amp;mountingplace=free&amp;usehorizon=1</v>
      </c>
    </row>
    <row r="3777">
      <c r="A3777" t="n">
        <v>60</v>
      </c>
      <c r="B3777" t="n">
        <v>120</v>
      </c>
      <c r="C3777" t="n">
        <v>12</v>
      </c>
      <c r="D3777" s="218" t="n">
        <v>104.69</v>
      </c>
      <c r="E3777" s="218" t="n">
        <v>3.38</v>
      </c>
      <c r="F3777" t="str">
        <v>https://re.jrc.ec.europa.eu/api/v5_3/PVcalc?lat=30.0444&amp;lon=31.2357&amp;peakpower=1&amp;loss=14&amp;angle=60&amp;aspect=-60&amp;outputformat=json&amp;raddatabase=PVGIS-SARAH3&amp;pvtechchoice=crystSi&amp;mountingplace=free&amp;usehorizon=1</v>
      </c>
    </row>
    <row r="3778">
      <c r="A3778" t="n">
        <v>60</v>
      </c>
      <c r="B3778" t="n">
        <v>135</v>
      </c>
      <c r="C3778" t="n">
        <v>1</v>
      </c>
      <c r="D3778" s="218" t="n">
        <v>119.33</v>
      </c>
      <c r="E3778" s="218" t="n">
        <v>3.85</v>
      </c>
      <c r="F3778" t="str">
        <v>https://re.jrc.ec.europa.eu/api/v5_3/PVcalc?lat=30.0444&amp;lon=31.2357&amp;peakpower=1&amp;loss=14&amp;angle=60&amp;aspect=-45&amp;outputformat=json&amp;raddatabase=PVGIS-SARAH3&amp;pvtechchoice=crystSi&amp;mountingplace=free&amp;usehorizon=1</v>
      </c>
    </row>
    <row r="3779">
      <c r="A3779" t="n">
        <v>60</v>
      </c>
      <c r="B3779" t="n">
        <v>135</v>
      </c>
      <c r="C3779" t="n">
        <v>2</v>
      </c>
      <c r="D3779" s="218" t="n">
        <v>115.62</v>
      </c>
      <c r="E3779" s="218" t="n">
        <v>4.13</v>
      </c>
      <c r="F3779" t="str">
        <v>https://re.jrc.ec.europa.eu/api/v5_3/PVcalc?lat=30.0444&amp;lon=31.2357&amp;peakpower=1&amp;loss=14&amp;angle=60&amp;aspect=-45&amp;outputformat=json&amp;raddatabase=PVGIS-SARAH3&amp;pvtechchoice=crystSi&amp;mountingplace=free&amp;usehorizon=1</v>
      </c>
    </row>
    <row r="3780">
      <c r="A3780" t="n">
        <v>60</v>
      </c>
      <c r="B3780" t="n">
        <v>135</v>
      </c>
      <c r="C3780" t="n">
        <v>3</v>
      </c>
      <c r="D3780" s="218" t="n">
        <v>134.02</v>
      </c>
      <c r="E3780" s="218" t="n">
        <v>4.32</v>
      </c>
      <c r="F3780" t="str">
        <v>https://re.jrc.ec.europa.eu/api/v5_3/PVcalc?lat=30.0444&amp;lon=31.2357&amp;peakpower=1&amp;loss=14&amp;angle=60&amp;aspect=-45&amp;outputformat=json&amp;raddatabase=PVGIS-SARAH3&amp;pvtechchoice=crystSi&amp;mountingplace=free&amp;usehorizon=1</v>
      </c>
    </row>
    <row r="3781">
      <c r="A3781" t="n">
        <v>60</v>
      </c>
      <c r="B3781" t="n">
        <v>135</v>
      </c>
      <c r="C3781" t="n">
        <v>4</v>
      </c>
      <c r="D3781" s="218" t="n">
        <v>127.31</v>
      </c>
      <c r="E3781" s="218" t="n">
        <v>4.24</v>
      </c>
      <c r="F3781" t="str">
        <v>https://re.jrc.ec.europa.eu/api/v5_3/PVcalc?lat=30.0444&amp;lon=31.2357&amp;peakpower=1&amp;loss=14&amp;angle=60&amp;aspect=-45&amp;outputformat=json&amp;raddatabase=PVGIS-SARAH3&amp;pvtechchoice=crystSi&amp;mountingplace=free&amp;usehorizon=1</v>
      </c>
    </row>
    <row r="3782">
      <c r="A3782" t="n">
        <v>60</v>
      </c>
      <c r="B3782" t="n">
        <v>135</v>
      </c>
      <c r="C3782" t="n">
        <v>5</v>
      </c>
      <c r="D3782" s="218" t="n">
        <v>125.57</v>
      </c>
      <c r="E3782" s="218" t="n">
        <v>4.05</v>
      </c>
      <c r="F3782" t="str">
        <v>https://re.jrc.ec.europa.eu/api/v5_3/PVcalc?lat=30.0444&amp;lon=31.2357&amp;peakpower=1&amp;loss=14&amp;angle=60&amp;aspect=-45&amp;outputformat=json&amp;raddatabase=PVGIS-SARAH3&amp;pvtechchoice=crystSi&amp;mountingplace=free&amp;usehorizon=1</v>
      </c>
    </row>
    <row r="3783">
      <c r="A3783" t="n">
        <v>60</v>
      </c>
      <c r="B3783" t="n">
        <v>135</v>
      </c>
      <c r="C3783" t="n">
        <v>6</v>
      </c>
      <c r="D3783" s="218" t="n">
        <v>118.34</v>
      </c>
      <c r="E3783" s="218" t="n">
        <v>3.94</v>
      </c>
      <c r="F3783" t="str">
        <v>https://re.jrc.ec.europa.eu/api/v5_3/PVcalc?lat=30.0444&amp;lon=31.2357&amp;peakpower=1&amp;loss=14&amp;angle=60&amp;aspect=-45&amp;outputformat=json&amp;raddatabase=PVGIS-SARAH3&amp;pvtechchoice=crystSi&amp;mountingplace=free&amp;usehorizon=1</v>
      </c>
    </row>
    <row r="3784">
      <c r="A3784" t="n">
        <v>60</v>
      </c>
      <c r="B3784" t="n">
        <v>135</v>
      </c>
      <c r="C3784" t="n">
        <v>7</v>
      </c>
      <c r="D3784" s="218" t="n">
        <v>122.35</v>
      </c>
      <c r="E3784" s="218" t="n">
        <v>3.95</v>
      </c>
      <c r="F3784" t="str">
        <v>https://re.jrc.ec.europa.eu/api/v5_3/PVcalc?lat=30.0444&amp;lon=31.2357&amp;peakpower=1&amp;loss=14&amp;angle=60&amp;aspect=-45&amp;outputformat=json&amp;raddatabase=PVGIS-SARAH3&amp;pvtechchoice=crystSi&amp;mountingplace=free&amp;usehorizon=1</v>
      </c>
    </row>
    <row r="3785">
      <c r="A3785" t="n">
        <v>60</v>
      </c>
      <c r="B3785" t="n">
        <v>135</v>
      </c>
      <c r="C3785" t="n">
        <v>8</v>
      </c>
      <c r="D3785" s="218" t="n">
        <v>128.42</v>
      </c>
      <c r="E3785" s="218" t="n">
        <v>4.14</v>
      </c>
      <c r="F3785" t="str">
        <v>https://re.jrc.ec.europa.eu/api/v5_3/PVcalc?lat=30.0444&amp;lon=31.2357&amp;peakpower=1&amp;loss=14&amp;angle=60&amp;aspect=-45&amp;outputformat=json&amp;raddatabase=PVGIS-SARAH3&amp;pvtechchoice=crystSi&amp;mountingplace=free&amp;usehorizon=1</v>
      </c>
    </row>
    <row r="3786">
      <c r="A3786" t="n">
        <v>60</v>
      </c>
      <c r="B3786" t="n">
        <v>135</v>
      </c>
      <c r="C3786" t="n">
        <v>9</v>
      </c>
      <c r="D3786" s="218" t="n">
        <v>128.57</v>
      </c>
      <c r="E3786" s="218" t="n">
        <v>4.29</v>
      </c>
      <c r="F3786" t="str">
        <v>https://re.jrc.ec.europa.eu/api/v5_3/PVcalc?lat=30.0444&amp;lon=31.2357&amp;peakpower=1&amp;loss=14&amp;angle=60&amp;aspect=-45&amp;outputformat=json&amp;raddatabase=PVGIS-SARAH3&amp;pvtechchoice=crystSi&amp;mountingplace=free&amp;usehorizon=1</v>
      </c>
    </row>
    <row r="3787">
      <c r="A3787" t="n">
        <v>60</v>
      </c>
      <c r="B3787" t="n">
        <v>135</v>
      </c>
      <c r="C3787" t="n">
        <v>10</v>
      </c>
      <c r="D3787" s="218" t="n">
        <v>131.53</v>
      </c>
      <c r="E3787" s="218" t="n">
        <v>4.24</v>
      </c>
      <c r="F3787" t="str">
        <v>https://re.jrc.ec.europa.eu/api/v5_3/PVcalc?lat=30.0444&amp;lon=31.2357&amp;peakpower=1&amp;loss=14&amp;angle=60&amp;aspect=-45&amp;outputformat=json&amp;raddatabase=PVGIS-SARAH3&amp;pvtechchoice=crystSi&amp;mountingplace=free&amp;usehorizon=1</v>
      </c>
    </row>
    <row r="3788">
      <c r="A3788" t="n">
        <v>60</v>
      </c>
      <c r="B3788" t="n">
        <v>135</v>
      </c>
      <c r="C3788" t="n">
        <v>11</v>
      </c>
      <c r="D3788" s="218" t="n">
        <v>123.04</v>
      </c>
      <c r="E3788" s="218" t="n">
        <v>4.1</v>
      </c>
      <c r="F3788" t="str">
        <v>https://re.jrc.ec.europa.eu/api/v5_3/PVcalc?lat=30.0444&amp;lon=31.2357&amp;peakpower=1&amp;loss=14&amp;angle=60&amp;aspect=-45&amp;outputformat=json&amp;raddatabase=PVGIS-SARAH3&amp;pvtechchoice=crystSi&amp;mountingplace=free&amp;usehorizon=1</v>
      </c>
    </row>
    <row r="3789">
      <c r="A3789" t="n">
        <v>60</v>
      </c>
      <c r="B3789" t="n">
        <v>135</v>
      </c>
      <c r="C3789" t="n">
        <v>12</v>
      </c>
      <c r="D3789" s="218" t="n">
        <v>120.46</v>
      </c>
      <c r="E3789" s="218" t="n">
        <v>3.89</v>
      </c>
      <c r="F3789" t="str">
        <v>https://re.jrc.ec.europa.eu/api/v5_3/PVcalc?lat=30.0444&amp;lon=31.2357&amp;peakpower=1&amp;loss=14&amp;angle=60&amp;aspect=-45&amp;outputformat=json&amp;raddatabase=PVGIS-SARAH3&amp;pvtechchoice=crystSi&amp;mountingplace=free&amp;usehorizon=1</v>
      </c>
    </row>
    <row r="3790">
      <c r="A3790" t="n">
        <v>60</v>
      </c>
      <c r="B3790" t="n">
        <v>150</v>
      </c>
      <c r="C3790" t="n">
        <v>1</v>
      </c>
      <c r="D3790" s="218" t="n">
        <v>131.85</v>
      </c>
      <c r="E3790" s="218" t="n">
        <v>4.25</v>
      </c>
      <c r="F3790" t="str">
        <v>https://re.jrc.ec.europa.eu/api/v5_3/PVcalc?lat=30.0444&amp;lon=31.2357&amp;peakpower=1&amp;loss=14&amp;angle=60&amp;aspect=-30&amp;outputformat=json&amp;raddatabase=PVGIS-SARAH3&amp;pvtechchoice=crystSi&amp;mountingplace=free&amp;usehorizon=1</v>
      </c>
    </row>
    <row r="3791">
      <c r="A3791" t="n">
        <v>60</v>
      </c>
      <c r="B3791" t="n">
        <v>150</v>
      </c>
      <c r="C3791" t="n">
        <v>2</v>
      </c>
      <c r="D3791" s="218" t="n">
        <v>124.1</v>
      </c>
      <c r="E3791" s="218" t="n">
        <v>4.43</v>
      </c>
      <c r="F3791" t="str">
        <v>https://re.jrc.ec.europa.eu/api/v5_3/PVcalc?lat=30.0444&amp;lon=31.2357&amp;peakpower=1&amp;loss=14&amp;angle=60&amp;aspect=-30&amp;outputformat=json&amp;raddatabase=PVGIS-SARAH3&amp;pvtechchoice=crystSi&amp;mountingplace=free&amp;usehorizon=1</v>
      </c>
    </row>
    <row r="3792">
      <c r="A3792" t="n">
        <v>60</v>
      </c>
      <c r="B3792" t="n">
        <v>150</v>
      </c>
      <c r="C3792" t="n">
        <v>3</v>
      </c>
      <c r="D3792" s="218" t="n">
        <v>140.54</v>
      </c>
      <c r="E3792" s="218" t="n">
        <v>4.53</v>
      </c>
      <c r="F3792" t="str">
        <v>https://re.jrc.ec.europa.eu/api/v5_3/PVcalc?lat=30.0444&amp;lon=31.2357&amp;peakpower=1&amp;loss=14&amp;angle=60&amp;aspect=-30&amp;outputformat=json&amp;raddatabase=PVGIS-SARAH3&amp;pvtechchoice=crystSi&amp;mountingplace=free&amp;usehorizon=1</v>
      </c>
    </row>
    <row r="3793">
      <c r="A3793" t="n">
        <v>60</v>
      </c>
      <c r="B3793" t="n">
        <v>150</v>
      </c>
      <c r="C3793" t="n">
        <v>4</v>
      </c>
      <c r="D3793" s="218" t="n">
        <v>128.89</v>
      </c>
      <c r="E3793" s="218" t="n">
        <v>4.3</v>
      </c>
      <c r="F3793" t="str">
        <v>https://re.jrc.ec.europa.eu/api/v5_3/PVcalc?lat=30.0444&amp;lon=31.2357&amp;peakpower=1&amp;loss=14&amp;angle=60&amp;aspect=-30&amp;outputformat=json&amp;raddatabase=PVGIS-SARAH3&amp;pvtechchoice=crystSi&amp;mountingplace=free&amp;usehorizon=1</v>
      </c>
    </row>
    <row r="3794">
      <c r="A3794" t="n">
        <v>60</v>
      </c>
      <c r="B3794" t="n">
        <v>150</v>
      </c>
      <c r="C3794" t="n">
        <v>5</v>
      </c>
      <c r="D3794" s="218" t="n">
        <v>121.85</v>
      </c>
      <c r="E3794" s="218" t="n">
        <v>3.93</v>
      </c>
      <c r="F3794" t="str">
        <v>https://re.jrc.ec.europa.eu/api/v5_3/PVcalc?lat=30.0444&amp;lon=31.2357&amp;peakpower=1&amp;loss=14&amp;angle=60&amp;aspect=-30&amp;outputformat=json&amp;raddatabase=PVGIS-SARAH3&amp;pvtechchoice=crystSi&amp;mountingplace=free&amp;usehorizon=1</v>
      </c>
    </row>
    <row r="3795">
      <c r="A3795" t="n">
        <v>60</v>
      </c>
      <c r="B3795" t="n">
        <v>150</v>
      </c>
      <c r="C3795" t="n">
        <v>6</v>
      </c>
      <c r="D3795" s="218" t="n">
        <v>112.13</v>
      </c>
      <c r="E3795" s="218" t="n">
        <v>3.74</v>
      </c>
      <c r="F3795" t="str">
        <v>https://re.jrc.ec.europa.eu/api/v5_3/PVcalc?lat=30.0444&amp;lon=31.2357&amp;peakpower=1&amp;loss=14&amp;angle=60&amp;aspect=-30&amp;outputformat=json&amp;raddatabase=PVGIS-SARAH3&amp;pvtechchoice=crystSi&amp;mountingplace=free&amp;usehorizon=1</v>
      </c>
    </row>
    <row r="3796">
      <c r="A3796" t="n">
        <v>60</v>
      </c>
      <c r="B3796" t="n">
        <v>150</v>
      </c>
      <c r="C3796" t="n">
        <v>7</v>
      </c>
      <c r="D3796" s="218" t="n">
        <v>117.73</v>
      </c>
      <c r="E3796" s="218" t="n">
        <v>3.8</v>
      </c>
      <c r="F3796" t="str">
        <v>https://re.jrc.ec.europa.eu/api/v5_3/PVcalc?lat=30.0444&amp;lon=31.2357&amp;peakpower=1&amp;loss=14&amp;angle=60&amp;aspect=-30&amp;outputformat=json&amp;raddatabase=PVGIS-SARAH3&amp;pvtechchoice=crystSi&amp;mountingplace=free&amp;usehorizon=1</v>
      </c>
    </row>
    <row r="3797">
      <c r="A3797" t="n">
        <v>60</v>
      </c>
      <c r="B3797" t="n">
        <v>150</v>
      </c>
      <c r="C3797" t="n">
        <v>8</v>
      </c>
      <c r="D3797" s="218" t="n">
        <v>128.07</v>
      </c>
      <c r="E3797" s="218" t="n">
        <v>4.13</v>
      </c>
      <c r="F3797" t="str">
        <v>https://re.jrc.ec.europa.eu/api/v5_3/PVcalc?lat=30.0444&amp;lon=31.2357&amp;peakpower=1&amp;loss=14&amp;angle=60&amp;aspect=-30&amp;outputformat=json&amp;raddatabase=PVGIS-SARAH3&amp;pvtechchoice=crystSi&amp;mountingplace=free&amp;usehorizon=1</v>
      </c>
    </row>
    <row r="3798">
      <c r="A3798" t="n">
        <v>60</v>
      </c>
      <c r="B3798" t="n">
        <v>150</v>
      </c>
      <c r="C3798" t="n">
        <v>9</v>
      </c>
      <c r="D3798" s="218" t="n">
        <v>134.08</v>
      </c>
      <c r="E3798" s="218" t="n">
        <v>4.47</v>
      </c>
      <c r="F3798" t="str">
        <v>https://re.jrc.ec.europa.eu/api/v5_3/PVcalc?lat=30.0444&amp;lon=31.2357&amp;peakpower=1&amp;loss=14&amp;angle=60&amp;aspect=-30&amp;outputformat=json&amp;raddatabase=PVGIS-SARAH3&amp;pvtechchoice=crystSi&amp;mountingplace=free&amp;usehorizon=1</v>
      </c>
    </row>
    <row r="3799">
      <c r="A3799" t="n">
        <v>60</v>
      </c>
      <c r="B3799" t="n">
        <v>150</v>
      </c>
      <c r="C3799" t="n">
        <v>10</v>
      </c>
      <c r="D3799" s="218" t="n">
        <v>141.51</v>
      </c>
      <c r="E3799" s="218" t="n">
        <v>4.56</v>
      </c>
      <c r="F3799" t="str">
        <v>https://re.jrc.ec.europa.eu/api/v5_3/PVcalc?lat=30.0444&amp;lon=31.2357&amp;peakpower=1&amp;loss=14&amp;angle=60&amp;aspect=-30&amp;outputformat=json&amp;raddatabase=PVGIS-SARAH3&amp;pvtechchoice=crystSi&amp;mountingplace=free&amp;usehorizon=1</v>
      </c>
    </row>
    <row r="3800">
      <c r="A3800" t="n">
        <v>60</v>
      </c>
      <c r="B3800" t="n">
        <v>150</v>
      </c>
      <c r="C3800" t="n">
        <v>11</v>
      </c>
      <c r="D3800" s="218" t="n">
        <v>135.58</v>
      </c>
      <c r="E3800" s="218" t="n">
        <v>4.52</v>
      </c>
      <c r="F3800" t="str">
        <v>https://re.jrc.ec.europa.eu/api/v5_3/PVcalc?lat=30.0444&amp;lon=31.2357&amp;peakpower=1&amp;loss=14&amp;angle=60&amp;aspect=-30&amp;outputformat=json&amp;raddatabase=PVGIS-SARAH3&amp;pvtechchoice=crystSi&amp;mountingplace=free&amp;usehorizon=1</v>
      </c>
    </row>
    <row r="3801">
      <c r="A3801" t="n">
        <v>60</v>
      </c>
      <c r="B3801" t="n">
        <v>150</v>
      </c>
      <c r="C3801" t="n">
        <v>12</v>
      </c>
      <c r="D3801" s="218" t="n">
        <v>133.82</v>
      </c>
      <c r="E3801" s="218" t="n">
        <v>4.32</v>
      </c>
      <c r="F3801" t="str">
        <v>https://re.jrc.ec.europa.eu/api/v5_3/PVcalc?lat=30.0444&amp;lon=31.2357&amp;peakpower=1&amp;loss=14&amp;angle=60&amp;aspect=-30&amp;outputformat=json&amp;raddatabase=PVGIS-SARAH3&amp;pvtechchoice=crystSi&amp;mountingplace=free&amp;usehorizon=1</v>
      </c>
    </row>
    <row r="3802">
      <c r="A3802" t="n">
        <v>60</v>
      </c>
      <c r="B3802" t="n">
        <v>165</v>
      </c>
      <c r="C3802" t="n">
        <v>1</v>
      </c>
      <c r="D3802" s="218" t="n">
        <v>140.47</v>
      </c>
      <c r="E3802" s="218" t="n">
        <v>4.53</v>
      </c>
      <c r="F3802" t="str">
        <v>https://re.jrc.ec.europa.eu/api/v5_3/PVcalc?lat=30.0444&amp;lon=31.2357&amp;peakpower=1&amp;loss=14&amp;angle=60&amp;aspect=-15&amp;outputformat=json&amp;raddatabase=PVGIS-SARAH3&amp;pvtechchoice=crystSi&amp;mountingplace=free&amp;usehorizon=1</v>
      </c>
    </row>
    <row r="3803">
      <c r="A3803" t="n">
        <v>60</v>
      </c>
      <c r="B3803" t="n">
        <v>165</v>
      </c>
      <c r="C3803" t="n">
        <v>2</v>
      </c>
      <c r="D3803" s="218" t="n">
        <v>130.09</v>
      </c>
      <c r="E3803" s="218" t="n">
        <v>4.65</v>
      </c>
      <c r="F3803" t="str">
        <v>https://re.jrc.ec.europa.eu/api/v5_3/PVcalc?lat=30.0444&amp;lon=31.2357&amp;peakpower=1&amp;loss=14&amp;angle=60&amp;aspect=-15&amp;outputformat=json&amp;raddatabase=PVGIS-SARAH3&amp;pvtechchoice=crystSi&amp;mountingplace=free&amp;usehorizon=1</v>
      </c>
    </row>
    <row r="3804">
      <c r="A3804" t="n">
        <v>60</v>
      </c>
      <c r="B3804" t="n">
        <v>165</v>
      </c>
      <c r="C3804" t="n">
        <v>3</v>
      </c>
      <c r="D3804" s="218" t="n">
        <v>145.75</v>
      </c>
      <c r="E3804" s="218" t="n">
        <v>4.7</v>
      </c>
      <c r="F3804" t="str">
        <v>https://re.jrc.ec.europa.eu/api/v5_3/PVcalc?lat=30.0444&amp;lon=31.2357&amp;peakpower=1&amp;loss=14&amp;angle=60&amp;aspect=-15&amp;outputformat=json&amp;raddatabase=PVGIS-SARAH3&amp;pvtechchoice=crystSi&amp;mountingplace=free&amp;usehorizon=1</v>
      </c>
    </row>
    <row r="3805">
      <c r="A3805" t="n">
        <v>60</v>
      </c>
      <c r="B3805" t="n">
        <v>165</v>
      </c>
      <c r="C3805" t="n">
        <v>4</v>
      </c>
      <c r="D3805" s="218" t="n">
        <v>129.76</v>
      </c>
      <c r="E3805" s="218" t="n">
        <v>4.33</v>
      </c>
      <c r="F3805" t="str">
        <v>https://re.jrc.ec.europa.eu/api/v5_3/PVcalc?lat=30.0444&amp;lon=31.2357&amp;peakpower=1&amp;loss=14&amp;angle=60&amp;aspect=-15&amp;outputformat=json&amp;raddatabase=PVGIS-SARAH3&amp;pvtechchoice=crystSi&amp;mountingplace=free&amp;usehorizon=1</v>
      </c>
    </row>
    <row r="3806">
      <c r="A3806" t="n">
        <v>60</v>
      </c>
      <c r="B3806" t="n">
        <v>165</v>
      </c>
      <c r="C3806" t="n">
        <v>5</v>
      </c>
      <c r="D3806" s="218" t="n">
        <v>118.1</v>
      </c>
      <c r="E3806" s="218" t="n">
        <v>3.81</v>
      </c>
      <c r="F3806" t="str">
        <v>https://re.jrc.ec.europa.eu/api/v5_3/PVcalc?lat=30.0444&amp;lon=31.2357&amp;peakpower=1&amp;loss=14&amp;angle=60&amp;aspect=-15&amp;outputformat=json&amp;raddatabase=PVGIS-SARAH3&amp;pvtechchoice=crystSi&amp;mountingplace=free&amp;usehorizon=1</v>
      </c>
    </row>
    <row r="3807">
      <c r="A3807" t="n">
        <v>60</v>
      </c>
      <c r="B3807" t="n">
        <v>165</v>
      </c>
      <c r="C3807" t="n">
        <v>6</v>
      </c>
      <c r="D3807" s="218" t="n">
        <v>106.45</v>
      </c>
      <c r="E3807" s="218" t="n">
        <v>3.55</v>
      </c>
      <c r="F3807" t="str">
        <v>https://re.jrc.ec.europa.eu/api/v5_3/PVcalc?lat=30.0444&amp;lon=31.2357&amp;peakpower=1&amp;loss=14&amp;angle=60&amp;aspect=-15&amp;outputformat=json&amp;raddatabase=PVGIS-SARAH3&amp;pvtechchoice=crystSi&amp;mountingplace=free&amp;usehorizon=1</v>
      </c>
    </row>
    <row r="3808">
      <c r="A3808" t="n">
        <v>60</v>
      </c>
      <c r="B3808" t="n">
        <v>165</v>
      </c>
      <c r="C3808" t="n">
        <v>7</v>
      </c>
      <c r="D3808" s="218" t="n">
        <v>113.29</v>
      </c>
      <c r="E3808" s="218" t="n">
        <v>3.65</v>
      </c>
      <c r="F3808" t="str">
        <v>https://re.jrc.ec.europa.eu/api/v5_3/PVcalc?lat=30.0444&amp;lon=31.2357&amp;peakpower=1&amp;loss=14&amp;angle=60&amp;aspect=-15&amp;outputformat=json&amp;raddatabase=PVGIS-SARAH3&amp;pvtechchoice=crystSi&amp;mountingplace=free&amp;usehorizon=1</v>
      </c>
    </row>
    <row r="3809">
      <c r="A3809" t="n">
        <v>60</v>
      </c>
      <c r="B3809" t="n">
        <v>165</v>
      </c>
      <c r="C3809" t="n">
        <v>8</v>
      </c>
      <c r="D3809" s="218" t="n">
        <v>127.25</v>
      </c>
      <c r="E3809" s="218" t="n">
        <v>4.1</v>
      </c>
      <c r="F3809" t="str">
        <v>https://re.jrc.ec.europa.eu/api/v5_3/PVcalc?lat=30.0444&amp;lon=31.2357&amp;peakpower=1&amp;loss=14&amp;angle=60&amp;aspect=-15&amp;outputformat=json&amp;raddatabase=PVGIS-SARAH3&amp;pvtechchoice=crystSi&amp;mountingplace=free&amp;usehorizon=1</v>
      </c>
    </row>
    <row r="3810">
      <c r="A3810" t="n">
        <v>60</v>
      </c>
      <c r="B3810" t="n">
        <v>165</v>
      </c>
      <c r="C3810" t="n">
        <v>9</v>
      </c>
      <c r="D3810" s="218" t="n">
        <v>138.58</v>
      </c>
      <c r="E3810" s="218" t="n">
        <v>4.62</v>
      </c>
      <c r="F3810" t="str">
        <v>https://re.jrc.ec.europa.eu/api/v5_3/PVcalc?lat=30.0444&amp;lon=31.2357&amp;peakpower=1&amp;loss=14&amp;angle=60&amp;aspect=-15&amp;outputformat=json&amp;raddatabase=PVGIS-SARAH3&amp;pvtechchoice=crystSi&amp;mountingplace=free&amp;usehorizon=1</v>
      </c>
    </row>
    <row r="3811">
      <c r="A3811" t="n">
        <v>60</v>
      </c>
      <c r="B3811" t="n">
        <v>165</v>
      </c>
      <c r="C3811" t="n">
        <v>10</v>
      </c>
      <c r="D3811" s="218" t="n">
        <v>149.43</v>
      </c>
      <c r="E3811" s="218" t="n">
        <v>4.82</v>
      </c>
      <c r="F3811" t="str">
        <v>https://re.jrc.ec.europa.eu/api/v5_3/PVcalc?lat=30.0444&amp;lon=31.2357&amp;peakpower=1&amp;loss=14&amp;angle=60&amp;aspect=-15&amp;outputformat=json&amp;raddatabase=PVGIS-SARAH3&amp;pvtechchoice=crystSi&amp;mountingplace=free&amp;usehorizon=1</v>
      </c>
    </row>
    <row r="3812">
      <c r="A3812" t="n">
        <v>60</v>
      </c>
      <c r="B3812" t="n">
        <v>165</v>
      </c>
      <c r="C3812" t="n">
        <v>11</v>
      </c>
      <c r="D3812" s="218" t="n">
        <v>144.57</v>
      </c>
      <c r="E3812" s="218" t="n">
        <v>4.82</v>
      </c>
      <c r="F3812" t="str">
        <v>https://re.jrc.ec.europa.eu/api/v5_3/PVcalc?lat=30.0444&amp;lon=31.2357&amp;peakpower=1&amp;loss=14&amp;angle=60&amp;aspect=-15&amp;outputformat=json&amp;raddatabase=PVGIS-SARAH3&amp;pvtechchoice=crystSi&amp;mountingplace=free&amp;usehorizon=1</v>
      </c>
    </row>
    <row r="3813">
      <c r="A3813" t="n">
        <v>60</v>
      </c>
      <c r="B3813" t="n">
        <v>165</v>
      </c>
      <c r="C3813" t="n">
        <v>12</v>
      </c>
      <c r="D3813" s="218" t="n">
        <v>142.85</v>
      </c>
      <c r="E3813" s="218" t="n">
        <v>4.61</v>
      </c>
      <c r="F3813" t="str">
        <v>https://re.jrc.ec.europa.eu/api/v5_3/PVcalc?lat=30.0444&amp;lon=31.2357&amp;peakpower=1&amp;loss=14&amp;angle=60&amp;aspect=-15&amp;outputformat=json&amp;raddatabase=PVGIS-SARAH3&amp;pvtechchoice=crystSi&amp;mountingplace=free&amp;usehorizon=1</v>
      </c>
    </row>
    <row r="3814">
      <c r="A3814" t="n">
        <v>60</v>
      </c>
      <c r="B3814" t="n">
        <v>180</v>
      </c>
      <c r="C3814" t="n">
        <v>1</v>
      </c>
      <c r="D3814" s="218" t="n">
        <v>143.08</v>
      </c>
      <c r="E3814" s="218" t="n">
        <v>4.62</v>
      </c>
      <c r="F3814" t="str">
        <v>https://re.jrc.ec.europa.eu/api/v5_3/PVcalc?lat=30.0444&amp;lon=31.2357&amp;peakpower=1&amp;loss=14&amp;angle=60&amp;aspect=0&amp;outputformat=json&amp;raddatabase=PVGIS-SARAH3&amp;pvtechchoice=crystSi&amp;mountingplace=free&amp;usehorizon=1</v>
      </c>
    </row>
    <row r="3815">
      <c r="A3815" t="n">
        <v>60</v>
      </c>
      <c r="B3815" t="n">
        <v>180</v>
      </c>
      <c r="C3815" t="n">
        <v>2</v>
      </c>
      <c r="D3815" s="218" t="n">
        <v>131.96</v>
      </c>
      <c r="E3815" s="218" t="n">
        <v>4.71</v>
      </c>
      <c r="F3815" t="str">
        <v>https://re.jrc.ec.europa.eu/api/v5_3/PVcalc?lat=30.0444&amp;lon=31.2357&amp;peakpower=1&amp;loss=14&amp;angle=60&amp;aspect=0&amp;outputformat=json&amp;raddatabase=PVGIS-SARAH3&amp;pvtechchoice=crystSi&amp;mountingplace=free&amp;usehorizon=1</v>
      </c>
    </row>
    <row r="3816">
      <c r="A3816" t="n">
        <v>60</v>
      </c>
      <c r="B3816" t="n">
        <v>180</v>
      </c>
      <c r="C3816" t="n">
        <v>3</v>
      </c>
      <c r="D3816" s="218" t="n">
        <v>148.7</v>
      </c>
      <c r="E3816" s="218" t="n">
        <v>4.8</v>
      </c>
      <c r="F3816" t="str">
        <v>https://re.jrc.ec.europa.eu/api/v5_3/PVcalc?lat=30.0444&amp;lon=31.2357&amp;peakpower=1&amp;loss=14&amp;angle=60&amp;aspect=0&amp;outputformat=json&amp;raddatabase=PVGIS-SARAH3&amp;pvtechchoice=crystSi&amp;mountingplace=free&amp;usehorizon=1</v>
      </c>
    </row>
    <row r="3817">
      <c r="A3817" t="n">
        <v>60</v>
      </c>
      <c r="B3817" t="n">
        <v>180</v>
      </c>
      <c r="C3817" t="n">
        <v>4</v>
      </c>
      <c r="D3817" s="218" t="n">
        <v>130.69</v>
      </c>
      <c r="E3817" s="218" t="n">
        <v>4.36</v>
      </c>
      <c r="F3817" t="str">
        <v>https://re.jrc.ec.europa.eu/api/v5_3/PVcalc?lat=30.0444&amp;lon=31.2357&amp;peakpower=1&amp;loss=14&amp;angle=60&amp;aspect=0&amp;outputformat=json&amp;raddatabase=PVGIS-SARAH3&amp;pvtechchoice=crystSi&amp;mountingplace=free&amp;usehorizon=1</v>
      </c>
    </row>
    <row r="3818">
      <c r="A3818" t="n">
        <v>60</v>
      </c>
      <c r="B3818" t="n">
        <v>180</v>
      </c>
      <c r="C3818" t="n">
        <v>5</v>
      </c>
      <c r="D3818" s="218" t="n">
        <v>116.44</v>
      </c>
      <c r="E3818" s="218" t="n">
        <v>3.76</v>
      </c>
      <c r="F3818" t="str">
        <v>https://re.jrc.ec.europa.eu/api/v5_3/PVcalc?lat=30.0444&amp;lon=31.2357&amp;peakpower=1&amp;loss=14&amp;angle=60&amp;aspect=0&amp;outputformat=json&amp;raddatabase=PVGIS-SARAH3&amp;pvtechchoice=crystSi&amp;mountingplace=free&amp;usehorizon=1</v>
      </c>
    </row>
    <row r="3819">
      <c r="A3819" t="n">
        <v>60</v>
      </c>
      <c r="B3819" t="n">
        <v>180</v>
      </c>
      <c r="C3819" t="n">
        <v>6</v>
      </c>
      <c r="D3819" s="218" t="n">
        <v>103.91</v>
      </c>
      <c r="E3819" s="218" t="n">
        <v>3.46</v>
      </c>
      <c r="F3819" t="str">
        <v>https://re.jrc.ec.europa.eu/api/v5_3/PVcalc?lat=30.0444&amp;lon=31.2357&amp;peakpower=1&amp;loss=14&amp;angle=60&amp;aspect=0&amp;outputformat=json&amp;raddatabase=PVGIS-SARAH3&amp;pvtechchoice=crystSi&amp;mountingplace=free&amp;usehorizon=1</v>
      </c>
    </row>
    <row r="3820">
      <c r="A3820" t="n">
        <v>60</v>
      </c>
      <c r="B3820" t="n">
        <v>180</v>
      </c>
      <c r="C3820" t="n">
        <v>7</v>
      </c>
      <c r="D3820" s="218" t="n">
        <v>111.58</v>
      </c>
      <c r="E3820" s="218" t="n">
        <v>3.6</v>
      </c>
      <c r="F3820" t="str">
        <v>https://re.jrc.ec.europa.eu/api/v5_3/PVcalc?lat=30.0444&amp;lon=31.2357&amp;peakpower=1&amp;loss=14&amp;angle=60&amp;aspect=0&amp;outputformat=json&amp;raddatabase=PVGIS-SARAH3&amp;pvtechchoice=crystSi&amp;mountingplace=free&amp;usehorizon=1</v>
      </c>
    </row>
    <row r="3821">
      <c r="A3821" t="n">
        <v>60</v>
      </c>
      <c r="B3821" t="n">
        <v>180</v>
      </c>
      <c r="C3821" t="n">
        <v>8</v>
      </c>
      <c r="D3821" s="218" t="n">
        <v>127.63</v>
      </c>
      <c r="E3821" s="218" t="n">
        <v>4.12</v>
      </c>
      <c r="F3821" t="str">
        <v>https://re.jrc.ec.europa.eu/api/v5_3/PVcalc?lat=30.0444&amp;lon=31.2357&amp;peakpower=1&amp;loss=14&amp;angle=60&amp;aspect=0&amp;outputformat=json&amp;raddatabase=PVGIS-SARAH3&amp;pvtechchoice=crystSi&amp;mountingplace=free&amp;usehorizon=1</v>
      </c>
    </row>
    <row r="3822">
      <c r="A3822" t="n">
        <v>60</v>
      </c>
      <c r="B3822" t="n">
        <v>180</v>
      </c>
      <c r="C3822" t="n">
        <v>9</v>
      </c>
      <c r="D3822" s="218" t="n">
        <v>141.82</v>
      </c>
      <c r="E3822" s="218" t="n">
        <v>4.73</v>
      </c>
      <c r="F3822" t="str">
        <v>https://re.jrc.ec.europa.eu/api/v5_3/PVcalc?lat=30.0444&amp;lon=31.2357&amp;peakpower=1&amp;loss=14&amp;angle=60&amp;aspect=0&amp;outputformat=json&amp;raddatabase=PVGIS-SARAH3&amp;pvtechchoice=crystSi&amp;mountingplace=free&amp;usehorizon=1</v>
      </c>
    </row>
    <row r="3823">
      <c r="A3823" t="n">
        <v>60</v>
      </c>
      <c r="B3823" t="n">
        <v>180</v>
      </c>
      <c r="C3823" t="n">
        <v>10</v>
      </c>
      <c r="D3823" s="218" t="n">
        <v>153.02</v>
      </c>
      <c r="E3823" s="218" t="n">
        <v>4.94</v>
      </c>
      <c r="F3823" t="str">
        <v>https://re.jrc.ec.europa.eu/api/v5_3/PVcalc?lat=30.0444&amp;lon=31.2357&amp;peakpower=1&amp;loss=14&amp;angle=60&amp;aspect=0&amp;outputformat=json&amp;raddatabase=PVGIS-SARAH3&amp;pvtechchoice=crystSi&amp;mountingplace=free&amp;usehorizon=1</v>
      </c>
    </row>
    <row r="3824">
      <c r="A3824" t="n">
        <v>60</v>
      </c>
      <c r="B3824" t="n">
        <v>180</v>
      </c>
      <c r="C3824" t="n">
        <v>11</v>
      </c>
      <c r="D3824" s="218" t="n">
        <v>147.64</v>
      </c>
      <c r="E3824" s="218" t="n">
        <v>4.92</v>
      </c>
      <c r="F3824" t="str">
        <v>https://re.jrc.ec.europa.eu/api/v5_3/PVcalc?lat=30.0444&amp;lon=31.2357&amp;peakpower=1&amp;loss=14&amp;angle=60&amp;aspect=0&amp;outputformat=json&amp;raddatabase=PVGIS-SARAH3&amp;pvtechchoice=crystSi&amp;mountingplace=free&amp;usehorizon=1</v>
      </c>
    </row>
    <row r="3825">
      <c r="A3825" t="n">
        <v>60</v>
      </c>
      <c r="B3825" t="n">
        <v>180</v>
      </c>
      <c r="C3825" t="n">
        <v>12</v>
      </c>
      <c r="D3825" s="218" t="n">
        <v>145.58</v>
      </c>
      <c r="E3825" s="218" t="n">
        <v>4.7</v>
      </c>
      <c r="F3825" t="str">
        <v>https://re.jrc.ec.europa.eu/api/v5_3/PVcalc?lat=30.0444&amp;lon=31.2357&amp;peakpower=1&amp;loss=14&amp;angle=60&amp;aspect=0&amp;outputformat=json&amp;raddatabase=PVGIS-SARAH3&amp;pvtechchoice=crystSi&amp;mountingplace=free&amp;usehorizon=1</v>
      </c>
    </row>
    <row r="3826">
      <c r="A3826" t="n">
        <v>60</v>
      </c>
      <c r="B3826" t="n">
        <v>195</v>
      </c>
      <c r="C3826" t="n">
        <v>1</v>
      </c>
      <c r="D3826" s="218" t="n">
        <v>139.39</v>
      </c>
      <c r="E3826" s="218" t="n">
        <v>4.5</v>
      </c>
      <c r="F3826" t="str">
        <v>https://re.jrc.ec.europa.eu/api/v5_3/PVcalc?lat=30.0444&amp;lon=31.2357&amp;peakpower=1&amp;loss=14&amp;angle=60&amp;aspect=15&amp;outputformat=json&amp;raddatabase=PVGIS-SARAH3&amp;pvtechchoice=crystSi&amp;mountingplace=free&amp;usehorizon=1</v>
      </c>
    </row>
    <row r="3827">
      <c r="A3827" t="n">
        <v>60</v>
      </c>
      <c r="B3827" t="n">
        <v>195</v>
      </c>
      <c r="C3827" t="n">
        <v>2</v>
      </c>
      <c r="D3827" s="218" t="n">
        <v>128.64</v>
      </c>
      <c r="E3827" s="218" t="n">
        <v>4.59</v>
      </c>
      <c r="F3827" t="str">
        <v>https://re.jrc.ec.europa.eu/api/v5_3/PVcalc?lat=30.0444&amp;lon=31.2357&amp;peakpower=1&amp;loss=14&amp;angle=60&amp;aspect=15&amp;outputformat=json&amp;raddatabase=PVGIS-SARAH3&amp;pvtechchoice=crystSi&amp;mountingplace=free&amp;usehorizon=1</v>
      </c>
    </row>
    <row r="3828">
      <c r="A3828" t="n">
        <v>60</v>
      </c>
      <c r="B3828" t="n">
        <v>195</v>
      </c>
      <c r="C3828" t="n">
        <v>3</v>
      </c>
      <c r="D3828" s="218" t="n">
        <v>147.61</v>
      </c>
      <c r="E3828" s="218" t="n">
        <v>4.76</v>
      </c>
      <c r="F3828" t="str">
        <v>https://re.jrc.ec.europa.eu/api/v5_3/PVcalc?lat=30.0444&amp;lon=31.2357&amp;peakpower=1&amp;loss=14&amp;angle=60&amp;aspect=15&amp;outputformat=json&amp;raddatabase=PVGIS-SARAH3&amp;pvtechchoice=crystSi&amp;mountingplace=free&amp;usehorizon=1</v>
      </c>
    </row>
    <row r="3829">
      <c r="A3829" t="n">
        <v>60</v>
      </c>
      <c r="B3829" t="n">
        <v>195</v>
      </c>
      <c r="C3829" t="n">
        <v>4</v>
      </c>
      <c r="D3829" s="218" t="n">
        <v>131.84</v>
      </c>
      <c r="E3829" s="218" t="n">
        <v>4.39</v>
      </c>
      <c r="F3829" t="str">
        <v>https://re.jrc.ec.europa.eu/api/v5_3/PVcalc?lat=30.0444&amp;lon=31.2357&amp;peakpower=1&amp;loss=14&amp;angle=60&amp;aspect=15&amp;outputformat=json&amp;raddatabase=PVGIS-SARAH3&amp;pvtechchoice=crystSi&amp;mountingplace=free&amp;usehorizon=1</v>
      </c>
    </row>
    <row r="3830">
      <c r="A3830" t="n">
        <v>60</v>
      </c>
      <c r="B3830" t="n">
        <v>195</v>
      </c>
      <c r="C3830" t="n">
        <v>5</v>
      </c>
      <c r="D3830" s="218" t="n">
        <v>118.86</v>
      </c>
      <c r="E3830" s="218" t="n">
        <v>3.83</v>
      </c>
      <c r="F3830" t="str">
        <v>https://re.jrc.ec.europa.eu/api/v5_3/PVcalc?lat=30.0444&amp;lon=31.2357&amp;peakpower=1&amp;loss=14&amp;angle=60&amp;aspect=15&amp;outputformat=json&amp;raddatabase=PVGIS-SARAH3&amp;pvtechchoice=crystSi&amp;mountingplace=free&amp;usehorizon=1</v>
      </c>
    </row>
    <row r="3831">
      <c r="A3831" t="n">
        <v>60</v>
      </c>
      <c r="B3831" t="n">
        <v>195</v>
      </c>
      <c r="C3831" t="n">
        <v>6</v>
      </c>
      <c r="D3831" s="218" t="n">
        <v>107.25</v>
      </c>
      <c r="E3831" s="218" t="n">
        <v>3.58</v>
      </c>
      <c r="F3831" t="str">
        <v>https://re.jrc.ec.europa.eu/api/v5_3/PVcalc?lat=30.0444&amp;lon=31.2357&amp;peakpower=1&amp;loss=14&amp;angle=60&amp;aspect=15&amp;outputformat=json&amp;raddatabase=PVGIS-SARAH3&amp;pvtechchoice=crystSi&amp;mountingplace=free&amp;usehorizon=1</v>
      </c>
    </row>
    <row r="3832">
      <c r="A3832" t="n">
        <v>60</v>
      </c>
      <c r="B3832" t="n">
        <v>195</v>
      </c>
      <c r="C3832" t="n">
        <v>7</v>
      </c>
      <c r="D3832" s="218" t="n">
        <v>115.04</v>
      </c>
      <c r="E3832" s="218" t="n">
        <v>3.71</v>
      </c>
      <c r="F3832" t="str">
        <v>https://re.jrc.ec.europa.eu/api/v5_3/PVcalc?lat=30.0444&amp;lon=31.2357&amp;peakpower=1&amp;loss=14&amp;angle=60&amp;aspect=15&amp;outputformat=json&amp;raddatabase=PVGIS-SARAH3&amp;pvtechchoice=crystSi&amp;mountingplace=free&amp;usehorizon=1</v>
      </c>
    </row>
    <row r="3833">
      <c r="A3833" t="n">
        <v>60</v>
      </c>
      <c r="B3833" t="n">
        <v>195</v>
      </c>
      <c r="C3833" t="n">
        <v>8</v>
      </c>
      <c r="D3833" s="218" t="n">
        <v>130.3</v>
      </c>
      <c r="E3833" s="218" t="n">
        <v>4.2</v>
      </c>
      <c r="F3833" t="str">
        <v>https://re.jrc.ec.europa.eu/api/v5_3/PVcalc?lat=30.0444&amp;lon=31.2357&amp;peakpower=1&amp;loss=14&amp;angle=60&amp;aspect=15&amp;outputformat=json&amp;raddatabase=PVGIS-SARAH3&amp;pvtechchoice=crystSi&amp;mountingplace=free&amp;usehorizon=1</v>
      </c>
    </row>
    <row r="3834">
      <c r="A3834" t="n">
        <v>60</v>
      </c>
      <c r="B3834" t="n">
        <v>195</v>
      </c>
      <c r="C3834" t="n">
        <v>9</v>
      </c>
      <c r="D3834" s="218" t="n">
        <v>142.43</v>
      </c>
      <c r="E3834" s="218" t="n">
        <v>4.75</v>
      </c>
      <c r="F3834" t="str">
        <v>https://re.jrc.ec.europa.eu/api/v5_3/PVcalc?lat=30.0444&amp;lon=31.2357&amp;peakpower=1&amp;loss=14&amp;angle=60&amp;aspect=15&amp;outputformat=json&amp;raddatabase=PVGIS-SARAH3&amp;pvtechchoice=crystSi&amp;mountingplace=free&amp;usehorizon=1</v>
      </c>
    </row>
    <row r="3835">
      <c r="A3835" t="n">
        <v>60</v>
      </c>
      <c r="B3835" t="n">
        <v>195</v>
      </c>
      <c r="C3835" t="n">
        <v>10</v>
      </c>
      <c r="D3835" s="218" t="n">
        <v>150.62</v>
      </c>
      <c r="E3835" s="218" t="n">
        <v>4.86</v>
      </c>
      <c r="F3835" t="str">
        <v>https://re.jrc.ec.europa.eu/api/v5_3/PVcalc?lat=30.0444&amp;lon=31.2357&amp;peakpower=1&amp;loss=14&amp;angle=60&amp;aspect=15&amp;outputformat=json&amp;raddatabase=PVGIS-SARAH3&amp;pvtechchoice=crystSi&amp;mountingplace=free&amp;usehorizon=1</v>
      </c>
    </row>
    <row r="3836">
      <c r="A3836" t="n">
        <v>60</v>
      </c>
      <c r="B3836" t="n">
        <v>195</v>
      </c>
      <c r="C3836" t="n">
        <v>11</v>
      </c>
      <c r="D3836" s="218" t="n">
        <v>144.11</v>
      </c>
      <c r="E3836" s="218" t="n">
        <v>4.8</v>
      </c>
      <c r="F3836" t="str">
        <v>https://re.jrc.ec.europa.eu/api/v5_3/PVcalc?lat=30.0444&amp;lon=31.2357&amp;peakpower=1&amp;loss=14&amp;angle=60&amp;aspect=15&amp;outputformat=json&amp;raddatabase=PVGIS-SARAH3&amp;pvtechchoice=crystSi&amp;mountingplace=free&amp;usehorizon=1</v>
      </c>
    </row>
    <row r="3837">
      <c r="A3837" t="n">
        <v>60</v>
      </c>
      <c r="B3837" t="n">
        <v>195</v>
      </c>
      <c r="C3837" t="n">
        <v>12</v>
      </c>
      <c r="D3837" s="218" t="n">
        <v>141.7</v>
      </c>
      <c r="E3837" s="218" t="n">
        <v>4.57</v>
      </c>
      <c r="F3837" t="str">
        <v>https://re.jrc.ec.europa.eu/api/v5_3/PVcalc?lat=30.0444&amp;lon=31.2357&amp;peakpower=1&amp;loss=14&amp;angle=60&amp;aspect=15&amp;outputformat=json&amp;raddatabase=PVGIS-SARAH3&amp;pvtechchoice=crystSi&amp;mountingplace=free&amp;usehorizon=1</v>
      </c>
    </row>
    <row r="3838">
      <c r="A3838" t="n">
        <v>60</v>
      </c>
      <c r="B3838" t="n">
        <v>210</v>
      </c>
      <c r="C3838" t="n">
        <v>1</v>
      </c>
      <c r="D3838" s="218" t="n">
        <v>129.7</v>
      </c>
      <c r="E3838" s="218" t="n">
        <v>4.18</v>
      </c>
      <c r="F3838" t="str">
        <v>https://re.jrc.ec.europa.eu/api/v5_3/PVcalc?lat=30.0444&amp;lon=31.2357&amp;peakpower=1&amp;loss=14&amp;angle=60&amp;aspect=30&amp;outputformat=json&amp;raddatabase=PVGIS-SARAH3&amp;pvtechchoice=crystSi&amp;mountingplace=free&amp;usehorizon=1</v>
      </c>
    </row>
    <row r="3839">
      <c r="A3839" t="n">
        <v>60</v>
      </c>
      <c r="B3839" t="n">
        <v>210</v>
      </c>
      <c r="C3839" t="n">
        <v>2</v>
      </c>
      <c r="D3839" s="218" t="n">
        <v>121.12</v>
      </c>
      <c r="E3839" s="218" t="n">
        <v>4.33</v>
      </c>
      <c r="F3839" t="str">
        <v>https://re.jrc.ec.europa.eu/api/v5_3/PVcalc?lat=30.0444&amp;lon=31.2357&amp;peakpower=1&amp;loss=14&amp;angle=60&amp;aspect=30&amp;outputformat=json&amp;raddatabase=PVGIS-SARAH3&amp;pvtechchoice=crystSi&amp;mountingplace=free&amp;usehorizon=1</v>
      </c>
    </row>
    <row r="3840">
      <c r="A3840" t="n">
        <v>60</v>
      </c>
      <c r="B3840" t="n">
        <v>210</v>
      </c>
      <c r="C3840" t="n">
        <v>3</v>
      </c>
      <c r="D3840" s="218" t="n">
        <v>143.39</v>
      </c>
      <c r="E3840" s="218" t="n">
        <v>4.63</v>
      </c>
      <c r="F3840" t="str">
        <v>https://re.jrc.ec.europa.eu/api/v5_3/PVcalc?lat=30.0444&amp;lon=31.2357&amp;peakpower=1&amp;loss=14&amp;angle=60&amp;aspect=30&amp;outputformat=json&amp;raddatabase=PVGIS-SARAH3&amp;pvtechchoice=crystSi&amp;mountingplace=free&amp;usehorizon=1</v>
      </c>
    </row>
    <row r="3841">
      <c r="A3841" t="n">
        <v>60</v>
      </c>
      <c r="B3841" t="n">
        <v>210</v>
      </c>
      <c r="C3841" t="n">
        <v>4</v>
      </c>
      <c r="D3841" s="218" t="n">
        <v>132.27</v>
      </c>
      <c r="E3841" s="218" t="n">
        <v>4.41</v>
      </c>
      <c r="F3841" t="str">
        <v>https://re.jrc.ec.europa.eu/api/v5_3/PVcalc?lat=30.0444&amp;lon=31.2357&amp;peakpower=1&amp;loss=14&amp;angle=60&amp;aspect=30&amp;outputformat=json&amp;raddatabase=PVGIS-SARAH3&amp;pvtechchoice=crystSi&amp;mountingplace=free&amp;usehorizon=1</v>
      </c>
    </row>
    <row r="3842">
      <c r="A3842" t="n">
        <v>60</v>
      </c>
      <c r="B3842" t="n">
        <v>210</v>
      </c>
      <c r="C3842" t="n">
        <v>5</v>
      </c>
      <c r="D3842" s="218" t="n">
        <v>123.73</v>
      </c>
      <c r="E3842" s="218" t="n">
        <v>3.99</v>
      </c>
      <c r="F3842" t="str">
        <v>https://re.jrc.ec.europa.eu/api/v5_3/PVcalc?lat=30.0444&amp;lon=31.2357&amp;peakpower=1&amp;loss=14&amp;angle=60&amp;aspect=30&amp;outputformat=json&amp;raddatabase=PVGIS-SARAH3&amp;pvtechchoice=crystSi&amp;mountingplace=free&amp;usehorizon=1</v>
      </c>
    </row>
    <row r="3843">
      <c r="A3843" t="n">
        <v>60</v>
      </c>
      <c r="B3843" t="n">
        <v>210</v>
      </c>
      <c r="C3843" t="n">
        <v>6</v>
      </c>
      <c r="D3843" s="218" t="n">
        <v>115.42</v>
      </c>
      <c r="E3843" s="218" t="n">
        <v>3.85</v>
      </c>
      <c r="F3843" t="str">
        <v>https://re.jrc.ec.europa.eu/api/v5_3/PVcalc?lat=30.0444&amp;lon=31.2357&amp;peakpower=1&amp;loss=14&amp;angle=60&amp;aspect=30&amp;outputformat=json&amp;raddatabase=PVGIS-SARAH3&amp;pvtechchoice=crystSi&amp;mountingplace=free&amp;usehorizon=1</v>
      </c>
    </row>
    <row r="3844">
      <c r="A3844" t="n">
        <v>60</v>
      </c>
      <c r="B3844" t="n">
        <v>210</v>
      </c>
      <c r="C3844" t="n">
        <v>7</v>
      </c>
      <c r="D3844" s="218" t="n">
        <v>122.96</v>
      </c>
      <c r="E3844" s="218" t="n">
        <v>3.97</v>
      </c>
      <c r="F3844" t="str">
        <v>https://re.jrc.ec.europa.eu/api/v5_3/PVcalc?lat=30.0444&amp;lon=31.2357&amp;peakpower=1&amp;loss=14&amp;angle=60&amp;aspect=30&amp;outputformat=json&amp;raddatabase=PVGIS-SARAH3&amp;pvtechchoice=crystSi&amp;mountingplace=free&amp;usehorizon=1</v>
      </c>
    </row>
    <row r="3845">
      <c r="A3845" t="n">
        <v>60</v>
      </c>
      <c r="B3845" t="n">
        <v>210</v>
      </c>
      <c r="C3845" t="n">
        <v>8</v>
      </c>
      <c r="D3845" s="218" t="n">
        <v>134.04</v>
      </c>
      <c r="E3845" s="218" t="n">
        <v>4.32</v>
      </c>
      <c r="F3845" t="str">
        <v>https://re.jrc.ec.europa.eu/api/v5_3/PVcalc?lat=30.0444&amp;lon=31.2357&amp;peakpower=1&amp;loss=14&amp;angle=60&amp;aspect=30&amp;outputformat=json&amp;raddatabase=PVGIS-SARAH3&amp;pvtechchoice=crystSi&amp;mountingplace=free&amp;usehorizon=1</v>
      </c>
    </row>
    <row r="3846">
      <c r="A3846" t="n">
        <v>60</v>
      </c>
      <c r="B3846" t="n">
        <v>210</v>
      </c>
      <c r="C3846" t="n">
        <v>9</v>
      </c>
      <c r="D3846" s="218" t="n">
        <v>140.57</v>
      </c>
      <c r="E3846" s="218" t="n">
        <v>4.69</v>
      </c>
      <c r="F3846" t="str">
        <v>https://re.jrc.ec.europa.eu/api/v5_3/PVcalc?lat=30.0444&amp;lon=31.2357&amp;peakpower=1&amp;loss=14&amp;angle=60&amp;aspect=30&amp;outputformat=json&amp;raddatabase=PVGIS-SARAH3&amp;pvtechchoice=crystSi&amp;mountingplace=free&amp;usehorizon=1</v>
      </c>
    </row>
    <row r="3847">
      <c r="A3847" t="n">
        <v>60</v>
      </c>
      <c r="B3847" t="n">
        <v>210</v>
      </c>
      <c r="C3847" t="n">
        <v>10</v>
      </c>
      <c r="D3847" s="218" t="n">
        <v>143.4</v>
      </c>
      <c r="E3847" s="218" t="n">
        <v>4.63</v>
      </c>
      <c r="F3847" t="str">
        <v>https://re.jrc.ec.europa.eu/api/v5_3/PVcalc?lat=30.0444&amp;lon=31.2357&amp;peakpower=1&amp;loss=14&amp;angle=60&amp;aspect=30&amp;outputformat=json&amp;raddatabase=PVGIS-SARAH3&amp;pvtechchoice=crystSi&amp;mountingplace=free&amp;usehorizon=1</v>
      </c>
    </row>
    <row r="3848">
      <c r="A3848" t="n">
        <v>60</v>
      </c>
      <c r="B3848" t="n">
        <v>210</v>
      </c>
      <c r="C3848" t="n">
        <v>11</v>
      </c>
      <c r="D3848" s="218" t="n">
        <v>134.62</v>
      </c>
      <c r="E3848" s="218" t="n">
        <v>4.49</v>
      </c>
      <c r="F3848" t="str">
        <v>https://re.jrc.ec.europa.eu/api/v5_3/PVcalc?lat=30.0444&amp;lon=31.2357&amp;peakpower=1&amp;loss=14&amp;angle=60&amp;aspect=30&amp;outputformat=json&amp;raddatabase=PVGIS-SARAH3&amp;pvtechchoice=crystSi&amp;mountingplace=free&amp;usehorizon=1</v>
      </c>
    </row>
    <row r="3849">
      <c r="A3849" t="n">
        <v>60</v>
      </c>
      <c r="B3849" t="n">
        <v>210</v>
      </c>
      <c r="C3849" t="n">
        <v>12</v>
      </c>
      <c r="D3849" s="218" t="n">
        <v>131.58</v>
      </c>
      <c r="E3849" s="218" t="n">
        <v>4.24</v>
      </c>
      <c r="F3849" t="str">
        <v>https://re.jrc.ec.europa.eu/api/v5_3/PVcalc?lat=30.0444&amp;lon=31.2357&amp;peakpower=1&amp;loss=14&amp;angle=60&amp;aspect=30&amp;outputformat=json&amp;raddatabase=PVGIS-SARAH3&amp;pvtechchoice=crystSi&amp;mountingplace=free&amp;usehorizon=1</v>
      </c>
    </row>
    <row r="3850">
      <c r="A3850" t="n">
        <v>60</v>
      </c>
      <c r="B3850" t="n">
        <v>225</v>
      </c>
      <c r="C3850" t="n">
        <v>1</v>
      </c>
      <c r="D3850" s="218" t="n">
        <v>115.82</v>
      </c>
      <c r="E3850" s="218" t="n">
        <v>3.74</v>
      </c>
      <c r="F3850" t="str">
        <v>https://re.jrc.ec.europa.eu/api/v5_3/PVcalc?lat=30.0444&amp;lon=31.2357&amp;peakpower=1&amp;loss=14&amp;angle=60&amp;aspect=45&amp;outputformat=json&amp;raddatabase=PVGIS-SARAH3&amp;pvtechchoice=crystSi&amp;mountingplace=free&amp;usehorizon=1</v>
      </c>
    </row>
    <row r="3851">
      <c r="A3851" t="n">
        <v>60</v>
      </c>
      <c r="B3851" t="n">
        <v>225</v>
      </c>
      <c r="C3851" t="n">
        <v>2</v>
      </c>
      <c r="D3851" s="218" t="n">
        <v>111.29</v>
      </c>
      <c r="E3851" s="218" t="n">
        <v>3.97</v>
      </c>
      <c r="F3851" t="str">
        <v>https://re.jrc.ec.europa.eu/api/v5_3/PVcalc?lat=30.0444&amp;lon=31.2357&amp;peakpower=1&amp;loss=14&amp;angle=60&amp;aspect=45&amp;outputformat=json&amp;raddatabase=PVGIS-SARAH3&amp;pvtechchoice=crystSi&amp;mountingplace=free&amp;usehorizon=1</v>
      </c>
    </row>
    <row r="3852">
      <c r="A3852" t="n">
        <v>60</v>
      </c>
      <c r="B3852" t="n">
        <v>225</v>
      </c>
      <c r="C3852" t="n">
        <v>3</v>
      </c>
      <c r="D3852" s="218" t="n">
        <v>137.44</v>
      </c>
      <c r="E3852" s="218" t="n">
        <v>4.43</v>
      </c>
      <c r="F3852" t="str">
        <v>https://re.jrc.ec.europa.eu/api/v5_3/PVcalc?lat=30.0444&amp;lon=31.2357&amp;peakpower=1&amp;loss=14&amp;angle=60&amp;aspect=45&amp;outputformat=json&amp;raddatabase=PVGIS-SARAH3&amp;pvtechchoice=crystSi&amp;mountingplace=free&amp;usehorizon=1</v>
      </c>
    </row>
    <row r="3853">
      <c r="A3853" t="n">
        <v>60</v>
      </c>
      <c r="B3853" t="n">
        <v>225</v>
      </c>
      <c r="C3853" t="n">
        <v>4</v>
      </c>
      <c r="D3853" s="218" t="n">
        <v>131.77</v>
      </c>
      <c r="E3853" s="218" t="n">
        <v>4.39</v>
      </c>
      <c r="F3853" t="str">
        <v>https://re.jrc.ec.europa.eu/api/v5_3/PVcalc?lat=30.0444&amp;lon=31.2357&amp;peakpower=1&amp;loss=14&amp;angle=60&amp;aspect=45&amp;outputformat=json&amp;raddatabase=PVGIS-SARAH3&amp;pvtechchoice=crystSi&amp;mountingplace=free&amp;usehorizon=1</v>
      </c>
    </row>
    <row r="3854">
      <c r="A3854" t="n">
        <v>60</v>
      </c>
      <c r="B3854" t="n">
        <v>225</v>
      </c>
      <c r="C3854" t="n">
        <v>5</v>
      </c>
      <c r="D3854" s="218" t="n">
        <v>128.37</v>
      </c>
      <c r="E3854" s="218" t="n">
        <v>4.14</v>
      </c>
      <c r="F3854" t="str">
        <v>https://re.jrc.ec.europa.eu/api/v5_3/PVcalc?lat=30.0444&amp;lon=31.2357&amp;peakpower=1&amp;loss=14&amp;angle=60&amp;aspect=45&amp;outputformat=json&amp;raddatabase=PVGIS-SARAH3&amp;pvtechchoice=crystSi&amp;mountingplace=free&amp;usehorizon=1</v>
      </c>
    </row>
    <row r="3855">
      <c r="A3855" t="n">
        <v>60</v>
      </c>
      <c r="B3855" t="n">
        <v>225</v>
      </c>
      <c r="C3855" t="n">
        <v>6</v>
      </c>
      <c r="D3855" s="218" t="n">
        <v>123.91</v>
      </c>
      <c r="E3855" s="218" t="n">
        <v>4.13</v>
      </c>
      <c r="F3855" t="str">
        <v>https://re.jrc.ec.europa.eu/api/v5_3/PVcalc?lat=30.0444&amp;lon=31.2357&amp;peakpower=1&amp;loss=14&amp;angle=60&amp;aspect=45&amp;outputformat=json&amp;raddatabase=PVGIS-SARAH3&amp;pvtechchoice=crystSi&amp;mountingplace=free&amp;usehorizon=1</v>
      </c>
    </row>
    <row r="3856">
      <c r="A3856" t="n">
        <v>60</v>
      </c>
      <c r="B3856" t="n">
        <v>225</v>
      </c>
      <c r="C3856" t="n">
        <v>7</v>
      </c>
      <c r="D3856" s="218" t="n">
        <v>130.78</v>
      </c>
      <c r="E3856" s="218" t="n">
        <v>4.22</v>
      </c>
      <c r="F3856" t="str">
        <v>https://re.jrc.ec.europa.eu/api/v5_3/PVcalc?lat=30.0444&amp;lon=31.2357&amp;peakpower=1&amp;loss=14&amp;angle=60&amp;aspect=45&amp;outputformat=json&amp;raddatabase=PVGIS-SARAH3&amp;pvtechchoice=crystSi&amp;mountingplace=free&amp;usehorizon=1</v>
      </c>
    </row>
    <row r="3857">
      <c r="A3857" t="n">
        <v>60</v>
      </c>
      <c r="B3857" t="n">
        <v>225</v>
      </c>
      <c r="C3857" t="n">
        <v>8</v>
      </c>
      <c r="D3857" s="218" t="n">
        <v>136.83</v>
      </c>
      <c r="E3857" s="218" t="n">
        <v>4.41</v>
      </c>
      <c r="F3857" t="str">
        <v>https://re.jrc.ec.europa.eu/api/v5_3/PVcalc?lat=30.0444&amp;lon=31.2357&amp;peakpower=1&amp;loss=14&amp;angle=60&amp;aspect=45&amp;outputformat=json&amp;raddatabase=PVGIS-SARAH3&amp;pvtechchoice=crystSi&amp;mountingplace=free&amp;usehorizon=1</v>
      </c>
    </row>
    <row r="3858">
      <c r="A3858" t="n">
        <v>60</v>
      </c>
      <c r="B3858" t="n">
        <v>225</v>
      </c>
      <c r="C3858" t="n">
        <v>9</v>
      </c>
      <c r="D3858" s="218" t="n">
        <v>137.09</v>
      </c>
      <c r="E3858" s="218" t="n">
        <v>4.57</v>
      </c>
      <c r="F3858" t="str">
        <v>https://re.jrc.ec.europa.eu/api/v5_3/PVcalc?lat=30.0444&amp;lon=31.2357&amp;peakpower=1&amp;loss=14&amp;angle=60&amp;aspect=45&amp;outputformat=json&amp;raddatabase=PVGIS-SARAH3&amp;pvtechchoice=crystSi&amp;mountingplace=free&amp;usehorizon=1</v>
      </c>
    </row>
    <row r="3859">
      <c r="A3859" t="n">
        <v>60</v>
      </c>
      <c r="B3859" t="n">
        <v>225</v>
      </c>
      <c r="C3859" t="n">
        <v>10</v>
      </c>
      <c r="D3859" s="218" t="n">
        <v>133.67</v>
      </c>
      <c r="E3859" s="218" t="n">
        <v>4.31</v>
      </c>
      <c r="F3859" t="str">
        <v>https://re.jrc.ec.europa.eu/api/v5_3/PVcalc?lat=30.0444&amp;lon=31.2357&amp;peakpower=1&amp;loss=14&amp;angle=60&amp;aspect=45&amp;outputformat=json&amp;raddatabase=PVGIS-SARAH3&amp;pvtechchoice=crystSi&amp;mountingplace=free&amp;usehorizon=1</v>
      </c>
    </row>
    <row r="3860">
      <c r="A3860" t="n">
        <v>60</v>
      </c>
      <c r="B3860" t="n">
        <v>225</v>
      </c>
      <c r="C3860" t="n">
        <v>11</v>
      </c>
      <c r="D3860" s="218" t="n">
        <v>121.49</v>
      </c>
      <c r="E3860" s="218" t="n">
        <v>4.05</v>
      </c>
      <c r="F3860" t="str">
        <v>https://re.jrc.ec.europa.eu/api/v5_3/PVcalc?lat=30.0444&amp;lon=31.2357&amp;peakpower=1&amp;loss=14&amp;angle=60&amp;aspect=45&amp;outputformat=json&amp;raddatabase=PVGIS-SARAH3&amp;pvtechchoice=crystSi&amp;mountingplace=free&amp;usehorizon=1</v>
      </c>
    </row>
    <row r="3861">
      <c r="A3861" t="n">
        <v>60</v>
      </c>
      <c r="B3861" t="n">
        <v>225</v>
      </c>
      <c r="C3861" t="n">
        <v>12</v>
      </c>
      <c r="D3861" s="218" t="n">
        <v>116.91</v>
      </c>
      <c r="E3861" s="218" t="n">
        <v>3.77</v>
      </c>
      <c r="F3861" t="str">
        <v>https://re.jrc.ec.europa.eu/api/v5_3/PVcalc?lat=30.0444&amp;lon=31.2357&amp;peakpower=1&amp;loss=14&amp;angle=60&amp;aspect=45&amp;outputformat=json&amp;raddatabase=PVGIS-SARAH3&amp;pvtechchoice=crystSi&amp;mountingplace=free&amp;usehorizon=1</v>
      </c>
    </row>
    <row r="3862">
      <c r="A3862" t="n">
        <v>60</v>
      </c>
      <c r="B3862" t="n">
        <v>240</v>
      </c>
      <c r="C3862" t="n">
        <v>1</v>
      </c>
      <c r="D3862" s="218" t="n">
        <v>100.31</v>
      </c>
      <c r="E3862" s="218" t="n">
        <v>3.24</v>
      </c>
      <c r="F3862" t="str">
        <v>https://re.jrc.ec.europa.eu/api/v5_3/PVcalc?lat=30.0444&amp;lon=31.2357&amp;peakpower=1&amp;loss=14&amp;angle=60&amp;aspect=60&amp;outputformat=json&amp;raddatabase=PVGIS-SARAH3&amp;pvtechchoice=crystSi&amp;mountingplace=free&amp;usehorizon=1</v>
      </c>
    </row>
    <row r="3863">
      <c r="A3863" t="n">
        <v>60</v>
      </c>
      <c r="B3863" t="n">
        <v>240</v>
      </c>
      <c r="C3863" t="n">
        <v>2</v>
      </c>
      <c r="D3863" s="218" t="n">
        <v>100.26</v>
      </c>
      <c r="E3863" s="218" t="n">
        <v>3.58</v>
      </c>
      <c r="F3863" t="str">
        <v>https://re.jrc.ec.europa.eu/api/v5_3/PVcalc?lat=30.0444&amp;lon=31.2357&amp;peakpower=1&amp;loss=14&amp;angle=60&amp;aspect=60&amp;outputformat=json&amp;raddatabase=PVGIS-SARAH3&amp;pvtechchoice=crystSi&amp;mountingplace=free&amp;usehorizon=1</v>
      </c>
    </row>
    <row r="3864">
      <c r="A3864" t="n">
        <v>60</v>
      </c>
      <c r="B3864" t="n">
        <v>240</v>
      </c>
      <c r="C3864" t="n">
        <v>3</v>
      </c>
      <c r="D3864" s="218" t="n">
        <v>129.89</v>
      </c>
      <c r="E3864" s="218" t="n">
        <v>4.19</v>
      </c>
      <c r="F3864" t="str">
        <v>https://re.jrc.ec.europa.eu/api/v5_3/PVcalc?lat=30.0444&amp;lon=31.2357&amp;peakpower=1&amp;loss=14&amp;angle=60&amp;aspect=60&amp;outputformat=json&amp;raddatabase=PVGIS-SARAH3&amp;pvtechchoice=crystSi&amp;mountingplace=free&amp;usehorizon=1</v>
      </c>
    </row>
    <row r="3865">
      <c r="A3865" t="n">
        <v>60</v>
      </c>
      <c r="B3865" t="n">
        <v>240</v>
      </c>
      <c r="C3865" t="n">
        <v>4</v>
      </c>
      <c r="D3865" s="218" t="n">
        <v>129.86</v>
      </c>
      <c r="E3865" s="218" t="n">
        <v>4.33</v>
      </c>
      <c r="F3865" t="str">
        <v>https://re.jrc.ec.europa.eu/api/v5_3/PVcalc?lat=30.0444&amp;lon=31.2357&amp;peakpower=1&amp;loss=14&amp;angle=60&amp;aspect=60&amp;outputformat=json&amp;raddatabase=PVGIS-SARAH3&amp;pvtechchoice=crystSi&amp;mountingplace=free&amp;usehorizon=1</v>
      </c>
    </row>
    <row r="3866">
      <c r="A3866" t="n">
        <v>60</v>
      </c>
      <c r="B3866" t="n">
        <v>240</v>
      </c>
      <c r="C3866" t="n">
        <v>5</v>
      </c>
      <c r="D3866" s="218" t="n">
        <v>131.88</v>
      </c>
      <c r="E3866" s="218" t="n">
        <v>4.25</v>
      </c>
      <c r="F3866" t="str">
        <v>https://re.jrc.ec.europa.eu/api/v5_3/PVcalc?lat=30.0444&amp;lon=31.2357&amp;peakpower=1&amp;loss=14&amp;angle=60&amp;aspect=60&amp;outputformat=json&amp;raddatabase=PVGIS-SARAH3&amp;pvtechchoice=crystSi&amp;mountingplace=free&amp;usehorizon=1</v>
      </c>
    </row>
    <row r="3867">
      <c r="A3867" t="n">
        <v>60</v>
      </c>
      <c r="B3867" t="n">
        <v>240</v>
      </c>
      <c r="C3867" t="n">
        <v>6</v>
      </c>
      <c r="D3867" s="218" t="n">
        <v>131.24</v>
      </c>
      <c r="E3867" s="218" t="n">
        <v>4.37</v>
      </c>
      <c r="F3867" t="str">
        <v>https://re.jrc.ec.europa.eu/api/v5_3/PVcalc?lat=30.0444&amp;lon=31.2357&amp;peakpower=1&amp;loss=14&amp;angle=60&amp;aspect=60&amp;outputformat=json&amp;raddatabase=PVGIS-SARAH3&amp;pvtechchoice=crystSi&amp;mountingplace=free&amp;usehorizon=1</v>
      </c>
    </row>
    <row r="3868">
      <c r="A3868" t="n">
        <v>60</v>
      </c>
      <c r="B3868" t="n">
        <v>240</v>
      </c>
      <c r="C3868" t="n">
        <v>7</v>
      </c>
      <c r="D3868" s="218" t="n">
        <v>137.29</v>
      </c>
      <c r="E3868" s="218" t="n">
        <v>4.43</v>
      </c>
      <c r="F3868" t="str">
        <v>https://re.jrc.ec.europa.eu/api/v5_3/PVcalc?lat=30.0444&amp;lon=31.2357&amp;peakpower=1&amp;loss=14&amp;angle=60&amp;aspect=60&amp;outputformat=json&amp;raddatabase=PVGIS-SARAH3&amp;pvtechchoice=crystSi&amp;mountingplace=free&amp;usehorizon=1</v>
      </c>
    </row>
    <row r="3869">
      <c r="A3869" t="n">
        <v>60</v>
      </c>
      <c r="B3869" t="n">
        <v>240</v>
      </c>
      <c r="C3869" t="n">
        <v>8</v>
      </c>
      <c r="D3869" s="218" t="n">
        <v>138.16</v>
      </c>
      <c r="E3869" s="218" t="n">
        <v>4.46</v>
      </c>
      <c r="F3869" t="str">
        <v>https://re.jrc.ec.europa.eu/api/v5_3/PVcalc?lat=30.0444&amp;lon=31.2357&amp;peakpower=1&amp;loss=14&amp;angle=60&amp;aspect=60&amp;outputformat=json&amp;raddatabase=PVGIS-SARAH3&amp;pvtechchoice=crystSi&amp;mountingplace=free&amp;usehorizon=1</v>
      </c>
    </row>
    <row r="3870">
      <c r="A3870" t="n">
        <v>60</v>
      </c>
      <c r="B3870" t="n">
        <v>240</v>
      </c>
      <c r="C3870" t="n">
        <v>9</v>
      </c>
      <c r="D3870" s="218" t="n">
        <v>131.6</v>
      </c>
      <c r="E3870" s="218" t="n">
        <v>4.39</v>
      </c>
      <c r="F3870" t="str">
        <v>https://re.jrc.ec.europa.eu/api/v5_3/PVcalc?lat=30.0444&amp;lon=31.2357&amp;peakpower=1&amp;loss=14&amp;angle=60&amp;aspect=60&amp;outputformat=json&amp;raddatabase=PVGIS-SARAH3&amp;pvtechchoice=crystSi&amp;mountingplace=free&amp;usehorizon=1</v>
      </c>
    </row>
    <row r="3871">
      <c r="A3871" t="n">
        <v>60</v>
      </c>
      <c r="B3871" t="n">
        <v>240</v>
      </c>
      <c r="C3871" t="n">
        <v>10</v>
      </c>
      <c r="D3871" s="218" t="n">
        <v>122.32</v>
      </c>
      <c r="E3871" s="218" t="n">
        <v>3.95</v>
      </c>
      <c r="F3871" t="str">
        <v>https://re.jrc.ec.europa.eu/api/v5_3/PVcalc?lat=30.0444&amp;lon=31.2357&amp;peakpower=1&amp;loss=14&amp;angle=60&amp;aspect=60&amp;outputformat=json&amp;raddatabase=PVGIS-SARAH3&amp;pvtechchoice=crystSi&amp;mountingplace=free&amp;usehorizon=1</v>
      </c>
    </row>
    <row r="3872">
      <c r="A3872" t="n">
        <v>60</v>
      </c>
      <c r="B3872" t="n">
        <v>240</v>
      </c>
      <c r="C3872" t="n">
        <v>11</v>
      </c>
      <c r="D3872" s="218" t="n">
        <v>106.75</v>
      </c>
      <c r="E3872" s="218" t="n">
        <v>3.56</v>
      </c>
      <c r="F3872" t="str">
        <v>https://re.jrc.ec.europa.eu/api/v5_3/PVcalc?lat=30.0444&amp;lon=31.2357&amp;peakpower=1&amp;loss=14&amp;angle=60&amp;aspect=60&amp;outputformat=json&amp;raddatabase=PVGIS-SARAH3&amp;pvtechchoice=crystSi&amp;mountingplace=free&amp;usehorizon=1</v>
      </c>
    </row>
    <row r="3873">
      <c r="A3873" t="n">
        <v>60</v>
      </c>
      <c r="B3873" t="n">
        <v>240</v>
      </c>
      <c r="C3873" t="n">
        <v>12</v>
      </c>
      <c r="D3873" s="218" t="n">
        <v>100.26</v>
      </c>
      <c r="E3873" s="218" t="n">
        <v>3.23</v>
      </c>
      <c r="F3873" t="str">
        <v>https://re.jrc.ec.europa.eu/api/v5_3/PVcalc?lat=30.0444&amp;lon=31.2357&amp;peakpower=1&amp;loss=14&amp;angle=60&amp;aspect=60&amp;outputformat=json&amp;raddatabase=PVGIS-SARAH3&amp;pvtechchoice=crystSi&amp;mountingplace=free&amp;usehorizon=1</v>
      </c>
    </row>
    <row r="3874">
      <c r="A3874" t="n">
        <v>60</v>
      </c>
      <c r="B3874" t="n">
        <v>255</v>
      </c>
      <c r="C3874" t="n">
        <v>1</v>
      </c>
      <c r="D3874" s="218" t="n">
        <v>84.19</v>
      </c>
      <c r="E3874" s="218" t="n">
        <v>2.72</v>
      </c>
      <c r="F3874" t="str">
        <v>https://re.jrc.ec.europa.eu/api/v5_3/PVcalc?lat=30.0444&amp;lon=31.2357&amp;peakpower=1&amp;loss=14&amp;angle=60&amp;aspect=75&amp;outputformat=json&amp;raddatabase=PVGIS-SARAH3&amp;pvtechchoice=crystSi&amp;mountingplace=free&amp;usehorizon=1</v>
      </c>
    </row>
    <row r="3875">
      <c r="A3875" t="n">
        <v>60</v>
      </c>
      <c r="B3875" t="n">
        <v>255</v>
      </c>
      <c r="C3875" t="n">
        <v>2</v>
      </c>
      <c r="D3875" s="218" t="n">
        <v>88.27</v>
      </c>
      <c r="E3875" s="218" t="n">
        <v>3.15</v>
      </c>
      <c r="F3875" t="str">
        <v>https://re.jrc.ec.europa.eu/api/v5_3/PVcalc?lat=30.0444&amp;lon=31.2357&amp;peakpower=1&amp;loss=14&amp;angle=60&amp;aspect=75&amp;outputformat=json&amp;raddatabase=PVGIS-SARAH3&amp;pvtechchoice=crystSi&amp;mountingplace=free&amp;usehorizon=1</v>
      </c>
    </row>
    <row r="3876">
      <c r="A3876" t="n">
        <v>60</v>
      </c>
      <c r="B3876" t="n">
        <v>255</v>
      </c>
      <c r="C3876" t="n">
        <v>3</v>
      </c>
      <c r="D3876" s="218" t="n">
        <v>120.43</v>
      </c>
      <c r="E3876" s="218" t="n">
        <v>3.88</v>
      </c>
      <c r="F3876" t="str">
        <v>https://re.jrc.ec.europa.eu/api/v5_3/PVcalc?lat=30.0444&amp;lon=31.2357&amp;peakpower=1&amp;loss=14&amp;angle=60&amp;aspect=75&amp;outputformat=json&amp;raddatabase=PVGIS-SARAH3&amp;pvtechchoice=crystSi&amp;mountingplace=free&amp;usehorizon=1</v>
      </c>
    </row>
    <row r="3877">
      <c r="A3877" t="n">
        <v>60</v>
      </c>
      <c r="B3877" t="n">
        <v>255</v>
      </c>
      <c r="C3877" t="n">
        <v>4</v>
      </c>
      <c r="D3877" s="218" t="n">
        <v>126</v>
      </c>
      <c r="E3877" s="218" t="n">
        <v>4.2</v>
      </c>
      <c r="F3877" t="str">
        <v>https://re.jrc.ec.europa.eu/api/v5_3/PVcalc?lat=30.0444&amp;lon=31.2357&amp;peakpower=1&amp;loss=14&amp;angle=60&amp;aspect=75&amp;outputformat=json&amp;raddatabase=PVGIS-SARAH3&amp;pvtechchoice=crystSi&amp;mountingplace=free&amp;usehorizon=1</v>
      </c>
    </row>
    <row r="3878">
      <c r="A3878" t="n">
        <v>60</v>
      </c>
      <c r="B3878" t="n">
        <v>255</v>
      </c>
      <c r="C3878" t="n">
        <v>5</v>
      </c>
      <c r="D3878" s="218" t="n">
        <v>133.1</v>
      </c>
      <c r="E3878" s="218" t="n">
        <v>4.29</v>
      </c>
      <c r="F3878" t="str">
        <v>https://re.jrc.ec.europa.eu/api/v5_3/PVcalc?lat=30.0444&amp;lon=31.2357&amp;peakpower=1&amp;loss=14&amp;angle=60&amp;aspect=75&amp;outputformat=json&amp;raddatabase=PVGIS-SARAH3&amp;pvtechchoice=crystSi&amp;mountingplace=free&amp;usehorizon=1</v>
      </c>
    </row>
    <row r="3879">
      <c r="A3879" t="n">
        <v>60</v>
      </c>
      <c r="B3879" t="n">
        <v>255</v>
      </c>
      <c r="C3879" t="n">
        <v>6</v>
      </c>
      <c r="D3879" s="218" t="n">
        <v>135.73</v>
      </c>
      <c r="E3879" s="218" t="n">
        <v>4.52</v>
      </c>
      <c r="F3879" t="str">
        <v>https://re.jrc.ec.europa.eu/api/v5_3/PVcalc?lat=30.0444&amp;lon=31.2357&amp;peakpower=1&amp;loss=14&amp;angle=60&amp;aspect=75&amp;outputformat=json&amp;raddatabase=PVGIS-SARAH3&amp;pvtechchoice=crystSi&amp;mountingplace=free&amp;usehorizon=1</v>
      </c>
    </row>
    <row r="3880">
      <c r="A3880" t="n">
        <v>60</v>
      </c>
      <c r="B3880" t="n">
        <v>255</v>
      </c>
      <c r="C3880" t="n">
        <v>7</v>
      </c>
      <c r="D3880" s="218" t="n">
        <v>140.74</v>
      </c>
      <c r="E3880" s="218" t="n">
        <v>4.54</v>
      </c>
      <c r="F3880" t="str">
        <v>https://re.jrc.ec.europa.eu/api/v5_3/PVcalc?lat=30.0444&amp;lon=31.2357&amp;peakpower=1&amp;loss=14&amp;angle=60&amp;aspect=75&amp;outputformat=json&amp;raddatabase=PVGIS-SARAH3&amp;pvtechchoice=crystSi&amp;mountingplace=free&amp;usehorizon=1</v>
      </c>
    </row>
    <row r="3881">
      <c r="A3881" t="n">
        <v>60</v>
      </c>
      <c r="B3881" t="n">
        <v>255</v>
      </c>
      <c r="C3881" t="n">
        <v>8</v>
      </c>
      <c r="D3881" s="218" t="n">
        <v>136.7</v>
      </c>
      <c r="E3881" s="218" t="n">
        <v>4.41</v>
      </c>
      <c r="F3881" t="str">
        <v>https://re.jrc.ec.europa.eu/api/v5_3/PVcalc?lat=30.0444&amp;lon=31.2357&amp;peakpower=1&amp;loss=14&amp;angle=60&amp;aspect=75&amp;outputformat=json&amp;raddatabase=PVGIS-SARAH3&amp;pvtechchoice=crystSi&amp;mountingplace=free&amp;usehorizon=1</v>
      </c>
    </row>
    <row r="3882">
      <c r="A3882" t="n">
        <v>60</v>
      </c>
      <c r="B3882" t="n">
        <v>255</v>
      </c>
      <c r="C3882" t="n">
        <v>9</v>
      </c>
      <c r="D3882" s="218" t="n">
        <v>124.44</v>
      </c>
      <c r="E3882" s="218" t="n">
        <v>4.15</v>
      </c>
      <c r="F3882" t="str">
        <v>https://re.jrc.ec.europa.eu/api/v5_3/PVcalc?lat=30.0444&amp;lon=31.2357&amp;peakpower=1&amp;loss=14&amp;angle=60&amp;aspect=75&amp;outputformat=json&amp;raddatabase=PVGIS-SARAH3&amp;pvtechchoice=crystSi&amp;mountingplace=free&amp;usehorizon=1</v>
      </c>
    </row>
    <row r="3883">
      <c r="A3883" t="n">
        <v>60</v>
      </c>
      <c r="B3883" t="n">
        <v>255</v>
      </c>
      <c r="C3883" t="n">
        <v>10</v>
      </c>
      <c r="D3883" s="218" t="n">
        <v>109.83</v>
      </c>
      <c r="E3883" s="218" t="n">
        <v>3.54</v>
      </c>
      <c r="F3883" t="str">
        <v>https://re.jrc.ec.europa.eu/api/v5_3/PVcalc?lat=30.0444&amp;lon=31.2357&amp;peakpower=1&amp;loss=14&amp;angle=60&amp;aspect=75&amp;outputformat=json&amp;raddatabase=PVGIS-SARAH3&amp;pvtechchoice=crystSi&amp;mountingplace=free&amp;usehorizon=1</v>
      </c>
    </row>
    <row r="3884">
      <c r="A3884" t="n">
        <v>60</v>
      </c>
      <c r="B3884" t="n">
        <v>255</v>
      </c>
      <c r="C3884" t="n">
        <v>11</v>
      </c>
      <c r="D3884" s="218" t="n">
        <v>91.16</v>
      </c>
      <c r="E3884" s="218" t="n">
        <v>3.04</v>
      </c>
      <c r="F3884" t="str">
        <v>https://re.jrc.ec.europa.eu/api/v5_3/PVcalc?lat=30.0444&amp;lon=31.2357&amp;peakpower=1&amp;loss=14&amp;angle=60&amp;aspect=75&amp;outputformat=json&amp;raddatabase=PVGIS-SARAH3&amp;pvtechchoice=crystSi&amp;mountingplace=free&amp;usehorizon=1</v>
      </c>
    </row>
    <row r="3885">
      <c r="A3885" t="n">
        <v>60</v>
      </c>
      <c r="B3885" t="n">
        <v>255</v>
      </c>
      <c r="C3885" t="n">
        <v>12</v>
      </c>
      <c r="D3885" s="218" t="n">
        <v>83.07</v>
      </c>
      <c r="E3885" s="218" t="n">
        <v>2.68</v>
      </c>
      <c r="F3885" t="str">
        <v>https://re.jrc.ec.europa.eu/api/v5_3/PVcalc?lat=30.0444&amp;lon=31.2357&amp;peakpower=1&amp;loss=14&amp;angle=60&amp;aspect=75&amp;outputformat=json&amp;raddatabase=PVGIS-SARAH3&amp;pvtechchoice=crystSi&amp;mountingplace=free&amp;usehorizon=1</v>
      </c>
    </row>
    <row r="3886">
      <c r="A3886" t="n">
        <v>60</v>
      </c>
      <c r="B3886" t="n">
        <v>270</v>
      </c>
      <c r="C3886" t="n">
        <v>1</v>
      </c>
      <c r="D3886" s="218" t="n">
        <v>68.27</v>
      </c>
      <c r="E3886" s="218" t="n">
        <v>2.2</v>
      </c>
      <c r="F3886" t="str">
        <v>https://re.jrc.ec.europa.eu/api/v5_3/PVcalc?lat=30.0444&amp;lon=31.2357&amp;peakpower=1&amp;loss=14&amp;angle=60&amp;aspect=90&amp;outputformat=json&amp;raddatabase=PVGIS-SARAH3&amp;pvtechchoice=crystSi&amp;mountingplace=free&amp;usehorizon=1</v>
      </c>
    </row>
    <row r="3887">
      <c r="A3887" t="n">
        <v>60</v>
      </c>
      <c r="B3887" t="n">
        <v>270</v>
      </c>
      <c r="C3887" t="n">
        <v>2</v>
      </c>
      <c r="D3887" s="218" t="n">
        <v>75.98</v>
      </c>
      <c r="E3887" s="218" t="n">
        <v>2.71</v>
      </c>
      <c r="F3887" t="str">
        <v>https://re.jrc.ec.europa.eu/api/v5_3/PVcalc?lat=30.0444&amp;lon=31.2357&amp;peakpower=1&amp;loss=14&amp;angle=60&amp;aspect=90&amp;outputformat=json&amp;raddatabase=PVGIS-SARAH3&amp;pvtechchoice=crystSi&amp;mountingplace=free&amp;usehorizon=1</v>
      </c>
    </row>
    <row r="3888">
      <c r="A3888" t="n">
        <v>60</v>
      </c>
      <c r="B3888" t="n">
        <v>270</v>
      </c>
      <c r="C3888" t="n">
        <v>3</v>
      </c>
      <c r="D3888" s="218" t="n">
        <v>109.46</v>
      </c>
      <c r="E3888" s="218" t="n">
        <v>3.53</v>
      </c>
      <c r="F3888" t="str">
        <v>https://re.jrc.ec.europa.eu/api/v5_3/PVcalc?lat=30.0444&amp;lon=31.2357&amp;peakpower=1&amp;loss=14&amp;angle=60&amp;aspect=90&amp;outputformat=json&amp;raddatabase=PVGIS-SARAH3&amp;pvtechchoice=crystSi&amp;mountingplace=free&amp;usehorizon=1</v>
      </c>
    </row>
    <row r="3889">
      <c r="A3889" t="n">
        <v>60</v>
      </c>
      <c r="B3889" t="n">
        <v>270</v>
      </c>
      <c r="C3889" t="n">
        <v>4</v>
      </c>
      <c r="D3889" s="218" t="n">
        <v>119.84</v>
      </c>
      <c r="E3889" s="218" t="n">
        <v>3.99</v>
      </c>
      <c r="F3889" t="str">
        <v>https://re.jrc.ec.europa.eu/api/v5_3/PVcalc?lat=30.0444&amp;lon=31.2357&amp;peakpower=1&amp;loss=14&amp;angle=60&amp;aspect=90&amp;outputformat=json&amp;raddatabase=PVGIS-SARAH3&amp;pvtechchoice=crystSi&amp;mountingplace=free&amp;usehorizon=1</v>
      </c>
    </row>
    <row r="3890">
      <c r="A3890" t="n">
        <v>60</v>
      </c>
      <c r="B3890" t="n">
        <v>270</v>
      </c>
      <c r="C3890" t="n">
        <v>5</v>
      </c>
      <c r="D3890" s="218" t="n">
        <v>131.7</v>
      </c>
      <c r="E3890" s="218" t="n">
        <v>4.25</v>
      </c>
      <c r="F3890" t="str">
        <v>https://re.jrc.ec.europa.eu/api/v5_3/PVcalc?lat=30.0444&amp;lon=31.2357&amp;peakpower=1&amp;loss=14&amp;angle=60&amp;aspect=90&amp;outputformat=json&amp;raddatabase=PVGIS-SARAH3&amp;pvtechchoice=crystSi&amp;mountingplace=free&amp;usehorizon=1</v>
      </c>
    </row>
    <row r="3891">
      <c r="A3891" t="n">
        <v>60</v>
      </c>
      <c r="B3891" t="n">
        <v>270</v>
      </c>
      <c r="C3891" t="n">
        <v>6</v>
      </c>
      <c r="D3891" s="218" t="n">
        <v>137.27</v>
      </c>
      <c r="E3891" s="218" t="n">
        <v>4.58</v>
      </c>
      <c r="F3891" t="str">
        <v>https://re.jrc.ec.europa.eu/api/v5_3/PVcalc?lat=30.0444&amp;lon=31.2357&amp;peakpower=1&amp;loss=14&amp;angle=60&amp;aspect=90&amp;outputformat=json&amp;raddatabase=PVGIS-SARAH3&amp;pvtechchoice=crystSi&amp;mountingplace=free&amp;usehorizon=1</v>
      </c>
    </row>
    <row r="3892">
      <c r="A3892" t="n">
        <v>60</v>
      </c>
      <c r="B3892" t="n">
        <v>270</v>
      </c>
      <c r="C3892" t="n">
        <v>7</v>
      </c>
      <c r="D3892" s="218" t="n">
        <v>141.15</v>
      </c>
      <c r="E3892" s="218" t="n">
        <v>4.55</v>
      </c>
      <c r="F3892" t="str">
        <v>https://re.jrc.ec.europa.eu/api/v5_3/PVcalc?lat=30.0444&amp;lon=31.2357&amp;peakpower=1&amp;loss=14&amp;angle=60&amp;aspect=90&amp;outputformat=json&amp;raddatabase=PVGIS-SARAH3&amp;pvtechchoice=crystSi&amp;mountingplace=free&amp;usehorizon=1</v>
      </c>
    </row>
    <row r="3893">
      <c r="A3893" t="n">
        <v>60</v>
      </c>
      <c r="B3893" t="n">
        <v>270</v>
      </c>
      <c r="C3893" t="n">
        <v>8</v>
      </c>
      <c r="D3893" s="218" t="n">
        <v>132.38</v>
      </c>
      <c r="E3893" s="218" t="n">
        <v>4.27</v>
      </c>
      <c r="F3893" t="str">
        <v>https://re.jrc.ec.europa.eu/api/v5_3/PVcalc?lat=30.0444&amp;lon=31.2357&amp;peakpower=1&amp;loss=14&amp;angle=60&amp;aspect=90&amp;outputformat=json&amp;raddatabase=PVGIS-SARAH3&amp;pvtechchoice=crystSi&amp;mountingplace=free&amp;usehorizon=1</v>
      </c>
    </row>
    <row r="3894">
      <c r="A3894" t="n">
        <v>60</v>
      </c>
      <c r="B3894" t="n">
        <v>270</v>
      </c>
      <c r="C3894" t="n">
        <v>9</v>
      </c>
      <c r="D3894" s="218" t="n">
        <v>114.61</v>
      </c>
      <c r="E3894" s="218" t="n">
        <v>3.82</v>
      </c>
      <c r="F3894" t="str">
        <v>https://re.jrc.ec.europa.eu/api/v5_3/PVcalc?lat=30.0444&amp;lon=31.2357&amp;peakpower=1&amp;loss=14&amp;angle=60&amp;aspect=90&amp;outputformat=json&amp;raddatabase=PVGIS-SARAH3&amp;pvtechchoice=crystSi&amp;mountingplace=free&amp;usehorizon=1</v>
      </c>
    </row>
    <row r="3895">
      <c r="A3895" t="n">
        <v>60</v>
      </c>
      <c r="B3895" t="n">
        <v>270</v>
      </c>
      <c r="C3895" t="n">
        <v>10</v>
      </c>
      <c r="D3895" s="218" t="n">
        <v>95.46</v>
      </c>
      <c r="E3895" s="218" t="n">
        <v>3.08</v>
      </c>
      <c r="F3895" t="str">
        <v>https://re.jrc.ec.europa.eu/api/v5_3/PVcalc?lat=30.0444&amp;lon=31.2357&amp;peakpower=1&amp;loss=14&amp;angle=60&amp;aspect=90&amp;outputformat=json&amp;raddatabase=PVGIS-SARAH3&amp;pvtechchoice=crystSi&amp;mountingplace=free&amp;usehorizon=1</v>
      </c>
    </row>
    <row r="3896">
      <c r="A3896" t="n">
        <v>60</v>
      </c>
      <c r="B3896" t="n">
        <v>270</v>
      </c>
      <c r="C3896" t="n">
        <v>11</v>
      </c>
      <c r="D3896" s="218" t="n">
        <v>74.8</v>
      </c>
      <c r="E3896" s="218" t="n">
        <v>2.49</v>
      </c>
      <c r="F3896" t="str">
        <v>https://re.jrc.ec.europa.eu/api/v5_3/PVcalc?lat=30.0444&amp;lon=31.2357&amp;peakpower=1&amp;loss=14&amp;angle=60&amp;aspect=90&amp;outputformat=json&amp;raddatabase=PVGIS-SARAH3&amp;pvtechchoice=crystSi&amp;mountingplace=free&amp;usehorizon=1</v>
      </c>
    </row>
    <row r="3897">
      <c r="A3897" t="n">
        <v>60</v>
      </c>
      <c r="B3897" t="n">
        <v>270</v>
      </c>
      <c r="C3897" t="n">
        <v>12</v>
      </c>
      <c r="D3897" s="218" t="n">
        <v>66</v>
      </c>
      <c r="E3897" s="218" t="n">
        <v>2.13</v>
      </c>
      <c r="F3897" t="str">
        <v>https://re.jrc.ec.europa.eu/api/v5_3/PVcalc?lat=30.0444&amp;lon=31.2357&amp;peakpower=1&amp;loss=14&amp;angle=60&amp;aspect=90&amp;outputformat=json&amp;raddatabase=PVGIS-SARAH3&amp;pvtechchoice=crystSi&amp;mountingplace=free&amp;usehorizon=1</v>
      </c>
    </row>
    <row r="3898">
      <c r="A3898" t="n">
        <v>60</v>
      </c>
      <c r="B3898" t="n">
        <v>285</v>
      </c>
      <c r="C3898" t="n">
        <v>1</v>
      </c>
      <c r="D3898" s="218" t="n">
        <v>52.67</v>
      </c>
      <c r="E3898" s="218" t="n">
        <v>1.7</v>
      </c>
      <c r="F3898" t="str">
        <v>https://re.jrc.ec.europa.eu/api/v5_3/PVcalc?lat=30.0444&amp;lon=31.2357&amp;peakpower=1&amp;loss=14&amp;angle=60&amp;aspect=105&amp;outputformat=json&amp;raddatabase=PVGIS-SARAH3&amp;pvtechchoice=crystSi&amp;mountingplace=free&amp;usehorizon=1</v>
      </c>
    </row>
    <row r="3899">
      <c r="A3899" t="n">
        <v>60</v>
      </c>
      <c r="B3899" t="n">
        <v>285</v>
      </c>
      <c r="C3899" t="n">
        <v>2</v>
      </c>
      <c r="D3899" s="218" t="n">
        <v>62.93</v>
      </c>
      <c r="E3899" s="218" t="n">
        <v>2.25</v>
      </c>
      <c r="F3899" t="str">
        <v>https://re.jrc.ec.europa.eu/api/v5_3/PVcalc?lat=30.0444&amp;lon=31.2357&amp;peakpower=1&amp;loss=14&amp;angle=60&amp;aspect=105&amp;outputformat=json&amp;raddatabase=PVGIS-SARAH3&amp;pvtechchoice=crystSi&amp;mountingplace=free&amp;usehorizon=1</v>
      </c>
    </row>
    <row r="3900">
      <c r="A3900" t="n">
        <v>60</v>
      </c>
      <c r="B3900" t="n">
        <v>285</v>
      </c>
      <c r="C3900" t="n">
        <v>3</v>
      </c>
      <c r="D3900" s="218" t="n">
        <v>96.55</v>
      </c>
      <c r="E3900" s="218" t="n">
        <v>3.11</v>
      </c>
      <c r="F3900" t="str">
        <v>https://re.jrc.ec.europa.eu/api/v5_3/PVcalc?lat=30.0444&amp;lon=31.2357&amp;peakpower=1&amp;loss=14&amp;angle=60&amp;aspect=105&amp;outputformat=json&amp;raddatabase=PVGIS-SARAH3&amp;pvtechchoice=crystSi&amp;mountingplace=free&amp;usehorizon=1</v>
      </c>
    </row>
    <row r="3901">
      <c r="A3901" t="n">
        <v>60</v>
      </c>
      <c r="B3901" t="n">
        <v>285</v>
      </c>
      <c r="C3901" t="n">
        <v>4</v>
      </c>
      <c r="D3901" s="218" t="n">
        <v>111.76</v>
      </c>
      <c r="E3901" s="218" t="n">
        <v>3.73</v>
      </c>
      <c r="F3901" t="str">
        <v>https://re.jrc.ec.europa.eu/api/v5_3/PVcalc?lat=30.0444&amp;lon=31.2357&amp;peakpower=1&amp;loss=14&amp;angle=60&amp;aspect=105&amp;outputformat=json&amp;raddatabase=PVGIS-SARAH3&amp;pvtechchoice=crystSi&amp;mountingplace=free&amp;usehorizon=1</v>
      </c>
    </row>
    <row r="3902">
      <c r="A3902" t="n">
        <v>60</v>
      </c>
      <c r="B3902" t="n">
        <v>285</v>
      </c>
      <c r="C3902" t="n">
        <v>5</v>
      </c>
      <c r="D3902" s="218" t="n">
        <v>127.72</v>
      </c>
      <c r="E3902" s="218" t="n">
        <v>4.12</v>
      </c>
      <c r="F3902" t="str">
        <v>https://re.jrc.ec.europa.eu/api/v5_3/PVcalc?lat=30.0444&amp;lon=31.2357&amp;peakpower=1&amp;loss=14&amp;angle=60&amp;aspect=105&amp;outputformat=json&amp;raddatabase=PVGIS-SARAH3&amp;pvtechchoice=crystSi&amp;mountingplace=free&amp;usehorizon=1</v>
      </c>
    </row>
    <row r="3903">
      <c r="A3903" t="n">
        <v>60</v>
      </c>
      <c r="B3903" t="n">
        <v>285</v>
      </c>
      <c r="C3903" t="n">
        <v>6</v>
      </c>
      <c r="D3903" s="218" t="n">
        <v>135.79</v>
      </c>
      <c r="E3903" s="218" t="n">
        <v>4.53</v>
      </c>
      <c r="F3903" t="str">
        <v>https://re.jrc.ec.europa.eu/api/v5_3/PVcalc?lat=30.0444&amp;lon=31.2357&amp;peakpower=1&amp;loss=14&amp;angle=60&amp;aspect=105&amp;outputformat=json&amp;raddatabase=PVGIS-SARAH3&amp;pvtechchoice=crystSi&amp;mountingplace=free&amp;usehorizon=1</v>
      </c>
    </row>
    <row r="3904">
      <c r="A3904" t="n">
        <v>60</v>
      </c>
      <c r="B3904" t="n">
        <v>285</v>
      </c>
      <c r="C3904" t="n">
        <v>7</v>
      </c>
      <c r="D3904" s="218" t="n">
        <v>138.43</v>
      </c>
      <c r="E3904" s="218" t="n">
        <v>4.47</v>
      </c>
      <c r="F3904" t="str">
        <v>https://re.jrc.ec.europa.eu/api/v5_3/PVcalc?lat=30.0444&amp;lon=31.2357&amp;peakpower=1&amp;loss=14&amp;angle=60&amp;aspect=105&amp;outputformat=json&amp;raddatabase=PVGIS-SARAH3&amp;pvtechchoice=crystSi&amp;mountingplace=free&amp;usehorizon=1</v>
      </c>
    </row>
    <row r="3905">
      <c r="A3905" t="n">
        <v>60</v>
      </c>
      <c r="B3905" t="n">
        <v>285</v>
      </c>
      <c r="C3905" t="n">
        <v>8</v>
      </c>
      <c r="D3905" s="218" t="n">
        <v>125.35</v>
      </c>
      <c r="E3905" s="218" t="n">
        <v>4.04</v>
      </c>
      <c r="F3905" t="str">
        <v>https://re.jrc.ec.europa.eu/api/v5_3/PVcalc?lat=30.0444&amp;lon=31.2357&amp;peakpower=1&amp;loss=14&amp;angle=60&amp;aspect=105&amp;outputformat=json&amp;raddatabase=PVGIS-SARAH3&amp;pvtechchoice=crystSi&amp;mountingplace=free&amp;usehorizon=1</v>
      </c>
    </row>
    <row r="3906">
      <c r="A3906" t="n">
        <v>60</v>
      </c>
      <c r="B3906" t="n">
        <v>285</v>
      </c>
      <c r="C3906" t="n">
        <v>9</v>
      </c>
      <c r="D3906" s="218" t="n">
        <v>103.09</v>
      </c>
      <c r="E3906" s="218" t="n">
        <v>3.44</v>
      </c>
      <c r="F3906" t="str">
        <v>https://re.jrc.ec.europa.eu/api/v5_3/PVcalc?lat=30.0444&amp;lon=31.2357&amp;peakpower=1&amp;loss=14&amp;angle=60&amp;aspect=105&amp;outputformat=json&amp;raddatabase=PVGIS-SARAH3&amp;pvtechchoice=crystSi&amp;mountingplace=free&amp;usehorizon=1</v>
      </c>
    </row>
    <row r="3907">
      <c r="A3907" t="n">
        <v>60</v>
      </c>
      <c r="B3907" t="n">
        <v>285</v>
      </c>
      <c r="C3907" t="n">
        <v>10</v>
      </c>
      <c r="D3907" s="218" t="n">
        <v>80.44</v>
      </c>
      <c r="E3907" s="218" t="n">
        <v>2.59</v>
      </c>
      <c r="F3907" t="str">
        <v>https://re.jrc.ec.europa.eu/api/v5_3/PVcalc?lat=30.0444&amp;lon=31.2357&amp;peakpower=1&amp;loss=14&amp;angle=60&amp;aspect=105&amp;outputformat=json&amp;raddatabase=PVGIS-SARAH3&amp;pvtechchoice=crystSi&amp;mountingplace=free&amp;usehorizon=1</v>
      </c>
    </row>
    <row r="3908">
      <c r="A3908" t="n">
        <v>60</v>
      </c>
      <c r="B3908" t="n">
        <v>285</v>
      </c>
      <c r="C3908" t="n">
        <v>11</v>
      </c>
      <c r="D3908" s="218" t="n">
        <v>58.38</v>
      </c>
      <c r="E3908" s="218" t="n">
        <v>1.95</v>
      </c>
      <c r="F3908" t="str">
        <v>https://re.jrc.ec.europa.eu/api/v5_3/PVcalc?lat=30.0444&amp;lon=31.2357&amp;peakpower=1&amp;loss=14&amp;angle=60&amp;aspect=105&amp;outputformat=json&amp;raddatabase=PVGIS-SARAH3&amp;pvtechchoice=crystSi&amp;mountingplace=free&amp;usehorizon=1</v>
      </c>
    </row>
    <row r="3909">
      <c r="A3909" t="n">
        <v>60</v>
      </c>
      <c r="B3909" t="n">
        <v>285</v>
      </c>
      <c r="C3909" t="n">
        <v>12</v>
      </c>
      <c r="D3909" s="218" t="n">
        <v>49.45</v>
      </c>
      <c r="E3909" s="218" t="n">
        <v>1.6</v>
      </c>
      <c r="F3909" t="str">
        <v>https://re.jrc.ec.europa.eu/api/v5_3/PVcalc?lat=30.0444&amp;lon=31.2357&amp;peakpower=1&amp;loss=14&amp;angle=60&amp;aspect=105&amp;outputformat=json&amp;raddatabase=PVGIS-SARAH3&amp;pvtechchoice=crystSi&amp;mountingplace=free&amp;usehorizon=1</v>
      </c>
    </row>
    <row r="3910">
      <c r="A3910" t="n">
        <v>60</v>
      </c>
      <c r="B3910" t="n">
        <v>300</v>
      </c>
      <c r="C3910" t="n">
        <v>1</v>
      </c>
      <c r="D3910" s="218" t="n">
        <v>38.04</v>
      </c>
      <c r="E3910" s="218" t="n">
        <v>1.23</v>
      </c>
      <c r="F3910" t="str">
        <v>https://re.jrc.ec.europa.eu/api/v5_3/PVcalc?lat=30.0444&amp;lon=31.2357&amp;peakpower=1&amp;loss=14&amp;angle=60&amp;aspect=120&amp;outputformat=json&amp;raddatabase=PVGIS-SARAH3&amp;pvtechchoice=crystSi&amp;mountingplace=free&amp;usehorizon=1</v>
      </c>
    </row>
    <row r="3911">
      <c r="A3911" t="n">
        <v>60</v>
      </c>
      <c r="B3911" t="n">
        <v>300</v>
      </c>
      <c r="C3911" t="n">
        <v>2</v>
      </c>
      <c r="D3911" s="218" t="n">
        <v>49.91</v>
      </c>
      <c r="E3911" s="218" t="n">
        <v>1.78</v>
      </c>
      <c r="F3911" t="str">
        <v>https://re.jrc.ec.europa.eu/api/v5_3/PVcalc?lat=30.0444&amp;lon=31.2357&amp;peakpower=1&amp;loss=14&amp;angle=60&amp;aspect=120&amp;outputformat=json&amp;raddatabase=PVGIS-SARAH3&amp;pvtechchoice=crystSi&amp;mountingplace=free&amp;usehorizon=1</v>
      </c>
    </row>
    <row r="3912">
      <c r="A3912" t="n">
        <v>60</v>
      </c>
      <c r="B3912" t="n">
        <v>300</v>
      </c>
      <c r="C3912" t="n">
        <v>3</v>
      </c>
      <c r="D3912" s="218" t="n">
        <v>82.11</v>
      </c>
      <c r="E3912" s="218" t="n">
        <v>2.65</v>
      </c>
      <c r="F3912" t="str">
        <v>https://re.jrc.ec.europa.eu/api/v5_3/PVcalc?lat=30.0444&amp;lon=31.2357&amp;peakpower=1&amp;loss=14&amp;angle=60&amp;aspect=120&amp;outputformat=json&amp;raddatabase=PVGIS-SARAH3&amp;pvtechchoice=crystSi&amp;mountingplace=free&amp;usehorizon=1</v>
      </c>
    </row>
    <row r="3913">
      <c r="A3913" t="n">
        <v>60</v>
      </c>
      <c r="B3913" t="n">
        <v>300</v>
      </c>
      <c r="C3913" t="n">
        <v>4</v>
      </c>
      <c r="D3913" s="218" t="n">
        <v>101.44</v>
      </c>
      <c r="E3913" s="218" t="n">
        <v>3.38</v>
      </c>
      <c r="F3913" t="str">
        <v>https://re.jrc.ec.europa.eu/api/v5_3/PVcalc?lat=30.0444&amp;lon=31.2357&amp;peakpower=1&amp;loss=14&amp;angle=60&amp;aspect=120&amp;outputformat=json&amp;raddatabase=PVGIS-SARAH3&amp;pvtechchoice=crystSi&amp;mountingplace=free&amp;usehorizon=1</v>
      </c>
    </row>
    <row r="3914">
      <c r="A3914" t="n">
        <v>60</v>
      </c>
      <c r="B3914" t="n">
        <v>300</v>
      </c>
      <c r="C3914" t="n">
        <v>5</v>
      </c>
      <c r="D3914" s="218" t="n">
        <v>121.26</v>
      </c>
      <c r="E3914" s="218" t="n">
        <v>3.91</v>
      </c>
      <c r="F3914" t="str">
        <v>https://re.jrc.ec.europa.eu/api/v5_3/PVcalc?lat=30.0444&amp;lon=31.2357&amp;peakpower=1&amp;loss=14&amp;angle=60&amp;aspect=120&amp;outputformat=json&amp;raddatabase=PVGIS-SARAH3&amp;pvtechchoice=crystSi&amp;mountingplace=free&amp;usehorizon=1</v>
      </c>
    </row>
    <row r="3915">
      <c r="A3915" t="n">
        <v>60</v>
      </c>
      <c r="B3915" t="n">
        <v>300</v>
      </c>
      <c r="C3915" t="n">
        <v>6</v>
      </c>
      <c r="D3915" s="218" t="n">
        <v>131.37</v>
      </c>
      <c r="E3915" s="218" t="n">
        <v>4.38</v>
      </c>
      <c r="F3915" t="str">
        <v>https://re.jrc.ec.europa.eu/api/v5_3/PVcalc?lat=30.0444&amp;lon=31.2357&amp;peakpower=1&amp;loss=14&amp;angle=60&amp;aspect=120&amp;outputformat=json&amp;raddatabase=PVGIS-SARAH3&amp;pvtechchoice=crystSi&amp;mountingplace=free&amp;usehorizon=1</v>
      </c>
    </row>
    <row r="3916">
      <c r="A3916" t="n">
        <v>60</v>
      </c>
      <c r="B3916" t="n">
        <v>300</v>
      </c>
      <c r="C3916" t="n">
        <v>7</v>
      </c>
      <c r="D3916" s="218" t="n">
        <v>132.63</v>
      </c>
      <c r="E3916" s="218" t="n">
        <v>4.28</v>
      </c>
      <c r="F3916" t="str">
        <v>https://re.jrc.ec.europa.eu/api/v5_3/PVcalc?lat=30.0444&amp;lon=31.2357&amp;peakpower=1&amp;loss=14&amp;angle=60&amp;aspect=120&amp;outputformat=json&amp;raddatabase=PVGIS-SARAH3&amp;pvtechchoice=crystSi&amp;mountingplace=free&amp;usehorizon=1</v>
      </c>
    </row>
    <row r="3917">
      <c r="A3917" t="n">
        <v>60</v>
      </c>
      <c r="B3917" t="n">
        <v>300</v>
      </c>
      <c r="C3917" t="n">
        <v>8</v>
      </c>
      <c r="D3917" s="218" t="n">
        <v>115.45</v>
      </c>
      <c r="E3917" s="218" t="n">
        <v>3.72</v>
      </c>
      <c r="F3917" t="str">
        <v>https://re.jrc.ec.europa.eu/api/v5_3/PVcalc?lat=30.0444&amp;lon=31.2357&amp;peakpower=1&amp;loss=14&amp;angle=60&amp;aspect=120&amp;outputformat=json&amp;raddatabase=PVGIS-SARAH3&amp;pvtechchoice=crystSi&amp;mountingplace=free&amp;usehorizon=1</v>
      </c>
    </row>
    <row r="3918">
      <c r="A3918" t="n">
        <v>60</v>
      </c>
      <c r="B3918" t="n">
        <v>300</v>
      </c>
      <c r="C3918" t="n">
        <v>9</v>
      </c>
      <c r="D3918" s="218" t="n">
        <v>89.18</v>
      </c>
      <c r="E3918" s="218" t="n">
        <v>2.97</v>
      </c>
      <c r="F3918" t="str">
        <v>https://re.jrc.ec.europa.eu/api/v5_3/PVcalc?lat=30.0444&amp;lon=31.2357&amp;peakpower=1&amp;loss=14&amp;angle=60&amp;aspect=120&amp;outputformat=json&amp;raddatabase=PVGIS-SARAH3&amp;pvtechchoice=crystSi&amp;mountingplace=free&amp;usehorizon=1</v>
      </c>
    </row>
    <row r="3919">
      <c r="A3919" t="n">
        <v>60</v>
      </c>
      <c r="B3919" t="n">
        <v>300</v>
      </c>
      <c r="C3919" t="n">
        <v>10</v>
      </c>
      <c r="D3919" s="218" t="n">
        <v>64.14</v>
      </c>
      <c r="E3919" s="218" t="n">
        <v>2.07</v>
      </c>
      <c r="F3919" t="str">
        <v>https://re.jrc.ec.europa.eu/api/v5_3/PVcalc?lat=30.0444&amp;lon=31.2357&amp;peakpower=1&amp;loss=14&amp;angle=60&amp;aspect=120&amp;outputformat=json&amp;raddatabase=PVGIS-SARAH3&amp;pvtechchoice=crystSi&amp;mountingplace=free&amp;usehorizon=1</v>
      </c>
    </row>
    <row r="3920">
      <c r="A3920" t="n">
        <v>60</v>
      </c>
      <c r="B3920" t="n">
        <v>300</v>
      </c>
      <c r="C3920" t="n">
        <v>11</v>
      </c>
      <c r="D3920" s="218" t="n">
        <v>42.66</v>
      </c>
      <c r="E3920" s="218" t="n">
        <v>1.42</v>
      </c>
      <c r="F3920" t="str">
        <v>https://re.jrc.ec.europa.eu/api/v5_3/PVcalc?lat=30.0444&amp;lon=31.2357&amp;peakpower=1&amp;loss=14&amp;angle=60&amp;aspect=120&amp;outputformat=json&amp;raddatabase=PVGIS-SARAH3&amp;pvtechchoice=crystSi&amp;mountingplace=free&amp;usehorizon=1</v>
      </c>
    </row>
    <row r="3921">
      <c r="A3921" t="n">
        <v>60</v>
      </c>
      <c r="B3921" t="n">
        <v>300</v>
      </c>
      <c r="C3921" t="n">
        <v>12</v>
      </c>
      <c r="D3921" s="218" t="n">
        <v>34.5</v>
      </c>
      <c r="E3921" s="218" t="n">
        <v>1.11</v>
      </c>
      <c r="F3921" t="str">
        <v>https://re.jrc.ec.europa.eu/api/v5_3/PVcalc?lat=30.0444&amp;lon=31.2357&amp;peakpower=1&amp;loss=14&amp;angle=60&amp;aspect=120&amp;outputformat=json&amp;raddatabase=PVGIS-SARAH3&amp;pvtechchoice=crystSi&amp;mountingplace=free&amp;usehorizon=1</v>
      </c>
    </row>
    <row r="3922">
      <c r="A3922" t="n">
        <v>60</v>
      </c>
      <c r="B3922" t="n">
        <v>315</v>
      </c>
      <c r="C3922" t="n">
        <v>1</v>
      </c>
      <c r="D3922" s="218" t="n">
        <v>25.98</v>
      </c>
      <c r="E3922" s="218" t="n">
        <v>0.84</v>
      </c>
      <c r="F3922" t="str">
        <v>https://re.jrc.ec.europa.eu/api/v5_3/PVcalc?lat=30.0444&amp;lon=31.2357&amp;peakpower=1&amp;loss=14&amp;angle=60&amp;aspect=135&amp;outputformat=json&amp;raddatabase=PVGIS-SARAH3&amp;pvtechchoice=crystSi&amp;mountingplace=free&amp;usehorizon=1</v>
      </c>
    </row>
    <row r="3923">
      <c r="A3923" t="n">
        <v>60</v>
      </c>
      <c r="B3923" t="n">
        <v>315</v>
      </c>
      <c r="C3923" t="n">
        <v>2</v>
      </c>
      <c r="D3923" s="218" t="n">
        <v>37.32</v>
      </c>
      <c r="E3923" s="218" t="n">
        <v>1.33</v>
      </c>
      <c r="F3923" t="str">
        <v>https://re.jrc.ec.europa.eu/api/v5_3/PVcalc?lat=30.0444&amp;lon=31.2357&amp;peakpower=1&amp;loss=14&amp;angle=60&amp;aspect=135&amp;outputformat=json&amp;raddatabase=PVGIS-SARAH3&amp;pvtechchoice=crystSi&amp;mountingplace=free&amp;usehorizon=1</v>
      </c>
    </row>
    <row r="3924">
      <c r="A3924" t="n">
        <v>60</v>
      </c>
      <c r="B3924" t="n">
        <v>315</v>
      </c>
      <c r="C3924" t="n">
        <v>3</v>
      </c>
      <c r="D3924" s="218" t="n">
        <v>66.53</v>
      </c>
      <c r="E3924" s="218" t="n">
        <v>2.15</v>
      </c>
      <c r="F3924" t="str">
        <v>https://re.jrc.ec.europa.eu/api/v5_3/PVcalc?lat=30.0444&amp;lon=31.2357&amp;peakpower=1&amp;loss=14&amp;angle=60&amp;aspect=135&amp;outputformat=json&amp;raddatabase=PVGIS-SARAH3&amp;pvtechchoice=crystSi&amp;mountingplace=free&amp;usehorizon=1</v>
      </c>
    </row>
    <row r="3925">
      <c r="A3925" t="n">
        <v>60</v>
      </c>
      <c r="B3925" t="n">
        <v>315</v>
      </c>
      <c r="C3925" t="n">
        <v>4</v>
      </c>
      <c r="D3925" s="218" t="n">
        <v>89.15</v>
      </c>
      <c r="E3925" s="218" t="n">
        <v>2.97</v>
      </c>
      <c r="F3925" t="str">
        <v>https://re.jrc.ec.europa.eu/api/v5_3/PVcalc?lat=30.0444&amp;lon=31.2357&amp;peakpower=1&amp;loss=14&amp;angle=60&amp;aspect=135&amp;outputformat=json&amp;raddatabase=PVGIS-SARAH3&amp;pvtechchoice=crystSi&amp;mountingplace=free&amp;usehorizon=1</v>
      </c>
    </row>
    <row r="3926">
      <c r="A3926" t="n">
        <v>60</v>
      </c>
      <c r="B3926" t="n">
        <v>315</v>
      </c>
      <c r="C3926" t="n">
        <v>5</v>
      </c>
      <c r="D3926" s="218" t="n">
        <v>112.59</v>
      </c>
      <c r="E3926" s="218" t="n">
        <v>3.63</v>
      </c>
      <c r="F3926" t="str">
        <v>https://re.jrc.ec.europa.eu/api/v5_3/PVcalc?lat=30.0444&amp;lon=31.2357&amp;peakpower=1&amp;loss=14&amp;angle=60&amp;aspect=135&amp;outputformat=json&amp;raddatabase=PVGIS-SARAH3&amp;pvtechchoice=crystSi&amp;mountingplace=free&amp;usehorizon=1</v>
      </c>
    </row>
    <row r="3927">
      <c r="A3927" t="n">
        <v>60</v>
      </c>
      <c r="B3927" t="n">
        <v>315</v>
      </c>
      <c r="C3927" t="n">
        <v>6</v>
      </c>
      <c r="D3927" s="218" t="n">
        <v>124.29</v>
      </c>
      <c r="E3927" s="218" t="n">
        <v>4.14</v>
      </c>
      <c r="F3927" t="str">
        <v>https://re.jrc.ec.europa.eu/api/v5_3/PVcalc?lat=30.0444&amp;lon=31.2357&amp;peakpower=1&amp;loss=14&amp;angle=60&amp;aspect=135&amp;outputformat=json&amp;raddatabase=PVGIS-SARAH3&amp;pvtechchoice=crystSi&amp;mountingplace=free&amp;usehorizon=1</v>
      </c>
    </row>
    <row r="3928">
      <c r="A3928" t="n">
        <v>60</v>
      </c>
      <c r="B3928" t="n">
        <v>315</v>
      </c>
      <c r="C3928" t="n">
        <v>7</v>
      </c>
      <c r="D3928" s="218" t="n">
        <v>124.11</v>
      </c>
      <c r="E3928" s="218" t="n">
        <v>4</v>
      </c>
      <c r="F3928" t="str">
        <v>https://re.jrc.ec.europa.eu/api/v5_3/PVcalc?lat=30.0444&amp;lon=31.2357&amp;peakpower=1&amp;loss=14&amp;angle=60&amp;aspect=135&amp;outputformat=json&amp;raddatabase=PVGIS-SARAH3&amp;pvtechchoice=crystSi&amp;mountingplace=free&amp;usehorizon=1</v>
      </c>
    </row>
    <row r="3929">
      <c r="A3929" t="n">
        <v>60</v>
      </c>
      <c r="B3929" t="n">
        <v>315</v>
      </c>
      <c r="C3929" t="n">
        <v>8</v>
      </c>
      <c r="D3929" s="218" t="n">
        <v>102.91</v>
      </c>
      <c r="E3929" s="218" t="n">
        <v>3.32</v>
      </c>
      <c r="F3929" t="str">
        <v>https://re.jrc.ec.europa.eu/api/v5_3/PVcalc?lat=30.0444&amp;lon=31.2357&amp;peakpower=1&amp;loss=14&amp;angle=60&amp;aspect=135&amp;outputformat=json&amp;raddatabase=PVGIS-SARAH3&amp;pvtechchoice=crystSi&amp;mountingplace=free&amp;usehorizon=1</v>
      </c>
    </row>
    <row r="3930">
      <c r="A3930" t="n">
        <v>60</v>
      </c>
      <c r="B3930" t="n">
        <v>315</v>
      </c>
      <c r="C3930" t="n">
        <v>9</v>
      </c>
      <c r="D3930" s="218" t="n">
        <v>73.46</v>
      </c>
      <c r="E3930" s="218" t="n">
        <v>2.45</v>
      </c>
      <c r="F3930" t="str">
        <v>https://re.jrc.ec.europa.eu/api/v5_3/PVcalc?lat=30.0444&amp;lon=31.2357&amp;peakpower=1&amp;loss=14&amp;angle=60&amp;aspect=135&amp;outputformat=json&amp;raddatabase=PVGIS-SARAH3&amp;pvtechchoice=crystSi&amp;mountingplace=free&amp;usehorizon=1</v>
      </c>
    </row>
    <row r="3931">
      <c r="A3931" t="n">
        <v>60</v>
      </c>
      <c r="B3931" t="n">
        <v>315</v>
      </c>
      <c r="C3931" t="n">
        <v>10</v>
      </c>
      <c r="D3931" s="218" t="n">
        <v>47.86</v>
      </c>
      <c r="E3931" s="218" t="n">
        <v>1.54</v>
      </c>
      <c r="F3931" t="str">
        <v>https://re.jrc.ec.europa.eu/api/v5_3/PVcalc?lat=30.0444&amp;lon=31.2357&amp;peakpower=1&amp;loss=14&amp;angle=60&amp;aspect=135&amp;outputformat=json&amp;raddatabase=PVGIS-SARAH3&amp;pvtechchoice=crystSi&amp;mountingplace=free&amp;usehorizon=1</v>
      </c>
    </row>
    <row r="3932">
      <c r="A3932" t="n">
        <v>60</v>
      </c>
      <c r="B3932" t="n">
        <v>315</v>
      </c>
      <c r="C3932" t="n">
        <v>11</v>
      </c>
      <c r="D3932" s="218" t="n">
        <v>28.66</v>
      </c>
      <c r="E3932" s="218" t="n">
        <v>0.96</v>
      </c>
      <c r="F3932" t="str">
        <v>https://re.jrc.ec.europa.eu/api/v5_3/PVcalc?lat=30.0444&amp;lon=31.2357&amp;peakpower=1&amp;loss=14&amp;angle=60&amp;aspect=135&amp;outputformat=json&amp;raddatabase=PVGIS-SARAH3&amp;pvtechchoice=crystSi&amp;mountingplace=free&amp;usehorizon=1</v>
      </c>
    </row>
    <row r="3933">
      <c r="A3933" t="n">
        <v>60</v>
      </c>
      <c r="B3933" t="n">
        <v>315</v>
      </c>
      <c r="C3933" t="n">
        <v>12</v>
      </c>
      <c r="D3933" s="218" t="n">
        <v>22.81</v>
      </c>
      <c r="E3933" s="218" t="n">
        <v>0.74</v>
      </c>
      <c r="F3933" t="str">
        <v>https://re.jrc.ec.europa.eu/api/v5_3/PVcalc?lat=30.0444&amp;lon=31.2357&amp;peakpower=1&amp;loss=14&amp;angle=60&amp;aspect=135&amp;outputformat=json&amp;raddatabase=PVGIS-SARAH3&amp;pvtechchoice=crystSi&amp;mountingplace=free&amp;usehorizon=1</v>
      </c>
    </row>
    <row r="3934">
      <c r="A3934" t="n">
        <v>60</v>
      </c>
      <c r="B3934" t="n">
        <v>330</v>
      </c>
      <c r="C3934" t="n">
        <v>1</v>
      </c>
      <c r="D3934" s="218" t="n">
        <v>19.35</v>
      </c>
      <c r="E3934" s="218" t="n">
        <v>0.62</v>
      </c>
      <c r="F3934" t="str">
        <v>https://re.jrc.ec.europa.eu/api/v5_3/PVcalc?lat=30.0444&amp;lon=31.2357&amp;peakpower=1&amp;loss=14&amp;angle=60&amp;aspect=150&amp;outputformat=json&amp;raddatabase=PVGIS-SARAH3&amp;pvtechchoice=crystSi&amp;mountingplace=free&amp;usehorizon=1</v>
      </c>
    </row>
    <row r="3935">
      <c r="A3935" t="n">
        <v>60</v>
      </c>
      <c r="B3935" t="n">
        <v>330</v>
      </c>
      <c r="C3935" t="n">
        <v>2</v>
      </c>
      <c r="D3935" s="218" t="n">
        <v>26.82</v>
      </c>
      <c r="E3935" s="218" t="n">
        <v>0.96</v>
      </c>
      <c r="F3935" t="str">
        <v>https://re.jrc.ec.europa.eu/api/v5_3/PVcalc?lat=30.0444&amp;lon=31.2357&amp;peakpower=1&amp;loss=14&amp;angle=60&amp;aspect=150&amp;outputformat=json&amp;raddatabase=PVGIS-SARAH3&amp;pvtechchoice=crystSi&amp;mountingplace=free&amp;usehorizon=1</v>
      </c>
    </row>
    <row r="3936">
      <c r="A3936" t="n">
        <v>60</v>
      </c>
      <c r="B3936" t="n">
        <v>330</v>
      </c>
      <c r="C3936" t="n">
        <v>3</v>
      </c>
      <c r="D3936" s="218" t="n">
        <v>50.46</v>
      </c>
      <c r="E3936" s="218" t="n">
        <v>1.63</v>
      </c>
      <c r="F3936" t="str">
        <v>https://re.jrc.ec.europa.eu/api/v5_3/PVcalc?lat=30.0444&amp;lon=31.2357&amp;peakpower=1&amp;loss=14&amp;angle=60&amp;aspect=150&amp;outputformat=json&amp;raddatabase=PVGIS-SARAH3&amp;pvtechchoice=crystSi&amp;mountingplace=free&amp;usehorizon=1</v>
      </c>
    </row>
    <row r="3937">
      <c r="A3937" t="n">
        <v>60</v>
      </c>
      <c r="B3937" t="n">
        <v>330</v>
      </c>
      <c r="C3937" t="n">
        <v>4</v>
      </c>
      <c r="D3937" s="218" t="n">
        <v>75.47</v>
      </c>
      <c r="E3937" s="218" t="n">
        <v>2.52</v>
      </c>
      <c r="F3937" t="str">
        <v>https://re.jrc.ec.europa.eu/api/v5_3/PVcalc?lat=30.0444&amp;lon=31.2357&amp;peakpower=1&amp;loss=14&amp;angle=60&amp;aspect=150&amp;outputformat=json&amp;raddatabase=PVGIS-SARAH3&amp;pvtechchoice=crystSi&amp;mountingplace=free&amp;usehorizon=1</v>
      </c>
    </row>
    <row r="3938">
      <c r="A3938" t="n">
        <v>60</v>
      </c>
      <c r="B3938" t="n">
        <v>330</v>
      </c>
      <c r="C3938" t="n">
        <v>5</v>
      </c>
      <c r="D3938" s="218" t="n">
        <v>102.84</v>
      </c>
      <c r="E3938" s="218" t="n">
        <v>3.32</v>
      </c>
      <c r="F3938" t="str">
        <v>https://re.jrc.ec.europa.eu/api/v5_3/PVcalc?lat=30.0444&amp;lon=31.2357&amp;peakpower=1&amp;loss=14&amp;angle=60&amp;aspect=150&amp;outputformat=json&amp;raddatabase=PVGIS-SARAH3&amp;pvtechchoice=crystSi&amp;mountingplace=free&amp;usehorizon=1</v>
      </c>
    </row>
    <row r="3939">
      <c r="A3939" t="n">
        <v>60</v>
      </c>
      <c r="B3939" t="n">
        <v>330</v>
      </c>
      <c r="C3939" t="n">
        <v>6</v>
      </c>
      <c r="D3939" s="218" t="n">
        <v>116.77</v>
      </c>
      <c r="E3939" s="218" t="n">
        <v>3.89</v>
      </c>
      <c r="F3939" t="str">
        <v>https://re.jrc.ec.europa.eu/api/v5_3/PVcalc?lat=30.0444&amp;lon=31.2357&amp;peakpower=1&amp;loss=14&amp;angle=60&amp;aspect=150&amp;outputformat=json&amp;raddatabase=PVGIS-SARAH3&amp;pvtechchoice=crystSi&amp;mountingplace=free&amp;usehorizon=1</v>
      </c>
    </row>
    <row r="3940">
      <c r="A3940" t="n">
        <v>60</v>
      </c>
      <c r="B3940" t="n">
        <v>330</v>
      </c>
      <c r="C3940" t="n">
        <v>7</v>
      </c>
      <c r="D3940" s="218" t="n">
        <v>114.42</v>
      </c>
      <c r="E3940" s="218" t="n">
        <v>3.69</v>
      </c>
      <c r="F3940" t="str">
        <v>https://re.jrc.ec.europa.eu/api/v5_3/PVcalc?lat=30.0444&amp;lon=31.2357&amp;peakpower=1&amp;loss=14&amp;angle=60&amp;aspect=150&amp;outputformat=json&amp;raddatabase=PVGIS-SARAH3&amp;pvtechchoice=crystSi&amp;mountingplace=free&amp;usehorizon=1</v>
      </c>
    </row>
    <row r="3941">
      <c r="A3941" t="n">
        <v>60</v>
      </c>
      <c r="B3941" t="n">
        <v>330</v>
      </c>
      <c r="C3941" t="n">
        <v>8</v>
      </c>
      <c r="D3941" s="218" t="n">
        <v>88.51</v>
      </c>
      <c r="E3941" s="218" t="n">
        <v>2.86</v>
      </c>
      <c r="F3941" t="str">
        <v>https://re.jrc.ec.europa.eu/api/v5_3/PVcalc?lat=30.0444&amp;lon=31.2357&amp;peakpower=1&amp;loss=14&amp;angle=60&amp;aspect=150&amp;outputformat=json&amp;raddatabase=PVGIS-SARAH3&amp;pvtechchoice=crystSi&amp;mountingplace=free&amp;usehorizon=1</v>
      </c>
    </row>
    <row r="3942">
      <c r="A3942" t="n">
        <v>60</v>
      </c>
      <c r="B3942" t="n">
        <v>330</v>
      </c>
      <c r="C3942" t="n">
        <v>9</v>
      </c>
      <c r="D3942" s="218" t="n">
        <v>56.59</v>
      </c>
      <c r="E3942" s="218" t="n">
        <v>1.89</v>
      </c>
      <c r="F3942" t="str">
        <v>https://re.jrc.ec.europa.eu/api/v5_3/PVcalc?lat=30.0444&amp;lon=31.2357&amp;peakpower=1&amp;loss=14&amp;angle=60&amp;aspect=150&amp;outputformat=json&amp;raddatabase=PVGIS-SARAH3&amp;pvtechchoice=crystSi&amp;mountingplace=free&amp;usehorizon=1</v>
      </c>
    </row>
    <row r="3943">
      <c r="A3943" t="n">
        <v>60</v>
      </c>
      <c r="B3943" t="n">
        <v>330</v>
      </c>
      <c r="C3943" t="n">
        <v>10</v>
      </c>
      <c r="D3943" s="218" t="n">
        <v>32.77</v>
      </c>
      <c r="E3943" s="218" t="n">
        <v>1.06</v>
      </c>
      <c r="F3943" t="str">
        <v>https://re.jrc.ec.europa.eu/api/v5_3/PVcalc?lat=30.0444&amp;lon=31.2357&amp;peakpower=1&amp;loss=14&amp;angle=60&amp;aspect=150&amp;outputformat=json&amp;raddatabase=PVGIS-SARAH3&amp;pvtechchoice=crystSi&amp;mountingplace=free&amp;usehorizon=1</v>
      </c>
    </row>
    <row r="3944">
      <c r="A3944" t="n">
        <v>60</v>
      </c>
      <c r="B3944" t="n">
        <v>330</v>
      </c>
      <c r="C3944" t="n">
        <v>11</v>
      </c>
      <c r="D3944" s="218" t="n">
        <v>19.58</v>
      </c>
      <c r="E3944" s="218" t="n">
        <v>0.65</v>
      </c>
      <c r="F3944" t="str">
        <v>https://re.jrc.ec.europa.eu/api/v5_3/PVcalc?lat=30.0444&amp;lon=31.2357&amp;peakpower=1&amp;loss=14&amp;angle=60&amp;aspect=150&amp;outputformat=json&amp;raddatabase=PVGIS-SARAH3&amp;pvtechchoice=crystSi&amp;mountingplace=free&amp;usehorizon=1</v>
      </c>
    </row>
    <row r="3945">
      <c r="A3945" t="n">
        <v>60</v>
      </c>
      <c r="B3945" t="n">
        <v>330</v>
      </c>
      <c r="C3945" t="n">
        <v>12</v>
      </c>
      <c r="D3945" s="218" t="n">
        <v>17.53</v>
      </c>
      <c r="E3945" s="218" t="n">
        <v>0.57</v>
      </c>
      <c r="F3945" t="str">
        <v>https://re.jrc.ec.europa.eu/api/v5_3/PVcalc?lat=30.0444&amp;lon=31.2357&amp;peakpower=1&amp;loss=14&amp;angle=60&amp;aspect=150&amp;outputformat=json&amp;raddatabase=PVGIS-SARAH3&amp;pvtechchoice=crystSi&amp;mountingplace=free&amp;usehorizon=1</v>
      </c>
    </row>
    <row r="3946">
      <c r="A3946" t="n">
        <v>60</v>
      </c>
      <c r="B3946" t="n">
        <v>345</v>
      </c>
      <c r="C3946" t="n">
        <v>1</v>
      </c>
      <c r="D3946" s="218" t="n">
        <v>18.73</v>
      </c>
      <c r="E3946" s="218" t="n">
        <v>0.6</v>
      </c>
      <c r="F3946" t="str">
        <v>https://re.jrc.ec.europa.eu/api/v5_3/PVcalc?lat=30.0444&amp;lon=31.2357&amp;peakpower=1&amp;loss=14&amp;angle=60&amp;aspect=165&amp;outputformat=json&amp;raddatabase=PVGIS-SARAH3&amp;pvtechchoice=crystSi&amp;mountingplace=free&amp;usehorizon=1</v>
      </c>
    </row>
    <row r="3947">
      <c r="A3947" t="n">
        <v>60</v>
      </c>
      <c r="B3947" t="n">
        <v>345</v>
      </c>
      <c r="C3947" t="n">
        <v>2</v>
      </c>
      <c r="D3947" s="218" t="n">
        <v>21.96</v>
      </c>
      <c r="E3947" s="218" t="n">
        <v>0.78</v>
      </c>
      <c r="F3947" t="str">
        <v>https://re.jrc.ec.europa.eu/api/v5_3/PVcalc?lat=30.0444&amp;lon=31.2357&amp;peakpower=1&amp;loss=14&amp;angle=60&amp;aspect=165&amp;outputformat=json&amp;raddatabase=PVGIS-SARAH3&amp;pvtechchoice=crystSi&amp;mountingplace=free&amp;usehorizon=1</v>
      </c>
    </row>
    <row r="3948">
      <c r="A3948" t="n">
        <v>60</v>
      </c>
      <c r="B3948" t="n">
        <v>345</v>
      </c>
      <c r="C3948" t="n">
        <v>3</v>
      </c>
      <c r="D3948" s="218" t="n">
        <v>35.87</v>
      </c>
      <c r="E3948" s="218" t="n">
        <v>1.16</v>
      </c>
      <c r="F3948" t="str">
        <v>https://re.jrc.ec.europa.eu/api/v5_3/PVcalc?lat=30.0444&amp;lon=31.2357&amp;peakpower=1&amp;loss=14&amp;angle=60&amp;aspect=165&amp;outputformat=json&amp;raddatabase=PVGIS-SARAH3&amp;pvtechchoice=crystSi&amp;mountingplace=free&amp;usehorizon=1</v>
      </c>
    </row>
    <row r="3949">
      <c r="A3949" t="n">
        <v>60</v>
      </c>
      <c r="B3949" t="n">
        <v>345</v>
      </c>
      <c r="C3949" t="n">
        <v>4</v>
      </c>
      <c r="D3949" s="218" t="n">
        <v>61.95</v>
      </c>
      <c r="E3949" s="218" t="n">
        <v>2.07</v>
      </c>
      <c r="F3949" t="str">
        <v>https://re.jrc.ec.europa.eu/api/v5_3/PVcalc?lat=30.0444&amp;lon=31.2357&amp;peakpower=1&amp;loss=14&amp;angle=60&amp;aspect=165&amp;outputformat=json&amp;raddatabase=PVGIS-SARAH3&amp;pvtechchoice=crystSi&amp;mountingplace=free&amp;usehorizon=1</v>
      </c>
    </row>
    <row r="3950">
      <c r="A3950" t="n">
        <v>60</v>
      </c>
      <c r="B3950" t="n">
        <v>345</v>
      </c>
      <c r="C3950" t="n">
        <v>5</v>
      </c>
      <c r="D3950" s="218" t="n">
        <v>97.06</v>
      </c>
      <c r="E3950" s="218" t="n">
        <v>3.13</v>
      </c>
      <c r="F3950" t="str">
        <v>https://re.jrc.ec.europa.eu/api/v5_3/PVcalc?lat=30.0444&amp;lon=31.2357&amp;peakpower=1&amp;loss=14&amp;angle=60&amp;aspect=165&amp;outputformat=json&amp;raddatabase=PVGIS-SARAH3&amp;pvtechchoice=crystSi&amp;mountingplace=free&amp;usehorizon=1</v>
      </c>
    </row>
    <row r="3951">
      <c r="A3951" t="n">
        <v>60</v>
      </c>
      <c r="B3951" t="n">
        <v>345</v>
      </c>
      <c r="C3951" t="n">
        <v>6</v>
      </c>
      <c r="D3951" s="218" t="n">
        <v>114.32</v>
      </c>
      <c r="E3951" s="218" t="n">
        <v>3.81</v>
      </c>
      <c r="F3951" t="str">
        <v>https://re.jrc.ec.europa.eu/api/v5_3/PVcalc?lat=30.0444&amp;lon=31.2357&amp;peakpower=1&amp;loss=14&amp;angle=60&amp;aspect=165&amp;outputformat=json&amp;raddatabase=PVGIS-SARAH3&amp;pvtechchoice=crystSi&amp;mountingplace=free&amp;usehorizon=1</v>
      </c>
    </row>
    <row r="3952">
      <c r="A3952" t="n">
        <v>60</v>
      </c>
      <c r="B3952" t="n">
        <v>345</v>
      </c>
      <c r="C3952" t="n">
        <v>7</v>
      </c>
      <c r="D3952" s="218" t="n">
        <v>109.21</v>
      </c>
      <c r="E3952" s="218" t="n">
        <v>3.52</v>
      </c>
      <c r="F3952" t="str">
        <v>https://re.jrc.ec.europa.eu/api/v5_3/PVcalc?lat=30.0444&amp;lon=31.2357&amp;peakpower=1&amp;loss=14&amp;angle=60&amp;aspect=165&amp;outputformat=json&amp;raddatabase=PVGIS-SARAH3&amp;pvtechchoice=crystSi&amp;mountingplace=free&amp;usehorizon=1</v>
      </c>
    </row>
    <row r="3953">
      <c r="A3953" t="n">
        <v>60</v>
      </c>
      <c r="B3953" t="n">
        <v>345</v>
      </c>
      <c r="C3953" t="n">
        <v>8</v>
      </c>
      <c r="D3953" s="218" t="n">
        <v>75.28</v>
      </c>
      <c r="E3953" s="218" t="n">
        <v>2.43</v>
      </c>
      <c r="F3953" t="str">
        <v>https://re.jrc.ec.europa.eu/api/v5_3/PVcalc?lat=30.0444&amp;lon=31.2357&amp;peakpower=1&amp;loss=14&amp;angle=60&amp;aspect=165&amp;outputformat=json&amp;raddatabase=PVGIS-SARAH3&amp;pvtechchoice=crystSi&amp;mountingplace=free&amp;usehorizon=1</v>
      </c>
    </row>
    <row r="3954">
      <c r="A3954" t="n">
        <v>60</v>
      </c>
      <c r="B3954" t="n">
        <v>345</v>
      </c>
      <c r="C3954" t="n">
        <v>9</v>
      </c>
      <c r="D3954" s="218" t="n">
        <v>39.68</v>
      </c>
      <c r="E3954" s="218" t="n">
        <v>1.32</v>
      </c>
      <c r="F3954" t="str">
        <v>https://re.jrc.ec.europa.eu/api/v5_3/PVcalc?lat=30.0444&amp;lon=31.2357&amp;peakpower=1&amp;loss=14&amp;angle=60&amp;aspect=165&amp;outputformat=json&amp;raddatabase=PVGIS-SARAH3&amp;pvtechchoice=crystSi&amp;mountingplace=free&amp;usehorizon=1</v>
      </c>
    </row>
    <row r="3955">
      <c r="A3955" t="n">
        <v>60</v>
      </c>
      <c r="B3955" t="n">
        <v>345</v>
      </c>
      <c r="C3955" t="n">
        <v>10</v>
      </c>
      <c r="D3955" s="218" t="n">
        <v>23.1</v>
      </c>
      <c r="E3955" s="218" t="n">
        <v>0.75</v>
      </c>
      <c r="F3955" t="str">
        <v>https://re.jrc.ec.europa.eu/api/v5_3/PVcalc?lat=30.0444&amp;lon=31.2357&amp;peakpower=1&amp;loss=14&amp;angle=60&amp;aspect=165&amp;outputformat=json&amp;raddatabase=PVGIS-SARAH3&amp;pvtechchoice=crystSi&amp;mountingplace=free&amp;usehorizon=1</v>
      </c>
    </row>
    <row r="3956">
      <c r="A3956" t="n">
        <v>60</v>
      </c>
      <c r="B3956" t="n">
        <v>345</v>
      </c>
      <c r="C3956" t="n">
        <v>11</v>
      </c>
      <c r="D3956" s="218" t="n">
        <v>17.99</v>
      </c>
      <c r="E3956" s="218" t="n">
        <v>0.6</v>
      </c>
      <c r="F3956" t="str">
        <v>https://re.jrc.ec.europa.eu/api/v5_3/PVcalc?lat=30.0444&amp;lon=31.2357&amp;peakpower=1&amp;loss=14&amp;angle=60&amp;aspect=165&amp;outputformat=json&amp;raddatabase=PVGIS-SARAH3&amp;pvtechchoice=crystSi&amp;mountingplace=free&amp;usehorizon=1</v>
      </c>
    </row>
    <row r="3957">
      <c r="A3957" t="n">
        <v>60</v>
      </c>
      <c r="B3957" t="n">
        <v>345</v>
      </c>
      <c r="C3957" t="n">
        <v>12</v>
      </c>
      <c r="D3957" s="218" t="n">
        <v>17.36</v>
      </c>
      <c r="E3957" s="218" t="n">
        <v>0.56</v>
      </c>
      <c r="F3957" t="str">
        <v>https://re.jrc.ec.europa.eu/api/v5_3/PVcalc?lat=30.0444&amp;lon=31.2357&amp;peakpower=1&amp;loss=14&amp;angle=60&amp;aspect=165&amp;outputformat=json&amp;raddatabase=PVGIS-SARAH3&amp;pvtechchoice=crystSi&amp;mountingplace=free&amp;usehorizon=1</v>
      </c>
    </row>
    <row r="3958">
      <c r="A3958" t="n">
        <v>60</v>
      </c>
      <c r="B3958" t="n">
        <v>360</v>
      </c>
      <c r="C3958" t="n">
        <v>1</v>
      </c>
      <c r="D3958" s="218" t="n">
        <v>18.73</v>
      </c>
      <c r="E3958" s="218" t="n">
        <v>0.6</v>
      </c>
      <c r="F3958" t="str">
        <v>https://re.jrc.ec.europa.eu/api/v5_3/PVcalc?lat=30.0444&amp;lon=31.2357&amp;peakpower=1&amp;loss=14&amp;angle=60&amp;aspect=180&amp;outputformat=json&amp;raddatabase=PVGIS-SARAH3&amp;pvtechchoice=crystSi&amp;mountingplace=free&amp;usehorizon=1</v>
      </c>
    </row>
    <row r="3959">
      <c r="A3959" t="n">
        <v>60</v>
      </c>
      <c r="B3959" t="n">
        <v>360</v>
      </c>
      <c r="C3959" t="n">
        <v>2</v>
      </c>
      <c r="D3959" s="218" t="n">
        <v>21.75</v>
      </c>
      <c r="E3959" s="218" t="n">
        <v>0.78</v>
      </c>
      <c r="F3959" t="str">
        <v>https://re.jrc.ec.europa.eu/api/v5_3/PVcalc?lat=30.0444&amp;lon=31.2357&amp;peakpower=1&amp;loss=14&amp;angle=60&amp;aspect=180&amp;outputformat=json&amp;raddatabase=PVGIS-SARAH3&amp;pvtechchoice=crystSi&amp;mountingplace=free&amp;usehorizon=1</v>
      </c>
    </row>
    <row r="3960">
      <c r="A3960" t="n">
        <v>60</v>
      </c>
      <c r="B3960" t="n">
        <v>360</v>
      </c>
      <c r="C3960" t="n">
        <v>3</v>
      </c>
      <c r="D3960" s="218" t="n">
        <v>28.99</v>
      </c>
      <c r="E3960" s="218" t="n">
        <v>0.94</v>
      </c>
      <c r="F3960" t="str">
        <v>https://re.jrc.ec.europa.eu/api/v5_3/PVcalc?lat=30.0444&amp;lon=31.2357&amp;peakpower=1&amp;loss=14&amp;angle=60&amp;aspect=180&amp;outputformat=json&amp;raddatabase=PVGIS-SARAH3&amp;pvtechchoice=crystSi&amp;mountingplace=free&amp;usehorizon=1</v>
      </c>
    </row>
    <row r="3961">
      <c r="A3961" t="n">
        <v>60</v>
      </c>
      <c r="B3961" t="n">
        <v>360</v>
      </c>
      <c r="C3961" t="n">
        <v>4</v>
      </c>
      <c r="D3961" s="218" t="n">
        <v>55.44</v>
      </c>
      <c r="E3961" s="218" t="n">
        <v>1.85</v>
      </c>
      <c r="F3961" t="str">
        <v>https://re.jrc.ec.europa.eu/api/v5_3/PVcalc?lat=30.0444&amp;lon=31.2357&amp;peakpower=1&amp;loss=14&amp;angle=60&amp;aspect=180&amp;outputformat=json&amp;raddatabase=PVGIS-SARAH3&amp;pvtechchoice=crystSi&amp;mountingplace=free&amp;usehorizon=1</v>
      </c>
    </row>
    <row r="3962">
      <c r="A3962" t="n">
        <v>60</v>
      </c>
      <c r="B3962" t="n">
        <v>360</v>
      </c>
      <c r="C3962" t="n">
        <v>5</v>
      </c>
      <c r="D3962" s="218" t="n">
        <v>95.38</v>
      </c>
      <c r="E3962" s="218" t="n">
        <v>3.08</v>
      </c>
      <c r="F3962" t="str">
        <v>https://re.jrc.ec.europa.eu/api/v5_3/PVcalc?lat=30.0444&amp;lon=31.2357&amp;peakpower=1&amp;loss=14&amp;angle=60&amp;aspect=180&amp;outputformat=json&amp;raddatabase=PVGIS-SARAH3&amp;pvtechchoice=crystSi&amp;mountingplace=free&amp;usehorizon=1</v>
      </c>
    </row>
    <row r="3963">
      <c r="A3963" t="n">
        <v>60</v>
      </c>
      <c r="B3963" t="n">
        <v>360</v>
      </c>
      <c r="C3963" t="n">
        <v>6</v>
      </c>
      <c r="D3963" s="218" t="n">
        <v>112.45</v>
      </c>
      <c r="E3963" s="218" t="n">
        <v>3.75</v>
      </c>
      <c r="F3963" t="str">
        <v>https://re.jrc.ec.europa.eu/api/v5_3/PVcalc?lat=30.0444&amp;lon=31.2357&amp;peakpower=1&amp;loss=14&amp;angle=60&amp;aspect=180&amp;outputformat=json&amp;raddatabase=PVGIS-SARAH3&amp;pvtechchoice=crystSi&amp;mountingplace=free&amp;usehorizon=1</v>
      </c>
    </row>
    <row r="3964">
      <c r="A3964" t="n">
        <v>60</v>
      </c>
      <c r="B3964" t="n">
        <v>360</v>
      </c>
      <c r="C3964" t="n">
        <v>7</v>
      </c>
      <c r="D3964" s="218" t="n">
        <v>105.76</v>
      </c>
      <c r="E3964" s="218" t="n">
        <v>3.41</v>
      </c>
      <c r="F3964" t="str">
        <v>https://re.jrc.ec.europa.eu/api/v5_3/PVcalc?lat=30.0444&amp;lon=31.2357&amp;peakpower=1&amp;loss=14&amp;angle=60&amp;aspect=180&amp;outputformat=json&amp;raddatabase=PVGIS-SARAH3&amp;pvtechchoice=crystSi&amp;mountingplace=free&amp;usehorizon=1</v>
      </c>
    </row>
    <row r="3965">
      <c r="A3965" t="n">
        <v>60</v>
      </c>
      <c r="B3965" t="n">
        <v>360</v>
      </c>
      <c r="C3965" t="n">
        <v>8</v>
      </c>
      <c r="D3965" s="218" t="n">
        <v>69.16</v>
      </c>
      <c r="E3965" s="218" t="n">
        <v>2.23</v>
      </c>
      <c r="F3965" t="str">
        <v>https://re.jrc.ec.europa.eu/api/v5_3/PVcalc?lat=30.0444&amp;lon=31.2357&amp;peakpower=1&amp;loss=14&amp;angle=60&amp;aspect=180&amp;outputformat=json&amp;raddatabase=PVGIS-SARAH3&amp;pvtechchoice=crystSi&amp;mountingplace=free&amp;usehorizon=1</v>
      </c>
    </row>
    <row r="3966">
      <c r="A3966" t="n">
        <v>60</v>
      </c>
      <c r="B3966" t="n">
        <v>360</v>
      </c>
      <c r="C3966" t="n">
        <v>9</v>
      </c>
      <c r="D3966" s="218" t="n">
        <v>29.32</v>
      </c>
      <c r="E3966" s="218" t="n">
        <v>0.98</v>
      </c>
      <c r="F3966" t="str">
        <v>https://re.jrc.ec.europa.eu/api/v5_3/PVcalc?lat=30.0444&amp;lon=31.2357&amp;peakpower=1&amp;loss=14&amp;angle=60&amp;aspect=180&amp;outputformat=json&amp;raddatabase=PVGIS-SARAH3&amp;pvtechchoice=crystSi&amp;mountingplace=free&amp;usehorizon=1</v>
      </c>
    </row>
    <row r="3967">
      <c r="A3967" t="n">
        <v>60</v>
      </c>
      <c r="B3967" t="n">
        <v>360</v>
      </c>
      <c r="C3967" t="n">
        <v>10</v>
      </c>
      <c r="D3967" s="218" t="n">
        <v>21.74</v>
      </c>
      <c r="E3967" s="218" t="n">
        <v>0.7</v>
      </c>
      <c r="F3967" t="str">
        <v>https://re.jrc.ec.europa.eu/api/v5_3/PVcalc?lat=30.0444&amp;lon=31.2357&amp;peakpower=1&amp;loss=14&amp;angle=60&amp;aspect=180&amp;outputformat=json&amp;raddatabase=PVGIS-SARAH3&amp;pvtechchoice=crystSi&amp;mountingplace=free&amp;usehorizon=1</v>
      </c>
    </row>
    <row r="3968">
      <c r="A3968" t="n">
        <v>60</v>
      </c>
      <c r="B3968" t="n">
        <v>360</v>
      </c>
      <c r="C3968" t="n">
        <v>11</v>
      </c>
      <c r="D3968" s="218" t="n">
        <v>17.99</v>
      </c>
      <c r="E3968" s="218" t="n">
        <v>0.6</v>
      </c>
      <c r="F3968" t="str">
        <v>https://re.jrc.ec.europa.eu/api/v5_3/PVcalc?lat=30.0444&amp;lon=31.2357&amp;peakpower=1&amp;loss=14&amp;angle=60&amp;aspect=180&amp;outputformat=json&amp;raddatabase=PVGIS-SARAH3&amp;pvtechchoice=crystSi&amp;mountingplace=free&amp;usehorizon=1</v>
      </c>
    </row>
    <row r="3969">
      <c r="A3969" t="n">
        <v>60</v>
      </c>
      <c r="B3969" t="n">
        <v>360</v>
      </c>
      <c r="C3969" t="n">
        <v>12</v>
      </c>
      <c r="D3969" s="218" t="n">
        <v>17.36</v>
      </c>
      <c r="E3969" s="218" t="n">
        <v>0.56</v>
      </c>
      <c r="F3969" t="str">
        <v>https://re.jrc.ec.europa.eu/api/v5_3/PVcalc?lat=30.0444&amp;lon=31.2357&amp;peakpower=1&amp;loss=14&amp;angle=60&amp;aspect=180&amp;outputformat=json&amp;raddatabase=PVGIS-SARAH3&amp;pvtechchoice=crystSi&amp;mountingplace=free&amp;usehorizon=1</v>
      </c>
    </row>
    <row r="3970">
      <c r="A3970" t="n">
        <v>65</v>
      </c>
      <c r="B3970" t="n">
        <v>0</v>
      </c>
      <c r="C3970" t="n">
        <v>1</v>
      </c>
      <c r="D3970" s="218" t="n">
        <v>17.42</v>
      </c>
      <c r="E3970" s="218" t="n">
        <v>0.56</v>
      </c>
      <c r="F3970" t="str">
        <v>https://re.jrc.ec.europa.eu/api/v5_3/PVcalc?lat=30.0444&amp;lon=31.2357&amp;peakpower=1&amp;loss=14&amp;angle=65&amp;aspect=-180&amp;outputformat=json&amp;raddatabase=PVGIS-SARAH3&amp;pvtechchoice=crystSi&amp;mountingplace=free&amp;usehorizon=1</v>
      </c>
    </row>
    <row r="3971">
      <c r="A3971" t="n">
        <v>65</v>
      </c>
      <c r="B3971" t="n">
        <v>0</v>
      </c>
      <c r="C3971" t="n">
        <v>2</v>
      </c>
      <c r="D3971" s="218" t="n">
        <v>20.26</v>
      </c>
      <c r="E3971" s="218" t="n">
        <v>0.72</v>
      </c>
      <c r="F3971" t="str">
        <v>https://re.jrc.ec.europa.eu/api/v5_3/PVcalc?lat=30.0444&amp;lon=31.2357&amp;peakpower=1&amp;loss=14&amp;angle=65&amp;aspect=-180&amp;outputformat=json&amp;raddatabase=PVGIS-SARAH3&amp;pvtechchoice=crystSi&amp;mountingplace=free&amp;usehorizon=1</v>
      </c>
    </row>
    <row r="3972">
      <c r="A3972" t="n">
        <v>65</v>
      </c>
      <c r="B3972" t="n">
        <v>0</v>
      </c>
      <c r="C3972" t="n">
        <v>3</v>
      </c>
      <c r="D3972" s="218" t="n">
        <v>26.16</v>
      </c>
      <c r="E3972" s="218" t="n">
        <v>0.84</v>
      </c>
      <c r="F3972" t="str">
        <v>https://re.jrc.ec.europa.eu/api/v5_3/PVcalc?lat=30.0444&amp;lon=31.2357&amp;peakpower=1&amp;loss=14&amp;angle=65&amp;aspect=-180&amp;outputformat=json&amp;raddatabase=PVGIS-SARAH3&amp;pvtechchoice=crystSi&amp;mountingplace=free&amp;usehorizon=1</v>
      </c>
    </row>
    <row r="3973">
      <c r="A3973" t="n">
        <v>65</v>
      </c>
      <c r="B3973" t="n">
        <v>0</v>
      </c>
      <c r="C3973" t="n">
        <v>4</v>
      </c>
      <c r="D3973" s="218" t="n">
        <v>44.39</v>
      </c>
      <c r="E3973" s="218" t="n">
        <v>1.48</v>
      </c>
      <c r="F3973" t="str">
        <v>https://re.jrc.ec.europa.eu/api/v5_3/PVcalc?lat=30.0444&amp;lon=31.2357&amp;peakpower=1&amp;loss=14&amp;angle=65&amp;aspect=-180&amp;outputformat=json&amp;raddatabase=PVGIS-SARAH3&amp;pvtechchoice=crystSi&amp;mountingplace=free&amp;usehorizon=1</v>
      </c>
    </row>
    <row r="3974">
      <c r="A3974" t="n">
        <v>65</v>
      </c>
      <c r="B3974" t="n">
        <v>0</v>
      </c>
      <c r="C3974" t="n">
        <v>5</v>
      </c>
      <c r="D3974" s="218" t="n">
        <v>81.84</v>
      </c>
      <c r="E3974" s="218" t="n">
        <v>2.64</v>
      </c>
      <c r="F3974" t="str">
        <v>https://re.jrc.ec.europa.eu/api/v5_3/PVcalc?lat=30.0444&amp;lon=31.2357&amp;peakpower=1&amp;loss=14&amp;angle=65&amp;aspect=-180&amp;outputformat=json&amp;raddatabase=PVGIS-SARAH3&amp;pvtechchoice=crystSi&amp;mountingplace=free&amp;usehorizon=1</v>
      </c>
    </row>
    <row r="3975">
      <c r="A3975" t="n">
        <v>65</v>
      </c>
      <c r="B3975" t="n">
        <v>0</v>
      </c>
      <c r="C3975" t="n">
        <v>6</v>
      </c>
      <c r="D3975" s="218" t="n">
        <v>99.06</v>
      </c>
      <c r="E3975" s="218" t="n">
        <v>3.3</v>
      </c>
      <c r="F3975" t="str">
        <v>https://re.jrc.ec.europa.eu/api/v5_3/PVcalc?lat=30.0444&amp;lon=31.2357&amp;peakpower=1&amp;loss=14&amp;angle=65&amp;aspect=-180&amp;outputformat=json&amp;raddatabase=PVGIS-SARAH3&amp;pvtechchoice=crystSi&amp;mountingplace=free&amp;usehorizon=1</v>
      </c>
    </row>
    <row r="3976">
      <c r="A3976" t="n">
        <v>65</v>
      </c>
      <c r="B3976" t="n">
        <v>0</v>
      </c>
      <c r="C3976" t="n">
        <v>7</v>
      </c>
      <c r="D3976" s="218" t="n">
        <v>91.59</v>
      </c>
      <c r="E3976" s="218" t="n">
        <v>2.95</v>
      </c>
      <c r="F3976" t="str">
        <v>https://re.jrc.ec.europa.eu/api/v5_3/PVcalc?lat=30.0444&amp;lon=31.2357&amp;peakpower=1&amp;loss=14&amp;angle=65&amp;aspect=-180&amp;outputformat=json&amp;raddatabase=PVGIS-SARAH3&amp;pvtechchoice=crystSi&amp;mountingplace=free&amp;usehorizon=1</v>
      </c>
    </row>
    <row r="3977">
      <c r="A3977" t="n">
        <v>65</v>
      </c>
      <c r="B3977" t="n">
        <v>0</v>
      </c>
      <c r="C3977" t="n">
        <v>8</v>
      </c>
      <c r="D3977" s="218" t="n">
        <v>55.32</v>
      </c>
      <c r="E3977" s="218" t="n">
        <v>1.78</v>
      </c>
      <c r="F3977" t="str">
        <v>https://re.jrc.ec.europa.eu/api/v5_3/PVcalc?lat=30.0444&amp;lon=31.2357&amp;peakpower=1&amp;loss=14&amp;angle=65&amp;aspect=-180&amp;outputformat=json&amp;raddatabase=PVGIS-SARAH3&amp;pvtechchoice=crystSi&amp;mountingplace=free&amp;usehorizon=1</v>
      </c>
    </row>
    <row r="3978">
      <c r="A3978" t="n">
        <v>65</v>
      </c>
      <c r="B3978" t="n">
        <v>0</v>
      </c>
      <c r="C3978" t="n">
        <v>9</v>
      </c>
      <c r="D3978" s="218" t="n">
        <v>24.21</v>
      </c>
      <c r="E3978" s="218" t="n">
        <v>0.81</v>
      </c>
      <c r="F3978" t="str">
        <v>https://re.jrc.ec.europa.eu/api/v5_3/PVcalc?lat=30.0444&amp;lon=31.2357&amp;peakpower=1&amp;loss=14&amp;angle=65&amp;aspect=-180&amp;outputformat=json&amp;raddatabase=PVGIS-SARAH3&amp;pvtechchoice=crystSi&amp;mountingplace=free&amp;usehorizon=1</v>
      </c>
    </row>
    <row r="3979">
      <c r="A3979" t="n">
        <v>65</v>
      </c>
      <c r="B3979" t="n">
        <v>0</v>
      </c>
      <c r="C3979" t="n">
        <v>10</v>
      </c>
      <c r="D3979" s="218" t="n">
        <v>20.23</v>
      </c>
      <c r="E3979" s="218" t="n">
        <v>0.65</v>
      </c>
      <c r="F3979" t="str">
        <v>https://re.jrc.ec.europa.eu/api/v5_3/PVcalc?lat=30.0444&amp;lon=31.2357&amp;peakpower=1&amp;loss=14&amp;angle=65&amp;aspect=-180&amp;outputformat=json&amp;raddatabase=PVGIS-SARAH3&amp;pvtechchoice=crystSi&amp;mountingplace=free&amp;usehorizon=1</v>
      </c>
    </row>
    <row r="3980">
      <c r="A3980" t="n">
        <v>65</v>
      </c>
      <c r="B3980" t="n">
        <v>0</v>
      </c>
      <c r="C3980" t="n">
        <v>11</v>
      </c>
      <c r="D3980" s="218" t="n">
        <v>16.72</v>
      </c>
      <c r="E3980" s="218" t="n">
        <v>0.56</v>
      </c>
      <c r="F3980" t="str">
        <v>https://re.jrc.ec.europa.eu/api/v5_3/PVcalc?lat=30.0444&amp;lon=31.2357&amp;peakpower=1&amp;loss=14&amp;angle=65&amp;aspect=-180&amp;outputformat=json&amp;raddatabase=PVGIS-SARAH3&amp;pvtechchoice=crystSi&amp;mountingplace=free&amp;usehorizon=1</v>
      </c>
    </row>
    <row r="3981">
      <c r="A3981" t="n">
        <v>65</v>
      </c>
      <c r="B3981" t="n">
        <v>0</v>
      </c>
      <c r="C3981" t="n">
        <v>12</v>
      </c>
      <c r="D3981" s="218" t="n">
        <v>16.13</v>
      </c>
      <c r="E3981" s="218" t="n">
        <v>0.52</v>
      </c>
      <c r="F3981" t="str">
        <v>https://re.jrc.ec.europa.eu/api/v5_3/PVcalc?lat=30.0444&amp;lon=31.2357&amp;peakpower=1&amp;loss=14&amp;angle=65&amp;aspect=-180&amp;outputformat=json&amp;raddatabase=PVGIS-SARAH3&amp;pvtechchoice=crystSi&amp;mountingplace=free&amp;usehorizon=1</v>
      </c>
    </row>
    <row r="3982">
      <c r="A3982" t="n">
        <v>65</v>
      </c>
      <c r="B3982" t="n">
        <v>15</v>
      </c>
      <c r="C3982" t="n">
        <v>1</v>
      </c>
      <c r="D3982" s="218" t="n">
        <v>17.42</v>
      </c>
      <c r="E3982" s="218" t="n">
        <v>0.56</v>
      </c>
      <c r="F3982" t="str">
        <v>https://re.jrc.ec.europa.eu/api/v5_3/PVcalc?lat=30.0444&amp;lon=31.2357&amp;peakpower=1&amp;loss=14&amp;angle=65&amp;aspect=-165&amp;outputformat=json&amp;raddatabase=PVGIS-SARAH3&amp;pvtechchoice=crystSi&amp;mountingplace=free&amp;usehorizon=1</v>
      </c>
    </row>
    <row r="3983">
      <c r="A3983" t="n">
        <v>65</v>
      </c>
      <c r="B3983" t="n">
        <v>15</v>
      </c>
      <c r="C3983" t="n">
        <v>2</v>
      </c>
      <c r="D3983" s="218" t="n">
        <v>20.38</v>
      </c>
      <c r="E3983" s="218" t="n">
        <v>0.73</v>
      </c>
      <c r="F3983" t="str">
        <v>https://re.jrc.ec.europa.eu/api/v5_3/PVcalc?lat=30.0444&amp;lon=31.2357&amp;peakpower=1&amp;loss=14&amp;angle=65&amp;aspect=-165&amp;outputformat=json&amp;raddatabase=PVGIS-SARAH3&amp;pvtechchoice=crystSi&amp;mountingplace=free&amp;usehorizon=1</v>
      </c>
    </row>
    <row r="3984">
      <c r="A3984" t="n">
        <v>65</v>
      </c>
      <c r="B3984" t="n">
        <v>15</v>
      </c>
      <c r="C3984" t="n">
        <v>3</v>
      </c>
      <c r="D3984" s="218" t="n">
        <v>30.91</v>
      </c>
      <c r="E3984" s="218" t="n">
        <v>1</v>
      </c>
      <c r="F3984" t="str">
        <v>https://re.jrc.ec.europa.eu/api/v5_3/PVcalc?lat=30.0444&amp;lon=31.2357&amp;peakpower=1&amp;loss=14&amp;angle=65&amp;aspect=-165&amp;outputformat=json&amp;raddatabase=PVGIS-SARAH3&amp;pvtechchoice=crystSi&amp;mountingplace=free&amp;usehorizon=1</v>
      </c>
    </row>
    <row r="3985">
      <c r="A3985" t="n">
        <v>65</v>
      </c>
      <c r="B3985" t="n">
        <v>15</v>
      </c>
      <c r="C3985" t="n">
        <v>4</v>
      </c>
      <c r="D3985" s="218" t="n">
        <v>50.62</v>
      </c>
      <c r="E3985" s="218" t="n">
        <v>1.69</v>
      </c>
      <c r="F3985" t="str">
        <v>https://re.jrc.ec.europa.eu/api/v5_3/PVcalc?lat=30.0444&amp;lon=31.2357&amp;peakpower=1&amp;loss=14&amp;angle=65&amp;aspect=-165&amp;outputformat=json&amp;raddatabase=PVGIS-SARAH3&amp;pvtechchoice=crystSi&amp;mountingplace=free&amp;usehorizon=1</v>
      </c>
    </row>
    <row r="3986">
      <c r="A3986" t="n">
        <v>65</v>
      </c>
      <c r="B3986" t="n">
        <v>15</v>
      </c>
      <c r="C3986" t="n">
        <v>5</v>
      </c>
      <c r="D3986" s="218" t="n">
        <v>81.65</v>
      </c>
      <c r="E3986" s="218" t="n">
        <v>2.63</v>
      </c>
      <c r="F3986" t="str">
        <v>https://re.jrc.ec.europa.eu/api/v5_3/PVcalc?lat=30.0444&amp;lon=31.2357&amp;peakpower=1&amp;loss=14&amp;angle=65&amp;aspect=-165&amp;outputformat=json&amp;raddatabase=PVGIS-SARAH3&amp;pvtechchoice=crystSi&amp;mountingplace=free&amp;usehorizon=1</v>
      </c>
    </row>
    <row r="3987">
      <c r="A3987" t="n">
        <v>65</v>
      </c>
      <c r="B3987" t="n">
        <v>15</v>
      </c>
      <c r="C3987" t="n">
        <v>6</v>
      </c>
      <c r="D3987" s="218" t="n">
        <v>95.55</v>
      </c>
      <c r="E3987" s="218" t="n">
        <v>3.19</v>
      </c>
      <c r="F3987" t="str">
        <v>https://re.jrc.ec.europa.eu/api/v5_3/PVcalc?lat=30.0444&amp;lon=31.2357&amp;peakpower=1&amp;loss=14&amp;angle=65&amp;aspect=-165&amp;outputformat=json&amp;raddatabase=PVGIS-SARAH3&amp;pvtechchoice=crystSi&amp;mountingplace=free&amp;usehorizon=1</v>
      </c>
    </row>
    <row r="3988">
      <c r="A3988" t="n">
        <v>65</v>
      </c>
      <c r="B3988" t="n">
        <v>15</v>
      </c>
      <c r="C3988" t="n">
        <v>7</v>
      </c>
      <c r="D3988" s="218" t="n">
        <v>87.91</v>
      </c>
      <c r="E3988" s="218" t="n">
        <v>2.84</v>
      </c>
      <c r="F3988" t="str">
        <v>https://re.jrc.ec.europa.eu/api/v5_3/PVcalc?lat=30.0444&amp;lon=31.2357&amp;peakpower=1&amp;loss=14&amp;angle=65&amp;aspect=-165&amp;outputformat=json&amp;raddatabase=PVGIS-SARAH3&amp;pvtechchoice=crystSi&amp;mountingplace=free&amp;usehorizon=1</v>
      </c>
    </row>
    <row r="3989">
      <c r="A3989" t="n">
        <v>65</v>
      </c>
      <c r="B3989" t="n">
        <v>15</v>
      </c>
      <c r="C3989" t="n">
        <v>8</v>
      </c>
      <c r="D3989" s="218" t="n">
        <v>58.26</v>
      </c>
      <c r="E3989" s="218" t="n">
        <v>1.88</v>
      </c>
      <c r="F3989" t="str">
        <v>https://re.jrc.ec.europa.eu/api/v5_3/PVcalc?lat=30.0444&amp;lon=31.2357&amp;peakpower=1&amp;loss=14&amp;angle=65&amp;aspect=-165&amp;outputformat=json&amp;raddatabase=PVGIS-SARAH3&amp;pvtechchoice=crystSi&amp;mountingplace=free&amp;usehorizon=1</v>
      </c>
    </row>
    <row r="3990">
      <c r="A3990" t="n">
        <v>65</v>
      </c>
      <c r="B3990" t="n">
        <v>15</v>
      </c>
      <c r="C3990" t="n">
        <v>9</v>
      </c>
      <c r="D3990" s="218" t="n">
        <v>31.19</v>
      </c>
      <c r="E3990" s="218" t="n">
        <v>1.04</v>
      </c>
      <c r="F3990" t="str">
        <v>https://re.jrc.ec.europa.eu/api/v5_3/PVcalc?lat=30.0444&amp;lon=31.2357&amp;peakpower=1&amp;loss=14&amp;angle=65&amp;aspect=-165&amp;outputformat=json&amp;raddatabase=PVGIS-SARAH3&amp;pvtechchoice=crystSi&amp;mountingplace=free&amp;usehorizon=1</v>
      </c>
    </row>
    <row r="3991">
      <c r="A3991" t="n">
        <v>65</v>
      </c>
      <c r="B3991" t="n">
        <v>15</v>
      </c>
      <c r="C3991" t="n">
        <v>10</v>
      </c>
      <c r="D3991" s="218" t="n">
        <v>20.99</v>
      </c>
      <c r="E3991" s="218" t="n">
        <v>0.68</v>
      </c>
      <c r="F3991" t="str">
        <v>https://re.jrc.ec.europa.eu/api/v5_3/PVcalc?lat=30.0444&amp;lon=31.2357&amp;peakpower=1&amp;loss=14&amp;angle=65&amp;aspect=-165&amp;outputformat=json&amp;raddatabase=PVGIS-SARAH3&amp;pvtechchoice=crystSi&amp;mountingplace=free&amp;usehorizon=1</v>
      </c>
    </row>
    <row r="3992">
      <c r="A3992" t="n">
        <v>65</v>
      </c>
      <c r="B3992" t="n">
        <v>15</v>
      </c>
      <c r="C3992" t="n">
        <v>11</v>
      </c>
      <c r="D3992" s="218" t="n">
        <v>16.72</v>
      </c>
      <c r="E3992" s="218" t="n">
        <v>0.56</v>
      </c>
      <c r="F3992" t="str">
        <v>https://re.jrc.ec.europa.eu/api/v5_3/PVcalc?lat=30.0444&amp;lon=31.2357&amp;peakpower=1&amp;loss=14&amp;angle=65&amp;aspect=-165&amp;outputformat=json&amp;raddatabase=PVGIS-SARAH3&amp;pvtechchoice=crystSi&amp;mountingplace=free&amp;usehorizon=1</v>
      </c>
    </row>
    <row r="3993">
      <c r="A3993" t="n">
        <v>65</v>
      </c>
      <c r="B3993" t="n">
        <v>15</v>
      </c>
      <c r="C3993" t="n">
        <v>12</v>
      </c>
      <c r="D3993" s="218" t="n">
        <v>16.13</v>
      </c>
      <c r="E3993" s="218" t="n">
        <v>0.52</v>
      </c>
      <c r="F3993" t="str">
        <v>https://re.jrc.ec.europa.eu/api/v5_3/PVcalc?lat=30.0444&amp;lon=31.2357&amp;peakpower=1&amp;loss=14&amp;angle=65&amp;aspect=-165&amp;outputformat=json&amp;raddatabase=PVGIS-SARAH3&amp;pvtechchoice=crystSi&amp;mountingplace=free&amp;usehorizon=1</v>
      </c>
    </row>
    <row r="3994">
      <c r="A3994" t="n">
        <v>65</v>
      </c>
      <c r="B3994" t="n">
        <v>30</v>
      </c>
      <c r="C3994" t="n">
        <v>1</v>
      </c>
      <c r="D3994" s="218" t="n">
        <v>17.87</v>
      </c>
      <c r="E3994" s="218" t="n">
        <v>0.58</v>
      </c>
      <c r="F3994" t="str">
        <v>https://re.jrc.ec.europa.eu/api/v5_3/PVcalc?lat=30.0444&amp;lon=31.2357&amp;peakpower=1&amp;loss=14&amp;angle=65&amp;aspect=-150&amp;outputformat=json&amp;raddatabase=PVGIS-SARAH3&amp;pvtechchoice=crystSi&amp;mountingplace=free&amp;usehorizon=1</v>
      </c>
    </row>
    <row r="3995">
      <c r="A3995" t="n">
        <v>65</v>
      </c>
      <c r="B3995" t="n">
        <v>30</v>
      </c>
      <c r="C3995" t="n">
        <v>2</v>
      </c>
      <c r="D3995" s="218" t="n">
        <v>24.51</v>
      </c>
      <c r="E3995" s="218" t="n">
        <v>0.88</v>
      </c>
      <c r="F3995" t="str">
        <v>https://re.jrc.ec.europa.eu/api/v5_3/PVcalc?lat=30.0444&amp;lon=31.2357&amp;peakpower=1&amp;loss=14&amp;angle=65&amp;aspect=-150&amp;outputformat=json&amp;raddatabase=PVGIS-SARAH3&amp;pvtechchoice=crystSi&amp;mountingplace=free&amp;usehorizon=1</v>
      </c>
    </row>
    <row r="3996">
      <c r="A3996" t="n">
        <v>65</v>
      </c>
      <c r="B3996" t="n">
        <v>30</v>
      </c>
      <c r="C3996" t="n">
        <v>3</v>
      </c>
      <c r="D3996" s="218" t="n">
        <v>43.28</v>
      </c>
      <c r="E3996" s="218" t="n">
        <v>1.4</v>
      </c>
      <c r="F3996" t="str">
        <v>https://re.jrc.ec.europa.eu/api/v5_3/PVcalc?lat=30.0444&amp;lon=31.2357&amp;peakpower=1&amp;loss=14&amp;angle=65&amp;aspect=-150&amp;outputformat=json&amp;raddatabase=PVGIS-SARAH3&amp;pvtechchoice=crystSi&amp;mountingplace=free&amp;usehorizon=1</v>
      </c>
    </row>
    <row r="3997">
      <c r="A3997" t="n">
        <v>65</v>
      </c>
      <c r="B3997" t="n">
        <v>30</v>
      </c>
      <c r="C3997" t="n">
        <v>4</v>
      </c>
      <c r="D3997" s="218" t="n">
        <v>64.36</v>
      </c>
      <c r="E3997" s="218" t="n">
        <v>2.15</v>
      </c>
      <c r="F3997" t="str">
        <v>https://re.jrc.ec.europa.eu/api/v5_3/PVcalc?lat=30.0444&amp;lon=31.2357&amp;peakpower=1&amp;loss=14&amp;angle=65&amp;aspect=-150&amp;outputformat=json&amp;raddatabase=PVGIS-SARAH3&amp;pvtechchoice=crystSi&amp;mountingplace=free&amp;usehorizon=1</v>
      </c>
    </row>
    <row r="3998">
      <c r="A3998" t="n">
        <v>65</v>
      </c>
      <c r="B3998" t="n">
        <v>30</v>
      </c>
      <c r="C3998" t="n">
        <v>5</v>
      </c>
      <c r="D3998" s="218" t="n">
        <v>89.01</v>
      </c>
      <c r="E3998" s="218" t="n">
        <v>2.87</v>
      </c>
      <c r="F3998" t="str">
        <v>https://re.jrc.ec.europa.eu/api/v5_3/PVcalc?lat=30.0444&amp;lon=31.2357&amp;peakpower=1&amp;loss=14&amp;angle=65&amp;aspect=-150&amp;outputformat=json&amp;raddatabase=PVGIS-SARAH3&amp;pvtechchoice=crystSi&amp;mountingplace=free&amp;usehorizon=1</v>
      </c>
    </row>
    <row r="3999">
      <c r="A3999" t="n">
        <v>65</v>
      </c>
      <c r="B3999" t="n">
        <v>30</v>
      </c>
      <c r="C3999" t="n">
        <v>6</v>
      </c>
      <c r="D3999" s="218" t="n">
        <v>97.01</v>
      </c>
      <c r="E3999" s="218" t="n">
        <v>3.23</v>
      </c>
      <c r="F3999" t="str">
        <v>https://re.jrc.ec.europa.eu/api/v5_3/PVcalc?lat=30.0444&amp;lon=31.2357&amp;peakpower=1&amp;loss=14&amp;angle=65&amp;aspect=-150&amp;outputformat=json&amp;raddatabase=PVGIS-SARAH3&amp;pvtechchoice=crystSi&amp;mountingplace=free&amp;usehorizon=1</v>
      </c>
    </row>
    <row r="4000">
      <c r="A4000" t="n">
        <v>65</v>
      </c>
      <c r="B4000" t="n">
        <v>30</v>
      </c>
      <c r="C4000" t="n">
        <v>7</v>
      </c>
      <c r="D4000" s="218" t="n">
        <v>91.89</v>
      </c>
      <c r="E4000" s="218" t="n">
        <v>2.96</v>
      </c>
      <c r="F4000" t="str">
        <v>https://re.jrc.ec.europa.eu/api/v5_3/PVcalc?lat=30.0444&amp;lon=31.2357&amp;peakpower=1&amp;loss=14&amp;angle=65&amp;aspect=-150&amp;outputformat=json&amp;raddatabase=PVGIS-SARAH3&amp;pvtechchoice=crystSi&amp;mountingplace=free&amp;usehorizon=1</v>
      </c>
    </row>
    <row r="4001">
      <c r="A4001" t="n">
        <v>65</v>
      </c>
      <c r="B4001" t="n">
        <v>30</v>
      </c>
      <c r="C4001" t="n">
        <v>8</v>
      </c>
      <c r="D4001" s="218" t="n">
        <v>71.54</v>
      </c>
      <c r="E4001" s="218" t="n">
        <v>2.31</v>
      </c>
      <c r="F4001" t="str">
        <v>https://re.jrc.ec.europa.eu/api/v5_3/PVcalc?lat=30.0444&amp;lon=31.2357&amp;peakpower=1&amp;loss=14&amp;angle=65&amp;aspect=-150&amp;outputformat=json&amp;raddatabase=PVGIS-SARAH3&amp;pvtechchoice=crystSi&amp;mountingplace=free&amp;usehorizon=1</v>
      </c>
    </row>
    <row r="4002">
      <c r="A4002" t="n">
        <v>65</v>
      </c>
      <c r="B4002" t="n">
        <v>30</v>
      </c>
      <c r="C4002" t="n">
        <v>9</v>
      </c>
      <c r="D4002" s="218" t="n">
        <v>45.12</v>
      </c>
      <c r="E4002" s="218" t="n">
        <v>1.5</v>
      </c>
      <c r="F4002" t="str">
        <v>https://re.jrc.ec.europa.eu/api/v5_3/PVcalc?lat=30.0444&amp;lon=31.2357&amp;peakpower=1&amp;loss=14&amp;angle=65&amp;aspect=-150&amp;outputformat=json&amp;raddatabase=PVGIS-SARAH3&amp;pvtechchoice=crystSi&amp;mountingplace=free&amp;usehorizon=1</v>
      </c>
    </row>
    <row r="4003">
      <c r="A4003" t="n">
        <v>65</v>
      </c>
      <c r="B4003" t="n">
        <v>30</v>
      </c>
      <c r="C4003" t="n">
        <v>10</v>
      </c>
      <c r="D4003" s="218" t="n">
        <v>28.44</v>
      </c>
      <c r="E4003" s="218" t="n">
        <v>0.92</v>
      </c>
      <c r="F4003" t="str">
        <v>https://re.jrc.ec.europa.eu/api/v5_3/PVcalc?lat=30.0444&amp;lon=31.2357&amp;peakpower=1&amp;loss=14&amp;angle=65&amp;aspect=-150&amp;outputformat=json&amp;raddatabase=PVGIS-SARAH3&amp;pvtechchoice=crystSi&amp;mountingplace=free&amp;usehorizon=1</v>
      </c>
    </row>
    <row r="4004">
      <c r="A4004" t="n">
        <v>65</v>
      </c>
      <c r="B4004" t="n">
        <v>30</v>
      </c>
      <c r="C4004" t="n">
        <v>11</v>
      </c>
      <c r="D4004" s="218" t="n">
        <v>17.96</v>
      </c>
      <c r="E4004" s="218" t="n">
        <v>0.6</v>
      </c>
      <c r="F4004" t="str">
        <v>https://re.jrc.ec.europa.eu/api/v5_3/PVcalc?lat=30.0444&amp;lon=31.2357&amp;peakpower=1&amp;loss=14&amp;angle=65&amp;aspect=-150&amp;outputformat=json&amp;raddatabase=PVGIS-SARAH3&amp;pvtechchoice=crystSi&amp;mountingplace=free&amp;usehorizon=1</v>
      </c>
    </row>
    <row r="4005">
      <c r="A4005" t="n">
        <v>65</v>
      </c>
      <c r="B4005" t="n">
        <v>30</v>
      </c>
      <c r="C4005" t="n">
        <v>12</v>
      </c>
      <c r="D4005" s="218" t="n">
        <v>16.2</v>
      </c>
      <c r="E4005" s="218" t="n">
        <v>0.52</v>
      </c>
      <c r="F4005" t="str">
        <v>https://re.jrc.ec.europa.eu/api/v5_3/PVcalc?lat=30.0444&amp;lon=31.2357&amp;peakpower=1&amp;loss=14&amp;angle=65&amp;aspect=-150&amp;outputformat=json&amp;raddatabase=PVGIS-SARAH3&amp;pvtechchoice=crystSi&amp;mountingplace=free&amp;usehorizon=1</v>
      </c>
    </row>
    <row r="4006">
      <c r="A4006" t="n">
        <v>65</v>
      </c>
      <c r="B4006" t="n">
        <v>45</v>
      </c>
      <c r="C4006" t="n">
        <v>1</v>
      </c>
      <c r="D4006" s="218" t="n">
        <v>24.1</v>
      </c>
      <c r="E4006" s="218" t="n">
        <v>0.78</v>
      </c>
      <c r="F4006" t="str">
        <v>https://re.jrc.ec.europa.eu/api/v5_3/PVcalc?lat=30.0444&amp;lon=31.2357&amp;peakpower=1&amp;loss=14&amp;angle=65&amp;aspect=-135&amp;outputformat=json&amp;raddatabase=PVGIS-SARAH3&amp;pvtechchoice=crystSi&amp;mountingplace=free&amp;usehorizon=1</v>
      </c>
    </row>
    <row r="4007">
      <c r="A4007" t="n">
        <v>65</v>
      </c>
      <c r="B4007" t="n">
        <v>45</v>
      </c>
      <c r="C4007" t="n">
        <v>2</v>
      </c>
      <c r="D4007" s="218" t="n">
        <v>35.29</v>
      </c>
      <c r="E4007" s="218" t="n">
        <v>1.26</v>
      </c>
      <c r="F4007" t="str">
        <v>https://re.jrc.ec.europa.eu/api/v5_3/PVcalc?lat=30.0444&amp;lon=31.2357&amp;peakpower=1&amp;loss=14&amp;angle=65&amp;aspect=-135&amp;outputformat=json&amp;raddatabase=PVGIS-SARAH3&amp;pvtechchoice=crystSi&amp;mountingplace=free&amp;usehorizon=1</v>
      </c>
    </row>
    <row r="4008">
      <c r="A4008" t="n">
        <v>65</v>
      </c>
      <c r="B4008" t="n">
        <v>45</v>
      </c>
      <c r="C4008" t="n">
        <v>3</v>
      </c>
      <c r="D4008" s="218" t="n">
        <v>58.36</v>
      </c>
      <c r="E4008" s="218" t="n">
        <v>1.88</v>
      </c>
      <c r="F4008" t="str">
        <v>https://re.jrc.ec.europa.eu/api/v5_3/PVcalc?lat=30.0444&amp;lon=31.2357&amp;peakpower=1&amp;loss=14&amp;angle=65&amp;aspect=-135&amp;outputformat=json&amp;raddatabase=PVGIS-SARAH3&amp;pvtechchoice=crystSi&amp;mountingplace=free&amp;usehorizon=1</v>
      </c>
    </row>
    <row r="4009">
      <c r="A4009" t="n">
        <v>65</v>
      </c>
      <c r="B4009" t="n">
        <v>45</v>
      </c>
      <c r="C4009" t="n">
        <v>4</v>
      </c>
      <c r="D4009" s="218" t="n">
        <v>77.8</v>
      </c>
      <c r="E4009" s="218" t="n">
        <v>2.59</v>
      </c>
      <c r="F4009" t="str">
        <v>https://re.jrc.ec.europa.eu/api/v5_3/PVcalc?lat=30.0444&amp;lon=31.2357&amp;peakpower=1&amp;loss=14&amp;angle=65&amp;aspect=-135&amp;outputformat=json&amp;raddatabase=PVGIS-SARAH3&amp;pvtechchoice=crystSi&amp;mountingplace=free&amp;usehorizon=1</v>
      </c>
    </row>
    <row r="4010">
      <c r="A4010" t="n">
        <v>65</v>
      </c>
      <c r="B4010" t="n">
        <v>45</v>
      </c>
      <c r="C4010" t="n">
        <v>5</v>
      </c>
      <c r="D4010" s="218" t="n">
        <v>99.56</v>
      </c>
      <c r="E4010" s="218" t="n">
        <v>3.21</v>
      </c>
      <c r="F4010" t="str">
        <v>https://re.jrc.ec.europa.eu/api/v5_3/PVcalc?lat=30.0444&amp;lon=31.2357&amp;peakpower=1&amp;loss=14&amp;angle=65&amp;aspect=-135&amp;outputformat=json&amp;raddatabase=PVGIS-SARAH3&amp;pvtechchoice=crystSi&amp;mountingplace=free&amp;usehorizon=1</v>
      </c>
    </row>
    <row r="4011">
      <c r="A4011" t="n">
        <v>65</v>
      </c>
      <c r="B4011" t="n">
        <v>45</v>
      </c>
      <c r="C4011" t="n">
        <v>6</v>
      </c>
      <c r="D4011" s="218" t="n">
        <v>105.14</v>
      </c>
      <c r="E4011" s="218" t="n">
        <v>3.5</v>
      </c>
      <c r="F4011" t="str">
        <v>https://re.jrc.ec.europa.eu/api/v5_3/PVcalc?lat=30.0444&amp;lon=31.2357&amp;peakpower=1&amp;loss=14&amp;angle=65&amp;aspect=-135&amp;outputformat=json&amp;raddatabase=PVGIS-SARAH3&amp;pvtechchoice=crystSi&amp;mountingplace=free&amp;usehorizon=1</v>
      </c>
    </row>
    <row r="4012">
      <c r="A4012" t="n">
        <v>65</v>
      </c>
      <c r="B4012" t="n">
        <v>45</v>
      </c>
      <c r="C4012" t="n">
        <v>7</v>
      </c>
      <c r="D4012" s="218" t="n">
        <v>101.39</v>
      </c>
      <c r="E4012" s="218" t="n">
        <v>3.27</v>
      </c>
      <c r="F4012" t="str">
        <v>https://re.jrc.ec.europa.eu/api/v5_3/PVcalc?lat=30.0444&amp;lon=31.2357&amp;peakpower=1&amp;loss=14&amp;angle=65&amp;aspect=-135&amp;outputformat=json&amp;raddatabase=PVGIS-SARAH3&amp;pvtechchoice=crystSi&amp;mountingplace=free&amp;usehorizon=1</v>
      </c>
    </row>
    <row r="4013">
      <c r="A4013" t="n">
        <v>65</v>
      </c>
      <c r="B4013" t="n">
        <v>45</v>
      </c>
      <c r="C4013" t="n">
        <v>8</v>
      </c>
      <c r="D4013" s="218" t="n">
        <v>85.11</v>
      </c>
      <c r="E4013" s="218" t="n">
        <v>2.75</v>
      </c>
      <c r="F4013" t="str">
        <v>https://re.jrc.ec.europa.eu/api/v5_3/PVcalc?lat=30.0444&amp;lon=31.2357&amp;peakpower=1&amp;loss=14&amp;angle=65&amp;aspect=-135&amp;outputformat=json&amp;raddatabase=PVGIS-SARAH3&amp;pvtechchoice=crystSi&amp;mountingplace=free&amp;usehorizon=1</v>
      </c>
    </row>
    <row r="4014">
      <c r="A4014" t="n">
        <v>65</v>
      </c>
      <c r="B4014" t="n">
        <v>45</v>
      </c>
      <c r="C4014" t="n">
        <v>9</v>
      </c>
      <c r="D4014" s="218" t="n">
        <v>60.06</v>
      </c>
      <c r="E4014" s="218" t="n">
        <v>2</v>
      </c>
      <c r="F4014" t="str">
        <v>https://re.jrc.ec.europa.eu/api/v5_3/PVcalc?lat=30.0444&amp;lon=31.2357&amp;peakpower=1&amp;loss=14&amp;angle=65&amp;aspect=-135&amp;outputformat=json&amp;raddatabase=PVGIS-SARAH3&amp;pvtechchoice=crystSi&amp;mountingplace=free&amp;usehorizon=1</v>
      </c>
    </row>
    <row r="4015">
      <c r="A4015" t="n">
        <v>65</v>
      </c>
      <c r="B4015" t="n">
        <v>45</v>
      </c>
      <c r="C4015" t="n">
        <v>10</v>
      </c>
      <c r="D4015" s="218" t="n">
        <v>42.18</v>
      </c>
      <c r="E4015" s="218" t="n">
        <v>1.36</v>
      </c>
      <c r="F4015" t="str">
        <v>https://re.jrc.ec.europa.eu/api/v5_3/PVcalc?lat=30.0444&amp;lon=31.2357&amp;peakpower=1&amp;loss=14&amp;angle=65&amp;aspect=-135&amp;outputformat=json&amp;raddatabase=PVGIS-SARAH3&amp;pvtechchoice=crystSi&amp;mountingplace=free&amp;usehorizon=1</v>
      </c>
    </row>
    <row r="4016">
      <c r="A4016" t="n">
        <v>65</v>
      </c>
      <c r="B4016" t="n">
        <v>45</v>
      </c>
      <c r="C4016" t="n">
        <v>11</v>
      </c>
      <c r="D4016" s="218" t="n">
        <v>26.31</v>
      </c>
      <c r="E4016" s="218" t="n">
        <v>0.88</v>
      </c>
      <c r="F4016" t="str">
        <v>https://re.jrc.ec.europa.eu/api/v5_3/PVcalc?lat=30.0444&amp;lon=31.2357&amp;peakpower=1&amp;loss=14&amp;angle=65&amp;aspect=-135&amp;outputformat=json&amp;raddatabase=PVGIS-SARAH3&amp;pvtechchoice=crystSi&amp;mountingplace=free&amp;usehorizon=1</v>
      </c>
    </row>
    <row r="4017">
      <c r="A4017" t="n">
        <v>65</v>
      </c>
      <c r="B4017" t="n">
        <v>45</v>
      </c>
      <c r="C4017" t="n">
        <v>12</v>
      </c>
      <c r="D4017" s="218" t="n">
        <v>20.98</v>
      </c>
      <c r="E4017" s="218" t="n">
        <v>0.68</v>
      </c>
      <c r="F4017" t="str">
        <v>https://re.jrc.ec.europa.eu/api/v5_3/PVcalc?lat=30.0444&amp;lon=31.2357&amp;peakpower=1&amp;loss=14&amp;angle=65&amp;aspect=-135&amp;outputformat=json&amp;raddatabase=PVGIS-SARAH3&amp;pvtechchoice=crystSi&amp;mountingplace=free&amp;usehorizon=1</v>
      </c>
    </row>
    <row r="4018">
      <c r="A4018" t="n">
        <v>65</v>
      </c>
      <c r="B4018" t="n">
        <v>60</v>
      </c>
      <c r="C4018" t="n">
        <v>1</v>
      </c>
      <c r="D4018" s="218" t="n">
        <v>36.8</v>
      </c>
      <c r="E4018" s="218" t="n">
        <v>1.19</v>
      </c>
      <c r="F4018" t="str">
        <v>https://re.jrc.ec.europa.eu/api/v5_3/PVcalc?lat=30.0444&amp;lon=31.2357&amp;peakpower=1&amp;loss=14&amp;angle=65&amp;aspect=-120&amp;outputformat=json&amp;raddatabase=PVGIS-SARAH3&amp;pvtechchoice=crystSi&amp;mountingplace=free&amp;usehorizon=1</v>
      </c>
    </row>
    <row r="4019">
      <c r="A4019" t="n">
        <v>65</v>
      </c>
      <c r="B4019" t="n">
        <v>60</v>
      </c>
      <c r="C4019" t="n">
        <v>2</v>
      </c>
      <c r="D4019" s="218" t="n">
        <v>49.04</v>
      </c>
      <c r="E4019" s="218" t="n">
        <v>1.75</v>
      </c>
      <c r="F4019" t="str">
        <v>https://re.jrc.ec.europa.eu/api/v5_3/PVcalc?lat=30.0444&amp;lon=31.2357&amp;peakpower=1&amp;loss=14&amp;angle=65&amp;aspect=-120&amp;outputformat=json&amp;raddatabase=PVGIS-SARAH3&amp;pvtechchoice=crystSi&amp;mountingplace=free&amp;usehorizon=1</v>
      </c>
    </row>
    <row r="4020">
      <c r="A4020" t="n">
        <v>65</v>
      </c>
      <c r="B4020" t="n">
        <v>60</v>
      </c>
      <c r="C4020" t="n">
        <v>3</v>
      </c>
      <c r="D4020" s="218" t="n">
        <v>73.56</v>
      </c>
      <c r="E4020" s="218" t="n">
        <v>2.37</v>
      </c>
      <c r="F4020" t="str">
        <v>https://re.jrc.ec.europa.eu/api/v5_3/PVcalc?lat=30.0444&amp;lon=31.2357&amp;peakpower=1&amp;loss=14&amp;angle=65&amp;aspect=-120&amp;outputformat=json&amp;raddatabase=PVGIS-SARAH3&amp;pvtechchoice=crystSi&amp;mountingplace=free&amp;usehorizon=1</v>
      </c>
    </row>
    <row r="4021">
      <c r="A4021" t="n">
        <v>65</v>
      </c>
      <c r="B4021" t="n">
        <v>60</v>
      </c>
      <c r="C4021" t="n">
        <v>4</v>
      </c>
      <c r="D4021" s="218" t="n">
        <v>89.82</v>
      </c>
      <c r="E4021" s="218" t="n">
        <v>2.99</v>
      </c>
      <c r="F4021" t="str">
        <v>https://re.jrc.ec.europa.eu/api/v5_3/PVcalc?lat=30.0444&amp;lon=31.2357&amp;peakpower=1&amp;loss=14&amp;angle=65&amp;aspect=-120&amp;outputformat=json&amp;raddatabase=PVGIS-SARAH3&amp;pvtechchoice=crystSi&amp;mountingplace=free&amp;usehorizon=1</v>
      </c>
    </row>
    <row r="4022">
      <c r="A4022" t="n">
        <v>65</v>
      </c>
      <c r="B4022" t="n">
        <v>60</v>
      </c>
      <c r="C4022" t="n">
        <v>5</v>
      </c>
      <c r="D4022" s="218" t="n">
        <v>108.6</v>
      </c>
      <c r="E4022" s="218" t="n">
        <v>3.5</v>
      </c>
      <c r="F4022" t="str">
        <v>https://re.jrc.ec.europa.eu/api/v5_3/PVcalc?lat=30.0444&amp;lon=31.2357&amp;peakpower=1&amp;loss=14&amp;angle=65&amp;aspect=-120&amp;outputformat=json&amp;raddatabase=PVGIS-SARAH3&amp;pvtechchoice=crystSi&amp;mountingplace=free&amp;usehorizon=1</v>
      </c>
    </row>
    <row r="4023">
      <c r="A4023" t="n">
        <v>65</v>
      </c>
      <c r="B4023" t="n">
        <v>60</v>
      </c>
      <c r="C4023" t="n">
        <v>6</v>
      </c>
      <c r="D4023" s="218" t="n">
        <v>112.24</v>
      </c>
      <c r="E4023" s="218" t="n">
        <v>3.74</v>
      </c>
      <c r="F4023" t="str">
        <v>https://re.jrc.ec.europa.eu/api/v5_3/PVcalc?lat=30.0444&amp;lon=31.2357&amp;peakpower=1&amp;loss=14&amp;angle=65&amp;aspect=-120&amp;outputformat=json&amp;raddatabase=PVGIS-SARAH3&amp;pvtechchoice=crystSi&amp;mountingplace=free&amp;usehorizon=1</v>
      </c>
    </row>
    <row r="4024">
      <c r="A4024" t="n">
        <v>65</v>
      </c>
      <c r="B4024" t="n">
        <v>60</v>
      </c>
      <c r="C4024" t="n">
        <v>7</v>
      </c>
      <c r="D4024" s="218" t="n">
        <v>109.65</v>
      </c>
      <c r="E4024" s="218" t="n">
        <v>3.54</v>
      </c>
      <c r="F4024" t="str">
        <v>https://re.jrc.ec.europa.eu/api/v5_3/PVcalc?lat=30.0444&amp;lon=31.2357&amp;peakpower=1&amp;loss=14&amp;angle=65&amp;aspect=-120&amp;outputformat=json&amp;raddatabase=PVGIS-SARAH3&amp;pvtechchoice=crystSi&amp;mountingplace=free&amp;usehorizon=1</v>
      </c>
    </row>
    <row r="4025">
      <c r="A4025" t="n">
        <v>65</v>
      </c>
      <c r="B4025" t="n">
        <v>60</v>
      </c>
      <c r="C4025" t="n">
        <v>8</v>
      </c>
      <c r="D4025" s="218" t="n">
        <v>96.89</v>
      </c>
      <c r="E4025" s="218" t="n">
        <v>3.13</v>
      </c>
      <c r="F4025" t="str">
        <v>https://re.jrc.ec.europa.eu/api/v5_3/PVcalc?lat=30.0444&amp;lon=31.2357&amp;peakpower=1&amp;loss=14&amp;angle=65&amp;aspect=-120&amp;outputformat=json&amp;raddatabase=PVGIS-SARAH3&amp;pvtechchoice=crystSi&amp;mountingplace=free&amp;usehorizon=1</v>
      </c>
    </row>
    <row r="4026">
      <c r="A4026" t="n">
        <v>65</v>
      </c>
      <c r="B4026" t="n">
        <v>60</v>
      </c>
      <c r="C4026" t="n">
        <v>9</v>
      </c>
      <c r="D4026" s="218" t="n">
        <v>74.38</v>
      </c>
      <c r="E4026" s="218" t="n">
        <v>2.48</v>
      </c>
      <c r="F4026" t="str">
        <v>https://re.jrc.ec.europa.eu/api/v5_3/PVcalc?lat=30.0444&amp;lon=31.2357&amp;peakpower=1&amp;loss=14&amp;angle=65&amp;aspect=-120&amp;outputformat=json&amp;raddatabase=PVGIS-SARAH3&amp;pvtechchoice=crystSi&amp;mountingplace=free&amp;usehorizon=1</v>
      </c>
    </row>
    <row r="4027">
      <c r="A4027" t="n">
        <v>65</v>
      </c>
      <c r="B4027" t="n">
        <v>60</v>
      </c>
      <c r="C4027" t="n">
        <v>10</v>
      </c>
      <c r="D4027" s="218" t="n">
        <v>58</v>
      </c>
      <c r="E4027" s="218" t="n">
        <v>1.87</v>
      </c>
      <c r="F4027" t="str">
        <v>https://re.jrc.ec.europa.eu/api/v5_3/PVcalc?lat=30.0444&amp;lon=31.2357&amp;peakpower=1&amp;loss=14&amp;angle=65&amp;aspect=-120&amp;outputformat=json&amp;raddatabase=PVGIS-SARAH3&amp;pvtechchoice=crystSi&amp;mountingplace=free&amp;usehorizon=1</v>
      </c>
    </row>
    <row r="4028">
      <c r="A4028" t="n">
        <v>65</v>
      </c>
      <c r="B4028" t="n">
        <v>60</v>
      </c>
      <c r="C4028" t="n">
        <v>11</v>
      </c>
      <c r="D4028" s="218" t="n">
        <v>40.35</v>
      </c>
      <c r="E4028" s="218" t="n">
        <v>1.34</v>
      </c>
      <c r="F4028" t="str">
        <v>https://re.jrc.ec.europa.eu/api/v5_3/PVcalc?lat=30.0444&amp;lon=31.2357&amp;peakpower=1&amp;loss=14&amp;angle=65&amp;aspect=-120&amp;outputformat=json&amp;raddatabase=PVGIS-SARAH3&amp;pvtechchoice=crystSi&amp;mountingplace=free&amp;usehorizon=1</v>
      </c>
    </row>
    <row r="4029">
      <c r="A4029" t="n">
        <v>65</v>
      </c>
      <c r="B4029" t="n">
        <v>60</v>
      </c>
      <c r="C4029" t="n">
        <v>12</v>
      </c>
      <c r="D4029" s="218" t="n">
        <v>33.26</v>
      </c>
      <c r="E4029" s="218" t="n">
        <v>1.07</v>
      </c>
      <c r="F4029" t="str">
        <v>https://re.jrc.ec.europa.eu/api/v5_3/PVcalc?lat=30.0444&amp;lon=31.2357&amp;peakpower=1&amp;loss=14&amp;angle=65&amp;aspect=-120&amp;outputformat=json&amp;raddatabase=PVGIS-SARAH3&amp;pvtechchoice=crystSi&amp;mountingplace=free&amp;usehorizon=1</v>
      </c>
    </row>
    <row r="4030">
      <c r="A4030" t="n">
        <v>65</v>
      </c>
      <c r="B4030" t="n">
        <v>75</v>
      </c>
      <c r="C4030" t="n">
        <v>1</v>
      </c>
      <c r="D4030" s="218" t="n">
        <v>52.55</v>
      </c>
      <c r="E4030" s="218" t="n">
        <v>1.7</v>
      </c>
      <c r="F4030" t="str">
        <v>https://re.jrc.ec.europa.eu/api/v5_3/PVcalc?lat=30.0444&amp;lon=31.2357&amp;peakpower=1&amp;loss=14&amp;angle=65&amp;aspect=-105&amp;outputformat=json&amp;raddatabase=PVGIS-SARAH3&amp;pvtechchoice=crystSi&amp;mountingplace=free&amp;usehorizon=1</v>
      </c>
    </row>
    <row r="4031">
      <c r="A4031" t="n">
        <v>65</v>
      </c>
      <c r="B4031" t="n">
        <v>75</v>
      </c>
      <c r="C4031" t="n">
        <v>2</v>
      </c>
      <c r="D4031" s="218" t="n">
        <v>63.49</v>
      </c>
      <c r="E4031" s="218" t="n">
        <v>2.27</v>
      </c>
      <c r="F4031" t="str">
        <v>https://re.jrc.ec.europa.eu/api/v5_3/PVcalc?lat=30.0444&amp;lon=31.2357&amp;peakpower=1&amp;loss=14&amp;angle=65&amp;aspect=-105&amp;outputformat=json&amp;raddatabase=PVGIS-SARAH3&amp;pvtechchoice=crystSi&amp;mountingplace=free&amp;usehorizon=1</v>
      </c>
    </row>
    <row r="4032">
      <c r="A4032" t="n">
        <v>65</v>
      </c>
      <c r="B4032" t="n">
        <v>75</v>
      </c>
      <c r="C4032" t="n">
        <v>3</v>
      </c>
      <c r="D4032" s="218" t="n">
        <v>87.65</v>
      </c>
      <c r="E4032" s="218" t="n">
        <v>2.83</v>
      </c>
      <c r="F4032" t="str">
        <v>https://re.jrc.ec.europa.eu/api/v5_3/PVcalc?lat=30.0444&amp;lon=31.2357&amp;peakpower=1&amp;loss=14&amp;angle=65&amp;aspect=-105&amp;outputformat=json&amp;raddatabase=PVGIS-SARAH3&amp;pvtechchoice=crystSi&amp;mountingplace=free&amp;usehorizon=1</v>
      </c>
    </row>
    <row r="4033">
      <c r="A4033" t="n">
        <v>65</v>
      </c>
      <c r="B4033" t="n">
        <v>75</v>
      </c>
      <c r="C4033" t="n">
        <v>4</v>
      </c>
      <c r="D4033" s="218" t="n">
        <v>100.04</v>
      </c>
      <c r="E4033" s="218" t="n">
        <v>3.33</v>
      </c>
      <c r="F4033" t="str">
        <v>https://re.jrc.ec.europa.eu/api/v5_3/PVcalc?lat=30.0444&amp;lon=31.2357&amp;peakpower=1&amp;loss=14&amp;angle=65&amp;aspect=-105&amp;outputformat=json&amp;raddatabase=PVGIS-SARAH3&amp;pvtechchoice=crystSi&amp;mountingplace=free&amp;usehorizon=1</v>
      </c>
    </row>
    <row r="4034">
      <c r="A4034" t="n">
        <v>65</v>
      </c>
      <c r="B4034" t="n">
        <v>75</v>
      </c>
      <c r="C4034" t="n">
        <v>5</v>
      </c>
      <c r="D4034" s="218" t="n">
        <v>115.35</v>
      </c>
      <c r="E4034" s="218" t="n">
        <v>3.72</v>
      </c>
      <c r="F4034" t="str">
        <v>https://re.jrc.ec.europa.eu/api/v5_3/PVcalc?lat=30.0444&amp;lon=31.2357&amp;peakpower=1&amp;loss=14&amp;angle=65&amp;aspect=-105&amp;outputformat=json&amp;raddatabase=PVGIS-SARAH3&amp;pvtechchoice=crystSi&amp;mountingplace=free&amp;usehorizon=1</v>
      </c>
    </row>
    <row r="4035">
      <c r="A4035" t="n">
        <v>65</v>
      </c>
      <c r="B4035" t="n">
        <v>75</v>
      </c>
      <c r="C4035" t="n">
        <v>6</v>
      </c>
      <c r="D4035" s="218" t="n">
        <v>117.03</v>
      </c>
      <c r="E4035" s="218" t="n">
        <v>3.9</v>
      </c>
      <c r="F4035" t="str">
        <v>https://re.jrc.ec.europa.eu/api/v5_3/PVcalc?lat=30.0444&amp;lon=31.2357&amp;peakpower=1&amp;loss=14&amp;angle=65&amp;aspect=-105&amp;outputformat=json&amp;raddatabase=PVGIS-SARAH3&amp;pvtechchoice=crystSi&amp;mountingplace=free&amp;usehorizon=1</v>
      </c>
    </row>
    <row r="4036">
      <c r="A4036" t="n">
        <v>65</v>
      </c>
      <c r="B4036" t="n">
        <v>75</v>
      </c>
      <c r="C4036" t="n">
        <v>7</v>
      </c>
      <c r="D4036" s="218" t="n">
        <v>115.61</v>
      </c>
      <c r="E4036" s="218" t="n">
        <v>3.73</v>
      </c>
      <c r="F4036" t="str">
        <v>https://re.jrc.ec.europa.eu/api/v5_3/PVcalc?lat=30.0444&amp;lon=31.2357&amp;peakpower=1&amp;loss=14&amp;angle=65&amp;aspect=-105&amp;outputformat=json&amp;raddatabase=PVGIS-SARAH3&amp;pvtechchoice=crystSi&amp;mountingplace=free&amp;usehorizon=1</v>
      </c>
    </row>
    <row r="4037">
      <c r="A4037" t="n">
        <v>65</v>
      </c>
      <c r="B4037" t="n">
        <v>75</v>
      </c>
      <c r="C4037" t="n">
        <v>8</v>
      </c>
      <c r="D4037" s="218" t="n">
        <v>106.47</v>
      </c>
      <c r="E4037" s="218" t="n">
        <v>3.43</v>
      </c>
      <c r="F4037" t="str">
        <v>https://re.jrc.ec.europa.eu/api/v5_3/PVcalc?lat=30.0444&amp;lon=31.2357&amp;peakpower=1&amp;loss=14&amp;angle=65&amp;aspect=-105&amp;outputformat=json&amp;raddatabase=PVGIS-SARAH3&amp;pvtechchoice=crystSi&amp;mountingplace=free&amp;usehorizon=1</v>
      </c>
    </row>
    <row r="4038">
      <c r="A4038" t="n">
        <v>65</v>
      </c>
      <c r="B4038" t="n">
        <v>75</v>
      </c>
      <c r="C4038" t="n">
        <v>9</v>
      </c>
      <c r="D4038" s="218" t="n">
        <v>87.42</v>
      </c>
      <c r="E4038" s="218" t="n">
        <v>2.91</v>
      </c>
      <c r="F4038" t="str">
        <v>https://re.jrc.ec.europa.eu/api/v5_3/PVcalc?lat=30.0444&amp;lon=31.2357&amp;peakpower=1&amp;loss=14&amp;angle=65&amp;aspect=-105&amp;outputformat=json&amp;raddatabase=PVGIS-SARAH3&amp;pvtechchoice=crystSi&amp;mountingplace=free&amp;usehorizon=1</v>
      </c>
    </row>
    <row r="4039">
      <c r="A4039" t="n">
        <v>65</v>
      </c>
      <c r="B4039" t="n">
        <v>75</v>
      </c>
      <c r="C4039" t="n">
        <v>10</v>
      </c>
      <c r="D4039" s="218" t="n">
        <v>73.96</v>
      </c>
      <c r="E4039" s="218" t="n">
        <v>2.39</v>
      </c>
      <c r="F4039" t="str">
        <v>https://re.jrc.ec.europa.eu/api/v5_3/PVcalc?lat=30.0444&amp;lon=31.2357&amp;peakpower=1&amp;loss=14&amp;angle=65&amp;aspect=-105&amp;outputformat=json&amp;raddatabase=PVGIS-SARAH3&amp;pvtechchoice=crystSi&amp;mountingplace=free&amp;usehorizon=1</v>
      </c>
    </row>
    <row r="4040">
      <c r="A4040" t="n">
        <v>65</v>
      </c>
      <c r="B4040" t="n">
        <v>75</v>
      </c>
      <c r="C4040" t="n">
        <v>11</v>
      </c>
      <c r="D4040" s="218" t="n">
        <v>56.58</v>
      </c>
      <c r="E4040" s="218" t="n">
        <v>1.89</v>
      </c>
      <c r="F4040" t="str">
        <v>https://re.jrc.ec.europa.eu/api/v5_3/PVcalc?lat=30.0444&amp;lon=31.2357&amp;peakpower=1&amp;loss=14&amp;angle=65&amp;aspect=-105&amp;outputformat=json&amp;raddatabase=PVGIS-SARAH3&amp;pvtechchoice=crystSi&amp;mountingplace=free&amp;usehorizon=1</v>
      </c>
    </row>
    <row r="4041">
      <c r="A4041" t="n">
        <v>65</v>
      </c>
      <c r="B4041" t="n">
        <v>75</v>
      </c>
      <c r="C4041" t="n">
        <v>12</v>
      </c>
      <c r="D4041" s="218" t="n">
        <v>49.27</v>
      </c>
      <c r="E4041" s="218" t="n">
        <v>1.59</v>
      </c>
      <c r="F4041" t="str">
        <v>https://re.jrc.ec.europa.eu/api/v5_3/PVcalc?lat=30.0444&amp;lon=31.2357&amp;peakpower=1&amp;loss=14&amp;angle=65&amp;aspect=-105&amp;outputformat=json&amp;raddatabase=PVGIS-SARAH3&amp;pvtechchoice=crystSi&amp;mountingplace=free&amp;usehorizon=1</v>
      </c>
    </row>
    <row r="4042">
      <c r="A4042" t="n">
        <v>65</v>
      </c>
      <c r="B4042" t="n">
        <v>90</v>
      </c>
      <c r="C4042" t="n">
        <v>1</v>
      </c>
      <c r="D4042" s="218" t="n">
        <v>69.27</v>
      </c>
      <c r="E4042" s="218" t="n">
        <v>2.23</v>
      </c>
      <c r="F4042" t="str">
        <v>https://re.jrc.ec.europa.eu/api/v5_3/PVcalc?lat=30.0444&amp;lon=31.2357&amp;peakpower=1&amp;loss=14&amp;angle=65&amp;aspect=-90&amp;outputformat=json&amp;raddatabase=PVGIS-SARAH3&amp;pvtechchoice=crystSi&amp;mountingplace=free&amp;usehorizon=1</v>
      </c>
    </row>
    <row r="4043">
      <c r="A4043" t="n">
        <v>65</v>
      </c>
      <c r="B4043" t="n">
        <v>90</v>
      </c>
      <c r="C4043" t="n">
        <v>2</v>
      </c>
      <c r="D4043" s="218" t="n">
        <v>77.46</v>
      </c>
      <c r="E4043" s="218" t="n">
        <v>2.77</v>
      </c>
      <c r="F4043" t="str">
        <v>https://re.jrc.ec.europa.eu/api/v5_3/PVcalc?lat=30.0444&amp;lon=31.2357&amp;peakpower=1&amp;loss=14&amp;angle=65&amp;aspect=-90&amp;outputformat=json&amp;raddatabase=PVGIS-SARAH3&amp;pvtechchoice=crystSi&amp;mountingplace=free&amp;usehorizon=1</v>
      </c>
    </row>
    <row r="4044">
      <c r="A4044" t="n">
        <v>65</v>
      </c>
      <c r="B4044" t="n">
        <v>90</v>
      </c>
      <c r="C4044" t="n">
        <v>3</v>
      </c>
      <c r="D4044" s="218" t="n">
        <v>100.58</v>
      </c>
      <c r="E4044" s="218" t="n">
        <v>3.24</v>
      </c>
      <c r="F4044" t="str">
        <v>https://re.jrc.ec.europa.eu/api/v5_3/PVcalc?lat=30.0444&amp;lon=31.2357&amp;peakpower=1&amp;loss=14&amp;angle=65&amp;aspect=-90&amp;outputformat=json&amp;raddatabase=PVGIS-SARAH3&amp;pvtechchoice=crystSi&amp;mountingplace=free&amp;usehorizon=1</v>
      </c>
    </row>
    <row r="4045">
      <c r="A4045" t="n">
        <v>65</v>
      </c>
      <c r="B4045" t="n">
        <v>90</v>
      </c>
      <c r="C4045" t="n">
        <v>4</v>
      </c>
      <c r="D4045" s="218" t="n">
        <v>108.26</v>
      </c>
      <c r="E4045" s="218" t="n">
        <v>3.61</v>
      </c>
      <c r="F4045" t="str">
        <v>https://re.jrc.ec.europa.eu/api/v5_3/PVcalc?lat=30.0444&amp;lon=31.2357&amp;peakpower=1&amp;loss=14&amp;angle=65&amp;aspect=-90&amp;outputformat=json&amp;raddatabase=PVGIS-SARAH3&amp;pvtechchoice=crystSi&amp;mountingplace=free&amp;usehorizon=1</v>
      </c>
    </row>
    <row r="4046">
      <c r="A4046" t="n">
        <v>65</v>
      </c>
      <c r="B4046" t="n">
        <v>90</v>
      </c>
      <c r="C4046" t="n">
        <v>5</v>
      </c>
      <c r="D4046" s="218" t="n">
        <v>119.59</v>
      </c>
      <c r="E4046" s="218" t="n">
        <v>3.86</v>
      </c>
      <c r="F4046" t="str">
        <v>https://re.jrc.ec.europa.eu/api/v5_3/PVcalc?lat=30.0444&amp;lon=31.2357&amp;peakpower=1&amp;loss=14&amp;angle=65&amp;aspect=-90&amp;outputformat=json&amp;raddatabase=PVGIS-SARAH3&amp;pvtechchoice=crystSi&amp;mountingplace=free&amp;usehorizon=1</v>
      </c>
    </row>
    <row r="4047">
      <c r="A4047" t="n">
        <v>65</v>
      </c>
      <c r="B4047" t="n">
        <v>90</v>
      </c>
      <c r="C4047" t="n">
        <v>6</v>
      </c>
      <c r="D4047" s="218" t="n">
        <v>119.12</v>
      </c>
      <c r="E4047" s="218" t="n">
        <v>3.97</v>
      </c>
      <c r="F4047" t="str">
        <v>https://re.jrc.ec.europa.eu/api/v5_3/PVcalc?lat=30.0444&amp;lon=31.2357&amp;peakpower=1&amp;loss=14&amp;angle=65&amp;aspect=-90&amp;outputformat=json&amp;raddatabase=PVGIS-SARAH3&amp;pvtechchoice=crystSi&amp;mountingplace=free&amp;usehorizon=1</v>
      </c>
    </row>
    <row r="4048">
      <c r="A4048" t="n">
        <v>65</v>
      </c>
      <c r="B4048" t="n">
        <v>90</v>
      </c>
      <c r="C4048" t="n">
        <v>7</v>
      </c>
      <c r="D4048" s="218" t="n">
        <v>118.94</v>
      </c>
      <c r="E4048" s="218" t="n">
        <v>3.84</v>
      </c>
      <c r="F4048" t="str">
        <v>https://re.jrc.ec.europa.eu/api/v5_3/PVcalc?lat=30.0444&amp;lon=31.2357&amp;peakpower=1&amp;loss=14&amp;angle=65&amp;aspect=-90&amp;outputformat=json&amp;raddatabase=PVGIS-SARAH3&amp;pvtechchoice=crystSi&amp;mountingplace=free&amp;usehorizon=1</v>
      </c>
    </row>
    <row r="4049">
      <c r="A4049" t="n">
        <v>65</v>
      </c>
      <c r="B4049" t="n">
        <v>90</v>
      </c>
      <c r="C4049" t="n">
        <v>8</v>
      </c>
      <c r="D4049" s="218" t="n">
        <v>113.66</v>
      </c>
      <c r="E4049" s="218" t="n">
        <v>3.67</v>
      </c>
      <c r="F4049" t="str">
        <v>https://re.jrc.ec.europa.eu/api/v5_3/PVcalc?lat=30.0444&amp;lon=31.2357&amp;peakpower=1&amp;loss=14&amp;angle=65&amp;aspect=-90&amp;outputformat=json&amp;raddatabase=PVGIS-SARAH3&amp;pvtechchoice=crystSi&amp;mountingplace=free&amp;usehorizon=1</v>
      </c>
    </row>
    <row r="4050">
      <c r="A4050" t="n">
        <v>65</v>
      </c>
      <c r="B4050" t="n">
        <v>90</v>
      </c>
      <c r="C4050" t="n">
        <v>9</v>
      </c>
      <c r="D4050" s="218" t="n">
        <v>98.78</v>
      </c>
      <c r="E4050" s="218" t="n">
        <v>3.29</v>
      </c>
      <c r="F4050" t="str">
        <v>https://re.jrc.ec.europa.eu/api/v5_3/PVcalc?lat=30.0444&amp;lon=31.2357&amp;peakpower=1&amp;loss=14&amp;angle=65&amp;aspect=-90&amp;outputformat=json&amp;raddatabase=PVGIS-SARAH3&amp;pvtechchoice=crystSi&amp;mountingplace=free&amp;usehorizon=1</v>
      </c>
    </row>
    <row r="4051">
      <c r="A4051" t="n">
        <v>65</v>
      </c>
      <c r="B4051" t="n">
        <v>90</v>
      </c>
      <c r="C4051" t="n">
        <v>10</v>
      </c>
      <c r="D4051" s="218" t="n">
        <v>89.17</v>
      </c>
      <c r="E4051" s="218" t="n">
        <v>2.88</v>
      </c>
      <c r="F4051" t="str">
        <v>https://re.jrc.ec.europa.eu/api/v5_3/PVcalc?lat=30.0444&amp;lon=31.2357&amp;peakpower=1&amp;loss=14&amp;angle=65&amp;aspect=-90&amp;outputformat=json&amp;raddatabase=PVGIS-SARAH3&amp;pvtechchoice=crystSi&amp;mountingplace=free&amp;usehorizon=1</v>
      </c>
    </row>
    <row r="4052">
      <c r="A4052" t="n">
        <v>65</v>
      </c>
      <c r="B4052" t="n">
        <v>90</v>
      </c>
      <c r="C4052" t="n">
        <v>11</v>
      </c>
      <c r="D4052" s="218" t="n">
        <v>73.6</v>
      </c>
      <c r="E4052" s="218" t="n">
        <v>2.45</v>
      </c>
      <c r="F4052" t="str">
        <v>https://re.jrc.ec.europa.eu/api/v5_3/PVcalc?lat=30.0444&amp;lon=31.2357&amp;peakpower=1&amp;loss=14&amp;angle=65&amp;aspect=-90&amp;outputformat=json&amp;raddatabase=PVGIS-SARAH3&amp;pvtechchoice=crystSi&amp;mountingplace=free&amp;usehorizon=1</v>
      </c>
    </row>
    <row r="4053">
      <c r="A4053" t="n">
        <v>65</v>
      </c>
      <c r="B4053" t="n">
        <v>90</v>
      </c>
      <c r="C4053" t="n">
        <v>12</v>
      </c>
      <c r="D4053" s="218" t="n">
        <v>66.98</v>
      </c>
      <c r="E4053" s="218" t="n">
        <v>2.16</v>
      </c>
      <c r="F4053" t="str">
        <v>https://re.jrc.ec.europa.eu/api/v5_3/PVcalc?lat=30.0444&amp;lon=31.2357&amp;peakpower=1&amp;loss=14&amp;angle=65&amp;aspect=-90&amp;outputformat=json&amp;raddatabase=PVGIS-SARAH3&amp;pvtechchoice=crystSi&amp;mountingplace=free&amp;usehorizon=1</v>
      </c>
    </row>
    <row r="4054">
      <c r="A4054" t="n">
        <v>65</v>
      </c>
      <c r="B4054" t="n">
        <v>105</v>
      </c>
      <c r="C4054" t="n">
        <v>1</v>
      </c>
      <c r="D4054" s="218" t="n">
        <v>85.98</v>
      </c>
      <c r="E4054" s="218" t="n">
        <v>2.77</v>
      </c>
      <c r="F4054" t="str">
        <v>https://re.jrc.ec.europa.eu/api/v5_3/PVcalc?lat=30.0444&amp;lon=31.2357&amp;peakpower=1&amp;loss=14&amp;angle=65&amp;aspect=-75&amp;outputformat=json&amp;raddatabase=PVGIS-SARAH3&amp;pvtechchoice=crystSi&amp;mountingplace=free&amp;usehorizon=1</v>
      </c>
    </row>
    <row r="4055">
      <c r="A4055" t="n">
        <v>65</v>
      </c>
      <c r="B4055" t="n">
        <v>105</v>
      </c>
      <c r="C4055" t="n">
        <v>2</v>
      </c>
      <c r="D4055" s="218" t="n">
        <v>90.38</v>
      </c>
      <c r="E4055" s="218" t="n">
        <v>3.23</v>
      </c>
      <c r="F4055" t="str">
        <v>https://re.jrc.ec.europa.eu/api/v5_3/PVcalc?lat=30.0444&amp;lon=31.2357&amp;peakpower=1&amp;loss=14&amp;angle=65&amp;aspect=-75&amp;outputformat=json&amp;raddatabase=PVGIS-SARAH3&amp;pvtechchoice=crystSi&amp;mountingplace=free&amp;usehorizon=1</v>
      </c>
    </row>
    <row r="4056">
      <c r="A4056" t="n">
        <v>65</v>
      </c>
      <c r="B4056" t="n">
        <v>105</v>
      </c>
      <c r="C4056" t="n">
        <v>3</v>
      </c>
      <c r="D4056" s="218" t="n">
        <v>111.67</v>
      </c>
      <c r="E4056" s="218" t="n">
        <v>3.6</v>
      </c>
      <c r="F4056" t="str">
        <v>https://re.jrc.ec.europa.eu/api/v5_3/PVcalc?lat=30.0444&amp;lon=31.2357&amp;peakpower=1&amp;loss=14&amp;angle=65&amp;aspect=-75&amp;outputformat=json&amp;raddatabase=PVGIS-SARAH3&amp;pvtechchoice=crystSi&amp;mountingplace=free&amp;usehorizon=1</v>
      </c>
    </row>
    <row r="4057">
      <c r="A4057" t="n">
        <v>65</v>
      </c>
      <c r="B4057" t="n">
        <v>105</v>
      </c>
      <c r="C4057" t="n">
        <v>4</v>
      </c>
      <c r="D4057" s="218" t="n">
        <v>114.35</v>
      </c>
      <c r="E4057" s="218" t="n">
        <v>3.81</v>
      </c>
      <c r="F4057" t="str">
        <v>https://re.jrc.ec.europa.eu/api/v5_3/PVcalc?lat=30.0444&amp;lon=31.2357&amp;peakpower=1&amp;loss=14&amp;angle=65&amp;aspect=-75&amp;outputformat=json&amp;raddatabase=PVGIS-SARAH3&amp;pvtechchoice=crystSi&amp;mountingplace=free&amp;usehorizon=1</v>
      </c>
    </row>
    <row r="4058">
      <c r="A4058" t="n">
        <v>65</v>
      </c>
      <c r="B4058" t="n">
        <v>105</v>
      </c>
      <c r="C4058" t="n">
        <v>5</v>
      </c>
      <c r="D4058" s="218" t="n">
        <v>121.23</v>
      </c>
      <c r="E4058" s="218" t="n">
        <v>3.91</v>
      </c>
      <c r="F4058" t="str">
        <v>https://re.jrc.ec.europa.eu/api/v5_3/PVcalc?lat=30.0444&amp;lon=31.2357&amp;peakpower=1&amp;loss=14&amp;angle=65&amp;aspect=-75&amp;outputformat=json&amp;raddatabase=PVGIS-SARAH3&amp;pvtechchoice=crystSi&amp;mountingplace=free&amp;usehorizon=1</v>
      </c>
    </row>
    <row r="4059">
      <c r="A4059" t="n">
        <v>65</v>
      </c>
      <c r="B4059" t="n">
        <v>105</v>
      </c>
      <c r="C4059" t="n">
        <v>6</v>
      </c>
      <c r="D4059" s="218" t="n">
        <v>118.44</v>
      </c>
      <c r="E4059" s="218" t="n">
        <v>3.95</v>
      </c>
      <c r="F4059" t="str">
        <v>https://re.jrc.ec.europa.eu/api/v5_3/PVcalc?lat=30.0444&amp;lon=31.2357&amp;peakpower=1&amp;loss=14&amp;angle=65&amp;aspect=-75&amp;outputformat=json&amp;raddatabase=PVGIS-SARAH3&amp;pvtechchoice=crystSi&amp;mountingplace=free&amp;usehorizon=1</v>
      </c>
    </row>
    <row r="4060">
      <c r="A4060" t="n">
        <v>65</v>
      </c>
      <c r="B4060" t="n">
        <v>105</v>
      </c>
      <c r="C4060" t="n">
        <v>7</v>
      </c>
      <c r="D4060" s="218" t="n">
        <v>119.52</v>
      </c>
      <c r="E4060" s="218" t="n">
        <v>3.86</v>
      </c>
      <c r="F4060" t="str">
        <v>https://re.jrc.ec.europa.eu/api/v5_3/PVcalc?lat=30.0444&amp;lon=31.2357&amp;peakpower=1&amp;loss=14&amp;angle=65&amp;aspect=-75&amp;outputformat=json&amp;raddatabase=PVGIS-SARAH3&amp;pvtechchoice=crystSi&amp;mountingplace=free&amp;usehorizon=1</v>
      </c>
    </row>
    <row r="4061">
      <c r="A4061" t="n">
        <v>65</v>
      </c>
      <c r="B4061" t="n">
        <v>105</v>
      </c>
      <c r="C4061" t="n">
        <v>8</v>
      </c>
      <c r="D4061" s="218" t="n">
        <v>118.29</v>
      </c>
      <c r="E4061" s="218" t="n">
        <v>3.82</v>
      </c>
      <c r="F4061" t="str">
        <v>https://re.jrc.ec.europa.eu/api/v5_3/PVcalc?lat=30.0444&amp;lon=31.2357&amp;peakpower=1&amp;loss=14&amp;angle=65&amp;aspect=-75&amp;outputformat=json&amp;raddatabase=PVGIS-SARAH3&amp;pvtechchoice=crystSi&amp;mountingplace=free&amp;usehorizon=1</v>
      </c>
    </row>
    <row r="4062">
      <c r="A4062" t="n">
        <v>65</v>
      </c>
      <c r="B4062" t="n">
        <v>105</v>
      </c>
      <c r="C4062" t="n">
        <v>9</v>
      </c>
      <c r="D4062" s="218" t="n">
        <v>108.58</v>
      </c>
      <c r="E4062" s="218" t="n">
        <v>3.62</v>
      </c>
      <c r="F4062" t="str">
        <v>https://re.jrc.ec.europa.eu/api/v5_3/PVcalc?lat=30.0444&amp;lon=31.2357&amp;peakpower=1&amp;loss=14&amp;angle=65&amp;aspect=-75&amp;outputformat=json&amp;raddatabase=PVGIS-SARAH3&amp;pvtechchoice=crystSi&amp;mountingplace=free&amp;usehorizon=1</v>
      </c>
    </row>
    <row r="4063">
      <c r="A4063" t="n">
        <v>65</v>
      </c>
      <c r="B4063" t="n">
        <v>105</v>
      </c>
      <c r="C4063" t="n">
        <v>10</v>
      </c>
      <c r="D4063" s="218" t="n">
        <v>103.35</v>
      </c>
      <c r="E4063" s="218" t="n">
        <v>3.33</v>
      </c>
      <c r="F4063" t="str">
        <v>https://re.jrc.ec.europa.eu/api/v5_3/PVcalc?lat=30.0444&amp;lon=31.2357&amp;peakpower=1&amp;loss=14&amp;angle=65&amp;aspect=-75&amp;outputformat=json&amp;raddatabase=PVGIS-SARAH3&amp;pvtechchoice=crystSi&amp;mountingplace=free&amp;usehorizon=1</v>
      </c>
    </row>
    <row r="4064">
      <c r="A4064" t="n">
        <v>65</v>
      </c>
      <c r="B4064" t="n">
        <v>105</v>
      </c>
      <c r="C4064" t="n">
        <v>11</v>
      </c>
      <c r="D4064" s="218" t="n">
        <v>90.14</v>
      </c>
      <c r="E4064" s="218" t="n">
        <v>3</v>
      </c>
      <c r="F4064" t="str">
        <v>https://re.jrc.ec.europa.eu/api/v5_3/PVcalc?lat=30.0444&amp;lon=31.2357&amp;peakpower=1&amp;loss=14&amp;angle=65&amp;aspect=-75&amp;outputformat=json&amp;raddatabase=PVGIS-SARAH3&amp;pvtechchoice=crystSi&amp;mountingplace=free&amp;usehorizon=1</v>
      </c>
    </row>
    <row r="4065">
      <c r="A4065" t="n">
        <v>65</v>
      </c>
      <c r="B4065" t="n">
        <v>105</v>
      </c>
      <c r="C4065" t="n">
        <v>12</v>
      </c>
      <c r="D4065" s="218" t="n">
        <v>84.95</v>
      </c>
      <c r="E4065" s="218" t="n">
        <v>2.74</v>
      </c>
      <c r="F4065" t="str">
        <v>https://re.jrc.ec.europa.eu/api/v5_3/PVcalc?lat=30.0444&amp;lon=31.2357&amp;peakpower=1&amp;loss=14&amp;angle=65&amp;aspect=-75&amp;outputformat=json&amp;raddatabase=PVGIS-SARAH3&amp;pvtechchoice=crystSi&amp;mountingplace=free&amp;usehorizon=1</v>
      </c>
    </row>
    <row r="4066">
      <c r="A4066" t="n">
        <v>65</v>
      </c>
      <c r="B4066" t="n">
        <v>120</v>
      </c>
      <c r="C4066" t="n">
        <v>1</v>
      </c>
      <c r="D4066" s="218" t="n">
        <v>102.14</v>
      </c>
      <c r="E4066" s="218" t="n">
        <v>3.29</v>
      </c>
      <c r="F4066" t="str">
        <v>https://re.jrc.ec.europa.eu/api/v5_3/PVcalc?lat=30.0444&amp;lon=31.2357&amp;peakpower=1&amp;loss=14&amp;angle=65&amp;aspect=-60&amp;outputformat=json&amp;raddatabase=PVGIS-SARAH3&amp;pvtechchoice=crystSi&amp;mountingplace=free&amp;usehorizon=1</v>
      </c>
    </row>
    <row r="4067">
      <c r="A4067" t="n">
        <v>65</v>
      </c>
      <c r="B4067" t="n">
        <v>120</v>
      </c>
      <c r="C4067" t="n">
        <v>2</v>
      </c>
      <c r="D4067" s="218" t="n">
        <v>102.3</v>
      </c>
      <c r="E4067" s="218" t="n">
        <v>3.65</v>
      </c>
      <c r="F4067" t="str">
        <v>https://re.jrc.ec.europa.eu/api/v5_3/PVcalc?lat=30.0444&amp;lon=31.2357&amp;peakpower=1&amp;loss=14&amp;angle=65&amp;aspect=-60&amp;outputformat=json&amp;raddatabase=PVGIS-SARAH3&amp;pvtechchoice=crystSi&amp;mountingplace=free&amp;usehorizon=1</v>
      </c>
    </row>
    <row r="4068">
      <c r="A4068" t="n">
        <v>65</v>
      </c>
      <c r="B4068" t="n">
        <v>120</v>
      </c>
      <c r="C4068" t="n">
        <v>3</v>
      </c>
      <c r="D4068" s="218" t="n">
        <v>121.1</v>
      </c>
      <c r="E4068" s="218" t="n">
        <v>3.91</v>
      </c>
      <c r="F4068" t="str">
        <v>https://re.jrc.ec.europa.eu/api/v5_3/PVcalc?lat=30.0444&amp;lon=31.2357&amp;peakpower=1&amp;loss=14&amp;angle=65&amp;aspect=-60&amp;outputformat=json&amp;raddatabase=PVGIS-SARAH3&amp;pvtechchoice=crystSi&amp;mountingplace=free&amp;usehorizon=1</v>
      </c>
    </row>
    <row r="4069">
      <c r="A4069" t="n">
        <v>65</v>
      </c>
      <c r="B4069" t="n">
        <v>120</v>
      </c>
      <c r="C4069" t="n">
        <v>4</v>
      </c>
      <c r="D4069" s="218" t="n">
        <v>118.25</v>
      </c>
      <c r="E4069" s="218" t="n">
        <v>3.94</v>
      </c>
      <c r="F4069" t="str">
        <v>https://re.jrc.ec.europa.eu/api/v5_3/PVcalc?lat=30.0444&amp;lon=31.2357&amp;peakpower=1&amp;loss=14&amp;angle=65&amp;aspect=-60&amp;outputformat=json&amp;raddatabase=PVGIS-SARAH3&amp;pvtechchoice=crystSi&amp;mountingplace=free&amp;usehorizon=1</v>
      </c>
    </row>
    <row r="4070">
      <c r="A4070" t="n">
        <v>65</v>
      </c>
      <c r="B4070" t="n">
        <v>120</v>
      </c>
      <c r="C4070" t="n">
        <v>5</v>
      </c>
      <c r="D4070" s="218" t="n">
        <v>120.15</v>
      </c>
      <c r="E4070" s="218" t="n">
        <v>3.88</v>
      </c>
      <c r="F4070" t="str">
        <v>https://re.jrc.ec.europa.eu/api/v5_3/PVcalc?lat=30.0444&amp;lon=31.2357&amp;peakpower=1&amp;loss=14&amp;angle=65&amp;aspect=-60&amp;outputformat=json&amp;raddatabase=PVGIS-SARAH3&amp;pvtechchoice=crystSi&amp;mountingplace=free&amp;usehorizon=1</v>
      </c>
    </row>
    <row r="4071">
      <c r="A4071" t="n">
        <v>65</v>
      </c>
      <c r="B4071" t="n">
        <v>120</v>
      </c>
      <c r="C4071" t="n">
        <v>6</v>
      </c>
      <c r="D4071" s="218" t="n">
        <v>114.96</v>
      </c>
      <c r="E4071" s="218" t="n">
        <v>3.83</v>
      </c>
      <c r="F4071" t="str">
        <v>https://re.jrc.ec.europa.eu/api/v5_3/PVcalc?lat=30.0444&amp;lon=31.2357&amp;peakpower=1&amp;loss=14&amp;angle=65&amp;aspect=-60&amp;outputformat=json&amp;raddatabase=PVGIS-SARAH3&amp;pvtechchoice=crystSi&amp;mountingplace=free&amp;usehorizon=1</v>
      </c>
    </row>
    <row r="4072">
      <c r="A4072" t="n">
        <v>65</v>
      </c>
      <c r="B4072" t="n">
        <v>120</v>
      </c>
      <c r="C4072" t="n">
        <v>7</v>
      </c>
      <c r="D4072" s="218" t="n">
        <v>117.53</v>
      </c>
      <c r="E4072" s="218" t="n">
        <v>3.79</v>
      </c>
      <c r="F4072" t="str">
        <v>https://re.jrc.ec.europa.eu/api/v5_3/PVcalc?lat=30.0444&amp;lon=31.2357&amp;peakpower=1&amp;loss=14&amp;angle=65&amp;aspect=-60&amp;outputformat=json&amp;raddatabase=PVGIS-SARAH3&amp;pvtechchoice=crystSi&amp;mountingplace=free&amp;usehorizon=1</v>
      </c>
    </row>
    <row r="4073">
      <c r="A4073" t="n">
        <v>65</v>
      </c>
      <c r="B4073" t="n">
        <v>120</v>
      </c>
      <c r="C4073" t="n">
        <v>8</v>
      </c>
      <c r="D4073" s="218" t="n">
        <v>120.39</v>
      </c>
      <c r="E4073" s="218" t="n">
        <v>3.88</v>
      </c>
      <c r="F4073" t="str">
        <v>https://re.jrc.ec.europa.eu/api/v5_3/PVcalc?lat=30.0444&amp;lon=31.2357&amp;peakpower=1&amp;loss=14&amp;angle=65&amp;aspect=-60&amp;outputformat=json&amp;raddatabase=PVGIS-SARAH3&amp;pvtechchoice=crystSi&amp;mountingplace=free&amp;usehorizon=1</v>
      </c>
    </row>
    <row r="4074">
      <c r="A4074" t="n">
        <v>65</v>
      </c>
      <c r="B4074" t="n">
        <v>120</v>
      </c>
      <c r="C4074" t="n">
        <v>9</v>
      </c>
      <c r="D4074" s="218" t="n">
        <v>116.3</v>
      </c>
      <c r="E4074" s="218" t="n">
        <v>3.88</v>
      </c>
      <c r="F4074" t="str">
        <v>https://re.jrc.ec.europa.eu/api/v5_3/PVcalc?lat=30.0444&amp;lon=31.2357&amp;peakpower=1&amp;loss=14&amp;angle=65&amp;aspect=-60&amp;outputformat=json&amp;raddatabase=PVGIS-SARAH3&amp;pvtechchoice=crystSi&amp;mountingplace=free&amp;usehorizon=1</v>
      </c>
    </row>
    <row r="4075">
      <c r="A4075" t="n">
        <v>65</v>
      </c>
      <c r="B4075" t="n">
        <v>120</v>
      </c>
      <c r="C4075" t="n">
        <v>10</v>
      </c>
      <c r="D4075" s="218" t="n">
        <v>116</v>
      </c>
      <c r="E4075" s="218" t="n">
        <v>3.74</v>
      </c>
      <c r="F4075" t="str">
        <v>https://re.jrc.ec.europa.eu/api/v5_3/PVcalc?lat=30.0444&amp;lon=31.2357&amp;peakpower=1&amp;loss=14&amp;angle=65&amp;aspect=-60&amp;outputformat=json&amp;raddatabase=PVGIS-SARAH3&amp;pvtechchoice=crystSi&amp;mountingplace=free&amp;usehorizon=1</v>
      </c>
    </row>
    <row r="4076">
      <c r="A4076" t="n">
        <v>65</v>
      </c>
      <c r="B4076" t="n">
        <v>120</v>
      </c>
      <c r="C4076" t="n">
        <v>11</v>
      </c>
      <c r="D4076" s="218" t="n">
        <v>105.86</v>
      </c>
      <c r="E4076" s="218" t="n">
        <v>3.53</v>
      </c>
      <c r="F4076" t="str">
        <v>https://re.jrc.ec.europa.eu/api/v5_3/PVcalc?lat=30.0444&amp;lon=31.2357&amp;peakpower=1&amp;loss=14&amp;angle=65&amp;aspect=-60&amp;outputformat=json&amp;raddatabase=PVGIS-SARAH3&amp;pvtechchoice=crystSi&amp;mountingplace=free&amp;usehorizon=1</v>
      </c>
    </row>
    <row r="4077">
      <c r="A4077" t="n">
        <v>65</v>
      </c>
      <c r="B4077" t="n">
        <v>120</v>
      </c>
      <c r="C4077" t="n">
        <v>12</v>
      </c>
      <c r="D4077" s="218" t="n">
        <v>102.33</v>
      </c>
      <c r="E4077" s="218" t="n">
        <v>3.3</v>
      </c>
      <c r="F4077" t="str">
        <v>https://re.jrc.ec.europa.eu/api/v5_3/PVcalc?lat=30.0444&amp;lon=31.2357&amp;peakpower=1&amp;loss=14&amp;angle=65&amp;aspect=-60&amp;outputformat=json&amp;raddatabase=PVGIS-SARAH3&amp;pvtechchoice=crystSi&amp;mountingplace=free&amp;usehorizon=1</v>
      </c>
    </row>
    <row r="4078">
      <c r="A4078" t="n">
        <v>65</v>
      </c>
      <c r="B4078" t="n">
        <v>135</v>
      </c>
      <c r="C4078" t="n">
        <v>1</v>
      </c>
      <c r="D4078" s="218" t="n">
        <v>117.07</v>
      </c>
      <c r="E4078" s="218" t="n">
        <v>3.78</v>
      </c>
      <c r="F4078" t="str">
        <v>https://re.jrc.ec.europa.eu/api/v5_3/PVcalc?lat=30.0444&amp;lon=31.2357&amp;peakpower=1&amp;loss=14&amp;angle=65&amp;aspect=-45&amp;outputformat=json&amp;raddatabase=PVGIS-SARAH3&amp;pvtechchoice=crystSi&amp;mountingplace=free&amp;usehorizon=1</v>
      </c>
    </row>
    <row r="4079">
      <c r="A4079" t="n">
        <v>65</v>
      </c>
      <c r="B4079" t="n">
        <v>135</v>
      </c>
      <c r="C4079" t="n">
        <v>2</v>
      </c>
      <c r="D4079" s="218" t="n">
        <v>112.56</v>
      </c>
      <c r="E4079" s="218" t="n">
        <v>4.02</v>
      </c>
      <c r="F4079" t="str">
        <v>https://re.jrc.ec.europa.eu/api/v5_3/PVcalc?lat=30.0444&amp;lon=31.2357&amp;peakpower=1&amp;loss=14&amp;angle=65&amp;aspect=-45&amp;outputformat=json&amp;raddatabase=PVGIS-SARAH3&amp;pvtechchoice=crystSi&amp;mountingplace=free&amp;usehorizon=1</v>
      </c>
    </row>
    <row r="4080">
      <c r="A4080" t="n">
        <v>65</v>
      </c>
      <c r="B4080" t="n">
        <v>135</v>
      </c>
      <c r="C4080" t="n">
        <v>3</v>
      </c>
      <c r="D4080" s="218" t="n">
        <v>128.72</v>
      </c>
      <c r="E4080" s="218" t="n">
        <v>4.15</v>
      </c>
      <c r="F4080" t="str">
        <v>https://re.jrc.ec.europa.eu/api/v5_3/PVcalc?lat=30.0444&amp;lon=31.2357&amp;peakpower=1&amp;loss=14&amp;angle=65&amp;aspect=-45&amp;outputformat=json&amp;raddatabase=PVGIS-SARAH3&amp;pvtechchoice=crystSi&amp;mountingplace=free&amp;usehorizon=1</v>
      </c>
    </row>
    <row r="4081">
      <c r="A4081" t="n">
        <v>65</v>
      </c>
      <c r="B4081" t="n">
        <v>135</v>
      </c>
      <c r="C4081" t="n">
        <v>4</v>
      </c>
      <c r="D4081" s="218" t="n">
        <v>120.56</v>
      </c>
      <c r="E4081" s="218" t="n">
        <v>4.02</v>
      </c>
      <c r="F4081" t="str">
        <v>https://re.jrc.ec.europa.eu/api/v5_3/PVcalc?lat=30.0444&amp;lon=31.2357&amp;peakpower=1&amp;loss=14&amp;angle=65&amp;aspect=-45&amp;outputformat=json&amp;raddatabase=PVGIS-SARAH3&amp;pvtechchoice=crystSi&amp;mountingplace=free&amp;usehorizon=1</v>
      </c>
    </row>
    <row r="4082">
      <c r="A4082" t="n">
        <v>65</v>
      </c>
      <c r="B4082" t="n">
        <v>135</v>
      </c>
      <c r="C4082" t="n">
        <v>5</v>
      </c>
      <c r="D4082" s="218" t="n">
        <v>117.3</v>
      </c>
      <c r="E4082" s="218" t="n">
        <v>3.78</v>
      </c>
      <c r="F4082" t="str">
        <v>https://re.jrc.ec.europa.eu/api/v5_3/PVcalc?lat=30.0444&amp;lon=31.2357&amp;peakpower=1&amp;loss=14&amp;angle=65&amp;aspect=-45&amp;outputformat=json&amp;raddatabase=PVGIS-SARAH3&amp;pvtechchoice=crystSi&amp;mountingplace=free&amp;usehorizon=1</v>
      </c>
    </row>
    <row r="4083">
      <c r="A4083" t="n">
        <v>65</v>
      </c>
      <c r="B4083" t="n">
        <v>135</v>
      </c>
      <c r="C4083" t="n">
        <v>6</v>
      </c>
      <c r="D4083" s="218" t="n">
        <v>109.5</v>
      </c>
      <c r="E4083" s="218" t="n">
        <v>3.65</v>
      </c>
      <c r="F4083" t="str">
        <v>https://re.jrc.ec.europa.eu/api/v5_3/PVcalc?lat=30.0444&amp;lon=31.2357&amp;peakpower=1&amp;loss=14&amp;angle=65&amp;aspect=-45&amp;outputformat=json&amp;raddatabase=PVGIS-SARAH3&amp;pvtechchoice=crystSi&amp;mountingplace=free&amp;usehorizon=1</v>
      </c>
    </row>
    <row r="4084">
      <c r="A4084" t="n">
        <v>65</v>
      </c>
      <c r="B4084" t="n">
        <v>135</v>
      </c>
      <c r="C4084" t="n">
        <v>7</v>
      </c>
      <c r="D4084" s="218" t="n">
        <v>113.54</v>
      </c>
      <c r="E4084" s="218" t="n">
        <v>3.66</v>
      </c>
      <c r="F4084" t="str">
        <v>https://re.jrc.ec.europa.eu/api/v5_3/PVcalc?lat=30.0444&amp;lon=31.2357&amp;peakpower=1&amp;loss=14&amp;angle=65&amp;aspect=-45&amp;outputformat=json&amp;raddatabase=PVGIS-SARAH3&amp;pvtechchoice=crystSi&amp;mountingplace=free&amp;usehorizon=1</v>
      </c>
    </row>
    <row r="4085">
      <c r="A4085" t="n">
        <v>65</v>
      </c>
      <c r="B4085" t="n">
        <v>135</v>
      </c>
      <c r="C4085" t="n">
        <v>8</v>
      </c>
      <c r="D4085" s="218" t="n">
        <v>120.78</v>
      </c>
      <c r="E4085" s="218" t="n">
        <v>3.9</v>
      </c>
      <c r="F4085" t="str">
        <v>https://re.jrc.ec.europa.eu/api/v5_3/PVcalc?lat=30.0444&amp;lon=31.2357&amp;peakpower=1&amp;loss=14&amp;angle=65&amp;aspect=-45&amp;outputformat=json&amp;raddatabase=PVGIS-SARAH3&amp;pvtechchoice=crystSi&amp;mountingplace=free&amp;usehorizon=1</v>
      </c>
    </row>
    <row r="4086">
      <c r="A4086" t="n">
        <v>65</v>
      </c>
      <c r="B4086" t="n">
        <v>135</v>
      </c>
      <c r="C4086" t="n">
        <v>9</v>
      </c>
      <c r="D4086" s="218" t="n">
        <v>122.69</v>
      </c>
      <c r="E4086" s="218" t="n">
        <v>4.09</v>
      </c>
      <c r="F4086" t="str">
        <v>https://re.jrc.ec.europa.eu/api/v5_3/PVcalc?lat=30.0444&amp;lon=31.2357&amp;peakpower=1&amp;loss=14&amp;angle=65&amp;aspect=-45&amp;outputformat=json&amp;raddatabase=PVGIS-SARAH3&amp;pvtechchoice=crystSi&amp;mountingplace=free&amp;usehorizon=1</v>
      </c>
    </row>
    <row r="4087">
      <c r="A4087" t="n">
        <v>65</v>
      </c>
      <c r="B4087" t="n">
        <v>135</v>
      </c>
      <c r="C4087" t="n">
        <v>10</v>
      </c>
      <c r="D4087" s="218" t="n">
        <v>127.37</v>
      </c>
      <c r="E4087" s="218" t="n">
        <v>4.11</v>
      </c>
      <c r="F4087" t="str">
        <v>https://re.jrc.ec.europa.eu/api/v5_3/PVcalc?lat=30.0444&amp;lon=31.2357&amp;peakpower=1&amp;loss=14&amp;angle=65&amp;aspect=-45&amp;outputformat=json&amp;raddatabase=PVGIS-SARAH3&amp;pvtechchoice=crystSi&amp;mountingplace=free&amp;usehorizon=1</v>
      </c>
    </row>
    <row r="4088">
      <c r="A4088" t="n">
        <v>65</v>
      </c>
      <c r="B4088" t="n">
        <v>135</v>
      </c>
      <c r="C4088" t="n">
        <v>11</v>
      </c>
      <c r="D4088" s="218" t="n">
        <v>120.49</v>
      </c>
      <c r="E4088" s="218" t="n">
        <v>4.02</v>
      </c>
      <c r="F4088" t="str">
        <v>https://re.jrc.ec.europa.eu/api/v5_3/PVcalc?lat=30.0444&amp;lon=31.2357&amp;peakpower=1&amp;loss=14&amp;angle=65&amp;aspect=-45&amp;outputformat=json&amp;raddatabase=PVGIS-SARAH3&amp;pvtechchoice=crystSi&amp;mountingplace=free&amp;usehorizon=1</v>
      </c>
    </row>
    <row r="4089">
      <c r="A4089" t="n">
        <v>65</v>
      </c>
      <c r="B4089" t="n">
        <v>135</v>
      </c>
      <c r="C4089" t="n">
        <v>12</v>
      </c>
      <c r="D4089" s="218" t="n">
        <v>118.57</v>
      </c>
      <c r="E4089" s="218" t="n">
        <v>3.82</v>
      </c>
      <c r="F4089" t="str">
        <v>https://re.jrc.ec.europa.eu/api/v5_3/PVcalc?lat=30.0444&amp;lon=31.2357&amp;peakpower=1&amp;loss=14&amp;angle=65&amp;aspect=-45&amp;outputformat=json&amp;raddatabase=PVGIS-SARAH3&amp;pvtechchoice=crystSi&amp;mountingplace=free&amp;usehorizon=1</v>
      </c>
    </row>
    <row r="4090">
      <c r="A4090" t="n">
        <v>65</v>
      </c>
      <c r="B4090" t="n">
        <v>150</v>
      </c>
      <c r="C4090" t="n">
        <v>1</v>
      </c>
      <c r="D4090" s="218" t="n">
        <v>130.07</v>
      </c>
      <c r="E4090" s="218" t="n">
        <v>4.2</v>
      </c>
      <c r="F4090" t="str">
        <v>https://re.jrc.ec.europa.eu/api/v5_3/PVcalc?lat=30.0444&amp;lon=31.2357&amp;peakpower=1&amp;loss=14&amp;angle=65&amp;aspect=-30&amp;outputformat=json&amp;raddatabase=PVGIS-SARAH3&amp;pvtechchoice=crystSi&amp;mountingplace=free&amp;usehorizon=1</v>
      </c>
    </row>
    <row r="4091">
      <c r="A4091" t="n">
        <v>65</v>
      </c>
      <c r="B4091" t="n">
        <v>150</v>
      </c>
      <c r="C4091" t="n">
        <v>2</v>
      </c>
      <c r="D4091" s="218" t="n">
        <v>121.24</v>
      </c>
      <c r="E4091" s="218" t="n">
        <v>4.33</v>
      </c>
      <c r="F4091" t="str">
        <v>https://re.jrc.ec.europa.eu/api/v5_3/PVcalc?lat=30.0444&amp;lon=31.2357&amp;peakpower=1&amp;loss=14&amp;angle=65&amp;aspect=-30&amp;outputformat=json&amp;raddatabase=PVGIS-SARAH3&amp;pvtechchoice=crystSi&amp;mountingplace=free&amp;usehorizon=1</v>
      </c>
    </row>
    <row r="4092">
      <c r="A4092" t="n">
        <v>65</v>
      </c>
      <c r="B4092" t="n">
        <v>150</v>
      </c>
      <c r="C4092" t="n">
        <v>3</v>
      </c>
      <c r="D4092" s="218" t="n">
        <v>135.09</v>
      </c>
      <c r="E4092" s="218" t="n">
        <v>4.36</v>
      </c>
      <c r="F4092" t="str">
        <v>https://re.jrc.ec.europa.eu/api/v5_3/PVcalc?lat=30.0444&amp;lon=31.2357&amp;peakpower=1&amp;loss=14&amp;angle=65&amp;aspect=-30&amp;outputformat=json&amp;raddatabase=PVGIS-SARAH3&amp;pvtechchoice=crystSi&amp;mountingplace=free&amp;usehorizon=1</v>
      </c>
    </row>
    <row r="4093">
      <c r="A4093" t="n">
        <v>65</v>
      </c>
      <c r="B4093" t="n">
        <v>150</v>
      </c>
      <c r="C4093" t="n">
        <v>4</v>
      </c>
      <c r="D4093" s="218" t="n">
        <v>121.46</v>
      </c>
      <c r="E4093" s="218" t="n">
        <v>4.05</v>
      </c>
      <c r="F4093" t="str">
        <v>https://re.jrc.ec.europa.eu/api/v5_3/PVcalc?lat=30.0444&amp;lon=31.2357&amp;peakpower=1&amp;loss=14&amp;angle=65&amp;aspect=-30&amp;outputformat=json&amp;raddatabase=PVGIS-SARAH3&amp;pvtechchoice=crystSi&amp;mountingplace=free&amp;usehorizon=1</v>
      </c>
    </row>
    <row r="4094">
      <c r="A4094" t="n">
        <v>65</v>
      </c>
      <c r="B4094" t="n">
        <v>150</v>
      </c>
      <c r="C4094" t="n">
        <v>5</v>
      </c>
      <c r="D4094" s="218" t="n">
        <v>112.74</v>
      </c>
      <c r="E4094" s="218" t="n">
        <v>3.64</v>
      </c>
      <c r="F4094" t="str">
        <v>https://re.jrc.ec.europa.eu/api/v5_3/PVcalc?lat=30.0444&amp;lon=31.2357&amp;peakpower=1&amp;loss=14&amp;angle=65&amp;aspect=-30&amp;outputformat=json&amp;raddatabase=PVGIS-SARAH3&amp;pvtechchoice=crystSi&amp;mountingplace=free&amp;usehorizon=1</v>
      </c>
    </row>
    <row r="4095">
      <c r="A4095" t="n">
        <v>65</v>
      </c>
      <c r="B4095" t="n">
        <v>150</v>
      </c>
      <c r="C4095" t="n">
        <v>6</v>
      </c>
      <c r="D4095" s="218" t="n">
        <v>102.36</v>
      </c>
      <c r="E4095" s="218" t="n">
        <v>3.41</v>
      </c>
      <c r="F4095" t="str">
        <v>https://re.jrc.ec.europa.eu/api/v5_3/PVcalc?lat=30.0444&amp;lon=31.2357&amp;peakpower=1&amp;loss=14&amp;angle=65&amp;aspect=-30&amp;outputformat=json&amp;raddatabase=PVGIS-SARAH3&amp;pvtechchoice=crystSi&amp;mountingplace=free&amp;usehorizon=1</v>
      </c>
    </row>
    <row r="4096">
      <c r="A4096" t="n">
        <v>65</v>
      </c>
      <c r="B4096" t="n">
        <v>150</v>
      </c>
      <c r="C4096" t="n">
        <v>7</v>
      </c>
      <c r="D4096" s="218" t="n">
        <v>107.86</v>
      </c>
      <c r="E4096" s="218" t="n">
        <v>3.48</v>
      </c>
      <c r="F4096" t="str">
        <v>https://re.jrc.ec.europa.eu/api/v5_3/PVcalc?lat=30.0444&amp;lon=31.2357&amp;peakpower=1&amp;loss=14&amp;angle=65&amp;aspect=-30&amp;outputformat=json&amp;raddatabase=PVGIS-SARAH3&amp;pvtechchoice=crystSi&amp;mountingplace=free&amp;usehorizon=1</v>
      </c>
    </row>
    <row r="4097">
      <c r="A4097" t="n">
        <v>65</v>
      </c>
      <c r="B4097" t="n">
        <v>150</v>
      </c>
      <c r="C4097" t="n">
        <v>8</v>
      </c>
      <c r="D4097" s="218" t="n">
        <v>119.47</v>
      </c>
      <c r="E4097" s="218" t="n">
        <v>3.85</v>
      </c>
      <c r="F4097" t="str">
        <v>https://re.jrc.ec.europa.eu/api/v5_3/PVcalc?lat=30.0444&amp;lon=31.2357&amp;peakpower=1&amp;loss=14&amp;angle=65&amp;aspect=-30&amp;outputformat=json&amp;raddatabase=PVGIS-SARAH3&amp;pvtechchoice=crystSi&amp;mountingplace=free&amp;usehorizon=1</v>
      </c>
    </row>
    <row r="4098">
      <c r="A4098" t="n">
        <v>65</v>
      </c>
      <c r="B4098" t="n">
        <v>150</v>
      </c>
      <c r="C4098" t="n">
        <v>9</v>
      </c>
      <c r="D4098" s="218" t="n">
        <v>127.7</v>
      </c>
      <c r="E4098" s="218" t="n">
        <v>4.26</v>
      </c>
      <c r="F4098" t="str">
        <v>https://re.jrc.ec.europa.eu/api/v5_3/PVcalc?lat=30.0444&amp;lon=31.2357&amp;peakpower=1&amp;loss=14&amp;angle=65&amp;aspect=-30&amp;outputformat=json&amp;raddatabase=PVGIS-SARAH3&amp;pvtechchoice=crystSi&amp;mountingplace=free&amp;usehorizon=1</v>
      </c>
    </row>
    <row r="4099">
      <c r="A4099" t="n">
        <v>65</v>
      </c>
      <c r="B4099" t="n">
        <v>150</v>
      </c>
      <c r="C4099" t="n">
        <v>10</v>
      </c>
      <c r="D4099" s="218" t="n">
        <v>137.36</v>
      </c>
      <c r="E4099" s="218" t="n">
        <v>4.43</v>
      </c>
      <c r="F4099" t="str">
        <v>https://re.jrc.ec.europa.eu/api/v5_3/PVcalc?lat=30.0444&amp;lon=31.2357&amp;peakpower=1&amp;loss=14&amp;angle=65&amp;aspect=-30&amp;outputformat=json&amp;raddatabase=PVGIS-SARAH3&amp;pvtechchoice=crystSi&amp;mountingplace=free&amp;usehorizon=1</v>
      </c>
    </row>
    <row r="4100">
      <c r="A4100" t="n">
        <v>65</v>
      </c>
      <c r="B4100" t="n">
        <v>150</v>
      </c>
      <c r="C4100" t="n">
        <v>11</v>
      </c>
      <c r="D4100" s="218" t="n">
        <v>133.45</v>
      </c>
      <c r="E4100" s="218" t="n">
        <v>4.45</v>
      </c>
      <c r="F4100" t="str">
        <v>https://re.jrc.ec.europa.eu/api/v5_3/PVcalc?lat=30.0444&amp;lon=31.2357&amp;peakpower=1&amp;loss=14&amp;angle=65&amp;aspect=-30&amp;outputformat=json&amp;raddatabase=PVGIS-SARAH3&amp;pvtechchoice=crystSi&amp;mountingplace=free&amp;usehorizon=1</v>
      </c>
    </row>
    <row r="4101">
      <c r="A4101" t="n">
        <v>65</v>
      </c>
      <c r="B4101" t="n">
        <v>150</v>
      </c>
      <c r="C4101" t="n">
        <v>12</v>
      </c>
      <c r="D4101" s="218" t="n">
        <v>132.51</v>
      </c>
      <c r="E4101" s="218" t="n">
        <v>4.27</v>
      </c>
      <c r="F4101" t="str">
        <v>https://re.jrc.ec.europa.eu/api/v5_3/PVcalc?lat=30.0444&amp;lon=31.2357&amp;peakpower=1&amp;loss=14&amp;angle=65&amp;aspect=-30&amp;outputformat=json&amp;raddatabase=PVGIS-SARAH3&amp;pvtechchoice=crystSi&amp;mountingplace=free&amp;usehorizon=1</v>
      </c>
    </row>
    <row r="4102">
      <c r="A4102" t="n">
        <v>65</v>
      </c>
      <c r="B4102" t="n">
        <v>165</v>
      </c>
      <c r="C4102" t="n">
        <v>1</v>
      </c>
      <c r="D4102" s="218" t="n">
        <v>139.15</v>
      </c>
      <c r="E4102" s="218" t="n">
        <v>4.49</v>
      </c>
      <c r="F4102" t="str">
        <v>https://re.jrc.ec.europa.eu/api/v5_3/PVcalc?lat=30.0444&amp;lon=31.2357&amp;peakpower=1&amp;loss=14&amp;angle=65&amp;aspect=-15&amp;outputformat=json&amp;raddatabase=PVGIS-SARAH3&amp;pvtechchoice=crystSi&amp;mountingplace=free&amp;usehorizon=1</v>
      </c>
    </row>
    <row r="4103">
      <c r="A4103" t="n">
        <v>65</v>
      </c>
      <c r="B4103" t="n">
        <v>165</v>
      </c>
      <c r="C4103" t="n">
        <v>2</v>
      </c>
      <c r="D4103" s="218" t="n">
        <v>127.51</v>
      </c>
      <c r="E4103" s="218" t="n">
        <v>4.55</v>
      </c>
      <c r="F4103" t="str">
        <v>https://re.jrc.ec.europa.eu/api/v5_3/PVcalc?lat=30.0444&amp;lon=31.2357&amp;peakpower=1&amp;loss=14&amp;angle=65&amp;aspect=-15&amp;outputformat=json&amp;raddatabase=PVGIS-SARAH3&amp;pvtechchoice=crystSi&amp;mountingplace=free&amp;usehorizon=1</v>
      </c>
    </row>
    <row r="4104">
      <c r="A4104" t="n">
        <v>65</v>
      </c>
      <c r="B4104" t="n">
        <v>165</v>
      </c>
      <c r="C4104" t="n">
        <v>3</v>
      </c>
      <c r="D4104" s="218" t="n">
        <v>140.22</v>
      </c>
      <c r="E4104" s="218" t="n">
        <v>4.52</v>
      </c>
      <c r="F4104" t="str">
        <v>https://re.jrc.ec.europa.eu/api/v5_3/PVcalc?lat=30.0444&amp;lon=31.2357&amp;peakpower=1&amp;loss=14&amp;angle=65&amp;aspect=-15&amp;outputformat=json&amp;raddatabase=PVGIS-SARAH3&amp;pvtechchoice=crystSi&amp;mountingplace=free&amp;usehorizon=1</v>
      </c>
    </row>
    <row r="4105">
      <c r="A4105" t="n">
        <v>65</v>
      </c>
      <c r="B4105" t="n">
        <v>165</v>
      </c>
      <c r="C4105" t="n">
        <v>4</v>
      </c>
      <c r="D4105" s="218" t="n">
        <v>121.8</v>
      </c>
      <c r="E4105" s="218" t="n">
        <v>4.06</v>
      </c>
      <c r="F4105" t="str">
        <v>https://re.jrc.ec.europa.eu/api/v5_3/PVcalc?lat=30.0444&amp;lon=31.2357&amp;peakpower=1&amp;loss=14&amp;angle=65&amp;aspect=-15&amp;outputformat=json&amp;raddatabase=PVGIS-SARAH3&amp;pvtechchoice=crystSi&amp;mountingplace=free&amp;usehorizon=1</v>
      </c>
    </row>
    <row r="4106">
      <c r="A4106" t="n">
        <v>65</v>
      </c>
      <c r="B4106" t="n">
        <v>165</v>
      </c>
      <c r="C4106" t="n">
        <v>5</v>
      </c>
      <c r="D4106" s="218" t="n">
        <v>107.97</v>
      </c>
      <c r="E4106" s="218" t="n">
        <v>3.48</v>
      </c>
      <c r="F4106" t="str">
        <v>https://re.jrc.ec.europa.eu/api/v5_3/PVcalc?lat=30.0444&amp;lon=31.2357&amp;peakpower=1&amp;loss=14&amp;angle=65&amp;aspect=-15&amp;outputformat=json&amp;raddatabase=PVGIS-SARAH3&amp;pvtechchoice=crystSi&amp;mountingplace=free&amp;usehorizon=1</v>
      </c>
    </row>
    <row r="4107">
      <c r="A4107" t="n">
        <v>65</v>
      </c>
      <c r="B4107" t="n">
        <v>165</v>
      </c>
      <c r="C4107" t="n">
        <v>6</v>
      </c>
      <c r="D4107" s="218" t="n">
        <v>95.26</v>
      </c>
      <c r="E4107" s="218" t="n">
        <v>3.18</v>
      </c>
      <c r="F4107" t="str">
        <v>https://re.jrc.ec.europa.eu/api/v5_3/PVcalc?lat=30.0444&amp;lon=31.2357&amp;peakpower=1&amp;loss=14&amp;angle=65&amp;aspect=-15&amp;outputformat=json&amp;raddatabase=PVGIS-SARAH3&amp;pvtechchoice=crystSi&amp;mountingplace=free&amp;usehorizon=1</v>
      </c>
    </row>
    <row r="4108">
      <c r="A4108" t="n">
        <v>65</v>
      </c>
      <c r="B4108" t="n">
        <v>165</v>
      </c>
      <c r="C4108" t="n">
        <v>7</v>
      </c>
      <c r="D4108" s="218" t="n">
        <v>102.27</v>
      </c>
      <c r="E4108" s="218" t="n">
        <v>3.3</v>
      </c>
      <c r="F4108" t="str">
        <v>https://re.jrc.ec.europa.eu/api/v5_3/PVcalc?lat=30.0444&amp;lon=31.2357&amp;peakpower=1&amp;loss=14&amp;angle=65&amp;aspect=-15&amp;outputformat=json&amp;raddatabase=PVGIS-SARAH3&amp;pvtechchoice=crystSi&amp;mountingplace=free&amp;usehorizon=1</v>
      </c>
    </row>
    <row r="4109">
      <c r="A4109" t="n">
        <v>65</v>
      </c>
      <c r="B4109" t="n">
        <v>165</v>
      </c>
      <c r="C4109" t="n">
        <v>8</v>
      </c>
      <c r="D4109" s="218" t="n">
        <v>117.85</v>
      </c>
      <c r="E4109" s="218" t="n">
        <v>3.8</v>
      </c>
      <c r="F4109" t="str">
        <v>https://re.jrc.ec.europa.eu/api/v5_3/PVcalc?lat=30.0444&amp;lon=31.2357&amp;peakpower=1&amp;loss=14&amp;angle=65&amp;aspect=-15&amp;outputformat=json&amp;raddatabase=PVGIS-SARAH3&amp;pvtechchoice=crystSi&amp;mountingplace=free&amp;usehorizon=1</v>
      </c>
    </row>
    <row r="4110">
      <c r="A4110" t="n">
        <v>65</v>
      </c>
      <c r="B4110" t="n">
        <v>165</v>
      </c>
      <c r="C4110" t="n">
        <v>9</v>
      </c>
      <c r="D4110" s="218" t="n">
        <v>131.95</v>
      </c>
      <c r="E4110" s="218" t="n">
        <v>4.4</v>
      </c>
      <c r="F4110" t="str">
        <v>https://re.jrc.ec.europa.eu/api/v5_3/PVcalc?lat=30.0444&amp;lon=31.2357&amp;peakpower=1&amp;loss=14&amp;angle=65&amp;aspect=-15&amp;outputformat=json&amp;raddatabase=PVGIS-SARAH3&amp;pvtechchoice=crystSi&amp;mountingplace=free&amp;usehorizon=1</v>
      </c>
    </row>
    <row r="4111">
      <c r="A4111" t="n">
        <v>65</v>
      </c>
      <c r="B4111" t="n">
        <v>165</v>
      </c>
      <c r="C4111" t="n">
        <v>10</v>
      </c>
      <c r="D4111" s="218" t="n">
        <v>145.51</v>
      </c>
      <c r="E4111" s="218" t="n">
        <v>4.69</v>
      </c>
      <c r="F4111" t="str">
        <v>https://re.jrc.ec.europa.eu/api/v5_3/PVcalc?lat=30.0444&amp;lon=31.2357&amp;peakpower=1&amp;loss=14&amp;angle=65&amp;aspect=-15&amp;outputformat=json&amp;raddatabase=PVGIS-SARAH3&amp;pvtechchoice=crystSi&amp;mountingplace=free&amp;usehorizon=1</v>
      </c>
    </row>
    <row r="4112">
      <c r="A4112" t="n">
        <v>65</v>
      </c>
      <c r="B4112" t="n">
        <v>165</v>
      </c>
      <c r="C4112" t="n">
        <v>11</v>
      </c>
      <c r="D4112" s="218" t="n">
        <v>142.9</v>
      </c>
      <c r="E4112" s="218" t="n">
        <v>4.76</v>
      </c>
      <c r="F4112" t="str">
        <v>https://re.jrc.ec.europa.eu/api/v5_3/PVcalc?lat=30.0444&amp;lon=31.2357&amp;peakpower=1&amp;loss=14&amp;angle=65&amp;aspect=-15&amp;outputformat=json&amp;raddatabase=PVGIS-SARAH3&amp;pvtechchoice=crystSi&amp;mountingplace=free&amp;usehorizon=1</v>
      </c>
    </row>
    <row r="4113">
      <c r="A4113" t="n">
        <v>65</v>
      </c>
      <c r="B4113" t="n">
        <v>165</v>
      </c>
      <c r="C4113" t="n">
        <v>12</v>
      </c>
      <c r="D4113" s="218" t="n">
        <v>142.01</v>
      </c>
      <c r="E4113" s="218" t="n">
        <v>4.58</v>
      </c>
      <c r="F4113" t="str">
        <v>https://re.jrc.ec.europa.eu/api/v5_3/PVcalc?lat=30.0444&amp;lon=31.2357&amp;peakpower=1&amp;loss=14&amp;angle=65&amp;aspect=-15&amp;outputformat=json&amp;raddatabase=PVGIS-SARAH3&amp;pvtechchoice=crystSi&amp;mountingplace=free&amp;usehorizon=1</v>
      </c>
    </row>
    <row r="4114">
      <c r="A4114" t="n">
        <v>65</v>
      </c>
      <c r="B4114" t="n">
        <v>180</v>
      </c>
      <c r="C4114" t="n">
        <v>1</v>
      </c>
      <c r="D4114" s="218" t="n">
        <v>141.91</v>
      </c>
      <c r="E4114" s="218" t="n">
        <v>4.58</v>
      </c>
      <c r="F4114" t="str">
        <v>https://re.jrc.ec.europa.eu/api/v5_3/PVcalc?lat=30.0444&amp;lon=31.2357&amp;peakpower=1&amp;loss=14&amp;angle=65&amp;aspect=0&amp;outputformat=json&amp;raddatabase=PVGIS-SARAH3&amp;pvtechchoice=crystSi&amp;mountingplace=free&amp;usehorizon=1</v>
      </c>
    </row>
    <row r="4115">
      <c r="A4115" t="n">
        <v>65</v>
      </c>
      <c r="B4115" t="n">
        <v>180</v>
      </c>
      <c r="C4115" t="n">
        <v>2</v>
      </c>
      <c r="D4115" s="218" t="n">
        <v>129.5</v>
      </c>
      <c r="E4115" s="218" t="n">
        <v>4.62</v>
      </c>
      <c r="F4115" t="str">
        <v>https://re.jrc.ec.europa.eu/api/v5_3/PVcalc?lat=30.0444&amp;lon=31.2357&amp;peakpower=1&amp;loss=14&amp;angle=65&amp;aspect=0&amp;outputformat=json&amp;raddatabase=PVGIS-SARAH3&amp;pvtechchoice=crystSi&amp;mountingplace=free&amp;usehorizon=1</v>
      </c>
    </row>
    <row r="4116">
      <c r="A4116" t="n">
        <v>65</v>
      </c>
      <c r="B4116" t="n">
        <v>180</v>
      </c>
      <c r="C4116" t="n">
        <v>3</v>
      </c>
      <c r="D4116" s="218" t="n">
        <v>143.21</v>
      </c>
      <c r="E4116" s="218" t="n">
        <v>4.62</v>
      </c>
      <c r="F4116" t="str">
        <v>https://re.jrc.ec.europa.eu/api/v5_3/PVcalc?lat=30.0444&amp;lon=31.2357&amp;peakpower=1&amp;loss=14&amp;angle=65&amp;aspect=0&amp;outputformat=json&amp;raddatabase=PVGIS-SARAH3&amp;pvtechchoice=crystSi&amp;mountingplace=free&amp;usehorizon=1</v>
      </c>
    </row>
    <row r="4117">
      <c r="A4117" t="n">
        <v>65</v>
      </c>
      <c r="B4117" t="n">
        <v>180</v>
      </c>
      <c r="C4117" t="n">
        <v>4</v>
      </c>
      <c r="D4117" s="218" t="n">
        <v>122.43</v>
      </c>
      <c r="E4117" s="218" t="n">
        <v>4.08</v>
      </c>
      <c r="F4117" t="str">
        <v>https://re.jrc.ec.europa.eu/api/v5_3/PVcalc?lat=30.0444&amp;lon=31.2357&amp;peakpower=1&amp;loss=14&amp;angle=65&amp;aspect=0&amp;outputformat=json&amp;raddatabase=PVGIS-SARAH3&amp;pvtechchoice=crystSi&amp;mountingplace=free&amp;usehorizon=1</v>
      </c>
    </row>
    <row r="4118">
      <c r="A4118" t="n">
        <v>65</v>
      </c>
      <c r="B4118" t="n">
        <v>180</v>
      </c>
      <c r="C4118" t="n">
        <v>5</v>
      </c>
      <c r="D4118" s="218" t="n">
        <v>105.67</v>
      </c>
      <c r="E4118" s="218" t="n">
        <v>3.41</v>
      </c>
      <c r="F4118" t="str">
        <v>https://re.jrc.ec.europa.eu/api/v5_3/PVcalc?lat=30.0444&amp;lon=31.2357&amp;peakpower=1&amp;loss=14&amp;angle=65&amp;aspect=0&amp;outputformat=json&amp;raddatabase=PVGIS-SARAH3&amp;pvtechchoice=crystSi&amp;mountingplace=free&amp;usehorizon=1</v>
      </c>
    </row>
    <row r="4119">
      <c r="A4119" t="n">
        <v>65</v>
      </c>
      <c r="B4119" t="n">
        <v>180</v>
      </c>
      <c r="C4119" t="n">
        <v>6</v>
      </c>
      <c r="D4119" s="218" t="n">
        <v>92.03</v>
      </c>
      <c r="E4119" s="218" t="n">
        <v>3.07</v>
      </c>
      <c r="F4119" t="str">
        <v>https://re.jrc.ec.europa.eu/api/v5_3/PVcalc?lat=30.0444&amp;lon=31.2357&amp;peakpower=1&amp;loss=14&amp;angle=65&amp;aspect=0&amp;outputformat=json&amp;raddatabase=PVGIS-SARAH3&amp;pvtechchoice=crystSi&amp;mountingplace=free&amp;usehorizon=1</v>
      </c>
    </row>
    <row r="4120">
      <c r="A4120" t="n">
        <v>65</v>
      </c>
      <c r="B4120" t="n">
        <v>180</v>
      </c>
      <c r="C4120" t="n">
        <v>7</v>
      </c>
      <c r="D4120" s="218" t="n">
        <v>99.76</v>
      </c>
      <c r="E4120" s="218" t="n">
        <v>3.22</v>
      </c>
      <c r="F4120" t="str">
        <v>https://re.jrc.ec.europa.eu/api/v5_3/PVcalc?lat=30.0444&amp;lon=31.2357&amp;peakpower=1&amp;loss=14&amp;angle=65&amp;aspect=0&amp;outputformat=json&amp;raddatabase=PVGIS-SARAH3&amp;pvtechchoice=crystSi&amp;mountingplace=free&amp;usehorizon=1</v>
      </c>
    </row>
    <row r="4121">
      <c r="A4121" t="n">
        <v>65</v>
      </c>
      <c r="B4121" t="n">
        <v>180</v>
      </c>
      <c r="C4121" t="n">
        <v>8</v>
      </c>
      <c r="D4121" s="218" t="n">
        <v>117.72</v>
      </c>
      <c r="E4121" s="218" t="n">
        <v>3.8</v>
      </c>
      <c r="F4121" t="str">
        <v>https://re.jrc.ec.europa.eu/api/v5_3/PVcalc?lat=30.0444&amp;lon=31.2357&amp;peakpower=1&amp;loss=14&amp;angle=65&amp;aspect=0&amp;outputformat=json&amp;raddatabase=PVGIS-SARAH3&amp;pvtechchoice=crystSi&amp;mountingplace=free&amp;usehorizon=1</v>
      </c>
    </row>
    <row r="4122">
      <c r="A4122" t="n">
        <v>65</v>
      </c>
      <c r="B4122" t="n">
        <v>180</v>
      </c>
      <c r="C4122" t="n">
        <v>9</v>
      </c>
      <c r="D4122" s="218" t="n">
        <v>135.16</v>
      </c>
      <c r="E4122" s="218" t="n">
        <v>4.51</v>
      </c>
      <c r="F4122" t="str">
        <v>https://re.jrc.ec.europa.eu/api/v5_3/PVcalc?lat=30.0444&amp;lon=31.2357&amp;peakpower=1&amp;loss=14&amp;angle=65&amp;aspect=0&amp;outputformat=json&amp;raddatabase=PVGIS-SARAH3&amp;pvtechchoice=crystSi&amp;mountingplace=free&amp;usehorizon=1</v>
      </c>
    </row>
    <row r="4123">
      <c r="A4123" t="n">
        <v>65</v>
      </c>
      <c r="B4123" t="n">
        <v>180</v>
      </c>
      <c r="C4123" t="n">
        <v>10</v>
      </c>
      <c r="D4123" s="218" t="n">
        <v>149.3</v>
      </c>
      <c r="E4123" s="218" t="n">
        <v>4.82</v>
      </c>
      <c r="F4123" t="str">
        <v>https://re.jrc.ec.europa.eu/api/v5_3/PVcalc?lat=30.0444&amp;lon=31.2357&amp;peakpower=1&amp;loss=14&amp;angle=65&amp;aspect=0&amp;outputformat=json&amp;raddatabase=PVGIS-SARAH3&amp;pvtechchoice=crystSi&amp;mountingplace=free&amp;usehorizon=1</v>
      </c>
    </row>
    <row r="4124">
      <c r="A4124" t="n">
        <v>65</v>
      </c>
      <c r="B4124" t="n">
        <v>180</v>
      </c>
      <c r="C4124" t="n">
        <v>11</v>
      </c>
      <c r="D4124" s="218" t="n">
        <v>146.14</v>
      </c>
      <c r="E4124" s="218" t="n">
        <v>4.87</v>
      </c>
      <c r="F4124" t="str">
        <v>https://re.jrc.ec.europa.eu/api/v5_3/PVcalc?lat=30.0444&amp;lon=31.2357&amp;peakpower=1&amp;loss=14&amp;angle=65&amp;aspect=0&amp;outputformat=json&amp;raddatabase=PVGIS-SARAH3&amp;pvtechchoice=crystSi&amp;mountingplace=free&amp;usehorizon=1</v>
      </c>
    </row>
    <row r="4125">
      <c r="A4125" t="n">
        <v>65</v>
      </c>
      <c r="B4125" t="n">
        <v>180</v>
      </c>
      <c r="C4125" t="n">
        <v>12</v>
      </c>
      <c r="D4125" s="218" t="n">
        <v>144.88</v>
      </c>
      <c r="E4125" s="218" t="n">
        <v>4.67</v>
      </c>
      <c r="F4125" t="str">
        <v>https://re.jrc.ec.europa.eu/api/v5_3/PVcalc?lat=30.0444&amp;lon=31.2357&amp;peakpower=1&amp;loss=14&amp;angle=65&amp;aspect=0&amp;outputformat=json&amp;raddatabase=PVGIS-SARAH3&amp;pvtechchoice=crystSi&amp;mountingplace=free&amp;usehorizon=1</v>
      </c>
    </row>
    <row r="4126">
      <c r="A4126" t="n">
        <v>65</v>
      </c>
      <c r="B4126" t="n">
        <v>195</v>
      </c>
      <c r="C4126" t="n">
        <v>1</v>
      </c>
      <c r="D4126" s="218" t="n">
        <v>138.01</v>
      </c>
      <c r="E4126" s="218" t="n">
        <v>4.45</v>
      </c>
      <c r="F4126" t="str">
        <v>https://re.jrc.ec.europa.eu/api/v5_3/PVcalc?lat=30.0444&amp;lon=31.2357&amp;peakpower=1&amp;loss=14&amp;angle=65&amp;aspect=15&amp;outputformat=json&amp;raddatabase=PVGIS-SARAH3&amp;pvtechchoice=crystSi&amp;mountingplace=free&amp;usehorizon=1</v>
      </c>
    </row>
    <row r="4127">
      <c r="A4127" t="n">
        <v>65</v>
      </c>
      <c r="B4127" t="n">
        <v>195</v>
      </c>
      <c r="C4127" t="n">
        <v>2</v>
      </c>
      <c r="D4127" s="218" t="n">
        <v>125.97</v>
      </c>
      <c r="E4127" s="218" t="n">
        <v>4.5</v>
      </c>
      <c r="F4127" t="str">
        <v>https://re.jrc.ec.europa.eu/api/v5_3/PVcalc?lat=30.0444&amp;lon=31.2357&amp;peakpower=1&amp;loss=14&amp;angle=65&amp;aspect=15&amp;outputformat=json&amp;raddatabase=PVGIS-SARAH3&amp;pvtechchoice=crystSi&amp;mountingplace=free&amp;usehorizon=1</v>
      </c>
    </row>
    <row r="4128">
      <c r="A4128" t="n">
        <v>65</v>
      </c>
      <c r="B4128" t="n">
        <v>195</v>
      </c>
      <c r="C4128" t="n">
        <v>3</v>
      </c>
      <c r="D4128" s="218" t="n">
        <v>142.09</v>
      </c>
      <c r="E4128" s="218" t="n">
        <v>4.58</v>
      </c>
      <c r="F4128" t="str">
        <v>https://re.jrc.ec.europa.eu/api/v5_3/PVcalc?lat=30.0444&amp;lon=31.2357&amp;peakpower=1&amp;loss=14&amp;angle=65&amp;aspect=15&amp;outputformat=json&amp;raddatabase=PVGIS-SARAH3&amp;pvtechchoice=crystSi&amp;mountingplace=free&amp;usehorizon=1</v>
      </c>
    </row>
    <row r="4129">
      <c r="A4129" t="n">
        <v>65</v>
      </c>
      <c r="B4129" t="n">
        <v>195</v>
      </c>
      <c r="C4129" t="n">
        <v>4</v>
      </c>
      <c r="D4129" s="218" t="n">
        <v>123.83</v>
      </c>
      <c r="E4129" s="218" t="n">
        <v>4.13</v>
      </c>
      <c r="F4129" t="str">
        <v>https://re.jrc.ec.europa.eu/api/v5_3/PVcalc?lat=30.0444&amp;lon=31.2357&amp;peakpower=1&amp;loss=14&amp;angle=65&amp;aspect=15&amp;outputformat=json&amp;raddatabase=PVGIS-SARAH3&amp;pvtechchoice=crystSi&amp;mountingplace=free&amp;usehorizon=1</v>
      </c>
    </row>
    <row r="4130">
      <c r="A4130" t="n">
        <v>65</v>
      </c>
      <c r="B4130" t="n">
        <v>195</v>
      </c>
      <c r="C4130" t="n">
        <v>5</v>
      </c>
      <c r="D4130" s="218" t="n">
        <v>108.49</v>
      </c>
      <c r="E4130" s="218" t="n">
        <v>3.5</v>
      </c>
      <c r="F4130" t="str">
        <v>https://re.jrc.ec.europa.eu/api/v5_3/PVcalc?lat=30.0444&amp;lon=31.2357&amp;peakpower=1&amp;loss=14&amp;angle=65&amp;aspect=15&amp;outputformat=json&amp;raddatabase=PVGIS-SARAH3&amp;pvtechchoice=crystSi&amp;mountingplace=free&amp;usehorizon=1</v>
      </c>
    </row>
    <row r="4131">
      <c r="A4131" t="n">
        <v>65</v>
      </c>
      <c r="B4131" t="n">
        <v>195</v>
      </c>
      <c r="C4131" t="n">
        <v>6</v>
      </c>
      <c r="D4131" s="218" t="n">
        <v>95.86</v>
      </c>
      <c r="E4131" s="218" t="n">
        <v>3.2</v>
      </c>
      <c r="F4131" t="str">
        <v>https://re.jrc.ec.europa.eu/api/v5_3/PVcalc?lat=30.0444&amp;lon=31.2357&amp;peakpower=1&amp;loss=14&amp;angle=65&amp;aspect=15&amp;outputformat=json&amp;raddatabase=PVGIS-SARAH3&amp;pvtechchoice=crystSi&amp;mountingplace=free&amp;usehorizon=1</v>
      </c>
    </row>
    <row r="4132">
      <c r="A4132" t="n">
        <v>65</v>
      </c>
      <c r="B4132" t="n">
        <v>195</v>
      </c>
      <c r="C4132" t="n">
        <v>7</v>
      </c>
      <c r="D4132" s="218" t="n">
        <v>103.62</v>
      </c>
      <c r="E4132" s="218" t="n">
        <v>3.34</v>
      </c>
      <c r="F4132" t="str">
        <v>https://re.jrc.ec.europa.eu/api/v5_3/PVcalc?lat=30.0444&amp;lon=31.2357&amp;peakpower=1&amp;loss=14&amp;angle=65&amp;aspect=15&amp;outputformat=json&amp;raddatabase=PVGIS-SARAH3&amp;pvtechchoice=crystSi&amp;mountingplace=free&amp;usehorizon=1</v>
      </c>
    </row>
    <row r="4133">
      <c r="A4133" t="n">
        <v>65</v>
      </c>
      <c r="B4133" t="n">
        <v>195</v>
      </c>
      <c r="C4133" t="n">
        <v>8</v>
      </c>
      <c r="D4133" s="218" t="n">
        <v>120.72</v>
      </c>
      <c r="E4133" s="218" t="n">
        <v>3.89</v>
      </c>
      <c r="F4133" t="str">
        <v>https://re.jrc.ec.europa.eu/api/v5_3/PVcalc?lat=30.0444&amp;lon=31.2357&amp;peakpower=1&amp;loss=14&amp;angle=65&amp;aspect=15&amp;outputformat=json&amp;raddatabase=PVGIS-SARAH3&amp;pvtechchoice=crystSi&amp;mountingplace=free&amp;usehorizon=1</v>
      </c>
    </row>
    <row r="4134">
      <c r="A4134" t="n">
        <v>65</v>
      </c>
      <c r="B4134" t="n">
        <v>195</v>
      </c>
      <c r="C4134" t="n">
        <v>9</v>
      </c>
      <c r="D4134" s="218" t="n">
        <v>135.87</v>
      </c>
      <c r="E4134" s="218" t="n">
        <v>4.53</v>
      </c>
      <c r="F4134" t="str">
        <v>https://re.jrc.ec.europa.eu/api/v5_3/PVcalc?lat=30.0444&amp;lon=31.2357&amp;peakpower=1&amp;loss=14&amp;angle=65&amp;aspect=15&amp;outputformat=json&amp;raddatabase=PVGIS-SARAH3&amp;pvtechchoice=crystSi&amp;mountingplace=free&amp;usehorizon=1</v>
      </c>
    </row>
    <row r="4135">
      <c r="A4135" t="n">
        <v>65</v>
      </c>
      <c r="B4135" t="n">
        <v>195</v>
      </c>
      <c r="C4135" t="n">
        <v>10</v>
      </c>
      <c r="D4135" s="218" t="n">
        <v>146.75</v>
      </c>
      <c r="E4135" s="218" t="n">
        <v>4.73</v>
      </c>
      <c r="F4135" t="str">
        <v>https://re.jrc.ec.europa.eu/api/v5_3/PVcalc?lat=30.0444&amp;lon=31.2357&amp;peakpower=1&amp;loss=14&amp;angle=65&amp;aspect=15&amp;outputformat=json&amp;raddatabase=PVGIS-SARAH3&amp;pvtechchoice=crystSi&amp;mountingplace=free&amp;usehorizon=1</v>
      </c>
    </row>
    <row r="4136">
      <c r="A4136" t="n">
        <v>65</v>
      </c>
      <c r="B4136" t="n">
        <v>195</v>
      </c>
      <c r="C4136" t="n">
        <v>11</v>
      </c>
      <c r="D4136" s="218" t="n">
        <v>142.41</v>
      </c>
      <c r="E4136" s="218" t="n">
        <v>4.75</v>
      </c>
      <c r="F4136" t="str">
        <v>https://re.jrc.ec.europa.eu/api/v5_3/PVcalc?lat=30.0444&amp;lon=31.2357&amp;peakpower=1&amp;loss=14&amp;angle=65&amp;aspect=15&amp;outputformat=json&amp;raddatabase=PVGIS-SARAH3&amp;pvtechchoice=crystSi&amp;mountingplace=free&amp;usehorizon=1</v>
      </c>
    </row>
    <row r="4137">
      <c r="A4137" t="n">
        <v>65</v>
      </c>
      <c r="B4137" t="n">
        <v>195</v>
      </c>
      <c r="C4137" t="n">
        <v>12</v>
      </c>
      <c r="D4137" s="218" t="n">
        <v>140.8</v>
      </c>
      <c r="E4137" s="218" t="n">
        <v>4.54</v>
      </c>
      <c r="F4137" t="str">
        <v>https://re.jrc.ec.europa.eu/api/v5_3/PVcalc?lat=30.0444&amp;lon=31.2357&amp;peakpower=1&amp;loss=14&amp;angle=65&amp;aspect=15&amp;outputformat=json&amp;raddatabase=PVGIS-SARAH3&amp;pvtechchoice=crystSi&amp;mountingplace=free&amp;usehorizon=1</v>
      </c>
    </row>
    <row r="4138">
      <c r="A4138" t="n">
        <v>65</v>
      </c>
      <c r="B4138" t="n">
        <v>210</v>
      </c>
      <c r="C4138" t="n">
        <v>1</v>
      </c>
      <c r="D4138" s="218" t="n">
        <v>127.8</v>
      </c>
      <c r="E4138" s="218" t="n">
        <v>4.12</v>
      </c>
      <c r="F4138" t="str">
        <v>https://re.jrc.ec.europa.eu/api/v5_3/PVcalc?lat=30.0444&amp;lon=31.2357&amp;peakpower=1&amp;loss=14&amp;angle=65&amp;aspect=30&amp;outputformat=json&amp;raddatabase=PVGIS-SARAH3&amp;pvtechchoice=crystSi&amp;mountingplace=free&amp;usehorizon=1</v>
      </c>
    </row>
    <row r="4139">
      <c r="A4139" t="n">
        <v>65</v>
      </c>
      <c r="B4139" t="n">
        <v>210</v>
      </c>
      <c r="C4139" t="n">
        <v>2</v>
      </c>
      <c r="D4139" s="218" t="n">
        <v>118.09</v>
      </c>
      <c r="E4139" s="218" t="n">
        <v>4.22</v>
      </c>
      <c r="F4139" t="str">
        <v>https://re.jrc.ec.europa.eu/api/v5_3/PVcalc?lat=30.0444&amp;lon=31.2357&amp;peakpower=1&amp;loss=14&amp;angle=65&amp;aspect=30&amp;outputformat=json&amp;raddatabase=PVGIS-SARAH3&amp;pvtechchoice=crystSi&amp;mountingplace=free&amp;usehorizon=1</v>
      </c>
    </row>
    <row r="4140">
      <c r="A4140" t="n">
        <v>65</v>
      </c>
      <c r="B4140" t="n">
        <v>210</v>
      </c>
      <c r="C4140" t="n">
        <v>3</v>
      </c>
      <c r="D4140" s="218" t="n">
        <v>137.94</v>
      </c>
      <c r="E4140" s="218" t="n">
        <v>4.45</v>
      </c>
      <c r="F4140" t="str">
        <v>https://re.jrc.ec.europa.eu/api/v5_3/PVcalc?lat=30.0444&amp;lon=31.2357&amp;peakpower=1&amp;loss=14&amp;angle=65&amp;aspect=30&amp;outputformat=json&amp;raddatabase=PVGIS-SARAH3&amp;pvtechchoice=crystSi&amp;mountingplace=free&amp;usehorizon=1</v>
      </c>
    </row>
    <row r="4141">
      <c r="A4141" t="n">
        <v>65</v>
      </c>
      <c r="B4141" t="n">
        <v>210</v>
      </c>
      <c r="C4141" t="n">
        <v>4</v>
      </c>
      <c r="D4141" s="218" t="n">
        <v>124.84</v>
      </c>
      <c r="E4141" s="218" t="n">
        <v>4.16</v>
      </c>
      <c r="F4141" t="str">
        <v>https://re.jrc.ec.europa.eu/api/v5_3/PVcalc?lat=30.0444&amp;lon=31.2357&amp;peakpower=1&amp;loss=14&amp;angle=65&amp;aspect=30&amp;outputformat=json&amp;raddatabase=PVGIS-SARAH3&amp;pvtechchoice=crystSi&amp;mountingplace=free&amp;usehorizon=1</v>
      </c>
    </row>
    <row r="4142">
      <c r="A4142" t="n">
        <v>65</v>
      </c>
      <c r="B4142" t="n">
        <v>210</v>
      </c>
      <c r="C4142" t="n">
        <v>5</v>
      </c>
      <c r="D4142" s="218" t="n">
        <v>114.48</v>
      </c>
      <c r="E4142" s="218" t="n">
        <v>3.69</v>
      </c>
      <c r="F4142" t="str">
        <v>https://re.jrc.ec.europa.eu/api/v5_3/PVcalc?lat=30.0444&amp;lon=31.2357&amp;peakpower=1&amp;loss=14&amp;angle=65&amp;aspect=30&amp;outputformat=json&amp;raddatabase=PVGIS-SARAH3&amp;pvtechchoice=crystSi&amp;mountingplace=free&amp;usehorizon=1</v>
      </c>
    </row>
    <row r="4143">
      <c r="A4143" t="n">
        <v>65</v>
      </c>
      <c r="B4143" t="n">
        <v>210</v>
      </c>
      <c r="C4143" t="n">
        <v>6</v>
      </c>
      <c r="D4143" s="218" t="n">
        <v>105.22</v>
      </c>
      <c r="E4143" s="218" t="n">
        <v>3.51</v>
      </c>
      <c r="F4143" t="str">
        <v>https://re.jrc.ec.europa.eu/api/v5_3/PVcalc?lat=30.0444&amp;lon=31.2357&amp;peakpower=1&amp;loss=14&amp;angle=65&amp;aspect=30&amp;outputformat=json&amp;raddatabase=PVGIS-SARAH3&amp;pvtechchoice=crystSi&amp;mountingplace=free&amp;usehorizon=1</v>
      </c>
    </row>
    <row r="4144">
      <c r="A4144" t="n">
        <v>65</v>
      </c>
      <c r="B4144" t="n">
        <v>210</v>
      </c>
      <c r="C4144" t="n">
        <v>7</v>
      </c>
      <c r="D4144" s="218" t="n">
        <v>112.74</v>
      </c>
      <c r="E4144" s="218" t="n">
        <v>3.64</v>
      </c>
      <c r="F4144" t="str">
        <v>https://re.jrc.ec.europa.eu/api/v5_3/PVcalc?lat=30.0444&amp;lon=31.2357&amp;peakpower=1&amp;loss=14&amp;angle=65&amp;aspect=30&amp;outputformat=json&amp;raddatabase=PVGIS-SARAH3&amp;pvtechchoice=crystSi&amp;mountingplace=free&amp;usehorizon=1</v>
      </c>
    </row>
    <row r="4145">
      <c r="A4145" t="n">
        <v>65</v>
      </c>
      <c r="B4145" t="n">
        <v>210</v>
      </c>
      <c r="C4145" t="n">
        <v>8</v>
      </c>
      <c r="D4145" s="218" t="n">
        <v>125.43</v>
      </c>
      <c r="E4145" s="218" t="n">
        <v>4.05</v>
      </c>
      <c r="F4145" t="str">
        <v>https://re.jrc.ec.europa.eu/api/v5_3/PVcalc?lat=30.0444&amp;lon=31.2357&amp;peakpower=1&amp;loss=14&amp;angle=65&amp;aspect=30&amp;outputformat=json&amp;raddatabase=PVGIS-SARAH3&amp;pvtechchoice=crystSi&amp;mountingplace=free&amp;usehorizon=1</v>
      </c>
    </row>
    <row r="4146">
      <c r="A4146" t="n">
        <v>65</v>
      </c>
      <c r="B4146" t="n">
        <v>210</v>
      </c>
      <c r="C4146" t="n">
        <v>9</v>
      </c>
      <c r="D4146" s="218" t="n">
        <v>134.28</v>
      </c>
      <c r="E4146" s="218" t="n">
        <v>4.48</v>
      </c>
      <c r="F4146" t="str">
        <v>https://re.jrc.ec.europa.eu/api/v5_3/PVcalc?lat=30.0444&amp;lon=31.2357&amp;peakpower=1&amp;loss=14&amp;angle=65&amp;aspect=30&amp;outputformat=json&amp;raddatabase=PVGIS-SARAH3&amp;pvtechchoice=crystSi&amp;mountingplace=free&amp;usehorizon=1</v>
      </c>
    </row>
    <row r="4147">
      <c r="A4147" t="n">
        <v>65</v>
      </c>
      <c r="B4147" t="n">
        <v>210</v>
      </c>
      <c r="C4147" t="n">
        <v>10</v>
      </c>
      <c r="D4147" s="218" t="n">
        <v>139.26</v>
      </c>
      <c r="E4147" s="218" t="n">
        <v>4.49</v>
      </c>
      <c r="F4147" t="str">
        <v>https://re.jrc.ec.europa.eu/api/v5_3/PVcalc?lat=30.0444&amp;lon=31.2357&amp;peakpower=1&amp;loss=14&amp;angle=65&amp;aspect=30&amp;outputformat=json&amp;raddatabase=PVGIS-SARAH3&amp;pvtechchoice=crystSi&amp;mountingplace=free&amp;usehorizon=1</v>
      </c>
    </row>
    <row r="4148">
      <c r="A4148" t="n">
        <v>65</v>
      </c>
      <c r="B4148" t="n">
        <v>210</v>
      </c>
      <c r="C4148" t="n">
        <v>11</v>
      </c>
      <c r="D4148" s="218" t="n">
        <v>132.44</v>
      </c>
      <c r="E4148" s="218" t="n">
        <v>4.41</v>
      </c>
      <c r="F4148" t="str">
        <v>https://re.jrc.ec.europa.eu/api/v5_3/PVcalc?lat=30.0444&amp;lon=31.2357&amp;peakpower=1&amp;loss=14&amp;angle=65&amp;aspect=30&amp;outputformat=json&amp;raddatabase=PVGIS-SARAH3&amp;pvtechchoice=crystSi&amp;mountingplace=free&amp;usehorizon=1</v>
      </c>
    </row>
    <row r="4149">
      <c r="A4149" t="n">
        <v>65</v>
      </c>
      <c r="B4149" t="n">
        <v>210</v>
      </c>
      <c r="C4149" t="n">
        <v>12</v>
      </c>
      <c r="D4149" s="218" t="n">
        <v>130.14</v>
      </c>
      <c r="E4149" s="218" t="n">
        <v>4.2</v>
      </c>
      <c r="F4149" t="str">
        <v>https://re.jrc.ec.europa.eu/api/v5_3/PVcalc?lat=30.0444&amp;lon=31.2357&amp;peakpower=1&amp;loss=14&amp;angle=65&amp;aspect=30&amp;outputformat=json&amp;raddatabase=PVGIS-SARAH3&amp;pvtechchoice=crystSi&amp;mountingplace=free&amp;usehorizon=1</v>
      </c>
    </row>
    <row r="4150">
      <c r="A4150" t="n">
        <v>65</v>
      </c>
      <c r="B4150" t="n">
        <v>225</v>
      </c>
      <c r="C4150" t="n">
        <v>1</v>
      </c>
      <c r="D4150" s="218" t="n">
        <v>113.39</v>
      </c>
      <c r="E4150" s="218" t="n">
        <v>3.66</v>
      </c>
      <c r="F4150" t="str">
        <v>https://re.jrc.ec.europa.eu/api/v5_3/PVcalc?lat=30.0444&amp;lon=31.2357&amp;peakpower=1&amp;loss=14&amp;angle=65&amp;aspect=45&amp;outputformat=json&amp;raddatabase=PVGIS-SARAH3&amp;pvtechchoice=crystSi&amp;mountingplace=free&amp;usehorizon=1</v>
      </c>
    </row>
    <row r="4151">
      <c r="A4151" t="n">
        <v>65</v>
      </c>
      <c r="B4151" t="n">
        <v>225</v>
      </c>
      <c r="C4151" t="n">
        <v>2</v>
      </c>
      <c r="D4151" s="218" t="n">
        <v>108</v>
      </c>
      <c r="E4151" s="218" t="n">
        <v>3.86</v>
      </c>
      <c r="F4151" t="str">
        <v>https://re.jrc.ec.europa.eu/api/v5_3/PVcalc?lat=30.0444&amp;lon=31.2357&amp;peakpower=1&amp;loss=14&amp;angle=65&amp;aspect=45&amp;outputformat=json&amp;raddatabase=PVGIS-SARAH3&amp;pvtechchoice=crystSi&amp;mountingplace=free&amp;usehorizon=1</v>
      </c>
    </row>
    <row r="4152">
      <c r="A4152" t="n">
        <v>65</v>
      </c>
      <c r="B4152" t="n">
        <v>225</v>
      </c>
      <c r="C4152" t="n">
        <v>3</v>
      </c>
      <c r="D4152" s="218" t="n">
        <v>132.09</v>
      </c>
      <c r="E4152" s="218" t="n">
        <v>4.26</v>
      </c>
      <c r="F4152" t="str">
        <v>https://re.jrc.ec.europa.eu/api/v5_3/PVcalc?lat=30.0444&amp;lon=31.2357&amp;peakpower=1&amp;loss=14&amp;angle=65&amp;aspect=45&amp;outputformat=json&amp;raddatabase=PVGIS-SARAH3&amp;pvtechchoice=crystSi&amp;mountingplace=free&amp;usehorizon=1</v>
      </c>
    </row>
    <row r="4153">
      <c r="A4153" t="n">
        <v>65</v>
      </c>
      <c r="B4153" t="n">
        <v>225</v>
      </c>
      <c r="C4153" t="n">
        <v>4</v>
      </c>
      <c r="D4153" s="218" t="n">
        <v>124.9</v>
      </c>
      <c r="E4153" s="218" t="n">
        <v>4.16</v>
      </c>
      <c r="F4153" t="str">
        <v>https://re.jrc.ec.europa.eu/api/v5_3/PVcalc?lat=30.0444&amp;lon=31.2357&amp;peakpower=1&amp;loss=14&amp;angle=65&amp;aspect=45&amp;outputformat=json&amp;raddatabase=PVGIS-SARAH3&amp;pvtechchoice=crystSi&amp;mountingplace=free&amp;usehorizon=1</v>
      </c>
    </row>
    <row r="4154">
      <c r="A4154" t="n">
        <v>65</v>
      </c>
      <c r="B4154" t="n">
        <v>225</v>
      </c>
      <c r="C4154" t="n">
        <v>5</v>
      </c>
      <c r="D4154" s="218" t="n">
        <v>120.17</v>
      </c>
      <c r="E4154" s="218" t="n">
        <v>3.88</v>
      </c>
      <c r="F4154" t="str">
        <v>https://re.jrc.ec.europa.eu/api/v5_3/PVcalc?lat=30.0444&amp;lon=31.2357&amp;peakpower=1&amp;loss=14&amp;angle=65&amp;aspect=45&amp;outputformat=json&amp;raddatabase=PVGIS-SARAH3&amp;pvtechchoice=crystSi&amp;mountingplace=free&amp;usehorizon=1</v>
      </c>
    </row>
    <row r="4155">
      <c r="A4155" t="n">
        <v>65</v>
      </c>
      <c r="B4155" t="n">
        <v>225</v>
      </c>
      <c r="C4155" t="n">
        <v>6</v>
      </c>
      <c r="D4155" s="218" t="n">
        <v>115.32</v>
      </c>
      <c r="E4155" s="218" t="n">
        <v>3.84</v>
      </c>
      <c r="F4155" t="str">
        <v>https://re.jrc.ec.europa.eu/api/v5_3/PVcalc?lat=30.0444&amp;lon=31.2357&amp;peakpower=1&amp;loss=14&amp;angle=65&amp;aspect=45&amp;outputformat=json&amp;raddatabase=PVGIS-SARAH3&amp;pvtechchoice=crystSi&amp;mountingplace=free&amp;usehorizon=1</v>
      </c>
    </row>
    <row r="4156">
      <c r="A4156" t="n">
        <v>65</v>
      </c>
      <c r="B4156" t="n">
        <v>225</v>
      </c>
      <c r="C4156" t="n">
        <v>7</v>
      </c>
      <c r="D4156" s="218" t="n">
        <v>122.18</v>
      </c>
      <c r="E4156" s="218" t="n">
        <v>3.94</v>
      </c>
      <c r="F4156" t="str">
        <v>https://re.jrc.ec.europa.eu/api/v5_3/PVcalc?lat=30.0444&amp;lon=31.2357&amp;peakpower=1&amp;loss=14&amp;angle=65&amp;aspect=45&amp;outputformat=json&amp;raddatabase=PVGIS-SARAH3&amp;pvtechchoice=crystSi&amp;mountingplace=free&amp;usehorizon=1</v>
      </c>
    </row>
    <row r="4157">
      <c r="A4157" t="n">
        <v>65</v>
      </c>
      <c r="B4157" t="n">
        <v>225</v>
      </c>
      <c r="C4157" t="n">
        <v>8</v>
      </c>
      <c r="D4157" s="218" t="n">
        <v>129.19</v>
      </c>
      <c r="E4157" s="218" t="n">
        <v>4.17</v>
      </c>
      <c r="F4157" t="str">
        <v>https://re.jrc.ec.europa.eu/api/v5_3/PVcalc?lat=30.0444&amp;lon=31.2357&amp;peakpower=1&amp;loss=14&amp;angle=65&amp;aspect=45&amp;outputformat=json&amp;raddatabase=PVGIS-SARAH3&amp;pvtechchoice=crystSi&amp;mountingplace=free&amp;usehorizon=1</v>
      </c>
    </row>
    <row r="4158">
      <c r="A4158" t="n">
        <v>65</v>
      </c>
      <c r="B4158" t="n">
        <v>225</v>
      </c>
      <c r="C4158" t="n">
        <v>9</v>
      </c>
      <c r="D4158" s="218" t="n">
        <v>131.12</v>
      </c>
      <c r="E4158" s="218" t="n">
        <v>4.37</v>
      </c>
      <c r="F4158" t="str">
        <v>https://re.jrc.ec.europa.eu/api/v5_3/PVcalc?lat=30.0444&amp;lon=31.2357&amp;peakpower=1&amp;loss=14&amp;angle=65&amp;aspect=45&amp;outputformat=json&amp;raddatabase=PVGIS-SARAH3&amp;pvtechchoice=crystSi&amp;mountingplace=free&amp;usehorizon=1</v>
      </c>
    </row>
    <row r="4159">
      <c r="A4159" t="n">
        <v>65</v>
      </c>
      <c r="B4159" t="n">
        <v>225</v>
      </c>
      <c r="C4159" t="n">
        <v>10</v>
      </c>
      <c r="D4159" s="218" t="n">
        <v>129.45</v>
      </c>
      <c r="E4159" s="218" t="n">
        <v>4.18</v>
      </c>
      <c r="F4159" t="str">
        <v>https://re.jrc.ec.europa.eu/api/v5_3/PVcalc?lat=30.0444&amp;lon=31.2357&amp;peakpower=1&amp;loss=14&amp;angle=65&amp;aspect=45&amp;outputformat=json&amp;raddatabase=PVGIS-SARAH3&amp;pvtechchoice=crystSi&amp;mountingplace=free&amp;usehorizon=1</v>
      </c>
    </row>
    <row r="4160">
      <c r="A4160" t="n">
        <v>65</v>
      </c>
      <c r="B4160" t="n">
        <v>225</v>
      </c>
      <c r="C4160" t="n">
        <v>11</v>
      </c>
      <c r="D4160" s="218" t="n">
        <v>118.88</v>
      </c>
      <c r="E4160" s="218" t="n">
        <v>3.96</v>
      </c>
      <c r="F4160" t="str">
        <v>https://re.jrc.ec.europa.eu/api/v5_3/PVcalc?lat=30.0444&amp;lon=31.2357&amp;peakpower=1&amp;loss=14&amp;angle=65&amp;aspect=45&amp;outputformat=json&amp;raddatabase=PVGIS-SARAH3&amp;pvtechchoice=crystSi&amp;mountingplace=free&amp;usehorizon=1</v>
      </c>
    </row>
    <row r="4161">
      <c r="A4161" t="n">
        <v>65</v>
      </c>
      <c r="B4161" t="n">
        <v>225</v>
      </c>
      <c r="C4161" t="n">
        <v>12</v>
      </c>
      <c r="D4161" s="218" t="n">
        <v>114.84</v>
      </c>
      <c r="E4161" s="218" t="n">
        <v>3.7</v>
      </c>
      <c r="F4161" t="str">
        <v>https://re.jrc.ec.europa.eu/api/v5_3/PVcalc?lat=30.0444&amp;lon=31.2357&amp;peakpower=1&amp;loss=14&amp;angle=65&amp;aspect=45&amp;outputformat=json&amp;raddatabase=PVGIS-SARAH3&amp;pvtechchoice=crystSi&amp;mountingplace=free&amp;usehorizon=1</v>
      </c>
    </row>
    <row r="4162">
      <c r="A4162" t="n">
        <v>65</v>
      </c>
      <c r="B4162" t="n">
        <v>240</v>
      </c>
      <c r="C4162" t="n">
        <v>1</v>
      </c>
      <c r="D4162" s="218" t="n">
        <v>97.55</v>
      </c>
      <c r="E4162" s="218" t="n">
        <v>3.15</v>
      </c>
      <c r="F4162" t="str">
        <v>https://re.jrc.ec.europa.eu/api/v5_3/PVcalc?lat=30.0444&amp;lon=31.2357&amp;peakpower=1&amp;loss=14&amp;angle=65&amp;aspect=60&amp;outputformat=json&amp;raddatabase=PVGIS-SARAH3&amp;pvtechchoice=crystSi&amp;mountingplace=free&amp;usehorizon=1</v>
      </c>
    </row>
    <row r="4163">
      <c r="A4163" t="n">
        <v>65</v>
      </c>
      <c r="B4163" t="n">
        <v>240</v>
      </c>
      <c r="C4163" t="n">
        <v>2</v>
      </c>
      <c r="D4163" s="218" t="n">
        <v>96.92</v>
      </c>
      <c r="E4163" s="218" t="n">
        <v>3.46</v>
      </c>
      <c r="F4163" t="str">
        <v>https://re.jrc.ec.europa.eu/api/v5_3/PVcalc?lat=30.0444&amp;lon=31.2357&amp;peakpower=1&amp;loss=14&amp;angle=65&amp;aspect=60&amp;outputformat=json&amp;raddatabase=PVGIS-SARAH3&amp;pvtechchoice=crystSi&amp;mountingplace=free&amp;usehorizon=1</v>
      </c>
    </row>
    <row r="4164">
      <c r="A4164" t="n">
        <v>65</v>
      </c>
      <c r="B4164" t="n">
        <v>240</v>
      </c>
      <c r="C4164" t="n">
        <v>3</v>
      </c>
      <c r="D4164" s="218" t="n">
        <v>124.79</v>
      </c>
      <c r="E4164" s="218" t="n">
        <v>4.03</v>
      </c>
      <c r="F4164" t="str">
        <v>https://re.jrc.ec.europa.eu/api/v5_3/PVcalc?lat=30.0444&amp;lon=31.2357&amp;peakpower=1&amp;loss=14&amp;angle=65&amp;aspect=60&amp;outputformat=json&amp;raddatabase=PVGIS-SARAH3&amp;pvtechchoice=crystSi&amp;mountingplace=free&amp;usehorizon=1</v>
      </c>
    </row>
    <row r="4165">
      <c r="A4165" t="n">
        <v>65</v>
      </c>
      <c r="B4165" t="n">
        <v>240</v>
      </c>
      <c r="C4165" t="n">
        <v>4</v>
      </c>
      <c r="D4165" s="218" t="n">
        <v>123.52</v>
      </c>
      <c r="E4165" s="218" t="n">
        <v>4.12</v>
      </c>
      <c r="F4165" t="str">
        <v>https://re.jrc.ec.europa.eu/api/v5_3/PVcalc?lat=30.0444&amp;lon=31.2357&amp;peakpower=1&amp;loss=14&amp;angle=65&amp;aspect=60&amp;outputformat=json&amp;raddatabase=PVGIS-SARAH3&amp;pvtechchoice=crystSi&amp;mountingplace=free&amp;usehorizon=1</v>
      </c>
    </row>
    <row r="4166">
      <c r="A4166" t="n">
        <v>65</v>
      </c>
      <c r="B4166" t="n">
        <v>240</v>
      </c>
      <c r="C4166" t="n">
        <v>5</v>
      </c>
      <c r="D4166" s="218" t="n">
        <v>124.39</v>
      </c>
      <c r="E4166" s="218" t="n">
        <v>4.01</v>
      </c>
      <c r="F4166" t="str">
        <v>https://re.jrc.ec.europa.eu/api/v5_3/PVcalc?lat=30.0444&amp;lon=31.2357&amp;peakpower=1&amp;loss=14&amp;angle=65&amp;aspect=60&amp;outputformat=json&amp;raddatabase=PVGIS-SARAH3&amp;pvtechchoice=crystSi&amp;mountingplace=free&amp;usehorizon=1</v>
      </c>
    </row>
    <row r="4167">
      <c r="A4167" t="n">
        <v>65</v>
      </c>
      <c r="B4167" t="n">
        <v>240</v>
      </c>
      <c r="C4167" t="n">
        <v>6</v>
      </c>
      <c r="D4167" s="218" t="n">
        <v>123.31</v>
      </c>
      <c r="E4167" s="218" t="n">
        <v>4.11</v>
      </c>
      <c r="F4167" t="str">
        <v>https://re.jrc.ec.europa.eu/api/v5_3/PVcalc?lat=30.0444&amp;lon=31.2357&amp;peakpower=1&amp;loss=14&amp;angle=65&amp;aspect=60&amp;outputformat=json&amp;raddatabase=PVGIS-SARAH3&amp;pvtechchoice=crystSi&amp;mountingplace=free&amp;usehorizon=1</v>
      </c>
    </row>
    <row r="4168">
      <c r="A4168" t="n">
        <v>65</v>
      </c>
      <c r="B4168" t="n">
        <v>240</v>
      </c>
      <c r="C4168" t="n">
        <v>7</v>
      </c>
      <c r="D4168" s="218" t="n">
        <v>129.28</v>
      </c>
      <c r="E4168" s="218" t="n">
        <v>4.17</v>
      </c>
      <c r="F4168" t="str">
        <v>https://re.jrc.ec.europa.eu/api/v5_3/PVcalc?lat=30.0444&amp;lon=31.2357&amp;peakpower=1&amp;loss=14&amp;angle=65&amp;aspect=60&amp;outputformat=json&amp;raddatabase=PVGIS-SARAH3&amp;pvtechchoice=crystSi&amp;mountingplace=free&amp;usehorizon=1</v>
      </c>
    </row>
    <row r="4169">
      <c r="A4169" t="n">
        <v>65</v>
      </c>
      <c r="B4169" t="n">
        <v>240</v>
      </c>
      <c r="C4169" t="n">
        <v>8</v>
      </c>
      <c r="D4169" s="218" t="n">
        <v>131.1</v>
      </c>
      <c r="E4169" s="218" t="n">
        <v>4.23</v>
      </c>
      <c r="F4169" t="str">
        <v>https://re.jrc.ec.europa.eu/api/v5_3/PVcalc?lat=30.0444&amp;lon=31.2357&amp;peakpower=1&amp;loss=14&amp;angle=65&amp;aspect=60&amp;outputformat=json&amp;raddatabase=PVGIS-SARAH3&amp;pvtechchoice=crystSi&amp;mountingplace=free&amp;usehorizon=1</v>
      </c>
    </row>
    <row r="4170">
      <c r="A4170" t="n">
        <v>65</v>
      </c>
      <c r="B4170" t="n">
        <v>240</v>
      </c>
      <c r="C4170" t="n">
        <v>9</v>
      </c>
      <c r="D4170" s="218" t="n">
        <v>126.17</v>
      </c>
      <c r="E4170" s="218" t="n">
        <v>4.21</v>
      </c>
      <c r="F4170" t="str">
        <v>https://re.jrc.ec.europa.eu/api/v5_3/PVcalc?lat=30.0444&amp;lon=31.2357&amp;peakpower=1&amp;loss=14&amp;angle=65&amp;aspect=60&amp;outputformat=json&amp;raddatabase=PVGIS-SARAH3&amp;pvtechchoice=crystSi&amp;mountingplace=free&amp;usehorizon=1</v>
      </c>
    </row>
    <row r="4171">
      <c r="A4171" t="n">
        <v>65</v>
      </c>
      <c r="B4171" t="n">
        <v>240</v>
      </c>
      <c r="C4171" t="n">
        <v>10</v>
      </c>
      <c r="D4171" s="218" t="n">
        <v>118.09</v>
      </c>
      <c r="E4171" s="218" t="n">
        <v>3.81</v>
      </c>
      <c r="F4171" t="str">
        <v>https://re.jrc.ec.europa.eu/api/v5_3/PVcalc?lat=30.0444&amp;lon=31.2357&amp;peakpower=1&amp;loss=14&amp;angle=65&amp;aspect=60&amp;outputformat=json&amp;raddatabase=PVGIS-SARAH3&amp;pvtechchoice=crystSi&amp;mountingplace=free&amp;usehorizon=1</v>
      </c>
    </row>
    <row r="4172">
      <c r="A4172" t="n">
        <v>65</v>
      </c>
      <c r="B4172" t="n">
        <v>240</v>
      </c>
      <c r="C4172" t="n">
        <v>11</v>
      </c>
      <c r="D4172" s="218" t="n">
        <v>103.78</v>
      </c>
      <c r="E4172" s="218" t="n">
        <v>3.46</v>
      </c>
      <c r="F4172" t="str">
        <v>https://re.jrc.ec.europa.eu/api/v5_3/PVcalc?lat=30.0444&amp;lon=31.2357&amp;peakpower=1&amp;loss=14&amp;angle=65&amp;aspect=60&amp;outputformat=json&amp;raddatabase=PVGIS-SARAH3&amp;pvtechchoice=crystSi&amp;mountingplace=free&amp;usehorizon=1</v>
      </c>
    </row>
    <row r="4173">
      <c r="A4173" t="n">
        <v>65</v>
      </c>
      <c r="B4173" t="n">
        <v>240</v>
      </c>
      <c r="C4173" t="n">
        <v>12</v>
      </c>
      <c r="D4173" s="218" t="n">
        <v>97.78</v>
      </c>
      <c r="E4173" s="218" t="n">
        <v>3.15</v>
      </c>
      <c r="F4173" t="str">
        <v>https://re.jrc.ec.europa.eu/api/v5_3/PVcalc?lat=30.0444&amp;lon=31.2357&amp;peakpower=1&amp;loss=14&amp;angle=65&amp;aspect=60&amp;outputformat=json&amp;raddatabase=PVGIS-SARAH3&amp;pvtechchoice=crystSi&amp;mountingplace=free&amp;usehorizon=1</v>
      </c>
    </row>
    <row r="4174">
      <c r="A4174" t="n">
        <v>65</v>
      </c>
      <c r="B4174" t="n">
        <v>255</v>
      </c>
      <c r="C4174" t="n">
        <v>1</v>
      </c>
      <c r="D4174" s="218" t="n">
        <v>81.21</v>
      </c>
      <c r="E4174" s="218" t="n">
        <v>2.62</v>
      </c>
      <c r="F4174" t="str">
        <v>https://re.jrc.ec.europa.eu/api/v5_3/PVcalc?lat=30.0444&amp;lon=31.2357&amp;peakpower=1&amp;loss=14&amp;angle=65&amp;aspect=75&amp;outputformat=json&amp;raddatabase=PVGIS-SARAH3&amp;pvtechchoice=crystSi&amp;mountingplace=free&amp;usehorizon=1</v>
      </c>
    </row>
    <row r="4175">
      <c r="A4175" t="n">
        <v>65</v>
      </c>
      <c r="B4175" t="n">
        <v>255</v>
      </c>
      <c r="C4175" t="n">
        <v>2</v>
      </c>
      <c r="D4175" s="218" t="n">
        <v>84.88</v>
      </c>
      <c r="E4175" s="218" t="n">
        <v>3.03</v>
      </c>
      <c r="F4175" t="str">
        <v>https://re.jrc.ec.europa.eu/api/v5_3/PVcalc?lat=30.0444&amp;lon=31.2357&amp;peakpower=1&amp;loss=14&amp;angle=65&amp;aspect=75&amp;outputformat=json&amp;raddatabase=PVGIS-SARAH3&amp;pvtechchoice=crystSi&amp;mountingplace=free&amp;usehorizon=1</v>
      </c>
    </row>
    <row r="4176">
      <c r="A4176" t="n">
        <v>65</v>
      </c>
      <c r="B4176" t="n">
        <v>255</v>
      </c>
      <c r="C4176" t="n">
        <v>3</v>
      </c>
      <c r="D4176" s="218" t="n">
        <v>115.42</v>
      </c>
      <c r="E4176" s="218" t="n">
        <v>3.72</v>
      </c>
      <c r="F4176" t="str">
        <v>https://re.jrc.ec.europa.eu/api/v5_3/PVcalc?lat=30.0444&amp;lon=31.2357&amp;peakpower=1&amp;loss=14&amp;angle=65&amp;aspect=75&amp;outputformat=json&amp;raddatabase=PVGIS-SARAH3&amp;pvtechchoice=crystSi&amp;mountingplace=free&amp;usehorizon=1</v>
      </c>
    </row>
    <row r="4177">
      <c r="A4177" t="n">
        <v>65</v>
      </c>
      <c r="B4177" t="n">
        <v>255</v>
      </c>
      <c r="C4177" t="n">
        <v>4</v>
      </c>
      <c r="D4177" s="218" t="n">
        <v>119.85</v>
      </c>
      <c r="E4177" s="218" t="n">
        <v>3.99</v>
      </c>
      <c r="F4177" t="str">
        <v>https://re.jrc.ec.europa.eu/api/v5_3/PVcalc?lat=30.0444&amp;lon=31.2357&amp;peakpower=1&amp;loss=14&amp;angle=65&amp;aspect=75&amp;outputformat=json&amp;raddatabase=PVGIS-SARAH3&amp;pvtechchoice=crystSi&amp;mountingplace=free&amp;usehorizon=1</v>
      </c>
    </row>
    <row r="4178">
      <c r="A4178" t="n">
        <v>65</v>
      </c>
      <c r="B4178" t="n">
        <v>255</v>
      </c>
      <c r="C4178" t="n">
        <v>5</v>
      </c>
      <c r="D4178" s="218" t="n">
        <v>125.96</v>
      </c>
      <c r="E4178" s="218" t="n">
        <v>4.06</v>
      </c>
      <c r="F4178" t="str">
        <v>https://re.jrc.ec.europa.eu/api/v5_3/PVcalc?lat=30.0444&amp;lon=31.2357&amp;peakpower=1&amp;loss=14&amp;angle=65&amp;aspect=75&amp;outputformat=json&amp;raddatabase=PVGIS-SARAH3&amp;pvtechchoice=crystSi&amp;mountingplace=free&amp;usehorizon=1</v>
      </c>
    </row>
    <row r="4179">
      <c r="A4179" t="n">
        <v>65</v>
      </c>
      <c r="B4179" t="n">
        <v>255</v>
      </c>
      <c r="C4179" t="n">
        <v>6</v>
      </c>
      <c r="D4179" s="218" t="n">
        <v>128.37</v>
      </c>
      <c r="E4179" s="218" t="n">
        <v>4.28</v>
      </c>
      <c r="F4179" t="str">
        <v>https://re.jrc.ec.europa.eu/api/v5_3/PVcalc?lat=30.0444&amp;lon=31.2357&amp;peakpower=1&amp;loss=14&amp;angle=65&amp;aspect=75&amp;outputformat=json&amp;raddatabase=PVGIS-SARAH3&amp;pvtechchoice=crystSi&amp;mountingplace=free&amp;usehorizon=1</v>
      </c>
    </row>
    <row r="4180">
      <c r="A4180" t="n">
        <v>65</v>
      </c>
      <c r="B4180" t="n">
        <v>255</v>
      </c>
      <c r="C4180" t="n">
        <v>7</v>
      </c>
      <c r="D4180" s="218" t="n">
        <v>133.4</v>
      </c>
      <c r="E4180" s="218" t="n">
        <v>4.3</v>
      </c>
      <c r="F4180" t="str">
        <v>https://re.jrc.ec.europa.eu/api/v5_3/PVcalc?lat=30.0444&amp;lon=31.2357&amp;peakpower=1&amp;loss=14&amp;angle=65&amp;aspect=75&amp;outputformat=json&amp;raddatabase=PVGIS-SARAH3&amp;pvtechchoice=crystSi&amp;mountingplace=free&amp;usehorizon=1</v>
      </c>
    </row>
    <row r="4181">
      <c r="A4181" t="n">
        <v>65</v>
      </c>
      <c r="B4181" t="n">
        <v>255</v>
      </c>
      <c r="C4181" t="n">
        <v>8</v>
      </c>
      <c r="D4181" s="218" t="n">
        <v>130.07</v>
      </c>
      <c r="E4181" s="218" t="n">
        <v>4.2</v>
      </c>
      <c r="F4181" t="str">
        <v>https://re.jrc.ec.europa.eu/api/v5_3/PVcalc?lat=30.0444&amp;lon=31.2357&amp;peakpower=1&amp;loss=14&amp;angle=65&amp;aspect=75&amp;outputformat=json&amp;raddatabase=PVGIS-SARAH3&amp;pvtechchoice=crystSi&amp;mountingplace=free&amp;usehorizon=1</v>
      </c>
    </row>
    <row r="4182">
      <c r="A4182" t="n">
        <v>65</v>
      </c>
      <c r="B4182" t="n">
        <v>255</v>
      </c>
      <c r="C4182" t="n">
        <v>9</v>
      </c>
      <c r="D4182" s="218" t="n">
        <v>118.94</v>
      </c>
      <c r="E4182" s="218" t="n">
        <v>3.96</v>
      </c>
      <c r="F4182" t="str">
        <v>https://re.jrc.ec.europa.eu/api/v5_3/PVcalc?lat=30.0444&amp;lon=31.2357&amp;peakpower=1&amp;loss=14&amp;angle=65&amp;aspect=75&amp;outputformat=json&amp;raddatabase=PVGIS-SARAH3&amp;pvtechchoice=crystSi&amp;mountingplace=free&amp;usehorizon=1</v>
      </c>
    </row>
    <row r="4183">
      <c r="A4183" t="n">
        <v>65</v>
      </c>
      <c r="B4183" t="n">
        <v>255</v>
      </c>
      <c r="C4183" t="n">
        <v>10</v>
      </c>
      <c r="D4183" s="218" t="n">
        <v>105.48</v>
      </c>
      <c r="E4183" s="218" t="n">
        <v>3.4</v>
      </c>
      <c r="F4183" t="str">
        <v>https://re.jrc.ec.europa.eu/api/v5_3/PVcalc?lat=30.0444&amp;lon=31.2357&amp;peakpower=1&amp;loss=14&amp;angle=65&amp;aspect=75&amp;outputformat=json&amp;raddatabase=PVGIS-SARAH3&amp;pvtechchoice=crystSi&amp;mountingplace=free&amp;usehorizon=1</v>
      </c>
    </row>
    <row r="4184">
      <c r="A4184" t="n">
        <v>65</v>
      </c>
      <c r="B4184" t="n">
        <v>255</v>
      </c>
      <c r="C4184" t="n">
        <v>11</v>
      </c>
      <c r="D4184" s="218" t="n">
        <v>87.97</v>
      </c>
      <c r="E4184" s="218" t="n">
        <v>2.93</v>
      </c>
      <c r="F4184" t="str">
        <v>https://re.jrc.ec.europa.eu/api/v5_3/PVcalc?lat=30.0444&amp;lon=31.2357&amp;peakpower=1&amp;loss=14&amp;angle=65&amp;aspect=75&amp;outputformat=json&amp;raddatabase=PVGIS-SARAH3&amp;pvtechchoice=crystSi&amp;mountingplace=free&amp;usehorizon=1</v>
      </c>
    </row>
    <row r="4185">
      <c r="A4185" t="n">
        <v>65</v>
      </c>
      <c r="B4185" t="n">
        <v>255</v>
      </c>
      <c r="C4185" t="n">
        <v>12</v>
      </c>
      <c r="D4185" s="218" t="n">
        <v>80.27</v>
      </c>
      <c r="E4185" s="218" t="n">
        <v>2.59</v>
      </c>
      <c r="F4185" t="str">
        <v>https://re.jrc.ec.europa.eu/api/v5_3/PVcalc?lat=30.0444&amp;lon=31.2357&amp;peakpower=1&amp;loss=14&amp;angle=65&amp;aspect=75&amp;outputformat=json&amp;raddatabase=PVGIS-SARAH3&amp;pvtechchoice=crystSi&amp;mountingplace=free&amp;usehorizon=1</v>
      </c>
    </row>
    <row r="4186">
      <c r="A4186" t="n">
        <v>65</v>
      </c>
      <c r="B4186" t="n">
        <v>270</v>
      </c>
      <c r="C4186" t="n">
        <v>1</v>
      </c>
      <c r="D4186" s="218" t="n">
        <v>65.14</v>
      </c>
      <c r="E4186" s="218" t="n">
        <v>2.1</v>
      </c>
      <c r="F4186" t="str">
        <v>https://re.jrc.ec.europa.eu/api/v5_3/PVcalc?lat=30.0444&amp;lon=31.2357&amp;peakpower=1&amp;loss=14&amp;angle=65&amp;aspect=90&amp;outputformat=json&amp;raddatabase=PVGIS-SARAH3&amp;pvtechchoice=crystSi&amp;mountingplace=free&amp;usehorizon=1</v>
      </c>
    </row>
    <row r="4187">
      <c r="A4187" t="n">
        <v>65</v>
      </c>
      <c r="B4187" t="n">
        <v>270</v>
      </c>
      <c r="C4187" t="n">
        <v>2</v>
      </c>
      <c r="D4187" s="218" t="n">
        <v>72.49</v>
      </c>
      <c r="E4187" s="218" t="n">
        <v>2.59</v>
      </c>
      <c r="F4187" t="str">
        <v>https://re.jrc.ec.europa.eu/api/v5_3/PVcalc?lat=30.0444&amp;lon=31.2357&amp;peakpower=1&amp;loss=14&amp;angle=65&amp;aspect=90&amp;outputformat=json&amp;raddatabase=PVGIS-SARAH3&amp;pvtechchoice=crystSi&amp;mountingplace=free&amp;usehorizon=1</v>
      </c>
    </row>
    <row r="4188">
      <c r="A4188" t="n">
        <v>65</v>
      </c>
      <c r="B4188" t="n">
        <v>270</v>
      </c>
      <c r="C4188" t="n">
        <v>3</v>
      </c>
      <c r="D4188" s="218" t="n">
        <v>104.49</v>
      </c>
      <c r="E4188" s="218" t="n">
        <v>3.37</v>
      </c>
      <c r="F4188" t="str">
        <v>https://re.jrc.ec.europa.eu/api/v5_3/PVcalc?lat=30.0444&amp;lon=31.2357&amp;peakpower=1&amp;loss=14&amp;angle=65&amp;aspect=90&amp;outputformat=json&amp;raddatabase=PVGIS-SARAH3&amp;pvtechchoice=crystSi&amp;mountingplace=free&amp;usehorizon=1</v>
      </c>
    </row>
    <row r="4189">
      <c r="A4189" t="n">
        <v>65</v>
      </c>
      <c r="B4189" t="n">
        <v>270</v>
      </c>
      <c r="C4189" t="n">
        <v>4</v>
      </c>
      <c r="D4189" s="218" t="n">
        <v>114.03</v>
      </c>
      <c r="E4189" s="218" t="n">
        <v>3.8</v>
      </c>
      <c r="F4189" t="str">
        <v>https://re.jrc.ec.europa.eu/api/v5_3/PVcalc?lat=30.0444&amp;lon=31.2357&amp;peakpower=1&amp;loss=14&amp;angle=65&amp;aspect=90&amp;outputformat=json&amp;raddatabase=PVGIS-SARAH3&amp;pvtechchoice=crystSi&amp;mountingplace=free&amp;usehorizon=1</v>
      </c>
    </row>
    <row r="4190">
      <c r="A4190" t="n">
        <v>65</v>
      </c>
      <c r="B4190" t="n">
        <v>270</v>
      </c>
      <c r="C4190" t="n">
        <v>5</v>
      </c>
      <c r="D4190" s="218" t="n">
        <v>124.85</v>
      </c>
      <c r="E4190" s="218" t="n">
        <v>4.03</v>
      </c>
      <c r="F4190" t="str">
        <v>https://re.jrc.ec.europa.eu/api/v5_3/PVcalc?lat=30.0444&amp;lon=31.2357&amp;peakpower=1&amp;loss=14&amp;angle=65&amp;aspect=90&amp;outputformat=json&amp;raddatabase=PVGIS-SARAH3&amp;pvtechchoice=crystSi&amp;mountingplace=free&amp;usehorizon=1</v>
      </c>
    </row>
    <row r="4191">
      <c r="A4191" t="n">
        <v>65</v>
      </c>
      <c r="B4191" t="n">
        <v>270</v>
      </c>
      <c r="C4191" t="n">
        <v>6</v>
      </c>
      <c r="D4191" s="218" t="n">
        <v>130.27</v>
      </c>
      <c r="E4191" s="218" t="n">
        <v>4.34</v>
      </c>
      <c r="F4191" t="str">
        <v>https://re.jrc.ec.europa.eu/api/v5_3/PVcalc?lat=30.0444&amp;lon=31.2357&amp;peakpower=1&amp;loss=14&amp;angle=65&amp;aspect=90&amp;outputformat=json&amp;raddatabase=PVGIS-SARAH3&amp;pvtechchoice=crystSi&amp;mountingplace=free&amp;usehorizon=1</v>
      </c>
    </row>
    <row r="4192">
      <c r="A4192" t="n">
        <v>65</v>
      </c>
      <c r="B4192" t="n">
        <v>270</v>
      </c>
      <c r="C4192" t="n">
        <v>7</v>
      </c>
      <c r="D4192" s="218" t="n">
        <v>134.11</v>
      </c>
      <c r="E4192" s="218" t="n">
        <v>4.33</v>
      </c>
      <c r="F4192" t="str">
        <v>https://re.jrc.ec.europa.eu/api/v5_3/PVcalc?lat=30.0444&amp;lon=31.2357&amp;peakpower=1&amp;loss=14&amp;angle=65&amp;aspect=90&amp;outputformat=json&amp;raddatabase=PVGIS-SARAH3&amp;pvtechchoice=crystSi&amp;mountingplace=free&amp;usehorizon=1</v>
      </c>
    </row>
    <row r="4193">
      <c r="A4193" t="n">
        <v>65</v>
      </c>
      <c r="B4193" t="n">
        <v>270</v>
      </c>
      <c r="C4193" t="n">
        <v>8</v>
      </c>
      <c r="D4193" s="218" t="n">
        <v>126.16</v>
      </c>
      <c r="E4193" s="218" t="n">
        <v>4.07</v>
      </c>
      <c r="F4193" t="str">
        <v>https://re.jrc.ec.europa.eu/api/v5_3/PVcalc?lat=30.0444&amp;lon=31.2357&amp;peakpower=1&amp;loss=14&amp;angle=65&amp;aspect=90&amp;outputformat=json&amp;raddatabase=PVGIS-SARAH3&amp;pvtechchoice=crystSi&amp;mountingplace=free&amp;usehorizon=1</v>
      </c>
    </row>
    <row r="4194">
      <c r="A4194" t="n">
        <v>65</v>
      </c>
      <c r="B4194" t="n">
        <v>270</v>
      </c>
      <c r="C4194" t="n">
        <v>9</v>
      </c>
      <c r="D4194" s="218" t="n">
        <v>109.5</v>
      </c>
      <c r="E4194" s="218" t="n">
        <v>3.65</v>
      </c>
      <c r="F4194" t="str">
        <v>https://re.jrc.ec.europa.eu/api/v5_3/PVcalc?lat=30.0444&amp;lon=31.2357&amp;peakpower=1&amp;loss=14&amp;angle=65&amp;aspect=90&amp;outputformat=json&amp;raddatabase=PVGIS-SARAH3&amp;pvtechchoice=crystSi&amp;mountingplace=free&amp;usehorizon=1</v>
      </c>
    </row>
    <row r="4195">
      <c r="A4195" t="n">
        <v>65</v>
      </c>
      <c r="B4195" t="n">
        <v>270</v>
      </c>
      <c r="C4195" t="n">
        <v>10</v>
      </c>
      <c r="D4195" s="218" t="n">
        <v>91.37</v>
      </c>
      <c r="E4195" s="218" t="n">
        <v>2.95</v>
      </c>
      <c r="F4195" t="str">
        <v>https://re.jrc.ec.europa.eu/api/v5_3/PVcalc?lat=30.0444&amp;lon=31.2357&amp;peakpower=1&amp;loss=14&amp;angle=65&amp;aspect=90&amp;outputformat=json&amp;raddatabase=PVGIS-SARAH3&amp;pvtechchoice=crystSi&amp;mountingplace=free&amp;usehorizon=1</v>
      </c>
    </row>
    <row r="4196">
      <c r="A4196" t="n">
        <v>65</v>
      </c>
      <c r="B4196" t="n">
        <v>270</v>
      </c>
      <c r="C4196" t="n">
        <v>11</v>
      </c>
      <c r="D4196" s="218" t="n">
        <v>71.68</v>
      </c>
      <c r="E4196" s="218" t="n">
        <v>2.39</v>
      </c>
      <c r="F4196" t="str">
        <v>https://re.jrc.ec.europa.eu/api/v5_3/PVcalc?lat=30.0444&amp;lon=31.2357&amp;peakpower=1&amp;loss=14&amp;angle=65&amp;aspect=90&amp;outputformat=json&amp;raddatabase=PVGIS-SARAH3&amp;pvtechchoice=crystSi&amp;mountingplace=free&amp;usehorizon=1</v>
      </c>
    </row>
    <row r="4197">
      <c r="A4197" t="n">
        <v>65</v>
      </c>
      <c r="B4197" t="n">
        <v>270</v>
      </c>
      <c r="C4197" t="n">
        <v>12</v>
      </c>
      <c r="D4197" s="218" t="n">
        <v>63.09</v>
      </c>
      <c r="E4197" s="218" t="n">
        <v>2.04</v>
      </c>
      <c r="F4197" t="str">
        <v>https://re.jrc.ec.europa.eu/api/v5_3/PVcalc?lat=30.0444&amp;lon=31.2357&amp;peakpower=1&amp;loss=14&amp;angle=65&amp;aspect=90&amp;outputformat=json&amp;raddatabase=PVGIS-SARAH3&amp;pvtechchoice=crystSi&amp;mountingplace=free&amp;usehorizon=1</v>
      </c>
    </row>
    <row r="4198">
      <c r="A4198" t="n">
        <v>65</v>
      </c>
      <c r="B4198" t="n">
        <v>285</v>
      </c>
      <c r="C4198" t="n">
        <v>1</v>
      </c>
      <c r="D4198" s="218" t="n">
        <v>49.64</v>
      </c>
      <c r="E4198" s="218" t="n">
        <v>1.6</v>
      </c>
      <c r="F4198" t="str">
        <v>https://re.jrc.ec.europa.eu/api/v5_3/PVcalc?lat=30.0444&amp;lon=31.2357&amp;peakpower=1&amp;loss=14&amp;angle=65&amp;aspect=105&amp;outputformat=json&amp;raddatabase=PVGIS-SARAH3&amp;pvtechchoice=crystSi&amp;mountingplace=free&amp;usehorizon=1</v>
      </c>
    </row>
    <row r="4199">
      <c r="A4199" t="n">
        <v>65</v>
      </c>
      <c r="B4199" t="n">
        <v>285</v>
      </c>
      <c r="C4199" t="n">
        <v>2</v>
      </c>
      <c r="D4199" s="218" t="n">
        <v>59.59</v>
      </c>
      <c r="E4199" s="218" t="n">
        <v>2.13</v>
      </c>
      <c r="F4199" t="str">
        <v>https://re.jrc.ec.europa.eu/api/v5_3/PVcalc?lat=30.0444&amp;lon=31.2357&amp;peakpower=1&amp;loss=14&amp;angle=65&amp;aspect=105&amp;outputformat=json&amp;raddatabase=PVGIS-SARAH3&amp;pvtechchoice=crystSi&amp;mountingplace=free&amp;usehorizon=1</v>
      </c>
    </row>
    <row r="4200">
      <c r="A4200" t="n">
        <v>65</v>
      </c>
      <c r="B4200" t="n">
        <v>285</v>
      </c>
      <c r="C4200" t="n">
        <v>3</v>
      </c>
      <c r="D4200" s="218" t="n">
        <v>91.44</v>
      </c>
      <c r="E4200" s="218" t="n">
        <v>2.95</v>
      </c>
      <c r="F4200" t="str">
        <v>https://re.jrc.ec.europa.eu/api/v5_3/PVcalc?lat=30.0444&amp;lon=31.2357&amp;peakpower=1&amp;loss=14&amp;angle=65&amp;aspect=105&amp;outputformat=json&amp;raddatabase=PVGIS-SARAH3&amp;pvtechchoice=crystSi&amp;mountingplace=free&amp;usehorizon=1</v>
      </c>
    </row>
    <row r="4201">
      <c r="A4201" t="n">
        <v>65</v>
      </c>
      <c r="B4201" t="n">
        <v>285</v>
      </c>
      <c r="C4201" t="n">
        <v>4</v>
      </c>
      <c r="D4201" s="218" t="n">
        <v>105.79</v>
      </c>
      <c r="E4201" s="218" t="n">
        <v>3.53</v>
      </c>
      <c r="F4201" t="str">
        <v>https://re.jrc.ec.europa.eu/api/v5_3/PVcalc?lat=30.0444&amp;lon=31.2357&amp;peakpower=1&amp;loss=14&amp;angle=65&amp;aspect=105&amp;outputformat=json&amp;raddatabase=PVGIS-SARAH3&amp;pvtechchoice=crystSi&amp;mountingplace=free&amp;usehorizon=1</v>
      </c>
    </row>
    <row r="4202">
      <c r="A4202" t="n">
        <v>65</v>
      </c>
      <c r="B4202" t="n">
        <v>285</v>
      </c>
      <c r="C4202" t="n">
        <v>5</v>
      </c>
      <c r="D4202" s="218" t="n">
        <v>120.79</v>
      </c>
      <c r="E4202" s="218" t="n">
        <v>3.9</v>
      </c>
      <c r="F4202" t="str">
        <v>https://re.jrc.ec.europa.eu/api/v5_3/PVcalc?lat=30.0444&amp;lon=31.2357&amp;peakpower=1&amp;loss=14&amp;angle=65&amp;aspect=105&amp;outputformat=json&amp;raddatabase=PVGIS-SARAH3&amp;pvtechchoice=crystSi&amp;mountingplace=free&amp;usehorizon=1</v>
      </c>
    </row>
    <row r="4203">
      <c r="A4203" t="n">
        <v>65</v>
      </c>
      <c r="B4203" t="n">
        <v>285</v>
      </c>
      <c r="C4203" t="n">
        <v>6</v>
      </c>
      <c r="D4203" s="218" t="n">
        <v>128.7</v>
      </c>
      <c r="E4203" s="218" t="n">
        <v>4.29</v>
      </c>
      <c r="F4203" t="str">
        <v>https://re.jrc.ec.europa.eu/api/v5_3/PVcalc?lat=30.0444&amp;lon=31.2357&amp;peakpower=1&amp;loss=14&amp;angle=65&amp;aspect=105&amp;outputformat=json&amp;raddatabase=PVGIS-SARAH3&amp;pvtechchoice=crystSi&amp;mountingplace=free&amp;usehorizon=1</v>
      </c>
    </row>
    <row r="4204">
      <c r="A4204" t="n">
        <v>65</v>
      </c>
      <c r="B4204" t="n">
        <v>285</v>
      </c>
      <c r="C4204" t="n">
        <v>7</v>
      </c>
      <c r="D4204" s="218" t="n">
        <v>131.33</v>
      </c>
      <c r="E4204" s="218" t="n">
        <v>4.24</v>
      </c>
      <c r="F4204" t="str">
        <v>https://re.jrc.ec.europa.eu/api/v5_3/PVcalc?lat=30.0444&amp;lon=31.2357&amp;peakpower=1&amp;loss=14&amp;angle=65&amp;aspect=105&amp;outputformat=json&amp;raddatabase=PVGIS-SARAH3&amp;pvtechchoice=crystSi&amp;mountingplace=free&amp;usehorizon=1</v>
      </c>
    </row>
    <row r="4205">
      <c r="A4205" t="n">
        <v>65</v>
      </c>
      <c r="B4205" t="n">
        <v>285</v>
      </c>
      <c r="C4205" t="n">
        <v>8</v>
      </c>
      <c r="D4205" s="218" t="n">
        <v>119.02</v>
      </c>
      <c r="E4205" s="218" t="n">
        <v>3.84</v>
      </c>
      <c r="F4205" t="str">
        <v>https://re.jrc.ec.europa.eu/api/v5_3/PVcalc?lat=30.0444&amp;lon=31.2357&amp;peakpower=1&amp;loss=14&amp;angle=65&amp;aspect=105&amp;outputformat=json&amp;raddatabase=PVGIS-SARAH3&amp;pvtechchoice=crystSi&amp;mountingplace=free&amp;usehorizon=1</v>
      </c>
    </row>
    <row r="4206">
      <c r="A4206" t="n">
        <v>65</v>
      </c>
      <c r="B4206" t="n">
        <v>285</v>
      </c>
      <c r="C4206" t="n">
        <v>9</v>
      </c>
      <c r="D4206" s="218" t="n">
        <v>97.64</v>
      </c>
      <c r="E4206" s="218" t="n">
        <v>3.25</v>
      </c>
      <c r="F4206" t="str">
        <v>https://re.jrc.ec.europa.eu/api/v5_3/PVcalc?lat=30.0444&amp;lon=31.2357&amp;peakpower=1&amp;loss=14&amp;angle=65&amp;aspect=105&amp;outputformat=json&amp;raddatabase=PVGIS-SARAH3&amp;pvtechchoice=crystSi&amp;mountingplace=free&amp;usehorizon=1</v>
      </c>
    </row>
    <row r="4207">
      <c r="A4207" t="n">
        <v>65</v>
      </c>
      <c r="B4207" t="n">
        <v>285</v>
      </c>
      <c r="C4207" t="n">
        <v>10</v>
      </c>
      <c r="D4207" s="218" t="n">
        <v>75.98</v>
      </c>
      <c r="E4207" s="218" t="n">
        <v>2.45</v>
      </c>
      <c r="F4207" t="str">
        <v>https://re.jrc.ec.europa.eu/api/v5_3/PVcalc?lat=30.0444&amp;lon=31.2357&amp;peakpower=1&amp;loss=14&amp;angle=65&amp;aspect=105&amp;outputformat=json&amp;raddatabase=PVGIS-SARAH3&amp;pvtechchoice=crystSi&amp;mountingplace=free&amp;usehorizon=1</v>
      </c>
    </row>
    <row r="4208">
      <c r="A4208" t="n">
        <v>65</v>
      </c>
      <c r="B4208" t="n">
        <v>285</v>
      </c>
      <c r="C4208" t="n">
        <v>11</v>
      </c>
      <c r="D4208" s="218" t="n">
        <v>55.18</v>
      </c>
      <c r="E4208" s="218" t="n">
        <v>1.84</v>
      </c>
      <c r="F4208" t="str">
        <v>https://re.jrc.ec.europa.eu/api/v5_3/PVcalc?lat=30.0444&amp;lon=31.2357&amp;peakpower=1&amp;loss=14&amp;angle=65&amp;aspect=105&amp;outputformat=json&amp;raddatabase=PVGIS-SARAH3&amp;pvtechchoice=crystSi&amp;mountingplace=free&amp;usehorizon=1</v>
      </c>
    </row>
    <row r="4209">
      <c r="A4209" t="n">
        <v>65</v>
      </c>
      <c r="B4209" t="n">
        <v>285</v>
      </c>
      <c r="C4209" t="n">
        <v>12</v>
      </c>
      <c r="D4209" s="218" t="n">
        <v>46.71</v>
      </c>
      <c r="E4209" s="218" t="n">
        <v>1.51</v>
      </c>
      <c r="F4209" t="str">
        <v>https://re.jrc.ec.europa.eu/api/v5_3/PVcalc?lat=30.0444&amp;lon=31.2357&amp;peakpower=1&amp;loss=14&amp;angle=65&amp;aspect=105&amp;outputformat=json&amp;raddatabase=PVGIS-SARAH3&amp;pvtechchoice=crystSi&amp;mountingplace=free&amp;usehorizon=1</v>
      </c>
    </row>
    <row r="4210">
      <c r="A4210" t="n">
        <v>65</v>
      </c>
      <c r="B4210" t="n">
        <v>300</v>
      </c>
      <c r="C4210" t="n">
        <v>1</v>
      </c>
      <c r="D4210" s="218" t="n">
        <v>35.29</v>
      </c>
      <c r="E4210" s="218" t="n">
        <v>1.14</v>
      </c>
      <c r="F4210" t="str">
        <v>https://re.jrc.ec.europa.eu/api/v5_3/PVcalc?lat=30.0444&amp;lon=31.2357&amp;peakpower=1&amp;loss=14&amp;angle=65&amp;aspect=120&amp;outputformat=json&amp;raddatabase=PVGIS-SARAH3&amp;pvtechchoice=crystSi&amp;mountingplace=free&amp;usehorizon=1</v>
      </c>
    </row>
    <row r="4211">
      <c r="A4211" t="n">
        <v>65</v>
      </c>
      <c r="B4211" t="n">
        <v>300</v>
      </c>
      <c r="C4211" t="n">
        <v>2</v>
      </c>
      <c r="D4211" s="218" t="n">
        <v>46.5</v>
      </c>
      <c r="E4211" s="218" t="n">
        <v>1.66</v>
      </c>
      <c r="F4211" t="str">
        <v>https://re.jrc.ec.europa.eu/api/v5_3/PVcalc?lat=30.0444&amp;lon=31.2357&amp;peakpower=1&amp;loss=14&amp;angle=65&amp;aspect=120&amp;outputformat=json&amp;raddatabase=PVGIS-SARAH3&amp;pvtechchoice=crystSi&amp;mountingplace=free&amp;usehorizon=1</v>
      </c>
    </row>
    <row r="4212">
      <c r="A4212" t="n">
        <v>65</v>
      </c>
      <c r="B4212" t="n">
        <v>300</v>
      </c>
      <c r="C4212" t="n">
        <v>3</v>
      </c>
      <c r="D4212" s="218" t="n">
        <v>76.91</v>
      </c>
      <c r="E4212" s="218" t="n">
        <v>2.48</v>
      </c>
      <c r="F4212" t="str">
        <v>https://re.jrc.ec.europa.eu/api/v5_3/PVcalc?lat=30.0444&amp;lon=31.2357&amp;peakpower=1&amp;loss=14&amp;angle=65&amp;aspect=120&amp;outputformat=json&amp;raddatabase=PVGIS-SARAH3&amp;pvtechchoice=crystSi&amp;mountingplace=free&amp;usehorizon=1</v>
      </c>
    </row>
    <row r="4213">
      <c r="A4213" t="n">
        <v>65</v>
      </c>
      <c r="B4213" t="n">
        <v>300</v>
      </c>
      <c r="C4213" t="n">
        <v>4</v>
      </c>
      <c r="D4213" s="218" t="n">
        <v>95.09</v>
      </c>
      <c r="E4213" s="218" t="n">
        <v>3.17</v>
      </c>
      <c r="F4213" t="str">
        <v>https://re.jrc.ec.europa.eu/api/v5_3/PVcalc?lat=30.0444&amp;lon=31.2357&amp;peakpower=1&amp;loss=14&amp;angle=65&amp;aspect=120&amp;outputformat=json&amp;raddatabase=PVGIS-SARAH3&amp;pvtechchoice=crystSi&amp;mountingplace=free&amp;usehorizon=1</v>
      </c>
    </row>
    <row r="4214">
      <c r="A4214" t="n">
        <v>65</v>
      </c>
      <c r="B4214" t="n">
        <v>300</v>
      </c>
      <c r="C4214" t="n">
        <v>5</v>
      </c>
      <c r="D4214" s="218" t="n">
        <v>113.88</v>
      </c>
      <c r="E4214" s="218" t="n">
        <v>3.67</v>
      </c>
      <c r="F4214" t="str">
        <v>https://re.jrc.ec.europa.eu/api/v5_3/PVcalc?lat=30.0444&amp;lon=31.2357&amp;peakpower=1&amp;loss=14&amp;angle=65&amp;aspect=120&amp;outputformat=json&amp;raddatabase=PVGIS-SARAH3&amp;pvtechchoice=crystSi&amp;mountingplace=free&amp;usehorizon=1</v>
      </c>
    </row>
    <row r="4215">
      <c r="A4215" t="n">
        <v>65</v>
      </c>
      <c r="B4215" t="n">
        <v>300</v>
      </c>
      <c r="C4215" t="n">
        <v>6</v>
      </c>
      <c r="D4215" s="218" t="n">
        <v>123.74</v>
      </c>
      <c r="E4215" s="218" t="n">
        <v>4.12</v>
      </c>
      <c r="F4215" t="str">
        <v>https://re.jrc.ec.europa.eu/api/v5_3/PVcalc?lat=30.0444&amp;lon=31.2357&amp;peakpower=1&amp;loss=14&amp;angle=65&amp;aspect=120&amp;outputformat=json&amp;raddatabase=PVGIS-SARAH3&amp;pvtechchoice=crystSi&amp;mountingplace=free&amp;usehorizon=1</v>
      </c>
    </row>
    <row r="4216">
      <c r="A4216" t="n">
        <v>65</v>
      </c>
      <c r="B4216" t="n">
        <v>300</v>
      </c>
      <c r="C4216" t="n">
        <v>7</v>
      </c>
      <c r="D4216" s="218" t="n">
        <v>124.98</v>
      </c>
      <c r="E4216" s="218" t="n">
        <v>4.03</v>
      </c>
      <c r="F4216" t="str">
        <v>https://re.jrc.ec.europa.eu/api/v5_3/PVcalc?lat=30.0444&amp;lon=31.2357&amp;peakpower=1&amp;loss=14&amp;angle=65&amp;aspect=120&amp;outputformat=json&amp;raddatabase=PVGIS-SARAH3&amp;pvtechchoice=crystSi&amp;mountingplace=free&amp;usehorizon=1</v>
      </c>
    </row>
    <row r="4217">
      <c r="A4217" t="n">
        <v>65</v>
      </c>
      <c r="B4217" t="n">
        <v>300</v>
      </c>
      <c r="C4217" t="n">
        <v>8</v>
      </c>
      <c r="D4217" s="218" t="n">
        <v>108.6</v>
      </c>
      <c r="E4217" s="218" t="n">
        <v>3.5</v>
      </c>
      <c r="F4217" t="str">
        <v>https://re.jrc.ec.europa.eu/api/v5_3/PVcalc?lat=30.0444&amp;lon=31.2357&amp;peakpower=1&amp;loss=14&amp;angle=65&amp;aspect=120&amp;outputformat=json&amp;raddatabase=PVGIS-SARAH3&amp;pvtechchoice=crystSi&amp;mountingplace=free&amp;usehorizon=1</v>
      </c>
    </row>
    <row r="4218">
      <c r="A4218" t="n">
        <v>65</v>
      </c>
      <c r="B4218" t="n">
        <v>300</v>
      </c>
      <c r="C4218" t="n">
        <v>9</v>
      </c>
      <c r="D4218" s="218" t="n">
        <v>83.45</v>
      </c>
      <c r="E4218" s="218" t="n">
        <v>2.78</v>
      </c>
      <c r="F4218" t="str">
        <v>https://re.jrc.ec.europa.eu/api/v5_3/PVcalc?lat=30.0444&amp;lon=31.2357&amp;peakpower=1&amp;loss=14&amp;angle=65&amp;aspect=120&amp;outputformat=json&amp;raddatabase=PVGIS-SARAH3&amp;pvtechchoice=crystSi&amp;mountingplace=free&amp;usehorizon=1</v>
      </c>
    </row>
    <row r="4219">
      <c r="A4219" t="n">
        <v>65</v>
      </c>
      <c r="B4219" t="n">
        <v>300</v>
      </c>
      <c r="C4219" t="n">
        <v>10</v>
      </c>
      <c r="D4219" s="218" t="n">
        <v>59.82</v>
      </c>
      <c r="E4219" s="218" t="n">
        <v>1.93</v>
      </c>
      <c r="F4219" t="str">
        <v>https://re.jrc.ec.europa.eu/api/v5_3/PVcalc?lat=30.0444&amp;lon=31.2357&amp;peakpower=1&amp;loss=14&amp;angle=65&amp;aspect=120&amp;outputformat=json&amp;raddatabase=PVGIS-SARAH3&amp;pvtechchoice=crystSi&amp;mountingplace=free&amp;usehorizon=1</v>
      </c>
    </row>
    <row r="4220">
      <c r="A4220" t="n">
        <v>65</v>
      </c>
      <c r="B4220" t="n">
        <v>300</v>
      </c>
      <c r="C4220" t="n">
        <v>11</v>
      </c>
      <c r="D4220" s="218" t="n">
        <v>39.55</v>
      </c>
      <c r="E4220" s="218" t="n">
        <v>1.32</v>
      </c>
      <c r="F4220" t="str">
        <v>https://re.jrc.ec.europa.eu/api/v5_3/PVcalc?lat=30.0444&amp;lon=31.2357&amp;peakpower=1&amp;loss=14&amp;angle=65&amp;aspect=120&amp;outputformat=json&amp;raddatabase=PVGIS-SARAH3&amp;pvtechchoice=crystSi&amp;mountingplace=free&amp;usehorizon=1</v>
      </c>
    </row>
    <row r="4221">
      <c r="A4221" t="n">
        <v>65</v>
      </c>
      <c r="B4221" t="n">
        <v>300</v>
      </c>
      <c r="C4221" t="n">
        <v>12</v>
      </c>
      <c r="D4221" s="218" t="n">
        <v>32</v>
      </c>
      <c r="E4221" s="218" t="n">
        <v>1.03</v>
      </c>
      <c r="F4221" t="str">
        <v>https://re.jrc.ec.europa.eu/api/v5_3/PVcalc?lat=30.0444&amp;lon=31.2357&amp;peakpower=1&amp;loss=14&amp;angle=65&amp;aspect=120&amp;outputformat=json&amp;raddatabase=PVGIS-SARAH3&amp;pvtechchoice=crystSi&amp;mountingplace=free&amp;usehorizon=1</v>
      </c>
    </row>
    <row r="4222">
      <c r="A4222" t="n">
        <v>65</v>
      </c>
      <c r="B4222" t="n">
        <v>315</v>
      </c>
      <c r="C4222" t="n">
        <v>1</v>
      </c>
      <c r="D4222" s="218" t="n">
        <v>23.73</v>
      </c>
      <c r="E4222" s="218" t="n">
        <v>0.77</v>
      </c>
      <c r="F4222" t="str">
        <v>https://re.jrc.ec.europa.eu/api/v5_3/PVcalc?lat=30.0444&amp;lon=31.2357&amp;peakpower=1&amp;loss=14&amp;angle=65&amp;aspect=135&amp;outputformat=json&amp;raddatabase=PVGIS-SARAH3&amp;pvtechchoice=crystSi&amp;mountingplace=free&amp;usehorizon=1</v>
      </c>
    </row>
    <row r="4223">
      <c r="A4223" t="n">
        <v>65</v>
      </c>
      <c r="B4223" t="n">
        <v>315</v>
      </c>
      <c r="C4223" t="n">
        <v>2</v>
      </c>
      <c r="D4223" s="218" t="n">
        <v>34.19</v>
      </c>
      <c r="E4223" s="218" t="n">
        <v>1.22</v>
      </c>
      <c r="F4223" t="str">
        <v>https://re.jrc.ec.europa.eu/api/v5_3/PVcalc?lat=30.0444&amp;lon=31.2357&amp;peakpower=1&amp;loss=14&amp;angle=65&amp;aspect=135&amp;outputformat=json&amp;raddatabase=PVGIS-SARAH3&amp;pvtechchoice=crystSi&amp;mountingplace=free&amp;usehorizon=1</v>
      </c>
    </row>
    <row r="4224">
      <c r="A4224" t="n">
        <v>65</v>
      </c>
      <c r="B4224" t="n">
        <v>315</v>
      </c>
      <c r="C4224" t="n">
        <v>3</v>
      </c>
      <c r="D4224" s="218" t="n">
        <v>61.19</v>
      </c>
      <c r="E4224" s="218" t="n">
        <v>1.97</v>
      </c>
      <c r="F4224" t="str">
        <v>https://re.jrc.ec.europa.eu/api/v5_3/PVcalc?lat=30.0444&amp;lon=31.2357&amp;peakpower=1&amp;loss=14&amp;angle=65&amp;aspect=135&amp;outputformat=json&amp;raddatabase=PVGIS-SARAH3&amp;pvtechchoice=crystSi&amp;mountingplace=free&amp;usehorizon=1</v>
      </c>
    </row>
    <row r="4225">
      <c r="A4225" t="n">
        <v>65</v>
      </c>
      <c r="B4225" t="n">
        <v>315</v>
      </c>
      <c r="C4225" t="n">
        <v>4</v>
      </c>
      <c r="D4225" s="218" t="n">
        <v>82.26</v>
      </c>
      <c r="E4225" s="218" t="n">
        <v>2.74</v>
      </c>
      <c r="F4225" t="str">
        <v>https://re.jrc.ec.europa.eu/api/v5_3/PVcalc?lat=30.0444&amp;lon=31.2357&amp;peakpower=1&amp;loss=14&amp;angle=65&amp;aspect=135&amp;outputformat=json&amp;raddatabase=PVGIS-SARAH3&amp;pvtechchoice=crystSi&amp;mountingplace=free&amp;usehorizon=1</v>
      </c>
    </row>
    <row r="4226">
      <c r="A4226" t="n">
        <v>65</v>
      </c>
      <c r="B4226" t="n">
        <v>315</v>
      </c>
      <c r="C4226" t="n">
        <v>5</v>
      </c>
      <c r="D4226" s="218" t="n">
        <v>104.36</v>
      </c>
      <c r="E4226" s="218" t="n">
        <v>3.37</v>
      </c>
      <c r="F4226" t="str">
        <v>https://re.jrc.ec.europa.eu/api/v5_3/PVcalc?lat=30.0444&amp;lon=31.2357&amp;peakpower=1&amp;loss=14&amp;angle=65&amp;aspect=135&amp;outputformat=json&amp;raddatabase=PVGIS-SARAH3&amp;pvtechchoice=crystSi&amp;mountingplace=free&amp;usehorizon=1</v>
      </c>
    </row>
    <row r="4227">
      <c r="A4227" t="n">
        <v>65</v>
      </c>
      <c r="B4227" t="n">
        <v>315</v>
      </c>
      <c r="C4227" t="n">
        <v>6</v>
      </c>
      <c r="D4227" s="218" t="n">
        <v>115.78</v>
      </c>
      <c r="E4227" s="218" t="n">
        <v>3.86</v>
      </c>
      <c r="F4227" t="str">
        <v>https://re.jrc.ec.europa.eu/api/v5_3/PVcalc?lat=30.0444&amp;lon=31.2357&amp;peakpower=1&amp;loss=14&amp;angle=65&amp;aspect=135&amp;outputformat=json&amp;raddatabase=PVGIS-SARAH3&amp;pvtechchoice=crystSi&amp;mountingplace=free&amp;usehorizon=1</v>
      </c>
    </row>
    <row r="4228">
      <c r="A4228" t="n">
        <v>65</v>
      </c>
      <c r="B4228" t="n">
        <v>315</v>
      </c>
      <c r="C4228" t="n">
        <v>7</v>
      </c>
      <c r="D4228" s="218" t="n">
        <v>115.45</v>
      </c>
      <c r="E4228" s="218" t="n">
        <v>3.72</v>
      </c>
      <c r="F4228" t="str">
        <v>https://re.jrc.ec.europa.eu/api/v5_3/PVcalc?lat=30.0444&amp;lon=31.2357&amp;peakpower=1&amp;loss=14&amp;angle=65&amp;aspect=135&amp;outputformat=json&amp;raddatabase=PVGIS-SARAH3&amp;pvtechchoice=crystSi&amp;mountingplace=free&amp;usehorizon=1</v>
      </c>
    </row>
    <row r="4229">
      <c r="A4229" t="n">
        <v>65</v>
      </c>
      <c r="B4229" t="n">
        <v>315</v>
      </c>
      <c r="C4229" t="n">
        <v>8</v>
      </c>
      <c r="D4229" s="218" t="n">
        <v>95.26</v>
      </c>
      <c r="E4229" s="218" t="n">
        <v>3.07</v>
      </c>
      <c r="F4229" t="str">
        <v>https://re.jrc.ec.europa.eu/api/v5_3/PVcalc?lat=30.0444&amp;lon=31.2357&amp;peakpower=1&amp;loss=14&amp;angle=65&amp;aspect=135&amp;outputformat=json&amp;raddatabase=PVGIS-SARAH3&amp;pvtechchoice=crystSi&amp;mountingplace=free&amp;usehorizon=1</v>
      </c>
    </row>
    <row r="4230">
      <c r="A4230" t="n">
        <v>65</v>
      </c>
      <c r="B4230" t="n">
        <v>315</v>
      </c>
      <c r="C4230" t="n">
        <v>9</v>
      </c>
      <c r="D4230" s="218" t="n">
        <v>67.52</v>
      </c>
      <c r="E4230" s="218" t="n">
        <v>2.25</v>
      </c>
      <c r="F4230" t="str">
        <v>https://re.jrc.ec.europa.eu/api/v5_3/PVcalc?lat=30.0444&amp;lon=31.2357&amp;peakpower=1&amp;loss=14&amp;angle=65&amp;aspect=135&amp;outputformat=json&amp;raddatabase=PVGIS-SARAH3&amp;pvtechchoice=crystSi&amp;mountingplace=free&amp;usehorizon=1</v>
      </c>
    </row>
    <row r="4231">
      <c r="A4231" t="n">
        <v>65</v>
      </c>
      <c r="B4231" t="n">
        <v>315</v>
      </c>
      <c r="C4231" t="n">
        <v>10</v>
      </c>
      <c r="D4231" s="218" t="n">
        <v>43.61</v>
      </c>
      <c r="E4231" s="218" t="n">
        <v>1.41</v>
      </c>
      <c r="F4231" t="str">
        <v>https://re.jrc.ec.europa.eu/api/v5_3/PVcalc?lat=30.0444&amp;lon=31.2357&amp;peakpower=1&amp;loss=14&amp;angle=65&amp;aspect=135&amp;outputformat=json&amp;raddatabase=PVGIS-SARAH3&amp;pvtechchoice=crystSi&amp;mountingplace=free&amp;usehorizon=1</v>
      </c>
    </row>
    <row r="4232">
      <c r="A4232" t="n">
        <v>65</v>
      </c>
      <c r="B4232" t="n">
        <v>315</v>
      </c>
      <c r="C4232" t="n">
        <v>11</v>
      </c>
      <c r="D4232" s="218" t="n">
        <v>26.08</v>
      </c>
      <c r="E4232" s="218" t="n">
        <v>0.87</v>
      </c>
      <c r="F4232" t="str">
        <v>https://re.jrc.ec.europa.eu/api/v5_3/PVcalc?lat=30.0444&amp;lon=31.2357&amp;peakpower=1&amp;loss=14&amp;angle=65&amp;aspect=135&amp;outputformat=json&amp;raddatabase=PVGIS-SARAH3&amp;pvtechchoice=crystSi&amp;mountingplace=free&amp;usehorizon=1</v>
      </c>
    </row>
    <row r="4233">
      <c r="A4233" t="n">
        <v>65</v>
      </c>
      <c r="B4233" t="n">
        <v>315</v>
      </c>
      <c r="C4233" t="n">
        <v>12</v>
      </c>
      <c r="D4233" s="218" t="n">
        <v>20.89</v>
      </c>
      <c r="E4233" s="218" t="n">
        <v>0.67</v>
      </c>
      <c r="F4233" t="str">
        <v>https://re.jrc.ec.europa.eu/api/v5_3/PVcalc?lat=30.0444&amp;lon=31.2357&amp;peakpower=1&amp;loss=14&amp;angle=65&amp;aspect=135&amp;outputformat=json&amp;raddatabase=PVGIS-SARAH3&amp;pvtechchoice=crystSi&amp;mountingplace=free&amp;usehorizon=1</v>
      </c>
    </row>
    <row r="4234">
      <c r="A4234" t="n">
        <v>65</v>
      </c>
      <c r="B4234" t="n">
        <v>330</v>
      </c>
      <c r="C4234" t="n">
        <v>1</v>
      </c>
      <c r="D4234" s="218" t="n">
        <v>17.87</v>
      </c>
      <c r="E4234" s="218" t="n">
        <v>0.58</v>
      </c>
      <c r="F4234" t="str">
        <v>https://re.jrc.ec.europa.eu/api/v5_3/PVcalc?lat=30.0444&amp;lon=31.2357&amp;peakpower=1&amp;loss=14&amp;angle=65&amp;aspect=150&amp;outputformat=json&amp;raddatabase=PVGIS-SARAH3&amp;pvtechchoice=crystSi&amp;mountingplace=free&amp;usehorizon=1</v>
      </c>
    </row>
    <row r="4235">
      <c r="A4235" t="n">
        <v>65</v>
      </c>
      <c r="B4235" t="n">
        <v>330</v>
      </c>
      <c r="C4235" t="n">
        <v>2</v>
      </c>
      <c r="D4235" s="218" t="n">
        <v>24.38</v>
      </c>
      <c r="E4235" s="218" t="n">
        <v>0.87</v>
      </c>
      <c r="F4235" t="str">
        <v>https://re.jrc.ec.europa.eu/api/v5_3/PVcalc?lat=30.0444&amp;lon=31.2357&amp;peakpower=1&amp;loss=14&amp;angle=65&amp;aspect=150&amp;outputformat=json&amp;raddatabase=PVGIS-SARAH3&amp;pvtechchoice=crystSi&amp;mountingplace=free&amp;usehorizon=1</v>
      </c>
    </row>
    <row r="4236">
      <c r="A4236" t="n">
        <v>65</v>
      </c>
      <c r="B4236" t="n">
        <v>330</v>
      </c>
      <c r="C4236" t="n">
        <v>3</v>
      </c>
      <c r="D4236" s="218" t="n">
        <v>45.25</v>
      </c>
      <c r="E4236" s="218" t="n">
        <v>1.46</v>
      </c>
      <c r="F4236" t="str">
        <v>https://re.jrc.ec.europa.eu/api/v5_3/PVcalc?lat=30.0444&amp;lon=31.2357&amp;peakpower=1&amp;loss=14&amp;angle=65&amp;aspect=150&amp;outputformat=json&amp;raddatabase=PVGIS-SARAH3&amp;pvtechchoice=crystSi&amp;mountingplace=free&amp;usehorizon=1</v>
      </c>
    </row>
    <row r="4237">
      <c r="A4237" t="n">
        <v>65</v>
      </c>
      <c r="B4237" t="n">
        <v>330</v>
      </c>
      <c r="C4237" t="n">
        <v>4</v>
      </c>
      <c r="D4237" s="218" t="n">
        <v>67.73</v>
      </c>
      <c r="E4237" s="218" t="n">
        <v>2.26</v>
      </c>
      <c r="F4237" t="str">
        <v>https://re.jrc.ec.europa.eu/api/v5_3/PVcalc?lat=30.0444&amp;lon=31.2357&amp;peakpower=1&amp;loss=14&amp;angle=65&amp;aspect=150&amp;outputformat=json&amp;raddatabase=PVGIS-SARAH3&amp;pvtechchoice=crystSi&amp;mountingplace=free&amp;usehorizon=1</v>
      </c>
    </row>
    <row r="4238">
      <c r="A4238" t="n">
        <v>65</v>
      </c>
      <c r="B4238" t="n">
        <v>330</v>
      </c>
      <c r="C4238" t="n">
        <v>5</v>
      </c>
      <c r="D4238" s="218" t="n">
        <v>93.01</v>
      </c>
      <c r="E4238" s="218" t="n">
        <v>3</v>
      </c>
      <c r="F4238" t="str">
        <v>https://re.jrc.ec.europa.eu/api/v5_3/PVcalc?lat=30.0444&amp;lon=31.2357&amp;peakpower=1&amp;loss=14&amp;angle=65&amp;aspect=150&amp;outputformat=json&amp;raddatabase=PVGIS-SARAH3&amp;pvtechchoice=crystSi&amp;mountingplace=free&amp;usehorizon=1</v>
      </c>
    </row>
    <row r="4239">
      <c r="A4239" t="n">
        <v>65</v>
      </c>
      <c r="B4239" t="n">
        <v>330</v>
      </c>
      <c r="C4239" t="n">
        <v>6</v>
      </c>
      <c r="D4239" s="218" t="n">
        <v>106.03</v>
      </c>
      <c r="E4239" s="218" t="n">
        <v>3.53</v>
      </c>
      <c r="F4239" t="str">
        <v>https://re.jrc.ec.europa.eu/api/v5_3/PVcalc?lat=30.0444&amp;lon=31.2357&amp;peakpower=1&amp;loss=14&amp;angle=65&amp;aspect=150&amp;outputformat=json&amp;raddatabase=PVGIS-SARAH3&amp;pvtechchoice=crystSi&amp;mountingplace=free&amp;usehorizon=1</v>
      </c>
    </row>
    <row r="4240">
      <c r="A4240" t="n">
        <v>65</v>
      </c>
      <c r="B4240" t="n">
        <v>330</v>
      </c>
      <c r="C4240" t="n">
        <v>7</v>
      </c>
      <c r="D4240" s="218" t="n">
        <v>103.74</v>
      </c>
      <c r="E4240" s="218" t="n">
        <v>3.35</v>
      </c>
      <c r="F4240" t="str">
        <v>https://re.jrc.ec.europa.eu/api/v5_3/PVcalc?lat=30.0444&amp;lon=31.2357&amp;peakpower=1&amp;loss=14&amp;angle=65&amp;aspect=150&amp;outputformat=json&amp;raddatabase=PVGIS-SARAH3&amp;pvtechchoice=crystSi&amp;mountingplace=free&amp;usehorizon=1</v>
      </c>
    </row>
    <row r="4241">
      <c r="A4241" t="n">
        <v>65</v>
      </c>
      <c r="B4241" t="n">
        <v>330</v>
      </c>
      <c r="C4241" t="n">
        <v>8</v>
      </c>
      <c r="D4241" s="218" t="n">
        <v>79.54</v>
      </c>
      <c r="E4241" s="218" t="n">
        <v>2.57</v>
      </c>
      <c r="F4241" t="str">
        <v>https://re.jrc.ec.europa.eu/api/v5_3/PVcalc?lat=30.0444&amp;lon=31.2357&amp;peakpower=1&amp;loss=14&amp;angle=65&amp;aspect=150&amp;outputformat=json&amp;raddatabase=PVGIS-SARAH3&amp;pvtechchoice=crystSi&amp;mountingplace=free&amp;usehorizon=1</v>
      </c>
    </row>
    <row r="4242">
      <c r="A4242" t="n">
        <v>65</v>
      </c>
      <c r="B4242" t="n">
        <v>330</v>
      </c>
      <c r="C4242" t="n">
        <v>9</v>
      </c>
      <c r="D4242" s="218" t="n">
        <v>50.37</v>
      </c>
      <c r="E4242" s="218" t="n">
        <v>1.68</v>
      </c>
      <c r="F4242" t="str">
        <v>https://re.jrc.ec.europa.eu/api/v5_3/PVcalc?lat=30.0444&amp;lon=31.2357&amp;peakpower=1&amp;loss=14&amp;angle=65&amp;aspect=150&amp;outputformat=json&amp;raddatabase=PVGIS-SARAH3&amp;pvtechchoice=crystSi&amp;mountingplace=free&amp;usehorizon=1</v>
      </c>
    </row>
    <row r="4243">
      <c r="A4243" t="n">
        <v>65</v>
      </c>
      <c r="B4243" t="n">
        <v>330</v>
      </c>
      <c r="C4243" t="n">
        <v>10</v>
      </c>
      <c r="D4243" s="218" t="n">
        <v>29.28</v>
      </c>
      <c r="E4243" s="218" t="n">
        <v>0.94</v>
      </c>
      <c r="F4243" t="str">
        <v>https://re.jrc.ec.europa.eu/api/v5_3/PVcalc?lat=30.0444&amp;lon=31.2357&amp;peakpower=1&amp;loss=14&amp;angle=65&amp;aspect=150&amp;outputformat=json&amp;raddatabase=PVGIS-SARAH3&amp;pvtechchoice=crystSi&amp;mountingplace=free&amp;usehorizon=1</v>
      </c>
    </row>
    <row r="4244">
      <c r="A4244" t="n">
        <v>65</v>
      </c>
      <c r="B4244" t="n">
        <v>330</v>
      </c>
      <c r="C4244" t="n">
        <v>11</v>
      </c>
      <c r="D4244" s="218" t="n">
        <v>17.95</v>
      </c>
      <c r="E4244" s="218" t="n">
        <v>0.6</v>
      </c>
      <c r="F4244" t="str">
        <v>https://re.jrc.ec.europa.eu/api/v5_3/PVcalc?lat=30.0444&amp;lon=31.2357&amp;peakpower=1&amp;loss=14&amp;angle=65&amp;aspect=150&amp;outputformat=json&amp;raddatabase=PVGIS-SARAH3&amp;pvtechchoice=crystSi&amp;mountingplace=free&amp;usehorizon=1</v>
      </c>
    </row>
    <row r="4245">
      <c r="A4245" t="n">
        <v>65</v>
      </c>
      <c r="B4245" t="n">
        <v>330</v>
      </c>
      <c r="C4245" t="n">
        <v>12</v>
      </c>
      <c r="D4245" s="218" t="n">
        <v>16.28</v>
      </c>
      <c r="E4245" s="218" t="n">
        <v>0.53</v>
      </c>
      <c r="F4245" t="str">
        <v>https://re.jrc.ec.europa.eu/api/v5_3/PVcalc?lat=30.0444&amp;lon=31.2357&amp;peakpower=1&amp;loss=14&amp;angle=65&amp;aspect=150&amp;outputformat=json&amp;raddatabase=PVGIS-SARAH3&amp;pvtechchoice=crystSi&amp;mountingplace=free&amp;usehorizon=1</v>
      </c>
    </row>
    <row r="4246">
      <c r="A4246" t="n">
        <v>65</v>
      </c>
      <c r="B4246" t="n">
        <v>345</v>
      </c>
      <c r="C4246" t="n">
        <v>1</v>
      </c>
      <c r="D4246" s="218" t="n">
        <v>17.42</v>
      </c>
      <c r="E4246" s="218" t="n">
        <v>0.56</v>
      </c>
      <c r="F4246" t="str">
        <v>https://re.jrc.ec.europa.eu/api/v5_3/PVcalc?lat=30.0444&amp;lon=31.2357&amp;peakpower=1&amp;loss=14&amp;angle=65&amp;aspect=165&amp;outputformat=json&amp;raddatabase=PVGIS-SARAH3&amp;pvtechchoice=crystSi&amp;mountingplace=free&amp;usehorizon=1</v>
      </c>
    </row>
    <row r="4247">
      <c r="A4247" t="n">
        <v>65</v>
      </c>
      <c r="B4247" t="n">
        <v>345</v>
      </c>
      <c r="C4247" t="n">
        <v>2</v>
      </c>
      <c r="D4247" s="218" t="n">
        <v>20.38</v>
      </c>
      <c r="E4247" s="218" t="n">
        <v>0.73</v>
      </c>
      <c r="F4247" t="str">
        <v>https://re.jrc.ec.europa.eu/api/v5_3/PVcalc?lat=30.0444&amp;lon=31.2357&amp;peakpower=1&amp;loss=14&amp;angle=65&amp;aspect=165&amp;outputformat=json&amp;raddatabase=PVGIS-SARAH3&amp;pvtechchoice=crystSi&amp;mountingplace=free&amp;usehorizon=1</v>
      </c>
    </row>
    <row r="4248">
      <c r="A4248" t="n">
        <v>65</v>
      </c>
      <c r="B4248" t="n">
        <v>345</v>
      </c>
      <c r="C4248" t="n">
        <v>3</v>
      </c>
      <c r="D4248" s="218" t="n">
        <v>31.65</v>
      </c>
      <c r="E4248" s="218" t="n">
        <v>1.02</v>
      </c>
      <c r="F4248" t="str">
        <v>https://re.jrc.ec.europa.eu/api/v5_3/PVcalc?lat=30.0444&amp;lon=31.2357&amp;peakpower=1&amp;loss=14&amp;angle=65&amp;aspect=165&amp;outputformat=json&amp;raddatabase=PVGIS-SARAH3&amp;pvtechchoice=crystSi&amp;mountingplace=free&amp;usehorizon=1</v>
      </c>
    </row>
    <row r="4249">
      <c r="A4249" t="n">
        <v>65</v>
      </c>
      <c r="B4249" t="n">
        <v>345</v>
      </c>
      <c r="C4249" t="n">
        <v>4</v>
      </c>
      <c r="D4249" s="218" t="n">
        <v>52.66</v>
      </c>
      <c r="E4249" s="218" t="n">
        <v>1.76</v>
      </c>
      <c r="F4249" t="str">
        <v>https://re.jrc.ec.europa.eu/api/v5_3/PVcalc?lat=30.0444&amp;lon=31.2357&amp;peakpower=1&amp;loss=14&amp;angle=65&amp;aspect=165&amp;outputformat=json&amp;raddatabase=PVGIS-SARAH3&amp;pvtechchoice=crystSi&amp;mountingplace=free&amp;usehorizon=1</v>
      </c>
    </row>
    <row r="4250">
      <c r="A4250" t="n">
        <v>65</v>
      </c>
      <c r="B4250" t="n">
        <v>345</v>
      </c>
      <c r="C4250" t="n">
        <v>5</v>
      </c>
      <c r="D4250" s="218" t="n">
        <v>84.42</v>
      </c>
      <c r="E4250" s="218" t="n">
        <v>2.72</v>
      </c>
      <c r="F4250" t="str">
        <v>https://re.jrc.ec.europa.eu/api/v5_3/PVcalc?lat=30.0444&amp;lon=31.2357&amp;peakpower=1&amp;loss=14&amp;angle=65&amp;aspect=165&amp;outputformat=json&amp;raddatabase=PVGIS-SARAH3&amp;pvtechchoice=crystSi&amp;mountingplace=free&amp;usehorizon=1</v>
      </c>
    </row>
    <row r="4251">
      <c r="A4251" t="n">
        <v>65</v>
      </c>
      <c r="B4251" t="n">
        <v>345</v>
      </c>
      <c r="C4251" t="n">
        <v>6</v>
      </c>
      <c r="D4251" s="218" t="n">
        <v>101.31</v>
      </c>
      <c r="E4251" s="218" t="n">
        <v>3.38</v>
      </c>
      <c r="F4251" t="str">
        <v>https://re.jrc.ec.europa.eu/api/v5_3/PVcalc?lat=30.0444&amp;lon=31.2357&amp;peakpower=1&amp;loss=14&amp;angle=65&amp;aspect=165&amp;outputformat=json&amp;raddatabase=PVGIS-SARAH3&amp;pvtechchoice=crystSi&amp;mountingplace=free&amp;usehorizon=1</v>
      </c>
    </row>
    <row r="4252">
      <c r="A4252" t="n">
        <v>65</v>
      </c>
      <c r="B4252" t="n">
        <v>345</v>
      </c>
      <c r="C4252" t="n">
        <v>7</v>
      </c>
      <c r="D4252" s="218" t="n">
        <v>95.73</v>
      </c>
      <c r="E4252" s="218" t="n">
        <v>3.09</v>
      </c>
      <c r="F4252" t="str">
        <v>https://re.jrc.ec.europa.eu/api/v5_3/PVcalc?lat=30.0444&amp;lon=31.2357&amp;peakpower=1&amp;loss=14&amp;angle=65&amp;aspect=165&amp;outputformat=json&amp;raddatabase=PVGIS-SARAH3&amp;pvtechchoice=crystSi&amp;mountingplace=free&amp;usehorizon=1</v>
      </c>
    </row>
    <row r="4253">
      <c r="A4253" t="n">
        <v>65</v>
      </c>
      <c r="B4253" t="n">
        <v>345</v>
      </c>
      <c r="C4253" t="n">
        <v>8</v>
      </c>
      <c r="D4253" s="218" t="n">
        <v>63.53</v>
      </c>
      <c r="E4253" s="218" t="n">
        <v>2.05</v>
      </c>
      <c r="F4253" t="str">
        <v>https://re.jrc.ec.europa.eu/api/v5_3/PVcalc?lat=30.0444&amp;lon=31.2357&amp;peakpower=1&amp;loss=14&amp;angle=65&amp;aspect=165&amp;outputformat=json&amp;raddatabase=PVGIS-SARAH3&amp;pvtechchoice=crystSi&amp;mountingplace=free&amp;usehorizon=1</v>
      </c>
    </row>
    <row r="4254">
      <c r="A4254" t="n">
        <v>65</v>
      </c>
      <c r="B4254" t="n">
        <v>345</v>
      </c>
      <c r="C4254" t="n">
        <v>9</v>
      </c>
      <c r="D4254" s="218" t="n">
        <v>33.75</v>
      </c>
      <c r="E4254" s="218" t="n">
        <v>1.13</v>
      </c>
      <c r="F4254" t="str">
        <v>https://re.jrc.ec.europa.eu/api/v5_3/PVcalc?lat=30.0444&amp;lon=31.2357&amp;peakpower=1&amp;loss=14&amp;angle=65&amp;aspect=165&amp;outputformat=json&amp;raddatabase=PVGIS-SARAH3&amp;pvtechchoice=crystSi&amp;mountingplace=free&amp;usehorizon=1</v>
      </c>
    </row>
    <row r="4255">
      <c r="A4255" t="n">
        <v>65</v>
      </c>
      <c r="B4255" t="n">
        <v>345</v>
      </c>
      <c r="C4255" t="n">
        <v>10</v>
      </c>
      <c r="D4255" s="218" t="n">
        <v>21.12</v>
      </c>
      <c r="E4255" s="218" t="n">
        <v>0.68</v>
      </c>
      <c r="F4255" t="str">
        <v>https://re.jrc.ec.europa.eu/api/v5_3/PVcalc?lat=30.0444&amp;lon=31.2357&amp;peakpower=1&amp;loss=14&amp;angle=65&amp;aspect=165&amp;outputformat=json&amp;raddatabase=PVGIS-SARAH3&amp;pvtechchoice=crystSi&amp;mountingplace=free&amp;usehorizon=1</v>
      </c>
    </row>
    <row r="4256">
      <c r="A4256" t="n">
        <v>65</v>
      </c>
      <c r="B4256" t="n">
        <v>345</v>
      </c>
      <c r="C4256" t="n">
        <v>11</v>
      </c>
      <c r="D4256" s="218" t="n">
        <v>16.72</v>
      </c>
      <c r="E4256" s="218" t="n">
        <v>0.56</v>
      </c>
      <c r="F4256" t="str">
        <v>https://re.jrc.ec.europa.eu/api/v5_3/PVcalc?lat=30.0444&amp;lon=31.2357&amp;peakpower=1&amp;loss=14&amp;angle=65&amp;aspect=165&amp;outputformat=json&amp;raddatabase=PVGIS-SARAH3&amp;pvtechchoice=crystSi&amp;mountingplace=free&amp;usehorizon=1</v>
      </c>
    </row>
    <row r="4257">
      <c r="A4257" t="n">
        <v>65</v>
      </c>
      <c r="B4257" t="n">
        <v>345</v>
      </c>
      <c r="C4257" t="n">
        <v>12</v>
      </c>
      <c r="D4257" s="218" t="n">
        <v>16.13</v>
      </c>
      <c r="E4257" s="218" t="n">
        <v>0.52</v>
      </c>
      <c r="F4257" t="str">
        <v>https://re.jrc.ec.europa.eu/api/v5_3/PVcalc?lat=30.0444&amp;lon=31.2357&amp;peakpower=1&amp;loss=14&amp;angle=65&amp;aspect=165&amp;outputformat=json&amp;raddatabase=PVGIS-SARAH3&amp;pvtechchoice=crystSi&amp;mountingplace=free&amp;usehorizon=1</v>
      </c>
    </row>
    <row r="4258">
      <c r="A4258" t="n">
        <v>65</v>
      </c>
      <c r="B4258" t="n">
        <v>360</v>
      </c>
      <c r="C4258" t="n">
        <v>1</v>
      </c>
      <c r="D4258" s="218" t="n">
        <v>17.42</v>
      </c>
      <c r="E4258" s="218" t="n">
        <v>0.56</v>
      </c>
      <c r="F4258" t="str">
        <v>https://re.jrc.ec.europa.eu/api/v5_3/PVcalc?lat=30.0444&amp;lon=31.2357&amp;peakpower=1&amp;loss=14&amp;angle=65&amp;aspect=180&amp;outputformat=json&amp;raddatabase=PVGIS-SARAH3&amp;pvtechchoice=crystSi&amp;mountingplace=free&amp;usehorizon=1</v>
      </c>
    </row>
    <row r="4259">
      <c r="A4259" t="n">
        <v>65</v>
      </c>
      <c r="B4259" t="n">
        <v>360</v>
      </c>
      <c r="C4259" t="n">
        <v>2</v>
      </c>
      <c r="D4259" s="218" t="n">
        <v>20.26</v>
      </c>
      <c r="E4259" s="218" t="n">
        <v>0.72</v>
      </c>
      <c r="F4259" t="str">
        <v>https://re.jrc.ec.europa.eu/api/v5_3/PVcalc?lat=30.0444&amp;lon=31.2357&amp;peakpower=1&amp;loss=14&amp;angle=65&amp;aspect=180&amp;outputformat=json&amp;raddatabase=PVGIS-SARAH3&amp;pvtechchoice=crystSi&amp;mountingplace=free&amp;usehorizon=1</v>
      </c>
    </row>
    <row r="4260">
      <c r="A4260" t="n">
        <v>65</v>
      </c>
      <c r="B4260" t="n">
        <v>360</v>
      </c>
      <c r="C4260" t="n">
        <v>3</v>
      </c>
      <c r="D4260" s="218" t="n">
        <v>26.16</v>
      </c>
      <c r="E4260" s="218" t="n">
        <v>0.84</v>
      </c>
      <c r="F4260" t="str">
        <v>https://re.jrc.ec.europa.eu/api/v5_3/PVcalc?lat=30.0444&amp;lon=31.2357&amp;peakpower=1&amp;loss=14&amp;angle=65&amp;aspect=180&amp;outputformat=json&amp;raddatabase=PVGIS-SARAH3&amp;pvtechchoice=crystSi&amp;mountingplace=free&amp;usehorizon=1</v>
      </c>
    </row>
    <row r="4261">
      <c r="A4261" t="n">
        <v>65</v>
      </c>
      <c r="B4261" t="n">
        <v>360</v>
      </c>
      <c r="C4261" t="n">
        <v>4</v>
      </c>
      <c r="D4261" s="218" t="n">
        <v>44.39</v>
      </c>
      <c r="E4261" s="218" t="n">
        <v>1.48</v>
      </c>
      <c r="F4261" t="str">
        <v>https://re.jrc.ec.europa.eu/api/v5_3/PVcalc?lat=30.0444&amp;lon=31.2357&amp;peakpower=1&amp;loss=14&amp;angle=65&amp;aspect=180&amp;outputformat=json&amp;raddatabase=PVGIS-SARAH3&amp;pvtechchoice=crystSi&amp;mountingplace=free&amp;usehorizon=1</v>
      </c>
    </row>
    <row r="4262">
      <c r="A4262" t="n">
        <v>65</v>
      </c>
      <c r="B4262" t="n">
        <v>360</v>
      </c>
      <c r="C4262" t="n">
        <v>5</v>
      </c>
      <c r="D4262" s="218" t="n">
        <v>81.84</v>
      </c>
      <c r="E4262" s="218" t="n">
        <v>2.64</v>
      </c>
      <c r="F4262" t="str">
        <v>https://re.jrc.ec.europa.eu/api/v5_3/PVcalc?lat=30.0444&amp;lon=31.2357&amp;peakpower=1&amp;loss=14&amp;angle=65&amp;aspect=180&amp;outputformat=json&amp;raddatabase=PVGIS-SARAH3&amp;pvtechchoice=crystSi&amp;mountingplace=free&amp;usehorizon=1</v>
      </c>
    </row>
    <row r="4263">
      <c r="A4263" t="n">
        <v>65</v>
      </c>
      <c r="B4263" t="n">
        <v>360</v>
      </c>
      <c r="C4263" t="n">
        <v>6</v>
      </c>
      <c r="D4263" s="218" t="n">
        <v>99.06</v>
      </c>
      <c r="E4263" s="218" t="n">
        <v>3.3</v>
      </c>
      <c r="F4263" t="str">
        <v>https://re.jrc.ec.europa.eu/api/v5_3/PVcalc?lat=30.0444&amp;lon=31.2357&amp;peakpower=1&amp;loss=14&amp;angle=65&amp;aspect=180&amp;outputformat=json&amp;raddatabase=PVGIS-SARAH3&amp;pvtechchoice=crystSi&amp;mountingplace=free&amp;usehorizon=1</v>
      </c>
    </row>
    <row r="4264">
      <c r="A4264" t="n">
        <v>65</v>
      </c>
      <c r="B4264" t="n">
        <v>360</v>
      </c>
      <c r="C4264" t="n">
        <v>7</v>
      </c>
      <c r="D4264" s="218" t="n">
        <v>91.59</v>
      </c>
      <c r="E4264" s="218" t="n">
        <v>2.95</v>
      </c>
      <c r="F4264" t="str">
        <v>https://re.jrc.ec.europa.eu/api/v5_3/PVcalc?lat=30.0444&amp;lon=31.2357&amp;peakpower=1&amp;loss=14&amp;angle=65&amp;aspect=180&amp;outputformat=json&amp;raddatabase=PVGIS-SARAH3&amp;pvtechchoice=crystSi&amp;mountingplace=free&amp;usehorizon=1</v>
      </c>
    </row>
    <row r="4265">
      <c r="A4265" t="n">
        <v>65</v>
      </c>
      <c r="B4265" t="n">
        <v>360</v>
      </c>
      <c r="C4265" t="n">
        <v>8</v>
      </c>
      <c r="D4265" s="218" t="n">
        <v>55.32</v>
      </c>
      <c r="E4265" s="218" t="n">
        <v>1.78</v>
      </c>
      <c r="F4265" t="str">
        <v>https://re.jrc.ec.europa.eu/api/v5_3/PVcalc?lat=30.0444&amp;lon=31.2357&amp;peakpower=1&amp;loss=14&amp;angle=65&amp;aspect=180&amp;outputformat=json&amp;raddatabase=PVGIS-SARAH3&amp;pvtechchoice=crystSi&amp;mountingplace=free&amp;usehorizon=1</v>
      </c>
    </row>
    <row r="4266">
      <c r="A4266" t="n">
        <v>65</v>
      </c>
      <c r="B4266" t="n">
        <v>360</v>
      </c>
      <c r="C4266" t="n">
        <v>9</v>
      </c>
      <c r="D4266" s="218" t="n">
        <v>24.21</v>
      </c>
      <c r="E4266" s="218" t="n">
        <v>0.81</v>
      </c>
      <c r="F4266" t="str">
        <v>https://re.jrc.ec.europa.eu/api/v5_3/PVcalc?lat=30.0444&amp;lon=31.2357&amp;peakpower=1&amp;loss=14&amp;angle=65&amp;aspect=180&amp;outputformat=json&amp;raddatabase=PVGIS-SARAH3&amp;pvtechchoice=crystSi&amp;mountingplace=free&amp;usehorizon=1</v>
      </c>
    </row>
    <row r="4267">
      <c r="A4267" t="n">
        <v>65</v>
      </c>
      <c r="B4267" t="n">
        <v>360</v>
      </c>
      <c r="C4267" t="n">
        <v>10</v>
      </c>
      <c r="D4267" s="218" t="n">
        <v>20.23</v>
      </c>
      <c r="E4267" s="218" t="n">
        <v>0.65</v>
      </c>
      <c r="F4267" t="str">
        <v>https://re.jrc.ec.europa.eu/api/v5_3/PVcalc?lat=30.0444&amp;lon=31.2357&amp;peakpower=1&amp;loss=14&amp;angle=65&amp;aspect=180&amp;outputformat=json&amp;raddatabase=PVGIS-SARAH3&amp;pvtechchoice=crystSi&amp;mountingplace=free&amp;usehorizon=1</v>
      </c>
    </row>
    <row r="4268">
      <c r="A4268" t="n">
        <v>65</v>
      </c>
      <c r="B4268" t="n">
        <v>360</v>
      </c>
      <c r="C4268" t="n">
        <v>11</v>
      </c>
      <c r="D4268" s="218" t="n">
        <v>16.72</v>
      </c>
      <c r="E4268" s="218" t="n">
        <v>0.56</v>
      </c>
      <c r="F4268" t="str">
        <v>https://re.jrc.ec.europa.eu/api/v5_3/PVcalc?lat=30.0444&amp;lon=31.2357&amp;peakpower=1&amp;loss=14&amp;angle=65&amp;aspect=180&amp;outputformat=json&amp;raddatabase=PVGIS-SARAH3&amp;pvtechchoice=crystSi&amp;mountingplace=free&amp;usehorizon=1</v>
      </c>
    </row>
    <row r="4269">
      <c r="A4269" t="n">
        <v>65</v>
      </c>
      <c r="B4269" t="n">
        <v>360</v>
      </c>
      <c r="C4269" t="n">
        <v>12</v>
      </c>
      <c r="D4269" s="218" t="n">
        <v>16.13</v>
      </c>
      <c r="E4269" s="218" t="n">
        <v>0.52</v>
      </c>
      <c r="F4269" t="str">
        <v>https://re.jrc.ec.europa.eu/api/v5_3/PVcalc?lat=30.0444&amp;lon=31.2357&amp;peakpower=1&amp;loss=14&amp;angle=65&amp;aspect=180&amp;outputformat=json&amp;raddatabase=PVGIS-SARAH3&amp;pvtechchoice=crystSi&amp;mountingplace=free&amp;usehorizon=1</v>
      </c>
    </row>
    <row r="4270">
      <c r="A4270" t="n">
        <v>70</v>
      </c>
      <c r="B4270" t="n">
        <v>0</v>
      </c>
      <c r="C4270" t="n">
        <v>1</v>
      </c>
      <c r="D4270" s="218" t="n">
        <v>16.11</v>
      </c>
      <c r="E4270" s="218" t="n">
        <v>0.52</v>
      </c>
      <c r="F4270" t="str">
        <v>https://re.jrc.ec.europa.eu/api/v5_3/PVcalc?lat=30.0444&amp;lon=31.2357&amp;peakpower=1&amp;loss=14&amp;angle=70&amp;aspect=-180&amp;outputformat=json&amp;raddatabase=PVGIS-SARAH3&amp;pvtechchoice=crystSi&amp;mountingplace=free&amp;usehorizon=1</v>
      </c>
    </row>
    <row r="4271">
      <c r="A4271" t="n">
        <v>70</v>
      </c>
      <c r="B4271" t="n">
        <v>0</v>
      </c>
      <c r="C4271" t="n">
        <v>2</v>
      </c>
      <c r="D4271" s="218" t="n">
        <v>18.76</v>
      </c>
      <c r="E4271" s="218" t="n">
        <v>0.67</v>
      </c>
      <c r="F4271" t="str">
        <v>https://re.jrc.ec.europa.eu/api/v5_3/PVcalc?lat=30.0444&amp;lon=31.2357&amp;peakpower=1&amp;loss=14&amp;angle=70&amp;aspect=-180&amp;outputformat=json&amp;raddatabase=PVGIS-SARAH3&amp;pvtechchoice=crystSi&amp;mountingplace=free&amp;usehorizon=1</v>
      </c>
    </row>
    <row r="4272">
      <c r="A4272" t="n">
        <v>70</v>
      </c>
      <c r="B4272" t="n">
        <v>0</v>
      </c>
      <c r="C4272" t="n">
        <v>3</v>
      </c>
      <c r="D4272" s="218" t="n">
        <v>24.09</v>
      </c>
      <c r="E4272" s="218" t="n">
        <v>0.78</v>
      </c>
      <c r="F4272" t="str">
        <v>https://re.jrc.ec.europa.eu/api/v5_3/PVcalc?lat=30.0444&amp;lon=31.2357&amp;peakpower=1&amp;loss=14&amp;angle=70&amp;aspect=-180&amp;outputformat=json&amp;raddatabase=PVGIS-SARAH3&amp;pvtechchoice=crystSi&amp;mountingplace=free&amp;usehorizon=1</v>
      </c>
    </row>
    <row r="4273">
      <c r="A4273" t="n">
        <v>70</v>
      </c>
      <c r="B4273" t="n">
        <v>0</v>
      </c>
      <c r="C4273" t="n">
        <v>4</v>
      </c>
      <c r="D4273" s="218" t="n">
        <v>35.78</v>
      </c>
      <c r="E4273" s="218" t="n">
        <v>1.19</v>
      </c>
      <c r="F4273" t="str">
        <v>https://re.jrc.ec.europa.eu/api/v5_3/PVcalc?lat=30.0444&amp;lon=31.2357&amp;peakpower=1&amp;loss=14&amp;angle=70&amp;aspect=-180&amp;outputformat=json&amp;raddatabase=PVGIS-SARAH3&amp;pvtechchoice=crystSi&amp;mountingplace=free&amp;usehorizon=1</v>
      </c>
    </row>
    <row r="4274">
      <c r="A4274" t="n">
        <v>70</v>
      </c>
      <c r="B4274" t="n">
        <v>0</v>
      </c>
      <c r="C4274" t="n">
        <v>5</v>
      </c>
      <c r="D4274" s="218" t="n">
        <v>68.06</v>
      </c>
      <c r="E4274" s="218" t="n">
        <v>2.2</v>
      </c>
      <c r="F4274" t="str">
        <v>https://re.jrc.ec.europa.eu/api/v5_3/PVcalc?lat=30.0444&amp;lon=31.2357&amp;peakpower=1&amp;loss=14&amp;angle=70&amp;aspect=-180&amp;outputformat=json&amp;raddatabase=PVGIS-SARAH3&amp;pvtechchoice=crystSi&amp;mountingplace=free&amp;usehorizon=1</v>
      </c>
    </row>
    <row r="4275">
      <c r="A4275" t="n">
        <v>70</v>
      </c>
      <c r="B4275" t="n">
        <v>0</v>
      </c>
      <c r="C4275" t="n">
        <v>6</v>
      </c>
      <c r="D4275" s="218" t="n">
        <v>84.69</v>
      </c>
      <c r="E4275" s="218" t="n">
        <v>2.82</v>
      </c>
      <c r="F4275" t="str">
        <v>https://re.jrc.ec.europa.eu/api/v5_3/PVcalc?lat=30.0444&amp;lon=31.2357&amp;peakpower=1&amp;loss=14&amp;angle=70&amp;aspect=-180&amp;outputformat=json&amp;raddatabase=PVGIS-SARAH3&amp;pvtechchoice=crystSi&amp;mountingplace=free&amp;usehorizon=1</v>
      </c>
    </row>
    <row r="4276">
      <c r="A4276" t="n">
        <v>70</v>
      </c>
      <c r="B4276" t="n">
        <v>0</v>
      </c>
      <c r="C4276" t="n">
        <v>7</v>
      </c>
      <c r="D4276" s="218" t="n">
        <v>76.69</v>
      </c>
      <c r="E4276" s="218" t="n">
        <v>2.47</v>
      </c>
      <c r="F4276" t="str">
        <v>https://re.jrc.ec.europa.eu/api/v5_3/PVcalc?lat=30.0444&amp;lon=31.2357&amp;peakpower=1&amp;loss=14&amp;angle=70&amp;aspect=-180&amp;outputformat=json&amp;raddatabase=PVGIS-SARAH3&amp;pvtechchoice=crystSi&amp;mountingplace=free&amp;usehorizon=1</v>
      </c>
    </row>
    <row r="4277">
      <c r="A4277" t="n">
        <v>70</v>
      </c>
      <c r="B4277" t="n">
        <v>0</v>
      </c>
      <c r="C4277" t="n">
        <v>8</v>
      </c>
      <c r="D4277" s="218" t="n">
        <v>43.25</v>
      </c>
      <c r="E4277" s="218" t="n">
        <v>1.4</v>
      </c>
      <c r="F4277" t="str">
        <v>https://re.jrc.ec.europa.eu/api/v5_3/PVcalc?lat=30.0444&amp;lon=31.2357&amp;peakpower=1&amp;loss=14&amp;angle=70&amp;aspect=-180&amp;outputformat=json&amp;raddatabase=PVGIS-SARAH3&amp;pvtechchoice=crystSi&amp;mountingplace=free&amp;usehorizon=1</v>
      </c>
    </row>
    <row r="4278">
      <c r="A4278" t="n">
        <v>70</v>
      </c>
      <c r="B4278" t="n">
        <v>0</v>
      </c>
      <c r="C4278" t="n">
        <v>9</v>
      </c>
      <c r="D4278" s="218" t="n">
        <v>20.95</v>
      </c>
      <c r="E4278" s="218" t="n">
        <v>0.7</v>
      </c>
      <c r="F4278" t="str">
        <v>https://re.jrc.ec.europa.eu/api/v5_3/PVcalc?lat=30.0444&amp;lon=31.2357&amp;peakpower=1&amp;loss=14&amp;angle=70&amp;aspect=-180&amp;outputformat=json&amp;raddatabase=PVGIS-SARAH3&amp;pvtechchoice=crystSi&amp;mountingplace=free&amp;usehorizon=1</v>
      </c>
    </row>
    <row r="4279">
      <c r="A4279" t="n">
        <v>70</v>
      </c>
      <c r="B4279" t="n">
        <v>0</v>
      </c>
      <c r="C4279" t="n">
        <v>10</v>
      </c>
      <c r="D4279" s="218" t="n">
        <v>18.72</v>
      </c>
      <c r="E4279" s="218" t="n">
        <v>0.6</v>
      </c>
      <c r="F4279" t="str">
        <v>https://re.jrc.ec.europa.eu/api/v5_3/PVcalc?lat=30.0444&amp;lon=31.2357&amp;peakpower=1&amp;loss=14&amp;angle=70&amp;aspect=-180&amp;outputformat=json&amp;raddatabase=PVGIS-SARAH3&amp;pvtechchoice=crystSi&amp;mountingplace=free&amp;usehorizon=1</v>
      </c>
    </row>
    <row r="4280">
      <c r="A4280" t="n">
        <v>70</v>
      </c>
      <c r="B4280" t="n">
        <v>0</v>
      </c>
      <c r="C4280" t="n">
        <v>11</v>
      </c>
      <c r="D4280" s="218" t="n">
        <v>15.47</v>
      </c>
      <c r="E4280" s="218" t="n">
        <v>0.52</v>
      </c>
      <c r="F4280" t="str">
        <v>https://re.jrc.ec.europa.eu/api/v5_3/PVcalc?lat=30.0444&amp;lon=31.2357&amp;peakpower=1&amp;loss=14&amp;angle=70&amp;aspect=-180&amp;outputformat=json&amp;raddatabase=PVGIS-SARAH3&amp;pvtechchoice=crystSi&amp;mountingplace=free&amp;usehorizon=1</v>
      </c>
    </row>
    <row r="4281">
      <c r="A4281" t="n">
        <v>70</v>
      </c>
      <c r="B4281" t="n">
        <v>0</v>
      </c>
      <c r="C4281" t="n">
        <v>12</v>
      </c>
      <c r="D4281" s="218" t="n">
        <v>14.91</v>
      </c>
      <c r="E4281" s="218" t="n">
        <v>0.48</v>
      </c>
      <c r="F4281" t="str">
        <v>https://re.jrc.ec.europa.eu/api/v5_3/PVcalc?lat=30.0444&amp;lon=31.2357&amp;peakpower=1&amp;loss=14&amp;angle=70&amp;aspect=-180&amp;outputformat=json&amp;raddatabase=PVGIS-SARAH3&amp;pvtechchoice=crystSi&amp;mountingplace=free&amp;usehorizon=1</v>
      </c>
    </row>
    <row r="4282">
      <c r="A4282" t="n">
        <v>70</v>
      </c>
      <c r="B4282" t="n">
        <v>15</v>
      </c>
      <c r="C4282" t="n">
        <v>1</v>
      </c>
      <c r="D4282" s="218" t="n">
        <v>16.11</v>
      </c>
      <c r="E4282" s="218" t="n">
        <v>0.52</v>
      </c>
      <c r="F4282" t="str">
        <v>https://re.jrc.ec.europa.eu/api/v5_3/PVcalc?lat=30.0444&amp;lon=31.2357&amp;peakpower=1&amp;loss=14&amp;angle=70&amp;aspect=-165&amp;outputformat=json&amp;raddatabase=PVGIS-SARAH3&amp;pvtechchoice=crystSi&amp;mountingplace=free&amp;usehorizon=1</v>
      </c>
    </row>
    <row r="4283">
      <c r="A4283" t="n">
        <v>70</v>
      </c>
      <c r="B4283" t="n">
        <v>15</v>
      </c>
      <c r="C4283" t="n">
        <v>2</v>
      </c>
      <c r="D4283" s="218" t="n">
        <v>18.83</v>
      </c>
      <c r="E4283" s="218" t="n">
        <v>0.67</v>
      </c>
      <c r="F4283" t="str">
        <v>https://re.jrc.ec.europa.eu/api/v5_3/PVcalc?lat=30.0444&amp;lon=31.2357&amp;peakpower=1&amp;loss=14&amp;angle=70&amp;aspect=-165&amp;outputformat=json&amp;raddatabase=PVGIS-SARAH3&amp;pvtechchoice=crystSi&amp;mountingplace=free&amp;usehorizon=1</v>
      </c>
    </row>
    <row r="4284">
      <c r="A4284" t="n">
        <v>70</v>
      </c>
      <c r="B4284" t="n">
        <v>15</v>
      </c>
      <c r="C4284" t="n">
        <v>3</v>
      </c>
      <c r="D4284" s="218" t="n">
        <v>27.54</v>
      </c>
      <c r="E4284" s="218" t="n">
        <v>0.89</v>
      </c>
      <c r="F4284" t="str">
        <v>https://re.jrc.ec.europa.eu/api/v5_3/PVcalc?lat=30.0444&amp;lon=31.2357&amp;peakpower=1&amp;loss=14&amp;angle=70&amp;aspect=-165&amp;outputformat=json&amp;raddatabase=PVGIS-SARAH3&amp;pvtechchoice=crystSi&amp;mountingplace=free&amp;usehorizon=1</v>
      </c>
    </row>
    <row r="4285">
      <c r="A4285" t="n">
        <v>70</v>
      </c>
      <c r="B4285" t="n">
        <v>15</v>
      </c>
      <c r="C4285" t="n">
        <v>4</v>
      </c>
      <c r="D4285" s="218" t="n">
        <v>42.97</v>
      </c>
      <c r="E4285" s="218" t="n">
        <v>1.43</v>
      </c>
      <c r="F4285" t="str">
        <v>https://re.jrc.ec.europa.eu/api/v5_3/PVcalc?lat=30.0444&amp;lon=31.2357&amp;peakpower=1&amp;loss=14&amp;angle=70&amp;aspect=-165&amp;outputformat=json&amp;raddatabase=PVGIS-SARAH3&amp;pvtechchoice=crystSi&amp;mountingplace=free&amp;usehorizon=1</v>
      </c>
    </row>
    <row r="4286">
      <c r="A4286" t="n">
        <v>70</v>
      </c>
      <c r="B4286" t="n">
        <v>15</v>
      </c>
      <c r="C4286" t="n">
        <v>5</v>
      </c>
      <c r="D4286" s="218" t="n">
        <v>69.41</v>
      </c>
      <c r="E4286" s="218" t="n">
        <v>2.24</v>
      </c>
      <c r="F4286" t="str">
        <v>https://re.jrc.ec.europa.eu/api/v5_3/PVcalc?lat=30.0444&amp;lon=31.2357&amp;peakpower=1&amp;loss=14&amp;angle=70&amp;aspect=-165&amp;outputformat=json&amp;raddatabase=PVGIS-SARAH3&amp;pvtechchoice=crystSi&amp;mountingplace=free&amp;usehorizon=1</v>
      </c>
    </row>
    <row r="4287">
      <c r="A4287" t="n">
        <v>70</v>
      </c>
      <c r="B4287" t="n">
        <v>15</v>
      </c>
      <c r="C4287" t="n">
        <v>6</v>
      </c>
      <c r="D4287" s="218" t="n">
        <v>81.88</v>
      </c>
      <c r="E4287" s="218" t="n">
        <v>2.73</v>
      </c>
      <c r="F4287" t="str">
        <v>https://re.jrc.ec.europa.eu/api/v5_3/PVcalc?lat=30.0444&amp;lon=31.2357&amp;peakpower=1&amp;loss=14&amp;angle=70&amp;aspect=-165&amp;outputformat=json&amp;raddatabase=PVGIS-SARAH3&amp;pvtechchoice=crystSi&amp;mountingplace=free&amp;usehorizon=1</v>
      </c>
    </row>
    <row r="4288">
      <c r="A4288" t="n">
        <v>70</v>
      </c>
      <c r="B4288" t="n">
        <v>15</v>
      </c>
      <c r="C4288" t="n">
        <v>7</v>
      </c>
      <c r="D4288" s="218" t="n">
        <v>74.2</v>
      </c>
      <c r="E4288" s="218" t="n">
        <v>2.39</v>
      </c>
      <c r="F4288" t="str">
        <v>https://re.jrc.ec.europa.eu/api/v5_3/PVcalc?lat=30.0444&amp;lon=31.2357&amp;peakpower=1&amp;loss=14&amp;angle=70&amp;aspect=-165&amp;outputformat=json&amp;raddatabase=PVGIS-SARAH3&amp;pvtechchoice=crystSi&amp;mountingplace=free&amp;usehorizon=1</v>
      </c>
    </row>
    <row r="4289">
      <c r="A4289" t="n">
        <v>70</v>
      </c>
      <c r="B4289" t="n">
        <v>15</v>
      </c>
      <c r="C4289" t="n">
        <v>8</v>
      </c>
      <c r="D4289" s="218" t="n">
        <v>48.26</v>
      </c>
      <c r="E4289" s="218" t="n">
        <v>1.56</v>
      </c>
      <c r="F4289" t="str">
        <v>https://re.jrc.ec.europa.eu/api/v5_3/PVcalc?lat=30.0444&amp;lon=31.2357&amp;peakpower=1&amp;loss=14&amp;angle=70&amp;aspect=-165&amp;outputformat=json&amp;raddatabase=PVGIS-SARAH3&amp;pvtechchoice=crystSi&amp;mountingplace=free&amp;usehorizon=1</v>
      </c>
    </row>
    <row r="4290">
      <c r="A4290" t="n">
        <v>70</v>
      </c>
      <c r="B4290" t="n">
        <v>15</v>
      </c>
      <c r="C4290" t="n">
        <v>9</v>
      </c>
      <c r="D4290" s="218" t="n">
        <v>26.75</v>
      </c>
      <c r="E4290" s="218" t="n">
        <v>0.89</v>
      </c>
      <c r="F4290" t="str">
        <v>https://re.jrc.ec.europa.eu/api/v5_3/PVcalc?lat=30.0444&amp;lon=31.2357&amp;peakpower=1&amp;loss=14&amp;angle=70&amp;aspect=-165&amp;outputformat=json&amp;raddatabase=PVGIS-SARAH3&amp;pvtechchoice=crystSi&amp;mountingplace=free&amp;usehorizon=1</v>
      </c>
    </row>
    <row r="4291">
      <c r="A4291" t="n">
        <v>70</v>
      </c>
      <c r="B4291" t="n">
        <v>15</v>
      </c>
      <c r="C4291" t="n">
        <v>10</v>
      </c>
      <c r="D4291" s="218" t="n">
        <v>19.21</v>
      </c>
      <c r="E4291" s="218" t="n">
        <v>0.62</v>
      </c>
      <c r="F4291" t="str">
        <v>https://re.jrc.ec.europa.eu/api/v5_3/PVcalc?lat=30.0444&amp;lon=31.2357&amp;peakpower=1&amp;loss=14&amp;angle=70&amp;aspect=-165&amp;outputformat=json&amp;raddatabase=PVGIS-SARAH3&amp;pvtechchoice=crystSi&amp;mountingplace=free&amp;usehorizon=1</v>
      </c>
    </row>
    <row r="4292">
      <c r="A4292" t="n">
        <v>70</v>
      </c>
      <c r="B4292" t="n">
        <v>15</v>
      </c>
      <c r="C4292" t="n">
        <v>11</v>
      </c>
      <c r="D4292" s="218" t="n">
        <v>15.47</v>
      </c>
      <c r="E4292" s="218" t="n">
        <v>0.52</v>
      </c>
      <c r="F4292" t="str">
        <v>https://re.jrc.ec.europa.eu/api/v5_3/PVcalc?lat=30.0444&amp;lon=31.2357&amp;peakpower=1&amp;loss=14&amp;angle=70&amp;aspect=-165&amp;outputformat=json&amp;raddatabase=PVGIS-SARAH3&amp;pvtechchoice=crystSi&amp;mountingplace=free&amp;usehorizon=1</v>
      </c>
    </row>
    <row r="4293">
      <c r="A4293" t="n">
        <v>70</v>
      </c>
      <c r="B4293" t="n">
        <v>15</v>
      </c>
      <c r="C4293" t="n">
        <v>12</v>
      </c>
      <c r="D4293" s="218" t="n">
        <v>14.91</v>
      </c>
      <c r="E4293" s="218" t="n">
        <v>0.48</v>
      </c>
      <c r="F4293" t="str">
        <v>https://re.jrc.ec.europa.eu/api/v5_3/PVcalc?lat=30.0444&amp;lon=31.2357&amp;peakpower=1&amp;loss=14&amp;angle=70&amp;aspect=-165&amp;outputformat=json&amp;raddatabase=PVGIS-SARAH3&amp;pvtechchoice=crystSi&amp;mountingplace=free&amp;usehorizon=1</v>
      </c>
    </row>
    <row r="4294">
      <c r="A4294" t="n">
        <v>70</v>
      </c>
      <c r="B4294" t="n">
        <v>30</v>
      </c>
      <c r="C4294" t="n">
        <v>1</v>
      </c>
      <c r="D4294" s="218" t="n">
        <v>16.43</v>
      </c>
      <c r="E4294" s="218" t="n">
        <v>0.53</v>
      </c>
      <c r="F4294" t="str">
        <v>https://re.jrc.ec.europa.eu/api/v5_3/PVcalc?lat=30.0444&amp;lon=31.2357&amp;peakpower=1&amp;loss=14&amp;angle=70&amp;aspect=-150&amp;outputformat=json&amp;raddatabase=PVGIS-SARAH3&amp;pvtechchoice=crystSi&amp;mountingplace=free&amp;usehorizon=1</v>
      </c>
    </row>
    <row r="4295">
      <c r="A4295" t="n">
        <v>70</v>
      </c>
      <c r="B4295" t="n">
        <v>30</v>
      </c>
      <c r="C4295" t="n">
        <v>2</v>
      </c>
      <c r="D4295" s="218" t="n">
        <v>22.19</v>
      </c>
      <c r="E4295" s="218" t="n">
        <v>0.79</v>
      </c>
      <c r="F4295" t="str">
        <v>https://re.jrc.ec.europa.eu/api/v5_3/PVcalc?lat=30.0444&amp;lon=31.2357&amp;peakpower=1&amp;loss=14&amp;angle=70&amp;aspect=-150&amp;outputformat=json&amp;raddatabase=PVGIS-SARAH3&amp;pvtechchoice=crystSi&amp;mountingplace=free&amp;usehorizon=1</v>
      </c>
    </row>
    <row r="4296">
      <c r="A4296" t="n">
        <v>70</v>
      </c>
      <c r="B4296" t="n">
        <v>30</v>
      </c>
      <c r="C4296" t="n">
        <v>3</v>
      </c>
      <c r="D4296" s="218" t="n">
        <v>38.57</v>
      </c>
      <c r="E4296" s="218" t="n">
        <v>1.24</v>
      </c>
      <c r="F4296" t="str">
        <v>https://re.jrc.ec.europa.eu/api/v5_3/PVcalc?lat=30.0444&amp;lon=31.2357&amp;peakpower=1&amp;loss=14&amp;angle=70&amp;aspect=-150&amp;outputformat=json&amp;raddatabase=PVGIS-SARAH3&amp;pvtechchoice=crystSi&amp;mountingplace=free&amp;usehorizon=1</v>
      </c>
    </row>
    <row r="4297">
      <c r="A4297" t="n">
        <v>70</v>
      </c>
      <c r="B4297" t="n">
        <v>30</v>
      </c>
      <c r="C4297" t="n">
        <v>4</v>
      </c>
      <c r="D4297" s="218" t="n">
        <v>57.23</v>
      </c>
      <c r="E4297" s="218" t="n">
        <v>1.91</v>
      </c>
      <c r="F4297" t="str">
        <v>https://re.jrc.ec.europa.eu/api/v5_3/PVcalc?lat=30.0444&amp;lon=31.2357&amp;peakpower=1&amp;loss=14&amp;angle=70&amp;aspect=-150&amp;outputformat=json&amp;raddatabase=PVGIS-SARAH3&amp;pvtechchoice=crystSi&amp;mountingplace=free&amp;usehorizon=1</v>
      </c>
    </row>
    <row r="4298">
      <c r="A4298" t="n">
        <v>70</v>
      </c>
      <c r="B4298" t="n">
        <v>30</v>
      </c>
      <c r="C4298" t="n">
        <v>5</v>
      </c>
      <c r="D4298" s="218" t="n">
        <v>79.56</v>
      </c>
      <c r="E4298" s="218" t="n">
        <v>2.57</v>
      </c>
      <c r="F4298" t="str">
        <v>https://re.jrc.ec.europa.eu/api/v5_3/PVcalc?lat=30.0444&amp;lon=31.2357&amp;peakpower=1&amp;loss=14&amp;angle=70&amp;aspect=-150&amp;outputformat=json&amp;raddatabase=PVGIS-SARAH3&amp;pvtechchoice=crystSi&amp;mountingplace=free&amp;usehorizon=1</v>
      </c>
    </row>
    <row r="4299">
      <c r="A4299" t="n">
        <v>70</v>
      </c>
      <c r="B4299" t="n">
        <v>30</v>
      </c>
      <c r="C4299" t="n">
        <v>6</v>
      </c>
      <c r="D4299" s="218" t="n">
        <v>86.69</v>
      </c>
      <c r="E4299" s="218" t="n">
        <v>2.89</v>
      </c>
      <c r="F4299" t="str">
        <v>https://re.jrc.ec.europa.eu/api/v5_3/PVcalc?lat=30.0444&amp;lon=31.2357&amp;peakpower=1&amp;loss=14&amp;angle=70&amp;aspect=-150&amp;outputformat=json&amp;raddatabase=PVGIS-SARAH3&amp;pvtechchoice=crystSi&amp;mountingplace=free&amp;usehorizon=1</v>
      </c>
    </row>
    <row r="4300">
      <c r="A4300" t="n">
        <v>70</v>
      </c>
      <c r="B4300" t="n">
        <v>30</v>
      </c>
      <c r="C4300" t="n">
        <v>7</v>
      </c>
      <c r="D4300" s="218" t="n">
        <v>81.66</v>
      </c>
      <c r="E4300" s="218" t="n">
        <v>2.63</v>
      </c>
      <c r="F4300" t="str">
        <v>https://re.jrc.ec.europa.eu/api/v5_3/PVcalc?lat=30.0444&amp;lon=31.2357&amp;peakpower=1&amp;loss=14&amp;angle=70&amp;aspect=-150&amp;outputformat=json&amp;raddatabase=PVGIS-SARAH3&amp;pvtechchoice=crystSi&amp;mountingplace=free&amp;usehorizon=1</v>
      </c>
    </row>
    <row r="4301">
      <c r="A4301" t="n">
        <v>70</v>
      </c>
      <c r="B4301" t="n">
        <v>30</v>
      </c>
      <c r="C4301" t="n">
        <v>8</v>
      </c>
      <c r="D4301" s="218" t="n">
        <v>63.28</v>
      </c>
      <c r="E4301" s="218" t="n">
        <v>2.04</v>
      </c>
      <c r="F4301" t="str">
        <v>https://re.jrc.ec.europa.eu/api/v5_3/PVcalc?lat=30.0444&amp;lon=31.2357&amp;peakpower=1&amp;loss=14&amp;angle=70&amp;aspect=-150&amp;outputformat=json&amp;raddatabase=PVGIS-SARAH3&amp;pvtechchoice=crystSi&amp;mountingplace=free&amp;usehorizon=1</v>
      </c>
    </row>
    <row r="4302">
      <c r="A4302" t="n">
        <v>70</v>
      </c>
      <c r="B4302" t="n">
        <v>30</v>
      </c>
      <c r="C4302" t="n">
        <v>9</v>
      </c>
      <c r="D4302" s="218" t="n">
        <v>39.58</v>
      </c>
      <c r="E4302" s="218" t="n">
        <v>1.32</v>
      </c>
      <c r="F4302" t="str">
        <v>https://re.jrc.ec.europa.eu/api/v5_3/PVcalc?lat=30.0444&amp;lon=31.2357&amp;peakpower=1&amp;loss=14&amp;angle=70&amp;aspect=-150&amp;outputformat=json&amp;raddatabase=PVGIS-SARAH3&amp;pvtechchoice=crystSi&amp;mountingplace=free&amp;usehorizon=1</v>
      </c>
    </row>
    <row r="4303">
      <c r="A4303" t="n">
        <v>70</v>
      </c>
      <c r="B4303" t="n">
        <v>30</v>
      </c>
      <c r="C4303" t="n">
        <v>10</v>
      </c>
      <c r="D4303" s="218" t="n">
        <v>25.36</v>
      </c>
      <c r="E4303" s="218" t="n">
        <v>0.82</v>
      </c>
      <c r="F4303" t="str">
        <v>https://re.jrc.ec.europa.eu/api/v5_3/PVcalc?lat=30.0444&amp;lon=31.2357&amp;peakpower=1&amp;loss=14&amp;angle=70&amp;aspect=-150&amp;outputformat=json&amp;raddatabase=PVGIS-SARAH3&amp;pvtechchoice=crystSi&amp;mountingplace=free&amp;usehorizon=1</v>
      </c>
    </row>
    <row r="4304">
      <c r="A4304" t="n">
        <v>70</v>
      </c>
      <c r="B4304" t="n">
        <v>30</v>
      </c>
      <c r="C4304" t="n">
        <v>11</v>
      </c>
      <c r="D4304" s="218" t="n">
        <v>16.41</v>
      </c>
      <c r="E4304" s="218" t="n">
        <v>0.55</v>
      </c>
      <c r="F4304" t="str">
        <v>https://re.jrc.ec.europa.eu/api/v5_3/PVcalc?lat=30.0444&amp;lon=31.2357&amp;peakpower=1&amp;loss=14&amp;angle=70&amp;aspect=-150&amp;outputformat=json&amp;raddatabase=PVGIS-SARAH3&amp;pvtechchoice=crystSi&amp;mountingplace=free&amp;usehorizon=1</v>
      </c>
    </row>
    <row r="4305">
      <c r="A4305" t="n">
        <v>70</v>
      </c>
      <c r="B4305" t="n">
        <v>30</v>
      </c>
      <c r="C4305" t="n">
        <v>12</v>
      </c>
      <c r="D4305" s="218" t="n">
        <v>14.98</v>
      </c>
      <c r="E4305" s="218" t="n">
        <v>0.48</v>
      </c>
      <c r="F4305" t="str">
        <v>https://re.jrc.ec.europa.eu/api/v5_3/PVcalc?lat=30.0444&amp;lon=31.2357&amp;peakpower=1&amp;loss=14&amp;angle=70&amp;aspect=-150&amp;outputformat=json&amp;raddatabase=PVGIS-SARAH3&amp;pvtechchoice=crystSi&amp;mountingplace=free&amp;usehorizon=1</v>
      </c>
    </row>
    <row r="4306">
      <c r="A4306" t="n">
        <v>70</v>
      </c>
      <c r="B4306" t="n">
        <v>45</v>
      </c>
      <c r="C4306" t="n">
        <v>1</v>
      </c>
      <c r="D4306" s="218" t="n">
        <v>21.82</v>
      </c>
      <c r="E4306" s="218" t="n">
        <v>0.7</v>
      </c>
      <c r="F4306" t="str">
        <v>https://re.jrc.ec.europa.eu/api/v5_3/PVcalc?lat=30.0444&amp;lon=31.2357&amp;peakpower=1&amp;loss=14&amp;angle=70&amp;aspect=-135&amp;outputformat=json&amp;raddatabase=PVGIS-SARAH3&amp;pvtechchoice=crystSi&amp;mountingplace=free&amp;usehorizon=1</v>
      </c>
    </row>
    <row r="4307">
      <c r="A4307" t="n">
        <v>70</v>
      </c>
      <c r="B4307" t="n">
        <v>45</v>
      </c>
      <c r="C4307" t="n">
        <v>2</v>
      </c>
      <c r="D4307" s="218" t="n">
        <v>32.07</v>
      </c>
      <c r="E4307" s="218" t="n">
        <v>1.15</v>
      </c>
      <c r="F4307" t="str">
        <v>https://re.jrc.ec.europa.eu/api/v5_3/PVcalc?lat=30.0444&amp;lon=31.2357&amp;peakpower=1&amp;loss=14&amp;angle=70&amp;aspect=-135&amp;outputformat=json&amp;raddatabase=PVGIS-SARAH3&amp;pvtechchoice=crystSi&amp;mountingplace=free&amp;usehorizon=1</v>
      </c>
    </row>
    <row r="4308">
      <c r="A4308" t="n">
        <v>70</v>
      </c>
      <c r="B4308" t="n">
        <v>45</v>
      </c>
      <c r="C4308" t="n">
        <v>3</v>
      </c>
      <c r="D4308" s="218" t="n">
        <v>53.08</v>
      </c>
      <c r="E4308" s="218" t="n">
        <v>1.71</v>
      </c>
      <c r="F4308" t="str">
        <v>https://re.jrc.ec.europa.eu/api/v5_3/PVcalc?lat=30.0444&amp;lon=31.2357&amp;peakpower=1&amp;loss=14&amp;angle=70&amp;aspect=-135&amp;outputformat=json&amp;raddatabase=PVGIS-SARAH3&amp;pvtechchoice=crystSi&amp;mountingplace=free&amp;usehorizon=1</v>
      </c>
    </row>
    <row r="4309">
      <c r="A4309" t="n">
        <v>70</v>
      </c>
      <c r="B4309" t="n">
        <v>45</v>
      </c>
      <c r="C4309" t="n">
        <v>4</v>
      </c>
      <c r="D4309" s="218" t="n">
        <v>71.11</v>
      </c>
      <c r="E4309" s="218" t="n">
        <v>2.37</v>
      </c>
      <c r="F4309" t="str">
        <v>https://re.jrc.ec.europa.eu/api/v5_3/PVcalc?lat=30.0444&amp;lon=31.2357&amp;peakpower=1&amp;loss=14&amp;angle=70&amp;aspect=-135&amp;outputformat=json&amp;raddatabase=PVGIS-SARAH3&amp;pvtechchoice=crystSi&amp;mountingplace=free&amp;usehorizon=1</v>
      </c>
    </row>
    <row r="4310">
      <c r="A4310" t="n">
        <v>70</v>
      </c>
      <c r="B4310" t="n">
        <v>45</v>
      </c>
      <c r="C4310" t="n">
        <v>5</v>
      </c>
      <c r="D4310" s="218" t="n">
        <v>91.37</v>
      </c>
      <c r="E4310" s="218" t="n">
        <v>2.95</v>
      </c>
      <c r="F4310" t="str">
        <v>https://re.jrc.ec.europa.eu/api/v5_3/PVcalc?lat=30.0444&amp;lon=31.2357&amp;peakpower=1&amp;loss=14&amp;angle=70&amp;aspect=-135&amp;outputformat=json&amp;raddatabase=PVGIS-SARAH3&amp;pvtechchoice=crystSi&amp;mountingplace=free&amp;usehorizon=1</v>
      </c>
    </row>
    <row r="4311">
      <c r="A4311" t="n">
        <v>70</v>
      </c>
      <c r="B4311" t="n">
        <v>45</v>
      </c>
      <c r="C4311" t="n">
        <v>6</v>
      </c>
      <c r="D4311" s="218" t="n">
        <v>96.51</v>
      </c>
      <c r="E4311" s="218" t="n">
        <v>3.22</v>
      </c>
      <c r="F4311" t="str">
        <v>https://re.jrc.ec.europa.eu/api/v5_3/PVcalc?lat=30.0444&amp;lon=31.2357&amp;peakpower=1&amp;loss=14&amp;angle=70&amp;aspect=-135&amp;outputformat=json&amp;raddatabase=PVGIS-SARAH3&amp;pvtechchoice=crystSi&amp;mountingplace=free&amp;usehorizon=1</v>
      </c>
    </row>
    <row r="4312">
      <c r="A4312" t="n">
        <v>70</v>
      </c>
      <c r="B4312" t="n">
        <v>45</v>
      </c>
      <c r="C4312" t="n">
        <v>7</v>
      </c>
      <c r="D4312" s="218" t="n">
        <v>92.78</v>
      </c>
      <c r="E4312" s="218" t="n">
        <v>2.99</v>
      </c>
      <c r="F4312" t="str">
        <v>https://re.jrc.ec.europa.eu/api/v5_3/PVcalc?lat=30.0444&amp;lon=31.2357&amp;peakpower=1&amp;loss=14&amp;angle=70&amp;aspect=-135&amp;outputformat=json&amp;raddatabase=PVGIS-SARAH3&amp;pvtechchoice=crystSi&amp;mountingplace=free&amp;usehorizon=1</v>
      </c>
    </row>
    <row r="4313">
      <c r="A4313" t="n">
        <v>70</v>
      </c>
      <c r="B4313" t="n">
        <v>45</v>
      </c>
      <c r="C4313" t="n">
        <v>8</v>
      </c>
      <c r="D4313" s="218" t="n">
        <v>77.56</v>
      </c>
      <c r="E4313" s="218" t="n">
        <v>2.5</v>
      </c>
      <c r="F4313" t="str">
        <v>https://re.jrc.ec.europa.eu/api/v5_3/PVcalc?lat=30.0444&amp;lon=31.2357&amp;peakpower=1&amp;loss=14&amp;angle=70&amp;aspect=-135&amp;outputformat=json&amp;raddatabase=PVGIS-SARAH3&amp;pvtechchoice=crystSi&amp;mountingplace=free&amp;usehorizon=1</v>
      </c>
    </row>
    <row r="4314">
      <c r="A4314" t="n">
        <v>70</v>
      </c>
      <c r="B4314" t="n">
        <v>45</v>
      </c>
      <c r="C4314" t="n">
        <v>9</v>
      </c>
      <c r="D4314" s="218" t="n">
        <v>54.29</v>
      </c>
      <c r="E4314" s="218" t="n">
        <v>1.81</v>
      </c>
      <c r="F4314" t="str">
        <v>https://re.jrc.ec.europa.eu/api/v5_3/PVcalc?lat=30.0444&amp;lon=31.2357&amp;peakpower=1&amp;loss=14&amp;angle=70&amp;aspect=-135&amp;outputformat=json&amp;raddatabase=PVGIS-SARAH3&amp;pvtechchoice=crystSi&amp;mountingplace=free&amp;usehorizon=1</v>
      </c>
    </row>
    <row r="4315">
      <c r="A4315" t="n">
        <v>70</v>
      </c>
      <c r="B4315" t="n">
        <v>45</v>
      </c>
      <c r="C4315" t="n">
        <v>10</v>
      </c>
      <c r="D4315" s="218" t="n">
        <v>38.12</v>
      </c>
      <c r="E4315" s="218" t="n">
        <v>1.23</v>
      </c>
      <c r="F4315" t="str">
        <v>https://re.jrc.ec.europa.eu/api/v5_3/PVcalc?lat=30.0444&amp;lon=31.2357&amp;peakpower=1&amp;loss=14&amp;angle=70&amp;aspect=-135&amp;outputformat=json&amp;raddatabase=PVGIS-SARAH3&amp;pvtechchoice=crystSi&amp;mountingplace=free&amp;usehorizon=1</v>
      </c>
    </row>
    <row r="4316">
      <c r="A4316" t="n">
        <v>70</v>
      </c>
      <c r="B4316" t="n">
        <v>45</v>
      </c>
      <c r="C4316" t="n">
        <v>11</v>
      </c>
      <c r="D4316" s="218" t="n">
        <v>23.8</v>
      </c>
      <c r="E4316" s="218" t="n">
        <v>0.79</v>
      </c>
      <c r="F4316" t="str">
        <v>https://re.jrc.ec.europa.eu/api/v5_3/PVcalc?lat=30.0444&amp;lon=31.2357&amp;peakpower=1&amp;loss=14&amp;angle=70&amp;aspect=-135&amp;outputformat=json&amp;raddatabase=PVGIS-SARAH3&amp;pvtechchoice=crystSi&amp;mountingplace=free&amp;usehorizon=1</v>
      </c>
    </row>
    <row r="4317">
      <c r="A4317" t="n">
        <v>70</v>
      </c>
      <c r="B4317" t="n">
        <v>45</v>
      </c>
      <c r="C4317" t="n">
        <v>12</v>
      </c>
      <c r="D4317" s="218" t="n">
        <v>19.17</v>
      </c>
      <c r="E4317" s="218" t="n">
        <v>0.62</v>
      </c>
      <c r="F4317" t="str">
        <v>https://re.jrc.ec.europa.eu/api/v5_3/PVcalc?lat=30.0444&amp;lon=31.2357&amp;peakpower=1&amp;loss=14&amp;angle=70&amp;aspect=-135&amp;outputformat=json&amp;raddatabase=PVGIS-SARAH3&amp;pvtechchoice=crystSi&amp;mountingplace=free&amp;usehorizon=1</v>
      </c>
    </row>
    <row r="4318">
      <c r="A4318" t="n">
        <v>70</v>
      </c>
      <c r="B4318" t="n">
        <v>60</v>
      </c>
      <c r="C4318" t="n">
        <v>1</v>
      </c>
      <c r="D4318" s="218" t="n">
        <v>33.84</v>
      </c>
      <c r="E4318" s="218" t="n">
        <v>1.09</v>
      </c>
      <c r="F4318" t="str">
        <v>https://re.jrc.ec.europa.eu/api/v5_3/PVcalc?lat=30.0444&amp;lon=31.2357&amp;peakpower=1&amp;loss=14&amp;angle=70&amp;aspect=-120&amp;outputformat=json&amp;raddatabase=PVGIS-SARAH3&amp;pvtechchoice=crystSi&amp;mountingplace=free&amp;usehorizon=1</v>
      </c>
    </row>
    <row r="4319">
      <c r="A4319" t="n">
        <v>70</v>
      </c>
      <c r="B4319" t="n">
        <v>60</v>
      </c>
      <c r="C4319" t="n">
        <v>2</v>
      </c>
      <c r="D4319" s="218" t="n">
        <v>45.38</v>
      </c>
      <c r="E4319" s="218" t="n">
        <v>1.62</v>
      </c>
      <c r="F4319" t="str">
        <v>https://re.jrc.ec.europa.eu/api/v5_3/PVcalc?lat=30.0444&amp;lon=31.2357&amp;peakpower=1&amp;loss=14&amp;angle=70&amp;aspect=-120&amp;outputformat=json&amp;raddatabase=PVGIS-SARAH3&amp;pvtechchoice=crystSi&amp;mountingplace=free&amp;usehorizon=1</v>
      </c>
    </row>
    <row r="4320">
      <c r="A4320" t="n">
        <v>70</v>
      </c>
      <c r="B4320" t="n">
        <v>60</v>
      </c>
      <c r="C4320" t="n">
        <v>3</v>
      </c>
      <c r="D4320" s="218" t="n">
        <v>68.18</v>
      </c>
      <c r="E4320" s="218" t="n">
        <v>2.2</v>
      </c>
      <c r="F4320" t="str">
        <v>https://re.jrc.ec.europa.eu/api/v5_3/PVcalc?lat=30.0444&amp;lon=31.2357&amp;peakpower=1&amp;loss=14&amp;angle=70&amp;aspect=-120&amp;outputformat=json&amp;raddatabase=PVGIS-SARAH3&amp;pvtechchoice=crystSi&amp;mountingplace=free&amp;usehorizon=1</v>
      </c>
    </row>
    <row r="4321">
      <c r="A4321" t="n">
        <v>70</v>
      </c>
      <c r="B4321" t="n">
        <v>60</v>
      </c>
      <c r="C4321" t="n">
        <v>4</v>
      </c>
      <c r="D4321" s="218" t="n">
        <v>83.41</v>
      </c>
      <c r="E4321" s="218" t="n">
        <v>2.78</v>
      </c>
      <c r="F4321" t="str">
        <v>https://re.jrc.ec.europa.eu/api/v5_3/PVcalc?lat=30.0444&amp;lon=31.2357&amp;peakpower=1&amp;loss=14&amp;angle=70&amp;aspect=-120&amp;outputformat=json&amp;raddatabase=PVGIS-SARAH3&amp;pvtechchoice=crystSi&amp;mountingplace=free&amp;usehorizon=1</v>
      </c>
    </row>
    <row r="4322">
      <c r="A4322" t="n">
        <v>70</v>
      </c>
      <c r="B4322" t="n">
        <v>60</v>
      </c>
      <c r="C4322" t="n">
        <v>5</v>
      </c>
      <c r="D4322" s="218" t="n">
        <v>100.98</v>
      </c>
      <c r="E4322" s="218" t="n">
        <v>3.26</v>
      </c>
      <c r="F4322" t="str">
        <v>https://re.jrc.ec.europa.eu/api/v5_3/PVcalc?lat=30.0444&amp;lon=31.2357&amp;peakpower=1&amp;loss=14&amp;angle=70&amp;aspect=-120&amp;outputformat=json&amp;raddatabase=PVGIS-SARAH3&amp;pvtechchoice=crystSi&amp;mountingplace=free&amp;usehorizon=1</v>
      </c>
    </row>
    <row r="4323">
      <c r="A4323" t="n">
        <v>70</v>
      </c>
      <c r="B4323" t="n">
        <v>60</v>
      </c>
      <c r="C4323" t="n">
        <v>6</v>
      </c>
      <c r="D4323" s="218" t="n">
        <v>104.46</v>
      </c>
      <c r="E4323" s="218" t="n">
        <v>3.48</v>
      </c>
      <c r="F4323" t="str">
        <v>https://re.jrc.ec.europa.eu/api/v5_3/PVcalc?lat=30.0444&amp;lon=31.2357&amp;peakpower=1&amp;loss=14&amp;angle=70&amp;aspect=-120&amp;outputformat=json&amp;raddatabase=PVGIS-SARAH3&amp;pvtechchoice=crystSi&amp;mountingplace=free&amp;usehorizon=1</v>
      </c>
    </row>
    <row r="4324">
      <c r="A4324" t="n">
        <v>70</v>
      </c>
      <c r="B4324" t="n">
        <v>60</v>
      </c>
      <c r="C4324" t="n">
        <v>7</v>
      </c>
      <c r="D4324" s="218" t="n">
        <v>101.8</v>
      </c>
      <c r="E4324" s="218" t="n">
        <v>3.28</v>
      </c>
      <c r="F4324" t="str">
        <v>https://re.jrc.ec.europa.eu/api/v5_3/PVcalc?lat=30.0444&amp;lon=31.2357&amp;peakpower=1&amp;loss=14&amp;angle=70&amp;aspect=-120&amp;outputformat=json&amp;raddatabase=PVGIS-SARAH3&amp;pvtechchoice=crystSi&amp;mountingplace=free&amp;usehorizon=1</v>
      </c>
    </row>
    <row r="4325">
      <c r="A4325" t="n">
        <v>70</v>
      </c>
      <c r="B4325" t="n">
        <v>60</v>
      </c>
      <c r="C4325" t="n">
        <v>8</v>
      </c>
      <c r="D4325" s="218" t="n">
        <v>89.78</v>
      </c>
      <c r="E4325" s="218" t="n">
        <v>2.9</v>
      </c>
      <c r="F4325" t="str">
        <v>https://re.jrc.ec.europa.eu/api/v5_3/PVcalc?lat=30.0444&amp;lon=31.2357&amp;peakpower=1&amp;loss=14&amp;angle=70&amp;aspect=-120&amp;outputformat=json&amp;raddatabase=PVGIS-SARAH3&amp;pvtechchoice=crystSi&amp;mountingplace=free&amp;usehorizon=1</v>
      </c>
    </row>
    <row r="4326">
      <c r="A4326" t="n">
        <v>70</v>
      </c>
      <c r="B4326" t="n">
        <v>60</v>
      </c>
      <c r="C4326" t="n">
        <v>9</v>
      </c>
      <c r="D4326" s="218" t="n">
        <v>68.58</v>
      </c>
      <c r="E4326" s="218" t="n">
        <v>2.29</v>
      </c>
      <c r="F4326" t="str">
        <v>https://re.jrc.ec.europa.eu/api/v5_3/PVcalc?lat=30.0444&amp;lon=31.2357&amp;peakpower=1&amp;loss=14&amp;angle=70&amp;aspect=-120&amp;outputformat=json&amp;raddatabase=PVGIS-SARAH3&amp;pvtechchoice=crystSi&amp;mountingplace=free&amp;usehorizon=1</v>
      </c>
    </row>
    <row r="4327">
      <c r="A4327" t="n">
        <v>70</v>
      </c>
      <c r="B4327" t="n">
        <v>60</v>
      </c>
      <c r="C4327" t="n">
        <v>10</v>
      </c>
      <c r="D4327" s="218" t="n">
        <v>53.59</v>
      </c>
      <c r="E4327" s="218" t="n">
        <v>1.73</v>
      </c>
      <c r="F4327" t="str">
        <v>https://re.jrc.ec.europa.eu/api/v5_3/PVcalc?lat=30.0444&amp;lon=31.2357&amp;peakpower=1&amp;loss=14&amp;angle=70&amp;aspect=-120&amp;outputformat=json&amp;raddatabase=PVGIS-SARAH3&amp;pvtechchoice=crystSi&amp;mountingplace=free&amp;usehorizon=1</v>
      </c>
    </row>
    <row r="4328">
      <c r="A4328" t="n">
        <v>70</v>
      </c>
      <c r="B4328" t="n">
        <v>60</v>
      </c>
      <c r="C4328" t="n">
        <v>11</v>
      </c>
      <c r="D4328" s="218" t="n">
        <v>37.12</v>
      </c>
      <c r="E4328" s="218" t="n">
        <v>1.24</v>
      </c>
      <c r="F4328" t="str">
        <v>https://re.jrc.ec.europa.eu/api/v5_3/PVcalc?lat=30.0444&amp;lon=31.2357&amp;peakpower=1&amp;loss=14&amp;angle=70&amp;aspect=-120&amp;outputformat=json&amp;raddatabase=PVGIS-SARAH3&amp;pvtechchoice=crystSi&amp;mountingplace=free&amp;usehorizon=1</v>
      </c>
    </row>
    <row r="4329">
      <c r="A4329" t="n">
        <v>70</v>
      </c>
      <c r="B4329" t="n">
        <v>60</v>
      </c>
      <c r="C4329" t="n">
        <v>12</v>
      </c>
      <c r="D4329" s="218" t="n">
        <v>30.5</v>
      </c>
      <c r="E4329" s="218" t="n">
        <v>0.98</v>
      </c>
      <c r="F4329" t="str">
        <v>https://re.jrc.ec.europa.eu/api/v5_3/PVcalc?lat=30.0444&amp;lon=31.2357&amp;peakpower=1&amp;loss=14&amp;angle=70&amp;aspect=-120&amp;outputformat=json&amp;raddatabase=PVGIS-SARAH3&amp;pvtechchoice=crystSi&amp;mountingplace=free&amp;usehorizon=1</v>
      </c>
    </row>
    <row r="4330">
      <c r="A4330" t="n">
        <v>70</v>
      </c>
      <c r="B4330" t="n">
        <v>75</v>
      </c>
      <c r="C4330" t="n">
        <v>1</v>
      </c>
      <c r="D4330" s="218" t="n">
        <v>49.2</v>
      </c>
      <c r="E4330" s="218" t="n">
        <v>1.59</v>
      </c>
      <c r="F4330" t="str">
        <v>https://re.jrc.ec.europa.eu/api/v5_3/PVcalc?lat=30.0444&amp;lon=31.2357&amp;peakpower=1&amp;loss=14&amp;angle=70&amp;aspect=-105&amp;outputformat=json&amp;raddatabase=PVGIS-SARAH3&amp;pvtechchoice=crystSi&amp;mountingplace=free&amp;usehorizon=1</v>
      </c>
    </row>
    <row r="4331">
      <c r="A4331" t="n">
        <v>70</v>
      </c>
      <c r="B4331" t="n">
        <v>75</v>
      </c>
      <c r="C4331" t="n">
        <v>2</v>
      </c>
      <c r="D4331" s="218" t="n">
        <v>59.77</v>
      </c>
      <c r="E4331" s="218" t="n">
        <v>2.13</v>
      </c>
      <c r="F4331" t="str">
        <v>https://re.jrc.ec.europa.eu/api/v5_3/PVcalc?lat=30.0444&amp;lon=31.2357&amp;peakpower=1&amp;loss=14&amp;angle=70&amp;aspect=-105&amp;outputformat=json&amp;raddatabase=PVGIS-SARAH3&amp;pvtechchoice=crystSi&amp;mountingplace=free&amp;usehorizon=1</v>
      </c>
    </row>
    <row r="4332">
      <c r="A4332" t="n">
        <v>70</v>
      </c>
      <c r="B4332" t="n">
        <v>75</v>
      </c>
      <c r="C4332" t="n">
        <v>3</v>
      </c>
      <c r="D4332" s="218" t="n">
        <v>82.4</v>
      </c>
      <c r="E4332" s="218" t="n">
        <v>2.66</v>
      </c>
      <c r="F4332" t="str">
        <v>https://re.jrc.ec.europa.eu/api/v5_3/PVcalc?lat=30.0444&amp;lon=31.2357&amp;peakpower=1&amp;loss=14&amp;angle=70&amp;aspect=-105&amp;outputformat=json&amp;raddatabase=PVGIS-SARAH3&amp;pvtechchoice=crystSi&amp;mountingplace=free&amp;usehorizon=1</v>
      </c>
    </row>
    <row r="4333">
      <c r="A4333" t="n">
        <v>70</v>
      </c>
      <c r="B4333" t="n">
        <v>75</v>
      </c>
      <c r="C4333" t="n">
        <v>4</v>
      </c>
      <c r="D4333" s="218" t="n">
        <v>93.69</v>
      </c>
      <c r="E4333" s="218" t="n">
        <v>3.12</v>
      </c>
      <c r="F4333" t="str">
        <v>https://re.jrc.ec.europa.eu/api/v5_3/PVcalc?lat=30.0444&amp;lon=31.2357&amp;peakpower=1&amp;loss=14&amp;angle=70&amp;aspect=-105&amp;outputformat=json&amp;raddatabase=PVGIS-SARAH3&amp;pvtechchoice=crystSi&amp;mountingplace=free&amp;usehorizon=1</v>
      </c>
    </row>
    <row r="4334">
      <c r="A4334" t="n">
        <v>70</v>
      </c>
      <c r="B4334" t="n">
        <v>75</v>
      </c>
      <c r="C4334" t="n">
        <v>5</v>
      </c>
      <c r="D4334" s="218" t="n">
        <v>108.01</v>
      </c>
      <c r="E4334" s="218" t="n">
        <v>3.48</v>
      </c>
      <c r="F4334" t="str">
        <v>https://re.jrc.ec.europa.eu/api/v5_3/PVcalc?lat=30.0444&amp;lon=31.2357&amp;peakpower=1&amp;loss=14&amp;angle=70&amp;aspect=-105&amp;outputformat=json&amp;raddatabase=PVGIS-SARAH3&amp;pvtechchoice=crystSi&amp;mountingplace=free&amp;usehorizon=1</v>
      </c>
    </row>
    <row r="4335">
      <c r="A4335" t="n">
        <v>70</v>
      </c>
      <c r="B4335" t="n">
        <v>75</v>
      </c>
      <c r="C4335" t="n">
        <v>6</v>
      </c>
      <c r="D4335" s="218" t="n">
        <v>109.59</v>
      </c>
      <c r="E4335" s="218" t="n">
        <v>3.65</v>
      </c>
      <c r="F4335" t="str">
        <v>https://re.jrc.ec.europa.eu/api/v5_3/PVcalc?lat=30.0444&amp;lon=31.2357&amp;peakpower=1&amp;loss=14&amp;angle=70&amp;aspect=-105&amp;outputformat=json&amp;raddatabase=PVGIS-SARAH3&amp;pvtechchoice=crystSi&amp;mountingplace=free&amp;usehorizon=1</v>
      </c>
    </row>
    <row r="4336">
      <c r="A4336" t="n">
        <v>70</v>
      </c>
      <c r="B4336" t="n">
        <v>75</v>
      </c>
      <c r="C4336" t="n">
        <v>7</v>
      </c>
      <c r="D4336" s="218" t="n">
        <v>108.06</v>
      </c>
      <c r="E4336" s="218" t="n">
        <v>3.49</v>
      </c>
      <c r="F4336" t="str">
        <v>https://re.jrc.ec.europa.eu/api/v5_3/PVcalc?lat=30.0444&amp;lon=31.2357&amp;peakpower=1&amp;loss=14&amp;angle=70&amp;aspect=-105&amp;outputformat=json&amp;raddatabase=PVGIS-SARAH3&amp;pvtechchoice=crystSi&amp;mountingplace=free&amp;usehorizon=1</v>
      </c>
    </row>
    <row r="4337">
      <c r="A4337" t="n">
        <v>70</v>
      </c>
      <c r="B4337" t="n">
        <v>75</v>
      </c>
      <c r="C4337" t="n">
        <v>8</v>
      </c>
      <c r="D4337" s="218" t="n">
        <v>99.59</v>
      </c>
      <c r="E4337" s="218" t="n">
        <v>3.21</v>
      </c>
      <c r="F4337" t="str">
        <v>https://re.jrc.ec.europa.eu/api/v5_3/PVcalc?lat=30.0444&amp;lon=31.2357&amp;peakpower=1&amp;loss=14&amp;angle=70&amp;aspect=-105&amp;outputformat=json&amp;raddatabase=PVGIS-SARAH3&amp;pvtechchoice=crystSi&amp;mountingplace=free&amp;usehorizon=1</v>
      </c>
    </row>
    <row r="4338">
      <c r="A4338" t="n">
        <v>70</v>
      </c>
      <c r="B4338" t="n">
        <v>75</v>
      </c>
      <c r="C4338" t="n">
        <v>9</v>
      </c>
      <c r="D4338" s="218" t="n">
        <v>81.7</v>
      </c>
      <c r="E4338" s="218" t="n">
        <v>2.72</v>
      </c>
      <c r="F4338" t="str">
        <v>https://re.jrc.ec.europa.eu/api/v5_3/PVcalc?lat=30.0444&amp;lon=31.2357&amp;peakpower=1&amp;loss=14&amp;angle=70&amp;aspect=-105&amp;outputformat=json&amp;raddatabase=PVGIS-SARAH3&amp;pvtechchoice=crystSi&amp;mountingplace=free&amp;usehorizon=1</v>
      </c>
    </row>
    <row r="4339">
      <c r="A4339" t="n">
        <v>70</v>
      </c>
      <c r="B4339" t="n">
        <v>75</v>
      </c>
      <c r="C4339" t="n">
        <v>10</v>
      </c>
      <c r="D4339" s="218" t="n">
        <v>69.29</v>
      </c>
      <c r="E4339" s="218" t="n">
        <v>2.24</v>
      </c>
      <c r="F4339" t="str">
        <v>https://re.jrc.ec.europa.eu/api/v5_3/PVcalc?lat=30.0444&amp;lon=31.2357&amp;peakpower=1&amp;loss=14&amp;angle=70&amp;aspect=-105&amp;outputformat=json&amp;raddatabase=PVGIS-SARAH3&amp;pvtechchoice=crystSi&amp;mountingplace=free&amp;usehorizon=1</v>
      </c>
    </row>
    <row r="4340">
      <c r="A4340" t="n">
        <v>70</v>
      </c>
      <c r="B4340" t="n">
        <v>75</v>
      </c>
      <c r="C4340" t="n">
        <v>11</v>
      </c>
      <c r="D4340" s="218" t="n">
        <v>53.23</v>
      </c>
      <c r="E4340" s="218" t="n">
        <v>1.77</v>
      </c>
      <c r="F4340" t="str">
        <v>https://re.jrc.ec.europa.eu/api/v5_3/PVcalc?lat=30.0444&amp;lon=31.2357&amp;peakpower=1&amp;loss=14&amp;angle=70&amp;aspect=-105&amp;outputformat=json&amp;raddatabase=PVGIS-SARAH3&amp;pvtechchoice=crystSi&amp;mountingplace=free&amp;usehorizon=1</v>
      </c>
    </row>
    <row r="4341">
      <c r="A4341" t="n">
        <v>70</v>
      </c>
      <c r="B4341" t="n">
        <v>75</v>
      </c>
      <c r="C4341" t="n">
        <v>12</v>
      </c>
      <c r="D4341" s="218" t="n">
        <v>46.27</v>
      </c>
      <c r="E4341" s="218" t="n">
        <v>1.49</v>
      </c>
      <c r="F4341" t="str">
        <v>https://re.jrc.ec.europa.eu/api/v5_3/PVcalc?lat=30.0444&amp;lon=31.2357&amp;peakpower=1&amp;loss=14&amp;angle=70&amp;aspect=-105&amp;outputformat=json&amp;raddatabase=PVGIS-SARAH3&amp;pvtechchoice=crystSi&amp;mountingplace=free&amp;usehorizon=1</v>
      </c>
    </row>
    <row r="4342">
      <c r="A4342" t="n">
        <v>70</v>
      </c>
      <c r="B4342" t="n">
        <v>90</v>
      </c>
      <c r="C4342" t="n">
        <v>1</v>
      </c>
      <c r="D4342" s="218" t="n">
        <v>65.8</v>
      </c>
      <c r="E4342" s="218" t="n">
        <v>2.12</v>
      </c>
      <c r="F4342" t="str">
        <v>https://re.jrc.ec.europa.eu/api/v5_3/PVcalc?lat=30.0444&amp;lon=31.2357&amp;peakpower=1&amp;loss=14&amp;angle=70&amp;aspect=-90&amp;outputformat=json&amp;raddatabase=PVGIS-SARAH3&amp;pvtechchoice=crystSi&amp;mountingplace=free&amp;usehorizon=1</v>
      </c>
    </row>
    <row r="4343">
      <c r="A4343" t="n">
        <v>70</v>
      </c>
      <c r="B4343" t="n">
        <v>90</v>
      </c>
      <c r="C4343" t="n">
        <v>2</v>
      </c>
      <c r="D4343" s="218" t="n">
        <v>73.67</v>
      </c>
      <c r="E4343" s="218" t="n">
        <v>2.63</v>
      </c>
      <c r="F4343" t="str">
        <v>https://re.jrc.ec.europa.eu/api/v5_3/PVcalc?lat=30.0444&amp;lon=31.2357&amp;peakpower=1&amp;loss=14&amp;angle=70&amp;aspect=-90&amp;outputformat=json&amp;raddatabase=PVGIS-SARAH3&amp;pvtechchoice=crystSi&amp;mountingplace=free&amp;usehorizon=1</v>
      </c>
    </row>
    <row r="4344">
      <c r="A4344" t="n">
        <v>70</v>
      </c>
      <c r="B4344" t="n">
        <v>90</v>
      </c>
      <c r="C4344" t="n">
        <v>3</v>
      </c>
      <c r="D4344" s="218" t="n">
        <v>95.26</v>
      </c>
      <c r="E4344" s="218" t="n">
        <v>3.07</v>
      </c>
      <c r="F4344" t="str">
        <v>https://re.jrc.ec.europa.eu/api/v5_3/PVcalc?lat=30.0444&amp;lon=31.2357&amp;peakpower=1&amp;loss=14&amp;angle=70&amp;aspect=-90&amp;outputformat=json&amp;raddatabase=PVGIS-SARAH3&amp;pvtechchoice=crystSi&amp;mountingplace=free&amp;usehorizon=1</v>
      </c>
    </row>
    <row r="4345">
      <c r="A4345" t="n">
        <v>70</v>
      </c>
      <c r="B4345" t="n">
        <v>90</v>
      </c>
      <c r="C4345" t="n">
        <v>4</v>
      </c>
      <c r="D4345" s="218" t="n">
        <v>102.04</v>
      </c>
      <c r="E4345" s="218" t="n">
        <v>3.4</v>
      </c>
      <c r="F4345" t="str">
        <v>https://re.jrc.ec.europa.eu/api/v5_3/PVcalc?lat=30.0444&amp;lon=31.2357&amp;peakpower=1&amp;loss=14&amp;angle=70&amp;aspect=-90&amp;outputformat=json&amp;raddatabase=PVGIS-SARAH3&amp;pvtechchoice=crystSi&amp;mountingplace=free&amp;usehorizon=1</v>
      </c>
    </row>
    <row r="4346">
      <c r="A4346" t="n">
        <v>70</v>
      </c>
      <c r="B4346" t="n">
        <v>90</v>
      </c>
      <c r="C4346" t="n">
        <v>5</v>
      </c>
      <c r="D4346" s="218" t="n">
        <v>112.44</v>
      </c>
      <c r="E4346" s="218" t="n">
        <v>3.63</v>
      </c>
      <c r="F4346" t="str">
        <v>https://re.jrc.ec.europa.eu/api/v5_3/PVcalc?lat=30.0444&amp;lon=31.2357&amp;peakpower=1&amp;loss=14&amp;angle=70&amp;aspect=-90&amp;outputformat=json&amp;raddatabase=PVGIS-SARAH3&amp;pvtechchoice=crystSi&amp;mountingplace=free&amp;usehorizon=1</v>
      </c>
    </row>
    <row r="4347">
      <c r="A4347" t="n">
        <v>70</v>
      </c>
      <c r="B4347" t="n">
        <v>90</v>
      </c>
      <c r="C4347" t="n">
        <v>6</v>
      </c>
      <c r="D4347" s="218" t="n">
        <v>111.69</v>
      </c>
      <c r="E4347" s="218" t="n">
        <v>3.72</v>
      </c>
      <c r="F4347" t="str">
        <v>https://re.jrc.ec.europa.eu/api/v5_3/PVcalc?lat=30.0444&amp;lon=31.2357&amp;peakpower=1&amp;loss=14&amp;angle=70&amp;aspect=-90&amp;outputformat=json&amp;raddatabase=PVGIS-SARAH3&amp;pvtechchoice=crystSi&amp;mountingplace=free&amp;usehorizon=1</v>
      </c>
    </row>
    <row r="4348">
      <c r="A4348" t="n">
        <v>70</v>
      </c>
      <c r="B4348" t="n">
        <v>90</v>
      </c>
      <c r="C4348" t="n">
        <v>7</v>
      </c>
      <c r="D4348" s="218" t="n">
        <v>111.39</v>
      </c>
      <c r="E4348" s="218" t="n">
        <v>3.59</v>
      </c>
      <c r="F4348" t="str">
        <v>https://re.jrc.ec.europa.eu/api/v5_3/PVcalc?lat=30.0444&amp;lon=31.2357&amp;peakpower=1&amp;loss=14&amp;angle=70&amp;aspect=-90&amp;outputformat=json&amp;raddatabase=PVGIS-SARAH3&amp;pvtechchoice=crystSi&amp;mountingplace=free&amp;usehorizon=1</v>
      </c>
    </row>
    <row r="4349">
      <c r="A4349" t="n">
        <v>70</v>
      </c>
      <c r="B4349" t="n">
        <v>90</v>
      </c>
      <c r="C4349" t="n">
        <v>8</v>
      </c>
      <c r="D4349" s="218" t="n">
        <v>106.82</v>
      </c>
      <c r="E4349" s="218" t="n">
        <v>3.45</v>
      </c>
      <c r="F4349" t="str">
        <v>https://re.jrc.ec.europa.eu/api/v5_3/PVcalc?lat=30.0444&amp;lon=31.2357&amp;peakpower=1&amp;loss=14&amp;angle=70&amp;aspect=-90&amp;outputformat=json&amp;raddatabase=PVGIS-SARAH3&amp;pvtechchoice=crystSi&amp;mountingplace=free&amp;usehorizon=1</v>
      </c>
    </row>
    <row r="4350">
      <c r="A4350" t="n">
        <v>70</v>
      </c>
      <c r="B4350" t="n">
        <v>90</v>
      </c>
      <c r="C4350" t="n">
        <v>9</v>
      </c>
      <c r="D4350" s="218" t="n">
        <v>92.93</v>
      </c>
      <c r="E4350" s="218" t="n">
        <v>3.1</v>
      </c>
      <c r="F4350" t="str">
        <v>https://re.jrc.ec.europa.eu/api/v5_3/PVcalc?lat=30.0444&amp;lon=31.2357&amp;peakpower=1&amp;loss=14&amp;angle=70&amp;aspect=-90&amp;outputformat=json&amp;raddatabase=PVGIS-SARAH3&amp;pvtechchoice=crystSi&amp;mountingplace=free&amp;usehorizon=1</v>
      </c>
    </row>
    <row r="4351">
      <c r="A4351" t="n">
        <v>70</v>
      </c>
      <c r="B4351" t="n">
        <v>90</v>
      </c>
      <c r="C4351" t="n">
        <v>10</v>
      </c>
      <c r="D4351" s="218" t="n">
        <v>84.59</v>
      </c>
      <c r="E4351" s="218" t="n">
        <v>2.73</v>
      </c>
      <c r="F4351" t="str">
        <v>https://re.jrc.ec.europa.eu/api/v5_3/PVcalc?lat=30.0444&amp;lon=31.2357&amp;peakpower=1&amp;loss=14&amp;angle=70&amp;aspect=-90&amp;outputformat=json&amp;raddatabase=PVGIS-SARAH3&amp;pvtechchoice=crystSi&amp;mountingplace=free&amp;usehorizon=1</v>
      </c>
    </row>
    <row r="4352">
      <c r="A4352" t="n">
        <v>70</v>
      </c>
      <c r="B4352" t="n">
        <v>90</v>
      </c>
      <c r="C4352" t="n">
        <v>11</v>
      </c>
      <c r="D4352" s="218" t="n">
        <v>70.1</v>
      </c>
      <c r="E4352" s="218" t="n">
        <v>2.34</v>
      </c>
      <c r="F4352" t="str">
        <v>https://re.jrc.ec.europa.eu/api/v5_3/PVcalc?lat=30.0444&amp;lon=31.2357&amp;peakpower=1&amp;loss=14&amp;angle=70&amp;aspect=-90&amp;outputformat=json&amp;raddatabase=PVGIS-SARAH3&amp;pvtechchoice=crystSi&amp;mountingplace=free&amp;usehorizon=1</v>
      </c>
    </row>
    <row r="4353">
      <c r="A4353" t="n">
        <v>70</v>
      </c>
      <c r="B4353" t="n">
        <v>90</v>
      </c>
      <c r="C4353" t="n">
        <v>12</v>
      </c>
      <c r="D4353" s="218" t="n">
        <v>63.88</v>
      </c>
      <c r="E4353" s="218" t="n">
        <v>2.06</v>
      </c>
      <c r="F4353" t="str">
        <v>https://re.jrc.ec.europa.eu/api/v5_3/PVcalc?lat=30.0444&amp;lon=31.2357&amp;peakpower=1&amp;loss=14&amp;angle=70&amp;aspect=-90&amp;outputformat=json&amp;raddatabase=PVGIS-SARAH3&amp;pvtechchoice=crystSi&amp;mountingplace=free&amp;usehorizon=1</v>
      </c>
    </row>
    <row r="4354">
      <c r="A4354" t="n">
        <v>70</v>
      </c>
      <c r="B4354" t="n">
        <v>105</v>
      </c>
      <c r="C4354" t="n">
        <v>1</v>
      </c>
      <c r="D4354" s="218" t="n">
        <v>82.72</v>
      </c>
      <c r="E4354" s="218" t="n">
        <v>2.67</v>
      </c>
      <c r="F4354" t="str">
        <v>https://re.jrc.ec.europa.eu/api/v5_3/PVcalc?lat=30.0444&amp;lon=31.2357&amp;peakpower=1&amp;loss=14&amp;angle=70&amp;aspect=-75&amp;outputformat=json&amp;raddatabase=PVGIS-SARAH3&amp;pvtechchoice=crystSi&amp;mountingplace=free&amp;usehorizon=1</v>
      </c>
    </row>
    <row r="4355">
      <c r="A4355" t="n">
        <v>70</v>
      </c>
      <c r="B4355" t="n">
        <v>105</v>
      </c>
      <c r="C4355" t="n">
        <v>2</v>
      </c>
      <c r="D4355" s="218" t="n">
        <v>86.76</v>
      </c>
      <c r="E4355" s="218" t="n">
        <v>3.1</v>
      </c>
      <c r="F4355" t="str">
        <v>https://re.jrc.ec.europa.eu/api/v5_3/PVcalc?lat=30.0444&amp;lon=31.2357&amp;peakpower=1&amp;loss=14&amp;angle=70&amp;aspect=-75&amp;outputformat=json&amp;raddatabase=PVGIS-SARAH3&amp;pvtechchoice=crystSi&amp;mountingplace=free&amp;usehorizon=1</v>
      </c>
    </row>
    <row r="4356">
      <c r="A4356" t="n">
        <v>70</v>
      </c>
      <c r="B4356" t="n">
        <v>105</v>
      </c>
      <c r="C4356" t="n">
        <v>3</v>
      </c>
      <c r="D4356" s="218" t="n">
        <v>106.24</v>
      </c>
      <c r="E4356" s="218" t="n">
        <v>3.43</v>
      </c>
      <c r="F4356" t="str">
        <v>https://re.jrc.ec.europa.eu/api/v5_3/PVcalc?lat=30.0444&amp;lon=31.2357&amp;peakpower=1&amp;loss=14&amp;angle=70&amp;aspect=-75&amp;outputformat=json&amp;raddatabase=PVGIS-SARAH3&amp;pvtechchoice=crystSi&amp;mountingplace=free&amp;usehorizon=1</v>
      </c>
    </row>
    <row r="4357">
      <c r="A4357" t="n">
        <v>70</v>
      </c>
      <c r="B4357" t="n">
        <v>105</v>
      </c>
      <c r="C4357" t="n">
        <v>4</v>
      </c>
      <c r="D4357" s="218" t="n">
        <v>107.86</v>
      </c>
      <c r="E4357" s="218" t="n">
        <v>3.6</v>
      </c>
      <c r="F4357" t="str">
        <v>https://re.jrc.ec.europa.eu/api/v5_3/PVcalc?lat=30.0444&amp;lon=31.2357&amp;peakpower=1&amp;loss=14&amp;angle=70&amp;aspect=-75&amp;outputformat=json&amp;raddatabase=PVGIS-SARAH3&amp;pvtechchoice=crystSi&amp;mountingplace=free&amp;usehorizon=1</v>
      </c>
    </row>
    <row r="4358">
      <c r="A4358" t="n">
        <v>70</v>
      </c>
      <c r="B4358" t="n">
        <v>105</v>
      </c>
      <c r="C4358" t="n">
        <v>5</v>
      </c>
      <c r="D4358" s="218" t="n">
        <v>113.78</v>
      </c>
      <c r="E4358" s="218" t="n">
        <v>3.67</v>
      </c>
      <c r="F4358" t="str">
        <v>https://re.jrc.ec.europa.eu/api/v5_3/PVcalc?lat=30.0444&amp;lon=31.2357&amp;peakpower=1&amp;loss=14&amp;angle=70&amp;aspect=-75&amp;outputformat=json&amp;raddatabase=PVGIS-SARAH3&amp;pvtechchoice=crystSi&amp;mountingplace=free&amp;usehorizon=1</v>
      </c>
    </row>
    <row r="4359">
      <c r="A4359" t="n">
        <v>70</v>
      </c>
      <c r="B4359" t="n">
        <v>105</v>
      </c>
      <c r="C4359" t="n">
        <v>6</v>
      </c>
      <c r="D4359" s="218" t="n">
        <v>110.77</v>
      </c>
      <c r="E4359" s="218" t="n">
        <v>3.69</v>
      </c>
      <c r="F4359" t="str">
        <v>https://re.jrc.ec.europa.eu/api/v5_3/PVcalc?lat=30.0444&amp;lon=31.2357&amp;peakpower=1&amp;loss=14&amp;angle=70&amp;aspect=-75&amp;outputformat=json&amp;raddatabase=PVGIS-SARAH3&amp;pvtechchoice=crystSi&amp;mountingplace=free&amp;usehorizon=1</v>
      </c>
    </row>
    <row r="4360">
      <c r="A4360" t="n">
        <v>70</v>
      </c>
      <c r="B4360" t="n">
        <v>105</v>
      </c>
      <c r="C4360" t="n">
        <v>7</v>
      </c>
      <c r="D4360" s="218" t="n">
        <v>111.81</v>
      </c>
      <c r="E4360" s="218" t="n">
        <v>3.61</v>
      </c>
      <c r="F4360" t="str">
        <v>https://re.jrc.ec.europa.eu/api/v5_3/PVcalc?lat=30.0444&amp;lon=31.2357&amp;peakpower=1&amp;loss=14&amp;angle=70&amp;aspect=-75&amp;outputformat=json&amp;raddatabase=PVGIS-SARAH3&amp;pvtechchoice=crystSi&amp;mountingplace=free&amp;usehorizon=1</v>
      </c>
    </row>
    <row r="4361">
      <c r="A4361" t="n">
        <v>70</v>
      </c>
      <c r="B4361" t="n">
        <v>105</v>
      </c>
      <c r="C4361" t="n">
        <v>8</v>
      </c>
      <c r="D4361" s="218" t="n">
        <v>111.25</v>
      </c>
      <c r="E4361" s="218" t="n">
        <v>3.59</v>
      </c>
      <c r="F4361" t="str">
        <v>https://re.jrc.ec.europa.eu/api/v5_3/PVcalc?lat=30.0444&amp;lon=31.2357&amp;peakpower=1&amp;loss=14&amp;angle=70&amp;aspect=-75&amp;outputformat=json&amp;raddatabase=PVGIS-SARAH3&amp;pvtechchoice=crystSi&amp;mountingplace=free&amp;usehorizon=1</v>
      </c>
    </row>
    <row r="4362">
      <c r="A4362" t="n">
        <v>70</v>
      </c>
      <c r="B4362" t="n">
        <v>105</v>
      </c>
      <c r="C4362" t="n">
        <v>9</v>
      </c>
      <c r="D4362" s="218" t="n">
        <v>102.56</v>
      </c>
      <c r="E4362" s="218" t="n">
        <v>3.42</v>
      </c>
      <c r="F4362" t="str">
        <v>https://re.jrc.ec.europa.eu/api/v5_3/PVcalc?lat=30.0444&amp;lon=31.2357&amp;peakpower=1&amp;loss=14&amp;angle=70&amp;aspect=-75&amp;outputformat=json&amp;raddatabase=PVGIS-SARAH3&amp;pvtechchoice=crystSi&amp;mountingplace=free&amp;usehorizon=1</v>
      </c>
    </row>
    <row r="4363">
      <c r="A4363" t="n">
        <v>70</v>
      </c>
      <c r="B4363" t="n">
        <v>105</v>
      </c>
      <c r="C4363" t="n">
        <v>10</v>
      </c>
      <c r="D4363" s="218" t="n">
        <v>98.56</v>
      </c>
      <c r="E4363" s="218" t="n">
        <v>3.18</v>
      </c>
      <c r="F4363" t="str">
        <v>https://re.jrc.ec.europa.eu/api/v5_3/PVcalc?lat=30.0444&amp;lon=31.2357&amp;peakpower=1&amp;loss=14&amp;angle=70&amp;aspect=-75&amp;outputformat=json&amp;raddatabase=PVGIS-SARAH3&amp;pvtechchoice=crystSi&amp;mountingplace=free&amp;usehorizon=1</v>
      </c>
    </row>
    <row r="4364">
      <c r="A4364" t="n">
        <v>70</v>
      </c>
      <c r="B4364" t="n">
        <v>105</v>
      </c>
      <c r="C4364" t="n">
        <v>11</v>
      </c>
      <c r="D4364" s="218" t="n">
        <v>86.61</v>
      </c>
      <c r="E4364" s="218" t="n">
        <v>2.89</v>
      </c>
      <c r="F4364" t="str">
        <v>https://re.jrc.ec.europa.eu/api/v5_3/PVcalc?lat=30.0444&amp;lon=31.2357&amp;peakpower=1&amp;loss=14&amp;angle=70&amp;aspect=-75&amp;outputformat=json&amp;raddatabase=PVGIS-SARAH3&amp;pvtechchoice=crystSi&amp;mountingplace=free&amp;usehorizon=1</v>
      </c>
    </row>
    <row r="4365">
      <c r="A4365" t="n">
        <v>70</v>
      </c>
      <c r="B4365" t="n">
        <v>105</v>
      </c>
      <c r="C4365" t="n">
        <v>12</v>
      </c>
      <c r="D4365" s="218" t="n">
        <v>81.84</v>
      </c>
      <c r="E4365" s="218" t="n">
        <v>2.64</v>
      </c>
      <c r="F4365" t="str">
        <v>https://re.jrc.ec.europa.eu/api/v5_3/PVcalc?lat=30.0444&amp;lon=31.2357&amp;peakpower=1&amp;loss=14&amp;angle=70&amp;aspect=-75&amp;outputformat=json&amp;raddatabase=PVGIS-SARAH3&amp;pvtechchoice=crystSi&amp;mountingplace=free&amp;usehorizon=1</v>
      </c>
    </row>
    <row r="4366">
      <c r="A4366" t="n">
        <v>70</v>
      </c>
      <c r="B4366" t="n">
        <v>120</v>
      </c>
      <c r="C4366" t="n">
        <v>1</v>
      </c>
      <c r="D4366" s="218" t="n">
        <v>98.92</v>
      </c>
      <c r="E4366" s="218" t="n">
        <v>3.19</v>
      </c>
      <c r="F4366" t="str">
        <v>https://re.jrc.ec.europa.eu/api/v5_3/PVcalc?lat=30.0444&amp;lon=31.2357&amp;peakpower=1&amp;loss=14&amp;angle=70&amp;aspect=-60&amp;outputformat=json&amp;raddatabase=PVGIS-SARAH3&amp;pvtechchoice=crystSi&amp;mountingplace=free&amp;usehorizon=1</v>
      </c>
    </row>
    <row r="4367">
      <c r="A4367" t="n">
        <v>70</v>
      </c>
      <c r="B4367" t="n">
        <v>120</v>
      </c>
      <c r="C4367" t="n">
        <v>2</v>
      </c>
      <c r="D4367" s="218" t="n">
        <v>98.57</v>
      </c>
      <c r="E4367" s="218" t="n">
        <v>3.52</v>
      </c>
      <c r="F4367" t="str">
        <v>https://re.jrc.ec.europa.eu/api/v5_3/PVcalc?lat=30.0444&amp;lon=31.2357&amp;peakpower=1&amp;loss=14&amp;angle=70&amp;aspect=-60&amp;outputformat=json&amp;raddatabase=PVGIS-SARAH3&amp;pvtechchoice=crystSi&amp;mountingplace=free&amp;usehorizon=1</v>
      </c>
    </row>
    <row r="4368">
      <c r="A4368" t="n">
        <v>70</v>
      </c>
      <c r="B4368" t="n">
        <v>120</v>
      </c>
      <c r="C4368" t="n">
        <v>3</v>
      </c>
      <c r="D4368" s="218" t="n">
        <v>115.4</v>
      </c>
      <c r="E4368" s="218" t="n">
        <v>3.72</v>
      </c>
      <c r="F4368" t="str">
        <v>https://re.jrc.ec.europa.eu/api/v5_3/PVcalc?lat=30.0444&amp;lon=31.2357&amp;peakpower=1&amp;loss=14&amp;angle=70&amp;aspect=-60&amp;outputformat=json&amp;raddatabase=PVGIS-SARAH3&amp;pvtechchoice=crystSi&amp;mountingplace=free&amp;usehorizon=1</v>
      </c>
    </row>
    <row r="4369">
      <c r="A4369" t="n">
        <v>70</v>
      </c>
      <c r="B4369" t="n">
        <v>120</v>
      </c>
      <c r="C4369" t="n">
        <v>4</v>
      </c>
      <c r="D4369" s="218" t="n">
        <v>111.34</v>
      </c>
      <c r="E4369" s="218" t="n">
        <v>3.71</v>
      </c>
      <c r="F4369" t="str">
        <v>https://re.jrc.ec.europa.eu/api/v5_3/PVcalc?lat=30.0444&amp;lon=31.2357&amp;peakpower=1&amp;loss=14&amp;angle=70&amp;aspect=-60&amp;outputformat=json&amp;raddatabase=PVGIS-SARAH3&amp;pvtechchoice=crystSi&amp;mountingplace=free&amp;usehorizon=1</v>
      </c>
    </row>
    <row r="4370">
      <c r="A4370" t="n">
        <v>70</v>
      </c>
      <c r="B4370" t="n">
        <v>120</v>
      </c>
      <c r="C4370" t="n">
        <v>5</v>
      </c>
      <c r="D4370" s="218" t="n">
        <v>112.44</v>
      </c>
      <c r="E4370" s="218" t="n">
        <v>3.63</v>
      </c>
      <c r="F4370" t="str">
        <v>https://re.jrc.ec.europa.eu/api/v5_3/PVcalc?lat=30.0444&amp;lon=31.2357&amp;peakpower=1&amp;loss=14&amp;angle=70&amp;aspect=-60&amp;outputformat=json&amp;raddatabase=PVGIS-SARAH3&amp;pvtechchoice=crystSi&amp;mountingplace=free&amp;usehorizon=1</v>
      </c>
    </row>
    <row r="4371">
      <c r="A4371" t="n">
        <v>70</v>
      </c>
      <c r="B4371" t="n">
        <v>120</v>
      </c>
      <c r="C4371" t="n">
        <v>6</v>
      </c>
      <c r="D4371" s="218" t="n">
        <v>106.94</v>
      </c>
      <c r="E4371" s="218" t="n">
        <v>3.56</v>
      </c>
      <c r="F4371" t="str">
        <v>https://re.jrc.ec.europa.eu/api/v5_3/PVcalc?lat=30.0444&amp;lon=31.2357&amp;peakpower=1&amp;loss=14&amp;angle=70&amp;aspect=-60&amp;outputformat=json&amp;raddatabase=PVGIS-SARAH3&amp;pvtechchoice=crystSi&amp;mountingplace=free&amp;usehorizon=1</v>
      </c>
    </row>
    <row r="4372">
      <c r="A4372" t="n">
        <v>70</v>
      </c>
      <c r="B4372" t="n">
        <v>120</v>
      </c>
      <c r="C4372" t="n">
        <v>7</v>
      </c>
      <c r="D4372" s="218" t="n">
        <v>109.32</v>
      </c>
      <c r="E4372" s="218" t="n">
        <v>3.53</v>
      </c>
      <c r="F4372" t="str">
        <v>https://re.jrc.ec.europa.eu/api/v5_3/PVcalc?lat=30.0444&amp;lon=31.2357&amp;peakpower=1&amp;loss=14&amp;angle=70&amp;aspect=-60&amp;outputformat=json&amp;raddatabase=PVGIS-SARAH3&amp;pvtechchoice=crystSi&amp;mountingplace=free&amp;usehorizon=1</v>
      </c>
    </row>
    <row r="4373">
      <c r="A4373" t="n">
        <v>70</v>
      </c>
      <c r="B4373" t="n">
        <v>120</v>
      </c>
      <c r="C4373" t="n">
        <v>8</v>
      </c>
      <c r="D4373" s="218" t="n">
        <v>112.92</v>
      </c>
      <c r="E4373" s="218" t="n">
        <v>3.64</v>
      </c>
      <c r="F4373" t="str">
        <v>https://re.jrc.ec.europa.eu/api/v5_3/PVcalc?lat=30.0444&amp;lon=31.2357&amp;peakpower=1&amp;loss=14&amp;angle=70&amp;aspect=-60&amp;outputformat=json&amp;raddatabase=PVGIS-SARAH3&amp;pvtechchoice=crystSi&amp;mountingplace=free&amp;usehorizon=1</v>
      </c>
    </row>
    <row r="4374">
      <c r="A4374" t="n">
        <v>70</v>
      </c>
      <c r="B4374" t="n">
        <v>120</v>
      </c>
      <c r="C4374" t="n">
        <v>9</v>
      </c>
      <c r="D4374" s="218" t="n">
        <v>110.06</v>
      </c>
      <c r="E4374" s="218" t="n">
        <v>3.67</v>
      </c>
      <c r="F4374" t="str">
        <v>https://re.jrc.ec.europa.eu/api/v5_3/PVcalc?lat=30.0444&amp;lon=31.2357&amp;peakpower=1&amp;loss=14&amp;angle=70&amp;aspect=-60&amp;outputformat=json&amp;raddatabase=PVGIS-SARAH3&amp;pvtechchoice=crystSi&amp;mountingplace=free&amp;usehorizon=1</v>
      </c>
    </row>
    <row r="4375">
      <c r="A4375" t="n">
        <v>70</v>
      </c>
      <c r="B4375" t="n">
        <v>120</v>
      </c>
      <c r="C4375" t="n">
        <v>10</v>
      </c>
      <c r="D4375" s="218" t="n">
        <v>111.07</v>
      </c>
      <c r="E4375" s="218" t="n">
        <v>3.58</v>
      </c>
      <c r="F4375" t="str">
        <v>https://re.jrc.ec.europa.eu/api/v5_3/PVcalc?lat=30.0444&amp;lon=31.2357&amp;peakpower=1&amp;loss=14&amp;angle=70&amp;aspect=-60&amp;outputformat=json&amp;raddatabase=PVGIS-SARAH3&amp;pvtechchoice=crystSi&amp;mountingplace=free&amp;usehorizon=1</v>
      </c>
    </row>
    <row r="4376">
      <c r="A4376" t="n">
        <v>70</v>
      </c>
      <c r="B4376" t="n">
        <v>120</v>
      </c>
      <c r="C4376" t="n">
        <v>11</v>
      </c>
      <c r="D4376" s="218" t="n">
        <v>102.38</v>
      </c>
      <c r="E4376" s="218" t="n">
        <v>3.41</v>
      </c>
      <c r="F4376" t="str">
        <v>https://re.jrc.ec.europa.eu/api/v5_3/PVcalc?lat=30.0444&amp;lon=31.2357&amp;peakpower=1&amp;loss=14&amp;angle=70&amp;aspect=-60&amp;outputformat=json&amp;raddatabase=PVGIS-SARAH3&amp;pvtechchoice=crystSi&amp;mountingplace=free&amp;usehorizon=1</v>
      </c>
    </row>
    <row r="4377">
      <c r="A4377" t="n">
        <v>70</v>
      </c>
      <c r="B4377" t="n">
        <v>120</v>
      </c>
      <c r="C4377" t="n">
        <v>12</v>
      </c>
      <c r="D4377" s="218" t="n">
        <v>99.38</v>
      </c>
      <c r="E4377" s="218" t="n">
        <v>3.21</v>
      </c>
      <c r="F4377" t="str">
        <v>https://re.jrc.ec.europa.eu/api/v5_3/PVcalc?lat=30.0444&amp;lon=31.2357&amp;peakpower=1&amp;loss=14&amp;angle=70&amp;aspect=-60&amp;outputformat=json&amp;raddatabase=PVGIS-SARAH3&amp;pvtechchoice=crystSi&amp;mountingplace=free&amp;usehorizon=1</v>
      </c>
    </row>
    <row r="4378">
      <c r="A4378" t="n">
        <v>70</v>
      </c>
      <c r="B4378" t="n">
        <v>135</v>
      </c>
      <c r="C4378" t="n">
        <v>1</v>
      </c>
      <c r="D4378" s="218" t="n">
        <v>114.08</v>
      </c>
      <c r="E4378" s="218" t="n">
        <v>3.68</v>
      </c>
      <c r="F4378" t="str">
        <v>https://re.jrc.ec.europa.eu/api/v5_3/PVcalc?lat=30.0444&amp;lon=31.2357&amp;peakpower=1&amp;loss=14&amp;angle=70&amp;aspect=-45&amp;outputformat=json&amp;raddatabase=PVGIS-SARAH3&amp;pvtechchoice=crystSi&amp;mountingplace=free&amp;usehorizon=1</v>
      </c>
    </row>
    <row r="4379">
      <c r="A4379" t="n">
        <v>70</v>
      </c>
      <c r="B4379" t="n">
        <v>135</v>
      </c>
      <c r="C4379" t="n">
        <v>2</v>
      </c>
      <c r="D4379" s="218" t="n">
        <v>108.86</v>
      </c>
      <c r="E4379" s="218" t="n">
        <v>3.89</v>
      </c>
      <c r="F4379" t="str">
        <v>https://re.jrc.ec.europa.eu/api/v5_3/PVcalc?lat=30.0444&amp;lon=31.2357&amp;peakpower=1&amp;loss=14&amp;angle=70&amp;aspect=-45&amp;outputformat=json&amp;raddatabase=PVGIS-SARAH3&amp;pvtechchoice=crystSi&amp;mountingplace=free&amp;usehorizon=1</v>
      </c>
    </row>
    <row r="4380">
      <c r="A4380" t="n">
        <v>70</v>
      </c>
      <c r="B4380" t="n">
        <v>135</v>
      </c>
      <c r="C4380" t="n">
        <v>3</v>
      </c>
      <c r="D4380" s="218" t="n">
        <v>122.73</v>
      </c>
      <c r="E4380" s="218" t="n">
        <v>3.96</v>
      </c>
      <c r="F4380" t="str">
        <v>https://re.jrc.ec.europa.eu/api/v5_3/PVcalc?lat=30.0444&amp;lon=31.2357&amp;peakpower=1&amp;loss=14&amp;angle=70&amp;aspect=-45&amp;outputformat=json&amp;raddatabase=PVGIS-SARAH3&amp;pvtechchoice=crystSi&amp;mountingplace=free&amp;usehorizon=1</v>
      </c>
    </row>
    <row r="4381">
      <c r="A4381" t="n">
        <v>70</v>
      </c>
      <c r="B4381" t="n">
        <v>135</v>
      </c>
      <c r="C4381" t="n">
        <v>4</v>
      </c>
      <c r="D4381" s="218" t="n">
        <v>113.19</v>
      </c>
      <c r="E4381" s="218" t="n">
        <v>3.77</v>
      </c>
      <c r="F4381" t="str">
        <v>https://re.jrc.ec.europa.eu/api/v5_3/PVcalc?lat=30.0444&amp;lon=31.2357&amp;peakpower=1&amp;loss=14&amp;angle=70&amp;aspect=-45&amp;outputformat=json&amp;raddatabase=PVGIS-SARAH3&amp;pvtechchoice=crystSi&amp;mountingplace=free&amp;usehorizon=1</v>
      </c>
    </row>
    <row r="4382">
      <c r="A4382" t="n">
        <v>70</v>
      </c>
      <c r="B4382" t="n">
        <v>135</v>
      </c>
      <c r="C4382" t="n">
        <v>5</v>
      </c>
      <c r="D4382" s="218" t="n">
        <v>108.59</v>
      </c>
      <c r="E4382" s="218" t="n">
        <v>3.5</v>
      </c>
      <c r="F4382" t="str">
        <v>https://re.jrc.ec.europa.eu/api/v5_3/PVcalc?lat=30.0444&amp;lon=31.2357&amp;peakpower=1&amp;loss=14&amp;angle=70&amp;aspect=-45&amp;outputformat=json&amp;raddatabase=PVGIS-SARAH3&amp;pvtechchoice=crystSi&amp;mountingplace=free&amp;usehorizon=1</v>
      </c>
    </row>
    <row r="4383">
      <c r="A4383" t="n">
        <v>70</v>
      </c>
      <c r="B4383" t="n">
        <v>135</v>
      </c>
      <c r="C4383" t="n">
        <v>6</v>
      </c>
      <c r="D4383" s="218" t="n">
        <v>100.2</v>
      </c>
      <c r="E4383" s="218" t="n">
        <v>3.34</v>
      </c>
      <c r="F4383" t="str">
        <v>https://re.jrc.ec.europa.eu/api/v5_3/PVcalc?lat=30.0444&amp;lon=31.2357&amp;peakpower=1&amp;loss=14&amp;angle=70&amp;aspect=-45&amp;outputformat=json&amp;raddatabase=PVGIS-SARAH3&amp;pvtechchoice=crystSi&amp;mountingplace=free&amp;usehorizon=1</v>
      </c>
    </row>
    <row r="4384">
      <c r="A4384" t="n">
        <v>70</v>
      </c>
      <c r="B4384" t="n">
        <v>135</v>
      </c>
      <c r="C4384" t="n">
        <v>7</v>
      </c>
      <c r="D4384" s="218" t="n">
        <v>104.44</v>
      </c>
      <c r="E4384" s="218" t="n">
        <v>3.37</v>
      </c>
      <c r="F4384" t="str">
        <v>https://re.jrc.ec.europa.eu/api/v5_3/PVcalc?lat=30.0444&amp;lon=31.2357&amp;peakpower=1&amp;loss=14&amp;angle=70&amp;aspect=-45&amp;outputformat=json&amp;raddatabase=PVGIS-SARAH3&amp;pvtechchoice=crystSi&amp;mountingplace=free&amp;usehorizon=1</v>
      </c>
    </row>
    <row r="4385">
      <c r="A4385" t="n">
        <v>70</v>
      </c>
      <c r="B4385" t="n">
        <v>135</v>
      </c>
      <c r="C4385" t="n">
        <v>8</v>
      </c>
      <c r="D4385" s="218" t="n">
        <v>112.53</v>
      </c>
      <c r="E4385" s="218" t="n">
        <v>3.63</v>
      </c>
      <c r="F4385" t="str">
        <v>https://re.jrc.ec.europa.eu/api/v5_3/PVcalc?lat=30.0444&amp;lon=31.2357&amp;peakpower=1&amp;loss=14&amp;angle=70&amp;aspect=-45&amp;outputformat=json&amp;raddatabase=PVGIS-SARAH3&amp;pvtechchoice=crystSi&amp;mountingplace=free&amp;usehorizon=1</v>
      </c>
    </row>
    <row r="4386">
      <c r="A4386" t="n">
        <v>70</v>
      </c>
      <c r="B4386" t="n">
        <v>135</v>
      </c>
      <c r="C4386" t="n">
        <v>9</v>
      </c>
      <c r="D4386" s="218" t="n">
        <v>116.07</v>
      </c>
      <c r="E4386" s="218" t="n">
        <v>3.87</v>
      </c>
      <c r="F4386" t="str">
        <v>https://re.jrc.ec.europa.eu/api/v5_3/PVcalc?lat=30.0444&amp;lon=31.2357&amp;peakpower=1&amp;loss=14&amp;angle=70&amp;aspect=-45&amp;outputformat=json&amp;raddatabase=PVGIS-SARAH3&amp;pvtechchoice=crystSi&amp;mountingplace=free&amp;usehorizon=1</v>
      </c>
    </row>
    <row r="4387">
      <c r="A4387" t="n">
        <v>70</v>
      </c>
      <c r="B4387" t="n">
        <v>135</v>
      </c>
      <c r="C4387" t="n">
        <v>10</v>
      </c>
      <c r="D4387" s="218" t="n">
        <v>122.45</v>
      </c>
      <c r="E4387" s="218" t="n">
        <v>3.95</v>
      </c>
      <c r="F4387" t="str">
        <v>https://re.jrc.ec.europa.eu/api/v5_3/PVcalc?lat=30.0444&amp;lon=31.2357&amp;peakpower=1&amp;loss=14&amp;angle=70&amp;aspect=-45&amp;outputformat=json&amp;raddatabase=PVGIS-SARAH3&amp;pvtechchoice=crystSi&amp;mountingplace=free&amp;usehorizon=1</v>
      </c>
    </row>
    <row r="4388">
      <c r="A4388" t="n">
        <v>70</v>
      </c>
      <c r="B4388" t="n">
        <v>135</v>
      </c>
      <c r="C4388" t="n">
        <v>11</v>
      </c>
      <c r="D4388" s="218" t="n">
        <v>117.16</v>
      </c>
      <c r="E4388" s="218" t="n">
        <v>3.91</v>
      </c>
      <c r="F4388" t="str">
        <v>https://re.jrc.ec.europa.eu/api/v5_3/PVcalc?lat=30.0444&amp;lon=31.2357&amp;peakpower=1&amp;loss=14&amp;angle=70&amp;aspect=-45&amp;outputformat=json&amp;raddatabase=PVGIS-SARAH3&amp;pvtechchoice=crystSi&amp;mountingplace=free&amp;usehorizon=1</v>
      </c>
    </row>
    <row r="4389">
      <c r="A4389" t="n">
        <v>70</v>
      </c>
      <c r="B4389" t="n">
        <v>135</v>
      </c>
      <c r="C4389" t="n">
        <v>12</v>
      </c>
      <c r="D4389" s="218" t="n">
        <v>115.93</v>
      </c>
      <c r="E4389" s="218" t="n">
        <v>3.74</v>
      </c>
      <c r="F4389" t="str">
        <v>https://re.jrc.ec.europa.eu/api/v5_3/PVcalc?lat=30.0444&amp;lon=31.2357&amp;peakpower=1&amp;loss=14&amp;angle=70&amp;aspect=-45&amp;outputformat=json&amp;raddatabase=PVGIS-SARAH3&amp;pvtechchoice=crystSi&amp;mountingplace=free&amp;usehorizon=1</v>
      </c>
    </row>
    <row r="4390">
      <c r="A4390" t="n">
        <v>70</v>
      </c>
      <c r="B4390" t="n">
        <v>150</v>
      </c>
      <c r="C4390" t="n">
        <v>1</v>
      </c>
      <c r="D4390" s="218" t="n">
        <v>127.45</v>
      </c>
      <c r="E4390" s="218" t="n">
        <v>4.11</v>
      </c>
      <c r="F4390" t="str">
        <v>https://re.jrc.ec.europa.eu/api/v5_3/PVcalc?lat=30.0444&amp;lon=31.2357&amp;peakpower=1&amp;loss=14&amp;angle=70&amp;aspect=-30&amp;outputformat=json&amp;raddatabase=PVGIS-SARAH3&amp;pvtechchoice=crystSi&amp;mountingplace=free&amp;usehorizon=1</v>
      </c>
    </row>
    <row r="4391">
      <c r="A4391" t="n">
        <v>70</v>
      </c>
      <c r="B4391" t="n">
        <v>150</v>
      </c>
      <c r="C4391" t="n">
        <v>2</v>
      </c>
      <c r="D4391" s="218" t="n">
        <v>117.64</v>
      </c>
      <c r="E4391" s="218" t="n">
        <v>4.2</v>
      </c>
      <c r="F4391" t="str">
        <v>https://re.jrc.ec.europa.eu/api/v5_3/PVcalc?lat=30.0444&amp;lon=31.2357&amp;peakpower=1&amp;loss=14&amp;angle=70&amp;aspect=-30&amp;outputformat=json&amp;raddatabase=PVGIS-SARAH3&amp;pvtechchoice=crystSi&amp;mountingplace=free&amp;usehorizon=1</v>
      </c>
    </row>
    <row r="4392">
      <c r="A4392" t="n">
        <v>70</v>
      </c>
      <c r="B4392" t="n">
        <v>150</v>
      </c>
      <c r="C4392" t="n">
        <v>3</v>
      </c>
      <c r="D4392" s="218" t="n">
        <v>128.8</v>
      </c>
      <c r="E4392" s="218" t="n">
        <v>4.15</v>
      </c>
      <c r="F4392" t="str">
        <v>https://re.jrc.ec.europa.eu/api/v5_3/PVcalc?lat=30.0444&amp;lon=31.2357&amp;peakpower=1&amp;loss=14&amp;angle=70&amp;aspect=-30&amp;outputformat=json&amp;raddatabase=PVGIS-SARAH3&amp;pvtechchoice=crystSi&amp;mountingplace=free&amp;usehorizon=1</v>
      </c>
    </row>
    <row r="4393">
      <c r="A4393" t="n">
        <v>70</v>
      </c>
      <c r="B4393" t="n">
        <v>150</v>
      </c>
      <c r="C4393" t="n">
        <v>4</v>
      </c>
      <c r="D4393" s="218" t="n">
        <v>113.38</v>
      </c>
      <c r="E4393" s="218" t="n">
        <v>3.78</v>
      </c>
      <c r="F4393" t="str">
        <v>https://re.jrc.ec.europa.eu/api/v5_3/PVcalc?lat=30.0444&amp;lon=31.2357&amp;peakpower=1&amp;loss=14&amp;angle=70&amp;aspect=-30&amp;outputformat=json&amp;raddatabase=PVGIS-SARAH3&amp;pvtechchoice=crystSi&amp;mountingplace=free&amp;usehorizon=1</v>
      </c>
    </row>
    <row r="4394">
      <c r="A4394" t="n">
        <v>70</v>
      </c>
      <c r="B4394" t="n">
        <v>150</v>
      </c>
      <c r="C4394" t="n">
        <v>5</v>
      </c>
      <c r="D4394" s="218" t="n">
        <v>103.11</v>
      </c>
      <c r="E4394" s="218" t="n">
        <v>3.33</v>
      </c>
      <c r="F4394" t="str">
        <v>https://re.jrc.ec.europa.eu/api/v5_3/PVcalc?lat=30.0444&amp;lon=31.2357&amp;peakpower=1&amp;loss=14&amp;angle=70&amp;aspect=-30&amp;outputformat=json&amp;raddatabase=PVGIS-SARAH3&amp;pvtechchoice=crystSi&amp;mountingplace=free&amp;usehorizon=1</v>
      </c>
    </row>
    <row r="4395">
      <c r="A4395" t="n">
        <v>70</v>
      </c>
      <c r="B4395" t="n">
        <v>150</v>
      </c>
      <c r="C4395" t="n">
        <v>6</v>
      </c>
      <c r="D4395" s="218" t="n">
        <v>92.09</v>
      </c>
      <c r="E4395" s="218" t="n">
        <v>3.07</v>
      </c>
      <c r="F4395" t="str">
        <v>https://re.jrc.ec.europa.eu/api/v5_3/PVcalc?lat=30.0444&amp;lon=31.2357&amp;peakpower=1&amp;loss=14&amp;angle=70&amp;aspect=-30&amp;outputformat=json&amp;raddatabase=PVGIS-SARAH3&amp;pvtechchoice=crystSi&amp;mountingplace=free&amp;usehorizon=1</v>
      </c>
    </row>
    <row r="4396">
      <c r="A4396" t="n">
        <v>70</v>
      </c>
      <c r="B4396" t="n">
        <v>150</v>
      </c>
      <c r="C4396" t="n">
        <v>7</v>
      </c>
      <c r="D4396" s="218" t="n">
        <v>97.59</v>
      </c>
      <c r="E4396" s="218" t="n">
        <v>3.15</v>
      </c>
      <c r="F4396" t="str">
        <v>https://re.jrc.ec.europa.eu/api/v5_3/PVcalc?lat=30.0444&amp;lon=31.2357&amp;peakpower=1&amp;loss=14&amp;angle=70&amp;aspect=-30&amp;outputformat=json&amp;raddatabase=PVGIS-SARAH3&amp;pvtechchoice=crystSi&amp;mountingplace=free&amp;usehorizon=1</v>
      </c>
    </row>
    <row r="4397">
      <c r="A4397" t="n">
        <v>70</v>
      </c>
      <c r="B4397" t="n">
        <v>150</v>
      </c>
      <c r="C4397" t="n">
        <v>8</v>
      </c>
      <c r="D4397" s="218" t="n">
        <v>110.29</v>
      </c>
      <c r="E4397" s="218" t="n">
        <v>3.56</v>
      </c>
      <c r="F4397" t="str">
        <v>https://re.jrc.ec.europa.eu/api/v5_3/PVcalc?lat=30.0444&amp;lon=31.2357&amp;peakpower=1&amp;loss=14&amp;angle=70&amp;aspect=-30&amp;outputformat=json&amp;raddatabase=PVGIS-SARAH3&amp;pvtechchoice=crystSi&amp;mountingplace=free&amp;usehorizon=1</v>
      </c>
    </row>
    <row r="4398">
      <c r="A4398" t="n">
        <v>70</v>
      </c>
      <c r="B4398" t="n">
        <v>150</v>
      </c>
      <c r="C4398" t="n">
        <v>9</v>
      </c>
      <c r="D4398" s="218" t="n">
        <v>120.58</v>
      </c>
      <c r="E4398" s="218" t="n">
        <v>4.02</v>
      </c>
      <c r="F4398" t="str">
        <v>https://re.jrc.ec.europa.eu/api/v5_3/PVcalc?lat=30.0444&amp;lon=31.2357&amp;peakpower=1&amp;loss=14&amp;angle=70&amp;aspect=-30&amp;outputformat=json&amp;raddatabase=PVGIS-SARAH3&amp;pvtechchoice=crystSi&amp;mountingplace=free&amp;usehorizon=1</v>
      </c>
    </row>
    <row r="4399">
      <c r="A4399" t="n">
        <v>70</v>
      </c>
      <c r="B4399" t="n">
        <v>150</v>
      </c>
      <c r="C4399" t="n">
        <v>10</v>
      </c>
      <c r="D4399" s="218" t="n">
        <v>132.34</v>
      </c>
      <c r="E4399" s="218" t="n">
        <v>4.27</v>
      </c>
      <c r="F4399" t="str">
        <v>https://re.jrc.ec.europa.eu/api/v5_3/PVcalc?lat=30.0444&amp;lon=31.2357&amp;peakpower=1&amp;loss=14&amp;angle=70&amp;aspect=-30&amp;outputformat=json&amp;raddatabase=PVGIS-SARAH3&amp;pvtechchoice=crystSi&amp;mountingplace=free&amp;usehorizon=1</v>
      </c>
    </row>
    <row r="4400">
      <c r="A4400" t="n">
        <v>70</v>
      </c>
      <c r="B4400" t="n">
        <v>150</v>
      </c>
      <c r="C4400" t="n">
        <v>11</v>
      </c>
      <c r="D4400" s="218" t="n">
        <v>130.44</v>
      </c>
      <c r="E4400" s="218" t="n">
        <v>4.35</v>
      </c>
      <c r="F4400" t="str">
        <v>https://re.jrc.ec.europa.eu/api/v5_3/PVcalc?lat=30.0444&amp;lon=31.2357&amp;peakpower=1&amp;loss=14&amp;angle=70&amp;aspect=-30&amp;outputformat=json&amp;raddatabase=PVGIS-SARAH3&amp;pvtechchoice=crystSi&amp;mountingplace=free&amp;usehorizon=1</v>
      </c>
    </row>
    <row r="4401">
      <c r="A4401" t="n">
        <v>70</v>
      </c>
      <c r="B4401" t="n">
        <v>150</v>
      </c>
      <c r="C4401" t="n">
        <v>12</v>
      </c>
      <c r="D4401" s="218" t="n">
        <v>130.33</v>
      </c>
      <c r="E4401" s="218" t="n">
        <v>4.2</v>
      </c>
      <c r="F4401" t="str">
        <v>https://re.jrc.ec.europa.eu/api/v5_3/PVcalc?lat=30.0444&amp;lon=31.2357&amp;peakpower=1&amp;loss=14&amp;angle=70&amp;aspect=-30&amp;outputformat=json&amp;raddatabase=PVGIS-SARAH3&amp;pvtechchoice=crystSi&amp;mountingplace=free&amp;usehorizon=1</v>
      </c>
    </row>
    <row r="4402">
      <c r="A4402" t="n">
        <v>70</v>
      </c>
      <c r="B4402" t="n">
        <v>165</v>
      </c>
      <c r="C4402" t="n">
        <v>1</v>
      </c>
      <c r="D4402" s="218" t="n">
        <v>136.93</v>
      </c>
      <c r="E4402" s="218" t="n">
        <v>4.42</v>
      </c>
      <c r="F4402" t="str">
        <v>https://re.jrc.ec.europa.eu/api/v5_3/PVcalc?lat=30.0444&amp;lon=31.2357&amp;peakpower=1&amp;loss=14&amp;angle=70&amp;aspect=-15&amp;outputformat=json&amp;raddatabase=PVGIS-SARAH3&amp;pvtechchoice=crystSi&amp;mountingplace=free&amp;usehorizon=1</v>
      </c>
    </row>
    <row r="4403">
      <c r="A4403" t="n">
        <v>70</v>
      </c>
      <c r="B4403" t="n">
        <v>165</v>
      </c>
      <c r="C4403" t="n">
        <v>2</v>
      </c>
      <c r="D4403" s="218" t="n">
        <v>124.11</v>
      </c>
      <c r="E4403" s="218" t="n">
        <v>4.43</v>
      </c>
      <c r="F4403" t="str">
        <v>https://re.jrc.ec.europa.eu/api/v5_3/PVcalc?lat=30.0444&amp;lon=31.2357&amp;peakpower=1&amp;loss=14&amp;angle=70&amp;aspect=-15&amp;outputformat=json&amp;raddatabase=PVGIS-SARAH3&amp;pvtechchoice=crystSi&amp;mountingplace=free&amp;usehorizon=1</v>
      </c>
    </row>
    <row r="4404">
      <c r="A4404" t="n">
        <v>70</v>
      </c>
      <c r="B4404" t="n">
        <v>165</v>
      </c>
      <c r="C4404" t="n">
        <v>3</v>
      </c>
      <c r="D4404" s="218" t="n">
        <v>133.75</v>
      </c>
      <c r="E4404" s="218" t="n">
        <v>4.31</v>
      </c>
      <c r="F4404" t="str">
        <v>https://re.jrc.ec.europa.eu/api/v5_3/PVcalc?lat=30.0444&amp;lon=31.2357&amp;peakpower=1&amp;loss=14&amp;angle=70&amp;aspect=-15&amp;outputformat=json&amp;raddatabase=PVGIS-SARAH3&amp;pvtechchoice=crystSi&amp;mountingplace=free&amp;usehorizon=1</v>
      </c>
    </row>
    <row r="4405">
      <c r="A4405" t="n">
        <v>70</v>
      </c>
      <c r="B4405" t="n">
        <v>165</v>
      </c>
      <c r="C4405" t="n">
        <v>4</v>
      </c>
      <c r="D4405" s="218" t="n">
        <v>113.01</v>
      </c>
      <c r="E4405" s="218" t="n">
        <v>3.77</v>
      </c>
      <c r="F4405" t="str">
        <v>https://re.jrc.ec.europa.eu/api/v5_3/PVcalc?lat=30.0444&amp;lon=31.2357&amp;peakpower=1&amp;loss=14&amp;angle=70&amp;aspect=-15&amp;outputformat=json&amp;raddatabase=PVGIS-SARAH3&amp;pvtechchoice=crystSi&amp;mountingplace=free&amp;usehorizon=1</v>
      </c>
    </row>
    <row r="4406">
      <c r="A4406" t="n">
        <v>70</v>
      </c>
      <c r="B4406" t="n">
        <v>165</v>
      </c>
      <c r="C4406" t="n">
        <v>5</v>
      </c>
      <c r="D4406" s="218" t="n">
        <v>97.13</v>
      </c>
      <c r="E4406" s="218" t="n">
        <v>3.13</v>
      </c>
      <c r="F4406" t="str">
        <v>https://re.jrc.ec.europa.eu/api/v5_3/PVcalc?lat=30.0444&amp;lon=31.2357&amp;peakpower=1&amp;loss=14&amp;angle=70&amp;aspect=-15&amp;outputformat=json&amp;raddatabase=PVGIS-SARAH3&amp;pvtechchoice=crystSi&amp;mountingplace=free&amp;usehorizon=1</v>
      </c>
    </row>
    <row r="4407">
      <c r="A4407" t="n">
        <v>70</v>
      </c>
      <c r="B4407" t="n">
        <v>165</v>
      </c>
      <c r="C4407" t="n">
        <v>6</v>
      </c>
      <c r="D4407" s="218" t="n">
        <v>83.51</v>
      </c>
      <c r="E4407" s="218" t="n">
        <v>2.78</v>
      </c>
      <c r="F4407" t="str">
        <v>https://re.jrc.ec.europa.eu/api/v5_3/PVcalc?lat=30.0444&amp;lon=31.2357&amp;peakpower=1&amp;loss=14&amp;angle=70&amp;aspect=-15&amp;outputformat=json&amp;raddatabase=PVGIS-SARAH3&amp;pvtechchoice=crystSi&amp;mountingplace=free&amp;usehorizon=1</v>
      </c>
    </row>
    <row r="4408">
      <c r="A4408" t="n">
        <v>70</v>
      </c>
      <c r="B4408" t="n">
        <v>165</v>
      </c>
      <c r="C4408" t="n">
        <v>7</v>
      </c>
      <c r="D4408" s="218" t="n">
        <v>90.55</v>
      </c>
      <c r="E4408" s="218" t="n">
        <v>2.92</v>
      </c>
      <c r="F4408" t="str">
        <v>https://re.jrc.ec.europa.eu/api/v5_3/PVcalc?lat=30.0444&amp;lon=31.2357&amp;peakpower=1&amp;loss=14&amp;angle=70&amp;aspect=-15&amp;outputformat=json&amp;raddatabase=PVGIS-SARAH3&amp;pvtechchoice=crystSi&amp;mountingplace=free&amp;usehorizon=1</v>
      </c>
    </row>
    <row r="4409">
      <c r="A4409" t="n">
        <v>70</v>
      </c>
      <c r="B4409" t="n">
        <v>165</v>
      </c>
      <c r="C4409" t="n">
        <v>8</v>
      </c>
      <c r="D4409" s="218" t="n">
        <v>107.64</v>
      </c>
      <c r="E4409" s="218" t="n">
        <v>3.47</v>
      </c>
      <c r="F4409" t="str">
        <v>https://re.jrc.ec.europa.eu/api/v5_3/PVcalc?lat=30.0444&amp;lon=31.2357&amp;peakpower=1&amp;loss=14&amp;angle=70&amp;aspect=-15&amp;outputformat=json&amp;raddatabase=PVGIS-SARAH3&amp;pvtechchoice=crystSi&amp;mountingplace=free&amp;usehorizon=1</v>
      </c>
    </row>
    <row r="4410">
      <c r="A4410" t="n">
        <v>70</v>
      </c>
      <c r="B4410" t="n">
        <v>165</v>
      </c>
      <c r="C4410" t="n">
        <v>9</v>
      </c>
      <c r="D4410" s="218" t="n">
        <v>124.45</v>
      </c>
      <c r="E4410" s="218" t="n">
        <v>4.15</v>
      </c>
      <c r="F4410" t="str">
        <v>https://re.jrc.ec.europa.eu/api/v5_3/PVcalc?lat=30.0444&amp;lon=31.2357&amp;peakpower=1&amp;loss=14&amp;angle=70&amp;aspect=-15&amp;outputformat=json&amp;raddatabase=PVGIS-SARAH3&amp;pvtechchoice=crystSi&amp;mountingplace=free&amp;usehorizon=1</v>
      </c>
    </row>
    <row r="4411">
      <c r="A4411" t="n">
        <v>70</v>
      </c>
      <c r="B4411" t="n">
        <v>165</v>
      </c>
      <c r="C4411" t="n">
        <v>10</v>
      </c>
      <c r="D4411" s="218" t="n">
        <v>140.61</v>
      </c>
      <c r="E4411" s="218" t="n">
        <v>4.54</v>
      </c>
      <c r="F4411" t="str">
        <v>https://re.jrc.ec.europa.eu/api/v5_3/PVcalc?lat=30.0444&amp;lon=31.2357&amp;peakpower=1&amp;loss=14&amp;angle=70&amp;aspect=-15&amp;outputformat=json&amp;raddatabase=PVGIS-SARAH3&amp;pvtechchoice=crystSi&amp;mountingplace=free&amp;usehorizon=1</v>
      </c>
    </row>
    <row r="4412">
      <c r="A4412" t="n">
        <v>70</v>
      </c>
      <c r="B4412" t="n">
        <v>165</v>
      </c>
      <c r="C4412" t="n">
        <v>11</v>
      </c>
      <c r="D4412" s="218" t="n">
        <v>140.3</v>
      </c>
      <c r="E4412" s="218" t="n">
        <v>4.68</v>
      </c>
      <c r="F4412" t="str">
        <v>https://re.jrc.ec.europa.eu/api/v5_3/PVcalc?lat=30.0444&amp;lon=31.2357&amp;peakpower=1&amp;loss=14&amp;angle=70&amp;aspect=-15&amp;outputformat=json&amp;raddatabase=PVGIS-SARAH3&amp;pvtechchoice=crystSi&amp;mountingplace=free&amp;usehorizon=1</v>
      </c>
    </row>
    <row r="4413">
      <c r="A4413" t="n">
        <v>70</v>
      </c>
      <c r="B4413" t="n">
        <v>165</v>
      </c>
      <c r="C4413" t="n">
        <v>12</v>
      </c>
      <c r="D4413" s="218" t="n">
        <v>140.25</v>
      </c>
      <c r="E4413" s="218" t="n">
        <v>4.52</v>
      </c>
      <c r="F4413" t="str">
        <v>https://re.jrc.ec.europa.eu/api/v5_3/PVcalc?lat=30.0444&amp;lon=31.2357&amp;peakpower=1&amp;loss=14&amp;angle=70&amp;aspect=-15&amp;outputformat=json&amp;raddatabase=PVGIS-SARAH3&amp;pvtechchoice=crystSi&amp;mountingplace=free&amp;usehorizon=1</v>
      </c>
    </row>
    <row r="4414">
      <c r="A4414" t="n">
        <v>70</v>
      </c>
      <c r="B4414" t="n">
        <v>180</v>
      </c>
      <c r="C4414" t="n">
        <v>1</v>
      </c>
      <c r="D4414" s="218" t="n">
        <v>139.82</v>
      </c>
      <c r="E4414" s="218" t="n">
        <v>4.51</v>
      </c>
      <c r="F4414" t="str">
        <v>https://re.jrc.ec.europa.eu/api/v5_3/PVcalc?lat=30.0444&amp;lon=31.2357&amp;peakpower=1&amp;loss=14&amp;angle=70&amp;aspect=0&amp;outputformat=json&amp;raddatabase=PVGIS-SARAH3&amp;pvtechchoice=crystSi&amp;mountingplace=free&amp;usehorizon=1</v>
      </c>
    </row>
    <row r="4415">
      <c r="A4415" t="n">
        <v>70</v>
      </c>
      <c r="B4415" t="n">
        <v>180</v>
      </c>
      <c r="C4415" t="n">
        <v>2</v>
      </c>
      <c r="D4415" s="218" t="n">
        <v>126.19</v>
      </c>
      <c r="E4415" s="218" t="n">
        <v>4.51</v>
      </c>
      <c r="F4415" t="str">
        <v>https://re.jrc.ec.europa.eu/api/v5_3/PVcalc?lat=30.0444&amp;lon=31.2357&amp;peakpower=1&amp;loss=14&amp;angle=70&amp;aspect=0&amp;outputformat=json&amp;raddatabase=PVGIS-SARAH3&amp;pvtechchoice=crystSi&amp;mountingplace=free&amp;usehorizon=1</v>
      </c>
    </row>
    <row r="4416">
      <c r="A4416" t="n">
        <v>70</v>
      </c>
      <c r="B4416" t="n">
        <v>180</v>
      </c>
      <c r="C4416" t="n">
        <v>3</v>
      </c>
      <c r="D4416" s="218" t="n">
        <v>136.73</v>
      </c>
      <c r="E4416" s="218" t="n">
        <v>4.41</v>
      </c>
      <c r="F4416" t="str">
        <v>https://re.jrc.ec.europa.eu/api/v5_3/PVcalc?lat=30.0444&amp;lon=31.2357&amp;peakpower=1&amp;loss=14&amp;angle=70&amp;aspect=0&amp;outputformat=json&amp;raddatabase=PVGIS-SARAH3&amp;pvtechchoice=crystSi&amp;mountingplace=free&amp;usehorizon=1</v>
      </c>
    </row>
    <row r="4417">
      <c r="A4417" t="n">
        <v>70</v>
      </c>
      <c r="B4417" t="n">
        <v>180</v>
      </c>
      <c r="C4417" t="n">
        <v>4</v>
      </c>
      <c r="D4417" s="218" t="n">
        <v>113.22</v>
      </c>
      <c r="E4417" s="218" t="n">
        <v>3.77</v>
      </c>
      <c r="F4417" t="str">
        <v>https://re.jrc.ec.europa.eu/api/v5_3/PVcalc?lat=30.0444&amp;lon=31.2357&amp;peakpower=1&amp;loss=14&amp;angle=70&amp;aspect=0&amp;outputformat=json&amp;raddatabase=PVGIS-SARAH3&amp;pvtechchoice=crystSi&amp;mountingplace=free&amp;usehorizon=1</v>
      </c>
    </row>
    <row r="4418">
      <c r="A4418" t="n">
        <v>70</v>
      </c>
      <c r="B4418" t="n">
        <v>180</v>
      </c>
      <c r="C4418" t="n">
        <v>5</v>
      </c>
      <c r="D4418" s="218" t="n">
        <v>94.16</v>
      </c>
      <c r="E4418" s="218" t="n">
        <v>3.04</v>
      </c>
      <c r="F4418" t="str">
        <v>https://re.jrc.ec.europa.eu/api/v5_3/PVcalc?lat=30.0444&amp;lon=31.2357&amp;peakpower=1&amp;loss=14&amp;angle=70&amp;aspect=0&amp;outputformat=json&amp;raddatabase=PVGIS-SARAH3&amp;pvtechchoice=crystSi&amp;mountingplace=free&amp;usehorizon=1</v>
      </c>
    </row>
    <row r="4419">
      <c r="A4419" t="n">
        <v>70</v>
      </c>
      <c r="B4419" t="n">
        <v>180</v>
      </c>
      <c r="C4419" t="n">
        <v>6</v>
      </c>
      <c r="D4419" s="218" t="n">
        <v>79.35</v>
      </c>
      <c r="E4419" s="218" t="n">
        <v>2.65</v>
      </c>
      <c r="F4419" t="str">
        <v>https://re.jrc.ec.europa.eu/api/v5_3/PVcalc?lat=30.0444&amp;lon=31.2357&amp;peakpower=1&amp;loss=14&amp;angle=70&amp;aspect=0&amp;outputformat=json&amp;raddatabase=PVGIS-SARAH3&amp;pvtechchoice=crystSi&amp;mountingplace=free&amp;usehorizon=1</v>
      </c>
    </row>
    <row r="4420">
      <c r="A4420" t="n">
        <v>70</v>
      </c>
      <c r="B4420" t="n">
        <v>180</v>
      </c>
      <c r="C4420" t="n">
        <v>7</v>
      </c>
      <c r="D4420" s="218" t="n">
        <v>86.98</v>
      </c>
      <c r="E4420" s="218" t="n">
        <v>2.81</v>
      </c>
      <c r="F4420" t="str">
        <v>https://re.jrc.ec.europa.eu/api/v5_3/PVcalc?lat=30.0444&amp;lon=31.2357&amp;peakpower=1&amp;loss=14&amp;angle=70&amp;aspect=0&amp;outputformat=json&amp;raddatabase=PVGIS-SARAH3&amp;pvtechchoice=crystSi&amp;mountingplace=free&amp;usehorizon=1</v>
      </c>
    </row>
    <row r="4421">
      <c r="A4421" t="n">
        <v>70</v>
      </c>
      <c r="B4421" t="n">
        <v>180</v>
      </c>
      <c r="C4421" t="n">
        <v>8</v>
      </c>
      <c r="D4421" s="218" t="n">
        <v>106.87</v>
      </c>
      <c r="E4421" s="218" t="n">
        <v>3.45</v>
      </c>
      <c r="F4421" t="str">
        <v>https://re.jrc.ec.europa.eu/api/v5_3/PVcalc?lat=30.0444&amp;lon=31.2357&amp;peakpower=1&amp;loss=14&amp;angle=70&amp;aspect=0&amp;outputformat=json&amp;raddatabase=PVGIS-SARAH3&amp;pvtechchoice=crystSi&amp;mountingplace=free&amp;usehorizon=1</v>
      </c>
    </row>
    <row r="4422">
      <c r="A4422" t="n">
        <v>70</v>
      </c>
      <c r="B4422" t="n">
        <v>180</v>
      </c>
      <c r="C4422" t="n">
        <v>9</v>
      </c>
      <c r="D4422" s="218" t="n">
        <v>127.5</v>
      </c>
      <c r="E4422" s="218" t="n">
        <v>4.25</v>
      </c>
      <c r="F4422" t="str">
        <v>https://re.jrc.ec.europa.eu/api/v5_3/PVcalc?lat=30.0444&amp;lon=31.2357&amp;peakpower=1&amp;loss=14&amp;angle=70&amp;aspect=0&amp;outputformat=json&amp;raddatabase=PVGIS-SARAH3&amp;pvtechchoice=crystSi&amp;mountingplace=free&amp;usehorizon=1</v>
      </c>
    </row>
    <row r="4423">
      <c r="A4423" t="n">
        <v>70</v>
      </c>
      <c r="B4423" t="n">
        <v>180</v>
      </c>
      <c r="C4423" t="n">
        <v>10</v>
      </c>
      <c r="D4423" s="218" t="n">
        <v>144.57</v>
      </c>
      <c r="E4423" s="218" t="n">
        <v>4.66</v>
      </c>
      <c r="F4423" t="str">
        <v>https://re.jrc.ec.europa.eu/api/v5_3/PVcalc?lat=30.0444&amp;lon=31.2357&amp;peakpower=1&amp;loss=14&amp;angle=70&amp;aspect=0&amp;outputformat=json&amp;raddatabase=PVGIS-SARAH3&amp;pvtechchoice=crystSi&amp;mountingplace=free&amp;usehorizon=1</v>
      </c>
    </row>
    <row r="4424">
      <c r="A4424" t="n">
        <v>70</v>
      </c>
      <c r="B4424" t="n">
        <v>180</v>
      </c>
      <c r="C4424" t="n">
        <v>11</v>
      </c>
      <c r="D4424" s="218" t="n">
        <v>143.7</v>
      </c>
      <c r="E4424" s="218" t="n">
        <v>4.79</v>
      </c>
      <c r="F4424" t="str">
        <v>https://re.jrc.ec.europa.eu/api/v5_3/PVcalc?lat=30.0444&amp;lon=31.2357&amp;peakpower=1&amp;loss=14&amp;angle=70&amp;aspect=0&amp;outputformat=json&amp;raddatabase=PVGIS-SARAH3&amp;pvtechchoice=crystSi&amp;mountingplace=free&amp;usehorizon=1</v>
      </c>
    </row>
    <row r="4425">
      <c r="A4425" t="n">
        <v>70</v>
      </c>
      <c r="B4425" t="n">
        <v>180</v>
      </c>
      <c r="C4425" t="n">
        <v>12</v>
      </c>
      <c r="D4425" s="218" t="n">
        <v>143.26</v>
      </c>
      <c r="E4425" s="218" t="n">
        <v>4.62</v>
      </c>
      <c r="F4425" t="str">
        <v>https://re.jrc.ec.europa.eu/api/v5_3/PVcalc?lat=30.0444&amp;lon=31.2357&amp;peakpower=1&amp;loss=14&amp;angle=70&amp;aspect=0&amp;outputformat=json&amp;raddatabase=PVGIS-SARAH3&amp;pvtechchoice=crystSi&amp;mountingplace=free&amp;usehorizon=1</v>
      </c>
    </row>
    <row r="4426">
      <c r="A4426" t="n">
        <v>70</v>
      </c>
      <c r="B4426" t="n">
        <v>195</v>
      </c>
      <c r="C4426" t="n">
        <v>1</v>
      </c>
      <c r="D4426" s="218" t="n">
        <v>135.73</v>
      </c>
      <c r="E4426" s="218" t="n">
        <v>4.38</v>
      </c>
      <c r="F4426" t="str">
        <v>https://re.jrc.ec.europa.eu/api/v5_3/PVcalc?lat=30.0444&amp;lon=31.2357&amp;peakpower=1&amp;loss=14&amp;angle=70&amp;aspect=15&amp;outputformat=json&amp;raddatabase=PVGIS-SARAH3&amp;pvtechchoice=crystSi&amp;mountingplace=free&amp;usehorizon=1</v>
      </c>
    </row>
    <row r="4427">
      <c r="A4427" t="n">
        <v>70</v>
      </c>
      <c r="B4427" t="n">
        <v>195</v>
      </c>
      <c r="C4427" t="n">
        <v>2</v>
      </c>
      <c r="D4427" s="218" t="n">
        <v>122.49</v>
      </c>
      <c r="E4427" s="218" t="n">
        <v>4.37</v>
      </c>
      <c r="F4427" t="str">
        <v>https://re.jrc.ec.europa.eu/api/v5_3/PVcalc?lat=30.0444&amp;lon=31.2357&amp;peakpower=1&amp;loss=14&amp;angle=70&amp;aspect=15&amp;outputformat=json&amp;raddatabase=PVGIS-SARAH3&amp;pvtechchoice=crystSi&amp;mountingplace=free&amp;usehorizon=1</v>
      </c>
    </row>
    <row r="4428">
      <c r="A4428" t="n">
        <v>70</v>
      </c>
      <c r="B4428" t="n">
        <v>195</v>
      </c>
      <c r="C4428" t="n">
        <v>3</v>
      </c>
      <c r="D4428" s="218" t="n">
        <v>135.61</v>
      </c>
      <c r="E4428" s="218" t="n">
        <v>4.37</v>
      </c>
      <c r="F4428" t="str">
        <v>https://re.jrc.ec.europa.eu/api/v5_3/PVcalc?lat=30.0444&amp;lon=31.2357&amp;peakpower=1&amp;loss=14&amp;angle=70&amp;aspect=15&amp;outputformat=json&amp;raddatabase=PVGIS-SARAH3&amp;pvtechchoice=crystSi&amp;mountingplace=free&amp;usehorizon=1</v>
      </c>
    </row>
    <row r="4429">
      <c r="A4429" t="n">
        <v>70</v>
      </c>
      <c r="B4429" t="n">
        <v>195</v>
      </c>
      <c r="C4429" t="n">
        <v>4</v>
      </c>
      <c r="D4429" s="218" t="n">
        <v>114.96</v>
      </c>
      <c r="E4429" s="218" t="n">
        <v>3.83</v>
      </c>
      <c r="F4429" t="str">
        <v>https://re.jrc.ec.europa.eu/api/v5_3/PVcalc?lat=30.0444&amp;lon=31.2357&amp;peakpower=1&amp;loss=14&amp;angle=70&amp;aspect=15&amp;outputformat=json&amp;raddatabase=PVGIS-SARAH3&amp;pvtechchoice=crystSi&amp;mountingplace=free&amp;usehorizon=1</v>
      </c>
    </row>
    <row r="4430">
      <c r="A4430" t="n">
        <v>70</v>
      </c>
      <c r="B4430" t="n">
        <v>195</v>
      </c>
      <c r="C4430" t="n">
        <v>5</v>
      </c>
      <c r="D4430" s="218" t="n">
        <v>97.43</v>
      </c>
      <c r="E4430" s="218" t="n">
        <v>3.14</v>
      </c>
      <c r="F4430" t="str">
        <v>https://re.jrc.ec.europa.eu/api/v5_3/PVcalc?lat=30.0444&amp;lon=31.2357&amp;peakpower=1&amp;loss=14&amp;angle=70&amp;aspect=15&amp;outputformat=json&amp;raddatabase=PVGIS-SARAH3&amp;pvtechchoice=crystSi&amp;mountingplace=free&amp;usehorizon=1</v>
      </c>
    </row>
    <row r="4431">
      <c r="A4431" t="n">
        <v>70</v>
      </c>
      <c r="B4431" t="n">
        <v>195</v>
      </c>
      <c r="C4431" t="n">
        <v>6</v>
      </c>
      <c r="D4431" s="218" t="n">
        <v>83.83</v>
      </c>
      <c r="E4431" s="218" t="n">
        <v>2.79</v>
      </c>
      <c r="F4431" t="str">
        <v>https://re.jrc.ec.europa.eu/api/v5_3/PVcalc?lat=30.0444&amp;lon=31.2357&amp;peakpower=1&amp;loss=14&amp;angle=70&amp;aspect=15&amp;outputformat=json&amp;raddatabase=PVGIS-SARAH3&amp;pvtechchoice=crystSi&amp;mountingplace=free&amp;usehorizon=1</v>
      </c>
    </row>
    <row r="4432">
      <c r="A4432" t="n">
        <v>70</v>
      </c>
      <c r="B4432" t="n">
        <v>195</v>
      </c>
      <c r="C4432" t="n">
        <v>7</v>
      </c>
      <c r="D4432" s="218" t="n">
        <v>91.44</v>
      </c>
      <c r="E4432" s="218" t="n">
        <v>2.95</v>
      </c>
      <c r="F4432" t="str">
        <v>https://re.jrc.ec.europa.eu/api/v5_3/PVcalc?lat=30.0444&amp;lon=31.2357&amp;peakpower=1&amp;loss=14&amp;angle=70&amp;aspect=15&amp;outputformat=json&amp;raddatabase=PVGIS-SARAH3&amp;pvtechchoice=crystSi&amp;mountingplace=free&amp;usehorizon=1</v>
      </c>
    </row>
    <row r="4433">
      <c r="A4433" t="n">
        <v>70</v>
      </c>
      <c r="B4433" t="n">
        <v>195</v>
      </c>
      <c r="C4433" t="n">
        <v>8</v>
      </c>
      <c r="D4433" s="218" t="n">
        <v>110.31</v>
      </c>
      <c r="E4433" s="218" t="n">
        <v>3.56</v>
      </c>
      <c r="F4433" t="str">
        <v>https://re.jrc.ec.europa.eu/api/v5_3/PVcalc?lat=30.0444&amp;lon=31.2357&amp;peakpower=1&amp;loss=14&amp;angle=70&amp;aspect=15&amp;outputformat=json&amp;raddatabase=PVGIS-SARAH3&amp;pvtechchoice=crystSi&amp;mountingplace=free&amp;usehorizon=1</v>
      </c>
    </row>
    <row r="4434">
      <c r="A4434" t="n">
        <v>70</v>
      </c>
      <c r="B4434" t="n">
        <v>195</v>
      </c>
      <c r="C4434" t="n">
        <v>9</v>
      </c>
      <c r="D4434" s="218" t="n">
        <v>128.34</v>
      </c>
      <c r="E4434" s="218" t="n">
        <v>4.28</v>
      </c>
      <c r="F4434" t="str">
        <v>https://re.jrc.ec.europa.eu/api/v5_3/PVcalc?lat=30.0444&amp;lon=31.2357&amp;peakpower=1&amp;loss=14&amp;angle=70&amp;aspect=15&amp;outputformat=json&amp;raddatabase=PVGIS-SARAH3&amp;pvtechchoice=crystSi&amp;mountingplace=free&amp;usehorizon=1</v>
      </c>
    </row>
    <row r="4435">
      <c r="A4435" t="n">
        <v>70</v>
      </c>
      <c r="B4435" t="n">
        <v>195</v>
      </c>
      <c r="C4435" t="n">
        <v>10</v>
      </c>
      <c r="D4435" s="218" t="n">
        <v>141.88</v>
      </c>
      <c r="E4435" s="218" t="n">
        <v>4.58</v>
      </c>
      <c r="F4435" t="str">
        <v>https://re.jrc.ec.europa.eu/api/v5_3/PVcalc?lat=30.0444&amp;lon=31.2357&amp;peakpower=1&amp;loss=14&amp;angle=70&amp;aspect=15&amp;outputformat=json&amp;raddatabase=PVGIS-SARAH3&amp;pvtechchoice=crystSi&amp;mountingplace=free&amp;usehorizon=1</v>
      </c>
    </row>
    <row r="4436">
      <c r="A4436" t="n">
        <v>70</v>
      </c>
      <c r="B4436" t="n">
        <v>195</v>
      </c>
      <c r="C4436" t="n">
        <v>11</v>
      </c>
      <c r="D4436" s="218" t="n">
        <v>139.78</v>
      </c>
      <c r="E4436" s="218" t="n">
        <v>4.66</v>
      </c>
      <c r="F4436" t="str">
        <v>https://re.jrc.ec.europa.eu/api/v5_3/PVcalc?lat=30.0444&amp;lon=31.2357&amp;peakpower=1&amp;loss=14&amp;angle=70&amp;aspect=15&amp;outputformat=json&amp;raddatabase=PVGIS-SARAH3&amp;pvtechchoice=crystSi&amp;mountingplace=free&amp;usehorizon=1</v>
      </c>
    </row>
    <row r="4437">
      <c r="A4437" t="n">
        <v>70</v>
      </c>
      <c r="B4437" t="n">
        <v>195</v>
      </c>
      <c r="C4437" t="n">
        <v>12</v>
      </c>
      <c r="D4437" s="218" t="n">
        <v>138.98</v>
      </c>
      <c r="E4437" s="218" t="n">
        <v>4.48</v>
      </c>
      <c r="F4437" t="str">
        <v>https://re.jrc.ec.europa.eu/api/v5_3/PVcalc?lat=30.0444&amp;lon=31.2357&amp;peakpower=1&amp;loss=14&amp;angle=70&amp;aspect=15&amp;outputformat=json&amp;raddatabase=PVGIS-SARAH3&amp;pvtechchoice=crystSi&amp;mountingplace=free&amp;usehorizon=1</v>
      </c>
    </row>
    <row r="4438">
      <c r="A4438" t="n">
        <v>70</v>
      </c>
      <c r="B4438" t="n">
        <v>210</v>
      </c>
      <c r="C4438" t="n">
        <v>1</v>
      </c>
      <c r="D4438" s="218" t="n">
        <v>125.06</v>
      </c>
      <c r="E4438" s="218" t="n">
        <v>4.03</v>
      </c>
      <c r="F4438" t="str">
        <v>https://re.jrc.ec.europa.eu/api/v5_3/PVcalc?lat=30.0444&amp;lon=31.2357&amp;peakpower=1&amp;loss=14&amp;angle=70&amp;aspect=30&amp;outputformat=json&amp;raddatabase=PVGIS-SARAH3&amp;pvtechchoice=crystSi&amp;mountingplace=free&amp;usehorizon=1</v>
      </c>
    </row>
    <row r="4439">
      <c r="A4439" t="n">
        <v>70</v>
      </c>
      <c r="B4439" t="n">
        <v>210</v>
      </c>
      <c r="C4439" t="n">
        <v>2</v>
      </c>
      <c r="D4439" s="218" t="n">
        <v>114.32</v>
      </c>
      <c r="E4439" s="218" t="n">
        <v>4.08</v>
      </c>
      <c r="F4439" t="str">
        <v>https://re.jrc.ec.europa.eu/api/v5_3/PVcalc?lat=30.0444&amp;lon=31.2357&amp;peakpower=1&amp;loss=14&amp;angle=70&amp;aspect=30&amp;outputformat=json&amp;raddatabase=PVGIS-SARAH3&amp;pvtechchoice=crystSi&amp;mountingplace=free&amp;usehorizon=1</v>
      </c>
    </row>
    <row r="4440">
      <c r="A4440" t="n">
        <v>70</v>
      </c>
      <c r="B4440" t="n">
        <v>210</v>
      </c>
      <c r="C4440" t="n">
        <v>3</v>
      </c>
      <c r="D4440" s="218" t="n">
        <v>131.57</v>
      </c>
      <c r="E4440" s="218" t="n">
        <v>4.24</v>
      </c>
      <c r="F4440" t="str">
        <v>https://re.jrc.ec.europa.eu/api/v5_3/PVcalc?lat=30.0444&amp;lon=31.2357&amp;peakpower=1&amp;loss=14&amp;angle=70&amp;aspect=30&amp;outputformat=json&amp;raddatabase=PVGIS-SARAH3&amp;pvtechchoice=crystSi&amp;mountingplace=free&amp;usehorizon=1</v>
      </c>
    </row>
    <row r="4441">
      <c r="A4441" t="n">
        <v>70</v>
      </c>
      <c r="B4441" t="n">
        <v>210</v>
      </c>
      <c r="C4441" t="n">
        <v>4</v>
      </c>
      <c r="D4441" s="218" t="n">
        <v>116.73</v>
      </c>
      <c r="E4441" s="218" t="n">
        <v>3.89</v>
      </c>
      <c r="F4441" t="str">
        <v>https://re.jrc.ec.europa.eu/api/v5_3/PVcalc?lat=30.0444&amp;lon=31.2357&amp;peakpower=1&amp;loss=14&amp;angle=70&amp;aspect=30&amp;outputformat=json&amp;raddatabase=PVGIS-SARAH3&amp;pvtechchoice=crystSi&amp;mountingplace=free&amp;usehorizon=1</v>
      </c>
    </row>
    <row r="4442">
      <c r="A4442" t="n">
        <v>70</v>
      </c>
      <c r="B4442" t="n">
        <v>210</v>
      </c>
      <c r="C4442" t="n">
        <v>5</v>
      </c>
      <c r="D4442" s="218" t="n">
        <v>104.68</v>
      </c>
      <c r="E4442" s="218" t="n">
        <v>3.38</v>
      </c>
      <c r="F4442" t="str">
        <v>https://re.jrc.ec.europa.eu/api/v5_3/PVcalc?lat=30.0444&amp;lon=31.2357&amp;peakpower=1&amp;loss=14&amp;angle=70&amp;aspect=30&amp;outputformat=json&amp;raddatabase=PVGIS-SARAH3&amp;pvtechchoice=crystSi&amp;mountingplace=free&amp;usehorizon=1</v>
      </c>
    </row>
    <row r="4443">
      <c r="A4443" t="n">
        <v>70</v>
      </c>
      <c r="B4443" t="n">
        <v>210</v>
      </c>
      <c r="C4443" t="n">
        <v>6</v>
      </c>
      <c r="D4443" s="218" t="n">
        <v>94.53</v>
      </c>
      <c r="E4443" s="218" t="n">
        <v>3.15</v>
      </c>
      <c r="F4443" t="str">
        <v>https://re.jrc.ec.europa.eu/api/v5_3/PVcalc?lat=30.0444&amp;lon=31.2357&amp;peakpower=1&amp;loss=14&amp;angle=70&amp;aspect=30&amp;outputformat=json&amp;raddatabase=PVGIS-SARAH3&amp;pvtechchoice=crystSi&amp;mountingplace=free&amp;usehorizon=1</v>
      </c>
    </row>
    <row r="4444">
      <c r="A4444" t="n">
        <v>70</v>
      </c>
      <c r="B4444" t="n">
        <v>210</v>
      </c>
      <c r="C4444" t="n">
        <v>7</v>
      </c>
      <c r="D4444" s="218" t="n">
        <v>101.97</v>
      </c>
      <c r="E4444" s="218" t="n">
        <v>3.29</v>
      </c>
      <c r="F4444" t="str">
        <v>https://re.jrc.ec.europa.eu/api/v5_3/PVcalc?lat=30.0444&amp;lon=31.2357&amp;peakpower=1&amp;loss=14&amp;angle=70&amp;aspect=30&amp;outputformat=json&amp;raddatabase=PVGIS-SARAH3&amp;pvtechchoice=crystSi&amp;mountingplace=free&amp;usehorizon=1</v>
      </c>
    </row>
    <row r="4445">
      <c r="A4445" t="n">
        <v>70</v>
      </c>
      <c r="B4445" t="n">
        <v>210</v>
      </c>
      <c r="C4445" t="n">
        <v>8</v>
      </c>
      <c r="D4445" s="218" t="n">
        <v>116.1</v>
      </c>
      <c r="E4445" s="218" t="n">
        <v>3.75</v>
      </c>
      <c r="F4445" t="str">
        <v>https://re.jrc.ec.europa.eu/api/v5_3/PVcalc?lat=30.0444&amp;lon=31.2357&amp;peakpower=1&amp;loss=14&amp;angle=70&amp;aspect=30&amp;outputformat=json&amp;raddatabase=PVGIS-SARAH3&amp;pvtechchoice=crystSi&amp;mountingplace=free&amp;usehorizon=1</v>
      </c>
    </row>
    <row r="4446">
      <c r="A4446" t="n">
        <v>70</v>
      </c>
      <c r="B4446" t="n">
        <v>210</v>
      </c>
      <c r="C4446" t="n">
        <v>9</v>
      </c>
      <c r="D4446" s="218" t="n">
        <v>127.15</v>
      </c>
      <c r="E4446" s="218" t="n">
        <v>4.24</v>
      </c>
      <c r="F4446" t="str">
        <v>https://re.jrc.ec.europa.eu/api/v5_3/PVcalc?lat=30.0444&amp;lon=31.2357&amp;peakpower=1&amp;loss=14&amp;angle=70&amp;aspect=30&amp;outputformat=json&amp;raddatabase=PVGIS-SARAH3&amp;pvtechchoice=crystSi&amp;mountingplace=free&amp;usehorizon=1</v>
      </c>
    </row>
    <row r="4447">
      <c r="A4447" t="n">
        <v>70</v>
      </c>
      <c r="B4447" t="n">
        <v>210</v>
      </c>
      <c r="C4447" t="n">
        <v>10</v>
      </c>
      <c r="D4447" s="218" t="n">
        <v>134.24</v>
      </c>
      <c r="E4447" s="218" t="n">
        <v>4.33</v>
      </c>
      <c r="F4447" t="str">
        <v>https://re.jrc.ec.europa.eu/api/v5_3/PVcalc?lat=30.0444&amp;lon=31.2357&amp;peakpower=1&amp;loss=14&amp;angle=70&amp;aspect=30&amp;outputformat=json&amp;raddatabase=PVGIS-SARAH3&amp;pvtechchoice=crystSi&amp;mountingplace=free&amp;usehorizon=1</v>
      </c>
    </row>
    <row r="4448">
      <c r="A4448" t="n">
        <v>70</v>
      </c>
      <c r="B4448" t="n">
        <v>210</v>
      </c>
      <c r="C4448" t="n">
        <v>11</v>
      </c>
      <c r="D4448" s="218" t="n">
        <v>129.36</v>
      </c>
      <c r="E4448" s="218" t="n">
        <v>4.31</v>
      </c>
      <c r="F4448" t="str">
        <v>https://re.jrc.ec.europa.eu/api/v5_3/PVcalc?lat=30.0444&amp;lon=31.2357&amp;peakpower=1&amp;loss=14&amp;angle=70&amp;aspect=30&amp;outputformat=json&amp;raddatabase=PVGIS-SARAH3&amp;pvtechchoice=crystSi&amp;mountingplace=free&amp;usehorizon=1</v>
      </c>
    </row>
    <row r="4449">
      <c r="A4449" t="n">
        <v>70</v>
      </c>
      <c r="B4449" t="n">
        <v>210</v>
      </c>
      <c r="C4449" t="n">
        <v>12</v>
      </c>
      <c r="D4449" s="218" t="n">
        <v>127.84</v>
      </c>
      <c r="E4449" s="218" t="n">
        <v>4.12</v>
      </c>
      <c r="F4449" t="str">
        <v>https://re.jrc.ec.europa.eu/api/v5_3/PVcalc?lat=30.0444&amp;lon=31.2357&amp;peakpower=1&amp;loss=14&amp;angle=70&amp;aspect=30&amp;outputformat=json&amp;raddatabase=PVGIS-SARAH3&amp;pvtechchoice=crystSi&amp;mountingplace=free&amp;usehorizon=1</v>
      </c>
    </row>
    <row r="4450">
      <c r="A4450" t="n">
        <v>70</v>
      </c>
      <c r="B4450" t="n">
        <v>225</v>
      </c>
      <c r="C4450" t="n">
        <v>1</v>
      </c>
      <c r="D4450" s="218" t="n">
        <v>110.25</v>
      </c>
      <c r="E4450" s="218" t="n">
        <v>3.56</v>
      </c>
      <c r="F4450" t="str">
        <v>https://re.jrc.ec.europa.eu/api/v5_3/PVcalc?lat=30.0444&amp;lon=31.2357&amp;peakpower=1&amp;loss=14&amp;angle=70&amp;aspect=45&amp;outputformat=json&amp;raddatabase=PVGIS-SARAH3&amp;pvtechchoice=crystSi&amp;mountingplace=free&amp;usehorizon=1</v>
      </c>
    </row>
    <row r="4451">
      <c r="A4451" t="n">
        <v>70</v>
      </c>
      <c r="B4451" t="n">
        <v>225</v>
      </c>
      <c r="C4451" t="n">
        <v>2</v>
      </c>
      <c r="D4451" s="218" t="n">
        <v>104.11</v>
      </c>
      <c r="E4451" s="218" t="n">
        <v>3.72</v>
      </c>
      <c r="F4451" t="str">
        <v>https://re.jrc.ec.europa.eu/api/v5_3/PVcalc?lat=30.0444&amp;lon=31.2357&amp;peakpower=1&amp;loss=14&amp;angle=70&amp;aspect=45&amp;outputformat=json&amp;raddatabase=PVGIS-SARAH3&amp;pvtechchoice=crystSi&amp;mountingplace=free&amp;usehorizon=1</v>
      </c>
    </row>
    <row r="4452">
      <c r="A4452" t="n">
        <v>70</v>
      </c>
      <c r="B4452" t="n">
        <v>225</v>
      </c>
      <c r="C4452" t="n">
        <v>3</v>
      </c>
      <c r="D4452" s="218" t="n">
        <v>126.03</v>
      </c>
      <c r="E4452" s="218" t="n">
        <v>4.07</v>
      </c>
      <c r="F4452" t="str">
        <v>https://re.jrc.ec.europa.eu/api/v5_3/PVcalc?lat=30.0444&amp;lon=31.2357&amp;peakpower=1&amp;loss=14&amp;angle=70&amp;aspect=45&amp;outputformat=json&amp;raddatabase=PVGIS-SARAH3&amp;pvtechchoice=crystSi&amp;mountingplace=free&amp;usehorizon=1</v>
      </c>
    </row>
    <row r="4453">
      <c r="A4453" t="n">
        <v>70</v>
      </c>
      <c r="B4453" t="n">
        <v>225</v>
      </c>
      <c r="C4453" t="n">
        <v>4</v>
      </c>
      <c r="D4453" s="218" t="n">
        <v>117.38</v>
      </c>
      <c r="E4453" s="218" t="n">
        <v>3.91</v>
      </c>
      <c r="F4453" t="str">
        <v>https://re.jrc.ec.europa.eu/api/v5_3/PVcalc?lat=30.0444&amp;lon=31.2357&amp;peakpower=1&amp;loss=14&amp;angle=70&amp;aspect=45&amp;outputformat=json&amp;raddatabase=PVGIS-SARAH3&amp;pvtechchoice=crystSi&amp;mountingplace=free&amp;usehorizon=1</v>
      </c>
    </row>
    <row r="4454">
      <c r="A4454" t="n">
        <v>70</v>
      </c>
      <c r="B4454" t="n">
        <v>225</v>
      </c>
      <c r="C4454" t="n">
        <v>5</v>
      </c>
      <c r="D4454" s="218" t="n">
        <v>111.56</v>
      </c>
      <c r="E4454" s="218" t="n">
        <v>3.6</v>
      </c>
      <c r="F4454" t="str">
        <v>https://re.jrc.ec.europa.eu/api/v5_3/PVcalc?lat=30.0444&amp;lon=31.2357&amp;peakpower=1&amp;loss=14&amp;angle=70&amp;aspect=45&amp;outputformat=json&amp;raddatabase=PVGIS-SARAH3&amp;pvtechchoice=crystSi&amp;mountingplace=free&amp;usehorizon=1</v>
      </c>
    </row>
    <row r="4455">
      <c r="A4455" t="n">
        <v>70</v>
      </c>
      <c r="B4455" t="n">
        <v>225</v>
      </c>
      <c r="C4455" t="n">
        <v>6</v>
      </c>
      <c r="D4455" s="218" t="n">
        <v>106.14</v>
      </c>
      <c r="E4455" s="218" t="n">
        <v>3.54</v>
      </c>
      <c r="F4455" t="str">
        <v>https://re.jrc.ec.europa.eu/api/v5_3/PVcalc?lat=30.0444&amp;lon=31.2357&amp;peakpower=1&amp;loss=14&amp;angle=70&amp;aspect=45&amp;outputformat=json&amp;raddatabase=PVGIS-SARAH3&amp;pvtechchoice=crystSi&amp;mountingplace=free&amp;usehorizon=1</v>
      </c>
    </row>
    <row r="4456">
      <c r="A4456" t="n">
        <v>70</v>
      </c>
      <c r="B4456" t="n">
        <v>225</v>
      </c>
      <c r="C4456" t="n">
        <v>7</v>
      </c>
      <c r="D4456" s="218" t="n">
        <v>112.88</v>
      </c>
      <c r="E4456" s="218" t="n">
        <v>3.64</v>
      </c>
      <c r="F4456" t="str">
        <v>https://re.jrc.ec.europa.eu/api/v5_3/PVcalc?lat=30.0444&amp;lon=31.2357&amp;peakpower=1&amp;loss=14&amp;angle=70&amp;aspect=45&amp;outputformat=json&amp;raddatabase=PVGIS-SARAH3&amp;pvtechchoice=crystSi&amp;mountingplace=free&amp;usehorizon=1</v>
      </c>
    </row>
    <row r="4457">
      <c r="A4457" t="n">
        <v>70</v>
      </c>
      <c r="B4457" t="n">
        <v>225</v>
      </c>
      <c r="C4457" t="n">
        <v>8</v>
      </c>
      <c r="D4457" s="218" t="n">
        <v>120.97</v>
      </c>
      <c r="E4457" s="218" t="n">
        <v>3.9</v>
      </c>
      <c r="F4457" t="str">
        <v>https://re.jrc.ec.europa.eu/api/v5_3/PVcalc?lat=30.0444&amp;lon=31.2357&amp;peakpower=1&amp;loss=14&amp;angle=70&amp;aspect=45&amp;outputformat=json&amp;raddatabase=PVGIS-SARAH3&amp;pvtechchoice=crystSi&amp;mountingplace=free&amp;usehorizon=1</v>
      </c>
    </row>
    <row r="4458">
      <c r="A4458" t="n">
        <v>70</v>
      </c>
      <c r="B4458" t="n">
        <v>225</v>
      </c>
      <c r="C4458" t="n">
        <v>9</v>
      </c>
      <c r="D4458" s="218" t="n">
        <v>124.48</v>
      </c>
      <c r="E4458" s="218" t="n">
        <v>4.15</v>
      </c>
      <c r="F4458" t="str">
        <v>https://re.jrc.ec.europa.eu/api/v5_3/PVcalc?lat=30.0444&amp;lon=31.2357&amp;peakpower=1&amp;loss=14&amp;angle=70&amp;aspect=45&amp;outputformat=json&amp;raddatabase=PVGIS-SARAH3&amp;pvtechchoice=crystSi&amp;mountingplace=free&amp;usehorizon=1</v>
      </c>
    </row>
    <row r="4459">
      <c r="A4459" t="n">
        <v>70</v>
      </c>
      <c r="B4459" t="n">
        <v>225</v>
      </c>
      <c r="C4459" t="n">
        <v>10</v>
      </c>
      <c r="D4459" s="218" t="n">
        <v>124.5</v>
      </c>
      <c r="E4459" s="218" t="n">
        <v>4.02</v>
      </c>
      <c r="F4459" t="str">
        <v>https://re.jrc.ec.europa.eu/api/v5_3/PVcalc?lat=30.0444&amp;lon=31.2357&amp;peakpower=1&amp;loss=14&amp;angle=70&amp;aspect=45&amp;outputformat=json&amp;raddatabase=PVGIS-SARAH3&amp;pvtechchoice=crystSi&amp;mountingplace=free&amp;usehorizon=1</v>
      </c>
    </row>
    <row r="4460">
      <c r="A4460" t="n">
        <v>70</v>
      </c>
      <c r="B4460" t="n">
        <v>225</v>
      </c>
      <c r="C4460" t="n">
        <v>11</v>
      </c>
      <c r="D4460" s="218" t="n">
        <v>115.37</v>
      </c>
      <c r="E4460" s="218" t="n">
        <v>3.85</v>
      </c>
      <c r="F4460" t="str">
        <v>https://re.jrc.ec.europa.eu/api/v5_3/PVcalc?lat=30.0444&amp;lon=31.2357&amp;peakpower=1&amp;loss=14&amp;angle=70&amp;aspect=45&amp;outputformat=json&amp;raddatabase=PVGIS-SARAH3&amp;pvtechchoice=crystSi&amp;mountingplace=free&amp;usehorizon=1</v>
      </c>
    </row>
    <row r="4461">
      <c r="A4461" t="n">
        <v>70</v>
      </c>
      <c r="B4461" t="n">
        <v>225</v>
      </c>
      <c r="C4461" t="n">
        <v>12</v>
      </c>
      <c r="D4461" s="218" t="n">
        <v>111.97</v>
      </c>
      <c r="E4461" s="218" t="n">
        <v>3.61</v>
      </c>
      <c r="F4461" t="str">
        <v>https://re.jrc.ec.europa.eu/api/v5_3/PVcalc?lat=30.0444&amp;lon=31.2357&amp;peakpower=1&amp;loss=14&amp;angle=70&amp;aspect=45&amp;outputformat=json&amp;raddatabase=PVGIS-SARAH3&amp;pvtechchoice=crystSi&amp;mountingplace=free&amp;usehorizon=1</v>
      </c>
    </row>
    <row r="4462">
      <c r="A4462" t="n">
        <v>70</v>
      </c>
      <c r="B4462" t="n">
        <v>240</v>
      </c>
      <c r="C4462" t="n">
        <v>1</v>
      </c>
      <c r="D4462" s="218" t="n">
        <v>94.25</v>
      </c>
      <c r="E4462" s="218" t="n">
        <v>3.04</v>
      </c>
      <c r="F4462" t="str">
        <v>https://re.jrc.ec.europa.eu/api/v5_3/PVcalc?lat=30.0444&amp;lon=31.2357&amp;peakpower=1&amp;loss=14&amp;angle=70&amp;aspect=60&amp;outputformat=json&amp;raddatabase=PVGIS-SARAH3&amp;pvtechchoice=crystSi&amp;mountingplace=free&amp;usehorizon=1</v>
      </c>
    </row>
    <row r="4463">
      <c r="A4463" t="n">
        <v>70</v>
      </c>
      <c r="B4463" t="n">
        <v>240</v>
      </c>
      <c r="C4463" t="n">
        <v>2</v>
      </c>
      <c r="D4463" s="218" t="n">
        <v>93.05</v>
      </c>
      <c r="E4463" s="218" t="n">
        <v>3.32</v>
      </c>
      <c r="F4463" t="str">
        <v>https://re.jrc.ec.europa.eu/api/v5_3/PVcalc?lat=30.0444&amp;lon=31.2357&amp;peakpower=1&amp;loss=14&amp;angle=70&amp;aspect=60&amp;outputformat=json&amp;raddatabase=PVGIS-SARAH3&amp;pvtechchoice=crystSi&amp;mountingplace=free&amp;usehorizon=1</v>
      </c>
    </row>
    <row r="4464">
      <c r="A4464" t="n">
        <v>70</v>
      </c>
      <c r="B4464" t="n">
        <v>240</v>
      </c>
      <c r="C4464" t="n">
        <v>3</v>
      </c>
      <c r="D4464" s="218" t="n">
        <v>119.06</v>
      </c>
      <c r="E4464" s="218" t="n">
        <v>3.84</v>
      </c>
      <c r="F4464" t="str">
        <v>https://re.jrc.ec.europa.eu/api/v5_3/PVcalc?lat=30.0444&amp;lon=31.2357&amp;peakpower=1&amp;loss=14&amp;angle=70&amp;aspect=60&amp;outputformat=json&amp;raddatabase=PVGIS-SARAH3&amp;pvtechchoice=crystSi&amp;mountingplace=free&amp;usehorizon=1</v>
      </c>
    </row>
    <row r="4465">
      <c r="A4465" t="n">
        <v>70</v>
      </c>
      <c r="B4465" t="n">
        <v>240</v>
      </c>
      <c r="C4465" t="n">
        <v>4</v>
      </c>
      <c r="D4465" s="218" t="n">
        <v>116.62</v>
      </c>
      <c r="E4465" s="218" t="n">
        <v>3.89</v>
      </c>
      <c r="F4465" t="str">
        <v>https://re.jrc.ec.europa.eu/api/v5_3/PVcalc?lat=30.0444&amp;lon=31.2357&amp;peakpower=1&amp;loss=14&amp;angle=70&amp;aspect=60&amp;outputformat=json&amp;raddatabase=PVGIS-SARAH3&amp;pvtechchoice=crystSi&amp;mountingplace=free&amp;usehorizon=1</v>
      </c>
    </row>
    <row r="4466">
      <c r="A4466" t="n">
        <v>70</v>
      </c>
      <c r="B4466" t="n">
        <v>240</v>
      </c>
      <c r="C4466" t="n">
        <v>5</v>
      </c>
      <c r="D4466" s="218" t="n">
        <v>116.47</v>
      </c>
      <c r="E4466" s="218" t="n">
        <v>3.76</v>
      </c>
      <c r="F4466" t="str">
        <v>https://re.jrc.ec.europa.eu/api/v5_3/PVcalc?lat=30.0444&amp;lon=31.2357&amp;peakpower=1&amp;loss=14&amp;angle=70&amp;aspect=60&amp;outputformat=json&amp;raddatabase=PVGIS-SARAH3&amp;pvtechchoice=crystSi&amp;mountingplace=free&amp;usehorizon=1</v>
      </c>
    </row>
    <row r="4467">
      <c r="A4467" t="n">
        <v>70</v>
      </c>
      <c r="B4467" t="n">
        <v>240</v>
      </c>
      <c r="C4467" t="n">
        <v>6</v>
      </c>
      <c r="D4467" s="218" t="n">
        <v>115.12</v>
      </c>
      <c r="E4467" s="218" t="n">
        <v>3.84</v>
      </c>
      <c r="F4467" t="str">
        <v>https://re.jrc.ec.europa.eu/api/v5_3/PVcalc?lat=30.0444&amp;lon=31.2357&amp;peakpower=1&amp;loss=14&amp;angle=70&amp;aspect=60&amp;outputformat=json&amp;raddatabase=PVGIS-SARAH3&amp;pvtechchoice=crystSi&amp;mountingplace=free&amp;usehorizon=1</v>
      </c>
    </row>
    <row r="4468">
      <c r="A4468" t="n">
        <v>70</v>
      </c>
      <c r="B4468" t="n">
        <v>240</v>
      </c>
      <c r="C4468" t="n">
        <v>7</v>
      </c>
      <c r="D4468" s="218" t="n">
        <v>120.77</v>
      </c>
      <c r="E4468" s="218" t="n">
        <v>3.9</v>
      </c>
      <c r="F4468" t="str">
        <v>https://re.jrc.ec.europa.eu/api/v5_3/PVcalc?lat=30.0444&amp;lon=31.2357&amp;peakpower=1&amp;loss=14&amp;angle=70&amp;aspect=60&amp;outputformat=json&amp;raddatabase=PVGIS-SARAH3&amp;pvtechchoice=crystSi&amp;mountingplace=free&amp;usehorizon=1</v>
      </c>
    </row>
    <row r="4469">
      <c r="A4469" t="n">
        <v>70</v>
      </c>
      <c r="B4469" t="n">
        <v>240</v>
      </c>
      <c r="C4469" t="n">
        <v>8</v>
      </c>
      <c r="D4469" s="218" t="n">
        <v>123.59</v>
      </c>
      <c r="E4469" s="218" t="n">
        <v>3.99</v>
      </c>
      <c r="F4469" t="str">
        <v>https://re.jrc.ec.europa.eu/api/v5_3/PVcalc?lat=30.0444&amp;lon=31.2357&amp;peakpower=1&amp;loss=14&amp;angle=70&amp;aspect=60&amp;outputformat=json&amp;raddatabase=PVGIS-SARAH3&amp;pvtechchoice=crystSi&amp;mountingplace=free&amp;usehorizon=1</v>
      </c>
    </row>
    <row r="4470">
      <c r="A4470" t="n">
        <v>70</v>
      </c>
      <c r="B4470" t="n">
        <v>240</v>
      </c>
      <c r="C4470" t="n">
        <v>9</v>
      </c>
      <c r="D4470" s="218" t="n">
        <v>120.04</v>
      </c>
      <c r="E4470" s="218" t="n">
        <v>4</v>
      </c>
      <c r="F4470" t="str">
        <v>https://re.jrc.ec.europa.eu/api/v5_3/PVcalc?lat=30.0444&amp;lon=31.2357&amp;peakpower=1&amp;loss=14&amp;angle=70&amp;aspect=60&amp;outputformat=json&amp;raddatabase=PVGIS-SARAH3&amp;pvtechchoice=crystSi&amp;mountingplace=free&amp;usehorizon=1</v>
      </c>
    </row>
    <row r="4471">
      <c r="A4471" t="n">
        <v>70</v>
      </c>
      <c r="B4471" t="n">
        <v>240</v>
      </c>
      <c r="C4471" t="n">
        <v>10</v>
      </c>
      <c r="D4471" s="218" t="n">
        <v>113.25</v>
      </c>
      <c r="E4471" s="218" t="n">
        <v>3.65</v>
      </c>
      <c r="F4471" t="str">
        <v>https://re.jrc.ec.europa.eu/api/v5_3/PVcalc?lat=30.0444&amp;lon=31.2357&amp;peakpower=1&amp;loss=14&amp;angle=70&amp;aspect=60&amp;outputformat=json&amp;raddatabase=PVGIS-SARAH3&amp;pvtechchoice=crystSi&amp;mountingplace=free&amp;usehorizon=1</v>
      </c>
    </row>
    <row r="4472">
      <c r="A4472" t="n">
        <v>70</v>
      </c>
      <c r="B4472" t="n">
        <v>240</v>
      </c>
      <c r="C4472" t="n">
        <v>11</v>
      </c>
      <c r="D4472" s="218" t="n">
        <v>100.24</v>
      </c>
      <c r="E4472" s="218" t="n">
        <v>3.34</v>
      </c>
      <c r="F4472" t="str">
        <v>https://re.jrc.ec.europa.eu/api/v5_3/PVcalc?lat=30.0444&amp;lon=31.2357&amp;peakpower=1&amp;loss=14&amp;angle=70&amp;aspect=60&amp;outputformat=json&amp;raddatabase=PVGIS-SARAH3&amp;pvtechchoice=crystSi&amp;mountingplace=free&amp;usehorizon=1</v>
      </c>
    </row>
    <row r="4473">
      <c r="A4473" t="n">
        <v>70</v>
      </c>
      <c r="B4473" t="n">
        <v>240</v>
      </c>
      <c r="C4473" t="n">
        <v>12</v>
      </c>
      <c r="D4473" s="218" t="n">
        <v>94.62</v>
      </c>
      <c r="E4473" s="218" t="n">
        <v>3.05</v>
      </c>
      <c r="F4473" t="str">
        <v>https://re.jrc.ec.europa.eu/api/v5_3/PVcalc?lat=30.0444&amp;lon=31.2357&amp;peakpower=1&amp;loss=14&amp;angle=70&amp;aspect=60&amp;outputformat=json&amp;raddatabase=PVGIS-SARAH3&amp;pvtechchoice=crystSi&amp;mountingplace=free&amp;usehorizon=1</v>
      </c>
    </row>
    <row r="4474">
      <c r="A4474" t="n">
        <v>70</v>
      </c>
      <c r="B4474" t="n">
        <v>255</v>
      </c>
      <c r="C4474" t="n">
        <v>1</v>
      </c>
      <c r="D4474" s="218" t="n">
        <v>77.91</v>
      </c>
      <c r="E4474" s="218" t="n">
        <v>2.51</v>
      </c>
      <c r="F4474" t="str">
        <v>https://re.jrc.ec.europa.eu/api/v5_3/PVcalc?lat=30.0444&amp;lon=31.2357&amp;peakpower=1&amp;loss=14&amp;angle=70&amp;aspect=75&amp;outputformat=json&amp;raddatabase=PVGIS-SARAH3&amp;pvtechchoice=crystSi&amp;mountingplace=free&amp;usehorizon=1</v>
      </c>
    </row>
    <row r="4475">
      <c r="A4475" t="n">
        <v>70</v>
      </c>
      <c r="B4475" t="n">
        <v>255</v>
      </c>
      <c r="C4475" t="n">
        <v>2</v>
      </c>
      <c r="D4475" s="218" t="n">
        <v>81.27</v>
      </c>
      <c r="E4475" s="218" t="n">
        <v>2.9</v>
      </c>
      <c r="F4475" t="str">
        <v>https://re.jrc.ec.europa.eu/api/v5_3/PVcalc?lat=30.0444&amp;lon=31.2357&amp;peakpower=1&amp;loss=14&amp;angle=70&amp;aspect=75&amp;outputformat=json&amp;raddatabase=PVGIS-SARAH3&amp;pvtechchoice=crystSi&amp;mountingplace=free&amp;usehorizon=1</v>
      </c>
    </row>
    <row r="4476">
      <c r="A4476" t="n">
        <v>70</v>
      </c>
      <c r="B4476" t="n">
        <v>255</v>
      </c>
      <c r="C4476" t="n">
        <v>3</v>
      </c>
      <c r="D4476" s="218" t="n">
        <v>110.06</v>
      </c>
      <c r="E4476" s="218" t="n">
        <v>3.55</v>
      </c>
      <c r="F4476" t="str">
        <v>https://re.jrc.ec.europa.eu/api/v5_3/PVcalc?lat=30.0444&amp;lon=31.2357&amp;peakpower=1&amp;loss=14&amp;angle=70&amp;aspect=75&amp;outputformat=json&amp;raddatabase=PVGIS-SARAH3&amp;pvtechchoice=crystSi&amp;mountingplace=free&amp;usehorizon=1</v>
      </c>
    </row>
    <row r="4477">
      <c r="A4477" t="n">
        <v>70</v>
      </c>
      <c r="B4477" t="n">
        <v>255</v>
      </c>
      <c r="C4477" t="n">
        <v>4</v>
      </c>
      <c r="D4477" s="218" t="n">
        <v>113.32</v>
      </c>
      <c r="E4477" s="218" t="n">
        <v>3.78</v>
      </c>
      <c r="F4477" t="str">
        <v>https://re.jrc.ec.europa.eu/api/v5_3/PVcalc?lat=30.0444&amp;lon=31.2357&amp;peakpower=1&amp;loss=14&amp;angle=70&amp;aspect=75&amp;outputformat=json&amp;raddatabase=PVGIS-SARAH3&amp;pvtechchoice=crystSi&amp;mountingplace=free&amp;usehorizon=1</v>
      </c>
    </row>
    <row r="4478">
      <c r="A4478" t="n">
        <v>70</v>
      </c>
      <c r="B4478" t="n">
        <v>255</v>
      </c>
      <c r="C4478" t="n">
        <v>5</v>
      </c>
      <c r="D4478" s="218" t="n">
        <v>118.43</v>
      </c>
      <c r="E4478" s="218" t="n">
        <v>3.82</v>
      </c>
      <c r="F4478" t="str">
        <v>https://re.jrc.ec.europa.eu/api/v5_3/PVcalc?lat=30.0444&amp;lon=31.2357&amp;peakpower=1&amp;loss=14&amp;angle=70&amp;aspect=75&amp;outputformat=json&amp;raddatabase=PVGIS-SARAH3&amp;pvtechchoice=crystSi&amp;mountingplace=free&amp;usehorizon=1</v>
      </c>
    </row>
    <row r="4479">
      <c r="A4479" t="n">
        <v>70</v>
      </c>
      <c r="B4479" t="n">
        <v>255</v>
      </c>
      <c r="C4479" t="n">
        <v>6</v>
      </c>
      <c r="D4479" s="218" t="n">
        <v>120.73</v>
      </c>
      <c r="E4479" s="218" t="n">
        <v>4.02</v>
      </c>
      <c r="F4479" t="str">
        <v>https://re.jrc.ec.europa.eu/api/v5_3/PVcalc?lat=30.0444&amp;lon=31.2357&amp;peakpower=1&amp;loss=14&amp;angle=70&amp;aspect=75&amp;outputformat=json&amp;raddatabase=PVGIS-SARAH3&amp;pvtechchoice=crystSi&amp;mountingplace=free&amp;usehorizon=1</v>
      </c>
    </row>
    <row r="4480">
      <c r="A4480" t="n">
        <v>70</v>
      </c>
      <c r="B4480" t="n">
        <v>255</v>
      </c>
      <c r="C4480" t="n">
        <v>7</v>
      </c>
      <c r="D4480" s="218" t="n">
        <v>125.76</v>
      </c>
      <c r="E4480" s="218" t="n">
        <v>4.06</v>
      </c>
      <c r="F4480" t="str">
        <v>https://re.jrc.ec.europa.eu/api/v5_3/PVcalc?lat=30.0444&amp;lon=31.2357&amp;peakpower=1&amp;loss=14&amp;angle=70&amp;aspect=75&amp;outputformat=json&amp;raddatabase=PVGIS-SARAH3&amp;pvtechchoice=crystSi&amp;mountingplace=free&amp;usehorizon=1</v>
      </c>
    </row>
    <row r="4481">
      <c r="A4481" t="n">
        <v>70</v>
      </c>
      <c r="B4481" t="n">
        <v>255</v>
      </c>
      <c r="C4481" t="n">
        <v>8</v>
      </c>
      <c r="D4481" s="218" t="n">
        <v>123.11</v>
      </c>
      <c r="E4481" s="218" t="n">
        <v>3.97</v>
      </c>
      <c r="F4481" t="str">
        <v>https://re.jrc.ec.europa.eu/api/v5_3/PVcalc?lat=30.0444&amp;lon=31.2357&amp;peakpower=1&amp;loss=14&amp;angle=70&amp;aspect=75&amp;outputformat=json&amp;raddatabase=PVGIS-SARAH3&amp;pvtechchoice=crystSi&amp;mountingplace=free&amp;usehorizon=1</v>
      </c>
    </row>
    <row r="4482">
      <c r="A4482" t="n">
        <v>70</v>
      </c>
      <c r="B4482" t="n">
        <v>255</v>
      </c>
      <c r="C4482" t="n">
        <v>9</v>
      </c>
      <c r="D4482" s="218" t="n">
        <v>113.06</v>
      </c>
      <c r="E4482" s="218" t="n">
        <v>3.77</v>
      </c>
      <c r="F4482" t="str">
        <v>https://re.jrc.ec.europa.eu/api/v5_3/PVcalc?lat=30.0444&amp;lon=31.2357&amp;peakpower=1&amp;loss=14&amp;angle=70&amp;aspect=75&amp;outputformat=json&amp;raddatabase=PVGIS-SARAH3&amp;pvtechchoice=crystSi&amp;mountingplace=free&amp;usehorizon=1</v>
      </c>
    </row>
    <row r="4483">
      <c r="A4483" t="n">
        <v>70</v>
      </c>
      <c r="B4483" t="n">
        <v>255</v>
      </c>
      <c r="C4483" t="n">
        <v>10</v>
      </c>
      <c r="D4483" s="218" t="n">
        <v>100.8</v>
      </c>
      <c r="E4483" s="218" t="n">
        <v>3.25</v>
      </c>
      <c r="F4483" t="str">
        <v>https://re.jrc.ec.europa.eu/api/v5_3/PVcalc?lat=30.0444&amp;lon=31.2357&amp;peakpower=1&amp;loss=14&amp;angle=70&amp;aspect=75&amp;outputformat=json&amp;raddatabase=PVGIS-SARAH3&amp;pvtechchoice=crystSi&amp;mountingplace=free&amp;usehorizon=1</v>
      </c>
    </row>
    <row r="4484">
      <c r="A4484" t="n">
        <v>70</v>
      </c>
      <c r="B4484" t="n">
        <v>255</v>
      </c>
      <c r="C4484" t="n">
        <v>11</v>
      </c>
      <c r="D4484" s="218" t="n">
        <v>84.45</v>
      </c>
      <c r="E4484" s="218" t="n">
        <v>2.82</v>
      </c>
      <c r="F4484" t="str">
        <v>https://re.jrc.ec.europa.eu/api/v5_3/PVcalc?lat=30.0444&amp;lon=31.2357&amp;peakpower=1&amp;loss=14&amp;angle=70&amp;aspect=75&amp;outputformat=json&amp;raddatabase=PVGIS-SARAH3&amp;pvtechchoice=crystSi&amp;mountingplace=free&amp;usehorizon=1</v>
      </c>
    </row>
    <row r="4485">
      <c r="A4485" t="n">
        <v>70</v>
      </c>
      <c r="B4485" t="n">
        <v>255</v>
      </c>
      <c r="C4485" t="n">
        <v>12</v>
      </c>
      <c r="D4485" s="218" t="n">
        <v>77.12</v>
      </c>
      <c r="E4485" s="218" t="n">
        <v>2.49</v>
      </c>
      <c r="F4485" t="str">
        <v>https://re.jrc.ec.europa.eu/api/v5_3/PVcalc?lat=30.0444&amp;lon=31.2357&amp;peakpower=1&amp;loss=14&amp;angle=70&amp;aspect=75&amp;outputformat=json&amp;raddatabase=PVGIS-SARAH3&amp;pvtechchoice=crystSi&amp;mountingplace=free&amp;usehorizon=1</v>
      </c>
    </row>
    <row r="4486">
      <c r="A4486" t="n">
        <v>70</v>
      </c>
      <c r="B4486" t="n">
        <v>270</v>
      </c>
      <c r="C4486" t="n">
        <v>1</v>
      </c>
      <c r="D4486" s="218" t="n">
        <v>61.76</v>
      </c>
      <c r="E4486" s="218" t="n">
        <v>1.99</v>
      </c>
      <c r="F4486" t="str">
        <v>https://re.jrc.ec.europa.eu/api/v5_3/PVcalc?lat=30.0444&amp;lon=31.2357&amp;peakpower=1&amp;loss=14&amp;angle=70&amp;aspect=90&amp;outputformat=json&amp;raddatabase=PVGIS-SARAH3&amp;pvtechchoice=crystSi&amp;mountingplace=free&amp;usehorizon=1</v>
      </c>
    </row>
    <row r="4487">
      <c r="A4487" t="n">
        <v>70</v>
      </c>
      <c r="B4487" t="n">
        <v>270</v>
      </c>
      <c r="C4487" t="n">
        <v>2</v>
      </c>
      <c r="D4487" s="218" t="n">
        <v>68.79</v>
      </c>
      <c r="E4487" s="218" t="n">
        <v>2.46</v>
      </c>
      <c r="F4487" t="str">
        <v>https://re.jrc.ec.europa.eu/api/v5_3/PVcalc?lat=30.0444&amp;lon=31.2357&amp;peakpower=1&amp;loss=14&amp;angle=70&amp;aspect=90&amp;outputformat=json&amp;raddatabase=PVGIS-SARAH3&amp;pvtechchoice=crystSi&amp;mountingplace=free&amp;usehorizon=1</v>
      </c>
    </row>
    <row r="4488">
      <c r="A4488" t="n">
        <v>70</v>
      </c>
      <c r="B4488" t="n">
        <v>270</v>
      </c>
      <c r="C4488" t="n">
        <v>3</v>
      </c>
      <c r="D4488" s="218" t="n">
        <v>99.17</v>
      </c>
      <c r="E4488" s="218" t="n">
        <v>3.2</v>
      </c>
      <c r="F4488" t="str">
        <v>https://re.jrc.ec.europa.eu/api/v5_3/PVcalc?lat=30.0444&amp;lon=31.2357&amp;peakpower=1&amp;loss=14&amp;angle=70&amp;aspect=90&amp;outputformat=json&amp;raddatabase=PVGIS-SARAH3&amp;pvtechchoice=crystSi&amp;mountingplace=free&amp;usehorizon=1</v>
      </c>
    </row>
    <row r="4489">
      <c r="A4489" t="n">
        <v>70</v>
      </c>
      <c r="B4489" t="n">
        <v>270</v>
      </c>
      <c r="C4489" t="n">
        <v>4</v>
      </c>
      <c r="D4489" s="218" t="n">
        <v>107.84</v>
      </c>
      <c r="E4489" s="218" t="n">
        <v>3.59</v>
      </c>
      <c r="F4489" t="str">
        <v>https://re.jrc.ec.europa.eu/api/v5_3/PVcalc?lat=30.0444&amp;lon=31.2357&amp;peakpower=1&amp;loss=14&amp;angle=70&amp;aspect=90&amp;outputformat=json&amp;raddatabase=PVGIS-SARAH3&amp;pvtechchoice=crystSi&amp;mountingplace=free&amp;usehorizon=1</v>
      </c>
    </row>
    <row r="4490">
      <c r="A4490" t="n">
        <v>70</v>
      </c>
      <c r="B4490" t="n">
        <v>270</v>
      </c>
      <c r="C4490" t="n">
        <v>5</v>
      </c>
      <c r="D4490" s="218" t="n">
        <v>117.77</v>
      </c>
      <c r="E4490" s="218" t="n">
        <v>3.8</v>
      </c>
      <c r="F4490" t="str">
        <v>https://re.jrc.ec.europa.eu/api/v5_3/PVcalc?lat=30.0444&amp;lon=31.2357&amp;peakpower=1&amp;loss=14&amp;angle=70&amp;aspect=90&amp;outputformat=json&amp;raddatabase=PVGIS-SARAH3&amp;pvtechchoice=crystSi&amp;mountingplace=free&amp;usehorizon=1</v>
      </c>
    </row>
    <row r="4491">
      <c r="A4491" t="n">
        <v>70</v>
      </c>
      <c r="B4491" t="n">
        <v>270</v>
      </c>
      <c r="C4491" t="n">
        <v>6</v>
      </c>
      <c r="D4491" s="218" t="n">
        <v>122.99</v>
      </c>
      <c r="E4491" s="218" t="n">
        <v>4.1</v>
      </c>
      <c r="F4491" t="str">
        <v>https://re.jrc.ec.europa.eu/api/v5_3/PVcalc?lat=30.0444&amp;lon=31.2357&amp;peakpower=1&amp;loss=14&amp;angle=70&amp;aspect=90&amp;outputformat=json&amp;raddatabase=PVGIS-SARAH3&amp;pvtechchoice=crystSi&amp;mountingplace=free&amp;usehorizon=1</v>
      </c>
    </row>
    <row r="4492">
      <c r="A4492" t="n">
        <v>70</v>
      </c>
      <c r="B4492" t="n">
        <v>270</v>
      </c>
      <c r="C4492" t="n">
        <v>7</v>
      </c>
      <c r="D4492" s="218" t="n">
        <v>126.88</v>
      </c>
      <c r="E4492" s="218" t="n">
        <v>4.09</v>
      </c>
      <c r="F4492" t="str">
        <v>https://re.jrc.ec.europa.eu/api/v5_3/PVcalc?lat=30.0444&amp;lon=31.2357&amp;peakpower=1&amp;loss=14&amp;angle=70&amp;aspect=90&amp;outputformat=json&amp;raddatabase=PVGIS-SARAH3&amp;pvtechchoice=crystSi&amp;mountingplace=free&amp;usehorizon=1</v>
      </c>
    </row>
    <row r="4493">
      <c r="A4493" t="n">
        <v>70</v>
      </c>
      <c r="B4493" t="n">
        <v>270</v>
      </c>
      <c r="C4493" t="n">
        <v>8</v>
      </c>
      <c r="D4493" s="218" t="n">
        <v>119.48</v>
      </c>
      <c r="E4493" s="218" t="n">
        <v>3.85</v>
      </c>
      <c r="F4493" t="str">
        <v>https://re.jrc.ec.europa.eu/api/v5_3/PVcalc?lat=30.0444&amp;lon=31.2357&amp;peakpower=1&amp;loss=14&amp;angle=70&amp;aspect=90&amp;outputformat=json&amp;raddatabase=PVGIS-SARAH3&amp;pvtechchoice=crystSi&amp;mountingplace=free&amp;usehorizon=1</v>
      </c>
    </row>
    <row r="4494">
      <c r="A4494" t="n">
        <v>70</v>
      </c>
      <c r="B4494" t="n">
        <v>270</v>
      </c>
      <c r="C4494" t="n">
        <v>9</v>
      </c>
      <c r="D4494" s="218" t="n">
        <v>103.92</v>
      </c>
      <c r="E4494" s="218" t="n">
        <v>3.46</v>
      </c>
      <c r="F4494" t="str">
        <v>https://re.jrc.ec.europa.eu/api/v5_3/PVcalc?lat=30.0444&amp;lon=31.2357&amp;peakpower=1&amp;loss=14&amp;angle=70&amp;aspect=90&amp;outputformat=json&amp;raddatabase=PVGIS-SARAH3&amp;pvtechchoice=crystSi&amp;mountingplace=free&amp;usehorizon=1</v>
      </c>
    </row>
    <row r="4495">
      <c r="A4495" t="n">
        <v>70</v>
      </c>
      <c r="B4495" t="n">
        <v>270</v>
      </c>
      <c r="C4495" t="n">
        <v>10</v>
      </c>
      <c r="D4495" s="218" t="n">
        <v>86.86</v>
      </c>
      <c r="E4495" s="218" t="n">
        <v>2.8</v>
      </c>
      <c r="F4495" t="str">
        <v>https://re.jrc.ec.europa.eu/api/v5_3/PVcalc?lat=30.0444&amp;lon=31.2357&amp;peakpower=1&amp;loss=14&amp;angle=70&amp;aspect=90&amp;outputformat=json&amp;raddatabase=PVGIS-SARAH3&amp;pvtechchoice=crystSi&amp;mountingplace=free&amp;usehorizon=1</v>
      </c>
    </row>
    <row r="4496">
      <c r="A4496" t="n">
        <v>70</v>
      </c>
      <c r="B4496" t="n">
        <v>270</v>
      </c>
      <c r="C4496" t="n">
        <v>11</v>
      </c>
      <c r="D4496" s="218" t="n">
        <v>68.22</v>
      </c>
      <c r="E4496" s="218" t="n">
        <v>2.27</v>
      </c>
      <c r="F4496" t="str">
        <v>https://re.jrc.ec.europa.eu/api/v5_3/PVcalc?lat=30.0444&amp;lon=31.2357&amp;peakpower=1&amp;loss=14&amp;angle=70&amp;aspect=90&amp;outputformat=json&amp;raddatabase=PVGIS-SARAH3&amp;pvtechchoice=crystSi&amp;mountingplace=free&amp;usehorizon=1</v>
      </c>
    </row>
    <row r="4497">
      <c r="A4497" t="n">
        <v>70</v>
      </c>
      <c r="B4497" t="n">
        <v>270</v>
      </c>
      <c r="C4497" t="n">
        <v>12</v>
      </c>
      <c r="D4497" s="218" t="n">
        <v>60.03</v>
      </c>
      <c r="E4497" s="218" t="n">
        <v>1.94</v>
      </c>
      <c r="F4497" t="str">
        <v>https://re.jrc.ec.europa.eu/api/v5_3/PVcalc?lat=30.0444&amp;lon=31.2357&amp;peakpower=1&amp;loss=14&amp;angle=70&amp;aspect=90&amp;outputformat=json&amp;raddatabase=PVGIS-SARAH3&amp;pvtechchoice=crystSi&amp;mountingplace=free&amp;usehorizon=1</v>
      </c>
    </row>
    <row r="4498">
      <c r="A4498" t="n">
        <v>70</v>
      </c>
      <c r="B4498" t="n">
        <v>285</v>
      </c>
      <c r="C4498" t="n">
        <v>1</v>
      </c>
      <c r="D4498" s="218" t="n">
        <v>46.57</v>
      </c>
      <c r="E4498" s="218" t="n">
        <v>1.5</v>
      </c>
      <c r="F4498" t="str">
        <v>https://re.jrc.ec.europa.eu/api/v5_3/PVcalc?lat=30.0444&amp;lon=31.2357&amp;peakpower=1&amp;loss=14&amp;angle=70&amp;aspect=105&amp;outputformat=json&amp;raddatabase=PVGIS-SARAH3&amp;pvtechchoice=crystSi&amp;mountingplace=free&amp;usehorizon=1</v>
      </c>
    </row>
    <row r="4499">
      <c r="A4499" t="n">
        <v>70</v>
      </c>
      <c r="B4499" t="n">
        <v>285</v>
      </c>
      <c r="C4499" t="n">
        <v>2</v>
      </c>
      <c r="D4499" s="218" t="n">
        <v>56.11</v>
      </c>
      <c r="E4499" s="218" t="n">
        <v>2</v>
      </c>
      <c r="F4499" t="str">
        <v>https://re.jrc.ec.europa.eu/api/v5_3/PVcalc?lat=30.0444&amp;lon=31.2357&amp;peakpower=1&amp;loss=14&amp;angle=70&amp;aspect=105&amp;outputformat=json&amp;raddatabase=PVGIS-SARAH3&amp;pvtechchoice=crystSi&amp;mountingplace=free&amp;usehorizon=1</v>
      </c>
    </row>
    <row r="4500">
      <c r="A4500" t="n">
        <v>70</v>
      </c>
      <c r="B4500" t="n">
        <v>285</v>
      </c>
      <c r="C4500" t="n">
        <v>3</v>
      </c>
      <c r="D4500" s="218" t="n">
        <v>86.14</v>
      </c>
      <c r="E4500" s="218" t="n">
        <v>2.78</v>
      </c>
      <c r="F4500" t="str">
        <v>https://re.jrc.ec.europa.eu/api/v5_3/PVcalc?lat=30.0444&amp;lon=31.2357&amp;peakpower=1&amp;loss=14&amp;angle=70&amp;aspect=105&amp;outputformat=json&amp;raddatabase=PVGIS-SARAH3&amp;pvtechchoice=crystSi&amp;mountingplace=free&amp;usehorizon=1</v>
      </c>
    </row>
    <row r="4501">
      <c r="A4501" t="n">
        <v>70</v>
      </c>
      <c r="B4501" t="n">
        <v>285</v>
      </c>
      <c r="C4501" t="n">
        <v>4</v>
      </c>
      <c r="D4501" s="218" t="n">
        <v>99.54</v>
      </c>
      <c r="E4501" s="218" t="n">
        <v>3.32</v>
      </c>
      <c r="F4501" t="str">
        <v>https://re.jrc.ec.europa.eu/api/v5_3/PVcalc?lat=30.0444&amp;lon=31.2357&amp;peakpower=1&amp;loss=14&amp;angle=70&amp;aspect=105&amp;outputformat=json&amp;raddatabase=PVGIS-SARAH3&amp;pvtechchoice=crystSi&amp;mountingplace=free&amp;usehorizon=1</v>
      </c>
    </row>
    <row r="4502">
      <c r="A4502" t="n">
        <v>70</v>
      </c>
      <c r="B4502" t="n">
        <v>285</v>
      </c>
      <c r="C4502" t="n">
        <v>5</v>
      </c>
      <c r="D4502" s="218" t="n">
        <v>113.73</v>
      </c>
      <c r="E4502" s="218" t="n">
        <v>3.67</v>
      </c>
      <c r="F4502" t="str">
        <v>https://re.jrc.ec.europa.eu/api/v5_3/PVcalc?lat=30.0444&amp;lon=31.2357&amp;peakpower=1&amp;loss=14&amp;angle=70&amp;aspect=105&amp;outputformat=json&amp;raddatabase=PVGIS-SARAH3&amp;pvtechchoice=crystSi&amp;mountingplace=free&amp;usehorizon=1</v>
      </c>
    </row>
    <row r="4503">
      <c r="A4503" t="n">
        <v>70</v>
      </c>
      <c r="B4503" t="n">
        <v>285</v>
      </c>
      <c r="C4503" t="n">
        <v>6</v>
      </c>
      <c r="D4503" s="218" t="n">
        <v>121.37</v>
      </c>
      <c r="E4503" s="218" t="n">
        <v>4.05</v>
      </c>
      <c r="F4503" t="str">
        <v>https://re.jrc.ec.europa.eu/api/v5_3/PVcalc?lat=30.0444&amp;lon=31.2357&amp;peakpower=1&amp;loss=14&amp;angle=70&amp;aspect=105&amp;outputformat=json&amp;raddatabase=PVGIS-SARAH3&amp;pvtechchoice=crystSi&amp;mountingplace=free&amp;usehorizon=1</v>
      </c>
    </row>
    <row r="4504">
      <c r="A4504" t="n">
        <v>70</v>
      </c>
      <c r="B4504" t="n">
        <v>285</v>
      </c>
      <c r="C4504" t="n">
        <v>7</v>
      </c>
      <c r="D4504" s="218" t="n">
        <v>124.01</v>
      </c>
      <c r="E4504" s="218" t="n">
        <v>4</v>
      </c>
      <c r="F4504" t="str">
        <v>https://re.jrc.ec.europa.eu/api/v5_3/PVcalc?lat=30.0444&amp;lon=31.2357&amp;peakpower=1&amp;loss=14&amp;angle=70&amp;aspect=105&amp;outputformat=json&amp;raddatabase=PVGIS-SARAH3&amp;pvtechchoice=crystSi&amp;mountingplace=free&amp;usehorizon=1</v>
      </c>
    </row>
    <row r="4505">
      <c r="A4505" t="n">
        <v>70</v>
      </c>
      <c r="B4505" t="n">
        <v>285</v>
      </c>
      <c r="C4505" t="n">
        <v>8</v>
      </c>
      <c r="D4505" s="218" t="n">
        <v>112.24</v>
      </c>
      <c r="E4505" s="218" t="n">
        <v>3.62</v>
      </c>
      <c r="F4505" t="str">
        <v>https://re.jrc.ec.europa.eu/api/v5_3/PVcalc?lat=30.0444&amp;lon=31.2357&amp;peakpower=1&amp;loss=14&amp;angle=70&amp;aspect=105&amp;outputformat=json&amp;raddatabase=PVGIS-SARAH3&amp;pvtechchoice=crystSi&amp;mountingplace=free&amp;usehorizon=1</v>
      </c>
    </row>
    <row r="4506">
      <c r="A4506" t="n">
        <v>70</v>
      </c>
      <c r="B4506" t="n">
        <v>285</v>
      </c>
      <c r="C4506" t="n">
        <v>9</v>
      </c>
      <c r="D4506" s="218" t="n">
        <v>92.04</v>
      </c>
      <c r="E4506" s="218" t="n">
        <v>3.07</v>
      </c>
      <c r="F4506" t="str">
        <v>https://re.jrc.ec.europa.eu/api/v5_3/PVcalc?lat=30.0444&amp;lon=31.2357&amp;peakpower=1&amp;loss=14&amp;angle=70&amp;aspect=105&amp;outputformat=json&amp;raddatabase=PVGIS-SARAH3&amp;pvtechchoice=crystSi&amp;mountingplace=free&amp;usehorizon=1</v>
      </c>
    </row>
    <row r="4507">
      <c r="A4507" t="n">
        <v>70</v>
      </c>
      <c r="B4507" t="n">
        <v>285</v>
      </c>
      <c r="C4507" t="n">
        <v>10</v>
      </c>
      <c r="D4507" s="218" t="n">
        <v>71.41</v>
      </c>
      <c r="E4507" s="218" t="n">
        <v>2.3</v>
      </c>
      <c r="F4507" t="str">
        <v>https://re.jrc.ec.europa.eu/api/v5_3/PVcalc?lat=30.0444&amp;lon=31.2357&amp;peakpower=1&amp;loss=14&amp;angle=70&amp;aspect=105&amp;outputformat=json&amp;raddatabase=PVGIS-SARAH3&amp;pvtechchoice=crystSi&amp;mountingplace=free&amp;usehorizon=1</v>
      </c>
    </row>
    <row r="4508">
      <c r="A4508" t="n">
        <v>70</v>
      </c>
      <c r="B4508" t="n">
        <v>285</v>
      </c>
      <c r="C4508" t="n">
        <v>11</v>
      </c>
      <c r="D4508" s="218" t="n">
        <v>51.93</v>
      </c>
      <c r="E4508" s="218" t="n">
        <v>1.73</v>
      </c>
      <c r="F4508" t="str">
        <v>https://re.jrc.ec.europa.eu/api/v5_3/PVcalc?lat=30.0444&amp;lon=31.2357&amp;peakpower=1&amp;loss=14&amp;angle=70&amp;aspect=105&amp;outputformat=json&amp;raddatabase=PVGIS-SARAH3&amp;pvtechchoice=crystSi&amp;mountingplace=free&amp;usehorizon=1</v>
      </c>
    </row>
    <row r="4509">
      <c r="A4509" t="n">
        <v>70</v>
      </c>
      <c r="B4509" t="n">
        <v>285</v>
      </c>
      <c r="C4509" t="n">
        <v>12</v>
      </c>
      <c r="D4509" s="218" t="n">
        <v>43.85</v>
      </c>
      <c r="E4509" s="218" t="n">
        <v>1.41</v>
      </c>
      <c r="F4509" t="str">
        <v>https://re.jrc.ec.europa.eu/api/v5_3/PVcalc?lat=30.0444&amp;lon=31.2357&amp;peakpower=1&amp;loss=14&amp;angle=70&amp;aspect=105&amp;outputformat=json&amp;raddatabase=PVGIS-SARAH3&amp;pvtechchoice=crystSi&amp;mountingplace=free&amp;usehorizon=1</v>
      </c>
    </row>
    <row r="4510">
      <c r="A4510" t="n">
        <v>70</v>
      </c>
      <c r="B4510" t="n">
        <v>300</v>
      </c>
      <c r="C4510" t="n">
        <v>1</v>
      </c>
      <c r="D4510" s="218" t="n">
        <v>32.6</v>
      </c>
      <c r="E4510" s="218" t="n">
        <v>1.05</v>
      </c>
      <c r="F4510" t="str">
        <v>https://re.jrc.ec.europa.eu/api/v5_3/PVcalc?lat=30.0444&amp;lon=31.2357&amp;peakpower=1&amp;loss=14&amp;angle=70&amp;aspect=120&amp;outputformat=json&amp;raddatabase=PVGIS-SARAH3&amp;pvtechchoice=crystSi&amp;mountingplace=free&amp;usehorizon=1</v>
      </c>
    </row>
    <row r="4511">
      <c r="A4511" t="n">
        <v>70</v>
      </c>
      <c r="B4511" t="n">
        <v>300</v>
      </c>
      <c r="C4511" t="n">
        <v>2</v>
      </c>
      <c r="D4511" s="218" t="n">
        <v>43.14</v>
      </c>
      <c r="E4511" s="218" t="n">
        <v>1.54</v>
      </c>
      <c r="F4511" t="str">
        <v>https://re.jrc.ec.europa.eu/api/v5_3/PVcalc?lat=30.0444&amp;lon=31.2357&amp;peakpower=1&amp;loss=14&amp;angle=70&amp;aspect=120&amp;outputformat=json&amp;raddatabase=PVGIS-SARAH3&amp;pvtechchoice=crystSi&amp;mountingplace=free&amp;usehorizon=1</v>
      </c>
    </row>
    <row r="4512">
      <c r="A4512" t="n">
        <v>70</v>
      </c>
      <c r="B4512" t="n">
        <v>300</v>
      </c>
      <c r="C4512" t="n">
        <v>3</v>
      </c>
      <c r="D4512" s="218" t="n">
        <v>71.73</v>
      </c>
      <c r="E4512" s="218" t="n">
        <v>2.31</v>
      </c>
      <c r="F4512" t="str">
        <v>https://re.jrc.ec.europa.eu/api/v5_3/PVcalc?lat=30.0444&amp;lon=31.2357&amp;peakpower=1&amp;loss=14&amp;angle=70&amp;aspect=120&amp;outputformat=json&amp;raddatabase=PVGIS-SARAH3&amp;pvtechchoice=crystSi&amp;mountingplace=free&amp;usehorizon=1</v>
      </c>
    </row>
    <row r="4513">
      <c r="A4513" t="n">
        <v>70</v>
      </c>
      <c r="B4513" t="n">
        <v>300</v>
      </c>
      <c r="C4513" t="n">
        <v>4</v>
      </c>
      <c r="D4513" s="218" t="n">
        <v>88.61</v>
      </c>
      <c r="E4513" s="218" t="n">
        <v>2.95</v>
      </c>
      <c r="F4513" t="str">
        <v>https://re.jrc.ec.europa.eu/api/v5_3/PVcalc?lat=30.0444&amp;lon=31.2357&amp;peakpower=1&amp;loss=14&amp;angle=70&amp;aspect=120&amp;outputformat=json&amp;raddatabase=PVGIS-SARAH3&amp;pvtechchoice=crystSi&amp;mountingplace=free&amp;usehorizon=1</v>
      </c>
    </row>
    <row r="4514">
      <c r="A4514" t="n">
        <v>70</v>
      </c>
      <c r="B4514" t="n">
        <v>300</v>
      </c>
      <c r="C4514" t="n">
        <v>5</v>
      </c>
      <c r="D4514" s="218" t="n">
        <v>106.47</v>
      </c>
      <c r="E4514" s="218" t="n">
        <v>3.43</v>
      </c>
      <c r="F4514" t="str">
        <v>https://re.jrc.ec.europa.eu/api/v5_3/PVcalc?lat=30.0444&amp;lon=31.2357&amp;peakpower=1&amp;loss=14&amp;angle=70&amp;aspect=120&amp;outputformat=json&amp;raddatabase=PVGIS-SARAH3&amp;pvtechchoice=crystSi&amp;mountingplace=free&amp;usehorizon=1</v>
      </c>
    </row>
    <row r="4515">
      <c r="A4515" t="n">
        <v>70</v>
      </c>
      <c r="B4515" t="n">
        <v>300</v>
      </c>
      <c r="C4515" t="n">
        <v>6</v>
      </c>
      <c r="D4515" s="218" t="n">
        <v>115.96</v>
      </c>
      <c r="E4515" s="218" t="n">
        <v>3.87</v>
      </c>
      <c r="F4515" t="str">
        <v>https://re.jrc.ec.europa.eu/api/v5_3/PVcalc?lat=30.0444&amp;lon=31.2357&amp;peakpower=1&amp;loss=14&amp;angle=70&amp;aspect=120&amp;outputformat=json&amp;raddatabase=PVGIS-SARAH3&amp;pvtechchoice=crystSi&amp;mountingplace=free&amp;usehorizon=1</v>
      </c>
    </row>
    <row r="4516">
      <c r="A4516" t="n">
        <v>70</v>
      </c>
      <c r="B4516" t="n">
        <v>300</v>
      </c>
      <c r="C4516" t="n">
        <v>7</v>
      </c>
      <c r="D4516" s="218" t="n">
        <v>117.25</v>
      </c>
      <c r="E4516" s="218" t="n">
        <v>3.78</v>
      </c>
      <c r="F4516" t="str">
        <v>https://re.jrc.ec.europa.eu/api/v5_3/PVcalc?lat=30.0444&amp;lon=31.2357&amp;peakpower=1&amp;loss=14&amp;angle=70&amp;aspect=120&amp;outputformat=json&amp;raddatabase=PVGIS-SARAH3&amp;pvtechchoice=crystSi&amp;mountingplace=free&amp;usehorizon=1</v>
      </c>
    </row>
    <row r="4517">
      <c r="A4517" t="n">
        <v>70</v>
      </c>
      <c r="B4517" t="n">
        <v>300</v>
      </c>
      <c r="C4517" t="n">
        <v>8</v>
      </c>
      <c r="D4517" s="218" t="n">
        <v>101.59</v>
      </c>
      <c r="E4517" s="218" t="n">
        <v>3.28</v>
      </c>
      <c r="F4517" t="str">
        <v>https://re.jrc.ec.europa.eu/api/v5_3/PVcalc?lat=30.0444&amp;lon=31.2357&amp;peakpower=1&amp;loss=14&amp;angle=70&amp;aspect=120&amp;outputformat=json&amp;raddatabase=PVGIS-SARAH3&amp;pvtechchoice=crystSi&amp;mountingplace=free&amp;usehorizon=1</v>
      </c>
    </row>
    <row r="4518">
      <c r="A4518" t="n">
        <v>70</v>
      </c>
      <c r="B4518" t="n">
        <v>300</v>
      </c>
      <c r="C4518" t="n">
        <v>9</v>
      </c>
      <c r="D4518" s="218" t="n">
        <v>77.77</v>
      </c>
      <c r="E4518" s="218" t="n">
        <v>2.59</v>
      </c>
      <c r="F4518" t="str">
        <v>https://re.jrc.ec.europa.eu/api/v5_3/PVcalc?lat=30.0444&amp;lon=31.2357&amp;peakpower=1&amp;loss=14&amp;angle=70&amp;aspect=120&amp;outputformat=json&amp;raddatabase=PVGIS-SARAH3&amp;pvtechchoice=crystSi&amp;mountingplace=free&amp;usehorizon=1</v>
      </c>
    </row>
    <row r="4519">
      <c r="A4519" t="n">
        <v>70</v>
      </c>
      <c r="B4519" t="n">
        <v>300</v>
      </c>
      <c r="C4519" t="n">
        <v>10</v>
      </c>
      <c r="D4519" s="218" t="n">
        <v>55.54</v>
      </c>
      <c r="E4519" s="218" t="n">
        <v>1.79</v>
      </c>
      <c r="F4519" t="str">
        <v>https://re.jrc.ec.europa.eu/api/v5_3/PVcalc?lat=30.0444&amp;lon=31.2357&amp;peakpower=1&amp;loss=14&amp;angle=70&amp;aspect=120&amp;outputformat=json&amp;raddatabase=PVGIS-SARAH3&amp;pvtechchoice=crystSi&amp;mountingplace=free&amp;usehorizon=1</v>
      </c>
    </row>
    <row r="4520">
      <c r="A4520" t="n">
        <v>70</v>
      </c>
      <c r="B4520" t="n">
        <v>300</v>
      </c>
      <c r="C4520" t="n">
        <v>11</v>
      </c>
      <c r="D4520" s="218" t="n">
        <v>36.49</v>
      </c>
      <c r="E4520" s="218" t="n">
        <v>1.22</v>
      </c>
      <c r="F4520" t="str">
        <v>https://re.jrc.ec.europa.eu/api/v5_3/PVcalc?lat=30.0444&amp;lon=31.2357&amp;peakpower=1&amp;loss=14&amp;angle=70&amp;aspect=120&amp;outputformat=json&amp;raddatabase=PVGIS-SARAH3&amp;pvtechchoice=crystSi&amp;mountingplace=free&amp;usehorizon=1</v>
      </c>
    </row>
    <row r="4521">
      <c r="A4521" t="n">
        <v>70</v>
      </c>
      <c r="B4521" t="n">
        <v>300</v>
      </c>
      <c r="C4521" t="n">
        <v>12</v>
      </c>
      <c r="D4521" s="218" t="n">
        <v>29.58</v>
      </c>
      <c r="E4521" s="218" t="n">
        <v>0.95</v>
      </c>
      <c r="F4521" t="str">
        <v>https://re.jrc.ec.europa.eu/api/v5_3/PVcalc?lat=30.0444&amp;lon=31.2357&amp;peakpower=1&amp;loss=14&amp;angle=70&amp;aspect=120&amp;outputformat=json&amp;raddatabase=PVGIS-SARAH3&amp;pvtechchoice=crystSi&amp;mountingplace=free&amp;usehorizon=1</v>
      </c>
    </row>
    <row r="4522">
      <c r="A4522" t="n">
        <v>70</v>
      </c>
      <c r="B4522" t="n">
        <v>315</v>
      </c>
      <c r="C4522" t="n">
        <v>1</v>
      </c>
      <c r="D4522" s="218" t="n">
        <v>21.69</v>
      </c>
      <c r="E4522" s="218" t="n">
        <v>0.7</v>
      </c>
      <c r="F4522" t="str">
        <v>https://re.jrc.ec.europa.eu/api/v5_3/PVcalc?lat=30.0444&amp;lon=31.2357&amp;peakpower=1&amp;loss=14&amp;angle=70&amp;aspect=135&amp;outputformat=json&amp;raddatabase=PVGIS-SARAH3&amp;pvtechchoice=crystSi&amp;mountingplace=free&amp;usehorizon=1</v>
      </c>
    </row>
    <row r="4523">
      <c r="A4523" t="n">
        <v>70</v>
      </c>
      <c r="B4523" t="n">
        <v>315</v>
      </c>
      <c r="C4523" t="n">
        <v>2</v>
      </c>
      <c r="D4523" s="218" t="n">
        <v>31.2</v>
      </c>
      <c r="E4523" s="218" t="n">
        <v>1.11</v>
      </c>
      <c r="F4523" t="str">
        <v>https://re.jrc.ec.europa.eu/api/v5_3/PVcalc?lat=30.0444&amp;lon=31.2357&amp;peakpower=1&amp;loss=14&amp;angle=70&amp;aspect=135&amp;outputformat=json&amp;raddatabase=PVGIS-SARAH3&amp;pvtechchoice=crystSi&amp;mountingplace=free&amp;usehorizon=1</v>
      </c>
    </row>
    <row r="4524">
      <c r="A4524" t="n">
        <v>70</v>
      </c>
      <c r="B4524" t="n">
        <v>315</v>
      </c>
      <c r="C4524" t="n">
        <v>3</v>
      </c>
      <c r="D4524" s="218" t="n">
        <v>56.08</v>
      </c>
      <c r="E4524" s="218" t="n">
        <v>1.81</v>
      </c>
      <c r="F4524" t="str">
        <v>https://re.jrc.ec.europa.eu/api/v5_3/PVcalc?lat=30.0444&amp;lon=31.2357&amp;peakpower=1&amp;loss=14&amp;angle=70&amp;aspect=135&amp;outputformat=json&amp;raddatabase=PVGIS-SARAH3&amp;pvtechchoice=crystSi&amp;mountingplace=free&amp;usehorizon=1</v>
      </c>
    </row>
    <row r="4525">
      <c r="A4525" t="n">
        <v>70</v>
      </c>
      <c r="B4525" t="n">
        <v>315</v>
      </c>
      <c r="C4525" t="n">
        <v>4</v>
      </c>
      <c r="D4525" s="218" t="n">
        <v>75.52</v>
      </c>
      <c r="E4525" s="218" t="n">
        <v>2.52</v>
      </c>
      <c r="F4525" t="str">
        <v>https://re.jrc.ec.europa.eu/api/v5_3/PVcalc?lat=30.0444&amp;lon=31.2357&amp;peakpower=1&amp;loss=14&amp;angle=70&amp;aspect=135&amp;outputformat=json&amp;raddatabase=PVGIS-SARAH3&amp;pvtechchoice=crystSi&amp;mountingplace=free&amp;usehorizon=1</v>
      </c>
    </row>
    <row r="4526">
      <c r="A4526" t="n">
        <v>70</v>
      </c>
      <c r="B4526" t="n">
        <v>315</v>
      </c>
      <c r="C4526" t="n">
        <v>5</v>
      </c>
      <c r="D4526" s="218" t="n">
        <v>96.21</v>
      </c>
      <c r="E4526" s="218" t="n">
        <v>3.1</v>
      </c>
      <c r="F4526" t="str">
        <v>https://re.jrc.ec.europa.eu/api/v5_3/PVcalc?lat=30.0444&amp;lon=31.2357&amp;peakpower=1&amp;loss=14&amp;angle=70&amp;aspect=135&amp;outputformat=json&amp;raddatabase=PVGIS-SARAH3&amp;pvtechchoice=crystSi&amp;mountingplace=free&amp;usehorizon=1</v>
      </c>
    </row>
    <row r="4527">
      <c r="A4527" t="n">
        <v>70</v>
      </c>
      <c r="B4527" t="n">
        <v>315</v>
      </c>
      <c r="C4527" t="n">
        <v>6</v>
      </c>
      <c r="D4527" s="218" t="n">
        <v>106.92</v>
      </c>
      <c r="E4527" s="218" t="n">
        <v>3.56</v>
      </c>
      <c r="F4527" t="str">
        <v>https://re.jrc.ec.europa.eu/api/v5_3/PVcalc?lat=30.0444&amp;lon=31.2357&amp;peakpower=1&amp;loss=14&amp;angle=70&amp;aspect=135&amp;outputformat=json&amp;raddatabase=PVGIS-SARAH3&amp;pvtechchoice=crystSi&amp;mountingplace=free&amp;usehorizon=1</v>
      </c>
    </row>
    <row r="4528">
      <c r="A4528" t="n">
        <v>70</v>
      </c>
      <c r="B4528" t="n">
        <v>315</v>
      </c>
      <c r="C4528" t="n">
        <v>7</v>
      </c>
      <c r="D4528" s="218" t="n">
        <v>106.77</v>
      </c>
      <c r="E4528" s="218" t="n">
        <v>3.44</v>
      </c>
      <c r="F4528" t="str">
        <v>https://re.jrc.ec.europa.eu/api/v5_3/PVcalc?lat=30.0444&amp;lon=31.2357&amp;peakpower=1&amp;loss=14&amp;angle=70&amp;aspect=135&amp;outputformat=json&amp;raddatabase=PVGIS-SARAH3&amp;pvtechchoice=crystSi&amp;mountingplace=free&amp;usehorizon=1</v>
      </c>
    </row>
    <row r="4529">
      <c r="A4529" t="n">
        <v>70</v>
      </c>
      <c r="B4529" t="n">
        <v>315</v>
      </c>
      <c r="C4529" t="n">
        <v>8</v>
      </c>
      <c r="D4529" s="218" t="n">
        <v>87.73</v>
      </c>
      <c r="E4529" s="218" t="n">
        <v>2.83</v>
      </c>
      <c r="F4529" t="str">
        <v>https://re.jrc.ec.europa.eu/api/v5_3/PVcalc?lat=30.0444&amp;lon=31.2357&amp;peakpower=1&amp;loss=14&amp;angle=70&amp;aspect=135&amp;outputformat=json&amp;raddatabase=PVGIS-SARAH3&amp;pvtechchoice=crystSi&amp;mountingplace=free&amp;usehorizon=1</v>
      </c>
    </row>
    <row r="4530">
      <c r="A4530" t="n">
        <v>70</v>
      </c>
      <c r="B4530" t="n">
        <v>315</v>
      </c>
      <c r="C4530" t="n">
        <v>9</v>
      </c>
      <c r="D4530" s="218" t="n">
        <v>61.89</v>
      </c>
      <c r="E4530" s="218" t="n">
        <v>2.06</v>
      </c>
      <c r="F4530" t="str">
        <v>https://re.jrc.ec.europa.eu/api/v5_3/PVcalc?lat=30.0444&amp;lon=31.2357&amp;peakpower=1&amp;loss=14&amp;angle=70&amp;aspect=135&amp;outputformat=json&amp;raddatabase=PVGIS-SARAH3&amp;pvtechchoice=crystSi&amp;mountingplace=free&amp;usehorizon=1</v>
      </c>
    </row>
    <row r="4531">
      <c r="A4531" t="n">
        <v>70</v>
      </c>
      <c r="B4531" t="n">
        <v>315</v>
      </c>
      <c r="C4531" t="n">
        <v>10</v>
      </c>
      <c r="D4531" s="218" t="n">
        <v>39.62</v>
      </c>
      <c r="E4531" s="218" t="n">
        <v>1.28</v>
      </c>
      <c r="F4531" t="str">
        <v>https://re.jrc.ec.europa.eu/api/v5_3/PVcalc?lat=30.0444&amp;lon=31.2357&amp;peakpower=1&amp;loss=14&amp;angle=70&amp;aspect=135&amp;outputformat=json&amp;raddatabase=PVGIS-SARAH3&amp;pvtechchoice=crystSi&amp;mountingplace=free&amp;usehorizon=1</v>
      </c>
    </row>
    <row r="4532">
      <c r="A4532" t="n">
        <v>70</v>
      </c>
      <c r="B4532" t="n">
        <v>315</v>
      </c>
      <c r="C4532" t="n">
        <v>11</v>
      </c>
      <c r="D4532" s="218" t="n">
        <v>23.67</v>
      </c>
      <c r="E4532" s="218" t="n">
        <v>0.79</v>
      </c>
      <c r="F4532" t="str">
        <v>https://re.jrc.ec.europa.eu/api/v5_3/PVcalc?lat=30.0444&amp;lon=31.2357&amp;peakpower=1&amp;loss=14&amp;angle=70&amp;aspect=135&amp;outputformat=json&amp;raddatabase=PVGIS-SARAH3&amp;pvtechchoice=crystSi&amp;mountingplace=free&amp;usehorizon=1</v>
      </c>
    </row>
    <row r="4533">
      <c r="A4533" t="n">
        <v>70</v>
      </c>
      <c r="B4533" t="n">
        <v>315</v>
      </c>
      <c r="C4533" t="n">
        <v>12</v>
      </c>
      <c r="D4533" s="218" t="n">
        <v>19.14</v>
      </c>
      <c r="E4533" s="218" t="n">
        <v>0.62</v>
      </c>
      <c r="F4533" t="str">
        <v>https://re.jrc.ec.europa.eu/api/v5_3/PVcalc?lat=30.0444&amp;lon=31.2357&amp;peakpower=1&amp;loss=14&amp;angle=70&amp;aspect=135&amp;outputformat=json&amp;raddatabase=PVGIS-SARAH3&amp;pvtechchoice=crystSi&amp;mountingplace=free&amp;usehorizon=1</v>
      </c>
    </row>
    <row r="4534">
      <c r="A4534" t="n">
        <v>70</v>
      </c>
      <c r="B4534" t="n">
        <v>330</v>
      </c>
      <c r="C4534" t="n">
        <v>1</v>
      </c>
      <c r="D4534" s="218" t="n">
        <v>16.43</v>
      </c>
      <c r="E4534" s="218" t="n">
        <v>0.53</v>
      </c>
      <c r="F4534" t="str">
        <v>https://re.jrc.ec.europa.eu/api/v5_3/PVcalc?lat=30.0444&amp;lon=31.2357&amp;peakpower=1&amp;loss=14&amp;angle=70&amp;aspect=150&amp;outputformat=json&amp;raddatabase=PVGIS-SARAH3&amp;pvtechchoice=crystSi&amp;mountingplace=free&amp;usehorizon=1</v>
      </c>
    </row>
    <row r="4535">
      <c r="A4535" t="n">
        <v>70</v>
      </c>
      <c r="B4535" t="n">
        <v>330</v>
      </c>
      <c r="C4535" t="n">
        <v>2</v>
      </c>
      <c r="D4535" s="218" t="n">
        <v>22.14</v>
      </c>
      <c r="E4535" s="218" t="n">
        <v>0.79</v>
      </c>
      <c r="F4535" t="str">
        <v>https://re.jrc.ec.europa.eu/api/v5_3/PVcalc?lat=30.0444&amp;lon=31.2357&amp;peakpower=1&amp;loss=14&amp;angle=70&amp;aspect=150&amp;outputformat=json&amp;raddatabase=PVGIS-SARAH3&amp;pvtechchoice=crystSi&amp;mountingplace=free&amp;usehorizon=1</v>
      </c>
    </row>
    <row r="4536">
      <c r="A4536" t="n">
        <v>70</v>
      </c>
      <c r="B4536" t="n">
        <v>330</v>
      </c>
      <c r="C4536" t="n">
        <v>3</v>
      </c>
      <c r="D4536" s="218" t="n">
        <v>40.54</v>
      </c>
      <c r="E4536" s="218" t="n">
        <v>1.31</v>
      </c>
      <c r="F4536" t="str">
        <v>https://re.jrc.ec.europa.eu/api/v5_3/PVcalc?lat=30.0444&amp;lon=31.2357&amp;peakpower=1&amp;loss=14&amp;angle=70&amp;aspect=150&amp;outputformat=json&amp;raddatabase=PVGIS-SARAH3&amp;pvtechchoice=crystSi&amp;mountingplace=free&amp;usehorizon=1</v>
      </c>
    </row>
    <row r="4537">
      <c r="A4537" t="n">
        <v>70</v>
      </c>
      <c r="B4537" t="n">
        <v>330</v>
      </c>
      <c r="C4537" t="n">
        <v>4</v>
      </c>
      <c r="D4537" s="218" t="n">
        <v>60.6</v>
      </c>
      <c r="E4537" s="218" t="n">
        <v>2.02</v>
      </c>
      <c r="F4537" t="str">
        <v>https://re.jrc.ec.europa.eu/api/v5_3/PVcalc?lat=30.0444&amp;lon=31.2357&amp;peakpower=1&amp;loss=14&amp;angle=70&amp;aspect=150&amp;outputformat=json&amp;raddatabase=PVGIS-SARAH3&amp;pvtechchoice=crystSi&amp;mountingplace=free&amp;usehorizon=1</v>
      </c>
    </row>
    <row r="4538">
      <c r="A4538" t="n">
        <v>70</v>
      </c>
      <c r="B4538" t="n">
        <v>330</v>
      </c>
      <c r="C4538" t="n">
        <v>5</v>
      </c>
      <c r="D4538" s="218" t="n">
        <v>83.61</v>
      </c>
      <c r="E4538" s="218" t="n">
        <v>2.7</v>
      </c>
      <c r="F4538" t="str">
        <v>https://re.jrc.ec.europa.eu/api/v5_3/PVcalc?lat=30.0444&amp;lon=31.2357&amp;peakpower=1&amp;loss=14&amp;angle=70&amp;aspect=150&amp;outputformat=json&amp;raddatabase=PVGIS-SARAH3&amp;pvtechchoice=crystSi&amp;mountingplace=free&amp;usehorizon=1</v>
      </c>
    </row>
    <row r="4539">
      <c r="A4539" t="n">
        <v>70</v>
      </c>
      <c r="B4539" t="n">
        <v>330</v>
      </c>
      <c r="C4539" t="n">
        <v>6</v>
      </c>
      <c r="D4539" s="218" t="n">
        <v>95.59</v>
      </c>
      <c r="E4539" s="218" t="n">
        <v>3.19</v>
      </c>
      <c r="F4539" t="str">
        <v>https://re.jrc.ec.europa.eu/api/v5_3/PVcalc?lat=30.0444&amp;lon=31.2357&amp;peakpower=1&amp;loss=14&amp;angle=70&amp;aspect=150&amp;outputformat=json&amp;raddatabase=PVGIS-SARAH3&amp;pvtechchoice=crystSi&amp;mountingplace=free&amp;usehorizon=1</v>
      </c>
    </row>
    <row r="4540">
      <c r="A4540" t="n">
        <v>70</v>
      </c>
      <c r="B4540" t="n">
        <v>330</v>
      </c>
      <c r="C4540" t="n">
        <v>7</v>
      </c>
      <c r="D4540" s="218" t="n">
        <v>93.48</v>
      </c>
      <c r="E4540" s="218" t="n">
        <v>3.02</v>
      </c>
      <c r="F4540" t="str">
        <v>https://re.jrc.ec.europa.eu/api/v5_3/PVcalc?lat=30.0444&amp;lon=31.2357&amp;peakpower=1&amp;loss=14&amp;angle=70&amp;aspect=150&amp;outputformat=json&amp;raddatabase=PVGIS-SARAH3&amp;pvtechchoice=crystSi&amp;mountingplace=free&amp;usehorizon=1</v>
      </c>
    </row>
    <row r="4541">
      <c r="A4541" t="n">
        <v>70</v>
      </c>
      <c r="B4541" t="n">
        <v>330</v>
      </c>
      <c r="C4541" t="n">
        <v>8</v>
      </c>
      <c r="D4541" s="218" t="n">
        <v>71.18</v>
      </c>
      <c r="E4541" s="218" t="n">
        <v>2.3</v>
      </c>
      <c r="F4541" t="str">
        <v>https://re.jrc.ec.europa.eu/api/v5_3/PVcalc?lat=30.0444&amp;lon=31.2357&amp;peakpower=1&amp;loss=14&amp;angle=70&amp;aspect=150&amp;outputformat=json&amp;raddatabase=PVGIS-SARAH3&amp;pvtechchoice=crystSi&amp;mountingplace=free&amp;usehorizon=1</v>
      </c>
    </row>
    <row r="4542">
      <c r="A4542" t="n">
        <v>70</v>
      </c>
      <c r="B4542" t="n">
        <v>330</v>
      </c>
      <c r="C4542" t="n">
        <v>9</v>
      </c>
      <c r="D4542" s="218" t="n">
        <v>44.87</v>
      </c>
      <c r="E4542" s="218" t="n">
        <v>1.5</v>
      </c>
      <c r="F4542" t="str">
        <v>https://re.jrc.ec.europa.eu/api/v5_3/PVcalc?lat=30.0444&amp;lon=31.2357&amp;peakpower=1&amp;loss=14&amp;angle=70&amp;aspect=150&amp;outputformat=json&amp;raddatabase=PVGIS-SARAH3&amp;pvtechchoice=crystSi&amp;mountingplace=free&amp;usehorizon=1</v>
      </c>
    </row>
    <row r="4543">
      <c r="A4543" t="n">
        <v>70</v>
      </c>
      <c r="B4543" t="n">
        <v>330</v>
      </c>
      <c r="C4543" t="n">
        <v>10</v>
      </c>
      <c r="D4543" s="218" t="n">
        <v>26.22</v>
      </c>
      <c r="E4543" s="218" t="n">
        <v>0.85</v>
      </c>
      <c r="F4543" t="str">
        <v>https://re.jrc.ec.europa.eu/api/v5_3/PVcalc?lat=30.0444&amp;lon=31.2357&amp;peakpower=1&amp;loss=14&amp;angle=70&amp;aspect=150&amp;outputformat=json&amp;raddatabase=PVGIS-SARAH3&amp;pvtechchoice=crystSi&amp;mountingplace=free&amp;usehorizon=1</v>
      </c>
    </row>
    <row r="4544">
      <c r="A4544" t="n">
        <v>70</v>
      </c>
      <c r="B4544" t="n">
        <v>330</v>
      </c>
      <c r="C4544" t="n">
        <v>11</v>
      </c>
      <c r="D4544" s="218" t="n">
        <v>16.42</v>
      </c>
      <c r="E4544" s="218" t="n">
        <v>0.55</v>
      </c>
      <c r="F4544" t="str">
        <v>https://re.jrc.ec.europa.eu/api/v5_3/PVcalc?lat=30.0444&amp;lon=31.2357&amp;peakpower=1&amp;loss=14&amp;angle=70&amp;aspect=150&amp;outputformat=json&amp;raddatabase=PVGIS-SARAH3&amp;pvtechchoice=crystSi&amp;mountingplace=free&amp;usehorizon=1</v>
      </c>
    </row>
    <row r="4545">
      <c r="A4545" t="n">
        <v>70</v>
      </c>
      <c r="B4545" t="n">
        <v>330</v>
      </c>
      <c r="C4545" t="n">
        <v>12</v>
      </c>
      <c r="D4545" s="218" t="n">
        <v>14.99</v>
      </c>
      <c r="E4545" s="218" t="n">
        <v>0.48</v>
      </c>
      <c r="F4545" t="str">
        <v>https://re.jrc.ec.europa.eu/api/v5_3/PVcalc?lat=30.0444&amp;lon=31.2357&amp;peakpower=1&amp;loss=14&amp;angle=70&amp;aspect=150&amp;outputformat=json&amp;raddatabase=PVGIS-SARAH3&amp;pvtechchoice=crystSi&amp;mountingplace=free&amp;usehorizon=1</v>
      </c>
    </row>
    <row r="4546">
      <c r="A4546" t="n">
        <v>70</v>
      </c>
      <c r="B4546" t="n">
        <v>345</v>
      </c>
      <c r="C4546" t="n">
        <v>1</v>
      </c>
      <c r="D4546" s="218" t="n">
        <v>16.11</v>
      </c>
      <c r="E4546" s="218" t="n">
        <v>0.52</v>
      </c>
      <c r="F4546" t="str">
        <v>https://re.jrc.ec.europa.eu/api/v5_3/PVcalc?lat=30.0444&amp;lon=31.2357&amp;peakpower=1&amp;loss=14&amp;angle=70&amp;aspect=165&amp;outputformat=json&amp;raddatabase=PVGIS-SARAH3&amp;pvtechchoice=crystSi&amp;mountingplace=free&amp;usehorizon=1</v>
      </c>
    </row>
    <row r="4547">
      <c r="A4547" t="n">
        <v>70</v>
      </c>
      <c r="B4547" t="n">
        <v>345</v>
      </c>
      <c r="C4547" t="n">
        <v>2</v>
      </c>
      <c r="D4547" s="218" t="n">
        <v>18.83</v>
      </c>
      <c r="E4547" s="218" t="n">
        <v>0.67</v>
      </c>
      <c r="F4547" t="str">
        <v>https://re.jrc.ec.europa.eu/api/v5_3/PVcalc?lat=30.0444&amp;lon=31.2357&amp;peakpower=1&amp;loss=14&amp;angle=70&amp;aspect=165&amp;outputformat=json&amp;raddatabase=PVGIS-SARAH3&amp;pvtechchoice=crystSi&amp;mountingplace=free&amp;usehorizon=1</v>
      </c>
    </row>
    <row r="4548">
      <c r="A4548" t="n">
        <v>70</v>
      </c>
      <c r="B4548" t="n">
        <v>345</v>
      </c>
      <c r="C4548" t="n">
        <v>3</v>
      </c>
      <c r="D4548" s="218" t="n">
        <v>28.19</v>
      </c>
      <c r="E4548" s="218" t="n">
        <v>0.91</v>
      </c>
      <c r="F4548" t="str">
        <v>https://re.jrc.ec.europa.eu/api/v5_3/PVcalc?lat=30.0444&amp;lon=31.2357&amp;peakpower=1&amp;loss=14&amp;angle=70&amp;aspect=165&amp;outputformat=json&amp;raddatabase=PVGIS-SARAH3&amp;pvtechchoice=crystSi&amp;mountingplace=free&amp;usehorizon=1</v>
      </c>
    </row>
    <row r="4549">
      <c r="A4549" t="n">
        <v>70</v>
      </c>
      <c r="B4549" t="n">
        <v>345</v>
      </c>
      <c r="C4549" t="n">
        <v>4</v>
      </c>
      <c r="D4549" s="218" t="n">
        <v>44.92</v>
      </c>
      <c r="E4549" s="218" t="n">
        <v>1.5</v>
      </c>
      <c r="F4549" t="str">
        <v>https://re.jrc.ec.europa.eu/api/v5_3/PVcalc?lat=30.0444&amp;lon=31.2357&amp;peakpower=1&amp;loss=14&amp;angle=70&amp;aspect=165&amp;outputformat=json&amp;raddatabase=PVGIS-SARAH3&amp;pvtechchoice=crystSi&amp;mountingplace=free&amp;usehorizon=1</v>
      </c>
    </row>
    <row r="4550">
      <c r="A4550" t="n">
        <v>70</v>
      </c>
      <c r="B4550" t="n">
        <v>345</v>
      </c>
      <c r="C4550" t="n">
        <v>5</v>
      </c>
      <c r="D4550" s="218" t="n">
        <v>72.17</v>
      </c>
      <c r="E4550" s="218" t="n">
        <v>2.33</v>
      </c>
      <c r="F4550" t="str">
        <v>https://re.jrc.ec.europa.eu/api/v5_3/PVcalc?lat=30.0444&amp;lon=31.2357&amp;peakpower=1&amp;loss=14&amp;angle=70&amp;aspect=165&amp;outputformat=json&amp;raddatabase=PVGIS-SARAH3&amp;pvtechchoice=crystSi&amp;mountingplace=free&amp;usehorizon=1</v>
      </c>
    </row>
    <row r="4551">
      <c r="A4551" t="n">
        <v>70</v>
      </c>
      <c r="B4551" t="n">
        <v>345</v>
      </c>
      <c r="C4551" t="n">
        <v>6</v>
      </c>
      <c r="D4551" s="218" t="n">
        <v>87.78</v>
      </c>
      <c r="E4551" s="218" t="n">
        <v>2.93</v>
      </c>
      <c r="F4551" t="str">
        <v>https://re.jrc.ec.europa.eu/api/v5_3/PVcalc?lat=30.0444&amp;lon=31.2357&amp;peakpower=1&amp;loss=14&amp;angle=70&amp;aspect=165&amp;outputformat=json&amp;raddatabase=PVGIS-SARAH3&amp;pvtechchoice=crystSi&amp;mountingplace=free&amp;usehorizon=1</v>
      </c>
    </row>
    <row r="4552">
      <c r="A4552" t="n">
        <v>70</v>
      </c>
      <c r="B4552" t="n">
        <v>345</v>
      </c>
      <c r="C4552" t="n">
        <v>7</v>
      </c>
      <c r="D4552" s="218" t="n">
        <v>82.18</v>
      </c>
      <c r="E4552" s="218" t="n">
        <v>2.65</v>
      </c>
      <c r="F4552" t="str">
        <v>https://re.jrc.ec.europa.eu/api/v5_3/PVcalc?lat=30.0444&amp;lon=31.2357&amp;peakpower=1&amp;loss=14&amp;angle=70&amp;aspect=165&amp;outputformat=json&amp;raddatabase=PVGIS-SARAH3&amp;pvtechchoice=crystSi&amp;mountingplace=free&amp;usehorizon=1</v>
      </c>
    </row>
    <row r="4553">
      <c r="A4553" t="n">
        <v>70</v>
      </c>
      <c r="B4553" t="n">
        <v>345</v>
      </c>
      <c r="C4553" t="n">
        <v>8</v>
      </c>
      <c r="D4553" s="218" t="n">
        <v>53.36</v>
      </c>
      <c r="E4553" s="218" t="n">
        <v>1.72</v>
      </c>
      <c r="F4553" t="str">
        <v>https://re.jrc.ec.europa.eu/api/v5_3/PVcalc?lat=30.0444&amp;lon=31.2357&amp;peakpower=1&amp;loss=14&amp;angle=70&amp;aspect=165&amp;outputformat=json&amp;raddatabase=PVGIS-SARAH3&amp;pvtechchoice=crystSi&amp;mountingplace=free&amp;usehorizon=1</v>
      </c>
    </row>
    <row r="4554">
      <c r="A4554" t="n">
        <v>70</v>
      </c>
      <c r="B4554" t="n">
        <v>345</v>
      </c>
      <c r="C4554" t="n">
        <v>9</v>
      </c>
      <c r="D4554" s="218" t="n">
        <v>29.11</v>
      </c>
      <c r="E4554" s="218" t="n">
        <v>0.97</v>
      </c>
      <c r="F4554" t="str">
        <v>https://re.jrc.ec.europa.eu/api/v5_3/PVcalc?lat=30.0444&amp;lon=31.2357&amp;peakpower=1&amp;loss=14&amp;angle=70&amp;aspect=165&amp;outputformat=json&amp;raddatabase=PVGIS-SARAH3&amp;pvtechchoice=crystSi&amp;mountingplace=free&amp;usehorizon=1</v>
      </c>
    </row>
    <row r="4555">
      <c r="A4555" t="n">
        <v>70</v>
      </c>
      <c r="B4555" t="n">
        <v>345</v>
      </c>
      <c r="C4555" t="n">
        <v>10</v>
      </c>
      <c r="D4555" s="218" t="n">
        <v>19.33</v>
      </c>
      <c r="E4555" s="218" t="n">
        <v>0.62</v>
      </c>
      <c r="F4555" t="str">
        <v>https://re.jrc.ec.europa.eu/api/v5_3/PVcalc?lat=30.0444&amp;lon=31.2357&amp;peakpower=1&amp;loss=14&amp;angle=70&amp;aspect=165&amp;outputformat=json&amp;raddatabase=PVGIS-SARAH3&amp;pvtechchoice=crystSi&amp;mountingplace=free&amp;usehorizon=1</v>
      </c>
    </row>
    <row r="4556">
      <c r="A4556" t="n">
        <v>70</v>
      </c>
      <c r="B4556" t="n">
        <v>345</v>
      </c>
      <c r="C4556" t="n">
        <v>11</v>
      </c>
      <c r="D4556" s="218" t="n">
        <v>15.47</v>
      </c>
      <c r="E4556" s="218" t="n">
        <v>0.52</v>
      </c>
      <c r="F4556" t="str">
        <v>https://re.jrc.ec.europa.eu/api/v5_3/PVcalc?lat=30.0444&amp;lon=31.2357&amp;peakpower=1&amp;loss=14&amp;angle=70&amp;aspect=165&amp;outputformat=json&amp;raddatabase=PVGIS-SARAH3&amp;pvtechchoice=crystSi&amp;mountingplace=free&amp;usehorizon=1</v>
      </c>
    </row>
    <row r="4557">
      <c r="A4557" t="n">
        <v>70</v>
      </c>
      <c r="B4557" t="n">
        <v>345</v>
      </c>
      <c r="C4557" t="n">
        <v>12</v>
      </c>
      <c r="D4557" s="218" t="n">
        <v>14.91</v>
      </c>
      <c r="E4557" s="218" t="n">
        <v>0.48</v>
      </c>
      <c r="F4557" t="str">
        <v>https://re.jrc.ec.europa.eu/api/v5_3/PVcalc?lat=30.0444&amp;lon=31.2357&amp;peakpower=1&amp;loss=14&amp;angle=70&amp;aspect=165&amp;outputformat=json&amp;raddatabase=PVGIS-SARAH3&amp;pvtechchoice=crystSi&amp;mountingplace=free&amp;usehorizon=1</v>
      </c>
    </row>
    <row r="4558">
      <c r="A4558" t="n">
        <v>70</v>
      </c>
      <c r="B4558" t="n">
        <v>360</v>
      </c>
      <c r="C4558" t="n">
        <v>1</v>
      </c>
      <c r="D4558" s="218" t="n">
        <v>16.11</v>
      </c>
      <c r="E4558" s="218" t="n">
        <v>0.52</v>
      </c>
      <c r="F4558" t="str">
        <v>https://re.jrc.ec.europa.eu/api/v5_3/PVcalc?lat=30.0444&amp;lon=31.2357&amp;peakpower=1&amp;loss=14&amp;angle=70&amp;aspect=180&amp;outputformat=json&amp;raddatabase=PVGIS-SARAH3&amp;pvtechchoice=crystSi&amp;mountingplace=free&amp;usehorizon=1</v>
      </c>
    </row>
    <row r="4559">
      <c r="A4559" t="n">
        <v>70</v>
      </c>
      <c r="B4559" t="n">
        <v>360</v>
      </c>
      <c r="C4559" t="n">
        <v>2</v>
      </c>
      <c r="D4559" s="218" t="n">
        <v>18.76</v>
      </c>
      <c r="E4559" s="218" t="n">
        <v>0.67</v>
      </c>
      <c r="F4559" t="str">
        <v>https://re.jrc.ec.europa.eu/api/v5_3/PVcalc?lat=30.0444&amp;lon=31.2357&amp;peakpower=1&amp;loss=14&amp;angle=70&amp;aspect=180&amp;outputformat=json&amp;raddatabase=PVGIS-SARAH3&amp;pvtechchoice=crystSi&amp;mountingplace=free&amp;usehorizon=1</v>
      </c>
    </row>
    <row r="4560">
      <c r="A4560" t="n">
        <v>70</v>
      </c>
      <c r="B4560" t="n">
        <v>360</v>
      </c>
      <c r="C4560" t="n">
        <v>3</v>
      </c>
      <c r="D4560" s="218" t="n">
        <v>24.09</v>
      </c>
      <c r="E4560" s="218" t="n">
        <v>0.78</v>
      </c>
      <c r="F4560" t="str">
        <v>https://re.jrc.ec.europa.eu/api/v5_3/PVcalc?lat=30.0444&amp;lon=31.2357&amp;peakpower=1&amp;loss=14&amp;angle=70&amp;aspect=180&amp;outputformat=json&amp;raddatabase=PVGIS-SARAH3&amp;pvtechchoice=crystSi&amp;mountingplace=free&amp;usehorizon=1</v>
      </c>
    </row>
    <row r="4561">
      <c r="A4561" t="n">
        <v>70</v>
      </c>
      <c r="B4561" t="n">
        <v>360</v>
      </c>
      <c r="C4561" t="n">
        <v>4</v>
      </c>
      <c r="D4561" s="218" t="n">
        <v>35.78</v>
      </c>
      <c r="E4561" s="218" t="n">
        <v>1.19</v>
      </c>
      <c r="F4561" t="str">
        <v>https://re.jrc.ec.europa.eu/api/v5_3/PVcalc?lat=30.0444&amp;lon=31.2357&amp;peakpower=1&amp;loss=14&amp;angle=70&amp;aspect=180&amp;outputformat=json&amp;raddatabase=PVGIS-SARAH3&amp;pvtechchoice=crystSi&amp;mountingplace=free&amp;usehorizon=1</v>
      </c>
    </row>
    <row r="4562">
      <c r="A4562" t="n">
        <v>70</v>
      </c>
      <c r="B4562" t="n">
        <v>360</v>
      </c>
      <c r="C4562" t="n">
        <v>5</v>
      </c>
      <c r="D4562" s="218" t="n">
        <v>68.06</v>
      </c>
      <c r="E4562" s="218" t="n">
        <v>2.2</v>
      </c>
      <c r="F4562" t="str">
        <v>https://re.jrc.ec.europa.eu/api/v5_3/PVcalc?lat=30.0444&amp;lon=31.2357&amp;peakpower=1&amp;loss=14&amp;angle=70&amp;aspect=180&amp;outputformat=json&amp;raddatabase=PVGIS-SARAH3&amp;pvtechchoice=crystSi&amp;mountingplace=free&amp;usehorizon=1</v>
      </c>
    </row>
    <row r="4563">
      <c r="A4563" t="n">
        <v>70</v>
      </c>
      <c r="B4563" t="n">
        <v>360</v>
      </c>
      <c r="C4563" t="n">
        <v>6</v>
      </c>
      <c r="D4563" s="218" t="n">
        <v>84.69</v>
      </c>
      <c r="E4563" s="218" t="n">
        <v>2.82</v>
      </c>
      <c r="F4563" t="str">
        <v>https://re.jrc.ec.europa.eu/api/v5_3/PVcalc?lat=30.0444&amp;lon=31.2357&amp;peakpower=1&amp;loss=14&amp;angle=70&amp;aspect=180&amp;outputformat=json&amp;raddatabase=PVGIS-SARAH3&amp;pvtechchoice=crystSi&amp;mountingplace=free&amp;usehorizon=1</v>
      </c>
    </row>
    <row r="4564">
      <c r="A4564" t="n">
        <v>70</v>
      </c>
      <c r="B4564" t="n">
        <v>360</v>
      </c>
      <c r="C4564" t="n">
        <v>7</v>
      </c>
      <c r="D4564" s="218" t="n">
        <v>76.69</v>
      </c>
      <c r="E4564" s="218" t="n">
        <v>2.47</v>
      </c>
      <c r="F4564" t="str">
        <v>https://re.jrc.ec.europa.eu/api/v5_3/PVcalc?lat=30.0444&amp;lon=31.2357&amp;peakpower=1&amp;loss=14&amp;angle=70&amp;aspect=180&amp;outputformat=json&amp;raddatabase=PVGIS-SARAH3&amp;pvtechchoice=crystSi&amp;mountingplace=free&amp;usehorizon=1</v>
      </c>
    </row>
    <row r="4565">
      <c r="A4565" t="n">
        <v>70</v>
      </c>
      <c r="B4565" t="n">
        <v>360</v>
      </c>
      <c r="C4565" t="n">
        <v>8</v>
      </c>
      <c r="D4565" s="218" t="n">
        <v>43.25</v>
      </c>
      <c r="E4565" s="218" t="n">
        <v>1.4</v>
      </c>
      <c r="F4565" t="str">
        <v>https://re.jrc.ec.europa.eu/api/v5_3/PVcalc?lat=30.0444&amp;lon=31.2357&amp;peakpower=1&amp;loss=14&amp;angle=70&amp;aspect=180&amp;outputformat=json&amp;raddatabase=PVGIS-SARAH3&amp;pvtechchoice=crystSi&amp;mountingplace=free&amp;usehorizon=1</v>
      </c>
    </row>
    <row r="4566">
      <c r="A4566" t="n">
        <v>70</v>
      </c>
      <c r="B4566" t="n">
        <v>360</v>
      </c>
      <c r="C4566" t="n">
        <v>9</v>
      </c>
      <c r="D4566" s="218" t="n">
        <v>20.95</v>
      </c>
      <c r="E4566" s="218" t="n">
        <v>0.7</v>
      </c>
      <c r="F4566" t="str">
        <v>https://re.jrc.ec.europa.eu/api/v5_3/PVcalc?lat=30.0444&amp;lon=31.2357&amp;peakpower=1&amp;loss=14&amp;angle=70&amp;aspect=180&amp;outputformat=json&amp;raddatabase=PVGIS-SARAH3&amp;pvtechchoice=crystSi&amp;mountingplace=free&amp;usehorizon=1</v>
      </c>
    </row>
    <row r="4567">
      <c r="A4567" t="n">
        <v>70</v>
      </c>
      <c r="B4567" t="n">
        <v>360</v>
      </c>
      <c r="C4567" t="n">
        <v>10</v>
      </c>
      <c r="D4567" s="218" t="n">
        <v>18.72</v>
      </c>
      <c r="E4567" s="218" t="n">
        <v>0.6</v>
      </c>
      <c r="F4567" t="str">
        <v>https://re.jrc.ec.europa.eu/api/v5_3/PVcalc?lat=30.0444&amp;lon=31.2357&amp;peakpower=1&amp;loss=14&amp;angle=70&amp;aspect=180&amp;outputformat=json&amp;raddatabase=PVGIS-SARAH3&amp;pvtechchoice=crystSi&amp;mountingplace=free&amp;usehorizon=1</v>
      </c>
    </row>
    <row r="4568">
      <c r="A4568" t="n">
        <v>70</v>
      </c>
      <c r="B4568" t="n">
        <v>360</v>
      </c>
      <c r="C4568" t="n">
        <v>11</v>
      </c>
      <c r="D4568" s="218" t="n">
        <v>15.47</v>
      </c>
      <c r="E4568" s="218" t="n">
        <v>0.52</v>
      </c>
      <c r="F4568" t="str">
        <v>https://re.jrc.ec.europa.eu/api/v5_3/PVcalc?lat=30.0444&amp;lon=31.2357&amp;peakpower=1&amp;loss=14&amp;angle=70&amp;aspect=180&amp;outputformat=json&amp;raddatabase=PVGIS-SARAH3&amp;pvtechchoice=crystSi&amp;mountingplace=free&amp;usehorizon=1</v>
      </c>
    </row>
    <row r="4569">
      <c r="A4569" t="n">
        <v>70</v>
      </c>
      <c r="B4569" t="n">
        <v>360</v>
      </c>
      <c r="C4569" t="n">
        <v>12</v>
      </c>
      <c r="D4569" s="218" t="n">
        <v>14.91</v>
      </c>
      <c r="E4569" s="218" t="n">
        <v>0.48</v>
      </c>
      <c r="F4569" t="str">
        <v>https://re.jrc.ec.europa.eu/api/v5_3/PVcalc?lat=30.0444&amp;lon=31.2357&amp;peakpower=1&amp;loss=14&amp;angle=70&amp;aspect=180&amp;outputformat=json&amp;raddatabase=PVGIS-SARAH3&amp;pvtechchoice=crystSi&amp;mountingplace=free&amp;usehorizon=1</v>
      </c>
    </row>
    <row r="4570">
      <c r="A4570" t="n">
        <v>75</v>
      </c>
      <c r="B4570" t="n">
        <v>0</v>
      </c>
      <c r="C4570" t="n">
        <v>1</v>
      </c>
      <c r="D4570" s="218" t="n">
        <v>14.83</v>
      </c>
      <c r="E4570" s="218" t="n">
        <v>0.48</v>
      </c>
      <c r="F4570" t="str">
        <v>https://re.jrc.ec.europa.eu/api/v5_3/PVcalc?lat=30.0444&amp;lon=31.2357&amp;peakpower=1&amp;loss=14&amp;angle=75&amp;aspect=-180&amp;outputformat=json&amp;raddatabase=PVGIS-SARAH3&amp;pvtechchoice=crystSi&amp;mountingplace=free&amp;usehorizon=1</v>
      </c>
    </row>
    <row r="4571">
      <c r="A4571" t="n">
        <v>75</v>
      </c>
      <c r="B4571" t="n">
        <v>0</v>
      </c>
      <c r="C4571" t="n">
        <v>2</v>
      </c>
      <c r="D4571" s="218" t="n">
        <v>17.3</v>
      </c>
      <c r="E4571" s="218" t="n">
        <v>0.62</v>
      </c>
      <c r="F4571" t="str">
        <v>https://re.jrc.ec.europa.eu/api/v5_3/PVcalc?lat=30.0444&amp;lon=31.2357&amp;peakpower=1&amp;loss=14&amp;angle=75&amp;aspect=-180&amp;outputformat=json&amp;raddatabase=PVGIS-SARAH3&amp;pvtechchoice=crystSi&amp;mountingplace=free&amp;usehorizon=1</v>
      </c>
    </row>
    <row r="4572">
      <c r="A4572" t="n">
        <v>75</v>
      </c>
      <c r="B4572" t="n">
        <v>0</v>
      </c>
      <c r="C4572" t="n">
        <v>3</v>
      </c>
      <c r="D4572" s="218" t="n">
        <v>22.17</v>
      </c>
      <c r="E4572" s="218" t="n">
        <v>0.72</v>
      </c>
      <c r="F4572" t="str">
        <v>https://re.jrc.ec.europa.eu/api/v5_3/PVcalc?lat=30.0444&amp;lon=31.2357&amp;peakpower=1&amp;loss=14&amp;angle=75&amp;aspect=-180&amp;outputformat=json&amp;raddatabase=PVGIS-SARAH3&amp;pvtechchoice=crystSi&amp;mountingplace=free&amp;usehorizon=1</v>
      </c>
    </row>
    <row r="4573">
      <c r="A4573" t="n">
        <v>75</v>
      </c>
      <c r="B4573" t="n">
        <v>0</v>
      </c>
      <c r="C4573" t="n">
        <v>4</v>
      </c>
      <c r="D4573" s="218" t="n">
        <v>29.28</v>
      </c>
      <c r="E4573" s="218" t="n">
        <v>0.98</v>
      </c>
      <c r="F4573" t="str">
        <v>https://re.jrc.ec.europa.eu/api/v5_3/PVcalc?lat=30.0444&amp;lon=31.2357&amp;peakpower=1&amp;loss=14&amp;angle=75&amp;aspect=-180&amp;outputformat=json&amp;raddatabase=PVGIS-SARAH3&amp;pvtechchoice=crystSi&amp;mountingplace=free&amp;usehorizon=1</v>
      </c>
    </row>
    <row r="4574">
      <c r="A4574" t="n">
        <v>75</v>
      </c>
      <c r="B4574" t="n">
        <v>0</v>
      </c>
      <c r="C4574" t="n">
        <v>5</v>
      </c>
      <c r="D4574" s="218" t="n">
        <v>55.51</v>
      </c>
      <c r="E4574" s="218" t="n">
        <v>1.79</v>
      </c>
      <c r="F4574" t="str">
        <v>https://re.jrc.ec.europa.eu/api/v5_3/PVcalc?lat=30.0444&amp;lon=31.2357&amp;peakpower=1&amp;loss=14&amp;angle=75&amp;aspect=-180&amp;outputformat=json&amp;raddatabase=PVGIS-SARAH3&amp;pvtechchoice=crystSi&amp;mountingplace=free&amp;usehorizon=1</v>
      </c>
    </row>
    <row r="4575">
      <c r="A4575" t="n">
        <v>75</v>
      </c>
      <c r="B4575" t="n">
        <v>0</v>
      </c>
      <c r="C4575" t="n">
        <v>6</v>
      </c>
      <c r="D4575" s="218" t="n">
        <v>70.04</v>
      </c>
      <c r="E4575" s="218" t="n">
        <v>2.33</v>
      </c>
      <c r="F4575" t="str">
        <v>https://re.jrc.ec.europa.eu/api/v5_3/PVcalc?lat=30.0444&amp;lon=31.2357&amp;peakpower=1&amp;loss=14&amp;angle=75&amp;aspect=-180&amp;outputformat=json&amp;raddatabase=PVGIS-SARAH3&amp;pvtechchoice=crystSi&amp;mountingplace=free&amp;usehorizon=1</v>
      </c>
    </row>
    <row r="4576">
      <c r="A4576" t="n">
        <v>75</v>
      </c>
      <c r="B4576" t="n">
        <v>0</v>
      </c>
      <c r="C4576" t="n">
        <v>7</v>
      </c>
      <c r="D4576" s="218" t="n">
        <v>62.14</v>
      </c>
      <c r="E4576" s="218" t="n">
        <v>2</v>
      </c>
      <c r="F4576" t="str">
        <v>https://re.jrc.ec.europa.eu/api/v5_3/PVcalc?lat=30.0444&amp;lon=31.2357&amp;peakpower=1&amp;loss=14&amp;angle=75&amp;aspect=-180&amp;outputformat=json&amp;raddatabase=PVGIS-SARAH3&amp;pvtechchoice=crystSi&amp;mountingplace=free&amp;usehorizon=1</v>
      </c>
    </row>
    <row r="4577">
      <c r="A4577" t="n">
        <v>75</v>
      </c>
      <c r="B4577" t="n">
        <v>0</v>
      </c>
      <c r="C4577" t="n">
        <v>8</v>
      </c>
      <c r="D4577" s="218" t="n">
        <v>33.62</v>
      </c>
      <c r="E4577" s="218" t="n">
        <v>1.08</v>
      </c>
      <c r="F4577" t="str">
        <v>https://re.jrc.ec.europa.eu/api/v5_3/PVcalc?lat=30.0444&amp;lon=31.2357&amp;peakpower=1&amp;loss=14&amp;angle=75&amp;aspect=-180&amp;outputformat=json&amp;raddatabase=PVGIS-SARAH3&amp;pvtechchoice=crystSi&amp;mountingplace=free&amp;usehorizon=1</v>
      </c>
    </row>
    <row r="4578">
      <c r="A4578" t="n">
        <v>75</v>
      </c>
      <c r="B4578" t="n">
        <v>0</v>
      </c>
      <c r="C4578" t="n">
        <v>9</v>
      </c>
      <c r="D4578" s="218" t="n">
        <v>18.87</v>
      </c>
      <c r="E4578" s="218" t="n">
        <v>0.63</v>
      </c>
      <c r="F4578" t="str">
        <v>https://re.jrc.ec.europa.eu/api/v5_3/PVcalc?lat=30.0444&amp;lon=31.2357&amp;peakpower=1&amp;loss=14&amp;angle=75&amp;aspect=-180&amp;outputformat=json&amp;raddatabase=PVGIS-SARAH3&amp;pvtechchoice=crystSi&amp;mountingplace=free&amp;usehorizon=1</v>
      </c>
    </row>
    <row r="4579">
      <c r="A4579" t="n">
        <v>75</v>
      </c>
      <c r="B4579" t="n">
        <v>0</v>
      </c>
      <c r="C4579" t="n">
        <v>10</v>
      </c>
      <c r="D4579" s="218" t="n">
        <v>17.24</v>
      </c>
      <c r="E4579" s="218" t="n">
        <v>0.56</v>
      </c>
      <c r="F4579" t="str">
        <v>https://re.jrc.ec.europa.eu/api/v5_3/PVcalc?lat=30.0444&amp;lon=31.2357&amp;peakpower=1&amp;loss=14&amp;angle=75&amp;aspect=-180&amp;outputformat=json&amp;raddatabase=PVGIS-SARAH3&amp;pvtechchoice=crystSi&amp;mountingplace=free&amp;usehorizon=1</v>
      </c>
    </row>
    <row r="4580">
      <c r="A4580" t="n">
        <v>75</v>
      </c>
      <c r="B4580" t="n">
        <v>0</v>
      </c>
      <c r="C4580" t="n">
        <v>11</v>
      </c>
      <c r="D4580" s="218" t="n">
        <v>14.23</v>
      </c>
      <c r="E4580" s="218" t="n">
        <v>0.47</v>
      </c>
      <c r="F4580" t="str">
        <v>https://re.jrc.ec.europa.eu/api/v5_3/PVcalc?lat=30.0444&amp;lon=31.2357&amp;peakpower=1&amp;loss=14&amp;angle=75&amp;aspect=-180&amp;outputformat=json&amp;raddatabase=PVGIS-SARAH3&amp;pvtechchoice=crystSi&amp;mountingplace=free&amp;usehorizon=1</v>
      </c>
    </row>
    <row r="4581">
      <c r="A4581" t="n">
        <v>75</v>
      </c>
      <c r="B4581" t="n">
        <v>0</v>
      </c>
      <c r="C4581" t="n">
        <v>12</v>
      </c>
      <c r="D4581" s="218" t="n">
        <v>13.71</v>
      </c>
      <c r="E4581" s="218" t="n">
        <v>0.44</v>
      </c>
      <c r="F4581" t="str">
        <v>https://re.jrc.ec.europa.eu/api/v5_3/PVcalc?lat=30.0444&amp;lon=31.2357&amp;peakpower=1&amp;loss=14&amp;angle=75&amp;aspect=-180&amp;outputformat=json&amp;raddatabase=PVGIS-SARAH3&amp;pvtechchoice=crystSi&amp;mountingplace=free&amp;usehorizon=1</v>
      </c>
    </row>
    <row r="4582">
      <c r="A4582" t="n">
        <v>75</v>
      </c>
      <c r="B4582" t="n">
        <v>15</v>
      </c>
      <c r="C4582" t="n">
        <v>1</v>
      </c>
      <c r="D4582" s="218" t="n">
        <v>14.83</v>
      </c>
      <c r="E4582" s="218" t="n">
        <v>0.48</v>
      </c>
      <c r="F4582" t="str">
        <v>https://re.jrc.ec.europa.eu/api/v5_3/PVcalc?lat=30.0444&amp;lon=31.2357&amp;peakpower=1&amp;loss=14&amp;angle=75&amp;aspect=-165&amp;outputformat=json&amp;raddatabase=PVGIS-SARAH3&amp;pvtechchoice=crystSi&amp;mountingplace=free&amp;usehorizon=1</v>
      </c>
    </row>
    <row r="4583">
      <c r="A4583" t="n">
        <v>75</v>
      </c>
      <c r="B4583" t="n">
        <v>15</v>
      </c>
      <c r="C4583" t="n">
        <v>2</v>
      </c>
      <c r="D4583" s="218" t="n">
        <v>17.35</v>
      </c>
      <c r="E4583" s="218" t="n">
        <v>0.62</v>
      </c>
      <c r="F4583" t="str">
        <v>https://re.jrc.ec.europa.eu/api/v5_3/PVcalc?lat=30.0444&amp;lon=31.2357&amp;peakpower=1&amp;loss=14&amp;angle=75&amp;aspect=-165&amp;outputformat=json&amp;raddatabase=PVGIS-SARAH3&amp;pvtechchoice=crystSi&amp;mountingplace=free&amp;usehorizon=1</v>
      </c>
    </row>
    <row r="4584">
      <c r="A4584" t="n">
        <v>75</v>
      </c>
      <c r="B4584" t="n">
        <v>15</v>
      </c>
      <c r="C4584" t="n">
        <v>3</v>
      </c>
      <c r="D4584" s="218" t="n">
        <v>24.69</v>
      </c>
      <c r="E4584" s="218" t="n">
        <v>0.8</v>
      </c>
      <c r="F4584" t="str">
        <v>https://re.jrc.ec.europa.eu/api/v5_3/PVcalc?lat=30.0444&amp;lon=31.2357&amp;peakpower=1&amp;loss=14&amp;angle=75&amp;aspect=-165&amp;outputformat=json&amp;raddatabase=PVGIS-SARAH3&amp;pvtechchoice=crystSi&amp;mountingplace=free&amp;usehorizon=1</v>
      </c>
    </row>
    <row r="4585">
      <c r="A4585" t="n">
        <v>75</v>
      </c>
      <c r="B4585" t="n">
        <v>15</v>
      </c>
      <c r="C4585" t="n">
        <v>4</v>
      </c>
      <c r="D4585" s="218" t="n">
        <v>36.85</v>
      </c>
      <c r="E4585" s="218" t="n">
        <v>1.23</v>
      </c>
      <c r="F4585" t="str">
        <v>https://re.jrc.ec.europa.eu/api/v5_3/PVcalc?lat=30.0444&amp;lon=31.2357&amp;peakpower=1&amp;loss=14&amp;angle=75&amp;aspect=-165&amp;outputformat=json&amp;raddatabase=PVGIS-SARAH3&amp;pvtechchoice=crystSi&amp;mountingplace=free&amp;usehorizon=1</v>
      </c>
    </row>
    <row r="4586">
      <c r="A4586" t="n">
        <v>75</v>
      </c>
      <c r="B4586" t="n">
        <v>15</v>
      </c>
      <c r="C4586" t="n">
        <v>5</v>
      </c>
      <c r="D4586" s="218" t="n">
        <v>58.18</v>
      </c>
      <c r="E4586" s="218" t="n">
        <v>1.88</v>
      </c>
      <c r="F4586" t="str">
        <v>https://re.jrc.ec.europa.eu/api/v5_3/PVcalc?lat=30.0444&amp;lon=31.2357&amp;peakpower=1&amp;loss=14&amp;angle=75&amp;aspect=-165&amp;outputformat=json&amp;raddatabase=PVGIS-SARAH3&amp;pvtechchoice=crystSi&amp;mountingplace=free&amp;usehorizon=1</v>
      </c>
    </row>
    <row r="4587">
      <c r="A4587" t="n">
        <v>75</v>
      </c>
      <c r="B4587" t="n">
        <v>15</v>
      </c>
      <c r="C4587" t="n">
        <v>6</v>
      </c>
      <c r="D4587" s="218" t="n">
        <v>68.86</v>
      </c>
      <c r="E4587" s="218" t="n">
        <v>2.3</v>
      </c>
      <c r="F4587" t="str">
        <v>https://re.jrc.ec.europa.eu/api/v5_3/PVcalc?lat=30.0444&amp;lon=31.2357&amp;peakpower=1&amp;loss=14&amp;angle=75&amp;aspect=-165&amp;outputformat=json&amp;raddatabase=PVGIS-SARAH3&amp;pvtechchoice=crystSi&amp;mountingplace=free&amp;usehorizon=1</v>
      </c>
    </row>
    <row r="4588">
      <c r="A4588" t="n">
        <v>75</v>
      </c>
      <c r="B4588" t="n">
        <v>15</v>
      </c>
      <c r="C4588" t="n">
        <v>7</v>
      </c>
      <c r="D4588" s="218" t="n">
        <v>61.64</v>
      </c>
      <c r="E4588" s="218" t="n">
        <v>1.99</v>
      </c>
      <c r="F4588" t="str">
        <v>https://re.jrc.ec.europa.eu/api/v5_3/PVcalc?lat=30.0444&amp;lon=31.2357&amp;peakpower=1&amp;loss=14&amp;angle=75&amp;aspect=-165&amp;outputformat=json&amp;raddatabase=PVGIS-SARAH3&amp;pvtechchoice=crystSi&amp;mountingplace=free&amp;usehorizon=1</v>
      </c>
    </row>
    <row r="4589">
      <c r="A4589" t="n">
        <v>75</v>
      </c>
      <c r="B4589" t="n">
        <v>15</v>
      </c>
      <c r="C4589" t="n">
        <v>8</v>
      </c>
      <c r="D4589" s="218" t="n">
        <v>40.01</v>
      </c>
      <c r="E4589" s="218" t="n">
        <v>1.29</v>
      </c>
      <c r="F4589" t="str">
        <v>https://re.jrc.ec.europa.eu/api/v5_3/PVcalc?lat=30.0444&amp;lon=31.2357&amp;peakpower=1&amp;loss=14&amp;angle=75&amp;aspect=-165&amp;outputformat=json&amp;raddatabase=PVGIS-SARAH3&amp;pvtechchoice=crystSi&amp;mountingplace=free&amp;usehorizon=1</v>
      </c>
    </row>
    <row r="4590">
      <c r="A4590" t="n">
        <v>75</v>
      </c>
      <c r="B4590" t="n">
        <v>15</v>
      </c>
      <c r="C4590" t="n">
        <v>9</v>
      </c>
      <c r="D4590" s="218" t="n">
        <v>23.25</v>
      </c>
      <c r="E4590" s="218" t="n">
        <v>0.78</v>
      </c>
      <c r="F4590" t="str">
        <v>https://re.jrc.ec.europa.eu/api/v5_3/PVcalc?lat=30.0444&amp;lon=31.2357&amp;peakpower=1&amp;loss=14&amp;angle=75&amp;aspect=-165&amp;outputformat=json&amp;raddatabase=PVGIS-SARAH3&amp;pvtechchoice=crystSi&amp;mountingplace=free&amp;usehorizon=1</v>
      </c>
    </row>
    <row r="4591">
      <c r="A4591" t="n">
        <v>75</v>
      </c>
      <c r="B4591" t="n">
        <v>15</v>
      </c>
      <c r="C4591" t="n">
        <v>10</v>
      </c>
      <c r="D4591" s="218" t="n">
        <v>17.53</v>
      </c>
      <c r="E4591" s="218" t="n">
        <v>0.57</v>
      </c>
      <c r="F4591" t="str">
        <v>https://re.jrc.ec.europa.eu/api/v5_3/PVcalc?lat=30.0444&amp;lon=31.2357&amp;peakpower=1&amp;loss=14&amp;angle=75&amp;aspect=-165&amp;outputformat=json&amp;raddatabase=PVGIS-SARAH3&amp;pvtechchoice=crystSi&amp;mountingplace=free&amp;usehorizon=1</v>
      </c>
    </row>
    <row r="4592">
      <c r="A4592" t="n">
        <v>75</v>
      </c>
      <c r="B4592" t="n">
        <v>15</v>
      </c>
      <c r="C4592" t="n">
        <v>11</v>
      </c>
      <c r="D4592" s="218" t="n">
        <v>14.23</v>
      </c>
      <c r="E4592" s="218" t="n">
        <v>0.47</v>
      </c>
      <c r="F4592" t="str">
        <v>https://re.jrc.ec.europa.eu/api/v5_3/PVcalc?lat=30.0444&amp;lon=31.2357&amp;peakpower=1&amp;loss=14&amp;angle=75&amp;aspect=-165&amp;outputformat=json&amp;raddatabase=PVGIS-SARAH3&amp;pvtechchoice=crystSi&amp;mountingplace=free&amp;usehorizon=1</v>
      </c>
    </row>
    <row r="4593">
      <c r="A4593" t="n">
        <v>75</v>
      </c>
      <c r="B4593" t="n">
        <v>15</v>
      </c>
      <c r="C4593" t="n">
        <v>12</v>
      </c>
      <c r="D4593" s="218" t="n">
        <v>13.71</v>
      </c>
      <c r="E4593" s="218" t="n">
        <v>0.44</v>
      </c>
      <c r="F4593" t="str">
        <v>https://re.jrc.ec.europa.eu/api/v5_3/PVcalc?lat=30.0444&amp;lon=31.2357&amp;peakpower=1&amp;loss=14&amp;angle=75&amp;aspect=-165&amp;outputformat=json&amp;raddatabase=PVGIS-SARAH3&amp;pvtechchoice=crystSi&amp;mountingplace=free&amp;usehorizon=1</v>
      </c>
    </row>
    <row r="4594">
      <c r="A4594" t="n">
        <v>75</v>
      </c>
      <c r="B4594" t="n">
        <v>30</v>
      </c>
      <c r="C4594" t="n">
        <v>1</v>
      </c>
      <c r="D4594" s="218" t="n">
        <v>15.06</v>
      </c>
      <c r="E4594" s="218" t="n">
        <v>0.49</v>
      </c>
      <c r="F4594" t="str">
        <v>https://re.jrc.ec.europa.eu/api/v5_3/PVcalc?lat=30.0444&amp;lon=31.2357&amp;peakpower=1&amp;loss=14&amp;angle=75&amp;aspect=-150&amp;outputformat=json&amp;raddatabase=PVGIS-SARAH3&amp;pvtechchoice=crystSi&amp;mountingplace=free&amp;usehorizon=1</v>
      </c>
    </row>
    <row r="4595">
      <c r="A4595" t="n">
        <v>75</v>
      </c>
      <c r="B4595" t="n">
        <v>30</v>
      </c>
      <c r="C4595" t="n">
        <v>2</v>
      </c>
      <c r="D4595" s="218" t="n">
        <v>20.11</v>
      </c>
      <c r="E4595" s="218" t="n">
        <v>0.72</v>
      </c>
      <c r="F4595" t="str">
        <v>https://re.jrc.ec.europa.eu/api/v5_3/PVcalc?lat=30.0444&amp;lon=31.2357&amp;peakpower=1&amp;loss=14&amp;angle=75&amp;aspect=-150&amp;outputformat=json&amp;raddatabase=PVGIS-SARAH3&amp;pvtechchoice=crystSi&amp;mountingplace=free&amp;usehorizon=1</v>
      </c>
    </row>
    <row r="4596">
      <c r="A4596" t="n">
        <v>75</v>
      </c>
      <c r="B4596" t="n">
        <v>30</v>
      </c>
      <c r="C4596" t="n">
        <v>3</v>
      </c>
      <c r="D4596" s="218" t="n">
        <v>34.3</v>
      </c>
      <c r="E4596" s="218" t="n">
        <v>1.11</v>
      </c>
      <c r="F4596" t="str">
        <v>https://re.jrc.ec.europa.eu/api/v5_3/PVcalc?lat=30.0444&amp;lon=31.2357&amp;peakpower=1&amp;loss=14&amp;angle=75&amp;aspect=-150&amp;outputformat=json&amp;raddatabase=PVGIS-SARAH3&amp;pvtechchoice=crystSi&amp;mountingplace=free&amp;usehorizon=1</v>
      </c>
    </row>
    <row r="4597">
      <c r="A4597" t="n">
        <v>75</v>
      </c>
      <c r="B4597" t="n">
        <v>30</v>
      </c>
      <c r="C4597" t="n">
        <v>4</v>
      </c>
      <c r="D4597" s="218" t="n">
        <v>50.68</v>
      </c>
      <c r="E4597" s="218" t="n">
        <v>1.69</v>
      </c>
      <c r="F4597" t="str">
        <v>https://re.jrc.ec.europa.eu/api/v5_3/PVcalc?lat=30.0444&amp;lon=31.2357&amp;peakpower=1&amp;loss=14&amp;angle=75&amp;aspect=-150&amp;outputformat=json&amp;raddatabase=PVGIS-SARAH3&amp;pvtechchoice=crystSi&amp;mountingplace=free&amp;usehorizon=1</v>
      </c>
    </row>
    <row r="4598">
      <c r="A4598" t="n">
        <v>75</v>
      </c>
      <c r="B4598" t="n">
        <v>30</v>
      </c>
      <c r="C4598" t="n">
        <v>5</v>
      </c>
      <c r="D4598" s="218" t="n">
        <v>70.77</v>
      </c>
      <c r="E4598" s="218" t="n">
        <v>2.28</v>
      </c>
      <c r="F4598" t="str">
        <v>https://re.jrc.ec.europa.eu/api/v5_3/PVcalc?lat=30.0444&amp;lon=31.2357&amp;peakpower=1&amp;loss=14&amp;angle=75&amp;aspect=-150&amp;outputformat=json&amp;raddatabase=PVGIS-SARAH3&amp;pvtechchoice=crystSi&amp;mountingplace=free&amp;usehorizon=1</v>
      </c>
    </row>
    <row r="4599">
      <c r="A4599" t="n">
        <v>75</v>
      </c>
      <c r="B4599" t="n">
        <v>30</v>
      </c>
      <c r="C4599" t="n">
        <v>6</v>
      </c>
      <c r="D4599" s="218" t="n">
        <v>76.97</v>
      </c>
      <c r="E4599" s="218" t="n">
        <v>2.57</v>
      </c>
      <c r="F4599" t="str">
        <v>https://re.jrc.ec.europa.eu/api/v5_3/PVcalc?lat=30.0444&amp;lon=31.2357&amp;peakpower=1&amp;loss=14&amp;angle=75&amp;aspect=-150&amp;outputformat=json&amp;raddatabase=PVGIS-SARAH3&amp;pvtechchoice=crystSi&amp;mountingplace=free&amp;usehorizon=1</v>
      </c>
    </row>
    <row r="4600">
      <c r="A4600" t="n">
        <v>75</v>
      </c>
      <c r="B4600" t="n">
        <v>30</v>
      </c>
      <c r="C4600" t="n">
        <v>7</v>
      </c>
      <c r="D4600" s="218" t="n">
        <v>72.09</v>
      </c>
      <c r="E4600" s="218" t="n">
        <v>2.33</v>
      </c>
      <c r="F4600" t="str">
        <v>https://re.jrc.ec.europa.eu/api/v5_3/PVcalc?lat=30.0444&amp;lon=31.2357&amp;peakpower=1&amp;loss=14&amp;angle=75&amp;aspect=-150&amp;outputformat=json&amp;raddatabase=PVGIS-SARAH3&amp;pvtechchoice=crystSi&amp;mountingplace=free&amp;usehorizon=1</v>
      </c>
    </row>
    <row r="4601">
      <c r="A4601" t="n">
        <v>75</v>
      </c>
      <c r="B4601" t="n">
        <v>30</v>
      </c>
      <c r="C4601" t="n">
        <v>8</v>
      </c>
      <c r="D4601" s="218" t="n">
        <v>55.7</v>
      </c>
      <c r="E4601" s="218" t="n">
        <v>1.8</v>
      </c>
      <c r="F4601" t="str">
        <v>https://re.jrc.ec.europa.eu/api/v5_3/PVcalc?lat=30.0444&amp;lon=31.2357&amp;peakpower=1&amp;loss=14&amp;angle=75&amp;aspect=-150&amp;outputformat=json&amp;raddatabase=PVGIS-SARAH3&amp;pvtechchoice=crystSi&amp;mountingplace=free&amp;usehorizon=1</v>
      </c>
    </row>
    <row r="4602">
      <c r="A4602" t="n">
        <v>75</v>
      </c>
      <c r="B4602" t="n">
        <v>30</v>
      </c>
      <c r="C4602" t="n">
        <v>9</v>
      </c>
      <c r="D4602" s="218" t="n">
        <v>34.72</v>
      </c>
      <c r="E4602" s="218" t="n">
        <v>1.16</v>
      </c>
      <c r="F4602" t="str">
        <v>https://re.jrc.ec.europa.eu/api/v5_3/PVcalc?lat=30.0444&amp;lon=31.2357&amp;peakpower=1&amp;loss=14&amp;angle=75&amp;aspect=-150&amp;outputformat=json&amp;raddatabase=PVGIS-SARAH3&amp;pvtechchoice=crystSi&amp;mountingplace=free&amp;usehorizon=1</v>
      </c>
    </row>
    <row r="4603">
      <c r="A4603" t="n">
        <v>75</v>
      </c>
      <c r="B4603" t="n">
        <v>30</v>
      </c>
      <c r="C4603" t="n">
        <v>10</v>
      </c>
      <c r="D4603" s="218" t="n">
        <v>22.62</v>
      </c>
      <c r="E4603" s="218" t="n">
        <v>0.73</v>
      </c>
      <c r="F4603" t="str">
        <v>https://re.jrc.ec.europa.eu/api/v5_3/PVcalc?lat=30.0444&amp;lon=31.2357&amp;peakpower=1&amp;loss=14&amp;angle=75&amp;aspect=-150&amp;outputformat=json&amp;raddatabase=PVGIS-SARAH3&amp;pvtechchoice=crystSi&amp;mountingplace=free&amp;usehorizon=1</v>
      </c>
    </row>
    <row r="4604">
      <c r="A4604" t="n">
        <v>75</v>
      </c>
      <c r="B4604" t="n">
        <v>30</v>
      </c>
      <c r="C4604" t="n">
        <v>11</v>
      </c>
      <c r="D4604" s="218" t="n">
        <v>14.98</v>
      </c>
      <c r="E4604" s="218" t="n">
        <v>0.5</v>
      </c>
      <c r="F4604" t="str">
        <v>https://re.jrc.ec.europa.eu/api/v5_3/PVcalc?lat=30.0444&amp;lon=31.2357&amp;peakpower=1&amp;loss=14&amp;angle=75&amp;aspect=-150&amp;outputformat=json&amp;raddatabase=PVGIS-SARAH3&amp;pvtechchoice=crystSi&amp;mountingplace=free&amp;usehorizon=1</v>
      </c>
    </row>
    <row r="4605">
      <c r="A4605" t="n">
        <v>75</v>
      </c>
      <c r="B4605" t="n">
        <v>30</v>
      </c>
      <c r="C4605" t="n">
        <v>12</v>
      </c>
      <c r="D4605" s="218" t="n">
        <v>13.78</v>
      </c>
      <c r="E4605" s="218" t="n">
        <v>0.44</v>
      </c>
      <c r="F4605" t="str">
        <v>https://re.jrc.ec.europa.eu/api/v5_3/PVcalc?lat=30.0444&amp;lon=31.2357&amp;peakpower=1&amp;loss=14&amp;angle=75&amp;aspect=-150&amp;outputformat=json&amp;raddatabase=PVGIS-SARAH3&amp;pvtechchoice=crystSi&amp;mountingplace=free&amp;usehorizon=1</v>
      </c>
    </row>
    <row r="4606">
      <c r="A4606" t="n">
        <v>75</v>
      </c>
      <c r="B4606" t="n">
        <v>45</v>
      </c>
      <c r="C4606" t="n">
        <v>1</v>
      </c>
      <c r="D4606" s="218" t="n">
        <v>19.68</v>
      </c>
      <c r="E4606" s="218" t="n">
        <v>0.63</v>
      </c>
      <c r="F4606" t="str">
        <v>https://re.jrc.ec.europa.eu/api/v5_3/PVcalc?lat=30.0444&amp;lon=31.2357&amp;peakpower=1&amp;loss=14&amp;angle=75&amp;aspect=-135&amp;outputformat=json&amp;raddatabase=PVGIS-SARAH3&amp;pvtechchoice=crystSi&amp;mountingplace=free&amp;usehorizon=1</v>
      </c>
    </row>
    <row r="4607">
      <c r="A4607" t="n">
        <v>75</v>
      </c>
      <c r="B4607" t="n">
        <v>45</v>
      </c>
      <c r="C4607" t="n">
        <v>2</v>
      </c>
      <c r="D4607" s="218" t="n">
        <v>29.13</v>
      </c>
      <c r="E4607" s="218" t="n">
        <v>1.04</v>
      </c>
      <c r="F4607" t="str">
        <v>https://re.jrc.ec.europa.eu/api/v5_3/PVcalc?lat=30.0444&amp;lon=31.2357&amp;peakpower=1&amp;loss=14&amp;angle=75&amp;aspect=-135&amp;outputformat=json&amp;raddatabase=PVGIS-SARAH3&amp;pvtechchoice=crystSi&amp;mountingplace=free&amp;usehorizon=1</v>
      </c>
    </row>
    <row r="4608">
      <c r="A4608" t="n">
        <v>75</v>
      </c>
      <c r="B4608" t="n">
        <v>45</v>
      </c>
      <c r="C4608" t="n">
        <v>3</v>
      </c>
      <c r="D4608" s="218" t="n">
        <v>48.17</v>
      </c>
      <c r="E4608" s="218" t="n">
        <v>1.55</v>
      </c>
      <c r="F4608" t="str">
        <v>https://re.jrc.ec.europa.eu/api/v5_3/PVcalc?lat=30.0444&amp;lon=31.2357&amp;peakpower=1&amp;loss=14&amp;angle=75&amp;aspect=-135&amp;outputformat=json&amp;raddatabase=PVGIS-SARAH3&amp;pvtechchoice=crystSi&amp;mountingplace=free&amp;usehorizon=1</v>
      </c>
    </row>
    <row r="4609">
      <c r="A4609" t="n">
        <v>75</v>
      </c>
      <c r="B4609" t="n">
        <v>45</v>
      </c>
      <c r="C4609" t="n">
        <v>4</v>
      </c>
      <c r="D4609" s="218" t="n">
        <v>64.45</v>
      </c>
      <c r="E4609" s="218" t="n">
        <v>2.15</v>
      </c>
      <c r="F4609" t="str">
        <v>https://re.jrc.ec.europa.eu/api/v5_3/PVcalc?lat=30.0444&amp;lon=31.2357&amp;peakpower=1&amp;loss=14&amp;angle=75&amp;aspect=-135&amp;outputformat=json&amp;raddatabase=PVGIS-SARAH3&amp;pvtechchoice=crystSi&amp;mountingplace=free&amp;usehorizon=1</v>
      </c>
    </row>
    <row r="4610">
      <c r="A4610" t="n">
        <v>75</v>
      </c>
      <c r="B4610" t="n">
        <v>45</v>
      </c>
      <c r="C4610" t="n">
        <v>5</v>
      </c>
      <c r="D4610" s="218" t="n">
        <v>83.41</v>
      </c>
      <c r="E4610" s="218" t="n">
        <v>2.69</v>
      </c>
      <c r="F4610" t="str">
        <v>https://re.jrc.ec.europa.eu/api/v5_3/PVcalc?lat=30.0444&amp;lon=31.2357&amp;peakpower=1&amp;loss=14&amp;angle=75&amp;aspect=-135&amp;outputformat=json&amp;raddatabase=PVGIS-SARAH3&amp;pvtechchoice=crystSi&amp;mountingplace=free&amp;usehorizon=1</v>
      </c>
    </row>
    <row r="4611">
      <c r="A4611" t="n">
        <v>75</v>
      </c>
      <c r="B4611" t="n">
        <v>45</v>
      </c>
      <c r="C4611" t="n">
        <v>6</v>
      </c>
      <c r="D4611" s="218" t="n">
        <v>87.63</v>
      </c>
      <c r="E4611" s="218" t="n">
        <v>2.92</v>
      </c>
      <c r="F4611" t="str">
        <v>https://re.jrc.ec.europa.eu/api/v5_3/PVcalc?lat=30.0444&amp;lon=31.2357&amp;peakpower=1&amp;loss=14&amp;angle=75&amp;aspect=-135&amp;outputformat=json&amp;raddatabase=PVGIS-SARAH3&amp;pvtechchoice=crystSi&amp;mountingplace=free&amp;usehorizon=1</v>
      </c>
    </row>
    <row r="4612">
      <c r="A4612" t="n">
        <v>75</v>
      </c>
      <c r="B4612" t="n">
        <v>45</v>
      </c>
      <c r="C4612" t="n">
        <v>7</v>
      </c>
      <c r="D4612" s="218" t="n">
        <v>83.99</v>
      </c>
      <c r="E4612" s="218" t="n">
        <v>2.71</v>
      </c>
      <c r="F4612" t="str">
        <v>https://re.jrc.ec.europa.eu/api/v5_3/PVcalc?lat=30.0444&amp;lon=31.2357&amp;peakpower=1&amp;loss=14&amp;angle=75&amp;aspect=-135&amp;outputformat=json&amp;raddatabase=PVGIS-SARAH3&amp;pvtechchoice=crystSi&amp;mountingplace=free&amp;usehorizon=1</v>
      </c>
    </row>
    <row r="4613">
      <c r="A4613" t="n">
        <v>75</v>
      </c>
      <c r="B4613" t="n">
        <v>45</v>
      </c>
      <c r="C4613" t="n">
        <v>8</v>
      </c>
      <c r="D4613" s="218" t="n">
        <v>70.33</v>
      </c>
      <c r="E4613" s="218" t="n">
        <v>2.27</v>
      </c>
      <c r="F4613" t="str">
        <v>https://re.jrc.ec.europa.eu/api/v5_3/PVcalc?lat=30.0444&amp;lon=31.2357&amp;peakpower=1&amp;loss=14&amp;angle=75&amp;aspect=-135&amp;outputformat=json&amp;raddatabase=PVGIS-SARAH3&amp;pvtechchoice=crystSi&amp;mountingplace=free&amp;usehorizon=1</v>
      </c>
    </row>
    <row r="4614">
      <c r="A4614" t="n">
        <v>75</v>
      </c>
      <c r="B4614" t="n">
        <v>45</v>
      </c>
      <c r="C4614" t="n">
        <v>9</v>
      </c>
      <c r="D4614" s="218" t="n">
        <v>48.83</v>
      </c>
      <c r="E4614" s="218" t="n">
        <v>1.63</v>
      </c>
      <c r="F4614" t="str">
        <v>https://re.jrc.ec.europa.eu/api/v5_3/PVcalc?lat=30.0444&amp;lon=31.2357&amp;peakpower=1&amp;loss=14&amp;angle=75&amp;aspect=-135&amp;outputformat=json&amp;raddatabase=PVGIS-SARAH3&amp;pvtechchoice=crystSi&amp;mountingplace=free&amp;usehorizon=1</v>
      </c>
    </row>
    <row r="4615">
      <c r="A4615" t="n">
        <v>75</v>
      </c>
      <c r="B4615" t="n">
        <v>45</v>
      </c>
      <c r="C4615" t="n">
        <v>10</v>
      </c>
      <c r="D4615" s="218" t="n">
        <v>34.34</v>
      </c>
      <c r="E4615" s="218" t="n">
        <v>1.11</v>
      </c>
      <c r="F4615" t="str">
        <v>https://re.jrc.ec.europa.eu/api/v5_3/PVcalc?lat=30.0444&amp;lon=31.2357&amp;peakpower=1&amp;loss=14&amp;angle=75&amp;aspect=-135&amp;outputformat=json&amp;raddatabase=PVGIS-SARAH3&amp;pvtechchoice=crystSi&amp;mountingplace=free&amp;usehorizon=1</v>
      </c>
    </row>
    <row r="4616">
      <c r="A4616" t="n">
        <v>75</v>
      </c>
      <c r="B4616" t="n">
        <v>45</v>
      </c>
      <c r="C4616" t="n">
        <v>11</v>
      </c>
      <c r="D4616" s="218" t="n">
        <v>21.55</v>
      </c>
      <c r="E4616" s="218" t="n">
        <v>0.72</v>
      </c>
      <c r="F4616" t="str">
        <v>https://re.jrc.ec.europa.eu/api/v5_3/PVcalc?lat=30.0444&amp;lon=31.2357&amp;peakpower=1&amp;loss=14&amp;angle=75&amp;aspect=-135&amp;outputformat=json&amp;raddatabase=PVGIS-SARAH3&amp;pvtechchoice=crystSi&amp;mountingplace=free&amp;usehorizon=1</v>
      </c>
    </row>
    <row r="4617">
      <c r="A4617" t="n">
        <v>75</v>
      </c>
      <c r="B4617" t="n">
        <v>45</v>
      </c>
      <c r="C4617" t="n">
        <v>12</v>
      </c>
      <c r="D4617" s="218" t="n">
        <v>17.48</v>
      </c>
      <c r="E4617" s="218" t="n">
        <v>0.56</v>
      </c>
      <c r="F4617" t="str">
        <v>https://re.jrc.ec.europa.eu/api/v5_3/PVcalc?lat=30.0444&amp;lon=31.2357&amp;peakpower=1&amp;loss=14&amp;angle=75&amp;aspect=-135&amp;outputformat=json&amp;raddatabase=PVGIS-SARAH3&amp;pvtechchoice=crystSi&amp;mountingplace=free&amp;usehorizon=1</v>
      </c>
    </row>
    <row r="4618">
      <c r="A4618" t="n">
        <v>75</v>
      </c>
      <c r="B4618" t="n">
        <v>60</v>
      </c>
      <c r="C4618" t="n">
        <v>1</v>
      </c>
      <c r="D4618" s="218" t="n">
        <v>30.86</v>
      </c>
      <c r="E4618" s="218" t="n">
        <v>1</v>
      </c>
      <c r="F4618" t="str">
        <v>https://re.jrc.ec.europa.eu/api/v5_3/PVcalc?lat=30.0444&amp;lon=31.2357&amp;peakpower=1&amp;loss=14&amp;angle=75&amp;aspect=-120&amp;outputformat=json&amp;raddatabase=PVGIS-SARAH3&amp;pvtechchoice=crystSi&amp;mountingplace=free&amp;usehorizon=1</v>
      </c>
    </row>
    <row r="4619">
      <c r="A4619" t="n">
        <v>75</v>
      </c>
      <c r="B4619" t="n">
        <v>60</v>
      </c>
      <c r="C4619" t="n">
        <v>2</v>
      </c>
      <c r="D4619" s="218" t="n">
        <v>41.94</v>
      </c>
      <c r="E4619" s="218" t="n">
        <v>1.5</v>
      </c>
      <c r="F4619" t="str">
        <v>https://re.jrc.ec.europa.eu/api/v5_3/PVcalc?lat=30.0444&amp;lon=31.2357&amp;peakpower=1&amp;loss=14&amp;angle=75&amp;aspect=-120&amp;outputformat=json&amp;raddatabase=PVGIS-SARAH3&amp;pvtechchoice=crystSi&amp;mountingplace=free&amp;usehorizon=1</v>
      </c>
    </row>
    <row r="4620">
      <c r="A4620" t="n">
        <v>75</v>
      </c>
      <c r="B4620" t="n">
        <v>60</v>
      </c>
      <c r="C4620" t="n">
        <v>3</v>
      </c>
      <c r="D4620" s="218" t="n">
        <v>62.63</v>
      </c>
      <c r="E4620" s="218" t="n">
        <v>2.02</v>
      </c>
      <c r="F4620" t="str">
        <v>https://re.jrc.ec.europa.eu/api/v5_3/PVcalc?lat=30.0444&amp;lon=31.2357&amp;peakpower=1&amp;loss=14&amp;angle=75&amp;aspect=-120&amp;outputformat=json&amp;raddatabase=PVGIS-SARAH3&amp;pvtechchoice=crystSi&amp;mountingplace=free&amp;usehorizon=1</v>
      </c>
    </row>
    <row r="4621">
      <c r="A4621" t="n">
        <v>75</v>
      </c>
      <c r="B4621" t="n">
        <v>60</v>
      </c>
      <c r="C4621" t="n">
        <v>4</v>
      </c>
      <c r="D4621" s="218" t="n">
        <v>77.05</v>
      </c>
      <c r="E4621" s="218" t="n">
        <v>2.57</v>
      </c>
      <c r="F4621" t="str">
        <v>https://re.jrc.ec.europa.eu/api/v5_3/PVcalc?lat=30.0444&amp;lon=31.2357&amp;peakpower=1&amp;loss=14&amp;angle=75&amp;aspect=-120&amp;outputformat=json&amp;raddatabase=PVGIS-SARAH3&amp;pvtechchoice=crystSi&amp;mountingplace=free&amp;usehorizon=1</v>
      </c>
    </row>
    <row r="4622">
      <c r="A4622" t="n">
        <v>75</v>
      </c>
      <c r="B4622" t="n">
        <v>60</v>
      </c>
      <c r="C4622" t="n">
        <v>5</v>
      </c>
      <c r="D4622" s="218" t="n">
        <v>93.49</v>
      </c>
      <c r="E4622" s="218" t="n">
        <v>3.02</v>
      </c>
      <c r="F4622" t="str">
        <v>https://re.jrc.ec.europa.eu/api/v5_3/PVcalc?lat=30.0444&amp;lon=31.2357&amp;peakpower=1&amp;loss=14&amp;angle=75&amp;aspect=-120&amp;outputformat=json&amp;raddatabase=PVGIS-SARAH3&amp;pvtechchoice=crystSi&amp;mountingplace=free&amp;usehorizon=1</v>
      </c>
    </row>
    <row r="4623">
      <c r="A4623" t="n">
        <v>75</v>
      </c>
      <c r="B4623" t="n">
        <v>60</v>
      </c>
      <c r="C4623" t="n">
        <v>6</v>
      </c>
      <c r="D4623" s="218" t="n">
        <v>96.29</v>
      </c>
      <c r="E4623" s="218" t="n">
        <v>3.21</v>
      </c>
      <c r="F4623" t="str">
        <v>https://re.jrc.ec.europa.eu/api/v5_3/PVcalc?lat=30.0444&amp;lon=31.2357&amp;peakpower=1&amp;loss=14&amp;angle=75&amp;aspect=-120&amp;outputformat=json&amp;raddatabase=PVGIS-SARAH3&amp;pvtechchoice=crystSi&amp;mountingplace=free&amp;usehorizon=1</v>
      </c>
    </row>
    <row r="4624">
      <c r="A4624" t="n">
        <v>75</v>
      </c>
      <c r="B4624" t="n">
        <v>60</v>
      </c>
      <c r="C4624" t="n">
        <v>7</v>
      </c>
      <c r="D4624" s="218" t="n">
        <v>93.61</v>
      </c>
      <c r="E4624" s="218" t="n">
        <v>3.02</v>
      </c>
      <c r="F4624" t="str">
        <v>https://re.jrc.ec.europa.eu/api/v5_3/PVcalc?lat=30.0444&amp;lon=31.2357&amp;peakpower=1&amp;loss=14&amp;angle=75&amp;aspect=-120&amp;outputformat=json&amp;raddatabase=PVGIS-SARAH3&amp;pvtechchoice=crystSi&amp;mountingplace=free&amp;usehorizon=1</v>
      </c>
    </row>
    <row r="4625">
      <c r="A4625" t="n">
        <v>75</v>
      </c>
      <c r="B4625" t="n">
        <v>60</v>
      </c>
      <c r="C4625" t="n">
        <v>8</v>
      </c>
      <c r="D4625" s="218" t="n">
        <v>82.9</v>
      </c>
      <c r="E4625" s="218" t="n">
        <v>2.67</v>
      </c>
      <c r="F4625" t="str">
        <v>https://re.jrc.ec.europa.eu/api/v5_3/PVcalc?lat=30.0444&amp;lon=31.2357&amp;peakpower=1&amp;loss=14&amp;angle=75&amp;aspect=-120&amp;outputformat=json&amp;raddatabase=PVGIS-SARAH3&amp;pvtechchoice=crystSi&amp;mountingplace=free&amp;usehorizon=1</v>
      </c>
    </row>
    <row r="4626">
      <c r="A4626" t="n">
        <v>75</v>
      </c>
      <c r="B4626" t="n">
        <v>60</v>
      </c>
      <c r="C4626" t="n">
        <v>9</v>
      </c>
      <c r="D4626" s="218" t="n">
        <v>62.83</v>
      </c>
      <c r="E4626" s="218" t="n">
        <v>2.09</v>
      </c>
      <c r="F4626" t="str">
        <v>https://re.jrc.ec.europa.eu/api/v5_3/PVcalc?lat=30.0444&amp;lon=31.2357&amp;peakpower=1&amp;loss=14&amp;angle=75&amp;aspect=-120&amp;outputformat=json&amp;raddatabase=PVGIS-SARAH3&amp;pvtechchoice=crystSi&amp;mountingplace=free&amp;usehorizon=1</v>
      </c>
    </row>
    <row r="4627">
      <c r="A4627" t="n">
        <v>75</v>
      </c>
      <c r="B4627" t="n">
        <v>60</v>
      </c>
      <c r="C4627" t="n">
        <v>10</v>
      </c>
      <c r="D4627" s="218" t="n">
        <v>49.13</v>
      </c>
      <c r="E4627" s="218" t="n">
        <v>1.58</v>
      </c>
      <c r="F4627" t="str">
        <v>https://re.jrc.ec.europa.eu/api/v5_3/PVcalc?lat=30.0444&amp;lon=31.2357&amp;peakpower=1&amp;loss=14&amp;angle=75&amp;aspect=-120&amp;outputformat=json&amp;raddatabase=PVGIS-SARAH3&amp;pvtechchoice=crystSi&amp;mountingplace=free&amp;usehorizon=1</v>
      </c>
    </row>
    <row r="4628">
      <c r="A4628" t="n">
        <v>75</v>
      </c>
      <c r="B4628" t="n">
        <v>60</v>
      </c>
      <c r="C4628" t="n">
        <v>11</v>
      </c>
      <c r="D4628" s="218" t="n">
        <v>34.17</v>
      </c>
      <c r="E4628" s="218" t="n">
        <v>1.14</v>
      </c>
      <c r="F4628" t="str">
        <v>https://re.jrc.ec.europa.eu/api/v5_3/PVcalc?lat=30.0444&amp;lon=31.2357&amp;peakpower=1&amp;loss=14&amp;angle=75&amp;aspect=-120&amp;outputformat=json&amp;raddatabase=PVGIS-SARAH3&amp;pvtechchoice=crystSi&amp;mountingplace=free&amp;usehorizon=1</v>
      </c>
    </row>
    <row r="4629">
      <c r="A4629" t="n">
        <v>75</v>
      </c>
      <c r="B4629" t="n">
        <v>60</v>
      </c>
      <c r="C4629" t="n">
        <v>12</v>
      </c>
      <c r="D4629" s="218" t="n">
        <v>28.06</v>
      </c>
      <c r="E4629" s="218" t="n">
        <v>0.91</v>
      </c>
      <c r="F4629" t="str">
        <v>https://re.jrc.ec.europa.eu/api/v5_3/PVcalc?lat=30.0444&amp;lon=31.2357&amp;peakpower=1&amp;loss=14&amp;angle=75&amp;aspect=-120&amp;outputformat=json&amp;raddatabase=PVGIS-SARAH3&amp;pvtechchoice=crystSi&amp;mountingplace=free&amp;usehorizon=1</v>
      </c>
    </row>
    <row r="4630">
      <c r="A4630" t="n">
        <v>75</v>
      </c>
      <c r="B4630" t="n">
        <v>75</v>
      </c>
      <c r="C4630" t="n">
        <v>1</v>
      </c>
      <c r="D4630" s="218" t="n">
        <v>45.69</v>
      </c>
      <c r="E4630" s="218" t="n">
        <v>1.47</v>
      </c>
      <c r="F4630" t="str">
        <v>https://re.jrc.ec.europa.eu/api/v5_3/PVcalc?lat=30.0444&amp;lon=31.2357&amp;peakpower=1&amp;loss=14&amp;angle=75&amp;aspect=-105&amp;outputformat=json&amp;raddatabase=PVGIS-SARAH3&amp;pvtechchoice=crystSi&amp;mountingplace=free&amp;usehorizon=1</v>
      </c>
    </row>
    <row r="4631">
      <c r="A4631" t="n">
        <v>75</v>
      </c>
      <c r="B4631" t="n">
        <v>75</v>
      </c>
      <c r="C4631" t="n">
        <v>2</v>
      </c>
      <c r="D4631" s="218" t="n">
        <v>55.94</v>
      </c>
      <c r="E4631" s="218" t="n">
        <v>2</v>
      </c>
      <c r="F4631" t="str">
        <v>https://re.jrc.ec.europa.eu/api/v5_3/PVcalc?lat=30.0444&amp;lon=31.2357&amp;peakpower=1&amp;loss=14&amp;angle=75&amp;aspect=-105&amp;outputformat=json&amp;raddatabase=PVGIS-SARAH3&amp;pvtechchoice=crystSi&amp;mountingplace=free&amp;usehorizon=1</v>
      </c>
    </row>
    <row r="4632">
      <c r="A4632" t="n">
        <v>75</v>
      </c>
      <c r="B4632" t="n">
        <v>75</v>
      </c>
      <c r="C4632" t="n">
        <v>3</v>
      </c>
      <c r="D4632" s="218" t="n">
        <v>76.96</v>
      </c>
      <c r="E4632" s="218" t="n">
        <v>2.48</v>
      </c>
      <c r="F4632" t="str">
        <v>https://re.jrc.ec.europa.eu/api/v5_3/PVcalc?lat=30.0444&amp;lon=31.2357&amp;peakpower=1&amp;loss=14&amp;angle=75&amp;aspect=-105&amp;outputformat=json&amp;raddatabase=PVGIS-SARAH3&amp;pvtechchoice=crystSi&amp;mountingplace=free&amp;usehorizon=1</v>
      </c>
    </row>
    <row r="4633">
      <c r="A4633" t="n">
        <v>75</v>
      </c>
      <c r="B4633" t="n">
        <v>75</v>
      </c>
      <c r="C4633" t="n">
        <v>4</v>
      </c>
      <c r="D4633" s="218" t="n">
        <v>87.38</v>
      </c>
      <c r="E4633" s="218" t="n">
        <v>2.91</v>
      </c>
      <c r="F4633" t="str">
        <v>https://re.jrc.ec.europa.eu/api/v5_3/PVcalc?lat=30.0444&amp;lon=31.2357&amp;peakpower=1&amp;loss=14&amp;angle=75&amp;aspect=-105&amp;outputformat=json&amp;raddatabase=PVGIS-SARAH3&amp;pvtechchoice=crystSi&amp;mountingplace=free&amp;usehorizon=1</v>
      </c>
    </row>
    <row r="4634">
      <c r="A4634" t="n">
        <v>75</v>
      </c>
      <c r="B4634" t="n">
        <v>75</v>
      </c>
      <c r="C4634" t="n">
        <v>5</v>
      </c>
      <c r="D4634" s="218" t="n">
        <v>100.69</v>
      </c>
      <c r="E4634" s="218" t="n">
        <v>3.25</v>
      </c>
      <c r="F4634" t="str">
        <v>https://re.jrc.ec.europa.eu/api/v5_3/PVcalc?lat=30.0444&amp;lon=31.2357&amp;peakpower=1&amp;loss=14&amp;angle=75&amp;aspect=-105&amp;outputformat=json&amp;raddatabase=PVGIS-SARAH3&amp;pvtechchoice=crystSi&amp;mountingplace=free&amp;usehorizon=1</v>
      </c>
    </row>
    <row r="4635">
      <c r="A4635" t="n">
        <v>75</v>
      </c>
      <c r="B4635" t="n">
        <v>75</v>
      </c>
      <c r="C4635" t="n">
        <v>6</v>
      </c>
      <c r="D4635" s="218" t="n">
        <v>101.71</v>
      </c>
      <c r="E4635" s="218" t="n">
        <v>3.39</v>
      </c>
      <c r="F4635" t="str">
        <v>https://re.jrc.ec.europa.eu/api/v5_3/PVcalc?lat=30.0444&amp;lon=31.2357&amp;peakpower=1&amp;loss=14&amp;angle=75&amp;aspect=-105&amp;outputformat=json&amp;raddatabase=PVGIS-SARAH3&amp;pvtechchoice=crystSi&amp;mountingplace=free&amp;usehorizon=1</v>
      </c>
    </row>
    <row r="4636">
      <c r="A4636" t="n">
        <v>75</v>
      </c>
      <c r="B4636" t="n">
        <v>75</v>
      </c>
      <c r="C4636" t="n">
        <v>7</v>
      </c>
      <c r="D4636" s="218" t="n">
        <v>100.1</v>
      </c>
      <c r="E4636" s="218" t="n">
        <v>3.23</v>
      </c>
      <c r="F4636" t="str">
        <v>https://re.jrc.ec.europa.eu/api/v5_3/PVcalc?lat=30.0444&amp;lon=31.2357&amp;peakpower=1&amp;loss=14&amp;angle=75&amp;aspect=-105&amp;outputformat=json&amp;raddatabase=PVGIS-SARAH3&amp;pvtechchoice=crystSi&amp;mountingplace=free&amp;usehorizon=1</v>
      </c>
    </row>
    <row r="4637">
      <c r="A4637" t="n">
        <v>75</v>
      </c>
      <c r="B4637" t="n">
        <v>75</v>
      </c>
      <c r="C4637" t="n">
        <v>8</v>
      </c>
      <c r="D4637" s="218" t="n">
        <v>92.69</v>
      </c>
      <c r="E4637" s="218" t="n">
        <v>2.99</v>
      </c>
      <c r="F4637" t="str">
        <v>https://re.jrc.ec.europa.eu/api/v5_3/PVcalc?lat=30.0444&amp;lon=31.2357&amp;peakpower=1&amp;loss=14&amp;angle=75&amp;aspect=-105&amp;outputformat=json&amp;raddatabase=PVGIS-SARAH3&amp;pvtechchoice=crystSi&amp;mountingplace=free&amp;usehorizon=1</v>
      </c>
    </row>
    <row r="4638">
      <c r="A4638" t="n">
        <v>75</v>
      </c>
      <c r="B4638" t="n">
        <v>75</v>
      </c>
      <c r="C4638" t="n">
        <v>9</v>
      </c>
      <c r="D4638" s="218" t="n">
        <v>75.84</v>
      </c>
      <c r="E4638" s="218" t="n">
        <v>2.53</v>
      </c>
      <c r="F4638" t="str">
        <v>https://re.jrc.ec.europa.eu/api/v5_3/PVcalc?lat=30.0444&amp;lon=31.2357&amp;peakpower=1&amp;loss=14&amp;angle=75&amp;aspect=-105&amp;outputformat=json&amp;raddatabase=PVGIS-SARAH3&amp;pvtechchoice=crystSi&amp;mountingplace=free&amp;usehorizon=1</v>
      </c>
    </row>
    <row r="4639">
      <c r="A4639" t="n">
        <v>75</v>
      </c>
      <c r="B4639" t="n">
        <v>75</v>
      </c>
      <c r="C4639" t="n">
        <v>10</v>
      </c>
      <c r="D4639" s="218" t="n">
        <v>64.57</v>
      </c>
      <c r="E4639" s="218" t="n">
        <v>2.08</v>
      </c>
      <c r="F4639" t="str">
        <v>https://re.jrc.ec.europa.eu/api/v5_3/PVcalc?lat=30.0444&amp;lon=31.2357&amp;peakpower=1&amp;loss=14&amp;angle=75&amp;aspect=-105&amp;outputformat=json&amp;raddatabase=PVGIS-SARAH3&amp;pvtechchoice=crystSi&amp;mountingplace=free&amp;usehorizon=1</v>
      </c>
    </row>
    <row r="4640">
      <c r="A4640" t="n">
        <v>75</v>
      </c>
      <c r="B4640" t="n">
        <v>75</v>
      </c>
      <c r="C4640" t="n">
        <v>11</v>
      </c>
      <c r="D4640" s="218" t="n">
        <v>49.81</v>
      </c>
      <c r="E4640" s="218" t="n">
        <v>1.66</v>
      </c>
      <c r="F4640" t="str">
        <v>https://re.jrc.ec.europa.eu/api/v5_3/PVcalc?lat=30.0444&amp;lon=31.2357&amp;peakpower=1&amp;loss=14&amp;angle=75&amp;aspect=-105&amp;outputformat=json&amp;raddatabase=PVGIS-SARAH3&amp;pvtechchoice=crystSi&amp;mountingplace=free&amp;usehorizon=1</v>
      </c>
    </row>
    <row r="4641">
      <c r="A4641" t="n">
        <v>75</v>
      </c>
      <c r="B4641" t="n">
        <v>75</v>
      </c>
      <c r="C4641" t="n">
        <v>12</v>
      </c>
      <c r="D4641" s="218" t="n">
        <v>43.25</v>
      </c>
      <c r="E4641" s="218" t="n">
        <v>1.4</v>
      </c>
      <c r="F4641" t="str">
        <v>https://re.jrc.ec.europa.eu/api/v5_3/PVcalc?lat=30.0444&amp;lon=31.2357&amp;peakpower=1&amp;loss=14&amp;angle=75&amp;aspect=-105&amp;outputformat=json&amp;raddatabase=PVGIS-SARAH3&amp;pvtechchoice=crystSi&amp;mountingplace=free&amp;usehorizon=1</v>
      </c>
    </row>
    <row r="4642">
      <c r="A4642" t="n">
        <v>75</v>
      </c>
      <c r="B4642" t="n">
        <v>90</v>
      </c>
      <c r="C4642" t="n">
        <v>1</v>
      </c>
      <c r="D4642" s="218" t="n">
        <v>62.3</v>
      </c>
      <c r="E4642" s="218" t="n">
        <v>2.01</v>
      </c>
      <c r="F4642" t="str">
        <v>https://re.jrc.ec.europa.eu/api/v5_3/PVcalc?lat=30.0444&amp;lon=31.2357&amp;peakpower=1&amp;loss=14&amp;angle=75&amp;aspect=-90&amp;outputformat=json&amp;raddatabase=PVGIS-SARAH3&amp;pvtechchoice=crystSi&amp;mountingplace=free&amp;usehorizon=1</v>
      </c>
    </row>
    <row r="4643">
      <c r="A4643" t="n">
        <v>75</v>
      </c>
      <c r="B4643" t="n">
        <v>90</v>
      </c>
      <c r="C4643" t="n">
        <v>2</v>
      </c>
      <c r="D4643" s="218" t="n">
        <v>69.56</v>
      </c>
      <c r="E4643" s="218" t="n">
        <v>2.48</v>
      </c>
      <c r="F4643" t="str">
        <v>https://re.jrc.ec.europa.eu/api/v5_3/PVcalc?lat=30.0444&amp;lon=31.2357&amp;peakpower=1&amp;loss=14&amp;angle=75&amp;aspect=-90&amp;outputformat=json&amp;raddatabase=PVGIS-SARAH3&amp;pvtechchoice=crystSi&amp;mountingplace=free&amp;usehorizon=1</v>
      </c>
    </row>
    <row r="4644">
      <c r="A4644" t="n">
        <v>75</v>
      </c>
      <c r="B4644" t="n">
        <v>90</v>
      </c>
      <c r="C4644" t="n">
        <v>3</v>
      </c>
      <c r="D4644" s="218" t="n">
        <v>89.31</v>
      </c>
      <c r="E4644" s="218" t="n">
        <v>2.88</v>
      </c>
      <c r="F4644" t="str">
        <v>https://re.jrc.ec.europa.eu/api/v5_3/PVcalc?lat=30.0444&amp;lon=31.2357&amp;peakpower=1&amp;loss=14&amp;angle=75&amp;aspect=-90&amp;outputformat=json&amp;raddatabase=PVGIS-SARAH3&amp;pvtechchoice=crystSi&amp;mountingplace=free&amp;usehorizon=1</v>
      </c>
    </row>
    <row r="4645">
      <c r="A4645" t="n">
        <v>75</v>
      </c>
      <c r="B4645" t="n">
        <v>90</v>
      </c>
      <c r="C4645" t="n">
        <v>4</v>
      </c>
      <c r="D4645" s="218" t="n">
        <v>95.28</v>
      </c>
      <c r="E4645" s="218" t="n">
        <v>3.18</v>
      </c>
      <c r="F4645" t="str">
        <v>https://re.jrc.ec.europa.eu/api/v5_3/PVcalc?lat=30.0444&amp;lon=31.2357&amp;peakpower=1&amp;loss=14&amp;angle=75&amp;aspect=-90&amp;outputformat=json&amp;raddatabase=PVGIS-SARAH3&amp;pvtechchoice=crystSi&amp;mountingplace=free&amp;usehorizon=1</v>
      </c>
    </row>
    <row r="4646">
      <c r="A4646" t="n">
        <v>75</v>
      </c>
      <c r="B4646" t="n">
        <v>90</v>
      </c>
      <c r="C4646" t="n">
        <v>5</v>
      </c>
      <c r="D4646" s="218" t="n">
        <v>104.77</v>
      </c>
      <c r="E4646" s="218" t="n">
        <v>3.38</v>
      </c>
      <c r="F4646" t="str">
        <v>https://re.jrc.ec.europa.eu/api/v5_3/PVcalc?lat=30.0444&amp;lon=31.2357&amp;peakpower=1&amp;loss=14&amp;angle=75&amp;aspect=-90&amp;outputformat=json&amp;raddatabase=PVGIS-SARAH3&amp;pvtechchoice=crystSi&amp;mountingplace=free&amp;usehorizon=1</v>
      </c>
    </row>
    <row r="4647">
      <c r="A4647" t="n">
        <v>75</v>
      </c>
      <c r="B4647" t="n">
        <v>90</v>
      </c>
      <c r="C4647" t="n">
        <v>6</v>
      </c>
      <c r="D4647" s="218" t="n">
        <v>103.73</v>
      </c>
      <c r="E4647" s="218" t="n">
        <v>3.46</v>
      </c>
      <c r="F4647" t="str">
        <v>https://re.jrc.ec.europa.eu/api/v5_3/PVcalc?lat=30.0444&amp;lon=31.2357&amp;peakpower=1&amp;loss=14&amp;angle=75&amp;aspect=-90&amp;outputformat=json&amp;raddatabase=PVGIS-SARAH3&amp;pvtechchoice=crystSi&amp;mountingplace=free&amp;usehorizon=1</v>
      </c>
    </row>
    <row r="4648">
      <c r="A4648" t="n">
        <v>75</v>
      </c>
      <c r="B4648" t="n">
        <v>90</v>
      </c>
      <c r="C4648" t="n">
        <v>7</v>
      </c>
      <c r="D4648" s="218" t="n">
        <v>103.25</v>
      </c>
      <c r="E4648" s="218" t="n">
        <v>3.33</v>
      </c>
      <c r="F4648" t="str">
        <v>https://re.jrc.ec.europa.eu/api/v5_3/PVcalc?lat=30.0444&amp;lon=31.2357&amp;peakpower=1&amp;loss=14&amp;angle=75&amp;aspect=-90&amp;outputformat=json&amp;raddatabase=PVGIS-SARAH3&amp;pvtechchoice=crystSi&amp;mountingplace=free&amp;usehorizon=1</v>
      </c>
    </row>
    <row r="4649">
      <c r="A4649" t="n">
        <v>75</v>
      </c>
      <c r="B4649" t="n">
        <v>90</v>
      </c>
      <c r="C4649" t="n">
        <v>8</v>
      </c>
      <c r="D4649" s="218" t="n">
        <v>99.52</v>
      </c>
      <c r="E4649" s="218" t="n">
        <v>3.21</v>
      </c>
      <c r="F4649" t="str">
        <v>https://re.jrc.ec.europa.eu/api/v5_3/PVcalc?lat=30.0444&amp;lon=31.2357&amp;peakpower=1&amp;loss=14&amp;angle=75&amp;aspect=-90&amp;outputformat=json&amp;raddatabase=PVGIS-SARAH3&amp;pvtechchoice=crystSi&amp;mountingplace=free&amp;usehorizon=1</v>
      </c>
    </row>
    <row r="4650">
      <c r="A4650" t="n">
        <v>75</v>
      </c>
      <c r="B4650" t="n">
        <v>90</v>
      </c>
      <c r="C4650" t="n">
        <v>9</v>
      </c>
      <c r="D4650" s="218" t="n">
        <v>87.06</v>
      </c>
      <c r="E4650" s="218" t="n">
        <v>2.9</v>
      </c>
      <c r="F4650" t="str">
        <v>https://re.jrc.ec.europa.eu/api/v5_3/PVcalc?lat=30.0444&amp;lon=31.2357&amp;peakpower=1&amp;loss=14&amp;angle=75&amp;aspect=-90&amp;outputformat=json&amp;raddatabase=PVGIS-SARAH3&amp;pvtechchoice=crystSi&amp;mountingplace=free&amp;usehorizon=1</v>
      </c>
    </row>
    <row r="4651">
      <c r="A4651" t="n">
        <v>75</v>
      </c>
      <c r="B4651" t="n">
        <v>90</v>
      </c>
      <c r="C4651" t="n">
        <v>10</v>
      </c>
      <c r="D4651" s="218" t="n">
        <v>79.69</v>
      </c>
      <c r="E4651" s="218" t="n">
        <v>2.57</v>
      </c>
      <c r="F4651" t="str">
        <v>https://re.jrc.ec.europa.eu/api/v5_3/PVcalc?lat=30.0444&amp;lon=31.2357&amp;peakpower=1&amp;loss=14&amp;angle=75&amp;aspect=-90&amp;outputformat=json&amp;raddatabase=PVGIS-SARAH3&amp;pvtechchoice=crystSi&amp;mountingplace=free&amp;usehorizon=1</v>
      </c>
    </row>
    <row r="4652">
      <c r="A4652" t="n">
        <v>75</v>
      </c>
      <c r="B4652" t="n">
        <v>90</v>
      </c>
      <c r="C4652" t="n">
        <v>11</v>
      </c>
      <c r="D4652" s="218" t="n">
        <v>66.38</v>
      </c>
      <c r="E4652" s="218" t="n">
        <v>2.21</v>
      </c>
      <c r="F4652" t="str">
        <v>https://re.jrc.ec.europa.eu/api/v5_3/PVcalc?lat=30.0444&amp;lon=31.2357&amp;peakpower=1&amp;loss=14&amp;angle=75&amp;aspect=-90&amp;outputformat=json&amp;raddatabase=PVGIS-SARAH3&amp;pvtechchoice=crystSi&amp;mountingplace=free&amp;usehorizon=1</v>
      </c>
    </row>
    <row r="4653">
      <c r="A4653" t="n">
        <v>75</v>
      </c>
      <c r="B4653" t="n">
        <v>90</v>
      </c>
      <c r="C4653" t="n">
        <v>12</v>
      </c>
      <c r="D4653" s="218" t="n">
        <v>60.52</v>
      </c>
      <c r="E4653" s="218" t="n">
        <v>1.95</v>
      </c>
      <c r="F4653" t="str">
        <v>https://re.jrc.ec.europa.eu/api/v5_3/PVcalc?lat=30.0444&amp;lon=31.2357&amp;peakpower=1&amp;loss=14&amp;angle=75&amp;aspect=-90&amp;outputformat=json&amp;raddatabase=PVGIS-SARAH3&amp;pvtechchoice=crystSi&amp;mountingplace=free&amp;usehorizon=1</v>
      </c>
    </row>
    <row r="4654">
      <c r="A4654" t="n">
        <v>75</v>
      </c>
      <c r="B4654" t="n">
        <v>105</v>
      </c>
      <c r="C4654" t="n">
        <v>1</v>
      </c>
      <c r="D4654" s="218" t="n">
        <v>79.01</v>
      </c>
      <c r="E4654" s="218" t="n">
        <v>2.55</v>
      </c>
      <c r="F4654" t="str">
        <v>https://re.jrc.ec.europa.eu/api/v5_3/PVcalc?lat=30.0444&amp;lon=31.2357&amp;peakpower=1&amp;loss=14&amp;angle=75&amp;aspect=-75&amp;outputformat=json&amp;raddatabase=PVGIS-SARAH3&amp;pvtechchoice=crystSi&amp;mountingplace=free&amp;usehorizon=1</v>
      </c>
    </row>
    <row r="4655">
      <c r="A4655" t="n">
        <v>75</v>
      </c>
      <c r="B4655" t="n">
        <v>105</v>
      </c>
      <c r="C4655" t="n">
        <v>2</v>
      </c>
      <c r="D4655" s="218" t="n">
        <v>82.66</v>
      </c>
      <c r="E4655" s="218" t="n">
        <v>2.95</v>
      </c>
      <c r="F4655" t="str">
        <v>https://re.jrc.ec.europa.eu/api/v5_3/PVcalc?lat=30.0444&amp;lon=31.2357&amp;peakpower=1&amp;loss=14&amp;angle=75&amp;aspect=-75&amp;outputformat=json&amp;raddatabase=PVGIS-SARAH3&amp;pvtechchoice=crystSi&amp;mountingplace=free&amp;usehorizon=1</v>
      </c>
    </row>
    <row r="4656">
      <c r="A4656" t="n">
        <v>75</v>
      </c>
      <c r="B4656" t="n">
        <v>105</v>
      </c>
      <c r="C4656" t="n">
        <v>3</v>
      </c>
      <c r="D4656" s="218" t="n">
        <v>100.36</v>
      </c>
      <c r="E4656" s="218" t="n">
        <v>3.24</v>
      </c>
      <c r="F4656" t="str">
        <v>https://re.jrc.ec.europa.eu/api/v5_3/PVcalc?lat=30.0444&amp;lon=31.2357&amp;peakpower=1&amp;loss=14&amp;angle=75&amp;aspect=-75&amp;outputformat=json&amp;raddatabase=PVGIS-SARAH3&amp;pvtechchoice=crystSi&amp;mountingplace=free&amp;usehorizon=1</v>
      </c>
    </row>
    <row r="4657">
      <c r="A4657" t="n">
        <v>75</v>
      </c>
      <c r="B4657" t="n">
        <v>105</v>
      </c>
      <c r="C4657" t="n">
        <v>4</v>
      </c>
      <c r="D4657" s="218" t="n">
        <v>101.18</v>
      </c>
      <c r="E4657" s="218" t="n">
        <v>3.37</v>
      </c>
      <c r="F4657" t="str">
        <v>https://re.jrc.ec.europa.eu/api/v5_3/PVcalc?lat=30.0444&amp;lon=31.2357&amp;peakpower=1&amp;loss=14&amp;angle=75&amp;aspect=-75&amp;outputformat=json&amp;raddatabase=PVGIS-SARAH3&amp;pvtechchoice=crystSi&amp;mountingplace=free&amp;usehorizon=1</v>
      </c>
    </row>
    <row r="4658">
      <c r="A4658" t="n">
        <v>75</v>
      </c>
      <c r="B4658" t="n">
        <v>105</v>
      </c>
      <c r="C4658" t="n">
        <v>5</v>
      </c>
      <c r="D4658" s="218" t="n">
        <v>105.53</v>
      </c>
      <c r="E4658" s="218" t="n">
        <v>3.4</v>
      </c>
      <c r="F4658" t="str">
        <v>https://re.jrc.ec.europa.eu/api/v5_3/PVcalc?lat=30.0444&amp;lon=31.2357&amp;peakpower=1&amp;loss=14&amp;angle=75&amp;aspect=-75&amp;outputformat=json&amp;raddatabase=PVGIS-SARAH3&amp;pvtechchoice=crystSi&amp;mountingplace=free&amp;usehorizon=1</v>
      </c>
    </row>
    <row r="4659">
      <c r="A4659" t="n">
        <v>75</v>
      </c>
      <c r="B4659" t="n">
        <v>105</v>
      </c>
      <c r="C4659" t="n">
        <v>6</v>
      </c>
      <c r="D4659" s="218" t="n">
        <v>102.65</v>
      </c>
      <c r="E4659" s="218" t="n">
        <v>3.42</v>
      </c>
      <c r="F4659" t="str">
        <v>https://re.jrc.ec.europa.eu/api/v5_3/PVcalc?lat=30.0444&amp;lon=31.2357&amp;peakpower=1&amp;loss=14&amp;angle=75&amp;aspect=-75&amp;outputformat=json&amp;raddatabase=PVGIS-SARAH3&amp;pvtechchoice=crystSi&amp;mountingplace=free&amp;usehorizon=1</v>
      </c>
    </row>
    <row r="4660">
      <c r="A4660" t="n">
        <v>75</v>
      </c>
      <c r="B4660" t="n">
        <v>105</v>
      </c>
      <c r="C4660" t="n">
        <v>7</v>
      </c>
      <c r="D4660" s="218" t="n">
        <v>103.95</v>
      </c>
      <c r="E4660" s="218" t="n">
        <v>3.35</v>
      </c>
      <c r="F4660" t="str">
        <v>https://re.jrc.ec.europa.eu/api/v5_3/PVcalc?lat=30.0444&amp;lon=31.2357&amp;peakpower=1&amp;loss=14&amp;angle=75&amp;aspect=-75&amp;outputformat=json&amp;raddatabase=PVGIS-SARAH3&amp;pvtechchoice=crystSi&amp;mountingplace=free&amp;usehorizon=1</v>
      </c>
    </row>
    <row r="4661">
      <c r="A4661" t="n">
        <v>75</v>
      </c>
      <c r="B4661" t="n">
        <v>105</v>
      </c>
      <c r="C4661" t="n">
        <v>8</v>
      </c>
      <c r="D4661" s="218" t="n">
        <v>103.99</v>
      </c>
      <c r="E4661" s="218" t="n">
        <v>3.35</v>
      </c>
      <c r="F4661" t="str">
        <v>https://re.jrc.ec.europa.eu/api/v5_3/PVcalc?lat=30.0444&amp;lon=31.2357&amp;peakpower=1&amp;loss=14&amp;angle=75&amp;aspect=-75&amp;outputformat=json&amp;raddatabase=PVGIS-SARAH3&amp;pvtechchoice=crystSi&amp;mountingplace=free&amp;usehorizon=1</v>
      </c>
    </row>
    <row r="4662">
      <c r="A4662" t="n">
        <v>75</v>
      </c>
      <c r="B4662" t="n">
        <v>105</v>
      </c>
      <c r="C4662" t="n">
        <v>9</v>
      </c>
      <c r="D4662" s="218" t="n">
        <v>96.25</v>
      </c>
      <c r="E4662" s="218" t="n">
        <v>3.21</v>
      </c>
      <c r="F4662" t="str">
        <v>https://re.jrc.ec.europa.eu/api/v5_3/PVcalc?lat=30.0444&amp;lon=31.2357&amp;peakpower=1&amp;loss=14&amp;angle=75&amp;aspect=-75&amp;outputformat=json&amp;raddatabase=PVGIS-SARAH3&amp;pvtechchoice=crystSi&amp;mountingplace=free&amp;usehorizon=1</v>
      </c>
    </row>
    <row r="4663">
      <c r="A4663" t="n">
        <v>75</v>
      </c>
      <c r="B4663" t="n">
        <v>105</v>
      </c>
      <c r="C4663" t="n">
        <v>10</v>
      </c>
      <c r="D4663" s="218" t="n">
        <v>93.03</v>
      </c>
      <c r="E4663" s="218" t="n">
        <v>3</v>
      </c>
      <c r="F4663" t="str">
        <v>https://re.jrc.ec.europa.eu/api/v5_3/PVcalc?lat=30.0444&amp;lon=31.2357&amp;peakpower=1&amp;loss=14&amp;angle=75&amp;aspect=-75&amp;outputformat=json&amp;raddatabase=PVGIS-SARAH3&amp;pvtechchoice=crystSi&amp;mountingplace=free&amp;usehorizon=1</v>
      </c>
    </row>
    <row r="4664">
      <c r="A4664" t="n">
        <v>75</v>
      </c>
      <c r="B4664" t="n">
        <v>105</v>
      </c>
      <c r="C4664" t="n">
        <v>11</v>
      </c>
      <c r="D4664" s="218" t="n">
        <v>82.56</v>
      </c>
      <c r="E4664" s="218" t="n">
        <v>2.75</v>
      </c>
      <c r="F4664" t="str">
        <v>https://re.jrc.ec.europa.eu/api/v5_3/PVcalc?lat=30.0444&amp;lon=31.2357&amp;peakpower=1&amp;loss=14&amp;angle=75&amp;aspect=-75&amp;outputformat=json&amp;raddatabase=PVGIS-SARAH3&amp;pvtechchoice=crystSi&amp;mountingplace=free&amp;usehorizon=1</v>
      </c>
    </row>
    <row r="4665">
      <c r="A4665" t="n">
        <v>75</v>
      </c>
      <c r="B4665" t="n">
        <v>105</v>
      </c>
      <c r="C4665" t="n">
        <v>12</v>
      </c>
      <c r="D4665" s="218" t="n">
        <v>78.38</v>
      </c>
      <c r="E4665" s="218" t="n">
        <v>2.53</v>
      </c>
      <c r="F4665" t="str">
        <v>https://re.jrc.ec.europa.eu/api/v5_3/PVcalc?lat=30.0444&amp;lon=31.2357&amp;peakpower=1&amp;loss=14&amp;angle=75&amp;aspect=-75&amp;outputformat=json&amp;raddatabase=PVGIS-SARAH3&amp;pvtechchoice=crystSi&amp;mountingplace=free&amp;usehorizon=1</v>
      </c>
    </row>
    <row r="4666">
      <c r="A4666" t="n">
        <v>75</v>
      </c>
      <c r="B4666" t="n">
        <v>120</v>
      </c>
      <c r="C4666" t="n">
        <v>1</v>
      </c>
      <c r="D4666" s="218" t="n">
        <v>95.16</v>
      </c>
      <c r="E4666" s="218" t="n">
        <v>3.07</v>
      </c>
      <c r="F4666" t="str">
        <v>https://re.jrc.ec.europa.eu/api/v5_3/PVcalc?lat=30.0444&amp;lon=31.2357&amp;peakpower=1&amp;loss=14&amp;angle=75&amp;aspect=-60&amp;outputformat=json&amp;raddatabase=PVGIS-SARAH3&amp;pvtechchoice=crystSi&amp;mountingplace=free&amp;usehorizon=1</v>
      </c>
    </row>
    <row r="4667">
      <c r="A4667" t="n">
        <v>75</v>
      </c>
      <c r="B4667" t="n">
        <v>120</v>
      </c>
      <c r="C4667" t="n">
        <v>2</v>
      </c>
      <c r="D4667" s="218" t="n">
        <v>94.38</v>
      </c>
      <c r="E4667" s="218" t="n">
        <v>3.37</v>
      </c>
      <c r="F4667" t="str">
        <v>https://re.jrc.ec.europa.eu/api/v5_3/PVcalc?lat=30.0444&amp;lon=31.2357&amp;peakpower=1&amp;loss=14&amp;angle=75&amp;aspect=-60&amp;outputformat=json&amp;raddatabase=PVGIS-SARAH3&amp;pvtechchoice=crystSi&amp;mountingplace=free&amp;usehorizon=1</v>
      </c>
    </row>
    <row r="4668">
      <c r="A4668" t="n">
        <v>75</v>
      </c>
      <c r="B4668" t="n">
        <v>120</v>
      </c>
      <c r="C4668" t="n">
        <v>3</v>
      </c>
      <c r="D4668" s="218" t="n">
        <v>108.98</v>
      </c>
      <c r="E4668" s="218" t="n">
        <v>3.52</v>
      </c>
      <c r="F4668" t="str">
        <v>https://re.jrc.ec.europa.eu/api/v5_3/PVcalc?lat=30.0444&amp;lon=31.2357&amp;peakpower=1&amp;loss=14&amp;angle=75&amp;aspect=-60&amp;outputformat=json&amp;raddatabase=PVGIS-SARAH3&amp;pvtechchoice=crystSi&amp;mountingplace=free&amp;usehorizon=1</v>
      </c>
    </row>
    <row r="4669">
      <c r="A4669" t="n">
        <v>75</v>
      </c>
      <c r="B4669" t="n">
        <v>120</v>
      </c>
      <c r="C4669" t="n">
        <v>4</v>
      </c>
      <c r="D4669" s="218" t="n">
        <v>104.25</v>
      </c>
      <c r="E4669" s="218" t="n">
        <v>3.48</v>
      </c>
      <c r="F4669" t="str">
        <v>https://re.jrc.ec.europa.eu/api/v5_3/PVcalc?lat=30.0444&amp;lon=31.2357&amp;peakpower=1&amp;loss=14&amp;angle=75&amp;aspect=-60&amp;outputformat=json&amp;raddatabase=PVGIS-SARAH3&amp;pvtechchoice=crystSi&amp;mountingplace=free&amp;usehorizon=1</v>
      </c>
    </row>
    <row r="4670">
      <c r="A4670" t="n">
        <v>75</v>
      </c>
      <c r="B4670" t="n">
        <v>120</v>
      </c>
      <c r="C4670" t="n">
        <v>5</v>
      </c>
      <c r="D4670" s="218" t="n">
        <v>104.29</v>
      </c>
      <c r="E4670" s="218" t="n">
        <v>3.36</v>
      </c>
      <c r="F4670" t="str">
        <v>https://re.jrc.ec.europa.eu/api/v5_3/PVcalc?lat=30.0444&amp;lon=31.2357&amp;peakpower=1&amp;loss=14&amp;angle=75&amp;aspect=-60&amp;outputformat=json&amp;raddatabase=PVGIS-SARAH3&amp;pvtechchoice=crystSi&amp;mountingplace=free&amp;usehorizon=1</v>
      </c>
    </row>
    <row r="4671">
      <c r="A4671" t="n">
        <v>75</v>
      </c>
      <c r="B4671" t="n">
        <v>120</v>
      </c>
      <c r="C4671" t="n">
        <v>6</v>
      </c>
      <c r="D4671" s="218" t="n">
        <v>98.55</v>
      </c>
      <c r="E4671" s="218" t="n">
        <v>3.29</v>
      </c>
      <c r="F4671" t="str">
        <v>https://re.jrc.ec.europa.eu/api/v5_3/PVcalc?lat=30.0444&amp;lon=31.2357&amp;peakpower=1&amp;loss=14&amp;angle=75&amp;aspect=-60&amp;outputformat=json&amp;raddatabase=PVGIS-SARAH3&amp;pvtechchoice=crystSi&amp;mountingplace=free&amp;usehorizon=1</v>
      </c>
    </row>
    <row r="4672">
      <c r="A4672" t="n">
        <v>75</v>
      </c>
      <c r="B4672" t="n">
        <v>120</v>
      </c>
      <c r="C4672" t="n">
        <v>7</v>
      </c>
      <c r="D4672" s="218" t="n">
        <v>100.85</v>
      </c>
      <c r="E4672" s="218" t="n">
        <v>3.25</v>
      </c>
      <c r="F4672" t="str">
        <v>https://re.jrc.ec.europa.eu/api/v5_3/PVcalc?lat=30.0444&amp;lon=31.2357&amp;peakpower=1&amp;loss=14&amp;angle=75&amp;aspect=-60&amp;outputformat=json&amp;raddatabase=PVGIS-SARAH3&amp;pvtechchoice=crystSi&amp;mountingplace=free&amp;usehorizon=1</v>
      </c>
    </row>
    <row r="4673">
      <c r="A4673" t="n">
        <v>75</v>
      </c>
      <c r="B4673" t="n">
        <v>120</v>
      </c>
      <c r="C4673" t="n">
        <v>8</v>
      </c>
      <c r="D4673" s="218" t="n">
        <v>105.18</v>
      </c>
      <c r="E4673" s="218" t="n">
        <v>3.39</v>
      </c>
      <c r="F4673" t="str">
        <v>https://re.jrc.ec.europa.eu/api/v5_3/PVcalc?lat=30.0444&amp;lon=31.2357&amp;peakpower=1&amp;loss=14&amp;angle=75&amp;aspect=-60&amp;outputformat=json&amp;raddatabase=PVGIS-SARAH3&amp;pvtechchoice=crystSi&amp;mountingplace=free&amp;usehorizon=1</v>
      </c>
    </row>
    <row r="4674">
      <c r="A4674" t="n">
        <v>75</v>
      </c>
      <c r="B4674" t="n">
        <v>120</v>
      </c>
      <c r="C4674" t="n">
        <v>9</v>
      </c>
      <c r="D4674" s="218" t="n">
        <v>103.49</v>
      </c>
      <c r="E4674" s="218" t="n">
        <v>3.45</v>
      </c>
      <c r="F4674" t="str">
        <v>https://re.jrc.ec.europa.eu/api/v5_3/PVcalc?lat=30.0444&amp;lon=31.2357&amp;peakpower=1&amp;loss=14&amp;angle=75&amp;aspect=-60&amp;outputformat=json&amp;raddatabase=PVGIS-SARAH3&amp;pvtechchoice=crystSi&amp;mountingplace=free&amp;usehorizon=1</v>
      </c>
    </row>
    <row r="4675">
      <c r="A4675" t="n">
        <v>75</v>
      </c>
      <c r="B4675" t="n">
        <v>120</v>
      </c>
      <c r="C4675" t="n">
        <v>10</v>
      </c>
      <c r="D4675" s="218" t="n">
        <v>105.78</v>
      </c>
      <c r="E4675" s="218" t="n">
        <v>3.41</v>
      </c>
      <c r="F4675" t="str">
        <v>https://re.jrc.ec.europa.eu/api/v5_3/PVcalc?lat=30.0444&amp;lon=31.2357&amp;peakpower=1&amp;loss=14&amp;angle=75&amp;aspect=-60&amp;outputformat=json&amp;raddatabase=PVGIS-SARAH3&amp;pvtechchoice=crystSi&amp;mountingplace=free&amp;usehorizon=1</v>
      </c>
    </row>
    <row r="4676">
      <c r="A4676" t="n">
        <v>75</v>
      </c>
      <c r="B4676" t="n">
        <v>120</v>
      </c>
      <c r="C4676" t="n">
        <v>11</v>
      </c>
      <c r="D4676" s="218" t="n">
        <v>98.26</v>
      </c>
      <c r="E4676" s="218" t="n">
        <v>3.28</v>
      </c>
      <c r="F4676" t="str">
        <v>https://re.jrc.ec.europa.eu/api/v5_3/PVcalc?lat=30.0444&amp;lon=31.2357&amp;peakpower=1&amp;loss=14&amp;angle=75&amp;aspect=-60&amp;outputformat=json&amp;raddatabase=PVGIS-SARAH3&amp;pvtechchoice=crystSi&amp;mountingplace=free&amp;usehorizon=1</v>
      </c>
    </row>
    <row r="4677">
      <c r="A4677" t="n">
        <v>75</v>
      </c>
      <c r="B4677" t="n">
        <v>120</v>
      </c>
      <c r="C4677" t="n">
        <v>12</v>
      </c>
      <c r="D4677" s="218" t="n">
        <v>95.92</v>
      </c>
      <c r="E4677" s="218" t="n">
        <v>3.09</v>
      </c>
      <c r="F4677" t="str">
        <v>https://re.jrc.ec.europa.eu/api/v5_3/PVcalc?lat=30.0444&amp;lon=31.2357&amp;peakpower=1&amp;loss=14&amp;angle=75&amp;aspect=-60&amp;outputformat=json&amp;raddatabase=PVGIS-SARAH3&amp;pvtechchoice=crystSi&amp;mountingplace=free&amp;usehorizon=1</v>
      </c>
    </row>
    <row r="4678">
      <c r="A4678" t="n">
        <v>75</v>
      </c>
      <c r="B4678" t="n">
        <v>135</v>
      </c>
      <c r="C4678" t="n">
        <v>1</v>
      </c>
      <c r="D4678" s="218" t="n">
        <v>110.4</v>
      </c>
      <c r="E4678" s="218" t="n">
        <v>3.56</v>
      </c>
      <c r="F4678" t="str">
        <v>https://re.jrc.ec.europa.eu/api/v5_3/PVcalc?lat=30.0444&amp;lon=31.2357&amp;peakpower=1&amp;loss=14&amp;angle=75&amp;aspect=-45&amp;outputformat=json&amp;raddatabase=PVGIS-SARAH3&amp;pvtechchoice=crystSi&amp;mountingplace=free&amp;usehorizon=1</v>
      </c>
    </row>
    <row r="4679">
      <c r="A4679" t="n">
        <v>75</v>
      </c>
      <c r="B4679" t="n">
        <v>135</v>
      </c>
      <c r="C4679" t="n">
        <v>2</v>
      </c>
      <c r="D4679" s="218" t="n">
        <v>104.49</v>
      </c>
      <c r="E4679" s="218" t="n">
        <v>3.73</v>
      </c>
      <c r="F4679" t="str">
        <v>https://re.jrc.ec.europa.eu/api/v5_3/PVcalc?lat=30.0444&amp;lon=31.2357&amp;peakpower=1&amp;loss=14&amp;angle=75&amp;aspect=-45&amp;outputformat=json&amp;raddatabase=PVGIS-SARAH3&amp;pvtechchoice=crystSi&amp;mountingplace=free&amp;usehorizon=1</v>
      </c>
    </row>
    <row r="4680">
      <c r="A4680" t="n">
        <v>75</v>
      </c>
      <c r="B4680" t="n">
        <v>135</v>
      </c>
      <c r="C4680" t="n">
        <v>3</v>
      </c>
      <c r="D4680" s="218" t="n">
        <v>116.13</v>
      </c>
      <c r="E4680" s="218" t="n">
        <v>3.75</v>
      </c>
      <c r="F4680" t="str">
        <v>https://re.jrc.ec.europa.eu/api/v5_3/PVcalc?lat=30.0444&amp;lon=31.2357&amp;peakpower=1&amp;loss=14&amp;angle=75&amp;aspect=-45&amp;outputformat=json&amp;raddatabase=PVGIS-SARAH3&amp;pvtechchoice=crystSi&amp;mountingplace=free&amp;usehorizon=1</v>
      </c>
    </row>
    <row r="4681">
      <c r="A4681" t="n">
        <v>75</v>
      </c>
      <c r="B4681" t="n">
        <v>135</v>
      </c>
      <c r="C4681" t="n">
        <v>4</v>
      </c>
      <c r="D4681" s="218" t="n">
        <v>105.25</v>
      </c>
      <c r="E4681" s="218" t="n">
        <v>3.51</v>
      </c>
      <c r="F4681" t="str">
        <v>https://re.jrc.ec.europa.eu/api/v5_3/PVcalc?lat=30.0444&amp;lon=31.2357&amp;peakpower=1&amp;loss=14&amp;angle=75&amp;aspect=-45&amp;outputformat=json&amp;raddatabase=PVGIS-SARAH3&amp;pvtechchoice=crystSi&amp;mountingplace=free&amp;usehorizon=1</v>
      </c>
    </row>
    <row r="4682">
      <c r="A4682" t="n">
        <v>75</v>
      </c>
      <c r="B4682" t="n">
        <v>135</v>
      </c>
      <c r="C4682" t="n">
        <v>5</v>
      </c>
      <c r="D4682" s="218" t="n">
        <v>99.56</v>
      </c>
      <c r="E4682" s="218" t="n">
        <v>3.21</v>
      </c>
      <c r="F4682" t="str">
        <v>https://re.jrc.ec.europa.eu/api/v5_3/PVcalc?lat=30.0444&amp;lon=31.2357&amp;peakpower=1&amp;loss=14&amp;angle=75&amp;aspect=-45&amp;outputformat=json&amp;raddatabase=PVGIS-SARAH3&amp;pvtechchoice=crystSi&amp;mountingplace=free&amp;usehorizon=1</v>
      </c>
    </row>
    <row r="4683">
      <c r="A4683" t="n">
        <v>75</v>
      </c>
      <c r="B4683" t="n">
        <v>135</v>
      </c>
      <c r="C4683" t="n">
        <v>6</v>
      </c>
      <c r="D4683" s="218" t="n">
        <v>91.12</v>
      </c>
      <c r="E4683" s="218" t="n">
        <v>3.04</v>
      </c>
      <c r="F4683" t="str">
        <v>https://re.jrc.ec.europa.eu/api/v5_3/PVcalc?lat=30.0444&amp;lon=31.2357&amp;peakpower=1&amp;loss=14&amp;angle=75&amp;aspect=-45&amp;outputformat=json&amp;raddatabase=PVGIS-SARAH3&amp;pvtechchoice=crystSi&amp;mountingplace=free&amp;usehorizon=1</v>
      </c>
    </row>
    <row r="4684">
      <c r="A4684" t="n">
        <v>75</v>
      </c>
      <c r="B4684" t="n">
        <v>135</v>
      </c>
      <c r="C4684" t="n">
        <v>7</v>
      </c>
      <c r="D4684" s="218" t="n">
        <v>94.84</v>
      </c>
      <c r="E4684" s="218" t="n">
        <v>3.06</v>
      </c>
      <c r="F4684" t="str">
        <v>https://re.jrc.ec.europa.eu/api/v5_3/PVcalc?lat=30.0444&amp;lon=31.2357&amp;peakpower=1&amp;loss=14&amp;angle=75&amp;aspect=-45&amp;outputformat=json&amp;raddatabase=PVGIS-SARAH3&amp;pvtechchoice=crystSi&amp;mountingplace=free&amp;usehorizon=1</v>
      </c>
    </row>
    <row r="4685">
      <c r="A4685" t="n">
        <v>75</v>
      </c>
      <c r="B4685" t="n">
        <v>135</v>
      </c>
      <c r="C4685" t="n">
        <v>8</v>
      </c>
      <c r="D4685" s="218" t="n">
        <v>103.74</v>
      </c>
      <c r="E4685" s="218" t="n">
        <v>3.35</v>
      </c>
      <c r="F4685" t="str">
        <v>https://re.jrc.ec.europa.eu/api/v5_3/PVcalc?lat=30.0444&amp;lon=31.2357&amp;peakpower=1&amp;loss=14&amp;angle=75&amp;aspect=-45&amp;outputformat=json&amp;raddatabase=PVGIS-SARAH3&amp;pvtechchoice=crystSi&amp;mountingplace=free&amp;usehorizon=1</v>
      </c>
    </row>
    <row r="4686">
      <c r="A4686" t="n">
        <v>75</v>
      </c>
      <c r="B4686" t="n">
        <v>135</v>
      </c>
      <c r="C4686" t="n">
        <v>9</v>
      </c>
      <c r="D4686" s="218" t="n">
        <v>108.9</v>
      </c>
      <c r="E4686" s="218" t="n">
        <v>3.63</v>
      </c>
      <c r="F4686" t="str">
        <v>https://re.jrc.ec.europa.eu/api/v5_3/PVcalc?lat=30.0444&amp;lon=31.2357&amp;peakpower=1&amp;loss=14&amp;angle=75&amp;aspect=-45&amp;outputformat=json&amp;raddatabase=PVGIS-SARAH3&amp;pvtechchoice=crystSi&amp;mountingplace=free&amp;usehorizon=1</v>
      </c>
    </row>
    <row r="4687">
      <c r="A4687" t="n">
        <v>75</v>
      </c>
      <c r="B4687" t="n">
        <v>135</v>
      </c>
      <c r="C4687" t="n">
        <v>10</v>
      </c>
      <c r="D4687" s="218" t="n">
        <v>116.79</v>
      </c>
      <c r="E4687" s="218" t="n">
        <v>3.77</v>
      </c>
      <c r="F4687" t="str">
        <v>https://re.jrc.ec.europa.eu/api/v5_3/PVcalc?lat=30.0444&amp;lon=31.2357&amp;peakpower=1&amp;loss=14&amp;angle=75&amp;aspect=-45&amp;outputformat=json&amp;raddatabase=PVGIS-SARAH3&amp;pvtechchoice=crystSi&amp;mountingplace=free&amp;usehorizon=1</v>
      </c>
    </row>
    <row r="4688">
      <c r="A4688" t="n">
        <v>75</v>
      </c>
      <c r="B4688" t="n">
        <v>135</v>
      </c>
      <c r="C4688" t="n">
        <v>11</v>
      </c>
      <c r="D4688" s="218" t="n">
        <v>113.1</v>
      </c>
      <c r="E4688" s="218" t="n">
        <v>3.77</v>
      </c>
      <c r="F4688" t="str">
        <v>https://re.jrc.ec.europa.eu/api/v5_3/PVcalc?lat=30.0444&amp;lon=31.2357&amp;peakpower=1&amp;loss=14&amp;angle=75&amp;aspect=-45&amp;outputformat=json&amp;raddatabase=PVGIS-SARAH3&amp;pvtechchoice=crystSi&amp;mountingplace=free&amp;usehorizon=1</v>
      </c>
    </row>
    <row r="4689">
      <c r="A4689" t="n">
        <v>75</v>
      </c>
      <c r="B4689" t="n">
        <v>135</v>
      </c>
      <c r="C4689" t="n">
        <v>12</v>
      </c>
      <c r="D4689" s="218" t="n">
        <v>112.59</v>
      </c>
      <c r="E4689" s="218" t="n">
        <v>3.63</v>
      </c>
      <c r="F4689" t="str">
        <v>https://re.jrc.ec.europa.eu/api/v5_3/PVcalc?lat=30.0444&amp;lon=31.2357&amp;peakpower=1&amp;loss=14&amp;angle=75&amp;aspect=-45&amp;outputformat=json&amp;raddatabase=PVGIS-SARAH3&amp;pvtechchoice=crystSi&amp;mountingplace=free&amp;usehorizon=1</v>
      </c>
    </row>
    <row r="4690">
      <c r="A4690" t="n">
        <v>75</v>
      </c>
      <c r="B4690" t="n">
        <v>150</v>
      </c>
      <c r="C4690" t="n">
        <v>1</v>
      </c>
      <c r="D4690" s="218" t="n">
        <v>124</v>
      </c>
      <c r="E4690" s="218" t="n">
        <v>4</v>
      </c>
      <c r="F4690" t="str">
        <v>https://re.jrc.ec.europa.eu/api/v5_3/PVcalc?lat=30.0444&amp;lon=31.2357&amp;peakpower=1&amp;loss=14&amp;angle=75&amp;aspect=-30&amp;outputformat=json&amp;raddatabase=PVGIS-SARAH3&amp;pvtechchoice=crystSi&amp;mountingplace=free&amp;usehorizon=1</v>
      </c>
    </row>
    <row r="4691">
      <c r="A4691" t="n">
        <v>75</v>
      </c>
      <c r="B4691" t="n">
        <v>150</v>
      </c>
      <c r="C4691" t="n">
        <v>2</v>
      </c>
      <c r="D4691" s="218" t="n">
        <v>113.27</v>
      </c>
      <c r="E4691" s="218" t="n">
        <v>4.05</v>
      </c>
      <c r="F4691" t="str">
        <v>https://re.jrc.ec.europa.eu/api/v5_3/PVcalc?lat=30.0444&amp;lon=31.2357&amp;peakpower=1&amp;loss=14&amp;angle=75&amp;aspect=-30&amp;outputformat=json&amp;raddatabase=PVGIS-SARAH3&amp;pvtechchoice=crystSi&amp;mountingplace=free&amp;usehorizon=1</v>
      </c>
    </row>
    <row r="4692">
      <c r="A4692" t="n">
        <v>75</v>
      </c>
      <c r="B4692" t="n">
        <v>150</v>
      </c>
      <c r="C4692" t="n">
        <v>3</v>
      </c>
      <c r="D4692" s="218" t="n">
        <v>121.76</v>
      </c>
      <c r="E4692" s="218" t="n">
        <v>3.93</v>
      </c>
      <c r="F4692" t="str">
        <v>https://re.jrc.ec.europa.eu/api/v5_3/PVcalc?lat=30.0444&amp;lon=31.2357&amp;peakpower=1&amp;loss=14&amp;angle=75&amp;aspect=-30&amp;outputformat=json&amp;raddatabase=PVGIS-SARAH3&amp;pvtechchoice=crystSi&amp;mountingplace=free&amp;usehorizon=1</v>
      </c>
    </row>
    <row r="4693">
      <c r="A4693" t="n">
        <v>75</v>
      </c>
      <c r="B4693" t="n">
        <v>150</v>
      </c>
      <c r="C4693" t="n">
        <v>4</v>
      </c>
      <c r="D4693" s="218" t="n">
        <v>104.67</v>
      </c>
      <c r="E4693" s="218" t="n">
        <v>3.49</v>
      </c>
      <c r="F4693" t="str">
        <v>https://re.jrc.ec.europa.eu/api/v5_3/PVcalc?lat=30.0444&amp;lon=31.2357&amp;peakpower=1&amp;loss=14&amp;angle=75&amp;aspect=-30&amp;outputformat=json&amp;raddatabase=PVGIS-SARAH3&amp;pvtechchoice=crystSi&amp;mountingplace=free&amp;usehorizon=1</v>
      </c>
    </row>
    <row r="4694">
      <c r="A4694" t="n">
        <v>75</v>
      </c>
      <c r="B4694" t="n">
        <v>150</v>
      </c>
      <c r="C4694" t="n">
        <v>5</v>
      </c>
      <c r="D4694" s="218" t="n">
        <v>93.08</v>
      </c>
      <c r="E4694" s="218" t="n">
        <v>3</v>
      </c>
      <c r="F4694" t="str">
        <v>https://re.jrc.ec.europa.eu/api/v5_3/PVcalc?lat=30.0444&amp;lon=31.2357&amp;peakpower=1&amp;loss=14&amp;angle=75&amp;aspect=-30&amp;outputformat=json&amp;raddatabase=PVGIS-SARAH3&amp;pvtechchoice=crystSi&amp;mountingplace=free&amp;usehorizon=1</v>
      </c>
    </row>
    <row r="4695">
      <c r="A4695" t="n">
        <v>75</v>
      </c>
      <c r="B4695" t="n">
        <v>150</v>
      </c>
      <c r="C4695" t="n">
        <v>6</v>
      </c>
      <c r="D4695" s="218" t="n">
        <v>81.62</v>
      </c>
      <c r="E4695" s="218" t="n">
        <v>2.72</v>
      </c>
      <c r="F4695" t="str">
        <v>https://re.jrc.ec.europa.eu/api/v5_3/PVcalc?lat=30.0444&amp;lon=31.2357&amp;peakpower=1&amp;loss=14&amp;angle=75&amp;aspect=-30&amp;outputformat=json&amp;raddatabase=PVGIS-SARAH3&amp;pvtechchoice=crystSi&amp;mountingplace=free&amp;usehorizon=1</v>
      </c>
    </row>
    <row r="4696">
      <c r="A4696" t="n">
        <v>75</v>
      </c>
      <c r="B4696" t="n">
        <v>150</v>
      </c>
      <c r="C4696" t="n">
        <v>7</v>
      </c>
      <c r="D4696" s="218" t="n">
        <v>86.98</v>
      </c>
      <c r="E4696" s="218" t="n">
        <v>2.81</v>
      </c>
      <c r="F4696" t="str">
        <v>https://re.jrc.ec.europa.eu/api/v5_3/PVcalc?lat=30.0444&amp;lon=31.2357&amp;peakpower=1&amp;loss=14&amp;angle=75&amp;aspect=-30&amp;outputformat=json&amp;raddatabase=PVGIS-SARAH3&amp;pvtechchoice=crystSi&amp;mountingplace=free&amp;usehorizon=1</v>
      </c>
    </row>
    <row r="4697">
      <c r="A4697" t="n">
        <v>75</v>
      </c>
      <c r="B4697" t="n">
        <v>150</v>
      </c>
      <c r="C4697" t="n">
        <v>8</v>
      </c>
      <c r="D4697" s="218" t="n">
        <v>100.59</v>
      </c>
      <c r="E4697" s="218" t="n">
        <v>3.24</v>
      </c>
      <c r="F4697" t="str">
        <v>https://re.jrc.ec.europa.eu/api/v5_3/PVcalc?lat=30.0444&amp;lon=31.2357&amp;peakpower=1&amp;loss=14&amp;angle=75&amp;aspect=-30&amp;outputformat=json&amp;raddatabase=PVGIS-SARAH3&amp;pvtechchoice=crystSi&amp;mountingplace=free&amp;usehorizon=1</v>
      </c>
    </row>
    <row r="4698">
      <c r="A4698" t="n">
        <v>75</v>
      </c>
      <c r="B4698" t="n">
        <v>150</v>
      </c>
      <c r="C4698" t="n">
        <v>9</v>
      </c>
      <c r="D4698" s="218" t="n">
        <v>112.71</v>
      </c>
      <c r="E4698" s="218" t="n">
        <v>3.76</v>
      </c>
      <c r="F4698" t="str">
        <v>https://re.jrc.ec.europa.eu/api/v5_3/PVcalc?lat=30.0444&amp;lon=31.2357&amp;peakpower=1&amp;loss=14&amp;angle=75&amp;aspect=-30&amp;outputformat=json&amp;raddatabase=PVGIS-SARAH3&amp;pvtechchoice=crystSi&amp;mountingplace=free&amp;usehorizon=1</v>
      </c>
    </row>
    <row r="4699">
      <c r="A4699" t="n">
        <v>75</v>
      </c>
      <c r="B4699" t="n">
        <v>150</v>
      </c>
      <c r="C4699" t="n">
        <v>10</v>
      </c>
      <c r="D4699" s="218" t="n">
        <v>126.46</v>
      </c>
      <c r="E4699" s="218" t="n">
        <v>4.08</v>
      </c>
      <c r="F4699" t="str">
        <v>https://re.jrc.ec.europa.eu/api/v5_3/PVcalc?lat=30.0444&amp;lon=31.2357&amp;peakpower=1&amp;loss=14&amp;angle=75&amp;aspect=-30&amp;outputformat=json&amp;raddatabase=PVGIS-SARAH3&amp;pvtechchoice=crystSi&amp;mountingplace=free&amp;usehorizon=1</v>
      </c>
    </row>
    <row r="4700">
      <c r="A4700" t="n">
        <v>75</v>
      </c>
      <c r="B4700" t="n">
        <v>150</v>
      </c>
      <c r="C4700" t="n">
        <v>11</v>
      </c>
      <c r="D4700" s="218" t="n">
        <v>126.57</v>
      </c>
      <c r="E4700" s="218" t="n">
        <v>4.22</v>
      </c>
      <c r="F4700" t="str">
        <v>https://re.jrc.ec.europa.eu/api/v5_3/PVcalc?lat=30.0444&amp;lon=31.2357&amp;peakpower=1&amp;loss=14&amp;angle=75&amp;aspect=-30&amp;outputformat=json&amp;raddatabase=PVGIS-SARAH3&amp;pvtechchoice=crystSi&amp;mountingplace=free&amp;usehorizon=1</v>
      </c>
    </row>
    <row r="4701">
      <c r="A4701" t="n">
        <v>75</v>
      </c>
      <c r="B4701" t="n">
        <v>150</v>
      </c>
      <c r="C4701" t="n">
        <v>12</v>
      </c>
      <c r="D4701" s="218" t="n">
        <v>127.28</v>
      </c>
      <c r="E4701" s="218" t="n">
        <v>4.11</v>
      </c>
      <c r="F4701" t="str">
        <v>https://re.jrc.ec.europa.eu/api/v5_3/PVcalc?lat=30.0444&amp;lon=31.2357&amp;peakpower=1&amp;loss=14&amp;angle=75&amp;aspect=-30&amp;outputformat=json&amp;raddatabase=PVGIS-SARAH3&amp;pvtechchoice=crystSi&amp;mountingplace=free&amp;usehorizon=1</v>
      </c>
    </row>
    <row r="4702">
      <c r="A4702" t="n">
        <v>75</v>
      </c>
      <c r="B4702" t="n">
        <v>165</v>
      </c>
      <c r="C4702" t="n">
        <v>1</v>
      </c>
      <c r="D4702" s="218" t="n">
        <v>133.82</v>
      </c>
      <c r="E4702" s="218" t="n">
        <v>4.32</v>
      </c>
      <c r="F4702" t="str">
        <v>https://re.jrc.ec.europa.eu/api/v5_3/PVcalc?lat=30.0444&amp;lon=31.2357&amp;peakpower=1&amp;loss=14&amp;angle=75&amp;aspect=-15&amp;outputformat=json&amp;raddatabase=PVGIS-SARAH3&amp;pvtechchoice=crystSi&amp;mountingplace=free&amp;usehorizon=1</v>
      </c>
    </row>
    <row r="4703">
      <c r="A4703" t="n">
        <v>75</v>
      </c>
      <c r="B4703" t="n">
        <v>165</v>
      </c>
      <c r="C4703" t="n">
        <v>2</v>
      </c>
      <c r="D4703" s="218" t="n">
        <v>119.88</v>
      </c>
      <c r="E4703" s="218" t="n">
        <v>4.28</v>
      </c>
      <c r="F4703" t="str">
        <v>https://re.jrc.ec.europa.eu/api/v5_3/PVcalc?lat=30.0444&amp;lon=31.2357&amp;peakpower=1&amp;loss=14&amp;angle=75&amp;aspect=-15&amp;outputformat=json&amp;raddatabase=PVGIS-SARAH3&amp;pvtechchoice=crystSi&amp;mountingplace=free&amp;usehorizon=1</v>
      </c>
    </row>
    <row r="4704">
      <c r="A4704" t="n">
        <v>75</v>
      </c>
      <c r="B4704" t="n">
        <v>165</v>
      </c>
      <c r="C4704" t="n">
        <v>3</v>
      </c>
      <c r="D4704" s="218" t="n">
        <v>126.36</v>
      </c>
      <c r="E4704" s="218" t="n">
        <v>4.08</v>
      </c>
      <c r="F4704" t="str">
        <v>https://re.jrc.ec.europa.eu/api/v5_3/PVcalc?lat=30.0444&amp;lon=31.2357&amp;peakpower=1&amp;loss=14&amp;angle=75&amp;aspect=-15&amp;outputformat=json&amp;raddatabase=PVGIS-SARAH3&amp;pvtechchoice=crystSi&amp;mountingplace=free&amp;usehorizon=1</v>
      </c>
    </row>
    <row r="4705">
      <c r="A4705" t="n">
        <v>75</v>
      </c>
      <c r="B4705" t="n">
        <v>165</v>
      </c>
      <c r="C4705" t="n">
        <v>4</v>
      </c>
      <c r="D4705" s="218" t="n">
        <v>103.44</v>
      </c>
      <c r="E4705" s="218" t="n">
        <v>3.45</v>
      </c>
      <c r="F4705" t="str">
        <v>https://re.jrc.ec.europa.eu/api/v5_3/PVcalc?lat=30.0444&amp;lon=31.2357&amp;peakpower=1&amp;loss=14&amp;angle=75&amp;aspect=-15&amp;outputformat=json&amp;raddatabase=PVGIS-SARAH3&amp;pvtechchoice=crystSi&amp;mountingplace=free&amp;usehorizon=1</v>
      </c>
    </row>
    <row r="4706">
      <c r="A4706" t="n">
        <v>75</v>
      </c>
      <c r="B4706" t="n">
        <v>165</v>
      </c>
      <c r="C4706" t="n">
        <v>5</v>
      </c>
      <c r="D4706" s="218" t="n">
        <v>85.68</v>
      </c>
      <c r="E4706" s="218" t="n">
        <v>2.76</v>
      </c>
      <c r="F4706" t="str">
        <v>https://re.jrc.ec.europa.eu/api/v5_3/PVcalc?lat=30.0444&amp;lon=31.2357&amp;peakpower=1&amp;loss=14&amp;angle=75&amp;aspect=-15&amp;outputformat=json&amp;raddatabase=PVGIS-SARAH3&amp;pvtechchoice=crystSi&amp;mountingplace=free&amp;usehorizon=1</v>
      </c>
    </row>
    <row r="4707">
      <c r="A4707" t="n">
        <v>75</v>
      </c>
      <c r="B4707" t="n">
        <v>165</v>
      </c>
      <c r="C4707" t="n">
        <v>6</v>
      </c>
      <c r="D4707" s="218" t="n">
        <v>70.95</v>
      </c>
      <c r="E4707" s="218" t="n">
        <v>2.36</v>
      </c>
      <c r="F4707" t="str">
        <v>https://re.jrc.ec.europa.eu/api/v5_3/PVcalc?lat=30.0444&amp;lon=31.2357&amp;peakpower=1&amp;loss=14&amp;angle=75&amp;aspect=-15&amp;outputformat=json&amp;raddatabase=PVGIS-SARAH3&amp;pvtechchoice=crystSi&amp;mountingplace=free&amp;usehorizon=1</v>
      </c>
    </row>
    <row r="4708">
      <c r="A4708" t="n">
        <v>75</v>
      </c>
      <c r="B4708" t="n">
        <v>165</v>
      </c>
      <c r="C4708" t="n">
        <v>7</v>
      </c>
      <c r="D4708" s="218" t="n">
        <v>78.23</v>
      </c>
      <c r="E4708" s="218" t="n">
        <v>2.52</v>
      </c>
      <c r="F4708" t="str">
        <v>https://re.jrc.ec.europa.eu/api/v5_3/PVcalc?lat=30.0444&amp;lon=31.2357&amp;peakpower=1&amp;loss=14&amp;angle=75&amp;aspect=-15&amp;outputformat=json&amp;raddatabase=PVGIS-SARAH3&amp;pvtechchoice=crystSi&amp;mountingplace=free&amp;usehorizon=1</v>
      </c>
    </row>
    <row r="4709">
      <c r="A4709" t="n">
        <v>75</v>
      </c>
      <c r="B4709" t="n">
        <v>165</v>
      </c>
      <c r="C4709" t="n">
        <v>8</v>
      </c>
      <c r="D4709" s="218" t="n">
        <v>96.72</v>
      </c>
      <c r="E4709" s="218" t="n">
        <v>3.12</v>
      </c>
      <c r="F4709" t="str">
        <v>https://re.jrc.ec.europa.eu/api/v5_3/PVcalc?lat=30.0444&amp;lon=31.2357&amp;peakpower=1&amp;loss=14&amp;angle=75&amp;aspect=-15&amp;outputformat=json&amp;raddatabase=PVGIS-SARAH3&amp;pvtechchoice=crystSi&amp;mountingplace=free&amp;usehorizon=1</v>
      </c>
    </row>
    <row r="4710">
      <c r="A4710" t="n">
        <v>75</v>
      </c>
      <c r="B4710" t="n">
        <v>165</v>
      </c>
      <c r="C4710" t="n">
        <v>9</v>
      </c>
      <c r="D4710" s="218" t="n">
        <v>116.04</v>
      </c>
      <c r="E4710" s="218" t="n">
        <v>3.87</v>
      </c>
      <c r="F4710" t="str">
        <v>https://re.jrc.ec.europa.eu/api/v5_3/PVcalc?lat=30.0444&amp;lon=31.2357&amp;peakpower=1&amp;loss=14&amp;angle=75&amp;aspect=-15&amp;outputformat=json&amp;raddatabase=PVGIS-SARAH3&amp;pvtechchoice=crystSi&amp;mountingplace=free&amp;usehorizon=1</v>
      </c>
    </row>
    <row r="4711">
      <c r="A4711" t="n">
        <v>75</v>
      </c>
      <c r="B4711" t="n">
        <v>165</v>
      </c>
      <c r="C4711" t="n">
        <v>10</v>
      </c>
      <c r="D4711" s="218" t="n">
        <v>134.73</v>
      </c>
      <c r="E4711" s="218" t="n">
        <v>4.35</v>
      </c>
      <c r="F4711" t="str">
        <v>https://re.jrc.ec.europa.eu/api/v5_3/PVcalc?lat=30.0444&amp;lon=31.2357&amp;peakpower=1&amp;loss=14&amp;angle=75&amp;aspect=-15&amp;outputformat=json&amp;raddatabase=PVGIS-SARAH3&amp;pvtechchoice=crystSi&amp;mountingplace=free&amp;usehorizon=1</v>
      </c>
    </row>
    <row r="4712">
      <c r="A4712" t="n">
        <v>75</v>
      </c>
      <c r="B4712" t="n">
        <v>165</v>
      </c>
      <c r="C4712" t="n">
        <v>11</v>
      </c>
      <c r="D4712" s="218" t="n">
        <v>136.75</v>
      </c>
      <c r="E4712" s="218" t="n">
        <v>4.56</v>
      </c>
      <c r="F4712" t="str">
        <v>https://re.jrc.ec.europa.eu/api/v5_3/PVcalc?lat=30.0444&amp;lon=31.2357&amp;peakpower=1&amp;loss=14&amp;angle=75&amp;aspect=-15&amp;outputformat=json&amp;raddatabase=PVGIS-SARAH3&amp;pvtechchoice=crystSi&amp;mountingplace=free&amp;usehorizon=1</v>
      </c>
    </row>
    <row r="4713">
      <c r="A4713" t="n">
        <v>75</v>
      </c>
      <c r="B4713" t="n">
        <v>165</v>
      </c>
      <c r="C4713" t="n">
        <v>12</v>
      </c>
      <c r="D4713" s="218" t="n">
        <v>137.56</v>
      </c>
      <c r="E4713" s="218" t="n">
        <v>4.44</v>
      </c>
      <c r="F4713" t="str">
        <v>https://re.jrc.ec.europa.eu/api/v5_3/PVcalc?lat=30.0444&amp;lon=31.2357&amp;peakpower=1&amp;loss=14&amp;angle=75&amp;aspect=-15&amp;outputformat=json&amp;raddatabase=PVGIS-SARAH3&amp;pvtechchoice=crystSi&amp;mountingplace=free&amp;usehorizon=1</v>
      </c>
    </row>
    <row r="4714">
      <c r="A4714" t="n">
        <v>75</v>
      </c>
      <c r="B4714" t="n">
        <v>180</v>
      </c>
      <c r="C4714" t="n">
        <v>1</v>
      </c>
      <c r="D4714" s="218" t="n">
        <v>136.83</v>
      </c>
      <c r="E4714" s="218" t="n">
        <v>4.41</v>
      </c>
      <c r="F4714" t="str">
        <v>https://re.jrc.ec.europa.eu/api/v5_3/PVcalc?lat=30.0444&amp;lon=31.2357&amp;peakpower=1&amp;loss=14&amp;angle=75&amp;aspect=0&amp;outputformat=json&amp;raddatabase=PVGIS-SARAH3&amp;pvtechchoice=crystSi&amp;mountingplace=free&amp;usehorizon=1</v>
      </c>
    </row>
    <row r="4715">
      <c r="A4715" t="n">
        <v>75</v>
      </c>
      <c r="B4715" t="n">
        <v>180</v>
      </c>
      <c r="C4715" t="n">
        <v>2</v>
      </c>
      <c r="D4715" s="218" t="n">
        <v>122.05</v>
      </c>
      <c r="E4715" s="218" t="n">
        <v>4.36</v>
      </c>
      <c r="F4715" t="str">
        <v>https://re.jrc.ec.europa.eu/api/v5_3/PVcalc?lat=30.0444&amp;lon=31.2357&amp;peakpower=1&amp;loss=14&amp;angle=75&amp;aspect=0&amp;outputformat=json&amp;raddatabase=PVGIS-SARAH3&amp;pvtechchoice=crystSi&amp;mountingplace=free&amp;usehorizon=1</v>
      </c>
    </row>
    <row r="4716">
      <c r="A4716" t="n">
        <v>75</v>
      </c>
      <c r="B4716" t="n">
        <v>180</v>
      </c>
      <c r="C4716" t="n">
        <v>3</v>
      </c>
      <c r="D4716" s="218" t="n">
        <v>129.25</v>
      </c>
      <c r="E4716" s="218" t="n">
        <v>4.17</v>
      </c>
      <c r="F4716" t="str">
        <v>https://re.jrc.ec.europa.eu/api/v5_3/PVcalc?lat=30.0444&amp;lon=31.2357&amp;peakpower=1&amp;loss=14&amp;angle=75&amp;aspect=0&amp;outputformat=json&amp;raddatabase=PVGIS-SARAH3&amp;pvtechchoice=crystSi&amp;mountingplace=free&amp;usehorizon=1</v>
      </c>
    </row>
    <row r="4717">
      <c r="A4717" t="n">
        <v>75</v>
      </c>
      <c r="B4717" t="n">
        <v>180</v>
      </c>
      <c r="C4717" t="n">
        <v>4</v>
      </c>
      <c r="D4717" s="218" t="n">
        <v>103.14</v>
      </c>
      <c r="E4717" s="218" t="n">
        <v>3.44</v>
      </c>
      <c r="F4717" t="str">
        <v>https://re.jrc.ec.europa.eu/api/v5_3/PVcalc?lat=30.0444&amp;lon=31.2357&amp;peakpower=1&amp;loss=14&amp;angle=75&amp;aspect=0&amp;outputformat=json&amp;raddatabase=PVGIS-SARAH3&amp;pvtechchoice=crystSi&amp;mountingplace=free&amp;usehorizon=1</v>
      </c>
    </row>
    <row r="4718">
      <c r="A4718" t="n">
        <v>75</v>
      </c>
      <c r="B4718" t="n">
        <v>180</v>
      </c>
      <c r="C4718" t="n">
        <v>5</v>
      </c>
      <c r="D4718" s="218" t="n">
        <v>81.91</v>
      </c>
      <c r="E4718" s="218" t="n">
        <v>2.64</v>
      </c>
      <c r="F4718" t="str">
        <v>https://re.jrc.ec.europa.eu/api/v5_3/PVcalc?lat=30.0444&amp;lon=31.2357&amp;peakpower=1&amp;loss=14&amp;angle=75&amp;aspect=0&amp;outputformat=json&amp;raddatabase=PVGIS-SARAH3&amp;pvtechchoice=crystSi&amp;mountingplace=free&amp;usehorizon=1</v>
      </c>
    </row>
    <row r="4719">
      <c r="A4719" t="n">
        <v>75</v>
      </c>
      <c r="B4719" t="n">
        <v>180</v>
      </c>
      <c r="C4719" t="n">
        <v>6</v>
      </c>
      <c r="D4719" s="218" t="n">
        <v>66.61</v>
      </c>
      <c r="E4719" s="218" t="n">
        <v>2.22</v>
      </c>
      <c r="F4719" t="str">
        <v>https://re.jrc.ec.europa.eu/api/v5_3/PVcalc?lat=30.0444&amp;lon=31.2357&amp;peakpower=1&amp;loss=14&amp;angle=75&amp;aspect=0&amp;outputformat=json&amp;raddatabase=PVGIS-SARAH3&amp;pvtechchoice=crystSi&amp;mountingplace=free&amp;usehorizon=1</v>
      </c>
    </row>
    <row r="4720">
      <c r="A4720" t="n">
        <v>75</v>
      </c>
      <c r="B4720" t="n">
        <v>180</v>
      </c>
      <c r="C4720" t="n">
        <v>7</v>
      </c>
      <c r="D4720" s="218" t="n">
        <v>73.88</v>
      </c>
      <c r="E4720" s="218" t="n">
        <v>2.38</v>
      </c>
      <c r="F4720" t="str">
        <v>https://re.jrc.ec.europa.eu/api/v5_3/PVcalc?lat=30.0444&amp;lon=31.2357&amp;peakpower=1&amp;loss=14&amp;angle=75&amp;aspect=0&amp;outputformat=json&amp;raddatabase=PVGIS-SARAH3&amp;pvtechchoice=crystSi&amp;mountingplace=free&amp;usehorizon=1</v>
      </c>
    </row>
    <row r="4721">
      <c r="A4721" t="n">
        <v>75</v>
      </c>
      <c r="B4721" t="n">
        <v>180</v>
      </c>
      <c r="C4721" t="n">
        <v>8</v>
      </c>
      <c r="D4721" s="218" t="n">
        <v>95.08</v>
      </c>
      <c r="E4721" s="218" t="n">
        <v>3.07</v>
      </c>
      <c r="F4721" t="str">
        <v>https://re.jrc.ec.europa.eu/api/v5_3/PVcalc?lat=30.0444&amp;lon=31.2357&amp;peakpower=1&amp;loss=14&amp;angle=75&amp;aspect=0&amp;outputformat=json&amp;raddatabase=PVGIS-SARAH3&amp;pvtechchoice=crystSi&amp;mountingplace=free&amp;usehorizon=1</v>
      </c>
    </row>
    <row r="4722">
      <c r="A4722" t="n">
        <v>75</v>
      </c>
      <c r="B4722" t="n">
        <v>180</v>
      </c>
      <c r="C4722" t="n">
        <v>9</v>
      </c>
      <c r="D4722" s="218" t="n">
        <v>118.83</v>
      </c>
      <c r="E4722" s="218" t="n">
        <v>3.96</v>
      </c>
      <c r="F4722" t="str">
        <v>https://re.jrc.ec.europa.eu/api/v5_3/PVcalc?lat=30.0444&amp;lon=31.2357&amp;peakpower=1&amp;loss=14&amp;angle=75&amp;aspect=0&amp;outputformat=json&amp;raddatabase=PVGIS-SARAH3&amp;pvtechchoice=crystSi&amp;mountingplace=free&amp;usehorizon=1</v>
      </c>
    </row>
    <row r="4723">
      <c r="A4723" t="n">
        <v>75</v>
      </c>
      <c r="B4723" t="n">
        <v>180</v>
      </c>
      <c r="C4723" t="n">
        <v>10</v>
      </c>
      <c r="D4723" s="218" t="n">
        <v>138.83</v>
      </c>
      <c r="E4723" s="218" t="n">
        <v>4.48</v>
      </c>
      <c r="F4723" t="str">
        <v>https://re.jrc.ec.europa.eu/api/v5_3/PVcalc?lat=30.0444&amp;lon=31.2357&amp;peakpower=1&amp;loss=14&amp;angle=75&amp;aspect=0&amp;outputformat=json&amp;raddatabase=PVGIS-SARAH3&amp;pvtechchoice=crystSi&amp;mountingplace=free&amp;usehorizon=1</v>
      </c>
    </row>
    <row r="4724">
      <c r="A4724" t="n">
        <v>75</v>
      </c>
      <c r="B4724" t="n">
        <v>180</v>
      </c>
      <c r="C4724" t="n">
        <v>11</v>
      </c>
      <c r="D4724" s="218" t="n">
        <v>140.3</v>
      </c>
      <c r="E4724" s="218" t="n">
        <v>4.68</v>
      </c>
      <c r="F4724" t="str">
        <v>https://re.jrc.ec.europa.eu/api/v5_3/PVcalc?lat=30.0444&amp;lon=31.2357&amp;peakpower=1&amp;loss=14&amp;angle=75&amp;aspect=0&amp;outputformat=json&amp;raddatabase=PVGIS-SARAH3&amp;pvtechchoice=crystSi&amp;mountingplace=free&amp;usehorizon=1</v>
      </c>
    </row>
    <row r="4725">
      <c r="A4725" t="n">
        <v>75</v>
      </c>
      <c r="B4725" t="n">
        <v>180</v>
      </c>
      <c r="C4725" t="n">
        <v>12</v>
      </c>
      <c r="D4725" s="218" t="n">
        <v>140.69</v>
      </c>
      <c r="E4725" s="218" t="n">
        <v>4.54</v>
      </c>
      <c r="F4725" t="str">
        <v>https://re.jrc.ec.europa.eu/api/v5_3/PVcalc?lat=30.0444&amp;lon=31.2357&amp;peakpower=1&amp;loss=14&amp;angle=75&amp;aspect=0&amp;outputformat=json&amp;raddatabase=PVGIS-SARAH3&amp;pvtechchoice=crystSi&amp;mountingplace=free&amp;usehorizon=1</v>
      </c>
    </row>
    <row r="4726">
      <c r="A4726" t="n">
        <v>75</v>
      </c>
      <c r="B4726" t="n">
        <v>195</v>
      </c>
      <c r="C4726" t="n">
        <v>1</v>
      </c>
      <c r="D4726" s="218" t="n">
        <v>132.57</v>
      </c>
      <c r="E4726" s="218" t="n">
        <v>4.28</v>
      </c>
      <c r="F4726" t="str">
        <v>https://re.jrc.ec.europa.eu/api/v5_3/PVcalc?lat=30.0444&amp;lon=31.2357&amp;peakpower=1&amp;loss=14&amp;angle=75&amp;aspect=15&amp;outputformat=json&amp;raddatabase=PVGIS-SARAH3&amp;pvtechchoice=crystSi&amp;mountingplace=free&amp;usehorizon=1</v>
      </c>
    </row>
    <row r="4727">
      <c r="A4727" t="n">
        <v>75</v>
      </c>
      <c r="B4727" t="n">
        <v>195</v>
      </c>
      <c r="C4727" t="n">
        <v>2</v>
      </c>
      <c r="D4727" s="218" t="n">
        <v>118.18</v>
      </c>
      <c r="E4727" s="218" t="n">
        <v>4.22</v>
      </c>
      <c r="F4727" t="str">
        <v>https://re.jrc.ec.europa.eu/api/v5_3/PVcalc?lat=30.0444&amp;lon=31.2357&amp;peakpower=1&amp;loss=14&amp;angle=75&amp;aspect=15&amp;outputformat=json&amp;raddatabase=PVGIS-SARAH3&amp;pvtechchoice=crystSi&amp;mountingplace=free&amp;usehorizon=1</v>
      </c>
    </row>
    <row r="4728">
      <c r="A4728" t="n">
        <v>75</v>
      </c>
      <c r="B4728" t="n">
        <v>195</v>
      </c>
      <c r="C4728" t="n">
        <v>3</v>
      </c>
      <c r="D4728" s="218" t="n">
        <v>128.18</v>
      </c>
      <c r="E4728" s="218" t="n">
        <v>4.13</v>
      </c>
      <c r="F4728" t="str">
        <v>https://re.jrc.ec.europa.eu/api/v5_3/PVcalc?lat=30.0444&amp;lon=31.2357&amp;peakpower=1&amp;loss=14&amp;angle=75&amp;aspect=15&amp;outputformat=json&amp;raddatabase=PVGIS-SARAH3&amp;pvtechchoice=crystSi&amp;mountingplace=free&amp;usehorizon=1</v>
      </c>
    </row>
    <row r="4729">
      <c r="A4729" t="n">
        <v>75</v>
      </c>
      <c r="B4729" t="n">
        <v>195</v>
      </c>
      <c r="C4729" t="n">
        <v>4</v>
      </c>
      <c r="D4729" s="218" t="n">
        <v>105.32</v>
      </c>
      <c r="E4729" s="218" t="n">
        <v>3.51</v>
      </c>
      <c r="F4729" t="str">
        <v>https://re.jrc.ec.europa.eu/api/v5_3/PVcalc?lat=30.0444&amp;lon=31.2357&amp;peakpower=1&amp;loss=14&amp;angle=75&amp;aspect=15&amp;outputformat=json&amp;raddatabase=PVGIS-SARAH3&amp;pvtechchoice=crystSi&amp;mountingplace=free&amp;usehorizon=1</v>
      </c>
    </row>
    <row r="4730">
      <c r="A4730" t="n">
        <v>75</v>
      </c>
      <c r="B4730" t="n">
        <v>195</v>
      </c>
      <c r="C4730" t="n">
        <v>5</v>
      </c>
      <c r="D4730" s="218" t="n">
        <v>85.68</v>
      </c>
      <c r="E4730" s="218" t="n">
        <v>2.76</v>
      </c>
      <c r="F4730" t="str">
        <v>https://re.jrc.ec.europa.eu/api/v5_3/PVcalc?lat=30.0444&amp;lon=31.2357&amp;peakpower=1&amp;loss=14&amp;angle=75&amp;aspect=15&amp;outputformat=json&amp;raddatabase=PVGIS-SARAH3&amp;pvtechchoice=crystSi&amp;mountingplace=free&amp;usehorizon=1</v>
      </c>
    </row>
    <row r="4731">
      <c r="A4731" t="n">
        <v>75</v>
      </c>
      <c r="B4731" t="n">
        <v>195</v>
      </c>
      <c r="C4731" t="n">
        <v>6</v>
      </c>
      <c r="D4731" s="218" t="n">
        <v>71.6</v>
      </c>
      <c r="E4731" s="218" t="n">
        <v>2.39</v>
      </c>
      <c r="F4731" t="str">
        <v>https://re.jrc.ec.europa.eu/api/v5_3/PVcalc?lat=30.0444&amp;lon=31.2357&amp;peakpower=1&amp;loss=14&amp;angle=75&amp;aspect=15&amp;outputformat=json&amp;raddatabase=PVGIS-SARAH3&amp;pvtechchoice=crystSi&amp;mountingplace=free&amp;usehorizon=1</v>
      </c>
    </row>
    <row r="4732">
      <c r="A4732" t="n">
        <v>75</v>
      </c>
      <c r="B4732" t="n">
        <v>195</v>
      </c>
      <c r="C4732" t="n">
        <v>7</v>
      </c>
      <c r="D4732" s="218" t="n">
        <v>78.95</v>
      </c>
      <c r="E4732" s="218" t="n">
        <v>2.55</v>
      </c>
      <c r="F4732" t="str">
        <v>https://re.jrc.ec.europa.eu/api/v5_3/PVcalc?lat=30.0444&amp;lon=31.2357&amp;peakpower=1&amp;loss=14&amp;angle=75&amp;aspect=15&amp;outputformat=json&amp;raddatabase=PVGIS-SARAH3&amp;pvtechchoice=crystSi&amp;mountingplace=free&amp;usehorizon=1</v>
      </c>
    </row>
    <row r="4733">
      <c r="A4733" t="n">
        <v>75</v>
      </c>
      <c r="B4733" t="n">
        <v>195</v>
      </c>
      <c r="C4733" t="n">
        <v>8</v>
      </c>
      <c r="D4733" s="218" t="n">
        <v>99.02</v>
      </c>
      <c r="E4733" s="218" t="n">
        <v>3.19</v>
      </c>
      <c r="F4733" t="str">
        <v>https://re.jrc.ec.europa.eu/api/v5_3/PVcalc?lat=30.0444&amp;lon=31.2357&amp;peakpower=1&amp;loss=14&amp;angle=75&amp;aspect=15&amp;outputformat=json&amp;raddatabase=PVGIS-SARAH3&amp;pvtechchoice=crystSi&amp;mountingplace=free&amp;usehorizon=1</v>
      </c>
    </row>
    <row r="4734">
      <c r="A4734" t="n">
        <v>75</v>
      </c>
      <c r="B4734" t="n">
        <v>195</v>
      </c>
      <c r="C4734" t="n">
        <v>9</v>
      </c>
      <c r="D4734" s="218" t="n">
        <v>119.87</v>
      </c>
      <c r="E4734" s="218" t="n">
        <v>4</v>
      </c>
      <c r="F4734" t="str">
        <v>https://re.jrc.ec.europa.eu/api/v5_3/PVcalc?lat=30.0444&amp;lon=31.2357&amp;peakpower=1&amp;loss=14&amp;angle=75&amp;aspect=15&amp;outputformat=json&amp;raddatabase=PVGIS-SARAH3&amp;pvtechchoice=crystSi&amp;mountingplace=free&amp;usehorizon=1</v>
      </c>
    </row>
    <row r="4735">
      <c r="A4735" t="n">
        <v>75</v>
      </c>
      <c r="B4735" t="n">
        <v>195</v>
      </c>
      <c r="C4735" t="n">
        <v>10</v>
      </c>
      <c r="D4735" s="218" t="n">
        <v>136.03</v>
      </c>
      <c r="E4735" s="218" t="n">
        <v>4.39</v>
      </c>
      <c r="F4735" t="str">
        <v>https://re.jrc.ec.europa.eu/api/v5_3/PVcalc?lat=30.0444&amp;lon=31.2357&amp;peakpower=1&amp;loss=14&amp;angle=75&amp;aspect=15&amp;outputformat=json&amp;raddatabase=PVGIS-SARAH3&amp;pvtechchoice=crystSi&amp;mountingplace=free&amp;usehorizon=1</v>
      </c>
    </row>
    <row r="4736">
      <c r="A4736" t="n">
        <v>75</v>
      </c>
      <c r="B4736" t="n">
        <v>195</v>
      </c>
      <c r="C4736" t="n">
        <v>11</v>
      </c>
      <c r="D4736" s="218" t="n">
        <v>136.21</v>
      </c>
      <c r="E4736" s="218" t="n">
        <v>4.54</v>
      </c>
      <c r="F4736" t="str">
        <v>https://re.jrc.ec.europa.eu/api/v5_3/PVcalc?lat=30.0444&amp;lon=31.2357&amp;peakpower=1&amp;loss=14&amp;angle=75&amp;aspect=15&amp;outputformat=json&amp;raddatabase=PVGIS-SARAH3&amp;pvtechchoice=crystSi&amp;mountingplace=free&amp;usehorizon=1</v>
      </c>
    </row>
    <row r="4737">
      <c r="A4737" t="n">
        <v>75</v>
      </c>
      <c r="B4737" t="n">
        <v>195</v>
      </c>
      <c r="C4737" t="n">
        <v>12</v>
      </c>
      <c r="D4737" s="218" t="n">
        <v>136.24</v>
      </c>
      <c r="E4737" s="218" t="n">
        <v>4.39</v>
      </c>
      <c r="F4737" t="str">
        <v>https://re.jrc.ec.europa.eu/api/v5_3/PVcalc?lat=30.0444&amp;lon=31.2357&amp;peakpower=1&amp;loss=14&amp;angle=75&amp;aspect=15&amp;outputformat=json&amp;raddatabase=PVGIS-SARAH3&amp;pvtechchoice=crystSi&amp;mountingplace=free&amp;usehorizon=1</v>
      </c>
    </row>
    <row r="4738">
      <c r="A4738" t="n">
        <v>75</v>
      </c>
      <c r="B4738" t="n">
        <v>210</v>
      </c>
      <c r="C4738" t="n">
        <v>1</v>
      </c>
      <c r="D4738" s="218" t="n">
        <v>121.49</v>
      </c>
      <c r="E4738" s="218" t="n">
        <v>3.92</v>
      </c>
      <c r="F4738" t="str">
        <v>https://re.jrc.ec.europa.eu/api/v5_3/PVcalc?lat=30.0444&amp;lon=31.2357&amp;peakpower=1&amp;loss=14&amp;angle=75&amp;aspect=30&amp;outputformat=json&amp;raddatabase=PVGIS-SARAH3&amp;pvtechchoice=crystSi&amp;mountingplace=free&amp;usehorizon=1</v>
      </c>
    </row>
    <row r="4739">
      <c r="A4739" t="n">
        <v>75</v>
      </c>
      <c r="B4739" t="n">
        <v>210</v>
      </c>
      <c r="C4739" t="n">
        <v>2</v>
      </c>
      <c r="D4739" s="218" t="n">
        <v>109.81</v>
      </c>
      <c r="E4739" s="218" t="n">
        <v>3.92</v>
      </c>
      <c r="F4739" t="str">
        <v>https://re.jrc.ec.europa.eu/api/v5_3/PVcalc?lat=30.0444&amp;lon=31.2357&amp;peakpower=1&amp;loss=14&amp;angle=75&amp;aspect=30&amp;outputformat=json&amp;raddatabase=PVGIS-SARAH3&amp;pvtechchoice=crystSi&amp;mountingplace=free&amp;usehorizon=1</v>
      </c>
    </row>
    <row r="4740">
      <c r="A4740" t="n">
        <v>75</v>
      </c>
      <c r="B4740" t="n">
        <v>210</v>
      </c>
      <c r="C4740" t="n">
        <v>3</v>
      </c>
      <c r="D4740" s="218" t="n">
        <v>124.43</v>
      </c>
      <c r="E4740" s="218" t="n">
        <v>4.01</v>
      </c>
      <c r="F4740" t="str">
        <v>https://re.jrc.ec.europa.eu/api/v5_3/PVcalc?lat=30.0444&amp;lon=31.2357&amp;peakpower=1&amp;loss=14&amp;angle=75&amp;aspect=30&amp;outputformat=json&amp;raddatabase=PVGIS-SARAH3&amp;pvtechchoice=crystSi&amp;mountingplace=free&amp;usehorizon=1</v>
      </c>
    </row>
    <row r="4741">
      <c r="A4741" t="n">
        <v>75</v>
      </c>
      <c r="B4741" t="n">
        <v>210</v>
      </c>
      <c r="C4741" t="n">
        <v>4</v>
      </c>
      <c r="D4741" s="218" t="n">
        <v>107.99</v>
      </c>
      <c r="E4741" s="218" t="n">
        <v>3.6</v>
      </c>
      <c r="F4741" t="str">
        <v>https://re.jrc.ec.europa.eu/api/v5_3/PVcalc?lat=30.0444&amp;lon=31.2357&amp;peakpower=1&amp;loss=14&amp;angle=75&amp;aspect=30&amp;outputformat=json&amp;raddatabase=PVGIS-SARAH3&amp;pvtechchoice=crystSi&amp;mountingplace=free&amp;usehorizon=1</v>
      </c>
    </row>
    <row r="4742">
      <c r="A4742" t="n">
        <v>75</v>
      </c>
      <c r="B4742" t="n">
        <v>210</v>
      </c>
      <c r="C4742" t="n">
        <v>5</v>
      </c>
      <c r="D4742" s="218" t="n">
        <v>94.15</v>
      </c>
      <c r="E4742" s="218" t="n">
        <v>3.04</v>
      </c>
      <c r="F4742" t="str">
        <v>https://re.jrc.ec.europa.eu/api/v5_3/PVcalc?lat=30.0444&amp;lon=31.2357&amp;peakpower=1&amp;loss=14&amp;angle=75&amp;aspect=30&amp;outputformat=json&amp;raddatabase=PVGIS-SARAH3&amp;pvtechchoice=crystSi&amp;mountingplace=free&amp;usehorizon=1</v>
      </c>
    </row>
    <row r="4743">
      <c r="A4743" t="n">
        <v>75</v>
      </c>
      <c r="B4743" t="n">
        <v>210</v>
      </c>
      <c r="C4743" t="n">
        <v>6</v>
      </c>
      <c r="D4743" s="218" t="n">
        <v>83.78</v>
      </c>
      <c r="E4743" s="218" t="n">
        <v>2.79</v>
      </c>
      <c r="F4743" t="str">
        <v>https://re.jrc.ec.europa.eu/api/v5_3/PVcalc?lat=30.0444&amp;lon=31.2357&amp;peakpower=1&amp;loss=14&amp;angle=75&amp;aspect=30&amp;outputformat=json&amp;raddatabase=PVGIS-SARAH3&amp;pvtechchoice=crystSi&amp;mountingplace=free&amp;usehorizon=1</v>
      </c>
    </row>
    <row r="4744">
      <c r="A4744" t="n">
        <v>75</v>
      </c>
      <c r="B4744" t="n">
        <v>210</v>
      </c>
      <c r="C4744" t="n">
        <v>7</v>
      </c>
      <c r="D4744" s="218" t="n">
        <v>91.01</v>
      </c>
      <c r="E4744" s="218" t="n">
        <v>2.94</v>
      </c>
      <c r="F4744" t="str">
        <v>https://re.jrc.ec.europa.eu/api/v5_3/PVcalc?lat=30.0444&amp;lon=31.2357&amp;peakpower=1&amp;loss=14&amp;angle=75&amp;aspect=30&amp;outputformat=json&amp;raddatabase=PVGIS-SARAH3&amp;pvtechchoice=crystSi&amp;mountingplace=free&amp;usehorizon=1</v>
      </c>
    </row>
    <row r="4745">
      <c r="A4745" t="n">
        <v>75</v>
      </c>
      <c r="B4745" t="n">
        <v>210</v>
      </c>
      <c r="C4745" t="n">
        <v>8</v>
      </c>
      <c r="D4745" s="218" t="n">
        <v>106.06</v>
      </c>
      <c r="E4745" s="218" t="n">
        <v>3.42</v>
      </c>
      <c r="F4745" t="str">
        <v>https://re.jrc.ec.europa.eu/api/v5_3/PVcalc?lat=30.0444&amp;lon=31.2357&amp;peakpower=1&amp;loss=14&amp;angle=75&amp;aspect=30&amp;outputformat=json&amp;raddatabase=PVGIS-SARAH3&amp;pvtechchoice=crystSi&amp;mountingplace=free&amp;usehorizon=1</v>
      </c>
    </row>
    <row r="4746">
      <c r="A4746" t="n">
        <v>75</v>
      </c>
      <c r="B4746" t="n">
        <v>210</v>
      </c>
      <c r="C4746" t="n">
        <v>9</v>
      </c>
      <c r="D4746" s="218" t="n">
        <v>119.22</v>
      </c>
      <c r="E4746" s="218" t="n">
        <v>3.97</v>
      </c>
      <c r="F4746" t="str">
        <v>https://re.jrc.ec.europa.eu/api/v5_3/PVcalc?lat=30.0444&amp;lon=31.2357&amp;peakpower=1&amp;loss=14&amp;angle=75&amp;aspect=30&amp;outputformat=json&amp;raddatabase=PVGIS-SARAH3&amp;pvtechchoice=crystSi&amp;mountingplace=free&amp;usehorizon=1</v>
      </c>
    </row>
    <row r="4747">
      <c r="A4747" t="n">
        <v>75</v>
      </c>
      <c r="B4747" t="n">
        <v>210</v>
      </c>
      <c r="C4747" t="n">
        <v>10</v>
      </c>
      <c r="D4747" s="218" t="n">
        <v>128.35</v>
      </c>
      <c r="E4747" s="218" t="n">
        <v>4.14</v>
      </c>
      <c r="F4747" t="str">
        <v>https://re.jrc.ec.europa.eu/api/v5_3/PVcalc?lat=30.0444&amp;lon=31.2357&amp;peakpower=1&amp;loss=14&amp;angle=75&amp;aspect=30&amp;outputformat=json&amp;raddatabase=PVGIS-SARAH3&amp;pvtechchoice=crystSi&amp;mountingplace=free&amp;usehorizon=1</v>
      </c>
    </row>
    <row r="4748">
      <c r="A4748" t="n">
        <v>75</v>
      </c>
      <c r="B4748" t="n">
        <v>210</v>
      </c>
      <c r="C4748" t="n">
        <v>11</v>
      </c>
      <c r="D4748" s="218" t="n">
        <v>125.42</v>
      </c>
      <c r="E4748" s="218" t="n">
        <v>4.18</v>
      </c>
      <c r="F4748" t="str">
        <v>https://re.jrc.ec.europa.eu/api/v5_3/PVcalc?lat=30.0444&amp;lon=31.2357&amp;peakpower=1&amp;loss=14&amp;angle=75&amp;aspect=30&amp;outputformat=json&amp;raddatabase=PVGIS-SARAH3&amp;pvtechchoice=crystSi&amp;mountingplace=free&amp;usehorizon=1</v>
      </c>
    </row>
    <row r="4749">
      <c r="A4749" t="n">
        <v>75</v>
      </c>
      <c r="B4749" t="n">
        <v>210</v>
      </c>
      <c r="C4749" t="n">
        <v>12</v>
      </c>
      <c r="D4749" s="218" t="n">
        <v>124.69</v>
      </c>
      <c r="E4749" s="218" t="n">
        <v>4.02</v>
      </c>
      <c r="F4749" t="str">
        <v>https://re.jrc.ec.europa.eu/api/v5_3/PVcalc?lat=30.0444&amp;lon=31.2357&amp;peakpower=1&amp;loss=14&amp;angle=75&amp;aspect=30&amp;outputformat=json&amp;raddatabase=PVGIS-SARAH3&amp;pvtechchoice=crystSi&amp;mountingplace=free&amp;usehorizon=1</v>
      </c>
    </row>
    <row r="4750">
      <c r="A4750" t="n">
        <v>75</v>
      </c>
      <c r="B4750" t="n">
        <v>225</v>
      </c>
      <c r="C4750" t="n">
        <v>1</v>
      </c>
      <c r="D4750" s="218" t="n">
        <v>106.42</v>
      </c>
      <c r="E4750" s="218" t="n">
        <v>3.43</v>
      </c>
      <c r="F4750" t="str">
        <v>https://re.jrc.ec.europa.eu/api/v5_3/PVcalc?lat=30.0444&amp;lon=31.2357&amp;peakpower=1&amp;loss=14&amp;angle=75&amp;aspect=45&amp;outputformat=json&amp;raddatabase=PVGIS-SARAH3&amp;pvtechchoice=crystSi&amp;mountingplace=free&amp;usehorizon=1</v>
      </c>
    </row>
    <row r="4751">
      <c r="A4751" t="n">
        <v>75</v>
      </c>
      <c r="B4751" t="n">
        <v>225</v>
      </c>
      <c r="C4751" t="n">
        <v>2</v>
      </c>
      <c r="D4751" s="218" t="n">
        <v>99.6</v>
      </c>
      <c r="E4751" s="218" t="n">
        <v>3.56</v>
      </c>
      <c r="F4751" t="str">
        <v>https://re.jrc.ec.europa.eu/api/v5_3/PVcalc?lat=30.0444&amp;lon=31.2357&amp;peakpower=1&amp;loss=14&amp;angle=75&amp;aspect=45&amp;outputformat=json&amp;raddatabase=PVGIS-SARAH3&amp;pvtechchoice=crystSi&amp;mountingplace=free&amp;usehorizon=1</v>
      </c>
    </row>
    <row r="4752">
      <c r="A4752" t="n">
        <v>75</v>
      </c>
      <c r="B4752" t="n">
        <v>225</v>
      </c>
      <c r="C4752" t="n">
        <v>3</v>
      </c>
      <c r="D4752" s="218" t="n">
        <v>119.29</v>
      </c>
      <c r="E4752" s="218" t="n">
        <v>3.85</v>
      </c>
      <c r="F4752" t="str">
        <v>https://re.jrc.ec.europa.eu/api/v5_3/PVcalc?lat=30.0444&amp;lon=31.2357&amp;peakpower=1&amp;loss=14&amp;angle=75&amp;aspect=45&amp;outputformat=json&amp;raddatabase=PVGIS-SARAH3&amp;pvtechchoice=crystSi&amp;mountingplace=free&amp;usehorizon=1</v>
      </c>
    </row>
    <row r="4753">
      <c r="A4753" t="n">
        <v>75</v>
      </c>
      <c r="B4753" t="n">
        <v>225</v>
      </c>
      <c r="C4753" t="n">
        <v>4</v>
      </c>
      <c r="D4753" s="218" t="n">
        <v>109.56</v>
      </c>
      <c r="E4753" s="218" t="n">
        <v>3.65</v>
      </c>
      <c r="F4753" t="str">
        <v>https://re.jrc.ec.europa.eu/api/v5_3/PVcalc?lat=30.0444&amp;lon=31.2357&amp;peakpower=1&amp;loss=14&amp;angle=75&amp;aspect=45&amp;outputformat=json&amp;raddatabase=PVGIS-SARAH3&amp;pvtechchoice=crystSi&amp;mountingplace=free&amp;usehorizon=1</v>
      </c>
    </row>
    <row r="4754">
      <c r="A4754" t="n">
        <v>75</v>
      </c>
      <c r="B4754" t="n">
        <v>225</v>
      </c>
      <c r="C4754" t="n">
        <v>5</v>
      </c>
      <c r="D4754" s="218" t="n">
        <v>102.55</v>
      </c>
      <c r="E4754" s="218" t="n">
        <v>3.31</v>
      </c>
      <c r="F4754" t="str">
        <v>https://re.jrc.ec.europa.eu/api/v5_3/PVcalc?lat=30.0444&amp;lon=31.2357&amp;peakpower=1&amp;loss=14&amp;angle=75&amp;aspect=45&amp;outputformat=json&amp;raddatabase=PVGIS-SARAH3&amp;pvtechchoice=crystSi&amp;mountingplace=free&amp;usehorizon=1</v>
      </c>
    </row>
    <row r="4755">
      <c r="A4755" t="n">
        <v>75</v>
      </c>
      <c r="B4755" t="n">
        <v>225</v>
      </c>
      <c r="C4755" t="n">
        <v>6</v>
      </c>
      <c r="D4755" s="218" t="n">
        <v>96.52</v>
      </c>
      <c r="E4755" s="218" t="n">
        <v>3.22</v>
      </c>
      <c r="F4755" t="str">
        <v>https://re.jrc.ec.europa.eu/api/v5_3/PVcalc?lat=30.0444&amp;lon=31.2357&amp;peakpower=1&amp;loss=14&amp;angle=75&amp;aspect=45&amp;outputformat=json&amp;raddatabase=PVGIS-SARAH3&amp;pvtechchoice=crystSi&amp;mountingplace=free&amp;usehorizon=1</v>
      </c>
    </row>
    <row r="4756">
      <c r="A4756" t="n">
        <v>75</v>
      </c>
      <c r="B4756" t="n">
        <v>225</v>
      </c>
      <c r="C4756" t="n">
        <v>7</v>
      </c>
      <c r="D4756" s="218" t="n">
        <v>103.04</v>
      </c>
      <c r="E4756" s="218" t="n">
        <v>3.32</v>
      </c>
      <c r="F4756" t="str">
        <v>https://re.jrc.ec.europa.eu/api/v5_3/PVcalc?lat=30.0444&amp;lon=31.2357&amp;peakpower=1&amp;loss=14&amp;angle=75&amp;aspect=45&amp;outputformat=json&amp;raddatabase=PVGIS-SARAH3&amp;pvtechchoice=crystSi&amp;mountingplace=free&amp;usehorizon=1</v>
      </c>
    </row>
    <row r="4757">
      <c r="A4757" t="n">
        <v>75</v>
      </c>
      <c r="B4757" t="n">
        <v>225</v>
      </c>
      <c r="C4757" t="n">
        <v>8</v>
      </c>
      <c r="D4757" s="218" t="n">
        <v>112.25</v>
      </c>
      <c r="E4757" s="218" t="n">
        <v>3.62</v>
      </c>
      <c r="F4757" t="str">
        <v>https://re.jrc.ec.europa.eu/api/v5_3/PVcalc?lat=30.0444&amp;lon=31.2357&amp;peakpower=1&amp;loss=14&amp;angle=75&amp;aspect=45&amp;outputformat=json&amp;raddatabase=PVGIS-SARAH3&amp;pvtechchoice=crystSi&amp;mountingplace=free&amp;usehorizon=1</v>
      </c>
    </row>
    <row r="4758">
      <c r="A4758" t="n">
        <v>75</v>
      </c>
      <c r="B4758" t="n">
        <v>225</v>
      </c>
      <c r="C4758" t="n">
        <v>9</v>
      </c>
      <c r="D4758" s="218" t="n">
        <v>117.18</v>
      </c>
      <c r="E4758" s="218" t="n">
        <v>3.91</v>
      </c>
      <c r="F4758" t="str">
        <v>https://re.jrc.ec.europa.eu/api/v5_3/PVcalc?lat=30.0444&amp;lon=31.2357&amp;peakpower=1&amp;loss=14&amp;angle=75&amp;aspect=45&amp;outputformat=json&amp;raddatabase=PVGIS-SARAH3&amp;pvtechchoice=crystSi&amp;mountingplace=free&amp;usehorizon=1</v>
      </c>
    </row>
    <row r="4759">
      <c r="A4759" t="n">
        <v>75</v>
      </c>
      <c r="B4759" t="n">
        <v>225</v>
      </c>
      <c r="C4759" t="n">
        <v>10</v>
      </c>
      <c r="D4759" s="218" t="n">
        <v>118.81</v>
      </c>
      <c r="E4759" s="218" t="n">
        <v>3.83</v>
      </c>
      <c r="F4759" t="str">
        <v>https://re.jrc.ec.europa.eu/api/v5_3/PVcalc?lat=30.0444&amp;lon=31.2357&amp;peakpower=1&amp;loss=14&amp;angle=75&amp;aspect=45&amp;outputformat=json&amp;raddatabase=PVGIS-SARAH3&amp;pvtechchoice=crystSi&amp;mountingplace=free&amp;usehorizon=1</v>
      </c>
    </row>
    <row r="4760">
      <c r="A4760" t="n">
        <v>75</v>
      </c>
      <c r="B4760" t="n">
        <v>225</v>
      </c>
      <c r="C4760" t="n">
        <v>11</v>
      </c>
      <c r="D4760" s="218" t="n">
        <v>111.33</v>
      </c>
      <c r="E4760" s="218" t="n">
        <v>3.71</v>
      </c>
      <c r="F4760" t="str">
        <v>https://re.jrc.ec.europa.eu/api/v5_3/PVcalc?lat=30.0444&amp;lon=31.2357&amp;peakpower=1&amp;loss=14&amp;angle=75&amp;aspect=45&amp;outputformat=json&amp;raddatabase=PVGIS-SARAH3&amp;pvtechchoice=crystSi&amp;mountingplace=free&amp;usehorizon=1</v>
      </c>
    </row>
    <row r="4761">
      <c r="A4761" t="n">
        <v>75</v>
      </c>
      <c r="B4761" t="n">
        <v>225</v>
      </c>
      <c r="C4761" t="n">
        <v>12</v>
      </c>
      <c r="D4761" s="218" t="n">
        <v>108.5</v>
      </c>
      <c r="E4761" s="218" t="n">
        <v>3.5</v>
      </c>
      <c r="F4761" t="str">
        <v>https://re.jrc.ec.europa.eu/api/v5_3/PVcalc?lat=30.0444&amp;lon=31.2357&amp;peakpower=1&amp;loss=14&amp;angle=75&amp;aspect=45&amp;outputformat=json&amp;raddatabase=PVGIS-SARAH3&amp;pvtechchoice=crystSi&amp;mountingplace=free&amp;usehorizon=1</v>
      </c>
    </row>
    <row r="4762">
      <c r="A4762" t="n">
        <v>75</v>
      </c>
      <c r="B4762" t="n">
        <v>240</v>
      </c>
      <c r="C4762" t="n">
        <v>1</v>
      </c>
      <c r="D4762" s="218" t="n">
        <v>90.41</v>
      </c>
      <c r="E4762" s="218" t="n">
        <v>2.92</v>
      </c>
      <c r="F4762" t="str">
        <v>https://re.jrc.ec.europa.eu/api/v5_3/PVcalc?lat=30.0444&amp;lon=31.2357&amp;peakpower=1&amp;loss=14&amp;angle=75&amp;aspect=60&amp;outputformat=json&amp;raddatabase=PVGIS-SARAH3&amp;pvtechchoice=crystSi&amp;mountingplace=free&amp;usehorizon=1</v>
      </c>
    </row>
    <row r="4763">
      <c r="A4763" t="n">
        <v>75</v>
      </c>
      <c r="B4763" t="n">
        <v>240</v>
      </c>
      <c r="C4763" t="n">
        <v>2</v>
      </c>
      <c r="D4763" s="218" t="n">
        <v>88.79</v>
      </c>
      <c r="E4763" s="218" t="n">
        <v>3.17</v>
      </c>
      <c r="F4763" t="str">
        <v>https://re.jrc.ec.europa.eu/api/v5_3/PVcalc?lat=30.0444&amp;lon=31.2357&amp;peakpower=1&amp;loss=14&amp;angle=75&amp;aspect=60&amp;outputformat=json&amp;raddatabase=PVGIS-SARAH3&amp;pvtechchoice=crystSi&amp;mountingplace=free&amp;usehorizon=1</v>
      </c>
    </row>
    <row r="4764">
      <c r="A4764" t="n">
        <v>75</v>
      </c>
      <c r="B4764" t="n">
        <v>240</v>
      </c>
      <c r="C4764" t="n">
        <v>3</v>
      </c>
      <c r="D4764" s="218" t="n">
        <v>113</v>
      </c>
      <c r="E4764" s="218" t="n">
        <v>3.65</v>
      </c>
      <c r="F4764" t="str">
        <v>https://re.jrc.ec.europa.eu/api/v5_3/PVcalc?lat=30.0444&amp;lon=31.2357&amp;peakpower=1&amp;loss=14&amp;angle=75&amp;aspect=60&amp;outputformat=json&amp;raddatabase=PVGIS-SARAH3&amp;pvtechchoice=crystSi&amp;mountingplace=free&amp;usehorizon=1</v>
      </c>
    </row>
    <row r="4765">
      <c r="A4765" t="n">
        <v>75</v>
      </c>
      <c r="B4765" t="n">
        <v>240</v>
      </c>
      <c r="C4765" t="n">
        <v>4</v>
      </c>
      <c r="D4765" s="218" t="n">
        <v>108.96</v>
      </c>
      <c r="E4765" s="218" t="n">
        <v>3.63</v>
      </c>
      <c r="F4765" t="str">
        <v>https://re.jrc.ec.europa.eu/api/v5_3/PVcalc?lat=30.0444&amp;lon=31.2357&amp;peakpower=1&amp;loss=14&amp;angle=75&amp;aspect=60&amp;outputformat=json&amp;raddatabase=PVGIS-SARAH3&amp;pvtechchoice=crystSi&amp;mountingplace=free&amp;usehorizon=1</v>
      </c>
    </row>
    <row r="4766">
      <c r="A4766" t="n">
        <v>75</v>
      </c>
      <c r="B4766" t="n">
        <v>240</v>
      </c>
      <c r="C4766" t="n">
        <v>5</v>
      </c>
      <c r="D4766" s="218" t="n">
        <v>107.9</v>
      </c>
      <c r="E4766" s="218" t="n">
        <v>3.48</v>
      </c>
      <c r="F4766" t="str">
        <v>https://re.jrc.ec.europa.eu/api/v5_3/PVcalc?lat=30.0444&amp;lon=31.2357&amp;peakpower=1&amp;loss=14&amp;angle=75&amp;aspect=60&amp;outputformat=json&amp;raddatabase=PVGIS-SARAH3&amp;pvtechchoice=crystSi&amp;mountingplace=free&amp;usehorizon=1</v>
      </c>
    </row>
    <row r="4767">
      <c r="A4767" t="n">
        <v>75</v>
      </c>
      <c r="B4767" t="n">
        <v>240</v>
      </c>
      <c r="C4767" t="n">
        <v>6</v>
      </c>
      <c r="D4767" s="218" t="n">
        <v>106.46</v>
      </c>
      <c r="E4767" s="218" t="n">
        <v>3.55</v>
      </c>
      <c r="F4767" t="str">
        <v>https://re.jrc.ec.europa.eu/api/v5_3/PVcalc?lat=30.0444&amp;lon=31.2357&amp;peakpower=1&amp;loss=14&amp;angle=75&amp;aspect=60&amp;outputformat=json&amp;raddatabase=PVGIS-SARAH3&amp;pvtechchoice=crystSi&amp;mountingplace=free&amp;usehorizon=1</v>
      </c>
    </row>
    <row r="4768">
      <c r="A4768" t="n">
        <v>75</v>
      </c>
      <c r="B4768" t="n">
        <v>240</v>
      </c>
      <c r="C4768" t="n">
        <v>7</v>
      </c>
      <c r="D4768" s="218" t="n">
        <v>112.28</v>
      </c>
      <c r="E4768" s="218" t="n">
        <v>3.62</v>
      </c>
      <c r="F4768" t="str">
        <v>https://re.jrc.ec.europa.eu/api/v5_3/PVcalc?lat=30.0444&amp;lon=31.2357&amp;peakpower=1&amp;loss=14&amp;angle=75&amp;aspect=60&amp;outputformat=json&amp;raddatabase=PVGIS-SARAH3&amp;pvtechchoice=crystSi&amp;mountingplace=free&amp;usehorizon=1</v>
      </c>
    </row>
    <row r="4769">
      <c r="A4769" t="n">
        <v>75</v>
      </c>
      <c r="B4769" t="n">
        <v>240</v>
      </c>
      <c r="C4769" t="n">
        <v>8</v>
      </c>
      <c r="D4769" s="218" t="n">
        <v>115.36</v>
      </c>
      <c r="E4769" s="218" t="n">
        <v>3.72</v>
      </c>
      <c r="F4769" t="str">
        <v>https://re.jrc.ec.europa.eu/api/v5_3/PVcalc?lat=30.0444&amp;lon=31.2357&amp;peakpower=1&amp;loss=14&amp;angle=75&amp;aspect=60&amp;outputformat=json&amp;raddatabase=PVGIS-SARAH3&amp;pvtechchoice=crystSi&amp;mountingplace=free&amp;usehorizon=1</v>
      </c>
    </row>
    <row r="4770">
      <c r="A4770" t="n">
        <v>75</v>
      </c>
      <c r="B4770" t="n">
        <v>240</v>
      </c>
      <c r="C4770" t="n">
        <v>9</v>
      </c>
      <c r="D4770" s="218" t="n">
        <v>113.44</v>
      </c>
      <c r="E4770" s="218" t="n">
        <v>3.78</v>
      </c>
      <c r="F4770" t="str">
        <v>https://re.jrc.ec.europa.eu/api/v5_3/PVcalc?lat=30.0444&amp;lon=31.2357&amp;peakpower=1&amp;loss=14&amp;angle=75&amp;aspect=60&amp;outputformat=json&amp;raddatabase=PVGIS-SARAH3&amp;pvtechchoice=crystSi&amp;mountingplace=free&amp;usehorizon=1</v>
      </c>
    </row>
    <row r="4771">
      <c r="A4771" t="n">
        <v>75</v>
      </c>
      <c r="B4771" t="n">
        <v>240</v>
      </c>
      <c r="C4771" t="n">
        <v>10</v>
      </c>
      <c r="D4771" s="218" t="n">
        <v>107.97</v>
      </c>
      <c r="E4771" s="218" t="n">
        <v>3.48</v>
      </c>
      <c r="F4771" t="str">
        <v>https://re.jrc.ec.europa.eu/api/v5_3/PVcalc?lat=30.0444&amp;lon=31.2357&amp;peakpower=1&amp;loss=14&amp;angle=75&amp;aspect=60&amp;outputformat=json&amp;raddatabase=PVGIS-SARAH3&amp;pvtechchoice=crystSi&amp;mountingplace=free&amp;usehorizon=1</v>
      </c>
    </row>
    <row r="4772">
      <c r="A4772" t="n">
        <v>75</v>
      </c>
      <c r="B4772" t="n">
        <v>240</v>
      </c>
      <c r="C4772" t="n">
        <v>11</v>
      </c>
      <c r="D4772" s="218" t="n">
        <v>96.17</v>
      </c>
      <c r="E4772" s="218" t="n">
        <v>3.21</v>
      </c>
      <c r="F4772" t="str">
        <v>https://re.jrc.ec.europa.eu/api/v5_3/PVcalc?lat=30.0444&amp;lon=31.2357&amp;peakpower=1&amp;loss=14&amp;angle=75&amp;aspect=60&amp;outputformat=json&amp;raddatabase=PVGIS-SARAH3&amp;pvtechchoice=crystSi&amp;mountingplace=free&amp;usehorizon=1</v>
      </c>
    </row>
    <row r="4773">
      <c r="A4773" t="n">
        <v>75</v>
      </c>
      <c r="B4773" t="n">
        <v>240</v>
      </c>
      <c r="C4773" t="n">
        <v>12</v>
      </c>
      <c r="D4773" s="218" t="n">
        <v>91.11</v>
      </c>
      <c r="E4773" s="218" t="n">
        <v>2.94</v>
      </c>
      <c r="F4773" t="str">
        <v>https://re.jrc.ec.europa.eu/api/v5_3/PVcalc?lat=30.0444&amp;lon=31.2357&amp;peakpower=1&amp;loss=14&amp;angle=75&amp;aspect=60&amp;outputformat=json&amp;raddatabase=PVGIS-SARAH3&amp;pvtechchoice=crystSi&amp;mountingplace=free&amp;usehorizon=1</v>
      </c>
    </row>
    <row r="4774">
      <c r="A4774" t="n">
        <v>75</v>
      </c>
      <c r="B4774" t="n">
        <v>255</v>
      </c>
      <c r="C4774" t="n">
        <v>1</v>
      </c>
      <c r="D4774" s="218" t="n">
        <v>74.3</v>
      </c>
      <c r="E4774" s="218" t="n">
        <v>2.4</v>
      </c>
      <c r="F4774" t="str">
        <v>https://re.jrc.ec.europa.eu/api/v5_3/PVcalc?lat=30.0444&amp;lon=31.2357&amp;peakpower=1&amp;loss=14&amp;angle=75&amp;aspect=75&amp;outputformat=json&amp;raddatabase=PVGIS-SARAH3&amp;pvtechchoice=crystSi&amp;mountingplace=free&amp;usehorizon=1</v>
      </c>
    </row>
    <row r="4775">
      <c r="A4775" t="n">
        <v>75</v>
      </c>
      <c r="B4775" t="n">
        <v>255</v>
      </c>
      <c r="C4775" t="n">
        <v>2</v>
      </c>
      <c r="D4775" s="218" t="n">
        <v>77.25</v>
      </c>
      <c r="E4775" s="218" t="n">
        <v>2.76</v>
      </c>
      <c r="F4775" t="str">
        <v>https://re.jrc.ec.europa.eu/api/v5_3/PVcalc?lat=30.0444&amp;lon=31.2357&amp;peakpower=1&amp;loss=14&amp;angle=75&amp;aspect=75&amp;outputformat=json&amp;raddatabase=PVGIS-SARAH3&amp;pvtechchoice=crystSi&amp;mountingplace=free&amp;usehorizon=1</v>
      </c>
    </row>
    <row r="4776">
      <c r="A4776" t="n">
        <v>75</v>
      </c>
      <c r="B4776" t="n">
        <v>255</v>
      </c>
      <c r="C4776" t="n">
        <v>3</v>
      </c>
      <c r="D4776" s="218" t="n">
        <v>104.28</v>
      </c>
      <c r="E4776" s="218" t="n">
        <v>3.36</v>
      </c>
      <c r="F4776" t="str">
        <v>https://re.jrc.ec.europa.eu/api/v5_3/PVcalc?lat=30.0444&amp;lon=31.2357&amp;peakpower=1&amp;loss=14&amp;angle=75&amp;aspect=75&amp;outputformat=json&amp;raddatabase=PVGIS-SARAH3&amp;pvtechchoice=crystSi&amp;mountingplace=free&amp;usehorizon=1</v>
      </c>
    </row>
    <row r="4777">
      <c r="A4777" t="n">
        <v>75</v>
      </c>
      <c r="B4777" t="n">
        <v>255</v>
      </c>
      <c r="C4777" t="n">
        <v>4</v>
      </c>
      <c r="D4777" s="218" t="n">
        <v>106.68</v>
      </c>
      <c r="E4777" s="218" t="n">
        <v>3.56</v>
      </c>
      <c r="F4777" t="str">
        <v>https://re.jrc.ec.europa.eu/api/v5_3/PVcalc?lat=30.0444&amp;lon=31.2357&amp;peakpower=1&amp;loss=14&amp;angle=75&amp;aspect=75&amp;outputformat=json&amp;raddatabase=PVGIS-SARAH3&amp;pvtechchoice=crystSi&amp;mountingplace=free&amp;usehorizon=1</v>
      </c>
    </row>
    <row r="4778">
      <c r="A4778" t="n">
        <v>75</v>
      </c>
      <c r="B4778" t="n">
        <v>255</v>
      </c>
      <c r="C4778" t="n">
        <v>5</v>
      </c>
      <c r="D4778" s="218" t="n">
        <v>110.93</v>
      </c>
      <c r="E4778" s="218" t="n">
        <v>3.58</v>
      </c>
      <c r="F4778" t="str">
        <v>https://re.jrc.ec.europa.eu/api/v5_3/PVcalc?lat=30.0444&amp;lon=31.2357&amp;peakpower=1&amp;loss=14&amp;angle=75&amp;aspect=75&amp;outputformat=json&amp;raddatabase=PVGIS-SARAH3&amp;pvtechchoice=crystSi&amp;mountingplace=free&amp;usehorizon=1</v>
      </c>
    </row>
    <row r="4779">
      <c r="A4779" t="n">
        <v>75</v>
      </c>
      <c r="B4779" t="n">
        <v>255</v>
      </c>
      <c r="C4779" t="n">
        <v>6</v>
      </c>
      <c r="D4779" s="218" t="n">
        <v>112.93</v>
      </c>
      <c r="E4779" s="218" t="n">
        <v>3.76</v>
      </c>
      <c r="F4779" t="str">
        <v>https://re.jrc.ec.europa.eu/api/v5_3/PVcalc?lat=30.0444&amp;lon=31.2357&amp;peakpower=1&amp;loss=14&amp;angle=75&amp;aspect=75&amp;outputformat=json&amp;raddatabase=PVGIS-SARAH3&amp;pvtechchoice=crystSi&amp;mountingplace=free&amp;usehorizon=1</v>
      </c>
    </row>
    <row r="4780">
      <c r="A4780" t="n">
        <v>75</v>
      </c>
      <c r="B4780" t="n">
        <v>255</v>
      </c>
      <c r="C4780" t="n">
        <v>7</v>
      </c>
      <c r="D4780" s="218" t="n">
        <v>117.8</v>
      </c>
      <c r="E4780" s="218" t="n">
        <v>3.8</v>
      </c>
      <c r="F4780" t="str">
        <v>https://re.jrc.ec.europa.eu/api/v5_3/PVcalc?lat=30.0444&amp;lon=31.2357&amp;peakpower=1&amp;loss=14&amp;angle=75&amp;aspect=75&amp;outputformat=json&amp;raddatabase=PVGIS-SARAH3&amp;pvtechchoice=crystSi&amp;mountingplace=free&amp;usehorizon=1</v>
      </c>
    </row>
    <row r="4781">
      <c r="A4781" t="n">
        <v>75</v>
      </c>
      <c r="B4781" t="n">
        <v>255</v>
      </c>
      <c r="C4781" t="n">
        <v>8</v>
      </c>
      <c r="D4781" s="218" t="n">
        <v>115.84</v>
      </c>
      <c r="E4781" s="218" t="n">
        <v>3.74</v>
      </c>
      <c r="F4781" t="str">
        <v>https://re.jrc.ec.europa.eu/api/v5_3/PVcalc?lat=30.0444&amp;lon=31.2357&amp;peakpower=1&amp;loss=14&amp;angle=75&amp;aspect=75&amp;outputformat=json&amp;raddatabase=PVGIS-SARAH3&amp;pvtechchoice=crystSi&amp;mountingplace=free&amp;usehorizon=1</v>
      </c>
    </row>
    <row r="4782">
      <c r="A4782" t="n">
        <v>75</v>
      </c>
      <c r="B4782" t="n">
        <v>255</v>
      </c>
      <c r="C4782" t="n">
        <v>9</v>
      </c>
      <c r="D4782" s="218" t="n">
        <v>106.93</v>
      </c>
      <c r="E4782" s="218" t="n">
        <v>3.56</v>
      </c>
      <c r="F4782" t="str">
        <v>https://re.jrc.ec.europa.eu/api/v5_3/PVcalc?lat=30.0444&amp;lon=31.2357&amp;peakpower=1&amp;loss=14&amp;angle=75&amp;aspect=75&amp;outputformat=json&amp;raddatabase=PVGIS-SARAH3&amp;pvtechchoice=crystSi&amp;mountingplace=free&amp;usehorizon=1</v>
      </c>
    </row>
    <row r="4783">
      <c r="A4783" t="n">
        <v>75</v>
      </c>
      <c r="B4783" t="n">
        <v>255</v>
      </c>
      <c r="C4783" t="n">
        <v>10</v>
      </c>
      <c r="D4783" s="218" t="n">
        <v>95.4</v>
      </c>
      <c r="E4783" s="218" t="n">
        <v>3.08</v>
      </c>
      <c r="F4783" t="str">
        <v>https://re.jrc.ec.europa.eu/api/v5_3/PVcalc?lat=30.0444&amp;lon=31.2357&amp;peakpower=1&amp;loss=14&amp;angle=75&amp;aspect=75&amp;outputformat=json&amp;raddatabase=PVGIS-SARAH3&amp;pvtechchoice=crystSi&amp;mountingplace=free&amp;usehorizon=1</v>
      </c>
    </row>
    <row r="4784">
      <c r="A4784" t="n">
        <v>75</v>
      </c>
      <c r="B4784" t="n">
        <v>255</v>
      </c>
      <c r="C4784" t="n">
        <v>11</v>
      </c>
      <c r="D4784" s="218" t="n">
        <v>80.2</v>
      </c>
      <c r="E4784" s="218" t="n">
        <v>2.67</v>
      </c>
      <c r="F4784" t="str">
        <v>https://re.jrc.ec.europa.eu/api/v5_3/PVcalc?lat=30.0444&amp;lon=31.2357&amp;peakpower=1&amp;loss=14&amp;angle=75&amp;aspect=75&amp;outputformat=json&amp;raddatabase=PVGIS-SARAH3&amp;pvtechchoice=crystSi&amp;mountingplace=free&amp;usehorizon=1</v>
      </c>
    </row>
    <row r="4785">
      <c r="A4785" t="n">
        <v>75</v>
      </c>
      <c r="B4785" t="n">
        <v>255</v>
      </c>
      <c r="C4785" t="n">
        <v>12</v>
      </c>
      <c r="D4785" s="218" t="n">
        <v>73.57</v>
      </c>
      <c r="E4785" s="218" t="n">
        <v>2.37</v>
      </c>
      <c r="F4785" t="str">
        <v>https://re.jrc.ec.europa.eu/api/v5_3/PVcalc?lat=30.0444&amp;lon=31.2357&amp;peakpower=1&amp;loss=14&amp;angle=75&amp;aspect=75&amp;outputformat=json&amp;raddatabase=PVGIS-SARAH3&amp;pvtechchoice=crystSi&amp;mountingplace=free&amp;usehorizon=1</v>
      </c>
    </row>
    <row r="4786">
      <c r="A4786" t="n">
        <v>75</v>
      </c>
      <c r="B4786" t="n">
        <v>270</v>
      </c>
      <c r="C4786" t="n">
        <v>1</v>
      </c>
      <c r="D4786" s="218" t="n">
        <v>58.36</v>
      </c>
      <c r="E4786" s="218" t="n">
        <v>1.88</v>
      </c>
      <c r="F4786" t="str">
        <v>https://re.jrc.ec.europa.eu/api/v5_3/PVcalc?lat=30.0444&amp;lon=31.2357&amp;peakpower=1&amp;loss=14&amp;angle=75&amp;aspect=90&amp;outputformat=json&amp;raddatabase=PVGIS-SARAH3&amp;pvtechchoice=crystSi&amp;mountingplace=free&amp;usehorizon=1</v>
      </c>
    </row>
    <row r="4787">
      <c r="A4787" t="n">
        <v>75</v>
      </c>
      <c r="B4787" t="n">
        <v>270</v>
      </c>
      <c r="C4787" t="n">
        <v>2</v>
      </c>
      <c r="D4787" s="218" t="n">
        <v>64.93</v>
      </c>
      <c r="E4787" s="218" t="n">
        <v>2.32</v>
      </c>
      <c r="F4787" t="str">
        <v>https://re.jrc.ec.europa.eu/api/v5_3/PVcalc?lat=30.0444&amp;lon=31.2357&amp;peakpower=1&amp;loss=14&amp;angle=75&amp;aspect=90&amp;outputformat=json&amp;raddatabase=PVGIS-SARAH3&amp;pvtechchoice=crystSi&amp;mountingplace=free&amp;usehorizon=1</v>
      </c>
    </row>
    <row r="4788">
      <c r="A4788" t="n">
        <v>75</v>
      </c>
      <c r="B4788" t="n">
        <v>270</v>
      </c>
      <c r="C4788" t="n">
        <v>3</v>
      </c>
      <c r="D4788" s="218" t="n">
        <v>93.32</v>
      </c>
      <c r="E4788" s="218" t="n">
        <v>3.01</v>
      </c>
      <c r="F4788" t="str">
        <v>https://re.jrc.ec.europa.eu/api/v5_3/PVcalc?lat=30.0444&amp;lon=31.2357&amp;peakpower=1&amp;loss=14&amp;angle=75&amp;aspect=90&amp;outputformat=json&amp;raddatabase=PVGIS-SARAH3&amp;pvtechchoice=crystSi&amp;mountingplace=free&amp;usehorizon=1</v>
      </c>
    </row>
    <row r="4789">
      <c r="A4789" t="n">
        <v>75</v>
      </c>
      <c r="B4789" t="n">
        <v>270</v>
      </c>
      <c r="C4789" t="n">
        <v>4</v>
      </c>
      <c r="D4789" s="218" t="n">
        <v>101.36</v>
      </c>
      <c r="E4789" s="218" t="n">
        <v>3.38</v>
      </c>
      <c r="F4789" t="str">
        <v>https://re.jrc.ec.europa.eu/api/v5_3/PVcalc?lat=30.0444&amp;lon=31.2357&amp;peakpower=1&amp;loss=14&amp;angle=75&amp;aspect=90&amp;outputformat=json&amp;raddatabase=PVGIS-SARAH3&amp;pvtechchoice=crystSi&amp;mountingplace=free&amp;usehorizon=1</v>
      </c>
    </row>
    <row r="4790">
      <c r="A4790" t="n">
        <v>75</v>
      </c>
      <c r="B4790" t="n">
        <v>270</v>
      </c>
      <c r="C4790" t="n">
        <v>5</v>
      </c>
      <c r="D4790" s="218" t="n">
        <v>110.41</v>
      </c>
      <c r="E4790" s="218" t="n">
        <v>3.56</v>
      </c>
      <c r="F4790" t="str">
        <v>https://re.jrc.ec.europa.eu/api/v5_3/PVcalc?lat=30.0444&amp;lon=31.2357&amp;peakpower=1&amp;loss=14&amp;angle=75&amp;aspect=90&amp;outputformat=json&amp;raddatabase=PVGIS-SARAH3&amp;pvtechchoice=crystSi&amp;mountingplace=free&amp;usehorizon=1</v>
      </c>
    </row>
    <row r="4791">
      <c r="A4791" t="n">
        <v>75</v>
      </c>
      <c r="B4791" t="n">
        <v>270</v>
      </c>
      <c r="C4791" t="n">
        <v>6</v>
      </c>
      <c r="D4791" s="218" t="n">
        <v>115.42</v>
      </c>
      <c r="E4791" s="218" t="n">
        <v>3.85</v>
      </c>
      <c r="F4791" t="str">
        <v>https://re.jrc.ec.europa.eu/api/v5_3/PVcalc?lat=30.0444&amp;lon=31.2357&amp;peakpower=1&amp;loss=14&amp;angle=75&amp;aspect=90&amp;outputformat=json&amp;raddatabase=PVGIS-SARAH3&amp;pvtechchoice=crystSi&amp;mountingplace=free&amp;usehorizon=1</v>
      </c>
    </row>
    <row r="4792">
      <c r="A4792" t="n">
        <v>75</v>
      </c>
      <c r="B4792" t="n">
        <v>270</v>
      </c>
      <c r="C4792" t="n">
        <v>7</v>
      </c>
      <c r="D4792" s="218" t="n">
        <v>119.22</v>
      </c>
      <c r="E4792" s="218" t="n">
        <v>3.85</v>
      </c>
      <c r="F4792" t="str">
        <v>https://re.jrc.ec.europa.eu/api/v5_3/PVcalc?lat=30.0444&amp;lon=31.2357&amp;peakpower=1&amp;loss=14&amp;angle=75&amp;aspect=90&amp;outputformat=json&amp;raddatabase=PVGIS-SARAH3&amp;pvtechchoice=crystSi&amp;mountingplace=free&amp;usehorizon=1</v>
      </c>
    </row>
    <row r="4793">
      <c r="A4793" t="n">
        <v>75</v>
      </c>
      <c r="B4793" t="n">
        <v>270</v>
      </c>
      <c r="C4793" t="n">
        <v>8</v>
      </c>
      <c r="D4793" s="218" t="n">
        <v>112.47</v>
      </c>
      <c r="E4793" s="218" t="n">
        <v>3.63</v>
      </c>
      <c r="F4793" t="str">
        <v>https://re.jrc.ec.europa.eu/api/v5_3/PVcalc?lat=30.0444&amp;lon=31.2357&amp;peakpower=1&amp;loss=14&amp;angle=75&amp;aspect=90&amp;outputformat=json&amp;raddatabase=PVGIS-SARAH3&amp;pvtechchoice=crystSi&amp;mountingplace=free&amp;usehorizon=1</v>
      </c>
    </row>
    <row r="4794">
      <c r="A4794" t="n">
        <v>75</v>
      </c>
      <c r="B4794" t="n">
        <v>270</v>
      </c>
      <c r="C4794" t="n">
        <v>9</v>
      </c>
      <c r="D4794" s="218" t="n">
        <v>98</v>
      </c>
      <c r="E4794" s="218" t="n">
        <v>3.27</v>
      </c>
      <c r="F4794" t="str">
        <v>https://re.jrc.ec.europa.eu/api/v5_3/PVcalc?lat=30.0444&amp;lon=31.2357&amp;peakpower=1&amp;loss=14&amp;angle=75&amp;aspect=90&amp;outputformat=json&amp;raddatabase=PVGIS-SARAH3&amp;pvtechchoice=crystSi&amp;mountingplace=free&amp;usehorizon=1</v>
      </c>
    </row>
    <row r="4795">
      <c r="A4795" t="n">
        <v>75</v>
      </c>
      <c r="B4795" t="n">
        <v>270</v>
      </c>
      <c r="C4795" t="n">
        <v>10</v>
      </c>
      <c r="D4795" s="218" t="n">
        <v>82.04</v>
      </c>
      <c r="E4795" s="218" t="n">
        <v>2.65</v>
      </c>
      <c r="F4795" t="str">
        <v>https://re.jrc.ec.europa.eu/api/v5_3/PVcalc?lat=30.0444&amp;lon=31.2357&amp;peakpower=1&amp;loss=14&amp;angle=75&amp;aspect=90&amp;outputformat=json&amp;raddatabase=PVGIS-SARAH3&amp;pvtechchoice=crystSi&amp;mountingplace=free&amp;usehorizon=1</v>
      </c>
    </row>
    <row r="4796">
      <c r="A4796" t="n">
        <v>75</v>
      </c>
      <c r="B4796" t="n">
        <v>270</v>
      </c>
      <c r="C4796" t="n">
        <v>11</v>
      </c>
      <c r="D4796" s="218" t="n">
        <v>64.59</v>
      </c>
      <c r="E4796" s="218" t="n">
        <v>2.15</v>
      </c>
      <c r="F4796" t="str">
        <v>https://re.jrc.ec.europa.eu/api/v5_3/PVcalc?lat=30.0444&amp;lon=31.2357&amp;peakpower=1&amp;loss=14&amp;angle=75&amp;aspect=90&amp;outputformat=json&amp;raddatabase=PVGIS-SARAH3&amp;pvtechchoice=crystSi&amp;mountingplace=free&amp;usehorizon=1</v>
      </c>
    </row>
    <row r="4797">
      <c r="A4797" t="n">
        <v>75</v>
      </c>
      <c r="B4797" t="n">
        <v>270</v>
      </c>
      <c r="C4797" t="n">
        <v>12</v>
      </c>
      <c r="D4797" s="218" t="n">
        <v>56.62</v>
      </c>
      <c r="E4797" s="218" t="n">
        <v>1.83</v>
      </c>
      <c r="F4797" t="str">
        <v>https://re.jrc.ec.europa.eu/api/v5_3/PVcalc?lat=30.0444&amp;lon=31.2357&amp;peakpower=1&amp;loss=14&amp;angle=75&amp;aspect=90&amp;outputformat=json&amp;raddatabase=PVGIS-SARAH3&amp;pvtechchoice=crystSi&amp;mountingplace=free&amp;usehorizon=1</v>
      </c>
    </row>
    <row r="4798">
      <c r="A4798" t="n">
        <v>75</v>
      </c>
      <c r="B4798" t="n">
        <v>285</v>
      </c>
      <c r="C4798" t="n">
        <v>1</v>
      </c>
      <c r="D4798" s="218" t="n">
        <v>42.98</v>
      </c>
      <c r="E4798" s="218" t="n">
        <v>1.39</v>
      </c>
      <c r="F4798" t="str">
        <v>https://re.jrc.ec.europa.eu/api/v5_3/PVcalc?lat=30.0444&amp;lon=31.2357&amp;peakpower=1&amp;loss=14&amp;angle=75&amp;aspect=105&amp;outputformat=json&amp;raddatabase=PVGIS-SARAH3&amp;pvtechchoice=crystSi&amp;mountingplace=free&amp;usehorizon=1</v>
      </c>
    </row>
    <row r="4799">
      <c r="A4799" t="n">
        <v>75</v>
      </c>
      <c r="B4799" t="n">
        <v>285</v>
      </c>
      <c r="C4799" t="n">
        <v>2</v>
      </c>
      <c r="D4799" s="218" t="n">
        <v>52.56</v>
      </c>
      <c r="E4799" s="218" t="n">
        <v>1.88</v>
      </c>
      <c r="F4799" t="str">
        <v>https://re.jrc.ec.europa.eu/api/v5_3/PVcalc?lat=30.0444&amp;lon=31.2357&amp;peakpower=1&amp;loss=14&amp;angle=75&amp;aspect=105&amp;outputformat=json&amp;raddatabase=PVGIS-SARAH3&amp;pvtechchoice=crystSi&amp;mountingplace=free&amp;usehorizon=1</v>
      </c>
    </row>
    <row r="4800">
      <c r="A4800" t="n">
        <v>75</v>
      </c>
      <c r="B4800" t="n">
        <v>285</v>
      </c>
      <c r="C4800" t="n">
        <v>3</v>
      </c>
      <c r="D4800" s="218" t="n">
        <v>80.91</v>
      </c>
      <c r="E4800" s="218" t="n">
        <v>2.61</v>
      </c>
      <c r="F4800" t="str">
        <v>https://re.jrc.ec.europa.eu/api/v5_3/PVcalc?lat=30.0444&amp;lon=31.2357&amp;peakpower=1&amp;loss=14&amp;angle=75&amp;aspect=105&amp;outputformat=json&amp;raddatabase=PVGIS-SARAH3&amp;pvtechchoice=crystSi&amp;mountingplace=free&amp;usehorizon=1</v>
      </c>
    </row>
    <row r="4801">
      <c r="A4801" t="n">
        <v>75</v>
      </c>
      <c r="B4801" t="n">
        <v>285</v>
      </c>
      <c r="C4801" t="n">
        <v>4</v>
      </c>
      <c r="D4801" s="218" t="n">
        <v>92.86</v>
      </c>
      <c r="E4801" s="218" t="n">
        <v>3.1</v>
      </c>
      <c r="F4801" t="str">
        <v>https://re.jrc.ec.europa.eu/api/v5_3/PVcalc?lat=30.0444&amp;lon=31.2357&amp;peakpower=1&amp;loss=14&amp;angle=75&amp;aspect=105&amp;outputformat=json&amp;raddatabase=PVGIS-SARAH3&amp;pvtechchoice=crystSi&amp;mountingplace=free&amp;usehorizon=1</v>
      </c>
    </row>
    <row r="4802">
      <c r="A4802" t="n">
        <v>75</v>
      </c>
      <c r="B4802" t="n">
        <v>285</v>
      </c>
      <c r="C4802" t="n">
        <v>5</v>
      </c>
      <c r="D4802" s="218" t="n">
        <v>106.47</v>
      </c>
      <c r="E4802" s="218" t="n">
        <v>3.43</v>
      </c>
      <c r="F4802" t="str">
        <v>https://re.jrc.ec.europa.eu/api/v5_3/PVcalc?lat=30.0444&amp;lon=31.2357&amp;peakpower=1&amp;loss=14&amp;angle=75&amp;aspect=105&amp;outputformat=json&amp;raddatabase=PVGIS-SARAH3&amp;pvtechchoice=crystSi&amp;mountingplace=free&amp;usehorizon=1</v>
      </c>
    </row>
    <row r="4803">
      <c r="A4803" t="n">
        <v>75</v>
      </c>
      <c r="B4803" t="n">
        <v>285</v>
      </c>
      <c r="C4803" t="n">
        <v>6</v>
      </c>
      <c r="D4803" s="218" t="n">
        <v>113.86</v>
      </c>
      <c r="E4803" s="218" t="n">
        <v>3.8</v>
      </c>
      <c r="F4803" t="str">
        <v>https://re.jrc.ec.europa.eu/api/v5_3/PVcalc?lat=30.0444&amp;lon=31.2357&amp;peakpower=1&amp;loss=14&amp;angle=75&amp;aspect=105&amp;outputformat=json&amp;raddatabase=PVGIS-SARAH3&amp;pvtechchoice=crystSi&amp;mountingplace=free&amp;usehorizon=1</v>
      </c>
    </row>
    <row r="4804">
      <c r="A4804" t="n">
        <v>75</v>
      </c>
      <c r="B4804" t="n">
        <v>285</v>
      </c>
      <c r="C4804" t="n">
        <v>7</v>
      </c>
      <c r="D4804" s="218" t="n">
        <v>116.51</v>
      </c>
      <c r="E4804" s="218" t="n">
        <v>3.76</v>
      </c>
      <c r="F4804" t="str">
        <v>https://re.jrc.ec.europa.eu/api/v5_3/PVcalc?lat=30.0444&amp;lon=31.2357&amp;peakpower=1&amp;loss=14&amp;angle=75&amp;aspect=105&amp;outputformat=json&amp;raddatabase=PVGIS-SARAH3&amp;pvtechchoice=crystSi&amp;mountingplace=free&amp;usehorizon=1</v>
      </c>
    </row>
    <row r="4805">
      <c r="A4805" t="n">
        <v>75</v>
      </c>
      <c r="B4805" t="n">
        <v>285</v>
      </c>
      <c r="C4805" t="n">
        <v>8</v>
      </c>
      <c r="D4805" s="218" t="n">
        <v>104.84</v>
      </c>
      <c r="E4805" s="218" t="n">
        <v>3.38</v>
      </c>
      <c r="F4805" t="str">
        <v>https://re.jrc.ec.europa.eu/api/v5_3/PVcalc?lat=30.0444&amp;lon=31.2357&amp;peakpower=1&amp;loss=14&amp;angle=75&amp;aspect=105&amp;outputformat=json&amp;raddatabase=PVGIS-SARAH3&amp;pvtechchoice=crystSi&amp;mountingplace=free&amp;usehorizon=1</v>
      </c>
    </row>
    <row r="4806">
      <c r="A4806" t="n">
        <v>75</v>
      </c>
      <c r="B4806" t="n">
        <v>285</v>
      </c>
      <c r="C4806" t="n">
        <v>9</v>
      </c>
      <c r="D4806" s="218" t="n">
        <v>86.06</v>
      </c>
      <c r="E4806" s="218" t="n">
        <v>2.87</v>
      </c>
      <c r="F4806" t="str">
        <v>https://re.jrc.ec.europa.eu/api/v5_3/PVcalc?lat=30.0444&amp;lon=31.2357&amp;peakpower=1&amp;loss=14&amp;angle=75&amp;aspect=105&amp;outputformat=json&amp;raddatabase=PVGIS-SARAH3&amp;pvtechchoice=crystSi&amp;mountingplace=free&amp;usehorizon=1</v>
      </c>
    </row>
    <row r="4807">
      <c r="A4807" t="n">
        <v>75</v>
      </c>
      <c r="B4807" t="n">
        <v>285</v>
      </c>
      <c r="C4807" t="n">
        <v>10</v>
      </c>
      <c r="D4807" s="218" t="n">
        <v>66.9</v>
      </c>
      <c r="E4807" s="218" t="n">
        <v>2.16</v>
      </c>
      <c r="F4807" t="str">
        <v>https://re.jrc.ec.europa.eu/api/v5_3/PVcalc?lat=30.0444&amp;lon=31.2357&amp;peakpower=1&amp;loss=14&amp;angle=75&amp;aspect=105&amp;outputformat=json&amp;raddatabase=PVGIS-SARAH3&amp;pvtechchoice=crystSi&amp;mountingplace=free&amp;usehorizon=1</v>
      </c>
    </row>
    <row r="4808">
      <c r="A4808" t="n">
        <v>75</v>
      </c>
      <c r="B4808" t="n">
        <v>285</v>
      </c>
      <c r="C4808" t="n">
        <v>11</v>
      </c>
      <c r="D4808" s="218" t="n">
        <v>48.62</v>
      </c>
      <c r="E4808" s="218" t="n">
        <v>1.62</v>
      </c>
      <c r="F4808" t="str">
        <v>https://re.jrc.ec.europa.eu/api/v5_3/PVcalc?lat=30.0444&amp;lon=31.2357&amp;peakpower=1&amp;loss=14&amp;angle=75&amp;aspect=105&amp;outputformat=json&amp;raddatabase=PVGIS-SARAH3&amp;pvtechchoice=crystSi&amp;mountingplace=free&amp;usehorizon=1</v>
      </c>
    </row>
    <row r="4809">
      <c r="A4809" t="n">
        <v>75</v>
      </c>
      <c r="B4809" t="n">
        <v>285</v>
      </c>
      <c r="C4809" t="n">
        <v>12</v>
      </c>
      <c r="D4809" s="218" t="n">
        <v>41.02</v>
      </c>
      <c r="E4809" s="218" t="n">
        <v>1.32</v>
      </c>
      <c r="F4809" t="str">
        <v>https://re.jrc.ec.europa.eu/api/v5_3/PVcalc?lat=30.0444&amp;lon=31.2357&amp;peakpower=1&amp;loss=14&amp;angle=75&amp;aspect=105&amp;outputformat=json&amp;raddatabase=PVGIS-SARAH3&amp;pvtechchoice=crystSi&amp;mountingplace=free&amp;usehorizon=1</v>
      </c>
    </row>
    <row r="4810">
      <c r="A4810" t="n">
        <v>75</v>
      </c>
      <c r="B4810" t="n">
        <v>300</v>
      </c>
      <c r="C4810" t="n">
        <v>1</v>
      </c>
      <c r="D4810" s="218" t="n">
        <v>30.09</v>
      </c>
      <c r="E4810" s="218" t="n">
        <v>0.97</v>
      </c>
      <c r="F4810" t="str">
        <v>https://re.jrc.ec.europa.eu/api/v5_3/PVcalc?lat=30.0444&amp;lon=31.2357&amp;peakpower=1&amp;loss=14&amp;angle=75&amp;aspect=120&amp;outputformat=json&amp;raddatabase=PVGIS-SARAH3&amp;pvtechchoice=crystSi&amp;mountingplace=free&amp;usehorizon=1</v>
      </c>
    </row>
    <row r="4811">
      <c r="A4811" t="n">
        <v>75</v>
      </c>
      <c r="B4811" t="n">
        <v>300</v>
      </c>
      <c r="C4811" t="n">
        <v>2</v>
      </c>
      <c r="D4811" s="218" t="n">
        <v>39.98</v>
      </c>
      <c r="E4811" s="218" t="n">
        <v>1.43</v>
      </c>
      <c r="F4811" t="str">
        <v>https://re.jrc.ec.europa.eu/api/v5_3/PVcalc?lat=30.0444&amp;lon=31.2357&amp;peakpower=1&amp;loss=14&amp;angle=75&amp;aspect=120&amp;outputformat=json&amp;raddatabase=PVGIS-SARAH3&amp;pvtechchoice=crystSi&amp;mountingplace=free&amp;usehorizon=1</v>
      </c>
    </row>
    <row r="4812">
      <c r="A4812" t="n">
        <v>75</v>
      </c>
      <c r="B4812" t="n">
        <v>300</v>
      </c>
      <c r="C4812" t="n">
        <v>3</v>
      </c>
      <c r="D4812" s="218" t="n">
        <v>66.44</v>
      </c>
      <c r="E4812" s="218" t="n">
        <v>2.14</v>
      </c>
      <c r="F4812" t="str">
        <v>https://re.jrc.ec.europa.eu/api/v5_3/PVcalc?lat=30.0444&amp;lon=31.2357&amp;peakpower=1&amp;loss=14&amp;angle=75&amp;aspect=120&amp;outputformat=json&amp;raddatabase=PVGIS-SARAH3&amp;pvtechchoice=crystSi&amp;mountingplace=free&amp;usehorizon=1</v>
      </c>
    </row>
    <row r="4813">
      <c r="A4813" t="n">
        <v>75</v>
      </c>
      <c r="B4813" t="n">
        <v>300</v>
      </c>
      <c r="C4813" t="n">
        <v>4</v>
      </c>
      <c r="D4813" s="218" t="n">
        <v>82.13</v>
      </c>
      <c r="E4813" s="218" t="n">
        <v>2.74</v>
      </c>
      <c r="F4813" t="str">
        <v>https://re.jrc.ec.europa.eu/api/v5_3/PVcalc?lat=30.0444&amp;lon=31.2357&amp;peakpower=1&amp;loss=14&amp;angle=75&amp;aspect=120&amp;outputformat=json&amp;raddatabase=PVGIS-SARAH3&amp;pvtechchoice=crystSi&amp;mountingplace=free&amp;usehorizon=1</v>
      </c>
    </row>
    <row r="4814">
      <c r="A4814" t="n">
        <v>75</v>
      </c>
      <c r="B4814" t="n">
        <v>300</v>
      </c>
      <c r="C4814" t="n">
        <v>5</v>
      </c>
      <c r="D4814" s="218" t="n">
        <v>98.95</v>
      </c>
      <c r="E4814" s="218" t="n">
        <v>3.19</v>
      </c>
      <c r="F4814" t="str">
        <v>https://re.jrc.ec.europa.eu/api/v5_3/PVcalc?lat=30.0444&amp;lon=31.2357&amp;peakpower=1&amp;loss=14&amp;angle=75&amp;aspect=120&amp;outputformat=json&amp;raddatabase=PVGIS-SARAH3&amp;pvtechchoice=crystSi&amp;mountingplace=free&amp;usehorizon=1</v>
      </c>
    </row>
    <row r="4815">
      <c r="A4815" t="n">
        <v>75</v>
      </c>
      <c r="B4815" t="n">
        <v>300</v>
      </c>
      <c r="C4815" t="n">
        <v>6</v>
      </c>
      <c r="D4815" s="218" t="n">
        <v>108.26</v>
      </c>
      <c r="E4815" s="218" t="n">
        <v>3.61</v>
      </c>
      <c r="F4815" t="str">
        <v>https://re.jrc.ec.europa.eu/api/v5_3/PVcalc?lat=30.0444&amp;lon=31.2357&amp;peakpower=1&amp;loss=14&amp;angle=75&amp;aspect=120&amp;outputformat=json&amp;raddatabase=PVGIS-SARAH3&amp;pvtechchoice=crystSi&amp;mountingplace=free&amp;usehorizon=1</v>
      </c>
    </row>
    <row r="4816">
      <c r="A4816" t="n">
        <v>75</v>
      </c>
      <c r="B4816" t="n">
        <v>300</v>
      </c>
      <c r="C4816" t="n">
        <v>7</v>
      </c>
      <c r="D4816" s="218" t="n">
        <v>109.31</v>
      </c>
      <c r="E4816" s="218" t="n">
        <v>3.53</v>
      </c>
      <c r="F4816" t="str">
        <v>https://re.jrc.ec.europa.eu/api/v5_3/PVcalc?lat=30.0444&amp;lon=31.2357&amp;peakpower=1&amp;loss=14&amp;angle=75&amp;aspect=120&amp;outputformat=json&amp;raddatabase=PVGIS-SARAH3&amp;pvtechchoice=crystSi&amp;mountingplace=free&amp;usehorizon=1</v>
      </c>
    </row>
    <row r="4817">
      <c r="A4817" t="n">
        <v>75</v>
      </c>
      <c r="B4817" t="n">
        <v>300</v>
      </c>
      <c r="C4817" t="n">
        <v>8</v>
      </c>
      <c r="D4817" s="218" t="n">
        <v>94.39</v>
      </c>
      <c r="E4817" s="218" t="n">
        <v>3.04</v>
      </c>
      <c r="F4817" t="str">
        <v>https://re.jrc.ec.europa.eu/api/v5_3/PVcalc?lat=30.0444&amp;lon=31.2357&amp;peakpower=1&amp;loss=14&amp;angle=75&amp;aspect=120&amp;outputformat=json&amp;raddatabase=PVGIS-SARAH3&amp;pvtechchoice=crystSi&amp;mountingplace=free&amp;usehorizon=1</v>
      </c>
    </row>
    <row r="4818">
      <c r="A4818" t="n">
        <v>75</v>
      </c>
      <c r="B4818" t="n">
        <v>300</v>
      </c>
      <c r="C4818" t="n">
        <v>9</v>
      </c>
      <c r="D4818" s="218" t="n">
        <v>72.28</v>
      </c>
      <c r="E4818" s="218" t="n">
        <v>2.41</v>
      </c>
      <c r="F4818" t="str">
        <v>https://re.jrc.ec.europa.eu/api/v5_3/PVcalc?lat=30.0444&amp;lon=31.2357&amp;peakpower=1&amp;loss=14&amp;angle=75&amp;aspect=120&amp;outputformat=json&amp;raddatabase=PVGIS-SARAH3&amp;pvtechchoice=crystSi&amp;mountingplace=free&amp;usehorizon=1</v>
      </c>
    </row>
    <row r="4819">
      <c r="A4819" t="n">
        <v>75</v>
      </c>
      <c r="B4819" t="n">
        <v>300</v>
      </c>
      <c r="C4819" t="n">
        <v>10</v>
      </c>
      <c r="D4819" s="218" t="n">
        <v>51.18</v>
      </c>
      <c r="E4819" s="218" t="n">
        <v>1.65</v>
      </c>
      <c r="F4819" t="str">
        <v>https://re.jrc.ec.europa.eu/api/v5_3/PVcalc?lat=30.0444&amp;lon=31.2357&amp;peakpower=1&amp;loss=14&amp;angle=75&amp;aspect=120&amp;outputformat=json&amp;raddatabase=PVGIS-SARAH3&amp;pvtechchoice=crystSi&amp;mountingplace=free&amp;usehorizon=1</v>
      </c>
    </row>
    <row r="4820">
      <c r="A4820" t="n">
        <v>75</v>
      </c>
      <c r="B4820" t="n">
        <v>300</v>
      </c>
      <c r="C4820" t="n">
        <v>11</v>
      </c>
      <c r="D4820" s="218" t="n">
        <v>33.6</v>
      </c>
      <c r="E4820" s="218" t="n">
        <v>1.12</v>
      </c>
      <c r="F4820" t="str">
        <v>https://re.jrc.ec.europa.eu/api/v5_3/PVcalc?lat=30.0444&amp;lon=31.2357&amp;peakpower=1&amp;loss=14&amp;angle=75&amp;aspect=120&amp;outputformat=json&amp;raddatabase=PVGIS-SARAH3&amp;pvtechchoice=crystSi&amp;mountingplace=free&amp;usehorizon=1</v>
      </c>
    </row>
    <row r="4821">
      <c r="A4821" t="n">
        <v>75</v>
      </c>
      <c r="B4821" t="n">
        <v>300</v>
      </c>
      <c r="C4821" t="n">
        <v>12</v>
      </c>
      <c r="D4821" s="218" t="n">
        <v>27.27</v>
      </c>
      <c r="E4821" s="218" t="n">
        <v>0.88</v>
      </c>
      <c r="F4821" t="str">
        <v>https://re.jrc.ec.europa.eu/api/v5_3/PVcalc?lat=30.0444&amp;lon=31.2357&amp;peakpower=1&amp;loss=14&amp;angle=75&amp;aspect=120&amp;outputformat=json&amp;raddatabase=PVGIS-SARAH3&amp;pvtechchoice=crystSi&amp;mountingplace=free&amp;usehorizon=1</v>
      </c>
    </row>
    <row r="4822">
      <c r="A4822" t="n">
        <v>75</v>
      </c>
      <c r="B4822" t="n">
        <v>315</v>
      </c>
      <c r="C4822" t="n">
        <v>1</v>
      </c>
      <c r="D4822" s="218" t="n">
        <v>19.46</v>
      </c>
      <c r="E4822" s="218" t="n">
        <v>0.63</v>
      </c>
      <c r="F4822" t="str">
        <v>https://re.jrc.ec.europa.eu/api/v5_3/PVcalc?lat=30.0444&amp;lon=31.2357&amp;peakpower=1&amp;loss=14&amp;angle=75&amp;aspect=135&amp;outputformat=json&amp;raddatabase=PVGIS-SARAH3&amp;pvtechchoice=crystSi&amp;mountingplace=free&amp;usehorizon=1</v>
      </c>
    </row>
    <row r="4823">
      <c r="A4823" t="n">
        <v>75</v>
      </c>
      <c r="B4823" t="n">
        <v>315</v>
      </c>
      <c r="C4823" t="n">
        <v>2</v>
      </c>
      <c r="D4823" s="218" t="n">
        <v>28.47</v>
      </c>
      <c r="E4823" s="218" t="n">
        <v>1.02</v>
      </c>
      <c r="F4823" t="str">
        <v>https://re.jrc.ec.europa.eu/api/v5_3/PVcalc?lat=30.0444&amp;lon=31.2357&amp;peakpower=1&amp;loss=14&amp;angle=75&amp;aspect=135&amp;outputformat=json&amp;raddatabase=PVGIS-SARAH3&amp;pvtechchoice=crystSi&amp;mountingplace=free&amp;usehorizon=1</v>
      </c>
    </row>
    <row r="4824">
      <c r="A4824" t="n">
        <v>75</v>
      </c>
      <c r="B4824" t="n">
        <v>315</v>
      </c>
      <c r="C4824" t="n">
        <v>3</v>
      </c>
      <c r="D4824" s="218" t="n">
        <v>51.16</v>
      </c>
      <c r="E4824" s="218" t="n">
        <v>1.65</v>
      </c>
      <c r="F4824" t="str">
        <v>https://re.jrc.ec.europa.eu/api/v5_3/PVcalc?lat=30.0444&amp;lon=31.2357&amp;peakpower=1&amp;loss=14&amp;angle=75&amp;aspect=135&amp;outputformat=json&amp;raddatabase=PVGIS-SARAH3&amp;pvtechchoice=crystSi&amp;mountingplace=free&amp;usehorizon=1</v>
      </c>
    </row>
    <row r="4825">
      <c r="A4825" t="n">
        <v>75</v>
      </c>
      <c r="B4825" t="n">
        <v>315</v>
      </c>
      <c r="C4825" t="n">
        <v>4</v>
      </c>
      <c r="D4825" s="218" t="n">
        <v>68.99</v>
      </c>
      <c r="E4825" s="218" t="n">
        <v>2.3</v>
      </c>
      <c r="F4825" t="str">
        <v>https://re.jrc.ec.europa.eu/api/v5_3/PVcalc?lat=30.0444&amp;lon=31.2357&amp;peakpower=1&amp;loss=14&amp;angle=75&amp;aspect=135&amp;outputformat=json&amp;raddatabase=PVGIS-SARAH3&amp;pvtechchoice=crystSi&amp;mountingplace=free&amp;usehorizon=1</v>
      </c>
    </row>
    <row r="4826">
      <c r="A4826" t="n">
        <v>75</v>
      </c>
      <c r="B4826" t="n">
        <v>315</v>
      </c>
      <c r="C4826" t="n">
        <v>5</v>
      </c>
      <c r="D4826" s="218" t="n">
        <v>88.25</v>
      </c>
      <c r="E4826" s="218" t="n">
        <v>2.85</v>
      </c>
      <c r="F4826" t="str">
        <v>https://re.jrc.ec.europa.eu/api/v5_3/PVcalc?lat=30.0444&amp;lon=31.2357&amp;peakpower=1&amp;loss=14&amp;angle=75&amp;aspect=135&amp;outputformat=json&amp;raddatabase=PVGIS-SARAH3&amp;pvtechchoice=crystSi&amp;mountingplace=free&amp;usehorizon=1</v>
      </c>
    </row>
    <row r="4827">
      <c r="A4827" t="n">
        <v>75</v>
      </c>
      <c r="B4827" t="n">
        <v>315</v>
      </c>
      <c r="C4827" t="n">
        <v>6</v>
      </c>
      <c r="D4827" s="218" t="n">
        <v>98.74</v>
      </c>
      <c r="E4827" s="218" t="n">
        <v>3.29</v>
      </c>
      <c r="F4827" t="str">
        <v>https://re.jrc.ec.europa.eu/api/v5_3/PVcalc?lat=30.0444&amp;lon=31.2357&amp;peakpower=1&amp;loss=14&amp;angle=75&amp;aspect=135&amp;outputformat=json&amp;raddatabase=PVGIS-SARAH3&amp;pvtechchoice=crystSi&amp;mountingplace=free&amp;usehorizon=1</v>
      </c>
    </row>
    <row r="4828">
      <c r="A4828" t="n">
        <v>75</v>
      </c>
      <c r="B4828" t="n">
        <v>315</v>
      </c>
      <c r="C4828" t="n">
        <v>7</v>
      </c>
      <c r="D4828" s="218" t="n">
        <v>98.36</v>
      </c>
      <c r="E4828" s="218" t="n">
        <v>3.17</v>
      </c>
      <c r="F4828" t="str">
        <v>https://re.jrc.ec.europa.eu/api/v5_3/PVcalc?lat=30.0444&amp;lon=31.2357&amp;peakpower=1&amp;loss=14&amp;angle=75&amp;aspect=135&amp;outputformat=json&amp;raddatabase=PVGIS-SARAH3&amp;pvtechchoice=crystSi&amp;mountingplace=free&amp;usehorizon=1</v>
      </c>
    </row>
    <row r="4829">
      <c r="A4829" t="n">
        <v>75</v>
      </c>
      <c r="B4829" t="n">
        <v>315</v>
      </c>
      <c r="C4829" t="n">
        <v>8</v>
      </c>
      <c r="D4829" s="218" t="n">
        <v>80.45</v>
      </c>
      <c r="E4829" s="218" t="n">
        <v>2.6</v>
      </c>
      <c r="F4829" t="str">
        <v>https://re.jrc.ec.europa.eu/api/v5_3/PVcalc?lat=30.0444&amp;lon=31.2357&amp;peakpower=1&amp;loss=14&amp;angle=75&amp;aspect=135&amp;outputformat=json&amp;raddatabase=PVGIS-SARAH3&amp;pvtechchoice=crystSi&amp;mountingplace=free&amp;usehorizon=1</v>
      </c>
    </row>
    <row r="4830">
      <c r="A4830" t="n">
        <v>75</v>
      </c>
      <c r="B4830" t="n">
        <v>315</v>
      </c>
      <c r="C4830" t="n">
        <v>9</v>
      </c>
      <c r="D4830" s="218" t="n">
        <v>56.34</v>
      </c>
      <c r="E4830" s="218" t="n">
        <v>1.88</v>
      </c>
      <c r="F4830" t="str">
        <v>https://re.jrc.ec.europa.eu/api/v5_3/PVcalc?lat=30.0444&amp;lon=31.2357&amp;peakpower=1&amp;loss=14&amp;angle=75&amp;aspect=135&amp;outputformat=json&amp;raddatabase=PVGIS-SARAH3&amp;pvtechchoice=crystSi&amp;mountingplace=free&amp;usehorizon=1</v>
      </c>
    </row>
    <row r="4831">
      <c r="A4831" t="n">
        <v>75</v>
      </c>
      <c r="B4831" t="n">
        <v>315</v>
      </c>
      <c r="C4831" t="n">
        <v>10</v>
      </c>
      <c r="D4831" s="218" t="n">
        <v>35.99</v>
      </c>
      <c r="E4831" s="218" t="n">
        <v>1.16</v>
      </c>
      <c r="F4831" t="str">
        <v>https://re.jrc.ec.europa.eu/api/v5_3/PVcalc?lat=30.0444&amp;lon=31.2357&amp;peakpower=1&amp;loss=14&amp;angle=75&amp;aspect=135&amp;outputformat=json&amp;raddatabase=PVGIS-SARAH3&amp;pvtechchoice=crystSi&amp;mountingplace=free&amp;usehorizon=1</v>
      </c>
    </row>
    <row r="4832">
      <c r="A4832" t="n">
        <v>75</v>
      </c>
      <c r="B4832" t="n">
        <v>315</v>
      </c>
      <c r="C4832" t="n">
        <v>11</v>
      </c>
      <c r="D4832" s="218" t="n">
        <v>21.46</v>
      </c>
      <c r="E4832" s="218" t="n">
        <v>0.72</v>
      </c>
      <c r="F4832" t="str">
        <v>https://re.jrc.ec.europa.eu/api/v5_3/PVcalc?lat=30.0444&amp;lon=31.2357&amp;peakpower=1&amp;loss=14&amp;angle=75&amp;aspect=135&amp;outputformat=json&amp;raddatabase=PVGIS-SARAH3&amp;pvtechchoice=crystSi&amp;mountingplace=free&amp;usehorizon=1</v>
      </c>
    </row>
    <row r="4833">
      <c r="A4833" t="n">
        <v>75</v>
      </c>
      <c r="B4833" t="n">
        <v>315</v>
      </c>
      <c r="C4833" t="n">
        <v>12</v>
      </c>
      <c r="D4833" s="218" t="n">
        <v>17.23</v>
      </c>
      <c r="E4833" s="218" t="n">
        <v>0.56</v>
      </c>
      <c r="F4833" t="str">
        <v>https://re.jrc.ec.europa.eu/api/v5_3/PVcalc?lat=30.0444&amp;lon=31.2357&amp;peakpower=1&amp;loss=14&amp;angle=75&amp;aspect=135&amp;outputformat=json&amp;raddatabase=PVGIS-SARAH3&amp;pvtechchoice=crystSi&amp;mountingplace=free&amp;usehorizon=1</v>
      </c>
    </row>
    <row r="4834">
      <c r="A4834" t="n">
        <v>75</v>
      </c>
      <c r="B4834" t="n">
        <v>330</v>
      </c>
      <c r="C4834" t="n">
        <v>1</v>
      </c>
      <c r="D4834" s="218" t="n">
        <v>15.05</v>
      </c>
      <c r="E4834" s="218" t="n">
        <v>0.49</v>
      </c>
      <c r="F4834" t="str">
        <v>https://re.jrc.ec.europa.eu/api/v5_3/PVcalc?lat=30.0444&amp;lon=31.2357&amp;peakpower=1&amp;loss=14&amp;angle=75&amp;aspect=150&amp;outputformat=json&amp;raddatabase=PVGIS-SARAH3&amp;pvtechchoice=crystSi&amp;mountingplace=free&amp;usehorizon=1</v>
      </c>
    </row>
    <row r="4835">
      <c r="A4835" t="n">
        <v>75</v>
      </c>
      <c r="B4835" t="n">
        <v>330</v>
      </c>
      <c r="C4835" t="n">
        <v>2</v>
      </c>
      <c r="D4835" s="218" t="n">
        <v>20.1</v>
      </c>
      <c r="E4835" s="218" t="n">
        <v>0.72</v>
      </c>
      <c r="F4835" t="str">
        <v>https://re.jrc.ec.europa.eu/api/v5_3/PVcalc?lat=30.0444&amp;lon=31.2357&amp;peakpower=1&amp;loss=14&amp;angle=75&amp;aspect=150&amp;outputformat=json&amp;raddatabase=PVGIS-SARAH3&amp;pvtechchoice=crystSi&amp;mountingplace=free&amp;usehorizon=1</v>
      </c>
    </row>
    <row r="4836">
      <c r="A4836" t="n">
        <v>75</v>
      </c>
      <c r="B4836" t="n">
        <v>330</v>
      </c>
      <c r="C4836" t="n">
        <v>3</v>
      </c>
      <c r="D4836" s="218" t="n">
        <v>36.29</v>
      </c>
      <c r="E4836" s="218" t="n">
        <v>1.17</v>
      </c>
      <c r="F4836" t="str">
        <v>https://re.jrc.ec.europa.eu/api/v5_3/PVcalc?lat=30.0444&amp;lon=31.2357&amp;peakpower=1&amp;loss=14&amp;angle=75&amp;aspect=150&amp;outputformat=json&amp;raddatabase=PVGIS-SARAH3&amp;pvtechchoice=crystSi&amp;mountingplace=free&amp;usehorizon=1</v>
      </c>
    </row>
    <row r="4837">
      <c r="A4837" t="n">
        <v>75</v>
      </c>
      <c r="B4837" t="n">
        <v>330</v>
      </c>
      <c r="C4837" t="n">
        <v>4</v>
      </c>
      <c r="D4837" s="218" t="n">
        <v>54.06</v>
      </c>
      <c r="E4837" s="218" t="n">
        <v>1.8</v>
      </c>
      <c r="F4837" t="str">
        <v>https://re.jrc.ec.europa.eu/api/v5_3/PVcalc?lat=30.0444&amp;lon=31.2357&amp;peakpower=1&amp;loss=14&amp;angle=75&amp;aspect=150&amp;outputformat=json&amp;raddatabase=PVGIS-SARAH3&amp;pvtechchoice=crystSi&amp;mountingplace=free&amp;usehorizon=1</v>
      </c>
    </row>
    <row r="4838">
      <c r="A4838" t="n">
        <v>75</v>
      </c>
      <c r="B4838" t="n">
        <v>330</v>
      </c>
      <c r="C4838" t="n">
        <v>5</v>
      </c>
      <c r="D4838" s="218" t="n">
        <v>74.76</v>
      </c>
      <c r="E4838" s="218" t="n">
        <v>2.41</v>
      </c>
      <c r="F4838" t="str">
        <v>https://re.jrc.ec.europa.eu/api/v5_3/PVcalc?lat=30.0444&amp;lon=31.2357&amp;peakpower=1&amp;loss=14&amp;angle=75&amp;aspect=150&amp;outputformat=json&amp;raddatabase=PVGIS-SARAH3&amp;pvtechchoice=crystSi&amp;mountingplace=free&amp;usehorizon=1</v>
      </c>
    </row>
    <row r="4839">
      <c r="A4839" t="n">
        <v>75</v>
      </c>
      <c r="B4839" t="n">
        <v>330</v>
      </c>
      <c r="C4839" t="n">
        <v>6</v>
      </c>
      <c r="D4839" s="218" t="n">
        <v>85.62</v>
      </c>
      <c r="E4839" s="218" t="n">
        <v>2.85</v>
      </c>
      <c r="F4839" t="str">
        <v>https://re.jrc.ec.europa.eu/api/v5_3/PVcalc?lat=30.0444&amp;lon=31.2357&amp;peakpower=1&amp;loss=14&amp;angle=75&amp;aspect=150&amp;outputformat=json&amp;raddatabase=PVGIS-SARAH3&amp;pvtechchoice=crystSi&amp;mountingplace=free&amp;usehorizon=1</v>
      </c>
    </row>
    <row r="4840">
      <c r="A4840" t="n">
        <v>75</v>
      </c>
      <c r="B4840" t="n">
        <v>330</v>
      </c>
      <c r="C4840" t="n">
        <v>7</v>
      </c>
      <c r="D4840" s="218" t="n">
        <v>83.81</v>
      </c>
      <c r="E4840" s="218" t="n">
        <v>2.7</v>
      </c>
      <c r="F4840" t="str">
        <v>https://re.jrc.ec.europa.eu/api/v5_3/PVcalc?lat=30.0444&amp;lon=31.2357&amp;peakpower=1&amp;loss=14&amp;angle=75&amp;aspect=150&amp;outputformat=json&amp;raddatabase=PVGIS-SARAH3&amp;pvtechchoice=crystSi&amp;mountingplace=free&amp;usehorizon=1</v>
      </c>
    </row>
    <row r="4841">
      <c r="A4841" t="n">
        <v>75</v>
      </c>
      <c r="B4841" t="n">
        <v>330</v>
      </c>
      <c r="C4841" t="n">
        <v>8</v>
      </c>
      <c r="D4841" s="218" t="n">
        <v>63.47</v>
      </c>
      <c r="E4841" s="218" t="n">
        <v>2.05</v>
      </c>
      <c r="F4841" t="str">
        <v>https://re.jrc.ec.europa.eu/api/v5_3/PVcalc?lat=30.0444&amp;lon=31.2357&amp;peakpower=1&amp;loss=14&amp;angle=75&amp;aspect=150&amp;outputformat=json&amp;raddatabase=PVGIS-SARAH3&amp;pvtechchoice=crystSi&amp;mountingplace=free&amp;usehorizon=1</v>
      </c>
    </row>
    <row r="4842">
      <c r="A4842" t="n">
        <v>75</v>
      </c>
      <c r="B4842" t="n">
        <v>330</v>
      </c>
      <c r="C4842" t="n">
        <v>9</v>
      </c>
      <c r="D4842" s="218" t="n">
        <v>39.91</v>
      </c>
      <c r="E4842" s="218" t="n">
        <v>1.33</v>
      </c>
      <c r="F4842" t="str">
        <v>https://re.jrc.ec.europa.eu/api/v5_3/PVcalc?lat=30.0444&amp;lon=31.2357&amp;peakpower=1&amp;loss=14&amp;angle=75&amp;aspect=150&amp;outputformat=json&amp;raddatabase=PVGIS-SARAH3&amp;pvtechchoice=crystSi&amp;mountingplace=free&amp;usehorizon=1</v>
      </c>
    </row>
    <row r="4843">
      <c r="A4843" t="n">
        <v>75</v>
      </c>
      <c r="B4843" t="n">
        <v>330</v>
      </c>
      <c r="C4843" t="n">
        <v>10</v>
      </c>
      <c r="D4843" s="218" t="n">
        <v>23.5</v>
      </c>
      <c r="E4843" s="218" t="n">
        <v>0.76</v>
      </c>
      <c r="F4843" t="str">
        <v>https://re.jrc.ec.europa.eu/api/v5_3/PVcalc?lat=30.0444&amp;lon=31.2357&amp;peakpower=1&amp;loss=14&amp;angle=75&amp;aspect=150&amp;outputformat=json&amp;raddatabase=PVGIS-SARAH3&amp;pvtechchoice=crystSi&amp;mountingplace=free&amp;usehorizon=1</v>
      </c>
    </row>
    <row r="4844">
      <c r="A4844" t="n">
        <v>75</v>
      </c>
      <c r="B4844" t="n">
        <v>330</v>
      </c>
      <c r="C4844" t="n">
        <v>11</v>
      </c>
      <c r="D4844" s="218" t="n">
        <v>14.99</v>
      </c>
      <c r="E4844" s="218" t="n">
        <v>0.5</v>
      </c>
      <c r="F4844" t="str">
        <v>https://re.jrc.ec.europa.eu/api/v5_3/PVcalc?lat=30.0444&amp;lon=31.2357&amp;peakpower=1&amp;loss=14&amp;angle=75&amp;aspect=150&amp;outputformat=json&amp;raddatabase=PVGIS-SARAH3&amp;pvtechchoice=crystSi&amp;mountingplace=free&amp;usehorizon=1</v>
      </c>
    </row>
    <row r="4845">
      <c r="A4845" t="n">
        <v>75</v>
      </c>
      <c r="B4845" t="n">
        <v>330</v>
      </c>
      <c r="C4845" t="n">
        <v>12</v>
      </c>
      <c r="D4845" s="218" t="n">
        <v>13.75</v>
      </c>
      <c r="E4845" s="218" t="n">
        <v>0.44</v>
      </c>
      <c r="F4845" t="str">
        <v>https://re.jrc.ec.europa.eu/api/v5_3/PVcalc?lat=30.0444&amp;lon=31.2357&amp;peakpower=1&amp;loss=14&amp;angle=75&amp;aspect=150&amp;outputformat=json&amp;raddatabase=PVGIS-SARAH3&amp;pvtechchoice=crystSi&amp;mountingplace=free&amp;usehorizon=1</v>
      </c>
    </row>
    <row r="4846">
      <c r="A4846" t="n">
        <v>75</v>
      </c>
      <c r="B4846" t="n">
        <v>345</v>
      </c>
      <c r="C4846" t="n">
        <v>1</v>
      </c>
      <c r="D4846" s="218" t="n">
        <v>14.83</v>
      </c>
      <c r="E4846" s="218" t="n">
        <v>0.48</v>
      </c>
      <c r="F4846" t="str">
        <v>https://re.jrc.ec.europa.eu/api/v5_3/PVcalc?lat=30.0444&amp;lon=31.2357&amp;peakpower=1&amp;loss=14&amp;angle=75&amp;aspect=165&amp;outputformat=json&amp;raddatabase=PVGIS-SARAH3&amp;pvtechchoice=crystSi&amp;mountingplace=free&amp;usehorizon=1</v>
      </c>
    </row>
    <row r="4847">
      <c r="A4847" t="n">
        <v>75</v>
      </c>
      <c r="B4847" t="n">
        <v>345</v>
      </c>
      <c r="C4847" t="n">
        <v>2</v>
      </c>
      <c r="D4847" s="218" t="n">
        <v>17.35</v>
      </c>
      <c r="E4847" s="218" t="n">
        <v>0.62</v>
      </c>
      <c r="F4847" t="str">
        <v>https://re.jrc.ec.europa.eu/api/v5_3/PVcalc?lat=30.0444&amp;lon=31.2357&amp;peakpower=1&amp;loss=14&amp;angle=75&amp;aspect=165&amp;outputformat=json&amp;raddatabase=PVGIS-SARAH3&amp;pvtechchoice=crystSi&amp;mountingplace=free&amp;usehorizon=1</v>
      </c>
    </row>
    <row r="4848">
      <c r="A4848" t="n">
        <v>75</v>
      </c>
      <c r="B4848" t="n">
        <v>345</v>
      </c>
      <c r="C4848" t="n">
        <v>3</v>
      </c>
      <c r="D4848" s="218" t="n">
        <v>25.23</v>
      </c>
      <c r="E4848" s="218" t="n">
        <v>0.81</v>
      </c>
      <c r="F4848" t="str">
        <v>https://re.jrc.ec.europa.eu/api/v5_3/PVcalc?lat=30.0444&amp;lon=31.2357&amp;peakpower=1&amp;loss=14&amp;angle=75&amp;aspect=165&amp;outputformat=json&amp;raddatabase=PVGIS-SARAH3&amp;pvtechchoice=crystSi&amp;mountingplace=free&amp;usehorizon=1</v>
      </c>
    </row>
    <row r="4849">
      <c r="A4849" t="n">
        <v>75</v>
      </c>
      <c r="B4849" t="n">
        <v>345</v>
      </c>
      <c r="C4849" t="n">
        <v>4</v>
      </c>
      <c r="D4849" s="218" t="n">
        <v>38.71</v>
      </c>
      <c r="E4849" s="218" t="n">
        <v>1.29</v>
      </c>
      <c r="F4849" t="str">
        <v>https://re.jrc.ec.europa.eu/api/v5_3/PVcalc?lat=30.0444&amp;lon=31.2357&amp;peakpower=1&amp;loss=14&amp;angle=75&amp;aspect=165&amp;outputformat=json&amp;raddatabase=PVGIS-SARAH3&amp;pvtechchoice=crystSi&amp;mountingplace=free&amp;usehorizon=1</v>
      </c>
    </row>
    <row r="4850">
      <c r="A4850" t="n">
        <v>75</v>
      </c>
      <c r="B4850" t="n">
        <v>345</v>
      </c>
      <c r="C4850" t="n">
        <v>5</v>
      </c>
      <c r="D4850" s="218" t="n">
        <v>60.88</v>
      </c>
      <c r="E4850" s="218" t="n">
        <v>1.96</v>
      </c>
      <c r="F4850" t="str">
        <v>https://re.jrc.ec.europa.eu/api/v5_3/PVcalc?lat=30.0444&amp;lon=31.2357&amp;peakpower=1&amp;loss=14&amp;angle=75&amp;aspect=165&amp;outputformat=json&amp;raddatabase=PVGIS-SARAH3&amp;pvtechchoice=crystSi&amp;mountingplace=free&amp;usehorizon=1</v>
      </c>
    </row>
    <row r="4851">
      <c r="A4851" t="n">
        <v>75</v>
      </c>
      <c r="B4851" t="n">
        <v>345</v>
      </c>
      <c r="C4851" t="n">
        <v>6</v>
      </c>
      <c r="D4851" s="218" t="n">
        <v>74.84</v>
      </c>
      <c r="E4851" s="218" t="n">
        <v>2.49</v>
      </c>
      <c r="F4851" t="str">
        <v>https://re.jrc.ec.europa.eu/api/v5_3/PVcalc?lat=30.0444&amp;lon=31.2357&amp;peakpower=1&amp;loss=14&amp;angle=75&amp;aspect=165&amp;outputformat=json&amp;raddatabase=PVGIS-SARAH3&amp;pvtechchoice=crystSi&amp;mountingplace=free&amp;usehorizon=1</v>
      </c>
    </row>
    <row r="4852">
      <c r="A4852" t="n">
        <v>75</v>
      </c>
      <c r="B4852" t="n">
        <v>345</v>
      </c>
      <c r="C4852" t="n">
        <v>7</v>
      </c>
      <c r="D4852" s="218" t="n">
        <v>69.62</v>
      </c>
      <c r="E4852" s="218" t="n">
        <v>2.25</v>
      </c>
      <c r="F4852" t="str">
        <v>https://re.jrc.ec.europa.eu/api/v5_3/PVcalc?lat=30.0444&amp;lon=31.2357&amp;peakpower=1&amp;loss=14&amp;angle=75&amp;aspect=165&amp;outputformat=json&amp;raddatabase=PVGIS-SARAH3&amp;pvtechchoice=crystSi&amp;mountingplace=free&amp;usehorizon=1</v>
      </c>
    </row>
    <row r="4853">
      <c r="A4853" t="n">
        <v>75</v>
      </c>
      <c r="B4853" t="n">
        <v>345</v>
      </c>
      <c r="C4853" t="n">
        <v>8</v>
      </c>
      <c r="D4853" s="218" t="n">
        <v>44.87</v>
      </c>
      <c r="E4853" s="218" t="n">
        <v>1.45</v>
      </c>
      <c r="F4853" t="str">
        <v>https://re.jrc.ec.europa.eu/api/v5_3/PVcalc?lat=30.0444&amp;lon=31.2357&amp;peakpower=1&amp;loss=14&amp;angle=75&amp;aspect=165&amp;outputformat=json&amp;raddatabase=PVGIS-SARAH3&amp;pvtechchoice=crystSi&amp;mountingplace=free&amp;usehorizon=1</v>
      </c>
    </row>
    <row r="4854">
      <c r="A4854" t="n">
        <v>75</v>
      </c>
      <c r="B4854" t="n">
        <v>345</v>
      </c>
      <c r="C4854" t="n">
        <v>9</v>
      </c>
      <c r="D4854" s="218" t="n">
        <v>25.45</v>
      </c>
      <c r="E4854" s="218" t="n">
        <v>0.85</v>
      </c>
      <c r="F4854" t="str">
        <v>https://re.jrc.ec.europa.eu/api/v5_3/PVcalc?lat=30.0444&amp;lon=31.2357&amp;peakpower=1&amp;loss=14&amp;angle=75&amp;aspect=165&amp;outputformat=json&amp;raddatabase=PVGIS-SARAH3&amp;pvtechchoice=crystSi&amp;mountingplace=free&amp;usehorizon=1</v>
      </c>
    </row>
    <row r="4855">
      <c r="A4855" t="n">
        <v>75</v>
      </c>
      <c r="B4855" t="n">
        <v>345</v>
      </c>
      <c r="C4855" t="n">
        <v>10</v>
      </c>
      <c r="D4855" s="218" t="n">
        <v>17.65</v>
      </c>
      <c r="E4855" s="218" t="n">
        <v>0.57</v>
      </c>
      <c r="F4855" t="str">
        <v>https://re.jrc.ec.europa.eu/api/v5_3/PVcalc?lat=30.0444&amp;lon=31.2357&amp;peakpower=1&amp;loss=14&amp;angle=75&amp;aspect=165&amp;outputformat=json&amp;raddatabase=PVGIS-SARAH3&amp;pvtechchoice=crystSi&amp;mountingplace=free&amp;usehorizon=1</v>
      </c>
    </row>
    <row r="4856">
      <c r="A4856" t="n">
        <v>75</v>
      </c>
      <c r="B4856" t="n">
        <v>345</v>
      </c>
      <c r="C4856" t="n">
        <v>11</v>
      </c>
      <c r="D4856" s="218" t="n">
        <v>14.23</v>
      </c>
      <c r="E4856" s="218" t="n">
        <v>0.47</v>
      </c>
      <c r="F4856" t="str">
        <v>https://re.jrc.ec.europa.eu/api/v5_3/PVcalc?lat=30.0444&amp;lon=31.2357&amp;peakpower=1&amp;loss=14&amp;angle=75&amp;aspect=165&amp;outputformat=json&amp;raddatabase=PVGIS-SARAH3&amp;pvtechchoice=crystSi&amp;mountingplace=free&amp;usehorizon=1</v>
      </c>
    </row>
    <row r="4857">
      <c r="A4857" t="n">
        <v>75</v>
      </c>
      <c r="B4857" t="n">
        <v>345</v>
      </c>
      <c r="C4857" t="n">
        <v>12</v>
      </c>
      <c r="D4857" s="218" t="n">
        <v>13.71</v>
      </c>
      <c r="E4857" s="218" t="n">
        <v>0.44</v>
      </c>
      <c r="F4857" t="str">
        <v>https://re.jrc.ec.europa.eu/api/v5_3/PVcalc?lat=30.0444&amp;lon=31.2357&amp;peakpower=1&amp;loss=14&amp;angle=75&amp;aspect=165&amp;outputformat=json&amp;raddatabase=PVGIS-SARAH3&amp;pvtechchoice=crystSi&amp;mountingplace=free&amp;usehorizon=1</v>
      </c>
    </row>
    <row r="4858">
      <c r="A4858" t="n">
        <v>75</v>
      </c>
      <c r="B4858" t="n">
        <v>360</v>
      </c>
      <c r="C4858" t="n">
        <v>1</v>
      </c>
      <c r="D4858" s="218" t="n">
        <v>14.83</v>
      </c>
      <c r="E4858" s="218" t="n">
        <v>0.48</v>
      </c>
      <c r="F4858" t="str">
        <v>https://re.jrc.ec.europa.eu/api/v5_3/PVcalc?lat=30.0444&amp;lon=31.2357&amp;peakpower=1&amp;loss=14&amp;angle=75&amp;aspect=180&amp;outputformat=json&amp;raddatabase=PVGIS-SARAH3&amp;pvtechchoice=crystSi&amp;mountingplace=free&amp;usehorizon=1</v>
      </c>
    </row>
    <row r="4859">
      <c r="A4859" t="n">
        <v>75</v>
      </c>
      <c r="B4859" t="n">
        <v>360</v>
      </c>
      <c r="C4859" t="n">
        <v>2</v>
      </c>
      <c r="D4859" s="218" t="n">
        <v>17.3</v>
      </c>
      <c r="E4859" s="218" t="n">
        <v>0.62</v>
      </c>
      <c r="F4859" t="str">
        <v>https://re.jrc.ec.europa.eu/api/v5_3/PVcalc?lat=30.0444&amp;lon=31.2357&amp;peakpower=1&amp;loss=14&amp;angle=75&amp;aspect=180&amp;outputformat=json&amp;raddatabase=PVGIS-SARAH3&amp;pvtechchoice=crystSi&amp;mountingplace=free&amp;usehorizon=1</v>
      </c>
    </row>
    <row r="4860">
      <c r="A4860" t="n">
        <v>75</v>
      </c>
      <c r="B4860" t="n">
        <v>360</v>
      </c>
      <c r="C4860" t="n">
        <v>3</v>
      </c>
      <c r="D4860" s="218" t="n">
        <v>22.17</v>
      </c>
      <c r="E4860" s="218" t="n">
        <v>0.72</v>
      </c>
      <c r="F4860" t="str">
        <v>https://re.jrc.ec.europa.eu/api/v5_3/PVcalc?lat=30.0444&amp;lon=31.2357&amp;peakpower=1&amp;loss=14&amp;angle=75&amp;aspect=180&amp;outputformat=json&amp;raddatabase=PVGIS-SARAH3&amp;pvtechchoice=crystSi&amp;mountingplace=free&amp;usehorizon=1</v>
      </c>
    </row>
    <row r="4861">
      <c r="A4861" t="n">
        <v>75</v>
      </c>
      <c r="B4861" t="n">
        <v>360</v>
      </c>
      <c r="C4861" t="n">
        <v>4</v>
      </c>
      <c r="D4861" s="218" t="n">
        <v>29.28</v>
      </c>
      <c r="E4861" s="218" t="n">
        <v>0.98</v>
      </c>
      <c r="F4861" t="str">
        <v>https://re.jrc.ec.europa.eu/api/v5_3/PVcalc?lat=30.0444&amp;lon=31.2357&amp;peakpower=1&amp;loss=14&amp;angle=75&amp;aspect=180&amp;outputformat=json&amp;raddatabase=PVGIS-SARAH3&amp;pvtechchoice=crystSi&amp;mountingplace=free&amp;usehorizon=1</v>
      </c>
    </row>
    <row r="4862">
      <c r="A4862" t="n">
        <v>75</v>
      </c>
      <c r="B4862" t="n">
        <v>360</v>
      </c>
      <c r="C4862" t="n">
        <v>5</v>
      </c>
      <c r="D4862" s="218" t="n">
        <v>55.51</v>
      </c>
      <c r="E4862" s="218" t="n">
        <v>1.79</v>
      </c>
      <c r="F4862" t="str">
        <v>https://re.jrc.ec.europa.eu/api/v5_3/PVcalc?lat=30.0444&amp;lon=31.2357&amp;peakpower=1&amp;loss=14&amp;angle=75&amp;aspect=180&amp;outputformat=json&amp;raddatabase=PVGIS-SARAH3&amp;pvtechchoice=crystSi&amp;mountingplace=free&amp;usehorizon=1</v>
      </c>
    </row>
    <row r="4863">
      <c r="A4863" t="n">
        <v>75</v>
      </c>
      <c r="B4863" t="n">
        <v>360</v>
      </c>
      <c r="C4863" t="n">
        <v>6</v>
      </c>
      <c r="D4863" s="218" t="n">
        <v>70.04</v>
      </c>
      <c r="E4863" s="218" t="n">
        <v>2.33</v>
      </c>
      <c r="F4863" t="str">
        <v>https://re.jrc.ec.europa.eu/api/v5_3/PVcalc?lat=30.0444&amp;lon=31.2357&amp;peakpower=1&amp;loss=14&amp;angle=75&amp;aspect=180&amp;outputformat=json&amp;raddatabase=PVGIS-SARAH3&amp;pvtechchoice=crystSi&amp;mountingplace=free&amp;usehorizon=1</v>
      </c>
    </row>
    <row r="4864">
      <c r="A4864" t="n">
        <v>75</v>
      </c>
      <c r="B4864" t="n">
        <v>360</v>
      </c>
      <c r="C4864" t="n">
        <v>7</v>
      </c>
      <c r="D4864" s="218" t="n">
        <v>62.14</v>
      </c>
      <c r="E4864" s="218" t="n">
        <v>2</v>
      </c>
      <c r="F4864" t="str">
        <v>https://re.jrc.ec.europa.eu/api/v5_3/PVcalc?lat=30.0444&amp;lon=31.2357&amp;peakpower=1&amp;loss=14&amp;angle=75&amp;aspect=180&amp;outputformat=json&amp;raddatabase=PVGIS-SARAH3&amp;pvtechchoice=crystSi&amp;mountingplace=free&amp;usehorizon=1</v>
      </c>
    </row>
    <row r="4865">
      <c r="A4865" t="n">
        <v>75</v>
      </c>
      <c r="B4865" t="n">
        <v>360</v>
      </c>
      <c r="C4865" t="n">
        <v>8</v>
      </c>
      <c r="D4865" s="218" t="n">
        <v>33.62</v>
      </c>
      <c r="E4865" s="218" t="n">
        <v>1.08</v>
      </c>
      <c r="F4865" t="str">
        <v>https://re.jrc.ec.europa.eu/api/v5_3/PVcalc?lat=30.0444&amp;lon=31.2357&amp;peakpower=1&amp;loss=14&amp;angle=75&amp;aspect=180&amp;outputformat=json&amp;raddatabase=PVGIS-SARAH3&amp;pvtechchoice=crystSi&amp;mountingplace=free&amp;usehorizon=1</v>
      </c>
    </row>
    <row r="4866">
      <c r="A4866" t="n">
        <v>75</v>
      </c>
      <c r="B4866" t="n">
        <v>360</v>
      </c>
      <c r="C4866" t="n">
        <v>9</v>
      </c>
      <c r="D4866" s="218" t="n">
        <v>18.87</v>
      </c>
      <c r="E4866" s="218" t="n">
        <v>0.63</v>
      </c>
      <c r="F4866" t="str">
        <v>https://re.jrc.ec.europa.eu/api/v5_3/PVcalc?lat=30.0444&amp;lon=31.2357&amp;peakpower=1&amp;loss=14&amp;angle=75&amp;aspect=180&amp;outputformat=json&amp;raddatabase=PVGIS-SARAH3&amp;pvtechchoice=crystSi&amp;mountingplace=free&amp;usehorizon=1</v>
      </c>
    </row>
    <row r="4867">
      <c r="A4867" t="n">
        <v>75</v>
      </c>
      <c r="B4867" t="n">
        <v>360</v>
      </c>
      <c r="C4867" t="n">
        <v>10</v>
      </c>
      <c r="D4867" s="218" t="n">
        <v>17.24</v>
      </c>
      <c r="E4867" s="218" t="n">
        <v>0.56</v>
      </c>
      <c r="F4867" t="str">
        <v>https://re.jrc.ec.europa.eu/api/v5_3/PVcalc?lat=30.0444&amp;lon=31.2357&amp;peakpower=1&amp;loss=14&amp;angle=75&amp;aspect=180&amp;outputformat=json&amp;raddatabase=PVGIS-SARAH3&amp;pvtechchoice=crystSi&amp;mountingplace=free&amp;usehorizon=1</v>
      </c>
    </row>
    <row r="4868">
      <c r="A4868" t="n">
        <v>75</v>
      </c>
      <c r="B4868" t="n">
        <v>360</v>
      </c>
      <c r="C4868" t="n">
        <v>11</v>
      </c>
      <c r="D4868" s="218" t="n">
        <v>14.23</v>
      </c>
      <c r="E4868" s="218" t="n">
        <v>0.47</v>
      </c>
      <c r="F4868" t="str">
        <v>https://re.jrc.ec.europa.eu/api/v5_3/PVcalc?lat=30.0444&amp;lon=31.2357&amp;peakpower=1&amp;loss=14&amp;angle=75&amp;aspect=180&amp;outputformat=json&amp;raddatabase=PVGIS-SARAH3&amp;pvtechchoice=crystSi&amp;mountingplace=free&amp;usehorizon=1</v>
      </c>
    </row>
    <row r="4869">
      <c r="A4869" t="n">
        <v>75</v>
      </c>
      <c r="B4869" t="n">
        <v>360</v>
      </c>
      <c r="C4869" t="n">
        <v>12</v>
      </c>
      <c r="D4869" s="218" t="n">
        <v>13.71</v>
      </c>
      <c r="E4869" s="218" t="n">
        <v>0.44</v>
      </c>
      <c r="F4869" t="str">
        <v>https://re.jrc.ec.europa.eu/api/v5_3/PVcalc?lat=30.0444&amp;lon=31.2357&amp;peakpower=1&amp;loss=14&amp;angle=75&amp;aspect=180&amp;outputformat=json&amp;raddatabase=PVGIS-SARAH3&amp;pvtechchoice=crystSi&amp;mountingplace=free&amp;usehorizon=1</v>
      </c>
    </row>
    <row r="4870">
      <c r="A4870" t="n">
        <v>80</v>
      </c>
      <c r="B4870" t="n">
        <v>0</v>
      </c>
      <c r="C4870" t="n">
        <v>1</v>
      </c>
      <c r="D4870" s="218" t="n">
        <v>13.58</v>
      </c>
      <c r="E4870" s="218" t="n">
        <v>0.44</v>
      </c>
      <c r="F4870" t="str">
        <v>https://re.jrc.ec.europa.eu/api/v5_3/PVcalc?lat=30.0444&amp;lon=31.2357&amp;peakpower=1&amp;loss=14&amp;angle=80&amp;aspect=-180&amp;outputformat=json&amp;raddatabase=PVGIS-SARAH3&amp;pvtechchoice=crystSi&amp;mountingplace=free&amp;usehorizon=1</v>
      </c>
    </row>
    <row r="4871">
      <c r="A4871" t="n">
        <v>80</v>
      </c>
      <c r="B4871" t="n">
        <v>0</v>
      </c>
      <c r="C4871" t="n">
        <v>2</v>
      </c>
      <c r="D4871" s="218" t="n">
        <v>15.87</v>
      </c>
      <c r="E4871" s="218" t="n">
        <v>0.57</v>
      </c>
      <c r="F4871" t="str">
        <v>https://re.jrc.ec.europa.eu/api/v5_3/PVcalc?lat=30.0444&amp;lon=31.2357&amp;peakpower=1&amp;loss=14&amp;angle=80&amp;aspect=-180&amp;outputformat=json&amp;raddatabase=PVGIS-SARAH3&amp;pvtechchoice=crystSi&amp;mountingplace=free&amp;usehorizon=1</v>
      </c>
    </row>
    <row r="4872">
      <c r="A4872" t="n">
        <v>80</v>
      </c>
      <c r="B4872" t="n">
        <v>0</v>
      </c>
      <c r="C4872" t="n">
        <v>3</v>
      </c>
      <c r="D4872" s="218" t="n">
        <v>20.34</v>
      </c>
      <c r="E4872" s="218" t="n">
        <v>0.66</v>
      </c>
      <c r="F4872" t="str">
        <v>https://re.jrc.ec.europa.eu/api/v5_3/PVcalc?lat=30.0444&amp;lon=31.2357&amp;peakpower=1&amp;loss=14&amp;angle=80&amp;aspect=-180&amp;outputformat=json&amp;raddatabase=PVGIS-SARAH3&amp;pvtechchoice=crystSi&amp;mountingplace=free&amp;usehorizon=1</v>
      </c>
    </row>
    <row r="4873">
      <c r="A4873" t="n">
        <v>80</v>
      </c>
      <c r="B4873" t="n">
        <v>0</v>
      </c>
      <c r="C4873" t="n">
        <v>4</v>
      </c>
      <c r="D4873" s="218" t="n">
        <v>25.09</v>
      </c>
      <c r="E4873" s="218" t="n">
        <v>0.84</v>
      </c>
      <c r="F4873" t="str">
        <v>https://re.jrc.ec.europa.eu/api/v5_3/PVcalc?lat=30.0444&amp;lon=31.2357&amp;peakpower=1&amp;loss=14&amp;angle=80&amp;aspect=-180&amp;outputformat=json&amp;raddatabase=PVGIS-SARAH3&amp;pvtechchoice=crystSi&amp;mountingplace=free&amp;usehorizon=1</v>
      </c>
    </row>
    <row r="4874">
      <c r="A4874" t="n">
        <v>80</v>
      </c>
      <c r="B4874" t="n">
        <v>0</v>
      </c>
      <c r="C4874" t="n">
        <v>5</v>
      </c>
      <c r="D4874" s="218" t="n">
        <v>44.05</v>
      </c>
      <c r="E4874" s="218" t="n">
        <v>1.42</v>
      </c>
      <c r="F4874" t="str">
        <v>https://re.jrc.ec.europa.eu/api/v5_3/PVcalc?lat=30.0444&amp;lon=31.2357&amp;peakpower=1&amp;loss=14&amp;angle=80&amp;aspect=-180&amp;outputformat=json&amp;raddatabase=PVGIS-SARAH3&amp;pvtechchoice=crystSi&amp;mountingplace=free&amp;usehorizon=1</v>
      </c>
    </row>
    <row r="4875">
      <c r="A4875" t="n">
        <v>80</v>
      </c>
      <c r="B4875" t="n">
        <v>0</v>
      </c>
      <c r="C4875" t="n">
        <v>6</v>
      </c>
      <c r="D4875" s="218" t="n">
        <v>56.74</v>
      </c>
      <c r="E4875" s="218" t="n">
        <v>1.89</v>
      </c>
      <c r="F4875" t="str">
        <v>https://re.jrc.ec.europa.eu/api/v5_3/PVcalc?lat=30.0444&amp;lon=31.2357&amp;peakpower=1&amp;loss=14&amp;angle=80&amp;aspect=-180&amp;outputformat=json&amp;raddatabase=PVGIS-SARAH3&amp;pvtechchoice=crystSi&amp;mountingplace=free&amp;usehorizon=1</v>
      </c>
    </row>
    <row r="4876">
      <c r="A4876" t="n">
        <v>80</v>
      </c>
      <c r="B4876" t="n">
        <v>0</v>
      </c>
      <c r="C4876" t="n">
        <v>7</v>
      </c>
      <c r="D4876" s="218" t="n">
        <v>49.55</v>
      </c>
      <c r="E4876" s="218" t="n">
        <v>1.6</v>
      </c>
      <c r="F4876" t="str">
        <v>https://re.jrc.ec.europa.eu/api/v5_3/PVcalc?lat=30.0444&amp;lon=31.2357&amp;peakpower=1&amp;loss=14&amp;angle=80&amp;aspect=-180&amp;outputformat=json&amp;raddatabase=PVGIS-SARAH3&amp;pvtechchoice=crystSi&amp;mountingplace=free&amp;usehorizon=1</v>
      </c>
    </row>
    <row r="4877">
      <c r="A4877" t="n">
        <v>80</v>
      </c>
      <c r="B4877" t="n">
        <v>0</v>
      </c>
      <c r="C4877" t="n">
        <v>8</v>
      </c>
      <c r="D4877" s="218" t="n">
        <v>26.5</v>
      </c>
      <c r="E4877" s="218" t="n">
        <v>0.85</v>
      </c>
      <c r="F4877" t="str">
        <v>https://re.jrc.ec.europa.eu/api/v5_3/PVcalc?lat=30.0444&amp;lon=31.2357&amp;peakpower=1&amp;loss=14&amp;angle=80&amp;aspect=-180&amp;outputformat=json&amp;raddatabase=PVGIS-SARAH3&amp;pvtechchoice=crystSi&amp;mountingplace=free&amp;usehorizon=1</v>
      </c>
    </row>
    <row r="4878">
      <c r="A4878" t="n">
        <v>80</v>
      </c>
      <c r="B4878" t="n">
        <v>0</v>
      </c>
      <c r="C4878" t="n">
        <v>9</v>
      </c>
      <c r="D4878" s="218" t="n">
        <v>17.12</v>
      </c>
      <c r="E4878" s="218" t="n">
        <v>0.57</v>
      </c>
      <c r="F4878" t="str">
        <v>https://re.jrc.ec.europa.eu/api/v5_3/PVcalc?lat=30.0444&amp;lon=31.2357&amp;peakpower=1&amp;loss=14&amp;angle=80&amp;aspect=-180&amp;outputformat=json&amp;raddatabase=PVGIS-SARAH3&amp;pvtechchoice=crystSi&amp;mountingplace=free&amp;usehorizon=1</v>
      </c>
    </row>
    <row r="4879">
      <c r="A4879" t="n">
        <v>80</v>
      </c>
      <c r="B4879" t="n">
        <v>0</v>
      </c>
      <c r="C4879" t="n">
        <v>10</v>
      </c>
      <c r="D4879" s="218" t="n">
        <v>15.8</v>
      </c>
      <c r="E4879" s="218" t="n">
        <v>0.51</v>
      </c>
      <c r="F4879" t="str">
        <v>https://re.jrc.ec.europa.eu/api/v5_3/PVcalc?lat=30.0444&amp;lon=31.2357&amp;peakpower=1&amp;loss=14&amp;angle=80&amp;aspect=-180&amp;outputformat=json&amp;raddatabase=PVGIS-SARAH3&amp;pvtechchoice=crystSi&amp;mountingplace=free&amp;usehorizon=1</v>
      </c>
    </row>
    <row r="4880">
      <c r="A4880" t="n">
        <v>80</v>
      </c>
      <c r="B4880" t="n">
        <v>0</v>
      </c>
      <c r="C4880" t="n">
        <v>11</v>
      </c>
      <c r="D4880" s="218" t="n">
        <v>13.02</v>
      </c>
      <c r="E4880" s="218" t="n">
        <v>0.43</v>
      </c>
      <c r="F4880" t="str">
        <v>https://re.jrc.ec.europa.eu/api/v5_3/PVcalc?lat=30.0444&amp;lon=31.2357&amp;peakpower=1&amp;loss=14&amp;angle=80&amp;aspect=-180&amp;outputformat=json&amp;raddatabase=PVGIS-SARAH3&amp;pvtechchoice=crystSi&amp;mountingplace=free&amp;usehorizon=1</v>
      </c>
    </row>
    <row r="4881">
      <c r="A4881" t="n">
        <v>80</v>
      </c>
      <c r="B4881" t="n">
        <v>0</v>
      </c>
      <c r="C4881" t="n">
        <v>12</v>
      </c>
      <c r="D4881" s="218" t="n">
        <v>12.54</v>
      </c>
      <c r="E4881" s="218" t="n">
        <v>0.4</v>
      </c>
      <c r="F4881" t="str">
        <v>https://re.jrc.ec.europa.eu/api/v5_3/PVcalc?lat=30.0444&amp;lon=31.2357&amp;peakpower=1&amp;loss=14&amp;angle=80&amp;aspect=-180&amp;outputformat=json&amp;raddatabase=PVGIS-SARAH3&amp;pvtechchoice=crystSi&amp;mountingplace=free&amp;usehorizon=1</v>
      </c>
    </row>
    <row r="4882">
      <c r="A4882" t="n">
        <v>80</v>
      </c>
      <c r="B4882" t="n">
        <v>15</v>
      </c>
      <c r="C4882" t="n">
        <v>1</v>
      </c>
      <c r="D4882" s="218" t="n">
        <v>13.58</v>
      </c>
      <c r="E4882" s="218" t="n">
        <v>0.44</v>
      </c>
      <c r="F4882" t="str">
        <v>https://re.jrc.ec.europa.eu/api/v5_3/PVcalc?lat=30.0444&amp;lon=31.2357&amp;peakpower=1&amp;loss=14&amp;angle=80&amp;aspect=-165&amp;outputformat=json&amp;raddatabase=PVGIS-SARAH3&amp;pvtechchoice=crystSi&amp;mountingplace=free&amp;usehorizon=1</v>
      </c>
    </row>
    <row r="4883">
      <c r="A4883" t="n">
        <v>80</v>
      </c>
      <c r="B4883" t="n">
        <v>15</v>
      </c>
      <c r="C4883" t="n">
        <v>2</v>
      </c>
      <c r="D4883" s="218" t="n">
        <v>15.91</v>
      </c>
      <c r="E4883" s="218" t="n">
        <v>0.57</v>
      </c>
      <c r="F4883" t="str">
        <v>https://re.jrc.ec.europa.eu/api/v5_3/PVcalc?lat=30.0444&amp;lon=31.2357&amp;peakpower=1&amp;loss=14&amp;angle=80&amp;aspect=-165&amp;outputformat=json&amp;raddatabase=PVGIS-SARAH3&amp;pvtechchoice=crystSi&amp;mountingplace=free&amp;usehorizon=1</v>
      </c>
    </row>
    <row r="4884">
      <c r="A4884" t="n">
        <v>80</v>
      </c>
      <c r="B4884" t="n">
        <v>15</v>
      </c>
      <c r="C4884" t="n">
        <v>3</v>
      </c>
      <c r="D4884" s="218" t="n">
        <v>22.14</v>
      </c>
      <c r="E4884" s="218" t="n">
        <v>0.71</v>
      </c>
      <c r="F4884" t="str">
        <v>https://re.jrc.ec.europa.eu/api/v5_3/PVcalc?lat=30.0444&amp;lon=31.2357&amp;peakpower=1&amp;loss=14&amp;angle=80&amp;aspect=-165&amp;outputformat=json&amp;raddatabase=PVGIS-SARAH3&amp;pvtechchoice=crystSi&amp;mountingplace=free&amp;usehorizon=1</v>
      </c>
    </row>
    <row r="4885">
      <c r="A4885" t="n">
        <v>80</v>
      </c>
      <c r="B4885" t="n">
        <v>15</v>
      </c>
      <c r="C4885" t="n">
        <v>4</v>
      </c>
      <c r="D4885" s="218" t="n">
        <v>31.99</v>
      </c>
      <c r="E4885" s="218" t="n">
        <v>1.07</v>
      </c>
      <c r="F4885" t="str">
        <v>https://re.jrc.ec.europa.eu/api/v5_3/PVcalc?lat=30.0444&amp;lon=31.2357&amp;peakpower=1&amp;loss=14&amp;angle=80&amp;aspect=-165&amp;outputformat=json&amp;raddatabase=PVGIS-SARAH3&amp;pvtechchoice=crystSi&amp;mountingplace=free&amp;usehorizon=1</v>
      </c>
    </row>
    <row r="4886">
      <c r="A4886" t="n">
        <v>80</v>
      </c>
      <c r="B4886" t="n">
        <v>15</v>
      </c>
      <c r="C4886" t="n">
        <v>5</v>
      </c>
      <c r="D4886" s="218" t="n">
        <v>48.35</v>
      </c>
      <c r="E4886" s="218" t="n">
        <v>1.56</v>
      </c>
      <c r="F4886" t="str">
        <v>https://re.jrc.ec.europa.eu/api/v5_3/PVcalc?lat=30.0444&amp;lon=31.2357&amp;peakpower=1&amp;loss=14&amp;angle=80&amp;aspect=-165&amp;outputformat=json&amp;raddatabase=PVGIS-SARAH3&amp;pvtechchoice=crystSi&amp;mountingplace=free&amp;usehorizon=1</v>
      </c>
    </row>
    <row r="4887">
      <c r="A4887" t="n">
        <v>80</v>
      </c>
      <c r="B4887" t="n">
        <v>15</v>
      </c>
      <c r="C4887" t="n">
        <v>6</v>
      </c>
      <c r="D4887" s="218" t="n">
        <v>56.34</v>
      </c>
      <c r="E4887" s="218" t="n">
        <v>1.88</v>
      </c>
      <c r="F4887" t="str">
        <v>https://re.jrc.ec.europa.eu/api/v5_3/PVcalc?lat=30.0444&amp;lon=31.2357&amp;peakpower=1&amp;loss=14&amp;angle=80&amp;aspect=-165&amp;outputformat=json&amp;raddatabase=PVGIS-SARAH3&amp;pvtechchoice=crystSi&amp;mountingplace=free&amp;usehorizon=1</v>
      </c>
    </row>
    <row r="4888">
      <c r="A4888" t="n">
        <v>80</v>
      </c>
      <c r="B4888" t="n">
        <v>15</v>
      </c>
      <c r="C4888" t="n">
        <v>7</v>
      </c>
      <c r="D4888" s="218" t="n">
        <v>49.68</v>
      </c>
      <c r="E4888" s="218" t="n">
        <v>1.6</v>
      </c>
      <c r="F4888" t="str">
        <v>https://re.jrc.ec.europa.eu/api/v5_3/PVcalc?lat=30.0444&amp;lon=31.2357&amp;peakpower=1&amp;loss=14&amp;angle=80&amp;aspect=-165&amp;outputformat=json&amp;raddatabase=PVGIS-SARAH3&amp;pvtechchoice=crystSi&amp;mountingplace=free&amp;usehorizon=1</v>
      </c>
    </row>
    <row r="4889">
      <c r="A4889" t="n">
        <v>80</v>
      </c>
      <c r="B4889" t="n">
        <v>15</v>
      </c>
      <c r="C4889" t="n">
        <v>8</v>
      </c>
      <c r="D4889" s="218" t="n">
        <v>33.7</v>
      </c>
      <c r="E4889" s="218" t="n">
        <v>1.09</v>
      </c>
      <c r="F4889" t="str">
        <v>https://re.jrc.ec.europa.eu/api/v5_3/PVcalc?lat=30.0444&amp;lon=31.2357&amp;peakpower=1&amp;loss=14&amp;angle=80&amp;aspect=-165&amp;outputformat=json&amp;raddatabase=PVGIS-SARAH3&amp;pvtechchoice=crystSi&amp;mountingplace=free&amp;usehorizon=1</v>
      </c>
    </row>
    <row r="4890">
      <c r="A4890" t="n">
        <v>80</v>
      </c>
      <c r="B4890" t="n">
        <v>15</v>
      </c>
      <c r="C4890" t="n">
        <v>9</v>
      </c>
      <c r="D4890" s="218" t="n">
        <v>20.39</v>
      </c>
      <c r="E4890" s="218" t="n">
        <v>0.68</v>
      </c>
      <c r="F4890" t="str">
        <v>https://re.jrc.ec.europa.eu/api/v5_3/PVcalc?lat=30.0444&amp;lon=31.2357&amp;peakpower=1&amp;loss=14&amp;angle=80&amp;aspect=-165&amp;outputformat=json&amp;raddatabase=PVGIS-SARAH3&amp;pvtechchoice=crystSi&amp;mountingplace=free&amp;usehorizon=1</v>
      </c>
    </row>
    <row r="4891">
      <c r="A4891" t="n">
        <v>80</v>
      </c>
      <c r="B4891" t="n">
        <v>15</v>
      </c>
      <c r="C4891" t="n">
        <v>10</v>
      </c>
      <c r="D4891" s="218" t="n">
        <v>16</v>
      </c>
      <c r="E4891" s="218" t="n">
        <v>0.52</v>
      </c>
      <c r="F4891" t="str">
        <v>https://re.jrc.ec.europa.eu/api/v5_3/PVcalc?lat=30.0444&amp;lon=31.2357&amp;peakpower=1&amp;loss=14&amp;angle=80&amp;aspect=-165&amp;outputformat=json&amp;raddatabase=PVGIS-SARAH3&amp;pvtechchoice=crystSi&amp;mountingplace=free&amp;usehorizon=1</v>
      </c>
    </row>
    <row r="4892">
      <c r="A4892" t="n">
        <v>80</v>
      </c>
      <c r="B4892" t="n">
        <v>15</v>
      </c>
      <c r="C4892" t="n">
        <v>11</v>
      </c>
      <c r="D4892" s="218" t="n">
        <v>13.02</v>
      </c>
      <c r="E4892" s="218" t="n">
        <v>0.43</v>
      </c>
      <c r="F4892" t="str">
        <v>https://re.jrc.ec.europa.eu/api/v5_3/PVcalc?lat=30.0444&amp;lon=31.2357&amp;peakpower=1&amp;loss=14&amp;angle=80&amp;aspect=-165&amp;outputformat=json&amp;raddatabase=PVGIS-SARAH3&amp;pvtechchoice=crystSi&amp;mountingplace=free&amp;usehorizon=1</v>
      </c>
    </row>
    <row r="4893">
      <c r="A4893" t="n">
        <v>80</v>
      </c>
      <c r="B4893" t="n">
        <v>15</v>
      </c>
      <c r="C4893" t="n">
        <v>12</v>
      </c>
      <c r="D4893" s="218" t="n">
        <v>12.54</v>
      </c>
      <c r="E4893" s="218" t="n">
        <v>0.4</v>
      </c>
      <c r="F4893" t="str">
        <v>https://re.jrc.ec.europa.eu/api/v5_3/PVcalc?lat=30.0444&amp;lon=31.2357&amp;peakpower=1&amp;loss=14&amp;angle=80&amp;aspect=-165&amp;outputformat=json&amp;raddatabase=PVGIS-SARAH3&amp;pvtechchoice=crystSi&amp;mountingplace=free&amp;usehorizon=1</v>
      </c>
    </row>
    <row r="4894">
      <c r="A4894" t="n">
        <v>80</v>
      </c>
      <c r="B4894" t="n">
        <v>30</v>
      </c>
      <c r="C4894" t="n">
        <v>1</v>
      </c>
      <c r="D4894" s="218" t="n">
        <v>13.74</v>
      </c>
      <c r="E4894" s="218" t="n">
        <v>0.44</v>
      </c>
      <c r="F4894" t="str">
        <v>https://re.jrc.ec.europa.eu/api/v5_3/PVcalc?lat=30.0444&amp;lon=31.2357&amp;peakpower=1&amp;loss=14&amp;angle=80&amp;aspect=-150&amp;outputformat=json&amp;raddatabase=PVGIS-SARAH3&amp;pvtechchoice=crystSi&amp;mountingplace=free&amp;usehorizon=1</v>
      </c>
    </row>
    <row r="4895">
      <c r="A4895" t="n">
        <v>80</v>
      </c>
      <c r="B4895" t="n">
        <v>30</v>
      </c>
      <c r="C4895" t="n">
        <v>2</v>
      </c>
      <c r="D4895" s="218" t="n">
        <v>18.18</v>
      </c>
      <c r="E4895" s="218" t="n">
        <v>0.65</v>
      </c>
      <c r="F4895" t="str">
        <v>https://re.jrc.ec.europa.eu/api/v5_3/PVcalc?lat=30.0444&amp;lon=31.2357&amp;peakpower=1&amp;loss=14&amp;angle=80&amp;aspect=-150&amp;outputformat=json&amp;raddatabase=PVGIS-SARAH3&amp;pvtechchoice=crystSi&amp;mountingplace=free&amp;usehorizon=1</v>
      </c>
    </row>
    <row r="4896">
      <c r="A4896" t="n">
        <v>80</v>
      </c>
      <c r="B4896" t="n">
        <v>30</v>
      </c>
      <c r="C4896" t="n">
        <v>3</v>
      </c>
      <c r="D4896" s="218" t="n">
        <v>30.53</v>
      </c>
      <c r="E4896" s="218" t="n">
        <v>0.98</v>
      </c>
      <c r="F4896" t="str">
        <v>https://re.jrc.ec.europa.eu/api/v5_3/PVcalc?lat=30.0444&amp;lon=31.2357&amp;peakpower=1&amp;loss=14&amp;angle=80&amp;aspect=-150&amp;outputformat=json&amp;raddatabase=PVGIS-SARAH3&amp;pvtechchoice=crystSi&amp;mountingplace=free&amp;usehorizon=1</v>
      </c>
    </row>
    <row r="4897">
      <c r="A4897" t="n">
        <v>80</v>
      </c>
      <c r="B4897" t="n">
        <v>30</v>
      </c>
      <c r="C4897" t="n">
        <v>4</v>
      </c>
      <c r="D4897" s="218" t="n">
        <v>44.83</v>
      </c>
      <c r="E4897" s="218" t="n">
        <v>1.49</v>
      </c>
      <c r="F4897" t="str">
        <v>https://re.jrc.ec.europa.eu/api/v5_3/PVcalc?lat=30.0444&amp;lon=31.2357&amp;peakpower=1&amp;loss=14&amp;angle=80&amp;aspect=-150&amp;outputformat=json&amp;raddatabase=PVGIS-SARAH3&amp;pvtechchoice=crystSi&amp;mountingplace=free&amp;usehorizon=1</v>
      </c>
    </row>
    <row r="4898">
      <c r="A4898" t="n">
        <v>80</v>
      </c>
      <c r="B4898" t="n">
        <v>30</v>
      </c>
      <c r="C4898" t="n">
        <v>5</v>
      </c>
      <c r="D4898" s="218" t="n">
        <v>62.56</v>
      </c>
      <c r="E4898" s="218" t="n">
        <v>2.02</v>
      </c>
      <c r="F4898" t="str">
        <v>https://re.jrc.ec.europa.eu/api/v5_3/PVcalc?lat=30.0444&amp;lon=31.2357&amp;peakpower=1&amp;loss=14&amp;angle=80&amp;aspect=-150&amp;outputformat=json&amp;raddatabase=PVGIS-SARAH3&amp;pvtechchoice=crystSi&amp;mountingplace=free&amp;usehorizon=1</v>
      </c>
    </row>
    <row r="4899">
      <c r="A4899" t="n">
        <v>80</v>
      </c>
      <c r="B4899" t="n">
        <v>30</v>
      </c>
      <c r="C4899" t="n">
        <v>6</v>
      </c>
      <c r="D4899" s="218" t="n">
        <v>67.79</v>
      </c>
      <c r="E4899" s="218" t="n">
        <v>2.26</v>
      </c>
      <c r="F4899" t="str">
        <v>https://re.jrc.ec.europa.eu/api/v5_3/PVcalc?lat=30.0444&amp;lon=31.2357&amp;peakpower=1&amp;loss=14&amp;angle=80&amp;aspect=-150&amp;outputformat=json&amp;raddatabase=PVGIS-SARAH3&amp;pvtechchoice=crystSi&amp;mountingplace=free&amp;usehorizon=1</v>
      </c>
    </row>
    <row r="4900">
      <c r="A4900" t="n">
        <v>80</v>
      </c>
      <c r="B4900" t="n">
        <v>30</v>
      </c>
      <c r="C4900" t="n">
        <v>7</v>
      </c>
      <c r="D4900" s="218" t="n">
        <v>63.32</v>
      </c>
      <c r="E4900" s="218" t="n">
        <v>2.04</v>
      </c>
      <c r="F4900" t="str">
        <v>https://re.jrc.ec.europa.eu/api/v5_3/PVcalc?lat=30.0444&amp;lon=31.2357&amp;peakpower=1&amp;loss=14&amp;angle=80&amp;aspect=-150&amp;outputformat=json&amp;raddatabase=PVGIS-SARAH3&amp;pvtechchoice=crystSi&amp;mountingplace=free&amp;usehorizon=1</v>
      </c>
    </row>
    <row r="4901">
      <c r="A4901" t="n">
        <v>80</v>
      </c>
      <c r="B4901" t="n">
        <v>30</v>
      </c>
      <c r="C4901" t="n">
        <v>8</v>
      </c>
      <c r="D4901" s="218" t="n">
        <v>48.82</v>
      </c>
      <c r="E4901" s="218" t="n">
        <v>1.57</v>
      </c>
      <c r="F4901" t="str">
        <v>https://re.jrc.ec.europa.eu/api/v5_3/PVcalc?lat=30.0444&amp;lon=31.2357&amp;peakpower=1&amp;loss=14&amp;angle=80&amp;aspect=-150&amp;outputformat=json&amp;raddatabase=PVGIS-SARAH3&amp;pvtechchoice=crystSi&amp;mountingplace=free&amp;usehorizon=1</v>
      </c>
    </row>
    <row r="4902">
      <c r="A4902" t="n">
        <v>80</v>
      </c>
      <c r="B4902" t="n">
        <v>30</v>
      </c>
      <c r="C4902" t="n">
        <v>9</v>
      </c>
      <c r="D4902" s="218" t="n">
        <v>30.41</v>
      </c>
      <c r="E4902" s="218" t="n">
        <v>1.01</v>
      </c>
      <c r="F4902" t="str">
        <v>https://re.jrc.ec.europa.eu/api/v5_3/PVcalc?lat=30.0444&amp;lon=31.2357&amp;peakpower=1&amp;loss=14&amp;angle=80&amp;aspect=-150&amp;outputformat=json&amp;raddatabase=PVGIS-SARAH3&amp;pvtechchoice=crystSi&amp;mountingplace=free&amp;usehorizon=1</v>
      </c>
    </row>
    <row r="4903">
      <c r="A4903" t="n">
        <v>80</v>
      </c>
      <c r="B4903" t="n">
        <v>30</v>
      </c>
      <c r="C4903" t="n">
        <v>10</v>
      </c>
      <c r="D4903" s="218" t="n">
        <v>20.22</v>
      </c>
      <c r="E4903" s="218" t="n">
        <v>0.65</v>
      </c>
      <c r="F4903" t="str">
        <v>https://re.jrc.ec.europa.eu/api/v5_3/PVcalc?lat=30.0444&amp;lon=31.2357&amp;peakpower=1&amp;loss=14&amp;angle=80&amp;aspect=-150&amp;outputformat=json&amp;raddatabase=PVGIS-SARAH3&amp;pvtechchoice=crystSi&amp;mountingplace=free&amp;usehorizon=1</v>
      </c>
    </row>
    <row r="4904">
      <c r="A4904" t="n">
        <v>80</v>
      </c>
      <c r="B4904" t="n">
        <v>30</v>
      </c>
      <c r="C4904" t="n">
        <v>11</v>
      </c>
      <c r="D4904" s="218" t="n">
        <v>13.58</v>
      </c>
      <c r="E4904" s="218" t="n">
        <v>0.45</v>
      </c>
      <c r="F4904" t="str">
        <v>https://re.jrc.ec.europa.eu/api/v5_3/PVcalc?lat=30.0444&amp;lon=31.2357&amp;peakpower=1&amp;loss=14&amp;angle=80&amp;aspect=-150&amp;outputformat=json&amp;raddatabase=PVGIS-SARAH3&amp;pvtechchoice=crystSi&amp;mountingplace=free&amp;usehorizon=1</v>
      </c>
    </row>
    <row r="4905">
      <c r="A4905" t="n">
        <v>80</v>
      </c>
      <c r="B4905" t="n">
        <v>30</v>
      </c>
      <c r="C4905" t="n">
        <v>12</v>
      </c>
      <c r="D4905" s="218" t="n">
        <v>12.61</v>
      </c>
      <c r="E4905" s="218" t="n">
        <v>0.41</v>
      </c>
      <c r="F4905" t="str">
        <v>https://re.jrc.ec.europa.eu/api/v5_3/PVcalc?lat=30.0444&amp;lon=31.2357&amp;peakpower=1&amp;loss=14&amp;angle=80&amp;aspect=-150&amp;outputformat=json&amp;raddatabase=PVGIS-SARAH3&amp;pvtechchoice=crystSi&amp;mountingplace=free&amp;usehorizon=1</v>
      </c>
    </row>
    <row r="4906">
      <c r="A4906" t="n">
        <v>80</v>
      </c>
      <c r="B4906" t="n">
        <v>45</v>
      </c>
      <c r="C4906" t="n">
        <v>1</v>
      </c>
      <c r="D4906" s="218" t="n">
        <v>17.81</v>
      </c>
      <c r="E4906" s="218" t="n">
        <v>0.57</v>
      </c>
      <c r="F4906" t="str">
        <v>https://re.jrc.ec.europa.eu/api/v5_3/PVcalc?lat=30.0444&amp;lon=31.2357&amp;peakpower=1&amp;loss=14&amp;angle=80&amp;aspect=-135&amp;outputformat=json&amp;raddatabase=PVGIS-SARAH3&amp;pvtechchoice=crystSi&amp;mountingplace=free&amp;usehorizon=1</v>
      </c>
    </row>
    <row r="4907">
      <c r="A4907" t="n">
        <v>80</v>
      </c>
      <c r="B4907" t="n">
        <v>45</v>
      </c>
      <c r="C4907" t="n">
        <v>2</v>
      </c>
      <c r="D4907" s="218" t="n">
        <v>26.31</v>
      </c>
      <c r="E4907" s="218" t="n">
        <v>0.94</v>
      </c>
      <c r="F4907" t="str">
        <v>https://re.jrc.ec.europa.eu/api/v5_3/PVcalc?lat=30.0444&amp;lon=31.2357&amp;peakpower=1&amp;loss=14&amp;angle=80&amp;aspect=-135&amp;outputformat=json&amp;raddatabase=PVGIS-SARAH3&amp;pvtechchoice=crystSi&amp;mountingplace=free&amp;usehorizon=1</v>
      </c>
    </row>
    <row r="4908">
      <c r="A4908" t="n">
        <v>80</v>
      </c>
      <c r="B4908" t="n">
        <v>45</v>
      </c>
      <c r="C4908" t="n">
        <v>3</v>
      </c>
      <c r="D4908" s="218" t="n">
        <v>43.23</v>
      </c>
      <c r="E4908" s="218" t="n">
        <v>1.39</v>
      </c>
      <c r="F4908" t="str">
        <v>https://re.jrc.ec.europa.eu/api/v5_3/PVcalc?lat=30.0444&amp;lon=31.2357&amp;peakpower=1&amp;loss=14&amp;angle=80&amp;aspect=-135&amp;outputformat=json&amp;raddatabase=PVGIS-SARAH3&amp;pvtechchoice=crystSi&amp;mountingplace=free&amp;usehorizon=1</v>
      </c>
    </row>
    <row r="4909">
      <c r="A4909" t="n">
        <v>80</v>
      </c>
      <c r="B4909" t="n">
        <v>45</v>
      </c>
      <c r="C4909" t="n">
        <v>4</v>
      </c>
      <c r="D4909" s="218" t="n">
        <v>58.43</v>
      </c>
      <c r="E4909" s="218" t="n">
        <v>1.95</v>
      </c>
      <c r="F4909" t="str">
        <v>https://re.jrc.ec.europa.eu/api/v5_3/PVcalc?lat=30.0444&amp;lon=31.2357&amp;peakpower=1&amp;loss=14&amp;angle=80&amp;aspect=-135&amp;outputformat=json&amp;raddatabase=PVGIS-SARAH3&amp;pvtechchoice=crystSi&amp;mountingplace=free&amp;usehorizon=1</v>
      </c>
    </row>
    <row r="4910">
      <c r="A4910" t="n">
        <v>80</v>
      </c>
      <c r="B4910" t="n">
        <v>45</v>
      </c>
      <c r="C4910" t="n">
        <v>5</v>
      </c>
      <c r="D4910" s="218" t="n">
        <v>75.46</v>
      </c>
      <c r="E4910" s="218" t="n">
        <v>2.43</v>
      </c>
      <c r="F4910" t="str">
        <v>https://re.jrc.ec.europa.eu/api/v5_3/PVcalc?lat=30.0444&amp;lon=31.2357&amp;peakpower=1&amp;loss=14&amp;angle=80&amp;aspect=-135&amp;outputformat=json&amp;raddatabase=PVGIS-SARAH3&amp;pvtechchoice=crystSi&amp;mountingplace=free&amp;usehorizon=1</v>
      </c>
    </row>
    <row r="4911">
      <c r="A4911" t="n">
        <v>80</v>
      </c>
      <c r="B4911" t="n">
        <v>45</v>
      </c>
      <c r="C4911" t="n">
        <v>6</v>
      </c>
      <c r="D4911" s="218" t="n">
        <v>79.83</v>
      </c>
      <c r="E4911" s="218" t="n">
        <v>2.66</v>
      </c>
      <c r="F4911" t="str">
        <v>https://re.jrc.ec.europa.eu/api/v5_3/PVcalc?lat=30.0444&amp;lon=31.2357&amp;peakpower=1&amp;loss=14&amp;angle=80&amp;aspect=-135&amp;outputformat=json&amp;raddatabase=PVGIS-SARAH3&amp;pvtechchoice=crystSi&amp;mountingplace=free&amp;usehorizon=1</v>
      </c>
    </row>
    <row r="4912">
      <c r="A4912" t="n">
        <v>80</v>
      </c>
      <c r="B4912" t="n">
        <v>45</v>
      </c>
      <c r="C4912" t="n">
        <v>7</v>
      </c>
      <c r="D4912" s="218" t="n">
        <v>76.26</v>
      </c>
      <c r="E4912" s="218" t="n">
        <v>2.46</v>
      </c>
      <c r="F4912" t="str">
        <v>https://re.jrc.ec.europa.eu/api/v5_3/PVcalc?lat=30.0444&amp;lon=31.2357&amp;peakpower=1&amp;loss=14&amp;angle=80&amp;aspect=-135&amp;outputformat=json&amp;raddatabase=PVGIS-SARAH3&amp;pvtechchoice=crystSi&amp;mountingplace=free&amp;usehorizon=1</v>
      </c>
    </row>
    <row r="4913">
      <c r="A4913" t="n">
        <v>80</v>
      </c>
      <c r="B4913" t="n">
        <v>45</v>
      </c>
      <c r="C4913" t="n">
        <v>8</v>
      </c>
      <c r="D4913" s="218" t="n">
        <v>63.21</v>
      </c>
      <c r="E4913" s="218" t="n">
        <v>2.04</v>
      </c>
      <c r="F4913" t="str">
        <v>https://re.jrc.ec.europa.eu/api/v5_3/PVcalc?lat=30.0444&amp;lon=31.2357&amp;peakpower=1&amp;loss=14&amp;angle=80&amp;aspect=-135&amp;outputformat=json&amp;raddatabase=PVGIS-SARAH3&amp;pvtechchoice=crystSi&amp;mountingplace=free&amp;usehorizon=1</v>
      </c>
    </row>
    <row r="4914">
      <c r="A4914" t="n">
        <v>80</v>
      </c>
      <c r="B4914" t="n">
        <v>45</v>
      </c>
      <c r="C4914" t="n">
        <v>9</v>
      </c>
      <c r="D4914" s="218" t="n">
        <v>43.64</v>
      </c>
      <c r="E4914" s="218" t="n">
        <v>1.45</v>
      </c>
      <c r="F4914" t="str">
        <v>https://re.jrc.ec.europa.eu/api/v5_3/PVcalc?lat=30.0444&amp;lon=31.2357&amp;peakpower=1&amp;loss=14&amp;angle=80&amp;aspect=-135&amp;outputformat=json&amp;raddatabase=PVGIS-SARAH3&amp;pvtechchoice=crystSi&amp;mountingplace=free&amp;usehorizon=1</v>
      </c>
    </row>
    <row r="4915">
      <c r="A4915" t="n">
        <v>80</v>
      </c>
      <c r="B4915" t="n">
        <v>45</v>
      </c>
      <c r="C4915" t="n">
        <v>10</v>
      </c>
      <c r="D4915" s="218" t="n">
        <v>30.75</v>
      </c>
      <c r="E4915" s="218" t="n">
        <v>0.99</v>
      </c>
      <c r="F4915" t="str">
        <v>https://re.jrc.ec.europa.eu/api/v5_3/PVcalc?lat=30.0444&amp;lon=31.2357&amp;peakpower=1&amp;loss=14&amp;angle=80&amp;aspect=-135&amp;outputformat=json&amp;raddatabase=PVGIS-SARAH3&amp;pvtechchoice=crystSi&amp;mountingplace=free&amp;usehorizon=1</v>
      </c>
    </row>
    <row r="4916">
      <c r="A4916" t="n">
        <v>80</v>
      </c>
      <c r="B4916" t="n">
        <v>45</v>
      </c>
      <c r="C4916" t="n">
        <v>11</v>
      </c>
      <c r="D4916" s="218" t="n">
        <v>19.56</v>
      </c>
      <c r="E4916" s="218" t="n">
        <v>0.65</v>
      </c>
      <c r="F4916" t="str">
        <v>https://re.jrc.ec.europa.eu/api/v5_3/PVcalc?lat=30.0444&amp;lon=31.2357&amp;peakpower=1&amp;loss=14&amp;angle=80&amp;aspect=-135&amp;outputformat=json&amp;raddatabase=PVGIS-SARAH3&amp;pvtechchoice=crystSi&amp;mountingplace=free&amp;usehorizon=1</v>
      </c>
    </row>
    <row r="4917">
      <c r="A4917" t="n">
        <v>80</v>
      </c>
      <c r="B4917" t="n">
        <v>45</v>
      </c>
      <c r="C4917" t="n">
        <v>12</v>
      </c>
      <c r="D4917" s="218" t="n">
        <v>15.95</v>
      </c>
      <c r="E4917" s="218" t="n">
        <v>0.51</v>
      </c>
      <c r="F4917" t="str">
        <v>https://re.jrc.ec.europa.eu/api/v5_3/PVcalc?lat=30.0444&amp;lon=31.2357&amp;peakpower=1&amp;loss=14&amp;angle=80&amp;aspect=-135&amp;outputformat=json&amp;raddatabase=PVGIS-SARAH3&amp;pvtechchoice=crystSi&amp;mountingplace=free&amp;usehorizon=1</v>
      </c>
    </row>
    <row r="4918">
      <c r="A4918" t="n">
        <v>80</v>
      </c>
      <c r="B4918" t="n">
        <v>60</v>
      </c>
      <c r="C4918" t="n">
        <v>1</v>
      </c>
      <c r="D4918" s="218" t="n">
        <v>28.08</v>
      </c>
      <c r="E4918" s="218" t="n">
        <v>0.91</v>
      </c>
      <c r="F4918" t="str">
        <v>https://re.jrc.ec.europa.eu/api/v5_3/PVcalc?lat=30.0444&amp;lon=31.2357&amp;peakpower=1&amp;loss=14&amp;angle=80&amp;aspect=-120&amp;outputformat=json&amp;raddatabase=PVGIS-SARAH3&amp;pvtechchoice=crystSi&amp;mountingplace=free&amp;usehorizon=1</v>
      </c>
    </row>
    <row r="4919">
      <c r="A4919" t="n">
        <v>80</v>
      </c>
      <c r="B4919" t="n">
        <v>60</v>
      </c>
      <c r="C4919" t="n">
        <v>2</v>
      </c>
      <c r="D4919" s="218" t="n">
        <v>38.37</v>
      </c>
      <c r="E4919" s="218" t="n">
        <v>1.37</v>
      </c>
      <c r="F4919" t="str">
        <v>https://re.jrc.ec.europa.eu/api/v5_3/PVcalc?lat=30.0444&amp;lon=31.2357&amp;peakpower=1&amp;loss=14&amp;angle=80&amp;aspect=-120&amp;outputformat=json&amp;raddatabase=PVGIS-SARAH3&amp;pvtechchoice=crystSi&amp;mountingplace=free&amp;usehorizon=1</v>
      </c>
    </row>
    <row r="4920">
      <c r="A4920" t="n">
        <v>80</v>
      </c>
      <c r="B4920" t="n">
        <v>60</v>
      </c>
      <c r="C4920" t="n">
        <v>3</v>
      </c>
      <c r="D4920" s="218" t="n">
        <v>57.63</v>
      </c>
      <c r="E4920" s="218" t="n">
        <v>1.86</v>
      </c>
      <c r="F4920" t="str">
        <v>https://re.jrc.ec.europa.eu/api/v5_3/PVcalc?lat=30.0444&amp;lon=31.2357&amp;peakpower=1&amp;loss=14&amp;angle=80&amp;aspect=-120&amp;outputformat=json&amp;raddatabase=PVGIS-SARAH3&amp;pvtechchoice=crystSi&amp;mountingplace=free&amp;usehorizon=1</v>
      </c>
    </row>
    <row r="4921">
      <c r="A4921" t="n">
        <v>80</v>
      </c>
      <c r="B4921" t="n">
        <v>60</v>
      </c>
      <c r="C4921" t="n">
        <v>4</v>
      </c>
      <c r="D4921" s="218" t="n">
        <v>70.27</v>
      </c>
      <c r="E4921" s="218" t="n">
        <v>2.34</v>
      </c>
      <c r="F4921" t="str">
        <v>https://re.jrc.ec.europa.eu/api/v5_3/PVcalc?lat=30.0444&amp;lon=31.2357&amp;peakpower=1&amp;loss=14&amp;angle=80&amp;aspect=-120&amp;outputformat=json&amp;raddatabase=PVGIS-SARAH3&amp;pvtechchoice=crystSi&amp;mountingplace=free&amp;usehorizon=1</v>
      </c>
    </row>
    <row r="4922">
      <c r="A4922" t="n">
        <v>80</v>
      </c>
      <c r="B4922" t="n">
        <v>60</v>
      </c>
      <c r="C4922" t="n">
        <v>5</v>
      </c>
      <c r="D4922" s="218" t="n">
        <v>85.94</v>
      </c>
      <c r="E4922" s="218" t="n">
        <v>2.77</v>
      </c>
      <c r="F4922" t="str">
        <v>https://re.jrc.ec.europa.eu/api/v5_3/PVcalc?lat=30.0444&amp;lon=31.2357&amp;peakpower=1&amp;loss=14&amp;angle=80&amp;aspect=-120&amp;outputformat=json&amp;raddatabase=PVGIS-SARAH3&amp;pvtechchoice=crystSi&amp;mountingplace=free&amp;usehorizon=1</v>
      </c>
    </row>
    <row r="4923">
      <c r="A4923" t="n">
        <v>80</v>
      </c>
      <c r="B4923" t="n">
        <v>60</v>
      </c>
      <c r="C4923" t="n">
        <v>6</v>
      </c>
      <c r="D4923" s="218" t="n">
        <v>88.71</v>
      </c>
      <c r="E4923" s="218" t="n">
        <v>2.96</v>
      </c>
      <c r="F4923" t="str">
        <v>https://re.jrc.ec.europa.eu/api/v5_3/PVcalc?lat=30.0444&amp;lon=31.2357&amp;peakpower=1&amp;loss=14&amp;angle=80&amp;aspect=-120&amp;outputformat=json&amp;raddatabase=PVGIS-SARAH3&amp;pvtechchoice=crystSi&amp;mountingplace=free&amp;usehorizon=1</v>
      </c>
    </row>
    <row r="4924">
      <c r="A4924" t="n">
        <v>80</v>
      </c>
      <c r="B4924" t="n">
        <v>60</v>
      </c>
      <c r="C4924" t="n">
        <v>7</v>
      </c>
      <c r="D4924" s="218" t="n">
        <v>86.02</v>
      </c>
      <c r="E4924" s="218" t="n">
        <v>2.77</v>
      </c>
      <c r="F4924" t="str">
        <v>https://re.jrc.ec.europa.eu/api/v5_3/PVcalc?lat=30.0444&amp;lon=31.2357&amp;peakpower=1&amp;loss=14&amp;angle=80&amp;aspect=-120&amp;outputformat=json&amp;raddatabase=PVGIS-SARAH3&amp;pvtechchoice=crystSi&amp;mountingplace=free&amp;usehorizon=1</v>
      </c>
    </row>
    <row r="4925">
      <c r="A4925" t="n">
        <v>80</v>
      </c>
      <c r="B4925" t="n">
        <v>60</v>
      </c>
      <c r="C4925" t="n">
        <v>8</v>
      </c>
      <c r="D4925" s="218" t="n">
        <v>75.78</v>
      </c>
      <c r="E4925" s="218" t="n">
        <v>2.44</v>
      </c>
      <c r="F4925" t="str">
        <v>https://re.jrc.ec.europa.eu/api/v5_3/PVcalc?lat=30.0444&amp;lon=31.2357&amp;peakpower=1&amp;loss=14&amp;angle=80&amp;aspect=-120&amp;outputformat=json&amp;raddatabase=PVGIS-SARAH3&amp;pvtechchoice=crystSi&amp;mountingplace=free&amp;usehorizon=1</v>
      </c>
    </row>
    <row r="4926">
      <c r="A4926" t="n">
        <v>80</v>
      </c>
      <c r="B4926" t="n">
        <v>60</v>
      </c>
      <c r="C4926" t="n">
        <v>9</v>
      </c>
      <c r="D4926" s="218" t="n">
        <v>57.42</v>
      </c>
      <c r="E4926" s="218" t="n">
        <v>1.91</v>
      </c>
      <c r="F4926" t="str">
        <v>https://re.jrc.ec.europa.eu/api/v5_3/PVcalc?lat=30.0444&amp;lon=31.2357&amp;peakpower=1&amp;loss=14&amp;angle=80&amp;aspect=-120&amp;outputformat=json&amp;raddatabase=PVGIS-SARAH3&amp;pvtechchoice=crystSi&amp;mountingplace=free&amp;usehorizon=1</v>
      </c>
    </row>
    <row r="4927">
      <c r="A4927" t="n">
        <v>80</v>
      </c>
      <c r="B4927" t="n">
        <v>60</v>
      </c>
      <c r="C4927" t="n">
        <v>10</v>
      </c>
      <c r="D4927" s="218" t="n">
        <v>44.71</v>
      </c>
      <c r="E4927" s="218" t="n">
        <v>1.44</v>
      </c>
      <c r="F4927" t="str">
        <v>https://re.jrc.ec.europa.eu/api/v5_3/PVcalc?lat=30.0444&amp;lon=31.2357&amp;peakpower=1&amp;loss=14&amp;angle=80&amp;aspect=-120&amp;outputformat=json&amp;raddatabase=PVGIS-SARAH3&amp;pvtechchoice=crystSi&amp;mountingplace=free&amp;usehorizon=1</v>
      </c>
    </row>
    <row r="4928">
      <c r="A4928" t="n">
        <v>80</v>
      </c>
      <c r="B4928" t="n">
        <v>60</v>
      </c>
      <c r="C4928" t="n">
        <v>11</v>
      </c>
      <c r="D4928" s="218" t="n">
        <v>31.33</v>
      </c>
      <c r="E4928" s="218" t="n">
        <v>1.04</v>
      </c>
      <c r="F4928" t="str">
        <v>https://re.jrc.ec.europa.eu/api/v5_3/PVcalc?lat=30.0444&amp;lon=31.2357&amp;peakpower=1&amp;loss=14&amp;angle=80&amp;aspect=-120&amp;outputformat=json&amp;raddatabase=PVGIS-SARAH3&amp;pvtechchoice=crystSi&amp;mountingplace=free&amp;usehorizon=1</v>
      </c>
    </row>
    <row r="4929">
      <c r="A4929" t="n">
        <v>80</v>
      </c>
      <c r="B4929" t="n">
        <v>60</v>
      </c>
      <c r="C4929" t="n">
        <v>12</v>
      </c>
      <c r="D4929" s="218" t="n">
        <v>25.67</v>
      </c>
      <c r="E4929" s="218" t="n">
        <v>0.83</v>
      </c>
      <c r="F4929" t="str">
        <v>https://re.jrc.ec.europa.eu/api/v5_3/PVcalc?lat=30.0444&amp;lon=31.2357&amp;peakpower=1&amp;loss=14&amp;angle=80&amp;aspect=-120&amp;outputformat=json&amp;raddatabase=PVGIS-SARAH3&amp;pvtechchoice=crystSi&amp;mountingplace=free&amp;usehorizon=1</v>
      </c>
    </row>
    <row r="4930">
      <c r="A4930" t="n">
        <v>80</v>
      </c>
      <c r="B4930" t="n">
        <v>75</v>
      </c>
      <c r="C4930" t="n">
        <v>1</v>
      </c>
      <c r="D4930" s="218" t="n">
        <v>42.44</v>
      </c>
      <c r="E4930" s="218" t="n">
        <v>1.37</v>
      </c>
      <c r="F4930" t="str">
        <v>https://re.jrc.ec.europa.eu/api/v5_3/PVcalc?lat=30.0444&amp;lon=31.2357&amp;peakpower=1&amp;loss=14&amp;angle=80&amp;aspect=-105&amp;outputformat=json&amp;raddatabase=PVGIS-SARAH3&amp;pvtechchoice=crystSi&amp;mountingplace=free&amp;usehorizon=1</v>
      </c>
    </row>
    <row r="4931">
      <c r="A4931" t="n">
        <v>80</v>
      </c>
      <c r="B4931" t="n">
        <v>75</v>
      </c>
      <c r="C4931" t="n">
        <v>2</v>
      </c>
      <c r="D4931" s="218" t="n">
        <v>51.63</v>
      </c>
      <c r="E4931" s="218" t="n">
        <v>1.84</v>
      </c>
      <c r="F4931" t="str">
        <v>https://re.jrc.ec.europa.eu/api/v5_3/PVcalc?lat=30.0444&amp;lon=31.2357&amp;peakpower=1&amp;loss=14&amp;angle=80&amp;aspect=-105&amp;outputformat=json&amp;raddatabase=PVGIS-SARAH3&amp;pvtechchoice=crystSi&amp;mountingplace=free&amp;usehorizon=1</v>
      </c>
    </row>
    <row r="4932">
      <c r="A4932" t="n">
        <v>80</v>
      </c>
      <c r="B4932" t="n">
        <v>75</v>
      </c>
      <c r="C4932" t="n">
        <v>3</v>
      </c>
      <c r="D4932" s="218" t="n">
        <v>70.89</v>
      </c>
      <c r="E4932" s="218" t="n">
        <v>2.29</v>
      </c>
      <c r="F4932" t="str">
        <v>https://re.jrc.ec.europa.eu/api/v5_3/PVcalc?lat=30.0444&amp;lon=31.2357&amp;peakpower=1&amp;loss=14&amp;angle=80&amp;aspect=-105&amp;outputformat=json&amp;raddatabase=PVGIS-SARAH3&amp;pvtechchoice=crystSi&amp;mountingplace=free&amp;usehorizon=1</v>
      </c>
    </row>
    <row r="4933">
      <c r="A4933" t="n">
        <v>80</v>
      </c>
      <c r="B4933" t="n">
        <v>75</v>
      </c>
      <c r="C4933" t="n">
        <v>4</v>
      </c>
      <c r="D4933" s="218" t="n">
        <v>81.1</v>
      </c>
      <c r="E4933" s="218" t="n">
        <v>2.7</v>
      </c>
      <c r="F4933" t="str">
        <v>https://re.jrc.ec.europa.eu/api/v5_3/PVcalc?lat=30.0444&amp;lon=31.2357&amp;peakpower=1&amp;loss=14&amp;angle=80&amp;aspect=-105&amp;outputformat=json&amp;raddatabase=PVGIS-SARAH3&amp;pvtechchoice=crystSi&amp;mountingplace=free&amp;usehorizon=1</v>
      </c>
    </row>
    <row r="4934">
      <c r="A4934" t="n">
        <v>80</v>
      </c>
      <c r="B4934" t="n">
        <v>75</v>
      </c>
      <c r="C4934" t="n">
        <v>5</v>
      </c>
      <c r="D4934" s="218" t="n">
        <v>93.37</v>
      </c>
      <c r="E4934" s="218" t="n">
        <v>3.01</v>
      </c>
      <c r="F4934" t="str">
        <v>https://re.jrc.ec.europa.eu/api/v5_3/PVcalc?lat=30.0444&amp;lon=31.2357&amp;peakpower=1&amp;loss=14&amp;angle=80&amp;aspect=-105&amp;outputformat=json&amp;raddatabase=PVGIS-SARAH3&amp;pvtechchoice=crystSi&amp;mountingplace=free&amp;usehorizon=1</v>
      </c>
    </row>
    <row r="4935">
      <c r="A4935" t="n">
        <v>80</v>
      </c>
      <c r="B4935" t="n">
        <v>75</v>
      </c>
      <c r="C4935" t="n">
        <v>6</v>
      </c>
      <c r="D4935" s="218" t="n">
        <v>94.21</v>
      </c>
      <c r="E4935" s="218" t="n">
        <v>3.14</v>
      </c>
      <c r="F4935" t="str">
        <v>https://re.jrc.ec.europa.eu/api/v5_3/PVcalc?lat=30.0444&amp;lon=31.2357&amp;peakpower=1&amp;loss=14&amp;angle=80&amp;aspect=-105&amp;outputformat=json&amp;raddatabase=PVGIS-SARAH3&amp;pvtechchoice=crystSi&amp;mountingplace=free&amp;usehorizon=1</v>
      </c>
    </row>
    <row r="4936">
      <c r="A4936" t="n">
        <v>80</v>
      </c>
      <c r="B4936" t="n">
        <v>75</v>
      </c>
      <c r="C4936" t="n">
        <v>7</v>
      </c>
      <c r="D4936" s="218" t="n">
        <v>92.57</v>
      </c>
      <c r="E4936" s="218" t="n">
        <v>2.99</v>
      </c>
      <c r="F4936" t="str">
        <v>https://re.jrc.ec.europa.eu/api/v5_3/PVcalc?lat=30.0444&amp;lon=31.2357&amp;peakpower=1&amp;loss=14&amp;angle=80&amp;aspect=-105&amp;outputformat=json&amp;raddatabase=PVGIS-SARAH3&amp;pvtechchoice=crystSi&amp;mountingplace=free&amp;usehorizon=1</v>
      </c>
    </row>
    <row r="4937">
      <c r="A4937" t="n">
        <v>80</v>
      </c>
      <c r="B4937" t="n">
        <v>75</v>
      </c>
      <c r="C4937" t="n">
        <v>8</v>
      </c>
      <c r="D4937" s="218" t="n">
        <v>85.83</v>
      </c>
      <c r="E4937" s="218" t="n">
        <v>2.77</v>
      </c>
      <c r="F4937" t="str">
        <v>https://re.jrc.ec.europa.eu/api/v5_3/PVcalc?lat=30.0444&amp;lon=31.2357&amp;peakpower=1&amp;loss=14&amp;angle=80&amp;aspect=-105&amp;outputformat=json&amp;raddatabase=PVGIS-SARAH3&amp;pvtechchoice=crystSi&amp;mountingplace=free&amp;usehorizon=1</v>
      </c>
    </row>
    <row r="4938">
      <c r="A4938" t="n">
        <v>80</v>
      </c>
      <c r="B4938" t="n">
        <v>75</v>
      </c>
      <c r="C4938" t="n">
        <v>9</v>
      </c>
      <c r="D4938" s="218" t="n">
        <v>69.68</v>
      </c>
      <c r="E4938" s="218" t="n">
        <v>2.32</v>
      </c>
      <c r="F4938" t="str">
        <v>https://re.jrc.ec.europa.eu/api/v5_3/PVcalc?lat=30.0444&amp;lon=31.2357&amp;peakpower=1&amp;loss=14&amp;angle=80&amp;aspect=-105&amp;outputformat=json&amp;raddatabase=PVGIS-SARAH3&amp;pvtechchoice=crystSi&amp;mountingplace=free&amp;usehorizon=1</v>
      </c>
    </row>
    <row r="4939">
      <c r="A4939" t="n">
        <v>80</v>
      </c>
      <c r="B4939" t="n">
        <v>75</v>
      </c>
      <c r="C4939" t="n">
        <v>10</v>
      </c>
      <c r="D4939" s="218" t="n">
        <v>59.96</v>
      </c>
      <c r="E4939" s="218" t="n">
        <v>1.93</v>
      </c>
      <c r="F4939" t="str">
        <v>https://re.jrc.ec.europa.eu/api/v5_3/PVcalc?lat=30.0444&amp;lon=31.2357&amp;peakpower=1&amp;loss=14&amp;angle=80&amp;aspect=-105&amp;outputformat=json&amp;raddatabase=PVGIS-SARAH3&amp;pvtechchoice=crystSi&amp;mountingplace=free&amp;usehorizon=1</v>
      </c>
    </row>
    <row r="4940">
      <c r="A4940" t="n">
        <v>80</v>
      </c>
      <c r="B4940" t="n">
        <v>75</v>
      </c>
      <c r="C4940" t="n">
        <v>11</v>
      </c>
      <c r="D4940" s="218" t="n">
        <v>46.35</v>
      </c>
      <c r="E4940" s="218" t="n">
        <v>1.55</v>
      </c>
      <c r="F4940" t="str">
        <v>https://re.jrc.ec.europa.eu/api/v5_3/PVcalc?lat=30.0444&amp;lon=31.2357&amp;peakpower=1&amp;loss=14&amp;angle=80&amp;aspect=-105&amp;outputformat=json&amp;raddatabase=PVGIS-SARAH3&amp;pvtechchoice=crystSi&amp;mountingplace=free&amp;usehorizon=1</v>
      </c>
    </row>
    <row r="4941">
      <c r="A4941" t="n">
        <v>80</v>
      </c>
      <c r="B4941" t="n">
        <v>75</v>
      </c>
      <c r="C4941" t="n">
        <v>12</v>
      </c>
      <c r="D4941" s="218" t="n">
        <v>40.18</v>
      </c>
      <c r="E4941" s="218" t="n">
        <v>1.3</v>
      </c>
      <c r="F4941" t="str">
        <v>https://re.jrc.ec.europa.eu/api/v5_3/PVcalc?lat=30.0444&amp;lon=31.2357&amp;peakpower=1&amp;loss=14&amp;angle=80&amp;aspect=-105&amp;outputformat=json&amp;raddatabase=PVGIS-SARAH3&amp;pvtechchoice=crystSi&amp;mountingplace=free&amp;usehorizon=1</v>
      </c>
    </row>
    <row r="4942">
      <c r="A4942" t="n">
        <v>80</v>
      </c>
      <c r="B4942" t="n">
        <v>90</v>
      </c>
      <c r="C4942" t="n">
        <v>1</v>
      </c>
      <c r="D4942" s="218" t="n">
        <v>58.55</v>
      </c>
      <c r="E4942" s="218" t="n">
        <v>1.89</v>
      </c>
      <c r="F4942" t="str">
        <v>https://re.jrc.ec.europa.eu/api/v5_3/PVcalc?lat=30.0444&amp;lon=31.2357&amp;peakpower=1&amp;loss=14&amp;angle=80&amp;aspect=-90&amp;outputformat=json&amp;raddatabase=PVGIS-SARAH3&amp;pvtechchoice=crystSi&amp;mountingplace=free&amp;usehorizon=1</v>
      </c>
    </row>
    <row r="4943">
      <c r="A4943" t="n">
        <v>80</v>
      </c>
      <c r="B4943" t="n">
        <v>90</v>
      </c>
      <c r="C4943" t="n">
        <v>2</v>
      </c>
      <c r="D4943" s="218" t="n">
        <v>65.47</v>
      </c>
      <c r="E4943" s="218" t="n">
        <v>2.34</v>
      </c>
      <c r="F4943" t="str">
        <v>https://re.jrc.ec.europa.eu/api/v5_3/PVcalc?lat=30.0444&amp;lon=31.2357&amp;peakpower=1&amp;loss=14&amp;angle=80&amp;aspect=-90&amp;outputformat=json&amp;raddatabase=PVGIS-SARAH3&amp;pvtechchoice=crystSi&amp;mountingplace=free&amp;usehorizon=1</v>
      </c>
    </row>
    <row r="4944">
      <c r="A4944" t="n">
        <v>80</v>
      </c>
      <c r="B4944" t="n">
        <v>90</v>
      </c>
      <c r="C4944" t="n">
        <v>3</v>
      </c>
      <c r="D4944" s="218" t="n">
        <v>83.58</v>
      </c>
      <c r="E4944" s="218" t="n">
        <v>2.7</v>
      </c>
      <c r="F4944" t="str">
        <v>https://re.jrc.ec.europa.eu/api/v5_3/PVcalc?lat=30.0444&amp;lon=31.2357&amp;peakpower=1&amp;loss=14&amp;angle=80&amp;aspect=-90&amp;outputformat=json&amp;raddatabase=PVGIS-SARAH3&amp;pvtechchoice=crystSi&amp;mountingplace=free&amp;usehorizon=1</v>
      </c>
    </row>
    <row r="4945">
      <c r="A4945" t="n">
        <v>80</v>
      </c>
      <c r="B4945" t="n">
        <v>90</v>
      </c>
      <c r="C4945" t="n">
        <v>4</v>
      </c>
      <c r="D4945" s="218" t="n">
        <v>88.7</v>
      </c>
      <c r="E4945" s="218" t="n">
        <v>2.96</v>
      </c>
      <c r="F4945" t="str">
        <v>https://re.jrc.ec.europa.eu/api/v5_3/PVcalc?lat=30.0444&amp;lon=31.2357&amp;peakpower=1&amp;loss=14&amp;angle=80&amp;aspect=-90&amp;outputformat=json&amp;raddatabase=PVGIS-SARAH3&amp;pvtechchoice=crystSi&amp;mountingplace=free&amp;usehorizon=1</v>
      </c>
    </row>
    <row r="4946">
      <c r="A4946" t="n">
        <v>80</v>
      </c>
      <c r="B4946" t="n">
        <v>90</v>
      </c>
      <c r="C4946" t="n">
        <v>5</v>
      </c>
      <c r="D4946" s="218" t="n">
        <v>97.33</v>
      </c>
      <c r="E4946" s="218" t="n">
        <v>3.14</v>
      </c>
      <c r="F4946" t="str">
        <v>https://re.jrc.ec.europa.eu/api/v5_3/PVcalc?lat=30.0444&amp;lon=31.2357&amp;peakpower=1&amp;loss=14&amp;angle=80&amp;aspect=-90&amp;outputformat=json&amp;raddatabase=PVGIS-SARAH3&amp;pvtechchoice=crystSi&amp;mountingplace=free&amp;usehorizon=1</v>
      </c>
    </row>
    <row r="4947">
      <c r="A4947" t="n">
        <v>80</v>
      </c>
      <c r="B4947" t="n">
        <v>90</v>
      </c>
      <c r="C4947" t="n">
        <v>6</v>
      </c>
      <c r="D4947" s="218" t="n">
        <v>96.21</v>
      </c>
      <c r="E4947" s="218" t="n">
        <v>3.21</v>
      </c>
      <c r="F4947" t="str">
        <v>https://re.jrc.ec.europa.eu/api/v5_3/PVcalc?lat=30.0444&amp;lon=31.2357&amp;peakpower=1&amp;loss=14&amp;angle=80&amp;aspect=-90&amp;outputformat=json&amp;raddatabase=PVGIS-SARAH3&amp;pvtechchoice=crystSi&amp;mountingplace=free&amp;usehorizon=1</v>
      </c>
    </row>
    <row r="4948">
      <c r="A4948" t="n">
        <v>80</v>
      </c>
      <c r="B4948" t="n">
        <v>90</v>
      </c>
      <c r="C4948" t="n">
        <v>7</v>
      </c>
      <c r="D4948" s="218" t="n">
        <v>95.72</v>
      </c>
      <c r="E4948" s="218" t="n">
        <v>3.09</v>
      </c>
      <c r="F4948" t="str">
        <v>https://re.jrc.ec.europa.eu/api/v5_3/PVcalc?lat=30.0444&amp;lon=31.2357&amp;peakpower=1&amp;loss=14&amp;angle=80&amp;aspect=-90&amp;outputformat=json&amp;raddatabase=PVGIS-SARAH3&amp;pvtechchoice=crystSi&amp;mountingplace=free&amp;usehorizon=1</v>
      </c>
    </row>
    <row r="4949">
      <c r="A4949" t="n">
        <v>80</v>
      </c>
      <c r="B4949" t="n">
        <v>90</v>
      </c>
      <c r="C4949" t="n">
        <v>8</v>
      </c>
      <c r="D4949" s="218" t="n">
        <v>92.51</v>
      </c>
      <c r="E4949" s="218" t="n">
        <v>2.98</v>
      </c>
      <c r="F4949" t="str">
        <v>https://re.jrc.ec.europa.eu/api/v5_3/PVcalc?lat=30.0444&amp;lon=31.2357&amp;peakpower=1&amp;loss=14&amp;angle=80&amp;aspect=-90&amp;outputformat=json&amp;raddatabase=PVGIS-SARAH3&amp;pvtechchoice=crystSi&amp;mountingplace=free&amp;usehorizon=1</v>
      </c>
    </row>
    <row r="4950">
      <c r="A4950" t="n">
        <v>80</v>
      </c>
      <c r="B4950" t="n">
        <v>90</v>
      </c>
      <c r="C4950" t="n">
        <v>9</v>
      </c>
      <c r="D4950" s="218" t="n">
        <v>80.95</v>
      </c>
      <c r="E4950" s="218" t="n">
        <v>2.7</v>
      </c>
      <c r="F4950" t="str">
        <v>https://re.jrc.ec.europa.eu/api/v5_3/PVcalc?lat=30.0444&amp;lon=31.2357&amp;peakpower=1&amp;loss=14&amp;angle=80&amp;aspect=-90&amp;outputformat=json&amp;raddatabase=PVGIS-SARAH3&amp;pvtechchoice=crystSi&amp;mountingplace=free&amp;usehorizon=1</v>
      </c>
    </row>
    <row r="4951">
      <c r="A4951" t="n">
        <v>80</v>
      </c>
      <c r="B4951" t="n">
        <v>90</v>
      </c>
      <c r="C4951" t="n">
        <v>10</v>
      </c>
      <c r="D4951" s="218" t="n">
        <v>74.54</v>
      </c>
      <c r="E4951" s="218" t="n">
        <v>2.4</v>
      </c>
      <c r="F4951" t="str">
        <v>https://re.jrc.ec.europa.eu/api/v5_3/PVcalc?lat=30.0444&amp;lon=31.2357&amp;peakpower=1&amp;loss=14&amp;angle=80&amp;aspect=-90&amp;outputformat=json&amp;raddatabase=PVGIS-SARAH3&amp;pvtechchoice=crystSi&amp;mountingplace=free&amp;usehorizon=1</v>
      </c>
    </row>
    <row r="4952">
      <c r="A4952" t="n">
        <v>80</v>
      </c>
      <c r="B4952" t="n">
        <v>90</v>
      </c>
      <c r="C4952" t="n">
        <v>11</v>
      </c>
      <c r="D4952" s="218" t="n">
        <v>61.97</v>
      </c>
      <c r="E4952" s="218" t="n">
        <v>2.07</v>
      </c>
      <c r="F4952" t="str">
        <v>https://re.jrc.ec.europa.eu/api/v5_3/PVcalc?lat=30.0444&amp;lon=31.2357&amp;peakpower=1&amp;loss=14&amp;angle=80&amp;aspect=-90&amp;outputformat=json&amp;raddatabase=PVGIS-SARAH3&amp;pvtechchoice=crystSi&amp;mountingplace=free&amp;usehorizon=1</v>
      </c>
    </row>
    <row r="4953">
      <c r="A4953" t="n">
        <v>80</v>
      </c>
      <c r="B4953" t="n">
        <v>90</v>
      </c>
      <c r="C4953" t="n">
        <v>12</v>
      </c>
      <c r="D4953" s="218" t="n">
        <v>57.05</v>
      </c>
      <c r="E4953" s="218" t="n">
        <v>1.84</v>
      </c>
      <c r="F4953" t="str">
        <v>https://re.jrc.ec.europa.eu/api/v5_3/PVcalc?lat=30.0444&amp;lon=31.2357&amp;peakpower=1&amp;loss=14&amp;angle=80&amp;aspect=-90&amp;outputformat=json&amp;raddatabase=PVGIS-SARAH3&amp;pvtechchoice=crystSi&amp;mountingplace=free&amp;usehorizon=1</v>
      </c>
    </row>
    <row r="4954">
      <c r="A4954" t="n">
        <v>80</v>
      </c>
      <c r="B4954" t="n">
        <v>105</v>
      </c>
      <c r="C4954" t="n">
        <v>1</v>
      </c>
      <c r="D4954" s="218" t="n">
        <v>74.99</v>
      </c>
      <c r="E4954" s="218" t="n">
        <v>2.42</v>
      </c>
      <c r="F4954" t="str">
        <v>https://re.jrc.ec.europa.eu/api/v5_3/PVcalc?lat=30.0444&amp;lon=31.2357&amp;peakpower=1&amp;loss=14&amp;angle=80&amp;aspect=-75&amp;outputformat=json&amp;raddatabase=PVGIS-SARAH3&amp;pvtechchoice=crystSi&amp;mountingplace=free&amp;usehorizon=1</v>
      </c>
    </row>
    <row r="4955">
      <c r="A4955" t="n">
        <v>80</v>
      </c>
      <c r="B4955" t="n">
        <v>105</v>
      </c>
      <c r="C4955" t="n">
        <v>2</v>
      </c>
      <c r="D4955" s="218" t="n">
        <v>78.26</v>
      </c>
      <c r="E4955" s="218" t="n">
        <v>2.8</v>
      </c>
      <c r="F4955" t="str">
        <v>https://re.jrc.ec.europa.eu/api/v5_3/PVcalc?lat=30.0444&amp;lon=31.2357&amp;peakpower=1&amp;loss=14&amp;angle=80&amp;aspect=-75&amp;outputformat=json&amp;raddatabase=PVGIS-SARAH3&amp;pvtechchoice=crystSi&amp;mountingplace=free&amp;usehorizon=1</v>
      </c>
    </row>
    <row r="4956">
      <c r="A4956" t="n">
        <v>80</v>
      </c>
      <c r="B4956" t="n">
        <v>105</v>
      </c>
      <c r="C4956" t="n">
        <v>3</v>
      </c>
      <c r="D4956" s="218" t="n">
        <v>93.92</v>
      </c>
      <c r="E4956" s="218" t="n">
        <v>3.03</v>
      </c>
      <c r="F4956" t="str">
        <v>https://re.jrc.ec.europa.eu/api/v5_3/PVcalc?lat=30.0444&amp;lon=31.2357&amp;peakpower=1&amp;loss=14&amp;angle=80&amp;aspect=-75&amp;outputformat=json&amp;raddatabase=PVGIS-SARAH3&amp;pvtechchoice=crystSi&amp;mountingplace=free&amp;usehorizon=1</v>
      </c>
    </row>
    <row r="4957">
      <c r="A4957" t="n">
        <v>80</v>
      </c>
      <c r="B4957" t="n">
        <v>105</v>
      </c>
      <c r="C4957" t="n">
        <v>4</v>
      </c>
      <c r="D4957" s="218" t="n">
        <v>93.65</v>
      </c>
      <c r="E4957" s="218" t="n">
        <v>3.12</v>
      </c>
      <c r="F4957" t="str">
        <v>https://re.jrc.ec.europa.eu/api/v5_3/PVcalc?lat=30.0444&amp;lon=31.2357&amp;peakpower=1&amp;loss=14&amp;angle=80&amp;aspect=-75&amp;outputformat=json&amp;raddatabase=PVGIS-SARAH3&amp;pvtechchoice=crystSi&amp;mountingplace=free&amp;usehorizon=1</v>
      </c>
    </row>
    <row r="4958">
      <c r="A4958" t="n">
        <v>80</v>
      </c>
      <c r="B4958" t="n">
        <v>105</v>
      </c>
      <c r="C4958" t="n">
        <v>5</v>
      </c>
      <c r="D4958" s="218" t="n">
        <v>97.98</v>
      </c>
      <c r="E4958" s="218" t="n">
        <v>3.16</v>
      </c>
      <c r="F4958" t="str">
        <v>https://re.jrc.ec.europa.eu/api/v5_3/PVcalc?lat=30.0444&amp;lon=31.2357&amp;peakpower=1&amp;loss=14&amp;angle=80&amp;aspect=-75&amp;outputformat=json&amp;raddatabase=PVGIS-SARAH3&amp;pvtechchoice=crystSi&amp;mountingplace=free&amp;usehorizon=1</v>
      </c>
    </row>
    <row r="4959">
      <c r="A4959" t="n">
        <v>80</v>
      </c>
      <c r="B4959" t="n">
        <v>105</v>
      </c>
      <c r="C4959" t="n">
        <v>6</v>
      </c>
      <c r="D4959" s="218" t="n">
        <v>94.61</v>
      </c>
      <c r="E4959" s="218" t="n">
        <v>3.15</v>
      </c>
      <c r="F4959" t="str">
        <v>https://re.jrc.ec.europa.eu/api/v5_3/PVcalc?lat=30.0444&amp;lon=31.2357&amp;peakpower=1&amp;loss=14&amp;angle=80&amp;aspect=-75&amp;outputformat=json&amp;raddatabase=PVGIS-SARAH3&amp;pvtechchoice=crystSi&amp;mountingplace=free&amp;usehorizon=1</v>
      </c>
    </row>
    <row r="4960">
      <c r="A4960" t="n">
        <v>80</v>
      </c>
      <c r="B4960" t="n">
        <v>105</v>
      </c>
      <c r="C4960" t="n">
        <v>7</v>
      </c>
      <c r="D4960" s="218" t="n">
        <v>95.33</v>
      </c>
      <c r="E4960" s="218" t="n">
        <v>3.08</v>
      </c>
      <c r="F4960" t="str">
        <v>https://re.jrc.ec.europa.eu/api/v5_3/PVcalc?lat=30.0444&amp;lon=31.2357&amp;peakpower=1&amp;loss=14&amp;angle=80&amp;aspect=-75&amp;outputformat=json&amp;raddatabase=PVGIS-SARAH3&amp;pvtechchoice=crystSi&amp;mountingplace=free&amp;usehorizon=1</v>
      </c>
    </row>
    <row r="4961">
      <c r="A4961" t="n">
        <v>80</v>
      </c>
      <c r="B4961" t="n">
        <v>105</v>
      </c>
      <c r="C4961" t="n">
        <v>8</v>
      </c>
      <c r="D4961" s="218" t="n">
        <v>95.96</v>
      </c>
      <c r="E4961" s="218" t="n">
        <v>3.1</v>
      </c>
      <c r="F4961" t="str">
        <v>https://re.jrc.ec.europa.eu/api/v5_3/PVcalc?lat=30.0444&amp;lon=31.2357&amp;peakpower=1&amp;loss=14&amp;angle=80&amp;aspect=-75&amp;outputformat=json&amp;raddatabase=PVGIS-SARAH3&amp;pvtechchoice=crystSi&amp;mountingplace=free&amp;usehorizon=1</v>
      </c>
    </row>
    <row r="4962">
      <c r="A4962" t="n">
        <v>80</v>
      </c>
      <c r="B4962" t="n">
        <v>105</v>
      </c>
      <c r="C4962" t="n">
        <v>9</v>
      </c>
      <c r="D4962" s="218" t="n">
        <v>89.51</v>
      </c>
      <c r="E4962" s="218" t="n">
        <v>2.98</v>
      </c>
      <c r="F4962" t="str">
        <v>https://re.jrc.ec.europa.eu/api/v5_3/PVcalc?lat=30.0444&amp;lon=31.2357&amp;peakpower=1&amp;loss=14&amp;angle=80&amp;aspect=-75&amp;outputformat=json&amp;raddatabase=PVGIS-SARAH3&amp;pvtechchoice=crystSi&amp;mountingplace=free&amp;usehorizon=1</v>
      </c>
    </row>
    <row r="4963">
      <c r="A4963" t="n">
        <v>80</v>
      </c>
      <c r="B4963" t="n">
        <v>105</v>
      </c>
      <c r="C4963" t="n">
        <v>10</v>
      </c>
      <c r="D4963" s="218" t="n">
        <v>87.8</v>
      </c>
      <c r="E4963" s="218" t="n">
        <v>2.83</v>
      </c>
      <c r="F4963" t="str">
        <v>https://re.jrc.ec.europa.eu/api/v5_3/PVcalc?lat=30.0444&amp;lon=31.2357&amp;peakpower=1&amp;loss=14&amp;angle=80&amp;aspect=-75&amp;outputformat=json&amp;raddatabase=PVGIS-SARAH3&amp;pvtechchoice=crystSi&amp;mountingplace=free&amp;usehorizon=1</v>
      </c>
    </row>
    <row r="4964">
      <c r="A4964" t="n">
        <v>80</v>
      </c>
      <c r="B4964" t="n">
        <v>105</v>
      </c>
      <c r="C4964" t="n">
        <v>11</v>
      </c>
      <c r="D4964" s="218" t="n">
        <v>78.24</v>
      </c>
      <c r="E4964" s="218" t="n">
        <v>2.61</v>
      </c>
      <c r="F4964" t="str">
        <v>https://re.jrc.ec.europa.eu/api/v5_3/PVcalc?lat=30.0444&amp;lon=31.2357&amp;peakpower=1&amp;loss=14&amp;angle=80&amp;aspect=-75&amp;outputformat=json&amp;raddatabase=PVGIS-SARAH3&amp;pvtechchoice=crystSi&amp;mountingplace=free&amp;usehorizon=1</v>
      </c>
    </row>
    <row r="4965">
      <c r="A4965" t="n">
        <v>80</v>
      </c>
      <c r="B4965" t="n">
        <v>105</v>
      </c>
      <c r="C4965" t="n">
        <v>12</v>
      </c>
      <c r="D4965" s="218" t="n">
        <v>74.33</v>
      </c>
      <c r="E4965" s="218" t="n">
        <v>2.4</v>
      </c>
      <c r="F4965" t="str">
        <v>https://re.jrc.ec.europa.eu/api/v5_3/PVcalc?lat=30.0444&amp;lon=31.2357&amp;peakpower=1&amp;loss=14&amp;angle=80&amp;aspect=-75&amp;outputformat=json&amp;raddatabase=PVGIS-SARAH3&amp;pvtechchoice=crystSi&amp;mountingplace=free&amp;usehorizon=1</v>
      </c>
    </row>
    <row r="4966">
      <c r="A4966" t="n">
        <v>80</v>
      </c>
      <c r="B4966" t="n">
        <v>120</v>
      </c>
      <c r="C4966" t="n">
        <v>1</v>
      </c>
      <c r="D4966" s="218" t="n">
        <v>90.98</v>
      </c>
      <c r="E4966" s="218" t="n">
        <v>2.93</v>
      </c>
      <c r="F4966" t="str">
        <v>https://re.jrc.ec.europa.eu/api/v5_3/PVcalc?lat=30.0444&amp;lon=31.2357&amp;peakpower=1&amp;loss=14&amp;angle=80&amp;aspect=-60&amp;outputformat=json&amp;raddatabase=PVGIS-SARAH3&amp;pvtechchoice=crystSi&amp;mountingplace=free&amp;usehorizon=1</v>
      </c>
    </row>
    <row r="4967">
      <c r="A4967" t="n">
        <v>80</v>
      </c>
      <c r="B4967" t="n">
        <v>120</v>
      </c>
      <c r="C4967" t="n">
        <v>2</v>
      </c>
      <c r="D4967" s="218" t="n">
        <v>89.42</v>
      </c>
      <c r="E4967" s="218" t="n">
        <v>3.19</v>
      </c>
      <c r="F4967" t="str">
        <v>https://re.jrc.ec.europa.eu/api/v5_3/PVcalc?lat=30.0444&amp;lon=31.2357&amp;peakpower=1&amp;loss=14&amp;angle=80&amp;aspect=-60&amp;outputformat=json&amp;raddatabase=PVGIS-SARAH3&amp;pvtechchoice=crystSi&amp;mountingplace=free&amp;usehorizon=1</v>
      </c>
    </row>
    <row r="4968">
      <c r="A4968" t="n">
        <v>80</v>
      </c>
      <c r="B4968" t="n">
        <v>120</v>
      </c>
      <c r="C4968" t="n">
        <v>3</v>
      </c>
      <c r="D4968" s="218" t="n">
        <v>102.36</v>
      </c>
      <c r="E4968" s="218" t="n">
        <v>3.3</v>
      </c>
      <c r="F4968" t="str">
        <v>https://re.jrc.ec.europa.eu/api/v5_3/PVcalc?lat=30.0444&amp;lon=31.2357&amp;peakpower=1&amp;loss=14&amp;angle=80&amp;aspect=-60&amp;outputformat=json&amp;raddatabase=PVGIS-SARAH3&amp;pvtechchoice=crystSi&amp;mountingplace=free&amp;usehorizon=1</v>
      </c>
    </row>
    <row r="4969">
      <c r="A4969" t="n">
        <v>80</v>
      </c>
      <c r="B4969" t="n">
        <v>120</v>
      </c>
      <c r="C4969" t="n">
        <v>4</v>
      </c>
      <c r="D4969" s="218" t="n">
        <v>96.84</v>
      </c>
      <c r="E4969" s="218" t="n">
        <v>3.23</v>
      </c>
      <c r="F4969" t="str">
        <v>https://re.jrc.ec.europa.eu/api/v5_3/PVcalc?lat=30.0444&amp;lon=31.2357&amp;peakpower=1&amp;loss=14&amp;angle=80&amp;aspect=-60&amp;outputformat=json&amp;raddatabase=PVGIS-SARAH3&amp;pvtechchoice=crystSi&amp;mountingplace=free&amp;usehorizon=1</v>
      </c>
    </row>
    <row r="4970">
      <c r="A4970" t="n">
        <v>80</v>
      </c>
      <c r="B4970" t="n">
        <v>120</v>
      </c>
      <c r="C4970" t="n">
        <v>5</v>
      </c>
      <c r="D4970" s="218" t="n">
        <v>95.19</v>
      </c>
      <c r="E4970" s="218" t="n">
        <v>3.07</v>
      </c>
      <c r="F4970" t="str">
        <v>https://re.jrc.ec.europa.eu/api/v5_3/PVcalc?lat=30.0444&amp;lon=31.2357&amp;peakpower=1&amp;loss=14&amp;angle=80&amp;aspect=-60&amp;outputformat=json&amp;raddatabase=PVGIS-SARAH3&amp;pvtechchoice=crystSi&amp;mountingplace=free&amp;usehorizon=1</v>
      </c>
    </row>
    <row r="4971">
      <c r="A4971" t="n">
        <v>80</v>
      </c>
      <c r="B4971" t="n">
        <v>120</v>
      </c>
      <c r="C4971" t="n">
        <v>6</v>
      </c>
      <c r="D4971" s="218" t="n">
        <v>89.38</v>
      </c>
      <c r="E4971" s="218" t="n">
        <v>2.98</v>
      </c>
      <c r="F4971" t="str">
        <v>https://re.jrc.ec.europa.eu/api/v5_3/PVcalc?lat=30.0444&amp;lon=31.2357&amp;peakpower=1&amp;loss=14&amp;angle=80&amp;aspect=-60&amp;outputformat=json&amp;raddatabase=PVGIS-SARAH3&amp;pvtechchoice=crystSi&amp;mountingplace=free&amp;usehorizon=1</v>
      </c>
    </row>
    <row r="4972">
      <c r="A4972" t="n">
        <v>80</v>
      </c>
      <c r="B4972" t="n">
        <v>120</v>
      </c>
      <c r="C4972" t="n">
        <v>7</v>
      </c>
      <c r="D4972" s="218" t="n">
        <v>91.8</v>
      </c>
      <c r="E4972" s="218" t="n">
        <v>2.96</v>
      </c>
      <c r="F4972" t="str">
        <v>https://re.jrc.ec.europa.eu/api/v5_3/PVcalc?lat=30.0444&amp;lon=31.2357&amp;peakpower=1&amp;loss=14&amp;angle=80&amp;aspect=-60&amp;outputformat=json&amp;raddatabase=PVGIS-SARAH3&amp;pvtechchoice=crystSi&amp;mountingplace=free&amp;usehorizon=1</v>
      </c>
    </row>
    <row r="4973">
      <c r="A4973" t="n">
        <v>80</v>
      </c>
      <c r="B4973" t="n">
        <v>120</v>
      </c>
      <c r="C4973" t="n">
        <v>8</v>
      </c>
      <c r="D4973" s="218" t="n">
        <v>97.16</v>
      </c>
      <c r="E4973" s="218" t="n">
        <v>3.13</v>
      </c>
      <c r="F4973" t="str">
        <v>https://re.jrc.ec.europa.eu/api/v5_3/PVcalc?lat=30.0444&amp;lon=31.2357&amp;peakpower=1&amp;loss=14&amp;angle=80&amp;aspect=-60&amp;outputformat=json&amp;raddatabase=PVGIS-SARAH3&amp;pvtechchoice=crystSi&amp;mountingplace=free&amp;usehorizon=1</v>
      </c>
    </row>
    <row r="4974">
      <c r="A4974" t="n">
        <v>80</v>
      </c>
      <c r="B4974" t="n">
        <v>120</v>
      </c>
      <c r="C4974" t="n">
        <v>9</v>
      </c>
      <c r="D4974" s="218" t="n">
        <v>96.48</v>
      </c>
      <c r="E4974" s="218" t="n">
        <v>3.22</v>
      </c>
      <c r="F4974" t="str">
        <v>https://re.jrc.ec.europa.eu/api/v5_3/PVcalc?lat=30.0444&amp;lon=31.2357&amp;peakpower=1&amp;loss=14&amp;angle=80&amp;aspect=-60&amp;outputformat=json&amp;raddatabase=PVGIS-SARAH3&amp;pvtechchoice=crystSi&amp;mountingplace=free&amp;usehorizon=1</v>
      </c>
    </row>
    <row r="4975">
      <c r="A4975" t="n">
        <v>80</v>
      </c>
      <c r="B4975" t="n">
        <v>120</v>
      </c>
      <c r="C4975" t="n">
        <v>10</v>
      </c>
      <c r="D4975" s="218" t="n">
        <v>99.92</v>
      </c>
      <c r="E4975" s="218" t="n">
        <v>3.22</v>
      </c>
      <c r="F4975" t="str">
        <v>https://re.jrc.ec.europa.eu/api/v5_3/PVcalc?lat=30.0444&amp;lon=31.2357&amp;peakpower=1&amp;loss=14&amp;angle=80&amp;aspect=-60&amp;outputformat=json&amp;raddatabase=PVGIS-SARAH3&amp;pvtechchoice=crystSi&amp;mountingplace=free&amp;usehorizon=1</v>
      </c>
    </row>
    <row r="4976">
      <c r="A4976" t="n">
        <v>80</v>
      </c>
      <c r="B4976" t="n">
        <v>120</v>
      </c>
      <c r="C4976" t="n">
        <v>11</v>
      </c>
      <c r="D4976" s="218" t="n">
        <v>93.82</v>
      </c>
      <c r="E4976" s="218" t="n">
        <v>3.13</v>
      </c>
      <c r="F4976" t="str">
        <v>https://re.jrc.ec.europa.eu/api/v5_3/PVcalc?lat=30.0444&amp;lon=31.2357&amp;peakpower=1&amp;loss=14&amp;angle=80&amp;aspect=-60&amp;outputformat=json&amp;raddatabase=PVGIS-SARAH3&amp;pvtechchoice=crystSi&amp;mountingplace=free&amp;usehorizon=1</v>
      </c>
    </row>
    <row r="4977">
      <c r="A4977" t="n">
        <v>80</v>
      </c>
      <c r="B4977" t="n">
        <v>120</v>
      </c>
      <c r="C4977" t="n">
        <v>12</v>
      </c>
      <c r="D4977" s="218" t="n">
        <v>91.63</v>
      </c>
      <c r="E4977" s="218" t="n">
        <v>2.96</v>
      </c>
      <c r="F4977" t="str">
        <v>https://re.jrc.ec.europa.eu/api/v5_3/PVcalc?lat=30.0444&amp;lon=31.2357&amp;peakpower=1&amp;loss=14&amp;angle=80&amp;aspect=-60&amp;outputformat=json&amp;raddatabase=PVGIS-SARAH3&amp;pvtechchoice=crystSi&amp;mountingplace=free&amp;usehorizon=1</v>
      </c>
    </row>
    <row r="4978">
      <c r="A4978" t="n">
        <v>80</v>
      </c>
      <c r="B4978" t="n">
        <v>135</v>
      </c>
      <c r="C4978" t="n">
        <v>1</v>
      </c>
      <c r="D4978" s="218" t="n">
        <v>106.07</v>
      </c>
      <c r="E4978" s="218" t="n">
        <v>3.42</v>
      </c>
      <c r="F4978" t="str">
        <v>https://re.jrc.ec.europa.eu/api/v5_3/PVcalc?lat=30.0444&amp;lon=31.2357&amp;peakpower=1&amp;loss=14&amp;angle=80&amp;aspect=-45&amp;outputformat=json&amp;raddatabase=PVGIS-SARAH3&amp;pvtechchoice=crystSi&amp;mountingplace=free&amp;usehorizon=1</v>
      </c>
    </row>
    <row r="4979">
      <c r="A4979" t="n">
        <v>80</v>
      </c>
      <c r="B4979" t="n">
        <v>135</v>
      </c>
      <c r="C4979" t="n">
        <v>2</v>
      </c>
      <c r="D4979" s="218" t="n">
        <v>99.4</v>
      </c>
      <c r="E4979" s="218" t="n">
        <v>3.55</v>
      </c>
      <c r="F4979" t="str">
        <v>https://re.jrc.ec.europa.eu/api/v5_3/PVcalc?lat=30.0444&amp;lon=31.2357&amp;peakpower=1&amp;loss=14&amp;angle=80&amp;aspect=-45&amp;outputformat=json&amp;raddatabase=PVGIS-SARAH3&amp;pvtechchoice=crystSi&amp;mountingplace=free&amp;usehorizon=1</v>
      </c>
    </row>
    <row r="4980">
      <c r="A4980" t="n">
        <v>80</v>
      </c>
      <c r="B4980" t="n">
        <v>135</v>
      </c>
      <c r="C4980" t="n">
        <v>3</v>
      </c>
      <c r="D4980" s="218" t="n">
        <v>109.04</v>
      </c>
      <c r="E4980" s="218" t="n">
        <v>3.52</v>
      </c>
      <c r="F4980" t="str">
        <v>https://re.jrc.ec.europa.eu/api/v5_3/PVcalc?lat=30.0444&amp;lon=31.2357&amp;peakpower=1&amp;loss=14&amp;angle=80&amp;aspect=-45&amp;outputformat=json&amp;raddatabase=PVGIS-SARAH3&amp;pvtechchoice=crystSi&amp;mountingplace=free&amp;usehorizon=1</v>
      </c>
    </row>
    <row r="4981">
      <c r="A4981" t="n">
        <v>80</v>
      </c>
      <c r="B4981" t="n">
        <v>135</v>
      </c>
      <c r="C4981" t="n">
        <v>4</v>
      </c>
      <c r="D4981" s="218" t="n">
        <v>96.8</v>
      </c>
      <c r="E4981" s="218" t="n">
        <v>3.23</v>
      </c>
      <c r="F4981" t="str">
        <v>https://re.jrc.ec.europa.eu/api/v5_3/PVcalc?lat=30.0444&amp;lon=31.2357&amp;peakpower=1&amp;loss=14&amp;angle=80&amp;aspect=-45&amp;outputformat=json&amp;raddatabase=PVGIS-SARAH3&amp;pvtechchoice=crystSi&amp;mountingplace=free&amp;usehorizon=1</v>
      </c>
    </row>
    <row r="4982">
      <c r="A4982" t="n">
        <v>80</v>
      </c>
      <c r="B4982" t="n">
        <v>135</v>
      </c>
      <c r="C4982" t="n">
        <v>5</v>
      </c>
      <c r="D4982" s="218" t="n">
        <v>90.48</v>
      </c>
      <c r="E4982" s="218" t="n">
        <v>2.92</v>
      </c>
      <c r="F4982" t="str">
        <v>https://re.jrc.ec.europa.eu/api/v5_3/PVcalc?lat=30.0444&amp;lon=31.2357&amp;peakpower=1&amp;loss=14&amp;angle=80&amp;aspect=-45&amp;outputformat=json&amp;raddatabase=PVGIS-SARAH3&amp;pvtechchoice=crystSi&amp;mountingplace=free&amp;usehorizon=1</v>
      </c>
    </row>
    <row r="4983">
      <c r="A4983" t="n">
        <v>80</v>
      </c>
      <c r="B4983" t="n">
        <v>135</v>
      </c>
      <c r="C4983" t="n">
        <v>6</v>
      </c>
      <c r="D4983" s="218" t="n">
        <v>81.85</v>
      </c>
      <c r="E4983" s="218" t="n">
        <v>2.73</v>
      </c>
      <c r="F4983" t="str">
        <v>https://re.jrc.ec.europa.eu/api/v5_3/PVcalc?lat=30.0444&amp;lon=31.2357&amp;peakpower=1&amp;loss=14&amp;angle=80&amp;aspect=-45&amp;outputformat=json&amp;raddatabase=PVGIS-SARAH3&amp;pvtechchoice=crystSi&amp;mountingplace=free&amp;usehorizon=1</v>
      </c>
    </row>
    <row r="4984">
      <c r="A4984" t="n">
        <v>80</v>
      </c>
      <c r="B4984" t="n">
        <v>135</v>
      </c>
      <c r="C4984" t="n">
        <v>7</v>
      </c>
      <c r="D4984" s="218" t="n">
        <v>85.42</v>
      </c>
      <c r="E4984" s="218" t="n">
        <v>2.76</v>
      </c>
      <c r="F4984" t="str">
        <v>https://re.jrc.ec.europa.eu/api/v5_3/PVcalc?lat=30.0444&amp;lon=31.2357&amp;peakpower=1&amp;loss=14&amp;angle=80&amp;aspect=-45&amp;outputformat=json&amp;raddatabase=PVGIS-SARAH3&amp;pvtechchoice=crystSi&amp;mountingplace=free&amp;usehorizon=1</v>
      </c>
    </row>
    <row r="4985">
      <c r="A4985" t="n">
        <v>80</v>
      </c>
      <c r="B4985" t="n">
        <v>135</v>
      </c>
      <c r="C4985" t="n">
        <v>8</v>
      </c>
      <c r="D4985" s="218" t="n">
        <v>94.73</v>
      </c>
      <c r="E4985" s="218" t="n">
        <v>3.06</v>
      </c>
      <c r="F4985" t="str">
        <v>https://re.jrc.ec.europa.eu/api/v5_3/PVcalc?lat=30.0444&amp;lon=31.2357&amp;peakpower=1&amp;loss=14&amp;angle=80&amp;aspect=-45&amp;outputformat=json&amp;raddatabase=PVGIS-SARAH3&amp;pvtechchoice=crystSi&amp;mountingplace=free&amp;usehorizon=1</v>
      </c>
    </row>
    <row r="4986">
      <c r="A4986" t="n">
        <v>80</v>
      </c>
      <c r="B4986" t="n">
        <v>135</v>
      </c>
      <c r="C4986" t="n">
        <v>9</v>
      </c>
      <c r="D4986" s="218" t="n">
        <v>100.87</v>
      </c>
      <c r="E4986" s="218" t="n">
        <v>3.36</v>
      </c>
      <c r="F4986" t="str">
        <v>https://re.jrc.ec.europa.eu/api/v5_3/PVcalc?lat=30.0444&amp;lon=31.2357&amp;peakpower=1&amp;loss=14&amp;angle=80&amp;aspect=-45&amp;outputformat=json&amp;raddatabase=PVGIS-SARAH3&amp;pvtechchoice=crystSi&amp;mountingplace=free&amp;usehorizon=1</v>
      </c>
    </row>
    <row r="4987">
      <c r="A4987" t="n">
        <v>80</v>
      </c>
      <c r="B4987" t="n">
        <v>135</v>
      </c>
      <c r="C4987" t="n">
        <v>10</v>
      </c>
      <c r="D4987" s="218" t="n">
        <v>110.51</v>
      </c>
      <c r="E4987" s="218" t="n">
        <v>3.56</v>
      </c>
      <c r="F4987" t="str">
        <v>https://re.jrc.ec.europa.eu/api/v5_3/PVcalc?lat=30.0444&amp;lon=31.2357&amp;peakpower=1&amp;loss=14&amp;angle=80&amp;aspect=-45&amp;outputformat=json&amp;raddatabase=PVGIS-SARAH3&amp;pvtechchoice=crystSi&amp;mountingplace=free&amp;usehorizon=1</v>
      </c>
    </row>
    <row r="4988">
      <c r="A4988" t="n">
        <v>80</v>
      </c>
      <c r="B4988" t="n">
        <v>135</v>
      </c>
      <c r="C4988" t="n">
        <v>11</v>
      </c>
      <c r="D4988" s="218" t="n">
        <v>108.4</v>
      </c>
      <c r="E4988" s="218" t="n">
        <v>3.61</v>
      </c>
      <c r="F4988" t="str">
        <v>https://re.jrc.ec.europa.eu/api/v5_3/PVcalc?lat=30.0444&amp;lon=31.2357&amp;peakpower=1&amp;loss=14&amp;angle=80&amp;aspect=-45&amp;outputformat=json&amp;raddatabase=PVGIS-SARAH3&amp;pvtechchoice=crystSi&amp;mountingplace=free&amp;usehorizon=1</v>
      </c>
    </row>
    <row r="4989">
      <c r="A4989" t="n">
        <v>80</v>
      </c>
      <c r="B4989" t="n">
        <v>135</v>
      </c>
      <c r="C4989" t="n">
        <v>12</v>
      </c>
      <c r="D4989" s="218" t="n">
        <v>108.43</v>
      </c>
      <c r="E4989" s="218" t="n">
        <v>3.5</v>
      </c>
      <c r="F4989" t="str">
        <v>https://re.jrc.ec.europa.eu/api/v5_3/PVcalc?lat=30.0444&amp;lon=31.2357&amp;peakpower=1&amp;loss=14&amp;angle=80&amp;aspect=-45&amp;outputformat=json&amp;raddatabase=PVGIS-SARAH3&amp;pvtechchoice=crystSi&amp;mountingplace=free&amp;usehorizon=1</v>
      </c>
    </row>
    <row r="4990">
      <c r="A4990" t="n">
        <v>80</v>
      </c>
      <c r="B4990" t="n">
        <v>150</v>
      </c>
      <c r="C4990" t="n">
        <v>1</v>
      </c>
      <c r="D4990" s="218" t="n">
        <v>119.73</v>
      </c>
      <c r="E4990" s="218" t="n">
        <v>3.86</v>
      </c>
      <c r="F4990" t="str">
        <v>https://re.jrc.ec.europa.eu/api/v5_3/PVcalc?lat=30.0444&amp;lon=31.2357&amp;peakpower=1&amp;loss=14&amp;angle=80&amp;aspect=-30&amp;outputformat=json&amp;raddatabase=PVGIS-SARAH3&amp;pvtechchoice=crystSi&amp;mountingplace=free&amp;usehorizon=1</v>
      </c>
    </row>
    <row r="4991">
      <c r="A4991" t="n">
        <v>80</v>
      </c>
      <c r="B4991" t="n">
        <v>150</v>
      </c>
      <c r="C4991" t="n">
        <v>2</v>
      </c>
      <c r="D4991" s="218" t="n">
        <v>108.14</v>
      </c>
      <c r="E4991" s="218" t="n">
        <v>3.86</v>
      </c>
      <c r="F4991" t="str">
        <v>https://re.jrc.ec.europa.eu/api/v5_3/PVcalc?lat=30.0444&amp;lon=31.2357&amp;peakpower=1&amp;loss=14&amp;angle=80&amp;aspect=-30&amp;outputformat=json&amp;raddatabase=PVGIS-SARAH3&amp;pvtechchoice=crystSi&amp;mountingplace=free&amp;usehorizon=1</v>
      </c>
    </row>
    <row r="4992">
      <c r="A4992" t="n">
        <v>80</v>
      </c>
      <c r="B4992" t="n">
        <v>150</v>
      </c>
      <c r="C4992" t="n">
        <v>3</v>
      </c>
      <c r="D4992" s="218" t="n">
        <v>113.95</v>
      </c>
      <c r="E4992" s="218" t="n">
        <v>3.68</v>
      </c>
      <c r="F4992" t="str">
        <v>https://re.jrc.ec.europa.eu/api/v5_3/PVcalc?lat=30.0444&amp;lon=31.2357&amp;peakpower=1&amp;loss=14&amp;angle=80&amp;aspect=-30&amp;outputformat=json&amp;raddatabase=PVGIS-SARAH3&amp;pvtechchoice=crystSi&amp;mountingplace=free&amp;usehorizon=1</v>
      </c>
    </row>
    <row r="4993">
      <c r="A4993" t="n">
        <v>80</v>
      </c>
      <c r="B4993" t="n">
        <v>150</v>
      </c>
      <c r="C4993" t="n">
        <v>4</v>
      </c>
      <c r="D4993" s="218" t="n">
        <v>95.5</v>
      </c>
      <c r="E4993" s="218" t="n">
        <v>3.18</v>
      </c>
      <c r="F4993" t="str">
        <v>https://re.jrc.ec.europa.eu/api/v5_3/PVcalc?lat=30.0444&amp;lon=31.2357&amp;peakpower=1&amp;loss=14&amp;angle=80&amp;aspect=-30&amp;outputformat=json&amp;raddatabase=PVGIS-SARAH3&amp;pvtechchoice=crystSi&amp;mountingplace=free&amp;usehorizon=1</v>
      </c>
    </row>
    <row r="4994">
      <c r="A4994" t="n">
        <v>80</v>
      </c>
      <c r="B4994" t="n">
        <v>150</v>
      </c>
      <c r="C4994" t="n">
        <v>5</v>
      </c>
      <c r="D4994" s="218" t="n">
        <v>82.27</v>
      </c>
      <c r="E4994" s="218" t="n">
        <v>2.65</v>
      </c>
      <c r="F4994" t="str">
        <v>https://re.jrc.ec.europa.eu/api/v5_3/PVcalc?lat=30.0444&amp;lon=31.2357&amp;peakpower=1&amp;loss=14&amp;angle=80&amp;aspect=-30&amp;outputformat=json&amp;raddatabase=PVGIS-SARAH3&amp;pvtechchoice=crystSi&amp;mountingplace=free&amp;usehorizon=1</v>
      </c>
    </row>
    <row r="4995">
      <c r="A4995" t="n">
        <v>80</v>
      </c>
      <c r="B4995" t="n">
        <v>150</v>
      </c>
      <c r="C4995" t="n">
        <v>6</v>
      </c>
      <c r="D4995" s="218" t="n">
        <v>70.46</v>
      </c>
      <c r="E4995" s="218" t="n">
        <v>2.35</v>
      </c>
      <c r="F4995" t="str">
        <v>https://re.jrc.ec.europa.eu/api/v5_3/PVcalc?lat=30.0444&amp;lon=31.2357&amp;peakpower=1&amp;loss=14&amp;angle=80&amp;aspect=-30&amp;outputformat=json&amp;raddatabase=PVGIS-SARAH3&amp;pvtechchoice=crystSi&amp;mountingplace=free&amp;usehorizon=1</v>
      </c>
    </row>
    <row r="4996">
      <c r="A4996" t="n">
        <v>80</v>
      </c>
      <c r="B4996" t="n">
        <v>150</v>
      </c>
      <c r="C4996" t="n">
        <v>7</v>
      </c>
      <c r="D4996" s="218" t="n">
        <v>75.65</v>
      </c>
      <c r="E4996" s="218" t="n">
        <v>2.44</v>
      </c>
      <c r="F4996" t="str">
        <v>https://re.jrc.ec.europa.eu/api/v5_3/PVcalc?lat=30.0444&amp;lon=31.2357&amp;peakpower=1&amp;loss=14&amp;angle=80&amp;aspect=-30&amp;outputformat=json&amp;raddatabase=PVGIS-SARAH3&amp;pvtechchoice=crystSi&amp;mountingplace=free&amp;usehorizon=1</v>
      </c>
    </row>
    <row r="4997">
      <c r="A4997" t="n">
        <v>80</v>
      </c>
      <c r="B4997" t="n">
        <v>150</v>
      </c>
      <c r="C4997" t="n">
        <v>8</v>
      </c>
      <c r="D4997" s="218" t="n">
        <v>90.58</v>
      </c>
      <c r="E4997" s="218" t="n">
        <v>2.92</v>
      </c>
      <c r="F4997" t="str">
        <v>https://re.jrc.ec.europa.eu/api/v5_3/PVcalc?lat=30.0444&amp;lon=31.2357&amp;peakpower=1&amp;loss=14&amp;angle=80&amp;aspect=-30&amp;outputformat=json&amp;raddatabase=PVGIS-SARAH3&amp;pvtechchoice=crystSi&amp;mountingplace=free&amp;usehorizon=1</v>
      </c>
    </row>
    <row r="4998">
      <c r="A4998" t="n">
        <v>80</v>
      </c>
      <c r="B4998" t="n">
        <v>150</v>
      </c>
      <c r="C4998" t="n">
        <v>9</v>
      </c>
      <c r="D4998" s="218" t="n">
        <v>104.1</v>
      </c>
      <c r="E4998" s="218" t="n">
        <v>3.47</v>
      </c>
      <c r="F4998" t="str">
        <v>https://re.jrc.ec.europa.eu/api/v5_3/PVcalc?lat=30.0444&amp;lon=31.2357&amp;peakpower=1&amp;loss=14&amp;angle=80&amp;aspect=-30&amp;outputformat=json&amp;raddatabase=PVGIS-SARAH3&amp;pvtechchoice=crystSi&amp;mountingplace=free&amp;usehorizon=1</v>
      </c>
    </row>
    <row r="4999">
      <c r="A4999" t="n">
        <v>80</v>
      </c>
      <c r="B4999" t="n">
        <v>150</v>
      </c>
      <c r="C4999" t="n">
        <v>10</v>
      </c>
      <c r="D4999" s="218" t="n">
        <v>119.8</v>
      </c>
      <c r="E4999" s="218" t="n">
        <v>3.86</v>
      </c>
      <c r="F4999" t="str">
        <v>https://re.jrc.ec.europa.eu/api/v5_3/PVcalc?lat=30.0444&amp;lon=31.2357&amp;peakpower=1&amp;loss=14&amp;angle=80&amp;aspect=-30&amp;outputformat=json&amp;raddatabase=PVGIS-SARAH3&amp;pvtechchoice=crystSi&amp;mountingplace=free&amp;usehorizon=1</v>
      </c>
    </row>
    <row r="5000">
      <c r="A5000" t="n">
        <v>80</v>
      </c>
      <c r="B5000" t="n">
        <v>150</v>
      </c>
      <c r="C5000" t="n">
        <v>11</v>
      </c>
      <c r="D5000" s="218" t="n">
        <v>121.84</v>
      </c>
      <c r="E5000" s="218" t="n">
        <v>4.06</v>
      </c>
      <c r="F5000" t="str">
        <v>https://re.jrc.ec.europa.eu/api/v5_3/PVcalc?lat=30.0444&amp;lon=31.2357&amp;peakpower=1&amp;loss=14&amp;angle=80&amp;aspect=-30&amp;outputformat=json&amp;raddatabase=PVGIS-SARAH3&amp;pvtechchoice=crystSi&amp;mountingplace=free&amp;usehorizon=1</v>
      </c>
    </row>
    <row r="5001">
      <c r="A5001" t="n">
        <v>80</v>
      </c>
      <c r="B5001" t="n">
        <v>150</v>
      </c>
      <c r="C5001" t="n">
        <v>12</v>
      </c>
      <c r="D5001" s="218" t="n">
        <v>123.38</v>
      </c>
      <c r="E5001" s="218" t="n">
        <v>3.98</v>
      </c>
      <c r="F5001" t="str">
        <v>https://re.jrc.ec.europa.eu/api/v5_3/PVcalc?lat=30.0444&amp;lon=31.2357&amp;peakpower=1&amp;loss=14&amp;angle=80&amp;aspect=-30&amp;outputformat=json&amp;raddatabase=PVGIS-SARAH3&amp;pvtechchoice=crystSi&amp;mountingplace=free&amp;usehorizon=1</v>
      </c>
    </row>
    <row r="5002">
      <c r="A5002" t="n">
        <v>80</v>
      </c>
      <c r="B5002" t="n">
        <v>165</v>
      </c>
      <c r="C5002" t="n">
        <v>1</v>
      </c>
      <c r="D5002" s="218" t="n">
        <v>129.81</v>
      </c>
      <c r="E5002" s="218" t="n">
        <v>4.19</v>
      </c>
      <c r="F5002" t="str">
        <v>https://re.jrc.ec.europa.eu/api/v5_3/PVcalc?lat=30.0444&amp;lon=31.2357&amp;peakpower=1&amp;loss=14&amp;angle=80&amp;aspect=-15&amp;outputformat=json&amp;raddatabase=PVGIS-SARAH3&amp;pvtechchoice=crystSi&amp;mountingplace=free&amp;usehorizon=1</v>
      </c>
    </row>
    <row r="5003">
      <c r="A5003" t="n">
        <v>80</v>
      </c>
      <c r="B5003" t="n">
        <v>165</v>
      </c>
      <c r="C5003" t="n">
        <v>2</v>
      </c>
      <c r="D5003" s="218" t="n">
        <v>114.83</v>
      </c>
      <c r="E5003" s="218" t="n">
        <v>4.1</v>
      </c>
      <c r="F5003" t="str">
        <v>https://re.jrc.ec.europa.eu/api/v5_3/PVcalc?lat=30.0444&amp;lon=31.2357&amp;peakpower=1&amp;loss=14&amp;angle=80&amp;aspect=-15&amp;outputformat=json&amp;raddatabase=PVGIS-SARAH3&amp;pvtechchoice=crystSi&amp;mountingplace=free&amp;usehorizon=1</v>
      </c>
    </row>
    <row r="5004">
      <c r="A5004" t="n">
        <v>80</v>
      </c>
      <c r="B5004" t="n">
        <v>165</v>
      </c>
      <c r="C5004" t="n">
        <v>3</v>
      </c>
      <c r="D5004" s="218" t="n">
        <v>118.07</v>
      </c>
      <c r="E5004" s="218" t="n">
        <v>3.81</v>
      </c>
      <c r="F5004" t="str">
        <v>https://re.jrc.ec.europa.eu/api/v5_3/PVcalc?lat=30.0444&amp;lon=31.2357&amp;peakpower=1&amp;loss=14&amp;angle=80&amp;aspect=-15&amp;outputformat=json&amp;raddatabase=PVGIS-SARAH3&amp;pvtechchoice=crystSi&amp;mountingplace=free&amp;usehorizon=1</v>
      </c>
    </row>
    <row r="5005">
      <c r="A5005" t="n">
        <v>80</v>
      </c>
      <c r="B5005" t="n">
        <v>165</v>
      </c>
      <c r="C5005" t="n">
        <v>4</v>
      </c>
      <c r="D5005" s="218" t="n">
        <v>93.17</v>
      </c>
      <c r="E5005" s="218" t="n">
        <v>3.11</v>
      </c>
      <c r="F5005" t="str">
        <v>https://re.jrc.ec.europa.eu/api/v5_3/PVcalc?lat=30.0444&amp;lon=31.2357&amp;peakpower=1&amp;loss=14&amp;angle=80&amp;aspect=-15&amp;outputformat=json&amp;raddatabase=PVGIS-SARAH3&amp;pvtechchoice=crystSi&amp;mountingplace=free&amp;usehorizon=1</v>
      </c>
    </row>
    <row r="5006">
      <c r="A5006" t="n">
        <v>80</v>
      </c>
      <c r="B5006" t="n">
        <v>165</v>
      </c>
      <c r="C5006" t="n">
        <v>5</v>
      </c>
      <c r="D5006" s="218" t="n">
        <v>73.6</v>
      </c>
      <c r="E5006" s="218" t="n">
        <v>2.37</v>
      </c>
      <c r="F5006" t="str">
        <v>https://re.jrc.ec.europa.eu/api/v5_3/PVcalc?lat=30.0444&amp;lon=31.2357&amp;peakpower=1&amp;loss=14&amp;angle=80&amp;aspect=-15&amp;outputformat=json&amp;raddatabase=PVGIS-SARAH3&amp;pvtechchoice=crystSi&amp;mountingplace=free&amp;usehorizon=1</v>
      </c>
    </row>
    <row r="5007">
      <c r="A5007" t="n">
        <v>80</v>
      </c>
      <c r="B5007" t="n">
        <v>165</v>
      </c>
      <c r="C5007" t="n">
        <v>6</v>
      </c>
      <c r="D5007" s="218" t="n">
        <v>58.9</v>
      </c>
      <c r="E5007" s="218" t="n">
        <v>1.96</v>
      </c>
      <c r="F5007" t="str">
        <v>https://re.jrc.ec.europa.eu/api/v5_3/PVcalc?lat=30.0444&amp;lon=31.2357&amp;peakpower=1&amp;loss=14&amp;angle=80&amp;aspect=-15&amp;outputformat=json&amp;raddatabase=PVGIS-SARAH3&amp;pvtechchoice=crystSi&amp;mountingplace=free&amp;usehorizon=1</v>
      </c>
    </row>
    <row r="5008">
      <c r="A5008" t="n">
        <v>80</v>
      </c>
      <c r="B5008" t="n">
        <v>165</v>
      </c>
      <c r="C5008" t="n">
        <v>7</v>
      </c>
      <c r="D5008" s="218" t="n">
        <v>65.39</v>
      </c>
      <c r="E5008" s="218" t="n">
        <v>2.11</v>
      </c>
      <c r="F5008" t="str">
        <v>https://re.jrc.ec.europa.eu/api/v5_3/PVcalc?lat=30.0444&amp;lon=31.2357&amp;peakpower=1&amp;loss=14&amp;angle=80&amp;aspect=-15&amp;outputformat=json&amp;raddatabase=PVGIS-SARAH3&amp;pvtechchoice=crystSi&amp;mountingplace=free&amp;usehorizon=1</v>
      </c>
    </row>
    <row r="5009">
      <c r="A5009" t="n">
        <v>80</v>
      </c>
      <c r="B5009" t="n">
        <v>165</v>
      </c>
      <c r="C5009" t="n">
        <v>8</v>
      </c>
      <c r="D5009" s="218" t="n">
        <v>85.25</v>
      </c>
      <c r="E5009" s="218" t="n">
        <v>2.75</v>
      </c>
      <c r="F5009" t="str">
        <v>https://re.jrc.ec.europa.eu/api/v5_3/PVcalc?lat=30.0444&amp;lon=31.2357&amp;peakpower=1&amp;loss=14&amp;angle=80&amp;aspect=-15&amp;outputformat=json&amp;raddatabase=PVGIS-SARAH3&amp;pvtechchoice=crystSi&amp;mountingplace=free&amp;usehorizon=1</v>
      </c>
    </row>
    <row r="5010">
      <c r="A5010" t="n">
        <v>80</v>
      </c>
      <c r="B5010" t="n">
        <v>165</v>
      </c>
      <c r="C5010" t="n">
        <v>9</v>
      </c>
      <c r="D5010" s="218" t="n">
        <v>106.72</v>
      </c>
      <c r="E5010" s="218" t="n">
        <v>3.56</v>
      </c>
      <c r="F5010" t="str">
        <v>https://re.jrc.ec.europa.eu/api/v5_3/PVcalc?lat=30.0444&amp;lon=31.2357&amp;peakpower=1&amp;loss=14&amp;angle=80&amp;aspect=-15&amp;outputformat=json&amp;raddatabase=PVGIS-SARAH3&amp;pvtechchoice=crystSi&amp;mountingplace=free&amp;usehorizon=1</v>
      </c>
    </row>
    <row r="5011">
      <c r="A5011" t="n">
        <v>80</v>
      </c>
      <c r="B5011" t="n">
        <v>165</v>
      </c>
      <c r="C5011" t="n">
        <v>10</v>
      </c>
      <c r="D5011" s="218" t="n">
        <v>127.89</v>
      </c>
      <c r="E5011" s="218" t="n">
        <v>4.13</v>
      </c>
      <c r="F5011" t="str">
        <v>https://re.jrc.ec.europa.eu/api/v5_3/PVcalc?lat=30.0444&amp;lon=31.2357&amp;peakpower=1&amp;loss=14&amp;angle=80&amp;aspect=-15&amp;outputformat=json&amp;raddatabase=PVGIS-SARAH3&amp;pvtechchoice=crystSi&amp;mountingplace=free&amp;usehorizon=1</v>
      </c>
    </row>
    <row r="5012">
      <c r="A5012" t="n">
        <v>80</v>
      </c>
      <c r="B5012" t="n">
        <v>165</v>
      </c>
      <c r="C5012" t="n">
        <v>11</v>
      </c>
      <c r="D5012" s="218" t="n">
        <v>132.27</v>
      </c>
      <c r="E5012" s="218" t="n">
        <v>4.41</v>
      </c>
      <c r="F5012" t="str">
        <v>https://re.jrc.ec.europa.eu/api/v5_3/PVcalc?lat=30.0444&amp;lon=31.2357&amp;peakpower=1&amp;loss=14&amp;angle=80&amp;aspect=-15&amp;outputformat=json&amp;raddatabase=PVGIS-SARAH3&amp;pvtechchoice=crystSi&amp;mountingplace=free&amp;usehorizon=1</v>
      </c>
    </row>
    <row r="5013">
      <c r="A5013" t="n">
        <v>80</v>
      </c>
      <c r="B5013" t="n">
        <v>165</v>
      </c>
      <c r="C5013" t="n">
        <v>12</v>
      </c>
      <c r="D5013" s="218" t="n">
        <v>133.95</v>
      </c>
      <c r="E5013" s="218" t="n">
        <v>4.32</v>
      </c>
      <c r="F5013" t="str">
        <v>https://re.jrc.ec.europa.eu/api/v5_3/PVcalc?lat=30.0444&amp;lon=31.2357&amp;peakpower=1&amp;loss=14&amp;angle=80&amp;aspect=-15&amp;outputformat=json&amp;raddatabase=PVGIS-SARAH3&amp;pvtechchoice=crystSi&amp;mountingplace=free&amp;usehorizon=1</v>
      </c>
    </row>
    <row r="5014">
      <c r="A5014" t="n">
        <v>80</v>
      </c>
      <c r="B5014" t="n">
        <v>180</v>
      </c>
      <c r="C5014" t="n">
        <v>1</v>
      </c>
      <c r="D5014" s="218" t="n">
        <v>132.92</v>
      </c>
      <c r="E5014" s="218" t="n">
        <v>4.29</v>
      </c>
      <c r="F5014" t="str">
        <v>https://re.jrc.ec.europa.eu/api/v5_3/PVcalc?lat=30.0444&amp;lon=31.2357&amp;peakpower=1&amp;loss=14&amp;angle=80&amp;aspect=0&amp;outputformat=json&amp;raddatabase=PVGIS-SARAH3&amp;pvtechchoice=crystSi&amp;mountingplace=free&amp;usehorizon=1</v>
      </c>
    </row>
    <row r="5015">
      <c r="A5015" t="n">
        <v>80</v>
      </c>
      <c r="B5015" t="n">
        <v>180</v>
      </c>
      <c r="C5015" t="n">
        <v>2</v>
      </c>
      <c r="D5015" s="218" t="n">
        <v>117.06</v>
      </c>
      <c r="E5015" s="218" t="n">
        <v>4.18</v>
      </c>
      <c r="F5015" t="str">
        <v>https://re.jrc.ec.europa.eu/api/v5_3/PVcalc?lat=30.0444&amp;lon=31.2357&amp;peakpower=1&amp;loss=14&amp;angle=80&amp;aspect=0&amp;outputformat=json&amp;raddatabase=PVGIS-SARAH3&amp;pvtechchoice=crystSi&amp;mountingplace=free&amp;usehorizon=1</v>
      </c>
    </row>
    <row r="5016">
      <c r="A5016" t="n">
        <v>80</v>
      </c>
      <c r="B5016" t="n">
        <v>180</v>
      </c>
      <c r="C5016" t="n">
        <v>3</v>
      </c>
      <c r="D5016" s="218" t="n">
        <v>120.77</v>
      </c>
      <c r="E5016" s="218" t="n">
        <v>3.9</v>
      </c>
      <c r="F5016" t="str">
        <v>https://re.jrc.ec.europa.eu/api/v5_3/PVcalc?lat=30.0444&amp;lon=31.2357&amp;peakpower=1&amp;loss=14&amp;angle=80&amp;aspect=0&amp;outputformat=json&amp;raddatabase=PVGIS-SARAH3&amp;pvtechchoice=crystSi&amp;mountingplace=free&amp;usehorizon=1</v>
      </c>
    </row>
    <row r="5017">
      <c r="A5017" t="n">
        <v>80</v>
      </c>
      <c r="B5017" t="n">
        <v>180</v>
      </c>
      <c r="C5017" t="n">
        <v>4</v>
      </c>
      <c r="D5017" s="218" t="n">
        <v>92.24</v>
      </c>
      <c r="E5017" s="218" t="n">
        <v>3.07</v>
      </c>
      <c r="F5017" t="str">
        <v>https://re.jrc.ec.europa.eu/api/v5_3/PVcalc?lat=30.0444&amp;lon=31.2357&amp;peakpower=1&amp;loss=14&amp;angle=80&amp;aspect=0&amp;outputformat=json&amp;raddatabase=PVGIS-SARAH3&amp;pvtechchoice=crystSi&amp;mountingplace=free&amp;usehorizon=1</v>
      </c>
    </row>
    <row r="5018">
      <c r="A5018" t="n">
        <v>80</v>
      </c>
      <c r="B5018" t="n">
        <v>180</v>
      </c>
      <c r="C5018" t="n">
        <v>5</v>
      </c>
      <c r="D5018" s="218" t="n">
        <v>69.12</v>
      </c>
      <c r="E5018" s="218" t="n">
        <v>2.23</v>
      </c>
      <c r="F5018" t="str">
        <v>https://re.jrc.ec.europa.eu/api/v5_3/PVcalc?lat=30.0444&amp;lon=31.2357&amp;peakpower=1&amp;loss=14&amp;angle=80&amp;aspect=0&amp;outputformat=json&amp;raddatabase=PVGIS-SARAH3&amp;pvtechchoice=crystSi&amp;mountingplace=free&amp;usehorizon=1</v>
      </c>
    </row>
    <row r="5019">
      <c r="A5019" t="n">
        <v>80</v>
      </c>
      <c r="B5019" t="n">
        <v>180</v>
      </c>
      <c r="C5019" t="n">
        <v>6</v>
      </c>
      <c r="D5019" s="218" t="n">
        <v>53.56</v>
      </c>
      <c r="E5019" s="218" t="n">
        <v>1.79</v>
      </c>
      <c r="F5019" t="str">
        <v>https://re.jrc.ec.europa.eu/api/v5_3/PVcalc?lat=30.0444&amp;lon=31.2357&amp;peakpower=1&amp;loss=14&amp;angle=80&amp;aspect=0&amp;outputformat=json&amp;raddatabase=PVGIS-SARAH3&amp;pvtechchoice=crystSi&amp;mountingplace=free&amp;usehorizon=1</v>
      </c>
    </row>
    <row r="5020">
      <c r="A5020" t="n">
        <v>80</v>
      </c>
      <c r="B5020" t="n">
        <v>180</v>
      </c>
      <c r="C5020" t="n">
        <v>7</v>
      </c>
      <c r="D5020" s="218" t="n">
        <v>60.46</v>
      </c>
      <c r="E5020" s="218" t="n">
        <v>1.95</v>
      </c>
      <c r="F5020" t="str">
        <v>https://re.jrc.ec.europa.eu/api/v5_3/PVcalc?lat=30.0444&amp;lon=31.2357&amp;peakpower=1&amp;loss=14&amp;angle=80&amp;aspect=0&amp;outputformat=json&amp;raddatabase=PVGIS-SARAH3&amp;pvtechchoice=crystSi&amp;mountingplace=free&amp;usehorizon=1</v>
      </c>
    </row>
    <row r="5021">
      <c r="A5021" t="n">
        <v>80</v>
      </c>
      <c r="B5021" t="n">
        <v>180</v>
      </c>
      <c r="C5021" t="n">
        <v>8</v>
      </c>
      <c r="D5021" s="218" t="n">
        <v>82.52</v>
      </c>
      <c r="E5021" s="218" t="n">
        <v>2.66</v>
      </c>
      <c r="F5021" t="str">
        <v>https://re.jrc.ec.europa.eu/api/v5_3/PVcalc?lat=30.0444&amp;lon=31.2357&amp;peakpower=1&amp;loss=14&amp;angle=80&amp;aspect=0&amp;outputformat=json&amp;raddatabase=PVGIS-SARAH3&amp;pvtechchoice=crystSi&amp;mountingplace=free&amp;usehorizon=1</v>
      </c>
    </row>
    <row r="5022">
      <c r="A5022" t="n">
        <v>80</v>
      </c>
      <c r="B5022" t="n">
        <v>180</v>
      </c>
      <c r="C5022" t="n">
        <v>9</v>
      </c>
      <c r="D5022" s="218" t="n">
        <v>109.17</v>
      </c>
      <c r="E5022" s="218" t="n">
        <v>3.64</v>
      </c>
      <c r="F5022" t="str">
        <v>https://re.jrc.ec.europa.eu/api/v5_3/PVcalc?lat=30.0444&amp;lon=31.2357&amp;peakpower=1&amp;loss=14&amp;angle=80&amp;aspect=0&amp;outputformat=json&amp;raddatabase=PVGIS-SARAH3&amp;pvtechchoice=crystSi&amp;mountingplace=free&amp;usehorizon=1</v>
      </c>
    </row>
    <row r="5023">
      <c r="A5023" t="n">
        <v>80</v>
      </c>
      <c r="B5023" t="n">
        <v>180</v>
      </c>
      <c r="C5023" t="n">
        <v>10</v>
      </c>
      <c r="D5023" s="218" t="n">
        <v>132.05</v>
      </c>
      <c r="E5023" s="218" t="n">
        <v>4.26</v>
      </c>
      <c r="F5023" t="str">
        <v>https://re.jrc.ec.europa.eu/api/v5_3/PVcalc?lat=30.0444&amp;lon=31.2357&amp;peakpower=1&amp;loss=14&amp;angle=80&amp;aspect=0&amp;outputformat=json&amp;raddatabase=PVGIS-SARAH3&amp;pvtechchoice=crystSi&amp;mountingplace=free&amp;usehorizon=1</v>
      </c>
    </row>
    <row r="5024">
      <c r="A5024" t="n">
        <v>80</v>
      </c>
      <c r="B5024" t="n">
        <v>180</v>
      </c>
      <c r="C5024" t="n">
        <v>11</v>
      </c>
      <c r="D5024" s="218" t="n">
        <v>135.94</v>
      </c>
      <c r="E5024" s="218" t="n">
        <v>4.53</v>
      </c>
      <c r="F5024" t="str">
        <v>https://re.jrc.ec.europa.eu/api/v5_3/PVcalc?lat=30.0444&amp;lon=31.2357&amp;peakpower=1&amp;loss=14&amp;angle=80&amp;aspect=0&amp;outputformat=json&amp;raddatabase=PVGIS-SARAH3&amp;pvtechchoice=crystSi&amp;mountingplace=free&amp;usehorizon=1</v>
      </c>
    </row>
    <row r="5025">
      <c r="A5025" t="n">
        <v>80</v>
      </c>
      <c r="B5025" t="n">
        <v>180</v>
      </c>
      <c r="C5025" t="n">
        <v>12</v>
      </c>
      <c r="D5025" s="218" t="n">
        <v>137.18</v>
      </c>
      <c r="E5025" s="218" t="n">
        <v>4.43</v>
      </c>
      <c r="F5025" t="str">
        <v>https://re.jrc.ec.europa.eu/api/v5_3/PVcalc?lat=30.0444&amp;lon=31.2357&amp;peakpower=1&amp;loss=14&amp;angle=80&amp;aspect=0&amp;outputformat=json&amp;raddatabase=PVGIS-SARAH3&amp;pvtechchoice=crystSi&amp;mountingplace=free&amp;usehorizon=1</v>
      </c>
    </row>
    <row r="5026">
      <c r="A5026" t="n">
        <v>80</v>
      </c>
      <c r="B5026" t="n">
        <v>195</v>
      </c>
      <c r="C5026" t="n">
        <v>1</v>
      </c>
      <c r="D5026" s="218" t="n">
        <v>128.51</v>
      </c>
      <c r="E5026" s="218" t="n">
        <v>4.15</v>
      </c>
      <c r="F5026" t="str">
        <v>https://re.jrc.ec.europa.eu/api/v5_3/PVcalc?lat=30.0444&amp;lon=31.2357&amp;peakpower=1&amp;loss=14&amp;angle=80&amp;aspect=15&amp;outputformat=json&amp;raddatabase=PVGIS-SARAH3&amp;pvtechchoice=crystSi&amp;mountingplace=free&amp;usehorizon=1</v>
      </c>
    </row>
    <row r="5027">
      <c r="A5027" t="n">
        <v>80</v>
      </c>
      <c r="B5027" t="n">
        <v>195</v>
      </c>
      <c r="C5027" t="n">
        <v>2</v>
      </c>
      <c r="D5027" s="218" t="n">
        <v>113.06</v>
      </c>
      <c r="E5027" s="218" t="n">
        <v>4.04</v>
      </c>
      <c r="F5027" t="str">
        <v>https://re.jrc.ec.europa.eu/api/v5_3/PVcalc?lat=30.0444&amp;lon=31.2357&amp;peakpower=1&amp;loss=14&amp;angle=80&amp;aspect=15&amp;outputformat=json&amp;raddatabase=PVGIS-SARAH3&amp;pvtechchoice=crystSi&amp;mountingplace=free&amp;usehorizon=1</v>
      </c>
    </row>
    <row r="5028">
      <c r="A5028" t="n">
        <v>80</v>
      </c>
      <c r="B5028" t="n">
        <v>195</v>
      </c>
      <c r="C5028" t="n">
        <v>3</v>
      </c>
      <c r="D5028" s="218" t="n">
        <v>119.82</v>
      </c>
      <c r="E5028" s="218" t="n">
        <v>3.87</v>
      </c>
      <c r="F5028" t="str">
        <v>https://re.jrc.ec.europa.eu/api/v5_3/PVcalc?lat=30.0444&amp;lon=31.2357&amp;peakpower=1&amp;loss=14&amp;angle=80&amp;aspect=15&amp;outputformat=json&amp;raddatabase=PVGIS-SARAH3&amp;pvtechchoice=crystSi&amp;mountingplace=free&amp;usehorizon=1</v>
      </c>
    </row>
    <row r="5029">
      <c r="A5029" t="n">
        <v>80</v>
      </c>
      <c r="B5029" t="n">
        <v>195</v>
      </c>
      <c r="C5029" t="n">
        <v>4</v>
      </c>
      <c r="D5029" s="218" t="n">
        <v>94.71</v>
      </c>
      <c r="E5029" s="218" t="n">
        <v>3.16</v>
      </c>
      <c r="F5029" t="str">
        <v>https://re.jrc.ec.europa.eu/api/v5_3/PVcalc?lat=30.0444&amp;lon=31.2357&amp;peakpower=1&amp;loss=14&amp;angle=80&amp;aspect=15&amp;outputformat=json&amp;raddatabase=PVGIS-SARAH3&amp;pvtechchoice=crystSi&amp;mountingplace=free&amp;usehorizon=1</v>
      </c>
    </row>
    <row r="5030">
      <c r="A5030" t="n">
        <v>80</v>
      </c>
      <c r="B5030" t="n">
        <v>195</v>
      </c>
      <c r="C5030" t="n">
        <v>5</v>
      </c>
      <c r="D5030" s="218" t="n">
        <v>73.88</v>
      </c>
      <c r="E5030" s="218" t="n">
        <v>2.38</v>
      </c>
      <c r="F5030" t="str">
        <v>https://re.jrc.ec.europa.eu/api/v5_3/PVcalc?lat=30.0444&amp;lon=31.2357&amp;peakpower=1&amp;loss=14&amp;angle=80&amp;aspect=15&amp;outputformat=json&amp;raddatabase=PVGIS-SARAH3&amp;pvtechchoice=crystSi&amp;mountingplace=free&amp;usehorizon=1</v>
      </c>
    </row>
    <row r="5031">
      <c r="A5031" t="n">
        <v>80</v>
      </c>
      <c r="B5031" t="n">
        <v>195</v>
      </c>
      <c r="C5031" t="n">
        <v>6</v>
      </c>
      <c r="D5031" s="218" t="n">
        <v>58.77</v>
      </c>
      <c r="E5031" s="218" t="n">
        <v>1.96</v>
      </c>
      <c r="F5031" t="str">
        <v>https://re.jrc.ec.europa.eu/api/v5_3/PVcalc?lat=30.0444&amp;lon=31.2357&amp;peakpower=1&amp;loss=14&amp;angle=80&amp;aspect=15&amp;outputformat=json&amp;raddatabase=PVGIS-SARAH3&amp;pvtechchoice=crystSi&amp;mountingplace=free&amp;usehorizon=1</v>
      </c>
    </row>
    <row r="5032">
      <c r="A5032" t="n">
        <v>80</v>
      </c>
      <c r="B5032" t="n">
        <v>195</v>
      </c>
      <c r="C5032" t="n">
        <v>7</v>
      </c>
      <c r="D5032" s="218" t="n">
        <v>65.9</v>
      </c>
      <c r="E5032" s="218" t="n">
        <v>2.13</v>
      </c>
      <c r="F5032" t="str">
        <v>https://re.jrc.ec.europa.eu/api/v5_3/PVcalc?lat=30.0444&amp;lon=31.2357&amp;peakpower=1&amp;loss=14&amp;angle=80&amp;aspect=15&amp;outputformat=json&amp;raddatabase=PVGIS-SARAH3&amp;pvtechchoice=crystSi&amp;mountingplace=free&amp;usehorizon=1</v>
      </c>
    </row>
    <row r="5033">
      <c r="A5033" t="n">
        <v>80</v>
      </c>
      <c r="B5033" t="n">
        <v>195</v>
      </c>
      <c r="C5033" t="n">
        <v>8</v>
      </c>
      <c r="D5033" s="218" t="n">
        <v>87.08</v>
      </c>
      <c r="E5033" s="218" t="n">
        <v>2.81</v>
      </c>
      <c r="F5033" t="str">
        <v>https://re.jrc.ec.europa.eu/api/v5_3/PVcalc?lat=30.0444&amp;lon=31.2357&amp;peakpower=1&amp;loss=14&amp;angle=80&amp;aspect=15&amp;outputformat=json&amp;raddatabase=PVGIS-SARAH3&amp;pvtechchoice=crystSi&amp;mountingplace=free&amp;usehorizon=1</v>
      </c>
    </row>
    <row r="5034">
      <c r="A5034" t="n">
        <v>80</v>
      </c>
      <c r="B5034" t="n">
        <v>195</v>
      </c>
      <c r="C5034" t="n">
        <v>9</v>
      </c>
      <c r="D5034" s="218" t="n">
        <v>110.49</v>
      </c>
      <c r="E5034" s="218" t="n">
        <v>3.68</v>
      </c>
      <c r="F5034" t="str">
        <v>https://re.jrc.ec.europa.eu/api/v5_3/PVcalc?lat=30.0444&amp;lon=31.2357&amp;peakpower=1&amp;loss=14&amp;angle=80&amp;aspect=15&amp;outputformat=json&amp;raddatabase=PVGIS-SARAH3&amp;pvtechchoice=crystSi&amp;mountingplace=free&amp;usehorizon=1</v>
      </c>
    </row>
    <row r="5035">
      <c r="A5035" t="n">
        <v>80</v>
      </c>
      <c r="B5035" t="n">
        <v>195</v>
      </c>
      <c r="C5035" t="n">
        <v>10</v>
      </c>
      <c r="D5035" s="218" t="n">
        <v>129.19</v>
      </c>
      <c r="E5035" s="218" t="n">
        <v>4.17</v>
      </c>
      <c r="F5035" t="str">
        <v>https://re.jrc.ec.europa.eu/api/v5_3/PVcalc?lat=30.0444&amp;lon=31.2357&amp;peakpower=1&amp;loss=14&amp;angle=80&amp;aspect=15&amp;outputformat=json&amp;raddatabase=PVGIS-SARAH3&amp;pvtechchoice=crystSi&amp;mountingplace=free&amp;usehorizon=1</v>
      </c>
    </row>
    <row r="5036">
      <c r="A5036" t="n">
        <v>80</v>
      </c>
      <c r="B5036" t="n">
        <v>195</v>
      </c>
      <c r="C5036" t="n">
        <v>11</v>
      </c>
      <c r="D5036" s="218" t="n">
        <v>131.69</v>
      </c>
      <c r="E5036" s="218" t="n">
        <v>4.39</v>
      </c>
      <c r="F5036" t="str">
        <v>https://re.jrc.ec.europa.eu/api/v5_3/PVcalc?lat=30.0444&amp;lon=31.2357&amp;peakpower=1&amp;loss=14&amp;angle=80&amp;aspect=15&amp;outputformat=json&amp;raddatabase=PVGIS-SARAH3&amp;pvtechchoice=crystSi&amp;mountingplace=free&amp;usehorizon=1</v>
      </c>
    </row>
    <row r="5037">
      <c r="A5037" t="n">
        <v>80</v>
      </c>
      <c r="B5037" t="n">
        <v>195</v>
      </c>
      <c r="C5037" t="n">
        <v>12</v>
      </c>
      <c r="D5037" s="218" t="n">
        <v>132.59</v>
      </c>
      <c r="E5037" s="218" t="n">
        <v>4.28</v>
      </c>
      <c r="F5037" t="str">
        <v>https://re.jrc.ec.europa.eu/api/v5_3/PVcalc?lat=30.0444&amp;lon=31.2357&amp;peakpower=1&amp;loss=14&amp;angle=80&amp;aspect=15&amp;outputformat=json&amp;raddatabase=PVGIS-SARAH3&amp;pvtechchoice=crystSi&amp;mountingplace=free&amp;usehorizon=1</v>
      </c>
    </row>
    <row r="5038">
      <c r="A5038" t="n">
        <v>80</v>
      </c>
      <c r="B5038" t="n">
        <v>210</v>
      </c>
      <c r="C5038" t="n">
        <v>1</v>
      </c>
      <c r="D5038" s="218" t="n">
        <v>117.1</v>
      </c>
      <c r="E5038" s="218" t="n">
        <v>3.78</v>
      </c>
      <c r="F5038" t="str">
        <v>https://re.jrc.ec.europa.eu/api/v5_3/PVcalc?lat=30.0444&amp;lon=31.2357&amp;peakpower=1&amp;loss=14&amp;angle=80&amp;aspect=30&amp;outputformat=json&amp;raddatabase=PVGIS-SARAH3&amp;pvtechchoice=crystSi&amp;mountingplace=free&amp;usehorizon=1</v>
      </c>
    </row>
    <row r="5039">
      <c r="A5039" t="n">
        <v>80</v>
      </c>
      <c r="B5039" t="n">
        <v>210</v>
      </c>
      <c r="C5039" t="n">
        <v>2</v>
      </c>
      <c r="D5039" s="218" t="n">
        <v>104.5</v>
      </c>
      <c r="E5039" s="218" t="n">
        <v>3.73</v>
      </c>
      <c r="F5039" t="str">
        <v>https://re.jrc.ec.europa.eu/api/v5_3/PVcalc?lat=30.0444&amp;lon=31.2357&amp;peakpower=1&amp;loss=14&amp;angle=80&amp;aspect=30&amp;outputformat=json&amp;raddatabase=PVGIS-SARAH3&amp;pvtechchoice=crystSi&amp;mountingplace=free&amp;usehorizon=1</v>
      </c>
    </row>
    <row r="5040">
      <c r="A5040" t="n">
        <v>80</v>
      </c>
      <c r="B5040" t="n">
        <v>210</v>
      </c>
      <c r="C5040" t="n">
        <v>3</v>
      </c>
      <c r="D5040" s="218" t="n">
        <v>116.61</v>
      </c>
      <c r="E5040" s="218" t="n">
        <v>3.76</v>
      </c>
      <c r="F5040" t="str">
        <v>https://re.jrc.ec.europa.eu/api/v5_3/PVcalc?lat=30.0444&amp;lon=31.2357&amp;peakpower=1&amp;loss=14&amp;angle=80&amp;aspect=30&amp;outputformat=json&amp;raddatabase=PVGIS-SARAH3&amp;pvtechchoice=crystSi&amp;mountingplace=free&amp;usehorizon=1</v>
      </c>
    </row>
    <row r="5041">
      <c r="A5041" t="n">
        <v>80</v>
      </c>
      <c r="B5041" t="n">
        <v>210</v>
      </c>
      <c r="C5041" t="n">
        <v>4</v>
      </c>
      <c r="D5041" s="218" t="n">
        <v>98.4</v>
      </c>
      <c r="E5041" s="218" t="n">
        <v>3.28</v>
      </c>
      <c r="F5041" t="str">
        <v>https://re.jrc.ec.europa.eu/api/v5_3/PVcalc?lat=30.0444&amp;lon=31.2357&amp;peakpower=1&amp;loss=14&amp;angle=80&amp;aspect=30&amp;outputformat=json&amp;raddatabase=PVGIS-SARAH3&amp;pvtechchoice=crystSi&amp;mountingplace=free&amp;usehorizon=1</v>
      </c>
    </row>
    <row r="5042">
      <c r="A5042" t="n">
        <v>80</v>
      </c>
      <c r="B5042" t="n">
        <v>210</v>
      </c>
      <c r="C5042" t="n">
        <v>5</v>
      </c>
      <c r="D5042" s="218" t="n">
        <v>83.73</v>
      </c>
      <c r="E5042" s="218" t="n">
        <v>2.7</v>
      </c>
      <c r="F5042" t="str">
        <v>https://re.jrc.ec.europa.eu/api/v5_3/PVcalc?lat=30.0444&amp;lon=31.2357&amp;peakpower=1&amp;loss=14&amp;angle=80&amp;aspect=30&amp;outputformat=json&amp;raddatabase=PVGIS-SARAH3&amp;pvtechchoice=crystSi&amp;mountingplace=free&amp;usehorizon=1</v>
      </c>
    </row>
    <row r="5043">
      <c r="A5043" t="n">
        <v>80</v>
      </c>
      <c r="B5043" t="n">
        <v>210</v>
      </c>
      <c r="C5043" t="n">
        <v>6</v>
      </c>
      <c r="D5043" s="218" t="n">
        <v>73.03</v>
      </c>
      <c r="E5043" s="218" t="n">
        <v>2.43</v>
      </c>
      <c r="F5043" t="str">
        <v>https://re.jrc.ec.europa.eu/api/v5_3/PVcalc?lat=30.0444&amp;lon=31.2357&amp;peakpower=1&amp;loss=14&amp;angle=80&amp;aspect=30&amp;outputformat=json&amp;raddatabase=PVGIS-SARAH3&amp;pvtechchoice=crystSi&amp;mountingplace=free&amp;usehorizon=1</v>
      </c>
    </row>
    <row r="5044">
      <c r="A5044" t="n">
        <v>80</v>
      </c>
      <c r="B5044" t="n">
        <v>210</v>
      </c>
      <c r="C5044" t="n">
        <v>7</v>
      </c>
      <c r="D5044" s="218" t="n">
        <v>79.95</v>
      </c>
      <c r="E5044" s="218" t="n">
        <v>2.58</v>
      </c>
      <c r="F5044" t="str">
        <v>https://re.jrc.ec.europa.eu/api/v5_3/PVcalc?lat=30.0444&amp;lon=31.2357&amp;peakpower=1&amp;loss=14&amp;angle=80&amp;aspect=30&amp;outputformat=json&amp;raddatabase=PVGIS-SARAH3&amp;pvtechchoice=crystSi&amp;mountingplace=free&amp;usehorizon=1</v>
      </c>
    </row>
    <row r="5045">
      <c r="A5045" t="n">
        <v>80</v>
      </c>
      <c r="B5045" t="n">
        <v>210</v>
      </c>
      <c r="C5045" t="n">
        <v>8</v>
      </c>
      <c r="D5045" s="218" t="n">
        <v>95.53</v>
      </c>
      <c r="E5045" s="218" t="n">
        <v>3.08</v>
      </c>
      <c r="F5045" t="str">
        <v>https://re.jrc.ec.europa.eu/api/v5_3/PVcalc?lat=30.0444&amp;lon=31.2357&amp;peakpower=1&amp;loss=14&amp;angle=80&amp;aspect=30&amp;outputformat=json&amp;raddatabase=PVGIS-SARAH3&amp;pvtechchoice=crystSi&amp;mountingplace=free&amp;usehorizon=1</v>
      </c>
    </row>
    <row r="5046">
      <c r="A5046" t="n">
        <v>80</v>
      </c>
      <c r="B5046" t="n">
        <v>210</v>
      </c>
      <c r="C5046" t="n">
        <v>9</v>
      </c>
      <c r="D5046" s="218" t="n">
        <v>110.63</v>
      </c>
      <c r="E5046" s="218" t="n">
        <v>3.69</v>
      </c>
      <c r="F5046" t="str">
        <v>https://re.jrc.ec.europa.eu/api/v5_3/PVcalc?lat=30.0444&amp;lon=31.2357&amp;peakpower=1&amp;loss=14&amp;angle=80&amp;aspect=30&amp;outputformat=json&amp;raddatabase=PVGIS-SARAH3&amp;pvtechchoice=crystSi&amp;mountingplace=free&amp;usehorizon=1</v>
      </c>
    </row>
    <row r="5047">
      <c r="A5047" t="n">
        <v>80</v>
      </c>
      <c r="B5047" t="n">
        <v>210</v>
      </c>
      <c r="C5047" t="n">
        <v>10</v>
      </c>
      <c r="D5047" s="218" t="n">
        <v>121.58</v>
      </c>
      <c r="E5047" s="218" t="n">
        <v>3.92</v>
      </c>
      <c r="F5047" t="str">
        <v>https://re.jrc.ec.europa.eu/api/v5_3/PVcalc?lat=30.0444&amp;lon=31.2357&amp;peakpower=1&amp;loss=14&amp;angle=80&amp;aspect=30&amp;outputformat=json&amp;raddatabase=PVGIS-SARAH3&amp;pvtechchoice=crystSi&amp;mountingplace=free&amp;usehorizon=1</v>
      </c>
    </row>
    <row r="5048">
      <c r="A5048" t="n">
        <v>80</v>
      </c>
      <c r="B5048" t="n">
        <v>210</v>
      </c>
      <c r="C5048" t="n">
        <v>11</v>
      </c>
      <c r="D5048" s="218" t="n">
        <v>120.62</v>
      </c>
      <c r="E5048" s="218" t="n">
        <v>4.02</v>
      </c>
      <c r="F5048" t="str">
        <v>https://re.jrc.ec.europa.eu/api/v5_3/PVcalc?lat=30.0444&amp;lon=31.2357&amp;peakpower=1&amp;loss=14&amp;angle=80&amp;aspect=30&amp;outputformat=json&amp;raddatabase=PVGIS-SARAH3&amp;pvtechchoice=crystSi&amp;mountingplace=free&amp;usehorizon=1</v>
      </c>
    </row>
    <row r="5049">
      <c r="A5049" t="n">
        <v>80</v>
      </c>
      <c r="B5049" t="n">
        <v>210</v>
      </c>
      <c r="C5049" t="n">
        <v>12</v>
      </c>
      <c r="D5049" s="218" t="n">
        <v>120.69</v>
      </c>
      <c r="E5049" s="218" t="n">
        <v>3.89</v>
      </c>
      <c r="F5049" t="str">
        <v>https://re.jrc.ec.europa.eu/api/v5_3/PVcalc?lat=30.0444&amp;lon=31.2357&amp;peakpower=1&amp;loss=14&amp;angle=80&amp;aspect=30&amp;outputformat=json&amp;raddatabase=PVGIS-SARAH3&amp;pvtechchoice=crystSi&amp;mountingplace=free&amp;usehorizon=1</v>
      </c>
    </row>
    <row r="5050">
      <c r="A5050" t="n">
        <v>80</v>
      </c>
      <c r="B5050" t="n">
        <v>225</v>
      </c>
      <c r="C5050" t="n">
        <v>1</v>
      </c>
      <c r="D5050" s="218" t="n">
        <v>101.95</v>
      </c>
      <c r="E5050" s="218" t="n">
        <v>3.29</v>
      </c>
      <c r="F5050" t="str">
        <v>https://re.jrc.ec.europa.eu/api/v5_3/PVcalc?lat=30.0444&amp;lon=31.2357&amp;peakpower=1&amp;loss=14&amp;angle=80&amp;aspect=45&amp;outputformat=json&amp;raddatabase=PVGIS-SARAH3&amp;pvtechchoice=crystSi&amp;mountingplace=free&amp;usehorizon=1</v>
      </c>
    </row>
    <row r="5051">
      <c r="A5051" t="n">
        <v>80</v>
      </c>
      <c r="B5051" t="n">
        <v>225</v>
      </c>
      <c r="C5051" t="n">
        <v>2</v>
      </c>
      <c r="D5051" s="218" t="n">
        <v>94.42</v>
      </c>
      <c r="E5051" s="218" t="n">
        <v>3.37</v>
      </c>
      <c r="F5051" t="str">
        <v>https://re.jrc.ec.europa.eu/api/v5_3/PVcalc?lat=30.0444&amp;lon=31.2357&amp;peakpower=1&amp;loss=14&amp;angle=80&amp;aspect=45&amp;outputformat=json&amp;raddatabase=PVGIS-SARAH3&amp;pvtechchoice=crystSi&amp;mountingplace=free&amp;usehorizon=1</v>
      </c>
    </row>
    <row r="5052">
      <c r="A5052" t="n">
        <v>80</v>
      </c>
      <c r="B5052" t="n">
        <v>225</v>
      </c>
      <c r="C5052" t="n">
        <v>3</v>
      </c>
      <c r="D5052" s="218" t="n">
        <v>112.14</v>
      </c>
      <c r="E5052" s="218" t="n">
        <v>3.62</v>
      </c>
      <c r="F5052" t="str">
        <v>https://re.jrc.ec.europa.eu/api/v5_3/PVcalc?lat=30.0444&amp;lon=31.2357&amp;peakpower=1&amp;loss=14&amp;angle=80&amp;aspect=45&amp;outputformat=json&amp;raddatabase=PVGIS-SARAH3&amp;pvtechchoice=crystSi&amp;mountingplace=free&amp;usehorizon=1</v>
      </c>
    </row>
    <row r="5053">
      <c r="A5053" t="n">
        <v>80</v>
      </c>
      <c r="B5053" t="n">
        <v>225</v>
      </c>
      <c r="C5053" t="n">
        <v>4</v>
      </c>
      <c r="D5053" s="218" t="n">
        <v>101.32</v>
      </c>
      <c r="E5053" s="218" t="n">
        <v>3.38</v>
      </c>
      <c r="F5053" t="str">
        <v>https://re.jrc.ec.europa.eu/api/v5_3/PVcalc?lat=30.0444&amp;lon=31.2357&amp;peakpower=1&amp;loss=14&amp;angle=80&amp;aspect=45&amp;outputformat=json&amp;raddatabase=PVGIS-SARAH3&amp;pvtechchoice=crystSi&amp;mountingplace=free&amp;usehorizon=1</v>
      </c>
    </row>
    <row r="5054">
      <c r="A5054" t="n">
        <v>80</v>
      </c>
      <c r="B5054" t="n">
        <v>225</v>
      </c>
      <c r="C5054" t="n">
        <v>5</v>
      </c>
      <c r="D5054" s="218" t="n">
        <v>92.69</v>
      </c>
      <c r="E5054" s="218" t="n">
        <v>2.99</v>
      </c>
      <c r="F5054" t="str">
        <v>https://re.jrc.ec.europa.eu/api/v5_3/PVcalc?lat=30.0444&amp;lon=31.2357&amp;peakpower=1&amp;loss=14&amp;angle=80&amp;aspect=45&amp;outputformat=json&amp;raddatabase=PVGIS-SARAH3&amp;pvtechchoice=crystSi&amp;mountingplace=free&amp;usehorizon=1</v>
      </c>
    </row>
    <row r="5055">
      <c r="A5055" t="n">
        <v>80</v>
      </c>
      <c r="B5055" t="n">
        <v>225</v>
      </c>
      <c r="C5055" t="n">
        <v>6</v>
      </c>
      <c r="D5055" s="218" t="n">
        <v>86.75</v>
      </c>
      <c r="E5055" s="218" t="n">
        <v>2.89</v>
      </c>
      <c r="F5055" t="str">
        <v>https://re.jrc.ec.europa.eu/api/v5_3/PVcalc?lat=30.0444&amp;lon=31.2357&amp;peakpower=1&amp;loss=14&amp;angle=80&amp;aspect=45&amp;outputformat=json&amp;raddatabase=PVGIS-SARAH3&amp;pvtechchoice=crystSi&amp;mountingplace=free&amp;usehorizon=1</v>
      </c>
    </row>
    <row r="5056">
      <c r="A5056" t="n">
        <v>80</v>
      </c>
      <c r="B5056" t="n">
        <v>225</v>
      </c>
      <c r="C5056" t="n">
        <v>7</v>
      </c>
      <c r="D5056" s="218" t="n">
        <v>93.13</v>
      </c>
      <c r="E5056" s="218" t="n">
        <v>3</v>
      </c>
      <c r="F5056" t="str">
        <v>https://re.jrc.ec.europa.eu/api/v5_3/PVcalc?lat=30.0444&amp;lon=31.2357&amp;peakpower=1&amp;loss=14&amp;angle=80&amp;aspect=45&amp;outputformat=json&amp;raddatabase=PVGIS-SARAH3&amp;pvtechchoice=crystSi&amp;mountingplace=free&amp;usehorizon=1</v>
      </c>
    </row>
    <row r="5057">
      <c r="A5057" t="n">
        <v>80</v>
      </c>
      <c r="B5057" t="n">
        <v>225</v>
      </c>
      <c r="C5057" t="n">
        <v>8</v>
      </c>
      <c r="D5057" s="218" t="n">
        <v>102.81</v>
      </c>
      <c r="E5057" s="218" t="n">
        <v>3.32</v>
      </c>
      <c r="F5057" t="str">
        <v>https://re.jrc.ec.europa.eu/api/v5_3/PVcalc?lat=30.0444&amp;lon=31.2357&amp;peakpower=1&amp;loss=14&amp;angle=80&amp;aspect=45&amp;outputformat=json&amp;raddatabase=PVGIS-SARAH3&amp;pvtechchoice=crystSi&amp;mountingplace=free&amp;usehorizon=1</v>
      </c>
    </row>
    <row r="5058">
      <c r="A5058" t="n">
        <v>80</v>
      </c>
      <c r="B5058" t="n">
        <v>225</v>
      </c>
      <c r="C5058" t="n">
        <v>9</v>
      </c>
      <c r="D5058" s="218" t="n">
        <v>109.37</v>
      </c>
      <c r="E5058" s="218" t="n">
        <v>3.65</v>
      </c>
      <c r="F5058" t="str">
        <v>https://re.jrc.ec.europa.eu/api/v5_3/PVcalc?lat=30.0444&amp;lon=31.2357&amp;peakpower=1&amp;loss=14&amp;angle=80&amp;aspect=45&amp;outputformat=json&amp;raddatabase=PVGIS-SARAH3&amp;pvtechchoice=crystSi&amp;mountingplace=free&amp;usehorizon=1</v>
      </c>
    </row>
    <row r="5059">
      <c r="A5059" t="n">
        <v>80</v>
      </c>
      <c r="B5059" t="n">
        <v>225</v>
      </c>
      <c r="C5059" t="n">
        <v>10</v>
      </c>
      <c r="D5059" s="218" t="n">
        <v>112.43</v>
      </c>
      <c r="E5059" s="218" t="n">
        <v>3.63</v>
      </c>
      <c r="F5059" t="str">
        <v>https://re.jrc.ec.europa.eu/api/v5_3/PVcalc?lat=30.0444&amp;lon=31.2357&amp;peakpower=1&amp;loss=14&amp;angle=80&amp;aspect=45&amp;outputformat=json&amp;raddatabase=PVGIS-SARAH3&amp;pvtechchoice=crystSi&amp;mountingplace=free&amp;usehorizon=1</v>
      </c>
    </row>
    <row r="5060">
      <c r="A5060" t="n">
        <v>80</v>
      </c>
      <c r="B5060" t="n">
        <v>225</v>
      </c>
      <c r="C5060" t="n">
        <v>11</v>
      </c>
      <c r="D5060" s="218" t="n">
        <v>106.58</v>
      </c>
      <c r="E5060" s="218" t="n">
        <v>3.55</v>
      </c>
      <c r="F5060" t="str">
        <v>https://re.jrc.ec.europa.eu/api/v5_3/PVcalc?lat=30.0444&amp;lon=31.2357&amp;peakpower=1&amp;loss=14&amp;angle=80&amp;aspect=45&amp;outputformat=json&amp;raddatabase=PVGIS-SARAH3&amp;pvtechchoice=crystSi&amp;mountingplace=free&amp;usehorizon=1</v>
      </c>
    </row>
    <row r="5061">
      <c r="A5061" t="n">
        <v>80</v>
      </c>
      <c r="B5061" t="n">
        <v>225</v>
      </c>
      <c r="C5061" t="n">
        <v>12</v>
      </c>
      <c r="D5061" s="218" t="n">
        <v>104.31</v>
      </c>
      <c r="E5061" s="218" t="n">
        <v>3.36</v>
      </c>
      <c r="F5061" t="str">
        <v>https://re.jrc.ec.europa.eu/api/v5_3/PVcalc?lat=30.0444&amp;lon=31.2357&amp;peakpower=1&amp;loss=14&amp;angle=80&amp;aspect=45&amp;outputformat=json&amp;raddatabase=PVGIS-SARAH3&amp;pvtechchoice=crystSi&amp;mountingplace=free&amp;usehorizon=1</v>
      </c>
    </row>
    <row r="5062">
      <c r="A5062" t="n">
        <v>80</v>
      </c>
      <c r="B5062" t="n">
        <v>240</v>
      </c>
      <c r="C5062" t="n">
        <v>1</v>
      </c>
      <c r="D5062" s="218" t="n">
        <v>86.13</v>
      </c>
      <c r="E5062" s="218" t="n">
        <v>2.78</v>
      </c>
      <c r="F5062" t="str">
        <v>https://re.jrc.ec.europa.eu/api/v5_3/PVcalc?lat=30.0444&amp;lon=31.2357&amp;peakpower=1&amp;loss=14&amp;angle=80&amp;aspect=60&amp;outputformat=json&amp;raddatabase=PVGIS-SARAH3&amp;pvtechchoice=crystSi&amp;mountingplace=free&amp;usehorizon=1</v>
      </c>
    </row>
    <row r="5063">
      <c r="A5063" t="n">
        <v>80</v>
      </c>
      <c r="B5063" t="n">
        <v>240</v>
      </c>
      <c r="C5063" t="n">
        <v>2</v>
      </c>
      <c r="D5063" s="218" t="n">
        <v>83.82</v>
      </c>
      <c r="E5063" s="218" t="n">
        <v>2.99</v>
      </c>
      <c r="F5063" t="str">
        <v>https://re.jrc.ec.europa.eu/api/v5_3/PVcalc?lat=30.0444&amp;lon=31.2357&amp;peakpower=1&amp;loss=14&amp;angle=80&amp;aspect=60&amp;outputformat=json&amp;raddatabase=PVGIS-SARAH3&amp;pvtechchoice=crystSi&amp;mountingplace=free&amp;usehorizon=1</v>
      </c>
    </row>
    <row r="5064">
      <c r="A5064" t="n">
        <v>80</v>
      </c>
      <c r="B5064" t="n">
        <v>240</v>
      </c>
      <c r="C5064" t="n">
        <v>3</v>
      </c>
      <c r="D5064" s="218" t="n">
        <v>105.82</v>
      </c>
      <c r="E5064" s="218" t="n">
        <v>3.41</v>
      </c>
      <c r="F5064" t="str">
        <v>https://re.jrc.ec.europa.eu/api/v5_3/PVcalc?lat=30.0444&amp;lon=31.2357&amp;peakpower=1&amp;loss=14&amp;angle=80&amp;aspect=60&amp;outputformat=json&amp;raddatabase=PVGIS-SARAH3&amp;pvtechchoice=crystSi&amp;mountingplace=free&amp;usehorizon=1</v>
      </c>
    </row>
    <row r="5065">
      <c r="A5065" t="n">
        <v>80</v>
      </c>
      <c r="B5065" t="n">
        <v>240</v>
      </c>
      <c r="C5065" t="n">
        <v>4</v>
      </c>
      <c r="D5065" s="218" t="n">
        <v>101.54</v>
      </c>
      <c r="E5065" s="218" t="n">
        <v>3.38</v>
      </c>
      <c r="F5065" t="str">
        <v>https://re.jrc.ec.europa.eu/api/v5_3/PVcalc?lat=30.0444&amp;lon=31.2357&amp;peakpower=1&amp;loss=14&amp;angle=80&amp;aspect=60&amp;outputformat=json&amp;raddatabase=PVGIS-SARAH3&amp;pvtechchoice=crystSi&amp;mountingplace=free&amp;usehorizon=1</v>
      </c>
    </row>
    <row r="5066">
      <c r="A5066" t="n">
        <v>80</v>
      </c>
      <c r="B5066" t="n">
        <v>240</v>
      </c>
      <c r="C5066" t="n">
        <v>5</v>
      </c>
      <c r="D5066" s="218" t="n">
        <v>99.63</v>
      </c>
      <c r="E5066" s="218" t="n">
        <v>3.21</v>
      </c>
      <c r="F5066" t="str">
        <v>https://re.jrc.ec.europa.eu/api/v5_3/PVcalc?lat=30.0444&amp;lon=31.2357&amp;peakpower=1&amp;loss=14&amp;angle=80&amp;aspect=60&amp;outputformat=json&amp;raddatabase=PVGIS-SARAH3&amp;pvtechchoice=crystSi&amp;mountingplace=free&amp;usehorizon=1</v>
      </c>
    </row>
    <row r="5067">
      <c r="A5067" t="n">
        <v>80</v>
      </c>
      <c r="B5067" t="n">
        <v>240</v>
      </c>
      <c r="C5067" t="n">
        <v>6</v>
      </c>
      <c r="D5067" s="218" t="n">
        <v>97.86</v>
      </c>
      <c r="E5067" s="218" t="n">
        <v>3.26</v>
      </c>
      <c r="F5067" t="str">
        <v>https://re.jrc.ec.europa.eu/api/v5_3/PVcalc?lat=30.0444&amp;lon=31.2357&amp;peakpower=1&amp;loss=14&amp;angle=80&amp;aspect=60&amp;outputformat=json&amp;raddatabase=PVGIS-SARAH3&amp;pvtechchoice=crystSi&amp;mountingplace=free&amp;usehorizon=1</v>
      </c>
    </row>
    <row r="5068">
      <c r="A5068" t="n">
        <v>80</v>
      </c>
      <c r="B5068" t="n">
        <v>240</v>
      </c>
      <c r="C5068" t="n">
        <v>7</v>
      </c>
      <c r="D5068" s="218" t="n">
        <v>103.5</v>
      </c>
      <c r="E5068" s="218" t="n">
        <v>3.34</v>
      </c>
      <c r="F5068" t="str">
        <v>https://re.jrc.ec.europa.eu/api/v5_3/PVcalc?lat=30.0444&amp;lon=31.2357&amp;peakpower=1&amp;loss=14&amp;angle=80&amp;aspect=60&amp;outputformat=json&amp;raddatabase=PVGIS-SARAH3&amp;pvtechchoice=crystSi&amp;mountingplace=free&amp;usehorizon=1</v>
      </c>
    </row>
    <row r="5069">
      <c r="A5069" t="n">
        <v>80</v>
      </c>
      <c r="B5069" t="n">
        <v>240</v>
      </c>
      <c r="C5069" t="n">
        <v>8</v>
      </c>
      <c r="D5069" s="218" t="n">
        <v>107.28</v>
      </c>
      <c r="E5069" s="218" t="n">
        <v>3.46</v>
      </c>
      <c r="F5069" t="str">
        <v>https://re.jrc.ec.europa.eu/api/v5_3/PVcalc?lat=30.0444&amp;lon=31.2357&amp;peakpower=1&amp;loss=14&amp;angle=80&amp;aspect=60&amp;outputformat=json&amp;raddatabase=PVGIS-SARAH3&amp;pvtechchoice=crystSi&amp;mountingplace=free&amp;usehorizon=1</v>
      </c>
    </row>
    <row r="5070">
      <c r="A5070" t="n">
        <v>80</v>
      </c>
      <c r="B5070" t="n">
        <v>240</v>
      </c>
      <c r="C5070" t="n">
        <v>9</v>
      </c>
      <c r="D5070" s="218" t="n">
        <v>106.05</v>
      </c>
      <c r="E5070" s="218" t="n">
        <v>3.53</v>
      </c>
      <c r="F5070" t="str">
        <v>https://re.jrc.ec.europa.eu/api/v5_3/PVcalc?lat=30.0444&amp;lon=31.2357&amp;peakpower=1&amp;loss=14&amp;angle=80&amp;aspect=60&amp;outputformat=json&amp;raddatabase=PVGIS-SARAH3&amp;pvtechchoice=crystSi&amp;mountingplace=free&amp;usehorizon=1</v>
      </c>
    </row>
    <row r="5071">
      <c r="A5071" t="n">
        <v>80</v>
      </c>
      <c r="B5071" t="n">
        <v>240</v>
      </c>
      <c r="C5071" t="n">
        <v>10</v>
      </c>
      <c r="D5071" s="218" t="n">
        <v>102.13</v>
      </c>
      <c r="E5071" s="218" t="n">
        <v>3.29</v>
      </c>
      <c r="F5071" t="str">
        <v>https://re.jrc.ec.europa.eu/api/v5_3/PVcalc?lat=30.0444&amp;lon=31.2357&amp;peakpower=1&amp;loss=14&amp;angle=80&amp;aspect=60&amp;outputformat=json&amp;raddatabase=PVGIS-SARAH3&amp;pvtechchoice=crystSi&amp;mountingplace=free&amp;usehorizon=1</v>
      </c>
    </row>
    <row r="5072">
      <c r="A5072" t="n">
        <v>80</v>
      </c>
      <c r="B5072" t="n">
        <v>240</v>
      </c>
      <c r="C5072" t="n">
        <v>11</v>
      </c>
      <c r="D5072" s="218" t="n">
        <v>91.69</v>
      </c>
      <c r="E5072" s="218" t="n">
        <v>3.06</v>
      </c>
      <c r="F5072" t="str">
        <v>https://re.jrc.ec.europa.eu/api/v5_3/PVcalc?lat=30.0444&amp;lon=31.2357&amp;peakpower=1&amp;loss=14&amp;angle=80&amp;aspect=60&amp;outputformat=json&amp;raddatabase=PVGIS-SARAH3&amp;pvtechchoice=crystSi&amp;mountingplace=free&amp;usehorizon=1</v>
      </c>
    </row>
    <row r="5073">
      <c r="A5073" t="n">
        <v>80</v>
      </c>
      <c r="B5073" t="n">
        <v>240</v>
      </c>
      <c r="C5073" t="n">
        <v>12</v>
      </c>
      <c r="D5073" s="218" t="n">
        <v>87.05</v>
      </c>
      <c r="E5073" s="218" t="n">
        <v>2.81</v>
      </c>
      <c r="F5073" t="str">
        <v>https://re.jrc.ec.europa.eu/api/v5_3/PVcalc?lat=30.0444&amp;lon=31.2357&amp;peakpower=1&amp;loss=14&amp;angle=80&amp;aspect=60&amp;outputformat=json&amp;raddatabase=PVGIS-SARAH3&amp;pvtechchoice=crystSi&amp;mountingplace=free&amp;usehorizon=1</v>
      </c>
    </row>
    <row r="5074">
      <c r="A5074" t="n">
        <v>80</v>
      </c>
      <c r="B5074" t="n">
        <v>255</v>
      </c>
      <c r="C5074" t="n">
        <v>1</v>
      </c>
      <c r="D5074" s="218" t="n">
        <v>70.35</v>
      </c>
      <c r="E5074" s="218" t="n">
        <v>2.27</v>
      </c>
      <c r="F5074" t="str">
        <v>https://re.jrc.ec.europa.eu/api/v5_3/PVcalc?lat=30.0444&amp;lon=31.2357&amp;peakpower=1&amp;loss=14&amp;angle=80&amp;aspect=75&amp;outputformat=json&amp;raddatabase=PVGIS-SARAH3&amp;pvtechchoice=crystSi&amp;mountingplace=free&amp;usehorizon=1</v>
      </c>
    </row>
    <row r="5075">
      <c r="A5075" t="n">
        <v>80</v>
      </c>
      <c r="B5075" t="n">
        <v>255</v>
      </c>
      <c r="C5075" t="n">
        <v>2</v>
      </c>
      <c r="D5075" s="218" t="n">
        <v>72.98</v>
      </c>
      <c r="E5075" s="218" t="n">
        <v>2.61</v>
      </c>
      <c r="F5075" t="str">
        <v>https://re.jrc.ec.europa.eu/api/v5_3/PVcalc?lat=30.0444&amp;lon=31.2357&amp;peakpower=1&amp;loss=14&amp;angle=80&amp;aspect=75&amp;outputformat=json&amp;raddatabase=PVGIS-SARAH3&amp;pvtechchoice=crystSi&amp;mountingplace=free&amp;usehorizon=1</v>
      </c>
    </row>
    <row r="5076">
      <c r="A5076" t="n">
        <v>80</v>
      </c>
      <c r="B5076" t="n">
        <v>255</v>
      </c>
      <c r="C5076" t="n">
        <v>3</v>
      </c>
      <c r="D5076" s="218" t="n">
        <v>98.18</v>
      </c>
      <c r="E5076" s="218" t="n">
        <v>3.17</v>
      </c>
      <c r="F5076" t="str">
        <v>https://re.jrc.ec.europa.eu/api/v5_3/PVcalc?lat=30.0444&amp;lon=31.2357&amp;peakpower=1&amp;loss=14&amp;angle=80&amp;aspect=75&amp;outputformat=json&amp;raddatabase=PVGIS-SARAH3&amp;pvtechchoice=crystSi&amp;mountingplace=free&amp;usehorizon=1</v>
      </c>
    </row>
    <row r="5077">
      <c r="A5077" t="n">
        <v>80</v>
      </c>
      <c r="B5077" t="n">
        <v>255</v>
      </c>
      <c r="C5077" t="n">
        <v>4</v>
      </c>
      <c r="D5077" s="218" t="n">
        <v>99.67</v>
      </c>
      <c r="E5077" s="218" t="n">
        <v>3.32</v>
      </c>
      <c r="F5077" t="str">
        <v>https://re.jrc.ec.europa.eu/api/v5_3/PVcalc?lat=30.0444&amp;lon=31.2357&amp;peakpower=1&amp;loss=14&amp;angle=80&amp;aspect=75&amp;outputformat=json&amp;raddatabase=PVGIS-SARAH3&amp;pvtechchoice=crystSi&amp;mountingplace=free&amp;usehorizon=1</v>
      </c>
    </row>
    <row r="5078">
      <c r="A5078" t="n">
        <v>80</v>
      </c>
      <c r="B5078" t="n">
        <v>255</v>
      </c>
      <c r="C5078" t="n">
        <v>5</v>
      </c>
      <c r="D5078" s="218" t="n">
        <v>103.1</v>
      </c>
      <c r="E5078" s="218" t="n">
        <v>3.33</v>
      </c>
      <c r="F5078" t="str">
        <v>https://re.jrc.ec.europa.eu/api/v5_3/PVcalc?lat=30.0444&amp;lon=31.2357&amp;peakpower=1&amp;loss=14&amp;angle=80&amp;aspect=75&amp;outputformat=json&amp;raddatabase=PVGIS-SARAH3&amp;pvtechchoice=crystSi&amp;mountingplace=free&amp;usehorizon=1</v>
      </c>
    </row>
    <row r="5079">
      <c r="A5079" t="n">
        <v>80</v>
      </c>
      <c r="B5079" t="n">
        <v>255</v>
      </c>
      <c r="C5079" t="n">
        <v>6</v>
      </c>
      <c r="D5079" s="218" t="n">
        <v>104.97</v>
      </c>
      <c r="E5079" s="218" t="n">
        <v>3.5</v>
      </c>
      <c r="F5079" t="str">
        <v>https://re.jrc.ec.europa.eu/api/v5_3/PVcalc?lat=30.0444&amp;lon=31.2357&amp;peakpower=1&amp;loss=14&amp;angle=80&amp;aspect=75&amp;outputformat=json&amp;raddatabase=PVGIS-SARAH3&amp;pvtechchoice=crystSi&amp;mountingplace=free&amp;usehorizon=1</v>
      </c>
    </row>
    <row r="5080">
      <c r="A5080" t="n">
        <v>80</v>
      </c>
      <c r="B5080" t="n">
        <v>255</v>
      </c>
      <c r="C5080" t="n">
        <v>7</v>
      </c>
      <c r="D5080" s="218" t="n">
        <v>109.79</v>
      </c>
      <c r="E5080" s="218" t="n">
        <v>3.54</v>
      </c>
      <c r="F5080" t="str">
        <v>https://re.jrc.ec.europa.eu/api/v5_3/PVcalc?lat=30.0444&amp;lon=31.2357&amp;peakpower=1&amp;loss=14&amp;angle=80&amp;aspect=75&amp;outputformat=json&amp;raddatabase=PVGIS-SARAH3&amp;pvtechchoice=crystSi&amp;mountingplace=free&amp;usehorizon=1</v>
      </c>
    </row>
    <row r="5081">
      <c r="A5081" t="n">
        <v>80</v>
      </c>
      <c r="B5081" t="n">
        <v>255</v>
      </c>
      <c r="C5081" t="n">
        <v>8</v>
      </c>
      <c r="D5081" s="218" t="n">
        <v>108.29</v>
      </c>
      <c r="E5081" s="218" t="n">
        <v>3.49</v>
      </c>
      <c r="F5081" t="str">
        <v>https://re.jrc.ec.europa.eu/api/v5_3/PVcalc?lat=30.0444&amp;lon=31.2357&amp;peakpower=1&amp;loss=14&amp;angle=80&amp;aspect=75&amp;outputformat=json&amp;raddatabase=PVGIS-SARAH3&amp;pvtechchoice=crystSi&amp;mountingplace=free&amp;usehorizon=1</v>
      </c>
    </row>
    <row r="5082">
      <c r="A5082" t="n">
        <v>80</v>
      </c>
      <c r="B5082" t="n">
        <v>255</v>
      </c>
      <c r="C5082" t="n">
        <v>9</v>
      </c>
      <c r="D5082" s="218" t="n">
        <v>100.45</v>
      </c>
      <c r="E5082" s="218" t="n">
        <v>3.35</v>
      </c>
      <c r="F5082" t="str">
        <v>https://re.jrc.ec.europa.eu/api/v5_3/PVcalc?lat=30.0444&amp;lon=31.2357&amp;peakpower=1&amp;loss=14&amp;angle=80&amp;aspect=75&amp;outputformat=json&amp;raddatabase=PVGIS-SARAH3&amp;pvtechchoice=crystSi&amp;mountingplace=free&amp;usehorizon=1</v>
      </c>
    </row>
    <row r="5083">
      <c r="A5083" t="n">
        <v>80</v>
      </c>
      <c r="B5083" t="n">
        <v>255</v>
      </c>
      <c r="C5083" t="n">
        <v>10</v>
      </c>
      <c r="D5083" s="218" t="n">
        <v>90.19</v>
      </c>
      <c r="E5083" s="218" t="n">
        <v>2.91</v>
      </c>
      <c r="F5083" t="str">
        <v>https://re.jrc.ec.europa.eu/api/v5_3/PVcalc?lat=30.0444&amp;lon=31.2357&amp;peakpower=1&amp;loss=14&amp;angle=80&amp;aspect=75&amp;outputformat=json&amp;raddatabase=PVGIS-SARAH3&amp;pvtechchoice=crystSi&amp;mountingplace=free&amp;usehorizon=1</v>
      </c>
    </row>
    <row r="5084">
      <c r="A5084" t="n">
        <v>80</v>
      </c>
      <c r="B5084" t="n">
        <v>255</v>
      </c>
      <c r="C5084" t="n">
        <v>11</v>
      </c>
      <c r="D5084" s="218" t="n">
        <v>76.2</v>
      </c>
      <c r="E5084" s="218" t="n">
        <v>2.54</v>
      </c>
      <c r="F5084" t="str">
        <v>https://re.jrc.ec.europa.eu/api/v5_3/PVcalc?lat=30.0444&amp;lon=31.2357&amp;peakpower=1&amp;loss=14&amp;angle=80&amp;aspect=75&amp;outputformat=json&amp;raddatabase=PVGIS-SARAH3&amp;pvtechchoice=crystSi&amp;mountingplace=free&amp;usehorizon=1</v>
      </c>
    </row>
    <row r="5085">
      <c r="A5085" t="n">
        <v>80</v>
      </c>
      <c r="B5085" t="n">
        <v>255</v>
      </c>
      <c r="C5085" t="n">
        <v>12</v>
      </c>
      <c r="D5085" s="218" t="n">
        <v>69.88</v>
      </c>
      <c r="E5085" s="218" t="n">
        <v>2.25</v>
      </c>
      <c r="F5085" t="str">
        <v>https://re.jrc.ec.europa.eu/api/v5_3/PVcalc?lat=30.0444&amp;lon=31.2357&amp;peakpower=1&amp;loss=14&amp;angle=80&amp;aspect=75&amp;outputformat=json&amp;raddatabase=PVGIS-SARAH3&amp;pvtechchoice=crystSi&amp;mountingplace=free&amp;usehorizon=1</v>
      </c>
    </row>
    <row r="5086">
      <c r="A5086" t="n">
        <v>80</v>
      </c>
      <c r="B5086" t="n">
        <v>270</v>
      </c>
      <c r="C5086" t="n">
        <v>1</v>
      </c>
      <c r="D5086" s="218" t="n">
        <v>54.88</v>
      </c>
      <c r="E5086" s="218" t="n">
        <v>1.77</v>
      </c>
      <c r="F5086" t="str">
        <v>https://re.jrc.ec.europa.eu/api/v5_3/PVcalc?lat=30.0444&amp;lon=31.2357&amp;peakpower=1&amp;loss=14&amp;angle=80&amp;aspect=90&amp;outputformat=json&amp;raddatabase=PVGIS-SARAH3&amp;pvtechchoice=crystSi&amp;mountingplace=free&amp;usehorizon=1</v>
      </c>
    </row>
    <row r="5087">
      <c r="A5087" t="n">
        <v>80</v>
      </c>
      <c r="B5087" t="n">
        <v>270</v>
      </c>
      <c r="C5087" t="n">
        <v>2</v>
      </c>
      <c r="D5087" s="218" t="n">
        <v>61.08</v>
      </c>
      <c r="E5087" s="218" t="n">
        <v>2.18</v>
      </c>
      <c r="F5087" t="str">
        <v>https://re.jrc.ec.europa.eu/api/v5_3/PVcalc?lat=30.0444&amp;lon=31.2357&amp;peakpower=1&amp;loss=14&amp;angle=80&amp;aspect=90&amp;outputformat=json&amp;raddatabase=PVGIS-SARAH3&amp;pvtechchoice=crystSi&amp;mountingplace=free&amp;usehorizon=1</v>
      </c>
    </row>
    <row r="5088">
      <c r="A5088" t="n">
        <v>80</v>
      </c>
      <c r="B5088" t="n">
        <v>270</v>
      </c>
      <c r="C5088" t="n">
        <v>3</v>
      </c>
      <c r="D5088" s="218" t="n">
        <v>87.6</v>
      </c>
      <c r="E5088" s="218" t="n">
        <v>2.83</v>
      </c>
      <c r="F5088" t="str">
        <v>https://re.jrc.ec.europa.eu/api/v5_3/PVcalc?lat=30.0444&amp;lon=31.2357&amp;peakpower=1&amp;loss=14&amp;angle=80&amp;aspect=90&amp;outputformat=json&amp;raddatabase=PVGIS-SARAH3&amp;pvtechchoice=crystSi&amp;mountingplace=free&amp;usehorizon=1</v>
      </c>
    </row>
    <row r="5089">
      <c r="A5089" t="n">
        <v>80</v>
      </c>
      <c r="B5089" t="n">
        <v>270</v>
      </c>
      <c r="C5089" t="n">
        <v>4</v>
      </c>
      <c r="D5089" s="218" t="n">
        <v>93.97</v>
      </c>
      <c r="E5089" s="218" t="n">
        <v>3.13</v>
      </c>
      <c r="F5089" t="str">
        <v>https://re.jrc.ec.europa.eu/api/v5_3/PVcalc?lat=30.0444&amp;lon=31.2357&amp;peakpower=1&amp;loss=14&amp;angle=80&amp;aspect=90&amp;outputformat=json&amp;raddatabase=PVGIS-SARAH3&amp;pvtechchoice=crystSi&amp;mountingplace=free&amp;usehorizon=1</v>
      </c>
    </row>
    <row r="5090">
      <c r="A5090" t="n">
        <v>80</v>
      </c>
      <c r="B5090" t="n">
        <v>270</v>
      </c>
      <c r="C5090" t="n">
        <v>5</v>
      </c>
      <c r="D5090" s="218" t="n">
        <v>101.9</v>
      </c>
      <c r="E5090" s="218" t="n">
        <v>3.29</v>
      </c>
      <c r="F5090" t="str">
        <v>https://re.jrc.ec.europa.eu/api/v5_3/PVcalc?lat=30.0444&amp;lon=31.2357&amp;peakpower=1&amp;loss=14&amp;angle=80&amp;aspect=90&amp;outputformat=json&amp;raddatabase=PVGIS-SARAH3&amp;pvtechchoice=crystSi&amp;mountingplace=free&amp;usehorizon=1</v>
      </c>
    </row>
    <row r="5091">
      <c r="A5091" t="n">
        <v>80</v>
      </c>
      <c r="B5091" t="n">
        <v>270</v>
      </c>
      <c r="C5091" t="n">
        <v>6</v>
      </c>
      <c r="D5091" s="218" t="n">
        <v>106.8</v>
      </c>
      <c r="E5091" s="218" t="n">
        <v>3.56</v>
      </c>
      <c r="F5091" t="str">
        <v>https://re.jrc.ec.europa.eu/api/v5_3/PVcalc?lat=30.0444&amp;lon=31.2357&amp;peakpower=1&amp;loss=14&amp;angle=80&amp;aspect=90&amp;outputformat=json&amp;raddatabase=PVGIS-SARAH3&amp;pvtechchoice=crystSi&amp;mountingplace=free&amp;usehorizon=1</v>
      </c>
    </row>
    <row r="5092">
      <c r="A5092" t="n">
        <v>80</v>
      </c>
      <c r="B5092" t="n">
        <v>270</v>
      </c>
      <c r="C5092" t="n">
        <v>7</v>
      </c>
      <c r="D5092" s="218" t="n">
        <v>110.68</v>
      </c>
      <c r="E5092" s="218" t="n">
        <v>3.57</v>
      </c>
      <c r="F5092" t="str">
        <v>https://re.jrc.ec.europa.eu/api/v5_3/PVcalc?lat=30.0444&amp;lon=31.2357&amp;peakpower=1&amp;loss=14&amp;angle=80&amp;aspect=90&amp;outputformat=json&amp;raddatabase=PVGIS-SARAH3&amp;pvtechchoice=crystSi&amp;mountingplace=free&amp;usehorizon=1</v>
      </c>
    </row>
    <row r="5093">
      <c r="A5093" t="n">
        <v>80</v>
      </c>
      <c r="B5093" t="n">
        <v>270</v>
      </c>
      <c r="C5093" t="n">
        <v>8</v>
      </c>
      <c r="D5093" s="218" t="n">
        <v>104.64</v>
      </c>
      <c r="E5093" s="218" t="n">
        <v>3.38</v>
      </c>
      <c r="F5093" t="str">
        <v>https://re.jrc.ec.europa.eu/api/v5_3/PVcalc?lat=30.0444&amp;lon=31.2357&amp;peakpower=1&amp;loss=14&amp;angle=80&amp;aspect=90&amp;outputformat=json&amp;raddatabase=PVGIS-SARAH3&amp;pvtechchoice=crystSi&amp;mountingplace=free&amp;usehorizon=1</v>
      </c>
    </row>
    <row r="5094">
      <c r="A5094" t="n">
        <v>80</v>
      </c>
      <c r="B5094" t="n">
        <v>270</v>
      </c>
      <c r="C5094" t="n">
        <v>9</v>
      </c>
      <c r="D5094" s="218" t="n">
        <v>91.2</v>
      </c>
      <c r="E5094" s="218" t="n">
        <v>3.04</v>
      </c>
      <c r="F5094" t="str">
        <v>https://re.jrc.ec.europa.eu/api/v5_3/PVcalc?lat=30.0444&amp;lon=31.2357&amp;peakpower=1&amp;loss=14&amp;angle=80&amp;aspect=90&amp;outputformat=json&amp;raddatabase=PVGIS-SARAH3&amp;pvtechchoice=crystSi&amp;mountingplace=free&amp;usehorizon=1</v>
      </c>
    </row>
    <row r="5095">
      <c r="A5095" t="n">
        <v>80</v>
      </c>
      <c r="B5095" t="n">
        <v>270</v>
      </c>
      <c r="C5095" t="n">
        <v>10</v>
      </c>
      <c r="D5095" s="218" t="n">
        <v>77.01</v>
      </c>
      <c r="E5095" s="218" t="n">
        <v>2.48</v>
      </c>
      <c r="F5095" t="str">
        <v>https://re.jrc.ec.europa.eu/api/v5_3/PVcalc?lat=30.0444&amp;lon=31.2357&amp;peakpower=1&amp;loss=14&amp;angle=80&amp;aspect=90&amp;outputformat=json&amp;raddatabase=PVGIS-SARAH3&amp;pvtechchoice=crystSi&amp;mountingplace=free&amp;usehorizon=1</v>
      </c>
    </row>
    <row r="5096">
      <c r="A5096" t="n">
        <v>80</v>
      </c>
      <c r="B5096" t="n">
        <v>270</v>
      </c>
      <c r="C5096" t="n">
        <v>11</v>
      </c>
      <c r="D5096" s="218" t="n">
        <v>60.25</v>
      </c>
      <c r="E5096" s="218" t="n">
        <v>2.01</v>
      </c>
      <c r="F5096" t="str">
        <v>https://re.jrc.ec.europa.eu/api/v5_3/PVcalc?lat=30.0444&amp;lon=31.2357&amp;peakpower=1&amp;loss=14&amp;angle=80&amp;aspect=90&amp;outputformat=json&amp;raddatabase=PVGIS-SARAH3&amp;pvtechchoice=crystSi&amp;mountingplace=free&amp;usehorizon=1</v>
      </c>
    </row>
    <row r="5097">
      <c r="A5097" t="n">
        <v>80</v>
      </c>
      <c r="B5097" t="n">
        <v>270</v>
      </c>
      <c r="C5097" t="n">
        <v>12</v>
      </c>
      <c r="D5097" s="218" t="n">
        <v>53.21</v>
      </c>
      <c r="E5097" s="218" t="n">
        <v>1.72</v>
      </c>
      <c r="F5097" t="str">
        <v>https://re.jrc.ec.europa.eu/api/v5_3/PVcalc?lat=30.0444&amp;lon=31.2357&amp;peakpower=1&amp;loss=14&amp;angle=80&amp;aspect=90&amp;outputformat=json&amp;raddatabase=PVGIS-SARAH3&amp;pvtechchoice=crystSi&amp;mountingplace=free&amp;usehorizon=1</v>
      </c>
    </row>
    <row r="5098">
      <c r="A5098" t="n">
        <v>80</v>
      </c>
      <c r="B5098" t="n">
        <v>285</v>
      </c>
      <c r="C5098" t="n">
        <v>1</v>
      </c>
      <c r="D5098" s="218" t="n">
        <v>40.09</v>
      </c>
      <c r="E5098" s="218" t="n">
        <v>1.29</v>
      </c>
      <c r="F5098" t="str">
        <v>https://re.jrc.ec.europa.eu/api/v5_3/PVcalc?lat=30.0444&amp;lon=31.2357&amp;peakpower=1&amp;loss=14&amp;angle=80&amp;aspect=105&amp;outputformat=json&amp;raddatabase=PVGIS-SARAH3&amp;pvtechchoice=crystSi&amp;mountingplace=free&amp;usehorizon=1</v>
      </c>
    </row>
    <row r="5099">
      <c r="A5099" t="n">
        <v>80</v>
      </c>
      <c r="B5099" t="n">
        <v>285</v>
      </c>
      <c r="C5099" t="n">
        <v>2</v>
      </c>
      <c r="D5099" s="218" t="n">
        <v>48.5</v>
      </c>
      <c r="E5099" s="218" t="n">
        <v>1.73</v>
      </c>
      <c r="F5099" t="str">
        <v>https://re.jrc.ec.europa.eu/api/v5_3/PVcalc?lat=30.0444&amp;lon=31.2357&amp;peakpower=1&amp;loss=14&amp;angle=80&amp;aspect=105&amp;outputformat=json&amp;raddatabase=PVGIS-SARAH3&amp;pvtechchoice=crystSi&amp;mountingplace=free&amp;usehorizon=1</v>
      </c>
    </row>
    <row r="5100">
      <c r="A5100" t="n">
        <v>80</v>
      </c>
      <c r="B5100" t="n">
        <v>285</v>
      </c>
      <c r="C5100" t="n">
        <v>3</v>
      </c>
      <c r="D5100" s="218" t="n">
        <v>75.44</v>
      </c>
      <c r="E5100" s="218" t="n">
        <v>2.43</v>
      </c>
      <c r="F5100" t="str">
        <v>https://re.jrc.ec.europa.eu/api/v5_3/PVcalc?lat=30.0444&amp;lon=31.2357&amp;peakpower=1&amp;loss=14&amp;angle=80&amp;aspect=105&amp;outputformat=json&amp;raddatabase=PVGIS-SARAH3&amp;pvtechchoice=crystSi&amp;mountingplace=free&amp;usehorizon=1</v>
      </c>
    </row>
    <row r="5101">
      <c r="A5101" t="n">
        <v>80</v>
      </c>
      <c r="B5101" t="n">
        <v>285</v>
      </c>
      <c r="C5101" t="n">
        <v>4</v>
      </c>
      <c r="D5101" s="218" t="n">
        <v>86.42</v>
      </c>
      <c r="E5101" s="218" t="n">
        <v>2.88</v>
      </c>
      <c r="F5101" t="str">
        <v>https://re.jrc.ec.europa.eu/api/v5_3/PVcalc?lat=30.0444&amp;lon=31.2357&amp;peakpower=1&amp;loss=14&amp;angle=80&amp;aspect=105&amp;outputformat=json&amp;raddatabase=PVGIS-SARAH3&amp;pvtechchoice=crystSi&amp;mountingplace=free&amp;usehorizon=1</v>
      </c>
    </row>
    <row r="5102">
      <c r="A5102" t="n">
        <v>80</v>
      </c>
      <c r="B5102" t="n">
        <v>285</v>
      </c>
      <c r="C5102" t="n">
        <v>5</v>
      </c>
      <c r="D5102" s="218" t="n">
        <v>98.41</v>
      </c>
      <c r="E5102" s="218" t="n">
        <v>3.17</v>
      </c>
      <c r="F5102" t="str">
        <v>https://re.jrc.ec.europa.eu/api/v5_3/PVcalc?lat=30.0444&amp;lon=31.2357&amp;peakpower=1&amp;loss=14&amp;angle=80&amp;aspect=105&amp;outputformat=json&amp;raddatabase=PVGIS-SARAH3&amp;pvtechchoice=crystSi&amp;mountingplace=free&amp;usehorizon=1</v>
      </c>
    </row>
    <row r="5103">
      <c r="A5103" t="n">
        <v>80</v>
      </c>
      <c r="B5103" t="n">
        <v>285</v>
      </c>
      <c r="C5103" t="n">
        <v>6</v>
      </c>
      <c r="D5103" s="218" t="n">
        <v>105.51</v>
      </c>
      <c r="E5103" s="218" t="n">
        <v>3.52</v>
      </c>
      <c r="F5103" t="str">
        <v>https://re.jrc.ec.europa.eu/api/v5_3/PVcalc?lat=30.0444&amp;lon=31.2357&amp;peakpower=1&amp;loss=14&amp;angle=80&amp;aspect=105&amp;outputformat=json&amp;raddatabase=PVGIS-SARAH3&amp;pvtechchoice=crystSi&amp;mountingplace=free&amp;usehorizon=1</v>
      </c>
    </row>
    <row r="5104">
      <c r="A5104" t="n">
        <v>80</v>
      </c>
      <c r="B5104" t="n">
        <v>285</v>
      </c>
      <c r="C5104" t="n">
        <v>7</v>
      </c>
      <c r="D5104" s="218" t="n">
        <v>108.19</v>
      </c>
      <c r="E5104" s="218" t="n">
        <v>3.49</v>
      </c>
      <c r="F5104" t="str">
        <v>https://re.jrc.ec.europa.eu/api/v5_3/PVcalc?lat=30.0444&amp;lon=31.2357&amp;peakpower=1&amp;loss=14&amp;angle=80&amp;aspect=105&amp;outputformat=json&amp;raddatabase=PVGIS-SARAH3&amp;pvtechchoice=crystSi&amp;mountingplace=free&amp;usehorizon=1</v>
      </c>
    </row>
    <row r="5105">
      <c r="A5105" t="n">
        <v>80</v>
      </c>
      <c r="B5105" t="n">
        <v>285</v>
      </c>
      <c r="C5105" t="n">
        <v>8</v>
      </c>
      <c r="D5105" s="218" t="n">
        <v>98.06</v>
      </c>
      <c r="E5105" s="218" t="n">
        <v>3.16</v>
      </c>
      <c r="F5105" t="str">
        <v>https://re.jrc.ec.europa.eu/api/v5_3/PVcalc?lat=30.0444&amp;lon=31.2357&amp;peakpower=1&amp;loss=14&amp;angle=80&amp;aspect=105&amp;outputformat=json&amp;raddatabase=PVGIS-SARAH3&amp;pvtechchoice=crystSi&amp;mountingplace=free&amp;usehorizon=1</v>
      </c>
    </row>
    <row r="5106">
      <c r="A5106" t="n">
        <v>80</v>
      </c>
      <c r="B5106" t="n">
        <v>285</v>
      </c>
      <c r="C5106" t="n">
        <v>9</v>
      </c>
      <c r="D5106" s="218" t="n">
        <v>80.4</v>
      </c>
      <c r="E5106" s="218" t="n">
        <v>2.68</v>
      </c>
      <c r="F5106" t="str">
        <v>https://re.jrc.ec.europa.eu/api/v5_3/PVcalc?lat=30.0444&amp;lon=31.2357&amp;peakpower=1&amp;loss=14&amp;angle=80&amp;aspect=105&amp;outputformat=json&amp;raddatabase=PVGIS-SARAH3&amp;pvtechchoice=crystSi&amp;mountingplace=free&amp;usehorizon=1</v>
      </c>
    </row>
    <row r="5107">
      <c r="A5107" t="n">
        <v>80</v>
      </c>
      <c r="B5107" t="n">
        <v>285</v>
      </c>
      <c r="C5107" t="n">
        <v>10</v>
      </c>
      <c r="D5107" s="218" t="n">
        <v>62.35</v>
      </c>
      <c r="E5107" s="218" t="n">
        <v>2.01</v>
      </c>
      <c r="F5107" t="str">
        <v>https://re.jrc.ec.europa.eu/api/v5_3/PVcalc?lat=30.0444&amp;lon=31.2357&amp;peakpower=1&amp;loss=14&amp;angle=80&amp;aspect=105&amp;outputformat=json&amp;raddatabase=PVGIS-SARAH3&amp;pvtechchoice=crystSi&amp;mountingplace=free&amp;usehorizon=1</v>
      </c>
    </row>
    <row r="5108">
      <c r="A5108" t="n">
        <v>80</v>
      </c>
      <c r="B5108" t="n">
        <v>285</v>
      </c>
      <c r="C5108" t="n">
        <v>11</v>
      </c>
      <c r="D5108" s="218" t="n">
        <v>45.32</v>
      </c>
      <c r="E5108" s="218" t="n">
        <v>1.51</v>
      </c>
      <c r="F5108" t="str">
        <v>https://re.jrc.ec.europa.eu/api/v5_3/PVcalc?lat=30.0444&amp;lon=31.2357&amp;peakpower=1&amp;loss=14&amp;angle=80&amp;aspect=105&amp;outputformat=json&amp;raddatabase=PVGIS-SARAH3&amp;pvtechchoice=crystSi&amp;mountingplace=free&amp;usehorizon=1</v>
      </c>
    </row>
    <row r="5109">
      <c r="A5109" t="n">
        <v>80</v>
      </c>
      <c r="B5109" t="n">
        <v>285</v>
      </c>
      <c r="C5109" t="n">
        <v>12</v>
      </c>
      <c r="D5109" s="218" t="n">
        <v>37.66</v>
      </c>
      <c r="E5109" s="218" t="n">
        <v>1.21</v>
      </c>
      <c r="F5109" t="str">
        <v>https://re.jrc.ec.europa.eu/api/v5_3/PVcalc?lat=30.0444&amp;lon=31.2357&amp;peakpower=1&amp;loss=14&amp;angle=80&amp;aspect=105&amp;outputformat=json&amp;raddatabase=PVGIS-SARAH3&amp;pvtechchoice=crystSi&amp;mountingplace=free&amp;usehorizon=1</v>
      </c>
    </row>
    <row r="5110">
      <c r="A5110" t="n">
        <v>80</v>
      </c>
      <c r="B5110" t="n">
        <v>300</v>
      </c>
      <c r="C5110" t="n">
        <v>1</v>
      </c>
      <c r="D5110" s="218" t="n">
        <v>27.05</v>
      </c>
      <c r="E5110" s="218" t="n">
        <v>0.87</v>
      </c>
      <c r="F5110" t="str">
        <v>https://re.jrc.ec.europa.eu/api/v5_3/PVcalc?lat=30.0444&amp;lon=31.2357&amp;peakpower=1&amp;loss=14&amp;angle=80&amp;aspect=120&amp;outputformat=json&amp;raddatabase=PVGIS-SARAH3&amp;pvtechchoice=crystSi&amp;mountingplace=free&amp;usehorizon=1</v>
      </c>
    </row>
    <row r="5111">
      <c r="A5111" t="n">
        <v>80</v>
      </c>
      <c r="B5111" t="n">
        <v>300</v>
      </c>
      <c r="C5111" t="n">
        <v>2</v>
      </c>
      <c r="D5111" s="218" t="n">
        <v>36.65</v>
      </c>
      <c r="E5111" s="218" t="n">
        <v>1.31</v>
      </c>
      <c r="F5111" t="str">
        <v>https://re.jrc.ec.europa.eu/api/v5_3/PVcalc?lat=30.0444&amp;lon=31.2357&amp;peakpower=1&amp;loss=14&amp;angle=80&amp;aspect=120&amp;outputformat=json&amp;raddatabase=PVGIS-SARAH3&amp;pvtechchoice=crystSi&amp;mountingplace=free&amp;usehorizon=1</v>
      </c>
    </row>
    <row r="5112">
      <c r="A5112" t="n">
        <v>80</v>
      </c>
      <c r="B5112" t="n">
        <v>300</v>
      </c>
      <c r="C5112" t="n">
        <v>3</v>
      </c>
      <c r="D5112" s="218" t="n">
        <v>61.23</v>
      </c>
      <c r="E5112" s="218" t="n">
        <v>1.98</v>
      </c>
      <c r="F5112" t="str">
        <v>https://re.jrc.ec.europa.eu/api/v5_3/PVcalc?lat=30.0444&amp;lon=31.2357&amp;peakpower=1&amp;loss=14&amp;angle=80&amp;aspect=120&amp;outputformat=json&amp;raddatabase=PVGIS-SARAH3&amp;pvtechchoice=crystSi&amp;mountingplace=free&amp;usehorizon=1</v>
      </c>
    </row>
    <row r="5113">
      <c r="A5113" t="n">
        <v>80</v>
      </c>
      <c r="B5113" t="n">
        <v>300</v>
      </c>
      <c r="C5113" t="n">
        <v>4</v>
      </c>
      <c r="D5113" s="218" t="n">
        <v>75.79</v>
      </c>
      <c r="E5113" s="218" t="n">
        <v>2.53</v>
      </c>
      <c r="F5113" t="str">
        <v>https://re.jrc.ec.europa.eu/api/v5_3/PVcalc?lat=30.0444&amp;lon=31.2357&amp;peakpower=1&amp;loss=14&amp;angle=80&amp;aspect=120&amp;outputformat=json&amp;raddatabase=PVGIS-SARAH3&amp;pvtechchoice=crystSi&amp;mountingplace=free&amp;usehorizon=1</v>
      </c>
    </row>
    <row r="5114">
      <c r="A5114" t="n">
        <v>80</v>
      </c>
      <c r="B5114" t="n">
        <v>300</v>
      </c>
      <c r="C5114" t="n">
        <v>5</v>
      </c>
      <c r="D5114" s="218" t="n">
        <v>91.14</v>
      </c>
      <c r="E5114" s="218" t="n">
        <v>2.94</v>
      </c>
      <c r="F5114" t="str">
        <v>https://re.jrc.ec.europa.eu/api/v5_3/PVcalc?lat=30.0444&amp;lon=31.2357&amp;peakpower=1&amp;loss=14&amp;angle=80&amp;aspect=120&amp;outputformat=json&amp;raddatabase=PVGIS-SARAH3&amp;pvtechchoice=crystSi&amp;mountingplace=free&amp;usehorizon=1</v>
      </c>
    </row>
    <row r="5115">
      <c r="A5115" t="n">
        <v>80</v>
      </c>
      <c r="B5115" t="n">
        <v>300</v>
      </c>
      <c r="C5115" t="n">
        <v>6</v>
      </c>
      <c r="D5115" s="218" t="n">
        <v>99.83</v>
      </c>
      <c r="E5115" s="218" t="n">
        <v>3.33</v>
      </c>
      <c r="F5115" t="str">
        <v>https://re.jrc.ec.europa.eu/api/v5_3/PVcalc?lat=30.0444&amp;lon=31.2357&amp;peakpower=1&amp;loss=14&amp;angle=80&amp;aspect=120&amp;outputformat=json&amp;raddatabase=PVGIS-SARAH3&amp;pvtechchoice=crystSi&amp;mountingplace=free&amp;usehorizon=1</v>
      </c>
    </row>
    <row r="5116">
      <c r="A5116" t="n">
        <v>80</v>
      </c>
      <c r="B5116" t="n">
        <v>300</v>
      </c>
      <c r="C5116" t="n">
        <v>7</v>
      </c>
      <c r="D5116" s="218" t="n">
        <v>101.2</v>
      </c>
      <c r="E5116" s="218" t="n">
        <v>3.26</v>
      </c>
      <c r="F5116" t="str">
        <v>https://re.jrc.ec.europa.eu/api/v5_3/PVcalc?lat=30.0444&amp;lon=31.2357&amp;peakpower=1&amp;loss=14&amp;angle=80&amp;aspect=120&amp;outputformat=json&amp;raddatabase=PVGIS-SARAH3&amp;pvtechchoice=crystSi&amp;mountingplace=free&amp;usehorizon=1</v>
      </c>
    </row>
    <row r="5117">
      <c r="A5117" t="n">
        <v>80</v>
      </c>
      <c r="B5117" t="n">
        <v>300</v>
      </c>
      <c r="C5117" t="n">
        <v>8</v>
      </c>
      <c r="D5117" s="218" t="n">
        <v>87.58</v>
      </c>
      <c r="E5117" s="218" t="n">
        <v>2.83</v>
      </c>
      <c r="F5117" t="str">
        <v>https://re.jrc.ec.europa.eu/api/v5_3/PVcalc?lat=30.0444&amp;lon=31.2357&amp;peakpower=1&amp;loss=14&amp;angle=80&amp;aspect=120&amp;outputformat=json&amp;raddatabase=PVGIS-SARAH3&amp;pvtechchoice=crystSi&amp;mountingplace=free&amp;usehorizon=1</v>
      </c>
    </row>
    <row r="5118">
      <c r="A5118" t="n">
        <v>80</v>
      </c>
      <c r="B5118" t="n">
        <v>300</v>
      </c>
      <c r="C5118" t="n">
        <v>9</v>
      </c>
      <c r="D5118" s="218" t="n">
        <v>66.59</v>
      </c>
      <c r="E5118" s="218" t="n">
        <v>2.22</v>
      </c>
      <c r="F5118" t="str">
        <v>https://re.jrc.ec.europa.eu/api/v5_3/PVcalc?lat=30.0444&amp;lon=31.2357&amp;peakpower=1&amp;loss=14&amp;angle=80&amp;aspect=120&amp;outputformat=json&amp;raddatabase=PVGIS-SARAH3&amp;pvtechchoice=crystSi&amp;mountingplace=free&amp;usehorizon=1</v>
      </c>
    </row>
    <row r="5119">
      <c r="A5119" t="n">
        <v>80</v>
      </c>
      <c r="B5119" t="n">
        <v>300</v>
      </c>
      <c r="C5119" t="n">
        <v>10</v>
      </c>
      <c r="D5119" s="218" t="n">
        <v>46.86</v>
      </c>
      <c r="E5119" s="218" t="n">
        <v>1.51</v>
      </c>
      <c r="F5119" t="str">
        <v>https://re.jrc.ec.europa.eu/api/v5_3/PVcalc?lat=30.0444&amp;lon=31.2357&amp;peakpower=1&amp;loss=14&amp;angle=80&amp;aspect=120&amp;outputformat=json&amp;raddatabase=PVGIS-SARAH3&amp;pvtechchoice=crystSi&amp;mountingplace=free&amp;usehorizon=1</v>
      </c>
    </row>
    <row r="5120">
      <c r="A5120" t="n">
        <v>80</v>
      </c>
      <c r="B5120" t="n">
        <v>300</v>
      </c>
      <c r="C5120" t="n">
        <v>11</v>
      </c>
      <c r="D5120" s="218" t="n">
        <v>30.87</v>
      </c>
      <c r="E5120" s="218" t="n">
        <v>1.03</v>
      </c>
      <c r="F5120" t="str">
        <v>https://re.jrc.ec.europa.eu/api/v5_3/PVcalc?lat=30.0444&amp;lon=31.2357&amp;peakpower=1&amp;loss=14&amp;angle=80&amp;aspect=120&amp;outputformat=json&amp;raddatabase=PVGIS-SARAH3&amp;pvtechchoice=crystSi&amp;mountingplace=free&amp;usehorizon=1</v>
      </c>
    </row>
    <row r="5121">
      <c r="A5121" t="n">
        <v>80</v>
      </c>
      <c r="B5121" t="n">
        <v>300</v>
      </c>
      <c r="C5121" t="n">
        <v>12</v>
      </c>
      <c r="D5121" s="218" t="n">
        <v>24.56</v>
      </c>
      <c r="E5121" s="218" t="n">
        <v>0.79</v>
      </c>
      <c r="F5121" t="str">
        <v>https://re.jrc.ec.europa.eu/api/v5_3/PVcalc?lat=30.0444&amp;lon=31.2357&amp;peakpower=1&amp;loss=14&amp;angle=80&amp;aspect=120&amp;outputformat=json&amp;raddatabase=PVGIS-SARAH3&amp;pvtechchoice=crystSi&amp;mountingplace=free&amp;usehorizon=1</v>
      </c>
    </row>
    <row r="5122">
      <c r="A5122" t="n">
        <v>80</v>
      </c>
      <c r="B5122" t="n">
        <v>315</v>
      </c>
      <c r="C5122" t="n">
        <v>1</v>
      </c>
      <c r="D5122" s="218" t="n">
        <v>17.62</v>
      </c>
      <c r="E5122" s="218" t="n">
        <v>0.57</v>
      </c>
      <c r="F5122" t="str">
        <v>https://re.jrc.ec.europa.eu/api/v5_3/PVcalc?lat=30.0444&amp;lon=31.2357&amp;peakpower=1&amp;loss=14&amp;angle=80&amp;aspect=135&amp;outputformat=json&amp;raddatabase=PVGIS-SARAH3&amp;pvtechchoice=crystSi&amp;mountingplace=free&amp;usehorizon=1</v>
      </c>
    </row>
    <row r="5123">
      <c r="A5123" t="n">
        <v>80</v>
      </c>
      <c r="B5123" t="n">
        <v>315</v>
      </c>
      <c r="C5123" t="n">
        <v>2</v>
      </c>
      <c r="D5123" s="218" t="n">
        <v>25.8</v>
      </c>
      <c r="E5123" s="218" t="n">
        <v>0.92</v>
      </c>
      <c r="F5123" t="str">
        <v>https://re.jrc.ec.europa.eu/api/v5_3/PVcalc?lat=30.0444&amp;lon=31.2357&amp;peakpower=1&amp;loss=14&amp;angle=80&amp;aspect=135&amp;outputformat=json&amp;raddatabase=PVGIS-SARAH3&amp;pvtechchoice=crystSi&amp;mountingplace=free&amp;usehorizon=1</v>
      </c>
    </row>
    <row r="5124">
      <c r="A5124" t="n">
        <v>80</v>
      </c>
      <c r="B5124" t="n">
        <v>315</v>
      </c>
      <c r="C5124" t="n">
        <v>3</v>
      </c>
      <c r="D5124" s="218" t="n">
        <v>46.47</v>
      </c>
      <c r="E5124" s="218" t="n">
        <v>1.5</v>
      </c>
      <c r="F5124" t="str">
        <v>https://re.jrc.ec.europa.eu/api/v5_3/PVcalc?lat=30.0444&amp;lon=31.2357&amp;peakpower=1&amp;loss=14&amp;angle=80&amp;aspect=135&amp;outputformat=json&amp;raddatabase=PVGIS-SARAH3&amp;pvtechchoice=crystSi&amp;mountingplace=free&amp;usehorizon=1</v>
      </c>
    </row>
    <row r="5125">
      <c r="A5125" t="n">
        <v>80</v>
      </c>
      <c r="B5125" t="n">
        <v>315</v>
      </c>
      <c r="C5125" t="n">
        <v>4</v>
      </c>
      <c r="D5125" s="218" t="n">
        <v>62.61</v>
      </c>
      <c r="E5125" s="218" t="n">
        <v>2.09</v>
      </c>
      <c r="F5125" t="str">
        <v>https://re.jrc.ec.europa.eu/api/v5_3/PVcalc?lat=30.0444&amp;lon=31.2357&amp;peakpower=1&amp;loss=14&amp;angle=80&amp;aspect=135&amp;outputformat=json&amp;raddatabase=PVGIS-SARAH3&amp;pvtechchoice=crystSi&amp;mountingplace=free&amp;usehorizon=1</v>
      </c>
    </row>
    <row r="5126">
      <c r="A5126" t="n">
        <v>80</v>
      </c>
      <c r="B5126" t="n">
        <v>315</v>
      </c>
      <c r="C5126" t="n">
        <v>5</v>
      </c>
      <c r="D5126" s="218" t="n">
        <v>80.44</v>
      </c>
      <c r="E5126" s="218" t="n">
        <v>2.59</v>
      </c>
      <c r="F5126" t="str">
        <v>https://re.jrc.ec.europa.eu/api/v5_3/PVcalc?lat=30.0444&amp;lon=31.2357&amp;peakpower=1&amp;loss=14&amp;angle=80&amp;aspect=135&amp;outputformat=json&amp;raddatabase=PVGIS-SARAH3&amp;pvtechchoice=crystSi&amp;mountingplace=free&amp;usehorizon=1</v>
      </c>
    </row>
    <row r="5127">
      <c r="A5127" t="n">
        <v>80</v>
      </c>
      <c r="B5127" t="n">
        <v>315</v>
      </c>
      <c r="C5127" t="n">
        <v>6</v>
      </c>
      <c r="D5127" s="218" t="n">
        <v>89.94</v>
      </c>
      <c r="E5127" s="218" t="n">
        <v>3</v>
      </c>
      <c r="F5127" t="str">
        <v>https://re.jrc.ec.europa.eu/api/v5_3/PVcalc?lat=30.0444&amp;lon=31.2357&amp;peakpower=1&amp;loss=14&amp;angle=80&amp;aspect=135&amp;outputformat=json&amp;raddatabase=PVGIS-SARAH3&amp;pvtechchoice=crystSi&amp;mountingplace=free&amp;usehorizon=1</v>
      </c>
    </row>
    <row r="5128">
      <c r="A5128" t="n">
        <v>80</v>
      </c>
      <c r="B5128" t="n">
        <v>315</v>
      </c>
      <c r="C5128" t="n">
        <v>7</v>
      </c>
      <c r="D5128" s="218" t="n">
        <v>89.94</v>
      </c>
      <c r="E5128" s="218" t="n">
        <v>2.9</v>
      </c>
      <c r="F5128" t="str">
        <v>https://re.jrc.ec.europa.eu/api/v5_3/PVcalc?lat=30.0444&amp;lon=31.2357&amp;peakpower=1&amp;loss=14&amp;angle=80&amp;aspect=135&amp;outputformat=json&amp;raddatabase=PVGIS-SARAH3&amp;pvtechchoice=crystSi&amp;mountingplace=free&amp;usehorizon=1</v>
      </c>
    </row>
    <row r="5129">
      <c r="A5129" t="n">
        <v>80</v>
      </c>
      <c r="B5129" t="n">
        <v>315</v>
      </c>
      <c r="C5129" t="n">
        <v>8</v>
      </c>
      <c r="D5129" s="218" t="n">
        <v>73.34</v>
      </c>
      <c r="E5129" s="218" t="n">
        <v>2.37</v>
      </c>
      <c r="F5129" t="str">
        <v>https://re.jrc.ec.europa.eu/api/v5_3/PVcalc?lat=30.0444&amp;lon=31.2357&amp;peakpower=1&amp;loss=14&amp;angle=80&amp;aspect=135&amp;outputformat=json&amp;raddatabase=PVGIS-SARAH3&amp;pvtechchoice=crystSi&amp;mountingplace=free&amp;usehorizon=1</v>
      </c>
    </row>
    <row r="5130">
      <c r="A5130" t="n">
        <v>80</v>
      </c>
      <c r="B5130" t="n">
        <v>315</v>
      </c>
      <c r="C5130" t="n">
        <v>9</v>
      </c>
      <c r="D5130" s="218" t="n">
        <v>51.26</v>
      </c>
      <c r="E5130" s="218" t="n">
        <v>1.71</v>
      </c>
      <c r="F5130" t="str">
        <v>https://re.jrc.ec.europa.eu/api/v5_3/PVcalc?lat=30.0444&amp;lon=31.2357&amp;peakpower=1&amp;loss=14&amp;angle=80&amp;aspect=135&amp;outputformat=json&amp;raddatabase=PVGIS-SARAH3&amp;pvtechchoice=crystSi&amp;mountingplace=free&amp;usehorizon=1</v>
      </c>
    </row>
    <row r="5131">
      <c r="A5131" t="n">
        <v>80</v>
      </c>
      <c r="B5131" t="n">
        <v>315</v>
      </c>
      <c r="C5131" t="n">
        <v>10</v>
      </c>
      <c r="D5131" s="218" t="n">
        <v>32.39</v>
      </c>
      <c r="E5131" s="218" t="n">
        <v>1.04</v>
      </c>
      <c r="F5131" t="str">
        <v>https://re.jrc.ec.europa.eu/api/v5_3/PVcalc?lat=30.0444&amp;lon=31.2357&amp;peakpower=1&amp;loss=14&amp;angle=80&amp;aspect=135&amp;outputformat=json&amp;raddatabase=PVGIS-SARAH3&amp;pvtechchoice=crystSi&amp;mountingplace=free&amp;usehorizon=1</v>
      </c>
    </row>
    <row r="5132">
      <c r="A5132" t="n">
        <v>80</v>
      </c>
      <c r="B5132" t="n">
        <v>315</v>
      </c>
      <c r="C5132" t="n">
        <v>11</v>
      </c>
      <c r="D5132" s="218" t="n">
        <v>19.39</v>
      </c>
      <c r="E5132" s="218" t="n">
        <v>0.65</v>
      </c>
      <c r="F5132" t="str">
        <v>https://re.jrc.ec.europa.eu/api/v5_3/PVcalc?lat=30.0444&amp;lon=31.2357&amp;peakpower=1&amp;loss=14&amp;angle=80&amp;aspect=135&amp;outputformat=json&amp;raddatabase=PVGIS-SARAH3&amp;pvtechchoice=crystSi&amp;mountingplace=free&amp;usehorizon=1</v>
      </c>
    </row>
    <row r="5133">
      <c r="A5133" t="n">
        <v>80</v>
      </c>
      <c r="B5133" t="n">
        <v>315</v>
      </c>
      <c r="C5133" t="n">
        <v>12</v>
      </c>
      <c r="D5133" s="218" t="n">
        <v>15.62</v>
      </c>
      <c r="E5133" s="218" t="n">
        <v>0.5</v>
      </c>
      <c r="F5133" t="str">
        <v>https://re.jrc.ec.europa.eu/api/v5_3/PVcalc?lat=30.0444&amp;lon=31.2357&amp;peakpower=1&amp;loss=14&amp;angle=80&amp;aspect=135&amp;outputformat=json&amp;raddatabase=PVGIS-SARAH3&amp;pvtechchoice=crystSi&amp;mountingplace=free&amp;usehorizon=1</v>
      </c>
    </row>
    <row r="5134">
      <c r="A5134" t="n">
        <v>80</v>
      </c>
      <c r="B5134" t="n">
        <v>330</v>
      </c>
      <c r="C5134" t="n">
        <v>1</v>
      </c>
      <c r="D5134" s="218" t="n">
        <v>13.72</v>
      </c>
      <c r="E5134" s="218" t="n">
        <v>0.44</v>
      </c>
      <c r="F5134" t="str">
        <v>https://re.jrc.ec.europa.eu/api/v5_3/PVcalc?lat=30.0444&amp;lon=31.2357&amp;peakpower=1&amp;loss=14&amp;angle=80&amp;aspect=150&amp;outputformat=json&amp;raddatabase=PVGIS-SARAH3&amp;pvtechchoice=crystSi&amp;mountingplace=free&amp;usehorizon=1</v>
      </c>
    </row>
    <row r="5135">
      <c r="A5135" t="n">
        <v>80</v>
      </c>
      <c r="B5135" t="n">
        <v>330</v>
      </c>
      <c r="C5135" t="n">
        <v>2</v>
      </c>
      <c r="D5135" s="218" t="n">
        <v>18.2</v>
      </c>
      <c r="E5135" s="218" t="n">
        <v>0.65</v>
      </c>
      <c r="F5135" t="str">
        <v>https://re.jrc.ec.europa.eu/api/v5_3/PVcalc?lat=30.0444&amp;lon=31.2357&amp;peakpower=1&amp;loss=14&amp;angle=80&amp;aspect=150&amp;outputformat=json&amp;raddatabase=PVGIS-SARAH3&amp;pvtechchoice=crystSi&amp;mountingplace=free&amp;usehorizon=1</v>
      </c>
    </row>
    <row r="5136">
      <c r="A5136" t="n">
        <v>80</v>
      </c>
      <c r="B5136" t="n">
        <v>330</v>
      </c>
      <c r="C5136" t="n">
        <v>3</v>
      </c>
      <c r="D5136" s="218" t="n">
        <v>32.44</v>
      </c>
      <c r="E5136" s="218" t="n">
        <v>1.05</v>
      </c>
      <c r="F5136" t="str">
        <v>https://re.jrc.ec.europa.eu/api/v5_3/PVcalc?lat=30.0444&amp;lon=31.2357&amp;peakpower=1&amp;loss=14&amp;angle=80&amp;aspect=150&amp;outputformat=json&amp;raddatabase=PVGIS-SARAH3&amp;pvtechchoice=crystSi&amp;mountingplace=free&amp;usehorizon=1</v>
      </c>
    </row>
    <row r="5137">
      <c r="A5137" t="n">
        <v>80</v>
      </c>
      <c r="B5137" t="n">
        <v>330</v>
      </c>
      <c r="C5137" t="n">
        <v>4</v>
      </c>
      <c r="D5137" s="218" t="n">
        <v>47.97</v>
      </c>
      <c r="E5137" s="218" t="n">
        <v>1.6</v>
      </c>
      <c r="F5137" t="str">
        <v>https://re.jrc.ec.europa.eu/api/v5_3/PVcalc?lat=30.0444&amp;lon=31.2357&amp;peakpower=1&amp;loss=14&amp;angle=80&amp;aspect=150&amp;outputformat=json&amp;raddatabase=PVGIS-SARAH3&amp;pvtechchoice=crystSi&amp;mountingplace=free&amp;usehorizon=1</v>
      </c>
    </row>
    <row r="5138">
      <c r="A5138" t="n">
        <v>80</v>
      </c>
      <c r="B5138" t="n">
        <v>330</v>
      </c>
      <c r="C5138" t="n">
        <v>5</v>
      </c>
      <c r="D5138" s="218" t="n">
        <v>66.61</v>
      </c>
      <c r="E5138" s="218" t="n">
        <v>2.15</v>
      </c>
      <c r="F5138" t="str">
        <v>https://re.jrc.ec.europa.eu/api/v5_3/PVcalc?lat=30.0444&amp;lon=31.2357&amp;peakpower=1&amp;loss=14&amp;angle=80&amp;aspect=150&amp;outputformat=json&amp;raddatabase=PVGIS-SARAH3&amp;pvtechchoice=crystSi&amp;mountingplace=free&amp;usehorizon=1</v>
      </c>
    </row>
    <row r="5139">
      <c r="A5139" t="n">
        <v>80</v>
      </c>
      <c r="B5139" t="n">
        <v>330</v>
      </c>
      <c r="C5139" t="n">
        <v>6</v>
      </c>
      <c r="D5139" s="218" t="n">
        <v>76.15</v>
      </c>
      <c r="E5139" s="218" t="n">
        <v>2.54</v>
      </c>
      <c r="F5139" t="str">
        <v>https://re.jrc.ec.europa.eu/api/v5_3/PVcalc?lat=30.0444&amp;lon=31.2357&amp;peakpower=1&amp;loss=14&amp;angle=80&amp;aspect=150&amp;outputformat=json&amp;raddatabase=PVGIS-SARAH3&amp;pvtechchoice=crystSi&amp;mountingplace=free&amp;usehorizon=1</v>
      </c>
    </row>
    <row r="5140">
      <c r="A5140" t="n">
        <v>80</v>
      </c>
      <c r="B5140" t="n">
        <v>330</v>
      </c>
      <c r="C5140" t="n">
        <v>7</v>
      </c>
      <c r="D5140" s="218" t="n">
        <v>74.8</v>
      </c>
      <c r="E5140" s="218" t="n">
        <v>2.41</v>
      </c>
      <c r="F5140" t="str">
        <v>https://re.jrc.ec.europa.eu/api/v5_3/PVcalc?lat=30.0444&amp;lon=31.2357&amp;peakpower=1&amp;loss=14&amp;angle=80&amp;aspect=150&amp;outputformat=json&amp;raddatabase=PVGIS-SARAH3&amp;pvtechchoice=crystSi&amp;mountingplace=free&amp;usehorizon=1</v>
      </c>
    </row>
    <row r="5141">
      <c r="A5141" t="n">
        <v>80</v>
      </c>
      <c r="B5141" t="n">
        <v>330</v>
      </c>
      <c r="C5141" t="n">
        <v>8</v>
      </c>
      <c r="D5141" s="218" t="n">
        <v>56.48</v>
      </c>
      <c r="E5141" s="218" t="n">
        <v>1.82</v>
      </c>
      <c r="F5141" t="str">
        <v>https://re.jrc.ec.europa.eu/api/v5_3/PVcalc?lat=30.0444&amp;lon=31.2357&amp;peakpower=1&amp;loss=14&amp;angle=80&amp;aspect=150&amp;outputformat=json&amp;raddatabase=PVGIS-SARAH3&amp;pvtechchoice=crystSi&amp;mountingplace=free&amp;usehorizon=1</v>
      </c>
    </row>
    <row r="5142">
      <c r="A5142" t="n">
        <v>80</v>
      </c>
      <c r="B5142" t="n">
        <v>330</v>
      </c>
      <c r="C5142" t="n">
        <v>9</v>
      </c>
      <c r="D5142" s="218" t="n">
        <v>35.45</v>
      </c>
      <c r="E5142" s="218" t="n">
        <v>1.18</v>
      </c>
      <c r="F5142" t="str">
        <v>https://re.jrc.ec.europa.eu/api/v5_3/PVcalc?lat=30.0444&amp;lon=31.2357&amp;peakpower=1&amp;loss=14&amp;angle=80&amp;aspect=150&amp;outputformat=json&amp;raddatabase=PVGIS-SARAH3&amp;pvtechchoice=crystSi&amp;mountingplace=free&amp;usehorizon=1</v>
      </c>
    </row>
    <row r="5143">
      <c r="A5143" t="n">
        <v>80</v>
      </c>
      <c r="B5143" t="n">
        <v>330</v>
      </c>
      <c r="C5143" t="n">
        <v>10</v>
      </c>
      <c r="D5143" s="218" t="n">
        <v>21.01</v>
      </c>
      <c r="E5143" s="218" t="n">
        <v>0.68</v>
      </c>
      <c r="F5143" t="str">
        <v>https://re.jrc.ec.europa.eu/api/v5_3/PVcalc?lat=30.0444&amp;lon=31.2357&amp;peakpower=1&amp;loss=14&amp;angle=80&amp;aspect=150&amp;outputformat=json&amp;raddatabase=PVGIS-SARAH3&amp;pvtechchoice=crystSi&amp;mountingplace=free&amp;usehorizon=1</v>
      </c>
    </row>
    <row r="5144">
      <c r="A5144" t="n">
        <v>80</v>
      </c>
      <c r="B5144" t="n">
        <v>330</v>
      </c>
      <c r="C5144" t="n">
        <v>11</v>
      </c>
      <c r="D5144" s="218" t="n">
        <v>13.61</v>
      </c>
      <c r="E5144" s="218" t="n">
        <v>0.45</v>
      </c>
      <c r="F5144" t="str">
        <v>https://re.jrc.ec.europa.eu/api/v5_3/PVcalc?lat=30.0444&amp;lon=31.2357&amp;peakpower=1&amp;loss=14&amp;angle=80&amp;aspect=150&amp;outputformat=json&amp;raddatabase=PVGIS-SARAH3&amp;pvtechchoice=crystSi&amp;mountingplace=free&amp;usehorizon=1</v>
      </c>
    </row>
    <row r="5145">
      <c r="A5145" t="n">
        <v>80</v>
      </c>
      <c r="B5145" t="n">
        <v>330</v>
      </c>
      <c r="C5145" t="n">
        <v>12</v>
      </c>
      <c r="D5145" s="218" t="n">
        <v>12.56</v>
      </c>
      <c r="E5145" s="218" t="n">
        <v>0.41</v>
      </c>
      <c r="F5145" t="str">
        <v>https://re.jrc.ec.europa.eu/api/v5_3/PVcalc?lat=30.0444&amp;lon=31.2357&amp;peakpower=1&amp;loss=14&amp;angle=80&amp;aspect=150&amp;outputformat=json&amp;raddatabase=PVGIS-SARAH3&amp;pvtechchoice=crystSi&amp;mountingplace=free&amp;usehorizon=1</v>
      </c>
    </row>
    <row r="5146">
      <c r="A5146" t="n">
        <v>80</v>
      </c>
      <c r="B5146" t="n">
        <v>345</v>
      </c>
      <c r="C5146" t="n">
        <v>1</v>
      </c>
      <c r="D5146" s="218" t="n">
        <v>13.58</v>
      </c>
      <c r="E5146" s="218" t="n">
        <v>0.44</v>
      </c>
      <c r="F5146" t="str">
        <v>https://re.jrc.ec.europa.eu/api/v5_3/PVcalc?lat=30.0444&amp;lon=31.2357&amp;peakpower=1&amp;loss=14&amp;angle=80&amp;aspect=165&amp;outputformat=json&amp;raddatabase=PVGIS-SARAH3&amp;pvtechchoice=crystSi&amp;mountingplace=free&amp;usehorizon=1</v>
      </c>
    </row>
    <row r="5147">
      <c r="A5147" t="n">
        <v>80</v>
      </c>
      <c r="B5147" t="n">
        <v>345</v>
      </c>
      <c r="C5147" t="n">
        <v>2</v>
      </c>
      <c r="D5147" s="218" t="n">
        <v>15.91</v>
      </c>
      <c r="E5147" s="218" t="n">
        <v>0.57</v>
      </c>
      <c r="F5147" t="str">
        <v>https://re.jrc.ec.europa.eu/api/v5_3/PVcalc?lat=30.0444&amp;lon=31.2357&amp;peakpower=1&amp;loss=14&amp;angle=80&amp;aspect=165&amp;outputformat=json&amp;raddatabase=PVGIS-SARAH3&amp;pvtechchoice=crystSi&amp;mountingplace=free&amp;usehorizon=1</v>
      </c>
    </row>
    <row r="5148">
      <c r="A5148" t="n">
        <v>80</v>
      </c>
      <c r="B5148" t="n">
        <v>345</v>
      </c>
      <c r="C5148" t="n">
        <v>3</v>
      </c>
      <c r="D5148" s="218" t="n">
        <v>22.72</v>
      </c>
      <c r="E5148" s="218" t="n">
        <v>0.73</v>
      </c>
      <c r="F5148" t="str">
        <v>https://re.jrc.ec.europa.eu/api/v5_3/PVcalc?lat=30.0444&amp;lon=31.2357&amp;peakpower=1&amp;loss=14&amp;angle=80&amp;aspect=165&amp;outputformat=json&amp;raddatabase=PVGIS-SARAH3&amp;pvtechchoice=crystSi&amp;mountingplace=free&amp;usehorizon=1</v>
      </c>
    </row>
    <row r="5149">
      <c r="A5149" t="n">
        <v>80</v>
      </c>
      <c r="B5149" t="n">
        <v>345</v>
      </c>
      <c r="C5149" t="n">
        <v>4</v>
      </c>
      <c r="D5149" s="218" t="n">
        <v>33.54</v>
      </c>
      <c r="E5149" s="218" t="n">
        <v>1.12</v>
      </c>
      <c r="F5149" t="str">
        <v>https://re.jrc.ec.europa.eu/api/v5_3/PVcalc?lat=30.0444&amp;lon=31.2357&amp;peakpower=1&amp;loss=14&amp;angle=80&amp;aspect=165&amp;outputformat=json&amp;raddatabase=PVGIS-SARAH3&amp;pvtechchoice=crystSi&amp;mountingplace=free&amp;usehorizon=1</v>
      </c>
    </row>
    <row r="5150">
      <c r="A5150" t="n">
        <v>80</v>
      </c>
      <c r="B5150" t="n">
        <v>345</v>
      </c>
      <c r="C5150" t="n">
        <v>5</v>
      </c>
      <c r="D5150" s="218" t="n">
        <v>50.94</v>
      </c>
      <c r="E5150" s="218" t="n">
        <v>1.64</v>
      </c>
      <c r="F5150" t="str">
        <v>https://re.jrc.ec.europa.eu/api/v5_3/PVcalc?lat=30.0444&amp;lon=31.2357&amp;peakpower=1&amp;loss=14&amp;angle=80&amp;aspect=165&amp;outputformat=json&amp;raddatabase=PVGIS-SARAH3&amp;pvtechchoice=crystSi&amp;mountingplace=free&amp;usehorizon=1</v>
      </c>
    </row>
    <row r="5151">
      <c r="A5151" t="n">
        <v>80</v>
      </c>
      <c r="B5151" t="n">
        <v>345</v>
      </c>
      <c r="C5151" t="n">
        <v>6</v>
      </c>
      <c r="D5151" s="218" t="n">
        <v>62.2</v>
      </c>
      <c r="E5151" s="218" t="n">
        <v>2.07</v>
      </c>
      <c r="F5151" t="str">
        <v>https://re.jrc.ec.europa.eu/api/v5_3/PVcalc?lat=30.0444&amp;lon=31.2357&amp;peakpower=1&amp;loss=14&amp;angle=80&amp;aspect=165&amp;outputformat=json&amp;raddatabase=PVGIS-SARAH3&amp;pvtechchoice=crystSi&amp;mountingplace=free&amp;usehorizon=1</v>
      </c>
    </row>
    <row r="5152">
      <c r="A5152" t="n">
        <v>80</v>
      </c>
      <c r="B5152" t="n">
        <v>345</v>
      </c>
      <c r="C5152" t="n">
        <v>7</v>
      </c>
      <c r="D5152" s="218" t="n">
        <v>57.58</v>
      </c>
      <c r="E5152" s="218" t="n">
        <v>1.86</v>
      </c>
      <c r="F5152" t="str">
        <v>https://re.jrc.ec.europa.eu/api/v5_3/PVcalc?lat=30.0444&amp;lon=31.2357&amp;peakpower=1&amp;loss=14&amp;angle=80&amp;aspect=165&amp;outputformat=json&amp;raddatabase=PVGIS-SARAH3&amp;pvtechchoice=crystSi&amp;mountingplace=free&amp;usehorizon=1</v>
      </c>
    </row>
    <row r="5153">
      <c r="A5153" t="n">
        <v>80</v>
      </c>
      <c r="B5153" t="n">
        <v>345</v>
      </c>
      <c r="C5153" t="n">
        <v>8</v>
      </c>
      <c r="D5153" s="218" t="n">
        <v>38.34</v>
      </c>
      <c r="E5153" s="218" t="n">
        <v>1.24</v>
      </c>
      <c r="F5153" t="str">
        <v>https://re.jrc.ec.europa.eu/api/v5_3/PVcalc?lat=30.0444&amp;lon=31.2357&amp;peakpower=1&amp;loss=14&amp;angle=80&amp;aspect=165&amp;outputformat=json&amp;raddatabase=PVGIS-SARAH3&amp;pvtechchoice=crystSi&amp;mountingplace=free&amp;usehorizon=1</v>
      </c>
    </row>
    <row r="5154">
      <c r="A5154" t="n">
        <v>80</v>
      </c>
      <c r="B5154" t="n">
        <v>345</v>
      </c>
      <c r="C5154" t="n">
        <v>9</v>
      </c>
      <c r="D5154" s="218" t="n">
        <v>22.35</v>
      </c>
      <c r="E5154" s="218" t="n">
        <v>0.75</v>
      </c>
      <c r="F5154" t="str">
        <v>https://re.jrc.ec.europa.eu/api/v5_3/PVcalc?lat=30.0444&amp;lon=31.2357&amp;peakpower=1&amp;loss=14&amp;angle=80&amp;aspect=165&amp;outputformat=json&amp;raddatabase=PVGIS-SARAH3&amp;pvtechchoice=crystSi&amp;mountingplace=free&amp;usehorizon=1</v>
      </c>
    </row>
    <row r="5155">
      <c r="A5155" t="n">
        <v>80</v>
      </c>
      <c r="B5155" t="n">
        <v>345</v>
      </c>
      <c r="C5155" t="n">
        <v>10</v>
      </c>
      <c r="D5155" s="218" t="n">
        <v>16.13</v>
      </c>
      <c r="E5155" s="218" t="n">
        <v>0.52</v>
      </c>
      <c r="F5155" t="str">
        <v>https://re.jrc.ec.europa.eu/api/v5_3/PVcalc?lat=30.0444&amp;lon=31.2357&amp;peakpower=1&amp;loss=14&amp;angle=80&amp;aspect=165&amp;outputformat=json&amp;raddatabase=PVGIS-SARAH3&amp;pvtechchoice=crystSi&amp;mountingplace=free&amp;usehorizon=1</v>
      </c>
    </row>
    <row r="5156">
      <c r="A5156" t="n">
        <v>80</v>
      </c>
      <c r="B5156" t="n">
        <v>345</v>
      </c>
      <c r="C5156" t="n">
        <v>11</v>
      </c>
      <c r="D5156" s="218" t="n">
        <v>13.02</v>
      </c>
      <c r="E5156" s="218" t="n">
        <v>0.43</v>
      </c>
      <c r="F5156" t="str">
        <v>https://re.jrc.ec.europa.eu/api/v5_3/PVcalc?lat=30.0444&amp;lon=31.2357&amp;peakpower=1&amp;loss=14&amp;angle=80&amp;aspect=165&amp;outputformat=json&amp;raddatabase=PVGIS-SARAH3&amp;pvtechchoice=crystSi&amp;mountingplace=free&amp;usehorizon=1</v>
      </c>
    </row>
    <row r="5157">
      <c r="A5157" t="n">
        <v>80</v>
      </c>
      <c r="B5157" t="n">
        <v>345</v>
      </c>
      <c r="C5157" t="n">
        <v>12</v>
      </c>
      <c r="D5157" s="218" t="n">
        <v>12.54</v>
      </c>
      <c r="E5157" s="218" t="n">
        <v>0.4</v>
      </c>
      <c r="F5157" t="str">
        <v>https://re.jrc.ec.europa.eu/api/v5_3/PVcalc?lat=30.0444&amp;lon=31.2357&amp;peakpower=1&amp;loss=14&amp;angle=80&amp;aspect=165&amp;outputformat=json&amp;raddatabase=PVGIS-SARAH3&amp;pvtechchoice=crystSi&amp;mountingplace=free&amp;usehorizon=1</v>
      </c>
    </row>
    <row r="5158">
      <c r="A5158" t="n">
        <v>80</v>
      </c>
      <c r="B5158" t="n">
        <v>360</v>
      </c>
      <c r="C5158" t="n">
        <v>1</v>
      </c>
      <c r="D5158" s="218" t="n">
        <v>13.58</v>
      </c>
      <c r="E5158" s="218" t="n">
        <v>0.44</v>
      </c>
      <c r="F5158" t="str">
        <v>https://re.jrc.ec.europa.eu/api/v5_3/PVcalc?lat=30.0444&amp;lon=31.2357&amp;peakpower=1&amp;loss=14&amp;angle=80&amp;aspect=180&amp;outputformat=json&amp;raddatabase=PVGIS-SARAH3&amp;pvtechchoice=crystSi&amp;mountingplace=free&amp;usehorizon=1</v>
      </c>
    </row>
    <row r="5159">
      <c r="A5159" t="n">
        <v>80</v>
      </c>
      <c r="B5159" t="n">
        <v>360</v>
      </c>
      <c r="C5159" t="n">
        <v>2</v>
      </c>
      <c r="D5159" s="218" t="n">
        <v>15.87</v>
      </c>
      <c r="E5159" s="218" t="n">
        <v>0.57</v>
      </c>
      <c r="F5159" t="str">
        <v>https://re.jrc.ec.europa.eu/api/v5_3/PVcalc?lat=30.0444&amp;lon=31.2357&amp;peakpower=1&amp;loss=14&amp;angle=80&amp;aspect=180&amp;outputformat=json&amp;raddatabase=PVGIS-SARAH3&amp;pvtechchoice=crystSi&amp;mountingplace=free&amp;usehorizon=1</v>
      </c>
    </row>
    <row r="5160">
      <c r="A5160" t="n">
        <v>80</v>
      </c>
      <c r="B5160" t="n">
        <v>360</v>
      </c>
      <c r="C5160" t="n">
        <v>3</v>
      </c>
      <c r="D5160" s="218" t="n">
        <v>20.34</v>
      </c>
      <c r="E5160" s="218" t="n">
        <v>0.66</v>
      </c>
      <c r="F5160" t="str">
        <v>https://re.jrc.ec.europa.eu/api/v5_3/PVcalc?lat=30.0444&amp;lon=31.2357&amp;peakpower=1&amp;loss=14&amp;angle=80&amp;aspect=180&amp;outputformat=json&amp;raddatabase=PVGIS-SARAH3&amp;pvtechchoice=crystSi&amp;mountingplace=free&amp;usehorizon=1</v>
      </c>
    </row>
    <row r="5161">
      <c r="A5161" t="n">
        <v>80</v>
      </c>
      <c r="B5161" t="n">
        <v>360</v>
      </c>
      <c r="C5161" t="n">
        <v>4</v>
      </c>
      <c r="D5161" s="218" t="n">
        <v>25.09</v>
      </c>
      <c r="E5161" s="218" t="n">
        <v>0.84</v>
      </c>
      <c r="F5161" t="str">
        <v>https://re.jrc.ec.europa.eu/api/v5_3/PVcalc?lat=30.0444&amp;lon=31.2357&amp;peakpower=1&amp;loss=14&amp;angle=80&amp;aspect=180&amp;outputformat=json&amp;raddatabase=PVGIS-SARAH3&amp;pvtechchoice=crystSi&amp;mountingplace=free&amp;usehorizon=1</v>
      </c>
    </row>
    <row r="5162">
      <c r="A5162" t="n">
        <v>80</v>
      </c>
      <c r="B5162" t="n">
        <v>360</v>
      </c>
      <c r="C5162" t="n">
        <v>5</v>
      </c>
      <c r="D5162" s="218" t="n">
        <v>44.05</v>
      </c>
      <c r="E5162" s="218" t="n">
        <v>1.42</v>
      </c>
      <c r="F5162" t="str">
        <v>https://re.jrc.ec.europa.eu/api/v5_3/PVcalc?lat=30.0444&amp;lon=31.2357&amp;peakpower=1&amp;loss=14&amp;angle=80&amp;aspect=180&amp;outputformat=json&amp;raddatabase=PVGIS-SARAH3&amp;pvtechchoice=crystSi&amp;mountingplace=free&amp;usehorizon=1</v>
      </c>
    </row>
    <row r="5163">
      <c r="A5163" t="n">
        <v>80</v>
      </c>
      <c r="B5163" t="n">
        <v>360</v>
      </c>
      <c r="C5163" t="n">
        <v>6</v>
      </c>
      <c r="D5163" s="218" t="n">
        <v>56.74</v>
      </c>
      <c r="E5163" s="218" t="n">
        <v>1.89</v>
      </c>
      <c r="F5163" t="str">
        <v>https://re.jrc.ec.europa.eu/api/v5_3/PVcalc?lat=30.0444&amp;lon=31.2357&amp;peakpower=1&amp;loss=14&amp;angle=80&amp;aspect=180&amp;outputformat=json&amp;raddatabase=PVGIS-SARAH3&amp;pvtechchoice=crystSi&amp;mountingplace=free&amp;usehorizon=1</v>
      </c>
    </row>
    <row r="5164">
      <c r="A5164" t="n">
        <v>80</v>
      </c>
      <c r="B5164" t="n">
        <v>360</v>
      </c>
      <c r="C5164" t="n">
        <v>7</v>
      </c>
      <c r="D5164" s="218" t="n">
        <v>49.55</v>
      </c>
      <c r="E5164" s="218" t="n">
        <v>1.6</v>
      </c>
      <c r="F5164" t="str">
        <v>https://re.jrc.ec.europa.eu/api/v5_3/PVcalc?lat=30.0444&amp;lon=31.2357&amp;peakpower=1&amp;loss=14&amp;angle=80&amp;aspect=180&amp;outputformat=json&amp;raddatabase=PVGIS-SARAH3&amp;pvtechchoice=crystSi&amp;mountingplace=free&amp;usehorizon=1</v>
      </c>
    </row>
    <row r="5165">
      <c r="A5165" t="n">
        <v>80</v>
      </c>
      <c r="B5165" t="n">
        <v>360</v>
      </c>
      <c r="C5165" t="n">
        <v>8</v>
      </c>
      <c r="D5165" s="218" t="n">
        <v>26.5</v>
      </c>
      <c r="E5165" s="218" t="n">
        <v>0.85</v>
      </c>
      <c r="F5165" t="str">
        <v>https://re.jrc.ec.europa.eu/api/v5_3/PVcalc?lat=30.0444&amp;lon=31.2357&amp;peakpower=1&amp;loss=14&amp;angle=80&amp;aspect=180&amp;outputformat=json&amp;raddatabase=PVGIS-SARAH3&amp;pvtechchoice=crystSi&amp;mountingplace=free&amp;usehorizon=1</v>
      </c>
    </row>
    <row r="5166">
      <c r="A5166" t="n">
        <v>80</v>
      </c>
      <c r="B5166" t="n">
        <v>360</v>
      </c>
      <c r="C5166" t="n">
        <v>9</v>
      </c>
      <c r="D5166" s="218" t="n">
        <v>17.12</v>
      </c>
      <c r="E5166" s="218" t="n">
        <v>0.57</v>
      </c>
      <c r="F5166" t="str">
        <v>https://re.jrc.ec.europa.eu/api/v5_3/PVcalc?lat=30.0444&amp;lon=31.2357&amp;peakpower=1&amp;loss=14&amp;angle=80&amp;aspect=180&amp;outputformat=json&amp;raddatabase=PVGIS-SARAH3&amp;pvtechchoice=crystSi&amp;mountingplace=free&amp;usehorizon=1</v>
      </c>
    </row>
    <row r="5167">
      <c r="A5167" t="n">
        <v>80</v>
      </c>
      <c r="B5167" t="n">
        <v>360</v>
      </c>
      <c r="C5167" t="n">
        <v>10</v>
      </c>
      <c r="D5167" s="218" t="n">
        <v>15.8</v>
      </c>
      <c r="E5167" s="218" t="n">
        <v>0.51</v>
      </c>
      <c r="F5167" t="str">
        <v>https://re.jrc.ec.europa.eu/api/v5_3/PVcalc?lat=30.0444&amp;lon=31.2357&amp;peakpower=1&amp;loss=14&amp;angle=80&amp;aspect=180&amp;outputformat=json&amp;raddatabase=PVGIS-SARAH3&amp;pvtechchoice=crystSi&amp;mountingplace=free&amp;usehorizon=1</v>
      </c>
    </row>
    <row r="5168">
      <c r="A5168" t="n">
        <v>80</v>
      </c>
      <c r="B5168" t="n">
        <v>360</v>
      </c>
      <c r="C5168" t="n">
        <v>11</v>
      </c>
      <c r="D5168" s="218" t="n">
        <v>13.02</v>
      </c>
      <c r="E5168" s="218" t="n">
        <v>0.43</v>
      </c>
      <c r="F5168" t="str">
        <v>https://re.jrc.ec.europa.eu/api/v5_3/PVcalc?lat=30.0444&amp;lon=31.2357&amp;peakpower=1&amp;loss=14&amp;angle=80&amp;aspect=180&amp;outputformat=json&amp;raddatabase=PVGIS-SARAH3&amp;pvtechchoice=crystSi&amp;mountingplace=free&amp;usehorizon=1</v>
      </c>
    </row>
    <row r="5169">
      <c r="A5169" t="n">
        <v>80</v>
      </c>
      <c r="B5169" t="n">
        <v>360</v>
      </c>
      <c r="C5169" t="n">
        <v>12</v>
      </c>
      <c r="D5169" s="218" t="n">
        <v>12.54</v>
      </c>
      <c r="E5169" s="218" t="n">
        <v>0.4</v>
      </c>
      <c r="F5169" t="str">
        <v>https://re.jrc.ec.europa.eu/api/v5_3/PVcalc?lat=30.0444&amp;lon=31.2357&amp;peakpower=1&amp;loss=14&amp;angle=80&amp;aspect=180&amp;outputformat=json&amp;raddatabase=PVGIS-SARAH3&amp;pvtechchoice=crystSi&amp;mountingplace=free&amp;usehorizon=1</v>
      </c>
    </row>
    <row r="5170">
      <c r="A5170" t="n">
        <v>85</v>
      </c>
      <c r="B5170" t="n">
        <v>0</v>
      </c>
      <c r="C5170" t="n">
        <v>1</v>
      </c>
      <c r="D5170" s="218" t="n">
        <v>12.38</v>
      </c>
      <c r="E5170" s="218" t="n">
        <v>0.4</v>
      </c>
      <c r="F5170" t="str">
        <v>https://re.jrc.ec.europa.eu/api/v5_3/PVcalc?lat=30.0444&amp;lon=31.2357&amp;peakpower=1&amp;loss=14&amp;angle=85&amp;aspect=-180&amp;outputformat=json&amp;raddatabase=PVGIS-SARAH3&amp;pvtechchoice=crystSi&amp;mountingplace=free&amp;usehorizon=1</v>
      </c>
    </row>
    <row r="5171">
      <c r="A5171" t="n">
        <v>85</v>
      </c>
      <c r="B5171" t="n">
        <v>0</v>
      </c>
      <c r="C5171" t="n">
        <v>2</v>
      </c>
      <c r="D5171" s="218" t="n">
        <v>14.49</v>
      </c>
      <c r="E5171" s="218" t="n">
        <v>0.52</v>
      </c>
      <c r="F5171" t="str">
        <v>https://re.jrc.ec.europa.eu/api/v5_3/PVcalc?lat=30.0444&amp;lon=31.2357&amp;peakpower=1&amp;loss=14&amp;angle=85&amp;aspect=-180&amp;outputformat=json&amp;raddatabase=PVGIS-SARAH3&amp;pvtechchoice=crystSi&amp;mountingplace=free&amp;usehorizon=1</v>
      </c>
    </row>
    <row r="5172">
      <c r="A5172" t="n">
        <v>85</v>
      </c>
      <c r="B5172" t="n">
        <v>0</v>
      </c>
      <c r="C5172" t="n">
        <v>3</v>
      </c>
      <c r="D5172" s="218" t="n">
        <v>18.6</v>
      </c>
      <c r="E5172" s="218" t="n">
        <v>0.6</v>
      </c>
      <c r="F5172" t="str">
        <v>https://re.jrc.ec.europa.eu/api/v5_3/PVcalc?lat=30.0444&amp;lon=31.2357&amp;peakpower=1&amp;loss=14&amp;angle=85&amp;aspect=-180&amp;outputformat=json&amp;raddatabase=PVGIS-SARAH3&amp;pvtechchoice=crystSi&amp;mountingplace=free&amp;usehorizon=1</v>
      </c>
    </row>
    <row r="5173">
      <c r="A5173" t="n">
        <v>85</v>
      </c>
      <c r="B5173" t="n">
        <v>0</v>
      </c>
      <c r="C5173" t="n">
        <v>4</v>
      </c>
      <c r="D5173" s="218" t="n">
        <v>22.22</v>
      </c>
      <c r="E5173" s="218" t="n">
        <v>0.74</v>
      </c>
      <c r="F5173" t="str">
        <v>https://re.jrc.ec.europa.eu/api/v5_3/PVcalc?lat=30.0444&amp;lon=31.2357&amp;peakpower=1&amp;loss=14&amp;angle=85&amp;aspect=-180&amp;outputformat=json&amp;raddatabase=PVGIS-SARAH3&amp;pvtechchoice=crystSi&amp;mountingplace=free&amp;usehorizon=1</v>
      </c>
    </row>
    <row r="5174">
      <c r="A5174" t="n">
        <v>85</v>
      </c>
      <c r="B5174" t="n">
        <v>0</v>
      </c>
      <c r="C5174" t="n">
        <v>5</v>
      </c>
      <c r="D5174" s="218" t="n">
        <v>34.47</v>
      </c>
      <c r="E5174" s="218" t="n">
        <v>1.11</v>
      </c>
      <c r="F5174" t="str">
        <v>https://re.jrc.ec.europa.eu/api/v5_3/PVcalc?lat=30.0444&amp;lon=31.2357&amp;peakpower=1&amp;loss=14&amp;angle=85&amp;aspect=-180&amp;outputformat=json&amp;raddatabase=PVGIS-SARAH3&amp;pvtechchoice=crystSi&amp;mountingplace=free&amp;usehorizon=1</v>
      </c>
    </row>
    <row r="5175">
      <c r="A5175" t="n">
        <v>85</v>
      </c>
      <c r="B5175" t="n">
        <v>0</v>
      </c>
      <c r="C5175" t="n">
        <v>6</v>
      </c>
      <c r="D5175" s="218" t="n">
        <v>43.36</v>
      </c>
      <c r="E5175" s="218" t="n">
        <v>1.45</v>
      </c>
      <c r="F5175" t="str">
        <v>https://re.jrc.ec.europa.eu/api/v5_3/PVcalc?lat=30.0444&amp;lon=31.2357&amp;peakpower=1&amp;loss=14&amp;angle=85&amp;aspect=-180&amp;outputformat=json&amp;raddatabase=PVGIS-SARAH3&amp;pvtechchoice=crystSi&amp;mountingplace=free&amp;usehorizon=1</v>
      </c>
    </row>
    <row r="5176">
      <c r="A5176" t="n">
        <v>85</v>
      </c>
      <c r="B5176" t="n">
        <v>0</v>
      </c>
      <c r="C5176" t="n">
        <v>7</v>
      </c>
      <c r="D5176" s="218" t="n">
        <v>37.5</v>
      </c>
      <c r="E5176" s="218" t="n">
        <v>1.21</v>
      </c>
      <c r="F5176" t="str">
        <v>https://re.jrc.ec.europa.eu/api/v5_3/PVcalc?lat=30.0444&amp;lon=31.2357&amp;peakpower=1&amp;loss=14&amp;angle=85&amp;aspect=-180&amp;outputformat=json&amp;raddatabase=PVGIS-SARAH3&amp;pvtechchoice=crystSi&amp;mountingplace=free&amp;usehorizon=1</v>
      </c>
    </row>
    <row r="5177">
      <c r="A5177" t="n">
        <v>85</v>
      </c>
      <c r="B5177" t="n">
        <v>0</v>
      </c>
      <c r="C5177" t="n">
        <v>8</v>
      </c>
      <c r="D5177" s="218" t="n">
        <v>22.19</v>
      </c>
      <c r="E5177" s="218" t="n">
        <v>0.72</v>
      </c>
      <c r="F5177" t="str">
        <v>https://re.jrc.ec.europa.eu/api/v5_3/PVcalc?lat=30.0444&amp;lon=31.2357&amp;peakpower=1&amp;loss=14&amp;angle=85&amp;aspect=-180&amp;outputformat=json&amp;raddatabase=PVGIS-SARAH3&amp;pvtechchoice=crystSi&amp;mountingplace=free&amp;usehorizon=1</v>
      </c>
    </row>
    <row r="5178">
      <c r="A5178" t="n">
        <v>85</v>
      </c>
      <c r="B5178" t="n">
        <v>0</v>
      </c>
      <c r="C5178" t="n">
        <v>9</v>
      </c>
      <c r="D5178" s="218" t="n">
        <v>15.53</v>
      </c>
      <c r="E5178" s="218" t="n">
        <v>0.52</v>
      </c>
      <c r="F5178" t="str">
        <v>https://re.jrc.ec.europa.eu/api/v5_3/PVcalc?lat=30.0444&amp;lon=31.2357&amp;peakpower=1&amp;loss=14&amp;angle=85&amp;aspect=-180&amp;outputformat=json&amp;raddatabase=PVGIS-SARAH3&amp;pvtechchoice=crystSi&amp;mountingplace=free&amp;usehorizon=1</v>
      </c>
    </row>
    <row r="5179">
      <c r="A5179" t="n">
        <v>85</v>
      </c>
      <c r="B5179" t="n">
        <v>0</v>
      </c>
      <c r="C5179" t="n">
        <v>10</v>
      </c>
      <c r="D5179" s="218" t="n">
        <v>14.42</v>
      </c>
      <c r="E5179" s="218" t="n">
        <v>0.47</v>
      </c>
      <c r="F5179" t="str">
        <v>https://re.jrc.ec.europa.eu/api/v5_3/PVcalc?lat=30.0444&amp;lon=31.2357&amp;peakpower=1&amp;loss=14&amp;angle=85&amp;aspect=-180&amp;outputformat=json&amp;raddatabase=PVGIS-SARAH3&amp;pvtechchoice=crystSi&amp;mountingplace=free&amp;usehorizon=1</v>
      </c>
    </row>
    <row r="5180">
      <c r="A5180" t="n">
        <v>85</v>
      </c>
      <c r="B5180" t="n">
        <v>0</v>
      </c>
      <c r="C5180" t="n">
        <v>11</v>
      </c>
      <c r="D5180" s="218" t="n">
        <v>11.87</v>
      </c>
      <c r="E5180" s="218" t="n">
        <v>0.4</v>
      </c>
      <c r="F5180" t="str">
        <v>https://re.jrc.ec.europa.eu/api/v5_3/PVcalc?lat=30.0444&amp;lon=31.2357&amp;peakpower=1&amp;loss=14&amp;angle=85&amp;aspect=-180&amp;outputformat=json&amp;raddatabase=PVGIS-SARAH3&amp;pvtechchoice=crystSi&amp;mountingplace=free&amp;usehorizon=1</v>
      </c>
    </row>
    <row r="5181">
      <c r="A5181" t="n">
        <v>85</v>
      </c>
      <c r="B5181" t="n">
        <v>0</v>
      </c>
      <c r="C5181" t="n">
        <v>12</v>
      </c>
      <c r="D5181" s="218" t="n">
        <v>11.42</v>
      </c>
      <c r="E5181" s="218" t="n">
        <v>0.37</v>
      </c>
      <c r="F5181" t="str">
        <v>https://re.jrc.ec.europa.eu/api/v5_3/PVcalc?lat=30.0444&amp;lon=31.2357&amp;peakpower=1&amp;loss=14&amp;angle=85&amp;aspect=-180&amp;outputformat=json&amp;raddatabase=PVGIS-SARAH3&amp;pvtechchoice=crystSi&amp;mountingplace=free&amp;usehorizon=1</v>
      </c>
    </row>
    <row r="5182">
      <c r="A5182" t="n">
        <v>85</v>
      </c>
      <c r="B5182" t="n">
        <v>15</v>
      </c>
      <c r="C5182" t="n">
        <v>1</v>
      </c>
      <c r="D5182" s="218" t="n">
        <v>12.38</v>
      </c>
      <c r="E5182" s="218" t="n">
        <v>0.4</v>
      </c>
      <c r="F5182" t="str">
        <v>https://re.jrc.ec.europa.eu/api/v5_3/PVcalc?lat=30.0444&amp;lon=31.2357&amp;peakpower=1&amp;loss=14&amp;angle=85&amp;aspect=-165&amp;outputformat=json&amp;raddatabase=PVGIS-SARAH3&amp;pvtechchoice=crystSi&amp;mountingplace=free&amp;usehorizon=1</v>
      </c>
    </row>
    <row r="5183">
      <c r="A5183" t="n">
        <v>85</v>
      </c>
      <c r="B5183" t="n">
        <v>15</v>
      </c>
      <c r="C5183" t="n">
        <v>2</v>
      </c>
      <c r="D5183" s="218" t="n">
        <v>14.52</v>
      </c>
      <c r="E5183" s="218" t="n">
        <v>0.52</v>
      </c>
      <c r="F5183" t="str">
        <v>https://re.jrc.ec.europa.eu/api/v5_3/PVcalc?lat=30.0444&amp;lon=31.2357&amp;peakpower=1&amp;loss=14&amp;angle=85&amp;aspect=-165&amp;outputformat=json&amp;raddatabase=PVGIS-SARAH3&amp;pvtechchoice=crystSi&amp;mountingplace=free&amp;usehorizon=1</v>
      </c>
    </row>
    <row r="5184">
      <c r="A5184" t="n">
        <v>85</v>
      </c>
      <c r="B5184" t="n">
        <v>15</v>
      </c>
      <c r="C5184" t="n">
        <v>3</v>
      </c>
      <c r="D5184" s="218" t="n">
        <v>20</v>
      </c>
      <c r="E5184" s="218" t="n">
        <v>0.65</v>
      </c>
      <c r="F5184" t="str">
        <v>https://re.jrc.ec.europa.eu/api/v5_3/PVcalc?lat=30.0444&amp;lon=31.2357&amp;peakpower=1&amp;loss=14&amp;angle=85&amp;aspect=-165&amp;outputformat=json&amp;raddatabase=PVGIS-SARAH3&amp;pvtechchoice=crystSi&amp;mountingplace=free&amp;usehorizon=1</v>
      </c>
    </row>
    <row r="5185">
      <c r="A5185" t="n">
        <v>85</v>
      </c>
      <c r="B5185" t="n">
        <v>15</v>
      </c>
      <c r="C5185" t="n">
        <v>4</v>
      </c>
      <c r="D5185" s="218" t="n">
        <v>27.79</v>
      </c>
      <c r="E5185" s="218" t="n">
        <v>0.93</v>
      </c>
      <c r="F5185" t="str">
        <v>https://re.jrc.ec.europa.eu/api/v5_3/PVcalc?lat=30.0444&amp;lon=31.2357&amp;peakpower=1&amp;loss=14&amp;angle=85&amp;aspect=-165&amp;outputformat=json&amp;raddatabase=PVGIS-SARAH3&amp;pvtechchoice=crystSi&amp;mountingplace=free&amp;usehorizon=1</v>
      </c>
    </row>
    <row r="5186">
      <c r="A5186" t="n">
        <v>85</v>
      </c>
      <c r="B5186" t="n">
        <v>15</v>
      </c>
      <c r="C5186" t="n">
        <v>5</v>
      </c>
      <c r="D5186" s="218" t="n">
        <v>40.89</v>
      </c>
      <c r="E5186" s="218" t="n">
        <v>1.32</v>
      </c>
      <c r="F5186" t="str">
        <v>https://re.jrc.ec.europa.eu/api/v5_3/PVcalc?lat=30.0444&amp;lon=31.2357&amp;peakpower=1&amp;loss=14&amp;angle=85&amp;aspect=-165&amp;outputformat=json&amp;raddatabase=PVGIS-SARAH3&amp;pvtechchoice=crystSi&amp;mountingplace=free&amp;usehorizon=1</v>
      </c>
    </row>
    <row r="5187">
      <c r="A5187" t="n">
        <v>85</v>
      </c>
      <c r="B5187" t="n">
        <v>15</v>
      </c>
      <c r="C5187" t="n">
        <v>6</v>
      </c>
      <c r="D5187" s="218" t="n">
        <v>46.28</v>
      </c>
      <c r="E5187" s="218" t="n">
        <v>1.54</v>
      </c>
      <c r="F5187" t="str">
        <v>https://re.jrc.ec.europa.eu/api/v5_3/PVcalc?lat=30.0444&amp;lon=31.2357&amp;peakpower=1&amp;loss=14&amp;angle=85&amp;aspect=-165&amp;outputformat=json&amp;raddatabase=PVGIS-SARAH3&amp;pvtechchoice=crystSi&amp;mountingplace=free&amp;usehorizon=1</v>
      </c>
    </row>
    <row r="5188">
      <c r="A5188" t="n">
        <v>85</v>
      </c>
      <c r="B5188" t="n">
        <v>15</v>
      </c>
      <c r="C5188" t="n">
        <v>7</v>
      </c>
      <c r="D5188" s="218" t="n">
        <v>41.14</v>
      </c>
      <c r="E5188" s="218" t="n">
        <v>1.33</v>
      </c>
      <c r="F5188" t="str">
        <v>https://re.jrc.ec.europa.eu/api/v5_3/PVcalc?lat=30.0444&amp;lon=31.2357&amp;peakpower=1&amp;loss=14&amp;angle=85&amp;aspect=-165&amp;outputformat=json&amp;raddatabase=PVGIS-SARAH3&amp;pvtechchoice=crystSi&amp;mountingplace=free&amp;usehorizon=1</v>
      </c>
    </row>
    <row r="5189">
      <c r="A5189" t="n">
        <v>85</v>
      </c>
      <c r="B5189" t="n">
        <v>15</v>
      </c>
      <c r="C5189" t="n">
        <v>8</v>
      </c>
      <c r="D5189" s="218" t="n">
        <v>28.82</v>
      </c>
      <c r="E5189" s="218" t="n">
        <v>0.93</v>
      </c>
      <c r="F5189" t="str">
        <v>https://re.jrc.ec.europa.eu/api/v5_3/PVcalc?lat=30.0444&amp;lon=31.2357&amp;peakpower=1&amp;loss=14&amp;angle=85&amp;aspect=-165&amp;outputformat=json&amp;raddatabase=PVGIS-SARAH3&amp;pvtechchoice=crystSi&amp;mountingplace=free&amp;usehorizon=1</v>
      </c>
    </row>
    <row r="5190">
      <c r="A5190" t="n">
        <v>85</v>
      </c>
      <c r="B5190" t="n">
        <v>15</v>
      </c>
      <c r="C5190" t="n">
        <v>9</v>
      </c>
      <c r="D5190" s="218" t="n">
        <v>17.91</v>
      </c>
      <c r="E5190" s="218" t="n">
        <v>0.6</v>
      </c>
      <c r="F5190" t="str">
        <v>https://re.jrc.ec.europa.eu/api/v5_3/PVcalc?lat=30.0444&amp;lon=31.2357&amp;peakpower=1&amp;loss=14&amp;angle=85&amp;aspect=-165&amp;outputformat=json&amp;raddatabase=PVGIS-SARAH3&amp;pvtechchoice=crystSi&amp;mountingplace=free&amp;usehorizon=1</v>
      </c>
    </row>
    <row r="5191">
      <c r="A5191" t="n">
        <v>85</v>
      </c>
      <c r="B5191" t="n">
        <v>15</v>
      </c>
      <c r="C5191" t="n">
        <v>10</v>
      </c>
      <c r="D5191" s="218" t="n">
        <v>14.54</v>
      </c>
      <c r="E5191" s="218" t="n">
        <v>0.47</v>
      </c>
      <c r="F5191" t="str">
        <v>https://re.jrc.ec.europa.eu/api/v5_3/PVcalc?lat=30.0444&amp;lon=31.2357&amp;peakpower=1&amp;loss=14&amp;angle=85&amp;aspect=-165&amp;outputformat=json&amp;raddatabase=PVGIS-SARAH3&amp;pvtechchoice=crystSi&amp;mountingplace=free&amp;usehorizon=1</v>
      </c>
    </row>
    <row r="5192">
      <c r="A5192" t="n">
        <v>85</v>
      </c>
      <c r="B5192" t="n">
        <v>15</v>
      </c>
      <c r="C5192" t="n">
        <v>11</v>
      </c>
      <c r="D5192" s="218" t="n">
        <v>11.87</v>
      </c>
      <c r="E5192" s="218" t="n">
        <v>0.4</v>
      </c>
      <c r="F5192" t="str">
        <v>https://re.jrc.ec.europa.eu/api/v5_3/PVcalc?lat=30.0444&amp;lon=31.2357&amp;peakpower=1&amp;loss=14&amp;angle=85&amp;aspect=-165&amp;outputformat=json&amp;raddatabase=PVGIS-SARAH3&amp;pvtechchoice=crystSi&amp;mountingplace=free&amp;usehorizon=1</v>
      </c>
    </row>
    <row r="5193">
      <c r="A5193" t="n">
        <v>85</v>
      </c>
      <c r="B5193" t="n">
        <v>15</v>
      </c>
      <c r="C5193" t="n">
        <v>12</v>
      </c>
      <c r="D5193" s="218" t="n">
        <v>11.42</v>
      </c>
      <c r="E5193" s="218" t="n">
        <v>0.37</v>
      </c>
      <c r="F5193" t="str">
        <v>https://re.jrc.ec.europa.eu/api/v5_3/PVcalc?lat=30.0444&amp;lon=31.2357&amp;peakpower=1&amp;loss=14&amp;angle=85&amp;aspect=-165&amp;outputformat=json&amp;raddatabase=PVGIS-SARAH3&amp;pvtechchoice=crystSi&amp;mountingplace=free&amp;usehorizon=1</v>
      </c>
    </row>
    <row r="5194">
      <c r="A5194" t="n">
        <v>85</v>
      </c>
      <c r="B5194" t="n">
        <v>30</v>
      </c>
      <c r="C5194" t="n">
        <v>1</v>
      </c>
      <c r="D5194" s="218" t="n">
        <v>12.47</v>
      </c>
      <c r="E5194" s="218" t="n">
        <v>0.4</v>
      </c>
      <c r="F5194" t="str">
        <v>https://re.jrc.ec.europa.eu/api/v5_3/PVcalc?lat=30.0444&amp;lon=31.2357&amp;peakpower=1&amp;loss=14&amp;angle=85&amp;aspect=-150&amp;outputformat=json&amp;raddatabase=PVGIS-SARAH3&amp;pvtechchoice=crystSi&amp;mountingplace=free&amp;usehorizon=1</v>
      </c>
    </row>
    <row r="5195">
      <c r="A5195" t="n">
        <v>85</v>
      </c>
      <c r="B5195" t="n">
        <v>30</v>
      </c>
      <c r="C5195" t="n">
        <v>2</v>
      </c>
      <c r="D5195" s="218" t="n">
        <v>16.37</v>
      </c>
      <c r="E5195" s="218" t="n">
        <v>0.58</v>
      </c>
      <c r="F5195" t="str">
        <v>https://re.jrc.ec.europa.eu/api/v5_3/PVcalc?lat=30.0444&amp;lon=31.2357&amp;peakpower=1&amp;loss=14&amp;angle=85&amp;aspect=-150&amp;outputformat=json&amp;raddatabase=PVGIS-SARAH3&amp;pvtechchoice=crystSi&amp;mountingplace=free&amp;usehorizon=1</v>
      </c>
    </row>
    <row r="5196">
      <c r="A5196" t="n">
        <v>85</v>
      </c>
      <c r="B5196" t="n">
        <v>30</v>
      </c>
      <c r="C5196" t="n">
        <v>3</v>
      </c>
      <c r="D5196" s="218" t="n">
        <v>27.13</v>
      </c>
      <c r="E5196" s="218" t="n">
        <v>0.88</v>
      </c>
      <c r="F5196" t="str">
        <v>https://re.jrc.ec.europa.eu/api/v5_3/PVcalc?lat=30.0444&amp;lon=31.2357&amp;peakpower=1&amp;loss=14&amp;angle=85&amp;aspect=-150&amp;outputformat=json&amp;raddatabase=PVGIS-SARAH3&amp;pvtechchoice=crystSi&amp;mountingplace=free&amp;usehorizon=1</v>
      </c>
    </row>
    <row r="5197">
      <c r="A5197" t="n">
        <v>85</v>
      </c>
      <c r="B5197" t="n">
        <v>30</v>
      </c>
      <c r="C5197" t="n">
        <v>4</v>
      </c>
      <c r="D5197" s="218" t="n">
        <v>39.51</v>
      </c>
      <c r="E5197" s="218" t="n">
        <v>1.32</v>
      </c>
      <c r="F5197" t="str">
        <v>https://re.jrc.ec.europa.eu/api/v5_3/PVcalc?lat=30.0444&amp;lon=31.2357&amp;peakpower=1&amp;loss=14&amp;angle=85&amp;aspect=-150&amp;outputformat=json&amp;raddatabase=PVGIS-SARAH3&amp;pvtechchoice=crystSi&amp;mountingplace=free&amp;usehorizon=1</v>
      </c>
    </row>
    <row r="5198">
      <c r="A5198" t="n">
        <v>85</v>
      </c>
      <c r="B5198" t="n">
        <v>30</v>
      </c>
      <c r="C5198" t="n">
        <v>5</v>
      </c>
      <c r="D5198" s="218" t="n">
        <v>55.14</v>
      </c>
      <c r="E5198" s="218" t="n">
        <v>1.78</v>
      </c>
      <c r="F5198" t="str">
        <v>https://re.jrc.ec.europa.eu/api/v5_3/PVcalc?lat=30.0444&amp;lon=31.2357&amp;peakpower=1&amp;loss=14&amp;angle=85&amp;aspect=-150&amp;outputformat=json&amp;raddatabase=PVGIS-SARAH3&amp;pvtechchoice=crystSi&amp;mountingplace=free&amp;usehorizon=1</v>
      </c>
    </row>
    <row r="5199">
      <c r="A5199" t="n">
        <v>85</v>
      </c>
      <c r="B5199" t="n">
        <v>30</v>
      </c>
      <c r="C5199" t="n">
        <v>6</v>
      </c>
      <c r="D5199" s="218" t="n">
        <v>59.12</v>
      </c>
      <c r="E5199" s="218" t="n">
        <v>1.97</v>
      </c>
      <c r="F5199" t="str">
        <v>https://re.jrc.ec.europa.eu/api/v5_3/PVcalc?lat=30.0444&amp;lon=31.2357&amp;peakpower=1&amp;loss=14&amp;angle=85&amp;aspect=-150&amp;outputformat=json&amp;raddatabase=PVGIS-SARAH3&amp;pvtechchoice=crystSi&amp;mountingplace=free&amp;usehorizon=1</v>
      </c>
    </row>
    <row r="5200">
      <c r="A5200" t="n">
        <v>85</v>
      </c>
      <c r="B5200" t="n">
        <v>30</v>
      </c>
      <c r="C5200" t="n">
        <v>7</v>
      </c>
      <c r="D5200" s="218" t="n">
        <v>55.17</v>
      </c>
      <c r="E5200" s="218" t="n">
        <v>1.78</v>
      </c>
      <c r="F5200" t="str">
        <v>https://re.jrc.ec.europa.eu/api/v5_3/PVcalc?lat=30.0444&amp;lon=31.2357&amp;peakpower=1&amp;loss=14&amp;angle=85&amp;aspect=-150&amp;outputformat=json&amp;raddatabase=PVGIS-SARAH3&amp;pvtechchoice=crystSi&amp;mountingplace=free&amp;usehorizon=1</v>
      </c>
    </row>
    <row r="5201">
      <c r="A5201" t="n">
        <v>85</v>
      </c>
      <c r="B5201" t="n">
        <v>30</v>
      </c>
      <c r="C5201" t="n">
        <v>8</v>
      </c>
      <c r="D5201" s="218" t="n">
        <v>42.7</v>
      </c>
      <c r="E5201" s="218" t="n">
        <v>1.38</v>
      </c>
      <c r="F5201" t="str">
        <v>https://re.jrc.ec.europa.eu/api/v5_3/PVcalc?lat=30.0444&amp;lon=31.2357&amp;peakpower=1&amp;loss=14&amp;angle=85&amp;aspect=-150&amp;outputformat=json&amp;raddatabase=PVGIS-SARAH3&amp;pvtechchoice=crystSi&amp;mountingplace=free&amp;usehorizon=1</v>
      </c>
    </row>
    <row r="5202">
      <c r="A5202" t="n">
        <v>85</v>
      </c>
      <c r="B5202" t="n">
        <v>30</v>
      </c>
      <c r="C5202" t="n">
        <v>9</v>
      </c>
      <c r="D5202" s="218" t="n">
        <v>26.62</v>
      </c>
      <c r="E5202" s="218" t="n">
        <v>0.89</v>
      </c>
      <c r="F5202" t="str">
        <v>https://re.jrc.ec.europa.eu/api/v5_3/PVcalc?lat=30.0444&amp;lon=31.2357&amp;peakpower=1&amp;loss=14&amp;angle=85&amp;aspect=-150&amp;outputformat=json&amp;raddatabase=PVGIS-SARAH3&amp;pvtechchoice=crystSi&amp;mountingplace=free&amp;usehorizon=1</v>
      </c>
    </row>
    <row r="5203">
      <c r="A5203" t="n">
        <v>85</v>
      </c>
      <c r="B5203" t="n">
        <v>30</v>
      </c>
      <c r="C5203" t="n">
        <v>10</v>
      </c>
      <c r="D5203" s="218" t="n">
        <v>17.92</v>
      </c>
      <c r="E5203" s="218" t="n">
        <v>0.58</v>
      </c>
      <c r="F5203" t="str">
        <v>https://re.jrc.ec.europa.eu/api/v5_3/PVcalc?lat=30.0444&amp;lon=31.2357&amp;peakpower=1&amp;loss=14&amp;angle=85&amp;aspect=-150&amp;outputformat=json&amp;raddatabase=PVGIS-SARAH3&amp;pvtechchoice=crystSi&amp;mountingplace=free&amp;usehorizon=1</v>
      </c>
    </row>
    <row r="5204">
      <c r="A5204" t="n">
        <v>85</v>
      </c>
      <c r="B5204" t="n">
        <v>30</v>
      </c>
      <c r="C5204" t="n">
        <v>11</v>
      </c>
      <c r="D5204" s="218" t="n">
        <v>12.33</v>
      </c>
      <c r="E5204" s="218" t="n">
        <v>0.41</v>
      </c>
      <c r="F5204" t="str">
        <v>https://re.jrc.ec.europa.eu/api/v5_3/PVcalc?lat=30.0444&amp;lon=31.2357&amp;peakpower=1&amp;loss=14&amp;angle=85&amp;aspect=-150&amp;outputformat=json&amp;raddatabase=PVGIS-SARAH3&amp;pvtechchoice=crystSi&amp;mountingplace=free&amp;usehorizon=1</v>
      </c>
    </row>
    <row r="5205">
      <c r="A5205" t="n">
        <v>85</v>
      </c>
      <c r="B5205" t="n">
        <v>30</v>
      </c>
      <c r="C5205" t="n">
        <v>12</v>
      </c>
      <c r="D5205" s="218" t="n">
        <v>11.49</v>
      </c>
      <c r="E5205" s="218" t="n">
        <v>0.37</v>
      </c>
      <c r="F5205" t="str">
        <v>https://re.jrc.ec.europa.eu/api/v5_3/PVcalc?lat=30.0444&amp;lon=31.2357&amp;peakpower=1&amp;loss=14&amp;angle=85&amp;aspect=-150&amp;outputformat=json&amp;raddatabase=PVGIS-SARAH3&amp;pvtechchoice=crystSi&amp;mountingplace=free&amp;usehorizon=1</v>
      </c>
    </row>
    <row r="5206">
      <c r="A5206" t="n">
        <v>85</v>
      </c>
      <c r="B5206" t="n">
        <v>45</v>
      </c>
      <c r="C5206" t="n">
        <v>1</v>
      </c>
      <c r="D5206" s="218" t="n">
        <v>16.04</v>
      </c>
      <c r="E5206" s="218" t="n">
        <v>0.52</v>
      </c>
      <c r="F5206" t="str">
        <v>https://re.jrc.ec.europa.eu/api/v5_3/PVcalc?lat=30.0444&amp;lon=31.2357&amp;peakpower=1&amp;loss=14&amp;angle=85&amp;aspect=-135&amp;outputformat=json&amp;raddatabase=PVGIS-SARAH3&amp;pvtechchoice=crystSi&amp;mountingplace=free&amp;usehorizon=1</v>
      </c>
    </row>
    <row r="5207">
      <c r="A5207" t="n">
        <v>85</v>
      </c>
      <c r="B5207" t="n">
        <v>45</v>
      </c>
      <c r="C5207" t="n">
        <v>2</v>
      </c>
      <c r="D5207" s="218" t="n">
        <v>23.51</v>
      </c>
      <c r="E5207" s="218" t="n">
        <v>0.84</v>
      </c>
      <c r="F5207" t="str">
        <v>https://re.jrc.ec.europa.eu/api/v5_3/PVcalc?lat=30.0444&amp;lon=31.2357&amp;peakpower=1&amp;loss=14&amp;angle=85&amp;aspect=-135&amp;outputformat=json&amp;raddatabase=PVGIS-SARAH3&amp;pvtechchoice=crystSi&amp;mountingplace=free&amp;usehorizon=1</v>
      </c>
    </row>
    <row r="5208">
      <c r="A5208" t="n">
        <v>85</v>
      </c>
      <c r="B5208" t="n">
        <v>45</v>
      </c>
      <c r="C5208" t="n">
        <v>3</v>
      </c>
      <c r="D5208" s="218" t="n">
        <v>39.05</v>
      </c>
      <c r="E5208" s="218" t="n">
        <v>1.26</v>
      </c>
      <c r="F5208" t="str">
        <v>https://re.jrc.ec.europa.eu/api/v5_3/PVcalc?lat=30.0444&amp;lon=31.2357&amp;peakpower=1&amp;loss=14&amp;angle=85&amp;aspect=-135&amp;outputformat=json&amp;raddatabase=PVGIS-SARAH3&amp;pvtechchoice=crystSi&amp;mountingplace=free&amp;usehorizon=1</v>
      </c>
    </row>
    <row r="5209">
      <c r="A5209" t="n">
        <v>85</v>
      </c>
      <c r="B5209" t="n">
        <v>45</v>
      </c>
      <c r="C5209" t="n">
        <v>4</v>
      </c>
      <c r="D5209" s="218" t="n">
        <v>52.14</v>
      </c>
      <c r="E5209" s="218" t="n">
        <v>1.74</v>
      </c>
      <c r="F5209" t="str">
        <v>https://re.jrc.ec.europa.eu/api/v5_3/PVcalc?lat=30.0444&amp;lon=31.2357&amp;peakpower=1&amp;loss=14&amp;angle=85&amp;aspect=-135&amp;outputformat=json&amp;raddatabase=PVGIS-SARAH3&amp;pvtechchoice=crystSi&amp;mountingplace=free&amp;usehorizon=1</v>
      </c>
    </row>
    <row r="5210">
      <c r="A5210" t="n">
        <v>85</v>
      </c>
      <c r="B5210" t="n">
        <v>45</v>
      </c>
      <c r="C5210" t="n">
        <v>5</v>
      </c>
      <c r="D5210" s="218" t="n">
        <v>68.12</v>
      </c>
      <c r="E5210" s="218" t="n">
        <v>2.2</v>
      </c>
      <c r="F5210" t="str">
        <v>https://re.jrc.ec.europa.eu/api/v5_3/PVcalc?lat=30.0444&amp;lon=31.2357&amp;peakpower=1&amp;loss=14&amp;angle=85&amp;aspect=-135&amp;outputformat=json&amp;raddatabase=PVGIS-SARAH3&amp;pvtechchoice=crystSi&amp;mountingplace=free&amp;usehorizon=1</v>
      </c>
    </row>
    <row r="5211">
      <c r="A5211" t="n">
        <v>85</v>
      </c>
      <c r="B5211" t="n">
        <v>45</v>
      </c>
      <c r="C5211" t="n">
        <v>6</v>
      </c>
      <c r="D5211" s="218" t="n">
        <v>71.2</v>
      </c>
      <c r="E5211" s="218" t="n">
        <v>2.37</v>
      </c>
      <c r="F5211" t="str">
        <v>https://re.jrc.ec.europa.eu/api/v5_3/PVcalc?lat=30.0444&amp;lon=31.2357&amp;peakpower=1&amp;loss=14&amp;angle=85&amp;aspect=-135&amp;outputformat=json&amp;raddatabase=PVGIS-SARAH3&amp;pvtechchoice=crystSi&amp;mountingplace=free&amp;usehorizon=1</v>
      </c>
    </row>
    <row r="5212">
      <c r="A5212" t="n">
        <v>85</v>
      </c>
      <c r="B5212" t="n">
        <v>45</v>
      </c>
      <c r="C5212" t="n">
        <v>7</v>
      </c>
      <c r="D5212" s="218" t="n">
        <v>67.74</v>
      </c>
      <c r="E5212" s="218" t="n">
        <v>2.19</v>
      </c>
      <c r="F5212" t="str">
        <v>https://re.jrc.ec.europa.eu/api/v5_3/PVcalc?lat=30.0444&amp;lon=31.2357&amp;peakpower=1&amp;loss=14&amp;angle=85&amp;aspect=-135&amp;outputformat=json&amp;raddatabase=PVGIS-SARAH3&amp;pvtechchoice=crystSi&amp;mountingplace=free&amp;usehorizon=1</v>
      </c>
    </row>
    <row r="5213">
      <c r="A5213" t="n">
        <v>85</v>
      </c>
      <c r="B5213" t="n">
        <v>45</v>
      </c>
      <c r="C5213" t="n">
        <v>8</v>
      </c>
      <c r="D5213" s="218" t="n">
        <v>56.77</v>
      </c>
      <c r="E5213" s="218" t="n">
        <v>1.83</v>
      </c>
      <c r="F5213" t="str">
        <v>https://re.jrc.ec.europa.eu/api/v5_3/PVcalc?lat=30.0444&amp;lon=31.2357&amp;peakpower=1&amp;loss=14&amp;angle=85&amp;aspect=-135&amp;outputformat=json&amp;raddatabase=PVGIS-SARAH3&amp;pvtechchoice=crystSi&amp;mountingplace=free&amp;usehorizon=1</v>
      </c>
    </row>
    <row r="5214">
      <c r="A5214" t="n">
        <v>85</v>
      </c>
      <c r="B5214" t="n">
        <v>45</v>
      </c>
      <c r="C5214" t="n">
        <v>9</v>
      </c>
      <c r="D5214" s="218" t="n">
        <v>38.9</v>
      </c>
      <c r="E5214" s="218" t="n">
        <v>1.3</v>
      </c>
      <c r="F5214" t="str">
        <v>https://re.jrc.ec.europa.eu/api/v5_3/PVcalc?lat=30.0444&amp;lon=31.2357&amp;peakpower=1&amp;loss=14&amp;angle=85&amp;aspect=-135&amp;outputformat=json&amp;raddatabase=PVGIS-SARAH3&amp;pvtechchoice=crystSi&amp;mountingplace=free&amp;usehorizon=1</v>
      </c>
    </row>
    <row r="5215">
      <c r="A5215" t="n">
        <v>85</v>
      </c>
      <c r="B5215" t="n">
        <v>45</v>
      </c>
      <c r="C5215" t="n">
        <v>10</v>
      </c>
      <c r="D5215" s="218" t="n">
        <v>27.38</v>
      </c>
      <c r="E5215" s="218" t="n">
        <v>0.88</v>
      </c>
      <c r="F5215" t="str">
        <v>https://re.jrc.ec.europa.eu/api/v5_3/PVcalc?lat=30.0444&amp;lon=31.2357&amp;peakpower=1&amp;loss=14&amp;angle=85&amp;aspect=-135&amp;outputformat=json&amp;raddatabase=PVGIS-SARAH3&amp;pvtechchoice=crystSi&amp;mountingplace=free&amp;usehorizon=1</v>
      </c>
    </row>
    <row r="5216">
      <c r="A5216" t="n">
        <v>85</v>
      </c>
      <c r="B5216" t="n">
        <v>45</v>
      </c>
      <c r="C5216" t="n">
        <v>11</v>
      </c>
      <c r="D5216" s="218" t="n">
        <v>17.35</v>
      </c>
      <c r="E5216" s="218" t="n">
        <v>0.58</v>
      </c>
      <c r="F5216" t="str">
        <v>https://re.jrc.ec.europa.eu/api/v5_3/PVcalc?lat=30.0444&amp;lon=31.2357&amp;peakpower=1&amp;loss=14&amp;angle=85&amp;aspect=-135&amp;outputformat=json&amp;raddatabase=PVGIS-SARAH3&amp;pvtechchoice=crystSi&amp;mountingplace=free&amp;usehorizon=1</v>
      </c>
    </row>
    <row r="5217">
      <c r="A5217" t="n">
        <v>85</v>
      </c>
      <c r="B5217" t="n">
        <v>45</v>
      </c>
      <c r="C5217" t="n">
        <v>12</v>
      </c>
      <c r="D5217" s="218" t="n">
        <v>13.95</v>
      </c>
      <c r="E5217" s="218" t="n">
        <v>0.45</v>
      </c>
      <c r="F5217" t="str">
        <v>https://re.jrc.ec.europa.eu/api/v5_3/PVcalc?lat=30.0444&amp;lon=31.2357&amp;peakpower=1&amp;loss=14&amp;angle=85&amp;aspect=-135&amp;outputformat=json&amp;raddatabase=PVGIS-SARAH3&amp;pvtechchoice=crystSi&amp;mountingplace=free&amp;usehorizon=1</v>
      </c>
    </row>
    <row r="5218">
      <c r="A5218" t="n">
        <v>85</v>
      </c>
      <c r="B5218" t="n">
        <v>60</v>
      </c>
      <c r="C5218" t="n">
        <v>1</v>
      </c>
      <c r="D5218" s="218" t="n">
        <v>25.54</v>
      </c>
      <c r="E5218" s="218" t="n">
        <v>0.82</v>
      </c>
      <c r="F5218" t="str">
        <v>https://re.jrc.ec.europa.eu/api/v5_3/PVcalc?lat=30.0444&amp;lon=31.2357&amp;peakpower=1&amp;loss=14&amp;angle=85&amp;aspect=-120&amp;outputformat=json&amp;raddatabase=PVGIS-SARAH3&amp;pvtechchoice=crystSi&amp;mountingplace=free&amp;usehorizon=1</v>
      </c>
    </row>
    <row r="5219">
      <c r="A5219" t="n">
        <v>85</v>
      </c>
      <c r="B5219" t="n">
        <v>60</v>
      </c>
      <c r="C5219" t="n">
        <v>2</v>
      </c>
      <c r="D5219" s="218" t="n">
        <v>34.64</v>
      </c>
      <c r="E5219" s="218" t="n">
        <v>1.24</v>
      </c>
      <c r="F5219" t="str">
        <v>https://re.jrc.ec.europa.eu/api/v5_3/PVcalc?lat=30.0444&amp;lon=31.2357&amp;peakpower=1&amp;loss=14&amp;angle=85&amp;aspect=-120&amp;outputformat=json&amp;raddatabase=PVGIS-SARAH3&amp;pvtechchoice=crystSi&amp;mountingplace=free&amp;usehorizon=1</v>
      </c>
    </row>
    <row r="5220">
      <c r="A5220" t="n">
        <v>85</v>
      </c>
      <c r="B5220" t="n">
        <v>60</v>
      </c>
      <c r="C5220" t="n">
        <v>3</v>
      </c>
      <c r="D5220" s="218" t="n">
        <v>52.56</v>
      </c>
      <c r="E5220" s="218" t="n">
        <v>1.7</v>
      </c>
      <c r="F5220" t="str">
        <v>https://re.jrc.ec.europa.eu/api/v5_3/PVcalc?lat=30.0444&amp;lon=31.2357&amp;peakpower=1&amp;loss=14&amp;angle=85&amp;aspect=-120&amp;outputformat=json&amp;raddatabase=PVGIS-SARAH3&amp;pvtechchoice=crystSi&amp;mountingplace=free&amp;usehorizon=1</v>
      </c>
    </row>
    <row r="5221">
      <c r="A5221" t="n">
        <v>85</v>
      </c>
      <c r="B5221" t="n">
        <v>60</v>
      </c>
      <c r="C5221" t="n">
        <v>4</v>
      </c>
      <c r="D5221" s="218" t="n">
        <v>64.3</v>
      </c>
      <c r="E5221" s="218" t="n">
        <v>2.14</v>
      </c>
      <c r="F5221" t="str">
        <v>https://re.jrc.ec.europa.eu/api/v5_3/PVcalc?lat=30.0444&amp;lon=31.2357&amp;peakpower=1&amp;loss=14&amp;angle=85&amp;aspect=-120&amp;outputformat=json&amp;raddatabase=PVGIS-SARAH3&amp;pvtechchoice=crystSi&amp;mountingplace=free&amp;usehorizon=1</v>
      </c>
    </row>
    <row r="5222">
      <c r="A5222" t="n">
        <v>85</v>
      </c>
      <c r="B5222" t="n">
        <v>60</v>
      </c>
      <c r="C5222" t="n">
        <v>5</v>
      </c>
      <c r="D5222" s="218" t="n">
        <v>78.1</v>
      </c>
      <c r="E5222" s="218" t="n">
        <v>2.52</v>
      </c>
      <c r="F5222" t="str">
        <v>https://re.jrc.ec.europa.eu/api/v5_3/PVcalc?lat=30.0444&amp;lon=31.2357&amp;peakpower=1&amp;loss=14&amp;angle=85&amp;aspect=-120&amp;outputformat=json&amp;raddatabase=PVGIS-SARAH3&amp;pvtechchoice=crystSi&amp;mountingplace=free&amp;usehorizon=1</v>
      </c>
    </row>
    <row r="5223">
      <c r="A5223" t="n">
        <v>85</v>
      </c>
      <c r="B5223" t="n">
        <v>60</v>
      </c>
      <c r="C5223" t="n">
        <v>6</v>
      </c>
      <c r="D5223" s="218" t="n">
        <v>80.05</v>
      </c>
      <c r="E5223" s="218" t="n">
        <v>2.67</v>
      </c>
      <c r="F5223" t="str">
        <v>https://re.jrc.ec.europa.eu/api/v5_3/PVcalc?lat=30.0444&amp;lon=31.2357&amp;peakpower=1&amp;loss=14&amp;angle=85&amp;aspect=-120&amp;outputformat=json&amp;raddatabase=PVGIS-SARAH3&amp;pvtechchoice=crystSi&amp;mountingplace=free&amp;usehorizon=1</v>
      </c>
    </row>
    <row r="5224">
      <c r="A5224" t="n">
        <v>85</v>
      </c>
      <c r="B5224" t="n">
        <v>60</v>
      </c>
      <c r="C5224" t="n">
        <v>7</v>
      </c>
      <c r="D5224" s="218" t="n">
        <v>77.36</v>
      </c>
      <c r="E5224" s="218" t="n">
        <v>2.5</v>
      </c>
      <c r="F5224" t="str">
        <v>https://re.jrc.ec.europa.eu/api/v5_3/PVcalc?lat=30.0444&amp;lon=31.2357&amp;peakpower=1&amp;loss=14&amp;angle=85&amp;aspect=-120&amp;outputformat=json&amp;raddatabase=PVGIS-SARAH3&amp;pvtechchoice=crystSi&amp;mountingplace=free&amp;usehorizon=1</v>
      </c>
    </row>
    <row r="5225">
      <c r="A5225" t="n">
        <v>85</v>
      </c>
      <c r="B5225" t="n">
        <v>60</v>
      </c>
      <c r="C5225" t="n">
        <v>8</v>
      </c>
      <c r="D5225" s="218" t="n">
        <v>68.83</v>
      </c>
      <c r="E5225" s="218" t="n">
        <v>2.22</v>
      </c>
      <c r="F5225" t="str">
        <v>https://re.jrc.ec.europa.eu/api/v5_3/PVcalc?lat=30.0444&amp;lon=31.2357&amp;peakpower=1&amp;loss=14&amp;angle=85&amp;aspect=-120&amp;outputformat=json&amp;raddatabase=PVGIS-SARAH3&amp;pvtechchoice=crystSi&amp;mountingplace=free&amp;usehorizon=1</v>
      </c>
    </row>
    <row r="5226">
      <c r="A5226" t="n">
        <v>85</v>
      </c>
      <c r="B5226" t="n">
        <v>60</v>
      </c>
      <c r="C5226" t="n">
        <v>9</v>
      </c>
      <c r="D5226" s="218" t="n">
        <v>51.81</v>
      </c>
      <c r="E5226" s="218" t="n">
        <v>1.73</v>
      </c>
      <c r="F5226" t="str">
        <v>https://re.jrc.ec.europa.eu/api/v5_3/PVcalc?lat=30.0444&amp;lon=31.2357&amp;peakpower=1&amp;loss=14&amp;angle=85&amp;aspect=-120&amp;outputformat=json&amp;raddatabase=PVGIS-SARAH3&amp;pvtechchoice=crystSi&amp;mountingplace=free&amp;usehorizon=1</v>
      </c>
    </row>
    <row r="5227">
      <c r="A5227" t="n">
        <v>85</v>
      </c>
      <c r="B5227" t="n">
        <v>60</v>
      </c>
      <c r="C5227" t="n">
        <v>10</v>
      </c>
      <c r="D5227" s="218" t="n">
        <v>40.74</v>
      </c>
      <c r="E5227" s="218" t="n">
        <v>1.31</v>
      </c>
      <c r="F5227" t="str">
        <v>https://re.jrc.ec.europa.eu/api/v5_3/PVcalc?lat=30.0444&amp;lon=31.2357&amp;peakpower=1&amp;loss=14&amp;angle=85&amp;aspect=-120&amp;outputformat=json&amp;raddatabase=PVGIS-SARAH3&amp;pvtechchoice=crystSi&amp;mountingplace=free&amp;usehorizon=1</v>
      </c>
    </row>
    <row r="5228">
      <c r="A5228" t="n">
        <v>85</v>
      </c>
      <c r="B5228" t="n">
        <v>60</v>
      </c>
      <c r="C5228" t="n">
        <v>11</v>
      </c>
      <c r="D5228" s="218" t="n">
        <v>28.65</v>
      </c>
      <c r="E5228" s="218" t="n">
        <v>0.95</v>
      </c>
      <c r="F5228" t="str">
        <v>https://re.jrc.ec.europa.eu/api/v5_3/PVcalc?lat=30.0444&amp;lon=31.2357&amp;peakpower=1&amp;loss=14&amp;angle=85&amp;aspect=-120&amp;outputformat=json&amp;raddatabase=PVGIS-SARAH3&amp;pvtechchoice=crystSi&amp;mountingplace=free&amp;usehorizon=1</v>
      </c>
    </row>
    <row r="5229">
      <c r="A5229" t="n">
        <v>85</v>
      </c>
      <c r="B5229" t="n">
        <v>60</v>
      </c>
      <c r="C5229" t="n">
        <v>12</v>
      </c>
      <c r="D5229" s="218" t="n">
        <v>23.36</v>
      </c>
      <c r="E5229" s="218" t="n">
        <v>0.75</v>
      </c>
      <c r="F5229" t="str">
        <v>https://re.jrc.ec.europa.eu/api/v5_3/PVcalc?lat=30.0444&amp;lon=31.2357&amp;peakpower=1&amp;loss=14&amp;angle=85&amp;aspect=-120&amp;outputformat=json&amp;raddatabase=PVGIS-SARAH3&amp;pvtechchoice=crystSi&amp;mountingplace=free&amp;usehorizon=1</v>
      </c>
    </row>
    <row r="5230">
      <c r="A5230" t="n">
        <v>85</v>
      </c>
      <c r="B5230" t="n">
        <v>75</v>
      </c>
      <c r="C5230" t="n">
        <v>1</v>
      </c>
      <c r="D5230" s="218" t="n">
        <v>39.14</v>
      </c>
      <c r="E5230" s="218" t="n">
        <v>1.26</v>
      </c>
      <c r="F5230" t="str">
        <v>https://re.jrc.ec.europa.eu/api/v5_3/PVcalc?lat=30.0444&amp;lon=31.2357&amp;peakpower=1&amp;loss=14&amp;angle=85&amp;aspect=-105&amp;outputformat=json&amp;raddatabase=PVGIS-SARAH3&amp;pvtechchoice=crystSi&amp;mountingplace=free&amp;usehorizon=1</v>
      </c>
    </row>
    <row r="5231">
      <c r="A5231" t="n">
        <v>85</v>
      </c>
      <c r="B5231" t="n">
        <v>75</v>
      </c>
      <c r="C5231" t="n">
        <v>2</v>
      </c>
      <c r="D5231" s="218" t="n">
        <v>47.87</v>
      </c>
      <c r="E5231" s="218" t="n">
        <v>1.71</v>
      </c>
      <c r="F5231" t="str">
        <v>https://re.jrc.ec.europa.eu/api/v5_3/PVcalc?lat=30.0444&amp;lon=31.2357&amp;peakpower=1&amp;loss=14&amp;angle=85&amp;aspect=-105&amp;outputformat=json&amp;raddatabase=PVGIS-SARAH3&amp;pvtechchoice=crystSi&amp;mountingplace=free&amp;usehorizon=1</v>
      </c>
    </row>
    <row r="5232">
      <c r="A5232" t="n">
        <v>85</v>
      </c>
      <c r="B5232" t="n">
        <v>75</v>
      </c>
      <c r="C5232" t="n">
        <v>3</v>
      </c>
      <c r="D5232" s="218" t="n">
        <v>65.37</v>
      </c>
      <c r="E5232" s="218" t="n">
        <v>2.11</v>
      </c>
      <c r="F5232" t="str">
        <v>https://re.jrc.ec.europa.eu/api/v5_3/PVcalc?lat=30.0444&amp;lon=31.2357&amp;peakpower=1&amp;loss=14&amp;angle=85&amp;aspect=-105&amp;outputformat=json&amp;raddatabase=PVGIS-SARAH3&amp;pvtechchoice=crystSi&amp;mountingplace=free&amp;usehorizon=1</v>
      </c>
    </row>
    <row r="5233">
      <c r="A5233" t="n">
        <v>85</v>
      </c>
      <c r="B5233" t="n">
        <v>75</v>
      </c>
      <c r="C5233" t="n">
        <v>4</v>
      </c>
      <c r="D5233" s="218" t="n">
        <v>73.82</v>
      </c>
      <c r="E5233" s="218" t="n">
        <v>2.46</v>
      </c>
      <c r="F5233" t="str">
        <v>https://re.jrc.ec.europa.eu/api/v5_3/PVcalc?lat=30.0444&amp;lon=31.2357&amp;peakpower=1&amp;loss=14&amp;angle=85&amp;aspect=-105&amp;outputformat=json&amp;raddatabase=PVGIS-SARAH3&amp;pvtechchoice=crystSi&amp;mountingplace=free&amp;usehorizon=1</v>
      </c>
    </row>
    <row r="5234">
      <c r="A5234" t="n">
        <v>85</v>
      </c>
      <c r="B5234" t="n">
        <v>75</v>
      </c>
      <c r="C5234" t="n">
        <v>5</v>
      </c>
      <c r="D5234" s="218" t="n">
        <v>84.94</v>
      </c>
      <c r="E5234" s="218" t="n">
        <v>2.74</v>
      </c>
      <c r="F5234" t="str">
        <v>https://re.jrc.ec.europa.eu/api/v5_3/PVcalc?lat=30.0444&amp;lon=31.2357&amp;peakpower=1&amp;loss=14&amp;angle=85&amp;aspect=-105&amp;outputformat=json&amp;raddatabase=PVGIS-SARAH3&amp;pvtechchoice=crystSi&amp;mountingplace=free&amp;usehorizon=1</v>
      </c>
    </row>
    <row r="5235">
      <c r="A5235" t="n">
        <v>85</v>
      </c>
      <c r="B5235" t="n">
        <v>75</v>
      </c>
      <c r="C5235" t="n">
        <v>6</v>
      </c>
      <c r="D5235" s="218" t="n">
        <v>86.27</v>
      </c>
      <c r="E5235" s="218" t="n">
        <v>2.88</v>
      </c>
      <c r="F5235" t="str">
        <v>https://re.jrc.ec.europa.eu/api/v5_3/PVcalc?lat=30.0444&amp;lon=31.2357&amp;peakpower=1&amp;loss=14&amp;angle=85&amp;aspect=-105&amp;outputformat=json&amp;raddatabase=PVGIS-SARAH3&amp;pvtechchoice=crystSi&amp;mountingplace=free&amp;usehorizon=1</v>
      </c>
    </row>
    <row r="5236">
      <c r="A5236" t="n">
        <v>85</v>
      </c>
      <c r="B5236" t="n">
        <v>75</v>
      </c>
      <c r="C5236" t="n">
        <v>7</v>
      </c>
      <c r="D5236" s="218" t="n">
        <v>85.15</v>
      </c>
      <c r="E5236" s="218" t="n">
        <v>2.75</v>
      </c>
      <c r="F5236" t="str">
        <v>https://re.jrc.ec.europa.eu/api/v5_3/PVcalc?lat=30.0444&amp;lon=31.2357&amp;peakpower=1&amp;loss=14&amp;angle=85&amp;aspect=-105&amp;outputformat=json&amp;raddatabase=PVGIS-SARAH3&amp;pvtechchoice=crystSi&amp;mountingplace=free&amp;usehorizon=1</v>
      </c>
    </row>
    <row r="5237">
      <c r="A5237" t="n">
        <v>85</v>
      </c>
      <c r="B5237" t="n">
        <v>75</v>
      </c>
      <c r="C5237" t="n">
        <v>8</v>
      </c>
      <c r="D5237" s="218" t="n">
        <v>77.91</v>
      </c>
      <c r="E5237" s="218" t="n">
        <v>2.51</v>
      </c>
      <c r="F5237" t="str">
        <v>https://re.jrc.ec.europa.eu/api/v5_3/PVcalc?lat=30.0444&amp;lon=31.2357&amp;peakpower=1&amp;loss=14&amp;angle=85&amp;aspect=-105&amp;outputformat=json&amp;raddatabase=PVGIS-SARAH3&amp;pvtechchoice=crystSi&amp;mountingplace=free&amp;usehorizon=1</v>
      </c>
    </row>
    <row r="5238">
      <c r="A5238" t="n">
        <v>85</v>
      </c>
      <c r="B5238" t="n">
        <v>75</v>
      </c>
      <c r="C5238" t="n">
        <v>9</v>
      </c>
      <c r="D5238" s="218" t="n">
        <v>63.99</v>
      </c>
      <c r="E5238" s="218" t="n">
        <v>2.13</v>
      </c>
      <c r="F5238" t="str">
        <v>https://re.jrc.ec.europa.eu/api/v5_3/PVcalc?lat=30.0444&amp;lon=31.2357&amp;peakpower=1&amp;loss=14&amp;angle=85&amp;aspect=-105&amp;outputformat=json&amp;raddatabase=PVGIS-SARAH3&amp;pvtechchoice=crystSi&amp;mountingplace=free&amp;usehorizon=1</v>
      </c>
    </row>
    <row r="5239">
      <c r="A5239" t="n">
        <v>85</v>
      </c>
      <c r="B5239" t="n">
        <v>75</v>
      </c>
      <c r="C5239" t="n">
        <v>10</v>
      </c>
      <c r="D5239" s="218" t="n">
        <v>55.36</v>
      </c>
      <c r="E5239" s="218" t="n">
        <v>1.79</v>
      </c>
      <c r="F5239" t="str">
        <v>https://re.jrc.ec.europa.eu/api/v5_3/PVcalc?lat=30.0444&amp;lon=31.2357&amp;peakpower=1&amp;loss=14&amp;angle=85&amp;aspect=-105&amp;outputformat=json&amp;raddatabase=PVGIS-SARAH3&amp;pvtechchoice=crystSi&amp;mountingplace=free&amp;usehorizon=1</v>
      </c>
    </row>
    <row r="5240">
      <c r="A5240" t="n">
        <v>85</v>
      </c>
      <c r="B5240" t="n">
        <v>75</v>
      </c>
      <c r="C5240" t="n">
        <v>11</v>
      </c>
      <c r="D5240" s="218" t="n">
        <v>42.07</v>
      </c>
      <c r="E5240" s="218" t="n">
        <v>1.4</v>
      </c>
      <c r="F5240" t="str">
        <v>https://re.jrc.ec.europa.eu/api/v5_3/PVcalc?lat=30.0444&amp;lon=31.2357&amp;peakpower=1&amp;loss=14&amp;angle=85&amp;aspect=-105&amp;outputformat=json&amp;raddatabase=PVGIS-SARAH3&amp;pvtechchoice=crystSi&amp;mountingplace=free&amp;usehorizon=1</v>
      </c>
    </row>
    <row r="5241">
      <c r="A5241" t="n">
        <v>85</v>
      </c>
      <c r="B5241" t="n">
        <v>75</v>
      </c>
      <c r="C5241" t="n">
        <v>12</v>
      </c>
      <c r="D5241" s="218" t="n">
        <v>36.88</v>
      </c>
      <c r="E5241" s="218" t="n">
        <v>1.19</v>
      </c>
      <c r="F5241" t="str">
        <v>https://re.jrc.ec.europa.eu/api/v5_3/PVcalc?lat=30.0444&amp;lon=31.2357&amp;peakpower=1&amp;loss=14&amp;angle=85&amp;aspect=-105&amp;outputformat=json&amp;raddatabase=PVGIS-SARAH3&amp;pvtechchoice=crystSi&amp;mountingplace=free&amp;usehorizon=1</v>
      </c>
    </row>
    <row r="5242">
      <c r="A5242" t="n">
        <v>85</v>
      </c>
      <c r="B5242" t="n">
        <v>90</v>
      </c>
      <c r="C5242" t="n">
        <v>1</v>
      </c>
      <c r="D5242" s="218" t="n">
        <v>54.71</v>
      </c>
      <c r="E5242" s="218" t="n">
        <v>1.76</v>
      </c>
      <c r="F5242" t="str">
        <v>https://re.jrc.ec.europa.eu/api/v5_3/PVcalc?lat=30.0444&amp;lon=31.2357&amp;peakpower=1&amp;loss=14&amp;angle=85&amp;aspect=-90&amp;outputformat=json&amp;raddatabase=PVGIS-SARAH3&amp;pvtechchoice=crystSi&amp;mountingplace=free&amp;usehorizon=1</v>
      </c>
    </row>
    <row r="5243">
      <c r="A5243" t="n">
        <v>85</v>
      </c>
      <c r="B5243" t="n">
        <v>90</v>
      </c>
      <c r="C5243" t="n">
        <v>2</v>
      </c>
      <c r="D5243" s="218" t="n">
        <v>61.17</v>
      </c>
      <c r="E5243" s="218" t="n">
        <v>2.18</v>
      </c>
      <c r="F5243" t="str">
        <v>https://re.jrc.ec.europa.eu/api/v5_3/PVcalc?lat=30.0444&amp;lon=31.2357&amp;peakpower=1&amp;loss=14&amp;angle=85&amp;aspect=-90&amp;outputformat=json&amp;raddatabase=PVGIS-SARAH3&amp;pvtechchoice=crystSi&amp;mountingplace=free&amp;usehorizon=1</v>
      </c>
    </row>
    <row r="5244">
      <c r="A5244" t="n">
        <v>85</v>
      </c>
      <c r="B5244" t="n">
        <v>90</v>
      </c>
      <c r="C5244" t="n">
        <v>3</v>
      </c>
      <c r="D5244" s="218" t="n">
        <v>77.67</v>
      </c>
      <c r="E5244" s="218" t="n">
        <v>2.51</v>
      </c>
      <c r="F5244" t="str">
        <v>https://re.jrc.ec.europa.eu/api/v5_3/PVcalc?lat=30.0444&amp;lon=31.2357&amp;peakpower=1&amp;loss=14&amp;angle=85&amp;aspect=-90&amp;outputformat=json&amp;raddatabase=PVGIS-SARAH3&amp;pvtechchoice=crystSi&amp;mountingplace=free&amp;usehorizon=1</v>
      </c>
    </row>
    <row r="5245">
      <c r="A5245" t="n">
        <v>85</v>
      </c>
      <c r="B5245" t="n">
        <v>90</v>
      </c>
      <c r="C5245" t="n">
        <v>4</v>
      </c>
      <c r="D5245" s="218" t="n">
        <v>82.1</v>
      </c>
      <c r="E5245" s="218" t="n">
        <v>2.74</v>
      </c>
      <c r="F5245" t="str">
        <v>https://re.jrc.ec.europa.eu/api/v5_3/PVcalc?lat=30.0444&amp;lon=31.2357&amp;peakpower=1&amp;loss=14&amp;angle=85&amp;aspect=-90&amp;outputformat=json&amp;raddatabase=PVGIS-SARAH3&amp;pvtechchoice=crystSi&amp;mountingplace=free&amp;usehorizon=1</v>
      </c>
    </row>
    <row r="5246">
      <c r="A5246" t="n">
        <v>85</v>
      </c>
      <c r="B5246" t="n">
        <v>90</v>
      </c>
      <c r="C5246" t="n">
        <v>5</v>
      </c>
      <c r="D5246" s="218" t="n">
        <v>89.91</v>
      </c>
      <c r="E5246" s="218" t="n">
        <v>2.9</v>
      </c>
      <c r="F5246" t="str">
        <v>https://re.jrc.ec.europa.eu/api/v5_3/PVcalc?lat=30.0444&amp;lon=31.2357&amp;peakpower=1&amp;loss=14&amp;angle=85&amp;aspect=-90&amp;outputformat=json&amp;raddatabase=PVGIS-SARAH3&amp;pvtechchoice=crystSi&amp;mountingplace=free&amp;usehorizon=1</v>
      </c>
    </row>
    <row r="5247">
      <c r="A5247" t="n">
        <v>85</v>
      </c>
      <c r="B5247" t="n">
        <v>90</v>
      </c>
      <c r="C5247" t="n">
        <v>6</v>
      </c>
      <c r="D5247" s="218" t="n">
        <v>88.58</v>
      </c>
      <c r="E5247" s="218" t="n">
        <v>2.95</v>
      </c>
      <c r="F5247" t="str">
        <v>https://re.jrc.ec.europa.eu/api/v5_3/PVcalc?lat=30.0444&amp;lon=31.2357&amp;peakpower=1&amp;loss=14&amp;angle=85&amp;aspect=-90&amp;outputformat=json&amp;raddatabase=PVGIS-SARAH3&amp;pvtechchoice=crystSi&amp;mountingplace=free&amp;usehorizon=1</v>
      </c>
    </row>
    <row r="5248">
      <c r="A5248" t="n">
        <v>85</v>
      </c>
      <c r="B5248" t="n">
        <v>90</v>
      </c>
      <c r="C5248" t="n">
        <v>7</v>
      </c>
      <c r="D5248" s="218" t="n">
        <v>87.97</v>
      </c>
      <c r="E5248" s="218" t="n">
        <v>2.84</v>
      </c>
      <c r="F5248" t="str">
        <v>https://re.jrc.ec.europa.eu/api/v5_3/PVcalc?lat=30.0444&amp;lon=31.2357&amp;peakpower=1&amp;loss=14&amp;angle=85&amp;aspect=-90&amp;outputformat=json&amp;raddatabase=PVGIS-SARAH3&amp;pvtechchoice=crystSi&amp;mountingplace=free&amp;usehorizon=1</v>
      </c>
    </row>
    <row r="5249">
      <c r="A5249" t="n">
        <v>85</v>
      </c>
      <c r="B5249" t="n">
        <v>90</v>
      </c>
      <c r="C5249" t="n">
        <v>8</v>
      </c>
      <c r="D5249" s="218" t="n">
        <v>85.37</v>
      </c>
      <c r="E5249" s="218" t="n">
        <v>2.75</v>
      </c>
      <c r="F5249" t="str">
        <v>https://re.jrc.ec.europa.eu/api/v5_3/PVcalc?lat=30.0444&amp;lon=31.2357&amp;peakpower=1&amp;loss=14&amp;angle=85&amp;aspect=-90&amp;outputformat=json&amp;raddatabase=PVGIS-SARAH3&amp;pvtechchoice=crystSi&amp;mountingplace=free&amp;usehorizon=1</v>
      </c>
    </row>
    <row r="5250">
      <c r="A5250" t="n">
        <v>85</v>
      </c>
      <c r="B5250" t="n">
        <v>90</v>
      </c>
      <c r="C5250" t="n">
        <v>9</v>
      </c>
      <c r="D5250" s="218" t="n">
        <v>74.21</v>
      </c>
      <c r="E5250" s="218" t="n">
        <v>2.47</v>
      </c>
      <c r="F5250" t="str">
        <v>https://re.jrc.ec.europa.eu/api/v5_3/PVcalc?lat=30.0444&amp;lon=31.2357&amp;peakpower=1&amp;loss=14&amp;angle=85&amp;aspect=-90&amp;outputformat=json&amp;raddatabase=PVGIS-SARAH3&amp;pvtechchoice=crystSi&amp;mountingplace=free&amp;usehorizon=1</v>
      </c>
    </row>
    <row r="5251">
      <c r="A5251" t="n">
        <v>85</v>
      </c>
      <c r="B5251" t="n">
        <v>90</v>
      </c>
      <c r="C5251" t="n">
        <v>10</v>
      </c>
      <c r="D5251" s="218" t="n">
        <v>68.8</v>
      </c>
      <c r="E5251" s="218" t="n">
        <v>2.22</v>
      </c>
      <c r="F5251" t="str">
        <v>https://re.jrc.ec.europa.eu/api/v5_3/PVcalc?lat=30.0444&amp;lon=31.2357&amp;peakpower=1&amp;loss=14&amp;angle=85&amp;aspect=-90&amp;outputformat=json&amp;raddatabase=PVGIS-SARAH3&amp;pvtechchoice=crystSi&amp;mountingplace=free&amp;usehorizon=1</v>
      </c>
    </row>
    <row r="5252">
      <c r="A5252" t="n">
        <v>85</v>
      </c>
      <c r="B5252" t="n">
        <v>90</v>
      </c>
      <c r="C5252" t="n">
        <v>11</v>
      </c>
      <c r="D5252" s="218" t="n">
        <v>57.94</v>
      </c>
      <c r="E5252" s="218" t="n">
        <v>1.93</v>
      </c>
      <c r="F5252" t="str">
        <v>https://re.jrc.ec.europa.eu/api/v5_3/PVcalc?lat=30.0444&amp;lon=31.2357&amp;peakpower=1&amp;loss=14&amp;angle=85&amp;aspect=-90&amp;outputformat=json&amp;raddatabase=PVGIS-SARAH3&amp;pvtechchoice=crystSi&amp;mountingplace=free&amp;usehorizon=1</v>
      </c>
    </row>
    <row r="5253">
      <c r="A5253" t="n">
        <v>85</v>
      </c>
      <c r="B5253" t="n">
        <v>90</v>
      </c>
      <c r="C5253" t="n">
        <v>12</v>
      </c>
      <c r="D5253" s="218" t="n">
        <v>52.74</v>
      </c>
      <c r="E5253" s="218" t="n">
        <v>1.7</v>
      </c>
      <c r="F5253" t="str">
        <v>https://re.jrc.ec.europa.eu/api/v5_3/PVcalc?lat=30.0444&amp;lon=31.2357&amp;peakpower=1&amp;loss=14&amp;angle=85&amp;aspect=-90&amp;outputformat=json&amp;raddatabase=PVGIS-SARAH3&amp;pvtechchoice=crystSi&amp;mountingplace=free&amp;usehorizon=1</v>
      </c>
    </row>
    <row r="5254">
      <c r="A5254" t="n">
        <v>85</v>
      </c>
      <c r="B5254" t="n">
        <v>105</v>
      </c>
      <c r="C5254" t="n">
        <v>1</v>
      </c>
      <c r="D5254" s="218" t="n">
        <v>70.16</v>
      </c>
      <c r="E5254" s="218" t="n">
        <v>2.26</v>
      </c>
      <c r="F5254" t="str">
        <v>https://re.jrc.ec.europa.eu/api/v5_3/PVcalc?lat=30.0444&amp;lon=31.2357&amp;peakpower=1&amp;loss=14&amp;angle=85&amp;aspect=-75&amp;outputformat=json&amp;raddatabase=PVGIS-SARAH3&amp;pvtechchoice=crystSi&amp;mountingplace=free&amp;usehorizon=1</v>
      </c>
    </row>
    <row r="5255">
      <c r="A5255" t="n">
        <v>85</v>
      </c>
      <c r="B5255" t="n">
        <v>105</v>
      </c>
      <c r="C5255" t="n">
        <v>2</v>
      </c>
      <c r="D5255" s="218" t="n">
        <v>72.8</v>
      </c>
      <c r="E5255" s="218" t="n">
        <v>2.6</v>
      </c>
      <c r="F5255" t="str">
        <v>https://re.jrc.ec.europa.eu/api/v5_3/PVcalc?lat=30.0444&amp;lon=31.2357&amp;peakpower=1&amp;loss=14&amp;angle=85&amp;aspect=-75&amp;outputformat=json&amp;raddatabase=PVGIS-SARAH3&amp;pvtechchoice=crystSi&amp;mountingplace=free&amp;usehorizon=1</v>
      </c>
    </row>
    <row r="5256">
      <c r="A5256" t="n">
        <v>85</v>
      </c>
      <c r="B5256" t="n">
        <v>105</v>
      </c>
      <c r="C5256" t="n">
        <v>3</v>
      </c>
      <c r="D5256" s="218" t="n">
        <v>87.12</v>
      </c>
      <c r="E5256" s="218" t="n">
        <v>2.81</v>
      </c>
      <c r="F5256" t="str">
        <v>https://re.jrc.ec.europa.eu/api/v5_3/PVcalc?lat=30.0444&amp;lon=31.2357&amp;peakpower=1&amp;loss=14&amp;angle=85&amp;aspect=-75&amp;outputformat=json&amp;raddatabase=PVGIS-SARAH3&amp;pvtechchoice=crystSi&amp;mountingplace=free&amp;usehorizon=1</v>
      </c>
    </row>
    <row r="5257">
      <c r="A5257" t="n">
        <v>85</v>
      </c>
      <c r="B5257" t="n">
        <v>105</v>
      </c>
      <c r="C5257" t="n">
        <v>4</v>
      </c>
      <c r="D5257" s="218" t="n">
        <v>86.62</v>
      </c>
      <c r="E5257" s="218" t="n">
        <v>2.89</v>
      </c>
      <c r="F5257" t="str">
        <v>https://re.jrc.ec.europa.eu/api/v5_3/PVcalc?lat=30.0444&amp;lon=31.2357&amp;peakpower=1&amp;loss=14&amp;angle=85&amp;aspect=-75&amp;outputformat=json&amp;raddatabase=PVGIS-SARAH3&amp;pvtechchoice=crystSi&amp;mountingplace=free&amp;usehorizon=1</v>
      </c>
    </row>
    <row r="5258">
      <c r="A5258" t="n">
        <v>85</v>
      </c>
      <c r="B5258" t="n">
        <v>105</v>
      </c>
      <c r="C5258" t="n">
        <v>5</v>
      </c>
      <c r="D5258" s="218" t="n">
        <v>90.11</v>
      </c>
      <c r="E5258" s="218" t="n">
        <v>2.91</v>
      </c>
      <c r="F5258" t="str">
        <v>https://re.jrc.ec.europa.eu/api/v5_3/PVcalc?lat=30.0444&amp;lon=31.2357&amp;peakpower=1&amp;loss=14&amp;angle=85&amp;aspect=-75&amp;outputformat=json&amp;raddatabase=PVGIS-SARAH3&amp;pvtechchoice=crystSi&amp;mountingplace=free&amp;usehorizon=1</v>
      </c>
    </row>
    <row r="5259">
      <c r="A5259" t="n">
        <v>85</v>
      </c>
      <c r="B5259" t="n">
        <v>105</v>
      </c>
      <c r="C5259" t="n">
        <v>6</v>
      </c>
      <c r="D5259" s="218" t="n">
        <v>86.64</v>
      </c>
      <c r="E5259" s="218" t="n">
        <v>2.89</v>
      </c>
      <c r="F5259" t="str">
        <v>https://re.jrc.ec.europa.eu/api/v5_3/PVcalc?lat=30.0444&amp;lon=31.2357&amp;peakpower=1&amp;loss=14&amp;angle=85&amp;aspect=-75&amp;outputformat=json&amp;raddatabase=PVGIS-SARAH3&amp;pvtechchoice=crystSi&amp;mountingplace=free&amp;usehorizon=1</v>
      </c>
    </row>
    <row r="5260">
      <c r="A5260" t="n">
        <v>85</v>
      </c>
      <c r="B5260" t="n">
        <v>105</v>
      </c>
      <c r="C5260" t="n">
        <v>7</v>
      </c>
      <c r="D5260" s="218" t="n">
        <v>87.29</v>
      </c>
      <c r="E5260" s="218" t="n">
        <v>2.82</v>
      </c>
      <c r="F5260" t="str">
        <v>https://re.jrc.ec.europa.eu/api/v5_3/PVcalc?lat=30.0444&amp;lon=31.2357&amp;peakpower=1&amp;loss=14&amp;angle=85&amp;aspect=-75&amp;outputformat=json&amp;raddatabase=PVGIS-SARAH3&amp;pvtechchoice=crystSi&amp;mountingplace=free&amp;usehorizon=1</v>
      </c>
    </row>
    <row r="5261">
      <c r="A5261" t="n">
        <v>85</v>
      </c>
      <c r="B5261" t="n">
        <v>105</v>
      </c>
      <c r="C5261" t="n">
        <v>8</v>
      </c>
      <c r="D5261" s="218" t="n">
        <v>88.45</v>
      </c>
      <c r="E5261" s="218" t="n">
        <v>2.85</v>
      </c>
      <c r="F5261" t="str">
        <v>https://re.jrc.ec.europa.eu/api/v5_3/PVcalc?lat=30.0444&amp;lon=31.2357&amp;peakpower=1&amp;loss=14&amp;angle=85&amp;aspect=-75&amp;outputformat=json&amp;raddatabase=PVGIS-SARAH3&amp;pvtechchoice=crystSi&amp;mountingplace=free&amp;usehorizon=1</v>
      </c>
    </row>
    <row r="5262">
      <c r="A5262" t="n">
        <v>85</v>
      </c>
      <c r="B5262" t="n">
        <v>105</v>
      </c>
      <c r="C5262" t="n">
        <v>9</v>
      </c>
      <c r="D5262" s="218" t="n">
        <v>82.9</v>
      </c>
      <c r="E5262" s="218" t="n">
        <v>2.76</v>
      </c>
      <c r="F5262" t="str">
        <v>https://re.jrc.ec.europa.eu/api/v5_3/PVcalc?lat=30.0444&amp;lon=31.2357&amp;peakpower=1&amp;loss=14&amp;angle=85&amp;aspect=-75&amp;outputformat=json&amp;raddatabase=PVGIS-SARAH3&amp;pvtechchoice=crystSi&amp;mountingplace=free&amp;usehorizon=1</v>
      </c>
    </row>
    <row r="5263">
      <c r="A5263" t="n">
        <v>85</v>
      </c>
      <c r="B5263" t="n">
        <v>105</v>
      </c>
      <c r="C5263" t="n">
        <v>10</v>
      </c>
      <c r="D5263" s="218" t="n">
        <v>82.11</v>
      </c>
      <c r="E5263" s="218" t="n">
        <v>2.65</v>
      </c>
      <c r="F5263" t="str">
        <v>https://re.jrc.ec.europa.eu/api/v5_3/PVcalc?lat=30.0444&amp;lon=31.2357&amp;peakpower=1&amp;loss=14&amp;angle=85&amp;aspect=-75&amp;outputformat=json&amp;raddatabase=PVGIS-SARAH3&amp;pvtechchoice=crystSi&amp;mountingplace=free&amp;usehorizon=1</v>
      </c>
    </row>
    <row r="5264">
      <c r="A5264" t="n">
        <v>85</v>
      </c>
      <c r="B5264" t="n">
        <v>105</v>
      </c>
      <c r="C5264" t="n">
        <v>11</v>
      </c>
      <c r="D5264" s="218" t="n">
        <v>73.77</v>
      </c>
      <c r="E5264" s="218" t="n">
        <v>2.46</v>
      </c>
      <c r="F5264" t="str">
        <v>https://re.jrc.ec.europa.eu/api/v5_3/PVcalc?lat=30.0444&amp;lon=31.2357&amp;peakpower=1&amp;loss=14&amp;angle=85&amp;aspect=-75&amp;outputformat=json&amp;raddatabase=PVGIS-SARAH3&amp;pvtechchoice=crystSi&amp;mountingplace=free&amp;usehorizon=1</v>
      </c>
    </row>
    <row r="5265">
      <c r="A5265" t="n">
        <v>85</v>
      </c>
      <c r="B5265" t="n">
        <v>105</v>
      </c>
      <c r="C5265" t="n">
        <v>12</v>
      </c>
      <c r="D5265" s="218" t="n">
        <v>69.9</v>
      </c>
      <c r="E5265" s="218" t="n">
        <v>2.25</v>
      </c>
      <c r="F5265" t="str">
        <v>https://re.jrc.ec.europa.eu/api/v5_3/PVcalc?lat=30.0444&amp;lon=31.2357&amp;peakpower=1&amp;loss=14&amp;angle=85&amp;aspect=-75&amp;outputformat=json&amp;raddatabase=PVGIS-SARAH3&amp;pvtechchoice=crystSi&amp;mountingplace=free&amp;usehorizon=1</v>
      </c>
    </row>
    <row r="5266">
      <c r="A5266" t="n">
        <v>85</v>
      </c>
      <c r="B5266" t="n">
        <v>120</v>
      </c>
      <c r="C5266" t="n">
        <v>1</v>
      </c>
      <c r="D5266" s="218" t="n">
        <v>85.6</v>
      </c>
      <c r="E5266" s="218" t="n">
        <v>2.76</v>
      </c>
      <c r="F5266" t="str">
        <v>https://re.jrc.ec.europa.eu/api/v5_3/PVcalc?lat=30.0444&amp;lon=31.2357&amp;peakpower=1&amp;loss=14&amp;angle=85&amp;aspect=-60&amp;outputformat=json&amp;raddatabase=PVGIS-SARAH3&amp;pvtechchoice=crystSi&amp;mountingplace=free&amp;usehorizon=1</v>
      </c>
    </row>
    <row r="5267">
      <c r="A5267" t="n">
        <v>85</v>
      </c>
      <c r="B5267" t="n">
        <v>120</v>
      </c>
      <c r="C5267" t="n">
        <v>2</v>
      </c>
      <c r="D5267" s="218" t="n">
        <v>84.14</v>
      </c>
      <c r="E5267" s="218" t="n">
        <v>3.01</v>
      </c>
      <c r="F5267" t="str">
        <v>https://re.jrc.ec.europa.eu/api/v5_3/PVcalc?lat=30.0444&amp;lon=31.2357&amp;peakpower=1&amp;loss=14&amp;angle=85&amp;aspect=-60&amp;outputformat=json&amp;raddatabase=PVGIS-SARAH3&amp;pvtechchoice=crystSi&amp;mountingplace=free&amp;usehorizon=1</v>
      </c>
    </row>
    <row r="5268">
      <c r="A5268" t="n">
        <v>85</v>
      </c>
      <c r="B5268" t="n">
        <v>120</v>
      </c>
      <c r="C5268" t="n">
        <v>3</v>
      </c>
      <c r="D5268" s="218" t="n">
        <v>95.45</v>
      </c>
      <c r="E5268" s="218" t="n">
        <v>3.08</v>
      </c>
      <c r="F5268" t="str">
        <v>https://re.jrc.ec.europa.eu/api/v5_3/PVcalc?lat=30.0444&amp;lon=31.2357&amp;peakpower=1&amp;loss=14&amp;angle=85&amp;aspect=-60&amp;outputformat=json&amp;raddatabase=PVGIS-SARAH3&amp;pvtechchoice=crystSi&amp;mountingplace=free&amp;usehorizon=1</v>
      </c>
    </row>
    <row r="5269">
      <c r="A5269" t="n">
        <v>85</v>
      </c>
      <c r="B5269" t="n">
        <v>120</v>
      </c>
      <c r="C5269" t="n">
        <v>4</v>
      </c>
      <c r="D5269" s="218" t="n">
        <v>88.44</v>
      </c>
      <c r="E5269" s="218" t="n">
        <v>2.95</v>
      </c>
      <c r="F5269" t="str">
        <v>https://re.jrc.ec.europa.eu/api/v5_3/PVcalc?lat=30.0444&amp;lon=31.2357&amp;peakpower=1&amp;loss=14&amp;angle=85&amp;aspect=-60&amp;outputformat=json&amp;raddatabase=PVGIS-SARAH3&amp;pvtechchoice=crystSi&amp;mountingplace=free&amp;usehorizon=1</v>
      </c>
    </row>
    <row r="5270">
      <c r="A5270" t="n">
        <v>85</v>
      </c>
      <c r="B5270" t="n">
        <v>120</v>
      </c>
      <c r="C5270" t="n">
        <v>5</v>
      </c>
      <c r="D5270" s="218" t="n">
        <v>86.93</v>
      </c>
      <c r="E5270" s="218" t="n">
        <v>2.8</v>
      </c>
      <c r="F5270" t="str">
        <v>https://re.jrc.ec.europa.eu/api/v5_3/PVcalc?lat=30.0444&amp;lon=31.2357&amp;peakpower=1&amp;loss=14&amp;angle=85&amp;aspect=-60&amp;outputformat=json&amp;raddatabase=PVGIS-SARAH3&amp;pvtechchoice=crystSi&amp;mountingplace=free&amp;usehorizon=1</v>
      </c>
    </row>
    <row r="5271">
      <c r="A5271" t="n">
        <v>85</v>
      </c>
      <c r="B5271" t="n">
        <v>120</v>
      </c>
      <c r="C5271" t="n">
        <v>6</v>
      </c>
      <c r="D5271" s="218" t="n">
        <v>81.02</v>
      </c>
      <c r="E5271" s="218" t="n">
        <v>2.7</v>
      </c>
      <c r="F5271" t="str">
        <v>https://re.jrc.ec.europa.eu/api/v5_3/PVcalc?lat=30.0444&amp;lon=31.2357&amp;peakpower=1&amp;loss=14&amp;angle=85&amp;aspect=-60&amp;outputformat=json&amp;raddatabase=PVGIS-SARAH3&amp;pvtechchoice=crystSi&amp;mountingplace=free&amp;usehorizon=1</v>
      </c>
    </row>
    <row r="5272">
      <c r="A5272" t="n">
        <v>85</v>
      </c>
      <c r="B5272" t="n">
        <v>120</v>
      </c>
      <c r="C5272" t="n">
        <v>7</v>
      </c>
      <c r="D5272" s="218" t="n">
        <v>82.95</v>
      </c>
      <c r="E5272" s="218" t="n">
        <v>2.68</v>
      </c>
      <c r="F5272" t="str">
        <v>https://re.jrc.ec.europa.eu/api/v5_3/PVcalc?lat=30.0444&amp;lon=31.2357&amp;peakpower=1&amp;loss=14&amp;angle=85&amp;aspect=-60&amp;outputformat=json&amp;raddatabase=PVGIS-SARAH3&amp;pvtechchoice=crystSi&amp;mountingplace=free&amp;usehorizon=1</v>
      </c>
    </row>
    <row r="5273">
      <c r="A5273" t="n">
        <v>85</v>
      </c>
      <c r="B5273" t="n">
        <v>120</v>
      </c>
      <c r="C5273" t="n">
        <v>8</v>
      </c>
      <c r="D5273" s="218" t="n">
        <v>88.06</v>
      </c>
      <c r="E5273" s="218" t="n">
        <v>2.84</v>
      </c>
      <c r="F5273" t="str">
        <v>https://re.jrc.ec.europa.eu/api/v5_3/PVcalc?lat=30.0444&amp;lon=31.2357&amp;peakpower=1&amp;loss=14&amp;angle=85&amp;aspect=-60&amp;outputformat=json&amp;raddatabase=PVGIS-SARAH3&amp;pvtechchoice=crystSi&amp;mountingplace=free&amp;usehorizon=1</v>
      </c>
    </row>
    <row r="5274">
      <c r="A5274" t="n">
        <v>85</v>
      </c>
      <c r="B5274" t="n">
        <v>120</v>
      </c>
      <c r="C5274" t="n">
        <v>9</v>
      </c>
      <c r="D5274" s="218" t="n">
        <v>88.52</v>
      </c>
      <c r="E5274" s="218" t="n">
        <v>2.95</v>
      </c>
      <c r="F5274" t="str">
        <v>https://re.jrc.ec.europa.eu/api/v5_3/PVcalc?lat=30.0444&amp;lon=31.2357&amp;peakpower=1&amp;loss=14&amp;angle=85&amp;aspect=-60&amp;outputformat=json&amp;raddatabase=PVGIS-SARAH3&amp;pvtechchoice=crystSi&amp;mountingplace=free&amp;usehorizon=1</v>
      </c>
    </row>
    <row r="5275">
      <c r="A5275" t="n">
        <v>85</v>
      </c>
      <c r="B5275" t="n">
        <v>120</v>
      </c>
      <c r="C5275" t="n">
        <v>10</v>
      </c>
      <c r="D5275" s="218" t="n">
        <v>93.72</v>
      </c>
      <c r="E5275" s="218" t="n">
        <v>3.02</v>
      </c>
      <c r="F5275" t="str">
        <v>https://re.jrc.ec.europa.eu/api/v5_3/PVcalc?lat=30.0444&amp;lon=31.2357&amp;peakpower=1&amp;loss=14&amp;angle=85&amp;aspect=-60&amp;outputformat=json&amp;raddatabase=PVGIS-SARAH3&amp;pvtechchoice=crystSi&amp;mountingplace=free&amp;usehorizon=1</v>
      </c>
    </row>
    <row r="5276">
      <c r="A5276" t="n">
        <v>85</v>
      </c>
      <c r="B5276" t="n">
        <v>120</v>
      </c>
      <c r="C5276" t="n">
        <v>11</v>
      </c>
      <c r="D5276" s="218" t="n">
        <v>88.85</v>
      </c>
      <c r="E5276" s="218" t="n">
        <v>2.96</v>
      </c>
      <c r="F5276" t="str">
        <v>https://re.jrc.ec.europa.eu/api/v5_3/PVcalc?lat=30.0444&amp;lon=31.2357&amp;peakpower=1&amp;loss=14&amp;angle=85&amp;aspect=-60&amp;outputformat=json&amp;raddatabase=PVGIS-SARAH3&amp;pvtechchoice=crystSi&amp;mountingplace=free&amp;usehorizon=1</v>
      </c>
    </row>
    <row r="5277">
      <c r="A5277" t="n">
        <v>85</v>
      </c>
      <c r="B5277" t="n">
        <v>120</v>
      </c>
      <c r="C5277" t="n">
        <v>12</v>
      </c>
      <c r="D5277" s="218" t="n">
        <v>87</v>
      </c>
      <c r="E5277" s="218" t="n">
        <v>2.81</v>
      </c>
      <c r="F5277" t="str">
        <v>https://re.jrc.ec.europa.eu/api/v5_3/PVcalc?lat=30.0444&amp;lon=31.2357&amp;peakpower=1&amp;loss=14&amp;angle=85&amp;aspect=-60&amp;outputformat=json&amp;raddatabase=PVGIS-SARAH3&amp;pvtechchoice=crystSi&amp;mountingplace=free&amp;usehorizon=1</v>
      </c>
    </row>
    <row r="5278">
      <c r="A5278" t="n">
        <v>85</v>
      </c>
      <c r="B5278" t="n">
        <v>135</v>
      </c>
      <c r="C5278" t="n">
        <v>1</v>
      </c>
      <c r="D5278" s="218" t="n">
        <v>100.9</v>
      </c>
      <c r="E5278" s="218" t="n">
        <v>3.25</v>
      </c>
      <c r="F5278" t="str">
        <v>https://re.jrc.ec.europa.eu/api/v5_3/PVcalc?lat=30.0444&amp;lon=31.2357&amp;peakpower=1&amp;loss=14&amp;angle=85&amp;aspect=-45&amp;outputformat=json&amp;raddatabase=PVGIS-SARAH3&amp;pvtechchoice=crystSi&amp;mountingplace=free&amp;usehorizon=1</v>
      </c>
    </row>
    <row r="5279">
      <c r="A5279" t="n">
        <v>85</v>
      </c>
      <c r="B5279" t="n">
        <v>135</v>
      </c>
      <c r="C5279" t="n">
        <v>2</v>
      </c>
      <c r="D5279" s="218" t="n">
        <v>93.87</v>
      </c>
      <c r="E5279" s="218" t="n">
        <v>3.35</v>
      </c>
      <c r="F5279" t="str">
        <v>https://re.jrc.ec.europa.eu/api/v5_3/PVcalc?lat=30.0444&amp;lon=31.2357&amp;peakpower=1&amp;loss=14&amp;angle=85&amp;aspect=-45&amp;outputformat=json&amp;raddatabase=PVGIS-SARAH3&amp;pvtechchoice=crystSi&amp;mountingplace=free&amp;usehorizon=1</v>
      </c>
    </row>
    <row r="5280">
      <c r="A5280" t="n">
        <v>85</v>
      </c>
      <c r="B5280" t="n">
        <v>135</v>
      </c>
      <c r="C5280" t="n">
        <v>3</v>
      </c>
      <c r="D5280" s="218" t="n">
        <v>101.1</v>
      </c>
      <c r="E5280" s="218" t="n">
        <v>3.26</v>
      </c>
      <c r="F5280" t="str">
        <v>https://re.jrc.ec.europa.eu/api/v5_3/PVcalc?lat=30.0444&amp;lon=31.2357&amp;peakpower=1&amp;loss=14&amp;angle=85&amp;aspect=-45&amp;outputformat=json&amp;raddatabase=PVGIS-SARAH3&amp;pvtechchoice=crystSi&amp;mountingplace=free&amp;usehorizon=1</v>
      </c>
    </row>
    <row r="5281">
      <c r="A5281" t="n">
        <v>85</v>
      </c>
      <c r="B5281" t="n">
        <v>135</v>
      </c>
      <c r="C5281" t="n">
        <v>4</v>
      </c>
      <c r="D5281" s="218" t="n">
        <v>88.42</v>
      </c>
      <c r="E5281" s="218" t="n">
        <v>2.95</v>
      </c>
      <c r="F5281" t="str">
        <v>https://re.jrc.ec.europa.eu/api/v5_3/PVcalc?lat=30.0444&amp;lon=31.2357&amp;peakpower=1&amp;loss=14&amp;angle=85&amp;aspect=-45&amp;outputformat=json&amp;raddatabase=PVGIS-SARAH3&amp;pvtechchoice=crystSi&amp;mountingplace=free&amp;usehorizon=1</v>
      </c>
    </row>
    <row r="5282">
      <c r="A5282" t="n">
        <v>85</v>
      </c>
      <c r="B5282" t="n">
        <v>135</v>
      </c>
      <c r="C5282" t="n">
        <v>5</v>
      </c>
      <c r="D5282" s="218" t="n">
        <v>80.43</v>
      </c>
      <c r="E5282" s="218" t="n">
        <v>2.59</v>
      </c>
      <c r="F5282" t="str">
        <v>https://re.jrc.ec.europa.eu/api/v5_3/PVcalc?lat=30.0444&amp;lon=31.2357&amp;peakpower=1&amp;loss=14&amp;angle=85&amp;aspect=-45&amp;outputformat=json&amp;raddatabase=PVGIS-SARAH3&amp;pvtechchoice=crystSi&amp;mountingplace=free&amp;usehorizon=1</v>
      </c>
    </row>
    <row r="5283">
      <c r="A5283" t="n">
        <v>85</v>
      </c>
      <c r="B5283" t="n">
        <v>135</v>
      </c>
      <c r="C5283" t="n">
        <v>6</v>
      </c>
      <c r="D5283" s="218" t="n">
        <v>71.66</v>
      </c>
      <c r="E5283" s="218" t="n">
        <v>2.39</v>
      </c>
      <c r="F5283" t="str">
        <v>https://re.jrc.ec.europa.eu/api/v5_3/PVcalc?lat=30.0444&amp;lon=31.2357&amp;peakpower=1&amp;loss=14&amp;angle=85&amp;aspect=-45&amp;outputformat=json&amp;raddatabase=PVGIS-SARAH3&amp;pvtechchoice=crystSi&amp;mountingplace=free&amp;usehorizon=1</v>
      </c>
    </row>
    <row r="5284">
      <c r="A5284" t="n">
        <v>85</v>
      </c>
      <c r="B5284" t="n">
        <v>135</v>
      </c>
      <c r="C5284" t="n">
        <v>7</v>
      </c>
      <c r="D5284" s="218" t="n">
        <v>75.15</v>
      </c>
      <c r="E5284" s="218" t="n">
        <v>2.42</v>
      </c>
      <c r="F5284" t="str">
        <v>https://re.jrc.ec.europa.eu/api/v5_3/PVcalc?lat=30.0444&amp;lon=31.2357&amp;peakpower=1&amp;loss=14&amp;angle=85&amp;aspect=-45&amp;outputformat=json&amp;raddatabase=PVGIS-SARAH3&amp;pvtechchoice=crystSi&amp;mountingplace=free&amp;usehorizon=1</v>
      </c>
    </row>
    <row r="5285">
      <c r="A5285" t="n">
        <v>85</v>
      </c>
      <c r="B5285" t="n">
        <v>135</v>
      </c>
      <c r="C5285" t="n">
        <v>8</v>
      </c>
      <c r="D5285" s="218" t="n">
        <v>85.73</v>
      </c>
      <c r="E5285" s="218" t="n">
        <v>2.77</v>
      </c>
      <c r="F5285" t="str">
        <v>https://re.jrc.ec.europa.eu/api/v5_3/PVcalc?lat=30.0444&amp;lon=31.2357&amp;peakpower=1&amp;loss=14&amp;angle=85&amp;aspect=-45&amp;outputformat=json&amp;raddatabase=PVGIS-SARAH3&amp;pvtechchoice=crystSi&amp;mountingplace=free&amp;usehorizon=1</v>
      </c>
    </row>
    <row r="5286">
      <c r="A5286" t="n">
        <v>85</v>
      </c>
      <c r="B5286" t="n">
        <v>135</v>
      </c>
      <c r="C5286" t="n">
        <v>9</v>
      </c>
      <c r="D5286" s="218" t="n">
        <v>92.76</v>
      </c>
      <c r="E5286" s="218" t="n">
        <v>3.09</v>
      </c>
      <c r="F5286" t="str">
        <v>https://re.jrc.ec.europa.eu/api/v5_3/PVcalc?lat=30.0444&amp;lon=31.2357&amp;peakpower=1&amp;loss=14&amp;angle=85&amp;aspect=-45&amp;outputformat=json&amp;raddatabase=PVGIS-SARAH3&amp;pvtechchoice=crystSi&amp;mountingplace=free&amp;usehorizon=1</v>
      </c>
    </row>
    <row r="5287">
      <c r="A5287" t="n">
        <v>85</v>
      </c>
      <c r="B5287" t="n">
        <v>135</v>
      </c>
      <c r="C5287" t="n">
        <v>10</v>
      </c>
      <c r="D5287" s="218" t="n">
        <v>103.31</v>
      </c>
      <c r="E5287" s="218" t="n">
        <v>3.33</v>
      </c>
      <c r="F5287" t="str">
        <v>https://re.jrc.ec.europa.eu/api/v5_3/PVcalc?lat=30.0444&amp;lon=31.2357&amp;peakpower=1&amp;loss=14&amp;angle=85&amp;aspect=-45&amp;outputformat=json&amp;raddatabase=PVGIS-SARAH3&amp;pvtechchoice=crystSi&amp;mountingplace=free&amp;usehorizon=1</v>
      </c>
    </row>
    <row r="5288">
      <c r="A5288" t="n">
        <v>85</v>
      </c>
      <c r="B5288" t="n">
        <v>135</v>
      </c>
      <c r="C5288" t="n">
        <v>11</v>
      </c>
      <c r="D5288" s="218" t="n">
        <v>103.04</v>
      </c>
      <c r="E5288" s="218" t="n">
        <v>3.43</v>
      </c>
      <c r="F5288" t="str">
        <v>https://re.jrc.ec.europa.eu/api/v5_3/PVcalc?lat=30.0444&amp;lon=31.2357&amp;peakpower=1&amp;loss=14&amp;angle=85&amp;aspect=-45&amp;outputformat=json&amp;raddatabase=PVGIS-SARAH3&amp;pvtechchoice=crystSi&amp;mountingplace=free&amp;usehorizon=1</v>
      </c>
    </row>
    <row r="5289">
      <c r="A5289" t="n">
        <v>85</v>
      </c>
      <c r="B5289" t="n">
        <v>135</v>
      </c>
      <c r="C5289" t="n">
        <v>12</v>
      </c>
      <c r="D5289" s="218" t="n">
        <v>103.48</v>
      </c>
      <c r="E5289" s="218" t="n">
        <v>3.34</v>
      </c>
      <c r="F5289" t="str">
        <v>https://re.jrc.ec.europa.eu/api/v5_3/PVcalc?lat=30.0444&amp;lon=31.2357&amp;peakpower=1&amp;loss=14&amp;angle=85&amp;aspect=-45&amp;outputformat=json&amp;raddatabase=PVGIS-SARAH3&amp;pvtechchoice=crystSi&amp;mountingplace=free&amp;usehorizon=1</v>
      </c>
    </row>
    <row r="5290">
      <c r="A5290" t="n">
        <v>85</v>
      </c>
      <c r="B5290" t="n">
        <v>150</v>
      </c>
      <c r="C5290" t="n">
        <v>1</v>
      </c>
      <c r="D5290" s="218" t="n">
        <v>114.65</v>
      </c>
      <c r="E5290" s="218" t="n">
        <v>3.7</v>
      </c>
      <c r="F5290" t="str">
        <v>https://re.jrc.ec.europa.eu/api/v5_3/PVcalc?lat=30.0444&amp;lon=31.2357&amp;peakpower=1&amp;loss=14&amp;angle=85&amp;aspect=-30&amp;outputformat=json&amp;raddatabase=PVGIS-SARAH3&amp;pvtechchoice=crystSi&amp;mountingplace=free&amp;usehorizon=1</v>
      </c>
    </row>
    <row r="5291">
      <c r="A5291" t="n">
        <v>85</v>
      </c>
      <c r="B5291" t="n">
        <v>150</v>
      </c>
      <c r="C5291" t="n">
        <v>2</v>
      </c>
      <c r="D5291" s="218" t="n">
        <v>102.28</v>
      </c>
      <c r="E5291" s="218" t="n">
        <v>3.65</v>
      </c>
      <c r="F5291" t="str">
        <v>https://re.jrc.ec.europa.eu/api/v5_3/PVcalc?lat=30.0444&amp;lon=31.2357&amp;peakpower=1&amp;loss=14&amp;angle=85&amp;aspect=-30&amp;outputformat=json&amp;raddatabase=PVGIS-SARAH3&amp;pvtechchoice=crystSi&amp;mountingplace=free&amp;usehorizon=1</v>
      </c>
    </row>
    <row r="5292">
      <c r="A5292" t="n">
        <v>85</v>
      </c>
      <c r="B5292" t="n">
        <v>150</v>
      </c>
      <c r="C5292" t="n">
        <v>3</v>
      </c>
      <c r="D5292" s="218" t="n">
        <v>105.38</v>
      </c>
      <c r="E5292" s="218" t="n">
        <v>3.4</v>
      </c>
      <c r="F5292" t="str">
        <v>https://re.jrc.ec.europa.eu/api/v5_3/PVcalc?lat=30.0444&amp;lon=31.2357&amp;peakpower=1&amp;loss=14&amp;angle=85&amp;aspect=-30&amp;outputformat=json&amp;raddatabase=PVGIS-SARAH3&amp;pvtechchoice=crystSi&amp;mountingplace=free&amp;usehorizon=1</v>
      </c>
    </row>
    <row r="5293">
      <c r="A5293" t="n">
        <v>85</v>
      </c>
      <c r="B5293" t="n">
        <v>150</v>
      </c>
      <c r="C5293" t="n">
        <v>4</v>
      </c>
      <c r="D5293" s="218" t="n">
        <v>85.78</v>
      </c>
      <c r="E5293" s="218" t="n">
        <v>2.86</v>
      </c>
      <c r="F5293" t="str">
        <v>https://re.jrc.ec.europa.eu/api/v5_3/PVcalc?lat=30.0444&amp;lon=31.2357&amp;peakpower=1&amp;loss=14&amp;angle=85&amp;aspect=-30&amp;outputformat=json&amp;raddatabase=PVGIS-SARAH3&amp;pvtechchoice=crystSi&amp;mountingplace=free&amp;usehorizon=1</v>
      </c>
    </row>
    <row r="5294">
      <c r="A5294" t="n">
        <v>85</v>
      </c>
      <c r="B5294" t="n">
        <v>150</v>
      </c>
      <c r="C5294" t="n">
        <v>5</v>
      </c>
      <c r="D5294" s="218" t="n">
        <v>71.83</v>
      </c>
      <c r="E5294" s="218" t="n">
        <v>2.32</v>
      </c>
      <c r="F5294" t="str">
        <v>https://re.jrc.ec.europa.eu/api/v5_3/PVcalc?lat=30.0444&amp;lon=31.2357&amp;peakpower=1&amp;loss=14&amp;angle=85&amp;aspect=-30&amp;outputformat=json&amp;raddatabase=PVGIS-SARAH3&amp;pvtechchoice=crystSi&amp;mountingplace=free&amp;usehorizon=1</v>
      </c>
    </row>
    <row r="5295">
      <c r="A5295" t="n">
        <v>85</v>
      </c>
      <c r="B5295" t="n">
        <v>150</v>
      </c>
      <c r="C5295" t="n">
        <v>6</v>
      </c>
      <c r="D5295" s="218" t="n">
        <v>60.2</v>
      </c>
      <c r="E5295" s="218" t="n">
        <v>2.01</v>
      </c>
      <c r="F5295" t="str">
        <v>https://re.jrc.ec.europa.eu/api/v5_3/PVcalc?lat=30.0444&amp;lon=31.2357&amp;peakpower=1&amp;loss=14&amp;angle=85&amp;aspect=-30&amp;outputformat=json&amp;raddatabase=PVGIS-SARAH3&amp;pvtechchoice=crystSi&amp;mountingplace=free&amp;usehorizon=1</v>
      </c>
    </row>
    <row r="5296">
      <c r="A5296" t="n">
        <v>85</v>
      </c>
      <c r="B5296" t="n">
        <v>150</v>
      </c>
      <c r="C5296" t="n">
        <v>7</v>
      </c>
      <c r="D5296" s="218" t="n">
        <v>64.98</v>
      </c>
      <c r="E5296" s="218" t="n">
        <v>2.1</v>
      </c>
      <c r="F5296" t="str">
        <v>https://re.jrc.ec.europa.eu/api/v5_3/PVcalc?lat=30.0444&amp;lon=31.2357&amp;peakpower=1&amp;loss=14&amp;angle=85&amp;aspect=-30&amp;outputformat=json&amp;raddatabase=PVGIS-SARAH3&amp;pvtechchoice=crystSi&amp;mountingplace=free&amp;usehorizon=1</v>
      </c>
    </row>
    <row r="5297">
      <c r="A5297" t="n">
        <v>85</v>
      </c>
      <c r="B5297" t="n">
        <v>150</v>
      </c>
      <c r="C5297" t="n">
        <v>8</v>
      </c>
      <c r="D5297" s="218" t="n">
        <v>79.76</v>
      </c>
      <c r="E5297" s="218" t="n">
        <v>2.57</v>
      </c>
      <c r="F5297" t="str">
        <v>https://re.jrc.ec.europa.eu/api/v5_3/PVcalc?lat=30.0444&amp;lon=31.2357&amp;peakpower=1&amp;loss=14&amp;angle=85&amp;aspect=-30&amp;outputformat=json&amp;raddatabase=PVGIS-SARAH3&amp;pvtechchoice=crystSi&amp;mountingplace=free&amp;usehorizon=1</v>
      </c>
    </row>
    <row r="5298">
      <c r="A5298" t="n">
        <v>85</v>
      </c>
      <c r="B5298" t="n">
        <v>150</v>
      </c>
      <c r="C5298" t="n">
        <v>9</v>
      </c>
      <c r="D5298" s="218" t="n">
        <v>95.14</v>
      </c>
      <c r="E5298" s="218" t="n">
        <v>3.17</v>
      </c>
      <c r="F5298" t="str">
        <v>https://re.jrc.ec.europa.eu/api/v5_3/PVcalc?lat=30.0444&amp;lon=31.2357&amp;peakpower=1&amp;loss=14&amp;angle=85&amp;aspect=-30&amp;outputformat=json&amp;raddatabase=PVGIS-SARAH3&amp;pvtechchoice=crystSi&amp;mountingplace=free&amp;usehorizon=1</v>
      </c>
    </row>
    <row r="5299">
      <c r="A5299" t="n">
        <v>85</v>
      </c>
      <c r="B5299" t="n">
        <v>150</v>
      </c>
      <c r="C5299" t="n">
        <v>10</v>
      </c>
      <c r="D5299" s="218" t="n">
        <v>112.19</v>
      </c>
      <c r="E5299" s="218" t="n">
        <v>3.62</v>
      </c>
      <c r="F5299" t="str">
        <v>https://re.jrc.ec.europa.eu/api/v5_3/PVcalc?lat=30.0444&amp;lon=31.2357&amp;peakpower=1&amp;loss=14&amp;angle=85&amp;aspect=-30&amp;outputformat=json&amp;raddatabase=PVGIS-SARAH3&amp;pvtechchoice=crystSi&amp;mountingplace=free&amp;usehorizon=1</v>
      </c>
    </row>
    <row r="5300">
      <c r="A5300" t="n">
        <v>85</v>
      </c>
      <c r="B5300" t="n">
        <v>150</v>
      </c>
      <c r="C5300" t="n">
        <v>11</v>
      </c>
      <c r="D5300" s="218" t="n">
        <v>116.27</v>
      </c>
      <c r="E5300" s="218" t="n">
        <v>3.88</v>
      </c>
      <c r="F5300" t="str">
        <v>https://re.jrc.ec.europa.eu/api/v5_3/PVcalc?lat=30.0444&amp;lon=31.2357&amp;peakpower=1&amp;loss=14&amp;angle=85&amp;aspect=-30&amp;outputformat=json&amp;raddatabase=PVGIS-SARAH3&amp;pvtechchoice=crystSi&amp;mountingplace=free&amp;usehorizon=1</v>
      </c>
    </row>
    <row r="5301">
      <c r="A5301" t="n">
        <v>85</v>
      </c>
      <c r="B5301" t="n">
        <v>150</v>
      </c>
      <c r="C5301" t="n">
        <v>12</v>
      </c>
      <c r="D5301" s="218" t="n">
        <v>118.63</v>
      </c>
      <c r="E5301" s="218" t="n">
        <v>3.83</v>
      </c>
      <c r="F5301" t="str">
        <v>https://re.jrc.ec.europa.eu/api/v5_3/PVcalc?lat=30.0444&amp;lon=31.2357&amp;peakpower=1&amp;loss=14&amp;angle=85&amp;aspect=-30&amp;outputformat=json&amp;raddatabase=PVGIS-SARAH3&amp;pvtechchoice=crystSi&amp;mountingplace=free&amp;usehorizon=1</v>
      </c>
    </row>
    <row r="5302">
      <c r="A5302" t="n">
        <v>85</v>
      </c>
      <c r="B5302" t="n">
        <v>165</v>
      </c>
      <c r="C5302" t="n">
        <v>1</v>
      </c>
      <c r="D5302" s="218" t="n">
        <v>124.9</v>
      </c>
      <c r="E5302" s="218" t="n">
        <v>4.03</v>
      </c>
      <c r="F5302" t="str">
        <v>https://re.jrc.ec.europa.eu/api/v5_3/PVcalc?lat=30.0444&amp;lon=31.2357&amp;peakpower=1&amp;loss=14&amp;angle=85&amp;aspect=-15&amp;outputformat=json&amp;raddatabase=PVGIS-SARAH3&amp;pvtechchoice=crystSi&amp;mountingplace=free&amp;usehorizon=1</v>
      </c>
    </row>
    <row r="5303">
      <c r="A5303" t="n">
        <v>85</v>
      </c>
      <c r="B5303" t="n">
        <v>165</v>
      </c>
      <c r="C5303" t="n">
        <v>2</v>
      </c>
      <c r="D5303" s="218" t="n">
        <v>108.96</v>
      </c>
      <c r="E5303" s="218" t="n">
        <v>3.89</v>
      </c>
      <c r="F5303" t="str">
        <v>https://re.jrc.ec.europa.eu/api/v5_3/PVcalc?lat=30.0444&amp;lon=31.2357&amp;peakpower=1&amp;loss=14&amp;angle=85&amp;aspect=-15&amp;outputformat=json&amp;raddatabase=PVGIS-SARAH3&amp;pvtechchoice=crystSi&amp;mountingplace=free&amp;usehorizon=1</v>
      </c>
    </row>
    <row r="5304">
      <c r="A5304" t="n">
        <v>85</v>
      </c>
      <c r="B5304" t="n">
        <v>165</v>
      </c>
      <c r="C5304" t="n">
        <v>3</v>
      </c>
      <c r="D5304" s="218" t="n">
        <v>108.83</v>
      </c>
      <c r="E5304" s="218" t="n">
        <v>3.51</v>
      </c>
      <c r="F5304" t="str">
        <v>https://re.jrc.ec.europa.eu/api/v5_3/PVcalc?lat=30.0444&amp;lon=31.2357&amp;peakpower=1&amp;loss=14&amp;angle=85&amp;aspect=-15&amp;outputformat=json&amp;raddatabase=PVGIS-SARAH3&amp;pvtechchoice=crystSi&amp;mountingplace=free&amp;usehorizon=1</v>
      </c>
    </row>
    <row r="5305">
      <c r="A5305" t="n">
        <v>85</v>
      </c>
      <c r="B5305" t="n">
        <v>165</v>
      </c>
      <c r="C5305" t="n">
        <v>4</v>
      </c>
      <c r="D5305" s="218" t="n">
        <v>82.23</v>
      </c>
      <c r="E5305" s="218" t="n">
        <v>2.74</v>
      </c>
      <c r="F5305" t="str">
        <v>https://re.jrc.ec.europa.eu/api/v5_3/PVcalc?lat=30.0444&amp;lon=31.2357&amp;peakpower=1&amp;loss=14&amp;angle=85&amp;aspect=-15&amp;outputformat=json&amp;raddatabase=PVGIS-SARAH3&amp;pvtechchoice=crystSi&amp;mountingplace=free&amp;usehorizon=1</v>
      </c>
    </row>
    <row r="5306">
      <c r="A5306" t="n">
        <v>85</v>
      </c>
      <c r="B5306" t="n">
        <v>165</v>
      </c>
      <c r="C5306" t="n">
        <v>5</v>
      </c>
      <c r="D5306" s="218" t="n">
        <v>61.77</v>
      </c>
      <c r="E5306" s="218" t="n">
        <v>1.99</v>
      </c>
      <c r="F5306" t="str">
        <v>https://re.jrc.ec.europa.eu/api/v5_3/PVcalc?lat=30.0444&amp;lon=31.2357&amp;peakpower=1&amp;loss=14&amp;angle=85&amp;aspect=-15&amp;outputformat=json&amp;raddatabase=PVGIS-SARAH3&amp;pvtechchoice=crystSi&amp;mountingplace=free&amp;usehorizon=1</v>
      </c>
    </row>
    <row r="5307">
      <c r="A5307" t="n">
        <v>85</v>
      </c>
      <c r="B5307" t="n">
        <v>165</v>
      </c>
      <c r="C5307" t="n">
        <v>6</v>
      </c>
      <c r="D5307" s="218" t="n">
        <v>46.32</v>
      </c>
      <c r="E5307" s="218" t="n">
        <v>1.54</v>
      </c>
      <c r="F5307" t="str">
        <v>https://re.jrc.ec.europa.eu/api/v5_3/PVcalc?lat=30.0444&amp;lon=31.2357&amp;peakpower=1&amp;loss=14&amp;angle=85&amp;aspect=-15&amp;outputformat=json&amp;raddatabase=PVGIS-SARAH3&amp;pvtechchoice=crystSi&amp;mountingplace=free&amp;usehorizon=1</v>
      </c>
    </row>
    <row r="5308">
      <c r="A5308" t="n">
        <v>85</v>
      </c>
      <c r="B5308" t="n">
        <v>165</v>
      </c>
      <c r="C5308" t="n">
        <v>7</v>
      </c>
      <c r="D5308" s="218" t="n">
        <v>53.18</v>
      </c>
      <c r="E5308" s="218" t="n">
        <v>1.72</v>
      </c>
      <c r="F5308" t="str">
        <v>https://re.jrc.ec.europa.eu/api/v5_3/PVcalc?lat=30.0444&amp;lon=31.2357&amp;peakpower=1&amp;loss=14&amp;angle=85&amp;aspect=-15&amp;outputformat=json&amp;raddatabase=PVGIS-SARAH3&amp;pvtechchoice=crystSi&amp;mountingplace=free&amp;usehorizon=1</v>
      </c>
    </row>
    <row r="5309">
      <c r="A5309" t="n">
        <v>85</v>
      </c>
      <c r="B5309" t="n">
        <v>165</v>
      </c>
      <c r="C5309" t="n">
        <v>8</v>
      </c>
      <c r="D5309" s="218" t="n">
        <v>72.97</v>
      </c>
      <c r="E5309" s="218" t="n">
        <v>2.35</v>
      </c>
      <c r="F5309" t="str">
        <v>https://re.jrc.ec.europa.eu/api/v5_3/PVcalc?lat=30.0444&amp;lon=31.2357&amp;peakpower=1&amp;loss=14&amp;angle=85&amp;aspect=-15&amp;outputformat=json&amp;raddatabase=PVGIS-SARAH3&amp;pvtechchoice=crystSi&amp;mountingplace=free&amp;usehorizon=1</v>
      </c>
    </row>
    <row r="5310">
      <c r="A5310" t="n">
        <v>85</v>
      </c>
      <c r="B5310" t="n">
        <v>165</v>
      </c>
      <c r="C5310" t="n">
        <v>9</v>
      </c>
      <c r="D5310" s="218" t="n">
        <v>96.62</v>
      </c>
      <c r="E5310" s="218" t="n">
        <v>3.22</v>
      </c>
      <c r="F5310" t="str">
        <v>https://re.jrc.ec.europa.eu/api/v5_3/PVcalc?lat=30.0444&amp;lon=31.2357&amp;peakpower=1&amp;loss=14&amp;angle=85&amp;aspect=-15&amp;outputformat=json&amp;raddatabase=PVGIS-SARAH3&amp;pvtechchoice=crystSi&amp;mountingplace=free&amp;usehorizon=1</v>
      </c>
    </row>
    <row r="5311">
      <c r="A5311" t="n">
        <v>85</v>
      </c>
      <c r="B5311" t="n">
        <v>165</v>
      </c>
      <c r="C5311" t="n">
        <v>10</v>
      </c>
      <c r="D5311" s="218" t="n">
        <v>120.08</v>
      </c>
      <c r="E5311" s="218" t="n">
        <v>3.87</v>
      </c>
      <c r="F5311" t="str">
        <v>https://re.jrc.ec.europa.eu/api/v5_3/PVcalc?lat=30.0444&amp;lon=31.2357&amp;peakpower=1&amp;loss=14&amp;angle=85&amp;aspect=-15&amp;outputformat=json&amp;raddatabase=PVGIS-SARAH3&amp;pvtechchoice=crystSi&amp;mountingplace=free&amp;usehorizon=1</v>
      </c>
    </row>
    <row r="5312">
      <c r="A5312" t="n">
        <v>85</v>
      </c>
      <c r="B5312" t="n">
        <v>165</v>
      </c>
      <c r="C5312" t="n">
        <v>11</v>
      </c>
      <c r="D5312" s="218" t="n">
        <v>126.84</v>
      </c>
      <c r="E5312" s="218" t="n">
        <v>4.23</v>
      </c>
      <c r="F5312" t="str">
        <v>https://re.jrc.ec.europa.eu/api/v5_3/PVcalc?lat=30.0444&amp;lon=31.2357&amp;peakpower=1&amp;loss=14&amp;angle=85&amp;aspect=-15&amp;outputformat=json&amp;raddatabase=PVGIS-SARAH3&amp;pvtechchoice=crystSi&amp;mountingplace=free&amp;usehorizon=1</v>
      </c>
    </row>
    <row r="5313">
      <c r="A5313" t="n">
        <v>85</v>
      </c>
      <c r="B5313" t="n">
        <v>165</v>
      </c>
      <c r="C5313" t="n">
        <v>12</v>
      </c>
      <c r="D5313" s="218" t="n">
        <v>129.42</v>
      </c>
      <c r="E5313" s="218" t="n">
        <v>4.17</v>
      </c>
      <c r="F5313" t="str">
        <v>https://re.jrc.ec.europa.eu/api/v5_3/PVcalc?lat=30.0444&amp;lon=31.2357&amp;peakpower=1&amp;loss=14&amp;angle=85&amp;aspect=-15&amp;outputformat=json&amp;raddatabase=PVGIS-SARAH3&amp;pvtechchoice=crystSi&amp;mountingplace=free&amp;usehorizon=1</v>
      </c>
    </row>
    <row r="5314">
      <c r="A5314" t="n">
        <v>85</v>
      </c>
      <c r="B5314" t="n">
        <v>180</v>
      </c>
      <c r="C5314" t="n">
        <v>1</v>
      </c>
      <c r="D5314" s="218" t="n">
        <v>128.1</v>
      </c>
      <c r="E5314" s="218" t="n">
        <v>4.13</v>
      </c>
      <c r="F5314" t="str">
        <v>https://re.jrc.ec.europa.eu/api/v5_3/PVcalc?lat=30.0444&amp;lon=31.2357&amp;peakpower=1&amp;loss=14&amp;angle=85&amp;aspect=0&amp;outputformat=json&amp;raddatabase=PVGIS-SARAH3&amp;pvtechchoice=crystSi&amp;mountingplace=free&amp;usehorizon=1</v>
      </c>
    </row>
    <row r="5315">
      <c r="A5315" t="n">
        <v>85</v>
      </c>
      <c r="B5315" t="n">
        <v>180</v>
      </c>
      <c r="C5315" t="n">
        <v>2</v>
      </c>
      <c r="D5315" s="218" t="n">
        <v>111.22</v>
      </c>
      <c r="E5315" s="218" t="n">
        <v>3.97</v>
      </c>
      <c r="F5315" t="str">
        <v>https://re.jrc.ec.europa.eu/api/v5_3/PVcalc?lat=30.0444&amp;lon=31.2357&amp;peakpower=1&amp;loss=14&amp;angle=85&amp;aspect=0&amp;outputformat=json&amp;raddatabase=PVGIS-SARAH3&amp;pvtechchoice=crystSi&amp;mountingplace=free&amp;usehorizon=1</v>
      </c>
    </row>
    <row r="5316">
      <c r="A5316" t="n">
        <v>85</v>
      </c>
      <c r="B5316" t="n">
        <v>180</v>
      </c>
      <c r="C5316" t="n">
        <v>3</v>
      </c>
      <c r="D5316" s="218" t="n">
        <v>111.29</v>
      </c>
      <c r="E5316" s="218" t="n">
        <v>3.59</v>
      </c>
      <c r="F5316" t="str">
        <v>https://re.jrc.ec.europa.eu/api/v5_3/PVcalc?lat=30.0444&amp;lon=31.2357&amp;peakpower=1&amp;loss=14&amp;angle=85&amp;aspect=0&amp;outputformat=json&amp;raddatabase=PVGIS-SARAH3&amp;pvtechchoice=crystSi&amp;mountingplace=free&amp;usehorizon=1</v>
      </c>
    </row>
    <row r="5317">
      <c r="A5317" t="n">
        <v>85</v>
      </c>
      <c r="B5317" t="n">
        <v>180</v>
      </c>
      <c r="C5317" t="n">
        <v>4</v>
      </c>
      <c r="D5317" s="218" t="n">
        <v>80.48</v>
      </c>
      <c r="E5317" s="218" t="n">
        <v>2.68</v>
      </c>
      <c r="F5317" t="str">
        <v>https://re.jrc.ec.europa.eu/api/v5_3/PVcalc?lat=30.0444&amp;lon=31.2357&amp;peakpower=1&amp;loss=14&amp;angle=85&amp;aspect=0&amp;outputformat=json&amp;raddatabase=PVGIS-SARAH3&amp;pvtechchoice=crystSi&amp;mountingplace=free&amp;usehorizon=1</v>
      </c>
    </row>
    <row r="5318">
      <c r="A5318" t="n">
        <v>85</v>
      </c>
      <c r="B5318" t="n">
        <v>180</v>
      </c>
      <c r="C5318" t="n">
        <v>5</v>
      </c>
      <c r="D5318" s="218" t="n">
        <v>56.45</v>
      </c>
      <c r="E5318" s="218" t="n">
        <v>1.82</v>
      </c>
      <c r="F5318" t="str">
        <v>https://re.jrc.ec.europa.eu/api/v5_3/PVcalc?lat=30.0444&amp;lon=31.2357&amp;peakpower=1&amp;loss=14&amp;angle=85&amp;aspect=0&amp;outputformat=json&amp;raddatabase=PVGIS-SARAH3&amp;pvtechchoice=crystSi&amp;mountingplace=free&amp;usehorizon=1</v>
      </c>
    </row>
    <row r="5319">
      <c r="A5319" t="n">
        <v>85</v>
      </c>
      <c r="B5319" t="n">
        <v>180</v>
      </c>
      <c r="C5319" t="n">
        <v>6</v>
      </c>
      <c r="D5319" s="218" t="n">
        <v>41.1</v>
      </c>
      <c r="E5319" s="218" t="n">
        <v>1.37</v>
      </c>
      <c r="F5319" t="str">
        <v>https://re.jrc.ec.europa.eu/api/v5_3/PVcalc?lat=30.0444&amp;lon=31.2357&amp;peakpower=1&amp;loss=14&amp;angle=85&amp;aspect=0&amp;outputformat=json&amp;raddatabase=PVGIS-SARAH3&amp;pvtechchoice=crystSi&amp;mountingplace=free&amp;usehorizon=1</v>
      </c>
    </row>
    <row r="5320">
      <c r="A5320" t="n">
        <v>85</v>
      </c>
      <c r="B5320" t="n">
        <v>180</v>
      </c>
      <c r="C5320" t="n">
        <v>7</v>
      </c>
      <c r="D5320" s="218" t="n">
        <v>46.98</v>
      </c>
      <c r="E5320" s="218" t="n">
        <v>1.52</v>
      </c>
      <c r="F5320" t="str">
        <v>https://re.jrc.ec.europa.eu/api/v5_3/PVcalc?lat=30.0444&amp;lon=31.2357&amp;peakpower=1&amp;loss=14&amp;angle=85&amp;aspect=0&amp;outputformat=json&amp;raddatabase=PVGIS-SARAH3&amp;pvtechchoice=crystSi&amp;mountingplace=free&amp;usehorizon=1</v>
      </c>
    </row>
    <row r="5321">
      <c r="A5321" t="n">
        <v>85</v>
      </c>
      <c r="B5321" t="n">
        <v>180</v>
      </c>
      <c r="C5321" t="n">
        <v>8</v>
      </c>
      <c r="D5321" s="218" t="n">
        <v>69.46</v>
      </c>
      <c r="E5321" s="218" t="n">
        <v>2.24</v>
      </c>
      <c r="F5321" t="str">
        <v>https://re.jrc.ec.europa.eu/api/v5_3/PVcalc?lat=30.0444&amp;lon=31.2357&amp;peakpower=1&amp;loss=14&amp;angle=85&amp;aspect=0&amp;outputformat=json&amp;raddatabase=PVGIS-SARAH3&amp;pvtechchoice=crystSi&amp;mountingplace=free&amp;usehorizon=1</v>
      </c>
    </row>
    <row r="5322">
      <c r="A5322" t="n">
        <v>85</v>
      </c>
      <c r="B5322" t="n">
        <v>180</v>
      </c>
      <c r="C5322" t="n">
        <v>9</v>
      </c>
      <c r="D5322" s="218" t="n">
        <v>98.51</v>
      </c>
      <c r="E5322" s="218" t="n">
        <v>3.28</v>
      </c>
      <c r="F5322" t="str">
        <v>https://re.jrc.ec.europa.eu/api/v5_3/PVcalc?lat=30.0444&amp;lon=31.2357&amp;peakpower=1&amp;loss=14&amp;angle=85&amp;aspect=0&amp;outputformat=json&amp;raddatabase=PVGIS-SARAH3&amp;pvtechchoice=crystSi&amp;mountingplace=free&amp;usehorizon=1</v>
      </c>
    </row>
    <row r="5323">
      <c r="A5323" t="n">
        <v>85</v>
      </c>
      <c r="B5323" t="n">
        <v>180</v>
      </c>
      <c r="C5323" t="n">
        <v>10</v>
      </c>
      <c r="D5323" s="218" t="n">
        <v>124.25</v>
      </c>
      <c r="E5323" s="218" t="n">
        <v>4.01</v>
      </c>
      <c r="F5323" t="str">
        <v>https://re.jrc.ec.europa.eu/api/v5_3/PVcalc?lat=30.0444&amp;lon=31.2357&amp;peakpower=1&amp;loss=14&amp;angle=85&amp;aspect=0&amp;outputformat=json&amp;raddatabase=PVGIS-SARAH3&amp;pvtechchoice=crystSi&amp;mountingplace=free&amp;usehorizon=1</v>
      </c>
    </row>
    <row r="5324">
      <c r="A5324" t="n">
        <v>85</v>
      </c>
      <c r="B5324" t="n">
        <v>180</v>
      </c>
      <c r="C5324" t="n">
        <v>11</v>
      </c>
      <c r="D5324" s="218" t="n">
        <v>130.61</v>
      </c>
      <c r="E5324" s="218" t="n">
        <v>4.35</v>
      </c>
      <c r="F5324" t="str">
        <v>https://re.jrc.ec.europa.eu/api/v5_3/PVcalc?lat=30.0444&amp;lon=31.2357&amp;peakpower=1&amp;loss=14&amp;angle=85&amp;aspect=0&amp;outputformat=json&amp;raddatabase=PVGIS-SARAH3&amp;pvtechchoice=crystSi&amp;mountingplace=free&amp;usehorizon=1</v>
      </c>
    </row>
    <row r="5325">
      <c r="A5325" t="n">
        <v>85</v>
      </c>
      <c r="B5325" t="n">
        <v>180</v>
      </c>
      <c r="C5325" t="n">
        <v>12</v>
      </c>
      <c r="D5325" s="218" t="n">
        <v>132.73</v>
      </c>
      <c r="E5325" s="218" t="n">
        <v>4.28</v>
      </c>
      <c r="F5325" t="str">
        <v>https://re.jrc.ec.europa.eu/api/v5_3/PVcalc?lat=30.0444&amp;lon=31.2357&amp;peakpower=1&amp;loss=14&amp;angle=85&amp;aspect=0&amp;outputformat=json&amp;raddatabase=PVGIS-SARAH3&amp;pvtechchoice=crystSi&amp;mountingplace=free&amp;usehorizon=1</v>
      </c>
    </row>
    <row r="5326">
      <c r="A5326" t="n">
        <v>85</v>
      </c>
      <c r="B5326" t="n">
        <v>195</v>
      </c>
      <c r="C5326" t="n">
        <v>1</v>
      </c>
      <c r="D5326" s="218" t="n">
        <v>123.55</v>
      </c>
      <c r="E5326" s="218" t="n">
        <v>3.99</v>
      </c>
      <c r="F5326" t="str">
        <v>https://re.jrc.ec.europa.eu/api/v5_3/PVcalc?lat=30.0444&amp;lon=31.2357&amp;peakpower=1&amp;loss=14&amp;angle=85&amp;aspect=15&amp;outputformat=json&amp;raddatabase=PVGIS-SARAH3&amp;pvtechchoice=crystSi&amp;mountingplace=free&amp;usehorizon=1</v>
      </c>
    </row>
    <row r="5327">
      <c r="A5327" t="n">
        <v>85</v>
      </c>
      <c r="B5327" t="n">
        <v>195</v>
      </c>
      <c r="C5327" t="n">
        <v>2</v>
      </c>
      <c r="D5327" s="218" t="n">
        <v>107.11</v>
      </c>
      <c r="E5327" s="218" t="n">
        <v>3.83</v>
      </c>
      <c r="F5327" t="str">
        <v>https://re.jrc.ec.europa.eu/api/v5_3/PVcalc?lat=30.0444&amp;lon=31.2357&amp;peakpower=1&amp;loss=14&amp;angle=85&amp;aspect=15&amp;outputformat=json&amp;raddatabase=PVGIS-SARAH3&amp;pvtechchoice=crystSi&amp;mountingplace=free&amp;usehorizon=1</v>
      </c>
    </row>
    <row r="5328">
      <c r="A5328" t="n">
        <v>85</v>
      </c>
      <c r="B5328" t="n">
        <v>195</v>
      </c>
      <c r="C5328" t="n">
        <v>3</v>
      </c>
      <c r="D5328" s="218" t="n">
        <v>110.58</v>
      </c>
      <c r="E5328" s="218" t="n">
        <v>3.57</v>
      </c>
      <c r="F5328" t="str">
        <v>https://re.jrc.ec.europa.eu/api/v5_3/PVcalc?lat=30.0444&amp;lon=31.2357&amp;peakpower=1&amp;loss=14&amp;angle=85&amp;aspect=15&amp;outputformat=json&amp;raddatabase=PVGIS-SARAH3&amp;pvtechchoice=crystSi&amp;mountingplace=free&amp;usehorizon=1</v>
      </c>
    </row>
    <row r="5329">
      <c r="A5329" t="n">
        <v>85</v>
      </c>
      <c r="B5329" t="n">
        <v>195</v>
      </c>
      <c r="C5329" t="n">
        <v>4</v>
      </c>
      <c r="D5329" s="218" t="n">
        <v>83.55</v>
      </c>
      <c r="E5329" s="218" t="n">
        <v>2.78</v>
      </c>
      <c r="F5329" t="str">
        <v>https://re.jrc.ec.europa.eu/api/v5_3/PVcalc?lat=30.0444&amp;lon=31.2357&amp;peakpower=1&amp;loss=14&amp;angle=85&amp;aspect=15&amp;outputformat=json&amp;raddatabase=PVGIS-SARAH3&amp;pvtechchoice=crystSi&amp;mountingplace=free&amp;usehorizon=1</v>
      </c>
    </row>
    <row r="5330">
      <c r="A5330" t="n">
        <v>85</v>
      </c>
      <c r="B5330" t="n">
        <v>195</v>
      </c>
      <c r="C5330" t="n">
        <v>5</v>
      </c>
      <c r="D5330" s="218" t="n">
        <v>61.45</v>
      </c>
      <c r="E5330" s="218" t="n">
        <v>1.98</v>
      </c>
      <c r="F5330" t="str">
        <v>https://re.jrc.ec.europa.eu/api/v5_3/PVcalc?lat=30.0444&amp;lon=31.2357&amp;peakpower=1&amp;loss=14&amp;angle=85&amp;aspect=15&amp;outputformat=json&amp;raddatabase=PVGIS-SARAH3&amp;pvtechchoice=crystSi&amp;mountingplace=free&amp;usehorizon=1</v>
      </c>
    </row>
    <row r="5331">
      <c r="A5331" t="n">
        <v>85</v>
      </c>
      <c r="B5331" t="n">
        <v>195</v>
      </c>
      <c r="C5331" t="n">
        <v>6</v>
      </c>
      <c r="D5331" s="218" t="n">
        <v>47.15</v>
      </c>
      <c r="E5331" s="218" t="n">
        <v>1.57</v>
      </c>
      <c r="F5331" t="str">
        <v>https://re.jrc.ec.europa.eu/api/v5_3/PVcalc?lat=30.0444&amp;lon=31.2357&amp;peakpower=1&amp;loss=14&amp;angle=85&amp;aspect=15&amp;outputformat=json&amp;raddatabase=PVGIS-SARAH3&amp;pvtechchoice=crystSi&amp;mountingplace=free&amp;usehorizon=1</v>
      </c>
    </row>
    <row r="5332">
      <c r="A5332" t="n">
        <v>85</v>
      </c>
      <c r="B5332" t="n">
        <v>195</v>
      </c>
      <c r="C5332" t="n">
        <v>7</v>
      </c>
      <c r="D5332" s="218" t="n">
        <v>53.27</v>
      </c>
      <c r="E5332" s="218" t="n">
        <v>1.72</v>
      </c>
      <c r="F5332" t="str">
        <v>https://re.jrc.ec.europa.eu/api/v5_3/PVcalc?lat=30.0444&amp;lon=31.2357&amp;peakpower=1&amp;loss=14&amp;angle=85&amp;aspect=15&amp;outputformat=json&amp;raddatabase=PVGIS-SARAH3&amp;pvtechchoice=crystSi&amp;mountingplace=free&amp;usehorizon=1</v>
      </c>
    </row>
    <row r="5333">
      <c r="A5333" t="n">
        <v>85</v>
      </c>
      <c r="B5333" t="n">
        <v>195</v>
      </c>
      <c r="C5333" t="n">
        <v>8</v>
      </c>
      <c r="D5333" s="218" t="n">
        <v>74.6</v>
      </c>
      <c r="E5333" s="218" t="n">
        <v>2.41</v>
      </c>
      <c r="F5333" t="str">
        <v>https://re.jrc.ec.europa.eu/api/v5_3/PVcalc?lat=30.0444&amp;lon=31.2357&amp;peakpower=1&amp;loss=14&amp;angle=85&amp;aspect=15&amp;outputformat=json&amp;raddatabase=PVGIS-SARAH3&amp;pvtechchoice=crystSi&amp;mountingplace=free&amp;usehorizon=1</v>
      </c>
    </row>
    <row r="5334">
      <c r="A5334" t="n">
        <v>85</v>
      </c>
      <c r="B5334" t="n">
        <v>195</v>
      </c>
      <c r="C5334" t="n">
        <v>9</v>
      </c>
      <c r="D5334" s="218" t="n">
        <v>100.14</v>
      </c>
      <c r="E5334" s="218" t="n">
        <v>3.34</v>
      </c>
      <c r="F5334" t="str">
        <v>https://re.jrc.ec.europa.eu/api/v5_3/PVcalc?lat=30.0444&amp;lon=31.2357&amp;peakpower=1&amp;loss=14&amp;angle=85&amp;aspect=15&amp;outputformat=json&amp;raddatabase=PVGIS-SARAH3&amp;pvtechchoice=crystSi&amp;mountingplace=free&amp;usehorizon=1</v>
      </c>
    </row>
    <row r="5335">
      <c r="A5335" t="n">
        <v>85</v>
      </c>
      <c r="B5335" t="n">
        <v>195</v>
      </c>
      <c r="C5335" t="n">
        <v>10</v>
      </c>
      <c r="D5335" s="218" t="n">
        <v>121.37</v>
      </c>
      <c r="E5335" s="218" t="n">
        <v>3.92</v>
      </c>
      <c r="F5335" t="str">
        <v>https://re.jrc.ec.europa.eu/api/v5_3/PVcalc?lat=30.0444&amp;lon=31.2357&amp;peakpower=1&amp;loss=14&amp;angle=85&amp;aspect=15&amp;outputformat=json&amp;raddatabase=PVGIS-SARAH3&amp;pvtechchoice=crystSi&amp;mountingplace=free&amp;usehorizon=1</v>
      </c>
    </row>
    <row r="5336">
      <c r="A5336" t="n">
        <v>85</v>
      </c>
      <c r="B5336" t="n">
        <v>195</v>
      </c>
      <c r="C5336" t="n">
        <v>11</v>
      </c>
      <c r="D5336" s="218" t="n">
        <v>126.24</v>
      </c>
      <c r="E5336" s="218" t="n">
        <v>4.21</v>
      </c>
      <c r="F5336" t="str">
        <v>https://re.jrc.ec.europa.eu/api/v5_3/PVcalc?lat=30.0444&amp;lon=31.2357&amp;peakpower=1&amp;loss=14&amp;angle=85&amp;aspect=15&amp;outputformat=json&amp;raddatabase=PVGIS-SARAH3&amp;pvtechchoice=crystSi&amp;mountingplace=free&amp;usehorizon=1</v>
      </c>
    </row>
    <row r="5337">
      <c r="A5337" t="n">
        <v>85</v>
      </c>
      <c r="B5337" t="n">
        <v>195</v>
      </c>
      <c r="C5337" t="n">
        <v>12</v>
      </c>
      <c r="D5337" s="218" t="n">
        <v>128.01</v>
      </c>
      <c r="E5337" s="218" t="n">
        <v>4.13</v>
      </c>
      <c r="F5337" t="str">
        <v>https://re.jrc.ec.europa.eu/api/v5_3/PVcalc?lat=30.0444&amp;lon=31.2357&amp;peakpower=1&amp;loss=14&amp;angle=85&amp;aspect=15&amp;outputformat=json&amp;raddatabase=PVGIS-SARAH3&amp;pvtechchoice=crystSi&amp;mountingplace=free&amp;usehorizon=1</v>
      </c>
    </row>
    <row r="5338">
      <c r="A5338" t="n">
        <v>85</v>
      </c>
      <c r="B5338" t="n">
        <v>210</v>
      </c>
      <c r="C5338" t="n">
        <v>1</v>
      </c>
      <c r="D5338" s="218" t="n">
        <v>111.91</v>
      </c>
      <c r="E5338" s="218" t="n">
        <v>3.61</v>
      </c>
      <c r="F5338" t="str">
        <v>https://re.jrc.ec.europa.eu/api/v5_3/PVcalc?lat=30.0444&amp;lon=31.2357&amp;peakpower=1&amp;loss=14&amp;angle=85&amp;aspect=30&amp;outputformat=json&amp;raddatabase=PVGIS-SARAH3&amp;pvtechchoice=crystSi&amp;mountingplace=free&amp;usehorizon=1</v>
      </c>
    </row>
    <row r="5339">
      <c r="A5339" t="n">
        <v>85</v>
      </c>
      <c r="B5339" t="n">
        <v>210</v>
      </c>
      <c r="C5339" t="n">
        <v>2</v>
      </c>
      <c r="D5339" s="218" t="n">
        <v>98.56</v>
      </c>
      <c r="E5339" s="218" t="n">
        <v>3.52</v>
      </c>
      <c r="F5339" t="str">
        <v>https://re.jrc.ec.europa.eu/api/v5_3/PVcalc?lat=30.0444&amp;lon=31.2357&amp;peakpower=1&amp;loss=14&amp;angle=85&amp;aspect=30&amp;outputformat=json&amp;raddatabase=PVGIS-SARAH3&amp;pvtechchoice=crystSi&amp;mountingplace=free&amp;usehorizon=1</v>
      </c>
    </row>
    <row r="5340">
      <c r="A5340" t="n">
        <v>85</v>
      </c>
      <c r="B5340" t="n">
        <v>210</v>
      </c>
      <c r="C5340" t="n">
        <v>3</v>
      </c>
      <c r="D5340" s="218" t="n">
        <v>107.97</v>
      </c>
      <c r="E5340" s="218" t="n">
        <v>3.48</v>
      </c>
      <c r="F5340" t="str">
        <v>https://re.jrc.ec.europa.eu/api/v5_3/PVcalc?lat=30.0444&amp;lon=31.2357&amp;peakpower=1&amp;loss=14&amp;angle=85&amp;aspect=30&amp;outputformat=json&amp;raddatabase=PVGIS-SARAH3&amp;pvtechchoice=crystSi&amp;mountingplace=free&amp;usehorizon=1</v>
      </c>
    </row>
    <row r="5341">
      <c r="A5341" t="n">
        <v>85</v>
      </c>
      <c r="B5341" t="n">
        <v>210</v>
      </c>
      <c r="C5341" t="n">
        <v>4</v>
      </c>
      <c r="D5341" s="218" t="n">
        <v>88.47</v>
      </c>
      <c r="E5341" s="218" t="n">
        <v>2.95</v>
      </c>
      <c r="F5341" t="str">
        <v>https://re.jrc.ec.europa.eu/api/v5_3/PVcalc?lat=30.0444&amp;lon=31.2357&amp;peakpower=1&amp;loss=14&amp;angle=85&amp;aspect=30&amp;outputformat=json&amp;raddatabase=PVGIS-SARAH3&amp;pvtechchoice=crystSi&amp;mountingplace=free&amp;usehorizon=1</v>
      </c>
    </row>
    <row r="5342">
      <c r="A5342" t="n">
        <v>85</v>
      </c>
      <c r="B5342" t="n">
        <v>210</v>
      </c>
      <c r="C5342" t="n">
        <v>5</v>
      </c>
      <c r="D5342" s="218" t="n">
        <v>72.73</v>
      </c>
      <c r="E5342" s="218" t="n">
        <v>2.35</v>
      </c>
      <c r="F5342" t="str">
        <v>https://re.jrc.ec.europa.eu/api/v5_3/PVcalc?lat=30.0444&amp;lon=31.2357&amp;peakpower=1&amp;loss=14&amp;angle=85&amp;aspect=30&amp;outputformat=json&amp;raddatabase=PVGIS-SARAH3&amp;pvtechchoice=crystSi&amp;mountingplace=free&amp;usehorizon=1</v>
      </c>
    </row>
    <row r="5343">
      <c r="A5343" t="n">
        <v>85</v>
      </c>
      <c r="B5343" t="n">
        <v>210</v>
      </c>
      <c r="C5343" t="n">
        <v>6</v>
      </c>
      <c r="D5343" s="218" t="n">
        <v>61.46</v>
      </c>
      <c r="E5343" s="218" t="n">
        <v>2.05</v>
      </c>
      <c r="F5343" t="str">
        <v>https://re.jrc.ec.europa.eu/api/v5_3/PVcalc?lat=30.0444&amp;lon=31.2357&amp;peakpower=1&amp;loss=14&amp;angle=85&amp;aspect=30&amp;outputformat=json&amp;raddatabase=PVGIS-SARAH3&amp;pvtechchoice=crystSi&amp;mountingplace=free&amp;usehorizon=1</v>
      </c>
    </row>
    <row r="5344">
      <c r="A5344" t="n">
        <v>85</v>
      </c>
      <c r="B5344" t="n">
        <v>210</v>
      </c>
      <c r="C5344" t="n">
        <v>7</v>
      </c>
      <c r="D5344" s="218" t="n">
        <v>67.94</v>
      </c>
      <c r="E5344" s="218" t="n">
        <v>2.19</v>
      </c>
      <c r="F5344" t="str">
        <v>https://re.jrc.ec.europa.eu/api/v5_3/PVcalc?lat=30.0444&amp;lon=31.2357&amp;peakpower=1&amp;loss=14&amp;angle=85&amp;aspect=30&amp;outputformat=json&amp;raddatabase=PVGIS-SARAH3&amp;pvtechchoice=crystSi&amp;mountingplace=free&amp;usehorizon=1</v>
      </c>
    </row>
    <row r="5345">
      <c r="A5345" t="n">
        <v>85</v>
      </c>
      <c r="B5345" t="n">
        <v>210</v>
      </c>
      <c r="C5345" t="n">
        <v>8</v>
      </c>
      <c r="D5345" s="218" t="n">
        <v>84.75</v>
      </c>
      <c r="E5345" s="218" t="n">
        <v>2.73</v>
      </c>
      <c r="F5345" t="str">
        <v>https://re.jrc.ec.europa.eu/api/v5_3/PVcalc?lat=30.0444&amp;lon=31.2357&amp;peakpower=1&amp;loss=14&amp;angle=85&amp;aspect=30&amp;outputformat=json&amp;raddatabase=PVGIS-SARAH3&amp;pvtechchoice=crystSi&amp;mountingplace=free&amp;usehorizon=1</v>
      </c>
    </row>
    <row r="5346">
      <c r="A5346" t="n">
        <v>85</v>
      </c>
      <c r="B5346" t="n">
        <v>210</v>
      </c>
      <c r="C5346" t="n">
        <v>9</v>
      </c>
      <c r="D5346" s="218" t="n">
        <v>101.21</v>
      </c>
      <c r="E5346" s="218" t="n">
        <v>3.37</v>
      </c>
      <c r="F5346" t="str">
        <v>https://re.jrc.ec.europa.eu/api/v5_3/PVcalc?lat=30.0444&amp;lon=31.2357&amp;peakpower=1&amp;loss=14&amp;angle=85&amp;aspect=30&amp;outputformat=json&amp;raddatabase=PVGIS-SARAH3&amp;pvtechchoice=crystSi&amp;mountingplace=free&amp;usehorizon=1</v>
      </c>
    </row>
    <row r="5347">
      <c r="A5347" t="n">
        <v>85</v>
      </c>
      <c r="B5347" t="n">
        <v>210</v>
      </c>
      <c r="C5347" t="n">
        <v>10</v>
      </c>
      <c r="D5347" s="218" t="n">
        <v>113.93</v>
      </c>
      <c r="E5347" s="218" t="n">
        <v>3.68</v>
      </c>
      <c r="F5347" t="str">
        <v>https://re.jrc.ec.europa.eu/api/v5_3/PVcalc?lat=30.0444&amp;lon=31.2357&amp;peakpower=1&amp;loss=14&amp;angle=85&amp;aspect=30&amp;outputformat=json&amp;raddatabase=PVGIS-SARAH3&amp;pvtechchoice=crystSi&amp;mountingplace=free&amp;usehorizon=1</v>
      </c>
    </row>
    <row r="5348">
      <c r="A5348" t="n">
        <v>85</v>
      </c>
      <c r="B5348" t="n">
        <v>210</v>
      </c>
      <c r="C5348" t="n">
        <v>11</v>
      </c>
      <c r="D5348" s="218" t="n">
        <v>114.98</v>
      </c>
      <c r="E5348" s="218" t="n">
        <v>3.83</v>
      </c>
      <c r="F5348" t="str">
        <v>https://re.jrc.ec.europa.eu/api/v5_3/PVcalc?lat=30.0444&amp;lon=31.2357&amp;peakpower=1&amp;loss=14&amp;angle=85&amp;aspect=30&amp;outputformat=json&amp;raddatabase=PVGIS-SARAH3&amp;pvtechchoice=crystSi&amp;mountingplace=free&amp;usehorizon=1</v>
      </c>
    </row>
    <row r="5349">
      <c r="A5349" t="n">
        <v>85</v>
      </c>
      <c r="B5349" t="n">
        <v>210</v>
      </c>
      <c r="C5349" t="n">
        <v>12</v>
      </c>
      <c r="D5349" s="218" t="n">
        <v>115.83</v>
      </c>
      <c r="E5349" s="218" t="n">
        <v>3.74</v>
      </c>
      <c r="F5349" t="str">
        <v>https://re.jrc.ec.europa.eu/api/v5_3/PVcalc?lat=30.0444&amp;lon=31.2357&amp;peakpower=1&amp;loss=14&amp;angle=85&amp;aspect=30&amp;outputformat=json&amp;raddatabase=PVGIS-SARAH3&amp;pvtechchoice=crystSi&amp;mountingplace=free&amp;usehorizon=1</v>
      </c>
    </row>
    <row r="5350">
      <c r="A5350" t="n">
        <v>85</v>
      </c>
      <c r="B5350" t="n">
        <v>225</v>
      </c>
      <c r="C5350" t="n">
        <v>1</v>
      </c>
      <c r="D5350" s="218" t="n">
        <v>96.77</v>
      </c>
      <c r="E5350" s="218" t="n">
        <v>3.12</v>
      </c>
      <c r="F5350" t="str">
        <v>https://re.jrc.ec.europa.eu/api/v5_3/PVcalc?lat=30.0444&amp;lon=31.2357&amp;peakpower=1&amp;loss=14&amp;angle=85&amp;aspect=45&amp;outputformat=json&amp;raddatabase=PVGIS-SARAH3&amp;pvtechchoice=crystSi&amp;mountingplace=free&amp;usehorizon=1</v>
      </c>
    </row>
    <row r="5351">
      <c r="A5351" t="n">
        <v>85</v>
      </c>
      <c r="B5351" t="n">
        <v>225</v>
      </c>
      <c r="C5351" t="n">
        <v>2</v>
      </c>
      <c r="D5351" s="218" t="n">
        <v>88.84</v>
      </c>
      <c r="E5351" s="218" t="n">
        <v>3.17</v>
      </c>
      <c r="F5351" t="str">
        <v>https://re.jrc.ec.europa.eu/api/v5_3/PVcalc?lat=30.0444&amp;lon=31.2357&amp;peakpower=1&amp;loss=14&amp;angle=85&amp;aspect=45&amp;outputformat=json&amp;raddatabase=PVGIS-SARAH3&amp;pvtechchoice=crystSi&amp;mountingplace=free&amp;usehorizon=1</v>
      </c>
    </row>
    <row r="5352">
      <c r="A5352" t="n">
        <v>85</v>
      </c>
      <c r="B5352" t="n">
        <v>225</v>
      </c>
      <c r="C5352" t="n">
        <v>3</v>
      </c>
      <c r="D5352" s="218" t="n">
        <v>104.49</v>
      </c>
      <c r="E5352" s="218" t="n">
        <v>3.37</v>
      </c>
      <c r="F5352" t="str">
        <v>https://re.jrc.ec.europa.eu/api/v5_3/PVcalc?lat=30.0444&amp;lon=31.2357&amp;peakpower=1&amp;loss=14&amp;angle=85&amp;aspect=45&amp;outputformat=json&amp;raddatabase=PVGIS-SARAH3&amp;pvtechchoice=crystSi&amp;mountingplace=free&amp;usehorizon=1</v>
      </c>
    </row>
    <row r="5353">
      <c r="A5353" t="n">
        <v>85</v>
      </c>
      <c r="B5353" t="n">
        <v>225</v>
      </c>
      <c r="C5353" t="n">
        <v>4</v>
      </c>
      <c r="D5353" s="218" t="n">
        <v>91.96</v>
      </c>
      <c r="E5353" s="218" t="n">
        <v>3.07</v>
      </c>
      <c r="F5353" t="str">
        <v>https://re.jrc.ec.europa.eu/api/v5_3/PVcalc?lat=30.0444&amp;lon=31.2357&amp;peakpower=1&amp;loss=14&amp;angle=85&amp;aspect=45&amp;outputformat=json&amp;raddatabase=PVGIS-SARAH3&amp;pvtechchoice=crystSi&amp;mountingplace=free&amp;usehorizon=1</v>
      </c>
    </row>
    <row r="5354">
      <c r="A5354" t="n">
        <v>85</v>
      </c>
      <c r="B5354" t="n">
        <v>225</v>
      </c>
      <c r="C5354" t="n">
        <v>5</v>
      </c>
      <c r="D5354" s="218" t="n">
        <v>83.4</v>
      </c>
      <c r="E5354" s="218" t="n">
        <v>2.69</v>
      </c>
      <c r="F5354" t="str">
        <v>https://re.jrc.ec.europa.eu/api/v5_3/PVcalc?lat=30.0444&amp;lon=31.2357&amp;peakpower=1&amp;loss=14&amp;angle=85&amp;aspect=45&amp;outputformat=json&amp;raddatabase=PVGIS-SARAH3&amp;pvtechchoice=crystSi&amp;mountingplace=free&amp;usehorizon=1</v>
      </c>
    </row>
    <row r="5355">
      <c r="A5355" t="n">
        <v>85</v>
      </c>
      <c r="B5355" t="n">
        <v>225</v>
      </c>
      <c r="C5355" t="n">
        <v>6</v>
      </c>
      <c r="D5355" s="218" t="n">
        <v>77.34</v>
      </c>
      <c r="E5355" s="218" t="n">
        <v>2.58</v>
      </c>
      <c r="F5355" t="str">
        <v>https://re.jrc.ec.europa.eu/api/v5_3/PVcalc?lat=30.0444&amp;lon=31.2357&amp;peakpower=1&amp;loss=14&amp;angle=85&amp;aspect=45&amp;outputformat=json&amp;raddatabase=PVGIS-SARAH3&amp;pvtechchoice=crystSi&amp;mountingplace=free&amp;usehorizon=1</v>
      </c>
    </row>
    <row r="5356">
      <c r="A5356" t="n">
        <v>85</v>
      </c>
      <c r="B5356" t="n">
        <v>225</v>
      </c>
      <c r="C5356" t="n">
        <v>7</v>
      </c>
      <c r="D5356" s="218" t="n">
        <v>83.43</v>
      </c>
      <c r="E5356" s="218" t="n">
        <v>2.69</v>
      </c>
      <c r="F5356" t="str">
        <v>https://re.jrc.ec.europa.eu/api/v5_3/PVcalc?lat=30.0444&amp;lon=31.2357&amp;peakpower=1&amp;loss=14&amp;angle=85&amp;aspect=45&amp;outputformat=json&amp;raddatabase=PVGIS-SARAH3&amp;pvtechchoice=crystSi&amp;mountingplace=free&amp;usehorizon=1</v>
      </c>
    </row>
    <row r="5357">
      <c r="A5357" t="n">
        <v>85</v>
      </c>
      <c r="B5357" t="n">
        <v>225</v>
      </c>
      <c r="C5357" t="n">
        <v>8</v>
      </c>
      <c r="D5357" s="218" t="n">
        <v>93.17</v>
      </c>
      <c r="E5357" s="218" t="n">
        <v>3.01</v>
      </c>
      <c r="F5357" t="str">
        <v>https://re.jrc.ec.europa.eu/api/v5_3/PVcalc?lat=30.0444&amp;lon=31.2357&amp;peakpower=1&amp;loss=14&amp;angle=85&amp;aspect=45&amp;outputformat=json&amp;raddatabase=PVGIS-SARAH3&amp;pvtechchoice=crystSi&amp;mountingplace=free&amp;usehorizon=1</v>
      </c>
    </row>
    <row r="5358">
      <c r="A5358" t="n">
        <v>85</v>
      </c>
      <c r="B5358" t="n">
        <v>225</v>
      </c>
      <c r="C5358" t="n">
        <v>9</v>
      </c>
      <c r="D5358" s="218" t="n">
        <v>101.14</v>
      </c>
      <c r="E5358" s="218" t="n">
        <v>3.37</v>
      </c>
      <c r="F5358" t="str">
        <v>https://re.jrc.ec.europa.eu/api/v5_3/PVcalc?lat=30.0444&amp;lon=31.2357&amp;peakpower=1&amp;loss=14&amp;angle=85&amp;aspect=45&amp;outputformat=json&amp;raddatabase=PVGIS-SARAH3&amp;pvtechchoice=crystSi&amp;mountingplace=free&amp;usehorizon=1</v>
      </c>
    </row>
    <row r="5359">
      <c r="A5359" t="n">
        <v>85</v>
      </c>
      <c r="B5359" t="n">
        <v>225</v>
      </c>
      <c r="C5359" t="n">
        <v>10</v>
      </c>
      <c r="D5359" s="218" t="n">
        <v>105.3</v>
      </c>
      <c r="E5359" s="218" t="n">
        <v>3.4</v>
      </c>
      <c r="F5359" t="str">
        <v>https://re.jrc.ec.europa.eu/api/v5_3/PVcalc?lat=30.0444&amp;lon=31.2357&amp;peakpower=1&amp;loss=14&amp;angle=85&amp;aspect=45&amp;outputformat=json&amp;raddatabase=PVGIS-SARAH3&amp;pvtechchoice=crystSi&amp;mountingplace=free&amp;usehorizon=1</v>
      </c>
    </row>
    <row r="5360">
      <c r="A5360" t="n">
        <v>85</v>
      </c>
      <c r="B5360" t="n">
        <v>225</v>
      </c>
      <c r="C5360" t="n">
        <v>11</v>
      </c>
      <c r="D5360" s="218" t="n">
        <v>101.16</v>
      </c>
      <c r="E5360" s="218" t="n">
        <v>3.37</v>
      </c>
      <c r="F5360" t="str">
        <v>https://re.jrc.ec.europa.eu/api/v5_3/PVcalc?lat=30.0444&amp;lon=31.2357&amp;peakpower=1&amp;loss=14&amp;angle=85&amp;aspect=45&amp;outputformat=json&amp;raddatabase=PVGIS-SARAH3&amp;pvtechchoice=crystSi&amp;mountingplace=free&amp;usehorizon=1</v>
      </c>
    </row>
    <row r="5361">
      <c r="A5361" t="n">
        <v>85</v>
      </c>
      <c r="B5361" t="n">
        <v>225</v>
      </c>
      <c r="C5361" t="n">
        <v>12</v>
      </c>
      <c r="D5361" s="218" t="n">
        <v>99.45</v>
      </c>
      <c r="E5361" s="218" t="n">
        <v>3.21</v>
      </c>
      <c r="F5361" t="str">
        <v>https://re.jrc.ec.europa.eu/api/v5_3/PVcalc?lat=30.0444&amp;lon=31.2357&amp;peakpower=1&amp;loss=14&amp;angle=85&amp;aspect=45&amp;outputformat=json&amp;raddatabase=PVGIS-SARAH3&amp;pvtechchoice=crystSi&amp;mountingplace=free&amp;usehorizon=1</v>
      </c>
    </row>
    <row r="5362">
      <c r="A5362" t="n">
        <v>85</v>
      </c>
      <c r="B5362" t="n">
        <v>240</v>
      </c>
      <c r="C5362" t="n">
        <v>1</v>
      </c>
      <c r="D5362" s="218" t="n">
        <v>81.26</v>
      </c>
      <c r="E5362" s="218" t="n">
        <v>2.62</v>
      </c>
      <c r="F5362" t="str">
        <v>https://re.jrc.ec.europa.eu/api/v5_3/PVcalc?lat=30.0444&amp;lon=31.2357&amp;peakpower=1&amp;loss=14&amp;angle=85&amp;aspect=60&amp;outputformat=json&amp;raddatabase=PVGIS-SARAH3&amp;pvtechchoice=crystSi&amp;mountingplace=free&amp;usehorizon=1</v>
      </c>
    </row>
    <row r="5363">
      <c r="A5363" t="n">
        <v>85</v>
      </c>
      <c r="B5363" t="n">
        <v>240</v>
      </c>
      <c r="C5363" t="n">
        <v>2</v>
      </c>
      <c r="D5363" s="218" t="n">
        <v>78.68</v>
      </c>
      <c r="E5363" s="218" t="n">
        <v>2.81</v>
      </c>
      <c r="F5363" t="str">
        <v>https://re.jrc.ec.europa.eu/api/v5_3/PVcalc?lat=30.0444&amp;lon=31.2357&amp;peakpower=1&amp;loss=14&amp;angle=85&amp;aspect=60&amp;outputformat=json&amp;raddatabase=PVGIS-SARAH3&amp;pvtechchoice=crystSi&amp;mountingplace=free&amp;usehorizon=1</v>
      </c>
    </row>
    <row r="5364">
      <c r="A5364" t="n">
        <v>85</v>
      </c>
      <c r="B5364" t="n">
        <v>240</v>
      </c>
      <c r="C5364" t="n">
        <v>3</v>
      </c>
      <c r="D5364" s="218" t="n">
        <v>98.94</v>
      </c>
      <c r="E5364" s="218" t="n">
        <v>3.19</v>
      </c>
      <c r="F5364" t="str">
        <v>https://re.jrc.ec.europa.eu/api/v5_3/PVcalc?lat=30.0444&amp;lon=31.2357&amp;peakpower=1&amp;loss=14&amp;angle=85&amp;aspect=60&amp;outputformat=json&amp;raddatabase=PVGIS-SARAH3&amp;pvtechchoice=crystSi&amp;mountingplace=free&amp;usehorizon=1</v>
      </c>
    </row>
    <row r="5365">
      <c r="A5365" t="n">
        <v>85</v>
      </c>
      <c r="B5365" t="n">
        <v>240</v>
      </c>
      <c r="C5365" t="n">
        <v>4</v>
      </c>
      <c r="D5365" s="218" t="n">
        <v>93.81</v>
      </c>
      <c r="E5365" s="218" t="n">
        <v>3.13</v>
      </c>
      <c r="F5365" t="str">
        <v>https://re.jrc.ec.europa.eu/api/v5_3/PVcalc?lat=30.0444&amp;lon=31.2357&amp;peakpower=1&amp;loss=14&amp;angle=85&amp;aspect=60&amp;outputformat=json&amp;raddatabase=PVGIS-SARAH3&amp;pvtechchoice=crystSi&amp;mountingplace=free&amp;usehorizon=1</v>
      </c>
    </row>
    <row r="5366">
      <c r="A5366" t="n">
        <v>85</v>
      </c>
      <c r="B5366" t="n">
        <v>240</v>
      </c>
      <c r="C5366" t="n">
        <v>5</v>
      </c>
      <c r="D5366" s="218" t="n">
        <v>91.24</v>
      </c>
      <c r="E5366" s="218" t="n">
        <v>2.94</v>
      </c>
      <c r="F5366" t="str">
        <v>https://re.jrc.ec.europa.eu/api/v5_3/PVcalc?lat=30.0444&amp;lon=31.2357&amp;peakpower=1&amp;loss=14&amp;angle=85&amp;aspect=60&amp;outputformat=json&amp;raddatabase=PVGIS-SARAH3&amp;pvtechchoice=crystSi&amp;mountingplace=free&amp;usehorizon=1</v>
      </c>
    </row>
    <row r="5367">
      <c r="A5367" t="n">
        <v>85</v>
      </c>
      <c r="B5367" t="n">
        <v>240</v>
      </c>
      <c r="C5367" t="n">
        <v>6</v>
      </c>
      <c r="D5367" s="218" t="n">
        <v>88.02</v>
      </c>
      <c r="E5367" s="218" t="n">
        <v>2.93</v>
      </c>
      <c r="F5367" t="str">
        <v>https://re.jrc.ec.europa.eu/api/v5_3/PVcalc?lat=30.0444&amp;lon=31.2357&amp;peakpower=1&amp;loss=14&amp;angle=85&amp;aspect=60&amp;outputformat=json&amp;raddatabase=PVGIS-SARAH3&amp;pvtechchoice=crystSi&amp;mountingplace=free&amp;usehorizon=1</v>
      </c>
    </row>
    <row r="5368">
      <c r="A5368" t="n">
        <v>85</v>
      </c>
      <c r="B5368" t="n">
        <v>240</v>
      </c>
      <c r="C5368" t="n">
        <v>7</v>
      </c>
      <c r="D5368" s="218" t="n">
        <v>93.48</v>
      </c>
      <c r="E5368" s="218" t="n">
        <v>3.02</v>
      </c>
      <c r="F5368" t="str">
        <v>https://re.jrc.ec.europa.eu/api/v5_3/PVcalc?lat=30.0444&amp;lon=31.2357&amp;peakpower=1&amp;loss=14&amp;angle=85&amp;aspect=60&amp;outputformat=json&amp;raddatabase=PVGIS-SARAH3&amp;pvtechchoice=crystSi&amp;mountingplace=free&amp;usehorizon=1</v>
      </c>
    </row>
    <row r="5369">
      <c r="A5369" t="n">
        <v>85</v>
      </c>
      <c r="B5369" t="n">
        <v>240</v>
      </c>
      <c r="C5369" t="n">
        <v>8</v>
      </c>
      <c r="D5369" s="218" t="n">
        <v>98.85</v>
      </c>
      <c r="E5369" s="218" t="n">
        <v>3.19</v>
      </c>
      <c r="F5369" t="str">
        <v>https://re.jrc.ec.europa.eu/api/v5_3/PVcalc?lat=30.0444&amp;lon=31.2357&amp;peakpower=1&amp;loss=14&amp;angle=85&amp;aspect=60&amp;outputformat=json&amp;raddatabase=PVGIS-SARAH3&amp;pvtechchoice=crystSi&amp;mountingplace=free&amp;usehorizon=1</v>
      </c>
    </row>
    <row r="5370">
      <c r="A5370" t="n">
        <v>85</v>
      </c>
      <c r="B5370" t="n">
        <v>240</v>
      </c>
      <c r="C5370" t="n">
        <v>9</v>
      </c>
      <c r="D5370" s="218" t="n">
        <v>98.52</v>
      </c>
      <c r="E5370" s="218" t="n">
        <v>3.28</v>
      </c>
      <c r="F5370" t="str">
        <v>https://re.jrc.ec.europa.eu/api/v5_3/PVcalc?lat=30.0444&amp;lon=31.2357&amp;peakpower=1&amp;loss=14&amp;angle=85&amp;aspect=60&amp;outputformat=json&amp;raddatabase=PVGIS-SARAH3&amp;pvtechchoice=crystSi&amp;mountingplace=free&amp;usehorizon=1</v>
      </c>
    </row>
    <row r="5371">
      <c r="A5371" t="n">
        <v>85</v>
      </c>
      <c r="B5371" t="n">
        <v>240</v>
      </c>
      <c r="C5371" t="n">
        <v>10</v>
      </c>
      <c r="D5371" s="218" t="n">
        <v>95.68</v>
      </c>
      <c r="E5371" s="218" t="n">
        <v>3.09</v>
      </c>
      <c r="F5371" t="str">
        <v>https://re.jrc.ec.europa.eu/api/v5_3/PVcalc?lat=30.0444&amp;lon=31.2357&amp;peakpower=1&amp;loss=14&amp;angle=85&amp;aspect=60&amp;outputformat=json&amp;raddatabase=PVGIS-SARAH3&amp;pvtechchoice=crystSi&amp;mountingplace=free&amp;usehorizon=1</v>
      </c>
    </row>
    <row r="5372">
      <c r="A5372" t="n">
        <v>85</v>
      </c>
      <c r="B5372" t="n">
        <v>240</v>
      </c>
      <c r="C5372" t="n">
        <v>11</v>
      </c>
      <c r="D5372" s="218" t="n">
        <v>86.71</v>
      </c>
      <c r="E5372" s="218" t="n">
        <v>2.89</v>
      </c>
      <c r="F5372" t="str">
        <v>https://re.jrc.ec.europa.eu/api/v5_3/PVcalc?lat=30.0444&amp;lon=31.2357&amp;peakpower=1&amp;loss=14&amp;angle=85&amp;aspect=60&amp;outputformat=json&amp;raddatabase=PVGIS-SARAH3&amp;pvtechchoice=crystSi&amp;mountingplace=free&amp;usehorizon=1</v>
      </c>
    </row>
    <row r="5373">
      <c r="A5373" t="n">
        <v>85</v>
      </c>
      <c r="B5373" t="n">
        <v>240</v>
      </c>
      <c r="C5373" t="n">
        <v>12</v>
      </c>
      <c r="D5373" s="218" t="n">
        <v>82.51</v>
      </c>
      <c r="E5373" s="218" t="n">
        <v>2.66</v>
      </c>
      <c r="F5373" t="str">
        <v>https://re.jrc.ec.europa.eu/api/v5_3/PVcalc?lat=30.0444&amp;lon=31.2357&amp;peakpower=1&amp;loss=14&amp;angle=85&amp;aspect=60&amp;outputformat=json&amp;raddatabase=PVGIS-SARAH3&amp;pvtechchoice=crystSi&amp;mountingplace=free&amp;usehorizon=1</v>
      </c>
    </row>
    <row r="5374">
      <c r="A5374" t="n">
        <v>85</v>
      </c>
      <c r="B5374" t="n">
        <v>255</v>
      </c>
      <c r="C5374" t="n">
        <v>1</v>
      </c>
      <c r="D5374" s="218" t="n">
        <v>66.21</v>
      </c>
      <c r="E5374" s="218" t="n">
        <v>2.14</v>
      </c>
      <c r="F5374" t="str">
        <v>https://re.jrc.ec.europa.eu/api/v5_3/PVcalc?lat=30.0444&amp;lon=31.2357&amp;peakpower=1&amp;loss=14&amp;angle=85&amp;aspect=75&amp;outputformat=json&amp;raddatabase=PVGIS-SARAH3&amp;pvtechchoice=crystSi&amp;mountingplace=free&amp;usehorizon=1</v>
      </c>
    </row>
    <row r="5375">
      <c r="A5375" t="n">
        <v>85</v>
      </c>
      <c r="B5375" t="n">
        <v>255</v>
      </c>
      <c r="C5375" t="n">
        <v>2</v>
      </c>
      <c r="D5375" s="218" t="n">
        <v>67.79</v>
      </c>
      <c r="E5375" s="218" t="n">
        <v>2.42</v>
      </c>
      <c r="F5375" t="str">
        <v>https://re.jrc.ec.europa.eu/api/v5_3/PVcalc?lat=30.0444&amp;lon=31.2357&amp;peakpower=1&amp;loss=14&amp;angle=85&amp;aspect=75&amp;outputformat=json&amp;raddatabase=PVGIS-SARAH3&amp;pvtechchoice=crystSi&amp;mountingplace=free&amp;usehorizon=1</v>
      </c>
    </row>
    <row r="5376">
      <c r="A5376" t="n">
        <v>85</v>
      </c>
      <c r="B5376" t="n">
        <v>255</v>
      </c>
      <c r="C5376" t="n">
        <v>3</v>
      </c>
      <c r="D5376" s="218" t="n">
        <v>90.79</v>
      </c>
      <c r="E5376" s="218" t="n">
        <v>2.93</v>
      </c>
      <c r="F5376" t="str">
        <v>https://re.jrc.ec.europa.eu/api/v5_3/PVcalc?lat=30.0444&amp;lon=31.2357&amp;peakpower=1&amp;loss=14&amp;angle=85&amp;aspect=75&amp;outputformat=json&amp;raddatabase=PVGIS-SARAH3&amp;pvtechchoice=crystSi&amp;mountingplace=free&amp;usehorizon=1</v>
      </c>
    </row>
    <row r="5377">
      <c r="A5377" t="n">
        <v>85</v>
      </c>
      <c r="B5377" t="n">
        <v>255</v>
      </c>
      <c r="C5377" t="n">
        <v>4</v>
      </c>
      <c r="D5377" s="218" t="n">
        <v>91.39</v>
      </c>
      <c r="E5377" s="218" t="n">
        <v>3.05</v>
      </c>
      <c r="F5377" t="str">
        <v>https://re.jrc.ec.europa.eu/api/v5_3/PVcalc?lat=30.0444&amp;lon=31.2357&amp;peakpower=1&amp;loss=14&amp;angle=85&amp;aspect=75&amp;outputformat=json&amp;raddatabase=PVGIS-SARAH3&amp;pvtechchoice=crystSi&amp;mountingplace=free&amp;usehorizon=1</v>
      </c>
    </row>
    <row r="5378">
      <c r="A5378" t="n">
        <v>85</v>
      </c>
      <c r="B5378" t="n">
        <v>255</v>
      </c>
      <c r="C5378" t="n">
        <v>5</v>
      </c>
      <c r="D5378" s="218" t="n">
        <v>94.1</v>
      </c>
      <c r="E5378" s="218" t="n">
        <v>3.04</v>
      </c>
      <c r="F5378" t="str">
        <v>https://re.jrc.ec.europa.eu/api/v5_3/PVcalc?lat=30.0444&amp;lon=31.2357&amp;peakpower=1&amp;loss=14&amp;angle=85&amp;aspect=75&amp;outputformat=json&amp;raddatabase=PVGIS-SARAH3&amp;pvtechchoice=crystSi&amp;mountingplace=free&amp;usehorizon=1</v>
      </c>
    </row>
    <row r="5379">
      <c r="A5379" t="n">
        <v>85</v>
      </c>
      <c r="B5379" t="n">
        <v>255</v>
      </c>
      <c r="C5379" t="n">
        <v>6</v>
      </c>
      <c r="D5379" s="218" t="n">
        <v>95.9</v>
      </c>
      <c r="E5379" s="218" t="n">
        <v>3.2</v>
      </c>
      <c r="F5379" t="str">
        <v>https://re.jrc.ec.europa.eu/api/v5_3/PVcalc?lat=30.0444&amp;lon=31.2357&amp;peakpower=1&amp;loss=14&amp;angle=85&amp;aspect=75&amp;outputformat=json&amp;raddatabase=PVGIS-SARAH3&amp;pvtechchoice=crystSi&amp;mountingplace=free&amp;usehorizon=1</v>
      </c>
    </row>
    <row r="5380">
      <c r="A5380" t="n">
        <v>85</v>
      </c>
      <c r="B5380" t="n">
        <v>255</v>
      </c>
      <c r="C5380" t="n">
        <v>7</v>
      </c>
      <c r="D5380" s="218" t="n">
        <v>100.57</v>
      </c>
      <c r="E5380" s="218" t="n">
        <v>3.24</v>
      </c>
      <c r="F5380" t="str">
        <v>https://re.jrc.ec.europa.eu/api/v5_3/PVcalc?lat=30.0444&amp;lon=31.2357&amp;peakpower=1&amp;loss=14&amp;angle=85&amp;aspect=75&amp;outputformat=json&amp;raddatabase=PVGIS-SARAH3&amp;pvtechchoice=crystSi&amp;mountingplace=free&amp;usehorizon=1</v>
      </c>
    </row>
    <row r="5381">
      <c r="A5381" t="n">
        <v>85</v>
      </c>
      <c r="B5381" t="n">
        <v>255</v>
      </c>
      <c r="C5381" t="n">
        <v>8</v>
      </c>
      <c r="D5381" s="218" t="n">
        <v>99.59</v>
      </c>
      <c r="E5381" s="218" t="n">
        <v>3.21</v>
      </c>
      <c r="F5381" t="str">
        <v>https://re.jrc.ec.europa.eu/api/v5_3/PVcalc?lat=30.0444&amp;lon=31.2357&amp;peakpower=1&amp;loss=14&amp;angle=85&amp;aspect=75&amp;outputformat=json&amp;raddatabase=PVGIS-SARAH3&amp;pvtechchoice=crystSi&amp;mountingplace=free&amp;usehorizon=1</v>
      </c>
    </row>
    <row r="5382">
      <c r="A5382" t="n">
        <v>85</v>
      </c>
      <c r="B5382" t="n">
        <v>255</v>
      </c>
      <c r="C5382" t="n">
        <v>9</v>
      </c>
      <c r="D5382" s="218" t="n">
        <v>93.5</v>
      </c>
      <c r="E5382" s="218" t="n">
        <v>3.12</v>
      </c>
      <c r="F5382" t="str">
        <v>https://re.jrc.ec.europa.eu/api/v5_3/PVcalc?lat=30.0444&amp;lon=31.2357&amp;peakpower=1&amp;loss=14&amp;angle=85&amp;aspect=75&amp;outputformat=json&amp;raddatabase=PVGIS-SARAH3&amp;pvtechchoice=crystSi&amp;mountingplace=free&amp;usehorizon=1</v>
      </c>
    </row>
    <row r="5383">
      <c r="A5383" t="n">
        <v>85</v>
      </c>
      <c r="B5383" t="n">
        <v>255</v>
      </c>
      <c r="C5383" t="n">
        <v>10</v>
      </c>
      <c r="D5383" s="218" t="n">
        <v>84.54</v>
      </c>
      <c r="E5383" s="218" t="n">
        <v>2.73</v>
      </c>
      <c r="F5383" t="str">
        <v>https://re.jrc.ec.europa.eu/api/v5_3/PVcalc?lat=30.0444&amp;lon=31.2357&amp;peakpower=1&amp;loss=14&amp;angle=85&amp;aspect=75&amp;outputformat=json&amp;raddatabase=PVGIS-SARAH3&amp;pvtechchoice=crystSi&amp;mountingplace=free&amp;usehorizon=1</v>
      </c>
    </row>
    <row r="5384">
      <c r="A5384" t="n">
        <v>85</v>
      </c>
      <c r="B5384" t="n">
        <v>255</v>
      </c>
      <c r="C5384" t="n">
        <v>11</v>
      </c>
      <c r="D5384" s="218" t="n">
        <v>71.77</v>
      </c>
      <c r="E5384" s="218" t="n">
        <v>2.39</v>
      </c>
      <c r="F5384" t="str">
        <v>https://re.jrc.ec.europa.eu/api/v5_3/PVcalc?lat=30.0444&amp;lon=31.2357&amp;peakpower=1&amp;loss=14&amp;angle=85&amp;aspect=75&amp;outputformat=json&amp;raddatabase=PVGIS-SARAH3&amp;pvtechchoice=crystSi&amp;mountingplace=free&amp;usehorizon=1</v>
      </c>
    </row>
    <row r="5385">
      <c r="A5385" t="n">
        <v>85</v>
      </c>
      <c r="B5385" t="n">
        <v>255</v>
      </c>
      <c r="C5385" t="n">
        <v>12</v>
      </c>
      <c r="D5385" s="218" t="n">
        <v>65.84</v>
      </c>
      <c r="E5385" s="218" t="n">
        <v>2.12</v>
      </c>
      <c r="F5385" t="str">
        <v>https://re.jrc.ec.europa.eu/api/v5_3/PVcalc?lat=30.0444&amp;lon=31.2357&amp;peakpower=1&amp;loss=14&amp;angle=85&amp;aspect=75&amp;outputformat=json&amp;raddatabase=PVGIS-SARAH3&amp;pvtechchoice=crystSi&amp;mountingplace=free&amp;usehorizon=1</v>
      </c>
    </row>
    <row r="5386">
      <c r="A5386" t="n">
        <v>85</v>
      </c>
      <c r="B5386" t="n">
        <v>270</v>
      </c>
      <c r="C5386" t="n">
        <v>1</v>
      </c>
      <c r="D5386" s="218" t="n">
        <v>51.23</v>
      </c>
      <c r="E5386" s="218" t="n">
        <v>1.65</v>
      </c>
      <c r="F5386" t="str">
        <v>https://re.jrc.ec.europa.eu/api/v5_3/PVcalc?lat=30.0444&amp;lon=31.2357&amp;peakpower=1&amp;loss=14&amp;angle=85&amp;aspect=90&amp;outputformat=json&amp;raddatabase=PVGIS-SARAH3&amp;pvtechchoice=crystSi&amp;mountingplace=free&amp;usehorizon=1</v>
      </c>
    </row>
    <row r="5387">
      <c r="A5387" t="n">
        <v>85</v>
      </c>
      <c r="B5387" t="n">
        <v>270</v>
      </c>
      <c r="C5387" t="n">
        <v>2</v>
      </c>
      <c r="D5387" s="218" t="n">
        <v>57.06</v>
      </c>
      <c r="E5387" s="218" t="n">
        <v>2.04</v>
      </c>
      <c r="F5387" t="str">
        <v>https://re.jrc.ec.europa.eu/api/v5_3/PVcalc?lat=30.0444&amp;lon=31.2357&amp;peakpower=1&amp;loss=14&amp;angle=85&amp;aspect=90&amp;outputformat=json&amp;raddatabase=PVGIS-SARAH3&amp;pvtechchoice=crystSi&amp;mountingplace=free&amp;usehorizon=1</v>
      </c>
    </row>
    <row r="5388">
      <c r="A5388" t="n">
        <v>85</v>
      </c>
      <c r="B5388" t="n">
        <v>270</v>
      </c>
      <c r="C5388" t="n">
        <v>3</v>
      </c>
      <c r="D5388" s="218" t="n">
        <v>81.77</v>
      </c>
      <c r="E5388" s="218" t="n">
        <v>2.64</v>
      </c>
      <c r="F5388" t="str">
        <v>https://re.jrc.ec.europa.eu/api/v5_3/PVcalc?lat=30.0444&amp;lon=31.2357&amp;peakpower=1&amp;loss=14&amp;angle=85&amp;aspect=90&amp;outputformat=json&amp;raddatabase=PVGIS-SARAH3&amp;pvtechchoice=crystSi&amp;mountingplace=free&amp;usehorizon=1</v>
      </c>
    </row>
    <row r="5389">
      <c r="A5389" t="n">
        <v>85</v>
      </c>
      <c r="B5389" t="n">
        <v>270</v>
      </c>
      <c r="C5389" t="n">
        <v>4</v>
      </c>
      <c r="D5389" s="218" t="n">
        <v>87.38</v>
      </c>
      <c r="E5389" s="218" t="n">
        <v>2.91</v>
      </c>
      <c r="F5389" t="str">
        <v>https://re.jrc.ec.europa.eu/api/v5_3/PVcalc?lat=30.0444&amp;lon=31.2357&amp;peakpower=1&amp;loss=14&amp;angle=85&amp;aspect=90&amp;outputformat=json&amp;raddatabase=PVGIS-SARAH3&amp;pvtechchoice=crystSi&amp;mountingplace=free&amp;usehorizon=1</v>
      </c>
    </row>
    <row r="5390">
      <c r="A5390" t="n">
        <v>85</v>
      </c>
      <c r="B5390" t="n">
        <v>270</v>
      </c>
      <c r="C5390" t="n">
        <v>5</v>
      </c>
      <c r="D5390" s="218" t="n">
        <v>94.61</v>
      </c>
      <c r="E5390" s="218" t="n">
        <v>3.05</v>
      </c>
      <c r="F5390" t="str">
        <v>https://re.jrc.ec.europa.eu/api/v5_3/PVcalc?lat=30.0444&amp;lon=31.2357&amp;peakpower=1&amp;loss=14&amp;angle=85&amp;aspect=90&amp;outputformat=json&amp;raddatabase=PVGIS-SARAH3&amp;pvtechchoice=crystSi&amp;mountingplace=free&amp;usehorizon=1</v>
      </c>
    </row>
    <row r="5391">
      <c r="A5391" t="n">
        <v>85</v>
      </c>
      <c r="B5391" t="n">
        <v>270</v>
      </c>
      <c r="C5391" t="n">
        <v>6</v>
      </c>
      <c r="D5391" s="218" t="n">
        <v>99.2</v>
      </c>
      <c r="E5391" s="218" t="n">
        <v>3.31</v>
      </c>
      <c r="F5391" t="str">
        <v>https://re.jrc.ec.europa.eu/api/v5_3/PVcalc?lat=30.0444&amp;lon=31.2357&amp;peakpower=1&amp;loss=14&amp;angle=85&amp;aspect=90&amp;outputformat=json&amp;raddatabase=PVGIS-SARAH3&amp;pvtechchoice=crystSi&amp;mountingplace=free&amp;usehorizon=1</v>
      </c>
    </row>
    <row r="5392">
      <c r="A5392" t="n">
        <v>85</v>
      </c>
      <c r="B5392" t="n">
        <v>270</v>
      </c>
      <c r="C5392" t="n">
        <v>7</v>
      </c>
      <c r="D5392" s="218" t="n">
        <v>102.86</v>
      </c>
      <c r="E5392" s="218" t="n">
        <v>3.32</v>
      </c>
      <c r="F5392" t="str">
        <v>https://re.jrc.ec.europa.eu/api/v5_3/PVcalc?lat=30.0444&amp;lon=31.2357&amp;peakpower=1&amp;loss=14&amp;angle=85&amp;aspect=90&amp;outputformat=json&amp;raddatabase=PVGIS-SARAH3&amp;pvtechchoice=crystSi&amp;mountingplace=free&amp;usehorizon=1</v>
      </c>
    </row>
    <row r="5393">
      <c r="A5393" t="n">
        <v>85</v>
      </c>
      <c r="B5393" t="n">
        <v>270</v>
      </c>
      <c r="C5393" t="n">
        <v>8</v>
      </c>
      <c r="D5393" s="218" t="n">
        <v>97.42</v>
      </c>
      <c r="E5393" s="218" t="n">
        <v>3.14</v>
      </c>
      <c r="F5393" t="str">
        <v>https://re.jrc.ec.europa.eu/api/v5_3/PVcalc?lat=30.0444&amp;lon=31.2357&amp;peakpower=1&amp;loss=14&amp;angle=85&amp;aspect=90&amp;outputformat=json&amp;raddatabase=PVGIS-SARAH3&amp;pvtechchoice=crystSi&amp;mountingplace=free&amp;usehorizon=1</v>
      </c>
    </row>
    <row r="5394">
      <c r="A5394" t="n">
        <v>85</v>
      </c>
      <c r="B5394" t="n">
        <v>270</v>
      </c>
      <c r="C5394" t="n">
        <v>9</v>
      </c>
      <c r="D5394" s="218" t="n">
        <v>85.2</v>
      </c>
      <c r="E5394" s="218" t="n">
        <v>2.84</v>
      </c>
      <c r="F5394" t="str">
        <v>https://re.jrc.ec.europa.eu/api/v5_3/PVcalc?lat=30.0444&amp;lon=31.2357&amp;peakpower=1&amp;loss=14&amp;angle=85&amp;aspect=90&amp;outputformat=json&amp;raddatabase=PVGIS-SARAH3&amp;pvtechchoice=crystSi&amp;mountingplace=free&amp;usehorizon=1</v>
      </c>
    </row>
    <row r="5395">
      <c r="A5395" t="n">
        <v>85</v>
      </c>
      <c r="B5395" t="n">
        <v>270</v>
      </c>
      <c r="C5395" t="n">
        <v>10</v>
      </c>
      <c r="D5395" s="218" t="n">
        <v>71.37</v>
      </c>
      <c r="E5395" s="218" t="n">
        <v>2.3</v>
      </c>
      <c r="F5395" t="str">
        <v>https://re.jrc.ec.europa.eu/api/v5_3/PVcalc?lat=30.0444&amp;lon=31.2357&amp;peakpower=1&amp;loss=14&amp;angle=85&amp;aspect=90&amp;outputformat=json&amp;raddatabase=PVGIS-SARAH3&amp;pvtechchoice=crystSi&amp;mountingplace=free&amp;usehorizon=1</v>
      </c>
    </row>
    <row r="5396">
      <c r="A5396" t="n">
        <v>85</v>
      </c>
      <c r="B5396" t="n">
        <v>270</v>
      </c>
      <c r="C5396" t="n">
        <v>11</v>
      </c>
      <c r="D5396" s="218" t="n">
        <v>56.43</v>
      </c>
      <c r="E5396" s="218" t="n">
        <v>1.88</v>
      </c>
      <c r="F5396" t="str">
        <v>https://re.jrc.ec.europa.eu/api/v5_3/PVcalc?lat=30.0444&amp;lon=31.2357&amp;peakpower=1&amp;loss=14&amp;angle=85&amp;aspect=90&amp;outputformat=json&amp;raddatabase=PVGIS-SARAH3&amp;pvtechchoice=crystSi&amp;mountingplace=free&amp;usehorizon=1</v>
      </c>
    </row>
    <row r="5397">
      <c r="A5397" t="n">
        <v>85</v>
      </c>
      <c r="B5397" t="n">
        <v>270</v>
      </c>
      <c r="C5397" t="n">
        <v>12</v>
      </c>
      <c r="D5397" s="218" t="n">
        <v>49.79</v>
      </c>
      <c r="E5397" s="218" t="n">
        <v>1.61</v>
      </c>
      <c r="F5397" t="str">
        <v>https://re.jrc.ec.europa.eu/api/v5_3/PVcalc?lat=30.0444&amp;lon=31.2357&amp;peakpower=1&amp;loss=14&amp;angle=85&amp;aspect=90&amp;outputformat=json&amp;raddatabase=PVGIS-SARAH3&amp;pvtechchoice=crystSi&amp;mountingplace=free&amp;usehorizon=1</v>
      </c>
    </row>
    <row r="5398">
      <c r="A5398" t="n">
        <v>85</v>
      </c>
      <c r="B5398" t="n">
        <v>285</v>
      </c>
      <c r="C5398" t="n">
        <v>1</v>
      </c>
      <c r="D5398" s="218" t="n">
        <v>37.07</v>
      </c>
      <c r="E5398" s="218" t="n">
        <v>1.2</v>
      </c>
      <c r="F5398" t="str">
        <v>https://re.jrc.ec.europa.eu/api/v5_3/PVcalc?lat=30.0444&amp;lon=31.2357&amp;peakpower=1&amp;loss=14&amp;angle=85&amp;aspect=105&amp;outputformat=json&amp;raddatabase=PVGIS-SARAH3&amp;pvtechchoice=crystSi&amp;mountingplace=free&amp;usehorizon=1</v>
      </c>
    </row>
    <row r="5399">
      <c r="A5399" t="n">
        <v>85</v>
      </c>
      <c r="B5399" t="n">
        <v>285</v>
      </c>
      <c r="C5399" t="n">
        <v>2</v>
      </c>
      <c r="D5399" s="218" t="n">
        <v>45.06</v>
      </c>
      <c r="E5399" s="218" t="n">
        <v>1.61</v>
      </c>
      <c r="F5399" t="str">
        <v>https://re.jrc.ec.europa.eu/api/v5_3/PVcalc?lat=30.0444&amp;lon=31.2357&amp;peakpower=1&amp;loss=14&amp;angle=85&amp;aspect=105&amp;outputformat=json&amp;raddatabase=PVGIS-SARAH3&amp;pvtechchoice=crystSi&amp;mountingplace=free&amp;usehorizon=1</v>
      </c>
    </row>
    <row r="5400">
      <c r="A5400" t="n">
        <v>85</v>
      </c>
      <c r="B5400" t="n">
        <v>285</v>
      </c>
      <c r="C5400" t="n">
        <v>3</v>
      </c>
      <c r="D5400" s="218" t="n">
        <v>69.31</v>
      </c>
      <c r="E5400" s="218" t="n">
        <v>2.24</v>
      </c>
      <c r="F5400" t="str">
        <v>https://re.jrc.ec.europa.eu/api/v5_3/PVcalc?lat=30.0444&amp;lon=31.2357&amp;peakpower=1&amp;loss=14&amp;angle=85&amp;aspect=105&amp;outputformat=json&amp;raddatabase=PVGIS-SARAH3&amp;pvtechchoice=crystSi&amp;mountingplace=free&amp;usehorizon=1</v>
      </c>
    </row>
    <row r="5401">
      <c r="A5401" t="n">
        <v>85</v>
      </c>
      <c r="B5401" t="n">
        <v>285</v>
      </c>
      <c r="C5401" t="n">
        <v>4</v>
      </c>
      <c r="D5401" s="218" t="n">
        <v>80.03</v>
      </c>
      <c r="E5401" s="218" t="n">
        <v>2.67</v>
      </c>
      <c r="F5401" t="str">
        <v>https://re.jrc.ec.europa.eu/api/v5_3/PVcalc?lat=30.0444&amp;lon=31.2357&amp;peakpower=1&amp;loss=14&amp;angle=85&amp;aspect=105&amp;outputformat=json&amp;raddatabase=PVGIS-SARAH3&amp;pvtechchoice=crystSi&amp;mountingplace=free&amp;usehorizon=1</v>
      </c>
    </row>
    <row r="5402">
      <c r="A5402" t="n">
        <v>85</v>
      </c>
      <c r="B5402" t="n">
        <v>285</v>
      </c>
      <c r="C5402" t="n">
        <v>5</v>
      </c>
      <c r="D5402" s="218" t="n">
        <v>91.15</v>
      </c>
      <c r="E5402" s="218" t="n">
        <v>2.94</v>
      </c>
      <c r="F5402" t="str">
        <v>https://re.jrc.ec.europa.eu/api/v5_3/PVcalc?lat=30.0444&amp;lon=31.2357&amp;peakpower=1&amp;loss=14&amp;angle=85&amp;aspect=105&amp;outputformat=json&amp;raddatabase=PVGIS-SARAH3&amp;pvtechchoice=crystSi&amp;mountingplace=free&amp;usehorizon=1</v>
      </c>
    </row>
    <row r="5403">
      <c r="A5403" t="n">
        <v>85</v>
      </c>
      <c r="B5403" t="n">
        <v>285</v>
      </c>
      <c r="C5403" t="n">
        <v>6</v>
      </c>
      <c r="D5403" s="218" t="n">
        <v>97.95</v>
      </c>
      <c r="E5403" s="218" t="n">
        <v>3.27</v>
      </c>
      <c r="F5403" t="str">
        <v>https://re.jrc.ec.europa.eu/api/v5_3/PVcalc?lat=30.0444&amp;lon=31.2357&amp;peakpower=1&amp;loss=14&amp;angle=85&amp;aspect=105&amp;outputformat=json&amp;raddatabase=PVGIS-SARAH3&amp;pvtechchoice=crystSi&amp;mountingplace=free&amp;usehorizon=1</v>
      </c>
    </row>
    <row r="5404">
      <c r="A5404" t="n">
        <v>85</v>
      </c>
      <c r="B5404" t="n">
        <v>285</v>
      </c>
      <c r="C5404" t="n">
        <v>7</v>
      </c>
      <c r="D5404" s="218" t="n">
        <v>100.47</v>
      </c>
      <c r="E5404" s="218" t="n">
        <v>3.24</v>
      </c>
      <c r="F5404" t="str">
        <v>https://re.jrc.ec.europa.eu/api/v5_3/PVcalc?lat=30.0444&amp;lon=31.2357&amp;peakpower=1&amp;loss=14&amp;angle=85&amp;aspect=105&amp;outputformat=json&amp;raddatabase=PVGIS-SARAH3&amp;pvtechchoice=crystSi&amp;mountingplace=free&amp;usehorizon=1</v>
      </c>
    </row>
    <row r="5405">
      <c r="A5405" t="n">
        <v>85</v>
      </c>
      <c r="B5405" t="n">
        <v>285</v>
      </c>
      <c r="C5405" t="n">
        <v>8</v>
      </c>
      <c r="D5405" s="218" t="n">
        <v>91.04</v>
      </c>
      <c r="E5405" s="218" t="n">
        <v>2.94</v>
      </c>
      <c r="F5405" t="str">
        <v>https://re.jrc.ec.europa.eu/api/v5_3/PVcalc?lat=30.0444&amp;lon=31.2357&amp;peakpower=1&amp;loss=14&amp;angle=85&amp;aspect=105&amp;outputformat=json&amp;raddatabase=PVGIS-SARAH3&amp;pvtechchoice=crystSi&amp;mountingplace=free&amp;usehorizon=1</v>
      </c>
    </row>
    <row r="5406">
      <c r="A5406" t="n">
        <v>85</v>
      </c>
      <c r="B5406" t="n">
        <v>285</v>
      </c>
      <c r="C5406" t="n">
        <v>9</v>
      </c>
      <c r="D5406" s="218" t="n">
        <v>74.64</v>
      </c>
      <c r="E5406" s="218" t="n">
        <v>2.49</v>
      </c>
      <c r="F5406" t="str">
        <v>https://re.jrc.ec.europa.eu/api/v5_3/PVcalc?lat=30.0444&amp;lon=31.2357&amp;peakpower=1&amp;loss=14&amp;angle=85&amp;aspect=105&amp;outputformat=json&amp;raddatabase=PVGIS-SARAH3&amp;pvtechchoice=crystSi&amp;mountingplace=free&amp;usehorizon=1</v>
      </c>
    </row>
    <row r="5407">
      <c r="A5407" t="n">
        <v>85</v>
      </c>
      <c r="B5407" t="n">
        <v>285</v>
      </c>
      <c r="C5407" t="n">
        <v>10</v>
      </c>
      <c r="D5407" s="218" t="n">
        <v>57.84</v>
      </c>
      <c r="E5407" s="218" t="n">
        <v>1.87</v>
      </c>
      <c r="F5407" t="str">
        <v>https://re.jrc.ec.europa.eu/api/v5_3/PVcalc?lat=30.0444&amp;lon=31.2357&amp;peakpower=1&amp;loss=14&amp;angle=85&amp;aspect=105&amp;outputformat=json&amp;raddatabase=PVGIS-SARAH3&amp;pvtechchoice=crystSi&amp;mountingplace=free&amp;usehorizon=1</v>
      </c>
    </row>
    <row r="5408">
      <c r="A5408" t="n">
        <v>85</v>
      </c>
      <c r="B5408" t="n">
        <v>285</v>
      </c>
      <c r="C5408" t="n">
        <v>11</v>
      </c>
      <c r="D5408" s="218" t="n">
        <v>41.34</v>
      </c>
      <c r="E5408" s="218" t="n">
        <v>1.38</v>
      </c>
      <c r="F5408" t="str">
        <v>https://re.jrc.ec.europa.eu/api/v5_3/PVcalc?lat=30.0444&amp;lon=31.2357&amp;peakpower=1&amp;loss=14&amp;angle=85&amp;aspect=105&amp;outputformat=json&amp;raddatabase=PVGIS-SARAH3&amp;pvtechchoice=crystSi&amp;mountingplace=free&amp;usehorizon=1</v>
      </c>
    </row>
    <row r="5409">
      <c r="A5409" t="n">
        <v>85</v>
      </c>
      <c r="B5409" t="n">
        <v>285</v>
      </c>
      <c r="C5409" t="n">
        <v>12</v>
      </c>
      <c r="D5409" s="218" t="n">
        <v>34.9</v>
      </c>
      <c r="E5409" s="218" t="n">
        <v>1.13</v>
      </c>
      <c r="F5409" t="str">
        <v>https://re.jrc.ec.europa.eu/api/v5_3/PVcalc?lat=30.0444&amp;lon=31.2357&amp;peakpower=1&amp;loss=14&amp;angle=85&amp;aspect=105&amp;outputformat=json&amp;raddatabase=PVGIS-SARAH3&amp;pvtechchoice=crystSi&amp;mountingplace=free&amp;usehorizon=1</v>
      </c>
    </row>
    <row r="5410">
      <c r="A5410" t="n">
        <v>85</v>
      </c>
      <c r="B5410" t="n">
        <v>300</v>
      </c>
      <c r="C5410" t="n">
        <v>1</v>
      </c>
      <c r="D5410" s="218" t="n">
        <v>24.71</v>
      </c>
      <c r="E5410" s="218" t="n">
        <v>0.8</v>
      </c>
      <c r="F5410" t="str">
        <v>https://re.jrc.ec.europa.eu/api/v5_3/PVcalc?lat=30.0444&amp;lon=31.2357&amp;peakpower=1&amp;loss=14&amp;angle=85&amp;aspect=120&amp;outputformat=json&amp;raddatabase=PVGIS-SARAH3&amp;pvtechchoice=crystSi&amp;mountingplace=free&amp;usehorizon=1</v>
      </c>
    </row>
    <row r="5411">
      <c r="A5411" t="n">
        <v>85</v>
      </c>
      <c r="B5411" t="n">
        <v>300</v>
      </c>
      <c r="C5411" t="n">
        <v>2</v>
      </c>
      <c r="D5411" s="218" t="n">
        <v>33.2</v>
      </c>
      <c r="E5411" s="218" t="n">
        <v>1.19</v>
      </c>
      <c r="F5411" t="str">
        <v>https://re.jrc.ec.europa.eu/api/v5_3/PVcalc?lat=30.0444&amp;lon=31.2357&amp;peakpower=1&amp;loss=14&amp;angle=85&amp;aspect=120&amp;outputformat=json&amp;raddatabase=PVGIS-SARAH3&amp;pvtechchoice=crystSi&amp;mountingplace=free&amp;usehorizon=1</v>
      </c>
    </row>
    <row r="5412">
      <c r="A5412" t="n">
        <v>85</v>
      </c>
      <c r="B5412" t="n">
        <v>300</v>
      </c>
      <c r="C5412" t="n">
        <v>3</v>
      </c>
      <c r="D5412" s="218" t="n">
        <v>56.4</v>
      </c>
      <c r="E5412" s="218" t="n">
        <v>1.82</v>
      </c>
      <c r="F5412" t="str">
        <v>https://re.jrc.ec.europa.eu/api/v5_3/PVcalc?lat=30.0444&amp;lon=31.2357&amp;peakpower=1&amp;loss=14&amp;angle=85&amp;aspect=120&amp;outputformat=json&amp;raddatabase=PVGIS-SARAH3&amp;pvtechchoice=crystSi&amp;mountingplace=free&amp;usehorizon=1</v>
      </c>
    </row>
    <row r="5413">
      <c r="A5413" t="n">
        <v>85</v>
      </c>
      <c r="B5413" t="n">
        <v>300</v>
      </c>
      <c r="C5413" t="n">
        <v>4</v>
      </c>
      <c r="D5413" s="218" t="n">
        <v>69.04</v>
      </c>
      <c r="E5413" s="218" t="n">
        <v>2.3</v>
      </c>
      <c r="F5413" t="str">
        <v>https://re.jrc.ec.europa.eu/api/v5_3/PVcalc?lat=30.0444&amp;lon=31.2357&amp;peakpower=1&amp;loss=14&amp;angle=85&amp;aspect=120&amp;outputformat=json&amp;raddatabase=PVGIS-SARAH3&amp;pvtechchoice=crystSi&amp;mountingplace=free&amp;usehorizon=1</v>
      </c>
    </row>
    <row r="5414">
      <c r="A5414" t="n">
        <v>85</v>
      </c>
      <c r="B5414" t="n">
        <v>300</v>
      </c>
      <c r="C5414" t="n">
        <v>5</v>
      </c>
      <c r="D5414" s="218" t="n">
        <v>83.99</v>
      </c>
      <c r="E5414" s="218" t="n">
        <v>2.71</v>
      </c>
      <c r="F5414" t="str">
        <v>https://re.jrc.ec.europa.eu/api/v5_3/PVcalc?lat=30.0444&amp;lon=31.2357&amp;peakpower=1&amp;loss=14&amp;angle=85&amp;aspect=120&amp;outputformat=json&amp;raddatabase=PVGIS-SARAH3&amp;pvtechchoice=crystSi&amp;mountingplace=free&amp;usehorizon=1</v>
      </c>
    </row>
    <row r="5415">
      <c r="A5415" t="n">
        <v>85</v>
      </c>
      <c r="B5415" t="n">
        <v>300</v>
      </c>
      <c r="C5415" t="n">
        <v>6</v>
      </c>
      <c r="D5415" s="218" t="n">
        <v>92.26</v>
      </c>
      <c r="E5415" s="218" t="n">
        <v>3.08</v>
      </c>
      <c r="F5415" t="str">
        <v>https://re.jrc.ec.europa.eu/api/v5_3/PVcalc?lat=30.0444&amp;lon=31.2357&amp;peakpower=1&amp;loss=14&amp;angle=85&amp;aspect=120&amp;outputformat=json&amp;raddatabase=PVGIS-SARAH3&amp;pvtechchoice=crystSi&amp;mountingplace=free&amp;usehorizon=1</v>
      </c>
    </row>
    <row r="5416">
      <c r="A5416" t="n">
        <v>85</v>
      </c>
      <c r="B5416" t="n">
        <v>300</v>
      </c>
      <c r="C5416" t="n">
        <v>7</v>
      </c>
      <c r="D5416" s="218" t="n">
        <v>93.6</v>
      </c>
      <c r="E5416" s="218" t="n">
        <v>3.02</v>
      </c>
      <c r="F5416" t="str">
        <v>https://re.jrc.ec.europa.eu/api/v5_3/PVcalc?lat=30.0444&amp;lon=31.2357&amp;peakpower=1&amp;loss=14&amp;angle=85&amp;aspect=120&amp;outputformat=json&amp;raddatabase=PVGIS-SARAH3&amp;pvtechchoice=crystSi&amp;mountingplace=free&amp;usehorizon=1</v>
      </c>
    </row>
    <row r="5417">
      <c r="A5417" t="n">
        <v>85</v>
      </c>
      <c r="B5417" t="n">
        <v>300</v>
      </c>
      <c r="C5417" t="n">
        <v>8</v>
      </c>
      <c r="D5417" s="218" t="n">
        <v>79.98</v>
      </c>
      <c r="E5417" s="218" t="n">
        <v>2.58</v>
      </c>
      <c r="F5417" t="str">
        <v>https://re.jrc.ec.europa.eu/api/v5_3/PVcalc?lat=30.0444&amp;lon=31.2357&amp;peakpower=1&amp;loss=14&amp;angle=85&amp;aspect=120&amp;outputformat=json&amp;raddatabase=PVGIS-SARAH3&amp;pvtechchoice=crystSi&amp;mountingplace=free&amp;usehorizon=1</v>
      </c>
    </row>
    <row r="5418">
      <c r="A5418" t="n">
        <v>85</v>
      </c>
      <c r="B5418" t="n">
        <v>300</v>
      </c>
      <c r="C5418" t="n">
        <v>9</v>
      </c>
      <c r="D5418" s="218" t="n">
        <v>60.9</v>
      </c>
      <c r="E5418" s="218" t="n">
        <v>2.03</v>
      </c>
      <c r="F5418" t="str">
        <v>https://re.jrc.ec.europa.eu/api/v5_3/PVcalc?lat=30.0444&amp;lon=31.2357&amp;peakpower=1&amp;loss=14&amp;angle=85&amp;aspect=120&amp;outputformat=json&amp;raddatabase=PVGIS-SARAH3&amp;pvtechchoice=crystSi&amp;mountingplace=free&amp;usehorizon=1</v>
      </c>
    </row>
    <row r="5419">
      <c r="A5419" t="n">
        <v>85</v>
      </c>
      <c r="B5419" t="n">
        <v>300</v>
      </c>
      <c r="C5419" t="n">
        <v>10</v>
      </c>
      <c r="D5419" s="218" t="n">
        <v>42.98</v>
      </c>
      <c r="E5419" s="218" t="n">
        <v>1.39</v>
      </c>
      <c r="F5419" t="str">
        <v>https://re.jrc.ec.europa.eu/api/v5_3/PVcalc?lat=30.0444&amp;lon=31.2357&amp;peakpower=1&amp;loss=14&amp;angle=85&amp;aspect=120&amp;outputformat=json&amp;raddatabase=PVGIS-SARAH3&amp;pvtechchoice=crystSi&amp;mountingplace=free&amp;usehorizon=1</v>
      </c>
    </row>
    <row r="5420">
      <c r="A5420" t="n">
        <v>85</v>
      </c>
      <c r="B5420" t="n">
        <v>300</v>
      </c>
      <c r="C5420" t="n">
        <v>11</v>
      </c>
      <c r="D5420" s="218" t="n">
        <v>27.94</v>
      </c>
      <c r="E5420" s="218" t="n">
        <v>0.93</v>
      </c>
      <c r="F5420" t="str">
        <v>https://re.jrc.ec.europa.eu/api/v5_3/PVcalc?lat=30.0444&amp;lon=31.2357&amp;peakpower=1&amp;loss=14&amp;angle=85&amp;aspect=120&amp;outputformat=json&amp;raddatabase=PVGIS-SARAH3&amp;pvtechchoice=crystSi&amp;mountingplace=free&amp;usehorizon=1</v>
      </c>
    </row>
    <row r="5421">
      <c r="A5421" t="n">
        <v>85</v>
      </c>
      <c r="B5421" t="n">
        <v>300</v>
      </c>
      <c r="C5421" t="n">
        <v>12</v>
      </c>
      <c r="D5421" s="218" t="n">
        <v>22.38</v>
      </c>
      <c r="E5421" s="218" t="n">
        <v>0.72</v>
      </c>
      <c r="F5421" t="str">
        <v>https://re.jrc.ec.europa.eu/api/v5_3/PVcalc?lat=30.0444&amp;lon=31.2357&amp;peakpower=1&amp;loss=14&amp;angle=85&amp;aspect=120&amp;outputformat=json&amp;raddatabase=PVGIS-SARAH3&amp;pvtechchoice=crystSi&amp;mountingplace=free&amp;usehorizon=1</v>
      </c>
    </row>
    <row r="5422">
      <c r="A5422" t="n">
        <v>85</v>
      </c>
      <c r="B5422" t="n">
        <v>315</v>
      </c>
      <c r="C5422" t="n">
        <v>1</v>
      </c>
      <c r="D5422" s="218" t="n">
        <v>15.97</v>
      </c>
      <c r="E5422" s="218" t="n">
        <v>0.52</v>
      </c>
      <c r="F5422" t="str">
        <v>https://re.jrc.ec.europa.eu/api/v5_3/PVcalc?lat=30.0444&amp;lon=31.2357&amp;peakpower=1&amp;loss=14&amp;angle=85&amp;aspect=135&amp;outputformat=json&amp;raddatabase=PVGIS-SARAH3&amp;pvtechchoice=crystSi&amp;mountingplace=free&amp;usehorizon=1</v>
      </c>
    </row>
    <row r="5423">
      <c r="A5423" t="n">
        <v>85</v>
      </c>
      <c r="B5423" t="n">
        <v>315</v>
      </c>
      <c r="C5423" t="n">
        <v>2</v>
      </c>
      <c r="D5423" s="218" t="n">
        <v>23.15</v>
      </c>
      <c r="E5423" s="218" t="n">
        <v>0.83</v>
      </c>
      <c r="F5423" t="str">
        <v>https://re.jrc.ec.europa.eu/api/v5_3/PVcalc?lat=30.0444&amp;lon=31.2357&amp;peakpower=1&amp;loss=14&amp;angle=85&amp;aspect=135&amp;outputformat=json&amp;raddatabase=PVGIS-SARAH3&amp;pvtechchoice=crystSi&amp;mountingplace=free&amp;usehorizon=1</v>
      </c>
    </row>
    <row r="5424">
      <c r="A5424" t="n">
        <v>85</v>
      </c>
      <c r="B5424" t="n">
        <v>315</v>
      </c>
      <c r="C5424" t="n">
        <v>3</v>
      </c>
      <c r="D5424" s="218" t="n">
        <v>41.9</v>
      </c>
      <c r="E5424" s="218" t="n">
        <v>1.35</v>
      </c>
      <c r="F5424" t="str">
        <v>https://re.jrc.ec.europa.eu/api/v5_3/PVcalc?lat=30.0444&amp;lon=31.2357&amp;peakpower=1&amp;loss=14&amp;angle=85&amp;aspect=135&amp;outputformat=json&amp;raddatabase=PVGIS-SARAH3&amp;pvtechchoice=crystSi&amp;mountingplace=free&amp;usehorizon=1</v>
      </c>
    </row>
    <row r="5425">
      <c r="A5425" t="n">
        <v>85</v>
      </c>
      <c r="B5425" t="n">
        <v>315</v>
      </c>
      <c r="C5425" t="n">
        <v>4</v>
      </c>
      <c r="D5425" s="218" t="n">
        <v>56.69</v>
      </c>
      <c r="E5425" s="218" t="n">
        <v>1.89</v>
      </c>
      <c r="F5425" t="str">
        <v>https://re.jrc.ec.europa.eu/api/v5_3/PVcalc?lat=30.0444&amp;lon=31.2357&amp;peakpower=1&amp;loss=14&amp;angle=85&amp;aspect=135&amp;outputformat=json&amp;raddatabase=PVGIS-SARAH3&amp;pvtechchoice=crystSi&amp;mountingplace=free&amp;usehorizon=1</v>
      </c>
    </row>
    <row r="5426">
      <c r="A5426" t="n">
        <v>85</v>
      </c>
      <c r="B5426" t="n">
        <v>315</v>
      </c>
      <c r="C5426" t="n">
        <v>5</v>
      </c>
      <c r="D5426" s="218" t="n">
        <v>72.88</v>
      </c>
      <c r="E5426" s="218" t="n">
        <v>2.35</v>
      </c>
      <c r="F5426" t="str">
        <v>https://re.jrc.ec.europa.eu/api/v5_3/PVcalc?lat=30.0444&amp;lon=31.2357&amp;peakpower=1&amp;loss=14&amp;angle=85&amp;aspect=135&amp;outputformat=json&amp;raddatabase=PVGIS-SARAH3&amp;pvtechchoice=crystSi&amp;mountingplace=free&amp;usehorizon=1</v>
      </c>
    </row>
    <row r="5427">
      <c r="A5427" t="n">
        <v>85</v>
      </c>
      <c r="B5427" t="n">
        <v>315</v>
      </c>
      <c r="C5427" t="n">
        <v>6</v>
      </c>
      <c r="D5427" s="218" t="n">
        <v>82.36</v>
      </c>
      <c r="E5427" s="218" t="n">
        <v>2.75</v>
      </c>
      <c r="F5427" t="str">
        <v>https://re.jrc.ec.europa.eu/api/v5_3/PVcalc?lat=30.0444&amp;lon=31.2357&amp;peakpower=1&amp;loss=14&amp;angle=85&amp;aspect=135&amp;outputformat=json&amp;raddatabase=PVGIS-SARAH3&amp;pvtechchoice=crystSi&amp;mountingplace=free&amp;usehorizon=1</v>
      </c>
    </row>
    <row r="5428">
      <c r="A5428" t="n">
        <v>85</v>
      </c>
      <c r="B5428" t="n">
        <v>315</v>
      </c>
      <c r="C5428" t="n">
        <v>7</v>
      </c>
      <c r="D5428" s="218" t="n">
        <v>81.84</v>
      </c>
      <c r="E5428" s="218" t="n">
        <v>2.64</v>
      </c>
      <c r="F5428" t="str">
        <v>https://re.jrc.ec.europa.eu/api/v5_3/PVcalc?lat=30.0444&amp;lon=31.2357&amp;peakpower=1&amp;loss=14&amp;angle=85&amp;aspect=135&amp;outputformat=json&amp;raddatabase=PVGIS-SARAH3&amp;pvtechchoice=crystSi&amp;mountingplace=free&amp;usehorizon=1</v>
      </c>
    </row>
    <row r="5429">
      <c r="A5429" t="n">
        <v>85</v>
      </c>
      <c r="B5429" t="n">
        <v>315</v>
      </c>
      <c r="C5429" t="n">
        <v>8</v>
      </c>
      <c r="D5429" s="218" t="n">
        <v>66.46</v>
      </c>
      <c r="E5429" s="218" t="n">
        <v>2.14</v>
      </c>
      <c r="F5429" t="str">
        <v>https://re.jrc.ec.europa.eu/api/v5_3/PVcalc?lat=30.0444&amp;lon=31.2357&amp;peakpower=1&amp;loss=14&amp;angle=85&amp;aspect=135&amp;outputformat=json&amp;raddatabase=PVGIS-SARAH3&amp;pvtechchoice=crystSi&amp;mountingplace=free&amp;usehorizon=1</v>
      </c>
    </row>
    <row r="5430">
      <c r="A5430" t="n">
        <v>85</v>
      </c>
      <c r="B5430" t="n">
        <v>315</v>
      </c>
      <c r="C5430" t="n">
        <v>9</v>
      </c>
      <c r="D5430" s="218" t="n">
        <v>46.32</v>
      </c>
      <c r="E5430" s="218" t="n">
        <v>1.54</v>
      </c>
      <c r="F5430" t="str">
        <v>https://re.jrc.ec.europa.eu/api/v5_3/PVcalc?lat=30.0444&amp;lon=31.2357&amp;peakpower=1&amp;loss=14&amp;angle=85&amp;aspect=135&amp;outputformat=json&amp;raddatabase=PVGIS-SARAH3&amp;pvtechchoice=crystSi&amp;mountingplace=free&amp;usehorizon=1</v>
      </c>
    </row>
    <row r="5431">
      <c r="A5431" t="n">
        <v>85</v>
      </c>
      <c r="B5431" t="n">
        <v>315</v>
      </c>
      <c r="C5431" t="n">
        <v>10</v>
      </c>
      <c r="D5431" s="218" t="n">
        <v>29.12</v>
      </c>
      <c r="E5431" s="218" t="n">
        <v>0.94</v>
      </c>
      <c r="F5431" t="str">
        <v>https://re.jrc.ec.europa.eu/api/v5_3/PVcalc?lat=30.0444&amp;lon=31.2357&amp;peakpower=1&amp;loss=14&amp;angle=85&amp;aspect=135&amp;outputformat=json&amp;raddatabase=PVGIS-SARAH3&amp;pvtechchoice=crystSi&amp;mountingplace=free&amp;usehorizon=1</v>
      </c>
    </row>
    <row r="5432">
      <c r="A5432" t="n">
        <v>85</v>
      </c>
      <c r="B5432" t="n">
        <v>315</v>
      </c>
      <c r="C5432" t="n">
        <v>11</v>
      </c>
      <c r="D5432" s="218" t="n">
        <v>17.36</v>
      </c>
      <c r="E5432" s="218" t="n">
        <v>0.58</v>
      </c>
      <c r="F5432" t="str">
        <v>https://re.jrc.ec.europa.eu/api/v5_3/PVcalc?lat=30.0444&amp;lon=31.2357&amp;peakpower=1&amp;loss=14&amp;angle=85&amp;aspect=135&amp;outputformat=json&amp;raddatabase=PVGIS-SARAH3&amp;pvtechchoice=crystSi&amp;mountingplace=free&amp;usehorizon=1</v>
      </c>
    </row>
    <row r="5433">
      <c r="A5433" t="n">
        <v>85</v>
      </c>
      <c r="B5433" t="n">
        <v>315</v>
      </c>
      <c r="C5433" t="n">
        <v>12</v>
      </c>
      <c r="D5433" s="218" t="n">
        <v>14.19</v>
      </c>
      <c r="E5433" s="218" t="n">
        <v>0.46</v>
      </c>
      <c r="F5433" t="str">
        <v>https://re.jrc.ec.europa.eu/api/v5_3/PVcalc?lat=30.0444&amp;lon=31.2357&amp;peakpower=1&amp;loss=14&amp;angle=85&amp;aspect=135&amp;outputformat=json&amp;raddatabase=PVGIS-SARAH3&amp;pvtechchoice=crystSi&amp;mountingplace=free&amp;usehorizon=1</v>
      </c>
    </row>
    <row r="5434">
      <c r="A5434" t="n">
        <v>85</v>
      </c>
      <c r="B5434" t="n">
        <v>330</v>
      </c>
      <c r="C5434" t="n">
        <v>1</v>
      </c>
      <c r="D5434" s="218" t="n">
        <v>12.45</v>
      </c>
      <c r="E5434" s="218" t="n">
        <v>0.4</v>
      </c>
      <c r="F5434" t="str">
        <v>https://re.jrc.ec.europa.eu/api/v5_3/PVcalc?lat=30.0444&amp;lon=31.2357&amp;peakpower=1&amp;loss=14&amp;angle=85&amp;aspect=150&amp;outputformat=json&amp;raddatabase=PVGIS-SARAH3&amp;pvtechchoice=crystSi&amp;mountingplace=free&amp;usehorizon=1</v>
      </c>
    </row>
    <row r="5435">
      <c r="A5435" t="n">
        <v>85</v>
      </c>
      <c r="B5435" t="n">
        <v>330</v>
      </c>
      <c r="C5435" t="n">
        <v>2</v>
      </c>
      <c r="D5435" s="218" t="n">
        <v>16.41</v>
      </c>
      <c r="E5435" s="218" t="n">
        <v>0.59</v>
      </c>
      <c r="F5435" t="str">
        <v>https://re.jrc.ec.europa.eu/api/v5_3/PVcalc?lat=30.0444&amp;lon=31.2357&amp;peakpower=1&amp;loss=14&amp;angle=85&amp;aspect=150&amp;outputformat=json&amp;raddatabase=PVGIS-SARAH3&amp;pvtechchoice=crystSi&amp;mountingplace=free&amp;usehorizon=1</v>
      </c>
    </row>
    <row r="5436">
      <c r="A5436" t="n">
        <v>85</v>
      </c>
      <c r="B5436" t="n">
        <v>330</v>
      </c>
      <c r="C5436" t="n">
        <v>3</v>
      </c>
      <c r="D5436" s="218" t="n">
        <v>28.95</v>
      </c>
      <c r="E5436" s="218" t="n">
        <v>0.93</v>
      </c>
      <c r="F5436" t="str">
        <v>https://re.jrc.ec.europa.eu/api/v5_3/PVcalc?lat=30.0444&amp;lon=31.2357&amp;peakpower=1&amp;loss=14&amp;angle=85&amp;aspect=150&amp;outputformat=json&amp;raddatabase=PVGIS-SARAH3&amp;pvtechchoice=crystSi&amp;mountingplace=free&amp;usehorizon=1</v>
      </c>
    </row>
    <row r="5437">
      <c r="A5437" t="n">
        <v>85</v>
      </c>
      <c r="B5437" t="n">
        <v>330</v>
      </c>
      <c r="C5437" t="n">
        <v>4</v>
      </c>
      <c r="D5437" s="218" t="n">
        <v>42.61</v>
      </c>
      <c r="E5437" s="218" t="n">
        <v>1.42</v>
      </c>
      <c r="F5437" t="str">
        <v>https://re.jrc.ec.europa.eu/api/v5_3/PVcalc?lat=30.0444&amp;lon=31.2357&amp;peakpower=1&amp;loss=14&amp;angle=85&amp;aspect=150&amp;outputformat=json&amp;raddatabase=PVGIS-SARAH3&amp;pvtechchoice=crystSi&amp;mountingplace=free&amp;usehorizon=1</v>
      </c>
    </row>
    <row r="5438">
      <c r="A5438" t="n">
        <v>85</v>
      </c>
      <c r="B5438" t="n">
        <v>330</v>
      </c>
      <c r="C5438" t="n">
        <v>5</v>
      </c>
      <c r="D5438" s="218" t="n">
        <v>58.79</v>
      </c>
      <c r="E5438" s="218" t="n">
        <v>1.9</v>
      </c>
      <c r="F5438" t="str">
        <v>https://re.jrc.ec.europa.eu/api/v5_3/PVcalc?lat=30.0444&amp;lon=31.2357&amp;peakpower=1&amp;loss=14&amp;angle=85&amp;aspect=150&amp;outputformat=json&amp;raddatabase=PVGIS-SARAH3&amp;pvtechchoice=crystSi&amp;mountingplace=free&amp;usehorizon=1</v>
      </c>
    </row>
    <row r="5439">
      <c r="A5439" t="n">
        <v>85</v>
      </c>
      <c r="B5439" t="n">
        <v>330</v>
      </c>
      <c r="C5439" t="n">
        <v>6</v>
      </c>
      <c r="D5439" s="218" t="n">
        <v>68.64</v>
      </c>
      <c r="E5439" s="218" t="n">
        <v>2.29</v>
      </c>
      <c r="F5439" t="str">
        <v>https://re.jrc.ec.europa.eu/api/v5_3/PVcalc?lat=30.0444&amp;lon=31.2357&amp;peakpower=1&amp;loss=14&amp;angle=85&amp;aspect=150&amp;outputformat=json&amp;raddatabase=PVGIS-SARAH3&amp;pvtechchoice=crystSi&amp;mountingplace=free&amp;usehorizon=1</v>
      </c>
    </row>
    <row r="5440">
      <c r="A5440" t="n">
        <v>85</v>
      </c>
      <c r="B5440" t="n">
        <v>330</v>
      </c>
      <c r="C5440" t="n">
        <v>7</v>
      </c>
      <c r="D5440" s="218" t="n">
        <v>66.23</v>
      </c>
      <c r="E5440" s="218" t="n">
        <v>2.14</v>
      </c>
      <c r="F5440" t="str">
        <v>https://re.jrc.ec.europa.eu/api/v5_3/PVcalc?lat=30.0444&amp;lon=31.2357&amp;peakpower=1&amp;loss=14&amp;angle=85&amp;aspect=150&amp;outputformat=json&amp;raddatabase=PVGIS-SARAH3&amp;pvtechchoice=crystSi&amp;mountingplace=free&amp;usehorizon=1</v>
      </c>
    </row>
    <row r="5441">
      <c r="A5441" t="n">
        <v>85</v>
      </c>
      <c r="B5441" t="n">
        <v>330</v>
      </c>
      <c r="C5441" t="n">
        <v>8</v>
      </c>
      <c r="D5441" s="218" t="n">
        <v>50.11</v>
      </c>
      <c r="E5441" s="218" t="n">
        <v>1.62</v>
      </c>
      <c r="F5441" t="str">
        <v>https://re.jrc.ec.europa.eu/api/v5_3/PVcalc?lat=30.0444&amp;lon=31.2357&amp;peakpower=1&amp;loss=14&amp;angle=85&amp;aspect=150&amp;outputformat=json&amp;raddatabase=PVGIS-SARAH3&amp;pvtechchoice=crystSi&amp;mountingplace=free&amp;usehorizon=1</v>
      </c>
    </row>
    <row r="5442">
      <c r="A5442" t="n">
        <v>85</v>
      </c>
      <c r="B5442" t="n">
        <v>330</v>
      </c>
      <c r="C5442" t="n">
        <v>9</v>
      </c>
      <c r="D5442" s="218" t="n">
        <v>31.5</v>
      </c>
      <c r="E5442" s="218" t="n">
        <v>1.05</v>
      </c>
      <c r="F5442" t="str">
        <v>https://re.jrc.ec.europa.eu/api/v5_3/PVcalc?lat=30.0444&amp;lon=31.2357&amp;peakpower=1&amp;loss=14&amp;angle=85&amp;aspect=150&amp;outputformat=json&amp;raddatabase=PVGIS-SARAH3&amp;pvtechchoice=crystSi&amp;mountingplace=free&amp;usehorizon=1</v>
      </c>
    </row>
    <row r="5443">
      <c r="A5443" t="n">
        <v>85</v>
      </c>
      <c r="B5443" t="n">
        <v>330</v>
      </c>
      <c r="C5443" t="n">
        <v>10</v>
      </c>
      <c r="D5443" s="218" t="n">
        <v>18.77</v>
      </c>
      <c r="E5443" s="218" t="n">
        <v>0.61</v>
      </c>
      <c r="F5443" t="str">
        <v>https://re.jrc.ec.europa.eu/api/v5_3/PVcalc?lat=30.0444&amp;lon=31.2357&amp;peakpower=1&amp;loss=14&amp;angle=85&amp;aspect=150&amp;outputformat=json&amp;raddatabase=PVGIS-SARAH3&amp;pvtechchoice=crystSi&amp;mountingplace=free&amp;usehorizon=1</v>
      </c>
    </row>
    <row r="5444">
      <c r="A5444" t="n">
        <v>85</v>
      </c>
      <c r="B5444" t="n">
        <v>330</v>
      </c>
      <c r="C5444" t="n">
        <v>11</v>
      </c>
      <c r="D5444" s="218" t="n">
        <v>12.34</v>
      </c>
      <c r="E5444" s="218" t="n">
        <v>0.41</v>
      </c>
      <c r="F5444" t="str">
        <v>https://re.jrc.ec.europa.eu/api/v5_3/PVcalc?lat=30.0444&amp;lon=31.2357&amp;peakpower=1&amp;loss=14&amp;angle=85&amp;aspect=150&amp;outputformat=json&amp;raddatabase=PVGIS-SARAH3&amp;pvtechchoice=crystSi&amp;mountingplace=free&amp;usehorizon=1</v>
      </c>
    </row>
    <row r="5445">
      <c r="A5445" t="n">
        <v>85</v>
      </c>
      <c r="B5445" t="n">
        <v>330</v>
      </c>
      <c r="C5445" t="n">
        <v>12</v>
      </c>
      <c r="D5445" s="218" t="n">
        <v>11.42</v>
      </c>
      <c r="E5445" s="218" t="n">
        <v>0.37</v>
      </c>
      <c r="F5445" t="str">
        <v>https://re.jrc.ec.europa.eu/api/v5_3/PVcalc?lat=30.0444&amp;lon=31.2357&amp;peakpower=1&amp;loss=14&amp;angle=85&amp;aspect=150&amp;outputformat=json&amp;raddatabase=PVGIS-SARAH3&amp;pvtechchoice=crystSi&amp;mountingplace=free&amp;usehorizon=1</v>
      </c>
    </row>
    <row r="5446">
      <c r="A5446" t="n">
        <v>85</v>
      </c>
      <c r="B5446" t="n">
        <v>345</v>
      </c>
      <c r="C5446" t="n">
        <v>1</v>
      </c>
      <c r="D5446" s="218" t="n">
        <v>12.38</v>
      </c>
      <c r="E5446" s="218" t="n">
        <v>0.4</v>
      </c>
      <c r="F5446" t="str">
        <v>https://re.jrc.ec.europa.eu/api/v5_3/PVcalc?lat=30.0444&amp;lon=31.2357&amp;peakpower=1&amp;loss=14&amp;angle=85&amp;aspect=165&amp;outputformat=json&amp;raddatabase=PVGIS-SARAH3&amp;pvtechchoice=crystSi&amp;mountingplace=free&amp;usehorizon=1</v>
      </c>
    </row>
    <row r="5447">
      <c r="A5447" t="n">
        <v>85</v>
      </c>
      <c r="B5447" t="n">
        <v>345</v>
      </c>
      <c r="C5447" t="n">
        <v>2</v>
      </c>
      <c r="D5447" s="218" t="n">
        <v>14.52</v>
      </c>
      <c r="E5447" s="218" t="n">
        <v>0.52</v>
      </c>
      <c r="F5447" t="str">
        <v>https://re.jrc.ec.europa.eu/api/v5_3/PVcalc?lat=30.0444&amp;lon=31.2357&amp;peakpower=1&amp;loss=14&amp;angle=85&amp;aspect=165&amp;outputformat=json&amp;raddatabase=PVGIS-SARAH3&amp;pvtechchoice=crystSi&amp;mountingplace=free&amp;usehorizon=1</v>
      </c>
    </row>
    <row r="5448">
      <c r="A5448" t="n">
        <v>85</v>
      </c>
      <c r="B5448" t="n">
        <v>345</v>
      </c>
      <c r="C5448" t="n">
        <v>3</v>
      </c>
      <c r="D5448" s="218" t="n">
        <v>20.44</v>
      </c>
      <c r="E5448" s="218" t="n">
        <v>0.66</v>
      </c>
      <c r="F5448" t="str">
        <v>https://re.jrc.ec.europa.eu/api/v5_3/PVcalc?lat=30.0444&amp;lon=31.2357&amp;peakpower=1&amp;loss=14&amp;angle=85&amp;aspect=165&amp;outputformat=json&amp;raddatabase=PVGIS-SARAH3&amp;pvtechchoice=crystSi&amp;mountingplace=free&amp;usehorizon=1</v>
      </c>
    </row>
    <row r="5449">
      <c r="A5449" t="n">
        <v>85</v>
      </c>
      <c r="B5449" t="n">
        <v>345</v>
      </c>
      <c r="C5449" t="n">
        <v>4</v>
      </c>
      <c r="D5449" s="218" t="n">
        <v>29.34</v>
      </c>
      <c r="E5449" s="218" t="n">
        <v>0.98</v>
      </c>
      <c r="F5449" t="str">
        <v>https://re.jrc.ec.europa.eu/api/v5_3/PVcalc?lat=30.0444&amp;lon=31.2357&amp;peakpower=1&amp;loss=14&amp;angle=85&amp;aspect=165&amp;outputformat=json&amp;raddatabase=PVGIS-SARAH3&amp;pvtechchoice=crystSi&amp;mountingplace=free&amp;usehorizon=1</v>
      </c>
    </row>
    <row r="5450">
      <c r="A5450" t="n">
        <v>85</v>
      </c>
      <c r="B5450" t="n">
        <v>345</v>
      </c>
      <c r="C5450" t="n">
        <v>5</v>
      </c>
      <c r="D5450" s="218" t="n">
        <v>43.53</v>
      </c>
      <c r="E5450" s="218" t="n">
        <v>1.4</v>
      </c>
      <c r="F5450" t="str">
        <v>https://re.jrc.ec.europa.eu/api/v5_3/PVcalc?lat=30.0444&amp;lon=31.2357&amp;peakpower=1&amp;loss=14&amp;angle=85&amp;aspect=165&amp;outputformat=json&amp;raddatabase=PVGIS-SARAH3&amp;pvtechchoice=crystSi&amp;mountingplace=free&amp;usehorizon=1</v>
      </c>
    </row>
    <row r="5451">
      <c r="A5451" t="n">
        <v>85</v>
      </c>
      <c r="B5451" t="n">
        <v>345</v>
      </c>
      <c r="C5451" t="n">
        <v>6</v>
      </c>
      <c r="D5451" s="218" t="n">
        <v>51.44</v>
      </c>
      <c r="E5451" s="218" t="n">
        <v>1.71</v>
      </c>
      <c r="F5451" t="str">
        <v>https://re.jrc.ec.europa.eu/api/v5_3/PVcalc?lat=30.0444&amp;lon=31.2357&amp;peakpower=1&amp;loss=14&amp;angle=85&amp;aspect=165&amp;outputformat=json&amp;raddatabase=PVGIS-SARAH3&amp;pvtechchoice=crystSi&amp;mountingplace=free&amp;usehorizon=1</v>
      </c>
    </row>
    <row r="5452">
      <c r="A5452" t="n">
        <v>85</v>
      </c>
      <c r="B5452" t="n">
        <v>345</v>
      </c>
      <c r="C5452" t="n">
        <v>7</v>
      </c>
      <c r="D5452" s="218" t="n">
        <v>48.61</v>
      </c>
      <c r="E5452" s="218" t="n">
        <v>1.57</v>
      </c>
      <c r="F5452" t="str">
        <v>https://re.jrc.ec.europa.eu/api/v5_3/PVcalc?lat=30.0444&amp;lon=31.2357&amp;peakpower=1&amp;loss=14&amp;angle=85&amp;aspect=165&amp;outputformat=json&amp;raddatabase=PVGIS-SARAH3&amp;pvtechchoice=crystSi&amp;mountingplace=free&amp;usehorizon=1</v>
      </c>
    </row>
    <row r="5453">
      <c r="A5453" t="n">
        <v>85</v>
      </c>
      <c r="B5453" t="n">
        <v>345</v>
      </c>
      <c r="C5453" t="n">
        <v>8</v>
      </c>
      <c r="D5453" s="218" t="n">
        <v>32.99</v>
      </c>
      <c r="E5453" s="218" t="n">
        <v>1.06</v>
      </c>
      <c r="F5453" t="str">
        <v>https://re.jrc.ec.europa.eu/api/v5_3/PVcalc?lat=30.0444&amp;lon=31.2357&amp;peakpower=1&amp;loss=14&amp;angle=85&amp;aspect=165&amp;outputformat=json&amp;raddatabase=PVGIS-SARAH3&amp;pvtechchoice=crystSi&amp;mountingplace=free&amp;usehorizon=1</v>
      </c>
    </row>
    <row r="5454">
      <c r="A5454" t="n">
        <v>85</v>
      </c>
      <c r="B5454" t="n">
        <v>345</v>
      </c>
      <c r="C5454" t="n">
        <v>9</v>
      </c>
      <c r="D5454" s="218" t="n">
        <v>19.83</v>
      </c>
      <c r="E5454" s="218" t="n">
        <v>0.66</v>
      </c>
      <c r="F5454" t="str">
        <v>https://re.jrc.ec.europa.eu/api/v5_3/PVcalc?lat=30.0444&amp;lon=31.2357&amp;peakpower=1&amp;loss=14&amp;angle=85&amp;aspect=165&amp;outputformat=json&amp;raddatabase=PVGIS-SARAH3&amp;pvtechchoice=crystSi&amp;mountingplace=free&amp;usehorizon=1</v>
      </c>
    </row>
    <row r="5455">
      <c r="A5455" t="n">
        <v>85</v>
      </c>
      <c r="B5455" t="n">
        <v>345</v>
      </c>
      <c r="C5455" t="n">
        <v>10</v>
      </c>
      <c r="D5455" s="218" t="n">
        <v>14.65</v>
      </c>
      <c r="E5455" s="218" t="n">
        <v>0.47</v>
      </c>
      <c r="F5455" t="str">
        <v>https://re.jrc.ec.europa.eu/api/v5_3/PVcalc?lat=30.0444&amp;lon=31.2357&amp;peakpower=1&amp;loss=14&amp;angle=85&amp;aspect=165&amp;outputformat=json&amp;raddatabase=PVGIS-SARAH3&amp;pvtechchoice=crystSi&amp;mountingplace=free&amp;usehorizon=1</v>
      </c>
    </row>
    <row r="5456">
      <c r="A5456" t="n">
        <v>85</v>
      </c>
      <c r="B5456" t="n">
        <v>345</v>
      </c>
      <c r="C5456" t="n">
        <v>11</v>
      </c>
      <c r="D5456" s="218" t="n">
        <v>11.87</v>
      </c>
      <c r="E5456" s="218" t="n">
        <v>0.4</v>
      </c>
      <c r="F5456" t="str">
        <v>https://re.jrc.ec.europa.eu/api/v5_3/PVcalc?lat=30.0444&amp;lon=31.2357&amp;peakpower=1&amp;loss=14&amp;angle=85&amp;aspect=165&amp;outputformat=json&amp;raddatabase=PVGIS-SARAH3&amp;pvtechchoice=crystSi&amp;mountingplace=free&amp;usehorizon=1</v>
      </c>
    </row>
    <row r="5457">
      <c r="A5457" t="n">
        <v>85</v>
      </c>
      <c r="B5457" t="n">
        <v>345</v>
      </c>
      <c r="C5457" t="n">
        <v>12</v>
      </c>
      <c r="D5457" s="218" t="n">
        <v>11.42</v>
      </c>
      <c r="E5457" s="218" t="n">
        <v>0.37</v>
      </c>
      <c r="F5457" t="str">
        <v>https://re.jrc.ec.europa.eu/api/v5_3/PVcalc?lat=30.0444&amp;lon=31.2357&amp;peakpower=1&amp;loss=14&amp;angle=85&amp;aspect=165&amp;outputformat=json&amp;raddatabase=PVGIS-SARAH3&amp;pvtechchoice=crystSi&amp;mountingplace=free&amp;usehorizon=1</v>
      </c>
    </row>
    <row r="5458">
      <c r="A5458" t="n">
        <v>85</v>
      </c>
      <c r="B5458" t="n">
        <v>360</v>
      </c>
      <c r="C5458" t="n">
        <v>1</v>
      </c>
      <c r="D5458" s="218" t="n">
        <v>12.38</v>
      </c>
      <c r="E5458" s="218" t="n">
        <v>0.4</v>
      </c>
      <c r="F5458" t="str">
        <v>https://re.jrc.ec.europa.eu/api/v5_3/PVcalc?lat=30.0444&amp;lon=31.2357&amp;peakpower=1&amp;loss=14&amp;angle=85&amp;aspect=180&amp;outputformat=json&amp;raddatabase=PVGIS-SARAH3&amp;pvtechchoice=crystSi&amp;mountingplace=free&amp;usehorizon=1</v>
      </c>
    </row>
    <row r="5459">
      <c r="A5459" t="n">
        <v>85</v>
      </c>
      <c r="B5459" t="n">
        <v>360</v>
      </c>
      <c r="C5459" t="n">
        <v>2</v>
      </c>
      <c r="D5459" s="218" t="n">
        <v>14.49</v>
      </c>
      <c r="E5459" s="218" t="n">
        <v>0.52</v>
      </c>
      <c r="F5459" t="str">
        <v>https://re.jrc.ec.europa.eu/api/v5_3/PVcalc?lat=30.0444&amp;lon=31.2357&amp;peakpower=1&amp;loss=14&amp;angle=85&amp;aspect=180&amp;outputformat=json&amp;raddatabase=PVGIS-SARAH3&amp;pvtechchoice=crystSi&amp;mountingplace=free&amp;usehorizon=1</v>
      </c>
    </row>
    <row r="5460">
      <c r="A5460" t="n">
        <v>85</v>
      </c>
      <c r="B5460" t="n">
        <v>360</v>
      </c>
      <c r="C5460" t="n">
        <v>3</v>
      </c>
      <c r="D5460" s="218" t="n">
        <v>18.6</v>
      </c>
      <c r="E5460" s="218" t="n">
        <v>0.6</v>
      </c>
      <c r="F5460" t="str">
        <v>https://re.jrc.ec.europa.eu/api/v5_3/PVcalc?lat=30.0444&amp;lon=31.2357&amp;peakpower=1&amp;loss=14&amp;angle=85&amp;aspect=180&amp;outputformat=json&amp;raddatabase=PVGIS-SARAH3&amp;pvtechchoice=crystSi&amp;mountingplace=free&amp;usehorizon=1</v>
      </c>
    </row>
    <row r="5461">
      <c r="A5461" t="n">
        <v>85</v>
      </c>
      <c r="B5461" t="n">
        <v>360</v>
      </c>
      <c r="C5461" t="n">
        <v>4</v>
      </c>
      <c r="D5461" s="218" t="n">
        <v>22.22</v>
      </c>
      <c r="E5461" s="218" t="n">
        <v>0.74</v>
      </c>
      <c r="F5461" t="str">
        <v>https://re.jrc.ec.europa.eu/api/v5_3/PVcalc?lat=30.0444&amp;lon=31.2357&amp;peakpower=1&amp;loss=14&amp;angle=85&amp;aspect=180&amp;outputformat=json&amp;raddatabase=PVGIS-SARAH3&amp;pvtechchoice=crystSi&amp;mountingplace=free&amp;usehorizon=1</v>
      </c>
    </row>
    <row r="5462">
      <c r="A5462" t="n">
        <v>85</v>
      </c>
      <c r="B5462" t="n">
        <v>360</v>
      </c>
      <c r="C5462" t="n">
        <v>5</v>
      </c>
      <c r="D5462" s="218" t="n">
        <v>34.47</v>
      </c>
      <c r="E5462" s="218" t="n">
        <v>1.11</v>
      </c>
      <c r="F5462" t="str">
        <v>https://re.jrc.ec.europa.eu/api/v5_3/PVcalc?lat=30.0444&amp;lon=31.2357&amp;peakpower=1&amp;loss=14&amp;angle=85&amp;aspect=180&amp;outputformat=json&amp;raddatabase=PVGIS-SARAH3&amp;pvtechchoice=crystSi&amp;mountingplace=free&amp;usehorizon=1</v>
      </c>
    </row>
    <row r="5463">
      <c r="A5463" t="n">
        <v>85</v>
      </c>
      <c r="B5463" t="n">
        <v>360</v>
      </c>
      <c r="C5463" t="n">
        <v>6</v>
      </c>
      <c r="D5463" s="218" t="n">
        <v>43.36</v>
      </c>
      <c r="E5463" s="218" t="n">
        <v>1.45</v>
      </c>
      <c r="F5463" t="str">
        <v>https://re.jrc.ec.europa.eu/api/v5_3/PVcalc?lat=30.0444&amp;lon=31.2357&amp;peakpower=1&amp;loss=14&amp;angle=85&amp;aspect=180&amp;outputformat=json&amp;raddatabase=PVGIS-SARAH3&amp;pvtechchoice=crystSi&amp;mountingplace=free&amp;usehorizon=1</v>
      </c>
    </row>
    <row r="5464">
      <c r="A5464" t="n">
        <v>85</v>
      </c>
      <c r="B5464" t="n">
        <v>360</v>
      </c>
      <c r="C5464" t="n">
        <v>7</v>
      </c>
      <c r="D5464" s="218" t="n">
        <v>37.5</v>
      </c>
      <c r="E5464" s="218" t="n">
        <v>1.21</v>
      </c>
      <c r="F5464" t="str">
        <v>https://re.jrc.ec.europa.eu/api/v5_3/PVcalc?lat=30.0444&amp;lon=31.2357&amp;peakpower=1&amp;loss=14&amp;angle=85&amp;aspect=180&amp;outputformat=json&amp;raddatabase=PVGIS-SARAH3&amp;pvtechchoice=crystSi&amp;mountingplace=free&amp;usehorizon=1</v>
      </c>
    </row>
    <row r="5465">
      <c r="A5465" t="n">
        <v>85</v>
      </c>
      <c r="B5465" t="n">
        <v>360</v>
      </c>
      <c r="C5465" t="n">
        <v>8</v>
      </c>
      <c r="D5465" s="218" t="n">
        <v>22.19</v>
      </c>
      <c r="E5465" s="218" t="n">
        <v>0.72</v>
      </c>
      <c r="F5465" t="str">
        <v>https://re.jrc.ec.europa.eu/api/v5_3/PVcalc?lat=30.0444&amp;lon=31.2357&amp;peakpower=1&amp;loss=14&amp;angle=85&amp;aspect=180&amp;outputformat=json&amp;raddatabase=PVGIS-SARAH3&amp;pvtechchoice=crystSi&amp;mountingplace=free&amp;usehorizon=1</v>
      </c>
    </row>
    <row r="5466">
      <c r="A5466" t="n">
        <v>85</v>
      </c>
      <c r="B5466" t="n">
        <v>360</v>
      </c>
      <c r="C5466" t="n">
        <v>9</v>
      </c>
      <c r="D5466" s="218" t="n">
        <v>15.53</v>
      </c>
      <c r="E5466" s="218" t="n">
        <v>0.52</v>
      </c>
      <c r="F5466" t="str">
        <v>https://re.jrc.ec.europa.eu/api/v5_3/PVcalc?lat=30.0444&amp;lon=31.2357&amp;peakpower=1&amp;loss=14&amp;angle=85&amp;aspect=180&amp;outputformat=json&amp;raddatabase=PVGIS-SARAH3&amp;pvtechchoice=crystSi&amp;mountingplace=free&amp;usehorizon=1</v>
      </c>
    </row>
    <row r="5467">
      <c r="A5467" t="n">
        <v>85</v>
      </c>
      <c r="B5467" t="n">
        <v>360</v>
      </c>
      <c r="C5467" t="n">
        <v>10</v>
      </c>
      <c r="D5467" s="218" t="n">
        <v>14.42</v>
      </c>
      <c r="E5467" s="218" t="n">
        <v>0.47</v>
      </c>
      <c r="F5467" t="str">
        <v>https://re.jrc.ec.europa.eu/api/v5_3/PVcalc?lat=30.0444&amp;lon=31.2357&amp;peakpower=1&amp;loss=14&amp;angle=85&amp;aspect=180&amp;outputformat=json&amp;raddatabase=PVGIS-SARAH3&amp;pvtechchoice=crystSi&amp;mountingplace=free&amp;usehorizon=1</v>
      </c>
    </row>
    <row r="5468">
      <c r="A5468" t="n">
        <v>85</v>
      </c>
      <c r="B5468" t="n">
        <v>360</v>
      </c>
      <c r="C5468" t="n">
        <v>11</v>
      </c>
      <c r="D5468" s="218" t="n">
        <v>11.87</v>
      </c>
      <c r="E5468" s="218" t="n">
        <v>0.4</v>
      </c>
      <c r="F5468" t="str">
        <v>https://re.jrc.ec.europa.eu/api/v5_3/PVcalc?lat=30.0444&amp;lon=31.2357&amp;peakpower=1&amp;loss=14&amp;angle=85&amp;aspect=180&amp;outputformat=json&amp;raddatabase=PVGIS-SARAH3&amp;pvtechchoice=crystSi&amp;mountingplace=free&amp;usehorizon=1</v>
      </c>
    </row>
    <row r="5469">
      <c r="A5469" t="n">
        <v>85</v>
      </c>
      <c r="B5469" t="n">
        <v>360</v>
      </c>
      <c r="C5469" t="n">
        <v>12</v>
      </c>
      <c r="D5469" s="218" t="n">
        <v>11.42</v>
      </c>
      <c r="E5469" s="218" t="n">
        <v>0.37</v>
      </c>
      <c r="F5469" t="str">
        <v>https://re.jrc.ec.europa.eu/api/v5_3/PVcalc?lat=30.0444&amp;lon=31.2357&amp;peakpower=1&amp;loss=14&amp;angle=85&amp;aspect=180&amp;outputformat=json&amp;raddatabase=PVGIS-SARAH3&amp;pvtechchoice=crystSi&amp;mountingplace=free&amp;usehorizon=1</v>
      </c>
    </row>
    <row r="5470">
      <c r="A5470" t="n">
        <v>90</v>
      </c>
      <c r="B5470" t="n">
        <v>0</v>
      </c>
      <c r="C5470" t="n">
        <v>1</v>
      </c>
      <c r="D5470" s="218" t="n">
        <v>11.25</v>
      </c>
      <c r="E5470" s="218" t="n">
        <v>0.36</v>
      </c>
      <c r="F5470" t="str">
        <v>https://re.jrc.ec.europa.eu/api/v5_3/PVcalc?lat=30.0444&amp;lon=31.2357&amp;peakpower=1&amp;loss=14&amp;angle=90&amp;aspect=-180&amp;outputformat=json&amp;raddatabase=PVGIS-SARAH3&amp;pvtechchoice=crystSi&amp;mountingplace=free&amp;usehorizon=1</v>
      </c>
    </row>
    <row r="5471">
      <c r="A5471" t="n">
        <v>90</v>
      </c>
      <c r="B5471" t="n">
        <v>0</v>
      </c>
      <c r="C5471" t="n">
        <v>2</v>
      </c>
      <c r="D5471" s="218" t="n">
        <v>13.18</v>
      </c>
      <c r="E5471" s="218" t="n">
        <v>0.47</v>
      </c>
      <c r="F5471" t="str">
        <v>https://re.jrc.ec.europa.eu/api/v5_3/PVcalc?lat=30.0444&amp;lon=31.2357&amp;peakpower=1&amp;loss=14&amp;angle=90&amp;aspect=-180&amp;outputformat=json&amp;raddatabase=PVGIS-SARAH3&amp;pvtechchoice=crystSi&amp;mountingplace=free&amp;usehorizon=1</v>
      </c>
    </row>
    <row r="5472">
      <c r="A5472" t="n">
        <v>90</v>
      </c>
      <c r="B5472" t="n">
        <v>0</v>
      </c>
      <c r="C5472" t="n">
        <v>3</v>
      </c>
      <c r="D5472" s="218" t="n">
        <v>16.94</v>
      </c>
      <c r="E5472" s="218" t="n">
        <v>0.55</v>
      </c>
      <c r="F5472" t="str">
        <v>https://re.jrc.ec.europa.eu/api/v5_3/PVcalc?lat=30.0444&amp;lon=31.2357&amp;peakpower=1&amp;loss=14&amp;angle=90&amp;aspect=-180&amp;outputformat=json&amp;raddatabase=PVGIS-SARAH3&amp;pvtechchoice=crystSi&amp;mountingplace=free&amp;usehorizon=1</v>
      </c>
    </row>
    <row r="5473">
      <c r="A5473" t="n">
        <v>90</v>
      </c>
      <c r="B5473" t="n">
        <v>0</v>
      </c>
      <c r="C5473" t="n">
        <v>4</v>
      </c>
      <c r="D5473" s="218" t="n">
        <v>19.71</v>
      </c>
      <c r="E5473" s="218" t="n">
        <v>0.66</v>
      </c>
      <c r="F5473" t="str">
        <v>https://re.jrc.ec.europa.eu/api/v5_3/PVcalc?lat=30.0444&amp;lon=31.2357&amp;peakpower=1&amp;loss=14&amp;angle=90&amp;aspect=-180&amp;outputformat=json&amp;raddatabase=PVGIS-SARAH3&amp;pvtechchoice=crystSi&amp;mountingplace=free&amp;usehorizon=1</v>
      </c>
    </row>
    <row r="5474">
      <c r="A5474" t="n">
        <v>90</v>
      </c>
      <c r="B5474" t="n">
        <v>0</v>
      </c>
      <c r="C5474" t="n">
        <v>5</v>
      </c>
      <c r="D5474" s="218" t="n">
        <v>28.93</v>
      </c>
      <c r="E5474" s="218" t="n">
        <v>0.93</v>
      </c>
      <c r="F5474" t="str">
        <v>https://re.jrc.ec.europa.eu/api/v5_3/PVcalc?lat=30.0444&amp;lon=31.2357&amp;peakpower=1&amp;loss=14&amp;angle=90&amp;aspect=-180&amp;outputformat=json&amp;raddatabase=PVGIS-SARAH3&amp;pvtechchoice=crystSi&amp;mountingplace=free&amp;usehorizon=1</v>
      </c>
    </row>
    <row r="5475">
      <c r="A5475" t="n">
        <v>90</v>
      </c>
      <c r="B5475" t="n">
        <v>0</v>
      </c>
      <c r="C5475" t="n">
        <v>6</v>
      </c>
      <c r="D5475" s="218" t="n">
        <v>34.79</v>
      </c>
      <c r="E5475" s="218" t="n">
        <v>1.16</v>
      </c>
      <c r="F5475" t="str">
        <v>https://re.jrc.ec.europa.eu/api/v5_3/PVcalc?lat=30.0444&amp;lon=31.2357&amp;peakpower=1&amp;loss=14&amp;angle=90&amp;aspect=-180&amp;outputformat=json&amp;raddatabase=PVGIS-SARAH3&amp;pvtechchoice=crystSi&amp;mountingplace=free&amp;usehorizon=1</v>
      </c>
    </row>
    <row r="5476">
      <c r="A5476" t="n">
        <v>90</v>
      </c>
      <c r="B5476" t="n">
        <v>0</v>
      </c>
      <c r="C5476" t="n">
        <v>7</v>
      </c>
      <c r="D5476" s="218" t="n">
        <v>30.16</v>
      </c>
      <c r="E5476" s="218" t="n">
        <v>0.97</v>
      </c>
      <c r="F5476" t="str">
        <v>https://re.jrc.ec.europa.eu/api/v5_3/PVcalc?lat=30.0444&amp;lon=31.2357&amp;peakpower=1&amp;loss=14&amp;angle=90&amp;aspect=-180&amp;outputformat=json&amp;raddatabase=PVGIS-SARAH3&amp;pvtechchoice=crystSi&amp;mountingplace=free&amp;usehorizon=1</v>
      </c>
    </row>
    <row r="5477">
      <c r="A5477" t="n">
        <v>90</v>
      </c>
      <c r="B5477" t="n">
        <v>0</v>
      </c>
      <c r="C5477" t="n">
        <v>8</v>
      </c>
      <c r="D5477" s="218" t="n">
        <v>19.28</v>
      </c>
      <c r="E5477" s="218" t="n">
        <v>0.62</v>
      </c>
      <c r="F5477" t="str">
        <v>https://re.jrc.ec.europa.eu/api/v5_3/PVcalc?lat=30.0444&amp;lon=31.2357&amp;peakpower=1&amp;loss=14&amp;angle=90&amp;aspect=-180&amp;outputformat=json&amp;raddatabase=PVGIS-SARAH3&amp;pvtechchoice=crystSi&amp;mountingplace=free&amp;usehorizon=1</v>
      </c>
    </row>
    <row r="5478">
      <c r="A5478" t="n">
        <v>90</v>
      </c>
      <c r="B5478" t="n">
        <v>0</v>
      </c>
      <c r="C5478" t="n">
        <v>9</v>
      </c>
      <c r="D5478" s="218" t="n">
        <v>14.01</v>
      </c>
      <c r="E5478" s="218" t="n">
        <v>0.47</v>
      </c>
      <c r="F5478" t="str">
        <v>https://re.jrc.ec.europa.eu/api/v5_3/PVcalc?lat=30.0444&amp;lon=31.2357&amp;peakpower=1&amp;loss=14&amp;angle=90&amp;aspect=-180&amp;outputformat=json&amp;raddatabase=PVGIS-SARAH3&amp;pvtechchoice=crystSi&amp;mountingplace=free&amp;usehorizon=1</v>
      </c>
    </row>
    <row r="5479">
      <c r="A5479" t="n">
        <v>90</v>
      </c>
      <c r="B5479" t="n">
        <v>0</v>
      </c>
      <c r="C5479" t="n">
        <v>10</v>
      </c>
      <c r="D5479" s="218" t="n">
        <v>13.1</v>
      </c>
      <c r="E5479" s="218" t="n">
        <v>0.42</v>
      </c>
      <c r="F5479" t="str">
        <v>https://re.jrc.ec.europa.eu/api/v5_3/PVcalc?lat=30.0444&amp;lon=31.2357&amp;peakpower=1&amp;loss=14&amp;angle=90&amp;aspect=-180&amp;outputformat=json&amp;raddatabase=PVGIS-SARAH3&amp;pvtechchoice=crystSi&amp;mountingplace=free&amp;usehorizon=1</v>
      </c>
    </row>
    <row r="5480">
      <c r="A5480" t="n">
        <v>90</v>
      </c>
      <c r="B5480" t="n">
        <v>0</v>
      </c>
      <c r="C5480" t="n">
        <v>11</v>
      </c>
      <c r="D5480" s="218" t="n">
        <v>10.77</v>
      </c>
      <c r="E5480" s="218" t="n">
        <v>0.36</v>
      </c>
      <c r="F5480" t="str">
        <v>https://re.jrc.ec.europa.eu/api/v5_3/PVcalc?lat=30.0444&amp;lon=31.2357&amp;peakpower=1&amp;loss=14&amp;angle=90&amp;aspect=-180&amp;outputformat=json&amp;raddatabase=PVGIS-SARAH3&amp;pvtechchoice=crystSi&amp;mountingplace=free&amp;usehorizon=1</v>
      </c>
    </row>
    <row r="5481">
      <c r="A5481" t="n">
        <v>90</v>
      </c>
      <c r="B5481" t="n">
        <v>0</v>
      </c>
      <c r="C5481" t="n">
        <v>12</v>
      </c>
      <c r="D5481" s="218" t="n">
        <v>10.36</v>
      </c>
      <c r="E5481" s="218" t="n">
        <v>0.33</v>
      </c>
      <c r="F5481" t="str">
        <v>https://re.jrc.ec.europa.eu/api/v5_3/PVcalc?lat=30.0444&amp;lon=31.2357&amp;peakpower=1&amp;loss=14&amp;angle=90&amp;aspect=-180&amp;outputformat=json&amp;raddatabase=PVGIS-SARAH3&amp;pvtechchoice=crystSi&amp;mountingplace=free&amp;usehorizon=1</v>
      </c>
    </row>
    <row r="5482">
      <c r="A5482" t="n">
        <v>90</v>
      </c>
      <c r="B5482" t="n">
        <v>15</v>
      </c>
      <c r="C5482" t="n">
        <v>1</v>
      </c>
      <c r="D5482" s="218" t="n">
        <v>11.25</v>
      </c>
      <c r="E5482" s="218" t="n">
        <v>0.36</v>
      </c>
      <c r="F5482" t="str">
        <v>https://re.jrc.ec.europa.eu/api/v5_3/PVcalc?lat=30.0444&amp;lon=31.2357&amp;peakpower=1&amp;loss=14&amp;angle=90&amp;aspect=-165&amp;outputformat=json&amp;raddatabase=PVGIS-SARAH3&amp;pvtechchoice=crystSi&amp;mountingplace=free&amp;usehorizon=1</v>
      </c>
    </row>
    <row r="5483">
      <c r="A5483" t="n">
        <v>90</v>
      </c>
      <c r="B5483" t="n">
        <v>15</v>
      </c>
      <c r="C5483" t="n">
        <v>2</v>
      </c>
      <c r="D5483" s="218" t="n">
        <v>13.2</v>
      </c>
      <c r="E5483" s="218" t="n">
        <v>0.47</v>
      </c>
      <c r="F5483" t="str">
        <v>https://re.jrc.ec.europa.eu/api/v5_3/PVcalc?lat=30.0444&amp;lon=31.2357&amp;peakpower=1&amp;loss=14&amp;angle=90&amp;aspect=-165&amp;outputformat=json&amp;raddatabase=PVGIS-SARAH3&amp;pvtechchoice=crystSi&amp;mountingplace=free&amp;usehorizon=1</v>
      </c>
    </row>
    <row r="5484">
      <c r="A5484" t="n">
        <v>90</v>
      </c>
      <c r="B5484" t="n">
        <v>15</v>
      </c>
      <c r="C5484" t="n">
        <v>3</v>
      </c>
      <c r="D5484" s="218" t="n">
        <v>17.98</v>
      </c>
      <c r="E5484" s="218" t="n">
        <v>0.58</v>
      </c>
      <c r="F5484" t="str">
        <v>https://re.jrc.ec.europa.eu/api/v5_3/PVcalc?lat=30.0444&amp;lon=31.2357&amp;peakpower=1&amp;loss=14&amp;angle=90&amp;aspect=-165&amp;outputformat=json&amp;raddatabase=PVGIS-SARAH3&amp;pvtechchoice=crystSi&amp;mountingplace=free&amp;usehorizon=1</v>
      </c>
    </row>
    <row r="5485">
      <c r="A5485" t="n">
        <v>90</v>
      </c>
      <c r="B5485" t="n">
        <v>15</v>
      </c>
      <c r="C5485" t="n">
        <v>4</v>
      </c>
      <c r="D5485" s="218" t="n">
        <v>24.39</v>
      </c>
      <c r="E5485" s="218" t="n">
        <v>0.81</v>
      </c>
      <c r="F5485" t="str">
        <v>https://re.jrc.ec.europa.eu/api/v5_3/PVcalc?lat=30.0444&amp;lon=31.2357&amp;peakpower=1&amp;loss=14&amp;angle=90&amp;aspect=-165&amp;outputformat=json&amp;raddatabase=PVGIS-SARAH3&amp;pvtechchoice=crystSi&amp;mountingplace=free&amp;usehorizon=1</v>
      </c>
    </row>
    <row r="5486">
      <c r="A5486" t="n">
        <v>90</v>
      </c>
      <c r="B5486" t="n">
        <v>15</v>
      </c>
      <c r="C5486" t="n">
        <v>5</v>
      </c>
      <c r="D5486" s="218" t="n">
        <v>34.9</v>
      </c>
      <c r="E5486" s="218" t="n">
        <v>1.13</v>
      </c>
      <c r="F5486" t="str">
        <v>https://re.jrc.ec.europa.eu/api/v5_3/PVcalc?lat=30.0444&amp;lon=31.2357&amp;peakpower=1&amp;loss=14&amp;angle=90&amp;aspect=-165&amp;outputformat=json&amp;raddatabase=PVGIS-SARAH3&amp;pvtechchoice=crystSi&amp;mountingplace=free&amp;usehorizon=1</v>
      </c>
    </row>
    <row r="5487">
      <c r="A5487" t="n">
        <v>90</v>
      </c>
      <c r="B5487" t="n">
        <v>15</v>
      </c>
      <c r="C5487" t="n">
        <v>6</v>
      </c>
      <c r="D5487" s="218" t="n">
        <v>38.87</v>
      </c>
      <c r="E5487" s="218" t="n">
        <v>1.3</v>
      </c>
      <c r="F5487" t="str">
        <v>https://re.jrc.ec.europa.eu/api/v5_3/PVcalc?lat=30.0444&amp;lon=31.2357&amp;peakpower=1&amp;loss=14&amp;angle=90&amp;aspect=-165&amp;outputformat=json&amp;raddatabase=PVGIS-SARAH3&amp;pvtechchoice=crystSi&amp;mountingplace=free&amp;usehorizon=1</v>
      </c>
    </row>
    <row r="5488">
      <c r="A5488" t="n">
        <v>90</v>
      </c>
      <c r="B5488" t="n">
        <v>15</v>
      </c>
      <c r="C5488" t="n">
        <v>7</v>
      </c>
      <c r="D5488" s="218" t="n">
        <v>34.39</v>
      </c>
      <c r="E5488" s="218" t="n">
        <v>1.11</v>
      </c>
      <c r="F5488" t="str">
        <v>https://re.jrc.ec.europa.eu/api/v5_3/PVcalc?lat=30.0444&amp;lon=31.2357&amp;peakpower=1&amp;loss=14&amp;angle=90&amp;aspect=-165&amp;outputformat=json&amp;raddatabase=PVGIS-SARAH3&amp;pvtechchoice=crystSi&amp;mountingplace=free&amp;usehorizon=1</v>
      </c>
    </row>
    <row r="5489">
      <c r="A5489" t="n">
        <v>90</v>
      </c>
      <c r="B5489" t="n">
        <v>15</v>
      </c>
      <c r="C5489" t="n">
        <v>8</v>
      </c>
      <c r="D5489" s="218" t="n">
        <v>24.56</v>
      </c>
      <c r="E5489" s="218" t="n">
        <v>0.79</v>
      </c>
      <c r="F5489" t="str">
        <v>https://re.jrc.ec.europa.eu/api/v5_3/PVcalc?lat=30.0444&amp;lon=31.2357&amp;peakpower=1&amp;loss=14&amp;angle=90&amp;aspect=-165&amp;outputformat=json&amp;raddatabase=PVGIS-SARAH3&amp;pvtechchoice=crystSi&amp;mountingplace=free&amp;usehorizon=1</v>
      </c>
    </row>
    <row r="5490">
      <c r="A5490" t="n">
        <v>90</v>
      </c>
      <c r="B5490" t="n">
        <v>15</v>
      </c>
      <c r="C5490" t="n">
        <v>9</v>
      </c>
      <c r="D5490" s="218" t="n">
        <v>15.91</v>
      </c>
      <c r="E5490" s="218" t="n">
        <v>0.53</v>
      </c>
      <c r="F5490" t="str">
        <v>https://re.jrc.ec.europa.eu/api/v5_3/PVcalc?lat=30.0444&amp;lon=31.2357&amp;peakpower=1&amp;loss=14&amp;angle=90&amp;aspect=-165&amp;outputformat=json&amp;raddatabase=PVGIS-SARAH3&amp;pvtechchoice=crystSi&amp;mountingplace=free&amp;usehorizon=1</v>
      </c>
    </row>
    <row r="5491">
      <c r="A5491" t="n">
        <v>90</v>
      </c>
      <c r="B5491" t="n">
        <v>15</v>
      </c>
      <c r="C5491" t="n">
        <v>10</v>
      </c>
      <c r="D5491" s="218" t="n">
        <v>13.17</v>
      </c>
      <c r="E5491" s="218" t="n">
        <v>0.42</v>
      </c>
      <c r="F5491" t="str">
        <v>https://re.jrc.ec.europa.eu/api/v5_3/PVcalc?lat=30.0444&amp;lon=31.2357&amp;peakpower=1&amp;loss=14&amp;angle=90&amp;aspect=-165&amp;outputformat=json&amp;raddatabase=PVGIS-SARAH3&amp;pvtechchoice=crystSi&amp;mountingplace=free&amp;usehorizon=1</v>
      </c>
    </row>
    <row r="5492">
      <c r="A5492" t="n">
        <v>90</v>
      </c>
      <c r="B5492" t="n">
        <v>15</v>
      </c>
      <c r="C5492" t="n">
        <v>11</v>
      </c>
      <c r="D5492" s="218" t="n">
        <v>10.77</v>
      </c>
      <c r="E5492" s="218" t="n">
        <v>0.36</v>
      </c>
      <c r="F5492" t="str">
        <v>https://re.jrc.ec.europa.eu/api/v5_3/PVcalc?lat=30.0444&amp;lon=31.2357&amp;peakpower=1&amp;loss=14&amp;angle=90&amp;aspect=-165&amp;outputformat=json&amp;raddatabase=PVGIS-SARAH3&amp;pvtechchoice=crystSi&amp;mountingplace=free&amp;usehorizon=1</v>
      </c>
    </row>
    <row r="5493">
      <c r="A5493" t="n">
        <v>90</v>
      </c>
      <c r="B5493" t="n">
        <v>15</v>
      </c>
      <c r="C5493" t="n">
        <v>12</v>
      </c>
      <c r="D5493" s="218" t="n">
        <v>10.36</v>
      </c>
      <c r="E5493" s="218" t="n">
        <v>0.33</v>
      </c>
      <c r="F5493" t="str">
        <v>https://re.jrc.ec.europa.eu/api/v5_3/PVcalc?lat=30.0444&amp;lon=31.2357&amp;peakpower=1&amp;loss=14&amp;angle=90&amp;aspect=-165&amp;outputformat=json&amp;raddatabase=PVGIS-SARAH3&amp;pvtechchoice=crystSi&amp;mountingplace=free&amp;usehorizon=1</v>
      </c>
    </row>
    <row r="5494">
      <c r="A5494" t="n">
        <v>90</v>
      </c>
      <c r="B5494" t="n">
        <v>30</v>
      </c>
      <c r="C5494" t="n">
        <v>1</v>
      </c>
      <c r="D5494" s="218" t="n">
        <v>11.31</v>
      </c>
      <c r="E5494" s="218" t="n">
        <v>0.36</v>
      </c>
      <c r="F5494" t="str">
        <v>https://re.jrc.ec.europa.eu/api/v5_3/PVcalc?lat=30.0444&amp;lon=31.2357&amp;peakpower=1&amp;loss=14&amp;angle=90&amp;aspect=-150&amp;outputformat=json&amp;raddatabase=PVGIS-SARAH3&amp;pvtechchoice=crystSi&amp;mountingplace=free&amp;usehorizon=1</v>
      </c>
    </row>
    <row r="5495">
      <c r="A5495" t="n">
        <v>90</v>
      </c>
      <c r="B5495" t="n">
        <v>30</v>
      </c>
      <c r="C5495" t="n">
        <v>2</v>
      </c>
      <c r="D5495" s="218" t="n">
        <v>14.79</v>
      </c>
      <c r="E5495" s="218" t="n">
        <v>0.53</v>
      </c>
      <c r="F5495" t="str">
        <v>https://re.jrc.ec.europa.eu/api/v5_3/PVcalc?lat=30.0444&amp;lon=31.2357&amp;peakpower=1&amp;loss=14&amp;angle=90&amp;aspect=-150&amp;outputformat=json&amp;raddatabase=PVGIS-SARAH3&amp;pvtechchoice=crystSi&amp;mountingplace=free&amp;usehorizon=1</v>
      </c>
    </row>
    <row r="5496">
      <c r="A5496" t="n">
        <v>90</v>
      </c>
      <c r="B5496" t="n">
        <v>30</v>
      </c>
      <c r="C5496" t="n">
        <v>3</v>
      </c>
      <c r="D5496" s="218" t="n">
        <v>24.05</v>
      </c>
      <c r="E5496" s="218" t="n">
        <v>0.78</v>
      </c>
      <c r="F5496" t="str">
        <v>https://re.jrc.ec.europa.eu/api/v5_3/PVcalc?lat=30.0444&amp;lon=31.2357&amp;peakpower=1&amp;loss=14&amp;angle=90&amp;aspect=-150&amp;outputformat=json&amp;raddatabase=PVGIS-SARAH3&amp;pvtechchoice=crystSi&amp;mountingplace=free&amp;usehorizon=1</v>
      </c>
    </row>
    <row r="5497">
      <c r="A5497" t="n">
        <v>90</v>
      </c>
      <c r="B5497" t="n">
        <v>30</v>
      </c>
      <c r="C5497" t="n">
        <v>4</v>
      </c>
      <c r="D5497" s="218" t="n">
        <v>34.55</v>
      </c>
      <c r="E5497" s="218" t="n">
        <v>1.15</v>
      </c>
      <c r="F5497" t="str">
        <v>https://re.jrc.ec.europa.eu/api/v5_3/PVcalc?lat=30.0444&amp;lon=31.2357&amp;peakpower=1&amp;loss=14&amp;angle=90&amp;aspect=-150&amp;outputformat=json&amp;raddatabase=PVGIS-SARAH3&amp;pvtechchoice=crystSi&amp;mountingplace=free&amp;usehorizon=1</v>
      </c>
    </row>
    <row r="5498">
      <c r="A5498" t="n">
        <v>90</v>
      </c>
      <c r="B5498" t="n">
        <v>30</v>
      </c>
      <c r="C5498" t="n">
        <v>5</v>
      </c>
      <c r="D5498" s="218" t="n">
        <v>48.29</v>
      </c>
      <c r="E5498" s="218" t="n">
        <v>1.56</v>
      </c>
      <c r="F5498" t="str">
        <v>https://re.jrc.ec.europa.eu/api/v5_3/PVcalc?lat=30.0444&amp;lon=31.2357&amp;peakpower=1&amp;loss=14&amp;angle=90&amp;aspect=-150&amp;outputformat=json&amp;raddatabase=PVGIS-SARAH3&amp;pvtechchoice=crystSi&amp;mountingplace=free&amp;usehorizon=1</v>
      </c>
    </row>
    <row r="5499">
      <c r="A5499" t="n">
        <v>90</v>
      </c>
      <c r="B5499" t="n">
        <v>30</v>
      </c>
      <c r="C5499" t="n">
        <v>6</v>
      </c>
      <c r="D5499" s="218" t="n">
        <v>51.66</v>
      </c>
      <c r="E5499" s="218" t="n">
        <v>1.72</v>
      </c>
      <c r="F5499" t="str">
        <v>https://re.jrc.ec.europa.eu/api/v5_3/PVcalc?lat=30.0444&amp;lon=31.2357&amp;peakpower=1&amp;loss=14&amp;angle=90&amp;aspect=-150&amp;outputformat=json&amp;raddatabase=PVGIS-SARAH3&amp;pvtechchoice=crystSi&amp;mountingplace=free&amp;usehorizon=1</v>
      </c>
    </row>
    <row r="5500">
      <c r="A5500" t="n">
        <v>90</v>
      </c>
      <c r="B5500" t="n">
        <v>30</v>
      </c>
      <c r="C5500" t="n">
        <v>7</v>
      </c>
      <c r="D5500" s="218" t="n">
        <v>47.49</v>
      </c>
      <c r="E5500" s="218" t="n">
        <v>1.53</v>
      </c>
      <c r="F5500" t="str">
        <v>https://re.jrc.ec.europa.eu/api/v5_3/PVcalc?lat=30.0444&amp;lon=31.2357&amp;peakpower=1&amp;loss=14&amp;angle=90&amp;aspect=-150&amp;outputformat=json&amp;raddatabase=PVGIS-SARAH3&amp;pvtechchoice=crystSi&amp;mountingplace=free&amp;usehorizon=1</v>
      </c>
    </row>
    <row r="5501">
      <c r="A5501" t="n">
        <v>90</v>
      </c>
      <c r="B5501" t="n">
        <v>30</v>
      </c>
      <c r="C5501" t="n">
        <v>8</v>
      </c>
      <c r="D5501" s="218" t="n">
        <v>37.17</v>
      </c>
      <c r="E5501" s="218" t="n">
        <v>1.2</v>
      </c>
      <c r="F5501" t="str">
        <v>https://re.jrc.ec.europa.eu/api/v5_3/PVcalc?lat=30.0444&amp;lon=31.2357&amp;peakpower=1&amp;loss=14&amp;angle=90&amp;aspect=-150&amp;outputformat=json&amp;raddatabase=PVGIS-SARAH3&amp;pvtechchoice=crystSi&amp;mountingplace=free&amp;usehorizon=1</v>
      </c>
    </row>
    <row r="5502">
      <c r="A5502" t="n">
        <v>90</v>
      </c>
      <c r="B5502" t="n">
        <v>30</v>
      </c>
      <c r="C5502" t="n">
        <v>9</v>
      </c>
      <c r="D5502" s="218" t="n">
        <v>23.19</v>
      </c>
      <c r="E5502" s="218" t="n">
        <v>0.77</v>
      </c>
      <c r="F5502" t="str">
        <v>https://re.jrc.ec.europa.eu/api/v5_3/PVcalc?lat=30.0444&amp;lon=31.2357&amp;peakpower=1&amp;loss=14&amp;angle=90&amp;aspect=-150&amp;outputformat=json&amp;raddatabase=PVGIS-SARAH3&amp;pvtechchoice=crystSi&amp;mountingplace=free&amp;usehorizon=1</v>
      </c>
    </row>
    <row r="5503">
      <c r="A5503" t="n">
        <v>90</v>
      </c>
      <c r="B5503" t="n">
        <v>30</v>
      </c>
      <c r="C5503" t="n">
        <v>10</v>
      </c>
      <c r="D5503" s="218" t="n">
        <v>15.96</v>
      </c>
      <c r="E5503" s="218" t="n">
        <v>0.51</v>
      </c>
      <c r="F5503" t="str">
        <v>https://re.jrc.ec.europa.eu/api/v5_3/PVcalc?lat=30.0444&amp;lon=31.2357&amp;peakpower=1&amp;loss=14&amp;angle=90&amp;aspect=-150&amp;outputformat=json&amp;raddatabase=PVGIS-SARAH3&amp;pvtechchoice=crystSi&amp;mountingplace=free&amp;usehorizon=1</v>
      </c>
    </row>
    <row r="5504">
      <c r="A5504" t="n">
        <v>90</v>
      </c>
      <c r="B5504" t="n">
        <v>30</v>
      </c>
      <c r="C5504" t="n">
        <v>11</v>
      </c>
      <c r="D5504" s="218" t="n">
        <v>11.18</v>
      </c>
      <c r="E5504" s="218" t="n">
        <v>0.37</v>
      </c>
      <c r="F5504" t="str">
        <v>https://re.jrc.ec.europa.eu/api/v5_3/PVcalc?lat=30.0444&amp;lon=31.2357&amp;peakpower=1&amp;loss=14&amp;angle=90&amp;aspect=-150&amp;outputformat=json&amp;raddatabase=PVGIS-SARAH3&amp;pvtechchoice=crystSi&amp;mountingplace=free&amp;usehorizon=1</v>
      </c>
    </row>
    <row r="5505">
      <c r="A5505" t="n">
        <v>90</v>
      </c>
      <c r="B5505" t="n">
        <v>30</v>
      </c>
      <c r="C5505" t="n">
        <v>12</v>
      </c>
      <c r="D5505" s="218" t="n">
        <v>10.43</v>
      </c>
      <c r="E5505" s="218" t="n">
        <v>0.34</v>
      </c>
      <c r="F5505" t="str">
        <v>https://re.jrc.ec.europa.eu/api/v5_3/PVcalc?lat=30.0444&amp;lon=31.2357&amp;peakpower=1&amp;loss=14&amp;angle=90&amp;aspect=-150&amp;outputformat=json&amp;raddatabase=PVGIS-SARAH3&amp;pvtechchoice=crystSi&amp;mountingplace=free&amp;usehorizon=1</v>
      </c>
    </row>
    <row r="5506">
      <c r="A5506" t="n">
        <v>90</v>
      </c>
      <c r="B5506" t="n">
        <v>45</v>
      </c>
      <c r="C5506" t="n">
        <v>1</v>
      </c>
      <c r="D5506" s="218" t="n">
        <v>14.24</v>
      </c>
      <c r="E5506" s="218" t="n">
        <v>0.46</v>
      </c>
      <c r="F5506" t="str">
        <v>https://re.jrc.ec.europa.eu/api/v5_3/PVcalc?lat=30.0444&amp;lon=31.2357&amp;peakpower=1&amp;loss=14&amp;angle=90&amp;aspect=-135&amp;outputformat=json&amp;raddatabase=PVGIS-SARAH3&amp;pvtechchoice=crystSi&amp;mountingplace=free&amp;usehorizon=1</v>
      </c>
    </row>
    <row r="5507">
      <c r="A5507" t="n">
        <v>90</v>
      </c>
      <c r="B5507" t="n">
        <v>45</v>
      </c>
      <c r="C5507" t="n">
        <v>2</v>
      </c>
      <c r="D5507" s="218" t="n">
        <v>21.1</v>
      </c>
      <c r="E5507" s="218" t="n">
        <v>0.75</v>
      </c>
      <c r="F5507" t="str">
        <v>https://re.jrc.ec.europa.eu/api/v5_3/PVcalc?lat=30.0444&amp;lon=31.2357&amp;peakpower=1&amp;loss=14&amp;angle=90&amp;aspect=-135&amp;outputformat=json&amp;raddatabase=PVGIS-SARAH3&amp;pvtechchoice=crystSi&amp;mountingplace=free&amp;usehorizon=1</v>
      </c>
    </row>
    <row r="5508">
      <c r="A5508" t="n">
        <v>90</v>
      </c>
      <c r="B5508" t="n">
        <v>45</v>
      </c>
      <c r="C5508" t="n">
        <v>3</v>
      </c>
      <c r="D5508" s="218" t="n">
        <v>34.77</v>
      </c>
      <c r="E5508" s="218" t="n">
        <v>1.12</v>
      </c>
      <c r="F5508" t="str">
        <v>https://re.jrc.ec.europa.eu/api/v5_3/PVcalc?lat=30.0444&amp;lon=31.2357&amp;peakpower=1&amp;loss=14&amp;angle=90&amp;aspect=-135&amp;outputformat=json&amp;raddatabase=PVGIS-SARAH3&amp;pvtechchoice=crystSi&amp;mountingplace=free&amp;usehorizon=1</v>
      </c>
    </row>
    <row r="5509">
      <c r="A5509" t="n">
        <v>90</v>
      </c>
      <c r="B5509" t="n">
        <v>45</v>
      </c>
      <c r="C5509" t="n">
        <v>4</v>
      </c>
      <c r="D5509" s="218" t="n">
        <v>46.56</v>
      </c>
      <c r="E5509" s="218" t="n">
        <v>1.55</v>
      </c>
      <c r="F5509" t="str">
        <v>https://re.jrc.ec.europa.eu/api/v5_3/PVcalc?lat=30.0444&amp;lon=31.2357&amp;peakpower=1&amp;loss=14&amp;angle=90&amp;aspect=-135&amp;outputformat=json&amp;raddatabase=PVGIS-SARAH3&amp;pvtechchoice=crystSi&amp;mountingplace=free&amp;usehorizon=1</v>
      </c>
    </row>
    <row r="5510">
      <c r="A5510" t="n">
        <v>90</v>
      </c>
      <c r="B5510" t="n">
        <v>45</v>
      </c>
      <c r="C5510" t="n">
        <v>5</v>
      </c>
      <c r="D5510" s="218" t="n">
        <v>60.67</v>
      </c>
      <c r="E5510" s="218" t="n">
        <v>1.96</v>
      </c>
      <c r="F5510" t="str">
        <v>https://re.jrc.ec.europa.eu/api/v5_3/PVcalc?lat=30.0444&amp;lon=31.2357&amp;peakpower=1&amp;loss=14&amp;angle=90&amp;aspect=-135&amp;outputformat=json&amp;raddatabase=PVGIS-SARAH3&amp;pvtechchoice=crystSi&amp;mountingplace=free&amp;usehorizon=1</v>
      </c>
    </row>
    <row r="5511">
      <c r="A5511" t="n">
        <v>90</v>
      </c>
      <c r="B5511" t="n">
        <v>45</v>
      </c>
      <c r="C5511" t="n">
        <v>6</v>
      </c>
      <c r="D5511" s="218" t="n">
        <v>64.19</v>
      </c>
      <c r="E5511" s="218" t="n">
        <v>2.14</v>
      </c>
      <c r="F5511" t="str">
        <v>https://re.jrc.ec.europa.eu/api/v5_3/PVcalc?lat=30.0444&amp;lon=31.2357&amp;peakpower=1&amp;loss=14&amp;angle=90&amp;aspect=-135&amp;outputformat=json&amp;raddatabase=PVGIS-SARAH3&amp;pvtechchoice=crystSi&amp;mountingplace=free&amp;usehorizon=1</v>
      </c>
    </row>
    <row r="5512">
      <c r="A5512" t="n">
        <v>90</v>
      </c>
      <c r="B5512" t="n">
        <v>45</v>
      </c>
      <c r="C5512" t="n">
        <v>7</v>
      </c>
      <c r="D5512" s="218" t="n">
        <v>60.86</v>
      </c>
      <c r="E5512" s="218" t="n">
        <v>1.96</v>
      </c>
      <c r="F5512" t="str">
        <v>https://re.jrc.ec.europa.eu/api/v5_3/PVcalc?lat=30.0444&amp;lon=31.2357&amp;peakpower=1&amp;loss=14&amp;angle=90&amp;aspect=-135&amp;outputformat=json&amp;raddatabase=PVGIS-SARAH3&amp;pvtechchoice=crystSi&amp;mountingplace=free&amp;usehorizon=1</v>
      </c>
    </row>
    <row r="5513">
      <c r="A5513" t="n">
        <v>90</v>
      </c>
      <c r="B5513" t="n">
        <v>45</v>
      </c>
      <c r="C5513" t="n">
        <v>8</v>
      </c>
      <c r="D5513" s="218" t="n">
        <v>50.2</v>
      </c>
      <c r="E5513" s="218" t="n">
        <v>1.62</v>
      </c>
      <c r="F5513" t="str">
        <v>https://re.jrc.ec.europa.eu/api/v5_3/PVcalc?lat=30.0444&amp;lon=31.2357&amp;peakpower=1&amp;loss=14&amp;angle=90&amp;aspect=-135&amp;outputformat=json&amp;raddatabase=PVGIS-SARAH3&amp;pvtechchoice=crystSi&amp;mountingplace=free&amp;usehorizon=1</v>
      </c>
    </row>
    <row r="5514">
      <c r="A5514" t="n">
        <v>90</v>
      </c>
      <c r="B5514" t="n">
        <v>45</v>
      </c>
      <c r="C5514" t="n">
        <v>9</v>
      </c>
      <c r="D5514" s="218" t="n">
        <v>34.33</v>
      </c>
      <c r="E5514" s="218" t="n">
        <v>1.14</v>
      </c>
      <c r="F5514" t="str">
        <v>https://re.jrc.ec.europa.eu/api/v5_3/PVcalc?lat=30.0444&amp;lon=31.2357&amp;peakpower=1&amp;loss=14&amp;angle=90&amp;aspect=-135&amp;outputformat=json&amp;raddatabase=PVGIS-SARAH3&amp;pvtechchoice=crystSi&amp;mountingplace=free&amp;usehorizon=1</v>
      </c>
    </row>
    <row r="5515">
      <c r="A5515" t="n">
        <v>90</v>
      </c>
      <c r="B5515" t="n">
        <v>45</v>
      </c>
      <c r="C5515" t="n">
        <v>10</v>
      </c>
      <c r="D5515" s="218" t="n">
        <v>24.53</v>
      </c>
      <c r="E5515" s="218" t="n">
        <v>0.79</v>
      </c>
      <c r="F5515" t="str">
        <v>https://re.jrc.ec.europa.eu/api/v5_3/PVcalc?lat=30.0444&amp;lon=31.2357&amp;peakpower=1&amp;loss=14&amp;angle=90&amp;aspect=-135&amp;outputformat=json&amp;raddatabase=PVGIS-SARAH3&amp;pvtechchoice=crystSi&amp;mountingplace=free&amp;usehorizon=1</v>
      </c>
    </row>
    <row r="5516">
      <c r="A5516" t="n">
        <v>90</v>
      </c>
      <c r="B5516" t="n">
        <v>45</v>
      </c>
      <c r="C5516" t="n">
        <v>11</v>
      </c>
      <c r="D5516" s="218" t="n">
        <v>15.37</v>
      </c>
      <c r="E5516" s="218" t="n">
        <v>0.51</v>
      </c>
      <c r="F5516" t="str">
        <v>https://re.jrc.ec.europa.eu/api/v5_3/PVcalc?lat=30.0444&amp;lon=31.2357&amp;peakpower=1&amp;loss=14&amp;angle=90&amp;aspect=-135&amp;outputformat=json&amp;raddatabase=PVGIS-SARAH3&amp;pvtechchoice=crystSi&amp;mountingplace=free&amp;usehorizon=1</v>
      </c>
    </row>
    <row r="5517">
      <c r="A5517" t="n">
        <v>90</v>
      </c>
      <c r="B5517" t="n">
        <v>45</v>
      </c>
      <c r="C5517" t="n">
        <v>12</v>
      </c>
      <c r="D5517" s="218" t="n">
        <v>12.63</v>
      </c>
      <c r="E5517" s="218" t="n">
        <v>0.41</v>
      </c>
      <c r="F5517" t="str">
        <v>https://re.jrc.ec.europa.eu/api/v5_3/PVcalc?lat=30.0444&amp;lon=31.2357&amp;peakpower=1&amp;loss=14&amp;angle=90&amp;aspect=-135&amp;outputformat=json&amp;raddatabase=PVGIS-SARAH3&amp;pvtechchoice=crystSi&amp;mountingplace=free&amp;usehorizon=1</v>
      </c>
    </row>
    <row r="5518">
      <c r="A5518" t="n">
        <v>90</v>
      </c>
      <c r="B5518" t="n">
        <v>60</v>
      </c>
      <c r="C5518" t="n">
        <v>1</v>
      </c>
      <c r="D5518" s="218" t="n">
        <v>23.03</v>
      </c>
      <c r="E5518" s="218" t="n">
        <v>0.74</v>
      </c>
      <c r="F5518" t="str">
        <v>https://re.jrc.ec.europa.eu/api/v5_3/PVcalc?lat=30.0444&amp;lon=31.2357&amp;peakpower=1&amp;loss=14&amp;angle=90&amp;aspect=-120&amp;outputformat=json&amp;raddatabase=PVGIS-SARAH3&amp;pvtechchoice=crystSi&amp;mountingplace=free&amp;usehorizon=1</v>
      </c>
    </row>
    <row r="5519">
      <c r="A5519" t="n">
        <v>90</v>
      </c>
      <c r="B5519" t="n">
        <v>60</v>
      </c>
      <c r="C5519" t="n">
        <v>2</v>
      </c>
      <c r="D5519" s="218" t="n">
        <v>31.58</v>
      </c>
      <c r="E5519" s="218" t="n">
        <v>1.13</v>
      </c>
      <c r="F5519" t="str">
        <v>https://re.jrc.ec.europa.eu/api/v5_3/PVcalc?lat=30.0444&amp;lon=31.2357&amp;peakpower=1&amp;loss=14&amp;angle=90&amp;aspect=-120&amp;outputformat=json&amp;raddatabase=PVGIS-SARAH3&amp;pvtechchoice=crystSi&amp;mountingplace=free&amp;usehorizon=1</v>
      </c>
    </row>
    <row r="5520">
      <c r="A5520" t="n">
        <v>90</v>
      </c>
      <c r="B5520" t="n">
        <v>60</v>
      </c>
      <c r="C5520" t="n">
        <v>3</v>
      </c>
      <c r="D5520" s="218" t="n">
        <v>46.86</v>
      </c>
      <c r="E5520" s="218" t="n">
        <v>1.51</v>
      </c>
      <c r="F5520" t="str">
        <v>https://re.jrc.ec.europa.eu/api/v5_3/PVcalc?lat=30.0444&amp;lon=31.2357&amp;peakpower=1&amp;loss=14&amp;angle=90&amp;aspect=-120&amp;outputformat=json&amp;raddatabase=PVGIS-SARAH3&amp;pvtechchoice=crystSi&amp;mountingplace=free&amp;usehorizon=1</v>
      </c>
    </row>
    <row r="5521">
      <c r="A5521" t="n">
        <v>90</v>
      </c>
      <c r="B5521" t="n">
        <v>60</v>
      </c>
      <c r="C5521" t="n">
        <v>4</v>
      </c>
      <c r="D5521" s="218" t="n">
        <v>57.88</v>
      </c>
      <c r="E5521" s="218" t="n">
        <v>1.93</v>
      </c>
      <c r="F5521" t="str">
        <v>https://re.jrc.ec.europa.eu/api/v5_3/PVcalc?lat=30.0444&amp;lon=31.2357&amp;peakpower=1&amp;loss=14&amp;angle=90&amp;aspect=-120&amp;outputformat=json&amp;raddatabase=PVGIS-SARAH3&amp;pvtechchoice=crystSi&amp;mountingplace=free&amp;usehorizon=1</v>
      </c>
    </row>
    <row r="5522">
      <c r="A5522" t="n">
        <v>90</v>
      </c>
      <c r="B5522" t="n">
        <v>60</v>
      </c>
      <c r="C5522" t="n">
        <v>5</v>
      </c>
      <c r="D5522" s="218" t="n">
        <v>71.16</v>
      </c>
      <c r="E5522" s="218" t="n">
        <v>2.3</v>
      </c>
      <c r="F5522" t="str">
        <v>https://re.jrc.ec.europa.eu/api/v5_3/PVcalc?lat=30.0444&amp;lon=31.2357&amp;peakpower=1&amp;loss=14&amp;angle=90&amp;aspect=-120&amp;outputformat=json&amp;raddatabase=PVGIS-SARAH3&amp;pvtechchoice=crystSi&amp;mountingplace=free&amp;usehorizon=1</v>
      </c>
    </row>
    <row r="5523">
      <c r="A5523" t="n">
        <v>90</v>
      </c>
      <c r="B5523" t="n">
        <v>60</v>
      </c>
      <c r="C5523" t="n">
        <v>6</v>
      </c>
      <c r="D5523" s="218" t="n">
        <v>72.93</v>
      </c>
      <c r="E5523" s="218" t="n">
        <v>2.43</v>
      </c>
      <c r="F5523" t="str">
        <v>https://re.jrc.ec.europa.eu/api/v5_3/PVcalc?lat=30.0444&amp;lon=31.2357&amp;peakpower=1&amp;loss=14&amp;angle=90&amp;aspect=-120&amp;outputformat=json&amp;raddatabase=PVGIS-SARAH3&amp;pvtechchoice=crystSi&amp;mountingplace=free&amp;usehorizon=1</v>
      </c>
    </row>
    <row r="5524">
      <c r="A5524" t="n">
        <v>90</v>
      </c>
      <c r="B5524" t="n">
        <v>60</v>
      </c>
      <c r="C5524" t="n">
        <v>7</v>
      </c>
      <c r="D5524" s="218" t="n">
        <v>70.28</v>
      </c>
      <c r="E5524" s="218" t="n">
        <v>2.27</v>
      </c>
      <c r="F5524" t="str">
        <v>https://re.jrc.ec.europa.eu/api/v5_3/PVcalc?lat=30.0444&amp;lon=31.2357&amp;peakpower=1&amp;loss=14&amp;angle=90&amp;aspect=-120&amp;outputformat=json&amp;raddatabase=PVGIS-SARAH3&amp;pvtechchoice=crystSi&amp;mountingplace=free&amp;usehorizon=1</v>
      </c>
    </row>
    <row r="5525">
      <c r="A5525" t="n">
        <v>90</v>
      </c>
      <c r="B5525" t="n">
        <v>60</v>
      </c>
      <c r="C5525" t="n">
        <v>8</v>
      </c>
      <c r="D5525" s="218" t="n">
        <v>62.44</v>
      </c>
      <c r="E5525" s="218" t="n">
        <v>2.01</v>
      </c>
      <c r="F5525" t="str">
        <v>https://re.jrc.ec.europa.eu/api/v5_3/PVcalc?lat=30.0444&amp;lon=31.2357&amp;peakpower=1&amp;loss=14&amp;angle=90&amp;aspect=-120&amp;outputformat=json&amp;raddatabase=PVGIS-SARAH3&amp;pvtechchoice=crystSi&amp;mountingplace=free&amp;usehorizon=1</v>
      </c>
    </row>
    <row r="5526">
      <c r="A5526" t="n">
        <v>90</v>
      </c>
      <c r="B5526" t="n">
        <v>60</v>
      </c>
      <c r="C5526" t="n">
        <v>9</v>
      </c>
      <c r="D5526" s="218" t="n">
        <v>46.24</v>
      </c>
      <c r="E5526" s="218" t="n">
        <v>1.54</v>
      </c>
      <c r="F5526" t="str">
        <v>https://re.jrc.ec.europa.eu/api/v5_3/PVcalc?lat=30.0444&amp;lon=31.2357&amp;peakpower=1&amp;loss=14&amp;angle=90&amp;aspect=-120&amp;outputformat=json&amp;raddatabase=PVGIS-SARAH3&amp;pvtechchoice=crystSi&amp;mountingplace=free&amp;usehorizon=1</v>
      </c>
    </row>
    <row r="5527">
      <c r="A5527" t="n">
        <v>90</v>
      </c>
      <c r="B5527" t="n">
        <v>60</v>
      </c>
      <c r="C5527" t="n">
        <v>10</v>
      </c>
      <c r="D5527" s="218" t="n">
        <v>36.77</v>
      </c>
      <c r="E5527" s="218" t="n">
        <v>1.19</v>
      </c>
      <c r="F5527" t="str">
        <v>https://re.jrc.ec.europa.eu/api/v5_3/PVcalc?lat=30.0444&amp;lon=31.2357&amp;peakpower=1&amp;loss=14&amp;angle=90&amp;aspect=-120&amp;outputformat=json&amp;raddatabase=PVGIS-SARAH3&amp;pvtechchoice=crystSi&amp;mountingplace=free&amp;usehorizon=1</v>
      </c>
    </row>
    <row r="5528">
      <c r="A5528" t="n">
        <v>90</v>
      </c>
      <c r="B5528" t="n">
        <v>60</v>
      </c>
      <c r="C5528" t="n">
        <v>11</v>
      </c>
      <c r="D5528" s="218" t="n">
        <v>25.21</v>
      </c>
      <c r="E5528" s="218" t="n">
        <v>0.84</v>
      </c>
      <c r="F5528" t="str">
        <v>https://re.jrc.ec.europa.eu/api/v5_3/PVcalc?lat=30.0444&amp;lon=31.2357&amp;peakpower=1&amp;loss=14&amp;angle=90&amp;aspect=-120&amp;outputformat=json&amp;raddatabase=PVGIS-SARAH3&amp;pvtechchoice=crystSi&amp;mountingplace=free&amp;usehorizon=1</v>
      </c>
    </row>
    <row r="5529">
      <c r="A5529" t="n">
        <v>90</v>
      </c>
      <c r="B5529" t="n">
        <v>60</v>
      </c>
      <c r="C5529" t="n">
        <v>12</v>
      </c>
      <c r="D5529" s="218" t="n">
        <v>20.53</v>
      </c>
      <c r="E5529" s="218" t="n">
        <v>0.66</v>
      </c>
      <c r="F5529" t="str">
        <v>https://re.jrc.ec.europa.eu/api/v5_3/PVcalc?lat=30.0444&amp;lon=31.2357&amp;peakpower=1&amp;loss=14&amp;angle=90&amp;aspect=-120&amp;outputformat=json&amp;raddatabase=PVGIS-SARAH3&amp;pvtechchoice=crystSi&amp;mountingplace=free&amp;usehorizon=1</v>
      </c>
    </row>
    <row r="5530">
      <c r="A5530" t="n">
        <v>90</v>
      </c>
      <c r="B5530" t="n">
        <v>75</v>
      </c>
      <c r="C5530" t="n">
        <v>1</v>
      </c>
      <c r="D5530" s="218" t="n">
        <v>35.7</v>
      </c>
      <c r="E5530" s="218" t="n">
        <v>1.15</v>
      </c>
      <c r="F5530" t="str">
        <v>https://re.jrc.ec.europa.eu/api/v5_3/PVcalc?lat=30.0444&amp;lon=31.2357&amp;peakpower=1&amp;loss=14&amp;angle=90&amp;aspect=-105&amp;outputformat=json&amp;raddatabase=PVGIS-SARAH3&amp;pvtechchoice=crystSi&amp;mountingplace=free&amp;usehorizon=1</v>
      </c>
    </row>
    <row r="5531">
      <c r="A5531" t="n">
        <v>90</v>
      </c>
      <c r="B5531" t="n">
        <v>75</v>
      </c>
      <c r="C5531" t="n">
        <v>2</v>
      </c>
      <c r="D5531" s="218" t="n">
        <v>44.04</v>
      </c>
      <c r="E5531" s="218" t="n">
        <v>1.57</v>
      </c>
      <c r="F5531" t="str">
        <v>https://re.jrc.ec.europa.eu/api/v5_3/PVcalc?lat=30.0444&amp;lon=31.2357&amp;peakpower=1&amp;loss=14&amp;angle=90&amp;aspect=-105&amp;outputformat=json&amp;raddatabase=PVGIS-SARAH3&amp;pvtechchoice=crystSi&amp;mountingplace=free&amp;usehorizon=1</v>
      </c>
    </row>
    <row r="5532">
      <c r="A5532" t="n">
        <v>90</v>
      </c>
      <c r="B5532" t="n">
        <v>75</v>
      </c>
      <c r="C5532" t="n">
        <v>3</v>
      </c>
      <c r="D5532" s="218" t="n">
        <v>59.98</v>
      </c>
      <c r="E5532" s="218" t="n">
        <v>1.93</v>
      </c>
      <c r="F5532" t="str">
        <v>https://re.jrc.ec.europa.eu/api/v5_3/PVcalc?lat=30.0444&amp;lon=31.2357&amp;peakpower=1&amp;loss=14&amp;angle=90&amp;aspect=-105&amp;outputformat=json&amp;raddatabase=PVGIS-SARAH3&amp;pvtechchoice=crystSi&amp;mountingplace=free&amp;usehorizon=1</v>
      </c>
    </row>
    <row r="5533">
      <c r="A5533" t="n">
        <v>90</v>
      </c>
      <c r="B5533" t="n">
        <v>75</v>
      </c>
      <c r="C5533" t="n">
        <v>4</v>
      </c>
      <c r="D5533" s="218" t="n">
        <v>67.58</v>
      </c>
      <c r="E5533" s="218" t="n">
        <v>2.25</v>
      </c>
      <c r="F5533" t="str">
        <v>https://re.jrc.ec.europa.eu/api/v5_3/PVcalc?lat=30.0444&amp;lon=31.2357&amp;peakpower=1&amp;loss=14&amp;angle=90&amp;aspect=-105&amp;outputformat=json&amp;raddatabase=PVGIS-SARAH3&amp;pvtechchoice=crystSi&amp;mountingplace=free&amp;usehorizon=1</v>
      </c>
    </row>
    <row r="5534">
      <c r="A5534" t="n">
        <v>90</v>
      </c>
      <c r="B5534" t="n">
        <v>75</v>
      </c>
      <c r="C5534" t="n">
        <v>5</v>
      </c>
      <c r="D5534" s="218" t="n">
        <v>77.84</v>
      </c>
      <c r="E5534" s="218" t="n">
        <v>2.51</v>
      </c>
      <c r="F5534" t="str">
        <v>https://re.jrc.ec.europa.eu/api/v5_3/PVcalc?lat=30.0444&amp;lon=31.2357&amp;peakpower=1&amp;loss=14&amp;angle=90&amp;aspect=-105&amp;outputformat=json&amp;raddatabase=PVGIS-SARAH3&amp;pvtechchoice=crystSi&amp;mountingplace=free&amp;usehorizon=1</v>
      </c>
    </row>
    <row r="5535">
      <c r="A5535" t="n">
        <v>90</v>
      </c>
      <c r="B5535" t="n">
        <v>75</v>
      </c>
      <c r="C5535" t="n">
        <v>6</v>
      </c>
      <c r="D5535" s="218" t="n">
        <v>78.2</v>
      </c>
      <c r="E5535" s="218" t="n">
        <v>2.61</v>
      </c>
      <c r="F5535" t="str">
        <v>https://re.jrc.ec.europa.eu/api/v5_3/PVcalc?lat=30.0444&amp;lon=31.2357&amp;peakpower=1&amp;loss=14&amp;angle=90&amp;aspect=-105&amp;outputformat=json&amp;raddatabase=PVGIS-SARAH3&amp;pvtechchoice=crystSi&amp;mountingplace=free&amp;usehorizon=1</v>
      </c>
    </row>
    <row r="5536">
      <c r="A5536" t="n">
        <v>90</v>
      </c>
      <c r="B5536" t="n">
        <v>75</v>
      </c>
      <c r="C5536" t="n">
        <v>7</v>
      </c>
      <c r="D5536" s="218" t="n">
        <v>76.44</v>
      </c>
      <c r="E5536" s="218" t="n">
        <v>2.47</v>
      </c>
      <c r="F5536" t="str">
        <v>https://re.jrc.ec.europa.eu/api/v5_3/PVcalc?lat=30.0444&amp;lon=31.2357&amp;peakpower=1&amp;loss=14&amp;angle=90&amp;aspect=-105&amp;outputformat=json&amp;raddatabase=PVGIS-SARAH3&amp;pvtechchoice=crystSi&amp;mountingplace=free&amp;usehorizon=1</v>
      </c>
    </row>
    <row r="5537">
      <c r="A5537" t="n">
        <v>90</v>
      </c>
      <c r="B5537" t="n">
        <v>75</v>
      </c>
      <c r="C5537" t="n">
        <v>8</v>
      </c>
      <c r="D5537" s="218" t="n">
        <v>71.32</v>
      </c>
      <c r="E5537" s="218" t="n">
        <v>2.3</v>
      </c>
      <c r="F5537" t="str">
        <v>https://re.jrc.ec.europa.eu/api/v5_3/PVcalc?lat=30.0444&amp;lon=31.2357&amp;peakpower=1&amp;loss=14&amp;angle=90&amp;aspect=-105&amp;outputformat=json&amp;raddatabase=PVGIS-SARAH3&amp;pvtechchoice=crystSi&amp;mountingplace=free&amp;usehorizon=1</v>
      </c>
    </row>
    <row r="5538">
      <c r="A5538" t="n">
        <v>90</v>
      </c>
      <c r="B5538" t="n">
        <v>75</v>
      </c>
      <c r="C5538" t="n">
        <v>9</v>
      </c>
      <c r="D5538" s="218" t="n">
        <v>58.4</v>
      </c>
      <c r="E5538" s="218" t="n">
        <v>1.95</v>
      </c>
      <c r="F5538" t="str">
        <v>https://re.jrc.ec.europa.eu/api/v5_3/PVcalc?lat=30.0444&amp;lon=31.2357&amp;peakpower=1&amp;loss=14&amp;angle=90&amp;aspect=-105&amp;outputformat=json&amp;raddatabase=PVGIS-SARAH3&amp;pvtechchoice=crystSi&amp;mountingplace=free&amp;usehorizon=1</v>
      </c>
    </row>
    <row r="5539">
      <c r="A5539" t="n">
        <v>90</v>
      </c>
      <c r="B5539" t="n">
        <v>75</v>
      </c>
      <c r="C5539" t="n">
        <v>10</v>
      </c>
      <c r="D5539" s="218" t="n">
        <v>49.77</v>
      </c>
      <c r="E5539" s="218" t="n">
        <v>1.61</v>
      </c>
      <c r="F5539" t="str">
        <v>https://re.jrc.ec.europa.eu/api/v5_3/PVcalc?lat=30.0444&amp;lon=31.2357&amp;peakpower=1&amp;loss=14&amp;angle=90&amp;aspect=-105&amp;outputformat=json&amp;raddatabase=PVGIS-SARAH3&amp;pvtechchoice=crystSi&amp;mountingplace=free&amp;usehorizon=1</v>
      </c>
    </row>
    <row r="5540">
      <c r="A5540" t="n">
        <v>90</v>
      </c>
      <c r="B5540" t="n">
        <v>75</v>
      </c>
      <c r="C5540" t="n">
        <v>11</v>
      </c>
      <c r="D5540" s="218" t="n">
        <v>38.79</v>
      </c>
      <c r="E5540" s="218" t="n">
        <v>1.29</v>
      </c>
      <c r="F5540" t="str">
        <v>https://re.jrc.ec.europa.eu/api/v5_3/PVcalc?lat=30.0444&amp;lon=31.2357&amp;peakpower=1&amp;loss=14&amp;angle=90&amp;aspect=-105&amp;outputformat=json&amp;raddatabase=PVGIS-SARAH3&amp;pvtechchoice=crystSi&amp;mountingplace=free&amp;usehorizon=1</v>
      </c>
    </row>
    <row r="5541">
      <c r="A5541" t="n">
        <v>90</v>
      </c>
      <c r="B5541" t="n">
        <v>75</v>
      </c>
      <c r="C5541" t="n">
        <v>12</v>
      </c>
      <c r="D5541" s="218" t="n">
        <v>33.37</v>
      </c>
      <c r="E5541" s="218" t="n">
        <v>1.08</v>
      </c>
      <c r="F5541" t="str">
        <v>https://re.jrc.ec.europa.eu/api/v5_3/PVcalc?lat=30.0444&amp;lon=31.2357&amp;peakpower=1&amp;loss=14&amp;angle=90&amp;aspect=-105&amp;outputformat=json&amp;raddatabase=PVGIS-SARAH3&amp;pvtechchoice=crystSi&amp;mountingplace=free&amp;usehorizon=1</v>
      </c>
    </row>
    <row r="5542">
      <c r="A5542" t="n">
        <v>90</v>
      </c>
      <c r="B5542" t="n">
        <v>90</v>
      </c>
      <c r="C5542" t="n">
        <v>1</v>
      </c>
      <c r="D5542" s="218" t="n">
        <v>49.71</v>
      </c>
      <c r="E5542" s="218" t="n">
        <v>1.6</v>
      </c>
      <c r="F5542" t="str">
        <v>https://re.jrc.ec.europa.eu/api/v5_3/PVcalc?lat=30.0444&amp;lon=31.2357&amp;peakpower=1&amp;loss=14&amp;angle=90&amp;aspect=-90&amp;outputformat=json&amp;raddatabase=PVGIS-SARAH3&amp;pvtechchoice=crystSi&amp;mountingplace=free&amp;usehorizon=1</v>
      </c>
    </row>
    <row r="5543">
      <c r="A5543" t="n">
        <v>90</v>
      </c>
      <c r="B5543" t="n">
        <v>90</v>
      </c>
      <c r="C5543" t="n">
        <v>2</v>
      </c>
      <c r="D5543" s="218" t="n">
        <v>56.23</v>
      </c>
      <c r="E5543" s="218" t="n">
        <v>2.01</v>
      </c>
      <c r="F5543" t="str">
        <v>https://re.jrc.ec.europa.eu/api/v5_3/PVcalc?lat=30.0444&amp;lon=31.2357&amp;peakpower=1&amp;loss=14&amp;angle=90&amp;aspect=-90&amp;outputformat=json&amp;raddatabase=PVGIS-SARAH3&amp;pvtechchoice=crystSi&amp;mountingplace=free&amp;usehorizon=1</v>
      </c>
    </row>
    <row r="5544">
      <c r="A5544" t="n">
        <v>90</v>
      </c>
      <c r="B5544" t="n">
        <v>90</v>
      </c>
      <c r="C5544" t="n">
        <v>3</v>
      </c>
      <c r="D5544" s="218" t="n">
        <v>70.35</v>
      </c>
      <c r="E5544" s="218" t="n">
        <v>2.27</v>
      </c>
      <c r="F5544" t="str">
        <v>https://re.jrc.ec.europa.eu/api/v5_3/PVcalc?lat=30.0444&amp;lon=31.2357&amp;peakpower=1&amp;loss=14&amp;angle=90&amp;aspect=-90&amp;outputformat=json&amp;raddatabase=PVGIS-SARAH3&amp;pvtechchoice=crystSi&amp;mountingplace=free&amp;usehorizon=1</v>
      </c>
    </row>
    <row r="5545">
      <c r="A5545" t="n">
        <v>90</v>
      </c>
      <c r="B5545" t="n">
        <v>90</v>
      </c>
      <c r="C5545" t="n">
        <v>4</v>
      </c>
      <c r="D5545" s="218" t="n">
        <v>74.18</v>
      </c>
      <c r="E5545" s="218" t="n">
        <v>2.47</v>
      </c>
      <c r="F5545" t="str">
        <v>https://re.jrc.ec.europa.eu/api/v5_3/PVcalc?lat=30.0444&amp;lon=31.2357&amp;peakpower=1&amp;loss=14&amp;angle=90&amp;aspect=-90&amp;outputformat=json&amp;raddatabase=PVGIS-SARAH3&amp;pvtechchoice=crystSi&amp;mountingplace=free&amp;usehorizon=1</v>
      </c>
    </row>
    <row r="5546">
      <c r="A5546" t="n">
        <v>90</v>
      </c>
      <c r="B5546" t="n">
        <v>90</v>
      </c>
      <c r="C5546" t="n">
        <v>5</v>
      </c>
      <c r="D5546" s="218" t="n">
        <v>81.14</v>
      </c>
      <c r="E5546" s="218" t="n">
        <v>2.62</v>
      </c>
      <c r="F5546" t="str">
        <v>https://re.jrc.ec.europa.eu/api/v5_3/PVcalc?lat=30.0444&amp;lon=31.2357&amp;peakpower=1&amp;loss=14&amp;angle=90&amp;aspect=-90&amp;outputformat=json&amp;raddatabase=PVGIS-SARAH3&amp;pvtechchoice=crystSi&amp;mountingplace=free&amp;usehorizon=1</v>
      </c>
    </row>
    <row r="5547">
      <c r="A5547" t="n">
        <v>90</v>
      </c>
      <c r="B5547" t="n">
        <v>90</v>
      </c>
      <c r="C5547" t="n">
        <v>6</v>
      </c>
      <c r="D5547" s="218" t="n">
        <v>79.69</v>
      </c>
      <c r="E5547" s="218" t="n">
        <v>2.66</v>
      </c>
      <c r="F5547" t="str">
        <v>https://re.jrc.ec.europa.eu/api/v5_3/PVcalc?lat=30.0444&amp;lon=31.2357&amp;peakpower=1&amp;loss=14&amp;angle=90&amp;aspect=-90&amp;outputformat=json&amp;raddatabase=PVGIS-SARAH3&amp;pvtechchoice=crystSi&amp;mountingplace=free&amp;usehorizon=1</v>
      </c>
    </row>
    <row r="5548">
      <c r="A5548" t="n">
        <v>90</v>
      </c>
      <c r="B5548" t="n">
        <v>90</v>
      </c>
      <c r="C5548" t="n">
        <v>7</v>
      </c>
      <c r="D5548" s="218" t="n">
        <v>78.91</v>
      </c>
      <c r="E5548" s="218" t="n">
        <v>2.55</v>
      </c>
      <c r="F5548" t="str">
        <v>https://re.jrc.ec.europa.eu/api/v5_3/PVcalc?lat=30.0444&amp;lon=31.2357&amp;peakpower=1&amp;loss=14&amp;angle=90&amp;aspect=-90&amp;outputformat=json&amp;raddatabase=PVGIS-SARAH3&amp;pvtechchoice=crystSi&amp;mountingplace=free&amp;usehorizon=1</v>
      </c>
    </row>
    <row r="5549">
      <c r="A5549" t="n">
        <v>90</v>
      </c>
      <c r="B5549" t="n">
        <v>90</v>
      </c>
      <c r="C5549" t="n">
        <v>8</v>
      </c>
      <c r="D5549" s="218" t="n">
        <v>76.96</v>
      </c>
      <c r="E5549" s="218" t="n">
        <v>2.48</v>
      </c>
      <c r="F5549" t="str">
        <v>https://re.jrc.ec.europa.eu/api/v5_3/PVcalc?lat=30.0444&amp;lon=31.2357&amp;peakpower=1&amp;loss=14&amp;angle=90&amp;aspect=-90&amp;outputformat=json&amp;raddatabase=PVGIS-SARAH3&amp;pvtechchoice=crystSi&amp;mountingplace=free&amp;usehorizon=1</v>
      </c>
    </row>
    <row r="5550">
      <c r="A5550" t="n">
        <v>90</v>
      </c>
      <c r="B5550" t="n">
        <v>90</v>
      </c>
      <c r="C5550" t="n">
        <v>9</v>
      </c>
      <c r="D5550" s="218" t="n">
        <v>67.78</v>
      </c>
      <c r="E5550" s="218" t="n">
        <v>2.26</v>
      </c>
      <c r="F5550" t="str">
        <v>https://re.jrc.ec.europa.eu/api/v5_3/PVcalc?lat=30.0444&amp;lon=31.2357&amp;peakpower=1&amp;loss=14&amp;angle=90&amp;aspect=-90&amp;outputformat=json&amp;raddatabase=PVGIS-SARAH3&amp;pvtechchoice=crystSi&amp;mountingplace=free&amp;usehorizon=1</v>
      </c>
    </row>
    <row r="5551">
      <c r="A5551" t="n">
        <v>90</v>
      </c>
      <c r="B5551" t="n">
        <v>90</v>
      </c>
      <c r="C5551" t="n">
        <v>10</v>
      </c>
      <c r="D5551" s="218" t="n">
        <v>63.61</v>
      </c>
      <c r="E5551" s="218" t="n">
        <v>2.05</v>
      </c>
      <c r="F5551" t="str">
        <v>https://re.jrc.ec.europa.eu/api/v5_3/PVcalc?lat=30.0444&amp;lon=31.2357&amp;peakpower=1&amp;loss=14&amp;angle=90&amp;aspect=-90&amp;outputformat=json&amp;raddatabase=PVGIS-SARAH3&amp;pvtechchoice=crystSi&amp;mountingplace=free&amp;usehorizon=1</v>
      </c>
    </row>
    <row r="5552">
      <c r="A5552" t="n">
        <v>90</v>
      </c>
      <c r="B5552" t="n">
        <v>90</v>
      </c>
      <c r="C5552" t="n">
        <v>11</v>
      </c>
      <c r="D5552" s="218" t="n">
        <v>53.84</v>
      </c>
      <c r="E5552" s="218" t="n">
        <v>1.79</v>
      </c>
      <c r="F5552" t="str">
        <v>https://re.jrc.ec.europa.eu/api/v5_3/PVcalc?lat=30.0444&amp;lon=31.2357&amp;peakpower=1&amp;loss=14&amp;angle=90&amp;aspect=-90&amp;outputformat=json&amp;raddatabase=PVGIS-SARAH3&amp;pvtechchoice=crystSi&amp;mountingplace=free&amp;usehorizon=1</v>
      </c>
    </row>
    <row r="5553">
      <c r="A5553" t="n">
        <v>90</v>
      </c>
      <c r="B5553" t="n">
        <v>90</v>
      </c>
      <c r="C5553" t="n">
        <v>12</v>
      </c>
      <c r="D5553" s="218" t="n">
        <v>48.97</v>
      </c>
      <c r="E5553" s="218" t="n">
        <v>1.58</v>
      </c>
      <c r="F5553" t="str">
        <v>https://re.jrc.ec.europa.eu/api/v5_3/PVcalc?lat=30.0444&amp;lon=31.2357&amp;peakpower=1&amp;loss=14&amp;angle=90&amp;aspect=-90&amp;outputformat=json&amp;raddatabase=PVGIS-SARAH3&amp;pvtechchoice=crystSi&amp;mountingplace=free&amp;usehorizon=1</v>
      </c>
    </row>
    <row r="5554">
      <c r="A5554" t="n">
        <v>90</v>
      </c>
      <c r="B5554" t="n">
        <v>105</v>
      </c>
      <c r="C5554" t="n">
        <v>1</v>
      </c>
      <c r="D5554" s="218" t="n">
        <v>65.39</v>
      </c>
      <c r="E5554" s="218" t="n">
        <v>2.11</v>
      </c>
      <c r="F5554" t="str">
        <v>https://re.jrc.ec.europa.eu/api/v5_3/PVcalc?lat=30.0444&amp;lon=31.2357&amp;peakpower=1&amp;loss=14&amp;angle=90&amp;aspect=-75&amp;outputformat=json&amp;raddatabase=PVGIS-SARAH3&amp;pvtechchoice=crystSi&amp;mountingplace=free&amp;usehorizon=1</v>
      </c>
    </row>
    <row r="5555">
      <c r="A5555" t="n">
        <v>90</v>
      </c>
      <c r="B5555" t="n">
        <v>105</v>
      </c>
      <c r="C5555" t="n">
        <v>2</v>
      </c>
      <c r="D5555" s="218" t="n">
        <v>67.95</v>
      </c>
      <c r="E5555" s="218" t="n">
        <v>2.43</v>
      </c>
      <c r="F5555" t="str">
        <v>https://re.jrc.ec.europa.eu/api/v5_3/PVcalc?lat=30.0444&amp;lon=31.2357&amp;peakpower=1&amp;loss=14&amp;angle=90&amp;aspect=-75&amp;outputformat=json&amp;raddatabase=PVGIS-SARAH3&amp;pvtechchoice=crystSi&amp;mountingplace=free&amp;usehorizon=1</v>
      </c>
    </row>
    <row r="5556">
      <c r="A5556" t="n">
        <v>90</v>
      </c>
      <c r="B5556" t="n">
        <v>105</v>
      </c>
      <c r="C5556" t="n">
        <v>3</v>
      </c>
      <c r="D5556" s="218" t="n">
        <v>80.61</v>
      </c>
      <c r="E5556" s="218" t="n">
        <v>2.6</v>
      </c>
      <c r="F5556" t="str">
        <v>https://re.jrc.ec.europa.eu/api/v5_3/PVcalc?lat=30.0444&amp;lon=31.2357&amp;peakpower=1&amp;loss=14&amp;angle=90&amp;aspect=-75&amp;outputformat=json&amp;raddatabase=PVGIS-SARAH3&amp;pvtechchoice=crystSi&amp;mountingplace=free&amp;usehorizon=1</v>
      </c>
    </row>
    <row r="5557">
      <c r="A5557" t="n">
        <v>90</v>
      </c>
      <c r="B5557" t="n">
        <v>105</v>
      </c>
      <c r="C5557" t="n">
        <v>4</v>
      </c>
      <c r="D5557" s="218" t="n">
        <v>79.46</v>
      </c>
      <c r="E5557" s="218" t="n">
        <v>2.65</v>
      </c>
      <c r="F5557" t="str">
        <v>https://re.jrc.ec.europa.eu/api/v5_3/PVcalc?lat=30.0444&amp;lon=31.2357&amp;peakpower=1&amp;loss=14&amp;angle=90&amp;aspect=-75&amp;outputformat=json&amp;raddatabase=PVGIS-SARAH3&amp;pvtechchoice=crystSi&amp;mountingplace=free&amp;usehorizon=1</v>
      </c>
    </row>
    <row r="5558">
      <c r="A5558" t="n">
        <v>90</v>
      </c>
      <c r="B5558" t="n">
        <v>105</v>
      </c>
      <c r="C5558" t="n">
        <v>5</v>
      </c>
      <c r="D5558" s="218" t="n">
        <v>80.73</v>
      </c>
      <c r="E5558" s="218" t="n">
        <v>2.6</v>
      </c>
      <c r="F5558" t="str">
        <v>https://re.jrc.ec.europa.eu/api/v5_3/PVcalc?lat=30.0444&amp;lon=31.2357&amp;peakpower=1&amp;loss=14&amp;angle=90&amp;aspect=-75&amp;outputformat=json&amp;raddatabase=PVGIS-SARAH3&amp;pvtechchoice=crystSi&amp;mountingplace=free&amp;usehorizon=1</v>
      </c>
    </row>
    <row r="5559">
      <c r="A5559" t="n">
        <v>90</v>
      </c>
      <c r="B5559" t="n">
        <v>105</v>
      </c>
      <c r="C5559" t="n">
        <v>6</v>
      </c>
      <c r="D5559" s="218" t="n">
        <v>77.27</v>
      </c>
      <c r="E5559" s="218" t="n">
        <v>2.58</v>
      </c>
      <c r="F5559" t="str">
        <v>https://re.jrc.ec.europa.eu/api/v5_3/PVcalc?lat=30.0444&amp;lon=31.2357&amp;peakpower=1&amp;loss=14&amp;angle=90&amp;aspect=-75&amp;outputformat=json&amp;raddatabase=PVGIS-SARAH3&amp;pvtechchoice=crystSi&amp;mountingplace=free&amp;usehorizon=1</v>
      </c>
    </row>
    <row r="5560">
      <c r="A5560" t="n">
        <v>90</v>
      </c>
      <c r="B5560" t="n">
        <v>105</v>
      </c>
      <c r="C5560" t="n">
        <v>7</v>
      </c>
      <c r="D5560" s="218" t="n">
        <v>78.82</v>
      </c>
      <c r="E5560" s="218" t="n">
        <v>2.54</v>
      </c>
      <c r="F5560" t="str">
        <v>https://re.jrc.ec.europa.eu/api/v5_3/PVcalc?lat=30.0444&amp;lon=31.2357&amp;peakpower=1&amp;loss=14&amp;angle=90&amp;aspect=-75&amp;outputformat=json&amp;raddatabase=PVGIS-SARAH3&amp;pvtechchoice=crystSi&amp;mountingplace=free&amp;usehorizon=1</v>
      </c>
    </row>
    <row r="5561">
      <c r="A5561" t="n">
        <v>90</v>
      </c>
      <c r="B5561" t="n">
        <v>105</v>
      </c>
      <c r="C5561" t="n">
        <v>8</v>
      </c>
      <c r="D5561" s="218" t="n">
        <v>80.87</v>
      </c>
      <c r="E5561" s="218" t="n">
        <v>2.61</v>
      </c>
      <c r="F5561" t="str">
        <v>https://re.jrc.ec.europa.eu/api/v5_3/PVcalc?lat=30.0444&amp;lon=31.2357&amp;peakpower=1&amp;loss=14&amp;angle=90&amp;aspect=-75&amp;outputformat=json&amp;raddatabase=PVGIS-SARAH3&amp;pvtechchoice=crystSi&amp;mountingplace=free&amp;usehorizon=1</v>
      </c>
    </row>
    <row r="5562">
      <c r="A5562" t="n">
        <v>90</v>
      </c>
      <c r="B5562" t="n">
        <v>105</v>
      </c>
      <c r="C5562" t="n">
        <v>9</v>
      </c>
      <c r="D5562" s="218" t="n">
        <v>76.17</v>
      </c>
      <c r="E5562" s="218" t="n">
        <v>2.54</v>
      </c>
      <c r="F5562" t="str">
        <v>https://re.jrc.ec.europa.eu/api/v5_3/PVcalc?lat=30.0444&amp;lon=31.2357&amp;peakpower=1&amp;loss=14&amp;angle=90&amp;aspect=-75&amp;outputformat=json&amp;raddatabase=PVGIS-SARAH3&amp;pvtechchoice=crystSi&amp;mountingplace=free&amp;usehorizon=1</v>
      </c>
    </row>
    <row r="5563">
      <c r="A5563" t="n">
        <v>90</v>
      </c>
      <c r="B5563" t="n">
        <v>105</v>
      </c>
      <c r="C5563" t="n">
        <v>10</v>
      </c>
      <c r="D5563" s="218" t="n">
        <v>76.22</v>
      </c>
      <c r="E5563" s="218" t="n">
        <v>2.46</v>
      </c>
      <c r="F5563" t="str">
        <v>https://re.jrc.ec.europa.eu/api/v5_3/PVcalc?lat=30.0444&amp;lon=31.2357&amp;peakpower=1&amp;loss=14&amp;angle=90&amp;aspect=-75&amp;outputformat=json&amp;raddatabase=PVGIS-SARAH3&amp;pvtechchoice=crystSi&amp;mountingplace=free&amp;usehorizon=1</v>
      </c>
    </row>
    <row r="5564">
      <c r="A5564" t="n">
        <v>90</v>
      </c>
      <c r="B5564" t="n">
        <v>105</v>
      </c>
      <c r="C5564" t="n">
        <v>11</v>
      </c>
      <c r="D5564" s="218" t="n">
        <v>68.97</v>
      </c>
      <c r="E5564" s="218" t="n">
        <v>2.3</v>
      </c>
      <c r="F5564" t="str">
        <v>https://re.jrc.ec.europa.eu/api/v5_3/PVcalc?lat=30.0444&amp;lon=31.2357&amp;peakpower=1&amp;loss=14&amp;angle=90&amp;aspect=-75&amp;outputformat=json&amp;raddatabase=PVGIS-SARAH3&amp;pvtechchoice=crystSi&amp;mountingplace=free&amp;usehorizon=1</v>
      </c>
    </row>
    <row r="5565">
      <c r="A5565" t="n">
        <v>90</v>
      </c>
      <c r="B5565" t="n">
        <v>105</v>
      </c>
      <c r="C5565" t="n">
        <v>12</v>
      </c>
      <c r="D5565" s="218" t="n">
        <v>65.54</v>
      </c>
      <c r="E5565" s="218" t="n">
        <v>2.11</v>
      </c>
      <c r="F5565" t="str">
        <v>https://re.jrc.ec.europa.eu/api/v5_3/PVcalc?lat=30.0444&amp;lon=31.2357&amp;peakpower=1&amp;loss=14&amp;angle=90&amp;aspect=-75&amp;outputformat=json&amp;raddatabase=PVGIS-SARAH3&amp;pvtechchoice=crystSi&amp;mountingplace=free&amp;usehorizon=1</v>
      </c>
    </row>
    <row r="5566">
      <c r="A5566" t="n">
        <v>90</v>
      </c>
      <c r="B5566" t="n">
        <v>120</v>
      </c>
      <c r="C5566" t="n">
        <v>1</v>
      </c>
      <c r="D5566" s="218" t="n">
        <v>80.56</v>
      </c>
      <c r="E5566" s="218" t="n">
        <v>2.6</v>
      </c>
      <c r="F5566" t="str">
        <v>https://re.jrc.ec.europa.eu/api/v5_3/PVcalc?lat=30.0444&amp;lon=31.2357&amp;peakpower=1&amp;loss=14&amp;angle=90&amp;aspect=-60&amp;outputformat=json&amp;raddatabase=PVGIS-SARAH3&amp;pvtechchoice=crystSi&amp;mountingplace=free&amp;usehorizon=1</v>
      </c>
    </row>
    <row r="5567">
      <c r="A5567" t="n">
        <v>90</v>
      </c>
      <c r="B5567" t="n">
        <v>120</v>
      </c>
      <c r="C5567" t="n">
        <v>2</v>
      </c>
      <c r="D5567" s="218" t="n">
        <v>78.74</v>
      </c>
      <c r="E5567" s="218" t="n">
        <v>2.81</v>
      </c>
      <c r="F5567" t="str">
        <v>https://re.jrc.ec.europa.eu/api/v5_3/PVcalc?lat=30.0444&amp;lon=31.2357&amp;peakpower=1&amp;loss=14&amp;angle=90&amp;aspect=-60&amp;outputformat=json&amp;raddatabase=PVGIS-SARAH3&amp;pvtechchoice=crystSi&amp;mountingplace=free&amp;usehorizon=1</v>
      </c>
    </row>
    <row r="5568">
      <c r="A5568" t="n">
        <v>90</v>
      </c>
      <c r="B5568" t="n">
        <v>120</v>
      </c>
      <c r="C5568" t="n">
        <v>3</v>
      </c>
      <c r="D5568" s="218" t="n">
        <v>87.72</v>
      </c>
      <c r="E5568" s="218" t="n">
        <v>2.83</v>
      </c>
      <c r="F5568" t="str">
        <v>https://re.jrc.ec.europa.eu/api/v5_3/PVcalc?lat=30.0444&amp;lon=31.2357&amp;peakpower=1&amp;loss=14&amp;angle=90&amp;aspect=-60&amp;outputformat=json&amp;raddatabase=PVGIS-SARAH3&amp;pvtechchoice=crystSi&amp;mountingplace=free&amp;usehorizon=1</v>
      </c>
    </row>
    <row r="5569">
      <c r="A5569" t="n">
        <v>90</v>
      </c>
      <c r="B5569" t="n">
        <v>120</v>
      </c>
      <c r="C5569" t="n">
        <v>4</v>
      </c>
      <c r="D5569" s="218" t="n">
        <v>80.55</v>
      </c>
      <c r="E5569" s="218" t="n">
        <v>2.69</v>
      </c>
      <c r="F5569" t="str">
        <v>https://re.jrc.ec.europa.eu/api/v5_3/PVcalc?lat=30.0444&amp;lon=31.2357&amp;peakpower=1&amp;loss=14&amp;angle=90&amp;aspect=-60&amp;outputformat=json&amp;raddatabase=PVGIS-SARAH3&amp;pvtechchoice=crystSi&amp;mountingplace=free&amp;usehorizon=1</v>
      </c>
    </row>
    <row r="5570">
      <c r="A5570" t="n">
        <v>90</v>
      </c>
      <c r="B5570" t="n">
        <v>120</v>
      </c>
      <c r="C5570" t="n">
        <v>5</v>
      </c>
      <c r="D5570" s="218" t="n">
        <v>78.62</v>
      </c>
      <c r="E5570" s="218" t="n">
        <v>2.54</v>
      </c>
      <c r="F5570" t="str">
        <v>https://re.jrc.ec.europa.eu/api/v5_3/PVcalc?lat=30.0444&amp;lon=31.2357&amp;peakpower=1&amp;loss=14&amp;angle=90&amp;aspect=-60&amp;outputformat=json&amp;raddatabase=PVGIS-SARAH3&amp;pvtechchoice=crystSi&amp;mountingplace=free&amp;usehorizon=1</v>
      </c>
    </row>
    <row r="5571">
      <c r="A5571" t="n">
        <v>90</v>
      </c>
      <c r="B5571" t="n">
        <v>120</v>
      </c>
      <c r="C5571" t="n">
        <v>6</v>
      </c>
      <c r="D5571" s="218" t="n">
        <v>72.78</v>
      </c>
      <c r="E5571" s="218" t="n">
        <v>2.43</v>
      </c>
      <c r="F5571" t="str">
        <v>https://re.jrc.ec.europa.eu/api/v5_3/PVcalc?lat=30.0444&amp;lon=31.2357&amp;peakpower=1&amp;loss=14&amp;angle=90&amp;aspect=-60&amp;outputformat=json&amp;raddatabase=PVGIS-SARAH3&amp;pvtechchoice=crystSi&amp;mountingplace=free&amp;usehorizon=1</v>
      </c>
    </row>
    <row r="5572">
      <c r="A5572" t="n">
        <v>90</v>
      </c>
      <c r="B5572" t="n">
        <v>120</v>
      </c>
      <c r="C5572" t="n">
        <v>7</v>
      </c>
      <c r="D5572" s="218" t="n">
        <v>74.46</v>
      </c>
      <c r="E5572" s="218" t="n">
        <v>2.4</v>
      </c>
      <c r="F5572" t="str">
        <v>https://re.jrc.ec.europa.eu/api/v5_3/PVcalc?lat=30.0444&amp;lon=31.2357&amp;peakpower=1&amp;loss=14&amp;angle=90&amp;aspect=-60&amp;outputformat=json&amp;raddatabase=PVGIS-SARAH3&amp;pvtechchoice=crystSi&amp;mountingplace=free&amp;usehorizon=1</v>
      </c>
    </row>
    <row r="5573">
      <c r="A5573" t="n">
        <v>90</v>
      </c>
      <c r="B5573" t="n">
        <v>120</v>
      </c>
      <c r="C5573" t="n">
        <v>8</v>
      </c>
      <c r="D5573" s="218" t="n">
        <v>79.93</v>
      </c>
      <c r="E5573" s="218" t="n">
        <v>2.58</v>
      </c>
      <c r="F5573" t="str">
        <v>https://re.jrc.ec.europa.eu/api/v5_3/PVcalc?lat=30.0444&amp;lon=31.2357&amp;peakpower=1&amp;loss=14&amp;angle=90&amp;aspect=-60&amp;outputformat=json&amp;raddatabase=PVGIS-SARAH3&amp;pvtechchoice=crystSi&amp;mountingplace=free&amp;usehorizon=1</v>
      </c>
    </row>
    <row r="5574">
      <c r="A5574" t="n">
        <v>90</v>
      </c>
      <c r="B5574" t="n">
        <v>120</v>
      </c>
      <c r="C5574" t="n">
        <v>9</v>
      </c>
      <c r="D5574" s="218" t="n">
        <v>81</v>
      </c>
      <c r="E5574" s="218" t="n">
        <v>2.7</v>
      </c>
      <c r="F5574" t="str">
        <v>https://re.jrc.ec.europa.eu/api/v5_3/PVcalc?lat=30.0444&amp;lon=31.2357&amp;peakpower=1&amp;loss=14&amp;angle=90&amp;aspect=-60&amp;outputformat=json&amp;raddatabase=PVGIS-SARAH3&amp;pvtechchoice=crystSi&amp;mountingplace=free&amp;usehorizon=1</v>
      </c>
    </row>
    <row r="5575">
      <c r="A5575" t="n">
        <v>90</v>
      </c>
      <c r="B5575" t="n">
        <v>120</v>
      </c>
      <c r="C5575" t="n">
        <v>10</v>
      </c>
      <c r="D5575" s="218" t="n">
        <v>86.21</v>
      </c>
      <c r="E5575" s="218" t="n">
        <v>2.78</v>
      </c>
      <c r="F5575" t="str">
        <v>https://re.jrc.ec.europa.eu/api/v5_3/PVcalc?lat=30.0444&amp;lon=31.2357&amp;peakpower=1&amp;loss=14&amp;angle=90&amp;aspect=-60&amp;outputformat=json&amp;raddatabase=PVGIS-SARAH3&amp;pvtechchoice=crystSi&amp;mountingplace=free&amp;usehorizon=1</v>
      </c>
    </row>
    <row r="5576">
      <c r="A5576" t="n">
        <v>90</v>
      </c>
      <c r="B5576" t="n">
        <v>120</v>
      </c>
      <c r="C5576" t="n">
        <v>11</v>
      </c>
      <c r="D5576" s="218" t="n">
        <v>83.48</v>
      </c>
      <c r="E5576" s="218" t="n">
        <v>2.78</v>
      </c>
      <c r="F5576" t="str">
        <v>https://re.jrc.ec.europa.eu/api/v5_3/PVcalc?lat=30.0444&amp;lon=31.2357&amp;peakpower=1&amp;loss=14&amp;angle=90&amp;aspect=-60&amp;outputformat=json&amp;raddatabase=PVGIS-SARAH3&amp;pvtechchoice=crystSi&amp;mountingplace=free&amp;usehorizon=1</v>
      </c>
    </row>
    <row r="5577">
      <c r="A5577" t="n">
        <v>90</v>
      </c>
      <c r="B5577" t="n">
        <v>120</v>
      </c>
      <c r="C5577" t="n">
        <v>12</v>
      </c>
      <c r="D5577" s="218" t="n">
        <v>82.05</v>
      </c>
      <c r="E5577" s="218" t="n">
        <v>2.65</v>
      </c>
      <c r="F5577" t="str">
        <v>https://re.jrc.ec.europa.eu/api/v5_3/PVcalc?lat=30.0444&amp;lon=31.2357&amp;peakpower=1&amp;loss=14&amp;angle=90&amp;aspect=-60&amp;outputformat=json&amp;raddatabase=PVGIS-SARAH3&amp;pvtechchoice=crystSi&amp;mountingplace=free&amp;usehorizon=1</v>
      </c>
    </row>
    <row r="5578">
      <c r="A5578" t="n">
        <v>90</v>
      </c>
      <c r="B5578" t="n">
        <v>135</v>
      </c>
      <c r="C5578" t="n">
        <v>1</v>
      </c>
      <c r="D5578" s="218" t="n">
        <v>94.97</v>
      </c>
      <c r="E5578" s="218" t="n">
        <v>3.06</v>
      </c>
      <c r="F5578" t="str">
        <v>https://re.jrc.ec.europa.eu/api/v5_3/PVcalc?lat=30.0444&amp;lon=31.2357&amp;peakpower=1&amp;loss=14&amp;angle=90&amp;aspect=-45&amp;outputformat=json&amp;raddatabase=PVGIS-SARAH3&amp;pvtechchoice=crystSi&amp;mountingplace=free&amp;usehorizon=1</v>
      </c>
    </row>
    <row r="5579">
      <c r="A5579" t="n">
        <v>90</v>
      </c>
      <c r="B5579" t="n">
        <v>135</v>
      </c>
      <c r="C5579" t="n">
        <v>2</v>
      </c>
      <c r="D5579" s="218" t="n">
        <v>87.94</v>
      </c>
      <c r="E5579" s="218" t="n">
        <v>3.14</v>
      </c>
      <c r="F5579" t="str">
        <v>https://re.jrc.ec.europa.eu/api/v5_3/PVcalc?lat=30.0444&amp;lon=31.2357&amp;peakpower=1&amp;loss=14&amp;angle=90&amp;aspect=-45&amp;outputformat=json&amp;raddatabase=PVGIS-SARAH3&amp;pvtechchoice=crystSi&amp;mountingplace=free&amp;usehorizon=1</v>
      </c>
    </row>
    <row r="5580">
      <c r="A5580" t="n">
        <v>90</v>
      </c>
      <c r="B5580" t="n">
        <v>135</v>
      </c>
      <c r="C5580" t="n">
        <v>3</v>
      </c>
      <c r="D5580" s="218" t="n">
        <v>92.74</v>
      </c>
      <c r="E5580" s="218" t="n">
        <v>2.99</v>
      </c>
      <c r="F5580" t="str">
        <v>https://re.jrc.ec.europa.eu/api/v5_3/PVcalc?lat=30.0444&amp;lon=31.2357&amp;peakpower=1&amp;loss=14&amp;angle=90&amp;aspect=-45&amp;outputformat=json&amp;raddatabase=PVGIS-SARAH3&amp;pvtechchoice=crystSi&amp;mountingplace=free&amp;usehorizon=1</v>
      </c>
    </row>
    <row r="5581">
      <c r="A5581" t="n">
        <v>90</v>
      </c>
      <c r="B5581" t="n">
        <v>135</v>
      </c>
      <c r="C5581" t="n">
        <v>4</v>
      </c>
      <c r="D5581" s="218" t="n">
        <v>79.31</v>
      </c>
      <c r="E5581" s="218" t="n">
        <v>2.64</v>
      </c>
      <c r="F5581" t="str">
        <v>https://re.jrc.ec.europa.eu/api/v5_3/PVcalc?lat=30.0444&amp;lon=31.2357&amp;peakpower=1&amp;loss=14&amp;angle=90&amp;aspect=-45&amp;outputformat=json&amp;raddatabase=PVGIS-SARAH3&amp;pvtechchoice=crystSi&amp;mountingplace=free&amp;usehorizon=1</v>
      </c>
    </row>
    <row r="5582">
      <c r="A5582" t="n">
        <v>90</v>
      </c>
      <c r="B5582" t="n">
        <v>135</v>
      </c>
      <c r="C5582" t="n">
        <v>5</v>
      </c>
      <c r="D5582" s="218" t="n">
        <v>71.23</v>
      </c>
      <c r="E5582" s="218" t="n">
        <v>2.3</v>
      </c>
      <c r="F5582" t="str">
        <v>https://re.jrc.ec.europa.eu/api/v5_3/PVcalc?lat=30.0444&amp;lon=31.2357&amp;peakpower=1&amp;loss=14&amp;angle=90&amp;aspect=-45&amp;outputformat=json&amp;raddatabase=PVGIS-SARAH3&amp;pvtechchoice=crystSi&amp;mountingplace=free&amp;usehorizon=1</v>
      </c>
    </row>
    <row r="5583">
      <c r="A5583" t="n">
        <v>90</v>
      </c>
      <c r="B5583" t="n">
        <v>135</v>
      </c>
      <c r="C5583" t="n">
        <v>6</v>
      </c>
      <c r="D5583" s="218" t="n">
        <v>62.75</v>
      </c>
      <c r="E5583" s="218" t="n">
        <v>2.09</v>
      </c>
      <c r="F5583" t="str">
        <v>https://re.jrc.ec.europa.eu/api/v5_3/PVcalc?lat=30.0444&amp;lon=31.2357&amp;peakpower=1&amp;loss=14&amp;angle=90&amp;aspect=-45&amp;outputformat=json&amp;raddatabase=PVGIS-SARAH3&amp;pvtechchoice=crystSi&amp;mountingplace=free&amp;usehorizon=1</v>
      </c>
    </row>
    <row r="5584">
      <c r="A5584" t="n">
        <v>90</v>
      </c>
      <c r="B5584" t="n">
        <v>135</v>
      </c>
      <c r="C5584" t="n">
        <v>7</v>
      </c>
      <c r="D5584" s="218" t="n">
        <v>65.77</v>
      </c>
      <c r="E5584" s="218" t="n">
        <v>2.12</v>
      </c>
      <c r="F5584" t="str">
        <v>https://re.jrc.ec.europa.eu/api/v5_3/PVcalc?lat=30.0444&amp;lon=31.2357&amp;peakpower=1&amp;loss=14&amp;angle=90&amp;aspect=-45&amp;outputformat=json&amp;raddatabase=PVGIS-SARAH3&amp;pvtechchoice=crystSi&amp;mountingplace=free&amp;usehorizon=1</v>
      </c>
    </row>
    <row r="5585">
      <c r="A5585" t="n">
        <v>90</v>
      </c>
      <c r="B5585" t="n">
        <v>135</v>
      </c>
      <c r="C5585" t="n">
        <v>8</v>
      </c>
      <c r="D5585" s="218" t="n">
        <v>75.67</v>
      </c>
      <c r="E5585" s="218" t="n">
        <v>2.44</v>
      </c>
      <c r="F5585" t="str">
        <v>https://re.jrc.ec.europa.eu/api/v5_3/PVcalc?lat=30.0444&amp;lon=31.2357&amp;peakpower=1&amp;loss=14&amp;angle=90&amp;aspect=-45&amp;outputformat=json&amp;raddatabase=PVGIS-SARAH3&amp;pvtechchoice=crystSi&amp;mountingplace=free&amp;usehorizon=1</v>
      </c>
    </row>
    <row r="5586">
      <c r="A5586" t="n">
        <v>90</v>
      </c>
      <c r="B5586" t="n">
        <v>135</v>
      </c>
      <c r="C5586" t="n">
        <v>9</v>
      </c>
      <c r="D5586" s="218" t="n">
        <v>84.5</v>
      </c>
      <c r="E5586" s="218" t="n">
        <v>2.82</v>
      </c>
      <c r="F5586" t="str">
        <v>https://re.jrc.ec.europa.eu/api/v5_3/PVcalc?lat=30.0444&amp;lon=31.2357&amp;peakpower=1&amp;loss=14&amp;angle=90&amp;aspect=-45&amp;outputformat=json&amp;raddatabase=PVGIS-SARAH3&amp;pvtechchoice=crystSi&amp;mountingplace=free&amp;usehorizon=1</v>
      </c>
    </row>
    <row r="5587">
      <c r="A5587" t="n">
        <v>90</v>
      </c>
      <c r="B5587" t="n">
        <v>135</v>
      </c>
      <c r="C5587" t="n">
        <v>10</v>
      </c>
      <c r="D5587" s="218" t="n">
        <v>95.59</v>
      </c>
      <c r="E5587" s="218" t="n">
        <v>3.08</v>
      </c>
      <c r="F5587" t="str">
        <v>https://re.jrc.ec.europa.eu/api/v5_3/PVcalc?lat=30.0444&amp;lon=31.2357&amp;peakpower=1&amp;loss=14&amp;angle=90&amp;aspect=-45&amp;outputformat=json&amp;raddatabase=PVGIS-SARAH3&amp;pvtechchoice=crystSi&amp;mountingplace=free&amp;usehorizon=1</v>
      </c>
    </row>
    <row r="5588">
      <c r="A5588" t="n">
        <v>90</v>
      </c>
      <c r="B5588" t="n">
        <v>135</v>
      </c>
      <c r="C5588" t="n">
        <v>11</v>
      </c>
      <c r="D5588" s="218" t="n">
        <v>97.09</v>
      </c>
      <c r="E5588" s="218" t="n">
        <v>3.24</v>
      </c>
      <c r="F5588" t="str">
        <v>https://re.jrc.ec.europa.eu/api/v5_3/PVcalc?lat=30.0444&amp;lon=31.2357&amp;peakpower=1&amp;loss=14&amp;angle=90&amp;aspect=-45&amp;outputformat=json&amp;raddatabase=PVGIS-SARAH3&amp;pvtechchoice=crystSi&amp;mountingplace=free&amp;usehorizon=1</v>
      </c>
    </row>
    <row r="5589">
      <c r="A5589" t="n">
        <v>90</v>
      </c>
      <c r="B5589" t="n">
        <v>135</v>
      </c>
      <c r="C5589" t="n">
        <v>12</v>
      </c>
      <c r="D5589" s="218" t="n">
        <v>97.96</v>
      </c>
      <c r="E5589" s="218" t="n">
        <v>3.16</v>
      </c>
      <c r="F5589" t="str">
        <v>https://re.jrc.ec.europa.eu/api/v5_3/PVcalc?lat=30.0444&amp;lon=31.2357&amp;peakpower=1&amp;loss=14&amp;angle=90&amp;aspect=-45&amp;outputformat=json&amp;raddatabase=PVGIS-SARAH3&amp;pvtechchoice=crystSi&amp;mountingplace=free&amp;usehorizon=1</v>
      </c>
    </row>
    <row r="5590">
      <c r="A5590" t="n">
        <v>90</v>
      </c>
      <c r="B5590" t="n">
        <v>150</v>
      </c>
      <c r="C5590" t="n">
        <v>1</v>
      </c>
      <c r="D5590" s="218" t="n">
        <v>108.77</v>
      </c>
      <c r="E5590" s="218" t="n">
        <v>3.51</v>
      </c>
      <c r="F5590" t="str">
        <v>https://re.jrc.ec.europa.eu/api/v5_3/PVcalc?lat=30.0444&amp;lon=31.2357&amp;peakpower=1&amp;loss=14&amp;angle=90&amp;aspect=-30&amp;outputformat=json&amp;raddatabase=PVGIS-SARAH3&amp;pvtechchoice=crystSi&amp;mountingplace=free&amp;usehorizon=1</v>
      </c>
    </row>
    <row r="5591">
      <c r="A5591" t="n">
        <v>90</v>
      </c>
      <c r="B5591" t="n">
        <v>150</v>
      </c>
      <c r="C5591" t="n">
        <v>2</v>
      </c>
      <c r="D5591" s="218" t="n">
        <v>95.76</v>
      </c>
      <c r="E5591" s="218" t="n">
        <v>3.42</v>
      </c>
      <c r="F5591" t="str">
        <v>https://re.jrc.ec.europa.eu/api/v5_3/PVcalc?lat=30.0444&amp;lon=31.2357&amp;peakpower=1&amp;loss=14&amp;angle=90&amp;aspect=-30&amp;outputformat=json&amp;raddatabase=PVGIS-SARAH3&amp;pvtechchoice=crystSi&amp;mountingplace=free&amp;usehorizon=1</v>
      </c>
    </row>
    <row r="5592">
      <c r="A5592" t="n">
        <v>90</v>
      </c>
      <c r="B5592" t="n">
        <v>150</v>
      </c>
      <c r="C5592" t="n">
        <v>3</v>
      </c>
      <c r="D5592" s="218" t="n">
        <v>96.21</v>
      </c>
      <c r="E5592" s="218" t="n">
        <v>3.1</v>
      </c>
      <c r="F5592" t="str">
        <v>https://re.jrc.ec.europa.eu/api/v5_3/PVcalc?lat=30.0444&amp;lon=31.2357&amp;peakpower=1&amp;loss=14&amp;angle=90&amp;aspect=-30&amp;outputformat=json&amp;raddatabase=PVGIS-SARAH3&amp;pvtechchoice=crystSi&amp;mountingplace=free&amp;usehorizon=1</v>
      </c>
    </row>
    <row r="5593">
      <c r="A5593" t="n">
        <v>90</v>
      </c>
      <c r="B5593" t="n">
        <v>150</v>
      </c>
      <c r="C5593" t="n">
        <v>4</v>
      </c>
      <c r="D5593" s="218" t="n">
        <v>75.7</v>
      </c>
      <c r="E5593" s="218" t="n">
        <v>2.52</v>
      </c>
      <c r="F5593" t="str">
        <v>https://re.jrc.ec.europa.eu/api/v5_3/PVcalc?lat=30.0444&amp;lon=31.2357&amp;peakpower=1&amp;loss=14&amp;angle=90&amp;aspect=-30&amp;outputformat=json&amp;raddatabase=PVGIS-SARAH3&amp;pvtechchoice=crystSi&amp;mountingplace=free&amp;usehorizon=1</v>
      </c>
    </row>
    <row r="5594">
      <c r="A5594" t="n">
        <v>90</v>
      </c>
      <c r="B5594" t="n">
        <v>150</v>
      </c>
      <c r="C5594" t="n">
        <v>5</v>
      </c>
      <c r="D5594" s="218" t="n">
        <v>60.87</v>
      </c>
      <c r="E5594" s="218" t="n">
        <v>1.96</v>
      </c>
      <c r="F5594" t="str">
        <v>https://re.jrc.ec.europa.eu/api/v5_3/PVcalc?lat=30.0444&amp;lon=31.2357&amp;peakpower=1&amp;loss=14&amp;angle=90&amp;aspect=-30&amp;outputformat=json&amp;raddatabase=PVGIS-SARAH3&amp;pvtechchoice=crystSi&amp;mountingplace=free&amp;usehorizon=1</v>
      </c>
    </row>
    <row r="5595">
      <c r="A5595" t="n">
        <v>90</v>
      </c>
      <c r="B5595" t="n">
        <v>150</v>
      </c>
      <c r="C5595" t="n">
        <v>6</v>
      </c>
      <c r="D5595" s="218" t="n">
        <v>49.12</v>
      </c>
      <c r="E5595" s="218" t="n">
        <v>1.64</v>
      </c>
      <c r="F5595" t="str">
        <v>https://re.jrc.ec.europa.eu/api/v5_3/PVcalc?lat=30.0444&amp;lon=31.2357&amp;peakpower=1&amp;loss=14&amp;angle=90&amp;aspect=-30&amp;outputformat=json&amp;raddatabase=PVGIS-SARAH3&amp;pvtechchoice=crystSi&amp;mountingplace=free&amp;usehorizon=1</v>
      </c>
    </row>
    <row r="5596">
      <c r="A5596" t="n">
        <v>90</v>
      </c>
      <c r="B5596" t="n">
        <v>150</v>
      </c>
      <c r="C5596" t="n">
        <v>7</v>
      </c>
      <c r="D5596" s="218" t="n">
        <v>53.7</v>
      </c>
      <c r="E5596" s="218" t="n">
        <v>1.73</v>
      </c>
      <c r="F5596" t="str">
        <v>https://re.jrc.ec.europa.eu/api/v5_3/PVcalc?lat=30.0444&amp;lon=31.2357&amp;peakpower=1&amp;loss=14&amp;angle=90&amp;aspect=-30&amp;outputformat=json&amp;raddatabase=PVGIS-SARAH3&amp;pvtechchoice=crystSi&amp;mountingplace=free&amp;usehorizon=1</v>
      </c>
    </row>
    <row r="5597">
      <c r="A5597" t="n">
        <v>90</v>
      </c>
      <c r="B5597" t="n">
        <v>150</v>
      </c>
      <c r="C5597" t="n">
        <v>8</v>
      </c>
      <c r="D5597" s="218" t="n">
        <v>69.12</v>
      </c>
      <c r="E5597" s="218" t="n">
        <v>2.23</v>
      </c>
      <c r="F5597" t="str">
        <v>https://re.jrc.ec.europa.eu/api/v5_3/PVcalc?lat=30.0444&amp;lon=31.2357&amp;peakpower=1&amp;loss=14&amp;angle=90&amp;aspect=-30&amp;outputformat=json&amp;raddatabase=PVGIS-SARAH3&amp;pvtechchoice=crystSi&amp;mountingplace=free&amp;usehorizon=1</v>
      </c>
    </row>
    <row r="5598">
      <c r="A5598" t="n">
        <v>90</v>
      </c>
      <c r="B5598" t="n">
        <v>150</v>
      </c>
      <c r="C5598" t="n">
        <v>9</v>
      </c>
      <c r="D5598" s="218" t="n">
        <v>85.53</v>
      </c>
      <c r="E5598" s="218" t="n">
        <v>2.85</v>
      </c>
      <c r="F5598" t="str">
        <v>https://re.jrc.ec.europa.eu/api/v5_3/PVcalc?lat=30.0444&amp;lon=31.2357&amp;peakpower=1&amp;loss=14&amp;angle=90&amp;aspect=-30&amp;outputformat=json&amp;raddatabase=PVGIS-SARAH3&amp;pvtechchoice=crystSi&amp;mountingplace=free&amp;usehorizon=1</v>
      </c>
    </row>
    <row r="5599">
      <c r="A5599" t="n">
        <v>90</v>
      </c>
      <c r="B5599" t="n">
        <v>150</v>
      </c>
      <c r="C5599" t="n">
        <v>10</v>
      </c>
      <c r="D5599" s="218" t="n">
        <v>103.85</v>
      </c>
      <c r="E5599" s="218" t="n">
        <v>3.35</v>
      </c>
      <c r="F5599" t="str">
        <v>https://re.jrc.ec.europa.eu/api/v5_3/PVcalc?lat=30.0444&amp;lon=31.2357&amp;peakpower=1&amp;loss=14&amp;angle=90&amp;aspect=-30&amp;outputformat=json&amp;raddatabase=PVGIS-SARAH3&amp;pvtechchoice=crystSi&amp;mountingplace=free&amp;usehorizon=1</v>
      </c>
    </row>
    <row r="5600">
      <c r="A5600" t="n">
        <v>90</v>
      </c>
      <c r="B5600" t="n">
        <v>150</v>
      </c>
      <c r="C5600" t="n">
        <v>11</v>
      </c>
      <c r="D5600" s="218" t="n">
        <v>109.86</v>
      </c>
      <c r="E5600" s="218" t="n">
        <v>3.66</v>
      </c>
      <c r="F5600" t="str">
        <v>https://re.jrc.ec.europa.eu/api/v5_3/PVcalc?lat=30.0444&amp;lon=31.2357&amp;peakpower=1&amp;loss=14&amp;angle=90&amp;aspect=-30&amp;outputformat=json&amp;raddatabase=PVGIS-SARAH3&amp;pvtechchoice=crystSi&amp;mountingplace=free&amp;usehorizon=1</v>
      </c>
    </row>
    <row r="5601">
      <c r="A5601" t="n">
        <v>90</v>
      </c>
      <c r="B5601" t="n">
        <v>150</v>
      </c>
      <c r="C5601" t="n">
        <v>12</v>
      </c>
      <c r="D5601" s="218" t="n">
        <v>113.03</v>
      </c>
      <c r="E5601" s="218" t="n">
        <v>3.65</v>
      </c>
      <c r="F5601" t="str">
        <v>https://re.jrc.ec.europa.eu/api/v5_3/PVcalc?lat=30.0444&amp;lon=31.2357&amp;peakpower=1&amp;loss=14&amp;angle=90&amp;aspect=-30&amp;outputformat=json&amp;raddatabase=PVGIS-SARAH3&amp;pvtechchoice=crystSi&amp;mountingplace=free&amp;usehorizon=1</v>
      </c>
    </row>
    <row r="5602">
      <c r="A5602" t="n">
        <v>90</v>
      </c>
      <c r="B5602" t="n">
        <v>165</v>
      </c>
      <c r="C5602" t="n">
        <v>1</v>
      </c>
      <c r="D5602" s="218" t="n">
        <v>119.1</v>
      </c>
      <c r="E5602" s="218" t="n">
        <v>3.84</v>
      </c>
      <c r="F5602" t="str">
        <v>https://re.jrc.ec.europa.eu/api/v5_3/PVcalc?lat=30.0444&amp;lon=31.2357&amp;peakpower=1&amp;loss=14&amp;angle=90&amp;aspect=-15&amp;outputformat=json&amp;raddatabase=PVGIS-SARAH3&amp;pvtechchoice=crystSi&amp;mountingplace=free&amp;usehorizon=1</v>
      </c>
    </row>
    <row r="5603">
      <c r="A5603" t="n">
        <v>90</v>
      </c>
      <c r="B5603" t="n">
        <v>165</v>
      </c>
      <c r="C5603" t="n">
        <v>2</v>
      </c>
      <c r="D5603" s="218" t="n">
        <v>102.26</v>
      </c>
      <c r="E5603" s="218" t="n">
        <v>3.65</v>
      </c>
      <c r="F5603" t="str">
        <v>https://re.jrc.ec.europa.eu/api/v5_3/PVcalc?lat=30.0444&amp;lon=31.2357&amp;peakpower=1&amp;loss=14&amp;angle=90&amp;aspect=-15&amp;outputformat=json&amp;raddatabase=PVGIS-SARAH3&amp;pvtechchoice=crystSi&amp;mountingplace=free&amp;usehorizon=1</v>
      </c>
    </row>
    <row r="5604">
      <c r="A5604" t="n">
        <v>90</v>
      </c>
      <c r="B5604" t="n">
        <v>165</v>
      </c>
      <c r="C5604" t="n">
        <v>3</v>
      </c>
      <c r="D5604" s="218" t="n">
        <v>98.78</v>
      </c>
      <c r="E5604" s="218" t="n">
        <v>3.19</v>
      </c>
      <c r="F5604" t="str">
        <v>https://re.jrc.ec.europa.eu/api/v5_3/PVcalc?lat=30.0444&amp;lon=31.2357&amp;peakpower=1&amp;loss=14&amp;angle=90&amp;aspect=-15&amp;outputformat=json&amp;raddatabase=PVGIS-SARAH3&amp;pvtechchoice=crystSi&amp;mountingplace=free&amp;usehorizon=1</v>
      </c>
    </row>
    <row r="5605">
      <c r="A5605" t="n">
        <v>90</v>
      </c>
      <c r="B5605" t="n">
        <v>165</v>
      </c>
      <c r="C5605" t="n">
        <v>4</v>
      </c>
      <c r="D5605" s="218" t="n">
        <v>70.88</v>
      </c>
      <c r="E5605" s="218" t="n">
        <v>2.36</v>
      </c>
      <c r="F5605" t="str">
        <v>https://re.jrc.ec.europa.eu/api/v5_3/PVcalc?lat=30.0444&amp;lon=31.2357&amp;peakpower=1&amp;loss=14&amp;angle=90&amp;aspect=-15&amp;outputformat=json&amp;raddatabase=PVGIS-SARAH3&amp;pvtechchoice=crystSi&amp;mountingplace=free&amp;usehorizon=1</v>
      </c>
    </row>
    <row r="5606">
      <c r="A5606" t="n">
        <v>90</v>
      </c>
      <c r="B5606" t="n">
        <v>165</v>
      </c>
      <c r="C5606" t="n">
        <v>5</v>
      </c>
      <c r="D5606" s="218" t="n">
        <v>49.6</v>
      </c>
      <c r="E5606" s="218" t="n">
        <v>1.6</v>
      </c>
      <c r="F5606" t="str">
        <v>https://re.jrc.ec.europa.eu/api/v5_3/PVcalc?lat=30.0444&amp;lon=31.2357&amp;peakpower=1&amp;loss=14&amp;angle=90&amp;aspect=-15&amp;outputformat=json&amp;raddatabase=PVGIS-SARAH3&amp;pvtechchoice=crystSi&amp;mountingplace=free&amp;usehorizon=1</v>
      </c>
    </row>
    <row r="5607">
      <c r="A5607" t="n">
        <v>90</v>
      </c>
      <c r="B5607" t="n">
        <v>165</v>
      </c>
      <c r="C5607" t="n">
        <v>6</v>
      </c>
      <c r="D5607" s="218" t="n">
        <v>36.36</v>
      </c>
      <c r="E5607" s="218" t="n">
        <v>1.21</v>
      </c>
      <c r="F5607" t="str">
        <v>https://re.jrc.ec.europa.eu/api/v5_3/PVcalc?lat=30.0444&amp;lon=31.2357&amp;peakpower=1&amp;loss=14&amp;angle=90&amp;aspect=-15&amp;outputformat=json&amp;raddatabase=PVGIS-SARAH3&amp;pvtechchoice=crystSi&amp;mountingplace=free&amp;usehorizon=1</v>
      </c>
    </row>
    <row r="5608">
      <c r="A5608" t="n">
        <v>90</v>
      </c>
      <c r="B5608" t="n">
        <v>165</v>
      </c>
      <c r="C5608" t="n">
        <v>7</v>
      </c>
      <c r="D5608" s="218" t="n">
        <v>41.07</v>
      </c>
      <c r="E5608" s="218" t="n">
        <v>1.32</v>
      </c>
      <c r="F5608" t="str">
        <v>https://re.jrc.ec.europa.eu/api/v5_3/PVcalc?lat=30.0444&amp;lon=31.2357&amp;peakpower=1&amp;loss=14&amp;angle=90&amp;aspect=-15&amp;outputformat=json&amp;raddatabase=PVGIS-SARAH3&amp;pvtechchoice=crystSi&amp;mountingplace=free&amp;usehorizon=1</v>
      </c>
    </row>
    <row r="5609">
      <c r="A5609" t="n">
        <v>90</v>
      </c>
      <c r="B5609" t="n">
        <v>165</v>
      </c>
      <c r="C5609" t="n">
        <v>8</v>
      </c>
      <c r="D5609" s="218" t="n">
        <v>60.68</v>
      </c>
      <c r="E5609" s="218" t="n">
        <v>1.96</v>
      </c>
      <c r="F5609" t="str">
        <v>https://re.jrc.ec.europa.eu/api/v5_3/PVcalc?lat=30.0444&amp;lon=31.2357&amp;peakpower=1&amp;loss=14&amp;angle=90&amp;aspect=-15&amp;outputformat=json&amp;raddatabase=PVGIS-SARAH3&amp;pvtechchoice=crystSi&amp;mountingplace=free&amp;usehorizon=1</v>
      </c>
    </row>
    <row r="5610">
      <c r="A5610" t="n">
        <v>90</v>
      </c>
      <c r="B5610" t="n">
        <v>165</v>
      </c>
      <c r="C5610" t="n">
        <v>9</v>
      </c>
      <c r="D5610" s="218" t="n">
        <v>85.87</v>
      </c>
      <c r="E5610" s="218" t="n">
        <v>2.86</v>
      </c>
      <c r="F5610" t="str">
        <v>https://re.jrc.ec.europa.eu/api/v5_3/PVcalc?lat=30.0444&amp;lon=31.2357&amp;peakpower=1&amp;loss=14&amp;angle=90&amp;aspect=-15&amp;outputformat=json&amp;raddatabase=PVGIS-SARAH3&amp;pvtechchoice=crystSi&amp;mountingplace=free&amp;usehorizon=1</v>
      </c>
    </row>
    <row r="5611">
      <c r="A5611" t="n">
        <v>90</v>
      </c>
      <c r="B5611" t="n">
        <v>165</v>
      </c>
      <c r="C5611" t="n">
        <v>10</v>
      </c>
      <c r="D5611" s="218" t="n">
        <v>111.34</v>
      </c>
      <c r="E5611" s="218" t="n">
        <v>3.59</v>
      </c>
      <c r="F5611" t="str">
        <v>https://re.jrc.ec.europa.eu/api/v5_3/PVcalc?lat=30.0444&amp;lon=31.2357&amp;peakpower=1&amp;loss=14&amp;angle=90&amp;aspect=-15&amp;outputformat=json&amp;raddatabase=PVGIS-SARAH3&amp;pvtechchoice=crystSi&amp;mountingplace=free&amp;usehorizon=1</v>
      </c>
    </row>
    <row r="5612">
      <c r="A5612" t="n">
        <v>90</v>
      </c>
      <c r="B5612" t="n">
        <v>165</v>
      </c>
      <c r="C5612" t="n">
        <v>11</v>
      </c>
      <c r="D5612" s="218" t="n">
        <v>120.47</v>
      </c>
      <c r="E5612" s="218" t="n">
        <v>4.02</v>
      </c>
      <c r="F5612" t="str">
        <v>https://re.jrc.ec.europa.eu/api/v5_3/PVcalc?lat=30.0444&amp;lon=31.2357&amp;peakpower=1&amp;loss=14&amp;angle=90&amp;aspect=-15&amp;outputformat=json&amp;raddatabase=PVGIS-SARAH3&amp;pvtechchoice=crystSi&amp;mountingplace=free&amp;usehorizon=1</v>
      </c>
    </row>
    <row r="5613">
      <c r="A5613" t="n">
        <v>90</v>
      </c>
      <c r="B5613" t="n">
        <v>165</v>
      </c>
      <c r="C5613" t="n">
        <v>12</v>
      </c>
      <c r="D5613" s="218" t="n">
        <v>123.96</v>
      </c>
      <c r="E5613" s="218" t="n">
        <v>4</v>
      </c>
      <c r="F5613" t="str">
        <v>https://re.jrc.ec.europa.eu/api/v5_3/PVcalc?lat=30.0444&amp;lon=31.2357&amp;peakpower=1&amp;loss=14&amp;angle=90&amp;aspect=-15&amp;outputformat=json&amp;raddatabase=PVGIS-SARAH3&amp;pvtechchoice=crystSi&amp;mountingplace=free&amp;usehorizon=1</v>
      </c>
    </row>
    <row r="5614">
      <c r="A5614" t="n">
        <v>90</v>
      </c>
      <c r="B5614" t="n">
        <v>180</v>
      </c>
      <c r="C5614" t="n">
        <v>1</v>
      </c>
      <c r="D5614" s="218" t="n">
        <v>122.36</v>
      </c>
      <c r="E5614" s="218" t="n">
        <v>3.95</v>
      </c>
      <c r="F5614" t="str">
        <v>https://re.jrc.ec.europa.eu/api/v5_3/PVcalc?lat=30.0444&amp;lon=31.2357&amp;peakpower=1&amp;loss=14&amp;angle=90&amp;aspect=0&amp;outputformat=json&amp;raddatabase=PVGIS-SARAH3&amp;pvtechchoice=crystSi&amp;mountingplace=free&amp;usehorizon=1</v>
      </c>
    </row>
    <row r="5615">
      <c r="A5615" t="n">
        <v>90</v>
      </c>
      <c r="B5615" t="n">
        <v>180</v>
      </c>
      <c r="C5615" t="n">
        <v>2</v>
      </c>
      <c r="D5615" s="218" t="n">
        <v>104.53</v>
      </c>
      <c r="E5615" s="218" t="n">
        <v>3.73</v>
      </c>
      <c r="F5615" t="str">
        <v>https://re.jrc.ec.europa.eu/api/v5_3/PVcalc?lat=30.0444&amp;lon=31.2357&amp;peakpower=1&amp;loss=14&amp;angle=90&amp;aspect=0&amp;outputformat=json&amp;raddatabase=PVGIS-SARAH3&amp;pvtechchoice=crystSi&amp;mountingplace=free&amp;usehorizon=1</v>
      </c>
    </row>
    <row r="5616">
      <c r="A5616" t="n">
        <v>90</v>
      </c>
      <c r="B5616" t="n">
        <v>180</v>
      </c>
      <c r="C5616" t="n">
        <v>3</v>
      </c>
      <c r="D5616" s="218" t="n">
        <v>100.83</v>
      </c>
      <c r="E5616" s="218" t="n">
        <v>3.25</v>
      </c>
      <c r="F5616" t="str">
        <v>https://re.jrc.ec.europa.eu/api/v5_3/PVcalc?lat=30.0444&amp;lon=31.2357&amp;peakpower=1&amp;loss=14&amp;angle=90&amp;aspect=0&amp;outputformat=json&amp;raddatabase=PVGIS-SARAH3&amp;pvtechchoice=crystSi&amp;mountingplace=free&amp;usehorizon=1</v>
      </c>
    </row>
    <row r="5617">
      <c r="A5617" t="n">
        <v>90</v>
      </c>
      <c r="B5617" t="n">
        <v>180</v>
      </c>
      <c r="C5617" t="n">
        <v>4</v>
      </c>
      <c r="D5617" s="218" t="n">
        <v>68.16</v>
      </c>
      <c r="E5617" s="218" t="n">
        <v>2.27</v>
      </c>
      <c r="F5617" t="str">
        <v>https://re.jrc.ec.europa.eu/api/v5_3/PVcalc?lat=30.0444&amp;lon=31.2357&amp;peakpower=1&amp;loss=14&amp;angle=90&amp;aspect=0&amp;outputformat=json&amp;raddatabase=PVGIS-SARAH3&amp;pvtechchoice=crystSi&amp;mountingplace=free&amp;usehorizon=1</v>
      </c>
    </row>
    <row r="5618">
      <c r="A5618" t="n">
        <v>90</v>
      </c>
      <c r="B5618" t="n">
        <v>180</v>
      </c>
      <c r="C5618" t="n">
        <v>5</v>
      </c>
      <c r="D5618" s="218" t="n">
        <v>44.04</v>
      </c>
      <c r="E5618" s="218" t="n">
        <v>1.42</v>
      </c>
      <c r="F5618" t="str">
        <v>https://re.jrc.ec.europa.eu/api/v5_3/PVcalc?lat=30.0444&amp;lon=31.2357&amp;peakpower=1&amp;loss=14&amp;angle=90&amp;aspect=0&amp;outputformat=json&amp;raddatabase=PVGIS-SARAH3&amp;pvtechchoice=crystSi&amp;mountingplace=free&amp;usehorizon=1</v>
      </c>
    </row>
    <row r="5619">
      <c r="A5619" t="n">
        <v>90</v>
      </c>
      <c r="B5619" t="n">
        <v>180</v>
      </c>
      <c r="C5619" t="n">
        <v>6</v>
      </c>
      <c r="D5619" s="218" t="n">
        <v>30.01</v>
      </c>
      <c r="E5619" s="218" t="n">
        <v>1</v>
      </c>
      <c r="F5619" t="str">
        <v>https://re.jrc.ec.europa.eu/api/v5_3/PVcalc?lat=30.0444&amp;lon=31.2357&amp;peakpower=1&amp;loss=14&amp;angle=90&amp;aspect=0&amp;outputformat=json&amp;raddatabase=PVGIS-SARAH3&amp;pvtechchoice=crystSi&amp;mountingplace=free&amp;usehorizon=1</v>
      </c>
    </row>
    <row r="5620">
      <c r="A5620" t="n">
        <v>90</v>
      </c>
      <c r="B5620" t="n">
        <v>180</v>
      </c>
      <c r="C5620" t="n">
        <v>7</v>
      </c>
      <c r="D5620" s="218" t="n">
        <v>35.25</v>
      </c>
      <c r="E5620" s="218" t="n">
        <v>1.14</v>
      </c>
      <c r="F5620" t="str">
        <v>https://re.jrc.ec.europa.eu/api/v5_3/PVcalc?lat=30.0444&amp;lon=31.2357&amp;peakpower=1&amp;loss=14&amp;angle=90&amp;aspect=0&amp;outputformat=json&amp;raddatabase=PVGIS-SARAH3&amp;pvtechchoice=crystSi&amp;mountingplace=free&amp;usehorizon=1</v>
      </c>
    </row>
    <row r="5621">
      <c r="A5621" t="n">
        <v>90</v>
      </c>
      <c r="B5621" t="n">
        <v>180</v>
      </c>
      <c r="C5621" t="n">
        <v>8</v>
      </c>
      <c r="D5621" s="218" t="n">
        <v>56.02</v>
      </c>
      <c r="E5621" s="218" t="n">
        <v>1.81</v>
      </c>
      <c r="F5621" t="str">
        <v>https://re.jrc.ec.europa.eu/api/v5_3/PVcalc?lat=30.0444&amp;lon=31.2357&amp;peakpower=1&amp;loss=14&amp;angle=90&amp;aspect=0&amp;outputformat=json&amp;raddatabase=PVGIS-SARAH3&amp;pvtechchoice=crystSi&amp;mountingplace=free&amp;usehorizon=1</v>
      </c>
    </row>
    <row r="5622">
      <c r="A5622" t="n">
        <v>90</v>
      </c>
      <c r="B5622" t="n">
        <v>180</v>
      </c>
      <c r="C5622" t="n">
        <v>9</v>
      </c>
      <c r="D5622" s="218" t="n">
        <v>86.89</v>
      </c>
      <c r="E5622" s="218" t="n">
        <v>2.9</v>
      </c>
      <c r="F5622" t="str">
        <v>https://re.jrc.ec.europa.eu/api/v5_3/PVcalc?lat=30.0444&amp;lon=31.2357&amp;peakpower=1&amp;loss=14&amp;angle=90&amp;aspect=0&amp;outputformat=json&amp;raddatabase=PVGIS-SARAH3&amp;pvtechchoice=crystSi&amp;mountingplace=free&amp;usehorizon=1</v>
      </c>
    </row>
    <row r="5623">
      <c r="A5623" t="n">
        <v>90</v>
      </c>
      <c r="B5623" t="n">
        <v>180</v>
      </c>
      <c r="C5623" t="n">
        <v>10</v>
      </c>
      <c r="D5623" s="218" t="n">
        <v>115.4</v>
      </c>
      <c r="E5623" s="218" t="n">
        <v>3.72</v>
      </c>
      <c r="F5623" t="str">
        <v>https://re.jrc.ec.europa.eu/api/v5_3/PVcalc?lat=30.0444&amp;lon=31.2357&amp;peakpower=1&amp;loss=14&amp;angle=90&amp;aspect=0&amp;outputformat=json&amp;raddatabase=PVGIS-SARAH3&amp;pvtechchoice=crystSi&amp;mountingplace=free&amp;usehorizon=1</v>
      </c>
    </row>
    <row r="5624">
      <c r="A5624" t="n">
        <v>90</v>
      </c>
      <c r="B5624" t="n">
        <v>180</v>
      </c>
      <c r="C5624" t="n">
        <v>11</v>
      </c>
      <c r="D5624" s="218" t="n">
        <v>124.32</v>
      </c>
      <c r="E5624" s="218" t="n">
        <v>4.14</v>
      </c>
      <c r="F5624" t="str">
        <v>https://re.jrc.ec.europa.eu/api/v5_3/PVcalc?lat=30.0444&amp;lon=31.2357&amp;peakpower=1&amp;loss=14&amp;angle=90&amp;aspect=0&amp;outputformat=json&amp;raddatabase=PVGIS-SARAH3&amp;pvtechchoice=crystSi&amp;mountingplace=free&amp;usehorizon=1</v>
      </c>
    </row>
    <row r="5625">
      <c r="A5625" t="n">
        <v>90</v>
      </c>
      <c r="B5625" t="n">
        <v>180</v>
      </c>
      <c r="C5625" t="n">
        <v>12</v>
      </c>
      <c r="D5625" s="218" t="n">
        <v>127.33</v>
      </c>
      <c r="E5625" s="218" t="n">
        <v>4.11</v>
      </c>
      <c r="F5625" t="str">
        <v>https://re.jrc.ec.europa.eu/api/v5_3/PVcalc?lat=30.0444&amp;lon=31.2357&amp;peakpower=1&amp;loss=14&amp;angle=90&amp;aspect=0&amp;outputformat=json&amp;raddatabase=PVGIS-SARAH3&amp;pvtechchoice=crystSi&amp;mountingplace=free&amp;usehorizon=1</v>
      </c>
    </row>
    <row r="5626">
      <c r="A5626" t="n">
        <v>90</v>
      </c>
      <c r="B5626" t="n">
        <v>195</v>
      </c>
      <c r="C5626" t="n">
        <v>1</v>
      </c>
      <c r="D5626" s="218" t="n">
        <v>117.7</v>
      </c>
      <c r="E5626" s="218" t="n">
        <v>3.8</v>
      </c>
      <c r="F5626" t="str">
        <v>https://re.jrc.ec.europa.eu/api/v5_3/PVcalc?lat=30.0444&amp;lon=31.2357&amp;peakpower=1&amp;loss=14&amp;angle=90&amp;aspect=15&amp;outputformat=json&amp;raddatabase=PVGIS-SARAH3&amp;pvtechchoice=crystSi&amp;mountingplace=free&amp;usehorizon=1</v>
      </c>
    </row>
    <row r="5627">
      <c r="A5627" t="n">
        <v>90</v>
      </c>
      <c r="B5627" t="n">
        <v>195</v>
      </c>
      <c r="C5627" t="n">
        <v>2</v>
      </c>
      <c r="D5627" s="218" t="n">
        <v>100.34</v>
      </c>
      <c r="E5627" s="218" t="n">
        <v>3.58</v>
      </c>
      <c r="F5627" t="str">
        <v>https://re.jrc.ec.europa.eu/api/v5_3/PVcalc?lat=30.0444&amp;lon=31.2357&amp;peakpower=1&amp;loss=14&amp;angle=90&amp;aspect=15&amp;outputformat=json&amp;raddatabase=PVGIS-SARAH3&amp;pvtechchoice=crystSi&amp;mountingplace=free&amp;usehorizon=1</v>
      </c>
    </row>
    <row r="5628">
      <c r="A5628" t="n">
        <v>90</v>
      </c>
      <c r="B5628" t="n">
        <v>195</v>
      </c>
      <c r="C5628" t="n">
        <v>3</v>
      </c>
      <c r="D5628" s="218" t="n">
        <v>100.39</v>
      </c>
      <c r="E5628" s="218" t="n">
        <v>3.24</v>
      </c>
      <c r="F5628" t="str">
        <v>https://re.jrc.ec.europa.eu/api/v5_3/PVcalc?lat=30.0444&amp;lon=31.2357&amp;peakpower=1&amp;loss=14&amp;angle=90&amp;aspect=15&amp;outputformat=json&amp;raddatabase=PVGIS-SARAH3&amp;pvtechchoice=crystSi&amp;mountingplace=free&amp;usehorizon=1</v>
      </c>
    </row>
    <row r="5629">
      <c r="A5629" t="n">
        <v>90</v>
      </c>
      <c r="B5629" t="n">
        <v>195</v>
      </c>
      <c r="C5629" t="n">
        <v>4</v>
      </c>
      <c r="D5629" s="218" t="n">
        <v>71.9</v>
      </c>
      <c r="E5629" s="218" t="n">
        <v>2.4</v>
      </c>
      <c r="F5629" t="str">
        <v>https://re.jrc.ec.europa.eu/api/v5_3/PVcalc?lat=30.0444&amp;lon=31.2357&amp;peakpower=1&amp;loss=14&amp;angle=90&amp;aspect=15&amp;outputformat=json&amp;raddatabase=PVGIS-SARAH3&amp;pvtechchoice=crystSi&amp;mountingplace=free&amp;usehorizon=1</v>
      </c>
    </row>
    <row r="5630">
      <c r="A5630" t="n">
        <v>90</v>
      </c>
      <c r="B5630" t="n">
        <v>195</v>
      </c>
      <c r="C5630" t="n">
        <v>5</v>
      </c>
      <c r="D5630" s="218" t="n">
        <v>49.63</v>
      </c>
      <c r="E5630" s="218" t="n">
        <v>1.6</v>
      </c>
      <c r="F5630" t="str">
        <v>https://re.jrc.ec.europa.eu/api/v5_3/PVcalc?lat=30.0444&amp;lon=31.2357&amp;peakpower=1&amp;loss=14&amp;angle=90&amp;aspect=15&amp;outputformat=json&amp;raddatabase=PVGIS-SARAH3&amp;pvtechchoice=crystSi&amp;mountingplace=free&amp;usehorizon=1</v>
      </c>
    </row>
    <row r="5631">
      <c r="A5631" t="n">
        <v>90</v>
      </c>
      <c r="B5631" t="n">
        <v>195</v>
      </c>
      <c r="C5631" t="n">
        <v>6</v>
      </c>
      <c r="D5631" s="218" t="n">
        <v>35.16</v>
      </c>
      <c r="E5631" s="218" t="n">
        <v>1.17</v>
      </c>
      <c r="F5631" t="str">
        <v>https://re.jrc.ec.europa.eu/api/v5_3/PVcalc?lat=30.0444&amp;lon=31.2357&amp;peakpower=1&amp;loss=14&amp;angle=90&amp;aspect=15&amp;outputformat=json&amp;raddatabase=PVGIS-SARAH3&amp;pvtechchoice=crystSi&amp;mountingplace=free&amp;usehorizon=1</v>
      </c>
    </row>
    <row r="5632">
      <c r="A5632" t="n">
        <v>90</v>
      </c>
      <c r="B5632" t="n">
        <v>195</v>
      </c>
      <c r="C5632" t="n">
        <v>7</v>
      </c>
      <c r="D5632" s="218" t="n">
        <v>41</v>
      </c>
      <c r="E5632" s="218" t="n">
        <v>1.32</v>
      </c>
      <c r="F5632" t="str">
        <v>https://re.jrc.ec.europa.eu/api/v5_3/PVcalc?lat=30.0444&amp;lon=31.2357&amp;peakpower=1&amp;loss=14&amp;angle=90&amp;aspect=15&amp;outputformat=json&amp;raddatabase=PVGIS-SARAH3&amp;pvtechchoice=crystSi&amp;mountingplace=free&amp;usehorizon=1</v>
      </c>
    </row>
    <row r="5633">
      <c r="A5633" t="n">
        <v>90</v>
      </c>
      <c r="B5633" t="n">
        <v>195</v>
      </c>
      <c r="C5633" t="n">
        <v>8</v>
      </c>
      <c r="D5633" s="218" t="n">
        <v>61.92</v>
      </c>
      <c r="E5633" s="218" t="n">
        <v>2</v>
      </c>
      <c r="F5633" t="str">
        <v>https://re.jrc.ec.europa.eu/api/v5_3/PVcalc?lat=30.0444&amp;lon=31.2357&amp;peakpower=1&amp;loss=14&amp;angle=90&amp;aspect=15&amp;outputformat=json&amp;raddatabase=PVGIS-SARAH3&amp;pvtechchoice=crystSi&amp;mountingplace=free&amp;usehorizon=1</v>
      </c>
    </row>
    <row r="5634">
      <c r="A5634" t="n">
        <v>90</v>
      </c>
      <c r="B5634" t="n">
        <v>195</v>
      </c>
      <c r="C5634" t="n">
        <v>9</v>
      </c>
      <c r="D5634" s="218" t="n">
        <v>88.99</v>
      </c>
      <c r="E5634" s="218" t="n">
        <v>2.97</v>
      </c>
      <c r="F5634" t="str">
        <v>https://re.jrc.ec.europa.eu/api/v5_3/PVcalc?lat=30.0444&amp;lon=31.2357&amp;peakpower=1&amp;loss=14&amp;angle=90&amp;aspect=15&amp;outputformat=json&amp;raddatabase=PVGIS-SARAH3&amp;pvtechchoice=crystSi&amp;mountingplace=free&amp;usehorizon=1</v>
      </c>
    </row>
    <row r="5635">
      <c r="A5635" t="n">
        <v>90</v>
      </c>
      <c r="B5635" t="n">
        <v>195</v>
      </c>
      <c r="C5635" t="n">
        <v>10</v>
      </c>
      <c r="D5635" s="218" t="n">
        <v>112.52</v>
      </c>
      <c r="E5635" s="218" t="n">
        <v>3.63</v>
      </c>
      <c r="F5635" t="str">
        <v>https://re.jrc.ec.europa.eu/api/v5_3/PVcalc?lat=30.0444&amp;lon=31.2357&amp;peakpower=1&amp;loss=14&amp;angle=90&amp;aspect=15&amp;outputformat=json&amp;raddatabase=PVGIS-SARAH3&amp;pvtechchoice=crystSi&amp;mountingplace=free&amp;usehorizon=1</v>
      </c>
    </row>
    <row r="5636">
      <c r="A5636" t="n">
        <v>90</v>
      </c>
      <c r="B5636" t="n">
        <v>195</v>
      </c>
      <c r="C5636" t="n">
        <v>11</v>
      </c>
      <c r="D5636" s="218" t="n">
        <v>119.84</v>
      </c>
      <c r="E5636" s="218" t="n">
        <v>3.99</v>
      </c>
      <c r="F5636" t="str">
        <v>https://re.jrc.ec.europa.eu/api/v5_3/PVcalc?lat=30.0444&amp;lon=31.2357&amp;peakpower=1&amp;loss=14&amp;angle=90&amp;aspect=15&amp;outputformat=json&amp;raddatabase=PVGIS-SARAH3&amp;pvtechchoice=crystSi&amp;mountingplace=free&amp;usehorizon=1</v>
      </c>
    </row>
    <row r="5637">
      <c r="A5637" t="n">
        <v>90</v>
      </c>
      <c r="B5637" t="n">
        <v>195</v>
      </c>
      <c r="C5637" t="n">
        <v>12</v>
      </c>
      <c r="D5637" s="218" t="n">
        <v>122.51</v>
      </c>
      <c r="E5637" s="218" t="n">
        <v>3.95</v>
      </c>
      <c r="F5637" t="str">
        <v>https://re.jrc.ec.europa.eu/api/v5_3/PVcalc?lat=30.0444&amp;lon=31.2357&amp;peakpower=1&amp;loss=14&amp;angle=90&amp;aspect=15&amp;outputformat=json&amp;raddatabase=PVGIS-SARAH3&amp;pvtechchoice=crystSi&amp;mountingplace=free&amp;usehorizon=1</v>
      </c>
    </row>
    <row r="5638">
      <c r="A5638" t="n">
        <v>90</v>
      </c>
      <c r="B5638" t="n">
        <v>210</v>
      </c>
      <c r="C5638" t="n">
        <v>1</v>
      </c>
      <c r="D5638" s="218" t="n">
        <v>105.92</v>
      </c>
      <c r="E5638" s="218" t="n">
        <v>3.42</v>
      </c>
      <c r="F5638" t="str">
        <v>https://re.jrc.ec.europa.eu/api/v5_3/PVcalc?lat=30.0444&amp;lon=31.2357&amp;peakpower=1&amp;loss=14&amp;angle=90&amp;aspect=30&amp;outputformat=json&amp;raddatabase=PVGIS-SARAH3&amp;pvtechchoice=crystSi&amp;mountingplace=free&amp;usehorizon=1</v>
      </c>
    </row>
    <row r="5639">
      <c r="A5639" t="n">
        <v>90</v>
      </c>
      <c r="B5639" t="n">
        <v>210</v>
      </c>
      <c r="C5639" t="n">
        <v>2</v>
      </c>
      <c r="D5639" s="218" t="n">
        <v>91.95</v>
      </c>
      <c r="E5639" s="218" t="n">
        <v>3.28</v>
      </c>
      <c r="F5639" t="str">
        <v>https://re.jrc.ec.europa.eu/api/v5_3/PVcalc?lat=30.0444&amp;lon=31.2357&amp;peakpower=1&amp;loss=14&amp;angle=90&amp;aspect=30&amp;outputformat=json&amp;raddatabase=PVGIS-SARAH3&amp;pvtechchoice=crystSi&amp;mountingplace=free&amp;usehorizon=1</v>
      </c>
    </row>
    <row r="5640">
      <c r="A5640" t="n">
        <v>90</v>
      </c>
      <c r="B5640" t="n">
        <v>210</v>
      </c>
      <c r="C5640" t="n">
        <v>3</v>
      </c>
      <c r="D5640" s="218" t="n">
        <v>98.52</v>
      </c>
      <c r="E5640" s="218" t="n">
        <v>3.18</v>
      </c>
      <c r="F5640" t="str">
        <v>https://re.jrc.ec.europa.eu/api/v5_3/PVcalc?lat=30.0444&amp;lon=31.2357&amp;peakpower=1&amp;loss=14&amp;angle=90&amp;aspect=30&amp;outputformat=json&amp;raddatabase=PVGIS-SARAH3&amp;pvtechchoice=crystSi&amp;mountingplace=free&amp;usehorizon=1</v>
      </c>
    </row>
    <row r="5641">
      <c r="A5641" t="n">
        <v>90</v>
      </c>
      <c r="B5641" t="n">
        <v>210</v>
      </c>
      <c r="C5641" t="n">
        <v>4</v>
      </c>
      <c r="D5641" s="218" t="n">
        <v>78.37</v>
      </c>
      <c r="E5641" s="218" t="n">
        <v>2.61</v>
      </c>
      <c r="F5641" t="str">
        <v>https://re.jrc.ec.europa.eu/api/v5_3/PVcalc?lat=30.0444&amp;lon=31.2357&amp;peakpower=1&amp;loss=14&amp;angle=90&amp;aspect=30&amp;outputformat=json&amp;raddatabase=PVGIS-SARAH3&amp;pvtechchoice=crystSi&amp;mountingplace=free&amp;usehorizon=1</v>
      </c>
    </row>
    <row r="5642">
      <c r="A5642" t="n">
        <v>90</v>
      </c>
      <c r="B5642" t="n">
        <v>210</v>
      </c>
      <c r="C5642" t="n">
        <v>5</v>
      </c>
      <c r="D5642" s="218" t="n">
        <v>61.98</v>
      </c>
      <c r="E5642" s="218" t="n">
        <v>2</v>
      </c>
      <c r="F5642" t="str">
        <v>https://re.jrc.ec.europa.eu/api/v5_3/PVcalc?lat=30.0444&amp;lon=31.2357&amp;peakpower=1&amp;loss=14&amp;angle=90&amp;aspect=30&amp;outputformat=json&amp;raddatabase=PVGIS-SARAH3&amp;pvtechchoice=crystSi&amp;mountingplace=free&amp;usehorizon=1</v>
      </c>
    </row>
    <row r="5643">
      <c r="A5643" t="n">
        <v>90</v>
      </c>
      <c r="B5643" t="n">
        <v>210</v>
      </c>
      <c r="C5643" t="n">
        <v>6</v>
      </c>
      <c r="D5643" s="218" t="n">
        <v>50.71</v>
      </c>
      <c r="E5643" s="218" t="n">
        <v>1.69</v>
      </c>
      <c r="F5643" t="str">
        <v>https://re.jrc.ec.europa.eu/api/v5_3/PVcalc?lat=30.0444&amp;lon=31.2357&amp;peakpower=1&amp;loss=14&amp;angle=90&amp;aspect=30&amp;outputformat=json&amp;raddatabase=PVGIS-SARAH3&amp;pvtechchoice=crystSi&amp;mountingplace=free&amp;usehorizon=1</v>
      </c>
    </row>
    <row r="5644">
      <c r="A5644" t="n">
        <v>90</v>
      </c>
      <c r="B5644" t="n">
        <v>210</v>
      </c>
      <c r="C5644" t="n">
        <v>7</v>
      </c>
      <c r="D5644" s="218" t="n">
        <v>57.18</v>
      </c>
      <c r="E5644" s="218" t="n">
        <v>1.84</v>
      </c>
      <c r="F5644" t="str">
        <v>https://re.jrc.ec.europa.eu/api/v5_3/PVcalc?lat=30.0444&amp;lon=31.2357&amp;peakpower=1&amp;loss=14&amp;angle=90&amp;aspect=30&amp;outputformat=json&amp;raddatabase=PVGIS-SARAH3&amp;pvtechchoice=crystSi&amp;mountingplace=free&amp;usehorizon=1</v>
      </c>
    </row>
    <row r="5645">
      <c r="A5645" t="n">
        <v>90</v>
      </c>
      <c r="B5645" t="n">
        <v>210</v>
      </c>
      <c r="C5645" t="n">
        <v>8</v>
      </c>
      <c r="D5645" s="218" t="n">
        <v>73.52</v>
      </c>
      <c r="E5645" s="218" t="n">
        <v>2.37</v>
      </c>
      <c r="F5645" t="str">
        <v>https://re.jrc.ec.europa.eu/api/v5_3/PVcalc?lat=30.0444&amp;lon=31.2357&amp;peakpower=1&amp;loss=14&amp;angle=90&amp;aspect=30&amp;outputformat=json&amp;raddatabase=PVGIS-SARAH3&amp;pvtechchoice=crystSi&amp;mountingplace=free&amp;usehorizon=1</v>
      </c>
    </row>
    <row r="5646">
      <c r="A5646" t="n">
        <v>90</v>
      </c>
      <c r="B5646" t="n">
        <v>210</v>
      </c>
      <c r="C5646" t="n">
        <v>9</v>
      </c>
      <c r="D5646" s="218" t="n">
        <v>91.27</v>
      </c>
      <c r="E5646" s="218" t="n">
        <v>3.04</v>
      </c>
      <c r="F5646" t="str">
        <v>https://re.jrc.ec.europa.eu/api/v5_3/PVcalc?lat=30.0444&amp;lon=31.2357&amp;peakpower=1&amp;loss=14&amp;angle=90&amp;aspect=30&amp;outputformat=json&amp;raddatabase=PVGIS-SARAH3&amp;pvtechchoice=crystSi&amp;mountingplace=free&amp;usehorizon=1</v>
      </c>
    </row>
    <row r="5647">
      <c r="A5647" t="n">
        <v>90</v>
      </c>
      <c r="B5647" t="n">
        <v>210</v>
      </c>
      <c r="C5647" t="n">
        <v>10</v>
      </c>
      <c r="D5647" s="218" t="n">
        <v>105.56</v>
      </c>
      <c r="E5647" s="218" t="n">
        <v>3.41</v>
      </c>
      <c r="F5647" t="str">
        <v>https://re.jrc.ec.europa.eu/api/v5_3/PVcalc?lat=30.0444&amp;lon=31.2357&amp;peakpower=1&amp;loss=14&amp;angle=90&amp;aspect=30&amp;outputformat=json&amp;raddatabase=PVGIS-SARAH3&amp;pvtechchoice=crystSi&amp;mountingplace=free&amp;usehorizon=1</v>
      </c>
    </row>
    <row r="5648">
      <c r="A5648" t="n">
        <v>90</v>
      </c>
      <c r="B5648" t="n">
        <v>210</v>
      </c>
      <c r="C5648" t="n">
        <v>11</v>
      </c>
      <c r="D5648" s="218" t="n">
        <v>108.54</v>
      </c>
      <c r="E5648" s="218" t="n">
        <v>3.62</v>
      </c>
      <c r="F5648" t="str">
        <v>https://re.jrc.ec.europa.eu/api/v5_3/PVcalc?lat=30.0444&amp;lon=31.2357&amp;peakpower=1&amp;loss=14&amp;angle=90&amp;aspect=30&amp;outputformat=json&amp;raddatabase=PVGIS-SARAH3&amp;pvtechchoice=crystSi&amp;mountingplace=free&amp;usehorizon=1</v>
      </c>
    </row>
    <row r="5649">
      <c r="A5649" t="n">
        <v>90</v>
      </c>
      <c r="B5649" t="n">
        <v>210</v>
      </c>
      <c r="C5649" t="n">
        <v>12</v>
      </c>
      <c r="D5649" s="218" t="n">
        <v>110.09</v>
      </c>
      <c r="E5649" s="218" t="n">
        <v>3.55</v>
      </c>
      <c r="F5649" t="str">
        <v>https://re.jrc.ec.europa.eu/api/v5_3/PVcalc?lat=30.0444&amp;lon=31.2357&amp;peakpower=1&amp;loss=14&amp;angle=90&amp;aspect=30&amp;outputformat=json&amp;raddatabase=PVGIS-SARAH3&amp;pvtechchoice=crystSi&amp;mountingplace=free&amp;usehorizon=1</v>
      </c>
    </row>
    <row r="5650">
      <c r="A5650" t="n">
        <v>90</v>
      </c>
      <c r="B5650" t="n">
        <v>225</v>
      </c>
      <c r="C5650" t="n">
        <v>1</v>
      </c>
      <c r="D5650" s="218" t="n">
        <v>90.93</v>
      </c>
      <c r="E5650" s="218" t="n">
        <v>2.93</v>
      </c>
      <c r="F5650" t="str">
        <v>https://re.jrc.ec.europa.eu/api/v5_3/PVcalc?lat=30.0444&amp;lon=31.2357&amp;peakpower=1&amp;loss=14&amp;angle=90&amp;aspect=45&amp;outputformat=json&amp;raddatabase=PVGIS-SARAH3&amp;pvtechchoice=crystSi&amp;mountingplace=free&amp;usehorizon=1</v>
      </c>
    </row>
    <row r="5651">
      <c r="A5651" t="n">
        <v>90</v>
      </c>
      <c r="B5651" t="n">
        <v>225</v>
      </c>
      <c r="C5651" t="n">
        <v>2</v>
      </c>
      <c r="D5651" s="218" t="n">
        <v>82.92</v>
      </c>
      <c r="E5651" s="218" t="n">
        <v>2.96</v>
      </c>
      <c r="F5651" t="str">
        <v>https://re.jrc.ec.europa.eu/api/v5_3/PVcalc?lat=30.0444&amp;lon=31.2357&amp;peakpower=1&amp;loss=14&amp;angle=90&amp;aspect=45&amp;outputformat=json&amp;raddatabase=PVGIS-SARAH3&amp;pvtechchoice=crystSi&amp;mountingplace=free&amp;usehorizon=1</v>
      </c>
    </row>
    <row r="5652">
      <c r="A5652" t="n">
        <v>90</v>
      </c>
      <c r="B5652" t="n">
        <v>225</v>
      </c>
      <c r="C5652" t="n">
        <v>3</v>
      </c>
      <c r="D5652" s="218" t="n">
        <v>95.71</v>
      </c>
      <c r="E5652" s="218" t="n">
        <v>3.09</v>
      </c>
      <c r="F5652" t="str">
        <v>https://re.jrc.ec.europa.eu/api/v5_3/PVcalc?lat=30.0444&amp;lon=31.2357&amp;peakpower=1&amp;loss=14&amp;angle=90&amp;aspect=45&amp;outputformat=json&amp;raddatabase=PVGIS-SARAH3&amp;pvtechchoice=crystSi&amp;mountingplace=free&amp;usehorizon=1</v>
      </c>
    </row>
    <row r="5653">
      <c r="A5653" t="n">
        <v>90</v>
      </c>
      <c r="B5653" t="n">
        <v>225</v>
      </c>
      <c r="C5653" t="n">
        <v>4</v>
      </c>
      <c r="D5653" s="218" t="n">
        <v>83.23</v>
      </c>
      <c r="E5653" s="218" t="n">
        <v>2.77</v>
      </c>
      <c r="F5653" t="str">
        <v>https://re.jrc.ec.europa.eu/api/v5_3/PVcalc?lat=30.0444&amp;lon=31.2357&amp;peakpower=1&amp;loss=14&amp;angle=90&amp;aspect=45&amp;outputformat=json&amp;raddatabase=PVGIS-SARAH3&amp;pvtechchoice=crystSi&amp;mountingplace=free&amp;usehorizon=1</v>
      </c>
    </row>
    <row r="5654">
      <c r="A5654" t="n">
        <v>90</v>
      </c>
      <c r="B5654" t="n">
        <v>225</v>
      </c>
      <c r="C5654" t="n">
        <v>5</v>
      </c>
      <c r="D5654" s="218" t="n">
        <v>73.63</v>
      </c>
      <c r="E5654" s="218" t="n">
        <v>2.38</v>
      </c>
      <c r="F5654" t="str">
        <v>https://re.jrc.ec.europa.eu/api/v5_3/PVcalc?lat=30.0444&amp;lon=31.2357&amp;peakpower=1&amp;loss=14&amp;angle=90&amp;aspect=45&amp;outputformat=json&amp;raddatabase=PVGIS-SARAH3&amp;pvtechchoice=crystSi&amp;mountingplace=free&amp;usehorizon=1</v>
      </c>
    </row>
    <row r="5655">
      <c r="A5655" t="n">
        <v>90</v>
      </c>
      <c r="B5655" t="n">
        <v>225</v>
      </c>
      <c r="C5655" t="n">
        <v>6</v>
      </c>
      <c r="D5655" s="218" t="n">
        <v>66.78</v>
      </c>
      <c r="E5655" s="218" t="n">
        <v>2.23</v>
      </c>
      <c r="F5655" t="str">
        <v>https://re.jrc.ec.europa.eu/api/v5_3/PVcalc?lat=30.0444&amp;lon=31.2357&amp;peakpower=1&amp;loss=14&amp;angle=90&amp;aspect=45&amp;outputformat=json&amp;raddatabase=PVGIS-SARAH3&amp;pvtechchoice=crystSi&amp;mountingplace=free&amp;usehorizon=1</v>
      </c>
    </row>
    <row r="5656">
      <c r="A5656" t="n">
        <v>90</v>
      </c>
      <c r="B5656" t="n">
        <v>225</v>
      </c>
      <c r="C5656" t="n">
        <v>7</v>
      </c>
      <c r="D5656" s="218" t="n">
        <v>72.49</v>
      </c>
      <c r="E5656" s="218" t="n">
        <v>2.34</v>
      </c>
      <c r="F5656" t="str">
        <v>https://re.jrc.ec.europa.eu/api/v5_3/PVcalc?lat=30.0444&amp;lon=31.2357&amp;peakpower=1&amp;loss=14&amp;angle=90&amp;aspect=45&amp;outputformat=json&amp;raddatabase=PVGIS-SARAH3&amp;pvtechchoice=crystSi&amp;mountingplace=free&amp;usehorizon=1</v>
      </c>
    </row>
    <row r="5657">
      <c r="A5657" t="n">
        <v>90</v>
      </c>
      <c r="B5657" t="n">
        <v>225</v>
      </c>
      <c r="C5657" t="n">
        <v>8</v>
      </c>
      <c r="D5657" s="218" t="n">
        <v>83.61</v>
      </c>
      <c r="E5657" s="218" t="n">
        <v>2.7</v>
      </c>
      <c r="F5657" t="str">
        <v>https://re.jrc.ec.europa.eu/api/v5_3/PVcalc?lat=30.0444&amp;lon=31.2357&amp;peakpower=1&amp;loss=14&amp;angle=90&amp;aspect=45&amp;outputformat=json&amp;raddatabase=PVGIS-SARAH3&amp;pvtechchoice=crystSi&amp;mountingplace=free&amp;usehorizon=1</v>
      </c>
    </row>
    <row r="5658">
      <c r="A5658" t="n">
        <v>90</v>
      </c>
      <c r="B5658" t="n">
        <v>225</v>
      </c>
      <c r="C5658" t="n">
        <v>9</v>
      </c>
      <c r="D5658" s="218" t="n">
        <v>92.15</v>
      </c>
      <c r="E5658" s="218" t="n">
        <v>3.07</v>
      </c>
      <c r="F5658" t="str">
        <v>https://re.jrc.ec.europa.eu/api/v5_3/PVcalc?lat=30.0444&amp;lon=31.2357&amp;peakpower=1&amp;loss=14&amp;angle=90&amp;aspect=45&amp;outputformat=json&amp;raddatabase=PVGIS-SARAH3&amp;pvtechchoice=crystSi&amp;mountingplace=free&amp;usehorizon=1</v>
      </c>
    </row>
    <row r="5659">
      <c r="A5659" t="n">
        <v>90</v>
      </c>
      <c r="B5659" t="n">
        <v>225</v>
      </c>
      <c r="C5659" t="n">
        <v>10</v>
      </c>
      <c r="D5659" s="218" t="n">
        <v>97.58</v>
      </c>
      <c r="E5659" s="218" t="n">
        <v>3.15</v>
      </c>
      <c r="F5659" t="str">
        <v>https://re.jrc.ec.europa.eu/api/v5_3/PVcalc?lat=30.0444&amp;lon=31.2357&amp;peakpower=1&amp;loss=14&amp;angle=90&amp;aspect=45&amp;outputformat=json&amp;raddatabase=PVGIS-SARAH3&amp;pvtechchoice=crystSi&amp;mountingplace=free&amp;usehorizon=1</v>
      </c>
    </row>
    <row r="5660">
      <c r="A5660" t="n">
        <v>90</v>
      </c>
      <c r="B5660" t="n">
        <v>225</v>
      </c>
      <c r="C5660" t="n">
        <v>11</v>
      </c>
      <c r="D5660" s="218" t="n">
        <v>95.16</v>
      </c>
      <c r="E5660" s="218" t="n">
        <v>3.17</v>
      </c>
      <c r="F5660" t="str">
        <v>https://re.jrc.ec.europa.eu/api/v5_3/PVcalc?lat=30.0444&amp;lon=31.2357&amp;peakpower=1&amp;loss=14&amp;angle=90&amp;aspect=45&amp;outputformat=json&amp;raddatabase=PVGIS-SARAH3&amp;pvtechchoice=crystSi&amp;mountingplace=free&amp;usehorizon=1</v>
      </c>
    </row>
    <row r="5661">
      <c r="A5661" t="n">
        <v>90</v>
      </c>
      <c r="B5661" t="n">
        <v>225</v>
      </c>
      <c r="C5661" t="n">
        <v>12</v>
      </c>
      <c r="D5661" s="218" t="n">
        <v>93.96</v>
      </c>
      <c r="E5661" s="218" t="n">
        <v>3.03</v>
      </c>
      <c r="F5661" t="str">
        <v>https://re.jrc.ec.europa.eu/api/v5_3/PVcalc?lat=30.0444&amp;lon=31.2357&amp;peakpower=1&amp;loss=14&amp;angle=90&amp;aspect=45&amp;outputformat=json&amp;raddatabase=PVGIS-SARAH3&amp;pvtechchoice=crystSi&amp;mountingplace=free&amp;usehorizon=1</v>
      </c>
    </row>
    <row r="5662">
      <c r="A5662" t="n">
        <v>90</v>
      </c>
      <c r="B5662" t="n">
        <v>240</v>
      </c>
      <c r="C5662" t="n">
        <v>1</v>
      </c>
      <c r="D5662" s="218" t="n">
        <v>75.77</v>
      </c>
      <c r="E5662" s="218" t="n">
        <v>2.44</v>
      </c>
      <c r="F5662" t="str">
        <v>https://re.jrc.ec.europa.eu/api/v5_3/PVcalc?lat=30.0444&amp;lon=31.2357&amp;peakpower=1&amp;loss=14&amp;angle=90&amp;aspect=60&amp;outputformat=json&amp;raddatabase=PVGIS-SARAH3&amp;pvtechchoice=crystSi&amp;mountingplace=free&amp;usehorizon=1</v>
      </c>
    </row>
    <row r="5663">
      <c r="A5663" t="n">
        <v>90</v>
      </c>
      <c r="B5663" t="n">
        <v>240</v>
      </c>
      <c r="C5663" t="n">
        <v>2</v>
      </c>
      <c r="D5663" s="218" t="n">
        <v>73.45</v>
      </c>
      <c r="E5663" s="218" t="n">
        <v>2.62</v>
      </c>
      <c r="F5663" t="str">
        <v>https://re.jrc.ec.europa.eu/api/v5_3/PVcalc?lat=30.0444&amp;lon=31.2357&amp;peakpower=1&amp;loss=14&amp;angle=90&amp;aspect=60&amp;outputformat=json&amp;raddatabase=PVGIS-SARAH3&amp;pvtechchoice=crystSi&amp;mountingplace=free&amp;usehorizon=1</v>
      </c>
    </row>
    <row r="5664">
      <c r="A5664" t="n">
        <v>90</v>
      </c>
      <c r="B5664" t="n">
        <v>240</v>
      </c>
      <c r="C5664" t="n">
        <v>3</v>
      </c>
      <c r="D5664" s="218" t="n">
        <v>91.73</v>
      </c>
      <c r="E5664" s="218" t="n">
        <v>2.96</v>
      </c>
      <c r="F5664" t="str">
        <v>https://re.jrc.ec.europa.eu/api/v5_3/PVcalc?lat=30.0444&amp;lon=31.2357&amp;peakpower=1&amp;loss=14&amp;angle=90&amp;aspect=60&amp;outputformat=json&amp;raddatabase=PVGIS-SARAH3&amp;pvtechchoice=crystSi&amp;mountingplace=free&amp;usehorizon=1</v>
      </c>
    </row>
    <row r="5665">
      <c r="A5665" t="n">
        <v>90</v>
      </c>
      <c r="B5665" t="n">
        <v>240</v>
      </c>
      <c r="C5665" t="n">
        <v>4</v>
      </c>
      <c r="D5665" s="218" t="n">
        <v>85.16</v>
      </c>
      <c r="E5665" s="218" t="n">
        <v>2.84</v>
      </c>
      <c r="F5665" t="str">
        <v>https://re.jrc.ec.europa.eu/api/v5_3/PVcalc?lat=30.0444&amp;lon=31.2357&amp;peakpower=1&amp;loss=14&amp;angle=90&amp;aspect=60&amp;outputformat=json&amp;raddatabase=PVGIS-SARAH3&amp;pvtechchoice=crystSi&amp;mountingplace=free&amp;usehorizon=1</v>
      </c>
    </row>
    <row r="5666">
      <c r="A5666" t="n">
        <v>90</v>
      </c>
      <c r="B5666" t="n">
        <v>240</v>
      </c>
      <c r="C5666" t="n">
        <v>5</v>
      </c>
      <c r="D5666" s="218" t="n">
        <v>81.47</v>
      </c>
      <c r="E5666" s="218" t="n">
        <v>2.63</v>
      </c>
      <c r="F5666" t="str">
        <v>https://re.jrc.ec.europa.eu/api/v5_3/PVcalc?lat=30.0444&amp;lon=31.2357&amp;peakpower=1&amp;loss=14&amp;angle=90&amp;aspect=60&amp;outputformat=json&amp;raddatabase=PVGIS-SARAH3&amp;pvtechchoice=crystSi&amp;mountingplace=free&amp;usehorizon=1</v>
      </c>
    </row>
    <row r="5667">
      <c r="A5667" t="n">
        <v>90</v>
      </c>
      <c r="B5667" t="n">
        <v>240</v>
      </c>
      <c r="C5667" t="n">
        <v>6</v>
      </c>
      <c r="D5667" s="218" t="n">
        <v>79.59</v>
      </c>
      <c r="E5667" s="218" t="n">
        <v>2.65</v>
      </c>
      <c r="F5667" t="str">
        <v>https://re.jrc.ec.europa.eu/api/v5_3/PVcalc?lat=30.0444&amp;lon=31.2357&amp;peakpower=1&amp;loss=14&amp;angle=90&amp;aspect=60&amp;outputformat=json&amp;raddatabase=PVGIS-SARAH3&amp;pvtechchoice=crystSi&amp;mountingplace=free&amp;usehorizon=1</v>
      </c>
    </row>
    <row r="5668">
      <c r="A5668" t="n">
        <v>90</v>
      </c>
      <c r="B5668" t="n">
        <v>240</v>
      </c>
      <c r="C5668" t="n">
        <v>7</v>
      </c>
      <c r="D5668" s="218" t="n">
        <v>84.79</v>
      </c>
      <c r="E5668" s="218" t="n">
        <v>2.74</v>
      </c>
      <c r="F5668" t="str">
        <v>https://re.jrc.ec.europa.eu/api/v5_3/PVcalc?lat=30.0444&amp;lon=31.2357&amp;peakpower=1&amp;loss=14&amp;angle=90&amp;aspect=60&amp;outputformat=json&amp;raddatabase=PVGIS-SARAH3&amp;pvtechchoice=crystSi&amp;mountingplace=free&amp;usehorizon=1</v>
      </c>
    </row>
    <row r="5669">
      <c r="A5669" t="n">
        <v>90</v>
      </c>
      <c r="B5669" t="n">
        <v>240</v>
      </c>
      <c r="C5669" t="n">
        <v>8</v>
      </c>
      <c r="D5669" s="218" t="n">
        <v>89.24</v>
      </c>
      <c r="E5669" s="218" t="n">
        <v>2.88</v>
      </c>
      <c r="F5669" t="str">
        <v>https://re.jrc.ec.europa.eu/api/v5_3/PVcalc?lat=30.0444&amp;lon=31.2357&amp;peakpower=1&amp;loss=14&amp;angle=90&amp;aspect=60&amp;outputformat=json&amp;raddatabase=PVGIS-SARAH3&amp;pvtechchoice=crystSi&amp;mountingplace=free&amp;usehorizon=1</v>
      </c>
    </row>
    <row r="5670">
      <c r="A5670" t="n">
        <v>90</v>
      </c>
      <c r="B5670" t="n">
        <v>240</v>
      </c>
      <c r="C5670" t="n">
        <v>9</v>
      </c>
      <c r="D5670" s="218" t="n">
        <v>90.96</v>
      </c>
      <c r="E5670" s="218" t="n">
        <v>3.03</v>
      </c>
      <c r="F5670" t="str">
        <v>https://re.jrc.ec.europa.eu/api/v5_3/PVcalc?lat=30.0444&amp;lon=31.2357&amp;peakpower=1&amp;loss=14&amp;angle=90&amp;aspect=60&amp;outputformat=json&amp;raddatabase=PVGIS-SARAH3&amp;pvtechchoice=crystSi&amp;mountingplace=free&amp;usehorizon=1</v>
      </c>
    </row>
    <row r="5671">
      <c r="A5671" t="n">
        <v>90</v>
      </c>
      <c r="B5671" t="n">
        <v>240</v>
      </c>
      <c r="C5671" t="n">
        <v>10</v>
      </c>
      <c r="D5671" s="218" t="n">
        <v>88.56</v>
      </c>
      <c r="E5671" s="218" t="n">
        <v>2.86</v>
      </c>
      <c r="F5671" t="str">
        <v>https://re.jrc.ec.europa.eu/api/v5_3/PVcalc?lat=30.0444&amp;lon=31.2357&amp;peakpower=1&amp;loss=14&amp;angle=90&amp;aspect=60&amp;outputformat=json&amp;raddatabase=PVGIS-SARAH3&amp;pvtechchoice=crystSi&amp;mountingplace=free&amp;usehorizon=1</v>
      </c>
    </row>
    <row r="5672">
      <c r="A5672" t="n">
        <v>90</v>
      </c>
      <c r="B5672" t="n">
        <v>240</v>
      </c>
      <c r="C5672" t="n">
        <v>11</v>
      </c>
      <c r="D5672" s="218" t="n">
        <v>81.37</v>
      </c>
      <c r="E5672" s="218" t="n">
        <v>2.71</v>
      </c>
      <c r="F5672" t="str">
        <v>https://re.jrc.ec.europa.eu/api/v5_3/PVcalc?lat=30.0444&amp;lon=31.2357&amp;peakpower=1&amp;loss=14&amp;angle=90&amp;aspect=60&amp;outputformat=json&amp;raddatabase=PVGIS-SARAH3&amp;pvtechchoice=crystSi&amp;mountingplace=free&amp;usehorizon=1</v>
      </c>
    </row>
    <row r="5673">
      <c r="A5673" t="n">
        <v>90</v>
      </c>
      <c r="B5673" t="n">
        <v>240</v>
      </c>
      <c r="C5673" t="n">
        <v>12</v>
      </c>
      <c r="D5673" s="218" t="n">
        <v>77.62</v>
      </c>
      <c r="E5673" s="218" t="n">
        <v>2.5</v>
      </c>
      <c r="F5673" t="str">
        <v>https://re.jrc.ec.europa.eu/api/v5_3/PVcalc?lat=30.0444&amp;lon=31.2357&amp;peakpower=1&amp;loss=14&amp;angle=90&amp;aspect=60&amp;outputformat=json&amp;raddatabase=PVGIS-SARAH3&amp;pvtechchoice=crystSi&amp;mountingplace=free&amp;usehorizon=1</v>
      </c>
    </row>
    <row r="5674">
      <c r="A5674" t="n">
        <v>90</v>
      </c>
      <c r="B5674" t="n">
        <v>255</v>
      </c>
      <c r="C5674" t="n">
        <v>1</v>
      </c>
      <c r="D5674" s="218" t="n">
        <v>61.1</v>
      </c>
      <c r="E5674" s="218" t="n">
        <v>1.97</v>
      </c>
      <c r="F5674" t="str">
        <v>https://re.jrc.ec.europa.eu/api/v5_3/PVcalc?lat=30.0444&amp;lon=31.2357&amp;peakpower=1&amp;loss=14&amp;angle=90&amp;aspect=75&amp;outputformat=json&amp;raddatabase=PVGIS-SARAH3&amp;pvtechchoice=crystSi&amp;mountingplace=free&amp;usehorizon=1</v>
      </c>
    </row>
    <row r="5675">
      <c r="A5675" t="n">
        <v>90</v>
      </c>
      <c r="B5675" t="n">
        <v>255</v>
      </c>
      <c r="C5675" t="n">
        <v>2</v>
      </c>
      <c r="D5675" s="218" t="n">
        <v>63.15</v>
      </c>
      <c r="E5675" s="218" t="n">
        <v>2.26</v>
      </c>
      <c r="F5675" t="str">
        <v>https://re.jrc.ec.europa.eu/api/v5_3/PVcalc?lat=30.0444&amp;lon=31.2357&amp;peakpower=1&amp;loss=14&amp;angle=90&amp;aspect=75&amp;outputformat=json&amp;raddatabase=PVGIS-SARAH3&amp;pvtechchoice=crystSi&amp;mountingplace=free&amp;usehorizon=1</v>
      </c>
    </row>
    <row r="5676">
      <c r="A5676" t="n">
        <v>90</v>
      </c>
      <c r="B5676" t="n">
        <v>255</v>
      </c>
      <c r="C5676" t="n">
        <v>3</v>
      </c>
      <c r="D5676" s="218" t="n">
        <v>84.45</v>
      </c>
      <c r="E5676" s="218" t="n">
        <v>2.72</v>
      </c>
      <c r="F5676" t="str">
        <v>https://re.jrc.ec.europa.eu/api/v5_3/PVcalc?lat=30.0444&amp;lon=31.2357&amp;peakpower=1&amp;loss=14&amp;angle=90&amp;aspect=75&amp;outputformat=json&amp;raddatabase=PVGIS-SARAH3&amp;pvtechchoice=crystSi&amp;mountingplace=free&amp;usehorizon=1</v>
      </c>
    </row>
    <row r="5677">
      <c r="A5677" t="n">
        <v>90</v>
      </c>
      <c r="B5677" t="n">
        <v>255</v>
      </c>
      <c r="C5677" t="n">
        <v>4</v>
      </c>
      <c r="D5677" s="218" t="n">
        <v>84.31</v>
      </c>
      <c r="E5677" s="218" t="n">
        <v>2.81</v>
      </c>
      <c r="F5677" t="str">
        <v>https://re.jrc.ec.europa.eu/api/v5_3/PVcalc?lat=30.0444&amp;lon=31.2357&amp;peakpower=1&amp;loss=14&amp;angle=90&amp;aspect=75&amp;outputformat=json&amp;raddatabase=PVGIS-SARAH3&amp;pvtechchoice=crystSi&amp;mountingplace=free&amp;usehorizon=1</v>
      </c>
    </row>
    <row r="5678">
      <c r="A5678" t="n">
        <v>90</v>
      </c>
      <c r="B5678" t="n">
        <v>255</v>
      </c>
      <c r="C5678" t="n">
        <v>5</v>
      </c>
      <c r="D5678" s="218" t="n">
        <v>86.28</v>
      </c>
      <c r="E5678" s="218" t="n">
        <v>2.78</v>
      </c>
      <c r="F5678" t="str">
        <v>https://re.jrc.ec.europa.eu/api/v5_3/PVcalc?lat=30.0444&amp;lon=31.2357&amp;peakpower=1&amp;loss=14&amp;angle=90&amp;aspect=75&amp;outputformat=json&amp;raddatabase=PVGIS-SARAH3&amp;pvtechchoice=crystSi&amp;mountingplace=free&amp;usehorizon=1</v>
      </c>
    </row>
    <row r="5679">
      <c r="A5679" t="n">
        <v>90</v>
      </c>
      <c r="B5679" t="n">
        <v>255</v>
      </c>
      <c r="C5679" t="n">
        <v>6</v>
      </c>
      <c r="D5679" s="218" t="n">
        <v>87.76</v>
      </c>
      <c r="E5679" s="218" t="n">
        <v>2.93</v>
      </c>
      <c r="F5679" t="str">
        <v>https://re.jrc.ec.europa.eu/api/v5_3/PVcalc?lat=30.0444&amp;lon=31.2357&amp;peakpower=1&amp;loss=14&amp;angle=90&amp;aspect=75&amp;outputformat=json&amp;raddatabase=PVGIS-SARAH3&amp;pvtechchoice=crystSi&amp;mountingplace=free&amp;usehorizon=1</v>
      </c>
    </row>
    <row r="5680">
      <c r="A5680" t="n">
        <v>90</v>
      </c>
      <c r="B5680" t="n">
        <v>255</v>
      </c>
      <c r="C5680" t="n">
        <v>7</v>
      </c>
      <c r="D5680" s="218" t="n">
        <v>92.21</v>
      </c>
      <c r="E5680" s="218" t="n">
        <v>2.97</v>
      </c>
      <c r="F5680" t="str">
        <v>https://re.jrc.ec.europa.eu/api/v5_3/PVcalc?lat=30.0444&amp;lon=31.2357&amp;peakpower=1&amp;loss=14&amp;angle=90&amp;aspect=75&amp;outputformat=json&amp;raddatabase=PVGIS-SARAH3&amp;pvtechchoice=crystSi&amp;mountingplace=free&amp;usehorizon=1</v>
      </c>
    </row>
    <row r="5681">
      <c r="A5681" t="n">
        <v>90</v>
      </c>
      <c r="B5681" t="n">
        <v>255</v>
      </c>
      <c r="C5681" t="n">
        <v>8</v>
      </c>
      <c r="D5681" s="218" t="n">
        <v>91.79</v>
      </c>
      <c r="E5681" s="218" t="n">
        <v>2.96</v>
      </c>
      <c r="F5681" t="str">
        <v>https://re.jrc.ec.europa.eu/api/v5_3/PVcalc?lat=30.0444&amp;lon=31.2357&amp;peakpower=1&amp;loss=14&amp;angle=90&amp;aspect=75&amp;outputformat=json&amp;raddatabase=PVGIS-SARAH3&amp;pvtechchoice=crystSi&amp;mountingplace=free&amp;usehorizon=1</v>
      </c>
    </row>
    <row r="5682">
      <c r="A5682" t="n">
        <v>90</v>
      </c>
      <c r="B5682" t="n">
        <v>255</v>
      </c>
      <c r="C5682" t="n">
        <v>9</v>
      </c>
      <c r="D5682" s="218" t="n">
        <v>85.78</v>
      </c>
      <c r="E5682" s="218" t="n">
        <v>2.86</v>
      </c>
      <c r="F5682" t="str">
        <v>https://re.jrc.ec.europa.eu/api/v5_3/PVcalc?lat=30.0444&amp;lon=31.2357&amp;peakpower=1&amp;loss=14&amp;angle=90&amp;aspect=75&amp;outputformat=json&amp;raddatabase=PVGIS-SARAH3&amp;pvtechchoice=crystSi&amp;mountingplace=free&amp;usehorizon=1</v>
      </c>
    </row>
    <row r="5683">
      <c r="A5683" t="n">
        <v>90</v>
      </c>
      <c r="B5683" t="n">
        <v>255</v>
      </c>
      <c r="C5683" t="n">
        <v>10</v>
      </c>
      <c r="D5683" s="218" t="n">
        <v>78.57</v>
      </c>
      <c r="E5683" s="218" t="n">
        <v>2.53</v>
      </c>
      <c r="F5683" t="str">
        <v>https://re.jrc.ec.europa.eu/api/v5_3/PVcalc?lat=30.0444&amp;lon=31.2357&amp;peakpower=1&amp;loss=14&amp;angle=90&amp;aspect=75&amp;outputformat=json&amp;raddatabase=PVGIS-SARAH3&amp;pvtechchoice=crystSi&amp;mountingplace=free&amp;usehorizon=1</v>
      </c>
    </row>
    <row r="5684">
      <c r="A5684" t="n">
        <v>90</v>
      </c>
      <c r="B5684" t="n">
        <v>255</v>
      </c>
      <c r="C5684" t="n">
        <v>11</v>
      </c>
      <c r="D5684" s="218" t="n">
        <v>67.06</v>
      </c>
      <c r="E5684" s="218" t="n">
        <v>2.24</v>
      </c>
      <c r="F5684" t="str">
        <v>https://re.jrc.ec.europa.eu/api/v5_3/PVcalc?lat=30.0444&amp;lon=31.2357&amp;peakpower=1&amp;loss=14&amp;angle=90&amp;aspect=75&amp;outputformat=json&amp;raddatabase=PVGIS-SARAH3&amp;pvtechchoice=crystSi&amp;mountingplace=free&amp;usehorizon=1</v>
      </c>
    </row>
    <row r="5685">
      <c r="A5685" t="n">
        <v>90</v>
      </c>
      <c r="B5685" t="n">
        <v>255</v>
      </c>
      <c r="C5685" t="n">
        <v>12</v>
      </c>
      <c r="D5685" s="218" t="n">
        <v>61.61</v>
      </c>
      <c r="E5685" s="218" t="n">
        <v>1.99</v>
      </c>
      <c r="F5685" t="str">
        <v>https://re.jrc.ec.europa.eu/api/v5_3/PVcalc?lat=30.0444&amp;lon=31.2357&amp;peakpower=1&amp;loss=14&amp;angle=90&amp;aspect=75&amp;outputformat=json&amp;raddatabase=PVGIS-SARAH3&amp;pvtechchoice=crystSi&amp;mountingplace=free&amp;usehorizon=1</v>
      </c>
    </row>
    <row r="5686">
      <c r="A5686" t="n">
        <v>90</v>
      </c>
      <c r="B5686" t="n">
        <v>270</v>
      </c>
      <c r="C5686" t="n">
        <v>1</v>
      </c>
      <c r="D5686" s="218" t="n">
        <v>47.61</v>
      </c>
      <c r="E5686" s="218" t="n">
        <v>1.54</v>
      </c>
      <c r="F5686" t="str">
        <v>https://re.jrc.ec.europa.eu/api/v5_3/PVcalc?lat=30.0444&amp;lon=31.2357&amp;peakpower=1&amp;loss=14&amp;angle=90&amp;aspect=90&amp;outputformat=json&amp;raddatabase=PVGIS-SARAH3&amp;pvtechchoice=crystSi&amp;mountingplace=free&amp;usehorizon=1</v>
      </c>
    </row>
    <row r="5687">
      <c r="A5687" t="n">
        <v>90</v>
      </c>
      <c r="B5687" t="n">
        <v>270</v>
      </c>
      <c r="C5687" t="n">
        <v>2</v>
      </c>
      <c r="D5687" s="218" t="n">
        <v>52.46</v>
      </c>
      <c r="E5687" s="218" t="n">
        <v>1.87</v>
      </c>
      <c r="F5687" t="str">
        <v>https://re.jrc.ec.europa.eu/api/v5_3/PVcalc?lat=30.0444&amp;lon=31.2357&amp;peakpower=1&amp;loss=14&amp;angle=90&amp;aspect=90&amp;outputformat=json&amp;raddatabase=PVGIS-SARAH3&amp;pvtechchoice=crystSi&amp;mountingplace=free&amp;usehorizon=1</v>
      </c>
    </row>
    <row r="5688">
      <c r="A5688" t="n">
        <v>90</v>
      </c>
      <c r="B5688" t="n">
        <v>270</v>
      </c>
      <c r="C5688" t="n">
        <v>3</v>
      </c>
      <c r="D5688" s="218" t="n">
        <v>75.91</v>
      </c>
      <c r="E5688" s="218" t="n">
        <v>2.45</v>
      </c>
      <c r="F5688" t="str">
        <v>https://re.jrc.ec.europa.eu/api/v5_3/PVcalc?lat=30.0444&amp;lon=31.2357&amp;peakpower=1&amp;loss=14&amp;angle=90&amp;aspect=90&amp;outputformat=json&amp;raddatabase=PVGIS-SARAH3&amp;pvtechchoice=crystSi&amp;mountingplace=free&amp;usehorizon=1</v>
      </c>
    </row>
    <row r="5689">
      <c r="A5689" t="n">
        <v>90</v>
      </c>
      <c r="B5689" t="n">
        <v>270</v>
      </c>
      <c r="C5689" t="n">
        <v>4</v>
      </c>
      <c r="D5689" s="218" t="n">
        <v>80.56</v>
      </c>
      <c r="E5689" s="218" t="n">
        <v>2.69</v>
      </c>
      <c r="F5689" t="str">
        <v>https://re.jrc.ec.europa.eu/api/v5_3/PVcalc?lat=30.0444&amp;lon=31.2357&amp;peakpower=1&amp;loss=14&amp;angle=90&amp;aspect=90&amp;outputformat=json&amp;raddatabase=PVGIS-SARAH3&amp;pvtechchoice=crystSi&amp;mountingplace=free&amp;usehorizon=1</v>
      </c>
    </row>
    <row r="5690">
      <c r="A5690" t="n">
        <v>90</v>
      </c>
      <c r="B5690" t="n">
        <v>270</v>
      </c>
      <c r="C5690" t="n">
        <v>5</v>
      </c>
      <c r="D5690" s="218" t="n">
        <v>87.01</v>
      </c>
      <c r="E5690" s="218" t="n">
        <v>2.81</v>
      </c>
      <c r="F5690" t="str">
        <v>https://re.jrc.ec.europa.eu/api/v5_3/PVcalc?lat=30.0444&amp;lon=31.2357&amp;peakpower=1&amp;loss=14&amp;angle=90&amp;aspect=90&amp;outputformat=json&amp;raddatabase=PVGIS-SARAH3&amp;pvtechchoice=crystSi&amp;mountingplace=free&amp;usehorizon=1</v>
      </c>
    </row>
    <row r="5691">
      <c r="A5691" t="n">
        <v>90</v>
      </c>
      <c r="B5691" t="n">
        <v>270</v>
      </c>
      <c r="C5691" t="n">
        <v>6</v>
      </c>
      <c r="D5691" s="218" t="n">
        <v>91.32</v>
      </c>
      <c r="E5691" s="218" t="n">
        <v>3.04</v>
      </c>
      <c r="F5691" t="str">
        <v>https://re.jrc.ec.europa.eu/api/v5_3/PVcalc?lat=30.0444&amp;lon=31.2357&amp;peakpower=1&amp;loss=14&amp;angle=90&amp;aspect=90&amp;outputformat=json&amp;raddatabase=PVGIS-SARAH3&amp;pvtechchoice=crystSi&amp;mountingplace=free&amp;usehorizon=1</v>
      </c>
    </row>
    <row r="5692">
      <c r="A5692" t="n">
        <v>90</v>
      </c>
      <c r="B5692" t="n">
        <v>270</v>
      </c>
      <c r="C5692" t="n">
        <v>7</v>
      </c>
      <c r="D5692" s="218" t="n">
        <v>94.88</v>
      </c>
      <c r="E5692" s="218" t="n">
        <v>3.06</v>
      </c>
      <c r="F5692" t="str">
        <v>https://re.jrc.ec.europa.eu/api/v5_3/PVcalc?lat=30.0444&amp;lon=31.2357&amp;peakpower=1&amp;loss=14&amp;angle=90&amp;aspect=90&amp;outputformat=json&amp;raddatabase=PVGIS-SARAH3&amp;pvtechchoice=crystSi&amp;mountingplace=free&amp;usehorizon=1</v>
      </c>
    </row>
    <row r="5693">
      <c r="A5693" t="n">
        <v>90</v>
      </c>
      <c r="B5693" t="n">
        <v>270</v>
      </c>
      <c r="C5693" t="n">
        <v>8</v>
      </c>
      <c r="D5693" s="218" t="n">
        <v>90.01</v>
      </c>
      <c r="E5693" s="218" t="n">
        <v>2.9</v>
      </c>
      <c r="F5693" t="str">
        <v>https://re.jrc.ec.europa.eu/api/v5_3/PVcalc?lat=30.0444&amp;lon=31.2357&amp;peakpower=1&amp;loss=14&amp;angle=90&amp;aspect=90&amp;outputformat=json&amp;raddatabase=PVGIS-SARAH3&amp;pvtechchoice=crystSi&amp;mountingplace=free&amp;usehorizon=1</v>
      </c>
    </row>
    <row r="5694">
      <c r="A5694" t="n">
        <v>90</v>
      </c>
      <c r="B5694" t="n">
        <v>270</v>
      </c>
      <c r="C5694" t="n">
        <v>9</v>
      </c>
      <c r="D5694" s="218" t="n">
        <v>78.87</v>
      </c>
      <c r="E5694" s="218" t="n">
        <v>2.63</v>
      </c>
      <c r="F5694" t="str">
        <v>https://re.jrc.ec.europa.eu/api/v5_3/PVcalc?lat=30.0444&amp;lon=31.2357&amp;peakpower=1&amp;loss=14&amp;angle=90&amp;aspect=90&amp;outputformat=json&amp;raddatabase=PVGIS-SARAH3&amp;pvtechchoice=crystSi&amp;mountingplace=free&amp;usehorizon=1</v>
      </c>
    </row>
    <row r="5695">
      <c r="A5695" t="n">
        <v>90</v>
      </c>
      <c r="B5695" t="n">
        <v>270</v>
      </c>
      <c r="C5695" t="n">
        <v>10</v>
      </c>
      <c r="D5695" s="218" t="n">
        <v>66.2</v>
      </c>
      <c r="E5695" s="218" t="n">
        <v>2.14</v>
      </c>
      <c r="F5695" t="str">
        <v>https://re.jrc.ec.europa.eu/api/v5_3/PVcalc?lat=30.0444&amp;lon=31.2357&amp;peakpower=1&amp;loss=14&amp;angle=90&amp;aspect=90&amp;outputformat=json&amp;raddatabase=PVGIS-SARAH3&amp;pvtechchoice=crystSi&amp;mountingplace=free&amp;usehorizon=1</v>
      </c>
    </row>
    <row r="5696">
      <c r="A5696" t="n">
        <v>90</v>
      </c>
      <c r="B5696" t="n">
        <v>270</v>
      </c>
      <c r="C5696" t="n">
        <v>11</v>
      </c>
      <c r="D5696" s="218" t="n">
        <v>52.44</v>
      </c>
      <c r="E5696" s="218" t="n">
        <v>1.75</v>
      </c>
      <c r="F5696" t="str">
        <v>https://re.jrc.ec.europa.eu/api/v5_3/PVcalc?lat=30.0444&amp;lon=31.2357&amp;peakpower=1&amp;loss=14&amp;angle=90&amp;aspect=90&amp;outputformat=json&amp;raddatabase=PVGIS-SARAH3&amp;pvtechchoice=crystSi&amp;mountingplace=free&amp;usehorizon=1</v>
      </c>
    </row>
    <row r="5697">
      <c r="A5697" t="n">
        <v>90</v>
      </c>
      <c r="B5697" t="n">
        <v>270</v>
      </c>
      <c r="C5697" t="n">
        <v>12</v>
      </c>
      <c r="D5697" s="218" t="n">
        <v>46.24</v>
      </c>
      <c r="E5697" s="218" t="n">
        <v>1.49</v>
      </c>
      <c r="F5697" t="str">
        <v>https://re.jrc.ec.europa.eu/api/v5_3/PVcalc?lat=30.0444&amp;lon=31.2357&amp;peakpower=1&amp;loss=14&amp;angle=90&amp;aspect=90&amp;outputformat=json&amp;raddatabase=PVGIS-SARAH3&amp;pvtechchoice=crystSi&amp;mountingplace=free&amp;usehorizon=1</v>
      </c>
    </row>
    <row r="5698">
      <c r="A5698" t="n">
        <v>90</v>
      </c>
      <c r="B5698" t="n">
        <v>285</v>
      </c>
      <c r="C5698" t="n">
        <v>1</v>
      </c>
      <c r="D5698" s="218" t="n">
        <v>34.06</v>
      </c>
      <c r="E5698" s="218" t="n">
        <v>1.1</v>
      </c>
      <c r="F5698" t="str">
        <v>https://re.jrc.ec.europa.eu/api/v5_3/PVcalc?lat=30.0444&amp;lon=31.2357&amp;peakpower=1&amp;loss=14&amp;angle=90&amp;aspect=105&amp;outputformat=json&amp;raddatabase=PVGIS-SARAH3&amp;pvtechchoice=crystSi&amp;mountingplace=free&amp;usehorizon=1</v>
      </c>
    </row>
    <row r="5699">
      <c r="A5699" t="n">
        <v>90</v>
      </c>
      <c r="B5699" t="n">
        <v>285</v>
      </c>
      <c r="C5699" t="n">
        <v>2</v>
      </c>
      <c r="D5699" s="218" t="n">
        <v>41.55</v>
      </c>
      <c r="E5699" s="218" t="n">
        <v>1.48</v>
      </c>
      <c r="F5699" t="str">
        <v>https://re.jrc.ec.europa.eu/api/v5_3/PVcalc?lat=30.0444&amp;lon=31.2357&amp;peakpower=1&amp;loss=14&amp;angle=90&amp;aspect=105&amp;outputformat=json&amp;raddatabase=PVGIS-SARAH3&amp;pvtechchoice=crystSi&amp;mountingplace=free&amp;usehorizon=1</v>
      </c>
    </row>
    <row r="5700">
      <c r="A5700" t="n">
        <v>90</v>
      </c>
      <c r="B5700" t="n">
        <v>285</v>
      </c>
      <c r="C5700" t="n">
        <v>3</v>
      </c>
      <c r="D5700" s="218" t="n">
        <v>63.99</v>
      </c>
      <c r="E5700" s="218" t="n">
        <v>2.06</v>
      </c>
      <c r="F5700" t="str">
        <v>https://re.jrc.ec.europa.eu/api/v5_3/PVcalc?lat=30.0444&amp;lon=31.2357&amp;peakpower=1&amp;loss=14&amp;angle=90&amp;aspect=105&amp;outputformat=json&amp;raddatabase=PVGIS-SARAH3&amp;pvtechchoice=crystSi&amp;mountingplace=free&amp;usehorizon=1</v>
      </c>
    </row>
    <row r="5701">
      <c r="A5701" t="n">
        <v>90</v>
      </c>
      <c r="B5701" t="n">
        <v>285</v>
      </c>
      <c r="C5701" t="n">
        <v>4</v>
      </c>
      <c r="D5701" s="218" t="n">
        <v>72.34</v>
      </c>
      <c r="E5701" s="218" t="n">
        <v>2.41</v>
      </c>
      <c r="F5701" t="str">
        <v>https://re.jrc.ec.europa.eu/api/v5_3/PVcalc?lat=30.0444&amp;lon=31.2357&amp;peakpower=1&amp;loss=14&amp;angle=90&amp;aspect=105&amp;outputformat=json&amp;raddatabase=PVGIS-SARAH3&amp;pvtechchoice=crystSi&amp;mountingplace=free&amp;usehorizon=1</v>
      </c>
    </row>
    <row r="5702">
      <c r="A5702" t="n">
        <v>90</v>
      </c>
      <c r="B5702" t="n">
        <v>285</v>
      </c>
      <c r="C5702" t="n">
        <v>5</v>
      </c>
      <c r="D5702" s="218" t="n">
        <v>83.92</v>
      </c>
      <c r="E5702" s="218" t="n">
        <v>2.71</v>
      </c>
      <c r="F5702" t="str">
        <v>https://re.jrc.ec.europa.eu/api/v5_3/PVcalc?lat=30.0444&amp;lon=31.2357&amp;peakpower=1&amp;loss=14&amp;angle=90&amp;aspect=105&amp;outputformat=json&amp;raddatabase=PVGIS-SARAH3&amp;pvtechchoice=crystSi&amp;mountingplace=free&amp;usehorizon=1</v>
      </c>
    </row>
    <row r="5703">
      <c r="A5703" t="n">
        <v>90</v>
      </c>
      <c r="B5703" t="n">
        <v>285</v>
      </c>
      <c r="C5703" t="n">
        <v>6</v>
      </c>
      <c r="D5703" s="218" t="n">
        <v>90.36</v>
      </c>
      <c r="E5703" s="218" t="n">
        <v>3.01</v>
      </c>
      <c r="F5703" t="str">
        <v>https://re.jrc.ec.europa.eu/api/v5_3/PVcalc?lat=30.0444&amp;lon=31.2357&amp;peakpower=1&amp;loss=14&amp;angle=90&amp;aspect=105&amp;outputformat=json&amp;raddatabase=PVGIS-SARAH3&amp;pvtechchoice=crystSi&amp;mountingplace=free&amp;usehorizon=1</v>
      </c>
    </row>
    <row r="5704">
      <c r="A5704" t="n">
        <v>90</v>
      </c>
      <c r="B5704" t="n">
        <v>285</v>
      </c>
      <c r="C5704" t="n">
        <v>7</v>
      </c>
      <c r="D5704" s="218" t="n">
        <v>91.72</v>
      </c>
      <c r="E5704" s="218" t="n">
        <v>2.96</v>
      </c>
      <c r="F5704" t="str">
        <v>https://re.jrc.ec.europa.eu/api/v5_3/PVcalc?lat=30.0444&amp;lon=31.2357&amp;peakpower=1&amp;loss=14&amp;angle=90&amp;aspect=105&amp;outputformat=json&amp;raddatabase=PVGIS-SARAH3&amp;pvtechchoice=crystSi&amp;mountingplace=free&amp;usehorizon=1</v>
      </c>
    </row>
    <row r="5705">
      <c r="A5705" t="n">
        <v>90</v>
      </c>
      <c r="B5705" t="n">
        <v>285</v>
      </c>
      <c r="C5705" t="n">
        <v>8</v>
      </c>
      <c r="D5705" s="218" t="n">
        <v>82.69</v>
      </c>
      <c r="E5705" s="218" t="n">
        <v>2.67</v>
      </c>
      <c r="F5705" t="str">
        <v>https://re.jrc.ec.europa.eu/api/v5_3/PVcalc?lat=30.0444&amp;lon=31.2357&amp;peakpower=1&amp;loss=14&amp;angle=90&amp;aspect=105&amp;outputformat=json&amp;raddatabase=PVGIS-SARAH3&amp;pvtechchoice=crystSi&amp;mountingplace=free&amp;usehorizon=1</v>
      </c>
    </row>
    <row r="5706">
      <c r="A5706" t="n">
        <v>90</v>
      </c>
      <c r="B5706" t="n">
        <v>285</v>
      </c>
      <c r="C5706" t="n">
        <v>9</v>
      </c>
      <c r="D5706" s="218" t="n">
        <v>67.71</v>
      </c>
      <c r="E5706" s="218" t="n">
        <v>2.26</v>
      </c>
      <c r="F5706" t="str">
        <v>https://re.jrc.ec.europa.eu/api/v5_3/PVcalc?lat=30.0444&amp;lon=31.2357&amp;peakpower=1&amp;loss=14&amp;angle=90&amp;aspect=105&amp;outputformat=json&amp;raddatabase=PVGIS-SARAH3&amp;pvtechchoice=crystSi&amp;mountingplace=free&amp;usehorizon=1</v>
      </c>
    </row>
    <row r="5707">
      <c r="A5707" t="n">
        <v>90</v>
      </c>
      <c r="B5707" t="n">
        <v>285</v>
      </c>
      <c r="C5707" t="n">
        <v>10</v>
      </c>
      <c r="D5707" s="218" t="n">
        <v>52.23</v>
      </c>
      <c r="E5707" s="218" t="n">
        <v>1.68</v>
      </c>
      <c r="F5707" t="str">
        <v>https://re.jrc.ec.europa.eu/api/v5_3/PVcalc?lat=30.0444&amp;lon=31.2357&amp;peakpower=1&amp;loss=14&amp;angle=90&amp;aspect=105&amp;outputformat=json&amp;raddatabase=PVGIS-SARAH3&amp;pvtechchoice=crystSi&amp;mountingplace=free&amp;usehorizon=1</v>
      </c>
    </row>
    <row r="5708">
      <c r="A5708" t="n">
        <v>90</v>
      </c>
      <c r="B5708" t="n">
        <v>285</v>
      </c>
      <c r="C5708" t="n">
        <v>11</v>
      </c>
      <c r="D5708" s="218" t="n">
        <v>37.98</v>
      </c>
      <c r="E5708" s="218" t="n">
        <v>1.27</v>
      </c>
      <c r="F5708" t="str">
        <v>https://re.jrc.ec.europa.eu/api/v5_3/PVcalc?lat=30.0444&amp;lon=31.2357&amp;peakpower=1&amp;loss=14&amp;angle=90&amp;aspect=105&amp;outputformat=json&amp;raddatabase=PVGIS-SARAH3&amp;pvtechchoice=crystSi&amp;mountingplace=free&amp;usehorizon=1</v>
      </c>
    </row>
    <row r="5709">
      <c r="A5709" t="n">
        <v>90</v>
      </c>
      <c r="B5709" t="n">
        <v>285</v>
      </c>
      <c r="C5709" t="n">
        <v>12</v>
      </c>
      <c r="D5709" s="218" t="n">
        <v>32.1</v>
      </c>
      <c r="E5709" s="218" t="n">
        <v>1.04</v>
      </c>
      <c r="F5709" t="str">
        <v>https://re.jrc.ec.europa.eu/api/v5_3/PVcalc?lat=30.0444&amp;lon=31.2357&amp;peakpower=1&amp;loss=14&amp;angle=90&amp;aspect=105&amp;outputformat=json&amp;raddatabase=PVGIS-SARAH3&amp;pvtechchoice=crystSi&amp;mountingplace=free&amp;usehorizon=1</v>
      </c>
    </row>
    <row r="5710">
      <c r="A5710" t="n">
        <v>90</v>
      </c>
      <c r="B5710" t="n">
        <v>300</v>
      </c>
      <c r="C5710" t="n">
        <v>1</v>
      </c>
      <c r="D5710" s="218" t="n">
        <v>22.44</v>
      </c>
      <c r="E5710" s="218" t="n">
        <v>0.72</v>
      </c>
      <c r="F5710" t="str">
        <v>https://re.jrc.ec.europa.eu/api/v5_3/PVcalc?lat=30.0444&amp;lon=31.2357&amp;peakpower=1&amp;loss=14&amp;angle=90&amp;aspect=120&amp;outputformat=json&amp;raddatabase=PVGIS-SARAH3&amp;pvtechchoice=crystSi&amp;mountingplace=free&amp;usehorizon=1</v>
      </c>
    </row>
    <row r="5711">
      <c r="A5711" t="n">
        <v>90</v>
      </c>
      <c r="B5711" t="n">
        <v>300</v>
      </c>
      <c r="C5711" t="n">
        <v>2</v>
      </c>
      <c r="D5711" s="218" t="n">
        <v>30.39</v>
      </c>
      <c r="E5711" s="218" t="n">
        <v>1.09</v>
      </c>
      <c r="F5711" t="str">
        <v>https://re.jrc.ec.europa.eu/api/v5_3/PVcalc?lat=30.0444&amp;lon=31.2357&amp;peakpower=1&amp;loss=14&amp;angle=90&amp;aspect=120&amp;outputformat=json&amp;raddatabase=PVGIS-SARAH3&amp;pvtechchoice=crystSi&amp;mountingplace=free&amp;usehorizon=1</v>
      </c>
    </row>
    <row r="5712">
      <c r="A5712" t="n">
        <v>90</v>
      </c>
      <c r="B5712" t="n">
        <v>300</v>
      </c>
      <c r="C5712" t="n">
        <v>3</v>
      </c>
      <c r="D5712" s="218" t="n">
        <v>51.05</v>
      </c>
      <c r="E5712" s="218" t="n">
        <v>1.65</v>
      </c>
      <c r="F5712" t="str">
        <v>https://re.jrc.ec.europa.eu/api/v5_3/PVcalc?lat=30.0444&amp;lon=31.2357&amp;peakpower=1&amp;loss=14&amp;angle=90&amp;aspect=120&amp;outputformat=json&amp;raddatabase=PVGIS-SARAH3&amp;pvtechchoice=crystSi&amp;mountingplace=free&amp;usehorizon=1</v>
      </c>
    </row>
    <row r="5713">
      <c r="A5713" t="n">
        <v>90</v>
      </c>
      <c r="B5713" t="n">
        <v>300</v>
      </c>
      <c r="C5713" t="n">
        <v>4</v>
      </c>
      <c r="D5713" s="218" t="n">
        <v>62.98</v>
      </c>
      <c r="E5713" s="218" t="n">
        <v>2.1</v>
      </c>
      <c r="F5713" t="str">
        <v>https://re.jrc.ec.europa.eu/api/v5_3/PVcalc?lat=30.0444&amp;lon=31.2357&amp;peakpower=1&amp;loss=14&amp;angle=90&amp;aspect=120&amp;outputformat=json&amp;raddatabase=PVGIS-SARAH3&amp;pvtechchoice=crystSi&amp;mountingplace=free&amp;usehorizon=1</v>
      </c>
    </row>
    <row r="5714">
      <c r="A5714" t="n">
        <v>90</v>
      </c>
      <c r="B5714" t="n">
        <v>300</v>
      </c>
      <c r="C5714" t="n">
        <v>5</v>
      </c>
      <c r="D5714" s="218" t="n">
        <v>75.51</v>
      </c>
      <c r="E5714" s="218" t="n">
        <v>2.44</v>
      </c>
      <c r="F5714" t="str">
        <v>https://re.jrc.ec.europa.eu/api/v5_3/PVcalc?lat=30.0444&amp;lon=31.2357&amp;peakpower=1&amp;loss=14&amp;angle=90&amp;aspect=120&amp;outputformat=json&amp;raddatabase=PVGIS-SARAH3&amp;pvtechchoice=crystSi&amp;mountingplace=free&amp;usehorizon=1</v>
      </c>
    </row>
    <row r="5715">
      <c r="A5715" t="n">
        <v>90</v>
      </c>
      <c r="B5715" t="n">
        <v>300</v>
      </c>
      <c r="C5715" t="n">
        <v>6</v>
      </c>
      <c r="D5715" s="218" t="n">
        <v>83.23</v>
      </c>
      <c r="E5715" s="218" t="n">
        <v>2.77</v>
      </c>
      <c r="F5715" t="str">
        <v>https://re.jrc.ec.europa.eu/api/v5_3/PVcalc?lat=30.0444&amp;lon=31.2357&amp;peakpower=1&amp;loss=14&amp;angle=90&amp;aspect=120&amp;outputformat=json&amp;raddatabase=PVGIS-SARAH3&amp;pvtechchoice=crystSi&amp;mountingplace=free&amp;usehorizon=1</v>
      </c>
    </row>
    <row r="5716">
      <c r="A5716" t="n">
        <v>90</v>
      </c>
      <c r="B5716" t="n">
        <v>300</v>
      </c>
      <c r="C5716" t="n">
        <v>7</v>
      </c>
      <c r="D5716" s="218" t="n">
        <v>84.72</v>
      </c>
      <c r="E5716" s="218" t="n">
        <v>2.73</v>
      </c>
      <c r="F5716" t="str">
        <v>https://re.jrc.ec.europa.eu/api/v5_3/PVcalc?lat=30.0444&amp;lon=31.2357&amp;peakpower=1&amp;loss=14&amp;angle=90&amp;aspect=120&amp;outputformat=json&amp;raddatabase=PVGIS-SARAH3&amp;pvtechchoice=crystSi&amp;mountingplace=free&amp;usehorizon=1</v>
      </c>
    </row>
    <row r="5717">
      <c r="A5717" t="n">
        <v>90</v>
      </c>
      <c r="B5717" t="n">
        <v>300</v>
      </c>
      <c r="C5717" t="n">
        <v>8</v>
      </c>
      <c r="D5717" s="218" t="n">
        <v>73.26</v>
      </c>
      <c r="E5717" s="218" t="n">
        <v>2.36</v>
      </c>
      <c r="F5717" t="str">
        <v>https://re.jrc.ec.europa.eu/api/v5_3/PVcalc?lat=30.0444&amp;lon=31.2357&amp;peakpower=1&amp;loss=14&amp;angle=90&amp;aspect=120&amp;outputformat=json&amp;raddatabase=PVGIS-SARAH3&amp;pvtechchoice=crystSi&amp;mountingplace=free&amp;usehorizon=1</v>
      </c>
    </row>
    <row r="5718">
      <c r="A5718" t="n">
        <v>90</v>
      </c>
      <c r="B5718" t="n">
        <v>300</v>
      </c>
      <c r="C5718" t="n">
        <v>9</v>
      </c>
      <c r="D5718" s="218" t="n">
        <v>55.79</v>
      </c>
      <c r="E5718" s="218" t="n">
        <v>1.86</v>
      </c>
      <c r="F5718" t="str">
        <v>https://re.jrc.ec.europa.eu/api/v5_3/PVcalc?lat=30.0444&amp;lon=31.2357&amp;peakpower=1&amp;loss=14&amp;angle=90&amp;aspect=120&amp;outputformat=json&amp;raddatabase=PVGIS-SARAH3&amp;pvtechchoice=crystSi&amp;mountingplace=free&amp;usehorizon=1</v>
      </c>
    </row>
    <row r="5719">
      <c r="A5719" t="n">
        <v>90</v>
      </c>
      <c r="B5719" t="n">
        <v>300</v>
      </c>
      <c r="C5719" t="n">
        <v>10</v>
      </c>
      <c r="D5719" s="218" t="n">
        <v>39.12</v>
      </c>
      <c r="E5719" s="218" t="n">
        <v>1.26</v>
      </c>
      <c r="F5719" t="str">
        <v>https://re.jrc.ec.europa.eu/api/v5_3/PVcalc?lat=30.0444&amp;lon=31.2357&amp;peakpower=1&amp;loss=14&amp;angle=90&amp;aspect=120&amp;outputformat=json&amp;raddatabase=PVGIS-SARAH3&amp;pvtechchoice=crystSi&amp;mountingplace=free&amp;usehorizon=1</v>
      </c>
    </row>
    <row r="5720">
      <c r="A5720" t="n">
        <v>90</v>
      </c>
      <c r="B5720" t="n">
        <v>300</v>
      </c>
      <c r="C5720" t="n">
        <v>11</v>
      </c>
      <c r="D5720" s="218" t="n">
        <v>24.94</v>
      </c>
      <c r="E5720" s="218" t="n">
        <v>0.83</v>
      </c>
      <c r="F5720" t="str">
        <v>https://re.jrc.ec.europa.eu/api/v5_3/PVcalc?lat=30.0444&amp;lon=31.2357&amp;peakpower=1&amp;loss=14&amp;angle=90&amp;aspect=120&amp;outputformat=json&amp;raddatabase=PVGIS-SARAH3&amp;pvtechchoice=crystSi&amp;mountingplace=free&amp;usehorizon=1</v>
      </c>
    </row>
    <row r="5721">
      <c r="A5721" t="n">
        <v>90</v>
      </c>
      <c r="B5721" t="n">
        <v>300</v>
      </c>
      <c r="C5721" t="n">
        <v>12</v>
      </c>
      <c r="D5721" s="218" t="n">
        <v>20.35</v>
      </c>
      <c r="E5721" s="218" t="n">
        <v>0.66</v>
      </c>
      <c r="F5721" t="str">
        <v>https://re.jrc.ec.europa.eu/api/v5_3/PVcalc?lat=30.0444&amp;lon=31.2357&amp;peakpower=1&amp;loss=14&amp;angle=90&amp;aspect=120&amp;outputformat=json&amp;raddatabase=PVGIS-SARAH3&amp;pvtechchoice=crystSi&amp;mountingplace=free&amp;usehorizon=1</v>
      </c>
    </row>
    <row r="5722">
      <c r="A5722" t="n">
        <v>90</v>
      </c>
      <c r="B5722" t="n">
        <v>315</v>
      </c>
      <c r="C5722" t="n">
        <v>1</v>
      </c>
      <c r="D5722" s="218" t="n">
        <v>14.43</v>
      </c>
      <c r="E5722" s="218" t="n">
        <v>0.47</v>
      </c>
      <c r="F5722" t="str">
        <v>https://re.jrc.ec.europa.eu/api/v5_3/PVcalc?lat=30.0444&amp;lon=31.2357&amp;peakpower=1&amp;loss=14&amp;angle=90&amp;aspect=135&amp;outputformat=json&amp;raddatabase=PVGIS-SARAH3&amp;pvtechchoice=crystSi&amp;mountingplace=free&amp;usehorizon=1</v>
      </c>
    </row>
    <row r="5723">
      <c r="A5723" t="n">
        <v>90</v>
      </c>
      <c r="B5723" t="n">
        <v>315</v>
      </c>
      <c r="C5723" t="n">
        <v>2</v>
      </c>
      <c r="D5723" s="218" t="n">
        <v>20.85</v>
      </c>
      <c r="E5723" s="218" t="n">
        <v>0.74</v>
      </c>
      <c r="F5723" t="str">
        <v>https://re.jrc.ec.europa.eu/api/v5_3/PVcalc?lat=30.0444&amp;lon=31.2357&amp;peakpower=1&amp;loss=14&amp;angle=90&amp;aspect=135&amp;outputformat=json&amp;raddatabase=PVGIS-SARAH3&amp;pvtechchoice=crystSi&amp;mountingplace=free&amp;usehorizon=1</v>
      </c>
    </row>
    <row r="5724">
      <c r="A5724" t="n">
        <v>90</v>
      </c>
      <c r="B5724" t="n">
        <v>315</v>
      </c>
      <c r="C5724" t="n">
        <v>3</v>
      </c>
      <c r="D5724" s="218" t="n">
        <v>37.79</v>
      </c>
      <c r="E5724" s="218" t="n">
        <v>1.22</v>
      </c>
      <c r="F5724" t="str">
        <v>https://re.jrc.ec.europa.eu/api/v5_3/PVcalc?lat=30.0444&amp;lon=31.2357&amp;peakpower=1&amp;loss=14&amp;angle=90&amp;aspect=135&amp;outputformat=json&amp;raddatabase=PVGIS-SARAH3&amp;pvtechchoice=crystSi&amp;mountingplace=free&amp;usehorizon=1</v>
      </c>
    </row>
    <row r="5725">
      <c r="A5725" t="n">
        <v>90</v>
      </c>
      <c r="B5725" t="n">
        <v>315</v>
      </c>
      <c r="C5725" t="n">
        <v>4</v>
      </c>
      <c r="D5725" s="218" t="n">
        <v>50.72</v>
      </c>
      <c r="E5725" s="218" t="n">
        <v>1.69</v>
      </c>
      <c r="F5725" t="str">
        <v>https://re.jrc.ec.europa.eu/api/v5_3/PVcalc?lat=30.0444&amp;lon=31.2357&amp;peakpower=1&amp;loss=14&amp;angle=90&amp;aspect=135&amp;outputformat=json&amp;raddatabase=PVGIS-SARAH3&amp;pvtechchoice=crystSi&amp;mountingplace=free&amp;usehorizon=1</v>
      </c>
    </row>
    <row r="5726">
      <c r="A5726" t="n">
        <v>90</v>
      </c>
      <c r="B5726" t="n">
        <v>315</v>
      </c>
      <c r="C5726" t="n">
        <v>5</v>
      </c>
      <c r="D5726" s="218" t="n">
        <v>65.49</v>
      </c>
      <c r="E5726" s="218" t="n">
        <v>2.11</v>
      </c>
      <c r="F5726" t="str">
        <v>https://re.jrc.ec.europa.eu/api/v5_3/PVcalc?lat=30.0444&amp;lon=31.2357&amp;peakpower=1&amp;loss=14&amp;angle=90&amp;aspect=135&amp;outputformat=json&amp;raddatabase=PVGIS-SARAH3&amp;pvtechchoice=crystSi&amp;mountingplace=free&amp;usehorizon=1</v>
      </c>
    </row>
    <row r="5727">
      <c r="A5727" t="n">
        <v>90</v>
      </c>
      <c r="B5727" t="n">
        <v>315</v>
      </c>
      <c r="C5727" t="n">
        <v>6</v>
      </c>
      <c r="D5727" s="218" t="n">
        <v>73.69</v>
      </c>
      <c r="E5727" s="218" t="n">
        <v>2.46</v>
      </c>
      <c r="F5727" t="str">
        <v>https://re.jrc.ec.europa.eu/api/v5_3/PVcalc?lat=30.0444&amp;lon=31.2357&amp;peakpower=1&amp;loss=14&amp;angle=90&amp;aspect=135&amp;outputformat=json&amp;raddatabase=PVGIS-SARAH3&amp;pvtechchoice=crystSi&amp;mountingplace=free&amp;usehorizon=1</v>
      </c>
    </row>
    <row r="5728">
      <c r="A5728" t="n">
        <v>90</v>
      </c>
      <c r="B5728" t="n">
        <v>315</v>
      </c>
      <c r="C5728" t="n">
        <v>7</v>
      </c>
      <c r="D5728" s="218" t="n">
        <v>73.9</v>
      </c>
      <c r="E5728" s="218" t="n">
        <v>2.38</v>
      </c>
      <c r="F5728" t="str">
        <v>https://re.jrc.ec.europa.eu/api/v5_3/PVcalc?lat=30.0444&amp;lon=31.2357&amp;peakpower=1&amp;loss=14&amp;angle=90&amp;aspect=135&amp;outputformat=json&amp;raddatabase=PVGIS-SARAH3&amp;pvtechchoice=crystSi&amp;mountingplace=free&amp;usehorizon=1</v>
      </c>
    </row>
    <row r="5729">
      <c r="A5729" t="n">
        <v>90</v>
      </c>
      <c r="B5729" t="n">
        <v>315</v>
      </c>
      <c r="C5729" t="n">
        <v>8</v>
      </c>
      <c r="D5729" s="218" t="n">
        <v>60.13</v>
      </c>
      <c r="E5729" s="218" t="n">
        <v>1.94</v>
      </c>
      <c r="F5729" t="str">
        <v>https://re.jrc.ec.europa.eu/api/v5_3/PVcalc?lat=30.0444&amp;lon=31.2357&amp;peakpower=1&amp;loss=14&amp;angle=90&amp;aspect=135&amp;outputformat=json&amp;raddatabase=PVGIS-SARAH3&amp;pvtechchoice=crystSi&amp;mountingplace=free&amp;usehorizon=1</v>
      </c>
    </row>
    <row r="5730">
      <c r="A5730" t="n">
        <v>90</v>
      </c>
      <c r="B5730" t="n">
        <v>315</v>
      </c>
      <c r="C5730" t="n">
        <v>9</v>
      </c>
      <c r="D5730" s="218" t="n">
        <v>41.29</v>
      </c>
      <c r="E5730" s="218" t="n">
        <v>1.38</v>
      </c>
      <c r="F5730" t="str">
        <v>https://re.jrc.ec.europa.eu/api/v5_3/PVcalc?lat=30.0444&amp;lon=31.2357&amp;peakpower=1&amp;loss=14&amp;angle=90&amp;aspect=135&amp;outputformat=json&amp;raddatabase=PVGIS-SARAH3&amp;pvtechchoice=crystSi&amp;mountingplace=free&amp;usehorizon=1</v>
      </c>
    </row>
    <row r="5731">
      <c r="A5731" t="n">
        <v>90</v>
      </c>
      <c r="B5731" t="n">
        <v>315</v>
      </c>
      <c r="C5731" t="n">
        <v>10</v>
      </c>
      <c r="D5731" s="218" t="n">
        <v>26.26</v>
      </c>
      <c r="E5731" s="218" t="n">
        <v>0.85</v>
      </c>
      <c r="F5731" t="str">
        <v>https://re.jrc.ec.europa.eu/api/v5_3/PVcalc?lat=30.0444&amp;lon=31.2357&amp;peakpower=1&amp;loss=14&amp;angle=90&amp;aspect=135&amp;outputformat=json&amp;raddatabase=PVGIS-SARAH3&amp;pvtechchoice=crystSi&amp;mountingplace=free&amp;usehorizon=1</v>
      </c>
    </row>
    <row r="5732">
      <c r="A5732" t="n">
        <v>90</v>
      </c>
      <c r="B5732" t="n">
        <v>315</v>
      </c>
      <c r="C5732" t="n">
        <v>11</v>
      </c>
      <c r="D5732" s="218" t="n">
        <v>15.37</v>
      </c>
      <c r="E5732" s="218" t="n">
        <v>0.51</v>
      </c>
      <c r="F5732" t="str">
        <v>https://re.jrc.ec.europa.eu/api/v5_3/PVcalc?lat=30.0444&amp;lon=31.2357&amp;peakpower=1&amp;loss=14&amp;angle=90&amp;aspect=135&amp;outputformat=json&amp;raddatabase=PVGIS-SARAH3&amp;pvtechchoice=crystSi&amp;mountingplace=free&amp;usehorizon=1</v>
      </c>
    </row>
    <row r="5733">
      <c r="A5733" t="n">
        <v>90</v>
      </c>
      <c r="B5733" t="n">
        <v>315</v>
      </c>
      <c r="C5733" t="n">
        <v>12</v>
      </c>
      <c r="D5733" s="218" t="n">
        <v>12.85</v>
      </c>
      <c r="E5733" s="218" t="n">
        <v>0.41</v>
      </c>
      <c r="F5733" t="str">
        <v>https://re.jrc.ec.europa.eu/api/v5_3/PVcalc?lat=30.0444&amp;lon=31.2357&amp;peakpower=1&amp;loss=14&amp;angle=90&amp;aspect=135&amp;outputformat=json&amp;raddatabase=PVGIS-SARAH3&amp;pvtechchoice=crystSi&amp;mountingplace=free&amp;usehorizon=1</v>
      </c>
    </row>
    <row r="5734">
      <c r="A5734" t="n">
        <v>90</v>
      </c>
      <c r="B5734" t="n">
        <v>330</v>
      </c>
      <c r="C5734" t="n">
        <v>1</v>
      </c>
      <c r="D5734" s="218" t="n">
        <v>11.27</v>
      </c>
      <c r="E5734" s="218" t="n">
        <v>0.36</v>
      </c>
      <c r="F5734" t="str">
        <v>https://re.jrc.ec.europa.eu/api/v5_3/PVcalc?lat=30.0444&amp;lon=31.2357&amp;peakpower=1&amp;loss=14&amp;angle=90&amp;aspect=150&amp;outputformat=json&amp;raddatabase=PVGIS-SARAH3&amp;pvtechchoice=crystSi&amp;mountingplace=free&amp;usehorizon=1</v>
      </c>
    </row>
    <row r="5735">
      <c r="A5735" t="n">
        <v>90</v>
      </c>
      <c r="B5735" t="n">
        <v>330</v>
      </c>
      <c r="C5735" t="n">
        <v>2</v>
      </c>
      <c r="D5735" s="218" t="n">
        <v>14.84</v>
      </c>
      <c r="E5735" s="218" t="n">
        <v>0.53</v>
      </c>
      <c r="F5735" t="str">
        <v>https://re.jrc.ec.europa.eu/api/v5_3/PVcalc?lat=30.0444&amp;lon=31.2357&amp;peakpower=1&amp;loss=14&amp;angle=90&amp;aspect=150&amp;outputformat=json&amp;raddatabase=PVGIS-SARAH3&amp;pvtechchoice=crystSi&amp;mountingplace=free&amp;usehorizon=1</v>
      </c>
    </row>
    <row r="5736">
      <c r="A5736" t="n">
        <v>90</v>
      </c>
      <c r="B5736" t="n">
        <v>330</v>
      </c>
      <c r="C5736" t="n">
        <v>3</v>
      </c>
      <c r="D5736" s="218" t="n">
        <v>25.73</v>
      </c>
      <c r="E5736" s="218" t="n">
        <v>0.83</v>
      </c>
      <c r="F5736" t="str">
        <v>https://re.jrc.ec.europa.eu/api/v5_3/PVcalc?lat=30.0444&amp;lon=31.2357&amp;peakpower=1&amp;loss=14&amp;angle=90&amp;aspect=150&amp;outputformat=json&amp;raddatabase=PVGIS-SARAH3&amp;pvtechchoice=crystSi&amp;mountingplace=free&amp;usehorizon=1</v>
      </c>
    </row>
    <row r="5737">
      <c r="A5737" t="n">
        <v>90</v>
      </c>
      <c r="B5737" t="n">
        <v>330</v>
      </c>
      <c r="C5737" t="n">
        <v>4</v>
      </c>
      <c r="D5737" s="218" t="n">
        <v>37.57</v>
      </c>
      <c r="E5737" s="218" t="n">
        <v>1.25</v>
      </c>
      <c r="F5737" t="str">
        <v>https://re.jrc.ec.europa.eu/api/v5_3/PVcalc?lat=30.0444&amp;lon=31.2357&amp;peakpower=1&amp;loss=14&amp;angle=90&amp;aspect=150&amp;outputformat=json&amp;raddatabase=PVGIS-SARAH3&amp;pvtechchoice=crystSi&amp;mountingplace=free&amp;usehorizon=1</v>
      </c>
    </row>
    <row r="5738">
      <c r="A5738" t="n">
        <v>90</v>
      </c>
      <c r="B5738" t="n">
        <v>330</v>
      </c>
      <c r="C5738" t="n">
        <v>5</v>
      </c>
      <c r="D5738" s="218" t="n">
        <v>52.24</v>
      </c>
      <c r="E5738" s="218" t="n">
        <v>1.69</v>
      </c>
      <c r="F5738" t="str">
        <v>https://re.jrc.ec.europa.eu/api/v5_3/PVcalc?lat=30.0444&amp;lon=31.2357&amp;peakpower=1&amp;loss=14&amp;angle=90&amp;aspect=150&amp;outputformat=json&amp;raddatabase=PVGIS-SARAH3&amp;pvtechchoice=crystSi&amp;mountingplace=free&amp;usehorizon=1</v>
      </c>
    </row>
    <row r="5739">
      <c r="A5739" t="n">
        <v>90</v>
      </c>
      <c r="B5739" t="n">
        <v>330</v>
      </c>
      <c r="C5739" t="n">
        <v>6</v>
      </c>
      <c r="D5739" s="218" t="n">
        <v>60.32</v>
      </c>
      <c r="E5739" s="218" t="n">
        <v>2.01</v>
      </c>
      <c r="F5739" t="str">
        <v>https://re.jrc.ec.europa.eu/api/v5_3/PVcalc?lat=30.0444&amp;lon=31.2357&amp;peakpower=1&amp;loss=14&amp;angle=90&amp;aspect=150&amp;outputformat=json&amp;raddatabase=PVGIS-SARAH3&amp;pvtechchoice=crystSi&amp;mountingplace=free&amp;usehorizon=1</v>
      </c>
    </row>
    <row r="5740">
      <c r="A5740" t="n">
        <v>90</v>
      </c>
      <c r="B5740" t="n">
        <v>330</v>
      </c>
      <c r="C5740" t="n">
        <v>7</v>
      </c>
      <c r="D5740" s="218" t="n">
        <v>59.09</v>
      </c>
      <c r="E5740" s="218" t="n">
        <v>1.91</v>
      </c>
      <c r="F5740" t="str">
        <v>https://re.jrc.ec.europa.eu/api/v5_3/PVcalc?lat=30.0444&amp;lon=31.2357&amp;peakpower=1&amp;loss=14&amp;angle=90&amp;aspect=150&amp;outputformat=json&amp;raddatabase=PVGIS-SARAH3&amp;pvtechchoice=crystSi&amp;mountingplace=free&amp;usehorizon=1</v>
      </c>
    </row>
    <row r="5741">
      <c r="A5741" t="n">
        <v>90</v>
      </c>
      <c r="B5741" t="n">
        <v>330</v>
      </c>
      <c r="C5741" t="n">
        <v>8</v>
      </c>
      <c r="D5741" s="218" t="n">
        <v>44.27</v>
      </c>
      <c r="E5741" s="218" t="n">
        <v>1.43</v>
      </c>
      <c r="F5741" t="str">
        <v>https://re.jrc.ec.europa.eu/api/v5_3/PVcalc?lat=30.0444&amp;lon=31.2357&amp;peakpower=1&amp;loss=14&amp;angle=90&amp;aspect=150&amp;outputformat=json&amp;raddatabase=PVGIS-SARAH3&amp;pvtechchoice=crystSi&amp;mountingplace=free&amp;usehorizon=1</v>
      </c>
    </row>
    <row r="5742">
      <c r="A5742" t="n">
        <v>90</v>
      </c>
      <c r="B5742" t="n">
        <v>330</v>
      </c>
      <c r="C5742" t="n">
        <v>9</v>
      </c>
      <c r="D5742" s="218" t="n">
        <v>27.69</v>
      </c>
      <c r="E5742" s="218" t="n">
        <v>0.92</v>
      </c>
      <c r="F5742" t="str">
        <v>https://re.jrc.ec.europa.eu/api/v5_3/PVcalc?lat=30.0444&amp;lon=31.2357&amp;peakpower=1&amp;loss=14&amp;angle=90&amp;aspect=150&amp;outputformat=json&amp;raddatabase=PVGIS-SARAH3&amp;pvtechchoice=crystSi&amp;mountingplace=free&amp;usehorizon=1</v>
      </c>
    </row>
    <row r="5743">
      <c r="A5743" t="n">
        <v>90</v>
      </c>
      <c r="B5743" t="n">
        <v>330</v>
      </c>
      <c r="C5743" t="n">
        <v>10</v>
      </c>
      <c r="D5743" s="218" t="n">
        <v>16.74</v>
      </c>
      <c r="E5743" s="218" t="n">
        <v>0.54</v>
      </c>
      <c r="F5743" t="str">
        <v>https://re.jrc.ec.europa.eu/api/v5_3/PVcalc?lat=30.0444&amp;lon=31.2357&amp;peakpower=1&amp;loss=14&amp;angle=90&amp;aspect=150&amp;outputformat=json&amp;raddatabase=PVGIS-SARAH3&amp;pvtechchoice=crystSi&amp;mountingplace=free&amp;usehorizon=1</v>
      </c>
    </row>
    <row r="5744">
      <c r="A5744" t="n">
        <v>90</v>
      </c>
      <c r="B5744" t="n">
        <v>330</v>
      </c>
      <c r="C5744" t="n">
        <v>11</v>
      </c>
      <c r="D5744" s="218" t="n">
        <v>11.17</v>
      </c>
      <c r="E5744" s="218" t="n">
        <v>0.37</v>
      </c>
      <c r="F5744" t="str">
        <v>https://re.jrc.ec.europa.eu/api/v5_3/PVcalc?lat=30.0444&amp;lon=31.2357&amp;peakpower=1&amp;loss=14&amp;angle=90&amp;aspect=150&amp;outputformat=json&amp;raddatabase=PVGIS-SARAH3&amp;pvtechchoice=crystSi&amp;mountingplace=free&amp;usehorizon=1</v>
      </c>
    </row>
    <row r="5745">
      <c r="A5745" t="n">
        <v>90</v>
      </c>
      <c r="B5745" t="n">
        <v>330</v>
      </c>
      <c r="C5745" t="n">
        <v>12</v>
      </c>
      <c r="D5745" s="218" t="n">
        <v>10.36</v>
      </c>
      <c r="E5745" s="218" t="n">
        <v>0.33</v>
      </c>
      <c r="F5745" t="str">
        <v>https://re.jrc.ec.europa.eu/api/v5_3/PVcalc?lat=30.0444&amp;lon=31.2357&amp;peakpower=1&amp;loss=14&amp;angle=90&amp;aspect=150&amp;outputformat=json&amp;raddatabase=PVGIS-SARAH3&amp;pvtechchoice=crystSi&amp;mountingplace=free&amp;usehorizon=1</v>
      </c>
    </row>
    <row r="5746">
      <c r="A5746" t="n">
        <v>90</v>
      </c>
      <c r="B5746" t="n">
        <v>345</v>
      </c>
      <c r="C5746" t="n">
        <v>1</v>
      </c>
      <c r="D5746" s="218" t="n">
        <v>11.25</v>
      </c>
      <c r="E5746" s="218" t="n">
        <v>0.36</v>
      </c>
      <c r="F5746" t="str">
        <v>https://re.jrc.ec.europa.eu/api/v5_3/PVcalc?lat=30.0444&amp;lon=31.2357&amp;peakpower=1&amp;loss=14&amp;angle=90&amp;aspect=165&amp;outputformat=json&amp;raddatabase=PVGIS-SARAH3&amp;pvtechchoice=crystSi&amp;mountingplace=free&amp;usehorizon=1</v>
      </c>
    </row>
    <row r="5747">
      <c r="A5747" t="n">
        <v>90</v>
      </c>
      <c r="B5747" t="n">
        <v>345</v>
      </c>
      <c r="C5747" t="n">
        <v>2</v>
      </c>
      <c r="D5747" s="218" t="n">
        <v>13.2</v>
      </c>
      <c r="E5747" s="218" t="n">
        <v>0.47</v>
      </c>
      <c r="F5747" t="str">
        <v>https://re.jrc.ec.europa.eu/api/v5_3/PVcalc?lat=30.0444&amp;lon=31.2357&amp;peakpower=1&amp;loss=14&amp;angle=90&amp;aspect=165&amp;outputformat=json&amp;raddatabase=PVGIS-SARAH3&amp;pvtechchoice=crystSi&amp;mountingplace=free&amp;usehorizon=1</v>
      </c>
    </row>
    <row r="5748">
      <c r="A5748" t="n">
        <v>90</v>
      </c>
      <c r="B5748" t="n">
        <v>345</v>
      </c>
      <c r="C5748" t="n">
        <v>3</v>
      </c>
      <c r="D5748" s="218" t="n">
        <v>18.43</v>
      </c>
      <c r="E5748" s="218" t="n">
        <v>0.59</v>
      </c>
      <c r="F5748" t="str">
        <v>https://re.jrc.ec.europa.eu/api/v5_3/PVcalc?lat=30.0444&amp;lon=31.2357&amp;peakpower=1&amp;loss=14&amp;angle=90&amp;aspect=165&amp;outputformat=json&amp;raddatabase=PVGIS-SARAH3&amp;pvtechchoice=crystSi&amp;mountingplace=free&amp;usehorizon=1</v>
      </c>
    </row>
    <row r="5749">
      <c r="A5749" t="n">
        <v>90</v>
      </c>
      <c r="B5749" t="n">
        <v>345</v>
      </c>
      <c r="C5749" t="n">
        <v>4</v>
      </c>
      <c r="D5749" s="218" t="n">
        <v>25.62</v>
      </c>
      <c r="E5749" s="218" t="n">
        <v>0.85</v>
      </c>
      <c r="F5749" t="str">
        <v>https://re.jrc.ec.europa.eu/api/v5_3/PVcalc?lat=30.0444&amp;lon=31.2357&amp;peakpower=1&amp;loss=14&amp;angle=90&amp;aspect=165&amp;outputformat=json&amp;raddatabase=PVGIS-SARAH3&amp;pvtechchoice=crystSi&amp;mountingplace=free&amp;usehorizon=1</v>
      </c>
    </row>
    <row r="5750">
      <c r="A5750" t="n">
        <v>90</v>
      </c>
      <c r="B5750" t="n">
        <v>345</v>
      </c>
      <c r="C5750" t="n">
        <v>5</v>
      </c>
      <c r="D5750" s="218" t="n">
        <v>37.54</v>
      </c>
      <c r="E5750" s="218" t="n">
        <v>1.21</v>
      </c>
      <c r="F5750" t="str">
        <v>https://re.jrc.ec.europa.eu/api/v5_3/PVcalc?lat=30.0444&amp;lon=31.2357&amp;peakpower=1&amp;loss=14&amp;angle=90&amp;aspect=165&amp;outputformat=json&amp;raddatabase=PVGIS-SARAH3&amp;pvtechchoice=crystSi&amp;mountingplace=free&amp;usehorizon=1</v>
      </c>
    </row>
    <row r="5751">
      <c r="A5751" t="n">
        <v>90</v>
      </c>
      <c r="B5751" t="n">
        <v>345</v>
      </c>
      <c r="C5751" t="n">
        <v>6</v>
      </c>
      <c r="D5751" s="218" t="n">
        <v>43.43</v>
      </c>
      <c r="E5751" s="218" t="n">
        <v>1.45</v>
      </c>
      <c r="F5751" t="str">
        <v>https://re.jrc.ec.europa.eu/api/v5_3/PVcalc?lat=30.0444&amp;lon=31.2357&amp;peakpower=1&amp;loss=14&amp;angle=90&amp;aspect=165&amp;outputformat=json&amp;raddatabase=PVGIS-SARAH3&amp;pvtechchoice=crystSi&amp;mountingplace=free&amp;usehorizon=1</v>
      </c>
    </row>
    <row r="5752">
      <c r="A5752" t="n">
        <v>90</v>
      </c>
      <c r="B5752" t="n">
        <v>345</v>
      </c>
      <c r="C5752" t="n">
        <v>7</v>
      </c>
      <c r="D5752" s="218" t="n">
        <v>41.71</v>
      </c>
      <c r="E5752" s="218" t="n">
        <v>1.35</v>
      </c>
      <c r="F5752" t="str">
        <v>https://re.jrc.ec.europa.eu/api/v5_3/PVcalc?lat=30.0444&amp;lon=31.2357&amp;peakpower=1&amp;loss=14&amp;angle=90&amp;aspect=165&amp;outputformat=json&amp;raddatabase=PVGIS-SARAH3&amp;pvtechchoice=crystSi&amp;mountingplace=free&amp;usehorizon=1</v>
      </c>
    </row>
    <row r="5753">
      <c r="A5753" t="n">
        <v>90</v>
      </c>
      <c r="B5753" t="n">
        <v>345</v>
      </c>
      <c r="C5753" t="n">
        <v>8</v>
      </c>
      <c r="D5753" s="218" t="n">
        <v>28.52</v>
      </c>
      <c r="E5753" s="218" t="n">
        <v>0.92</v>
      </c>
      <c r="F5753" t="str">
        <v>https://re.jrc.ec.europa.eu/api/v5_3/PVcalc?lat=30.0444&amp;lon=31.2357&amp;peakpower=1&amp;loss=14&amp;angle=90&amp;aspect=165&amp;outputformat=json&amp;raddatabase=PVGIS-SARAH3&amp;pvtechchoice=crystSi&amp;mountingplace=free&amp;usehorizon=1</v>
      </c>
    </row>
    <row r="5754">
      <c r="A5754" t="n">
        <v>90</v>
      </c>
      <c r="B5754" t="n">
        <v>345</v>
      </c>
      <c r="C5754" t="n">
        <v>9</v>
      </c>
      <c r="D5754" s="218" t="n">
        <v>17.49</v>
      </c>
      <c r="E5754" s="218" t="n">
        <v>0.58</v>
      </c>
      <c r="F5754" t="str">
        <v>https://re.jrc.ec.europa.eu/api/v5_3/PVcalc?lat=30.0444&amp;lon=31.2357&amp;peakpower=1&amp;loss=14&amp;angle=90&amp;aspect=165&amp;outputformat=json&amp;raddatabase=PVGIS-SARAH3&amp;pvtechchoice=crystSi&amp;mountingplace=free&amp;usehorizon=1</v>
      </c>
    </row>
    <row r="5755">
      <c r="A5755" t="n">
        <v>90</v>
      </c>
      <c r="B5755" t="n">
        <v>345</v>
      </c>
      <c r="C5755" t="n">
        <v>10</v>
      </c>
      <c r="D5755" s="218" t="n">
        <v>13.24</v>
      </c>
      <c r="E5755" s="218" t="n">
        <v>0.43</v>
      </c>
      <c r="F5755" t="str">
        <v>https://re.jrc.ec.europa.eu/api/v5_3/PVcalc?lat=30.0444&amp;lon=31.2357&amp;peakpower=1&amp;loss=14&amp;angle=90&amp;aspect=165&amp;outputformat=json&amp;raddatabase=PVGIS-SARAH3&amp;pvtechchoice=crystSi&amp;mountingplace=free&amp;usehorizon=1</v>
      </c>
    </row>
    <row r="5756">
      <c r="A5756" t="n">
        <v>90</v>
      </c>
      <c r="B5756" t="n">
        <v>345</v>
      </c>
      <c r="C5756" t="n">
        <v>11</v>
      </c>
      <c r="D5756" s="218" t="n">
        <v>10.77</v>
      </c>
      <c r="E5756" s="218" t="n">
        <v>0.36</v>
      </c>
      <c r="F5756" t="str">
        <v>https://re.jrc.ec.europa.eu/api/v5_3/PVcalc?lat=30.0444&amp;lon=31.2357&amp;peakpower=1&amp;loss=14&amp;angle=90&amp;aspect=165&amp;outputformat=json&amp;raddatabase=PVGIS-SARAH3&amp;pvtechchoice=crystSi&amp;mountingplace=free&amp;usehorizon=1</v>
      </c>
    </row>
    <row r="5757">
      <c r="A5757" t="n">
        <v>90</v>
      </c>
      <c r="B5757" t="n">
        <v>345</v>
      </c>
      <c r="C5757" t="n">
        <v>12</v>
      </c>
      <c r="D5757" s="218" t="n">
        <v>10.36</v>
      </c>
      <c r="E5757" s="218" t="n">
        <v>0.33</v>
      </c>
      <c r="F5757" t="str">
        <v>https://re.jrc.ec.europa.eu/api/v5_3/PVcalc?lat=30.0444&amp;lon=31.2357&amp;peakpower=1&amp;loss=14&amp;angle=90&amp;aspect=165&amp;outputformat=json&amp;raddatabase=PVGIS-SARAH3&amp;pvtechchoice=crystSi&amp;mountingplace=free&amp;usehorizon=1</v>
      </c>
    </row>
    <row r="5758">
      <c r="A5758" t="n">
        <v>90</v>
      </c>
      <c r="B5758" t="n">
        <v>360</v>
      </c>
      <c r="C5758" t="n">
        <v>1</v>
      </c>
      <c r="D5758" s="218" t="n">
        <v>11.25</v>
      </c>
      <c r="E5758" s="218" t="n">
        <v>0.36</v>
      </c>
      <c r="F5758" t="str">
        <v>https://re.jrc.ec.europa.eu/api/v5_3/PVcalc?lat=30.0444&amp;lon=31.2357&amp;peakpower=1&amp;loss=14&amp;angle=90&amp;aspect=180&amp;outputformat=json&amp;raddatabase=PVGIS-SARAH3&amp;pvtechchoice=crystSi&amp;mountingplace=free&amp;usehorizon=1</v>
      </c>
    </row>
    <row r="5759">
      <c r="A5759" t="n">
        <v>90</v>
      </c>
      <c r="B5759" t="n">
        <v>360</v>
      </c>
      <c r="C5759" t="n">
        <v>2</v>
      </c>
      <c r="D5759" s="218" t="n">
        <v>13.18</v>
      </c>
      <c r="E5759" s="218" t="n">
        <v>0.47</v>
      </c>
      <c r="F5759" t="str">
        <v>https://re.jrc.ec.europa.eu/api/v5_3/PVcalc?lat=30.0444&amp;lon=31.2357&amp;peakpower=1&amp;loss=14&amp;angle=90&amp;aspect=180&amp;outputformat=json&amp;raddatabase=PVGIS-SARAH3&amp;pvtechchoice=crystSi&amp;mountingplace=free&amp;usehorizon=1</v>
      </c>
    </row>
    <row r="5760">
      <c r="A5760" t="n">
        <v>90</v>
      </c>
      <c r="B5760" t="n">
        <v>360</v>
      </c>
      <c r="C5760" t="n">
        <v>3</v>
      </c>
      <c r="D5760" s="218" t="n">
        <v>16.94</v>
      </c>
      <c r="E5760" s="218" t="n">
        <v>0.55</v>
      </c>
      <c r="F5760" t="str">
        <v>https://re.jrc.ec.europa.eu/api/v5_3/PVcalc?lat=30.0444&amp;lon=31.2357&amp;peakpower=1&amp;loss=14&amp;angle=90&amp;aspect=180&amp;outputformat=json&amp;raddatabase=PVGIS-SARAH3&amp;pvtechchoice=crystSi&amp;mountingplace=free&amp;usehorizon=1</v>
      </c>
    </row>
    <row r="5761">
      <c r="A5761" t="n">
        <v>90</v>
      </c>
      <c r="B5761" t="n">
        <v>360</v>
      </c>
      <c r="C5761" t="n">
        <v>4</v>
      </c>
      <c r="D5761" s="218" t="n">
        <v>19.71</v>
      </c>
      <c r="E5761" s="218" t="n">
        <v>0.66</v>
      </c>
      <c r="F5761" t="str">
        <v>https://re.jrc.ec.europa.eu/api/v5_3/PVcalc?lat=30.0444&amp;lon=31.2357&amp;peakpower=1&amp;loss=14&amp;angle=90&amp;aspect=180&amp;outputformat=json&amp;raddatabase=PVGIS-SARAH3&amp;pvtechchoice=crystSi&amp;mountingplace=free&amp;usehorizon=1</v>
      </c>
    </row>
    <row r="5762">
      <c r="A5762" t="n">
        <v>90</v>
      </c>
      <c r="B5762" t="n">
        <v>360</v>
      </c>
      <c r="C5762" t="n">
        <v>5</v>
      </c>
      <c r="D5762" s="218" t="n">
        <v>28.93</v>
      </c>
      <c r="E5762" s="218" t="n">
        <v>0.93</v>
      </c>
      <c r="F5762" t="str">
        <v>https://re.jrc.ec.europa.eu/api/v5_3/PVcalc?lat=30.0444&amp;lon=31.2357&amp;peakpower=1&amp;loss=14&amp;angle=90&amp;aspect=180&amp;outputformat=json&amp;raddatabase=PVGIS-SARAH3&amp;pvtechchoice=crystSi&amp;mountingplace=free&amp;usehorizon=1</v>
      </c>
    </row>
    <row r="5763">
      <c r="A5763" t="n">
        <v>90</v>
      </c>
      <c r="B5763" t="n">
        <v>360</v>
      </c>
      <c r="C5763" t="n">
        <v>6</v>
      </c>
      <c r="D5763" s="218" t="n">
        <v>34.79</v>
      </c>
      <c r="E5763" s="218" t="n">
        <v>1.16</v>
      </c>
      <c r="F5763" t="str">
        <v>https://re.jrc.ec.europa.eu/api/v5_3/PVcalc?lat=30.0444&amp;lon=31.2357&amp;peakpower=1&amp;loss=14&amp;angle=90&amp;aspect=180&amp;outputformat=json&amp;raddatabase=PVGIS-SARAH3&amp;pvtechchoice=crystSi&amp;mountingplace=free&amp;usehorizon=1</v>
      </c>
    </row>
    <row r="5764">
      <c r="A5764" t="n">
        <v>90</v>
      </c>
      <c r="B5764" t="n">
        <v>360</v>
      </c>
      <c r="C5764" t="n">
        <v>7</v>
      </c>
      <c r="D5764" s="218" t="n">
        <v>30.16</v>
      </c>
      <c r="E5764" s="218" t="n">
        <v>0.97</v>
      </c>
      <c r="F5764" t="str">
        <v>https://re.jrc.ec.europa.eu/api/v5_3/PVcalc?lat=30.0444&amp;lon=31.2357&amp;peakpower=1&amp;loss=14&amp;angle=90&amp;aspect=180&amp;outputformat=json&amp;raddatabase=PVGIS-SARAH3&amp;pvtechchoice=crystSi&amp;mountingplace=free&amp;usehorizon=1</v>
      </c>
    </row>
    <row r="5765">
      <c r="A5765" t="n">
        <v>90</v>
      </c>
      <c r="B5765" t="n">
        <v>360</v>
      </c>
      <c r="C5765" t="n">
        <v>8</v>
      </c>
      <c r="D5765" s="218" t="n">
        <v>19.28</v>
      </c>
      <c r="E5765" s="218" t="n">
        <v>0.62</v>
      </c>
      <c r="F5765" t="str">
        <v>https://re.jrc.ec.europa.eu/api/v5_3/PVcalc?lat=30.0444&amp;lon=31.2357&amp;peakpower=1&amp;loss=14&amp;angle=90&amp;aspect=180&amp;outputformat=json&amp;raddatabase=PVGIS-SARAH3&amp;pvtechchoice=crystSi&amp;mountingplace=free&amp;usehorizon=1</v>
      </c>
    </row>
    <row r="5766">
      <c r="A5766" t="n">
        <v>90</v>
      </c>
      <c r="B5766" t="n">
        <v>360</v>
      </c>
      <c r="C5766" t="n">
        <v>9</v>
      </c>
      <c r="D5766" s="218" t="n">
        <v>14.01</v>
      </c>
      <c r="E5766" s="218" t="n">
        <v>0.47</v>
      </c>
      <c r="F5766" t="str">
        <v>https://re.jrc.ec.europa.eu/api/v5_3/PVcalc?lat=30.0444&amp;lon=31.2357&amp;peakpower=1&amp;loss=14&amp;angle=90&amp;aspect=180&amp;outputformat=json&amp;raddatabase=PVGIS-SARAH3&amp;pvtechchoice=crystSi&amp;mountingplace=free&amp;usehorizon=1</v>
      </c>
    </row>
    <row r="5767">
      <c r="A5767" t="n">
        <v>90</v>
      </c>
      <c r="B5767" t="n">
        <v>360</v>
      </c>
      <c r="C5767" t="n">
        <v>10</v>
      </c>
      <c r="D5767" s="218" t="n">
        <v>13.1</v>
      </c>
      <c r="E5767" s="218" t="n">
        <v>0.42</v>
      </c>
      <c r="F5767" t="str">
        <v>https://re.jrc.ec.europa.eu/api/v5_3/PVcalc?lat=30.0444&amp;lon=31.2357&amp;peakpower=1&amp;loss=14&amp;angle=90&amp;aspect=180&amp;outputformat=json&amp;raddatabase=PVGIS-SARAH3&amp;pvtechchoice=crystSi&amp;mountingplace=free&amp;usehorizon=1</v>
      </c>
    </row>
    <row r="5768">
      <c r="A5768" t="n">
        <v>90</v>
      </c>
      <c r="B5768" t="n">
        <v>360</v>
      </c>
      <c r="C5768" t="n">
        <v>11</v>
      </c>
      <c r="D5768" s="218" t="n">
        <v>10.77</v>
      </c>
      <c r="E5768" s="218" t="n">
        <v>0.36</v>
      </c>
      <c r="F5768" t="str">
        <v>https://re.jrc.ec.europa.eu/api/v5_3/PVcalc?lat=30.0444&amp;lon=31.2357&amp;peakpower=1&amp;loss=14&amp;angle=90&amp;aspect=180&amp;outputformat=json&amp;raddatabase=PVGIS-SARAH3&amp;pvtechchoice=crystSi&amp;mountingplace=free&amp;usehorizon=1</v>
      </c>
    </row>
    <row r="5769">
      <c r="A5769" t="n">
        <v>90</v>
      </c>
      <c r="B5769" t="n">
        <v>360</v>
      </c>
      <c r="C5769" t="n">
        <v>12</v>
      </c>
      <c r="D5769" s="218" t="n">
        <v>10.36</v>
      </c>
      <c r="E5769" s="218" t="n">
        <v>0.33</v>
      </c>
      <c r="F5769" t="str">
        <v>https://re.jrc.ec.europa.eu/api/v5_3/PVcalc?lat=30.0444&amp;lon=31.2357&amp;peakpower=1&amp;loss=14&amp;angle=90&amp;aspect=180&amp;outputformat=json&amp;raddatabase=PVGIS-SARAH3&amp;pvtechchoice=crystSi&amp;mountingplace=free&amp;usehorizon=1</v>
      </c>
    </row>
  </sheetData>
  <mergeCells>
    <mergeCell ref="A2:J2"/>
    <mergeCell ref="A3:J3"/>
    <mergeCell ref="E5:J5"/>
    <mergeCell ref="E6:J6"/>
    <mergeCell ref="E7:J7"/>
    <mergeCell ref="E9:J9"/>
    <mergeCell ref="E10:J10"/>
    <mergeCell ref="E11:J11"/>
    <mergeCell ref="C12:J12"/>
    <mergeCell ref="A14:J14"/>
    <mergeCell ref="A15:J15"/>
    <mergeCell ref="A16:J16"/>
    <mergeCell ref="A17:J17"/>
    <mergeCell ref="A34:J34"/>
    <mergeCell ref="A35:J35"/>
    <mergeCell ref="A38:J38"/>
    <mergeCell ref="A47:J47"/>
    <mergeCell ref="A48:J48"/>
    <mergeCell ref="A49:J49"/>
    <mergeCell ref="A50:J50"/>
    <mergeCell ref="A51:J51"/>
    <mergeCell ref="A52:J52"/>
    <mergeCell ref="A54:J54"/>
  </mergeCells>
  <dataValidations count="3">
    <dataValidation type="decimal" operator="between" sqref="C5">
      <formula1>0</formula1>
      <formula2>90</formula2>
    </dataValidation>
    <dataValidation type="decimal" operator="between" sqref="C6">
      <formula1>0</formula1>
      <formula2>360</formula2>
    </dataValidation>
    <dataValidation type="whole" operator="between" sqref="C7">
      <formula1>1</formula1>
      <formula2>20</formula2>
    </dataValidation>
  </dataValidations>
  <pageMargins left="0.7" right="0.7" top="0.75" bottom="0.75" header="0.3" footer="0.3"/>
</worksheet>
</file>